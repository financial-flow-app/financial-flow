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-End" sheetId="2" state="visible" r:id="rId2"/>
    <sheet name="Giving" sheetId="3" state="visible" r:id="rId3"/>
    <sheet name="History" sheetId="4" state="visible" r:id="rId4"/>
    <sheet name="Settings" sheetId="5" state="visible" r:id="rId5"/>
    <sheet name="Calc" sheetId="6" state="hidden" r:id="rId6"/>
  </sheets>
  <definedNames>
    <definedName name="_xlnm._FilterDatabase" localSheetId="2" hidden="1">'Giving'!$A$6:$G$2006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/yy"/>
    <numFmt numFmtId="166" formatCode="&quot;$&quot;#,##0.00;[Red]-&quot;$&quot;#,##0.00;&quot;–&quot;"/>
    <numFmt numFmtId="167" formatCode="mmm yyyy"/>
    <numFmt numFmtId="168" formatCode="&quot;Owe $&quot;#,##0.00;&quot;Ahead $&quot;#,##0.00;&quot;Settled&quot;"/>
  </numFmts>
  <fonts count="16">
    <font>
      <name val="Calibri"/>
      <family val="2"/>
      <color theme="1"/>
      <sz val="11"/>
      <scheme val="minor"/>
    </font>
    <font>
      <name val="Segoe UI"/>
      <b val="1"/>
      <color rgb="FF0F172A"/>
      <sz val="20"/>
    </font>
    <font>
      <name val="Segoe UI"/>
      <color rgb="FF64748B"/>
      <sz val="9"/>
    </font>
    <font>
      <name val="Segoe UI"/>
      <b val="1"/>
      <color rgb="FF2563EB"/>
      <sz val="11"/>
    </font>
    <font>
      <name val="Segoe UI"/>
      <color rgb="FF0F172A"/>
      <sz val="10"/>
    </font>
    <font>
      <name val="Segoe UI"/>
      <b val="1"/>
      <color rgb="FF64748B"/>
      <sz val="9"/>
    </font>
    <font>
      <name val="Segoe UI"/>
      <b val="1"/>
      <color rgb="FF0F172A"/>
      <sz val="10"/>
    </font>
    <font>
      <name val="Segoe UI"/>
      <sz val="9"/>
    </font>
    <font>
      <name val="Segoe UI"/>
      <b val="1"/>
      <color rgb="FF0F172A"/>
      <sz val="14"/>
    </font>
    <font>
      <name val="Segoe UI"/>
      <b val="1"/>
      <color rgb="FF94A3B8"/>
      <sz val="9"/>
    </font>
    <font>
      <name val="Segoe UI"/>
      <b val="1"/>
      <color rgb="FFFFFFFF"/>
      <sz val="22"/>
    </font>
    <font>
      <name val="Segoe UI"/>
      <color rgb="FF94A3B8"/>
      <sz val="9"/>
    </font>
    <font>
      <name val="Segoe UI"/>
      <b val="1"/>
      <color rgb="FF0F172A"/>
      <sz val="18"/>
    </font>
    <font>
      <name val="Segoe UI"/>
      <b val="1"/>
      <color rgb="FF0F172A"/>
      <sz val="12"/>
    </font>
    <font>
      <name val="Segoe UI"/>
      <color rgb="FF64748B"/>
      <sz val="10"/>
    </font>
    <font>
      <name val="Segoe UI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bottom style="medium">
        <color rgb="FFBFDBFE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bottom style="thin">
        <color rgb="FF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 wrapText="1"/>
    </xf>
    <xf numFmtId="0" fontId="9" fillId="4" borderId="0" applyAlignment="1" pivotButton="0" quotePrefix="0" xfId="0">
      <alignment horizontal="left" vertical="bottom" indent="1"/>
    </xf>
    <xf numFmtId="0" fontId="15" fillId="4" borderId="0" pivotButton="0" quotePrefix="0" xfId="0"/>
    <xf numFmtId="0" fontId="5" fillId="3" borderId="0" applyAlignment="1" pivotButton="0" quotePrefix="0" xfId="0">
      <alignment horizontal="left" vertical="bottom" indent="1"/>
    </xf>
    <xf numFmtId="0" fontId="15" fillId="3" borderId="0" pivotButton="0" quotePrefix="0" xfId="0"/>
    <xf numFmtId="166" fontId="10" fillId="4" borderId="0" applyAlignment="1" pivotButton="0" quotePrefix="0" xfId="0">
      <alignment horizontal="left" vertical="center" indent="1"/>
    </xf>
    <xf numFmtId="166" fontId="12" fillId="3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top" indent="1"/>
    </xf>
    <xf numFmtId="0" fontId="2" fillId="3" borderId="0" applyAlignment="1" pivotButton="0" quotePrefix="0" xfId="0">
      <alignment horizontal="left" vertical="top" indent="1"/>
    </xf>
    <xf numFmtId="0" fontId="3" fillId="0" borderId="1" applyAlignment="1" pivotButton="0" quotePrefix="0" xfId="0">
      <alignment vertical="bottom"/>
    </xf>
    <xf numFmtId="0" fontId="15" fillId="0" borderId="1" pivotButton="0" quotePrefix="0" xfId="0"/>
    <xf numFmtId="0" fontId="5" fillId="0" borderId="3" applyAlignment="1" pivotButton="0" quotePrefix="0" xfId="0">
      <alignment horizontal="left" vertical="bottom" wrapText="1"/>
    </xf>
    <xf numFmtId="0" fontId="5" fillId="0" borderId="3" applyAlignment="1" pivotButton="0" quotePrefix="0" xfId="0">
      <alignment horizontal="right" vertical="bottom" wrapText="1"/>
    </xf>
    <xf numFmtId="0" fontId="4" fillId="0" borderId="0" pivotButton="0" quotePrefix="0" xfId="0"/>
    <xf numFmtId="0" fontId="4" fillId="0" borderId="3" pivotButton="0" quotePrefix="0" xfId="0"/>
    <xf numFmtId="166" fontId="4" fillId="0" borderId="3" pivotButton="0" quotePrefix="0" xfId="0"/>
    <xf numFmtId="0" fontId="6" fillId="0" borderId="3" pivotButton="0" quotePrefix="0" xfId="0"/>
    <xf numFmtId="166" fontId="6" fillId="0" borderId="3" pivotButton="0" quotePrefix="0" xfId="0"/>
    <xf numFmtId="0" fontId="5" fillId="3" borderId="0" pivotButton="0" quotePrefix="0" xfId="0"/>
    <xf numFmtId="168" fontId="13" fillId="3" borderId="0" pivotButton="0" quotePrefix="0" xfId="0"/>
    <xf numFmtId="0" fontId="14" fillId="3" borderId="0" pivotButton="0" quotePrefix="0" xfId="0"/>
    <xf numFmtId="0" fontId="15" fillId="0" borderId="0" pivotButton="0" quotePrefix="0" xfId="0"/>
    <xf numFmtId="166" fontId="15" fillId="0" borderId="0" pivotButton="0" quotePrefix="0" xfId="0"/>
    <xf numFmtId="9" fontId="15" fillId="0" borderId="0" pivotButton="0" quotePrefix="0" xfId="0"/>
    <xf numFmtId="0" fontId="2" fillId="0" borderId="0" pivotButton="0" quotePrefix="0" xfId="0"/>
    <xf numFmtId="0" fontId="5" fillId="0" borderId="3" pivotButton="0" quotePrefix="0" xfId="0"/>
    <xf numFmtId="167" fontId="6" fillId="0" borderId="3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166" fontId="15" fillId="2" borderId="2" pivotButton="0" quotePrefix="0" xfId="0"/>
    <xf numFmtId="166" fontId="4" fillId="3" borderId="0" pivotButton="0" quotePrefix="0" xfId="0"/>
    <xf numFmtId="0" fontId="15" fillId="2" borderId="2" pivotButton="0" quotePrefix="0" xfId="0"/>
    <xf numFmtId="0" fontId="5" fillId="3" borderId="0" applyAlignment="1" pivotButton="0" quotePrefix="0" xfId="0">
      <alignment vertical="bottom" indent="1"/>
    </xf>
    <xf numFmtId="168" fontId="8" fillId="3" borderId="0" applyAlignment="1" pivotButton="0" quotePrefix="0" xfId="0">
      <alignment horizontal="left" indent="1"/>
    </xf>
    <xf numFmtId="166" fontId="8" fillId="3" borderId="0" applyAlignment="1" pivotButton="0" quotePrefix="0" xfId="0">
      <alignment horizontal="left" indent="1"/>
    </xf>
    <xf numFmtId="165" fontId="15" fillId="2" borderId="2" pivotButton="0" quotePrefix="0" xfId="0"/>
    <xf numFmtId="165" fontId="15" fillId="0" borderId="0" pivotButton="0" quotePrefix="0" xfId="0"/>
    <xf numFmtId="168" fontId="15" fillId="0" borderId="0" pivotButton="0" quotePrefix="0" xfId="0"/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center" wrapText="1"/>
    </xf>
    <xf numFmtId="9" fontId="15" fillId="2" borderId="2" pivotButton="0" quotePrefix="0" xfId="0"/>
    <xf numFmtId="1" fontId="15" fillId="2" borderId="2" pivotButton="0" quotePrefix="0" xfId="0"/>
  </cellXfs>
  <cellStyles count="1">
    <cellStyle name="Normal" xfId="0" builtinId="0" hidden="0"/>
  </cellStyles>
  <dxfs count="21">
    <dxf>
      <font>
        <color rgb="FF6EE7B7"/>
      </font>
    </dxf>
    <dxf>
      <font>
        <color rgb="FFFCA5A5"/>
      </font>
    </dxf>
    <dxf>
      <font>
        <color rgb="FF059669"/>
      </font>
    </dxf>
    <dxf>
      <font>
        <color rgb="FFDC2626"/>
      </font>
    </dxf>
    <dxf>
      <font>
        <b val="1"/>
        <color rgb="FFDC2626"/>
      </font>
    </dxf>
    <dxf>
      <font>
        <b val="1"/>
        <color rgb="FF059669"/>
      </font>
    </dxf>
    <dxf>
      <font>
        <name val="Segoe UI"/>
        <b val="1"/>
        <color rgb="FFDC2626"/>
        <sz val="12"/>
      </font>
    </dxf>
    <dxf>
      <font>
        <name val="Segoe UI"/>
        <b val="1"/>
        <color rgb="FF059669"/>
        <sz val="12"/>
      </font>
    </dxf>
    <dxf>
      <font>
        <color rgb="FF64748B"/>
      </font>
    </dxf>
    <dxf>
      <font>
        <b val="1"/>
        <color rgb="FF059669"/>
      </font>
      <fill>
        <patternFill patternType="solid">
          <fgColor rgb="FFECFDF5"/>
        </patternFill>
      </fill>
    </dxf>
    <dxf>
      <font>
        <b val="1"/>
        <color rgb="FFDC2626"/>
      </font>
      <fill>
        <patternFill patternType="solid">
          <fgColor rgb="FFFEF2F2"/>
        </patternFill>
      </fill>
    </dxf>
    <dxf>
      <border>
        <bottom style="thin">
          <color rgb="FFE2E8F0"/>
        </bottom>
      </border>
    </dxf>
    <dxf>
      <font>
        <color rgb="FFC0C0C0"/>
      </font>
      <fill>
        <patternFill patternType="solid">
          <fgColor rgb="FFF3F4F6"/>
        </patternFill>
      </fill>
    </dxf>
    <dxf>
      <fill>
        <patternFill patternType="solid">
          <fgColor rgb="FFEFF6FF"/>
        </patternFill>
      </fill>
      <border>
        <left style="thin">
          <color rgb="FF93C5FD"/>
        </left>
        <right style="thin">
          <color rgb="FF93C5FD"/>
        </right>
        <top style="thin">
          <color rgb="FF93C5FD"/>
        </top>
        <bottom style="thin">
          <color rgb="FF93C5FD"/>
        </bottom>
      </border>
    </dxf>
    <dxf>
      <font>
        <b val="1"/>
        <color rgb="FF2563EB"/>
      </font>
    </dxf>
    <dxf>
      <font>
        <i val="1"/>
        <color rgb="FF8C8C8C"/>
      </font>
    </dxf>
    <dxf>
      <font>
        <b val="1"/>
        <color rgb="FFFFFFFF"/>
      </font>
      <fill>
        <patternFill patternType="solid">
          <fgColor rgb="FF2563EB"/>
        </patternFill>
      </fill>
    </dxf>
    <dxf>
      <font>
        <b val="1"/>
        <color rgb="FFDC2626"/>
        <sz val="9"/>
      </font>
    </dxf>
    <dxf>
      <font>
        <color rgb="FF059669"/>
        <sz val="9"/>
      </font>
    </dxf>
    <dxf>
      <font>
        <color rgb="FFC0C0C0"/>
      </font>
    </dxf>
    <dxf>
      <font>
        <color rgb="FF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31750">
              <a:solidFill>
                <a:srgbClr val="1E293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'Calc'!$ES$100:$ES$123</f>
            </numRef>
          </cat>
          <val>
            <numRef>
              <f>'Calc'!$ER$100:$ER$123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94A3B8"/>
                </a:solidFill>
                <a:latin typeface="Segoe UI"/>
              </a:defRPr>
            </a:pPr>
            <a:r>
              <a:t/>
            </a:r>
            <a:endParaRPr sz="800">
              <a:solidFill>
                <a:srgbClr val="94A3B8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EF2F7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800">
                <a:solidFill>
                  <a:srgbClr val="94A3B8"/>
                </a:solidFill>
                <a:latin typeface="Segoe UI"/>
              </a:defRPr>
            </a:pPr>
            <a:r>
              <a:t/>
            </a:r>
            <a:endParaRPr sz="800">
              <a:solidFill>
                <a:srgbClr val="94A3B8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61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L49"/>
  <sheetViews>
    <sheetView showGridLines="0" showRowColHeaders="0" zoomScale="100" workbookViewId="0">
      <selection activeCell="A1" sqref="A1"/>
    </sheetView>
  </sheetViews>
  <sheetFormatPr baseColWidth="8" defaultRowHeight="19" customHeight="1"/>
  <cols>
    <col width="28" customWidth="1" min="1" max="1"/>
    <col width="16" customWidth="1" min="2" max="2"/>
    <col width="16" customWidth="1" min="3" max="3"/>
    <col width="20" customWidth="1" min="4" max="4"/>
    <col width="14" customWidth="1" min="5" max="5"/>
    <col width="13" customWidth="1" min="6" max="6"/>
    <col width="26" customWidth="1" min="7" max="7"/>
    <col width="2" customWidth="1" min="8" max="8"/>
    <col width="22" customWidth="1" min="9" max="9"/>
    <col width="11" customWidth="1" min="10" max="10"/>
    <col width="14" customWidth="1" min="11" max="11"/>
    <col width="10" customWidth="1" min="12" max="12"/>
  </cols>
  <sheetData>
    <row r="1" ht="38" customHeight="1">
      <c r="A1" s="1" t="inlineStr">
        <is>
          <t>Dashboard</t>
        </is>
      </c>
    </row>
    <row r="2" ht="34" customHeight="1">
      <c r="A2" s="2">
        <f>"As of "&amp;TEXT(Calc!$EB$34,"mmmm d, yyyy")&amp;"   ·   Next: fill "&amp;TEXT(EDATE(DATE(YEAR(Calc!$EB$34),MONTH(Calc!$EB$34),1),IF(DAY(Calc!$EB$34+1)=1,1,0)),"mmmm yyyy")&amp;" on Month-End once its statements are out"</f>
        <v/>
      </c>
    </row>
    <row r="3"/>
    <row r="4" ht="22" customHeight="1">
      <c r="A4" s="3" t="inlineStr">
        <is>
          <t>NET WORTH</t>
        </is>
      </c>
      <c r="B4" s="4" t="n"/>
      <c r="C4" s="4" t="n"/>
      <c r="D4" s="5" t="inlineStr">
        <is>
          <t>LIQUID CASH</t>
        </is>
      </c>
      <c r="E4" s="6" t="n"/>
      <c r="F4" s="6" t="n"/>
      <c r="G4" s="5" t="inlineStr">
        <is>
          <t>INVESTMENTS + RETIREMENT</t>
        </is>
      </c>
      <c r="H4" s="6" t="n"/>
      <c r="I4" s="6" t="n"/>
      <c r="J4" s="5" t="inlineStr">
        <is>
          <t>OWED ON CARDS &amp; LOANS</t>
        </is>
      </c>
      <c r="K4" s="6" t="n"/>
      <c r="L4" s="6" t="n"/>
    </row>
    <row r="5">
      <c r="A5" s="7">
        <f>Calc!$EB$6</f>
        <v/>
      </c>
      <c r="B5" s="4" t="n"/>
      <c r="C5" s="4" t="n"/>
      <c r="D5" s="8">
        <f>Calc!$EB$7</f>
        <v/>
      </c>
      <c r="E5" s="6" t="n"/>
      <c r="F5" s="6" t="n"/>
      <c r="G5" s="8">
        <f>Calc!$EB$10</f>
        <v/>
      </c>
      <c r="H5" s="6" t="n"/>
      <c r="I5" s="6" t="n"/>
      <c r="J5" s="8">
        <f>Calc!$EB$11</f>
        <v/>
      </c>
      <c r="K5" s="6" t="n"/>
      <c r="L5" s="6" t="n"/>
    </row>
    <row r="6">
      <c r="A6" s="4" t="n"/>
      <c r="B6" s="4" t="n"/>
      <c r="C6" s="4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0" customHeight="1">
      <c r="A7" s="9">
        <f>IF(Calc!$EB$38="","Starting point · opening "&amp;TEXT(Calc!$EB$34,"m/d/yy"),IF(Calc!$EB$38&gt;=0,"▲ ","▼ ")&amp;TEXT(ABS(Calc!$EB$38),"$#,##0")&amp;IF(Calc!$EB$37=0," since opening"," vs last month"))</f>
        <v/>
      </c>
      <c r="B7" s="4" t="n"/>
      <c r="C7" s="4" t="n"/>
      <c r="D7" s="10">
        <f>IF(Calc!$EB$15&lt;=0,"",TEXT(Calc!$EB$7/Calc!$EB$15,"0.0")&amp;" months of living costs")</f>
        <v/>
      </c>
      <c r="E7" s="6" t="n"/>
      <c r="F7" s="6" t="n"/>
      <c r="G7" s="10">
        <f>"Contributed "&amp;TEXT(Calc!$EB$19,"$#,##0")&amp;" this year"</f>
        <v/>
      </c>
      <c r="H7" s="6" t="n"/>
      <c r="I7" s="6" t="n"/>
      <c r="J7" s="10">
        <f>IF(Calc!$EB$11=0,"Nothing owed",IF(Calc!$EB$5=0,"As of opening",IF(Calc!$EB$67&lt;0,"▼ "&amp;TEXT(ABS(Calc!$EB$67),"$#,##0")&amp;IF(Calc!$EB$37=0," less than at opening"," less than last month"),IF(Calc!$EB$67&gt;0,"▲ "&amp;TEXT(Calc!$EB$67,"$#,##0")&amp;IF(Calc!$EB$37=0," more than at opening"," more than last month"),IF(Calc!$EB$37=0,"Same as at opening","Same as last month")))))</f>
        <v/>
      </c>
      <c r="K7" s="6" t="n"/>
      <c r="L7" s="6" t="n"/>
    </row>
    <row r="8"/>
    <row r="9" ht="26" customHeight="1">
      <c r="A9" s="11" t="inlineStr">
        <is>
          <t>Money flow</t>
        </is>
      </c>
      <c r="B9" s="12" t="n"/>
      <c r="C9" s="12" t="n"/>
      <c r="D9" s="12" t="n"/>
      <c r="F9" s="11" t="inlineStr">
        <is>
          <t>Health checks</t>
        </is>
      </c>
      <c r="G9" s="12" t="n"/>
      <c r="H9" s="12" t="n"/>
      <c r="I9" s="12" t="n"/>
      <c r="J9" s="12" t="n"/>
      <c r="K9" s="12" t="n"/>
      <c r="L9" s="12" t="n"/>
    </row>
    <row r="10" ht="30" customHeight="1">
      <c r="A10" s="13" t="inlineStr"/>
      <c r="B10" s="14">
        <f>"Latest month ("&amp;Calc!$EB$35&amp;")"</f>
        <v/>
      </c>
      <c r="C10" s="14">
        <f>"Average (last "&amp;Settings!$B$10&amp;" full)"</f>
        <v/>
      </c>
      <c r="D10" s="14">
        <f>"This year ("&amp;YEAR(TODAY())&amp;")"</f>
        <v/>
      </c>
      <c r="F10" s="15">
        <f>Calc!$EA$95</f>
        <v/>
      </c>
    </row>
    <row r="11">
      <c r="A11" s="16" t="inlineStr">
        <is>
          <t>Income</t>
        </is>
      </c>
      <c r="B11" s="17">
        <f>IF(Calc!$EB$5=0,"",INDEX(Calc!$S:$S,Calc!$EB$5))</f>
        <v/>
      </c>
      <c r="C11" s="17">
        <f>Calc!$EB$12</f>
        <v/>
      </c>
      <c r="D11" s="17">
        <f>Calc!$EB$16</f>
        <v/>
      </c>
      <c r="F11" s="15">
        <f>Calc!$EA$96</f>
        <v/>
      </c>
    </row>
    <row r="12">
      <c r="A12" s="16" t="inlineStr">
        <is>
          <t>Household-paid living</t>
        </is>
      </c>
      <c r="B12" s="17">
        <f>IF(Calc!$EB$5=0,"",INDEX(Calc!$DD:$DD,Calc!$EB$5))</f>
        <v/>
      </c>
      <c r="C12" s="17">
        <f>Calc!$EB$13</f>
        <v/>
      </c>
      <c r="D12" s="17">
        <f>SUMIFS(Calc!$DD$6:$DD$183,Calc!$DO$6:$DO$183,YEAR(TODAY()))</f>
        <v/>
      </c>
      <c r="F12" s="15">
        <f>Calc!$EA$97</f>
        <v/>
      </c>
    </row>
    <row r="13">
      <c r="A13" s="16" t="inlineStr">
        <is>
          <t>Family-paid living</t>
        </is>
      </c>
      <c r="B13" s="17">
        <f>IF(Calc!$EB$5=0,"",INDEX(Calc!$DE:$DE,Calc!$EB$5))</f>
        <v/>
      </c>
      <c r="C13" s="17">
        <f>Calc!$EB$14</f>
        <v/>
      </c>
      <c r="D13" s="17">
        <f>SUMIFS(Calc!$DE$6:$DE$183,Calc!$DO$6:$DO$183,YEAR(TODAY()))</f>
        <v/>
      </c>
      <c r="F13" s="15">
        <f>Calc!$EA$98</f>
        <v/>
      </c>
    </row>
    <row r="14">
      <c r="A14" s="18" t="inlineStr">
        <is>
          <t>True cost of living</t>
        </is>
      </c>
      <c r="B14" s="19">
        <f>IF(Calc!$EB$5=0,"",INDEX(Calc!$DG:$DG,Calc!$EB$5))</f>
        <v/>
      </c>
      <c r="C14" s="19">
        <f>Calc!$EB$15</f>
        <v/>
      </c>
      <c r="D14" s="19">
        <f>SUMIFS(Calc!$DG$6:$DG$183,Calc!$DO$6:$DO$183,YEAR(TODAY()))</f>
        <v/>
      </c>
      <c r="F14" s="15">
        <f>Calc!$EA$99</f>
        <v/>
      </c>
    </row>
    <row r="15">
      <c r="A15" s="16" t="inlineStr">
        <is>
          <t xml:space="preserve">   …of which one-time</t>
        </is>
      </c>
      <c r="B15" s="17">
        <f>IF(Calc!$EB$5=0,"",INDEX(Calc!$DF:$DF,Calc!$EB$5))</f>
        <v/>
      </c>
      <c r="C15" s="17" t="n"/>
      <c r="D15" s="17">
        <f>SUMIFS(Calc!$DF$6:$DF$183,Calc!$DO$6:$DO$183,YEAR(TODAY()))</f>
        <v/>
      </c>
      <c r="F15" s="15">
        <f>Calc!$EA$100</f>
        <v/>
      </c>
    </row>
    <row r="16">
      <c r="A16" s="16" t="inlineStr">
        <is>
          <t>Tithe / charity given</t>
        </is>
      </c>
      <c r="B16" s="17">
        <f>IF(Calc!$EB$5=0,"",INDEX(Calc!$AA:$AA,Calc!$EB$5))</f>
        <v/>
      </c>
      <c r="C16" s="17">
        <f>Calc!$EB$25</f>
        <v/>
      </c>
      <c r="D16" s="17">
        <f>Calc!$EB$17</f>
        <v/>
      </c>
      <c r="F16" s="15">
        <f>Calc!$EA$101</f>
        <v/>
      </c>
    </row>
    <row r="17">
      <c r="A17" s="16" t="inlineStr">
        <is>
          <t>Invested</t>
        </is>
      </c>
      <c r="B17" s="17">
        <f>IF(Calc!$EB$5=0,"",INDEX(Calc!$AC:$AC,Calc!$EB$5))</f>
        <v/>
      </c>
      <c r="C17" s="17" t="n"/>
      <c r="D17" s="17">
        <f>Calc!$EB$19</f>
        <v/>
      </c>
      <c r="F17" s="15">
        <f>Calc!$EA$102</f>
        <v/>
      </c>
    </row>
    <row r="18">
      <c r="A18" s="18" t="inlineStr">
        <is>
          <t>Saved (after giving)</t>
        </is>
      </c>
      <c r="B18" s="19">
        <f>IF(Calc!$EB$5=0,"",INDEX(Calc!$DK:$DK,Calc!$EB$5))</f>
        <v/>
      </c>
      <c r="C18" s="19" t="n"/>
      <c r="D18" s="19">
        <f>Calc!$EB$21</f>
        <v/>
      </c>
      <c r="F18" s="15">
        <f>Calc!$EA$103</f>
        <v/>
      </c>
    </row>
    <row r="19"/>
    <row r="20" ht="26" customHeight="1">
      <c r="A20" s="20" t="inlineStr">
        <is>
          <t xml:space="preserve">  TITHE BALANCE</t>
        </is>
      </c>
      <c r="B20" s="21">
        <f>Calc!$EB$24</f>
        <v/>
      </c>
      <c r="C20" s="22">
        <f>"This quarter: "&amp;TEXT(Calc!$EB$23,"$#,##0")&amp;" given of "&amp;TEXT(Calc!$EB$22+0,"$#,##0")&amp;" owed"</f>
        <v/>
      </c>
    </row>
    <row r="21"/>
    <row r="22" ht="26" customHeight="1">
      <c r="A22" s="11" t="inlineStr">
        <is>
          <t>Goals</t>
        </is>
      </c>
      <c r="B22" s="12" t="n"/>
      <c r="C22" s="12" t="n"/>
      <c r="D22" s="12" t="n"/>
      <c r="E22" s="12" t="n"/>
      <c r="F22" s="12" t="n"/>
      <c r="G22" s="12" t="n"/>
      <c r="I22" s="11" t="inlineStr">
        <is>
          <t>Accounts</t>
        </is>
      </c>
      <c r="J22" s="12" t="n"/>
      <c r="K22" s="12" t="n"/>
      <c r="L22" s="12" t="n"/>
    </row>
    <row r="23">
      <c r="A23" s="13" t="inlineStr">
        <is>
          <t>Goal</t>
        </is>
      </c>
      <c r="B23" s="14" t="inlineStr">
        <is>
          <t>Target</t>
        </is>
      </c>
      <c r="C23" s="14" t="inlineStr">
        <is>
          <t>Current</t>
        </is>
      </c>
      <c r="D23" s="14" t="inlineStr">
        <is>
          <t>Progress</t>
        </is>
      </c>
      <c r="E23" s="14" t="inlineStr">
        <is>
          <t>Remaining</t>
        </is>
      </c>
      <c r="F23" s="13" t="inlineStr">
        <is>
          <t>Status</t>
        </is>
      </c>
      <c r="G23" s="13" t="inlineStr">
        <is>
          <t>Note</t>
        </is>
      </c>
      <c r="I23" s="13" t="inlineStr">
        <is>
          <t>Account</t>
        </is>
      </c>
      <c r="J23" s="13" t="inlineStr">
        <is>
          <t>Type</t>
        </is>
      </c>
      <c r="K23" s="14" t="inlineStr">
        <is>
          <t>Value</t>
        </is>
      </c>
      <c r="L23" s="13" t="inlineStr"/>
    </row>
    <row r="24">
      <c r="A24" s="23">
        <f>IF(Calc!$EA$70="","",Calc!$EA$70)</f>
        <v/>
      </c>
      <c r="B24" s="24">
        <f>IF(Calc!$EA$70="","",Calc!$ED$70)</f>
        <v/>
      </c>
      <c r="C24" s="24">
        <f>IF(Calc!$EA$70="","",Calc!$EC$70)</f>
        <v/>
      </c>
      <c r="D24" s="25">
        <f>IF(Calc!$EA$70="","",Calc!$EG$70)</f>
        <v/>
      </c>
      <c r="E24" s="24">
        <f>IF(Calc!$EA$70="","",Calc!$EE$70)</f>
        <v/>
      </c>
      <c r="F24" s="23">
        <f>IF(Calc!$EA$70="","",Calc!$EF$70)</f>
        <v/>
      </c>
      <c r="G24" s="23">
        <f>IF(Calc!$EA$70="","",Calc!$EH$70)</f>
        <v/>
      </c>
      <c r="I24" s="23">
        <f>IFERROR(INDEX(Calc!$EA$40:$EA$59,MATCH(1,Calc!$EI$40:$EI$59,0)),"")</f>
        <v/>
      </c>
      <c r="J24" s="26">
        <f>IFERROR(INDEX(Calc!$EJ$40:$EJ$59,MATCH(1,Calc!$EI$40:$EI$59,0)),"")</f>
        <v/>
      </c>
      <c r="K24" s="24">
        <f>IFERROR(INDEX(Calc!$EL$40:$EL$59,MATCH(1,Calc!$EI$40:$EI$59,0)),"")</f>
        <v/>
      </c>
      <c r="L24" s="26">
        <f>IFERROR(INDEX(Calc!$EM$40:$EM$59,MATCH(1,Calc!$EI$40:$EI$59,0)),"")</f>
        <v/>
      </c>
    </row>
    <row r="25">
      <c r="A25" s="23">
        <f>IF(Calc!$EA$71="","",Calc!$EA$71)</f>
        <v/>
      </c>
      <c r="B25" s="24">
        <f>IF(Calc!$EA$71="","",Calc!$ED$71)</f>
        <v/>
      </c>
      <c r="C25" s="24">
        <f>IF(Calc!$EA$71="","",Calc!$EC$71)</f>
        <v/>
      </c>
      <c r="D25" s="25">
        <f>IF(Calc!$EA$71="","",Calc!$EG$71)</f>
        <v/>
      </c>
      <c r="E25" s="24">
        <f>IF(Calc!$EA$71="","",Calc!$EE$71)</f>
        <v/>
      </c>
      <c r="F25" s="23">
        <f>IF(Calc!$EA$71="","",Calc!$EF$71)</f>
        <v/>
      </c>
      <c r="G25" s="23">
        <f>IF(Calc!$EA$71="","",Calc!$EH$71)</f>
        <v/>
      </c>
      <c r="I25" s="23">
        <f>IFERROR(INDEX(Calc!$EA$40:$EA$59,MATCH(2,Calc!$EI$40:$EI$59,0)),"")</f>
        <v/>
      </c>
      <c r="J25" s="26">
        <f>IFERROR(INDEX(Calc!$EJ$40:$EJ$59,MATCH(2,Calc!$EI$40:$EI$59,0)),"")</f>
        <v/>
      </c>
      <c r="K25" s="24">
        <f>IFERROR(INDEX(Calc!$EL$40:$EL$59,MATCH(2,Calc!$EI$40:$EI$59,0)),"")</f>
        <v/>
      </c>
      <c r="L25" s="26">
        <f>IFERROR(INDEX(Calc!$EM$40:$EM$59,MATCH(2,Calc!$EI$40:$EI$59,0)),"")</f>
        <v/>
      </c>
    </row>
    <row r="26">
      <c r="A26" s="23">
        <f>IF(Calc!$EA$72="","",Calc!$EA$72)</f>
        <v/>
      </c>
      <c r="B26" s="24">
        <f>IF(Calc!$EA$72="","",Calc!$ED$72)</f>
        <v/>
      </c>
      <c r="C26" s="24">
        <f>IF(Calc!$EA$72="","",Calc!$EC$72)</f>
        <v/>
      </c>
      <c r="D26" s="25">
        <f>IF(Calc!$EA$72="","",Calc!$EG$72)</f>
        <v/>
      </c>
      <c r="E26" s="24">
        <f>IF(Calc!$EA$72="","",Calc!$EE$72)</f>
        <v/>
      </c>
      <c r="F26" s="23">
        <f>IF(Calc!$EA$72="","",Calc!$EF$72)</f>
        <v/>
      </c>
      <c r="G26" s="23">
        <f>IF(Calc!$EA$72="","",Calc!$EH$72)</f>
        <v/>
      </c>
      <c r="I26" s="23">
        <f>IFERROR(INDEX(Calc!$EA$40:$EA$59,MATCH(3,Calc!$EI$40:$EI$59,0)),"")</f>
        <v/>
      </c>
      <c r="J26" s="26">
        <f>IFERROR(INDEX(Calc!$EJ$40:$EJ$59,MATCH(3,Calc!$EI$40:$EI$59,0)),"")</f>
        <v/>
      </c>
      <c r="K26" s="24">
        <f>IFERROR(INDEX(Calc!$EL$40:$EL$59,MATCH(3,Calc!$EI$40:$EI$59,0)),"")</f>
        <v/>
      </c>
      <c r="L26" s="26">
        <f>IFERROR(INDEX(Calc!$EM$40:$EM$59,MATCH(3,Calc!$EI$40:$EI$59,0)),"")</f>
        <v/>
      </c>
    </row>
    <row r="27">
      <c r="A27" s="23">
        <f>IF(Calc!$EA$73="","",Calc!$EA$73)</f>
        <v/>
      </c>
      <c r="B27" s="24">
        <f>IF(Calc!$EA$73="","",Calc!$ED$73)</f>
        <v/>
      </c>
      <c r="C27" s="24">
        <f>IF(Calc!$EA$73="","",Calc!$EC$73)</f>
        <v/>
      </c>
      <c r="D27" s="25">
        <f>IF(Calc!$EA$73="","",Calc!$EG$73)</f>
        <v/>
      </c>
      <c r="E27" s="24">
        <f>IF(Calc!$EA$73="","",Calc!$EE$73)</f>
        <v/>
      </c>
      <c r="F27" s="23">
        <f>IF(Calc!$EA$73="","",Calc!$EF$73)</f>
        <v/>
      </c>
      <c r="G27" s="23">
        <f>IF(Calc!$EA$73="","",Calc!$EH$73)</f>
        <v/>
      </c>
      <c r="I27" s="23">
        <f>IFERROR(INDEX(Calc!$EA$40:$EA$59,MATCH(4,Calc!$EI$40:$EI$59,0)),"")</f>
        <v/>
      </c>
      <c r="J27" s="26">
        <f>IFERROR(INDEX(Calc!$EJ$40:$EJ$59,MATCH(4,Calc!$EI$40:$EI$59,0)),"")</f>
        <v/>
      </c>
      <c r="K27" s="24">
        <f>IFERROR(INDEX(Calc!$EL$40:$EL$59,MATCH(4,Calc!$EI$40:$EI$59,0)),"")</f>
        <v/>
      </c>
      <c r="L27" s="26">
        <f>IFERROR(INDEX(Calc!$EM$40:$EM$59,MATCH(4,Calc!$EI$40:$EI$59,0)),"")</f>
        <v/>
      </c>
    </row>
    <row r="28">
      <c r="A28" s="23">
        <f>IF(Calc!$EA$74="","",Calc!$EA$74)</f>
        <v/>
      </c>
      <c r="B28" s="24">
        <f>IF(Calc!$EA$74="","",Calc!$ED$74)</f>
        <v/>
      </c>
      <c r="C28" s="24">
        <f>IF(Calc!$EA$74="","",Calc!$EC$74)</f>
        <v/>
      </c>
      <c r="D28" s="25">
        <f>IF(Calc!$EA$74="","",Calc!$EG$74)</f>
        <v/>
      </c>
      <c r="E28" s="24">
        <f>IF(Calc!$EA$74="","",Calc!$EE$74)</f>
        <v/>
      </c>
      <c r="F28" s="23">
        <f>IF(Calc!$EA$74="","",Calc!$EF$74)</f>
        <v/>
      </c>
      <c r="G28" s="23">
        <f>IF(Calc!$EA$74="","",Calc!$EH$74)</f>
        <v/>
      </c>
      <c r="I28" s="23">
        <f>IFERROR(INDEX(Calc!$EA$40:$EA$59,MATCH(5,Calc!$EI$40:$EI$59,0)),"")</f>
        <v/>
      </c>
      <c r="J28" s="26">
        <f>IFERROR(INDEX(Calc!$EJ$40:$EJ$59,MATCH(5,Calc!$EI$40:$EI$59,0)),"")</f>
        <v/>
      </c>
      <c r="K28" s="24">
        <f>IFERROR(INDEX(Calc!$EL$40:$EL$59,MATCH(5,Calc!$EI$40:$EI$59,0)),"")</f>
        <v/>
      </c>
      <c r="L28" s="26">
        <f>IFERROR(INDEX(Calc!$EM$40:$EM$59,MATCH(5,Calc!$EI$40:$EI$59,0)),"")</f>
        <v/>
      </c>
    </row>
    <row r="29">
      <c r="A29" s="23">
        <f>IF(Calc!$EA$75="","",Calc!$EA$75)</f>
        <v/>
      </c>
      <c r="B29" s="24">
        <f>IF(Calc!$EA$75="","",Calc!$ED$75)</f>
        <v/>
      </c>
      <c r="C29" s="24">
        <f>IF(Calc!$EA$75="","",Calc!$EC$75)</f>
        <v/>
      </c>
      <c r="D29" s="25">
        <f>IF(Calc!$EA$75="","",Calc!$EG$75)</f>
        <v/>
      </c>
      <c r="E29" s="24">
        <f>IF(Calc!$EA$75="","",Calc!$EE$75)</f>
        <v/>
      </c>
      <c r="F29" s="23">
        <f>IF(Calc!$EA$75="","",Calc!$EF$75)</f>
        <v/>
      </c>
      <c r="G29" s="23">
        <f>IF(Calc!$EA$75="","",Calc!$EH$75)</f>
        <v/>
      </c>
      <c r="I29" s="23">
        <f>IFERROR(INDEX(Calc!$EA$40:$EA$59,MATCH(6,Calc!$EI$40:$EI$59,0)),"")</f>
        <v/>
      </c>
      <c r="J29" s="26">
        <f>IFERROR(INDEX(Calc!$EJ$40:$EJ$59,MATCH(6,Calc!$EI$40:$EI$59,0)),"")</f>
        <v/>
      </c>
      <c r="K29" s="24">
        <f>IFERROR(INDEX(Calc!$EL$40:$EL$59,MATCH(6,Calc!$EI$40:$EI$59,0)),"")</f>
        <v/>
      </c>
      <c r="L29" s="26">
        <f>IFERROR(INDEX(Calc!$EM$40:$EM$59,MATCH(6,Calc!$EI$40:$EI$59,0)),"")</f>
        <v/>
      </c>
    </row>
    <row r="30">
      <c r="A30" s="23">
        <f>IF(Calc!$EA$76="","",Calc!$EA$76)</f>
        <v/>
      </c>
      <c r="B30" s="24">
        <f>IF(Calc!$EA$76="","",Calc!$ED$76)</f>
        <v/>
      </c>
      <c r="C30" s="24">
        <f>IF(Calc!$EA$76="","",Calc!$EC$76)</f>
        <v/>
      </c>
      <c r="D30" s="25">
        <f>IF(Calc!$EA$76="","",Calc!$EG$76)</f>
        <v/>
      </c>
      <c r="E30" s="24">
        <f>IF(Calc!$EA$76="","",Calc!$EE$76)</f>
        <v/>
      </c>
      <c r="F30" s="23">
        <f>IF(Calc!$EA$76="","",Calc!$EF$76)</f>
        <v/>
      </c>
      <c r="G30" s="23">
        <f>IF(Calc!$EA$76="","",Calc!$EH$76)</f>
        <v/>
      </c>
      <c r="I30" s="23">
        <f>IFERROR(INDEX(Calc!$EA$40:$EA$59,MATCH(7,Calc!$EI$40:$EI$59,0)),"")</f>
        <v/>
      </c>
      <c r="J30" s="26">
        <f>IFERROR(INDEX(Calc!$EJ$40:$EJ$59,MATCH(7,Calc!$EI$40:$EI$59,0)),"")</f>
        <v/>
      </c>
      <c r="K30" s="24">
        <f>IFERROR(INDEX(Calc!$EL$40:$EL$59,MATCH(7,Calc!$EI$40:$EI$59,0)),"")</f>
        <v/>
      </c>
      <c r="L30" s="26">
        <f>IFERROR(INDEX(Calc!$EM$40:$EM$59,MATCH(7,Calc!$EI$40:$EI$59,0)),"")</f>
        <v/>
      </c>
    </row>
    <row r="31">
      <c r="A31" s="23">
        <f>IF(Calc!$EA$77="","",Calc!$EA$77)</f>
        <v/>
      </c>
      <c r="B31" s="24">
        <f>IF(Calc!$EA$77="","",Calc!$ED$77)</f>
        <v/>
      </c>
      <c r="C31" s="24">
        <f>IF(Calc!$EA$77="","",Calc!$EC$77)</f>
        <v/>
      </c>
      <c r="D31" s="25">
        <f>IF(Calc!$EA$77="","",Calc!$EG$77)</f>
        <v/>
      </c>
      <c r="E31" s="24">
        <f>IF(Calc!$EA$77="","",Calc!$EE$77)</f>
        <v/>
      </c>
      <c r="F31" s="23">
        <f>IF(Calc!$EA$77="","",Calc!$EF$77)</f>
        <v/>
      </c>
      <c r="G31" s="23">
        <f>IF(Calc!$EA$77="","",Calc!$EH$77)</f>
        <v/>
      </c>
      <c r="I31" s="23">
        <f>IFERROR(INDEX(Calc!$EA$40:$EA$59,MATCH(8,Calc!$EI$40:$EI$59,0)),"")</f>
        <v/>
      </c>
      <c r="J31" s="26">
        <f>IFERROR(INDEX(Calc!$EJ$40:$EJ$59,MATCH(8,Calc!$EI$40:$EI$59,0)),"")</f>
        <v/>
      </c>
      <c r="K31" s="24">
        <f>IFERROR(INDEX(Calc!$EL$40:$EL$59,MATCH(8,Calc!$EI$40:$EI$59,0)),"")</f>
        <v/>
      </c>
      <c r="L31" s="26">
        <f>IFERROR(INDEX(Calc!$EM$40:$EM$59,MATCH(8,Calc!$EI$40:$EI$59,0)),"")</f>
        <v/>
      </c>
    </row>
    <row r="32">
      <c r="A32" s="23">
        <f>IF(Calc!$EA$78="","",Calc!$EA$78)</f>
        <v/>
      </c>
      <c r="B32" s="24">
        <f>IF(Calc!$EA$78="","",Calc!$ED$78)</f>
        <v/>
      </c>
      <c r="C32" s="24">
        <f>IF(Calc!$EA$78="","",Calc!$EC$78)</f>
        <v/>
      </c>
      <c r="D32" s="25">
        <f>IF(Calc!$EA$78="","",Calc!$EG$78)</f>
        <v/>
      </c>
      <c r="E32" s="24">
        <f>IF(Calc!$EA$78="","",Calc!$EE$78)</f>
        <v/>
      </c>
      <c r="F32" s="23">
        <f>IF(Calc!$EA$78="","",Calc!$EF$78)</f>
        <v/>
      </c>
      <c r="G32" s="23">
        <f>IF(Calc!$EA$78="","",Calc!$EH$78)</f>
        <v/>
      </c>
      <c r="I32" s="23">
        <f>IFERROR(INDEX(Calc!$EA$40:$EA$59,MATCH(9,Calc!$EI$40:$EI$59,0)),"")</f>
        <v/>
      </c>
      <c r="J32" s="26">
        <f>IFERROR(INDEX(Calc!$EJ$40:$EJ$59,MATCH(9,Calc!$EI$40:$EI$59,0)),"")</f>
        <v/>
      </c>
      <c r="K32" s="24">
        <f>IFERROR(INDEX(Calc!$EL$40:$EL$59,MATCH(9,Calc!$EI$40:$EI$59,0)),"")</f>
        <v/>
      </c>
      <c r="L32" s="26">
        <f>IFERROR(INDEX(Calc!$EM$40:$EM$59,MATCH(9,Calc!$EI$40:$EI$59,0)),"")</f>
        <v/>
      </c>
    </row>
    <row r="33">
      <c r="A33" s="23">
        <f>IF(Calc!$EA$79="","",Calc!$EA$79)</f>
        <v/>
      </c>
      <c r="B33" s="24">
        <f>IF(Calc!$EA$79="","",Calc!$ED$79)</f>
        <v/>
      </c>
      <c r="C33" s="24">
        <f>IF(Calc!$EA$79="","",Calc!$EC$79)</f>
        <v/>
      </c>
      <c r="D33" s="25">
        <f>IF(Calc!$EA$79="","",Calc!$EG$79)</f>
        <v/>
      </c>
      <c r="E33" s="24">
        <f>IF(Calc!$EA$79="","",Calc!$EE$79)</f>
        <v/>
      </c>
      <c r="F33" s="23">
        <f>IF(Calc!$EA$79="","",Calc!$EF$79)</f>
        <v/>
      </c>
      <c r="G33" s="23">
        <f>IF(Calc!$EA$79="","",Calc!$EH$79)</f>
        <v/>
      </c>
      <c r="I33" s="23">
        <f>IFERROR(INDEX(Calc!$EA$40:$EA$59,MATCH(10,Calc!$EI$40:$EI$59,0)),"")</f>
        <v/>
      </c>
      <c r="J33" s="26">
        <f>IFERROR(INDEX(Calc!$EJ$40:$EJ$59,MATCH(10,Calc!$EI$40:$EI$59,0)),"")</f>
        <v/>
      </c>
      <c r="K33" s="24">
        <f>IFERROR(INDEX(Calc!$EL$40:$EL$59,MATCH(10,Calc!$EI$40:$EI$59,0)),"")</f>
        <v/>
      </c>
      <c r="L33" s="26">
        <f>IFERROR(INDEX(Calc!$EM$40:$EM$59,MATCH(10,Calc!$EI$40:$EI$59,0)),"")</f>
        <v/>
      </c>
    </row>
    <row r="34">
      <c r="A34" s="23">
        <f>IF(Calc!$EA$80="","",Calc!$EA$80)</f>
        <v/>
      </c>
      <c r="B34" s="24">
        <f>IF(Calc!$EA$80="","",Calc!$ED$80)</f>
        <v/>
      </c>
      <c r="C34" s="24">
        <f>IF(Calc!$EA$80="","",Calc!$EC$80)</f>
        <v/>
      </c>
      <c r="D34" s="25">
        <f>IF(Calc!$EA$80="","",Calc!$EG$80)</f>
        <v/>
      </c>
      <c r="E34" s="24">
        <f>IF(Calc!$EA$80="","",Calc!$EE$80)</f>
        <v/>
      </c>
      <c r="F34" s="23">
        <f>IF(Calc!$EA$80="","",Calc!$EF$80)</f>
        <v/>
      </c>
      <c r="G34" s="23">
        <f>IF(Calc!$EA$80="","",Calc!$EH$80)</f>
        <v/>
      </c>
      <c r="I34" s="23">
        <f>IFERROR(INDEX(Calc!$EA$40:$EA$59,MATCH(11,Calc!$EI$40:$EI$59,0)),"")</f>
        <v/>
      </c>
      <c r="J34" s="26">
        <f>IFERROR(INDEX(Calc!$EJ$40:$EJ$59,MATCH(11,Calc!$EI$40:$EI$59,0)),"")</f>
        <v/>
      </c>
      <c r="K34" s="24">
        <f>IFERROR(INDEX(Calc!$EL$40:$EL$59,MATCH(11,Calc!$EI$40:$EI$59,0)),"")</f>
        <v/>
      </c>
      <c r="L34" s="26">
        <f>IFERROR(INDEX(Calc!$EM$40:$EM$59,MATCH(11,Calc!$EI$40:$EI$59,0)),"")</f>
        <v/>
      </c>
    </row>
    <row r="35">
      <c r="A35" s="23">
        <f>IF(Calc!$EA$81="","",Calc!$EA$81)</f>
        <v/>
      </c>
      <c r="B35" s="24">
        <f>IF(Calc!$EA$81="","",Calc!$ED$81)</f>
        <v/>
      </c>
      <c r="C35" s="24">
        <f>IF(Calc!$EA$81="","",Calc!$EC$81)</f>
        <v/>
      </c>
      <c r="D35" s="25">
        <f>IF(Calc!$EA$81="","",Calc!$EG$81)</f>
        <v/>
      </c>
      <c r="E35" s="24">
        <f>IF(Calc!$EA$81="","",Calc!$EE$81)</f>
        <v/>
      </c>
      <c r="F35" s="23">
        <f>IF(Calc!$EA$81="","",Calc!$EF$81)</f>
        <v/>
      </c>
      <c r="G35" s="23">
        <f>IF(Calc!$EA$81="","",Calc!$EH$81)</f>
        <v/>
      </c>
      <c r="I35" s="23">
        <f>IFERROR(INDEX(Calc!$EA$40:$EA$59,MATCH(12,Calc!$EI$40:$EI$59,0)),"")</f>
        <v/>
      </c>
      <c r="J35" s="26">
        <f>IFERROR(INDEX(Calc!$EJ$40:$EJ$59,MATCH(12,Calc!$EI$40:$EI$59,0)),"")</f>
        <v/>
      </c>
      <c r="K35" s="24">
        <f>IFERROR(INDEX(Calc!$EL$40:$EL$59,MATCH(12,Calc!$EI$40:$EI$59,0)),"")</f>
        <v/>
      </c>
      <c r="L35" s="26">
        <f>IFERROR(INDEX(Calc!$EM$40:$EM$59,MATCH(12,Calc!$EI$40:$EI$59,0)),"")</f>
        <v/>
      </c>
    </row>
    <row r="36">
      <c r="A36" s="23">
        <f>IF(Calc!$EA$82="","",Calc!$EA$82)</f>
        <v/>
      </c>
      <c r="B36" s="24">
        <f>IF(Calc!$EA$82="","",Calc!$ED$82)</f>
        <v/>
      </c>
      <c r="C36" s="24">
        <f>IF(Calc!$EA$82="","",Calc!$EC$82)</f>
        <v/>
      </c>
      <c r="D36" s="25">
        <f>IF(Calc!$EA$82="","",Calc!$EG$82)</f>
        <v/>
      </c>
      <c r="E36" s="24">
        <f>IF(Calc!$EA$82="","",Calc!$EE$82)</f>
        <v/>
      </c>
      <c r="F36" s="23">
        <f>IF(Calc!$EA$82="","",Calc!$EF$82)</f>
        <v/>
      </c>
      <c r="G36" s="23">
        <f>IF(Calc!$EA$82="","",Calc!$EH$82)</f>
        <v/>
      </c>
      <c r="I36" s="23">
        <f>IFERROR(INDEX(Calc!$EA$40:$EA$59,MATCH(13,Calc!$EI$40:$EI$59,0)),"")</f>
        <v/>
      </c>
      <c r="J36" s="26">
        <f>IFERROR(INDEX(Calc!$EJ$40:$EJ$59,MATCH(13,Calc!$EI$40:$EI$59,0)),"")</f>
        <v/>
      </c>
      <c r="K36" s="24">
        <f>IFERROR(INDEX(Calc!$EL$40:$EL$59,MATCH(13,Calc!$EI$40:$EI$59,0)),"")</f>
        <v/>
      </c>
      <c r="L36" s="26">
        <f>IFERROR(INDEX(Calc!$EM$40:$EM$59,MATCH(13,Calc!$EI$40:$EI$59,0)),"")</f>
        <v/>
      </c>
    </row>
    <row r="37">
      <c r="A37" s="23">
        <f>IF(Calc!$EA$83="","",Calc!$EA$83)</f>
        <v/>
      </c>
      <c r="B37" s="24">
        <f>IF(Calc!$EA$83="","",Calc!$ED$83)</f>
        <v/>
      </c>
      <c r="C37" s="24">
        <f>IF(Calc!$EA$83="","",Calc!$EC$83)</f>
        <v/>
      </c>
      <c r="D37" s="25">
        <f>IF(Calc!$EA$83="","",Calc!$EG$83)</f>
        <v/>
      </c>
      <c r="E37" s="24">
        <f>IF(Calc!$EA$83="","",Calc!$EE$83)</f>
        <v/>
      </c>
      <c r="F37" s="23">
        <f>IF(Calc!$EA$83="","",Calc!$EF$83)</f>
        <v/>
      </c>
      <c r="G37" s="23">
        <f>IF(Calc!$EA$83="","",Calc!$EH$83)</f>
        <v/>
      </c>
      <c r="I37" s="23">
        <f>IFERROR(INDEX(Calc!$EA$40:$EA$59,MATCH(14,Calc!$EI$40:$EI$59,0)),"")</f>
        <v/>
      </c>
      <c r="J37" s="26">
        <f>IFERROR(INDEX(Calc!$EJ$40:$EJ$59,MATCH(14,Calc!$EI$40:$EI$59,0)),"")</f>
        <v/>
      </c>
      <c r="K37" s="24">
        <f>IFERROR(INDEX(Calc!$EL$40:$EL$59,MATCH(14,Calc!$EI$40:$EI$59,0)),"")</f>
        <v/>
      </c>
      <c r="L37" s="26">
        <f>IFERROR(INDEX(Calc!$EM$40:$EM$59,MATCH(14,Calc!$EI$40:$EI$59,0)),"")</f>
        <v/>
      </c>
    </row>
    <row r="38">
      <c r="A38" s="23">
        <f>IF(Calc!$EA$84="","",Calc!$EA$84)</f>
        <v/>
      </c>
      <c r="B38" s="24">
        <f>IF(Calc!$EA$84="","",Calc!$ED$84)</f>
        <v/>
      </c>
      <c r="C38" s="24">
        <f>IF(Calc!$EA$84="","",Calc!$EC$84)</f>
        <v/>
      </c>
      <c r="D38" s="25">
        <f>IF(Calc!$EA$84="","",Calc!$EG$84)</f>
        <v/>
      </c>
      <c r="E38" s="24">
        <f>IF(Calc!$EA$84="","",Calc!$EE$84)</f>
        <v/>
      </c>
      <c r="F38" s="23">
        <f>IF(Calc!$EA$84="","",Calc!$EF$84)</f>
        <v/>
      </c>
      <c r="G38" s="23">
        <f>IF(Calc!$EA$84="","",Calc!$EH$84)</f>
        <v/>
      </c>
      <c r="I38" s="23">
        <f>IFERROR(INDEX(Calc!$EA$40:$EA$59,MATCH(15,Calc!$EI$40:$EI$59,0)),"")</f>
        <v/>
      </c>
      <c r="J38" s="26">
        <f>IFERROR(INDEX(Calc!$EJ$40:$EJ$59,MATCH(15,Calc!$EI$40:$EI$59,0)),"")</f>
        <v/>
      </c>
      <c r="K38" s="24">
        <f>IFERROR(INDEX(Calc!$EL$40:$EL$59,MATCH(15,Calc!$EI$40:$EI$59,0)),"")</f>
        <v/>
      </c>
      <c r="L38" s="26">
        <f>IFERROR(INDEX(Calc!$EM$40:$EM$59,MATCH(15,Calc!$EI$40:$EI$59,0)),"")</f>
        <v/>
      </c>
    </row>
    <row r="39">
      <c r="A39" s="23">
        <f>IF(Calc!$EA$85="","",Calc!$EA$85)</f>
        <v/>
      </c>
      <c r="B39" s="24">
        <f>IF(Calc!$EA$85="","",Calc!$ED$85)</f>
        <v/>
      </c>
      <c r="C39" s="24">
        <f>IF(Calc!$EA$85="","",Calc!$EC$85)</f>
        <v/>
      </c>
      <c r="D39" s="25">
        <f>IF(Calc!$EA$85="","",Calc!$EG$85)</f>
        <v/>
      </c>
      <c r="E39" s="24">
        <f>IF(Calc!$EA$85="","",Calc!$EE$85)</f>
        <v/>
      </c>
      <c r="F39" s="23">
        <f>IF(Calc!$EA$85="","",Calc!$EF$85)</f>
        <v/>
      </c>
      <c r="G39" s="23">
        <f>IF(Calc!$EA$85="","",Calc!$EH$85)</f>
        <v/>
      </c>
      <c r="I39" s="23">
        <f>IFERROR(INDEX(Calc!$EA$40:$EA$59,MATCH(16,Calc!$EI$40:$EI$59,0)),"")</f>
        <v/>
      </c>
      <c r="J39" s="26">
        <f>IFERROR(INDEX(Calc!$EJ$40:$EJ$59,MATCH(16,Calc!$EI$40:$EI$59,0)),"")</f>
        <v/>
      </c>
      <c r="K39" s="24">
        <f>IFERROR(INDEX(Calc!$EL$40:$EL$59,MATCH(16,Calc!$EI$40:$EI$59,0)),"")</f>
        <v/>
      </c>
      <c r="L39" s="26">
        <f>IFERROR(INDEX(Calc!$EM$40:$EM$59,MATCH(16,Calc!$EI$40:$EI$59,0)),"")</f>
        <v/>
      </c>
    </row>
    <row r="40">
      <c r="A40" s="23">
        <f>IF(Calc!$EA$86="","",Calc!$EA$86)</f>
        <v/>
      </c>
      <c r="B40" s="24">
        <f>IF(Calc!$EA$86="","",Calc!$ED$86)</f>
        <v/>
      </c>
      <c r="C40" s="24">
        <f>IF(Calc!$EA$86="","",Calc!$EC$86)</f>
        <v/>
      </c>
      <c r="D40" s="25">
        <f>IF(Calc!$EA$86="","",Calc!$EG$86)</f>
        <v/>
      </c>
      <c r="E40" s="24">
        <f>IF(Calc!$EA$86="","",Calc!$EE$86)</f>
        <v/>
      </c>
      <c r="F40" s="23">
        <f>IF(Calc!$EA$86="","",Calc!$EF$86)</f>
        <v/>
      </c>
      <c r="G40" s="23">
        <f>IF(Calc!$EA$86="","",Calc!$EH$86)</f>
        <v/>
      </c>
      <c r="I40" s="23">
        <f>IFERROR(INDEX(Calc!$EA$40:$EA$59,MATCH(17,Calc!$EI$40:$EI$59,0)),"")</f>
        <v/>
      </c>
      <c r="J40" s="26">
        <f>IFERROR(INDEX(Calc!$EJ$40:$EJ$59,MATCH(17,Calc!$EI$40:$EI$59,0)),"")</f>
        <v/>
      </c>
      <c r="K40" s="24">
        <f>IFERROR(INDEX(Calc!$EL$40:$EL$59,MATCH(17,Calc!$EI$40:$EI$59,0)),"")</f>
        <v/>
      </c>
      <c r="L40" s="26">
        <f>IFERROR(INDEX(Calc!$EM$40:$EM$59,MATCH(17,Calc!$EI$40:$EI$59,0)),"")</f>
        <v/>
      </c>
    </row>
    <row r="41">
      <c r="A41" s="23">
        <f>IF(Calc!$EA$87="","",Calc!$EA$87)</f>
        <v/>
      </c>
      <c r="B41" s="24">
        <f>IF(Calc!$EA$87="","",Calc!$ED$87)</f>
        <v/>
      </c>
      <c r="C41" s="24">
        <f>IF(Calc!$EA$87="","",Calc!$EC$87)</f>
        <v/>
      </c>
      <c r="D41" s="25">
        <f>IF(Calc!$EA$87="","",Calc!$EG$87)</f>
        <v/>
      </c>
      <c r="E41" s="24">
        <f>IF(Calc!$EA$87="","",Calc!$EE$87)</f>
        <v/>
      </c>
      <c r="F41" s="23">
        <f>IF(Calc!$EA$87="","",Calc!$EF$87)</f>
        <v/>
      </c>
      <c r="G41" s="23">
        <f>IF(Calc!$EA$87="","",Calc!$EH$87)</f>
        <v/>
      </c>
      <c r="I41" s="23">
        <f>IFERROR(INDEX(Calc!$EA$40:$EA$59,MATCH(18,Calc!$EI$40:$EI$59,0)),"")</f>
        <v/>
      </c>
      <c r="J41" s="26">
        <f>IFERROR(INDEX(Calc!$EJ$40:$EJ$59,MATCH(18,Calc!$EI$40:$EI$59,0)),"")</f>
        <v/>
      </c>
      <c r="K41" s="24">
        <f>IFERROR(INDEX(Calc!$EL$40:$EL$59,MATCH(18,Calc!$EI$40:$EI$59,0)),"")</f>
        <v/>
      </c>
      <c r="L41" s="26">
        <f>IFERROR(INDEX(Calc!$EM$40:$EM$59,MATCH(18,Calc!$EI$40:$EI$59,0)),"")</f>
        <v/>
      </c>
    </row>
    <row r="42">
      <c r="A42" s="23">
        <f>IF(Calc!$EA$88="","",Calc!$EA$88)</f>
        <v/>
      </c>
      <c r="B42" s="24">
        <f>IF(Calc!$EA$88="","",Calc!$ED$88)</f>
        <v/>
      </c>
      <c r="C42" s="24">
        <f>IF(Calc!$EA$88="","",Calc!$EC$88)</f>
        <v/>
      </c>
      <c r="D42" s="25">
        <f>IF(Calc!$EA$88="","",Calc!$EG$88)</f>
        <v/>
      </c>
      <c r="E42" s="24">
        <f>IF(Calc!$EA$88="","",Calc!$EE$88)</f>
        <v/>
      </c>
      <c r="F42" s="23">
        <f>IF(Calc!$EA$88="","",Calc!$EF$88)</f>
        <v/>
      </c>
      <c r="G42" s="23">
        <f>IF(Calc!$EA$88="","",Calc!$EH$88)</f>
        <v/>
      </c>
      <c r="I42" s="23">
        <f>IFERROR(INDEX(Calc!$EA$40:$EA$59,MATCH(19,Calc!$EI$40:$EI$59,0)),"")</f>
        <v/>
      </c>
      <c r="J42" s="26">
        <f>IFERROR(INDEX(Calc!$EJ$40:$EJ$59,MATCH(19,Calc!$EI$40:$EI$59,0)),"")</f>
        <v/>
      </c>
      <c r="K42" s="24">
        <f>IFERROR(INDEX(Calc!$EL$40:$EL$59,MATCH(19,Calc!$EI$40:$EI$59,0)),"")</f>
        <v/>
      </c>
      <c r="L42" s="26">
        <f>IFERROR(INDEX(Calc!$EM$40:$EM$59,MATCH(19,Calc!$EI$40:$EI$59,0)),"")</f>
        <v/>
      </c>
    </row>
    <row r="43">
      <c r="A43" s="23">
        <f>IF(Calc!$EA$89="","",Calc!$EA$89)</f>
        <v/>
      </c>
      <c r="B43" s="24">
        <f>IF(Calc!$EA$89="","",Calc!$ED$89)</f>
        <v/>
      </c>
      <c r="C43" s="24">
        <f>IF(Calc!$EA$89="","",Calc!$EC$89)</f>
        <v/>
      </c>
      <c r="D43" s="25">
        <f>IF(Calc!$EA$89="","",Calc!$EG$89)</f>
        <v/>
      </c>
      <c r="E43" s="24">
        <f>IF(Calc!$EA$89="","",Calc!$EE$89)</f>
        <v/>
      </c>
      <c r="F43" s="23">
        <f>IF(Calc!$EA$89="","",Calc!$EF$89)</f>
        <v/>
      </c>
      <c r="G43" s="23">
        <f>IF(Calc!$EA$89="","",Calc!$EH$89)</f>
        <v/>
      </c>
      <c r="I43" s="23">
        <f>IFERROR(INDEX(Calc!$EA$40:$EA$59,MATCH(20,Calc!$EI$40:$EI$59,0)),"")</f>
        <v/>
      </c>
      <c r="J43" s="26">
        <f>IFERROR(INDEX(Calc!$EJ$40:$EJ$59,MATCH(20,Calc!$EI$40:$EI$59,0)),"")</f>
        <v/>
      </c>
      <c r="K43" s="24">
        <f>IFERROR(INDEX(Calc!$EL$40:$EL$59,MATCH(20,Calc!$EI$40:$EI$59,0)),"")</f>
        <v/>
      </c>
      <c r="L43" s="26">
        <f>IFERROR(INDEX(Calc!$EM$40:$EM$59,MATCH(20,Calc!$EI$40:$EI$59,0)),"")</f>
        <v/>
      </c>
    </row>
    <row r="44">
      <c r="I44" s="26">
        <f>"Values as of "&amp;TEXT(Calc!$EB$34,"m/d/yy")</f>
        <v/>
      </c>
    </row>
    <row r="45"/>
    <row r="46" ht="26" customHeight="1">
      <c r="A46" s="11" t="inlineStr">
        <is>
          <t>Tax this year</t>
        </is>
      </c>
      <c r="B46" s="12" t="n"/>
      <c r="C46" s="12" t="n"/>
      <c r="D46" s="12" t="n"/>
    </row>
    <row r="47">
      <c r="A47" s="16" t="inlineStr">
        <is>
          <t>Taxable income received</t>
        </is>
      </c>
      <c r="B47" s="17">
        <f>Calc!$EB$62</f>
        <v/>
      </c>
      <c r="C47" s="26" t="inlineStr">
        <is>
          <t>Amounts received: for pay with tax withheld this is take-home pay, not the gross on a W-2</t>
        </is>
      </c>
    </row>
    <row r="48">
      <c r="A48" s="16" t="inlineStr">
        <is>
          <t xml:space="preserve">   …of which no tax withheld</t>
        </is>
      </c>
      <c r="B48" s="17">
        <f>Calc!$EB$63</f>
        <v/>
      </c>
      <c r="C48" s="26" t="inlineStr">
        <is>
          <t>Sources marked Taxable = Yes and Tax withheld = No (Settings)</t>
        </is>
      </c>
    </row>
    <row r="49">
      <c r="A49" s="16" t="inlineStr">
        <is>
          <t>Tax-deductible giving</t>
        </is>
      </c>
      <c r="B49" s="17">
        <f>Calc!$EB$64</f>
        <v/>
      </c>
      <c r="C49" s="26" t="inlineStr">
        <is>
          <t>Giving rows and recurring donations marked Tax-deductible = Yes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7">
    <mergeCell ref="C49:G49"/>
    <mergeCell ref="F13:L13"/>
    <mergeCell ref="D5:F6"/>
    <mergeCell ref="J5:L6"/>
    <mergeCell ref="J4:L4"/>
    <mergeCell ref="D7:F7"/>
    <mergeCell ref="J7:L7"/>
    <mergeCell ref="A2:L2"/>
    <mergeCell ref="F14:L14"/>
    <mergeCell ref="C47:G47"/>
    <mergeCell ref="D4:F4"/>
    <mergeCell ref="F11:L11"/>
    <mergeCell ref="G4:I4"/>
    <mergeCell ref="F10:L10"/>
    <mergeCell ref="A4:C4"/>
    <mergeCell ref="F16:L16"/>
    <mergeCell ref="F12:L12"/>
    <mergeCell ref="F15:L15"/>
    <mergeCell ref="C48:G48"/>
    <mergeCell ref="F18:L18"/>
    <mergeCell ref="A5:C6"/>
    <mergeCell ref="G5:I6"/>
    <mergeCell ref="A1:L1"/>
    <mergeCell ref="G7:I7"/>
    <mergeCell ref="F17:L17"/>
    <mergeCell ref="A7:C7"/>
    <mergeCell ref="C20:E20"/>
  </mergeCells>
  <conditionalFormatting sqref="A7">
    <cfRule type="expression" priority="1" dxfId="0">
      <formula>LEFT(A7,1)="▲"</formula>
    </cfRule>
    <cfRule type="expression" priority="2" dxfId="1">
      <formula>LEFT(A7,1)="▼"</formula>
    </cfRule>
  </conditionalFormatting>
  <conditionalFormatting sqref="J7">
    <cfRule type="expression" priority="3" dxfId="2">
      <formula>LEFT(J7,1)="▼"</formula>
    </cfRule>
    <cfRule type="expression" priority="4" dxfId="3">
      <formula>LEFT(J7,1)="▲"</formula>
    </cfRule>
  </conditionalFormatting>
  <conditionalFormatting sqref="B18:D18">
    <cfRule type="expression" priority="5" dxfId="4">
      <formula>AND(ISNUMBER(B18),B18&lt;0)</formula>
    </cfRule>
    <cfRule type="expression" priority="6" dxfId="5">
      <formula>AND(ISNUMBER(B18),B18&gt;0)</formula>
    </cfRule>
  </conditionalFormatting>
  <conditionalFormatting sqref="B20">
    <cfRule type="expression" priority="7" dxfId="6">
      <formula>B20&gt;0</formula>
    </cfRule>
    <cfRule type="expression" priority="8" dxfId="7">
      <formula>B20&lt;=0</formula>
    </cfRule>
  </conditionalFormatting>
  <conditionalFormatting sqref="F10:F17">
    <cfRule type="expression" priority="9" dxfId="4">
      <formula>LEFT(F10,1)="⚠"</formula>
    </cfRule>
    <cfRule type="expression" priority="10" dxfId="2">
      <formula>LEFT(F10,1)="✓"</formula>
    </cfRule>
    <cfRule type="expression" priority="11" dxfId="8">
      <formula>LEFT(F10,1)="ℹ"</formula>
    </cfRule>
  </conditionalFormatting>
  <conditionalFormatting sqref="F18">
    <cfRule type="expression" priority="12" dxfId="4">
      <formula>LEFT(F18,1)="⚠"</formula>
    </cfRule>
    <cfRule type="expression" priority="13" dxfId="2">
      <formula>LEFT(F18,1)="✓"</formula>
    </cfRule>
    <cfRule type="expression" priority="14" dxfId="8">
      <formula>LEFT(F18,1)="ℹ"</formula>
    </cfRule>
  </conditionalFormatting>
  <conditionalFormatting sqref="D24:D43">
    <cfRule type="dataBar" priority="15">
      <dataBar>
        <cfvo type="num" val="0"/>
        <cfvo type="num" val="1"/>
        <color rgb="FF3B82F6"/>
      </dataBar>
    </cfRule>
  </conditionalFormatting>
  <conditionalFormatting sqref="F24:F43">
    <cfRule type="expression" priority="16" dxfId="9">
      <formula>F24="Met"</formula>
    </cfRule>
    <cfRule type="expression" priority="17" dxfId="10">
      <formula>OR(F24="Remaining",F24="Above target")</formula>
    </cfRule>
  </conditionalFormatting>
  <conditionalFormatting sqref="A24:G43">
    <cfRule type="expression" priority="18" dxfId="11">
      <formula>$A24&lt;&gt;""</formula>
    </cfRule>
  </conditionalFormatting>
  <conditionalFormatting sqref="K24:K43">
    <cfRule type="expression" priority="19" dxfId="3">
      <formula>AND(ISNUMBER(K24),K24&lt;0)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X60"/>
  <sheetViews>
    <sheetView showGridLines="0" showRowColHeader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9" customHeight="1"/>
  <cols>
    <col width="38" customWidth="1" min="1" max="1"/>
    <col width="30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  <col width="12.5" customWidth="1" min="63" max="63"/>
    <col width="12.5" customWidth="1" min="64" max="64"/>
    <col width="12.5" customWidth="1" min="65" max="65"/>
    <col width="12.5" customWidth="1" min="66" max="66"/>
    <col width="12.5" customWidth="1" min="67" max="67"/>
    <col width="12.5" customWidth="1" min="68" max="68"/>
    <col width="12.5" customWidth="1" min="69" max="69"/>
    <col width="12.5" customWidth="1" min="70" max="70"/>
    <col width="12.5" customWidth="1" min="71" max="71"/>
    <col width="12.5" customWidth="1" min="72" max="72"/>
    <col width="12.5" customWidth="1" min="73" max="73"/>
    <col width="12.5" customWidth="1" min="74" max="74"/>
    <col width="12.5" customWidth="1" min="75" max="75"/>
    <col width="12.5" customWidth="1" min="76" max="76"/>
    <col width="12.5" customWidth="1" min="77" max="77"/>
    <col width="12.5" customWidth="1" min="78" max="78"/>
    <col width="12.5" customWidth="1" min="79" max="79"/>
    <col width="12.5" customWidth="1" min="80" max="80"/>
    <col width="12.5" customWidth="1" min="81" max="81"/>
    <col width="12.5" customWidth="1" min="82" max="82"/>
    <col width="12.5" customWidth="1" min="83" max="83"/>
    <col width="12.5" customWidth="1" min="84" max="84"/>
    <col width="12.5" customWidth="1" min="85" max="85"/>
    <col width="12.5" customWidth="1" min="86" max="86"/>
    <col width="12.5" customWidth="1" min="87" max="87"/>
    <col width="12.5" customWidth="1" min="88" max="88"/>
    <col width="12.5" customWidth="1" min="89" max="89"/>
    <col width="12.5" customWidth="1" min="90" max="90"/>
    <col width="12.5" customWidth="1" min="91" max="91"/>
    <col width="12.5" customWidth="1" min="92" max="92"/>
    <col width="12.5" customWidth="1" min="93" max="93"/>
    <col width="12.5" customWidth="1" min="94" max="94"/>
    <col width="12.5" customWidth="1" min="95" max="95"/>
    <col width="12.5" customWidth="1" min="96" max="96"/>
    <col width="12.5" customWidth="1" min="97" max="97"/>
    <col width="12.5" customWidth="1" min="98" max="98"/>
    <col width="12.5" customWidth="1" min="99" max="99"/>
    <col width="12.5" customWidth="1" min="100" max="100"/>
    <col width="12.5" customWidth="1" min="101" max="101"/>
    <col width="12.5" customWidth="1" min="102" max="102"/>
    <col width="12.5" customWidth="1" min="103" max="103"/>
    <col width="12.5" customWidth="1" min="104" max="104"/>
    <col width="12.5" customWidth="1" min="105" max="105"/>
    <col width="12.5" customWidth="1" min="106" max="106"/>
    <col width="12.5" customWidth="1" min="107" max="107"/>
    <col width="12.5" customWidth="1" min="108" max="108"/>
    <col width="12.5" customWidth="1" min="109" max="109"/>
    <col width="12.5" customWidth="1" min="110" max="110"/>
    <col width="12.5" customWidth="1" min="111" max="111"/>
    <col width="12.5" customWidth="1" min="112" max="112"/>
    <col width="12.5" customWidth="1" min="113" max="113"/>
    <col width="12.5" customWidth="1" min="114" max="114"/>
    <col width="12.5" customWidth="1" min="115" max="115"/>
    <col width="12.5" customWidth="1" min="116" max="116"/>
    <col width="12.5" customWidth="1" min="117" max="117"/>
    <col width="12.5" customWidth="1" min="118" max="118"/>
    <col width="12.5" customWidth="1" min="119" max="119"/>
    <col width="12.5" customWidth="1" min="120" max="120"/>
    <col width="12.5" customWidth="1" min="121" max="121"/>
    <col width="12.5" customWidth="1" min="122" max="122"/>
    <col width="12.5" customWidth="1" min="123" max="123"/>
    <col width="12.5" customWidth="1" min="124" max="124"/>
    <col width="12.5" customWidth="1" min="125" max="125"/>
    <col width="12.5" customWidth="1" min="126" max="126"/>
    <col width="12.5" customWidth="1" min="127" max="127"/>
    <col width="12.5" customWidth="1" min="128" max="128"/>
    <col width="12.5" customWidth="1" min="129" max="129"/>
    <col width="12.5" customWidth="1" min="130" max="130"/>
    <col width="12.5" customWidth="1" min="131" max="131"/>
    <col width="12.5" customWidth="1" min="132" max="132"/>
    <col width="12.5" customWidth="1" min="133" max="133"/>
    <col width="12.5" customWidth="1" min="134" max="134"/>
    <col width="12.5" customWidth="1" min="135" max="135"/>
    <col width="12.5" customWidth="1" min="136" max="136"/>
    <col width="12.5" customWidth="1" min="137" max="137"/>
    <col width="12.5" customWidth="1" min="138" max="138"/>
    <col width="12.5" customWidth="1" min="139" max="139"/>
    <col width="12.5" customWidth="1" min="140" max="140"/>
    <col width="12.5" customWidth="1" min="141" max="141"/>
    <col width="12.5" customWidth="1" min="142" max="142"/>
    <col width="12.5" customWidth="1" min="143" max="143"/>
    <col width="12.5" customWidth="1" min="144" max="144"/>
    <col width="12.5" customWidth="1" min="145" max="145"/>
    <col width="12.5" customWidth="1" min="146" max="146"/>
    <col width="12.5" customWidth="1" min="147" max="147"/>
    <col width="12.5" customWidth="1" min="148" max="148"/>
    <col width="12.5" customWidth="1" min="149" max="149"/>
    <col width="12.5" customWidth="1" min="150" max="150"/>
    <col width="12.5" customWidth="1" min="151" max="151"/>
    <col width="12.5" customWidth="1" min="152" max="152"/>
    <col width="12.5" customWidth="1" min="153" max="153"/>
    <col width="12.5" customWidth="1" min="154" max="154"/>
    <col width="12.5" customWidth="1" min="155" max="155"/>
    <col width="12.5" customWidth="1" min="156" max="156"/>
    <col width="12.5" customWidth="1" min="157" max="157"/>
    <col width="12.5" customWidth="1" min="158" max="158"/>
    <col width="12.5" customWidth="1" min="159" max="159"/>
    <col width="12.5" customWidth="1" min="160" max="160"/>
    <col width="12.5" customWidth="1" min="161" max="161"/>
    <col width="12.5" customWidth="1" min="162" max="162"/>
    <col width="12.5" customWidth="1" min="163" max="163"/>
    <col width="12.5" customWidth="1" min="164" max="164"/>
    <col width="12.5" customWidth="1" min="165" max="165"/>
    <col width="12.5" customWidth="1" min="166" max="166"/>
    <col width="12.5" customWidth="1" min="167" max="167"/>
    <col width="12.5" customWidth="1" min="168" max="168"/>
    <col width="12.5" customWidth="1" min="169" max="169"/>
    <col width="12.5" customWidth="1" min="170" max="170"/>
    <col width="12.5" customWidth="1" min="171" max="171"/>
    <col width="12.5" customWidth="1" min="172" max="172"/>
    <col width="12.5" customWidth="1" min="173" max="173"/>
    <col width="12.5" customWidth="1" min="174" max="174"/>
    <col width="12.5" customWidth="1" min="175" max="175"/>
    <col width="12.5" customWidth="1" min="176" max="176"/>
    <col width="12.5" customWidth="1" min="177" max="177"/>
    <col width="12.5" customWidth="1" min="178" max="178"/>
    <col width="12.5" customWidth="1" min="179" max="179"/>
    <col width="12.5" customWidth="1" min="180" max="180"/>
  </cols>
  <sheetData>
    <row r="1" ht="38" customHeight="1">
      <c r="A1" s="1" t="inlineStr">
        <is>
          <t>Month-End</t>
        </is>
      </c>
    </row>
    <row r="2" ht="34" customHeight="1">
      <c r="A2" s="2" t="inlineStr">
        <is>
          <t>One column a month, top to bottom. Early each month, fill LAST month’s column from the statements, in this order: 1 the blue “REQUIRED” balances, 2 income, 3 costs. Grey numbers are filled in for you (regular pay, unchanged balances) — type over one to change that month only. Section 5 shows the results. This month’s column is highlighted blue.</t>
        </is>
      </c>
    </row>
    <row r="3"/>
    <row r="4">
      <c r="A4" s="27" t="inlineStr">
        <is>
          <t>Month</t>
        </is>
      </c>
      <c r="B4" s="27" t="inlineStr">
        <is>
          <t>How to fill</t>
        </is>
      </c>
      <c r="C4" s="28" t="n">
        <v>46082</v>
      </c>
      <c r="D4" s="28" t="n">
        <v>46113</v>
      </c>
      <c r="E4" s="28" t="n">
        <v>46143</v>
      </c>
      <c r="F4" s="28" t="n">
        <v>46174</v>
      </c>
      <c r="G4" s="28" t="n">
        <v>46204</v>
      </c>
      <c r="H4" s="28" t="n">
        <v>46235</v>
      </c>
      <c r="I4" s="28" t="n">
        <v>46266</v>
      </c>
      <c r="J4" s="28" t="n">
        <v>46296</v>
      </c>
      <c r="K4" s="28" t="n">
        <v>46327</v>
      </c>
      <c r="L4" s="28" t="n">
        <v>46357</v>
      </c>
      <c r="M4" s="28" t="n">
        <v>46388</v>
      </c>
      <c r="N4" s="28" t="n">
        <v>46419</v>
      </c>
      <c r="O4" s="28" t="n">
        <v>46447</v>
      </c>
      <c r="P4" s="28" t="n">
        <v>46478</v>
      </c>
      <c r="Q4" s="28" t="n">
        <v>46508</v>
      </c>
      <c r="R4" s="28" t="n">
        <v>46539</v>
      </c>
      <c r="S4" s="28" t="n">
        <v>46569</v>
      </c>
      <c r="T4" s="28" t="n">
        <v>46600</v>
      </c>
      <c r="U4" s="28" t="n">
        <v>46631</v>
      </c>
      <c r="V4" s="28" t="n">
        <v>46661</v>
      </c>
      <c r="W4" s="28" t="n">
        <v>46692</v>
      </c>
      <c r="X4" s="28" t="n">
        <v>46722</v>
      </c>
      <c r="Y4" s="28" t="n">
        <v>46753</v>
      </c>
      <c r="Z4" s="28" t="n">
        <v>46784</v>
      </c>
      <c r="AA4" s="28" t="n">
        <v>46813</v>
      </c>
      <c r="AB4" s="28" t="n">
        <v>46844</v>
      </c>
      <c r="AC4" s="28" t="n">
        <v>46874</v>
      </c>
      <c r="AD4" s="28" t="n">
        <v>46905</v>
      </c>
      <c r="AE4" s="28" t="n">
        <v>46935</v>
      </c>
      <c r="AF4" s="28" t="n">
        <v>46966</v>
      </c>
      <c r="AG4" s="28" t="n">
        <v>46997</v>
      </c>
      <c r="AH4" s="28" t="n">
        <v>47027</v>
      </c>
      <c r="AI4" s="28" t="n">
        <v>47058</v>
      </c>
      <c r="AJ4" s="28" t="n">
        <v>47088</v>
      </c>
      <c r="AK4" s="28" t="n">
        <v>47119</v>
      </c>
      <c r="AL4" s="28" t="n">
        <v>47150</v>
      </c>
      <c r="AM4" s="28" t="n">
        <v>47178</v>
      </c>
      <c r="AN4" s="28" t="n">
        <v>47209</v>
      </c>
      <c r="AO4" s="28" t="n">
        <v>47239</v>
      </c>
      <c r="AP4" s="28" t="n">
        <v>47270</v>
      </c>
      <c r="AQ4" s="28" t="n">
        <v>47300</v>
      </c>
      <c r="AR4" s="28" t="n">
        <v>47331</v>
      </c>
      <c r="AS4" s="28" t="n">
        <v>47362</v>
      </c>
      <c r="AT4" s="28" t="n">
        <v>47392</v>
      </c>
      <c r="AU4" s="28" t="n">
        <v>47423</v>
      </c>
      <c r="AV4" s="28" t="n">
        <v>47453</v>
      </c>
      <c r="AW4" s="28" t="n">
        <v>47484</v>
      </c>
      <c r="AX4" s="28" t="n">
        <v>47515</v>
      </c>
      <c r="AY4" s="28" t="n">
        <v>47543</v>
      </c>
      <c r="AZ4" s="28" t="n">
        <v>47574</v>
      </c>
      <c r="BA4" s="28" t="n">
        <v>47604</v>
      </c>
      <c r="BB4" s="28" t="n">
        <v>47635</v>
      </c>
      <c r="BC4" s="28" t="n">
        <v>47665</v>
      </c>
      <c r="BD4" s="28" t="n">
        <v>47696</v>
      </c>
      <c r="BE4" s="28" t="n">
        <v>47727</v>
      </c>
      <c r="BF4" s="28" t="n">
        <v>47757</v>
      </c>
      <c r="BG4" s="28" t="n">
        <v>47788</v>
      </c>
      <c r="BH4" s="28" t="n">
        <v>47818</v>
      </c>
      <c r="BI4" s="28" t="n">
        <v>47849</v>
      </c>
      <c r="BJ4" s="28" t="n">
        <v>47880</v>
      </c>
      <c r="BK4" s="28" t="n">
        <v>47908</v>
      </c>
      <c r="BL4" s="28" t="n">
        <v>47939</v>
      </c>
      <c r="BM4" s="28" t="n">
        <v>47969</v>
      </c>
      <c r="BN4" s="28" t="n">
        <v>48000</v>
      </c>
      <c r="BO4" s="28" t="n">
        <v>48030</v>
      </c>
      <c r="BP4" s="28" t="n">
        <v>48061</v>
      </c>
      <c r="BQ4" s="28" t="n">
        <v>48092</v>
      </c>
      <c r="BR4" s="28" t="n">
        <v>48122</v>
      </c>
      <c r="BS4" s="28" t="n">
        <v>48153</v>
      </c>
      <c r="BT4" s="28" t="n">
        <v>48183</v>
      </c>
      <c r="BU4" s="28" t="n">
        <v>48214</v>
      </c>
      <c r="BV4" s="28" t="n">
        <v>48245</v>
      </c>
      <c r="BW4" s="28" t="n">
        <v>48274</v>
      </c>
      <c r="BX4" s="28" t="n">
        <v>48305</v>
      </c>
      <c r="BY4" s="28" t="n">
        <v>48335</v>
      </c>
      <c r="BZ4" s="28" t="n">
        <v>48366</v>
      </c>
      <c r="CA4" s="28" t="n">
        <v>48396</v>
      </c>
      <c r="CB4" s="28" t="n">
        <v>48427</v>
      </c>
      <c r="CC4" s="28" t="n">
        <v>48458</v>
      </c>
      <c r="CD4" s="28" t="n">
        <v>48488</v>
      </c>
      <c r="CE4" s="28" t="n">
        <v>48519</v>
      </c>
      <c r="CF4" s="28" t="n">
        <v>48549</v>
      </c>
      <c r="CG4" s="28" t="n">
        <v>48580</v>
      </c>
      <c r="CH4" s="28" t="n">
        <v>48611</v>
      </c>
      <c r="CI4" s="28" t="n">
        <v>48639</v>
      </c>
      <c r="CJ4" s="28" t="n">
        <v>48670</v>
      </c>
      <c r="CK4" s="28" t="n">
        <v>48700</v>
      </c>
      <c r="CL4" s="28" t="n">
        <v>48731</v>
      </c>
      <c r="CM4" s="28" t="n">
        <v>48761</v>
      </c>
      <c r="CN4" s="28" t="n">
        <v>48792</v>
      </c>
      <c r="CO4" s="28" t="n">
        <v>48823</v>
      </c>
      <c r="CP4" s="28" t="n">
        <v>48853</v>
      </c>
      <c r="CQ4" s="28" t="n">
        <v>48884</v>
      </c>
      <c r="CR4" s="28" t="n">
        <v>48914</v>
      </c>
      <c r="CS4" s="28" t="n">
        <v>48945</v>
      </c>
      <c r="CT4" s="28" t="n">
        <v>48976</v>
      </c>
      <c r="CU4" s="28" t="n">
        <v>49004</v>
      </c>
      <c r="CV4" s="28" t="n">
        <v>49035</v>
      </c>
      <c r="CW4" s="28" t="n">
        <v>49065</v>
      </c>
      <c r="CX4" s="28" t="n">
        <v>49096</v>
      </c>
      <c r="CY4" s="28" t="n">
        <v>49126</v>
      </c>
      <c r="CZ4" s="28" t="n">
        <v>49157</v>
      </c>
      <c r="DA4" s="28" t="n">
        <v>49188</v>
      </c>
      <c r="DB4" s="28" t="n">
        <v>49218</v>
      </c>
      <c r="DC4" s="28" t="n">
        <v>49249</v>
      </c>
      <c r="DD4" s="28" t="n">
        <v>49279</v>
      </c>
      <c r="DE4" s="28" t="n">
        <v>49310</v>
      </c>
      <c r="DF4" s="28" t="n">
        <v>49341</v>
      </c>
      <c r="DG4" s="28" t="n">
        <v>49369</v>
      </c>
      <c r="DH4" s="28" t="n">
        <v>49400</v>
      </c>
      <c r="DI4" s="28" t="n">
        <v>49430</v>
      </c>
      <c r="DJ4" s="28" t="n">
        <v>49461</v>
      </c>
      <c r="DK4" s="28" t="n">
        <v>49491</v>
      </c>
      <c r="DL4" s="28" t="n">
        <v>49522</v>
      </c>
      <c r="DM4" s="28" t="n">
        <v>49553</v>
      </c>
      <c r="DN4" s="28" t="n">
        <v>49583</v>
      </c>
      <c r="DO4" s="28" t="n">
        <v>49614</v>
      </c>
      <c r="DP4" s="28" t="n">
        <v>49644</v>
      </c>
      <c r="DQ4" s="28" t="n">
        <v>49675</v>
      </c>
      <c r="DR4" s="28" t="n">
        <v>49706</v>
      </c>
      <c r="DS4" s="28" t="n">
        <v>49735</v>
      </c>
      <c r="DT4" s="28" t="n">
        <v>49766</v>
      </c>
      <c r="DU4" s="28" t="n">
        <v>49796</v>
      </c>
      <c r="DV4" s="28" t="n">
        <v>49827</v>
      </c>
      <c r="DW4" s="28" t="n">
        <v>49857</v>
      </c>
      <c r="DX4" s="28" t="n">
        <v>49888</v>
      </c>
      <c r="DY4" s="28" t="n">
        <v>49919</v>
      </c>
      <c r="DZ4" s="28" t="n">
        <v>49949</v>
      </c>
      <c r="EA4" s="28" t="n">
        <v>49980</v>
      </c>
      <c r="EB4" s="28" t="n">
        <v>50010</v>
      </c>
      <c r="EC4" s="28" t="n">
        <v>50041</v>
      </c>
      <c r="ED4" s="28" t="n">
        <v>50072</v>
      </c>
      <c r="EE4" s="28" t="n">
        <v>50100</v>
      </c>
      <c r="EF4" s="28" t="n">
        <v>50131</v>
      </c>
      <c r="EG4" s="28" t="n">
        <v>50161</v>
      </c>
      <c r="EH4" s="28" t="n">
        <v>50192</v>
      </c>
      <c r="EI4" s="28" t="n">
        <v>50222</v>
      </c>
      <c r="EJ4" s="28" t="n">
        <v>50253</v>
      </c>
      <c r="EK4" s="28" t="n">
        <v>50284</v>
      </c>
      <c r="EL4" s="28" t="n">
        <v>50314</v>
      </c>
      <c r="EM4" s="28" t="n">
        <v>50345</v>
      </c>
      <c r="EN4" s="28" t="n">
        <v>50375</v>
      </c>
      <c r="EO4" s="28" t="n">
        <v>50406</v>
      </c>
      <c r="EP4" s="28" t="n">
        <v>50437</v>
      </c>
      <c r="EQ4" s="28" t="n">
        <v>50465</v>
      </c>
      <c r="ER4" s="28" t="n">
        <v>50496</v>
      </c>
      <c r="ES4" s="28" t="n">
        <v>50526</v>
      </c>
      <c r="ET4" s="28" t="n">
        <v>50557</v>
      </c>
      <c r="EU4" s="28" t="n">
        <v>50587</v>
      </c>
      <c r="EV4" s="28" t="n">
        <v>50618</v>
      </c>
      <c r="EW4" s="28" t="n">
        <v>50649</v>
      </c>
      <c r="EX4" s="28" t="n">
        <v>50679</v>
      </c>
      <c r="EY4" s="28" t="n">
        <v>50710</v>
      </c>
      <c r="EZ4" s="28" t="n">
        <v>50740</v>
      </c>
      <c r="FA4" s="28" t="n">
        <v>50771</v>
      </c>
      <c r="FB4" s="28" t="n">
        <v>50802</v>
      </c>
      <c r="FC4" s="28" t="n">
        <v>50830</v>
      </c>
      <c r="FD4" s="28" t="n">
        <v>50861</v>
      </c>
      <c r="FE4" s="28" t="n">
        <v>50891</v>
      </c>
      <c r="FF4" s="28" t="n">
        <v>50922</v>
      </c>
      <c r="FG4" s="28" t="n">
        <v>50952</v>
      </c>
      <c r="FH4" s="28" t="n">
        <v>50983</v>
      </c>
      <c r="FI4" s="28" t="n">
        <v>51014</v>
      </c>
      <c r="FJ4" s="28" t="n">
        <v>51044</v>
      </c>
      <c r="FK4" s="28" t="n">
        <v>51075</v>
      </c>
      <c r="FL4" s="28" t="n">
        <v>51105</v>
      </c>
      <c r="FM4" s="28" t="n">
        <v>51136</v>
      </c>
      <c r="FN4" s="28" t="n">
        <v>51167</v>
      </c>
      <c r="FO4" s="28" t="n">
        <v>51196</v>
      </c>
      <c r="FP4" s="28" t="n">
        <v>51227</v>
      </c>
      <c r="FQ4" s="28" t="n">
        <v>51257</v>
      </c>
      <c r="FR4" s="28" t="n">
        <v>51288</v>
      </c>
      <c r="FS4" s="28" t="n">
        <v>51318</v>
      </c>
      <c r="FT4" s="28" t="n">
        <v>51349</v>
      </c>
      <c r="FU4" s="28" t="n">
        <v>51380</v>
      </c>
      <c r="FV4" s="28" t="n">
        <v>51410</v>
      </c>
      <c r="FW4" s="28" t="n">
        <v>51441</v>
      </c>
      <c r="FX4" s="28" t="n">
        <v>51471</v>
      </c>
    </row>
    <row r="5" ht="30" customHeight="1">
      <c r="A5" s="29" t="inlineStr">
        <is>
          <t>Status</t>
        </is>
      </c>
      <c r="C5" s="30">
        <f>Calc!$DN$6</f>
        <v/>
      </c>
      <c r="D5" s="30">
        <f>Calc!$DN$7</f>
        <v/>
      </c>
      <c r="E5" s="30">
        <f>Calc!$DN$8</f>
        <v/>
      </c>
      <c r="F5" s="30">
        <f>Calc!$DN$9</f>
        <v/>
      </c>
      <c r="G5" s="30">
        <f>Calc!$DN$10</f>
        <v/>
      </c>
      <c r="H5" s="30">
        <f>Calc!$DN$11</f>
        <v/>
      </c>
      <c r="I5" s="30">
        <f>Calc!$DN$12</f>
        <v/>
      </c>
      <c r="J5" s="30">
        <f>Calc!$DN$13</f>
        <v/>
      </c>
      <c r="K5" s="30">
        <f>Calc!$DN$14</f>
        <v/>
      </c>
      <c r="L5" s="30">
        <f>Calc!$DN$15</f>
        <v/>
      </c>
      <c r="M5" s="30">
        <f>Calc!$DN$16</f>
        <v/>
      </c>
      <c r="N5" s="30">
        <f>Calc!$DN$17</f>
        <v/>
      </c>
      <c r="O5" s="30">
        <f>Calc!$DN$18</f>
        <v/>
      </c>
      <c r="P5" s="30">
        <f>Calc!$DN$19</f>
        <v/>
      </c>
      <c r="Q5" s="30">
        <f>Calc!$DN$20</f>
        <v/>
      </c>
      <c r="R5" s="30">
        <f>Calc!$DN$21</f>
        <v/>
      </c>
      <c r="S5" s="30">
        <f>Calc!$DN$22</f>
        <v/>
      </c>
      <c r="T5" s="30">
        <f>Calc!$DN$23</f>
        <v/>
      </c>
      <c r="U5" s="30">
        <f>Calc!$DN$24</f>
        <v/>
      </c>
      <c r="V5" s="30">
        <f>Calc!$DN$25</f>
        <v/>
      </c>
      <c r="W5" s="30">
        <f>Calc!$DN$26</f>
        <v/>
      </c>
      <c r="X5" s="30">
        <f>Calc!$DN$27</f>
        <v/>
      </c>
      <c r="Y5" s="30">
        <f>Calc!$DN$28</f>
        <v/>
      </c>
      <c r="Z5" s="30">
        <f>Calc!$DN$29</f>
        <v/>
      </c>
      <c r="AA5" s="30">
        <f>Calc!$DN$30</f>
        <v/>
      </c>
      <c r="AB5" s="30">
        <f>Calc!$DN$31</f>
        <v/>
      </c>
      <c r="AC5" s="30">
        <f>Calc!$DN$32</f>
        <v/>
      </c>
      <c r="AD5" s="30">
        <f>Calc!$DN$33</f>
        <v/>
      </c>
      <c r="AE5" s="30">
        <f>Calc!$DN$34</f>
        <v/>
      </c>
      <c r="AF5" s="30">
        <f>Calc!$DN$35</f>
        <v/>
      </c>
      <c r="AG5" s="30">
        <f>Calc!$DN$36</f>
        <v/>
      </c>
      <c r="AH5" s="30">
        <f>Calc!$DN$37</f>
        <v/>
      </c>
      <c r="AI5" s="30">
        <f>Calc!$DN$38</f>
        <v/>
      </c>
      <c r="AJ5" s="30">
        <f>Calc!$DN$39</f>
        <v/>
      </c>
      <c r="AK5" s="30">
        <f>Calc!$DN$40</f>
        <v/>
      </c>
      <c r="AL5" s="30">
        <f>Calc!$DN$41</f>
        <v/>
      </c>
      <c r="AM5" s="30">
        <f>Calc!$DN$42</f>
        <v/>
      </c>
      <c r="AN5" s="30">
        <f>Calc!$DN$43</f>
        <v/>
      </c>
      <c r="AO5" s="30">
        <f>Calc!$DN$44</f>
        <v/>
      </c>
      <c r="AP5" s="30">
        <f>Calc!$DN$45</f>
        <v/>
      </c>
      <c r="AQ5" s="30">
        <f>Calc!$DN$46</f>
        <v/>
      </c>
      <c r="AR5" s="30">
        <f>Calc!$DN$47</f>
        <v/>
      </c>
      <c r="AS5" s="30">
        <f>Calc!$DN$48</f>
        <v/>
      </c>
      <c r="AT5" s="30">
        <f>Calc!$DN$49</f>
        <v/>
      </c>
      <c r="AU5" s="30">
        <f>Calc!$DN$50</f>
        <v/>
      </c>
      <c r="AV5" s="30">
        <f>Calc!$DN$51</f>
        <v/>
      </c>
      <c r="AW5" s="30">
        <f>Calc!$DN$52</f>
        <v/>
      </c>
      <c r="AX5" s="30">
        <f>Calc!$DN$53</f>
        <v/>
      </c>
      <c r="AY5" s="30">
        <f>Calc!$DN$54</f>
        <v/>
      </c>
      <c r="AZ5" s="30">
        <f>Calc!$DN$55</f>
        <v/>
      </c>
      <c r="BA5" s="30">
        <f>Calc!$DN$56</f>
        <v/>
      </c>
      <c r="BB5" s="30">
        <f>Calc!$DN$57</f>
        <v/>
      </c>
      <c r="BC5" s="30">
        <f>Calc!$DN$58</f>
        <v/>
      </c>
      <c r="BD5" s="30">
        <f>Calc!$DN$59</f>
        <v/>
      </c>
      <c r="BE5" s="30">
        <f>Calc!$DN$60</f>
        <v/>
      </c>
      <c r="BF5" s="30">
        <f>Calc!$DN$61</f>
        <v/>
      </c>
      <c r="BG5" s="30">
        <f>Calc!$DN$62</f>
        <v/>
      </c>
      <c r="BH5" s="30">
        <f>Calc!$DN$63</f>
        <v/>
      </c>
      <c r="BI5" s="30">
        <f>Calc!$DN$64</f>
        <v/>
      </c>
      <c r="BJ5" s="30">
        <f>Calc!$DN$65</f>
        <v/>
      </c>
      <c r="BK5" s="30">
        <f>Calc!$DN$66</f>
        <v/>
      </c>
      <c r="BL5" s="30">
        <f>Calc!$DN$67</f>
        <v/>
      </c>
      <c r="BM5" s="30">
        <f>Calc!$DN$68</f>
        <v/>
      </c>
      <c r="BN5" s="30">
        <f>Calc!$DN$69</f>
        <v/>
      </c>
      <c r="BO5" s="30">
        <f>Calc!$DN$70</f>
        <v/>
      </c>
      <c r="BP5" s="30">
        <f>Calc!$DN$71</f>
        <v/>
      </c>
      <c r="BQ5" s="30">
        <f>Calc!$DN$72</f>
        <v/>
      </c>
      <c r="BR5" s="30">
        <f>Calc!$DN$73</f>
        <v/>
      </c>
      <c r="BS5" s="30">
        <f>Calc!$DN$74</f>
        <v/>
      </c>
      <c r="BT5" s="30">
        <f>Calc!$DN$75</f>
        <v/>
      </c>
      <c r="BU5" s="30">
        <f>Calc!$DN$76</f>
        <v/>
      </c>
      <c r="BV5" s="30">
        <f>Calc!$DN$77</f>
        <v/>
      </c>
      <c r="BW5" s="30">
        <f>Calc!$DN$78</f>
        <v/>
      </c>
      <c r="BX5" s="30">
        <f>Calc!$DN$79</f>
        <v/>
      </c>
      <c r="BY5" s="30">
        <f>Calc!$DN$80</f>
        <v/>
      </c>
      <c r="BZ5" s="30">
        <f>Calc!$DN$81</f>
        <v/>
      </c>
      <c r="CA5" s="30">
        <f>Calc!$DN$82</f>
        <v/>
      </c>
      <c r="CB5" s="30">
        <f>Calc!$DN$83</f>
        <v/>
      </c>
      <c r="CC5" s="30">
        <f>Calc!$DN$84</f>
        <v/>
      </c>
      <c r="CD5" s="30">
        <f>Calc!$DN$85</f>
        <v/>
      </c>
      <c r="CE5" s="30">
        <f>Calc!$DN$86</f>
        <v/>
      </c>
      <c r="CF5" s="30">
        <f>Calc!$DN$87</f>
        <v/>
      </c>
      <c r="CG5" s="30">
        <f>Calc!$DN$88</f>
        <v/>
      </c>
      <c r="CH5" s="30">
        <f>Calc!$DN$89</f>
        <v/>
      </c>
      <c r="CI5" s="30">
        <f>Calc!$DN$90</f>
        <v/>
      </c>
      <c r="CJ5" s="30">
        <f>Calc!$DN$91</f>
        <v/>
      </c>
      <c r="CK5" s="30">
        <f>Calc!$DN$92</f>
        <v/>
      </c>
      <c r="CL5" s="30">
        <f>Calc!$DN$93</f>
        <v/>
      </c>
      <c r="CM5" s="30">
        <f>Calc!$DN$94</f>
        <v/>
      </c>
      <c r="CN5" s="30">
        <f>Calc!$DN$95</f>
        <v/>
      </c>
      <c r="CO5" s="30">
        <f>Calc!$DN$96</f>
        <v/>
      </c>
      <c r="CP5" s="30">
        <f>Calc!$DN$97</f>
        <v/>
      </c>
      <c r="CQ5" s="30">
        <f>Calc!$DN$98</f>
        <v/>
      </c>
      <c r="CR5" s="30">
        <f>Calc!$DN$99</f>
        <v/>
      </c>
      <c r="CS5" s="30">
        <f>Calc!$DN$100</f>
        <v/>
      </c>
      <c r="CT5" s="30">
        <f>Calc!$DN$101</f>
        <v/>
      </c>
      <c r="CU5" s="30">
        <f>Calc!$DN$102</f>
        <v/>
      </c>
      <c r="CV5" s="30">
        <f>Calc!$DN$103</f>
        <v/>
      </c>
      <c r="CW5" s="30">
        <f>Calc!$DN$104</f>
        <v/>
      </c>
      <c r="CX5" s="30">
        <f>Calc!$DN$105</f>
        <v/>
      </c>
      <c r="CY5" s="30">
        <f>Calc!$DN$106</f>
        <v/>
      </c>
      <c r="CZ5" s="30">
        <f>Calc!$DN$107</f>
        <v/>
      </c>
      <c r="DA5" s="30">
        <f>Calc!$DN$108</f>
        <v/>
      </c>
      <c r="DB5" s="30">
        <f>Calc!$DN$109</f>
        <v/>
      </c>
      <c r="DC5" s="30">
        <f>Calc!$DN$110</f>
        <v/>
      </c>
      <c r="DD5" s="30">
        <f>Calc!$DN$111</f>
        <v/>
      </c>
      <c r="DE5" s="30">
        <f>Calc!$DN$112</f>
        <v/>
      </c>
      <c r="DF5" s="30">
        <f>Calc!$DN$113</f>
        <v/>
      </c>
      <c r="DG5" s="30">
        <f>Calc!$DN$114</f>
        <v/>
      </c>
      <c r="DH5" s="30">
        <f>Calc!$DN$115</f>
        <v/>
      </c>
      <c r="DI5" s="30">
        <f>Calc!$DN$116</f>
        <v/>
      </c>
      <c r="DJ5" s="30">
        <f>Calc!$DN$117</f>
        <v/>
      </c>
      <c r="DK5" s="30">
        <f>Calc!$DN$118</f>
        <v/>
      </c>
      <c r="DL5" s="30">
        <f>Calc!$DN$119</f>
        <v/>
      </c>
      <c r="DM5" s="30">
        <f>Calc!$DN$120</f>
        <v/>
      </c>
      <c r="DN5" s="30">
        <f>Calc!$DN$121</f>
        <v/>
      </c>
      <c r="DO5" s="30">
        <f>Calc!$DN$122</f>
        <v/>
      </c>
      <c r="DP5" s="30">
        <f>Calc!$DN$123</f>
        <v/>
      </c>
      <c r="DQ5" s="30">
        <f>Calc!$DN$124</f>
        <v/>
      </c>
      <c r="DR5" s="30">
        <f>Calc!$DN$125</f>
        <v/>
      </c>
      <c r="DS5" s="30">
        <f>Calc!$DN$126</f>
        <v/>
      </c>
      <c r="DT5" s="30">
        <f>Calc!$DN$127</f>
        <v/>
      </c>
      <c r="DU5" s="30">
        <f>Calc!$DN$128</f>
        <v/>
      </c>
      <c r="DV5" s="30">
        <f>Calc!$DN$129</f>
        <v/>
      </c>
      <c r="DW5" s="30">
        <f>Calc!$DN$130</f>
        <v/>
      </c>
      <c r="DX5" s="30">
        <f>Calc!$DN$131</f>
        <v/>
      </c>
      <c r="DY5" s="30">
        <f>Calc!$DN$132</f>
        <v/>
      </c>
      <c r="DZ5" s="30">
        <f>Calc!$DN$133</f>
        <v/>
      </c>
      <c r="EA5" s="30">
        <f>Calc!$DN$134</f>
        <v/>
      </c>
      <c r="EB5" s="30">
        <f>Calc!$DN$135</f>
        <v/>
      </c>
      <c r="EC5" s="30">
        <f>Calc!$DN$136</f>
        <v/>
      </c>
      <c r="ED5" s="30">
        <f>Calc!$DN$137</f>
        <v/>
      </c>
      <c r="EE5" s="30">
        <f>Calc!$DN$138</f>
        <v/>
      </c>
      <c r="EF5" s="30">
        <f>Calc!$DN$139</f>
        <v/>
      </c>
      <c r="EG5" s="30">
        <f>Calc!$DN$140</f>
        <v/>
      </c>
      <c r="EH5" s="30">
        <f>Calc!$DN$141</f>
        <v/>
      </c>
      <c r="EI5" s="30">
        <f>Calc!$DN$142</f>
        <v/>
      </c>
      <c r="EJ5" s="30">
        <f>Calc!$DN$143</f>
        <v/>
      </c>
      <c r="EK5" s="30">
        <f>Calc!$DN$144</f>
        <v/>
      </c>
      <c r="EL5" s="30">
        <f>Calc!$DN$145</f>
        <v/>
      </c>
      <c r="EM5" s="30">
        <f>Calc!$DN$146</f>
        <v/>
      </c>
      <c r="EN5" s="30">
        <f>Calc!$DN$147</f>
        <v/>
      </c>
      <c r="EO5" s="30">
        <f>Calc!$DN$148</f>
        <v/>
      </c>
      <c r="EP5" s="30">
        <f>Calc!$DN$149</f>
        <v/>
      </c>
      <c r="EQ5" s="30">
        <f>Calc!$DN$150</f>
        <v/>
      </c>
      <c r="ER5" s="30">
        <f>Calc!$DN$151</f>
        <v/>
      </c>
      <c r="ES5" s="30">
        <f>Calc!$DN$152</f>
        <v/>
      </c>
      <c r="ET5" s="30">
        <f>Calc!$DN$153</f>
        <v/>
      </c>
      <c r="EU5" s="30">
        <f>Calc!$DN$154</f>
        <v/>
      </c>
      <c r="EV5" s="30">
        <f>Calc!$DN$155</f>
        <v/>
      </c>
      <c r="EW5" s="30">
        <f>Calc!$DN$156</f>
        <v/>
      </c>
      <c r="EX5" s="30">
        <f>Calc!$DN$157</f>
        <v/>
      </c>
      <c r="EY5" s="30">
        <f>Calc!$DN$158</f>
        <v/>
      </c>
      <c r="EZ5" s="30">
        <f>Calc!$DN$159</f>
        <v/>
      </c>
      <c r="FA5" s="30">
        <f>Calc!$DN$160</f>
        <v/>
      </c>
      <c r="FB5" s="30">
        <f>Calc!$DN$161</f>
        <v/>
      </c>
      <c r="FC5" s="30">
        <f>Calc!$DN$162</f>
        <v/>
      </c>
      <c r="FD5" s="30">
        <f>Calc!$DN$163</f>
        <v/>
      </c>
      <c r="FE5" s="30">
        <f>Calc!$DN$164</f>
        <v/>
      </c>
      <c r="FF5" s="30">
        <f>Calc!$DN$165</f>
        <v/>
      </c>
      <c r="FG5" s="30">
        <f>Calc!$DN$166</f>
        <v/>
      </c>
      <c r="FH5" s="30">
        <f>Calc!$DN$167</f>
        <v/>
      </c>
      <c r="FI5" s="30">
        <f>Calc!$DN$168</f>
        <v/>
      </c>
      <c r="FJ5" s="30">
        <f>Calc!$DN$169</f>
        <v/>
      </c>
      <c r="FK5" s="30">
        <f>Calc!$DN$170</f>
        <v/>
      </c>
      <c r="FL5" s="30">
        <f>Calc!$DN$171</f>
        <v/>
      </c>
      <c r="FM5" s="30">
        <f>Calc!$DN$172</f>
        <v/>
      </c>
      <c r="FN5" s="30">
        <f>Calc!$DN$173</f>
        <v/>
      </c>
      <c r="FO5" s="30">
        <f>Calc!$DN$174</f>
        <v/>
      </c>
      <c r="FP5" s="30">
        <f>Calc!$DN$175</f>
        <v/>
      </c>
      <c r="FQ5" s="30">
        <f>Calc!$DN$176</f>
        <v/>
      </c>
      <c r="FR5" s="30">
        <f>Calc!$DN$177</f>
        <v/>
      </c>
      <c r="FS5" s="30">
        <f>Calc!$DN$178</f>
        <v/>
      </c>
      <c r="FT5" s="30">
        <f>Calc!$DN$179</f>
        <v/>
      </c>
      <c r="FU5" s="30">
        <f>Calc!$DN$180</f>
        <v/>
      </c>
      <c r="FV5" s="30">
        <f>Calc!$DN$181</f>
        <v/>
      </c>
      <c r="FW5" s="30">
        <f>Calc!$DN$182</f>
        <v/>
      </c>
      <c r="FX5" s="30">
        <f>Calc!$DN$183</f>
        <v/>
      </c>
    </row>
    <row r="6" ht="26" customHeight="1">
      <c r="A6" s="11" t="inlineStr">
        <is>
          <t>1 · Month-end balances — bank, cash, cards (cards: amount owed)</t>
        </is>
      </c>
      <c r="B6" s="12" t="n"/>
    </row>
    <row r="7">
      <c r="A7" s="15">
        <f>IF(Settings!$A$19="","(unused)",Settings!$A$19&amp;IF(Settings!$E$19="No"," (retired)",""))</f>
        <v/>
      </c>
      <c r="B7" s="26">
        <f>IF(Settings!$A$19="","",IF(Settings!$F$19="Yes","REQUIRED","optional · grey = unchanged")&amp;IF(OR(Settings!$B$19="Card",Settings!$B$19="Loan")," · amount owed",""))</f>
        <v/>
      </c>
      <c r="C7" s="31">
        <f>IF(OR(Settings!$A$19="",Settings!$F$19="Yes",OR(EOMONTH(C$4,0)&lt;=Settings!$B$5,C$4&gt;TODAY())),"",N(Settings!$C$19))</f>
        <v/>
      </c>
      <c r="D7" s="31">
        <f>IF(OR(Settings!$A$19="",Settings!$F$19="Yes",OR(EOMONTH(D$4,0)&lt;=Settings!$B$5,D$4&gt;TODAY())),"",IF(EOMONTH(C$4,0)&lt;=Settings!$B$5,N(Settings!$C$19),N(Calc!$AE$6)))</f>
        <v/>
      </c>
      <c r="E7" s="31">
        <f>IF(OR(Settings!$A$19="",Settings!$F$19="Yes",OR(EOMONTH(E$4,0)&lt;=Settings!$B$5,E$4&gt;TODAY())),"",IF(EOMONTH(D$4,0)&lt;=Settings!$B$5,N(Settings!$C$19),N(Calc!$AE$7)))</f>
        <v/>
      </c>
      <c r="F7" s="31">
        <f>IF(OR(Settings!$A$19="",Settings!$F$19="Yes",OR(EOMONTH(F$4,0)&lt;=Settings!$B$5,F$4&gt;TODAY())),"",IF(EOMONTH(E$4,0)&lt;=Settings!$B$5,N(Settings!$C$19),N(Calc!$AE$8)))</f>
        <v/>
      </c>
      <c r="G7" s="31">
        <f>IF(OR(Settings!$A$19="",Settings!$F$19="Yes",OR(EOMONTH(G$4,0)&lt;=Settings!$B$5,G$4&gt;TODAY())),"",IF(EOMONTH(F$4,0)&lt;=Settings!$B$5,N(Settings!$C$19),N(Calc!$AE$9)))</f>
        <v/>
      </c>
      <c r="H7" s="31">
        <f>IF(OR(Settings!$A$19="",Settings!$F$19="Yes",OR(EOMONTH(H$4,0)&lt;=Settings!$B$5,H$4&gt;TODAY())),"",IF(EOMONTH(G$4,0)&lt;=Settings!$B$5,N(Settings!$C$19),N(Calc!$AE$10)))</f>
        <v/>
      </c>
      <c r="I7" s="31">
        <f>IF(OR(Settings!$A$19="",Settings!$F$19="Yes",OR(EOMONTH(I$4,0)&lt;=Settings!$B$5,I$4&gt;TODAY())),"",IF(EOMONTH(H$4,0)&lt;=Settings!$B$5,N(Settings!$C$19),N(Calc!$AE$11)))</f>
        <v/>
      </c>
      <c r="J7" s="31">
        <f>IF(OR(Settings!$A$19="",Settings!$F$19="Yes",OR(EOMONTH(J$4,0)&lt;=Settings!$B$5,J$4&gt;TODAY())),"",IF(EOMONTH(I$4,0)&lt;=Settings!$B$5,N(Settings!$C$19),N(Calc!$AE$12)))</f>
        <v/>
      </c>
      <c r="K7" s="31">
        <f>IF(OR(Settings!$A$19="",Settings!$F$19="Yes",OR(EOMONTH(K$4,0)&lt;=Settings!$B$5,K$4&gt;TODAY())),"",IF(EOMONTH(J$4,0)&lt;=Settings!$B$5,N(Settings!$C$19),N(Calc!$AE$13)))</f>
        <v/>
      </c>
      <c r="L7" s="31">
        <f>IF(OR(Settings!$A$19="",Settings!$F$19="Yes",OR(EOMONTH(L$4,0)&lt;=Settings!$B$5,L$4&gt;TODAY())),"",IF(EOMONTH(K$4,0)&lt;=Settings!$B$5,N(Settings!$C$19),N(Calc!$AE$14)))</f>
        <v/>
      </c>
      <c r="M7" s="31">
        <f>IF(OR(Settings!$A$19="",Settings!$F$19="Yes",OR(EOMONTH(M$4,0)&lt;=Settings!$B$5,M$4&gt;TODAY())),"",IF(EOMONTH(L$4,0)&lt;=Settings!$B$5,N(Settings!$C$19),N(Calc!$AE$15)))</f>
        <v/>
      </c>
      <c r="N7" s="31">
        <f>IF(OR(Settings!$A$19="",Settings!$F$19="Yes",OR(EOMONTH(N$4,0)&lt;=Settings!$B$5,N$4&gt;TODAY())),"",IF(EOMONTH(M$4,0)&lt;=Settings!$B$5,N(Settings!$C$19),N(Calc!$AE$16)))</f>
        <v/>
      </c>
      <c r="O7" s="31">
        <f>IF(OR(Settings!$A$19="",Settings!$F$19="Yes",OR(EOMONTH(O$4,0)&lt;=Settings!$B$5,O$4&gt;TODAY())),"",IF(EOMONTH(N$4,0)&lt;=Settings!$B$5,N(Settings!$C$19),N(Calc!$AE$17)))</f>
        <v/>
      </c>
      <c r="P7" s="31">
        <f>IF(OR(Settings!$A$19="",Settings!$F$19="Yes",OR(EOMONTH(P$4,0)&lt;=Settings!$B$5,P$4&gt;TODAY())),"",IF(EOMONTH(O$4,0)&lt;=Settings!$B$5,N(Settings!$C$19),N(Calc!$AE$18)))</f>
        <v/>
      </c>
      <c r="Q7" s="31">
        <f>IF(OR(Settings!$A$19="",Settings!$F$19="Yes",OR(EOMONTH(Q$4,0)&lt;=Settings!$B$5,Q$4&gt;TODAY())),"",IF(EOMONTH(P$4,0)&lt;=Settings!$B$5,N(Settings!$C$19),N(Calc!$AE$19)))</f>
        <v/>
      </c>
      <c r="R7" s="31">
        <f>IF(OR(Settings!$A$19="",Settings!$F$19="Yes",OR(EOMONTH(R$4,0)&lt;=Settings!$B$5,R$4&gt;TODAY())),"",IF(EOMONTH(Q$4,0)&lt;=Settings!$B$5,N(Settings!$C$19),N(Calc!$AE$20)))</f>
        <v/>
      </c>
      <c r="S7" s="31">
        <f>IF(OR(Settings!$A$19="",Settings!$F$19="Yes",OR(EOMONTH(S$4,0)&lt;=Settings!$B$5,S$4&gt;TODAY())),"",IF(EOMONTH(R$4,0)&lt;=Settings!$B$5,N(Settings!$C$19),N(Calc!$AE$21)))</f>
        <v/>
      </c>
      <c r="T7" s="31">
        <f>IF(OR(Settings!$A$19="",Settings!$F$19="Yes",OR(EOMONTH(T$4,0)&lt;=Settings!$B$5,T$4&gt;TODAY())),"",IF(EOMONTH(S$4,0)&lt;=Settings!$B$5,N(Settings!$C$19),N(Calc!$AE$22)))</f>
        <v/>
      </c>
      <c r="U7" s="31">
        <f>IF(OR(Settings!$A$19="",Settings!$F$19="Yes",OR(EOMONTH(U$4,0)&lt;=Settings!$B$5,U$4&gt;TODAY())),"",IF(EOMONTH(T$4,0)&lt;=Settings!$B$5,N(Settings!$C$19),N(Calc!$AE$23)))</f>
        <v/>
      </c>
      <c r="V7" s="31">
        <f>IF(OR(Settings!$A$19="",Settings!$F$19="Yes",OR(EOMONTH(V$4,0)&lt;=Settings!$B$5,V$4&gt;TODAY())),"",IF(EOMONTH(U$4,0)&lt;=Settings!$B$5,N(Settings!$C$19),N(Calc!$AE$24)))</f>
        <v/>
      </c>
      <c r="W7" s="31">
        <f>IF(OR(Settings!$A$19="",Settings!$F$19="Yes",OR(EOMONTH(W$4,0)&lt;=Settings!$B$5,W$4&gt;TODAY())),"",IF(EOMONTH(V$4,0)&lt;=Settings!$B$5,N(Settings!$C$19),N(Calc!$AE$25)))</f>
        <v/>
      </c>
      <c r="X7" s="31">
        <f>IF(OR(Settings!$A$19="",Settings!$F$19="Yes",OR(EOMONTH(X$4,0)&lt;=Settings!$B$5,X$4&gt;TODAY())),"",IF(EOMONTH(W$4,0)&lt;=Settings!$B$5,N(Settings!$C$19),N(Calc!$AE$26)))</f>
        <v/>
      </c>
      <c r="Y7" s="31">
        <f>IF(OR(Settings!$A$19="",Settings!$F$19="Yes",OR(EOMONTH(Y$4,0)&lt;=Settings!$B$5,Y$4&gt;TODAY())),"",IF(EOMONTH(X$4,0)&lt;=Settings!$B$5,N(Settings!$C$19),N(Calc!$AE$27)))</f>
        <v/>
      </c>
      <c r="Z7" s="31">
        <f>IF(OR(Settings!$A$19="",Settings!$F$19="Yes",OR(EOMONTH(Z$4,0)&lt;=Settings!$B$5,Z$4&gt;TODAY())),"",IF(EOMONTH(Y$4,0)&lt;=Settings!$B$5,N(Settings!$C$19),N(Calc!$AE$28)))</f>
        <v/>
      </c>
      <c r="AA7" s="31">
        <f>IF(OR(Settings!$A$19="",Settings!$F$19="Yes",OR(EOMONTH(AA$4,0)&lt;=Settings!$B$5,AA$4&gt;TODAY())),"",IF(EOMONTH(Z$4,0)&lt;=Settings!$B$5,N(Settings!$C$19),N(Calc!$AE$29)))</f>
        <v/>
      </c>
      <c r="AB7" s="31">
        <f>IF(OR(Settings!$A$19="",Settings!$F$19="Yes",OR(EOMONTH(AB$4,0)&lt;=Settings!$B$5,AB$4&gt;TODAY())),"",IF(EOMONTH(AA$4,0)&lt;=Settings!$B$5,N(Settings!$C$19),N(Calc!$AE$30)))</f>
        <v/>
      </c>
      <c r="AC7" s="31">
        <f>IF(OR(Settings!$A$19="",Settings!$F$19="Yes",OR(EOMONTH(AC$4,0)&lt;=Settings!$B$5,AC$4&gt;TODAY())),"",IF(EOMONTH(AB$4,0)&lt;=Settings!$B$5,N(Settings!$C$19),N(Calc!$AE$31)))</f>
        <v/>
      </c>
      <c r="AD7" s="31">
        <f>IF(OR(Settings!$A$19="",Settings!$F$19="Yes",OR(EOMONTH(AD$4,0)&lt;=Settings!$B$5,AD$4&gt;TODAY())),"",IF(EOMONTH(AC$4,0)&lt;=Settings!$B$5,N(Settings!$C$19),N(Calc!$AE$32)))</f>
        <v/>
      </c>
      <c r="AE7" s="31">
        <f>IF(OR(Settings!$A$19="",Settings!$F$19="Yes",OR(EOMONTH(AE$4,0)&lt;=Settings!$B$5,AE$4&gt;TODAY())),"",IF(EOMONTH(AD$4,0)&lt;=Settings!$B$5,N(Settings!$C$19),N(Calc!$AE$33)))</f>
        <v/>
      </c>
      <c r="AF7" s="31">
        <f>IF(OR(Settings!$A$19="",Settings!$F$19="Yes",OR(EOMONTH(AF$4,0)&lt;=Settings!$B$5,AF$4&gt;TODAY())),"",IF(EOMONTH(AE$4,0)&lt;=Settings!$B$5,N(Settings!$C$19),N(Calc!$AE$34)))</f>
        <v/>
      </c>
      <c r="AG7" s="31">
        <f>IF(OR(Settings!$A$19="",Settings!$F$19="Yes",OR(EOMONTH(AG$4,0)&lt;=Settings!$B$5,AG$4&gt;TODAY())),"",IF(EOMONTH(AF$4,0)&lt;=Settings!$B$5,N(Settings!$C$19),N(Calc!$AE$35)))</f>
        <v/>
      </c>
      <c r="AH7" s="31">
        <f>IF(OR(Settings!$A$19="",Settings!$F$19="Yes",OR(EOMONTH(AH$4,0)&lt;=Settings!$B$5,AH$4&gt;TODAY())),"",IF(EOMONTH(AG$4,0)&lt;=Settings!$B$5,N(Settings!$C$19),N(Calc!$AE$36)))</f>
        <v/>
      </c>
      <c r="AI7" s="31">
        <f>IF(OR(Settings!$A$19="",Settings!$F$19="Yes",OR(EOMONTH(AI$4,0)&lt;=Settings!$B$5,AI$4&gt;TODAY())),"",IF(EOMONTH(AH$4,0)&lt;=Settings!$B$5,N(Settings!$C$19),N(Calc!$AE$37)))</f>
        <v/>
      </c>
      <c r="AJ7" s="31">
        <f>IF(OR(Settings!$A$19="",Settings!$F$19="Yes",OR(EOMONTH(AJ$4,0)&lt;=Settings!$B$5,AJ$4&gt;TODAY())),"",IF(EOMONTH(AI$4,0)&lt;=Settings!$B$5,N(Settings!$C$19),N(Calc!$AE$38)))</f>
        <v/>
      </c>
      <c r="AK7" s="31">
        <f>IF(OR(Settings!$A$19="",Settings!$F$19="Yes",OR(EOMONTH(AK$4,0)&lt;=Settings!$B$5,AK$4&gt;TODAY())),"",IF(EOMONTH(AJ$4,0)&lt;=Settings!$B$5,N(Settings!$C$19),N(Calc!$AE$39)))</f>
        <v/>
      </c>
      <c r="AL7" s="31">
        <f>IF(OR(Settings!$A$19="",Settings!$F$19="Yes",OR(EOMONTH(AL$4,0)&lt;=Settings!$B$5,AL$4&gt;TODAY())),"",IF(EOMONTH(AK$4,0)&lt;=Settings!$B$5,N(Settings!$C$19),N(Calc!$AE$40)))</f>
        <v/>
      </c>
      <c r="AM7" s="31">
        <f>IF(OR(Settings!$A$19="",Settings!$F$19="Yes",OR(EOMONTH(AM$4,0)&lt;=Settings!$B$5,AM$4&gt;TODAY())),"",IF(EOMONTH(AL$4,0)&lt;=Settings!$B$5,N(Settings!$C$19),N(Calc!$AE$41)))</f>
        <v/>
      </c>
      <c r="AN7" s="31">
        <f>IF(OR(Settings!$A$19="",Settings!$F$19="Yes",OR(EOMONTH(AN$4,0)&lt;=Settings!$B$5,AN$4&gt;TODAY())),"",IF(EOMONTH(AM$4,0)&lt;=Settings!$B$5,N(Settings!$C$19),N(Calc!$AE$42)))</f>
        <v/>
      </c>
      <c r="AO7" s="31">
        <f>IF(OR(Settings!$A$19="",Settings!$F$19="Yes",OR(EOMONTH(AO$4,0)&lt;=Settings!$B$5,AO$4&gt;TODAY())),"",IF(EOMONTH(AN$4,0)&lt;=Settings!$B$5,N(Settings!$C$19),N(Calc!$AE$43)))</f>
        <v/>
      </c>
      <c r="AP7" s="31">
        <f>IF(OR(Settings!$A$19="",Settings!$F$19="Yes",OR(EOMONTH(AP$4,0)&lt;=Settings!$B$5,AP$4&gt;TODAY())),"",IF(EOMONTH(AO$4,0)&lt;=Settings!$B$5,N(Settings!$C$19),N(Calc!$AE$44)))</f>
        <v/>
      </c>
      <c r="AQ7" s="31">
        <f>IF(OR(Settings!$A$19="",Settings!$F$19="Yes",OR(EOMONTH(AQ$4,0)&lt;=Settings!$B$5,AQ$4&gt;TODAY())),"",IF(EOMONTH(AP$4,0)&lt;=Settings!$B$5,N(Settings!$C$19),N(Calc!$AE$45)))</f>
        <v/>
      </c>
      <c r="AR7" s="31">
        <f>IF(OR(Settings!$A$19="",Settings!$F$19="Yes",OR(EOMONTH(AR$4,0)&lt;=Settings!$B$5,AR$4&gt;TODAY())),"",IF(EOMONTH(AQ$4,0)&lt;=Settings!$B$5,N(Settings!$C$19),N(Calc!$AE$46)))</f>
        <v/>
      </c>
      <c r="AS7" s="31">
        <f>IF(OR(Settings!$A$19="",Settings!$F$19="Yes",OR(EOMONTH(AS$4,0)&lt;=Settings!$B$5,AS$4&gt;TODAY())),"",IF(EOMONTH(AR$4,0)&lt;=Settings!$B$5,N(Settings!$C$19),N(Calc!$AE$47)))</f>
        <v/>
      </c>
      <c r="AT7" s="31">
        <f>IF(OR(Settings!$A$19="",Settings!$F$19="Yes",OR(EOMONTH(AT$4,0)&lt;=Settings!$B$5,AT$4&gt;TODAY())),"",IF(EOMONTH(AS$4,0)&lt;=Settings!$B$5,N(Settings!$C$19),N(Calc!$AE$48)))</f>
        <v/>
      </c>
      <c r="AU7" s="31">
        <f>IF(OR(Settings!$A$19="",Settings!$F$19="Yes",OR(EOMONTH(AU$4,0)&lt;=Settings!$B$5,AU$4&gt;TODAY())),"",IF(EOMONTH(AT$4,0)&lt;=Settings!$B$5,N(Settings!$C$19),N(Calc!$AE$49)))</f>
        <v/>
      </c>
      <c r="AV7" s="31">
        <f>IF(OR(Settings!$A$19="",Settings!$F$19="Yes",OR(EOMONTH(AV$4,0)&lt;=Settings!$B$5,AV$4&gt;TODAY())),"",IF(EOMONTH(AU$4,0)&lt;=Settings!$B$5,N(Settings!$C$19),N(Calc!$AE$50)))</f>
        <v/>
      </c>
      <c r="AW7" s="31">
        <f>IF(OR(Settings!$A$19="",Settings!$F$19="Yes",OR(EOMONTH(AW$4,0)&lt;=Settings!$B$5,AW$4&gt;TODAY())),"",IF(EOMONTH(AV$4,0)&lt;=Settings!$B$5,N(Settings!$C$19),N(Calc!$AE$51)))</f>
        <v/>
      </c>
      <c r="AX7" s="31">
        <f>IF(OR(Settings!$A$19="",Settings!$F$19="Yes",OR(EOMONTH(AX$4,0)&lt;=Settings!$B$5,AX$4&gt;TODAY())),"",IF(EOMONTH(AW$4,0)&lt;=Settings!$B$5,N(Settings!$C$19),N(Calc!$AE$52)))</f>
        <v/>
      </c>
      <c r="AY7" s="31">
        <f>IF(OR(Settings!$A$19="",Settings!$F$19="Yes",OR(EOMONTH(AY$4,0)&lt;=Settings!$B$5,AY$4&gt;TODAY())),"",IF(EOMONTH(AX$4,0)&lt;=Settings!$B$5,N(Settings!$C$19),N(Calc!$AE$53)))</f>
        <v/>
      </c>
      <c r="AZ7" s="31">
        <f>IF(OR(Settings!$A$19="",Settings!$F$19="Yes",OR(EOMONTH(AZ$4,0)&lt;=Settings!$B$5,AZ$4&gt;TODAY())),"",IF(EOMONTH(AY$4,0)&lt;=Settings!$B$5,N(Settings!$C$19),N(Calc!$AE$54)))</f>
        <v/>
      </c>
      <c r="BA7" s="31">
        <f>IF(OR(Settings!$A$19="",Settings!$F$19="Yes",OR(EOMONTH(BA$4,0)&lt;=Settings!$B$5,BA$4&gt;TODAY())),"",IF(EOMONTH(AZ$4,0)&lt;=Settings!$B$5,N(Settings!$C$19),N(Calc!$AE$55)))</f>
        <v/>
      </c>
      <c r="BB7" s="31">
        <f>IF(OR(Settings!$A$19="",Settings!$F$19="Yes",OR(EOMONTH(BB$4,0)&lt;=Settings!$B$5,BB$4&gt;TODAY())),"",IF(EOMONTH(BA$4,0)&lt;=Settings!$B$5,N(Settings!$C$19),N(Calc!$AE$56)))</f>
        <v/>
      </c>
      <c r="BC7" s="31">
        <f>IF(OR(Settings!$A$19="",Settings!$F$19="Yes",OR(EOMONTH(BC$4,0)&lt;=Settings!$B$5,BC$4&gt;TODAY())),"",IF(EOMONTH(BB$4,0)&lt;=Settings!$B$5,N(Settings!$C$19),N(Calc!$AE$57)))</f>
        <v/>
      </c>
      <c r="BD7" s="31">
        <f>IF(OR(Settings!$A$19="",Settings!$F$19="Yes",OR(EOMONTH(BD$4,0)&lt;=Settings!$B$5,BD$4&gt;TODAY())),"",IF(EOMONTH(BC$4,0)&lt;=Settings!$B$5,N(Settings!$C$19),N(Calc!$AE$58)))</f>
        <v/>
      </c>
      <c r="BE7" s="31">
        <f>IF(OR(Settings!$A$19="",Settings!$F$19="Yes",OR(EOMONTH(BE$4,0)&lt;=Settings!$B$5,BE$4&gt;TODAY())),"",IF(EOMONTH(BD$4,0)&lt;=Settings!$B$5,N(Settings!$C$19),N(Calc!$AE$59)))</f>
        <v/>
      </c>
      <c r="BF7" s="31">
        <f>IF(OR(Settings!$A$19="",Settings!$F$19="Yes",OR(EOMONTH(BF$4,0)&lt;=Settings!$B$5,BF$4&gt;TODAY())),"",IF(EOMONTH(BE$4,0)&lt;=Settings!$B$5,N(Settings!$C$19),N(Calc!$AE$60)))</f>
        <v/>
      </c>
      <c r="BG7" s="31">
        <f>IF(OR(Settings!$A$19="",Settings!$F$19="Yes",OR(EOMONTH(BG$4,0)&lt;=Settings!$B$5,BG$4&gt;TODAY())),"",IF(EOMONTH(BF$4,0)&lt;=Settings!$B$5,N(Settings!$C$19),N(Calc!$AE$61)))</f>
        <v/>
      </c>
      <c r="BH7" s="31">
        <f>IF(OR(Settings!$A$19="",Settings!$F$19="Yes",OR(EOMONTH(BH$4,0)&lt;=Settings!$B$5,BH$4&gt;TODAY())),"",IF(EOMONTH(BG$4,0)&lt;=Settings!$B$5,N(Settings!$C$19),N(Calc!$AE$62)))</f>
        <v/>
      </c>
      <c r="BI7" s="31">
        <f>IF(OR(Settings!$A$19="",Settings!$F$19="Yes",OR(EOMONTH(BI$4,0)&lt;=Settings!$B$5,BI$4&gt;TODAY())),"",IF(EOMONTH(BH$4,0)&lt;=Settings!$B$5,N(Settings!$C$19),N(Calc!$AE$63)))</f>
        <v/>
      </c>
      <c r="BJ7" s="31">
        <f>IF(OR(Settings!$A$19="",Settings!$F$19="Yes",OR(EOMONTH(BJ$4,0)&lt;=Settings!$B$5,BJ$4&gt;TODAY())),"",IF(EOMONTH(BI$4,0)&lt;=Settings!$B$5,N(Settings!$C$19),N(Calc!$AE$64)))</f>
        <v/>
      </c>
      <c r="BK7" s="31">
        <f>IF(OR(Settings!$A$19="",Settings!$F$19="Yes",OR(EOMONTH(BK$4,0)&lt;=Settings!$B$5,BK$4&gt;TODAY())),"",IF(EOMONTH(BJ$4,0)&lt;=Settings!$B$5,N(Settings!$C$19),N(Calc!$AE$65)))</f>
        <v/>
      </c>
      <c r="BL7" s="31">
        <f>IF(OR(Settings!$A$19="",Settings!$F$19="Yes",OR(EOMONTH(BL$4,0)&lt;=Settings!$B$5,BL$4&gt;TODAY())),"",IF(EOMONTH(BK$4,0)&lt;=Settings!$B$5,N(Settings!$C$19),N(Calc!$AE$66)))</f>
        <v/>
      </c>
      <c r="BM7" s="31">
        <f>IF(OR(Settings!$A$19="",Settings!$F$19="Yes",OR(EOMONTH(BM$4,0)&lt;=Settings!$B$5,BM$4&gt;TODAY())),"",IF(EOMONTH(BL$4,0)&lt;=Settings!$B$5,N(Settings!$C$19),N(Calc!$AE$67)))</f>
        <v/>
      </c>
      <c r="BN7" s="31">
        <f>IF(OR(Settings!$A$19="",Settings!$F$19="Yes",OR(EOMONTH(BN$4,0)&lt;=Settings!$B$5,BN$4&gt;TODAY())),"",IF(EOMONTH(BM$4,0)&lt;=Settings!$B$5,N(Settings!$C$19),N(Calc!$AE$68)))</f>
        <v/>
      </c>
      <c r="BO7" s="31">
        <f>IF(OR(Settings!$A$19="",Settings!$F$19="Yes",OR(EOMONTH(BO$4,0)&lt;=Settings!$B$5,BO$4&gt;TODAY())),"",IF(EOMONTH(BN$4,0)&lt;=Settings!$B$5,N(Settings!$C$19),N(Calc!$AE$69)))</f>
        <v/>
      </c>
      <c r="BP7" s="31">
        <f>IF(OR(Settings!$A$19="",Settings!$F$19="Yes",OR(EOMONTH(BP$4,0)&lt;=Settings!$B$5,BP$4&gt;TODAY())),"",IF(EOMONTH(BO$4,0)&lt;=Settings!$B$5,N(Settings!$C$19),N(Calc!$AE$70)))</f>
        <v/>
      </c>
      <c r="BQ7" s="31">
        <f>IF(OR(Settings!$A$19="",Settings!$F$19="Yes",OR(EOMONTH(BQ$4,0)&lt;=Settings!$B$5,BQ$4&gt;TODAY())),"",IF(EOMONTH(BP$4,0)&lt;=Settings!$B$5,N(Settings!$C$19),N(Calc!$AE$71)))</f>
        <v/>
      </c>
      <c r="BR7" s="31">
        <f>IF(OR(Settings!$A$19="",Settings!$F$19="Yes",OR(EOMONTH(BR$4,0)&lt;=Settings!$B$5,BR$4&gt;TODAY())),"",IF(EOMONTH(BQ$4,0)&lt;=Settings!$B$5,N(Settings!$C$19),N(Calc!$AE$72)))</f>
        <v/>
      </c>
      <c r="BS7" s="31">
        <f>IF(OR(Settings!$A$19="",Settings!$F$19="Yes",OR(EOMONTH(BS$4,0)&lt;=Settings!$B$5,BS$4&gt;TODAY())),"",IF(EOMONTH(BR$4,0)&lt;=Settings!$B$5,N(Settings!$C$19),N(Calc!$AE$73)))</f>
        <v/>
      </c>
      <c r="BT7" s="31">
        <f>IF(OR(Settings!$A$19="",Settings!$F$19="Yes",OR(EOMONTH(BT$4,0)&lt;=Settings!$B$5,BT$4&gt;TODAY())),"",IF(EOMONTH(BS$4,0)&lt;=Settings!$B$5,N(Settings!$C$19),N(Calc!$AE$74)))</f>
        <v/>
      </c>
      <c r="BU7" s="31">
        <f>IF(OR(Settings!$A$19="",Settings!$F$19="Yes",OR(EOMONTH(BU$4,0)&lt;=Settings!$B$5,BU$4&gt;TODAY())),"",IF(EOMONTH(BT$4,0)&lt;=Settings!$B$5,N(Settings!$C$19),N(Calc!$AE$75)))</f>
        <v/>
      </c>
      <c r="BV7" s="31">
        <f>IF(OR(Settings!$A$19="",Settings!$F$19="Yes",OR(EOMONTH(BV$4,0)&lt;=Settings!$B$5,BV$4&gt;TODAY())),"",IF(EOMONTH(BU$4,0)&lt;=Settings!$B$5,N(Settings!$C$19),N(Calc!$AE$76)))</f>
        <v/>
      </c>
      <c r="BW7" s="31">
        <f>IF(OR(Settings!$A$19="",Settings!$F$19="Yes",OR(EOMONTH(BW$4,0)&lt;=Settings!$B$5,BW$4&gt;TODAY())),"",IF(EOMONTH(BV$4,0)&lt;=Settings!$B$5,N(Settings!$C$19),N(Calc!$AE$77)))</f>
        <v/>
      </c>
      <c r="BX7" s="31">
        <f>IF(OR(Settings!$A$19="",Settings!$F$19="Yes",OR(EOMONTH(BX$4,0)&lt;=Settings!$B$5,BX$4&gt;TODAY())),"",IF(EOMONTH(BW$4,0)&lt;=Settings!$B$5,N(Settings!$C$19),N(Calc!$AE$78)))</f>
        <v/>
      </c>
      <c r="BY7" s="31">
        <f>IF(OR(Settings!$A$19="",Settings!$F$19="Yes",OR(EOMONTH(BY$4,0)&lt;=Settings!$B$5,BY$4&gt;TODAY())),"",IF(EOMONTH(BX$4,0)&lt;=Settings!$B$5,N(Settings!$C$19),N(Calc!$AE$79)))</f>
        <v/>
      </c>
      <c r="BZ7" s="31">
        <f>IF(OR(Settings!$A$19="",Settings!$F$19="Yes",OR(EOMONTH(BZ$4,0)&lt;=Settings!$B$5,BZ$4&gt;TODAY())),"",IF(EOMONTH(BY$4,0)&lt;=Settings!$B$5,N(Settings!$C$19),N(Calc!$AE$80)))</f>
        <v/>
      </c>
      <c r="CA7" s="31">
        <f>IF(OR(Settings!$A$19="",Settings!$F$19="Yes",OR(EOMONTH(CA$4,0)&lt;=Settings!$B$5,CA$4&gt;TODAY())),"",IF(EOMONTH(BZ$4,0)&lt;=Settings!$B$5,N(Settings!$C$19),N(Calc!$AE$81)))</f>
        <v/>
      </c>
      <c r="CB7" s="31">
        <f>IF(OR(Settings!$A$19="",Settings!$F$19="Yes",OR(EOMONTH(CB$4,0)&lt;=Settings!$B$5,CB$4&gt;TODAY())),"",IF(EOMONTH(CA$4,0)&lt;=Settings!$B$5,N(Settings!$C$19),N(Calc!$AE$82)))</f>
        <v/>
      </c>
      <c r="CC7" s="31">
        <f>IF(OR(Settings!$A$19="",Settings!$F$19="Yes",OR(EOMONTH(CC$4,0)&lt;=Settings!$B$5,CC$4&gt;TODAY())),"",IF(EOMONTH(CB$4,0)&lt;=Settings!$B$5,N(Settings!$C$19),N(Calc!$AE$83)))</f>
        <v/>
      </c>
      <c r="CD7" s="31">
        <f>IF(OR(Settings!$A$19="",Settings!$F$19="Yes",OR(EOMONTH(CD$4,0)&lt;=Settings!$B$5,CD$4&gt;TODAY())),"",IF(EOMONTH(CC$4,0)&lt;=Settings!$B$5,N(Settings!$C$19),N(Calc!$AE$84)))</f>
        <v/>
      </c>
      <c r="CE7" s="31">
        <f>IF(OR(Settings!$A$19="",Settings!$F$19="Yes",OR(EOMONTH(CE$4,0)&lt;=Settings!$B$5,CE$4&gt;TODAY())),"",IF(EOMONTH(CD$4,0)&lt;=Settings!$B$5,N(Settings!$C$19),N(Calc!$AE$85)))</f>
        <v/>
      </c>
      <c r="CF7" s="31">
        <f>IF(OR(Settings!$A$19="",Settings!$F$19="Yes",OR(EOMONTH(CF$4,0)&lt;=Settings!$B$5,CF$4&gt;TODAY())),"",IF(EOMONTH(CE$4,0)&lt;=Settings!$B$5,N(Settings!$C$19),N(Calc!$AE$86)))</f>
        <v/>
      </c>
      <c r="CG7" s="31">
        <f>IF(OR(Settings!$A$19="",Settings!$F$19="Yes",OR(EOMONTH(CG$4,0)&lt;=Settings!$B$5,CG$4&gt;TODAY())),"",IF(EOMONTH(CF$4,0)&lt;=Settings!$B$5,N(Settings!$C$19),N(Calc!$AE$87)))</f>
        <v/>
      </c>
      <c r="CH7" s="31">
        <f>IF(OR(Settings!$A$19="",Settings!$F$19="Yes",OR(EOMONTH(CH$4,0)&lt;=Settings!$B$5,CH$4&gt;TODAY())),"",IF(EOMONTH(CG$4,0)&lt;=Settings!$B$5,N(Settings!$C$19),N(Calc!$AE$88)))</f>
        <v/>
      </c>
      <c r="CI7" s="31">
        <f>IF(OR(Settings!$A$19="",Settings!$F$19="Yes",OR(EOMONTH(CI$4,0)&lt;=Settings!$B$5,CI$4&gt;TODAY())),"",IF(EOMONTH(CH$4,0)&lt;=Settings!$B$5,N(Settings!$C$19),N(Calc!$AE$89)))</f>
        <v/>
      </c>
      <c r="CJ7" s="31">
        <f>IF(OR(Settings!$A$19="",Settings!$F$19="Yes",OR(EOMONTH(CJ$4,0)&lt;=Settings!$B$5,CJ$4&gt;TODAY())),"",IF(EOMONTH(CI$4,0)&lt;=Settings!$B$5,N(Settings!$C$19),N(Calc!$AE$90)))</f>
        <v/>
      </c>
      <c r="CK7" s="31">
        <f>IF(OR(Settings!$A$19="",Settings!$F$19="Yes",OR(EOMONTH(CK$4,0)&lt;=Settings!$B$5,CK$4&gt;TODAY())),"",IF(EOMONTH(CJ$4,0)&lt;=Settings!$B$5,N(Settings!$C$19),N(Calc!$AE$91)))</f>
        <v/>
      </c>
      <c r="CL7" s="31">
        <f>IF(OR(Settings!$A$19="",Settings!$F$19="Yes",OR(EOMONTH(CL$4,0)&lt;=Settings!$B$5,CL$4&gt;TODAY())),"",IF(EOMONTH(CK$4,0)&lt;=Settings!$B$5,N(Settings!$C$19),N(Calc!$AE$92)))</f>
        <v/>
      </c>
      <c r="CM7" s="31">
        <f>IF(OR(Settings!$A$19="",Settings!$F$19="Yes",OR(EOMONTH(CM$4,0)&lt;=Settings!$B$5,CM$4&gt;TODAY())),"",IF(EOMONTH(CL$4,0)&lt;=Settings!$B$5,N(Settings!$C$19),N(Calc!$AE$93)))</f>
        <v/>
      </c>
      <c r="CN7" s="31">
        <f>IF(OR(Settings!$A$19="",Settings!$F$19="Yes",OR(EOMONTH(CN$4,0)&lt;=Settings!$B$5,CN$4&gt;TODAY())),"",IF(EOMONTH(CM$4,0)&lt;=Settings!$B$5,N(Settings!$C$19),N(Calc!$AE$94)))</f>
        <v/>
      </c>
      <c r="CO7" s="31">
        <f>IF(OR(Settings!$A$19="",Settings!$F$19="Yes",OR(EOMONTH(CO$4,0)&lt;=Settings!$B$5,CO$4&gt;TODAY())),"",IF(EOMONTH(CN$4,0)&lt;=Settings!$B$5,N(Settings!$C$19),N(Calc!$AE$95)))</f>
        <v/>
      </c>
      <c r="CP7" s="31">
        <f>IF(OR(Settings!$A$19="",Settings!$F$19="Yes",OR(EOMONTH(CP$4,0)&lt;=Settings!$B$5,CP$4&gt;TODAY())),"",IF(EOMONTH(CO$4,0)&lt;=Settings!$B$5,N(Settings!$C$19),N(Calc!$AE$96)))</f>
        <v/>
      </c>
      <c r="CQ7" s="31">
        <f>IF(OR(Settings!$A$19="",Settings!$F$19="Yes",OR(EOMONTH(CQ$4,0)&lt;=Settings!$B$5,CQ$4&gt;TODAY())),"",IF(EOMONTH(CP$4,0)&lt;=Settings!$B$5,N(Settings!$C$19),N(Calc!$AE$97)))</f>
        <v/>
      </c>
      <c r="CR7" s="31">
        <f>IF(OR(Settings!$A$19="",Settings!$F$19="Yes",OR(EOMONTH(CR$4,0)&lt;=Settings!$B$5,CR$4&gt;TODAY())),"",IF(EOMONTH(CQ$4,0)&lt;=Settings!$B$5,N(Settings!$C$19),N(Calc!$AE$98)))</f>
        <v/>
      </c>
      <c r="CS7" s="31">
        <f>IF(OR(Settings!$A$19="",Settings!$F$19="Yes",OR(EOMONTH(CS$4,0)&lt;=Settings!$B$5,CS$4&gt;TODAY())),"",IF(EOMONTH(CR$4,0)&lt;=Settings!$B$5,N(Settings!$C$19),N(Calc!$AE$99)))</f>
        <v/>
      </c>
      <c r="CT7" s="31">
        <f>IF(OR(Settings!$A$19="",Settings!$F$19="Yes",OR(EOMONTH(CT$4,0)&lt;=Settings!$B$5,CT$4&gt;TODAY())),"",IF(EOMONTH(CS$4,0)&lt;=Settings!$B$5,N(Settings!$C$19),N(Calc!$AE$100)))</f>
        <v/>
      </c>
      <c r="CU7" s="31">
        <f>IF(OR(Settings!$A$19="",Settings!$F$19="Yes",OR(EOMONTH(CU$4,0)&lt;=Settings!$B$5,CU$4&gt;TODAY())),"",IF(EOMONTH(CT$4,0)&lt;=Settings!$B$5,N(Settings!$C$19),N(Calc!$AE$101)))</f>
        <v/>
      </c>
      <c r="CV7" s="31">
        <f>IF(OR(Settings!$A$19="",Settings!$F$19="Yes",OR(EOMONTH(CV$4,0)&lt;=Settings!$B$5,CV$4&gt;TODAY())),"",IF(EOMONTH(CU$4,0)&lt;=Settings!$B$5,N(Settings!$C$19),N(Calc!$AE$102)))</f>
        <v/>
      </c>
      <c r="CW7" s="31">
        <f>IF(OR(Settings!$A$19="",Settings!$F$19="Yes",OR(EOMONTH(CW$4,0)&lt;=Settings!$B$5,CW$4&gt;TODAY())),"",IF(EOMONTH(CV$4,0)&lt;=Settings!$B$5,N(Settings!$C$19),N(Calc!$AE$103)))</f>
        <v/>
      </c>
      <c r="CX7" s="31">
        <f>IF(OR(Settings!$A$19="",Settings!$F$19="Yes",OR(EOMONTH(CX$4,0)&lt;=Settings!$B$5,CX$4&gt;TODAY())),"",IF(EOMONTH(CW$4,0)&lt;=Settings!$B$5,N(Settings!$C$19),N(Calc!$AE$104)))</f>
        <v/>
      </c>
      <c r="CY7" s="31">
        <f>IF(OR(Settings!$A$19="",Settings!$F$19="Yes",OR(EOMONTH(CY$4,0)&lt;=Settings!$B$5,CY$4&gt;TODAY())),"",IF(EOMONTH(CX$4,0)&lt;=Settings!$B$5,N(Settings!$C$19),N(Calc!$AE$105)))</f>
        <v/>
      </c>
      <c r="CZ7" s="31">
        <f>IF(OR(Settings!$A$19="",Settings!$F$19="Yes",OR(EOMONTH(CZ$4,0)&lt;=Settings!$B$5,CZ$4&gt;TODAY())),"",IF(EOMONTH(CY$4,0)&lt;=Settings!$B$5,N(Settings!$C$19),N(Calc!$AE$106)))</f>
        <v/>
      </c>
      <c r="DA7" s="31">
        <f>IF(OR(Settings!$A$19="",Settings!$F$19="Yes",OR(EOMONTH(DA$4,0)&lt;=Settings!$B$5,DA$4&gt;TODAY())),"",IF(EOMONTH(CZ$4,0)&lt;=Settings!$B$5,N(Settings!$C$19),N(Calc!$AE$107)))</f>
        <v/>
      </c>
      <c r="DB7" s="31">
        <f>IF(OR(Settings!$A$19="",Settings!$F$19="Yes",OR(EOMONTH(DB$4,0)&lt;=Settings!$B$5,DB$4&gt;TODAY())),"",IF(EOMONTH(DA$4,0)&lt;=Settings!$B$5,N(Settings!$C$19),N(Calc!$AE$108)))</f>
        <v/>
      </c>
      <c r="DC7" s="31">
        <f>IF(OR(Settings!$A$19="",Settings!$F$19="Yes",OR(EOMONTH(DC$4,0)&lt;=Settings!$B$5,DC$4&gt;TODAY())),"",IF(EOMONTH(DB$4,0)&lt;=Settings!$B$5,N(Settings!$C$19),N(Calc!$AE$109)))</f>
        <v/>
      </c>
      <c r="DD7" s="31">
        <f>IF(OR(Settings!$A$19="",Settings!$F$19="Yes",OR(EOMONTH(DD$4,0)&lt;=Settings!$B$5,DD$4&gt;TODAY())),"",IF(EOMONTH(DC$4,0)&lt;=Settings!$B$5,N(Settings!$C$19),N(Calc!$AE$110)))</f>
        <v/>
      </c>
      <c r="DE7" s="31">
        <f>IF(OR(Settings!$A$19="",Settings!$F$19="Yes",OR(EOMONTH(DE$4,0)&lt;=Settings!$B$5,DE$4&gt;TODAY())),"",IF(EOMONTH(DD$4,0)&lt;=Settings!$B$5,N(Settings!$C$19),N(Calc!$AE$111)))</f>
        <v/>
      </c>
      <c r="DF7" s="31">
        <f>IF(OR(Settings!$A$19="",Settings!$F$19="Yes",OR(EOMONTH(DF$4,0)&lt;=Settings!$B$5,DF$4&gt;TODAY())),"",IF(EOMONTH(DE$4,0)&lt;=Settings!$B$5,N(Settings!$C$19),N(Calc!$AE$112)))</f>
        <v/>
      </c>
      <c r="DG7" s="31">
        <f>IF(OR(Settings!$A$19="",Settings!$F$19="Yes",OR(EOMONTH(DG$4,0)&lt;=Settings!$B$5,DG$4&gt;TODAY())),"",IF(EOMONTH(DF$4,0)&lt;=Settings!$B$5,N(Settings!$C$19),N(Calc!$AE$113)))</f>
        <v/>
      </c>
      <c r="DH7" s="31">
        <f>IF(OR(Settings!$A$19="",Settings!$F$19="Yes",OR(EOMONTH(DH$4,0)&lt;=Settings!$B$5,DH$4&gt;TODAY())),"",IF(EOMONTH(DG$4,0)&lt;=Settings!$B$5,N(Settings!$C$19),N(Calc!$AE$114)))</f>
        <v/>
      </c>
      <c r="DI7" s="31">
        <f>IF(OR(Settings!$A$19="",Settings!$F$19="Yes",OR(EOMONTH(DI$4,0)&lt;=Settings!$B$5,DI$4&gt;TODAY())),"",IF(EOMONTH(DH$4,0)&lt;=Settings!$B$5,N(Settings!$C$19),N(Calc!$AE$115)))</f>
        <v/>
      </c>
      <c r="DJ7" s="31">
        <f>IF(OR(Settings!$A$19="",Settings!$F$19="Yes",OR(EOMONTH(DJ$4,0)&lt;=Settings!$B$5,DJ$4&gt;TODAY())),"",IF(EOMONTH(DI$4,0)&lt;=Settings!$B$5,N(Settings!$C$19),N(Calc!$AE$116)))</f>
        <v/>
      </c>
      <c r="DK7" s="31">
        <f>IF(OR(Settings!$A$19="",Settings!$F$19="Yes",OR(EOMONTH(DK$4,0)&lt;=Settings!$B$5,DK$4&gt;TODAY())),"",IF(EOMONTH(DJ$4,0)&lt;=Settings!$B$5,N(Settings!$C$19),N(Calc!$AE$117)))</f>
        <v/>
      </c>
      <c r="DL7" s="31">
        <f>IF(OR(Settings!$A$19="",Settings!$F$19="Yes",OR(EOMONTH(DL$4,0)&lt;=Settings!$B$5,DL$4&gt;TODAY())),"",IF(EOMONTH(DK$4,0)&lt;=Settings!$B$5,N(Settings!$C$19),N(Calc!$AE$118)))</f>
        <v/>
      </c>
      <c r="DM7" s="31">
        <f>IF(OR(Settings!$A$19="",Settings!$F$19="Yes",OR(EOMONTH(DM$4,0)&lt;=Settings!$B$5,DM$4&gt;TODAY())),"",IF(EOMONTH(DL$4,0)&lt;=Settings!$B$5,N(Settings!$C$19),N(Calc!$AE$119)))</f>
        <v/>
      </c>
      <c r="DN7" s="31">
        <f>IF(OR(Settings!$A$19="",Settings!$F$19="Yes",OR(EOMONTH(DN$4,0)&lt;=Settings!$B$5,DN$4&gt;TODAY())),"",IF(EOMONTH(DM$4,0)&lt;=Settings!$B$5,N(Settings!$C$19),N(Calc!$AE$120)))</f>
        <v/>
      </c>
      <c r="DO7" s="31">
        <f>IF(OR(Settings!$A$19="",Settings!$F$19="Yes",OR(EOMONTH(DO$4,0)&lt;=Settings!$B$5,DO$4&gt;TODAY())),"",IF(EOMONTH(DN$4,0)&lt;=Settings!$B$5,N(Settings!$C$19),N(Calc!$AE$121)))</f>
        <v/>
      </c>
      <c r="DP7" s="31">
        <f>IF(OR(Settings!$A$19="",Settings!$F$19="Yes",OR(EOMONTH(DP$4,0)&lt;=Settings!$B$5,DP$4&gt;TODAY())),"",IF(EOMONTH(DO$4,0)&lt;=Settings!$B$5,N(Settings!$C$19),N(Calc!$AE$122)))</f>
        <v/>
      </c>
      <c r="DQ7" s="31">
        <f>IF(OR(Settings!$A$19="",Settings!$F$19="Yes",OR(EOMONTH(DQ$4,0)&lt;=Settings!$B$5,DQ$4&gt;TODAY())),"",IF(EOMONTH(DP$4,0)&lt;=Settings!$B$5,N(Settings!$C$19),N(Calc!$AE$123)))</f>
        <v/>
      </c>
      <c r="DR7" s="31">
        <f>IF(OR(Settings!$A$19="",Settings!$F$19="Yes",OR(EOMONTH(DR$4,0)&lt;=Settings!$B$5,DR$4&gt;TODAY())),"",IF(EOMONTH(DQ$4,0)&lt;=Settings!$B$5,N(Settings!$C$19),N(Calc!$AE$124)))</f>
        <v/>
      </c>
      <c r="DS7" s="31">
        <f>IF(OR(Settings!$A$19="",Settings!$F$19="Yes",OR(EOMONTH(DS$4,0)&lt;=Settings!$B$5,DS$4&gt;TODAY())),"",IF(EOMONTH(DR$4,0)&lt;=Settings!$B$5,N(Settings!$C$19),N(Calc!$AE$125)))</f>
        <v/>
      </c>
      <c r="DT7" s="31">
        <f>IF(OR(Settings!$A$19="",Settings!$F$19="Yes",OR(EOMONTH(DT$4,0)&lt;=Settings!$B$5,DT$4&gt;TODAY())),"",IF(EOMONTH(DS$4,0)&lt;=Settings!$B$5,N(Settings!$C$19),N(Calc!$AE$126)))</f>
        <v/>
      </c>
      <c r="DU7" s="31">
        <f>IF(OR(Settings!$A$19="",Settings!$F$19="Yes",OR(EOMONTH(DU$4,0)&lt;=Settings!$B$5,DU$4&gt;TODAY())),"",IF(EOMONTH(DT$4,0)&lt;=Settings!$B$5,N(Settings!$C$19),N(Calc!$AE$127)))</f>
        <v/>
      </c>
      <c r="DV7" s="31">
        <f>IF(OR(Settings!$A$19="",Settings!$F$19="Yes",OR(EOMONTH(DV$4,0)&lt;=Settings!$B$5,DV$4&gt;TODAY())),"",IF(EOMONTH(DU$4,0)&lt;=Settings!$B$5,N(Settings!$C$19),N(Calc!$AE$128)))</f>
        <v/>
      </c>
      <c r="DW7" s="31">
        <f>IF(OR(Settings!$A$19="",Settings!$F$19="Yes",OR(EOMONTH(DW$4,0)&lt;=Settings!$B$5,DW$4&gt;TODAY())),"",IF(EOMONTH(DV$4,0)&lt;=Settings!$B$5,N(Settings!$C$19),N(Calc!$AE$129)))</f>
        <v/>
      </c>
      <c r="DX7" s="31">
        <f>IF(OR(Settings!$A$19="",Settings!$F$19="Yes",OR(EOMONTH(DX$4,0)&lt;=Settings!$B$5,DX$4&gt;TODAY())),"",IF(EOMONTH(DW$4,0)&lt;=Settings!$B$5,N(Settings!$C$19),N(Calc!$AE$130)))</f>
        <v/>
      </c>
      <c r="DY7" s="31">
        <f>IF(OR(Settings!$A$19="",Settings!$F$19="Yes",OR(EOMONTH(DY$4,0)&lt;=Settings!$B$5,DY$4&gt;TODAY())),"",IF(EOMONTH(DX$4,0)&lt;=Settings!$B$5,N(Settings!$C$19),N(Calc!$AE$131)))</f>
        <v/>
      </c>
      <c r="DZ7" s="31">
        <f>IF(OR(Settings!$A$19="",Settings!$F$19="Yes",OR(EOMONTH(DZ$4,0)&lt;=Settings!$B$5,DZ$4&gt;TODAY())),"",IF(EOMONTH(DY$4,0)&lt;=Settings!$B$5,N(Settings!$C$19),N(Calc!$AE$132)))</f>
        <v/>
      </c>
      <c r="EA7" s="31">
        <f>IF(OR(Settings!$A$19="",Settings!$F$19="Yes",OR(EOMONTH(EA$4,0)&lt;=Settings!$B$5,EA$4&gt;TODAY())),"",IF(EOMONTH(DZ$4,0)&lt;=Settings!$B$5,N(Settings!$C$19),N(Calc!$AE$133)))</f>
        <v/>
      </c>
      <c r="EB7" s="31">
        <f>IF(OR(Settings!$A$19="",Settings!$F$19="Yes",OR(EOMONTH(EB$4,0)&lt;=Settings!$B$5,EB$4&gt;TODAY())),"",IF(EOMONTH(EA$4,0)&lt;=Settings!$B$5,N(Settings!$C$19),N(Calc!$AE$134)))</f>
        <v/>
      </c>
      <c r="EC7" s="31">
        <f>IF(OR(Settings!$A$19="",Settings!$F$19="Yes",OR(EOMONTH(EC$4,0)&lt;=Settings!$B$5,EC$4&gt;TODAY())),"",IF(EOMONTH(EB$4,0)&lt;=Settings!$B$5,N(Settings!$C$19),N(Calc!$AE$135)))</f>
        <v/>
      </c>
      <c r="ED7" s="31">
        <f>IF(OR(Settings!$A$19="",Settings!$F$19="Yes",OR(EOMONTH(ED$4,0)&lt;=Settings!$B$5,ED$4&gt;TODAY())),"",IF(EOMONTH(EC$4,0)&lt;=Settings!$B$5,N(Settings!$C$19),N(Calc!$AE$136)))</f>
        <v/>
      </c>
      <c r="EE7" s="31">
        <f>IF(OR(Settings!$A$19="",Settings!$F$19="Yes",OR(EOMONTH(EE$4,0)&lt;=Settings!$B$5,EE$4&gt;TODAY())),"",IF(EOMONTH(ED$4,0)&lt;=Settings!$B$5,N(Settings!$C$19),N(Calc!$AE$137)))</f>
        <v/>
      </c>
      <c r="EF7" s="31">
        <f>IF(OR(Settings!$A$19="",Settings!$F$19="Yes",OR(EOMONTH(EF$4,0)&lt;=Settings!$B$5,EF$4&gt;TODAY())),"",IF(EOMONTH(EE$4,0)&lt;=Settings!$B$5,N(Settings!$C$19),N(Calc!$AE$138)))</f>
        <v/>
      </c>
      <c r="EG7" s="31">
        <f>IF(OR(Settings!$A$19="",Settings!$F$19="Yes",OR(EOMONTH(EG$4,0)&lt;=Settings!$B$5,EG$4&gt;TODAY())),"",IF(EOMONTH(EF$4,0)&lt;=Settings!$B$5,N(Settings!$C$19),N(Calc!$AE$139)))</f>
        <v/>
      </c>
      <c r="EH7" s="31">
        <f>IF(OR(Settings!$A$19="",Settings!$F$19="Yes",OR(EOMONTH(EH$4,0)&lt;=Settings!$B$5,EH$4&gt;TODAY())),"",IF(EOMONTH(EG$4,0)&lt;=Settings!$B$5,N(Settings!$C$19),N(Calc!$AE$140)))</f>
        <v/>
      </c>
      <c r="EI7" s="31">
        <f>IF(OR(Settings!$A$19="",Settings!$F$19="Yes",OR(EOMONTH(EI$4,0)&lt;=Settings!$B$5,EI$4&gt;TODAY())),"",IF(EOMONTH(EH$4,0)&lt;=Settings!$B$5,N(Settings!$C$19),N(Calc!$AE$141)))</f>
        <v/>
      </c>
      <c r="EJ7" s="31">
        <f>IF(OR(Settings!$A$19="",Settings!$F$19="Yes",OR(EOMONTH(EJ$4,0)&lt;=Settings!$B$5,EJ$4&gt;TODAY())),"",IF(EOMONTH(EI$4,0)&lt;=Settings!$B$5,N(Settings!$C$19),N(Calc!$AE$142)))</f>
        <v/>
      </c>
      <c r="EK7" s="31">
        <f>IF(OR(Settings!$A$19="",Settings!$F$19="Yes",OR(EOMONTH(EK$4,0)&lt;=Settings!$B$5,EK$4&gt;TODAY())),"",IF(EOMONTH(EJ$4,0)&lt;=Settings!$B$5,N(Settings!$C$19),N(Calc!$AE$143)))</f>
        <v/>
      </c>
      <c r="EL7" s="31">
        <f>IF(OR(Settings!$A$19="",Settings!$F$19="Yes",OR(EOMONTH(EL$4,0)&lt;=Settings!$B$5,EL$4&gt;TODAY())),"",IF(EOMONTH(EK$4,0)&lt;=Settings!$B$5,N(Settings!$C$19),N(Calc!$AE$144)))</f>
        <v/>
      </c>
      <c r="EM7" s="31">
        <f>IF(OR(Settings!$A$19="",Settings!$F$19="Yes",OR(EOMONTH(EM$4,0)&lt;=Settings!$B$5,EM$4&gt;TODAY())),"",IF(EOMONTH(EL$4,0)&lt;=Settings!$B$5,N(Settings!$C$19),N(Calc!$AE$145)))</f>
        <v/>
      </c>
      <c r="EN7" s="31">
        <f>IF(OR(Settings!$A$19="",Settings!$F$19="Yes",OR(EOMONTH(EN$4,0)&lt;=Settings!$B$5,EN$4&gt;TODAY())),"",IF(EOMONTH(EM$4,0)&lt;=Settings!$B$5,N(Settings!$C$19),N(Calc!$AE$146)))</f>
        <v/>
      </c>
      <c r="EO7" s="31">
        <f>IF(OR(Settings!$A$19="",Settings!$F$19="Yes",OR(EOMONTH(EO$4,0)&lt;=Settings!$B$5,EO$4&gt;TODAY())),"",IF(EOMONTH(EN$4,0)&lt;=Settings!$B$5,N(Settings!$C$19),N(Calc!$AE$147)))</f>
        <v/>
      </c>
      <c r="EP7" s="31">
        <f>IF(OR(Settings!$A$19="",Settings!$F$19="Yes",OR(EOMONTH(EP$4,0)&lt;=Settings!$B$5,EP$4&gt;TODAY())),"",IF(EOMONTH(EO$4,0)&lt;=Settings!$B$5,N(Settings!$C$19),N(Calc!$AE$148)))</f>
        <v/>
      </c>
      <c r="EQ7" s="31">
        <f>IF(OR(Settings!$A$19="",Settings!$F$19="Yes",OR(EOMONTH(EQ$4,0)&lt;=Settings!$B$5,EQ$4&gt;TODAY())),"",IF(EOMONTH(EP$4,0)&lt;=Settings!$B$5,N(Settings!$C$19),N(Calc!$AE$149)))</f>
        <v/>
      </c>
      <c r="ER7" s="31">
        <f>IF(OR(Settings!$A$19="",Settings!$F$19="Yes",OR(EOMONTH(ER$4,0)&lt;=Settings!$B$5,ER$4&gt;TODAY())),"",IF(EOMONTH(EQ$4,0)&lt;=Settings!$B$5,N(Settings!$C$19),N(Calc!$AE$150)))</f>
        <v/>
      </c>
      <c r="ES7" s="31">
        <f>IF(OR(Settings!$A$19="",Settings!$F$19="Yes",OR(EOMONTH(ES$4,0)&lt;=Settings!$B$5,ES$4&gt;TODAY())),"",IF(EOMONTH(ER$4,0)&lt;=Settings!$B$5,N(Settings!$C$19),N(Calc!$AE$151)))</f>
        <v/>
      </c>
      <c r="ET7" s="31">
        <f>IF(OR(Settings!$A$19="",Settings!$F$19="Yes",OR(EOMONTH(ET$4,0)&lt;=Settings!$B$5,ET$4&gt;TODAY())),"",IF(EOMONTH(ES$4,0)&lt;=Settings!$B$5,N(Settings!$C$19),N(Calc!$AE$152)))</f>
        <v/>
      </c>
      <c r="EU7" s="31">
        <f>IF(OR(Settings!$A$19="",Settings!$F$19="Yes",OR(EOMONTH(EU$4,0)&lt;=Settings!$B$5,EU$4&gt;TODAY())),"",IF(EOMONTH(ET$4,0)&lt;=Settings!$B$5,N(Settings!$C$19),N(Calc!$AE$153)))</f>
        <v/>
      </c>
      <c r="EV7" s="31">
        <f>IF(OR(Settings!$A$19="",Settings!$F$19="Yes",OR(EOMONTH(EV$4,0)&lt;=Settings!$B$5,EV$4&gt;TODAY())),"",IF(EOMONTH(EU$4,0)&lt;=Settings!$B$5,N(Settings!$C$19),N(Calc!$AE$154)))</f>
        <v/>
      </c>
      <c r="EW7" s="31">
        <f>IF(OR(Settings!$A$19="",Settings!$F$19="Yes",OR(EOMONTH(EW$4,0)&lt;=Settings!$B$5,EW$4&gt;TODAY())),"",IF(EOMONTH(EV$4,0)&lt;=Settings!$B$5,N(Settings!$C$19),N(Calc!$AE$155)))</f>
        <v/>
      </c>
      <c r="EX7" s="31">
        <f>IF(OR(Settings!$A$19="",Settings!$F$19="Yes",OR(EOMONTH(EX$4,0)&lt;=Settings!$B$5,EX$4&gt;TODAY())),"",IF(EOMONTH(EW$4,0)&lt;=Settings!$B$5,N(Settings!$C$19),N(Calc!$AE$156)))</f>
        <v/>
      </c>
      <c r="EY7" s="31">
        <f>IF(OR(Settings!$A$19="",Settings!$F$19="Yes",OR(EOMONTH(EY$4,0)&lt;=Settings!$B$5,EY$4&gt;TODAY())),"",IF(EOMONTH(EX$4,0)&lt;=Settings!$B$5,N(Settings!$C$19),N(Calc!$AE$157)))</f>
        <v/>
      </c>
      <c r="EZ7" s="31">
        <f>IF(OR(Settings!$A$19="",Settings!$F$19="Yes",OR(EOMONTH(EZ$4,0)&lt;=Settings!$B$5,EZ$4&gt;TODAY())),"",IF(EOMONTH(EY$4,0)&lt;=Settings!$B$5,N(Settings!$C$19),N(Calc!$AE$158)))</f>
        <v/>
      </c>
      <c r="FA7" s="31">
        <f>IF(OR(Settings!$A$19="",Settings!$F$19="Yes",OR(EOMONTH(FA$4,0)&lt;=Settings!$B$5,FA$4&gt;TODAY())),"",IF(EOMONTH(EZ$4,0)&lt;=Settings!$B$5,N(Settings!$C$19),N(Calc!$AE$159)))</f>
        <v/>
      </c>
      <c r="FB7" s="31">
        <f>IF(OR(Settings!$A$19="",Settings!$F$19="Yes",OR(EOMONTH(FB$4,0)&lt;=Settings!$B$5,FB$4&gt;TODAY())),"",IF(EOMONTH(FA$4,0)&lt;=Settings!$B$5,N(Settings!$C$19),N(Calc!$AE$160)))</f>
        <v/>
      </c>
      <c r="FC7" s="31">
        <f>IF(OR(Settings!$A$19="",Settings!$F$19="Yes",OR(EOMONTH(FC$4,0)&lt;=Settings!$B$5,FC$4&gt;TODAY())),"",IF(EOMONTH(FB$4,0)&lt;=Settings!$B$5,N(Settings!$C$19),N(Calc!$AE$161)))</f>
        <v/>
      </c>
      <c r="FD7" s="31">
        <f>IF(OR(Settings!$A$19="",Settings!$F$19="Yes",OR(EOMONTH(FD$4,0)&lt;=Settings!$B$5,FD$4&gt;TODAY())),"",IF(EOMONTH(FC$4,0)&lt;=Settings!$B$5,N(Settings!$C$19),N(Calc!$AE$162)))</f>
        <v/>
      </c>
      <c r="FE7" s="31">
        <f>IF(OR(Settings!$A$19="",Settings!$F$19="Yes",OR(EOMONTH(FE$4,0)&lt;=Settings!$B$5,FE$4&gt;TODAY())),"",IF(EOMONTH(FD$4,0)&lt;=Settings!$B$5,N(Settings!$C$19),N(Calc!$AE$163)))</f>
        <v/>
      </c>
      <c r="FF7" s="31">
        <f>IF(OR(Settings!$A$19="",Settings!$F$19="Yes",OR(EOMONTH(FF$4,0)&lt;=Settings!$B$5,FF$4&gt;TODAY())),"",IF(EOMONTH(FE$4,0)&lt;=Settings!$B$5,N(Settings!$C$19),N(Calc!$AE$164)))</f>
        <v/>
      </c>
      <c r="FG7" s="31">
        <f>IF(OR(Settings!$A$19="",Settings!$F$19="Yes",OR(EOMONTH(FG$4,0)&lt;=Settings!$B$5,FG$4&gt;TODAY())),"",IF(EOMONTH(FF$4,0)&lt;=Settings!$B$5,N(Settings!$C$19),N(Calc!$AE$165)))</f>
        <v/>
      </c>
      <c r="FH7" s="31">
        <f>IF(OR(Settings!$A$19="",Settings!$F$19="Yes",OR(EOMONTH(FH$4,0)&lt;=Settings!$B$5,FH$4&gt;TODAY())),"",IF(EOMONTH(FG$4,0)&lt;=Settings!$B$5,N(Settings!$C$19),N(Calc!$AE$166)))</f>
        <v/>
      </c>
      <c r="FI7" s="31">
        <f>IF(OR(Settings!$A$19="",Settings!$F$19="Yes",OR(EOMONTH(FI$4,0)&lt;=Settings!$B$5,FI$4&gt;TODAY())),"",IF(EOMONTH(FH$4,0)&lt;=Settings!$B$5,N(Settings!$C$19),N(Calc!$AE$167)))</f>
        <v/>
      </c>
      <c r="FJ7" s="31">
        <f>IF(OR(Settings!$A$19="",Settings!$F$19="Yes",OR(EOMONTH(FJ$4,0)&lt;=Settings!$B$5,FJ$4&gt;TODAY())),"",IF(EOMONTH(FI$4,0)&lt;=Settings!$B$5,N(Settings!$C$19),N(Calc!$AE$168)))</f>
        <v/>
      </c>
      <c r="FK7" s="31">
        <f>IF(OR(Settings!$A$19="",Settings!$F$19="Yes",OR(EOMONTH(FK$4,0)&lt;=Settings!$B$5,FK$4&gt;TODAY())),"",IF(EOMONTH(FJ$4,0)&lt;=Settings!$B$5,N(Settings!$C$19),N(Calc!$AE$169)))</f>
        <v/>
      </c>
      <c r="FL7" s="31">
        <f>IF(OR(Settings!$A$19="",Settings!$F$19="Yes",OR(EOMONTH(FL$4,0)&lt;=Settings!$B$5,FL$4&gt;TODAY())),"",IF(EOMONTH(FK$4,0)&lt;=Settings!$B$5,N(Settings!$C$19),N(Calc!$AE$170)))</f>
        <v/>
      </c>
      <c r="FM7" s="31">
        <f>IF(OR(Settings!$A$19="",Settings!$F$19="Yes",OR(EOMONTH(FM$4,0)&lt;=Settings!$B$5,FM$4&gt;TODAY())),"",IF(EOMONTH(FL$4,0)&lt;=Settings!$B$5,N(Settings!$C$19),N(Calc!$AE$171)))</f>
        <v/>
      </c>
      <c r="FN7" s="31">
        <f>IF(OR(Settings!$A$19="",Settings!$F$19="Yes",OR(EOMONTH(FN$4,0)&lt;=Settings!$B$5,FN$4&gt;TODAY())),"",IF(EOMONTH(FM$4,0)&lt;=Settings!$B$5,N(Settings!$C$19),N(Calc!$AE$172)))</f>
        <v/>
      </c>
      <c r="FO7" s="31">
        <f>IF(OR(Settings!$A$19="",Settings!$F$19="Yes",OR(EOMONTH(FO$4,0)&lt;=Settings!$B$5,FO$4&gt;TODAY())),"",IF(EOMONTH(FN$4,0)&lt;=Settings!$B$5,N(Settings!$C$19),N(Calc!$AE$173)))</f>
        <v/>
      </c>
      <c r="FP7" s="31">
        <f>IF(OR(Settings!$A$19="",Settings!$F$19="Yes",OR(EOMONTH(FP$4,0)&lt;=Settings!$B$5,FP$4&gt;TODAY())),"",IF(EOMONTH(FO$4,0)&lt;=Settings!$B$5,N(Settings!$C$19),N(Calc!$AE$174)))</f>
        <v/>
      </c>
      <c r="FQ7" s="31">
        <f>IF(OR(Settings!$A$19="",Settings!$F$19="Yes",OR(EOMONTH(FQ$4,0)&lt;=Settings!$B$5,FQ$4&gt;TODAY())),"",IF(EOMONTH(FP$4,0)&lt;=Settings!$B$5,N(Settings!$C$19),N(Calc!$AE$175)))</f>
        <v/>
      </c>
      <c r="FR7" s="31">
        <f>IF(OR(Settings!$A$19="",Settings!$F$19="Yes",OR(EOMONTH(FR$4,0)&lt;=Settings!$B$5,FR$4&gt;TODAY())),"",IF(EOMONTH(FQ$4,0)&lt;=Settings!$B$5,N(Settings!$C$19),N(Calc!$AE$176)))</f>
        <v/>
      </c>
      <c r="FS7" s="31">
        <f>IF(OR(Settings!$A$19="",Settings!$F$19="Yes",OR(EOMONTH(FS$4,0)&lt;=Settings!$B$5,FS$4&gt;TODAY())),"",IF(EOMONTH(FR$4,0)&lt;=Settings!$B$5,N(Settings!$C$19),N(Calc!$AE$177)))</f>
        <v/>
      </c>
      <c r="FT7" s="31">
        <f>IF(OR(Settings!$A$19="",Settings!$F$19="Yes",OR(EOMONTH(FT$4,0)&lt;=Settings!$B$5,FT$4&gt;TODAY())),"",IF(EOMONTH(FS$4,0)&lt;=Settings!$B$5,N(Settings!$C$19),N(Calc!$AE$178)))</f>
        <v/>
      </c>
      <c r="FU7" s="31">
        <f>IF(OR(Settings!$A$19="",Settings!$F$19="Yes",OR(EOMONTH(FU$4,0)&lt;=Settings!$B$5,FU$4&gt;TODAY())),"",IF(EOMONTH(FT$4,0)&lt;=Settings!$B$5,N(Settings!$C$19),N(Calc!$AE$179)))</f>
        <v/>
      </c>
      <c r="FV7" s="31">
        <f>IF(OR(Settings!$A$19="",Settings!$F$19="Yes",OR(EOMONTH(FV$4,0)&lt;=Settings!$B$5,FV$4&gt;TODAY())),"",IF(EOMONTH(FU$4,0)&lt;=Settings!$B$5,N(Settings!$C$19),N(Calc!$AE$180)))</f>
        <v/>
      </c>
      <c r="FW7" s="31">
        <f>IF(OR(Settings!$A$19="",Settings!$F$19="Yes",OR(EOMONTH(FW$4,0)&lt;=Settings!$B$5,FW$4&gt;TODAY())),"",IF(EOMONTH(FV$4,0)&lt;=Settings!$B$5,N(Settings!$C$19),N(Calc!$AE$181)))</f>
        <v/>
      </c>
      <c r="FX7" s="31">
        <f>IF(OR(Settings!$A$19="",Settings!$F$19="Yes",OR(EOMONTH(FX$4,0)&lt;=Settings!$B$5,FX$4&gt;TODAY())),"",IF(EOMONTH(FW$4,0)&lt;=Settings!$B$5,N(Settings!$C$19),N(Calc!$AE$182)))</f>
        <v/>
      </c>
    </row>
    <row r="8">
      <c r="A8" s="15">
        <f>IF(Settings!$A$20="","(unused)",Settings!$A$20&amp;IF(Settings!$E$20="No"," (retired)",""))</f>
        <v/>
      </c>
      <c r="B8" s="26">
        <f>IF(Settings!$A$20="","",IF(Settings!$F$20="Yes","REQUIRED","optional · grey = unchanged")&amp;IF(OR(Settings!$B$20="Card",Settings!$B$20="Loan")," · amount owed",""))</f>
        <v/>
      </c>
      <c r="C8" s="31">
        <f>IF(OR(Settings!$A$20="",Settings!$F$20="Yes",OR(EOMONTH(C$4,0)&lt;=Settings!$B$5,C$4&gt;TODAY())),"",N(Settings!$C$20))</f>
        <v/>
      </c>
      <c r="D8" s="31">
        <f>IF(OR(Settings!$A$20="",Settings!$F$20="Yes",OR(EOMONTH(D$4,0)&lt;=Settings!$B$5,D$4&gt;TODAY())),"",IF(EOMONTH(C$4,0)&lt;=Settings!$B$5,N(Settings!$C$20),N(Calc!$AF$6)))</f>
        <v/>
      </c>
      <c r="E8" s="31">
        <f>IF(OR(Settings!$A$20="",Settings!$F$20="Yes",OR(EOMONTH(E$4,0)&lt;=Settings!$B$5,E$4&gt;TODAY())),"",IF(EOMONTH(D$4,0)&lt;=Settings!$B$5,N(Settings!$C$20),N(Calc!$AF$7)))</f>
        <v/>
      </c>
      <c r="F8" s="31">
        <f>IF(OR(Settings!$A$20="",Settings!$F$20="Yes",OR(EOMONTH(F$4,0)&lt;=Settings!$B$5,F$4&gt;TODAY())),"",IF(EOMONTH(E$4,0)&lt;=Settings!$B$5,N(Settings!$C$20),N(Calc!$AF$8)))</f>
        <v/>
      </c>
      <c r="G8" s="31">
        <f>IF(OR(Settings!$A$20="",Settings!$F$20="Yes",OR(EOMONTH(G$4,0)&lt;=Settings!$B$5,G$4&gt;TODAY())),"",IF(EOMONTH(F$4,0)&lt;=Settings!$B$5,N(Settings!$C$20),N(Calc!$AF$9)))</f>
        <v/>
      </c>
      <c r="H8" s="31">
        <f>IF(OR(Settings!$A$20="",Settings!$F$20="Yes",OR(EOMONTH(H$4,0)&lt;=Settings!$B$5,H$4&gt;TODAY())),"",IF(EOMONTH(G$4,0)&lt;=Settings!$B$5,N(Settings!$C$20),N(Calc!$AF$10)))</f>
        <v/>
      </c>
      <c r="I8" s="31">
        <f>IF(OR(Settings!$A$20="",Settings!$F$20="Yes",OR(EOMONTH(I$4,0)&lt;=Settings!$B$5,I$4&gt;TODAY())),"",IF(EOMONTH(H$4,0)&lt;=Settings!$B$5,N(Settings!$C$20),N(Calc!$AF$11)))</f>
        <v/>
      </c>
      <c r="J8" s="31">
        <f>IF(OR(Settings!$A$20="",Settings!$F$20="Yes",OR(EOMONTH(J$4,0)&lt;=Settings!$B$5,J$4&gt;TODAY())),"",IF(EOMONTH(I$4,0)&lt;=Settings!$B$5,N(Settings!$C$20),N(Calc!$AF$12)))</f>
        <v/>
      </c>
      <c r="K8" s="31">
        <f>IF(OR(Settings!$A$20="",Settings!$F$20="Yes",OR(EOMONTH(K$4,0)&lt;=Settings!$B$5,K$4&gt;TODAY())),"",IF(EOMONTH(J$4,0)&lt;=Settings!$B$5,N(Settings!$C$20),N(Calc!$AF$13)))</f>
        <v/>
      </c>
      <c r="L8" s="31">
        <f>IF(OR(Settings!$A$20="",Settings!$F$20="Yes",OR(EOMONTH(L$4,0)&lt;=Settings!$B$5,L$4&gt;TODAY())),"",IF(EOMONTH(K$4,0)&lt;=Settings!$B$5,N(Settings!$C$20),N(Calc!$AF$14)))</f>
        <v/>
      </c>
      <c r="M8" s="31">
        <f>IF(OR(Settings!$A$20="",Settings!$F$20="Yes",OR(EOMONTH(M$4,0)&lt;=Settings!$B$5,M$4&gt;TODAY())),"",IF(EOMONTH(L$4,0)&lt;=Settings!$B$5,N(Settings!$C$20),N(Calc!$AF$15)))</f>
        <v/>
      </c>
      <c r="N8" s="31">
        <f>IF(OR(Settings!$A$20="",Settings!$F$20="Yes",OR(EOMONTH(N$4,0)&lt;=Settings!$B$5,N$4&gt;TODAY())),"",IF(EOMONTH(M$4,0)&lt;=Settings!$B$5,N(Settings!$C$20),N(Calc!$AF$16)))</f>
        <v/>
      </c>
      <c r="O8" s="31">
        <f>IF(OR(Settings!$A$20="",Settings!$F$20="Yes",OR(EOMONTH(O$4,0)&lt;=Settings!$B$5,O$4&gt;TODAY())),"",IF(EOMONTH(N$4,0)&lt;=Settings!$B$5,N(Settings!$C$20),N(Calc!$AF$17)))</f>
        <v/>
      </c>
      <c r="P8" s="31">
        <f>IF(OR(Settings!$A$20="",Settings!$F$20="Yes",OR(EOMONTH(P$4,0)&lt;=Settings!$B$5,P$4&gt;TODAY())),"",IF(EOMONTH(O$4,0)&lt;=Settings!$B$5,N(Settings!$C$20),N(Calc!$AF$18)))</f>
        <v/>
      </c>
      <c r="Q8" s="31">
        <f>IF(OR(Settings!$A$20="",Settings!$F$20="Yes",OR(EOMONTH(Q$4,0)&lt;=Settings!$B$5,Q$4&gt;TODAY())),"",IF(EOMONTH(P$4,0)&lt;=Settings!$B$5,N(Settings!$C$20),N(Calc!$AF$19)))</f>
        <v/>
      </c>
      <c r="R8" s="31">
        <f>IF(OR(Settings!$A$20="",Settings!$F$20="Yes",OR(EOMONTH(R$4,0)&lt;=Settings!$B$5,R$4&gt;TODAY())),"",IF(EOMONTH(Q$4,0)&lt;=Settings!$B$5,N(Settings!$C$20),N(Calc!$AF$20)))</f>
        <v/>
      </c>
      <c r="S8" s="31">
        <f>IF(OR(Settings!$A$20="",Settings!$F$20="Yes",OR(EOMONTH(S$4,0)&lt;=Settings!$B$5,S$4&gt;TODAY())),"",IF(EOMONTH(R$4,0)&lt;=Settings!$B$5,N(Settings!$C$20),N(Calc!$AF$21)))</f>
        <v/>
      </c>
      <c r="T8" s="31">
        <f>IF(OR(Settings!$A$20="",Settings!$F$20="Yes",OR(EOMONTH(T$4,0)&lt;=Settings!$B$5,T$4&gt;TODAY())),"",IF(EOMONTH(S$4,0)&lt;=Settings!$B$5,N(Settings!$C$20),N(Calc!$AF$22)))</f>
        <v/>
      </c>
      <c r="U8" s="31">
        <f>IF(OR(Settings!$A$20="",Settings!$F$20="Yes",OR(EOMONTH(U$4,0)&lt;=Settings!$B$5,U$4&gt;TODAY())),"",IF(EOMONTH(T$4,0)&lt;=Settings!$B$5,N(Settings!$C$20),N(Calc!$AF$23)))</f>
        <v/>
      </c>
      <c r="V8" s="31">
        <f>IF(OR(Settings!$A$20="",Settings!$F$20="Yes",OR(EOMONTH(V$4,0)&lt;=Settings!$B$5,V$4&gt;TODAY())),"",IF(EOMONTH(U$4,0)&lt;=Settings!$B$5,N(Settings!$C$20),N(Calc!$AF$24)))</f>
        <v/>
      </c>
      <c r="W8" s="31">
        <f>IF(OR(Settings!$A$20="",Settings!$F$20="Yes",OR(EOMONTH(W$4,0)&lt;=Settings!$B$5,W$4&gt;TODAY())),"",IF(EOMONTH(V$4,0)&lt;=Settings!$B$5,N(Settings!$C$20),N(Calc!$AF$25)))</f>
        <v/>
      </c>
      <c r="X8" s="31">
        <f>IF(OR(Settings!$A$20="",Settings!$F$20="Yes",OR(EOMONTH(X$4,0)&lt;=Settings!$B$5,X$4&gt;TODAY())),"",IF(EOMONTH(W$4,0)&lt;=Settings!$B$5,N(Settings!$C$20),N(Calc!$AF$26)))</f>
        <v/>
      </c>
      <c r="Y8" s="31">
        <f>IF(OR(Settings!$A$20="",Settings!$F$20="Yes",OR(EOMONTH(Y$4,0)&lt;=Settings!$B$5,Y$4&gt;TODAY())),"",IF(EOMONTH(X$4,0)&lt;=Settings!$B$5,N(Settings!$C$20),N(Calc!$AF$27)))</f>
        <v/>
      </c>
      <c r="Z8" s="31">
        <f>IF(OR(Settings!$A$20="",Settings!$F$20="Yes",OR(EOMONTH(Z$4,0)&lt;=Settings!$B$5,Z$4&gt;TODAY())),"",IF(EOMONTH(Y$4,0)&lt;=Settings!$B$5,N(Settings!$C$20),N(Calc!$AF$28)))</f>
        <v/>
      </c>
      <c r="AA8" s="31">
        <f>IF(OR(Settings!$A$20="",Settings!$F$20="Yes",OR(EOMONTH(AA$4,0)&lt;=Settings!$B$5,AA$4&gt;TODAY())),"",IF(EOMONTH(Z$4,0)&lt;=Settings!$B$5,N(Settings!$C$20),N(Calc!$AF$29)))</f>
        <v/>
      </c>
      <c r="AB8" s="31">
        <f>IF(OR(Settings!$A$20="",Settings!$F$20="Yes",OR(EOMONTH(AB$4,0)&lt;=Settings!$B$5,AB$4&gt;TODAY())),"",IF(EOMONTH(AA$4,0)&lt;=Settings!$B$5,N(Settings!$C$20),N(Calc!$AF$30)))</f>
        <v/>
      </c>
      <c r="AC8" s="31">
        <f>IF(OR(Settings!$A$20="",Settings!$F$20="Yes",OR(EOMONTH(AC$4,0)&lt;=Settings!$B$5,AC$4&gt;TODAY())),"",IF(EOMONTH(AB$4,0)&lt;=Settings!$B$5,N(Settings!$C$20),N(Calc!$AF$31)))</f>
        <v/>
      </c>
      <c r="AD8" s="31">
        <f>IF(OR(Settings!$A$20="",Settings!$F$20="Yes",OR(EOMONTH(AD$4,0)&lt;=Settings!$B$5,AD$4&gt;TODAY())),"",IF(EOMONTH(AC$4,0)&lt;=Settings!$B$5,N(Settings!$C$20),N(Calc!$AF$32)))</f>
        <v/>
      </c>
      <c r="AE8" s="31">
        <f>IF(OR(Settings!$A$20="",Settings!$F$20="Yes",OR(EOMONTH(AE$4,0)&lt;=Settings!$B$5,AE$4&gt;TODAY())),"",IF(EOMONTH(AD$4,0)&lt;=Settings!$B$5,N(Settings!$C$20),N(Calc!$AF$33)))</f>
        <v/>
      </c>
      <c r="AF8" s="31">
        <f>IF(OR(Settings!$A$20="",Settings!$F$20="Yes",OR(EOMONTH(AF$4,0)&lt;=Settings!$B$5,AF$4&gt;TODAY())),"",IF(EOMONTH(AE$4,0)&lt;=Settings!$B$5,N(Settings!$C$20),N(Calc!$AF$34)))</f>
        <v/>
      </c>
      <c r="AG8" s="31">
        <f>IF(OR(Settings!$A$20="",Settings!$F$20="Yes",OR(EOMONTH(AG$4,0)&lt;=Settings!$B$5,AG$4&gt;TODAY())),"",IF(EOMONTH(AF$4,0)&lt;=Settings!$B$5,N(Settings!$C$20),N(Calc!$AF$35)))</f>
        <v/>
      </c>
      <c r="AH8" s="31">
        <f>IF(OR(Settings!$A$20="",Settings!$F$20="Yes",OR(EOMONTH(AH$4,0)&lt;=Settings!$B$5,AH$4&gt;TODAY())),"",IF(EOMONTH(AG$4,0)&lt;=Settings!$B$5,N(Settings!$C$20),N(Calc!$AF$36)))</f>
        <v/>
      </c>
      <c r="AI8" s="31">
        <f>IF(OR(Settings!$A$20="",Settings!$F$20="Yes",OR(EOMONTH(AI$4,0)&lt;=Settings!$B$5,AI$4&gt;TODAY())),"",IF(EOMONTH(AH$4,0)&lt;=Settings!$B$5,N(Settings!$C$20),N(Calc!$AF$37)))</f>
        <v/>
      </c>
      <c r="AJ8" s="31">
        <f>IF(OR(Settings!$A$20="",Settings!$F$20="Yes",OR(EOMONTH(AJ$4,0)&lt;=Settings!$B$5,AJ$4&gt;TODAY())),"",IF(EOMONTH(AI$4,0)&lt;=Settings!$B$5,N(Settings!$C$20),N(Calc!$AF$38)))</f>
        <v/>
      </c>
      <c r="AK8" s="31">
        <f>IF(OR(Settings!$A$20="",Settings!$F$20="Yes",OR(EOMONTH(AK$4,0)&lt;=Settings!$B$5,AK$4&gt;TODAY())),"",IF(EOMONTH(AJ$4,0)&lt;=Settings!$B$5,N(Settings!$C$20),N(Calc!$AF$39)))</f>
        <v/>
      </c>
      <c r="AL8" s="31">
        <f>IF(OR(Settings!$A$20="",Settings!$F$20="Yes",OR(EOMONTH(AL$4,0)&lt;=Settings!$B$5,AL$4&gt;TODAY())),"",IF(EOMONTH(AK$4,0)&lt;=Settings!$B$5,N(Settings!$C$20),N(Calc!$AF$40)))</f>
        <v/>
      </c>
      <c r="AM8" s="31">
        <f>IF(OR(Settings!$A$20="",Settings!$F$20="Yes",OR(EOMONTH(AM$4,0)&lt;=Settings!$B$5,AM$4&gt;TODAY())),"",IF(EOMONTH(AL$4,0)&lt;=Settings!$B$5,N(Settings!$C$20),N(Calc!$AF$41)))</f>
        <v/>
      </c>
      <c r="AN8" s="31">
        <f>IF(OR(Settings!$A$20="",Settings!$F$20="Yes",OR(EOMONTH(AN$4,0)&lt;=Settings!$B$5,AN$4&gt;TODAY())),"",IF(EOMONTH(AM$4,0)&lt;=Settings!$B$5,N(Settings!$C$20),N(Calc!$AF$42)))</f>
        <v/>
      </c>
      <c r="AO8" s="31">
        <f>IF(OR(Settings!$A$20="",Settings!$F$20="Yes",OR(EOMONTH(AO$4,0)&lt;=Settings!$B$5,AO$4&gt;TODAY())),"",IF(EOMONTH(AN$4,0)&lt;=Settings!$B$5,N(Settings!$C$20),N(Calc!$AF$43)))</f>
        <v/>
      </c>
      <c r="AP8" s="31">
        <f>IF(OR(Settings!$A$20="",Settings!$F$20="Yes",OR(EOMONTH(AP$4,0)&lt;=Settings!$B$5,AP$4&gt;TODAY())),"",IF(EOMONTH(AO$4,0)&lt;=Settings!$B$5,N(Settings!$C$20),N(Calc!$AF$44)))</f>
        <v/>
      </c>
      <c r="AQ8" s="31">
        <f>IF(OR(Settings!$A$20="",Settings!$F$20="Yes",OR(EOMONTH(AQ$4,0)&lt;=Settings!$B$5,AQ$4&gt;TODAY())),"",IF(EOMONTH(AP$4,0)&lt;=Settings!$B$5,N(Settings!$C$20),N(Calc!$AF$45)))</f>
        <v/>
      </c>
      <c r="AR8" s="31">
        <f>IF(OR(Settings!$A$20="",Settings!$F$20="Yes",OR(EOMONTH(AR$4,0)&lt;=Settings!$B$5,AR$4&gt;TODAY())),"",IF(EOMONTH(AQ$4,0)&lt;=Settings!$B$5,N(Settings!$C$20),N(Calc!$AF$46)))</f>
        <v/>
      </c>
      <c r="AS8" s="31">
        <f>IF(OR(Settings!$A$20="",Settings!$F$20="Yes",OR(EOMONTH(AS$4,0)&lt;=Settings!$B$5,AS$4&gt;TODAY())),"",IF(EOMONTH(AR$4,0)&lt;=Settings!$B$5,N(Settings!$C$20),N(Calc!$AF$47)))</f>
        <v/>
      </c>
      <c r="AT8" s="31">
        <f>IF(OR(Settings!$A$20="",Settings!$F$20="Yes",OR(EOMONTH(AT$4,0)&lt;=Settings!$B$5,AT$4&gt;TODAY())),"",IF(EOMONTH(AS$4,0)&lt;=Settings!$B$5,N(Settings!$C$20),N(Calc!$AF$48)))</f>
        <v/>
      </c>
      <c r="AU8" s="31">
        <f>IF(OR(Settings!$A$20="",Settings!$F$20="Yes",OR(EOMONTH(AU$4,0)&lt;=Settings!$B$5,AU$4&gt;TODAY())),"",IF(EOMONTH(AT$4,0)&lt;=Settings!$B$5,N(Settings!$C$20),N(Calc!$AF$49)))</f>
        <v/>
      </c>
      <c r="AV8" s="31">
        <f>IF(OR(Settings!$A$20="",Settings!$F$20="Yes",OR(EOMONTH(AV$4,0)&lt;=Settings!$B$5,AV$4&gt;TODAY())),"",IF(EOMONTH(AU$4,0)&lt;=Settings!$B$5,N(Settings!$C$20),N(Calc!$AF$50)))</f>
        <v/>
      </c>
      <c r="AW8" s="31">
        <f>IF(OR(Settings!$A$20="",Settings!$F$20="Yes",OR(EOMONTH(AW$4,0)&lt;=Settings!$B$5,AW$4&gt;TODAY())),"",IF(EOMONTH(AV$4,0)&lt;=Settings!$B$5,N(Settings!$C$20),N(Calc!$AF$51)))</f>
        <v/>
      </c>
      <c r="AX8" s="31">
        <f>IF(OR(Settings!$A$20="",Settings!$F$20="Yes",OR(EOMONTH(AX$4,0)&lt;=Settings!$B$5,AX$4&gt;TODAY())),"",IF(EOMONTH(AW$4,0)&lt;=Settings!$B$5,N(Settings!$C$20),N(Calc!$AF$52)))</f>
        <v/>
      </c>
      <c r="AY8" s="31">
        <f>IF(OR(Settings!$A$20="",Settings!$F$20="Yes",OR(EOMONTH(AY$4,0)&lt;=Settings!$B$5,AY$4&gt;TODAY())),"",IF(EOMONTH(AX$4,0)&lt;=Settings!$B$5,N(Settings!$C$20),N(Calc!$AF$53)))</f>
        <v/>
      </c>
      <c r="AZ8" s="31">
        <f>IF(OR(Settings!$A$20="",Settings!$F$20="Yes",OR(EOMONTH(AZ$4,0)&lt;=Settings!$B$5,AZ$4&gt;TODAY())),"",IF(EOMONTH(AY$4,0)&lt;=Settings!$B$5,N(Settings!$C$20),N(Calc!$AF$54)))</f>
        <v/>
      </c>
      <c r="BA8" s="31">
        <f>IF(OR(Settings!$A$20="",Settings!$F$20="Yes",OR(EOMONTH(BA$4,0)&lt;=Settings!$B$5,BA$4&gt;TODAY())),"",IF(EOMONTH(AZ$4,0)&lt;=Settings!$B$5,N(Settings!$C$20),N(Calc!$AF$55)))</f>
        <v/>
      </c>
      <c r="BB8" s="31">
        <f>IF(OR(Settings!$A$20="",Settings!$F$20="Yes",OR(EOMONTH(BB$4,0)&lt;=Settings!$B$5,BB$4&gt;TODAY())),"",IF(EOMONTH(BA$4,0)&lt;=Settings!$B$5,N(Settings!$C$20),N(Calc!$AF$56)))</f>
        <v/>
      </c>
      <c r="BC8" s="31">
        <f>IF(OR(Settings!$A$20="",Settings!$F$20="Yes",OR(EOMONTH(BC$4,0)&lt;=Settings!$B$5,BC$4&gt;TODAY())),"",IF(EOMONTH(BB$4,0)&lt;=Settings!$B$5,N(Settings!$C$20),N(Calc!$AF$57)))</f>
        <v/>
      </c>
      <c r="BD8" s="31">
        <f>IF(OR(Settings!$A$20="",Settings!$F$20="Yes",OR(EOMONTH(BD$4,0)&lt;=Settings!$B$5,BD$4&gt;TODAY())),"",IF(EOMONTH(BC$4,0)&lt;=Settings!$B$5,N(Settings!$C$20),N(Calc!$AF$58)))</f>
        <v/>
      </c>
      <c r="BE8" s="31">
        <f>IF(OR(Settings!$A$20="",Settings!$F$20="Yes",OR(EOMONTH(BE$4,0)&lt;=Settings!$B$5,BE$4&gt;TODAY())),"",IF(EOMONTH(BD$4,0)&lt;=Settings!$B$5,N(Settings!$C$20),N(Calc!$AF$59)))</f>
        <v/>
      </c>
      <c r="BF8" s="31">
        <f>IF(OR(Settings!$A$20="",Settings!$F$20="Yes",OR(EOMONTH(BF$4,0)&lt;=Settings!$B$5,BF$4&gt;TODAY())),"",IF(EOMONTH(BE$4,0)&lt;=Settings!$B$5,N(Settings!$C$20),N(Calc!$AF$60)))</f>
        <v/>
      </c>
      <c r="BG8" s="31">
        <f>IF(OR(Settings!$A$20="",Settings!$F$20="Yes",OR(EOMONTH(BG$4,0)&lt;=Settings!$B$5,BG$4&gt;TODAY())),"",IF(EOMONTH(BF$4,0)&lt;=Settings!$B$5,N(Settings!$C$20),N(Calc!$AF$61)))</f>
        <v/>
      </c>
      <c r="BH8" s="31">
        <f>IF(OR(Settings!$A$20="",Settings!$F$20="Yes",OR(EOMONTH(BH$4,0)&lt;=Settings!$B$5,BH$4&gt;TODAY())),"",IF(EOMONTH(BG$4,0)&lt;=Settings!$B$5,N(Settings!$C$20),N(Calc!$AF$62)))</f>
        <v/>
      </c>
      <c r="BI8" s="31">
        <f>IF(OR(Settings!$A$20="",Settings!$F$20="Yes",OR(EOMONTH(BI$4,0)&lt;=Settings!$B$5,BI$4&gt;TODAY())),"",IF(EOMONTH(BH$4,0)&lt;=Settings!$B$5,N(Settings!$C$20),N(Calc!$AF$63)))</f>
        <v/>
      </c>
      <c r="BJ8" s="31">
        <f>IF(OR(Settings!$A$20="",Settings!$F$20="Yes",OR(EOMONTH(BJ$4,0)&lt;=Settings!$B$5,BJ$4&gt;TODAY())),"",IF(EOMONTH(BI$4,0)&lt;=Settings!$B$5,N(Settings!$C$20),N(Calc!$AF$64)))</f>
        <v/>
      </c>
      <c r="BK8" s="31">
        <f>IF(OR(Settings!$A$20="",Settings!$F$20="Yes",OR(EOMONTH(BK$4,0)&lt;=Settings!$B$5,BK$4&gt;TODAY())),"",IF(EOMONTH(BJ$4,0)&lt;=Settings!$B$5,N(Settings!$C$20),N(Calc!$AF$65)))</f>
        <v/>
      </c>
      <c r="BL8" s="31">
        <f>IF(OR(Settings!$A$20="",Settings!$F$20="Yes",OR(EOMONTH(BL$4,0)&lt;=Settings!$B$5,BL$4&gt;TODAY())),"",IF(EOMONTH(BK$4,0)&lt;=Settings!$B$5,N(Settings!$C$20),N(Calc!$AF$66)))</f>
        <v/>
      </c>
      <c r="BM8" s="31">
        <f>IF(OR(Settings!$A$20="",Settings!$F$20="Yes",OR(EOMONTH(BM$4,0)&lt;=Settings!$B$5,BM$4&gt;TODAY())),"",IF(EOMONTH(BL$4,0)&lt;=Settings!$B$5,N(Settings!$C$20),N(Calc!$AF$67)))</f>
        <v/>
      </c>
      <c r="BN8" s="31">
        <f>IF(OR(Settings!$A$20="",Settings!$F$20="Yes",OR(EOMONTH(BN$4,0)&lt;=Settings!$B$5,BN$4&gt;TODAY())),"",IF(EOMONTH(BM$4,0)&lt;=Settings!$B$5,N(Settings!$C$20),N(Calc!$AF$68)))</f>
        <v/>
      </c>
      <c r="BO8" s="31">
        <f>IF(OR(Settings!$A$20="",Settings!$F$20="Yes",OR(EOMONTH(BO$4,0)&lt;=Settings!$B$5,BO$4&gt;TODAY())),"",IF(EOMONTH(BN$4,0)&lt;=Settings!$B$5,N(Settings!$C$20),N(Calc!$AF$69)))</f>
        <v/>
      </c>
      <c r="BP8" s="31">
        <f>IF(OR(Settings!$A$20="",Settings!$F$20="Yes",OR(EOMONTH(BP$4,0)&lt;=Settings!$B$5,BP$4&gt;TODAY())),"",IF(EOMONTH(BO$4,0)&lt;=Settings!$B$5,N(Settings!$C$20),N(Calc!$AF$70)))</f>
        <v/>
      </c>
      <c r="BQ8" s="31">
        <f>IF(OR(Settings!$A$20="",Settings!$F$20="Yes",OR(EOMONTH(BQ$4,0)&lt;=Settings!$B$5,BQ$4&gt;TODAY())),"",IF(EOMONTH(BP$4,0)&lt;=Settings!$B$5,N(Settings!$C$20),N(Calc!$AF$71)))</f>
        <v/>
      </c>
      <c r="BR8" s="31">
        <f>IF(OR(Settings!$A$20="",Settings!$F$20="Yes",OR(EOMONTH(BR$4,0)&lt;=Settings!$B$5,BR$4&gt;TODAY())),"",IF(EOMONTH(BQ$4,0)&lt;=Settings!$B$5,N(Settings!$C$20),N(Calc!$AF$72)))</f>
        <v/>
      </c>
      <c r="BS8" s="31">
        <f>IF(OR(Settings!$A$20="",Settings!$F$20="Yes",OR(EOMONTH(BS$4,0)&lt;=Settings!$B$5,BS$4&gt;TODAY())),"",IF(EOMONTH(BR$4,0)&lt;=Settings!$B$5,N(Settings!$C$20),N(Calc!$AF$73)))</f>
        <v/>
      </c>
      <c r="BT8" s="31">
        <f>IF(OR(Settings!$A$20="",Settings!$F$20="Yes",OR(EOMONTH(BT$4,0)&lt;=Settings!$B$5,BT$4&gt;TODAY())),"",IF(EOMONTH(BS$4,0)&lt;=Settings!$B$5,N(Settings!$C$20),N(Calc!$AF$74)))</f>
        <v/>
      </c>
      <c r="BU8" s="31">
        <f>IF(OR(Settings!$A$20="",Settings!$F$20="Yes",OR(EOMONTH(BU$4,0)&lt;=Settings!$B$5,BU$4&gt;TODAY())),"",IF(EOMONTH(BT$4,0)&lt;=Settings!$B$5,N(Settings!$C$20),N(Calc!$AF$75)))</f>
        <v/>
      </c>
      <c r="BV8" s="31">
        <f>IF(OR(Settings!$A$20="",Settings!$F$20="Yes",OR(EOMONTH(BV$4,0)&lt;=Settings!$B$5,BV$4&gt;TODAY())),"",IF(EOMONTH(BU$4,0)&lt;=Settings!$B$5,N(Settings!$C$20),N(Calc!$AF$76)))</f>
        <v/>
      </c>
      <c r="BW8" s="31">
        <f>IF(OR(Settings!$A$20="",Settings!$F$20="Yes",OR(EOMONTH(BW$4,0)&lt;=Settings!$B$5,BW$4&gt;TODAY())),"",IF(EOMONTH(BV$4,0)&lt;=Settings!$B$5,N(Settings!$C$20),N(Calc!$AF$77)))</f>
        <v/>
      </c>
      <c r="BX8" s="31">
        <f>IF(OR(Settings!$A$20="",Settings!$F$20="Yes",OR(EOMONTH(BX$4,0)&lt;=Settings!$B$5,BX$4&gt;TODAY())),"",IF(EOMONTH(BW$4,0)&lt;=Settings!$B$5,N(Settings!$C$20),N(Calc!$AF$78)))</f>
        <v/>
      </c>
      <c r="BY8" s="31">
        <f>IF(OR(Settings!$A$20="",Settings!$F$20="Yes",OR(EOMONTH(BY$4,0)&lt;=Settings!$B$5,BY$4&gt;TODAY())),"",IF(EOMONTH(BX$4,0)&lt;=Settings!$B$5,N(Settings!$C$20),N(Calc!$AF$79)))</f>
        <v/>
      </c>
      <c r="BZ8" s="31">
        <f>IF(OR(Settings!$A$20="",Settings!$F$20="Yes",OR(EOMONTH(BZ$4,0)&lt;=Settings!$B$5,BZ$4&gt;TODAY())),"",IF(EOMONTH(BY$4,0)&lt;=Settings!$B$5,N(Settings!$C$20),N(Calc!$AF$80)))</f>
        <v/>
      </c>
      <c r="CA8" s="31">
        <f>IF(OR(Settings!$A$20="",Settings!$F$20="Yes",OR(EOMONTH(CA$4,0)&lt;=Settings!$B$5,CA$4&gt;TODAY())),"",IF(EOMONTH(BZ$4,0)&lt;=Settings!$B$5,N(Settings!$C$20),N(Calc!$AF$81)))</f>
        <v/>
      </c>
      <c r="CB8" s="31">
        <f>IF(OR(Settings!$A$20="",Settings!$F$20="Yes",OR(EOMONTH(CB$4,0)&lt;=Settings!$B$5,CB$4&gt;TODAY())),"",IF(EOMONTH(CA$4,0)&lt;=Settings!$B$5,N(Settings!$C$20),N(Calc!$AF$82)))</f>
        <v/>
      </c>
      <c r="CC8" s="31">
        <f>IF(OR(Settings!$A$20="",Settings!$F$20="Yes",OR(EOMONTH(CC$4,0)&lt;=Settings!$B$5,CC$4&gt;TODAY())),"",IF(EOMONTH(CB$4,0)&lt;=Settings!$B$5,N(Settings!$C$20),N(Calc!$AF$83)))</f>
        <v/>
      </c>
      <c r="CD8" s="31">
        <f>IF(OR(Settings!$A$20="",Settings!$F$20="Yes",OR(EOMONTH(CD$4,0)&lt;=Settings!$B$5,CD$4&gt;TODAY())),"",IF(EOMONTH(CC$4,0)&lt;=Settings!$B$5,N(Settings!$C$20),N(Calc!$AF$84)))</f>
        <v/>
      </c>
      <c r="CE8" s="31">
        <f>IF(OR(Settings!$A$20="",Settings!$F$20="Yes",OR(EOMONTH(CE$4,0)&lt;=Settings!$B$5,CE$4&gt;TODAY())),"",IF(EOMONTH(CD$4,0)&lt;=Settings!$B$5,N(Settings!$C$20),N(Calc!$AF$85)))</f>
        <v/>
      </c>
      <c r="CF8" s="31">
        <f>IF(OR(Settings!$A$20="",Settings!$F$20="Yes",OR(EOMONTH(CF$4,0)&lt;=Settings!$B$5,CF$4&gt;TODAY())),"",IF(EOMONTH(CE$4,0)&lt;=Settings!$B$5,N(Settings!$C$20),N(Calc!$AF$86)))</f>
        <v/>
      </c>
      <c r="CG8" s="31">
        <f>IF(OR(Settings!$A$20="",Settings!$F$20="Yes",OR(EOMONTH(CG$4,0)&lt;=Settings!$B$5,CG$4&gt;TODAY())),"",IF(EOMONTH(CF$4,0)&lt;=Settings!$B$5,N(Settings!$C$20),N(Calc!$AF$87)))</f>
        <v/>
      </c>
      <c r="CH8" s="31">
        <f>IF(OR(Settings!$A$20="",Settings!$F$20="Yes",OR(EOMONTH(CH$4,0)&lt;=Settings!$B$5,CH$4&gt;TODAY())),"",IF(EOMONTH(CG$4,0)&lt;=Settings!$B$5,N(Settings!$C$20),N(Calc!$AF$88)))</f>
        <v/>
      </c>
      <c r="CI8" s="31">
        <f>IF(OR(Settings!$A$20="",Settings!$F$20="Yes",OR(EOMONTH(CI$4,0)&lt;=Settings!$B$5,CI$4&gt;TODAY())),"",IF(EOMONTH(CH$4,0)&lt;=Settings!$B$5,N(Settings!$C$20),N(Calc!$AF$89)))</f>
        <v/>
      </c>
      <c r="CJ8" s="31">
        <f>IF(OR(Settings!$A$20="",Settings!$F$20="Yes",OR(EOMONTH(CJ$4,0)&lt;=Settings!$B$5,CJ$4&gt;TODAY())),"",IF(EOMONTH(CI$4,0)&lt;=Settings!$B$5,N(Settings!$C$20),N(Calc!$AF$90)))</f>
        <v/>
      </c>
      <c r="CK8" s="31">
        <f>IF(OR(Settings!$A$20="",Settings!$F$20="Yes",OR(EOMONTH(CK$4,0)&lt;=Settings!$B$5,CK$4&gt;TODAY())),"",IF(EOMONTH(CJ$4,0)&lt;=Settings!$B$5,N(Settings!$C$20),N(Calc!$AF$91)))</f>
        <v/>
      </c>
      <c r="CL8" s="31">
        <f>IF(OR(Settings!$A$20="",Settings!$F$20="Yes",OR(EOMONTH(CL$4,0)&lt;=Settings!$B$5,CL$4&gt;TODAY())),"",IF(EOMONTH(CK$4,0)&lt;=Settings!$B$5,N(Settings!$C$20),N(Calc!$AF$92)))</f>
        <v/>
      </c>
      <c r="CM8" s="31">
        <f>IF(OR(Settings!$A$20="",Settings!$F$20="Yes",OR(EOMONTH(CM$4,0)&lt;=Settings!$B$5,CM$4&gt;TODAY())),"",IF(EOMONTH(CL$4,0)&lt;=Settings!$B$5,N(Settings!$C$20),N(Calc!$AF$93)))</f>
        <v/>
      </c>
      <c r="CN8" s="31">
        <f>IF(OR(Settings!$A$20="",Settings!$F$20="Yes",OR(EOMONTH(CN$4,0)&lt;=Settings!$B$5,CN$4&gt;TODAY())),"",IF(EOMONTH(CM$4,0)&lt;=Settings!$B$5,N(Settings!$C$20),N(Calc!$AF$94)))</f>
        <v/>
      </c>
      <c r="CO8" s="31">
        <f>IF(OR(Settings!$A$20="",Settings!$F$20="Yes",OR(EOMONTH(CO$4,0)&lt;=Settings!$B$5,CO$4&gt;TODAY())),"",IF(EOMONTH(CN$4,0)&lt;=Settings!$B$5,N(Settings!$C$20),N(Calc!$AF$95)))</f>
        <v/>
      </c>
      <c r="CP8" s="31">
        <f>IF(OR(Settings!$A$20="",Settings!$F$20="Yes",OR(EOMONTH(CP$4,0)&lt;=Settings!$B$5,CP$4&gt;TODAY())),"",IF(EOMONTH(CO$4,0)&lt;=Settings!$B$5,N(Settings!$C$20),N(Calc!$AF$96)))</f>
        <v/>
      </c>
      <c r="CQ8" s="31">
        <f>IF(OR(Settings!$A$20="",Settings!$F$20="Yes",OR(EOMONTH(CQ$4,0)&lt;=Settings!$B$5,CQ$4&gt;TODAY())),"",IF(EOMONTH(CP$4,0)&lt;=Settings!$B$5,N(Settings!$C$20),N(Calc!$AF$97)))</f>
        <v/>
      </c>
      <c r="CR8" s="31">
        <f>IF(OR(Settings!$A$20="",Settings!$F$20="Yes",OR(EOMONTH(CR$4,0)&lt;=Settings!$B$5,CR$4&gt;TODAY())),"",IF(EOMONTH(CQ$4,0)&lt;=Settings!$B$5,N(Settings!$C$20),N(Calc!$AF$98)))</f>
        <v/>
      </c>
      <c r="CS8" s="31">
        <f>IF(OR(Settings!$A$20="",Settings!$F$20="Yes",OR(EOMONTH(CS$4,0)&lt;=Settings!$B$5,CS$4&gt;TODAY())),"",IF(EOMONTH(CR$4,0)&lt;=Settings!$B$5,N(Settings!$C$20),N(Calc!$AF$99)))</f>
        <v/>
      </c>
      <c r="CT8" s="31">
        <f>IF(OR(Settings!$A$20="",Settings!$F$20="Yes",OR(EOMONTH(CT$4,0)&lt;=Settings!$B$5,CT$4&gt;TODAY())),"",IF(EOMONTH(CS$4,0)&lt;=Settings!$B$5,N(Settings!$C$20),N(Calc!$AF$100)))</f>
        <v/>
      </c>
      <c r="CU8" s="31">
        <f>IF(OR(Settings!$A$20="",Settings!$F$20="Yes",OR(EOMONTH(CU$4,0)&lt;=Settings!$B$5,CU$4&gt;TODAY())),"",IF(EOMONTH(CT$4,0)&lt;=Settings!$B$5,N(Settings!$C$20),N(Calc!$AF$101)))</f>
        <v/>
      </c>
      <c r="CV8" s="31">
        <f>IF(OR(Settings!$A$20="",Settings!$F$20="Yes",OR(EOMONTH(CV$4,0)&lt;=Settings!$B$5,CV$4&gt;TODAY())),"",IF(EOMONTH(CU$4,0)&lt;=Settings!$B$5,N(Settings!$C$20),N(Calc!$AF$102)))</f>
        <v/>
      </c>
      <c r="CW8" s="31">
        <f>IF(OR(Settings!$A$20="",Settings!$F$20="Yes",OR(EOMONTH(CW$4,0)&lt;=Settings!$B$5,CW$4&gt;TODAY())),"",IF(EOMONTH(CV$4,0)&lt;=Settings!$B$5,N(Settings!$C$20),N(Calc!$AF$103)))</f>
        <v/>
      </c>
      <c r="CX8" s="31">
        <f>IF(OR(Settings!$A$20="",Settings!$F$20="Yes",OR(EOMONTH(CX$4,0)&lt;=Settings!$B$5,CX$4&gt;TODAY())),"",IF(EOMONTH(CW$4,0)&lt;=Settings!$B$5,N(Settings!$C$20),N(Calc!$AF$104)))</f>
        <v/>
      </c>
      <c r="CY8" s="31">
        <f>IF(OR(Settings!$A$20="",Settings!$F$20="Yes",OR(EOMONTH(CY$4,0)&lt;=Settings!$B$5,CY$4&gt;TODAY())),"",IF(EOMONTH(CX$4,0)&lt;=Settings!$B$5,N(Settings!$C$20),N(Calc!$AF$105)))</f>
        <v/>
      </c>
      <c r="CZ8" s="31">
        <f>IF(OR(Settings!$A$20="",Settings!$F$20="Yes",OR(EOMONTH(CZ$4,0)&lt;=Settings!$B$5,CZ$4&gt;TODAY())),"",IF(EOMONTH(CY$4,0)&lt;=Settings!$B$5,N(Settings!$C$20),N(Calc!$AF$106)))</f>
        <v/>
      </c>
      <c r="DA8" s="31">
        <f>IF(OR(Settings!$A$20="",Settings!$F$20="Yes",OR(EOMONTH(DA$4,0)&lt;=Settings!$B$5,DA$4&gt;TODAY())),"",IF(EOMONTH(CZ$4,0)&lt;=Settings!$B$5,N(Settings!$C$20),N(Calc!$AF$107)))</f>
        <v/>
      </c>
      <c r="DB8" s="31">
        <f>IF(OR(Settings!$A$20="",Settings!$F$20="Yes",OR(EOMONTH(DB$4,0)&lt;=Settings!$B$5,DB$4&gt;TODAY())),"",IF(EOMONTH(DA$4,0)&lt;=Settings!$B$5,N(Settings!$C$20),N(Calc!$AF$108)))</f>
        <v/>
      </c>
      <c r="DC8" s="31">
        <f>IF(OR(Settings!$A$20="",Settings!$F$20="Yes",OR(EOMONTH(DC$4,0)&lt;=Settings!$B$5,DC$4&gt;TODAY())),"",IF(EOMONTH(DB$4,0)&lt;=Settings!$B$5,N(Settings!$C$20),N(Calc!$AF$109)))</f>
        <v/>
      </c>
      <c r="DD8" s="31">
        <f>IF(OR(Settings!$A$20="",Settings!$F$20="Yes",OR(EOMONTH(DD$4,0)&lt;=Settings!$B$5,DD$4&gt;TODAY())),"",IF(EOMONTH(DC$4,0)&lt;=Settings!$B$5,N(Settings!$C$20),N(Calc!$AF$110)))</f>
        <v/>
      </c>
      <c r="DE8" s="31">
        <f>IF(OR(Settings!$A$20="",Settings!$F$20="Yes",OR(EOMONTH(DE$4,0)&lt;=Settings!$B$5,DE$4&gt;TODAY())),"",IF(EOMONTH(DD$4,0)&lt;=Settings!$B$5,N(Settings!$C$20),N(Calc!$AF$111)))</f>
        <v/>
      </c>
      <c r="DF8" s="31">
        <f>IF(OR(Settings!$A$20="",Settings!$F$20="Yes",OR(EOMONTH(DF$4,0)&lt;=Settings!$B$5,DF$4&gt;TODAY())),"",IF(EOMONTH(DE$4,0)&lt;=Settings!$B$5,N(Settings!$C$20),N(Calc!$AF$112)))</f>
        <v/>
      </c>
      <c r="DG8" s="31">
        <f>IF(OR(Settings!$A$20="",Settings!$F$20="Yes",OR(EOMONTH(DG$4,0)&lt;=Settings!$B$5,DG$4&gt;TODAY())),"",IF(EOMONTH(DF$4,0)&lt;=Settings!$B$5,N(Settings!$C$20),N(Calc!$AF$113)))</f>
        <v/>
      </c>
      <c r="DH8" s="31">
        <f>IF(OR(Settings!$A$20="",Settings!$F$20="Yes",OR(EOMONTH(DH$4,0)&lt;=Settings!$B$5,DH$4&gt;TODAY())),"",IF(EOMONTH(DG$4,0)&lt;=Settings!$B$5,N(Settings!$C$20),N(Calc!$AF$114)))</f>
        <v/>
      </c>
      <c r="DI8" s="31">
        <f>IF(OR(Settings!$A$20="",Settings!$F$20="Yes",OR(EOMONTH(DI$4,0)&lt;=Settings!$B$5,DI$4&gt;TODAY())),"",IF(EOMONTH(DH$4,0)&lt;=Settings!$B$5,N(Settings!$C$20),N(Calc!$AF$115)))</f>
        <v/>
      </c>
      <c r="DJ8" s="31">
        <f>IF(OR(Settings!$A$20="",Settings!$F$20="Yes",OR(EOMONTH(DJ$4,0)&lt;=Settings!$B$5,DJ$4&gt;TODAY())),"",IF(EOMONTH(DI$4,0)&lt;=Settings!$B$5,N(Settings!$C$20),N(Calc!$AF$116)))</f>
        <v/>
      </c>
      <c r="DK8" s="31">
        <f>IF(OR(Settings!$A$20="",Settings!$F$20="Yes",OR(EOMONTH(DK$4,0)&lt;=Settings!$B$5,DK$4&gt;TODAY())),"",IF(EOMONTH(DJ$4,0)&lt;=Settings!$B$5,N(Settings!$C$20),N(Calc!$AF$117)))</f>
        <v/>
      </c>
      <c r="DL8" s="31">
        <f>IF(OR(Settings!$A$20="",Settings!$F$20="Yes",OR(EOMONTH(DL$4,0)&lt;=Settings!$B$5,DL$4&gt;TODAY())),"",IF(EOMONTH(DK$4,0)&lt;=Settings!$B$5,N(Settings!$C$20),N(Calc!$AF$118)))</f>
        <v/>
      </c>
      <c r="DM8" s="31">
        <f>IF(OR(Settings!$A$20="",Settings!$F$20="Yes",OR(EOMONTH(DM$4,0)&lt;=Settings!$B$5,DM$4&gt;TODAY())),"",IF(EOMONTH(DL$4,0)&lt;=Settings!$B$5,N(Settings!$C$20),N(Calc!$AF$119)))</f>
        <v/>
      </c>
      <c r="DN8" s="31">
        <f>IF(OR(Settings!$A$20="",Settings!$F$20="Yes",OR(EOMONTH(DN$4,0)&lt;=Settings!$B$5,DN$4&gt;TODAY())),"",IF(EOMONTH(DM$4,0)&lt;=Settings!$B$5,N(Settings!$C$20),N(Calc!$AF$120)))</f>
        <v/>
      </c>
      <c r="DO8" s="31">
        <f>IF(OR(Settings!$A$20="",Settings!$F$20="Yes",OR(EOMONTH(DO$4,0)&lt;=Settings!$B$5,DO$4&gt;TODAY())),"",IF(EOMONTH(DN$4,0)&lt;=Settings!$B$5,N(Settings!$C$20),N(Calc!$AF$121)))</f>
        <v/>
      </c>
      <c r="DP8" s="31">
        <f>IF(OR(Settings!$A$20="",Settings!$F$20="Yes",OR(EOMONTH(DP$4,0)&lt;=Settings!$B$5,DP$4&gt;TODAY())),"",IF(EOMONTH(DO$4,0)&lt;=Settings!$B$5,N(Settings!$C$20),N(Calc!$AF$122)))</f>
        <v/>
      </c>
      <c r="DQ8" s="31">
        <f>IF(OR(Settings!$A$20="",Settings!$F$20="Yes",OR(EOMONTH(DQ$4,0)&lt;=Settings!$B$5,DQ$4&gt;TODAY())),"",IF(EOMONTH(DP$4,0)&lt;=Settings!$B$5,N(Settings!$C$20),N(Calc!$AF$123)))</f>
        <v/>
      </c>
      <c r="DR8" s="31">
        <f>IF(OR(Settings!$A$20="",Settings!$F$20="Yes",OR(EOMONTH(DR$4,0)&lt;=Settings!$B$5,DR$4&gt;TODAY())),"",IF(EOMONTH(DQ$4,0)&lt;=Settings!$B$5,N(Settings!$C$20),N(Calc!$AF$124)))</f>
        <v/>
      </c>
      <c r="DS8" s="31">
        <f>IF(OR(Settings!$A$20="",Settings!$F$20="Yes",OR(EOMONTH(DS$4,0)&lt;=Settings!$B$5,DS$4&gt;TODAY())),"",IF(EOMONTH(DR$4,0)&lt;=Settings!$B$5,N(Settings!$C$20),N(Calc!$AF$125)))</f>
        <v/>
      </c>
      <c r="DT8" s="31">
        <f>IF(OR(Settings!$A$20="",Settings!$F$20="Yes",OR(EOMONTH(DT$4,0)&lt;=Settings!$B$5,DT$4&gt;TODAY())),"",IF(EOMONTH(DS$4,0)&lt;=Settings!$B$5,N(Settings!$C$20),N(Calc!$AF$126)))</f>
        <v/>
      </c>
      <c r="DU8" s="31">
        <f>IF(OR(Settings!$A$20="",Settings!$F$20="Yes",OR(EOMONTH(DU$4,0)&lt;=Settings!$B$5,DU$4&gt;TODAY())),"",IF(EOMONTH(DT$4,0)&lt;=Settings!$B$5,N(Settings!$C$20),N(Calc!$AF$127)))</f>
        <v/>
      </c>
      <c r="DV8" s="31">
        <f>IF(OR(Settings!$A$20="",Settings!$F$20="Yes",OR(EOMONTH(DV$4,0)&lt;=Settings!$B$5,DV$4&gt;TODAY())),"",IF(EOMONTH(DU$4,0)&lt;=Settings!$B$5,N(Settings!$C$20),N(Calc!$AF$128)))</f>
        <v/>
      </c>
      <c r="DW8" s="31">
        <f>IF(OR(Settings!$A$20="",Settings!$F$20="Yes",OR(EOMONTH(DW$4,0)&lt;=Settings!$B$5,DW$4&gt;TODAY())),"",IF(EOMONTH(DV$4,0)&lt;=Settings!$B$5,N(Settings!$C$20),N(Calc!$AF$129)))</f>
        <v/>
      </c>
      <c r="DX8" s="31">
        <f>IF(OR(Settings!$A$20="",Settings!$F$20="Yes",OR(EOMONTH(DX$4,0)&lt;=Settings!$B$5,DX$4&gt;TODAY())),"",IF(EOMONTH(DW$4,0)&lt;=Settings!$B$5,N(Settings!$C$20),N(Calc!$AF$130)))</f>
        <v/>
      </c>
      <c r="DY8" s="31">
        <f>IF(OR(Settings!$A$20="",Settings!$F$20="Yes",OR(EOMONTH(DY$4,0)&lt;=Settings!$B$5,DY$4&gt;TODAY())),"",IF(EOMONTH(DX$4,0)&lt;=Settings!$B$5,N(Settings!$C$20),N(Calc!$AF$131)))</f>
        <v/>
      </c>
      <c r="DZ8" s="31">
        <f>IF(OR(Settings!$A$20="",Settings!$F$20="Yes",OR(EOMONTH(DZ$4,0)&lt;=Settings!$B$5,DZ$4&gt;TODAY())),"",IF(EOMONTH(DY$4,0)&lt;=Settings!$B$5,N(Settings!$C$20),N(Calc!$AF$132)))</f>
        <v/>
      </c>
      <c r="EA8" s="31">
        <f>IF(OR(Settings!$A$20="",Settings!$F$20="Yes",OR(EOMONTH(EA$4,0)&lt;=Settings!$B$5,EA$4&gt;TODAY())),"",IF(EOMONTH(DZ$4,0)&lt;=Settings!$B$5,N(Settings!$C$20),N(Calc!$AF$133)))</f>
        <v/>
      </c>
      <c r="EB8" s="31">
        <f>IF(OR(Settings!$A$20="",Settings!$F$20="Yes",OR(EOMONTH(EB$4,0)&lt;=Settings!$B$5,EB$4&gt;TODAY())),"",IF(EOMONTH(EA$4,0)&lt;=Settings!$B$5,N(Settings!$C$20),N(Calc!$AF$134)))</f>
        <v/>
      </c>
      <c r="EC8" s="31">
        <f>IF(OR(Settings!$A$20="",Settings!$F$20="Yes",OR(EOMONTH(EC$4,0)&lt;=Settings!$B$5,EC$4&gt;TODAY())),"",IF(EOMONTH(EB$4,0)&lt;=Settings!$B$5,N(Settings!$C$20),N(Calc!$AF$135)))</f>
        <v/>
      </c>
      <c r="ED8" s="31">
        <f>IF(OR(Settings!$A$20="",Settings!$F$20="Yes",OR(EOMONTH(ED$4,0)&lt;=Settings!$B$5,ED$4&gt;TODAY())),"",IF(EOMONTH(EC$4,0)&lt;=Settings!$B$5,N(Settings!$C$20),N(Calc!$AF$136)))</f>
        <v/>
      </c>
      <c r="EE8" s="31">
        <f>IF(OR(Settings!$A$20="",Settings!$F$20="Yes",OR(EOMONTH(EE$4,0)&lt;=Settings!$B$5,EE$4&gt;TODAY())),"",IF(EOMONTH(ED$4,0)&lt;=Settings!$B$5,N(Settings!$C$20),N(Calc!$AF$137)))</f>
        <v/>
      </c>
      <c r="EF8" s="31">
        <f>IF(OR(Settings!$A$20="",Settings!$F$20="Yes",OR(EOMONTH(EF$4,0)&lt;=Settings!$B$5,EF$4&gt;TODAY())),"",IF(EOMONTH(EE$4,0)&lt;=Settings!$B$5,N(Settings!$C$20),N(Calc!$AF$138)))</f>
        <v/>
      </c>
      <c r="EG8" s="31">
        <f>IF(OR(Settings!$A$20="",Settings!$F$20="Yes",OR(EOMONTH(EG$4,0)&lt;=Settings!$B$5,EG$4&gt;TODAY())),"",IF(EOMONTH(EF$4,0)&lt;=Settings!$B$5,N(Settings!$C$20),N(Calc!$AF$139)))</f>
        <v/>
      </c>
      <c r="EH8" s="31">
        <f>IF(OR(Settings!$A$20="",Settings!$F$20="Yes",OR(EOMONTH(EH$4,0)&lt;=Settings!$B$5,EH$4&gt;TODAY())),"",IF(EOMONTH(EG$4,0)&lt;=Settings!$B$5,N(Settings!$C$20),N(Calc!$AF$140)))</f>
        <v/>
      </c>
      <c r="EI8" s="31">
        <f>IF(OR(Settings!$A$20="",Settings!$F$20="Yes",OR(EOMONTH(EI$4,0)&lt;=Settings!$B$5,EI$4&gt;TODAY())),"",IF(EOMONTH(EH$4,0)&lt;=Settings!$B$5,N(Settings!$C$20),N(Calc!$AF$141)))</f>
        <v/>
      </c>
      <c r="EJ8" s="31">
        <f>IF(OR(Settings!$A$20="",Settings!$F$20="Yes",OR(EOMONTH(EJ$4,0)&lt;=Settings!$B$5,EJ$4&gt;TODAY())),"",IF(EOMONTH(EI$4,0)&lt;=Settings!$B$5,N(Settings!$C$20),N(Calc!$AF$142)))</f>
        <v/>
      </c>
      <c r="EK8" s="31">
        <f>IF(OR(Settings!$A$20="",Settings!$F$20="Yes",OR(EOMONTH(EK$4,0)&lt;=Settings!$B$5,EK$4&gt;TODAY())),"",IF(EOMONTH(EJ$4,0)&lt;=Settings!$B$5,N(Settings!$C$20),N(Calc!$AF$143)))</f>
        <v/>
      </c>
      <c r="EL8" s="31">
        <f>IF(OR(Settings!$A$20="",Settings!$F$20="Yes",OR(EOMONTH(EL$4,0)&lt;=Settings!$B$5,EL$4&gt;TODAY())),"",IF(EOMONTH(EK$4,0)&lt;=Settings!$B$5,N(Settings!$C$20),N(Calc!$AF$144)))</f>
        <v/>
      </c>
      <c r="EM8" s="31">
        <f>IF(OR(Settings!$A$20="",Settings!$F$20="Yes",OR(EOMONTH(EM$4,0)&lt;=Settings!$B$5,EM$4&gt;TODAY())),"",IF(EOMONTH(EL$4,0)&lt;=Settings!$B$5,N(Settings!$C$20),N(Calc!$AF$145)))</f>
        <v/>
      </c>
      <c r="EN8" s="31">
        <f>IF(OR(Settings!$A$20="",Settings!$F$20="Yes",OR(EOMONTH(EN$4,0)&lt;=Settings!$B$5,EN$4&gt;TODAY())),"",IF(EOMONTH(EM$4,0)&lt;=Settings!$B$5,N(Settings!$C$20),N(Calc!$AF$146)))</f>
        <v/>
      </c>
      <c r="EO8" s="31">
        <f>IF(OR(Settings!$A$20="",Settings!$F$20="Yes",OR(EOMONTH(EO$4,0)&lt;=Settings!$B$5,EO$4&gt;TODAY())),"",IF(EOMONTH(EN$4,0)&lt;=Settings!$B$5,N(Settings!$C$20),N(Calc!$AF$147)))</f>
        <v/>
      </c>
      <c r="EP8" s="31">
        <f>IF(OR(Settings!$A$20="",Settings!$F$20="Yes",OR(EOMONTH(EP$4,0)&lt;=Settings!$B$5,EP$4&gt;TODAY())),"",IF(EOMONTH(EO$4,0)&lt;=Settings!$B$5,N(Settings!$C$20),N(Calc!$AF$148)))</f>
        <v/>
      </c>
      <c r="EQ8" s="31">
        <f>IF(OR(Settings!$A$20="",Settings!$F$20="Yes",OR(EOMONTH(EQ$4,0)&lt;=Settings!$B$5,EQ$4&gt;TODAY())),"",IF(EOMONTH(EP$4,0)&lt;=Settings!$B$5,N(Settings!$C$20),N(Calc!$AF$149)))</f>
        <v/>
      </c>
      <c r="ER8" s="31">
        <f>IF(OR(Settings!$A$20="",Settings!$F$20="Yes",OR(EOMONTH(ER$4,0)&lt;=Settings!$B$5,ER$4&gt;TODAY())),"",IF(EOMONTH(EQ$4,0)&lt;=Settings!$B$5,N(Settings!$C$20),N(Calc!$AF$150)))</f>
        <v/>
      </c>
      <c r="ES8" s="31">
        <f>IF(OR(Settings!$A$20="",Settings!$F$20="Yes",OR(EOMONTH(ES$4,0)&lt;=Settings!$B$5,ES$4&gt;TODAY())),"",IF(EOMONTH(ER$4,0)&lt;=Settings!$B$5,N(Settings!$C$20),N(Calc!$AF$151)))</f>
        <v/>
      </c>
      <c r="ET8" s="31">
        <f>IF(OR(Settings!$A$20="",Settings!$F$20="Yes",OR(EOMONTH(ET$4,0)&lt;=Settings!$B$5,ET$4&gt;TODAY())),"",IF(EOMONTH(ES$4,0)&lt;=Settings!$B$5,N(Settings!$C$20),N(Calc!$AF$152)))</f>
        <v/>
      </c>
      <c r="EU8" s="31">
        <f>IF(OR(Settings!$A$20="",Settings!$F$20="Yes",OR(EOMONTH(EU$4,0)&lt;=Settings!$B$5,EU$4&gt;TODAY())),"",IF(EOMONTH(ET$4,0)&lt;=Settings!$B$5,N(Settings!$C$20),N(Calc!$AF$153)))</f>
        <v/>
      </c>
      <c r="EV8" s="31">
        <f>IF(OR(Settings!$A$20="",Settings!$F$20="Yes",OR(EOMONTH(EV$4,0)&lt;=Settings!$B$5,EV$4&gt;TODAY())),"",IF(EOMONTH(EU$4,0)&lt;=Settings!$B$5,N(Settings!$C$20),N(Calc!$AF$154)))</f>
        <v/>
      </c>
      <c r="EW8" s="31">
        <f>IF(OR(Settings!$A$20="",Settings!$F$20="Yes",OR(EOMONTH(EW$4,0)&lt;=Settings!$B$5,EW$4&gt;TODAY())),"",IF(EOMONTH(EV$4,0)&lt;=Settings!$B$5,N(Settings!$C$20),N(Calc!$AF$155)))</f>
        <v/>
      </c>
      <c r="EX8" s="31">
        <f>IF(OR(Settings!$A$20="",Settings!$F$20="Yes",OR(EOMONTH(EX$4,0)&lt;=Settings!$B$5,EX$4&gt;TODAY())),"",IF(EOMONTH(EW$4,0)&lt;=Settings!$B$5,N(Settings!$C$20),N(Calc!$AF$156)))</f>
        <v/>
      </c>
      <c r="EY8" s="31">
        <f>IF(OR(Settings!$A$20="",Settings!$F$20="Yes",OR(EOMONTH(EY$4,0)&lt;=Settings!$B$5,EY$4&gt;TODAY())),"",IF(EOMONTH(EX$4,0)&lt;=Settings!$B$5,N(Settings!$C$20),N(Calc!$AF$157)))</f>
        <v/>
      </c>
      <c r="EZ8" s="31">
        <f>IF(OR(Settings!$A$20="",Settings!$F$20="Yes",OR(EOMONTH(EZ$4,0)&lt;=Settings!$B$5,EZ$4&gt;TODAY())),"",IF(EOMONTH(EY$4,0)&lt;=Settings!$B$5,N(Settings!$C$20),N(Calc!$AF$158)))</f>
        <v/>
      </c>
      <c r="FA8" s="31">
        <f>IF(OR(Settings!$A$20="",Settings!$F$20="Yes",OR(EOMONTH(FA$4,0)&lt;=Settings!$B$5,FA$4&gt;TODAY())),"",IF(EOMONTH(EZ$4,0)&lt;=Settings!$B$5,N(Settings!$C$20),N(Calc!$AF$159)))</f>
        <v/>
      </c>
      <c r="FB8" s="31">
        <f>IF(OR(Settings!$A$20="",Settings!$F$20="Yes",OR(EOMONTH(FB$4,0)&lt;=Settings!$B$5,FB$4&gt;TODAY())),"",IF(EOMONTH(FA$4,0)&lt;=Settings!$B$5,N(Settings!$C$20),N(Calc!$AF$160)))</f>
        <v/>
      </c>
      <c r="FC8" s="31">
        <f>IF(OR(Settings!$A$20="",Settings!$F$20="Yes",OR(EOMONTH(FC$4,0)&lt;=Settings!$B$5,FC$4&gt;TODAY())),"",IF(EOMONTH(FB$4,0)&lt;=Settings!$B$5,N(Settings!$C$20),N(Calc!$AF$161)))</f>
        <v/>
      </c>
      <c r="FD8" s="31">
        <f>IF(OR(Settings!$A$20="",Settings!$F$20="Yes",OR(EOMONTH(FD$4,0)&lt;=Settings!$B$5,FD$4&gt;TODAY())),"",IF(EOMONTH(FC$4,0)&lt;=Settings!$B$5,N(Settings!$C$20),N(Calc!$AF$162)))</f>
        <v/>
      </c>
      <c r="FE8" s="31">
        <f>IF(OR(Settings!$A$20="",Settings!$F$20="Yes",OR(EOMONTH(FE$4,0)&lt;=Settings!$B$5,FE$4&gt;TODAY())),"",IF(EOMONTH(FD$4,0)&lt;=Settings!$B$5,N(Settings!$C$20),N(Calc!$AF$163)))</f>
        <v/>
      </c>
      <c r="FF8" s="31">
        <f>IF(OR(Settings!$A$20="",Settings!$F$20="Yes",OR(EOMONTH(FF$4,0)&lt;=Settings!$B$5,FF$4&gt;TODAY())),"",IF(EOMONTH(FE$4,0)&lt;=Settings!$B$5,N(Settings!$C$20),N(Calc!$AF$164)))</f>
        <v/>
      </c>
      <c r="FG8" s="31">
        <f>IF(OR(Settings!$A$20="",Settings!$F$20="Yes",OR(EOMONTH(FG$4,0)&lt;=Settings!$B$5,FG$4&gt;TODAY())),"",IF(EOMONTH(FF$4,0)&lt;=Settings!$B$5,N(Settings!$C$20),N(Calc!$AF$165)))</f>
        <v/>
      </c>
      <c r="FH8" s="31">
        <f>IF(OR(Settings!$A$20="",Settings!$F$20="Yes",OR(EOMONTH(FH$4,0)&lt;=Settings!$B$5,FH$4&gt;TODAY())),"",IF(EOMONTH(FG$4,0)&lt;=Settings!$B$5,N(Settings!$C$20),N(Calc!$AF$166)))</f>
        <v/>
      </c>
      <c r="FI8" s="31">
        <f>IF(OR(Settings!$A$20="",Settings!$F$20="Yes",OR(EOMONTH(FI$4,0)&lt;=Settings!$B$5,FI$4&gt;TODAY())),"",IF(EOMONTH(FH$4,0)&lt;=Settings!$B$5,N(Settings!$C$20),N(Calc!$AF$167)))</f>
        <v/>
      </c>
      <c r="FJ8" s="31">
        <f>IF(OR(Settings!$A$20="",Settings!$F$20="Yes",OR(EOMONTH(FJ$4,0)&lt;=Settings!$B$5,FJ$4&gt;TODAY())),"",IF(EOMONTH(FI$4,0)&lt;=Settings!$B$5,N(Settings!$C$20),N(Calc!$AF$168)))</f>
        <v/>
      </c>
      <c r="FK8" s="31">
        <f>IF(OR(Settings!$A$20="",Settings!$F$20="Yes",OR(EOMONTH(FK$4,0)&lt;=Settings!$B$5,FK$4&gt;TODAY())),"",IF(EOMONTH(FJ$4,0)&lt;=Settings!$B$5,N(Settings!$C$20),N(Calc!$AF$169)))</f>
        <v/>
      </c>
      <c r="FL8" s="31">
        <f>IF(OR(Settings!$A$20="",Settings!$F$20="Yes",OR(EOMONTH(FL$4,0)&lt;=Settings!$B$5,FL$4&gt;TODAY())),"",IF(EOMONTH(FK$4,0)&lt;=Settings!$B$5,N(Settings!$C$20),N(Calc!$AF$170)))</f>
        <v/>
      </c>
      <c r="FM8" s="31">
        <f>IF(OR(Settings!$A$20="",Settings!$F$20="Yes",OR(EOMONTH(FM$4,0)&lt;=Settings!$B$5,FM$4&gt;TODAY())),"",IF(EOMONTH(FL$4,0)&lt;=Settings!$B$5,N(Settings!$C$20),N(Calc!$AF$171)))</f>
        <v/>
      </c>
      <c r="FN8" s="31">
        <f>IF(OR(Settings!$A$20="",Settings!$F$20="Yes",OR(EOMONTH(FN$4,0)&lt;=Settings!$B$5,FN$4&gt;TODAY())),"",IF(EOMONTH(FM$4,0)&lt;=Settings!$B$5,N(Settings!$C$20),N(Calc!$AF$172)))</f>
        <v/>
      </c>
      <c r="FO8" s="31">
        <f>IF(OR(Settings!$A$20="",Settings!$F$20="Yes",OR(EOMONTH(FO$4,0)&lt;=Settings!$B$5,FO$4&gt;TODAY())),"",IF(EOMONTH(FN$4,0)&lt;=Settings!$B$5,N(Settings!$C$20),N(Calc!$AF$173)))</f>
        <v/>
      </c>
      <c r="FP8" s="31">
        <f>IF(OR(Settings!$A$20="",Settings!$F$20="Yes",OR(EOMONTH(FP$4,0)&lt;=Settings!$B$5,FP$4&gt;TODAY())),"",IF(EOMONTH(FO$4,0)&lt;=Settings!$B$5,N(Settings!$C$20),N(Calc!$AF$174)))</f>
        <v/>
      </c>
      <c r="FQ8" s="31">
        <f>IF(OR(Settings!$A$20="",Settings!$F$20="Yes",OR(EOMONTH(FQ$4,0)&lt;=Settings!$B$5,FQ$4&gt;TODAY())),"",IF(EOMONTH(FP$4,0)&lt;=Settings!$B$5,N(Settings!$C$20),N(Calc!$AF$175)))</f>
        <v/>
      </c>
      <c r="FR8" s="31">
        <f>IF(OR(Settings!$A$20="",Settings!$F$20="Yes",OR(EOMONTH(FR$4,0)&lt;=Settings!$B$5,FR$4&gt;TODAY())),"",IF(EOMONTH(FQ$4,0)&lt;=Settings!$B$5,N(Settings!$C$20),N(Calc!$AF$176)))</f>
        <v/>
      </c>
      <c r="FS8" s="31">
        <f>IF(OR(Settings!$A$20="",Settings!$F$20="Yes",OR(EOMONTH(FS$4,0)&lt;=Settings!$B$5,FS$4&gt;TODAY())),"",IF(EOMONTH(FR$4,0)&lt;=Settings!$B$5,N(Settings!$C$20),N(Calc!$AF$177)))</f>
        <v/>
      </c>
      <c r="FT8" s="31">
        <f>IF(OR(Settings!$A$20="",Settings!$F$20="Yes",OR(EOMONTH(FT$4,0)&lt;=Settings!$B$5,FT$4&gt;TODAY())),"",IF(EOMONTH(FS$4,0)&lt;=Settings!$B$5,N(Settings!$C$20),N(Calc!$AF$178)))</f>
        <v/>
      </c>
      <c r="FU8" s="31">
        <f>IF(OR(Settings!$A$20="",Settings!$F$20="Yes",OR(EOMONTH(FU$4,0)&lt;=Settings!$B$5,FU$4&gt;TODAY())),"",IF(EOMONTH(FT$4,0)&lt;=Settings!$B$5,N(Settings!$C$20),N(Calc!$AF$179)))</f>
        <v/>
      </c>
      <c r="FV8" s="31">
        <f>IF(OR(Settings!$A$20="",Settings!$F$20="Yes",OR(EOMONTH(FV$4,0)&lt;=Settings!$B$5,FV$4&gt;TODAY())),"",IF(EOMONTH(FU$4,0)&lt;=Settings!$B$5,N(Settings!$C$20),N(Calc!$AF$180)))</f>
        <v/>
      </c>
      <c r="FW8" s="31">
        <f>IF(OR(Settings!$A$20="",Settings!$F$20="Yes",OR(EOMONTH(FW$4,0)&lt;=Settings!$B$5,FW$4&gt;TODAY())),"",IF(EOMONTH(FV$4,0)&lt;=Settings!$B$5,N(Settings!$C$20),N(Calc!$AF$181)))</f>
        <v/>
      </c>
      <c r="FX8" s="31">
        <f>IF(OR(Settings!$A$20="",Settings!$F$20="Yes",OR(EOMONTH(FX$4,0)&lt;=Settings!$B$5,FX$4&gt;TODAY())),"",IF(EOMONTH(FW$4,0)&lt;=Settings!$B$5,N(Settings!$C$20),N(Calc!$AF$182)))</f>
        <v/>
      </c>
    </row>
    <row r="9">
      <c r="A9" s="15">
        <f>IF(Settings!$A$21="","(unused)",Settings!$A$21&amp;IF(Settings!$E$21="No"," (retired)",""))</f>
        <v/>
      </c>
      <c r="B9" s="26">
        <f>IF(Settings!$A$21="","",IF(Settings!$F$21="Yes","REQUIRED","optional · grey = unchanged")&amp;IF(OR(Settings!$B$21="Card",Settings!$B$21="Loan")," · amount owed",""))</f>
        <v/>
      </c>
      <c r="C9" s="31">
        <f>IF(OR(Settings!$A$21="",Settings!$F$21="Yes",OR(EOMONTH(C$4,0)&lt;=Settings!$B$5,C$4&gt;TODAY())),"",N(Settings!$C$21))</f>
        <v/>
      </c>
      <c r="D9" s="31">
        <f>IF(OR(Settings!$A$21="",Settings!$F$21="Yes",OR(EOMONTH(D$4,0)&lt;=Settings!$B$5,D$4&gt;TODAY())),"",IF(EOMONTH(C$4,0)&lt;=Settings!$B$5,N(Settings!$C$21),N(Calc!$AG$6)))</f>
        <v/>
      </c>
      <c r="E9" s="31">
        <f>IF(OR(Settings!$A$21="",Settings!$F$21="Yes",OR(EOMONTH(E$4,0)&lt;=Settings!$B$5,E$4&gt;TODAY())),"",IF(EOMONTH(D$4,0)&lt;=Settings!$B$5,N(Settings!$C$21),N(Calc!$AG$7)))</f>
        <v/>
      </c>
      <c r="F9" s="31">
        <f>IF(OR(Settings!$A$21="",Settings!$F$21="Yes",OR(EOMONTH(F$4,0)&lt;=Settings!$B$5,F$4&gt;TODAY())),"",IF(EOMONTH(E$4,0)&lt;=Settings!$B$5,N(Settings!$C$21),N(Calc!$AG$8)))</f>
        <v/>
      </c>
      <c r="G9" s="31">
        <f>IF(OR(Settings!$A$21="",Settings!$F$21="Yes",OR(EOMONTH(G$4,0)&lt;=Settings!$B$5,G$4&gt;TODAY())),"",IF(EOMONTH(F$4,0)&lt;=Settings!$B$5,N(Settings!$C$21),N(Calc!$AG$9)))</f>
        <v/>
      </c>
      <c r="H9" s="31">
        <f>IF(OR(Settings!$A$21="",Settings!$F$21="Yes",OR(EOMONTH(H$4,0)&lt;=Settings!$B$5,H$4&gt;TODAY())),"",IF(EOMONTH(G$4,0)&lt;=Settings!$B$5,N(Settings!$C$21),N(Calc!$AG$10)))</f>
        <v/>
      </c>
      <c r="I9" s="31">
        <f>IF(OR(Settings!$A$21="",Settings!$F$21="Yes",OR(EOMONTH(I$4,0)&lt;=Settings!$B$5,I$4&gt;TODAY())),"",IF(EOMONTH(H$4,0)&lt;=Settings!$B$5,N(Settings!$C$21),N(Calc!$AG$11)))</f>
        <v/>
      </c>
      <c r="J9" s="31">
        <f>IF(OR(Settings!$A$21="",Settings!$F$21="Yes",OR(EOMONTH(J$4,0)&lt;=Settings!$B$5,J$4&gt;TODAY())),"",IF(EOMONTH(I$4,0)&lt;=Settings!$B$5,N(Settings!$C$21),N(Calc!$AG$12)))</f>
        <v/>
      </c>
      <c r="K9" s="31">
        <f>IF(OR(Settings!$A$21="",Settings!$F$21="Yes",OR(EOMONTH(K$4,0)&lt;=Settings!$B$5,K$4&gt;TODAY())),"",IF(EOMONTH(J$4,0)&lt;=Settings!$B$5,N(Settings!$C$21),N(Calc!$AG$13)))</f>
        <v/>
      </c>
      <c r="L9" s="31">
        <f>IF(OR(Settings!$A$21="",Settings!$F$21="Yes",OR(EOMONTH(L$4,0)&lt;=Settings!$B$5,L$4&gt;TODAY())),"",IF(EOMONTH(K$4,0)&lt;=Settings!$B$5,N(Settings!$C$21),N(Calc!$AG$14)))</f>
        <v/>
      </c>
      <c r="M9" s="31">
        <f>IF(OR(Settings!$A$21="",Settings!$F$21="Yes",OR(EOMONTH(M$4,0)&lt;=Settings!$B$5,M$4&gt;TODAY())),"",IF(EOMONTH(L$4,0)&lt;=Settings!$B$5,N(Settings!$C$21),N(Calc!$AG$15)))</f>
        <v/>
      </c>
      <c r="N9" s="31">
        <f>IF(OR(Settings!$A$21="",Settings!$F$21="Yes",OR(EOMONTH(N$4,0)&lt;=Settings!$B$5,N$4&gt;TODAY())),"",IF(EOMONTH(M$4,0)&lt;=Settings!$B$5,N(Settings!$C$21),N(Calc!$AG$16)))</f>
        <v/>
      </c>
      <c r="O9" s="31">
        <f>IF(OR(Settings!$A$21="",Settings!$F$21="Yes",OR(EOMONTH(O$4,0)&lt;=Settings!$B$5,O$4&gt;TODAY())),"",IF(EOMONTH(N$4,0)&lt;=Settings!$B$5,N(Settings!$C$21),N(Calc!$AG$17)))</f>
        <v/>
      </c>
      <c r="P9" s="31">
        <f>IF(OR(Settings!$A$21="",Settings!$F$21="Yes",OR(EOMONTH(P$4,0)&lt;=Settings!$B$5,P$4&gt;TODAY())),"",IF(EOMONTH(O$4,0)&lt;=Settings!$B$5,N(Settings!$C$21),N(Calc!$AG$18)))</f>
        <v/>
      </c>
      <c r="Q9" s="31">
        <f>IF(OR(Settings!$A$21="",Settings!$F$21="Yes",OR(EOMONTH(Q$4,0)&lt;=Settings!$B$5,Q$4&gt;TODAY())),"",IF(EOMONTH(P$4,0)&lt;=Settings!$B$5,N(Settings!$C$21),N(Calc!$AG$19)))</f>
        <v/>
      </c>
      <c r="R9" s="31">
        <f>IF(OR(Settings!$A$21="",Settings!$F$21="Yes",OR(EOMONTH(R$4,0)&lt;=Settings!$B$5,R$4&gt;TODAY())),"",IF(EOMONTH(Q$4,0)&lt;=Settings!$B$5,N(Settings!$C$21),N(Calc!$AG$20)))</f>
        <v/>
      </c>
      <c r="S9" s="31">
        <f>IF(OR(Settings!$A$21="",Settings!$F$21="Yes",OR(EOMONTH(S$4,0)&lt;=Settings!$B$5,S$4&gt;TODAY())),"",IF(EOMONTH(R$4,0)&lt;=Settings!$B$5,N(Settings!$C$21),N(Calc!$AG$21)))</f>
        <v/>
      </c>
      <c r="T9" s="31">
        <f>IF(OR(Settings!$A$21="",Settings!$F$21="Yes",OR(EOMONTH(T$4,0)&lt;=Settings!$B$5,T$4&gt;TODAY())),"",IF(EOMONTH(S$4,0)&lt;=Settings!$B$5,N(Settings!$C$21),N(Calc!$AG$22)))</f>
        <v/>
      </c>
      <c r="U9" s="31">
        <f>IF(OR(Settings!$A$21="",Settings!$F$21="Yes",OR(EOMONTH(U$4,0)&lt;=Settings!$B$5,U$4&gt;TODAY())),"",IF(EOMONTH(T$4,0)&lt;=Settings!$B$5,N(Settings!$C$21),N(Calc!$AG$23)))</f>
        <v/>
      </c>
      <c r="V9" s="31">
        <f>IF(OR(Settings!$A$21="",Settings!$F$21="Yes",OR(EOMONTH(V$4,0)&lt;=Settings!$B$5,V$4&gt;TODAY())),"",IF(EOMONTH(U$4,0)&lt;=Settings!$B$5,N(Settings!$C$21),N(Calc!$AG$24)))</f>
        <v/>
      </c>
      <c r="W9" s="31">
        <f>IF(OR(Settings!$A$21="",Settings!$F$21="Yes",OR(EOMONTH(W$4,0)&lt;=Settings!$B$5,W$4&gt;TODAY())),"",IF(EOMONTH(V$4,0)&lt;=Settings!$B$5,N(Settings!$C$21),N(Calc!$AG$25)))</f>
        <v/>
      </c>
      <c r="X9" s="31">
        <f>IF(OR(Settings!$A$21="",Settings!$F$21="Yes",OR(EOMONTH(X$4,0)&lt;=Settings!$B$5,X$4&gt;TODAY())),"",IF(EOMONTH(W$4,0)&lt;=Settings!$B$5,N(Settings!$C$21),N(Calc!$AG$26)))</f>
        <v/>
      </c>
      <c r="Y9" s="31">
        <f>IF(OR(Settings!$A$21="",Settings!$F$21="Yes",OR(EOMONTH(Y$4,0)&lt;=Settings!$B$5,Y$4&gt;TODAY())),"",IF(EOMONTH(X$4,0)&lt;=Settings!$B$5,N(Settings!$C$21),N(Calc!$AG$27)))</f>
        <v/>
      </c>
      <c r="Z9" s="31">
        <f>IF(OR(Settings!$A$21="",Settings!$F$21="Yes",OR(EOMONTH(Z$4,0)&lt;=Settings!$B$5,Z$4&gt;TODAY())),"",IF(EOMONTH(Y$4,0)&lt;=Settings!$B$5,N(Settings!$C$21),N(Calc!$AG$28)))</f>
        <v/>
      </c>
      <c r="AA9" s="31">
        <f>IF(OR(Settings!$A$21="",Settings!$F$21="Yes",OR(EOMONTH(AA$4,0)&lt;=Settings!$B$5,AA$4&gt;TODAY())),"",IF(EOMONTH(Z$4,0)&lt;=Settings!$B$5,N(Settings!$C$21),N(Calc!$AG$29)))</f>
        <v/>
      </c>
      <c r="AB9" s="31">
        <f>IF(OR(Settings!$A$21="",Settings!$F$21="Yes",OR(EOMONTH(AB$4,0)&lt;=Settings!$B$5,AB$4&gt;TODAY())),"",IF(EOMONTH(AA$4,0)&lt;=Settings!$B$5,N(Settings!$C$21),N(Calc!$AG$30)))</f>
        <v/>
      </c>
      <c r="AC9" s="31">
        <f>IF(OR(Settings!$A$21="",Settings!$F$21="Yes",OR(EOMONTH(AC$4,0)&lt;=Settings!$B$5,AC$4&gt;TODAY())),"",IF(EOMONTH(AB$4,0)&lt;=Settings!$B$5,N(Settings!$C$21),N(Calc!$AG$31)))</f>
        <v/>
      </c>
      <c r="AD9" s="31">
        <f>IF(OR(Settings!$A$21="",Settings!$F$21="Yes",OR(EOMONTH(AD$4,0)&lt;=Settings!$B$5,AD$4&gt;TODAY())),"",IF(EOMONTH(AC$4,0)&lt;=Settings!$B$5,N(Settings!$C$21),N(Calc!$AG$32)))</f>
        <v/>
      </c>
      <c r="AE9" s="31">
        <f>IF(OR(Settings!$A$21="",Settings!$F$21="Yes",OR(EOMONTH(AE$4,0)&lt;=Settings!$B$5,AE$4&gt;TODAY())),"",IF(EOMONTH(AD$4,0)&lt;=Settings!$B$5,N(Settings!$C$21),N(Calc!$AG$33)))</f>
        <v/>
      </c>
      <c r="AF9" s="31">
        <f>IF(OR(Settings!$A$21="",Settings!$F$21="Yes",OR(EOMONTH(AF$4,0)&lt;=Settings!$B$5,AF$4&gt;TODAY())),"",IF(EOMONTH(AE$4,0)&lt;=Settings!$B$5,N(Settings!$C$21),N(Calc!$AG$34)))</f>
        <v/>
      </c>
      <c r="AG9" s="31">
        <f>IF(OR(Settings!$A$21="",Settings!$F$21="Yes",OR(EOMONTH(AG$4,0)&lt;=Settings!$B$5,AG$4&gt;TODAY())),"",IF(EOMONTH(AF$4,0)&lt;=Settings!$B$5,N(Settings!$C$21),N(Calc!$AG$35)))</f>
        <v/>
      </c>
      <c r="AH9" s="31">
        <f>IF(OR(Settings!$A$21="",Settings!$F$21="Yes",OR(EOMONTH(AH$4,0)&lt;=Settings!$B$5,AH$4&gt;TODAY())),"",IF(EOMONTH(AG$4,0)&lt;=Settings!$B$5,N(Settings!$C$21),N(Calc!$AG$36)))</f>
        <v/>
      </c>
      <c r="AI9" s="31">
        <f>IF(OR(Settings!$A$21="",Settings!$F$21="Yes",OR(EOMONTH(AI$4,0)&lt;=Settings!$B$5,AI$4&gt;TODAY())),"",IF(EOMONTH(AH$4,0)&lt;=Settings!$B$5,N(Settings!$C$21),N(Calc!$AG$37)))</f>
        <v/>
      </c>
      <c r="AJ9" s="31">
        <f>IF(OR(Settings!$A$21="",Settings!$F$21="Yes",OR(EOMONTH(AJ$4,0)&lt;=Settings!$B$5,AJ$4&gt;TODAY())),"",IF(EOMONTH(AI$4,0)&lt;=Settings!$B$5,N(Settings!$C$21),N(Calc!$AG$38)))</f>
        <v/>
      </c>
      <c r="AK9" s="31">
        <f>IF(OR(Settings!$A$21="",Settings!$F$21="Yes",OR(EOMONTH(AK$4,0)&lt;=Settings!$B$5,AK$4&gt;TODAY())),"",IF(EOMONTH(AJ$4,0)&lt;=Settings!$B$5,N(Settings!$C$21),N(Calc!$AG$39)))</f>
        <v/>
      </c>
      <c r="AL9" s="31">
        <f>IF(OR(Settings!$A$21="",Settings!$F$21="Yes",OR(EOMONTH(AL$4,0)&lt;=Settings!$B$5,AL$4&gt;TODAY())),"",IF(EOMONTH(AK$4,0)&lt;=Settings!$B$5,N(Settings!$C$21),N(Calc!$AG$40)))</f>
        <v/>
      </c>
      <c r="AM9" s="31">
        <f>IF(OR(Settings!$A$21="",Settings!$F$21="Yes",OR(EOMONTH(AM$4,0)&lt;=Settings!$B$5,AM$4&gt;TODAY())),"",IF(EOMONTH(AL$4,0)&lt;=Settings!$B$5,N(Settings!$C$21),N(Calc!$AG$41)))</f>
        <v/>
      </c>
      <c r="AN9" s="31">
        <f>IF(OR(Settings!$A$21="",Settings!$F$21="Yes",OR(EOMONTH(AN$4,0)&lt;=Settings!$B$5,AN$4&gt;TODAY())),"",IF(EOMONTH(AM$4,0)&lt;=Settings!$B$5,N(Settings!$C$21),N(Calc!$AG$42)))</f>
        <v/>
      </c>
      <c r="AO9" s="31">
        <f>IF(OR(Settings!$A$21="",Settings!$F$21="Yes",OR(EOMONTH(AO$4,0)&lt;=Settings!$B$5,AO$4&gt;TODAY())),"",IF(EOMONTH(AN$4,0)&lt;=Settings!$B$5,N(Settings!$C$21),N(Calc!$AG$43)))</f>
        <v/>
      </c>
      <c r="AP9" s="31">
        <f>IF(OR(Settings!$A$21="",Settings!$F$21="Yes",OR(EOMONTH(AP$4,0)&lt;=Settings!$B$5,AP$4&gt;TODAY())),"",IF(EOMONTH(AO$4,0)&lt;=Settings!$B$5,N(Settings!$C$21),N(Calc!$AG$44)))</f>
        <v/>
      </c>
      <c r="AQ9" s="31">
        <f>IF(OR(Settings!$A$21="",Settings!$F$21="Yes",OR(EOMONTH(AQ$4,0)&lt;=Settings!$B$5,AQ$4&gt;TODAY())),"",IF(EOMONTH(AP$4,0)&lt;=Settings!$B$5,N(Settings!$C$21),N(Calc!$AG$45)))</f>
        <v/>
      </c>
      <c r="AR9" s="31">
        <f>IF(OR(Settings!$A$21="",Settings!$F$21="Yes",OR(EOMONTH(AR$4,0)&lt;=Settings!$B$5,AR$4&gt;TODAY())),"",IF(EOMONTH(AQ$4,0)&lt;=Settings!$B$5,N(Settings!$C$21),N(Calc!$AG$46)))</f>
        <v/>
      </c>
      <c r="AS9" s="31">
        <f>IF(OR(Settings!$A$21="",Settings!$F$21="Yes",OR(EOMONTH(AS$4,0)&lt;=Settings!$B$5,AS$4&gt;TODAY())),"",IF(EOMONTH(AR$4,0)&lt;=Settings!$B$5,N(Settings!$C$21),N(Calc!$AG$47)))</f>
        <v/>
      </c>
      <c r="AT9" s="31">
        <f>IF(OR(Settings!$A$21="",Settings!$F$21="Yes",OR(EOMONTH(AT$4,0)&lt;=Settings!$B$5,AT$4&gt;TODAY())),"",IF(EOMONTH(AS$4,0)&lt;=Settings!$B$5,N(Settings!$C$21),N(Calc!$AG$48)))</f>
        <v/>
      </c>
      <c r="AU9" s="31">
        <f>IF(OR(Settings!$A$21="",Settings!$F$21="Yes",OR(EOMONTH(AU$4,0)&lt;=Settings!$B$5,AU$4&gt;TODAY())),"",IF(EOMONTH(AT$4,0)&lt;=Settings!$B$5,N(Settings!$C$21),N(Calc!$AG$49)))</f>
        <v/>
      </c>
      <c r="AV9" s="31">
        <f>IF(OR(Settings!$A$21="",Settings!$F$21="Yes",OR(EOMONTH(AV$4,0)&lt;=Settings!$B$5,AV$4&gt;TODAY())),"",IF(EOMONTH(AU$4,0)&lt;=Settings!$B$5,N(Settings!$C$21),N(Calc!$AG$50)))</f>
        <v/>
      </c>
      <c r="AW9" s="31">
        <f>IF(OR(Settings!$A$21="",Settings!$F$21="Yes",OR(EOMONTH(AW$4,0)&lt;=Settings!$B$5,AW$4&gt;TODAY())),"",IF(EOMONTH(AV$4,0)&lt;=Settings!$B$5,N(Settings!$C$21),N(Calc!$AG$51)))</f>
        <v/>
      </c>
      <c r="AX9" s="31">
        <f>IF(OR(Settings!$A$21="",Settings!$F$21="Yes",OR(EOMONTH(AX$4,0)&lt;=Settings!$B$5,AX$4&gt;TODAY())),"",IF(EOMONTH(AW$4,0)&lt;=Settings!$B$5,N(Settings!$C$21),N(Calc!$AG$52)))</f>
        <v/>
      </c>
      <c r="AY9" s="31">
        <f>IF(OR(Settings!$A$21="",Settings!$F$21="Yes",OR(EOMONTH(AY$4,0)&lt;=Settings!$B$5,AY$4&gt;TODAY())),"",IF(EOMONTH(AX$4,0)&lt;=Settings!$B$5,N(Settings!$C$21),N(Calc!$AG$53)))</f>
        <v/>
      </c>
      <c r="AZ9" s="31">
        <f>IF(OR(Settings!$A$21="",Settings!$F$21="Yes",OR(EOMONTH(AZ$4,0)&lt;=Settings!$B$5,AZ$4&gt;TODAY())),"",IF(EOMONTH(AY$4,0)&lt;=Settings!$B$5,N(Settings!$C$21),N(Calc!$AG$54)))</f>
        <v/>
      </c>
      <c r="BA9" s="31">
        <f>IF(OR(Settings!$A$21="",Settings!$F$21="Yes",OR(EOMONTH(BA$4,0)&lt;=Settings!$B$5,BA$4&gt;TODAY())),"",IF(EOMONTH(AZ$4,0)&lt;=Settings!$B$5,N(Settings!$C$21),N(Calc!$AG$55)))</f>
        <v/>
      </c>
      <c r="BB9" s="31">
        <f>IF(OR(Settings!$A$21="",Settings!$F$21="Yes",OR(EOMONTH(BB$4,0)&lt;=Settings!$B$5,BB$4&gt;TODAY())),"",IF(EOMONTH(BA$4,0)&lt;=Settings!$B$5,N(Settings!$C$21),N(Calc!$AG$56)))</f>
        <v/>
      </c>
      <c r="BC9" s="31">
        <f>IF(OR(Settings!$A$21="",Settings!$F$21="Yes",OR(EOMONTH(BC$4,0)&lt;=Settings!$B$5,BC$4&gt;TODAY())),"",IF(EOMONTH(BB$4,0)&lt;=Settings!$B$5,N(Settings!$C$21),N(Calc!$AG$57)))</f>
        <v/>
      </c>
      <c r="BD9" s="31">
        <f>IF(OR(Settings!$A$21="",Settings!$F$21="Yes",OR(EOMONTH(BD$4,0)&lt;=Settings!$B$5,BD$4&gt;TODAY())),"",IF(EOMONTH(BC$4,0)&lt;=Settings!$B$5,N(Settings!$C$21),N(Calc!$AG$58)))</f>
        <v/>
      </c>
      <c r="BE9" s="31">
        <f>IF(OR(Settings!$A$21="",Settings!$F$21="Yes",OR(EOMONTH(BE$4,0)&lt;=Settings!$B$5,BE$4&gt;TODAY())),"",IF(EOMONTH(BD$4,0)&lt;=Settings!$B$5,N(Settings!$C$21),N(Calc!$AG$59)))</f>
        <v/>
      </c>
      <c r="BF9" s="31">
        <f>IF(OR(Settings!$A$21="",Settings!$F$21="Yes",OR(EOMONTH(BF$4,0)&lt;=Settings!$B$5,BF$4&gt;TODAY())),"",IF(EOMONTH(BE$4,0)&lt;=Settings!$B$5,N(Settings!$C$21),N(Calc!$AG$60)))</f>
        <v/>
      </c>
      <c r="BG9" s="31">
        <f>IF(OR(Settings!$A$21="",Settings!$F$21="Yes",OR(EOMONTH(BG$4,0)&lt;=Settings!$B$5,BG$4&gt;TODAY())),"",IF(EOMONTH(BF$4,0)&lt;=Settings!$B$5,N(Settings!$C$21),N(Calc!$AG$61)))</f>
        <v/>
      </c>
      <c r="BH9" s="31">
        <f>IF(OR(Settings!$A$21="",Settings!$F$21="Yes",OR(EOMONTH(BH$4,0)&lt;=Settings!$B$5,BH$4&gt;TODAY())),"",IF(EOMONTH(BG$4,0)&lt;=Settings!$B$5,N(Settings!$C$21),N(Calc!$AG$62)))</f>
        <v/>
      </c>
      <c r="BI9" s="31">
        <f>IF(OR(Settings!$A$21="",Settings!$F$21="Yes",OR(EOMONTH(BI$4,0)&lt;=Settings!$B$5,BI$4&gt;TODAY())),"",IF(EOMONTH(BH$4,0)&lt;=Settings!$B$5,N(Settings!$C$21),N(Calc!$AG$63)))</f>
        <v/>
      </c>
      <c r="BJ9" s="31">
        <f>IF(OR(Settings!$A$21="",Settings!$F$21="Yes",OR(EOMONTH(BJ$4,0)&lt;=Settings!$B$5,BJ$4&gt;TODAY())),"",IF(EOMONTH(BI$4,0)&lt;=Settings!$B$5,N(Settings!$C$21),N(Calc!$AG$64)))</f>
        <v/>
      </c>
      <c r="BK9" s="31">
        <f>IF(OR(Settings!$A$21="",Settings!$F$21="Yes",OR(EOMONTH(BK$4,0)&lt;=Settings!$B$5,BK$4&gt;TODAY())),"",IF(EOMONTH(BJ$4,0)&lt;=Settings!$B$5,N(Settings!$C$21),N(Calc!$AG$65)))</f>
        <v/>
      </c>
      <c r="BL9" s="31">
        <f>IF(OR(Settings!$A$21="",Settings!$F$21="Yes",OR(EOMONTH(BL$4,0)&lt;=Settings!$B$5,BL$4&gt;TODAY())),"",IF(EOMONTH(BK$4,0)&lt;=Settings!$B$5,N(Settings!$C$21),N(Calc!$AG$66)))</f>
        <v/>
      </c>
      <c r="BM9" s="31">
        <f>IF(OR(Settings!$A$21="",Settings!$F$21="Yes",OR(EOMONTH(BM$4,0)&lt;=Settings!$B$5,BM$4&gt;TODAY())),"",IF(EOMONTH(BL$4,0)&lt;=Settings!$B$5,N(Settings!$C$21),N(Calc!$AG$67)))</f>
        <v/>
      </c>
      <c r="BN9" s="31">
        <f>IF(OR(Settings!$A$21="",Settings!$F$21="Yes",OR(EOMONTH(BN$4,0)&lt;=Settings!$B$5,BN$4&gt;TODAY())),"",IF(EOMONTH(BM$4,0)&lt;=Settings!$B$5,N(Settings!$C$21),N(Calc!$AG$68)))</f>
        <v/>
      </c>
      <c r="BO9" s="31">
        <f>IF(OR(Settings!$A$21="",Settings!$F$21="Yes",OR(EOMONTH(BO$4,0)&lt;=Settings!$B$5,BO$4&gt;TODAY())),"",IF(EOMONTH(BN$4,0)&lt;=Settings!$B$5,N(Settings!$C$21),N(Calc!$AG$69)))</f>
        <v/>
      </c>
      <c r="BP9" s="31">
        <f>IF(OR(Settings!$A$21="",Settings!$F$21="Yes",OR(EOMONTH(BP$4,0)&lt;=Settings!$B$5,BP$4&gt;TODAY())),"",IF(EOMONTH(BO$4,0)&lt;=Settings!$B$5,N(Settings!$C$21),N(Calc!$AG$70)))</f>
        <v/>
      </c>
      <c r="BQ9" s="31">
        <f>IF(OR(Settings!$A$21="",Settings!$F$21="Yes",OR(EOMONTH(BQ$4,0)&lt;=Settings!$B$5,BQ$4&gt;TODAY())),"",IF(EOMONTH(BP$4,0)&lt;=Settings!$B$5,N(Settings!$C$21),N(Calc!$AG$71)))</f>
        <v/>
      </c>
      <c r="BR9" s="31">
        <f>IF(OR(Settings!$A$21="",Settings!$F$21="Yes",OR(EOMONTH(BR$4,0)&lt;=Settings!$B$5,BR$4&gt;TODAY())),"",IF(EOMONTH(BQ$4,0)&lt;=Settings!$B$5,N(Settings!$C$21),N(Calc!$AG$72)))</f>
        <v/>
      </c>
      <c r="BS9" s="31">
        <f>IF(OR(Settings!$A$21="",Settings!$F$21="Yes",OR(EOMONTH(BS$4,0)&lt;=Settings!$B$5,BS$4&gt;TODAY())),"",IF(EOMONTH(BR$4,0)&lt;=Settings!$B$5,N(Settings!$C$21),N(Calc!$AG$73)))</f>
        <v/>
      </c>
      <c r="BT9" s="31">
        <f>IF(OR(Settings!$A$21="",Settings!$F$21="Yes",OR(EOMONTH(BT$4,0)&lt;=Settings!$B$5,BT$4&gt;TODAY())),"",IF(EOMONTH(BS$4,0)&lt;=Settings!$B$5,N(Settings!$C$21),N(Calc!$AG$74)))</f>
        <v/>
      </c>
      <c r="BU9" s="31">
        <f>IF(OR(Settings!$A$21="",Settings!$F$21="Yes",OR(EOMONTH(BU$4,0)&lt;=Settings!$B$5,BU$4&gt;TODAY())),"",IF(EOMONTH(BT$4,0)&lt;=Settings!$B$5,N(Settings!$C$21),N(Calc!$AG$75)))</f>
        <v/>
      </c>
      <c r="BV9" s="31">
        <f>IF(OR(Settings!$A$21="",Settings!$F$21="Yes",OR(EOMONTH(BV$4,0)&lt;=Settings!$B$5,BV$4&gt;TODAY())),"",IF(EOMONTH(BU$4,0)&lt;=Settings!$B$5,N(Settings!$C$21),N(Calc!$AG$76)))</f>
        <v/>
      </c>
      <c r="BW9" s="31">
        <f>IF(OR(Settings!$A$21="",Settings!$F$21="Yes",OR(EOMONTH(BW$4,0)&lt;=Settings!$B$5,BW$4&gt;TODAY())),"",IF(EOMONTH(BV$4,0)&lt;=Settings!$B$5,N(Settings!$C$21),N(Calc!$AG$77)))</f>
        <v/>
      </c>
      <c r="BX9" s="31">
        <f>IF(OR(Settings!$A$21="",Settings!$F$21="Yes",OR(EOMONTH(BX$4,0)&lt;=Settings!$B$5,BX$4&gt;TODAY())),"",IF(EOMONTH(BW$4,0)&lt;=Settings!$B$5,N(Settings!$C$21),N(Calc!$AG$78)))</f>
        <v/>
      </c>
      <c r="BY9" s="31">
        <f>IF(OR(Settings!$A$21="",Settings!$F$21="Yes",OR(EOMONTH(BY$4,0)&lt;=Settings!$B$5,BY$4&gt;TODAY())),"",IF(EOMONTH(BX$4,0)&lt;=Settings!$B$5,N(Settings!$C$21),N(Calc!$AG$79)))</f>
        <v/>
      </c>
      <c r="BZ9" s="31">
        <f>IF(OR(Settings!$A$21="",Settings!$F$21="Yes",OR(EOMONTH(BZ$4,0)&lt;=Settings!$B$5,BZ$4&gt;TODAY())),"",IF(EOMONTH(BY$4,0)&lt;=Settings!$B$5,N(Settings!$C$21),N(Calc!$AG$80)))</f>
        <v/>
      </c>
      <c r="CA9" s="31">
        <f>IF(OR(Settings!$A$21="",Settings!$F$21="Yes",OR(EOMONTH(CA$4,0)&lt;=Settings!$B$5,CA$4&gt;TODAY())),"",IF(EOMONTH(BZ$4,0)&lt;=Settings!$B$5,N(Settings!$C$21),N(Calc!$AG$81)))</f>
        <v/>
      </c>
      <c r="CB9" s="31">
        <f>IF(OR(Settings!$A$21="",Settings!$F$21="Yes",OR(EOMONTH(CB$4,0)&lt;=Settings!$B$5,CB$4&gt;TODAY())),"",IF(EOMONTH(CA$4,0)&lt;=Settings!$B$5,N(Settings!$C$21),N(Calc!$AG$82)))</f>
        <v/>
      </c>
      <c r="CC9" s="31">
        <f>IF(OR(Settings!$A$21="",Settings!$F$21="Yes",OR(EOMONTH(CC$4,0)&lt;=Settings!$B$5,CC$4&gt;TODAY())),"",IF(EOMONTH(CB$4,0)&lt;=Settings!$B$5,N(Settings!$C$21),N(Calc!$AG$83)))</f>
        <v/>
      </c>
      <c r="CD9" s="31">
        <f>IF(OR(Settings!$A$21="",Settings!$F$21="Yes",OR(EOMONTH(CD$4,0)&lt;=Settings!$B$5,CD$4&gt;TODAY())),"",IF(EOMONTH(CC$4,0)&lt;=Settings!$B$5,N(Settings!$C$21),N(Calc!$AG$84)))</f>
        <v/>
      </c>
      <c r="CE9" s="31">
        <f>IF(OR(Settings!$A$21="",Settings!$F$21="Yes",OR(EOMONTH(CE$4,0)&lt;=Settings!$B$5,CE$4&gt;TODAY())),"",IF(EOMONTH(CD$4,0)&lt;=Settings!$B$5,N(Settings!$C$21),N(Calc!$AG$85)))</f>
        <v/>
      </c>
      <c r="CF9" s="31">
        <f>IF(OR(Settings!$A$21="",Settings!$F$21="Yes",OR(EOMONTH(CF$4,0)&lt;=Settings!$B$5,CF$4&gt;TODAY())),"",IF(EOMONTH(CE$4,0)&lt;=Settings!$B$5,N(Settings!$C$21),N(Calc!$AG$86)))</f>
        <v/>
      </c>
      <c r="CG9" s="31">
        <f>IF(OR(Settings!$A$21="",Settings!$F$21="Yes",OR(EOMONTH(CG$4,0)&lt;=Settings!$B$5,CG$4&gt;TODAY())),"",IF(EOMONTH(CF$4,0)&lt;=Settings!$B$5,N(Settings!$C$21),N(Calc!$AG$87)))</f>
        <v/>
      </c>
      <c r="CH9" s="31">
        <f>IF(OR(Settings!$A$21="",Settings!$F$21="Yes",OR(EOMONTH(CH$4,0)&lt;=Settings!$B$5,CH$4&gt;TODAY())),"",IF(EOMONTH(CG$4,0)&lt;=Settings!$B$5,N(Settings!$C$21),N(Calc!$AG$88)))</f>
        <v/>
      </c>
      <c r="CI9" s="31">
        <f>IF(OR(Settings!$A$21="",Settings!$F$21="Yes",OR(EOMONTH(CI$4,0)&lt;=Settings!$B$5,CI$4&gt;TODAY())),"",IF(EOMONTH(CH$4,0)&lt;=Settings!$B$5,N(Settings!$C$21),N(Calc!$AG$89)))</f>
        <v/>
      </c>
      <c r="CJ9" s="31">
        <f>IF(OR(Settings!$A$21="",Settings!$F$21="Yes",OR(EOMONTH(CJ$4,0)&lt;=Settings!$B$5,CJ$4&gt;TODAY())),"",IF(EOMONTH(CI$4,0)&lt;=Settings!$B$5,N(Settings!$C$21),N(Calc!$AG$90)))</f>
        <v/>
      </c>
      <c r="CK9" s="31">
        <f>IF(OR(Settings!$A$21="",Settings!$F$21="Yes",OR(EOMONTH(CK$4,0)&lt;=Settings!$B$5,CK$4&gt;TODAY())),"",IF(EOMONTH(CJ$4,0)&lt;=Settings!$B$5,N(Settings!$C$21),N(Calc!$AG$91)))</f>
        <v/>
      </c>
      <c r="CL9" s="31">
        <f>IF(OR(Settings!$A$21="",Settings!$F$21="Yes",OR(EOMONTH(CL$4,0)&lt;=Settings!$B$5,CL$4&gt;TODAY())),"",IF(EOMONTH(CK$4,0)&lt;=Settings!$B$5,N(Settings!$C$21),N(Calc!$AG$92)))</f>
        <v/>
      </c>
      <c r="CM9" s="31">
        <f>IF(OR(Settings!$A$21="",Settings!$F$21="Yes",OR(EOMONTH(CM$4,0)&lt;=Settings!$B$5,CM$4&gt;TODAY())),"",IF(EOMONTH(CL$4,0)&lt;=Settings!$B$5,N(Settings!$C$21),N(Calc!$AG$93)))</f>
        <v/>
      </c>
      <c r="CN9" s="31">
        <f>IF(OR(Settings!$A$21="",Settings!$F$21="Yes",OR(EOMONTH(CN$4,0)&lt;=Settings!$B$5,CN$4&gt;TODAY())),"",IF(EOMONTH(CM$4,0)&lt;=Settings!$B$5,N(Settings!$C$21),N(Calc!$AG$94)))</f>
        <v/>
      </c>
      <c r="CO9" s="31">
        <f>IF(OR(Settings!$A$21="",Settings!$F$21="Yes",OR(EOMONTH(CO$4,0)&lt;=Settings!$B$5,CO$4&gt;TODAY())),"",IF(EOMONTH(CN$4,0)&lt;=Settings!$B$5,N(Settings!$C$21),N(Calc!$AG$95)))</f>
        <v/>
      </c>
      <c r="CP9" s="31">
        <f>IF(OR(Settings!$A$21="",Settings!$F$21="Yes",OR(EOMONTH(CP$4,0)&lt;=Settings!$B$5,CP$4&gt;TODAY())),"",IF(EOMONTH(CO$4,0)&lt;=Settings!$B$5,N(Settings!$C$21),N(Calc!$AG$96)))</f>
        <v/>
      </c>
      <c r="CQ9" s="31">
        <f>IF(OR(Settings!$A$21="",Settings!$F$21="Yes",OR(EOMONTH(CQ$4,0)&lt;=Settings!$B$5,CQ$4&gt;TODAY())),"",IF(EOMONTH(CP$4,0)&lt;=Settings!$B$5,N(Settings!$C$21),N(Calc!$AG$97)))</f>
        <v/>
      </c>
      <c r="CR9" s="31">
        <f>IF(OR(Settings!$A$21="",Settings!$F$21="Yes",OR(EOMONTH(CR$4,0)&lt;=Settings!$B$5,CR$4&gt;TODAY())),"",IF(EOMONTH(CQ$4,0)&lt;=Settings!$B$5,N(Settings!$C$21),N(Calc!$AG$98)))</f>
        <v/>
      </c>
      <c r="CS9" s="31">
        <f>IF(OR(Settings!$A$21="",Settings!$F$21="Yes",OR(EOMONTH(CS$4,0)&lt;=Settings!$B$5,CS$4&gt;TODAY())),"",IF(EOMONTH(CR$4,0)&lt;=Settings!$B$5,N(Settings!$C$21),N(Calc!$AG$99)))</f>
        <v/>
      </c>
      <c r="CT9" s="31">
        <f>IF(OR(Settings!$A$21="",Settings!$F$21="Yes",OR(EOMONTH(CT$4,0)&lt;=Settings!$B$5,CT$4&gt;TODAY())),"",IF(EOMONTH(CS$4,0)&lt;=Settings!$B$5,N(Settings!$C$21),N(Calc!$AG$100)))</f>
        <v/>
      </c>
      <c r="CU9" s="31">
        <f>IF(OR(Settings!$A$21="",Settings!$F$21="Yes",OR(EOMONTH(CU$4,0)&lt;=Settings!$B$5,CU$4&gt;TODAY())),"",IF(EOMONTH(CT$4,0)&lt;=Settings!$B$5,N(Settings!$C$21),N(Calc!$AG$101)))</f>
        <v/>
      </c>
      <c r="CV9" s="31">
        <f>IF(OR(Settings!$A$21="",Settings!$F$21="Yes",OR(EOMONTH(CV$4,0)&lt;=Settings!$B$5,CV$4&gt;TODAY())),"",IF(EOMONTH(CU$4,0)&lt;=Settings!$B$5,N(Settings!$C$21),N(Calc!$AG$102)))</f>
        <v/>
      </c>
      <c r="CW9" s="31">
        <f>IF(OR(Settings!$A$21="",Settings!$F$21="Yes",OR(EOMONTH(CW$4,0)&lt;=Settings!$B$5,CW$4&gt;TODAY())),"",IF(EOMONTH(CV$4,0)&lt;=Settings!$B$5,N(Settings!$C$21),N(Calc!$AG$103)))</f>
        <v/>
      </c>
      <c r="CX9" s="31">
        <f>IF(OR(Settings!$A$21="",Settings!$F$21="Yes",OR(EOMONTH(CX$4,0)&lt;=Settings!$B$5,CX$4&gt;TODAY())),"",IF(EOMONTH(CW$4,0)&lt;=Settings!$B$5,N(Settings!$C$21),N(Calc!$AG$104)))</f>
        <v/>
      </c>
      <c r="CY9" s="31">
        <f>IF(OR(Settings!$A$21="",Settings!$F$21="Yes",OR(EOMONTH(CY$4,0)&lt;=Settings!$B$5,CY$4&gt;TODAY())),"",IF(EOMONTH(CX$4,0)&lt;=Settings!$B$5,N(Settings!$C$21),N(Calc!$AG$105)))</f>
        <v/>
      </c>
      <c r="CZ9" s="31">
        <f>IF(OR(Settings!$A$21="",Settings!$F$21="Yes",OR(EOMONTH(CZ$4,0)&lt;=Settings!$B$5,CZ$4&gt;TODAY())),"",IF(EOMONTH(CY$4,0)&lt;=Settings!$B$5,N(Settings!$C$21),N(Calc!$AG$106)))</f>
        <v/>
      </c>
      <c r="DA9" s="31">
        <f>IF(OR(Settings!$A$21="",Settings!$F$21="Yes",OR(EOMONTH(DA$4,0)&lt;=Settings!$B$5,DA$4&gt;TODAY())),"",IF(EOMONTH(CZ$4,0)&lt;=Settings!$B$5,N(Settings!$C$21),N(Calc!$AG$107)))</f>
        <v/>
      </c>
      <c r="DB9" s="31">
        <f>IF(OR(Settings!$A$21="",Settings!$F$21="Yes",OR(EOMONTH(DB$4,0)&lt;=Settings!$B$5,DB$4&gt;TODAY())),"",IF(EOMONTH(DA$4,0)&lt;=Settings!$B$5,N(Settings!$C$21),N(Calc!$AG$108)))</f>
        <v/>
      </c>
      <c r="DC9" s="31">
        <f>IF(OR(Settings!$A$21="",Settings!$F$21="Yes",OR(EOMONTH(DC$4,0)&lt;=Settings!$B$5,DC$4&gt;TODAY())),"",IF(EOMONTH(DB$4,0)&lt;=Settings!$B$5,N(Settings!$C$21),N(Calc!$AG$109)))</f>
        <v/>
      </c>
      <c r="DD9" s="31">
        <f>IF(OR(Settings!$A$21="",Settings!$F$21="Yes",OR(EOMONTH(DD$4,0)&lt;=Settings!$B$5,DD$4&gt;TODAY())),"",IF(EOMONTH(DC$4,0)&lt;=Settings!$B$5,N(Settings!$C$21),N(Calc!$AG$110)))</f>
        <v/>
      </c>
      <c r="DE9" s="31">
        <f>IF(OR(Settings!$A$21="",Settings!$F$21="Yes",OR(EOMONTH(DE$4,0)&lt;=Settings!$B$5,DE$4&gt;TODAY())),"",IF(EOMONTH(DD$4,0)&lt;=Settings!$B$5,N(Settings!$C$21),N(Calc!$AG$111)))</f>
        <v/>
      </c>
      <c r="DF9" s="31">
        <f>IF(OR(Settings!$A$21="",Settings!$F$21="Yes",OR(EOMONTH(DF$4,0)&lt;=Settings!$B$5,DF$4&gt;TODAY())),"",IF(EOMONTH(DE$4,0)&lt;=Settings!$B$5,N(Settings!$C$21),N(Calc!$AG$112)))</f>
        <v/>
      </c>
      <c r="DG9" s="31">
        <f>IF(OR(Settings!$A$21="",Settings!$F$21="Yes",OR(EOMONTH(DG$4,0)&lt;=Settings!$B$5,DG$4&gt;TODAY())),"",IF(EOMONTH(DF$4,0)&lt;=Settings!$B$5,N(Settings!$C$21),N(Calc!$AG$113)))</f>
        <v/>
      </c>
      <c r="DH9" s="31">
        <f>IF(OR(Settings!$A$21="",Settings!$F$21="Yes",OR(EOMONTH(DH$4,0)&lt;=Settings!$B$5,DH$4&gt;TODAY())),"",IF(EOMONTH(DG$4,0)&lt;=Settings!$B$5,N(Settings!$C$21),N(Calc!$AG$114)))</f>
        <v/>
      </c>
      <c r="DI9" s="31">
        <f>IF(OR(Settings!$A$21="",Settings!$F$21="Yes",OR(EOMONTH(DI$4,0)&lt;=Settings!$B$5,DI$4&gt;TODAY())),"",IF(EOMONTH(DH$4,0)&lt;=Settings!$B$5,N(Settings!$C$21),N(Calc!$AG$115)))</f>
        <v/>
      </c>
      <c r="DJ9" s="31">
        <f>IF(OR(Settings!$A$21="",Settings!$F$21="Yes",OR(EOMONTH(DJ$4,0)&lt;=Settings!$B$5,DJ$4&gt;TODAY())),"",IF(EOMONTH(DI$4,0)&lt;=Settings!$B$5,N(Settings!$C$21),N(Calc!$AG$116)))</f>
        <v/>
      </c>
      <c r="DK9" s="31">
        <f>IF(OR(Settings!$A$21="",Settings!$F$21="Yes",OR(EOMONTH(DK$4,0)&lt;=Settings!$B$5,DK$4&gt;TODAY())),"",IF(EOMONTH(DJ$4,0)&lt;=Settings!$B$5,N(Settings!$C$21),N(Calc!$AG$117)))</f>
        <v/>
      </c>
      <c r="DL9" s="31">
        <f>IF(OR(Settings!$A$21="",Settings!$F$21="Yes",OR(EOMONTH(DL$4,0)&lt;=Settings!$B$5,DL$4&gt;TODAY())),"",IF(EOMONTH(DK$4,0)&lt;=Settings!$B$5,N(Settings!$C$21),N(Calc!$AG$118)))</f>
        <v/>
      </c>
      <c r="DM9" s="31">
        <f>IF(OR(Settings!$A$21="",Settings!$F$21="Yes",OR(EOMONTH(DM$4,0)&lt;=Settings!$B$5,DM$4&gt;TODAY())),"",IF(EOMONTH(DL$4,0)&lt;=Settings!$B$5,N(Settings!$C$21),N(Calc!$AG$119)))</f>
        <v/>
      </c>
      <c r="DN9" s="31">
        <f>IF(OR(Settings!$A$21="",Settings!$F$21="Yes",OR(EOMONTH(DN$4,0)&lt;=Settings!$B$5,DN$4&gt;TODAY())),"",IF(EOMONTH(DM$4,0)&lt;=Settings!$B$5,N(Settings!$C$21),N(Calc!$AG$120)))</f>
        <v/>
      </c>
      <c r="DO9" s="31">
        <f>IF(OR(Settings!$A$21="",Settings!$F$21="Yes",OR(EOMONTH(DO$4,0)&lt;=Settings!$B$5,DO$4&gt;TODAY())),"",IF(EOMONTH(DN$4,0)&lt;=Settings!$B$5,N(Settings!$C$21),N(Calc!$AG$121)))</f>
        <v/>
      </c>
      <c r="DP9" s="31">
        <f>IF(OR(Settings!$A$21="",Settings!$F$21="Yes",OR(EOMONTH(DP$4,0)&lt;=Settings!$B$5,DP$4&gt;TODAY())),"",IF(EOMONTH(DO$4,0)&lt;=Settings!$B$5,N(Settings!$C$21),N(Calc!$AG$122)))</f>
        <v/>
      </c>
      <c r="DQ9" s="31">
        <f>IF(OR(Settings!$A$21="",Settings!$F$21="Yes",OR(EOMONTH(DQ$4,0)&lt;=Settings!$B$5,DQ$4&gt;TODAY())),"",IF(EOMONTH(DP$4,0)&lt;=Settings!$B$5,N(Settings!$C$21),N(Calc!$AG$123)))</f>
        <v/>
      </c>
      <c r="DR9" s="31">
        <f>IF(OR(Settings!$A$21="",Settings!$F$21="Yes",OR(EOMONTH(DR$4,0)&lt;=Settings!$B$5,DR$4&gt;TODAY())),"",IF(EOMONTH(DQ$4,0)&lt;=Settings!$B$5,N(Settings!$C$21),N(Calc!$AG$124)))</f>
        <v/>
      </c>
      <c r="DS9" s="31">
        <f>IF(OR(Settings!$A$21="",Settings!$F$21="Yes",OR(EOMONTH(DS$4,0)&lt;=Settings!$B$5,DS$4&gt;TODAY())),"",IF(EOMONTH(DR$4,0)&lt;=Settings!$B$5,N(Settings!$C$21),N(Calc!$AG$125)))</f>
        <v/>
      </c>
      <c r="DT9" s="31">
        <f>IF(OR(Settings!$A$21="",Settings!$F$21="Yes",OR(EOMONTH(DT$4,0)&lt;=Settings!$B$5,DT$4&gt;TODAY())),"",IF(EOMONTH(DS$4,0)&lt;=Settings!$B$5,N(Settings!$C$21),N(Calc!$AG$126)))</f>
        <v/>
      </c>
      <c r="DU9" s="31">
        <f>IF(OR(Settings!$A$21="",Settings!$F$21="Yes",OR(EOMONTH(DU$4,0)&lt;=Settings!$B$5,DU$4&gt;TODAY())),"",IF(EOMONTH(DT$4,0)&lt;=Settings!$B$5,N(Settings!$C$21),N(Calc!$AG$127)))</f>
        <v/>
      </c>
      <c r="DV9" s="31">
        <f>IF(OR(Settings!$A$21="",Settings!$F$21="Yes",OR(EOMONTH(DV$4,0)&lt;=Settings!$B$5,DV$4&gt;TODAY())),"",IF(EOMONTH(DU$4,0)&lt;=Settings!$B$5,N(Settings!$C$21),N(Calc!$AG$128)))</f>
        <v/>
      </c>
      <c r="DW9" s="31">
        <f>IF(OR(Settings!$A$21="",Settings!$F$21="Yes",OR(EOMONTH(DW$4,0)&lt;=Settings!$B$5,DW$4&gt;TODAY())),"",IF(EOMONTH(DV$4,0)&lt;=Settings!$B$5,N(Settings!$C$21),N(Calc!$AG$129)))</f>
        <v/>
      </c>
      <c r="DX9" s="31">
        <f>IF(OR(Settings!$A$21="",Settings!$F$21="Yes",OR(EOMONTH(DX$4,0)&lt;=Settings!$B$5,DX$4&gt;TODAY())),"",IF(EOMONTH(DW$4,0)&lt;=Settings!$B$5,N(Settings!$C$21),N(Calc!$AG$130)))</f>
        <v/>
      </c>
      <c r="DY9" s="31">
        <f>IF(OR(Settings!$A$21="",Settings!$F$21="Yes",OR(EOMONTH(DY$4,0)&lt;=Settings!$B$5,DY$4&gt;TODAY())),"",IF(EOMONTH(DX$4,0)&lt;=Settings!$B$5,N(Settings!$C$21),N(Calc!$AG$131)))</f>
        <v/>
      </c>
      <c r="DZ9" s="31">
        <f>IF(OR(Settings!$A$21="",Settings!$F$21="Yes",OR(EOMONTH(DZ$4,0)&lt;=Settings!$B$5,DZ$4&gt;TODAY())),"",IF(EOMONTH(DY$4,0)&lt;=Settings!$B$5,N(Settings!$C$21),N(Calc!$AG$132)))</f>
        <v/>
      </c>
      <c r="EA9" s="31">
        <f>IF(OR(Settings!$A$21="",Settings!$F$21="Yes",OR(EOMONTH(EA$4,0)&lt;=Settings!$B$5,EA$4&gt;TODAY())),"",IF(EOMONTH(DZ$4,0)&lt;=Settings!$B$5,N(Settings!$C$21),N(Calc!$AG$133)))</f>
        <v/>
      </c>
      <c r="EB9" s="31">
        <f>IF(OR(Settings!$A$21="",Settings!$F$21="Yes",OR(EOMONTH(EB$4,0)&lt;=Settings!$B$5,EB$4&gt;TODAY())),"",IF(EOMONTH(EA$4,0)&lt;=Settings!$B$5,N(Settings!$C$21),N(Calc!$AG$134)))</f>
        <v/>
      </c>
      <c r="EC9" s="31">
        <f>IF(OR(Settings!$A$21="",Settings!$F$21="Yes",OR(EOMONTH(EC$4,0)&lt;=Settings!$B$5,EC$4&gt;TODAY())),"",IF(EOMONTH(EB$4,0)&lt;=Settings!$B$5,N(Settings!$C$21),N(Calc!$AG$135)))</f>
        <v/>
      </c>
      <c r="ED9" s="31">
        <f>IF(OR(Settings!$A$21="",Settings!$F$21="Yes",OR(EOMONTH(ED$4,0)&lt;=Settings!$B$5,ED$4&gt;TODAY())),"",IF(EOMONTH(EC$4,0)&lt;=Settings!$B$5,N(Settings!$C$21),N(Calc!$AG$136)))</f>
        <v/>
      </c>
      <c r="EE9" s="31">
        <f>IF(OR(Settings!$A$21="",Settings!$F$21="Yes",OR(EOMONTH(EE$4,0)&lt;=Settings!$B$5,EE$4&gt;TODAY())),"",IF(EOMONTH(ED$4,0)&lt;=Settings!$B$5,N(Settings!$C$21),N(Calc!$AG$137)))</f>
        <v/>
      </c>
      <c r="EF9" s="31">
        <f>IF(OR(Settings!$A$21="",Settings!$F$21="Yes",OR(EOMONTH(EF$4,0)&lt;=Settings!$B$5,EF$4&gt;TODAY())),"",IF(EOMONTH(EE$4,0)&lt;=Settings!$B$5,N(Settings!$C$21),N(Calc!$AG$138)))</f>
        <v/>
      </c>
      <c r="EG9" s="31">
        <f>IF(OR(Settings!$A$21="",Settings!$F$21="Yes",OR(EOMONTH(EG$4,0)&lt;=Settings!$B$5,EG$4&gt;TODAY())),"",IF(EOMONTH(EF$4,0)&lt;=Settings!$B$5,N(Settings!$C$21),N(Calc!$AG$139)))</f>
        <v/>
      </c>
      <c r="EH9" s="31">
        <f>IF(OR(Settings!$A$21="",Settings!$F$21="Yes",OR(EOMONTH(EH$4,0)&lt;=Settings!$B$5,EH$4&gt;TODAY())),"",IF(EOMONTH(EG$4,0)&lt;=Settings!$B$5,N(Settings!$C$21),N(Calc!$AG$140)))</f>
        <v/>
      </c>
      <c r="EI9" s="31">
        <f>IF(OR(Settings!$A$21="",Settings!$F$21="Yes",OR(EOMONTH(EI$4,0)&lt;=Settings!$B$5,EI$4&gt;TODAY())),"",IF(EOMONTH(EH$4,0)&lt;=Settings!$B$5,N(Settings!$C$21),N(Calc!$AG$141)))</f>
        <v/>
      </c>
      <c r="EJ9" s="31">
        <f>IF(OR(Settings!$A$21="",Settings!$F$21="Yes",OR(EOMONTH(EJ$4,0)&lt;=Settings!$B$5,EJ$4&gt;TODAY())),"",IF(EOMONTH(EI$4,0)&lt;=Settings!$B$5,N(Settings!$C$21),N(Calc!$AG$142)))</f>
        <v/>
      </c>
      <c r="EK9" s="31">
        <f>IF(OR(Settings!$A$21="",Settings!$F$21="Yes",OR(EOMONTH(EK$4,0)&lt;=Settings!$B$5,EK$4&gt;TODAY())),"",IF(EOMONTH(EJ$4,0)&lt;=Settings!$B$5,N(Settings!$C$21),N(Calc!$AG$143)))</f>
        <v/>
      </c>
      <c r="EL9" s="31">
        <f>IF(OR(Settings!$A$21="",Settings!$F$21="Yes",OR(EOMONTH(EL$4,0)&lt;=Settings!$B$5,EL$4&gt;TODAY())),"",IF(EOMONTH(EK$4,0)&lt;=Settings!$B$5,N(Settings!$C$21),N(Calc!$AG$144)))</f>
        <v/>
      </c>
      <c r="EM9" s="31">
        <f>IF(OR(Settings!$A$21="",Settings!$F$21="Yes",OR(EOMONTH(EM$4,0)&lt;=Settings!$B$5,EM$4&gt;TODAY())),"",IF(EOMONTH(EL$4,0)&lt;=Settings!$B$5,N(Settings!$C$21),N(Calc!$AG$145)))</f>
        <v/>
      </c>
      <c r="EN9" s="31">
        <f>IF(OR(Settings!$A$21="",Settings!$F$21="Yes",OR(EOMONTH(EN$4,0)&lt;=Settings!$B$5,EN$4&gt;TODAY())),"",IF(EOMONTH(EM$4,0)&lt;=Settings!$B$5,N(Settings!$C$21),N(Calc!$AG$146)))</f>
        <v/>
      </c>
      <c r="EO9" s="31">
        <f>IF(OR(Settings!$A$21="",Settings!$F$21="Yes",OR(EOMONTH(EO$4,0)&lt;=Settings!$B$5,EO$4&gt;TODAY())),"",IF(EOMONTH(EN$4,0)&lt;=Settings!$B$5,N(Settings!$C$21),N(Calc!$AG$147)))</f>
        <v/>
      </c>
      <c r="EP9" s="31">
        <f>IF(OR(Settings!$A$21="",Settings!$F$21="Yes",OR(EOMONTH(EP$4,0)&lt;=Settings!$B$5,EP$4&gt;TODAY())),"",IF(EOMONTH(EO$4,0)&lt;=Settings!$B$5,N(Settings!$C$21),N(Calc!$AG$148)))</f>
        <v/>
      </c>
      <c r="EQ9" s="31">
        <f>IF(OR(Settings!$A$21="",Settings!$F$21="Yes",OR(EOMONTH(EQ$4,0)&lt;=Settings!$B$5,EQ$4&gt;TODAY())),"",IF(EOMONTH(EP$4,0)&lt;=Settings!$B$5,N(Settings!$C$21),N(Calc!$AG$149)))</f>
        <v/>
      </c>
      <c r="ER9" s="31">
        <f>IF(OR(Settings!$A$21="",Settings!$F$21="Yes",OR(EOMONTH(ER$4,0)&lt;=Settings!$B$5,ER$4&gt;TODAY())),"",IF(EOMONTH(EQ$4,0)&lt;=Settings!$B$5,N(Settings!$C$21),N(Calc!$AG$150)))</f>
        <v/>
      </c>
      <c r="ES9" s="31">
        <f>IF(OR(Settings!$A$21="",Settings!$F$21="Yes",OR(EOMONTH(ES$4,0)&lt;=Settings!$B$5,ES$4&gt;TODAY())),"",IF(EOMONTH(ER$4,0)&lt;=Settings!$B$5,N(Settings!$C$21),N(Calc!$AG$151)))</f>
        <v/>
      </c>
      <c r="ET9" s="31">
        <f>IF(OR(Settings!$A$21="",Settings!$F$21="Yes",OR(EOMONTH(ET$4,0)&lt;=Settings!$B$5,ET$4&gt;TODAY())),"",IF(EOMONTH(ES$4,0)&lt;=Settings!$B$5,N(Settings!$C$21),N(Calc!$AG$152)))</f>
        <v/>
      </c>
      <c r="EU9" s="31">
        <f>IF(OR(Settings!$A$21="",Settings!$F$21="Yes",OR(EOMONTH(EU$4,0)&lt;=Settings!$B$5,EU$4&gt;TODAY())),"",IF(EOMONTH(ET$4,0)&lt;=Settings!$B$5,N(Settings!$C$21),N(Calc!$AG$153)))</f>
        <v/>
      </c>
      <c r="EV9" s="31">
        <f>IF(OR(Settings!$A$21="",Settings!$F$21="Yes",OR(EOMONTH(EV$4,0)&lt;=Settings!$B$5,EV$4&gt;TODAY())),"",IF(EOMONTH(EU$4,0)&lt;=Settings!$B$5,N(Settings!$C$21),N(Calc!$AG$154)))</f>
        <v/>
      </c>
      <c r="EW9" s="31">
        <f>IF(OR(Settings!$A$21="",Settings!$F$21="Yes",OR(EOMONTH(EW$4,0)&lt;=Settings!$B$5,EW$4&gt;TODAY())),"",IF(EOMONTH(EV$4,0)&lt;=Settings!$B$5,N(Settings!$C$21),N(Calc!$AG$155)))</f>
        <v/>
      </c>
      <c r="EX9" s="31">
        <f>IF(OR(Settings!$A$21="",Settings!$F$21="Yes",OR(EOMONTH(EX$4,0)&lt;=Settings!$B$5,EX$4&gt;TODAY())),"",IF(EOMONTH(EW$4,0)&lt;=Settings!$B$5,N(Settings!$C$21),N(Calc!$AG$156)))</f>
        <v/>
      </c>
      <c r="EY9" s="31">
        <f>IF(OR(Settings!$A$21="",Settings!$F$21="Yes",OR(EOMONTH(EY$4,0)&lt;=Settings!$B$5,EY$4&gt;TODAY())),"",IF(EOMONTH(EX$4,0)&lt;=Settings!$B$5,N(Settings!$C$21),N(Calc!$AG$157)))</f>
        <v/>
      </c>
      <c r="EZ9" s="31">
        <f>IF(OR(Settings!$A$21="",Settings!$F$21="Yes",OR(EOMONTH(EZ$4,0)&lt;=Settings!$B$5,EZ$4&gt;TODAY())),"",IF(EOMONTH(EY$4,0)&lt;=Settings!$B$5,N(Settings!$C$21),N(Calc!$AG$158)))</f>
        <v/>
      </c>
      <c r="FA9" s="31">
        <f>IF(OR(Settings!$A$21="",Settings!$F$21="Yes",OR(EOMONTH(FA$4,0)&lt;=Settings!$B$5,FA$4&gt;TODAY())),"",IF(EOMONTH(EZ$4,0)&lt;=Settings!$B$5,N(Settings!$C$21),N(Calc!$AG$159)))</f>
        <v/>
      </c>
      <c r="FB9" s="31">
        <f>IF(OR(Settings!$A$21="",Settings!$F$21="Yes",OR(EOMONTH(FB$4,0)&lt;=Settings!$B$5,FB$4&gt;TODAY())),"",IF(EOMONTH(FA$4,0)&lt;=Settings!$B$5,N(Settings!$C$21),N(Calc!$AG$160)))</f>
        <v/>
      </c>
      <c r="FC9" s="31">
        <f>IF(OR(Settings!$A$21="",Settings!$F$21="Yes",OR(EOMONTH(FC$4,0)&lt;=Settings!$B$5,FC$4&gt;TODAY())),"",IF(EOMONTH(FB$4,0)&lt;=Settings!$B$5,N(Settings!$C$21),N(Calc!$AG$161)))</f>
        <v/>
      </c>
      <c r="FD9" s="31">
        <f>IF(OR(Settings!$A$21="",Settings!$F$21="Yes",OR(EOMONTH(FD$4,0)&lt;=Settings!$B$5,FD$4&gt;TODAY())),"",IF(EOMONTH(FC$4,0)&lt;=Settings!$B$5,N(Settings!$C$21),N(Calc!$AG$162)))</f>
        <v/>
      </c>
      <c r="FE9" s="31">
        <f>IF(OR(Settings!$A$21="",Settings!$F$21="Yes",OR(EOMONTH(FE$4,0)&lt;=Settings!$B$5,FE$4&gt;TODAY())),"",IF(EOMONTH(FD$4,0)&lt;=Settings!$B$5,N(Settings!$C$21),N(Calc!$AG$163)))</f>
        <v/>
      </c>
      <c r="FF9" s="31">
        <f>IF(OR(Settings!$A$21="",Settings!$F$21="Yes",OR(EOMONTH(FF$4,0)&lt;=Settings!$B$5,FF$4&gt;TODAY())),"",IF(EOMONTH(FE$4,0)&lt;=Settings!$B$5,N(Settings!$C$21),N(Calc!$AG$164)))</f>
        <v/>
      </c>
      <c r="FG9" s="31">
        <f>IF(OR(Settings!$A$21="",Settings!$F$21="Yes",OR(EOMONTH(FG$4,0)&lt;=Settings!$B$5,FG$4&gt;TODAY())),"",IF(EOMONTH(FF$4,0)&lt;=Settings!$B$5,N(Settings!$C$21),N(Calc!$AG$165)))</f>
        <v/>
      </c>
      <c r="FH9" s="31">
        <f>IF(OR(Settings!$A$21="",Settings!$F$21="Yes",OR(EOMONTH(FH$4,0)&lt;=Settings!$B$5,FH$4&gt;TODAY())),"",IF(EOMONTH(FG$4,0)&lt;=Settings!$B$5,N(Settings!$C$21),N(Calc!$AG$166)))</f>
        <v/>
      </c>
      <c r="FI9" s="31">
        <f>IF(OR(Settings!$A$21="",Settings!$F$21="Yes",OR(EOMONTH(FI$4,0)&lt;=Settings!$B$5,FI$4&gt;TODAY())),"",IF(EOMONTH(FH$4,0)&lt;=Settings!$B$5,N(Settings!$C$21),N(Calc!$AG$167)))</f>
        <v/>
      </c>
      <c r="FJ9" s="31">
        <f>IF(OR(Settings!$A$21="",Settings!$F$21="Yes",OR(EOMONTH(FJ$4,0)&lt;=Settings!$B$5,FJ$4&gt;TODAY())),"",IF(EOMONTH(FI$4,0)&lt;=Settings!$B$5,N(Settings!$C$21),N(Calc!$AG$168)))</f>
        <v/>
      </c>
      <c r="FK9" s="31">
        <f>IF(OR(Settings!$A$21="",Settings!$F$21="Yes",OR(EOMONTH(FK$4,0)&lt;=Settings!$B$5,FK$4&gt;TODAY())),"",IF(EOMONTH(FJ$4,0)&lt;=Settings!$B$5,N(Settings!$C$21),N(Calc!$AG$169)))</f>
        <v/>
      </c>
      <c r="FL9" s="31">
        <f>IF(OR(Settings!$A$21="",Settings!$F$21="Yes",OR(EOMONTH(FL$4,0)&lt;=Settings!$B$5,FL$4&gt;TODAY())),"",IF(EOMONTH(FK$4,0)&lt;=Settings!$B$5,N(Settings!$C$21),N(Calc!$AG$170)))</f>
        <v/>
      </c>
      <c r="FM9" s="31">
        <f>IF(OR(Settings!$A$21="",Settings!$F$21="Yes",OR(EOMONTH(FM$4,0)&lt;=Settings!$B$5,FM$4&gt;TODAY())),"",IF(EOMONTH(FL$4,0)&lt;=Settings!$B$5,N(Settings!$C$21),N(Calc!$AG$171)))</f>
        <v/>
      </c>
      <c r="FN9" s="31">
        <f>IF(OR(Settings!$A$21="",Settings!$F$21="Yes",OR(EOMONTH(FN$4,0)&lt;=Settings!$B$5,FN$4&gt;TODAY())),"",IF(EOMONTH(FM$4,0)&lt;=Settings!$B$5,N(Settings!$C$21),N(Calc!$AG$172)))</f>
        <v/>
      </c>
      <c r="FO9" s="31">
        <f>IF(OR(Settings!$A$21="",Settings!$F$21="Yes",OR(EOMONTH(FO$4,0)&lt;=Settings!$B$5,FO$4&gt;TODAY())),"",IF(EOMONTH(FN$4,0)&lt;=Settings!$B$5,N(Settings!$C$21),N(Calc!$AG$173)))</f>
        <v/>
      </c>
      <c r="FP9" s="31">
        <f>IF(OR(Settings!$A$21="",Settings!$F$21="Yes",OR(EOMONTH(FP$4,0)&lt;=Settings!$B$5,FP$4&gt;TODAY())),"",IF(EOMONTH(FO$4,0)&lt;=Settings!$B$5,N(Settings!$C$21),N(Calc!$AG$174)))</f>
        <v/>
      </c>
      <c r="FQ9" s="31">
        <f>IF(OR(Settings!$A$21="",Settings!$F$21="Yes",OR(EOMONTH(FQ$4,0)&lt;=Settings!$B$5,FQ$4&gt;TODAY())),"",IF(EOMONTH(FP$4,0)&lt;=Settings!$B$5,N(Settings!$C$21),N(Calc!$AG$175)))</f>
        <v/>
      </c>
      <c r="FR9" s="31">
        <f>IF(OR(Settings!$A$21="",Settings!$F$21="Yes",OR(EOMONTH(FR$4,0)&lt;=Settings!$B$5,FR$4&gt;TODAY())),"",IF(EOMONTH(FQ$4,0)&lt;=Settings!$B$5,N(Settings!$C$21),N(Calc!$AG$176)))</f>
        <v/>
      </c>
      <c r="FS9" s="31">
        <f>IF(OR(Settings!$A$21="",Settings!$F$21="Yes",OR(EOMONTH(FS$4,0)&lt;=Settings!$B$5,FS$4&gt;TODAY())),"",IF(EOMONTH(FR$4,0)&lt;=Settings!$B$5,N(Settings!$C$21),N(Calc!$AG$177)))</f>
        <v/>
      </c>
      <c r="FT9" s="31">
        <f>IF(OR(Settings!$A$21="",Settings!$F$21="Yes",OR(EOMONTH(FT$4,0)&lt;=Settings!$B$5,FT$4&gt;TODAY())),"",IF(EOMONTH(FS$4,0)&lt;=Settings!$B$5,N(Settings!$C$21),N(Calc!$AG$178)))</f>
        <v/>
      </c>
      <c r="FU9" s="31">
        <f>IF(OR(Settings!$A$21="",Settings!$F$21="Yes",OR(EOMONTH(FU$4,0)&lt;=Settings!$B$5,FU$4&gt;TODAY())),"",IF(EOMONTH(FT$4,0)&lt;=Settings!$B$5,N(Settings!$C$21),N(Calc!$AG$179)))</f>
        <v/>
      </c>
      <c r="FV9" s="31">
        <f>IF(OR(Settings!$A$21="",Settings!$F$21="Yes",OR(EOMONTH(FV$4,0)&lt;=Settings!$B$5,FV$4&gt;TODAY())),"",IF(EOMONTH(FU$4,0)&lt;=Settings!$B$5,N(Settings!$C$21),N(Calc!$AG$180)))</f>
        <v/>
      </c>
      <c r="FW9" s="31">
        <f>IF(OR(Settings!$A$21="",Settings!$F$21="Yes",OR(EOMONTH(FW$4,0)&lt;=Settings!$B$5,FW$4&gt;TODAY())),"",IF(EOMONTH(FV$4,0)&lt;=Settings!$B$5,N(Settings!$C$21),N(Calc!$AG$181)))</f>
        <v/>
      </c>
      <c r="FX9" s="31">
        <f>IF(OR(Settings!$A$21="",Settings!$F$21="Yes",OR(EOMONTH(FX$4,0)&lt;=Settings!$B$5,FX$4&gt;TODAY())),"",IF(EOMONTH(FW$4,0)&lt;=Settings!$B$5,N(Settings!$C$21),N(Calc!$AG$182)))</f>
        <v/>
      </c>
    </row>
    <row r="10">
      <c r="A10" s="15">
        <f>IF(Settings!$A$22="","(unused)",Settings!$A$22&amp;IF(Settings!$E$22="No"," (retired)",""))</f>
        <v/>
      </c>
      <c r="B10" s="26">
        <f>IF(Settings!$A$22="","",IF(Settings!$F$22="Yes","REQUIRED","optional · grey = unchanged")&amp;IF(OR(Settings!$B$22="Card",Settings!$B$22="Loan")," · amount owed",""))</f>
        <v/>
      </c>
      <c r="C10" s="31">
        <f>IF(OR(Settings!$A$22="",Settings!$F$22="Yes",OR(EOMONTH(C$4,0)&lt;=Settings!$B$5,C$4&gt;TODAY())),"",N(Settings!$C$22))</f>
        <v/>
      </c>
      <c r="D10" s="31">
        <f>IF(OR(Settings!$A$22="",Settings!$F$22="Yes",OR(EOMONTH(D$4,0)&lt;=Settings!$B$5,D$4&gt;TODAY())),"",IF(EOMONTH(C$4,0)&lt;=Settings!$B$5,N(Settings!$C$22),N(Calc!$AH$6)))</f>
        <v/>
      </c>
      <c r="E10" s="31">
        <f>IF(OR(Settings!$A$22="",Settings!$F$22="Yes",OR(EOMONTH(E$4,0)&lt;=Settings!$B$5,E$4&gt;TODAY())),"",IF(EOMONTH(D$4,0)&lt;=Settings!$B$5,N(Settings!$C$22),N(Calc!$AH$7)))</f>
        <v/>
      </c>
      <c r="F10" s="31">
        <f>IF(OR(Settings!$A$22="",Settings!$F$22="Yes",OR(EOMONTH(F$4,0)&lt;=Settings!$B$5,F$4&gt;TODAY())),"",IF(EOMONTH(E$4,0)&lt;=Settings!$B$5,N(Settings!$C$22),N(Calc!$AH$8)))</f>
        <v/>
      </c>
      <c r="G10" s="31">
        <f>IF(OR(Settings!$A$22="",Settings!$F$22="Yes",OR(EOMONTH(G$4,0)&lt;=Settings!$B$5,G$4&gt;TODAY())),"",IF(EOMONTH(F$4,0)&lt;=Settings!$B$5,N(Settings!$C$22),N(Calc!$AH$9)))</f>
        <v/>
      </c>
      <c r="H10" s="31">
        <f>IF(OR(Settings!$A$22="",Settings!$F$22="Yes",OR(EOMONTH(H$4,0)&lt;=Settings!$B$5,H$4&gt;TODAY())),"",IF(EOMONTH(G$4,0)&lt;=Settings!$B$5,N(Settings!$C$22),N(Calc!$AH$10)))</f>
        <v/>
      </c>
      <c r="I10" s="31">
        <f>IF(OR(Settings!$A$22="",Settings!$F$22="Yes",OR(EOMONTH(I$4,0)&lt;=Settings!$B$5,I$4&gt;TODAY())),"",IF(EOMONTH(H$4,0)&lt;=Settings!$B$5,N(Settings!$C$22),N(Calc!$AH$11)))</f>
        <v/>
      </c>
      <c r="J10" s="31">
        <f>IF(OR(Settings!$A$22="",Settings!$F$22="Yes",OR(EOMONTH(J$4,0)&lt;=Settings!$B$5,J$4&gt;TODAY())),"",IF(EOMONTH(I$4,0)&lt;=Settings!$B$5,N(Settings!$C$22),N(Calc!$AH$12)))</f>
        <v/>
      </c>
      <c r="K10" s="31">
        <f>IF(OR(Settings!$A$22="",Settings!$F$22="Yes",OR(EOMONTH(K$4,0)&lt;=Settings!$B$5,K$4&gt;TODAY())),"",IF(EOMONTH(J$4,0)&lt;=Settings!$B$5,N(Settings!$C$22),N(Calc!$AH$13)))</f>
        <v/>
      </c>
      <c r="L10" s="31">
        <f>IF(OR(Settings!$A$22="",Settings!$F$22="Yes",OR(EOMONTH(L$4,0)&lt;=Settings!$B$5,L$4&gt;TODAY())),"",IF(EOMONTH(K$4,0)&lt;=Settings!$B$5,N(Settings!$C$22),N(Calc!$AH$14)))</f>
        <v/>
      </c>
      <c r="M10" s="31">
        <f>IF(OR(Settings!$A$22="",Settings!$F$22="Yes",OR(EOMONTH(M$4,0)&lt;=Settings!$B$5,M$4&gt;TODAY())),"",IF(EOMONTH(L$4,0)&lt;=Settings!$B$5,N(Settings!$C$22),N(Calc!$AH$15)))</f>
        <v/>
      </c>
      <c r="N10" s="31">
        <f>IF(OR(Settings!$A$22="",Settings!$F$22="Yes",OR(EOMONTH(N$4,0)&lt;=Settings!$B$5,N$4&gt;TODAY())),"",IF(EOMONTH(M$4,0)&lt;=Settings!$B$5,N(Settings!$C$22),N(Calc!$AH$16)))</f>
        <v/>
      </c>
      <c r="O10" s="31">
        <f>IF(OR(Settings!$A$22="",Settings!$F$22="Yes",OR(EOMONTH(O$4,0)&lt;=Settings!$B$5,O$4&gt;TODAY())),"",IF(EOMONTH(N$4,0)&lt;=Settings!$B$5,N(Settings!$C$22),N(Calc!$AH$17)))</f>
        <v/>
      </c>
      <c r="P10" s="31">
        <f>IF(OR(Settings!$A$22="",Settings!$F$22="Yes",OR(EOMONTH(P$4,0)&lt;=Settings!$B$5,P$4&gt;TODAY())),"",IF(EOMONTH(O$4,0)&lt;=Settings!$B$5,N(Settings!$C$22),N(Calc!$AH$18)))</f>
        <v/>
      </c>
      <c r="Q10" s="31">
        <f>IF(OR(Settings!$A$22="",Settings!$F$22="Yes",OR(EOMONTH(Q$4,0)&lt;=Settings!$B$5,Q$4&gt;TODAY())),"",IF(EOMONTH(P$4,0)&lt;=Settings!$B$5,N(Settings!$C$22),N(Calc!$AH$19)))</f>
        <v/>
      </c>
      <c r="R10" s="31">
        <f>IF(OR(Settings!$A$22="",Settings!$F$22="Yes",OR(EOMONTH(R$4,0)&lt;=Settings!$B$5,R$4&gt;TODAY())),"",IF(EOMONTH(Q$4,0)&lt;=Settings!$B$5,N(Settings!$C$22),N(Calc!$AH$20)))</f>
        <v/>
      </c>
      <c r="S10" s="31">
        <f>IF(OR(Settings!$A$22="",Settings!$F$22="Yes",OR(EOMONTH(S$4,0)&lt;=Settings!$B$5,S$4&gt;TODAY())),"",IF(EOMONTH(R$4,0)&lt;=Settings!$B$5,N(Settings!$C$22),N(Calc!$AH$21)))</f>
        <v/>
      </c>
      <c r="T10" s="31">
        <f>IF(OR(Settings!$A$22="",Settings!$F$22="Yes",OR(EOMONTH(T$4,0)&lt;=Settings!$B$5,T$4&gt;TODAY())),"",IF(EOMONTH(S$4,0)&lt;=Settings!$B$5,N(Settings!$C$22),N(Calc!$AH$22)))</f>
        <v/>
      </c>
      <c r="U10" s="31">
        <f>IF(OR(Settings!$A$22="",Settings!$F$22="Yes",OR(EOMONTH(U$4,0)&lt;=Settings!$B$5,U$4&gt;TODAY())),"",IF(EOMONTH(T$4,0)&lt;=Settings!$B$5,N(Settings!$C$22),N(Calc!$AH$23)))</f>
        <v/>
      </c>
      <c r="V10" s="31">
        <f>IF(OR(Settings!$A$22="",Settings!$F$22="Yes",OR(EOMONTH(V$4,0)&lt;=Settings!$B$5,V$4&gt;TODAY())),"",IF(EOMONTH(U$4,0)&lt;=Settings!$B$5,N(Settings!$C$22),N(Calc!$AH$24)))</f>
        <v/>
      </c>
      <c r="W10" s="31">
        <f>IF(OR(Settings!$A$22="",Settings!$F$22="Yes",OR(EOMONTH(W$4,0)&lt;=Settings!$B$5,W$4&gt;TODAY())),"",IF(EOMONTH(V$4,0)&lt;=Settings!$B$5,N(Settings!$C$22),N(Calc!$AH$25)))</f>
        <v/>
      </c>
      <c r="X10" s="31">
        <f>IF(OR(Settings!$A$22="",Settings!$F$22="Yes",OR(EOMONTH(X$4,0)&lt;=Settings!$B$5,X$4&gt;TODAY())),"",IF(EOMONTH(W$4,0)&lt;=Settings!$B$5,N(Settings!$C$22),N(Calc!$AH$26)))</f>
        <v/>
      </c>
      <c r="Y10" s="31">
        <f>IF(OR(Settings!$A$22="",Settings!$F$22="Yes",OR(EOMONTH(Y$4,0)&lt;=Settings!$B$5,Y$4&gt;TODAY())),"",IF(EOMONTH(X$4,0)&lt;=Settings!$B$5,N(Settings!$C$22),N(Calc!$AH$27)))</f>
        <v/>
      </c>
      <c r="Z10" s="31">
        <f>IF(OR(Settings!$A$22="",Settings!$F$22="Yes",OR(EOMONTH(Z$4,0)&lt;=Settings!$B$5,Z$4&gt;TODAY())),"",IF(EOMONTH(Y$4,0)&lt;=Settings!$B$5,N(Settings!$C$22),N(Calc!$AH$28)))</f>
        <v/>
      </c>
      <c r="AA10" s="31">
        <f>IF(OR(Settings!$A$22="",Settings!$F$22="Yes",OR(EOMONTH(AA$4,0)&lt;=Settings!$B$5,AA$4&gt;TODAY())),"",IF(EOMONTH(Z$4,0)&lt;=Settings!$B$5,N(Settings!$C$22),N(Calc!$AH$29)))</f>
        <v/>
      </c>
      <c r="AB10" s="31">
        <f>IF(OR(Settings!$A$22="",Settings!$F$22="Yes",OR(EOMONTH(AB$4,0)&lt;=Settings!$B$5,AB$4&gt;TODAY())),"",IF(EOMONTH(AA$4,0)&lt;=Settings!$B$5,N(Settings!$C$22),N(Calc!$AH$30)))</f>
        <v/>
      </c>
      <c r="AC10" s="31">
        <f>IF(OR(Settings!$A$22="",Settings!$F$22="Yes",OR(EOMONTH(AC$4,0)&lt;=Settings!$B$5,AC$4&gt;TODAY())),"",IF(EOMONTH(AB$4,0)&lt;=Settings!$B$5,N(Settings!$C$22),N(Calc!$AH$31)))</f>
        <v/>
      </c>
      <c r="AD10" s="31">
        <f>IF(OR(Settings!$A$22="",Settings!$F$22="Yes",OR(EOMONTH(AD$4,0)&lt;=Settings!$B$5,AD$4&gt;TODAY())),"",IF(EOMONTH(AC$4,0)&lt;=Settings!$B$5,N(Settings!$C$22),N(Calc!$AH$32)))</f>
        <v/>
      </c>
      <c r="AE10" s="31">
        <f>IF(OR(Settings!$A$22="",Settings!$F$22="Yes",OR(EOMONTH(AE$4,0)&lt;=Settings!$B$5,AE$4&gt;TODAY())),"",IF(EOMONTH(AD$4,0)&lt;=Settings!$B$5,N(Settings!$C$22),N(Calc!$AH$33)))</f>
        <v/>
      </c>
      <c r="AF10" s="31">
        <f>IF(OR(Settings!$A$22="",Settings!$F$22="Yes",OR(EOMONTH(AF$4,0)&lt;=Settings!$B$5,AF$4&gt;TODAY())),"",IF(EOMONTH(AE$4,0)&lt;=Settings!$B$5,N(Settings!$C$22),N(Calc!$AH$34)))</f>
        <v/>
      </c>
      <c r="AG10" s="31">
        <f>IF(OR(Settings!$A$22="",Settings!$F$22="Yes",OR(EOMONTH(AG$4,0)&lt;=Settings!$B$5,AG$4&gt;TODAY())),"",IF(EOMONTH(AF$4,0)&lt;=Settings!$B$5,N(Settings!$C$22),N(Calc!$AH$35)))</f>
        <v/>
      </c>
      <c r="AH10" s="31">
        <f>IF(OR(Settings!$A$22="",Settings!$F$22="Yes",OR(EOMONTH(AH$4,0)&lt;=Settings!$B$5,AH$4&gt;TODAY())),"",IF(EOMONTH(AG$4,0)&lt;=Settings!$B$5,N(Settings!$C$22),N(Calc!$AH$36)))</f>
        <v/>
      </c>
      <c r="AI10" s="31">
        <f>IF(OR(Settings!$A$22="",Settings!$F$22="Yes",OR(EOMONTH(AI$4,0)&lt;=Settings!$B$5,AI$4&gt;TODAY())),"",IF(EOMONTH(AH$4,0)&lt;=Settings!$B$5,N(Settings!$C$22),N(Calc!$AH$37)))</f>
        <v/>
      </c>
      <c r="AJ10" s="31">
        <f>IF(OR(Settings!$A$22="",Settings!$F$22="Yes",OR(EOMONTH(AJ$4,0)&lt;=Settings!$B$5,AJ$4&gt;TODAY())),"",IF(EOMONTH(AI$4,0)&lt;=Settings!$B$5,N(Settings!$C$22),N(Calc!$AH$38)))</f>
        <v/>
      </c>
      <c r="AK10" s="31">
        <f>IF(OR(Settings!$A$22="",Settings!$F$22="Yes",OR(EOMONTH(AK$4,0)&lt;=Settings!$B$5,AK$4&gt;TODAY())),"",IF(EOMONTH(AJ$4,0)&lt;=Settings!$B$5,N(Settings!$C$22),N(Calc!$AH$39)))</f>
        <v/>
      </c>
      <c r="AL10" s="31">
        <f>IF(OR(Settings!$A$22="",Settings!$F$22="Yes",OR(EOMONTH(AL$4,0)&lt;=Settings!$B$5,AL$4&gt;TODAY())),"",IF(EOMONTH(AK$4,0)&lt;=Settings!$B$5,N(Settings!$C$22),N(Calc!$AH$40)))</f>
        <v/>
      </c>
      <c r="AM10" s="31">
        <f>IF(OR(Settings!$A$22="",Settings!$F$22="Yes",OR(EOMONTH(AM$4,0)&lt;=Settings!$B$5,AM$4&gt;TODAY())),"",IF(EOMONTH(AL$4,0)&lt;=Settings!$B$5,N(Settings!$C$22),N(Calc!$AH$41)))</f>
        <v/>
      </c>
      <c r="AN10" s="31">
        <f>IF(OR(Settings!$A$22="",Settings!$F$22="Yes",OR(EOMONTH(AN$4,0)&lt;=Settings!$B$5,AN$4&gt;TODAY())),"",IF(EOMONTH(AM$4,0)&lt;=Settings!$B$5,N(Settings!$C$22),N(Calc!$AH$42)))</f>
        <v/>
      </c>
      <c r="AO10" s="31">
        <f>IF(OR(Settings!$A$22="",Settings!$F$22="Yes",OR(EOMONTH(AO$4,0)&lt;=Settings!$B$5,AO$4&gt;TODAY())),"",IF(EOMONTH(AN$4,0)&lt;=Settings!$B$5,N(Settings!$C$22),N(Calc!$AH$43)))</f>
        <v/>
      </c>
      <c r="AP10" s="31">
        <f>IF(OR(Settings!$A$22="",Settings!$F$22="Yes",OR(EOMONTH(AP$4,0)&lt;=Settings!$B$5,AP$4&gt;TODAY())),"",IF(EOMONTH(AO$4,0)&lt;=Settings!$B$5,N(Settings!$C$22),N(Calc!$AH$44)))</f>
        <v/>
      </c>
      <c r="AQ10" s="31">
        <f>IF(OR(Settings!$A$22="",Settings!$F$22="Yes",OR(EOMONTH(AQ$4,0)&lt;=Settings!$B$5,AQ$4&gt;TODAY())),"",IF(EOMONTH(AP$4,0)&lt;=Settings!$B$5,N(Settings!$C$22),N(Calc!$AH$45)))</f>
        <v/>
      </c>
      <c r="AR10" s="31">
        <f>IF(OR(Settings!$A$22="",Settings!$F$22="Yes",OR(EOMONTH(AR$4,0)&lt;=Settings!$B$5,AR$4&gt;TODAY())),"",IF(EOMONTH(AQ$4,0)&lt;=Settings!$B$5,N(Settings!$C$22),N(Calc!$AH$46)))</f>
        <v/>
      </c>
      <c r="AS10" s="31">
        <f>IF(OR(Settings!$A$22="",Settings!$F$22="Yes",OR(EOMONTH(AS$4,0)&lt;=Settings!$B$5,AS$4&gt;TODAY())),"",IF(EOMONTH(AR$4,0)&lt;=Settings!$B$5,N(Settings!$C$22),N(Calc!$AH$47)))</f>
        <v/>
      </c>
      <c r="AT10" s="31">
        <f>IF(OR(Settings!$A$22="",Settings!$F$22="Yes",OR(EOMONTH(AT$4,0)&lt;=Settings!$B$5,AT$4&gt;TODAY())),"",IF(EOMONTH(AS$4,0)&lt;=Settings!$B$5,N(Settings!$C$22),N(Calc!$AH$48)))</f>
        <v/>
      </c>
      <c r="AU10" s="31">
        <f>IF(OR(Settings!$A$22="",Settings!$F$22="Yes",OR(EOMONTH(AU$4,0)&lt;=Settings!$B$5,AU$4&gt;TODAY())),"",IF(EOMONTH(AT$4,0)&lt;=Settings!$B$5,N(Settings!$C$22),N(Calc!$AH$49)))</f>
        <v/>
      </c>
      <c r="AV10" s="31">
        <f>IF(OR(Settings!$A$22="",Settings!$F$22="Yes",OR(EOMONTH(AV$4,0)&lt;=Settings!$B$5,AV$4&gt;TODAY())),"",IF(EOMONTH(AU$4,0)&lt;=Settings!$B$5,N(Settings!$C$22),N(Calc!$AH$50)))</f>
        <v/>
      </c>
      <c r="AW10" s="31">
        <f>IF(OR(Settings!$A$22="",Settings!$F$22="Yes",OR(EOMONTH(AW$4,0)&lt;=Settings!$B$5,AW$4&gt;TODAY())),"",IF(EOMONTH(AV$4,0)&lt;=Settings!$B$5,N(Settings!$C$22),N(Calc!$AH$51)))</f>
        <v/>
      </c>
      <c r="AX10" s="31">
        <f>IF(OR(Settings!$A$22="",Settings!$F$22="Yes",OR(EOMONTH(AX$4,0)&lt;=Settings!$B$5,AX$4&gt;TODAY())),"",IF(EOMONTH(AW$4,0)&lt;=Settings!$B$5,N(Settings!$C$22),N(Calc!$AH$52)))</f>
        <v/>
      </c>
      <c r="AY10" s="31">
        <f>IF(OR(Settings!$A$22="",Settings!$F$22="Yes",OR(EOMONTH(AY$4,0)&lt;=Settings!$B$5,AY$4&gt;TODAY())),"",IF(EOMONTH(AX$4,0)&lt;=Settings!$B$5,N(Settings!$C$22),N(Calc!$AH$53)))</f>
        <v/>
      </c>
      <c r="AZ10" s="31">
        <f>IF(OR(Settings!$A$22="",Settings!$F$22="Yes",OR(EOMONTH(AZ$4,0)&lt;=Settings!$B$5,AZ$4&gt;TODAY())),"",IF(EOMONTH(AY$4,0)&lt;=Settings!$B$5,N(Settings!$C$22),N(Calc!$AH$54)))</f>
        <v/>
      </c>
      <c r="BA10" s="31">
        <f>IF(OR(Settings!$A$22="",Settings!$F$22="Yes",OR(EOMONTH(BA$4,0)&lt;=Settings!$B$5,BA$4&gt;TODAY())),"",IF(EOMONTH(AZ$4,0)&lt;=Settings!$B$5,N(Settings!$C$22),N(Calc!$AH$55)))</f>
        <v/>
      </c>
      <c r="BB10" s="31">
        <f>IF(OR(Settings!$A$22="",Settings!$F$22="Yes",OR(EOMONTH(BB$4,0)&lt;=Settings!$B$5,BB$4&gt;TODAY())),"",IF(EOMONTH(BA$4,0)&lt;=Settings!$B$5,N(Settings!$C$22),N(Calc!$AH$56)))</f>
        <v/>
      </c>
      <c r="BC10" s="31">
        <f>IF(OR(Settings!$A$22="",Settings!$F$22="Yes",OR(EOMONTH(BC$4,0)&lt;=Settings!$B$5,BC$4&gt;TODAY())),"",IF(EOMONTH(BB$4,0)&lt;=Settings!$B$5,N(Settings!$C$22),N(Calc!$AH$57)))</f>
        <v/>
      </c>
      <c r="BD10" s="31">
        <f>IF(OR(Settings!$A$22="",Settings!$F$22="Yes",OR(EOMONTH(BD$4,0)&lt;=Settings!$B$5,BD$4&gt;TODAY())),"",IF(EOMONTH(BC$4,0)&lt;=Settings!$B$5,N(Settings!$C$22),N(Calc!$AH$58)))</f>
        <v/>
      </c>
      <c r="BE10" s="31">
        <f>IF(OR(Settings!$A$22="",Settings!$F$22="Yes",OR(EOMONTH(BE$4,0)&lt;=Settings!$B$5,BE$4&gt;TODAY())),"",IF(EOMONTH(BD$4,0)&lt;=Settings!$B$5,N(Settings!$C$22),N(Calc!$AH$59)))</f>
        <v/>
      </c>
      <c r="BF10" s="31">
        <f>IF(OR(Settings!$A$22="",Settings!$F$22="Yes",OR(EOMONTH(BF$4,0)&lt;=Settings!$B$5,BF$4&gt;TODAY())),"",IF(EOMONTH(BE$4,0)&lt;=Settings!$B$5,N(Settings!$C$22),N(Calc!$AH$60)))</f>
        <v/>
      </c>
      <c r="BG10" s="31">
        <f>IF(OR(Settings!$A$22="",Settings!$F$22="Yes",OR(EOMONTH(BG$4,0)&lt;=Settings!$B$5,BG$4&gt;TODAY())),"",IF(EOMONTH(BF$4,0)&lt;=Settings!$B$5,N(Settings!$C$22),N(Calc!$AH$61)))</f>
        <v/>
      </c>
      <c r="BH10" s="31">
        <f>IF(OR(Settings!$A$22="",Settings!$F$22="Yes",OR(EOMONTH(BH$4,0)&lt;=Settings!$B$5,BH$4&gt;TODAY())),"",IF(EOMONTH(BG$4,0)&lt;=Settings!$B$5,N(Settings!$C$22),N(Calc!$AH$62)))</f>
        <v/>
      </c>
      <c r="BI10" s="31">
        <f>IF(OR(Settings!$A$22="",Settings!$F$22="Yes",OR(EOMONTH(BI$4,0)&lt;=Settings!$B$5,BI$4&gt;TODAY())),"",IF(EOMONTH(BH$4,0)&lt;=Settings!$B$5,N(Settings!$C$22),N(Calc!$AH$63)))</f>
        <v/>
      </c>
      <c r="BJ10" s="31">
        <f>IF(OR(Settings!$A$22="",Settings!$F$22="Yes",OR(EOMONTH(BJ$4,0)&lt;=Settings!$B$5,BJ$4&gt;TODAY())),"",IF(EOMONTH(BI$4,0)&lt;=Settings!$B$5,N(Settings!$C$22),N(Calc!$AH$64)))</f>
        <v/>
      </c>
      <c r="BK10" s="31">
        <f>IF(OR(Settings!$A$22="",Settings!$F$22="Yes",OR(EOMONTH(BK$4,0)&lt;=Settings!$B$5,BK$4&gt;TODAY())),"",IF(EOMONTH(BJ$4,0)&lt;=Settings!$B$5,N(Settings!$C$22),N(Calc!$AH$65)))</f>
        <v/>
      </c>
      <c r="BL10" s="31">
        <f>IF(OR(Settings!$A$22="",Settings!$F$22="Yes",OR(EOMONTH(BL$4,0)&lt;=Settings!$B$5,BL$4&gt;TODAY())),"",IF(EOMONTH(BK$4,0)&lt;=Settings!$B$5,N(Settings!$C$22),N(Calc!$AH$66)))</f>
        <v/>
      </c>
      <c r="BM10" s="31">
        <f>IF(OR(Settings!$A$22="",Settings!$F$22="Yes",OR(EOMONTH(BM$4,0)&lt;=Settings!$B$5,BM$4&gt;TODAY())),"",IF(EOMONTH(BL$4,0)&lt;=Settings!$B$5,N(Settings!$C$22),N(Calc!$AH$67)))</f>
        <v/>
      </c>
      <c r="BN10" s="31">
        <f>IF(OR(Settings!$A$22="",Settings!$F$22="Yes",OR(EOMONTH(BN$4,0)&lt;=Settings!$B$5,BN$4&gt;TODAY())),"",IF(EOMONTH(BM$4,0)&lt;=Settings!$B$5,N(Settings!$C$22),N(Calc!$AH$68)))</f>
        <v/>
      </c>
      <c r="BO10" s="31">
        <f>IF(OR(Settings!$A$22="",Settings!$F$22="Yes",OR(EOMONTH(BO$4,0)&lt;=Settings!$B$5,BO$4&gt;TODAY())),"",IF(EOMONTH(BN$4,0)&lt;=Settings!$B$5,N(Settings!$C$22),N(Calc!$AH$69)))</f>
        <v/>
      </c>
      <c r="BP10" s="31">
        <f>IF(OR(Settings!$A$22="",Settings!$F$22="Yes",OR(EOMONTH(BP$4,0)&lt;=Settings!$B$5,BP$4&gt;TODAY())),"",IF(EOMONTH(BO$4,0)&lt;=Settings!$B$5,N(Settings!$C$22),N(Calc!$AH$70)))</f>
        <v/>
      </c>
      <c r="BQ10" s="31">
        <f>IF(OR(Settings!$A$22="",Settings!$F$22="Yes",OR(EOMONTH(BQ$4,0)&lt;=Settings!$B$5,BQ$4&gt;TODAY())),"",IF(EOMONTH(BP$4,0)&lt;=Settings!$B$5,N(Settings!$C$22),N(Calc!$AH$71)))</f>
        <v/>
      </c>
      <c r="BR10" s="31">
        <f>IF(OR(Settings!$A$22="",Settings!$F$22="Yes",OR(EOMONTH(BR$4,0)&lt;=Settings!$B$5,BR$4&gt;TODAY())),"",IF(EOMONTH(BQ$4,0)&lt;=Settings!$B$5,N(Settings!$C$22),N(Calc!$AH$72)))</f>
        <v/>
      </c>
      <c r="BS10" s="31">
        <f>IF(OR(Settings!$A$22="",Settings!$F$22="Yes",OR(EOMONTH(BS$4,0)&lt;=Settings!$B$5,BS$4&gt;TODAY())),"",IF(EOMONTH(BR$4,0)&lt;=Settings!$B$5,N(Settings!$C$22),N(Calc!$AH$73)))</f>
        <v/>
      </c>
      <c r="BT10" s="31">
        <f>IF(OR(Settings!$A$22="",Settings!$F$22="Yes",OR(EOMONTH(BT$4,0)&lt;=Settings!$B$5,BT$4&gt;TODAY())),"",IF(EOMONTH(BS$4,0)&lt;=Settings!$B$5,N(Settings!$C$22),N(Calc!$AH$74)))</f>
        <v/>
      </c>
      <c r="BU10" s="31">
        <f>IF(OR(Settings!$A$22="",Settings!$F$22="Yes",OR(EOMONTH(BU$4,0)&lt;=Settings!$B$5,BU$4&gt;TODAY())),"",IF(EOMONTH(BT$4,0)&lt;=Settings!$B$5,N(Settings!$C$22),N(Calc!$AH$75)))</f>
        <v/>
      </c>
      <c r="BV10" s="31">
        <f>IF(OR(Settings!$A$22="",Settings!$F$22="Yes",OR(EOMONTH(BV$4,0)&lt;=Settings!$B$5,BV$4&gt;TODAY())),"",IF(EOMONTH(BU$4,0)&lt;=Settings!$B$5,N(Settings!$C$22),N(Calc!$AH$76)))</f>
        <v/>
      </c>
      <c r="BW10" s="31">
        <f>IF(OR(Settings!$A$22="",Settings!$F$22="Yes",OR(EOMONTH(BW$4,0)&lt;=Settings!$B$5,BW$4&gt;TODAY())),"",IF(EOMONTH(BV$4,0)&lt;=Settings!$B$5,N(Settings!$C$22),N(Calc!$AH$77)))</f>
        <v/>
      </c>
      <c r="BX10" s="31">
        <f>IF(OR(Settings!$A$22="",Settings!$F$22="Yes",OR(EOMONTH(BX$4,0)&lt;=Settings!$B$5,BX$4&gt;TODAY())),"",IF(EOMONTH(BW$4,0)&lt;=Settings!$B$5,N(Settings!$C$22),N(Calc!$AH$78)))</f>
        <v/>
      </c>
      <c r="BY10" s="31">
        <f>IF(OR(Settings!$A$22="",Settings!$F$22="Yes",OR(EOMONTH(BY$4,0)&lt;=Settings!$B$5,BY$4&gt;TODAY())),"",IF(EOMONTH(BX$4,0)&lt;=Settings!$B$5,N(Settings!$C$22),N(Calc!$AH$79)))</f>
        <v/>
      </c>
      <c r="BZ10" s="31">
        <f>IF(OR(Settings!$A$22="",Settings!$F$22="Yes",OR(EOMONTH(BZ$4,0)&lt;=Settings!$B$5,BZ$4&gt;TODAY())),"",IF(EOMONTH(BY$4,0)&lt;=Settings!$B$5,N(Settings!$C$22),N(Calc!$AH$80)))</f>
        <v/>
      </c>
      <c r="CA10" s="31">
        <f>IF(OR(Settings!$A$22="",Settings!$F$22="Yes",OR(EOMONTH(CA$4,0)&lt;=Settings!$B$5,CA$4&gt;TODAY())),"",IF(EOMONTH(BZ$4,0)&lt;=Settings!$B$5,N(Settings!$C$22),N(Calc!$AH$81)))</f>
        <v/>
      </c>
      <c r="CB10" s="31">
        <f>IF(OR(Settings!$A$22="",Settings!$F$22="Yes",OR(EOMONTH(CB$4,0)&lt;=Settings!$B$5,CB$4&gt;TODAY())),"",IF(EOMONTH(CA$4,0)&lt;=Settings!$B$5,N(Settings!$C$22),N(Calc!$AH$82)))</f>
        <v/>
      </c>
      <c r="CC10" s="31">
        <f>IF(OR(Settings!$A$22="",Settings!$F$22="Yes",OR(EOMONTH(CC$4,0)&lt;=Settings!$B$5,CC$4&gt;TODAY())),"",IF(EOMONTH(CB$4,0)&lt;=Settings!$B$5,N(Settings!$C$22),N(Calc!$AH$83)))</f>
        <v/>
      </c>
      <c r="CD10" s="31">
        <f>IF(OR(Settings!$A$22="",Settings!$F$22="Yes",OR(EOMONTH(CD$4,0)&lt;=Settings!$B$5,CD$4&gt;TODAY())),"",IF(EOMONTH(CC$4,0)&lt;=Settings!$B$5,N(Settings!$C$22),N(Calc!$AH$84)))</f>
        <v/>
      </c>
      <c r="CE10" s="31">
        <f>IF(OR(Settings!$A$22="",Settings!$F$22="Yes",OR(EOMONTH(CE$4,0)&lt;=Settings!$B$5,CE$4&gt;TODAY())),"",IF(EOMONTH(CD$4,0)&lt;=Settings!$B$5,N(Settings!$C$22),N(Calc!$AH$85)))</f>
        <v/>
      </c>
      <c r="CF10" s="31">
        <f>IF(OR(Settings!$A$22="",Settings!$F$22="Yes",OR(EOMONTH(CF$4,0)&lt;=Settings!$B$5,CF$4&gt;TODAY())),"",IF(EOMONTH(CE$4,0)&lt;=Settings!$B$5,N(Settings!$C$22),N(Calc!$AH$86)))</f>
        <v/>
      </c>
      <c r="CG10" s="31">
        <f>IF(OR(Settings!$A$22="",Settings!$F$22="Yes",OR(EOMONTH(CG$4,0)&lt;=Settings!$B$5,CG$4&gt;TODAY())),"",IF(EOMONTH(CF$4,0)&lt;=Settings!$B$5,N(Settings!$C$22),N(Calc!$AH$87)))</f>
        <v/>
      </c>
      <c r="CH10" s="31">
        <f>IF(OR(Settings!$A$22="",Settings!$F$22="Yes",OR(EOMONTH(CH$4,0)&lt;=Settings!$B$5,CH$4&gt;TODAY())),"",IF(EOMONTH(CG$4,0)&lt;=Settings!$B$5,N(Settings!$C$22),N(Calc!$AH$88)))</f>
        <v/>
      </c>
      <c r="CI10" s="31">
        <f>IF(OR(Settings!$A$22="",Settings!$F$22="Yes",OR(EOMONTH(CI$4,0)&lt;=Settings!$B$5,CI$4&gt;TODAY())),"",IF(EOMONTH(CH$4,0)&lt;=Settings!$B$5,N(Settings!$C$22),N(Calc!$AH$89)))</f>
        <v/>
      </c>
      <c r="CJ10" s="31">
        <f>IF(OR(Settings!$A$22="",Settings!$F$22="Yes",OR(EOMONTH(CJ$4,0)&lt;=Settings!$B$5,CJ$4&gt;TODAY())),"",IF(EOMONTH(CI$4,0)&lt;=Settings!$B$5,N(Settings!$C$22),N(Calc!$AH$90)))</f>
        <v/>
      </c>
      <c r="CK10" s="31">
        <f>IF(OR(Settings!$A$22="",Settings!$F$22="Yes",OR(EOMONTH(CK$4,0)&lt;=Settings!$B$5,CK$4&gt;TODAY())),"",IF(EOMONTH(CJ$4,0)&lt;=Settings!$B$5,N(Settings!$C$22),N(Calc!$AH$91)))</f>
        <v/>
      </c>
      <c r="CL10" s="31">
        <f>IF(OR(Settings!$A$22="",Settings!$F$22="Yes",OR(EOMONTH(CL$4,0)&lt;=Settings!$B$5,CL$4&gt;TODAY())),"",IF(EOMONTH(CK$4,0)&lt;=Settings!$B$5,N(Settings!$C$22),N(Calc!$AH$92)))</f>
        <v/>
      </c>
      <c r="CM10" s="31">
        <f>IF(OR(Settings!$A$22="",Settings!$F$22="Yes",OR(EOMONTH(CM$4,0)&lt;=Settings!$B$5,CM$4&gt;TODAY())),"",IF(EOMONTH(CL$4,0)&lt;=Settings!$B$5,N(Settings!$C$22),N(Calc!$AH$93)))</f>
        <v/>
      </c>
      <c r="CN10" s="31">
        <f>IF(OR(Settings!$A$22="",Settings!$F$22="Yes",OR(EOMONTH(CN$4,0)&lt;=Settings!$B$5,CN$4&gt;TODAY())),"",IF(EOMONTH(CM$4,0)&lt;=Settings!$B$5,N(Settings!$C$22),N(Calc!$AH$94)))</f>
        <v/>
      </c>
      <c r="CO10" s="31">
        <f>IF(OR(Settings!$A$22="",Settings!$F$22="Yes",OR(EOMONTH(CO$4,0)&lt;=Settings!$B$5,CO$4&gt;TODAY())),"",IF(EOMONTH(CN$4,0)&lt;=Settings!$B$5,N(Settings!$C$22),N(Calc!$AH$95)))</f>
        <v/>
      </c>
      <c r="CP10" s="31">
        <f>IF(OR(Settings!$A$22="",Settings!$F$22="Yes",OR(EOMONTH(CP$4,0)&lt;=Settings!$B$5,CP$4&gt;TODAY())),"",IF(EOMONTH(CO$4,0)&lt;=Settings!$B$5,N(Settings!$C$22),N(Calc!$AH$96)))</f>
        <v/>
      </c>
      <c r="CQ10" s="31">
        <f>IF(OR(Settings!$A$22="",Settings!$F$22="Yes",OR(EOMONTH(CQ$4,0)&lt;=Settings!$B$5,CQ$4&gt;TODAY())),"",IF(EOMONTH(CP$4,0)&lt;=Settings!$B$5,N(Settings!$C$22),N(Calc!$AH$97)))</f>
        <v/>
      </c>
      <c r="CR10" s="31">
        <f>IF(OR(Settings!$A$22="",Settings!$F$22="Yes",OR(EOMONTH(CR$4,0)&lt;=Settings!$B$5,CR$4&gt;TODAY())),"",IF(EOMONTH(CQ$4,0)&lt;=Settings!$B$5,N(Settings!$C$22),N(Calc!$AH$98)))</f>
        <v/>
      </c>
      <c r="CS10" s="31">
        <f>IF(OR(Settings!$A$22="",Settings!$F$22="Yes",OR(EOMONTH(CS$4,0)&lt;=Settings!$B$5,CS$4&gt;TODAY())),"",IF(EOMONTH(CR$4,0)&lt;=Settings!$B$5,N(Settings!$C$22),N(Calc!$AH$99)))</f>
        <v/>
      </c>
      <c r="CT10" s="31">
        <f>IF(OR(Settings!$A$22="",Settings!$F$22="Yes",OR(EOMONTH(CT$4,0)&lt;=Settings!$B$5,CT$4&gt;TODAY())),"",IF(EOMONTH(CS$4,0)&lt;=Settings!$B$5,N(Settings!$C$22),N(Calc!$AH$100)))</f>
        <v/>
      </c>
      <c r="CU10" s="31">
        <f>IF(OR(Settings!$A$22="",Settings!$F$22="Yes",OR(EOMONTH(CU$4,0)&lt;=Settings!$B$5,CU$4&gt;TODAY())),"",IF(EOMONTH(CT$4,0)&lt;=Settings!$B$5,N(Settings!$C$22),N(Calc!$AH$101)))</f>
        <v/>
      </c>
      <c r="CV10" s="31">
        <f>IF(OR(Settings!$A$22="",Settings!$F$22="Yes",OR(EOMONTH(CV$4,0)&lt;=Settings!$B$5,CV$4&gt;TODAY())),"",IF(EOMONTH(CU$4,0)&lt;=Settings!$B$5,N(Settings!$C$22),N(Calc!$AH$102)))</f>
        <v/>
      </c>
      <c r="CW10" s="31">
        <f>IF(OR(Settings!$A$22="",Settings!$F$22="Yes",OR(EOMONTH(CW$4,0)&lt;=Settings!$B$5,CW$4&gt;TODAY())),"",IF(EOMONTH(CV$4,0)&lt;=Settings!$B$5,N(Settings!$C$22),N(Calc!$AH$103)))</f>
        <v/>
      </c>
      <c r="CX10" s="31">
        <f>IF(OR(Settings!$A$22="",Settings!$F$22="Yes",OR(EOMONTH(CX$4,0)&lt;=Settings!$B$5,CX$4&gt;TODAY())),"",IF(EOMONTH(CW$4,0)&lt;=Settings!$B$5,N(Settings!$C$22),N(Calc!$AH$104)))</f>
        <v/>
      </c>
      <c r="CY10" s="31">
        <f>IF(OR(Settings!$A$22="",Settings!$F$22="Yes",OR(EOMONTH(CY$4,0)&lt;=Settings!$B$5,CY$4&gt;TODAY())),"",IF(EOMONTH(CX$4,0)&lt;=Settings!$B$5,N(Settings!$C$22),N(Calc!$AH$105)))</f>
        <v/>
      </c>
      <c r="CZ10" s="31">
        <f>IF(OR(Settings!$A$22="",Settings!$F$22="Yes",OR(EOMONTH(CZ$4,0)&lt;=Settings!$B$5,CZ$4&gt;TODAY())),"",IF(EOMONTH(CY$4,0)&lt;=Settings!$B$5,N(Settings!$C$22),N(Calc!$AH$106)))</f>
        <v/>
      </c>
      <c r="DA10" s="31">
        <f>IF(OR(Settings!$A$22="",Settings!$F$22="Yes",OR(EOMONTH(DA$4,0)&lt;=Settings!$B$5,DA$4&gt;TODAY())),"",IF(EOMONTH(CZ$4,0)&lt;=Settings!$B$5,N(Settings!$C$22),N(Calc!$AH$107)))</f>
        <v/>
      </c>
      <c r="DB10" s="31">
        <f>IF(OR(Settings!$A$22="",Settings!$F$22="Yes",OR(EOMONTH(DB$4,0)&lt;=Settings!$B$5,DB$4&gt;TODAY())),"",IF(EOMONTH(DA$4,0)&lt;=Settings!$B$5,N(Settings!$C$22),N(Calc!$AH$108)))</f>
        <v/>
      </c>
      <c r="DC10" s="31">
        <f>IF(OR(Settings!$A$22="",Settings!$F$22="Yes",OR(EOMONTH(DC$4,0)&lt;=Settings!$B$5,DC$4&gt;TODAY())),"",IF(EOMONTH(DB$4,0)&lt;=Settings!$B$5,N(Settings!$C$22),N(Calc!$AH$109)))</f>
        <v/>
      </c>
      <c r="DD10" s="31">
        <f>IF(OR(Settings!$A$22="",Settings!$F$22="Yes",OR(EOMONTH(DD$4,0)&lt;=Settings!$B$5,DD$4&gt;TODAY())),"",IF(EOMONTH(DC$4,0)&lt;=Settings!$B$5,N(Settings!$C$22),N(Calc!$AH$110)))</f>
        <v/>
      </c>
      <c r="DE10" s="31">
        <f>IF(OR(Settings!$A$22="",Settings!$F$22="Yes",OR(EOMONTH(DE$4,0)&lt;=Settings!$B$5,DE$4&gt;TODAY())),"",IF(EOMONTH(DD$4,0)&lt;=Settings!$B$5,N(Settings!$C$22),N(Calc!$AH$111)))</f>
        <v/>
      </c>
      <c r="DF10" s="31">
        <f>IF(OR(Settings!$A$22="",Settings!$F$22="Yes",OR(EOMONTH(DF$4,0)&lt;=Settings!$B$5,DF$4&gt;TODAY())),"",IF(EOMONTH(DE$4,0)&lt;=Settings!$B$5,N(Settings!$C$22),N(Calc!$AH$112)))</f>
        <v/>
      </c>
      <c r="DG10" s="31">
        <f>IF(OR(Settings!$A$22="",Settings!$F$22="Yes",OR(EOMONTH(DG$4,0)&lt;=Settings!$B$5,DG$4&gt;TODAY())),"",IF(EOMONTH(DF$4,0)&lt;=Settings!$B$5,N(Settings!$C$22),N(Calc!$AH$113)))</f>
        <v/>
      </c>
      <c r="DH10" s="31">
        <f>IF(OR(Settings!$A$22="",Settings!$F$22="Yes",OR(EOMONTH(DH$4,0)&lt;=Settings!$B$5,DH$4&gt;TODAY())),"",IF(EOMONTH(DG$4,0)&lt;=Settings!$B$5,N(Settings!$C$22),N(Calc!$AH$114)))</f>
        <v/>
      </c>
      <c r="DI10" s="31">
        <f>IF(OR(Settings!$A$22="",Settings!$F$22="Yes",OR(EOMONTH(DI$4,0)&lt;=Settings!$B$5,DI$4&gt;TODAY())),"",IF(EOMONTH(DH$4,0)&lt;=Settings!$B$5,N(Settings!$C$22),N(Calc!$AH$115)))</f>
        <v/>
      </c>
      <c r="DJ10" s="31">
        <f>IF(OR(Settings!$A$22="",Settings!$F$22="Yes",OR(EOMONTH(DJ$4,0)&lt;=Settings!$B$5,DJ$4&gt;TODAY())),"",IF(EOMONTH(DI$4,0)&lt;=Settings!$B$5,N(Settings!$C$22),N(Calc!$AH$116)))</f>
        <v/>
      </c>
      <c r="DK10" s="31">
        <f>IF(OR(Settings!$A$22="",Settings!$F$22="Yes",OR(EOMONTH(DK$4,0)&lt;=Settings!$B$5,DK$4&gt;TODAY())),"",IF(EOMONTH(DJ$4,0)&lt;=Settings!$B$5,N(Settings!$C$22),N(Calc!$AH$117)))</f>
        <v/>
      </c>
      <c r="DL10" s="31">
        <f>IF(OR(Settings!$A$22="",Settings!$F$22="Yes",OR(EOMONTH(DL$4,0)&lt;=Settings!$B$5,DL$4&gt;TODAY())),"",IF(EOMONTH(DK$4,0)&lt;=Settings!$B$5,N(Settings!$C$22),N(Calc!$AH$118)))</f>
        <v/>
      </c>
      <c r="DM10" s="31">
        <f>IF(OR(Settings!$A$22="",Settings!$F$22="Yes",OR(EOMONTH(DM$4,0)&lt;=Settings!$B$5,DM$4&gt;TODAY())),"",IF(EOMONTH(DL$4,0)&lt;=Settings!$B$5,N(Settings!$C$22),N(Calc!$AH$119)))</f>
        <v/>
      </c>
      <c r="DN10" s="31">
        <f>IF(OR(Settings!$A$22="",Settings!$F$22="Yes",OR(EOMONTH(DN$4,0)&lt;=Settings!$B$5,DN$4&gt;TODAY())),"",IF(EOMONTH(DM$4,0)&lt;=Settings!$B$5,N(Settings!$C$22),N(Calc!$AH$120)))</f>
        <v/>
      </c>
      <c r="DO10" s="31">
        <f>IF(OR(Settings!$A$22="",Settings!$F$22="Yes",OR(EOMONTH(DO$4,0)&lt;=Settings!$B$5,DO$4&gt;TODAY())),"",IF(EOMONTH(DN$4,0)&lt;=Settings!$B$5,N(Settings!$C$22),N(Calc!$AH$121)))</f>
        <v/>
      </c>
      <c r="DP10" s="31">
        <f>IF(OR(Settings!$A$22="",Settings!$F$22="Yes",OR(EOMONTH(DP$4,0)&lt;=Settings!$B$5,DP$4&gt;TODAY())),"",IF(EOMONTH(DO$4,0)&lt;=Settings!$B$5,N(Settings!$C$22),N(Calc!$AH$122)))</f>
        <v/>
      </c>
      <c r="DQ10" s="31">
        <f>IF(OR(Settings!$A$22="",Settings!$F$22="Yes",OR(EOMONTH(DQ$4,0)&lt;=Settings!$B$5,DQ$4&gt;TODAY())),"",IF(EOMONTH(DP$4,0)&lt;=Settings!$B$5,N(Settings!$C$22),N(Calc!$AH$123)))</f>
        <v/>
      </c>
      <c r="DR10" s="31">
        <f>IF(OR(Settings!$A$22="",Settings!$F$22="Yes",OR(EOMONTH(DR$4,0)&lt;=Settings!$B$5,DR$4&gt;TODAY())),"",IF(EOMONTH(DQ$4,0)&lt;=Settings!$B$5,N(Settings!$C$22),N(Calc!$AH$124)))</f>
        <v/>
      </c>
      <c r="DS10" s="31">
        <f>IF(OR(Settings!$A$22="",Settings!$F$22="Yes",OR(EOMONTH(DS$4,0)&lt;=Settings!$B$5,DS$4&gt;TODAY())),"",IF(EOMONTH(DR$4,0)&lt;=Settings!$B$5,N(Settings!$C$22),N(Calc!$AH$125)))</f>
        <v/>
      </c>
      <c r="DT10" s="31">
        <f>IF(OR(Settings!$A$22="",Settings!$F$22="Yes",OR(EOMONTH(DT$4,0)&lt;=Settings!$B$5,DT$4&gt;TODAY())),"",IF(EOMONTH(DS$4,0)&lt;=Settings!$B$5,N(Settings!$C$22),N(Calc!$AH$126)))</f>
        <v/>
      </c>
      <c r="DU10" s="31">
        <f>IF(OR(Settings!$A$22="",Settings!$F$22="Yes",OR(EOMONTH(DU$4,0)&lt;=Settings!$B$5,DU$4&gt;TODAY())),"",IF(EOMONTH(DT$4,0)&lt;=Settings!$B$5,N(Settings!$C$22),N(Calc!$AH$127)))</f>
        <v/>
      </c>
      <c r="DV10" s="31">
        <f>IF(OR(Settings!$A$22="",Settings!$F$22="Yes",OR(EOMONTH(DV$4,0)&lt;=Settings!$B$5,DV$4&gt;TODAY())),"",IF(EOMONTH(DU$4,0)&lt;=Settings!$B$5,N(Settings!$C$22),N(Calc!$AH$128)))</f>
        <v/>
      </c>
      <c r="DW10" s="31">
        <f>IF(OR(Settings!$A$22="",Settings!$F$22="Yes",OR(EOMONTH(DW$4,0)&lt;=Settings!$B$5,DW$4&gt;TODAY())),"",IF(EOMONTH(DV$4,0)&lt;=Settings!$B$5,N(Settings!$C$22),N(Calc!$AH$129)))</f>
        <v/>
      </c>
      <c r="DX10" s="31">
        <f>IF(OR(Settings!$A$22="",Settings!$F$22="Yes",OR(EOMONTH(DX$4,0)&lt;=Settings!$B$5,DX$4&gt;TODAY())),"",IF(EOMONTH(DW$4,0)&lt;=Settings!$B$5,N(Settings!$C$22),N(Calc!$AH$130)))</f>
        <v/>
      </c>
      <c r="DY10" s="31">
        <f>IF(OR(Settings!$A$22="",Settings!$F$22="Yes",OR(EOMONTH(DY$4,0)&lt;=Settings!$B$5,DY$4&gt;TODAY())),"",IF(EOMONTH(DX$4,0)&lt;=Settings!$B$5,N(Settings!$C$22),N(Calc!$AH$131)))</f>
        <v/>
      </c>
      <c r="DZ10" s="31">
        <f>IF(OR(Settings!$A$22="",Settings!$F$22="Yes",OR(EOMONTH(DZ$4,0)&lt;=Settings!$B$5,DZ$4&gt;TODAY())),"",IF(EOMONTH(DY$4,0)&lt;=Settings!$B$5,N(Settings!$C$22),N(Calc!$AH$132)))</f>
        <v/>
      </c>
      <c r="EA10" s="31">
        <f>IF(OR(Settings!$A$22="",Settings!$F$22="Yes",OR(EOMONTH(EA$4,0)&lt;=Settings!$B$5,EA$4&gt;TODAY())),"",IF(EOMONTH(DZ$4,0)&lt;=Settings!$B$5,N(Settings!$C$22),N(Calc!$AH$133)))</f>
        <v/>
      </c>
      <c r="EB10" s="31">
        <f>IF(OR(Settings!$A$22="",Settings!$F$22="Yes",OR(EOMONTH(EB$4,0)&lt;=Settings!$B$5,EB$4&gt;TODAY())),"",IF(EOMONTH(EA$4,0)&lt;=Settings!$B$5,N(Settings!$C$22),N(Calc!$AH$134)))</f>
        <v/>
      </c>
      <c r="EC10" s="31">
        <f>IF(OR(Settings!$A$22="",Settings!$F$22="Yes",OR(EOMONTH(EC$4,0)&lt;=Settings!$B$5,EC$4&gt;TODAY())),"",IF(EOMONTH(EB$4,0)&lt;=Settings!$B$5,N(Settings!$C$22),N(Calc!$AH$135)))</f>
        <v/>
      </c>
      <c r="ED10" s="31">
        <f>IF(OR(Settings!$A$22="",Settings!$F$22="Yes",OR(EOMONTH(ED$4,0)&lt;=Settings!$B$5,ED$4&gt;TODAY())),"",IF(EOMONTH(EC$4,0)&lt;=Settings!$B$5,N(Settings!$C$22),N(Calc!$AH$136)))</f>
        <v/>
      </c>
      <c r="EE10" s="31">
        <f>IF(OR(Settings!$A$22="",Settings!$F$22="Yes",OR(EOMONTH(EE$4,0)&lt;=Settings!$B$5,EE$4&gt;TODAY())),"",IF(EOMONTH(ED$4,0)&lt;=Settings!$B$5,N(Settings!$C$22),N(Calc!$AH$137)))</f>
        <v/>
      </c>
      <c r="EF10" s="31">
        <f>IF(OR(Settings!$A$22="",Settings!$F$22="Yes",OR(EOMONTH(EF$4,0)&lt;=Settings!$B$5,EF$4&gt;TODAY())),"",IF(EOMONTH(EE$4,0)&lt;=Settings!$B$5,N(Settings!$C$22),N(Calc!$AH$138)))</f>
        <v/>
      </c>
      <c r="EG10" s="31">
        <f>IF(OR(Settings!$A$22="",Settings!$F$22="Yes",OR(EOMONTH(EG$4,0)&lt;=Settings!$B$5,EG$4&gt;TODAY())),"",IF(EOMONTH(EF$4,0)&lt;=Settings!$B$5,N(Settings!$C$22),N(Calc!$AH$139)))</f>
        <v/>
      </c>
      <c r="EH10" s="31">
        <f>IF(OR(Settings!$A$22="",Settings!$F$22="Yes",OR(EOMONTH(EH$4,0)&lt;=Settings!$B$5,EH$4&gt;TODAY())),"",IF(EOMONTH(EG$4,0)&lt;=Settings!$B$5,N(Settings!$C$22),N(Calc!$AH$140)))</f>
        <v/>
      </c>
      <c r="EI10" s="31">
        <f>IF(OR(Settings!$A$22="",Settings!$F$22="Yes",OR(EOMONTH(EI$4,0)&lt;=Settings!$B$5,EI$4&gt;TODAY())),"",IF(EOMONTH(EH$4,0)&lt;=Settings!$B$5,N(Settings!$C$22),N(Calc!$AH$141)))</f>
        <v/>
      </c>
      <c r="EJ10" s="31">
        <f>IF(OR(Settings!$A$22="",Settings!$F$22="Yes",OR(EOMONTH(EJ$4,0)&lt;=Settings!$B$5,EJ$4&gt;TODAY())),"",IF(EOMONTH(EI$4,0)&lt;=Settings!$B$5,N(Settings!$C$22),N(Calc!$AH$142)))</f>
        <v/>
      </c>
      <c r="EK10" s="31">
        <f>IF(OR(Settings!$A$22="",Settings!$F$22="Yes",OR(EOMONTH(EK$4,0)&lt;=Settings!$B$5,EK$4&gt;TODAY())),"",IF(EOMONTH(EJ$4,0)&lt;=Settings!$B$5,N(Settings!$C$22),N(Calc!$AH$143)))</f>
        <v/>
      </c>
      <c r="EL10" s="31">
        <f>IF(OR(Settings!$A$22="",Settings!$F$22="Yes",OR(EOMONTH(EL$4,0)&lt;=Settings!$B$5,EL$4&gt;TODAY())),"",IF(EOMONTH(EK$4,0)&lt;=Settings!$B$5,N(Settings!$C$22),N(Calc!$AH$144)))</f>
        <v/>
      </c>
      <c r="EM10" s="31">
        <f>IF(OR(Settings!$A$22="",Settings!$F$22="Yes",OR(EOMONTH(EM$4,0)&lt;=Settings!$B$5,EM$4&gt;TODAY())),"",IF(EOMONTH(EL$4,0)&lt;=Settings!$B$5,N(Settings!$C$22),N(Calc!$AH$145)))</f>
        <v/>
      </c>
      <c r="EN10" s="31">
        <f>IF(OR(Settings!$A$22="",Settings!$F$22="Yes",OR(EOMONTH(EN$4,0)&lt;=Settings!$B$5,EN$4&gt;TODAY())),"",IF(EOMONTH(EM$4,0)&lt;=Settings!$B$5,N(Settings!$C$22),N(Calc!$AH$146)))</f>
        <v/>
      </c>
      <c r="EO10" s="31">
        <f>IF(OR(Settings!$A$22="",Settings!$F$22="Yes",OR(EOMONTH(EO$4,0)&lt;=Settings!$B$5,EO$4&gt;TODAY())),"",IF(EOMONTH(EN$4,0)&lt;=Settings!$B$5,N(Settings!$C$22),N(Calc!$AH$147)))</f>
        <v/>
      </c>
      <c r="EP10" s="31">
        <f>IF(OR(Settings!$A$22="",Settings!$F$22="Yes",OR(EOMONTH(EP$4,0)&lt;=Settings!$B$5,EP$4&gt;TODAY())),"",IF(EOMONTH(EO$4,0)&lt;=Settings!$B$5,N(Settings!$C$22),N(Calc!$AH$148)))</f>
        <v/>
      </c>
      <c r="EQ10" s="31">
        <f>IF(OR(Settings!$A$22="",Settings!$F$22="Yes",OR(EOMONTH(EQ$4,0)&lt;=Settings!$B$5,EQ$4&gt;TODAY())),"",IF(EOMONTH(EP$4,0)&lt;=Settings!$B$5,N(Settings!$C$22),N(Calc!$AH$149)))</f>
        <v/>
      </c>
      <c r="ER10" s="31">
        <f>IF(OR(Settings!$A$22="",Settings!$F$22="Yes",OR(EOMONTH(ER$4,0)&lt;=Settings!$B$5,ER$4&gt;TODAY())),"",IF(EOMONTH(EQ$4,0)&lt;=Settings!$B$5,N(Settings!$C$22),N(Calc!$AH$150)))</f>
        <v/>
      </c>
      <c r="ES10" s="31">
        <f>IF(OR(Settings!$A$22="",Settings!$F$22="Yes",OR(EOMONTH(ES$4,0)&lt;=Settings!$B$5,ES$4&gt;TODAY())),"",IF(EOMONTH(ER$4,0)&lt;=Settings!$B$5,N(Settings!$C$22),N(Calc!$AH$151)))</f>
        <v/>
      </c>
      <c r="ET10" s="31">
        <f>IF(OR(Settings!$A$22="",Settings!$F$22="Yes",OR(EOMONTH(ET$4,0)&lt;=Settings!$B$5,ET$4&gt;TODAY())),"",IF(EOMONTH(ES$4,0)&lt;=Settings!$B$5,N(Settings!$C$22),N(Calc!$AH$152)))</f>
        <v/>
      </c>
      <c r="EU10" s="31">
        <f>IF(OR(Settings!$A$22="",Settings!$F$22="Yes",OR(EOMONTH(EU$4,0)&lt;=Settings!$B$5,EU$4&gt;TODAY())),"",IF(EOMONTH(ET$4,0)&lt;=Settings!$B$5,N(Settings!$C$22),N(Calc!$AH$153)))</f>
        <v/>
      </c>
      <c r="EV10" s="31">
        <f>IF(OR(Settings!$A$22="",Settings!$F$22="Yes",OR(EOMONTH(EV$4,0)&lt;=Settings!$B$5,EV$4&gt;TODAY())),"",IF(EOMONTH(EU$4,0)&lt;=Settings!$B$5,N(Settings!$C$22),N(Calc!$AH$154)))</f>
        <v/>
      </c>
      <c r="EW10" s="31">
        <f>IF(OR(Settings!$A$22="",Settings!$F$22="Yes",OR(EOMONTH(EW$4,0)&lt;=Settings!$B$5,EW$4&gt;TODAY())),"",IF(EOMONTH(EV$4,0)&lt;=Settings!$B$5,N(Settings!$C$22),N(Calc!$AH$155)))</f>
        <v/>
      </c>
      <c r="EX10" s="31">
        <f>IF(OR(Settings!$A$22="",Settings!$F$22="Yes",OR(EOMONTH(EX$4,0)&lt;=Settings!$B$5,EX$4&gt;TODAY())),"",IF(EOMONTH(EW$4,0)&lt;=Settings!$B$5,N(Settings!$C$22),N(Calc!$AH$156)))</f>
        <v/>
      </c>
      <c r="EY10" s="31">
        <f>IF(OR(Settings!$A$22="",Settings!$F$22="Yes",OR(EOMONTH(EY$4,0)&lt;=Settings!$B$5,EY$4&gt;TODAY())),"",IF(EOMONTH(EX$4,0)&lt;=Settings!$B$5,N(Settings!$C$22),N(Calc!$AH$157)))</f>
        <v/>
      </c>
      <c r="EZ10" s="31">
        <f>IF(OR(Settings!$A$22="",Settings!$F$22="Yes",OR(EOMONTH(EZ$4,0)&lt;=Settings!$B$5,EZ$4&gt;TODAY())),"",IF(EOMONTH(EY$4,0)&lt;=Settings!$B$5,N(Settings!$C$22),N(Calc!$AH$158)))</f>
        <v/>
      </c>
      <c r="FA10" s="31">
        <f>IF(OR(Settings!$A$22="",Settings!$F$22="Yes",OR(EOMONTH(FA$4,0)&lt;=Settings!$B$5,FA$4&gt;TODAY())),"",IF(EOMONTH(EZ$4,0)&lt;=Settings!$B$5,N(Settings!$C$22),N(Calc!$AH$159)))</f>
        <v/>
      </c>
      <c r="FB10" s="31">
        <f>IF(OR(Settings!$A$22="",Settings!$F$22="Yes",OR(EOMONTH(FB$4,0)&lt;=Settings!$B$5,FB$4&gt;TODAY())),"",IF(EOMONTH(FA$4,0)&lt;=Settings!$B$5,N(Settings!$C$22),N(Calc!$AH$160)))</f>
        <v/>
      </c>
      <c r="FC10" s="31">
        <f>IF(OR(Settings!$A$22="",Settings!$F$22="Yes",OR(EOMONTH(FC$4,0)&lt;=Settings!$B$5,FC$4&gt;TODAY())),"",IF(EOMONTH(FB$4,0)&lt;=Settings!$B$5,N(Settings!$C$22),N(Calc!$AH$161)))</f>
        <v/>
      </c>
      <c r="FD10" s="31">
        <f>IF(OR(Settings!$A$22="",Settings!$F$22="Yes",OR(EOMONTH(FD$4,0)&lt;=Settings!$B$5,FD$4&gt;TODAY())),"",IF(EOMONTH(FC$4,0)&lt;=Settings!$B$5,N(Settings!$C$22),N(Calc!$AH$162)))</f>
        <v/>
      </c>
      <c r="FE10" s="31">
        <f>IF(OR(Settings!$A$22="",Settings!$F$22="Yes",OR(EOMONTH(FE$4,0)&lt;=Settings!$B$5,FE$4&gt;TODAY())),"",IF(EOMONTH(FD$4,0)&lt;=Settings!$B$5,N(Settings!$C$22),N(Calc!$AH$163)))</f>
        <v/>
      </c>
      <c r="FF10" s="31">
        <f>IF(OR(Settings!$A$22="",Settings!$F$22="Yes",OR(EOMONTH(FF$4,0)&lt;=Settings!$B$5,FF$4&gt;TODAY())),"",IF(EOMONTH(FE$4,0)&lt;=Settings!$B$5,N(Settings!$C$22),N(Calc!$AH$164)))</f>
        <v/>
      </c>
      <c r="FG10" s="31">
        <f>IF(OR(Settings!$A$22="",Settings!$F$22="Yes",OR(EOMONTH(FG$4,0)&lt;=Settings!$B$5,FG$4&gt;TODAY())),"",IF(EOMONTH(FF$4,0)&lt;=Settings!$B$5,N(Settings!$C$22),N(Calc!$AH$165)))</f>
        <v/>
      </c>
      <c r="FH10" s="31">
        <f>IF(OR(Settings!$A$22="",Settings!$F$22="Yes",OR(EOMONTH(FH$4,0)&lt;=Settings!$B$5,FH$4&gt;TODAY())),"",IF(EOMONTH(FG$4,0)&lt;=Settings!$B$5,N(Settings!$C$22),N(Calc!$AH$166)))</f>
        <v/>
      </c>
      <c r="FI10" s="31">
        <f>IF(OR(Settings!$A$22="",Settings!$F$22="Yes",OR(EOMONTH(FI$4,0)&lt;=Settings!$B$5,FI$4&gt;TODAY())),"",IF(EOMONTH(FH$4,0)&lt;=Settings!$B$5,N(Settings!$C$22),N(Calc!$AH$167)))</f>
        <v/>
      </c>
      <c r="FJ10" s="31">
        <f>IF(OR(Settings!$A$22="",Settings!$F$22="Yes",OR(EOMONTH(FJ$4,0)&lt;=Settings!$B$5,FJ$4&gt;TODAY())),"",IF(EOMONTH(FI$4,0)&lt;=Settings!$B$5,N(Settings!$C$22),N(Calc!$AH$168)))</f>
        <v/>
      </c>
      <c r="FK10" s="31">
        <f>IF(OR(Settings!$A$22="",Settings!$F$22="Yes",OR(EOMONTH(FK$4,0)&lt;=Settings!$B$5,FK$4&gt;TODAY())),"",IF(EOMONTH(FJ$4,0)&lt;=Settings!$B$5,N(Settings!$C$22),N(Calc!$AH$169)))</f>
        <v/>
      </c>
      <c r="FL10" s="31">
        <f>IF(OR(Settings!$A$22="",Settings!$F$22="Yes",OR(EOMONTH(FL$4,0)&lt;=Settings!$B$5,FL$4&gt;TODAY())),"",IF(EOMONTH(FK$4,0)&lt;=Settings!$B$5,N(Settings!$C$22),N(Calc!$AH$170)))</f>
        <v/>
      </c>
      <c r="FM10" s="31">
        <f>IF(OR(Settings!$A$22="",Settings!$F$22="Yes",OR(EOMONTH(FM$4,0)&lt;=Settings!$B$5,FM$4&gt;TODAY())),"",IF(EOMONTH(FL$4,0)&lt;=Settings!$B$5,N(Settings!$C$22),N(Calc!$AH$171)))</f>
        <v/>
      </c>
      <c r="FN10" s="31">
        <f>IF(OR(Settings!$A$22="",Settings!$F$22="Yes",OR(EOMONTH(FN$4,0)&lt;=Settings!$B$5,FN$4&gt;TODAY())),"",IF(EOMONTH(FM$4,0)&lt;=Settings!$B$5,N(Settings!$C$22),N(Calc!$AH$172)))</f>
        <v/>
      </c>
      <c r="FO10" s="31">
        <f>IF(OR(Settings!$A$22="",Settings!$F$22="Yes",OR(EOMONTH(FO$4,0)&lt;=Settings!$B$5,FO$4&gt;TODAY())),"",IF(EOMONTH(FN$4,0)&lt;=Settings!$B$5,N(Settings!$C$22),N(Calc!$AH$173)))</f>
        <v/>
      </c>
      <c r="FP10" s="31">
        <f>IF(OR(Settings!$A$22="",Settings!$F$22="Yes",OR(EOMONTH(FP$4,0)&lt;=Settings!$B$5,FP$4&gt;TODAY())),"",IF(EOMONTH(FO$4,0)&lt;=Settings!$B$5,N(Settings!$C$22),N(Calc!$AH$174)))</f>
        <v/>
      </c>
      <c r="FQ10" s="31">
        <f>IF(OR(Settings!$A$22="",Settings!$F$22="Yes",OR(EOMONTH(FQ$4,0)&lt;=Settings!$B$5,FQ$4&gt;TODAY())),"",IF(EOMONTH(FP$4,0)&lt;=Settings!$B$5,N(Settings!$C$22),N(Calc!$AH$175)))</f>
        <v/>
      </c>
      <c r="FR10" s="31">
        <f>IF(OR(Settings!$A$22="",Settings!$F$22="Yes",OR(EOMONTH(FR$4,0)&lt;=Settings!$B$5,FR$4&gt;TODAY())),"",IF(EOMONTH(FQ$4,0)&lt;=Settings!$B$5,N(Settings!$C$22),N(Calc!$AH$176)))</f>
        <v/>
      </c>
      <c r="FS10" s="31">
        <f>IF(OR(Settings!$A$22="",Settings!$F$22="Yes",OR(EOMONTH(FS$4,0)&lt;=Settings!$B$5,FS$4&gt;TODAY())),"",IF(EOMONTH(FR$4,0)&lt;=Settings!$B$5,N(Settings!$C$22),N(Calc!$AH$177)))</f>
        <v/>
      </c>
      <c r="FT10" s="31">
        <f>IF(OR(Settings!$A$22="",Settings!$F$22="Yes",OR(EOMONTH(FT$4,0)&lt;=Settings!$B$5,FT$4&gt;TODAY())),"",IF(EOMONTH(FS$4,0)&lt;=Settings!$B$5,N(Settings!$C$22),N(Calc!$AH$178)))</f>
        <v/>
      </c>
      <c r="FU10" s="31">
        <f>IF(OR(Settings!$A$22="",Settings!$F$22="Yes",OR(EOMONTH(FU$4,0)&lt;=Settings!$B$5,FU$4&gt;TODAY())),"",IF(EOMONTH(FT$4,0)&lt;=Settings!$B$5,N(Settings!$C$22),N(Calc!$AH$179)))</f>
        <v/>
      </c>
      <c r="FV10" s="31">
        <f>IF(OR(Settings!$A$22="",Settings!$F$22="Yes",OR(EOMONTH(FV$4,0)&lt;=Settings!$B$5,FV$4&gt;TODAY())),"",IF(EOMONTH(FU$4,0)&lt;=Settings!$B$5,N(Settings!$C$22),N(Calc!$AH$180)))</f>
        <v/>
      </c>
      <c r="FW10" s="31">
        <f>IF(OR(Settings!$A$22="",Settings!$F$22="Yes",OR(EOMONTH(FW$4,0)&lt;=Settings!$B$5,FW$4&gt;TODAY())),"",IF(EOMONTH(FV$4,0)&lt;=Settings!$B$5,N(Settings!$C$22),N(Calc!$AH$181)))</f>
        <v/>
      </c>
      <c r="FX10" s="31">
        <f>IF(OR(Settings!$A$22="",Settings!$F$22="Yes",OR(EOMONTH(FX$4,0)&lt;=Settings!$B$5,FX$4&gt;TODAY())),"",IF(EOMONTH(FW$4,0)&lt;=Settings!$B$5,N(Settings!$C$22),N(Calc!$AH$182)))</f>
        <v/>
      </c>
    </row>
    <row r="11">
      <c r="A11" s="15">
        <f>IF(Settings!$A$23="","(unused)",Settings!$A$23&amp;IF(Settings!$E$23="No"," (retired)",""))</f>
        <v/>
      </c>
      <c r="B11" s="26">
        <f>IF(Settings!$A$23="","",IF(Settings!$F$23="Yes","REQUIRED","optional · grey = unchanged")&amp;IF(OR(Settings!$B$23="Card",Settings!$B$23="Loan")," · amount owed",""))</f>
        <v/>
      </c>
      <c r="C11" s="31">
        <f>IF(OR(Settings!$A$23="",Settings!$F$23="Yes",OR(EOMONTH(C$4,0)&lt;=Settings!$B$5,C$4&gt;TODAY())),"",N(Settings!$C$23))</f>
        <v/>
      </c>
      <c r="D11" s="31">
        <f>IF(OR(Settings!$A$23="",Settings!$F$23="Yes",OR(EOMONTH(D$4,0)&lt;=Settings!$B$5,D$4&gt;TODAY())),"",IF(EOMONTH(C$4,0)&lt;=Settings!$B$5,N(Settings!$C$23),N(Calc!$AI$6)))</f>
        <v/>
      </c>
      <c r="E11" s="31">
        <f>IF(OR(Settings!$A$23="",Settings!$F$23="Yes",OR(EOMONTH(E$4,0)&lt;=Settings!$B$5,E$4&gt;TODAY())),"",IF(EOMONTH(D$4,0)&lt;=Settings!$B$5,N(Settings!$C$23),N(Calc!$AI$7)))</f>
        <v/>
      </c>
      <c r="F11" s="31">
        <f>IF(OR(Settings!$A$23="",Settings!$F$23="Yes",OR(EOMONTH(F$4,0)&lt;=Settings!$B$5,F$4&gt;TODAY())),"",IF(EOMONTH(E$4,0)&lt;=Settings!$B$5,N(Settings!$C$23),N(Calc!$AI$8)))</f>
        <v/>
      </c>
      <c r="G11" s="31">
        <f>IF(OR(Settings!$A$23="",Settings!$F$23="Yes",OR(EOMONTH(G$4,0)&lt;=Settings!$B$5,G$4&gt;TODAY())),"",IF(EOMONTH(F$4,0)&lt;=Settings!$B$5,N(Settings!$C$23),N(Calc!$AI$9)))</f>
        <v/>
      </c>
      <c r="H11" s="31">
        <f>IF(OR(Settings!$A$23="",Settings!$F$23="Yes",OR(EOMONTH(H$4,0)&lt;=Settings!$B$5,H$4&gt;TODAY())),"",IF(EOMONTH(G$4,0)&lt;=Settings!$B$5,N(Settings!$C$23),N(Calc!$AI$10)))</f>
        <v/>
      </c>
      <c r="I11" s="31">
        <f>IF(OR(Settings!$A$23="",Settings!$F$23="Yes",OR(EOMONTH(I$4,0)&lt;=Settings!$B$5,I$4&gt;TODAY())),"",IF(EOMONTH(H$4,0)&lt;=Settings!$B$5,N(Settings!$C$23),N(Calc!$AI$11)))</f>
        <v/>
      </c>
      <c r="J11" s="31">
        <f>IF(OR(Settings!$A$23="",Settings!$F$23="Yes",OR(EOMONTH(J$4,0)&lt;=Settings!$B$5,J$4&gt;TODAY())),"",IF(EOMONTH(I$4,0)&lt;=Settings!$B$5,N(Settings!$C$23),N(Calc!$AI$12)))</f>
        <v/>
      </c>
      <c r="K11" s="31">
        <f>IF(OR(Settings!$A$23="",Settings!$F$23="Yes",OR(EOMONTH(K$4,0)&lt;=Settings!$B$5,K$4&gt;TODAY())),"",IF(EOMONTH(J$4,0)&lt;=Settings!$B$5,N(Settings!$C$23),N(Calc!$AI$13)))</f>
        <v/>
      </c>
      <c r="L11" s="31">
        <f>IF(OR(Settings!$A$23="",Settings!$F$23="Yes",OR(EOMONTH(L$4,0)&lt;=Settings!$B$5,L$4&gt;TODAY())),"",IF(EOMONTH(K$4,0)&lt;=Settings!$B$5,N(Settings!$C$23),N(Calc!$AI$14)))</f>
        <v/>
      </c>
      <c r="M11" s="31">
        <f>IF(OR(Settings!$A$23="",Settings!$F$23="Yes",OR(EOMONTH(M$4,0)&lt;=Settings!$B$5,M$4&gt;TODAY())),"",IF(EOMONTH(L$4,0)&lt;=Settings!$B$5,N(Settings!$C$23),N(Calc!$AI$15)))</f>
        <v/>
      </c>
      <c r="N11" s="31">
        <f>IF(OR(Settings!$A$23="",Settings!$F$23="Yes",OR(EOMONTH(N$4,0)&lt;=Settings!$B$5,N$4&gt;TODAY())),"",IF(EOMONTH(M$4,0)&lt;=Settings!$B$5,N(Settings!$C$23),N(Calc!$AI$16)))</f>
        <v/>
      </c>
      <c r="O11" s="31">
        <f>IF(OR(Settings!$A$23="",Settings!$F$23="Yes",OR(EOMONTH(O$4,0)&lt;=Settings!$B$5,O$4&gt;TODAY())),"",IF(EOMONTH(N$4,0)&lt;=Settings!$B$5,N(Settings!$C$23),N(Calc!$AI$17)))</f>
        <v/>
      </c>
      <c r="P11" s="31">
        <f>IF(OR(Settings!$A$23="",Settings!$F$23="Yes",OR(EOMONTH(P$4,0)&lt;=Settings!$B$5,P$4&gt;TODAY())),"",IF(EOMONTH(O$4,0)&lt;=Settings!$B$5,N(Settings!$C$23),N(Calc!$AI$18)))</f>
        <v/>
      </c>
      <c r="Q11" s="31">
        <f>IF(OR(Settings!$A$23="",Settings!$F$23="Yes",OR(EOMONTH(Q$4,0)&lt;=Settings!$B$5,Q$4&gt;TODAY())),"",IF(EOMONTH(P$4,0)&lt;=Settings!$B$5,N(Settings!$C$23),N(Calc!$AI$19)))</f>
        <v/>
      </c>
      <c r="R11" s="31">
        <f>IF(OR(Settings!$A$23="",Settings!$F$23="Yes",OR(EOMONTH(R$4,0)&lt;=Settings!$B$5,R$4&gt;TODAY())),"",IF(EOMONTH(Q$4,0)&lt;=Settings!$B$5,N(Settings!$C$23),N(Calc!$AI$20)))</f>
        <v/>
      </c>
      <c r="S11" s="31">
        <f>IF(OR(Settings!$A$23="",Settings!$F$23="Yes",OR(EOMONTH(S$4,0)&lt;=Settings!$B$5,S$4&gt;TODAY())),"",IF(EOMONTH(R$4,0)&lt;=Settings!$B$5,N(Settings!$C$23),N(Calc!$AI$21)))</f>
        <v/>
      </c>
      <c r="T11" s="31">
        <f>IF(OR(Settings!$A$23="",Settings!$F$23="Yes",OR(EOMONTH(T$4,0)&lt;=Settings!$B$5,T$4&gt;TODAY())),"",IF(EOMONTH(S$4,0)&lt;=Settings!$B$5,N(Settings!$C$23),N(Calc!$AI$22)))</f>
        <v/>
      </c>
      <c r="U11" s="31">
        <f>IF(OR(Settings!$A$23="",Settings!$F$23="Yes",OR(EOMONTH(U$4,0)&lt;=Settings!$B$5,U$4&gt;TODAY())),"",IF(EOMONTH(T$4,0)&lt;=Settings!$B$5,N(Settings!$C$23),N(Calc!$AI$23)))</f>
        <v/>
      </c>
      <c r="V11" s="31">
        <f>IF(OR(Settings!$A$23="",Settings!$F$23="Yes",OR(EOMONTH(V$4,0)&lt;=Settings!$B$5,V$4&gt;TODAY())),"",IF(EOMONTH(U$4,0)&lt;=Settings!$B$5,N(Settings!$C$23),N(Calc!$AI$24)))</f>
        <v/>
      </c>
      <c r="W11" s="31">
        <f>IF(OR(Settings!$A$23="",Settings!$F$23="Yes",OR(EOMONTH(W$4,0)&lt;=Settings!$B$5,W$4&gt;TODAY())),"",IF(EOMONTH(V$4,0)&lt;=Settings!$B$5,N(Settings!$C$23),N(Calc!$AI$25)))</f>
        <v/>
      </c>
      <c r="X11" s="31">
        <f>IF(OR(Settings!$A$23="",Settings!$F$23="Yes",OR(EOMONTH(X$4,0)&lt;=Settings!$B$5,X$4&gt;TODAY())),"",IF(EOMONTH(W$4,0)&lt;=Settings!$B$5,N(Settings!$C$23),N(Calc!$AI$26)))</f>
        <v/>
      </c>
      <c r="Y11" s="31">
        <f>IF(OR(Settings!$A$23="",Settings!$F$23="Yes",OR(EOMONTH(Y$4,0)&lt;=Settings!$B$5,Y$4&gt;TODAY())),"",IF(EOMONTH(X$4,0)&lt;=Settings!$B$5,N(Settings!$C$23),N(Calc!$AI$27)))</f>
        <v/>
      </c>
      <c r="Z11" s="31">
        <f>IF(OR(Settings!$A$23="",Settings!$F$23="Yes",OR(EOMONTH(Z$4,0)&lt;=Settings!$B$5,Z$4&gt;TODAY())),"",IF(EOMONTH(Y$4,0)&lt;=Settings!$B$5,N(Settings!$C$23),N(Calc!$AI$28)))</f>
        <v/>
      </c>
      <c r="AA11" s="31">
        <f>IF(OR(Settings!$A$23="",Settings!$F$23="Yes",OR(EOMONTH(AA$4,0)&lt;=Settings!$B$5,AA$4&gt;TODAY())),"",IF(EOMONTH(Z$4,0)&lt;=Settings!$B$5,N(Settings!$C$23),N(Calc!$AI$29)))</f>
        <v/>
      </c>
      <c r="AB11" s="31">
        <f>IF(OR(Settings!$A$23="",Settings!$F$23="Yes",OR(EOMONTH(AB$4,0)&lt;=Settings!$B$5,AB$4&gt;TODAY())),"",IF(EOMONTH(AA$4,0)&lt;=Settings!$B$5,N(Settings!$C$23),N(Calc!$AI$30)))</f>
        <v/>
      </c>
      <c r="AC11" s="31">
        <f>IF(OR(Settings!$A$23="",Settings!$F$23="Yes",OR(EOMONTH(AC$4,0)&lt;=Settings!$B$5,AC$4&gt;TODAY())),"",IF(EOMONTH(AB$4,0)&lt;=Settings!$B$5,N(Settings!$C$23),N(Calc!$AI$31)))</f>
        <v/>
      </c>
      <c r="AD11" s="31">
        <f>IF(OR(Settings!$A$23="",Settings!$F$23="Yes",OR(EOMONTH(AD$4,0)&lt;=Settings!$B$5,AD$4&gt;TODAY())),"",IF(EOMONTH(AC$4,0)&lt;=Settings!$B$5,N(Settings!$C$23),N(Calc!$AI$32)))</f>
        <v/>
      </c>
      <c r="AE11" s="31">
        <f>IF(OR(Settings!$A$23="",Settings!$F$23="Yes",OR(EOMONTH(AE$4,0)&lt;=Settings!$B$5,AE$4&gt;TODAY())),"",IF(EOMONTH(AD$4,0)&lt;=Settings!$B$5,N(Settings!$C$23),N(Calc!$AI$33)))</f>
        <v/>
      </c>
      <c r="AF11" s="31">
        <f>IF(OR(Settings!$A$23="",Settings!$F$23="Yes",OR(EOMONTH(AF$4,0)&lt;=Settings!$B$5,AF$4&gt;TODAY())),"",IF(EOMONTH(AE$4,0)&lt;=Settings!$B$5,N(Settings!$C$23),N(Calc!$AI$34)))</f>
        <v/>
      </c>
      <c r="AG11" s="31">
        <f>IF(OR(Settings!$A$23="",Settings!$F$23="Yes",OR(EOMONTH(AG$4,0)&lt;=Settings!$B$5,AG$4&gt;TODAY())),"",IF(EOMONTH(AF$4,0)&lt;=Settings!$B$5,N(Settings!$C$23),N(Calc!$AI$35)))</f>
        <v/>
      </c>
      <c r="AH11" s="31">
        <f>IF(OR(Settings!$A$23="",Settings!$F$23="Yes",OR(EOMONTH(AH$4,0)&lt;=Settings!$B$5,AH$4&gt;TODAY())),"",IF(EOMONTH(AG$4,0)&lt;=Settings!$B$5,N(Settings!$C$23),N(Calc!$AI$36)))</f>
        <v/>
      </c>
      <c r="AI11" s="31">
        <f>IF(OR(Settings!$A$23="",Settings!$F$23="Yes",OR(EOMONTH(AI$4,0)&lt;=Settings!$B$5,AI$4&gt;TODAY())),"",IF(EOMONTH(AH$4,0)&lt;=Settings!$B$5,N(Settings!$C$23),N(Calc!$AI$37)))</f>
        <v/>
      </c>
      <c r="AJ11" s="31">
        <f>IF(OR(Settings!$A$23="",Settings!$F$23="Yes",OR(EOMONTH(AJ$4,0)&lt;=Settings!$B$5,AJ$4&gt;TODAY())),"",IF(EOMONTH(AI$4,0)&lt;=Settings!$B$5,N(Settings!$C$23),N(Calc!$AI$38)))</f>
        <v/>
      </c>
      <c r="AK11" s="31">
        <f>IF(OR(Settings!$A$23="",Settings!$F$23="Yes",OR(EOMONTH(AK$4,0)&lt;=Settings!$B$5,AK$4&gt;TODAY())),"",IF(EOMONTH(AJ$4,0)&lt;=Settings!$B$5,N(Settings!$C$23),N(Calc!$AI$39)))</f>
        <v/>
      </c>
      <c r="AL11" s="31">
        <f>IF(OR(Settings!$A$23="",Settings!$F$23="Yes",OR(EOMONTH(AL$4,0)&lt;=Settings!$B$5,AL$4&gt;TODAY())),"",IF(EOMONTH(AK$4,0)&lt;=Settings!$B$5,N(Settings!$C$23),N(Calc!$AI$40)))</f>
        <v/>
      </c>
      <c r="AM11" s="31">
        <f>IF(OR(Settings!$A$23="",Settings!$F$23="Yes",OR(EOMONTH(AM$4,0)&lt;=Settings!$B$5,AM$4&gt;TODAY())),"",IF(EOMONTH(AL$4,0)&lt;=Settings!$B$5,N(Settings!$C$23),N(Calc!$AI$41)))</f>
        <v/>
      </c>
      <c r="AN11" s="31">
        <f>IF(OR(Settings!$A$23="",Settings!$F$23="Yes",OR(EOMONTH(AN$4,0)&lt;=Settings!$B$5,AN$4&gt;TODAY())),"",IF(EOMONTH(AM$4,0)&lt;=Settings!$B$5,N(Settings!$C$23),N(Calc!$AI$42)))</f>
        <v/>
      </c>
      <c r="AO11" s="31">
        <f>IF(OR(Settings!$A$23="",Settings!$F$23="Yes",OR(EOMONTH(AO$4,0)&lt;=Settings!$B$5,AO$4&gt;TODAY())),"",IF(EOMONTH(AN$4,0)&lt;=Settings!$B$5,N(Settings!$C$23),N(Calc!$AI$43)))</f>
        <v/>
      </c>
      <c r="AP11" s="31">
        <f>IF(OR(Settings!$A$23="",Settings!$F$23="Yes",OR(EOMONTH(AP$4,0)&lt;=Settings!$B$5,AP$4&gt;TODAY())),"",IF(EOMONTH(AO$4,0)&lt;=Settings!$B$5,N(Settings!$C$23),N(Calc!$AI$44)))</f>
        <v/>
      </c>
      <c r="AQ11" s="31">
        <f>IF(OR(Settings!$A$23="",Settings!$F$23="Yes",OR(EOMONTH(AQ$4,0)&lt;=Settings!$B$5,AQ$4&gt;TODAY())),"",IF(EOMONTH(AP$4,0)&lt;=Settings!$B$5,N(Settings!$C$23),N(Calc!$AI$45)))</f>
        <v/>
      </c>
      <c r="AR11" s="31">
        <f>IF(OR(Settings!$A$23="",Settings!$F$23="Yes",OR(EOMONTH(AR$4,0)&lt;=Settings!$B$5,AR$4&gt;TODAY())),"",IF(EOMONTH(AQ$4,0)&lt;=Settings!$B$5,N(Settings!$C$23),N(Calc!$AI$46)))</f>
        <v/>
      </c>
      <c r="AS11" s="31">
        <f>IF(OR(Settings!$A$23="",Settings!$F$23="Yes",OR(EOMONTH(AS$4,0)&lt;=Settings!$B$5,AS$4&gt;TODAY())),"",IF(EOMONTH(AR$4,0)&lt;=Settings!$B$5,N(Settings!$C$23),N(Calc!$AI$47)))</f>
        <v/>
      </c>
      <c r="AT11" s="31">
        <f>IF(OR(Settings!$A$23="",Settings!$F$23="Yes",OR(EOMONTH(AT$4,0)&lt;=Settings!$B$5,AT$4&gt;TODAY())),"",IF(EOMONTH(AS$4,0)&lt;=Settings!$B$5,N(Settings!$C$23),N(Calc!$AI$48)))</f>
        <v/>
      </c>
      <c r="AU11" s="31">
        <f>IF(OR(Settings!$A$23="",Settings!$F$23="Yes",OR(EOMONTH(AU$4,0)&lt;=Settings!$B$5,AU$4&gt;TODAY())),"",IF(EOMONTH(AT$4,0)&lt;=Settings!$B$5,N(Settings!$C$23),N(Calc!$AI$49)))</f>
        <v/>
      </c>
      <c r="AV11" s="31">
        <f>IF(OR(Settings!$A$23="",Settings!$F$23="Yes",OR(EOMONTH(AV$4,0)&lt;=Settings!$B$5,AV$4&gt;TODAY())),"",IF(EOMONTH(AU$4,0)&lt;=Settings!$B$5,N(Settings!$C$23),N(Calc!$AI$50)))</f>
        <v/>
      </c>
      <c r="AW11" s="31">
        <f>IF(OR(Settings!$A$23="",Settings!$F$23="Yes",OR(EOMONTH(AW$4,0)&lt;=Settings!$B$5,AW$4&gt;TODAY())),"",IF(EOMONTH(AV$4,0)&lt;=Settings!$B$5,N(Settings!$C$23),N(Calc!$AI$51)))</f>
        <v/>
      </c>
      <c r="AX11" s="31">
        <f>IF(OR(Settings!$A$23="",Settings!$F$23="Yes",OR(EOMONTH(AX$4,0)&lt;=Settings!$B$5,AX$4&gt;TODAY())),"",IF(EOMONTH(AW$4,0)&lt;=Settings!$B$5,N(Settings!$C$23),N(Calc!$AI$52)))</f>
        <v/>
      </c>
      <c r="AY11" s="31">
        <f>IF(OR(Settings!$A$23="",Settings!$F$23="Yes",OR(EOMONTH(AY$4,0)&lt;=Settings!$B$5,AY$4&gt;TODAY())),"",IF(EOMONTH(AX$4,0)&lt;=Settings!$B$5,N(Settings!$C$23),N(Calc!$AI$53)))</f>
        <v/>
      </c>
      <c r="AZ11" s="31">
        <f>IF(OR(Settings!$A$23="",Settings!$F$23="Yes",OR(EOMONTH(AZ$4,0)&lt;=Settings!$B$5,AZ$4&gt;TODAY())),"",IF(EOMONTH(AY$4,0)&lt;=Settings!$B$5,N(Settings!$C$23),N(Calc!$AI$54)))</f>
        <v/>
      </c>
      <c r="BA11" s="31">
        <f>IF(OR(Settings!$A$23="",Settings!$F$23="Yes",OR(EOMONTH(BA$4,0)&lt;=Settings!$B$5,BA$4&gt;TODAY())),"",IF(EOMONTH(AZ$4,0)&lt;=Settings!$B$5,N(Settings!$C$23),N(Calc!$AI$55)))</f>
        <v/>
      </c>
      <c r="BB11" s="31">
        <f>IF(OR(Settings!$A$23="",Settings!$F$23="Yes",OR(EOMONTH(BB$4,0)&lt;=Settings!$B$5,BB$4&gt;TODAY())),"",IF(EOMONTH(BA$4,0)&lt;=Settings!$B$5,N(Settings!$C$23),N(Calc!$AI$56)))</f>
        <v/>
      </c>
      <c r="BC11" s="31">
        <f>IF(OR(Settings!$A$23="",Settings!$F$23="Yes",OR(EOMONTH(BC$4,0)&lt;=Settings!$B$5,BC$4&gt;TODAY())),"",IF(EOMONTH(BB$4,0)&lt;=Settings!$B$5,N(Settings!$C$23),N(Calc!$AI$57)))</f>
        <v/>
      </c>
      <c r="BD11" s="31">
        <f>IF(OR(Settings!$A$23="",Settings!$F$23="Yes",OR(EOMONTH(BD$4,0)&lt;=Settings!$B$5,BD$4&gt;TODAY())),"",IF(EOMONTH(BC$4,0)&lt;=Settings!$B$5,N(Settings!$C$23),N(Calc!$AI$58)))</f>
        <v/>
      </c>
      <c r="BE11" s="31">
        <f>IF(OR(Settings!$A$23="",Settings!$F$23="Yes",OR(EOMONTH(BE$4,0)&lt;=Settings!$B$5,BE$4&gt;TODAY())),"",IF(EOMONTH(BD$4,0)&lt;=Settings!$B$5,N(Settings!$C$23),N(Calc!$AI$59)))</f>
        <v/>
      </c>
      <c r="BF11" s="31">
        <f>IF(OR(Settings!$A$23="",Settings!$F$23="Yes",OR(EOMONTH(BF$4,0)&lt;=Settings!$B$5,BF$4&gt;TODAY())),"",IF(EOMONTH(BE$4,0)&lt;=Settings!$B$5,N(Settings!$C$23),N(Calc!$AI$60)))</f>
        <v/>
      </c>
      <c r="BG11" s="31">
        <f>IF(OR(Settings!$A$23="",Settings!$F$23="Yes",OR(EOMONTH(BG$4,0)&lt;=Settings!$B$5,BG$4&gt;TODAY())),"",IF(EOMONTH(BF$4,0)&lt;=Settings!$B$5,N(Settings!$C$23),N(Calc!$AI$61)))</f>
        <v/>
      </c>
      <c r="BH11" s="31">
        <f>IF(OR(Settings!$A$23="",Settings!$F$23="Yes",OR(EOMONTH(BH$4,0)&lt;=Settings!$B$5,BH$4&gt;TODAY())),"",IF(EOMONTH(BG$4,0)&lt;=Settings!$B$5,N(Settings!$C$23),N(Calc!$AI$62)))</f>
        <v/>
      </c>
      <c r="BI11" s="31">
        <f>IF(OR(Settings!$A$23="",Settings!$F$23="Yes",OR(EOMONTH(BI$4,0)&lt;=Settings!$B$5,BI$4&gt;TODAY())),"",IF(EOMONTH(BH$4,0)&lt;=Settings!$B$5,N(Settings!$C$23),N(Calc!$AI$63)))</f>
        <v/>
      </c>
      <c r="BJ11" s="31">
        <f>IF(OR(Settings!$A$23="",Settings!$F$23="Yes",OR(EOMONTH(BJ$4,0)&lt;=Settings!$B$5,BJ$4&gt;TODAY())),"",IF(EOMONTH(BI$4,0)&lt;=Settings!$B$5,N(Settings!$C$23),N(Calc!$AI$64)))</f>
        <v/>
      </c>
      <c r="BK11" s="31">
        <f>IF(OR(Settings!$A$23="",Settings!$F$23="Yes",OR(EOMONTH(BK$4,0)&lt;=Settings!$B$5,BK$4&gt;TODAY())),"",IF(EOMONTH(BJ$4,0)&lt;=Settings!$B$5,N(Settings!$C$23),N(Calc!$AI$65)))</f>
        <v/>
      </c>
      <c r="BL11" s="31">
        <f>IF(OR(Settings!$A$23="",Settings!$F$23="Yes",OR(EOMONTH(BL$4,0)&lt;=Settings!$B$5,BL$4&gt;TODAY())),"",IF(EOMONTH(BK$4,0)&lt;=Settings!$B$5,N(Settings!$C$23),N(Calc!$AI$66)))</f>
        <v/>
      </c>
      <c r="BM11" s="31">
        <f>IF(OR(Settings!$A$23="",Settings!$F$23="Yes",OR(EOMONTH(BM$4,0)&lt;=Settings!$B$5,BM$4&gt;TODAY())),"",IF(EOMONTH(BL$4,0)&lt;=Settings!$B$5,N(Settings!$C$23),N(Calc!$AI$67)))</f>
        <v/>
      </c>
      <c r="BN11" s="31">
        <f>IF(OR(Settings!$A$23="",Settings!$F$23="Yes",OR(EOMONTH(BN$4,0)&lt;=Settings!$B$5,BN$4&gt;TODAY())),"",IF(EOMONTH(BM$4,0)&lt;=Settings!$B$5,N(Settings!$C$23),N(Calc!$AI$68)))</f>
        <v/>
      </c>
      <c r="BO11" s="31">
        <f>IF(OR(Settings!$A$23="",Settings!$F$23="Yes",OR(EOMONTH(BO$4,0)&lt;=Settings!$B$5,BO$4&gt;TODAY())),"",IF(EOMONTH(BN$4,0)&lt;=Settings!$B$5,N(Settings!$C$23),N(Calc!$AI$69)))</f>
        <v/>
      </c>
      <c r="BP11" s="31">
        <f>IF(OR(Settings!$A$23="",Settings!$F$23="Yes",OR(EOMONTH(BP$4,0)&lt;=Settings!$B$5,BP$4&gt;TODAY())),"",IF(EOMONTH(BO$4,0)&lt;=Settings!$B$5,N(Settings!$C$23),N(Calc!$AI$70)))</f>
        <v/>
      </c>
      <c r="BQ11" s="31">
        <f>IF(OR(Settings!$A$23="",Settings!$F$23="Yes",OR(EOMONTH(BQ$4,0)&lt;=Settings!$B$5,BQ$4&gt;TODAY())),"",IF(EOMONTH(BP$4,0)&lt;=Settings!$B$5,N(Settings!$C$23),N(Calc!$AI$71)))</f>
        <v/>
      </c>
      <c r="BR11" s="31">
        <f>IF(OR(Settings!$A$23="",Settings!$F$23="Yes",OR(EOMONTH(BR$4,0)&lt;=Settings!$B$5,BR$4&gt;TODAY())),"",IF(EOMONTH(BQ$4,0)&lt;=Settings!$B$5,N(Settings!$C$23),N(Calc!$AI$72)))</f>
        <v/>
      </c>
      <c r="BS11" s="31">
        <f>IF(OR(Settings!$A$23="",Settings!$F$23="Yes",OR(EOMONTH(BS$4,0)&lt;=Settings!$B$5,BS$4&gt;TODAY())),"",IF(EOMONTH(BR$4,0)&lt;=Settings!$B$5,N(Settings!$C$23),N(Calc!$AI$73)))</f>
        <v/>
      </c>
      <c r="BT11" s="31">
        <f>IF(OR(Settings!$A$23="",Settings!$F$23="Yes",OR(EOMONTH(BT$4,0)&lt;=Settings!$B$5,BT$4&gt;TODAY())),"",IF(EOMONTH(BS$4,0)&lt;=Settings!$B$5,N(Settings!$C$23),N(Calc!$AI$74)))</f>
        <v/>
      </c>
      <c r="BU11" s="31">
        <f>IF(OR(Settings!$A$23="",Settings!$F$23="Yes",OR(EOMONTH(BU$4,0)&lt;=Settings!$B$5,BU$4&gt;TODAY())),"",IF(EOMONTH(BT$4,0)&lt;=Settings!$B$5,N(Settings!$C$23),N(Calc!$AI$75)))</f>
        <v/>
      </c>
      <c r="BV11" s="31">
        <f>IF(OR(Settings!$A$23="",Settings!$F$23="Yes",OR(EOMONTH(BV$4,0)&lt;=Settings!$B$5,BV$4&gt;TODAY())),"",IF(EOMONTH(BU$4,0)&lt;=Settings!$B$5,N(Settings!$C$23),N(Calc!$AI$76)))</f>
        <v/>
      </c>
      <c r="BW11" s="31">
        <f>IF(OR(Settings!$A$23="",Settings!$F$23="Yes",OR(EOMONTH(BW$4,0)&lt;=Settings!$B$5,BW$4&gt;TODAY())),"",IF(EOMONTH(BV$4,0)&lt;=Settings!$B$5,N(Settings!$C$23),N(Calc!$AI$77)))</f>
        <v/>
      </c>
      <c r="BX11" s="31">
        <f>IF(OR(Settings!$A$23="",Settings!$F$23="Yes",OR(EOMONTH(BX$4,0)&lt;=Settings!$B$5,BX$4&gt;TODAY())),"",IF(EOMONTH(BW$4,0)&lt;=Settings!$B$5,N(Settings!$C$23),N(Calc!$AI$78)))</f>
        <v/>
      </c>
      <c r="BY11" s="31">
        <f>IF(OR(Settings!$A$23="",Settings!$F$23="Yes",OR(EOMONTH(BY$4,0)&lt;=Settings!$B$5,BY$4&gt;TODAY())),"",IF(EOMONTH(BX$4,0)&lt;=Settings!$B$5,N(Settings!$C$23),N(Calc!$AI$79)))</f>
        <v/>
      </c>
      <c r="BZ11" s="31">
        <f>IF(OR(Settings!$A$23="",Settings!$F$23="Yes",OR(EOMONTH(BZ$4,0)&lt;=Settings!$B$5,BZ$4&gt;TODAY())),"",IF(EOMONTH(BY$4,0)&lt;=Settings!$B$5,N(Settings!$C$23),N(Calc!$AI$80)))</f>
        <v/>
      </c>
      <c r="CA11" s="31">
        <f>IF(OR(Settings!$A$23="",Settings!$F$23="Yes",OR(EOMONTH(CA$4,0)&lt;=Settings!$B$5,CA$4&gt;TODAY())),"",IF(EOMONTH(BZ$4,0)&lt;=Settings!$B$5,N(Settings!$C$23),N(Calc!$AI$81)))</f>
        <v/>
      </c>
      <c r="CB11" s="31">
        <f>IF(OR(Settings!$A$23="",Settings!$F$23="Yes",OR(EOMONTH(CB$4,0)&lt;=Settings!$B$5,CB$4&gt;TODAY())),"",IF(EOMONTH(CA$4,0)&lt;=Settings!$B$5,N(Settings!$C$23),N(Calc!$AI$82)))</f>
        <v/>
      </c>
      <c r="CC11" s="31">
        <f>IF(OR(Settings!$A$23="",Settings!$F$23="Yes",OR(EOMONTH(CC$4,0)&lt;=Settings!$B$5,CC$4&gt;TODAY())),"",IF(EOMONTH(CB$4,0)&lt;=Settings!$B$5,N(Settings!$C$23),N(Calc!$AI$83)))</f>
        <v/>
      </c>
      <c r="CD11" s="31">
        <f>IF(OR(Settings!$A$23="",Settings!$F$23="Yes",OR(EOMONTH(CD$4,0)&lt;=Settings!$B$5,CD$4&gt;TODAY())),"",IF(EOMONTH(CC$4,0)&lt;=Settings!$B$5,N(Settings!$C$23),N(Calc!$AI$84)))</f>
        <v/>
      </c>
      <c r="CE11" s="31">
        <f>IF(OR(Settings!$A$23="",Settings!$F$23="Yes",OR(EOMONTH(CE$4,0)&lt;=Settings!$B$5,CE$4&gt;TODAY())),"",IF(EOMONTH(CD$4,0)&lt;=Settings!$B$5,N(Settings!$C$23),N(Calc!$AI$85)))</f>
        <v/>
      </c>
      <c r="CF11" s="31">
        <f>IF(OR(Settings!$A$23="",Settings!$F$23="Yes",OR(EOMONTH(CF$4,0)&lt;=Settings!$B$5,CF$4&gt;TODAY())),"",IF(EOMONTH(CE$4,0)&lt;=Settings!$B$5,N(Settings!$C$23),N(Calc!$AI$86)))</f>
        <v/>
      </c>
      <c r="CG11" s="31">
        <f>IF(OR(Settings!$A$23="",Settings!$F$23="Yes",OR(EOMONTH(CG$4,0)&lt;=Settings!$B$5,CG$4&gt;TODAY())),"",IF(EOMONTH(CF$4,0)&lt;=Settings!$B$5,N(Settings!$C$23),N(Calc!$AI$87)))</f>
        <v/>
      </c>
      <c r="CH11" s="31">
        <f>IF(OR(Settings!$A$23="",Settings!$F$23="Yes",OR(EOMONTH(CH$4,0)&lt;=Settings!$B$5,CH$4&gt;TODAY())),"",IF(EOMONTH(CG$4,0)&lt;=Settings!$B$5,N(Settings!$C$23),N(Calc!$AI$88)))</f>
        <v/>
      </c>
      <c r="CI11" s="31">
        <f>IF(OR(Settings!$A$23="",Settings!$F$23="Yes",OR(EOMONTH(CI$4,0)&lt;=Settings!$B$5,CI$4&gt;TODAY())),"",IF(EOMONTH(CH$4,0)&lt;=Settings!$B$5,N(Settings!$C$23),N(Calc!$AI$89)))</f>
        <v/>
      </c>
      <c r="CJ11" s="31">
        <f>IF(OR(Settings!$A$23="",Settings!$F$23="Yes",OR(EOMONTH(CJ$4,0)&lt;=Settings!$B$5,CJ$4&gt;TODAY())),"",IF(EOMONTH(CI$4,0)&lt;=Settings!$B$5,N(Settings!$C$23),N(Calc!$AI$90)))</f>
        <v/>
      </c>
      <c r="CK11" s="31">
        <f>IF(OR(Settings!$A$23="",Settings!$F$23="Yes",OR(EOMONTH(CK$4,0)&lt;=Settings!$B$5,CK$4&gt;TODAY())),"",IF(EOMONTH(CJ$4,0)&lt;=Settings!$B$5,N(Settings!$C$23),N(Calc!$AI$91)))</f>
        <v/>
      </c>
      <c r="CL11" s="31">
        <f>IF(OR(Settings!$A$23="",Settings!$F$23="Yes",OR(EOMONTH(CL$4,0)&lt;=Settings!$B$5,CL$4&gt;TODAY())),"",IF(EOMONTH(CK$4,0)&lt;=Settings!$B$5,N(Settings!$C$23),N(Calc!$AI$92)))</f>
        <v/>
      </c>
      <c r="CM11" s="31">
        <f>IF(OR(Settings!$A$23="",Settings!$F$23="Yes",OR(EOMONTH(CM$4,0)&lt;=Settings!$B$5,CM$4&gt;TODAY())),"",IF(EOMONTH(CL$4,0)&lt;=Settings!$B$5,N(Settings!$C$23),N(Calc!$AI$93)))</f>
        <v/>
      </c>
      <c r="CN11" s="31">
        <f>IF(OR(Settings!$A$23="",Settings!$F$23="Yes",OR(EOMONTH(CN$4,0)&lt;=Settings!$B$5,CN$4&gt;TODAY())),"",IF(EOMONTH(CM$4,0)&lt;=Settings!$B$5,N(Settings!$C$23),N(Calc!$AI$94)))</f>
        <v/>
      </c>
      <c r="CO11" s="31">
        <f>IF(OR(Settings!$A$23="",Settings!$F$23="Yes",OR(EOMONTH(CO$4,0)&lt;=Settings!$B$5,CO$4&gt;TODAY())),"",IF(EOMONTH(CN$4,0)&lt;=Settings!$B$5,N(Settings!$C$23),N(Calc!$AI$95)))</f>
        <v/>
      </c>
      <c r="CP11" s="31">
        <f>IF(OR(Settings!$A$23="",Settings!$F$23="Yes",OR(EOMONTH(CP$4,0)&lt;=Settings!$B$5,CP$4&gt;TODAY())),"",IF(EOMONTH(CO$4,0)&lt;=Settings!$B$5,N(Settings!$C$23),N(Calc!$AI$96)))</f>
        <v/>
      </c>
      <c r="CQ11" s="31">
        <f>IF(OR(Settings!$A$23="",Settings!$F$23="Yes",OR(EOMONTH(CQ$4,0)&lt;=Settings!$B$5,CQ$4&gt;TODAY())),"",IF(EOMONTH(CP$4,0)&lt;=Settings!$B$5,N(Settings!$C$23),N(Calc!$AI$97)))</f>
        <v/>
      </c>
      <c r="CR11" s="31">
        <f>IF(OR(Settings!$A$23="",Settings!$F$23="Yes",OR(EOMONTH(CR$4,0)&lt;=Settings!$B$5,CR$4&gt;TODAY())),"",IF(EOMONTH(CQ$4,0)&lt;=Settings!$B$5,N(Settings!$C$23),N(Calc!$AI$98)))</f>
        <v/>
      </c>
      <c r="CS11" s="31">
        <f>IF(OR(Settings!$A$23="",Settings!$F$23="Yes",OR(EOMONTH(CS$4,0)&lt;=Settings!$B$5,CS$4&gt;TODAY())),"",IF(EOMONTH(CR$4,0)&lt;=Settings!$B$5,N(Settings!$C$23),N(Calc!$AI$99)))</f>
        <v/>
      </c>
      <c r="CT11" s="31">
        <f>IF(OR(Settings!$A$23="",Settings!$F$23="Yes",OR(EOMONTH(CT$4,0)&lt;=Settings!$B$5,CT$4&gt;TODAY())),"",IF(EOMONTH(CS$4,0)&lt;=Settings!$B$5,N(Settings!$C$23),N(Calc!$AI$100)))</f>
        <v/>
      </c>
      <c r="CU11" s="31">
        <f>IF(OR(Settings!$A$23="",Settings!$F$23="Yes",OR(EOMONTH(CU$4,0)&lt;=Settings!$B$5,CU$4&gt;TODAY())),"",IF(EOMONTH(CT$4,0)&lt;=Settings!$B$5,N(Settings!$C$23),N(Calc!$AI$101)))</f>
        <v/>
      </c>
      <c r="CV11" s="31">
        <f>IF(OR(Settings!$A$23="",Settings!$F$23="Yes",OR(EOMONTH(CV$4,0)&lt;=Settings!$B$5,CV$4&gt;TODAY())),"",IF(EOMONTH(CU$4,0)&lt;=Settings!$B$5,N(Settings!$C$23),N(Calc!$AI$102)))</f>
        <v/>
      </c>
      <c r="CW11" s="31">
        <f>IF(OR(Settings!$A$23="",Settings!$F$23="Yes",OR(EOMONTH(CW$4,0)&lt;=Settings!$B$5,CW$4&gt;TODAY())),"",IF(EOMONTH(CV$4,0)&lt;=Settings!$B$5,N(Settings!$C$23),N(Calc!$AI$103)))</f>
        <v/>
      </c>
      <c r="CX11" s="31">
        <f>IF(OR(Settings!$A$23="",Settings!$F$23="Yes",OR(EOMONTH(CX$4,0)&lt;=Settings!$B$5,CX$4&gt;TODAY())),"",IF(EOMONTH(CW$4,0)&lt;=Settings!$B$5,N(Settings!$C$23),N(Calc!$AI$104)))</f>
        <v/>
      </c>
      <c r="CY11" s="31">
        <f>IF(OR(Settings!$A$23="",Settings!$F$23="Yes",OR(EOMONTH(CY$4,0)&lt;=Settings!$B$5,CY$4&gt;TODAY())),"",IF(EOMONTH(CX$4,0)&lt;=Settings!$B$5,N(Settings!$C$23),N(Calc!$AI$105)))</f>
        <v/>
      </c>
      <c r="CZ11" s="31">
        <f>IF(OR(Settings!$A$23="",Settings!$F$23="Yes",OR(EOMONTH(CZ$4,0)&lt;=Settings!$B$5,CZ$4&gt;TODAY())),"",IF(EOMONTH(CY$4,0)&lt;=Settings!$B$5,N(Settings!$C$23),N(Calc!$AI$106)))</f>
        <v/>
      </c>
      <c r="DA11" s="31">
        <f>IF(OR(Settings!$A$23="",Settings!$F$23="Yes",OR(EOMONTH(DA$4,0)&lt;=Settings!$B$5,DA$4&gt;TODAY())),"",IF(EOMONTH(CZ$4,0)&lt;=Settings!$B$5,N(Settings!$C$23),N(Calc!$AI$107)))</f>
        <v/>
      </c>
      <c r="DB11" s="31">
        <f>IF(OR(Settings!$A$23="",Settings!$F$23="Yes",OR(EOMONTH(DB$4,0)&lt;=Settings!$B$5,DB$4&gt;TODAY())),"",IF(EOMONTH(DA$4,0)&lt;=Settings!$B$5,N(Settings!$C$23),N(Calc!$AI$108)))</f>
        <v/>
      </c>
      <c r="DC11" s="31">
        <f>IF(OR(Settings!$A$23="",Settings!$F$23="Yes",OR(EOMONTH(DC$4,0)&lt;=Settings!$B$5,DC$4&gt;TODAY())),"",IF(EOMONTH(DB$4,0)&lt;=Settings!$B$5,N(Settings!$C$23),N(Calc!$AI$109)))</f>
        <v/>
      </c>
      <c r="DD11" s="31">
        <f>IF(OR(Settings!$A$23="",Settings!$F$23="Yes",OR(EOMONTH(DD$4,0)&lt;=Settings!$B$5,DD$4&gt;TODAY())),"",IF(EOMONTH(DC$4,0)&lt;=Settings!$B$5,N(Settings!$C$23),N(Calc!$AI$110)))</f>
        <v/>
      </c>
      <c r="DE11" s="31">
        <f>IF(OR(Settings!$A$23="",Settings!$F$23="Yes",OR(EOMONTH(DE$4,0)&lt;=Settings!$B$5,DE$4&gt;TODAY())),"",IF(EOMONTH(DD$4,0)&lt;=Settings!$B$5,N(Settings!$C$23),N(Calc!$AI$111)))</f>
        <v/>
      </c>
      <c r="DF11" s="31">
        <f>IF(OR(Settings!$A$23="",Settings!$F$23="Yes",OR(EOMONTH(DF$4,0)&lt;=Settings!$B$5,DF$4&gt;TODAY())),"",IF(EOMONTH(DE$4,0)&lt;=Settings!$B$5,N(Settings!$C$23),N(Calc!$AI$112)))</f>
        <v/>
      </c>
      <c r="DG11" s="31">
        <f>IF(OR(Settings!$A$23="",Settings!$F$23="Yes",OR(EOMONTH(DG$4,0)&lt;=Settings!$B$5,DG$4&gt;TODAY())),"",IF(EOMONTH(DF$4,0)&lt;=Settings!$B$5,N(Settings!$C$23),N(Calc!$AI$113)))</f>
        <v/>
      </c>
      <c r="DH11" s="31">
        <f>IF(OR(Settings!$A$23="",Settings!$F$23="Yes",OR(EOMONTH(DH$4,0)&lt;=Settings!$B$5,DH$4&gt;TODAY())),"",IF(EOMONTH(DG$4,0)&lt;=Settings!$B$5,N(Settings!$C$23),N(Calc!$AI$114)))</f>
        <v/>
      </c>
      <c r="DI11" s="31">
        <f>IF(OR(Settings!$A$23="",Settings!$F$23="Yes",OR(EOMONTH(DI$4,0)&lt;=Settings!$B$5,DI$4&gt;TODAY())),"",IF(EOMONTH(DH$4,0)&lt;=Settings!$B$5,N(Settings!$C$23),N(Calc!$AI$115)))</f>
        <v/>
      </c>
      <c r="DJ11" s="31">
        <f>IF(OR(Settings!$A$23="",Settings!$F$23="Yes",OR(EOMONTH(DJ$4,0)&lt;=Settings!$B$5,DJ$4&gt;TODAY())),"",IF(EOMONTH(DI$4,0)&lt;=Settings!$B$5,N(Settings!$C$23),N(Calc!$AI$116)))</f>
        <v/>
      </c>
      <c r="DK11" s="31">
        <f>IF(OR(Settings!$A$23="",Settings!$F$23="Yes",OR(EOMONTH(DK$4,0)&lt;=Settings!$B$5,DK$4&gt;TODAY())),"",IF(EOMONTH(DJ$4,0)&lt;=Settings!$B$5,N(Settings!$C$23),N(Calc!$AI$117)))</f>
        <v/>
      </c>
      <c r="DL11" s="31">
        <f>IF(OR(Settings!$A$23="",Settings!$F$23="Yes",OR(EOMONTH(DL$4,0)&lt;=Settings!$B$5,DL$4&gt;TODAY())),"",IF(EOMONTH(DK$4,0)&lt;=Settings!$B$5,N(Settings!$C$23),N(Calc!$AI$118)))</f>
        <v/>
      </c>
      <c r="DM11" s="31">
        <f>IF(OR(Settings!$A$23="",Settings!$F$23="Yes",OR(EOMONTH(DM$4,0)&lt;=Settings!$B$5,DM$4&gt;TODAY())),"",IF(EOMONTH(DL$4,0)&lt;=Settings!$B$5,N(Settings!$C$23),N(Calc!$AI$119)))</f>
        <v/>
      </c>
      <c r="DN11" s="31">
        <f>IF(OR(Settings!$A$23="",Settings!$F$23="Yes",OR(EOMONTH(DN$4,0)&lt;=Settings!$B$5,DN$4&gt;TODAY())),"",IF(EOMONTH(DM$4,0)&lt;=Settings!$B$5,N(Settings!$C$23),N(Calc!$AI$120)))</f>
        <v/>
      </c>
      <c r="DO11" s="31">
        <f>IF(OR(Settings!$A$23="",Settings!$F$23="Yes",OR(EOMONTH(DO$4,0)&lt;=Settings!$B$5,DO$4&gt;TODAY())),"",IF(EOMONTH(DN$4,0)&lt;=Settings!$B$5,N(Settings!$C$23),N(Calc!$AI$121)))</f>
        <v/>
      </c>
      <c r="DP11" s="31">
        <f>IF(OR(Settings!$A$23="",Settings!$F$23="Yes",OR(EOMONTH(DP$4,0)&lt;=Settings!$B$5,DP$4&gt;TODAY())),"",IF(EOMONTH(DO$4,0)&lt;=Settings!$B$5,N(Settings!$C$23),N(Calc!$AI$122)))</f>
        <v/>
      </c>
      <c r="DQ11" s="31">
        <f>IF(OR(Settings!$A$23="",Settings!$F$23="Yes",OR(EOMONTH(DQ$4,0)&lt;=Settings!$B$5,DQ$4&gt;TODAY())),"",IF(EOMONTH(DP$4,0)&lt;=Settings!$B$5,N(Settings!$C$23),N(Calc!$AI$123)))</f>
        <v/>
      </c>
      <c r="DR11" s="31">
        <f>IF(OR(Settings!$A$23="",Settings!$F$23="Yes",OR(EOMONTH(DR$4,0)&lt;=Settings!$B$5,DR$4&gt;TODAY())),"",IF(EOMONTH(DQ$4,0)&lt;=Settings!$B$5,N(Settings!$C$23),N(Calc!$AI$124)))</f>
        <v/>
      </c>
      <c r="DS11" s="31">
        <f>IF(OR(Settings!$A$23="",Settings!$F$23="Yes",OR(EOMONTH(DS$4,0)&lt;=Settings!$B$5,DS$4&gt;TODAY())),"",IF(EOMONTH(DR$4,0)&lt;=Settings!$B$5,N(Settings!$C$23),N(Calc!$AI$125)))</f>
        <v/>
      </c>
      <c r="DT11" s="31">
        <f>IF(OR(Settings!$A$23="",Settings!$F$23="Yes",OR(EOMONTH(DT$4,0)&lt;=Settings!$B$5,DT$4&gt;TODAY())),"",IF(EOMONTH(DS$4,0)&lt;=Settings!$B$5,N(Settings!$C$23),N(Calc!$AI$126)))</f>
        <v/>
      </c>
      <c r="DU11" s="31">
        <f>IF(OR(Settings!$A$23="",Settings!$F$23="Yes",OR(EOMONTH(DU$4,0)&lt;=Settings!$B$5,DU$4&gt;TODAY())),"",IF(EOMONTH(DT$4,0)&lt;=Settings!$B$5,N(Settings!$C$23),N(Calc!$AI$127)))</f>
        <v/>
      </c>
      <c r="DV11" s="31">
        <f>IF(OR(Settings!$A$23="",Settings!$F$23="Yes",OR(EOMONTH(DV$4,0)&lt;=Settings!$B$5,DV$4&gt;TODAY())),"",IF(EOMONTH(DU$4,0)&lt;=Settings!$B$5,N(Settings!$C$23),N(Calc!$AI$128)))</f>
        <v/>
      </c>
      <c r="DW11" s="31">
        <f>IF(OR(Settings!$A$23="",Settings!$F$23="Yes",OR(EOMONTH(DW$4,0)&lt;=Settings!$B$5,DW$4&gt;TODAY())),"",IF(EOMONTH(DV$4,0)&lt;=Settings!$B$5,N(Settings!$C$23),N(Calc!$AI$129)))</f>
        <v/>
      </c>
      <c r="DX11" s="31">
        <f>IF(OR(Settings!$A$23="",Settings!$F$23="Yes",OR(EOMONTH(DX$4,0)&lt;=Settings!$B$5,DX$4&gt;TODAY())),"",IF(EOMONTH(DW$4,0)&lt;=Settings!$B$5,N(Settings!$C$23),N(Calc!$AI$130)))</f>
        <v/>
      </c>
      <c r="DY11" s="31">
        <f>IF(OR(Settings!$A$23="",Settings!$F$23="Yes",OR(EOMONTH(DY$4,0)&lt;=Settings!$B$5,DY$4&gt;TODAY())),"",IF(EOMONTH(DX$4,0)&lt;=Settings!$B$5,N(Settings!$C$23),N(Calc!$AI$131)))</f>
        <v/>
      </c>
      <c r="DZ11" s="31">
        <f>IF(OR(Settings!$A$23="",Settings!$F$23="Yes",OR(EOMONTH(DZ$4,0)&lt;=Settings!$B$5,DZ$4&gt;TODAY())),"",IF(EOMONTH(DY$4,0)&lt;=Settings!$B$5,N(Settings!$C$23),N(Calc!$AI$132)))</f>
        <v/>
      </c>
      <c r="EA11" s="31">
        <f>IF(OR(Settings!$A$23="",Settings!$F$23="Yes",OR(EOMONTH(EA$4,0)&lt;=Settings!$B$5,EA$4&gt;TODAY())),"",IF(EOMONTH(DZ$4,0)&lt;=Settings!$B$5,N(Settings!$C$23),N(Calc!$AI$133)))</f>
        <v/>
      </c>
      <c r="EB11" s="31">
        <f>IF(OR(Settings!$A$23="",Settings!$F$23="Yes",OR(EOMONTH(EB$4,0)&lt;=Settings!$B$5,EB$4&gt;TODAY())),"",IF(EOMONTH(EA$4,0)&lt;=Settings!$B$5,N(Settings!$C$23),N(Calc!$AI$134)))</f>
        <v/>
      </c>
      <c r="EC11" s="31">
        <f>IF(OR(Settings!$A$23="",Settings!$F$23="Yes",OR(EOMONTH(EC$4,0)&lt;=Settings!$B$5,EC$4&gt;TODAY())),"",IF(EOMONTH(EB$4,0)&lt;=Settings!$B$5,N(Settings!$C$23),N(Calc!$AI$135)))</f>
        <v/>
      </c>
      <c r="ED11" s="31">
        <f>IF(OR(Settings!$A$23="",Settings!$F$23="Yes",OR(EOMONTH(ED$4,0)&lt;=Settings!$B$5,ED$4&gt;TODAY())),"",IF(EOMONTH(EC$4,0)&lt;=Settings!$B$5,N(Settings!$C$23),N(Calc!$AI$136)))</f>
        <v/>
      </c>
      <c r="EE11" s="31">
        <f>IF(OR(Settings!$A$23="",Settings!$F$23="Yes",OR(EOMONTH(EE$4,0)&lt;=Settings!$B$5,EE$4&gt;TODAY())),"",IF(EOMONTH(ED$4,0)&lt;=Settings!$B$5,N(Settings!$C$23),N(Calc!$AI$137)))</f>
        <v/>
      </c>
      <c r="EF11" s="31">
        <f>IF(OR(Settings!$A$23="",Settings!$F$23="Yes",OR(EOMONTH(EF$4,0)&lt;=Settings!$B$5,EF$4&gt;TODAY())),"",IF(EOMONTH(EE$4,0)&lt;=Settings!$B$5,N(Settings!$C$23),N(Calc!$AI$138)))</f>
        <v/>
      </c>
      <c r="EG11" s="31">
        <f>IF(OR(Settings!$A$23="",Settings!$F$23="Yes",OR(EOMONTH(EG$4,0)&lt;=Settings!$B$5,EG$4&gt;TODAY())),"",IF(EOMONTH(EF$4,0)&lt;=Settings!$B$5,N(Settings!$C$23),N(Calc!$AI$139)))</f>
        <v/>
      </c>
      <c r="EH11" s="31">
        <f>IF(OR(Settings!$A$23="",Settings!$F$23="Yes",OR(EOMONTH(EH$4,0)&lt;=Settings!$B$5,EH$4&gt;TODAY())),"",IF(EOMONTH(EG$4,0)&lt;=Settings!$B$5,N(Settings!$C$23),N(Calc!$AI$140)))</f>
        <v/>
      </c>
      <c r="EI11" s="31">
        <f>IF(OR(Settings!$A$23="",Settings!$F$23="Yes",OR(EOMONTH(EI$4,0)&lt;=Settings!$B$5,EI$4&gt;TODAY())),"",IF(EOMONTH(EH$4,0)&lt;=Settings!$B$5,N(Settings!$C$23),N(Calc!$AI$141)))</f>
        <v/>
      </c>
      <c r="EJ11" s="31">
        <f>IF(OR(Settings!$A$23="",Settings!$F$23="Yes",OR(EOMONTH(EJ$4,0)&lt;=Settings!$B$5,EJ$4&gt;TODAY())),"",IF(EOMONTH(EI$4,0)&lt;=Settings!$B$5,N(Settings!$C$23),N(Calc!$AI$142)))</f>
        <v/>
      </c>
      <c r="EK11" s="31">
        <f>IF(OR(Settings!$A$23="",Settings!$F$23="Yes",OR(EOMONTH(EK$4,0)&lt;=Settings!$B$5,EK$4&gt;TODAY())),"",IF(EOMONTH(EJ$4,0)&lt;=Settings!$B$5,N(Settings!$C$23),N(Calc!$AI$143)))</f>
        <v/>
      </c>
      <c r="EL11" s="31">
        <f>IF(OR(Settings!$A$23="",Settings!$F$23="Yes",OR(EOMONTH(EL$4,0)&lt;=Settings!$B$5,EL$4&gt;TODAY())),"",IF(EOMONTH(EK$4,0)&lt;=Settings!$B$5,N(Settings!$C$23),N(Calc!$AI$144)))</f>
        <v/>
      </c>
      <c r="EM11" s="31">
        <f>IF(OR(Settings!$A$23="",Settings!$F$23="Yes",OR(EOMONTH(EM$4,0)&lt;=Settings!$B$5,EM$4&gt;TODAY())),"",IF(EOMONTH(EL$4,0)&lt;=Settings!$B$5,N(Settings!$C$23),N(Calc!$AI$145)))</f>
        <v/>
      </c>
      <c r="EN11" s="31">
        <f>IF(OR(Settings!$A$23="",Settings!$F$23="Yes",OR(EOMONTH(EN$4,0)&lt;=Settings!$B$5,EN$4&gt;TODAY())),"",IF(EOMONTH(EM$4,0)&lt;=Settings!$B$5,N(Settings!$C$23),N(Calc!$AI$146)))</f>
        <v/>
      </c>
      <c r="EO11" s="31">
        <f>IF(OR(Settings!$A$23="",Settings!$F$23="Yes",OR(EOMONTH(EO$4,0)&lt;=Settings!$B$5,EO$4&gt;TODAY())),"",IF(EOMONTH(EN$4,0)&lt;=Settings!$B$5,N(Settings!$C$23),N(Calc!$AI$147)))</f>
        <v/>
      </c>
      <c r="EP11" s="31">
        <f>IF(OR(Settings!$A$23="",Settings!$F$23="Yes",OR(EOMONTH(EP$4,0)&lt;=Settings!$B$5,EP$4&gt;TODAY())),"",IF(EOMONTH(EO$4,0)&lt;=Settings!$B$5,N(Settings!$C$23),N(Calc!$AI$148)))</f>
        <v/>
      </c>
      <c r="EQ11" s="31">
        <f>IF(OR(Settings!$A$23="",Settings!$F$23="Yes",OR(EOMONTH(EQ$4,0)&lt;=Settings!$B$5,EQ$4&gt;TODAY())),"",IF(EOMONTH(EP$4,0)&lt;=Settings!$B$5,N(Settings!$C$23),N(Calc!$AI$149)))</f>
        <v/>
      </c>
      <c r="ER11" s="31">
        <f>IF(OR(Settings!$A$23="",Settings!$F$23="Yes",OR(EOMONTH(ER$4,0)&lt;=Settings!$B$5,ER$4&gt;TODAY())),"",IF(EOMONTH(EQ$4,0)&lt;=Settings!$B$5,N(Settings!$C$23),N(Calc!$AI$150)))</f>
        <v/>
      </c>
      <c r="ES11" s="31">
        <f>IF(OR(Settings!$A$23="",Settings!$F$23="Yes",OR(EOMONTH(ES$4,0)&lt;=Settings!$B$5,ES$4&gt;TODAY())),"",IF(EOMONTH(ER$4,0)&lt;=Settings!$B$5,N(Settings!$C$23),N(Calc!$AI$151)))</f>
        <v/>
      </c>
      <c r="ET11" s="31">
        <f>IF(OR(Settings!$A$23="",Settings!$F$23="Yes",OR(EOMONTH(ET$4,0)&lt;=Settings!$B$5,ET$4&gt;TODAY())),"",IF(EOMONTH(ES$4,0)&lt;=Settings!$B$5,N(Settings!$C$23),N(Calc!$AI$152)))</f>
        <v/>
      </c>
      <c r="EU11" s="31">
        <f>IF(OR(Settings!$A$23="",Settings!$F$23="Yes",OR(EOMONTH(EU$4,0)&lt;=Settings!$B$5,EU$4&gt;TODAY())),"",IF(EOMONTH(ET$4,0)&lt;=Settings!$B$5,N(Settings!$C$23),N(Calc!$AI$153)))</f>
        <v/>
      </c>
      <c r="EV11" s="31">
        <f>IF(OR(Settings!$A$23="",Settings!$F$23="Yes",OR(EOMONTH(EV$4,0)&lt;=Settings!$B$5,EV$4&gt;TODAY())),"",IF(EOMONTH(EU$4,0)&lt;=Settings!$B$5,N(Settings!$C$23),N(Calc!$AI$154)))</f>
        <v/>
      </c>
      <c r="EW11" s="31">
        <f>IF(OR(Settings!$A$23="",Settings!$F$23="Yes",OR(EOMONTH(EW$4,0)&lt;=Settings!$B$5,EW$4&gt;TODAY())),"",IF(EOMONTH(EV$4,0)&lt;=Settings!$B$5,N(Settings!$C$23),N(Calc!$AI$155)))</f>
        <v/>
      </c>
      <c r="EX11" s="31">
        <f>IF(OR(Settings!$A$23="",Settings!$F$23="Yes",OR(EOMONTH(EX$4,0)&lt;=Settings!$B$5,EX$4&gt;TODAY())),"",IF(EOMONTH(EW$4,0)&lt;=Settings!$B$5,N(Settings!$C$23),N(Calc!$AI$156)))</f>
        <v/>
      </c>
      <c r="EY11" s="31">
        <f>IF(OR(Settings!$A$23="",Settings!$F$23="Yes",OR(EOMONTH(EY$4,0)&lt;=Settings!$B$5,EY$4&gt;TODAY())),"",IF(EOMONTH(EX$4,0)&lt;=Settings!$B$5,N(Settings!$C$23),N(Calc!$AI$157)))</f>
        <v/>
      </c>
      <c r="EZ11" s="31">
        <f>IF(OR(Settings!$A$23="",Settings!$F$23="Yes",OR(EOMONTH(EZ$4,0)&lt;=Settings!$B$5,EZ$4&gt;TODAY())),"",IF(EOMONTH(EY$4,0)&lt;=Settings!$B$5,N(Settings!$C$23),N(Calc!$AI$158)))</f>
        <v/>
      </c>
      <c r="FA11" s="31">
        <f>IF(OR(Settings!$A$23="",Settings!$F$23="Yes",OR(EOMONTH(FA$4,0)&lt;=Settings!$B$5,FA$4&gt;TODAY())),"",IF(EOMONTH(EZ$4,0)&lt;=Settings!$B$5,N(Settings!$C$23),N(Calc!$AI$159)))</f>
        <v/>
      </c>
      <c r="FB11" s="31">
        <f>IF(OR(Settings!$A$23="",Settings!$F$23="Yes",OR(EOMONTH(FB$4,0)&lt;=Settings!$B$5,FB$4&gt;TODAY())),"",IF(EOMONTH(FA$4,0)&lt;=Settings!$B$5,N(Settings!$C$23),N(Calc!$AI$160)))</f>
        <v/>
      </c>
      <c r="FC11" s="31">
        <f>IF(OR(Settings!$A$23="",Settings!$F$23="Yes",OR(EOMONTH(FC$4,0)&lt;=Settings!$B$5,FC$4&gt;TODAY())),"",IF(EOMONTH(FB$4,0)&lt;=Settings!$B$5,N(Settings!$C$23),N(Calc!$AI$161)))</f>
        <v/>
      </c>
      <c r="FD11" s="31">
        <f>IF(OR(Settings!$A$23="",Settings!$F$23="Yes",OR(EOMONTH(FD$4,0)&lt;=Settings!$B$5,FD$4&gt;TODAY())),"",IF(EOMONTH(FC$4,0)&lt;=Settings!$B$5,N(Settings!$C$23),N(Calc!$AI$162)))</f>
        <v/>
      </c>
      <c r="FE11" s="31">
        <f>IF(OR(Settings!$A$23="",Settings!$F$23="Yes",OR(EOMONTH(FE$4,0)&lt;=Settings!$B$5,FE$4&gt;TODAY())),"",IF(EOMONTH(FD$4,0)&lt;=Settings!$B$5,N(Settings!$C$23),N(Calc!$AI$163)))</f>
        <v/>
      </c>
      <c r="FF11" s="31">
        <f>IF(OR(Settings!$A$23="",Settings!$F$23="Yes",OR(EOMONTH(FF$4,0)&lt;=Settings!$B$5,FF$4&gt;TODAY())),"",IF(EOMONTH(FE$4,0)&lt;=Settings!$B$5,N(Settings!$C$23),N(Calc!$AI$164)))</f>
        <v/>
      </c>
      <c r="FG11" s="31">
        <f>IF(OR(Settings!$A$23="",Settings!$F$23="Yes",OR(EOMONTH(FG$4,0)&lt;=Settings!$B$5,FG$4&gt;TODAY())),"",IF(EOMONTH(FF$4,0)&lt;=Settings!$B$5,N(Settings!$C$23),N(Calc!$AI$165)))</f>
        <v/>
      </c>
      <c r="FH11" s="31">
        <f>IF(OR(Settings!$A$23="",Settings!$F$23="Yes",OR(EOMONTH(FH$4,0)&lt;=Settings!$B$5,FH$4&gt;TODAY())),"",IF(EOMONTH(FG$4,0)&lt;=Settings!$B$5,N(Settings!$C$23),N(Calc!$AI$166)))</f>
        <v/>
      </c>
      <c r="FI11" s="31">
        <f>IF(OR(Settings!$A$23="",Settings!$F$23="Yes",OR(EOMONTH(FI$4,0)&lt;=Settings!$B$5,FI$4&gt;TODAY())),"",IF(EOMONTH(FH$4,0)&lt;=Settings!$B$5,N(Settings!$C$23),N(Calc!$AI$167)))</f>
        <v/>
      </c>
      <c r="FJ11" s="31">
        <f>IF(OR(Settings!$A$23="",Settings!$F$23="Yes",OR(EOMONTH(FJ$4,0)&lt;=Settings!$B$5,FJ$4&gt;TODAY())),"",IF(EOMONTH(FI$4,0)&lt;=Settings!$B$5,N(Settings!$C$23),N(Calc!$AI$168)))</f>
        <v/>
      </c>
      <c r="FK11" s="31">
        <f>IF(OR(Settings!$A$23="",Settings!$F$23="Yes",OR(EOMONTH(FK$4,0)&lt;=Settings!$B$5,FK$4&gt;TODAY())),"",IF(EOMONTH(FJ$4,0)&lt;=Settings!$B$5,N(Settings!$C$23),N(Calc!$AI$169)))</f>
        <v/>
      </c>
      <c r="FL11" s="31">
        <f>IF(OR(Settings!$A$23="",Settings!$F$23="Yes",OR(EOMONTH(FL$4,0)&lt;=Settings!$B$5,FL$4&gt;TODAY())),"",IF(EOMONTH(FK$4,0)&lt;=Settings!$B$5,N(Settings!$C$23),N(Calc!$AI$170)))</f>
        <v/>
      </c>
      <c r="FM11" s="31">
        <f>IF(OR(Settings!$A$23="",Settings!$F$23="Yes",OR(EOMONTH(FM$4,0)&lt;=Settings!$B$5,FM$4&gt;TODAY())),"",IF(EOMONTH(FL$4,0)&lt;=Settings!$B$5,N(Settings!$C$23),N(Calc!$AI$171)))</f>
        <v/>
      </c>
      <c r="FN11" s="31">
        <f>IF(OR(Settings!$A$23="",Settings!$F$23="Yes",OR(EOMONTH(FN$4,0)&lt;=Settings!$B$5,FN$4&gt;TODAY())),"",IF(EOMONTH(FM$4,0)&lt;=Settings!$B$5,N(Settings!$C$23),N(Calc!$AI$172)))</f>
        <v/>
      </c>
      <c r="FO11" s="31">
        <f>IF(OR(Settings!$A$23="",Settings!$F$23="Yes",OR(EOMONTH(FO$4,0)&lt;=Settings!$B$5,FO$4&gt;TODAY())),"",IF(EOMONTH(FN$4,0)&lt;=Settings!$B$5,N(Settings!$C$23),N(Calc!$AI$173)))</f>
        <v/>
      </c>
      <c r="FP11" s="31">
        <f>IF(OR(Settings!$A$23="",Settings!$F$23="Yes",OR(EOMONTH(FP$4,0)&lt;=Settings!$B$5,FP$4&gt;TODAY())),"",IF(EOMONTH(FO$4,0)&lt;=Settings!$B$5,N(Settings!$C$23),N(Calc!$AI$174)))</f>
        <v/>
      </c>
      <c r="FQ11" s="31">
        <f>IF(OR(Settings!$A$23="",Settings!$F$23="Yes",OR(EOMONTH(FQ$4,0)&lt;=Settings!$B$5,FQ$4&gt;TODAY())),"",IF(EOMONTH(FP$4,0)&lt;=Settings!$B$5,N(Settings!$C$23),N(Calc!$AI$175)))</f>
        <v/>
      </c>
      <c r="FR11" s="31">
        <f>IF(OR(Settings!$A$23="",Settings!$F$23="Yes",OR(EOMONTH(FR$4,0)&lt;=Settings!$B$5,FR$4&gt;TODAY())),"",IF(EOMONTH(FQ$4,0)&lt;=Settings!$B$5,N(Settings!$C$23),N(Calc!$AI$176)))</f>
        <v/>
      </c>
      <c r="FS11" s="31">
        <f>IF(OR(Settings!$A$23="",Settings!$F$23="Yes",OR(EOMONTH(FS$4,0)&lt;=Settings!$B$5,FS$4&gt;TODAY())),"",IF(EOMONTH(FR$4,0)&lt;=Settings!$B$5,N(Settings!$C$23),N(Calc!$AI$177)))</f>
        <v/>
      </c>
      <c r="FT11" s="31">
        <f>IF(OR(Settings!$A$23="",Settings!$F$23="Yes",OR(EOMONTH(FT$4,0)&lt;=Settings!$B$5,FT$4&gt;TODAY())),"",IF(EOMONTH(FS$4,0)&lt;=Settings!$B$5,N(Settings!$C$23),N(Calc!$AI$178)))</f>
        <v/>
      </c>
      <c r="FU11" s="31">
        <f>IF(OR(Settings!$A$23="",Settings!$F$23="Yes",OR(EOMONTH(FU$4,0)&lt;=Settings!$B$5,FU$4&gt;TODAY())),"",IF(EOMONTH(FT$4,0)&lt;=Settings!$B$5,N(Settings!$C$23),N(Calc!$AI$179)))</f>
        <v/>
      </c>
      <c r="FV11" s="31">
        <f>IF(OR(Settings!$A$23="",Settings!$F$23="Yes",OR(EOMONTH(FV$4,0)&lt;=Settings!$B$5,FV$4&gt;TODAY())),"",IF(EOMONTH(FU$4,0)&lt;=Settings!$B$5,N(Settings!$C$23),N(Calc!$AI$180)))</f>
        <v/>
      </c>
      <c r="FW11" s="31">
        <f>IF(OR(Settings!$A$23="",Settings!$F$23="Yes",OR(EOMONTH(FW$4,0)&lt;=Settings!$B$5,FW$4&gt;TODAY())),"",IF(EOMONTH(FV$4,0)&lt;=Settings!$B$5,N(Settings!$C$23),N(Calc!$AI$181)))</f>
        <v/>
      </c>
      <c r="FX11" s="31">
        <f>IF(OR(Settings!$A$23="",Settings!$F$23="Yes",OR(EOMONTH(FX$4,0)&lt;=Settings!$B$5,FX$4&gt;TODAY())),"",IF(EOMONTH(FW$4,0)&lt;=Settings!$B$5,N(Settings!$C$23),N(Calc!$AI$182)))</f>
        <v/>
      </c>
    </row>
    <row r="12">
      <c r="A12" s="15">
        <f>IF(Settings!$A$24="","(unused)",Settings!$A$24&amp;IF(Settings!$E$24="No"," (retired)",""))</f>
        <v/>
      </c>
      <c r="B12" s="26">
        <f>IF(Settings!$A$24="","",IF(Settings!$F$24="Yes","REQUIRED","optional · grey = unchanged")&amp;IF(OR(Settings!$B$24="Card",Settings!$B$24="Loan")," · amount owed",""))</f>
        <v/>
      </c>
      <c r="C12" s="31">
        <f>IF(OR(Settings!$A$24="",Settings!$F$24="Yes",OR(EOMONTH(C$4,0)&lt;=Settings!$B$5,C$4&gt;TODAY())),"",N(Settings!$C$24))</f>
        <v/>
      </c>
      <c r="D12" s="31">
        <f>IF(OR(Settings!$A$24="",Settings!$F$24="Yes",OR(EOMONTH(D$4,0)&lt;=Settings!$B$5,D$4&gt;TODAY())),"",IF(EOMONTH(C$4,0)&lt;=Settings!$B$5,N(Settings!$C$24),N(Calc!$AJ$6)))</f>
        <v/>
      </c>
      <c r="E12" s="31">
        <f>IF(OR(Settings!$A$24="",Settings!$F$24="Yes",OR(EOMONTH(E$4,0)&lt;=Settings!$B$5,E$4&gt;TODAY())),"",IF(EOMONTH(D$4,0)&lt;=Settings!$B$5,N(Settings!$C$24),N(Calc!$AJ$7)))</f>
        <v/>
      </c>
      <c r="F12" s="31">
        <f>IF(OR(Settings!$A$24="",Settings!$F$24="Yes",OR(EOMONTH(F$4,0)&lt;=Settings!$B$5,F$4&gt;TODAY())),"",IF(EOMONTH(E$4,0)&lt;=Settings!$B$5,N(Settings!$C$24),N(Calc!$AJ$8)))</f>
        <v/>
      </c>
      <c r="G12" s="31">
        <f>IF(OR(Settings!$A$24="",Settings!$F$24="Yes",OR(EOMONTH(G$4,0)&lt;=Settings!$B$5,G$4&gt;TODAY())),"",IF(EOMONTH(F$4,0)&lt;=Settings!$B$5,N(Settings!$C$24),N(Calc!$AJ$9)))</f>
        <v/>
      </c>
      <c r="H12" s="31">
        <f>IF(OR(Settings!$A$24="",Settings!$F$24="Yes",OR(EOMONTH(H$4,0)&lt;=Settings!$B$5,H$4&gt;TODAY())),"",IF(EOMONTH(G$4,0)&lt;=Settings!$B$5,N(Settings!$C$24),N(Calc!$AJ$10)))</f>
        <v/>
      </c>
      <c r="I12" s="31">
        <f>IF(OR(Settings!$A$24="",Settings!$F$24="Yes",OR(EOMONTH(I$4,0)&lt;=Settings!$B$5,I$4&gt;TODAY())),"",IF(EOMONTH(H$4,0)&lt;=Settings!$B$5,N(Settings!$C$24),N(Calc!$AJ$11)))</f>
        <v/>
      </c>
      <c r="J12" s="31">
        <f>IF(OR(Settings!$A$24="",Settings!$F$24="Yes",OR(EOMONTH(J$4,0)&lt;=Settings!$B$5,J$4&gt;TODAY())),"",IF(EOMONTH(I$4,0)&lt;=Settings!$B$5,N(Settings!$C$24),N(Calc!$AJ$12)))</f>
        <v/>
      </c>
      <c r="K12" s="31">
        <f>IF(OR(Settings!$A$24="",Settings!$F$24="Yes",OR(EOMONTH(K$4,0)&lt;=Settings!$B$5,K$4&gt;TODAY())),"",IF(EOMONTH(J$4,0)&lt;=Settings!$B$5,N(Settings!$C$24),N(Calc!$AJ$13)))</f>
        <v/>
      </c>
      <c r="L12" s="31">
        <f>IF(OR(Settings!$A$24="",Settings!$F$24="Yes",OR(EOMONTH(L$4,0)&lt;=Settings!$B$5,L$4&gt;TODAY())),"",IF(EOMONTH(K$4,0)&lt;=Settings!$B$5,N(Settings!$C$24),N(Calc!$AJ$14)))</f>
        <v/>
      </c>
      <c r="M12" s="31">
        <f>IF(OR(Settings!$A$24="",Settings!$F$24="Yes",OR(EOMONTH(M$4,0)&lt;=Settings!$B$5,M$4&gt;TODAY())),"",IF(EOMONTH(L$4,0)&lt;=Settings!$B$5,N(Settings!$C$24),N(Calc!$AJ$15)))</f>
        <v/>
      </c>
      <c r="N12" s="31">
        <f>IF(OR(Settings!$A$24="",Settings!$F$24="Yes",OR(EOMONTH(N$4,0)&lt;=Settings!$B$5,N$4&gt;TODAY())),"",IF(EOMONTH(M$4,0)&lt;=Settings!$B$5,N(Settings!$C$24),N(Calc!$AJ$16)))</f>
        <v/>
      </c>
      <c r="O12" s="31">
        <f>IF(OR(Settings!$A$24="",Settings!$F$24="Yes",OR(EOMONTH(O$4,0)&lt;=Settings!$B$5,O$4&gt;TODAY())),"",IF(EOMONTH(N$4,0)&lt;=Settings!$B$5,N(Settings!$C$24),N(Calc!$AJ$17)))</f>
        <v/>
      </c>
      <c r="P12" s="31">
        <f>IF(OR(Settings!$A$24="",Settings!$F$24="Yes",OR(EOMONTH(P$4,0)&lt;=Settings!$B$5,P$4&gt;TODAY())),"",IF(EOMONTH(O$4,0)&lt;=Settings!$B$5,N(Settings!$C$24),N(Calc!$AJ$18)))</f>
        <v/>
      </c>
      <c r="Q12" s="31">
        <f>IF(OR(Settings!$A$24="",Settings!$F$24="Yes",OR(EOMONTH(Q$4,0)&lt;=Settings!$B$5,Q$4&gt;TODAY())),"",IF(EOMONTH(P$4,0)&lt;=Settings!$B$5,N(Settings!$C$24),N(Calc!$AJ$19)))</f>
        <v/>
      </c>
      <c r="R12" s="31">
        <f>IF(OR(Settings!$A$24="",Settings!$F$24="Yes",OR(EOMONTH(R$4,0)&lt;=Settings!$B$5,R$4&gt;TODAY())),"",IF(EOMONTH(Q$4,0)&lt;=Settings!$B$5,N(Settings!$C$24),N(Calc!$AJ$20)))</f>
        <v/>
      </c>
      <c r="S12" s="31">
        <f>IF(OR(Settings!$A$24="",Settings!$F$24="Yes",OR(EOMONTH(S$4,0)&lt;=Settings!$B$5,S$4&gt;TODAY())),"",IF(EOMONTH(R$4,0)&lt;=Settings!$B$5,N(Settings!$C$24),N(Calc!$AJ$21)))</f>
        <v/>
      </c>
      <c r="T12" s="31">
        <f>IF(OR(Settings!$A$24="",Settings!$F$24="Yes",OR(EOMONTH(T$4,0)&lt;=Settings!$B$5,T$4&gt;TODAY())),"",IF(EOMONTH(S$4,0)&lt;=Settings!$B$5,N(Settings!$C$24),N(Calc!$AJ$22)))</f>
        <v/>
      </c>
      <c r="U12" s="31">
        <f>IF(OR(Settings!$A$24="",Settings!$F$24="Yes",OR(EOMONTH(U$4,0)&lt;=Settings!$B$5,U$4&gt;TODAY())),"",IF(EOMONTH(T$4,0)&lt;=Settings!$B$5,N(Settings!$C$24),N(Calc!$AJ$23)))</f>
        <v/>
      </c>
      <c r="V12" s="31">
        <f>IF(OR(Settings!$A$24="",Settings!$F$24="Yes",OR(EOMONTH(V$4,0)&lt;=Settings!$B$5,V$4&gt;TODAY())),"",IF(EOMONTH(U$4,0)&lt;=Settings!$B$5,N(Settings!$C$24),N(Calc!$AJ$24)))</f>
        <v/>
      </c>
      <c r="W12" s="31">
        <f>IF(OR(Settings!$A$24="",Settings!$F$24="Yes",OR(EOMONTH(W$4,0)&lt;=Settings!$B$5,W$4&gt;TODAY())),"",IF(EOMONTH(V$4,0)&lt;=Settings!$B$5,N(Settings!$C$24),N(Calc!$AJ$25)))</f>
        <v/>
      </c>
      <c r="X12" s="31">
        <f>IF(OR(Settings!$A$24="",Settings!$F$24="Yes",OR(EOMONTH(X$4,0)&lt;=Settings!$B$5,X$4&gt;TODAY())),"",IF(EOMONTH(W$4,0)&lt;=Settings!$B$5,N(Settings!$C$24),N(Calc!$AJ$26)))</f>
        <v/>
      </c>
      <c r="Y12" s="31">
        <f>IF(OR(Settings!$A$24="",Settings!$F$24="Yes",OR(EOMONTH(Y$4,0)&lt;=Settings!$B$5,Y$4&gt;TODAY())),"",IF(EOMONTH(X$4,0)&lt;=Settings!$B$5,N(Settings!$C$24),N(Calc!$AJ$27)))</f>
        <v/>
      </c>
      <c r="Z12" s="31">
        <f>IF(OR(Settings!$A$24="",Settings!$F$24="Yes",OR(EOMONTH(Z$4,0)&lt;=Settings!$B$5,Z$4&gt;TODAY())),"",IF(EOMONTH(Y$4,0)&lt;=Settings!$B$5,N(Settings!$C$24),N(Calc!$AJ$28)))</f>
        <v/>
      </c>
      <c r="AA12" s="31">
        <f>IF(OR(Settings!$A$24="",Settings!$F$24="Yes",OR(EOMONTH(AA$4,0)&lt;=Settings!$B$5,AA$4&gt;TODAY())),"",IF(EOMONTH(Z$4,0)&lt;=Settings!$B$5,N(Settings!$C$24),N(Calc!$AJ$29)))</f>
        <v/>
      </c>
      <c r="AB12" s="31">
        <f>IF(OR(Settings!$A$24="",Settings!$F$24="Yes",OR(EOMONTH(AB$4,0)&lt;=Settings!$B$5,AB$4&gt;TODAY())),"",IF(EOMONTH(AA$4,0)&lt;=Settings!$B$5,N(Settings!$C$24),N(Calc!$AJ$30)))</f>
        <v/>
      </c>
      <c r="AC12" s="31">
        <f>IF(OR(Settings!$A$24="",Settings!$F$24="Yes",OR(EOMONTH(AC$4,0)&lt;=Settings!$B$5,AC$4&gt;TODAY())),"",IF(EOMONTH(AB$4,0)&lt;=Settings!$B$5,N(Settings!$C$24),N(Calc!$AJ$31)))</f>
        <v/>
      </c>
      <c r="AD12" s="31">
        <f>IF(OR(Settings!$A$24="",Settings!$F$24="Yes",OR(EOMONTH(AD$4,0)&lt;=Settings!$B$5,AD$4&gt;TODAY())),"",IF(EOMONTH(AC$4,0)&lt;=Settings!$B$5,N(Settings!$C$24),N(Calc!$AJ$32)))</f>
        <v/>
      </c>
      <c r="AE12" s="31">
        <f>IF(OR(Settings!$A$24="",Settings!$F$24="Yes",OR(EOMONTH(AE$4,0)&lt;=Settings!$B$5,AE$4&gt;TODAY())),"",IF(EOMONTH(AD$4,0)&lt;=Settings!$B$5,N(Settings!$C$24),N(Calc!$AJ$33)))</f>
        <v/>
      </c>
      <c r="AF12" s="31">
        <f>IF(OR(Settings!$A$24="",Settings!$F$24="Yes",OR(EOMONTH(AF$4,0)&lt;=Settings!$B$5,AF$4&gt;TODAY())),"",IF(EOMONTH(AE$4,0)&lt;=Settings!$B$5,N(Settings!$C$24),N(Calc!$AJ$34)))</f>
        <v/>
      </c>
      <c r="AG12" s="31">
        <f>IF(OR(Settings!$A$24="",Settings!$F$24="Yes",OR(EOMONTH(AG$4,0)&lt;=Settings!$B$5,AG$4&gt;TODAY())),"",IF(EOMONTH(AF$4,0)&lt;=Settings!$B$5,N(Settings!$C$24),N(Calc!$AJ$35)))</f>
        <v/>
      </c>
      <c r="AH12" s="31">
        <f>IF(OR(Settings!$A$24="",Settings!$F$24="Yes",OR(EOMONTH(AH$4,0)&lt;=Settings!$B$5,AH$4&gt;TODAY())),"",IF(EOMONTH(AG$4,0)&lt;=Settings!$B$5,N(Settings!$C$24),N(Calc!$AJ$36)))</f>
        <v/>
      </c>
      <c r="AI12" s="31">
        <f>IF(OR(Settings!$A$24="",Settings!$F$24="Yes",OR(EOMONTH(AI$4,0)&lt;=Settings!$B$5,AI$4&gt;TODAY())),"",IF(EOMONTH(AH$4,0)&lt;=Settings!$B$5,N(Settings!$C$24),N(Calc!$AJ$37)))</f>
        <v/>
      </c>
      <c r="AJ12" s="31">
        <f>IF(OR(Settings!$A$24="",Settings!$F$24="Yes",OR(EOMONTH(AJ$4,0)&lt;=Settings!$B$5,AJ$4&gt;TODAY())),"",IF(EOMONTH(AI$4,0)&lt;=Settings!$B$5,N(Settings!$C$24),N(Calc!$AJ$38)))</f>
        <v/>
      </c>
      <c r="AK12" s="31">
        <f>IF(OR(Settings!$A$24="",Settings!$F$24="Yes",OR(EOMONTH(AK$4,0)&lt;=Settings!$B$5,AK$4&gt;TODAY())),"",IF(EOMONTH(AJ$4,0)&lt;=Settings!$B$5,N(Settings!$C$24),N(Calc!$AJ$39)))</f>
        <v/>
      </c>
      <c r="AL12" s="31">
        <f>IF(OR(Settings!$A$24="",Settings!$F$24="Yes",OR(EOMONTH(AL$4,0)&lt;=Settings!$B$5,AL$4&gt;TODAY())),"",IF(EOMONTH(AK$4,0)&lt;=Settings!$B$5,N(Settings!$C$24),N(Calc!$AJ$40)))</f>
        <v/>
      </c>
      <c r="AM12" s="31">
        <f>IF(OR(Settings!$A$24="",Settings!$F$24="Yes",OR(EOMONTH(AM$4,0)&lt;=Settings!$B$5,AM$4&gt;TODAY())),"",IF(EOMONTH(AL$4,0)&lt;=Settings!$B$5,N(Settings!$C$24),N(Calc!$AJ$41)))</f>
        <v/>
      </c>
      <c r="AN12" s="31">
        <f>IF(OR(Settings!$A$24="",Settings!$F$24="Yes",OR(EOMONTH(AN$4,0)&lt;=Settings!$B$5,AN$4&gt;TODAY())),"",IF(EOMONTH(AM$4,0)&lt;=Settings!$B$5,N(Settings!$C$24),N(Calc!$AJ$42)))</f>
        <v/>
      </c>
      <c r="AO12" s="31">
        <f>IF(OR(Settings!$A$24="",Settings!$F$24="Yes",OR(EOMONTH(AO$4,0)&lt;=Settings!$B$5,AO$4&gt;TODAY())),"",IF(EOMONTH(AN$4,0)&lt;=Settings!$B$5,N(Settings!$C$24),N(Calc!$AJ$43)))</f>
        <v/>
      </c>
      <c r="AP12" s="31">
        <f>IF(OR(Settings!$A$24="",Settings!$F$24="Yes",OR(EOMONTH(AP$4,0)&lt;=Settings!$B$5,AP$4&gt;TODAY())),"",IF(EOMONTH(AO$4,0)&lt;=Settings!$B$5,N(Settings!$C$24),N(Calc!$AJ$44)))</f>
        <v/>
      </c>
      <c r="AQ12" s="31">
        <f>IF(OR(Settings!$A$24="",Settings!$F$24="Yes",OR(EOMONTH(AQ$4,0)&lt;=Settings!$B$5,AQ$4&gt;TODAY())),"",IF(EOMONTH(AP$4,0)&lt;=Settings!$B$5,N(Settings!$C$24),N(Calc!$AJ$45)))</f>
        <v/>
      </c>
      <c r="AR12" s="31">
        <f>IF(OR(Settings!$A$24="",Settings!$F$24="Yes",OR(EOMONTH(AR$4,0)&lt;=Settings!$B$5,AR$4&gt;TODAY())),"",IF(EOMONTH(AQ$4,0)&lt;=Settings!$B$5,N(Settings!$C$24),N(Calc!$AJ$46)))</f>
        <v/>
      </c>
      <c r="AS12" s="31">
        <f>IF(OR(Settings!$A$24="",Settings!$F$24="Yes",OR(EOMONTH(AS$4,0)&lt;=Settings!$B$5,AS$4&gt;TODAY())),"",IF(EOMONTH(AR$4,0)&lt;=Settings!$B$5,N(Settings!$C$24),N(Calc!$AJ$47)))</f>
        <v/>
      </c>
      <c r="AT12" s="31">
        <f>IF(OR(Settings!$A$24="",Settings!$F$24="Yes",OR(EOMONTH(AT$4,0)&lt;=Settings!$B$5,AT$4&gt;TODAY())),"",IF(EOMONTH(AS$4,0)&lt;=Settings!$B$5,N(Settings!$C$24),N(Calc!$AJ$48)))</f>
        <v/>
      </c>
      <c r="AU12" s="31">
        <f>IF(OR(Settings!$A$24="",Settings!$F$24="Yes",OR(EOMONTH(AU$4,0)&lt;=Settings!$B$5,AU$4&gt;TODAY())),"",IF(EOMONTH(AT$4,0)&lt;=Settings!$B$5,N(Settings!$C$24),N(Calc!$AJ$49)))</f>
        <v/>
      </c>
      <c r="AV12" s="31">
        <f>IF(OR(Settings!$A$24="",Settings!$F$24="Yes",OR(EOMONTH(AV$4,0)&lt;=Settings!$B$5,AV$4&gt;TODAY())),"",IF(EOMONTH(AU$4,0)&lt;=Settings!$B$5,N(Settings!$C$24),N(Calc!$AJ$50)))</f>
        <v/>
      </c>
      <c r="AW12" s="31">
        <f>IF(OR(Settings!$A$24="",Settings!$F$24="Yes",OR(EOMONTH(AW$4,0)&lt;=Settings!$B$5,AW$4&gt;TODAY())),"",IF(EOMONTH(AV$4,0)&lt;=Settings!$B$5,N(Settings!$C$24),N(Calc!$AJ$51)))</f>
        <v/>
      </c>
      <c r="AX12" s="31">
        <f>IF(OR(Settings!$A$24="",Settings!$F$24="Yes",OR(EOMONTH(AX$4,0)&lt;=Settings!$B$5,AX$4&gt;TODAY())),"",IF(EOMONTH(AW$4,0)&lt;=Settings!$B$5,N(Settings!$C$24),N(Calc!$AJ$52)))</f>
        <v/>
      </c>
      <c r="AY12" s="31">
        <f>IF(OR(Settings!$A$24="",Settings!$F$24="Yes",OR(EOMONTH(AY$4,0)&lt;=Settings!$B$5,AY$4&gt;TODAY())),"",IF(EOMONTH(AX$4,0)&lt;=Settings!$B$5,N(Settings!$C$24),N(Calc!$AJ$53)))</f>
        <v/>
      </c>
      <c r="AZ12" s="31">
        <f>IF(OR(Settings!$A$24="",Settings!$F$24="Yes",OR(EOMONTH(AZ$4,0)&lt;=Settings!$B$5,AZ$4&gt;TODAY())),"",IF(EOMONTH(AY$4,0)&lt;=Settings!$B$5,N(Settings!$C$24),N(Calc!$AJ$54)))</f>
        <v/>
      </c>
      <c r="BA12" s="31">
        <f>IF(OR(Settings!$A$24="",Settings!$F$24="Yes",OR(EOMONTH(BA$4,0)&lt;=Settings!$B$5,BA$4&gt;TODAY())),"",IF(EOMONTH(AZ$4,0)&lt;=Settings!$B$5,N(Settings!$C$24),N(Calc!$AJ$55)))</f>
        <v/>
      </c>
      <c r="BB12" s="31">
        <f>IF(OR(Settings!$A$24="",Settings!$F$24="Yes",OR(EOMONTH(BB$4,0)&lt;=Settings!$B$5,BB$4&gt;TODAY())),"",IF(EOMONTH(BA$4,0)&lt;=Settings!$B$5,N(Settings!$C$24),N(Calc!$AJ$56)))</f>
        <v/>
      </c>
      <c r="BC12" s="31">
        <f>IF(OR(Settings!$A$24="",Settings!$F$24="Yes",OR(EOMONTH(BC$4,0)&lt;=Settings!$B$5,BC$4&gt;TODAY())),"",IF(EOMONTH(BB$4,0)&lt;=Settings!$B$5,N(Settings!$C$24),N(Calc!$AJ$57)))</f>
        <v/>
      </c>
      <c r="BD12" s="31">
        <f>IF(OR(Settings!$A$24="",Settings!$F$24="Yes",OR(EOMONTH(BD$4,0)&lt;=Settings!$B$5,BD$4&gt;TODAY())),"",IF(EOMONTH(BC$4,0)&lt;=Settings!$B$5,N(Settings!$C$24),N(Calc!$AJ$58)))</f>
        <v/>
      </c>
      <c r="BE12" s="31">
        <f>IF(OR(Settings!$A$24="",Settings!$F$24="Yes",OR(EOMONTH(BE$4,0)&lt;=Settings!$B$5,BE$4&gt;TODAY())),"",IF(EOMONTH(BD$4,0)&lt;=Settings!$B$5,N(Settings!$C$24),N(Calc!$AJ$59)))</f>
        <v/>
      </c>
      <c r="BF12" s="31">
        <f>IF(OR(Settings!$A$24="",Settings!$F$24="Yes",OR(EOMONTH(BF$4,0)&lt;=Settings!$B$5,BF$4&gt;TODAY())),"",IF(EOMONTH(BE$4,0)&lt;=Settings!$B$5,N(Settings!$C$24),N(Calc!$AJ$60)))</f>
        <v/>
      </c>
      <c r="BG12" s="31">
        <f>IF(OR(Settings!$A$24="",Settings!$F$24="Yes",OR(EOMONTH(BG$4,0)&lt;=Settings!$B$5,BG$4&gt;TODAY())),"",IF(EOMONTH(BF$4,0)&lt;=Settings!$B$5,N(Settings!$C$24),N(Calc!$AJ$61)))</f>
        <v/>
      </c>
      <c r="BH12" s="31">
        <f>IF(OR(Settings!$A$24="",Settings!$F$24="Yes",OR(EOMONTH(BH$4,0)&lt;=Settings!$B$5,BH$4&gt;TODAY())),"",IF(EOMONTH(BG$4,0)&lt;=Settings!$B$5,N(Settings!$C$24),N(Calc!$AJ$62)))</f>
        <v/>
      </c>
      <c r="BI12" s="31">
        <f>IF(OR(Settings!$A$24="",Settings!$F$24="Yes",OR(EOMONTH(BI$4,0)&lt;=Settings!$B$5,BI$4&gt;TODAY())),"",IF(EOMONTH(BH$4,0)&lt;=Settings!$B$5,N(Settings!$C$24),N(Calc!$AJ$63)))</f>
        <v/>
      </c>
      <c r="BJ12" s="31">
        <f>IF(OR(Settings!$A$24="",Settings!$F$24="Yes",OR(EOMONTH(BJ$4,0)&lt;=Settings!$B$5,BJ$4&gt;TODAY())),"",IF(EOMONTH(BI$4,0)&lt;=Settings!$B$5,N(Settings!$C$24),N(Calc!$AJ$64)))</f>
        <v/>
      </c>
      <c r="BK12" s="31">
        <f>IF(OR(Settings!$A$24="",Settings!$F$24="Yes",OR(EOMONTH(BK$4,0)&lt;=Settings!$B$5,BK$4&gt;TODAY())),"",IF(EOMONTH(BJ$4,0)&lt;=Settings!$B$5,N(Settings!$C$24),N(Calc!$AJ$65)))</f>
        <v/>
      </c>
      <c r="BL12" s="31">
        <f>IF(OR(Settings!$A$24="",Settings!$F$24="Yes",OR(EOMONTH(BL$4,0)&lt;=Settings!$B$5,BL$4&gt;TODAY())),"",IF(EOMONTH(BK$4,0)&lt;=Settings!$B$5,N(Settings!$C$24),N(Calc!$AJ$66)))</f>
        <v/>
      </c>
      <c r="BM12" s="31">
        <f>IF(OR(Settings!$A$24="",Settings!$F$24="Yes",OR(EOMONTH(BM$4,0)&lt;=Settings!$B$5,BM$4&gt;TODAY())),"",IF(EOMONTH(BL$4,0)&lt;=Settings!$B$5,N(Settings!$C$24),N(Calc!$AJ$67)))</f>
        <v/>
      </c>
      <c r="BN12" s="31">
        <f>IF(OR(Settings!$A$24="",Settings!$F$24="Yes",OR(EOMONTH(BN$4,0)&lt;=Settings!$B$5,BN$4&gt;TODAY())),"",IF(EOMONTH(BM$4,0)&lt;=Settings!$B$5,N(Settings!$C$24),N(Calc!$AJ$68)))</f>
        <v/>
      </c>
      <c r="BO12" s="31">
        <f>IF(OR(Settings!$A$24="",Settings!$F$24="Yes",OR(EOMONTH(BO$4,0)&lt;=Settings!$B$5,BO$4&gt;TODAY())),"",IF(EOMONTH(BN$4,0)&lt;=Settings!$B$5,N(Settings!$C$24),N(Calc!$AJ$69)))</f>
        <v/>
      </c>
      <c r="BP12" s="31">
        <f>IF(OR(Settings!$A$24="",Settings!$F$24="Yes",OR(EOMONTH(BP$4,0)&lt;=Settings!$B$5,BP$4&gt;TODAY())),"",IF(EOMONTH(BO$4,0)&lt;=Settings!$B$5,N(Settings!$C$24),N(Calc!$AJ$70)))</f>
        <v/>
      </c>
      <c r="BQ12" s="31">
        <f>IF(OR(Settings!$A$24="",Settings!$F$24="Yes",OR(EOMONTH(BQ$4,0)&lt;=Settings!$B$5,BQ$4&gt;TODAY())),"",IF(EOMONTH(BP$4,0)&lt;=Settings!$B$5,N(Settings!$C$24),N(Calc!$AJ$71)))</f>
        <v/>
      </c>
      <c r="BR12" s="31">
        <f>IF(OR(Settings!$A$24="",Settings!$F$24="Yes",OR(EOMONTH(BR$4,0)&lt;=Settings!$B$5,BR$4&gt;TODAY())),"",IF(EOMONTH(BQ$4,0)&lt;=Settings!$B$5,N(Settings!$C$24),N(Calc!$AJ$72)))</f>
        <v/>
      </c>
      <c r="BS12" s="31">
        <f>IF(OR(Settings!$A$24="",Settings!$F$24="Yes",OR(EOMONTH(BS$4,0)&lt;=Settings!$B$5,BS$4&gt;TODAY())),"",IF(EOMONTH(BR$4,0)&lt;=Settings!$B$5,N(Settings!$C$24),N(Calc!$AJ$73)))</f>
        <v/>
      </c>
      <c r="BT12" s="31">
        <f>IF(OR(Settings!$A$24="",Settings!$F$24="Yes",OR(EOMONTH(BT$4,0)&lt;=Settings!$B$5,BT$4&gt;TODAY())),"",IF(EOMONTH(BS$4,0)&lt;=Settings!$B$5,N(Settings!$C$24),N(Calc!$AJ$74)))</f>
        <v/>
      </c>
      <c r="BU12" s="31">
        <f>IF(OR(Settings!$A$24="",Settings!$F$24="Yes",OR(EOMONTH(BU$4,0)&lt;=Settings!$B$5,BU$4&gt;TODAY())),"",IF(EOMONTH(BT$4,0)&lt;=Settings!$B$5,N(Settings!$C$24),N(Calc!$AJ$75)))</f>
        <v/>
      </c>
      <c r="BV12" s="31">
        <f>IF(OR(Settings!$A$24="",Settings!$F$24="Yes",OR(EOMONTH(BV$4,0)&lt;=Settings!$B$5,BV$4&gt;TODAY())),"",IF(EOMONTH(BU$4,0)&lt;=Settings!$B$5,N(Settings!$C$24),N(Calc!$AJ$76)))</f>
        <v/>
      </c>
      <c r="BW12" s="31">
        <f>IF(OR(Settings!$A$24="",Settings!$F$24="Yes",OR(EOMONTH(BW$4,0)&lt;=Settings!$B$5,BW$4&gt;TODAY())),"",IF(EOMONTH(BV$4,0)&lt;=Settings!$B$5,N(Settings!$C$24),N(Calc!$AJ$77)))</f>
        <v/>
      </c>
      <c r="BX12" s="31">
        <f>IF(OR(Settings!$A$24="",Settings!$F$24="Yes",OR(EOMONTH(BX$4,0)&lt;=Settings!$B$5,BX$4&gt;TODAY())),"",IF(EOMONTH(BW$4,0)&lt;=Settings!$B$5,N(Settings!$C$24),N(Calc!$AJ$78)))</f>
        <v/>
      </c>
      <c r="BY12" s="31">
        <f>IF(OR(Settings!$A$24="",Settings!$F$24="Yes",OR(EOMONTH(BY$4,0)&lt;=Settings!$B$5,BY$4&gt;TODAY())),"",IF(EOMONTH(BX$4,0)&lt;=Settings!$B$5,N(Settings!$C$24),N(Calc!$AJ$79)))</f>
        <v/>
      </c>
      <c r="BZ12" s="31">
        <f>IF(OR(Settings!$A$24="",Settings!$F$24="Yes",OR(EOMONTH(BZ$4,0)&lt;=Settings!$B$5,BZ$4&gt;TODAY())),"",IF(EOMONTH(BY$4,0)&lt;=Settings!$B$5,N(Settings!$C$24),N(Calc!$AJ$80)))</f>
        <v/>
      </c>
      <c r="CA12" s="31">
        <f>IF(OR(Settings!$A$24="",Settings!$F$24="Yes",OR(EOMONTH(CA$4,0)&lt;=Settings!$B$5,CA$4&gt;TODAY())),"",IF(EOMONTH(BZ$4,0)&lt;=Settings!$B$5,N(Settings!$C$24),N(Calc!$AJ$81)))</f>
        <v/>
      </c>
      <c r="CB12" s="31">
        <f>IF(OR(Settings!$A$24="",Settings!$F$24="Yes",OR(EOMONTH(CB$4,0)&lt;=Settings!$B$5,CB$4&gt;TODAY())),"",IF(EOMONTH(CA$4,0)&lt;=Settings!$B$5,N(Settings!$C$24),N(Calc!$AJ$82)))</f>
        <v/>
      </c>
      <c r="CC12" s="31">
        <f>IF(OR(Settings!$A$24="",Settings!$F$24="Yes",OR(EOMONTH(CC$4,0)&lt;=Settings!$B$5,CC$4&gt;TODAY())),"",IF(EOMONTH(CB$4,0)&lt;=Settings!$B$5,N(Settings!$C$24),N(Calc!$AJ$83)))</f>
        <v/>
      </c>
      <c r="CD12" s="31">
        <f>IF(OR(Settings!$A$24="",Settings!$F$24="Yes",OR(EOMONTH(CD$4,0)&lt;=Settings!$B$5,CD$4&gt;TODAY())),"",IF(EOMONTH(CC$4,0)&lt;=Settings!$B$5,N(Settings!$C$24),N(Calc!$AJ$84)))</f>
        <v/>
      </c>
      <c r="CE12" s="31">
        <f>IF(OR(Settings!$A$24="",Settings!$F$24="Yes",OR(EOMONTH(CE$4,0)&lt;=Settings!$B$5,CE$4&gt;TODAY())),"",IF(EOMONTH(CD$4,0)&lt;=Settings!$B$5,N(Settings!$C$24),N(Calc!$AJ$85)))</f>
        <v/>
      </c>
      <c r="CF12" s="31">
        <f>IF(OR(Settings!$A$24="",Settings!$F$24="Yes",OR(EOMONTH(CF$4,0)&lt;=Settings!$B$5,CF$4&gt;TODAY())),"",IF(EOMONTH(CE$4,0)&lt;=Settings!$B$5,N(Settings!$C$24),N(Calc!$AJ$86)))</f>
        <v/>
      </c>
      <c r="CG12" s="31">
        <f>IF(OR(Settings!$A$24="",Settings!$F$24="Yes",OR(EOMONTH(CG$4,0)&lt;=Settings!$B$5,CG$4&gt;TODAY())),"",IF(EOMONTH(CF$4,0)&lt;=Settings!$B$5,N(Settings!$C$24),N(Calc!$AJ$87)))</f>
        <v/>
      </c>
      <c r="CH12" s="31">
        <f>IF(OR(Settings!$A$24="",Settings!$F$24="Yes",OR(EOMONTH(CH$4,0)&lt;=Settings!$B$5,CH$4&gt;TODAY())),"",IF(EOMONTH(CG$4,0)&lt;=Settings!$B$5,N(Settings!$C$24),N(Calc!$AJ$88)))</f>
        <v/>
      </c>
      <c r="CI12" s="31">
        <f>IF(OR(Settings!$A$24="",Settings!$F$24="Yes",OR(EOMONTH(CI$4,0)&lt;=Settings!$B$5,CI$4&gt;TODAY())),"",IF(EOMONTH(CH$4,0)&lt;=Settings!$B$5,N(Settings!$C$24),N(Calc!$AJ$89)))</f>
        <v/>
      </c>
      <c r="CJ12" s="31">
        <f>IF(OR(Settings!$A$24="",Settings!$F$24="Yes",OR(EOMONTH(CJ$4,0)&lt;=Settings!$B$5,CJ$4&gt;TODAY())),"",IF(EOMONTH(CI$4,0)&lt;=Settings!$B$5,N(Settings!$C$24),N(Calc!$AJ$90)))</f>
        <v/>
      </c>
      <c r="CK12" s="31">
        <f>IF(OR(Settings!$A$24="",Settings!$F$24="Yes",OR(EOMONTH(CK$4,0)&lt;=Settings!$B$5,CK$4&gt;TODAY())),"",IF(EOMONTH(CJ$4,0)&lt;=Settings!$B$5,N(Settings!$C$24),N(Calc!$AJ$91)))</f>
        <v/>
      </c>
      <c r="CL12" s="31">
        <f>IF(OR(Settings!$A$24="",Settings!$F$24="Yes",OR(EOMONTH(CL$4,0)&lt;=Settings!$B$5,CL$4&gt;TODAY())),"",IF(EOMONTH(CK$4,0)&lt;=Settings!$B$5,N(Settings!$C$24),N(Calc!$AJ$92)))</f>
        <v/>
      </c>
      <c r="CM12" s="31">
        <f>IF(OR(Settings!$A$24="",Settings!$F$24="Yes",OR(EOMONTH(CM$4,0)&lt;=Settings!$B$5,CM$4&gt;TODAY())),"",IF(EOMONTH(CL$4,0)&lt;=Settings!$B$5,N(Settings!$C$24),N(Calc!$AJ$93)))</f>
        <v/>
      </c>
      <c r="CN12" s="31">
        <f>IF(OR(Settings!$A$24="",Settings!$F$24="Yes",OR(EOMONTH(CN$4,0)&lt;=Settings!$B$5,CN$4&gt;TODAY())),"",IF(EOMONTH(CM$4,0)&lt;=Settings!$B$5,N(Settings!$C$24),N(Calc!$AJ$94)))</f>
        <v/>
      </c>
      <c r="CO12" s="31">
        <f>IF(OR(Settings!$A$24="",Settings!$F$24="Yes",OR(EOMONTH(CO$4,0)&lt;=Settings!$B$5,CO$4&gt;TODAY())),"",IF(EOMONTH(CN$4,0)&lt;=Settings!$B$5,N(Settings!$C$24),N(Calc!$AJ$95)))</f>
        <v/>
      </c>
      <c r="CP12" s="31">
        <f>IF(OR(Settings!$A$24="",Settings!$F$24="Yes",OR(EOMONTH(CP$4,0)&lt;=Settings!$B$5,CP$4&gt;TODAY())),"",IF(EOMONTH(CO$4,0)&lt;=Settings!$B$5,N(Settings!$C$24),N(Calc!$AJ$96)))</f>
        <v/>
      </c>
      <c r="CQ12" s="31">
        <f>IF(OR(Settings!$A$24="",Settings!$F$24="Yes",OR(EOMONTH(CQ$4,0)&lt;=Settings!$B$5,CQ$4&gt;TODAY())),"",IF(EOMONTH(CP$4,0)&lt;=Settings!$B$5,N(Settings!$C$24),N(Calc!$AJ$97)))</f>
        <v/>
      </c>
      <c r="CR12" s="31">
        <f>IF(OR(Settings!$A$24="",Settings!$F$24="Yes",OR(EOMONTH(CR$4,0)&lt;=Settings!$B$5,CR$4&gt;TODAY())),"",IF(EOMONTH(CQ$4,0)&lt;=Settings!$B$5,N(Settings!$C$24),N(Calc!$AJ$98)))</f>
        <v/>
      </c>
      <c r="CS12" s="31">
        <f>IF(OR(Settings!$A$24="",Settings!$F$24="Yes",OR(EOMONTH(CS$4,0)&lt;=Settings!$B$5,CS$4&gt;TODAY())),"",IF(EOMONTH(CR$4,0)&lt;=Settings!$B$5,N(Settings!$C$24),N(Calc!$AJ$99)))</f>
        <v/>
      </c>
      <c r="CT12" s="31">
        <f>IF(OR(Settings!$A$24="",Settings!$F$24="Yes",OR(EOMONTH(CT$4,0)&lt;=Settings!$B$5,CT$4&gt;TODAY())),"",IF(EOMONTH(CS$4,0)&lt;=Settings!$B$5,N(Settings!$C$24),N(Calc!$AJ$100)))</f>
        <v/>
      </c>
      <c r="CU12" s="31">
        <f>IF(OR(Settings!$A$24="",Settings!$F$24="Yes",OR(EOMONTH(CU$4,0)&lt;=Settings!$B$5,CU$4&gt;TODAY())),"",IF(EOMONTH(CT$4,0)&lt;=Settings!$B$5,N(Settings!$C$24),N(Calc!$AJ$101)))</f>
        <v/>
      </c>
      <c r="CV12" s="31">
        <f>IF(OR(Settings!$A$24="",Settings!$F$24="Yes",OR(EOMONTH(CV$4,0)&lt;=Settings!$B$5,CV$4&gt;TODAY())),"",IF(EOMONTH(CU$4,0)&lt;=Settings!$B$5,N(Settings!$C$24),N(Calc!$AJ$102)))</f>
        <v/>
      </c>
      <c r="CW12" s="31">
        <f>IF(OR(Settings!$A$24="",Settings!$F$24="Yes",OR(EOMONTH(CW$4,0)&lt;=Settings!$B$5,CW$4&gt;TODAY())),"",IF(EOMONTH(CV$4,0)&lt;=Settings!$B$5,N(Settings!$C$24),N(Calc!$AJ$103)))</f>
        <v/>
      </c>
      <c r="CX12" s="31">
        <f>IF(OR(Settings!$A$24="",Settings!$F$24="Yes",OR(EOMONTH(CX$4,0)&lt;=Settings!$B$5,CX$4&gt;TODAY())),"",IF(EOMONTH(CW$4,0)&lt;=Settings!$B$5,N(Settings!$C$24),N(Calc!$AJ$104)))</f>
        <v/>
      </c>
      <c r="CY12" s="31">
        <f>IF(OR(Settings!$A$24="",Settings!$F$24="Yes",OR(EOMONTH(CY$4,0)&lt;=Settings!$B$5,CY$4&gt;TODAY())),"",IF(EOMONTH(CX$4,0)&lt;=Settings!$B$5,N(Settings!$C$24),N(Calc!$AJ$105)))</f>
        <v/>
      </c>
      <c r="CZ12" s="31">
        <f>IF(OR(Settings!$A$24="",Settings!$F$24="Yes",OR(EOMONTH(CZ$4,0)&lt;=Settings!$B$5,CZ$4&gt;TODAY())),"",IF(EOMONTH(CY$4,0)&lt;=Settings!$B$5,N(Settings!$C$24),N(Calc!$AJ$106)))</f>
        <v/>
      </c>
      <c r="DA12" s="31">
        <f>IF(OR(Settings!$A$24="",Settings!$F$24="Yes",OR(EOMONTH(DA$4,0)&lt;=Settings!$B$5,DA$4&gt;TODAY())),"",IF(EOMONTH(CZ$4,0)&lt;=Settings!$B$5,N(Settings!$C$24),N(Calc!$AJ$107)))</f>
        <v/>
      </c>
      <c r="DB12" s="31">
        <f>IF(OR(Settings!$A$24="",Settings!$F$24="Yes",OR(EOMONTH(DB$4,0)&lt;=Settings!$B$5,DB$4&gt;TODAY())),"",IF(EOMONTH(DA$4,0)&lt;=Settings!$B$5,N(Settings!$C$24),N(Calc!$AJ$108)))</f>
        <v/>
      </c>
      <c r="DC12" s="31">
        <f>IF(OR(Settings!$A$24="",Settings!$F$24="Yes",OR(EOMONTH(DC$4,0)&lt;=Settings!$B$5,DC$4&gt;TODAY())),"",IF(EOMONTH(DB$4,0)&lt;=Settings!$B$5,N(Settings!$C$24),N(Calc!$AJ$109)))</f>
        <v/>
      </c>
      <c r="DD12" s="31">
        <f>IF(OR(Settings!$A$24="",Settings!$F$24="Yes",OR(EOMONTH(DD$4,0)&lt;=Settings!$B$5,DD$4&gt;TODAY())),"",IF(EOMONTH(DC$4,0)&lt;=Settings!$B$5,N(Settings!$C$24),N(Calc!$AJ$110)))</f>
        <v/>
      </c>
      <c r="DE12" s="31">
        <f>IF(OR(Settings!$A$24="",Settings!$F$24="Yes",OR(EOMONTH(DE$4,0)&lt;=Settings!$B$5,DE$4&gt;TODAY())),"",IF(EOMONTH(DD$4,0)&lt;=Settings!$B$5,N(Settings!$C$24),N(Calc!$AJ$111)))</f>
        <v/>
      </c>
      <c r="DF12" s="31">
        <f>IF(OR(Settings!$A$24="",Settings!$F$24="Yes",OR(EOMONTH(DF$4,0)&lt;=Settings!$B$5,DF$4&gt;TODAY())),"",IF(EOMONTH(DE$4,0)&lt;=Settings!$B$5,N(Settings!$C$24),N(Calc!$AJ$112)))</f>
        <v/>
      </c>
      <c r="DG12" s="31">
        <f>IF(OR(Settings!$A$24="",Settings!$F$24="Yes",OR(EOMONTH(DG$4,0)&lt;=Settings!$B$5,DG$4&gt;TODAY())),"",IF(EOMONTH(DF$4,0)&lt;=Settings!$B$5,N(Settings!$C$24),N(Calc!$AJ$113)))</f>
        <v/>
      </c>
      <c r="DH12" s="31">
        <f>IF(OR(Settings!$A$24="",Settings!$F$24="Yes",OR(EOMONTH(DH$4,0)&lt;=Settings!$B$5,DH$4&gt;TODAY())),"",IF(EOMONTH(DG$4,0)&lt;=Settings!$B$5,N(Settings!$C$24),N(Calc!$AJ$114)))</f>
        <v/>
      </c>
      <c r="DI12" s="31">
        <f>IF(OR(Settings!$A$24="",Settings!$F$24="Yes",OR(EOMONTH(DI$4,0)&lt;=Settings!$B$5,DI$4&gt;TODAY())),"",IF(EOMONTH(DH$4,0)&lt;=Settings!$B$5,N(Settings!$C$24),N(Calc!$AJ$115)))</f>
        <v/>
      </c>
      <c r="DJ12" s="31">
        <f>IF(OR(Settings!$A$24="",Settings!$F$24="Yes",OR(EOMONTH(DJ$4,0)&lt;=Settings!$B$5,DJ$4&gt;TODAY())),"",IF(EOMONTH(DI$4,0)&lt;=Settings!$B$5,N(Settings!$C$24),N(Calc!$AJ$116)))</f>
        <v/>
      </c>
      <c r="DK12" s="31">
        <f>IF(OR(Settings!$A$24="",Settings!$F$24="Yes",OR(EOMONTH(DK$4,0)&lt;=Settings!$B$5,DK$4&gt;TODAY())),"",IF(EOMONTH(DJ$4,0)&lt;=Settings!$B$5,N(Settings!$C$24),N(Calc!$AJ$117)))</f>
        <v/>
      </c>
      <c r="DL12" s="31">
        <f>IF(OR(Settings!$A$24="",Settings!$F$24="Yes",OR(EOMONTH(DL$4,0)&lt;=Settings!$B$5,DL$4&gt;TODAY())),"",IF(EOMONTH(DK$4,0)&lt;=Settings!$B$5,N(Settings!$C$24),N(Calc!$AJ$118)))</f>
        <v/>
      </c>
      <c r="DM12" s="31">
        <f>IF(OR(Settings!$A$24="",Settings!$F$24="Yes",OR(EOMONTH(DM$4,0)&lt;=Settings!$B$5,DM$4&gt;TODAY())),"",IF(EOMONTH(DL$4,0)&lt;=Settings!$B$5,N(Settings!$C$24),N(Calc!$AJ$119)))</f>
        <v/>
      </c>
      <c r="DN12" s="31">
        <f>IF(OR(Settings!$A$24="",Settings!$F$24="Yes",OR(EOMONTH(DN$4,0)&lt;=Settings!$B$5,DN$4&gt;TODAY())),"",IF(EOMONTH(DM$4,0)&lt;=Settings!$B$5,N(Settings!$C$24),N(Calc!$AJ$120)))</f>
        <v/>
      </c>
      <c r="DO12" s="31">
        <f>IF(OR(Settings!$A$24="",Settings!$F$24="Yes",OR(EOMONTH(DO$4,0)&lt;=Settings!$B$5,DO$4&gt;TODAY())),"",IF(EOMONTH(DN$4,0)&lt;=Settings!$B$5,N(Settings!$C$24),N(Calc!$AJ$121)))</f>
        <v/>
      </c>
      <c r="DP12" s="31">
        <f>IF(OR(Settings!$A$24="",Settings!$F$24="Yes",OR(EOMONTH(DP$4,0)&lt;=Settings!$B$5,DP$4&gt;TODAY())),"",IF(EOMONTH(DO$4,0)&lt;=Settings!$B$5,N(Settings!$C$24),N(Calc!$AJ$122)))</f>
        <v/>
      </c>
      <c r="DQ12" s="31">
        <f>IF(OR(Settings!$A$24="",Settings!$F$24="Yes",OR(EOMONTH(DQ$4,0)&lt;=Settings!$B$5,DQ$4&gt;TODAY())),"",IF(EOMONTH(DP$4,0)&lt;=Settings!$B$5,N(Settings!$C$24),N(Calc!$AJ$123)))</f>
        <v/>
      </c>
      <c r="DR12" s="31">
        <f>IF(OR(Settings!$A$24="",Settings!$F$24="Yes",OR(EOMONTH(DR$4,0)&lt;=Settings!$B$5,DR$4&gt;TODAY())),"",IF(EOMONTH(DQ$4,0)&lt;=Settings!$B$5,N(Settings!$C$24),N(Calc!$AJ$124)))</f>
        <v/>
      </c>
      <c r="DS12" s="31">
        <f>IF(OR(Settings!$A$24="",Settings!$F$24="Yes",OR(EOMONTH(DS$4,0)&lt;=Settings!$B$5,DS$4&gt;TODAY())),"",IF(EOMONTH(DR$4,0)&lt;=Settings!$B$5,N(Settings!$C$24),N(Calc!$AJ$125)))</f>
        <v/>
      </c>
      <c r="DT12" s="31">
        <f>IF(OR(Settings!$A$24="",Settings!$F$24="Yes",OR(EOMONTH(DT$4,0)&lt;=Settings!$B$5,DT$4&gt;TODAY())),"",IF(EOMONTH(DS$4,0)&lt;=Settings!$B$5,N(Settings!$C$24),N(Calc!$AJ$126)))</f>
        <v/>
      </c>
      <c r="DU12" s="31">
        <f>IF(OR(Settings!$A$24="",Settings!$F$24="Yes",OR(EOMONTH(DU$4,0)&lt;=Settings!$B$5,DU$4&gt;TODAY())),"",IF(EOMONTH(DT$4,0)&lt;=Settings!$B$5,N(Settings!$C$24),N(Calc!$AJ$127)))</f>
        <v/>
      </c>
      <c r="DV12" s="31">
        <f>IF(OR(Settings!$A$24="",Settings!$F$24="Yes",OR(EOMONTH(DV$4,0)&lt;=Settings!$B$5,DV$4&gt;TODAY())),"",IF(EOMONTH(DU$4,0)&lt;=Settings!$B$5,N(Settings!$C$24),N(Calc!$AJ$128)))</f>
        <v/>
      </c>
      <c r="DW12" s="31">
        <f>IF(OR(Settings!$A$24="",Settings!$F$24="Yes",OR(EOMONTH(DW$4,0)&lt;=Settings!$B$5,DW$4&gt;TODAY())),"",IF(EOMONTH(DV$4,0)&lt;=Settings!$B$5,N(Settings!$C$24),N(Calc!$AJ$129)))</f>
        <v/>
      </c>
      <c r="DX12" s="31">
        <f>IF(OR(Settings!$A$24="",Settings!$F$24="Yes",OR(EOMONTH(DX$4,0)&lt;=Settings!$B$5,DX$4&gt;TODAY())),"",IF(EOMONTH(DW$4,0)&lt;=Settings!$B$5,N(Settings!$C$24),N(Calc!$AJ$130)))</f>
        <v/>
      </c>
      <c r="DY12" s="31">
        <f>IF(OR(Settings!$A$24="",Settings!$F$24="Yes",OR(EOMONTH(DY$4,0)&lt;=Settings!$B$5,DY$4&gt;TODAY())),"",IF(EOMONTH(DX$4,0)&lt;=Settings!$B$5,N(Settings!$C$24),N(Calc!$AJ$131)))</f>
        <v/>
      </c>
      <c r="DZ12" s="31">
        <f>IF(OR(Settings!$A$24="",Settings!$F$24="Yes",OR(EOMONTH(DZ$4,0)&lt;=Settings!$B$5,DZ$4&gt;TODAY())),"",IF(EOMONTH(DY$4,0)&lt;=Settings!$B$5,N(Settings!$C$24),N(Calc!$AJ$132)))</f>
        <v/>
      </c>
      <c r="EA12" s="31">
        <f>IF(OR(Settings!$A$24="",Settings!$F$24="Yes",OR(EOMONTH(EA$4,0)&lt;=Settings!$B$5,EA$4&gt;TODAY())),"",IF(EOMONTH(DZ$4,0)&lt;=Settings!$B$5,N(Settings!$C$24),N(Calc!$AJ$133)))</f>
        <v/>
      </c>
      <c r="EB12" s="31">
        <f>IF(OR(Settings!$A$24="",Settings!$F$24="Yes",OR(EOMONTH(EB$4,0)&lt;=Settings!$B$5,EB$4&gt;TODAY())),"",IF(EOMONTH(EA$4,0)&lt;=Settings!$B$5,N(Settings!$C$24),N(Calc!$AJ$134)))</f>
        <v/>
      </c>
      <c r="EC12" s="31">
        <f>IF(OR(Settings!$A$24="",Settings!$F$24="Yes",OR(EOMONTH(EC$4,0)&lt;=Settings!$B$5,EC$4&gt;TODAY())),"",IF(EOMONTH(EB$4,0)&lt;=Settings!$B$5,N(Settings!$C$24),N(Calc!$AJ$135)))</f>
        <v/>
      </c>
      <c r="ED12" s="31">
        <f>IF(OR(Settings!$A$24="",Settings!$F$24="Yes",OR(EOMONTH(ED$4,0)&lt;=Settings!$B$5,ED$4&gt;TODAY())),"",IF(EOMONTH(EC$4,0)&lt;=Settings!$B$5,N(Settings!$C$24),N(Calc!$AJ$136)))</f>
        <v/>
      </c>
      <c r="EE12" s="31">
        <f>IF(OR(Settings!$A$24="",Settings!$F$24="Yes",OR(EOMONTH(EE$4,0)&lt;=Settings!$B$5,EE$4&gt;TODAY())),"",IF(EOMONTH(ED$4,0)&lt;=Settings!$B$5,N(Settings!$C$24),N(Calc!$AJ$137)))</f>
        <v/>
      </c>
      <c r="EF12" s="31">
        <f>IF(OR(Settings!$A$24="",Settings!$F$24="Yes",OR(EOMONTH(EF$4,0)&lt;=Settings!$B$5,EF$4&gt;TODAY())),"",IF(EOMONTH(EE$4,0)&lt;=Settings!$B$5,N(Settings!$C$24),N(Calc!$AJ$138)))</f>
        <v/>
      </c>
      <c r="EG12" s="31">
        <f>IF(OR(Settings!$A$24="",Settings!$F$24="Yes",OR(EOMONTH(EG$4,0)&lt;=Settings!$B$5,EG$4&gt;TODAY())),"",IF(EOMONTH(EF$4,0)&lt;=Settings!$B$5,N(Settings!$C$24),N(Calc!$AJ$139)))</f>
        <v/>
      </c>
      <c r="EH12" s="31">
        <f>IF(OR(Settings!$A$24="",Settings!$F$24="Yes",OR(EOMONTH(EH$4,0)&lt;=Settings!$B$5,EH$4&gt;TODAY())),"",IF(EOMONTH(EG$4,0)&lt;=Settings!$B$5,N(Settings!$C$24),N(Calc!$AJ$140)))</f>
        <v/>
      </c>
      <c r="EI12" s="31">
        <f>IF(OR(Settings!$A$24="",Settings!$F$24="Yes",OR(EOMONTH(EI$4,0)&lt;=Settings!$B$5,EI$4&gt;TODAY())),"",IF(EOMONTH(EH$4,0)&lt;=Settings!$B$5,N(Settings!$C$24),N(Calc!$AJ$141)))</f>
        <v/>
      </c>
      <c r="EJ12" s="31">
        <f>IF(OR(Settings!$A$24="",Settings!$F$24="Yes",OR(EOMONTH(EJ$4,0)&lt;=Settings!$B$5,EJ$4&gt;TODAY())),"",IF(EOMONTH(EI$4,0)&lt;=Settings!$B$5,N(Settings!$C$24),N(Calc!$AJ$142)))</f>
        <v/>
      </c>
      <c r="EK12" s="31">
        <f>IF(OR(Settings!$A$24="",Settings!$F$24="Yes",OR(EOMONTH(EK$4,0)&lt;=Settings!$B$5,EK$4&gt;TODAY())),"",IF(EOMONTH(EJ$4,0)&lt;=Settings!$B$5,N(Settings!$C$24),N(Calc!$AJ$143)))</f>
        <v/>
      </c>
      <c r="EL12" s="31">
        <f>IF(OR(Settings!$A$24="",Settings!$F$24="Yes",OR(EOMONTH(EL$4,0)&lt;=Settings!$B$5,EL$4&gt;TODAY())),"",IF(EOMONTH(EK$4,0)&lt;=Settings!$B$5,N(Settings!$C$24),N(Calc!$AJ$144)))</f>
        <v/>
      </c>
      <c r="EM12" s="31">
        <f>IF(OR(Settings!$A$24="",Settings!$F$24="Yes",OR(EOMONTH(EM$4,0)&lt;=Settings!$B$5,EM$4&gt;TODAY())),"",IF(EOMONTH(EL$4,0)&lt;=Settings!$B$5,N(Settings!$C$24),N(Calc!$AJ$145)))</f>
        <v/>
      </c>
      <c r="EN12" s="31">
        <f>IF(OR(Settings!$A$24="",Settings!$F$24="Yes",OR(EOMONTH(EN$4,0)&lt;=Settings!$B$5,EN$4&gt;TODAY())),"",IF(EOMONTH(EM$4,0)&lt;=Settings!$B$5,N(Settings!$C$24),N(Calc!$AJ$146)))</f>
        <v/>
      </c>
      <c r="EO12" s="31">
        <f>IF(OR(Settings!$A$24="",Settings!$F$24="Yes",OR(EOMONTH(EO$4,0)&lt;=Settings!$B$5,EO$4&gt;TODAY())),"",IF(EOMONTH(EN$4,0)&lt;=Settings!$B$5,N(Settings!$C$24),N(Calc!$AJ$147)))</f>
        <v/>
      </c>
      <c r="EP12" s="31">
        <f>IF(OR(Settings!$A$24="",Settings!$F$24="Yes",OR(EOMONTH(EP$4,0)&lt;=Settings!$B$5,EP$4&gt;TODAY())),"",IF(EOMONTH(EO$4,0)&lt;=Settings!$B$5,N(Settings!$C$24),N(Calc!$AJ$148)))</f>
        <v/>
      </c>
      <c r="EQ12" s="31">
        <f>IF(OR(Settings!$A$24="",Settings!$F$24="Yes",OR(EOMONTH(EQ$4,0)&lt;=Settings!$B$5,EQ$4&gt;TODAY())),"",IF(EOMONTH(EP$4,0)&lt;=Settings!$B$5,N(Settings!$C$24),N(Calc!$AJ$149)))</f>
        <v/>
      </c>
      <c r="ER12" s="31">
        <f>IF(OR(Settings!$A$24="",Settings!$F$24="Yes",OR(EOMONTH(ER$4,0)&lt;=Settings!$B$5,ER$4&gt;TODAY())),"",IF(EOMONTH(EQ$4,0)&lt;=Settings!$B$5,N(Settings!$C$24),N(Calc!$AJ$150)))</f>
        <v/>
      </c>
      <c r="ES12" s="31">
        <f>IF(OR(Settings!$A$24="",Settings!$F$24="Yes",OR(EOMONTH(ES$4,0)&lt;=Settings!$B$5,ES$4&gt;TODAY())),"",IF(EOMONTH(ER$4,0)&lt;=Settings!$B$5,N(Settings!$C$24),N(Calc!$AJ$151)))</f>
        <v/>
      </c>
      <c r="ET12" s="31">
        <f>IF(OR(Settings!$A$24="",Settings!$F$24="Yes",OR(EOMONTH(ET$4,0)&lt;=Settings!$B$5,ET$4&gt;TODAY())),"",IF(EOMONTH(ES$4,0)&lt;=Settings!$B$5,N(Settings!$C$24),N(Calc!$AJ$152)))</f>
        <v/>
      </c>
      <c r="EU12" s="31">
        <f>IF(OR(Settings!$A$24="",Settings!$F$24="Yes",OR(EOMONTH(EU$4,0)&lt;=Settings!$B$5,EU$4&gt;TODAY())),"",IF(EOMONTH(ET$4,0)&lt;=Settings!$B$5,N(Settings!$C$24),N(Calc!$AJ$153)))</f>
        <v/>
      </c>
      <c r="EV12" s="31">
        <f>IF(OR(Settings!$A$24="",Settings!$F$24="Yes",OR(EOMONTH(EV$4,0)&lt;=Settings!$B$5,EV$4&gt;TODAY())),"",IF(EOMONTH(EU$4,0)&lt;=Settings!$B$5,N(Settings!$C$24),N(Calc!$AJ$154)))</f>
        <v/>
      </c>
      <c r="EW12" s="31">
        <f>IF(OR(Settings!$A$24="",Settings!$F$24="Yes",OR(EOMONTH(EW$4,0)&lt;=Settings!$B$5,EW$4&gt;TODAY())),"",IF(EOMONTH(EV$4,0)&lt;=Settings!$B$5,N(Settings!$C$24),N(Calc!$AJ$155)))</f>
        <v/>
      </c>
      <c r="EX12" s="31">
        <f>IF(OR(Settings!$A$24="",Settings!$F$24="Yes",OR(EOMONTH(EX$4,0)&lt;=Settings!$B$5,EX$4&gt;TODAY())),"",IF(EOMONTH(EW$4,0)&lt;=Settings!$B$5,N(Settings!$C$24),N(Calc!$AJ$156)))</f>
        <v/>
      </c>
      <c r="EY12" s="31">
        <f>IF(OR(Settings!$A$24="",Settings!$F$24="Yes",OR(EOMONTH(EY$4,0)&lt;=Settings!$B$5,EY$4&gt;TODAY())),"",IF(EOMONTH(EX$4,0)&lt;=Settings!$B$5,N(Settings!$C$24),N(Calc!$AJ$157)))</f>
        <v/>
      </c>
      <c r="EZ12" s="31">
        <f>IF(OR(Settings!$A$24="",Settings!$F$24="Yes",OR(EOMONTH(EZ$4,0)&lt;=Settings!$B$5,EZ$4&gt;TODAY())),"",IF(EOMONTH(EY$4,0)&lt;=Settings!$B$5,N(Settings!$C$24),N(Calc!$AJ$158)))</f>
        <v/>
      </c>
      <c r="FA12" s="31">
        <f>IF(OR(Settings!$A$24="",Settings!$F$24="Yes",OR(EOMONTH(FA$4,0)&lt;=Settings!$B$5,FA$4&gt;TODAY())),"",IF(EOMONTH(EZ$4,0)&lt;=Settings!$B$5,N(Settings!$C$24),N(Calc!$AJ$159)))</f>
        <v/>
      </c>
      <c r="FB12" s="31">
        <f>IF(OR(Settings!$A$24="",Settings!$F$24="Yes",OR(EOMONTH(FB$4,0)&lt;=Settings!$B$5,FB$4&gt;TODAY())),"",IF(EOMONTH(FA$4,0)&lt;=Settings!$B$5,N(Settings!$C$24),N(Calc!$AJ$160)))</f>
        <v/>
      </c>
      <c r="FC12" s="31">
        <f>IF(OR(Settings!$A$24="",Settings!$F$24="Yes",OR(EOMONTH(FC$4,0)&lt;=Settings!$B$5,FC$4&gt;TODAY())),"",IF(EOMONTH(FB$4,0)&lt;=Settings!$B$5,N(Settings!$C$24),N(Calc!$AJ$161)))</f>
        <v/>
      </c>
      <c r="FD12" s="31">
        <f>IF(OR(Settings!$A$24="",Settings!$F$24="Yes",OR(EOMONTH(FD$4,0)&lt;=Settings!$B$5,FD$4&gt;TODAY())),"",IF(EOMONTH(FC$4,0)&lt;=Settings!$B$5,N(Settings!$C$24),N(Calc!$AJ$162)))</f>
        <v/>
      </c>
      <c r="FE12" s="31">
        <f>IF(OR(Settings!$A$24="",Settings!$F$24="Yes",OR(EOMONTH(FE$4,0)&lt;=Settings!$B$5,FE$4&gt;TODAY())),"",IF(EOMONTH(FD$4,0)&lt;=Settings!$B$5,N(Settings!$C$24),N(Calc!$AJ$163)))</f>
        <v/>
      </c>
      <c r="FF12" s="31">
        <f>IF(OR(Settings!$A$24="",Settings!$F$24="Yes",OR(EOMONTH(FF$4,0)&lt;=Settings!$B$5,FF$4&gt;TODAY())),"",IF(EOMONTH(FE$4,0)&lt;=Settings!$B$5,N(Settings!$C$24),N(Calc!$AJ$164)))</f>
        <v/>
      </c>
      <c r="FG12" s="31">
        <f>IF(OR(Settings!$A$24="",Settings!$F$24="Yes",OR(EOMONTH(FG$4,0)&lt;=Settings!$B$5,FG$4&gt;TODAY())),"",IF(EOMONTH(FF$4,0)&lt;=Settings!$B$5,N(Settings!$C$24),N(Calc!$AJ$165)))</f>
        <v/>
      </c>
      <c r="FH12" s="31">
        <f>IF(OR(Settings!$A$24="",Settings!$F$24="Yes",OR(EOMONTH(FH$4,0)&lt;=Settings!$B$5,FH$4&gt;TODAY())),"",IF(EOMONTH(FG$4,0)&lt;=Settings!$B$5,N(Settings!$C$24),N(Calc!$AJ$166)))</f>
        <v/>
      </c>
      <c r="FI12" s="31">
        <f>IF(OR(Settings!$A$24="",Settings!$F$24="Yes",OR(EOMONTH(FI$4,0)&lt;=Settings!$B$5,FI$4&gt;TODAY())),"",IF(EOMONTH(FH$4,0)&lt;=Settings!$B$5,N(Settings!$C$24),N(Calc!$AJ$167)))</f>
        <v/>
      </c>
      <c r="FJ12" s="31">
        <f>IF(OR(Settings!$A$24="",Settings!$F$24="Yes",OR(EOMONTH(FJ$4,0)&lt;=Settings!$B$5,FJ$4&gt;TODAY())),"",IF(EOMONTH(FI$4,0)&lt;=Settings!$B$5,N(Settings!$C$24),N(Calc!$AJ$168)))</f>
        <v/>
      </c>
      <c r="FK12" s="31">
        <f>IF(OR(Settings!$A$24="",Settings!$F$24="Yes",OR(EOMONTH(FK$4,0)&lt;=Settings!$B$5,FK$4&gt;TODAY())),"",IF(EOMONTH(FJ$4,0)&lt;=Settings!$B$5,N(Settings!$C$24),N(Calc!$AJ$169)))</f>
        <v/>
      </c>
      <c r="FL12" s="31">
        <f>IF(OR(Settings!$A$24="",Settings!$F$24="Yes",OR(EOMONTH(FL$4,0)&lt;=Settings!$B$5,FL$4&gt;TODAY())),"",IF(EOMONTH(FK$4,0)&lt;=Settings!$B$5,N(Settings!$C$24),N(Calc!$AJ$170)))</f>
        <v/>
      </c>
      <c r="FM12" s="31">
        <f>IF(OR(Settings!$A$24="",Settings!$F$24="Yes",OR(EOMONTH(FM$4,0)&lt;=Settings!$B$5,FM$4&gt;TODAY())),"",IF(EOMONTH(FL$4,0)&lt;=Settings!$B$5,N(Settings!$C$24),N(Calc!$AJ$171)))</f>
        <v/>
      </c>
      <c r="FN12" s="31">
        <f>IF(OR(Settings!$A$24="",Settings!$F$24="Yes",OR(EOMONTH(FN$4,0)&lt;=Settings!$B$5,FN$4&gt;TODAY())),"",IF(EOMONTH(FM$4,0)&lt;=Settings!$B$5,N(Settings!$C$24),N(Calc!$AJ$172)))</f>
        <v/>
      </c>
      <c r="FO12" s="31">
        <f>IF(OR(Settings!$A$24="",Settings!$F$24="Yes",OR(EOMONTH(FO$4,0)&lt;=Settings!$B$5,FO$4&gt;TODAY())),"",IF(EOMONTH(FN$4,0)&lt;=Settings!$B$5,N(Settings!$C$24),N(Calc!$AJ$173)))</f>
        <v/>
      </c>
      <c r="FP12" s="31">
        <f>IF(OR(Settings!$A$24="",Settings!$F$24="Yes",OR(EOMONTH(FP$4,0)&lt;=Settings!$B$5,FP$4&gt;TODAY())),"",IF(EOMONTH(FO$4,0)&lt;=Settings!$B$5,N(Settings!$C$24),N(Calc!$AJ$174)))</f>
        <v/>
      </c>
      <c r="FQ12" s="31">
        <f>IF(OR(Settings!$A$24="",Settings!$F$24="Yes",OR(EOMONTH(FQ$4,0)&lt;=Settings!$B$5,FQ$4&gt;TODAY())),"",IF(EOMONTH(FP$4,0)&lt;=Settings!$B$5,N(Settings!$C$24),N(Calc!$AJ$175)))</f>
        <v/>
      </c>
      <c r="FR12" s="31">
        <f>IF(OR(Settings!$A$24="",Settings!$F$24="Yes",OR(EOMONTH(FR$4,0)&lt;=Settings!$B$5,FR$4&gt;TODAY())),"",IF(EOMONTH(FQ$4,0)&lt;=Settings!$B$5,N(Settings!$C$24),N(Calc!$AJ$176)))</f>
        <v/>
      </c>
      <c r="FS12" s="31">
        <f>IF(OR(Settings!$A$24="",Settings!$F$24="Yes",OR(EOMONTH(FS$4,0)&lt;=Settings!$B$5,FS$4&gt;TODAY())),"",IF(EOMONTH(FR$4,0)&lt;=Settings!$B$5,N(Settings!$C$24),N(Calc!$AJ$177)))</f>
        <v/>
      </c>
      <c r="FT12" s="31">
        <f>IF(OR(Settings!$A$24="",Settings!$F$24="Yes",OR(EOMONTH(FT$4,0)&lt;=Settings!$B$5,FT$4&gt;TODAY())),"",IF(EOMONTH(FS$4,0)&lt;=Settings!$B$5,N(Settings!$C$24),N(Calc!$AJ$178)))</f>
        <v/>
      </c>
      <c r="FU12" s="31">
        <f>IF(OR(Settings!$A$24="",Settings!$F$24="Yes",OR(EOMONTH(FU$4,0)&lt;=Settings!$B$5,FU$4&gt;TODAY())),"",IF(EOMONTH(FT$4,0)&lt;=Settings!$B$5,N(Settings!$C$24),N(Calc!$AJ$179)))</f>
        <v/>
      </c>
      <c r="FV12" s="31">
        <f>IF(OR(Settings!$A$24="",Settings!$F$24="Yes",OR(EOMONTH(FV$4,0)&lt;=Settings!$B$5,FV$4&gt;TODAY())),"",IF(EOMONTH(FU$4,0)&lt;=Settings!$B$5,N(Settings!$C$24),N(Calc!$AJ$180)))</f>
        <v/>
      </c>
      <c r="FW12" s="31">
        <f>IF(OR(Settings!$A$24="",Settings!$F$24="Yes",OR(EOMONTH(FW$4,0)&lt;=Settings!$B$5,FW$4&gt;TODAY())),"",IF(EOMONTH(FV$4,0)&lt;=Settings!$B$5,N(Settings!$C$24),N(Calc!$AJ$181)))</f>
        <v/>
      </c>
      <c r="FX12" s="31">
        <f>IF(OR(Settings!$A$24="",Settings!$F$24="Yes",OR(EOMONTH(FX$4,0)&lt;=Settings!$B$5,FX$4&gt;TODAY())),"",IF(EOMONTH(FW$4,0)&lt;=Settings!$B$5,N(Settings!$C$24),N(Calc!$AJ$182)))</f>
        <v/>
      </c>
    </row>
    <row r="13">
      <c r="A13" s="15">
        <f>IF(Settings!$A$25="","(unused)",Settings!$A$25&amp;IF(Settings!$E$25="No"," (retired)",""))</f>
        <v/>
      </c>
      <c r="B13" s="26">
        <f>IF(Settings!$A$25="","",IF(Settings!$F$25="Yes","REQUIRED","optional · grey = unchanged")&amp;IF(OR(Settings!$B$25="Card",Settings!$B$25="Loan")," · amount owed",""))</f>
        <v/>
      </c>
      <c r="C13" s="31">
        <f>IF(OR(Settings!$A$25="",Settings!$F$25="Yes",OR(EOMONTH(C$4,0)&lt;=Settings!$B$5,C$4&gt;TODAY())),"",N(Settings!$C$25))</f>
        <v/>
      </c>
      <c r="D13" s="31">
        <f>IF(OR(Settings!$A$25="",Settings!$F$25="Yes",OR(EOMONTH(D$4,0)&lt;=Settings!$B$5,D$4&gt;TODAY())),"",IF(EOMONTH(C$4,0)&lt;=Settings!$B$5,N(Settings!$C$25),N(Calc!$AK$6)))</f>
        <v/>
      </c>
      <c r="E13" s="31">
        <f>IF(OR(Settings!$A$25="",Settings!$F$25="Yes",OR(EOMONTH(E$4,0)&lt;=Settings!$B$5,E$4&gt;TODAY())),"",IF(EOMONTH(D$4,0)&lt;=Settings!$B$5,N(Settings!$C$25),N(Calc!$AK$7)))</f>
        <v/>
      </c>
      <c r="F13" s="31">
        <f>IF(OR(Settings!$A$25="",Settings!$F$25="Yes",OR(EOMONTH(F$4,0)&lt;=Settings!$B$5,F$4&gt;TODAY())),"",IF(EOMONTH(E$4,0)&lt;=Settings!$B$5,N(Settings!$C$25),N(Calc!$AK$8)))</f>
        <v/>
      </c>
      <c r="G13" s="31">
        <f>IF(OR(Settings!$A$25="",Settings!$F$25="Yes",OR(EOMONTH(G$4,0)&lt;=Settings!$B$5,G$4&gt;TODAY())),"",IF(EOMONTH(F$4,0)&lt;=Settings!$B$5,N(Settings!$C$25),N(Calc!$AK$9)))</f>
        <v/>
      </c>
      <c r="H13" s="31">
        <f>IF(OR(Settings!$A$25="",Settings!$F$25="Yes",OR(EOMONTH(H$4,0)&lt;=Settings!$B$5,H$4&gt;TODAY())),"",IF(EOMONTH(G$4,0)&lt;=Settings!$B$5,N(Settings!$C$25),N(Calc!$AK$10)))</f>
        <v/>
      </c>
      <c r="I13" s="31">
        <f>IF(OR(Settings!$A$25="",Settings!$F$25="Yes",OR(EOMONTH(I$4,0)&lt;=Settings!$B$5,I$4&gt;TODAY())),"",IF(EOMONTH(H$4,0)&lt;=Settings!$B$5,N(Settings!$C$25),N(Calc!$AK$11)))</f>
        <v/>
      </c>
      <c r="J13" s="31">
        <f>IF(OR(Settings!$A$25="",Settings!$F$25="Yes",OR(EOMONTH(J$4,0)&lt;=Settings!$B$5,J$4&gt;TODAY())),"",IF(EOMONTH(I$4,0)&lt;=Settings!$B$5,N(Settings!$C$25),N(Calc!$AK$12)))</f>
        <v/>
      </c>
      <c r="K13" s="31">
        <f>IF(OR(Settings!$A$25="",Settings!$F$25="Yes",OR(EOMONTH(K$4,0)&lt;=Settings!$B$5,K$4&gt;TODAY())),"",IF(EOMONTH(J$4,0)&lt;=Settings!$B$5,N(Settings!$C$25),N(Calc!$AK$13)))</f>
        <v/>
      </c>
      <c r="L13" s="31">
        <f>IF(OR(Settings!$A$25="",Settings!$F$25="Yes",OR(EOMONTH(L$4,0)&lt;=Settings!$B$5,L$4&gt;TODAY())),"",IF(EOMONTH(K$4,0)&lt;=Settings!$B$5,N(Settings!$C$25),N(Calc!$AK$14)))</f>
        <v/>
      </c>
      <c r="M13" s="31">
        <f>IF(OR(Settings!$A$25="",Settings!$F$25="Yes",OR(EOMONTH(M$4,0)&lt;=Settings!$B$5,M$4&gt;TODAY())),"",IF(EOMONTH(L$4,0)&lt;=Settings!$B$5,N(Settings!$C$25),N(Calc!$AK$15)))</f>
        <v/>
      </c>
      <c r="N13" s="31">
        <f>IF(OR(Settings!$A$25="",Settings!$F$25="Yes",OR(EOMONTH(N$4,0)&lt;=Settings!$B$5,N$4&gt;TODAY())),"",IF(EOMONTH(M$4,0)&lt;=Settings!$B$5,N(Settings!$C$25),N(Calc!$AK$16)))</f>
        <v/>
      </c>
      <c r="O13" s="31">
        <f>IF(OR(Settings!$A$25="",Settings!$F$25="Yes",OR(EOMONTH(O$4,0)&lt;=Settings!$B$5,O$4&gt;TODAY())),"",IF(EOMONTH(N$4,0)&lt;=Settings!$B$5,N(Settings!$C$25),N(Calc!$AK$17)))</f>
        <v/>
      </c>
      <c r="P13" s="31">
        <f>IF(OR(Settings!$A$25="",Settings!$F$25="Yes",OR(EOMONTH(P$4,0)&lt;=Settings!$B$5,P$4&gt;TODAY())),"",IF(EOMONTH(O$4,0)&lt;=Settings!$B$5,N(Settings!$C$25),N(Calc!$AK$18)))</f>
        <v/>
      </c>
      <c r="Q13" s="31">
        <f>IF(OR(Settings!$A$25="",Settings!$F$25="Yes",OR(EOMONTH(Q$4,0)&lt;=Settings!$B$5,Q$4&gt;TODAY())),"",IF(EOMONTH(P$4,0)&lt;=Settings!$B$5,N(Settings!$C$25),N(Calc!$AK$19)))</f>
        <v/>
      </c>
      <c r="R13" s="31">
        <f>IF(OR(Settings!$A$25="",Settings!$F$25="Yes",OR(EOMONTH(R$4,0)&lt;=Settings!$B$5,R$4&gt;TODAY())),"",IF(EOMONTH(Q$4,0)&lt;=Settings!$B$5,N(Settings!$C$25),N(Calc!$AK$20)))</f>
        <v/>
      </c>
      <c r="S13" s="31">
        <f>IF(OR(Settings!$A$25="",Settings!$F$25="Yes",OR(EOMONTH(S$4,0)&lt;=Settings!$B$5,S$4&gt;TODAY())),"",IF(EOMONTH(R$4,0)&lt;=Settings!$B$5,N(Settings!$C$25),N(Calc!$AK$21)))</f>
        <v/>
      </c>
      <c r="T13" s="31">
        <f>IF(OR(Settings!$A$25="",Settings!$F$25="Yes",OR(EOMONTH(T$4,0)&lt;=Settings!$B$5,T$4&gt;TODAY())),"",IF(EOMONTH(S$4,0)&lt;=Settings!$B$5,N(Settings!$C$25),N(Calc!$AK$22)))</f>
        <v/>
      </c>
      <c r="U13" s="31">
        <f>IF(OR(Settings!$A$25="",Settings!$F$25="Yes",OR(EOMONTH(U$4,0)&lt;=Settings!$B$5,U$4&gt;TODAY())),"",IF(EOMONTH(T$4,0)&lt;=Settings!$B$5,N(Settings!$C$25),N(Calc!$AK$23)))</f>
        <v/>
      </c>
      <c r="V13" s="31">
        <f>IF(OR(Settings!$A$25="",Settings!$F$25="Yes",OR(EOMONTH(V$4,0)&lt;=Settings!$B$5,V$4&gt;TODAY())),"",IF(EOMONTH(U$4,0)&lt;=Settings!$B$5,N(Settings!$C$25),N(Calc!$AK$24)))</f>
        <v/>
      </c>
      <c r="W13" s="31">
        <f>IF(OR(Settings!$A$25="",Settings!$F$25="Yes",OR(EOMONTH(W$4,0)&lt;=Settings!$B$5,W$4&gt;TODAY())),"",IF(EOMONTH(V$4,0)&lt;=Settings!$B$5,N(Settings!$C$25),N(Calc!$AK$25)))</f>
        <v/>
      </c>
      <c r="X13" s="31">
        <f>IF(OR(Settings!$A$25="",Settings!$F$25="Yes",OR(EOMONTH(X$4,0)&lt;=Settings!$B$5,X$4&gt;TODAY())),"",IF(EOMONTH(W$4,0)&lt;=Settings!$B$5,N(Settings!$C$25),N(Calc!$AK$26)))</f>
        <v/>
      </c>
      <c r="Y13" s="31">
        <f>IF(OR(Settings!$A$25="",Settings!$F$25="Yes",OR(EOMONTH(Y$4,0)&lt;=Settings!$B$5,Y$4&gt;TODAY())),"",IF(EOMONTH(X$4,0)&lt;=Settings!$B$5,N(Settings!$C$25),N(Calc!$AK$27)))</f>
        <v/>
      </c>
      <c r="Z13" s="31">
        <f>IF(OR(Settings!$A$25="",Settings!$F$25="Yes",OR(EOMONTH(Z$4,0)&lt;=Settings!$B$5,Z$4&gt;TODAY())),"",IF(EOMONTH(Y$4,0)&lt;=Settings!$B$5,N(Settings!$C$25),N(Calc!$AK$28)))</f>
        <v/>
      </c>
      <c r="AA13" s="31">
        <f>IF(OR(Settings!$A$25="",Settings!$F$25="Yes",OR(EOMONTH(AA$4,0)&lt;=Settings!$B$5,AA$4&gt;TODAY())),"",IF(EOMONTH(Z$4,0)&lt;=Settings!$B$5,N(Settings!$C$25),N(Calc!$AK$29)))</f>
        <v/>
      </c>
      <c r="AB13" s="31">
        <f>IF(OR(Settings!$A$25="",Settings!$F$25="Yes",OR(EOMONTH(AB$4,0)&lt;=Settings!$B$5,AB$4&gt;TODAY())),"",IF(EOMONTH(AA$4,0)&lt;=Settings!$B$5,N(Settings!$C$25),N(Calc!$AK$30)))</f>
        <v/>
      </c>
      <c r="AC13" s="31">
        <f>IF(OR(Settings!$A$25="",Settings!$F$25="Yes",OR(EOMONTH(AC$4,0)&lt;=Settings!$B$5,AC$4&gt;TODAY())),"",IF(EOMONTH(AB$4,0)&lt;=Settings!$B$5,N(Settings!$C$25),N(Calc!$AK$31)))</f>
        <v/>
      </c>
      <c r="AD13" s="31">
        <f>IF(OR(Settings!$A$25="",Settings!$F$25="Yes",OR(EOMONTH(AD$4,0)&lt;=Settings!$B$5,AD$4&gt;TODAY())),"",IF(EOMONTH(AC$4,0)&lt;=Settings!$B$5,N(Settings!$C$25),N(Calc!$AK$32)))</f>
        <v/>
      </c>
      <c r="AE13" s="31">
        <f>IF(OR(Settings!$A$25="",Settings!$F$25="Yes",OR(EOMONTH(AE$4,0)&lt;=Settings!$B$5,AE$4&gt;TODAY())),"",IF(EOMONTH(AD$4,0)&lt;=Settings!$B$5,N(Settings!$C$25),N(Calc!$AK$33)))</f>
        <v/>
      </c>
      <c r="AF13" s="31">
        <f>IF(OR(Settings!$A$25="",Settings!$F$25="Yes",OR(EOMONTH(AF$4,0)&lt;=Settings!$B$5,AF$4&gt;TODAY())),"",IF(EOMONTH(AE$4,0)&lt;=Settings!$B$5,N(Settings!$C$25),N(Calc!$AK$34)))</f>
        <v/>
      </c>
      <c r="AG13" s="31">
        <f>IF(OR(Settings!$A$25="",Settings!$F$25="Yes",OR(EOMONTH(AG$4,0)&lt;=Settings!$B$5,AG$4&gt;TODAY())),"",IF(EOMONTH(AF$4,0)&lt;=Settings!$B$5,N(Settings!$C$25),N(Calc!$AK$35)))</f>
        <v/>
      </c>
      <c r="AH13" s="31">
        <f>IF(OR(Settings!$A$25="",Settings!$F$25="Yes",OR(EOMONTH(AH$4,0)&lt;=Settings!$B$5,AH$4&gt;TODAY())),"",IF(EOMONTH(AG$4,0)&lt;=Settings!$B$5,N(Settings!$C$25),N(Calc!$AK$36)))</f>
        <v/>
      </c>
      <c r="AI13" s="31">
        <f>IF(OR(Settings!$A$25="",Settings!$F$25="Yes",OR(EOMONTH(AI$4,0)&lt;=Settings!$B$5,AI$4&gt;TODAY())),"",IF(EOMONTH(AH$4,0)&lt;=Settings!$B$5,N(Settings!$C$25),N(Calc!$AK$37)))</f>
        <v/>
      </c>
      <c r="AJ13" s="31">
        <f>IF(OR(Settings!$A$25="",Settings!$F$25="Yes",OR(EOMONTH(AJ$4,0)&lt;=Settings!$B$5,AJ$4&gt;TODAY())),"",IF(EOMONTH(AI$4,0)&lt;=Settings!$B$5,N(Settings!$C$25),N(Calc!$AK$38)))</f>
        <v/>
      </c>
      <c r="AK13" s="31">
        <f>IF(OR(Settings!$A$25="",Settings!$F$25="Yes",OR(EOMONTH(AK$4,0)&lt;=Settings!$B$5,AK$4&gt;TODAY())),"",IF(EOMONTH(AJ$4,0)&lt;=Settings!$B$5,N(Settings!$C$25),N(Calc!$AK$39)))</f>
        <v/>
      </c>
      <c r="AL13" s="31">
        <f>IF(OR(Settings!$A$25="",Settings!$F$25="Yes",OR(EOMONTH(AL$4,0)&lt;=Settings!$B$5,AL$4&gt;TODAY())),"",IF(EOMONTH(AK$4,0)&lt;=Settings!$B$5,N(Settings!$C$25),N(Calc!$AK$40)))</f>
        <v/>
      </c>
      <c r="AM13" s="31">
        <f>IF(OR(Settings!$A$25="",Settings!$F$25="Yes",OR(EOMONTH(AM$4,0)&lt;=Settings!$B$5,AM$4&gt;TODAY())),"",IF(EOMONTH(AL$4,0)&lt;=Settings!$B$5,N(Settings!$C$25),N(Calc!$AK$41)))</f>
        <v/>
      </c>
      <c r="AN13" s="31">
        <f>IF(OR(Settings!$A$25="",Settings!$F$25="Yes",OR(EOMONTH(AN$4,0)&lt;=Settings!$B$5,AN$4&gt;TODAY())),"",IF(EOMONTH(AM$4,0)&lt;=Settings!$B$5,N(Settings!$C$25),N(Calc!$AK$42)))</f>
        <v/>
      </c>
      <c r="AO13" s="31">
        <f>IF(OR(Settings!$A$25="",Settings!$F$25="Yes",OR(EOMONTH(AO$4,0)&lt;=Settings!$B$5,AO$4&gt;TODAY())),"",IF(EOMONTH(AN$4,0)&lt;=Settings!$B$5,N(Settings!$C$25),N(Calc!$AK$43)))</f>
        <v/>
      </c>
      <c r="AP13" s="31">
        <f>IF(OR(Settings!$A$25="",Settings!$F$25="Yes",OR(EOMONTH(AP$4,0)&lt;=Settings!$B$5,AP$4&gt;TODAY())),"",IF(EOMONTH(AO$4,0)&lt;=Settings!$B$5,N(Settings!$C$25),N(Calc!$AK$44)))</f>
        <v/>
      </c>
      <c r="AQ13" s="31">
        <f>IF(OR(Settings!$A$25="",Settings!$F$25="Yes",OR(EOMONTH(AQ$4,0)&lt;=Settings!$B$5,AQ$4&gt;TODAY())),"",IF(EOMONTH(AP$4,0)&lt;=Settings!$B$5,N(Settings!$C$25),N(Calc!$AK$45)))</f>
        <v/>
      </c>
      <c r="AR13" s="31">
        <f>IF(OR(Settings!$A$25="",Settings!$F$25="Yes",OR(EOMONTH(AR$4,0)&lt;=Settings!$B$5,AR$4&gt;TODAY())),"",IF(EOMONTH(AQ$4,0)&lt;=Settings!$B$5,N(Settings!$C$25),N(Calc!$AK$46)))</f>
        <v/>
      </c>
      <c r="AS13" s="31">
        <f>IF(OR(Settings!$A$25="",Settings!$F$25="Yes",OR(EOMONTH(AS$4,0)&lt;=Settings!$B$5,AS$4&gt;TODAY())),"",IF(EOMONTH(AR$4,0)&lt;=Settings!$B$5,N(Settings!$C$25),N(Calc!$AK$47)))</f>
        <v/>
      </c>
      <c r="AT13" s="31">
        <f>IF(OR(Settings!$A$25="",Settings!$F$25="Yes",OR(EOMONTH(AT$4,0)&lt;=Settings!$B$5,AT$4&gt;TODAY())),"",IF(EOMONTH(AS$4,0)&lt;=Settings!$B$5,N(Settings!$C$25),N(Calc!$AK$48)))</f>
        <v/>
      </c>
      <c r="AU13" s="31">
        <f>IF(OR(Settings!$A$25="",Settings!$F$25="Yes",OR(EOMONTH(AU$4,0)&lt;=Settings!$B$5,AU$4&gt;TODAY())),"",IF(EOMONTH(AT$4,0)&lt;=Settings!$B$5,N(Settings!$C$25),N(Calc!$AK$49)))</f>
        <v/>
      </c>
      <c r="AV13" s="31">
        <f>IF(OR(Settings!$A$25="",Settings!$F$25="Yes",OR(EOMONTH(AV$4,0)&lt;=Settings!$B$5,AV$4&gt;TODAY())),"",IF(EOMONTH(AU$4,0)&lt;=Settings!$B$5,N(Settings!$C$25),N(Calc!$AK$50)))</f>
        <v/>
      </c>
      <c r="AW13" s="31">
        <f>IF(OR(Settings!$A$25="",Settings!$F$25="Yes",OR(EOMONTH(AW$4,0)&lt;=Settings!$B$5,AW$4&gt;TODAY())),"",IF(EOMONTH(AV$4,0)&lt;=Settings!$B$5,N(Settings!$C$25),N(Calc!$AK$51)))</f>
        <v/>
      </c>
      <c r="AX13" s="31">
        <f>IF(OR(Settings!$A$25="",Settings!$F$25="Yes",OR(EOMONTH(AX$4,0)&lt;=Settings!$B$5,AX$4&gt;TODAY())),"",IF(EOMONTH(AW$4,0)&lt;=Settings!$B$5,N(Settings!$C$25),N(Calc!$AK$52)))</f>
        <v/>
      </c>
      <c r="AY13" s="31">
        <f>IF(OR(Settings!$A$25="",Settings!$F$25="Yes",OR(EOMONTH(AY$4,0)&lt;=Settings!$B$5,AY$4&gt;TODAY())),"",IF(EOMONTH(AX$4,0)&lt;=Settings!$B$5,N(Settings!$C$25),N(Calc!$AK$53)))</f>
        <v/>
      </c>
      <c r="AZ13" s="31">
        <f>IF(OR(Settings!$A$25="",Settings!$F$25="Yes",OR(EOMONTH(AZ$4,0)&lt;=Settings!$B$5,AZ$4&gt;TODAY())),"",IF(EOMONTH(AY$4,0)&lt;=Settings!$B$5,N(Settings!$C$25),N(Calc!$AK$54)))</f>
        <v/>
      </c>
      <c r="BA13" s="31">
        <f>IF(OR(Settings!$A$25="",Settings!$F$25="Yes",OR(EOMONTH(BA$4,0)&lt;=Settings!$B$5,BA$4&gt;TODAY())),"",IF(EOMONTH(AZ$4,0)&lt;=Settings!$B$5,N(Settings!$C$25),N(Calc!$AK$55)))</f>
        <v/>
      </c>
      <c r="BB13" s="31">
        <f>IF(OR(Settings!$A$25="",Settings!$F$25="Yes",OR(EOMONTH(BB$4,0)&lt;=Settings!$B$5,BB$4&gt;TODAY())),"",IF(EOMONTH(BA$4,0)&lt;=Settings!$B$5,N(Settings!$C$25),N(Calc!$AK$56)))</f>
        <v/>
      </c>
      <c r="BC13" s="31">
        <f>IF(OR(Settings!$A$25="",Settings!$F$25="Yes",OR(EOMONTH(BC$4,0)&lt;=Settings!$B$5,BC$4&gt;TODAY())),"",IF(EOMONTH(BB$4,0)&lt;=Settings!$B$5,N(Settings!$C$25),N(Calc!$AK$57)))</f>
        <v/>
      </c>
      <c r="BD13" s="31">
        <f>IF(OR(Settings!$A$25="",Settings!$F$25="Yes",OR(EOMONTH(BD$4,0)&lt;=Settings!$B$5,BD$4&gt;TODAY())),"",IF(EOMONTH(BC$4,0)&lt;=Settings!$B$5,N(Settings!$C$25),N(Calc!$AK$58)))</f>
        <v/>
      </c>
      <c r="BE13" s="31">
        <f>IF(OR(Settings!$A$25="",Settings!$F$25="Yes",OR(EOMONTH(BE$4,0)&lt;=Settings!$B$5,BE$4&gt;TODAY())),"",IF(EOMONTH(BD$4,0)&lt;=Settings!$B$5,N(Settings!$C$25),N(Calc!$AK$59)))</f>
        <v/>
      </c>
      <c r="BF13" s="31">
        <f>IF(OR(Settings!$A$25="",Settings!$F$25="Yes",OR(EOMONTH(BF$4,0)&lt;=Settings!$B$5,BF$4&gt;TODAY())),"",IF(EOMONTH(BE$4,0)&lt;=Settings!$B$5,N(Settings!$C$25),N(Calc!$AK$60)))</f>
        <v/>
      </c>
      <c r="BG13" s="31">
        <f>IF(OR(Settings!$A$25="",Settings!$F$25="Yes",OR(EOMONTH(BG$4,0)&lt;=Settings!$B$5,BG$4&gt;TODAY())),"",IF(EOMONTH(BF$4,0)&lt;=Settings!$B$5,N(Settings!$C$25),N(Calc!$AK$61)))</f>
        <v/>
      </c>
      <c r="BH13" s="31">
        <f>IF(OR(Settings!$A$25="",Settings!$F$25="Yes",OR(EOMONTH(BH$4,0)&lt;=Settings!$B$5,BH$4&gt;TODAY())),"",IF(EOMONTH(BG$4,0)&lt;=Settings!$B$5,N(Settings!$C$25),N(Calc!$AK$62)))</f>
        <v/>
      </c>
      <c r="BI13" s="31">
        <f>IF(OR(Settings!$A$25="",Settings!$F$25="Yes",OR(EOMONTH(BI$4,0)&lt;=Settings!$B$5,BI$4&gt;TODAY())),"",IF(EOMONTH(BH$4,0)&lt;=Settings!$B$5,N(Settings!$C$25),N(Calc!$AK$63)))</f>
        <v/>
      </c>
      <c r="BJ13" s="31">
        <f>IF(OR(Settings!$A$25="",Settings!$F$25="Yes",OR(EOMONTH(BJ$4,0)&lt;=Settings!$B$5,BJ$4&gt;TODAY())),"",IF(EOMONTH(BI$4,0)&lt;=Settings!$B$5,N(Settings!$C$25),N(Calc!$AK$64)))</f>
        <v/>
      </c>
      <c r="BK13" s="31">
        <f>IF(OR(Settings!$A$25="",Settings!$F$25="Yes",OR(EOMONTH(BK$4,0)&lt;=Settings!$B$5,BK$4&gt;TODAY())),"",IF(EOMONTH(BJ$4,0)&lt;=Settings!$B$5,N(Settings!$C$25),N(Calc!$AK$65)))</f>
        <v/>
      </c>
      <c r="BL13" s="31">
        <f>IF(OR(Settings!$A$25="",Settings!$F$25="Yes",OR(EOMONTH(BL$4,0)&lt;=Settings!$B$5,BL$4&gt;TODAY())),"",IF(EOMONTH(BK$4,0)&lt;=Settings!$B$5,N(Settings!$C$25),N(Calc!$AK$66)))</f>
        <v/>
      </c>
      <c r="BM13" s="31">
        <f>IF(OR(Settings!$A$25="",Settings!$F$25="Yes",OR(EOMONTH(BM$4,0)&lt;=Settings!$B$5,BM$4&gt;TODAY())),"",IF(EOMONTH(BL$4,0)&lt;=Settings!$B$5,N(Settings!$C$25),N(Calc!$AK$67)))</f>
        <v/>
      </c>
      <c r="BN13" s="31">
        <f>IF(OR(Settings!$A$25="",Settings!$F$25="Yes",OR(EOMONTH(BN$4,0)&lt;=Settings!$B$5,BN$4&gt;TODAY())),"",IF(EOMONTH(BM$4,0)&lt;=Settings!$B$5,N(Settings!$C$25),N(Calc!$AK$68)))</f>
        <v/>
      </c>
      <c r="BO13" s="31">
        <f>IF(OR(Settings!$A$25="",Settings!$F$25="Yes",OR(EOMONTH(BO$4,0)&lt;=Settings!$B$5,BO$4&gt;TODAY())),"",IF(EOMONTH(BN$4,0)&lt;=Settings!$B$5,N(Settings!$C$25),N(Calc!$AK$69)))</f>
        <v/>
      </c>
      <c r="BP13" s="31">
        <f>IF(OR(Settings!$A$25="",Settings!$F$25="Yes",OR(EOMONTH(BP$4,0)&lt;=Settings!$B$5,BP$4&gt;TODAY())),"",IF(EOMONTH(BO$4,0)&lt;=Settings!$B$5,N(Settings!$C$25),N(Calc!$AK$70)))</f>
        <v/>
      </c>
      <c r="BQ13" s="31">
        <f>IF(OR(Settings!$A$25="",Settings!$F$25="Yes",OR(EOMONTH(BQ$4,0)&lt;=Settings!$B$5,BQ$4&gt;TODAY())),"",IF(EOMONTH(BP$4,0)&lt;=Settings!$B$5,N(Settings!$C$25),N(Calc!$AK$71)))</f>
        <v/>
      </c>
      <c r="BR13" s="31">
        <f>IF(OR(Settings!$A$25="",Settings!$F$25="Yes",OR(EOMONTH(BR$4,0)&lt;=Settings!$B$5,BR$4&gt;TODAY())),"",IF(EOMONTH(BQ$4,0)&lt;=Settings!$B$5,N(Settings!$C$25),N(Calc!$AK$72)))</f>
        <v/>
      </c>
      <c r="BS13" s="31">
        <f>IF(OR(Settings!$A$25="",Settings!$F$25="Yes",OR(EOMONTH(BS$4,0)&lt;=Settings!$B$5,BS$4&gt;TODAY())),"",IF(EOMONTH(BR$4,0)&lt;=Settings!$B$5,N(Settings!$C$25),N(Calc!$AK$73)))</f>
        <v/>
      </c>
      <c r="BT13" s="31">
        <f>IF(OR(Settings!$A$25="",Settings!$F$25="Yes",OR(EOMONTH(BT$4,0)&lt;=Settings!$B$5,BT$4&gt;TODAY())),"",IF(EOMONTH(BS$4,0)&lt;=Settings!$B$5,N(Settings!$C$25),N(Calc!$AK$74)))</f>
        <v/>
      </c>
      <c r="BU13" s="31">
        <f>IF(OR(Settings!$A$25="",Settings!$F$25="Yes",OR(EOMONTH(BU$4,0)&lt;=Settings!$B$5,BU$4&gt;TODAY())),"",IF(EOMONTH(BT$4,0)&lt;=Settings!$B$5,N(Settings!$C$25),N(Calc!$AK$75)))</f>
        <v/>
      </c>
      <c r="BV13" s="31">
        <f>IF(OR(Settings!$A$25="",Settings!$F$25="Yes",OR(EOMONTH(BV$4,0)&lt;=Settings!$B$5,BV$4&gt;TODAY())),"",IF(EOMONTH(BU$4,0)&lt;=Settings!$B$5,N(Settings!$C$25),N(Calc!$AK$76)))</f>
        <v/>
      </c>
      <c r="BW13" s="31">
        <f>IF(OR(Settings!$A$25="",Settings!$F$25="Yes",OR(EOMONTH(BW$4,0)&lt;=Settings!$B$5,BW$4&gt;TODAY())),"",IF(EOMONTH(BV$4,0)&lt;=Settings!$B$5,N(Settings!$C$25),N(Calc!$AK$77)))</f>
        <v/>
      </c>
      <c r="BX13" s="31">
        <f>IF(OR(Settings!$A$25="",Settings!$F$25="Yes",OR(EOMONTH(BX$4,0)&lt;=Settings!$B$5,BX$4&gt;TODAY())),"",IF(EOMONTH(BW$4,0)&lt;=Settings!$B$5,N(Settings!$C$25),N(Calc!$AK$78)))</f>
        <v/>
      </c>
      <c r="BY13" s="31">
        <f>IF(OR(Settings!$A$25="",Settings!$F$25="Yes",OR(EOMONTH(BY$4,0)&lt;=Settings!$B$5,BY$4&gt;TODAY())),"",IF(EOMONTH(BX$4,0)&lt;=Settings!$B$5,N(Settings!$C$25),N(Calc!$AK$79)))</f>
        <v/>
      </c>
      <c r="BZ13" s="31">
        <f>IF(OR(Settings!$A$25="",Settings!$F$25="Yes",OR(EOMONTH(BZ$4,0)&lt;=Settings!$B$5,BZ$4&gt;TODAY())),"",IF(EOMONTH(BY$4,0)&lt;=Settings!$B$5,N(Settings!$C$25),N(Calc!$AK$80)))</f>
        <v/>
      </c>
      <c r="CA13" s="31">
        <f>IF(OR(Settings!$A$25="",Settings!$F$25="Yes",OR(EOMONTH(CA$4,0)&lt;=Settings!$B$5,CA$4&gt;TODAY())),"",IF(EOMONTH(BZ$4,0)&lt;=Settings!$B$5,N(Settings!$C$25),N(Calc!$AK$81)))</f>
        <v/>
      </c>
      <c r="CB13" s="31">
        <f>IF(OR(Settings!$A$25="",Settings!$F$25="Yes",OR(EOMONTH(CB$4,0)&lt;=Settings!$B$5,CB$4&gt;TODAY())),"",IF(EOMONTH(CA$4,0)&lt;=Settings!$B$5,N(Settings!$C$25),N(Calc!$AK$82)))</f>
        <v/>
      </c>
      <c r="CC13" s="31">
        <f>IF(OR(Settings!$A$25="",Settings!$F$25="Yes",OR(EOMONTH(CC$4,0)&lt;=Settings!$B$5,CC$4&gt;TODAY())),"",IF(EOMONTH(CB$4,0)&lt;=Settings!$B$5,N(Settings!$C$25),N(Calc!$AK$83)))</f>
        <v/>
      </c>
      <c r="CD13" s="31">
        <f>IF(OR(Settings!$A$25="",Settings!$F$25="Yes",OR(EOMONTH(CD$4,0)&lt;=Settings!$B$5,CD$4&gt;TODAY())),"",IF(EOMONTH(CC$4,0)&lt;=Settings!$B$5,N(Settings!$C$25),N(Calc!$AK$84)))</f>
        <v/>
      </c>
      <c r="CE13" s="31">
        <f>IF(OR(Settings!$A$25="",Settings!$F$25="Yes",OR(EOMONTH(CE$4,0)&lt;=Settings!$B$5,CE$4&gt;TODAY())),"",IF(EOMONTH(CD$4,0)&lt;=Settings!$B$5,N(Settings!$C$25),N(Calc!$AK$85)))</f>
        <v/>
      </c>
      <c r="CF13" s="31">
        <f>IF(OR(Settings!$A$25="",Settings!$F$25="Yes",OR(EOMONTH(CF$4,0)&lt;=Settings!$B$5,CF$4&gt;TODAY())),"",IF(EOMONTH(CE$4,0)&lt;=Settings!$B$5,N(Settings!$C$25),N(Calc!$AK$86)))</f>
        <v/>
      </c>
      <c r="CG13" s="31">
        <f>IF(OR(Settings!$A$25="",Settings!$F$25="Yes",OR(EOMONTH(CG$4,0)&lt;=Settings!$B$5,CG$4&gt;TODAY())),"",IF(EOMONTH(CF$4,0)&lt;=Settings!$B$5,N(Settings!$C$25),N(Calc!$AK$87)))</f>
        <v/>
      </c>
      <c r="CH13" s="31">
        <f>IF(OR(Settings!$A$25="",Settings!$F$25="Yes",OR(EOMONTH(CH$4,0)&lt;=Settings!$B$5,CH$4&gt;TODAY())),"",IF(EOMONTH(CG$4,0)&lt;=Settings!$B$5,N(Settings!$C$25),N(Calc!$AK$88)))</f>
        <v/>
      </c>
      <c r="CI13" s="31">
        <f>IF(OR(Settings!$A$25="",Settings!$F$25="Yes",OR(EOMONTH(CI$4,0)&lt;=Settings!$B$5,CI$4&gt;TODAY())),"",IF(EOMONTH(CH$4,0)&lt;=Settings!$B$5,N(Settings!$C$25),N(Calc!$AK$89)))</f>
        <v/>
      </c>
      <c r="CJ13" s="31">
        <f>IF(OR(Settings!$A$25="",Settings!$F$25="Yes",OR(EOMONTH(CJ$4,0)&lt;=Settings!$B$5,CJ$4&gt;TODAY())),"",IF(EOMONTH(CI$4,0)&lt;=Settings!$B$5,N(Settings!$C$25),N(Calc!$AK$90)))</f>
        <v/>
      </c>
      <c r="CK13" s="31">
        <f>IF(OR(Settings!$A$25="",Settings!$F$25="Yes",OR(EOMONTH(CK$4,0)&lt;=Settings!$B$5,CK$4&gt;TODAY())),"",IF(EOMONTH(CJ$4,0)&lt;=Settings!$B$5,N(Settings!$C$25),N(Calc!$AK$91)))</f>
        <v/>
      </c>
      <c r="CL13" s="31">
        <f>IF(OR(Settings!$A$25="",Settings!$F$25="Yes",OR(EOMONTH(CL$4,0)&lt;=Settings!$B$5,CL$4&gt;TODAY())),"",IF(EOMONTH(CK$4,0)&lt;=Settings!$B$5,N(Settings!$C$25),N(Calc!$AK$92)))</f>
        <v/>
      </c>
      <c r="CM13" s="31">
        <f>IF(OR(Settings!$A$25="",Settings!$F$25="Yes",OR(EOMONTH(CM$4,0)&lt;=Settings!$B$5,CM$4&gt;TODAY())),"",IF(EOMONTH(CL$4,0)&lt;=Settings!$B$5,N(Settings!$C$25),N(Calc!$AK$93)))</f>
        <v/>
      </c>
      <c r="CN13" s="31">
        <f>IF(OR(Settings!$A$25="",Settings!$F$25="Yes",OR(EOMONTH(CN$4,0)&lt;=Settings!$B$5,CN$4&gt;TODAY())),"",IF(EOMONTH(CM$4,0)&lt;=Settings!$B$5,N(Settings!$C$25),N(Calc!$AK$94)))</f>
        <v/>
      </c>
      <c r="CO13" s="31">
        <f>IF(OR(Settings!$A$25="",Settings!$F$25="Yes",OR(EOMONTH(CO$4,0)&lt;=Settings!$B$5,CO$4&gt;TODAY())),"",IF(EOMONTH(CN$4,0)&lt;=Settings!$B$5,N(Settings!$C$25),N(Calc!$AK$95)))</f>
        <v/>
      </c>
      <c r="CP13" s="31">
        <f>IF(OR(Settings!$A$25="",Settings!$F$25="Yes",OR(EOMONTH(CP$4,0)&lt;=Settings!$B$5,CP$4&gt;TODAY())),"",IF(EOMONTH(CO$4,0)&lt;=Settings!$B$5,N(Settings!$C$25),N(Calc!$AK$96)))</f>
        <v/>
      </c>
      <c r="CQ13" s="31">
        <f>IF(OR(Settings!$A$25="",Settings!$F$25="Yes",OR(EOMONTH(CQ$4,0)&lt;=Settings!$B$5,CQ$4&gt;TODAY())),"",IF(EOMONTH(CP$4,0)&lt;=Settings!$B$5,N(Settings!$C$25),N(Calc!$AK$97)))</f>
        <v/>
      </c>
      <c r="CR13" s="31">
        <f>IF(OR(Settings!$A$25="",Settings!$F$25="Yes",OR(EOMONTH(CR$4,0)&lt;=Settings!$B$5,CR$4&gt;TODAY())),"",IF(EOMONTH(CQ$4,0)&lt;=Settings!$B$5,N(Settings!$C$25),N(Calc!$AK$98)))</f>
        <v/>
      </c>
      <c r="CS13" s="31">
        <f>IF(OR(Settings!$A$25="",Settings!$F$25="Yes",OR(EOMONTH(CS$4,0)&lt;=Settings!$B$5,CS$4&gt;TODAY())),"",IF(EOMONTH(CR$4,0)&lt;=Settings!$B$5,N(Settings!$C$25),N(Calc!$AK$99)))</f>
        <v/>
      </c>
      <c r="CT13" s="31">
        <f>IF(OR(Settings!$A$25="",Settings!$F$25="Yes",OR(EOMONTH(CT$4,0)&lt;=Settings!$B$5,CT$4&gt;TODAY())),"",IF(EOMONTH(CS$4,0)&lt;=Settings!$B$5,N(Settings!$C$25),N(Calc!$AK$100)))</f>
        <v/>
      </c>
      <c r="CU13" s="31">
        <f>IF(OR(Settings!$A$25="",Settings!$F$25="Yes",OR(EOMONTH(CU$4,0)&lt;=Settings!$B$5,CU$4&gt;TODAY())),"",IF(EOMONTH(CT$4,0)&lt;=Settings!$B$5,N(Settings!$C$25),N(Calc!$AK$101)))</f>
        <v/>
      </c>
      <c r="CV13" s="31">
        <f>IF(OR(Settings!$A$25="",Settings!$F$25="Yes",OR(EOMONTH(CV$4,0)&lt;=Settings!$B$5,CV$4&gt;TODAY())),"",IF(EOMONTH(CU$4,0)&lt;=Settings!$B$5,N(Settings!$C$25),N(Calc!$AK$102)))</f>
        <v/>
      </c>
      <c r="CW13" s="31">
        <f>IF(OR(Settings!$A$25="",Settings!$F$25="Yes",OR(EOMONTH(CW$4,0)&lt;=Settings!$B$5,CW$4&gt;TODAY())),"",IF(EOMONTH(CV$4,0)&lt;=Settings!$B$5,N(Settings!$C$25),N(Calc!$AK$103)))</f>
        <v/>
      </c>
      <c r="CX13" s="31">
        <f>IF(OR(Settings!$A$25="",Settings!$F$25="Yes",OR(EOMONTH(CX$4,0)&lt;=Settings!$B$5,CX$4&gt;TODAY())),"",IF(EOMONTH(CW$4,0)&lt;=Settings!$B$5,N(Settings!$C$25),N(Calc!$AK$104)))</f>
        <v/>
      </c>
      <c r="CY13" s="31">
        <f>IF(OR(Settings!$A$25="",Settings!$F$25="Yes",OR(EOMONTH(CY$4,0)&lt;=Settings!$B$5,CY$4&gt;TODAY())),"",IF(EOMONTH(CX$4,0)&lt;=Settings!$B$5,N(Settings!$C$25),N(Calc!$AK$105)))</f>
        <v/>
      </c>
      <c r="CZ13" s="31">
        <f>IF(OR(Settings!$A$25="",Settings!$F$25="Yes",OR(EOMONTH(CZ$4,0)&lt;=Settings!$B$5,CZ$4&gt;TODAY())),"",IF(EOMONTH(CY$4,0)&lt;=Settings!$B$5,N(Settings!$C$25),N(Calc!$AK$106)))</f>
        <v/>
      </c>
      <c r="DA13" s="31">
        <f>IF(OR(Settings!$A$25="",Settings!$F$25="Yes",OR(EOMONTH(DA$4,0)&lt;=Settings!$B$5,DA$4&gt;TODAY())),"",IF(EOMONTH(CZ$4,0)&lt;=Settings!$B$5,N(Settings!$C$25),N(Calc!$AK$107)))</f>
        <v/>
      </c>
      <c r="DB13" s="31">
        <f>IF(OR(Settings!$A$25="",Settings!$F$25="Yes",OR(EOMONTH(DB$4,0)&lt;=Settings!$B$5,DB$4&gt;TODAY())),"",IF(EOMONTH(DA$4,0)&lt;=Settings!$B$5,N(Settings!$C$25),N(Calc!$AK$108)))</f>
        <v/>
      </c>
      <c r="DC13" s="31">
        <f>IF(OR(Settings!$A$25="",Settings!$F$25="Yes",OR(EOMONTH(DC$4,0)&lt;=Settings!$B$5,DC$4&gt;TODAY())),"",IF(EOMONTH(DB$4,0)&lt;=Settings!$B$5,N(Settings!$C$25),N(Calc!$AK$109)))</f>
        <v/>
      </c>
      <c r="DD13" s="31">
        <f>IF(OR(Settings!$A$25="",Settings!$F$25="Yes",OR(EOMONTH(DD$4,0)&lt;=Settings!$B$5,DD$4&gt;TODAY())),"",IF(EOMONTH(DC$4,0)&lt;=Settings!$B$5,N(Settings!$C$25),N(Calc!$AK$110)))</f>
        <v/>
      </c>
      <c r="DE13" s="31">
        <f>IF(OR(Settings!$A$25="",Settings!$F$25="Yes",OR(EOMONTH(DE$4,0)&lt;=Settings!$B$5,DE$4&gt;TODAY())),"",IF(EOMONTH(DD$4,0)&lt;=Settings!$B$5,N(Settings!$C$25),N(Calc!$AK$111)))</f>
        <v/>
      </c>
      <c r="DF13" s="31">
        <f>IF(OR(Settings!$A$25="",Settings!$F$25="Yes",OR(EOMONTH(DF$4,0)&lt;=Settings!$B$5,DF$4&gt;TODAY())),"",IF(EOMONTH(DE$4,0)&lt;=Settings!$B$5,N(Settings!$C$25),N(Calc!$AK$112)))</f>
        <v/>
      </c>
      <c r="DG13" s="31">
        <f>IF(OR(Settings!$A$25="",Settings!$F$25="Yes",OR(EOMONTH(DG$4,0)&lt;=Settings!$B$5,DG$4&gt;TODAY())),"",IF(EOMONTH(DF$4,0)&lt;=Settings!$B$5,N(Settings!$C$25),N(Calc!$AK$113)))</f>
        <v/>
      </c>
      <c r="DH13" s="31">
        <f>IF(OR(Settings!$A$25="",Settings!$F$25="Yes",OR(EOMONTH(DH$4,0)&lt;=Settings!$B$5,DH$4&gt;TODAY())),"",IF(EOMONTH(DG$4,0)&lt;=Settings!$B$5,N(Settings!$C$25),N(Calc!$AK$114)))</f>
        <v/>
      </c>
      <c r="DI13" s="31">
        <f>IF(OR(Settings!$A$25="",Settings!$F$25="Yes",OR(EOMONTH(DI$4,0)&lt;=Settings!$B$5,DI$4&gt;TODAY())),"",IF(EOMONTH(DH$4,0)&lt;=Settings!$B$5,N(Settings!$C$25),N(Calc!$AK$115)))</f>
        <v/>
      </c>
      <c r="DJ13" s="31">
        <f>IF(OR(Settings!$A$25="",Settings!$F$25="Yes",OR(EOMONTH(DJ$4,0)&lt;=Settings!$B$5,DJ$4&gt;TODAY())),"",IF(EOMONTH(DI$4,0)&lt;=Settings!$B$5,N(Settings!$C$25),N(Calc!$AK$116)))</f>
        <v/>
      </c>
      <c r="DK13" s="31">
        <f>IF(OR(Settings!$A$25="",Settings!$F$25="Yes",OR(EOMONTH(DK$4,0)&lt;=Settings!$B$5,DK$4&gt;TODAY())),"",IF(EOMONTH(DJ$4,0)&lt;=Settings!$B$5,N(Settings!$C$25),N(Calc!$AK$117)))</f>
        <v/>
      </c>
      <c r="DL13" s="31">
        <f>IF(OR(Settings!$A$25="",Settings!$F$25="Yes",OR(EOMONTH(DL$4,0)&lt;=Settings!$B$5,DL$4&gt;TODAY())),"",IF(EOMONTH(DK$4,0)&lt;=Settings!$B$5,N(Settings!$C$25),N(Calc!$AK$118)))</f>
        <v/>
      </c>
      <c r="DM13" s="31">
        <f>IF(OR(Settings!$A$25="",Settings!$F$25="Yes",OR(EOMONTH(DM$4,0)&lt;=Settings!$B$5,DM$4&gt;TODAY())),"",IF(EOMONTH(DL$4,0)&lt;=Settings!$B$5,N(Settings!$C$25),N(Calc!$AK$119)))</f>
        <v/>
      </c>
      <c r="DN13" s="31">
        <f>IF(OR(Settings!$A$25="",Settings!$F$25="Yes",OR(EOMONTH(DN$4,0)&lt;=Settings!$B$5,DN$4&gt;TODAY())),"",IF(EOMONTH(DM$4,0)&lt;=Settings!$B$5,N(Settings!$C$25),N(Calc!$AK$120)))</f>
        <v/>
      </c>
      <c r="DO13" s="31">
        <f>IF(OR(Settings!$A$25="",Settings!$F$25="Yes",OR(EOMONTH(DO$4,0)&lt;=Settings!$B$5,DO$4&gt;TODAY())),"",IF(EOMONTH(DN$4,0)&lt;=Settings!$B$5,N(Settings!$C$25),N(Calc!$AK$121)))</f>
        <v/>
      </c>
      <c r="DP13" s="31">
        <f>IF(OR(Settings!$A$25="",Settings!$F$25="Yes",OR(EOMONTH(DP$4,0)&lt;=Settings!$B$5,DP$4&gt;TODAY())),"",IF(EOMONTH(DO$4,0)&lt;=Settings!$B$5,N(Settings!$C$25),N(Calc!$AK$122)))</f>
        <v/>
      </c>
      <c r="DQ13" s="31">
        <f>IF(OR(Settings!$A$25="",Settings!$F$25="Yes",OR(EOMONTH(DQ$4,0)&lt;=Settings!$B$5,DQ$4&gt;TODAY())),"",IF(EOMONTH(DP$4,0)&lt;=Settings!$B$5,N(Settings!$C$25),N(Calc!$AK$123)))</f>
        <v/>
      </c>
      <c r="DR13" s="31">
        <f>IF(OR(Settings!$A$25="",Settings!$F$25="Yes",OR(EOMONTH(DR$4,0)&lt;=Settings!$B$5,DR$4&gt;TODAY())),"",IF(EOMONTH(DQ$4,0)&lt;=Settings!$B$5,N(Settings!$C$25),N(Calc!$AK$124)))</f>
        <v/>
      </c>
      <c r="DS13" s="31">
        <f>IF(OR(Settings!$A$25="",Settings!$F$25="Yes",OR(EOMONTH(DS$4,0)&lt;=Settings!$B$5,DS$4&gt;TODAY())),"",IF(EOMONTH(DR$4,0)&lt;=Settings!$B$5,N(Settings!$C$25),N(Calc!$AK$125)))</f>
        <v/>
      </c>
      <c r="DT13" s="31">
        <f>IF(OR(Settings!$A$25="",Settings!$F$25="Yes",OR(EOMONTH(DT$4,0)&lt;=Settings!$B$5,DT$4&gt;TODAY())),"",IF(EOMONTH(DS$4,0)&lt;=Settings!$B$5,N(Settings!$C$25),N(Calc!$AK$126)))</f>
        <v/>
      </c>
      <c r="DU13" s="31">
        <f>IF(OR(Settings!$A$25="",Settings!$F$25="Yes",OR(EOMONTH(DU$4,0)&lt;=Settings!$B$5,DU$4&gt;TODAY())),"",IF(EOMONTH(DT$4,0)&lt;=Settings!$B$5,N(Settings!$C$25),N(Calc!$AK$127)))</f>
        <v/>
      </c>
      <c r="DV13" s="31">
        <f>IF(OR(Settings!$A$25="",Settings!$F$25="Yes",OR(EOMONTH(DV$4,0)&lt;=Settings!$B$5,DV$4&gt;TODAY())),"",IF(EOMONTH(DU$4,0)&lt;=Settings!$B$5,N(Settings!$C$25),N(Calc!$AK$128)))</f>
        <v/>
      </c>
      <c r="DW13" s="31">
        <f>IF(OR(Settings!$A$25="",Settings!$F$25="Yes",OR(EOMONTH(DW$4,0)&lt;=Settings!$B$5,DW$4&gt;TODAY())),"",IF(EOMONTH(DV$4,0)&lt;=Settings!$B$5,N(Settings!$C$25),N(Calc!$AK$129)))</f>
        <v/>
      </c>
      <c r="DX13" s="31">
        <f>IF(OR(Settings!$A$25="",Settings!$F$25="Yes",OR(EOMONTH(DX$4,0)&lt;=Settings!$B$5,DX$4&gt;TODAY())),"",IF(EOMONTH(DW$4,0)&lt;=Settings!$B$5,N(Settings!$C$25),N(Calc!$AK$130)))</f>
        <v/>
      </c>
      <c r="DY13" s="31">
        <f>IF(OR(Settings!$A$25="",Settings!$F$25="Yes",OR(EOMONTH(DY$4,0)&lt;=Settings!$B$5,DY$4&gt;TODAY())),"",IF(EOMONTH(DX$4,0)&lt;=Settings!$B$5,N(Settings!$C$25),N(Calc!$AK$131)))</f>
        <v/>
      </c>
      <c r="DZ13" s="31">
        <f>IF(OR(Settings!$A$25="",Settings!$F$25="Yes",OR(EOMONTH(DZ$4,0)&lt;=Settings!$B$5,DZ$4&gt;TODAY())),"",IF(EOMONTH(DY$4,0)&lt;=Settings!$B$5,N(Settings!$C$25),N(Calc!$AK$132)))</f>
        <v/>
      </c>
      <c r="EA13" s="31">
        <f>IF(OR(Settings!$A$25="",Settings!$F$25="Yes",OR(EOMONTH(EA$4,0)&lt;=Settings!$B$5,EA$4&gt;TODAY())),"",IF(EOMONTH(DZ$4,0)&lt;=Settings!$B$5,N(Settings!$C$25),N(Calc!$AK$133)))</f>
        <v/>
      </c>
      <c r="EB13" s="31">
        <f>IF(OR(Settings!$A$25="",Settings!$F$25="Yes",OR(EOMONTH(EB$4,0)&lt;=Settings!$B$5,EB$4&gt;TODAY())),"",IF(EOMONTH(EA$4,0)&lt;=Settings!$B$5,N(Settings!$C$25),N(Calc!$AK$134)))</f>
        <v/>
      </c>
      <c r="EC13" s="31">
        <f>IF(OR(Settings!$A$25="",Settings!$F$25="Yes",OR(EOMONTH(EC$4,0)&lt;=Settings!$B$5,EC$4&gt;TODAY())),"",IF(EOMONTH(EB$4,0)&lt;=Settings!$B$5,N(Settings!$C$25),N(Calc!$AK$135)))</f>
        <v/>
      </c>
      <c r="ED13" s="31">
        <f>IF(OR(Settings!$A$25="",Settings!$F$25="Yes",OR(EOMONTH(ED$4,0)&lt;=Settings!$B$5,ED$4&gt;TODAY())),"",IF(EOMONTH(EC$4,0)&lt;=Settings!$B$5,N(Settings!$C$25),N(Calc!$AK$136)))</f>
        <v/>
      </c>
      <c r="EE13" s="31">
        <f>IF(OR(Settings!$A$25="",Settings!$F$25="Yes",OR(EOMONTH(EE$4,0)&lt;=Settings!$B$5,EE$4&gt;TODAY())),"",IF(EOMONTH(ED$4,0)&lt;=Settings!$B$5,N(Settings!$C$25),N(Calc!$AK$137)))</f>
        <v/>
      </c>
      <c r="EF13" s="31">
        <f>IF(OR(Settings!$A$25="",Settings!$F$25="Yes",OR(EOMONTH(EF$4,0)&lt;=Settings!$B$5,EF$4&gt;TODAY())),"",IF(EOMONTH(EE$4,0)&lt;=Settings!$B$5,N(Settings!$C$25),N(Calc!$AK$138)))</f>
        <v/>
      </c>
      <c r="EG13" s="31">
        <f>IF(OR(Settings!$A$25="",Settings!$F$25="Yes",OR(EOMONTH(EG$4,0)&lt;=Settings!$B$5,EG$4&gt;TODAY())),"",IF(EOMONTH(EF$4,0)&lt;=Settings!$B$5,N(Settings!$C$25),N(Calc!$AK$139)))</f>
        <v/>
      </c>
      <c r="EH13" s="31">
        <f>IF(OR(Settings!$A$25="",Settings!$F$25="Yes",OR(EOMONTH(EH$4,0)&lt;=Settings!$B$5,EH$4&gt;TODAY())),"",IF(EOMONTH(EG$4,0)&lt;=Settings!$B$5,N(Settings!$C$25),N(Calc!$AK$140)))</f>
        <v/>
      </c>
      <c r="EI13" s="31">
        <f>IF(OR(Settings!$A$25="",Settings!$F$25="Yes",OR(EOMONTH(EI$4,0)&lt;=Settings!$B$5,EI$4&gt;TODAY())),"",IF(EOMONTH(EH$4,0)&lt;=Settings!$B$5,N(Settings!$C$25),N(Calc!$AK$141)))</f>
        <v/>
      </c>
      <c r="EJ13" s="31">
        <f>IF(OR(Settings!$A$25="",Settings!$F$25="Yes",OR(EOMONTH(EJ$4,0)&lt;=Settings!$B$5,EJ$4&gt;TODAY())),"",IF(EOMONTH(EI$4,0)&lt;=Settings!$B$5,N(Settings!$C$25),N(Calc!$AK$142)))</f>
        <v/>
      </c>
      <c r="EK13" s="31">
        <f>IF(OR(Settings!$A$25="",Settings!$F$25="Yes",OR(EOMONTH(EK$4,0)&lt;=Settings!$B$5,EK$4&gt;TODAY())),"",IF(EOMONTH(EJ$4,0)&lt;=Settings!$B$5,N(Settings!$C$25),N(Calc!$AK$143)))</f>
        <v/>
      </c>
      <c r="EL13" s="31">
        <f>IF(OR(Settings!$A$25="",Settings!$F$25="Yes",OR(EOMONTH(EL$4,0)&lt;=Settings!$B$5,EL$4&gt;TODAY())),"",IF(EOMONTH(EK$4,0)&lt;=Settings!$B$5,N(Settings!$C$25),N(Calc!$AK$144)))</f>
        <v/>
      </c>
      <c r="EM13" s="31">
        <f>IF(OR(Settings!$A$25="",Settings!$F$25="Yes",OR(EOMONTH(EM$4,0)&lt;=Settings!$B$5,EM$4&gt;TODAY())),"",IF(EOMONTH(EL$4,0)&lt;=Settings!$B$5,N(Settings!$C$25),N(Calc!$AK$145)))</f>
        <v/>
      </c>
      <c r="EN13" s="31">
        <f>IF(OR(Settings!$A$25="",Settings!$F$25="Yes",OR(EOMONTH(EN$4,0)&lt;=Settings!$B$5,EN$4&gt;TODAY())),"",IF(EOMONTH(EM$4,0)&lt;=Settings!$B$5,N(Settings!$C$25),N(Calc!$AK$146)))</f>
        <v/>
      </c>
      <c r="EO13" s="31">
        <f>IF(OR(Settings!$A$25="",Settings!$F$25="Yes",OR(EOMONTH(EO$4,0)&lt;=Settings!$B$5,EO$4&gt;TODAY())),"",IF(EOMONTH(EN$4,0)&lt;=Settings!$B$5,N(Settings!$C$25),N(Calc!$AK$147)))</f>
        <v/>
      </c>
      <c r="EP13" s="31">
        <f>IF(OR(Settings!$A$25="",Settings!$F$25="Yes",OR(EOMONTH(EP$4,0)&lt;=Settings!$B$5,EP$4&gt;TODAY())),"",IF(EOMONTH(EO$4,0)&lt;=Settings!$B$5,N(Settings!$C$25),N(Calc!$AK$148)))</f>
        <v/>
      </c>
      <c r="EQ13" s="31">
        <f>IF(OR(Settings!$A$25="",Settings!$F$25="Yes",OR(EOMONTH(EQ$4,0)&lt;=Settings!$B$5,EQ$4&gt;TODAY())),"",IF(EOMONTH(EP$4,0)&lt;=Settings!$B$5,N(Settings!$C$25),N(Calc!$AK$149)))</f>
        <v/>
      </c>
      <c r="ER13" s="31">
        <f>IF(OR(Settings!$A$25="",Settings!$F$25="Yes",OR(EOMONTH(ER$4,0)&lt;=Settings!$B$5,ER$4&gt;TODAY())),"",IF(EOMONTH(EQ$4,0)&lt;=Settings!$B$5,N(Settings!$C$25),N(Calc!$AK$150)))</f>
        <v/>
      </c>
      <c r="ES13" s="31">
        <f>IF(OR(Settings!$A$25="",Settings!$F$25="Yes",OR(EOMONTH(ES$4,0)&lt;=Settings!$B$5,ES$4&gt;TODAY())),"",IF(EOMONTH(ER$4,0)&lt;=Settings!$B$5,N(Settings!$C$25),N(Calc!$AK$151)))</f>
        <v/>
      </c>
      <c r="ET13" s="31">
        <f>IF(OR(Settings!$A$25="",Settings!$F$25="Yes",OR(EOMONTH(ET$4,0)&lt;=Settings!$B$5,ET$4&gt;TODAY())),"",IF(EOMONTH(ES$4,0)&lt;=Settings!$B$5,N(Settings!$C$25),N(Calc!$AK$152)))</f>
        <v/>
      </c>
      <c r="EU13" s="31">
        <f>IF(OR(Settings!$A$25="",Settings!$F$25="Yes",OR(EOMONTH(EU$4,0)&lt;=Settings!$B$5,EU$4&gt;TODAY())),"",IF(EOMONTH(ET$4,0)&lt;=Settings!$B$5,N(Settings!$C$25),N(Calc!$AK$153)))</f>
        <v/>
      </c>
      <c r="EV13" s="31">
        <f>IF(OR(Settings!$A$25="",Settings!$F$25="Yes",OR(EOMONTH(EV$4,0)&lt;=Settings!$B$5,EV$4&gt;TODAY())),"",IF(EOMONTH(EU$4,0)&lt;=Settings!$B$5,N(Settings!$C$25),N(Calc!$AK$154)))</f>
        <v/>
      </c>
      <c r="EW13" s="31">
        <f>IF(OR(Settings!$A$25="",Settings!$F$25="Yes",OR(EOMONTH(EW$4,0)&lt;=Settings!$B$5,EW$4&gt;TODAY())),"",IF(EOMONTH(EV$4,0)&lt;=Settings!$B$5,N(Settings!$C$25),N(Calc!$AK$155)))</f>
        <v/>
      </c>
      <c r="EX13" s="31">
        <f>IF(OR(Settings!$A$25="",Settings!$F$25="Yes",OR(EOMONTH(EX$4,0)&lt;=Settings!$B$5,EX$4&gt;TODAY())),"",IF(EOMONTH(EW$4,0)&lt;=Settings!$B$5,N(Settings!$C$25),N(Calc!$AK$156)))</f>
        <v/>
      </c>
      <c r="EY13" s="31">
        <f>IF(OR(Settings!$A$25="",Settings!$F$25="Yes",OR(EOMONTH(EY$4,0)&lt;=Settings!$B$5,EY$4&gt;TODAY())),"",IF(EOMONTH(EX$4,0)&lt;=Settings!$B$5,N(Settings!$C$25),N(Calc!$AK$157)))</f>
        <v/>
      </c>
      <c r="EZ13" s="31">
        <f>IF(OR(Settings!$A$25="",Settings!$F$25="Yes",OR(EOMONTH(EZ$4,0)&lt;=Settings!$B$5,EZ$4&gt;TODAY())),"",IF(EOMONTH(EY$4,0)&lt;=Settings!$B$5,N(Settings!$C$25),N(Calc!$AK$158)))</f>
        <v/>
      </c>
      <c r="FA13" s="31">
        <f>IF(OR(Settings!$A$25="",Settings!$F$25="Yes",OR(EOMONTH(FA$4,0)&lt;=Settings!$B$5,FA$4&gt;TODAY())),"",IF(EOMONTH(EZ$4,0)&lt;=Settings!$B$5,N(Settings!$C$25),N(Calc!$AK$159)))</f>
        <v/>
      </c>
      <c r="FB13" s="31">
        <f>IF(OR(Settings!$A$25="",Settings!$F$25="Yes",OR(EOMONTH(FB$4,0)&lt;=Settings!$B$5,FB$4&gt;TODAY())),"",IF(EOMONTH(FA$4,0)&lt;=Settings!$B$5,N(Settings!$C$25),N(Calc!$AK$160)))</f>
        <v/>
      </c>
      <c r="FC13" s="31">
        <f>IF(OR(Settings!$A$25="",Settings!$F$25="Yes",OR(EOMONTH(FC$4,0)&lt;=Settings!$B$5,FC$4&gt;TODAY())),"",IF(EOMONTH(FB$4,0)&lt;=Settings!$B$5,N(Settings!$C$25),N(Calc!$AK$161)))</f>
        <v/>
      </c>
      <c r="FD13" s="31">
        <f>IF(OR(Settings!$A$25="",Settings!$F$25="Yes",OR(EOMONTH(FD$4,0)&lt;=Settings!$B$5,FD$4&gt;TODAY())),"",IF(EOMONTH(FC$4,0)&lt;=Settings!$B$5,N(Settings!$C$25),N(Calc!$AK$162)))</f>
        <v/>
      </c>
      <c r="FE13" s="31">
        <f>IF(OR(Settings!$A$25="",Settings!$F$25="Yes",OR(EOMONTH(FE$4,0)&lt;=Settings!$B$5,FE$4&gt;TODAY())),"",IF(EOMONTH(FD$4,0)&lt;=Settings!$B$5,N(Settings!$C$25),N(Calc!$AK$163)))</f>
        <v/>
      </c>
      <c r="FF13" s="31">
        <f>IF(OR(Settings!$A$25="",Settings!$F$25="Yes",OR(EOMONTH(FF$4,0)&lt;=Settings!$B$5,FF$4&gt;TODAY())),"",IF(EOMONTH(FE$4,0)&lt;=Settings!$B$5,N(Settings!$C$25),N(Calc!$AK$164)))</f>
        <v/>
      </c>
      <c r="FG13" s="31">
        <f>IF(OR(Settings!$A$25="",Settings!$F$25="Yes",OR(EOMONTH(FG$4,0)&lt;=Settings!$B$5,FG$4&gt;TODAY())),"",IF(EOMONTH(FF$4,0)&lt;=Settings!$B$5,N(Settings!$C$25),N(Calc!$AK$165)))</f>
        <v/>
      </c>
      <c r="FH13" s="31">
        <f>IF(OR(Settings!$A$25="",Settings!$F$25="Yes",OR(EOMONTH(FH$4,0)&lt;=Settings!$B$5,FH$4&gt;TODAY())),"",IF(EOMONTH(FG$4,0)&lt;=Settings!$B$5,N(Settings!$C$25),N(Calc!$AK$166)))</f>
        <v/>
      </c>
      <c r="FI13" s="31">
        <f>IF(OR(Settings!$A$25="",Settings!$F$25="Yes",OR(EOMONTH(FI$4,0)&lt;=Settings!$B$5,FI$4&gt;TODAY())),"",IF(EOMONTH(FH$4,0)&lt;=Settings!$B$5,N(Settings!$C$25),N(Calc!$AK$167)))</f>
        <v/>
      </c>
      <c r="FJ13" s="31">
        <f>IF(OR(Settings!$A$25="",Settings!$F$25="Yes",OR(EOMONTH(FJ$4,0)&lt;=Settings!$B$5,FJ$4&gt;TODAY())),"",IF(EOMONTH(FI$4,0)&lt;=Settings!$B$5,N(Settings!$C$25),N(Calc!$AK$168)))</f>
        <v/>
      </c>
      <c r="FK13" s="31">
        <f>IF(OR(Settings!$A$25="",Settings!$F$25="Yes",OR(EOMONTH(FK$4,0)&lt;=Settings!$B$5,FK$4&gt;TODAY())),"",IF(EOMONTH(FJ$4,0)&lt;=Settings!$B$5,N(Settings!$C$25),N(Calc!$AK$169)))</f>
        <v/>
      </c>
      <c r="FL13" s="31">
        <f>IF(OR(Settings!$A$25="",Settings!$F$25="Yes",OR(EOMONTH(FL$4,0)&lt;=Settings!$B$5,FL$4&gt;TODAY())),"",IF(EOMONTH(FK$4,0)&lt;=Settings!$B$5,N(Settings!$C$25),N(Calc!$AK$170)))</f>
        <v/>
      </c>
      <c r="FM13" s="31">
        <f>IF(OR(Settings!$A$25="",Settings!$F$25="Yes",OR(EOMONTH(FM$4,0)&lt;=Settings!$B$5,FM$4&gt;TODAY())),"",IF(EOMONTH(FL$4,0)&lt;=Settings!$B$5,N(Settings!$C$25),N(Calc!$AK$171)))</f>
        <v/>
      </c>
      <c r="FN13" s="31">
        <f>IF(OR(Settings!$A$25="",Settings!$F$25="Yes",OR(EOMONTH(FN$4,0)&lt;=Settings!$B$5,FN$4&gt;TODAY())),"",IF(EOMONTH(FM$4,0)&lt;=Settings!$B$5,N(Settings!$C$25),N(Calc!$AK$172)))</f>
        <v/>
      </c>
      <c r="FO13" s="31">
        <f>IF(OR(Settings!$A$25="",Settings!$F$25="Yes",OR(EOMONTH(FO$4,0)&lt;=Settings!$B$5,FO$4&gt;TODAY())),"",IF(EOMONTH(FN$4,0)&lt;=Settings!$B$5,N(Settings!$C$25),N(Calc!$AK$173)))</f>
        <v/>
      </c>
      <c r="FP13" s="31">
        <f>IF(OR(Settings!$A$25="",Settings!$F$25="Yes",OR(EOMONTH(FP$4,0)&lt;=Settings!$B$5,FP$4&gt;TODAY())),"",IF(EOMONTH(FO$4,0)&lt;=Settings!$B$5,N(Settings!$C$25),N(Calc!$AK$174)))</f>
        <v/>
      </c>
      <c r="FQ13" s="31">
        <f>IF(OR(Settings!$A$25="",Settings!$F$25="Yes",OR(EOMONTH(FQ$4,0)&lt;=Settings!$B$5,FQ$4&gt;TODAY())),"",IF(EOMONTH(FP$4,0)&lt;=Settings!$B$5,N(Settings!$C$25),N(Calc!$AK$175)))</f>
        <v/>
      </c>
      <c r="FR13" s="31">
        <f>IF(OR(Settings!$A$25="",Settings!$F$25="Yes",OR(EOMONTH(FR$4,0)&lt;=Settings!$B$5,FR$4&gt;TODAY())),"",IF(EOMONTH(FQ$4,0)&lt;=Settings!$B$5,N(Settings!$C$25),N(Calc!$AK$176)))</f>
        <v/>
      </c>
      <c r="FS13" s="31">
        <f>IF(OR(Settings!$A$25="",Settings!$F$25="Yes",OR(EOMONTH(FS$4,0)&lt;=Settings!$B$5,FS$4&gt;TODAY())),"",IF(EOMONTH(FR$4,0)&lt;=Settings!$B$5,N(Settings!$C$25),N(Calc!$AK$177)))</f>
        <v/>
      </c>
      <c r="FT13" s="31">
        <f>IF(OR(Settings!$A$25="",Settings!$F$25="Yes",OR(EOMONTH(FT$4,0)&lt;=Settings!$B$5,FT$4&gt;TODAY())),"",IF(EOMONTH(FS$4,0)&lt;=Settings!$B$5,N(Settings!$C$25),N(Calc!$AK$178)))</f>
        <v/>
      </c>
      <c r="FU13" s="31">
        <f>IF(OR(Settings!$A$25="",Settings!$F$25="Yes",OR(EOMONTH(FU$4,0)&lt;=Settings!$B$5,FU$4&gt;TODAY())),"",IF(EOMONTH(FT$4,0)&lt;=Settings!$B$5,N(Settings!$C$25),N(Calc!$AK$179)))</f>
        <v/>
      </c>
      <c r="FV13" s="31">
        <f>IF(OR(Settings!$A$25="",Settings!$F$25="Yes",OR(EOMONTH(FV$4,0)&lt;=Settings!$B$5,FV$4&gt;TODAY())),"",IF(EOMONTH(FU$4,0)&lt;=Settings!$B$5,N(Settings!$C$25),N(Calc!$AK$180)))</f>
        <v/>
      </c>
      <c r="FW13" s="31">
        <f>IF(OR(Settings!$A$25="",Settings!$F$25="Yes",OR(EOMONTH(FW$4,0)&lt;=Settings!$B$5,FW$4&gt;TODAY())),"",IF(EOMONTH(FV$4,0)&lt;=Settings!$B$5,N(Settings!$C$25),N(Calc!$AK$181)))</f>
        <v/>
      </c>
      <c r="FX13" s="31">
        <f>IF(OR(Settings!$A$25="",Settings!$F$25="Yes",OR(EOMONTH(FX$4,0)&lt;=Settings!$B$5,FX$4&gt;TODAY())),"",IF(EOMONTH(FW$4,0)&lt;=Settings!$B$5,N(Settings!$C$25),N(Calc!$AK$182)))</f>
        <v/>
      </c>
    </row>
    <row r="14">
      <c r="A14" s="15">
        <f>IF(Settings!$A$26="","(unused)",Settings!$A$26&amp;IF(Settings!$E$26="No"," (retired)",""))</f>
        <v/>
      </c>
      <c r="B14" s="26">
        <f>IF(Settings!$A$26="","",IF(Settings!$F$26="Yes","REQUIRED","optional · grey = unchanged")&amp;IF(OR(Settings!$B$26="Card",Settings!$B$26="Loan")," · amount owed",""))</f>
        <v/>
      </c>
      <c r="C14" s="31">
        <f>IF(OR(Settings!$A$26="",Settings!$F$26="Yes",OR(EOMONTH(C$4,0)&lt;=Settings!$B$5,C$4&gt;TODAY())),"",N(Settings!$C$26))</f>
        <v/>
      </c>
      <c r="D14" s="31">
        <f>IF(OR(Settings!$A$26="",Settings!$F$26="Yes",OR(EOMONTH(D$4,0)&lt;=Settings!$B$5,D$4&gt;TODAY())),"",IF(EOMONTH(C$4,0)&lt;=Settings!$B$5,N(Settings!$C$26),N(Calc!$AL$6)))</f>
        <v/>
      </c>
      <c r="E14" s="31">
        <f>IF(OR(Settings!$A$26="",Settings!$F$26="Yes",OR(EOMONTH(E$4,0)&lt;=Settings!$B$5,E$4&gt;TODAY())),"",IF(EOMONTH(D$4,0)&lt;=Settings!$B$5,N(Settings!$C$26),N(Calc!$AL$7)))</f>
        <v/>
      </c>
      <c r="F14" s="31">
        <f>IF(OR(Settings!$A$26="",Settings!$F$26="Yes",OR(EOMONTH(F$4,0)&lt;=Settings!$B$5,F$4&gt;TODAY())),"",IF(EOMONTH(E$4,0)&lt;=Settings!$B$5,N(Settings!$C$26),N(Calc!$AL$8)))</f>
        <v/>
      </c>
      <c r="G14" s="31">
        <f>IF(OR(Settings!$A$26="",Settings!$F$26="Yes",OR(EOMONTH(G$4,0)&lt;=Settings!$B$5,G$4&gt;TODAY())),"",IF(EOMONTH(F$4,0)&lt;=Settings!$B$5,N(Settings!$C$26),N(Calc!$AL$9)))</f>
        <v/>
      </c>
      <c r="H14" s="31">
        <f>IF(OR(Settings!$A$26="",Settings!$F$26="Yes",OR(EOMONTH(H$4,0)&lt;=Settings!$B$5,H$4&gt;TODAY())),"",IF(EOMONTH(G$4,0)&lt;=Settings!$B$5,N(Settings!$C$26),N(Calc!$AL$10)))</f>
        <v/>
      </c>
      <c r="I14" s="31">
        <f>IF(OR(Settings!$A$26="",Settings!$F$26="Yes",OR(EOMONTH(I$4,0)&lt;=Settings!$B$5,I$4&gt;TODAY())),"",IF(EOMONTH(H$4,0)&lt;=Settings!$B$5,N(Settings!$C$26),N(Calc!$AL$11)))</f>
        <v/>
      </c>
      <c r="J14" s="31">
        <f>IF(OR(Settings!$A$26="",Settings!$F$26="Yes",OR(EOMONTH(J$4,0)&lt;=Settings!$B$5,J$4&gt;TODAY())),"",IF(EOMONTH(I$4,0)&lt;=Settings!$B$5,N(Settings!$C$26),N(Calc!$AL$12)))</f>
        <v/>
      </c>
      <c r="K14" s="31">
        <f>IF(OR(Settings!$A$26="",Settings!$F$26="Yes",OR(EOMONTH(K$4,0)&lt;=Settings!$B$5,K$4&gt;TODAY())),"",IF(EOMONTH(J$4,0)&lt;=Settings!$B$5,N(Settings!$C$26),N(Calc!$AL$13)))</f>
        <v/>
      </c>
      <c r="L14" s="31">
        <f>IF(OR(Settings!$A$26="",Settings!$F$26="Yes",OR(EOMONTH(L$4,0)&lt;=Settings!$B$5,L$4&gt;TODAY())),"",IF(EOMONTH(K$4,0)&lt;=Settings!$B$5,N(Settings!$C$26),N(Calc!$AL$14)))</f>
        <v/>
      </c>
      <c r="M14" s="31">
        <f>IF(OR(Settings!$A$26="",Settings!$F$26="Yes",OR(EOMONTH(M$4,0)&lt;=Settings!$B$5,M$4&gt;TODAY())),"",IF(EOMONTH(L$4,0)&lt;=Settings!$B$5,N(Settings!$C$26),N(Calc!$AL$15)))</f>
        <v/>
      </c>
      <c r="N14" s="31">
        <f>IF(OR(Settings!$A$26="",Settings!$F$26="Yes",OR(EOMONTH(N$4,0)&lt;=Settings!$B$5,N$4&gt;TODAY())),"",IF(EOMONTH(M$4,0)&lt;=Settings!$B$5,N(Settings!$C$26),N(Calc!$AL$16)))</f>
        <v/>
      </c>
      <c r="O14" s="31">
        <f>IF(OR(Settings!$A$26="",Settings!$F$26="Yes",OR(EOMONTH(O$4,0)&lt;=Settings!$B$5,O$4&gt;TODAY())),"",IF(EOMONTH(N$4,0)&lt;=Settings!$B$5,N(Settings!$C$26),N(Calc!$AL$17)))</f>
        <v/>
      </c>
      <c r="P14" s="31">
        <f>IF(OR(Settings!$A$26="",Settings!$F$26="Yes",OR(EOMONTH(P$4,0)&lt;=Settings!$B$5,P$4&gt;TODAY())),"",IF(EOMONTH(O$4,0)&lt;=Settings!$B$5,N(Settings!$C$26),N(Calc!$AL$18)))</f>
        <v/>
      </c>
      <c r="Q14" s="31">
        <f>IF(OR(Settings!$A$26="",Settings!$F$26="Yes",OR(EOMONTH(Q$4,0)&lt;=Settings!$B$5,Q$4&gt;TODAY())),"",IF(EOMONTH(P$4,0)&lt;=Settings!$B$5,N(Settings!$C$26),N(Calc!$AL$19)))</f>
        <v/>
      </c>
      <c r="R14" s="31">
        <f>IF(OR(Settings!$A$26="",Settings!$F$26="Yes",OR(EOMONTH(R$4,0)&lt;=Settings!$B$5,R$4&gt;TODAY())),"",IF(EOMONTH(Q$4,0)&lt;=Settings!$B$5,N(Settings!$C$26),N(Calc!$AL$20)))</f>
        <v/>
      </c>
      <c r="S14" s="31">
        <f>IF(OR(Settings!$A$26="",Settings!$F$26="Yes",OR(EOMONTH(S$4,0)&lt;=Settings!$B$5,S$4&gt;TODAY())),"",IF(EOMONTH(R$4,0)&lt;=Settings!$B$5,N(Settings!$C$26),N(Calc!$AL$21)))</f>
        <v/>
      </c>
      <c r="T14" s="31">
        <f>IF(OR(Settings!$A$26="",Settings!$F$26="Yes",OR(EOMONTH(T$4,0)&lt;=Settings!$B$5,T$4&gt;TODAY())),"",IF(EOMONTH(S$4,0)&lt;=Settings!$B$5,N(Settings!$C$26),N(Calc!$AL$22)))</f>
        <v/>
      </c>
      <c r="U14" s="31">
        <f>IF(OR(Settings!$A$26="",Settings!$F$26="Yes",OR(EOMONTH(U$4,0)&lt;=Settings!$B$5,U$4&gt;TODAY())),"",IF(EOMONTH(T$4,0)&lt;=Settings!$B$5,N(Settings!$C$26),N(Calc!$AL$23)))</f>
        <v/>
      </c>
      <c r="V14" s="31">
        <f>IF(OR(Settings!$A$26="",Settings!$F$26="Yes",OR(EOMONTH(V$4,0)&lt;=Settings!$B$5,V$4&gt;TODAY())),"",IF(EOMONTH(U$4,0)&lt;=Settings!$B$5,N(Settings!$C$26),N(Calc!$AL$24)))</f>
        <v/>
      </c>
      <c r="W14" s="31">
        <f>IF(OR(Settings!$A$26="",Settings!$F$26="Yes",OR(EOMONTH(W$4,0)&lt;=Settings!$B$5,W$4&gt;TODAY())),"",IF(EOMONTH(V$4,0)&lt;=Settings!$B$5,N(Settings!$C$26),N(Calc!$AL$25)))</f>
        <v/>
      </c>
      <c r="X14" s="31">
        <f>IF(OR(Settings!$A$26="",Settings!$F$26="Yes",OR(EOMONTH(X$4,0)&lt;=Settings!$B$5,X$4&gt;TODAY())),"",IF(EOMONTH(W$4,0)&lt;=Settings!$B$5,N(Settings!$C$26),N(Calc!$AL$26)))</f>
        <v/>
      </c>
      <c r="Y14" s="31">
        <f>IF(OR(Settings!$A$26="",Settings!$F$26="Yes",OR(EOMONTH(Y$4,0)&lt;=Settings!$B$5,Y$4&gt;TODAY())),"",IF(EOMONTH(X$4,0)&lt;=Settings!$B$5,N(Settings!$C$26),N(Calc!$AL$27)))</f>
        <v/>
      </c>
      <c r="Z14" s="31">
        <f>IF(OR(Settings!$A$26="",Settings!$F$26="Yes",OR(EOMONTH(Z$4,0)&lt;=Settings!$B$5,Z$4&gt;TODAY())),"",IF(EOMONTH(Y$4,0)&lt;=Settings!$B$5,N(Settings!$C$26),N(Calc!$AL$28)))</f>
        <v/>
      </c>
      <c r="AA14" s="31">
        <f>IF(OR(Settings!$A$26="",Settings!$F$26="Yes",OR(EOMONTH(AA$4,0)&lt;=Settings!$B$5,AA$4&gt;TODAY())),"",IF(EOMONTH(Z$4,0)&lt;=Settings!$B$5,N(Settings!$C$26),N(Calc!$AL$29)))</f>
        <v/>
      </c>
      <c r="AB14" s="31">
        <f>IF(OR(Settings!$A$26="",Settings!$F$26="Yes",OR(EOMONTH(AB$4,0)&lt;=Settings!$B$5,AB$4&gt;TODAY())),"",IF(EOMONTH(AA$4,0)&lt;=Settings!$B$5,N(Settings!$C$26),N(Calc!$AL$30)))</f>
        <v/>
      </c>
      <c r="AC14" s="31">
        <f>IF(OR(Settings!$A$26="",Settings!$F$26="Yes",OR(EOMONTH(AC$4,0)&lt;=Settings!$B$5,AC$4&gt;TODAY())),"",IF(EOMONTH(AB$4,0)&lt;=Settings!$B$5,N(Settings!$C$26),N(Calc!$AL$31)))</f>
        <v/>
      </c>
      <c r="AD14" s="31">
        <f>IF(OR(Settings!$A$26="",Settings!$F$26="Yes",OR(EOMONTH(AD$4,0)&lt;=Settings!$B$5,AD$4&gt;TODAY())),"",IF(EOMONTH(AC$4,0)&lt;=Settings!$B$5,N(Settings!$C$26),N(Calc!$AL$32)))</f>
        <v/>
      </c>
      <c r="AE14" s="31">
        <f>IF(OR(Settings!$A$26="",Settings!$F$26="Yes",OR(EOMONTH(AE$4,0)&lt;=Settings!$B$5,AE$4&gt;TODAY())),"",IF(EOMONTH(AD$4,0)&lt;=Settings!$B$5,N(Settings!$C$26),N(Calc!$AL$33)))</f>
        <v/>
      </c>
      <c r="AF14" s="31">
        <f>IF(OR(Settings!$A$26="",Settings!$F$26="Yes",OR(EOMONTH(AF$4,0)&lt;=Settings!$B$5,AF$4&gt;TODAY())),"",IF(EOMONTH(AE$4,0)&lt;=Settings!$B$5,N(Settings!$C$26),N(Calc!$AL$34)))</f>
        <v/>
      </c>
      <c r="AG14" s="31">
        <f>IF(OR(Settings!$A$26="",Settings!$F$26="Yes",OR(EOMONTH(AG$4,0)&lt;=Settings!$B$5,AG$4&gt;TODAY())),"",IF(EOMONTH(AF$4,0)&lt;=Settings!$B$5,N(Settings!$C$26),N(Calc!$AL$35)))</f>
        <v/>
      </c>
      <c r="AH14" s="31">
        <f>IF(OR(Settings!$A$26="",Settings!$F$26="Yes",OR(EOMONTH(AH$4,0)&lt;=Settings!$B$5,AH$4&gt;TODAY())),"",IF(EOMONTH(AG$4,0)&lt;=Settings!$B$5,N(Settings!$C$26),N(Calc!$AL$36)))</f>
        <v/>
      </c>
      <c r="AI14" s="31">
        <f>IF(OR(Settings!$A$26="",Settings!$F$26="Yes",OR(EOMONTH(AI$4,0)&lt;=Settings!$B$5,AI$4&gt;TODAY())),"",IF(EOMONTH(AH$4,0)&lt;=Settings!$B$5,N(Settings!$C$26),N(Calc!$AL$37)))</f>
        <v/>
      </c>
      <c r="AJ14" s="31">
        <f>IF(OR(Settings!$A$26="",Settings!$F$26="Yes",OR(EOMONTH(AJ$4,0)&lt;=Settings!$B$5,AJ$4&gt;TODAY())),"",IF(EOMONTH(AI$4,0)&lt;=Settings!$B$5,N(Settings!$C$26),N(Calc!$AL$38)))</f>
        <v/>
      </c>
      <c r="AK14" s="31">
        <f>IF(OR(Settings!$A$26="",Settings!$F$26="Yes",OR(EOMONTH(AK$4,0)&lt;=Settings!$B$5,AK$4&gt;TODAY())),"",IF(EOMONTH(AJ$4,0)&lt;=Settings!$B$5,N(Settings!$C$26),N(Calc!$AL$39)))</f>
        <v/>
      </c>
      <c r="AL14" s="31">
        <f>IF(OR(Settings!$A$26="",Settings!$F$26="Yes",OR(EOMONTH(AL$4,0)&lt;=Settings!$B$5,AL$4&gt;TODAY())),"",IF(EOMONTH(AK$4,0)&lt;=Settings!$B$5,N(Settings!$C$26),N(Calc!$AL$40)))</f>
        <v/>
      </c>
      <c r="AM14" s="31">
        <f>IF(OR(Settings!$A$26="",Settings!$F$26="Yes",OR(EOMONTH(AM$4,0)&lt;=Settings!$B$5,AM$4&gt;TODAY())),"",IF(EOMONTH(AL$4,0)&lt;=Settings!$B$5,N(Settings!$C$26),N(Calc!$AL$41)))</f>
        <v/>
      </c>
      <c r="AN14" s="31">
        <f>IF(OR(Settings!$A$26="",Settings!$F$26="Yes",OR(EOMONTH(AN$4,0)&lt;=Settings!$B$5,AN$4&gt;TODAY())),"",IF(EOMONTH(AM$4,0)&lt;=Settings!$B$5,N(Settings!$C$26),N(Calc!$AL$42)))</f>
        <v/>
      </c>
      <c r="AO14" s="31">
        <f>IF(OR(Settings!$A$26="",Settings!$F$26="Yes",OR(EOMONTH(AO$4,0)&lt;=Settings!$B$5,AO$4&gt;TODAY())),"",IF(EOMONTH(AN$4,0)&lt;=Settings!$B$5,N(Settings!$C$26),N(Calc!$AL$43)))</f>
        <v/>
      </c>
      <c r="AP14" s="31">
        <f>IF(OR(Settings!$A$26="",Settings!$F$26="Yes",OR(EOMONTH(AP$4,0)&lt;=Settings!$B$5,AP$4&gt;TODAY())),"",IF(EOMONTH(AO$4,0)&lt;=Settings!$B$5,N(Settings!$C$26),N(Calc!$AL$44)))</f>
        <v/>
      </c>
      <c r="AQ14" s="31">
        <f>IF(OR(Settings!$A$26="",Settings!$F$26="Yes",OR(EOMONTH(AQ$4,0)&lt;=Settings!$B$5,AQ$4&gt;TODAY())),"",IF(EOMONTH(AP$4,0)&lt;=Settings!$B$5,N(Settings!$C$26),N(Calc!$AL$45)))</f>
        <v/>
      </c>
      <c r="AR14" s="31">
        <f>IF(OR(Settings!$A$26="",Settings!$F$26="Yes",OR(EOMONTH(AR$4,0)&lt;=Settings!$B$5,AR$4&gt;TODAY())),"",IF(EOMONTH(AQ$4,0)&lt;=Settings!$B$5,N(Settings!$C$26),N(Calc!$AL$46)))</f>
        <v/>
      </c>
      <c r="AS14" s="31">
        <f>IF(OR(Settings!$A$26="",Settings!$F$26="Yes",OR(EOMONTH(AS$4,0)&lt;=Settings!$B$5,AS$4&gt;TODAY())),"",IF(EOMONTH(AR$4,0)&lt;=Settings!$B$5,N(Settings!$C$26),N(Calc!$AL$47)))</f>
        <v/>
      </c>
      <c r="AT14" s="31">
        <f>IF(OR(Settings!$A$26="",Settings!$F$26="Yes",OR(EOMONTH(AT$4,0)&lt;=Settings!$B$5,AT$4&gt;TODAY())),"",IF(EOMONTH(AS$4,0)&lt;=Settings!$B$5,N(Settings!$C$26),N(Calc!$AL$48)))</f>
        <v/>
      </c>
      <c r="AU14" s="31">
        <f>IF(OR(Settings!$A$26="",Settings!$F$26="Yes",OR(EOMONTH(AU$4,0)&lt;=Settings!$B$5,AU$4&gt;TODAY())),"",IF(EOMONTH(AT$4,0)&lt;=Settings!$B$5,N(Settings!$C$26),N(Calc!$AL$49)))</f>
        <v/>
      </c>
      <c r="AV14" s="31">
        <f>IF(OR(Settings!$A$26="",Settings!$F$26="Yes",OR(EOMONTH(AV$4,0)&lt;=Settings!$B$5,AV$4&gt;TODAY())),"",IF(EOMONTH(AU$4,0)&lt;=Settings!$B$5,N(Settings!$C$26),N(Calc!$AL$50)))</f>
        <v/>
      </c>
      <c r="AW14" s="31">
        <f>IF(OR(Settings!$A$26="",Settings!$F$26="Yes",OR(EOMONTH(AW$4,0)&lt;=Settings!$B$5,AW$4&gt;TODAY())),"",IF(EOMONTH(AV$4,0)&lt;=Settings!$B$5,N(Settings!$C$26),N(Calc!$AL$51)))</f>
        <v/>
      </c>
      <c r="AX14" s="31">
        <f>IF(OR(Settings!$A$26="",Settings!$F$26="Yes",OR(EOMONTH(AX$4,0)&lt;=Settings!$B$5,AX$4&gt;TODAY())),"",IF(EOMONTH(AW$4,0)&lt;=Settings!$B$5,N(Settings!$C$26),N(Calc!$AL$52)))</f>
        <v/>
      </c>
      <c r="AY14" s="31">
        <f>IF(OR(Settings!$A$26="",Settings!$F$26="Yes",OR(EOMONTH(AY$4,0)&lt;=Settings!$B$5,AY$4&gt;TODAY())),"",IF(EOMONTH(AX$4,0)&lt;=Settings!$B$5,N(Settings!$C$26),N(Calc!$AL$53)))</f>
        <v/>
      </c>
      <c r="AZ14" s="31">
        <f>IF(OR(Settings!$A$26="",Settings!$F$26="Yes",OR(EOMONTH(AZ$4,0)&lt;=Settings!$B$5,AZ$4&gt;TODAY())),"",IF(EOMONTH(AY$4,0)&lt;=Settings!$B$5,N(Settings!$C$26),N(Calc!$AL$54)))</f>
        <v/>
      </c>
      <c r="BA14" s="31">
        <f>IF(OR(Settings!$A$26="",Settings!$F$26="Yes",OR(EOMONTH(BA$4,0)&lt;=Settings!$B$5,BA$4&gt;TODAY())),"",IF(EOMONTH(AZ$4,0)&lt;=Settings!$B$5,N(Settings!$C$26),N(Calc!$AL$55)))</f>
        <v/>
      </c>
      <c r="BB14" s="31">
        <f>IF(OR(Settings!$A$26="",Settings!$F$26="Yes",OR(EOMONTH(BB$4,0)&lt;=Settings!$B$5,BB$4&gt;TODAY())),"",IF(EOMONTH(BA$4,0)&lt;=Settings!$B$5,N(Settings!$C$26),N(Calc!$AL$56)))</f>
        <v/>
      </c>
      <c r="BC14" s="31">
        <f>IF(OR(Settings!$A$26="",Settings!$F$26="Yes",OR(EOMONTH(BC$4,0)&lt;=Settings!$B$5,BC$4&gt;TODAY())),"",IF(EOMONTH(BB$4,0)&lt;=Settings!$B$5,N(Settings!$C$26),N(Calc!$AL$57)))</f>
        <v/>
      </c>
      <c r="BD14" s="31">
        <f>IF(OR(Settings!$A$26="",Settings!$F$26="Yes",OR(EOMONTH(BD$4,0)&lt;=Settings!$B$5,BD$4&gt;TODAY())),"",IF(EOMONTH(BC$4,0)&lt;=Settings!$B$5,N(Settings!$C$26),N(Calc!$AL$58)))</f>
        <v/>
      </c>
      <c r="BE14" s="31">
        <f>IF(OR(Settings!$A$26="",Settings!$F$26="Yes",OR(EOMONTH(BE$4,0)&lt;=Settings!$B$5,BE$4&gt;TODAY())),"",IF(EOMONTH(BD$4,0)&lt;=Settings!$B$5,N(Settings!$C$26),N(Calc!$AL$59)))</f>
        <v/>
      </c>
      <c r="BF14" s="31">
        <f>IF(OR(Settings!$A$26="",Settings!$F$26="Yes",OR(EOMONTH(BF$4,0)&lt;=Settings!$B$5,BF$4&gt;TODAY())),"",IF(EOMONTH(BE$4,0)&lt;=Settings!$B$5,N(Settings!$C$26),N(Calc!$AL$60)))</f>
        <v/>
      </c>
      <c r="BG14" s="31">
        <f>IF(OR(Settings!$A$26="",Settings!$F$26="Yes",OR(EOMONTH(BG$4,0)&lt;=Settings!$B$5,BG$4&gt;TODAY())),"",IF(EOMONTH(BF$4,0)&lt;=Settings!$B$5,N(Settings!$C$26),N(Calc!$AL$61)))</f>
        <v/>
      </c>
      <c r="BH14" s="31">
        <f>IF(OR(Settings!$A$26="",Settings!$F$26="Yes",OR(EOMONTH(BH$4,0)&lt;=Settings!$B$5,BH$4&gt;TODAY())),"",IF(EOMONTH(BG$4,0)&lt;=Settings!$B$5,N(Settings!$C$26),N(Calc!$AL$62)))</f>
        <v/>
      </c>
      <c r="BI14" s="31">
        <f>IF(OR(Settings!$A$26="",Settings!$F$26="Yes",OR(EOMONTH(BI$4,0)&lt;=Settings!$B$5,BI$4&gt;TODAY())),"",IF(EOMONTH(BH$4,0)&lt;=Settings!$B$5,N(Settings!$C$26),N(Calc!$AL$63)))</f>
        <v/>
      </c>
      <c r="BJ14" s="31">
        <f>IF(OR(Settings!$A$26="",Settings!$F$26="Yes",OR(EOMONTH(BJ$4,0)&lt;=Settings!$B$5,BJ$4&gt;TODAY())),"",IF(EOMONTH(BI$4,0)&lt;=Settings!$B$5,N(Settings!$C$26),N(Calc!$AL$64)))</f>
        <v/>
      </c>
      <c r="BK14" s="31">
        <f>IF(OR(Settings!$A$26="",Settings!$F$26="Yes",OR(EOMONTH(BK$4,0)&lt;=Settings!$B$5,BK$4&gt;TODAY())),"",IF(EOMONTH(BJ$4,0)&lt;=Settings!$B$5,N(Settings!$C$26),N(Calc!$AL$65)))</f>
        <v/>
      </c>
      <c r="BL14" s="31">
        <f>IF(OR(Settings!$A$26="",Settings!$F$26="Yes",OR(EOMONTH(BL$4,0)&lt;=Settings!$B$5,BL$4&gt;TODAY())),"",IF(EOMONTH(BK$4,0)&lt;=Settings!$B$5,N(Settings!$C$26),N(Calc!$AL$66)))</f>
        <v/>
      </c>
      <c r="BM14" s="31">
        <f>IF(OR(Settings!$A$26="",Settings!$F$26="Yes",OR(EOMONTH(BM$4,0)&lt;=Settings!$B$5,BM$4&gt;TODAY())),"",IF(EOMONTH(BL$4,0)&lt;=Settings!$B$5,N(Settings!$C$26),N(Calc!$AL$67)))</f>
        <v/>
      </c>
      <c r="BN14" s="31">
        <f>IF(OR(Settings!$A$26="",Settings!$F$26="Yes",OR(EOMONTH(BN$4,0)&lt;=Settings!$B$5,BN$4&gt;TODAY())),"",IF(EOMONTH(BM$4,0)&lt;=Settings!$B$5,N(Settings!$C$26),N(Calc!$AL$68)))</f>
        <v/>
      </c>
      <c r="BO14" s="31">
        <f>IF(OR(Settings!$A$26="",Settings!$F$26="Yes",OR(EOMONTH(BO$4,0)&lt;=Settings!$B$5,BO$4&gt;TODAY())),"",IF(EOMONTH(BN$4,0)&lt;=Settings!$B$5,N(Settings!$C$26),N(Calc!$AL$69)))</f>
        <v/>
      </c>
      <c r="BP14" s="31">
        <f>IF(OR(Settings!$A$26="",Settings!$F$26="Yes",OR(EOMONTH(BP$4,0)&lt;=Settings!$B$5,BP$4&gt;TODAY())),"",IF(EOMONTH(BO$4,0)&lt;=Settings!$B$5,N(Settings!$C$26),N(Calc!$AL$70)))</f>
        <v/>
      </c>
      <c r="BQ14" s="31">
        <f>IF(OR(Settings!$A$26="",Settings!$F$26="Yes",OR(EOMONTH(BQ$4,0)&lt;=Settings!$B$5,BQ$4&gt;TODAY())),"",IF(EOMONTH(BP$4,0)&lt;=Settings!$B$5,N(Settings!$C$26),N(Calc!$AL$71)))</f>
        <v/>
      </c>
      <c r="BR14" s="31">
        <f>IF(OR(Settings!$A$26="",Settings!$F$26="Yes",OR(EOMONTH(BR$4,0)&lt;=Settings!$B$5,BR$4&gt;TODAY())),"",IF(EOMONTH(BQ$4,0)&lt;=Settings!$B$5,N(Settings!$C$26),N(Calc!$AL$72)))</f>
        <v/>
      </c>
      <c r="BS14" s="31">
        <f>IF(OR(Settings!$A$26="",Settings!$F$26="Yes",OR(EOMONTH(BS$4,0)&lt;=Settings!$B$5,BS$4&gt;TODAY())),"",IF(EOMONTH(BR$4,0)&lt;=Settings!$B$5,N(Settings!$C$26),N(Calc!$AL$73)))</f>
        <v/>
      </c>
      <c r="BT14" s="31">
        <f>IF(OR(Settings!$A$26="",Settings!$F$26="Yes",OR(EOMONTH(BT$4,0)&lt;=Settings!$B$5,BT$4&gt;TODAY())),"",IF(EOMONTH(BS$4,0)&lt;=Settings!$B$5,N(Settings!$C$26),N(Calc!$AL$74)))</f>
        <v/>
      </c>
      <c r="BU14" s="31">
        <f>IF(OR(Settings!$A$26="",Settings!$F$26="Yes",OR(EOMONTH(BU$4,0)&lt;=Settings!$B$5,BU$4&gt;TODAY())),"",IF(EOMONTH(BT$4,0)&lt;=Settings!$B$5,N(Settings!$C$26),N(Calc!$AL$75)))</f>
        <v/>
      </c>
      <c r="BV14" s="31">
        <f>IF(OR(Settings!$A$26="",Settings!$F$26="Yes",OR(EOMONTH(BV$4,0)&lt;=Settings!$B$5,BV$4&gt;TODAY())),"",IF(EOMONTH(BU$4,0)&lt;=Settings!$B$5,N(Settings!$C$26),N(Calc!$AL$76)))</f>
        <v/>
      </c>
      <c r="BW14" s="31">
        <f>IF(OR(Settings!$A$26="",Settings!$F$26="Yes",OR(EOMONTH(BW$4,0)&lt;=Settings!$B$5,BW$4&gt;TODAY())),"",IF(EOMONTH(BV$4,0)&lt;=Settings!$B$5,N(Settings!$C$26),N(Calc!$AL$77)))</f>
        <v/>
      </c>
      <c r="BX14" s="31">
        <f>IF(OR(Settings!$A$26="",Settings!$F$26="Yes",OR(EOMONTH(BX$4,0)&lt;=Settings!$B$5,BX$4&gt;TODAY())),"",IF(EOMONTH(BW$4,0)&lt;=Settings!$B$5,N(Settings!$C$26),N(Calc!$AL$78)))</f>
        <v/>
      </c>
      <c r="BY14" s="31">
        <f>IF(OR(Settings!$A$26="",Settings!$F$26="Yes",OR(EOMONTH(BY$4,0)&lt;=Settings!$B$5,BY$4&gt;TODAY())),"",IF(EOMONTH(BX$4,0)&lt;=Settings!$B$5,N(Settings!$C$26),N(Calc!$AL$79)))</f>
        <v/>
      </c>
      <c r="BZ14" s="31">
        <f>IF(OR(Settings!$A$26="",Settings!$F$26="Yes",OR(EOMONTH(BZ$4,0)&lt;=Settings!$B$5,BZ$4&gt;TODAY())),"",IF(EOMONTH(BY$4,0)&lt;=Settings!$B$5,N(Settings!$C$26),N(Calc!$AL$80)))</f>
        <v/>
      </c>
      <c r="CA14" s="31">
        <f>IF(OR(Settings!$A$26="",Settings!$F$26="Yes",OR(EOMONTH(CA$4,0)&lt;=Settings!$B$5,CA$4&gt;TODAY())),"",IF(EOMONTH(BZ$4,0)&lt;=Settings!$B$5,N(Settings!$C$26),N(Calc!$AL$81)))</f>
        <v/>
      </c>
      <c r="CB14" s="31">
        <f>IF(OR(Settings!$A$26="",Settings!$F$26="Yes",OR(EOMONTH(CB$4,0)&lt;=Settings!$B$5,CB$4&gt;TODAY())),"",IF(EOMONTH(CA$4,0)&lt;=Settings!$B$5,N(Settings!$C$26),N(Calc!$AL$82)))</f>
        <v/>
      </c>
      <c r="CC14" s="31">
        <f>IF(OR(Settings!$A$26="",Settings!$F$26="Yes",OR(EOMONTH(CC$4,0)&lt;=Settings!$B$5,CC$4&gt;TODAY())),"",IF(EOMONTH(CB$4,0)&lt;=Settings!$B$5,N(Settings!$C$26),N(Calc!$AL$83)))</f>
        <v/>
      </c>
      <c r="CD14" s="31">
        <f>IF(OR(Settings!$A$26="",Settings!$F$26="Yes",OR(EOMONTH(CD$4,0)&lt;=Settings!$B$5,CD$4&gt;TODAY())),"",IF(EOMONTH(CC$4,0)&lt;=Settings!$B$5,N(Settings!$C$26),N(Calc!$AL$84)))</f>
        <v/>
      </c>
      <c r="CE14" s="31">
        <f>IF(OR(Settings!$A$26="",Settings!$F$26="Yes",OR(EOMONTH(CE$4,0)&lt;=Settings!$B$5,CE$4&gt;TODAY())),"",IF(EOMONTH(CD$4,0)&lt;=Settings!$B$5,N(Settings!$C$26),N(Calc!$AL$85)))</f>
        <v/>
      </c>
      <c r="CF14" s="31">
        <f>IF(OR(Settings!$A$26="",Settings!$F$26="Yes",OR(EOMONTH(CF$4,0)&lt;=Settings!$B$5,CF$4&gt;TODAY())),"",IF(EOMONTH(CE$4,0)&lt;=Settings!$B$5,N(Settings!$C$26),N(Calc!$AL$86)))</f>
        <v/>
      </c>
      <c r="CG14" s="31">
        <f>IF(OR(Settings!$A$26="",Settings!$F$26="Yes",OR(EOMONTH(CG$4,0)&lt;=Settings!$B$5,CG$4&gt;TODAY())),"",IF(EOMONTH(CF$4,0)&lt;=Settings!$B$5,N(Settings!$C$26),N(Calc!$AL$87)))</f>
        <v/>
      </c>
      <c r="CH14" s="31">
        <f>IF(OR(Settings!$A$26="",Settings!$F$26="Yes",OR(EOMONTH(CH$4,0)&lt;=Settings!$B$5,CH$4&gt;TODAY())),"",IF(EOMONTH(CG$4,0)&lt;=Settings!$B$5,N(Settings!$C$26),N(Calc!$AL$88)))</f>
        <v/>
      </c>
      <c r="CI14" s="31">
        <f>IF(OR(Settings!$A$26="",Settings!$F$26="Yes",OR(EOMONTH(CI$4,0)&lt;=Settings!$B$5,CI$4&gt;TODAY())),"",IF(EOMONTH(CH$4,0)&lt;=Settings!$B$5,N(Settings!$C$26),N(Calc!$AL$89)))</f>
        <v/>
      </c>
      <c r="CJ14" s="31">
        <f>IF(OR(Settings!$A$26="",Settings!$F$26="Yes",OR(EOMONTH(CJ$4,0)&lt;=Settings!$B$5,CJ$4&gt;TODAY())),"",IF(EOMONTH(CI$4,0)&lt;=Settings!$B$5,N(Settings!$C$26),N(Calc!$AL$90)))</f>
        <v/>
      </c>
      <c r="CK14" s="31">
        <f>IF(OR(Settings!$A$26="",Settings!$F$26="Yes",OR(EOMONTH(CK$4,0)&lt;=Settings!$B$5,CK$4&gt;TODAY())),"",IF(EOMONTH(CJ$4,0)&lt;=Settings!$B$5,N(Settings!$C$26),N(Calc!$AL$91)))</f>
        <v/>
      </c>
      <c r="CL14" s="31">
        <f>IF(OR(Settings!$A$26="",Settings!$F$26="Yes",OR(EOMONTH(CL$4,0)&lt;=Settings!$B$5,CL$4&gt;TODAY())),"",IF(EOMONTH(CK$4,0)&lt;=Settings!$B$5,N(Settings!$C$26),N(Calc!$AL$92)))</f>
        <v/>
      </c>
      <c r="CM14" s="31">
        <f>IF(OR(Settings!$A$26="",Settings!$F$26="Yes",OR(EOMONTH(CM$4,0)&lt;=Settings!$B$5,CM$4&gt;TODAY())),"",IF(EOMONTH(CL$4,0)&lt;=Settings!$B$5,N(Settings!$C$26),N(Calc!$AL$93)))</f>
        <v/>
      </c>
      <c r="CN14" s="31">
        <f>IF(OR(Settings!$A$26="",Settings!$F$26="Yes",OR(EOMONTH(CN$4,0)&lt;=Settings!$B$5,CN$4&gt;TODAY())),"",IF(EOMONTH(CM$4,0)&lt;=Settings!$B$5,N(Settings!$C$26),N(Calc!$AL$94)))</f>
        <v/>
      </c>
      <c r="CO14" s="31">
        <f>IF(OR(Settings!$A$26="",Settings!$F$26="Yes",OR(EOMONTH(CO$4,0)&lt;=Settings!$B$5,CO$4&gt;TODAY())),"",IF(EOMONTH(CN$4,0)&lt;=Settings!$B$5,N(Settings!$C$26),N(Calc!$AL$95)))</f>
        <v/>
      </c>
      <c r="CP14" s="31">
        <f>IF(OR(Settings!$A$26="",Settings!$F$26="Yes",OR(EOMONTH(CP$4,0)&lt;=Settings!$B$5,CP$4&gt;TODAY())),"",IF(EOMONTH(CO$4,0)&lt;=Settings!$B$5,N(Settings!$C$26),N(Calc!$AL$96)))</f>
        <v/>
      </c>
      <c r="CQ14" s="31">
        <f>IF(OR(Settings!$A$26="",Settings!$F$26="Yes",OR(EOMONTH(CQ$4,0)&lt;=Settings!$B$5,CQ$4&gt;TODAY())),"",IF(EOMONTH(CP$4,0)&lt;=Settings!$B$5,N(Settings!$C$26),N(Calc!$AL$97)))</f>
        <v/>
      </c>
      <c r="CR14" s="31">
        <f>IF(OR(Settings!$A$26="",Settings!$F$26="Yes",OR(EOMONTH(CR$4,0)&lt;=Settings!$B$5,CR$4&gt;TODAY())),"",IF(EOMONTH(CQ$4,0)&lt;=Settings!$B$5,N(Settings!$C$26),N(Calc!$AL$98)))</f>
        <v/>
      </c>
      <c r="CS14" s="31">
        <f>IF(OR(Settings!$A$26="",Settings!$F$26="Yes",OR(EOMONTH(CS$4,0)&lt;=Settings!$B$5,CS$4&gt;TODAY())),"",IF(EOMONTH(CR$4,0)&lt;=Settings!$B$5,N(Settings!$C$26),N(Calc!$AL$99)))</f>
        <v/>
      </c>
      <c r="CT14" s="31">
        <f>IF(OR(Settings!$A$26="",Settings!$F$26="Yes",OR(EOMONTH(CT$4,0)&lt;=Settings!$B$5,CT$4&gt;TODAY())),"",IF(EOMONTH(CS$4,0)&lt;=Settings!$B$5,N(Settings!$C$26),N(Calc!$AL$100)))</f>
        <v/>
      </c>
      <c r="CU14" s="31">
        <f>IF(OR(Settings!$A$26="",Settings!$F$26="Yes",OR(EOMONTH(CU$4,0)&lt;=Settings!$B$5,CU$4&gt;TODAY())),"",IF(EOMONTH(CT$4,0)&lt;=Settings!$B$5,N(Settings!$C$26),N(Calc!$AL$101)))</f>
        <v/>
      </c>
      <c r="CV14" s="31">
        <f>IF(OR(Settings!$A$26="",Settings!$F$26="Yes",OR(EOMONTH(CV$4,0)&lt;=Settings!$B$5,CV$4&gt;TODAY())),"",IF(EOMONTH(CU$4,0)&lt;=Settings!$B$5,N(Settings!$C$26),N(Calc!$AL$102)))</f>
        <v/>
      </c>
      <c r="CW14" s="31">
        <f>IF(OR(Settings!$A$26="",Settings!$F$26="Yes",OR(EOMONTH(CW$4,0)&lt;=Settings!$B$5,CW$4&gt;TODAY())),"",IF(EOMONTH(CV$4,0)&lt;=Settings!$B$5,N(Settings!$C$26),N(Calc!$AL$103)))</f>
        <v/>
      </c>
      <c r="CX14" s="31">
        <f>IF(OR(Settings!$A$26="",Settings!$F$26="Yes",OR(EOMONTH(CX$4,0)&lt;=Settings!$B$5,CX$4&gt;TODAY())),"",IF(EOMONTH(CW$4,0)&lt;=Settings!$B$5,N(Settings!$C$26),N(Calc!$AL$104)))</f>
        <v/>
      </c>
      <c r="CY14" s="31">
        <f>IF(OR(Settings!$A$26="",Settings!$F$26="Yes",OR(EOMONTH(CY$4,0)&lt;=Settings!$B$5,CY$4&gt;TODAY())),"",IF(EOMONTH(CX$4,0)&lt;=Settings!$B$5,N(Settings!$C$26),N(Calc!$AL$105)))</f>
        <v/>
      </c>
      <c r="CZ14" s="31">
        <f>IF(OR(Settings!$A$26="",Settings!$F$26="Yes",OR(EOMONTH(CZ$4,0)&lt;=Settings!$B$5,CZ$4&gt;TODAY())),"",IF(EOMONTH(CY$4,0)&lt;=Settings!$B$5,N(Settings!$C$26),N(Calc!$AL$106)))</f>
        <v/>
      </c>
      <c r="DA14" s="31">
        <f>IF(OR(Settings!$A$26="",Settings!$F$26="Yes",OR(EOMONTH(DA$4,0)&lt;=Settings!$B$5,DA$4&gt;TODAY())),"",IF(EOMONTH(CZ$4,0)&lt;=Settings!$B$5,N(Settings!$C$26),N(Calc!$AL$107)))</f>
        <v/>
      </c>
      <c r="DB14" s="31">
        <f>IF(OR(Settings!$A$26="",Settings!$F$26="Yes",OR(EOMONTH(DB$4,0)&lt;=Settings!$B$5,DB$4&gt;TODAY())),"",IF(EOMONTH(DA$4,0)&lt;=Settings!$B$5,N(Settings!$C$26),N(Calc!$AL$108)))</f>
        <v/>
      </c>
      <c r="DC14" s="31">
        <f>IF(OR(Settings!$A$26="",Settings!$F$26="Yes",OR(EOMONTH(DC$4,0)&lt;=Settings!$B$5,DC$4&gt;TODAY())),"",IF(EOMONTH(DB$4,0)&lt;=Settings!$B$5,N(Settings!$C$26),N(Calc!$AL$109)))</f>
        <v/>
      </c>
      <c r="DD14" s="31">
        <f>IF(OR(Settings!$A$26="",Settings!$F$26="Yes",OR(EOMONTH(DD$4,0)&lt;=Settings!$B$5,DD$4&gt;TODAY())),"",IF(EOMONTH(DC$4,0)&lt;=Settings!$B$5,N(Settings!$C$26),N(Calc!$AL$110)))</f>
        <v/>
      </c>
      <c r="DE14" s="31">
        <f>IF(OR(Settings!$A$26="",Settings!$F$26="Yes",OR(EOMONTH(DE$4,0)&lt;=Settings!$B$5,DE$4&gt;TODAY())),"",IF(EOMONTH(DD$4,0)&lt;=Settings!$B$5,N(Settings!$C$26),N(Calc!$AL$111)))</f>
        <v/>
      </c>
      <c r="DF14" s="31">
        <f>IF(OR(Settings!$A$26="",Settings!$F$26="Yes",OR(EOMONTH(DF$4,0)&lt;=Settings!$B$5,DF$4&gt;TODAY())),"",IF(EOMONTH(DE$4,0)&lt;=Settings!$B$5,N(Settings!$C$26),N(Calc!$AL$112)))</f>
        <v/>
      </c>
      <c r="DG14" s="31">
        <f>IF(OR(Settings!$A$26="",Settings!$F$26="Yes",OR(EOMONTH(DG$4,0)&lt;=Settings!$B$5,DG$4&gt;TODAY())),"",IF(EOMONTH(DF$4,0)&lt;=Settings!$B$5,N(Settings!$C$26),N(Calc!$AL$113)))</f>
        <v/>
      </c>
      <c r="DH14" s="31">
        <f>IF(OR(Settings!$A$26="",Settings!$F$26="Yes",OR(EOMONTH(DH$4,0)&lt;=Settings!$B$5,DH$4&gt;TODAY())),"",IF(EOMONTH(DG$4,0)&lt;=Settings!$B$5,N(Settings!$C$26),N(Calc!$AL$114)))</f>
        <v/>
      </c>
      <c r="DI14" s="31">
        <f>IF(OR(Settings!$A$26="",Settings!$F$26="Yes",OR(EOMONTH(DI$4,0)&lt;=Settings!$B$5,DI$4&gt;TODAY())),"",IF(EOMONTH(DH$4,0)&lt;=Settings!$B$5,N(Settings!$C$26),N(Calc!$AL$115)))</f>
        <v/>
      </c>
      <c r="DJ14" s="31">
        <f>IF(OR(Settings!$A$26="",Settings!$F$26="Yes",OR(EOMONTH(DJ$4,0)&lt;=Settings!$B$5,DJ$4&gt;TODAY())),"",IF(EOMONTH(DI$4,0)&lt;=Settings!$B$5,N(Settings!$C$26),N(Calc!$AL$116)))</f>
        <v/>
      </c>
      <c r="DK14" s="31">
        <f>IF(OR(Settings!$A$26="",Settings!$F$26="Yes",OR(EOMONTH(DK$4,0)&lt;=Settings!$B$5,DK$4&gt;TODAY())),"",IF(EOMONTH(DJ$4,0)&lt;=Settings!$B$5,N(Settings!$C$26),N(Calc!$AL$117)))</f>
        <v/>
      </c>
      <c r="DL14" s="31">
        <f>IF(OR(Settings!$A$26="",Settings!$F$26="Yes",OR(EOMONTH(DL$4,0)&lt;=Settings!$B$5,DL$4&gt;TODAY())),"",IF(EOMONTH(DK$4,0)&lt;=Settings!$B$5,N(Settings!$C$26),N(Calc!$AL$118)))</f>
        <v/>
      </c>
      <c r="DM14" s="31">
        <f>IF(OR(Settings!$A$26="",Settings!$F$26="Yes",OR(EOMONTH(DM$4,0)&lt;=Settings!$B$5,DM$4&gt;TODAY())),"",IF(EOMONTH(DL$4,0)&lt;=Settings!$B$5,N(Settings!$C$26),N(Calc!$AL$119)))</f>
        <v/>
      </c>
      <c r="DN14" s="31">
        <f>IF(OR(Settings!$A$26="",Settings!$F$26="Yes",OR(EOMONTH(DN$4,0)&lt;=Settings!$B$5,DN$4&gt;TODAY())),"",IF(EOMONTH(DM$4,0)&lt;=Settings!$B$5,N(Settings!$C$26),N(Calc!$AL$120)))</f>
        <v/>
      </c>
      <c r="DO14" s="31">
        <f>IF(OR(Settings!$A$26="",Settings!$F$26="Yes",OR(EOMONTH(DO$4,0)&lt;=Settings!$B$5,DO$4&gt;TODAY())),"",IF(EOMONTH(DN$4,0)&lt;=Settings!$B$5,N(Settings!$C$26),N(Calc!$AL$121)))</f>
        <v/>
      </c>
      <c r="DP14" s="31">
        <f>IF(OR(Settings!$A$26="",Settings!$F$26="Yes",OR(EOMONTH(DP$4,0)&lt;=Settings!$B$5,DP$4&gt;TODAY())),"",IF(EOMONTH(DO$4,0)&lt;=Settings!$B$5,N(Settings!$C$26),N(Calc!$AL$122)))</f>
        <v/>
      </c>
      <c r="DQ14" s="31">
        <f>IF(OR(Settings!$A$26="",Settings!$F$26="Yes",OR(EOMONTH(DQ$4,0)&lt;=Settings!$B$5,DQ$4&gt;TODAY())),"",IF(EOMONTH(DP$4,0)&lt;=Settings!$B$5,N(Settings!$C$26),N(Calc!$AL$123)))</f>
        <v/>
      </c>
      <c r="DR14" s="31">
        <f>IF(OR(Settings!$A$26="",Settings!$F$26="Yes",OR(EOMONTH(DR$4,0)&lt;=Settings!$B$5,DR$4&gt;TODAY())),"",IF(EOMONTH(DQ$4,0)&lt;=Settings!$B$5,N(Settings!$C$26),N(Calc!$AL$124)))</f>
        <v/>
      </c>
      <c r="DS14" s="31">
        <f>IF(OR(Settings!$A$26="",Settings!$F$26="Yes",OR(EOMONTH(DS$4,0)&lt;=Settings!$B$5,DS$4&gt;TODAY())),"",IF(EOMONTH(DR$4,0)&lt;=Settings!$B$5,N(Settings!$C$26),N(Calc!$AL$125)))</f>
        <v/>
      </c>
      <c r="DT14" s="31">
        <f>IF(OR(Settings!$A$26="",Settings!$F$26="Yes",OR(EOMONTH(DT$4,0)&lt;=Settings!$B$5,DT$4&gt;TODAY())),"",IF(EOMONTH(DS$4,0)&lt;=Settings!$B$5,N(Settings!$C$26),N(Calc!$AL$126)))</f>
        <v/>
      </c>
      <c r="DU14" s="31">
        <f>IF(OR(Settings!$A$26="",Settings!$F$26="Yes",OR(EOMONTH(DU$4,0)&lt;=Settings!$B$5,DU$4&gt;TODAY())),"",IF(EOMONTH(DT$4,0)&lt;=Settings!$B$5,N(Settings!$C$26),N(Calc!$AL$127)))</f>
        <v/>
      </c>
      <c r="DV14" s="31">
        <f>IF(OR(Settings!$A$26="",Settings!$F$26="Yes",OR(EOMONTH(DV$4,0)&lt;=Settings!$B$5,DV$4&gt;TODAY())),"",IF(EOMONTH(DU$4,0)&lt;=Settings!$B$5,N(Settings!$C$26),N(Calc!$AL$128)))</f>
        <v/>
      </c>
      <c r="DW14" s="31">
        <f>IF(OR(Settings!$A$26="",Settings!$F$26="Yes",OR(EOMONTH(DW$4,0)&lt;=Settings!$B$5,DW$4&gt;TODAY())),"",IF(EOMONTH(DV$4,0)&lt;=Settings!$B$5,N(Settings!$C$26),N(Calc!$AL$129)))</f>
        <v/>
      </c>
      <c r="DX14" s="31">
        <f>IF(OR(Settings!$A$26="",Settings!$F$26="Yes",OR(EOMONTH(DX$4,0)&lt;=Settings!$B$5,DX$4&gt;TODAY())),"",IF(EOMONTH(DW$4,0)&lt;=Settings!$B$5,N(Settings!$C$26),N(Calc!$AL$130)))</f>
        <v/>
      </c>
      <c r="DY14" s="31">
        <f>IF(OR(Settings!$A$26="",Settings!$F$26="Yes",OR(EOMONTH(DY$4,0)&lt;=Settings!$B$5,DY$4&gt;TODAY())),"",IF(EOMONTH(DX$4,0)&lt;=Settings!$B$5,N(Settings!$C$26),N(Calc!$AL$131)))</f>
        <v/>
      </c>
      <c r="DZ14" s="31">
        <f>IF(OR(Settings!$A$26="",Settings!$F$26="Yes",OR(EOMONTH(DZ$4,0)&lt;=Settings!$B$5,DZ$4&gt;TODAY())),"",IF(EOMONTH(DY$4,0)&lt;=Settings!$B$5,N(Settings!$C$26),N(Calc!$AL$132)))</f>
        <v/>
      </c>
      <c r="EA14" s="31">
        <f>IF(OR(Settings!$A$26="",Settings!$F$26="Yes",OR(EOMONTH(EA$4,0)&lt;=Settings!$B$5,EA$4&gt;TODAY())),"",IF(EOMONTH(DZ$4,0)&lt;=Settings!$B$5,N(Settings!$C$26),N(Calc!$AL$133)))</f>
        <v/>
      </c>
      <c r="EB14" s="31">
        <f>IF(OR(Settings!$A$26="",Settings!$F$26="Yes",OR(EOMONTH(EB$4,0)&lt;=Settings!$B$5,EB$4&gt;TODAY())),"",IF(EOMONTH(EA$4,0)&lt;=Settings!$B$5,N(Settings!$C$26),N(Calc!$AL$134)))</f>
        <v/>
      </c>
      <c r="EC14" s="31">
        <f>IF(OR(Settings!$A$26="",Settings!$F$26="Yes",OR(EOMONTH(EC$4,0)&lt;=Settings!$B$5,EC$4&gt;TODAY())),"",IF(EOMONTH(EB$4,0)&lt;=Settings!$B$5,N(Settings!$C$26),N(Calc!$AL$135)))</f>
        <v/>
      </c>
      <c r="ED14" s="31">
        <f>IF(OR(Settings!$A$26="",Settings!$F$26="Yes",OR(EOMONTH(ED$4,0)&lt;=Settings!$B$5,ED$4&gt;TODAY())),"",IF(EOMONTH(EC$4,0)&lt;=Settings!$B$5,N(Settings!$C$26),N(Calc!$AL$136)))</f>
        <v/>
      </c>
      <c r="EE14" s="31">
        <f>IF(OR(Settings!$A$26="",Settings!$F$26="Yes",OR(EOMONTH(EE$4,0)&lt;=Settings!$B$5,EE$4&gt;TODAY())),"",IF(EOMONTH(ED$4,0)&lt;=Settings!$B$5,N(Settings!$C$26),N(Calc!$AL$137)))</f>
        <v/>
      </c>
      <c r="EF14" s="31">
        <f>IF(OR(Settings!$A$26="",Settings!$F$26="Yes",OR(EOMONTH(EF$4,0)&lt;=Settings!$B$5,EF$4&gt;TODAY())),"",IF(EOMONTH(EE$4,0)&lt;=Settings!$B$5,N(Settings!$C$26),N(Calc!$AL$138)))</f>
        <v/>
      </c>
      <c r="EG14" s="31">
        <f>IF(OR(Settings!$A$26="",Settings!$F$26="Yes",OR(EOMONTH(EG$4,0)&lt;=Settings!$B$5,EG$4&gt;TODAY())),"",IF(EOMONTH(EF$4,0)&lt;=Settings!$B$5,N(Settings!$C$26),N(Calc!$AL$139)))</f>
        <v/>
      </c>
      <c r="EH14" s="31">
        <f>IF(OR(Settings!$A$26="",Settings!$F$26="Yes",OR(EOMONTH(EH$4,0)&lt;=Settings!$B$5,EH$4&gt;TODAY())),"",IF(EOMONTH(EG$4,0)&lt;=Settings!$B$5,N(Settings!$C$26),N(Calc!$AL$140)))</f>
        <v/>
      </c>
      <c r="EI14" s="31">
        <f>IF(OR(Settings!$A$26="",Settings!$F$26="Yes",OR(EOMONTH(EI$4,0)&lt;=Settings!$B$5,EI$4&gt;TODAY())),"",IF(EOMONTH(EH$4,0)&lt;=Settings!$B$5,N(Settings!$C$26),N(Calc!$AL$141)))</f>
        <v/>
      </c>
      <c r="EJ14" s="31">
        <f>IF(OR(Settings!$A$26="",Settings!$F$26="Yes",OR(EOMONTH(EJ$4,0)&lt;=Settings!$B$5,EJ$4&gt;TODAY())),"",IF(EOMONTH(EI$4,0)&lt;=Settings!$B$5,N(Settings!$C$26),N(Calc!$AL$142)))</f>
        <v/>
      </c>
      <c r="EK14" s="31">
        <f>IF(OR(Settings!$A$26="",Settings!$F$26="Yes",OR(EOMONTH(EK$4,0)&lt;=Settings!$B$5,EK$4&gt;TODAY())),"",IF(EOMONTH(EJ$4,0)&lt;=Settings!$B$5,N(Settings!$C$26),N(Calc!$AL$143)))</f>
        <v/>
      </c>
      <c r="EL14" s="31">
        <f>IF(OR(Settings!$A$26="",Settings!$F$26="Yes",OR(EOMONTH(EL$4,0)&lt;=Settings!$B$5,EL$4&gt;TODAY())),"",IF(EOMONTH(EK$4,0)&lt;=Settings!$B$5,N(Settings!$C$26),N(Calc!$AL$144)))</f>
        <v/>
      </c>
      <c r="EM14" s="31">
        <f>IF(OR(Settings!$A$26="",Settings!$F$26="Yes",OR(EOMONTH(EM$4,0)&lt;=Settings!$B$5,EM$4&gt;TODAY())),"",IF(EOMONTH(EL$4,0)&lt;=Settings!$B$5,N(Settings!$C$26),N(Calc!$AL$145)))</f>
        <v/>
      </c>
      <c r="EN14" s="31">
        <f>IF(OR(Settings!$A$26="",Settings!$F$26="Yes",OR(EOMONTH(EN$4,0)&lt;=Settings!$B$5,EN$4&gt;TODAY())),"",IF(EOMONTH(EM$4,0)&lt;=Settings!$B$5,N(Settings!$C$26),N(Calc!$AL$146)))</f>
        <v/>
      </c>
      <c r="EO14" s="31">
        <f>IF(OR(Settings!$A$26="",Settings!$F$26="Yes",OR(EOMONTH(EO$4,0)&lt;=Settings!$B$5,EO$4&gt;TODAY())),"",IF(EOMONTH(EN$4,0)&lt;=Settings!$B$5,N(Settings!$C$26),N(Calc!$AL$147)))</f>
        <v/>
      </c>
      <c r="EP14" s="31">
        <f>IF(OR(Settings!$A$26="",Settings!$F$26="Yes",OR(EOMONTH(EP$4,0)&lt;=Settings!$B$5,EP$4&gt;TODAY())),"",IF(EOMONTH(EO$4,0)&lt;=Settings!$B$5,N(Settings!$C$26),N(Calc!$AL$148)))</f>
        <v/>
      </c>
      <c r="EQ14" s="31">
        <f>IF(OR(Settings!$A$26="",Settings!$F$26="Yes",OR(EOMONTH(EQ$4,0)&lt;=Settings!$B$5,EQ$4&gt;TODAY())),"",IF(EOMONTH(EP$4,0)&lt;=Settings!$B$5,N(Settings!$C$26),N(Calc!$AL$149)))</f>
        <v/>
      </c>
      <c r="ER14" s="31">
        <f>IF(OR(Settings!$A$26="",Settings!$F$26="Yes",OR(EOMONTH(ER$4,0)&lt;=Settings!$B$5,ER$4&gt;TODAY())),"",IF(EOMONTH(EQ$4,0)&lt;=Settings!$B$5,N(Settings!$C$26),N(Calc!$AL$150)))</f>
        <v/>
      </c>
      <c r="ES14" s="31">
        <f>IF(OR(Settings!$A$26="",Settings!$F$26="Yes",OR(EOMONTH(ES$4,0)&lt;=Settings!$B$5,ES$4&gt;TODAY())),"",IF(EOMONTH(ER$4,0)&lt;=Settings!$B$5,N(Settings!$C$26),N(Calc!$AL$151)))</f>
        <v/>
      </c>
      <c r="ET14" s="31">
        <f>IF(OR(Settings!$A$26="",Settings!$F$26="Yes",OR(EOMONTH(ET$4,0)&lt;=Settings!$B$5,ET$4&gt;TODAY())),"",IF(EOMONTH(ES$4,0)&lt;=Settings!$B$5,N(Settings!$C$26),N(Calc!$AL$152)))</f>
        <v/>
      </c>
      <c r="EU14" s="31">
        <f>IF(OR(Settings!$A$26="",Settings!$F$26="Yes",OR(EOMONTH(EU$4,0)&lt;=Settings!$B$5,EU$4&gt;TODAY())),"",IF(EOMONTH(ET$4,0)&lt;=Settings!$B$5,N(Settings!$C$26),N(Calc!$AL$153)))</f>
        <v/>
      </c>
      <c r="EV14" s="31">
        <f>IF(OR(Settings!$A$26="",Settings!$F$26="Yes",OR(EOMONTH(EV$4,0)&lt;=Settings!$B$5,EV$4&gt;TODAY())),"",IF(EOMONTH(EU$4,0)&lt;=Settings!$B$5,N(Settings!$C$26),N(Calc!$AL$154)))</f>
        <v/>
      </c>
      <c r="EW14" s="31">
        <f>IF(OR(Settings!$A$26="",Settings!$F$26="Yes",OR(EOMONTH(EW$4,0)&lt;=Settings!$B$5,EW$4&gt;TODAY())),"",IF(EOMONTH(EV$4,0)&lt;=Settings!$B$5,N(Settings!$C$26),N(Calc!$AL$155)))</f>
        <v/>
      </c>
      <c r="EX14" s="31">
        <f>IF(OR(Settings!$A$26="",Settings!$F$26="Yes",OR(EOMONTH(EX$4,0)&lt;=Settings!$B$5,EX$4&gt;TODAY())),"",IF(EOMONTH(EW$4,0)&lt;=Settings!$B$5,N(Settings!$C$26),N(Calc!$AL$156)))</f>
        <v/>
      </c>
      <c r="EY14" s="31">
        <f>IF(OR(Settings!$A$26="",Settings!$F$26="Yes",OR(EOMONTH(EY$4,0)&lt;=Settings!$B$5,EY$4&gt;TODAY())),"",IF(EOMONTH(EX$4,0)&lt;=Settings!$B$5,N(Settings!$C$26),N(Calc!$AL$157)))</f>
        <v/>
      </c>
      <c r="EZ14" s="31">
        <f>IF(OR(Settings!$A$26="",Settings!$F$26="Yes",OR(EOMONTH(EZ$4,0)&lt;=Settings!$B$5,EZ$4&gt;TODAY())),"",IF(EOMONTH(EY$4,0)&lt;=Settings!$B$5,N(Settings!$C$26),N(Calc!$AL$158)))</f>
        <v/>
      </c>
      <c r="FA14" s="31">
        <f>IF(OR(Settings!$A$26="",Settings!$F$26="Yes",OR(EOMONTH(FA$4,0)&lt;=Settings!$B$5,FA$4&gt;TODAY())),"",IF(EOMONTH(EZ$4,0)&lt;=Settings!$B$5,N(Settings!$C$26),N(Calc!$AL$159)))</f>
        <v/>
      </c>
      <c r="FB14" s="31">
        <f>IF(OR(Settings!$A$26="",Settings!$F$26="Yes",OR(EOMONTH(FB$4,0)&lt;=Settings!$B$5,FB$4&gt;TODAY())),"",IF(EOMONTH(FA$4,0)&lt;=Settings!$B$5,N(Settings!$C$26),N(Calc!$AL$160)))</f>
        <v/>
      </c>
      <c r="FC14" s="31">
        <f>IF(OR(Settings!$A$26="",Settings!$F$26="Yes",OR(EOMONTH(FC$4,0)&lt;=Settings!$B$5,FC$4&gt;TODAY())),"",IF(EOMONTH(FB$4,0)&lt;=Settings!$B$5,N(Settings!$C$26),N(Calc!$AL$161)))</f>
        <v/>
      </c>
      <c r="FD14" s="31">
        <f>IF(OR(Settings!$A$26="",Settings!$F$26="Yes",OR(EOMONTH(FD$4,0)&lt;=Settings!$B$5,FD$4&gt;TODAY())),"",IF(EOMONTH(FC$4,0)&lt;=Settings!$B$5,N(Settings!$C$26),N(Calc!$AL$162)))</f>
        <v/>
      </c>
      <c r="FE14" s="31">
        <f>IF(OR(Settings!$A$26="",Settings!$F$26="Yes",OR(EOMONTH(FE$4,0)&lt;=Settings!$B$5,FE$4&gt;TODAY())),"",IF(EOMONTH(FD$4,0)&lt;=Settings!$B$5,N(Settings!$C$26),N(Calc!$AL$163)))</f>
        <v/>
      </c>
      <c r="FF14" s="31">
        <f>IF(OR(Settings!$A$26="",Settings!$F$26="Yes",OR(EOMONTH(FF$4,0)&lt;=Settings!$B$5,FF$4&gt;TODAY())),"",IF(EOMONTH(FE$4,0)&lt;=Settings!$B$5,N(Settings!$C$26),N(Calc!$AL$164)))</f>
        <v/>
      </c>
      <c r="FG14" s="31">
        <f>IF(OR(Settings!$A$26="",Settings!$F$26="Yes",OR(EOMONTH(FG$4,0)&lt;=Settings!$B$5,FG$4&gt;TODAY())),"",IF(EOMONTH(FF$4,0)&lt;=Settings!$B$5,N(Settings!$C$26),N(Calc!$AL$165)))</f>
        <v/>
      </c>
      <c r="FH14" s="31">
        <f>IF(OR(Settings!$A$26="",Settings!$F$26="Yes",OR(EOMONTH(FH$4,0)&lt;=Settings!$B$5,FH$4&gt;TODAY())),"",IF(EOMONTH(FG$4,0)&lt;=Settings!$B$5,N(Settings!$C$26),N(Calc!$AL$166)))</f>
        <v/>
      </c>
      <c r="FI14" s="31">
        <f>IF(OR(Settings!$A$26="",Settings!$F$26="Yes",OR(EOMONTH(FI$4,0)&lt;=Settings!$B$5,FI$4&gt;TODAY())),"",IF(EOMONTH(FH$4,0)&lt;=Settings!$B$5,N(Settings!$C$26),N(Calc!$AL$167)))</f>
        <v/>
      </c>
      <c r="FJ14" s="31">
        <f>IF(OR(Settings!$A$26="",Settings!$F$26="Yes",OR(EOMONTH(FJ$4,0)&lt;=Settings!$B$5,FJ$4&gt;TODAY())),"",IF(EOMONTH(FI$4,0)&lt;=Settings!$B$5,N(Settings!$C$26),N(Calc!$AL$168)))</f>
        <v/>
      </c>
      <c r="FK14" s="31">
        <f>IF(OR(Settings!$A$26="",Settings!$F$26="Yes",OR(EOMONTH(FK$4,0)&lt;=Settings!$B$5,FK$4&gt;TODAY())),"",IF(EOMONTH(FJ$4,0)&lt;=Settings!$B$5,N(Settings!$C$26),N(Calc!$AL$169)))</f>
        <v/>
      </c>
      <c r="FL14" s="31">
        <f>IF(OR(Settings!$A$26="",Settings!$F$26="Yes",OR(EOMONTH(FL$4,0)&lt;=Settings!$B$5,FL$4&gt;TODAY())),"",IF(EOMONTH(FK$4,0)&lt;=Settings!$B$5,N(Settings!$C$26),N(Calc!$AL$170)))</f>
        <v/>
      </c>
      <c r="FM14" s="31">
        <f>IF(OR(Settings!$A$26="",Settings!$F$26="Yes",OR(EOMONTH(FM$4,0)&lt;=Settings!$B$5,FM$4&gt;TODAY())),"",IF(EOMONTH(FL$4,0)&lt;=Settings!$B$5,N(Settings!$C$26),N(Calc!$AL$171)))</f>
        <v/>
      </c>
      <c r="FN14" s="31">
        <f>IF(OR(Settings!$A$26="",Settings!$F$26="Yes",OR(EOMONTH(FN$4,0)&lt;=Settings!$B$5,FN$4&gt;TODAY())),"",IF(EOMONTH(FM$4,0)&lt;=Settings!$B$5,N(Settings!$C$26),N(Calc!$AL$172)))</f>
        <v/>
      </c>
      <c r="FO14" s="31">
        <f>IF(OR(Settings!$A$26="",Settings!$F$26="Yes",OR(EOMONTH(FO$4,0)&lt;=Settings!$B$5,FO$4&gt;TODAY())),"",IF(EOMONTH(FN$4,0)&lt;=Settings!$B$5,N(Settings!$C$26),N(Calc!$AL$173)))</f>
        <v/>
      </c>
      <c r="FP14" s="31">
        <f>IF(OR(Settings!$A$26="",Settings!$F$26="Yes",OR(EOMONTH(FP$4,0)&lt;=Settings!$B$5,FP$4&gt;TODAY())),"",IF(EOMONTH(FO$4,0)&lt;=Settings!$B$5,N(Settings!$C$26),N(Calc!$AL$174)))</f>
        <v/>
      </c>
      <c r="FQ14" s="31">
        <f>IF(OR(Settings!$A$26="",Settings!$F$26="Yes",OR(EOMONTH(FQ$4,0)&lt;=Settings!$B$5,FQ$4&gt;TODAY())),"",IF(EOMONTH(FP$4,0)&lt;=Settings!$B$5,N(Settings!$C$26),N(Calc!$AL$175)))</f>
        <v/>
      </c>
      <c r="FR14" s="31">
        <f>IF(OR(Settings!$A$26="",Settings!$F$26="Yes",OR(EOMONTH(FR$4,0)&lt;=Settings!$B$5,FR$4&gt;TODAY())),"",IF(EOMONTH(FQ$4,0)&lt;=Settings!$B$5,N(Settings!$C$26),N(Calc!$AL$176)))</f>
        <v/>
      </c>
      <c r="FS14" s="31">
        <f>IF(OR(Settings!$A$26="",Settings!$F$26="Yes",OR(EOMONTH(FS$4,0)&lt;=Settings!$B$5,FS$4&gt;TODAY())),"",IF(EOMONTH(FR$4,0)&lt;=Settings!$B$5,N(Settings!$C$26),N(Calc!$AL$177)))</f>
        <v/>
      </c>
      <c r="FT14" s="31">
        <f>IF(OR(Settings!$A$26="",Settings!$F$26="Yes",OR(EOMONTH(FT$4,0)&lt;=Settings!$B$5,FT$4&gt;TODAY())),"",IF(EOMONTH(FS$4,0)&lt;=Settings!$B$5,N(Settings!$C$26),N(Calc!$AL$178)))</f>
        <v/>
      </c>
      <c r="FU14" s="31">
        <f>IF(OR(Settings!$A$26="",Settings!$F$26="Yes",OR(EOMONTH(FU$4,0)&lt;=Settings!$B$5,FU$4&gt;TODAY())),"",IF(EOMONTH(FT$4,0)&lt;=Settings!$B$5,N(Settings!$C$26),N(Calc!$AL$179)))</f>
        <v/>
      </c>
      <c r="FV14" s="31">
        <f>IF(OR(Settings!$A$26="",Settings!$F$26="Yes",OR(EOMONTH(FV$4,0)&lt;=Settings!$B$5,FV$4&gt;TODAY())),"",IF(EOMONTH(FU$4,0)&lt;=Settings!$B$5,N(Settings!$C$26),N(Calc!$AL$180)))</f>
        <v/>
      </c>
      <c r="FW14" s="31">
        <f>IF(OR(Settings!$A$26="",Settings!$F$26="Yes",OR(EOMONTH(FW$4,0)&lt;=Settings!$B$5,FW$4&gt;TODAY())),"",IF(EOMONTH(FV$4,0)&lt;=Settings!$B$5,N(Settings!$C$26),N(Calc!$AL$181)))</f>
        <v/>
      </c>
      <c r="FX14" s="31">
        <f>IF(OR(Settings!$A$26="",Settings!$F$26="Yes",OR(EOMONTH(FX$4,0)&lt;=Settings!$B$5,FX$4&gt;TODAY())),"",IF(EOMONTH(FW$4,0)&lt;=Settings!$B$5,N(Settings!$C$26),N(Calc!$AL$182)))</f>
        <v/>
      </c>
    </row>
    <row r="15">
      <c r="A15" s="15">
        <f>IF(Settings!$A$27="","(unused)",Settings!$A$27&amp;IF(Settings!$E$27="No"," (retired)",""))</f>
        <v/>
      </c>
      <c r="B15" s="26">
        <f>IF(Settings!$A$27="","",IF(Settings!$F$27="Yes","REQUIRED","optional · grey = unchanged")&amp;IF(OR(Settings!$B$27="Card",Settings!$B$27="Loan")," · amount owed",""))</f>
        <v/>
      </c>
      <c r="C15" s="31">
        <f>IF(OR(Settings!$A$27="",Settings!$F$27="Yes",OR(EOMONTH(C$4,0)&lt;=Settings!$B$5,C$4&gt;TODAY())),"",N(Settings!$C$27))</f>
        <v/>
      </c>
      <c r="D15" s="31">
        <f>IF(OR(Settings!$A$27="",Settings!$F$27="Yes",OR(EOMONTH(D$4,0)&lt;=Settings!$B$5,D$4&gt;TODAY())),"",IF(EOMONTH(C$4,0)&lt;=Settings!$B$5,N(Settings!$C$27),N(Calc!$AM$6)))</f>
        <v/>
      </c>
      <c r="E15" s="31">
        <f>IF(OR(Settings!$A$27="",Settings!$F$27="Yes",OR(EOMONTH(E$4,0)&lt;=Settings!$B$5,E$4&gt;TODAY())),"",IF(EOMONTH(D$4,0)&lt;=Settings!$B$5,N(Settings!$C$27),N(Calc!$AM$7)))</f>
        <v/>
      </c>
      <c r="F15" s="31">
        <f>IF(OR(Settings!$A$27="",Settings!$F$27="Yes",OR(EOMONTH(F$4,0)&lt;=Settings!$B$5,F$4&gt;TODAY())),"",IF(EOMONTH(E$4,0)&lt;=Settings!$B$5,N(Settings!$C$27),N(Calc!$AM$8)))</f>
        <v/>
      </c>
      <c r="G15" s="31">
        <f>IF(OR(Settings!$A$27="",Settings!$F$27="Yes",OR(EOMONTH(G$4,0)&lt;=Settings!$B$5,G$4&gt;TODAY())),"",IF(EOMONTH(F$4,0)&lt;=Settings!$B$5,N(Settings!$C$27),N(Calc!$AM$9)))</f>
        <v/>
      </c>
      <c r="H15" s="31">
        <f>IF(OR(Settings!$A$27="",Settings!$F$27="Yes",OR(EOMONTH(H$4,0)&lt;=Settings!$B$5,H$4&gt;TODAY())),"",IF(EOMONTH(G$4,0)&lt;=Settings!$B$5,N(Settings!$C$27),N(Calc!$AM$10)))</f>
        <v/>
      </c>
      <c r="I15" s="31">
        <f>IF(OR(Settings!$A$27="",Settings!$F$27="Yes",OR(EOMONTH(I$4,0)&lt;=Settings!$B$5,I$4&gt;TODAY())),"",IF(EOMONTH(H$4,0)&lt;=Settings!$B$5,N(Settings!$C$27),N(Calc!$AM$11)))</f>
        <v/>
      </c>
      <c r="J15" s="31">
        <f>IF(OR(Settings!$A$27="",Settings!$F$27="Yes",OR(EOMONTH(J$4,0)&lt;=Settings!$B$5,J$4&gt;TODAY())),"",IF(EOMONTH(I$4,0)&lt;=Settings!$B$5,N(Settings!$C$27),N(Calc!$AM$12)))</f>
        <v/>
      </c>
      <c r="K15" s="31">
        <f>IF(OR(Settings!$A$27="",Settings!$F$27="Yes",OR(EOMONTH(K$4,0)&lt;=Settings!$B$5,K$4&gt;TODAY())),"",IF(EOMONTH(J$4,0)&lt;=Settings!$B$5,N(Settings!$C$27),N(Calc!$AM$13)))</f>
        <v/>
      </c>
      <c r="L15" s="31">
        <f>IF(OR(Settings!$A$27="",Settings!$F$27="Yes",OR(EOMONTH(L$4,0)&lt;=Settings!$B$5,L$4&gt;TODAY())),"",IF(EOMONTH(K$4,0)&lt;=Settings!$B$5,N(Settings!$C$27),N(Calc!$AM$14)))</f>
        <v/>
      </c>
      <c r="M15" s="31">
        <f>IF(OR(Settings!$A$27="",Settings!$F$27="Yes",OR(EOMONTH(M$4,0)&lt;=Settings!$B$5,M$4&gt;TODAY())),"",IF(EOMONTH(L$4,0)&lt;=Settings!$B$5,N(Settings!$C$27),N(Calc!$AM$15)))</f>
        <v/>
      </c>
      <c r="N15" s="31">
        <f>IF(OR(Settings!$A$27="",Settings!$F$27="Yes",OR(EOMONTH(N$4,0)&lt;=Settings!$B$5,N$4&gt;TODAY())),"",IF(EOMONTH(M$4,0)&lt;=Settings!$B$5,N(Settings!$C$27),N(Calc!$AM$16)))</f>
        <v/>
      </c>
      <c r="O15" s="31">
        <f>IF(OR(Settings!$A$27="",Settings!$F$27="Yes",OR(EOMONTH(O$4,0)&lt;=Settings!$B$5,O$4&gt;TODAY())),"",IF(EOMONTH(N$4,0)&lt;=Settings!$B$5,N(Settings!$C$27),N(Calc!$AM$17)))</f>
        <v/>
      </c>
      <c r="P15" s="31">
        <f>IF(OR(Settings!$A$27="",Settings!$F$27="Yes",OR(EOMONTH(P$4,0)&lt;=Settings!$B$5,P$4&gt;TODAY())),"",IF(EOMONTH(O$4,0)&lt;=Settings!$B$5,N(Settings!$C$27),N(Calc!$AM$18)))</f>
        <v/>
      </c>
      <c r="Q15" s="31">
        <f>IF(OR(Settings!$A$27="",Settings!$F$27="Yes",OR(EOMONTH(Q$4,0)&lt;=Settings!$B$5,Q$4&gt;TODAY())),"",IF(EOMONTH(P$4,0)&lt;=Settings!$B$5,N(Settings!$C$27),N(Calc!$AM$19)))</f>
        <v/>
      </c>
      <c r="R15" s="31">
        <f>IF(OR(Settings!$A$27="",Settings!$F$27="Yes",OR(EOMONTH(R$4,0)&lt;=Settings!$B$5,R$4&gt;TODAY())),"",IF(EOMONTH(Q$4,0)&lt;=Settings!$B$5,N(Settings!$C$27),N(Calc!$AM$20)))</f>
        <v/>
      </c>
      <c r="S15" s="31">
        <f>IF(OR(Settings!$A$27="",Settings!$F$27="Yes",OR(EOMONTH(S$4,0)&lt;=Settings!$B$5,S$4&gt;TODAY())),"",IF(EOMONTH(R$4,0)&lt;=Settings!$B$5,N(Settings!$C$27),N(Calc!$AM$21)))</f>
        <v/>
      </c>
      <c r="T15" s="31">
        <f>IF(OR(Settings!$A$27="",Settings!$F$27="Yes",OR(EOMONTH(T$4,0)&lt;=Settings!$B$5,T$4&gt;TODAY())),"",IF(EOMONTH(S$4,0)&lt;=Settings!$B$5,N(Settings!$C$27),N(Calc!$AM$22)))</f>
        <v/>
      </c>
      <c r="U15" s="31">
        <f>IF(OR(Settings!$A$27="",Settings!$F$27="Yes",OR(EOMONTH(U$4,0)&lt;=Settings!$B$5,U$4&gt;TODAY())),"",IF(EOMONTH(T$4,0)&lt;=Settings!$B$5,N(Settings!$C$27),N(Calc!$AM$23)))</f>
        <v/>
      </c>
      <c r="V15" s="31">
        <f>IF(OR(Settings!$A$27="",Settings!$F$27="Yes",OR(EOMONTH(V$4,0)&lt;=Settings!$B$5,V$4&gt;TODAY())),"",IF(EOMONTH(U$4,0)&lt;=Settings!$B$5,N(Settings!$C$27),N(Calc!$AM$24)))</f>
        <v/>
      </c>
      <c r="W15" s="31">
        <f>IF(OR(Settings!$A$27="",Settings!$F$27="Yes",OR(EOMONTH(W$4,0)&lt;=Settings!$B$5,W$4&gt;TODAY())),"",IF(EOMONTH(V$4,0)&lt;=Settings!$B$5,N(Settings!$C$27),N(Calc!$AM$25)))</f>
        <v/>
      </c>
      <c r="X15" s="31">
        <f>IF(OR(Settings!$A$27="",Settings!$F$27="Yes",OR(EOMONTH(X$4,0)&lt;=Settings!$B$5,X$4&gt;TODAY())),"",IF(EOMONTH(W$4,0)&lt;=Settings!$B$5,N(Settings!$C$27),N(Calc!$AM$26)))</f>
        <v/>
      </c>
      <c r="Y15" s="31">
        <f>IF(OR(Settings!$A$27="",Settings!$F$27="Yes",OR(EOMONTH(Y$4,0)&lt;=Settings!$B$5,Y$4&gt;TODAY())),"",IF(EOMONTH(X$4,0)&lt;=Settings!$B$5,N(Settings!$C$27),N(Calc!$AM$27)))</f>
        <v/>
      </c>
      <c r="Z15" s="31">
        <f>IF(OR(Settings!$A$27="",Settings!$F$27="Yes",OR(EOMONTH(Z$4,0)&lt;=Settings!$B$5,Z$4&gt;TODAY())),"",IF(EOMONTH(Y$4,0)&lt;=Settings!$B$5,N(Settings!$C$27),N(Calc!$AM$28)))</f>
        <v/>
      </c>
      <c r="AA15" s="31">
        <f>IF(OR(Settings!$A$27="",Settings!$F$27="Yes",OR(EOMONTH(AA$4,0)&lt;=Settings!$B$5,AA$4&gt;TODAY())),"",IF(EOMONTH(Z$4,0)&lt;=Settings!$B$5,N(Settings!$C$27),N(Calc!$AM$29)))</f>
        <v/>
      </c>
      <c r="AB15" s="31">
        <f>IF(OR(Settings!$A$27="",Settings!$F$27="Yes",OR(EOMONTH(AB$4,0)&lt;=Settings!$B$5,AB$4&gt;TODAY())),"",IF(EOMONTH(AA$4,0)&lt;=Settings!$B$5,N(Settings!$C$27),N(Calc!$AM$30)))</f>
        <v/>
      </c>
      <c r="AC15" s="31">
        <f>IF(OR(Settings!$A$27="",Settings!$F$27="Yes",OR(EOMONTH(AC$4,0)&lt;=Settings!$B$5,AC$4&gt;TODAY())),"",IF(EOMONTH(AB$4,0)&lt;=Settings!$B$5,N(Settings!$C$27),N(Calc!$AM$31)))</f>
        <v/>
      </c>
      <c r="AD15" s="31">
        <f>IF(OR(Settings!$A$27="",Settings!$F$27="Yes",OR(EOMONTH(AD$4,0)&lt;=Settings!$B$5,AD$4&gt;TODAY())),"",IF(EOMONTH(AC$4,0)&lt;=Settings!$B$5,N(Settings!$C$27),N(Calc!$AM$32)))</f>
        <v/>
      </c>
      <c r="AE15" s="31">
        <f>IF(OR(Settings!$A$27="",Settings!$F$27="Yes",OR(EOMONTH(AE$4,0)&lt;=Settings!$B$5,AE$4&gt;TODAY())),"",IF(EOMONTH(AD$4,0)&lt;=Settings!$B$5,N(Settings!$C$27),N(Calc!$AM$33)))</f>
        <v/>
      </c>
      <c r="AF15" s="31">
        <f>IF(OR(Settings!$A$27="",Settings!$F$27="Yes",OR(EOMONTH(AF$4,0)&lt;=Settings!$B$5,AF$4&gt;TODAY())),"",IF(EOMONTH(AE$4,0)&lt;=Settings!$B$5,N(Settings!$C$27),N(Calc!$AM$34)))</f>
        <v/>
      </c>
      <c r="AG15" s="31">
        <f>IF(OR(Settings!$A$27="",Settings!$F$27="Yes",OR(EOMONTH(AG$4,0)&lt;=Settings!$B$5,AG$4&gt;TODAY())),"",IF(EOMONTH(AF$4,0)&lt;=Settings!$B$5,N(Settings!$C$27),N(Calc!$AM$35)))</f>
        <v/>
      </c>
      <c r="AH15" s="31">
        <f>IF(OR(Settings!$A$27="",Settings!$F$27="Yes",OR(EOMONTH(AH$4,0)&lt;=Settings!$B$5,AH$4&gt;TODAY())),"",IF(EOMONTH(AG$4,0)&lt;=Settings!$B$5,N(Settings!$C$27),N(Calc!$AM$36)))</f>
        <v/>
      </c>
      <c r="AI15" s="31">
        <f>IF(OR(Settings!$A$27="",Settings!$F$27="Yes",OR(EOMONTH(AI$4,0)&lt;=Settings!$B$5,AI$4&gt;TODAY())),"",IF(EOMONTH(AH$4,0)&lt;=Settings!$B$5,N(Settings!$C$27),N(Calc!$AM$37)))</f>
        <v/>
      </c>
      <c r="AJ15" s="31">
        <f>IF(OR(Settings!$A$27="",Settings!$F$27="Yes",OR(EOMONTH(AJ$4,0)&lt;=Settings!$B$5,AJ$4&gt;TODAY())),"",IF(EOMONTH(AI$4,0)&lt;=Settings!$B$5,N(Settings!$C$27),N(Calc!$AM$38)))</f>
        <v/>
      </c>
      <c r="AK15" s="31">
        <f>IF(OR(Settings!$A$27="",Settings!$F$27="Yes",OR(EOMONTH(AK$4,0)&lt;=Settings!$B$5,AK$4&gt;TODAY())),"",IF(EOMONTH(AJ$4,0)&lt;=Settings!$B$5,N(Settings!$C$27),N(Calc!$AM$39)))</f>
        <v/>
      </c>
      <c r="AL15" s="31">
        <f>IF(OR(Settings!$A$27="",Settings!$F$27="Yes",OR(EOMONTH(AL$4,0)&lt;=Settings!$B$5,AL$4&gt;TODAY())),"",IF(EOMONTH(AK$4,0)&lt;=Settings!$B$5,N(Settings!$C$27),N(Calc!$AM$40)))</f>
        <v/>
      </c>
      <c r="AM15" s="31">
        <f>IF(OR(Settings!$A$27="",Settings!$F$27="Yes",OR(EOMONTH(AM$4,0)&lt;=Settings!$B$5,AM$4&gt;TODAY())),"",IF(EOMONTH(AL$4,0)&lt;=Settings!$B$5,N(Settings!$C$27),N(Calc!$AM$41)))</f>
        <v/>
      </c>
      <c r="AN15" s="31">
        <f>IF(OR(Settings!$A$27="",Settings!$F$27="Yes",OR(EOMONTH(AN$4,0)&lt;=Settings!$B$5,AN$4&gt;TODAY())),"",IF(EOMONTH(AM$4,0)&lt;=Settings!$B$5,N(Settings!$C$27),N(Calc!$AM$42)))</f>
        <v/>
      </c>
      <c r="AO15" s="31">
        <f>IF(OR(Settings!$A$27="",Settings!$F$27="Yes",OR(EOMONTH(AO$4,0)&lt;=Settings!$B$5,AO$4&gt;TODAY())),"",IF(EOMONTH(AN$4,0)&lt;=Settings!$B$5,N(Settings!$C$27),N(Calc!$AM$43)))</f>
        <v/>
      </c>
      <c r="AP15" s="31">
        <f>IF(OR(Settings!$A$27="",Settings!$F$27="Yes",OR(EOMONTH(AP$4,0)&lt;=Settings!$B$5,AP$4&gt;TODAY())),"",IF(EOMONTH(AO$4,0)&lt;=Settings!$B$5,N(Settings!$C$27),N(Calc!$AM$44)))</f>
        <v/>
      </c>
      <c r="AQ15" s="31">
        <f>IF(OR(Settings!$A$27="",Settings!$F$27="Yes",OR(EOMONTH(AQ$4,0)&lt;=Settings!$B$5,AQ$4&gt;TODAY())),"",IF(EOMONTH(AP$4,0)&lt;=Settings!$B$5,N(Settings!$C$27),N(Calc!$AM$45)))</f>
        <v/>
      </c>
      <c r="AR15" s="31">
        <f>IF(OR(Settings!$A$27="",Settings!$F$27="Yes",OR(EOMONTH(AR$4,0)&lt;=Settings!$B$5,AR$4&gt;TODAY())),"",IF(EOMONTH(AQ$4,0)&lt;=Settings!$B$5,N(Settings!$C$27),N(Calc!$AM$46)))</f>
        <v/>
      </c>
      <c r="AS15" s="31">
        <f>IF(OR(Settings!$A$27="",Settings!$F$27="Yes",OR(EOMONTH(AS$4,0)&lt;=Settings!$B$5,AS$4&gt;TODAY())),"",IF(EOMONTH(AR$4,0)&lt;=Settings!$B$5,N(Settings!$C$27),N(Calc!$AM$47)))</f>
        <v/>
      </c>
      <c r="AT15" s="31">
        <f>IF(OR(Settings!$A$27="",Settings!$F$27="Yes",OR(EOMONTH(AT$4,0)&lt;=Settings!$B$5,AT$4&gt;TODAY())),"",IF(EOMONTH(AS$4,0)&lt;=Settings!$B$5,N(Settings!$C$27),N(Calc!$AM$48)))</f>
        <v/>
      </c>
      <c r="AU15" s="31">
        <f>IF(OR(Settings!$A$27="",Settings!$F$27="Yes",OR(EOMONTH(AU$4,0)&lt;=Settings!$B$5,AU$4&gt;TODAY())),"",IF(EOMONTH(AT$4,0)&lt;=Settings!$B$5,N(Settings!$C$27),N(Calc!$AM$49)))</f>
        <v/>
      </c>
      <c r="AV15" s="31">
        <f>IF(OR(Settings!$A$27="",Settings!$F$27="Yes",OR(EOMONTH(AV$4,0)&lt;=Settings!$B$5,AV$4&gt;TODAY())),"",IF(EOMONTH(AU$4,0)&lt;=Settings!$B$5,N(Settings!$C$27),N(Calc!$AM$50)))</f>
        <v/>
      </c>
      <c r="AW15" s="31">
        <f>IF(OR(Settings!$A$27="",Settings!$F$27="Yes",OR(EOMONTH(AW$4,0)&lt;=Settings!$B$5,AW$4&gt;TODAY())),"",IF(EOMONTH(AV$4,0)&lt;=Settings!$B$5,N(Settings!$C$27),N(Calc!$AM$51)))</f>
        <v/>
      </c>
      <c r="AX15" s="31">
        <f>IF(OR(Settings!$A$27="",Settings!$F$27="Yes",OR(EOMONTH(AX$4,0)&lt;=Settings!$B$5,AX$4&gt;TODAY())),"",IF(EOMONTH(AW$4,0)&lt;=Settings!$B$5,N(Settings!$C$27),N(Calc!$AM$52)))</f>
        <v/>
      </c>
      <c r="AY15" s="31">
        <f>IF(OR(Settings!$A$27="",Settings!$F$27="Yes",OR(EOMONTH(AY$4,0)&lt;=Settings!$B$5,AY$4&gt;TODAY())),"",IF(EOMONTH(AX$4,0)&lt;=Settings!$B$5,N(Settings!$C$27),N(Calc!$AM$53)))</f>
        <v/>
      </c>
      <c r="AZ15" s="31">
        <f>IF(OR(Settings!$A$27="",Settings!$F$27="Yes",OR(EOMONTH(AZ$4,0)&lt;=Settings!$B$5,AZ$4&gt;TODAY())),"",IF(EOMONTH(AY$4,0)&lt;=Settings!$B$5,N(Settings!$C$27),N(Calc!$AM$54)))</f>
        <v/>
      </c>
      <c r="BA15" s="31">
        <f>IF(OR(Settings!$A$27="",Settings!$F$27="Yes",OR(EOMONTH(BA$4,0)&lt;=Settings!$B$5,BA$4&gt;TODAY())),"",IF(EOMONTH(AZ$4,0)&lt;=Settings!$B$5,N(Settings!$C$27),N(Calc!$AM$55)))</f>
        <v/>
      </c>
      <c r="BB15" s="31">
        <f>IF(OR(Settings!$A$27="",Settings!$F$27="Yes",OR(EOMONTH(BB$4,0)&lt;=Settings!$B$5,BB$4&gt;TODAY())),"",IF(EOMONTH(BA$4,0)&lt;=Settings!$B$5,N(Settings!$C$27),N(Calc!$AM$56)))</f>
        <v/>
      </c>
      <c r="BC15" s="31">
        <f>IF(OR(Settings!$A$27="",Settings!$F$27="Yes",OR(EOMONTH(BC$4,0)&lt;=Settings!$B$5,BC$4&gt;TODAY())),"",IF(EOMONTH(BB$4,0)&lt;=Settings!$B$5,N(Settings!$C$27),N(Calc!$AM$57)))</f>
        <v/>
      </c>
      <c r="BD15" s="31">
        <f>IF(OR(Settings!$A$27="",Settings!$F$27="Yes",OR(EOMONTH(BD$4,0)&lt;=Settings!$B$5,BD$4&gt;TODAY())),"",IF(EOMONTH(BC$4,0)&lt;=Settings!$B$5,N(Settings!$C$27),N(Calc!$AM$58)))</f>
        <v/>
      </c>
      <c r="BE15" s="31">
        <f>IF(OR(Settings!$A$27="",Settings!$F$27="Yes",OR(EOMONTH(BE$4,0)&lt;=Settings!$B$5,BE$4&gt;TODAY())),"",IF(EOMONTH(BD$4,0)&lt;=Settings!$B$5,N(Settings!$C$27),N(Calc!$AM$59)))</f>
        <v/>
      </c>
      <c r="BF15" s="31">
        <f>IF(OR(Settings!$A$27="",Settings!$F$27="Yes",OR(EOMONTH(BF$4,0)&lt;=Settings!$B$5,BF$4&gt;TODAY())),"",IF(EOMONTH(BE$4,0)&lt;=Settings!$B$5,N(Settings!$C$27),N(Calc!$AM$60)))</f>
        <v/>
      </c>
      <c r="BG15" s="31">
        <f>IF(OR(Settings!$A$27="",Settings!$F$27="Yes",OR(EOMONTH(BG$4,0)&lt;=Settings!$B$5,BG$4&gt;TODAY())),"",IF(EOMONTH(BF$4,0)&lt;=Settings!$B$5,N(Settings!$C$27),N(Calc!$AM$61)))</f>
        <v/>
      </c>
      <c r="BH15" s="31">
        <f>IF(OR(Settings!$A$27="",Settings!$F$27="Yes",OR(EOMONTH(BH$4,0)&lt;=Settings!$B$5,BH$4&gt;TODAY())),"",IF(EOMONTH(BG$4,0)&lt;=Settings!$B$5,N(Settings!$C$27),N(Calc!$AM$62)))</f>
        <v/>
      </c>
      <c r="BI15" s="31">
        <f>IF(OR(Settings!$A$27="",Settings!$F$27="Yes",OR(EOMONTH(BI$4,0)&lt;=Settings!$B$5,BI$4&gt;TODAY())),"",IF(EOMONTH(BH$4,0)&lt;=Settings!$B$5,N(Settings!$C$27),N(Calc!$AM$63)))</f>
        <v/>
      </c>
      <c r="BJ15" s="31">
        <f>IF(OR(Settings!$A$27="",Settings!$F$27="Yes",OR(EOMONTH(BJ$4,0)&lt;=Settings!$B$5,BJ$4&gt;TODAY())),"",IF(EOMONTH(BI$4,0)&lt;=Settings!$B$5,N(Settings!$C$27),N(Calc!$AM$64)))</f>
        <v/>
      </c>
      <c r="BK15" s="31">
        <f>IF(OR(Settings!$A$27="",Settings!$F$27="Yes",OR(EOMONTH(BK$4,0)&lt;=Settings!$B$5,BK$4&gt;TODAY())),"",IF(EOMONTH(BJ$4,0)&lt;=Settings!$B$5,N(Settings!$C$27),N(Calc!$AM$65)))</f>
        <v/>
      </c>
      <c r="BL15" s="31">
        <f>IF(OR(Settings!$A$27="",Settings!$F$27="Yes",OR(EOMONTH(BL$4,0)&lt;=Settings!$B$5,BL$4&gt;TODAY())),"",IF(EOMONTH(BK$4,0)&lt;=Settings!$B$5,N(Settings!$C$27),N(Calc!$AM$66)))</f>
        <v/>
      </c>
      <c r="BM15" s="31">
        <f>IF(OR(Settings!$A$27="",Settings!$F$27="Yes",OR(EOMONTH(BM$4,0)&lt;=Settings!$B$5,BM$4&gt;TODAY())),"",IF(EOMONTH(BL$4,0)&lt;=Settings!$B$5,N(Settings!$C$27),N(Calc!$AM$67)))</f>
        <v/>
      </c>
      <c r="BN15" s="31">
        <f>IF(OR(Settings!$A$27="",Settings!$F$27="Yes",OR(EOMONTH(BN$4,0)&lt;=Settings!$B$5,BN$4&gt;TODAY())),"",IF(EOMONTH(BM$4,0)&lt;=Settings!$B$5,N(Settings!$C$27),N(Calc!$AM$68)))</f>
        <v/>
      </c>
      <c r="BO15" s="31">
        <f>IF(OR(Settings!$A$27="",Settings!$F$27="Yes",OR(EOMONTH(BO$4,0)&lt;=Settings!$B$5,BO$4&gt;TODAY())),"",IF(EOMONTH(BN$4,0)&lt;=Settings!$B$5,N(Settings!$C$27),N(Calc!$AM$69)))</f>
        <v/>
      </c>
      <c r="BP15" s="31">
        <f>IF(OR(Settings!$A$27="",Settings!$F$27="Yes",OR(EOMONTH(BP$4,0)&lt;=Settings!$B$5,BP$4&gt;TODAY())),"",IF(EOMONTH(BO$4,0)&lt;=Settings!$B$5,N(Settings!$C$27),N(Calc!$AM$70)))</f>
        <v/>
      </c>
      <c r="BQ15" s="31">
        <f>IF(OR(Settings!$A$27="",Settings!$F$27="Yes",OR(EOMONTH(BQ$4,0)&lt;=Settings!$B$5,BQ$4&gt;TODAY())),"",IF(EOMONTH(BP$4,0)&lt;=Settings!$B$5,N(Settings!$C$27),N(Calc!$AM$71)))</f>
        <v/>
      </c>
      <c r="BR15" s="31">
        <f>IF(OR(Settings!$A$27="",Settings!$F$27="Yes",OR(EOMONTH(BR$4,0)&lt;=Settings!$B$5,BR$4&gt;TODAY())),"",IF(EOMONTH(BQ$4,0)&lt;=Settings!$B$5,N(Settings!$C$27),N(Calc!$AM$72)))</f>
        <v/>
      </c>
      <c r="BS15" s="31">
        <f>IF(OR(Settings!$A$27="",Settings!$F$27="Yes",OR(EOMONTH(BS$4,0)&lt;=Settings!$B$5,BS$4&gt;TODAY())),"",IF(EOMONTH(BR$4,0)&lt;=Settings!$B$5,N(Settings!$C$27),N(Calc!$AM$73)))</f>
        <v/>
      </c>
      <c r="BT15" s="31">
        <f>IF(OR(Settings!$A$27="",Settings!$F$27="Yes",OR(EOMONTH(BT$4,0)&lt;=Settings!$B$5,BT$4&gt;TODAY())),"",IF(EOMONTH(BS$4,0)&lt;=Settings!$B$5,N(Settings!$C$27),N(Calc!$AM$74)))</f>
        <v/>
      </c>
      <c r="BU15" s="31">
        <f>IF(OR(Settings!$A$27="",Settings!$F$27="Yes",OR(EOMONTH(BU$4,0)&lt;=Settings!$B$5,BU$4&gt;TODAY())),"",IF(EOMONTH(BT$4,0)&lt;=Settings!$B$5,N(Settings!$C$27),N(Calc!$AM$75)))</f>
        <v/>
      </c>
      <c r="BV15" s="31">
        <f>IF(OR(Settings!$A$27="",Settings!$F$27="Yes",OR(EOMONTH(BV$4,0)&lt;=Settings!$B$5,BV$4&gt;TODAY())),"",IF(EOMONTH(BU$4,0)&lt;=Settings!$B$5,N(Settings!$C$27),N(Calc!$AM$76)))</f>
        <v/>
      </c>
      <c r="BW15" s="31">
        <f>IF(OR(Settings!$A$27="",Settings!$F$27="Yes",OR(EOMONTH(BW$4,0)&lt;=Settings!$B$5,BW$4&gt;TODAY())),"",IF(EOMONTH(BV$4,0)&lt;=Settings!$B$5,N(Settings!$C$27),N(Calc!$AM$77)))</f>
        <v/>
      </c>
      <c r="BX15" s="31">
        <f>IF(OR(Settings!$A$27="",Settings!$F$27="Yes",OR(EOMONTH(BX$4,0)&lt;=Settings!$B$5,BX$4&gt;TODAY())),"",IF(EOMONTH(BW$4,0)&lt;=Settings!$B$5,N(Settings!$C$27),N(Calc!$AM$78)))</f>
        <v/>
      </c>
      <c r="BY15" s="31">
        <f>IF(OR(Settings!$A$27="",Settings!$F$27="Yes",OR(EOMONTH(BY$4,0)&lt;=Settings!$B$5,BY$4&gt;TODAY())),"",IF(EOMONTH(BX$4,0)&lt;=Settings!$B$5,N(Settings!$C$27),N(Calc!$AM$79)))</f>
        <v/>
      </c>
      <c r="BZ15" s="31">
        <f>IF(OR(Settings!$A$27="",Settings!$F$27="Yes",OR(EOMONTH(BZ$4,0)&lt;=Settings!$B$5,BZ$4&gt;TODAY())),"",IF(EOMONTH(BY$4,0)&lt;=Settings!$B$5,N(Settings!$C$27),N(Calc!$AM$80)))</f>
        <v/>
      </c>
      <c r="CA15" s="31">
        <f>IF(OR(Settings!$A$27="",Settings!$F$27="Yes",OR(EOMONTH(CA$4,0)&lt;=Settings!$B$5,CA$4&gt;TODAY())),"",IF(EOMONTH(BZ$4,0)&lt;=Settings!$B$5,N(Settings!$C$27),N(Calc!$AM$81)))</f>
        <v/>
      </c>
      <c r="CB15" s="31">
        <f>IF(OR(Settings!$A$27="",Settings!$F$27="Yes",OR(EOMONTH(CB$4,0)&lt;=Settings!$B$5,CB$4&gt;TODAY())),"",IF(EOMONTH(CA$4,0)&lt;=Settings!$B$5,N(Settings!$C$27),N(Calc!$AM$82)))</f>
        <v/>
      </c>
      <c r="CC15" s="31">
        <f>IF(OR(Settings!$A$27="",Settings!$F$27="Yes",OR(EOMONTH(CC$4,0)&lt;=Settings!$B$5,CC$4&gt;TODAY())),"",IF(EOMONTH(CB$4,0)&lt;=Settings!$B$5,N(Settings!$C$27),N(Calc!$AM$83)))</f>
        <v/>
      </c>
      <c r="CD15" s="31">
        <f>IF(OR(Settings!$A$27="",Settings!$F$27="Yes",OR(EOMONTH(CD$4,0)&lt;=Settings!$B$5,CD$4&gt;TODAY())),"",IF(EOMONTH(CC$4,0)&lt;=Settings!$B$5,N(Settings!$C$27),N(Calc!$AM$84)))</f>
        <v/>
      </c>
      <c r="CE15" s="31">
        <f>IF(OR(Settings!$A$27="",Settings!$F$27="Yes",OR(EOMONTH(CE$4,0)&lt;=Settings!$B$5,CE$4&gt;TODAY())),"",IF(EOMONTH(CD$4,0)&lt;=Settings!$B$5,N(Settings!$C$27),N(Calc!$AM$85)))</f>
        <v/>
      </c>
      <c r="CF15" s="31">
        <f>IF(OR(Settings!$A$27="",Settings!$F$27="Yes",OR(EOMONTH(CF$4,0)&lt;=Settings!$B$5,CF$4&gt;TODAY())),"",IF(EOMONTH(CE$4,0)&lt;=Settings!$B$5,N(Settings!$C$27),N(Calc!$AM$86)))</f>
        <v/>
      </c>
      <c r="CG15" s="31">
        <f>IF(OR(Settings!$A$27="",Settings!$F$27="Yes",OR(EOMONTH(CG$4,0)&lt;=Settings!$B$5,CG$4&gt;TODAY())),"",IF(EOMONTH(CF$4,0)&lt;=Settings!$B$5,N(Settings!$C$27),N(Calc!$AM$87)))</f>
        <v/>
      </c>
      <c r="CH15" s="31">
        <f>IF(OR(Settings!$A$27="",Settings!$F$27="Yes",OR(EOMONTH(CH$4,0)&lt;=Settings!$B$5,CH$4&gt;TODAY())),"",IF(EOMONTH(CG$4,0)&lt;=Settings!$B$5,N(Settings!$C$27),N(Calc!$AM$88)))</f>
        <v/>
      </c>
      <c r="CI15" s="31">
        <f>IF(OR(Settings!$A$27="",Settings!$F$27="Yes",OR(EOMONTH(CI$4,0)&lt;=Settings!$B$5,CI$4&gt;TODAY())),"",IF(EOMONTH(CH$4,0)&lt;=Settings!$B$5,N(Settings!$C$27),N(Calc!$AM$89)))</f>
        <v/>
      </c>
      <c r="CJ15" s="31">
        <f>IF(OR(Settings!$A$27="",Settings!$F$27="Yes",OR(EOMONTH(CJ$4,0)&lt;=Settings!$B$5,CJ$4&gt;TODAY())),"",IF(EOMONTH(CI$4,0)&lt;=Settings!$B$5,N(Settings!$C$27),N(Calc!$AM$90)))</f>
        <v/>
      </c>
      <c r="CK15" s="31">
        <f>IF(OR(Settings!$A$27="",Settings!$F$27="Yes",OR(EOMONTH(CK$4,0)&lt;=Settings!$B$5,CK$4&gt;TODAY())),"",IF(EOMONTH(CJ$4,0)&lt;=Settings!$B$5,N(Settings!$C$27),N(Calc!$AM$91)))</f>
        <v/>
      </c>
      <c r="CL15" s="31">
        <f>IF(OR(Settings!$A$27="",Settings!$F$27="Yes",OR(EOMONTH(CL$4,0)&lt;=Settings!$B$5,CL$4&gt;TODAY())),"",IF(EOMONTH(CK$4,0)&lt;=Settings!$B$5,N(Settings!$C$27),N(Calc!$AM$92)))</f>
        <v/>
      </c>
      <c r="CM15" s="31">
        <f>IF(OR(Settings!$A$27="",Settings!$F$27="Yes",OR(EOMONTH(CM$4,0)&lt;=Settings!$B$5,CM$4&gt;TODAY())),"",IF(EOMONTH(CL$4,0)&lt;=Settings!$B$5,N(Settings!$C$27),N(Calc!$AM$93)))</f>
        <v/>
      </c>
      <c r="CN15" s="31">
        <f>IF(OR(Settings!$A$27="",Settings!$F$27="Yes",OR(EOMONTH(CN$4,0)&lt;=Settings!$B$5,CN$4&gt;TODAY())),"",IF(EOMONTH(CM$4,0)&lt;=Settings!$B$5,N(Settings!$C$27),N(Calc!$AM$94)))</f>
        <v/>
      </c>
      <c r="CO15" s="31">
        <f>IF(OR(Settings!$A$27="",Settings!$F$27="Yes",OR(EOMONTH(CO$4,0)&lt;=Settings!$B$5,CO$4&gt;TODAY())),"",IF(EOMONTH(CN$4,0)&lt;=Settings!$B$5,N(Settings!$C$27),N(Calc!$AM$95)))</f>
        <v/>
      </c>
      <c r="CP15" s="31">
        <f>IF(OR(Settings!$A$27="",Settings!$F$27="Yes",OR(EOMONTH(CP$4,0)&lt;=Settings!$B$5,CP$4&gt;TODAY())),"",IF(EOMONTH(CO$4,0)&lt;=Settings!$B$5,N(Settings!$C$27),N(Calc!$AM$96)))</f>
        <v/>
      </c>
      <c r="CQ15" s="31">
        <f>IF(OR(Settings!$A$27="",Settings!$F$27="Yes",OR(EOMONTH(CQ$4,0)&lt;=Settings!$B$5,CQ$4&gt;TODAY())),"",IF(EOMONTH(CP$4,0)&lt;=Settings!$B$5,N(Settings!$C$27),N(Calc!$AM$97)))</f>
        <v/>
      </c>
      <c r="CR15" s="31">
        <f>IF(OR(Settings!$A$27="",Settings!$F$27="Yes",OR(EOMONTH(CR$4,0)&lt;=Settings!$B$5,CR$4&gt;TODAY())),"",IF(EOMONTH(CQ$4,0)&lt;=Settings!$B$5,N(Settings!$C$27),N(Calc!$AM$98)))</f>
        <v/>
      </c>
      <c r="CS15" s="31">
        <f>IF(OR(Settings!$A$27="",Settings!$F$27="Yes",OR(EOMONTH(CS$4,0)&lt;=Settings!$B$5,CS$4&gt;TODAY())),"",IF(EOMONTH(CR$4,0)&lt;=Settings!$B$5,N(Settings!$C$27),N(Calc!$AM$99)))</f>
        <v/>
      </c>
      <c r="CT15" s="31">
        <f>IF(OR(Settings!$A$27="",Settings!$F$27="Yes",OR(EOMONTH(CT$4,0)&lt;=Settings!$B$5,CT$4&gt;TODAY())),"",IF(EOMONTH(CS$4,0)&lt;=Settings!$B$5,N(Settings!$C$27),N(Calc!$AM$100)))</f>
        <v/>
      </c>
      <c r="CU15" s="31">
        <f>IF(OR(Settings!$A$27="",Settings!$F$27="Yes",OR(EOMONTH(CU$4,0)&lt;=Settings!$B$5,CU$4&gt;TODAY())),"",IF(EOMONTH(CT$4,0)&lt;=Settings!$B$5,N(Settings!$C$27),N(Calc!$AM$101)))</f>
        <v/>
      </c>
      <c r="CV15" s="31">
        <f>IF(OR(Settings!$A$27="",Settings!$F$27="Yes",OR(EOMONTH(CV$4,0)&lt;=Settings!$B$5,CV$4&gt;TODAY())),"",IF(EOMONTH(CU$4,0)&lt;=Settings!$B$5,N(Settings!$C$27),N(Calc!$AM$102)))</f>
        <v/>
      </c>
      <c r="CW15" s="31">
        <f>IF(OR(Settings!$A$27="",Settings!$F$27="Yes",OR(EOMONTH(CW$4,0)&lt;=Settings!$B$5,CW$4&gt;TODAY())),"",IF(EOMONTH(CV$4,0)&lt;=Settings!$B$5,N(Settings!$C$27),N(Calc!$AM$103)))</f>
        <v/>
      </c>
      <c r="CX15" s="31">
        <f>IF(OR(Settings!$A$27="",Settings!$F$27="Yes",OR(EOMONTH(CX$4,0)&lt;=Settings!$B$5,CX$4&gt;TODAY())),"",IF(EOMONTH(CW$4,0)&lt;=Settings!$B$5,N(Settings!$C$27),N(Calc!$AM$104)))</f>
        <v/>
      </c>
      <c r="CY15" s="31">
        <f>IF(OR(Settings!$A$27="",Settings!$F$27="Yes",OR(EOMONTH(CY$4,0)&lt;=Settings!$B$5,CY$4&gt;TODAY())),"",IF(EOMONTH(CX$4,0)&lt;=Settings!$B$5,N(Settings!$C$27),N(Calc!$AM$105)))</f>
        <v/>
      </c>
      <c r="CZ15" s="31">
        <f>IF(OR(Settings!$A$27="",Settings!$F$27="Yes",OR(EOMONTH(CZ$4,0)&lt;=Settings!$B$5,CZ$4&gt;TODAY())),"",IF(EOMONTH(CY$4,0)&lt;=Settings!$B$5,N(Settings!$C$27),N(Calc!$AM$106)))</f>
        <v/>
      </c>
      <c r="DA15" s="31">
        <f>IF(OR(Settings!$A$27="",Settings!$F$27="Yes",OR(EOMONTH(DA$4,0)&lt;=Settings!$B$5,DA$4&gt;TODAY())),"",IF(EOMONTH(CZ$4,0)&lt;=Settings!$B$5,N(Settings!$C$27),N(Calc!$AM$107)))</f>
        <v/>
      </c>
      <c r="DB15" s="31">
        <f>IF(OR(Settings!$A$27="",Settings!$F$27="Yes",OR(EOMONTH(DB$4,0)&lt;=Settings!$B$5,DB$4&gt;TODAY())),"",IF(EOMONTH(DA$4,0)&lt;=Settings!$B$5,N(Settings!$C$27),N(Calc!$AM$108)))</f>
        <v/>
      </c>
      <c r="DC15" s="31">
        <f>IF(OR(Settings!$A$27="",Settings!$F$27="Yes",OR(EOMONTH(DC$4,0)&lt;=Settings!$B$5,DC$4&gt;TODAY())),"",IF(EOMONTH(DB$4,0)&lt;=Settings!$B$5,N(Settings!$C$27),N(Calc!$AM$109)))</f>
        <v/>
      </c>
      <c r="DD15" s="31">
        <f>IF(OR(Settings!$A$27="",Settings!$F$27="Yes",OR(EOMONTH(DD$4,0)&lt;=Settings!$B$5,DD$4&gt;TODAY())),"",IF(EOMONTH(DC$4,0)&lt;=Settings!$B$5,N(Settings!$C$27),N(Calc!$AM$110)))</f>
        <v/>
      </c>
      <c r="DE15" s="31">
        <f>IF(OR(Settings!$A$27="",Settings!$F$27="Yes",OR(EOMONTH(DE$4,0)&lt;=Settings!$B$5,DE$4&gt;TODAY())),"",IF(EOMONTH(DD$4,0)&lt;=Settings!$B$5,N(Settings!$C$27),N(Calc!$AM$111)))</f>
        <v/>
      </c>
      <c r="DF15" s="31">
        <f>IF(OR(Settings!$A$27="",Settings!$F$27="Yes",OR(EOMONTH(DF$4,0)&lt;=Settings!$B$5,DF$4&gt;TODAY())),"",IF(EOMONTH(DE$4,0)&lt;=Settings!$B$5,N(Settings!$C$27),N(Calc!$AM$112)))</f>
        <v/>
      </c>
      <c r="DG15" s="31">
        <f>IF(OR(Settings!$A$27="",Settings!$F$27="Yes",OR(EOMONTH(DG$4,0)&lt;=Settings!$B$5,DG$4&gt;TODAY())),"",IF(EOMONTH(DF$4,0)&lt;=Settings!$B$5,N(Settings!$C$27),N(Calc!$AM$113)))</f>
        <v/>
      </c>
      <c r="DH15" s="31">
        <f>IF(OR(Settings!$A$27="",Settings!$F$27="Yes",OR(EOMONTH(DH$4,0)&lt;=Settings!$B$5,DH$4&gt;TODAY())),"",IF(EOMONTH(DG$4,0)&lt;=Settings!$B$5,N(Settings!$C$27),N(Calc!$AM$114)))</f>
        <v/>
      </c>
      <c r="DI15" s="31">
        <f>IF(OR(Settings!$A$27="",Settings!$F$27="Yes",OR(EOMONTH(DI$4,0)&lt;=Settings!$B$5,DI$4&gt;TODAY())),"",IF(EOMONTH(DH$4,0)&lt;=Settings!$B$5,N(Settings!$C$27),N(Calc!$AM$115)))</f>
        <v/>
      </c>
      <c r="DJ15" s="31">
        <f>IF(OR(Settings!$A$27="",Settings!$F$27="Yes",OR(EOMONTH(DJ$4,0)&lt;=Settings!$B$5,DJ$4&gt;TODAY())),"",IF(EOMONTH(DI$4,0)&lt;=Settings!$B$5,N(Settings!$C$27),N(Calc!$AM$116)))</f>
        <v/>
      </c>
      <c r="DK15" s="31">
        <f>IF(OR(Settings!$A$27="",Settings!$F$27="Yes",OR(EOMONTH(DK$4,0)&lt;=Settings!$B$5,DK$4&gt;TODAY())),"",IF(EOMONTH(DJ$4,0)&lt;=Settings!$B$5,N(Settings!$C$27),N(Calc!$AM$117)))</f>
        <v/>
      </c>
      <c r="DL15" s="31">
        <f>IF(OR(Settings!$A$27="",Settings!$F$27="Yes",OR(EOMONTH(DL$4,0)&lt;=Settings!$B$5,DL$4&gt;TODAY())),"",IF(EOMONTH(DK$4,0)&lt;=Settings!$B$5,N(Settings!$C$27),N(Calc!$AM$118)))</f>
        <v/>
      </c>
      <c r="DM15" s="31">
        <f>IF(OR(Settings!$A$27="",Settings!$F$27="Yes",OR(EOMONTH(DM$4,0)&lt;=Settings!$B$5,DM$4&gt;TODAY())),"",IF(EOMONTH(DL$4,0)&lt;=Settings!$B$5,N(Settings!$C$27),N(Calc!$AM$119)))</f>
        <v/>
      </c>
      <c r="DN15" s="31">
        <f>IF(OR(Settings!$A$27="",Settings!$F$27="Yes",OR(EOMONTH(DN$4,0)&lt;=Settings!$B$5,DN$4&gt;TODAY())),"",IF(EOMONTH(DM$4,0)&lt;=Settings!$B$5,N(Settings!$C$27),N(Calc!$AM$120)))</f>
        <v/>
      </c>
      <c r="DO15" s="31">
        <f>IF(OR(Settings!$A$27="",Settings!$F$27="Yes",OR(EOMONTH(DO$4,0)&lt;=Settings!$B$5,DO$4&gt;TODAY())),"",IF(EOMONTH(DN$4,0)&lt;=Settings!$B$5,N(Settings!$C$27),N(Calc!$AM$121)))</f>
        <v/>
      </c>
      <c r="DP15" s="31">
        <f>IF(OR(Settings!$A$27="",Settings!$F$27="Yes",OR(EOMONTH(DP$4,0)&lt;=Settings!$B$5,DP$4&gt;TODAY())),"",IF(EOMONTH(DO$4,0)&lt;=Settings!$B$5,N(Settings!$C$27),N(Calc!$AM$122)))</f>
        <v/>
      </c>
      <c r="DQ15" s="31">
        <f>IF(OR(Settings!$A$27="",Settings!$F$27="Yes",OR(EOMONTH(DQ$4,0)&lt;=Settings!$B$5,DQ$4&gt;TODAY())),"",IF(EOMONTH(DP$4,0)&lt;=Settings!$B$5,N(Settings!$C$27),N(Calc!$AM$123)))</f>
        <v/>
      </c>
      <c r="DR15" s="31">
        <f>IF(OR(Settings!$A$27="",Settings!$F$27="Yes",OR(EOMONTH(DR$4,0)&lt;=Settings!$B$5,DR$4&gt;TODAY())),"",IF(EOMONTH(DQ$4,0)&lt;=Settings!$B$5,N(Settings!$C$27),N(Calc!$AM$124)))</f>
        <v/>
      </c>
      <c r="DS15" s="31">
        <f>IF(OR(Settings!$A$27="",Settings!$F$27="Yes",OR(EOMONTH(DS$4,0)&lt;=Settings!$B$5,DS$4&gt;TODAY())),"",IF(EOMONTH(DR$4,0)&lt;=Settings!$B$5,N(Settings!$C$27),N(Calc!$AM$125)))</f>
        <v/>
      </c>
      <c r="DT15" s="31">
        <f>IF(OR(Settings!$A$27="",Settings!$F$27="Yes",OR(EOMONTH(DT$4,0)&lt;=Settings!$B$5,DT$4&gt;TODAY())),"",IF(EOMONTH(DS$4,0)&lt;=Settings!$B$5,N(Settings!$C$27),N(Calc!$AM$126)))</f>
        <v/>
      </c>
      <c r="DU15" s="31">
        <f>IF(OR(Settings!$A$27="",Settings!$F$27="Yes",OR(EOMONTH(DU$4,0)&lt;=Settings!$B$5,DU$4&gt;TODAY())),"",IF(EOMONTH(DT$4,0)&lt;=Settings!$B$5,N(Settings!$C$27),N(Calc!$AM$127)))</f>
        <v/>
      </c>
      <c r="DV15" s="31">
        <f>IF(OR(Settings!$A$27="",Settings!$F$27="Yes",OR(EOMONTH(DV$4,0)&lt;=Settings!$B$5,DV$4&gt;TODAY())),"",IF(EOMONTH(DU$4,0)&lt;=Settings!$B$5,N(Settings!$C$27),N(Calc!$AM$128)))</f>
        <v/>
      </c>
      <c r="DW15" s="31">
        <f>IF(OR(Settings!$A$27="",Settings!$F$27="Yes",OR(EOMONTH(DW$4,0)&lt;=Settings!$B$5,DW$4&gt;TODAY())),"",IF(EOMONTH(DV$4,0)&lt;=Settings!$B$5,N(Settings!$C$27),N(Calc!$AM$129)))</f>
        <v/>
      </c>
      <c r="DX15" s="31">
        <f>IF(OR(Settings!$A$27="",Settings!$F$27="Yes",OR(EOMONTH(DX$4,0)&lt;=Settings!$B$5,DX$4&gt;TODAY())),"",IF(EOMONTH(DW$4,0)&lt;=Settings!$B$5,N(Settings!$C$27),N(Calc!$AM$130)))</f>
        <v/>
      </c>
      <c r="DY15" s="31">
        <f>IF(OR(Settings!$A$27="",Settings!$F$27="Yes",OR(EOMONTH(DY$4,0)&lt;=Settings!$B$5,DY$4&gt;TODAY())),"",IF(EOMONTH(DX$4,0)&lt;=Settings!$B$5,N(Settings!$C$27),N(Calc!$AM$131)))</f>
        <v/>
      </c>
      <c r="DZ15" s="31">
        <f>IF(OR(Settings!$A$27="",Settings!$F$27="Yes",OR(EOMONTH(DZ$4,0)&lt;=Settings!$B$5,DZ$4&gt;TODAY())),"",IF(EOMONTH(DY$4,0)&lt;=Settings!$B$5,N(Settings!$C$27),N(Calc!$AM$132)))</f>
        <v/>
      </c>
      <c r="EA15" s="31">
        <f>IF(OR(Settings!$A$27="",Settings!$F$27="Yes",OR(EOMONTH(EA$4,0)&lt;=Settings!$B$5,EA$4&gt;TODAY())),"",IF(EOMONTH(DZ$4,0)&lt;=Settings!$B$5,N(Settings!$C$27),N(Calc!$AM$133)))</f>
        <v/>
      </c>
      <c r="EB15" s="31">
        <f>IF(OR(Settings!$A$27="",Settings!$F$27="Yes",OR(EOMONTH(EB$4,0)&lt;=Settings!$B$5,EB$4&gt;TODAY())),"",IF(EOMONTH(EA$4,0)&lt;=Settings!$B$5,N(Settings!$C$27),N(Calc!$AM$134)))</f>
        <v/>
      </c>
      <c r="EC15" s="31">
        <f>IF(OR(Settings!$A$27="",Settings!$F$27="Yes",OR(EOMONTH(EC$4,0)&lt;=Settings!$B$5,EC$4&gt;TODAY())),"",IF(EOMONTH(EB$4,0)&lt;=Settings!$B$5,N(Settings!$C$27),N(Calc!$AM$135)))</f>
        <v/>
      </c>
      <c r="ED15" s="31">
        <f>IF(OR(Settings!$A$27="",Settings!$F$27="Yes",OR(EOMONTH(ED$4,0)&lt;=Settings!$B$5,ED$4&gt;TODAY())),"",IF(EOMONTH(EC$4,0)&lt;=Settings!$B$5,N(Settings!$C$27),N(Calc!$AM$136)))</f>
        <v/>
      </c>
      <c r="EE15" s="31">
        <f>IF(OR(Settings!$A$27="",Settings!$F$27="Yes",OR(EOMONTH(EE$4,0)&lt;=Settings!$B$5,EE$4&gt;TODAY())),"",IF(EOMONTH(ED$4,0)&lt;=Settings!$B$5,N(Settings!$C$27),N(Calc!$AM$137)))</f>
        <v/>
      </c>
      <c r="EF15" s="31">
        <f>IF(OR(Settings!$A$27="",Settings!$F$27="Yes",OR(EOMONTH(EF$4,0)&lt;=Settings!$B$5,EF$4&gt;TODAY())),"",IF(EOMONTH(EE$4,0)&lt;=Settings!$B$5,N(Settings!$C$27),N(Calc!$AM$138)))</f>
        <v/>
      </c>
      <c r="EG15" s="31">
        <f>IF(OR(Settings!$A$27="",Settings!$F$27="Yes",OR(EOMONTH(EG$4,0)&lt;=Settings!$B$5,EG$4&gt;TODAY())),"",IF(EOMONTH(EF$4,0)&lt;=Settings!$B$5,N(Settings!$C$27),N(Calc!$AM$139)))</f>
        <v/>
      </c>
      <c r="EH15" s="31">
        <f>IF(OR(Settings!$A$27="",Settings!$F$27="Yes",OR(EOMONTH(EH$4,0)&lt;=Settings!$B$5,EH$4&gt;TODAY())),"",IF(EOMONTH(EG$4,0)&lt;=Settings!$B$5,N(Settings!$C$27),N(Calc!$AM$140)))</f>
        <v/>
      </c>
      <c r="EI15" s="31">
        <f>IF(OR(Settings!$A$27="",Settings!$F$27="Yes",OR(EOMONTH(EI$4,0)&lt;=Settings!$B$5,EI$4&gt;TODAY())),"",IF(EOMONTH(EH$4,0)&lt;=Settings!$B$5,N(Settings!$C$27),N(Calc!$AM$141)))</f>
        <v/>
      </c>
      <c r="EJ15" s="31">
        <f>IF(OR(Settings!$A$27="",Settings!$F$27="Yes",OR(EOMONTH(EJ$4,0)&lt;=Settings!$B$5,EJ$4&gt;TODAY())),"",IF(EOMONTH(EI$4,0)&lt;=Settings!$B$5,N(Settings!$C$27),N(Calc!$AM$142)))</f>
        <v/>
      </c>
      <c r="EK15" s="31">
        <f>IF(OR(Settings!$A$27="",Settings!$F$27="Yes",OR(EOMONTH(EK$4,0)&lt;=Settings!$B$5,EK$4&gt;TODAY())),"",IF(EOMONTH(EJ$4,0)&lt;=Settings!$B$5,N(Settings!$C$27),N(Calc!$AM$143)))</f>
        <v/>
      </c>
      <c r="EL15" s="31">
        <f>IF(OR(Settings!$A$27="",Settings!$F$27="Yes",OR(EOMONTH(EL$4,0)&lt;=Settings!$B$5,EL$4&gt;TODAY())),"",IF(EOMONTH(EK$4,0)&lt;=Settings!$B$5,N(Settings!$C$27),N(Calc!$AM$144)))</f>
        <v/>
      </c>
      <c r="EM15" s="31">
        <f>IF(OR(Settings!$A$27="",Settings!$F$27="Yes",OR(EOMONTH(EM$4,0)&lt;=Settings!$B$5,EM$4&gt;TODAY())),"",IF(EOMONTH(EL$4,0)&lt;=Settings!$B$5,N(Settings!$C$27),N(Calc!$AM$145)))</f>
        <v/>
      </c>
      <c r="EN15" s="31">
        <f>IF(OR(Settings!$A$27="",Settings!$F$27="Yes",OR(EOMONTH(EN$4,0)&lt;=Settings!$B$5,EN$4&gt;TODAY())),"",IF(EOMONTH(EM$4,0)&lt;=Settings!$B$5,N(Settings!$C$27),N(Calc!$AM$146)))</f>
        <v/>
      </c>
      <c r="EO15" s="31">
        <f>IF(OR(Settings!$A$27="",Settings!$F$27="Yes",OR(EOMONTH(EO$4,0)&lt;=Settings!$B$5,EO$4&gt;TODAY())),"",IF(EOMONTH(EN$4,0)&lt;=Settings!$B$5,N(Settings!$C$27),N(Calc!$AM$147)))</f>
        <v/>
      </c>
      <c r="EP15" s="31">
        <f>IF(OR(Settings!$A$27="",Settings!$F$27="Yes",OR(EOMONTH(EP$4,0)&lt;=Settings!$B$5,EP$4&gt;TODAY())),"",IF(EOMONTH(EO$4,0)&lt;=Settings!$B$5,N(Settings!$C$27),N(Calc!$AM$148)))</f>
        <v/>
      </c>
      <c r="EQ15" s="31">
        <f>IF(OR(Settings!$A$27="",Settings!$F$27="Yes",OR(EOMONTH(EQ$4,0)&lt;=Settings!$B$5,EQ$4&gt;TODAY())),"",IF(EOMONTH(EP$4,0)&lt;=Settings!$B$5,N(Settings!$C$27),N(Calc!$AM$149)))</f>
        <v/>
      </c>
      <c r="ER15" s="31">
        <f>IF(OR(Settings!$A$27="",Settings!$F$27="Yes",OR(EOMONTH(ER$4,0)&lt;=Settings!$B$5,ER$4&gt;TODAY())),"",IF(EOMONTH(EQ$4,0)&lt;=Settings!$B$5,N(Settings!$C$27),N(Calc!$AM$150)))</f>
        <v/>
      </c>
      <c r="ES15" s="31">
        <f>IF(OR(Settings!$A$27="",Settings!$F$27="Yes",OR(EOMONTH(ES$4,0)&lt;=Settings!$B$5,ES$4&gt;TODAY())),"",IF(EOMONTH(ER$4,0)&lt;=Settings!$B$5,N(Settings!$C$27),N(Calc!$AM$151)))</f>
        <v/>
      </c>
      <c r="ET15" s="31">
        <f>IF(OR(Settings!$A$27="",Settings!$F$27="Yes",OR(EOMONTH(ET$4,0)&lt;=Settings!$B$5,ET$4&gt;TODAY())),"",IF(EOMONTH(ES$4,0)&lt;=Settings!$B$5,N(Settings!$C$27),N(Calc!$AM$152)))</f>
        <v/>
      </c>
      <c r="EU15" s="31">
        <f>IF(OR(Settings!$A$27="",Settings!$F$27="Yes",OR(EOMONTH(EU$4,0)&lt;=Settings!$B$5,EU$4&gt;TODAY())),"",IF(EOMONTH(ET$4,0)&lt;=Settings!$B$5,N(Settings!$C$27),N(Calc!$AM$153)))</f>
        <v/>
      </c>
      <c r="EV15" s="31">
        <f>IF(OR(Settings!$A$27="",Settings!$F$27="Yes",OR(EOMONTH(EV$4,0)&lt;=Settings!$B$5,EV$4&gt;TODAY())),"",IF(EOMONTH(EU$4,0)&lt;=Settings!$B$5,N(Settings!$C$27),N(Calc!$AM$154)))</f>
        <v/>
      </c>
      <c r="EW15" s="31">
        <f>IF(OR(Settings!$A$27="",Settings!$F$27="Yes",OR(EOMONTH(EW$4,0)&lt;=Settings!$B$5,EW$4&gt;TODAY())),"",IF(EOMONTH(EV$4,0)&lt;=Settings!$B$5,N(Settings!$C$27),N(Calc!$AM$155)))</f>
        <v/>
      </c>
      <c r="EX15" s="31">
        <f>IF(OR(Settings!$A$27="",Settings!$F$27="Yes",OR(EOMONTH(EX$4,0)&lt;=Settings!$B$5,EX$4&gt;TODAY())),"",IF(EOMONTH(EW$4,0)&lt;=Settings!$B$5,N(Settings!$C$27),N(Calc!$AM$156)))</f>
        <v/>
      </c>
      <c r="EY15" s="31">
        <f>IF(OR(Settings!$A$27="",Settings!$F$27="Yes",OR(EOMONTH(EY$4,0)&lt;=Settings!$B$5,EY$4&gt;TODAY())),"",IF(EOMONTH(EX$4,0)&lt;=Settings!$B$5,N(Settings!$C$27),N(Calc!$AM$157)))</f>
        <v/>
      </c>
      <c r="EZ15" s="31">
        <f>IF(OR(Settings!$A$27="",Settings!$F$27="Yes",OR(EOMONTH(EZ$4,0)&lt;=Settings!$B$5,EZ$4&gt;TODAY())),"",IF(EOMONTH(EY$4,0)&lt;=Settings!$B$5,N(Settings!$C$27),N(Calc!$AM$158)))</f>
        <v/>
      </c>
      <c r="FA15" s="31">
        <f>IF(OR(Settings!$A$27="",Settings!$F$27="Yes",OR(EOMONTH(FA$4,0)&lt;=Settings!$B$5,FA$4&gt;TODAY())),"",IF(EOMONTH(EZ$4,0)&lt;=Settings!$B$5,N(Settings!$C$27),N(Calc!$AM$159)))</f>
        <v/>
      </c>
      <c r="FB15" s="31">
        <f>IF(OR(Settings!$A$27="",Settings!$F$27="Yes",OR(EOMONTH(FB$4,0)&lt;=Settings!$B$5,FB$4&gt;TODAY())),"",IF(EOMONTH(FA$4,0)&lt;=Settings!$B$5,N(Settings!$C$27),N(Calc!$AM$160)))</f>
        <v/>
      </c>
      <c r="FC15" s="31">
        <f>IF(OR(Settings!$A$27="",Settings!$F$27="Yes",OR(EOMONTH(FC$4,0)&lt;=Settings!$B$5,FC$4&gt;TODAY())),"",IF(EOMONTH(FB$4,0)&lt;=Settings!$B$5,N(Settings!$C$27),N(Calc!$AM$161)))</f>
        <v/>
      </c>
      <c r="FD15" s="31">
        <f>IF(OR(Settings!$A$27="",Settings!$F$27="Yes",OR(EOMONTH(FD$4,0)&lt;=Settings!$B$5,FD$4&gt;TODAY())),"",IF(EOMONTH(FC$4,0)&lt;=Settings!$B$5,N(Settings!$C$27),N(Calc!$AM$162)))</f>
        <v/>
      </c>
      <c r="FE15" s="31">
        <f>IF(OR(Settings!$A$27="",Settings!$F$27="Yes",OR(EOMONTH(FE$4,0)&lt;=Settings!$B$5,FE$4&gt;TODAY())),"",IF(EOMONTH(FD$4,0)&lt;=Settings!$B$5,N(Settings!$C$27),N(Calc!$AM$163)))</f>
        <v/>
      </c>
      <c r="FF15" s="31">
        <f>IF(OR(Settings!$A$27="",Settings!$F$27="Yes",OR(EOMONTH(FF$4,0)&lt;=Settings!$B$5,FF$4&gt;TODAY())),"",IF(EOMONTH(FE$4,0)&lt;=Settings!$B$5,N(Settings!$C$27),N(Calc!$AM$164)))</f>
        <v/>
      </c>
      <c r="FG15" s="31">
        <f>IF(OR(Settings!$A$27="",Settings!$F$27="Yes",OR(EOMONTH(FG$4,0)&lt;=Settings!$B$5,FG$4&gt;TODAY())),"",IF(EOMONTH(FF$4,0)&lt;=Settings!$B$5,N(Settings!$C$27),N(Calc!$AM$165)))</f>
        <v/>
      </c>
      <c r="FH15" s="31">
        <f>IF(OR(Settings!$A$27="",Settings!$F$27="Yes",OR(EOMONTH(FH$4,0)&lt;=Settings!$B$5,FH$4&gt;TODAY())),"",IF(EOMONTH(FG$4,0)&lt;=Settings!$B$5,N(Settings!$C$27),N(Calc!$AM$166)))</f>
        <v/>
      </c>
      <c r="FI15" s="31">
        <f>IF(OR(Settings!$A$27="",Settings!$F$27="Yes",OR(EOMONTH(FI$4,0)&lt;=Settings!$B$5,FI$4&gt;TODAY())),"",IF(EOMONTH(FH$4,0)&lt;=Settings!$B$5,N(Settings!$C$27),N(Calc!$AM$167)))</f>
        <v/>
      </c>
      <c r="FJ15" s="31">
        <f>IF(OR(Settings!$A$27="",Settings!$F$27="Yes",OR(EOMONTH(FJ$4,0)&lt;=Settings!$B$5,FJ$4&gt;TODAY())),"",IF(EOMONTH(FI$4,0)&lt;=Settings!$B$5,N(Settings!$C$27),N(Calc!$AM$168)))</f>
        <v/>
      </c>
      <c r="FK15" s="31">
        <f>IF(OR(Settings!$A$27="",Settings!$F$27="Yes",OR(EOMONTH(FK$4,0)&lt;=Settings!$B$5,FK$4&gt;TODAY())),"",IF(EOMONTH(FJ$4,0)&lt;=Settings!$B$5,N(Settings!$C$27),N(Calc!$AM$169)))</f>
        <v/>
      </c>
      <c r="FL15" s="31">
        <f>IF(OR(Settings!$A$27="",Settings!$F$27="Yes",OR(EOMONTH(FL$4,0)&lt;=Settings!$B$5,FL$4&gt;TODAY())),"",IF(EOMONTH(FK$4,0)&lt;=Settings!$B$5,N(Settings!$C$27),N(Calc!$AM$170)))</f>
        <v/>
      </c>
      <c r="FM15" s="31">
        <f>IF(OR(Settings!$A$27="",Settings!$F$27="Yes",OR(EOMONTH(FM$4,0)&lt;=Settings!$B$5,FM$4&gt;TODAY())),"",IF(EOMONTH(FL$4,0)&lt;=Settings!$B$5,N(Settings!$C$27),N(Calc!$AM$171)))</f>
        <v/>
      </c>
      <c r="FN15" s="31">
        <f>IF(OR(Settings!$A$27="",Settings!$F$27="Yes",OR(EOMONTH(FN$4,0)&lt;=Settings!$B$5,FN$4&gt;TODAY())),"",IF(EOMONTH(FM$4,0)&lt;=Settings!$B$5,N(Settings!$C$27),N(Calc!$AM$172)))</f>
        <v/>
      </c>
      <c r="FO15" s="31">
        <f>IF(OR(Settings!$A$27="",Settings!$F$27="Yes",OR(EOMONTH(FO$4,0)&lt;=Settings!$B$5,FO$4&gt;TODAY())),"",IF(EOMONTH(FN$4,0)&lt;=Settings!$B$5,N(Settings!$C$27),N(Calc!$AM$173)))</f>
        <v/>
      </c>
      <c r="FP15" s="31">
        <f>IF(OR(Settings!$A$27="",Settings!$F$27="Yes",OR(EOMONTH(FP$4,0)&lt;=Settings!$B$5,FP$4&gt;TODAY())),"",IF(EOMONTH(FO$4,0)&lt;=Settings!$B$5,N(Settings!$C$27),N(Calc!$AM$174)))</f>
        <v/>
      </c>
      <c r="FQ15" s="31">
        <f>IF(OR(Settings!$A$27="",Settings!$F$27="Yes",OR(EOMONTH(FQ$4,0)&lt;=Settings!$B$5,FQ$4&gt;TODAY())),"",IF(EOMONTH(FP$4,0)&lt;=Settings!$B$5,N(Settings!$C$27),N(Calc!$AM$175)))</f>
        <v/>
      </c>
      <c r="FR15" s="31">
        <f>IF(OR(Settings!$A$27="",Settings!$F$27="Yes",OR(EOMONTH(FR$4,0)&lt;=Settings!$B$5,FR$4&gt;TODAY())),"",IF(EOMONTH(FQ$4,0)&lt;=Settings!$B$5,N(Settings!$C$27),N(Calc!$AM$176)))</f>
        <v/>
      </c>
      <c r="FS15" s="31">
        <f>IF(OR(Settings!$A$27="",Settings!$F$27="Yes",OR(EOMONTH(FS$4,0)&lt;=Settings!$B$5,FS$4&gt;TODAY())),"",IF(EOMONTH(FR$4,0)&lt;=Settings!$B$5,N(Settings!$C$27),N(Calc!$AM$177)))</f>
        <v/>
      </c>
      <c r="FT15" s="31">
        <f>IF(OR(Settings!$A$27="",Settings!$F$27="Yes",OR(EOMONTH(FT$4,0)&lt;=Settings!$B$5,FT$4&gt;TODAY())),"",IF(EOMONTH(FS$4,0)&lt;=Settings!$B$5,N(Settings!$C$27),N(Calc!$AM$178)))</f>
        <v/>
      </c>
      <c r="FU15" s="31">
        <f>IF(OR(Settings!$A$27="",Settings!$F$27="Yes",OR(EOMONTH(FU$4,0)&lt;=Settings!$B$5,FU$4&gt;TODAY())),"",IF(EOMONTH(FT$4,0)&lt;=Settings!$B$5,N(Settings!$C$27),N(Calc!$AM$179)))</f>
        <v/>
      </c>
      <c r="FV15" s="31">
        <f>IF(OR(Settings!$A$27="",Settings!$F$27="Yes",OR(EOMONTH(FV$4,0)&lt;=Settings!$B$5,FV$4&gt;TODAY())),"",IF(EOMONTH(FU$4,0)&lt;=Settings!$B$5,N(Settings!$C$27),N(Calc!$AM$180)))</f>
        <v/>
      </c>
      <c r="FW15" s="31">
        <f>IF(OR(Settings!$A$27="",Settings!$F$27="Yes",OR(EOMONTH(FW$4,0)&lt;=Settings!$B$5,FW$4&gt;TODAY())),"",IF(EOMONTH(FV$4,0)&lt;=Settings!$B$5,N(Settings!$C$27),N(Calc!$AM$181)))</f>
        <v/>
      </c>
      <c r="FX15" s="31">
        <f>IF(OR(Settings!$A$27="",Settings!$F$27="Yes",OR(EOMONTH(FX$4,0)&lt;=Settings!$B$5,FX$4&gt;TODAY())),"",IF(EOMONTH(FW$4,0)&lt;=Settings!$B$5,N(Settings!$C$27),N(Calc!$AM$182)))</f>
        <v/>
      </c>
    </row>
    <row r="16">
      <c r="A16" s="15">
        <f>IF(Settings!$A$28="","(unused)",Settings!$A$28&amp;IF(Settings!$E$28="No"," (retired)",""))</f>
        <v/>
      </c>
      <c r="B16" s="26">
        <f>IF(Settings!$A$28="","",IF(Settings!$F$28="Yes","REQUIRED","optional · grey = unchanged")&amp;IF(OR(Settings!$B$28="Card",Settings!$B$28="Loan")," · amount owed",""))</f>
        <v/>
      </c>
      <c r="C16" s="31">
        <f>IF(OR(Settings!$A$28="",Settings!$F$28="Yes",OR(EOMONTH(C$4,0)&lt;=Settings!$B$5,C$4&gt;TODAY())),"",N(Settings!$C$28))</f>
        <v/>
      </c>
      <c r="D16" s="31">
        <f>IF(OR(Settings!$A$28="",Settings!$F$28="Yes",OR(EOMONTH(D$4,0)&lt;=Settings!$B$5,D$4&gt;TODAY())),"",IF(EOMONTH(C$4,0)&lt;=Settings!$B$5,N(Settings!$C$28),N(Calc!$AN$6)))</f>
        <v/>
      </c>
      <c r="E16" s="31">
        <f>IF(OR(Settings!$A$28="",Settings!$F$28="Yes",OR(EOMONTH(E$4,0)&lt;=Settings!$B$5,E$4&gt;TODAY())),"",IF(EOMONTH(D$4,0)&lt;=Settings!$B$5,N(Settings!$C$28),N(Calc!$AN$7)))</f>
        <v/>
      </c>
      <c r="F16" s="31">
        <f>IF(OR(Settings!$A$28="",Settings!$F$28="Yes",OR(EOMONTH(F$4,0)&lt;=Settings!$B$5,F$4&gt;TODAY())),"",IF(EOMONTH(E$4,0)&lt;=Settings!$B$5,N(Settings!$C$28),N(Calc!$AN$8)))</f>
        <v/>
      </c>
      <c r="G16" s="31">
        <f>IF(OR(Settings!$A$28="",Settings!$F$28="Yes",OR(EOMONTH(G$4,0)&lt;=Settings!$B$5,G$4&gt;TODAY())),"",IF(EOMONTH(F$4,0)&lt;=Settings!$B$5,N(Settings!$C$28),N(Calc!$AN$9)))</f>
        <v/>
      </c>
      <c r="H16" s="31">
        <f>IF(OR(Settings!$A$28="",Settings!$F$28="Yes",OR(EOMONTH(H$4,0)&lt;=Settings!$B$5,H$4&gt;TODAY())),"",IF(EOMONTH(G$4,0)&lt;=Settings!$B$5,N(Settings!$C$28),N(Calc!$AN$10)))</f>
        <v/>
      </c>
      <c r="I16" s="31">
        <f>IF(OR(Settings!$A$28="",Settings!$F$28="Yes",OR(EOMONTH(I$4,0)&lt;=Settings!$B$5,I$4&gt;TODAY())),"",IF(EOMONTH(H$4,0)&lt;=Settings!$B$5,N(Settings!$C$28),N(Calc!$AN$11)))</f>
        <v/>
      </c>
      <c r="J16" s="31">
        <f>IF(OR(Settings!$A$28="",Settings!$F$28="Yes",OR(EOMONTH(J$4,0)&lt;=Settings!$B$5,J$4&gt;TODAY())),"",IF(EOMONTH(I$4,0)&lt;=Settings!$B$5,N(Settings!$C$28),N(Calc!$AN$12)))</f>
        <v/>
      </c>
      <c r="K16" s="31">
        <f>IF(OR(Settings!$A$28="",Settings!$F$28="Yes",OR(EOMONTH(K$4,0)&lt;=Settings!$B$5,K$4&gt;TODAY())),"",IF(EOMONTH(J$4,0)&lt;=Settings!$B$5,N(Settings!$C$28),N(Calc!$AN$13)))</f>
        <v/>
      </c>
      <c r="L16" s="31">
        <f>IF(OR(Settings!$A$28="",Settings!$F$28="Yes",OR(EOMONTH(L$4,0)&lt;=Settings!$B$5,L$4&gt;TODAY())),"",IF(EOMONTH(K$4,0)&lt;=Settings!$B$5,N(Settings!$C$28),N(Calc!$AN$14)))</f>
        <v/>
      </c>
      <c r="M16" s="31">
        <f>IF(OR(Settings!$A$28="",Settings!$F$28="Yes",OR(EOMONTH(M$4,0)&lt;=Settings!$B$5,M$4&gt;TODAY())),"",IF(EOMONTH(L$4,0)&lt;=Settings!$B$5,N(Settings!$C$28),N(Calc!$AN$15)))</f>
        <v/>
      </c>
      <c r="N16" s="31">
        <f>IF(OR(Settings!$A$28="",Settings!$F$28="Yes",OR(EOMONTH(N$4,0)&lt;=Settings!$B$5,N$4&gt;TODAY())),"",IF(EOMONTH(M$4,0)&lt;=Settings!$B$5,N(Settings!$C$28),N(Calc!$AN$16)))</f>
        <v/>
      </c>
      <c r="O16" s="31">
        <f>IF(OR(Settings!$A$28="",Settings!$F$28="Yes",OR(EOMONTH(O$4,0)&lt;=Settings!$B$5,O$4&gt;TODAY())),"",IF(EOMONTH(N$4,0)&lt;=Settings!$B$5,N(Settings!$C$28),N(Calc!$AN$17)))</f>
        <v/>
      </c>
      <c r="P16" s="31">
        <f>IF(OR(Settings!$A$28="",Settings!$F$28="Yes",OR(EOMONTH(P$4,0)&lt;=Settings!$B$5,P$4&gt;TODAY())),"",IF(EOMONTH(O$4,0)&lt;=Settings!$B$5,N(Settings!$C$28),N(Calc!$AN$18)))</f>
        <v/>
      </c>
      <c r="Q16" s="31">
        <f>IF(OR(Settings!$A$28="",Settings!$F$28="Yes",OR(EOMONTH(Q$4,0)&lt;=Settings!$B$5,Q$4&gt;TODAY())),"",IF(EOMONTH(P$4,0)&lt;=Settings!$B$5,N(Settings!$C$28),N(Calc!$AN$19)))</f>
        <v/>
      </c>
      <c r="R16" s="31">
        <f>IF(OR(Settings!$A$28="",Settings!$F$28="Yes",OR(EOMONTH(R$4,0)&lt;=Settings!$B$5,R$4&gt;TODAY())),"",IF(EOMONTH(Q$4,0)&lt;=Settings!$B$5,N(Settings!$C$28),N(Calc!$AN$20)))</f>
        <v/>
      </c>
      <c r="S16" s="31">
        <f>IF(OR(Settings!$A$28="",Settings!$F$28="Yes",OR(EOMONTH(S$4,0)&lt;=Settings!$B$5,S$4&gt;TODAY())),"",IF(EOMONTH(R$4,0)&lt;=Settings!$B$5,N(Settings!$C$28),N(Calc!$AN$21)))</f>
        <v/>
      </c>
      <c r="T16" s="31">
        <f>IF(OR(Settings!$A$28="",Settings!$F$28="Yes",OR(EOMONTH(T$4,0)&lt;=Settings!$B$5,T$4&gt;TODAY())),"",IF(EOMONTH(S$4,0)&lt;=Settings!$B$5,N(Settings!$C$28),N(Calc!$AN$22)))</f>
        <v/>
      </c>
      <c r="U16" s="31">
        <f>IF(OR(Settings!$A$28="",Settings!$F$28="Yes",OR(EOMONTH(U$4,0)&lt;=Settings!$B$5,U$4&gt;TODAY())),"",IF(EOMONTH(T$4,0)&lt;=Settings!$B$5,N(Settings!$C$28),N(Calc!$AN$23)))</f>
        <v/>
      </c>
      <c r="V16" s="31">
        <f>IF(OR(Settings!$A$28="",Settings!$F$28="Yes",OR(EOMONTH(V$4,0)&lt;=Settings!$B$5,V$4&gt;TODAY())),"",IF(EOMONTH(U$4,0)&lt;=Settings!$B$5,N(Settings!$C$28),N(Calc!$AN$24)))</f>
        <v/>
      </c>
      <c r="W16" s="31">
        <f>IF(OR(Settings!$A$28="",Settings!$F$28="Yes",OR(EOMONTH(W$4,0)&lt;=Settings!$B$5,W$4&gt;TODAY())),"",IF(EOMONTH(V$4,0)&lt;=Settings!$B$5,N(Settings!$C$28),N(Calc!$AN$25)))</f>
        <v/>
      </c>
      <c r="X16" s="31">
        <f>IF(OR(Settings!$A$28="",Settings!$F$28="Yes",OR(EOMONTH(X$4,0)&lt;=Settings!$B$5,X$4&gt;TODAY())),"",IF(EOMONTH(W$4,0)&lt;=Settings!$B$5,N(Settings!$C$28),N(Calc!$AN$26)))</f>
        <v/>
      </c>
      <c r="Y16" s="31">
        <f>IF(OR(Settings!$A$28="",Settings!$F$28="Yes",OR(EOMONTH(Y$4,0)&lt;=Settings!$B$5,Y$4&gt;TODAY())),"",IF(EOMONTH(X$4,0)&lt;=Settings!$B$5,N(Settings!$C$28),N(Calc!$AN$27)))</f>
        <v/>
      </c>
      <c r="Z16" s="31">
        <f>IF(OR(Settings!$A$28="",Settings!$F$28="Yes",OR(EOMONTH(Z$4,0)&lt;=Settings!$B$5,Z$4&gt;TODAY())),"",IF(EOMONTH(Y$4,0)&lt;=Settings!$B$5,N(Settings!$C$28),N(Calc!$AN$28)))</f>
        <v/>
      </c>
      <c r="AA16" s="31">
        <f>IF(OR(Settings!$A$28="",Settings!$F$28="Yes",OR(EOMONTH(AA$4,0)&lt;=Settings!$B$5,AA$4&gt;TODAY())),"",IF(EOMONTH(Z$4,0)&lt;=Settings!$B$5,N(Settings!$C$28),N(Calc!$AN$29)))</f>
        <v/>
      </c>
      <c r="AB16" s="31">
        <f>IF(OR(Settings!$A$28="",Settings!$F$28="Yes",OR(EOMONTH(AB$4,0)&lt;=Settings!$B$5,AB$4&gt;TODAY())),"",IF(EOMONTH(AA$4,0)&lt;=Settings!$B$5,N(Settings!$C$28),N(Calc!$AN$30)))</f>
        <v/>
      </c>
      <c r="AC16" s="31">
        <f>IF(OR(Settings!$A$28="",Settings!$F$28="Yes",OR(EOMONTH(AC$4,0)&lt;=Settings!$B$5,AC$4&gt;TODAY())),"",IF(EOMONTH(AB$4,0)&lt;=Settings!$B$5,N(Settings!$C$28),N(Calc!$AN$31)))</f>
        <v/>
      </c>
      <c r="AD16" s="31">
        <f>IF(OR(Settings!$A$28="",Settings!$F$28="Yes",OR(EOMONTH(AD$4,0)&lt;=Settings!$B$5,AD$4&gt;TODAY())),"",IF(EOMONTH(AC$4,0)&lt;=Settings!$B$5,N(Settings!$C$28),N(Calc!$AN$32)))</f>
        <v/>
      </c>
      <c r="AE16" s="31">
        <f>IF(OR(Settings!$A$28="",Settings!$F$28="Yes",OR(EOMONTH(AE$4,0)&lt;=Settings!$B$5,AE$4&gt;TODAY())),"",IF(EOMONTH(AD$4,0)&lt;=Settings!$B$5,N(Settings!$C$28),N(Calc!$AN$33)))</f>
        <v/>
      </c>
      <c r="AF16" s="31">
        <f>IF(OR(Settings!$A$28="",Settings!$F$28="Yes",OR(EOMONTH(AF$4,0)&lt;=Settings!$B$5,AF$4&gt;TODAY())),"",IF(EOMONTH(AE$4,0)&lt;=Settings!$B$5,N(Settings!$C$28),N(Calc!$AN$34)))</f>
        <v/>
      </c>
      <c r="AG16" s="31">
        <f>IF(OR(Settings!$A$28="",Settings!$F$28="Yes",OR(EOMONTH(AG$4,0)&lt;=Settings!$B$5,AG$4&gt;TODAY())),"",IF(EOMONTH(AF$4,0)&lt;=Settings!$B$5,N(Settings!$C$28),N(Calc!$AN$35)))</f>
        <v/>
      </c>
      <c r="AH16" s="31">
        <f>IF(OR(Settings!$A$28="",Settings!$F$28="Yes",OR(EOMONTH(AH$4,0)&lt;=Settings!$B$5,AH$4&gt;TODAY())),"",IF(EOMONTH(AG$4,0)&lt;=Settings!$B$5,N(Settings!$C$28),N(Calc!$AN$36)))</f>
        <v/>
      </c>
      <c r="AI16" s="31">
        <f>IF(OR(Settings!$A$28="",Settings!$F$28="Yes",OR(EOMONTH(AI$4,0)&lt;=Settings!$B$5,AI$4&gt;TODAY())),"",IF(EOMONTH(AH$4,0)&lt;=Settings!$B$5,N(Settings!$C$28),N(Calc!$AN$37)))</f>
        <v/>
      </c>
      <c r="AJ16" s="31">
        <f>IF(OR(Settings!$A$28="",Settings!$F$28="Yes",OR(EOMONTH(AJ$4,0)&lt;=Settings!$B$5,AJ$4&gt;TODAY())),"",IF(EOMONTH(AI$4,0)&lt;=Settings!$B$5,N(Settings!$C$28),N(Calc!$AN$38)))</f>
        <v/>
      </c>
      <c r="AK16" s="31">
        <f>IF(OR(Settings!$A$28="",Settings!$F$28="Yes",OR(EOMONTH(AK$4,0)&lt;=Settings!$B$5,AK$4&gt;TODAY())),"",IF(EOMONTH(AJ$4,0)&lt;=Settings!$B$5,N(Settings!$C$28),N(Calc!$AN$39)))</f>
        <v/>
      </c>
      <c r="AL16" s="31">
        <f>IF(OR(Settings!$A$28="",Settings!$F$28="Yes",OR(EOMONTH(AL$4,0)&lt;=Settings!$B$5,AL$4&gt;TODAY())),"",IF(EOMONTH(AK$4,0)&lt;=Settings!$B$5,N(Settings!$C$28),N(Calc!$AN$40)))</f>
        <v/>
      </c>
      <c r="AM16" s="31">
        <f>IF(OR(Settings!$A$28="",Settings!$F$28="Yes",OR(EOMONTH(AM$4,0)&lt;=Settings!$B$5,AM$4&gt;TODAY())),"",IF(EOMONTH(AL$4,0)&lt;=Settings!$B$5,N(Settings!$C$28),N(Calc!$AN$41)))</f>
        <v/>
      </c>
      <c r="AN16" s="31">
        <f>IF(OR(Settings!$A$28="",Settings!$F$28="Yes",OR(EOMONTH(AN$4,0)&lt;=Settings!$B$5,AN$4&gt;TODAY())),"",IF(EOMONTH(AM$4,0)&lt;=Settings!$B$5,N(Settings!$C$28),N(Calc!$AN$42)))</f>
        <v/>
      </c>
      <c r="AO16" s="31">
        <f>IF(OR(Settings!$A$28="",Settings!$F$28="Yes",OR(EOMONTH(AO$4,0)&lt;=Settings!$B$5,AO$4&gt;TODAY())),"",IF(EOMONTH(AN$4,0)&lt;=Settings!$B$5,N(Settings!$C$28),N(Calc!$AN$43)))</f>
        <v/>
      </c>
      <c r="AP16" s="31">
        <f>IF(OR(Settings!$A$28="",Settings!$F$28="Yes",OR(EOMONTH(AP$4,0)&lt;=Settings!$B$5,AP$4&gt;TODAY())),"",IF(EOMONTH(AO$4,0)&lt;=Settings!$B$5,N(Settings!$C$28),N(Calc!$AN$44)))</f>
        <v/>
      </c>
      <c r="AQ16" s="31">
        <f>IF(OR(Settings!$A$28="",Settings!$F$28="Yes",OR(EOMONTH(AQ$4,0)&lt;=Settings!$B$5,AQ$4&gt;TODAY())),"",IF(EOMONTH(AP$4,0)&lt;=Settings!$B$5,N(Settings!$C$28),N(Calc!$AN$45)))</f>
        <v/>
      </c>
      <c r="AR16" s="31">
        <f>IF(OR(Settings!$A$28="",Settings!$F$28="Yes",OR(EOMONTH(AR$4,0)&lt;=Settings!$B$5,AR$4&gt;TODAY())),"",IF(EOMONTH(AQ$4,0)&lt;=Settings!$B$5,N(Settings!$C$28),N(Calc!$AN$46)))</f>
        <v/>
      </c>
      <c r="AS16" s="31">
        <f>IF(OR(Settings!$A$28="",Settings!$F$28="Yes",OR(EOMONTH(AS$4,0)&lt;=Settings!$B$5,AS$4&gt;TODAY())),"",IF(EOMONTH(AR$4,0)&lt;=Settings!$B$5,N(Settings!$C$28),N(Calc!$AN$47)))</f>
        <v/>
      </c>
      <c r="AT16" s="31">
        <f>IF(OR(Settings!$A$28="",Settings!$F$28="Yes",OR(EOMONTH(AT$4,0)&lt;=Settings!$B$5,AT$4&gt;TODAY())),"",IF(EOMONTH(AS$4,0)&lt;=Settings!$B$5,N(Settings!$C$28),N(Calc!$AN$48)))</f>
        <v/>
      </c>
      <c r="AU16" s="31">
        <f>IF(OR(Settings!$A$28="",Settings!$F$28="Yes",OR(EOMONTH(AU$4,0)&lt;=Settings!$B$5,AU$4&gt;TODAY())),"",IF(EOMONTH(AT$4,0)&lt;=Settings!$B$5,N(Settings!$C$28),N(Calc!$AN$49)))</f>
        <v/>
      </c>
      <c r="AV16" s="31">
        <f>IF(OR(Settings!$A$28="",Settings!$F$28="Yes",OR(EOMONTH(AV$4,0)&lt;=Settings!$B$5,AV$4&gt;TODAY())),"",IF(EOMONTH(AU$4,0)&lt;=Settings!$B$5,N(Settings!$C$28),N(Calc!$AN$50)))</f>
        <v/>
      </c>
      <c r="AW16" s="31">
        <f>IF(OR(Settings!$A$28="",Settings!$F$28="Yes",OR(EOMONTH(AW$4,0)&lt;=Settings!$B$5,AW$4&gt;TODAY())),"",IF(EOMONTH(AV$4,0)&lt;=Settings!$B$5,N(Settings!$C$28),N(Calc!$AN$51)))</f>
        <v/>
      </c>
      <c r="AX16" s="31">
        <f>IF(OR(Settings!$A$28="",Settings!$F$28="Yes",OR(EOMONTH(AX$4,0)&lt;=Settings!$B$5,AX$4&gt;TODAY())),"",IF(EOMONTH(AW$4,0)&lt;=Settings!$B$5,N(Settings!$C$28),N(Calc!$AN$52)))</f>
        <v/>
      </c>
      <c r="AY16" s="31">
        <f>IF(OR(Settings!$A$28="",Settings!$F$28="Yes",OR(EOMONTH(AY$4,0)&lt;=Settings!$B$5,AY$4&gt;TODAY())),"",IF(EOMONTH(AX$4,0)&lt;=Settings!$B$5,N(Settings!$C$28),N(Calc!$AN$53)))</f>
        <v/>
      </c>
      <c r="AZ16" s="31">
        <f>IF(OR(Settings!$A$28="",Settings!$F$28="Yes",OR(EOMONTH(AZ$4,0)&lt;=Settings!$B$5,AZ$4&gt;TODAY())),"",IF(EOMONTH(AY$4,0)&lt;=Settings!$B$5,N(Settings!$C$28),N(Calc!$AN$54)))</f>
        <v/>
      </c>
      <c r="BA16" s="31">
        <f>IF(OR(Settings!$A$28="",Settings!$F$28="Yes",OR(EOMONTH(BA$4,0)&lt;=Settings!$B$5,BA$4&gt;TODAY())),"",IF(EOMONTH(AZ$4,0)&lt;=Settings!$B$5,N(Settings!$C$28),N(Calc!$AN$55)))</f>
        <v/>
      </c>
      <c r="BB16" s="31">
        <f>IF(OR(Settings!$A$28="",Settings!$F$28="Yes",OR(EOMONTH(BB$4,0)&lt;=Settings!$B$5,BB$4&gt;TODAY())),"",IF(EOMONTH(BA$4,0)&lt;=Settings!$B$5,N(Settings!$C$28),N(Calc!$AN$56)))</f>
        <v/>
      </c>
      <c r="BC16" s="31">
        <f>IF(OR(Settings!$A$28="",Settings!$F$28="Yes",OR(EOMONTH(BC$4,0)&lt;=Settings!$B$5,BC$4&gt;TODAY())),"",IF(EOMONTH(BB$4,0)&lt;=Settings!$B$5,N(Settings!$C$28),N(Calc!$AN$57)))</f>
        <v/>
      </c>
      <c r="BD16" s="31">
        <f>IF(OR(Settings!$A$28="",Settings!$F$28="Yes",OR(EOMONTH(BD$4,0)&lt;=Settings!$B$5,BD$4&gt;TODAY())),"",IF(EOMONTH(BC$4,0)&lt;=Settings!$B$5,N(Settings!$C$28),N(Calc!$AN$58)))</f>
        <v/>
      </c>
      <c r="BE16" s="31">
        <f>IF(OR(Settings!$A$28="",Settings!$F$28="Yes",OR(EOMONTH(BE$4,0)&lt;=Settings!$B$5,BE$4&gt;TODAY())),"",IF(EOMONTH(BD$4,0)&lt;=Settings!$B$5,N(Settings!$C$28),N(Calc!$AN$59)))</f>
        <v/>
      </c>
      <c r="BF16" s="31">
        <f>IF(OR(Settings!$A$28="",Settings!$F$28="Yes",OR(EOMONTH(BF$4,0)&lt;=Settings!$B$5,BF$4&gt;TODAY())),"",IF(EOMONTH(BE$4,0)&lt;=Settings!$B$5,N(Settings!$C$28),N(Calc!$AN$60)))</f>
        <v/>
      </c>
      <c r="BG16" s="31">
        <f>IF(OR(Settings!$A$28="",Settings!$F$28="Yes",OR(EOMONTH(BG$4,0)&lt;=Settings!$B$5,BG$4&gt;TODAY())),"",IF(EOMONTH(BF$4,0)&lt;=Settings!$B$5,N(Settings!$C$28),N(Calc!$AN$61)))</f>
        <v/>
      </c>
      <c r="BH16" s="31">
        <f>IF(OR(Settings!$A$28="",Settings!$F$28="Yes",OR(EOMONTH(BH$4,0)&lt;=Settings!$B$5,BH$4&gt;TODAY())),"",IF(EOMONTH(BG$4,0)&lt;=Settings!$B$5,N(Settings!$C$28),N(Calc!$AN$62)))</f>
        <v/>
      </c>
      <c r="BI16" s="31">
        <f>IF(OR(Settings!$A$28="",Settings!$F$28="Yes",OR(EOMONTH(BI$4,0)&lt;=Settings!$B$5,BI$4&gt;TODAY())),"",IF(EOMONTH(BH$4,0)&lt;=Settings!$B$5,N(Settings!$C$28),N(Calc!$AN$63)))</f>
        <v/>
      </c>
      <c r="BJ16" s="31">
        <f>IF(OR(Settings!$A$28="",Settings!$F$28="Yes",OR(EOMONTH(BJ$4,0)&lt;=Settings!$B$5,BJ$4&gt;TODAY())),"",IF(EOMONTH(BI$4,0)&lt;=Settings!$B$5,N(Settings!$C$28),N(Calc!$AN$64)))</f>
        <v/>
      </c>
      <c r="BK16" s="31">
        <f>IF(OR(Settings!$A$28="",Settings!$F$28="Yes",OR(EOMONTH(BK$4,0)&lt;=Settings!$B$5,BK$4&gt;TODAY())),"",IF(EOMONTH(BJ$4,0)&lt;=Settings!$B$5,N(Settings!$C$28),N(Calc!$AN$65)))</f>
        <v/>
      </c>
      <c r="BL16" s="31">
        <f>IF(OR(Settings!$A$28="",Settings!$F$28="Yes",OR(EOMONTH(BL$4,0)&lt;=Settings!$B$5,BL$4&gt;TODAY())),"",IF(EOMONTH(BK$4,0)&lt;=Settings!$B$5,N(Settings!$C$28),N(Calc!$AN$66)))</f>
        <v/>
      </c>
      <c r="BM16" s="31">
        <f>IF(OR(Settings!$A$28="",Settings!$F$28="Yes",OR(EOMONTH(BM$4,0)&lt;=Settings!$B$5,BM$4&gt;TODAY())),"",IF(EOMONTH(BL$4,0)&lt;=Settings!$B$5,N(Settings!$C$28),N(Calc!$AN$67)))</f>
        <v/>
      </c>
      <c r="BN16" s="31">
        <f>IF(OR(Settings!$A$28="",Settings!$F$28="Yes",OR(EOMONTH(BN$4,0)&lt;=Settings!$B$5,BN$4&gt;TODAY())),"",IF(EOMONTH(BM$4,0)&lt;=Settings!$B$5,N(Settings!$C$28),N(Calc!$AN$68)))</f>
        <v/>
      </c>
      <c r="BO16" s="31">
        <f>IF(OR(Settings!$A$28="",Settings!$F$28="Yes",OR(EOMONTH(BO$4,0)&lt;=Settings!$B$5,BO$4&gt;TODAY())),"",IF(EOMONTH(BN$4,0)&lt;=Settings!$B$5,N(Settings!$C$28),N(Calc!$AN$69)))</f>
        <v/>
      </c>
      <c r="BP16" s="31">
        <f>IF(OR(Settings!$A$28="",Settings!$F$28="Yes",OR(EOMONTH(BP$4,0)&lt;=Settings!$B$5,BP$4&gt;TODAY())),"",IF(EOMONTH(BO$4,0)&lt;=Settings!$B$5,N(Settings!$C$28),N(Calc!$AN$70)))</f>
        <v/>
      </c>
      <c r="BQ16" s="31">
        <f>IF(OR(Settings!$A$28="",Settings!$F$28="Yes",OR(EOMONTH(BQ$4,0)&lt;=Settings!$B$5,BQ$4&gt;TODAY())),"",IF(EOMONTH(BP$4,0)&lt;=Settings!$B$5,N(Settings!$C$28),N(Calc!$AN$71)))</f>
        <v/>
      </c>
      <c r="BR16" s="31">
        <f>IF(OR(Settings!$A$28="",Settings!$F$28="Yes",OR(EOMONTH(BR$4,0)&lt;=Settings!$B$5,BR$4&gt;TODAY())),"",IF(EOMONTH(BQ$4,0)&lt;=Settings!$B$5,N(Settings!$C$28),N(Calc!$AN$72)))</f>
        <v/>
      </c>
      <c r="BS16" s="31">
        <f>IF(OR(Settings!$A$28="",Settings!$F$28="Yes",OR(EOMONTH(BS$4,0)&lt;=Settings!$B$5,BS$4&gt;TODAY())),"",IF(EOMONTH(BR$4,0)&lt;=Settings!$B$5,N(Settings!$C$28),N(Calc!$AN$73)))</f>
        <v/>
      </c>
      <c r="BT16" s="31">
        <f>IF(OR(Settings!$A$28="",Settings!$F$28="Yes",OR(EOMONTH(BT$4,0)&lt;=Settings!$B$5,BT$4&gt;TODAY())),"",IF(EOMONTH(BS$4,0)&lt;=Settings!$B$5,N(Settings!$C$28),N(Calc!$AN$74)))</f>
        <v/>
      </c>
      <c r="BU16" s="31">
        <f>IF(OR(Settings!$A$28="",Settings!$F$28="Yes",OR(EOMONTH(BU$4,0)&lt;=Settings!$B$5,BU$4&gt;TODAY())),"",IF(EOMONTH(BT$4,0)&lt;=Settings!$B$5,N(Settings!$C$28),N(Calc!$AN$75)))</f>
        <v/>
      </c>
      <c r="BV16" s="31">
        <f>IF(OR(Settings!$A$28="",Settings!$F$28="Yes",OR(EOMONTH(BV$4,0)&lt;=Settings!$B$5,BV$4&gt;TODAY())),"",IF(EOMONTH(BU$4,0)&lt;=Settings!$B$5,N(Settings!$C$28),N(Calc!$AN$76)))</f>
        <v/>
      </c>
      <c r="BW16" s="31">
        <f>IF(OR(Settings!$A$28="",Settings!$F$28="Yes",OR(EOMONTH(BW$4,0)&lt;=Settings!$B$5,BW$4&gt;TODAY())),"",IF(EOMONTH(BV$4,0)&lt;=Settings!$B$5,N(Settings!$C$28),N(Calc!$AN$77)))</f>
        <v/>
      </c>
      <c r="BX16" s="31">
        <f>IF(OR(Settings!$A$28="",Settings!$F$28="Yes",OR(EOMONTH(BX$4,0)&lt;=Settings!$B$5,BX$4&gt;TODAY())),"",IF(EOMONTH(BW$4,0)&lt;=Settings!$B$5,N(Settings!$C$28),N(Calc!$AN$78)))</f>
        <v/>
      </c>
      <c r="BY16" s="31">
        <f>IF(OR(Settings!$A$28="",Settings!$F$28="Yes",OR(EOMONTH(BY$4,0)&lt;=Settings!$B$5,BY$4&gt;TODAY())),"",IF(EOMONTH(BX$4,0)&lt;=Settings!$B$5,N(Settings!$C$28),N(Calc!$AN$79)))</f>
        <v/>
      </c>
      <c r="BZ16" s="31">
        <f>IF(OR(Settings!$A$28="",Settings!$F$28="Yes",OR(EOMONTH(BZ$4,0)&lt;=Settings!$B$5,BZ$4&gt;TODAY())),"",IF(EOMONTH(BY$4,0)&lt;=Settings!$B$5,N(Settings!$C$28),N(Calc!$AN$80)))</f>
        <v/>
      </c>
      <c r="CA16" s="31">
        <f>IF(OR(Settings!$A$28="",Settings!$F$28="Yes",OR(EOMONTH(CA$4,0)&lt;=Settings!$B$5,CA$4&gt;TODAY())),"",IF(EOMONTH(BZ$4,0)&lt;=Settings!$B$5,N(Settings!$C$28),N(Calc!$AN$81)))</f>
        <v/>
      </c>
      <c r="CB16" s="31">
        <f>IF(OR(Settings!$A$28="",Settings!$F$28="Yes",OR(EOMONTH(CB$4,0)&lt;=Settings!$B$5,CB$4&gt;TODAY())),"",IF(EOMONTH(CA$4,0)&lt;=Settings!$B$5,N(Settings!$C$28),N(Calc!$AN$82)))</f>
        <v/>
      </c>
      <c r="CC16" s="31">
        <f>IF(OR(Settings!$A$28="",Settings!$F$28="Yes",OR(EOMONTH(CC$4,0)&lt;=Settings!$B$5,CC$4&gt;TODAY())),"",IF(EOMONTH(CB$4,0)&lt;=Settings!$B$5,N(Settings!$C$28),N(Calc!$AN$83)))</f>
        <v/>
      </c>
      <c r="CD16" s="31">
        <f>IF(OR(Settings!$A$28="",Settings!$F$28="Yes",OR(EOMONTH(CD$4,0)&lt;=Settings!$B$5,CD$4&gt;TODAY())),"",IF(EOMONTH(CC$4,0)&lt;=Settings!$B$5,N(Settings!$C$28),N(Calc!$AN$84)))</f>
        <v/>
      </c>
      <c r="CE16" s="31">
        <f>IF(OR(Settings!$A$28="",Settings!$F$28="Yes",OR(EOMONTH(CE$4,0)&lt;=Settings!$B$5,CE$4&gt;TODAY())),"",IF(EOMONTH(CD$4,0)&lt;=Settings!$B$5,N(Settings!$C$28),N(Calc!$AN$85)))</f>
        <v/>
      </c>
      <c r="CF16" s="31">
        <f>IF(OR(Settings!$A$28="",Settings!$F$28="Yes",OR(EOMONTH(CF$4,0)&lt;=Settings!$B$5,CF$4&gt;TODAY())),"",IF(EOMONTH(CE$4,0)&lt;=Settings!$B$5,N(Settings!$C$28),N(Calc!$AN$86)))</f>
        <v/>
      </c>
      <c r="CG16" s="31">
        <f>IF(OR(Settings!$A$28="",Settings!$F$28="Yes",OR(EOMONTH(CG$4,0)&lt;=Settings!$B$5,CG$4&gt;TODAY())),"",IF(EOMONTH(CF$4,0)&lt;=Settings!$B$5,N(Settings!$C$28),N(Calc!$AN$87)))</f>
        <v/>
      </c>
      <c r="CH16" s="31">
        <f>IF(OR(Settings!$A$28="",Settings!$F$28="Yes",OR(EOMONTH(CH$4,0)&lt;=Settings!$B$5,CH$4&gt;TODAY())),"",IF(EOMONTH(CG$4,0)&lt;=Settings!$B$5,N(Settings!$C$28),N(Calc!$AN$88)))</f>
        <v/>
      </c>
      <c r="CI16" s="31">
        <f>IF(OR(Settings!$A$28="",Settings!$F$28="Yes",OR(EOMONTH(CI$4,0)&lt;=Settings!$B$5,CI$4&gt;TODAY())),"",IF(EOMONTH(CH$4,0)&lt;=Settings!$B$5,N(Settings!$C$28),N(Calc!$AN$89)))</f>
        <v/>
      </c>
      <c r="CJ16" s="31">
        <f>IF(OR(Settings!$A$28="",Settings!$F$28="Yes",OR(EOMONTH(CJ$4,0)&lt;=Settings!$B$5,CJ$4&gt;TODAY())),"",IF(EOMONTH(CI$4,0)&lt;=Settings!$B$5,N(Settings!$C$28),N(Calc!$AN$90)))</f>
        <v/>
      </c>
      <c r="CK16" s="31">
        <f>IF(OR(Settings!$A$28="",Settings!$F$28="Yes",OR(EOMONTH(CK$4,0)&lt;=Settings!$B$5,CK$4&gt;TODAY())),"",IF(EOMONTH(CJ$4,0)&lt;=Settings!$B$5,N(Settings!$C$28),N(Calc!$AN$91)))</f>
        <v/>
      </c>
      <c r="CL16" s="31">
        <f>IF(OR(Settings!$A$28="",Settings!$F$28="Yes",OR(EOMONTH(CL$4,0)&lt;=Settings!$B$5,CL$4&gt;TODAY())),"",IF(EOMONTH(CK$4,0)&lt;=Settings!$B$5,N(Settings!$C$28),N(Calc!$AN$92)))</f>
        <v/>
      </c>
      <c r="CM16" s="31">
        <f>IF(OR(Settings!$A$28="",Settings!$F$28="Yes",OR(EOMONTH(CM$4,0)&lt;=Settings!$B$5,CM$4&gt;TODAY())),"",IF(EOMONTH(CL$4,0)&lt;=Settings!$B$5,N(Settings!$C$28),N(Calc!$AN$93)))</f>
        <v/>
      </c>
      <c r="CN16" s="31">
        <f>IF(OR(Settings!$A$28="",Settings!$F$28="Yes",OR(EOMONTH(CN$4,0)&lt;=Settings!$B$5,CN$4&gt;TODAY())),"",IF(EOMONTH(CM$4,0)&lt;=Settings!$B$5,N(Settings!$C$28),N(Calc!$AN$94)))</f>
        <v/>
      </c>
      <c r="CO16" s="31">
        <f>IF(OR(Settings!$A$28="",Settings!$F$28="Yes",OR(EOMONTH(CO$4,0)&lt;=Settings!$B$5,CO$4&gt;TODAY())),"",IF(EOMONTH(CN$4,0)&lt;=Settings!$B$5,N(Settings!$C$28),N(Calc!$AN$95)))</f>
        <v/>
      </c>
      <c r="CP16" s="31">
        <f>IF(OR(Settings!$A$28="",Settings!$F$28="Yes",OR(EOMONTH(CP$4,0)&lt;=Settings!$B$5,CP$4&gt;TODAY())),"",IF(EOMONTH(CO$4,0)&lt;=Settings!$B$5,N(Settings!$C$28),N(Calc!$AN$96)))</f>
        <v/>
      </c>
      <c r="CQ16" s="31">
        <f>IF(OR(Settings!$A$28="",Settings!$F$28="Yes",OR(EOMONTH(CQ$4,0)&lt;=Settings!$B$5,CQ$4&gt;TODAY())),"",IF(EOMONTH(CP$4,0)&lt;=Settings!$B$5,N(Settings!$C$28),N(Calc!$AN$97)))</f>
        <v/>
      </c>
      <c r="CR16" s="31">
        <f>IF(OR(Settings!$A$28="",Settings!$F$28="Yes",OR(EOMONTH(CR$4,0)&lt;=Settings!$B$5,CR$4&gt;TODAY())),"",IF(EOMONTH(CQ$4,0)&lt;=Settings!$B$5,N(Settings!$C$28),N(Calc!$AN$98)))</f>
        <v/>
      </c>
      <c r="CS16" s="31">
        <f>IF(OR(Settings!$A$28="",Settings!$F$28="Yes",OR(EOMONTH(CS$4,0)&lt;=Settings!$B$5,CS$4&gt;TODAY())),"",IF(EOMONTH(CR$4,0)&lt;=Settings!$B$5,N(Settings!$C$28),N(Calc!$AN$99)))</f>
        <v/>
      </c>
      <c r="CT16" s="31">
        <f>IF(OR(Settings!$A$28="",Settings!$F$28="Yes",OR(EOMONTH(CT$4,0)&lt;=Settings!$B$5,CT$4&gt;TODAY())),"",IF(EOMONTH(CS$4,0)&lt;=Settings!$B$5,N(Settings!$C$28),N(Calc!$AN$100)))</f>
        <v/>
      </c>
      <c r="CU16" s="31">
        <f>IF(OR(Settings!$A$28="",Settings!$F$28="Yes",OR(EOMONTH(CU$4,0)&lt;=Settings!$B$5,CU$4&gt;TODAY())),"",IF(EOMONTH(CT$4,0)&lt;=Settings!$B$5,N(Settings!$C$28),N(Calc!$AN$101)))</f>
        <v/>
      </c>
      <c r="CV16" s="31">
        <f>IF(OR(Settings!$A$28="",Settings!$F$28="Yes",OR(EOMONTH(CV$4,0)&lt;=Settings!$B$5,CV$4&gt;TODAY())),"",IF(EOMONTH(CU$4,0)&lt;=Settings!$B$5,N(Settings!$C$28),N(Calc!$AN$102)))</f>
        <v/>
      </c>
      <c r="CW16" s="31">
        <f>IF(OR(Settings!$A$28="",Settings!$F$28="Yes",OR(EOMONTH(CW$4,0)&lt;=Settings!$B$5,CW$4&gt;TODAY())),"",IF(EOMONTH(CV$4,0)&lt;=Settings!$B$5,N(Settings!$C$28),N(Calc!$AN$103)))</f>
        <v/>
      </c>
      <c r="CX16" s="31">
        <f>IF(OR(Settings!$A$28="",Settings!$F$28="Yes",OR(EOMONTH(CX$4,0)&lt;=Settings!$B$5,CX$4&gt;TODAY())),"",IF(EOMONTH(CW$4,0)&lt;=Settings!$B$5,N(Settings!$C$28),N(Calc!$AN$104)))</f>
        <v/>
      </c>
      <c r="CY16" s="31">
        <f>IF(OR(Settings!$A$28="",Settings!$F$28="Yes",OR(EOMONTH(CY$4,0)&lt;=Settings!$B$5,CY$4&gt;TODAY())),"",IF(EOMONTH(CX$4,0)&lt;=Settings!$B$5,N(Settings!$C$28),N(Calc!$AN$105)))</f>
        <v/>
      </c>
      <c r="CZ16" s="31">
        <f>IF(OR(Settings!$A$28="",Settings!$F$28="Yes",OR(EOMONTH(CZ$4,0)&lt;=Settings!$B$5,CZ$4&gt;TODAY())),"",IF(EOMONTH(CY$4,0)&lt;=Settings!$B$5,N(Settings!$C$28),N(Calc!$AN$106)))</f>
        <v/>
      </c>
      <c r="DA16" s="31">
        <f>IF(OR(Settings!$A$28="",Settings!$F$28="Yes",OR(EOMONTH(DA$4,0)&lt;=Settings!$B$5,DA$4&gt;TODAY())),"",IF(EOMONTH(CZ$4,0)&lt;=Settings!$B$5,N(Settings!$C$28),N(Calc!$AN$107)))</f>
        <v/>
      </c>
      <c r="DB16" s="31">
        <f>IF(OR(Settings!$A$28="",Settings!$F$28="Yes",OR(EOMONTH(DB$4,0)&lt;=Settings!$B$5,DB$4&gt;TODAY())),"",IF(EOMONTH(DA$4,0)&lt;=Settings!$B$5,N(Settings!$C$28),N(Calc!$AN$108)))</f>
        <v/>
      </c>
      <c r="DC16" s="31">
        <f>IF(OR(Settings!$A$28="",Settings!$F$28="Yes",OR(EOMONTH(DC$4,0)&lt;=Settings!$B$5,DC$4&gt;TODAY())),"",IF(EOMONTH(DB$4,0)&lt;=Settings!$B$5,N(Settings!$C$28),N(Calc!$AN$109)))</f>
        <v/>
      </c>
      <c r="DD16" s="31">
        <f>IF(OR(Settings!$A$28="",Settings!$F$28="Yes",OR(EOMONTH(DD$4,0)&lt;=Settings!$B$5,DD$4&gt;TODAY())),"",IF(EOMONTH(DC$4,0)&lt;=Settings!$B$5,N(Settings!$C$28),N(Calc!$AN$110)))</f>
        <v/>
      </c>
      <c r="DE16" s="31">
        <f>IF(OR(Settings!$A$28="",Settings!$F$28="Yes",OR(EOMONTH(DE$4,0)&lt;=Settings!$B$5,DE$4&gt;TODAY())),"",IF(EOMONTH(DD$4,0)&lt;=Settings!$B$5,N(Settings!$C$28),N(Calc!$AN$111)))</f>
        <v/>
      </c>
      <c r="DF16" s="31">
        <f>IF(OR(Settings!$A$28="",Settings!$F$28="Yes",OR(EOMONTH(DF$4,0)&lt;=Settings!$B$5,DF$4&gt;TODAY())),"",IF(EOMONTH(DE$4,0)&lt;=Settings!$B$5,N(Settings!$C$28),N(Calc!$AN$112)))</f>
        <v/>
      </c>
      <c r="DG16" s="31">
        <f>IF(OR(Settings!$A$28="",Settings!$F$28="Yes",OR(EOMONTH(DG$4,0)&lt;=Settings!$B$5,DG$4&gt;TODAY())),"",IF(EOMONTH(DF$4,0)&lt;=Settings!$B$5,N(Settings!$C$28),N(Calc!$AN$113)))</f>
        <v/>
      </c>
      <c r="DH16" s="31">
        <f>IF(OR(Settings!$A$28="",Settings!$F$28="Yes",OR(EOMONTH(DH$4,0)&lt;=Settings!$B$5,DH$4&gt;TODAY())),"",IF(EOMONTH(DG$4,0)&lt;=Settings!$B$5,N(Settings!$C$28),N(Calc!$AN$114)))</f>
        <v/>
      </c>
      <c r="DI16" s="31">
        <f>IF(OR(Settings!$A$28="",Settings!$F$28="Yes",OR(EOMONTH(DI$4,0)&lt;=Settings!$B$5,DI$4&gt;TODAY())),"",IF(EOMONTH(DH$4,0)&lt;=Settings!$B$5,N(Settings!$C$28),N(Calc!$AN$115)))</f>
        <v/>
      </c>
      <c r="DJ16" s="31">
        <f>IF(OR(Settings!$A$28="",Settings!$F$28="Yes",OR(EOMONTH(DJ$4,0)&lt;=Settings!$B$5,DJ$4&gt;TODAY())),"",IF(EOMONTH(DI$4,0)&lt;=Settings!$B$5,N(Settings!$C$28),N(Calc!$AN$116)))</f>
        <v/>
      </c>
      <c r="DK16" s="31">
        <f>IF(OR(Settings!$A$28="",Settings!$F$28="Yes",OR(EOMONTH(DK$4,0)&lt;=Settings!$B$5,DK$4&gt;TODAY())),"",IF(EOMONTH(DJ$4,0)&lt;=Settings!$B$5,N(Settings!$C$28),N(Calc!$AN$117)))</f>
        <v/>
      </c>
      <c r="DL16" s="31">
        <f>IF(OR(Settings!$A$28="",Settings!$F$28="Yes",OR(EOMONTH(DL$4,0)&lt;=Settings!$B$5,DL$4&gt;TODAY())),"",IF(EOMONTH(DK$4,0)&lt;=Settings!$B$5,N(Settings!$C$28),N(Calc!$AN$118)))</f>
        <v/>
      </c>
      <c r="DM16" s="31">
        <f>IF(OR(Settings!$A$28="",Settings!$F$28="Yes",OR(EOMONTH(DM$4,0)&lt;=Settings!$B$5,DM$4&gt;TODAY())),"",IF(EOMONTH(DL$4,0)&lt;=Settings!$B$5,N(Settings!$C$28),N(Calc!$AN$119)))</f>
        <v/>
      </c>
      <c r="DN16" s="31">
        <f>IF(OR(Settings!$A$28="",Settings!$F$28="Yes",OR(EOMONTH(DN$4,0)&lt;=Settings!$B$5,DN$4&gt;TODAY())),"",IF(EOMONTH(DM$4,0)&lt;=Settings!$B$5,N(Settings!$C$28),N(Calc!$AN$120)))</f>
        <v/>
      </c>
      <c r="DO16" s="31">
        <f>IF(OR(Settings!$A$28="",Settings!$F$28="Yes",OR(EOMONTH(DO$4,0)&lt;=Settings!$B$5,DO$4&gt;TODAY())),"",IF(EOMONTH(DN$4,0)&lt;=Settings!$B$5,N(Settings!$C$28),N(Calc!$AN$121)))</f>
        <v/>
      </c>
      <c r="DP16" s="31">
        <f>IF(OR(Settings!$A$28="",Settings!$F$28="Yes",OR(EOMONTH(DP$4,0)&lt;=Settings!$B$5,DP$4&gt;TODAY())),"",IF(EOMONTH(DO$4,0)&lt;=Settings!$B$5,N(Settings!$C$28),N(Calc!$AN$122)))</f>
        <v/>
      </c>
      <c r="DQ16" s="31">
        <f>IF(OR(Settings!$A$28="",Settings!$F$28="Yes",OR(EOMONTH(DQ$4,0)&lt;=Settings!$B$5,DQ$4&gt;TODAY())),"",IF(EOMONTH(DP$4,0)&lt;=Settings!$B$5,N(Settings!$C$28),N(Calc!$AN$123)))</f>
        <v/>
      </c>
      <c r="DR16" s="31">
        <f>IF(OR(Settings!$A$28="",Settings!$F$28="Yes",OR(EOMONTH(DR$4,0)&lt;=Settings!$B$5,DR$4&gt;TODAY())),"",IF(EOMONTH(DQ$4,0)&lt;=Settings!$B$5,N(Settings!$C$28),N(Calc!$AN$124)))</f>
        <v/>
      </c>
      <c r="DS16" s="31">
        <f>IF(OR(Settings!$A$28="",Settings!$F$28="Yes",OR(EOMONTH(DS$4,0)&lt;=Settings!$B$5,DS$4&gt;TODAY())),"",IF(EOMONTH(DR$4,0)&lt;=Settings!$B$5,N(Settings!$C$28),N(Calc!$AN$125)))</f>
        <v/>
      </c>
      <c r="DT16" s="31">
        <f>IF(OR(Settings!$A$28="",Settings!$F$28="Yes",OR(EOMONTH(DT$4,0)&lt;=Settings!$B$5,DT$4&gt;TODAY())),"",IF(EOMONTH(DS$4,0)&lt;=Settings!$B$5,N(Settings!$C$28),N(Calc!$AN$126)))</f>
        <v/>
      </c>
      <c r="DU16" s="31">
        <f>IF(OR(Settings!$A$28="",Settings!$F$28="Yes",OR(EOMONTH(DU$4,0)&lt;=Settings!$B$5,DU$4&gt;TODAY())),"",IF(EOMONTH(DT$4,0)&lt;=Settings!$B$5,N(Settings!$C$28),N(Calc!$AN$127)))</f>
        <v/>
      </c>
      <c r="DV16" s="31">
        <f>IF(OR(Settings!$A$28="",Settings!$F$28="Yes",OR(EOMONTH(DV$4,0)&lt;=Settings!$B$5,DV$4&gt;TODAY())),"",IF(EOMONTH(DU$4,0)&lt;=Settings!$B$5,N(Settings!$C$28),N(Calc!$AN$128)))</f>
        <v/>
      </c>
      <c r="DW16" s="31">
        <f>IF(OR(Settings!$A$28="",Settings!$F$28="Yes",OR(EOMONTH(DW$4,0)&lt;=Settings!$B$5,DW$4&gt;TODAY())),"",IF(EOMONTH(DV$4,0)&lt;=Settings!$B$5,N(Settings!$C$28),N(Calc!$AN$129)))</f>
        <v/>
      </c>
      <c r="DX16" s="31">
        <f>IF(OR(Settings!$A$28="",Settings!$F$28="Yes",OR(EOMONTH(DX$4,0)&lt;=Settings!$B$5,DX$4&gt;TODAY())),"",IF(EOMONTH(DW$4,0)&lt;=Settings!$B$5,N(Settings!$C$28),N(Calc!$AN$130)))</f>
        <v/>
      </c>
      <c r="DY16" s="31">
        <f>IF(OR(Settings!$A$28="",Settings!$F$28="Yes",OR(EOMONTH(DY$4,0)&lt;=Settings!$B$5,DY$4&gt;TODAY())),"",IF(EOMONTH(DX$4,0)&lt;=Settings!$B$5,N(Settings!$C$28),N(Calc!$AN$131)))</f>
        <v/>
      </c>
      <c r="DZ16" s="31">
        <f>IF(OR(Settings!$A$28="",Settings!$F$28="Yes",OR(EOMONTH(DZ$4,0)&lt;=Settings!$B$5,DZ$4&gt;TODAY())),"",IF(EOMONTH(DY$4,0)&lt;=Settings!$B$5,N(Settings!$C$28),N(Calc!$AN$132)))</f>
        <v/>
      </c>
      <c r="EA16" s="31">
        <f>IF(OR(Settings!$A$28="",Settings!$F$28="Yes",OR(EOMONTH(EA$4,0)&lt;=Settings!$B$5,EA$4&gt;TODAY())),"",IF(EOMONTH(DZ$4,0)&lt;=Settings!$B$5,N(Settings!$C$28),N(Calc!$AN$133)))</f>
        <v/>
      </c>
      <c r="EB16" s="31">
        <f>IF(OR(Settings!$A$28="",Settings!$F$28="Yes",OR(EOMONTH(EB$4,0)&lt;=Settings!$B$5,EB$4&gt;TODAY())),"",IF(EOMONTH(EA$4,0)&lt;=Settings!$B$5,N(Settings!$C$28),N(Calc!$AN$134)))</f>
        <v/>
      </c>
      <c r="EC16" s="31">
        <f>IF(OR(Settings!$A$28="",Settings!$F$28="Yes",OR(EOMONTH(EC$4,0)&lt;=Settings!$B$5,EC$4&gt;TODAY())),"",IF(EOMONTH(EB$4,0)&lt;=Settings!$B$5,N(Settings!$C$28),N(Calc!$AN$135)))</f>
        <v/>
      </c>
      <c r="ED16" s="31">
        <f>IF(OR(Settings!$A$28="",Settings!$F$28="Yes",OR(EOMONTH(ED$4,0)&lt;=Settings!$B$5,ED$4&gt;TODAY())),"",IF(EOMONTH(EC$4,0)&lt;=Settings!$B$5,N(Settings!$C$28),N(Calc!$AN$136)))</f>
        <v/>
      </c>
      <c r="EE16" s="31">
        <f>IF(OR(Settings!$A$28="",Settings!$F$28="Yes",OR(EOMONTH(EE$4,0)&lt;=Settings!$B$5,EE$4&gt;TODAY())),"",IF(EOMONTH(ED$4,0)&lt;=Settings!$B$5,N(Settings!$C$28),N(Calc!$AN$137)))</f>
        <v/>
      </c>
      <c r="EF16" s="31">
        <f>IF(OR(Settings!$A$28="",Settings!$F$28="Yes",OR(EOMONTH(EF$4,0)&lt;=Settings!$B$5,EF$4&gt;TODAY())),"",IF(EOMONTH(EE$4,0)&lt;=Settings!$B$5,N(Settings!$C$28),N(Calc!$AN$138)))</f>
        <v/>
      </c>
      <c r="EG16" s="31">
        <f>IF(OR(Settings!$A$28="",Settings!$F$28="Yes",OR(EOMONTH(EG$4,0)&lt;=Settings!$B$5,EG$4&gt;TODAY())),"",IF(EOMONTH(EF$4,0)&lt;=Settings!$B$5,N(Settings!$C$28),N(Calc!$AN$139)))</f>
        <v/>
      </c>
      <c r="EH16" s="31">
        <f>IF(OR(Settings!$A$28="",Settings!$F$28="Yes",OR(EOMONTH(EH$4,0)&lt;=Settings!$B$5,EH$4&gt;TODAY())),"",IF(EOMONTH(EG$4,0)&lt;=Settings!$B$5,N(Settings!$C$28),N(Calc!$AN$140)))</f>
        <v/>
      </c>
      <c r="EI16" s="31">
        <f>IF(OR(Settings!$A$28="",Settings!$F$28="Yes",OR(EOMONTH(EI$4,0)&lt;=Settings!$B$5,EI$4&gt;TODAY())),"",IF(EOMONTH(EH$4,0)&lt;=Settings!$B$5,N(Settings!$C$28),N(Calc!$AN$141)))</f>
        <v/>
      </c>
      <c r="EJ16" s="31">
        <f>IF(OR(Settings!$A$28="",Settings!$F$28="Yes",OR(EOMONTH(EJ$4,0)&lt;=Settings!$B$5,EJ$4&gt;TODAY())),"",IF(EOMONTH(EI$4,0)&lt;=Settings!$B$5,N(Settings!$C$28),N(Calc!$AN$142)))</f>
        <v/>
      </c>
      <c r="EK16" s="31">
        <f>IF(OR(Settings!$A$28="",Settings!$F$28="Yes",OR(EOMONTH(EK$4,0)&lt;=Settings!$B$5,EK$4&gt;TODAY())),"",IF(EOMONTH(EJ$4,0)&lt;=Settings!$B$5,N(Settings!$C$28),N(Calc!$AN$143)))</f>
        <v/>
      </c>
      <c r="EL16" s="31">
        <f>IF(OR(Settings!$A$28="",Settings!$F$28="Yes",OR(EOMONTH(EL$4,0)&lt;=Settings!$B$5,EL$4&gt;TODAY())),"",IF(EOMONTH(EK$4,0)&lt;=Settings!$B$5,N(Settings!$C$28),N(Calc!$AN$144)))</f>
        <v/>
      </c>
      <c r="EM16" s="31">
        <f>IF(OR(Settings!$A$28="",Settings!$F$28="Yes",OR(EOMONTH(EM$4,0)&lt;=Settings!$B$5,EM$4&gt;TODAY())),"",IF(EOMONTH(EL$4,0)&lt;=Settings!$B$5,N(Settings!$C$28),N(Calc!$AN$145)))</f>
        <v/>
      </c>
      <c r="EN16" s="31">
        <f>IF(OR(Settings!$A$28="",Settings!$F$28="Yes",OR(EOMONTH(EN$4,0)&lt;=Settings!$B$5,EN$4&gt;TODAY())),"",IF(EOMONTH(EM$4,0)&lt;=Settings!$B$5,N(Settings!$C$28),N(Calc!$AN$146)))</f>
        <v/>
      </c>
      <c r="EO16" s="31">
        <f>IF(OR(Settings!$A$28="",Settings!$F$28="Yes",OR(EOMONTH(EO$4,0)&lt;=Settings!$B$5,EO$4&gt;TODAY())),"",IF(EOMONTH(EN$4,0)&lt;=Settings!$B$5,N(Settings!$C$28),N(Calc!$AN$147)))</f>
        <v/>
      </c>
      <c r="EP16" s="31">
        <f>IF(OR(Settings!$A$28="",Settings!$F$28="Yes",OR(EOMONTH(EP$4,0)&lt;=Settings!$B$5,EP$4&gt;TODAY())),"",IF(EOMONTH(EO$4,0)&lt;=Settings!$B$5,N(Settings!$C$28),N(Calc!$AN$148)))</f>
        <v/>
      </c>
      <c r="EQ16" s="31">
        <f>IF(OR(Settings!$A$28="",Settings!$F$28="Yes",OR(EOMONTH(EQ$4,0)&lt;=Settings!$B$5,EQ$4&gt;TODAY())),"",IF(EOMONTH(EP$4,0)&lt;=Settings!$B$5,N(Settings!$C$28),N(Calc!$AN$149)))</f>
        <v/>
      </c>
      <c r="ER16" s="31">
        <f>IF(OR(Settings!$A$28="",Settings!$F$28="Yes",OR(EOMONTH(ER$4,0)&lt;=Settings!$B$5,ER$4&gt;TODAY())),"",IF(EOMONTH(EQ$4,0)&lt;=Settings!$B$5,N(Settings!$C$28),N(Calc!$AN$150)))</f>
        <v/>
      </c>
      <c r="ES16" s="31">
        <f>IF(OR(Settings!$A$28="",Settings!$F$28="Yes",OR(EOMONTH(ES$4,0)&lt;=Settings!$B$5,ES$4&gt;TODAY())),"",IF(EOMONTH(ER$4,0)&lt;=Settings!$B$5,N(Settings!$C$28),N(Calc!$AN$151)))</f>
        <v/>
      </c>
      <c r="ET16" s="31">
        <f>IF(OR(Settings!$A$28="",Settings!$F$28="Yes",OR(EOMONTH(ET$4,0)&lt;=Settings!$B$5,ET$4&gt;TODAY())),"",IF(EOMONTH(ES$4,0)&lt;=Settings!$B$5,N(Settings!$C$28),N(Calc!$AN$152)))</f>
        <v/>
      </c>
      <c r="EU16" s="31">
        <f>IF(OR(Settings!$A$28="",Settings!$F$28="Yes",OR(EOMONTH(EU$4,0)&lt;=Settings!$B$5,EU$4&gt;TODAY())),"",IF(EOMONTH(ET$4,0)&lt;=Settings!$B$5,N(Settings!$C$28),N(Calc!$AN$153)))</f>
        <v/>
      </c>
      <c r="EV16" s="31">
        <f>IF(OR(Settings!$A$28="",Settings!$F$28="Yes",OR(EOMONTH(EV$4,0)&lt;=Settings!$B$5,EV$4&gt;TODAY())),"",IF(EOMONTH(EU$4,0)&lt;=Settings!$B$5,N(Settings!$C$28),N(Calc!$AN$154)))</f>
        <v/>
      </c>
      <c r="EW16" s="31">
        <f>IF(OR(Settings!$A$28="",Settings!$F$28="Yes",OR(EOMONTH(EW$4,0)&lt;=Settings!$B$5,EW$4&gt;TODAY())),"",IF(EOMONTH(EV$4,0)&lt;=Settings!$B$5,N(Settings!$C$28),N(Calc!$AN$155)))</f>
        <v/>
      </c>
      <c r="EX16" s="31">
        <f>IF(OR(Settings!$A$28="",Settings!$F$28="Yes",OR(EOMONTH(EX$4,0)&lt;=Settings!$B$5,EX$4&gt;TODAY())),"",IF(EOMONTH(EW$4,0)&lt;=Settings!$B$5,N(Settings!$C$28),N(Calc!$AN$156)))</f>
        <v/>
      </c>
      <c r="EY16" s="31">
        <f>IF(OR(Settings!$A$28="",Settings!$F$28="Yes",OR(EOMONTH(EY$4,0)&lt;=Settings!$B$5,EY$4&gt;TODAY())),"",IF(EOMONTH(EX$4,0)&lt;=Settings!$B$5,N(Settings!$C$28),N(Calc!$AN$157)))</f>
        <v/>
      </c>
      <c r="EZ16" s="31">
        <f>IF(OR(Settings!$A$28="",Settings!$F$28="Yes",OR(EOMONTH(EZ$4,0)&lt;=Settings!$B$5,EZ$4&gt;TODAY())),"",IF(EOMONTH(EY$4,0)&lt;=Settings!$B$5,N(Settings!$C$28),N(Calc!$AN$158)))</f>
        <v/>
      </c>
      <c r="FA16" s="31">
        <f>IF(OR(Settings!$A$28="",Settings!$F$28="Yes",OR(EOMONTH(FA$4,0)&lt;=Settings!$B$5,FA$4&gt;TODAY())),"",IF(EOMONTH(EZ$4,0)&lt;=Settings!$B$5,N(Settings!$C$28),N(Calc!$AN$159)))</f>
        <v/>
      </c>
      <c r="FB16" s="31">
        <f>IF(OR(Settings!$A$28="",Settings!$F$28="Yes",OR(EOMONTH(FB$4,0)&lt;=Settings!$B$5,FB$4&gt;TODAY())),"",IF(EOMONTH(FA$4,0)&lt;=Settings!$B$5,N(Settings!$C$28),N(Calc!$AN$160)))</f>
        <v/>
      </c>
      <c r="FC16" s="31">
        <f>IF(OR(Settings!$A$28="",Settings!$F$28="Yes",OR(EOMONTH(FC$4,0)&lt;=Settings!$B$5,FC$4&gt;TODAY())),"",IF(EOMONTH(FB$4,0)&lt;=Settings!$B$5,N(Settings!$C$28),N(Calc!$AN$161)))</f>
        <v/>
      </c>
      <c r="FD16" s="31">
        <f>IF(OR(Settings!$A$28="",Settings!$F$28="Yes",OR(EOMONTH(FD$4,0)&lt;=Settings!$B$5,FD$4&gt;TODAY())),"",IF(EOMONTH(FC$4,0)&lt;=Settings!$B$5,N(Settings!$C$28),N(Calc!$AN$162)))</f>
        <v/>
      </c>
      <c r="FE16" s="31">
        <f>IF(OR(Settings!$A$28="",Settings!$F$28="Yes",OR(EOMONTH(FE$4,0)&lt;=Settings!$B$5,FE$4&gt;TODAY())),"",IF(EOMONTH(FD$4,0)&lt;=Settings!$B$5,N(Settings!$C$28),N(Calc!$AN$163)))</f>
        <v/>
      </c>
      <c r="FF16" s="31">
        <f>IF(OR(Settings!$A$28="",Settings!$F$28="Yes",OR(EOMONTH(FF$4,0)&lt;=Settings!$B$5,FF$4&gt;TODAY())),"",IF(EOMONTH(FE$4,0)&lt;=Settings!$B$5,N(Settings!$C$28),N(Calc!$AN$164)))</f>
        <v/>
      </c>
      <c r="FG16" s="31">
        <f>IF(OR(Settings!$A$28="",Settings!$F$28="Yes",OR(EOMONTH(FG$4,0)&lt;=Settings!$B$5,FG$4&gt;TODAY())),"",IF(EOMONTH(FF$4,0)&lt;=Settings!$B$5,N(Settings!$C$28),N(Calc!$AN$165)))</f>
        <v/>
      </c>
      <c r="FH16" s="31">
        <f>IF(OR(Settings!$A$28="",Settings!$F$28="Yes",OR(EOMONTH(FH$4,0)&lt;=Settings!$B$5,FH$4&gt;TODAY())),"",IF(EOMONTH(FG$4,0)&lt;=Settings!$B$5,N(Settings!$C$28),N(Calc!$AN$166)))</f>
        <v/>
      </c>
      <c r="FI16" s="31">
        <f>IF(OR(Settings!$A$28="",Settings!$F$28="Yes",OR(EOMONTH(FI$4,0)&lt;=Settings!$B$5,FI$4&gt;TODAY())),"",IF(EOMONTH(FH$4,0)&lt;=Settings!$B$5,N(Settings!$C$28),N(Calc!$AN$167)))</f>
        <v/>
      </c>
      <c r="FJ16" s="31">
        <f>IF(OR(Settings!$A$28="",Settings!$F$28="Yes",OR(EOMONTH(FJ$4,0)&lt;=Settings!$B$5,FJ$4&gt;TODAY())),"",IF(EOMONTH(FI$4,0)&lt;=Settings!$B$5,N(Settings!$C$28),N(Calc!$AN$168)))</f>
        <v/>
      </c>
      <c r="FK16" s="31">
        <f>IF(OR(Settings!$A$28="",Settings!$F$28="Yes",OR(EOMONTH(FK$4,0)&lt;=Settings!$B$5,FK$4&gt;TODAY())),"",IF(EOMONTH(FJ$4,0)&lt;=Settings!$B$5,N(Settings!$C$28),N(Calc!$AN$169)))</f>
        <v/>
      </c>
      <c r="FL16" s="31">
        <f>IF(OR(Settings!$A$28="",Settings!$F$28="Yes",OR(EOMONTH(FL$4,0)&lt;=Settings!$B$5,FL$4&gt;TODAY())),"",IF(EOMONTH(FK$4,0)&lt;=Settings!$B$5,N(Settings!$C$28),N(Calc!$AN$170)))</f>
        <v/>
      </c>
      <c r="FM16" s="31">
        <f>IF(OR(Settings!$A$28="",Settings!$F$28="Yes",OR(EOMONTH(FM$4,0)&lt;=Settings!$B$5,FM$4&gt;TODAY())),"",IF(EOMONTH(FL$4,0)&lt;=Settings!$B$5,N(Settings!$C$28),N(Calc!$AN$171)))</f>
        <v/>
      </c>
      <c r="FN16" s="31">
        <f>IF(OR(Settings!$A$28="",Settings!$F$28="Yes",OR(EOMONTH(FN$4,0)&lt;=Settings!$B$5,FN$4&gt;TODAY())),"",IF(EOMONTH(FM$4,0)&lt;=Settings!$B$5,N(Settings!$C$28),N(Calc!$AN$172)))</f>
        <v/>
      </c>
      <c r="FO16" s="31">
        <f>IF(OR(Settings!$A$28="",Settings!$F$28="Yes",OR(EOMONTH(FO$4,0)&lt;=Settings!$B$5,FO$4&gt;TODAY())),"",IF(EOMONTH(FN$4,0)&lt;=Settings!$B$5,N(Settings!$C$28),N(Calc!$AN$173)))</f>
        <v/>
      </c>
      <c r="FP16" s="31">
        <f>IF(OR(Settings!$A$28="",Settings!$F$28="Yes",OR(EOMONTH(FP$4,0)&lt;=Settings!$B$5,FP$4&gt;TODAY())),"",IF(EOMONTH(FO$4,0)&lt;=Settings!$B$5,N(Settings!$C$28),N(Calc!$AN$174)))</f>
        <v/>
      </c>
      <c r="FQ16" s="31">
        <f>IF(OR(Settings!$A$28="",Settings!$F$28="Yes",OR(EOMONTH(FQ$4,0)&lt;=Settings!$B$5,FQ$4&gt;TODAY())),"",IF(EOMONTH(FP$4,0)&lt;=Settings!$B$5,N(Settings!$C$28),N(Calc!$AN$175)))</f>
        <v/>
      </c>
      <c r="FR16" s="31">
        <f>IF(OR(Settings!$A$28="",Settings!$F$28="Yes",OR(EOMONTH(FR$4,0)&lt;=Settings!$B$5,FR$4&gt;TODAY())),"",IF(EOMONTH(FQ$4,0)&lt;=Settings!$B$5,N(Settings!$C$28),N(Calc!$AN$176)))</f>
        <v/>
      </c>
      <c r="FS16" s="31">
        <f>IF(OR(Settings!$A$28="",Settings!$F$28="Yes",OR(EOMONTH(FS$4,0)&lt;=Settings!$B$5,FS$4&gt;TODAY())),"",IF(EOMONTH(FR$4,0)&lt;=Settings!$B$5,N(Settings!$C$28),N(Calc!$AN$177)))</f>
        <v/>
      </c>
      <c r="FT16" s="31">
        <f>IF(OR(Settings!$A$28="",Settings!$F$28="Yes",OR(EOMONTH(FT$4,0)&lt;=Settings!$B$5,FT$4&gt;TODAY())),"",IF(EOMONTH(FS$4,0)&lt;=Settings!$B$5,N(Settings!$C$28),N(Calc!$AN$178)))</f>
        <v/>
      </c>
      <c r="FU16" s="31">
        <f>IF(OR(Settings!$A$28="",Settings!$F$28="Yes",OR(EOMONTH(FU$4,0)&lt;=Settings!$B$5,FU$4&gt;TODAY())),"",IF(EOMONTH(FT$4,0)&lt;=Settings!$B$5,N(Settings!$C$28),N(Calc!$AN$179)))</f>
        <v/>
      </c>
      <c r="FV16" s="31">
        <f>IF(OR(Settings!$A$28="",Settings!$F$28="Yes",OR(EOMONTH(FV$4,0)&lt;=Settings!$B$5,FV$4&gt;TODAY())),"",IF(EOMONTH(FU$4,0)&lt;=Settings!$B$5,N(Settings!$C$28),N(Calc!$AN$180)))</f>
        <v/>
      </c>
      <c r="FW16" s="31">
        <f>IF(OR(Settings!$A$28="",Settings!$F$28="Yes",OR(EOMONTH(FW$4,0)&lt;=Settings!$B$5,FW$4&gt;TODAY())),"",IF(EOMONTH(FV$4,0)&lt;=Settings!$B$5,N(Settings!$C$28),N(Calc!$AN$181)))</f>
        <v/>
      </c>
      <c r="FX16" s="31">
        <f>IF(OR(Settings!$A$28="",Settings!$F$28="Yes",OR(EOMONTH(FX$4,0)&lt;=Settings!$B$5,FX$4&gt;TODAY())),"",IF(EOMONTH(FW$4,0)&lt;=Settings!$B$5,N(Settings!$C$28),N(Calc!$AN$182)))</f>
        <v/>
      </c>
    </row>
    <row r="17">
      <c r="A17" s="15">
        <f>IF(Settings!$A$29="","(unused)",Settings!$A$29&amp;IF(Settings!$E$29="No"," (retired)",""))</f>
        <v/>
      </c>
      <c r="B17" s="26">
        <f>IF(Settings!$A$29="","",IF(Settings!$F$29="Yes","REQUIRED","optional · grey = unchanged")&amp;IF(OR(Settings!$B$29="Card",Settings!$B$29="Loan")," · amount owed",""))</f>
        <v/>
      </c>
      <c r="C17" s="31">
        <f>IF(OR(Settings!$A$29="",Settings!$F$29="Yes",OR(EOMONTH(C$4,0)&lt;=Settings!$B$5,C$4&gt;TODAY())),"",N(Settings!$C$29))</f>
        <v/>
      </c>
      <c r="D17" s="31">
        <f>IF(OR(Settings!$A$29="",Settings!$F$29="Yes",OR(EOMONTH(D$4,0)&lt;=Settings!$B$5,D$4&gt;TODAY())),"",IF(EOMONTH(C$4,0)&lt;=Settings!$B$5,N(Settings!$C$29),N(Calc!$AO$6)))</f>
        <v/>
      </c>
      <c r="E17" s="31">
        <f>IF(OR(Settings!$A$29="",Settings!$F$29="Yes",OR(EOMONTH(E$4,0)&lt;=Settings!$B$5,E$4&gt;TODAY())),"",IF(EOMONTH(D$4,0)&lt;=Settings!$B$5,N(Settings!$C$29),N(Calc!$AO$7)))</f>
        <v/>
      </c>
      <c r="F17" s="31">
        <f>IF(OR(Settings!$A$29="",Settings!$F$29="Yes",OR(EOMONTH(F$4,0)&lt;=Settings!$B$5,F$4&gt;TODAY())),"",IF(EOMONTH(E$4,0)&lt;=Settings!$B$5,N(Settings!$C$29),N(Calc!$AO$8)))</f>
        <v/>
      </c>
      <c r="G17" s="31">
        <f>IF(OR(Settings!$A$29="",Settings!$F$29="Yes",OR(EOMONTH(G$4,0)&lt;=Settings!$B$5,G$4&gt;TODAY())),"",IF(EOMONTH(F$4,0)&lt;=Settings!$B$5,N(Settings!$C$29),N(Calc!$AO$9)))</f>
        <v/>
      </c>
      <c r="H17" s="31">
        <f>IF(OR(Settings!$A$29="",Settings!$F$29="Yes",OR(EOMONTH(H$4,0)&lt;=Settings!$B$5,H$4&gt;TODAY())),"",IF(EOMONTH(G$4,0)&lt;=Settings!$B$5,N(Settings!$C$29),N(Calc!$AO$10)))</f>
        <v/>
      </c>
      <c r="I17" s="31">
        <f>IF(OR(Settings!$A$29="",Settings!$F$29="Yes",OR(EOMONTH(I$4,0)&lt;=Settings!$B$5,I$4&gt;TODAY())),"",IF(EOMONTH(H$4,0)&lt;=Settings!$B$5,N(Settings!$C$29),N(Calc!$AO$11)))</f>
        <v/>
      </c>
      <c r="J17" s="31">
        <f>IF(OR(Settings!$A$29="",Settings!$F$29="Yes",OR(EOMONTH(J$4,0)&lt;=Settings!$B$5,J$4&gt;TODAY())),"",IF(EOMONTH(I$4,0)&lt;=Settings!$B$5,N(Settings!$C$29),N(Calc!$AO$12)))</f>
        <v/>
      </c>
      <c r="K17" s="31">
        <f>IF(OR(Settings!$A$29="",Settings!$F$29="Yes",OR(EOMONTH(K$4,0)&lt;=Settings!$B$5,K$4&gt;TODAY())),"",IF(EOMONTH(J$4,0)&lt;=Settings!$B$5,N(Settings!$C$29),N(Calc!$AO$13)))</f>
        <v/>
      </c>
      <c r="L17" s="31">
        <f>IF(OR(Settings!$A$29="",Settings!$F$29="Yes",OR(EOMONTH(L$4,0)&lt;=Settings!$B$5,L$4&gt;TODAY())),"",IF(EOMONTH(K$4,0)&lt;=Settings!$B$5,N(Settings!$C$29),N(Calc!$AO$14)))</f>
        <v/>
      </c>
      <c r="M17" s="31">
        <f>IF(OR(Settings!$A$29="",Settings!$F$29="Yes",OR(EOMONTH(M$4,0)&lt;=Settings!$B$5,M$4&gt;TODAY())),"",IF(EOMONTH(L$4,0)&lt;=Settings!$B$5,N(Settings!$C$29),N(Calc!$AO$15)))</f>
        <v/>
      </c>
      <c r="N17" s="31">
        <f>IF(OR(Settings!$A$29="",Settings!$F$29="Yes",OR(EOMONTH(N$4,0)&lt;=Settings!$B$5,N$4&gt;TODAY())),"",IF(EOMONTH(M$4,0)&lt;=Settings!$B$5,N(Settings!$C$29),N(Calc!$AO$16)))</f>
        <v/>
      </c>
      <c r="O17" s="31">
        <f>IF(OR(Settings!$A$29="",Settings!$F$29="Yes",OR(EOMONTH(O$4,0)&lt;=Settings!$B$5,O$4&gt;TODAY())),"",IF(EOMONTH(N$4,0)&lt;=Settings!$B$5,N(Settings!$C$29),N(Calc!$AO$17)))</f>
        <v/>
      </c>
      <c r="P17" s="31">
        <f>IF(OR(Settings!$A$29="",Settings!$F$29="Yes",OR(EOMONTH(P$4,0)&lt;=Settings!$B$5,P$4&gt;TODAY())),"",IF(EOMONTH(O$4,0)&lt;=Settings!$B$5,N(Settings!$C$29),N(Calc!$AO$18)))</f>
        <v/>
      </c>
      <c r="Q17" s="31">
        <f>IF(OR(Settings!$A$29="",Settings!$F$29="Yes",OR(EOMONTH(Q$4,0)&lt;=Settings!$B$5,Q$4&gt;TODAY())),"",IF(EOMONTH(P$4,0)&lt;=Settings!$B$5,N(Settings!$C$29),N(Calc!$AO$19)))</f>
        <v/>
      </c>
      <c r="R17" s="31">
        <f>IF(OR(Settings!$A$29="",Settings!$F$29="Yes",OR(EOMONTH(R$4,0)&lt;=Settings!$B$5,R$4&gt;TODAY())),"",IF(EOMONTH(Q$4,0)&lt;=Settings!$B$5,N(Settings!$C$29),N(Calc!$AO$20)))</f>
        <v/>
      </c>
      <c r="S17" s="31">
        <f>IF(OR(Settings!$A$29="",Settings!$F$29="Yes",OR(EOMONTH(S$4,0)&lt;=Settings!$B$5,S$4&gt;TODAY())),"",IF(EOMONTH(R$4,0)&lt;=Settings!$B$5,N(Settings!$C$29),N(Calc!$AO$21)))</f>
        <v/>
      </c>
      <c r="T17" s="31">
        <f>IF(OR(Settings!$A$29="",Settings!$F$29="Yes",OR(EOMONTH(T$4,0)&lt;=Settings!$B$5,T$4&gt;TODAY())),"",IF(EOMONTH(S$4,0)&lt;=Settings!$B$5,N(Settings!$C$29),N(Calc!$AO$22)))</f>
        <v/>
      </c>
      <c r="U17" s="31">
        <f>IF(OR(Settings!$A$29="",Settings!$F$29="Yes",OR(EOMONTH(U$4,0)&lt;=Settings!$B$5,U$4&gt;TODAY())),"",IF(EOMONTH(T$4,0)&lt;=Settings!$B$5,N(Settings!$C$29),N(Calc!$AO$23)))</f>
        <v/>
      </c>
      <c r="V17" s="31">
        <f>IF(OR(Settings!$A$29="",Settings!$F$29="Yes",OR(EOMONTH(V$4,0)&lt;=Settings!$B$5,V$4&gt;TODAY())),"",IF(EOMONTH(U$4,0)&lt;=Settings!$B$5,N(Settings!$C$29),N(Calc!$AO$24)))</f>
        <v/>
      </c>
      <c r="W17" s="31">
        <f>IF(OR(Settings!$A$29="",Settings!$F$29="Yes",OR(EOMONTH(W$4,0)&lt;=Settings!$B$5,W$4&gt;TODAY())),"",IF(EOMONTH(V$4,0)&lt;=Settings!$B$5,N(Settings!$C$29),N(Calc!$AO$25)))</f>
        <v/>
      </c>
      <c r="X17" s="31">
        <f>IF(OR(Settings!$A$29="",Settings!$F$29="Yes",OR(EOMONTH(X$4,0)&lt;=Settings!$B$5,X$4&gt;TODAY())),"",IF(EOMONTH(W$4,0)&lt;=Settings!$B$5,N(Settings!$C$29),N(Calc!$AO$26)))</f>
        <v/>
      </c>
      <c r="Y17" s="31">
        <f>IF(OR(Settings!$A$29="",Settings!$F$29="Yes",OR(EOMONTH(Y$4,0)&lt;=Settings!$B$5,Y$4&gt;TODAY())),"",IF(EOMONTH(X$4,0)&lt;=Settings!$B$5,N(Settings!$C$29),N(Calc!$AO$27)))</f>
        <v/>
      </c>
      <c r="Z17" s="31">
        <f>IF(OR(Settings!$A$29="",Settings!$F$29="Yes",OR(EOMONTH(Z$4,0)&lt;=Settings!$B$5,Z$4&gt;TODAY())),"",IF(EOMONTH(Y$4,0)&lt;=Settings!$B$5,N(Settings!$C$29),N(Calc!$AO$28)))</f>
        <v/>
      </c>
      <c r="AA17" s="31">
        <f>IF(OR(Settings!$A$29="",Settings!$F$29="Yes",OR(EOMONTH(AA$4,0)&lt;=Settings!$B$5,AA$4&gt;TODAY())),"",IF(EOMONTH(Z$4,0)&lt;=Settings!$B$5,N(Settings!$C$29),N(Calc!$AO$29)))</f>
        <v/>
      </c>
      <c r="AB17" s="31">
        <f>IF(OR(Settings!$A$29="",Settings!$F$29="Yes",OR(EOMONTH(AB$4,0)&lt;=Settings!$B$5,AB$4&gt;TODAY())),"",IF(EOMONTH(AA$4,0)&lt;=Settings!$B$5,N(Settings!$C$29),N(Calc!$AO$30)))</f>
        <v/>
      </c>
      <c r="AC17" s="31">
        <f>IF(OR(Settings!$A$29="",Settings!$F$29="Yes",OR(EOMONTH(AC$4,0)&lt;=Settings!$B$5,AC$4&gt;TODAY())),"",IF(EOMONTH(AB$4,0)&lt;=Settings!$B$5,N(Settings!$C$29),N(Calc!$AO$31)))</f>
        <v/>
      </c>
      <c r="AD17" s="31">
        <f>IF(OR(Settings!$A$29="",Settings!$F$29="Yes",OR(EOMONTH(AD$4,0)&lt;=Settings!$B$5,AD$4&gt;TODAY())),"",IF(EOMONTH(AC$4,0)&lt;=Settings!$B$5,N(Settings!$C$29),N(Calc!$AO$32)))</f>
        <v/>
      </c>
      <c r="AE17" s="31">
        <f>IF(OR(Settings!$A$29="",Settings!$F$29="Yes",OR(EOMONTH(AE$4,0)&lt;=Settings!$B$5,AE$4&gt;TODAY())),"",IF(EOMONTH(AD$4,0)&lt;=Settings!$B$5,N(Settings!$C$29),N(Calc!$AO$33)))</f>
        <v/>
      </c>
      <c r="AF17" s="31">
        <f>IF(OR(Settings!$A$29="",Settings!$F$29="Yes",OR(EOMONTH(AF$4,0)&lt;=Settings!$B$5,AF$4&gt;TODAY())),"",IF(EOMONTH(AE$4,0)&lt;=Settings!$B$5,N(Settings!$C$29),N(Calc!$AO$34)))</f>
        <v/>
      </c>
      <c r="AG17" s="31">
        <f>IF(OR(Settings!$A$29="",Settings!$F$29="Yes",OR(EOMONTH(AG$4,0)&lt;=Settings!$B$5,AG$4&gt;TODAY())),"",IF(EOMONTH(AF$4,0)&lt;=Settings!$B$5,N(Settings!$C$29),N(Calc!$AO$35)))</f>
        <v/>
      </c>
      <c r="AH17" s="31">
        <f>IF(OR(Settings!$A$29="",Settings!$F$29="Yes",OR(EOMONTH(AH$4,0)&lt;=Settings!$B$5,AH$4&gt;TODAY())),"",IF(EOMONTH(AG$4,0)&lt;=Settings!$B$5,N(Settings!$C$29),N(Calc!$AO$36)))</f>
        <v/>
      </c>
      <c r="AI17" s="31">
        <f>IF(OR(Settings!$A$29="",Settings!$F$29="Yes",OR(EOMONTH(AI$4,0)&lt;=Settings!$B$5,AI$4&gt;TODAY())),"",IF(EOMONTH(AH$4,0)&lt;=Settings!$B$5,N(Settings!$C$29),N(Calc!$AO$37)))</f>
        <v/>
      </c>
      <c r="AJ17" s="31">
        <f>IF(OR(Settings!$A$29="",Settings!$F$29="Yes",OR(EOMONTH(AJ$4,0)&lt;=Settings!$B$5,AJ$4&gt;TODAY())),"",IF(EOMONTH(AI$4,0)&lt;=Settings!$B$5,N(Settings!$C$29),N(Calc!$AO$38)))</f>
        <v/>
      </c>
      <c r="AK17" s="31">
        <f>IF(OR(Settings!$A$29="",Settings!$F$29="Yes",OR(EOMONTH(AK$4,0)&lt;=Settings!$B$5,AK$4&gt;TODAY())),"",IF(EOMONTH(AJ$4,0)&lt;=Settings!$B$5,N(Settings!$C$29),N(Calc!$AO$39)))</f>
        <v/>
      </c>
      <c r="AL17" s="31">
        <f>IF(OR(Settings!$A$29="",Settings!$F$29="Yes",OR(EOMONTH(AL$4,0)&lt;=Settings!$B$5,AL$4&gt;TODAY())),"",IF(EOMONTH(AK$4,0)&lt;=Settings!$B$5,N(Settings!$C$29),N(Calc!$AO$40)))</f>
        <v/>
      </c>
      <c r="AM17" s="31">
        <f>IF(OR(Settings!$A$29="",Settings!$F$29="Yes",OR(EOMONTH(AM$4,0)&lt;=Settings!$B$5,AM$4&gt;TODAY())),"",IF(EOMONTH(AL$4,0)&lt;=Settings!$B$5,N(Settings!$C$29),N(Calc!$AO$41)))</f>
        <v/>
      </c>
      <c r="AN17" s="31">
        <f>IF(OR(Settings!$A$29="",Settings!$F$29="Yes",OR(EOMONTH(AN$4,0)&lt;=Settings!$B$5,AN$4&gt;TODAY())),"",IF(EOMONTH(AM$4,0)&lt;=Settings!$B$5,N(Settings!$C$29),N(Calc!$AO$42)))</f>
        <v/>
      </c>
      <c r="AO17" s="31">
        <f>IF(OR(Settings!$A$29="",Settings!$F$29="Yes",OR(EOMONTH(AO$4,0)&lt;=Settings!$B$5,AO$4&gt;TODAY())),"",IF(EOMONTH(AN$4,0)&lt;=Settings!$B$5,N(Settings!$C$29),N(Calc!$AO$43)))</f>
        <v/>
      </c>
      <c r="AP17" s="31">
        <f>IF(OR(Settings!$A$29="",Settings!$F$29="Yes",OR(EOMONTH(AP$4,0)&lt;=Settings!$B$5,AP$4&gt;TODAY())),"",IF(EOMONTH(AO$4,0)&lt;=Settings!$B$5,N(Settings!$C$29),N(Calc!$AO$44)))</f>
        <v/>
      </c>
      <c r="AQ17" s="31">
        <f>IF(OR(Settings!$A$29="",Settings!$F$29="Yes",OR(EOMONTH(AQ$4,0)&lt;=Settings!$B$5,AQ$4&gt;TODAY())),"",IF(EOMONTH(AP$4,0)&lt;=Settings!$B$5,N(Settings!$C$29),N(Calc!$AO$45)))</f>
        <v/>
      </c>
      <c r="AR17" s="31">
        <f>IF(OR(Settings!$A$29="",Settings!$F$29="Yes",OR(EOMONTH(AR$4,0)&lt;=Settings!$B$5,AR$4&gt;TODAY())),"",IF(EOMONTH(AQ$4,0)&lt;=Settings!$B$5,N(Settings!$C$29),N(Calc!$AO$46)))</f>
        <v/>
      </c>
      <c r="AS17" s="31">
        <f>IF(OR(Settings!$A$29="",Settings!$F$29="Yes",OR(EOMONTH(AS$4,0)&lt;=Settings!$B$5,AS$4&gt;TODAY())),"",IF(EOMONTH(AR$4,0)&lt;=Settings!$B$5,N(Settings!$C$29),N(Calc!$AO$47)))</f>
        <v/>
      </c>
      <c r="AT17" s="31">
        <f>IF(OR(Settings!$A$29="",Settings!$F$29="Yes",OR(EOMONTH(AT$4,0)&lt;=Settings!$B$5,AT$4&gt;TODAY())),"",IF(EOMONTH(AS$4,0)&lt;=Settings!$B$5,N(Settings!$C$29),N(Calc!$AO$48)))</f>
        <v/>
      </c>
      <c r="AU17" s="31">
        <f>IF(OR(Settings!$A$29="",Settings!$F$29="Yes",OR(EOMONTH(AU$4,0)&lt;=Settings!$B$5,AU$4&gt;TODAY())),"",IF(EOMONTH(AT$4,0)&lt;=Settings!$B$5,N(Settings!$C$29),N(Calc!$AO$49)))</f>
        <v/>
      </c>
      <c r="AV17" s="31">
        <f>IF(OR(Settings!$A$29="",Settings!$F$29="Yes",OR(EOMONTH(AV$4,0)&lt;=Settings!$B$5,AV$4&gt;TODAY())),"",IF(EOMONTH(AU$4,0)&lt;=Settings!$B$5,N(Settings!$C$29),N(Calc!$AO$50)))</f>
        <v/>
      </c>
      <c r="AW17" s="31">
        <f>IF(OR(Settings!$A$29="",Settings!$F$29="Yes",OR(EOMONTH(AW$4,0)&lt;=Settings!$B$5,AW$4&gt;TODAY())),"",IF(EOMONTH(AV$4,0)&lt;=Settings!$B$5,N(Settings!$C$29),N(Calc!$AO$51)))</f>
        <v/>
      </c>
      <c r="AX17" s="31">
        <f>IF(OR(Settings!$A$29="",Settings!$F$29="Yes",OR(EOMONTH(AX$4,0)&lt;=Settings!$B$5,AX$4&gt;TODAY())),"",IF(EOMONTH(AW$4,0)&lt;=Settings!$B$5,N(Settings!$C$29),N(Calc!$AO$52)))</f>
        <v/>
      </c>
      <c r="AY17" s="31">
        <f>IF(OR(Settings!$A$29="",Settings!$F$29="Yes",OR(EOMONTH(AY$4,0)&lt;=Settings!$B$5,AY$4&gt;TODAY())),"",IF(EOMONTH(AX$4,0)&lt;=Settings!$B$5,N(Settings!$C$29),N(Calc!$AO$53)))</f>
        <v/>
      </c>
      <c r="AZ17" s="31">
        <f>IF(OR(Settings!$A$29="",Settings!$F$29="Yes",OR(EOMONTH(AZ$4,0)&lt;=Settings!$B$5,AZ$4&gt;TODAY())),"",IF(EOMONTH(AY$4,0)&lt;=Settings!$B$5,N(Settings!$C$29),N(Calc!$AO$54)))</f>
        <v/>
      </c>
      <c r="BA17" s="31">
        <f>IF(OR(Settings!$A$29="",Settings!$F$29="Yes",OR(EOMONTH(BA$4,0)&lt;=Settings!$B$5,BA$4&gt;TODAY())),"",IF(EOMONTH(AZ$4,0)&lt;=Settings!$B$5,N(Settings!$C$29),N(Calc!$AO$55)))</f>
        <v/>
      </c>
      <c r="BB17" s="31">
        <f>IF(OR(Settings!$A$29="",Settings!$F$29="Yes",OR(EOMONTH(BB$4,0)&lt;=Settings!$B$5,BB$4&gt;TODAY())),"",IF(EOMONTH(BA$4,0)&lt;=Settings!$B$5,N(Settings!$C$29),N(Calc!$AO$56)))</f>
        <v/>
      </c>
      <c r="BC17" s="31">
        <f>IF(OR(Settings!$A$29="",Settings!$F$29="Yes",OR(EOMONTH(BC$4,0)&lt;=Settings!$B$5,BC$4&gt;TODAY())),"",IF(EOMONTH(BB$4,0)&lt;=Settings!$B$5,N(Settings!$C$29),N(Calc!$AO$57)))</f>
        <v/>
      </c>
      <c r="BD17" s="31">
        <f>IF(OR(Settings!$A$29="",Settings!$F$29="Yes",OR(EOMONTH(BD$4,0)&lt;=Settings!$B$5,BD$4&gt;TODAY())),"",IF(EOMONTH(BC$4,0)&lt;=Settings!$B$5,N(Settings!$C$29),N(Calc!$AO$58)))</f>
        <v/>
      </c>
      <c r="BE17" s="31">
        <f>IF(OR(Settings!$A$29="",Settings!$F$29="Yes",OR(EOMONTH(BE$4,0)&lt;=Settings!$B$5,BE$4&gt;TODAY())),"",IF(EOMONTH(BD$4,0)&lt;=Settings!$B$5,N(Settings!$C$29),N(Calc!$AO$59)))</f>
        <v/>
      </c>
      <c r="BF17" s="31">
        <f>IF(OR(Settings!$A$29="",Settings!$F$29="Yes",OR(EOMONTH(BF$4,0)&lt;=Settings!$B$5,BF$4&gt;TODAY())),"",IF(EOMONTH(BE$4,0)&lt;=Settings!$B$5,N(Settings!$C$29),N(Calc!$AO$60)))</f>
        <v/>
      </c>
      <c r="BG17" s="31">
        <f>IF(OR(Settings!$A$29="",Settings!$F$29="Yes",OR(EOMONTH(BG$4,0)&lt;=Settings!$B$5,BG$4&gt;TODAY())),"",IF(EOMONTH(BF$4,0)&lt;=Settings!$B$5,N(Settings!$C$29),N(Calc!$AO$61)))</f>
        <v/>
      </c>
      <c r="BH17" s="31">
        <f>IF(OR(Settings!$A$29="",Settings!$F$29="Yes",OR(EOMONTH(BH$4,0)&lt;=Settings!$B$5,BH$4&gt;TODAY())),"",IF(EOMONTH(BG$4,0)&lt;=Settings!$B$5,N(Settings!$C$29),N(Calc!$AO$62)))</f>
        <v/>
      </c>
      <c r="BI17" s="31">
        <f>IF(OR(Settings!$A$29="",Settings!$F$29="Yes",OR(EOMONTH(BI$4,0)&lt;=Settings!$B$5,BI$4&gt;TODAY())),"",IF(EOMONTH(BH$4,0)&lt;=Settings!$B$5,N(Settings!$C$29),N(Calc!$AO$63)))</f>
        <v/>
      </c>
      <c r="BJ17" s="31">
        <f>IF(OR(Settings!$A$29="",Settings!$F$29="Yes",OR(EOMONTH(BJ$4,0)&lt;=Settings!$B$5,BJ$4&gt;TODAY())),"",IF(EOMONTH(BI$4,0)&lt;=Settings!$B$5,N(Settings!$C$29),N(Calc!$AO$64)))</f>
        <v/>
      </c>
      <c r="BK17" s="31">
        <f>IF(OR(Settings!$A$29="",Settings!$F$29="Yes",OR(EOMONTH(BK$4,0)&lt;=Settings!$B$5,BK$4&gt;TODAY())),"",IF(EOMONTH(BJ$4,0)&lt;=Settings!$B$5,N(Settings!$C$29),N(Calc!$AO$65)))</f>
        <v/>
      </c>
      <c r="BL17" s="31">
        <f>IF(OR(Settings!$A$29="",Settings!$F$29="Yes",OR(EOMONTH(BL$4,0)&lt;=Settings!$B$5,BL$4&gt;TODAY())),"",IF(EOMONTH(BK$4,0)&lt;=Settings!$B$5,N(Settings!$C$29),N(Calc!$AO$66)))</f>
        <v/>
      </c>
      <c r="BM17" s="31">
        <f>IF(OR(Settings!$A$29="",Settings!$F$29="Yes",OR(EOMONTH(BM$4,0)&lt;=Settings!$B$5,BM$4&gt;TODAY())),"",IF(EOMONTH(BL$4,0)&lt;=Settings!$B$5,N(Settings!$C$29),N(Calc!$AO$67)))</f>
        <v/>
      </c>
      <c r="BN17" s="31">
        <f>IF(OR(Settings!$A$29="",Settings!$F$29="Yes",OR(EOMONTH(BN$4,0)&lt;=Settings!$B$5,BN$4&gt;TODAY())),"",IF(EOMONTH(BM$4,0)&lt;=Settings!$B$5,N(Settings!$C$29),N(Calc!$AO$68)))</f>
        <v/>
      </c>
      <c r="BO17" s="31">
        <f>IF(OR(Settings!$A$29="",Settings!$F$29="Yes",OR(EOMONTH(BO$4,0)&lt;=Settings!$B$5,BO$4&gt;TODAY())),"",IF(EOMONTH(BN$4,0)&lt;=Settings!$B$5,N(Settings!$C$29),N(Calc!$AO$69)))</f>
        <v/>
      </c>
      <c r="BP17" s="31">
        <f>IF(OR(Settings!$A$29="",Settings!$F$29="Yes",OR(EOMONTH(BP$4,0)&lt;=Settings!$B$5,BP$4&gt;TODAY())),"",IF(EOMONTH(BO$4,0)&lt;=Settings!$B$5,N(Settings!$C$29),N(Calc!$AO$70)))</f>
        <v/>
      </c>
      <c r="BQ17" s="31">
        <f>IF(OR(Settings!$A$29="",Settings!$F$29="Yes",OR(EOMONTH(BQ$4,0)&lt;=Settings!$B$5,BQ$4&gt;TODAY())),"",IF(EOMONTH(BP$4,0)&lt;=Settings!$B$5,N(Settings!$C$29),N(Calc!$AO$71)))</f>
        <v/>
      </c>
      <c r="BR17" s="31">
        <f>IF(OR(Settings!$A$29="",Settings!$F$29="Yes",OR(EOMONTH(BR$4,0)&lt;=Settings!$B$5,BR$4&gt;TODAY())),"",IF(EOMONTH(BQ$4,0)&lt;=Settings!$B$5,N(Settings!$C$29),N(Calc!$AO$72)))</f>
        <v/>
      </c>
      <c r="BS17" s="31">
        <f>IF(OR(Settings!$A$29="",Settings!$F$29="Yes",OR(EOMONTH(BS$4,0)&lt;=Settings!$B$5,BS$4&gt;TODAY())),"",IF(EOMONTH(BR$4,0)&lt;=Settings!$B$5,N(Settings!$C$29),N(Calc!$AO$73)))</f>
        <v/>
      </c>
      <c r="BT17" s="31">
        <f>IF(OR(Settings!$A$29="",Settings!$F$29="Yes",OR(EOMONTH(BT$4,0)&lt;=Settings!$B$5,BT$4&gt;TODAY())),"",IF(EOMONTH(BS$4,0)&lt;=Settings!$B$5,N(Settings!$C$29),N(Calc!$AO$74)))</f>
        <v/>
      </c>
      <c r="BU17" s="31">
        <f>IF(OR(Settings!$A$29="",Settings!$F$29="Yes",OR(EOMONTH(BU$4,0)&lt;=Settings!$B$5,BU$4&gt;TODAY())),"",IF(EOMONTH(BT$4,0)&lt;=Settings!$B$5,N(Settings!$C$29),N(Calc!$AO$75)))</f>
        <v/>
      </c>
      <c r="BV17" s="31">
        <f>IF(OR(Settings!$A$29="",Settings!$F$29="Yes",OR(EOMONTH(BV$4,0)&lt;=Settings!$B$5,BV$4&gt;TODAY())),"",IF(EOMONTH(BU$4,0)&lt;=Settings!$B$5,N(Settings!$C$29),N(Calc!$AO$76)))</f>
        <v/>
      </c>
      <c r="BW17" s="31">
        <f>IF(OR(Settings!$A$29="",Settings!$F$29="Yes",OR(EOMONTH(BW$4,0)&lt;=Settings!$B$5,BW$4&gt;TODAY())),"",IF(EOMONTH(BV$4,0)&lt;=Settings!$B$5,N(Settings!$C$29),N(Calc!$AO$77)))</f>
        <v/>
      </c>
      <c r="BX17" s="31">
        <f>IF(OR(Settings!$A$29="",Settings!$F$29="Yes",OR(EOMONTH(BX$4,0)&lt;=Settings!$B$5,BX$4&gt;TODAY())),"",IF(EOMONTH(BW$4,0)&lt;=Settings!$B$5,N(Settings!$C$29),N(Calc!$AO$78)))</f>
        <v/>
      </c>
      <c r="BY17" s="31">
        <f>IF(OR(Settings!$A$29="",Settings!$F$29="Yes",OR(EOMONTH(BY$4,0)&lt;=Settings!$B$5,BY$4&gt;TODAY())),"",IF(EOMONTH(BX$4,0)&lt;=Settings!$B$5,N(Settings!$C$29),N(Calc!$AO$79)))</f>
        <v/>
      </c>
      <c r="BZ17" s="31">
        <f>IF(OR(Settings!$A$29="",Settings!$F$29="Yes",OR(EOMONTH(BZ$4,0)&lt;=Settings!$B$5,BZ$4&gt;TODAY())),"",IF(EOMONTH(BY$4,0)&lt;=Settings!$B$5,N(Settings!$C$29),N(Calc!$AO$80)))</f>
        <v/>
      </c>
      <c r="CA17" s="31">
        <f>IF(OR(Settings!$A$29="",Settings!$F$29="Yes",OR(EOMONTH(CA$4,0)&lt;=Settings!$B$5,CA$4&gt;TODAY())),"",IF(EOMONTH(BZ$4,0)&lt;=Settings!$B$5,N(Settings!$C$29),N(Calc!$AO$81)))</f>
        <v/>
      </c>
      <c r="CB17" s="31">
        <f>IF(OR(Settings!$A$29="",Settings!$F$29="Yes",OR(EOMONTH(CB$4,0)&lt;=Settings!$B$5,CB$4&gt;TODAY())),"",IF(EOMONTH(CA$4,0)&lt;=Settings!$B$5,N(Settings!$C$29),N(Calc!$AO$82)))</f>
        <v/>
      </c>
      <c r="CC17" s="31">
        <f>IF(OR(Settings!$A$29="",Settings!$F$29="Yes",OR(EOMONTH(CC$4,0)&lt;=Settings!$B$5,CC$4&gt;TODAY())),"",IF(EOMONTH(CB$4,0)&lt;=Settings!$B$5,N(Settings!$C$29),N(Calc!$AO$83)))</f>
        <v/>
      </c>
      <c r="CD17" s="31">
        <f>IF(OR(Settings!$A$29="",Settings!$F$29="Yes",OR(EOMONTH(CD$4,0)&lt;=Settings!$B$5,CD$4&gt;TODAY())),"",IF(EOMONTH(CC$4,0)&lt;=Settings!$B$5,N(Settings!$C$29),N(Calc!$AO$84)))</f>
        <v/>
      </c>
      <c r="CE17" s="31">
        <f>IF(OR(Settings!$A$29="",Settings!$F$29="Yes",OR(EOMONTH(CE$4,0)&lt;=Settings!$B$5,CE$4&gt;TODAY())),"",IF(EOMONTH(CD$4,0)&lt;=Settings!$B$5,N(Settings!$C$29),N(Calc!$AO$85)))</f>
        <v/>
      </c>
      <c r="CF17" s="31">
        <f>IF(OR(Settings!$A$29="",Settings!$F$29="Yes",OR(EOMONTH(CF$4,0)&lt;=Settings!$B$5,CF$4&gt;TODAY())),"",IF(EOMONTH(CE$4,0)&lt;=Settings!$B$5,N(Settings!$C$29),N(Calc!$AO$86)))</f>
        <v/>
      </c>
      <c r="CG17" s="31">
        <f>IF(OR(Settings!$A$29="",Settings!$F$29="Yes",OR(EOMONTH(CG$4,0)&lt;=Settings!$B$5,CG$4&gt;TODAY())),"",IF(EOMONTH(CF$4,0)&lt;=Settings!$B$5,N(Settings!$C$29),N(Calc!$AO$87)))</f>
        <v/>
      </c>
      <c r="CH17" s="31">
        <f>IF(OR(Settings!$A$29="",Settings!$F$29="Yes",OR(EOMONTH(CH$4,0)&lt;=Settings!$B$5,CH$4&gt;TODAY())),"",IF(EOMONTH(CG$4,0)&lt;=Settings!$B$5,N(Settings!$C$29),N(Calc!$AO$88)))</f>
        <v/>
      </c>
      <c r="CI17" s="31">
        <f>IF(OR(Settings!$A$29="",Settings!$F$29="Yes",OR(EOMONTH(CI$4,0)&lt;=Settings!$B$5,CI$4&gt;TODAY())),"",IF(EOMONTH(CH$4,0)&lt;=Settings!$B$5,N(Settings!$C$29),N(Calc!$AO$89)))</f>
        <v/>
      </c>
      <c r="CJ17" s="31">
        <f>IF(OR(Settings!$A$29="",Settings!$F$29="Yes",OR(EOMONTH(CJ$4,0)&lt;=Settings!$B$5,CJ$4&gt;TODAY())),"",IF(EOMONTH(CI$4,0)&lt;=Settings!$B$5,N(Settings!$C$29),N(Calc!$AO$90)))</f>
        <v/>
      </c>
      <c r="CK17" s="31">
        <f>IF(OR(Settings!$A$29="",Settings!$F$29="Yes",OR(EOMONTH(CK$4,0)&lt;=Settings!$B$5,CK$4&gt;TODAY())),"",IF(EOMONTH(CJ$4,0)&lt;=Settings!$B$5,N(Settings!$C$29),N(Calc!$AO$91)))</f>
        <v/>
      </c>
      <c r="CL17" s="31">
        <f>IF(OR(Settings!$A$29="",Settings!$F$29="Yes",OR(EOMONTH(CL$4,0)&lt;=Settings!$B$5,CL$4&gt;TODAY())),"",IF(EOMONTH(CK$4,0)&lt;=Settings!$B$5,N(Settings!$C$29),N(Calc!$AO$92)))</f>
        <v/>
      </c>
      <c r="CM17" s="31">
        <f>IF(OR(Settings!$A$29="",Settings!$F$29="Yes",OR(EOMONTH(CM$4,0)&lt;=Settings!$B$5,CM$4&gt;TODAY())),"",IF(EOMONTH(CL$4,0)&lt;=Settings!$B$5,N(Settings!$C$29),N(Calc!$AO$93)))</f>
        <v/>
      </c>
      <c r="CN17" s="31">
        <f>IF(OR(Settings!$A$29="",Settings!$F$29="Yes",OR(EOMONTH(CN$4,0)&lt;=Settings!$B$5,CN$4&gt;TODAY())),"",IF(EOMONTH(CM$4,0)&lt;=Settings!$B$5,N(Settings!$C$29),N(Calc!$AO$94)))</f>
        <v/>
      </c>
      <c r="CO17" s="31">
        <f>IF(OR(Settings!$A$29="",Settings!$F$29="Yes",OR(EOMONTH(CO$4,0)&lt;=Settings!$B$5,CO$4&gt;TODAY())),"",IF(EOMONTH(CN$4,0)&lt;=Settings!$B$5,N(Settings!$C$29),N(Calc!$AO$95)))</f>
        <v/>
      </c>
      <c r="CP17" s="31">
        <f>IF(OR(Settings!$A$29="",Settings!$F$29="Yes",OR(EOMONTH(CP$4,0)&lt;=Settings!$B$5,CP$4&gt;TODAY())),"",IF(EOMONTH(CO$4,0)&lt;=Settings!$B$5,N(Settings!$C$29),N(Calc!$AO$96)))</f>
        <v/>
      </c>
      <c r="CQ17" s="31">
        <f>IF(OR(Settings!$A$29="",Settings!$F$29="Yes",OR(EOMONTH(CQ$4,0)&lt;=Settings!$B$5,CQ$4&gt;TODAY())),"",IF(EOMONTH(CP$4,0)&lt;=Settings!$B$5,N(Settings!$C$29),N(Calc!$AO$97)))</f>
        <v/>
      </c>
      <c r="CR17" s="31">
        <f>IF(OR(Settings!$A$29="",Settings!$F$29="Yes",OR(EOMONTH(CR$4,0)&lt;=Settings!$B$5,CR$4&gt;TODAY())),"",IF(EOMONTH(CQ$4,0)&lt;=Settings!$B$5,N(Settings!$C$29),N(Calc!$AO$98)))</f>
        <v/>
      </c>
      <c r="CS17" s="31">
        <f>IF(OR(Settings!$A$29="",Settings!$F$29="Yes",OR(EOMONTH(CS$4,0)&lt;=Settings!$B$5,CS$4&gt;TODAY())),"",IF(EOMONTH(CR$4,0)&lt;=Settings!$B$5,N(Settings!$C$29),N(Calc!$AO$99)))</f>
        <v/>
      </c>
      <c r="CT17" s="31">
        <f>IF(OR(Settings!$A$29="",Settings!$F$29="Yes",OR(EOMONTH(CT$4,0)&lt;=Settings!$B$5,CT$4&gt;TODAY())),"",IF(EOMONTH(CS$4,0)&lt;=Settings!$B$5,N(Settings!$C$29),N(Calc!$AO$100)))</f>
        <v/>
      </c>
      <c r="CU17" s="31">
        <f>IF(OR(Settings!$A$29="",Settings!$F$29="Yes",OR(EOMONTH(CU$4,0)&lt;=Settings!$B$5,CU$4&gt;TODAY())),"",IF(EOMONTH(CT$4,0)&lt;=Settings!$B$5,N(Settings!$C$29),N(Calc!$AO$101)))</f>
        <v/>
      </c>
      <c r="CV17" s="31">
        <f>IF(OR(Settings!$A$29="",Settings!$F$29="Yes",OR(EOMONTH(CV$4,0)&lt;=Settings!$B$5,CV$4&gt;TODAY())),"",IF(EOMONTH(CU$4,0)&lt;=Settings!$B$5,N(Settings!$C$29),N(Calc!$AO$102)))</f>
        <v/>
      </c>
      <c r="CW17" s="31">
        <f>IF(OR(Settings!$A$29="",Settings!$F$29="Yes",OR(EOMONTH(CW$4,0)&lt;=Settings!$B$5,CW$4&gt;TODAY())),"",IF(EOMONTH(CV$4,0)&lt;=Settings!$B$5,N(Settings!$C$29),N(Calc!$AO$103)))</f>
        <v/>
      </c>
      <c r="CX17" s="31">
        <f>IF(OR(Settings!$A$29="",Settings!$F$29="Yes",OR(EOMONTH(CX$4,0)&lt;=Settings!$B$5,CX$4&gt;TODAY())),"",IF(EOMONTH(CW$4,0)&lt;=Settings!$B$5,N(Settings!$C$29),N(Calc!$AO$104)))</f>
        <v/>
      </c>
      <c r="CY17" s="31">
        <f>IF(OR(Settings!$A$29="",Settings!$F$29="Yes",OR(EOMONTH(CY$4,0)&lt;=Settings!$B$5,CY$4&gt;TODAY())),"",IF(EOMONTH(CX$4,0)&lt;=Settings!$B$5,N(Settings!$C$29),N(Calc!$AO$105)))</f>
        <v/>
      </c>
      <c r="CZ17" s="31">
        <f>IF(OR(Settings!$A$29="",Settings!$F$29="Yes",OR(EOMONTH(CZ$4,0)&lt;=Settings!$B$5,CZ$4&gt;TODAY())),"",IF(EOMONTH(CY$4,0)&lt;=Settings!$B$5,N(Settings!$C$29),N(Calc!$AO$106)))</f>
        <v/>
      </c>
      <c r="DA17" s="31">
        <f>IF(OR(Settings!$A$29="",Settings!$F$29="Yes",OR(EOMONTH(DA$4,0)&lt;=Settings!$B$5,DA$4&gt;TODAY())),"",IF(EOMONTH(CZ$4,0)&lt;=Settings!$B$5,N(Settings!$C$29),N(Calc!$AO$107)))</f>
        <v/>
      </c>
      <c r="DB17" s="31">
        <f>IF(OR(Settings!$A$29="",Settings!$F$29="Yes",OR(EOMONTH(DB$4,0)&lt;=Settings!$B$5,DB$4&gt;TODAY())),"",IF(EOMONTH(DA$4,0)&lt;=Settings!$B$5,N(Settings!$C$29),N(Calc!$AO$108)))</f>
        <v/>
      </c>
      <c r="DC17" s="31">
        <f>IF(OR(Settings!$A$29="",Settings!$F$29="Yes",OR(EOMONTH(DC$4,0)&lt;=Settings!$B$5,DC$4&gt;TODAY())),"",IF(EOMONTH(DB$4,0)&lt;=Settings!$B$5,N(Settings!$C$29),N(Calc!$AO$109)))</f>
        <v/>
      </c>
      <c r="DD17" s="31">
        <f>IF(OR(Settings!$A$29="",Settings!$F$29="Yes",OR(EOMONTH(DD$4,0)&lt;=Settings!$B$5,DD$4&gt;TODAY())),"",IF(EOMONTH(DC$4,0)&lt;=Settings!$B$5,N(Settings!$C$29),N(Calc!$AO$110)))</f>
        <v/>
      </c>
      <c r="DE17" s="31">
        <f>IF(OR(Settings!$A$29="",Settings!$F$29="Yes",OR(EOMONTH(DE$4,0)&lt;=Settings!$B$5,DE$4&gt;TODAY())),"",IF(EOMONTH(DD$4,0)&lt;=Settings!$B$5,N(Settings!$C$29),N(Calc!$AO$111)))</f>
        <v/>
      </c>
      <c r="DF17" s="31">
        <f>IF(OR(Settings!$A$29="",Settings!$F$29="Yes",OR(EOMONTH(DF$4,0)&lt;=Settings!$B$5,DF$4&gt;TODAY())),"",IF(EOMONTH(DE$4,0)&lt;=Settings!$B$5,N(Settings!$C$29),N(Calc!$AO$112)))</f>
        <v/>
      </c>
      <c r="DG17" s="31">
        <f>IF(OR(Settings!$A$29="",Settings!$F$29="Yes",OR(EOMONTH(DG$4,0)&lt;=Settings!$B$5,DG$4&gt;TODAY())),"",IF(EOMONTH(DF$4,0)&lt;=Settings!$B$5,N(Settings!$C$29),N(Calc!$AO$113)))</f>
        <v/>
      </c>
      <c r="DH17" s="31">
        <f>IF(OR(Settings!$A$29="",Settings!$F$29="Yes",OR(EOMONTH(DH$4,0)&lt;=Settings!$B$5,DH$4&gt;TODAY())),"",IF(EOMONTH(DG$4,0)&lt;=Settings!$B$5,N(Settings!$C$29),N(Calc!$AO$114)))</f>
        <v/>
      </c>
      <c r="DI17" s="31">
        <f>IF(OR(Settings!$A$29="",Settings!$F$29="Yes",OR(EOMONTH(DI$4,0)&lt;=Settings!$B$5,DI$4&gt;TODAY())),"",IF(EOMONTH(DH$4,0)&lt;=Settings!$B$5,N(Settings!$C$29),N(Calc!$AO$115)))</f>
        <v/>
      </c>
      <c r="DJ17" s="31">
        <f>IF(OR(Settings!$A$29="",Settings!$F$29="Yes",OR(EOMONTH(DJ$4,0)&lt;=Settings!$B$5,DJ$4&gt;TODAY())),"",IF(EOMONTH(DI$4,0)&lt;=Settings!$B$5,N(Settings!$C$29),N(Calc!$AO$116)))</f>
        <v/>
      </c>
      <c r="DK17" s="31">
        <f>IF(OR(Settings!$A$29="",Settings!$F$29="Yes",OR(EOMONTH(DK$4,0)&lt;=Settings!$B$5,DK$4&gt;TODAY())),"",IF(EOMONTH(DJ$4,0)&lt;=Settings!$B$5,N(Settings!$C$29),N(Calc!$AO$117)))</f>
        <v/>
      </c>
      <c r="DL17" s="31">
        <f>IF(OR(Settings!$A$29="",Settings!$F$29="Yes",OR(EOMONTH(DL$4,0)&lt;=Settings!$B$5,DL$4&gt;TODAY())),"",IF(EOMONTH(DK$4,0)&lt;=Settings!$B$5,N(Settings!$C$29),N(Calc!$AO$118)))</f>
        <v/>
      </c>
      <c r="DM17" s="31">
        <f>IF(OR(Settings!$A$29="",Settings!$F$29="Yes",OR(EOMONTH(DM$4,0)&lt;=Settings!$B$5,DM$4&gt;TODAY())),"",IF(EOMONTH(DL$4,0)&lt;=Settings!$B$5,N(Settings!$C$29),N(Calc!$AO$119)))</f>
        <v/>
      </c>
      <c r="DN17" s="31">
        <f>IF(OR(Settings!$A$29="",Settings!$F$29="Yes",OR(EOMONTH(DN$4,0)&lt;=Settings!$B$5,DN$4&gt;TODAY())),"",IF(EOMONTH(DM$4,0)&lt;=Settings!$B$5,N(Settings!$C$29),N(Calc!$AO$120)))</f>
        <v/>
      </c>
      <c r="DO17" s="31">
        <f>IF(OR(Settings!$A$29="",Settings!$F$29="Yes",OR(EOMONTH(DO$4,0)&lt;=Settings!$B$5,DO$4&gt;TODAY())),"",IF(EOMONTH(DN$4,0)&lt;=Settings!$B$5,N(Settings!$C$29),N(Calc!$AO$121)))</f>
        <v/>
      </c>
      <c r="DP17" s="31">
        <f>IF(OR(Settings!$A$29="",Settings!$F$29="Yes",OR(EOMONTH(DP$4,0)&lt;=Settings!$B$5,DP$4&gt;TODAY())),"",IF(EOMONTH(DO$4,0)&lt;=Settings!$B$5,N(Settings!$C$29),N(Calc!$AO$122)))</f>
        <v/>
      </c>
      <c r="DQ17" s="31">
        <f>IF(OR(Settings!$A$29="",Settings!$F$29="Yes",OR(EOMONTH(DQ$4,0)&lt;=Settings!$B$5,DQ$4&gt;TODAY())),"",IF(EOMONTH(DP$4,0)&lt;=Settings!$B$5,N(Settings!$C$29),N(Calc!$AO$123)))</f>
        <v/>
      </c>
      <c r="DR17" s="31">
        <f>IF(OR(Settings!$A$29="",Settings!$F$29="Yes",OR(EOMONTH(DR$4,0)&lt;=Settings!$B$5,DR$4&gt;TODAY())),"",IF(EOMONTH(DQ$4,0)&lt;=Settings!$B$5,N(Settings!$C$29),N(Calc!$AO$124)))</f>
        <v/>
      </c>
      <c r="DS17" s="31">
        <f>IF(OR(Settings!$A$29="",Settings!$F$29="Yes",OR(EOMONTH(DS$4,0)&lt;=Settings!$B$5,DS$4&gt;TODAY())),"",IF(EOMONTH(DR$4,0)&lt;=Settings!$B$5,N(Settings!$C$29),N(Calc!$AO$125)))</f>
        <v/>
      </c>
      <c r="DT17" s="31">
        <f>IF(OR(Settings!$A$29="",Settings!$F$29="Yes",OR(EOMONTH(DT$4,0)&lt;=Settings!$B$5,DT$4&gt;TODAY())),"",IF(EOMONTH(DS$4,0)&lt;=Settings!$B$5,N(Settings!$C$29),N(Calc!$AO$126)))</f>
        <v/>
      </c>
      <c r="DU17" s="31">
        <f>IF(OR(Settings!$A$29="",Settings!$F$29="Yes",OR(EOMONTH(DU$4,0)&lt;=Settings!$B$5,DU$4&gt;TODAY())),"",IF(EOMONTH(DT$4,0)&lt;=Settings!$B$5,N(Settings!$C$29),N(Calc!$AO$127)))</f>
        <v/>
      </c>
      <c r="DV17" s="31">
        <f>IF(OR(Settings!$A$29="",Settings!$F$29="Yes",OR(EOMONTH(DV$4,0)&lt;=Settings!$B$5,DV$4&gt;TODAY())),"",IF(EOMONTH(DU$4,0)&lt;=Settings!$B$5,N(Settings!$C$29),N(Calc!$AO$128)))</f>
        <v/>
      </c>
      <c r="DW17" s="31">
        <f>IF(OR(Settings!$A$29="",Settings!$F$29="Yes",OR(EOMONTH(DW$4,0)&lt;=Settings!$B$5,DW$4&gt;TODAY())),"",IF(EOMONTH(DV$4,0)&lt;=Settings!$B$5,N(Settings!$C$29),N(Calc!$AO$129)))</f>
        <v/>
      </c>
      <c r="DX17" s="31">
        <f>IF(OR(Settings!$A$29="",Settings!$F$29="Yes",OR(EOMONTH(DX$4,0)&lt;=Settings!$B$5,DX$4&gt;TODAY())),"",IF(EOMONTH(DW$4,0)&lt;=Settings!$B$5,N(Settings!$C$29),N(Calc!$AO$130)))</f>
        <v/>
      </c>
      <c r="DY17" s="31">
        <f>IF(OR(Settings!$A$29="",Settings!$F$29="Yes",OR(EOMONTH(DY$4,0)&lt;=Settings!$B$5,DY$4&gt;TODAY())),"",IF(EOMONTH(DX$4,0)&lt;=Settings!$B$5,N(Settings!$C$29),N(Calc!$AO$131)))</f>
        <v/>
      </c>
      <c r="DZ17" s="31">
        <f>IF(OR(Settings!$A$29="",Settings!$F$29="Yes",OR(EOMONTH(DZ$4,0)&lt;=Settings!$B$5,DZ$4&gt;TODAY())),"",IF(EOMONTH(DY$4,0)&lt;=Settings!$B$5,N(Settings!$C$29),N(Calc!$AO$132)))</f>
        <v/>
      </c>
      <c r="EA17" s="31">
        <f>IF(OR(Settings!$A$29="",Settings!$F$29="Yes",OR(EOMONTH(EA$4,0)&lt;=Settings!$B$5,EA$4&gt;TODAY())),"",IF(EOMONTH(DZ$4,0)&lt;=Settings!$B$5,N(Settings!$C$29),N(Calc!$AO$133)))</f>
        <v/>
      </c>
      <c r="EB17" s="31">
        <f>IF(OR(Settings!$A$29="",Settings!$F$29="Yes",OR(EOMONTH(EB$4,0)&lt;=Settings!$B$5,EB$4&gt;TODAY())),"",IF(EOMONTH(EA$4,0)&lt;=Settings!$B$5,N(Settings!$C$29),N(Calc!$AO$134)))</f>
        <v/>
      </c>
      <c r="EC17" s="31">
        <f>IF(OR(Settings!$A$29="",Settings!$F$29="Yes",OR(EOMONTH(EC$4,0)&lt;=Settings!$B$5,EC$4&gt;TODAY())),"",IF(EOMONTH(EB$4,0)&lt;=Settings!$B$5,N(Settings!$C$29),N(Calc!$AO$135)))</f>
        <v/>
      </c>
      <c r="ED17" s="31">
        <f>IF(OR(Settings!$A$29="",Settings!$F$29="Yes",OR(EOMONTH(ED$4,0)&lt;=Settings!$B$5,ED$4&gt;TODAY())),"",IF(EOMONTH(EC$4,0)&lt;=Settings!$B$5,N(Settings!$C$29),N(Calc!$AO$136)))</f>
        <v/>
      </c>
      <c r="EE17" s="31">
        <f>IF(OR(Settings!$A$29="",Settings!$F$29="Yes",OR(EOMONTH(EE$4,0)&lt;=Settings!$B$5,EE$4&gt;TODAY())),"",IF(EOMONTH(ED$4,0)&lt;=Settings!$B$5,N(Settings!$C$29),N(Calc!$AO$137)))</f>
        <v/>
      </c>
      <c r="EF17" s="31">
        <f>IF(OR(Settings!$A$29="",Settings!$F$29="Yes",OR(EOMONTH(EF$4,0)&lt;=Settings!$B$5,EF$4&gt;TODAY())),"",IF(EOMONTH(EE$4,0)&lt;=Settings!$B$5,N(Settings!$C$29),N(Calc!$AO$138)))</f>
        <v/>
      </c>
      <c r="EG17" s="31">
        <f>IF(OR(Settings!$A$29="",Settings!$F$29="Yes",OR(EOMONTH(EG$4,0)&lt;=Settings!$B$5,EG$4&gt;TODAY())),"",IF(EOMONTH(EF$4,0)&lt;=Settings!$B$5,N(Settings!$C$29),N(Calc!$AO$139)))</f>
        <v/>
      </c>
      <c r="EH17" s="31">
        <f>IF(OR(Settings!$A$29="",Settings!$F$29="Yes",OR(EOMONTH(EH$4,0)&lt;=Settings!$B$5,EH$4&gt;TODAY())),"",IF(EOMONTH(EG$4,0)&lt;=Settings!$B$5,N(Settings!$C$29),N(Calc!$AO$140)))</f>
        <v/>
      </c>
      <c r="EI17" s="31">
        <f>IF(OR(Settings!$A$29="",Settings!$F$29="Yes",OR(EOMONTH(EI$4,0)&lt;=Settings!$B$5,EI$4&gt;TODAY())),"",IF(EOMONTH(EH$4,0)&lt;=Settings!$B$5,N(Settings!$C$29),N(Calc!$AO$141)))</f>
        <v/>
      </c>
      <c r="EJ17" s="31">
        <f>IF(OR(Settings!$A$29="",Settings!$F$29="Yes",OR(EOMONTH(EJ$4,0)&lt;=Settings!$B$5,EJ$4&gt;TODAY())),"",IF(EOMONTH(EI$4,0)&lt;=Settings!$B$5,N(Settings!$C$29),N(Calc!$AO$142)))</f>
        <v/>
      </c>
      <c r="EK17" s="31">
        <f>IF(OR(Settings!$A$29="",Settings!$F$29="Yes",OR(EOMONTH(EK$4,0)&lt;=Settings!$B$5,EK$4&gt;TODAY())),"",IF(EOMONTH(EJ$4,0)&lt;=Settings!$B$5,N(Settings!$C$29),N(Calc!$AO$143)))</f>
        <v/>
      </c>
      <c r="EL17" s="31">
        <f>IF(OR(Settings!$A$29="",Settings!$F$29="Yes",OR(EOMONTH(EL$4,0)&lt;=Settings!$B$5,EL$4&gt;TODAY())),"",IF(EOMONTH(EK$4,0)&lt;=Settings!$B$5,N(Settings!$C$29),N(Calc!$AO$144)))</f>
        <v/>
      </c>
      <c r="EM17" s="31">
        <f>IF(OR(Settings!$A$29="",Settings!$F$29="Yes",OR(EOMONTH(EM$4,0)&lt;=Settings!$B$5,EM$4&gt;TODAY())),"",IF(EOMONTH(EL$4,0)&lt;=Settings!$B$5,N(Settings!$C$29),N(Calc!$AO$145)))</f>
        <v/>
      </c>
      <c r="EN17" s="31">
        <f>IF(OR(Settings!$A$29="",Settings!$F$29="Yes",OR(EOMONTH(EN$4,0)&lt;=Settings!$B$5,EN$4&gt;TODAY())),"",IF(EOMONTH(EM$4,0)&lt;=Settings!$B$5,N(Settings!$C$29),N(Calc!$AO$146)))</f>
        <v/>
      </c>
      <c r="EO17" s="31">
        <f>IF(OR(Settings!$A$29="",Settings!$F$29="Yes",OR(EOMONTH(EO$4,0)&lt;=Settings!$B$5,EO$4&gt;TODAY())),"",IF(EOMONTH(EN$4,0)&lt;=Settings!$B$5,N(Settings!$C$29),N(Calc!$AO$147)))</f>
        <v/>
      </c>
      <c r="EP17" s="31">
        <f>IF(OR(Settings!$A$29="",Settings!$F$29="Yes",OR(EOMONTH(EP$4,0)&lt;=Settings!$B$5,EP$4&gt;TODAY())),"",IF(EOMONTH(EO$4,0)&lt;=Settings!$B$5,N(Settings!$C$29),N(Calc!$AO$148)))</f>
        <v/>
      </c>
      <c r="EQ17" s="31">
        <f>IF(OR(Settings!$A$29="",Settings!$F$29="Yes",OR(EOMONTH(EQ$4,0)&lt;=Settings!$B$5,EQ$4&gt;TODAY())),"",IF(EOMONTH(EP$4,0)&lt;=Settings!$B$5,N(Settings!$C$29),N(Calc!$AO$149)))</f>
        <v/>
      </c>
      <c r="ER17" s="31">
        <f>IF(OR(Settings!$A$29="",Settings!$F$29="Yes",OR(EOMONTH(ER$4,0)&lt;=Settings!$B$5,ER$4&gt;TODAY())),"",IF(EOMONTH(EQ$4,0)&lt;=Settings!$B$5,N(Settings!$C$29),N(Calc!$AO$150)))</f>
        <v/>
      </c>
      <c r="ES17" s="31">
        <f>IF(OR(Settings!$A$29="",Settings!$F$29="Yes",OR(EOMONTH(ES$4,0)&lt;=Settings!$B$5,ES$4&gt;TODAY())),"",IF(EOMONTH(ER$4,0)&lt;=Settings!$B$5,N(Settings!$C$29),N(Calc!$AO$151)))</f>
        <v/>
      </c>
      <c r="ET17" s="31">
        <f>IF(OR(Settings!$A$29="",Settings!$F$29="Yes",OR(EOMONTH(ET$4,0)&lt;=Settings!$B$5,ET$4&gt;TODAY())),"",IF(EOMONTH(ES$4,0)&lt;=Settings!$B$5,N(Settings!$C$29),N(Calc!$AO$152)))</f>
        <v/>
      </c>
      <c r="EU17" s="31">
        <f>IF(OR(Settings!$A$29="",Settings!$F$29="Yes",OR(EOMONTH(EU$4,0)&lt;=Settings!$B$5,EU$4&gt;TODAY())),"",IF(EOMONTH(ET$4,0)&lt;=Settings!$B$5,N(Settings!$C$29),N(Calc!$AO$153)))</f>
        <v/>
      </c>
      <c r="EV17" s="31">
        <f>IF(OR(Settings!$A$29="",Settings!$F$29="Yes",OR(EOMONTH(EV$4,0)&lt;=Settings!$B$5,EV$4&gt;TODAY())),"",IF(EOMONTH(EU$4,0)&lt;=Settings!$B$5,N(Settings!$C$29),N(Calc!$AO$154)))</f>
        <v/>
      </c>
      <c r="EW17" s="31">
        <f>IF(OR(Settings!$A$29="",Settings!$F$29="Yes",OR(EOMONTH(EW$4,0)&lt;=Settings!$B$5,EW$4&gt;TODAY())),"",IF(EOMONTH(EV$4,0)&lt;=Settings!$B$5,N(Settings!$C$29),N(Calc!$AO$155)))</f>
        <v/>
      </c>
      <c r="EX17" s="31">
        <f>IF(OR(Settings!$A$29="",Settings!$F$29="Yes",OR(EOMONTH(EX$4,0)&lt;=Settings!$B$5,EX$4&gt;TODAY())),"",IF(EOMONTH(EW$4,0)&lt;=Settings!$B$5,N(Settings!$C$29),N(Calc!$AO$156)))</f>
        <v/>
      </c>
      <c r="EY17" s="31">
        <f>IF(OR(Settings!$A$29="",Settings!$F$29="Yes",OR(EOMONTH(EY$4,0)&lt;=Settings!$B$5,EY$4&gt;TODAY())),"",IF(EOMONTH(EX$4,0)&lt;=Settings!$B$5,N(Settings!$C$29),N(Calc!$AO$157)))</f>
        <v/>
      </c>
      <c r="EZ17" s="31">
        <f>IF(OR(Settings!$A$29="",Settings!$F$29="Yes",OR(EOMONTH(EZ$4,0)&lt;=Settings!$B$5,EZ$4&gt;TODAY())),"",IF(EOMONTH(EY$4,0)&lt;=Settings!$B$5,N(Settings!$C$29),N(Calc!$AO$158)))</f>
        <v/>
      </c>
      <c r="FA17" s="31">
        <f>IF(OR(Settings!$A$29="",Settings!$F$29="Yes",OR(EOMONTH(FA$4,0)&lt;=Settings!$B$5,FA$4&gt;TODAY())),"",IF(EOMONTH(EZ$4,0)&lt;=Settings!$B$5,N(Settings!$C$29),N(Calc!$AO$159)))</f>
        <v/>
      </c>
      <c r="FB17" s="31">
        <f>IF(OR(Settings!$A$29="",Settings!$F$29="Yes",OR(EOMONTH(FB$4,0)&lt;=Settings!$B$5,FB$4&gt;TODAY())),"",IF(EOMONTH(FA$4,0)&lt;=Settings!$B$5,N(Settings!$C$29),N(Calc!$AO$160)))</f>
        <v/>
      </c>
      <c r="FC17" s="31">
        <f>IF(OR(Settings!$A$29="",Settings!$F$29="Yes",OR(EOMONTH(FC$4,0)&lt;=Settings!$B$5,FC$4&gt;TODAY())),"",IF(EOMONTH(FB$4,0)&lt;=Settings!$B$5,N(Settings!$C$29),N(Calc!$AO$161)))</f>
        <v/>
      </c>
      <c r="FD17" s="31">
        <f>IF(OR(Settings!$A$29="",Settings!$F$29="Yes",OR(EOMONTH(FD$4,0)&lt;=Settings!$B$5,FD$4&gt;TODAY())),"",IF(EOMONTH(FC$4,0)&lt;=Settings!$B$5,N(Settings!$C$29),N(Calc!$AO$162)))</f>
        <v/>
      </c>
      <c r="FE17" s="31">
        <f>IF(OR(Settings!$A$29="",Settings!$F$29="Yes",OR(EOMONTH(FE$4,0)&lt;=Settings!$B$5,FE$4&gt;TODAY())),"",IF(EOMONTH(FD$4,0)&lt;=Settings!$B$5,N(Settings!$C$29),N(Calc!$AO$163)))</f>
        <v/>
      </c>
      <c r="FF17" s="31">
        <f>IF(OR(Settings!$A$29="",Settings!$F$29="Yes",OR(EOMONTH(FF$4,0)&lt;=Settings!$B$5,FF$4&gt;TODAY())),"",IF(EOMONTH(FE$4,0)&lt;=Settings!$B$5,N(Settings!$C$29),N(Calc!$AO$164)))</f>
        <v/>
      </c>
      <c r="FG17" s="31">
        <f>IF(OR(Settings!$A$29="",Settings!$F$29="Yes",OR(EOMONTH(FG$4,0)&lt;=Settings!$B$5,FG$4&gt;TODAY())),"",IF(EOMONTH(FF$4,0)&lt;=Settings!$B$5,N(Settings!$C$29),N(Calc!$AO$165)))</f>
        <v/>
      </c>
      <c r="FH17" s="31">
        <f>IF(OR(Settings!$A$29="",Settings!$F$29="Yes",OR(EOMONTH(FH$4,0)&lt;=Settings!$B$5,FH$4&gt;TODAY())),"",IF(EOMONTH(FG$4,0)&lt;=Settings!$B$5,N(Settings!$C$29),N(Calc!$AO$166)))</f>
        <v/>
      </c>
      <c r="FI17" s="31">
        <f>IF(OR(Settings!$A$29="",Settings!$F$29="Yes",OR(EOMONTH(FI$4,0)&lt;=Settings!$B$5,FI$4&gt;TODAY())),"",IF(EOMONTH(FH$4,0)&lt;=Settings!$B$5,N(Settings!$C$29),N(Calc!$AO$167)))</f>
        <v/>
      </c>
      <c r="FJ17" s="31">
        <f>IF(OR(Settings!$A$29="",Settings!$F$29="Yes",OR(EOMONTH(FJ$4,0)&lt;=Settings!$B$5,FJ$4&gt;TODAY())),"",IF(EOMONTH(FI$4,0)&lt;=Settings!$B$5,N(Settings!$C$29),N(Calc!$AO$168)))</f>
        <v/>
      </c>
      <c r="FK17" s="31">
        <f>IF(OR(Settings!$A$29="",Settings!$F$29="Yes",OR(EOMONTH(FK$4,0)&lt;=Settings!$B$5,FK$4&gt;TODAY())),"",IF(EOMONTH(FJ$4,0)&lt;=Settings!$B$5,N(Settings!$C$29),N(Calc!$AO$169)))</f>
        <v/>
      </c>
      <c r="FL17" s="31">
        <f>IF(OR(Settings!$A$29="",Settings!$F$29="Yes",OR(EOMONTH(FL$4,0)&lt;=Settings!$B$5,FL$4&gt;TODAY())),"",IF(EOMONTH(FK$4,0)&lt;=Settings!$B$5,N(Settings!$C$29),N(Calc!$AO$170)))</f>
        <v/>
      </c>
      <c r="FM17" s="31">
        <f>IF(OR(Settings!$A$29="",Settings!$F$29="Yes",OR(EOMONTH(FM$4,0)&lt;=Settings!$B$5,FM$4&gt;TODAY())),"",IF(EOMONTH(FL$4,0)&lt;=Settings!$B$5,N(Settings!$C$29),N(Calc!$AO$171)))</f>
        <v/>
      </c>
      <c r="FN17" s="31">
        <f>IF(OR(Settings!$A$29="",Settings!$F$29="Yes",OR(EOMONTH(FN$4,0)&lt;=Settings!$B$5,FN$4&gt;TODAY())),"",IF(EOMONTH(FM$4,0)&lt;=Settings!$B$5,N(Settings!$C$29),N(Calc!$AO$172)))</f>
        <v/>
      </c>
      <c r="FO17" s="31">
        <f>IF(OR(Settings!$A$29="",Settings!$F$29="Yes",OR(EOMONTH(FO$4,0)&lt;=Settings!$B$5,FO$4&gt;TODAY())),"",IF(EOMONTH(FN$4,0)&lt;=Settings!$B$5,N(Settings!$C$29),N(Calc!$AO$173)))</f>
        <v/>
      </c>
      <c r="FP17" s="31">
        <f>IF(OR(Settings!$A$29="",Settings!$F$29="Yes",OR(EOMONTH(FP$4,0)&lt;=Settings!$B$5,FP$4&gt;TODAY())),"",IF(EOMONTH(FO$4,0)&lt;=Settings!$B$5,N(Settings!$C$29),N(Calc!$AO$174)))</f>
        <v/>
      </c>
      <c r="FQ17" s="31">
        <f>IF(OR(Settings!$A$29="",Settings!$F$29="Yes",OR(EOMONTH(FQ$4,0)&lt;=Settings!$B$5,FQ$4&gt;TODAY())),"",IF(EOMONTH(FP$4,0)&lt;=Settings!$B$5,N(Settings!$C$29),N(Calc!$AO$175)))</f>
        <v/>
      </c>
      <c r="FR17" s="31">
        <f>IF(OR(Settings!$A$29="",Settings!$F$29="Yes",OR(EOMONTH(FR$4,0)&lt;=Settings!$B$5,FR$4&gt;TODAY())),"",IF(EOMONTH(FQ$4,0)&lt;=Settings!$B$5,N(Settings!$C$29),N(Calc!$AO$176)))</f>
        <v/>
      </c>
      <c r="FS17" s="31">
        <f>IF(OR(Settings!$A$29="",Settings!$F$29="Yes",OR(EOMONTH(FS$4,0)&lt;=Settings!$B$5,FS$4&gt;TODAY())),"",IF(EOMONTH(FR$4,0)&lt;=Settings!$B$5,N(Settings!$C$29),N(Calc!$AO$177)))</f>
        <v/>
      </c>
      <c r="FT17" s="31">
        <f>IF(OR(Settings!$A$29="",Settings!$F$29="Yes",OR(EOMONTH(FT$4,0)&lt;=Settings!$B$5,FT$4&gt;TODAY())),"",IF(EOMONTH(FS$4,0)&lt;=Settings!$B$5,N(Settings!$C$29),N(Calc!$AO$178)))</f>
        <v/>
      </c>
      <c r="FU17" s="31">
        <f>IF(OR(Settings!$A$29="",Settings!$F$29="Yes",OR(EOMONTH(FU$4,0)&lt;=Settings!$B$5,FU$4&gt;TODAY())),"",IF(EOMONTH(FT$4,0)&lt;=Settings!$B$5,N(Settings!$C$29),N(Calc!$AO$179)))</f>
        <v/>
      </c>
      <c r="FV17" s="31">
        <f>IF(OR(Settings!$A$29="",Settings!$F$29="Yes",OR(EOMONTH(FV$4,0)&lt;=Settings!$B$5,FV$4&gt;TODAY())),"",IF(EOMONTH(FU$4,0)&lt;=Settings!$B$5,N(Settings!$C$29),N(Calc!$AO$180)))</f>
        <v/>
      </c>
      <c r="FW17" s="31">
        <f>IF(OR(Settings!$A$29="",Settings!$F$29="Yes",OR(EOMONTH(FW$4,0)&lt;=Settings!$B$5,FW$4&gt;TODAY())),"",IF(EOMONTH(FV$4,0)&lt;=Settings!$B$5,N(Settings!$C$29),N(Calc!$AO$181)))</f>
        <v/>
      </c>
      <c r="FX17" s="31">
        <f>IF(OR(Settings!$A$29="",Settings!$F$29="Yes",OR(EOMONTH(FX$4,0)&lt;=Settings!$B$5,FX$4&gt;TODAY())),"",IF(EOMONTH(FW$4,0)&lt;=Settings!$B$5,N(Settings!$C$29),N(Calc!$AO$182)))</f>
        <v/>
      </c>
    </row>
    <row r="18">
      <c r="A18" s="15">
        <f>IF(Settings!$A$30="","(unused)",Settings!$A$30&amp;IF(Settings!$E$30="No"," (retired)",""))</f>
        <v/>
      </c>
      <c r="B18" s="26">
        <f>IF(Settings!$A$30="","",IF(Settings!$F$30="Yes","REQUIRED","optional · grey = unchanged")&amp;IF(OR(Settings!$B$30="Card",Settings!$B$30="Loan")," · amount owed",""))</f>
        <v/>
      </c>
      <c r="C18" s="31">
        <f>IF(OR(Settings!$A$30="",Settings!$F$30="Yes",OR(EOMONTH(C$4,0)&lt;=Settings!$B$5,C$4&gt;TODAY())),"",N(Settings!$C$30))</f>
        <v/>
      </c>
      <c r="D18" s="31">
        <f>IF(OR(Settings!$A$30="",Settings!$F$30="Yes",OR(EOMONTH(D$4,0)&lt;=Settings!$B$5,D$4&gt;TODAY())),"",IF(EOMONTH(C$4,0)&lt;=Settings!$B$5,N(Settings!$C$30),N(Calc!$AP$6)))</f>
        <v/>
      </c>
      <c r="E18" s="31">
        <f>IF(OR(Settings!$A$30="",Settings!$F$30="Yes",OR(EOMONTH(E$4,0)&lt;=Settings!$B$5,E$4&gt;TODAY())),"",IF(EOMONTH(D$4,0)&lt;=Settings!$B$5,N(Settings!$C$30),N(Calc!$AP$7)))</f>
        <v/>
      </c>
      <c r="F18" s="31">
        <f>IF(OR(Settings!$A$30="",Settings!$F$30="Yes",OR(EOMONTH(F$4,0)&lt;=Settings!$B$5,F$4&gt;TODAY())),"",IF(EOMONTH(E$4,0)&lt;=Settings!$B$5,N(Settings!$C$30),N(Calc!$AP$8)))</f>
        <v/>
      </c>
      <c r="G18" s="31">
        <f>IF(OR(Settings!$A$30="",Settings!$F$30="Yes",OR(EOMONTH(G$4,0)&lt;=Settings!$B$5,G$4&gt;TODAY())),"",IF(EOMONTH(F$4,0)&lt;=Settings!$B$5,N(Settings!$C$30),N(Calc!$AP$9)))</f>
        <v/>
      </c>
      <c r="H18" s="31">
        <f>IF(OR(Settings!$A$30="",Settings!$F$30="Yes",OR(EOMONTH(H$4,0)&lt;=Settings!$B$5,H$4&gt;TODAY())),"",IF(EOMONTH(G$4,0)&lt;=Settings!$B$5,N(Settings!$C$30),N(Calc!$AP$10)))</f>
        <v/>
      </c>
      <c r="I18" s="31">
        <f>IF(OR(Settings!$A$30="",Settings!$F$30="Yes",OR(EOMONTH(I$4,0)&lt;=Settings!$B$5,I$4&gt;TODAY())),"",IF(EOMONTH(H$4,0)&lt;=Settings!$B$5,N(Settings!$C$30),N(Calc!$AP$11)))</f>
        <v/>
      </c>
      <c r="J18" s="31">
        <f>IF(OR(Settings!$A$30="",Settings!$F$30="Yes",OR(EOMONTH(J$4,0)&lt;=Settings!$B$5,J$4&gt;TODAY())),"",IF(EOMONTH(I$4,0)&lt;=Settings!$B$5,N(Settings!$C$30),N(Calc!$AP$12)))</f>
        <v/>
      </c>
      <c r="K18" s="31">
        <f>IF(OR(Settings!$A$30="",Settings!$F$30="Yes",OR(EOMONTH(K$4,0)&lt;=Settings!$B$5,K$4&gt;TODAY())),"",IF(EOMONTH(J$4,0)&lt;=Settings!$B$5,N(Settings!$C$30),N(Calc!$AP$13)))</f>
        <v/>
      </c>
      <c r="L18" s="31">
        <f>IF(OR(Settings!$A$30="",Settings!$F$30="Yes",OR(EOMONTH(L$4,0)&lt;=Settings!$B$5,L$4&gt;TODAY())),"",IF(EOMONTH(K$4,0)&lt;=Settings!$B$5,N(Settings!$C$30),N(Calc!$AP$14)))</f>
        <v/>
      </c>
      <c r="M18" s="31">
        <f>IF(OR(Settings!$A$30="",Settings!$F$30="Yes",OR(EOMONTH(M$4,0)&lt;=Settings!$B$5,M$4&gt;TODAY())),"",IF(EOMONTH(L$4,0)&lt;=Settings!$B$5,N(Settings!$C$30),N(Calc!$AP$15)))</f>
        <v/>
      </c>
      <c r="N18" s="31">
        <f>IF(OR(Settings!$A$30="",Settings!$F$30="Yes",OR(EOMONTH(N$4,0)&lt;=Settings!$B$5,N$4&gt;TODAY())),"",IF(EOMONTH(M$4,0)&lt;=Settings!$B$5,N(Settings!$C$30),N(Calc!$AP$16)))</f>
        <v/>
      </c>
      <c r="O18" s="31">
        <f>IF(OR(Settings!$A$30="",Settings!$F$30="Yes",OR(EOMONTH(O$4,0)&lt;=Settings!$B$5,O$4&gt;TODAY())),"",IF(EOMONTH(N$4,0)&lt;=Settings!$B$5,N(Settings!$C$30),N(Calc!$AP$17)))</f>
        <v/>
      </c>
      <c r="P18" s="31">
        <f>IF(OR(Settings!$A$30="",Settings!$F$30="Yes",OR(EOMONTH(P$4,0)&lt;=Settings!$B$5,P$4&gt;TODAY())),"",IF(EOMONTH(O$4,0)&lt;=Settings!$B$5,N(Settings!$C$30),N(Calc!$AP$18)))</f>
        <v/>
      </c>
      <c r="Q18" s="31">
        <f>IF(OR(Settings!$A$30="",Settings!$F$30="Yes",OR(EOMONTH(Q$4,0)&lt;=Settings!$B$5,Q$4&gt;TODAY())),"",IF(EOMONTH(P$4,0)&lt;=Settings!$B$5,N(Settings!$C$30),N(Calc!$AP$19)))</f>
        <v/>
      </c>
      <c r="R18" s="31">
        <f>IF(OR(Settings!$A$30="",Settings!$F$30="Yes",OR(EOMONTH(R$4,0)&lt;=Settings!$B$5,R$4&gt;TODAY())),"",IF(EOMONTH(Q$4,0)&lt;=Settings!$B$5,N(Settings!$C$30),N(Calc!$AP$20)))</f>
        <v/>
      </c>
      <c r="S18" s="31">
        <f>IF(OR(Settings!$A$30="",Settings!$F$30="Yes",OR(EOMONTH(S$4,0)&lt;=Settings!$B$5,S$4&gt;TODAY())),"",IF(EOMONTH(R$4,0)&lt;=Settings!$B$5,N(Settings!$C$30),N(Calc!$AP$21)))</f>
        <v/>
      </c>
      <c r="T18" s="31">
        <f>IF(OR(Settings!$A$30="",Settings!$F$30="Yes",OR(EOMONTH(T$4,0)&lt;=Settings!$B$5,T$4&gt;TODAY())),"",IF(EOMONTH(S$4,0)&lt;=Settings!$B$5,N(Settings!$C$30),N(Calc!$AP$22)))</f>
        <v/>
      </c>
      <c r="U18" s="31">
        <f>IF(OR(Settings!$A$30="",Settings!$F$30="Yes",OR(EOMONTH(U$4,0)&lt;=Settings!$B$5,U$4&gt;TODAY())),"",IF(EOMONTH(T$4,0)&lt;=Settings!$B$5,N(Settings!$C$30),N(Calc!$AP$23)))</f>
        <v/>
      </c>
      <c r="V18" s="31">
        <f>IF(OR(Settings!$A$30="",Settings!$F$30="Yes",OR(EOMONTH(V$4,0)&lt;=Settings!$B$5,V$4&gt;TODAY())),"",IF(EOMONTH(U$4,0)&lt;=Settings!$B$5,N(Settings!$C$30),N(Calc!$AP$24)))</f>
        <v/>
      </c>
      <c r="W18" s="31">
        <f>IF(OR(Settings!$A$30="",Settings!$F$30="Yes",OR(EOMONTH(W$4,0)&lt;=Settings!$B$5,W$4&gt;TODAY())),"",IF(EOMONTH(V$4,0)&lt;=Settings!$B$5,N(Settings!$C$30),N(Calc!$AP$25)))</f>
        <v/>
      </c>
      <c r="X18" s="31">
        <f>IF(OR(Settings!$A$30="",Settings!$F$30="Yes",OR(EOMONTH(X$4,0)&lt;=Settings!$B$5,X$4&gt;TODAY())),"",IF(EOMONTH(W$4,0)&lt;=Settings!$B$5,N(Settings!$C$30),N(Calc!$AP$26)))</f>
        <v/>
      </c>
      <c r="Y18" s="31">
        <f>IF(OR(Settings!$A$30="",Settings!$F$30="Yes",OR(EOMONTH(Y$4,0)&lt;=Settings!$B$5,Y$4&gt;TODAY())),"",IF(EOMONTH(X$4,0)&lt;=Settings!$B$5,N(Settings!$C$30),N(Calc!$AP$27)))</f>
        <v/>
      </c>
      <c r="Z18" s="31">
        <f>IF(OR(Settings!$A$30="",Settings!$F$30="Yes",OR(EOMONTH(Z$4,0)&lt;=Settings!$B$5,Z$4&gt;TODAY())),"",IF(EOMONTH(Y$4,0)&lt;=Settings!$B$5,N(Settings!$C$30),N(Calc!$AP$28)))</f>
        <v/>
      </c>
      <c r="AA18" s="31">
        <f>IF(OR(Settings!$A$30="",Settings!$F$30="Yes",OR(EOMONTH(AA$4,0)&lt;=Settings!$B$5,AA$4&gt;TODAY())),"",IF(EOMONTH(Z$4,0)&lt;=Settings!$B$5,N(Settings!$C$30),N(Calc!$AP$29)))</f>
        <v/>
      </c>
      <c r="AB18" s="31">
        <f>IF(OR(Settings!$A$30="",Settings!$F$30="Yes",OR(EOMONTH(AB$4,0)&lt;=Settings!$B$5,AB$4&gt;TODAY())),"",IF(EOMONTH(AA$4,0)&lt;=Settings!$B$5,N(Settings!$C$30),N(Calc!$AP$30)))</f>
        <v/>
      </c>
      <c r="AC18" s="31">
        <f>IF(OR(Settings!$A$30="",Settings!$F$30="Yes",OR(EOMONTH(AC$4,0)&lt;=Settings!$B$5,AC$4&gt;TODAY())),"",IF(EOMONTH(AB$4,0)&lt;=Settings!$B$5,N(Settings!$C$30),N(Calc!$AP$31)))</f>
        <v/>
      </c>
      <c r="AD18" s="31">
        <f>IF(OR(Settings!$A$30="",Settings!$F$30="Yes",OR(EOMONTH(AD$4,0)&lt;=Settings!$B$5,AD$4&gt;TODAY())),"",IF(EOMONTH(AC$4,0)&lt;=Settings!$B$5,N(Settings!$C$30),N(Calc!$AP$32)))</f>
        <v/>
      </c>
      <c r="AE18" s="31">
        <f>IF(OR(Settings!$A$30="",Settings!$F$30="Yes",OR(EOMONTH(AE$4,0)&lt;=Settings!$B$5,AE$4&gt;TODAY())),"",IF(EOMONTH(AD$4,0)&lt;=Settings!$B$5,N(Settings!$C$30),N(Calc!$AP$33)))</f>
        <v/>
      </c>
      <c r="AF18" s="31">
        <f>IF(OR(Settings!$A$30="",Settings!$F$30="Yes",OR(EOMONTH(AF$4,0)&lt;=Settings!$B$5,AF$4&gt;TODAY())),"",IF(EOMONTH(AE$4,0)&lt;=Settings!$B$5,N(Settings!$C$30),N(Calc!$AP$34)))</f>
        <v/>
      </c>
      <c r="AG18" s="31">
        <f>IF(OR(Settings!$A$30="",Settings!$F$30="Yes",OR(EOMONTH(AG$4,0)&lt;=Settings!$B$5,AG$4&gt;TODAY())),"",IF(EOMONTH(AF$4,0)&lt;=Settings!$B$5,N(Settings!$C$30),N(Calc!$AP$35)))</f>
        <v/>
      </c>
      <c r="AH18" s="31">
        <f>IF(OR(Settings!$A$30="",Settings!$F$30="Yes",OR(EOMONTH(AH$4,0)&lt;=Settings!$B$5,AH$4&gt;TODAY())),"",IF(EOMONTH(AG$4,0)&lt;=Settings!$B$5,N(Settings!$C$30),N(Calc!$AP$36)))</f>
        <v/>
      </c>
      <c r="AI18" s="31">
        <f>IF(OR(Settings!$A$30="",Settings!$F$30="Yes",OR(EOMONTH(AI$4,0)&lt;=Settings!$B$5,AI$4&gt;TODAY())),"",IF(EOMONTH(AH$4,0)&lt;=Settings!$B$5,N(Settings!$C$30),N(Calc!$AP$37)))</f>
        <v/>
      </c>
      <c r="AJ18" s="31">
        <f>IF(OR(Settings!$A$30="",Settings!$F$30="Yes",OR(EOMONTH(AJ$4,0)&lt;=Settings!$B$5,AJ$4&gt;TODAY())),"",IF(EOMONTH(AI$4,0)&lt;=Settings!$B$5,N(Settings!$C$30),N(Calc!$AP$38)))</f>
        <v/>
      </c>
      <c r="AK18" s="31">
        <f>IF(OR(Settings!$A$30="",Settings!$F$30="Yes",OR(EOMONTH(AK$4,0)&lt;=Settings!$B$5,AK$4&gt;TODAY())),"",IF(EOMONTH(AJ$4,0)&lt;=Settings!$B$5,N(Settings!$C$30),N(Calc!$AP$39)))</f>
        <v/>
      </c>
      <c r="AL18" s="31">
        <f>IF(OR(Settings!$A$30="",Settings!$F$30="Yes",OR(EOMONTH(AL$4,0)&lt;=Settings!$B$5,AL$4&gt;TODAY())),"",IF(EOMONTH(AK$4,0)&lt;=Settings!$B$5,N(Settings!$C$30),N(Calc!$AP$40)))</f>
        <v/>
      </c>
      <c r="AM18" s="31">
        <f>IF(OR(Settings!$A$30="",Settings!$F$30="Yes",OR(EOMONTH(AM$4,0)&lt;=Settings!$B$5,AM$4&gt;TODAY())),"",IF(EOMONTH(AL$4,0)&lt;=Settings!$B$5,N(Settings!$C$30),N(Calc!$AP$41)))</f>
        <v/>
      </c>
      <c r="AN18" s="31">
        <f>IF(OR(Settings!$A$30="",Settings!$F$30="Yes",OR(EOMONTH(AN$4,0)&lt;=Settings!$B$5,AN$4&gt;TODAY())),"",IF(EOMONTH(AM$4,0)&lt;=Settings!$B$5,N(Settings!$C$30),N(Calc!$AP$42)))</f>
        <v/>
      </c>
      <c r="AO18" s="31">
        <f>IF(OR(Settings!$A$30="",Settings!$F$30="Yes",OR(EOMONTH(AO$4,0)&lt;=Settings!$B$5,AO$4&gt;TODAY())),"",IF(EOMONTH(AN$4,0)&lt;=Settings!$B$5,N(Settings!$C$30),N(Calc!$AP$43)))</f>
        <v/>
      </c>
      <c r="AP18" s="31">
        <f>IF(OR(Settings!$A$30="",Settings!$F$30="Yes",OR(EOMONTH(AP$4,0)&lt;=Settings!$B$5,AP$4&gt;TODAY())),"",IF(EOMONTH(AO$4,0)&lt;=Settings!$B$5,N(Settings!$C$30),N(Calc!$AP$44)))</f>
        <v/>
      </c>
      <c r="AQ18" s="31">
        <f>IF(OR(Settings!$A$30="",Settings!$F$30="Yes",OR(EOMONTH(AQ$4,0)&lt;=Settings!$B$5,AQ$4&gt;TODAY())),"",IF(EOMONTH(AP$4,0)&lt;=Settings!$B$5,N(Settings!$C$30),N(Calc!$AP$45)))</f>
        <v/>
      </c>
      <c r="AR18" s="31">
        <f>IF(OR(Settings!$A$30="",Settings!$F$30="Yes",OR(EOMONTH(AR$4,0)&lt;=Settings!$B$5,AR$4&gt;TODAY())),"",IF(EOMONTH(AQ$4,0)&lt;=Settings!$B$5,N(Settings!$C$30),N(Calc!$AP$46)))</f>
        <v/>
      </c>
      <c r="AS18" s="31">
        <f>IF(OR(Settings!$A$30="",Settings!$F$30="Yes",OR(EOMONTH(AS$4,0)&lt;=Settings!$B$5,AS$4&gt;TODAY())),"",IF(EOMONTH(AR$4,0)&lt;=Settings!$B$5,N(Settings!$C$30),N(Calc!$AP$47)))</f>
        <v/>
      </c>
      <c r="AT18" s="31">
        <f>IF(OR(Settings!$A$30="",Settings!$F$30="Yes",OR(EOMONTH(AT$4,0)&lt;=Settings!$B$5,AT$4&gt;TODAY())),"",IF(EOMONTH(AS$4,0)&lt;=Settings!$B$5,N(Settings!$C$30),N(Calc!$AP$48)))</f>
        <v/>
      </c>
      <c r="AU18" s="31">
        <f>IF(OR(Settings!$A$30="",Settings!$F$30="Yes",OR(EOMONTH(AU$4,0)&lt;=Settings!$B$5,AU$4&gt;TODAY())),"",IF(EOMONTH(AT$4,0)&lt;=Settings!$B$5,N(Settings!$C$30),N(Calc!$AP$49)))</f>
        <v/>
      </c>
      <c r="AV18" s="31">
        <f>IF(OR(Settings!$A$30="",Settings!$F$30="Yes",OR(EOMONTH(AV$4,0)&lt;=Settings!$B$5,AV$4&gt;TODAY())),"",IF(EOMONTH(AU$4,0)&lt;=Settings!$B$5,N(Settings!$C$30),N(Calc!$AP$50)))</f>
        <v/>
      </c>
      <c r="AW18" s="31">
        <f>IF(OR(Settings!$A$30="",Settings!$F$30="Yes",OR(EOMONTH(AW$4,0)&lt;=Settings!$B$5,AW$4&gt;TODAY())),"",IF(EOMONTH(AV$4,0)&lt;=Settings!$B$5,N(Settings!$C$30),N(Calc!$AP$51)))</f>
        <v/>
      </c>
      <c r="AX18" s="31">
        <f>IF(OR(Settings!$A$30="",Settings!$F$30="Yes",OR(EOMONTH(AX$4,0)&lt;=Settings!$B$5,AX$4&gt;TODAY())),"",IF(EOMONTH(AW$4,0)&lt;=Settings!$B$5,N(Settings!$C$30),N(Calc!$AP$52)))</f>
        <v/>
      </c>
      <c r="AY18" s="31">
        <f>IF(OR(Settings!$A$30="",Settings!$F$30="Yes",OR(EOMONTH(AY$4,0)&lt;=Settings!$B$5,AY$4&gt;TODAY())),"",IF(EOMONTH(AX$4,0)&lt;=Settings!$B$5,N(Settings!$C$30),N(Calc!$AP$53)))</f>
        <v/>
      </c>
      <c r="AZ18" s="31">
        <f>IF(OR(Settings!$A$30="",Settings!$F$30="Yes",OR(EOMONTH(AZ$4,0)&lt;=Settings!$B$5,AZ$4&gt;TODAY())),"",IF(EOMONTH(AY$4,0)&lt;=Settings!$B$5,N(Settings!$C$30),N(Calc!$AP$54)))</f>
        <v/>
      </c>
      <c r="BA18" s="31">
        <f>IF(OR(Settings!$A$30="",Settings!$F$30="Yes",OR(EOMONTH(BA$4,0)&lt;=Settings!$B$5,BA$4&gt;TODAY())),"",IF(EOMONTH(AZ$4,0)&lt;=Settings!$B$5,N(Settings!$C$30),N(Calc!$AP$55)))</f>
        <v/>
      </c>
      <c r="BB18" s="31">
        <f>IF(OR(Settings!$A$30="",Settings!$F$30="Yes",OR(EOMONTH(BB$4,0)&lt;=Settings!$B$5,BB$4&gt;TODAY())),"",IF(EOMONTH(BA$4,0)&lt;=Settings!$B$5,N(Settings!$C$30),N(Calc!$AP$56)))</f>
        <v/>
      </c>
      <c r="BC18" s="31">
        <f>IF(OR(Settings!$A$30="",Settings!$F$30="Yes",OR(EOMONTH(BC$4,0)&lt;=Settings!$B$5,BC$4&gt;TODAY())),"",IF(EOMONTH(BB$4,0)&lt;=Settings!$B$5,N(Settings!$C$30),N(Calc!$AP$57)))</f>
        <v/>
      </c>
      <c r="BD18" s="31">
        <f>IF(OR(Settings!$A$30="",Settings!$F$30="Yes",OR(EOMONTH(BD$4,0)&lt;=Settings!$B$5,BD$4&gt;TODAY())),"",IF(EOMONTH(BC$4,0)&lt;=Settings!$B$5,N(Settings!$C$30),N(Calc!$AP$58)))</f>
        <v/>
      </c>
      <c r="BE18" s="31">
        <f>IF(OR(Settings!$A$30="",Settings!$F$30="Yes",OR(EOMONTH(BE$4,0)&lt;=Settings!$B$5,BE$4&gt;TODAY())),"",IF(EOMONTH(BD$4,0)&lt;=Settings!$B$5,N(Settings!$C$30),N(Calc!$AP$59)))</f>
        <v/>
      </c>
      <c r="BF18" s="31">
        <f>IF(OR(Settings!$A$30="",Settings!$F$30="Yes",OR(EOMONTH(BF$4,0)&lt;=Settings!$B$5,BF$4&gt;TODAY())),"",IF(EOMONTH(BE$4,0)&lt;=Settings!$B$5,N(Settings!$C$30),N(Calc!$AP$60)))</f>
        <v/>
      </c>
      <c r="BG18" s="31">
        <f>IF(OR(Settings!$A$30="",Settings!$F$30="Yes",OR(EOMONTH(BG$4,0)&lt;=Settings!$B$5,BG$4&gt;TODAY())),"",IF(EOMONTH(BF$4,0)&lt;=Settings!$B$5,N(Settings!$C$30),N(Calc!$AP$61)))</f>
        <v/>
      </c>
      <c r="BH18" s="31">
        <f>IF(OR(Settings!$A$30="",Settings!$F$30="Yes",OR(EOMONTH(BH$4,0)&lt;=Settings!$B$5,BH$4&gt;TODAY())),"",IF(EOMONTH(BG$4,0)&lt;=Settings!$B$5,N(Settings!$C$30),N(Calc!$AP$62)))</f>
        <v/>
      </c>
      <c r="BI18" s="31">
        <f>IF(OR(Settings!$A$30="",Settings!$F$30="Yes",OR(EOMONTH(BI$4,0)&lt;=Settings!$B$5,BI$4&gt;TODAY())),"",IF(EOMONTH(BH$4,0)&lt;=Settings!$B$5,N(Settings!$C$30),N(Calc!$AP$63)))</f>
        <v/>
      </c>
      <c r="BJ18" s="31">
        <f>IF(OR(Settings!$A$30="",Settings!$F$30="Yes",OR(EOMONTH(BJ$4,0)&lt;=Settings!$B$5,BJ$4&gt;TODAY())),"",IF(EOMONTH(BI$4,0)&lt;=Settings!$B$5,N(Settings!$C$30),N(Calc!$AP$64)))</f>
        <v/>
      </c>
      <c r="BK18" s="31">
        <f>IF(OR(Settings!$A$30="",Settings!$F$30="Yes",OR(EOMONTH(BK$4,0)&lt;=Settings!$B$5,BK$4&gt;TODAY())),"",IF(EOMONTH(BJ$4,0)&lt;=Settings!$B$5,N(Settings!$C$30),N(Calc!$AP$65)))</f>
        <v/>
      </c>
      <c r="BL18" s="31">
        <f>IF(OR(Settings!$A$30="",Settings!$F$30="Yes",OR(EOMONTH(BL$4,0)&lt;=Settings!$B$5,BL$4&gt;TODAY())),"",IF(EOMONTH(BK$4,0)&lt;=Settings!$B$5,N(Settings!$C$30),N(Calc!$AP$66)))</f>
        <v/>
      </c>
      <c r="BM18" s="31">
        <f>IF(OR(Settings!$A$30="",Settings!$F$30="Yes",OR(EOMONTH(BM$4,0)&lt;=Settings!$B$5,BM$4&gt;TODAY())),"",IF(EOMONTH(BL$4,0)&lt;=Settings!$B$5,N(Settings!$C$30),N(Calc!$AP$67)))</f>
        <v/>
      </c>
      <c r="BN18" s="31">
        <f>IF(OR(Settings!$A$30="",Settings!$F$30="Yes",OR(EOMONTH(BN$4,0)&lt;=Settings!$B$5,BN$4&gt;TODAY())),"",IF(EOMONTH(BM$4,0)&lt;=Settings!$B$5,N(Settings!$C$30),N(Calc!$AP$68)))</f>
        <v/>
      </c>
      <c r="BO18" s="31">
        <f>IF(OR(Settings!$A$30="",Settings!$F$30="Yes",OR(EOMONTH(BO$4,0)&lt;=Settings!$B$5,BO$4&gt;TODAY())),"",IF(EOMONTH(BN$4,0)&lt;=Settings!$B$5,N(Settings!$C$30),N(Calc!$AP$69)))</f>
        <v/>
      </c>
      <c r="BP18" s="31">
        <f>IF(OR(Settings!$A$30="",Settings!$F$30="Yes",OR(EOMONTH(BP$4,0)&lt;=Settings!$B$5,BP$4&gt;TODAY())),"",IF(EOMONTH(BO$4,0)&lt;=Settings!$B$5,N(Settings!$C$30),N(Calc!$AP$70)))</f>
        <v/>
      </c>
      <c r="BQ18" s="31">
        <f>IF(OR(Settings!$A$30="",Settings!$F$30="Yes",OR(EOMONTH(BQ$4,0)&lt;=Settings!$B$5,BQ$4&gt;TODAY())),"",IF(EOMONTH(BP$4,0)&lt;=Settings!$B$5,N(Settings!$C$30),N(Calc!$AP$71)))</f>
        <v/>
      </c>
      <c r="BR18" s="31">
        <f>IF(OR(Settings!$A$30="",Settings!$F$30="Yes",OR(EOMONTH(BR$4,0)&lt;=Settings!$B$5,BR$4&gt;TODAY())),"",IF(EOMONTH(BQ$4,0)&lt;=Settings!$B$5,N(Settings!$C$30),N(Calc!$AP$72)))</f>
        <v/>
      </c>
      <c r="BS18" s="31">
        <f>IF(OR(Settings!$A$30="",Settings!$F$30="Yes",OR(EOMONTH(BS$4,0)&lt;=Settings!$B$5,BS$4&gt;TODAY())),"",IF(EOMONTH(BR$4,0)&lt;=Settings!$B$5,N(Settings!$C$30),N(Calc!$AP$73)))</f>
        <v/>
      </c>
      <c r="BT18" s="31">
        <f>IF(OR(Settings!$A$30="",Settings!$F$30="Yes",OR(EOMONTH(BT$4,0)&lt;=Settings!$B$5,BT$4&gt;TODAY())),"",IF(EOMONTH(BS$4,0)&lt;=Settings!$B$5,N(Settings!$C$30),N(Calc!$AP$74)))</f>
        <v/>
      </c>
      <c r="BU18" s="31">
        <f>IF(OR(Settings!$A$30="",Settings!$F$30="Yes",OR(EOMONTH(BU$4,0)&lt;=Settings!$B$5,BU$4&gt;TODAY())),"",IF(EOMONTH(BT$4,0)&lt;=Settings!$B$5,N(Settings!$C$30),N(Calc!$AP$75)))</f>
        <v/>
      </c>
      <c r="BV18" s="31">
        <f>IF(OR(Settings!$A$30="",Settings!$F$30="Yes",OR(EOMONTH(BV$4,0)&lt;=Settings!$B$5,BV$4&gt;TODAY())),"",IF(EOMONTH(BU$4,0)&lt;=Settings!$B$5,N(Settings!$C$30),N(Calc!$AP$76)))</f>
        <v/>
      </c>
      <c r="BW18" s="31">
        <f>IF(OR(Settings!$A$30="",Settings!$F$30="Yes",OR(EOMONTH(BW$4,0)&lt;=Settings!$B$5,BW$4&gt;TODAY())),"",IF(EOMONTH(BV$4,0)&lt;=Settings!$B$5,N(Settings!$C$30),N(Calc!$AP$77)))</f>
        <v/>
      </c>
      <c r="BX18" s="31">
        <f>IF(OR(Settings!$A$30="",Settings!$F$30="Yes",OR(EOMONTH(BX$4,0)&lt;=Settings!$B$5,BX$4&gt;TODAY())),"",IF(EOMONTH(BW$4,0)&lt;=Settings!$B$5,N(Settings!$C$30),N(Calc!$AP$78)))</f>
        <v/>
      </c>
      <c r="BY18" s="31">
        <f>IF(OR(Settings!$A$30="",Settings!$F$30="Yes",OR(EOMONTH(BY$4,0)&lt;=Settings!$B$5,BY$4&gt;TODAY())),"",IF(EOMONTH(BX$4,0)&lt;=Settings!$B$5,N(Settings!$C$30),N(Calc!$AP$79)))</f>
        <v/>
      </c>
      <c r="BZ18" s="31">
        <f>IF(OR(Settings!$A$30="",Settings!$F$30="Yes",OR(EOMONTH(BZ$4,0)&lt;=Settings!$B$5,BZ$4&gt;TODAY())),"",IF(EOMONTH(BY$4,0)&lt;=Settings!$B$5,N(Settings!$C$30),N(Calc!$AP$80)))</f>
        <v/>
      </c>
      <c r="CA18" s="31">
        <f>IF(OR(Settings!$A$30="",Settings!$F$30="Yes",OR(EOMONTH(CA$4,0)&lt;=Settings!$B$5,CA$4&gt;TODAY())),"",IF(EOMONTH(BZ$4,0)&lt;=Settings!$B$5,N(Settings!$C$30),N(Calc!$AP$81)))</f>
        <v/>
      </c>
      <c r="CB18" s="31">
        <f>IF(OR(Settings!$A$30="",Settings!$F$30="Yes",OR(EOMONTH(CB$4,0)&lt;=Settings!$B$5,CB$4&gt;TODAY())),"",IF(EOMONTH(CA$4,0)&lt;=Settings!$B$5,N(Settings!$C$30),N(Calc!$AP$82)))</f>
        <v/>
      </c>
      <c r="CC18" s="31">
        <f>IF(OR(Settings!$A$30="",Settings!$F$30="Yes",OR(EOMONTH(CC$4,0)&lt;=Settings!$B$5,CC$4&gt;TODAY())),"",IF(EOMONTH(CB$4,0)&lt;=Settings!$B$5,N(Settings!$C$30),N(Calc!$AP$83)))</f>
        <v/>
      </c>
      <c r="CD18" s="31">
        <f>IF(OR(Settings!$A$30="",Settings!$F$30="Yes",OR(EOMONTH(CD$4,0)&lt;=Settings!$B$5,CD$4&gt;TODAY())),"",IF(EOMONTH(CC$4,0)&lt;=Settings!$B$5,N(Settings!$C$30),N(Calc!$AP$84)))</f>
        <v/>
      </c>
      <c r="CE18" s="31">
        <f>IF(OR(Settings!$A$30="",Settings!$F$30="Yes",OR(EOMONTH(CE$4,0)&lt;=Settings!$B$5,CE$4&gt;TODAY())),"",IF(EOMONTH(CD$4,0)&lt;=Settings!$B$5,N(Settings!$C$30),N(Calc!$AP$85)))</f>
        <v/>
      </c>
      <c r="CF18" s="31">
        <f>IF(OR(Settings!$A$30="",Settings!$F$30="Yes",OR(EOMONTH(CF$4,0)&lt;=Settings!$B$5,CF$4&gt;TODAY())),"",IF(EOMONTH(CE$4,0)&lt;=Settings!$B$5,N(Settings!$C$30),N(Calc!$AP$86)))</f>
        <v/>
      </c>
      <c r="CG18" s="31">
        <f>IF(OR(Settings!$A$30="",Settings!$F$30="Yes",OR(EOMONTH(CG$4,0)&lt;=Settings!$B$5,CG$4&gt;TODAY())),"",IF(EOMONTH(CF$4,0)&lt;=Settings!$B$5,N(Settings!$C$30),N(Calc!$AP$87)))</f>
        <v/>
      </c>
      <c r="CH18" s="31">
        <f>IF(OR(Settings!$A$30="",Settings!$F$30="Yes",OR(EOMONTH(CH$4,0)&lt;=Settings!$B$5,CH$4&gt;TODAY())),"",IF(EOMONTH(CG$4,0)&lt;=Settings!$B$5,N(Settings!$C$30),N(Calc!$AP$88)))</f>
        <v/>
      </c>
      <c r="CI18" s="31">
        <f>IF(OR(Settings!$A$30="",Settings!$F$30="Yes",OR(EOMONTH(CI$4,0)&lt;=Settings!$B$5,CI$4&gt;TODAY())),"",IF(EOMONTH(CH$4,0)&lt;=Settings!$B$5,N(Settings!$C$30),N(Calc!$AP$89)))</f>
        <v/>
      </c>
      <c r="CJ18" s="31">
        <f>IF(OR(Settings!$A$30="",Settings!$F$30="Yes",OR(EOMONTH(CJ$4,0)&lt;=Settings!$B$5,CJ$4&gt;TODAY())),"",IF(EOMONTH(CI$4,0)&lt;=Settings!$B$5,N(Settings!$C$30),N(Calc!$AP$90)))</f>
        <v/>
      </c>
      <c r="CK18" s="31">
        <f>IF(OR(Settings!$A$30="",Settings!$F$30="Yes",OR(EOMONTH(CK$4,0)&lt;=Settings!$B$5,CK$4&gt;TODAY())),"",IF(EOMONTH(CJ$4,0)&lt;=Settings!$B$5,N(Settings!$C$30),N(Calc!$AP$91)))</f>
        <v/>
      </c>
      <c r="CL18" s="31">
        <f>IF(OR(Settings!$A$30="",Settings!$F$30="Yes",OR(EOMONTH(CL$4,0)&lt;=Settings!$B$5,CL$4&gt;TODAY())),"",IF(EOMONTH(CK$4,0)&lt;=Settings!$B$5,N(Settings!$C$30),N(Calc!$AP$92)))</f>
        <v/>
      </c>
      <c r="CM18" s="31">
        <f>IF(OR(Settings!$A$30="",Settings!$F$30="Yes",OR(EOMONTH(CM$4,0)&lt;=Settings!$B$5,CM$4&gt;TODAY())),"",IF(EOMONTH(CL$4,0)&lt;=Settings!$B$5,N(Settings!$C$30),N(Calc!$AP$93)))</f>
        <v/>
      </c>
      <c r="CN18" s="31">
        <f>IF(OR(Settings!$A$30="",Settings!$F$30="Yes",OR(EOMONTH(CN$4,0)&lt;=Settings!$B$5,CN$4&gt;TODAY())),"",IF(EOMONTH(CM$4,0)&lt;=Settings!$B$5,N(Settings!$C$30),N(Calc!$AP$94)))</f>
        <v/>
      </c>
      <c r="CO18" s="31">
        <f>IF(OR(Settings!$A$30="",Settings!$F$30="Yes",OR(EOMONTH(CO$4,0)&lt;=Settings!$B$5,CO$4&gt;TODAY())),"",IF(EOMONTH(CN$4,0)&lt;=Settings!$B$5,N(Settings!$C$30),N(Calc!$AP$95)))</f>
        <v/>
      </c>
      <c r="CP18" s="31">
        <f>IF(OR(Settings!$A$30="",Settings!$F$30="Yes",OR(EOMONTH(CP$4,0)&lt;=Settings!$B$5,CP$4&gt;TODAY())),"",IF(EOMONTH(CO$4,0)&lt;=Settings!$B$5,N(Settings!$C$30),N(Calc!$AP$96)))</f>
        <v/>
      </c>
      <c r="CQ18" s="31">
        <f>IF(OR(Settings!$A$30="",Settings!$F$30="Yes",OR(EOMONTH(CQ$4,0)&lt;=Settings!$B$5,CQ$4&gt;TODAY())),"",IF(EOMONTH(CP$4,0)&lt;=Settings!$B$5,N(Settings!$C$30),N(Calc!$AP$97)))</f>
        <v/>
      </c>
      <c r="CR18" s="31">
        <f>IF(OR(Settings!$A$30="",Settings!$F$30="Yes",OR(EOMONTH(CR$4,0)&lt;=Settings!$B$5,CR$4&gt;TODAY())),"",IF(EOMONTH(CQ$4,0)&lt;=Settings!$B$5,N(Settings!$C$30),N(Calc!$AP$98)))</f>
        <v/>
      </c>
      <c r="CS18" s="31">
        <f>IF(OR(Settings!$A$30="",Settings!$F$30="Yes",OR(EOMONTH(CS$4,0)&lt;=Settings!$B$5,CS$4&gt;TODAY())),"",IF(EOMONTH(CR$4,0)&lt;=Settings!$B$5,N(Settings!$C$30),N(Calc!$AP$99)))</f>
        <v/>
      </c>
      <c r="CT18" s="31">
        <f>IF(OR(Settings!$A$30="",Settings!$F$30="Yes",OR(EOMONTH(CT$4,0)&lt;=Settings!$B$5,CT$4&gt;TODAY())),"",IF(EOMONTH(CS$4,0)&lt;=Settings!$B$5,N(Settings!$C$30),N(Calc!$AP$100)))</f>
        <v/>
      </c>
      <c r="CU18" s="31">
        <f>IF(OR(Settings!$A$30="",Settings!$F$30="Yes",OR(EOMONTH(CU$4,0)&lt;=Settings!$B$5,CU$4&gt;TODAY())),"",IF(EOMONTH(CT$4,0)&lt;=Settings!$B$5,N(Settings!$C$30),N(Calc!$AP$101)))</f>
        <v/>
      </c>
      <c r="CV18" s="31">
        <f>IF(OR(Settings!$A$30="",Settings!$F$30="Yes",OR(EOMONTH(CV$4,0)&lt;=Settings!$B$5,CV$4&gt;TODAY())),"",IF(EOMONTH(CU$4,0)&lt;=Settings!$B$5,N(Settings!$C$30),N(Calc!$AP$102)))</f>
        <v/>
      </c>
      <c r="CW18" s="31">
        <f>IF(OR(Settings!$A$30="",Settings!$F$30="Yes",OR(EOMONTH(CW$4,0)&lt;=Settings!$B$5,CW$4&gt;TODAY())),"",IF(EOMONTH(CV$4,0)&lt;=Settings!$B$5,N(Settings!$C$30),N(Calc!$AP$103)))</f>
        <v/>
      </c>
      <c r="CX18" s="31">
        <f>IF(OR(Settings!$A$30="",Settings!$F$30="Yes",OR(EOMONTH(CX$4,0)&lt;=Settings!$B$5,CX$4&gt;TODAY())),"",IF(EOMONTH(CW$4,0)&lt;=Settings!$B$5,N(Settings!$C$30),N(Calc!$AP$104)))</f>
        <v/>
      </c>
      <c r="CY18" s="31">
        <f>IF(OR(Settings!$A$30="",Settings!$F$30="Yes",OR(EOMONTH(CY$4,0)&lt;=Settings!$B$5,CY$4&gt;TODAY())),"",IF(EOMONTH(CX$4,0)&lt;=Settings!$B$5,N(Settings!$C$30),N(Calc!$AP$105)))</f>
        <v/>
      </c>
      <c r="CZ18" s="31">
        <f>IF(OR(Settings!$A$30="",Settings!$F$30="Yes",OR(EOMONTH(CZ$4,0)&lt;=Settings!$B$5,CZ$4&gt;TODAY())),"",IF(EOMONTH(CY$4,0)&lt;=Settings!$B$5,N(Settings!$C$30),N(Calc!$AP$106)))</f>
        <v/>
      </c>
      <c r="DA18" s="31">
        <f>IF(OR(Settings!$A$30="",Settings!$F$30="Yes",OR(EOMONTH(DA$4,0)&lt;=Settings!$B$5,DA$4&gt;TODAY())),"",IF(EOMONTH(CZ$4,0)&lt;=Settings!$B$5,N(Settings!$C$30),N(Calc!$AP$107)))</f>
        <v/>
      </c>
      <c r="DB18" s="31">
        <f>IF(OR(Settings!$A$30="",Settings!$F$30="Yes",OR(EOMONTH(DB$4,0)&lt;=Settings!$B$5,DB$4&gt;TODAY())),"",IF(EOMONTH(DA$4,0)&lt;=Settings!$B$5,N(Settings!$C$30),N(Calc!$AP$108)))</f>
        <v/>
      </c>
      <c r="DC18" s="31">
        <f>IF(OR(Settings!$A$30="",Settings!$F$30="Yes",OR(EOMONTH(DC$4,0)&lt;=Settings!$B$5,DC$4&gt;TODAY())),"",IF(EOMONTH(DB$4,0)&lt;=Settings!$B$5,N(Settings!$C$30),N(Calc!$AP$109)))</f>
        <v/>
      </c>
      <c r="DD18" s="31">
        <f>IF(OR(Settings!$A$30="",Settings!$F$30="Yes",OR(EOMONTH(DD$4,0)&lt;=Settings!$B$5,DD$4&gt;TODAY())),"",IF(EOMONTH(DC$4,0)&lt;=Settings!$B$5,N(Settings!$C$30),N(Calc!$AP$110)))</f>
        <v/>
      </c>
      <c r="DE18" s="31">
        <f>IF(OR(Settings!$A$30="",Settings!$F$30="Yes",OR(EOMONTH(DE$4,0)&lt;=Settings!$B$5,DE$4&gt;TODAY())),"",IF(EOMONTH(DD$4,0)&lt;=Settings!$B$5,N(Settings!$C$30),N(Calc!$AP$111)))</f>
        <v/>
      </c>
      <c r="DF18" s="31">
        <f>IF(OR(Settings!$A$30="",Settings!$F$30="Yes",OR(EOMONTH(DF$4,0)&lt;=Settings!$B$5,DF$4&gt;TODAY())),"",IF(EOMONTH(DE$4,0)&lt;=Settings!$B$5,N(Settings!$C$30),N(Calc!$AP$112)))</f>
        <v/>
      </c>
      <c r="DG18" s="31">
        <f>IF(OR(Settings!$A$30="",Settings!$F$30="Yes",OR(EOMONTH(DG$4,0)&lt;=Settings!$B$5,DG$4&gt;TODAY())),"",IF(EOMONTH(DF$4,0)&lt;=Settings!$B$5,N(Settings!$C$30),N(Calc!$AP$113)))</f>
        <v/>
      </c>
      <c r="DH18" s="31">
        <f>IF(OR(Settings!$A$30="",Settings!$F$30="Yes",OR(EOMONTH(DH$4,0)&lt;=Settings!$B$5,DH$4&gt;TODAY())),"",IF(EOMONTH(DG$4,0)&lt;=Settings!$B$5,N(Settings!$C$30),N(Calc!$AP$114)))</f>
        <v/>
      </c>
      <c r="DI18" s="31">
        <f>IF(OR(Settings!$A$30="",Settings!$F$30="Yes",OR(EOMONTH(DI$4,0)&lt;=Settings!$B$5,DI$4&gt;TODAY())),"",IF(EOMONTH(DH$4,0)&lt;=Settings!$B$5,N(Settings!$C$30),N(Calc!$AP$115)))</f>
        <v/>
      </c>
      <c r="DJ18" s="31">
        <f>IF(OR(Settings!$A$30="",Settings!$F$30="Yes",OR(EOMONTH(DJ$4,0)&lt;=Settings!$B$5,DJ$4&gt;TODAY())),"",IF(EOMONTH(DI$4,0)&lt;=Settings!$B$5,N(Settings!$C$30),N(Calc!$AP$116)))</f>
        <v/>
      </c>
      <c r="DK18" s="31">
        <f>IF(OR(Settings!$A$30="",Settings!$F$30="Yes",OR(EOMONTH(DK$4,0)&lt;=Settings!$B$5,DK$4&gt;TODAY())),"",IF(EOMONTH(DJ$4,0)&lt;=Settings!$B$5,N(Settings!$C$30),N(Calc!$AP$117)))</f>
        <v/>
      </c>
      <c r="DL18" s="31">
        <f>IF(OR(Settings!$A$30="",Settings!$F$30="Yes",OR(EOMONTH(DL$4,0)&lt;=Settings!$B$5,DL$4&gt;TODAY())),"",IF(EOMONTH(DK$4,0)&lt;=Settings!$B$5,N(Settings!$C$30),N(Calc!$AP$118)))</f>
        <v/>
      </c>
      <c r="DM18" s="31">
        <f>IF(OR(Settings!$A$30="",Settings!$F$30="Yes",OR(EOMONTH(DM$4,0)&lt;=Settings!$B$5,DM$4&gt;TODAY())),"",IF(EOMONTH(DL$4,0)&lt;=Settings!$B$5,N(Settings!$C$30),N(Calc!$AP$119)))</f>
        <v/>
      </c>
      <c r="DN18" s="31">
        <f>IF(OR(Settings!$A$30="",Settings!$F$30="Yes",OR(EOMONTH(DN$4,0)&lt;=Settings!$B$5,DN$4&gt;TODAY())),"",IF(EOMONTH(DM$4,0)&lt;=Settings!$B$5,N(Settings!$C$30),N(Calc!$AP$120)))</f>
        <v/>
      </c>
      <c r="DO18" s="31">
        <f>IF(OR(Settings!$A$30="",Settings!$F$30="Yes",OR(EOMONTH(DO$4,0)&lt;=Settings!$B$5,DO$4&gt;TODAY())),"",IF(EOMONTH(DN$4,0)&lt;=Settings!$B$5,N(Settings!$C$30),N(Calc!$AP$121)))</f>
        <v/>
      </c>
      <c r="DP18" s="31">
        <f>IF(OR(Settings!$A$30="",Settings!$F$30="Yes",OR(EOMONTH(DP$4,0)&lt;=Settings!$B$5,DP$4&gt;TODAY())),"",IF(EOMONTH(DO$4,0)&lt;=Settings!$B$5,N(Settings!$C$30),N(Calc!$AP$122)))</f>
        <v/>
      </c>
      <c r="DQ18" s="31">
        <f>IF(OR(Settings!$A$30="",Settings!$F$30="Yes",OR(EOMONTH(DQ$4,0)&lt;=Settings!$B$5,DQ$4&gt;TODAY())),"",IF(EOMONTH(DP$4,0)&lt;=Settings!$B$5,N(Settings!$C$30),N(Calc!$AP$123)))</f>
        <v/>
      </c>
      <c r="DR18" s="31">
        <f>IF(OR(Settings!$A$30="",Settings!$F$30="Yes",OR(EOMONTH(DR$4,0)&lt;=Settings!$B$5,DR$4&gt;TODAY())),"",IF(EOMONTH(DQ$4,0)&lt;=Settings!$B$5,N(Settings!$C$30),N(Calc!$AP$124)))</f>
        <v/>
      </c>
      <c r="DS18" s="31">
        <f>IF(OR(Settings!$A$30="",Settings!$F$30="Yes",OR(EOMONTH(DS$4,0)&lt;=Settings!$B$5,DS$4&gt;TODAY())),"",IF(EOMONTH(DR$4,0)&lt;=Settings!$B$5,N(Settings!$C$30),N(Calc!$AP$125)))</f>
        <v/>
      </c>
      <c r="DT18" s="31">
        <f>IF(OR(Settings!$A$30="",Settings!$F$30="Yes",OR(EOMONTH(DT$4,0)&lt;=Settings!$B$5,DT$4&gt;TODAY())),"",IF(EOMONTH(DS$4,0)&lt;=Settings!$B$5,N(Settings!$C$30),N(Calc!$AP$126)))</f>
        <v/>
      </c>
      <c r="DU18" s="31">
        <f>IF(OR(Settings!$A$30="",Settings!$F$30="Yes",OR(EOMONTH(DU$4,0)&lt;=Settings!$B$5,DU$4&gt;TODAY())),"",IF(EOMONTH(DT$4,0)&lt;=Settings!$B$5,N(Settings!$C$30),N(Calc!$AP$127)))</f>
        <v/>
      </c>
      <c r="DV18" s="31">
        <f>IF(OR(Settings!$A$30="",Settings!$F$30="Yes",OR(EOMONTH(DV$4,0)&lt;=Settings!$B$5,DV$4&gt;TODAY())),"",IF(EOMONTH(DU$4,0)&lt;=Settings!$B$5,N(Settings!$C$30),N(Calc!$AP$128)))</f>
        <v/>
      </c>
      <c r="DW18" s="31">
        <f>IF(OR(Settings!$A$30="",Settings!$F$30="Yes",OR(EOMONTH(DW$4,0)&lt;=Settings!$B$5,DW$4&gt;TODAY())),"",IF(EOMONTH(DV$4,0)&lt;=Settings!$B$5,N(Settings!$C$30),N(Calc!$AP$129)))</f>
        <v/>
      </c>
      <c r="DX18" s="31">
        <f>IF(OR(Settings!$A$30="",Settings!$F$30="Yes",OR(EOMONTH(DX$4,0)&lt;=Settings!$B$5,DX$4&gt;TODAY())),"",IF(EOMONTH(DW$4,0)&lt;=Settings!$B$5,N(Settings!$C$30),N(Calc!$AP$130)))</f>
        <v/>
      </c>
      <c r="DY18" s="31">
        <f>IF(OR(Settings!$A$30="",Settings!$F$30="Yes",OR(EOMONTH(DY$4,0)&lt;=Settings!$B$5,DY$4&gt;TODAY())),"",IF(EOMONTH(DX$4,0)&lt;=Settings!$B$5,N(Settings!$C$30),N(Calc!$AP$131)))</f>
        <v/>
      </c>
      <c r="DZ18" s="31">
        <f>IF(OR(Settings!$A$30="",Settings!$F$30="Yes",OR(EOMONTH(DZ$4,0)&lt;=Settings!$B$5,DZ$4&gt;TODAY())),"",IF(EOMONTH(DY$4,0)&lt;=Settings!$B$5,N(Settings!$C$30),N(Calc!$AP$132)))</f>
        <v/>
      </c>
      <c r="EA18" s="31">
        <f>IF(OR(Settings!$A$30="",Settings!$F$30="Yes",OR(EOMONTH(EA$4,0)&lt;=Settings!$B$5,EA$4&gt;TODAY())),"",IF(EOMONTH(DZ$4,0)&lt;=Settings!$B$5,N(Settings!$C$30),N(Calc!$AP$133)))</f>
        <v/>
      </c>
      <c r="EB18" s="31">
        <f>IF(OR(Settings!$A$30="",Settings!$F$30="Yes",OR(EOMONTH(EB$4,0)&lt;=Settings!$B$5,EB$4&gt;TODAY())),"",IF(EOMONTH(EA$4,0)&lt;=Settings!$B$5,N(Settings!$C$30),N(Calc!$AP$134)))</f>
        <v/>
      </c>
      <c r="EC18" s="31">
        <f>IF(OR(Settings!$A$30="",Settings!$F$30="Yes",OR(EOMONTH(EC$4,0)&lt;=Settings!$B$5,EC$4&gt;TODAY())),"",IF(EOMONTH(EB$4,0)&lt;=Settings!$B$5,N(Settings!$C$30),N(Calc!$AP$135)))</f>
        <v/>
      </c>
      <c r="ED18" s="31">
        <f>IF(OR(Settings!$A$30="",Settings!$F$30="Yes",OR(EOMONTH(ED$4,0)&lt;=Settings!$B$5,ED$4&gt;TODAY())),"",IF(EOMONTH(EC$4,0)&lt;=Settings!$B$5,N(Settings!$C$30),N(Calc!$AP$136)))</f>
        <v/>
      </c>
      <c r="EE18" s="31">
        <f>IF(OR(Settings!$A$30="",Settings!$F$30="Yes",OR(EOMONTH(EE$4,0)&lt;=Settings!$B$5,EE$4&gt;TODAY())),"",IF(EOMONTH(ED$4,0)&lt;=Settings!$B$5,N(Settings!$C$30),N(Calc!$AP$137)))</f>
        <v/>
      </c>
      <c r="EF18" s="31">
        <f>IF(OR(Settings!$A$30="",Settings!$F$30="Yes",OR(EOMONTH(EF$4,0)&lt;=Settings!$B$5,EF$4&gt;TODAY())),"",IF(EOMONTH(EE$4,0)&lt;=Settings!$B$5,N(Settings!$C$30),N(Calc!$AP$138)))</f>
        <v/>
      </c>
      <c r="EG18" s="31">
        <f>IF(OR(Settings!$A$30="",Settings!$F$30="Yes",OR(EOMONTH(EG$4,0)&lt;=Settings!$B$5,EG$4&gt;TODAY())),"",IF(EOMONTH(EF$4,0)&lt;=Settings!$B$5,N(Settings!$C$30),N(Calc!$AP$139)))</f>
        <v/>
      </c>
      <c r="EH18" s="31">
        <f>IF(OR(Settings!$A$30="",Settings!$F$30="Yes",OR(EOMONTH(EH$4,0)&lt;=Settings!$B$5,EH$4&gt;TODAY())),"",IF(EOMONTH(EG$4,0)&lt;=Settings!$B$5,N(Settings!$C$30),N(Calc!$AP$140)))</f>
        <v/>
      </c>
      <c r="EI18" s="31">
        <f>IF(OR(Settings!$A$30="",Settings!$F$30="Yes",OR(EOMONTH(EI$4,0)&lt;=Settings!$B$5,EI$4&gt;TODAY())),"",IF(EOMONTH(EH$4,0)&lt;=Settings!$B$5,N(Settings!$C$30),N(Calc!$AP$141)))</f>
        <v/>
      </c>
      <c r="EJ18" s="31">
        <f>IF(OR(Settings!$A$30="",Settings!$F$30="Yes",OR(EOMONTH(EJ$4,0)&lt;=Settings!$B$5,EJ$4&gt;TODAY())),"",IF(EOMONTH(EI$4,0)&lt;=Settings!$B$5,N(Settings!$C$30),N(Calc!$AP$142)))</f>
        <v/>
      </c>
      <c r="EK18" s="31">
        <f>IF(OR(Settings!$A$30="",Settings!$F$30="Yes",OR(EOMONTH(EK$4,0)&lt;=Settings!$B$5,EK$4&gt;TODAY())),"",IF(EOMONTH(EJ$4,0)&lt;=Settings!$B$5,N(Settings!$C$30),N(Calc!$AP$143)))</f>
        <v/>
      </c>
      <c r="EL18" s="31">
        <f>IF(OR(Settings!$A$30="",Settings!$F$30="Yes",OR(EOMONTH(EL$4,0)&lt;=Settings!$B$5,EL$4&gt;TODAY())),"",IF(EOMONTH(EK$4,0)&lt;=Settings!$B$5,N(Settings!$C$30),N(Calc!$AP$144)))</f>
        <v/>
      </c>
      <c r="EM18" s="31">
        <f>IF(OR(Settings!$A$30="",Settings!$F$30="Yes",OR(EOMONTH(EM$4,0)&lt;=Settings!$B$5,EM$4&gt;TODAY())),"",IF(EOMONTH(EL$4,0)&lt;=Settings!$B$5,N(Settings!$C$30),N(Calc!$AP$145)))</f>
        <v/>
      </c>
      <c r="EN18" s="31">
        <f>IF(OR(Settings!$A$30="",Settings!$F$30="Yes",OR(EOMONTH(EN$4,0)&lt;=Settings!$B$5,EN$4&gt;TODAY())),"",IF(EOMONTH(EM$4,0)&lt;=Settings!$B$5,N(Settings!$C$30),N(Calc!$AP$146)))</f>
        <v/>
      </c>
      <c r="EO18" s="31">
        <f>IF(OR(Settings!$A$30="",Settings!$F$30="Yes",OR(EOMONTH(EO$4,0)&lt;=Settings!$B$5,EO$4&gt;TODAY())),"",IF(EOMONTH(EN$4,0)&lt;=Settings!$B$5,N(Settings!$C$30),N(Calc!$AP$147)))</f>
        <v/>
      </c>
      <c r="EP18" s="31">
        <f>IF(OR(Settings!$A$30="",Settings!$F$30="Yes",OR(EOMONTH(EP$4,0)&lt;=Settings!$B$5,EP$4&gt;TODAY())),"",IF(EOMONTH(EO$4,0)&lt;=Settings!$B$5,N(Settings!$C$30),N(Calc!$AP$148)))</f>
        <v/>
      </c>
      <c r="EQ18" s="31">
        <f>IF(OR(Settings!$A$30="",Settings!$F$30="Yes",OR(EOMONTH(EQ$4,0)&lt;=Settings!$B$5,EQ$4&gt;TODAY())),"",IF(EOMONTH(EP$4,0)&lt;=Settings!$B$5,N(Settings!$C$30),N(Calc!$AP$149)))</f>
        <v/>
      </c>
      <c r="ER18" s="31">
        <f>IF(OR(Settings!$A$30="",Settings!$F$30="Yes",OR(EOMONTH(ER$4,0)&lt;=Settings!$B$5,ER$4&gt;TODAY())),"",IF(EOMONTH(EQ$4,0)&lt;=Settings!$B$5,N(Settings!$C$30),N(Calc!$AP$150)))</f>
        <v/>
      </c>
      <c r="ES18" s="31">
        <f>IF(OR(Settings!$A$30="",Settings!$F$30="Yes",OR(EOMONTH(ES$4,0)&lt;=Settings!$B$5,ES$4&gt;TODAY())),"",IF(EOMONTH(ER$4,0)&lt;=Settings!$B$5,N(Settings!$C$30),N(Calc!$AP$151)))</f>
        <v/>
      </c>
      <c r="ET18" s="31">
        <f>IF(OR(Settings!$A$30="",Settings!$F$30="Yes",OR(EOMONTH(ET$4,0)&lt;=Settings!$B$5,ET$4&gt;TODAY())),"",IF(EOMONTH(ES$4,0)&lt;=Settings!$B$5,N(Settings!$C$30),N(Calc!$AP$152)))</f>
        <v/>
      </c>
      <c r="EU18" s="31">
        <f>IF(OR(Settings!$A$30="",Settings!$F$30="Yes",OR(EOMONTH(EU$4,0)&lt;=Settings!$B$5,EU$4&gt;TODAY())),"",IF(EOMONTH(ET$4,0)&lt;=Settings!$B$5,N(Settings!$C$30),N(Calc!$AP$153)))</f>
        <v/>
      </c>
      <c r="EV18" s="31">
        <f>IF(OR(Settings!$A$30="",Settings!$F$30="Yes",OR(EOMONTH(EV$4,0)&lt;=Settings!$B$5,EV$4&gt;TODAY())),"",IF(EOMONTH(EU$4,0)&lt;=Settings!$B$5,N(Settings!$C$30),N(Calc!$AP$154)))</f>
        <v/>
      </c>
      <c r="EW18" s="31">
        <f>IF(OR(Settings!$A$30="",Settings!$F$30="Yes",OR(EOMONTH(EW$4,0)&lt;=Settings!$B$5,EW$4&gt;TODAY())),"",IF(EOMONTH(EV$4,0)&lt;=Settings!$B$5,N(Settings!$C$30),N(Calc!$AP$155)))</f>
        <v/>
      </c>
      <c r="EX18" s="31">
        <f>IF(OR(Settings!$A$30="",Settings!$F$30="Yes",OR(EOMONTH(EX$4,0)&lt;=Settings!$B$5,EX$4&gt;TODAY())),"",IF(EOMONTH(EW$4,0)&lt;=Settings!$B$5,N(Settings!$C$30),N(Calc!$AP$156)))</f>
        <v/>
      </c>
      <c r="EY18" s="31">
        <f>IF(OR(Settings!$A$30="",Settings!$F$30="Yes",OR(EOMONTH(EY$4,0)&lt;=Settings!$B$5,EY$4&gt;TODAY())),"",IF(EOMONTH(EX$4,0)&lt;=Settings!$B$5,N(Settings!$C$30),N(Calc!$AP$157)))</f>
        <v/>
      </c>
      <c r="EZ18" s="31">
        <f>IF(OR(Settings!$A$30="",Settings!$F$30="Yes",OR(EOMONTH(EZ$4,0)&lt;=Settings!$B$5,EZ$4&gt;TODAY())),"",IF(EOMONTH(EY$4,0)&lt;=Settings!$B$5,N(Settings!$C$30),N(Calc!$AP$158)))</f>
        <v/>
      </c>
      <c r="FA18" s="31">
        <f>IF(OR(Settings!$A$30="",Settings!$F$30="Yes",OR(EOMONTH(FA$4,0)&lt;=Settings!$B$5,FA$4&gt;TODAY())),"",IF(EOMONTH(EZ$4,0)&lt;=Settings!$B$5,N(Settings!$C$30),N(Calc!$AP$159)))</f>
        <v/>
      </c>
      <c r="FB18" s="31">
        <f>IF(OR(Settings!$A$30="",Settings!$F$30="Yes",OR(EOMONTH(FB$4,0)&lt;=Settings!$B$5,FB$4&gt;TODAY())),"",IF(EOMONTH(FA$4,0)&lt;=Settings!$B$5,N(Settings!$C$30),N(Calc!$AP$160)))</f>
        <v/>
      </c>
      <c r="FC18" s="31">
        <f>IF(OR(Settings!$A$30="",Settings!$F$30="Yes",OR(EOMONTH(FC$4,0)&lt;=Settings!$B$5,FC$4&gt;TODAY())),"",IF(EOMONTH(FB$4,0)&lt;=Settings!$B$5,N(Settings!$C$30),N(Calc!$AP$161)))</f>
        <v/>
      </c>
      <c r="FD18" s="31">
        <f>IF(OR(Settings!$A$30="",Settings!$F$30="Yes",OR(EOMONTH(FD$4,0)&lt;=Settings!$B$5,FD$4&gt;TODAY())),"",IF(EOMONTH(FC$4,0)&lt;=Settings!$B$5,N(Settings!$C$30),N(Calc!$AP$162)))</f>
        <v/>
      </c>
      <c r="FE18" s="31">
        <f>IF(OR(Settings!$A$30="",Settings!$F$30="Yes",OR(EOMONTH(FE$4,0)&lt;=Settings!$B$5,FE$4&gt;TODAY())),"",IF(EOMONTH(FD$4,0)&lt;=Settings!$B$5,N(Settings!$C$30),N(Calc!$AP$163)))</f>
        <v/>
      </c>
      <c r="FF18" s="31">
        <f>IF(OR(Settings!$A$30="",Settings!$F$30="Yes",OR(EOMONTH(FF$4,0)&lt;=Settings!$B$5,FF$4&gt;TODAY())),"",IF(EOMONTH(FE$4,0)&lt;=Settings!$B$5,N(Settings!$C$30),N(Calc!$AP$164)))</f>
        <v/>
      </c>
      <c r="FG18" s="31">
        <f>IF(OR(Settings!$A$30="",Settings!$F$30="Yes",OR(EOMONTH(FG$4,0)&lt;=Settings!$B$5,FG$4&gt;TODAY())),"",IF(EOMONTH(FF$4,0)&lt;=Settings!$B$5,N(Settings!$C$30),N(Calc!$AP$165)))</f>
        <v/>
      </c>
      <c r="FH18" s="31">
        <f>IF(OR(Settings!$A$30="",Settings!$F$30="Yes",OR(EOMONTH(FH$4,0)&lt;=Settings!$B$5,FH$4&gt;TODAY())),"",IF(EOMONTH(FG$4,0)&lt;=Settings!$B$5,N(Settings!$C$30),N(Calc!$AP$166)))</f>
        <v/>
      </c>
      <c r="FI18" s="31">
        <f>IF(OR(Settings!$A$30="",Settings!$F$30="Yes",OR(EOMONTH(FI$4,0)&lt;=Settings!$B$5,FI$4&gt;TODAY())),"",IF(EOMONTH(FH$4,0)&lt;=Settings!$B$5,N(Settings!$C$30),N(Calc!$AP$167)))</f>
        <v/>
      </c>
      <c r="FJ18" s="31">
        <f>IF(OR(Settings!$A$30="",Settings!$F$30="Yes",OR(EOMONTH(FJ$4,0)&lt;=Settings!$B$5,FJ$4&gt;TODAY())),"",IF(EOMONTH(FI$4,0)&lt;=Settings!$B$5,N(Settings!$C$30),N(Calc!$AP$168)))</f>
        <v/>
      </c>
      <c r="FK18" s="31">
        <f>IF(OR(Settings!$A$30="",Settings!$F$30="Yes",OR(EOMONTH(FK$4,0)&lt;=Settings!$B$5,FK$4&gt;TODAY())),"",IF(EOMONTH(FJ$4,0)&lt;=Settings!$B$5,N(Settings!$C$30),N(Calc!$AP$169)))</f>
        <v/>
      </c>
      <c r="FL18" s="31">
        <f>IF(OR(Settings!$A$30="",Settings!$F$30="Yes",OR(EOMONTH(FL$4,0)&lt;=Settings!$B$5,FL$4&gt;TODAY())),"",IF(EOMONTH(FK$4,0)&lt;=Settings!$B$5,N(Settings!$C$30),N(Calc!$AP$170)))</f>
        <v/>
      </c>
      <c r="FM18" s="31">
        <f>IF(OR(Settings!$A$30="",Settings!$F$30="Yes",OR(EOMONTH(FM$4,0)&lt;=Settings!$B$5,FM$4&gt;TODAY())),"",IF(EOMONTH(FL$4,0)&lt;=Settings!$B$5,N(Settings!$C$30),N(Calc!$AP$171)))</f>
        <v/>
      </c>
      <c r="FN18" s="31">
        <f>IF(OR(Settings!$A$30="",Settings!$F$30="Yes",OR(EOMONTH(FN$4,0)&lt;=Settings!$B$5,FN$4&gt;TODAY())),"",IF(EOMONTH(FM$4,0)&lt;=Settings!$B$5,N(Settings!$C$30),N(Calc!$AP$172)))</f>
        <v/>
      </c>
      <c r="FO18" s="31">
        <f>IF(OR(Settings!$A$30="",Settings!$F$30="Yes",OR(EOMONTH(FO$4,0)&lt;=Settings!$B$5,FO$4&gt;TODAY())),"",IF(EOMONTH(FN$4,0)&lt;=Settings!$B$5,N(Settings!$C$30),N(Calc!$AP$173)))</f>
        <v/>
      </c>
      <c r="FP18" s="31">
        <f>IF(OR(Settings!$A$30="",Settings!$F$30="Yes",OR(EOMONTH(FP$4,0)&lt;=Settings!$B$5,FP$4&gt;TODAY())),"",IF(EOMONTH(FO$4,0)&lt;=Settings!$B$5,N(Settings!$C$30),N(Calc!$AP$174)))</f>
        <v/>
      </c>
      <c r="FQ18" s="31">
        <f>IF(OR(Settings!$A$30="",Settings!$F$30="Yes",OR(EOMONTH(FQ$4,0)&lt;=Settings!$B$5,FQ$4&gt;TODAY())),"",IF(EOMONTH(FP$4,0)&lt;=Settings!$B$5,N(Settings!$C$30),N(Calc!$AP$175)))</f>
        <v/>
      </c>
      <c r="FR18" s="31">
        <f>IF(OR(Settings!$A$30="",Settings!$F$30="Yes",OR(EOMONTH(FR$4,0)&lt;=Settings!$B$5,FR$4&gt;TODAY())),"",IF(EOMONTH(FQ$4,0)&lt;=Settings!$B$5,N(Settings!$C$30),N(Calc!$AP$176)))</f>
        <v/>
      </c>
      <c r="FS18" s="31">
        <f>IF(OR(Settings!$A$30="",Settings!$F$30="Yes",OR(EOMONTH(FS$4,0)&lt;=Settings!$B$5,FS$4&gt;TODAY())),"",IF(EOMONTH(FR$4,0)&lt;=Settings!$B$5,N(Settings!$C$30),N(Calc!$AP$177)))</f>
        <v/>
      </c>
      <c r="FT18" s="31">
        <f>IF(OR(Settings!$A$30="",Settings!$F$30="Yes",OR(EOMONTH(FT$4,0)&lt;=Settings!$B$5,FT$4&gt;TODAY())),"",IF(EOMONTH(FS$4,0)&lt;=Settings!$B$5,N(Settings!$C$30),N(Calc!$AP$178)))</f>
        <v/>
      </c>
      <c r="FU18" s="31">
        <f>IF(OR(Settings!$A$30="",Settings!$F$30="Yes",OR(EOMONTH(FU$4,0)&lt;=Settings!$B$5,FU$4&gt;TODAY())),"",IF(EOMONTH(FT$4,0)&lt;=Settings!$B$5,N(Settings!$C$30),N(Calc!$AP$179)))</f>
        <v/>
      </c>
      <c r="FV18" s="31">
        <f>IF(OR(Settings!$A$30="",Settings!$F$30="Yes",OR(EOMONTH(FV$4,0)&lt;=Settings!$B$5,FV$4&gt;TODAY())),"",IF(EOMONTH(FU$4,0)&lt;=Settings!$B$5,N(Settings!$C$30),N(Calc!$AP$180)))</f>
        <v/>
      </c>
      <c r="FW18" s="31">
        <f>IF(OR(Settings!$A$30="",Settings!$F$30="Yes",OR(EOMONTH(FW$4,0)&lt;=Settings!$B$5,FW$4&gt;TODAY())),"",IF(EOMONTH(FV$4,0)&lt;=Settings!$B$5,N(Settings!$C$30),N(Calc!$AP$181)))</f>
        <v/>
      </c>
      <c r="FX18" s="31">
        <f>IF(OR(Settings!$A$30="",Settings!$F$30="Yes",OR(EOMONTH(FX$4,0)&lt;=Settings!$B$5,FX$4&gt;TODAY())),"",IF(EOMONTH(FW$4,0)&lt;=Settings!$B$5,N(Settings!$C$30),N(Calc!$AP$182)))</f>
        <v/>
      </c>
    </row>
    <row r="19">
      <c r="A19" s="15">
        <f>IF(Settings!$A$31="","(unused)",Settings!$A$31&amp;IF(Settings!$E$31="No"," (retired)",""))</f>
        <v/>
      </c>
      <c r="B19" s="26">
        <f>IF(Settings!$A$31="","",IF(Settings!$F$31="Yes","REQUIRED","optional · grey = unchanged")&amp;IF(OR(Settings!$B$31="Card",Settings!$B$31="Loan")," · amount owed",""))</f>
        <v/>
      </c>
      <c r="C19" s="31">
        <f>IF(OR(Settings!$A$31="",Settings!$F$31="Yes",OR(EOMONTH(C$4,0)&lt;=Settings!$B$5,C$4&gt;TODAY())),"",N(Settings!$C$31))</f>
        <v/>
      </c>
      <c r="D19" s="31">
        <f>IF(OR(Settings!$A$31="",Settings!$F$31="Yes",OR(EOMONTH(D$4,0)&lt;=Settings!$B$5,D$4&gt;TODAY())),"",IF(EOMONTH(C$4,0)&lt;=Settings!$B$5,N(Settings!$C$31),N(Calc!$AQ$6)))</f>
        <v/>
      </c>
      <c r="E19" s="31">
        <f>IF(OR(Settings!$A$31="",Settings!$F$31="Yes",OR(EOMONTH(E$4,0)&lt;=Settings!$B$5,E$4&gt;TODAY())),"",IF(EOMONTH(D$4,0)&lt;=Settings!$B$5,N(Settings!$C$31),N(Calc!$AQ$7)))</f>
        <v/>
      </c>
      <c r="F19" s="31">
        <f>IF(OR(Settings!$A$31="",Settings!$F$31="Yes",OR(EOMONTH(F$4,0)&lt;=Settings!$B$5,F$4&gt;TODAY())),"",IF(EOMONTH(E$4,0)&lt;=Settings!$B$5,N(Settings!$C$31),N(Calc!$AQ$8)))</f>
        <v/>
      </c>
      <c r="G19" s="31">
        <f>IF(OR(Settings!$A$31="",Settings!$F$31="Yes",OR(EOMONTH(G$4,0)&lt;=Settings!$B$5,G$4&gt;TODAY())),"",IF(EOMONTH(F$4,0)&lt;=Settings!$B$5,N(Settings!$C$31),N(Calc!$AQ$9)))</f>
        <v/>
      </c>
      <c r="H19" s="31">
        <f>IF(OR(Settings!$A$31="",Settings!$F$31="Yes",OR(EOMONTH(H$4,0)&lt;=Settings!$B$5,H$4&gt;TODAY())),"",IF(EOMONTH(G$4,0)&lt;=Settings!$B$5,N(Settings!$C$31),N(Calc!$AQ$10)))</f>
        <v/>
      </c>
      <c r="I19" s="31">
        <f>IF(OR(Settings!$A$31="",Settings!$F$31="Yes",OR(EOMONTH(I$4,0)&lt;=Settings!$B$5,I$4&gt;TODAY())),"",IF(EOMONTH(H$4,0)&lt;=Settings!$B$5,N(Settings!$C$31),N(Calc!$AQ$11)))</f>
        <v/>
      </c>
      <c r="J19" s="31">
        <f>IF(OR(Settings!$A$31="",Settings!$F$31="Yes",OR(EOMONTH(J$4,0)&lt;=Settings!$B$5,J$4&gt;TODAY())),"",IF(EOMONTH(I$4,0)&lt;=Settings!$B$5,N(Settings!$C$31),N(Calc!$AQ$12)))</f>
        <v/>
      </c>
      <c r="K19" s="31">
        <f>IF(OR(Settings!$A$31="",Settings!$F$31="Yes",OR(EOMONTH(K$4,0)&lt;=Settings!$B$5,K$4&gt;TODAY())),"",IF(EOMONTH(J$4,0)&lt;=Settings!$B$5,N(Settings!$C$31),N(Calc!$AQ$13)))</f>
        <v/>
      </c>
      <c r="L19" s="31">
        <f>IF(OR(Settings!$A$31="",Settings!$F$31="Yes",OR(EOMONTH(L$4,0)&lt;=Settings!$B$5,L$4&gt;TODAY())),"",IF(EOMONTH(K$4,0)&lt;=Settings!$B$5,N(Settings!$C$31),N(Calc!$AQ$14)))</f>
        <v/>
      </c>
      <c r="M19" s="31">
        <f>IF(OR(Settings!$A$31="",Settings!$F$31="Yes",OR(EOMONTH(M$4,0)&lt;=Settings!$B$5,M$4&gt;TODAY())),"",IF(EOMONTH(L$4,0)&lt;=Settings!$B$5,N(Settings!$C$31),N(Calc!$AQ$15)))</f>
        <v/>
      </c>
      <c r="N19" s="31">
        <f>IF(OR(Settings!$A$31="",Settings!$F$31="Yes",OR(EOMONTH(N$4,0)&lt;=Settings!$B$5,N$4&gt;TODAY())),"",IF(EOMONTH(M$4,0)&lt;=Settings!$B$5,N(Settings!$C$31),N(Calc!$AQ$16)))</f>
        <v/>
      </c>
      <c r="O19" s="31">
        <f>IF(OR(Settings!$A$31="",Settings!$F$31="Yes",OR(EOMONTH(O$4,0)&lt;=Settings!$B$5,O$4&gt;TODAY())),"",IF(EOMONTH(N$4,0)&lt;=Settings!$B$5,N(Settings!$C$31),N(Calc!$AQ$17)))</f>
        <v/>
      </c>
      <c r="P19" s="31">
        <f>IF(OR(Settings!$A$31="",Settings!$F$31="Yes",OR(EOMONTH(P$4,0)&lt;=Settings!$B$5,P$4&gt;TODAY())),"",IF(EOMONTH(O$4,0)&lt;=Settings!$B$5,N(Settings!$C$31),N(Calc!$AQ$18)))</f>
        <v/>
      </c>
      <c r="Q19" s="31">
        <f>IF(OR(Settings!$A$31="",Settings!$F$31="Yes",OR(EOMONTH(Q$4,0)&lt;=Settings!$B$5,Q$4&gt;TODAY())),"",IF(EOMONTH(P$4,0)&lt;=Settings!$B$5,N(Settings!$C$31),N(Calc!$AQ$19)))</f>
        <v/>
      </c>
      <c r="R19" s="31">
        <f>IF(OR(Settings!$A$31="",Settings!$F$31="Yes",OR(EOMONTH(R$4,0)&lt;=Settings!$B$5,R$4&gt;TODAY())),"",IF(EOMONTH(Q$4,0)&lt;=Settings!$B$5,N(Settings!$C$31),N(Calc!$AQ$20)))</f>
        <v/>
      </c>
      <c r="S19" s="31">
        <f>IF(OR(Settings!$A$31="",Settings!$F$31="Yes",OR(EOMONTH(S$4,0)&lt;=Settings!$B$5,S$4&gt;TODAY())),"",IF(EOMONTH(R$4,0)&lt;=Settings!$B$5,N(Settings!$C$31),N(Calc!$AQ$21)))</f>
        <v/>
      </c>
      <c r="T19" s="31">
        <f>IF(OR(Settings!$A$31="",Settings!$F$31="Yes",OR(EOMONTH(T$4,0)&lt;=Settings!$B$5,T$4&gt;TODAY())),"",IF(EOMONTH(S$4,0)&lt;=Settings!$B$5,N(Settings!$C$31),N(Calc!$AQ$22)))</f>
        <v/>
      </c>
      <c r="U19" s="31">
        <f>IF(OR(Settings!$A$31="",Settings!$F$31="Yes",OR(EOMONTH(U$4,0)&lt;=Settings!$B$5,U$4&gt;TODAY())),"",IF(EOMONTH(T$4,0)&lt;=Settings!$B$5,N(Settings!$C$31),N(Calc!$AQ$23)))</f>
        <v/>
      </c>
      <c r="V19" s="31">
        <f>IF(OR(Settings!$A$31="",Settings!$F$31="Yes",OR(EOMONTH(V$4,0)&lt;=Settings!$B$5,V$4&gt;TODAY())),"",IF(EOMONTH(U$4,0)&lt;=Settings!$B$5,N(Settings!$C$31),N(Calc!$AQ$24)))</f>
        <v/>
      </c>
      <c r="W19" s="31">
        <f>IF(OR(Settings!$A$31="",Settings!$F$31="Yes",OR(EOMONTH(W$4,0)&lt;=Settings!$B$5,W$4&gt;TODAY())),"",IF(EOMONTH(V$4,0)&lt;=Settings!$B$5,N(Settings!$C$31),N(Calc!$AQ$25)))</f>
        <v/>
      </c>
      <c r="X19" s="31">
        <f>IF(OR(Settings!$A$31="",Settings!$F$31="Yes",OR(EOMONTH(X$4,0)&lt;=Settings!$B$5,X$4&gt;TODAY())),"",IF(EOMONTH(W$4,0)&lt;=Settings!$B$5,N(Settings!$C$31),N(Calc!$AQ$26)))</f>
        <v/>
      </c>
      <c r="Y19" s="31">
        <f>IF(OR(Settings!$A$31="",Settings!$F$31="Yes",OR(EOMONTH(Y$4,0)&lt;=Settings!$B$5,Y$4&gt;TODAY())),"",IF(EOMONTH(X$4,0)&lt;=Settings!$B$5,N(Settings!$C$31),N(Calc!$AQ$27)))</f>
        <v/>
      </c>
      <c r="Z19" s="31">
        <f>IF(OR(Settings!$A$31="",Settings!$F$31="Yes",OR(EOMONTH(Z$4,0)&lt;=Settings!$B$5,Z$4&gt;TODAY())),"",IF(EOMONTH(Y$4,0)&lt;=Settings!$B$5,N(Settings!$C$31),N(Calc!$AQ$28)))</f>
        <v/>
      </c>
      <c r="AA19" s="31">
        <f>IF(OR(Settings!$A$31="",Settings!$F$31="Yes",OR(EOMONTH(AA$4,0)&lt;=Settings!$B$5,AA$4&gt;TODAY())),"",IF(EOMONTH(Z$4,0)&lt;=Settings!$B$5,N(Settings!$C$31),N(Calc!$AQ$29)))</f>
        <v/>
      </c>
      <c r="AB19" s="31">
        <f>IF(OR(Settings!$A$31="",Settings!$F$31="Yes",OR(EOMONTH(AB$4,0)&lt;=Settings!$B$5,AB$4&gt;TODAY())),"",IF(EOMONTH(AA$4,0)&lt;=Settings!$B$5,N(Settings!$C$31),N(Calc!$AQ$30)))</f>
        <v/>
      </c>
      <c r="AC19" s="31">
        <f>IF(OR(Settings!$A$31="",Settings!$F$31="Yes",OR(EOMONTH(AC$4,0)&lt;=Settings!$B$5,AC$4&gt;TODAY())),"",IF(EOMONTH(AB$4,0)&lt;=Settings!$B$5,N(Settings!$C$31),N(Calc!$AQ$31)))</f>
        <v/>
      </c>
      <c r="AD19" s="31">
        <f>IF(OR(Settings!$A$31="",Settings!$F$31="Yes",OR(EOMONTH(AD$4,0)&lt;=Settings!$B$5,AD$4&gt;TODAY())),"",IF(EOMONTH(AC$4,0)&lt;=Settings!$B$5,N(Settings!$C$31),N(Calc!$AQ$32)))</f>
        <v/>
      </c>
      <c r="AE19" s="31">
        <f>IF(OR(Settings!$A$31="",Settings!$F$31="Yes",OR(EOMONTH(AE$4,0)&lt;=Settings!$B$5,AE$4&gt;TODAY())),"",IF(EOMONTH(AD$4,0)&lt;=Settings!$B$5,N(Settings!$C$31),N(Calc!$AQ$33)))</f>
        <v/>
      </c>
      <c r="AF19" s="31">
        <f>IF(OR(Settings!$A$31="",Settings!$F$31="Yes",OR(EOMONTH(AF$4,0)&lt;=Settings!$B$5,AF$4&gt;TODAY())),"",IF(EOMONTH(AE$4,0)&lt;=Settings!$B$5,N(Settings!$C$31),N(Calc!$AQ$34)))</f>
        <v/>
      </c>
      <c r="AG19" s="31">
        <f>IF(OR(Settings!$A$31="",Settings!$F$31="Yes",OR(EOMONTH(AG$4,0)&lt;=Settings!$B$5,AG$4&gt;TODAY())),"",IF(EOMONTH(AF$4,0)&lt;=Settings!$B$5,N(Settings!$C$31),N(Calc!$AQ$35)))</f>
        <v/>
      </c>
      <c r="AH19" s="31">
        <f>IF(OR(Settings!$A$31="",Settings!$F$31="Yes",OR(EOMONTH(AH$4,0)&lt;=Settings!$B$5,AH$4&gt;TODAY())),"",IF(EOMONTH(AG$4,0)&lt;=Settings!$B$5,N(Settings!$C$31),N(Calc!$AQ$36)))</f>
        <v/>
      </c>
      <c r="AI19" s="31">
        <f>IF(OR(Settings!$A$31="",Settings!$F$31="Yes",OR(EOMONTH(AI$4,0)&lt;=Settings!$B$5,AI$4&gt;TODAY())),"",IF(EOMONTH(AH$4,0)&lt;=Settings!$B$5,N(Settings!$C$31),N(Calc!$AQ$37)))</f>
        <v/>
      </c>
      <c r="AJ19" s="31">
        <f>IF(OR(Settings!$A$31="",Settings!$F$31="Yes",OR(EOMONTH(AJ$4,0)&lt;=Settings!$B$5,AJ$4&gt;TODAY())),"",IF(EOMONTH(AI$4,0)&lt;=Settings!$B$5,N(Settings!$C$31),N(Calc!$AQ$38)))</f>
        <v/>
      </c>
      <c r="AK19" s="31">
        <f>IF(OR(Settings!$A$31="",Settings!$F$31="Yes",OR(EOMONTH(AK$4,0)&lt;=Settings!$B$5,AK$4&gt;TODAY())),"",IF(EOMONTH(AJ$4,0)&lt;=Settings!$B$5,N(Settings!$C$31),N(Calc!$AQ$39)))</f>
        <v/>
      </c>
      <c r="AL19" s="31">
        <f>IF(OR(Settings!$A$31="",Settings!$F$31="Yes",OR(EOMONTH(AL$4,0)&lt;=Settings!$B$5,AL$4&gt;TODAY())),"",IF(EOMONTH(AK$4,0)&lt;=Settings!$B$5,N(Settings!$C$31),N(Calc!$AQ$40)))</f>
        <v/>
      </c>
      <c r="AM19" s="31">
        <f>IF(OR(Settings!$A$31="",Settings!$F$31="Yes",OR(EOMONTH(AM$4,0)&lt;=Settings!$B$5,AM$4&gt;TODAY())),"",IF(EOMONTH(AL$4,0)&lt;=Settings!$B$5,N(Settings!$C$31),N(Calc!$AQ$41)))</f>
        <v/>
      </c>
      <c r="AN19" s="31">
        <f>IF(OR(Settings!$A$31="",Settings!$F$31="Yes",OR(EOMONTH(AN$4,0)&lt;=Settings!$B$5,AN$4&gt;TODAY())),"",IF(EOMONTH(AM$4,0)&lt;=Settings!$B$5,N(Settings!$C$31),N(Calc!$AQ$42)))</f>
        <v/>
      </c>
      <c r="AO19" s="31">
        <f>IF(OR(Settings!$A$31="",Settings!$F$31="Yes",OR(EOMONTH(AO$4,0)&lt;=Settings!$B$5,AO$4&gt;TODAY())),"",IF(EOMONTH(AN$4,0)&lt;=Settings!$B$5,N(Settings!$C$31),N(Calc!$AQ$43)))</f>
        <v/>
      </c>
      <c r="AP19" s="31">
        <f>IF(OR(Settings!$A$31="",Settings!$F$31="Yes",OR(EOMONTH(AP$4,0)&lt;=Settings!$B$5,AP$4&gt;TODAY())),"",IF(EOMONTH(AO$4,0)&lt;=Settings!$B$5,N(Settings!$C$31),N(Calc!$AQ$44)))</f>
        <v/>
      </c>
      <c r="AQ19" s="31">
        <f>IF(OR(Settings!$A$31="",Settings!$F$31="Yes",OR(EOMONTH(AQ$4,0)&lt;=Settings!$B$5,AQ$4&gt;TODAY())),"",IF(EOMONTH(AP$4,0)&lt;=Settings!$B$5,N(Settings!$C$31),N(Calc!$AQ$45)))</f>
        <v/>
      </c>
      <c r="AR19" s="31">
        <f>IF(OR(Settings!$A$31="",Settings!$F$31="Yes",OR(EOMONTH(AR$4,0)&lt;=Settings!$B$5,AR$4&gt;TODAY())),"",IF(EOMONTH(AQ$4,0)&lt;=Settings!$B$5,N(Settings!$C$31),N(Calc!$AQ$46)))</f>
        <v/>
      </c>
      <c r="AS19" s="31">
        <f>IF(OR(Settings!$A$31="",Settings!$F$31="Yes",OR(EOMONTH(AS$4,0)&lt;=Settings!$B$5,AS$4&gt;TODAY())),"",IF(EOMONTH(AR$4,0)&lt;=Settings!$B$5,N(Settings!$C$31),N(Calc!$AQ$47)))</f>
        <v/>
      </c>
      <c r="AT19" s="31">
        <f>IF(OR(Settings!$A$31="",Settings!$F$31="Yes",OR(EOMONTH(AT$4,0)&lt;=Settings!$B$5,AT$4&gt;TODAY())),"",IF(EOMONTH(AS$4,0)&lt;=Settings!$B$5,N(Settings!$C$31),N(Calc!$AQ$48)))</f>
        <v/>
      </c>
      <c r="AU19" s="31">
        <f>IF(OR(Settings!$A$31="",Settings!$F$31="Yes",OR(EOMONTH(AU$4,0)&lt;=Settings!$B$5,AU$4&gt;TODAY())),"",IF(EOMONTH(AT$4,0)&lt;=Settings!$B$5,N(Settings!$C$31),N(Calc!$AQ$49)))</f>
        <v/>
      </c>
      <c r="AV19" s="31">
        <f>IF(OR(Settings!$A$31="",Settings!$F$31="Yes",OR(EOMONTH(AV$4,0)&lt;=Settings!$B$5,AV$4&gt;TODAY())),"",IF(EOMONTH(AU$4,0)&lt;=Settings!$B$5,N(Settings!$C$31),N(Calc!$AQ$50)))</f>
        <v/>
      </c>
      <c r="AW19" s="31">
        <f>IF(OR(Settings!$A$31="",Settings!$F$31="Yes",OR(EOMONTH(AW$4,0)&lt;=Settings!$B$5,AW$4&gt;TODAY())),"",IF(EOMONTH(AV$4,0)&lt;=Settings!$B$5,N(Settings!$C$31),N(Calc!$AQ$51)))</f>
        <v/>
      </c>
      <c r="AX19" s="31">
        <f>IF(OR(Settings!$A$31="",Settings!$F$31="Yes",OR(EOMONTH(AX$4,0)&lt;=Settings!$B$5,AX$4&gt;TODAY())),"",IF(EOMONTH(AW$4,0)&lt;=Settings!$B$5,N(Settings!$C$31),N(Calc!$AQ$52)))</f>
        <v/>
      </c>
      <c r="AY19" s="31">
        <f>IF(OR(Settings!$A$31="",Settings!$F$31="Yes",OR(EOMONTH(AY$4,0)&lt;=Settings!$B$5,AY$4&gt;TODAY())),"",IF(EOMONTH(AX$4,0)&lt;=Settings!$B$5,N(Settings!$C$31),N(Calc!$AQ$53)))</f>
        <v/>
      </c>
      <c r="AZ19" s="31">
        <f>IF(OR(Settings!$A$31="",Settings!$F$31="Yes",OR(EOMONTH(AZ$4,0)&lt;=Settings!$B$5,AZ$4&gt;TODAY())),"",IF(EOMONTH(AY$4,0)&lt;=Settings!$B$5,N(Settings!$C$31),N(Calc!$AQ$54)))</f>
        <v/>
      </c>
      <c r="BA19" s="31">
        <f>IF(OR(Settings!$A$31="",Settings!$F$31="Yes",OR(EOMONTH(BA$4,0)&lt;=Settings!$B$5,BA$4&gt;TODAY())),"",IF(EOMONTH(AZ$4,0)&lt;=Settings!$B$5,N(Settings!$C$31),N(Calc!$AQ$55)))</f>
        <v/>
      </c>
      <c r="BB19" s="31">
        <f>IF(OR(Settings!$A$31="",Settings!$F$31="Yes",OR(EOMONTH(BB$4,0)&lt;=Settings!$B$5,BB$4&gt;TODAY())),"",IF(EOMONTH(BA$4,0)&lt;=Settings!$B$5,N(Settings!$C$31),N(Calc!$AQ$56)))</f>
        <v/>
      </c>
      <c r="BC19" s="31">
        <f>IF(OR(Settings!$A$31="",Settings!$F$31="Yes",OR(EOMONTH(BC$4,0)&lt;=Settings!$B$5,BC$4&gt;TODAY())),"",IF(EOMONTH(BB$4,0)&lt;=Settings!$B$5,N(Settings!$C$31),N(Calc!$AQ$57)))</f>
        <v/>
      </c>
      <c r="BD19" s="31">
        <f>IF(OR(Settings!$A$31="",Settings!$F$31="Yes",OR(EOMONTH(BD$4,0)&lt;=Settings!$B$5,BD$4&gt;TODAY())),"",IF(EOMONTH(BC$4,0)&lt;=Settings!$B$5,N(Settings!$C$31),N(Calc!$AQ$58)))</f>
        <v/>
      </c>
      <c r="BE19" s="31">
        <f>IF(OR(Settings!$A$31="",Settings!$F$31="Yes",OR(EOMONTH(BE$4,0)&lt;=Settings!$B$5,BE$4&gt;TODAY())),"",IF(EOMONTH(BD$4,0)&lt;=Settings!$B$5,N(Settings!$C$31),N(Calc!$AQ$59)))</f>
        <v/>
      </c>
      <c r="BF19" s="31">
        <f>IF(OR(Settings!$A$31="",Settings!$F$31="Yes",OR(EOMONTH(BF$4,0)&lt;=Settings!$B$5,BF$4&gt;TODAY())),"",IF(EOMONTH(BE$4,0)&lt;=Settings!$B$5,N(Settings!$C$31),N(Calc!$AQ$60)))</f>
        <v/>
      </c>
      <c r="BG19" s="31">
        <f>IF(OR(Settings!$A$31="",Settings!$F$31="Yes",OR(EOMONTH(BG$4,0)&lt;=Settings!$B$5,BG$4&gt;TODAY())),"",IF(EOMONTH(BF$4,0)&lt;=Settings!$B$5,N(Settings!$C$31),N(Calc!$AQ$61)))</f>
        <v/>
      </c>
      <c r="BH19" s="31">
        <f>IF(OR(Settings!$A$31="",Settings!$F$31="Yes",OR(EOMONTH(BH$4,0)&lt;=Settings!$B$5,BH$4&gt;TODAY())),"",IF(EOMONTH(BG$4,0)&lt;=Settings!$B$5,N(Settings!$C$31),N(Calc!$AQ$62)))</f>
        <v/>
      </c>
      <c r="BI19" s="31">
        <f>IF(OR(Settings!$A$31="",Settings!$F$31="Yes",OR(EOMONTH(BI$4,0)&lt;=Settings!$B$5,BI$4&gt;TODAY())),"",IF(EOMONTH(BH$4,0)&lt;=Settings!$B$5,N(Settings!$C$31),N(Calc!$AQ$63)))</f>
        <v/>
      </c>
      <c r="BJ19" s="31">
        <f>IF(OR(Settings!$A$31="",Settings!$F$31="Yes",OR(EOMONTH(BJ$4,0)&lt;=Settings!$B$5,BJ$4&gt;TODAY())),"",IF(EOMONTH(BI$4,0)&lt;=Settings!$B$5,N(Settings!$C$31),N(Calc!$AQ$64)))</f>
        <v/>
      </c>
      <c r="BK19" s="31">
        <f>IF(OR(Settings!$A$31="",Settings!$F$31="Yes",OR(EOMONTH(BK$4,0)&lt;=Settings!$B$5,BK$4&gt;TODAY())),"",IF(EOMONTH(BJ$4,0)&lt;=Settings!$B$5,N(Settings!$C$31),N(Calc!$AQ$65)))</f>
        <v/>
      </c>
      <c r="BL19" s="31">
        <f>IF(OR(Settings!$A$31="",Settings!$F$31="Yes",OR(EOMONTH(BL$4,0)&lt;=Settings!$B$5,BL$4&gt;TODAY())),"",IF(EOMONTH(BK$4,0)&lt;=Settings!$B$5,N(Settings!$C$31),N(Calc!$AQ$66)))</f>
        <v/>
      </c>
      <c r="BM19" s="31">
        <f>IF(OR(Settings!$A$31="",Settings!$F$31="Yes",OR(EOMONTH(BM$4,0)&lt;=Settings!$B$5,BM$4&gt;TODAY())),"",IF(EOMONTH(BL$4,0)&lt;=Settings!$B$5,N(Settings!$C$31),N(Calc!$AQ$67)))</f>
        <v/>
      </c>
      <c r="BN19" s="31">
        <f>IF(OR(Settings!$A$31="",Settings!$F$31="Yes",OR(EOMONTH(BN$4,0)&lt;=Settings!$B$5,BN$4&gt;TODAY())),"",IF(EOMONTH(BM$4,0)&lt;=Settings!$B$5,N(Settings!$C$31),N(Calc!$AQ$68)))</f>
        <v/>
      </c>
      <c r="BO19" s="31">
        <f>IF(OR(Settings!$A$31="",Settings!$F$31="Yes",OR(EOMONTH(BO$4,0)&lt;=Settings!$B$5,BO$4&gt;TODAY())),"",IF(EOMONTH(BN$4,0)&lt;=Settings!$B$5,N(Settings!$C$31),N(Calc!$AQ$69)))</f>
        <v/>
      </c>
      <c r="BP19" s="31">
        <f>IF(OR(Settings!$A$31="",Settings!$F$31="Yes",OR(EOMONTH(BP$4,0)&lt;=Settings!$B$5,BP$4&gt;TODAY())),"",IF(EOMONTH(BO$4,0)&lt;=Settings!$B$5,N(Settings!$C$31),N(Calc!$AQ$70)))</f>
        <v/>
      </c>
      <c r="BQ19" s="31">
        <f>IF(OR(Settings!$A$31="",Settings!$F$31="Yes",OR(EOMONTH(BQ$4,0)&lt;=Settings!$B$5,BQ$4&gt;TODAY())),"",IF(EOMONTH(BP$4,0)&lt;=Settings!$B$5,N(Settings!$C$31),N(Calc!$AQ$71)))</f>
        <v/>
      </c>
      <c r="BR19" s="31">
        <f>IF(OR(Settings!$A$31="",Settings!$F$31="Yes",OR(EOMONTH(BR$4,0)&lt;=Settings!$B$5,BR$4&gt;TODAY())),"",IF(EOMONTH(BQ$4,0)&lt;=Settings!$B$5,N(Settings!$C$31),N(Calc!$AQ$72)))</f>
        <v/>
      </c>
      <c r="BS19" s="31">
        <f>IF(OR(Settings!$A$31="",Settings!$F$31="Yes",OR(EOMONTH(BS$4,0)&lt;=Settings!$B$5,BS$4&gt;TODAY())),"",IF(EOMONTH(BR$4,0)&lt;=Settings!$B$5,N(Settings!$C$31),N(Calc!$AQ$73)))</f>
        <v/>
      </c>
      <c r="BT19" s="31">
        <f>IF(OR(Settings!$A$31="",Settings!$F$31="Yes",OR(EOMONTH(BT$4,0)&lt;=Settings!$B$5,BT$4&gt;TODAY())),"",IF(EOMONTH(BS$4,0)&lt;=Settings!$B$5,N(Settings!$C$31),N(Calc!$AQ$74)))</f>
        <v/>
      </c>
      <c r="BU19" s="31">
        <f>IF(OR(Settings!$A$31="",Settings!$F$31="Yes",OR(EOMONTH(BU$4,0)&lt;=Settings!$B$5,BU$4&gt;TODAY())),"",IF(EOMONTH(BT$4,0)&lt;=Settings!$B$5,N(Settings!$C$31),N(Calc!$AQ$75)))</f>
        <v/>
      </c>
      <c r="BV19" s="31">
        <f>IF(OR(Settings!$A$31="",Settings!$F$31="Yes",OR(EOMONTH(BV$4,0)&lt;=Settings!$B$5,BV$4&gt;TODAY())),"",IF(EOMONTH(BU$4,0)&lt;=Settings!$B$5,N(Settings!$C$31),N(Calc!$AQ$76)))</f>
        <v/>
      </c>
      <c r="BW19" s="31">
        <f>IF(OR(Settings!$A$31="",Settings!$F$31="Yes",OR(EOMONTH(BW$4,0)&lt;=Settings!$B$5,BW$4&gt;TODAY())),"",IF(EOMONTH(BV$4,0)&lt;=Settings!$B$5,N(Settings!$C$31),N(Calc!$AQ$77)))</f>
        <v/>
      </c>
      <c r="BX19" s="31">
        <f>IF(OR(Settings!$A$31="",Settings!$F$31="Yes",OR(EOMONTH(BX$4,0)&lt;=Settings!$B$5,BX$4&gt;TODAY())),"",IF(EOMONTH(BW$4,0)&lt;=Settings!$B$5,N(Settings!$C$31),N(Calc!$AQ$78)))</f>
        <v/>
      </c>
      <c r="BY19" s="31">
        <f>IF(OR(Settings!$A$31="",Settings!$F$31="Yes",OR(EOMONTH(BY$4,0)&lt;=Settings!$B$5,BY$4&gt;TODAY())),"",IF(EOMONTH(BX$4,0)&lt;=Settings!$B$5,N(Settings!$C$31),N(Calc!$AQ$79)))</f>
        <v/>
      </c>
      <c r="BZ19" s="31">
        <f>IF(OR(Settings!$A$31="",Settings!$F$31="Yes",OR(EOMONTH(BZ$4,0)&lt;=Settings!$B$5,BZ$4&gt;TODAY())),"",IF(EOMONTH(BY$4,0)&lt;=Settings!$B$5,N(Settings!$C$31),N(Calc!$AQ$80)))</f>
        <v/>
      </c>
      <c r="CA19" s="31">
        <f>IF(OR(Settings!$A$31="",Settings!$F$31="Yes",OR(EOMONTH(CA$4,0)&lt;=Settings!$B$5,CA$4&gt;TODAY())),"",IF(EOMONTH(BZ$4,0)&lt;=Settings!$B$5,N(Settings!$C$31),N(Calc!$AQ$81)))</f>
        <v/>
      </c>
      <c r="CB19" s="31">
        <f>IF(OR(Settings!$A$31="",Settings!$F$31="Yes",OR(EOMONTH(CB$4,0)&lt;=Settings!$B$5,CB$4&gt;TODAY())),"",IF(EOMONTH(CA$4,0)&lt;=Settings!$B$5,N(Settings!$C$31),N(Calc!$AQ$82)))</f>
        <v/>
      </c>
      <c r="CC19" s="31">
        <f>IF(OR(Settings!$A$31="",Settings!$F$31="Yes",OR(EOMONTH(CC$4,0)&lt;=Settings!$B$5,CC$4&gt;TODAY())),"",IF(EOMONTH(CB$4,0)&lt;=Settings!$B$5,N(Settings!$C$31),N(Calc!$AQ$83)))</f>
        <v/>
      </c>
      <c r="CD19" s="31">
        <f>IF(OR(Settings!$A$31="",Settings!$F$31="Yes",OR(EOMONTH(CD$4,0)&lt;=Settings!$B$5,CD$4&gt;TODAY())),"",IF(EOMONTH(CC$4,0)&lt;=Settings!$B$5,N(Settings!$C$31),N(Calc!$AQ$84)))</f>
        <v/>
      </c>
      <c r="CE19" s="31">
        <f>IF(OR(Settings!$A$31="",Settings!$F$31="Yes",OR(EOMONTH(CE$4,0)&lt;=Settings!$B$5,CE$4&gt;TODAY())),"",IF(EOMONTH(CD$4,0)&lt;=Settings!$B$5,N(Settings!$C$31),N(Calc!$AQ$85)))</f>
        <v/>
      </c>
      <c r="CF19" s="31">
        <f>IF(OR(Settings!$A$31="",Settings!$F$31="Yes",OR(EOMONTH(CF$4,0)&lt;=Settings!$B$5,CF$4&gt;TODAY())),"",IF(EOMONTH(CE$4,0)&lt;=Settings!$B$5,N(Settings!$C$31),N(Calc!$AQ$86)))</f>
        <v/>
      </c>
      <c r="CG19" s="31">
        <f>IF(OR(Settings!$A$31="",Settings!$F$31="Yes",OR(EOMONTH(CG$4,0)&lt;=Settings!$B$5,CG$4&gt;TODAY())),"",IF(EOMONTH(CF$4,0)&lt;=Settings!$B$5,N(Settings!$C$31),N(Calc!$AQ$87)))</f>
        <v/>
      </c>
      <c r="CH19" s="31">
        <f>IF(OR(Settings!$A$31="",Settings!$F$31="Yes",OR(EOMONTH(CH$4,0)&lt;=Settings!$B$5,CH$4&gt;TODAY())),"",IF(EOMONTH(CG$4,0)&lt;=Settings!$B$5,N(Settings!$C$31),N(Calc!$AQ$88)))</f>
        <v/>
      </c>
      <c r="CI19" s="31">
        <f>IF(OR(Settings!$A$31="",Settings!$F$31="Yes",OR(EOMONTH(CI$4,0)&lt;=Settings!$B$5,CI$4&gt;TODAY())),"",IF(EOMONTH(CH$4,0)&lt;=Settings!$B$5,N(Settings!$C$31),N(Calc!$AQ$89)))</f>
        <v/>
      </c>
      <c r="CJ19" s="31">
        <f>IF(OR(Settings!$A$31="",Settings!$F$31="Yes",OR(EOMONTH(CJ$4,0)&lt;=Settings!$B$5,CJ$4&gt;TODAY())),"",IF(EOMONTH(CI$4,0)&lt;=Settings!$B$5,N(Settings!$C$31),N(Calc!$AQ$90)))</f>
        <v/>
      </c>
      <c r="CK19" s="31">
        <f>IF(OR(Settings!$A$31="",Settings!$F$31="Yes",OR(EOMONTH(CK$4,0)&lt;=Settings!$B$5,CK$4&gt;TODAY())),"",IF(EOMONTH(CJ$4,0)&lt;=Settings!$B$5,N(Settings!$C$31),N(Calc!$AQ$91)))</f>
        <v/>
      </c>
      <c r="CL19" s="31">
        <f>IF(OR(Settings!$A$31="",Settings!$F$31="Yes",OR(EOMONTH(CL$4,0)&lt;=Settings!$B$5,CL$4&gt;TODAY())),"",IF(EOMONTH(CK$4,0)&lt;=Settings!$B$5,N(Settings!$C$31),N(Calc!$AQ$92)))</f>
        <v/>
      </c>
      <c r="CM19" s="31">
        <f>IF(OR(Settings!$A$31="",Settings!$F$31="Yes",OR(EOMONTH(CM$4,0)&lt;=Settings!$B$5,CM$4&gt;TODAY())),"",IF(EOMONTH(CL$4,0)&lt;=Settings!$B$5,N(Settings!$C$31),N(Calc!$AQ$93)))</f>
        <v/>
      </c>
      <c r="CN19" s="31">
        <f>IF(OR(Settings!$A$31="",Settings!$F$31="Yes",OR(EOMONTH(CN$4,0)&lt;=Settings!$B$5,CN$4&gt;TODAY())),"",IF(EOMONTH(CM$4,0)&lt;=Settings!$B$5,N(Settings!$C$31),N(Calc!$AQ$94)))</f>
        <v/>
      </c>
      <c r="CO19" s="31">
        <f>IF(OR(Settings!$A$31="",Settings!$F$31="Yes",OR(EOMONTH(CO$4,0)&lt;=Settings!$B$5,CO$4&gt;TODAY())),"",IF(EOMONTH(CN$4,0)&lt;=Settings!$B$5,N(Settings!$C$31),N(Calc!$AQ$95)))</f>
        <v/>
      </c>
      <c r="CP19" s="31">
        <f>IF(OR(Settings!$A$31="",Settings!$F$31="Yes",OR(EOMONTH(CP$4,0)&lt;=Settings!$B$5,CP$4&gt;TODAY())),"",IF(EOMONTH(CO$4,0)&lt;=Settings!$B$5,N(Settings!$C$31),N(Calc!$AQ$96)))</f>
        <v/>
      </c>
      <c r="CQ19" s="31">
        <f>IF(OR(Settings!$A$31="",Settings!$F$31="Yes",OR(EOMONTH(CQ$4,0)&lt;=Settings!$B$5,CQ$4&gt;TODAY())),"",IF(EOMONTH(CP$4,0)&lt;=Settings!$B$5,N(Settings!$C$31),N(Calc!$AQ$97)))</f>
        <v/>
      </c>
      <c r="CR19" s="31">
        <f>IF(OR(Settings!$A$31="",Settings!$F$31="Yes",OR(EOMONTH(CR$4,0)&lt;=Settings!$B$5,CR$4&gt;TODAY())),"",IF(EOMONTH(CQ$4,0)&lt;=Settings!$B$5,N(Settings!$C$31),N(Calc!$AQ$98)))</f>
        <v/>
      </c>
      <c r="CS19" s="31">
        <f>IF(OR(Settings!$A$31="",Settings!$F$31="Yes",OR(EOMONTH(CS$4,0)&lt;=Settings!$B$5,CS$4&gt;TODAY())),"",IF(EOMONTH(CR$4,0)&lt;=Settings!$B$5,N(Settings!$C$31),N(Calc!$AQ$99)))</f>
        <v/>
      </c>
      <c r="CT19" s="31">
        <f>IF(OR(Settings!$A$31="",Settings!$F$31="Yes",OR(EOMONTH(CT$4,0)&lt;=Settings!$B$5,CT$4&gt;TODAY())),"",IF(EOMONTH(CS$4,0)&lt;=Settings!$B$5,N(Settings!$C$31),N(Calc!$AQ$100)))</f>
        <v/>
      </c>
      <c r="CU19" s="31">
        <f>IF(OR(Settings!$A$31="",Settings!$F$31="Yes",OR(EOMONTH(CU$4,0)&lt;=Settings!$B$5,CU$4&gt;TODAY())),"",IF(EOMONTH(CT$4,0)&lt;=Settings!$B$5,N(Settings!$C$31),N(Calc!$AQ$101)))</f>
        <v/>
      </c>
      <c r="CV19" s="31">
        <f>IF(OR(Settings!$A$31="",Settings!$F$31="Yes",OR(EOMONTH(CV$4,0)&lt;=Settings!$B$5,CV$4&gt;TODAY())),"",IF(EOMONTH(CU$4,0)&lt;=Settings!$B$5,N(Settings!$C$31),N(Calc!$AQ$102)))</f>
        <v/>
      </c>
      <c r="CW19" s="31">
        <f>IF(OR(Settings!$A$31="",Settings!$F$31="Yes",OR(EOMONTH(CW$4,0)&lt;=Settings!$B$5,CW$4&gt;TODAY())),"",IF(EOMONTH(CV$4,0)&lt;=Settings!$B$5,N(Settings!$C$31),N(Calc!$AQ$103)))</f>
        <v/>
      </c>
      <c r="CX19" s="31">
        <f>IF(OR(Settings!$A$31="",Settings!$F$31="Yes",OR(EOMONTH(CX$4,0)&lt;=Settings!$B$5,CX$4&gt;TODAY())),"",IF(EOMONTH(CW$4,0)&lt;=Settings!$B$5,N(Settings!$C$31),N(Calc!$AQ$104)))</f>
        <v/>
      </c>
      <c r="CY19" s="31">
        <f>IF(OR(Settings!$A$31="",Settings!$F$31="Yes",OR(EOMONTH(CY$4,0)&lt;=Settings!$B$5,CY$4&gt;TODAY())),"",IF(EOMONTH(CX$4,0)&lt;=Settings!$B$5,N(Settings!$C$31),N(Calc!$AQ$105)))</f>
        <v/>
      </c>
      <c r="CZ19" s="31">
        <f>IF(OR(Settings!$A$31="",Settings!$F$31="Yes",OR(EOMONTH(CZ$4,0)&lt;=Settings!$B$5,CZ$4&gt;TODAY())),"",IF(EOMONTH(CY$4,0)&lt;=Settings!$B$5,N(Settings!$C$31),N(Calc!$AQ$106)))</f>
        <v/>
      </c>
      <c r="DA19" s="31">
        <f>IF(OR(Settings!$A$31="",Settings!$F$31="Yes",OR(EOMONTH(DA$4,0)&lt;=Settings!$B$5,DA$4&gt;TODAY())),"",IF(EOMONTH(CZ$4,0)&lt;=Settings!$B$5,N(Settings!$C$31),N(Calc!$AQ$107)))</f>
        <v/>
      </c>
      <c r="DB19" s="31">
        <f>IF(OR(Settings!$A$31="",Settings!$F$31="Yes",OR(EOMONTH(DB$4,0)&lt;=Settings!$B$5,DB$4&gt;TODAY())),"",IF(EOMONTH(DA$4,0)&lt;=Settings!$B$5,N(Settings!$C$31),N(Calc!$AQ$108)))</f>
        <v/>
      </c>
      <c r="DC19" s="31">
        <f>IF(OR(Settings!$A$31="",Settings!$F$31="Yes",OR(EOMONTH(DC$4,0)&lt;=Settings!$B$5,DC$4&gt;TODAY())),"",IF(EOMONTH(DB$4,0)&lt;=Settings!$B$5,N(Settings!$C$31),N(Calc!$AQ$109)))</f>
        <v/>
      </c>
      <c r="DD19" s="31">
        <f>IF(OR(Settings!$A$31="",Settings!$F$31="Yes",OR(EOMONTH(DD$4,0)&lt;=Settings!$B$5,DD$4&gt;TODAY())),"",IF(EOMONTH(DC$4,0)&lt;=Settings!$B$5,N(Settings!$C$31),N(Calc!$AQ$110)))</f>
        <v/>
      </c>
      <c r="DE19" s="31">
        <f>IF(OR(Settings!$A$31="",Settings!$F$31="Yes",OR(EOMONTH(DE$4,0)&lt;=Settings!$B$5,DE$4&gt;TODAY())),"",IF(EOMONTH(DD$4,0)&lt;=Settings!$B$5,N(Settings!$C$31),N(Calc!$AQ$111)))</f>
        <v/>
      </c>
      <c r="DF19" s="31">
        <f>IF(OR(Settings!$A$31="",Settings!$F$31="Yes",OR(EOMONTH(DF$4,0)&lt;=Settings!$B$5,DF$4&gt;TODAY())),"",IF(EOMONTH(DE$4,0)&lt;=Settings!$B$5,N(Settings!$C$31),N(Calc!$AQ$112)))</f>
        <v/>
      </c>
      <c r="DG19" s="31">
        <f>IF(OR(Settings!$A$31="",Settings!$F$31="Yes",OR(EOMONTH(DG$4,0)&lt;=Settings!$B$5,DG$4&gt;TODAY())),"",IF(EOMONTH(DF$4,0)&lt;=Settings!$B$5,N(Settings!$C$31),N(Calc!$AQ$113)))</f>
        <v/>
      </c>
      <c r="DH19" s="31">
        <f>IF(OR(Settings!$A$31="",Settings!$F$31="Yes",OR(EOMONTH(DH$4,0)&lt;=Settings!$B$5,DH$4&gt;TODAY())),"",IF(EOMONTH(DG$4,0)&lt;=Settings!$B$5,N(Settings!$C$31),N(Calc!$AQ$114)))</f>
        <v/>
      </c>
      <c r="DI19" s="31">
        <f>IF(OR(Settings!$A$31="",Settings!$F$31="Yes",OR(EOMONTH(DI$4,0)&lt;=Settings!$B$5,DI$4&gt;TODAY())),"",IF(EOMONTH(DH$4,0)&lt;=Settings!$B$5,N(Settings!$C$31),N(Calc!$AQ$115)))</f>
        <v/>
      </c>
      <c r="DJ19" s="31">
        <f>IF(OR(Settings!$A$31="",Settings!$F$31="Yes",OR(EOMONTH(DJ$4,0)&lt;=Settings!$B$5,DJ$4&gt;TODAY())),"",IF(EOMONTH(DI$4,0)&lt;=Settings!$B$5,N(Settings!$C$31),N(Calc!$AQ$116)))</f>
        <v/>
      </c>
      <c r="DK19" s="31">
        <f>IF(OR(Settings!$A$31="",Settings!$F$31="Yes",OR(EOMONTH(DK$4,0)&lt;=Settings!$B$5,DK$4&gt;TODAY())),"",IF(EOMONTH(DJ$4,0)&lt;=Settings!$B$5,N(Settings!$C$31),N(Calc!$AQ$117)))</f>
        <v/>
      </c>
      <c r="DL19" s="31">
        <f>IF(OR(Settings!$A$31="",Settings!$F$31="Yes",OR(EOMONTH(DL$4,0)&lt;=Settings!$B$5,DL$4&gt;TODAY())),"",IF(EOMONTH(DK$4,0)&lt;=Settings!$B$5,N(Settings!$C$31),N(Calc!$AQ$118)))</f>
        <v/>
      </c>
      <c r="DM19" s="31">
        <f>IF(OR(Settings!$A$31="",Settings!$F$31="Yes",OR(EOMONTH(DM$4,0)&lt;=Settings!$B$5,DM$4&gt;TODAY())),"",IF(EOMONTH(DL$4,0)&lt;=Settings!$B$5,N(Settings!$C$31),N(Calc!$AQ$119)))</f>
        <v/>
      </c>
      <c r="DN19" s="31">
        <f>IF(OR(Settings!$A$31="",Settings!$F$31="Yes",OR(EOMONTH(DN$4,0)&lt;=Settings!$B$5,DN$4&gt;TODAY())),"",IF(EOMONTH(DM$4,0)&lt;=Settings!$B$5,N(Settings!$C$31),N(Calc!$AQ$120)))</f>
        <v/>
      </c>
      <c r="DO19" s="31">
        <f>IF(OR(Settings!$A$31="",Settings!$F$31="Yes",OR(EOMONTH(DO$4,0)&lt;=Settings!$B$5,DO$4&gt;TODAY())),"",IF(EOMONTH(DN$4,0)&lt;=Settings!$B$5,N(Settings!$C$31),N(Calc!$AQ$121)))</f>
        <v/>
      </c>
      <c r="DP19" s="31">
        <f>IF(OR(Settings!$A$31="",Settings!$F$31="Yes",OR(EOMONTH(DP$4,0)&lt;=Settings!$B$5,DP$4&gt;TODAY())),"",IF(EOMONTH(DO$4,0)&lt;=Settings!$B$5,N(Settings!$C$31),N(Calc!$AQ$122)))</f>
        <v/>
      </c>
      <c r="DQ19" s="31">
        <f>IF(OR(Settings!$A$31="",Settings!$F$31="Yes",OR(EOMONTH(DQ$4,0)&lt;=Settings!$B$5,DQ$4&gt;TODAY())),"",IF(EOMONTH(DP$4,0)&lt;=Settings!$B$5,N(Settings!$C$31),N(Calc!$AQ$123)))</f>
        <v/>
      </c>
      <c r="DR19" s="31">
        <f>IF(OR(Settings!$A$31="",Settings!$F$31="Yes",OR(EOMONTH(DR$4,0)&lt;=Settings!$B$5,DR$4&gt;TODAY())),"",IF(EOMONTH(DQ$4,0)&lt;=Settings!$B$5,N(Settings!$C$31),N(Calc!$AQ$124)))</f>
        <v/>
      </c>
      <c r="DS19" s="31">
        <f>IF(OR(Settings!$A$31="",Settings!$F$31="Yes",OR(EOMONTH(DS$4,0)&lt;=Settings!$B$5,DS$4&gt;TODAY())),"",IF(EOMONTH(DR$4,0)&lt;=Settings!$B$5,N(Settings!$C$31),N(Calc!$AQ$125)))</f>
        <v/>
      </c>
      <c r="DT19" s="31">
        <f>IF(OR(Settings!$A$31="",Settings!$F$31="Yes",OR(EOMONTH(DT$4,0)&lt;=Settings!$B$5,DT$4&gt;TODAY())),"",IF(EOMONTH(DS$4,0)&lt;=Settings!$B$5,N(Settings!$C$31),N(Calc!$AQ$126)))</f>
        <v/>
      </c>
      <c r="DU19" s="31">
        <f>IF(OR(Settings!$A$31="",Settings!$F$31="Yes",OR(EOMONTH(DU$4,0)&lt;=Settings!$B$5,DU$4&gt;TODAY())),"",IF(EOMONTH(DT$4,0)&lt;=Settings!$B$5,N(Settings!$C$31),N(Calc!$AQ$127)))</f>
        <v/>
      </c>
      <c r="DV19" s="31">
        <f>IF(OR(Settings!$A$31="",Settings!$F$31="Yes",OR(EOMONTH(DV$4,0)&lt;=Settings!$B$5,DV$4&gt;TODAY())),"",IF(EOMONTH(DU$4,0)&lt;=Settings!$B$5,N(Settings!$C$31),N(Calc!$AQ$128)))</f>
        <v/>
      </c>
      <c r="DW19" s="31">
        <f>IF(OR(Settings!$A$31="",Settings!$F$31="Yes",OR(EOMONTH(DW$4,0)&lt;=Settings!$B$5,DW$4&gt;TODAY())),"",IF(EOMONTH(DV$4,0)&lt;=Settings!$B$5,N(Settings!$C$31),N(Calc!$AQ$129)))</f>
        <v/>
      </c>
      <c r="DX19" s="31">
        <f>IF(OR(Settings!$A$31="",Settings!$F$31="Yes",OR(EOMONTH(DX$4,0)&lt;=Settings!$B$5,DX$4&gt;TODAY())),"",IF(EOMONTH(DW$4,0)&lt;=Settings!$B$5,N(Settings!$C$31),N(Calc!$AQ$130)))</f>
        <v/>
      </c>
      <c r="DY19" s="31">
        <f>IF(OR(Settings!$A$31="",Settings!$F$31="Yes",OR(EOMONTH(DY$4,0)&lt;=Settings!$B$5,DY$4&gt;TODAY())),"",IF(EOMONTH(DX$4,0)&lt;=Settings!$B$5,N(Settings!$C$31),N(Calc!$AQ$131)))</f>
        <v/>
      </c>
      <c r="DZ19" s="31">
        <f>IF(OR(Settings!$A$31="",Settings!$F$31="Yes",OR(EOMONTH(DZ$4,0)&lt;=Settings!$B$5,DZ$4&gt;TODAY())),"",IF(EOMONTH(DY$4,0)&lt;=Settings!$B$5,N(Settings!$C$31),N(Calc!$AQ$132)))</f>
        <v/>
      </c>
      <c r="EA19" s="31">
        <f>IF(OR(Settings!$A$31="",Settings!$F$31="Yes",OR(EOMONTH(EA$4,0)&lt;=Settings!$B$5,EA$4&gt;TODAY())),"",IF(EOMONTH(DZ$4,0)&lt;=Settings!$B$5,N(Settings!$C$31),N(Calc!$AQ$133)))</f>
        <v/>
      </c>
      <c r="EB19" s="31">
        <f>IF(OR(Settings!$A$31="",Settings!$F$31="Yes",OR(EOMONTH(EB$4,0)&lt;=Settings!$B$5,EB$4&gt;TODAY())),"",IF(EOMONTH(EA$4,0)&lt;=Settings!$B$5,N(Settings!$C$31),N(Calc!$AQ$134)))</f>
        <v/>
      </c>
      <c r="EC19" s="31">
        <f>IF(OR(Settings!$A$31="",Settings!$F$31="Yes",OR(EOMONTH(EC$4,0)&lt;=Settings!$B$5,EC$4&gt;TODAY())),"",IF(EOMONTH(EB$4,0)&lt;=Settings!$B$5,N(Settings!$C$31),N(Calc!$AQ$135)))</f>
        <v/>
      </c>
      <c r="ED19" s="31">
        <f>IF(OR(Settings!$A$31="",Settings!$F$31="Yes",OR(EOMONTH(ED$4,0)&lt;=Settings!$B$5,ED$4&gt;TODAY())),"",IF(EOMONTH(EC$4,0)&lt;=Settings!$B$5,N(Settings!$C$31),N(Calc!$AQ$136)))</f>
        <v/>
      </c>
      <c r="EE19" s="31">
        <f>IF(OR(Settings!$A$31="",Settings!$F$31="Yes",OR(EOMONTH(EE$4,0)&lt;=Settings!$B$5,EE$4&gt;TODAY())),"",IF(EOMONTH(ED$4,0)&lt;=Settings!$B$5,N(Settings!$C$31),N(Calc!$AQ$137)))</f>
        <v/>
      </c>
      <c r="EF19" s="31">
        <f>IF(OR(Settings!$A$31="",Settings!$F$31="Yes",OR(EOMONTH(EF$4,0)&lt;=Settings!$B$5,EF$4&gt;TODAY())),"",IF(EOMONTH(EE$4,0)&lt;=Settings!$B$5,N(Settings!$C$31),N(Calc!$AQ$138)))</f>
        <v/>
      </c>
      <c r="EG19" s="31">
        <f>IF(OR(Settings!$A$31="",Settings!$F$31="Yes",OR(EOMONTH(EG$4,0)&lt;=Settings!$B$5,EG$4&gt;TODAY())),"",IF(EOMONTH(EF$4,0)&lt;=Settings!$B$5,N(Settings!$C$31),N(Calc!$AQ$139)))</f>
        <v/>
      </c>
      <c r="EH19" s="31">
        <f>IF(OR(Settings!$A$31="",Settings!$F$31="Yes",OR(EOMONTH(EH$4,0)&lt;=Settings!$B$5,EH$4&gt;TODAY())),"",IF(EOMONTH(EG$4,0)&lt;=Settings!$B$5,N(Settings!$C$31),N(Calc!$AQ$140)))</f>
        <v/>
      </c>
      <c r="EI19" s="31">
        <f>IF(OR(Settings!$A$31="",Settings!$F$31="Yes",OR(EOMONTH(EI$4,0)&lt;=Settings!$B$5,EI$4&gt;TODAY())),"",IF(EOMONTH(EH$4,0)&lt;=Settings!$B$5,N(Settings!$C$31),N(Calc!$AQ$141)))</f>
        <v/>
      </c>
      <c r="EJ19" s="31">
        <f>IF(OR(Settings!$A$31="",Settings!$F$31="Yes",OR(EOMONTH(EJ$4,0)&lt;=Settings!$B$5,EJ$4&gt;TODAY())),"",IF(EOMONTH(EI$4,0)&lt;=Settings!$B$5,N(Settings!$C$31),N(Calc!$AQ$142)))</f>
        <v/>
      </c>
      <c r="EK19" s="31">
        <f>IF(OR(Settings!$A$31="",Settings!$F$31="Yes",OR(EOMONTH(EK$4,0)&lt;=Settings!$B$5,EK$4&gt;TODAY())),"",IF(EOMONTH(EJ$4,0)&lt;=Settings!$B$5,N(Settings!$C$31),N(Calc!$AQ$143)))</f>
        <v/>
      </c>
      <c r="EL19" s="31">
        <f>IF(OR(Settings!$A$31="",Settings!$F$31="Yes",OR(EOMONTH(EL$4,0)&lt;=Settings!$B$5,EL$4&gt;TODAY())),"",IF(EOMONTH(EK$4,0)&lt;=Settings!$B$5,N(Settings!$C$31),N(Calc!$AQ$144)))</f>
        <v/>
      </c>
      <c r="EM19" s="31">
        <f>IF(OR(Settings!$A$31="",Settings!$F$31="Yes",OR(EOMONTH(EM$4,0)&lt;=Settings!$B$5,EM$4&gt;TODAY())),"",IF(EOMONTH(EL$4,0)&lt;=Settings!$B$5,N(Settings!$C$31),N(Calc!$AQ$145)))</f>
        <v/>
      </c>
      <c r="EN19" s="31">
        <f>IF(OR(Settings!$A$31="",Settings!$F$31="Yes",OR(EOMONTH(EN$4,0)&lt;=Settings!$B$5,EN$4&gt;TODAY())),"",IF(EOMONTH(EM$4,0)&lt;=Settings!$B$5,N(Settings!$C$31),N(Calc!$AQ$146)))</f>
        <v/>
      </c>
      <c r="EO19" s="31">
        <f>IF(OR(Settings!$A$31="",Settings!$F$31="Yes",OR(EOMONTH(EO$4,0)&lt;=Settings!$B$5,EO$4&gt;TODAY())),"",IF(EOMONTH(EN$4,0)&lt;=Settings!$B$5,N(Settings!$C$31),N(Calc!$AQ$147)))</f>
        <v/>
      </c>
      <c r="EP19" s="31">
        <f>IF(OR(Settings!$A$31="",Settings!$F$31="Yes",OR(EOMONTH(EP$4,0)&lt;=Settings!$B$5,EP$4&gt;TODAY())),"",IF(EOMONTH(EO$4,0)&lt;=Settings!$B$5,N(Settings!$C$31),N(Calc!$AQ$148)))</f>
        <v/>
      </c>
      <c r="EQ19" s="31">
        <f>IF(OR(Settings!$A$31="",Settings!$F$31="Yes",OR(EOMONTH(EQ$4,0)&lt;=Settings!$B$5,EQ$4&gt;TODAY())),"",IF(EOMONTH(EP$4,0)&lt;=Settings!$B$5,N(Settings!$C$31),N(Calc!$AQ$149)))</f>
        <v/>
      </c>
      <c r="ER19" s="31">
        <f>IF(OR(Settings!$A$31="",Settings!$F$31="Yes",OR(EOMONTH(ER$4,0)&lt;=Settings!$B$5,ER$4&gt;TODAY())),"",IF(EOMONTH(EQ$4,0)&lt;=Settings!$B$5,N(Settings!$C$31),N(Calc!$AQ$150)))</f>
        <v/>
      </c>
      <c r="ES19" s="31">
        <f>IF(OR(Settings!$A$31="",Settings!$F$31="Yes",OR(EOMONTH(ES$4,0)&lt;=Settings!$B$5,ES$4&gt;TODAY())),"",IF(EOMONTH(ER$4,0)&lt;=Settings!$B$5,N(Settings!$C$31),N(Calc!$AQ$151)))</f>
        <v/>
      </c>
      <c r="ET19" s="31">
        <f>IF(OR(Settings!$A$31="",Settings!$F$31="Yes",OR(EOMONTH(ET$4,0)&lt;=Settings!$B$5,ET$4&gt;TODAY())),"",IF(EOMONTH(ES$4,0)&lt;=Settings!$B$5,N(Settings!$C$31),N(Calc!$AQ$152)))</f>
        <v/>
      </c>
      <c r="EU19" s="31">
        <f>IF(OR(Settings!$A$31="",Settings!$F$31="Yes",OR(EOMONTH(EU$4,0)&lt;=Settings!$B$5,EU$4&gt;TODAY())),"",IF(EOMONTH(ET$4,0)&lt;=Settings!$B$5,N(Settings!$C$31),N(Calc!$AQ$153)))</f>
        <v/>
      </c>
      <c r="EV19" s="31">
        <f>IF(OR(Settings!$A$31="",Settings!$F$31="Yes",OR(EOMONTH(EV$4,0)&lt;=Settings!$B$5,EV$4&gt;TODAY())),"",IF(EOMONTH(EU$4,0)&lt;=Settings!$B$5,N(Settings!$C$31),N(Calc!$AQ$154)))</f>
        <v/>
      </c>
      <c r="EW19" s="31">
        <f>IF(OR(Settings!$A$31="",Settings!$F$31="Yes",OR(EOMONTH(EW$4,0)&lt;=Settings!$B$5,EW$4&gt;TODAY())),"",IF(EOMONTH(EV$4,0)&lt;=Settings!$B$5,N(Settings!$C$31),N(Calc!$AQ$155)))</f>
        <v/>
      </c>
      <c r="EX19" s="31">
        <f>IF(OR(Settings!$A$31="",Settings!$F$31="Yes",OR(EOMONTH(EX$4,0)&lt;=Settings!$B$5,EX$4&gt;TODAY())),"",IF(EOMONTH(EW$4,0)&lt;=Settings!$B$5,N(Settings!$C$31),N(Calc!$AQ$156)))</f>
        <v/>
      </c>
      <c r="EY19" s="31">
        <f>IF(OR(Settings!$A$31="",Settings!$F$31="Yes",OR(EOMONTH(EY$4,0)&lt;=Settings!$B$5,EY$4&gt;TODAY())),"",IF(EOMONTH(EX$4,0)&lt;=Settings!$B$5,N(Settings!$C$31),N(Calc!$AQ$157)))</f>
        <v/>
      </c>
      <c r="EZ19" s="31">
        <f>IF(OR(Settings!$A$31="",Settings!$F$31="Yes",OR(EOMONTH(EZ$4,0)&lt;=Settings!$B$5,EZ$4&gt;TODAY())),"",IF(EOMONTH(EY$4,0)&lt;=Settings!$B$5,N(Settings!$C$31),N(Calc!$AQ$158)))</f>
        <v/>
      </c>
      <c r="FA19" s="31">
        <f>IF(OR(Settings!$A$31="",Settings!$F$31="Yes",OR(EOMONTH(FA$4,0)&lt;=Settings!$B$5,FA$4&gt;TODAY())),"",IF(EOMONTH(EZ$4,0)&lt;=Settings!$B$5,N(Settings!$C$31),N(Calc!$AQ$159)))</f>
        <v/>
      </c>
      <c r="FB19" s="31">
        <f>IF(OR(Settings!$A$31="",Settings!$F$31="Yes",OR(EOMONTH(FB$4,0)&lt;=Settings!$B$5,FB$4&gt;TODAY())),"",IF(EOMONTH(FA$4,0)&lt;=Settings!$B$5,N(Settings!$C$31),N(Calc!$AQ$160)))</f>
        <v/>
      </c>
      <c r="FC19" s="31">
        <f>IF(OR(Settings!$A$31="",Settings!$F$31="Yes",OR(EOMONTH(FC$4,0)&lt;=Settings!$B$5,FC$4&gt;TODAY())),"",IF(EOMONTH(FB$4,0)&lt;=Settings!$B$5,N(Settings!$C$31),N(Calc!$AQ$161)))</f>
        <v/>
      </c>
      <c r="FD19" s="31">
        <f>IF(OR(Settings!$A$31="",Settings!$F$31="Yes",OR(EOMONTH(FD$4,0)&lt;=Settings!$B$5,FD$4&gt;TODAY())),"",IF(EOMONTH(FC$4,0)&lt;=Settings!$B$5,N(Settings!$C$31),N(Calc!$AQ$162)))</f>
        <v/>
      </c>
      <c r="FE19" s="31">
        <f>IF(OR(Settings!$A$31="",Settings!$F$31="Yes",OR(EOMONTH(FE$4,0)&lt;=Settings!$B$5,FE$4&gt;TODAY())),"",IF(EOMONTH(FD$4,0)&lt;=Settings!$B$5,N(Settings!$C$31),N(Calc!$AQ$163)))</f>
        <v/>
      </c>
      <c r="FF19" s="31">
        <f>IF(OR(Settings!$A$31="",Settings!$F$31="Yes",OR(EOMONTH(FF$4,0)&lt;=Settings!$B$5,FF$4&gt;TODAY())),"",IF(EOMONTH(FE$4,0)&lt;=Settings!$B$5,N(Settings!$C$31),N(Calc!$AQ$164)))</f>
        <v/>
      </c>
      <c r="FG19" s="31">
        <f>IF(OR(Settings!$A$31="",Settings!$F$31="Yes",OR(EOMONTH(FG$4,0)&lt;=Settings!$B$5,FG$4&gt;TODAY())),"",IF(EOMONTH(FF$4,0)&lt;=Settings!$B$5,N(Settings!$C$31),N(Calc!$AQ$165)))</f>
        <v/>
      </c>
      <c r="FH19" s="31">
        <f>IF(OR(Settings!$A$31="",Settings!$F$31="Yes",OR(EOMONTH(FH$4,0)&lt;=Settings!$B$5,FH$4&gt;TODAY())),"",IF(EOMONTH(FG$4,0)&lt;=Settings!$B$5,N(Settings!$C$31),N(Calc!$AQ$166)))</f>
        <v/>
      </c>
      <c r="FI19" s="31">
        <f>IF(OR(Settings!$A$31="",Settings!$F$31="Yes",OR(EOMONTH(FI$4,0)&lt;=Settings!$B$5,FI$4&gt;TODAY())),"",IF(EOMONTH(FH$4,0)&lt;=Settings!$B$5,N(Settings!$C$31),N(Calc!$AQ$167)))</f>
        <v/>
      </c>
      <c r="FJ19" s="31">
        <f>IF(OR(Settings!$A$31="",Settings!$F$31="Yes",OR(EOMONTH(FJ$4,0)&lt;=Settings!$B$5,FJ$4&gt;TODAY())),"",IF(EOMONTH(FI$4,0)&lt;=Settings!$B$5,N(Settings!$C$31),N(Calc!$AQ$168)))</f>
        <v/>
      </c>
      <c r="FK19" s="31">
        <f>IF(OR(Settings!$A$31="",Settings!$F$31="Yes",OR(EOMONTH(FK$4,0)&lt;=Settings!$B$5,FK$4&gt;TODAY())),"",IF(EOMONTH(FJ$4,0)&lt;=Settings!$B$5,N(Settings!$C$31),N(Calc!$AQ$169)))</f>
        <v/>
      </c>
      <c r="FL19" s="31">
        <f>IF(OR(Settings!$A$31="",Settings!$F$31="Yes",OR(EOMONTH(FL$4,0)&lt;=Settings!$B$5,FL$4&gt;TODAY())),"",IF(EOMONTH(FK$4,0)&lt;=Settings!$B$5,N(Settings!$C$31),N(Calc!$AQ$170)))</f>
        <v/>
      </c>
      <c r="FM19" s="31">
        <f>IF(OR(Settings!$A$31="",Settings!$F$31="Yes",OR(EOMONTH(FM$4,0)&lt;=Settings!$B$5,FM$4&gt;TODAY())),"",IF(EOMONTH(FL$4,0)&lt;=Settings!$B$5,N(Settings!$C$31),N(Calc!$AQ$171)))</f>
        <v/>
      </c>
      <c r="FN19" s="31">
        <f>IF(OR(Settings!$A$31="",Settings!$F$31="Yes",OR(EOMONTH(FN$4,0)&lt;=Settings!$B$5,FN$4&gt;TODAY())),"",IF(EOMONTH(FM$4,0)&lt;=Settings!$B$5,N(Settings!$C$31),N(Calc!$AQ$172)))</f>
        <v/>
      </c>
      <c r="FO19" s="31">
        <f>IF(OR(Settings!$A$31="",Settings!$F$31="Yes",OR(EOMONTH(FO$4,0)&lt;=Settings!$B$5,FO$4&gt;TODAY())),"",IF(EOMONTH(FN$4,0)&lt;=Settings!$B$5,N(Settings!$C$31),N(Calc!$AQ$173)))</f>
        <v/>
      </c>
      <c r="FP19" s="31">
        <f>IF(OR(Settings!$A$31="",Settings!$F$31="Yes",OR(EOMONTH(FP$4,0)&lt;=Settings!$B$5,FP$4&gt;TODAY())),"",IF(EOMONTH(FO$4,0)&lt;=Settings!$B$5,N(Settings!$C$31),N(Calc!$AQ$174)))</f>
        <v/>
      </c>
      <c r="FQ19" s="31">
        <f>IF(OR(Settings!$A$31="",Settings!$F$31="Yes",OR(EOMONTH(FQ$4,0)&lt;=Settings!$B$5,FQ$4&gt;TODAY())),"",IF(EOMONTH(FP$4,0)&lt;=Settings!$B$5,N(Settings!$C$31),N(Calc!$AQ$175)))</f>
        <v/>
      </c>
      <c r="FR19" s="31">
        <f>IF(OR(Settings!$A$31="",Settings!$F$31="Yes",OR(EOMONTH(FR$4,0)&lt;=Settings!$B$5,FR$4&gt;TODAY())),"",IF(EOMONTH(FQ$4,0)&lt;=Settings!$B$5,N(Settings!$C$31),N(Calc!$AQ$176)))</f>
        <v/>
      </c>
      <c r="FS19" s="31">
        <f>IF(OR(Settings!$A$31="",Settings!$F$31="Yes",OR(EOMONTH(FS$4,0)&lt;=Settings!$B$5,FS$4&gt;TODAY())),"",IF(EOMONTH(FR$4,0)&lt;=Settings!$B$5,N(Settings!$C$31),N(Calc!$AQ$177)))</f>
        <v/>
      </c>
      <c r="FT19" s="31">
        <f>IF(OR(Settings!$A$31="",Settings!$F$31="Yes",OR(EOMONTH(FT$4,0)&lt;=Settings!$B$5,FT$4&gt;TODAY())),"",IF(EOMONTH(FS$4,0)&lt;=Settings!$B$5,N(Settings!$C$31),N(Calc!$AQ$178)))</f>
        <v/>
      </c>
      <c r="FU19" s="31">
        <f>IF(OR(Settings!$A$31="",Settings!$F$31="Yes",OR(EOMONTH(FU$4,0)&lt;=Settings!$B$5,FU$4&gt;TODAY())),"",IF(EOMONTH(FT$4,0)&lt;=Settings!$B$5,N(Settings!$C$31),N(Calc!$AQ$179)))</f>
        <v/>
      </c>
      <c r="FV19" s="31">
        <f>IF(OR(Settings!$A$31="",Settings!$F$31="Yes",OR(EOMONTH(FV$4,0)&lt;=Settings!$B$5,FV$4&gt;TODAY())),"",IF(EOMONTH(FU$4,0)&lt;=Settings!$B$5,N(Settings!$C$31),N(Calc!$AQ$180)))</f>
        <v/>
      </c>
      <c r="FW19" s="31">
        <f>IF(OR(Settings!$A$31="",Settings!$F$31="Yes",OR(EOMONTH(FW$4,0)&lt;=Settings!$B$5,FW$4&gt;TODAY())),"",IF(EOMONTH(FV$4,0)&lt;=Settings!$B$5,N(Settings!$C$31),N(Calc!$AQ$181)))</f>
        <v/>
      </c>
      <c r="FX19" s="31">
        <f>IF(OR(Settings!$A$31="",Settings!$F$31="Yes",OR(EOMONTH(FX$4,0)&lt;=Settings!$B$5,FX$4&gt;TODAY())),"",IF(EOMONTH(FW$4,0)&lt;=Settings!$B$5,N(Settings!$C$31),N(Calc!$AQ$182)))</f>
        <v/>
      </c>
    </row>
    <row r="20">
      <c r="A20" s="15">
        <f>IF(Settings!$A$32="","(unused)",Settings!$A$32&amp;IF(Settings!$E$32="No"," (retired)",""))</f>
        <v/>
      </c>
      <c r="B20" s="26">
        <f>IF(Settings!$A$32="","",IF(Settings!$F$32="Yes","REQUIRED","optional · grey = unchanged")&amp;IF(OR(Settings!$B$32="Card",Settings!$B$32="Loan")," · amount owed",""))</f>
        <v/>
      </c>
      <c r="C20" s="31">
        <f>IF(OR(Settings!$A$32="",Settings!$F$32="Yes",OR(EOMONTH(C$4,0)&lt;=Settings!$B$5,C$4&gt;TODAY())),"",N(Settings!$C$32))</f>
        <v/>
      </c>
      <c r="D20" s="31">
        <f>IF(OR(Settings!$A$32="",Settings!$F$32="Yes",OR(EOMONTH(D$4,0)&lt;=Settings!$B$5,D$4&gt;TODAY())),"",IF(EOMONTH(C$4,0)&lt;=Settings!$B$5,N(Settings!$C$32),N(Calc!$AR$6)))</f>
        <v/>
      </c>
      <c r="E20" s="31">
        <f>IF(OR(Settings!$A$32="",Settings!$F$32="Yes",OR(EOMONTH(E$4,0)&lt;=Settings!$B$5,E$4&gt;TODAY())),"",IF(EOMONTH(D$4,0)&lt;=Settings!$B$5,N(Settings!$C$32),N(Calc!$AR$7)))</f>
        <v/>
      </c>
      <c r="F20" s="31">
        <f>IF(OR(Settings!$A$32="",Settings!$F$32="Yes",OR(EOMONTH(F$4,0)&lt;=Settings!$B$5,F$4&gt;TODAY())),"",IF(EOMONTH(E$4,0)&lt;=Settings!$B$5,N(Settings!$C$32),N(Calc!$AR$8)))</f>
        <v/>
      </c>
      <c r="G20" s="31">
        <f>IF(OR(Settings!$A$32="",Settings!$F$32="Yes",OR(EOMONTH(G$4,0)&lt;=Settings!$B$5,G$4&gt;TODAY())),"",IF(EOMONTH(F$4,0)&lt;=Settings!$B$5,N(Settings!$C$32),N(Calc!$AR$9)))</f>
        <v/>
      </c>
      <c r="H20" s="31">
        <f>IF(OR(Settings!$A$32="",Settings!$F$32="Yes",OR(EOMONTH(H$4,0)&lt;=Settings!$B$5,H$4&gt;TODAY())),"",IF(EOMONTH(G$4,0)&lt;=Settings!$B$5,N(Settings!$C$32),N(Calc!$AR$10)))</f>
        <v/>
      </c>
      <c r="I20" s="31">
        <f>IF(OR(Settings!$A$32="",Settings!$F$32="Yes",OR(EOMONTH(I$4,0)&lt;=Settings!$B$5,I$4&gt;TODAY())),"",IF(EOMONTH(H$4,0)&lt;=Settings!$B$5,N(Settings!$C$32),N(Calc!$AR$11)))</f>
        <v/>
      </c>
      <c r="J20" s="31">
        <f>IF(OR(Settings!$A$32="",Settings!$F$32="Yes",OR(EOMONTH(J$4,0)&lt;=Settings!$B$5,J$4&gt;TODAY())),"",IF(EOMONTH(I$4,0)&lt;=Settings!$B$5,N(Settings!$C$32),N(Calc!$AR$12)))</f>
        <v/>
      </c>
      <c r="K20" s="31">
        <f>IF(OR(Settings!$A$32="",Settings!$F$32="Yes",OR(EOMONTH(K$4,0)&lt;=Settings!$B$5,K$4&gt;TODAY())),"",IF(EOMONTH(J$4,0)&lt;=Settings!$B$5,N(Settings!$C$32),N(Calc!$AR$13)))</f>
        <v/>
      </c>
      <c r="L20" s="31">
        <f>IF(OR(Settings!$A$32="",Settings!$F$32="Yes",OR(EOMONTH(L$4,0)&lt;=Settings!$B$5,L$4&gt;TODAY())),"",IF(EOMONTH(K$4,0)&lt;=Settings!$B$5,N(Settings!$C$32),N(Calc!$AR$14)))</f>
        <v/>
      </c>
      <c r="M20" s="31">
        <f>IF(OR(Settings!$A$32="",Settings!$F$32="Yes",OR(EOMONTH(M$4,0)&lt;=Settings!$B$5,M$4&gt;TODAY())),"",IF(EOMONTH(L$4,0)&lt;=Settings!$B$5,N(Settings!$C$32),N(Calc!$AR$15)))</f>
        <v/>
      </c>
      <c r="N20" s="31">
        <f>IF(OR(Settings!$A$32="",Settings!$F$32="Yes",OR(EOMONTH(N$4,0)&lt;=Settings!$B$5,N$4&gt;TODAY())),"",IF(EOMONTH(M$4,0)&lt;=Settings!$B$5,N(Settings!$C$32),N(Calc!$AR$16)))</f>
        <v/>
      </c>
      <c r="O20" s="31">
        <f>IF(OR(Settings!$A$32="",Settings!$F$32="Yes",OR(EOMONTH(O$4,0)&lt;=Settings!$B$5,O$4&gt;TODAY())),"",IF(EOMONTH(N$4,0)&lt;=Settings!$B$5,N(Settings!$C$32),N(Calc!$AR$17)))</f>
        <v/>
      </c>
      <c r="P20" s="31">
        <f>IF(OR(Settings!$A$32="",Settings!$F$32="Yes",OR(EOMONTH(P$4,0)&lt;=Settings!$B$5,P$4&gt;TODAY())),"",IF(EOMONTH(O$4,0)&lt;=Settings!$B$5,N(Settings!$C$32),N(Calc!$AR$18)))</f>
        <v/>
      </c>
      <c r="Q20" s="31">
        <f>IF(OR(Settings!$A$32="",Settings!$F$32="Yes",OR(EOMONTH(Q$4,0)&lt;=Settings!$B$5,Q$4&gt;TODAY())),"",IF(EOMONTH(P$4,0)&lt;=Settings!$B$5,N(Settings!$C$32),N(Calc!$AR$19)))</f>
        <v/>
      </c>
      <c r="R20" s="31">
        <f>IF(OR(Settings!$A$32="",Settings!$F$32="Yes",OR(EOMONTH(R$4,0)&lt;=Settings!$B$5,R$4&gt;TODAY())),"",IF(EOMONTH(Q$4,0)&lt;=Settings!$B$5,N(Settings!$C$32),N(Calc!$AR$20)))</f>
        <v/>
      </c>
      <c r="S20" s="31">
        <f>IF(OR(Settings!$A$32="",Settings!$F$32="Yes",OR(EOMONTH(S$4,0)&lt;=Settings!$B$5,S$4&gt;TODAY())),"",IF(EOMONTH(R$4,0)&lt;=Settings!$B$5,N(Settings!$C$32),N(Calc!$AR$21)))</f>
        <v/>
      </c>
      <c r="T20" s="31">
        <f>IF(OR(Settings!$A$32="",Settings!$F$32="Yes",OR(EOMONTH(T$4,0)&lt;=Settings!$B$5,T$4&gt;TODAY())),"",IF(EOMONTH(S$4,0)&lt;=Settings!$B$5,N(Settings!$C$32),N(Calc!$AR$22)))</f>
        <v/>
      </c>
      <c r="U20" s="31">
        <f>IF(OR(Settings!$A$32="",Settings!$F$32="Yes",OR(EOMONTH(U$4,0)&lt;=Settings!$B$5,U$4&gt;TODAY())),"",IF(EOMONTH(T$4,0)&lt;=Settings!$B$5,N(Settings!$C$32),N(Calc!$AR$23)))</f>
        <v/>
      </c>
      <c r="V20" s="31">
        <f>IF(OR(Settings!$A$32="",Settings!$F$32="Yes",OR(EOMONTH(V$4,0)&lt;=Settings!$B$5,V$4&gt;TODAY())),"",IF(EOMONTH(U$4,0)&lt;=Settings!$B$5,N(Settings!$C$32),N(Calc!$AR$24)))</f>
        <v/>
      </c>
      <c r="W20" s="31">
        <f>IF(OR(Settings!$A$32="",Settings!$F$32="Yes",OR(EOMONTH(W$4,0)&lt;=Settings!$B$5,W$4&gt;TODAY())),"",IF(EOMONTH(V$4,0)&lt;=Settings!$B$5,N(Settings!$C$32),N(Calc!$AR$25)))</f>
        <v/>
      </c>
      <c r="X20" s="31">
        <f>IF(OR(Settings!$A$32="",Settings!$F$32="Yes",OR(EOMONTH(X$4,0)&lt;=Settings!$B$5,X$4&gt;TODAY())),"",IF(EOMONTH(W$4,0)&lt;=Settings!$B$5,N(Settings!$C$32),N(Calc!$AR$26)))</f>
        <v/>
      </c>
      <c r="Y20" s="31">
        <f>IF(OR(Settings!$A$32="",Settings!$F$32="Yes",OR(EOMONTH(Y$4,0)&lt;=Settings!$B$5,Y$4&gt;TODAY())),"",IF(EOMONTH(X$4,0)&lt;=Settings!$B$5,N(Settings!$C$32),N(Calc!$AR$27)))</f>
        <v/>
      </c>
      <c r="Z20" s="31">
        <f>IF(OR(Settings!$A$32="",Settings!$F$32="Yes",OR(EOMONTH(Z$4,0)&lt;=Settings!$B$5,Z$4&gt;TODAY())),"",IF(EOMONTH(Y$4,0)&lt;=Settings!$B$5,N(Settings!$C$32),N(Calc!$AR$28)))</f>
        <v/>
      </c>
      <c r="AA20" s="31">
        <f>IF(OR(Settings!$A$32="",Settings!$F$32="Yes",OR(EOMONTH(AA$4,0)&lt;=Settings!$B$5,AA$4&gt;TODAY())),"",IF(EOMONTH(Z$4,0)&lt;=Settings!$B$5,N(Settings!$C$32),N(Calc!$AR$29)))</f>
        <v/>
      </c>
      <c r="AB20" s="31">
        <f>IF(OR(Settings!$A$32="",Settings!$F$32="Yes",OR(EOMONTH(AB$4,0)&lt;=Settings!$B$5,AB$4&gt;TODAY())),"",IF(EOMONTH(AA$4,0)&lt;=Settings!$B$5,N(Settings!$C$32),N(Calc!$AR$30)))</f>
        <v/>
      </c>
      <c r="AC20" s="31">
        <f>IF(OR(Settings!$A$32="",Settings!$F$32="Yes",OR(EOMONTH(AC$4,0)&lt;=Settings!$B$5,AC$4&gt;TODAY())),"",IF(EOMONTH(AB$4,0)&lt;=Settings!$B$5,N(Settings!$C$32),N(Calc!$AR$31)))</f>
        <v/>
      </c>
      <c r="AD20" s="31">
        <f>IF(OR(Settings!$A$32="",Settings!$F$32="Yes",OR(EOMONTH(AD$4,0)&lt;=Settings!$B$5,AD$4&gt;TODAY())),"",IF(EOMONTH(AC$4,0)&lt;=Settings!$B$5,N(Settings!$C$32),N(Calc!$AR$32)))</f>
        <v/>
      </c>
      <c r="AE20" s="31">
        <f>IF(OR(Settings!$A$32="",Settings!$F$32="Yes",OR(EOMONTH(AE$4,0)&lt;=Settings!$B$5,AE$4&gt;TODAY())),"",IF(EOMONTH(AD$4,0)&lt;=Settings!$B$5,N(Settings!$C$32),N(Calc!$AR$33)))</f>
        <v/>
      </c>
      <c r="AF20" s="31">
        <f>IF(OR(Settings!$A$32="",Settings!$F$32="Yes",OR(EOMONTH(AF$4,0)&lt;=Settings!$B$5,AF$4&gt;TODAY())),"",IF(EOMONTH(AE$4,0)&lt;=Settings!$B$5,N(Settings!$C$32),N(Calc!$AR$34)))</f>
        <v/>
      </c>
      <c r="AG20" s="31">
        <f>IF(OR(Settings!$A$32="",Settings!$F$32="Yes",OR(EOMONTH(AG$4,0)&lt;=Settings!$B$5,AG$4&gt;TODAY())),"",IF(EOMONTH(AF$4,0)&lt;=Settings!$B$5,N(Settings!$C$32),N(Calc!$AR$35)))</f>
        <v/>
      </c>
      <c r="AH20" s="31">
        <f>IF(OR(Settings!$A$32="",Settings!$F$32="Yes",OR(EOMONTH(AH$4,0)&lt;=Settings!$B$5,AH$4&gt;TODAY())),"",IF(EOMONTH(AG$4,0)&lt;=Settings!$B$5,N(Settings!$C$32),N(Calc!$AR$36)))</f>
        <v/>
      </c>
      <c r="AI20" s="31">
        <f>IF(OR(Settings!$A$32="",Settings!$F$32="Yes",OR(EOMONTH(AI$4,0)&lt;=Settings!$B$5,AI$4&gt;TODAY())),"",IF(EOMONTH(AH$4,0)&lt;=Settings!$B$5,N(Settings!$C$32),N(Calc!$AR$37)))</f>
        <v/>
      </c>
      <c r="AJ20" s="31">
        <f>IF(OR(Settings!$A$32="",Settings!$F$32="Yes",OR(EOMONTH(AJ$4,0)&lt;=Settings!$B$5,AJ$4&gt;TODAY())),"",IF(EOMONTH(AI$4,0)&lt;=Settings!$B$5,N(Settings!$C$32),N(Calc!$AR$38)))</f>
        <v/>
      </c>
      <c r="AK20" s="31">
        <f>IF(OR(Settings!$A$32="",Settings!$F$32="Yes",OR(EOMONTH(AK$4,0)&lt;=Settings!$B$5,AK$4&gt;TODAY())),"",IF(EOMONTH(AJ$4,0)&lt;=Settings!$B$5,N(Settings!$C$32),N(Calc!$AR$39)))</f>
        <v/>
      </c>
      <c r="AL20" s="31">
        <f>IF(OR(Settings!$A$32="",Settings!$F$32="Yes",OR(EOMONTH(AL$4,0)&lt;=Settings!$B$5,AL$4&gt;TODAY())),"",IF(EOMONTH(AK$4,0)&lt;=Settings!$B$5,N(Settings!$C$32),N(Calc!$AR$40)))</f>
        <v/>
      </c>
      <c r="AM20" s="31">
        <f>IF(OR(Settings!$A$32="",Settings!$F$32="Yes",OR(EOMONTH(AM$4,0)&lt;=Settings!$B$5,AM$4&gt;TODAY())),"",IF(EOMONTH(AL$4,0)&lt;=Settings!$B$5,N(Settings!$C$32),N(Calc!$AR$41)))</f>
        <v/>
      </c>
      <c r="AN20" s="31">
        <f>IF(OR(Settings!$A$32="",Settings!$F$32="Yes",OR(EOMONTH(AN$4,0)&lt;=Settings!$B$5,AN$4&gt;TODAY())),"",IF(EOMONTH(AM$4,0)&lt;=Settings!$B$5,N(Settings!$C$32),N(Calc!$AR$42)))</f>
        <v/>
      </c>
      <c r="AO20" s="31">
        <f>IF(OR(Settings!$A$32="",Settings!$F$32="Yes",OR(EOMONTH(AO$4,0)&lt;=Settings!$B$5,AO$4&gt;TODAY())),"",IF(EOMONTH(AN$4,0)&lt;=Settings!$B$5,N(Settings!$C$32),N(Calc!$AR$43)))</f>
        <v/>
      </c>
      <c r="AP20" s="31">
        <f>IF(OR(Settings!$A$32="",Settings!$F$32="Yes",OR(EOMONTH(AP$4,0)&lt;=Settings!$B$5,AP$4&gt;TODAY())),"",IF(EOMONTH(AO$4,0)&lt;=Settings!$B$5,N(Settings!$C$32),N(Calc!$AR$44)))</f>
        <v/>
      </c>
      <c r="AQ20" s="31">
        <f>IF(OR(Settings!$A$32="",Settings!$F$32="Yes",OR(EOMONTH(AQ$4,0)&lt;=Settings!$B$5,AQ$4&gt;TODAY())),"",IF(EOMONTH(AP$4,0)&lt;=Settings!$B$5,N(Settings!$C$32),N(Calc!$AR$45)))</f>
        <v/>
      </c>
      <c r="AR20" s="31">
        <f>IF(OR(Settings!$A$32="",Settings!$F$32="Yes",OR(EOMONTH(AR$4,0)&lt;=Settings!$B$5,AR$4&gt;TODAY())),"",IF(EOMONTH(AQ$4,0)&lt;=Settings!$B$5,N(Settings!$C$32),N(Calc!$AR$46)))</f>
        <v/>
      </c>
      <c r="AS20" s="31">
        <f>IF(OR(Settings!$A$32="",Settings!$F$32="Yes",OR(EOMONTH(AS$4,0)&lt;=Settings!$B$5,AS$4&gt;TODAY())),"",IF(EOMONTH(AR$4,0)&lt;=Settings!$B$5,N(Settings!$C$32),N(Calc!$AR$47)))</f>
        <v/>
      </c>
      <c r="AT20" s="31">
        <f>IF(OR(Settings!$A$32="",Settings!$F$32="Yes",OR(EOMONTH(AT$4,0)&lt;=Settings!$B$5,AT$4&gt;TODAY())),"",IF(EOMONTH(AS$4,0)&lt;=Settings!$B$5,N(Settings!$C$32),N(Calc!$AR$48)))</f>
        <v/>
      </c>
      <c r="AU20" s="31">
        <f>IF(OR(Settings!$A$32="",Settings!$F$32="Yes",OR(EOMONTH(AU$4,0)&lt;=Settings!$B$5,AU$4&gt;TODAY())),"",IF(EOMONTH(AT$4,0)&lt;=Settings!$B$5,N(Settings!$C$32),N(Calc!$AR$49)))</f>
        <v/>
      </c>
      <c r="AV20" s="31">
        <f>IF(OR(Settings!$A$32="",Settings!$F$32="Yes",OR(EOMONTH(AV$4,0)&lt;=Settings!$B$5,AV$4&gt;TODAY())),"",IF(EOMONTH(AU$4,0)&lt;=Settings!$B$5,N(Settings!$C$32),N(Calc!$AR$50)))</f>
        <v/>
      </c>
      <c r="AW20" s="31">
        <f>IF(OR(Settings!$A$32="",Settings!$F$32="Yes",OR(EOMONTH(AW$4,0)&lt;=Settings!$B$5,AW$4&gt;TODAY())),"",IF(EOMONTH(AV$4,0)&lt;=Settings!$B$5,N(Settings!$C$32),N(Calc!$AR$51)))</f>
        <v/>
      </c>
      <c r="AX20" s="31">
        <f>IF(OR(Settings!$A$32="",Settings!$F$32="Yes",OR(EOMONTH(AX$4,0)&lt;=Settings!$B$5,AX$4&gt;TODAY())),"",IF(EOMONTH(AW$4,0)&lt;=Settings!$B$5,N(Settings!$C$32),N(Calc!$AR$52)))</f>
        <v/>
      </c>
      <c r="AY20" s="31">
        <f>IF(OR(Settings!$A$32="",Settings!$F$32="Yes",OR(EOMONTH(AY$4,0)&lt;=Settings!$B$5,AY$4&gt;TODAY())),"",IF(EOMONTH(AX$4,0)&lt;=Settings!$B$5,N(Settings!$C$32),N(Calc!$AR$53)))</f>
        <v/>
      </c>
      <c r="AZ20" s="31">
        <f>IF(OR(Settings!$A$32="",Settings!$F$32="Yes",OR(EOMONTH(AZ$4,0)&lt;=Settings!$B$5,AZ$4&gt;TODAY())),"",IF(EOMONTH(AY$4,0)&lt;=Settings!$B$5,N(Settings!$C$32),N(Calc!$AR$54)))</f>
        <v/>
      </c>
      <c r="BA20" s="31">
        <f>IF(OR(Settings!$A$32="",Settings!$F$32="Yes",OR(EOMONTH(BA$4,0)&lt;=Settings!$B$5,BA$4&gt;TODAY())),"",IF(EOMONTH(AZ$4,0)&lt;=Settings!$B$5,N(Settings!$C$32),N(Calc!$AR$55)))</f>
        <v/>
      </c>
      <c r="BB20" s="31">
        <f>IF(OR(Settings!$A$32="",Settings!$F$32="Yes",OR(EOMONTH(BB$4,0)&lt;=Settings!$B$5,BB$4&gt;TODAY())),"",IF(EOMONTH(BA$4,0)&lt;=Settings!$B$5,N(Settings!$C$32),N(Calc!$AR$56)))</f>
        <v/>
      </c>
      <c r="BC20" s="31">
        <f>IF(OR(Settings!$A$32="",Settings!$F$32="Yes",OR(EOMONTH(BC$4,0)&lt;=Settings!$B$5,BC$4&gt;TODAY())),"",IF(EOMONTH(BB$4,0)&lt;=Settings!$B$5,N(Settings!$C$32),N(Calc!$AR$57)))</f>
        <v/>
      </c>
      <c r="BD20" s="31">
        <f>IF(OR(Settings!$A$32="",Settings!$F$32="Yes",OR(EOMONTH(BD$4,0)&lt;=Settings!$B$5,BD$4&gt;TODAY())),"",IF(EOMONTH(BC$4,0)&lt;=Settings!$B$5,N(Settings!$C$32),N(Calc!$AR$58)))</f>
        <v/>
      </c>
      <c r="BE20" s="31">
        <f>IF(OR(Settings!$A$32="",Settings!$F$32="Yes",OR(EOMONTH(BE$4,0)&lt;=Settings!$B$5,BE$4&gt;TODAY())),"",IF(EOMONTH(BD$4,0)&lt;=Settings!$B$5,N(Settings!$C$32),N(Calc!$AR$59)))</f>
        <v/>
      </c>
      <c r="BF20" s="31">
        <f>IF(OR(Settings!$A$32="",Settings!$F$32="Yes",OR(EOMONTH(BF$4,0)&lt;=Settings!$B$5,BF$4&gt;TODAY())),"",IF(EOMONTH(BE$4,0)&lt;=Settings!$B$5,N(Settings!$C$32),N(Calc!$AR$60)))</f>
        <v/>
      </c>
      <c r="BG20" s="31">
        <f>IF(OR(Settings!$A$32="",Settings!$F$32="Yes",OR(EOMONTH(BG$4,0)&lt;=Settings!$B$5,BG$4&gt;TODAY())),"",IF(EOMONTH(BF$4,0)&lt;=Settings!$B$5,N(Settings!$C$32),N(Calc!$AR$61)))</f>
        <v/>
      </c>
      <c r="BH20" s="31">
        <f>IF(OR(Settings!$A$32="",Settings!$F$32="Yes",OR(EOMONTH(BH$4,0)&lt;=Settings!$B$5,BH$4&gt;TODAY())),"",IF(EOMONTH(BG$4,0)&lt;=Settings!$B$5,N(Settings!$C$32),N(Calc!$AR$62)))</f>
        <v/>
      </c>
      <c r="BI20" s="31">
        <f>IF(OR(Settings!$A$32="",Settings!$F$32="Yes",OR(EOMONTH(BI$4,0)&lt;=Settings!$B$5,BI$4&gt;TODAY())),"",IF(EOMONTH(BH$4,0)&lt;=Settings!$B$5,N(Settings!$C$32),N(Calc!$AR$63)))</f>
        <v/>
      </c>
      <c r="BJ20" s="31">
        <f>IF(OR(Settings!$A$32="",Settings!$F$32="Yes",OR(EOMONTH(BJ$4,0)&lt;=Settings!$B$5,BJ$4&gt;TODAY())),"",IF(EOMONTH(BI$4,0)&lt;=Settings!$B$5,N(Settings!$C$32),N(Calc!$AR$64)))</f>
        <v/>
      </c>
      <c r="BK20" s="31">
        <f>IF(OR(Settings!$A$32="",Settings!$F$32="Yes",OR(EOMONTH(BK$4,0)&lt;=Settings!$B$5,BK$4&gt;TODAY())),"",IF(EOMONTH(BJ$4,0)&lt;=Settings!$B$5,N(Settings!$C$32),N(Calc!$AR$65)))</f>
        <v/>
      </c>
      <c r="BL20" s="31">
        <f>IF(OR(Settings!$A$32="",Settings!$F$32="Yes",OR(EOMONTH(BL$4,0)&lt;=Settings!$B$5,BL$4&gt;TODAY())),"",IF(EOMONTH(BK$4,0)&lt;=Settings!$B$5,N(Settings!$C$32),N(Calc!$AR$66)))</f>
        <v/>
      </c>
      <c r="BM20" s="31">
        <f>IF(OR(Settings!$A$32="",Settings!$F$32="Yes",OR(EOMONTH(BM$4,0)&lt;=Settings!$B$5,BM$4&gt;TODAY())),"",IF(EOMONTH(BL$4,0)&lt;=Settings!$B$5,N(Settings!$C$32),N(Calc!$AR$67)))</f>
        <v/>
      </c>
      <c r="BN20" s="31">
        <f>IF(OR(Settings!$A$32="",Settings!$F$32="Yes",OR(EOMONTH(BN$4,0)&lt;=Settings!$B$5,BN$4&gt;TODAY())),"",IF(EOMONTH(BM$4,0)&lt;=Settings!$B$5,N(Settings!$C$32),N(Calc!$AR$68)))</f>
        <v/>
      </c>
      <c r="BO20" s="31">
        <f>IF(OR(Settings!$A$32="",Settings!$F$32="Yes",OR(EOMONTH(BO$4,0)&lt;=Settings!$B$5,BO$4&gt;TODAY())),"",IF(EOMONTH(BN$4,0)&lt;=Settings!$B$5,N(Settings!$C$32),N(Calc!$AR$69)))</f>
        <v/>
      </c>
      <c r="BP20" s="31">
        <f>IF(OR(Settings!$A$32="",Settings!$F$32="Yes",OR(EOMONTH(BP$4,0)&lt;=Settings!$B$5,BP$4&gt;TODAY())),"",IF(EOMONTH(BO$4,0)&lt;=Settings!$B$5,N(Settings!$C$32),N(Calc!$AR$70)))</f>
        <v/>
      </c>
      <c r="BQ20" s="31">
        <f>IF(OR(Settings!$A$32="",Settings!$F$32="Yes",OR(EOMONTH(BQ$4,0)&lt;=Settings!$B$5,BQ$4&gt;TODAY())),"",IF(EOMONTH(BP$4,0)&lt;=Settings!$B$5,N(Settings!$C$32),N(Calc!$AR$71)))</f>
        <v/>
      </c>
      <c r="BR20" s="31">
        <f>IF(OR(Settings!$A$32="",Settings!$F$32="Yes",OR(EOMONTH(BR$4,0)&lt;=Settings!$B$5,BR$4&gt;TODAY())),"",IF(EOMONTH(BQ$4,0)&lt;=Settings!$B$5,N(Settings!$C$32),N(Calc!$AR$72)))</f>
        <v/>
      </c>
      <c r="BS20" s="31">
        <f>IF(OR(Settings!$A$32="",Settings!$F$32="Yes",OR(EOMONTH(BS$4,0)&lt;=Settings!$B$5,BS$4&gt;TODAY())),"",IF(EOMONTH(BR$4,0)&lt;=Settings!$B$5,N(Settings!$C$32),N(Calc!$AR$73)))</f>
        <v/>
      </c>
      <c r="BT20" s="31">
        <f>IF(OR(Settings!$A$32="",Settings!$F$32="Yes",OR(EOMONTH(BT$4,0)&lt;=Settings!$B$5,BT$4&gt;TODAY())),"",IF(EOMONTH(BS$4,0)&lt;=Settings!$B$5,N(Settings!$C$32),N(Calc!$AR$74)))</f>
        <v/>
      </c>
      <c r="BU20" s="31">
        <f>IF(OR(Settings!$A$32="",Settings!$F$32="Yes",OR(EOMONTH(BU$4,0)&lt;=Settings!$B$5,BU$4&gt;TODAY())),"",IF(EOMONTH(BT$4,0)&lt;=Settings!$B$5,N(Settings!$C$32),N(Calc!$AR$75)))</f>
        <v/>
      </c>
      <c r="BV20" s="31">
        <f>IF(OR(Settings!$A$32="",Settings!$F$32="Yes",OR(EOMONTH(BV$4,0)&lt;=Settings!$B$5,BV$4&gt;TODAY())),"",IF(EOMONTH(BU$4,0)&lt;=Settings!$B$5,N(Settings!$C$32),N(Calc!$AR$76)))</f>
        <v/>
      </c>
      <c r="BW20" s="31">
        <f>IF(OR(Settings!$A$32="",Settings!$F$32="Yes",OR(EOMONTH(BW$4,0)&lt;=Settings!$B$5,BW$4&gt;TODAY())),"",IF(EOMONTH(BV$4,0)&lt;=Settings!$B$5,N(Settings!$C$32),N(Calc!$AR$77)))</f>
        <v/>
      </c>
      <c r="BX20" s="31">
        <f>IF(OR(Settings!$A$32="",Settings!$F$32="Yes",OR(EOMONTH(BX$4,0)&lt;=Settings!$B$5,BX$4&gt;TODAY())),"",IF(EOMONTH(BW$4,0)&lt;=Settings!$B$5,N(Settings!$C$32),N(Calc!$AR$78)))</f>
        <v/>
      </c>
      <c r="BY20" s="31">
        <f>IF(OR(Settings!$A$32="",Settings!$F$32="Yes",OR(EOMONTH(BY$4,0)&lt;=Settings!$B$5,BY$4&gt;TODAY())),"",IF(EOMONTH(BX$4,0)&lt;=Settings!$B$5,N(Settings!$C$32),N(Calc!$AR$79)))</f>
        <v/>
      </c>
      <c r="BZ20" s="31">
        <f>IF(OR(Settings!$A$32="",Settings!$F$32="Yes",OR(EOMONTH(BZ$4,0)&lt;=Settings!$B$5,BZ$4&gt;TODAY())),"",IF(EOMONTH(BY$4,0)&lt;=Settings!$B$5,N(Settings!$C$32),N(Calc!$AR$80)))</f>
        <v/>
      </c>
      <c r="CA20" s="31">
        <f>IF(OR(Settings!$A$32="",Settings!$F$32="Yes",OR(EOMONTH(CA$4,0)&lt;=Settings!$B$5,CA$4&gt;TODAY())),"",IF(EOMONTH(BZ$4,0)&lt;=Settings!$B$5,N(Settings!$C$32),N(Calc!$AR$81)))</f>
        <v/>
      </c>
      <c r="CB20" s="31">
        <f>IF(OR(Settings!$A$32="",Settings!$F$32="Yes",OR(EOMONTH(CB$4,0)&lt;=Settings!$B$5,CB$4&gt;TODAY())),"",IF(EOMONTH(CA$4,0)&lt;=Settings!$B$5,N(Settings!$C$32),N(Calc!$AR$82)))</f>
        <v/>
      </c>
      <c r="CC20" s="31">
        <f>IF(OR(Settings!$A$32="",Settings!$F$32="Yes",OR(EOMONTH(CC$4,0)&lt;=Settings!$B$5,CC$4&gt;TODAY())),"",IF(EOMONTH(CB$4,0)&lt;=Settings!$B$5,N(Settings!$C$32),N(Calc!$AR$83)))</f>
        <v/>
      </c>
      <c r="CD20" s="31">
        <f>IF(OR(Settings!$A$32="",Settings!$F$32="Yes",OR(EOMONTH(CD$4,0)&lt;=Settings!$B$5,CD$4&gt;TODAY())),"",IF(EOMONTH(CC$4,0)&lt;=Settings!$B$5,N(Settings!$C$32),N(Calc!$AR$84)))</f>
        <v/>
      </c>
      <c r="CE20" s="31">
        <f>IF(OR(Settings!$A$32="",Settings!$F$32="Yes",OR(EOMONTH(CE$4,0)&lt;=Settings!$B$5,CE$4&gt;TODAY())),"",IF(EOMONTH(CD$4,0)&lt;=Settings!$B$5,N(Settings!$C$32),N(Calc!$AR$85)))</f>
        <v/>
      </c>
      <c r="CF20" s="31">
        <f>IF(OR(Settings!$A$32="",Settings!$F$32="Yes",OR(EOMONTH(CF$4,0)&lt;=Settings!$B$5,CF$4&gt;TODAY())),"",IF(EOMONTH(CE$4,0)&lt;=Settings!$B$5,N(Settings!$C$32),N(Calc!$AR$86)))</f>
        <v/>
      </c>
      <c r="CG20" s="31">
        <f>IF(OR(Settings!$A$32="",Settings!$F$32="Yes",OR(EOMONTH(CG$4,0)&lt;=Settings!$B$5,CG$4&gt;TODAY())),"",IF(EOMONTH(CF$4,0)&lt;=Settings!$B$5,N(Settings!$C$32),N(Calc!$AR$87)))</f>
        <v/>
      </c>
      <c r="CH20" s="31">
        <f>IF(OR(Settings!$A$32="",Settings!$F$32="Yes",OR(EOMONTH(CH$4,0)&lt;=Settings!$B$5,CH$4&gt;TODAY())),"",IF(EOMONTH(CG$4,0)&lt;=Settings!$B$5,N(Settings!$C$32),N(Calc!$AR$88)))</f>
        <v/>
      </c>
      <c r="CI20" s="31">
        <f>IF(OR(Settings!$A$32="",Settings!$F$32="Yes",OR(EOMONTH(CI$4,0)&lt;=Settings!$B$5,CI$4&gt;TODAY())),"",IF(EOMONTH(CH$4,0)&lt;=Settings!$B$5,N(Settings!$C$32),N(Calc!$AR$89)))</f>
        <v/>
      </c>
      <c r="CJ20" s="31">
        <f>IF(OR(Settings!$A$32="",Settings!$F$32="Yes",OR(EOMONTH(CJ$4,0)&lt;=Settings!$B$5,CJ$4&gt;TODAY())),"",IF(EOMONTH(CI$4,0)&lt;=Settings!$B$5,N(Settings!$C$32),N(Calc!$AR$90)))</f>
        <v/>
      </c>
      <c r="CK20" s="31">
        <f>IF(OR(Settings!$A$32="",Settings!$F$32="Yes",OR(EOMONTH(CK$4,0)&lt;=Settings!$B$5,CK$4&gt;TODAY())),"",IF(EOMONTH(CJ$4,0)&lt;=Settings!$B$5,N(Settings!$C$32),N(Calc!$AR$91)))</f>
        <v/>
      </c>
      <c r="CL20" s="31">
        <f>IF(OR(Settings!$A$32="",Settings!$F$32="Yes",OR(EOMONTH(CL$4,0)&lt;=Settings!$B$5,CL$4&gt;TODAY())),"",IF(EOMONTH(CK$4,0)&lt;=Settings!$B$5,N(Settings!$C$32),N(Calc!$AR$92)))</f>
        <v/>
      </c>
      <c r="CM20" s="31">
        <f>IF(OR(Settings!$A$32="",Settings!$F$32="Yes",OR(EOMONTH(CM$4,0)&lt;=Settings!$B$5,CM$4&gt;TODAY())),"",IF(EOMONTH(CL$4,0)&lt;=Settings!$B$5,N(Settings!$C$32),N(Calc!$AR$93)))</f>
        <v/>
      </c>
      <c r="CN20" s="31">
        <f>IF(OR(Settings!$A$32="",Settings!$F$32="Yes",OR(EOMONTH(CN$4,0)&lt;=Settings!$B$5,CN$4&gt;TODAY())),"",IF(EOMONTH(CM$4,0)&lt;=Settings!$B$5,N(Settings!$C$32),N(Calc!$AR$94)))</f>
        <v/>
      </c>
      <c r="CO20" s="31">
        <f>IF(OR(Settings!$A$32="",Settings!$F$32="Yes",OR(EOMONTH(CO$4,0)&lt;=Settings!$B$5,CO$4&gt;TODAY())),"",IF(EOMONTH(CN$4,0)&lt;=Settings!$B$5,N(Settings!$C$32),N(Calc!$AR$95)))</f>
        <v/>
      </c>
      <c r="CP20" s="31">
        <f>IF(OR(Settings!$A$32="",Settings!$F$32="Yes",OR(EOMONTH(CP$4,0)&lt;=Settings!$B$5,CP$4&gt;TODAY())),"",IF(EOMONTH(CO$4,0)&lt;=Settings!$B$5,N(Settings!$C$32),N(Calc!$AR$96)))</f>
        <v/>
      </c>
      <c r="CQ20" s="31">
        <f>IF(OR(Settings!$A$32="",Settings!$F$32="Yes",OR(EOMONTH(CQ$4,0)&lt;=Settings!$B$5,CQ$4&gt;TODAY())),"",IF(EOMONTH(CP$4,0)&lt;=Settings!$B$5,N(Settings!$C$32),N(Calc!$AR$97)))</f>
        <v/>
      </c>
      <c r="CR20" s="31">
        <f>IF(OR(Settings!$A$32="",Settings!$F$32="Yes",OR(EOMONTH(CR$4,0)&lt;=Settings!$B$5,CR$4&gt;TODAY())),"",IF(EOMONTH(CQ$4,0)&lt;=Settings!$B$5,N(Settings!$C$32),N(Calc!$AR$98)))</f>
        <v/>
      </c>
      <c r="CS20" s="31">
        <f>IF(OR(Settings!$A$32="",Settings!$F$32="Yes",OR(EOMONTH(CS$4,0)&lt;=Settings!$B$5,CS$4&gt;TODAY())),"",IF(EOMONTH(CR$4,0)&lt;=Settings!$B$5,N(Settings!$C$32),N(Calc!$AR$99)))</f>
        <v/>
      </c>
      <c r="CT20" s="31">
        <f>IF(OR(Settings!$A$32="",Settings!$F$32="Yes",OR(EOMONTH(CT$4,0)&lt;=Settings!$B$5,CT$4&gt;TODAY())),"",IF(EOMONTH(CS$4,0)&lt;=Settings!$B$5,N(Settings!$C$32),N(Calc!$AR$100)))</f>
        <v/>
      </c>
      <c r="CU20" s="31">
        <f>IF(OR(Settings!$A$32="",Settings!$F$32="Yes",OR(EOMONTH(CU$4,0)&lt;=Settings!$B$5,CU$4&gt;TODAY())),"",IF(EOMONTH(CT$4,0)&lt;=Settings!$B$5,N(Settings!$C$32),N(Calc!$AR$101)))</f>
        <v/>
      </c>
      <c r="CV20" s="31">
        <f>IF(OR(Settings!$A$32="",Settings!$F$32="Yes",OR(EOMONTH(CV$4,0)&lt;=Settings!$B$5,CV$4&gt;TODAY())),"",IF(EOMONTH(CU$4,0)&lt;=Settings!$B$5,N(Settings!$C$32),N(Calc!$AR$102)))</f>
        <v/>
      </c>
      <c r="CW20" s="31">
        <f>IF(OR(Settings!$A$32="",Settings!$F$32="Yes",OR(EOMONTH(CW$4,0)&lt;=Settings!$B$5,CW$4&gt;TODAY())),"",IF(EOMONTH(CV$4,0)&lt;=Settings!$B$5,N(Settings!$C$32),N(Calc!$AR$103)))</f>
        <v/>
      </c>
      <c r="CX20" s="31">
        <f>IF(OR(Settings!$A$32="",Settings!$F$32="Yes",OR(EOMONTH(CX$4,0)&lt;=Settings!$B$5,CX$4&gt;TODAY())),"",IF(EOMONTH(CW$4,0)&lt;=Settings!$B$5,N(Settings!$C$32),N(Calc!$AR$104)))</f>
        <v/>
      </c>
      <c r="CY20" s="31">
        <f>IF(OR(Settings!$A$32="",Settings!$F$32="Yes",OR(EOMONTH(CY$4,0)&lt;=Settings!$B$5,CY$4&gt;TODAY())),"",IF(EOMONTH(CX$4,0)&lt;=Settings!$B$5,N(Settings!$C$32),N(Calc!$AR$105)))</f>
        <v/>
      </c>
      <c r="CZ20" s="31">
        <f>IF(OR(Settings!$A$32="",Settings!$F$32="Yes",OR(EOMONTH(CZ$4,0)&lt;=Settings!$B$5,CZ$4&gt;TODAY())),"",IF(EOMONTH(CY$4,0)&lt;=Settings!$B$5,N(Settings!$C$32),N(Calc!$AR$106)))</f>
        <v/>
      </c>
      <c r="DA20" s="31">
        <f>IF(OR(Settings!$A$32="",Settings!$F$32="Yes",OR(EOMONTH(DA$4,0)&lt;=Settings!$B$5,DA$4&gt;TODAY())),"",IF(EOMONTH(CZ$4,0)&lt;=Settings!$B$5,N(Settings!$C$32),N(Calc!$AR$107)))</f>
        <v/>
      </c>
      <c r="DB20" s="31">
        <f>IF(OR(Settings!$A$32="",Settings!$F$32="Yes",OR(EOMONTH(DB$4,0)&lt;=Settings!$B$5,DB$4&gt;TODAY())),"",IF(EOMONTH(DA$4,0)&lt;=Settings!$B$5,N(Settings!$C$32),N(Calc!$AR$108)))</f>
        <v/>
      </c>
      <c r="DC20" s="31">
        <f>IF(OR(Settings!$A$32="",Settings!$F$32="Yes",OR(EOMONTH(DC$4,0)&lt;=Settings!$B$5,DC$4&gt;TODAY())),"",IF(EOMONTH(DB$4,0)&lt;=Settings!$B$5,N(Settings!$C$32),N(Calc!$AR$109)))</f>
        <v/>
      </c>
      <c r="DD20" s="31">
        <f>IF(OR(Settings!$A$32="",Settings!$F$32="Yes",OR(EOMONTH(DD$4,0)&lt;=Settings!$B$5,DD$4&gt;TODAY())),"",IF(EOMONTH(DC$4,0)&lt;=Settings!$B$5,N(Settings!$C$32),N(Calc!$AR$110)))</f>
        <v/>
      </c>
      <c r="DE20" s="31">
        <f>IF(OR(Settings!$A$32="",Settings!$F$32="Yes",OR(EOMONTH(DE$4,0)&lt;=Settings!$B$5,DE$4&gt;TODAY())),"",IF(EOMONTH(DD$4,0)&lt;=Settings!$B$5,N(Settings!$C$32),N(Calc!$AR$111)))</f>
        <v/>
      </c>
      <c r="DF20" s="31">
        <f>IF(OR(Settings!$A$32="",Settings!$F$32="Yes",OR(EOMONTH(DF$4,0)&lt;=Settings!$B$5,DF$4&gt;TODAY())),"",IF(EOMONTH(DE$4,0)&lt;=Settings!$B$5,N(Settings!$C$32),N(Calc!$AR$112)))</f>
        <v/>
      </c>
      <c r="DG20" s="31">
        <f>IF(OR(Settings!$A$32="",Settings!$F$32="Yes",OR(EOMONTH(DG$4,0)&lt;=Settings!$B$5,DG$4&gt;TODAY())),"",IF(EOMONTH(DF$4,0)&lt;=Settings!$B$5,N(Settings!$C$32),N(Calc!$AR$113)))</f>
        <v/>
      </c>
      <c r="DH20" s="31">
        <f>IF(OR(Settings!$A$32="",Settings!$F$32="Yes",OR(EOMONTH(DH$4,0)&lt;=Settings!$B$5,DH$4&gt;TODAY())),"",IF(EOMONTH(DG$4,0)&lt;=Settings!$B$5,N(Settings!$C$32),N(Calc!$AR$114)))</f>
        <v/>
      </c>
      <c r="DI20" s="31">
        <f>IF(OR(Settings!$A$32="",Settings!$F$32="Yes",OR(EOMONTH(DI$4,0)&lt;=Settings!$B$5,DI$4&gt;TODAY())),"",IF(EOMONTH(DH$4,0)&lt;=Settings!$B$5,N(Settings!$C$32),N(Calc!$AR$115)))</f>
        <v/>
      </c>
      <c r="DJ20" s="31">
        <f>IF(OR(Settings!$A$32="",Settings!$F$32="Yes",OR(EOMONTH(DJ$4,0)&lt;=Settings!$B$5,DJ$4&gt;TODAY())),"",IF(EOMONTH(DI$4,0)&lt;=Settings!$B$5,N(Settings!$C$32),N(Calc!$AR$116)))</f>
        <v/>
      </c>
      <c r="DK20" s="31">
        <f>IF(OR(Settings!$A$32="",Settings!$F$32="Yes",OR(EOMONTH(DK$4,0)&lt;=Settings!$B$5,DK$4&gt;TODAY())),"",IF(EOMONTH(DJ$4,0)&lt;=Settings!$B$5,N(Settings!$C$32),N(Calc!$AR$117)))</f>
        <v/>
      </c>
      <c r="DL20" s="31">
        <f>IF(OR(Settings!$A$32="",Settings!$F$32="Yes",OR(EOMONTH(DL$4,0)&lt;=Settings!$B$5,DL$4&gt;TODAY())),"",IF(EOMONTH(DK$4,0)&lt;=Settings!$B$5,N(Settings!$C$32),N(Calc!$AR$118)))</f>
        <v/>
      </c>
      <c r="DM20" s="31">
        <f>IF(OR(Settings!$A$32="",Settings!$F$32="Yes",OR(EOMONTH(DM$4,0)&lt;=Settings!$B$5,DM$4&gt;TODAY())),"",IF(EOMONTH(DL$4,0)&lt;=Settings!$B$5,N(Settings!$C$32),N(Calc!$AR$119)))</f>
        <v/>
      </c>
      <c r="DN20" s="31">
        <f>IF(OR(Settings!$A$32="",Settings!$F$32="Yes",OR(EOMONTH(DN$4,0)&lt;=Settings!$B$5,DN$4&gt;TODAY())),"",IF(EOMONTH(DM$4,0)&lt;=Settings!$B$5,N(Settings!$C$32),N(Calc!$AR$120)))</f>
        <v/>
      </c>
      <c r="DO20" s="31">
        <f>IF(OR(Settings!$A$32="",Settings!$F$32="Yes",OR(EOMONTH(DO$4,0)&lt;=Settings!$B$5,DO$4&gt;TODAY())),"",IF(EOMONTH(DN$4,0)&lt;=Settings!$B$5,N(Settings!$C$32),N(Calc!$AR$121)))</f>
        <v/>
      </c>
      <c r="DP20" s="31">
        <f>IF(OR(Settings!$A$32="",Settings!$F$32="Yes",OR(EOMONTH(DP$4,0)&lt;=Settings!$B$5,DP$4&gt;TODAY())),"",IF(EOMONTH(DO$4,0)&lt;=Settings!$B$5,N(Settings!$C$32),N(Calc!$AR$122)))</f>
        <v/>
      </c>
      <c r="DQ20" s="31">
        <f>IF(OR(Settings!$A$32="",Settings!$F$32="Yes",OR(EOMONTH(DQ$4,0)&lt;=Settings!$B$5,DQ$4&gt;TODAY())),"",IF(EOMONTH(DP$4,0)&lt;=Settings!$B$5,N(Settings!$C$32),N(Calc!$AR$123)))</f>
        <v/>
      </c>
      <c r="DR20" s="31">
        <f>IF(OR(Settings!$A$32="",Settings!$F$32="Yes",OR(EOMONTH(DR$4,0)&lt;=Settings!$B$5,DR$4&gt;TODAY())),"",IF(EOMONTH(DQ$4,0)&lt;=Settings!$B$5,N(Settings!$C$32),N(Calc!$AR$124)))</f>
        <v/>
      </c>
      <c r="DS20" s="31">
        <f>IF(OR(Settings!$A$32="",Settings!$F$32="Yes",OR(EOMONTH(DS$4,0)&lt;=Settings!$B$5,DS$4&gt;TODAY())),"",IF(EOMONTH(DR$4,0)&lt;=Settings!$B$5,N(Settings!$C$32),N(Calc!$AR$125)))</f>
        <v/>
      </c>
      <c r="DT20" s="31">
        <f>IF(OR(Settings!$A$32="",Settings!$F$32="Yes",OR(EOMONTH(DT$4,0)&lt;=Settings!$B$5,DT$4&gt;TODAY())),"",IF(EOMONTH(DS$4,0)&lt;=Settings!$B$5,N(Settings!$C$32),N(Calc!$AR$126)))</f>
        <v/>
      </c>
      <c r="DU20" s="31">
        <f>IF(OR(Settings!$A$32="",Settings!$F$32="Yes",OR(EOMONTH(DU$4,0)&lt;=Settings!$B$5,DU$4&gt;TODAY())),"",IF(EOMONTH(DT$4,0)&lt;=Settings!$B$5,N(Settings!$C$32),N(Calc!$AR$127)))</f>
        <v/>
      </c>
      <c r="DV20" s="31">
        <f>IF(OR(Settings!$A$32="",Settings!$F$32="Yes",OR(EOMONTH(DV$4,0)&lt;=Settings!$B$5,DV$4&gt;TODAY())),"",IF(EOMONTH(DU$4,0)&lt;=Settings!$B$5,N(Settings!$C$32),N(Calc!$AR$128)))</f>
        <v/>
      </c>
      <c r="DW20" s="31">
        <f>IF(OR(Settings!$A$32="",Settings!$F$32="Yes",OR(EOMONTH(DW$4,0)&lt;=Settings!$B$5,DW$4&gt;TODAY())),"",IF(EOMONTH(DV$4,0)&lt;=Settings!$B$5,N(Settings!$C$32),N(Calc!$AR$129)))</f>
        <v/>
      </c>
      <c r="DX20" s="31">
        <f>IF(OR(Settings!$A$32="",Settings!$F$32="Yes",OR(EOMONTH(DX$4,0)&lt;=Settings!$B$5,DX$4&gt;TODAY())),"",IF(EOMONTH(DW$4,0)&lt;=Settings!$B$5,N(Settings!$C$32),N(Calc!$AR$130)))</f>
        <v/>
      </c>
      <c r="DY20" s="31">
        <f>IF(OR(Settings!$A$32="",Settings!$F$32="Yes",OR(EOMONTH(DY$4,0)&lt;=Settings!$B$5,DY$4&gt;TODAY())),"",IF(EOMONTH(DX$4,0)&lt;=Settings!$B$5,N(Settings!$C$32),N(Calc!$AR$131)))</f>
        <v/>
      </c>
      <c r="DZ20" s="31">
        <f>IF(OR(Settings!$A$32="",Settings!$F$32="Yes",OR(EOMONTH(DZ$4,0)&lt;=Settings!$B$5,DZ$4&gt;TODAY())),"",IF(EOMONTH(DY$4,0)&lt;=Settings!$B$5,N(Settings!$C$32),N(Calc!$AR$132)))</f>
        <v/>
      </c>
      <c r="EA20" s="31">
        <f>IF(OR(Settings!$A$32="",Settings!$F$32="Yes",OR(EOMONTH(EA$4,0)&lt;=Settings!$B$5,EA$4&gt;TODAY())),"",IF(EOMONTH(DZ$4,0)&lt;=Settings!$B$5,N(Settings!$C$32),N(Calc!$AR$133)))</f>
        <v/>
      </c>
      <c r="EB20" s="31">
        <f>IF(OR(Settings!$A$32="",Settings!$F$32="Yes",OR(EOMONTH(EB$4,0)&lt;=Settings!$B$5,EB$4&gt;TODAY())),"",IF(EOMONTH(EA$4,0)&lt;=Settings!$B$5,N(Settings!$C$32),N(Calc!$AR$134)))</f>
        <v/>
      </c>
      <c r="EC20" s="31">
        <f>IF(OR(Settings!$A$32="",Settings!$F$32="Yes",OR(EOMONTH(EC$4,0)&lt;=Settings!$B$5,EC$4&gt;TODAY())),"",IF(EOMONTH(EB$4,0)&lt;=Settings!$B$5,N(Settings!$C$32),N(Calc!$AR$135)))</f>
        <v/>
      </c>
      <c r="ED20" s="31">
        <f>IF(OR(Settings!$A$32="",Settings!$F$32="Yes",OR(EOMONTH(ED$4,0)&lt;=Settings!$B$5,ED$4&gt;TODAY())),"",IF(EOMONTH(EC$4,0)&lt;=Settings!$B$5,N(Settings!$C$32),N(Calc!$AR$136)))</f>
        <v/>
      </c>
      <c r="EE20" s="31">
        <f>IF(OR(Settings!$A$32="",Settings!$F$32="Yes",OR(EOMONTH(EE$4,0)&lt;=Settings!$B$5,EE$4&gt;TODAY())),"",IF(EOMONTH(ED$4,0)&lt;=Settings!$B$5,N(Settings!$C$32),N(Calc!$AR$137)))</f>
        <v/>
      </c>
      <c r="EF20" s="31">
        <f>IF(OR(Settings!$A$32="",Settings!$F$32="Yes",OR(EOMONTH(EF$4,0)&lt;=Settings!$B$5,EF$4&gt;TODAY())),"",IF(EOMONTH(EE$4,0)&lt;=Settings!$B$5,N(Settings!$C$32),N(Calc!$AR$138)))</f>
        <v/>
      </c>
      <c r="EG20" s="31">
        <f>IF(OR(Settings!$A$32="",Settings!$F$32="Yes",OR(EOMONTH(EG$4,0)&lt;=Settings!$B$5,EG$4&gt;TODAY())),"",IF(EOMONTH(EF$4,0)&lt;=Settings!$B$5,N(Settings!$C$32),N(Calc!$AR$139)))</f>
        <v/>
      </c>
      <c r="EH20" s="31">
        <f>IF(OR(Settings!$A$32="",Settings!$F$32="Yes",OR(EOMONTH(EH$4,0)&lt;=Settings!$B$5,EH$4&gt;TODAY())),"",IF(EOMONTH(EG$4,0)&lt;=Settings!$B$5,N(Settings!$C$32),N(Calc!$AR$140)))</f>
        <v/>
      </c>
      <c r="EI20" s="31">
        <f>IF(OR(Settings!$A$32="",Settings!$F$32="Yes",OR(EOMONTH(EI$4,0)&lt;=Settings!$B$5,EI$4&gt;TODAY())),"",IF(EOMONTH(EH$4,0)&lt;=Settings!$B$5,N(Settings!$C$32),N(Calc!$AR$141)))</f>
        <v/>
      </c>
      <c r="EJ20" s="31">
        <f>IF(OR(Settings!$A$32="",Settings!$F$32="Yes",OR(EOMONTH(EJ$4,0)&lt;=Settings!$B$5,EJ$4&gt;TODAY())),"",IF(EOMONTH(EI$4,0)&lt;=Settings!$B$5,N(Settings!$C$32),N(Calc!$AR$142)))</f>
        <v/>
      </c>
      <c r="EK20" s="31">
        <f>IF(OR(Settings!$A$32="",Settings!$F$32="Yes",OR(EOMONTH(EK$4,0)&lt;=Settings!$B$5,EK$4&gt;TODAY())),"",IF(EOMONTH(EJ$4,0)&lt;=Settings!$B$5,N(Settings!$C$32),N(Calc!$AR$143)))</f>
        <v/>
      </c>
      <c r="EL20" s="31">
        <f>IF(OR(Settings!$A$32="",Settings!$F$32="Yes",OR(EOMONTH(EL$4,0)&lt;=Settings!$B$5,EL$4&gt;TODAY())),"",IF(EOMONTH(EK$4,0)&lt;=Settings!$B$5,N(Settings!$C$32),N(Calc!$AR$144)))</f>
        <v/>
      </c>
      <c r="EM20" s="31">
        <f>IF(OR(Settings!$A$32="",Settings!$F$32="Yes",OR(EOMONTH(EM$4,0)&lt;=Settings!$B$5,EM$4&gt;TODAY())),"",IF(EOMONTH(EL$4,0)&lt;=Settings!$B$5,N(Settings!$C$32),N(Calc!$AR$145)))</f>
        <v/>
      </c>
      <c r="EN20" s="31">
        <f>IF(OR(Settings!$A$32="",Settings!$F$32="Yes",OR(EOMONTH(EN$4,0)&lt;=Settings!$B$5,EN$4&gt;TODAY())),"",IF(EOMONTH(EM$4,0)&lt;=Settings!$B$5,N(Settings!$C$32),N(Calc!$AR$146)))</f>
        <v/>
      </c>
      <c r="EO20" s="31">
        <f>IF(OR(Settings!$A$32="",Settings!$F$32="Yes",OR(EOMONTH(EO$4,0)&lt;=Settings!$B$5,EO$4&gt;TODAY())),"",IF(EOMONTH(EN$4,0)&lt;=Settings!$B$5,N(Settings!$C$32),N(Calc!$AR$147)))</f>
        <v/>
      </c>
      <c r="EP20" s="31">
        <f>IF(OR(Settings!$A$32="",Settings!$F$32="Yes",OR(EOMONTH(EP$4,0)&lt;=Settings!$B$5,EP$4&gt;TODAY())),"",IF(EOMONTH(EO$4,0)&lt;=Settings!$B$5,N(Settings!$C$32),N(Calc!$AR$148)))</f>
        <v/>
      </c>
      <c r="EQ20" s="31">
        <f>IF(OR(Settings!$A$32="",Settings!$F$32="Yes",OR(EOMONTH(EQ$4,0)&lt;=Settings!$B$5,EQ$4&gt;TODAY())),"",IF(EOMONTH(EP$4,0)&lt;=Settings!$B$5,N(Settings!$C$32),N(Calc!$AR$149)))</f>
        <v/>
      </c>
      <c r="ER20" s="31">
        <f>IF(OR(Settings!$A$32="",Settings!$F$32="Yes",OR(EOMONTH(ER$4,0)&lt;=Settings!$B$5,ER$4&gt;TODAY())),"",IF(EOMONTH(EQ$4,0)&lt;=Settings!$B$5,N(Settings!$C$32),N(Calc!$AR$150)))</f>
        <v/>
      </c>
      <c r="ES20" s="31">
        <f>IF(OR(Settings!$A$32="",Settings!$F$32="Yes",OR(EOMONTH(ES$4,0)&lt;=Settings!$B$5,ES$4&gt;TODAY())),"",IF(EOMONTH(ER$4,0)&lt;=Settings!$B$5,N(Settings!$C$32),N(Calc!$AR$151)))</f>
        <v/>
      </c>
      <c r="ET20" s="31">
        <f>IF(OR(Settings!$A$32="",Settings!$F$32="Yes",OR(EOMONTH(ET$4,0)&lt;=Settings!$B$5,ET$4&gt;TODAY())),"",IF(EOMONTH(ES$4,0)&lt;=Settings!$B$5,N(Settings!$C$32),N(Calc!$AR$152)))</f>
        <v/>
      </c>
      <c r="EU20" s="31">
        <f>IF(OR(Settings!$A$32="",Settings!$F$32="Yes",OR(EOMONTH(EU$4,0)&lt;=Settings!$B$5,EU$4&gt;TODAY())),"",IF(EOMONTH(ET$4,0)&lt;=Settings!$B$5,N(Settings!$C$32),N(Calc!$AR$153)))</f>
        <v/>
      </c>
      <c r="EV20" s="31">
        <f>IF(OR(Settings!$A$32="",Settings!$F$32="Yes",OR(EOMONTH(EV$4,0)&lt;=Settings!$B$5,EV$4&gt;TODAY())),"",IF(EOMONTH(EU$4,0)&lt;=Settings!$B$5,N(Settings!$C$32),N(Calc!$AR$154)))</f>
        <v/>
      </c>
      <c r="EW20" s="31">
        <f>IF(OR(Settings!$A$32="",Settings!$F$32="Yes",OR(EOMONTH(EW$4,0)&lt;=Settings!$B$5,EW$4&gt;TODAY())),"",IF(EOMONTH(EV$4,0)&lt;=Settings!$B$5,N(Settings!$C$32),N(Calc!$AR$155)))</f>
        <v/>
      </c>
      <c r="EX20" s="31">
        <f>IF(OR(Settings!$A$32="",Settings!$F$32="Yes",OR(EOMONTH(EX$4,0)&lt;=Settings!$B$5,EX$4&gt;TODAY())),"",IF(EOMONTH(EW$4,0)&lt;=Settings!$B$5,N(Settings!$C$32),N(Calc!$AR$156)))</f>
        <v/>
      </c>
      <c r="EY20" s="31">
        <f>IF(OR(Settings!$A$32="",Settings!$F$32="Yes",OR(EOMONTH(EY$4,0)&lt;=Settings!$B$5,EY$4&gt;TODAY())),"",IF(EOMONTH(EX$4,0)&lt;=Settings!$B$5,N(Settings!$C$32),N(Calc!$AR$157)))</f>
        <v/>
      </c>
      <c r="EZ20" s="31">
        <f>IF(OR(Settings!$A$32="",Settings!$F$32="Yes",OR(EOMONTH(EZ$4,0)&lt;=Settings!$B$5,EZ$4&gt;TODAY())),"",IF(EOMONTH(EY$4,0)&lt;=Settings!$B$5,N(Settings!$C$32),N(Calc!$AR$158)))</f>
        <v/>
      </c>
      <c r="FA20" s="31">
        <f>IF(OR(Settings!$A$32="",Settings!$F$32="Yes",OR(EOMONTH(FA$4,0)&lt;=Settings!$B$5,FA$4&gt;TODAY())),"",IF(EOMONTH(EZ$4,0)&lt;=Settings!$B$5,N(Settings!$C$32),N(Calc!$AR$159)))</f>
        <v/>
      </c>
      <c r="FB20" s="31">
        <f>IF(OR(Settings!$A$32="",Settings!$F$32="Yes",OR(EOMONTH(FB$4,0)&lt;=Settings!$B$5,FB$4&gt;TODAY())),"",IF(EOMONTH(FA$4,0)&lt;=Settings!$B$5,N(Settings!$C$32),N(Calc!$AR$160)))</f>
        <v/>
      </c>
      <c r="FC20" s="31">
        <f>IF(OR(Settings!$A$32="",Settings!$F$32="Yes",OR(EOMONTH(FC$4,0)&lt;=Settings!$B$5,FC$4&gt;TODAY())),"",IF(EOMONTH(FB$4,0)&lt;=Settings!$B$5,N(Settings!$C$32),N(Calc!$AR$161)))</f>
        <v/>
      </c>
      <c r="FD20" s="31">
        <f>IF(OR(Settings!$A$32="",Settings!$F$32="Yes",OR(EOMONTH(FD$4,0)&lt;=Settings!$B$5,FD$4&gt;TODAY())),"",IF(EOMONTH(FC$4,0)&lt;=Settings!$B$5,N(Settings!$C$32),N(Calc!$AR$162)))</f>
        <v/>
      </c>
      <c r="FE20" s="31">
        <f>IF(OR(Settings!$A$32="",Settings!$F$32="Yes",OR(EOMONTH(FE$4,0)&lt;=Settings!$B$5,FE$4&gt;TODAY())),"",IF(EOMONTH(FD$4,0)&lt;=Settings!$B$5,N(Settings!$C$32),N(Calc!$AR$163)))</f>
        <v/>
      </c>
      <c r="FF20" s="31">
        <f>IF(OR(Settings!$A$32="",Settings!$F$32="Yes",OR(EOMONTH(FF$4,0)&lt;=Settings!$B$5,FF$4&gt;TODAY())),"",IF(EOMONTH(FE$4,0)&lt;=Settings!$B$5,N(Settings!$C$32),N(Calc!$AR$164)))</f>
        <v/>
      </c>
      <c r="FG20" s="31">
        <f>IF(OR(Settings!$A$32="",Settings!$F$32="Yes",OR(EOMONTH(FG$4,0)&lt;=Settings!$B$5,FG$4&gt;TODAY())),"",IF(EOMONTH(FF$4,0)&lt;=Settings!$B$5,N(Settings!$C$32),N(Calc!$AR$165)))</f>
        <v/>
      </c>
      <c r="FH20" s="31">
        <f>IF(OR(Settings!$A$32="",Settings!$F$32="Yes",OR(EOMONTH(FH$4,0)&lt;=Settings!$B$5,FH$4&gt;TODAY())),"",IF(EOMONTH(FG$4,0)&lt;=Settings!$B$5,N(Settings!$C$32),N(Calc!$AR$166)))</f>
        <v/>
      </c>
      <c r="FI20" s="31">
        <f>IF(OR(Settings!$A$32="",Settings!$F$32="Yes",OR(EOMONTH(FI$4,0)&lt;=Settings!$B$5,FI$4&gt;TODAY())),"",IF(EOMONTH(FH$4,0)&lt;=Settings!$B$5,N(Settings!$C$32),N(Calc!$AR$167)))</f>
        <v/>
      </c>
      <c r="FJ20" s="31">
        <f>IF(OR(Settings!$A$32="",Settings!$F$32="Yes",OR(EOMONTH(FJ$4,0)&lt;=Settings!$B$5,FJ$4&gt;TODAY())),"",IF(EOMONTH(FI$4,0)&lt;=Settings!$B$5,N(Settings!$C$32),N(Calc!$AR$168)))</f>
        <v/>
      </c>
      <c r="FK20" s="31">
        <f>IF(OR(Settings!$A$32="",Settings!$F$32="Yes",OR(EOMONTH(FK$4,0)&lt;=Settings!$B$5,FK$4&gt;TODAY())),"",IF(EOMONTH(FJ$4,0)&lt;=Settings!$B$5,N(Settings!$C$32),N(Calc!$AR$169)))</f>
        <v/>
      </c>
      <c r="FL20" s="31">
        <f>IF(OR(Settings!$A$32="",Settings!$F$32="Yes",OR(EOMONTH(FL$4,0)&lt;=Settings!$B$5,FL$4&gt;TODAY())),"",IF(EOMONTH(FK$4,0)&lt;=Settings!$B$5,N(Settings!$C$32),N(Calc!$AR$170)))</f>
        <v/>
      </c>
      <c r="FM20" s="31">
        <f>IF(OR(Settings!$A$32="",Settings!$F$32="Yes",OR(EOMONTH(FM$4,0)&lt;=Settings!$B$5,FM$4&gt;TODAY())),"",IF(EOMONTH(FL$4,0)&lt;=Settings!$B$5,N(Settings!$C$32),N(Calc!$AR$171)))</f>
        <v/>
      </c>
      <c r="FN20" s="31">
        <f>IF(OR(Settings!$A$32="",Settings!$F$32="Yes",OR(EOMONTH(FN$4,0)&lt;=Settings!$B$5,FN$4&gt;TODAY())),"",IF(EOMONTH(FM$4,0)&lt;=Settings!$B$5,N(Settings!$C$32),N(Calc!$AR$172)))</f>
        <v/>
      </c>
      <c r="FO20" s="31">
        <f>IF(OR(Settings!$A$32="",Settings!$F$32="Yes",OR(EOMONTH(FO$4,0)&lt;=Settings!$B$5,FO$4&gt;TODAY())),"",IF(EOMONTH(FN$4,0)&lt;=Settings!$B$5,N(Settings!$C$32),N(Calc!$AR$173)))</f>
        <v/>
      </c>
      <c r="FP20" s="31">
        <f>IF(OR(Settings!$A$32="",Settings!$F$32="Yes",OR(EOMONTH(FP$4,0)&lt;=Settings!$B$5,FP$4&gt;TODAY())),"",IF(EOMONTH(FO$4,0)&lt;=Settings!$B$5,N(Settings!$C$32),N(Calc!$AR$174)))</f>
        <v/>
      </c>
      <c r="FQ20" s="31">
        <f>IF(OR(Settings!$A$32="",Settings!$F$32="Yes",OR(EOMONTH(FQ$4,0)&lt;=Settings!$B$5,FQ$4&gt;TODAY())),"",IF(EOMONTH(FP$4,0)&lt;=Settings!$B$5,N(Settings!$C$32),N(Calc!$AR$175)))</f>
        <v/>
      </c>
      <c r="FR20" s="31">
        <f>IF(OR(Settings!$A$32="",Settings!$F$32="Yes",OR(EOMONTH(FR$4,0)&lt;=Settings!$B$5,FR$4&gt;TODAY())),"",IF(EOMONTH(FQ$4,0)&lt;=Settings!$B$5,N(Settings!$C$32),N(Calc!$AR$176)))</f>
        <v/>
      </c>
      <c r="FS20" s="31">
        <f>IF(OR(Settings!$A$32="",Settings!$F$32="Yes",OR(EOMONTH(FS$4,0)&lt;=Settings!$B$5,FS$4&gt;TODAY())),"",IF(EOMONTH(FR$4,0)&lt;=Settings!$B$5,N(Settings!$C$32),N(Calc!$AR$177)))</f>
        <v/>
      </c>
      <c r="FT20" s="31">
        <f>IF(OR(Settings!$A$32="",Settings!$F$32="Yes",OR(EOMONTH(FT$4,0)&lt;=Settings!$B$5,FT$4&gt;TODAY())),"",IF(EOMONTH(FS$4,0)&lt;=Settings!$B$5,N(Settings!$C$32),N(Calc!$AR$178)))</f>
        <v/>
      </c>
      <c r="FU20" s="31">
        <f>IF(OR(Settings!$A$32="",Settings!$F$32="Yes",OR(EOMONTH(FU$4,0)&lt;=Settings!$B$5,FU$4&gt;TODAY())),"",IF(EOMONTH(FT$4,0)&lt;=Settings!$B$5,N(Settings!$C$32),N(Calc!$AR$179)))</f>
        <v/>
      </c>
      <c r="FV20" s="31">
        <f>IF(OR(Settings!$A$32="",Settings!$F$32="Yes",OR(EOMONTH(FV$4,0)&lt;=Settings!$B$5,FV$4&gt;TODAY())),"",IF(EOMONTH(FU$4,0)&lt;=Settings!$B$5,N(Settings!$C$32),N(Calc!$AR$180)))</f>
        <v/>
      </c>
      <c r="FW20" s="31">
        <f>IF(OR(Settings!$A$32="",Settings!$F$32="Yes",OR(EOMONTH(FW$4,0)&lt;=Settings!$B$5,FW$4&gt;TODAY())),"",IF(EOMONTH(FV$4,0)&lt;=Settings!$B$5,N(Settings!$C$32),N(Calc!$AR$181)))</f>
        <v/>
      </c>
      <c r="FX20" s="31">
        <f>IF(OR(Settings!$A$32="",Settings!$F$32="Yes",OR(EOMONTH(FX$4,0)&lt;=Settings!$B$5,FX$4&gt;TODAY())),"",IF(EOMONTH(FW$4,0)&lt;=Settings!$B$5,N(Settings!$C$32),N(Calc!$AR$182)))</f>
        <v/>
      </c>
    </row>
    <row r="21" ht="26" customHeight="1">
      <c r="A21" s="11" t="inlineStr">
        <is>
          <t>2 · Income received this month</t>
        </is>
      </c>
      <c r="B21" s="12" t="n"/>
    </row>
    <row r="22">
      <c r="A22" s="15">
        <f>IF(Settings!$A$45="","(unused)",Settings!$A$45)</f>
        <v/>
      </c>
      <c r="B22" s="26">
        <f>IF(Settings!$A$45="","",IF(AND(Settings!$C$45&lt;&gt;"",Settings!$D$45&lt;&gt;""),"grey = automatic ("&amp;TEXT(Settings!$C$45,"$#,##0.00")&amp;" "&amp;LOWER(Settings!$D$45)&amp;")","type the month’s total"))</f>
        <v/>
      </c>
      <c r="C22" s="31">
        <f>IF(Calc!$BE$6=0,"",Calc!$BE$6)</f>
        <v/>
      </c>
      <c r="D22" s="31">
        <f>IF(Calc!$BE$7=0,"",Calc!$BE$7)</f>
        <v/>
      </c>
      <c r="E22" s="31">
        <f>IF(Calc!$BE$8=0,"",Calc!$BE$8)</f>
        <v/>
      </c>
      <c r="F22" s="31">
        <f>IF(Calc!$BE$9=0,"",Calc!$BE$9)</f>
        <v/>
      </c>
      <c r="G22" s="31">
        <f>IF(Calc!$BE$10=0,"",Calc!$BE$10)</f>
        <v/>
      </c>
      <c r="H22" s="31">
        <f>IF(Calc!$BE$11=0,"",Calc!$BE$11)</f>
        <v/>
      </c>
      <c r="I22" s="31">
        <f>IF(Calc!$BE$12=0,"",Calc!$BE$12)</f>
        <v/>
      </c>
      <c r="J22" s="31">
        <f>IF(Calc!$BE$13=0,"",Calc!$BE$13)</f>
        <v/>
      </c>
      <c r="K22" s="31">
        <f>IF(Calc!$BE$14=0,"",Calc!$BE$14)</f>
        <v/>
      </c>
      <c r="L22" s="31">
        <f>IF(Calc!$BE$15=0,"",Calc!$BE$15)</f>
        <v/>
      </c>
      <c r="M22" s="31">
        <f>IF(Calc!$BE$16=0,"",Calc!$BE$16)</f>
        <v/>
      </c>
      <c r="N22" s="31">
        <f>IF(Calc!$BE$17=0,"",Calc!$BE$17)</f>
        <v/>
      </c>
      <c r="O22" s="31">
        <f>IF(Calc!$BE$18=0,"",Calc!$BE$18)</f>
        <v/>
      </c>
      <c r="P22" s="31">
        <f>IF(Calc!$BE$19=0,"",Calc!$BE$19)</f>
        <v/>
      </c>
      <c r="Q22" s="31">
        <f>IF(Calc!$BE$20=0,"",Calc!$BE$20)</f>
        <v/>
      </c>
      <c r="R22" s="31">
        <f>IF(Calc!$BE$21=0,"",Calc!$BE$21)</f>
        <v/>
      </c>
      <c r="S22" s="31">
        <f>IF(Calc!$BE$22=0,"",Calc!$BE$22)</f>
        <v/>
      </c>
      <c r="T22" s="31">
        <f>IF(Calc!$BE$23=0,"",Calc!$BE$23)</f>
        <v/>
      </c>
      <c r="U22" s="31">
        <f>IF(Calc!$BE$24=0,"",Calc!$BE$24)</f>
        <v/>
      </c>
      <c r="V22" s="31">
        <f>IF(Calc!$BE$25=0,"",Calc!$BE$25)</f>
        <v/>
      </c>
      <c r="W22" s="31">
        <f>IF(Calc!$BE$26=0,"",Calc!$BE$26)</f>
        <v/>
      </c>
      <c r="X22" s="31">
        <f>IF(Calc!$BE$27=0,"",Calc!$BE$27)</f>
        <v/>
      </c>
      <c r="Y22" s="31">
        <f>IF(Calc!$BE$28=0,"",Calc!$BE$28)</f>
        <v/>
      </c>
      <c r="Z22" s="31">
        <f>IF(Calc!$BE$29=0,"",Calc!$BE$29)</f>
        <v/>
      </c>
      <c r="AA22" s="31">
        <f>IF(Calc!$BE$30=0,"",Calc!$BE$30)</f>
        <v/>
      </c>
      <c r="AB22" s="31">
        <f>IF(Calc!$BE$31=0,"",Calc!$BE$31)</f>
        <v/>
      </c>
      <c r="AC22" s="31">
        <f>IF(Calc!$BE$32=0,"",Calc!$BE$32)</f>
        <v/>
      </c>
      <c r="AD22" s="31">
        <f>IF(Calc!$BE$33=0,"",Calc!$BE$33)</f>
        <v/>
      </c>
      <c r="AE22" s="31">
        <f>IF(Calc!$BE$34=0,"",Calc!$BE$34)</f>
        <v/>
      </c>
      <c r="AF22" s="31">
        <f>IF(Calc!$BE$35=0,"",Calc!$BE$35)</f>
        <v/>
      </c>
      <c r="AG22" s="31">
        <f>IF(Calc!$BE$36=0,"",Calc!$BE$36)</f>
        <v/>
      </c>
      <c r="AH22" s="31">
        <f>IF(Calc!$BE$37=0,"",Calc!$BE$37)</f>
        <v/>
      </c>
      <c r="AI22" s="31">
        <f>IF(Calc!$BE$38=0,"",Calc!$BE$38)</f>
        <v/>
      </c>
      <c r="AJ22" s="31">
        <f>IF(Calc!$BE$39=0,"",Calc!$BE$39)</f>
        <v/>
      </c>
      <c r="AK22" s="31">
        <f>IF(Calc!$BE$40=0,"",Calc!$BE$40)</f>
        <v/>
      </c>
      <c r="AL22" s="31">
        <f>IF(Calc!$BE$41=0,"",Calc!$BE$41)</f>
        <v/>
      </c>
      <c r="AM22" s="31">
        <f>IF(Calc!$BE$42=0,"",Calc!$BE$42)</f>
        <v/>
      </c>
      <c r="AN22" s="31">
        <f>IF(Calc!$BE$43=0,"",Calc!$BE$43)</f>
        <v/>
      </c>
      <c r="AO22" s="31">
        <f>IF(Calc!$BE$44=0,"",Calc!$BE$44)</f>
        <v/>
      </c>
      <c r="AP22" s="31">
        <f>IF(Calc!$BE$45=0,"",Calc!$BE$45)</f>
        <v/>
      </c>
      <c r="AQ22" s="31">
        <f>IF(Calc!$BE$46=0,"",Calc!$BE$46)</f>
        <v/>
      </c>
      <c r="AR22" s="31">
        <f>IF(Calc!$BE$47=0,"",Calc!$BE$47)</f>
        <v/>
      </c>
      <c r="AS22" s="31">
        <f>IF(Calc!$BE$48=0,"",Calc!$BE$48)</f>
        <v/>
      </c>
      <c r="AT22" s="31">
        <f>IF(Calc!$BE$49=0,"",Calc!$BE$49)</f>
        <v/>
      </c>
      <c r="AU22" s="31">
        <f>IF(Calc!$BE$50=0,"",Calc!$BE$50)</f>
        <v/>
      </c>
      <c r="AV22" s="31">
        <f>IF(Calc!$BE$51=0,"",Calc!$BE$51)</f>
        <v/>
      </c>
      <c r="AW22" s="31">
        <f>IF(Calc!$BE$52=0,"",Calc!$BE$52)</f>
        <v/>
      </c>
      <c r="AX22" s="31">
        <f>IF(Calc!$BE$53=0,"",Calc!$BE$53)</f>
        <v/>
      </c>
      <c r="AY22" s="31">
        <f>IF(Calc!$BE$54=0,"",Calc!$BE$54)</f>
        <v/>
      </c>
      <c r="AZ22" s="31">
        <f>IF(Calc!$BE$55=0,"",Calc!$BE$55)</f>
        <v/>
      </c>
      <c r="BA22" s="31">
        <f>IF(Calc!$BE$56=0,"",Calc!$BE$56)</f>
        <v/>
      </c>
      <c r="BB22" s="31">
        <f>IF(Calc!$BE$57=0,"",Calc!$BE$57)</f>
        <v/>
      </c>
      <c r="BC22" s="31">
        <f>IF(Calc!$BE$58=0,"",Calc!$BE$58)</f>
        <v/>
      </c>
      <c r="BD22" s="31">
        <f>IF(Calc!$BE$59=0,"",Calc!$BE$59)</f>
        <v/>
      </c>
      <c r="BE22" s="31">
        <f>IF(Calc!$BE$60=0,"",Calc!$BE$60)</f>
        <v/>
      </c>
      <c r="BF22" s="31">
        <f>IF(Calc!$BE$61=0,"",Calc!$BE$61)</f>
        <v/>
      </c>
      <c r="BG22" s="31">
        <f>IF(Calc!$BE$62=0,"",Calc!$BE$62)</f>
        <v/>
      </c>
      <c r="BH22" s="31">
        <f>IF(Calc!$BE$63=0,"",Calc!$BE$63)</f>
        <v/>
      </c>
      <c r="BI22" s="31">
        <f>IF(Calc!$BE$64=0,"",Calc!$BE$64)</f>
        <v/>
      </c>
      <c r="BJ22" s="31">
        <f>IF(Calc!$BE$65=0,"",Calc!$BE$65)</f>
        <v/>
      </c>
      <c r="BK22" s="31">
        <f>IF(Calc!$BE$66=0,"",Calc!$BE$66)</f>
        <v/>
      </c>
      <c r="BL22" s="31">
        <f>IF(Calc!$BE$67=0,"",Calc!$BE$67)</f>
        <v/>
      </c>
      <c r="BM22" s="31">
        <f>IF(Calc!$BE$68=0,"",Calc!$BE$68)</f>
        <v/>
      </c>
      <c r="BN22" s="31">
        <f>IF(Calc!$BE$69=0,"",Calc!$BE$69)</f>
        <v/>
      </c>
      <c r="BO22" s="31">
        <f>IF(Calc!$BE$70=0,"",Calc!$BE$70)</f>
        <v/>
      </c>
      <c r="BP22" s="31">
        <f>IF(Calc!$BE$71=0,"",Calc!$BE$71)</f>
        <v/>
      </c>
      <c r="BQ22" s="31">
        <f>IF(Calc!$BE$72=0,"",Calc!$BE$72)</f>
        <v/>
      </c>
      <c r="BR22" s="31">
        <f>IF(Calc!$BE$73=0,"",Calc!$BE$73)</f>
        <v/>
      </c>
      <c r="BS22" s="31">
        <f>IF(Calc!$BE$74=0,"",Calc!$BE$74)</f>
        <v/>
      </c>
      <c r="BT22" s="31">
        <f>IF(Calc!$BE$75=0,"",Calc!$BE$75)</f>
        <v/>
      </c>
      <c r="BU22" s="31">
        <f>IF(Calc!$BE$76=0,"",Calc!$BE$76)</f>
        <v/>
      </c>
      <c r="BV22" s="31">
        <f>IF(Calc!$BE$77=0,"",Calc!$BE$77)</f>
        <v/>
      </c>
      <c r="BW22" s="31">
        <f>IF(Calc!$BE$78=0,"",Calc!$BE$78)</f>
        <v/>
      </c>
      <c r="BX22" s="31">
        <f>IF(Calc!$BE$79=0,"",Calc!$BE$79)</f>
        <v/>
      </c>
      <c r="BY22" s="31">
        <f>IF(Calc!$BE$80=0,"",Calc!$BE$80)</f>
        <v/>
      </c>
      <c r="BZ22" s="31">
        <f>IF(Calc!$BE$81=0,"",Calc!$BE$81)</f>
        <v/>
      </c>
      <c r="CA22" s="31">
        <f>IF(Calc!$BE$82=0,"",Calc!$BE$82)</f>
        <v/>
      </c>
      <c r="CB22" s="31">
        <f>IF(Calc!$BE$83=0,"",Calc!$BE$83)</f>
        <v/>
      </c>
      <c r="CC22" s="31">
        <f>IF(Calc!$BE$84=0,"",Calc!$BE$84)</f>
        <v/>
      </c>
      <c r="CD22" s="31">
        <f>IF(Calc!$BE$85=0,"",Calc!$BE$85)</f>
        <v/>
      </c>
      <c r="CE22" s="31">
        <f>IF(Calc!$BE$86=0,"",Calc!$BE$86)</f>
        <v/>
      </c>
      <c r="CF22" s="31">
        <f>IF(Calc!$BE$87=0,"",Calc!$BE$87)</f>
        <v/>
      </c>
      <c r="CG22" s="31">
        <f>IF(Calc!$BE$88=0,"",Calc!$BE$88)</f>
        <v/>
      </c>
      <c r="CH22" s="31">
        <f>IF(Calc!$BE$89=0,"",Calc!$BE$89)</f>
        <v/>
      </c>
      <c r="CI22" s="31">
        <f>IF(Calc!$BE$90=0,"",Calc!$BE$90)</f>
        <v/>
      </c>
      <c r="CJ22" s="31">
        <f>IF(Calc!$BE$91=0,"",Calc!$BE$91)</f>
        <v/>
      </c>
      <c r="CK22" s="31">
        <f>IF(Calc!$BE$92=0,"",Calc!$BE$92)</f>
        <v/>
      </c>
      <c r="CL22" s="31">
        <f>IF(Calc!$BE$93=0,"",Calc!$BE$93)</f>
        <v/>
      </c>
      <c r="CM22" s="31">
        <f>IF(Calc!$BE$94=0,"",Calc!$BE$94)</f>
        <v/>
      </c>
      <c r="CN22" s="31">
        <f>IF(Calc!$BE$95=0,"",Calc!$BE$95)</f>
        <v/>
      </c>
      <c r="CO22" s="31">
        <f>IF(Calc!$BE$96=0,"",Calc!$BE$96)</f>
        <v/>
      </c>
      <c r="CP22" s="31">
        <f>IF(Calc!$BE$97=0,"",Calc!$BE$97)</f>
        <v/>
      </c>
      <c r="CQ22" s="31">
        <f>IF(Calc!$BE$98=0,"",Calc!$BE$98)</f>
        <v/>
      </c>
      <c r="CR22" s="31">
        <f>IF(Calc!$BE$99=0,"",Calc!$BE$99)</f>
        <v/>
      </c>
      <c r="CS22" s="31">
        <f>IF(Calc!$BE$100=0,"",Calc!$BE$100)</f>
        <v/>
      </c>
      <c r="CT22" s="31">
        <f>IF(Calc!$BE$101=0,"",Calc!$BE$101)</f>
        <v/>
      </c>
      <c r="CU22" s="31">
        <f>IF(Calc!$BE$102=0,"",Calc!$BE$102)</f>
        <v/>
      </c>
      <c r="CV22" s="31">
        <f>IF(Calc!$BE$103=0,"",Calc!$BE$103)</f>
        <v/>
      </c>
      <c r="CW22" s="31">
        <f>IF(Calc!$BE$104=0,"",Calc!$BE$104)</f>
        <v/>
      </c>
      <c r="CX22" s="31">
        <f>IF(Calc!$BE$105=0,"",Calc!$BE$105)</f>
        <v/>
      </c>
      <c r="CY22" s="31">
        <f>IF(Calc!$BE$106=0,"",Calc!$BE$106)</f>
        <v/>
      </c>
      <c r="CZ22" s="31">
        <f>IF(Calc!$BE$107=0,"",Calc!$BE$107)</f>
        <v/>
      </c>
      <c r="DA22" s="31">
        <f>IF(Calc!$BE$108=0,"",Calc!$BE$108)</f>
        <v/>
      </c>
      <c r="DB22" s="31">
        <f>IF(Calc!$BE$109=0,"",Calc!$BE$109)</f>
        <v/>
      </c>
      <c r="DC22" s="31">
        <f>IF(Calc!$BE$110=0,"",Calc!$BE$110)</f>
        <v/>
      </c>
      <c r="DD22" s="31">
        <f>IF(Calc!$BE$111=0,"",Calc!$BE$111)</f>
        <v/>
      </c>
      <c r="DE22" s="31">
        <f>IF(Calc!$BE$112=0,"",Calc!$BE$112)</f>
        <v/>
      </c>
      <c r="DF22" s="31">
        <f>IF(Calc!$BE$113=0,"",Calc!$BE$113)</f>
        <v/>
      </c>
      <c r="DG22" s="31">
        <f>IF(Calc!$BE$114=0,"",Calc!$BE$114)</f>
        <v/>
      </c>
      <c r="DH22" s="31">
        <f>IF(Calc!$BE$115=0,"",Calc!$BE$115)</f>
        <v/>
      </c>
      <c r="DI22" s="31">
        <f>IF(Calc!$BE$116=0,"",Calc!$BE$116)</f>
        <v/>
      </c>
      <c r="DJ22" s="31">
        <f>IF(Calc!$BE$117=0,"",Calc!$BE$117)</f>
        <v/>
      </c>
      <c r="DK22" s="31">
        <f>IF(Calc!$BE$118=0,"",Calc!$BE$118)</f>
        <v/>
      </c>
      <c r="DL22" s="31">
        <f>IF(Calc!$BE$119=0,"",Calc!$BE$119)</f>
        <v/>
      </c>
      <c r="DM22" s="31">
        <f>IF(Calc!$BE$120=0,"",Calc!$BE$120)</f>
        <v/>
      </c>
      <c r="DN22" s="31">
        <f>IF(Calc!$BE$121=0,"",Calc!$BE$121)</f>
        <v/>
      </c>
      <c r="DO22" s="31">
        <f>IF(Calc!$BE$122=0,"",Calc!$BE$122)</f>
        <v/>
      </c>
      <c r="DP22" s="31">
        <f>IF(Calc!$BE$123=0,"",Calc!$BE$123)</f>
        <v/>
      </c>
      <c r="DQ22" s="31">
        <f>IF(Calc!$BE$124=0,"",Calc!$BE$124)</f>
        <v/>
      </c>
      <c r="DR22" s="31">
        <f>IF(Calc!$BE$125=0,"",Calc!$BE$125)</f>
        <v/>
      </c>
      <c r="DS22" s="31">
        <f>IF(Calc!$BE$126=0,"",Calc!$BE$126)</f>
        <v/>
      </c>
      <c r="DT22" s="31">
        <f>IF(Calc!$BE$127=0,"",Calc!$BE$127)</f>
        <v/>
      </c>
      <c r="DU22" s="31">
        <f>IF(Calc!$BE$128=0,"",Calc!$BE$128)</f>
        <v/>
      </c>
      <c r="DV22" s="31">
        <f>IF(Calc!$BE$129=0,"",Calc!$BE$129)</f>
        <v/>
      </c>
      <c r="DW22" s="31">
        <f>IF(Calc!$BE$130=0,"",Calc!$BE$130)</f>
        <v/>
      </c>
      <c r="DX22" s="31">
        <f>IF(Calc!$BE$131=0,"",Calc!$BE$131)</f>
        <v/>
      </c>
      <c r="DY22" s="31">
        <f>IF(Calc!$BE$132=0,"",Calc!$BE$132)</f>
        <v/>
      </c>
      <c r="DZ22" s="31">
        <f>IF(Calc!$BE$133=0,"",Calc!$BE$133)</f>
        <v/>
      </c>
      <c r="EA22" s="31">
        <f>IF(Calc!$BE$134=0,"",Calc!$BE$134)</f>
        <v/>
      </c>
      <c r="EB22" s="31">
        <f>IF(Calc!$BE$135=0,"",Calc!$BE$135)</f>
        <v/>
      </c>
      <c r="EC22" s="31">
        <f>IF(Calc!$BE$136=0,"",Calc!$BE$136)</f>
        <v/>
      </c>
      <c r="ED22" s="31">
        <f>IF(Calc!$BE$137=0,"",Calc!$BE$137)</f>
        <v/>
      </c>
      <c r="EE22" s="31">
        <f>IF(Calc!$BE$138=0,"",Calc!$BE$138)</f>
        <v/>
      </c>
      <c r="EF22" s="31">
        <f>IF(Calc!$BE$139=0,"",Calc!$BE$139)</f>
        <v/>
      </c>
      <c r="EG22" s="31">
        <f>IF(Calc!$BE$140=0,"",Calc!$BE$140)</f>
        <v/>
      </c>
      <c r="EH22" s="31">
        <f>IF(Calc!$BE$141=0,"",Calc!$BE$141)</f>
        <v/>
      </c>
      <c r="EI22" s="31">
        <f>IF(Calc!$BE$142=0,"",Calc!$BE$142)</f>
        <v/>
      </c>
      <c r="EJ22" s="31">
        <f>IF(Calc!$BE$143=0,"",Calc!$BE$143)</f>
        <v/>
      </c>
      <c r="EK22" s="31">
        <f>IF(Calc!$BE$144=0,"",Calc!$BE$144)</f>
        <v/>
      </c>
      <c r="EL22" s="31">
        <f>IF(Calc!$BE$145=0,"",Calc!$BE$145)</f>
        <v/>
      </c>
      <c r="EM22" s="31">
        <f>IF(Calc!$BE$146=0,"",Calc!$BE$146)</f>
        <v/>
      </c>
      <c r="EN22" s="31">
        <f>IF(Calc!$BE$147=0,"",Calc!$BE$147)</f>
        <v/>
      </c>
      <c r="EO22" s="31">
        <f>IF(Calc!$BE$148=0,"",Calc!$BE$148)</f>
        <v/>
      </c>
      <c r="EP22" s="31">
        <f>IF(Calc!$BE$149=0,"",Calc!$BE$149)</f>
        <v/>
      </c>
      <c r="EQ22" s="31">
        <f>IF(Calc!$BE$150=0,"",Calc!$BE$150)</f>
        <v/>
      </c>
      <c r="ER22" s="31">
        <f>IF(Calc!$BE$151=0,"",Calc!$BE$151)</f>
        <v/>
      </c>
      <c r="ES22" s="31">
        <f>IF(Calc!$BE$152=0,"",Calc!$BE$152)</f>
        <v/>
      </c>
      <c r="ET22" s="31">
        <f>IF(Calc!$BE$153=0,"",Calc!$BE$153)</f>
        <v/>
      </c>
      <c r="EU22" s="31">
        <f>IF(Calc!$BE$154=0,"",Calc!$BE$154)</f>
        <v/>
      </c>
      <c r="EV22" s="31">
        <f>IF(Calc!$BE$155=0,"",Calc!$BE$155)</f>
        <v/>
      </c>
      <c r="EW22" s="31">
        <f>IF(Calc!$BE$156=0,"",Calc!$BE$156)</f>
        <v/>
      </c>
      <c r="EX22" s="31">
        <f>IF(Calc!$BE$157=0,"",Calc!$BE$157)</f>
        <v/>
      </c>
      <c r="EY22" s="31">
        <f>IF(Calc!$BE$158=0,"",Calc!$BE$158)</f>
        <v/>
      </c>
      <c r="EZ22" s="31">
        <f>IF(Calc!$BE$159=0,"",Calc!$BE$159)</f>
        <v/>
      </c>
      <c r="FA22" s="31">
        <f>IF(Calc!$BE$160=0,"",Calc!$BE$160)</f>
        <v/>
      </c>
      <c r="FB22" s="31">
        <f>IF(Calc!$BE$161=0,"",Calc!$BE$161)</f>
        <v/>
      </c>
      <c r="FC22" s="31">
        <f>IF(Calc!$BE$162=0,"",Calc!$BE$162)</f>
        <v/>
      </c>
      <c r="FD22" s="31">
        <f>IF(Calc!$BE$163=0,"",Calc!$BE$163)</f>
        <v/>
      </c>
      <c r="FE22" s="31">
        <f>IF(Calc!$BE$164=0,"",Calc!$BE$164)</f>
        <v/>
      </c>
      <c r="FF22" s="31">
        <f>IF(Calc!$BE$165=0,"",Calc!$BE$165)</f>
        <v/>
      </c>
      <c r="FG22" s="31">
        <f>IF(Calc!$BE$166=0,"",Calc!$BE$166)</f>
        <v/>
      </c>
      <c r="FH22" s="31">
        <f>IF(Calc!$BE$167=0,"",Calc!$BE$167)</f>
        <v/>
      </c>
      <c r="FI22" s="31">
        <f>IF(Calc!$BE$168=0,"",Calc!$BE$168)</f>
        <v/>
      </c>
      <c r="FJ22" s="31">
        <f>IF(Calc!$BE$169=0,"",Calc!$BE$169)</f>
        <v/>
      </c>
      <c r="FK22" s="31">
        <f>IF(Calc!$BE$170=0,"",Calc!$BE$170)</f>
        <v/>
      </c>
      <c r="FL22" s="31">
        <f>IF(Calc!$BE$171=0,"",Calc!$BE$171)</f>
        <v/>
      </c>
      <c r="FM22" s="31">
        <f>IF(Calc!$BE$172=0,"",Calc!$BE$172)</f>
        <v/>
      </c>
      <c r="FN22" s="31">
        <f>IF(Calc!$BE$173=0,"",Calc!$BE$173)</f>
        <v/>
      </c>
      <c r="FO22" s="31">
        <f>IF(Calc!$BE$174=0,"",Calc!$BE$174)</f>
        <v/>
      </c>
      <c r="FP22" s="31">
        <f>IF(Calc!$BE$175=0,"",Calc!$BE$175)</f>
        <v/>
      </c>
      <c r="FQ22" s="31">
        <f>IF(Calc!$BE$176=0,"",Calc!$BE$176)</f>
        <v/>
      </c>
      <c r="FR22" s="31">
        <f>IF(Calc!$BE$177=0,"",Calc!$BE$177)</f>
        <v/>
      </c>
      <c r="FS22" s="31">
        <f>IF(Calc!$BE$178=0,"",Calc!$BE$178)</f>
        <v/>
      </c>
      <c r="FT22" s="31">
        <f>IF(Calc!$BE$179=0,"",Calc!$BE$179)</f>
        <v/>
      </c>
      <c r="FU22" s="31">
        <f>IF(Calc!$BE$180=0,"",Calc!$BE$180)</f>
        <v/>
      </c>
      <c r="FV22" s="31">
        <f>IF(Calc!$BE$181=0,"",Calc!$BE$181)</f>
        <v/>
      </c>
      <c r="FW22" s="31">
        <f>IF(Calc!$BE$182=0,"",Calc!$BE$182)</f>
        <v/>
      </c>
      <c r="FX22" s="31">
        <f>IF(Calc!$BE$183=0,"",Calc!$BE$183)</f>
        <v/>
      </c>
    </row>
    <row r="23">
      <c r="A23" s="15">
        <f>IF(Settings!$A$46="","(unused)",Settings!$A$46)</f>
        <v/>
      </c>
      <c r="B23" s="26">
        <f>IF(Settings!$A$46="","",IF(AND(Settings!$C$46&lt;&gt;"",Settings!$D$46&lt;&gt;""),"grey = automatic ("&amp;TEXT(Settings!$C$46,"$#,##0.00")&amp;" "&amp;LOWER(Settings!$D$46)&amp;")","type the month’s total"))</f>
        <v/>
      </c>
      <c r="C23" s="31">
        <f>IF(Calc!$BF$6=0,"",Calc!$BF$6)</f>
        <v/>
      </c>
      <c r="D23" s="31">
        <f>IF(Calc!$BF$7=0,"",Calc!$BF$7)</f>
        <v/>
      </c>
      <c r="E23" s="31">
        <f>IF(Calc!$BF$8=0,"",Calc!$BF$8)</f>
        <v/>
      </c>
      <c r="F23" s="31">
        <f>IF(Calc!$BF$9=0,"",Calc!$BF$9)</f>
        <v/>
      </c>
      <c r="G23" s="31">
        <f>IF(Calc!$BF$10=0,"",Calc!$BF$10)</f>
        <v/>
      </c>
      <c r="H23" s="31">
        <f>IF(Calc!$BF$11=0,"",Calc!$BF$11)</f>
        <v/>
      </c>
      <c r="I23" s="31">
        <f>IF(Calc!$BF$12=0,"",Calc!$BF$12)</f>
        <v/>
      </c>
      <c r="J23" s="31">
        <f>IF(Calc!$BF$13=0,"",Calc!$BF$13)</f>
        <v/>
      </c>
      <c r="K23" s="31">
        <f>IF(Calc!$BF$14=0,"",Calc!$BF$14)</f>
        <v/>
      </c>
      <c r="L23" s="31">
        <f>IF(Calc!$BF$15=0,"",Calc!$BF$15)</f>
        <v/>
      </c>
      <c r="M23" s="31">
        <f>IF(Calc!$BF$16=0,"",Calc!$BF$16)</f>
        <v/>
      </c>
      <c r="N23" s="31">
        <f>IF(Calc!$BF$17=0,"",Calc!$BF$17)</f>
        <v/>
      </c>
      <c r="O23" s="31">
        <f>IF(Calc!$BF$18=0,"",Calc!$BF$18)</f>
        <v/>
      </c>
      <c r="P23" s="31">
        <f>IF(Calc!$BF$19=0,"",Calc!$BF$19)</f>
        <v/>
      </c>
      <c r="Q23" s="31">
        <f>IF(Calc!$BF$20=0,"",Calc!$BF$20)</f>
        <v/>
      </c>
      <c r="R23" s="31">
        <f>IF(Calc!$BF$21=0,"",Calc!$BF$21)</f>
        <v/>
      </c>
      <c r="S23" s="31">
        <f>IF(Calc!$BF$22=0,"",Calc!$BF$22)</f>
        <v/>
      </c>
      <c r="T23" s="31">
        <f>IF(Calc!$BF$23=0,"",Calc!$BF$23)</f>
        <v/>
      </c>
      <c r="U23" s="31">
        <f>IF(Calc!$BF$24=0,"",Calc!$BF$24)</f>
        <v/>
      </c>
      <c r="V23" s="31">
        <f>IF(Calc!$BF$25=0,"",Calc!$BF$25)</f>
        <v/>
      </c>
      <c r="W23" s="31">
        <f>IF(Calc!$BF$26=0,"",Calc!$BF$26)</f>
        <v/>
      </c>
      <c r="X23" s="31">
        <f>IF(Calc!$BF$27=0,"",Calc!$BF$27)</f>
        <v/>
      </c>
      <c r="Y23" s="31">
        <f>IF(Calc!$BF$28=0,"",Calc!$BF$28)</f>
        <v/>
      </c>
      <c r="Z23" s="31">
        <f>IF(Calc!$BF$29=0,"",Calc!$BF$29)</f>
        <v/>
      </c>
      <c r="AA23" s="31">
        <f>IF(Calc!$BF$30=0,"",Calc!$BF$30)</f>
        <v/>
      </c>
      <c r="AB23" s="31">
        <f>IF(Calc!$BF$31=0,"",Calc!$BF$31)</f>
        <v/>
      </c>
      <c r="AC23" s="31">
        <f>IF(Calc!$BF$32=0,"",Calc!$BF$32)</f>
        <v/>
      </c>
      <c r="AD23" s="31">
        <f>IF(Calc!$BF$33=0,"",Calc!$BF$33)</f>
        <v/>
      </c>
      <c r="AE23" s="31">
        <f>IF(Calc!$BF$34=0,"",Calc!$BF$34)</f>
        <v/>
      </c>
      <c r="AF23" s="31">
        <f>IF(Calc!$BF$35=0,"",Calc!$BF$35)</f>
        <v/>
      </c>
      <c r="AG23" s="31">
        <f>IF(Calc!$BF$36=0,"",Calc!$BF$36)</f>
        <v/>
      </c>
      <c r="AH23" s="31">
        <f>IF(Calc!$BF$37=0,"",Calc!$BF$37)</f>
        <v/>
      </c>
      <c r="AI23" s="31">
        <f>IF(Calc!$BF$38=0,"",Calc!$BF$38)</f>
        <v/>
      </c>
      <c r="AJ23" s="31">
        <f>IF(Calc!$BF$39=0,"",Calc!$BF$39)</f>
        <v/>
      </c>
      <c r="AK23" s="31">
        <f>IF(Calc!$BF$40=0,"",Calc!$BF$40)</f>
        <v/>
      </c>
      <c r="AL23" s="31">
        <f>IF(Calc!$BF$41=0,"",Calc!$BF$41)</f>
        <v/>
      </c>
      <c r="AM23" s="31">
        <f>IF(Calc!$BF$42=0,"",Calc!$BF$42)</f>
        <v/>
      </c>
      <c r="AN23" s="31">
        <f>IF(Calc!$BF$43=0,"",Calc!$BF$43)</f>
        <v/>
      </c>
      <c r="AO23" s="31">
        <f>IF(Calc!$BF$44=0,"",Calc!$BF$44)</f>
        <v/>
      </c>
      <c r="AP23" s="31">
        <f>IF(Calc!$BF$45=0,"",Calc!$BF$45)</f>
        <v/>
      </c>
      <c r="AQ23" s="31">
        <f>IF(Calc!$BF$46=0,"",Calc!$BF$46)</f>
        <v/>
      </c>
      <c r="AR23" s="31">
        <f>IF(Calc!$BF$47=0,"",Calc!$BF$47)</f>
        <v/>
      </c>
      <c r="AS23" s="31">
        <f>IF(Calc!$BF$48=0,"",Calc!$BF$48)</f>
        <v/>
      </c>
      <c r="AT23" s="31">
        <f>IF(Calc!$BF$49=0,"",Calc!$BF$49)</f>
        <v/>
      </c>
      <c r="AU23" s="31">
        <f>IF(Calc!$BF$50=0,"",Calc!$BF$50)</f>
        <v/>
      </c>
      <c r="AV23" s="31">
        <f>IF(Calc!$BF$51=0,"",Calc!$BF$51)</f>
        <v/>
      </c>
      <c r="AW23" s="31">
        <f>IF(Calc!$BF$52=0,"",Calc!$BF$52)</f>
        <v/>
      </c>
      <c r="AX23" s="31">
        <f>IF(Calc!$BF$53=0,"",Calc!$BF$53)</f>
        <v/>
      </c>
      <c r="AY23" s="31">
        <f>IF(Calc!$BF$54=0,"",Calc!$BF$54)</f>
        <v/>
      </c>
      <c r="AZ23" s="31">
        <f>IF(Calc!$BF$55=0,"",Calc!$BF$55)</f>
        <v/>
      </c>
      <c r="BA23" s="31">
        <f>IF(Calc!$BF$56=0,"",Calc!$BF$56)</f>
        <v/>
      </c>
      <c r="BB23" s="31">
        <f>IF(Calc!$BF$57=0,"",Calc!$BF$57)</f>
        <v/>
      </c>
      <c r="BC23" s="31">
        <f>IF(Calc!$BF$58=0,"",Calc!$BF$58)</f>
        <v/>
      </c>
      <c r="BD23" s="31">
        <f>IF(Calc!$BF$59=0,"",Calc!$BF$59)</f>
        <v/>
      </c>
      <c r="BE23" s="31">
        <f>IF(Calc!$BF$60=0,"",Calc!$BF$60)</f>
        <v/>
      </c>
      <c r="BF23" s="31">
        <f>IF(Calc!$BF$61=0,"",Calc!$BF$61)</f>
        <v/>
      </c>
      <c r="BG23" s="31">
        <f>IF(Calc!$BF$62=0,"",Calc!$BF$62)</f>
        <v/>
      </c>
      <c r="BH23" s="31">
        <f>IF(Calc!$BF$63=0,"",Calc!$BF$63)</f>
        <v/>
      </c>
      <c r="BI23" s="31">
        <f>IF(Calc!$BF$64=0,"",Calc!$BF$64)</f>
        <v/>
      </c>
      <c r="BJ23" s="31">
        <f>IF(Calc!$BF$65=0,"",Calc!$BF$65)</f>
        <v/>
      </c>
      <c r="BK23" s="31">
        <f>IF(Calc!$BF$66=0,"",Calc!$BF$66)</f>
        <v/>
      </c>
      <c r="BL23" s="31">
        <f>IF(Calc!$BF$67=0,"",Calc!$BF$67)</f>
        <v/>
      </c>
      <c r="BM23" s="31">
        <f>IF(Calc!$BF$68=0,"",Calc!$BF$68)</f>
        <v/>
      </c>
      <c r="BN23" s="31">
        <f>IF(Calc!$BF$69=0,"",Calc!$BF$69)</f>
        <v/>
      </c>
      <c r="BO23" s="31">
        <f>IF(Calc!$BF$70=0,"",Calc!$BF$70)</f>
        <v/>
      </c>
      <c r="BP23" s="31">
        <f>IF(Calc!$BF$71=0,"",Calc!$BF$71)</f>
        <v/>
      </c>
      <c r="BQ23" s="31">
        <f>IF(Calc!$BF$72=0,"",Calc!$BF$72)</f>
        <v/>
      </c>
      <c r="BR23" s="31">
        <f>IF(Calc!$BF$73=0,"",Calc!$BF$73)</f>
        <v/>
      </c>
      <c r="BS23" s="31">
        <f>IF(Calc!$BF$74=0,"",Calc!$BF$74)</f>
        <v/>
      </c>
      <c r="BT23" s="31">
        <f>IF(Calc!$BF$75=0,"",Calc!$BF$75)</f>
        <v/>
      </c>
      <c r="BU23" s="31">
        <f>IF(Calc!$BF$76=0,"",Calc!$BF$76)</f>
        <v/>
      </c>
      <c r="BV23" s="31">
        <f>IF(Calc!$BF$77=0,"",Calc!$BF$77)</f>
        <v/>
      </c>
      <c r="BW23" s="31">
        <f>IF(Calc!$BF$78=0,"",Calc!$BF$78)</f>
        <v/>
      </c>
      <c r="BX23" s="31">
        <f>IF(Calc!$BF$79=0,"",Calc!$BF$79)</f>
        <v/>
      </c>
      <c r="BY23" s="31">
        <f>IF(Calc!$BF$80=0,"",Calc!$BF$80)</f>
        <v/>
      </c>
      <c r="BZ23" s="31">
        <f>IF(Calc!$BF$81=0,"",Calc!$BF$81)</f>
        <v/>
      </c>
      <c r="CA23" s="31">
        <f>IF(Calc!$BF$82=0,"",Calc!$BF$82)</f>
        <v/>
      </c>
      <c r="CB23" s="31">
        <f>IF(Calc!$BF$83=0,"",Calc!$BF$83)</f>
        <v/>
      </c>
      <c r="CC23" s="31">
        <f>IF(Calc!$BF$84=0,"",Calc!$BF$84)</f>
        <v/>
      </c>
      <c r="CD23" s="31">
        <f>IF(Calc!$BF$85=0,"",Calc!$BF$85)</f>
        <v/>
      </c>
      <c r="CE23" s="31">
        <f>IF(Calc!$BF$86=0,"",Calc!$BF$86)</f>
        <v/>
      </c>
      <c r="CF23" s="31">
        <f>IF(Calc!$BF$87=0,"",Calc!$BF$87)</f>
        <v/>
      </c>
      <c r="CG23" s="31">
        <f>IF(Calc!$BF$88=0,"",Calc!$BF$88)</f>
        <v/>
      </c>
      <c r="CH23" s="31">
        <f>IF(Calc!$BF$89=0,"",Calc!$BF$89)</f>
        <v/>
      </c>
      <c r="CI23" s="31">
        <f>IF(Calc!$BF$90=0,"",Calc!$BF$90)</f>
        <v/>
      </c>
      <c r="CJ23" s="31">
        <f>IF(Calc!$BF$91=0,"",Calc!$BF$91)</f>
        <v/>
      </c>
      <c r="CK23" s="31">
        <f>IF(Calc!$BF$92=0,"",Calc!$BF$92)</f>
        <v/>
      </c>
      <c r="CL23" s="31">
        <f>IF(Calc!$BF$93=0,"",Calc!$BF$93)</f>
        <v/>
      </c>
      <c r="CM23" s="31">
        <f>IF(Calc!$BF$94=0,"",Calc!$BF$94)</f>
        <v/>
      </c>
      <c r="CN23" s="31">
        <f>IF(Calc!$BF$95=0,"",Calc!$BF$95)</f>
        <v/>
      </c>
      <c r="CO23" s="31">
        <f>IF(Calc!$BF$96=0,"",Calc!$BF$96)</f>
        <v/>
      </c>
      <c r="CP23" s="31">
        <f>IF(Calc!$BF$97=0,"",Calc!$BF$97)</f>
        <v/>
      </c>
      <c r="CQ23" s="31">
        <f>IF(Calc!$BF$98=0,"",Calc!$BF$98)</f>
        <v/>
      </c>
      <c r="CR23" s="31">
        <f>IF(Calc!$BF$99=0,"",Calc!$BF$99)</f>
        <v/>
      </c>
      <c r="CS23" s="31">
        <f>IF(Calc!$BF$100=0,"",Calc!$BF$100)</f>
        <v/>
      </c>
      <c r="CT23" s="31">
        <f>IF(Calc!$BF$101=0,"",Calc!$BF$101)</f>
        <v/>
      </c>
      <c r="CU23" s="31">
        <f>IF(Calc!$BF$102=0,"",Calc!$BF$102)</f>
        <v/>
      </c>
      <c r="CV23" s="31">
        <f>IF(Calc!$BF$103=0,"",Calc!$BF$103)</f>
        <v/>
      </c>
      <c r="CW23" s="31">
        <f>IF(Calc!$BF$104=0,"",Calc!$BF$104)</f>
        <v/>
      </c>
      <c r="CX23" s="31">
        <f>IF(Calc!$BF$105=0,"",Calc!$BF$105)</f>
        <v/>
      </c>
      <c r="CY23" s="31">
        <f>IF(Calc!$BF$106=0,"",Calc!$BF$106)</f>
        <v/>
      </c>
      <c r="CZ23" s="31">
        <f>IF(Calc!$BF$107=0,"",Calc!$BF$107)</f>
        <v/>
      </c>
      <c r="DA23" s="31">
        <f>IF(Calc!$BF$108=0,"",Calc!$BF$108)</f>
        <v/>
      </c>
      <c r="DB23" s="31">
        <f>IF(Calc!$BF$109=0,"",Calc!$BF$109)</f>
        <v/>
      </c>
      <c r="DC23" s="31">
        <f>IF(Calc!$BF$110=0,"",Calc!$BF$110)</f>
        <v/>
      </c>
      <c r="DD23" s="31">
        <f>IF(Calc!$BF$111=0,"",Calc!$BF$111)</f>
        <v/>
      </c>
      <c r="DE23" s="31">
        <f>IF(Calc!$BF$112=0,"",Calc!$BF$112)</f>
        <v/>
      </c>
      <c r="DF23" s="31">
        <f>IF(Calc!$BF$113=0,"",Calc!$BF$113)</f>
        <v/>
      </c>
      <c r="DG23" s="31">
        <f>IF(Calc!$BF$114=0,"",Calc!$BF$114)</f>
        <v/>
      </c>
      <c r="DH23" s="31">
        <f>IF(Calc!$BF$115=0,"",Calc!$BF$115)</f>
        <v/>
      </c>
      <c r="DI23" s="31">
        <f>IF(Calc!$BF$116=0,"",Calc!$BF$116)</f>
        <v/>
      </c>
      <c r="DJ23" s="31">
        <f>IF(Calc!$BF$117=0,"",Calc!$BF$117)</f>
        <v/>
      </c>
      <c r="DK23" s="31">
        <f>IF(Calc!$BF$118=0,"",Calc!$BF$118)</f>
        <v/>
      </c>
      <c r="DL23" s="31">
        <f>IF(Calc!$BF$119=0,"",Calc!$BF$119)</f>
        <v/>
      </c>
      <c r="DM23" s="31">
        <f>IF(Calc!$BF$120=0,"",Calc!$BF$120)</f>
        <v/>
      </c>
      <c r="DN23" s="31">
        <f>IF(Calc!$BF$121=0,"",Calc!$BF$121)</f>
        <v/>
      </c>
      <c r="DO23" s="31">
        <f>IF(Calc!$BF$122=0,"",Calc!$BF$122)</f>
        <v/>
      </c>
      <c r="DP23" s="31">
        <f>IF(Calc!$BF$123=0,"",Calc!$BF$123)</f>
        <v/>
      </c>
      <c r="DQ23" s="31">
        <f>IF(Calc!$BF$124=0,"",Calc!$BF$124)</f>
        <v/>
      </c>
      <c r="DR23" s="31">
        <f>IF(Calc!$BF$125=0,"",Calc!$BF$125)</f>
        <v/>
      </c>
      <c r="DS23" s="31">
        <f>IF(Calc!$BF$126=0,"",Calc!$BF$126)</f>
        <v/>
      </c>
      <c r="DT23" s="31">
        <f>IF(Calc!$BF$127=0,"",Calc!$BF$127)</f>
        <v/>
      </c>
      <c r="DU23" s="31">
        <f>IF(Calc!$BF$128=0,"",Calc!$BF$128)</f>
        <v/>
      </c>
      <c r="DV23" s="31">
        <f>IF(Calc!$BF$129=0,"",Calc!$BF$129)</f>
        <v/>
      </c>
      <c r="DW23" s="31">
        <f>IF(Calc!$BF$130=0,"",Calc!$BF$130)</f>
        <v/>
      </c>
      <c r="DX23" s="31">
        <f>IF(Calc!$BF$131=0,"",Calc!$BF$131)</f>
        <v/>
      </c>
      <c r="DY23" s="31">
        <f>IF(Calc!$BF$132=0,"",Calc!$BF$132)</f>
        <v/>
      </c>
      <c r="DZ23" s="31">
        <f>IF(Calc!$BF$133=0,"",Calc!$BF$133)</f>
        <v/>
      </c>
      <c r="EA23" s="31">
        <f>IF(Calc!$BF$134=0,"",Calc!$BF$134)</f>
        <v/>
      </c>
      <c r="EB23" s="31">
        <f>IF(Calc!$BF$135=0,"",Calc!$BF$135)</f>
        <v/>
      </c>
      <c r="EC23" s="31">
        <f>IF(Calc!$BF$136=0,"",Calc!$BF$136)</f>
        <v/>
      </c>
      <c r="ED23" s="31">
        <f>IF(Calc!$BF$137=0,"",Calc!$BF$137)</f>
        <v/>
      </c>
      <c r="EE23" s="31">
        <f>IF(Calc!$BF$138=0,"",Calc!$BF$138)</f>
        <v/>
      </c>
      <c r="EF23" s="31">
        <f>IF(Calc!$BF$139=0,"",Calc!$BF$139)</f>
        <v/>
      </c>
      <c r="EG23" s="31">
        <f>IF(Calc!$BF$140=0,"",Calc!$BF$140)</f>
        <v/>
      </c>
      <c r="EH23" s="31">
        <f>IF(Calc!$BF$141=0,"",Calc!$BF$141)</f>
        <v/>
      </c>
      <c r="EI23" s="31">
        <f>IF(Calc!$BF$142=0,"",Calc!$BF$142)</f>
        <v/>
      </c>
      <c r="EJ23" s="31">
        <f>IF(Calc!$BF$143=0,"",Calc!$BF$143)</f>
        <v/>
      </c>
      <c r="EK23" s="31">
        <f>IF(Calc!$BF$144=0,"",Calc!$BF$144)</f>
        <v/>
      </c>
      <c r="EL23" s="31">
        <f>IF(Calc!$BF$145=0,"",Calc!$BF$145)</f>
        <v/>
      </c>
      <c r="EM23" s="31">
        <f>IF(Calc!$BF$146=0,"",Calc!$BF$146)</f>
        <v/>
      </c>
      <c r="EN23" s="31">
        <f>IF(Calc!$BF$147=0,"",Calc!$BF$147)</f>
        <v/>
      </c>
      <c r="EO23" s="31">
        <f>IF(Calc!$BF$148=0,"",Calc!$BF$148)</f>
        <v/>
      </c>
      <c r="EP23" s="31">
        <f>IF(Calc!$BF$149=0,"",Calc!$BF$149)</f>
        <v/>
      </c>
      <c r="EQ23" s="31">
        <f>IF(Calc!$BF$150=0,"",Calc!$BF$150)</f>
        <v/>
      </c>
      <c r="ER23" s="31">
        <f>IF(Calc!$BF$151=0,"",Calc!$BF$151)</f>
        <v/>
      </c>
      <c r="ES23" s="31">
        <f>IF(Calc!$BF$152=0,"",Calc!$BF$152)</f>
        <v/>
      </c>
      <c r="ET23" s="31">
        <f>IF(Calc!$BF$153=0,"",Calc!$BF$153)</f>
        <v/>
      </c>
      <c r="EU23" s="31">
        <f>IF(Calc!$BF$154=0,"",Calc!$BF$154)</f>
        <v/>
      </c>
      <c r="EV23" s="31">
        <f>IF(Calc!$BF$155=0,"",Calc!$BF$155)</f>
        <v/>
      </c>
      <c r="EW23" s="31">
        <f>IF(Calc!$BF$156=0,"",Calc!$BF$156)</f>
        <v/>
      </c>
      <c r="EX23" s="31">
        <f>IF(Calc!$BF$157=0,"",Calc!$BF$157)</f>
        <v/>
      </c>
      <c r="EY23" s="31">
        <f>IF(Calc!$BF$158=0,"",Calc!$BF$158)</f>
        <v/>
      </c>
      <c r="EZ23" s="31">
        <f>IF(Calc!$BF$159=0,"",Calc!$BF$159)</f>
        <v/>
      </c>
      <c r="FA23" s="31">
        <f>IF(Calc!$BF$160=0,"",Calc!$BF$160)</f>
        <v/>
      </c>
      <c r="FB23" s="31">
        <f>IF(Calc!$BF$161=0,"",Calc!$BF$161)</f>
        <v/>
      </c>
      <c r="FC23" s="31">
        <f>IF(Calc!$BF$162=0,"",Calc!$BF$162)</f>
        <v/>
      </c>
      <c r="FD23" s="31">
        <f>IF(Calc!$BF$163=0,"",Calc!$BF$163)</f>
        <v/>
      </c>
      <c r="FE23" s="31">
        <f>IF(Calc!$BF$164=0,"",Calc!$BF$164)</f>
        <v/>
      </c>
      <c r="FF23" s="31">
        <f>IF(Calc!$BF$165=0,"",Calc!$BF$165)</f>
        <v/>
      </c>
      <c r="FG23" s="31">
        <f>IF(Calc!$BF$166=0,"",Calc!$BF$166)</f>
        <v/>
      </c>
      <c r="FH23" s="31">
        <f>IF(Calc!$BF$167=0,"",Calc!$BF$167)</f>
        <v/>
      </c>
      <c r="FI23" s="31">
        <f>IF(Calc!$BF$168=0,"",Calc!$BF$168)</f>
        <v/>
      </c>
      <c r="FJ23" s="31">
        <f>IF(Calc!$BF$169=0,"",Calc!$BF$169)</f>
        <v/>
      </c>
      <c r="FK23" s="31">
        <f>IF(Calc!$BF$170=0,"",Calc!$BF$170)</f>
        <v/>
      </c>
      <c r="FL23" s="31">
        <f>IF(Calc!$BF$171=0,"",Calc!$BF$171)</f>
        <v/>
      </c>
      <c r="FM23" s="31">
        <f>IF(Calc!$BF$172=0,"",Calc!$BF$172)</f>
        <v/>
      </c>
      <c r="FN23" s="31">
        <f>IF(Calc!$BF$173=0,"",Calc!$BF$173)</f>
        <v/>
      </c>
      <c r="FO23" s="31">
        <f>IF(Calc!$BF$174=0,"",Calc!$BF$174)</f>
        <v/>
      </c>
      <c r="FP23" s="31">
        <f>IF(Calc!$BF$175=0,"",Calc!$BF$175)</f>
        <v/>
      </c>
      <c r="FQ23" s="31">
        <f>IF(Calc!$BF$176=0,"",Calc!$BF$176)</f>
        <v/>
      </c>
      <c r="FR23" s="31">
        <f>IF(Calc!$BF$177=0,"",Calc!$BF$177)</f>
        <v/>
      </c>
      <c r="FS23" s="31">
        <f>IF(Calc!$BF$178=0,"",Calc!$BF$178)</f>
        <v/>
      </c>
      <c r="FT23" s="31">
        <f>IF(Calc!$BF$179=0,"",Calc!$BF$179)</f>
        <v/>
      </c>
      <c r="FU23" s="31">
        <f>IF(Calc!$BF$180=0,"",Calc!$BF$180)</f>
        <v/>
      </c>
      <c r="FV23" s="31">
        <f>IF(Calc!$BF$181=0,"",Calc!$BF$181)</f>
        <v/>
      </c>
      <c r="FW23" s="31">
        <f>IF(Calc!$BF$182=0,"",Calc!$BF$182)</f>
        <v/>
      </c>
      <c r="FX23" s="31">
        <f>IF(Calc!$BF$183=0,"",Calc!$BF$183)</f>
        <v/>
      </c>
    </row>
    <row r="24">
      <c r="A24" s="15">
        <f>IF(Settings!$A$47="","(unused)",Settings!$A$47)</f>
        <v/>
      </c>
      <c r="B24" s="26">
        <f>IF(Settings!$A$47="","",IF(AND(Settings!$C$47&lt;&gt;"",Settings!$D$47&lt;&gt;""),"grey = automatic ("&amp;TEXT(Settings!$C$47,"$#,##0.00")&amp;" "&amp;LOWER(Settings!$D$47)&amp;")","type the month’s total"))</f>
        <v/>
      </c>
      <c r="C24" s="31">
        <f>IF(Calc!$BG$6=0,"",Calc!$BG$6)</f>
        <v/>
      </c>
      <c r="D24" s="31">
        <f>IF(Calc!$BG$7=0,"",Calc!$BG$7)</f>
        <v/>
      </c>
      <c r="E24" s="31">
        <f>IF(Calc!$BG$8=0,"",Calc!$BG$8)</f>
        <v/>
      </c>
      <c r="F24" s="31">
        <f>IF(Calc!$BG$9=0,"",Calc!$BG$9)</f>
        <v/>
      </c>
      <c r="G24" s="31">
        <f>IF(Calc!$BG$10=0,"",Calc!$BG$10)</f>
        <v/>
      </c>
      <c r="H24" s="31">
        <f>IF(Calc!$BG$11=0,"",Calc!$BG$11)</f>
        <v/>
      </c>
      <c r="I24" s="31">
        <f>IF(Calc!$BG$12=0,"",Calc!$BG$12)</f>
        <v/>
      </c>
      <c r="J24" s="31">
        <f>IF(Calc!$BG$13=0,"",Calc!$BG$13)</f>
        <v/>
      </c>
      <c r="K24" s="31">
        <f>IF(Calc!$BG$14=0,"",Calc!$BG$14)</f>
        <v/>
      </c>
      <c r="L24" s="31">
        <f>IF(Calc!$BG$15=0,"",Calc!$BG$15)</f>
        <v/>
      </c>
      <c r="M24" s="31">
        <f>IF(Calc!$BG$16=0,"",Calc!$BG$16)</f>
        <v/>
      </c>
      <c r="N24" s="31">
        <f>IF(Calc!$BG$17=0,"",Calc!$BG$17)</f>
        <v/>
      </c>
      <c r="O24" s="31">
        <f>IF(Calc!$BG$18=0,"",Calc!$BG$18)</f>
        <v/>
      </c>
      <c r="P24" s="31">
        <f>IF(Calc!$BG$19=0,"",Calc!$BG$19)</f>
        <v/>
      </c>
      <c r="Q24" s="31">
        <f>IF(Calc!$BG$20=0,"",Calc!$BG$20)</f>
        <v/>
      </c>
      <c r="R24" s="31">
        <f>IF(Calc!$BG$21=0,"",Calc!$BG$21)</f>
        <v/>
      </c>
      <c r="S24" s="31">
        <f>IF(Calc!$BG$22=0,"",Calc!$BG$22)</f>
        <v/>
      </c>
      <c r="T24" s="31">
        <f>IF(Calc!$BG$23=0,"",Calc!$BG$23)</f>
        <v/>
      </c>
      <c r="U24" s="31">
        <f>IF(Calc!$BG$24=0,"",Calc!$BG$24)</f>
        <v/>
      </c>
      <c r="V24" s="31">
        <f>IF(Calc!$BG$25=0,"",Calc!$BG$25)</f>
        <v/>
      </c>
      <c r="W24" s="31">
        <f>IF(Calc!$BG$26=0,"",Calc!$BG$26)</f>
        <v/>
      </c>
      <c r="X24" s="31">
        <f>IF(Calc!$BG$27=0,"",Calc!$BG$27)</f>
        <v/>
      </c>
      <c r="Y24" s="31">
        <f>IF(Calc!$BG$28=0,"",Calc!$BG$28)</f>
        <v/>
      </c>
      <c r="Z24" s="31">
        <f>IF(Calc!$BG$29=0,"",Calc!$BG$29)</f>
        <v/>
      </c>
      <c r="AA24" s="31">
        <f>IF(Calc!$BG$30=0,"",Calc!$BG$30)</f>
        <v/>
      </c>
      <c r="AB24" s="31">
        <f>IF(Calc!$BG$31=0,"",Calc!$BG$31)</f>
        <v/>
      </c>
      <c r="AC24" s="31">
        <f>IF(Calc!$BG$32=0,"",Calc!$BG$32)</f>
        <v/>
      </c>
      <c r="AD24" s="31">
        <f>IF(Calc!$BG$33=0,"",Calc!$BG$33)</f>
        <v/>
      </c>
      <c r="AE24" s="31">
        <f>IF(Calc!$BG$34=0,"",Calc!$BG$34)</f>
        <v/>
      </c>
      <c r="AF24" s="31">
        <f>IF(Calc!$BG$35=0,"",Calc!$BG$35)</f>
        <v/>
      </c>
      <c r="AG24" s="31">
        <f>IF(Calc!$BG$36=0,"",Calc!$BG$36)</f>
        <v/>
      </c>
      <c r="AH24" s="31">
        <f>IF(Calc!$BG$37=0,"",Calc!$BG$37)</f>
        <v/>
      </c>
      <c r="AI24" s="31">
        <f>IF(Calc!$BG$38=0,"",Calc!$BG$38)</f>
        <v/>
      </c>
      <c r="AJ24" s="31">
        <f>IF(Calc!$BG$39=0,"",Calc!$BG$39)</f>
        <v/>
      </c>
      <c r="AK24" s="31">
        <f>IF(Calc!$BG$40=0,"",Calc!$BG$40)</f>
        <v/>
      </c>
      <c r="AL24" s="31">
        <f>IF(Calc!$BG$41=0,"",Calc!$BG$41)</f>
        <v/>
      </c>
      <c r="AM24" s="31">
        <f>IF(Calc!$BG$42=0,"",Calc!$BG$42)</f>
        <v/>
      </c>
      <c r="AN24" s="31">
        <f>IF(Calc!$BG$43=0,"",Calc!$BG$43)</f>
        <v/>
      </c>
      <c r="AO24" s="31">
        <f>IF(Calc!$BG$44=0,"",Calc!$BG$44)</f>
        <v/>
      </c>
      <c r="AP24" s="31">
        <f>IF(Calc!$BG$45=0,"",Calc!$BG$45)</f>
        <v/>
      </c>
      <c r="AQ24" s="31">
        <f>IF(Calc!$BG$46=0,"",Calc!$BG$46)</f>
        <v/>
      </c>
      <c r="AR24" s="31">
        <f>IF(Calc!$BG$47=0,"",Calc!$BG$47)</f>
        <v/>
      </c>
      <c r="AS24" s="31">
        <f>IF(Calc!$BG$48=0,"",Calc!$BG$48)</f>
        <v/>
      </c>
      <c r="AT24" s="31">
        <f>IF(Calc!$BG$49=0,"",Calc!$BG$49)</f>
        <v/>
      </c>
      <c r="AU24" s="31">
        <f>IF(Calc!$BG$50=0,"",Calc!$BG$50)</f>
        <v/>
      </c>
      <c r="AV24" s="31">
        <f>IF(Calc!$BG$51=0,"",Calc!$BG$51)</f>
        <v/>
      </c>
      <c r="AW24" s="31">
        <f>IF(Calc!$BG$52=0,"",Calc!$BG$52)</f>
        <v/>
      </c>
      <c r="AX24" s="31">
        <f>IF(Calc!$BG$53=0,"",Calc!$BG$53)</f>
        <v/>
      </c>
      <c r="AY24" s="31">
        <f>IF(Calc!$BG$54=0,"",Calc!$BG$54)</f>
        <v/>
      </c>
      <c r="AZ24" s="31">
        <f>IF(Calc!$BG$55=0,"",Calc!$BG$55)</f>
        <v/>
      </c>
      <c r="BA24" s="31">
        <f>IF(Calc!$BG$56=0,"",Calc!$BG$56)</f>
        <v/>
      </c>
      <c r="BB24" s="31">
        <f>IF(Calc!$BG$57=0,"",Calc!$BG$57)</f>
        <v/>
      </c>
      <c r="BC24" s="31">
        <f>IF(Calc!$BG$58=0,"",Calc!$BG$58)</f>
        <v/>
      </c>
      <c r="BD24" s="31">
        <f>IF(Calc!$BG$59=0,"",Calc!$BG$59)</f>
        <v/>
      </c>
      <c r="BE24" s="31">
        <f>IF(Calc!$BG$60=0,"",Calc!$BG$60)</f>
        <v/>
      </c>
      <c r="BF24" s="31">
        <f>IF(Calc!$BG$61=0,"",Calc!$BG$61)</f>
        <v/>
      </c>
      <c r="BG24" s="31">
        <f>IF(Calc!$BG$62=0,"",Calc!$BG$62)</f>
        <v/>
      </c>
      <c r="BH24" s="31">
        <f>IF(Calc!$BG$63=0,"",Calc!$BG$63)</f>
        <v/>
      </c>
      <c r="BI24" s="31">
        <f>IF(Calc!$BG$64=0,"",Calc!$BG$64)</f>
        <v/>
      </c>
      <c r="BJ24" s="31">
        <f>IF(Calc!$BG$65=0,"",Calc!$BG$65)</f>
        <v/>
      </c>
      <c r="BK24" s="31">
        <f>IF(Calc!$BG$66=0,"",Calc!$BG$66)</f>
        <v/>
      </c>
      <c r="BL24" s="31">
        <f>IF(Calc!$BG$67=0,"",Calc!$BG$67)</f>
        <v/>
      </c>
      <c r="BM24" s="31">
        <f>IF(Calc!$BG$68=0,"",Calc!$BG$68)</f>
        <v/>
      </c>
      <c r="BN24" s="31">
        <f>IF(Calc!$BG$69=0,"",Calc!$BG$69)</f>
        <v/>
      </c>
      <c r="BO24" s="31">
        <f>IF(Calc!$BG$70=0,"",Calc!$BG$70)</f>
        <v/>
      </c>
      <c r="BP24" s="31">
        <f>IF(Calc!$BG$71=0,"",Calc!$BG$71)</f>
        <v/>
      </c>
      <c r="BQ24" s="31">
        <f>IF(Calc!$BG$72=0,"",Calc!$BG$72)</f>
        <v/>
      </c>
      <c r="BR24" s="31">
        <f>IF(Calc!$BG$73=0,"",Calc!$BG$73)</f>
        <v/>
      </c>
      <c r="BS24" s="31">
        <f>IF(Calc!$BG$74=0,"",Calc!$BG$74)</f>
        <v/>
      </c>
      <c r="BT24" s="31">
        <f>IF(Calc!$BG$75=0,"",Calc!$BG$75)</f>
        <v/>
      </c>
      <c r="BU24" s="31">
        <f>IF(Calc!$BG$76=0,"",Calc!$BG$76)</f>
        <v/>
      </c>
      <c r="BV24" s="31">
        <f>IF(Calc!$BG$77=0,"",Calc!$BG$77)</f>
        <v/>
      </c>
      <c r="BW24" s="31">
        <f>IF(Calc!$BG$78=0,"",Calc!$BG$78)</f>
        <v/>
      </c>
      <c r="BX24" s="31">
        <f>IF(Calc!$BG$79=0,"",Calc!$BG$79)</f>
        <v/>
      </c>
      <c r="BY24" s="31">
        <f>IF(Calc!$BG$80=0,"",Calc!$BG$80)</f>
        <v/>
      </c>
      <c r="BZ24" s="31">
        <f>IF(Calc!$BG$81=0,"",Calc!$BG$81)</f>
        <v/>
      </c>
      <c r="CA24" s="31">
        <f>IF(Calc!$BG$82=0,"",Calc!$BG$82)</f>
        <v/>
      </c>
      <c r="CB24" s="31">
        <f>IF(Calc!$BG$83=0,"",Calc!$BG$83)</f>
        <v/>
      </c>
      <c r="CC24" s="31">
        <f>IF(Calc!$BG$84=0,"",Calc!$BG$84)</f>
        <v/>
      </c>
      <c r="CD24" s="31">
        <f>IF(Calc!$BG$85=0,"",Calc!$BG$85)</f>
        <v/>
      </c>
      <c r="CE24" s="31">
        <f>IF(Calc!$BG$86=0,"",Calc!$BG$86)</f>
        <v/>
      </c>
      <c r="CF24" s="31">
        <f>IF(Calc!$BG$87=0,"",Calc!$BG$87)</f>
        <v/>
      </c>
      <c r="CG24" s="31">
        <f>IF(Calc!$BG$88=0,"",Calc!$BG$88)</f>
        <v/>
      </c>
      <c r="CH24" s="31">
        <f>IF(Calc!$BG$89=0,"",Calc!$BG$89)</f>
        <v/>
      </c>
      <c r="CI24" s="31">
        <f>IF(Calc!$BG$90=0,"",Calc!$BG$90)</f>
        <v/>
      </c>
      <c r="CJ24" s="31">
        <f>IF(Calc!$BG$91=0,"",Calc!$BG$91)</f>
        <v/>
      </c>
      <c r="CK24" s="31">
        <f>IF(Calc!$BG$92=0,"",Calc!$BG$92)</f>
        <v/>
      </c>
      <c r="CL24" s="31">
        <f>IF(Calc!$BG$93=0,"",Calc!$BG$93)</f>
        <v/>
      </c>
      <c r="CM24" s="31">
        <f>IF(Calc!$BG$94=0,"",Calc!$BG$94)</f>
        <v/>
      </c>
      <c r="CN24" s="31">
        <f>IF(Calc!$BG$95=0,"",Calc!$BG$95)</f>
        <v/>
      </c>
      <c r="CO24" s="31">
        <f>IF(Calc!$BG$96=0,"",Calc!$BG$96)</f>
        <v/>
      </c>
      <c r="CP24" s="31">
        <f>IF(Calc!$BG$97=0,"",Calc!$BG$97)</f>
        <v/>
      </c>
      <c r="CQ24" s="31">
        <f>IF(Calc!$BG$98=0,"",Calc!$BG$98)</f>
        <v/>
      </c>
      <c r="CR24" s="31">
        <f>IF(Calc!$BG$99=0,"",Calc!$BG$99)</f>
        <v/>
      </c>
      <c r="CS24" s="31">
        <f>IF(Calc!$BG$100=0,"",Calc!$BG$100)</f>
        <v/>
      </c>
      <c r="CT24" s="31">
        <f>IF(Calc!$BG$101=0,"",Calc!$BG$101)</f>
        <v/>
      </c>
      <c r="CU24" s="31">
        <f>IF(Calc!$BG$102=0,"",Calc!$BG$102)</f>
        <v/>
      </c>
      <c r="CV24" s="31">
        <f>IF(Calc!$BG$103=0,"",Calc!$BG$103)</f>
        <v/>
      </c>
      <c r="CW24" s="31">
        <f>IF(Calc!$BG$104=0,"",Calc!$BG$104)</f>
        <v/>
      </c>
      <c r="CX24" s="31">
        <f>IF(Calc!$BG$105=0,"",Calc!$BG$105)</f>
        <v/>
      </c>
      <c r="CY24" s="31">
        <f>IF(Calc!$BG$106=0,"",Calc!$BG$106)</f>
        <v/>
      </c>
      <c r="CZ24" s="31">
        <f>IF(Calc!$BG$107=0,"",Calc!$BG$107)</f>
        <v/>
      </c>
      <c r="DA24" s="31">
        <f>IF(Calc!$BG$108=0,"",Calc!$BG$108)</f>
        <v/>
      </c>
      <c r="DB24" s="31">
        <f>IF(Calc!$BG$109=0,"",Calc!$BG$109)</f>
        <v/>
      </c>
      <c r="DC24" s="31">
        <f>IF(Calc!$BG$110=0,"",Calc!$BG$110)</f>
        <v/>
      </c>
      <c r="DD24" s="31">
        <f>IF(Calc!$BG$111=0,"",Calc!$BG$111)</f>
        <v/>
      </c>
      <c r="DE24" s="31">
        <f>IF(Calc!$BG$112=0,"",Calc!$BG$112)</f>
        <v/>
      </c>
      <c r="DF24" s="31">
        <f>IF(Calc!$BG$113=0,"",Calc!$BG$113)</f>
        <v/>
      </c>
      <c r="DG24" s="31">
        <f>IF(Calc!$BG$114=0,"",Calc!$BG$114)</f>
        <v/>
      </c>
      <c r="DH24" s="31">
        <f>IF(Calc!$BG$115=0,"",Calc!$BG$115)</f>
        <v/>
      </c>
      <c r="DI24" s="31">
        <f>IF(Calc!$BG$116=0,"",Calc!$BG$116)</f>
        <v/>
      </c>
      <c r="DJ24" s="31">
        <f>IF(Calc!$BG$117=0,"",Calc!$BG$117)</f>
        <v/>
      </c>
      <c r="DK24" s="31">
        <f>IF(Calc!$BG$118=0,"",Calc!$BG$118)</f>
        <v/>
      </c>
      <c r="DL24" s="31">
        <f>IF(Calc!$BG$119=0,"",Calc!$BG$119)</f>
        <v/>
      </c>
      <c r="DM24" s="31">
        <f>IF(Calc!$BG$120=0,"",Calc!$BG$120)</f>
        <v/>
      </c>
      <c r="DN24" s="31">
        <f>IF(Calc!$BG$121=0,"",Calc!$BG$121)</f>
        <v/>
      </c>
      <c r="DO24" s="31">
        <f>IF(Calc!$BG$122=0,"",Calc!$BG$122)</f>
        <v/>
      </c>
      <c r="DP24" s="31">
        <f>IF(Calc!$BG$123=0,"",Calc!$BG$123)</f>
        <v/>
      </c>
      <c r="DQ24" s="31">
        <f>IF(Calc!$BG$124=0,"",Calc!$BG$124)</f>
        <v/>
      </c>
      <c r="DR24" s="31">
        <f>IF(Calc!$BG$125=0,"",Calc!$BG$125)</f>
        <v/>
      </c>
      <c r="DS24" s="31">
        <f>IF(Calc!$BG$126=0,"",Calc!$BG$126)</f>
        <v/>
      </c>
      <c r="DT24" s="31">
        <f>IF(Calc!$BG$127=0,"",Calc!$BG$127)</f>
        <v/>
      </c>
      <c r="DU24" s="31">
        <f>IF(Calc!$BG$128=0,"",Calc!$BG$128)</f>
        <v/>
      </c>
      <c r="DV24" s="31">
        <f>IF(Calc!$BG$129=0,"",Calc!$BG$129)</f>
        <v/>
      </c>
      <c r="DW24" s="31">
        <f>IF(Calc!$BG$130=0,"",Calc!$BG$130)</f>
        <v/>
      </c>
      <c r="DX24" s="31">
        <f>IF(Calc!$BG$131=0,"",Calc!$BG$131)</f>
        <v/>
      </c>
      <c r="DY24" s="31">
        <f>IF(Calc!$BG$132=0,"",Calc!$BG$132)</f>
        <v/>
      </c>
      <c r="DZ24" s="31">
        <f>IF(Calc!$BG$133=0,"",Calc!$BG$133)</f>
        <v/>
      </c>
      <c r="EA24" s="31">
        <f>IF(Calc!$BG$134=0,"",Calc!$BG$134)</f>
        <v/>
      </c>
      <c r="EB24" s="31">
        <f>IF(Calc!$BG$135=0,"",Calc!$BG$135)</f>
        <v/>
      </c>
      <c r="EC24" s="31">
        <f>IF(Calc!$BG$136=0,"",Calc!$BG$136)</f>
        <v/>
      </c>
      <c r="ED24" s="31">
        <f>IF(Calc!$BG$137=0,"",Calc!$BG$137)</f>
        <v/>
      </c>
      <c r="EE24" s="31">
        <f>IF(Calc!$BG$138=0,"",Calc!$BG$138)</f>
        <v/>
      </c>
      <c r="EF24" s="31">
        <f>IF(Calc!$BG$139=0,"",Calc!$BG$139)</f>
        <v/>
      </c>
      <c r="EG24" s="31">
        <f>IF(Calc!$BG$140=0,"",Calc!$BG$140)</f>
        <v/>
      </c>
      <c r="EH24" s="31">
        <f>IF(Calc!$BG$141=0,"",Calc!$BG$141)</f>
        <v/>
      </c>
      <c r="EI24" s="31">
        <f>IF(Calc!$BG$142=0,"",Calc!$BG$142)</f>
        <v/>
      </c>
      <c r="EJ24" s="31">
        <f>IF(Calc!$BG$143=0,"",Calc!$BG$143)</f>
        <v/>
      </c>
      <c r="EK24" s="31">
        <f>IF(Calc!$BG$144=0,"",Calc!$BG$144)</f>
        <v/>
      </c>
      <c r="EL24" s="31">
        <f>IF(Calc!$BG$145=0,"",Calc!$BG$145)</f>
        <v/>
      </c>
      <c r="EM24" s="31">
        <f>IF(Calc!$BG$146=0,"",Calc!$BG$146)</f>
        <v/>
      </c>
      <c r="EN24" s="31">
        <f>IF(Calc!$BG$147=0,"",Calc!$BG$147)</f>
        <v/>
      </c>
      <c r="EO24" s="31">
        <f>IF(Calc!$BG$148=0,"",Calc!$BG$148)</f>
        <v/>
      </c>
      <c r="EP24" s="31">
        <f>IF(Calc!$BG$149=0,"",Calc!$BG$149)</f>
        <v/>
      </c>
      <c r="EQ24" s="31">
        <f>IF(Calc!$BG$150=0,"",Calc!$BG$150)</f>
        <v/>
      </c>
      <c r="ER24" s="31">
        <f>IF(Calc!$BG$151=0,"",Calc!$BG$151)</f>
        <v/>
      </c>
      <c r="ES24" s="31">
        <f>IF(Calc!$BG$152=0,"",Calc!$BG$152)</f>
        <v/>
      </c>
      <c r="ET24" s="31">
        <f>IF(Calc!$BG$153=0,"",Calc!$BG$153)</f>
        <v/>
      </c>
      <c r="EU24" s="31">
        <f>IF(Calc!$BG$154=0,"",Calc!$BG$154)</f>
        <v/>
      </c>
      <c r="EV24" s="31">
        <f>IF(Calc!$BG$155=0,"",Calc!$BG$155)</f>
        <v/>
      </c>
      <c r="EW24" s="31">
        <f>IF(Calc!$BG$156=0,"",Calc!$BG$156)</f>
        <v/>
      </c>
      <c r="EX24" s="31">
        <f>IF(Calc!$BG$157=0,"",Calc!$BG$157)</f>
        <v/>
      </c>
      <c r="EY24" s="31">
        <f>IF(Calc!$BG$158=0,"",Calc!$BG$158)</f>
        <v/>
      </c>
      <c r="EZ24" s="31">
        <f>IF(Calc!$BG$159=0,"",Calc!$BG$159)</f>
        <v/>
      </c>
      <c r="FA24" s="31">
        <f>IF(Calc!$BG$160=0,"",Calc!$BG$160)</f>
        <v/>
      </c>
      <c r="FB24" s="31">
        <f>IF(Calc!$BG$161=0,"",Calc!$BG$161)</f>
        <v/>
      </c>
      <c r="FC24" s="31">
        <f>IF(Calc!$BG$162=0,"",Calc!$BG$162)</f>
        <v/>
      </c>
      <c r="FD24" s="31">
        <f>IF(Calc!$BG$163=0,"",Calc!$BG$163)</f>
        <v/>
      </c>
      <c r="FE24" s="31">
        <f>IF(Calc!$BG$164=0,"",Calc!$BG$164)</f>
        <v/>
      </c>
      <c r="FF24" s="31">
        <f>IF(Calc!$BG$165=0,"",Calc!$BG$165)</f>
        <v/>
      </c>
      <c r="FG24" s="31">
        <f>IF(Calc!$BG$166=0,"",Calc!$BG$166)</f>
        <v/>
      </c>
      <c r="FH24" s="31">
        <f>IF(Calc!$BG$167=0,"",Calc!$BG$167)</f>
        <v/>
      </c>
      <c r="FI24" s="31">
        <f>IF(Calc!$BG$168=0,"",Calc!$BG$168)</f>
        <v/>
      </c>
      <c r="FJ24" s="31">
        <f>IF(Calc!$BG$169=0,"",Calc!$BG$169)</f>
        <v/>
      </c>
      <c r="FK24" s="31">
        <f>IF(Calc!$BG$170=0,"",Calc!$BG$170)</f>
        <v/>
      </c>
      <c r="FL24" s="31">
        <f>IF(Calc!$BG$171=0,"",Calc!$BG$171)</f>
        <v/>
      </c>
      <c r="FM24" s="31">
        <f>IF(Calc!$BG$172=0,"",Calc!$BG$172)</f>
        <v/>
      </c>
      <c r="FN24" s="31">
        <f>IF(Calc!$BG$173=0,"",Calc!$BG$173)</f>
        <v/>
      </c>
      <c r="FO24" s="31">
        <f>IF(Calc!$BG$174=0,"",Calc!$BG$174)</f>
        <v/>
      </c>
      <c r="FP24" s="31">
        <f>IF(Calc!$BG$175=0,"",Calc!$BG$175)</f>
        <v/>
      </c>
      <c r="FQ24" s="31">
        <f>IF(Calc!$BG$176=0,"",Calc!$BG$176)</f>
        <v/>
      </c>
      <c r="FR24" s="31">
        <f>IF(Calc!$BG$177=0,"",Calc!$BG$177)</f>
        <v/>
      </c>
      <c r="FS24" s="31">
        <f>IF(Calc!$BG$178=0,"",Calc!$BG$178)</f>
        <v/>
      </c>
      <c r="FT24" s="31">
        <f>IF(Calc!$BG$179=0,"",Calc!$BG$179)</f>
        <v/>
      </c>
      <c r="FU24" s="31">
        <f>IF(Calc!$BG$180=0,"",Calc!$BG$180)</f>
        <v/>
      </c>
      <c r="FV24" s="31">
        <f>IF(Calc!$BG$181=0,"",Calc!$BG$181)</f>
        <v/>
      </c>
      <c r="FW24" s="31">
        <f>IF(Calc!$BG$182=0,"",Calc!$BG$182)</f>
        <v/>
      </c>
      <c r="FX24" s="31">
        <f>IF(Calc!$BG$183=0,"",Calc!$BG$183)</f>
        <v/>
      </c>
    </row>
    <row r="25">
      <c r="A25" s="15">
        <f>IF(Settings!$A$48="","(unused)",Settings!$A$48)</f>
        <v/>
      </c>
      <c r="B25" s="26">
        <f>IF(Settings!$A$48="","",IF(AND(Settings!$C$48&lt;&gt;"",Settings!$D$48&lt;&gt;""),"grey = automatic ("&amp;TEXT(Settings!$C$48,"$#,##0.00")&amp;" "&amp;LOWER(Settings!$D$48)&amp;")","type the month’s total"))</f>
        <v/>
      </c>
      <c r="C25" s="31">
        <f>IF(Calc!$BH$6=0,"",Calc!$BH$6)</f>
        <v/>
      </c>
      <c r="D25" s="31">
        <f>IF(Calc!$BH$7=0,"",Calc!$BH$7)</f>
        <v/>
      </c>
      <c r="E25" s="31">
        <f>IF(Calc!$BH$8=0,"",Calc!$BH$8)</f>
        <v/>
      </c>
      <c r="F25" s="31">
        <f>IF(Calc!$BH$9=0,"",Calc!$BH$9)</f>
        <v/>
      </c>
      <c r="G25" s="31">
        <f>IF(Calc!$BH$10=0,"",Calc!$BH$10)</f>
        <v/>
      </c>
      <c r="H25" s="31">
        <f>IF(Calc!$BH$11=0,"",Calc!$BH$11)</f>
        <v/>
      </c>
      <c r="I25" s="31">
        <f>IF(Calc!$BH$12=0,"",Calc!$BH$12)</f>
        <v/>
      </c>
      <c r="J25" s="31">
        <f>IF(Calc!$BH$13=0,"",Calc!$BH$13)</f>
        <v/>
      </c>
      <c r="K25" s="31">
        <f>IF(Calc!$BH$14=0,"",Calc!$BH$14)</f>
        <v/>
      </c>
      <c r="L25" s="31">
        <f>IF(Calc!$BH$15=0,"",Calc!$BH$15)</f>
        <v/>
      </c>
      <c r="M25" s="31">
        <f>IF(Calc!$BH$16=0,"",Calc!$BH$16)</f>
        <v/>
      </c>
      <c r="N25" s="31">
        <f>IF(Calc!$BH$17=0,"",Calc!$BH$17)</f>
        <v/>
      </c>
      <c r="O25" s="31">
        <f>IF(Calc!$BH$18=0,"",Calc!$BH$18)</f>
        <v/>
      </c>
      <c r="P25" s="31">
        <f>IF(Calc!$BH$19=0,"",Calc!$BH$19)</f>
        <v/>
      </c>
      <c r="Q25" s="31">
        <f>IF(Calc!$BH$20=0,"",Calc!$BH$20)</f>
        <v/>
      </c>
      <c r="R25" s="31">
        <f>IF(Calc!$BH$21=0,"",Calc!$BH$21)</f>
        <v/>
      </c>
      <c r="S25" s="31">
        <f>IF(Calc!$BH$22=0,"",Calc!$BH$22)</f>
        <v/>
      </c>
      <c r="T25" s="31">
        <f>IF(Calc!$BH$23=0,"",Calc!$BH$23)</f>
        <v/>
      </c>
      <c r="U25" s="31">
        <f>IF(Calc!$BH$24=0,"",Calc!$BH$24)</f>
        <v/>
      </c>
      <c r="V25" s="31">
        <f>IF(Calc!$BH$25=0,"",Calc!$BH$25)</f>
        <v/>
      </c>
      <c r="W25" s="31">
        <f>IF(Calc!$BH$26=0,"",Calc!$BH$26)</f>
        <v/>
      </c>
      <c r="X25" s="31">
        <f>IF(Calc!$BH$27=0,"",Calc!$BH$27)</f>
        <v/>
      </c>
      <c r="Y25" s="31">
        <f>IF(Calc!$BH$28=0,"",Calc!$BH$28)</f>
        <v/>
      </c>
      <c r="Z25" s="31">
        <f>IF(Calc!$BH$29=0,"",Calc!$BH$29)</f>
        <v/>
      </c>
      <c r="AA25" s="31">
        <f>IF(Calc!$BH$30=0,"",Calc!$BH$30)</f>
        <v/>
      </c>
      <c r="AB25" s="31">
        <f>IF(Calc!$BH$31=0,"",Calc!$BH$31)</f>
        <v/>
      </c>
      <c r="AC25" s="31">
        <f>IF(Calc!$BH$32=0,"",Calc!$BH$32)</f>
        <v/>
      </c>
      <c r="AD25" s="31">
        <f>IF(Calc!$BH$33=0,"",Calc!$BH$33)</f>
        <v/>
      </c>
      <c r="AE25" s="31">
        <f>IF(Calc!$BH$34=0,"",Calc!$BH$34)</f>
        <v/>
      </c>
      <c r="AF25" s="31">
        <f>IF(Calc!$BH$35=0,"",Calc!$BH$35)</f>
        <v/>
      </c>
      <c r="AG25" s="31">
        <f>IF(Calc!$BH$36=0,"",Calc!$BH$36)</f>
        <v/>
      </c>
      <c r="AH25" s="31">
        <f>IF(Calc!$BH$37=0,"",Calc!$BH$37)</f>
        <v/>
      </c>
      <c r="AI25" s="31">
        <f>IF(Calc!$BH$38=0,"",Calc!$BH$38)</f>
        <v/>
      </c>
      <c r="AJ25" s="31">
        <f>IF(Calc!$BH$39=0,"",Calc!$BH$39)</f>
        <v/>
      </c>
      <c r="AK25" s="31">
        <f>IF(Calc!$BH$40=0,"",Calc!$BH$40)</f>
        <v/>
      </c>
      <c r="AL25" s="31">
        <f>IF(Calc!$BH$41=0,"",Calc!$BH$41)</f>
        <v/>
      </c>
      <c r="AM25" s="31">
        <f>IF(Calc!$BH$42=0,"",Calc!$BH$42)</f>
        <v/>
      </c>
      <c r="AN25" s="31">
        <f>IF(Calc!$BH$43=0,"",Calc!$BH$43)</f>
        <v/>
      </c>
      <c r="AO25" s="31">
        <f>IF(Calc!$BH$44=0,"",Calc!$BH$44)</f>
        <v/>
      </c>
      <c r="AP25" s="31">
        <f>IF(Calc!$BH$45=0,"",Calc!$BH$45)</f>
        <v/>
      </c>
      <c r="AQ25" s="31">
        <f>IF(Calc!$BH$46=0,"",Calc!$BH$46)</f>
        <v/>
      </c>
      <c r="AR25" s="31">
        <f>IF(Calc!$BH$47=0,"",Calc!$BH$47)</f>
        <v/>
      </c>
      <c r="AS25" s="31">
        <f>IF(Calc!$BH$48=0,"",Calc!$BH$48)</f>
        <v/>
      </c>
      <c r="AT25" s="31">
        <f>IF(Calc!$BH$49=0,"",Calc!$BH$49)</f>
        <v/>
      </c>
      <c r="AU25" s="31">
        <f>IF(Calc!$BH$50=0,"",Calc!$BH$50)</f>
        <v/>
      </c>
      <c r="AV25" s="31">
        <f>IF(Calc!$BH$51=0,"",Calc!$BH$51)</f>
        <v/>
      </c>
      <c r="AW25" s="31">
        <f>IF(Calc!$BH$52=0,"",Calc!$BH$52)</f>
        <v/>
      </c>
      <c r="AX25" s="31">
        <f>IF(Calc!$BH$53=0,"",Calc!$BH$53)</f>
        <v/>
      </c>
      <c r="AY25" s="31">
        <f>IF(Calc!$BH$54=0,"",Calc!$BH$54)</f>
        <v/>
      </c>
      <c r="AZ25" s="31">
        <f>IF(Calc!$BH$55=0,"",Calc!$BH$55)</f>
        <v/>
      </c>
      <c r="BA25" s="31">
        <f>IF(Calc!$BH$56=0,"",Calc!$BH$56)</f>
        <v/>
      </c>
      <c r="BB25" s="31">
        <f>IF(Calc!$BH$57=0,"",Calc!$BH$57)</f>
        <v/>
      </c>
      <c r="BC25" s="31">
        <f>IF(Calc!$BH$58=0,"",Calc!$BH$58)</f>
        <v/>
      </c>
      <c r="BD25" s="31">
        <f>IF(Calc!$BH$59=0,"",Calc!$BH$59)</f>
        <v/>
      </c>
      <c r="BE25" s="31">
        <f>IF(Calc!$BH$60=0,"",Calc!$BH$60)</f>
        <v/>
      </c>
      <c r="BF25" s="31">
        <f>IF(Calc!$BH$61=0,"",Calc!$BH$61)</f>
        <v/>
      </c>
      <c r="BG25" s="31">
        <f>IF(Calc!$BH$62=0,"",Calc!$BH$62)</f>
        <v/>
      </c>
      <c r="BH25" s="31">
        <f>IF(Calc!$BH$63=0,"",Calc!$BH$63)</f>
        <v/>
      </c>
      <c r="BI25" s="31">
        <f>IF(Calc!$BH$64=0,"",Calc!$BH$64)</f>
        <v/>
      </c>
      <c r="BJ25" s="31">
        <f>IF(Calc!$BH$65=0,"",Calc!$BH$65)</f>
        <v/>
      </c>
      <c r="BK25" s="31">
        <f>IF(Calc!$BH$66=0,"",Calc!$BH$66)</f>
        <v/>
      </c>
      <c r="BL25" s="31">
        <f>IF(Calc!$BH$67=0,"",Calc!$BH$67)</f>
        <v/>
      </c>
      <c r="BM25" s="31">
        <f>IF(Calc!$BH$68=0,"",Calc!$BH$68)</f>
        <v/>
      </c>
      <c r="BN25" s="31">
        <f>IF(Calc!$BH$69=0,"",Calc!$BH$69)</f>
        <v/>
      </c>
      <c r="BO25" s="31">
        <f>IF(Calc!$BH$70=0,"",Calc!$BH$70)</f>
        <v/>
      </c>
      <c r="BP25" s="31">
        <f>IF(Calc!$BH$71=0,"",Calc!$BH$71)</f>
        <v/>
      </c>
      <c r="BQ25" s="31">
        <f>IF(Calc!$BH$72=0,"",Calc!$BH$72)</f>
        <v/>
      </c>
      <c r="BR25" s="31">
        <f>IF(Calc!$BH$73=0,"",Calc!$BH$73)</f>
        <v/>
      </c>
      <c r="BS25" s="31">
        <f>IF(Calc!$BH$74=0,"",Calc!$BH$74)</f>
        <v/>
      </c>
      <c r="BT25" s="31">
        <f>IF(Calc!$BH$75=0,"",Calc!$BH$75)</f>
        <v/>
      </c>
      <c r="BU25" s="31">
        <f>IF(Calc!$BH$76=0,"",Calc!$BH$76)</f>
        <v/>
      </c>
      <c r="BV25" s="31">
        <f>IF(Calc!$BH$77=0,"",Calc!$BH$77)</f>
        <v/>
      </c>
      <c r="BW25" s="31">
        <f>IF(Calc!$BH$78=0,"",Calc!$BH$78)</f>
        <v/>
      </c>
      <c r="BX25" s="31">
        <f>IF(Calc!$BH$79=0,"",Calc!$BH$79)</f>
        <v/>
      </c>
      <c r="BY25" s="31">
        <f>IF(Calc!$BH$80=0,"",Calc!$BH$80)</f>
        <v/>
      </c>
      <c r="BZ25" s="31">
        <f>IF(Calc!$BH$81=0,"",Calc!$BH$81)</f>
        <v/>
      </c>
      <c r="CA25" s="31">
        <f>IF(Calc!$BH$82=0,"",Calc!$BH$82)</f>
        <v/>
      </c>
      <c r="CB25" s="31">
        <f>IF(Calc!$BH$83=0,"",Calc!$BH$83)</f>
        <v/>
      </c>
      <c r="CC25" s="31">
        <f>IF(Calc!$BH$84=0,"",Calc!$BH$84)</f>
        <v/>
      </c>
      <c r="CD25" s="31">
        <f>IF(Calc!$BH$85=0,"",Calc!$BH$85)</f>
        <v/>
      </c>
      <c r="CE25" s="31">
        <f>IF(Calc!$BH$86=0,"",Calc!$BH$86)</f>
        <v/>
      </c>
      <c r="CF25" s="31">
        <f>IF(Calc!$BH$87=0,"",Calc!$BH$87)</f>
        <v/>
      </c>
      <c r="CG25" s="31">
        <f>IF(Calc!$BH$88=0,"",Calc!$BH$88)</f>
        <v/>
      </c>
      <c r="CH25" s="31">
        <f>IF(Calc!$BH$89=0,"",Calc!$BH$89)</f>
        <v/>
      </c>
      <c r="CI25" s="31">
        <f>IF(Calc!$BH$90=0,"",Calc!$BH$90)</f>
        <v/>
      </c>
      <c r="CJ25" s="31">
        <f>IF(Calc!$BH$91=0,"",Calc!$BH$91)</f>
        <v/>
      </c>
      <c r="CK25" s="31">
        <f>IF(Calc!$BH$92=0,"",Calc!$BH$92)</f>
        <v/>
      </c>
      <c r="CL25" s="31">
        <f>IF(Calc!$BH$93=0,"",Calc!$BH$93)</f>
        <v/>
      </c>
      <c r="CM25" s="31">
        <f>IF(Calc!$BH$94=0,"",Calc!$BH$94)</f>
        <v/>
      </c>
      <c r="CN25" s="31">
        <f>IF(Calc!$BH$95=0,"",Calc!$BH$95)</f>
        <v/>
      </c>
      <c r="CO25" s="31">
        <f>IF(Calc!$BH$96=0,"",Calc!$BH$96)</f>
        <v/>
      </c>
      <c r="CP25" s="31">
        <f>IF(Calc!$BH$97=0,"",Calc!$BH$97)</f>
        <v/>
      </c>
      <c r="CQ25" s="31">
        <f>IF(Calc!$BH$98=0,"",Calc!$BH$98)</f>
        <v/>
      </c>
      <c r="CR25" s="31">
        <f>IF(Calc!$BH$99=0,"",Calc!$BH$99)</f>
        <v/>
      </c>
      <c r="CS25" s="31">
        <f>IF(Calc!$BH$100=0,"",Calc!$BH$100)</f>
        <v/>
      </c>
      <c r="CT25" s="31">
        <f>IF(Calc!$BH$101=0,"",Calc!$BH$101)</f>
        <v/>
      </c>
      <c r="CU25" s="31">
        <f>IF(Calc!$BH$102=0,"",Calc!$BH$102)</f>
        <v/>
      </c>
      <c r="CV25" s="31">
        <f>IF(Calc!$BH$103=0,"",Calc!$BH$103)</f>
        <v/>
      </c>
      <c r="CW25" s="31">
        <f>IF(Calc!$BH$104=0,"",Calc!$BH$104)</f>
        <v/>
      </c>
      <c r="CX25" s="31">
        <f>IF(Calc!$BH$105=0,"",Calc!$BH$105)</f>
        <v/>
      </c>
      <c r="CY25" s="31">
        <f>IF(Calc!$BH$106=0,"",Calc!$BH$106)</f>
        <v/>
      </c>
      <c r="CZ25" s="31">
        <f>IF(Calc!$BH$107=0,"",Calc!$BH$107)</f>
        <v/>
      </c>
      <c r="DA25" s="31">
        <f>IF(Calc!$BH$108=0,"",Calc!$BH$108)</f>
        <v/>
      </c>
      <c r="DB25" s="31">
        <f>IF(Calc!$BH$109=0,"",Calc!$BH$109)</f>
        <v/>
      </c>
      <c r="DC25" s="31">
        <f>IF(Calc!$BH$110=0,"",Calc!$BH$110)</f>
        <v/>
      </c>
      <c r="DD25" s="31">
        <f>IF(Calc!$BH$111=0,"",Calc!$BH$111)</f>
        <v/>
      </c>
      <c r="DE25" s="31">
        <f>IF(Calc!$BH$112=0,"",Calc!$BH$112)</f>
        <v/>
      </c>
      <c r="DF25" s="31">
        <f>IF(Calc!$BH$113=0,"",Calc!$BH$113)</f>
        <v/>
      </c>
      <c r="DG25" s="31">
        <f>IF(Calc!$BH$114=0,"",Calc!$BH$114)</f>
        <v/>
      </c>
      <c r="DH25" s="31">
        <f>IF(Calc!$BH$115=0,"",Calc!$BH$115)</f>
        <v/>
      </c>
      <c r="DI25" s="31">
        <f>IF(Calc!$BH$116=0,"",Calc!$BH$116)</f>
        <v/>
      </c>
      <c r="DJ25" s="31">
        <f>IF(Calc!$BH$117=0,"",Calc!$BH$117)</f>
        <v/>
      </c>
      <c r="DK25" s="31">
        <f>IF(Calc!$BH$118=0,"",Calc!$BH$118)</f>
        <v/>
      </c>
      <c r="DL25" s="31">
        <f>IF(Calc!$BH$119=0,"",Calc!$BH$119)</f>
        <v/>
      </c>
      <c r="DM25" s="31">
        <f>IF(Calc!$BH$120=0,"",Calc!$BH$120)</f>
        <v/>
      </c>
      <c r="DN25" s="31">
        <f>IF(Calc!$BH$121=0,"",Calc!$BH$121)</f>
        <v/>
      </c>
      <c r="DO25" s="31">
        <f>IF(Calc!$BH$122=0,"",Calc!$BH$122)</f>
        <v/>
      </c>
      <c r="DP25" s="31">
        <f>IF(Calc!$BH$123=0,"",Calc!$BH$123)</f>
        <v/>
      </c>
      <c r="DQ25" s="31">
        <f>IF(Calc!$BH$124=0,"",Calc!$BH$124)</f>
        <v/>
      </c>
      <c r="DR25" s="31">
        <f>IF(Calc!$BH$125=0,"",Calc!$BH$125)</f>
        <v/>
      </c>
      <c r="DS25" s="31">
        <f>IF(Calc!$BH$126=0,"",Calc!$BH$126)</f>
        <v/>
      </c>
      <c r="DT25" s="31">
        <f>IF(Calc!$BH$127=0,"",Calc!$BH$127)</f>
        <v/>
      </c>
      <c r="DU25" s="31">
        <f>IF(Calc!$BH$128=0,"",Calc!$BH$128)</f>
        <v/>
      </c>
      <c r="DV25" s="31">
        <f>IF(Calc!$BH$129=0,"",Calc!$BH$129)</f>
        <v/>
      </c>
      <c r="DW25" s="31">
        <f>IF(Calc!$BH$130=0,"",Calc!$BH$130)</f>
        <v/>
      </c>
      <c r="DX25" s="31">
        <f>IF(Calc!$BH$131=0,"",Calc!$BH$131)</f>
        <v/>
      </c>
      <c r="DY25" s="31">
        <f>IF(Calc!$BH$132=0,"",Calc!$BH$132)</f>
        <v/>
      </c>
      <c r="DZ25" s="31">
        <f>IF(Calc!$BH$133=0,"",Calc!$BH$133)</f>
        <v/>
      </c>
      <c r="EA25" s="31">
        <f>IF(Calc!$BH$134=0,"",Calc!$BH$134)</f>
        <v/>
      </c>
      <c r="EB25" s="31">
        <f>IF(Calc!$BH$135=0,"",Calc!$BH$135)</f>
        <v/>
      </c>
      <c r="EC25" s="31">
        <f>IF(Calc!$BH$136=0,"",Calc!$BH$136)</f>
        <v/>
      </c>
      <c r="ED25" s="31">
        <f>IF(Calc!$BH$137=0,"",Calc!$BH$137)</f>
        <v/>
      </c>
      <c r="EE25" s="31">
        <f>IF(Calc!$BH$138=0,"",Calc!$BH$138)</f>
        <v/>
      </c>
      <c r="EF25" s="31">
        <f>IF(Calc!$BH$139=0,"",Calc!$BH$139)</f>
        <v/>
      </c>
      <c r="EG25" s="31">
        <f>IF(Calc!$BH$140=0,"",Calc!$BH$140)</f>
        <v/>
      </c>
      <c r="EH25" s="31">
        <f>IF(Calc!$BH$141=0,"",Calc!$BH$141)</f>
        <v/>
      </c>
      <c r="EI25" s="31">
        <f>IF(Calc!$BH$142=0,"",Calc!$BH$142)</f>
        <v/>
      </c>
      <c r="EJ25" s="31">
        <f>IF(Calc!$BH$143=0,"",Calc!$BH$143)</f>
        <v/>
      </c>
      <c r="EK25" s="31">
        <f>IF(Calc!$BH$144=0,"",Calc!$BH$144)</f>
        <v/>
      </c>
      <c r="EL25" s="31">
        <f>IF(Calc!$BH$145=0,"",Calc!$BH$145)</f>
        <v/>
      </c>
      <c r="EM25" s="31">
        <f>IF(Calc!$BH$146=0,"",Calc!$BH$146)</f>
        <v/>
      </c>
      <c r="EN25" s="31">
        <f>IF(Calc!$BH$147=0,"",Calc!$BH$147)</f>
        <v/>
      </c>
      <c r="EO25" s="31">
        <f>IF(Calc!$BH$148=0,"",Calc!$BH$148)</f>
        <v/>
      </c>
      <c r="EP25" s="31">
        <f>IF(Calc!$BH$149=0,"",Calc!$BH$149)</f>
        <v/>
      </c>
      <c r="EQ25" s="31">
        <f>IF(Calc!$BH$150=0,"",Calc!$BH$150)</f>
        <v/>
      </c>
      <c r="ER25" s="31">
        <f>IF(Calc!$BH$151=0,"",Calc!$BH$151)</f>
        <v/>
      </c>
      <c r="ES25" s="31">
        <f>IF(Calc!$BH$152=0,"",Calc!$BH$152)</f>
        <v/>
      </c>
      <c r="ET25" s="31">
        <f>IF(Calc!$BH$153=0,"",Calc!$BH$153)</f>
        <v/>
      </c>
      <c r="EU25" s="31">
        <f>IF(Calc!$BH$154=0,"",Calc!$BH$154)</f>
        <v/>
      </c>
      <c r="EV25" s="31">
        <f>IF(Calc!$BH$155=0,"",Calc!$BH$155)</f>
        <v/>
      </c>
      <c r="EW25" s="31">
        <f>IF(Calc!$BH$156=0,"",Calc!$BH$156)</f>
        <v/>
      </c>
      <c r="EX25" s="31">
        <f>IF(Calc!$BH$157=0,"",Calc!$BH$157)</f>
        <v/>
      </c>
      <c r="EY25" s="31">
        <f>IF(Calc!$BH$158=0,"",Calc!$BH$158)</f>
        <v/>
      </c>
      <c r="EZ25" s="31">
        <f>IF(Calc!$BH$159=0,"",Calc!$BH$159)</f>
        <v/>
      </c>
      <c r="FA25" s="31">
        <f>IF(Calc!$BH$160=0,"",Calc!$BH$160)</f>
        <v/>
      </c>
      <c r="FB25" s="31">
        <f>IF(Calc!$BH$161=0,"",Calc!$BH$161)</f>
        <v/>
      </c>
      <c r="FC25" s="31">
        <f>IF(Calc!$BH$162=0,"",Calc!$BH$162)</f>
        <v/>
      </c>
      <c r="FD25" s="31">
        <f>IF(Calc!$BH$163=0,"",Calc!$BH$163)</f>
        <v/>
      </c>
      <c r="FE25" s="31">
        <f>IF(Calc!$BH$164=0,"",Calc!$BH$164)</f>
        <v/>
      </c>
      <c r="FF25" s="31">
        <f>IF(Calc!$BH$165=0,"",Calc!$BH$165)</f>
        <v/>
      </c>
      <c r="FG25" s="31">
        <f>IF(Calc!$BH$166=0,"",Calc!$BH$166)</f>
        <v/>
      </c>
      <c r="FH25" s="31">
        <f>IF(Calc!$BH$167=0,"",Calc!$BH$167)</f>
        <v/>
      </c>
      <c r="FI25" s="31">
        <f>IF(Calc!$BH$168=0,"",Calc!$BH$168)</f>
        <v/>
      </c>
      <c r="FJ25" s="31">
        <f>IF(Calc!$BH$169=0,"",Calc!$BH$169)</f>
        <v/>
      </c>
      <c r="FK25" s="31">
        <f>IF(Calc!$BH$170=0,"",Calc!$BH$170)</f>
        <v/>
      </c>
      <c r="FL25" s="31">
        <f>IF(Calc!$BH$171=0,"",Calc!$BH$171)</f>
        <v/>
      </c>
      <c r="FM25" s="31">
        <f>IF(Calc!$BH$172=0,"",Calc!$BH$172)</f>
        <v/>
      </c>
      <c r="FN25" s="31">
        <f>IF(Calc!$BH$173=0,"",Calc!$BH$173)</f>
        <v/>
      </c>
      <c r="FO25" s="31">
        <f>IF(Calc!$BH$174=0,"",Calc!$BH$174)</f>
        <v/>
      </c>
      <c r="FP25" s="31">
        <f>IF(Calc!$BH$175=0,"",Calc!$BH$175)</f>
        <v/>
      </c>
      <c r="FQ25" s="31">
        <f>IF(Calc!$BH$176=0,"",Calc!$BH$176)</f>
        <v/>
      </c>
      <c r="FR25" s="31">
        <f>IF(Calc!$BH$177=0,"",Calc!$BH$177)</f>
        <v/>
      </c>
      <c r="FS25" s="31">
        <f>IF(Calc!$BH$178=0,"",Calc!$BH$178)</f>
        <v/>
      </c>
      <c r="FT25" s="31">
        <f>IF(Calc!$BH$179=0,"",Calc!$BH$179)</f>
        <v/>
      </c>
      <c r="FU25" s="31">
        <f>IF(Calc!$BH$180=0,"",Calc!$BH$180)</f>
        <v/>
      </c>
      <c r="FV25" s="31">
        <f>IF(Calc!$BH$181=0,"",Calc!$BH$181)</f>
        <v/>
      </c>
      <c r="FW25" s="31">
        <f>IF(Calc!$BH$182=0,"",Calc!$BH$182)</f>
        <v/>
      </c>
      <c r="FX25" s="31">
        <f>IF(Calc!$BH$183=0,"",Calc!$BH$183)</f>
        <v/>
      </c>
    </row>
    <row r="26">
      <c r="A26" s="15">
        <f>IF(Settings!$A$49="","(unused)",Settings!$A$49)</f>
        <v/>
      </c>
      <c r="B26" s="26">
        <f>IF(Settings!$A$49="","",IF(AND(Settings!$C$49&lt;&gt;"",Settings!$D$49&lt;&gt;""),"grey = automatic ("&amp;TEXT(Settings!$C$49,"$#,##0.00")&amp;" "&amp;LOWER(Settings!$D$49)&amp;")","type the month’s total"))</f>
        <v/>
      </c>
      <c r="C26" s="31">
        <f>IF(Calc!$BI$6=0,"",Calc!$BI$6)</f>
        <v/>
      </c>
      <c r="D26" s="31">
        <f>IF(Calc!$BI$7=0,"",Calc!$BI$7)</f>
        <v/>
      </c>
      <c r="E26" s="31">
        <f>IF(Calc!$BI$8=0,"",Calc!$BI$8)</f>
        <v/>
      </c>
      <c r="F26" s="31">
        <f>IF(Calc!$BI$9=0,"",Calc!$BI$9)</f>
        <v/>
      </c>
      <c r="G26" s="31">
        <f>IF(Calc!$BI$10=0,"",Calc!$BI$10)</f>
        <v/>
      </c>
      <c r="H26" s="31">
        <f>IF(Calc!$BI$11=0,"",Calc!$BI$11)</f>
        <v/>
      </c>
      <c r="I26" s="31">
        <f>IF(Calc!$BI$12=0,"",Calc!$BI$12)</f>
        <v/>
      </c>
      <c r="J26" s="31">
        <f>IF(Calc!$BI$13=0,"",Calc!$BI$13)</f>
        <v/>
      </c>
      <c r="K26" s="31">
        <f>IF(Calc!$BI$14=0,"",Calc!$BI$14)</f>
        <v/>
      </c>
      <c r="L26" s="31">
        <f>IF(Calc!$BI$15=0,"",Calc!$BI$15)</f>
        <v/>
      </c>
      <c r="M26" s="31">
        <f>IF(Calc!$BI$16=0,"",Calc!$BI$16)</f>
        <v/>
      </c>
      <c r="N26" s="31">
        <f>IF(Calc!$BI$17=0,"",Calc!$BI$17)</f>
        <v/>
      </c>
      <c r="O26" s="31">
        <f>IF(Calc!$BI$18=0,"",Calc!$BI$18)</f>
        <v/>
      </c>
      <c r="P26" s="31">
        <f>IF(Calc!$BI$19=0,"",Calc!$BI$19)</f>
        <v/>
      </c>
      <c r="Q26" s="31">
        <f>IF(Calc!$BI$20=0,"",Calc!$BI$20)</f>
        <v/>
      </c>
      <c r="R26" s="31">
        <f>IF(Calc!$BI$21=0,"",Calc!$BI$21)</f>
        <v/>
      </c>
      <c r="S26" s="31">
        <f>IF(Calc!$BI$22=0,"",Calc!$BI$22)</f>
        <v/>
      </c>
      <c r="T26" s="31">
        <f>IF(Calc!$BI$23=0,"",Calc!$BI$23)</f>
        <v/>
      </c>
      <c r="U26" s="31">
        <f>IF(Calc!$BI$24=0,"",Calc!$BI$24)</f>
        <v/>
      </c>
      <c r="V26" s="31">
        <f>IF(Calc!$BI$25=0,"",Calc!$BI$25)</f>
        <v/>
      </c>
      <c r="W26" s="31">
        <f>IF(Calc!$BI$26=0,"",Calc!$BI$26)</f>
        <v/>
      </c>
      <c r="X26" s="31">
        <f>IF(Calc!$BI$27=0,"",Calc!$BI$27)</f>
        <v/>
      </c>
      <c r="Y26" s="31">
        <f>IF(Calc!$BI$28=0,"",Calc!$BI$28)</f>
        <v/>
      </c>
      <c r="Z26" s="31">
        <f>IF(Calc!$BI$29=0,"",Calc!$BI$29)</f>
        <v/>
      </c>
      <c r="AA26" s="31">
        <f>IF(Calc!$BI$30=0,"",Calc!$BI$30)</f>
        <v/>
      </c>
      <c r="AB26" s="31">
        <f>IF(Calc!$BI$31=0,"",Calc!$BI$31)</f>
        <v/>
      </c>
      <c r="AC26" s="31">
        <f>IF(Calc!$BI$32=0,"",Calc!$BI$32)</f>
        <v/>
      </c>
      <c r="AD26" s="31">
        <f>IF(Calc!$BI$33=0,"",Calc!$BI$33)</f>
        <v/>
      </c>
      <c r="AE26" s="31">
        <f>IF(Calc!$BI$34=0,"",Calc!$BI$34)</f>
        <v/>
      </c>
      <c r="AF26" s="31">
        <f>IF(Calc!$BI$35=0,"",Calc!$BI$35)</f>
        <v/>
      </c>
      <c r="AG26" s="31">
        <f>IF(Calc!$BI$36=0,"",Calc!$BI$36)</f>
        <v/>
      </c>
      <c r="AH26" s="31">
        <f>IF(Calc!$BI$37=0,"",Calc!$BI$37)</f>
        <v/>
      </c>
      <c r="AI26" s="31">
        <f>IF(Calc!$BI$38=0,"",Calc!$BI$38)</f>
        <v/>
      </c>
      <c r="AJ26" s="31">
        <f>IF(Calc!$BI$39=0,"",Calc!$BI$39)</f>
        <v/>
      </c>
      <c r="AK26" s="31">
        <f>IF(Calc!$BI$40=0,"",Calc!$BI$40)</f>
        <v/>
      </c>
      <c r="AL26" s="31">
        <f>IF(Calc!$BI$41=0,"",Calc!$BI$41)</f>
        <v/>
      </c>
      <c r="AM26" s="31">
        <f>IF(Calc!$BI$42=0,"",Calc!$BI$42)</f>
        <v/>
      </c>
      <c r="AN26" s="31">
        <f>IF(Calc!$BI$43=0,"",Calc!$BI$43)</f>
        <v/>
      </c>
      <c r="AO26" s="31">
        <f>IF(Calc!$BI$44=0,"",Calc!$BI$44)</f>
        <v/>
      </c>
      <c r="AP26" s="31">
        <f>IF(Calc!$BI$45=0,"",Calc!$BI$45)</f>
        <v/>
      </c>
      <c r="AQ26" s="31">
        <f>IF(Calc!$BI$46=0,"",Calc!$BI$46)</f>
        <v/>
      </c>
      <c r="AR26" s="31">
        <f>IF(Calc!$BI$47=0,"",Calc!$BI$47)</f>
        <v/>
      </c>
      <c r="AS26" s="31">
        <f>IF(Calc!$BI$48=0,"",Calc!$BI$48)</f>
        <v/>
      </c>
      <c r="AT26" s="31">
        <f>IF(Calc!$BI$49=0,"",Calc!$BI$49)</f>
        <v/>
      </c>
      <c r="AU26" s="31">
        <f>IF(Calc!$BI$50=0,"",Calc!$BI$50)</f>
        <v/>
      </c>
      <c r="AV26" s="31">
        <f>IF(Calc!$BI$51=0,"",Calc!$BI$51)</f>
        <v/>
      </c>
      <c r="AW26" s="31">
        <f>IF(Calc!$BI$52=0,"",Calc!$BI$52)</f>
        <v/>
      </c>
      <c r="AX26" s="31">
        <f>IF(Calc!$BI$53=0,"",Calc!$BI$53)</f>
        <v/>
      </c>
      <c r="AY26" s="31">
        <f>IF(Calc!$BI$54=0,"",Calc!$BI$54)</f>
        <v/>
      </c>
      <c r="AZ26" s="31">
        <f>IF(Calc!$BI$55=0,"",Calc!$BI$55)</f>
        <v/>
      </c>
      <c r="BA26" s="31">
        <f>IF(Calc!$BI$56=0,"",Calc!$BI$56)</f>
        <v/>
      </c>
      <c r="BB26" s="31">
        <f>IF(Calc!$BI$57=0,"",Calc!$BI$57)</f>
        <v/>
      </c>
      <c r="BC26" s="31">
        <f>IF(Calc!$BI$58=0,"",Calc!$BI$58)</f>
        <v/>
      </c>
      <c r="BD26" s="31">
        <f>IF(Calc!$BI$59=0,"",Calc!$BI$59)</f>
        <v/>
      </c>
      <c r="BE26" s="31">
        <f>IF(Calc!$BI$60=0,"",Calc!$BI$60)</f>
        <v/>
      </c>
      <c r="BF26" s="31">
        <f>IF(Calc!$BI$61=0,"",Calc!$BI$61)</f>
        <v/>
      </c>
      <c r="BG26" s="31">
        <f>IF(Calc!$BI$62=0,"",Calc!$BI$62)</f>
        <v/>
      </c>
      <c r="BH26" s="31">
        <f>IF(Calc!$BI$63=0,"",Calc!$BI$63)</f>
        <v/>
      </c>
      <c r="BI26" s="31">
        <f>IF(Calc!$BI$64=0,"",Calc!$BI$64)</f>
        <v/>
      </c>
      <c r="BJ26" s="31">
        <f>IF(Calc!$BI$65=0,"",Calc!$BI$65)</f>
        <v/>
      </c>
      <c r="BK26" s="31">
        <f>IF(Calc!$BI$66=0,"",Calc!$BI$66)</f>
        <v/>
      </c>
      <c r="BL26" s="31">
        <f>IF(Calc!$BI$67=0,"",Calc!$BI$67)</f>
        <v/>
      </c>
      <c r="BM26" s="31">
        <f>IF(Calc!$BI$68=0,"",Calc!$BI$68)</f>
        <v/>
      </c>
      <c r="BN26" s="31">
        <f>IF(Calc!$BI$69=0,"",Calc!$BI$69)</f>
        <v/>
      </c>
      <c r="BO26" s="31">
        <f>IF(Calc!$BI$70=0,"",Calc!$BI$70)</f>
        <v/>
      </c>
      <c r="BP26" s="31">
        <f>IF(Calc!$BI$71=0,"",Calc!$BI$71)</f>
        <v/>
      </c>
      <c r="BQ26" s="31">
        <f>IF(Calc!$BI$72=0,"",Calc!$BI$72)</f>
        <v/>
      </c>
      <c r="BR26" s="31">
        <f>IF(Calc!$BI$73=0,"",Calc!$BI$73)</f>
        <v/>
      </c>
      <c r="BS26" s="31">
        <f>IF(Calc!$BI$74=0,"",Calc!$BI$74)</f>
        <v/>
      </c>
      <c r="BT26" s="31">
        <f>IF(Calc!$BI$75=0,"",Calc!$BI$75)</f>
        <v/>
      </c>
      <c r="BU26" s="31">
        <f>IF(Calc!$BI$76=0,"",Calc!$BI$76)</f>
        <v/>
      </c>
      <c r="BV26" s="31">
        <f>IF(Calc!$BI$77=0,"",Calc!$BI$77)</f>
        <v/>
      </c>
      <c r="BW26" s="31">
        <f>IF(Calc!$BI$78=0,"",Calc!$BI$78)</f>
        <v/>
      </c>
      <c r="BX26" s="31">
        <f>IF(Calc!$BI$79=0,"",Calc!$BI$79)</f>
        <v/>
      </c>
      <c r="BY26" s="31">
        <f>IF(Calc!$BI$80=0,"",Calc!$BI$80)</f>
        <v/>
      </c>
      <c r="BZ26" s="31">
        <f>IF(Calc!$BI$81=0,"",Calc!$BI$81)</f>
        <v/>
      </c>
      <c r="CA26" s="31">
        <f>IF(Calc!$BI$82=0,"",Calc!$BI$82)</f>
        <v/>
      </c>
      <c r="CB26" s="31">
        <f>IF(Calc!$BI$83=0,"",Calc!$BI$83)</f>
        <v/>
      </c>
      <c r="CC26" s="31">
        <f>IF(Calc!$BI$84=0,"",Calc!$BI$84)</f>
        <v/>
      </c>
      <c r="CD26" s="31">
        <f>IF(Calc!$BI$85=0,"",Calc!$BI$85)</f>
        <v/>
      </c>
      <c r="CE26" s="31">
        <f>IF(Calc!$BI$86=0,"",Calc!$BI$86)</f>
        <v/>
      </c>
      <c r="CF26" s="31">
        <f>IF(Calc!$BI$87=0,"",Calc!$BI$87)</f>
        <v/>
      </c>
      <c r="CG26" s="31">
        <f>IF(Calc!$BI$88=0,"",Calc!$BI$88)</f>
        <v/>
      </c>
      <c r="CH26" s="31">
        <f>IF(Calc!$BI$89=0,"",Calc!$BI$89)</f>
        <v/>
      </c>
      <c r="CI26" s="31">
        <f>IF(Calc!$BI$90=0,"",Calc!$BI$90)</f>
        <v/>
      </c>
      <c r="CJ26" s="31">
        <f>IF(Calc!$BI$91=0,"",Calc!$BI$91)</f>
        <v/>
      </c>
      <c r="CK26" s="31">
        <f>IF(Calc!$BI$92=0,"",Calc!$BI$92)</f>
        <v/>
      </c>
      <c r="CL26" s="31">
        <f>IF(Calc!$BI$93=0,"",Calc!$BI$93)</f>
        <v/>
      </c>
      <c r="CM26" s="31">
        <f>IF(Calc!$BI$94=0,"",Calc!$BI$94)</f>
        <v/>
      </c>
      <c r="CN26" s="31">
        <f>IF(Calc!$BI$95=0,"",Calc!$BI$95)</f>
        <v/>
      </c>
      <c r="CO26" s="31">
        <f>IF(Calc!$BI$96=0,"",Calc!$BI$96)</f>
        <v/>
      </c>
      <c r="CP26" s="31">
        <f>IF(Calc!$BI$97=0,"",Calc!$BI$97)</f>
        <v/>
      </c>
      <c r="CQ26" s="31">
        <f>IF(Calc!$BI$98=0,"",Calc!$BI$98)</f>
        <v/>
      </c>
      <c r="CR26" s="31">
        <f>IF(Calc!$BI$99=0,"",Calc!$BI$99)</f>
        <v/>
      </c>
      <c r="CS26" s="31">
        <f>IF(Calc!$BI$100=0,"",Calc!$BI$100)</f>
        <v/>
      </c>
      <c r="CT26" s="31">
        <f>IF(Calc!$BI$101=0,"",Calc!$BI$101)</f>
        <v/>
      </c>
      <c r="CU26" s="31">
        <f>IF(Calc!$BI$102=0,"",Calc!$BI$102)</f>
        <v/>
      </c>
      <c r="CV26" s="31">
        <f>IF(Calc!$BI$103=0,"",Calc!$BI$103)</f>
        <v/>
      </c>
      <c r="CW26" s="31">
        <f>IF(Calc!$BI$104=0,"",Calc!$BI$104)</f>
        <v/>
      </c>
      <c r="CX26" s="31">
        <f>IF(Calc!$BI$105=0,"",Calc!$BI$105)</f>
        <v/>
      </c>
      <c r="CY26" s="31">
        <f>IF(Calc!$BI$106=0,"",Calc!$BI$106)</f>
        <v/>
      </c>
      <c r="CZ26" s="31">
        <f>IF(Calc!$BI$107=0,"",Calc!$BI$107)</f>
        <v/>
      </c>
      <c r="DA26" s="31">
        <f>IF(Calc!$BI$108=0,"",Calc!$BI$108)</f>
        <v/>
      </c>
      <c r="DB26" s="31">
        <f>IF(Calc!$BI$109=0,"",Calc!$BI$109)</f>
        <v/>
      </c>
      <c r="DC26" s="31">
        <f>IF(Calc!$BI$110=0,"",Calc!$BI$110)</f>
        <v/>
      </c>
      <c r="DD26" s="31">
        <f>IF(Calc!$BI$111=0,"",Calc!$BI$111)</f>
        <v/>
      </c>
      <c r="DE26" s="31">
        <f>IF(Calc!$BI$112=0,"",Calc!$BI$112)</f>
        <v/>
      </c>
      <c r="DF26" s="31">
        <f>IF(Calc!$BI$113=0,"",Calc!$BI$113)</f>
        <v/>
      </c>
      <c r="DG26" s="31">
        <f>IF(Calc!$BI$114=0,"",Calc!$BI$114)</f>
        <v/>
      </c>
      <c r="DH26" s="31">
        <f>IF(Calc!$BI$115=0,"",Calc!$BI$115)</f>
        <v/>
      </c>
      <c r="DI26" s="31">
        <f>IF(Calc!$BI$116=0,"",Calc!$BI$116)</f>
        <v/>
      </c>
      <c r="DJ26" s="31">
        <f>IF(Calc!$BI$117=0,"",Calc!$BI$117)</f>
        <v/>
      </c>
      <c r="DK26" s="31">
        <f>IF(Calc!$BI$118=0,"",Calc!$BI$118)</f>
        <v/>
      </c>
      <c r="DL26" s="31">
        <f>IF(Calc!$BI$119=0,"",Calc!$BI$119)</f>
        <v/>
      </c>
      <c r="DM26" s="31">
        <f>IF(Calc!$BI$120=0,"",Calc!$BI$120)</f>
        <v/>
      </c>
      <c r="DN26" s="31">
        <f>IF(Calc!$BI$121=0,"",Calc!$BI$121)</f>
        <v/>
      </c>
      <c r="DO26" s="31">
        <f>IF(Calc!$BI$122=0,"",Calc!$BI$122)</f>
        <v/>
      </c>
      <c r="DP26" s="31">
        <f>IF(Calc!$BI$123=0,"",Calc!$BI$123)</f>
        <v/>
      </c>
      <c r="DQ26" s="31">
        <f>IF(Calc!$BI$124=0,"",Calc!$BI$124)</f>
        <v/>
      </c>
      <c r="DR26" s="31">
        <f>IF(Calc!$BI$125=0,"",Calc!$BI$125)</f>
        <v/>
      </c>
      <c r="DS26" s="31">
        <f>IF(Calc!$BI$126=0,"",Calc!$BI$126)</f>
        <v/>
      </c>
      <c r="DT26" s="31">
        <f>IF(Calc!$BI$127=0,"",Calc!$BI$127)</f>
        <v/>
      </c>
      <c r="DU26" s="31">
        <f>IF(Calc!$BI$128=0,"",Calc!$BI$128)</f>
        <v/>
      </c>
      <c r="DV26" s="31">
        <f>IF(Calc!$BI$129=0,"",Calc!$BI$129)</f>
        <v/>
      </c>
      <c r="DW26" s="31">
        <f>IF(Calc!$BI$130=0,"",Calc!$BI$130)</f>
        <v/>
      </c>
      <c r="DX26" s="31">
        <f>IF(Calc!$BI$131=0,"",Calc!$BI$131)</f>
        <v/>
      </c>
      <c r="DY26" s="31">
        <f>IF(Calc!$BI$132=0,"",Calc!$BI$132)</f>
        <v/>
      </c>
      <c r="DZ26" s="31">
        <f>IF(Calc!$BI$133=0,"",Calc!$BI$133)</f>
        <v/>
      </c>
      <c r="EA26" s="31">
        <f>IF(Calc!$BI$134=0,"",Calc!$BI$134)</f>
        <v/>
      </c>
      <c r="EB26" s="31">
        <f>IF(Calc!$BI$135=0,"",Calc!$BI$135)</f>
        <v/>
      </c>
      <c r="EC26" s="31">
        <f>IF(Calc!$BI$136=0,"",Calc!$BI$136)</f>
        <v/>
      </c>
      <c r="ED26" s="31">
        <f>IF(Calc!$BI$137=0,"",Calc!$BI$137)</f>
        <v/>
      </c>
      <c r="EE26" s="31">
        <f>IF(Calc!$BI$138=0,"",Calc!$BI$138)</f>
        <v/>
      </c>
      <c r="EF26" s="31">
        <f>IF(Calc!$BI$139=0,"",Calc!$BI$139)</f>
        <v/>
      </c>
      <c r="EG26" s="31">
        <f>IF(Calc!$BI$140=0,"",Calc!$BI$140)</f>
        <v/>
      </c>
      <c r="EH26" s="31">
        <f>IF(Calc!$BI$141=0,"",Calc!$BI$141)</f>
        <v/>
      </c>
      <c r="EI26" s="31">
        <f>IF(Calc!$BI$142=0,"",Calc!$BI$142)</f>
        <v/>
      </c>
      <c r="EJ26" s="31">
        <f>IF(Calc!$BI$143=0,"",Calc!$BI$143)</f>
        <v/>
      </c>
      <c r="EK26" s="31">
        <f>IF(Calc!$BI$144=0,"",Calc!$BI$144)</f>
        <v/>
      </c>
      <c r="EL26" s="31">
        <f>IF(Calc!$BI$145=0,"",Calc!$BI$145)</f>
        <v/>
      </c>
      <c r="EM26" s="31">
        <f>IF(Calc!$BI$146=0,"",Calc!$BI$146)</f>
        <v/>
      </c>
      <c r="EN26" s="31">
        <f>IF(Calc!$BI$147=0,"",Calc!$BI$147)</f>
        <v/>
      </c>
      <c r="EO26" s="31">
        <f>IF(Calc!$BI$148=0,"",Calc!$BI$148)</f>
        <v/>
      </c>
      <c r="EP26" s="31">
        <f>IF(Calc!$BI$149=0,"",Calc!$BI$149)</f>
        <v/>
      </c>
      <c r="EQ26" s="31">
        <f>IF(Calc!$BI$150=0,"",Calc!$BI$150)</f>
        <v/>
      </c>
      <c r="ER26" s="31">
        <f>IF(Calc!$BI$151=0,"",Calc!$BI$151)</f>
        <v/>
      </c>
      <c r="ES26" s="31">
        <f>IF(Calc!$BI$152=0,"",Calc!$BI$152)</f>
        <v/>
      </c>
      <c r="ET26" s="31">
        <f>IF(Calc!$BI$153=0,"",Calc!$BI$153)</f>
        <v/>
      </c>
      <c r="EU26" s="31">
        <f>IF(Calc!$BI$154=0,"",Calc!$BI$154)</f>
        <v/>
      </c>
      <c r="EV26" s="31">
        <f>IF(Calc!$BI$155=0,"",Calc!$BI$155)</f>
        <v/>
      </c>
      <c r="EW26" s="31">
        <f>IF(Calc!$BI$156=0,"",Calc!$BI$156)</f>
        <v/>
      </c>
      <c r="EX26" s="31">
        <f>IF(Calc!$BI$157=0,"",Calc!$BI$157)</f>
        <v/>
      </c>
      <c r="EY26" s="31">
        <f>IF(Calc!$BI$158=0,"",Calc!$BI$158)</f>
        <v/>
      </c>
      <c r="EZ26" s="31">
        <f>IF(Calc!$BI$159=0,"",Calc!$BI$159)</f>
        <v/>
      </c>
      <c r="FA26" s="31">
        <f>IF(Calc!$BI$160=0,"",Calc!$BI$160)</f>
        <v/>
      </c>
      <c r="FB26" s="31">
        <f>IF(Calc!$BI$161=0,"",Calc!$BI$161)</f>
        <v/>
      </c>
      <c r="FC26" s="31">
        <f>IF(Calc!$BI$162=0,"",Calc!$BI$162)</f>
        <v/>
      </c>
      <c r="FD26" s="31">
        <f>IF(Calc!$BI$163=0,"",Calc!$BI$163)</f>
        <v/>
      </c>
      <c r="FE26" s="31">
        <f>IF(Calc!$BI$164=0,"",Calc!$BI$164)</f>
        <v/>
      </c>
      <c r="FF26" s="31">
        <f>IF(Calc!$BI$165=0,"",Calc!$BI$165)</f>
        <v/>
      </c>
      <c r="FG26" s="31">
        <f>IF(Calc!$BI$166=0,"",Calc!$BI$166)</f>
        <v/>
      </c>
      <c r="FH26" s="31">
        <f>IF(Calc!$BI$167=0,"",Calc!$BI$167)</f>
        <v/>
      </c>
      <c r="FI26" s="31">
        <f>IF(Calc!$BI$168=0,"",Calc!$BI$168)</f>
        <v/>
      </c>
      <c r="FJ26" s="31">
        <f>IF(Calc!$BI$169=0,"",Calc!$BI$169)</f>
        <v/>
      </c>
      <c r="FK26" s="31">
        <f>IF(Calc!$BI$170=0,"",Calc!$BI$170)</f>
        <v/>
      </c>
      <c r="FL26" s="31">
        <f>IF(Calc!$BI$171=0,"",Calc!$BI$171)</f>
        <v/>
      </c>
      <c r="FM26" s="31">
        <f>IF(Calc!$BI$172=0,"",Calc!$BI$172)</f>
        <v/>
      </c>
      <c r="FN26" s="31">
        <f>IF(Calc!$BI$173=0,"",Calc!$BI$173)</f>
        <v/>
      </c>
      <c r="FO26" s="31">
        <f>IF(Calc!$BI$174=0,"",Calc!$BI$174)</f>
        <v/>
      </c>
      <c r="FP26" s="31">
        <f>IF(Calc!$BI$175=0,"",Calc!$BI$175)</f>
        <v/>
      </c>
      <c r="FQ26" s="31">
        <f>IF(Calc!$BI$176=0,"",Calc!$BI$176)</f>
        <v/>
      </c>
      <c r="FR26" s="31">
        <f>IF(Calc!$BI$177=0,"",Calc!$BI$177)</f>
        <v/>
      </c>
      <c r="FS26" s="31">
        <f>IF(Calc!$BI$178=0,"",Calc!$BI$178)</f>
        <v/>
      </c>
      <c r="FT26" s="31">
        <f>IF(Calc!$BI$179=0,"",Calc!$BI$179)</f>
        <v/>
      </c>
      <c r="FU26" s="31">
        <f>IF(Calc!$BI$180=0,"",Calc!$BI$180)</f>
        <v/>
      </c>
      <c r="FV26" s="31">
        <f>IF(Calc!$BI$181=0,"",Calc!$BI$181)</f>
        <v/>
      </c>
      <c r="FW26" s="31">
        <f>IF(Calc!$BI$182=0,"",Calc!$BI$182)</f>
        <v/>
      </c>
      <c r="FX26" s="31">
        <f>IF(Calc!$BI$183=0,"",Calc!$BI$183)</f>
        <v/>
      </c>
    </row>
    <row r="27">
      <c r="A27" s="15">
        <f>IF(Settings!$A$50="","(unused)",Settings!$A$50)</f>
        <v/>
      </c>
      <c r="B27" s="26">
        <f>IF(Settings!$A$50="","",IF(AND(Settings!$C$50&lt;&gt;"",Settings!$D$50&lt;&gt;""),"grey = automatic ("&amp;TEXT(Settings!$C$50,"$#,##0.00")&amp;" "&amp;LOWER(Settings!$D$50)&amp;")","type the month’s total"))</f>
        <v/>
      </c>
      <c r="C27" s="31">
        <f>IF(Calc!$BJ$6=0,"",Calc!$BJ$6)</f>
        <v/>
      </c>
      <c r="D27" s="31">
        <f>IF(Calc!$BJ$7=0,"",Calc!$BJ$7)</f>
        <v/>
      </c>
      <c r="E27" s="31">
        <f>IF(Calc!$BJ$8=0,"",Calc!$BJ$8)</f>
        <v/>
      </c>
      <c r="F27" s="31">
        <f>IF(Calc!$BJ$9=0,"",Calc!$BJ$9)</f>
        <v/>
      </c>
      <c r="G27" s="31">
        <f>IF(Calc!$BJ$10=0,"",Calc!$BJ$10)</f>
        <v/>
      </c>
      <c r="H27" s="31">
        <f>IF(Calc!$BJ$11=0,"",Calc!$BJ$11)</f>
        <v/>
      </c>
      <c r="I27" s="31">
        <f>IF(Calc!$BJ$12=0,"",Calc!$BJ$12)</f>
        <v/>
      </c>
      <c r="J27" s="31">
        <f>IF(Calc!$BJ$13=0,"",Calc!$BJ$13)</f>
        <v/>
      </c>
      <c r="K27" s="31">
        <f>IF(Calc!$BJ$14=0,"",Calc!$BJ$14)</f>
        <v/>
      </c>
      <c r="L27" s="31">
        <f>IF(Calc!$BJ$15=0,"",Calc!$BJ$15)</f>
        <v/>
      </c>
      <c r="M27" s="31">
        <f>IF(Calc!$BJ$16=0,"",Calc!$BJ$16)</f>
        <v/>
      </c>
      <c r="N27" s="31">
        <f>IF(Calc!$BJ$17=0,"",Calc!$BJ$17)</f>
        <v/>
      </c>
      <c r="O27" s="31">
        <f>IF(Calc!$BJ$18=0,"",Calc!$BJ$18)</f>
        <v/>
      </c>
      <c r="P27" s="31">
        <f>IF(Calc!$BJ$19=0,"",Calc!$BJ$19)</f>
        <v/>
      </c>
      <c r="Q27" s="31">
        <f>IF(Calc!$BJ$20=0,"",Calc!$BJ$20)</f>
        <v/>
      </c>
      <c r="R27" s="31">
        <f>IF(Calc!$BJ$21=0,"",Calc!$BJ$21)</f>
        <v/>
      </c>
      <c r="S27" s="31">
        <f>IF(Calc!$BJ$22=0,"",Calc!$BJ$22)</f>
        <v/>
      </c>
      <c r="T27" s="31">
        <f>IF(Calc!$BJ$23=0,"",Calc!$BJ$23)</f>
        <v/>
      </c>
      <c r="U27" s="31">
        <f>IF(Calc!$BJ$24=0,"",Calc!$BJ$24)</f>
        <v/>
      </c>
      <c r="V27" s="31">
        <f>IF(Calc!$BJ$25=0,"",Calc!$BJ$25)</f>
        <v/>
      </c>
      <c r="W27" s="31">
        <f>IF(Calc!$BJ$26=0,"",Calc!$BJ$26)</f>
        <v/>
      </c>
      <c r="X27" s="31">
        <f>IF(Calc!$BJ$27=0,"",Calc!$BJ$27)</f>
        <v/>
      </c>
      <c r="Y27" s="31">
        <f>IF(Calc!$BJ$28=0,"",Calc!$BJ$28)</f>
        <v/>
      </c>
      <c r="Z27" s="31">
        <f>IF(Calc!$BJ$29=0,"",Calc!$BJ$29)</f>
        <v/>
      </c>
      <c r="AA27" s="31">
        <f>IF(Calc!$BJ$30=0,"",Calc!$BJ$30)</f>
        <v/>
      </c>
      <c r="AB27" s="31">
        <f>IF(Calc!$BJ$31=0,"",Calc!$BJ$31)</f>
        <v/>
      </c>
      <c r="AC27" s="31">
        <f>IF(Calc!$BJ$32=0,"",Calc!$BJ$32)</f>
        <v/>
      </c>
      <c r="AD27" s="31">
        <f>IF(Calc!$BJ$33=0,"",Calc!$BJ$33)</f>
        <v/>
      </c>
      <c r="AE27" s="31">
        <f>IF(Calc!$BJ$34=0,"",Calc!$BJ$34)</f>
        <v/>
      </c>
      <c r="AF27" s="31">
        <f>IF(Calc!$BJ$35=0,"",Calc!$BJ$35)</f>
        <v/>
      </c>
      <c r="AG27" s="31">
        <f>IF(Calc!$BJ$36=0,"",Calc!$BJ$36)</f>
        <v/>
      </c>
      <c r="AH27" s="31">
        <f>IF(Calc!$BJ$37=0,"",Calc!$BJ$37)</f>
        <v/>
      </c>
      <c r="AI27" s="31">
        <f>IF(Calc!$BJ$38=0,"",Calc!$BJ$38)</f>
        <v/>
      </c>
      <c r="AJ27" s="31">
        <f>IF(Calc!$BJ$39=0,"",Calc!$BJ$39)</f>
        <v/>
      </c>
      <c r="AK27" s="31">
        <f>IF(Calc!$BJ$40=0,"",Calc!$BJ$40)</f>
        <v/>
      </c>
      <c r="AL27" s="31">
        <f>IF(Calc!$BJ$41=0,"",Calc!$BJ$41)</f>
        <v/>
      </c>
      <c r="AM27" s="31">
        <f>IF(Calc!$BJ$42=0,"",Calc!$BJ$42)</f>
        <v/>
      </c>
      <c r="AN27" s="31">
        <f>IF(Calc!$BJ$43=0,"",Calc!$BJ$43)</f>
        <v/>
      </c>
      <c r="AO27" s="31">
        <f>IF(Calc!$BJ$44=0,"",Calc!$BJ$44)</f>
        <v/>
      </c>
      <c r="AP27" s="31">
        <f>IF(Calc!$BJ$45=0,"",Calc!$BJ$45)</f>
        <v/>
      </c>
      <c r="AQ27" s="31">
        <f>IF(Calc!$BJ$46=0,"",Calc!$BJ$46)</f>
        <v/>
      </c>
      <c r="AR27" s="31">
        <f>IF(Calc!$BJ$47=0,"",Calc!$BJ$47)</f>
        <v/>
      </c>
      <c r="AS27" s="31">
        <f>IF(Calc!$BJ$48=0,"",Calc!$BJ$48)</f>
        <v/>
      </c>
      <c r="AT27" s="31">
        <f>IF(Calc!$BJ$49=0,"",Calc!$BJ$49)</f>
        <v/>
      </c>
      <c r="AU27" s="31">
        <f>IF(Calc!$BJ$50=0,"",Calc!$BJ$50)</f>
        <v/>
      </c>
      <c r="AV27" s="31">
        <f>IF(Calc!$BJ$51=0,"",Calc!$BJ$51)</f>
        <v/>
      </c>
      <c r="AW27" s="31">
        <f>IF(Calc!$BJ$52=0,"",Calc!$BJ$52)</f>
        <v/>
      </c>
      <c r="AX27" s="31">
        <f>IF(Calc!$BJ$53=0,"",Calc!$BJ$53)</f>
        <v/>
      </c>
      <c r="AY27" s="31">
        <f>IF(Calc!$BJ$54=0,"",Calc!$BJ$54)</f>
        <v/>
      </c>
      <c r="AZ27" s="31">
        <f>IF(Calc!$BJ$55=0,"",Calc!$BJ$55)</f>
        <v/>
      </c>
      <c r="BA27" s="31">
        <f>IF(Calc!$BJ$56=0,"",Calc!$BJ$56)</f>
        <v/>
      </c>
      <c r="BB27" s="31">
        <f>IF(Calc!$BJ$57=0,"",Calc!$BJ$57)</f>
        <v/>
      </c>
      <c r="BC27" s="31">
        <f>IF(Calc!$BJ$58=0,"",Calc!$BJ$58)</f>
        <v/>
      </c>
      <c r="BD27" s="31">
        <f>IF(Calc!$BJ$59=0,"",Calc!$BJ$59)</f>
        <v/>
      </c>
      <c r="BE27" s="31">
        <f>IF(Calc!$BJ$60=0,"",Calc!$BJ$60)</f>
        <v/>
      </c>
      <c r="BF27" s="31">
        <f>IF(Calc!$BJ$61=0,"",Calc!$BJ$61)</f>
        <v/>
      </c>
      <c r="BG27" s="31">
        <f>IF(Calc!$BJ$62=0,"",Calc!$BJ$62)</f>
        <v/>
      </c>
      <c r="BH27" s="31">
        <f>IF(Calc!$BJ$63=0,"",Calc!$BJ$63)</f>
        <v/>
      </c>
      <c r="BI27" s="31">
        <f>IF(Calc!$BJ$64=0,"",Calc!$BJ$64)</f>
        <v/>
      </c>
      <c r="BJ27" s="31">
        <f>IF(Calc!$BJ$65=0,"",Calc!$BJ$65)</f>
        <v/>
      </c>
      <c r="BK27" s="31">
        <f>IF(Calc!$BJ$66=0,"",Calc!$BJ$66)</f>
        <v/>
      </c>
      <c r="BL27" s="31">
        <f>IF(Calc!$BJ$67=0,"",Calc!$BJ$67)</f>
        <v/>
      </c>
      <c r="BM27" s="31">
        <f>IF(Calc!$BJ$68=0,"",Calc!$BJ$68)</f>
        <v/>
      </c>
      <c r="BN27" s="31">
        <f>IF(Calc!$BJ$69=0,"",Calc!$BJ$69)</f>
        <v/>
      </c>
      <c r="BO27" s="31">
        <f>IF(Calc!$BJ$70=0,"",Calc!$BJ$70)</f>
        <v/>
      </c>
      <c r="BP27" s="31">
        <f>IF(Calc!$BJ$71=0,"",Calc!$BJ$71)</f>
        <v/>
      </c>
      <c r="BQ27" s="31">
        <f>IF(Calc!$BJ$72=0,"",Calc!$BJ$72)</f>
        <v/>
      </c>
      <c r="BR27" s="31">
        <f>IF(Calc!$BJ$73=0,"",Calc!$BJ$73)</f>
        <v/>
      </c>
      <c r="BS27" s="31">
        <f>IF(Calc!$BJ$74=0,"",Calc!$BJ$74)</f>
        <v/>
      </c>
      <c r="BT27" s="31">
        <f>IF(Calc!$BJ$75=0,"",Calc!$BJ$75)</f>
        <v/>
      </c>
      <c r="BU27" s="31">
        <f>IF(Calc!$BJ$76=0,"",Calc!$BJ$76)</f>
        <v/>
      </c>
      <c r="BV27" s="31">
        <f>IF(Calc!$BJ$77=0,"",Calc!$BJ$77)</f>
        <v/>
      </c>
      <c r="BW27" s="31">
        <f>IF(Calc!$BJ$78=0,"",Calc!$BJ$78)</f>
        <v/>
      </c>
      <c r="BX27" s="31">
        <f>IF(Calc!$BJ$79=0,"",Calc!$BJ$79)</f>
        <v/>
      </c>
      <c r="BY27" s="31">
        <f>IF(Calc!$BJ$80=0,"",Calc!$BJ$80)</f>
        <v/>
      </c>
      <c r="BZ27" s="31">
        <f>IF(Calc!$BJ$81=0,"",Calc!$BJ$81)</f>
        <v/>
      </c>
      <c r="CA27" s="31">
        <f>IF(Calc!$BJ$82=0,"",Calc!$BJ$82)</f>
        <v/>
      </c>
      <c r="CB27" s="31">
        <f>IF(Calc!$BJ$83=0,"",Calc!$BJ$83)</f>
        <v/>
      </c>
      <c r="CC27" s="31">
        <f>IF(Calc!$BJ$84=0,"",Calc!$BJ$84)</f>
        <v/>
      </c>
      <c r="CD27" s="31">
        <f>IF(Calc!$BJ$85=0,"",Calc!$BJ$85)</f>
        <v/>
      </c>
      <c r="CE27" s="31">
        <f>IF(Calc!$BJ$86=0,"",Calc!$BJ$86)</f>
        <v/>
      </c>
      <c r="CF27" s="31">
        <f>IF(Calc!$BJ$87=0,"",Calc!$BJ$87)</f>
        <v/>
      </c>
      <c r="CG27" s="31">
        <f>IF(Calc!$BJ$88=0,"",Calc!$BJ$88)</f>
        <v/>
      </c>
      <c r="CH27" s="31">
        <f>IF(Calc!$BJ$89=0,"",Calc!$BJ$89)</f>
        <v/>
      </c>
      <c r="CI27" s="31">
        <f>IF(Calc!$BJ$90=0,"",Calc!$BJ$90)</f>
        <v/>
      </c>
      <c r="CJ27" s="31">
        <f>IF(Calc!$BJ$91=0,"",Calc!$BJ$91)</f>
        <v/>
      </c>
      <c r="CK27" s="31">
        <f>IF(Calc!$BJ$92=0,"",Calc!$BJ$92)</f>
        <v/>
      </c>
      <c r="CL27" s="31">
        <f>IF(Calc!$BJ$93=0,"",Calc!$BJ$93)</f>
        <v/>
      </c>
      <c r="CM27" s="31">
        <f>IF(Calc!$BJ$94=0,"",Calc!$BJ$94)</f>
        <v/>
      </c>
      <c r="CN27" s="31">
        <f>IF(Calc!$BJ$95=0,"",Calc!$BJ$95)</f>
        <v/>
      </c>
      <c r="CO27" s="31">
        <f>IF(Calc!$BJ$96=0,"",Calc!$BJ$96)</f>
        <v/>
      </c>
      <c r="CP27" s="31">
        <f>IF(Calc!$BJ$97=0,"",Calc!$BJ$97)</f>
        <v/>
      </c>
      <c r="CQ27" s="31">
        <f>IF(Calc!$BJ$98=0,"",Calc!$BJ$98)</f>
        <v/>
      </c>
      <c r="CR27" s="31">
        <f>IF(Calc!$BJ$99=0,"",Calc!$BJ$99)</f>
        <v/>
      </c>
      <c r="CS27" s="31">
        <f>IF(Calc!$BJ$100=0,"",Calc!$BJ$100)</f>
        <v/>
      </c>
      <c r="CT27" s="31">
        <f>IF(Calc!$BJ$101=0,"",Calc!$BJ$101)</f>
        <v/>
      </c>
      <c r="CU27" s="31">
        <f>IF(Calc!$BJ$102=0,"",Calc!$BJ$102)</f>
        <v/>
      </c>
      <c r="CV27" s="31">
        <f>IF(Calc!$BJ$103=0,"",Calc!$BJ$103)</f>
        <v/>
      </c>
      <c r="CW27" s="31">
        <f>IF(Calc!$BJ$104=0,"",Calc!$BJ$104)</f>
        <v/>
      </c>
      <c r="CX27" s="31">
        <f>IF(Calc!$BJ$105=0,"",Calc!$BJ$105)</f>
        <v/>
      </c>
      <c r="CY27" s="31">
        <f>IF(Calc!$BJ$106=0,"",Calc!$BJ$106)</f>
        <v/>
      </c>
      <c r="CZ27" s="31">
        <f>IF(Calc!$BJ$107=0,"",Calc!$BJ$107)</f>
        <v/>
      </c>
      <c r="DA27" s="31">
        <f>IF(Calc!$BJ$108=0,"",Calc!$BJ$108)</f>
        <v/>
      </c>
      <c r="DB27" s="31">
        <f>IF(Calc!$BJ$109=0,"",Calc!$BJ$109)</f>
        <v/>
      </c>
      <c r="DC27" s="31">
        <f>IF(Calc!$BJ$110=0,"",Calc!$BJ$110)</f>
        <v/>
      </c>
      <c r="DD27" s="31">
        <f>IF(Calc!$BJ$111=0,"",Calc!$BJ$111)</f>
        <v/>
      </c>
      <c r="DE27" s="31">
        <f>IF(Calc!$BJ$112=0,"",Calc!$BJ$112)</f>
        <v/>
      </c>
      <c r="DF27" s="31">
        <f>IF(Calc!$BJ$113=0,"",Calc!$BJ$113)</f>
        <v/>
      </c>
      <c r="DG27" s="31">
        <f>IF(Calc!$BJ$114=0,"",Calc!$BJ$114)</f>
        <v/>
      </c>
      <c r="DH27" s="31">
        <f>IF(Calc!$BJ$115=0,"",Calc!$BJ$115)</f>
        <v/>
      </c>
      <c r="DI27" s="31">
        <f>IF(Calc!$BJ$116=0,"",Calc!$BJ$116)</f>
        <v/>
      </c>
      <c r="DJ27" s="31">
        <f>IF(Calc!$BJ$117=0,"",Calc!$BJ$117)</f>
        <v/>
      </c>
      <c r="DK27" s="31">
        <f>IF(Calc!$BJ$118=0,"",Calc!$BJ$118)</f>
        <v/>
      </c>
      <c r="DL27" s="31">
        <f>IF(Calc!$BJ$119=0,"",Calc!$BJ$119)</f>
        <v/>
      </c>
      <c r="DM27" s="31">
        <f>IF(Calc!$BJ$120=0,"",Calc!$BJ$120)</f>
        <v/>
      </c>
      <c r="DN27" s="31">
        <f>IF(Calc!$BJ$121=0,"",Calc!$BJ$121)</f>
        <v/>
      </c>
      <c r="DO27" s="31">
        <f>IF(Calc!$BJ$122=0,"",Calc!$BJ$122)</f>
        <v/>
      </c>
      <c r="DP27" s="31">
        <f>IF(Calc!$BJ$123=0,"",Calc!$BJ$123)</f>
        <v/>
      </c>
      <c r="DQ27" s="31">
        <f>IF(Calc!$BJ$124=0,"",Calc!$BJ$124)</f>
        <v/>
      </c>
      <c r="DR27" s="31">
        <f>IF(Calc!$BJ$125=0,"",Calc!$BJ$125)</f>
        <v/>
      </c>
      <c r="DS27" s="31">
        <f>IF(Calc!$BJ$126=0,"",Calc!$BJ$126)</f>
        <v/>
      </c>
      <c r="DT27" s="31">
        <f>IF(Calc!$BJ$127=0,"",Calc!$BJ$127)</f>
        <v/>
      </c>
      <c r="DU27" s="31">
        <f>IF(Calc!$BJ$128=0,"",Calc!$BJ$128)</f>
        <v/>
      </c>
      <c r="DV27" s="31">
        <f>IF(Calc!$BJ$129=0,"",Calc!$BJ$129)</f>
        <v/>
      </c>
      <c r="DW27" s="31">
        <f>IF(Calc!$BJ$130=0,"",Calc!$BJ$130)</f>
        <v/>
      </c>
      <c r="DX27" s="31">
        <f>IF(Calc!$BJ$131=0,"",Calc!$BJ$131)</f>
        <v/>
      </c>
      <c r="DY27" s="31">
        <f>IF(Calc!$BJ$132=0,"",Calc!$BJ$132)</f>
        <v/>
      </c>
      <c r="DZ27" s="31">
        <f>IF(Calc!$BJ$133=0,"",Calc!$BJ$133)</f>
        <v/>
      </c>
      <c r="EA27" s="31">
        <f>IF(Calc!$BJ$134=0,"",Calc!$BJ$134)</f>
        <v/>
      </c>
      <c r="EB27" s="31">
        <f>IF(Calc!$BJ$135=0,"",Calc!$BJ$135)</f>
        <v/>
      </c>
      <c r="EC27" s="31">
        <f>IF(Calc!$BJ$136=0,"",Calc!$BJ$136)</f>
        <v/>
      </c>
      <c r="ED27" s="31">
        <f>IF(Calc!$BJ$137=0,"",Calc!$BJ$137)</f>
        <v/>
      </c>
      <c r="EE27" s="31">
        <f>IF(Calc!$BJ$138=0,"",Calc!$BJ$138)</f>
        <v/>
      </c>
      <c r="EF27" s="31">
        <f>IF(Calc!$BJ$139=0,"",Calc!$BJ$139)</f>
        <v/>
      </c>
      <c r="EG27" s="31">
        <f>IF(Calc!$BJ$140=0,"",Calc!$BJ$140)</f>
        <v/>
      </c>
      <c r="EH27" s="31">
        <f>IF(Calc!$BJ$141=0,"",Calc!$BJ$141)</f>
        <v/>
      </c>
      <c r="EI27" s="31">
        <f>IF(Calc!$BJ$142=0,"",Calc!$BJ$142)</f>
        <v/>
      </c>
      <c r="EJ27" s="31">
        <f>IF(Calc!$BJ$143=0,"",Calc!$BJ$143)</f>
        <v/>
      </c>
      <c r="EK27" s="31">
        <f>IF(Calc!$BJ$144=0,"",Calc!$BJ$144)</f>
        <v/>
      </c>
      <c r="EL27" s="31">
        <f>IF(Calc!$BJ$145=0,"",Calc!$BJ$145)</f>
        <v/>
      </c>
      <c r="EM27" s="31">
        <f>IF(Calc!$BJ$146=0,"",Calc!$BJ$146)</f>
        <v/>
      </c>
      <c r="EN27" s="31">
        <f>IF(Calc!$BJ$147=0,"",Calc!$BJ$147)</f>
        <v/>
      </c>
      <c r="EO27" s="31">
        <f>IF(Calc!$BJ$148=0,"",Calc!$BJ$148)</f>
        <v/>
      </c>
      <c r="EP27" s="31">
        <f>IF(Calc!$BJ$149=0,"",Calc!$BJ$149)</f>
        <v/>
      </c>
      <c r="EQ27" s="31">
        <f>IF(Calc!$BJ$150=0,"",Calc!$BJ$150)</f>
        <v/>
      </c>
      <c r="ER27" s="31">
        <f>IF(Calc!$BJ$151=0,"",Calc!$BJ$151)</f>
        <v/>
      </c>
      <c r="ES27" s="31">
        <f>IF(Calc!$BJ$152=0,"",Calc!$BJ$152)</f>
        <v/>
      </c>
      <c r="ET27" s="31">
        <f>IF(Calc!$BJ$153=0,"",Calc!$BJ$153)</f>
        <v/>
      </c>
      <c r="EU27" s="31">
        <f>IF(Calc!$BJ$154=0,"",Calc!$BJ$154)</f>
        <v/>
      </c>
      <c r="EV27" s="31">
        <f>IF(Calc!$BJ$155=0,"",Calc!$BJ$155)</f>
        <v/>
      </c>
      <c r="EW27" s="31">
        <f>IF(Calc!$BJ$156=0,"",Calc!$BJ$156)</f>
        <v/>
      </c>
      <c r="EX27" s="31">
        <f>IF(Calc!$BJ$157=0,"",Calc!$BJ$157)</f>
        <v/>
      </c>
      <c r="EY27" s="31">
        <f>IF(Calc!$BJ$158=0,"",Calc!$BJ$158)</f>
        <v/>
      </c>
      <c r="EZ27" s="31">
        <f>IF(Calc!$BJ$159=0,"",Calc!$BJ$159)</f>
        <v/>
      </c>
      <c r="FA27" s="31">
        <f>IF(Calc!$BJ$160=0,"",Calc!$BJ$160)</f>
        <v/>
      </c>
      <c r="FB27" s="31">
        <f>IF(Calc!$BJ$161=0,"",Calc!$BJ$161)</f>
        <v/>
      </c>
      <c r="FC27" s="31">
        <f>IF(Calc!$BJ$162=0,"",Calc!$BJ$162)</f>
        <v/>
      </c>
      <c r="FD27" s="31">
        <f>IF(Calc!$BJ$163=0,"",Calc!$BJ$163)</f>
        <v/>
      </c>
      <c r="FE27" s="31">
        <f>IF(Calc!$BJ$164=0,"",Calc!$BJ$164)</f>
        <v/>
      </c>
      <c r="FF27" s="31">
        <f>IF(Calc!$BJ$165=0,"",Calc!$BJ$165)</f>
        <v/>
      </c>
      <c r="FG27" s="31">
        <f>IF(Calc!$BJ$166=0,"",Calc!$BJ$166)</f>
        <v/>
      </c>
      <c r="FH27" s="31">
        <f>IF(Calc!$BJ$167=0,"",Calc!$BJ$167)</f>
        <v/>
      </c>
      <c r="FI27" s="31">
        <f>IF(Calc!$BJ$168=0,"",Calc!$BJ$168)</f>
        <v/>
      </c>
      <c r="FJ27" s="31">
        <f>IF(Calc!$BJ$169=0,"",Calc!$BJ$169)</f>
        <v/>
      </c>
      <c r="FK27" s="31">
        <f>IF(Calc!$BJ$170=0,"",Calc!$BJ$170)</f>
        <v/>
      </c>
      <c r="FL27" s="31">
        <f>IF(Calc!$BJ$171=0,"",Calc!$BJ$171)</f>
        <v/>
      </c>
      <c r="FM27" s="31">
        <f>IF(Calc!$BJ$172=0,"",Calc!$BJ$172)</f>
        <v/>
      </c>
      <c r="FN27" s="31">
        <f>IF(Calc!$BJ$173=0,"",Calc!$BJ$173)</f>
        <v/>
      </c>
      <c r="FO27" s="31">
        <f>IF(Calc!$BJ$174=0,"",Calc!$BJ$174)</f>
        <v/>
      </c>
      <c r="FP27" s="31">
        <f>IF(Calc!$BJ$175=0,"",Calc!$BJ$175)</f>
        <v/>
      </c>
      <c r="FQ27" s="31">
        <f>IF(Calc!$BJ$176=0,"",Calc!$BJ$176)</f>
        <v/>
      </c>
      <c r="FR27" s="31">
        <f>IF(Calc!$BJ$177=0,"",Calc!$BJ$177)</f>
        <v/>
      </c>
      <c r="FS27" s="31">
        <f>IF(Calc!$BJ$178=0,"",Calc!$BJ$178)</f>
        <v/>
      </c>
      <c r="FT27" s="31">
        <f>IF(Calc!$BJ$179=0,"",Calc!$BJ$179)</f>
        <v/>
      </c>
      <c r="FU27" s="31">
        <f>IF(Calc!$BJ$180=0,"",Calc!$BJ$180)</f>
        <v/>
      </c>
      <c r="FV27" s="31">
        <f>IF(Calc!$BJ$181=0,"",Calc!$BJ$181)</f>
        <v/>
      </c>
      <c r="FW27" s="31">
        <f>IF(Calc!$BJ$182=0,"",Calc!$BJ$182)</f>
        <v/>
      </c>
      <c r="FX27" s="31">
        <f>IF(Calc!$BJ$183=0,"",Calc!$BJ$183)</f>
        <v/>
      </c>
    </row>
    <row r="28">
      <c r="A28" s="15">
        <f>IF(Settings!$A$51="","(unused)",Settings!$A$51)</f>
        <v/>
      </c>
      <c r="B28" s="26">
        <f>IF(Settings!$A$51="","",IF(AND(Settings!$C$51&lt;&gt;"",Settings!$D$51&lt;&gt;""),"grey = automatic ("&amp;TEXT(Settings!$C$51,"$#,##0.00")&amp;" "&amp;LOWER(Settings!$D$51)&amp;")","type the month’s total"))</f>
        <v/>
      </c>
      <c r="C28" s="31">
        <f>IF(Calc!$BK$6=0,"",Calc!$BK$6)</f>
        <v/>
      </c>
      <c r="D28" s="31">
        <f>IF(Calc!$BK$7=0,"",Calc!$BK$7)</f>
        <v/>
      </c>
      <c r="E28" s="31">
        <f>IF(Calc!$BK$8=0,"",Calc!$BK$8)</f>
        <v/>
      </c>
      <c r="F28" s="31">
        <f>IF(Calc!$BK$9=0,"",Calc!$BK$9)</f>
        <v/>
      </c>
      <c r="G28" s="31">
        <f>IF(Calc!$BK$10=0,"",Calc!$BK$10)</f>
        <v/>
      </c>
      <c r="H28" s="31">
        <f>IF(Calc!$BK$11=0,"",Calc!$BK$11)</f>
        <v/>
      </c>
      <c r="I28" s="31">
        <f>IF(Calc!$BK$12=0,"",Calc!$BK$12)</f>
        <v/>
      </c>
      <c r="J28" s="31">
        <f>IF(Calc!$BK$13=0,"",Calc!$BK$13)</f>
        <v/>
      </c>
      <c r="K28" s="31">
        <f>IF(Calc!$BK$14=0,"",Calc!$BK$14)</f>
        <v/>
      </c>
      <c r="L28" s="31">
        <f>IF(Calc!$BK$15=0,"",Calc!$BK$15)</f>
        <v/>
      </c>
      <c r="M28" s="31">
        <f>IF(Calc!$BK$16=0,"",Calc!$BK$16)</f>
        <v/>
      </c>
      <c r="N28" s="31">
        <f>IF(Calc!$BK$17=0,"",Calc!$BK$17)</f>
        <v/>
      </c>
      <c r="O28" s="31">
        <f>IF(Calc!$BK$18=0,"",Calc!$BK$18)</f>
        <v/>
      </c>
      <c r="P28" s="31">
        <f>IF(Calc!$BK$19=0,"",Calc!$BK$19)</f>
        <v/>
      </c>
      <c r="Q28" s="31">
        <f>IF(Calc!$BK$20=0,"",Calc!$BK$20)</f>
        <v/>
      </c>
      <c r="R28" s="31">
        <f>IF(Calc!$BK$21=0,"",Calc!$BK$21)</f>
        <v/>
      </c>
      <c r="S28" s="31">
        <f>IF(Calc!$BK$22=0,"",Calc!$BK$22)</f>
        <v/>
      </c>
      <c r="T28" s="31">
        <f>IF(Calc!$BK$23=0,"",Calc!$BK$23)</f>
        <v/>
      </c>
      <c r="U28" s="31">
        <f>IF(Calc!$BK$24=0,"",Calc!$BK$24)</f>
        <v/>
      </c>
      <c r="V28" s="31">
        <f>IF(Calc!$BK$25=0,"",Calc!$BK$25)</f>
        <v/>
      </c>
      <c r="W28" s="31">
        <f>IF(Calc!$BK$26=0,"",Calc!$BK$26)</f>
        <v/>
      </c>
      <c r="X28" s="31">
        <f>IF(Calc!$BK$27=0,"",Calc!$BK$27)</f>
        <v/>
      </c>
      <c r="Y28" s="31">
        <f>IF(Calc!$BK$28=0,"",Calc!$BK$28)</f>
        <v/>
      </c>
      <c r="Z28" s="31">
        <f>IF(Calc!$BK$29=0,"",Calc!$BK$29)</f>
        <v/>
      </c>
      <c r="AA28" s="31">
        <f>IF(Calc!$BK$30=0,"",Calc!$BK$30)</f>
        <v/>
      </c>
      <c r="AB28" s="31">
        <f>IF(Calc!$BK$31=0,"",Calc!$BK$31)</f>
        <v/>
      </c>
      <c r="AC28" s="31">
        <f>IF(Calc!$BK$32=0,"",Calc!$BK$32)</f>
        <v/>
      </c>
      <c r="AD28" s="31">
        <f>IF(Calc!$BK$33=0,"",Calc!$BK$33)</f>
        <v/>
      </c>
      <c r="AE28" s="31">
        <f>IF(Calc!$BK$34=0,"",Calc!$BK$34)</f>
        <v/>
      </c>
      <c r="AF28" s="31">
        <f>IF(Calc!$BK$35=0,"",Calc!$BK$35)</f>
        <v/>
      </c>
      <c r="AG28" s="31">
        <f>IF(Calc!$BK$36=0,"",Calc!$BK$36)</f>
        <v/>
      </c>
      <c r="AH28" s="31">
        <f>IF(Calc!$BK$37=0,"",Calc!$BK$37)</f>
        <v/>
      </c>
      <c r="AI28" s="31">
        <f>IF(Calc!$BK$38=0,"",Calc!$BK$38)</f>
        <v/>
      </c>
      <c r="AJ28" s="31">
        <f>IF(Calc!$BK$39=0,"",Calc!$BK$39)</f>
        <v/>
      </c>
      <c r="AK28" s="31">
        <f>IF(Calc!$BK$40=0,"",Calc!$BK$40)</f>
        <v/>
      </c>
      <c r="AL28" s="31">
        <f>IF(Calc!$BK$41=0,"",Calc!$BK$41)</f>
        <v/>
      </c>
      <c r="AM28" s="31">
        <f>IF(Calc!$BK$42=0,"",Calc!$BK$42)</f>
        <v/>
      </c>
      <c r="AN28" s="31">
        <f>IF(Calc!$BK$43=0,"",Calc!$BK$43)</f>
        <v/>
      </c>
      <c r="AO28" s="31">
        <f>IF(Calc!$BK$44=0,"",Calc!$BK$44)</f>
        <v/>
      </c>
      <c r="AP28" s="31">
        <f>IF(Calc!$BK$45=0,"",Calc!$BK$45)</f>
        <v/>
      </c>
      <c r="AQ28" s="31">
        <f>IF(Calc!$BK$46=0,"",Calc!$BK$46)</f>
        <v/>
      </c>
      <c r="AR28" s="31">
        <f>IF(Calc!$BK$47=0,"",Calc!$BK$47)</f>
        <v/>
      </c>
      <c r="AS28" s="31">
        <f>IF(Calc!$BK$48=0,"",Calc!$BK$48)</f>
        <v/>
      </c>
      <c r="AT28" s="31">
        <f>IF(Calc!$BK$49=0,"",Calc!$BK$49)</f>
        <v/>
      </c>
      <c r="AU28" s="31">
        <f>IF(Calc!$BK$50=0,"",Calc!$BK$50)</f>
        <v/>
      </c>
      <c r="AV28" s="31">
        <f>IF(Calc!$BK$51=0,"",Calc!$BK$51)</f>
        <v/>
      </c>
      <c r="AW28" s="31">
        <f>IF(Calc!$BK$52=0,"",Calc!$BK$52)</f>
        <v/>
      </c>
      <c r="AX28" s="31">
        <f>IF(Calc!$BK$53=0,"",Calc!$BK$53)</f>
        <v/>
      </c>
      <c r="AY28" s="31">
        <f>IF(Calc!$BK$54=0,"",Calc!$BK$54)</f>
        <v/>
      </c>
      <c r="AZ28" s="31">
        <f>IF(Calc!$BK$55=0,"",Calc!$BK$55)</f>
        <v/>
      </c>
      <c r="BA28" s="31">
        <f>IF(Calc!$BK$56=0,"",Calc!$BK$56)</f>
        <v/>
      </c>
      <c r="BB28" s="31">
        <f>IF(Calc!$BK$57=0,"",Calc!$BK$57)</f>
        <v/>
      </c>
      <c r="BC28" s="31">
        <f>IF(Calc!$BK$58=0,"",Calc!$BK$58)</f>
        <v/>
      </c>
      <c r="BD28" s="31">
        <f>IF(Calc!$BK$59=0,"",Calc!$BK$59)</f>
        <v/>
      </c>
      <c r="BE28" s="31">
        <f>IF(Calc!$BK$60=0,"",Calc!$BK$60)</f>
        <v/>
      </c>
      <c r="BF28" s="31">
        <f>IF(Calc!$BK$61=0,"",Calc!$BK$61)</f>
        <v/>
      </c>
      <c r="BG28" s="31">
        <f>IF(Calc!$BK$62=0,"",Calc!$BK$62)</f>
        <v/>
      </c>
      <c r="BH28" s="31">
        <f>IF(Calc!$BK$63=0,"",Calc!$BK$63)</f>
        <v/>
      </c>
      <c r="BI28" s="31">
        <f>IF(Calc!$BK$64=0,"",Calc!$BK$64)</f>
        <v/>
      </c>
      <c r="BJ28" s="31">
        <f>IF(Calc!$BK$65=0,"",Calc!$BK$65)</f>
        <v/>
      </c>
      <c r="BK28" s="31">
        <f>IF(Calc!$BK$66=0,"",Calc!$BK$66)</f>
        <v/>
      </c>
      <c r="BL28" s="31">
        <f>IF(Calc!$BK$67=0,"",Calc!$BK$67)</f>
        <v/>
      </c>
      <c r="BM28" s="31">
        <f>IF(Calc!$BK$68=0,"",Calc!$BK$68)</f>
        <v/>
      </c>
      <c r="BN28" s="31">
        <f>IF(Calc!$BK$69=0,"",Calc!$BK$69)</f>
        <v/>
      </c>
      <c r="BO28" s="31">
        <f>IF(Calc!$BK$70=0,"",Calc!$BK$70)</f>
        <v/>
      </c>
      <c r="BP28" s="31">
        <f>IF(Calc!$BK$71=0,"",Calc!$BK$71)</f>
        <v/>
      </c>
      <c r="BQ28" s="31">
        <f>IF(Calc!$BK$72=0,"",Calc!$BK$72)</f>
        <v/>
      </c>
      <c r="BR28" s="31">
        <f>IF(Calc!$BK$73=0,"",Calc!$BK$73)</f>
        <v/>
      </c>
      <c r="BS28" s="31">
        <f>IF(Calc!$BK$74=0,"",Calc!$BK$74)</f>
        <v/>
      </c>
      <c r="BT28" s="31">
        <f>IF(Calc!$BK$75=0,"",Calc!$BK$75)</f>
        <v/>
      </c>
      <c r="BU28" s="31">
        <f>IF(Calc!$BK$76=0,"",Calc!$BK$76)</f>
        <v/>
      </c>
      <c r="BV28" s="31">
        <f>IF(Calc!$BK$77=0,"",Calc!$BK$77)</f>
        <v/>
      </c>
      <c r="BW28" s="31">
        <f>IF(Calc!$BK$78=0,"",Calc!$BK$78)</f>
        <v/>
      </c>
      <c r="BX28" s="31">
        <f>IF(Calc!$BK$79=0,"",Calc!$BK$79)</f>
        <v/>
      </c>
      <c r="BY28" s="31">
        <f>IF(Calc!$BK$80=0,"",Calc!$BK$80)</f>
        <v/>
      </c>
      <c r="BZ28" s="31">
        <f>IF(Calc!$BK$81=0,"",Calc!$BK$81)</f>
        <v/>
      </c>
      <c r="CA28" s="31">
        <f>IF(Calc!$BK$82=0,"",Calc!$BK$82)</f>
        <v/>
      </c>
      <c r="CB28" s="31">
        <f>IF(Calc!$BK$83=0,"",Calc!$BK$83)</f>
        <v/>
      </c>
      <c r="CC28" s="31">
        <f>IF(Calc!$BK$84=0,"",Calc!$BK$84)</f>
        <v/>
      </c>
      <c r="CD28" s="31">
        <f>IF(Calc!$BK$85=0,"",Calc!$BK$85)</f>
        <v/>
      </c>
      <c r="CE28" s="31">
        <f>IF(Calc!$BK$86=0,"",Calc!$BK$86)</f>
        <v/>
      </c>
      <c r="CF28" s="31">
        <f>IF(Calc!$BK$87=0,"",Calc!$BK$87)</f>
        <v/>
      </c>
      <c r="CG28" s="31">
        <f>IF(Calc!$BK$88=0,"",Calc!$BK$88)</f>
        <v/>
      </c>
      <c r="CH28" s="31">
        <f>IF(Calc!$BK$89=0,"",Calc!$BK$89)</f>
        <v/>
      </c>
      <c r="CI28" s="31">
        <f>IF(Calc!$BK$90=0,"",Calc!$BK$90)</f>
        <v/>
      </c>
      <c r="CJ28" s="31">
        <f>IF(Calc!$BK$91=0,"",Calc!$BK$91)</f>
        <v/>
      </c>
      <c r="CK28" s="31">
        <f>IF(Calc!$BK$92=0,"",Calc!$BK$92)</f>
        <v/>
      </c>
      <c r="CL28" s="31">
        <f>IF(Calc!$BK$93=0,"",Calc!$BK$93)</f>
        <v/>
      </c>
      <c r="CM28" s="31">
        <f>IF(Calc!$BK$94=0,"",Calc!$BK$94)</f>
        <v/>
      </c>
      <c r="CN28" s="31">
        <f>IF(Calc!$BK$95=0,"",Calc!$BK$95)</f>
        <v/>
      </c>
      <c r="CO28" s="31">
        <f>IF(Calc!$BK$96=0,"",Calc!$BK$96)</f>
        <v/>
      </c>
      <c r="CP28" s="31">
        <f>IF(Calc!$BK$97=0,"",Calc!$BK$97)</f>
        <v/>
      </c>
      <c r="CQ28" s="31">
        <f>IF(Calc!$BK$98=0,"",Calc!$BK$98)</f>
        <v/>
      </c>
      <c r="CR28" s="31">
        <f>IF(Calc!$BK$99=0,"",Calc!$BK$99)</f>
        <v/>
      </c>
      <c r="CS28" s="31">
        <f>IF(Calc!$BK$100=0,"",Calc!$BK$100)</f>
        <v/>
      </c>
      <c r="CT28" s="31">
        <f>IF(Calc!$BK$101=0,"",Calc!$BK$101)</f>
        <v/>
      </c>
      <c r="CU28" s="31">
        <f>IF(Calc!$BK$102=0,"",Calc!$BK$102)</f>
        <v/>
      </c>
      <c r="CV28" s="31">
        <f>IF(Calc!$BK$103=0,"",Calc!$BK$103)</f>
        <v/>
      </c>
      <c r="CW28" s="31">
        <f>IF(Calc!$BK$104=0,"",Calc!$BK$104)</f>
        <v/>
      </c>
      <c r="CX28" s="31">
        <f>IF(Calc!$BK$105=0,"",Calc!$BK$105)</f>
        <v/>
      </c>
      <c r="CY28" s="31">
        <f>IF(Calc!$BK$106=0,"",Calc!$BK$106)</f>
        <v/>
      </c>
      <c r="CZ28" s="31">
        <f>IF(Calc!$BK$107=0,"",Calc!$BK$107)</f>
        <v/>
      </c>
      <c r="DA28" s="31">
        <f>IF(Calc!$BK$108=0,"",Calc!$BK$108)</f>
        <v/>
      </c>
      <c r="DB28" s="31">
        <f>IF(Calc!$BK$109=0,"",Calc!$BK$109)</f>
        <v/>
      </c>
      <c r="DC28" s="31">
        <f>IF(Calc!$BK$110=0,"",Calc!$BK$110)</f>
        <v/>
      </c>
      <c r="DD28" s="31">
        <f>IF(Calc!$BK$111=0,"",Calc!$BK$111)</f>
        <v/>
      </c>
      <c r="DE28" s="31">
        <f>IF(Calc!$BK$112=0,"",Calc!$BK$112)</f>
        <v/>
      </c>
      <c r="DF28" s="31">
        <f>IF(Calc!$BK$113=0,"",Calc!$BK$113)</f>
        <v/>
      </c>
      <c r="DG28" s="31">
        <f>IF(Calc!$BK$114=0,"",Calc!$BK$114)</f>
        <v/>
      </c>
      <c r="DH28" s="31">
        <f>IF(Calc!$BK$115=0,"",Calc!$BK$115)</f>
        <v/>
      </c>
      <c r="DI28" s="31">
        <f>IF(Calc!$BK$116=0,"",Calc!$BK$116)</f>
        <v/>
      </c>
      <c r="DJ28" s="31">
        <f>IF(Calc!$BK$117=0,"",Calc!$BK$117)</f>
        <v/>
      </c>
      <c r="DK28" s="31">
        <f>IF(Calc!$BK$118=0,"",Calc!$BK$118)</f>
        <v/>
      </c>
      <c r="DL28" s="31">
        <f>IF(Calc!$BK$119=0,"",Calc!$BK$119)</f>
        <v/>
      </c>
      <c r="DM28" s="31">
        <f>IF(Calc!$BK$120=0,"",Calc!$BK$120)</f>
        <v/>
      </c>
      <c r="DN28" s="31">
        <f>IF(Calc!$BK$121=0,"",Calc!$BK$121)</f>
        <v/>
      </c>
      <c r="DO28" s="31">
        <f>IF(Calc!$BK$122=0,"",Calc!$BK$122)</f>
        <v/>
      </c>
      <c r="DP28" s="31">
        <f>IF(Calc!$BK$123=0,"",Calc!$BK$123)</f>
        <v/>
      </c>
      <c r="DQ28" s="31">
        <f>IF(Calc!$BK$124=0,"",Calc!$BK$124)</f>
        <v/>
      </c>
      <c r="DR28" s="31">
        <f>IF(Calc!$BK$125=0,"",Calc!$BK$125)</f>
        <v/>
      </c>
      <c r="DS28" s="31">
        <f>IF(Calc!$BK$126=0,"",Calc!$BK$126)</f>
        <v/>
      </c>
      <c r="DT28" s="31">
        <f>IF(Calc!$BK$127=0,"",Calc!$BK$127)</f>
        <v/>
      </c>
      <c r="DU28" s="31">
        <f>IF(Calc!$BK$128=0,"",Calc!$BK$128)</f>
        <v/>
      </c>
      <c r="DV28" s="31">
        <f>IF(Calc!$BK$129=0,"",Calc!$BK$129)</f>
        <v/>
      </c>
      <c r="DW28" s="31">
        <f>IF(Calc!$BK$130=0,"",Calc!$BK$130)</f>
        <v/>
      </c>
      <c r="DX28" s="31">
        <f>IF(Calc!$BK$131=0,"",Calc!$BK$131)</f>
        <v/>
      </c>
      <c r="DY28" s="31">
        <f>IF(Calc!$BK$132=0,"",Calc!$BK$132)</f>
        <v/>
      </c>
      <c r="DZ28" s="31">
        <f>IF(Calc!$BK$133=0,"",Calc!$BK$133)</f>
        <v/>
      </c>
      <c r="EA28" s="31">
        <f>IF(Calc!$BK$134=0,"",Calc!$BK$134)</f>
        <v/>
      </c>
      <c r="EB28" s="31">
        <f>IF(Calc!$BK$135=0,"",Calc!$BK$135)</f>
        <v/>
      </c>
      <c r="EC28" s="31">
        <f>IF(Calc!$BK$136=0,"",Calc!$BK$136)</f>
        <v/>
      </c>
      <c r="ED28" s="31">
        <f>IF(Calc!$BK$137=0,"",Calc!$BK$137)</f>
        <v/>
      </c>
      <c r="EE28" s="31">
        <f>IF(Calc!$BK$138=0,"",Calc!$BK$138)</f>
        <v/>
      </c>
      <c r="EF28" s="31">
        <f>IF(Calc!$BK$139=0,"",Calc!$BK$139)</f>
        <v/>
      </c>
      <c r="EG28" s="31">
        <f>IF(Calc!$BK$140=0,"",Calc!$BK$140)</f>
        <v/>
      </c>
      <c r="EH28" s="31">
        <f>IF(Calc!$BK$141=0,"",Calc!$BK$141)</f>
        <v/>
      </c>
      <c r="EI28" s="31">
        <f>IF(Calc!$BK$142=0,"",Calc!$BK$142)</f>
        <v/>
      </c>
      <c r="EJ28" s="31">
        <f>IF(Calc!$BK$143=0,"",Calc!$BK$143)</f>
        <v/>
      </c>
      <c r="EK28" s="31">
        <f>IF(Calc!$BK$144=0,"",Calc!$BK$144)</f>
        <v/>
      </c>
      <c r="EL28" s="31">
        <f>IF(Calc!$BK$145=0,"",Calc!$BK$145)</f>
        <v/>
      </c>
      <c r="EM28" s="31">
        <f>IF(Calc!$BK$146=0,"",Calc!$BK$146)</f>
        <v/>
      </c>
      <c r="EN28" s="31">
        <f>IF(Calc!$BK$147=0,"",Calc!$BK$147)</f>
        <v/>
      </c>
      <c r="EO28" s="31">
        <f>IF(Calc!$BK$148=0,"",Calc!$BK$148)</f>
        <v/>
      </c>
      <c r="EP28" s="31">
        <f>IF(Calc!$BK$149=0,"",Calc!$BK$149)</f>
        <v/>
      </c>
      <c r="EQ28" s="31">
        <f>IF(Calc!$BK$150=0,"",Calc!$BK$150)</f>
        <v/>
      </c>
      <c r="ER28" s="31">
        <f>IF(Calc!$BK$151=0,"",Calc!$BK$151)</f>
        <v/>
      </c>
      <c r="ES28" s="31">
        <f>IF(Calc!$BK$152=0,"",Calc!$BK$152)</f>
        <v/>
      </c>
      <c r="ET28" s="31">
        <f>IF(Calc!$BK$153=0,"",Calc!$BK$153)</f>
        <v/>
      </c>
      <c r="EU28" s="31">
        <f>IF(Calc!$BK$154=0,"",Calc!$BK$154)</f>
        <v/>
      </c>
      <c r="EV28" s="31">
        <f>IF(Calc!$BK$155=0,"",Calc!$BK$155)</f>
        <v/>
      </c>
      <c r="EW28" s="31">
        <f>IF(Calc!$BK$156=0,"",Calc!$BK$156)</f>
        <v/>
      </c>
      <c r="EX28" s="31">
        <f>IF(Calc!$BK$157=0,"",Calc!$BK$157)</f>
        <v/>
      </c>
      <c r="EY28" s="31">
        <f>IF(Calc!$BK$158=0,"",Calc!$BK$158)</f>
        <v/>
      </c>
      <c r="EZ28" s="31">
        <f>IF(Calc!$BK$159=0,"",Calc!$BK$159)</f>
        <v/>
      </c>
      <c r="FA28" s="31">
        <f>IF(Calc!$BK$160=0,"",Calc!$BK$160)</f>
        <v/>
      </c>
      <c r="FB28" s="31">
        <f>IF(Calc!$BK$161=0,"",Calc!$BK$161)</f>
        <v/>
      </c>
      <c r="FC28" s="31">
        <f>IF(Calc!$BK$162=0,"",Calc!$BK$162)</f>
        <v/>
      </c>
      <c r="FD28" s="31">
        <f>IF(Calc!$BK$163=0,"",Calc!$BK$163)</f>
        <v/>
      </c>
      <c r="FE28" s="31">
        <f>IF(Calc!$BK$164=0,"",Calc!$BK$164)</f>
        <v/>
      </c>
      <c r="FF28" s="31">
        <f>IF(Calc!$BK$165=0,"",Calc!$BK$165)</f>
        <v/>
      </c>
      <c r="FG28" s="31">
        <f>IF(Calc!$BK$166=0,"",Calc!$BK$166)</f>
        <v/>
      </c>
      <c r="FH28" s="31">
        <f>IF(Calc!$BK$167=0,"",Calc!$BK$167)</f>
        <v/>
      </c>
      <c r="FI28" s="31">
        <f>IF(Calc!$BK$168=0,"",Calc!$BK$168)</f>
        <v/>
      </c>
      <c r="FJ28" s="31">
        <f>IF(Calc!$BK$169=0,"",Calc!$BK$169)</f>
        <v/>
      </c>
      <c r="FK28" s="31">
        <f>IF(Calc!$BK$170=0,"",Calc!$BK$170)</f>
        <v/>
      </c>
      <c r="FL28" s="31">
        <f>IF(Calc!$BK$171=0,"",Calc!$BK$171)</f>
        <v/>
      </c>
      <c r="FM28" s="31">
        <f>IF(Calc!$BK$172=0,"",Calc!$BK$172)</f>
        <v/>
      </c>
      <c r="FN28" s="31">
        <f>IF(Calc!$BK$173=0,"",Calc!$BK$173)</f>
        <v/>
      </c>
      <c r="FO28" s="31">
        <f>IF(Calc!$BK$174=0,"",Calc!$BK$174)</f>
        <v/>
      </c>
      <c r="FP28" s="31">
        <f>IF(Calc!$BK$175=0,"",Calc!$BK$175)</f>
        <v/>
      </c>
      <c r="FQ28" s="31">
        <f>IF(Calc!$BK$176=0,"",Calc!$BK$176)</f>
        <v/>
      </c>
      <c r="FR28" s="31">
        <f>IF(Calc!$BK$177=0,"",Calc!$BK$177)</f>
        <v/>
      </c>
      <c r="FS28" s="31">
        <f>IF(Calc!$BK$178=0,"",Calc!$BK$178)</f>
        <v/>
      </c>
      <c r="FT28" s="31">
        <f>IF(Calc!$BK$179=0,"",Calc!$BK$179)</f>
        <v/>
      </c>
      <c r="FU28" s="31">
        <f>IF(Calc!$BK$180=0,"",Calc!$BK$180)</f>
        <v/>
      </c>
      <c r="FV28" s="31">
        <f>IF(Calc!$BK$181=0,"",Calc!$BK$181)</f>
        <v/>
      </c>
      <c r="FW28" s="31">
        <f>IF(Calc!$BK$182=0,"",Calc!$BK$182)</f>
        <v/>
      </c>
      <c r="FX28" s="31">
        <f>IF(Calc!$BK$183=0,"",Calc!$BK$183)</f>
        <v/>
      </c>
    </row>
    <row r="29">
      <c r="A29" s="15">
        <f>IF(Settings!$A$52="","(unused)",Settings!$A$52)</f>
        <v/>
      </c>
      <c r="B29" s="26">
        <f>IF(Settings!$A$52="","",IF(AND(Settings!$C$52&lt;&gt;"",Settings!$D$52&lt;&gt;""),"grey = automatic ("&amp;TEXT(Settings!$C$52,"$#,##0.00")&amp;" "&amp;LOWER(Settings!$D$52)&amp;")","type the month’s total"))</f>
        <v/>
      </c>
      <c r="C29" s="31">
        <f>IF(Calc!$BL$6=0,"",Calc!$BL$6)</f>
        <v/>
      </c>
      <c r="D29" s="31">
        <f>IF(Calc!$BL$7=0,"",Calc!$BL$7)</f>
        <v/>
      </c>
      <c r="E29" s="31">
        <f>IF(Calc!$BL$8=0,"",Calc!$BL$8)</f>
        <v/>
      </c>
      <c r="F29" s="31">
        <f>IF(Calc!$BL$9=0,"",Calc!$BL$9)</f>
        <v/>
      </c>
      <c r="G29" s="31">
        <f>IF(Calc!$BL$10=0,"",Calc!$BL$10)</f>
        <v/>
      </c>
      <c r="H29" s="31">
        <f>IF(Calc!$BL$11=0,"",Calc!$BL$11)</f>
        <v/>
      </c>
      <c r="I29" s="31">
        <f>IF(Calc!$BL$12=0,"",Calc!$BL$12)</f>
        <v/>
      </c>
      <c r="J29" s="31">
        <f>IF(Calc!$BL$13=0,"",Calc!$BL$13)</f>
        <v/>
      </c>
      <c r="K29" s="31">
        <f>IF(Calc!$BL$14=0,"",Calc!$BL$14)</f>
        <v/>
      </c>
      <c r="L29" s="31">
        <f>IF(Calc!$BL$15=0,"",Calc!$BL$15)</f>
        <v/>
      </c>
      <c r="M29" s="31">
        <f>IF(Calc!$BL$16=0,"",Calc!$BL$16)</f>
        <v/>
      </c>
      <c r="N29" s="31">
        <f>IF(Calc!$BL$17=0,"",Calc!$BL$17)</f>
        <v/>
      </c>
      <c r="O29" s="31">
        <f>IF(Calc!$BL$18=0,"",Calc!$BL$18)</f>
        <v/>
      </c>
      <c r="P29" s="31">
        <f>IF(Calc!$BL$19=0,"",Calc!$BL$19)</f>
        <v/>
      </c>
      <c r="Q29" s="31">
        <f>IF(Calc!$BL$20=0,"",Calc!$BL$20)</f>
        <v/>
      </c>
      <c r="R29" s="31">
        <f>IF(Calc!$BL$21=0,"",Calc!$BL$21)</f>
        <v/>
      </c>
      <c r="S29" s="31">
        <f>IF(Calc!$BL$22=0,"",Calc!$BL$22)</f>
        <v/>
      </c>
      <c r="T29" s="31">
        <f>IF(Calc!$BL$23=0,"",Calc!$BL$23)</f>
        <v/>
      </c>
      <c r="U29" s="31">
        <f>IF(Calc!$BL$24=0,"",Calc!$BL$24)</f>
        <v/>
      </c>
      <c r="V29" s="31">
        <f>IF(Calc!$BL$25=0,"",Calc!$BL$25)</f>
        <v/>
      </c>
      <c r="W29" s="31">
        <f>IF(Calc!$BL$26=0,"",Calc!$BL$26)</f>
        <v/>
      </c>
      <c r="X29" s="31">
        <f>IF(Calc!$BL$27=0,"",Calc!$BL$27)</f>
        <v/>
      </c>
      <c r="Y29" s="31">
        <f>IF(Calc!$BL$28=0,"",Calc!$BL$28)</f>
        <v/>
      </c>
      <c r="Z29" s="31">
        <f>IF(Calc!$BL$29=0,"",Calc!$BL$29)</f>
        <v/>
      </c>
      <c r="AA29" s="31">
        <f>IF(Calc!$BL$30=0,"",Calc!$BL$30)</f>
        <v/>
      </c>
      <c r="AB29" s="31">
        <f>IF(Calc!$BL$31=0,"",Calc!$BL$31)</f>
        <v/>
      </c>
      <c r="AC29" s="31">
        <f>IF(Calc!$BL$32=0,"",Calc!$BL$32)</f>
        <v/>
      </c>
      <c r="AD29" s="31">
        <f>IF(Calc!$BL$33=0,"",Calc!$BL$33)</f>
        <v/>
      </c>
      <c r="AE29" s="31">
        <f>IF(Calc!$BL$34=0,"",Calc!$BL$34)</f>
        <v/>
      </c>
      <c r="AF29" s="31">
        <f>IF(Calc!$BL$35=0,"",Calc!$BL$35)</f>
        <v/>
      </c>
      <c r="AG29" s="31">
        <f>IF(Calc!$BL$36=0,"",Calc!$BL$36)</f>
        <v/>
      </c>
      <c r="AH29" s="31">
        <f>IF(Calc!$BL$37=0,"",Calc!$BL$37)</f>
        <v/>
      </c>
      <c r="AI29" s="31">
        <f>IF(Calc!$BL$38=0,"",Calc!$BL$38)</f>
        <v/>
      </c>
      <c r="AJ29" s="31">
        <f>IF(Calc!$BL$39=0,"",Calc!$BL$39)</f>
        <v/>
      </c>
      <c r="AK29" s="31">
        <f>IF(Calc!$BL$40=0,"",Calc!$BL$40)</f>
        <v/>
      </c>
      <c r="AL29" s="31">
        <f>IF(Calc!$BL$41=0,"",Calc!$BL$41)</f>
        <v/>
      </c>
      <c r="AM29" s="31">
        <f>IF(Calc!$BL$42=0,"",Calc!$BL$42)</f>
        <v/>
      </c>
      <c r="AN29" s="31">
        <f>IF(Calc!$BL$43=0,"",Calc!$BL$43)</f>
        <v/>
      </c>
      <c r="AO29" s="31">
        <f>IF(Calc!$BL$44=0,"",Calc!$BL$44)</f>
        <v/>
      </c>
      <c r="AP29" s="31">
        <f>IF(Calc!$BL$45=0,"",Calc!$BL$45)</f>
        <v/>
      </c>
      <c r="AQ29" s="31">
        <f>IF(Calc!$BL$46=0,"",Calc!$BL$46)</f>
        <v/>
      </c>
      <c r="AR29" s="31">
        <f>IF(Calc!$BL$47=0,"",Calc!$BL$47)</f>
        <v/>
      </c>
      <c r="AS29" s="31">
        <f>IF(Calc!$BL$48=0,"",Calc!$BL$48)</f>
        <v/>
      </c>
      <c r="AT29" s="31">
        <f>IF(Calc!$BL$49=0,"",Calc!$BL$49)</f>
        <v/>
      </c>
      <c r="AU29" s="31">
        <f>IF(Calc!$BL$50=0,"",Calc!$BL$50)</f>
        <v/>
      </c>
      <c r="AV29" s="31">
        <f>IF(Calc!$BL$51=0,"",Calc!$BL$51)</f>
        <v/>
      </c>
      <c r="AW29" s="31">
        <f>IF(Calc!$BL$52=0,"",Calc!$BL$52)</f>
        <v/>
      </c>
      <c r="AX29" s="31">
        <f>IF(Calc!$BL$53=0,"",Calc!$BL$53)</f>
        <v/>
      </c>
      <c r="AY29" s="31">
        <f>IF(Calc!$BL$54=0,"",Calc!$BL$54)</f>
        <v/>
      </c>
      <c r="AZ29" s="31">
        <f>IF(Calc!$BL$55=0,"",Calc!$BL$55)</f>
        <v/>
      </c>
      <c r="BA29" s="31">
        <f>IF(Calc!$BL$56=0,"",Calc!$BL$56)</f>
        <v/>
      </c>
      <c r="BB29" s="31">
        <f>IF(Calc!$BL$57=0,"",Calc!$BL$57)</f>
        <v/>
      </c>
      <c r="BC29" s="31">
        <f>IF(Calc!$BL$58=0,"",Calc!$BL$58)</f>
        <v/>
      </c>
      <c r="BD29" s="31">
        <f>IF(Calc!$BL$59=0,"",Calc!$BL$59)</f>
        <v/>
      </c>
      <c r="BE29" s="31">
        <f>IF(Calc!$BL$60=0,"",Calc!$BL$60)</f>
        <v/>
      </c>
      <c r="BF29" s="31">
        <f>IF(Calc!$BL$61=0,"",Calc!$BL$61)</f>
        <v/>
      </c>
      <c r="BG29" s="31">
        <f>IF(Calc!$BL$62=0,"",Calc!$BL$62)</f>
        <v/>
      </c>
      <c r="BH29" s="31">
        <f>IF(Calc!$BL$63=0,"",Calc!$BL$63)</f>
        <v/>
      </c>
      <c r="BI29" s="31">
        <f>IF(Calc!$BL$64=0,"",Calc!$BL$64)</f>
        <v/>
      </c>
      <c r="BJ29" s="31">
        <f>IF(Calc!$BL$65=0,"",Calc!$BL$65)</f>
        <v/>
      </c>
      <c r="BK29" s="31">
        <f>IF(Calc!$BL$66=0,"",Calc!$BL$66)</f>
        <v/>
      </c>
      <c r="BL29" s="31">
        <f>IF(Calc!$BL$67=0,"",Calc!$BL$67)</f>
        <v/>
      </c>
      <c r="BM29" s="31">
        <f>IF(Calc!$BL$68=0,"",Calc!$BL$68)</f>
        <v/>
      </c>
      <c r="BN29" s="31">
        <f>IF(Calc!$BL$69=0,"",Calc!$BL$69)</f>
        <v/>
      </c>
      <c r="BO29" s="31">
        <f>IF(Calc!$BL$70=0,"",Calc!$BL$70)</f>
        <v/>
      </c>
      <c r="BP29" s="31">
        <f>IF(Calc!$BL$71=0,"",Calc!$BL$71)</f>
        <v/>
      </c>
      <c r="BQ29" s="31">
        <f>IF(Calc!$BL$72=0,"",Calc!$BL$72)</f>
        <v/>
      </c>
      <c r="BR29" s="31">
        <f>IF(Calc!$BL$73=0,"",Calc!$BL$73)</f>
        <v/>
      </c>
      <c r="BS29" s="31">
        <f>IF(Calc!$BL$74=0,"",Calc!$BL$74)</f>
        <v/>
      </c>
      <c r="BT29" s="31">
        <f>IF(Calc!$BL$75=0,"",Calc!$BL$75)</f>
        <v/>
      </c>
      <c r="BU29" s="31">
        <f>IF(Calc!$BL$76=0,"",Calc!$BL$76)</f>
        <v/>
      </c>
      <c r="BV29" s="31">
        <f>IF(Calc!$BL$77=0,"",Calc!$BL$77)</f>
        <v/>
      </c>
      <c r="BW29" s="31">
        <f>IF(Calc!$BL$78=0,"",Calc!$BL$78)</f>
        <v/>
      </c>
      <c r="BX29" s="31">
        <f>IF(Calc!$BL$79=0,"",Calc!$BL$79)</f>
        <v/>
      </c>
      <c r="BY29" s="31">
        <f>IF(Calc!$BL$80=0,"",Calc!$BL$80)</f>
        <v/>
      </c>
      <c r="BZ29" s="31">
        <f>IF(Calc!$BL$81=0,"",Calc!$BL$81)</f>
        <v/>
      </c>
      <c r="CA29" s="31">
        <f>IF(Calc!$BL$82=0,"",Calc!$BL$82)</f>
        <v/>
      </c>
      <c r="CB29" s="31">
        <f>IF(Calc!$BL$83=0,"",Calc!$BL$83)</f>
        <v/>
      </c>
      <c r="CC29" s="31">
        <f>IF(Calc!$BL$84=0,"",Calc!$BL$84)</f>
        <v/>
      </c>
      <c r="CD29" s="31">
        <f>IF(Calc!$BL$85=0,"",Calc!$BL$85)</f>
        <v/>
      </c>
      <c r="CE29" s="31">
        <f>IF(Calc!$BL$86=0,"",Calc!$BL$86)</f>
        <v/>
      </c>
      <c r="CF29" s="31">
        <f>IF(Calc!$BL$87=0,"",Calc!$BL$87)</f>
        <v/>
      </c>
      <c r="CG29" s="31">
        <f>IF(Calc!$BL$88=0,"",Calc!$BL$88)</f>
        <v/>
      </c>
      <c r="CH29" s="31">
        <f>IF(Calc!$BL$89=0,"",Calc!$BL$89)</f>
        <v/>
      </c>
      <c r="CI29" s="31">
        <f>IF(Calc!$BL$90=0,"",Calc!$BL$90)</f>
        <v/>
      </c>
      <c r="CJ29" s="31">
        <f>IF(Calc!$BL$91=0,"",Calc!$BL$91)</f>
        <v/>
      </c>
      <c r="CK29" s="31">
        <f>IF(Calc!$BL$92=0,"",Calc!$BL$92)</f>
        <v/>
      </c>
      <c r="CL29" s="31">
        <f>IF(Calc!$BL$93=0,"",Calc!$BL$93)</f>
        <v/>
      </c>
      <c r="CM29" s="31">
        <f>IF(Calc!$BL$94=0,"",Calc!$BL$94)</f>
        <v/>
      </c>
      <c r="CN29" s="31">
        <f>IF(Calc!$BL$95=0,"",Calc!$BL$95)</f>
        <v/>
      </c>
      <c r="CO29" s="31">
        <f>IF(Calc!$BL$96=0,"",Calc!$BL$96)</f>
        <v/>
      </c>
      <c r="CP29" s="31">
        <f>IF(Calc!$BL$97=0,"",Calc!$BL$97)</f>
        <v/>
      </c>
      <c r="CQ29" s="31">
        <f>IF(Calc!$BL$98=0,"",Calc!$BL$98)</f>
        <v/>
      </c>
      <c r="CR29" s="31">
        <f>IF(Calc!$BL$99=0,"",Calc!$BL$99)</f>
        <v/>
      </c>
      <c r="CS29" s="31">
        <f>IF(Calc!$BL$100=0,"",Calc!$BL$100)</f>
        <v/>
      </c>
      <c r="CT29" s="31">
        <f>IF(Calc!$BL$101=0,"",Calc!$BL$101)</f>
        <v/>
      </c>
      <c r="CU29" s="31">
        <f>IF(Calc!$BL$102=0,"",Calc!$BL$102)</f>
        <v/>
      </c>
      <c r="CV29" s="31">
        <f>IF(Calc!$BL$103=0,"",Calc!$BL$103)</f>
        <v/>
      </c>
      <c r="CW29" s="31">
        <f>IF(Calc!$BL$104=0,"",Calc!$BL$104)</f>
        <v/>
      </c>
      <c r="CX29" s="31">
        <f>IF(Calc!$BL$105=0,"",Calc!$BL$105)</f>
        <v/>
      </c>
      <c r="CY29" s="31">
        <f>IF(Calc!$BL$106=0,"",Calc!$BL$106)</f>
        <v/>
      </c>
      <c r="CZ29" s="31">
        <f>IF(Calc!$BL$107=0,"",Calc!$BL$107)</f>
        <v/>
      </c>
      <c r="DA29" s="31">
        <f>IF(Calc!$BL$108=0,"",Calc!$BL$108)</f>
        <v/>
      </c>
      <c r="DB29" s="31">
        <f>IF(Calc!$BL$109=0,"",Calc!$BL$109)</f>
        <v/>
      </c>
      <c r="DC29" s="31">
        <f>IF(Calc!$BL$110=0,"",Calc!$BL$110)</f>
        <v/>
      </c>
      <c r="DD29" s="31">
        <f>IF(Calc!$BL$111=0,"",Calc!$BL$111)</f>
        <v/>
      </c>
      <c r="DE29" s="31">
        <f>IF(Calc!$BL$112=0,"",Calc!$BL$112)</f>
        <v/>
      </c>
      <c r="DF29" s="31">
        <f>IF(Calc!$BL$113=0,"",Calc!$BL$113)</f>
        <v/>
      </c>
      <c r="DG29" s="31">
        <f>IF(Calc!$BL$114=0,"",Calc!$BL$114)</f>
        <v/>
      </c>
      <c r="DH29" s="31">
        <f>IF(Calc!$BL$115=0,"",Calc!$BL$115)</f>
        <v/>
      </c>
      <c r="DI29" s="31">
        <f>IF(Calc!$BL$116=0,"",Calc!$BL$116)</f>
        <v/>
      </c>
      <c r="DJ29" s="31">
        <f>IF(Calc!$BL$117=0,"",Calc!$BL$117)</f>
        <v/>
      </c>
      <c r="DK29" s="31">
        <f>IF(Calc!$BL$118=0,"",Calc!$BL$118)</f>
        <v/>
      </c>
      <c r="DL29" s="31">
        <f>IF(Calc!$BL$119=0,"",Calc!$BL$119)</f>
        <v/>
      </c>
      <c r="DM29" s="31">
        <f>IF(Calc!$BL$120=0,"",Calc!$BL$120)</f>
        <v/>
      </c>
      <c r="DN29" s="31">
        <f>IF(Calc!$BL$121=0,"",Calc!$BL$121)</f>
        <v/>
      </c>
      <c r="DO29" s="31">
        <f>IF(Calc!$BL$122=0,"",Calc!$BL$122)</f>
        <v/>
      </c>
      <c r="DP29" s="31">
        <f>IF(Calc!$BL$123=0,"",Calc!$BL$123)</f>
        <v/>
      </c>
      <c r="DQ29" s="31">
        <f>IF(Calc!$BL$124=0,"",Calc!$BL$124)</f>
        <v/>
      </c>
      <c r="DR29" s="31">
        <f>IF(Calc!$BL$125=0,"",Calc!$BL$125)</f>
        <v/>
      </c>
      <c r="DS29" s="31">
        <f>IF(Calc!$BL$126=0,"",Calc!$BL$126)</f>
        <v/>
      </c>
      <c r="DT29" s="31">
        <f>IF(Calc!$BL$127=0,"",Calc!$BL$127)</f>
        <v/>
      </c>
      <c r="DU29" s="31">
        <f>IF(Calc!$BL$128=0,"",Calc!$BL$128)</f>
        <v/>
      </c>
      <c r="DV29" s="31">
        <f>IF(Calc!$BL$129=0,"",Calc!$BL$129)</f>
        <v/>
      </c>
      <c r="DW29" s="31">
        <f>IF(Calc!$BL$130=0,"",Calc!$BL$130)</f>
        <v/>
      </c>
      <c r="DX29" s="31">
        <f>IF(Calc!$BL$131=0,"",Calc!$BL$131)</f>
        <v/>
      </c>
      <c r="DY29" s="31">
        <f>IF(Calc!$BL$132=0,"",Calc!$BL$132)</f>
        <v/>
      </c>
      <c r="DZ29" s="31">
        <f>IF(Calc!$BL$133=0,"",Calc!$BL$133)</f>
        <v/>
      </c>
      <c r="EA29" s="31">
        <f>IF(Calc!$BL$134=0,"",Calc!$BL$134)</f>
        <v/>
      </c>
      <c r="EB29" s="31">
        <f>IF(Calc!$BL$135=0,"",Calc!$BL$135)</f>
        <v/>
      </c>
      <c r="EC29" s="31">
        <f>IF(Calc!$BL$136=0,"",Calc!$BL$136)</f>
        <v/>
      </c>
      <c r="ED29" s="31">
        <f>IF(Calc!$BL$137=0,"",Calc!$BL$137)</f>
        <v/>
      </c>
      <c r="EE29" s="31">
        <f>IF(Calc!$BL$138=0,"",Calc!$BL$138)</f>
        <v/>
      </c>
      <c r="EF29" s="31">
        <f>IF(Calc!$BL$139=0,"",Calc!$BL$139)</f>
        <v/>
      </c>
      <c r="EG29" s="31">
        <f>IF(Calc!$BL$140=0,"",Calc!$BL$140)</f>
        <v/>
      </c>
      <c r="EH29" s="31">
        <f>IF(Calc!$BL$141=0,"",Calc!$BL$141)</f>
        <v/>
      </c>
      <c r="EI29" s="31">
        <f>IF(Calc!$BL$142=0,"",Calc!$BL$142)</f>
        <v/>
      </c>
      <c r="EJ29" s="31">
        <f>IF(Calc!$BL$143=0,"",Calc!$BL$143)</f>
        <v/>
      </c>
      <c r="EK29" s="31">
        <f>IF(Calc!$BL$144=0,"",Calc!$BL$144)</f>
        <v/>
      </c>
      <c r="EL29" s="31">
        <f>IF(Calc!$BL$145=0,"",Calc!$BL$145)</f>
        <v/>
      </c>
      <c r="EM29" s="31">
        <f>IF(Calc!$BL$146=0,"",Calc!$BL$146)</f>
        <v/>
      </c>
      <c r="EN29" s="31">
        <f>IF(Calc!$BL$147=0,"",Calc!$BL$147)</f>
        <v/>
      </c>
      <c r="EO29" s="31">
        <f>IF(Calc!$BL$148=0,"",Calc!$BL$148)</f>
        <v/>
      </c>
      <c r="EP29" s="31">
        <f>IF(Calc!$BL$149=0,"",Calc!$BL$149)</f>
        <v/>
      </c>
      <c r="EQ29" s="31">
        <f>IF(Calc!$BL$150=0,"",Calc!$BL$150)</f>
        <v/>
      </c>
      <c r="ER29" s="31">
        <f>IF(Calc!$BL$151=0,"",Calc!$BL$151)</f>
        <v/>
      </c>
      <c r="ES29" s="31">
        <f>IF(Calc!$BL$152=0,"",Calc!$BL$152)</f>
        <v/>
      </c>
      <c r="ET29" s="31">
        <f>IF(Calc!$BL$153=0,"",Calc!$BL$153)</f>
        <v/>
      </c>
      <c r="EU29" s="31">
        <f>IF(Calc!$BL$154=0,"",Calc!$BL$154)</f>
        <v/>
      </c>
      <c r="EV29" s="31">
        <f>IF(Calc!$BL$155=0,"",Calc!$BL$155)</f>
        <v/>
      </c>
      <c r="EW29" s="31">
        <f>IF(Calc!$BL$156=0,"",Calc!$BL$156)</f>
        <v/>
      </c>
      <c r="EX29" s="31">
        <f>IF(Calc!$BL$157=0,"",Calc!$BL$157)</f>
        <v/>
      </c>
      <c r="EY29" s="31">
        <f>IF(Calc!$BL$158=0,"",Calc!$BL$158)</f>
        <v/>
      </c>
      <c r="EZ29" s="31">
        <f>IF(Calc!$BL$159=0,"",Calc!$BL$159)</f>
        <v/>
      </c>
      <c r="FA29" s="31">
        <f>IF(Calc!$BL$160=0,"",Calc!$BL$160)</f>
        <v/>
      </c>
      <c r="FB29" s="31">
        <f>IF(Calc!$BL$161=0,"",Calc!$BL$161)</f>
        <v/>
      </c>
      <c r="FC29" s="31">
        <f>IF(Calc!$BL$162=0,"",Calc!$BL$162)</f>
        <v/>
      </c>
      <c r="FD29" s="31">
        <f>IF(Calc!$BL$163=0,"",Calc!$BL$163)</f>
        <v/>
      </c>
      <c r="FE29" s="31">
        <f>IF(Calc!$BL$164=0,"",Calc!$BL$164)</f>
        <v/>
      </c>
      <c r="FF29" s="31">
        <f>IF(Calc!$BL$165=0,"",Calc!$BL$165)</f>
        <v/>
      </c>
      <c r="FG29" s="31">
        <f>IF(Calc!$BL$166=0,"",Calc!$BL$166)</f>
        <v/>
      </c>
      <c r="FH29" s="31">
        <f>IF(Calc!$BL$167=0,"",Calc!$BL$167)</f>
        <v/>
      </c>
      <c r="FI29" s="31">
        <f>IF(Calc!$BL$168=0,"",Calc!$BL$168)</f>
        <v/>
      </c>
      <c r="FJ29" s="31">
        <f>IF(Calc!$BL$169=0,"",Calc!$BL$169)</f>
        <v/>
      </c>
      <c r="FK29" s="31">
        <f>IF(Calc!$BL$170=0,"",Calc!$BL$170)</f>
        <v/>
      </c>
      <c r="FL29" s="31">
        <f>IF(Calc!$BL$171=0,"",Calc!$BL$171)</f>
        <v/>
      </c>
      <c r="FM29" s="31">
        <f>IF(Calc!$BL$172=0,"",Calc!$BL$172)</f>
        <v/>
      </c>
      <c r="FN29" s="31">
        <f>IF(Calc!$BL$173=0,"",Calc!$BL$173)</f>
        <v/>
      </c>
      <c r="FO29" s="31">
        <f>IF(Calc!$BL$174=0,"",Calc!$BL$174)</f>
        <v/>
      </c>
      <c r="FP29" s="31">
        <f>IF(Calc!$BL$175=0,"",Calc!$BL$175)</f>
        <v/>
      </c>
      <c r="FQ29" s="31">
        <f>IF(Calc!$BL$176=0,"",Calc!$BL$176)</f>
        <v/>
      </c>
      <c r="FR29" s="31">
        <f>IF(Calc!$BL$177=0,"",Calc!$BL$177)</f>
        <v/>
      </c>
      <c r="FS29" s="31">
        <f>IF(Calc!$BL$178=0,"",Calc!$BL$178)</f>
        <v/>
      </c>
      <c r="FT29" s="31">
        <f>IF(Calc!$BL$179=0,"",Calc!$BL$179)</f>
        <v/>
      </c>
      <c r="FU29" s="31">
        <f>IF(Calc!$BL$180=0,"",Calc!$BL$180)</f>
        <v/>
      </c>
      <c r="FV29" s="31">
        <f>IF(Calc!$BL$181=0,"",Calc!$BL$181)</f>
        <v/>
      </c>
      <c r="FW29" s="31">
        <f>IF(Calc!$BL$182=0,"",Calc!$BL$182)</f>
        <v/>
      </c>
      <c r="FX29" s="31">
        <f>IF(Calc!$BL$183=0,"",Calc!$BL$183)</f>
        <v/>
      </c>
    </row>
    <row r="30">
      <c r="A30" s="15">
        <f>IF(Settings!$A$53="","(unused)",Settings!$A$53)</f>
        <v/>
      </c>
      <c r="B30" s="26">
        <f>IF(Settings!$A$53="","",IF(AND(Settings!$C$53&lt;&gt;"",Settings!$D$53&lt;&gt;""),"grey = automatic ("&amp;TEXT(Settings!$C$53,"$#,##0.00")&amp;" "&amp;LOWER(Settings!$D$53)&amp;")","type the month’s total"))</f>
        <v/>
      </c>
      <c r="C30" s="31">
        <f>IF(Calc!$BM$6=0,"",Calc!$BM$6)</f>
        <v/>
      </c>
      <c r="D30" s="31">
        <f>IF(Calc!$BM$7=0,"",Calc!$BM$7)</f>
        <v/>
      </c>
      <c r="E30" s="31">
        <f>IF(Calc!$BM$8=0,"",Calc!$BM$8)</f>
        <v/>
      </c>
      <c r="F30" s="31">
        <f>IF(Calc!$BM$9=0,"",Calc!$BM$9)</f>
        <v/>
      </c>
      <c r="G30" s="31">
        <f>IF(Calc!$BM$10=0,"",Calc!$BM$10)</f>
        <v/>
      </c>
      <c r="H30" s="31">
        <f>IF(Calc!$BM$11=0,"",Calc!$BM$11)</f>
        <v/>
      </c>
      <c r="I30" s="31">
        <f>IF(Calc!$BM$12=0,"",Calc!$BM$12)</f>
        <v/>
      </c>
      <c r="J30" s="31">
        <f>IF(Calc!$BM$13=0,"",Calc!$BM$13)</f>
        <v/>
      </c>
      <c r="K30" s="31">
        <f>IF(Calc!$BM$14=0,"",Calc!$BM$14)</f>
        <v/>
      </c>
      <c r="L30" s="31">
        <f>IF(Calc!$BM$15=0,"",Calc!$BM$15)</f>
        <v/>
      </c>
      <c r="M30" s="31">
        <f>IF(Calc!$BM$16=0,"",Calc!$BM$16)</f>
        <v/>
      </c>
      <c r="N30" s="31">
        <f>IF(Calc!$BM$17=0,"",Calc!$BM$17)</f>
        <v/>
      </c>
      <c r="O30" s="31">
        <f>IF(Calc!$BM$18=0,"",Calc!$BM$18)</f>
        <v/>
      </c>
      <c r="P30" s="31">
        <f>IF(Calc!$BM$19=0,"",Calc!$BM$19)</f>
        <v/>
      </c>
      <c r="Q30" s="31">
        <f>IF(Calc!$BM$20=0,"",Calc!$BM$20)</f>
        <v/>
      </c>
      <c r="R30" s="31">
        <f>IF(Calc!$BM$21=0,"",Calc!$BM$21)</f>
        <v/>
      </c>
      <c r="S30" s="31">
        <f>IF(Calc!$BM$22=0,"",Calc!$BM$22)</f>
        <v/>
      </c>
      <c r="T30" s="31">
        <f>IF(Calc!$BM$23=0,"",Calc!$BM$23)</f>
        <v/>
      </c>
      <c r="U30" s="31">
        <f>IF(Calc!$BM$24=0,"",Calc!$BM$24)</f>
        <v/>
      </c>
      <c r="V30" s="31">
        <f>IF(Calc!$BM$25=0,"",Calc!$BM$25)</f>
        <v/>
      </c>
      <c r="W30" s="31">
        <f>IF(Calc!$BM$26=0,"",Calc!$BM$26)</f>
        <v/>
      </c>
      <c r="X30" s="31">
        <f>IF(Calc!$BM$27=0,"",Calc!$BM$27)</f>
        <v/>
      </c>
      <c r="Y30" s="31">
        <f>IF(Calc!$BM$28=0,"",Calc!$BM$28)</f>
        <v/>
      </c>
      <c r="Z30" s="31">
        <f>IF(Calc!$BM$29=0,"",Calc!$BM$29)</f>
        <v/>
      </c>
      <c r="AA30" s="31">
        <f>IF(Calc!$BM$30=0,"",Calc!$BM$30)</f>
        <v/>
      </c>
      <c r="AB30" s="31">
        <f>IF(Calc!$BM$31=0,"",Calc!$BM$31)</f>
        <v/>
      </c>
      <c r="AC30" s="31">
        <f>IF(Calc!$BM$32=0,"",Calc!$BM$32)</f>
        <v/>
      </c>
      <c r="AD30" s="31">
        <f>IF(Calc!$BM$33=0,"",Calc!$BM$33)</f>
        <v/>
      </c>
      <c r="AE30" s="31">
        <f>IF(Calc!$BM$34=0,"",Calc!$BM$34)</f>
        <v/>
      </c>
      <c r="AF30" s="31">
        <f>IF(Calc!$BM$35=0,"",Calc!$BM$35)</f>
        <v/>
      </c>
      <c r="AG30" s="31">
        <f>IF(Calc!$BM$36=0,"",Calc!$BM$36)</f>
        <v/>
      </c>
      <c r="AH30" s="31">
        <f>IF(Calc!$BM$37=0,"",Calc!$BM$37)</f>
        <v/>
      </c>
      <c r="AI30" s="31">
        <f>IF(Calc!$BM$38=0,"",Calc!$BM$38)</f>
        <v/>
      </c>
      <c r="AJ30" s="31">
        <f>IF(Calc!$BM$39=0,"",Calc!$BM$39)</f>
        <v/>
      </c>
      <c r="AK30" s="31">
        <f>IF(Calc!$BM$40=0,"",Calc!$BM$40)</f>
        <v/>
      </c>
      <c r="AL30" s="31">
        <f>IF(Calc!$BM$41=0,"",Calc!$BM$41)</f>
        <v/>
      </c>
      <c r="AM30" s="31">
        <f>IF(Calc!$BM$42=0,"",Calc!$BM$42)</f>
        <v/>
      </c>
      <c r="AN30" s="31">
        <f>IF(Calc!$BM$43=0,"",Calc!$BM$43)</f>
        <v/>
      </c>
      <c r="AO30" s="31">
        <f>IF(Calc!$BM$44=0,"",Calc!$BM$44)</f>
        <v/>
      </c>
      <c r="AP30" s="31">
        <f>IF(Calc!$BM$45=0,"",Calc!$BM$45)</f>
        <v/>
      </c>
      <c r="AQ30" s="31">
        <f>IF(Calc!$BM$46=0,"",Calc!$BM$46)</f>
        <v/>
      </c>
      <c r="AR30" s="31">
        <f>IF(Calc!$BM$47=0,"",Calc!$BM$47)</f>
        <v/>
      </c>
      <c r="AS30" s="31">
        <f>IF(Calc!$BM$48=0,"",Calc!$BM$48)</f>
        <v/>
      </c>
      <c r="AT30" s="31">
        <f>IF(Calc!$BM$49=0,"",Calc!$BM$49)</f>
        <v/>
      </c>
      <c r="AU30" s="31">
        <f>IF(Calc!$BM$50=0,"",Calc!$BM$50)</f>
        <v/>
      </c>
      <c r="AV30" s="31">
        <f>IF(Calc!$BM$51=0,"",Calc!$BM$51)</f>
        <v/>
      </c>
      <c r="AW30" s="31">
        <f>IF(Calc!$BM$52=0,"",Calc!$BM$52)</f>
        <v/>
      </c>
      <c r="AX30" s="31">
        <f>IF(Calc!$BM$53=0,"",Calc!$BM$53)</f>
        <v/>
      </c>
      <c r="AY30" s="31">
        <f>IF(Calc!$BM$54=0,"",Calc!$BM$54)</f>
        <v/>
      </c>
      <c r="AZ30" s="31">
        <f>IF(Calc!$BM$55=0,"",Calc!$BM$55)</f>
        <v/>
      </c>
      <c r="BA30" s="31">
        <f>IF(Calc!$BM$56=0,"",Calc!$BM$56)</f>
        <v/>
      </c>
      <c r="BB30" s="31">
        <f>IF(Calc!$BM$57=0,"",Calc!$BM$57)</f>
        <v/>
      </c>
      <c r="BC30" s="31">
        <f>IF(Calc!$BM$58=0,"",Calc!$BM$58)</f>
        <v/>
      </c>
      <c r="BD30" s="31">
        <f>IF(Calc!$BM$59=0,"",Calc!$BM$59)</f>
        <v/>
      </c>
      <c r="BE30" s="31">
        <f>IF(Calc!$BM$60=0,"",Calc!$BM$60)</f>
        <v/>
      </c>
      <c r="BF30" s="31">
        <f>IF(Calc!$BM$61=0,"",Calc!$BM$61)</f>
        <v/>
      </c>
      <c r="BG30" s="31">
        <f>IF(Calc!$BM$62=0,"",Calc!$BM$62)</f>
        <v/>
      </c>
      <c r="BH30" s="31">
        <f>IF(Calc!$BM$63=0,"",Calc!$BM$63)</f>
        <v/>
      </c>
      <c r="BI30" s="31">
        <f>IF(Calc!$BM$64=0,"",Calc!$BM$64)</f>
        <v/>
      </c>
      <c r="BJ30" s="31">
        <f>IF(Calc!$BM$65=0,"",Calc!$BM$65)</f>
        <v/>
      </c>
      <c r="BK30" s="31">
        <f>IF(Calc!$BM$66=0,"",Calc!$BM$66)</f>
        <v/>
      </c>
      <c r="BL30" s="31">
        <f>IF(Calc!$BM$67=0,"",Calc!$BM$67)</f>
        <v/>
      </c>
      <c r="BM30" s="31">
        <f>IF(Calc!$BM$68=0,"",Calc!$BM$68)</f>
        <v/>
      </c>
      <c r="BN30" s="31">
        <f>IF(Calc!$BM$69=0,"",Calc!$BM$69)</f>
        <v/>
      </c>
      <c r="BO30" s="31">
        <f>IF(Calc!$BM$70=0,"",Calc!$BM$70)</f>
        <v/>
      </c>
      <c r="BP30" s="31">
        <f>IF(Calc!$BM$71=0,"",Calc!$BM$71)</f>
        <v/>
      </c>
      <c r="BQ30" s="31">
        <f>IF(Calc!$BM$72=0,"",Calc!$BM$72)</f>
        <v/>
      </c>
      <c r="BR30" s="31">
        <f>IF(Calc!$BM$73=0,"",Calc!$BM$73)</f>
        <v/>
      </c>
      <c r="BS30" s="31">
        <f>IF(Calc!$BM$74=0,"",Calc!$BM$74)</f>
        <v/>
      </c>
      <c r="BT30" s="31">
        <f>IF(Calc!$BM$75=0,"",Calc!$BM$75)</f>
        <v/>
      </c>
      <c r="BU30" s="31">
        <f>IF(Calc!$BM$76=0,"",Calc!$BM$76)</f>
        <v/>
      </c>
      <c r="BV30" s="31">
        <f>IF(Calc!$BM$77=0,"",Calc!$BM$77)</f>
        <v/>
      </c>
      <c r="BW30" s="31">
        <f>IF(Calc!$BM$78=0,"",Calc!$BM$78)</f>
        <v/>
      </c>
      <c r="BX30" s="31">
        <f>IF(Calc!$BM$79=0,"",Calc!$BM$79)</f>
        <v/>
      </c>
      <c r="BY30" s="31">
        <f>IF(Calc!$BM$80=0,"",Calc!$BM$80)</f>
        <v/>
      </c>
      <c r="BZ30" s="31">
        <f>IF(Calc!$BM$81=0,"",Calc!$BM$81)</f>
        <v/>
      </c>
      <c r="CA30" s="31">
        <f>IF(Calc!$BM$82=0,"",Calc!$BM$82)</f>
        <v/>
      </c>
      <c r="CB30" s="31">
        <f>IF(Calc!$BM$83=0,"",Calc!$BM$83)</f>
        <v/>
      </c>
      <c r="CC30" s="31">
        <f>IF(Calc!$BM$84=0,"",Calc!$BM$84)</f>
        <v/>
      </c>
      <c r="CD30" s="31">
        <f>IF(Calc!$BM$85=0,"",Calc!$BM$85)</f>
        <v/>
      </c>
      <c r="CE30" s="31">
        <f>IF(Calc!$BM$86=0,"",Calc!$BM$86)</f>
        <v/>
      </c>
      <c r="CF30" s="31">
        <f>IF(Calc!$BM$87=0,"",Calc!$BM$87)</f>
        <v/>
      </c>
      <c r="CG30" s="31">
        <f>IF(Calc!$BM$88=0,"",Calc!$BM$88)</f>
        <v/>
      </c>
      <c r="CH30" s="31">
        <f>IF(Calc!$BM$89=0,"",Calc!$BM$89)</f>
        <v/>
      </c>
      <c r="CI30" s="31">
        <f>IF(Calc!$BM$90=0,"",Calc!$BM$90)</f>
        <v/>
      </c>
      <c r="CJ30" s="31">
        <f>IF(Calc!$BM$91=0,"",Calc!$BM$91)</f>
        <v/>
      </c>
      <c r="CK30" s="31">
        <f>IF(Calc!$BM$92=0,"",Calc!$BM$92)</f>
        <v/>
      </c>
      <c r="CL30" s="31">
        <f>IF(Calc!$BM$93=0,"",Calc!$BM$93)</f>
        <v/>
      </c>
      <c r="CM30" s="31">
        <f>IF(Calc!$BM$94=0,"",Calc!$BM$94)</f>
        <v/>
      </c>
      <c r="CN30" s="31">
        <f>IF(Calc!$BM$95=0,"",Calc!$BM$95)</f>
        <v/>
      </c>
      <c r="CO30" s="31">
        <f>IF(Calc!$BM$96=0,"",Calc!$BM$96)</f>
        <v/>
      </c>
      <c r="CP30" s="31">
        <f>IF(Calc!$BM$97=0,"",Calc!$BM$97)</f>
        <v/>
      </c>
      <c r="CQ30" s="31">
        <f>IF(Calc!$BM$98=0,"",Calc!$BM$98)</f>
        <v/>
      </c>
      <c r="CR30" s="31">
        <f>IF(Calc!$BM$99=0,"",Calc!$BM$99)</f>
        <v/>
      </c>
      <c r="CS30" s="31">
        <f>IF(Calc!$BM$100=0,"",Calc!$BM$100)</f>
        <v/>
      </c>
      <c r="CT30" s="31">
        <f>IF(Calc!$BM$101=0,"",Calc!$BM$101)</f>
        <v/>
      </c>
      <c r="CU30" s="31">
        <f>IF(Calc!$BM$102=0,"",Calc!$BM$102)</f>
        <v/>
      </c>
      <c r="CV30" s="31">
        <f>IF(Calc!$BM$103=0,"",Calc!$BM$103)</f>
        <v/>
      </c>
      <c r="CW30" s="31">
        <f>IF(Calc!$BM$104=0,"",Calc!$BM$104)</f>
        <v/>
      </c>
      <c r="CX30" s="31">
        <f>IF(Calc!$BM$105=0,"",Calc!$BM$105)</f>
        <v/>
      </c>
      <c r="CY30" s="31">
        <f>IF(Calc!$BM$106=0,"",Calc!$BM$106)</f>
        <v/>
      </c>
      <c r="CZ30" s="31">
        <f>IF(Calc!$BM$107=0,"",Calc!$BM$107)</f>
        <v/>
      </c>
      <c r="DA30" s="31">
        <f>IF(Calc!$BM$108=0,"",Calc!$BM$108)</f>
        <v/>
      </c>
      <c r="DB30" s="31">
        <f>IF(Calc!$BM$109=0,"",Calc!$BM$109)</f>
        <v/>
      </c>
      <c r="DC30" s="31">
        <f>IF(Calc!$BM$110=0,"",Calc!$BM$110)</f>
        <v/>
      </c>
      <c r="DD30" s="31">
        <f>IF(Calc!$BM$111=0,"",Calc!$BM$111)</f>
        <v/>
      </c>
      <c r="DE30" s="31">
        <f>IF(Calc!$BM$112=0,"",Calc!$BM$112)</f>
        <v/>
      </c>
      <c r="DF30" s="31">
        <f>IF(Calc!$BM$113=0,"",Calc!$BM$113)</f>
        <v/>
      </c>
      <c r="DG30" s="31">
        <f>IF(Calc!$BM$114=0,"",Calc!$BM$114)</f>
        <v/>
      </c>
      <c r="DH30" s="31">
        <f>IF(Calc!$BM$115=0,"",Calc!$BM$115)</f>
        <v/>
      </c>
      <c r="DI30" s="31">
        <f>IF(Calc!$BM$116=0,"",Calc!$BM$116)</f>
        <v/>
      </c>
      <c r="DJ30" s="31">
        <f>IF(Calc!$BM$117=0,"",Calc!$BM$117)</f>
        <v/>
      </c>
      <c r="DK30" s="31">
        <f>IF(Calc!$BM$118=0,"",Calc!$BM$118)</f>
        <v/>
      </c>
      <c r="DL30" s="31">
        <f>IF(Calc!$BM$119=0,"",Calc!$BM$119)</f>
        <v/>
      </c>
      <c r="DM30" s="31">
        <f>IF(Calc!$BM$120=0,"",Calc!$BM$120)</f>
        <v/>
      </c>
      <c r="DN30" s="31">
        <f>IF(Calc!$BM$121=0,"",Calc!$BM$121)</f>
        <v/>
      </c>
      <c r="DO30" s="31">
        <f>IF(Calc!$BM$122=0,"",Calc!$BM$122)</f>
        <v/>
      </c>
      <c r="DP30" s="31">
        <f>IF(Calc!$BM$123=0,"",Calc!$BM$123)</f>
        <v/>
      </c>
      <c r="DQ30" s="31">
        <f>IF(Calc!$BM$124=0,"",Calc!$BM$124)</f>
        <v/>
      </c>
      <c r="DR30" s="31">
        <f>IF(Calc!$BM$125=0,"",Calc!$BM$125)</f>
        <v/>
      </c>
      <c r="DS30" s="31">
        <f>IF(Calc!$BM$126=0,"",Calc!$BM$126)</f>
        <v/>
      </c>
      <c r="DT30" s="31">
        <f>IF(Calc!$BM$127=0,"",Calc!$BM$127)</f>
        <v/>
      </c>
      <c r="DU30" s="31">
        <f>IF(Calc!$BM$128=0,"",Calc!$BM$128)</f>
        <v/>
      </c>
      <c r="DV30" s="31">
        <f>IF(Calc!$BM$129=0,"",Calc!$BM$129)</f>
        <v/>
      </c>
      <c r="DW30" s="31">
        <f>IF(Calc!$BM$130=0,"",Calc!$BM$130)</f>
        <v/>
      </c>
      <c r="DX30" s="31">
        <f>IF(Calc!$BM$131=0,"",Calc!$BM$131)</f>
        <v/>
      </c>
      <c r="DY30" s="31">
        <f>IF(Calc!$BM$132=0,"",Calc!$BM$132)</f>
        <v/>
      </c>
      <c r="DZ30" s="31">
        <f>IF(Calc!$BM$133=0,"",Calc!$BM$133)</f>
        <v/>
      </c>
      <c r="EA30" s="31">
        <f>IF(Calc!$BM$134=0,"",Calc!$BM$134)</f>
        <v/>
      </c>
      <c r="EB30" s="31">
        <f>IF(Calc!$BM$135=0,"",Calc!$BM$135)</f>
        <v/>
      </c>
      <c r="EC30" s="31">
        <f>IF(Calc!$BM$136=0,"",Calc!$BM$136)</f>
        <v/>
      </c>
      <c r="ED30" s="31">
        <f>IF(Calc!$BM$137=0,"",Calc!$BM$137)</f>
        <v/>
      </c>
      <c r="EE30" s="31">
        <f>IF(Calc!$BM$138=0,"",Calc!$BM$138)</f>
        <v/>
      </c>
      <c r="EF30" s="31">
        <f>IF(Calc!$BM$139=0,"",Calc!$BM$139)</f>
        <v/>
      </c>
      <c r="EG30" s="31">
        <f>IF(Calc!$BM$140=0,"",Calc!$BM$140)</f>
        <v/>
      </c>
      <c r="EH30" s="31">
        <f>IF(Calc!$BM$141=0,"",Calc!$BM$141)</f>
        <v/>
      </c>
      <c r="EI30" s="31">
        <f>IF(Calc!$BM$142=0,"",Calc!$BM$142)</f>
        <v/>
      </c>
      <c r="EJ30" s="31">
        <f>IF(Calc!$BM$143=0,"",Calc!$BM$143)</f>
        <v/>
      </c>
      <c r="EK30" s="31">
        <f>IF(Calc!$BM$144=0,"",Calc!$BM$144)</f>
        <v/>
      </c>
      <c r="EL30" s="31">
        <f>IF(Calc!$BM$145=0,"",Calc!$BM$145)</f>
        <v/>
      </c>
      <c r="EM30" s="31">
        <f>IF(Calc!$BM$146=0,"",Calc!$BM$146)</f>
        <v/>
      </c>
      <c r="EN30" s="31">
        <f>IF(Calc!$BM$147=0,"",Calc!$BM$147)</f>
        <v/>
      </c>
      <c r="EO30" s="31">
        <f>IF(Calc!$BM$148=0,"",Calc!$BM$148)</f>
        <v/>
      </c>
      <c r="EP30" s="31">
        <f>IF(Calc!$BM$149=0,"",Calc!$BM$149)</f>
        <v/>
      </c>
      <c r="EQ30" s="31">
        <f>IF(Calc!$BM$150=0,"",Calc!$BM$150)</f>
        <v/>
      </c>
      <c r="ER30" s="31">
        <f>IF(Calc!$BM$151=0,"",Calc!$BM$151)</f>
        <v/>
      </c>
      <c r="ES30" s="31">
        <f>IF(Calc!$BM$152=0,"",Calc!$BM$152)</f>
        <v/>
      </c>
      <c r="ET30" s="31">
        <f>IF(Calc!$BM$153=0,"",Calc!$BM$153)</f>
        <v/>
      </c>
      <c r="EU30" s="31">
        <f>IF(Calc!$BM$154=0,"",Calc!$BM$154)</f>
        <v/>
      </c>
      <c r="EV30" s="31">
        <f>IF(Calc!$BM$155=0,"",Calc!$BM$155)</f>
        <v/>
      </c>
      <c r="EW30" s="31">
        <f>IF(Calc!$BM$156=0,"",Calc!$BM$156)</f>
        <v/>
      </c>
      <c r="EX30" s="31">
        <f>IF(Calc!$BM$157=0,"",Calc!$BM$157)</f>
        <v/>
      </c>
      <c r="EY30" s="31">
        <f>IF(Calc!$BM$158=0,"",Calc!$BM$158)</f>
        <v/>
      </c>
      <c r="EZ30" s="31">
        <f>IF(Calc!$BM$159=0,"",Calc!$BM$159)</f>
        <v/>
      </c>
      <c r="FA30" s="31">
        <f>IF(Calc!$BM$160=0,"",Calc!$BM$160)</f>
        <v/>
      </c>
      <c r="FB30" s="31">
        <f>IF(Calc!$BM$161=0,"",Calc!$BM$161)</f>
        <v/>
      </c>
      <c r="FC30" s="31">
        <f>IF(Calc!$BM$162=0,"",Calc!$BM$162)</f>
        <v/>
      </c>
      <c r="FD30" s="31">
        <f>IF(Calc!$BM$163=0,"",Calc!$BM$163)</f>
        <v/>
      </c>
      <c r="FE30" s="31">
        <f>IF(Calc!$BM$164=0,"",Calc!$BM$164)</f>
        <v/>
      </c>
      <c r="FF30" s="31">
        <f>IF(Calc!$BM$165=0,"",Calc!$BM$165)</f>
        <v/>
      </c>
      <c r="FG30" s="31">
        <f>IF(Calc!$BM$166=0,"",Calc!$BM$166)</f>
        <v/>
      </c>
      <c r="FH30" s="31">
        <f>IF(Calc!$BM$167=0,"",Calc!$BM$167)</f>
        <v/>
      </c>
      <c r="FI30" s="31">
        <f>IF(Calc!$BM$168=0,"",Calc!$BM$168)</f>
        <v/>
      </c>
      <c r="FJ30" s="31">
        <f>IF(Calc!$BM$169=0,"",Calc!$BM$169)</f>
        <v/>
      </c>
      <c r="FK30" s="31">
        <f>IF(Calc!$BM$170=0,"",Calc!$BM$170)</f>
        <v/>
      </c>
      <c r="FL30" s="31">
        <f>IF(Calc!$BM$171=0,"",Calc!$BM$171)</f>
        <v/>
      </c>
      <c r="FM30" s="31">
        <f>IF(Calc!$BM$172=0,"",Calc!$BM$172)</f>
        <v/>
      </c>
      <c r="FN30" s="31">
        <f>IF(Calc!$BM$173=0,"",Calc!$BM$173)</f>
        <v/>
      </c>
      <c r="FO30" s="31">
        <f>IF(Calc!$BM$174=0,"",Calc!$BM$174)</f>
        <v/>
      </c>
      <c r="FP30" s="31">
        <f>IF(Calc!$BM$175=0,"",Calc!$BM$175)</f>
        <v/>
      </c>
      <c r="FQ30" s="31">
        <f>IF(Calc!$BM$176=0,"",Calc!$BM$176)</f>
        <v/>
      </c>
      <c r="FR30" s="31">
        <f>IF(Calc!$BM$177=0,"",Calc!$BM$177)</f>
        <v/>
      </c>
      <c r="FS30" s="31">
        <f>IF(Calc!$BM$178=0,"",Calc!$BM$178)</f>
        <v/>
      </c>
      <c r="FT30" s="31">
        <f>IF(Calc!$BM$179=0,"",Calc!$BM$179)</f>
        <v/>
      </c>
      <c r="FU30" s="31">
        <f>IF(Calc!$BM$180=0,"",Calc!$BM$180)</f>
        <v/>
      </c>
      <c r="FV30" s="31">
        <f>IF(Calc!$BM$181=0,"",Calc!$BM$181)</f>
        <v/>
      </c>
      <c r="FW30" s="31">
        <f>IF(Calc!$BM$182=0,"",Calc!$BM$182)</f>
        <v/>
      </c>
      <c r="FX30" s="31">
        <f>IF(Calc!$BM$183=0,"",Calc!$BM$183)</f>
        <v/>
      </c>
    </row>
    <row r="31">
      <c r="A31" s="15">
        <f>IF(Settings!$A$54="","(unused)",Settings!$A$54)</f>
        <v/>
      </c>
      <c r="B31" s="26">
        <f>IF(Settings!$A$54="","",IF(AND(Settings!$C$54&lt;&gt;"",Settings!$D$54&lt;&gt;""),"grey = automatic ("&amp;TEXT(Settings!$C$54,"$#,##0.00")&amp;" "&amp;LOWER(Settings!$D$54)&amp;")","type the month’s total"))</f>
        <v/>
      </c>
      <c r="C31" s="31">
        <f>IF(Calc!$BN$6=0,"",Calc!$BN$6)</f>
        <v/>
      </c>
      <c r="D31" s="31">
        <f>IF(Calc!$BN$7=0,"",Calc!$BN$7)</f>
        <v/>
      </c>
      <c r="E31" s="31">
        <f>IF(Calc!$BN$8=0,"",Calc!$BN$8)</f>
        <v/>
      </c>
      <c r="F31" s="31">
        <f>IF(Calc!$BN$9=0,"",Calc!$BN$9)</f>
        <v/>
      </c>
      <c r="G31" s="31">
        <f>IF(Calc!$BN$10=0,"",Calc!$BN$10)</f>
        <v/>
      </c>
      <c r="H31" s="31">
        <f>IF(Calc!$BN$11=0,"",Calc!$BN$11)</f>
        <v/>
      </c>
      <c r="I31" s="31">
        <f>IF(Calc!$BN$12=0,"",Calc!$BN$12)</f>
        <v/>
      </c>
      <c r="J31" s="31">
        <f>IF(Calc!$BN$13=0,"",Calc!$BN$13)</f>
        <v/>
      </c>
      <c r="K31" s="31">
        <f>IF(Calc!$BN$14=0,"",Calc!$BN$14)</f>
        <v/>
      </c>
      <c r="L31" s="31">
        <f>IF(Calc!$BN$15=0,"",Calc!$BN$15)</f>
        <v/>
      </c>
      <c r="M31" s="31">
        <f>IF(Calc!$BN$16=0,"",Calc!$BN$16)</f>
        <v/>
      </c>
      <c r="N31" s="31">
        <f>IF(Calc!$BN$17=0,"",Calc!$BN$17)</f>
        <v/>
      </c>
      <c r="O31" s="31">
        <f>IF(Calc!$BN$18=0,"",Calc!$BN$18)</f>
        <v/>
      </c>
      <c r="P31" s="31">
        <f>IF(Calc!$BN$19=0,"",Calc!$BN$19)</f>
        <v/>
      </c>
      <c r="Q31" s="31">
        <f>IF(Calc!$BN$20=0,"",Calc!$BN$20)</f>
        <v/>
      </c>
      <c r="R31" s="31">
        <f>IF(Calc!$BN$21=0,"",Calc!$BN$21)</f>
        <v/>
      </c>
      <c r="S31" s="31">
        <f>IF(Calc!$BN$22=0,"",Calc!$BN$22)</f>
        <v/>
      </c>
      <c r="T31" s="31">
        <f>IF(Calc!$BN$23=0,"",Calc!$BN$23)</f>
        <v/>
      </c>
      <c r="U31" s="31">
        <f>IF(Calc!$BN$24=0,"",Calc!$BN$24)</f>
        <v/>
      </c>
      <c r="V31" s="31">
        <f>IF(Calc!$BN$25=0,"",Calc!$BN$25)</f>
        <v/>
      </c>
      <c r="W31" s="31">
        <f>IF(Calc!$BN$26=0,"",Calc!$BN$26)</f>
        <v/>
      </c>
      <c r="X31" s="31">
        <f>IF(Calc!$BN$27=0,"",Calc!$BN$27)</f>
        <v/>
      </c>
      <c r="Y31" s="31">
        <f>IF(Calc!$BN$28=0,"",Calc!$BN$28)</f>
        <v/>
      </c>
      <c r="Z31" s="31">
        <f>IF(Calc!$BN$29=0,"",Calc!$BN$29)</f>
        <v/>
      </c>
      <c r="AA31" s="31">
        <f>IF(Calc!$BN$30=0,"",Calc!$BN$30)</f>
        <v/>
      </c>
      <c r="AB31" s="31">
        <f>IF(Calc!$BN$31=0,"",Calc!$BN$31)</f>
        <v/>
      </c>
      <c r="AC31" s="31">
        <f>IF(Calc!$BN$32=0,"",Calc!$BN$32)</f>
        <v/>
      </c>
      <c r="AD31" s="31">
        <f>IF(Calc!$BN$33=0,"",Calc!$BN$33)</f>
        <v/>
      </c>
      <c r="AE31" s="31">
        <f>IF(Calc!$BN$34=0,"",Calc!$BN$34)</f>
        <v/>
      </c>
      <c r="AF31" s="31">
        <f>IF(Calc!$BN$35=0,"",Calc!$BN$35)</f>
        <v/>
      </c>
      <c r="AG31" s="31">
        <f>IF(Calc!$BN$36=0,"",Calc!$BN$36)</f>
        <v/>
      </c>
      <c r="AH31" s="31">
        <f>IF(Calc!$BN$37=0,"",Calc!$BN$37)</f>
        <v/>
      </c>
      <c r="AI31" s="31">
        <f>IF(Calc!$BN$38=0,"",Calc!$BN$38)</f>
        <v/>
      </c>
      <c r="AJ31" s="31">
        <f>IF(Calc!$BN$39=0,"",Calc!$BN$39)</f>
        <v/>
      </c>
      <c r="AK31" s="31">
        <f>IF(Calc!$BN$40=0,"",Calc!$BN$40)</f>
        <v/>
      </c>
      <c r="AL31" s="31">
        <f>IF(Calc!$BN$41=0,"",Calc!$BN$41)</f>
        <v/>
      </c>
      <c r="AM31" s="31">
        <f>IF(Calc!$BN$42=0,"",Calc!$BN$42)</f>
        <v/>
      </c>
      <c r="AN31" s="31">
        <f>IF(Calc!$BN$43=0,"",Calc!$BN$43)</f>
        <v/>
      </c>
      <c r="AO31" s="31">
        <f>IF(Calc!$BN$44=0,"",Calc!$BN$44)</f>
        <v/>
      </c>
      <c r="AP31" s="31">
        <f>IF(Calc!$BN$45=0,"",Calc!$BN$45)</f>
        <v/>
      </c>
      <c r="AQ31" s="31">
        <f>IF(Calc!$BN$46=0,"",Calc!$BN$46)</f>
        <v/>
      </c>
      <c r="AR31" s="31">
        <f>IF(Calc!$BN$47=0,"",Calc!$BN$47)</f>
        <v/>
      </c>
      <c r="AS31" s="31">
        <f>IF(Calc!$BN$48=0,"",Calc!$BN$48)</f>
        <v/>
      </c>
      <c r="AT31" s="31">
        <f>IF(Calc!$BN$49=0,"",Calc!$BN$49)</f>
        <v/>
      </c>
      <c r="AU31" s="31">
        <f>IF(Calc!$BN$50=0,"",Calc!$BN$50)</f>
        <v/>
      </c>
      <c r="AV31" s="31">
        <f>IF(Calc!$BN$51=0,"",Calc!$BN$51)</f>
        <v/>
      </c>
      <c r="AW31" s="31">
        <f>IF(Calc!$BN$52=0,"",Calc!$BN$52)</f>
        <v/>
      </c>
      <c r="AX31" s="31">
        <f>IF(Calc!$BN$53=0,"",Calc!$BN$53)</f>
        <v/>
      </c>
      <c r="AY31" s="31">
        <f>IF(Calc!$BN$54=0,"",Calc!$BN$54)</f>
        <v/>
      </c>
      <c r="AZ31" s="31">
        <f>IF(Calc!$BN$55=0,"",Calc!$BN$55)</f>
        <v/>
      </c>
      <c r="BA31" s="31">
        <f>IF(Calc!$BN$56=0,"",Calc!$BN$56)</f>
        <v/>
      </c>
      <c r="BB31" s="31">
        <f>IF(Calc!$BN$57=0,"",Calc!$BN$57)</f>
        <v/>
      </c>
      <c r="BC31" s="31">
        <f>IF(Calc!$BN$58=0,"",Calc!$BN$58)</f>
        <v/>
      </c>
      <c r="BD31" s="31">
        <f>IF(Calc!$BN$59=0,"",Calc!$BN$59)</f>
        <v/>
      </c>
      <c r="BE31" s="31">
        <f>IF(Calc!$BN$60=0,"",Calc!$BN$60)</f>
        <v/>
      </c>
      <c r="BF31" s="31">
        <f>IF(Calc!$BN$61=0,"",Calc!$BN$61)</f>
        <v/>
      </c>
      <c r="BG31" s="31">
        <f>IF(Calc!$BN$62=0,"",Calc!$BN$62)</f>
        <v/>
      </c>
      <c r="BH31" s="31">
        <f>IF(Calc!$BN$63=0,"",Calc!$BN$63)</f>
        <v/>
      </c>
      <c r="BI31" s="31">
        <f>IF(Calc!$BN$64=0,"",Calc!$BN$64)</f>
        <v/>
      </c>
      <c r="BJ31" s="31">
        <f>IF(Calc!$BN$65=0,"",Calc!$BN$65)</f>
        <v/>
      </c>
      <c r="BK31" s="31">
        <f>IF(Calc!$BN$66=0,"",Calc!$BN$66)</f>
        <v/>
      </c>
      <c r="BL31" s="31">
        <f>IF(Calc!$BN$67=0,"",Calc!$BN$67)</f>
        <v/>
      </c>
      <c r="BM31" s="31">
        <f>IF(Calc!$BN$68=0,"",Calc!$BN$68)</f>
        <v/>
      </c>
      <c r="BN31" s="31">
        <f>IF(Calc!$BN$69=0,"",Calc!$BN$69)</f>
        <v/>
      </c>
      <c r="BO31" s="31">
        <f>IF(Calc!$BN$70=0,"",Calc!$BN$70)</f>
        <v/>
      </c>
      <c r="BP31" s="31">
        <f>IF(Calc!$BN$71=0,"",Calc!$BN$71)</f>
        <v/>
      </c>
      <c r="BQ31" s="31">
        <f>IF(Calc!$BN$72=0,"",Calc!$BN$72)</f>
        <v/>
      </c>
      <c r="BR31" s="31">
        <f>IF(Calc!$BN$73=0,"",Calc!$BN$73)</f>
        <v/>
      </c>
      <c r="BS31" s="31">
        <f>IF(Calc!$BN$74=0,"",Calc!$BN$74)</f>
        <v/>
      </c>
      <c r="BT31" s="31">
        <f>IF(Calc!$BN$75=0,"",Calc!$BN$75)</f>
        <v/>
      </c>
      <c r="BU31" s="31">
        <f>IF(Calc!$BN$76=0,"",Calc!$BN$76)</f>
        <v/>
      </c>
      <c r="BV31" s="31">
        <f>IF(Calc!$BN$77=0,"",Calc!$BN$77)</f>
        <v/>
      </c>
      <c r="BW31" s="31">
        <f>IF(Calc!$BN$78=0,"",Calc!$BN$78)</f>
        <v/>
      </c>
      <c r="BX31" s="31">
        <f>IF(Calc!$BN$79=0,"",Calc!$BN$79)</f>
        <v/>
      </c>
      <c r="BY31" s="31">
        <f>IF(Calc!$BN$80=0,"",Calc!$BN$80)</f>
        <v/>
      </c>
      <c r="BZ31" s="31">
        <f>IF(Calc!$BN$81=0,"",Calc!$BN$81)</f>
        <v/>
      </c>
      <c r="CA31" s="31">
        <f>IF(Calc!$BN$82=0,"",Calc!$BN$82)</f>
        <v/>
      </c>
      <c r="CB31" s="31">
        <f>IF(Calc!$BN$83=0,"",Calc!$BN$83)</f>
        <v/>
      </c>
      <c r="CC31" s="31">
        <f>IF(Calc!$BN$84=0,"",Calc!$BN$84)</f>
        <v/>
      </c>
      <c r="CD31" s="31">
        <f>IF(Calc!$BN$85=0,"",Calc!$BN$85)</f>
        <v/>
      </c>
      <c r="CE31" s="31">
        <f>IF(Calc!$BN$86=0,"",Calc!$BN$86)</f>
        <v/>
      </c>
      <c r="CF31" s="31">
        <f>IF(Calc!$BN$87=0,"",Calc!$BN$87)</f>
        <v/>
      </c>
      <c r="CG31" s="31">
        <f>IF(Calc!$BN$88=0,"",Calc!$BN$88)</f>
        <v/>
      </c>
      <c r="CH31" s="31">
        <f>IF(Calc!$BN$89=0,"",Calc!$BN$89)</f>
        <v/>
      </c>
      <c r="CI31" s="31">
        <f>IF(Calc!$BN$90=0,"",Calc!$BN$90)</f>
        <v/>
      </c>
      <c r="CJ31" s="31">
        <f>IF(Calc!$BN$91=0,"",Calc!$BN$91)</f>
        <v/>
      </c>
      <c r="CK31" s="31">
        <f>IF(Calc!$BN$92=0,"",Calc!$BN$92)</f>
        <v/>
      </c>
      <c r="CL31" s="31">
        <f>IF(Calc!$BN$93=0,"",Calc!$BN$93)</f>
        <v/>
      </c>
      <c r="CM31" s="31">
        <f>IF(Calc!$BN$94=0,"",Calc!$BN$94)</f>
        <v/>
      </c>
      <c r="CN31" s="31">
        <f>IF(Calc!$BN$95=0,"",Calc!$BN$95)</f>
        <v/>
      </c>
      <c r="CO31" s="31">
        <f>IF(Calc!$BN$96=0,"",Calc!$BN$96)</f>
        <v/>
      </c>
      <c r="CP31" s="31">
        <f>IF(Calc!$BN$97=0,"",Calc!$BN$97)</f>
        <v/>
      </c>
      <c r="CQ31" s="31">
        <f>IF(Calc!$BN$98=0,"",Calc!$BN$98)</f>
        <v/>
      </c>
      <c r="CR31" s="31">
        <f>IF(Calc!$BN$99=0,"",Calc!$BN$99)</f>
        <v/>
      </c>
      <c r="CS31" s="31">
        <f>IF(Calc!$BN$100=0,"",Calc!$BN$100)</f>
        <v/>
      </c>
      <c r="CT31" s="31">
        <f>IF(Calc!$BN$101=0,"",Calc!$BN$101)</f>
        <v/>
      </c>
      <c r="CU31" s="31">
        <f>IF(Calc!$BN$102=0,"",Calc!$BN$102)</f>
        <v/>
      </c>
      <c r="CV31" s="31">
        <f>IF(Calc!$BN$103=0,"",Calc!$BN$103)</f>
        <v/>
      </c>
      <c r="CW31" s="31">
        <f>IF(Calc!$BN$104=0,"",Calc!$BN$104)</f>
        <v/>
      </c>
      <c r="CX31" s="31">
        <f>IF(Calc!$BN$105=0,"",Calc!$BN$105)</f>
        <v/>
      </c>
      <c r="CY31" s="31">
        <f>IF(Calc!$BN$106=0,"",Calc!$BN$106)</f>
        <v/>
      </c>
      <c r="CZ31" s="31">
        <f>IF(Calc!$BN$107=0,"",Calc!$BN$107)</f>
        <v/>
      </c>
      <c r="DA31" s="31">
        <f>IF(Calc!$BN$108=0,"",Calc!$BN$108)</f>
        <v/>
      </c>
      <c r="DB31" s="31">
        <f>IF(Calc!$BN$109=0,"",Calc!$BN$109)</f>
        <v/>
      </c>
      <c r="DC31" s="31">
        <f>IF(Calc!$BN$110=0,"",Calc!$BN$110)</f>
        <v/>
      </c>
      <c r="DD31" s="31">
        <f>IF(Calc!$BN$111=0,"",Calc!$BN$111)</f>
        <v/>
      </c>
      <c r="DE31" s="31">
        <f>IF(Calc!$BN$112=0,"",Calc!$BN$112)</f>
        <v/>
      </c>
      <c r="DF31" s="31">
        <f>IF(Calc!$BN$113=0,"",Calc!$BN$113)</f>
        <v/>
      </c>
      <c r="DG31" s="31">
        <f>IF(Calc!$BN$114=0,"",Calc!$BN$114)</f>
        <v/>
      </c>
      <c r="DH31" s="31">
        <f>IF(Calc!$BN$115=0,"",Calc!$BN$115)</f>
        <v/>
      </c>
      <c r="DI31" s="31">
        <f>IF(Calc!$BN$116=0,"",Calc!$BN$116)</f>
        <v/>
      </c>
      <c r="DJ31" s="31">
        <f>IF(Calc!$BN$117=0,"",Calc!$BN$117)</f>
        <v/>
      </c>
      <c r="DK31" s="31">
        <f>IF(Calc!$BN$118=0,"",Calc!$BN$118)</f>
        <v/>
      </c>
      <c r="DL31" s="31">
        <f>IF(Calc!$BN$119=0,"",Calc!$BN$119)</f>
        <v/>
      </c>
      <c r="DM31" s="31">
        <f>IF(Calc!$BN$120=0,"",Calc!$BN$120)</f>
        <v/>
      </c>
      <c r="DN31" s="31">
        <f>IF(Calc!$BN$121=0,"",Calc!$BN$121)</f>
        <v/>
      </c>
      <c r="DO31" s="31">
        <f>IF(Calc!$BN$122=0,"",Calc!$BN$122)</f>
        <v/>
      </c>
      <c r="DP31" s="31">
        <f>IF(Calc!$BN$123=0,"",Calc!$BN$123)</f>
        <v/>
      </c>
      <c r="DQ31" s="31">
        <f>IF(Calc!$BN$124=0,"",Calc!$BN$124)</f>
        <v/>
      </c>
      <c r="DR31" s="31">
        <f>IF(Calc!$BN$125=0,"",Calc!$BN$125)</f>
        <v/>
      </c>
      <c r="DS31" s="31">
        <f>IF(Calc!$BN$126=0,"",Calc!$BN$126)</f>
        <v/>
      </c>
      <c r="DT31" s="31">
        <f>IF(Calc!$BN$127=0,"",Calc!$BN$127)</f>
        <v/>
      </c>
      <c r="DU31" s="31">
        <f>IF(Calc!$BN$128=0,"",Calc!$BN$128)</f>
        <v/>
      </c>
      <c r="DV31" s="31">
        <f>IF(Calc!$BN$129=0,"",Calc!$BN$129)</f>
        <v/>
      </c>
      <c r="DW31" s="31">
        <f>IF(Calc!$BN$130=0,"",Calc!$BN$130)</f>
        <v/>
      </c>
      <c r="DX31" s="31">
        <f>IF(Calc!$BN$131=0,"",Calc!$BN$131)</f>
        <v/>
      </c>
      <c r="DY31" s="31">
        <f>IF(Calc!$BN$132=0,"",Calc!$BN$132)</f>
        <v/>
      </c>
      <c r="DZ31" s="31">
        <f>IF(Calc!$BN$133=0,"",Calc!$BN$133)</f>
        <v/>
      </c>
      <c r="EA31" s="31">
        <f>IF(Calc!$BN$134=0,"",Calc!$BN$134)</f>
        <v/>
      </c>
      <c r="EB31" s="31">
        <f>IF(Calc!$BN$135=0,"",Calc!$BN$135)</f>
        <v/>
      </c>
      <c r="EC31" s="31">
        <f>IF(Calc!$BN$136=0,"",Calc!$BN$136)</f>
        <v/>
      </c>
      <c r="ED31" s="31">
        <f>IF(Calc!$BN$137=0,"",Calc!$BN$137)</f>
        <v/>
      </c>
      <c r="EE31" s="31">
        <f>IF(Calc!$BN$138=0,"",Calc!$BN$138)</f>
        <v/>
      </c>
      <c r="EF31" s="31">
        <f>IF(Calc!$BN$139=0,"",Calc!$BN$139)</f>
        <v/>
      </c>
      <c r="EG31" s="31">
        <f>IF(Calc!$BN$140=0,"",Calc!$BN$140)</f>
        <v/>
      </c>
      <c r="EH31" s="31">
        <f>IF(Calc!$BN$141=0,"",Calc!$BN$141)</f>
        <v/>
      </c>
      <c r="EI31" s="31">
        <f>IF(Calc!$BN$142=0,"",Calc!$BN$142)</f>
        <v/>
      </c>
      <c r="EJ31" s="31">
        <f>IF(Calc!$BN$143=0,"",Calc!$BN$143)</f>
        <v/>
      </c>
      <c r="EK31" s="31">
        <f>IF(Calc!$BN$144=0,"",Calc!$BN$144)</f>
        <v/>
      </c>
      <c r="EL31" s="31">
        <f>IF(Calc!$BN$145=0,"",Calc!$BN$145)</f>
        <v/>
      </c>
      <c r="EM31" s="31">
        <f>IF(Calc!$BN$146=0,"",Calc!$BN$146)</f>
        <v/>
      </c>
      <c r="EN31" s="31">
        <f>IF(Calc!$BN$147=0,"",Calc!$BN$147)</f>
        <v/>
      </c>
      <c r="EO31" s="31">
        <f>IF(Calc!$BN$148=0,"",Calc!$BN$148)</f>
        <v/>
      </c>
      <c r="EP31" s="31">
        <f>IF(Calc!$BN$149=0,"",Calc!$BN$149)</f>
        <v/>
      </c>
      <c r="EQ31" s="31">
        <f>IF(Calc!$BN$150=0,"",Calc!$BN$150)</f>
        <v/>
      </c>
      <c r="ER31" s="31">
        <f>IF(Calc!$BN$151=0,"",Calc!$BN$151)</f>
        <v/>
      </c>
      <c r="ES31" s="31">
        <f>IF(Calc!$BN$152=0,"",Calc!$BN$152)</f>
        <v/>
      </c>
      <c r="ET31" s="31">
        <f>IF(Calc!$BN$153=0,"",Calc!$BN$153)</f>
        <v/>
      </c>
      <c r="EU31" s="31">
        <f>IF(Calc!$BN$154=0,"",Calc!$BN$154)</f>
        <v/>
      </c>
      <c r="EV31" s="31">
        <f>IF(Calc!$BN$155=0,"",Calc!$BN$155)</f>
        <v/>
      </c>
      <c r="EW31" s="31">
        <f>IF(Calc!$BN$156=0,"",Calc!$BN$156)</f>
        <v/>
      </c>
      <c r="EX31" s="31">
        <f>IF(Calc!$BN$157=0,"",Calc!$BN$157)</f>
        <v/>
      </c>
      <c r="EY31" s="31">
        <f>IF(Calc!$BN$158=0,"",Calc!$BN$158)</f>
        <v/>
      </c>
      <c r="EZ31" s="31">
        <f>IF(Calc!$BN$159=0,"",Calc!$BN$159)</f>
        <v/>
      </c>
      <c r="FA31" s="31">
        <f>IF(Calc!$BN$160=0,"",Calc!$BN$160)</f>
        <v/>
      </c>
      <c r="FB31" s="31">
        <f>IF(Calc!$BN$161=0,"",Calc!$BN$161)</f>
        <v/>
      </c>
      <c r="FC31" s="31">
        <f>IF(Calc!$BN$162=0,"",Calc!$BN$162)</f>
        <v/>
      </c>
      <c r="FD31" s="31">
        <f>IF(Calc!$BN$163=0,"",Calc!$BN$163)</f>
        <v/>
      </c>
      <c r="FE31" s="31">
        <f>IF(Calc!$BN$164=0,"",Calc!$BN$164)</f>
        <v/>
      </c>
      <c r="FF31" s="31">
        <f>IF(Calc!$BN$165=0,"",Calc!$BN$165)</f>
        <v/>
      </c>
      <c r="FG31" s="31">
        <f>IF(Calc!$BN$166=0,"",Calc!$BN$166)</f>
        <v/>
      </c>
      <c r="FH31" s="31">
        <f>IF(Calc!$BN$167=0,"",Calc!$BN$167)</f>
        <v/>
      </c>
      <c r="FI31" s="31">
        <f>IF(Calc!$BN$168=0,"",Calc!$BN$168)</f>
        <v/>
      </c>
      <c r="FJ31" s="31">
        <f>IF(Calc!$BN$169=0,"",Calc!$BN$169)</f>
        <v/>
      </c>
      <c r="FK31" s="31">
        <f>IF(Calc!$BN$170=0,"",Calc!$BN$170)</f>
        <v/>
      </c>
      <c r="FL31" s="31">
        <f>IF(Calc!$BN$171=0,"",Calc!$BN$171)</f>
        <v/>
      </c>
      <c r="FM31" s="31">
        <f>IF(Calc!$BN$172=0,"",Calc!$BN$172)</f>
        <v/>
      </c>
      <c r="FN31" s="31">
        <f>IF(Calc!$BN$173=0,"",Calc!$BN$173)</f>
        <v/>
      </c>
      <c r="FO31" s="31">
        <f>IF(Calc!$BN$174=0,"",Calc!$BN$174)</f>
        <v/>
      </c>
      <c r="FP31" s="31">
        <f>IF(Calc!$BN$175=0,"",Calc!$BN$175)</f>
        <v/>
      </c>
      <c r="FQ31" s="31">
        <f>IF(Calc!$BN$176=0,"",Calc!$BN$176)</f>
        <v/>
      </c>
      <c r="FR31" s="31">
        <f>IF(Calc!$BN$177=0,"",Calc!$BN$177)</f>
        <v/>
      </c>
      <c r="FS31" s="31">
        <f>IF(Calc!$BN$178=0,"",Calc!$BN$178)</f>
        <v/>
      </c>
      <c r="FT31" s="31">
        <f>IF(Calc!$BN$179=0,"",Calc!$BN$179)</f>
        <v/>
      </c>
      <c r="FU31" s="31">
        <f>IF(Calc!$BN$180=0,"",Calc!$BN$180)</f>
        <v/>
      </c>
      <c r="FV31" s="31">
        <f>IF(Calc!$BN$181=0,"",Calc!$BN$181)</f>
        <v/>
      </c>
      <c r="FW31" s="31">
        <f>IF(Calc!$BN$182=0,"",Calc!$BN$182)</f>
        <v/>
      </c>
      <c r="FX31" s="31">
        <f>IF(Calc!$BN$183=0,"",Calc!$BN$183)</f>
        <v/>
      </c>
    </row>
    <row r="32">
      <c r="A32" s="15">
        <f>IF(Settings!$A$55="","(unused)",Settings!$A$55)</f>
        <v/>
      </c>
      <c r="B32" s="26">
        <f>IF(Settings!$A$55="","",IF(AND(Settings!$C$55&lt;&gt;"",Settings!$D$55&lt;&gt;""),"grey = automatic ("&amp;TEXT(Settings!$C$55,"$#,##0.00")&amp;" "&amp;LOWER(Settings!$D$55)&amp;")","type the month’s total"))</f>
        <v/>
      </c>
      <c r="C32" s="31">
        <f>IF(Calc!$BO$6=0,"",Calc!$BO$6)</f>
        <v/>
      </c>
      <c r="D32" s="31">
        <f>IF(Calc!$BO$7=0,"",Calc!$BO$7)</f>
        <v/>
      </c>
      <c r="E32" s="31">
        <f>IF(Calc!$BO$8=0,"",Calc!$BO$8)</f>
        <v/>
      </c>
      <c r="F32" s="31">
        <f>IF(Calc!$BO$9=0,"",Calc!$BO$9)</f>
        <v/>
      </c>
      <c r="G32" s="31">
        <f>IF(Calc!$BO$10=0,"",Calc!$BO$10)</f>
        <v/>
      </c>
      <c r="H32" s="31">
        <f>IF(Calc!$BO$11=0,"",Calc!$BO$11)</f>
        <v/>
      </c>
      <c r="I32" s="31">
        <f>IF(Calc!$BO$12=0,"",Calc!$BO$12)</f>
        <v/>
      </c>
      <c r="J32" s="31">
        <f>IF(Calc!$BO$13=0,"",Calc!$BO$13)</f>
        <v/>
      </c>
      <c r="K32" s="31">
        <f>IF(Calc!$BO$14=0,"",Calc!$BO$14)</f>
        <v/>
      </c>
      <c r="L32" s="31">
        <f>IF(Calc!$BO$15=0,"",Calc!$BO$15)</f>
        <v/>
      </c>
      <c r="M32" s="31">
        <f>IF(Calc!$BO$16=0,"",Calc!$BO$16)</f>
        <v/>
      </c>
      <c r="N32" s="31">
        <f>IF(Calc!$BO$17=0,"",Calc!$BO$17)</f>
        <v/>
      </c>
      <c r="O32" s="31">
        <f>IF(Calc!$BO$18=0,"",Calc!$BO$18)</f>
        <v/>
      </c>
      <c r="P32" s="31">
        <f>IF(Calc!$BO$19=0,"",Calc!$BO$19)</f>
        <v/>
      </c>
      <c r="Q32" s="31">
        <f>IF(Calc!$BO$20=0,"",Calc!$BO$20)</f>
        <v/>
      </c>
      <c r="R32" s="31">
        <f>IF(Calc!$BO$21=0,"",Calc!$BO$21)</f>
        <v/>
      </c>
      <c r="S32" s="31">
        <f>IF(Calc!$BO$22=0,"",Calc!$BO$22)</f>
        <v/>
      </c>
      <c r="T32" s="31">
        <f>IF(Calc!$BO$23=0,"",Calc!$BO$23)</f>
        <v/>
      </c>
      <c r="U32" s="31">
        <f>IF(Calc!$BO$24=0,"",Calc!$BO$24)</f>
        <v/>
      </c>
      <c r="V32" s="31">
        <f>IF(Calc!$BO$25=0,"",Calc!$BO$25)</f>
        <v/>
      </c>
      <c r="W32" s="31">
        <f>IF(Calc!$BO$26=0,"",Calc!$BO$26)</f>
        <v/>
      </c>
      <c r="X32" s="31">
        <f>IF(Calc!$BO$27=0,"",Calc!$BO$27)</f>
        <v/>
      </c>
      <c r="Y32" s="31">
        <f>IF(Calc!$BO$28=0,"",Calc!$BO$28)</f>
        <v/>
      </c>
      <c r="Z32" s="31">
        <f>IF(Calc!$BO$29=0,"",Calc!$BO$29)</f>
        <v/>
      </c>
      <c r="AA32" s="31">
        <f>IF(Calc!$BO$30=0,"",Calc!$BO$30)</f>
        <v/>
      </c>
      <c r="AB32" s="31">
        <f>IF(Calc!$BO$31=0,"",Calc!$BO$31)</f>
        <v/>
      </c>
      <c r="AC32" s="31">
        <f>IF(Calc!$BO$32=0,"",Calc!$BO$32)</f>
        <v/>
      </c>
      <c r="AD32" s="31">
        <f>IF(Calc!$BO$33=0,"",Calc!$BO$33)</f>
        <v/>
      </c>
      <c r="AE32" s="31">
        <f>IF(Calc!$BO$34=0,"",Calc!$BO$34)</f>
        <v/>
      </c>
      <c r="AF32" s="31">
        <f>IF(Calc!$BO$35=0,"",Calc!$BO$35)</f>
        <v/>
      </c>
      <c r="AG32" s="31">
        <f>IF(Calc!$BO$36=0,"",Calc!$BO$36)</f>
        <v/>
      </c>
      <c r="AH32" s="31">
        <f>IF(Calc!$BO$37=0,"",Calc!$BO$37)</f>
        <v/>
      </c>
      <c r="AI32" s="31">
        <f>IF(Calc!$BO$38=0,"",Calc!$BO$38)</f>
        <v/>
      </c>
      <c r="AJ32" s="31">
        <f>IF(Calc!$BO$39=0,"",Calc!$BO$39)</f>
        <v/>
      </c>
      <c r="AK32" s="31">
        <f>IF(Calc!$BO$40=0,"",Calc!$BO$40)</f>
        <v/>
      </c>
      <c r="AL32" s="31">
        <f>IF(Calc!$BO$41=0,"",Calc!$BO$41)</f>
        <v/>
      </c>
      <c r="AM32" s="31">
        <f>IF(Calc!$BO$42=0,"",Calc!$BO$42)</f>
        <v/>
      </c>
      <c r="AN32" s="31">
        <f>IF(Calc!$BO$43=0,"",Calc!$BO$43)</f>
        <v/>
      </c>
      <c r="AO32" s="31">
        <f>IF(Calc!$BO$44=0,"",Calc!$BO$44)</f>
        <v/>
      </c>
      <c r="AP32" s="31">
        <f>IF(Calc!$BO$45=0,"",Calc!$BO$45)</f>
        <v/>
      </c>
      <c r="AQ32" s="31">
        <f>IF(Calc!$BO$46=0,"",Calc!$BO$46)</f>
        <v/>
      </c>
      <c r="AR32" s="31">
        <f>IF(Calc!$BO$47=0,"",Calc!$BO$47)</f>
        <v/>
      </c>
      <c r="AS32" s="31">
        <f>IF(Calc!$BO$48=0,"",Calc!$BO$48)</f>
        <v/>
      </c>
      <c r="AT32" s="31">
        <f>IF(Calc!$BO$49=0,"",Calc!$BO$49)</f>
        <v/>
      </c>
      <c r="AU32" s="31">
        <f>IF(Calc!$BO$50=0,"",Calc!$BO$50)</f>
        <v/>
      </c>
      <c r="AV32" s="31">
        <f>IF(Calc!$BO$51=0,"",Calc!$BO$51)</f>
        <v/>
      </c>
      <c r="AW32" s="31">
        <f>IF(Calc!$BO$52=0,"",Calc!$BO$52)</f>
        <v/>
      </c>
      <c r="AX32" s="31">
        <f>IF(Calc!$BO$53=0,"",Calc!$BO$53)</f>
        <v/>
      </c>
      <c r="AY32" s="31">
        <f>IF(Calc!$BO$54=0,"",Calc!$BO$54)</f>
        <v/>
      </c>
      <c r="AZ32" s="31">
        <f>IF(Calc!$BO$55=0,"",Calc!$BO$55)</f>
        <v/>
      </c>
      <c r="BA32" s="31">
        <f>IF(Calc!$BO$56=0,"",Calc!$BO$56)</f>
        <v/>
      </c>
      <c r="BB32" s="31">
        <f>IF(Calc!$BO$57=0,"",Calc!$BO$57)</f>
        <v/>
      </c>
      <c r="BC32" s="31">
        <f>IF(Calc!$BO$58=0,"",Calc!$BO$58)</f>
        <v/>
      </c>
      <c r="BD32" s="31">
        <f>IF(Calc!$BO$59=0,"",Calc!$BO$59)</f>
        <v/>
      </c>
      <c r="BE32" s="31">
        <f>IF(Calc!$BO$60=0,"",Calc!$BO$60)</f>
        <v/>
      </c>
      <c r="BF32" s="31">
        <f>IF(Calc!$BO$61=0,"",Calc!$BO$61)</f>
        <v/>
      </c>
      <c r="BG32" s="31">
        <f>IF(Calc!$BO$62=0,"",Calc!$BO$62)</f>
        <v/>
      </c>
      <c r="BH32" s="31">
        <f>IF(Calc!$BO$63=0,"",Calc!$BO$63)</f>
        <v/>
      </c>
      <c r="BI32" s="31">
        <f>IF(Calc!$BO$64=0,"",Calc!$BO$64)</f>
        <v/>
      </c>
      <c r="BJ32" s="31">
        <f>IF(Calc!$BO$65=0,"",Calc!$BO$65)</f>
        <v/>
      </c>
      <c r="BK32" s="31">
        <f>IF(Calc!$BO$66=0,"",Calc!$BO$66)</f>
        <v/>
      </c>
      <c r="BL32" s="31">
        <f>IF(Calc!$BO$67=0,"",Calc!$BO$67)</f>
        <v/>
      </c>
      <c r="BM32" s="31">
        <f>IF(Calc!$BO$68=0,"",Calc!$BO$68)</f>
        <v/>
      </c>
      <c r="BN32" s="31">
        <f>IF(Calc!$BO$69=0,"",Calc!$BO$69)</f>
        <v/>
      </c>
      <c r="BO32" s="31">
        <f>IF(Calc!$BO$70=0,"",Calc!$BO$70)</f>
        <v/>
      </c>
      <c r="BP32" s="31">
        <f>IF(Calc!$BO$71=0,"",Calc!$BO$71)</f>
        <v/>
      </c>
      <c r="BQ32" s="31">
        <f>IF(Calc!$BO$72=0,"",Calc!$BO$72)</f>
        <v/>
      </c>
      <c r="BR32" s="31">
        <f>IF(Calc!$BO$73=0,"",Calc!$BO$73)</f>
        <v/>
      </c>
      <c r="BS32" s="31">
        <f>IF(Calc!$BO$74=0,"",Calc!$BO$74)</f>
        <v/>
      </c>
      <c r="BT32" s="31">
        <f>IF(Calc!$BO$75=0,"",Calc!$BO$75)</f>
        <v/>
      </c>
      <c r="BU32" s="31">
        <f>IF(Calc!$BO$76=0,"",Calc!$BO$76)</f>
        <v/>
      </c>
      <c r="BV32" s="31">
        <f>IF(Calc!$BO$77=0,"",Calc!$BO$77)</f>
        <v/>
      </c>
      <c r="BW32" s="31">
        <f>IF(Calc!$BO$78=0,"",Calc!$BO$78)</f>
        <v/>
      </c>
      <c r="BX32" s="31">
        <f>IF(Calc!$BO$79=0,"",Calc!$BO$79)</f>
        <v/>
      </c>
      <c r="BY32" s="31">
        <f>IF(Calc!$BO$80=0,"",Calc!$BO$80)</f>
        <v/>
      </c>
      <c r="BZ32" s="31">
        <f>IF(Calc!$BO$81=0,"",Calc!$BO$81)</f>
        <v/>
      </c>
      <c r="CA32" s="31">
        <f>IF(Calc!$BO$82=0,"",Calc!$BO$82)</f>
        <v/>
      </c>
      <c r="CB32" s="31">
        <f>IF(Calc!$BO$83=0,"",Calc!$BO$83)</f>
        <v/>
      </c>
      <c r="CC32" s="31">
        <f>IF(Calc!$BO$84=0,"",Calc!$BO$84)</f>
        <v/>
      </c>
      <c r="CD32" s="31">
        <f>IF(Calc!$BO$85=0,"",Calc!$BO$85)</f>
        <v/>
      </c>
      <c r="CE32" s="31">
        <f>IF(Calc!$BO$86=0,"",Calc!$BO$86)</f>
        <v/>
      </c>
      <c r="CF32" s="31">
        <f>IF(Calc!$BO$87=0,"",Calc!$BO$87)</f>
        <v/>
      </c>
      <c r="CG32" s="31">
        <f>IF(Calc!$BO$88=0,"",Calc!$BO$88)</f>
        <v/>
      </c>
      <c r="CH32" s="31">
        <f>IF(Calc!$BO$89=0,"",Calc!$BO$89)</f>
        <v/>
      </c>
      <c r="CI32" s="31">
        <f>IF(Calc!$BO$90=0,"",Calc!$BO$90)</f>
        <v/>
      </c>
      <c r="CJ32" s="31">
        <f>IF(Calc!$BO$91=0,"",Calc!$BO$91)</f>
        <v/>
      </c>
      <c r="CK32" s="31">
        <f>IF(Calc!$BO$92=0,"",Calc!$BO$92)</f>
        <v/>
      </c>
      <c r="CL32" s="31">
        <f>IF(Calc!$BO$93=0,"",Calc!$BO$93)</f>
        <v/>
      </c>
      <c r="CM32" s="31">
        <f>IF(Calc!$BO$94=0,"",Calc!$BO$94)</f>
        <v/>
      </c>
      <c r="CN32" s="31">
        <f>IF(Calc!$BO$95=0,"",Calc!$BO$95)</f>
        <v/>
      </c>
      <c r="CO32" s="31">
        <f>IF(Calc!$BO$96=0,"",Calc!$BO$96)</f>
        <v/>
      </c>
      <c r="CP32" s="31">
        <f>IF(Calc!$BO$97=0,"",Calc!$BO$97)</f>
        <v/>
      </c>
      <c r="CQ32" s="31">
        <f>IF(Calc!$BO$98=0,"",Calc!$BO$98)</f>
        <v/>
      </c>
      <c r="CR32" s="31">
        <f>IF(Calc!$BO$99=0,"",Calc!$BO$99)</f>
        <v/>
      </c>
      <c r="CS32" s="31">
        <f>IF(Calc!$BO$100=0,"",Calc!$BO$100)</f>
        <v/>
      </c>
      <c r="CT32" s="31">
        <f>IF(Calc!$BO$101=0,"",Calc!$BO$101)</f>
        <v/>
      </c>
      <c r="CU32" s="31">
        <f>IF(Calc!$BO$102=0,"",Calc!$BO$102)</f>
        <v/>
      </c>
      <c r="CV32" s="31">
        <f>IF(Calc!$BO$103=0,"",Calc!$BO$103)</f>
        <v/>
      </c>
      <c r="CW32" s="31">
        <f>IF(Calc!$BO$104=0,"",Calc!$BO$104)</f>
        <v/>
      </c>
      <c r="CX32" s="31">
        <f>IF(Calc!$BO$105=0,"",Calc!$BO$105)</f>
        <v/>
      </c>
      <c r="CY32" s="31">
        <f>IF(Calc!$BO$106=0,"",Calc!$BO$106)</f>
        <v/>
      </c>
      <c r="CZ32" s="31">
        <f>IF(Calc!$BO$107=0,"",Calc!$BO$107)</f>
        <v/>
      </c>
      <c r="DA32" s="31">
        <f>IF(Calc!$BO$108=0,"",Calc!$BO$108)</f>
        <v/>
      </c>
      <c r="DB32" s="31">
        <f>IF(Calc!$BO$109=0,"",Calc!$BO$109)</f>
        <v/>
      </c>
      <c r="DC32" s="31">
        <f>IF(Calc!$BO$110=0,"",Calc!$BO$110)</f>
        <v/>
      </c>
      <c r="DD32" s="31">
        <f>IF(Calc!$BO$111=0,"",Calc!$BO$111)</f>
        <v/>
      </c>
      <c r="DE32" s="31">
        <f>IF(Calc!$BO$112=0,"",Calc!$BO$112)</f>
        <v/>
      </c>
      <c r="DF32" s="31">
        <f>IF(Calc!$BO$113=0,"",Calc!$BO$113)</f>
        <v/>
      </c>
      <c r="DG32" s="31">
        <f>IF(Calc!$BO$114=0,"",Calc!$BO$114)</f>
        <v/>
      </c>
      <c r="DH32" s="31">
        <f>IF(Calc!$BO$115=0,"",Calc!$BO$115)</f>
        <v/>
      </c>
      <c r="DI32" s="31">
        <f>IF(Calc!$BO$116=0,"",Calc!$BO$116)</f>
        <v/>
      </c>
      <c r="DJ32" s="31">
        <f>IF(Calc!$BO$117=0,"",Calc!$BO$117)</f>
        <v/>
      </c>
      <c r="DK32" s="31">
        <f>IF(Calc!$BO$118=0,"",Calc!$BO$118)</f>
        <v/>
      </c>
      <c r="DL32" s="31">
        <f>IF(Calc!$BO$119=0,"",Calc!$BO$119)</f>
        <v/>
      </c>
      <c r="DM32" s="31">
        <f>IF(Calc!$BO$120=0,"",Calc!$BO$120)</f>
        <v/>
      </c>
      <c r="DN32" s="31">
        <f>IF(Calc!$BO$121=0,"",Calc!$BO$121)</f>
        <v/>
      </c>
      <c r="DO32" s="31">
        <f>IF(Calc!$BO$122=0,"",Calc!$BO$122)</f>
        <v/>
      </c>
      <c r="DP32" s="31">
        <f>IF(Calc!$BO$123=0,"",Calc!$BO$123)</f>
        <v/>
      </c>
      <c r="DQ32" s="31">
        <f>IF(Calc!$BO$124=0,"",Calc!$BO$124)</f>
        <v/>
      </c>
      <c r="DR32" s="31">
        <f>IF(Calc!$BO$125=0,"",Calc!$BO$125)</f>
        <v/>
      </c>
      <c r="DS32" s="31">
        <f>IF(Calc!$BO$126=0,"",Calc!$BO$126)</f>
        <v/>
      </c>
      <c r="DT32" s="31">
        <f>IF(Calc!$BO$127=0,"",Calc!$BO$127)</f>
        <v/>
      </c>
      <c r="DU32" s="31">
        <f>IF(Calc!$BO$128=0,"",Calc!$BO$128)</f>
        <v/>
      </c>
      <c r="DV32" s="31">
        <f>IF(Calc!$BO$129=0,"",Calc!$BO$129)</f>
        <v/>
      </c>
      <c r="DW32" s="31">
        <f>IF(Calc!$BO$130=0,"",Calc!$BO$130)</f>
        <v/>
      </c>
      <c r="DX32" s="31">
        <f>IF(Calc!$BO$131=0,"",Calc!$BO$131)</f>
        <v/>
      </c>
      <c r="DY32" s="31">
        <f>IF(Calc!$BO$132=0,"",Calc!$BO$132)</f>
        <v/>
      </c>
      <c r="DZ32" s="31">
        <f>IF(Calc!$BO$133=0,"",Calc!$BO$133)</f>
        <v/>
      </c>
      <c r="EA32" s="31">
        <f>IF(Calc!$BO$134=0,"",Calc!$BO$134)</f>
        <v/>
      </c>
      <c r="EB32" s="31">
        <f>IF(Calc!$BO$135=0,"",Calc!$BO$135)</f>
        <v/>
      </c>
      <c r="EC32" s="31">
        <f>IF(Calc!$BO$136=0,"",Calc!$BO$136)</f>
        <v/>
      </c>
      <c r="ED32" s="31">
        <f>IF(Calc!$BO$137=0,"",Calc!$BO$137)</f>
        <v/>
      </c>
      <c r="EE32" s="31">
        <f>IF(Calc!$BO$138=0,"",Calc!$BO$138)</f>
        <v/>
      </c>
      <c r="EF32" s="31">
        <f>IF(Calc!$BO$139=0,"",Calc!$BO$139)</f>
        <v/>
      </c>
      <c r="EG32" s="31">
        <f>IF(Calc!$BO$140=0,"",Calc!$BO$140)</f>
        <v/>
      </c>
      <c r="EH32" s="31">
        <f>IF(Calc!$BO$141=0,"",Calc!$BO$141)</f>
        <v/>
      </c>
      <c r="EI32" s="31">
        <f>IF(Calc!$BO$142=0,"",Calc!$BO$142)</f>
        <v/>
      </c>
      <c r="EJ32" s="31">
        <f>IF(Calc!$BO$143=0,"",Calc!$BO$143)</f>
        <v/>
      </c>
      <c r="EK32" s="31">
        <f>IF(Calc!$BO$144=0,"",Calc!$BO$144)</f>
        <v/>
      </c>
      <c r="EL32" s="31">
        <f>IF(Calc!$BO$145=0,"",Calc!$BO$145)</f>
        <v/>
      </c>
      <c r="EM32" s="31">
        <f>IF(Calc!$BO$146=0,"",Calc!$BO$146)</f>
        <v/>
      </c>
      <c r="EN32" s="31">
        <f>IF(Calc!$BO$147=0,"",Calc!$BO$147)</f>
        <v/>
      </c>
      <c r="EO32" s="31">
        <f>IF(Calc!$BO$148=0,"",Calc!$BO$148)</f>
        <v/>
      </c>
      <c r="EP32" s="31">
        <f>IF(Calc!$BO$149=0,"",Calc!$BO$149)</f>
        <v/>
      </c>
      <c r="EQ32" s="31">
        <f>IF(Calc!$BO$150=0,"",Calc!$BO$150)</f>
        <v/>
      </c>
      <c r="ER32" s="31">
        <f>IF(Calc!$BO$151=0,"",Calc!$BO$151)</f>
        <v/>
      </c>
      <c r="ES32" s="31">
        <f>IF(Calc!$BO$152=0,"",Calc!$BO$152)</f>
        <v/>
      </c>
      <c r="ET32" s="31">
        <f>IF(Calc!$BO$153=0,"",Calc!$BO$153)</f>
        <v/>
      </c>
      <c r="EU32" s="31">
        <f>IF(Calc!$BO$154=0,"",Calc!$BO$154)</f>
        <v/>
      </c>
      <c r="EV32" s="31">
        <f>IF(Calc!$BO$155=0,"",Calc!$BO$155)</f>
        <v/>
      </c>
      <c r="EW32" s="31">
        <f>IF(Calc!$BO$156=0,"",Calc!$BO$156)</f>
        <v/>
      </c>
      <c r="EX32" s="31">
        <f>IF(Calc!$BO$157=0,"",Calc!$BO$157)</f>
        <v/>
      </c>
      <c r="EY32" s="31">
        <f>IF(Calc!$BO$158=0,"",Calc!$BO$158)</f>
        <v/>
      </c>
      <c r="EZ32" s="31">
        <f>IF(Calc!$BO$159=0,"",Calc!$BO$159)</f>
        <v/>
      </c>
      <c r="FA32" s="31">
        <f>IF(Calc!$BO$160=0,"",Calc!$BO$160)</f>
        <v/>
      </c>
      <c r="FB32" s="31">
        <f>IF(Calc!$BO$161=0,"",Calc!$BO$161)</f>
        <v/>
      </c>
      <c r="FC32" s="31">
        <f>IF(Calc!$BO$162=0,"",Calc!$BO$162)</f>
        <v/>
      </c>
      <c r="FD32" s="31">
        <f>IF(Calc!$BO$163=0,"",Calc!$BO$163)</f>
        <v/>
      </c>
      <c r="FE32" s="31">
        <f>IF(Calc!$BO$164=0,"",Calc!$BO$164)</f>
        <v/>
      </c>
      <c r="FF32" s="31">
        <f>IF(Calc!$BO$165=0,"",Calc!$BO$165)</f>
        <v/>
      </c>
      <c r="FG32" s="31">
        <f>IF(Calc!$BO$166=0,"",Calc!$BO$166)</f>
        <v/>
      </c>
      <c r="FH32" s="31">
        <f>IF(Calc!$BO$167=0,"",Calc!$BO$167)</f>
        <v/>
      </c>
      <c r="FI32" s="31">
        <f>IF(Calc!$BO$168=0,"",Calc!$BO$168)</f>
        <v/>
      </c>
      <c r="FJ32" s="31">
        <f>IF(Calc!$BO$169=0,"",Calc!$BO$169)</f>
        <v/>
      </c>
      <c r="FK32" s="31">
        <f>IF(Calc!$BO$170=0,"",Calc!$BO$170)</f>
        <v/>
      </c>
      <c r="FL32" s="31">
        <f>IF(Calc!$BO$171=0,"",Calc!$BO$171)</f>
        <v/>
      </c>
      <c r="FM32" s="31">
        <f>IF(Calc!$BO$172=0,"",Calc!$BO$172)</f>
        <v/>
      </c>
      <c r="FN32" s="31">
        <f>IF(Calc!$BO$173=0,"",Calc!$BO$173)</f>
        <v/>
      </c>
      <c r="FO32" s="31">
        <f>IF(Calc!$BO$174=0,"",Calc!$BO$174)</f>
        <v/>
      </c>
      <c r="FP32" s="31">
        <f>IF(Calc!$BO$175=0,"",Calc!$BO$175)</f>
        <v/>
      </c>
      <c r="FQ32" s="31">
        <f>IF(Calc!$BO$176=0,"",Calc!$BO$176)</f>
        <v/>
      </c>
      <c r="FR32" s="31">
        <f>IF(Calc!$BO$177=0,"",Calc!$BO$177)</f>
        <v/>
      </c>
      <c r="FS32" s="31">
        <f>IF(Calc!$BO$178=0,"",Calc!$BO$178)</f>
        <v/>
      </c>
      <c r="FT32" s="31">
        <f>IF(Calc!$BO$179=0,"",Calc!$BO$179)</f>
        <v/>
      </c>
      <c r="FU32" s="31">
        <f>IF(Calc!$BO$180=0,"",Calc!$BO$180)</f>
        <v/>
      </c>
      <c r="FV32" s="31">
        <f>IF(Calc!$BO$181=0,"",Calc!$BO$181)</f>
        <v/>
      </c>
      <c r="FW32" s="31">
        <f>IF(Calc!$BO$182=0,"",Calc!$BO$182)</f>
        <v/>
      </c>
      <c r="FX32" s="31">
        <f>IF(Calc!$BO$183=0,"",Calc!$BO$183)</f>
        <v/>
      </c>
    </row>
    <row r="33">
      <c r="A33" s="15">
        <f>IF(Settings!$A$56="","(unused)",Settings!$A$56)</f>
        <v/>
      </c>
      <c r="B33" s="26">
        <f>IF(Settings!$A$56="","",IF(AND(Settings!$C$56&lt;&gt;"",Settings!$D$56&lt;&gt;""),"grey = automatic ("&amp;TEXT(Settings!$C$56,"$#,##0.00")&amp;" "&amp;LOWER(Settings!$D$56)&amp;")","type the month’s total"))</f>
        <v/>
      </c>
      <c r="C33" s="31">
        <f>IF(Calc!$BP$6=0,"",Calc!$BP$6)</f>
        <v/>
      </c>
      <c r="D33" s="31">
        <f>IF(Calc!$BP$7=0,"",Calc!$BP$7)</f>
        <v/>
      </c>
      <c r="E33" s="31">
        <f>IF(Calc!$BP$8=0,"",Calc!$BP$8)</f>
        <v/>
      </c>
      <c r="F33" s="31">
        <f>IF(Calc!$BP$9=0,"",Calc!$BP$9)</f>
        <v/>
      </c>
      <c r="G33" s="31">
        <f>IF(Calc!$BP$10=0,"",Calc!$BP$10)</f>
        <v/>
      </c>
      <c r="H33" s="31">
        <f>IF(Calc!$BP$11=0,"",Calc!$BP$11)</f>
        <v/>
      </c>
      <c r="I33" s="31">
        <f>IF(Calc!$BP$12=0,"",Calc!$BP$12)</f>
        <v/>
      </c>
      <c r="J33" s="31">
        <f>IF(Calc!$BP$13=0,"",Calc!$BP$13)</f>
        <v/>
      </c>
      <c r="K33" s="31">
        <f>IF(Calc!$BP$14=0,"",Calc!$BP$14)</f>
        <v/>
      </c>
      <c r="L33" s="31">
        <f>IF(Calc!$BP$15=0,"",Calc!$BP$15)</f>
        <v/>
      </c>
      <c r="M33" s="31">
        <f>IF(Calc!$BP$16=0,"",Calc!$BP$16)</f>
        <v/>
      </c>
      <c r="N33" s="31">
        <f>IF(Calc!$BP$17=0,"",Calc!$BP$17)</f>
        <v/>
      </c>
      <c r="O33" s="31">
        <f>IF(Calc!$BP$18=0,"",Calc!$BP$18)</f>
        <v/>
      </c>
      <c r="P33" s="31">
        <f>IF(Calc!$BP$19=0,"",Calc!$BP$19)</f>
        <v/>
      </c>
      <c r="Q33" s="31">
        <f>IF(Calc!$BP$20=0,"",Calc!$BP$20)</f>
        <v/>
      </c>
      <c r="R33" s="31">
        <f>IF(Calc!$BP$21=0,"",Calc!$BP$21)</f>
        <v/>
      </c>
      <c r="S33" s="31">
        <f>IF(Calc!$BP$22=0,"",Calc!$BP$22)</f>
        <v/>
      </c>
      <c r="T33" s="31">
        <f>IF(Calc!$BP$23=0,"",Calc!$BP$23)</f>
        <v/>
      </c>
      <c r="U33" s="31">
        <f>IF(Calc!$BP$24=0,"",Calc!$BP$24)</f>
        <v/>
      </c>
      <c r="V33" s="31">
        <f>IF(Calc!$BP$25=0,"",Calc!$BP$25)</f>
        <v/>
      </c>
      <c r="W33" s="31">
        <f>IF(Calc!$BP$26=0,"",Calc!$BP$26)</f>
        <v/>
      </c>
      <c r="X33" s="31">
        <f>IF(Calc!$BP$27=0,"",Calc!$BP$27)</f>
        <v/>
      </c>
      <c r="Y33" s="31">
        <f>IF(Calc!$BP$28=0,"",Calc!$BP$28)</f>
        <v/>
      </c>
      <c r="Z33" s="31">
        <f>IF(Calc!$BP$29=0,"",Calc!$BP$29)</f>
        <v/>
      </c>
      <c r="AA33" s="31">
        <f>IF(Calc!$BP$30=0,"",Calc!$BP$30)</f>
        <v/>
      </c>
      <c r="AB33" s="31">
        <f>IF(Calc!$BP$31=0,"",Calc!$BP$31)</f>
        <v/>
      </c>
      <c r="AC33" s="31">
        <f>IF(Calc!$BP$32=0,"",Calc!$BP$32)</f>
        <v/>
      </c>
      <c r="AD33" s="31">
        <f>IF(Calc!$BP$33=0,"",Calc!$BP$33)</f>
        <v/>
      </c>
      <c r="AE33" s="31">
        <f>IF(Calc!$BP$34=0,"",Calc!$BP$34)</f>
        <v/>
      </c>
      <c r="AF33" s="31">
        <f>IF(Calc!$BP$35=0,"",Calc!$BP$35)</f>
        <v/>
      </c>
      <c r="AG33" s="31">
        <f>IF(Calc!$BP$36=0,"",Calc!$BP$36)</f>
        <v/>
      </c>
      <c r="AH33" s="31">
        <f>IF(Calc!$BP$37=0,"",Calc!$BP$37)</f>
        <v/>
      </c>
      <c r="AI33" s="31">
        <f>IF(Calc!$BP$38=0,"",Calc!$BP$38)</f>
        <v/>
      </c>
      <c r="AJ33" s="31">
        <f>IF(Calc!$BP$39=0,"",Calc!$BP$39)</f>
        <v/>
      </c>
      <c r="AK33" s="31">
        <f>IF(Calc!$BP$40=0,"",Calc!$BP$40)</f>
        <v/>
      </c>
      <c r="AL33" s="31">
        <f>IF(Calc!$BP$41=0,"",Calc!$BP$41)</f>
        <v/>
      </c>
      <c r="AM33" s="31">
        <f>IF(Calc!$BP$42=0,"",Calc!$BP$42)</f>
        <v/>
      </c>
      <c r="AN33" s="31">
        <f>IF(Calc!$BP$43=0,"",Calc!$BP$43)</f>
        <v/>
      </c>
      <c r="AO33" s="31">
        <f>IF(Calc!$BP$44=0,"",Calc!$BP$44)</f>
        <v/>
      </c>
      <c r="AP33" s="31">
        <f>IF(Calc!$BP$45=0,"",Calc!$BP$45)</f>
        <v/>
      </c>
      <c r="AQ33" s="31">
        <f>IF(Calc!$BP$46=0,"",Calc!$BP$46)</f>
        <v/>
      </c>
      <c r="AR33" s="31">
        <f>IF(Calc!$BP$47=0,"",Calc!$BP$47)</f>
        <v/>
      </c>
      <c r="AS33" s="31">
        <f>IF(Calc!$BP$48=0,"",Calc!$BP$48)</f>
        <v/>
      </c>
      <c r="AT33" s="31">
        <f>IF(Calc!$BP$49=0,"",Calc!$BP$49)</f>
        <v/>
      </c>
      <c r="AU33" s="31">
        <f>IF(Calc!$BP$50=0,"",Calc!$BP$50)</f>
        <v/>
      </c>
      <c r="AV33" s="31">
        <f>IF(Calc!$BP$51=0,"",Calc!$BP$51)</f>
        <v/>
      </c>
      <c r="AW33" s="31">
        <f>IF(Calc!$BP$52=0,"",Calc!$BP$52)</f>
        <v/>
      </c>
      <c r="AX33" s="31">
        <f>IF(Calc!$BP$53=0,"",Calc!$BP$53)</f>
        <v/>
      </c>
      <c r="AY33" s="31">
        <f>IF(Calc!$BP$54=0,"",Calc!$BP$54)</f>
        <v/>
      </c>
      <c r="AZ33" s="31">
        <f>IF(Calc!$BP$55=0,"",Calc!$BP$55)</f>
        <v/>
      </c>
      <c r="BA33" s="31">
        <f>IF(Calc!$BP$56=0,"",Calc!$BP$56)</f>
        <v/>
      </c>
      <c r="BB33" s="31">
        <f>IF(Calc!$BP$57=0,"",Calc!$BP$57)</f>
        <v/>
      </c>
      <c r="BC33" s="31">
        <f>IF(Calc!$BP$58=0,"",Calc!$BP$58)</f>
        <v/>
      </c>
      <c r="BD33" s="31">
        <f>IF(Calc!$BP$59=0,"",Calc!$BP$59)</f>
        <v/>
      </c>
      <c r="BE33" s="31">
        <f>IF(Calc!$BP$60=0,"",Calc!$BP$60)</f>
        <v/>
      </c>
      <c r="BF33" s="31">
        <f>IF(Calc!$BP$61=0,"",Calc!$BP$61)</f>
        <v/>
      </c>
      <c r="BG33" s="31">
        <f>IF(Calc!$BP$62=0,"",Calc!$BP$62)</f>
        <v/>
      </c>
      <c r="BH33" s="31">
        <f>IF(Calc!$BP$63=0,"",Calc!$BP$63)</f>
        <v/>
      </c>
      <c r="BI33" s="31">
        <f>IF(Calc!$BP$64=0,"",Calc!$BP$64)</f>
        <v/>
      </c>
      <c r="BJ33" s="31">
        <f>IF(Calc!$BP$65=0,"",Calc!$BP$65)</f>
        <v/>
      </c>
      <c r="BK33" s="31">
        <f>IF(Calc!$BP$66=0,"",Calc!$BP$66)</f>
        <v/>
      </c>
      <c r="BL33" s="31">
        <f>IF(Calc!$BP$67=0,"",Calc!$BP$67)</f>
        <v/>
      </c>
      <c r="BM33" s="31">
        <f>IF(Calc!$BP$68=0,"",Calc!$BP$68)</f>
        <v/>
      </c>
      <c r="BN33" s="31">
        <f>IF(Calc!$BP$69=0,"",Calc!$BP$69)</f>
        <v/>
      </c>
      <c r="BO33" s="31">
        <f>IF(Calc!$BP$70=0,"",Calc!$BP$70)</f>
        <v/>
      </c>
      <c r="BP33" s="31">
        <f>IF(Calc!$BP$71=0,"",Calc!$BP$71)</f>
        <v/>
      </c>
      <c r="BQ33" s="31">
        <f>IF(Calc!$BP$72=0,"",Calc!$BP$72)</f>
        <v/>
      </c>
      <c r="BR33" s="31">
        <f>IF(Calc!$BP$73=0,"",Calc!$BP$73)</f>
        <v/>
      </c>
      <c r="BS33" s="31">
        <f>IF(Calc!$BP$74=0,"",Calc!$BP$74)</f>
        <v/>
      </c>
      <c r="BT33" s="31">
        <f>IF(Calc!$BP$75=0,"",Calc!$BP$75)</f>
        <v/>
      </c>
      <c r="BU33" s="31">
        <f>IF(Calc!$BP$76=0,"",Calc!$BP$76)</f>
        <v/>
      </c>
      <c r="BV33" s="31">
        <f>IF(Calc!$BP$77=0,"",Calc!$BP$77)</f>
        <v/>
      </c>
      <c r="BW33" s="31">
        <f>IF(Calc!$BP$78=0,"",Calc!$BP$78)</f>
        <v/>
      </c>
      <c r="BX33" s="31">
        <f>IF(Calc!$BP$79=0,"",Calc!$BP$79)</f>
        <v/>
      </c>
      <c r="BY33" s="31">
        <f>IF(Calc!$BP$80=0,"",Calc!$BP$80)</f>
        <v/>
      </c>
      <c r="BZ33" s="31">
        <f>IF(Calc!$BP$81=0,"",Calc!$BP$81)</f>
        <v/>
      </c>
      <c r="CA33" s="31">
        <f>IF(Calc!$BP$82=0,"",Calc!$BP$82)</f>
        <v/>
      </c>
      <c r="CB33" s="31">
        <f>IF(Calc!$BP$83=0,"",Calc!$BP$83)</f>
        <v/>
      </c>
      <c r="CC33" s="31">
        <f>IF(Calc!$BP$84=0,"",Calc!$BP$84)</f>
        <v/>
      </c>
      <c r="CD33" s="31">
        <f>IF(Calc!$BP$85=0,"",Calc!$BP$85)</f>
        <v/>
      </c>
      <c r="CE33" s="31">
        <f>IF(Calc!$BP$86=0,"",Calc!$BP$86)</f>
        <v/>
      </c>
      <c r="CF33" s="31">
        <f>IF(Calc!$BP$87=0,"",Calc!$BP$87)</f>
        <v/>
      </c>
      <c r="CG33" s="31">
        <f>IF(Calc!$BP$88=0,"",Calc!$BP$88)</f>
        <v/>
      </c>
      <c r="CH33" s="31">
        <f>IF(Calc!$BP$89=0,"",Calc!$BP$89)</f>
        <v/>
      </c>
      <c r="CI33" s="31">
        <f>IF(Calc!$BP$90=0,"",Calc!$BP$90)</f>
        <v/>
      </c>
      <c r="CJ33" s="31">
        <f>IF(Calc!$BP$91=0,"",Calc!$BP$91)</f>
        <v/>
      </c>
      <c r="CK33" s="31">
        <f>IF(Calc!$BP$92=0,"",Calc!$BP$92)</f>
        <v/>
      </c>
      <c r="CL33" s="31">
        <f>IF(Calc!$BP$93=0,"",Calc!$BP$93)</f>
        <v/>
      </c>
      <c r="CM33" s="31">
        <f>IF(Calc!$BP$94=0,"",Calc!$BP$94)</f>
        <v/>
      </c>
      <c r="CN33" s="31">
        <f>IF(Calc!$BP$95=0,"",Calc!$BP$95)</f>
        <v/>
      </c>
      <c r="CO33" s="31">
        <f>IF(Calc!$BP$96=0,"",Calc!$BP$96)</f>
        <v/>
      </c>
      <c r="CP33" s="31">
        <f>IF(Calc!$BP$97=0,"",Calc!$BP$97)</f>
        <v/>
      </c>
      <c r="CQ33" s="31">
        <f>IF(Calc!$BP$98=0,"",Calc!$BP$98)</f>
        <v/>
      </c>
      <c r="CR33" s="31">
        <f>IF(Calc!$BP$99=0,"",Calc!$BP$99)</f>
        <v/>
      </c>
      <c r="CS33" s="31">
        <f>IF(Calc!$BP$100=0,"",Calc!$BP$100)</f>
        <v/>
      </c>
      <c r="CT33" s="31">
        <f>IF(Calc!$BP$101=0,"",Calc!$BP$101)</f>
        <v/>
      </c>
      <c r="CU33" s="31">
        <f>IF(Calc!$BP$102=0,"",Calc!$BP$102)</f>
        <v/>
      </c>
      <c r="CV33" s="31">
        <f>IF(Calc!$BP$103=0,"",Calc!$BP$103)</f>
        <v/>
      </c>
      <c r="CW33" s="31">
        <f>IF(Calc!$BP$104=0,"",Calc!$BP$104)</f>
        <v/>
      </c>
      <c r="CX33" s="31">
        <f>IF(Calc!$BP$105=0,"",Calc!$BP$105)</f>
        <v/>
      </c>
      <c r="CY33" s="31">
        <f>IF(Calc!$BP$106=0,"",Calc!$BP$106)</f>
        <v/>
      </c>
      <c r="CZ33" s="31">
        <f>IF(Calc!$BP$107=0,"",Calc!$BP$107)</f>
        <v/>
      </c>
      <c r="DA33" s="31">
        <f>IF(Calc!$BP$108=0,"",Calc!$BP$108)</f>
        <v/>
      </c>
      <c r="DB33" s="31">
        <f>IF(Calc!$BP$109=0,"",Calc!$BP$109)</f>
        <v/>
      </c>
      <c r="DC33" s="31">
        <f>IF(Calc!$BP$110=0,"",Calc!$BP$110)</f>
        <v/>
      </c>
      <c r="DD33" s="31">
        <f>IF(Calc!$BP$111=0,"",Calc!$BP$111)</f>
        <v/>
      </c>
      <c r="DE33" s="31">
        <f>IF(Calc!$BP$112=0,"",Calc!$BP$112)</f>
        <v/>
      </c>
      <c r="DF33" s="31">
        <f>IF(Calc!$BP$113=0,"",Calc!$BP$113)</f>
        <v/>
      </c>
      <c r="DG33" s="31">
        <f>IF(Calc!$BP$114=0,"",Calc!$BP$114)</f>
        <v/>
      </c>
      <c r="DH33" s="31">
        <f>IF(Calc!$BP$115=0,"",Calc!$BP$115)</f>
        <v/>
      </c>
      <c r="DI33" s="31">
        <f>IF(Calc!$BP$116=0,"",Calc!$BP$116)</f>
        <v/>
      </c>
      <c r="DJ33" s="31">
        <f>IF(Calc!$BP$117=0,"",Calc!$BP$117)</f>
        <v/>
      </c>
      <c r="DK33" s="31">
        <f>IF(Calc!$BP$118=0,"",Calc!$BP$118)</f>
        <v/>
      </c>
      <c r="DL33" s="31">
        <f>IF(Calc!$BP$119=0,"",Calc!$BP$119)</f>
        <v/>
      </c>
      <c r="DM33" s="31">
        <f>IF(Calc!$BP$120=0,"",Calc!$BP$120)</f>
        <v/>
      </c>
      <c r="DN33" s="31">
        <f>IF(Calc!$BP$121=0,"",Calc!$BP$121)</f>
        <v/>
      </c>
      <c r="DO33" s="31">
        <f>IF(Calc!$BP$122=0,"",Calc!$BP$122)</f>
        <v/>
      </c>
      <c r="DP33" s="31">
        <f>IF(Calc!$BP$123=0,"",Calc!$BP$123)</f>
        <v/>
      </c>
      <c r="DQ33" s="31">
        <f>IF(Calc!$BP$124=0,"",Calc!$BP$124)</f>
        <v/>
      </c>
      <c r="DR33" s="31">
        <f>IF(Calc!$BP$125=0,"",Calc!$BP$125)</f>
        <v/>
      </c>
      <c r="DS33" s="31">
        <f>IF(Calc!$BP$126=0,"",Calc!$BP$126)</f>
        <v/>
      </c>
      <c r="DT33" s="31">
        <f>IF(Calc!$BP$127=0,"",Calc!$BP$127)</f>
        <v/>
      </c>
      <c r="DU33" s="31">
        <f>IF(Calc!$BP$128=0,"",Calc!$BP$128)</f>
        <v/>
      </c>
      <c r="DV33" s="31">
        <f>IF(Calc!$BP$129=0,"",Calc!$BP$129)</f>
        <v/>
      </c>
      <c r="DW33" s="31">
        <f>IF(Calc!$BP$130=0,"",Calc!$BP$130)</f>
        <v/>
      </c>
      <c r="DX33" s="31">
        <f>IF(Calc!$BP$131=0,"",Calc!$BP$131)</f>
        <v/>
      </c>
      <c r="DY33" s="31">
        <f>IF(Calc!$BP$132=0,"",Calc!$BP$132)</f>
        <v/>
      </c>
      <c r="DZ33" s="31">
        <f>IF(Calc!$BP$133=0,"",Calc!$BP$133)</f>
        <v/>
      </c>
      <c r="EA33" s="31">
        <f>IF(Calc!$BP$134=0,"",Calc!$BP$134)</f>
        <v/>
      </c>
      <c r="EB33" s="31">
        <f>IF(Calc!$BP$135=0,"",Calc!$BP$135)</f>
        <v/>
      </c>
      <c r="EC33" s="31">
        <f>IF(Calc!$BP$136=0,"",Calc!$BP$136)</f>
        <v/>
      </c>
      <c r="ED33" s="31">
        <f>IF(Calc!$BP$137=0,"",Calc!$BP$137)</f>
        <v/>
      </c>
      <c r="EE33" s="31">
        <f>IF(Calc!$BP$138=0,"",Calc!$BP$138)</f>
        <v/>
      </c>
      <c r="EF33" s="31">
        <f>IF(Calc!$BP$139=0,"",Calc!$BP$139)</f>
        <v/>
      </c>
      <c r="EG33" s="31">
        <f>IF(Calc!$BP$140=0,"",Calc!$BP$140)</f>
        <v/>
      </c>
      <c r="EH33" s="31">
        <f>IF(Calc!$BP$141=0,"",Calc!$BP$141)</f>
        <v/>
      </c>
      <c r="EI33" s="31">
        <f>IF(Calc!$BP$142=0,"",Calc!$BP$142)</f>
        <v/>
      </c>
      <c r="EJ33" s="31">
        <f>IF(Calc!$BP$143=0,"",Calc!$BP$143)</f>
        <v/>
      </c>
      <c r="EK33" s="31">
        <f>IF(Calc!$BP$144=0,"",Calc!$BP$144)</f>
        <v/>
      </c>
      <c r="EL33" s="31">
        <f>IF(Calc!$BP$145=0,"",Calc!$BP$145)</f>
        <v/>
      </c>
      <c r="EM33" s="31">
        <f>IF(Calc!$BP$146=0,"",Calc!$BP$146)</f>
        <v/>
      </c>
      <c r="EN33" s="31">
        <f>IF(Calc!$BP$147=0,"",Calc!$BP$147)</f>
        <v/>
      </c>
      <c r="EO33" s="31">
        <f>IF(Calc!$BP$148=0,"",Calc!$BP$148)</f>
        <v/>
      </c>
      <c r="EP33" s="31">
        <f>IF(Calc!$BP$149=0,"",Calc!$BP$149)</f>
        <v/>
      </c>
      <c r="EQ33" s="31">
        <f>IF(Calc!$BP$150=0,"",Calc!$BP$150)</f>
        <v/>
      </c>
      <c r="ER33" s="31">
        <f>IF(Calc!$BP$151=0,"",Calc!$BP$151)</f>
        <v/>
      </c>
      <c r="ES33" s="31">
        <f>IF(Calc!$BP$152=0,"",Calc!$BP$152)</f>
        <v/>
      </c>
      <c r="ET33" s="31">
        <f>IF(Calc!$BP$153=0,"",Calc!$BP$153)</f>
        <v/>
      </c>
      <c r="EU33" s="31">
        <f>IF(Calc!$BP$154=0,"",Calc!$BP$154)</f>
        <v/>
      </c>
      <c r="EV33" s="31">
        <f>IF(Calc!$BP$155=0,"",Calc!$BP$155)</f>
        <v/>
      </c>
      <c r="EW33" s="31">
        <f>IF(Calc!$BP$156=0,"",Calc!$BP$156)</f>
        <v/>
      </c>
      <c r="EX33" s="31">
        <f>IF(Calc!$BP$157=0,"",Calc!$BP$157)</f>
        <v/>
      </c>
      <c r="EY33" s="31">
        <f>IF(Calc!$BP$158=0,"",Calc!$BP$158)</f>
        <v/>
      </c>
      <c r="EZ33" s="31">
        <f>IF(Calc!$BP$159=0,"",Calc!$BP$159)</f>
        <v/>
      </c>
      <c r="FA33" s="31">
        <f>IF(Calc!$BP$160=0,"",Calc!$BP$160)</f>
        <v/>
      </c>
      <c r="FB33" s="31">
        <f>IF(Calc!$BP$161=0,"",Calc!$BP$161)</f>
        <v/>
      </c>
      <c r="FC33" s="31">
        <f>IF(Calc!$BP$162=0,"",Calc!$BP$162)</f>
        <v/>
      </c>
      <c r="FD33" s="31">
        <f>IF(Calc!$BP$163=0,"",Calc!$BP$163)</f>
        <v/>
      </c>
      <c r="FE33" s="31">
        <f>IF(Calc!$BP$164=0,"",Calc!$BP$164)</f>
        <v/>
      </c>
      <c r="FF33" s="31">
        <f>IF(Calc!$BP$165=0,"",Calc!$BP$165)</f>
        <v/>
      </c>
      <c r="FG33" s="31">
        <f>IF(Calc!$BP$166=0,"",Calc!$BP$166)</f>
        <v/>
      </c>
      <c r="FH33" s="31">
        <f>IF(Calc!$BP$167=0,"",Calc!$BP$167)</f>
        <v/>
      </c>
      <c r="FI33" s="31">
        <f>IF(Calc!$BP$168=0,"",Calc!$BP$168)</f>
        <v/>
      </c>
      <c r="FJ33" s="31">
        <f>IF(Calc!$BP$169=0,"",Calc!$BP$169)</f>
        <v/>
      </c>
      <c r="FK33" s="31">
        <f>IF(Calc!$BP$170=0,"",Calc!$BP$170)</f>
        <v/>
      </c>
      <c r="FL33" s="31">
        <f>IF(Calc!$BP$171=0,"",Calc!$BP$171)</f>
        <v/>
      </c>
      <c r="FM33" s="31">
        <f>IF(Calc!$BP$172=0,"",Calc!$BP$172)</f>
        <v/>
      </c>
      <c r="FN33" s="31">
        <f>IF(Calc!$BP$173=0,"",Calc!$BP$173)</f>
        <v/>
      </c>
      <c r="FO33" s="31">
        <f>IF(Calc!$BP$174=0,"",Calc!$BP$174)</f>
        <v/>
      </c>
      <c r="FP33" s="31">
        <f>IF(Calc!$BP$175=0,"",Calc!$BP$175)</f>
        <v/>
      </c>
      <c r="FQ33" s="31">
        <f>IF(Calc!$BP$176=0,"",Calc!$BP$176)</f>
        <v/>
      </c>
      <c r="FR33" s="31">
        <f>IF(Calc!$BP$177=0,"",Calc!$BP$177)</f>
        <v/>
      </c>
      <c r="FS33" s="31">
        <f>IF(Calc!$BP$178=0,"",Calc!$BP$178)</f>
        <v/>
      </c>
      <c r="FT33" s="31">
        <f>IF(Calc!$BP$179=0,"",Calc!$BP$179)</f>
        <v/>
      </c>
      <c r="FU33" s="31">
        <f>IF(Calc!$BP$180=0,"",Calc!$BP$180)</f>
        <v/>
      </c>
      <c r="FV33" s="31">
        <f>IF(Calc!$BP$181=0,"",Calc!$BP$181)</f>
        <v/>
      </c>
      <c r="FW33" s="31">
        <f>IF(Calc!$BP$182=0,"",Calc!$BP$182)</f>
        <v/>
      </c>
      <c r="FX33" s="31">
        <f>IF(Calc!$BP$183=0,"",Calc!$BP$183)</f>
        <v/>
      </c>
    </row>
    <row r="34" ht="26" customHeight="1">
      <c r="A34" s="11" t="inlineStr">
        <is>
          <t>3 · Costs</t>
        </is>
      </c>
      <c r="B34" s="12" t="n"/>
    </row>
    <row r="35">
      <c r="A35" s="15" t="inlineStr">
        <is>
          <t>Family-paid costs (rent, bills a relative pays…)</t>
        </is>
      </c>
      <c r="B35" s="26">
        <f>IF(Settings!$B$14="","type the month’s total","grey = usual amount")</f>
        <v/>
      </c>
      <c r="C35" s="31">
        <f>IF(Calc!$BQ$6=0,"",Calc!$BQ$6)</f>
        <v/>
      </c>
      <c r="D35" s="31">
        <f>IF(Calc!$BQ$7=0,"",Calc!$BQ$7)</f>
        <v/>
      </c>
      <c r="E35" s="31">
        <f>IF(Calc!$BQ$8=0,"",Calc!$BQ$8)</f>
        <v/>
      </c>
      <c r="F35" s="31">
        <f>IF(Calc!$BQ$9=0,"",Calc!$BQ$9)</f>
        <v/>
      </c>
      <c r="G35" s="31">
        <f>IF(Calc!$BQ$10=0,"",Calc!$BQ$10)</f>
        <v/>
      </c>
      <c r="H35" s="31">
        <f>IF(Calc!$BQ$11=0,"",Calc!$BQ$11)</f>
        <v/>
      </c>
      <c r="I35" s="31">
        <f>IF(Calc!$BQ$12=0,"",Calc!$BQ$12)</f>
        <v/>
      </c>
      <c r="J35" s="31">
        <f>IF(Calc!$BQ$13=0,"",Calc!$BQ$13)</f>
        <v/>
      </c>
      <c r="K35" s="31">
        <f>IF(Calc!$BQ$14=0,"",Calc!$BQ$14)</f>
        <v/>
      </c>
      <c r="L35" s="31">
        <f>IF(Calc!$BQ$15=0,"",Calc!$BQ$15)</f>
        <v/>
      </c>
      <c r="M35" s="31">
        <f>IF(Calc!$BQ$16=0,"",Calc!$BQ$16)</f>
        <v/>
      </c>
      <c r="N35" s="31">
        <f>IF(Calc!$BQ$17=0,"",Calc!$BQ$17)</f>
        <v/>
      </c>
      <c r="O35" s="31">
        <f>IF(Calc!$BQ$18=0,"",Calc!$BQ$18)</f>
        <v/>
      </c>
      <c r="P35" s="31">
        <f>IF(Calc!$BQ$19=0,"",Calc!$BQ$19)</f>
        <v/>
      </c>
      <c r="Q35" s="31">
        <f>IF(Calc!$BQ$20=0,"",Calc!$BQ$20)</f>
        <v/>
      </c>
      <c r="R35" s="31">
        <f>IF(Calc!$BQ$21=0,"",Calc!$BQ$21)</f>
        <v/>
      </c>
      <c r="S35" s="31">
        <f>IF(Calc!$BQ$22=0,"",Calc!$BQ$22)</f>
        <v/>
      </c>
      <c r="T35" s="31">
        <f>IF(Calc!$BQ$23=0,"",Calc!$BQ$23)</f>
        <v/>
      </c>
      <c r="U35" s="31">
        <f>IF(Calc!$BQ$24=0,"",Calc!$BQ$24)</f>
        <v/>
      </c>
      <c r="V35" s="31">
        <f>IF(Calc!$BQ$25=0,"",Calc!$BQ$25)</f>
        <v/>
      </c>
      <c r="W35" s="31">
        <f>IF(Calc!$BQ$26=0,"",Calc!$BQ$26)</f>
        <v/>
      </c>
      <c r="X35" s="31">
        <f>IF(Calc!$BQ$27=0,"",Calc!$BQ$27)</f>
        <v/>
      </c>
      <c r="Y35" s="31">
        <f>IF(Calc!$BQ$28=0,"",Calc!$BQ$28)</f>
        <v/>
      </c>
      <c r="Z35" s="31">
        <f>IF(Calc!$BQ$29=0,"",Calc!$BQ$29)</f>
        <v/>
      </c>
      <c r="AA35" s="31">
        <f>IF(Calc!$BQ$30=0,"",Calc!$BQ$30)</f>
        <v/>
      </c>
      <c r="AB35" s="31">
        <f>IF(Calc!$BQ$31=0,"",Calc!$BQ$31)</f>
        <v/>
      </c>
      <c r="AC35" s="31">
        <f>IF(Calc!$BQ$32=0,"",Calc!$BQ$32)</f>
        <v/>
      </c>
      <c r="AD35" s="31">
        <f>IF(Calc!$BQ$33=0,"",Calc!$BQ$33)</f>
        <v/>
      </c>
      <c r="AE35" s="31">
        <f>IF(Calc!$BQ$34=0,"",Calc!$BQ$34)</f>
        <v/>
      </c>
      <c r="AF35" s="31">
        <f>IF(Calc!$BQ$35=0,"",Calc!$BQ$35)</f>
        <v/>
      </c>
      <c r="AG35" s="31">
        <f>IF(Calc!$BQ$36=0,"",Calc!$BQ$36)</f>
        <v/>
      </c>
      <c r="AH35" s="31">
        <f>IF(Calc!$BQ$37=0,"",Calc!$BQ$37)</f>
        <v/>
      </c>
      <c r="AI35" s="31">
        <f>IF(Calc!$BQ$38=0,"",Calc!$BQ$38)</f>
        <v/>
      </c>
      <c r="AJ35" s="31">
        <f>IF(Calc!$BQ$39=0,"",Calc!$BQ$39)</f>
        <v/>
      </c>
      <c r="AK35" s="31">
        <f>IF(Calc!$BQ$40=0,"",Calc!$BQ$40)</f>
        <v/>
      </c>
      <c r="AL35" s="31">
        <f>IF(Calc!$BQ$41=0,"",Calc!$BQ$41)</f>
        <v/>
      </c>
      <c r="AM35" s="31">
        <f>IF(Calc!$BQ$42=0,"",Calc!$BQ$42)</f>
        <v/>
      </c>
      <c r="AN35" s="31">
        <f>IF(Calc!$BQ$43=0,"",Calc!$BQ$43)</f>
        <v/>
      </c>
      <c r="AO35" s="31">
        <f>IF(Calc!$BQ$44=0,"",Calc!$BQ$44)</f>
        <v/>
      </c>
      <c r="AP35" s="31">
        <f>IF(Calc!$BQ$45=0,"",Calc!$BQ$45)</f>
        <v/>
      </c>
      <c r="AQ35" s="31">
        <f>IF(Calc!$BQ$46=0,"",Calc!$BQ$46)</f>
        <v/>
      </c>
      <c r="AR35" s="31">
        <f>IF(Calc!$BQ$47=0,"",Calc!$BQ$47)</f>
        <v/>
      </c>
      <c r="AS35" s="31">
        <f>IF(Calc!$BQ$48=0,"",Calc!$BQ$48)</f>
        <v/>
      </c>
      <c r="AT35" s="31">
        <f>IF(Calc!$BQ$49=0,"",Calc!$BQ$49)</f>
        <v/>
      </c>
      <c r="AU35" s="31">
        <f>IF(Calc!$BQ$50=0,"",Calc!$BQ$50)</f>
        <v/>
      </c>
      <c r="AV35" s="31">
        <f>IF(Calc!$BQ$51=0,"",Calc!$BQ$51)</f>
        <v/>
      </c>
      <c r="AW35" s="31">
        <f>IF(Calc!$BQ$52=0,"",Calc!$BQ$52)</f>
        <v/>
      </c>
      <c r="AX35" s="31">
        <f>IF(Calc!$BQ$53=0,"",Calc!$BQ$53)</f>
        <v/>
      </c>
      <c r="AY35" s="31">
        <f>IF(Calc!$BQ$54=0,"",Calc!$BQ$54)</f>
        <v/>
      </c>
      <c r="AZ35" s="31">
        <f>IF(Calc!$BQ$55=0,"",Calc!$BQ$55)</f>
        <v/>
      </c>
      <c r="BA35" s="31">
        <f>IF(Calc!$BQ$56=0,"",Calc!$BQ$56)</f>
        <v/>
      </c>
      <c r="BB35" s="31">
        <f>IF(Calc!$BQ$57=0,"",Calc!$BQ$57)</f>
        <v/>
      </c>
      <c r="BC35" s="31">
        <f>IF(Calc!$BQ$58=0,"",Calc!$BQ$58)</f>
        <v/>
      </c>
      <c r="BD35" s="31">
        <f>IF(Calc!$BQ$59=0,"",Calc!$BQ$59)</f>
        <v/>
      </c>
      <c r="BE35" s="31">
        <f>IF(Calc!$BQ$60=0,"",Calc!$BQ$60)</f>
        <v/>
      </c>
      <c r="BF35" s="31">
        <f>IF(Calc!$BQ$61=0,"",Calc!$BQ$61)</f>
        <v/>
      </c>
      <c r="BG35" s="31">
        <f>IF(Calc!$BQ$62=0,"",Calc!$BQ$62)</f>
        <v/>
      </c>
      <c r="BH35" s="31">
        <f>IF(Calc!$BQ$63=0,"",Calc!$BQ$63)</f>
        <v/>
      </c>
      <c r="BI35" s="31">
        <f>IF(Calc!$BQ$64=0,"",Calc!$BQ$64)</f>
        <v/>
      </c>
      <c r="BJ35" s="31">
        <f>IF(Calc!$BQ$65=0,"",Calc!$BQ$65)</f>
        <v/>
      </c>
      <c r="BK35" s="31">
        <f>IF(Calc!$BQ$66=0,"",Calc!$BQ$66)</f>
        <v/>
      </c>
      <c r="BL35" s="31">
        <f>IF(Calc!$BQ$67=0,"",Calc!$BQ$67)</f>
        <v/>
      </c>
      <c r="BM35" s="31">
        <f>IF(Calc!$BQ$68=0,"",Calc!$BQ$68)</f>
        <v/>
      </c>
      <c r="BN35" s="31">
        <f>IF(Calc!$BQ$69=0,"",Calc!$BQ$69)</f>
        <v/>
      </c>
      <c r="BO35" s="31">
        <f>IF(Calc!$BQ$70=0,"",Calc!$BQ$70)</f>
        <v/>
      </c>
      <c r="BP35" s="31">
        <f>IF(Calc!$BQ$71=0,"",Calc!$BQ$71)</f>
        <v/>
      </c>
      <c r="BQ35" s="31">
        <f>IF(Calc!$BQ$72=0,"",Calc!$BQ$72)</f>
        <v/>
      </c>
      <c r="BR35" s="31">
        <f>IF(Calc!$BQ$73=0,"",Calc!$BQ$73)</f>
        <v/>
      </c>
      <c r="BS35" s="31">
        <f>IF(Calc!$BQ$74=0,"",Calc!$BQ$74)</f>
        <v/>
      </c>
      <c r="BT35" s="31">
        <f>IF(Calc!$BQ$75=0,"",Calc!$BQ$75)</f>
        <v/>
      </c>
      <c r="BU35" s="31">
        <f>IF(Calc!$BQ$76=0,"",Calc!$BQ$76)</f>
        <v/>
      </c>
      <c r="BV35" s="31">
        <f>IF(Calc!$BQ$77=0,"",Calc!$BQ$77)</f>
        <v/>
      </c>
      <c r="BW35" s="31">
        <f>IF(Calc!$BQ$78=0,"",Calc!$BQ$78)</f>
        <v/>
      </c>
      <c r="BX35" s="31">
        <f>IF(Calc!$BQ$79=0,"",Calc!$BQ$79)</f>
        <v/>
      </c>
      <c r="BY35" s="31">
        <f>IF(Calc!$BQ$80=0,"",Calc!$BQ$80)</f>
        <v/>
      </c>
      <c r="BZ35" s="31">
        <f>IF(Calc!$BQ$81=0,"",Calc!$BQ$81)</f>
        <v/>
      </c>
      <c r="CA35" s="31">
        <f>IF(Calc!$BQ$82=0,"",Calc!$BQ$82)</f>
        <v/>
      </c>
      <c r="CB35" s="31">
        <f>IF(Calc!$BQ$83=0,"",Calc!$BQ$83)</f>
        <v/>
      </c>
      <c r="CC35" s="31">
        <f>IF(Calc!$BQ$84=0,"",Calc!$BQ$84)</f>
        <v/>
      </c>
      <c r="CD35" s="31">
        <f>IF(Calc!$BQ$85=0,"",Calc!$BQ$85)</f>
        <v/>
      </c>
      <c r="CE35" s="31">
        <f>IF(Calc!$BQ$86=0,"",Calc!$BQ$86)</f>
        <v/>
      </c>
      <c r="CF35" s="31">
        <f>IF(Calc!$BQ$87=0,"",Calc!$BQ$87)</f>
        <v/>
      </c>
      <c r="CG35" s="31">
        <f>IF(Calc!$BQ$88=0,"",Calc!$BQ$88)</f>
        <v/>
      </c>
      <c r="CH35" s="31">
        <f>IF(Calc!$BQ$89=0,"",Calc!$BQ$89)</f>
        <v/>
      </c>
      <c r="CI35" s="31">
        <f>IF(Calc!$BQ$90=0,"",Calc!$BQ$90)</f>
        <v/>
      </c>
      <c r="CJ35" s="31">
        <f>IF(Calc!$BQ$91=0,"",Calc!$BQ$91)</f>
        <v/>
      </c>
      <c r="CK35" s="31">
        <f>IF(Calc!$BQ$92=0,"",Calc!$BQ$92)</f>
        <v/>
      </c>
      <c r="CL35" s="31">
        <f>IF(Calc!$BQ$93=0,"",Calc!$BQ$93)</f>
        <v/>
      </c>
      <c r="CM35" s="31">
        <f>IF(Calc!$BQ$94=0,"",Calc!$BQ$94)</f>
        <v/>
      </c>
      <c r="CN35" s="31">
        <f>IF(Calc!$BQ$95=0,"",Calc!$BQ$95)</f>
        <v/>
      </c>
      <c r="CO35" s="31">
        <f>IF(Calc!$BQ$96=0,"",Calc!$BQ$96)</f>
        <v/>
      </c>
      <c r="CP35" s="31">
        <f>IF(Calc!$BQ$97=0,"",Calc!$BQ$97)</f>
        <v/>
      </c>
      <c r="CQ35" s="31">
        <f>IF(Calc!$BQ$98=0,"",Calc!$BQ$98)</f>
        <v/>
      </c>
      <c r="CR35" s="31">
        <f>IF(Calc!$BQ$99=0,"",Calc!$BQ$99)</f>
        <v/>
      </c>
      <c r="CS35" s="31">
        <f>IF(Calc!$BQ$100=0,"",Calc!$BQ$100)</f>
        <v/>
      </c>
      <c r="CT35" s="31">
        <f>IF(Calc!$BQ$101=0,"",Calc!$BQ$101)</f>
        <v/>
      </c>
      <c r="CU35" s="31">
        <f>IF(Calc!$BQ$102=0,"",Calc!$BQ$102)</f>
        <v/>
      </c>
      <c r="CV35" s="31">
        <f>IF(Calc!$BQ$103=0,"",Calc!$BQ$103)</f>
        <v/>
      </c>
      <c r="CW35" s="31">
        <f>IF(Calc!$BQ$104=0,"",Calc!$BQ$104)</f>
        <v/>
      </c>
      <c r="CX35" s="31">
        <f>IF(Calc!$BQ$105=0,"",Calc!$BQ$105)</f>
        <v/>
      </c>
      <c r="CY35" s="31">
        <f>IF(Calc!$BQ$106=0,"",Calc!$BQ$106)</f>
        <v/>
      </c>
      <c r="CZ35" s="31">
        <f>IF(Calc!$BQ$107=0,"",Calc!$BQ$107)</f>
        <v/>
      </c>
      <c r="DA35" s="31">
        <f>IF(Calc!$BQ$108=0,"",Calc!$BQ$108)</f>
        <v/>
      </c>
      <c r="DB35" s="31">
        <f>IF(Calc!$BQ$109=0,"",Calc!$BQ$109)</f>
        <v/>
      </c>
      <c r="DC35" s="31">
        <f>IF(Calc!$BQ$110=0,"",Calc!$BQ$110)</f>
        <v/>
      </c>
      <c r="DD35" s="31">
        <f>IF(Calc!$BQ$111=0,"",Calc!$BQ$111)</f>
        <v/>
      </c>
      <c r="DE35" s="31">
        <f>IF(Calc!$BQ$112=0,"",Calc!$BQ$112)</f>
        <v/>
      </c>
      <c r="DF35" s="31">
        <f>IF(Calc!$BQ$113=0,"",Calc!$BQ$113)</f>
        <v/>
      </c>
      <c r="DG35" s="31">
        <f>IF(Calc!$BQ$114=0,"",Calc!$BQ$114)</f>
        <v/>
      </c>
      <c r="DH35" s="31">
        <f>IF(Calc!$BQ$115=0,"",Calc!$BQ$115)</f>
        <v/>
      </c>
      <c r="DI35" s="31">
        <f>IF(Calc!$BQ$116=0,"",Calc!$BQ$116)</f>
        <v/>
      </c>
      <c r="DJ35" s="31">
        <f>IF(Calc!$BQ$117=0,"",Calc!$BQ$117)</f>
        <v/>
      </c>
      <c r="DK35" s="31">
        <f>IF(Calc!$BQ$118=0,"",Calc!$BQ$118)</f>
        <v/>
      </c>
      <c r="DL35" s="31">
        <f>IF(Calc!$BQ$119=0,"",Calc!$BQ$119)</f>
        <v/>
      </c>
      <c r="DM35" s="31">
        <f>IF(Calc!$BQ$120=0,"",Calc!$BQ$120)</f>
        <v/>
      </c>
      <c r="DN35" s="31">
        <f>IF(Calc!$BQ$121=0,"",Calc!$BQ$121)</f>
        <v/>
      </c>
      <c r="DO35" s="31">
        <f>IF(Calc!$BQ$122=0,"",Calc!$BQ$122)</f>
        <v/>
      </c>
      <c r="DP35" s="31">
        <f>IF(Calc!$BQ$123=0,"",Calc!$BQ$123)</f>
        <v/>
      </c>
      <c r="DQ35" s="31">
        <f>IF(Calc!$BQ$124=0,"",Calc!$BQ$124)</f>
        <v/>
      </c>
      <c r="DR35" s="31">
        <f>IF(Calc!$BQ$125=0,"",Calc!$BQ$125)</f>
        <v/>
      </c>
      <c r="DS35" s="31">
        <f>IF(Calc!$BQ$126=0,"",Calc!$BQ$126)</f>
        <v/>
      </c>
      <c r="DT35" s="31">
        <f>IF(Calc!$BQ$127=0,"",Calc!$BQ$127)</f>
        <v/>
      </c>
      <c r="DU35" s="31">
        <f>IF(Calc!$BQ$128=0,"",Calc!$BQ$128)</f>
        <v/>
      </c>
      <c r="DV35" s="31">
        <f>IF(Calc!$BQ$129=0,"",Calc!$BQ$129)</f>
        <v/>
      </c>
      <c r="DW35" s="31">
        <f>IF(Calc!$BQ$130=0,"",Calc!$BQ$130)</f>
        <v/>
      </c>
      <c r="DX35" s="31">
        <f>IF(Calc!$BQ$131=0,"",Calc!$BQ$131)</f>
        <v/>
      </c>
      <c r="DY35" s="31">
        <f>IF(Calc!$BQ$132=0,"",Calc!$BQ$132)</f>
        <v/>
      </c>
      <c r="DZ35" s="31">
        <f>IF(Calc!$BQ$133=0,"",Calc!$BQ$133)</f>
        <v/>
      </c>
      <c r="EA35" s="31">
        <f>IF(Calc!$BQ$134=0,"",Calc!$BQ$134)</f>
        <v/>
      </c>
      <c r="EB35" s="31">
        <f>IF(Calc!$BQ$135=0,"",Calc!$BQ$135)</f>
        <v/>
      </c>
      <c r="EC35" s="31">
        <f>IF(Calc!$BQ$136=0,"",Calc!$BQ$136)</f>
        <v/>
      </c>
      <c r="ED35" s="31">
        <f>IF(Calc!$BQ$137=0,"",Calc!$BQ$137)</f>
        <v/>
      </c>
      <c r="EE35" s="31">
        <f>IF(Calc!$BQ$138=0,"",Calc!$BQ$138)</f>
        <v/>
      </c>
      <c r="EF35" s="31">
        <f>IF(Calc!$BQ$139=0,"",Calc!$BQ$139)</f>
        <v/>
      </c>
      <c r="EG35" s="31">
        <f>IF(Calc!$BQ$140=0,"",Calc!$BQ$140)</f>
        <v/>
      </c>
      <c r="EH35" s="31">
        <f>IF(Calc!$BQ$141=0,"",Calc!$BQ$141)</f>
        <v/>
      </c>
      <c r="EI35" s="31">
        <f>IF(Calc!$BQ$142=0,"",Calc!$BQ$142)</f>
        <v/>
      </c>
      <c r="EJ35" s="31">
        <f>IF(Calc!$BQ$143=0,"",Calc!$BQ$143)</f>
        <v/>
      </c>
      <c r="EK35" s="31">
        <f>IF(Calc!$BQ$144=0,"",Calc!$BQ$144)</f>
        <v/>
      </c>
      <c r="EL35" s="31">
        <f>IF(Calc!$BQ$145=0,"",Calc!$BQ$145)</f>
        <v/>
      </c>
      <c r="EM35" s="31">
        <f>IF(Calc!$BQ$146=0,"",Calc!$BQ$146)</f>
        <v/>
      </c>
      <c r="EN35" s="31">
        <f>IF(Calc!$BQ$147=0,"",Calc!$BQ$147)</f>
        <v/>
      </c>
      <c r="EO35" s="31">
        <f>IF(Calc!$BQ$148=0,"",Calc!$BQ$148)</f>
        <v/>
      </c>
      <c r="EP35" s="31">
        <f>IF(Calc!$BQ$149=0,"",Calc!$BQ$149)</f>
        <v/>
      </c>
      <c r="EQ35" s="31">
        <f>IF(Calc!$BQ$150=0,"",Calc!$BQ$150)</f>
        <v/>
      </c>
      <c r="ER35" s="31">
        <f>IF(Calc!$BQ$151=0,"",Calc!$BQ$151)</f>
        <v/>
      </c>
      <c r="ES35" s="31">
        <f>IF(Calc!$BQ$152=0,"",Calc!$BQ$152)</f>
        <v/>
      </c>
      <c r="ET35" s="31">
        <f>IF(Calc!$BQ$153=0,"",Calc!$BQ$153)</f>
        <v/>
      </c>
      <c r="EU35" s="31">
        <f>IF(Calc!$BQ$154=0,"",Calc!$BQ$154)</f>
        <v/>
      </c>
      <c r="EV35" s="31">
        <f>IF(Calc!$BQ$155=0,"",Calc!$BQ$155)</f>
        <v/>
      </c>
      <c r="EW35" s="31">
        <f>IF(Calc!$BQ$156=0,"",Calc!$BQ$156)</f>
        <v/>
      </c>
      <c r="EX35" s="31">
        <f>IF(Calc!$BQ$157=0,"",Calc!$BQ$157)</f>
        <v/>
      </c>
      <c r="EY35" s="31">
        <f>IF(Calc!$BQ$158=0,"",Calc!$BQ$158)</f>
        <v/>
      </c>
      <c r="EZ35" s="31">
        <f>IF(Calc!$BQ$159=0,"",Calc!$BQ$159)</f>
        <v/>
      </c>
      <c r="FA35" s="31">
        <f>IF(Calc!$BQ$160=0,"",Calc!$BQ$160)</f>
        <v/>
      </c>
      <c r="FB35" s="31">
        <f>IF(Calc!$BQ$161=0,"",Calc!$BQ$161)</f>
        <v/>
      </c>
      <c r="FC35" s="31">
        <f>IF(Calc!$BQ$162=0,"",Calc!$BQ$162)</f>
        <v/>
      </c>
      <c r="FD35" s="31">
        <f>IF(Calc!$BQ$163=0,"",Calc!$BQ$163)</f>
        <v/>
      </c>
      <c r="FE35" s="31">
        <f>IF(Calc!$BQ$164=0,"",Calc!$BQ$164)</f>
        <v/>
      </c>
      <c r="FF35" s="31">
        <f>IF(Calc!$BQ$165=0,"",Calc!$BQ$165)</f>
        <v/>
      </c>
      <c r="FG35" s="31">
        <f>IF(Calc!$BQ$166=0,"",Calc!$BQ$166)</f>
        <v/>
      </c>
      <c r="FH35" s="31">
        <f>IF(Calc!$BQ$167=0,"",Calc!$BQ$167)</f>
        <v/>
      </c>
      <c r="FI35" s="31">
        <f>IF(Calc!$BQ$168=0,"",Calc!$BQ$168)</f>
        <v/>
      </c>
      <c r="FJ35" s="31">
        <f>IF(Calc!$BQ$169=0,"",Calc!$BQ$169)</f>
        <v/>
      </c>
      <c r="FK35" s="31">
        <f>IF(Calc!$BQ$170=0,"",Calc!$BQ$170)</f>
        <v/>
      </c>
      <c r="FL35" s="31">
        <f>IF(Calc!$BQ$171=0,"",Calc!$BQ$171)</f>
        <v/>
      </c>
      <c r="FM35" s="31">
        <f>IF(Calc!$BQ$172=0,"",Calc!$BQ$172)</f>
        <v/>
      </c>
      <c r="FN35" s="31">
        <f>IF(Calc!$BQ$173=0,"",Calc!$BQ$173)</f>
        <v/>
      </c>
      <c r="FO35" s="31">
        <f>IF(Calc!$BQ$174=0,"",Calc!$BQ$174)</f>
        <v/>
      </c>
      <c r="FP35" s="31">
        <f>IF(Calc!$BQ$175=0,"",Calc!$BQ$175)</f>
        <v/>
      </c>
      <c r="FQ35" s="31">
        <f>IF(Calc!$BQ$176=0,"",Calc!$BQ$176)</f>
        <v/>
      </c>
      <c r="FR35" s="31">
        <f>IF(Calc!$BQ$177=0,"",Calc!$BQ$177)</f>
        <v/>
      </c>
      <c r="FS35" s="31">
        <f>IF(Calc!$BQ$178=0,"",Calc!$BQ$178)</f>
        <v/>
      </c>
      <c r="FT35" s="31">
        <f>IF(Calc!$BQ$179=0,"",Calc!$BQ$179)</f>
        <v/>
      </c>
      <c r="FU35" s="31">
        <f>IF(Calc!$BQ$180=0,"",Calc!$BQ$180)</f>
        <v/>
      </c>
      <c r="FV35" s="31">
        <f>IF(Calc!$BQ$181=0,"",Calc!$BQ$181)</f>
        <v/>
      </c>
      <c r="FW35" s="31">
        <f>IF(Calc!$BQ$182=0,"",Calc!$BQ$182)</f>
        <v/>
      </c>
      <c r="FX35" s="31">
        <f>IF(Calc!$BQ$183=0,"",Calc!$BQ$183)</f>
        <v/>
      </c>
    </row>
    <row r="36">
      <c r="A36" s="15" t="inlineStr">
        <is>
          <t>One-time costs (optional)</t>
        </is>
      </c>
      <c r="B36" s="26" t="inlineStr">
        <is>
          <t>celebrations, holidays, travel… (part of spending)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1" t="n"/>
      <c r="BI36" s="31" t="n"/>
      <c r="BJ36" s="31" t="n"/>
      <c r="BK36" s="31" t="n"/>
      <c r="BL36" s="31" t="n"/>
      <c r="BM36" s="31" t="n"/>
      <c r="BN36" s="31" t="n"/>
      <c r="BO36" s="31" t="n"/>
      <c r="BP36" s="31" t="n"/>
      <c r="BQ36" s="31" t="n"/>
      <c r="BR36" s="31" t="n"/>
      <c r="BS36" s="31" t="n"/>
      <c r="BT36" s="31" t="n"/>
      <c r="BU36" s="31" t="n"/>
      <c r="BV36" s="31" t="n"/>
      <c r="BW36" s="31" t="n"/>
      <c r="BX36" s="31" t="n"/>
      <c r="BY36" s="31" t="n"/>
      <c r="BZ36" s="31" t="n"/>
      <c r="CA36" s="31" t="n"/>
      <c r="CB36" s="31" t="n"/>
      <c r="CC36" s="31" t="n"/>
      <c r="CD36" s="31" t="n"/>
      <c r="CE36" s="31" t="n"/>
      <c r="CF36" s="31" t="n"/>
      <c r="CG36" s="31" t="n"/>
      <c r="CH36" s="31" t="n"/>
      <c r="CI36" s="31" t="n"/>
      <c r="CJ36" s="31" t="n"/>
      <c r="CK36" s="31" t="n"/>
      <c r="CL36" s="31" t="n"/>
      <c r="CM36" s="31" t="n"/>
      <c r="CN36" s="31" t="n"/>
      <c r="CO36" s="31" t="n"/>
      <c r="CP36" s="31" t="n"/>
      <c r="CQ36" s="31" t="n"/>
      <c r="CR36" s="31" t="n"/>
      <c r="CS36" s="31" t="n"/>
      <c r="CT36" s="31" t="n"/>
      <c r="CU36" s="31" t="n"/>
      <c r="CV36" s="31" t="n"/>
      <c r="CW36" s="31" t="n"/>
      <c r="CX36" s="31" t="n"/>
      <c r="CY36" s="31" t="n"/>
      <c r="CZ36" s="31" t="n"/>
      <c r="DA36" s="31" t="n"/>
      <c r="DB36" s="31" t="n"/>
      <c r="DC36" s="31" t="n"/>
      <c r="DD36" s="31" t="n"/>
      <c r="DE36" s="31" t="n"/>
      <c r="DF36" s="31" t="n"/>
      <c r="DG36" s="31" t="n"/>
      <c r="DH36" s="31" t="n"/>
      <c r="DI36" s="31" t="n"/>
      <c r="DJ36" s="31" t="n"/>
      <c r="DK36" s="31" t="n"/>
      <c r="DL36" s="31" t="n"/>
      <c r="DM36" s="31" t="n"/>
      <c r="DN36" s="31" t="n"/>
      <c r="DO36" s="31" t="n"/>
      <c r="DP36" s="31" t="n"/>
      <c r="DQ36" s="31" t="n"/>
      <c r="DR36" s="31" t="n"/>
      <c r="DS36" s="31" t="n"/>
      <c r="DT36" s="31" t="n"/>
      <c r="DU36" s="31" t="n"/>
      <c r="DV36" s="31" t="n"/>
      <c r="DW36" s="31" t="n"/>
      <c r="DX36" s="31" t="n"/>
      <c r="DY36" s="31" t="n"/>
      <c r="DZ36" s="31" t="n"/>
      <c r="EA36" s="31" t="n"/>
      <c r="EB36" s="31" t="n"/>
      <c r="EC36" s="31" t="n"/>
      <c r="ED36" s="31" t="n"/>
      <c r="EE36" s="31" t="n"/>
      <c r="EF36" s="31" t="n"/>
      <c r="EG36" s="31" t="n"/>
      <c r="EH36" s="31" t="n"/>
      <c r="EI36" s="31" t="n"/>
      <c r="EJ36" s="31" t="n"/>
      <c r="EK36" s="31" t="n"/>
      <c r="EL36" s="31" t="n"/>
      <c r="EM36" s="31" t="n"/>
      <c r="EN36" s="31" t="n"/>
      <c r="EO36" s="31" t="n"/>
      <c r="EP36" s="31" t="n"/>
      <c r="EQ36" s="31" t="n"/>
      <c r="ER36" s="31" t="n"/>
      <c r="ES36" s="31" t="n"/>
      <c r="ET36" s="31" t="n"/>
      <c r="EU36" s="31" t="n"/>
      <c r="EV36" s="31" t="n"/>
      <c r="EW36" s="31" t="n"/>
      <c r="EX36" s="31" t="n"/>
      <c r="EY36" s="31" t="n"/>
      <c r="EZ36" s="31" t="n"/>
      <c r="FA36" s="31" t="n"/>
      <c r="FB36" s="31" t="n"/>
      <c r="FC36" s="31" t="n"/>
      <c r="FD36" s="31" t="n"/>
      <c r="FE36" s="31" t="n"/>
      <c r="FF36" s="31" t="n"/>
      <c r="FG36" s="31" t="n"/>
      <c r="FH36" s="31" t="n"/>
      <c r="FI36" s="31" t="n"/>
      <c r="FJ36" s="31" t="n"/>
      <c r="FK36" s="31" t="n"/>
      <c r="FL36" s="31" t="n"/>
      <c r="FM36" s="31" t="n"/>
      <c r="FN36" s="31" t="n"/>
      <c r="FO36" s="31" t="n"/>
      <c r="FP36" s="31" t="n"/>
      <c r="FQ36" s="31" t="n"/>
      <c r="FR36" s="31" t="n"/>
      <c r="FS36" s="31" t="n"/>
      <c r="FT36" s="31" t="n"/>
      <c r="FU36" s="31" t="n"/>
      <c r="FV36" s="31" t="n"/>
      <c r="FW36" s="31" t="n"/>
      <c r="FX36" s="31" t="n"/>
    </row>
    <row r="37" ht="26" customHeight="1">
      <c r="A37" s="11" t="inlineStr">
        <is>
          <t>4 · Investment values (optional — from a statement)</t>
        </is>
      </c>
      <c r="B37" s="12" t="n"/>
    </row>
    <row r="38">
      <c r="A38" s="15">
        <f>IF(Settings!$A$36="","(unused)",Settings!$A$36&amp;" — value")</f>
        <v/>
      </c>
      <c r="B38" s="26">
        <f>IF(Settings!$A$36="","","grey = last value + deposits")</f>
        <v/>
      </c>
      <c r="C38" s="31">
        <f>IF(OR(Settings!$A$36="",OR(EOMONTH(C$4,0)&lt;=Settings!$B$5,C$4&gt;TODAY())),"",N(Settings!$C$36)+Calc!$AY$6)</f>
        <v/>
      </c>
      <c r="D38" s="31">
        <f>IF(OR(Settings!$A$36="",OR(EOMONTH(D$4,0)&lt;=Settings!$B$5,D$4&gt;TODAY())),"",IF(EOMONTH(C$4,0)&lt;=Settings!$B$5,N(Settings!$C$36),N(Calc!$AS$6))+Calc!$AY$7)</f>
        <v/>
      </c>
      <c r="E38" s="31">
        <f>IF(OR(Settings!$A$36="",OR(EOMONTH(E$4,0)&lt;=Settings!$B$5,E$4&gt;TODAY())),"",IF(EOMONTH(D$4,0)&lt;=Settings!$B$5,N(Settings!$C$36),N(Calc!$AS$7))+Calc!$AY$8)</f>
        <v/>
      </c>
      <c r="F38" s="31">
        <f>IF(OR(Settings!$A$36="",OR(EOMONTH(F$4,0)&lt;=Settings!$B$5,F$4&gt;TODAY())),"",IF(EOMONTH(E$4,0)&lt;=Settings!$B$5,N(Settings!$C$36),N(Calc!$AS$8))+Calc!$AY$9)</f>
        <v/>
      </c>
      <c r="G38" s="31">
        <f>IF(OR(Settings!$A$36="",OR(EOMONTH(G$4,0)&lt;=Settings!$B$5,G$4&gt;TODAY())),"",IF(EOMONTH(F$4,0)&lt;=Settings!$B$5,N(Settings!$C$36),N(Calc!$AS$9))+Calc!$AY$10)</f>
        <v/>
      </c>
      <c r="H38" s="31">
        <f>IF(OR(Settings!$A$36="",OR(EOMONTH(H$4,0)&lt;=Settings!$B$5,H$4&gt;TODAY())),"",IF(EOMONTH(G$4,0)&lt;=Settings!$B$5,N(Settings!$C$36),N(Calc!$AS$10))+Calc!$AY$11)</f>
        <v/>
      </c>
      <c r="I38" s="31">
        <f>IF(OR(Settings!$A$36="",OR(EOMONTH(I$4,0)&lt;=Settings!$B$5,I$4&gt;TODAY())),"",IF(EOMONTH(H$4,0)&lt;=Settings!$B$5,N(Settings!$C$36),N(Calc!$AS$11))+Calc!$AY$12)</f>
        <v/>
      </c>
      <c r="J38" s="31">
        <f>IF(OR(Settings!$A$36="",OR(EOMONTH(J$4,0)&lt;=Settings!$B$5,J$4&gt;TODAY())),"",IF(EOMONTH(I$4,0)&lt;=Settings!$B$5,N(Settings!$C$36),N(Calc!$AS$12))+Calc!$AY$13)</f>
        <v/>
      </c>
      <c r="K38" s="31">
        <f>IF(OR(Settings!$A$36="",OR(EOMONTH(K$4,0)&lt;=Settings!$B$5,K$4&gt;TODAY())),"",IF(EOMONTH(J$4,0)&lt;=Settings!$B$5,N(Settings!$C$36),N(Calc!$AS$13))+Calc!$AY$14)</f>
        <v/>
      </c>
      <c r="L38" s="31">
        <f>IF(OR(Settings!$A$36="",OR(EOMONTH(L$4,0)&lt;=Settings!$B$5,L$4&gt;TODAY())),"",IF(EOMONTH(K$4,0)&lt;=Settings!$B$5,N(Settings!$C$36),N(Calc!$AS$14))+Calc!$AY$15)</f>
        <v/>
      </c>
      <c r="M38" s="31">
        <f>IF(OR(Settings!$A$36="",OR(EOMONTH(M$4,0)&lt;=Settings!$B$5,M$4&gt;TODAY())),"",IF(EOMONTH(L$4,0)&lt;=Settings!$B$5,N(Settings!$C$36),N(Calc!$AS$15))+Calc!$AY$16)</f>
        <v/>
      </c>
      <c r="N38" s="31">
        <f>IF(OR(Settings!$A$36="",OR(EOMONTH(N$4,0)&lt;=Settings!$B$5,N$4&gt;TODAY())),"",IF(EOMONTH(M$4,0)&lt;=Settings!$B$5,N(Settings!$C$36),N(Calc!$AS$16))+Calc!$AY$17)</f>
        <v/>
      </c>
      <c r="O38" s="31">
        <f>IF(OR(Settings!$A$36="",OR(EOMONTH(O$4,0)&lt;=Settings!$B$5,O$4&gt;TODAY())),"",IF(EOMONTH(N$4,0)&lt;=Settings!$B$5,N(Settings!$C$36),N(Calc!$AS$17))+Calc!$AY$18)</f>
        <v/>
      </c>
      <c r="P38" s="31">
        <f>IF(OR(Settings!$A$36="",OR(EOMONTH(P$4,0)&lt;=Settings!$B$5,P$4&gt;TODAY())),"",IF(EOMONTH(O$4,0)&lt;=Settings!$B$5,N(Settings!$C$36),N(Calc!$AS$18))+Calc!$AY$19)</f>
        <v/>
      </c>
      <c r="Q38" s="31">
        <f>IF(OR(Settings!$A$36="",OR(EOMONTH(Q$4,0)&lt;=Settings!$B$5,Q$4&gt;TODAY())),"",IF(EOMONTH(P$4,0)&lt;=Settings!$B$5,N(Settings!$C$36),N(Calc!$AS$19))+Calc!$AY$20)</f>
        <v/>
      </c>
      <c r="R38" s="31">
        <f>IF(OR(Settings!$A$36="",OR(EOMONTH(R$4,0)&lt;=Settings!$B$5,R$4&gt;TODAY())),"",IF(EOMONTH(Q$4,0)&lt;=Settings!$B$5,N(Settings!$C$36),N(Calc!$AS$20))+Calc!$AY$21)</f>
        <v/>
      </c>
      <c r="S38" s="31">
        <f>IF(OR(Settings!$A$36="",OR(EOMONTH(S$4,0)&lt;=Settings!$B$5,S$4&gt;TODAY())),"",IF(EOMONTH(R$4,0)&lt;=Settings!$B$5,N(Settings!$C$36),N(Calc!$AS$21))+Calc!$AY$22)</f>
        <v/>
      </c>
      <c r="T38" s="31">
        <f>IF(OR(Settings!$A$36="",OR(EOMONTH(T$4,0)&lt;=Settings!$B$5,T$4&gt;TODAY())),"",IF(EOMONTH(S$4,0)&lt;=Settings!$B$5,N(Settings!$C$36),N(Calc!$AS$22))+Calc!$AY$23)</f>
        <v/>
      </c>
      <c r="U38" s="31">
        <f>IF(OR(Settings!$A$36="",OR(EOMONTH(U$4,0)&lt;=Settings!$B$5,U$4&gt;TODAY())),"",IF(EOMONTH(T$4,0)&lt;=Settings!$B$5,N(Settings!$C$36),N(Calc!$AS$23))+Calc!$AY$24)</f>
        <v/>
      </c>
      <c r="V38" s="31">
        <f>IF(OR(Settings!$A$36="",OR(EOMONTH(V$4,0)&lt;=Settings!$B$5,V$4&gt;TODAY())),"",IF(EOMONTH(U$4,0)&lt;=Settings!$B$5,N(Settings!$C$36),N(Calc!$AS$24))+Calc!$AY$25)</f>
        <v/>
      </c>
      <c r="W38" s="31">
        <f>IF(OR(Settings!$A$36="",OR(EOMONTH(W$4,0)&lt;=Settings!$B$5,W$4&gt;TODAY())),"",IF(EOMONTH(V$4,0)&lt;=Settings!$B$5,N(Settings!$C$36),N(Calc!$AS$25))+Calc!$AY$26)</f>
        <v/>
      </c>
      <c r="X38" s="31">
        <f>IF(OR(Settings!$A$36="",OR(EOMONTH(X$4,0)&lt;=Settings!$B$5,X$4&gt;TODAY())),"",IF(EOMONTH(W$4,0)&lt;=Settings!$B$5,N(Settings!$C$36),N(Calc!$AS$26))+Calc!$AY$27)</f>
        <v/>
      </c>
      <c r="Y38" s="31">
        <f>IF(OR(Settings!$A$36="",OR(EOMONTH(Y$4,0)&lt;=Settings!$B$5,Y$4&gt;TODAY())),"",IF(EOMONTH(X$4,0)&lt;=Settings!$B$5,N(Settings!$C$36),N(Calc!$AS$27))+Calc!$AY$28)</f>
        <v/>
      </c>
      <c r="Z38" s="31">
        <f>IF(OR(Settings!$A$36="",OR(EOMONTH(Z$4,0)&lt;=Settings!$B$5,Z$4&gt;TODAY())),"",IF(EOMONTH(Y$4,0)&lt;=Settings!$B$5,N(Settings!$C$36),N(Calc!$AS$28))+Calc!$AY$29)</f>
        <v/>
      </c>
      <c r="AA38" s="31">
        <f>IF(OR(Settings!$A$36="",OR(EOMONTH(AA$4,0)&lt;=Settings!$B$5,AA$4&gt;TODAY())),"",IF(EOMONTH(Z$4,0)&lt;=Settings!$B$5,N(Settings!$C$36),N(Calc!$AS$29))+Calc!$AY$30)</f>
        <v/>
      </c>
      <c r="AB38" s="31">
        <f>IF(OR(Settings!$A$36="",OR(EOMONTH(AB$4,0)&lt;=Settings!$B$5,AB$4&gt;TODAY())),"",IF(EOMONTH(AA$4,0)&lt;=Settings!$B$5,N(Settings!$C$36),N(Calc!$AS$30))+Calc!$AY$31)</f>
        <v/>
      </c>
      <c r="AC38" s="31">
        <f>IF(OR(Settings!$A$36="",OR(EOMONTH(AC$4,0)&lt;=Settings!$B$5,AC$4&gt;TODAY())),"",IF(EOMONTH(AB$4,0)&lt;=Settings!$B$5,N(Settings!$C$36),N(Calc!$AS$31))+Calc!$AY$32)</f>
        <v/>
      </c>
      <c r="AD38" s="31">
        <f>IF(OR(Settings!$A$36="",OR(EOMONTH(AD$4,0)&lt;=Settings!$B$5,AD$4&gt;TODAY())),"",IF(EOMONTH(AC$4,0)&lt;=Settings!$B$5,N(Settings!$C$36),N(Calc!$AS$32))+Calc!$AY$33)</f>
        <v/>
      </c>
      <c r="AE38" s="31">
        <f>IF(OR(Settings!$A$36="",OR(EOMONTH(AE$4,0)&lt;=Settings!$B$5,AE$4&gt;TODAY())),"",IF(EOMONTH(AD$4,0)&lt;=Settings!$B$5,N(Settings!$C$36),N(Calc!$AS$33))+Calc!$AY$34)</f>
        <v/>
      </c>
      <c r="AF38" s="31">
        <f>IF(OR(Settings!$A$36="",OR(EOMONTH(AF$4,0)&lt;=Settings!$B$5,AF$4&gt;TODAY())),"",IF(EOMONTH(AE$4,0)&lt;=Settings!$B$5,N(Settings!$C$36),N(Calc!$AS$34))+Calc!$AY$35)</f>
        <v/>
      </c>
      <c r="AG38" s="31">
        <f>IF(OR(Settings!$A$36="",OR(EOMONTH(AG$4,0)&lt;=Settings!$B$5,AG$4&gt;TODAY())),"",IF(EOMONTH(AF$4,0)&lt;=Settings!$B$5,N(Settings!$C$36),N(Calc!$AS$35))+Calc!$AY$36)</f>
        <v/>
      </c>
      <c r="AH38" s="31">
        <f>IF(OR(Settings!$A$36="",OR(EOMONTH(AH$4,0)&lt;=Settings!$B$5,AH$4&gt;TODAY())),"",IF(EOMONTH(AG$4,0)&lt;=Settings!$B$5,N(Settings!$C$36),N(Calc!$AS$36))+Calc!$AY$37)</f>
        <v/>
      </c>
      <c r="AI38" s="31">
        <f>IF(OR(Settings!$A$36="",OR(EOMONTH(AI$4,0)&lt;=Settings!$B$5,AI$4&gt;TODAY())),"",IF(EOMONTH(AH$4,0)&lt;=Settings!$B$5,N(Settings!$C$36),N(Calc!$AS$37))+Calc!$AY$38)</f>
        <v/>
      </c>
      <c r="AJ38" s="31">
        <f>IF(OR(Settings!$A$36="",OR(EOMONTH(AJ$4,0)&lt;=Settings!$B$5,AJ$4&gt;TODAY())),"",IF(EOMONTH(AI$4,0)&lt;=Settings!$B$5,N(Settings!$C$36),N(Calc!$AS$38))+Calc!$AY$39)</f>
        <v/>
      </c>
      <c r="AK38" s="31">
        <f>IF(OR(Settings!$A$36="",OR(EOMONTH(AK$4,0)&lt;=Settings!$B$5,AK$4&gt;TODAY())),"",IF(EOMONTH(AJ$4,0)&lt;=Settings!$B$5,N(Settings!$C$36),N(Calc!$AS$39))+Calc!$AY$40)</f>
        <v/>
      </c>
      <c r="AL38" s="31">
        <f>IF(OR(Settings!$A$36="",OR(EOMONTH(AL$4,0)&lt;=Settings!$B$5,AL$4&gt;TODAY())),"",IF(EOMONTH(AK$4,0)&lt;=Settings!$B$5,N(Settings!$C$36),N(Calc!$AS$40))+Calc!$AY$41)</f>
        <v/>
      </c>
      <c r="AM38" s="31">
        <f>IF(OR(Settings!$A$36="",OR(EOMONTH(AM$4,0)&lt;=Settings!$B$5,AM$4&gt;TODAY())),"",IF(EOMONTH(AL$4,0)&lt;=Settings!$B$5,N(Settings!$C$36),N(Calc!$AS$41))+Calc!$AY$42)</f>
        <v/>
      </c>
      <c r="AN38" s="31">
        <f>IF(OR(Settings!$A$36="",OR(EOMONTH(AN$4,0)&lt;=Settings!$B$5,AN$4&gt;TODAY())),"",IF(EOMONTH(AM$4,0)&lt;=Settings!$B$5,N(Settings!$C$36),N(Calc!$AS$42))+Calc!$AY$43)</f>
        <v/>
      </c>
      <c r="AO38" s="31">
        <f>IF(OR(Settings!$A$36="",OR(EOMONTH(AO$4,0)&lt;=Settings!$B$5,AO$4&gt;TODAY())),"",IF(EOMONTH(AN$4,0)&lt;=Settings!$B$5,N(Settings!$C$36),N(Calc!$AS$43))+Calc!$AY$44)</f>
        <v/>
      </c>
      <c r="AP38" s="31">
        <f>IF(OR(Settings!$A$36="",OR(EOMONTH(AP$4,0)&lt;=Settings!$B$5,AP$4&gt;TODAY())),"",IF(EOMONTH(AO$4,0)&lt;=Settings!$B$5,N(Settings!$C$36),N(Calc!$AS$44))+Calc!$AY$45)</f>
        <v/>
      </c>
      <c r="AQ38" s="31">
        <f>IF(OR(Settings!$A$36="",OR(EOMONTH(AQ$4,0)&lt;=Settings!$B$5,AQ$4&gt;TODAY())),"",IF(EOMONTH(AP$4,0)&lt;=Settings!$B$5,N(Settings!$C$36),N(Calc!$AS$45))+Calc!$AY$46)</f>
        <v/>
      </c>
      <c r="AR38" s="31">
        <f>IF(OR(Settings!$A$36="",OR(EOMONTH(AR$4,0)&lt;=Settings!$B$5,AR$4&gt;TODAY())),"",IF(EOMONTH(AQ$4,0)&lt;=Settings!$B$5,N(Settings!$C$36),N(Calc!$AS$46))+Calc!$AY$47)</f>
        <v/>
      </c>
      <c r="AS38" s="31">
        <f>IF(OR(Settings!$A$36="",OR(EOMONTH(AS$4,0)&lt;=Settings!$B$5,AS$4&gt;TODAY())),"",IF(EOMONTH(AR$4,0)&lt;=Settings!$B$5,N(Settings!$C$36),N(Calc!$AS$47))+Calc!$AY$48)</f>
        <v/>
      </c>
      <c r="AT38" s="31">
        <f>IF(OR(Settings!$A$36="",OR(EOMONTH(AT$4,0)&lt;=Settings!$B$5,AT$4&gt;TODAY())),"",IF(EOMONTH(AS$4,0)&lt;=Settings!$B$5,N(Settings!$C$36),N(Calc!$AS$48))+Calc!$AY$49)</f>
        <v/>
      </c>
      <c r="AU38" s="31">
        <f>IF(OR(Settings!$A$36="",OR(EOMONTH(AU$4,0)&lt;=Settings!$B$5,AU$4&gt;TODAY())),"",IF(EOMONTH(AT$4,0)&lt;=Settings!$B$5,N(Settings!$C$36),N(Calc!$AS$49))+Calc!$AY$50)</f>
        <v/>
      </c>
      <c r="AV38" s="31">
        <f>IF(OR(Settings!$A$36="",OR(EOMONTH(AV$4,0)&lt;=Settings!$B$5,AV$4&gt;TODAY())),"",IF(EOMONTH(AU$4,0)&lt;=Settings!$B$5,N(Settings!$C$36),N(Calc!$AS$50))+Calc!$AY$51)</f>
        <v/>
      </c>
      <c r="AW38" s="31">
        <f>IF(OR(Settings!$A$36="",OR(EOMONTH(AW$4,0)&lt;=Settings!$B$5,AW$4&gt;TODAY())),"",IF(EOMONTH(AV$4,0)&lt;=Settings!$B$5,N(Settings!$C$36),N(Calc!$AS$51))+Calc!$AY$52)</f>
        <v/>
      </c>
      <c r="AX38" s="31">
        <f>IF(OR(Settings!$A$36="",OR(EOMONTH(AX$4,0)&lt;=Settings!$B$5,AX$4&gt;TODAY())),"",IF(EOMONTH(AW$4,0)&lt;=Settings!$B$5,N(Settings!$C$36),N(Calc!$AS$52))+Calc!$AY$53)</f>
        <v/>
      </c>
      <c r="AY38" s="31">
        <f>IF(OR(Settings!$A$36="",OR(EOMONTH(AY$4,0)&lt;=Settings!$B$5,AY$4&gt;TODAY())),"",IF(EOMONTH(AX$4,0)&lt;=Settings!$B$5,N(Settings!$C$36),N(Calc!$AS$53))+Calc!$AY$54)</f>
        <v/>
      </c>
      <c r="AZ38" s="31">
        <f>IF(OR(Settings!$A$36="",OR(EOMONTH(AZ$4,0)&lt;=Settings!$B$5,AZ$4&gt;TODAY())),"",IF(EOMONTH(AY$4,0)&lt;=Settings!$B$5,N(Settings!$C$36),N(Calc!$AS$54))+Calc!$AY$55)</f>
        <v/>
      </c>
      <c r="BA38" s="31">
        <f>IF(OR(Settings!$A$36="",OR(EOMONTH(BA$4,0)&lt;=Settings!$B$5,BA$4&gt;TODAY())),"",IF(EOMONTH(AZ$4,0)&lt;=Settings!$B$5,N(Settings!$C$36),N(Calc!$AS$55))+Calc!$AY$56)</f>
        <v/>
      </c>
      <c r="BB38" s="31">
        <f>IF(OR(Settings!$A$36="",OR(EOMONTH(BB$4,0)&lt;=Settings!$B$5,BB$4&gt;TODAY())),"",IF(EOMONTH(BA$4,0)&lt;=Settings!$B$5,N(Settings!$C$36),N(Calc!$AS$56))+Calc!$AY$57)</f>
        <v/>
      </c>
      <c r="BC38" s="31">
        <f>IF(OR(Settings!$A$36="",OR(EOMONTH(BC$4,0)&lt;=Settings!$B$5,BC$4&gt;TODAY())),"",IF(EOMONTH(BB$4,0)&lt;=Settings!$B$5,N(Settings!$C$36),N(Calc!$AS$57))+Calc!$AY$58)</f>
        <v/>
      </c>
      <c r="BD38" s="31">
        <f>IF(OR(Settings!$A$36="",OR(EOMONTH(BD$4,0)&lt;=Settings!$B$5,BD$4&gt;TODAY())),"",IF(EOMONTH(BC$4,0)&lt;=Settings!$B$5,N(Settings!$C$36),N(Calc!$AS$58))+Calc!$AY$59)</f>
        <v/>
      </c>
      <c r="BE38" s="31">
        <f>IF(OR(Settings!$A$36="",OR(EOMONTH(BE$4,0)&lt;=Settings!$B$5,BE$4&gt;TODAY())),"",IF(EOMONTH(BD$4,0)&lt;=Settings!$B$5,N(Settings!$C$36),N(Calc!$AS$59))+Calc!$AY$60)</f>
        <v/>
      </c>
      <c r="BF38" s="31">
        <f>IF(OR(Settings!$A$36="",OR(EOMONTH(BF$4,0)&lt;=Settings!$B$5,BF$4&gt;TODAY())),"",IF(EOMONTH(BE$4,0)&lt;=Settings!$B$5,N(Settings!$C$36),N(Calc!$AS$60))+Calc!$AY$61)</f>
        <v/>
      </c>
      <c r="BG38" s="31">
        <f>IF(OR(Settings!$A$36="",OR(EOMONTH(BG$4,0)&lt;=Settings!$B$5,BG$4&gt;TODAY())),"",IF(EOMONTH(BF$4,0)&lt;=Settings!$B$5,N(Settings!$C$36),N(Calc!$AS$61))+Calc!$AY$62)</f>
        <v/>
      </c>
      <c r="BH38" s="31">
        <f>IF(OR(Settings!$A$36="",OR(EOMONTH(BH$4,0)&lt;=Settings!$B$5,BH$4&gt;TODAY())),"",IF(EOMONTH(BG$4,0)&lt;=Settings!$B$5,N(Settings!$C$36),N(Calc!$AS$62))+Calc!$AY$63)</f>
        <v/>
      </c>
      <c r="BI38" s="31">
        <f>IF(OR(Settings!$A$36="",OR(EOMONTH(BI$4,0)&lt;=Settings!$B$5,BI$4&gt;TODAY())),"",IF(EOMONTH(BH$4,0)&lt;=Settings!$B$5,N(Settings!$C$36),N(Calc!$AS$63))+Calc!$AY$64)</f>
        <v/>
      </c>
      <c r="BJ38" s="31">
        <f>IF(OR(Settings!$A$36="",OR(EOMONTH(BJ$4,0)&lt;=Settings!$B$5,BJ$4&gt;TODAY())),"",IF(EOMONTH(BI$4,0)&lt;=Settings!$B$5,N(Settings!$C$36),N(Calc!$AS$64))+Calc!$AY$65)</f>
        <v/>
      </c>
      <c r="BK38" s="31">
        <f>IF(OR(Settings!$A$36="",OR(EOMONTH(BK$4,0)&lt;=Settings!$B$5,BK$4&gt;TODAY())),"",IF(EOMONTH(BJ$4,0)&lt;=Settings!$B$5,N(Settings!$C$36),N(Calc!$AS$65))+Calc!$AY$66)</f>
        <v/>
      </c>
      <c r="BL38" s="31">
        <f>IF(OR(Settings!$A$36="",OR(EOMONTH(BL$4,0)&lt;=Settings!$B$5,BL$4&gt;TODAY())),"",IF(EOMONTH(BK$4,0)&lt;=Settings!$B$5,N(Settings!$C$36),N(Calc!$AS$66))+Calc!$AY$67)</f>
        <v/>
      </c>
      <c r="BM38" s="31">
        <f>IF(OR(Settings!$A$36="",OR(EOMONTH(BM$4,0)&lt;=Settings!$B$5,BM$4&gt;TODAY())),"",IF(EOMONTH(BL$4,0)&lt;=Settings!$B$5,N(Settings!$C$36),N(Calc!$AS$67))+Calc!$AY$68)</f>
        <v/>
      </c>
      <c r="BN38" s="31">
        <f>IF(OR(Settings!$A$36="",OR(EOMONTH(BN$4,0)&lt;=Settings!$B$5,BN$4&gt;TODAY())),"",IF(EOMONTH(BM$4,0)&lt;=Settings!$B$5,N(Settings!$C$36),N(Calc!$AS$68))+Calc!$AY$69)</f>
        <v/>
      </c>
      <c r="BO38" s="31">
        <f>IF(OR(Settings!$A$36="",OR(EOMONTH(BO$4,0)&lt;=Settings!$B$5,BO$4&gt;TODAY())),"",IF(EOMONTH(BN$4,0)&lt;=Settings!$B$5,N(Settings!$C$36),N(Calc!$AS$69))+Calc!$AY$70)</f>
        <v/>
      </c>
      <c r="BP38" s="31">
        <f>IF(OR(Settings!$A$36="",OR(EOMONTH(BP$4,0)&lt;=Settings!$B$5,BP$4&gt;TODAY())),"",IF(EOMONTH(BO$4,0)&lt;=Settings!$B$5,N(Settings!$C$36),N(Calc!$AS$70))+Calc!$AY$71)</f>
        <v/>
      </c>
      <c r="BQ38" s="31">
        <f>IF(OR(Settings!$A$36="",OR(EOMONTH(BQ$4,0)&lt;=Settings!$B$5,BQ$4&gt;TODAY())),"",IF(EOMONTH(BP$4,0)&lt;=Settings!$B$5,N(Settings!$C$36),N(Calc!$AS$71))+Calc!$AY$72)</f>
        <v/>
      </c>
      <c r="BR38" s="31">
        <f>IF(OR(Settings!$A$36="",OR(EOMONTH(BR$4,0)&lt;=Settings!$B$5,BR$4&gt;TODAY())),"",IF(EOMONTH(BQ$4,0)&lt;=Settings!$B$5,N(Settings!$C$36),N(Calc!$AS$72))+Calc!$AY$73)</f>
        <v/>
      </c>
      <c r="BS38" s="31">
        <f>IF(OR(Settings!$A$36="",OR(EOMONTH(BS$4,0)&lt;=Settings!$B$5,BS$4&gt;TODAY())),"",IF(EOMONTH(BR$4,0)&lt;=Settings!$B$5,N(Settings!$C$36),N(Calc!$AS$73))+Calc!$AY$74)</f>
        <v/>
      </c>
      <c r="BT38" s="31">
        <f>IF(OR(Settings!$A$36="",OR(EOMONTH(BT$4,0)&lt;=Settings!$B$5,BT$4&gt;TODAY())),"",IF(EOMONTH(BS$4,0)&lt;=Settings!$B$5,N(Settings!$C$36),N(Calc!$AS$74))+Calc!$AY$75)</f>
        <v/>
      </c>
      <c r="BU38" s="31">
        <f>IF(OR(Settings!$A$36="",OR(EOMONTH(BU$4,0)&lt;=Settings!$B$5,BU$4&gt;TODAY())),"",IF(EOMONTH(BT$4,0)&lt;=Settings!$B$5,N(Settings!$C$36),N(Calc!$AS$75))+Calc!$AY$76)</f>
        <v/>
      </c>
      <c r="BV38" s="31">
        <f>IF(OR(Settings!$A$36="",OR(EOMONTH(BV$4,0)&lt;=Settings!$B$5,BV$4&gt;TODAY())),"",IF(EOMONTH(BU$4,0)&lt;=Settings!$B$5,N(Settings!$C$36),N(Calc!$AS$76))+Calc!$AY$77)</f>
        <v/>
      </c>
      <c r="BW38" s="31">
        <f>IF(OR(Settings!$A$36="",OR(EOMONTH(BW$4,0)&lt;=Settings!$B$5,BW$4&gt;TODAY())),"",IF(EOMONTH(BV$4,0)&lt;=Settings!$B$5,N(Settings!$C$36),N(Calc!$AS$77))+Calc!$AY$78)</f>
        <v/>
      </c>
      <c r="BX38" s="31">
        <f>IF(OR(Settings!$A$36="",OR(EOMONTH(BX$4,0)&lt;=Settings!$B$5,BX$4&gt;TODAY())),"",IF(EOMONTH(BW$4,0)&lt;=Settings!$B$5,N(Settings!$C$36),N(Calc!$AS$78))+Calc!$AY$79)</f>
        <v/>
      </c>
      <c r="BY38" s="31">
        <f>IF(OR(Settings!$A$36="",OR(EOMONTH(BY$4,0)&lt;=Settings!$B$5,BY$4&gt;TODAY())),"",IF(EOMONTH(BX$4,0)&lt;=Settings!$B$5,N(Settings!$C$36),N(Calc!$AS$79))+Calc!$AY$80)</f>
        <v/>
      </c>
      <c r="BZ38" s="31">
        <f>IF(OR(Settings!$A$36="",OR(EOMONTH(BZ$4,0)&lt;=Settings!$B$5,BZ$4&gt;TODAY())),"",IF(EOMONTH(BY$4,0)&lt;=Settings!$B$5,N(Settings!$C$36),N(Calc!$AS$80))+Calc!$AY$81)</f>
        <v/>
      </c>
      <c r="CA38" s="31">
        <f>IF(OR(Settings!$A$36="",OR(EOMONTH(CA$4,0)&lt;=Settings!$B$5,CA$4&gt;TODAY())),"",IF(EOMONTH(BZ$4,0)&lt;=Settings!$B$5,N(Settings!$C$36),N(Calc!$AS$81))+Calc!$AY$82)</f>
        <v/>
      </c>
      <c r="CB38" s="31">
        <f>IF(OR(Settings!$A$36="",OR(EOMONTH(CB$4,0)&lt;=Settings!$B$5,CB$4&gt;TODAY())),"",IF(EOMONTH(CA$4,0)&lt;=Settings!$B$5,N(Settings!$C$36),N(Calc!$AS$82))+Calc!$AY$83)</f>
        <v/>
      </c>
      <c r="CC38" s="31">
        <f>IF(OR(Settings!$A$36="",OR(EOMONTH(CC$4,0)&lt;=Settings!$B$5,CC$4&gt;TODAY())),"",IF(EOMONTH(CB$4,0)&lt;=Settings!$B$5,N(Settings!$C$36),N(Calc!$AS$83))+Calc!$AY$84)</f>
        <v/>
      </c>
      <c r="CD38" s="31">
        <f>IF(OR(Settings!$A$36="",OR(EOMONTH(CD$4,0)&lt;=Settings!$B$5,CD$4&gt;TODAY())),"",IF(EOMONTH(CC$4,0)&lt;=Settings!$B$5,N(Settings!$C$36),N(Calc!$AS$84))+Calc!$AY$85)</f>
        <v/>
      </c>
      <c r="CE38" s="31">
        <f>IF(OR(Settings!$A$36="",OR(EOMONTH(CE$4,0)&lt;=Settings!$B$5,CE$4&gt;TODAY())),"",IF(EOMONTH(CD$4,0)&lt;=Settings!$B$5,N(Settings!$C$36),N(Calc!$AS$85))+Calc!$AY$86)</f>
        <v/>
      </c>
      <c r="CF38" s="31">
        <f>IF(OR(Settings!$A$36="",OR(EOMONTH(CF$4,0)&lt;=Settings!$B$5,CF$4&gt;TODAY())),"",IF(EOMONTH(CE$4,0)&lt;=Settings!$B$5,N(Settings!$C$36),N(Calc!$AS$86))+Calc!$AY$87)</f>
        <v/>
      </c>
      <c r="CG38" s="31">
        <f>IF(OR(Settings!$A$36="",OR(EOMONTH(CG$4,0)&lt;=Settings!$B$5,CG$4&gt;TODAY())),"",IF(EOMONTH(CF$4,0)&lt;=Settings!$B$5,N(Settings!$C$36),N(Calc!$AS$87))+Calc!$AY$88)</f>
        <v/>
      </c>
      <c r="CH38" s="31">
        <f>IF(OR(Settings!$A$36="",OR(EOMONTH(CH$4,0)&lt;=Settings!$B$5,CH$4&gt;TODAY())),"",IF(EOMONTH(CG$4,0)&lt;=Settings!$B$5,N(Settings!$C$36),N(Calc!$AS$88))+Calc!$AY$89)</f>
        <v/>
      </c>
      <c r="CI38" s="31">
        <f>IF(OR(Settings!$A$36="",OR(EOMONTH(CI$4,0)&lt;=Settings!$B$5,CI$4&gt;TODAY())),"",IF(EOMONTH(CH$4,0)&lt;=Settings!$B$5,N(Settings!$C$36),N(Calc!$AS$89))+Calc!$AY$90)</f>
        <v/>
      </c>
      <c r="CJ38" s="31">
        <f>IF(OR(Settings!$A$36="",OR(EOMONTH(CJ$4,0)&lt;=Settings!$B$5,CJ$4&gt;TODAY())),"",IF(EOMONTH(CI$4,0)&lt;=Settings!$B$5,N(Settings!$C$36),N(Calc!$AS$90))+Calc!$AY$91)</f>
        <v/>
      </c>
      <c r="CK38" s="31">
        <f>IF(OR(Settings!$A$36="",OR(EOMONTH(CK$4,0)&lt;=Settings!$B$5,CK$4&gt;TODAY())),"",IF(EOMONTH(CJ$4,0)&lt;=Settings!$B$5,N(Settings!$C$36),N(Calc!$AS$91))+Calc!$AY$92)</f>
        <v/>
      </c>
      <c r="CL38" s="31">
        <f>IF(OR(Settings!$A$36="",OR(EOMONTH(CL$4,0)&lt;=Settings!$B$5,CL$4&gt;TODAY())),"",IF(EOMONTH(CK$4,0)&lt;=Settings!$B$5,N(Settings!$C$36),N(Calc!$AS$92))+Calc!$AY$93)</f>
        <v/>
      </c>
      <c r="CM38" s="31">
        <f>IF(OR(Settings!$A$36="",OR(EOMONTH(CM$4,0)&lt;=Settings!$B$5,CM$4&gt;TODAY())),"",IF(EOMONTH(CL$4,0)&lt;=Settings!$B$5,N(Settings!$C$36),N(Calc!$AS$93))+Calc!$AY$94)</f>
        <v/>
      </c>
      <c r="CN38" s="31">
        <f>IF(OR(Settings!$A$36="",OR(EOMONTH(CN$4,0)&lt;=Settings!$B$5,CN$4&gt;TODAY())),"",IF(EOMONTH(CM$4,0)&lt;=Settings!$B$5,N(Settings!$C$36),N(Calc!$AS$94))+Calc!$AY$95)</f>
        <v/>
      </c>
      <c r="CO38" s="31">
        <f>IF(OR(Settings!$A$36="",OR(EOMONTH(CO$4,0)&lt;=Settings!$B$5,CO$4&gt;TODAY())),"",IF(EOMONTH(CN$4,0)&lt;=Settings!$B$5,N(Settings!$C$36),N(Calc!$AS$95))+Calc!$AY$96)</f>
        <v/>
      </c>
      <c r="CP38" s="31">
        <f>IF(OR(Settings!$A$36="",OR(EOMONTH(CP$4,0)&lt;=Settings!$B$5,CP$4&gt;TODAY())),"",IF(EOMONTH(CO$4,0)&lt;=Settings!$B$5,N(Settings!$C$36),N(Calc!$AS$96))+Calc!$AY$97)</f>
        <v/>
      </c>
      <c r="CQ38" s="31">
        <f>IF(OR(Settings!$A$36="",OR(EOMONTH(CQ$4,0)&lt;=Settings!$B$5,CQ$4&gt;TODAY())),"",IF(EOMONTH(CP$4,0)&lt;=Settings!$B$5,N(Settings!$C$36),N(Calc!$AS$97))+Calc!$AY$98)</f>
        <v/>
      </c>
      <c r="CR38" s="31">
        <f>IF(OR(Settings!$A$36="",OR(EOMONTH(CR$4,0)&lt;=Settings!$B$5,CR$4&gt;TODAY())),"",IF(EOMONTH(CQ$4,0)&lt;=Settings!$B$5,N(Settings!$C$36),N(Calc!$AS$98))+Calc!$AY$99)</f>
        <v/>
      </c>
      <c r="CS38" s="31">
        <f>IF(OR(Settings!$A$36="",OR(EOMONTH(CS$4,0)&lt;=Settings!$B$5,CS$4&gt;TODAY())),"",IF(EOMONTH(CR$4,0)&lt;=Settings!$B$5,N(Settings!$C$36),N(Calc!$AS$99))+Calc!$AY$100)</f>
        <v/>
      </c>
      <c r="CT38" s="31">
        <f>IF(OR(Settings!$A$36="",OR(EOMONTH(CT$4,0)&lt;=Settings!$B$5,CT$4&gt;TODAY())),"",IF(EOMONTH(CS$4,0)&lt;=Settings!$B$5,N(Settings!$C$36),N(Calc!$AS$100))+Calc!$AY$101)</f>
        <v/>
      </c>
      <c r="CU38" s="31">
        <f>IF(OR(Settings!$A$36="",OR(EOMONTH(CU$4,0)&lt;=Settings!$B$5,CU$4&gt;TODAY())),"",IF(EOMONTH(CT$4,0)&lt;=Settings!$B$5,N(Settings!$C$36),N(Calc!$AS$101))+Calc!$AY$102)</f>
        <v/>
      </c>
      <c r="CV38" s="31">
        <f>IF(OR(Settings!$A$36="",OR(EOMONTH(CV$4,0)&lt;=Settings!$B$5,CV$4&gt;TODAY())),"",IF(EOMONTH(CU$4,0)&lt;=Settings!$B$5,N(Settings!$C$36),N(Calc!$AS$102))+Calc!$AY$103)</f>
        <v/>
      </c>
      <c r="CW38" s="31">
        <f>IF(OR(Settings!$A$36="",OR(EOMONTH(CW$4,0)&lt;=Settings!$B$5,CW$4&gt;TODAY())),"",IF(EOMONTH(CV$4,0)&lt;=Settings!$B$5,N(Settings!$C$36),N(Calc!$AS$103))+Calc!$AY$104)</f>
        <v/>
      </c>
      <c r="CX38" s="31">
        <f>IF(OR(Settings!$A$36="",OR(EOMONTH(CX$4,0)&lt;=Settings!$B$5,CX$4&gt;TODAY())),"",IF(EOMONTH(CW$4,0)&lt;=Settings!$B$5,N(Settings!$C$36),N(Calc!$AS$104))+Calc!$AY$105)</f>
        <v/>
      </c>
      <c r="CY38" s="31">
        <f>IF(OR(Settings!$A$36="",OR(EOMONTH(CY$4,0)&lt;=Settings!$B$5,CY$4&gt;TODAY())),"",IF(EOMONTH(CX$4,0)&lt;=Settings!$B$5,N(Settings!$C$36),N(Calc!$AS$105))+Calc!$AY$106)</f>
        <v/>
      </c>
      <c r="CZ38" s="31">
        <f>IF(OR(Settings!$A$36="",OR(EOMONTH(CZ$4,0)&lt;=Settings!$B$5,CZ$4&gt;TODAY())),"",IF(EOMONTH(CY$4,0)&lt;=Settings!$B$5,N(Settings!$C$36),N(Calc!$AS$106))+Calc!$AY$107)</f>
        <v/>
      </c>
      <c r="DA38" s="31">
        <f>IF(OR(Settings!$A$36="",OR(EOMONTH(DA$4,0)&lt;=Settings!$B$5,DA$4&gt;TODAY())),"",IF(EOMONTH(CZ$4,0)&lt;=Settings!$B$5,N(Settings!$C$36),N(Calc!$AS$107))+Calc!$AY$108)</f>
        <v/>
      </c>
      <c r="DB38" s="31">
        <f>IF(OR(Settings!$A$36="",OR(EOMONTH(DB$4,0)&lt;=Settings!$B$5,DB$4&gt;TODAY())),"",IF(EOMONTH(DA$4,0)&lt;=Settings!$B$5,N(Settings!$C$36),N(Calc!$AS$108))+Calc!$AY$109)</f>
        <v/>
      </c>
      <c r="DC38" s="31">
        <f>IF(OR(Settings!$A$36="",OR(EOMONTH(DC$4,0)&lt;=Settings!$B$5,DC$4&gt;TODAY())),"",IF(EOMONTH(DB$4,0)&lt;=Settings!$B$5,N(Settings!$C$36),N(Calc!$AS$109))+Calc!$AY$110)</f>
        <v/>
      </c>
      <c r="DD38" s="31">
        <f>IF(OR(Settings!$A$36="",OR(EOMONTH(DD$4,0)&lt;=Settings!$B$5,DD$4&gt;TODAY())),"",IF(EOMONTH(DC$4,0)&lt;=Settings!$B$5,N(Settings!$C$36),N(Calc!$AS$110))+Calc!$AY$111)</f>
        <v/>
      </c>
      <c r="DE38" s="31">
        <f>IF(OR(Settings!$A$36="",OR(EOMONTH(DE$4,0)&lt;=Settings!$B$5,DE$4&gt;TODAY())),"",IF(EOMONTH(DD$4,0)&lt;=Settings!$B$5,N(Settings!$C$36),N(Calc!$AS$111))+Calc!$AY$112)</f>
        <v/>
      </c>
      <c r="DF38" s="31">
        <f>IF(OR(Settings!$A$36="",OR(EOMONTH(DF$4,0)&lt;=Settings!$B$5,DF$4&gt;TODAY())),"",IF(EOMONTH(DE$4,0)&lt;=Settings!$B$5,N(Settings!$C$36),N(Calc!$AS$112))+Calc!$AY$113)</f>
        <v/>
      </c>
      <c r="DG38" s="31">
        <f>IF(OR(Settings!$A$36="",OR(EOMONTH(DG$4,0)&lt;=Settings!$B$5,DG$4&gt;TODAY())),"",IF(EOMONTH(DF$4,0)&lt;=Settings!$B$5,N(Settings!$C$36),N(Calc!$AS$113))+Calc!$AY$114)</f>
        <v/>
      </c>
      <c r="DH38" s="31">
        <f>IF(OR(Settings!$A$36="",OR(EOMONTH(DH$4,0)&lt;=Settings!$B$5,DH$4&gt;TODAY())),"",IF(EOMONTH(DG$4,0)&lt;=Settings!$B$5,N(Settings!$C$36),N(Calc!$AS$114))+Calc!$AY$115)</f>
        <v/>
      </c>
      <c r="DI38" s="31">
        <f>IF(OR(Settings!$A$36="",OR(EOMONTH(DI$4,0)&lt;=Settings!$B$5,DI$4&gt;TODAY())),"",IF(EOMONTH(DH$4,0)&lt;=Settings!$B$5,N(Settings!$C$36),N(Calc!$AS$115))+Calc!$AY$116)</f>
        <v/>
      </c>
      <c r="DJ38" s="31">
        <f>IF(OR(Settings!$A$36="",OR(EOMONTH(DJ$4,0)&lt;=Settings!$B$5,DJ$4&gt;TODAY())),"",IF(EOMONTH(DI$4,0)&lt;=Settings!$B$5,N(Settings!$C$36),N(Calc!$AS$116))+Calc!$AY$117)</f>
        <v/>
      </c>
      <c r="DK38" s="31">
        <f>IF(OR(Settings!$A$36="",OR(EOMONTH(DK$4,0)&lt;=Settings!$B$5,DK$4&gt;TODAY())),"",IF(EOMONTH(DJ$4,0)&lt;=Settings!$B$5,N(Settings!$C$36),N(Calc!$AS$117))+Calc!$AY$118)</f>
        <v/>
      </c>
      <c r="DL38" s="31">
        <f>IF(OR(Settings!$A$36="",OR(EOMONTH(DL$4,0)&lt;=Settings!$B$5,DL$4&gt;TODAY())),"",IF(EOMONTH(DK$4,0)&lt;=Settings!$B$5,N(Settings!$C$36),N(Calc!$AS$118))+Calc!$AY$119)</f>
        <v/>
      </c>
      <c r="DM38" s="31">
        <f>IF(OR(Settings!$A$36="",OR(EOMONTH(DM$4,0)&lt;=Settings!$B$5,DM$4&gt;TODAY())),"",IF(EOMONTH(DL$4,0)&lt;=Settings!$B$5,N(Settings!$C$36),N(Calc!$AS$119))+Calc!$AY$120)</f>
        <v/>
      </c>
      <c r="DN38" s="31">
        <f>IF(OR(Settings!$A$36="",OR(EOMONTH(DN$4,0)&lt;=Settings!$B$5,DN$4&gt;TODAY())),"",IF(EOMONTH(DM$4,0)&lt;=Settings!$B$5,N(Settings!$C$36),N(Calc!$AS$120))+Calc!$AY$121)</f>
        <v/>
      </c>
      <c r="DO38" s="31">
        <f>IF(OR(Settings!$A$36="",OR(EOMONTH(DO$4,0)&lt;=Settings!$B$5,DO$4&gt;TODAY())),"",IF(EOMONTH(DN$4,0)&lt;=Settings!$B$5,N(Settings!$C$36),N(Calc!$AS$121))+Calc!$AY$122)</f>
        <v/>
      </c>
      <c r="DP38" s="31">
        <f>IF(OR(Settings!$A$36="",OR(EOMONTH(DP$4,0)&lt;=Settings!$B$5,DP$4&gt;TODAY())),"",IF(EOMONTH(DO$4,0)&lt;=Settings!$B$5,N(Settings!$C$36),N(Calc!$AS$122))+Calc!$AY$123)</f>
        <v/>
      </c>
      <c r="DQ38" s="31">
        <f>IF(OR(Settings!$A$36="",OR(EOMONTH(DQ$4,0)&lt;=Settings!$B$5,DQ$4&gt;TODAY())),"",IF(EOMONTH(DP$4,0)&lt;=Settings!$B$5,N(Settings!$C$36),N(Calc!$AS$123))+Calc!$AY$124)</f>
        <v/>
      </c>
      <c r="DR38" s="31">
        <f>IF(OR(Settings!$A$36="",OR(EOMONTH(DR$4,0)&lt;=Settings!$B$5,DR$4&gt;TODAY())),"",IF(EOMONTH(DQ$4,0)&lt;=Settings!$B$5,N(Settings!$C$36),N(Calc!$AS$124))+Calc!$AY$125)</f>
        <v/>
      </c>
      <c r="DS38" s="31">
        <f>IF(OR(Settings!$A$36="",OR(EOMONTH(DS$4,0)&lt;=Settings!$B$5,DS$4&gt;TODAY())),"",IF(EOMONTH(DR$4,0)&lt;=Settings!$B$5,N(Settings!$C$36),N(Calc!$AS$125))+Calc!$AY$126)</f>
        <v/>
      </c>
      <c r="DT38" s="31">
        <f>IF(OR(Settings!$A$36="",OR(EOMONTH(DT$4,0)&lt;=Settings!$B$5,DT$4&gt;TODAY())),"",IF(EOMONTH(DS$4,0)&lt;=Settings!$B$5,N(Settings!$C$36),N(Calc!$AS$126))+Calc!$AY$127)</f>
        <v/>
      </c>
      <c r="DU38" s="31">
        <f>IF(OR(Settings!$A$36="",OR(EOMONTH(DU$4,0)&lt;=Settings!$B$5,DU$4&gt;TODAY())),"",IF(EOMONTH(DT$4,0)&lt;=Settings!$B$5,N(Settings!$C$36),N(Calc!$AS$127))+Calc!$AY$128)</f>
        <v/>
      </c>
      <c r="DV38" s="31">
        <f>IF(OR(Settings!$A$36="",OR(EOMONTH(DV$4,0)&lt;=Settings!$B$5,DV$4&gt;TODAY())),"",IF(EOMONTH(DU$4,0)&lt;=Settings!$B$5,N(Settings!$C$36),N(Calc!$AS$128))+Calc!$AY$129)</f>
        <v/>
      </c>
      <c r="DW38" s="31">
        <f>IF(OR(Settings!$A$36="",OR(EOMONTH(DW$4,0)&lt;=Settings!$B$5,DW$4&gt;TODAY())),"",IF(EOMONTH(DV$4,0)&lt;=Settings!$B$5,N(Settings!$C$36),N(Calc!$AS$129))+Calc!$AY$130)</f>
        <v/>
      </c>
      <c r="DX38" s="31">
        <f>IF(OR(Settings!$A$36="",OR(EOMONTH(DX$4,0)&lt;=Settings!$B$5,DX$4&gt;TODAY())),"",IF(EOMONTH(DW$4,0)&lt;=Settings!$B$5,N(Settings!$C$36),N(Calc!$AS$130))+Calc!$AY$131)</f>
        <v/>
      </c>
      <c r="DY38" s="31">
        <f>IF(OR(Settings!$A$36="",OR(EOMONTH(DY$4,0)&lt;=Settings!$B$5,DY$4&gt;TODAY())),"",IF(EOMONTH(DX$4,0)&lt;=Settings!$B$5,N(Settings!$C$36),N(Calc!$AS$131))+Calc!$AY$132)</f>
        <v/>
      </c>
      <c r="DZ38" s="31">
        <f>IF(OR(Settings!$A$36="",OR(EOMONTH(DZ$4,0)&lt;=Settings!$B$5,DZ$4&gt;TODAY())),"",IF(EOMONTH(DY$4,0)&lt;=Settings!$B$5,N(Settings!$C$36),N(Calc!$AS$132))+Calc!$AY$133)</f>
        <v/>
      </c>
      <c r="EA38" s="31">
        <f>IF(OR(Settings!$A$36="",OR(EOMONTH(EA$4,0)&lt;=Settings!$B$5,EA$4&gt;TODAY())),"",IF(EOMONTH(DZ$4,0)&lt;=Settings!$B$5,N(Settings!$C$36),N(Calc!$AS$133))+Calc!$AY$134)</f>
        <v/>
      </c>
      <c r="EB38" s="31">
        <f>IF(OR(Settings!$A$36="",OR(EOMONTH(EB$4,0)&lt;=Settings!$B$5,EB$4&gt;TODAY())),"",IF(EOMONTH(EA$4,0)&lt;=Settings!$B$5,N(Settings!$C$36),N(Calc!$AS$134))+Calc!$AY$135)</f>
        <v/>
      </c>
      <c r="EC38" s="31">
        <f>IF(OR(Settings!$A$36="",OR(EOMONTH(EC$4,0)&lt;=Settings!$B$5,EC$4&gt;TODAY())),"",IF(EOMONTH(EB$4,0)&lt;=Settings!$B$5,N(Settings!$C$36),N(Calc!$AS$135))+Calc!$AY$136)</f>
        <v/>
      </c>
      <c r="ED38" s="31">
        <f>IF(OR(Settings!$A$36="",OR(EOMONTH(ED$4,0)&lt;=Settings!$B$5,ED$4&gt;TODAY())),"",IF(EOMONTH(EC$4,0)&lt;=Settings!$B$5,N(Settings!$C$36),N(Calc!$AS$136))+Calc!$AY$137)</f>
        <v/>
      </c>
      <c r="EE38" s="31">
        <f>IF(OR(Settings!$A$36="",OR(EOMONTH(EE$4,0)&lt;=Settings!$B$5,EE$4&gt;TODAY())),"",IF(EOMONTH(ED$4,0)&lt;=Settings!$B$5,N(Settings!$C$36),N(Calc!$AS$137))+Calc!$AY$138)</f>
        <v/>
      </c>
      <c r="EF38" s="31">
        <f>IF(OR(Settings!$A$36="",OR(EOMONTH(EF$4,0)&lt;=Settings!$B$5,EF$4&gt;TODAY())),"",IF(EOMONTH(EE$4,0)&lt;=Settings!$B$5,N(Settings!$C$36),N(Calc!$AS$138))+Calc!$AY$139)</f>
        <v/>
      </c>
      <c r="EG38" s="31">
        <f>IF(OR(Settings!$A$36="",OR(EOMONTH(EG$4,0)&lt;=Settings!$B$5,EG$4&gt;TODAY())),"",IF(EOMONTH(EF$4,0)&lt;=Settings!$B$5,N(Settings!$C$36),N(Calc!$AS$139))+Calc!$AY$140)</f>
        <v/>
      </c>
      <c r="EH38" s="31">
        <f>IF(OR(Settings!$A$36="",OR(EOMONTH(EH$4,0)&lt;=Settings!$B$5,EH$4&gt;TODAY())),"",IF(EOMONTH(EG$4,0)&lt;=Settings!$B$5,N(Settings!$C$36),N(Calc!$AS$140))+Calc!$AY$141)</f>
        <v/>
      </c>
      <c r="EI38" s="31">
        <f>IF(OR(Settings!$A$36="",OR(EOMONTH(EI$4,0)&lt;=Settings!$B$5,EI$4&gt;TODAY())),"",IF(EOMONTH(EH$4,0)&lt;=Settings!$B$5,N(Settings!$C$36),N(Calc!$AS$141))+Calc!$AY$142)</f>
        <v/>
      </c>
      <c r="EJ38" s="31">
        <f>IF(OR(Settings!$A$36="",OR(EOMONTH(EJ$4,0)&lt;=Settings!$B$5,EJ$4&gt;TODAY())),"",IF(EOMONTH(EI$4,0)&lt;=Settings!$B$5,N(Settings!$C$36),N(Calc!$AS$142))+Calc!$AY$143)</f>
        <v/>
      </c>
      <c r="EK38" s="31">
        <f>IF(OR(Settings!$A$36="",OR(EOMONTH(EK$4,0)&lt;=Settings!$B$5,EK$4&gt;TODAY())),"",IF(EOMONTH(EJ$4,0)&lt;=Settings!$B$5,N(Settings!$C$36),N(Calc!$AS$143))+Calc!$AY$144)</f>
        <v/>
      </c>
      <c r="EL38" s="31">
        <f>IF(OR(Settings!$A$36="",OR(EOMONTH(EL$4,0)&lt;=Settings!$B$5,EL$4&gt;TODAY())),"",IF(EOMONTH(EK$4,0)&lt;=Settings!$B$5,N(Settings!$C$36),N(Calc!$AS$144))+Calc!$AY$145)</f>
        <v/>
      </c>
      <c r="EM38" s="31">
        <f>IF(OR(Settings!$A$36="",OR(EOMONTH(EM$4,0)&lt;=Settings!$B$5,EM$4&gt;TODAY())),"",IF(EOMONTH(EL$4,0)&lt;=Settings!$B$5,N(Settings!$C$36),N(Calc!$AS$145))+Calc!$AY$146)</f>
        <v/>
      </c>
      <c r="EN38" s="31">
        <f>IF(OR(Settings!$A$36="",OR(EOMONTH(EN$4,0)&lt;=Settings!$B$5,EN$4&gt;TODAY())),"",IF(EOMONTH(EM$4,0)&lt;=Settings!$B$5,N(Settings!$C$36),N(Calc!$AS$146))+Calc!$AY$147)</f>
        <v/>
      </c>
      <c r="EO38" s="31">
        <f>IF(OR(Settings!$A$36="",OR(EOMONTH(EO$4,0)&lt;=Settings!$B$5,EO$4&gt;TODAY())),"",IF(EOMONTH(EN$4,0)&lt;=Settings!$B$5,N(Settings!$C$36),N(Calc!$AS$147))+Calc!$AY$148)</f>
        <v/>
      </c>
      <c r="EP38" s="31">
        <f>IF(OR(Settings!$A$36="",OR(EOMONTH(EP$4,0)&lt;=Settings!$B$5,EP$4&gt;TODAY())),"",IF(EOMONTH(EO$4,0)&lt;=Settings!$B$5,N(Settings!$C$36),N(Calc!$AS$148))+Calc!$AY$149)</f>
        <v/>
      </c>
      <c r="EQ38" s="31">
        <f>IF(OR(Settings!$A$36="",OR(EOMONTH(EQ$4,0)&lt;=Settings!$B$5,EQ$4&gt;TODAY())),"",IF(EOMONTH(EP$4,0)&lt;=Settings!$B$5,N(Settings!$C$36),N(Calc!$AS$149))+Calc!$AY$150)</f>
        <v/>
      </c>
      <c r="ER38" s="31">
        <f>IF(OR(Settings!$A$36="",OR(EOMONTH(ER$4,0)&lt;=Settings!$B$5,ER$4&gt;TODAY())),"",IF(EOMONTH(EQ$4,0)&lt;=Settings!$B$5,N(Settings!$C$36),N(Calc!$AS$150))+Calc!$AY$151)</f>
        <v/>
      </c>
      <c r="ES38" s="31">
        <f>IF(OR(Settings!$A$36="",OR(EOMONTH(ES$4,0)&lt;=Settings!$B$5,ES$4&gt;TODAY())),"",IF(EOMONTH(ER$4,0)&lt;=Settings!$B$5,N(Settings!$C$36),N(Calc!$AS$151))+Calc!$AY$152)</f>
        <v/>
      </c>
      <c r="ET38" s="31">
        <f>IF(OR(Settings!$A$36="",OR(EOMONTH(ET$4,0)&lt;=Settings!$B$5,ET$4&gt;TODAY())),"",IF(EOMONTH(ES$4,0)&lt;=Settings!$B$5,N(Settings!$C$36),N(Calc!$AS$152))+Calc!$AY$153)</f>
        <v/>
      </c>
      <c r="EU38" s="31">
        <f>IF(OR(Settings!$A$36="",OR(EOMONTH(EU$4,0)&lt;=Settings!$B$5,EU$4&gt;TODAY())),"",IF(EOMONTH(ET$4,0)&lt;=Settings!$B$5,N(Settings!$C$36),N(Calc!$AS$153))+Calc!$AY$154)</f>
        <v/>
      </c>
      <c r="EV38" s="31">
        <f>IF(OR(Settings!$A$36="",OR(EOMONTH(EV$4,0)&lt;=Settings!$B$5,EV$4&gt;TODAY())),"",IF(EOMONTH(EU$4,0)&lt;=Settings!$B$5,N(Settings!$C$36),N(Calc!$AS$154))+Calc!$AY$155)</f>
        <v/>
      </c>
      <c r="EW38" s="31">
        <f>IF(OR(Settings!$A$36="",OR(EOMONTH(EW$4,0)&lt;=Settings!$B$5,EW$4&gt;TODAY())),"",IF(EOMONTH(EV$4,0)&lt;=Settings!$B$5,N(Settings!$C$36),N(Calc!$AS$155))+Calc!$AY$156)</f>
        <v/>
      </c>
      <c r="EX38" s="31">
        <f>IF(OR(Settings!$A$36="",OR(EOMONTH(EX$4,0)&lt;=Settings!$B$5,EX$4&gt;TODAY())),"",IF(EOMONTH(EW$4,0)&lt;=Settings!$B$5,N(Settings!$C$36),N(Calc!$AS$156))+Calc!$AY$157)</f>
        <v/>
      </c>
      <c r="EY38" s="31">
        <f>IF(OR(Settings!$A$36="",OR(EOMONTH(EY$4,0)&lt;=Settings!$B$5,EY$4&gt;TODAY())),"",IF(EOMONTH(EX$4,0)&lt;=Settings!$B$5,N(Settings!$C$36),N(Calc!$AS$157))+Calc!$AY$158)</f>
        <v/>
      </c>
      <c r="EZ38" s="31">
        <f>IF(OR(Settings!$A$36="",OR(EOMONTH(EZ$4,0)&lt;=Settings!$B$5,EZ$4&gt;TODAY())),"",IF(EOMONTH(EY$4,0)&lt;=Settings!$B$5,N(Settings!$C$36),N(Calc!$AS$158))+Calc!$AY$159)</f>
        <v/>
      </c>
      <c r="FA38" s="31">
        <f>IF(OR(Settings!$A$36="",OR(EOMONTH(FA$4,0)&lt;=Settings!$B$5,FA$4&gt;TODAY())),"",IF(EOMONTH(EZ$4,0)&lt;=Settings!$B$5,N(Settings!$C$36),N(Calc!$AS$159))+Calc!$AY$160)</f>
        <v/>
      </c>
      <c r="FB38" s="31">
        <f>IF(OR(Settings!$A$36="",OR(EOMONTH(FB$4,0)&lt;=Settings!$B$5,FB$4&gt;TODAY())),"",IF(EOMONTH(FA$4,0)&lt;=Settings!$B$5,N(Settings!$C$36),N(Calc!$AS$160))+Calc!$AY$161)</f>
        <v/>
      </c>
      <c r="FC38" s="31">
        <f>IF(OR(Settings!$A$36="",OR(EOMONTH(FC$4,0)&lt;=Settings!$B$5,FC$4&gt;TODAY())),"",IF(EOMONTH(FB$4,0)&lt;=Settings!$B$5,N(Settings!$C$36),N(Calc!$AS$161))+Calc!$AY$162)</f>
        <v/>
      </c>
      <c r="FD38" s="31">
        <f>IF(OR(Settings!$A$36="",OR(EOMONTH(FD$4,0)&lt;=Settings!$B$5,FD$4&gt;TODAY())),"",IF(EOMONTH(FC$4,0)&lt;=Settings!$B$5,N(Settings!$C$36),N(Calc!$AS$162))+Calc!$AY$163)</f>
        <v/>
      </c>
      <c r="FE38" s="31">
        <f>IF(OR(Settings!$A$36="",OR(EOMONTH(FE$4,0)&lt;=Settings!$B$5,FE$4&gt;TODAY())),"",IF(EOMONTH(FD$4,0)&lt;=Settings!$B$5,N(Settings!$C$36),N(Calc!$AS$163))+Calc!$AY$164)</f>
        <v/>
      </c>
      <c r="FF38" s="31">
        <f>IF(OR(Settings!$A$36="",OR(EOMONTH(FF$4,0)&lt;=Settings!$B$5,FF$4&gt;TODAY())),"",IF(EOMONTH(FE$4,0)&lt;=Settings!$B$5,N(Settings!$C$36),N(Calc!$AS$164))+Calc!$AY$165)</f>
        <v/>
      </c>
      <c r="FG38" s="31">
        <f>IF(OR(Settings!$A$36="",OR(EOMONTH(FG$4,0)&lt;=Settings!$B$5,FG$4&gt;TODAY())),"",IF(EOMONTH(FF$4,0)&lt;=Settings!$B$5,N(Settings!$C$36),N(Calc!$AS$165))+Calc!$AY$166)</f>
        <v/>
      </c>
      <c r="FH38" s="31">
        <f>IF(OR(Settings!$A$36="",OR(EOMONTH(FH$4,0)&lt;=Settings!$B$5,FH$4&gt;TODAY())),"",IF(EOMONTH(FG$4,0)&lt;=Settings!$B$5,N(Settings!$C$36),N(Calc!$AS$166))+Calc!$AY$167)</f>
        <v/>
      </c>
      <c r="FI38" s="31">
        <f>IF(OR(Settings!$A$36="",OR(EOMONTH(FI$4,0)&lt;=Settings!$B$5,FI$4&gt;TODAY())),"",IF(EOMONTH(FH$4,0)&lt;=Settings!$B$5,N(Settings!$C$36),N(Calc!$AS$167))+Calc!$AY$168)</f>
        <v/>
      </c>
      <c r="FJ38" s="31">
        <f>IF(OR(Settings!$A$36="",OR(EOMONTH(FJ$4,0)&lt;=Settings!$B$5,FJ$4&gt;TODAY())),"",IF(EOMONTH(FI$4,0)&lt;=Settings!$B$5,N(Settings!$C$36),N(Calc!$AS$168))+Calc!$AY$169)</f>
        <v/>
      </c>
      <c r="FK38" s="31">
        <f>IF(OR(Settings!$A$36="",OR(EOMONTH(FK$4,0)&lt;=Settings!$B$5,FK$4&gt;TODAY())),"",IF(EOMONTH(FJ$4,0)&lt;=Settings!$B$5,N(Settings!$C$36),N(Calc!$AS$169))+Calc!$AY$170)</f>
        <v/>
      </c>
      <c r="FL38" s="31">
        <f>IF(OR(Settings!$A$36="",OR(EOMONTH(FL$4,0)&lt;=Settings!$B$5,FL$4&gt;TODAY())),"",IF(EOMONTH(FK$4,0)&lt;=Settings!$B$5,N(Settings!$C$36),N(Calc!$AS$170))+Calc!$AY$171)</f>
        <v/>
      </c>
      <c r="FM38" s="31">
        <f>IF(OR(Settings!$A$36="",OR(EOMONTH(FM$4,0)&lt;=Settings!$B$5,FM$4&gt;TODAY())),"",IF(EOMONTH(FL$4,0)&lt;=Settings!$B$5,N(Settings!$C$36),N(Calc!$AS$171))+Calc!$AY$172)</f>
        <v/>
      </c>
      <c r="FN38" s="31">
        <f>IF(OR(Settings!$A$36="",OR(EOMONTH(FN$4,0)&lt;=Settings!$B$5,FN$4&gt;TODAY())),"",IF(EOMONTH(FM$4,0)&lt;=Settings!$B$5,N(Settings!$C$36),N(Calc!$AS$172))+Calc!$AY$173)</f>
        <v/>
      </c>
      <c r="FO38" s="31">
        <f>IF(OR(Settings!$A$36="",OR(EOMONTH(FO$4,0)&lt;=Settings!$B$5,FO$4&gt;TODAY())),"",IF(EOMONTH(FN$4,0)&lt;=Settings!$B$5,N(Settings!$C$36),N(Calc!$AS$173))+Calc!$AY$174)</f>
        <v/>
      </c>
      <c r="FP38" s="31">
        <f>IF(OR(Settings!$A$36="",OR(EOMONTH(FP$4,0)&lt;=Settings!$B$5,FP$4&gt;TODAY())),"",IF(EOMONTH(FO$4,0)&lt;=Settings!$B$5,N(Settings!$C$36),N(Calc!$AS$174))+Calc!$AY$175)</f>
        <v/>
      </c>
      <c r="FQ38" s="31">
        <f>IF(OR(Settings!$A$36="",OR(EOMONTH(FQ$4,0)&lt;=Settings!$B$5,FQ$4&gt;TODAY())),"",IF(EOMONTH(FP$4,0)&lt;=Settings!$B$5,N(Settings!$C$36),N(Calc!$AS$175))+Calc!$AY$176)</f>
        <v/>
      </c>
      <c r="FR38" s="31">
        <f>IF(OR(Settings!$A$36="",OR(EOMONTH(FR$4,0)&lt;=Settings!$B$5,FR$4&gt;TODAY())),"",IF(EOMONTH(FQ$4,0)&lt;=Settings!$B$5,N(Settings!$C$36),N(Calc!$AS$176))+Calc!$AY$177)</f>
        <v/>
      </c>
      <c r="FS38" s="31">
        <f>IF(OR(Settings!$A$36="",OR(EOMONTH(FS$4,0)&lt;=Settings!$B$5,FS$4&gt;TODAY())),"",IF(EOMONTH(FR$4,0)&lt;=Settings!$B$5,N(Settings!$C$36),N(Calc!$AS$177))+Calc!$AY$178)</f>
        <v/>
      </c>
      <c r="FT38" s="31">
        <f>IF(OR(Settings!$A$36="",OR(EOMONTH(FT$4,0)&lt;=Settings!$B$5,FT$4&gt;TODAY())),"",IF(EOMONTH(FS$4,0)&lt;=Settings!$B$5,N(Settings!$C$36),N(Calc!$AS$178))+Calc!$AY$179)</f>
        <v/>
      </c>
      <c r="FU38" s="31">
        <f>IF(OR(Settings!$A$36="",OR(EOMONTH(FU$4,0)&lt;=Settings!$B$5,FU$4&gt;TODAY())),"",IF(EOMONTH(FT$4,0)&lt;=Settings!$B$5,N(Settings!$C$36),N(Calc!$AS$179))+Calc!$AY$180)</f>
        <v/>
      </c>
      <c r="FV38" s="31">
        <f>IF(OR(Settings!$A$36="",OR(EOMONTH(FV$4,0)&lt;=Settings!$B$5,FV$4&gt;TODAY())),"",IF(EOMONTH(FU$4,0)&lt;=Settings!$B$5,N(Settings!$C$36),N(Calc!$AS$180))+Calc!$AY$181)</f>
        <v/>
      </c>
      <c r="FW38" s="31">
        <f>IF(OR(Settings!$A$36="",OR(EOMONTH(FW$4,0)&lt;=Settings!$B$5,FW$4&gt;TODAY())),"",IF(EOMONTH(FV$4,0)&lt;=Settings!$B$5,N(Settings!$C$36),N(Calc!$AS$181))+Calc!$AY$182)</f>
        <v/>
      </c>
      <c r="FX38" s="31">
        <f>IF(OR(Settings!$A$36="",OR(EOMONTH(FX$4,0)&lt;=Settings!$B$5,FX$4&gt;TODAY())),"",IF(EOMONTH(FW$4,0)&lt;=Settings!$B$5,N(Settings!$C$36),N(Calc!$AS$182))+Calc!$AY$183)</f>
        <v/>
      </c>
    </row>
    <row r="39">
      <c r="A39" s="15">
        <f>IF(Settings!$A$37="","(unused)",Settings!$A$37&amp;" — value")</f>
        <v/>
      </c>
      <c r="B39" s="26">
        <f>IF(Settings!$A$37="","","grey = last value + deposits")</f>
        <v/>
      </c>
      <c r="C39" s="31">
        <f>IF(OR(Settings!$A$37="",OR(EOMONTH(C$4,0)&lt;=Settings!$B$5,C$4&gt;TODAY())),"",N(Settings!$C$37)+Calc!$AZ$6)</f>
        <v/>
      </c>
      <c r="D39" s="31">
        <f>IF(OR(Settings!$A$37="",OR(EOMONTH(D$4,0)&lt;=Settings!$B$5,D$4&gt;TODAY())),"",IF(EOMONTH(C$4,0)&lt;=Settings!$B$5,N(Settings!$C$37),N(Calc!$AT$6))+Calc!$AZ$7)</f>
        <v/>
      </c>
      <c r="E39" s="31">
        <f>IF(OR(Settings!$A$37="",OR(EOMONTH(E$4,0)&lt;=Settings!$B$5,E$4&gt;TODAY())),"",IF(EOMONTH(D$4,0)&lt;=Settings!$B$5,N(Settings!$C$37),N(Calc!$AT$7))+Calc!$AZ$8)</f>
        <v/>
      </c>
      <c r="F39" s="31">
        <f>IF(OR(Settings!$A$37="",OR(EOMONTH(F$4,0)&lt;=Settings!$B$5,F$4&gt;TODAY())),"",IF(EOMONTH(E$4,0)&lt;=Settings!$B$5,N(Settings!$C$37),N(Calc!$AT$8))+Calc!$AZ$9)</f>
        <v/>
      </c>
      <c r="G39" s="31">
        <f>IF(OR(Settings!$A$37="",OR(EOMONTH(G$4,0)&lt;=Settings!$B$5,G$4&gt;TODAY())),"",IF(EOMONTH(F$4,0)&lt;=Settings!$B$5,N(Settings!$C$37),N(Calc!$AT$9))+Calc!$AZ$10)</f>
        <v/>
      </c>
      <c r="H39" s="31">
        <f>IF(OR(Settings!$A$37="",OR(EOMONTH(H$4,0)&lt;=Settings!$B$5,H$4&gt;TODAY())),"",IF(EOMONTH(G$4,0)&lt;=Settings!$B$5,N(Settings!$C$37),N(Calc!$AT$10))+Calc!$AZ$11)</f>
        <v/>
      </c>
      <c r="I39" s="31">
        <f>IF(OR(Settings!$A$37="",OR(EOMONTH(I$4,0)&lt;=Settings!$B$5,I$4&gt;TODAY())),"",IF(EOMONTH(H$4,0)&lt;=Settings!$B$5,N(Settings!$C$37),N(Calc!$AT$11))+Calc!$AZ$12)</f>
        <v/>
      </c>
      <c r="J39" s="31">
        <f>IF(OR(Settings!$A$37="",OR(EOMONTH(J$4,0)&lt;=Settings!$B$5,J$4&gt;TODAY())),"",IF(EOMONTH(I$4,0)&lt;=Settings!$B$5,N(Settings!$C$37),N(Calc!$AT$12))+Calc!$AZ$13)</f>
        <v/>
      </c>
      <c r="K39" s="31">
        <f>IF(OR(Settings!$A$37="",OR(EOMONTH(K$4,0)&lt;=Settings!$B$5,K$4&gt;TODAY())),"",IF(EOMONTH(J$4,0)&lt;=Settings!$B$5,N(Settings!$C$37),N(Calc!$AT$13))+Calc!$AZ$14)</f>
        <v/>
      </c>
      <c r="L39" s="31">
        <f>IF(OR(Settings!$A$37="",OR(EOMONTH(L$4,0)&lt;=Settings!$B$5,L$4&gt;TODAY())),"",IF(EOMONTH(K$4,0)&lt;=Settings!$B$5,N(Settings!$C$37),N(Calc!$AT$14))+Calc!$AZ$15)</f>
        <v/>
      </c>
      <c r="M39" s="31">
        <f>IF(OR(Settings!$A$37="",OR(EOMONTH(M$4,0)&lt;=Settings!$B$5,M$4&gt;TODAY())),"",IF(EOMONTH(L$4,0)&lt;=Settings!$B$5,N(Settings!$C$37),N(Calc!$AT$15))+Calc!$AZ$16)</f>
        <v/>
      </c>
      <c r="N39" s="31">
        <f>IF(OR(Settings!$A$37="",OR(EOMONTH(N$4,0)&lt;=Settings!$B$5,N$4&gt;TODAY())),"",IF(EOMONTH(M$4,0)&lt;=Settings!$B$5,N(Settings!$C$37),N(Calc!$AT$16))+Calc!$AZ$17)</f>
        <v/>
      </c>
      <c r="O39" s="31">
        <f>IF(OR(Settings!$A$37="",OR(EOMONTH(O$4,0)&lt;=Settings!$B$5,O$4&gt;TODAY())),"",IF(EOMONTH(N$4,0)&lt;=Settings!$B$5,N(Settings!$C$37),N(Calc!$AT$17))+Calc!$AZ$18)</f>
        <v/>
      </c>
      <c r="P39" s="31">
        <f>IF(OR(Settings!$A$37="",OR(EOMONTH(P$4,0)&lt;=Settings!$B$5,P$4&gt;TODAY())),"",IF(EOMONTH(O$4,0)&lt;=Settings!$B$5,N(Settings!$C$37),N(Calc!$AT$18))+Calc!$AZ$19)</f>
        <v/>
      </c>
      <c r="Q39" s="31">
        <f>IF(OR(Settings!$A$37="",OR(EOMONTH(Q$4,0)&lt;=Settings!$B$5,Q$4&gt;TODAY())),"",IF(EOMONTH(P$4,0)&lt;=Settings!$B$5,N(Settings!$C$37),N(Calc!$AT$19))+Calc!$AZ$20)</f>
        <v/>
      </c>
      <c r="R39" s="31">
        <f>IF(OR(Settings!$A$37="",OR(EOMONTH(R$4,0)&lt;=Settings!$B$5,R$4&gt;TODAY())),"",IF(EOMONTH(Q$4,0)&lt;=Settings!$B$5,N(Settings!$C$37),N(Calc!$AT$20))+Calc!$AZ$21)</f>
        <v/>
      </c>
      <c r="S39" s="31">
        <f>IF(OR(Settings!$A$37="",OR(EOMONTH(S$4,0)&lt;=Settings!$B$5,S$4&gt;TODAY())),"",IF(EOMONTH(R$4,0)&lt;=Settings!$B$5,N(Settings!$C$37),N(Calc!$AT$21))+Calc!$AZ$22)</f>
        <v/>
      </c>
      <c r="T39" s="31">
        <f>IF(OR(Settings!$A$37="",OR(EOMONTH(T$4,0)&lt;=Settings!$B$5,T$4&gt;TODAY())),"",IF(EOMONTH(S$4,0)&lt;=Settings!$B$5,N(Settings!$C$37),N(Calc!$AT$22))+Calc!$AZ$23)</f>
        <v/>
      </c>
      <c r="U39" s="31">
        <f>IF(OR(Settings!$A$37="",OR(EOMONTH(U$4,0)&lt;=Settings!$B$5,U$4&gt;TODAY())),"",IF(EOMONTH(T$4,0)&lt;=Settings!$B$5,N(Settings!$C$37),N(Calc!$AT$23))+Calc!$AZ$24)</f>
        <v/>
      </c>
      <c r="V39" s="31">
        <f>IF(OR(Settings!$A$37="",OR(EOMONTH(V$4,0)&lt;=Settings!$B$5,V$4&gt;TODAY())),"",IF(EOMONTH(U$4,0)&lt;=Settings!$B$5,N(Settings!$C$37),N(Calc!$AT$24))+Calc!$AZ$25)</f>
        <v/>
      </c>
      <c r="W39" s="31">
        <f>IF(OR(Settings!$A$37="",OR(EOMONTH(W$4,0)&lt;=Settings!$B$5,W$4&gt;TODAY())),"",IF(EOMONTH(V$4,0)&lt;=Settings!$B$5,N(Settings!$C$37),N(Calc!$AT$25))+Calc!$AZ$26)</f>
        <v/>
      </c>
      <c r="X39" s="31">
        <f>IF(OR(Settings!$A$37="",OR(EOMONTH(X$4,0)&lt;=Settings!$B$5,X$4&gt;TODAY())),"",IF(EOMONTH(W$4,0)&lt;=Settings!$B$5,N(Settings!$C$37),N(Calc!$AT$26))+Calc!$AZ$27)</f>
        <v/>
      </c>
      <c r="Y39" s="31">
        <f>IF(OR(Settings!$A$37="",OR(EOMONTH(Y$4,0)&lt;=Settings!$B$5,Y$4&gt;TODAY())),"",IF(EOMONTH(X$4,0)&lt;=Settings!$B$5,N(Settings!$C$37),N(Calc!$AT$27))+Calc!$AZ$28)</f>
        <v/>
      </c>
      <c r="Z39" s="31">
        <f>IF(OR(Settings!$A$37="",OR(EOMONTH(Z$4,0)&lt;=Settings!$B$5,Z$4&gt;TODAY())),"",IF(EOMONTH(Y$4,0)&lt;=Settings!$B$5,N(Settings!$C$37),N(Calc!$AT$28))+Calc!$AZ$29)</f>
        <v/>
      </c>
      <c r="AA39" s="31">
        <f>IF(OR(Settings!$A$37="",OR(EOMONTH(AA$4,0)&lt;=Settings!$B$5,AA$4&gt;TODAY())),"",IF(EOMONTH(Z$4,0)&lt;=Settings!$B$5,N(Settings!$C$37),N(Calc!$AT$29))+Calc!$AZ$30)</f>
        <v/>
      </c>
      <c r="AB39" s="31">
        <f>IF(OR(Settings!$A$37="",OR(EOMONTH(AB$4,0)&lt;=Settings!$B$5,AB$4&gt;TODAY())),"",IF(EOMONTH(AA$4,0)&lt;=Settings!$B$5,N(Settings!$C$37),N(Calc!$AT$30))+Calc!$AZ$31)</f>
        <v/>
      </c>
      <c r="AC39" s="31">
        <f>IF(OR(Settings!$A$37="",OR(EOMONTH(AC$4,0)&lt;=Settings!$B$5,AC$4&gt;TODAY())),"",IF(EOMONTH(AB$4,0)&lt;=Settings!$B$5,N(Settings!$C$37),N(Calc!$AT$31))+Calc!$AZ$32)</f>
        <v/>
      </c>
      <c r="AD39" s="31">
        <f>IF(OR(Settings!$A$37="",OR(EOMONTH(AD$4,0)&lt;=Settings!$B$5,AD$4&gt;TODAY())),"",IF(EOMONTH(AC$4,0)&lt;=Settings!$B$5,N(Settings!$C$37),N(Calc!$AT$32))+Calc!$AZ$33)</f>
        <v/>
      </c>
      <c r="AE39" s="31">
        <f>IF(OR(Settings!$A$37="",OR(EOMONTH(AE$4,0)&lt;=Settings!$B$5,AE$4&gt;TODAY())),"",IF(EOMONTH(AD$4,0)&lt;=Settings!$B$5,N(Settings!$C$37),N(Calc!$AT$33))+Calc!$AZ$34)</f>
        <v/>
      </c>
      <c r="AF39" s="31">
        <f>IF(OR(Settings!$A$37="",OR(EOMONTH(AF$4,0)&lt;=Settings!$B$5,AF$4&gt;TODAY())),"",IF(EOMONTH(AE$4,0)&lt;=Settings!$B$5,N(Settings!$C$37),N(Calc!$AT$34))+Calc!$AZ$35)</f>
        <v/>
      </c>
      <c r="AG39" s="31">
        <f>IF(OR(Settings!$A$37="",OR(EOMONTH(AG$4,0)&lt;=Settings!$B$5,AG$4&gt;TODAY())),"",IF(EOMONTH(AF$4,0)&lt;=Settings!$B$5,N(Settings!$C$37),N(Calc!$AT$35))+Calc!$AZ$36)</f>
        <v/>
      </c>
      <c r="AH39" s="31">
        <f>IF(OR(Settings!$A$37="",OR(EOMONTH(AH$4,0)&lt;=Settings!$B$5,AH$4&gt;TODAY())),"",IF(EOMONTH(AG$4,0)&lt;=Settings!$B$5,N(Settings!$C$37),N(Calc!$AT$36))+Calc!$AZ$37)</f>
        <v/>
      </c>
      <c r="AI39" s="31">
        <f>IF(OR(Settings!$A$37="",OR(EOMONTH(AI$4,0)&lt;=Settings!$B$5,AI$4&gt;TODAY())),"",IF(EOMONTH(AH$4,0)&lt;=Settings!$B$5,N(Settings!$C$37),N(Calc!$AT$37))+Calc!$AZ$38)</f>
        <v/>
      </c>
      <c r="AJ39" s="31">
        <f>IF(OR(Settings!$A$37="",OR(EOMONTH(AJ$4,0)&lt;=Settings!$B$5,AJ$4&gt;TODAY())),"",IF(EOMONTH(AI$4,0)&lt;=Settings!$B$5,N(Settings!$C$37),N(Calc!$AT$38))+Calc!$AZ$39)</f>
        <v/>
      </c>
      <c r="AK39" s="31">
        <f>IF(OR(Settings!$A$37="",OR(EOMONTH(AK$4,0)&lt;=Settings!$B$5,AK$4&gt;TODAY())),"",IF(EOMONTH(AJ$4,0)&lt;=Settings!$B$5,N(Settings!$C$37),N(Calc!$AT$39))+Calc!$AZ$40)</f>
        <v/>
      </c>
      <c r="AL39" s="31">
        <f>IF(OR(Settings!$A$37="",OR(EOMONTH(AL$4,0)&lt;=Settings!$B$5,AL$4&gt;TODAY())),"",IF(EOMONTH(AK$4,0)&lt;=Settings!$B$5,N(Settings!$C$37),N(Calc!$AT$40))+Calc!$AZ$41)</f>
        <v/>
      </c>
      <c r="AM39" s="31">
        <f>IF(OR(Settings!$A$37="",OR(EOMONTH(AM$4,0)&lt;=Settings!$B$5,AM$4&gt;TODAY())),"",IF(EOMONTH(AL$4,0)&lt;=Settings!$B$5,N(Settings!$C$37),N(Calc!$AT$41))+Calc!$AZ$42)</f>
        <v/>
      </c>
      <c r="AN39" s="31">
        <f>IF(OR(Settings!$A$37="",OR(EOMONTH(AN$4,0)&lt;=Settings!$B$5,AN$4&gt;TODAY())),"",IF(EOMONTH(AM$4,0)&lt;=Settings!$B$5,N(Settings!$C$37),N(Calc!$AT$42))+Calc!$AZ$43)</f>
        <v/>
      </c>
      <c r="AO39" s="31">
        <f>IF(OR(Settings!$A$37="",OR(EOMONTH(AO$4,0)&lt;=Settings!$B$5,AO$4&gt;TODAY())),"",IF(EOMONTH(AN$4,0)&lt;=Settings!$B$5,N(Settings!$C$37),N(Calc!$AT$43))+Calc!$AZ$44)</f>
        <v/>
      </c>
      <c r="AP39" s="31">
        <f>IF(OR(Settings!$A$37="",OR(EOMONTH(AP$4,0)&lt;=Settings!$B$5,AP$4&gt;TODAY())),"",IF(EOMONTH(AO$4,0)&lt;=Settings!$B$5,N(Settings!$C$37),N(Calc!$AT$44))+Calc!$AZ$45)</f>
        <v/>
      </c>
      <c r="AQ39" s="31">
        <f>IF(OR(Settings!$A$37="",OR(EOMONTH(AQ$4,0)&lt;=Settings!$B$5,AQ$4&gt;TODAY())),"",IF(EOMONTH(AP$4,0)&lt;=Settings!$B$5,N(Settings!$C$37),N(Calc!$AT$45))+Calc!$AZ$46)</f>
        <v/>
      </c>
      <c r="AR39" s="31">
        <f>IF(OR(Settings!$A$37="",OR(EOMONTH(AR$4,0)&lt;=Settings!$B$5,AR$4&gt;TODAY())),"",IF(EOMONTH(AQ$4,0)&lt;=Settings!$B$5,N(Settings!$C$37),N(Calc!$AT$46))+Calc!$AZ$47)</f>
        <v/>
      </c>
      <c r="AS39" s="31">
        <f>IF(OR(Settings!$A$37="",OR(EOMONTH(AS$4,0)&lt;=Settings!$B$5,AS$4&gt;TODAY())),"",IF(EOMONTH(AR$4,0)&lt;=Settings!$B$5,N(Settings!$C$37),N(Calc!$AT$47))+Calc!$AZ$48)</f>
        <v/>
      </c>
      <c r="AT39" s="31">
        <f>IF(OR(Settings!$A$37="",OR(EOMONTH(AT$4,0)&lt;=Settings!$B$5,AT$4&gt;TODAY())),"",IF(EOMONTH(AS$4,0)&lt;=Settings!$B$5,N(Settings!$C$37),N(Calc!$AT$48))+Calc!$AZ$49)</f>
        <v/>
      </c>
      <c r="AU39" s="31">
        <f>IF(OR(Settings!$A$37="",OR(EOMONTH(AU$4,0)&lt;=Settings!$B$5,AU$4&gt;TODAY())),"",IF(EOMONTH(AT$4,0)&lt;=Settings!$B$5,N(Settings!$C$37),N(Calc!$AT$49))+Calc!$AZ$50)</f>
        <v/>
      </c>
      <c r="AV39" s="31">
        <f>IF(OR(Settings!$A$37="",OR(EOMONTH(AV$4,0)&lt;=Settings!$B$5,AV$4&gt;TODAY())),"",IF(EOMONTH(AU$4,0)&lt;=Settings!$B$5,N(Settings!$C$37),N(Calc!$AT$50))+Calc!$AZ$51)</f>
        <v/>
      </c>
      <c r="AW39" s="31">
        <f>IF(OR(Settings!$A$37="",OR(EOMONTH(AW$4,0)&lt;=Settings!$B$5,AW$4&gt;TODAY())),"",IF(EOMONTH(AV$4,0)&lt;=Settings!$B$5,N(Settings!$C$37),N(Calc!$AT$51))+Calc!$AZ$52)</f>
        <v/>
      </c>
      <c r="AX39" s="31">
        <f>IF(OR(Settings!$A$37="",OR(EOMONTH(AX$4,0)&lt;=Settings!$B$5,AX$4&gt;TODAY())),"",IF(EOMONTH(AW$4,0)&lt;=Settings!$B$5,N(Settings!$C$37),N(Calc!$AT$52))+Calc!$AZ$53)</f>
        <v/>
      </c>
      <c r="AY39" s="31">
        <f>IF(OR(Settings!$A$37="",OR(EOMONTH(AY$4,0)&lt;=Settings!$B$5,AY$4&gt;TODAY())),"",IF(EOMONTH(AX$4,0)&lt;=Settings!$B$5,N(Settings!$C$37),N(Calc!$AT$53))+Calc!$AZ$54)</f>
        <v/>
      </c>
      <c r="AZ39" s="31">
        <f>IF(OR(Settings!$A$37="",OR(EOMONTH(AZ$4,0)&lt;=Settings!$B$5,AZ$4&gt;TODAY())),"",IF(EOMONTH(AY$4,0)&lt;=Settings!$B$5,N(Settings!$C$37),N(Calc!$AT$54))+Calc!$AZ$55)</f>
        <v/>
      </c>
      <c r="BA39" s="31">
        <f>IF(OR(Settings!$A$37="",OR(EOMONTH(BA$4,0)&lt;=Settings!$B$5,BA$4&gt;TODAY())),"",IF(EOMONTH(AZ$4,0)&lt;=Settings!$B$5,N(Settings!$C$37),N(Calc!$AT$55))+Calc!$AZ$56)</f>
        <v/>
      </c>
      <c r="BB39" s="31">
        <f>IF(OR(Settings!$A$37="",OR(EOMONTH(BB$4,0)&lt;=Settings!$B$5,BB$4&gt;TODAY())),"",IF(EOMONTH(BA$4,0)&lt;=Settings!$B$5,N(Settings!$C$37),N(Calc!$AT$56))+Calc!$AZ$57)</f>
        <v/>
      </c>
      <c r="BC39" s="31">
        <f>IF(OR(Settings!$A$37="",OR(EOMONTH(BC$4,0)&lt;=Settings!$B$5,BC$4&gt;TODAY())),"",IF(EOMONTH(BB$4,0)&lt;=Settings!$B$5,N(Settings!$C$37),N(Calc!$AT$57))+Calc!$AZ$58)</f>
        <v/>
      </c>
      <c r="BD39" s="31">
        <f>IF(OR(Settings!$A$37="",OR(EOMONTH(BD$4,0)&lt;=Settings!$B$5,BD$4&gt;TODAY())),"",IF(EOMONTH(BC$4,0)&lt;=Settings!$B$5,N(Settings!$C$37),N(Calc!$AT$58))+Calc!$AZ$59)</f>
        <v/>
      </c>
      <c r="BE39" s="31">
        <f>IF(OR(Settings!$A$37="",OR(EOMONTH(BE$4,0)&lt;=Settings!$B$5,BE$4&gt;TODAY())),"",IF(EOMONTH(BD$4,0)&lt;=Settings!$B$5,N(Settings!$C$37),N(Calc!$AT$59))+Calc!$AZ$60)</f>
        <v/>
      </c>
      <c r="BF39" s="31">
        <f>IF(OR(Settings!$A$37="",OR(EOMONTH(BF$4,0)&lt;=Settings!$B$5,BF$4&gt;TODAY())),"",IF(EOMONTH(BE$4,0)&lt;=Settings!$B$5,N(Settings!$C$37),N(Calc!$AT$60))+Calc!$AZ$61)</f>
        <v/>
      </c>
      <c r="BG39" s="31">
        <f>IF(OR(Settings!$A$37="",OR(EOMONTH(BG$4,0)&lt;=Settings!$B$5,BG$4&gt;TODAY())),"",IF(EOMONTH(BF$4,0)&lt;=Settings!$B$5,N(Settings!$C$37),N(Calc!$AT$61))+Calc!$AZ$62)</f>
        <v/>
      </c>
      <c r="BH39" s="31">
        <f>IF(OR(Settings!$A$37="",OR(EOMONTH(BH$4,0)&lt;=Settings!$B$5,BH$4&gt;TODAY())),"",IF(EOMONTH(BG$4,0)&lt;=Settings!$B$5,N(Settings!$C$37),N(Calc!$AT$62))+Calc!$AZ$63)</f>
        <v/>
      </c>
      <c r="BI39" s="31">
        <f>IF(OR(Settings!$A$37="",OR(EOMONTH(BI$4,0)&lt;=Settings!$B$5,BI$4&gt;TODAY())),"",IF(EOMONTH(BH$4,0)&lt;=Settings!$B$5,N(Settings!$C$37),N(Calc!$AT$63))+Calc!$AZ$64)</f>
        <v/>
      </c>
      <c r="BJ39" s="31">
        <f>IF(OR(Settings!$A$37="",OR(EOMONTH(BJ$4,0)&lt;=Settings!$B$5,BJ$4&gt;TODAY())),"",IF(EOMONTH(BI$4,0)&lt;=Settings!$B$5,N(Settings!$C$37),N(Calc!$AT$64))+Calc!$AZ$65)</f>
        <v/>
      </c>
      <c r="BK39" s="31">
        <f>IF(OR(Settings!$A$37="",OR(EOMONTH(BK$4,0)&lt;=Settings!$B$5,BK$4&gt;TODAY())),"",IF(EOMONTH(BJ$4,0)&lt;=Settings!$B$5,N(Settings!$C$37),N(Calc!$AT$65))+Calc!$AZ$66)</f>
        <v/>
      </c>
      <c r="BL39" s="31">
        <f>IF(OR(Settings!$A$37="",OR(EOMONTH(BL$4,0)&lt;=Settings!$B$5,BL$4&gt;TODAY())),"",IF(EOMONTH(BK$4,0)&lt;=Settings!$B$5,N(Settings!$C$37),N(Calc!$AT$66))+Calc!$AZ$67)</f>
        <v/>
      </c>
      <c r="BM39" s="31">
        <f>IF(OR(Settings!$A$37="",OR(EOMONTH(BM$4,0)&lt;=Settings!$B$5,BM$4&gt;TODAY())),"",IF(EOMONTH(BL$4,0)&lt;=Settings!$B$5,N(Settings!$C$37),N(Calc!$AT$67))+Calc!$AZ$68)</f>
        <v/>
      </c>
      <c r="BN39" s="31">
        <f>IF(OR(Settings!$A$37="",OR(EOMONTH(BN$4,0)&lt;=Settings!$B$5,BN$4&gt;TODAY())),"",IF(EOMONTH(BM$4,0)&lt;=Settings!$B$5,N(Settings!$C$37),N(Calc!$AT$68))+Calc!$AZ$69)</f>
        <v/>
      </c>
      <c r="BO39" s="31">
        <f>IF(OR(Settings!$A$37="",OR(EOMONTH(BO$4,0)&lt;=Settings!$B$5,BO$4&gt;TODAY())),"",IF(EOMONTH(BN$4,0)&lt;=Settings!$B$5,N(Settings!$C$37),N(Calc!$AT$69))+Calc!$AZ$70)</f>
        <v/>
      </c>
      <c r="BP39" s="31">
        <f>IF(OR(Settings!$A$37="",OR(EOMONTH(BP$4,0)&lt;=Settings!$B$5,BP$4&gt;TODAY())),"",IF(EOMONTH(BO$4,0)&lt;=Settings!$B$5,N(Settings!$C$37),N(Calc!$AT$70))+Calc!$AZ$71)</f>
        <v/>
      </c>
      <c r="BQ39" s="31">
        <f>IF(OR(Settings!$A$37="",OR(EOMONTH(BQ$4,0)&lt;=Settings!$B$5,BQ$4&gt;TODAY())),"",IF(EOMONTH(BP$4,0)&lt;=Settings!$B$5,N(Settings!$C$37),N(Calc!$AT$71))+Calc!$AZ$72)</f>
        <v/>
      </c>
      <c r="BR39" s="31">
        <f>IF(OR(Settings!$A$37="",OR(EOMONTH(BR$4,0)&lt;=Settings!$B$5,BR$4&gt;TODAY())),"",IF(EOMONTH(BQ$4,0)&lt;=Settings!$B$5,N(Settings!$C$37),N(Calc!$AT$72))+Calc!$AZ$73)</f>
        <v/>
      </c>
      <c r="BS39" s="31">
        <f>IF(OR(Settings!$A$37="",OR(EOMONTH(BS$4,0)&lt;=Settings!$B$5,BS$4&gt;TODAY())),"",IF(EOMONTH(BR$4,0)&lt;=Settings!$B$5,N(Settings!$C$37),N(Calc!$AT$73))+Calc!$AZ$74)</f>
        <v/>
      </c>
      <c r="BT39" s="31">
        <f>IF(OR(Settings!$A$37="",OR(EOMONTH(BT$4,0)&lt;=Settings!$B$5,BT$4&gt;TODAY())),"",IF(EOMONTH(BS$4,0)&lt;=Settings!$B$5,N(Settings!$C$37),N(Calc!$AT$74))+Calc!$AZ$75)</f>
        <v/>
      </c>
      <c r="BU39" s="31">
        <f>IF(OR(Settings!$A$37="",OR(EOMONTH(BU$4,0)&lt;=Settings!$B$5,BU$4&gt;TODAY())),"",IF(EOMONTH(BT$4,0)&lt;=Settings!$B$5,N(Settings!$C$37),N(Calc!$AT$75))+Calc!$AZ$76)</f>
        <v/>
      </c>
      <c r="BV39" s="31">
        <f>IF(OR(Settings!$A$37="",OR(EOMONTH(BV$4,0)&lt;=Settings!$B$5,BV$4&gt;TODAY())),"",IF(EOMONTH(BU$4,0)&lt;=Settings!$B$5,N(Settings!$C$37),N(Calc!$AT$76))+Calc!$AZ$77)</f>
        <v/>
      </c>
      <c r="BW39" s="31">
        <f>IF(OR(Settings!$A$37="",OR(EOMONTH(BW$4,0)&lt;=Settings!$B$5,BW$4&gt;TODAY())),"",IF(EOMONTH(BV$4,0)&lt;=Settings!$B$5,N(Settings!$C$37),N(Calc!$AT$77))+Calc!$AZ$78)</f>
        <v/>
      </c>
      <c r="BX39" s="31">
        <f>IF(OR(Settings!$A$37="",OR(EOMONTH(BX$4,0)&lt;=Settings!$B$5,BX$4&gt;TODAY())),"",IF(EOMONTH(BW$4,0)&lt;=Settings!$B$5,N(Settings!$C$37),N(Calc!$AT$78))+Calc!$AZ$79)</f>
        <v/>
      </c>
      <c r="BY39" s="31">
        <f>IF(OR(Settings!$A$37="",OR(EOMONTH(BY$4,0)&lt;=Settings!$B$5,BY$4&gt;TODAY())),"",IF(EOMONTH(BX$4,0)&lt;=Settings!$B$5,N(Settings!$C$37),N(Calc!$AT$79))+Calc!$AZ$80)</f>
        <v/>
      </c>
      <c r="BZ39" s="31">
        <f>IF(OR(Settings!$A$37="",OR(EOMONTH(BZ$4,0)&lt;=Settings!$B$5,BZ$4&gt;TODAY())),"",IF(EOMONTH(BY$4,0)&lt;=Settings!$B$5,N(Settings!$C$37),N(Calc!$AT$80))+Calc!$AZ$81)</f>
        <v/>
      </c>
      <c r="CA39" s="31">
        <f>IF(OR(Settings!$A$37="",OR(EOMONTH(CA$4,0)&lt;=Settings!$B$5,CA$4&gt;TODAY())),"",IF(EOMONTH(BZ$4,0)&lt;=Settings!$B$5,N(Settings!$C$37),N(Calc!$AT$81))+Calc!$AZ$82)</f>
        <v/>
      </c>
      <c r="CB39" s="31">
        <f>IF(OR(Settings!$A$37="",OR(EOMONTH(CB$4,0)&lt;=Settings!$B$5,CB$4&gt;TODAY())),"",IF(EOMONTH(CA$4,0)&lt;=Settings!$B$5,N(Settings!$C$37),N(Calc!$AT$82))+Calc!$AZ$83)</f>
        <v/>
      </c>
      <c r="CC39" s="31">
        <f>IF(OR(Settings!$A$37="",OR(EOMONTH(CC$4,0)&lt;=Settings!$B$5,CC$4&gt;TODAY())),"",IF(EOMONTH(CB$4,0)&lt;=Settings!$B$5,N(Settings!$C$37),N(Calc!$AT$83))+Calc!$AZ$84)</f>
        <v/>
      </c>
      <c r="CD39" s="31">
        <f>IF(OR(Settings!$A$37="",OR(EOMONTH(CD$4,0)&lt;=Settings!$B$5,CD$4&gt;TODAY())),"",IF(EOMONTH(CC$4,0)&lt;=Settings!$B$5,N(Settings!$C$37),N(Calc!$AT$84))+Calc!$AZ$85)</f>
        <v/>
      </c>
      <c r="CE39" s="31">
        <f>IF(OR(Settings!$A$37="",OR(EOMONTH(CE$4,0)&lt;=Settings!$B$5,CE$4&gt;TODAY())),"",IF(EOMONTH(CD$4,0)&lt;=Settings!$B$5,N(Settings!$C$37),N(Calc!$AT$85))+Calc!$AZ$86)</f>
        <v/>
      </c>
      <c r="CF39" s="31">
        <f>IF(OR(Settings!$A$37="",OR(EOMONTH(CF$4,0)&lt;=Settings!$B$5,CF$4&gt;TODAY())),"",IF(EOMONTH(CE$4,0)&lt;=Settings!$B$5,N(Settings!$C$37),N(Calc!$AT$86))+Calc!$AZ$87)</f>
        <v/>
      </c>
      <c r="CG39" s="31">
        <f>IF(OR(Settings!$A$37="",OR(EOMONTH(CG$4,0)&lt;=Settings!$B$5,CG$4&gt;TODAY())),"",IF(EOMONTH(CF$4,0)&lt;=Settings!$B$5,N(Settings!$C$37),N(Calc!$AT$87))+Calc!$AZ$88)</f>
        <v/>
      </c>
      <c r="CH39" s="31">
        <f>IF(OR(Settings!$A$37="",OR(EOMONTH(CH$4,0)&lt;=Settings!$B$5,CH$4&gt;TODAY())),"",IF(EOMONTH(CG$4,0)&lt;=Settings!$B$5,N(Settings!$C$37),N(Calc!$AT$88))+Calc!$AZ$89)</f>
        <v/>
      </c>
      <c r="CI39" s="31">
        <f>IF(OR(Settings!$A$37="",OR(EOMONTH(CI$4,0)&lt;=Settings!$B$5,CI$4&gt;TODAY())),"",IF(EOMONTH(CH$4,0)&lt;=Settings!$B$5,N(Settings!$C$37),N(Calc!$AT$89))+Calc!$AZ$90)</f>
        <v/>
      </c>
      <c r="CJ39" s="31">
        <f>IF(OR(Settings!$A$37="",OR(EOMONTH(CJ$4,0)&lt;=Settings!$B$5,CJ$4&gt;TODAY())),"",IF(EOMONTH(CI$4,0)&lt;=Settings!$B$5,N(Settings!$C$37),N(Calc!$AT$90))+Calc!$AZ$91)</f>
        <v/>
      </c>
      <c r="CK39" s="31">
        <f>IF(OR(Settings!$A$37="",OR(EOMONTH(CK$4,0)&lt;=Settings!$B$5,CK$4&gt;TODAY())),"",IF(EOMONTH(CJ$4,0)&lt;=Settings!$B$5,N(Settings!$C$37),N(Calc!$AT$91))+Calc!$AZ$92)</f>
        <v/>
      </c>
      <c r="CL39" s="31">
        <f>IF(OR(Settings!$A$37="",OR(EOMONTH(CL$4,0)&lt;=Settings!$B$5,CL$4&gt;TODAY())),"",IF(EOMONTH(CK$4,0)&lt;=Settings!$B$5,N(Settings!$C$37),N(Calc!$AT$92))+Calc!$AZ$93)</f>
        <v/>
      </c>
      <c r="CM39" s="31">
        <f>IF(OR(Settings!$A$37="",OR(EOMONTH(CM$4,0)&lt;=Settings!$B$5,CM$4&gt;TODAY())),"",IF(EOMONTH(CL$4,0)&lt;=Settings!$B$5,N(Settings!$C$37),N(Calc!$AT$93))+Calc!$AZ$94)</f>
        <v/>
      </c>
      <c r="CN39" s="31">
        <f>IF(OR(Settings!$A$37="",OR(EOMONTH(CN$4,0)&lt;=Settings!$B$5,CN$4&gt;TODAY())),"",IF(EOMONTH(CM$4,0)&lt;=Settings!$B$5,N(Settings!$C$37),N(Calc!$AT$94))+Calc!$AZ$95)</f>
        <v/>
      </c>
      <c r="CO39" s="31">
        <f>IF(OR(Settings!$A$37="",OR(EOMONTH(CO$4,0)&lt;=Settings!$B$5,CO$4&gt;TODAY())),"",IF(EOMONTH(CN$4,0)&lt;=Settings!$B$5,N(Settings!$C$37),N(Calc!$AT$95))+Calc!$AZ$96)</f>
        <v/>
      </c>
      <c r="CP39" s="31">
        <f>IF(OR(Settings!$A$37="",OR(EOMONTH(CP$4,0)&lt;=Settings!$B$5,CP$4&gt;TODAY())),"",IF(EOMONTH(CO$4,0)&lt;=Settings!$B$5,N(Settings!$C$37),N(Calc!$AT$96))+Calc!$AZ$97)</f>
        <v/>
      </c>
      <c r="CQ39" s="31">
        <f>IF(OR(Settings!$A$37="",OR(EOMONTH(CQ$4,0)&lt;=Settings!$B$5,CQ$4&gt;TODAY())),"",IF(EOMONTH(CP$4,0)&lt;=Settings!$B$5,N(Settings!$C$37),N(Calc!$AT$97))+Calc!$AZ$98)</f>
        <v/>
      </c>
      <c r="CR39" s="31">
        <f>IF(OR(Settings!$A$37="",OR(EOMONTH(CR$4,0)&lt;=Settings!$B$5,CR$4&gt;TODAY())),"",IF(EOMONTH(CQ$4,0)&lt;=Settings!$B$5,N(Settings!$C$37),N(Calc!$AT$98))+Calc!$AZ$99)</f>
        <v/>
      </c>
      <c r="CS39" s="31">
        <f>IF(OR(Settings!$A$37="",OR(EOMONTH(CS$4,0)&lt;=Settings!$B$5,CS$4&gt;TODAY())),"",IF(EOMONTH(CR$4,0)&lt;=Settings!$B$5,N(Settings!$C$37),N(Calc!$AT$99))+Calc!$AZ$100)</f>
        <v/>
      </c>
      <c r="CT39" s="31">
        <f>IF(OR(Settings!$A$37="",OR(EOMONTH(CT$4,0)&lt;=Settings!$B$5,CT$4&gt;TODAY())),"",IF(EOMONTH(CS$4,0)&lt;=Settings!$B$5,N(Settings!$C$37),N(Calc!$AT$100))+Calc!$AZ$101)</f>
        <v/>
      </c>
      <c r="CU39" s="31">
        <f>IF(OR(Settings!$A$37="",OR(EOMONTH(CU$4,0)&lt;=Settings!$B$5,CU$4&gt;TODAY())),"",IF(EOMONTH(CT$4,0)&lt;=Settings!$B$5,N(Settings!$C$37),N(Calc!$AT$101))+Calc!$AZ$102)</f>
        <v/>
      </c>
      <c r="CV39" s="31">
        <f>IF(OR(Settings!$A$37="",OR(EOMONTH(CV$4,0)&lt;=Settings!$B$5,CV$4&gt;TODAY())),"",IF(EOMONTH(CU$4,0)&lt;=Settings!$B$5,N(Settings!$C$37),N(Calc!$AT$102))+Calc!$AZ$103)</f>
        <v/>
      </c>
      <c r="CW39" s="31">
        <f>IF(OR(Settings!$A$37="",OR(EOMONTH(CW$4,0)&lt;=Settings!$B$5,CW$4&gt;TODAY())),"",IF(EOMONTH(CV$4,0)&lt;=Settings!$B$5,N(Settings!$C$37),N(Calc!$AT$103))+Calc!$AZ$104)</f>
        <v/>
      </c>
      <c r="CX39" s="31">
        <f>IF(OR(Settings!$A$37="",OR(EOMONTH(CX$4,0)&lt;=Settings!$B$5,CX$4&gt;TODAY())),"",IF(EOMONTH(CW$4,0)&lt;=Settings!$B$5,N(Settings!$C$37),N(Calc!$AT$104))+Calc!$AZ$105)</f>
        <v/>
      </c>
      <c r="CY39" s="31">
        <f>IF(OR(Settings!$A$37="",OR(EOMONTH(CY$4,0)&lt;=Settings!$B$5,CY$4&gt;TODAY())),"",IF(EOMONTH(CX$4,0)&lt;=Settings!$B$5,N(Settings!$C$37),N(Calc!$AT$105))+Calc!$AZ$106)</f>
        <v/>
      </c>
      <c r="CZ39" s="31">
        <f>IF(OR(Settings!$A$37="",OR(EOMONTH(CZ$4,0)&lt;=Settings!$B$5,CZ$4&gt;TODAY())),"",IF(EOMONTH(CY$4,0)&lt;=Settings!$B$5,N(Settings!$C$37),N(Calc!$AT$106))+Calc!$AZ$107)</f>
        <v/>
      </c>
      <c r="DA39" s="31">
        <f>IF(OR(Settings!$A$37="",OR(EOMONTH(DA$4,0)&lt;=Settings!$B$5,DA$4&gt;TODAY())),"",IF(EOMONTH(CZ$4,0)&lt;=Settings!$B$5,N(Settings!$C$37),N(Calc!$AT$107))+Calc!$AZ$108)</f>
        <v/>
      </c>
      <c r="DB39" s="31">
        <f>IF(OR(Settings!$A$37="",OR(EOMONTH(DB$4,0)&lt;=Settings!$B$5,DB$4&gt;TODAY())),"",IF(EOMONTH(DA$4,0)&lt;=Settings!$B$5,N(Settings!$C$37),N(Calc!$AT$108))+Calc!$AZ$109)</f>
        <v/>
      </c>
      <c r="DC39" s="31">
        <f>IF(OR(Settings!$A$37="",OR(EOMONTH(DC$4,0)&lt;=Settings!$B$5,DC$4&gt;TODAY())),"",IF(EOMONTH(DB$4,0)&lt;=Settings!$B$5,N(Settings!$C$37),N(Calc!$AT$109))+Calc!$AZ$110)</f>
        <v/>
      </c>
      <c r="DD39" s="31">
        <f>IF(OR(Settings!$A$37="",OR(EOMONTH(DD$4,0)&lt;=Settings!$B$5,DD$4&gt;TODAY())),"",IF(EOMONTH(DC$4,0)&lt;=Settings!$B$5,N(Settings!$C$37),N(Calc!$AT$110))+Calc!$AZ$111)</f>
        <v/>
      </c>
      <c r="DE39" s="31">
        <f>IF(OR(Settings!$A$37="",OR(EOMONTH(DE$4,0)&lt;=Settings!$B$5,DE$4&gt;TODAY())),"",IF(EOMONTH(DD$4,0)&lt;=Settings!$B$5,N(Settings!$C$37),N(Calc!$AT$111))+Calc!$AZ$112)</f>
        <v/>
      </c>
      <c r="DF39" s="31">
        <f>IF(OR(Settings!$A$37="",OR(EOMONTH(DF$4,0)&lt;=Settings!$B$5,DF$4&gt;TODAY())),"",IF(EOMONTH(DE$4,0)&lt;=Settings!$B$5,N(Settings!$C$37),N(Calc!$AT$112))+Calc!$AZ$113)</f>
        <v/>
      </c>
      <c r="DG39" s="31">
        <f>IF(OR(Settings!$A$37="",OR(EOMONTH(DG$4,0)&lt;=Settings!$B$5,DG$4&gt;TODAY())),"",IF(EOMONTH(DF$4,0)&lt;=Settings!$B$5,N(Settings!$C$37),N(Calc!$AT$113))+Calc!$AZ$114)</f>
        <v/>
      </c>
      <c r="DH39" s="31">
        <f>IF(OR(Settings!$A$37="",OR(EOMONTH(DH$4,0)&lt;=Settings!$B$5,DH$4&gt;TODAY())),"",IF(EOMONTH(DG$4,0)&lt;=Settings!$B$5,N(Settings!$C$37),N(Calc!$AT$114))+Calc!$AZ$115)</f>
        <v/>
      </c>
      <c r="DI39" s="31">
        <f>IF(OR(Settings!$A$37="",OR(EOMONTH(DI$4,0)&lt;=Settings!$B$5,DI$4&gt;TODAY())),"",IF(EOMONTH(DH$4,0)&lt;=Settings!$B$5,N(Settings!$C$37),N(Calc!$AT$115))+Calc!$AZ$116)</f>
        <v/>
      </c>
      <c r="DJ39" s="31">
        <f>IF(OR(Settings!$A$37="",OR(EOMONTH(DJ$4,0)&lt;=Settings!$B$5,DJ$4&gt;TODAY())),"",IF(EOMONTH(DI$4,0)&lt;=Settings!$B$5,N(Settings!$C$37),N(Calc!$AT$116))+Calc!$AZ$117)</f>
        <v/>
      </c>
      <c r="DK39" s="31">
        <f>IF(OR(Settings!$A$37="",OR(EOMONTH(DK$4,0)&lt;=Settings!$B$5,DK$4&gt;TODAY())),"",IF(EOMONTH(DJ$4,0)&lt;=Settings!$B$5,N(Settings!$C$37),N(Calc!$AT$117))+Calc!$AZ$118)</f>
        <v/>
      </c>
      <c r="DL39" s="31">
        <f>IF(OR(Settings!$A$37="",OR(EOMONTH(DL$4,0)&lt;=Settings!$B$5,DL$4&gt;TODAY())),"",IF(EOMONTH(DK$4,0)&lt;=Settings!$B$5,N(Settings!$C$37),N(Calc!$AT$118))+Calc!$AZ$119)</f>
        <v/>
      </c>
      <c r="DM39" s="31">
        <f>IF(OR(Settings!$A$37="",OR(EOMONTH(DM$4,0)&lt;=Settings!$B$5,DM$4&gt;TODAY())),"",IF(EOMONTH(DL$4,0)&lt;=Settings!$B$5,N(Settings!$C$37),N(Calc!$AT$119))+Calc!$AZ$120)</f>
        <v/>
      </c>
      <c r="DN39" s="31">
        <f>IF(OR(Settings!$A$37="",OR(EOMONTH(DN$4,0)&lt;=Settings!$B$5,DN$4&gt;TODAY())),"",IF(EOMONTH(DM$4,0)&lt;=Settings!$B$5,N(Settings!$C$37),N(Calc!$AT$120))+Calc!$AZ$121)</f>
        <v/>
      </c>
      <c r="DO39" s="31">
        <f>IF(OR(Settings!$A$37="",OR(EOMONTH(DO$4,0)&lt;=Settings!$B$5,DO$4&gt;TODAY())),"",IF(EOMONTH(DN$4,0)&lt;=Settings!$B$5,N(Settings!$C$37),N(Calc!$AT$121))+Calc!$AZ$122)</f>
        <v/>
      </c>
      <c r="DP39" s="31">
        <f>IF(OR(Settings!$A$37="",OR(EOMONTH(DP$4,0)&lt;=Settings!$B$5,DP$4&gt;TODAY())),"",IF(EOMONTH(DO$4,0)&lt;=Settings!$B$5,N(Settings!$C$37),N(Calc!$AT$122))+Calc!$AZ$123)</f>
        <v/>
      </c>
      <c r="DQ39" s="31">
        <f>IF(OR(Settings!$A$37="",OR(EOMONTH(DQ$4,0)&lt;=Settings!$B$5,DQ$4&gt;TODAY())),"",IF(EOMONTH(DP$4,0)&lt;=Settings!$B$5,N(Settings!$C$37),N(Calc!$AT$123))+Calc!$AZ$124)</f>
        <v/>
      </c>
      <c r="DR39" s="31">
        <f>IF(OR(Settings!$A$37="",OR(EOMONTH(DR$4,0)&lt;=Settings!$B$5,DR$4&gt;TODAY())),"",IF(EOMONTH(DQ$4,0)&lt;=Settings!$B$5,N(Settings!$C$37),N(Calc!$AT$124))+Calc!$AZ$125)</f>
        <v/>
      </c>
      <c r="DS39" s="31">
        <f>IF(OR(Settings!$A$37="",OR(EOMONTH(DS$4,0)&lt;=Settings!$B$5,DS$4&gt;TODAY())),"",IF(EOMONTH(DR$4,0)&lt;=Settings!$B$5,N(Settings!$C$37),N(Calc!$AT$125))+Calc!$AZ$126)</f>
        <v/>
      </c>
      <c r="DT39" s="31">
        <f>IF(OR(Settings!$A$37="",OR(EOMONTH(DT$4,0)&lt;=Settings!$B$5,DT$4&gt;TODAY())),"",IF(EOMONTH(DS$4,0)&lt;=Settings!$B$5,N(Settings!$C$37),N(Calc!$AT$126))+Calc!$AZ$127)</f>
        <v/>
      </c>
      <c r="DU39" s="31">
        <f>IF(OR(Settings!$A$37="",OR(EOMONTH(DU$4,0)&lt;=Settings!$B$5,DU$4&gt;TODAY())),"",IF(EOMONTH(DT$4,0)&lt;=Settings!$B$5,N(Settings!$C$37),N(Calc!$AT$127))+Calc!$AZ$128)</f>
        <v/>
      </c>
      <c r="DV39" s="31">
        <f>IF(OR(Settings!$A$37="",OR(EOMONTH(DV$4,0)&lt;=Settings!$B$5,DV$4&gt;TODAY())),"",IF(EOMONTH(DU$4,0)&lt;=Settings!$B$5,N(Settings!$C$37),N(Calc!$AT$128))+Calc!$AZ$129)</f>
        <v/>
      </c>
      <c r="DW39" s="31">
        <f>IF(OR(Settings!$A$37="",OR(EOMONTH(DW$4,0)&lt;=Settings!$B$5,DW$4&gt;TODAY())),"",IF(EOMONTH(DV$4,0)&lt;=Settings!$B$5,N(Settings!$C$37),N(Calc!$AT$129))+Calc!$AZ$130)</f>
        <v/>
      </c>
      <c r="DX39" s="31">
        <f>IF(OR(Settings!$A$37="",OR(EOMONTH(DX$4,0)&lt;=Settings!$B$5,DX$4&gt;TODAY())),"",IF(EOMONTH(DW$4,0)&lt;=Settings!$B$5,N(Settings!$C$37),N(Calc!$AT$130))+Calc!$AZ$131)</f>
        <v/>
      </c>
      <c r="DY39" s="31">
        <f>IF(OR(Settings!$A$37="",OR(EOMONTH(DY$4,0)&lt;=Settings!$B$5,DY$4&gt;TODAY())),"",IF(EOMONTH(DX$4,0)&lt;=Settings!$B$5,N(Settings!$C$37),N(Calc!$AT$131))+Calc!$AZ$132)</f>
        <v/>
      </c>
      <c r="DZ39" s="31">
        <f>IF(OR(Settings!$A$37="",OR(EOMONTH(DZ$4,0)&lt;=Settings!$B$5,DZ$4&gt;TODAY())),"",IF(EOMONTH(DY$4,0)&lt;=Settings!$B$5,N(Settings!$C$37),N(Calc!$AT$132))+Calc!$AZ$133)</f>
        <v/>
      </c>
      <c r="EA39" s="31">
        <f>IF(OR(Settings!$A$37="",OR(EOMONTH(EA$4,0)&lt;=Settings!$B$5,EA$4&gt;TODAY())),"",IF(EOMONTH(DZ$4,0)&lt;=Settings!$B$5,N(Settings!$C$37),N(Calc!$AT$133))+Calc!$AZ$134)</f>
        <v/>
      </c>
      <c r="EB39" s="31">
        <f>IF(OR(Settings!$A$37="",OR(EOMONTH(EB$4,0)&lt;=Settings!$B$5,EB$4&gt;TODAY())),"",IF(EOMONTH(EA$4,0)&lt;=Settings!$B$5,N(Settings!$C$37),N(Calc!$AT$134))+Calc!$AZ$135)</f>
        <v/>
      </c>
      <c r="EC39" s="31">
        <f>IF(OR(Settings!$A$37="",OR(EOMONTH(EC$4,0)&lt;=Settings!$B$5,EC$4&gt;TODAY())),"",IF(EOMONTH(EB$4,0)&lt;=Settings!$B$5,N(Settings!$C$37),N(Calc!$AT$135))+Calc!$AZ$136)</f>
        <v/>
      </c>
      <c r="ED39" s="31">
        <f>IF(OR(Settings!$A$37="",OR(EOMONTH(ED$4,0)&lt;=Settings!$B$5,ED$4&gt;TODAY())),"",IF(EOMONTH(EC$4,0)&lt;=Settings!$B$5,N(Settings!$C$37),N(Calc!$AT$136))+Calc!$AZ$137)</f>
        <v/>
      </c>
      <c r="EE39" s="31">
        <f>IF(OR(Settings!$A$37="",OR(EOMONTH(EE$4,0)&lt;=Settings!$B$5,EE$4&gt;TODAY())),"",IF(EOMONTH(ED$4,0)&lt;=Settings!$B$5,N(Settings!$C$37),N(Calc!$AT$137))+Calc!$AZ$138)</f>
        <v/>
      </c>
      <c r="EF39" s="31">
        <f>IF(OR(Settings!$A$37="",OR(EOMONTH(EF$4,0)&lt;=Settings!$B$5,EF$4&gt;TODAY())),"",IF(EOMONTH(EE$4,0)&lt;=Settings!$B$5,N(Settings!$C$37),N(Calc!$AT$138))+Calc!$AZ$139)</f>
        <v/>
      </c>
      <c r="EG39" s="31">
        <f>IF(OR(Settings!$A$37="",OR(EOMONTH(EG$4,0)&lt;=Settings!$B$5,EG$4&gt;TODAY())),"",IF(EOMONTH(EF$4,0)&lt;=Settings!$B$5,N(Settings!$C$37),N(Calc!$AT$139))+Calc!$AZ$140)</f>
        <v/>
      </c>
      <c r="EH39" s="31">
        <f>IF(OR(Settings!$A$37="",OR(EOMONTH(EH$4,0)&lt;=Settings!$B$5,EH$4&gt;TODAY())),"",IF(EOMONTH(EG$4,0)&lt;=Settings!$B$5,N(Settings!$C$37),N(Calc!$AT$140))+Calc!$AZ$141)</f>
        <v/>
      </c>
      <c r="EI39" s="31">
        <f>IF(OR(Settings!$A$37="",OR(EOMONTH(EI$4,0)&lt;=Settings!$B$5,EI$4&gt;TODAY())),"",IF(EOMONTH(EH$4,0)&lt;=Settings!$B$5,N(Settings!$C$37),N(Calc!$AT$141))+Calc!$AZ$142)</f>
        <v/>
      </c>
      <c r="EJ39" s="31">
        <f>IF(OR(Settings!$A$37="",OR(EOMONTH(EJ$4,0)&lt;=Settings!$B$5,EJ$4&gt;TODAY())),"",IF(EOMONTH(EI$4,0)&lt;=Settings!$B$5,N(Settings!$C$37),N(Calc!$AT$142))+Calc!$AZ$143)</f>
        <v/>
      </c>
      <c r="EK39" s="31">
        <f>IF(OR(Settings!$A$37="",OR(EOMONTH(EK$4,0)&lt;=Settings!$B$5,EK$4&gt;TODAY())),"",IF(EOMONTH(EJ$4,0)&lt;=Settings!$B$5,N(Settings!$C$37),N(Calc!$AT$143))+Calc!$AZ$144)</f>
        <v/>
      </c>
      <c r="EL39" s="31">
        <f>IF(OR(Settings!$A$37="",OR(EOMONTH(EL$4,0)&lt;=Settings!$B$5,EL$4&gt;TODAY())),"",IF(EOMONTH(EK$4,0)&lt;=Settings!$B$5,N(Settings!$C$37),N(Calc!$AT$144))+Calc!$AZ$145)</f>
        <v/>
      </c>
      <c r="EM39" s="31">
        <f>IF(OR(Settings!$A$37="",OR(EOMONTH(EM$4,0)&lt;=Settings!$B$5,EM$4&gt;TODAY())),"",IF(EOMONTH(EL$4,0)&lt;=Settings!$B$5,N(Settings!$C$37),N(Calc!$AT$145))+Calc!$AZ$146)</f>
        <v/>
      </c>
      <c r="EN39" s="31">
        <f>IF(OR(Settings!$A$37="",OR(EOMONTH(EN$4,0)&lt;=Settings!$B$5,EN$4&gt;TODAY())),"",IF(EOMONTH(EM$4,0)&lt;=Settings!$B$5,N(Settings!$C$37),N(Calc!$AT$146))+Calc!$AZ$147)</f>
        <v/>
      </c>
      <c r="EO39" s="31">
        <f>IF(OR(Settings!$A$37="",OR(EOMONTH(EO$4,0)&lt;=Settings!$B$5,EO$4&gt;TODAY())),"",IF(EOMONTH(EN$4,0)&lt;=Settings!$B$5,N(Settings!$C$37),N(Calc!$AT$147))+Calc!$AZ$148)</f>
        <v/>
      </c>
      <c r="EP39" s="31">
        <f>IF(OR(Settings!$A$37="",OR(EOMONTH(EP$4,0)&lt;=Settings!$B$5,EP$4&gt;TODAY())),"",IF(EOMONTH(EO$4,0)&lt;=Settings!$B$5,N(Settings!$C$37),N(Calc!$AT$148))+Calc!$AZ$149)</f>
        <v/>
      </c>
      <c r="EQ39" s="31">
        <f>IF(OR(Settings!$A$37="",OR(EOMONTH(EQ$4,0)&lt;=Settings!$B$5,EQ$4&gt;TODAY())),"",IF(EOMONTH(EP$4,0)&lt;=Settings!$B$5,N(Settings!$C$37),N(Calc!$AT$149))+Calc!$AZ$150)</f>
        <v/>
      </c>
      <c r="ER39" s="31">
        <f>IF(OR(Settings!$A$37="",OR(EOMONTH(ER$4,0)&lt;=Settings!$B$5,ER$4&gt;TODAY())),"",IF(EOMONTH(EQ$4,0)&lt;=Settings!$B$5,N(Settings!$C$37),N(Calc!$AT$150))+Calc!$AZ$151)</f>
        <v/>
      </c>
      <c r="ES39" s="31">
        <f>IF(OR(Settings!$A$37="",OR(EOMONTH(ES$4,0)&lt;=Settings!$B$5,ES$4&gt;TODAY())),"",IF(EOMONTH(ER$4,0)&lt;=Settings!$B$5,N(Settings!$C$37),N(Calc!$AT$151))+Calc!$AZ$152)</f>
        <v/>
      </c>
      <c r="ET39" s="31">
        <f>IF(OR(Settings!$A$37="",OR(EOMONTH(ET$4,0)&lt;=Settings!$B$5,ET$4&gt;TODAY())),"",IF(EOMONTH(ES$4,0)&lt;=Settings!$B$5,N(Settings!$C$37),N(Calc!$AT$152))+Calc!$AZ$153)</f>
        <v/>
      </c>
      <c r="EU39" s="31">
        <f>IF(OR(Settings!$A$37="",OR(EOMONTH(EU$4,0)&lt;=Settings!$B$5,EU$4&gt;TODAY())),"",IF(EOMONTH(ET$4,0)&lt;=Settings!$B$5,N(Settings!$C$37),N(Calc!$AT$153))+Calc!$AZ$154)</f>
        <v/>
      </c>
      <c r="EV39" s="31">
        <f>IF(OR(Settings!$A$37="",OR(EOMONTH(EV$4,0)&lt;=Settings!$B$5,EV$4&gt;TODAY())),"",IF(EOMONTH(EU$4,0)&lt;=Settings!$B$5,N(Settings!$C$37),N(Calc!$AT$154))+Calc!$AZ$155)</f>
        <v/>
      </c>
      <c r="EW39" s="31">
        <f>IF(OR(Settings!$A$37="",OR(EOMONTH(EW$4,0)&lt;=Settings!$B$5,EW$4&gt;TODAY())),"",IF(EOMONTH(EV$4,0)&lt;=Settings!$B$5,N(Settings!$C$37),N(Calc!$AT$155))+Calc!$AZ$156)</f>
        <v/>
      </c>
      <c r="EX39" s="31">
        <f>IF(OR(Settings!$A$37="",OR(EOMONTH(EX$4,0)&lt;=Settings!$B$5,EX$4&gt;TODAY())),"",IF(EOMONTH(EW$4,0)&lt;=Settings!$B$5,N(Settings!$C$37),N(Calc!$AT$156))+Calc!$AZ$157)</f>
        <v/>
      </c>
      <c r="EY39" s="31">
        <f>IF(OR(Settings!$A$37="",OR(EOMONTH(EY$4,0)&lt;=Settings!$B$5,EY$4&gt;TODAY())),"",IF(EOMONTH(EX$4,0)&lt;=Settings!$B$5,N(Settings!$C$37),N(Calc!$AT$157))+Calc!$AZ$158)</f>
        <v/>
      </c>
      <c r="EZ39" s="31">
        <f>IF(OR(Settings!$A$37="",OR(EOMONTH(EZ$4,0)&lt;=Settings!$B$5,EZ$4&gt;TODAY())),"",IF(EOMONTH(EY$4,0)&lt;=Settings!$B$5,N(Settings!$C$37),N(Calc!$AT$158))+Calc!$AZ$159)</f>
        <v/>
      </c>
      <c r="FA39" s="31">
        <f>IF(OR(Settings!$A$37="",OR(EOMONTH(FA$4,0)&lt;=Settings!$B$5,FA$4&gt;TODAY())),"",IF(EOMONTH(EZ$4,0)&lt;=Settings!$B$5,N(Settings!$C$37),N(Calc!$AT$159))+Calc!$AZ$160)</f>
        <v/>
      </c>
      <c r="FB39" s="31">
        <f>IF(OR(Settings!$A$37="",OR(EOMONTH(FB$4,0)&lt;=Settings!$B$5,FB$4&gt;TODAY())),"",IF(EOMONTH(FA$4,0)&lt;=Settings!$B$5,N(Settings!$C$37),N(Calc!$AT$160))+Calc!$AZ$161)</f>
        <v/>
      </c>
      <c r="FC39" s="31">
        <f>IF(OR(Settings!$A$37="",OR(EOMONTH(FC$4,0)&lt;=Settings!$B$5,FC$4&gt;TODAY())),"",IF(EOMONTH(FB$4,0)&lt;=Settings!$B$5,N(Settings!$C$37),N(Calc!$AT$161))+Calc!$AZ$162)</f>
        <v/>
      </c>
      <c r="FD39" s="31">
        <f>IF(OR(Settings!$A$37="",OR(EOMONTH(FD$4,0)&lt;=Settings!$B$5,FD$4&gt;TODAY())),"",IF(EOMONTH(FC$4,0)&lt;=Settings!$B$5,N(Settings!$C$37),N(Calc!$AT$162))+Calc!$AZ$163)</f>
        <v/>
      </c>
      <c r="FE39" s="31">
        <f>IF(OR(Settings!$A$37="",OR(EOMONTH(FE$4,0)&lt;=Settings!$B$5,FE$4&gt;TODAY())),"",IF(EOMONTH(FD$4,0)&lt;=Settings!$B$5,N(Settings!$C$37),N(Calc!$AT$163))+Calc!$AZ$164)</f>
        <v/>
      </c>
      <c r="FF39" s="31">
        <f>IF(OR(Settings!$A$37="",OR(EOMONTH(FF$4,0)&lt;=Settings!$B$5,FF$4&gt;TODAY())),"",IF(EOMONTH(FE$4,0)&lt;=Settings!$B$5,N(Settings!$C$37),N(Calc!$AT$164))+Calc!$AZ$165)</f>
        <v/>
      </c>
      <c r="FG39" s="31">
        <f>IF(OR(Settings!$A$37="",OR(EOMONTH(FG$4,0)&lt;=Settings!$B$5,FG$4&gt;TODAY())),"",IF(EOMONTH(FF$4,0)&lt;=Settings!$B$5,N(Settings!$C$37),N(Calc!$AT$165))+Calc!$AZ$166)</f>
        <v/>
      </c>
      <c r="FH39" s="31">
        <f>IF(OR(Settings!$A$37="",OR(EOMONTH(FH$4,0)&lt;=Settings!$B$5,FH$4&gt;TODAY())),"",IF(EOMONTH(FG$4,0)&lt;=Settings!$B$5,N(Settings!$C$37),N(Calc!$AT$166))+Calc!$AZ$167)</f>
        <v/>
      </c>
      <c r="FI39" s="31">
        <f>IF(OR(Settings!$A$37="",OR(EOMONTH(FI$4,0)&lt;=Settings!$B$5,FI$4&gt;TODAY())),"",IF(EOMONTH(FH$4,0)&lt;=Settings!$B$5,N(Settings!$C$37),N(Calc!$AT$167))+Calc!$AZ$168)</f>
        <v/>
      </c>
      <c r="FJ39" s="31">
        <f>IF(OR(Settings!$A$37="",OR(EOMONTH(FJ$4,0)&lt;=Settings!$B$5,FJ$4&gt;TODAY())),"",IF(EOMONTH(FI$4,0)&lt;=Settings!$B$5,N(Settings!$C$37),N(Calc!$AT$168))+Calc!$AZ$169)</f>
        <v/>
      </c>
      <c r="FK39" s="31">
        <f>IF(OR(Settings!$A$37="",OR(EOMONTH(FK$4,0)&lt;=Settings!$B$5,FK$4&gt;TODAY())),"",IF(EOMONTH(FJ$4,0)&lt;=Settings!$B$5,N(Settings!$C$37),N(Calc!$AT$169))+Calc!$AZ$170)</f>
        <v/>
      </c>
      <c r="FL39" s="31">
        <f>IF(OR(Settings!$A$37="",OR(EOMONTH(FL$4,0)&lt;=Settings!$B$5,FL$4&gt;TODAY())),"",IF(EOMONTH(FK$4,0)&lt;=Settings!$B$5,N(Settings!$C$37),N(Calc!$AT$170))+Calc!$AZ$171)</f>
        <v/>
      </c>
      <c r="FM39" s="31">
        <f>IF(OR(Settings!$A$37="",OR(EOMONTH(FM$4,0)&lt;=Settings!$B$5,FM$4&gt;TODAY())),"",IF(EOMONTH(FL$4,0)&lt;=Settings!$B$5,N(Settings!$C$37),N(Calc!$AT$171))+Calc!$AZ$172)</f>
        <v/>
      </c>
      <c r="FN39" s="31">
        <f>IF(OR(Settings!$A$37="",OR(EOMONTH(FN$4,0)&lt;=Settings!$B$5,FN$4&gt;TODAY())),"",IF(EOMONTH(FM$4,0)&lt;=Settings!$B$5,N(Settings!$C$37),N(Calc!$AT$172))+Calc!$AZ$173)</f>
        <v/>
      </c>
      <c r="FO39" s="31">
        <f>IF(OR(Settings!$A$37="",OR(EOMONTH(FO$4,0)&lt;=Settings!$B$5,FO$4&gt;TODAY())),"",IF(EOMONTH(FN$4,0)&lt;=Settings!$B$5,N(Settings!$C$37),N(Calc!$AT$173))+Calc!$AZ$174)</f>
        <v/>
      </c>
      <c r="FP39" s="31">
        <f>IF(OR(Settings!$A$37="",OR(EOMONTH(FP$4,0)&lt;=Settings!$B$5,FP$4&gt;TODAY())),"",IF(EOMONTH(FO$4,0)&lt;=Settings!$B$5,N(Settings!$C$37),N(Calc!$AT$174))+Calc!$AZ$175)</f>
        <v/>
      </c>
      <c r="FQ39" s="31">
        <f>IF(OR(Settings!$A$37="",OR(EOMONTH(FQ$4,0)&lt;=Settings!$B$5,FQ$4&gt;TODAY())),"",IF(EOMONTH(FP$4,0)&lt;=Settings!$B$5,N(Settings!$C$37),N(Calc!$AT$175))+Calc!$AZ$176)</f>
        <v/>
      </c>
      <c r="FR39" s="31">
        <f>IF(OR(Settings!$A$37="",OR(EOMONTH(FR$4,0)&lt;=Settings!$B$5,FR$4&gt;TODAY())),"",IF(EOMONTH(FQ$4,0)&lt;=Settings!$B$5,N(Settings!$C$37),N(Calc!$AT$176))+Calc!$AZ$177)</f>
        <v/>
      </c>
      <c r="FS39" s="31">
        <f>IF(OR(Settings!$A$37="",OR(EOMONTH(FS$4,0)&lt;=Settings!$B$5,FS$4&gt;TODAY())),"",IF(EOMONTH(FR$4,0)&lt;=Settings!$B$5,N(Settings!$C$37),N(Calc!$AT$177))+Calc!$AZ$178)</f>
        <v/>
      </c>
      <c r="FT39" s="31">
        <f>IF(OR(Settings!$A$37="",OR(EOMONTH(FT$4,0)&lt;=Settings!$B$5,FT$4&gt;TODAY())),"",IF(EOMONTH(FS$4,0)&lt;=Settings!$B$5,N(Settings!$C$37),N(Calc!$AT$178))+Calc!$AZ$179)</f>
        <v/>
      </c>
      <c r="FU39" s="31">
        <f>IF(OR(Settings!$A$37="",OR(EOMONTH(FU$4,0)&lt;=Settings!$B$5,FU$4&gt;TODAY())),"",IF(EOMONTH(FT$4,0)&lt;=Settings!$B$5,N(Settings!$C$37),N(Calc!$AT$179))+Calc!$AZ$180)</f>
        <v/>
      </c>
      <c r="FV39" s="31">
        <f>IF(OR(Settings!$A$37="",OR(EOMONTH(FV$4,0)&lt;=Settings!$B$5,FV$4&gt;TODAY())),"",IF(EOMONTH(FU$4,0)&lt;=Settings!$B$5,N(Settings!$C$37),N(Calc!$AT$180))+Calc!$AZ$181)</f>
        <v/>
      </c>
      <c r="FW39" s="31">
        <f>IF(OR(Settings!$A$37="",OR(EOMONTH(FW$4,0)&lt;=Settings!$B$5,FW$4&gt;TODAY())),"",IF(EOMONTH(FV$4,0)&lt;=Settings!$B$5,N(Settings!$C$37),N(Calc!$AT$181))+Calc!$AZ$182)</f>
        <v/>
      </c>
      <c r="FX39" s="31">
        <f>IF(OR(Settings!$A$37="",OR(EOMONTH(FX$4,0)&lt;=Settings!$B$5,FX$4&gt;TODAY())),"",IF(EOMONTH(FW$4,0)&lt;=Settings!$B$5,N(Settings!$C$37),N(Calc!$AT$182))+Calc!$AZ$183)</f>
        <v/>
      </c>
    </row>
    <row r="40">
      <c r="A40" s="15">
        <f>IF(Settings!$A$38="","(unused)",Settings!$A$38&amp;" — value")</f>
        <v/>
      </c>
      <c r="B40" s="26">
        <f>IF(Settings!$A$38="","","grey = last value + deposits")</f>
        <v/>
      </c>
      <c r="C40" s="31">
        <f>IF(OR(Settings!$A$38="",OR(EOMONTH(C$4,0)&lt;=Settings!$B$5,C$4&gt;TODAY())),"",N(Settings!$C$38)+Calc!$BA$6)</f>
        <v/>
      </c>
      <c r="D40" s="31">
        <f>IF(OR(Settings!$A$38="",OR(EOMONTH(D$4,0)&lt;=Settings!$B$5,D$4&gt;TODAY())),"",IF(EOMONTH(C$4,0)&lt;=Settings!$B$5,N(Settings!$C$38),N(Calc!$AU$6))+Calc!$BA$7)</f>
        <v/>
      </c>
      <c r="E40" s="31">
        <f>IF(OR(Settings!$A$38="",OR(EOMONTH(E$4,0)&lt;=Settings!$B$5,E$4&gt;TODAY())),"",IF(EOMONTH(D$4,0)&lt;=Settings!$B$5,N(Settings!$C$38),N(Calc!$AU$7))+Calc!$BA$8)</f>
        <v/>
      </c>
      <c r="F40" s="31">
        <f>IF(OR(Settings!$A$38="",OR(EOMONTH(F$4,0)&lt;=Settings!$B$5,F$4&gt;TODAY())),"",IF(EOMONTH(E$4,0)&lt;=Settings!$B$5,N(Settings!$C$38),N(Calc!$AU$8))+Calc!$BA$9)</f>
        <v/>
      </c>
      <c r="G40" s="31">
        <f>IF(OR(Settings!$A$38="",OR(EOMONTH(G$4,0)&lt;=Settings!$B$5,G$4&gt;TODAY())),"",IF(EOMONTH(F$4,0)&lt;=Settings!$B$5,N(Settings!$C$38),N(Calc!$AU$9))+Calc!$BA$10)</f>
        <v/>
      </c>
      <c r="H40" s="31">
        <f>IF(OR(Settings!$A$38="",OR(EOMONTH(H$4,0)&lt;=Settings!$B$5,H$4&gt;TODAY())),"",IF(EOMONTH(G$4,0)&lt;=Settings!$B$5,N(Settings!$C$38),N(Calc!$AU$10))+Calc!$BA$11)</f>
        <v/>
      </c>
      <c r="I40" s="31">
        <f>IF(OR(Settings!$A$38="",OR(EOMONTH(I$4,0)&lt;=Settings!$B$5,I$4&gt;TODAY())),"",IF(EOMONTH(H$4,0)&lt;=Settings!$B$5,N(Settings!$C$38),N(Calc!$AU$11))+Calc!$BA$12)</f>
        <v/>
      </c>
      <c r="J40" s="31">
        <f>IF(OR(Settings!$A$38="",OR(EOMONTH(J$4,0)&lt;=Settings!$B$5,J$4&gt;TODAY())),"",IF(EOMONTH(I$4,0)&lt;=Settings!$B$5,N(Settings!$C$38),N(Calc!$AU$12))+Calc!$BA$13)</f>
        <v/>
      </c>
      <c r="K40" s="31">
        <f>IF(OR(Settings!$A$38="",OR(EOMONTH(K$4,0)&lt;=Settings!$B$5,K$4&gt;TODAY())),"",IF(EOMONTH(J$4,0)&lt;=Settings!$B$5,N(Settings!$C$38),N(Calc!$AU$13))+Calc!$BA$14)</f>
        <v/>
      </c>
      <c r="L40" s="31">
        <f>IF(OR(Settings!$A$38="",OR(EOMONTH(L$4,0)&lt;=Settings!$B$5,L$4&gt;TODAY())),"",IF(EOMONTH(K$4,0)&lt;=Settings!$B$5,N(Settings!$C$38),N(Calc!$AU$14))+Calc!$BA$15)</f>
        <v/>
      </c>
      <c r="M40" s="31">
        <f>IF(OR(Settings!$A$38="",OR(EOMONTH(M$4,0)&lt;=Settings!$B$5,M$4&gt;TODAY())),"",IF(EOMONTH(L$4,0)&lt;=Settings!$B$5,N(Settings!$C$38),N(Calc!$AU$15))+Calc!$BA$16)</f>
        <v/>
      </c>
      <c r="N40" s="31">
        <f>IF(OR(Settings!$A$38="",OR(EOMONTH(N$4,0)&lt;=Settings!$B$5,N$4&gt;TODAY())),"",IF(EOMONTH(M$4,0)&lt;=Settings!$B$5,N(Settings!$C$38),N(Calc!$AU$16))+Calc!$BA$17)</f>
        <v/>
      </c>
      <c r="O40" s="31">
        <f>IF(OR(Settings!$A$38="",OR(EOMONTH(O$4,0)&lt;=Settings!$B$5,O$4&gt;TODAY())),"",IF(EOMONTH(N$4,0)&lt;=Settings!$B$5,N(Settings!$C$38),N(Calc!$AU$17))+Calc!$BA$18)</f>
        <v/>
      </c>
      <c r="P40" s="31">
        <f>IF(OR(Settings!$A$38="",OR(EOMONTH(P$4,0)&lt;=Settings!$B$5,P$4&gt;TODAY())),"",IF(EOMONTH(O$4,0)&lt;=Settings!$B$5,N(Settings!$C$38),N(Calc!$AU$18))+Calc!$BA$19)</f>
        <v/>
      </c>
      <c r="Q40" s="31">
        <f>IF(OR(Settings!$A$38="",OR(EOMONTH(Q$4,0)&lt;=Settings!$B$5,Q$4&gt;TODAY())),"",IF(EOMONTH(P$4,0)&lt;=Settings!$B$5,N(Settings!$C$38),N(Calc!$AU$19))+Calc!$BA$20)</f>
        <v/>
      </c>
      <c r="R40" s="31">
        <f>IF(OR(Settings!$A$38="",OR(EOMONTH(R$4,0)&lt;=Settings!$B$5,R$4&gt;TODAY())),"",IF(EOMONTH(Q$4,0)&lt;=Settings!$B$5,N(Settings!$C$38),N(Calc!$AU$20))+Calc!$BA$21)</f>
        <v/>
      </c>
      <c r="S40" s="31">
        <f>IF(OR(Settings!$A$38="",OR(EOMONTH(S$4,0)&lt;=Settings!$B$5,S$4&gt;TODAY())),"",IF(EOMONTH(R$4,0)&lt;=Settings!$B$5,N(Settings!$C$38),N(Calc!$AU$21))+Calc!$BA$22)</f>
        <v/>
      </c>
      <c r="T40" s="31">
        <f>IF(OR(Settings!$A$38="",OR(EOMONTH(T$4,0)&lt;=Settings!$B$5,T$4&gt;TODAY())),"",IF(EOMONTH(S$4,0)&lt;=Settings!$B$5,N(Settings!$C$38),N(Calc!$AU$22))+Calc!$BA$23)</f>
        <v/>
      </c>
      <c r="U40" s="31">
        <f>IF(OR(Settings!$A$38="",OR(EOMONTH(U$4,0)&lt;=Settings!$B$5,U$4&gt;TODAY())),"",IF(EOMONTH(T$4,0)&lt;=Settings!$B$5,N(Settings!$C$38),N(Calc!$AU$23))+Calc!$BA$24)</f>
        <v/>
      </c>
      <c r="V40" s="31">
        <f>IF(OR(Settings!$A$38="",OR(EOMONTH(V$4,0)&lt;=Settings!$B$5,V$4&gt;TODAY())),"",IF(EOMONTH(U$4,0)&lt;=Settings!$B$5,N(Settings!$C$38),N(Calc!$AU$24))+Calc!$BA$25)</f>
        <v/>
      </c>
      <c r="W40" s="31">
        <f>IF(OR(Settings!$A$38="",OR(EOMONTH(W$4,0)&lt;=Settings!$B$5,W$4&gt;TODAY())),"",IF(EOMONTH(V$4,0)&lt;=Settings!$B$5,N(Settings!$C$38),N(Calc!$AU$25))+Calc!$BA$26)</f>
        <v/>
      </c>
      <c r="X40" s="31">
        <f>IF(OR(Settings!$A$38="",OR(EOMONTH(X$4,0)&lt;=Settings!$B$5,X$4&gt;TODAY())),"",IF(EOMONTH(W$4,0)&lt;=Settings!$B$5,N(Settings!$C$38),N(Calc!$AU$26))+Calc!$BA$27)</f>
        <v/>
      </c>
      <c r="Y40" s="31">
        <f>IF(OR(Settings!$A$38="",OR(EOMONTH(Y$4,0)&lt;=Settings!$B$5,Y$4&gt;TODAY())),"",IF(EOMONTH(X$4,0)&lt;=Settings!$B$5,N(Settings!$C$38),N(Calc!$AU$27))+Calc!$BA$28)</f>
        <v/>
      </c>
      <c r="Z40" s="31">
        <f>IF(OR(Settings!$A$38="",OR(EOMONTH(Z$4,0)&lt;=Settings!$B$5,Z$4&gt;TODAY())),"",IF(EOMONTH(Y$4,0)&lt;=Settings!$B$5,N(Settings!$C$38),N(Calc!$AU$28))+Calc!$BA$29)</f>
        <v/>
      </c>
      <c r="AA40" s="31">
        <f>IF(OR(Settings!$A$38="",OR(EOMONTH(AA$4,0)&lt;=Settings!$B$5,AA$4&gt;TODAY())),"",IF(EOMONTH(Z$4,0)&lt;=Settings!$B$5,N(Settings!$C$38),N(Calc!$AU$29))+Calc!$BA$30)</f>
        <v/>
      </c>
      <c r="AB40" s="31">
        <f>IF(OR(Settings!$A$38="",OR(EOMONTH(AB$4,0)&lt;=Settings!$B$5,AB$4&gt;TODAY())),"",IF(EOMONTH(AA$4,0)&lt;=Settings!$B$5,N(Settings!$C$38),N(Calc!$AU$30))+Calc!$BA$31)</f>
        <v/>
      </c>
      <c r="AC40" s="31">
        <f>IF(OR(Settings!$A$38="",OR(EOMONTH(AC$4,0)&lt;=Settings!$B$5,AC$4&gt;TODAY())),"",IF(EOMONTH(AB$4,0)&lt;=Settings!$B$5,N(Settings!$C$38),N(Calc!$AU$31))+Calc!$BA$32)</f>
        <v/>
      </c>
      <c r="AD40" s="31">
        <f>IF(OR(Settings!$A$38="",OR(EOMONTH(AD$4,0)&lt;=Settings!$B$5,AD$4&gt;TODAY())),"",IF(EOMONTH(AC$4,0)&lt;=Settings!$B$5,N(Settings!$C$38),N(Calc!$AU$32))+Calc!$BA$33)</f>
        <v/>
      </c>
      <c r="AE40" s="31">
        <f>IF(OR(Settings!$A$38="",OR(EOMONTH(AE$4,0)&lt;=Settings!$B$5,AE$4&gt;TODAY())),"",IF(EOMONTH(AD$4,0)&lt;=Settings!$B$5,N(Settings!$C$38),N(Calc!$AU$33))+Calc!$BA$34)</f>
        <v/>
      </c>
      <c r="AF40" s="31">
        <f>IF(OR(Settings!$A$38="",OR(EOMONTH(AF$4,0)&lt;=Settings!$B$5,AF$4&gt;TODAY())),"",IF(EOMONTH(AE$4,0)&lt;=Settings!$B$5,N(Settings!$C$38),N(Calc!$AU$34))+Calc!$BA$35)</f>
        <v/>
      </c>
      <c r="AG40" s="31">
        <f>IF(OR(Settings!$A$38="",OR(EOMONTH(AG$4,0)&lt;=Settings!$B$5,AG$4&gt;TODAY())),"",IF(EOMONTH(AF$4,0)&lt;=Settings!$B$5,N(Settings!$C$38),N(Calc!$AU$35))+Calc!$BA$36)</f>
        <v/>
      </c>
      <c r="AH40" s="31">
        <f>IF(OR(Settings!$A$38="",OR(EOMONTH(AH$4,0)&lt;=Settings!$B$5,AH$4&gt;TODAY())),"",IF(EOMONTH(AG$4,0)&lt;=Settings!$B$5,N(Settings!$C$38),N(Calc!$AU$36))+Calc!$BA$37)</f>
        <v/>
      </c>
      <c r="AI40" s="31">
        <f>IF(OR(Settings!$A$38="",OR(EOMONTH(AI$4,0)&lt;=Settings!$B$5,AI$4&gt;TODAY())),"",IF(EOMONTH(AH$4,0)&lt;=Settings!$B$5,N(Settings!$C$38),N(Calc!$AU$37))+Calc!$BA$38)</f>
        <v/>
      </c>
      <c r="AJ40" s="31">
        <f>IF(OR(Settings!$A$38="",OR(EOMONTH(AJ$4,0)&lt;=Settings!$B$5,AJ$4&gt;TODAY())),"",IF(EOMONTH(AI$4,0)&lt;=Settings!$B$5,N(Settings!$C$38),N(Calc!$AU$38))+Calc!$BA$39)</f>
        <v/>
      </c>
      <c r="AK40" s="31">
        <f>IF(OR(Settings!$A$38="",OR(EOMONTH(AK$4,0)&lt;=Settings!$B$5,AK$4&gt;TODAY())),"",IF(EOMONTH(AJ$4,0)&lt;=Settings!$B$5,N(Settings!$C$38),N(Calc!$AU$39))+Calc!$BA$40)</f>
        <v/>
      </c>
      <c r="AL40" s="31">
        <f>IF(OR(Settings!$A$38="",OR(EOMONTH(AL$4,0)&lt;=Settings!$B$5,AL$4&gt;TODAY())),"",IF(EOMONTH(AK$4,0)&lt;=Settings!$B$5,N(Settings!$C$38),N(Calc!$AU$40))+Calc!$BA$41)</f>
        <v/>
      </c>
      <c r="AM40" s="31">
        <f>IF(OR(Settings!$A$38="",OR(EOMONTH(AM$4,0)&lt;=Settings!$B$5,AM$4&gt;TODAY())),"",IF(EOMONTH(AL$4,0)&lt;=Settings!$B$5,N(Settings!$C$38),N(Calc!$AU$41))+Calc!$BA$42)</f>
        <v/>
      </c>
      <c r="AN40" s="31">
        <f>IF(OR(Settings!$A$38="",OR(EOMONTH(AN$4,0)&lt;=Settings!$B$5,AN$4&gt;TODAY())),"",IF(EOMONTH(AM$4,0)&lt;=Settings!$B$5,N(Settings!$C$38),N(Calc!$AU$42))+Calc!$BA$43)</f>
        <v/>
      </c>
      <c r="AO40" s="31">
        <f>IF(OR(Settings!$A$38="",OR(EOMONTH(AO$4,0)&lt;=Settings!$B$5,AO$4&gt;TODAY())),"",IF(EOMONTH(AN$4,0)&lt;=Settings!$B$5,N(Settings!$C$38),N(Calc!$AU$43))+Calc!$BA$44)</f>
        <v/>
      </c>
      <c r="AP40" s="31">
        <f>IF(OR(Settings!$A$38="",OR(EOMONTH(AP$4,0)&lt;=Settings!$B$5,AP$4&gt;TODAY())),"",IF(EOMONTH(AO$4,0)&lt;=Settings!$B$5,N(Settings!$C$38),N(Calc!$AU$44))+Calc!$BA$45)</f>
        <v/>
      </c>
      <c r="AQ40" s="31">
        <f>IF(OR(Settings!$A$38="",OR(EOMONTH(AQ$4,0)&lt;=Settings!$B$5,AQ$4&gt;TODAY())),"",IF(EOMONTH(AP$4,0)&lt;=Settings!$B$5,N(Settings!$C$38),N(Calc!$AU$45))+Calc!$BA$46)</f>
        <v/>
      </c>
      <c r="AR40" s="31">
        <f>IF(OR(Settings!$A$38="",OR(EOMONTH(AR$4,0)&lt;=Settings!$B$5,AR$4&gt;TODAY())),"",IF(EOMONTH(AQ$4,0)&lt;=Settings!$B$5,N(Settings!$C$38),N(Calc!$AU$46))+Calc!$BA$47)</f>
        <v/>
      </c>
      <c r="AS40" s="31">
        <f>IF(OR(Settings!$A$38="",OR(EOMONTH(AS$4,0)&lt;=Settings!$B$5,AS$4&gt;TODAY())),"",IF(EOMONTH(AR$4,0)&lt;=Settings!$B$5,N(Settings!$C$38),N(Calc!$AU$47))+Calc!$BA$48)</f>
        <v/>
      </c>
      <c r="AT40" s="31">
        <f>IF(OR(Settings!$A$38="",OR(EOMONTH(AT$4,0)&lt;=Settings!$B$5,AT$4&gt;TODAY())),"",IF(EOMONTH(AS$4,0)&lt;=Settings!$B$5,N(Settings!$C$38),N(Calc!$AU$48))+Calc!$BA$49)</f>
        <v/>
      </c>
      <c r="AU40" s="31">
        <f>IF(OR(Settings!$A$38="",OR(EOMONTH(AU$4,0)&lt;=Settings!$B$5,AU$4&gt;TODAY())),"",IF(EOMONTH(AT$4,0)&lt;=Settings!$B$5,N(Settings!$C$38),N(Calc!$AU$49))+Calc!$BA$50)</f>
        <v/>
      </c>
      <c r="AV40" s="31">
        <f>IF(OR(Settings!$A$38="",OR(EOMONTH(AV$4,0)&lt;=Settings!$B$5,AV$4&gt;TODAY())),"",IF(EOMONTH(AU$4,0)&lt;=Settings!$B$5,N(Settings!$C$38),N(Calc!$AU$50))+Calc!$BA$51)</f>
        <v/>
      </c>
      <c r="AW40" s="31">
        <f>IF(OR(Settings!$A$38="",OR(EOMONTH(AW$4,0)&lt;=Settings!$B$5,AW$4&gt;TODAY())),"",IF(EOMONTH(AV$4,0)&lt;=Settings!$B$5,N(Settings!$C$38),N(Calc!$AU$51))+Calc!$BA$52)</f>
        <v/>
      </c>
      <c r="AX40" s="31">
        <f>IF(OR(Settings!$A$38="",OR(EOMONTH(AX$4,0)&lt;=Settings!$B$5,AX$4&gt;TODAY())),"",IF(EOMONTH(AW$4,0)&lt;=Settings!$B$5,N(Settings!$C$38),N(Calc!$AU$52))+Calc!$BA$53)</f>
        <v/>
      </c>
      <c r="AY40" s="31">
        <f>IF(OR(Settings!$A$38="",OR(EOMONTH(AY$4,0)&lt;=Settings!$B$5,AY$4&gt;TODAY())),"",IF(EOMONTH(AX$4,0)&lt;=Settings!$B$5,N(Settings!$C$38),N(Calc!$AU$53))+Calc!$BA$54)</f>
        <v/>
      </c>
      <c r="AZ40" s="31">
        <f>IF(OR(Settings!$A$38="",OR(EOMONTH(AZ$4,0)&lt;=Settings!$B$5,AZ$4&gt;TODAY())),"",IF(EOMONTH(AY$4,0)&lt;=Settings!$B$5,N(Settings!$C$38),N(Calc!$AU$54))+Calc!$BA$55)</f>
        <v/>
      </c>
      <c r="BA40" s="31">
        <f>IF(OR(Settings!$A$38="",OR(EOMONTH(BA$4,0)&lt;=Settings!$B$5,BA$4&gt;TODAY())),"",IF(EOMONTH(AZ$4,0)&lt;=Settings!$B$5,N(Settings!$C$38),N(Calc!$AU$55))+Calc!$BA$56)</f>
        <v/>
      </c>
      <c r="BB40" s="31">
        <f>IF(OR(Settings!$A$38="",OR(EOMONTH(BB$4,0)&lt;=Settings!$B$5,BB$4&gt;TODAY())),"",IF(EOMONTH(BA$4,0)&lt;=Settings!$B$5,N(Settings!$C$38),N(Calc!$AU$56))+Calc!$BA$57)</f>
        <v/>
      </c>
      <c r="BC40" s="31">
        <f>IF(OR(Settings!$A$38="",OR(EOMONTH(BC$4,0)&lt;=Settings!$B$5,BC$4&gt;TODAY())),"",IF(EOMONTH(BB$4,0)&lt;=Settings!$B$5,N(Settings!$C$38),N(Calc!$AU$57))+Calc!$BA$58)</f>
        <v/>
      </c>
      <c r="BD40" s="31">
        <f>IF(OR(Settings!$A$38="",OR(EOMONTH(BD$4,0)&lt;=Settings!$B$5,BD$4&gt;TODAY())),"",IF(EOMONTH(BC$4,0)&lt;=Settings!$B$5,N(Settings!$C$38),N(Calc!$AU$58))+Calc!$BA$59)</f>
        <v/>
      </c>
      <c r="BE40" s="31">
        <f>IF(OR(Settings!$A$38="",OR(EOMONTH(BE$4,0)&lt;=Settings!$B$5,BE$4&gt;TODAY())),"",IF(EOMONTH(BD$4,0)&lt;=Settings!$B$5,N(Settings!$C$38),N(Calc!$AU$59))+Calc!$BA$60)</f>
        <v/>
      </c>
      <c r="BF40" s="31">
        <f>IF(OR(Settings!$A$38="",OR(EOMONTH(BF$4,0)&lt;=Settings!$B$5,BF$4&gt;TODAY())),"",IF(EOMONTH(BE$4,0)&lt;=Settings!$B$5,N(Settings!$C$38),N(Calc!$AU$60))+Calc!$BA$61)</f>
        <v/>
      </c>
      <c r="BG40" s="31">
        <f>IF(OR(Settings!$A$38="",OR(EOMONTH(BG$4,0)&lt;=Settings!$B$5,BG$4&gt;TODAY())),"",IF(EOMONTH(BF$4,0)&lt;=Settings!$B$5,N(Settings!$C$38),N(Calc!$AU$61))+Calc!$BA$62)</f>
        <v/>
      </c>
      <c r="BH40" s="31">
        <f>IF(OR(Settings!$A$38="",OR(EOMONTH(BH$4,0)&lt;=Settings!$B$5,BH$4&gt;TODAY())),"",IF(EOMONTH(BG$4,0)&lt;=Settings!$B$5,N(Settings!$C$38),N(Calc!$AU$62))+Calc!$BA$63)</f>
        <v/>
      </c>
      <c r="BI40" s="31">
        <f>IF(OR(Settings!$A$38="",OR(EOMONTH(BI$4,0)&lt;=Settings!$B$5,BI$4&gt;TODAY())),"",IF(EOMONTH(BH$4,0)&lt;=Settings!$B$5,N(Settings!$C$38),N(Calc!$AU$63))+Calc!$BA$64)</f>
        <v/>
      </c>
      <c r="BJ40" s="31">
        <f>IF(OR(Settings!$A$38="",OR(EOMONTH(BJ$4,0)&lt;=Settings!$B$5,BJ$4&gt;TODAY())),"",IF(EOMONTH(BI$4,0)&lt;=Settings!$B$5,N(Settings!$C$38),N(Calc!$AU$64))+Calc!$BA$65)</f>
        <v/>
      </c>
      <c r="BK40" s="31">
        <f>IF(OR(Settings!$A$38="",OR(EOMONTH(BK$4,0)&lt;=Settings!$B$5,BK$4&gt;TODAY())),"",IF(EOMONTH(BJ$4,0)&lt;=Settings!$B$5,N(Settings!$C$38),N(Calc!$AU$65))+Calc!$BA$66)</f>
        <v/>
      </c>
      <c r="BL40" s="31">
        <f>IF(OR(Settings!$A$38="",OR(EOMONTH(BL$4,0)&lt;=Settings!$B$5,BL$4&gt;TODAY())),"",IF(EOMONTH(BK$4,0)&lt;=Settings!$B$5,N(Settings!$C$38),N(Calc!$AU$66))+Calc!$BA$67)</f>
        <v/>
      </c>
      <c r="BM40" s="31">
        <f>IF(OR(Settings!$A$38="",OR(EOMONTH(BM$4,0)&lt;=Settings!$B$5,BM$4&gt;TODAY())),"",IF(EOMONTH(BL$4,0)&lt;=Settings!$B$5,N(Settings!$C$38),N(Calc!$AU$67))+Calc!$BA$68)</f>
        <v/>
      </c>
      <c r="BN40" s="31">
        <f>IF(OR(Settings!$A$38="",OR(EOMONTH(BN$4,0)&lt;=Settings!$B$5,BN$4&gt;TODAY())),"",IF(EOMONTH(BM$4,0)&lt;=Settings!$B$5,N(Settings!$C$38),N(Calc!$AU$68))+Calc!$BA$69)</f>
        <v/>
      </c>
      <c r="BO40" s="31">
        <f>IF(OR(Settings!$A$38="",OR(EOMONTH(BO$4,0)&lt;=Settings!$B$5,BO$4&gt;TODAY())),"",IF(EOMONTH(BN$4,0)&lt;=Settings!$B$5,N(Settings!$C$38),N(Calc!$AU$69))+Calc!$BA$70)</f>
        <v/>
      </c>
      <c r="BP40" s="31">
        <f>IF(OR(Settings!$A$38="",OR(EOMONTH(BP$4,0)&lt;=Settings!$B$5,BP$4&gt;TODAY())),"",IF(EOMONTH(BO$4,0)&lt;=Settings!$B$5,N(Settings!$C$38),N(Calc!$AU$70))+Calc!$BA$71)</f>
        <v/>
      </c>
      <c r="BQ40" s="31">
        <f>IF(OR(Settings!$A$38="",OR(EOMONTH(BQ$4,0)&lt;=Settings!$B$5,BQ$4&gt;TODAY())),"",IF(EOMONTH(BP$4,0)&lt;=Settings!$B$5,N(Settings!$C$38),N(Calc!$AU$71))+Calc!$BA$72)</f>
        <v/>
      </c>
      <c r="BR40" s="31">
        <f>IF(OR(Settings!$A$38="",OR(EOMONTH(BR$4,0)&lt;=Settings!$B$5,BR$4&gt;TODAY())),"",IF(EOMONTH(BQ$4,0)&lt;=Settings!$B$5,N(Settings!$C$38),N(Calc!$AU$72))+Calc!$BA$73)</f>
        <v/>
      </c>
      <c r="BS40" s="31">
        <f>IF(OR(Settings!$A$38="",OR(EOMONTH(BS$4,0)&lt;=Settings!$B$5,BS$4&gt;TODAY())),"",IF(EOMONTH(BR$4,0)&lt;=Settings!$B$5,N(Settings!$C$38),N(Calc!$AU$73))+Calc!$BA$74)</f>
        <v/>
      </c>
      <c r="BT40" s="31">
        <f>IF(OR(Settings!$A$38="",OR(EOMONTH(BT$4,0)&lt;=Settings!$B$5,BT$4&gt;TODAY())),"",IF(EOMONTH(BS$4,0)&lt;=Settings!$B$5,N(Settings!$C$38),N(Calc!$AU$74))+Calc!$BA$75)</f>
        <v/>
      </c>
      <c r="BU40" s="31">
        <f>IF(OR(Settings!$A$38="",OR(EOMONTH(BU$4,0)&lt;=Settings!$B$5,BU$4&gt;TODAY())),"",IF(EOMONTH(BT$4,0)&lt;=Settings!$B$5,N(Settings!$C$38),N(Calc!$AU$75))+Calc!$BA$76)</f>
        <v/>
      </c>
      <c r="BV40" s="31">
        <f>IF(OR(Settings!$A$38="",OR(EOMONTH(BV$4,0)&lt;=Settings!$B$5,BV$4&gt;TODAY())),"",IF(EOMONTH(BU$4,0)&lt;=Settings!$B$5,N(Settings!$C$38),N(Calc!$AU$76))+Calc!$BA$77)</f>
        <v/>
      </c>
      <c r="BW40" s="31">
        <f>IF(OR(Settings!$A$38="",OR(EOMONTH(BW$4,0)&lt;=Settings!$B$5,BW$4&gt;TODAY())),"",IF(EOMONTH(BV$4,0)&lt;=Settings!$B$5,N(Settings!$C$38),N(Calc!$AU$77))+Calc!$BA$78)</f>
        <v/>
      </c>
      <c r="BX40" s="31">
        <f>IF(OR(Settings!$A$38="",OR(EOMONTH(BX$4,0)&lt;=Settings!$B$5,BX$4&gt;TODAY())),"",IF(EOMONTH(BW$4,0)&lt;=Settings!$B$5,N(Settings!$C$38),N(Calc!$AU$78))+Calc!$BA$79)</f>
        <v/>
      </c>
      <c r="BY40" s="31">
        <f>IF(OR(Settings!$A$38="",OR(EOMONTH(BY$4,0)&lt;=Settings!$B$5,BY$4&gt;TODAY())),"",IF(EOMONTH(BX$4,0)&lt;=Settings!$B$5,N(Settings!$C$38),N(Calc!$AU$79))+Calc!$BA$80)</f>
        <v/>
      </c>
      <c r="BZ40" s="31">
        <f>IF(OR(Settings!$A$38="",OR(EOMONTH(BZ$4,0)&lt;=Settings!$B$5,BZ$4&gt;TODAY())),"",IF(EOMONTH(BY$4,0)&lt;=Settings!$B$5,N(Settings!$C$38),N(Calc!$AU$80))+Calc!$BA$81)</f>
        <v/>
      </c>
      <c r="CA40" s="31">
        <f>IF(OR(Settings!$A$38="",OR(EOMONTH(CA$4,0)&lt;=Settings!$B$5,CA$4&gt;TODAY())),"",IF(EOMONTH(BZ$4,0)&lt;=Settings!$B$5,N(Settings!$C$38),N(Calc!$AU$81))+Calc!$BA$82)</f>
        <v/>
      </c>
      <c r="CB40" s="31">
        <f>IF(OR(Settings!$A$38="",OR(EOMONTH(CB$4,0)&lt;=Settings!$B$5,CB$4&gt;TODAY())),"",IF(EOMONTH(CA$4,0)&lt;=Settings!$B$5,N(Settings!$C$38),N(Calc!$AU$82))+Calc!$BA$83)</f>
        <v/>
      </c>
      <c r="CC40" s="31">
        <f>IF(OR(Settings!$A$38="",OR(EOMONTH(CC$4,0)&lt;=Settings!$B$5,CC$4&gt;TODAY())),"",IF(EOMONTH(CB$4,0)&lt;=Settings!$B$5,N(Settings!$C$38),N(Calc!$AU$83))+Calc!$BA$84)</f>
        <v/>
      </c>
      <c r="CD40" s="31">
        <f>IF(OR(Settings!$A$38="",OR(EOMONTH(CD$4,0)&lt;=Settings!$B$5,CD$4&gt;TODAY())),"",IF(EOMONTH(CC$4,0)&lt;=Settings!$B$5,N(Settings!$C$38),N(Calc!$AU$84))+Calc!$BA$85)</f>
        <v/>
      </c>
      <c r="CE40" s="31">
        <f>IF(OR(Settings!$A$38="",OR(EOMONTH(CE$4,0)&lt;=Settings!$B$5,CE$4&gt;TODAY())),"",IF(EOMONTH(CD$4,0)&lt;=Settings!$B$5,N(Settings!$C$38),N(Calc!$AU$85))+Calc!$BA$86)</f>
        <v/>
      </c>
      <c r="CF40" s="31">
        <f>IF(OR(Settings!$A$38="",OR(EOMONTH(CF$4,0)&lt;=Settings!$B$5,CF$4&gt;TODAY())),"",IF(EOMONTH(CE$4,0)&lt;=Settings!$B$5,N(Settings!$C$38),N(Calc!$AU$86))+Calc!$BA$87)</f>
        <v/>
      </c>
      <c r="CG40" s="31">
        <f>IF(OR(Settings!$A$38="",OR(EOMONTH(CG$4,0)&lt;=Settings!$B$5,CG$4&gt;TODAY())),"",IF(EOMONTH(CF$4,0)&lt;=Settings!$B$5,N(Settings!$C$38),N(Calc!$AU$87))+Calc!$BA$88)</f>
        <v/>
      </c>
      <c r="CH40" s="31">
        <f>IF(OR(Settings!$A$38="",OR(EOMONTH(CH$4,0)&lt;=Settings!$B$5,CH$4&gt;TODAY())),"",IF(EOMONTH(CG$4,0)&lt;=Settings!$B$5,N(Settings!$C$38),N(Calc!$AU$88))+Calc!$BA$89)</f>
        <v/>
      </c>
      <c r="CI40" s="31">
        <f>IF(OR(Settings!$A$38="",OR(EOMONTH(CI$4,0)&lt;=Settings!$B$5,CI$4&gt;TODAY())),"",IF(EOMONTH(CH$4,0)&lt;=Settings!$B$5,N(Settings!$C$38),N(Calc!$AU$89))+Calc!$BA$90)</f>
        <v/>
      </c>
      <c r="CJ40" s="31">
        <f>IF(OR(Settings!$A$38="",OR(EOMONTH(CJ$4,0)&lt;=Settings!$B$5,CJ$4&gt;TODAY())),"",IF(EOMONTH(CI$4,0)&lt;=Settings!$B$5,N(Settings!$C$38),N(Calc!$AU$90))+Calc!$BA$91)</f>
        <v/>
      </c>
      <c r="CK40" s="31">
        <f>IF(OR(Settings!$A$38="",OR(EOMONTH(CK$4,0)&lt;=Settings!$B$5,CK$4&gt;TODAY())),"",IF(EOMONTH(CJ$4,0)&lt;=Settings!$B$5,N(Settings!$C$38),N(Calc!$AU$91))+Calc!$BA$92)</f>
        <v/>
      </c>
      <c r="CL40" s="31">
        <f>IF(OR(Settings!$A$38="",OR(EOMONTH(CL$4,0)&lt;=Settings!$B$5,CL$4&gt;TODAY())),"",IF(EOMONTH(CK$4,0)&lt;=Settings!$B$5,N(Settings!$C$38),N(Calc!$AU$92))+Calc!$BA$93)</f>
        <v/>
      </c>
      <c r="CM40" s="31">
        <f>IF(OR(Settings!$A$38="",OR(EOMONTH(CM$4,0)&lt;=Settings!$B$5,CM$4&gt;TODAY())),"",IF(EOMONTH(CL$4,0)&lt;=Settings!$B$5,N(Settings!$C$38),N(Calc!$AU$93))+Calc!$BA$94)</f>
        <v/>
      </c>
      <c r="CN40" s="31">
        <f>IF(OR(Settings!$A$38="",OR(EOMONTH(CN$4,0)&lt;=Settings!$B$5,CN$4&gt;TODAY())),"",IF(EOMONTH(CM$4,0)&lt;=Settings!$B$5,N(Settings!$C$38),N(Calc!$AU$94))+Calc!$BA$95)</f>
        <v/>
      </c>
      <c r="CO40" s="31">
        <f>IF(OR(Settings!$A$38="",OR(EOMONTH(CO$4,0)&lt;=Settings!$B$5,CO$4&gt;TODAY())),"",IF(EOMONTH(CN$4,0)&lt;=Settings!$B$5,N(Settings!$C$38),N(Calc!$AU$95))+Calc!$BA$96)</f>
        <v/>
      </c>
      <c r="CP40" s="31">
        <f>IF(OR(Settings!$A$38="",OR(EOMONTH(CP$4,0)&lt;=Settings!$B$5,CP$4&gt;TODAY())),"",IF(EOMONTH(CO$4,0)&lt;=Settings!$B$5,N(Settings!$C$38),N(Calc!$AU$96))+Calc!$BA$97)</f>
        <v/>
      </c>
      <c r="CQ40" s="31">
        <f>IF(OR(Settings!$A$38="",OR(EOMONTH(CQ$4,0)&lt;=Settings!$B$5,CQ$4&gt;TODAY())),"",IF(EOMONTH(CP$4,0)&lt;=Settings!$B$5,N(Settings!$C$38),N(Calc!$AU$97))+Calc!$BA$98)</f>
        <v/>
      </c>
      <c r="CR40" s="31">
        <f>IF(OR(Settings!$A$38="",OR(EOMONTH(CR$4,0)&lt;=Settings!$B$5,CR$4&gt;TODAY())),"",IF(EOMONTH(CQ$4,0)&lt;=Settings!$B$5,N(Settings!$C$38),N(Calc!$AU$98))+Calc!$BA$99)</f>
        <v/>
      </c>
      <c r="CS40" s="31">
        <f>IF(OR(Settings!$A$38="",OR(EOMONTH(CS$4,0)&lt;=Settings!$B$5,CS$4&gt;TODAY())),"",IF(EOMONTH(CR$4,0)&lt;=Settings!$B$5,N(Settings!$C$38),N(Calc!$AU$99))+Calc!$BA$100)</f>
        <v/>
      </c>
      <c r="CT40" s="31">
        <f>IF(OR(Settings!$A$38="",OR(EOMONTH(CT$4,0)&lt;=Settings!$B$5,CT$4&gt;TODAY())),"",IF(EOMONTH(CS$4,0)&lt;=Settings!$B$5,N(Settings!$C$38),N(Calc!$AU$100))+Calc!$BA$101)</f>
        <v/>
      </c>
      <c r="CU40" s="31">
        <f>IF(OR(Settings!$A$38="",OR(EOMONTH(CU$4,0)&lt;=Settings!$B$5,CU$4&gt;TODAY())),"",IF(EOMONTH(CT$4,0)&lt;=Settings!$B$5,N(Settings!$C$38),N(Calc!$AU$101))+Calc!$BA$102)</f>
        <v/>
      </c>
      <c r="CV40" s="31">
        <f>IF(OR(Settings!$A$38="",OR(EOMONTH(CV$4,0)&lt;=Settings!$B$5,CV$4&gt;TODAY())),"",IF(EOMONTH(CU$4,0)&lt;=Settings!$B$5,N(Settings!$C$38),N(Calc!$AU$102))+Calc!$BA$103)</f>
        <v/>
      </c>
      <c r="CW40" s="31">
        <f>IF(OR(Settings!$A$38="",OR(EOMONTH(CW$4,0)&lt;=Settings!$B$5,CW$4&gt;TODAY())),"",IF(EOMONTH(CV$4,0)&lt;=Settings!$B$5,N(Settings!$C$38),N(Calc!$AU$103))+Calc!$BA$104)</f>
        <v/>
      </c>
      <c r="CX40" s="31">
        <f>IF(OR(Settings!$A$38="",OR(EOMONTH(CX$4,0)&lt;=Settings!$B$5,CX$4&gt;TODAY())),"",IF(EOMONTH(CW$4,0)&lt;=Settings!$B$5,N(Settings!$C$38),N(Calc!$AU$104))+Calc!$BA$105)</f>
        <v/>
      </c>
      <c r="CY40" s="31">
        <f>IF(OR(Settings!$A$38="",OR(EOMONTH(CY$4,0)&lt;=Settings!$B$5,CY$4&gt;TODAY())),"",IF(EOMONTH(CX$4,0)&lt;=Settings!$B$5,N(Settings!$C$38),N(Calc!$AU$105))+Calc!$BA$106)</f>
        <v/>
      </c>
      <c r="CZ40" s="31">
        <f>IF(OR(Settings!$A$38="",OR(EOMONTH(CZ$4,0)&lt;=Settings!$B$5,CZ$4&gt;TODAY())),"",IF(EOMONTH(CY$4,0)&lt;=Settings!$B$5,N(Settings!$C$38),N(Calc!$AU$106))+Calc!$BA$107)</f>
        <v/>
      </c>
      <c r="DA40" s="31">
        <f>IF(OR(Settings!$A$38="",OR(EOMONTH(DA$4,0)&lt;=Settings!$B$5,DA$4&gt;TODAY())),"",IF(EOMONTH(CZ$4,0)&lt;=Settings!$B$5,N(Settings!$C$38),N(Calc!$AU$107))+Calc!$BA$108)</f>
        <v/>
      </c>
      <c r="DB40" s="31">
        <f>IF(OR(Settings!$A$38="",OR(EOMONTH(DB$4,0)&lt;=Settings!$B$5,DB$4&gt;TODAY())),"",IF(EOMONTH(DA$4,0)&lt;=Settings!$B$5,N(Settings!$C$38),N(Calc!$AU$108))+Calc!$BA$109)</f>
        <v/>
      </c>
      <c r="DC40" s="31">
        <f>IF(OR(Settings!$A$38="",OR(EOMONTH(DC$4,0)&lt;=Settings!$B$5,DC$4&gt;TODAY())),"",IF(EOMONTH(DB$4,0)&lt;=Settings!$B$5,N(Settings!$C$38),N(Calc!$AU$109))+Calc!$BA$110)</f>
        <v/>
      </c>
      <c r="DD40" s="31">
        <f>IF(OR(Settings!$A$38="",OR(EOMONTH(DD$4,0)&lt;=Settings!$B$5,DD$4&gt;TODAY())),"",IF(EOMONTH(DC$4,0)&lt;=Settings!$B$5,N(Settings!$C$38),N(Calc!$AU$110))+Calc!$BA$111)</f>
        <v/>
      </c>
      <c r="DE40" s="31">
        <f>IF(OR(Settings!$A$38="",OR(EOMONTH(DE$4,0)&lt;=Settings!$B$5,DE$4&gt;TODAY())),"",IF(EOMONTH(DD$4,0)&lt;=Settings!$B$5,N(Settings!$C$38),N(Calc!$AU$111))+Calc!$BA$112)</f>
        <v/>
      </c>
      <c r="DF40" s="31">
        <f>IF(OR(Settings!$A$38="",OR(EOMONTH(DF$4,0)&lt;=Settings!$B$5,DF$4&gt;TODAY())),"",IF(EOMONTH(DE$4,0)&lt;=Settings!$B$5,N(Settings!$C$38),N(Calc!$AU$112))+Calc!$BA$113)</f>
        <v/>
      </c>
      <c r="DG40" s="31">
        <f>IF(OR(Settings!$A$38="",OR(EOMONTH(DG$4,0)&lt;=Settings!$B$5,DG$4&gt;TODAY())),"",IF(EOMONTH(DF$4,0)&lt;=Settings!$B$5,N(Settings!$C$38),N(Calc!$AU$113))+Calc!$BA$114)</f>
        <v/>
      </c>
      <c r="DH40" s="31">
        <f>IF(OR(Settings!$A$38="",OR(EOMONTH(DH$4,0)&lt;=Settings!$B$5,DH$4&gt;TODAY())),"",IF(EOMONTH(DG$4,0)&lt;=Settings!$B$5,N(Settings!$C$38),N(Calc!$AU$114))+Calc!$BA$115)</f>
        <v/>
      </c>
      <c r="DI40" s="31">
        <f>IF(OR(Settings!$A$38="",OR(EOMONTH(DI$4,0)&lt;=Settings!$B$5,DI$4&gt;TODAY())),"",IF(EOMONTH(DH$4,0)&lt;=Settings!$B$5,N(Settings!$C$38),N(Calc!$AU$115))+Calc!$BA$116)</f>
        <v/>
      </c>
      <c r="DJ40" s="31">
        <f>IF(OR(Settings!$A$38="",OR(EOMONTH(DJ$4,0)&lt;=Settings!$B$5,DJ$4&gt;TODAY())),"",IF(EOMONTH(DI$4,0)&lt;=Settings!$B$5,N(Settings!$C$38),N(Calc!$AU$116))+Calc!$BA$117)</f>
        <v/>
      </c>
      <c r="DK40" s="31">
        <f>IF(OR(Settings!$A$38="",OR(EOMONTH(DK$4,0)&lt;=Settings!$B$5,DK$4&gt;TODAY())),"",IF(EOMONTH(DJ$4,0)&lt;=Settings!$B$5,N(Settings!$C$38),N(Calc!$AU$117))+Calc!$BA$118)</f>
        <v/>
      </c>
      <c r="DL40" s="31">
        <f>IF(OR(Settings!$A$38="",OR(EOMONTH(DL$4,0)&lt;=Settings!$B$5,DL$4&gt;TODAY())),"",IF(EOMONTH(DK$4,0)&lt;=Settings!$B$5,N(Settings!$C$38),N(Calc!$AU$118))+Calc!$BA$119)</f>
        <v/>
      </c>
      <c r="DM40" s="31">
        <f>IF(OR(Settings!$A$38="",OR(EOMONTH(DM$4,0)&lt;=Settings!$B$5,DM$4&gt;TODAY())),"",IF(EOMONTH(DL$4,0)&lt;=Settings!$B$5,N(Settings!$C$38),N(Calc!$AU$119))+Calc!$BA$120)</f>
        <v/>
      </c>
      <c r="DN40" s="31">
        <f>IF(OR(Settings!$A$38="",OR(EOMONTH(DN$4,0)&lt;=Settings!$B$5,DN$4&gt;TODAY())),"",IF(EOMONTH(DM$4,0)&lt;=Settings!$B$5,N(Settings!$C$38),N(Calc!$AU$120))+Calc!$BA$121)</f>
        <v/>
      </c>
      <c r="DO40" s="31">
        <f>IF(OR(Settings!$A$38="",OR(EOMONTH(DO$4,0)&lt;=Settings!$B$5,DO$4&gt;TODAY())),"",IF(EOMONTH(DN$4,0)&lt;=Settings!$B$5,N(Settings!$C$38),N(Calc!$AU$121))+Calc!$BA$122)</f>
        <v/>
      </c>
      <c r="DP40" s="31">
        <f>IF(OR(Settings!$A$38="",OR(EOMONTH(DP$4,0)&lt;=Settings!$B$5,DP$4&gt;TODAY())),"",IF(EOMONTH(DO$4,0)&lt;=Settings!$B$5,N(Settings!$C$38),N(Calc!$AU$122))+Calc!$BA$123)</f>
        <v/>
      </c>
      <c r="DQ40" s="31">
        <f>IF(OR(Settings!$A$38="",OR(EOMONTH(DQ$4,0)&lt;=Settings!$B$5,DQ$4&gt;TODAY())),"",IF(EOMONTH(DP$4,0)&lt;=Settings!$B$5,N(Settings!$C$38),N(Calc!$AU$123))+Calc!$BA$124)</f>
        <v/>
      </c>
      <c r="DR40" s="31">
        <f>IF(OR(Settings!$A$38="",OR(EOMONTH(DR$4,0)&lt;=Settings!$B$5,DR$4&gt;TODAY())),"",IF(EOMONTH(DQ$4,0)&lt;=Settings!$B$5,N(Settings!$C$38),N(Calc!$AU$124))+Calc!$BA$125)</f>
        <v/>
      </c>
      <c r="DS40" s="31">
        <f>IF(OR(Settings!$A$38="",OR(EOMONTH(DS$4,0)&lt;=Settings!$B$5,DS$4&gt;TODAY())),"",IF(EOMONTH(DR$4,0)&lt;=Settings!$B$5,N(Settings!$C$38),N(Calc!$AU$125))+Calc!$BA$126)</f>
        <v/>
      </c>
      <c r="DT40" s="31">
        <f>IF(OR(Settings!$A$38="",OR(EOMONTH(DT$4,0)&lt;=Settings!$B$5,DT$4&gt;TODAY())),"",IF(EOMONTH(DS$4,0)&lt;=Settings!$B$5,N(Settings!$C$38),N(Calc!$AU$126))+Calc!$BA$127)</f>
        <v/>
      </c>
      <c r="DU40" s="31">
        <f>IF(OR(Settings!$A$38="",OR(EOMONTH(DU$4,0)&lt;=Settings!$B$5,DU$4&gt;TODAY())),"",IF(EOMONTH(DT$4,0)&lt;=Settings!$B$5,N(Settings!$C$38),N(Calc!$AU$127))+Calc!$BA$128)</f>
        <v/>
      </c>
      <c r="DV40" s="31">
        <f>IF(OR(Settings!$A$38="",OR(EOMONTH(DV$4,0)&lt;=Settings!$B$5,DV$4&gt;TODAY())),"",IF(EOMONTH(DU$4,0)&lt;=Settings!$B$5,N(Settings!$C$38),N(Calc!$AU$128))+Calc!$BA$129)</f>
        <v/>
      </c>
      <c r="DW40" s="31">
        <f>IF(OR(Settings!$A$38="",OR(EOMONTH(DW$4,0)&lt;=Settings!$B$5,DW$4&gt;TODAY())),"",IF(EOMONTH(DV$4,0)&lt;=Settings!$B$5,N(Settings!$C$38),N(Calc!$AU$129))+Calc!$BA$130)</f>
        <v/>
      </c>
      <c r="DX40" s="31">
        <f>IF(OR(Settings!$A$38="",OR(EOMONTH(DX$4,0)&lt;=Settings!$B$5,DX$4&gt;TODAY())),"",IF(EOMONTH(DW$4,0)&lt;=Settings!$B$5,N(Settings!$C$38),N(Calc!$AU$130))+Calc!$BA$131)</f>
        <v/>
      </c>
      <c r="DY40" s="31">
        <f>IF(OR(Settings!$A$38="",OR(EOMONTH(DY$4,0)&lt;=Settings!$B$5,DY$4&gt;TODAY())),"",IF(EOMONTH(DX$4,0)&lt;=Settings!$B$5,N(Settings!$C$38),N(Calc!$AU$131))+Calc!$BA$132)</f>
        <v/>
      </c>
      <c r="DZ40" s="31">
        <f>IF(OR(Settings!$A$38="",OR(EOMONTH(DZ$4,0)&lt;=Settings!$B$5,DZ$4&gt;TODAY())),"",IF(EOMONTH(DY$4,0)&lt;=Settings!$B$5,N(Settings!$C$38),N(Calc!$AU$132))+Calc!$BA$133)</f>
        <v/>
      </c>
      <c r="EA40" s="31">
        <f>IF(OR(Settings!$A$38="",OR(EOMONTH(EA$4,0)&lt;=Settings!$B$5,EA$4&gt;TODAY())),"",IF(EOMONTH(DZ$4,0)&lt;=Settings!$B$5,N(Settings!$C$38),N(Calc!$AU$133))+Calc!$BA$134)</f>
        <v/>
      </c>
      <c r="EB40" s="31">
        <f>IF(OR(Settings!$A$38="",OR(EOMONTH(EB$4,0)&lt;=Settings!$B$5,EB$4&gt;TODAY())),"",IF(EOMONTH(EA$4,0)&lt;=Settings!$B$5,N(Settings!$C$38),N(Calc!$AU$134))+Calc!$BA$135)</f>
        <v/>
      </c>
      <c r="EC40" s="31">
        <f>IF(OR(Settings!$A$38="",OR(EOMONTH(EC$4,0)&lt;=Settings!$B$5,EC$4&gt;TODAY())),"",IF(EOMONTH(EB$4,0)&lt;=Settings!$B$5,N(Settings!$C$38),N(Calc!$AU$135))+Calc!$BA$136)</f>
        <v/>
      </c>
      <c r="ED40" s="31">
        <f>IF(OR(Settings!$A$38="",OR(EOMONTH(ED$4,0)&lt;=Settings!$B$5,ED$4&gt;TODAY())),"",IF(EOMONTH(EC$4,0)&lt;=Settings!$B$5,N(Settings!$C$38),N(Calc!$AU$136))+Calc!$BA$137)</f>
        <v/>
      </c>
      <c r="EE40" s="31">
        <f>IF(OR(Settings!$A$38="",OR(EOMONTH(EE$4,0)&lt;=Settings!$B$5,EE$4&gt;TODAY())),"",IF(EOMONTH(ED$4,0)&lt;=Settings!$B$5,N(Settings!$C$38),N(Calc!$AU$137))+Calc!$BA$138)</f>
        <v/>
      </c>
      <c r="EF40" s="31">
        <f>IF(OR(Settings!$A$38="",OR(EOMONTH(EF$4,0)&lt;=Settings!$B$5,EF$4&gt;TODAY())),"",IF(EOMONTH(EE$4,0)&lt;=Settings!$B$5,N(Settings!$C$38),N(Calc!$AU$138))+Calc!$BA$139)</f>
        <v/>
      </c>
      <c r="EG40" s="31">
        <f>IF(OR(Settings!$A$38="",OR(EOMONTH(EG$4,0)&lt;=Settings!$B$5,EG$4&gt;TODAY())),"",IF(EOMONTH(EF$4,0)&lt;=Settings!$B$5,N(Settings!$C$38),N(Calc!$AU$139))+Calc!$BA$140)</f>
        <v/>
      </c>
      <c r="EH40" s="31">
        <f>IF(OR(Settings!$A$38="",OR(EOMONTH(EH$4,0)&lt;=Settings!$B$5,EH$4&gt;TODAY())),"",IF(EOMONTH(EG$4,0)&lt;=Settings!$B$5,N(Settings!$C$38),N(Calc!$AU$140))+Calc!$BA$141)</f>
        <v/>
      </c>
      <c r="EI40" s="31">
        <f>IF(OR(Settings!$A$38="",OR(EOMONTH(EI$4,0)&lt;=Settings!$B$5,EI$4&gt;TODAY())),"",IF(EOMONTH(EH$4,0)&lt;=Settings!$B$5,N(Settings!$C$38),N(Calc!$AU$141))+Calc!$BA$142)</f>
        <v/>
      </c>
      <c r="EJ40" s="31">
        <f>IF(OR(Settings!$A$38="",OR(EOMONTH(EJ$4,0)&lt;=Settings!$B$5,EJ$4&gt;TODAY())),"",IF(EOMONTH(EI$4,0)&lt;=Settings!$B$5,N(Settings!$C$38),N(Calc!$AU$142))+Calc!$BA$143)</f>
        <v/>
      </c>
      <c r="EK40" s="31">
        <f>IF(OR(Settings!$A$38="",OR(EOMONTH(EK$4,0)&lt;=Settings!$B$5,EK$4&gt;TODAY())),"",IF(EOMONTH(EJ$4,0)&lt;=Settings!$B$5,N(Settings!$C$38),N(Calc!$AU$143))+Calc!$BA$144)</f>
        <v/>
      </c>
      <c r="EL40" s="31">
        <f>IF(OR(Settings!$A$38="",OR(EOMONTH(EL$4,0)&lt;=Settings!$B$5,EL$4&gt;TODAY())),"",IF(EOMONTH(EK$4,0)&lt;=Settings!$B$5,N(Settings!$C$38),N(Calc!$AU$144))+Calc!$BA$145)</f>
        <v/>
      </c>
      <c r="EM40" s="31">
        <f>IF(OR(Settings!$A$38="",OR(EOMONTH(EM$4,0)&lt;=Settings!$B$5,EM$4&gt;TODAY())),"",IF(EOMONTH(EL$4,0)&lt;=Settings!$B$5,N(Settings!$C$38),N(Calc!$AU$145))+Calc!$BA$146)</f>
        <v/>
      </c>
      <c r="EN40" s="31">
        <f>IF(OR(Settings!$A$38="",OR(EOMONTH(EN$4,0)&lt;=Settings!$B$5,EN$4&gt;TODAY())),"",IF(EOMONTH(EM$4,0)&lt;=Settings!$B$5,N(Settings!$C$38),N(Calc!$AU$146))+Calc!$BA$147)</f>
        <v/>
      </c>
      <c r="EO40" s="31">
        <f>IF(OR(Settings!$A$38="",OR(EOMONTH(EO$4,0)&lt;=Settings!$B$5,EO$4&gt;TODAY())),"",IF(EOMONTH(EN$4,0)&lt;=Settings!$B$5,N(Settings!$C$38),N(Calc!$AU$147))+Calc!$BA$148)</f>
        <v/>
      </c>
      <c r="EP40" s="31">
        <f>IF(OR(Settings!$A$38="",OR(EOMONTH(EP$4,0)&lt;=Settings!$B$5,EP$4&gt;TODAY())),"",IF(EOMONTH(EO$4,0)&lt;=Settings!$B$5,N(Settings!$C$38),N(Calc!$AU$148))+Calc!$BA$149)</f>
        <v/>
      </c>
      <c r="EQ40" s="31">
        <f>IF(OR(Settings!$A$38="",OR(EOMONTH(EQ$4,0)&lt;=Settings!$B$5,EQ$4&gt;TODAY())),"",IF(EOMONTH(EP$4,0)&lt;=Settings!$B$5,N(Settings!$C$38),N(Calc!$AU$149))+Calc!$BA$150)</f>
        <v/>
      </c>
      <c r="ER40" s="31">
        <f>IF(OR(Settings!$A$38="",OR(EOMONTH(ER$4,0)&lt;=Settings!$B$5,ER$4&gt;TODAY())),"",IF(EOMONTH(EQ$4,0)&lt;=Settings!$B$5,N(Settings!$C$38),N(Calc!$AU$150))+Calc!$BA$151)</f>
        <v/>
      </c>
      <c r="ES40" s="31">
        <f>IF(OR(Settings!$A$38="",OR(EOMONTH(ES$4,0)&lt;=Settings!$B$5,ES$4&gt;TODAY())),"",IF(EOMONTH(ER$4,0)&lt;=Settings!$B$5,N(Settings!$C$38),N(Calc!$AU$151))+Calc!$BA$152)</f>
        <v/>
      </c>
      <c r="ET40" s="31">
        <f>IF(OR(Settings!$A$38="",OR(EOMONTH(ET$4,0)&lt;=Settings!$B$5,ET$4&gt;TODAY())),"",IF(EOMONTH(ES$4,0)&lt;=Settings!$B$5,N(Settings!$C$38),N(Calc!$AU$152))+Calc!$BA$153)</f>
        <v/>
      </c>
      <c r="EU40" s="31">
        <f>IF(OR(Settings!$A$38="",OR(EOMONTH(EU$4,0)&lt;=Settings!$B$5,EU$4&gt;TODAY())),"",IF(EOMONTH(ET$4,0)&lt;=Settings!$B$5,N(Settings!$C$38),N(Calc!$AU$153))+Calc!$BA$154)</f>
        <v/>
      </c>
      <c r="EV40" s="31">
        <f>IF(OR(Settings!$A$38="",OR(EOMONTH(EV$4,0)&lt;=Settings!$B$5,EV$4&gt;TODAY())),"",IF(EOMONTH(EU$4,0)&lt;=Settings!$B$5,N(Settings!$C$38),N(Calc!$AU$154))+Calc!$BA$155)</f>
        <v/>
      </c>
      <c r="EW40" s="31">
        <f>IF(OR(Settings!$A$38="",OR(EOMONTH(EW$4,0)&lt;=Settings!$B$5,EW$4&gt;TODAY())),"",IF(EOMONTH(EV$4,0)&lt;=Settings!$B$5,N(Settings!$C$38),N(Calc!$AU$155))+Calc!$BA$156)</f>
        <v/>
      </c>
      <c r="EX40" s="31">
        <f>IF(OR(Settings!$A$38="",OR(EOMONTH(EX$4,0)&lt;=Settings!$B$5,EX$4&gt;TODAY())),"",IF(EOMONTH(EW$4,0)&lt;=Settings!$B$5,N(Settings!$C$38),N(Calc!$AU$156))+Calc!$BA$157)</f>
        <v/>
      </c>
      <c r="EY40" s="31">
        <f>IF(OR(Settings!$A$38="",OR(EOMONTH(EY$4,0)&lt;=Settings!$B$5,EY$4&gt;TODAY())),"",IF(EOMONTH(EX$4,0)&lt;=Settings!$B$5,N(Settings!$C$38),N(Calc!$AU$157))+Calc!$BA$158)</f>
        <v/>
      </c>
      <c r="EZ40" s="31">
        <f>IF(OR(Settings!$A$38="",OR(EOMONTH(EZ$4,0)&lt;=Settings!$B$5,EZ$4&gt;TODAY())),"",IF(EOMONTH(EY$4,0)&lt;=Settings!$B$5,N(Settings!$C$38),N(Calc!$AU$158))+Calc!$BA$159)</f>
        <v/>
      </c>
      <c r="FA40" s="31">
        <f>IF(OR(Settings!$A$38="",OR(EOMONTH(FA$4,0)&lt;=Settings!$B$5,FA$4&gt;TODAY())),"",IF(EOMONTH(EZ$4,0)&lt;=Settings!$B$5,N(Settings!$C$38),N(Calc!$AU$159))+Calc!$BA$160)</f>
        <v/>
      </c>
      <c r="FB40" s="31">
        <f>IF(OR(Settings!$A$38="",OR(EOMONTH(FB$4,0)&lt;=Settings!$B$5,FB$4&gt;TODAY())),"",IF(EOMONTH(FA$4,0)&lt;=Settings!$B$5,N(Settings!$C$38),N(Calc!$AU$160))+Calc!$BA$161)</f>
        <v/>
      </c>
      <c r="FC40" s="31">
        <f>IF(OR(Settings!$A$38="",OR(EOMONTH(FC$4,0)&lt;=Settings!$B$5,FC$4&gt;TODAY())),"",IF(EOMONTH(FB$4,0)&lt;=Settings!$B$5,N(Settings!$C$38),N(Calc!$AU$161))+Calc!$BA$162)</f>
        <v/>
      </c>
      <c r="FD40" s="31">
        <f>IF(OR(Settings!$A$38="",OR(EOMONTH(FD$4,0)&lt;=Settings!$B$5,FD$4&gt;TODAY())),"",IF(EOMONTH(FC$4,0)&lt;=Settings!$B$5,N(Settings!$C$38),N(Calc!$AU$162))+Calc!$BA$163)</f>
        <v/>
      </c>
      <c r="FE40" s="31">
        <f>IF(OR(Settings!$A$38="",OR(EOMONTH(FE$4,0)&lt;=Settings!$B$5,FE$4&gt;TODAY())),"",IF(EOMONTH(FD$4,0)&lt;=Settings!$B$5,N(Settings!$C$38),N(Calc!$AU$163))+Calc!$BA$164)</f>
        <v/>
      </c>
      <c r="FF40" s="31">
        <f>IF(OR(Settings!$A$38="",OR(EOMONTH(FF$4,0)&lt;=Settings!$B$5,FF$4&gt;TODAY())),"",IF(EOMONTH(FE$4,0)&lt;=Settings!$B$5,N(Settings!$C$38),N(Calc!$AU$164))+Calc!$BA$165)</f>
        <v/>
      </c>
      <c r="FG40" s="31">
        <f>IF(OR(Settings!$A$38="",OR(EOMONTH(FG$4,0)&lt;=Settings!$B$5,FG$4&gt;TODAY())),"",IF(EOMONTH(FF$4,0)&lt;=Settings!$B$5,N(Settings!$C$38),N(Calc!$AU$165))+Calc!$BA$166)</f>
        <v/>
      </c>
      <c r="FH40" s="31">
        <f>IF(OR(Settings!$A$38="",OR(EOMONTH(FH$4,0)&lt;=Settings!$B$5,FH$4&gt;TODAY())),"",IF(EOMONTH(FG$4,0)&lt;=Settings!$B$5,N(Settings!$C$38),N(Calc!$AU$166))+Calc!$BA$167)</f>
        <v/>
      </c>
      <c r="FI40" s="31">
        <f>IF(OR(Settings!$A$38="",OR(EOMONTH(FI$4,0)&lt;=Settings!$B$5,FI$4&gt;TODAY())),"",IF(EOMONTH(FH$4,0)&lt;=Settings!$B$5,N(Settings!$C$38),N(Calc!$AU$167))+Calc!$BA$168)</f>
        <v/>
      </c>
      <c r="FJ40" s="31">
        <f>IF(OR(Settings!$A$38="",OR(EOMONTH(FJ$4,0)&lt;=Settings!$B$5,FJ$4&gt;TODAY())),"",IF(EOMONTH(FI$4,0)&lt;=Settings!$B$5,N(Settings!$C$38),N(Calc!$AU$168))+Calc!$BA$169)</f>
        <v/>
      </c>
      <c r="FK40" s="31">
        <f>IF(OR(Settings!$A$38="",OR(EOMONTH(FK$4,0)&lt;=Settings!$B$5,FK$4&gt;TODAY())),"",IF(EOMONTH(FJ$4,0)&lt;=Settings!$B$5,N(Settings!$C$38),N(Calc!$AU$169))+Calc!$BA$170)</f>
        <v/>
      </c>
      <c r="FL40" s="31">
        <f>IF(OR(Settings!$A$38="",OR(EOMONTH(FL$4,0)&lt;=Settings!$B$5,FL$4&gt;TODAY())),"",IF(EOMONTH(FK$4,0)&lt;=Settings!$B$5,N(Settings!$C$38),N(Calc!$AU$170))+Calc!$BA$171)</f>
        <v/>
      </c>
      <c r="FM40" s="31">
        <f>IF(OR(Settings!$A$38="",OR(EOMONTH(FM$4,0)&lt;=Settings!$B$5,FM$4&gt;TODAY())),"",IF(EOMONTH(FL$4,0)&lt;=Settings!$B$5,N(Settings!$C$38),N(Calc!$AU$171))+Calc!$BA$172)</f>
        <v/>
      </c>
      <c r="FN40" s="31">
        <f>IF(OR(Settings!$A$38="",OR(EOMONTH(FN$4,0)&lt;=Settings!$B$5,FN$4&gt;TODAY())),"",IF(EOMONTH(FM$4,0)&lt;=Settings!$B$5,N(Settings!$C$38),N(Calc!$AU$172))+Calc!$BA$173)</f>
        <v/>
      </c>
      <c r="FO40" s="31">
        <f>IF(OR(Settings!$A$38="",OR(EOMONTH(FO$4,0)&lt;=Settings!$B$5,FO$4&gt;TODAY())),"",IF(EOMONTH(FN$4,0)&lt;=Settings!$B$5,N(Settings!$C$38),N(Calc!$AU$173))+Calc!$BA$174)</f>
        <v/>
      </c>
      <c r="FP40" s="31">
        <f>IF(OR(Settings!$A$38="",OR(EOMONTH(FP$4,0)&lt;=Settings!$B$5,FP$4&gt;TODAY())),"",IF(EOMONTH(FO$4,0)&lt;=Settings!$B$5,N(Settings!$C$38),N(Calc!$AU$174))+Calc!$BA$175)</f>
        <v/>
      </c>
      <c r="FQ40" s="31">
        <f>IF(OR(Settings!$A$38="",OR(EOMONTH(FQ$4,0)&lt;=Settings!$B$5,FQ$4&gt;TODAY())),"",IF(EOMONTH(FP$4,0)&lt;=Settings!$B$5,N(Settings!$C$38),N(Calc!$AU$175))+Calc!$BA$176)</f>
        <v/>
      </c>
      <c r="FR40" s="31">
        <f>IF(OR(Settings!$A$38="",OR(EOMONTH(FR$4,0)&lt;=Settings!$B$5,FR$4&gt;TODAY())),"",IF(EOMONTH(FQ$4,0)&lt;=Settings!$B$5,N(Settings!$C$38),N(Calc!$AU$176))+Calc!$BA$177)</f>
        <v/>
      </c>
      <c r="FS40" s="31">
        <f>IF(OR(Settings!$A$38="",OR(EOMONTH(FS$4,0)&lt;=Settings!$B$5,FS$4&gt;TODAY())),"",IF(EOMONTH(FR$4,0)&lt;=Settings!$B$5,N(Settings!$C$38),N(Calc!$AU$177))+Calc!$BA$178)</f>
        <v/>
      </c>
      <c r="FT40" s="31">
        <f>IF(OR(Settings!$A$38="",OR(EOMONTH(FT$4,0)&lt;=Settings!$B$5,FT$4&gt;TODAY())),"",IF(EOMONTH(FS$4,0)&lt;=Settings!$B$5,N(Settings!$C$38),N(Calc!$AU$178))+Calc!$BA$179)</f>
        <v/>
      </c>
      <c r="FU40" s="31">
        <f>IF(OR(Settings!$A$38="",OR(EOMONTH(FU$4,0)&lt;=Settings!$B$5,FU$4&gt;TODAY())),"",IF(EOMONTH(FT$4,0)&lt;=Settings!$B$5,N(Settings!$C$38),N(Calc!$AU$179))+Calc!$BA$180)</f>
        <v/>
      </c>
      <c r="FV40" s="31">
        <f>IF(OR(Settings!$A$38="",OR(EOMONTH(FV$4,0)&lt;=Settings!$B$5,FV$4&gt;TODAY())),"",IF(EOMONTH(FU$4,0)&lt;=Settings!$B$5,N(Settings!$C$38),N(Calc!$AU$180))+Calc!$BA$181)</f>
        <v/>
      </c>
      <c r="FW40" s="31">
        <f>IF(OR(Settings!$A$38="",OR(EOMONTH(FW$4,0)&lt;=Settings!$B$5,FW$4&gt;TODAY())),"",IF(EOMONTH(FV$4,0)&lt;=Settings!$B$5,N(Settings!$C$38),N(Calc!$AU$181))+Calc!$BA$182)</f>
        <v/>
      </c>
      <c r="FX40" s="31">
        <f>IF(OR(Settings!$A$38="",OR(EOMONTH(FX$4,0)&lt;=Settings!$B$5,FX$4&gt;TODAY())),"",IF(EOMONTH(FW$4,0)&lt;=Settings!$B$5,N(Settings!$C$38),N(Calc!$AU$182))+Calc!$BA$183)</f>
        <v/>
      </c>
    </row>
    <row r="41">
      <c r="A41" s="15">
        <f>IF(Settings!$A$39="","(unused)",Settings!$A$39&amp;" — value")</f>
        <v/>
      </c>
      <c r="B41" s="26">
        <f>IF(Settings!$A$39="","","grey = last value + deposits")</f>
        <v/>
      </c>
      <c r="C41" s="31">
        <f>IF(OR(Settings!$A$39="",OR(EOMONTH(C$4,0)&lt;=Settings!$B$5,C$4&gt;TODAY())),"",N(Settings!$C$39)+Calc!$BB$6)</f>
        <v/>
      </c>
      <c r="D41" s="31">
        <f>IF(OR(Settings!$A$39="",OR(EOMONTH(D$4,0)&lt;=Settings!$B$5,D$4&gt;TODAY())),"",IF(EOMONTH(C$4,0)&lt;=Settings!$B$5,N(Settings!$C$39),N(Calc!$AV$6))+Calc!$BB$7)</f>
        <v/>
      </c>
      <c r="E41" s="31">
        <f>IF(OR(Settings!$A$39="",OR(EOMONTH(E$4,0)&lt;=Settings!$B$5,E$4&gt;TODAY())),"",IF(EOMONTH(D$4,0)&lt;=Settings!$B$5,N(Settings!$C$39),N(Calc!$AV$7))+Calc!$BB$8)</f>
        <v/>
      </c>
      <c r="F41" s="31">
        <f>IF(OR(Settings!$A$39="",OR(EOMONTH(F$4,0)&lt;=Settings!$B$5,F$4&gt;TODAY())),"",IF(EOMONTH(E$4,0)&lt;=Settings!$B$5,N(Settings!$C$39),N(Calc!$AV$8))+Calc!$BB$9)</f>
        <v/>
      </c>
      <c r="G41" s="31">
        <f>IF(OR(Settings!$A$39="",OR(EOMONTH(G$4,0)&lt;=Settings!$B$5,G$4&gt;TODAY())),"",IF(EOMONTH(F$4,0)&lt;=Settings!$B$5,N(Settings!$C$39),N(Calc!$AV$9))+Calc!$BB$10)</f>
        <v/>
      </c>
      <c r="H41" s="31">
        <f>IF(OR(Settings!$A$39="",OR(EOMONTH(H$4,0)&lt;=Settings!$B$5,H$4&gt;TODAY())),"",IF(EOMONTH(G$4,0)&lt;=Settings!$B$5,N(Settings!$C$39),N(Calc!$AV$10))+Calc!$BB$11)</f>
        <v/>
      </c>
      <c r="I41" s="31">
        <f>IF(OR(Settings!$A$39="",OR(EOMONTH(I$4,0)&lt;=Settings!$B$5,I$4&gt;TODAY())),"",IF(EOMONTH(H$4,0)&lt;=Settings!$B$5,N(Settings!$C$39),N(Calc!$AV$11))+Calc!$BB$12)</f>
        <v/>
      </c>
      <c r="J41" s="31">
        <f>IF(OR(Settings!$A$39="",OR(EOMONTH(J$4,0)&lt;=Settings!$B$5,J$4&gt;TODAY())),"",IF(EOMONTH(I$4,0)&lt;=Settings!$B$5,N(Settings!$C$39),N(Calc!$AV$12))+Calc!$BB$13)</f>
        <v/>
      </c>
      <c r="K41" s="31">
        <f>IF(OR(Settings!$A$39="",OR(EOMONTH(K$4,0)&lt;=Settings!$B$5,K$4&gt;TODAY())),"",IF(EOMONTH(J$4,0)&lt;=Settings!$B$5,N(Settings!$C$39),N(Calc!$AV$13))+Calc!$BB$14)</f>
        <v/>
      </c>
      <c r="L41" s="31">
        <f>IF(OR(Settings!$A$39="",OR(EOMONTH(L$4,0)&lt;=Settings!$B$5,L$4&gt;TODAY())),"",IF(EOMONTH(K$4,0)&lt;=Settings!$B$5,N(Settings!$C$39),N(Calc!$AV$14))+Calc!$BB$15)</f>
        <v/>
      </c>
      <c r="M41" s="31">
        <f>IF(OR(Settings!$A$39="",OR(EOMONTH(M$4,0)&lt;=Settings!$B$5,M$4&gt;TODAY())),"",IF(EOMONTH(L$4,0)&lt;=Settings!$B$5,N(Settings!$C$39),N(Calc!$AV$15))+Calc!$BB$16)</f>
        <v/>
      </c>
      <c r="N41" s="31">
        <f>IF(OR(Settings!$A$39="",OR(EOMONTH(N$4,0)&lt;=Settings!$B$5,N$4&gt;TODAY())),"",IF(EOMONTH(M$4,0)&lt;=Settings!$B$5,N(Settings!$C$39),N(Calc!$AV$16))+Calc!$BB$17)</f>
        <v/>
      </c>
      <c r="O41" s="31">
        <f>IF(OR(Settings!$A$39="",OR(EOMONTH(O$4,0)&lt;=Settings!$B$5,O$4&gt;TODAY())),"",IF(EOMONTH(N$4,0)&lt;=Settings!$B$5,N(Settings!$C$39),N(Calc!$AV$17))+Calc!$BB$18)</f>
        <v/>
      </c>
      <c r="P41" s="31">
        <f>IF(OR(Settings!$A$39="",OR(EOMONTH(P$4,0)&lt;=Settings!$B$5,P$4&gt;TODAY())),"",IF(EOMONTH(O$4,0)&lt;=Settings!$B$5,N(Settings!$C$39),N(Calc!$AV$18))+Calc!$BB$19)</f>
        <v/>
      </c>
      <c r="Q41" s="31">
        <f>IF(OR(Settings!$A$39="",OR(EOMONTH(Q$4,0)&lt;=Settings!$B$5,Q$4&gt;TODAY())),"",IF(EOMONTH(P$4,0)&lt;=Settings!$B$5,N(Settings!$C$39),N(Calc!$AV$19))+Calc!$BB$20)</f>
        <v/>
      </c>
      <c r="R41" s="31">
        <f>IF(OR(Settings!$A$39="",OR(EOMONTH(R$4,0)&lt;=Settings!$B$5,R$4&gt;TODAY())),"",IF(EOMONTH(Q$4,0)&lt;=Settings!$B$5,N(Settings!$C$39),N(Calc!$AV$20))+Calc!$BB$21)</f>
        <v/>
      </c>
      <c r="S41" s="31">
        <f>IF(OR(Settings!$A$39="",OR(EOMONTH(S$4,0)&lt;=Settings!$B$5,S$4&gt;TODAY())),"",IF(EOMONTH(R$4,0)&lt;=Settings!$B$5,N(Settings!$C$39),N(Calc!$AV$21))+Calc!$BB$22)</f>
        <v/>
      </c>
      <c r="T41" s="31">
        <f>IF(OR(Settings!$A$39="",OR(EOMONTH(T$4,0)&lt;=Settings!$B$5,T$4&gt;TODAY())),"",IF(EOMONTH(S$4,0)&lt;=Settings!$B$5,N(Settings!$C$39),N(Calc!$AV$22))+Calc!$BB$23)</f>
        <v/>
      </c>
      <c r="U41" s="31">
        <f>IF(OR(Settings!$A$39="",OR(EOMONTH(U$4,0)&lt;=Settings!$B$5,U$4&gt;TODAY())),"",IF(EOMONTH(T$4,0)&lt;=Settings!$B$5,N(Settings!$C$39),N(Calc!$AV$23))+Calc!$BB$24)</f>
        <v/>
      </c>
      <c r="V41" s="31">
        <f>IF(OR(Settings!$A$39="",OR(EOMONTH(V$4,0)&lt;=Settings!$B$5,V$4&gt;TODAY())),"",IF(EOMONTH(U$4,0)&lt;=Settings!$B$5,N(Settings!$C$39),N(Calc!$AV$24))+Calc!$BB$25)</f>
        <v/>
      </c>
      <c r="W41" s="31">
        <f>IF(OR(Settings!$A$39="",OR(EOMONTH(W$4,0)&lt;=Settings!$B$5,W$4&gt;TODAY())),"",IF(EOMONTH(V$4,0)&lt;=Settings!$B$5,N(Settings!$C$39),N(Calc!$AV$25))+Calc!$BB$26)</f>
        <v/>
      </c>
      <c r="X41" s="31">
        <f>IF(OR(Settings!$A$39="",OR(EOMONTH(X$4,0)&lt;=Settings!$B$5,X$4&gt;TODAY())),"",IF(EOMONTH(W$4,0)&lt;=Settings!$B$5,N(Settings!$C$39),N(Calc!$AV$26))+Calc!$BB$27)</f>
        <v/>
      </c>
      <c r="Y41" s="31">
        <f>IF(OR(Settings!$A$39="",OR(EOMONTH(Y$4,0)&lt;=Settings!$B$5,Y$4&gt;TODAY())),"",IF(EOMONTH(X$4,0)&lt;=Settings!$B$5,N(Settings!$C$39),N(Calc!$AV$27))+Calc!$BB$28)</f>
        <v/>
      </c>
      <c r="Z41" s="31">
        <f>IF(OR(Settings!$A$39="",OR(EOMONTH(Z$4,0)&lt;=Settings!$B$5,Z$4&gt;TODAY())),"",IF(EOMONTH(Y$4,0)&lt;=Settings!$B$5,N(Settings!$C$39),N(Calc!$AV$28))+Calc!$BB$29)</f>
        <v/>
      </c>
      <c r="AA41" s="31">
        <f>IF(OR(Settings!$A$39="",OR(EOMONTH(AA$4,0)&lt;=Settings!$B$5,AA$4&gt;TODAY())),"",IF(EOMONTH(Z$4,0)&lt;=Settings!$B$5,N(Settings!$C$39),N(Calc!$AV$29))+Calc!$BB$30)</f>
        <v/>
      </c>
      <c r="AB41" s="31">
        <f>IF(OR(Settings!$A$39="",OR(EOMONTH(AB$4,0)&lt;=Settings!$B$5,AB$4&gt;TODAY())),"",IF(EOMONTH(AA$4,0)&lt;=Settings!$B$5,N(Settings!$C$39),N(Calc!$AV$30))+Calc!$BB$31)</f>
        <v/>
      </c>
      <c r="AC41" s="31">
        <f>IF(OR(Settings!$A$39="",OR(EOMONTH(AC$4,0)&lt;=Settings!$B$5,AC$4&gt;TODAY())),"",IF(EOMONTH(AB$4,0)&lt;=Settings!$B$5,N(Settings!$C$39),N(Calc!$AV$31))+Calc!$BB$32)</f>
        <v/>
      </c>
      <c r="AD41" s="31">
        <f>IF(OR(Settings!$A$39="",OR(EOMONTH(AD$4,0)&lt;=Settings!$B$5,AD$4&gt;TODAY())),"",IF(EOMONTH(AC$4,0)&lt;=Settings!$B$5,N(Settings!$C$39),N(Calc!$AV$32))+Calc!$BB$33)</f>
        <v/>
      </c>
      <c r="AE41" s="31">
        <f>IF(OR(Settings!$A$39="",OR(EOMONTH(AE$4,0)&lt;=Settings!$B$5,AE$4&gt;TODAY())),"",IF(EOMONTH(AD$4,0)&lt;=Settings!$B$5,N(Settings!$C$39),N(Calc!$AV$33))+Calc!$BB$34)</f>
        <v/>
      </c>
      <c r="AF41" s="31">
        <f>IF(OR(Settings!$A$39="",OR(EOMONTH(AF$4,0)&lt;=Settings!$B$5,AF$4&gt;TODAY())),"",IF(EOMONTH(AE$4,0)&lt;=Settings!$B$5,N(Settings!$C$39),N(Calc!$AV$34))+Calc!$BB$35)</f>
        <v/>
      </c>
      <c r="AG41" s="31">
        <f>IF(OR(Settings!$A$39="",OR(EOMONTH(AG$4,0)&lt;=Settings!$B$5,AG$4&gt;TODAY())),"",IF(EOMONTH(AF$4,0)&lt;=Settings!$B$5,N(Settings!$C$39),N(Calc!$AV$35))+Calc!$BB$36)</f>
        <v/>
      </c>
      <c r="AH41" s="31">
        <f>IF(OR(Settings!$A$39="",OR(EOMONTH(AH$4,0)&lt;=Settings!$B$5,AH$4&gt;TODAY())),"",IF(EOMONTH(AG$4,0)&lt;=Settings!$B$5,N(Settings!$C$39),N(Calc!$AV$36))+Calc!$BB$37)</f>
        <v/>
      </c>
      <c r="AI41" s="31">
        <f>IF(OR(Settings!$A$39="",OR(EOMONTH(AI$4,0)&lt;=Settings!$B$5,AI$4&gt;TODAY())),"",IF(EOMONTH(AH$4,0)&lt;=Settings!$B$5,N(Settings!$C$39),N(Calc!$AV$37))+Calc!$BB$38)</f>
        <v/>
      </c>
      <c r="AJ41" s="31">
        <f>IF(OR(Settings!$A$39="",OR(EOMONTH(AJ$4,0)&lt;=Settings!$B$5,AJ$4&gt;TODAY())),"",IF(EOMONTH(AI$4,0)&lt;=Settings!$B$5,N(Settings!$C$39),N(Calc!$AV$38))+Calc!$BB$39)</f>
        <v/>
      </c>
      <c r="AK41" s="31">
        <f>IF(OR(Settings!$A$39="",OR(EOMONTH(AK$4,0)&lt;=Settings!$B$5,AK$4&gt;TODAY())),"",IF(EOMONTH(AJ$4,0)&lt;=Settings!$B$5,N(Settings!$C$39),N(Calc!$AV$39))+Calc!$BB$40)</f>
        <v/>
      </c>
      <c r="AL41" s="31">
        <f>IF(OR(Settings!$A$39="",OR(EOMONTH(AL$4,0)&lt;=Settings!$B$5,AL$4&gt;TODAY())),"",IF(EOMONTH(AK$4,0)&lt;=Settings!$B$5,N(Settings!$C$39),N(Calc!$AV$40))+Calc!$BB$41)</f>
        <v/>
      </c>
      <c r="AM41" s="31">
        <f>IF(OR(Settings!$A$39="",OR(EOMONTH(AM$4,0)&lt;=Settings!$B$5,AM$4&gt;TODAY())),"",IF(EOMONTH(AL$4,0)&lt;=Settings!$B$5,N(Settings!$C$39),N(Calc!$AV$41))+Calc!$BB$42)</f>
        <v/>
      </c>
      <c r="AN41" s="31">
        <f>IF(OR(Settings!$A$39="",OR(EOMONTH(AN$4,0)&lt;=Settings!$B$5,AN$4&gt;TODAY())),"",IF(EOMONTH(AM$4,0)&lt;=Settings!$B$5,N(Settings!$C$39),N(Calc!$AV$42))+Calc!$BB$43)</f>
        <v/>
      </c>
      <c r="AO41" s="31">
        <f>IF(OR(Settings!$A$39="",OR(EOMONTH(AO$4,0)&lt;=Settings!$B$5,AO$4&gt;TODAY())),"",IF(EOMONTH(AN$4,0)&lt;=Settings!$B$5,N(Settings!$C$39),N(Calc!$AV$43))+Calc!$BB$44)</f>
        <v/>
      </c>
      <c r="AP41" s="31">
        <f>IF(OR(Settings!$A$39="",OR(EOMONTH(AP$4,0)&lt;=Settings!$B$5,AP$4&gt;TODAY())),"",IF(EOMONTH(AO$4,0)&lt;=Settings!$B$5,N(Settings!$C$39),N(Calc!$AV$44))+Calc!$BB$45)</f>
        <v/>
      </c>
      <c r="AQ41" s="31">
        <f>IF(OR(Settings!$A$39="",OR(EOMONTH(AQ$4,0)&lt;=Settings!$B$5,AQ$4&gt;TODAY())),"",IF(EOMONTH(AP$4,0)&lt;=Settings!$B$5,N(Settings!$C$39),N(Calc!$AV$45))+Calc!$BB$46)</f>
        <v/>
      </c>
      <c r="AR41" s="31">
        <f>IF(OR(Settings!$A$39="",OR(EOMONTH(AR$4,0)&lt;=Settings!$B$5,AR$4&gt;TODAY())),"",IF(EOMONTH(AQ$4,0)&lt;=Settings!$B$5,N(Settings!$C$39),N(Calc!$AV$46))+Calc!$BB$47)</f>
        <v/>
      </c>
      <c r="AS41" s="31">
        <f>IF(OR(Settings!$A$39="",OR(EOMONTH(AS$4,0)&lt;=Settings!$B$5,AS$4&gt;TODAY())),"",IF(EOMONTH(AR$4,0)&lt;=Settings!$B$5,N(Settings!$C$39),N(Calc!$AV$47))+Calc!$BB$48)</f>
        <v/>
      </c>
      <c r="AT41" s="31">
        <f>IF(OR(Settings!$A$39="",OR(EOMONTH(AT$4,0)&lt;=Settings!$B$5,AT$4&gt;TODAY())),"",IF(EOMONTH(AS$4,0)&lt;=Settings!$B$5,N(Settings!$C$39),N(Calc!$AV$48))+Calc!$BB$49)</f>
        <v/>
      </c>
      <c r="AU41" s="31">
        <f>IF(OR(Settings!$A$39="",OR(EOMONTH(AU$4,0)&lt;=Settings!$B$5,AU$4&gt;TODAY())),"",IF(EOMONTH(AT$4,0)&lt;=Settings!$B$5,N(Settings!$C$39),N(Calc!$AV$49))+Calc!$BB$50)</f>
        <v/>
      </c>
      <c r="AV41" s="31">
        <f>IF(OR(Settings!$A$39="",OR(EOMONTH(AV$4,0)&lt;=Settings!$B$5,AV$4&gt;TODAY())),"",IF(EOMONTH(AU$4,0)&lt;=Settings!$B$5,N(Settings!$C$39),N(Calc!$AV$50))+Calc!$BB$51)</f>
        <v/>
      </c>
      <c r="AW41" s="31">
        <f>IF(OR(Settings!$A$39="",OR(EOMONTH(AW$4,0)&lt;=Settings!$B$5,AW$4&gt;TODAY())),"",IF(EOMONTH(AV$4,0)&lt;=Settings!$B$5,N(Settings!$C$39),N(Calc!$AV$51))+Calc!$BB$52)</f>
        <v/>
      </c>
      <c r="AX41" s="31">
        <f>IF(OR(Settings!$A$39="",OR(EOMONTH(AX$4,0)&lt;=Settings!$B$5,AX$4&gt;TODAY())),"",IF(EOMONTH(AW$4,0)&lt;=Settings!$B$5,N(Settings!$C$39),N(Calc!$AV$52))+Calc!$BB$53)</f>
        <v/>
      </c>
      <c r="AY41" s="31">
        <f>IF(OR(Settings!$A$39="",OR(EOMONTH(AY$4,0)&lt;=Settings!$B$5,AY$4&gt;TODAY())),"",IF(EOMONTH(AX$4,0)&lt;=Settings!$B$5,N(Settings!$C$39),N(Calc!$AV$53))+Calc!$BB$54)</f>
        <v/>
      </c>
      <c r="AZ41" s="31">
        <f>IF(OR(Settings!$A$39="",OR(EOMONTH(AZ$4,0)&lt;=Settings!$B$5,AZ$4&gt;TODAY())),"",IF(EOMONTH(AY$4,0)&lt;=Settings!$B$5,N(Settings!$C$39),N(Calc!$AV$54))+Calc!$BB$55)</f>
        <v/>
      </c>
      <c r="BA41" s="31">
        <f>IF(OR(Settings!$A$39="",OR(EOMONTH(BA$4,0)&lt;=Settings!$B$5,BA$4&gt;TODAY())),"",IF(EOMONTH(AZ$4,0)&lt;=Settings!$B$5,N(Settings!$C$39),N(Calc!$AV$55))+Calc!$BB$56)</f>
        <v/>
      </c>
      <c r="BB41" s="31">
        <f>IF(OR(Settings!$A$39="",OR(EOMONTH(BB$4,0)&lt;=Settings!$B$5,BB$4&gt;TODAY())),"",IF(EOMONTH(BA$4,0)&lt;=Settings!$B$5,N(Settings!$C$39),N(Calc!$AV$56))+Calc!$BB$57)</f>
        <v/>
      </c>
      <c r="BC41" s="31">
        <f>IF(OR(Settings!$A$39="",OR(EOMONTH(BC$4,0)&lt;=Settings!$B$5,BC$4&gt;TODAY())),"",IF(EOMONTH(BB$4,0)&lt;=Settings!$B$5,N(Settings!$C$39),N(Calc!$AV$57))+Calc!$BB$58)</f>
        <v/>
      </c>
      <c r="BD41" s="31">
        <f>IF(OR(Settings!$A$39="",OR(EOMONTH(BD$4,0)&lt;=Settings!$B$5,BD$4&gt;TODAY())),"",IF(EOMONTH(BC$4,0)&lt;=Settings!$B$5,N(Settings!$C$39),N(Calc!$AV$58))+Calc!$BB$59)</f>
        <v/>
      </c>
      <c r="BE41" s="31">
        <f>IF(OR(Settings!$A$39="",OR(EOMONTH(BE$4,0)&lt;=Settings!$B$5,BE$4&gt;TODAY())),"",IF(EOMONTH(BD$4,0)&lt;=Settings!$B$5,N(Settings!$C$39),N(Calc!$AV$59))+Calc!$BB$60)</f>
        <v/>
      </c>
      <c r="BF41" s="31">
        <f>IF(OR(Settings!$A$39="",OR(EOMONTH(BF$4,0)&lt;=Settings!$B$5,BF$4&gt;TODAY())),"",IF(EOMONTH(BE$4,0)&lt;=Settings!$B$5,N(Settings!$C$39),N(Calc!$AV$60))+Calc!$BB$61)</f>
        <v/>
      </c>
      <c r="BG41" s="31">
        <f>IF(OR(Settings!$A$39="",OR(EOMONTH(BG$4,0)&lt;=Settings!$B$5,BG$4&gt;TODAY())),"",IF(EOMONTH(BF$4,0)&lt;=Settings!$B$5,N(Settings!$C$39),N(Calc!$AV$61))+Calc!$BB$62)</f>
        <v/>
      </c>
      <c r="BH41" s="31">
        <f>IF(OR(Settings!$A$39="",OR(EOMONTH(BH$4,0)&lt;=Settings!$B$5,BH$4&gt;TODAY())),"",IF(EOMONTH(BG$4,0)&lt;=Settings!$B$5,N(Settings!$C$39),N(Calc!$AV$62))+Calc!$BB$63)</f>
        <v/>
      </c>
      <c r="BI41" s="31">
        <f>IF(OR(Settings!$A$39="",OR(EOMONTH(BI$4,0)&lt;=Settings!$B$5,BI$4&gt;TODAY())),"",IF(EOMONTH(BH$4,0)&lt;=Settings!$B$5,N(Settings!$C$39),N(Calc!$AV$63))+Calc!$BB$64)</f>
        <v/>
      </c>
      <c r="BJ41" s="31">
        <f>IF(OR(Settings!$A$39="",OR(EOMONTH(BJ$4,0)&lt;=Settings!$B$5,BJ$4&gt;TODAY())),"",IF(EOMONTH(BI$4,0)&lt;=Settings!$B$5,N(Settings!$C$39),N(Calc!$AV$64))+Calc!$BB$65)</f>
        <v/>
      </c>
      <c r="BK41" s="31">
        <f>IF(OR(Settings!$A$39="",OR(EOMONTH(BK$4,0)&lt;=Settings!$B$5,BK$4&gt;TODAY())),"",IF(EOMONTH(BJ$4,0)&lt;=Settings!$B$5,N(Settings!$C$39),N(Calc!$AV$65))+Calc!$BB$66)</f>
        <v/>
      </c>
      <c r="BL41" s="31">
        <f>IF(OR(Settings!$A$39="",OR(EOMONTH(BL$4,0)&lt;=Settings!$B$5,BL$4&gt;TODAY())),"",IF(EOMONTH(BK$4,0)&lt;=Settings!$B$5,N(Settings!$C$39),N(Calc!$AV$66))+Calc!$BB$67)</f>
        <v/>
      </c>
      <c r="BM41" s="31">
        <f>IF(OR(Settings!$A$39="",OR(EOMONTH(BM$4,0)&lt;=Settings!$B$5,BM$4&gt;TODAY())),"",IF(EOMONTH(BL$4,0)&lt;=Settings!$B$5,N(Settings!$C$39),N(Calc!$AV$67))+Calc!$BB$68)</f>
        <v/>
      </c>
      <c r="BN41" s="31">
        <f>IF(OR(Settings!$A$39="",OR(EOMONTH(BN$4,0)&lt;=Settings!$B$5,BN$4&gt;TODAY())),"",IF(EOMONTH(BM$4,0)&lt;=Settings!$B$5,N(Settings!$C$39),N(Calc!$AV$68))+Calc!$BB$69)</f>
        <v/>
      </c>
      <c r="BO41" s="31">
        <f>IF(OR(Settings!$A$39="",OR(EOMONTH(BO$4,0)&lt;=Settings!$B$5,BO$4&gt;TODAY())),"",IF(EOMONTH(BN$4,0)&lt;=Settings!$B$5,N(Settings!$C$39),N(Calc!$AV$69))+Calc!$BB$70)</f>
        <v/>
      </c>
      <c r="BP41" s="31">
        <f>IF(OR(Settings!$A$39="",OR(EOMONTH(BP$4,0)&lt;=Settings!$B$5,BP$4&gt;TODAY())),"",IF(EOMONTH(BO$4,0)&lt;=Settings!$B$5,N(Settings!$C$39),N(Calc!$AV$70))+Calc!$BB$71)</f>
        <v/>
      </c>
      <c r="BQ41" s="31">
        <f>IF(OR(Settings!$A$39="",OR(EOMONTH(BQ$4,0)&lt;=Settings!$B$5,BQ$4&gt;TODAY())),"",IF(EOMONTH(BP$4,0)&lt;=Settings!$B$5,N(Settings!$C$39),N(Calc!$AV$71))+Calc!$BB$72)</f>
        <v/>
      </c>
      <c r="BR41" s="31">
        <f>IF(OR(Settings!$A$39="",OR(EOMONTH(BR$4,0)&lt;=Settings!$B$5,BR$4&gt;TODAY())),"",IF(EOMONTH(BQ$4,0)&lt;=Settings!$B$5,N(Settings!$C$39),N(Calc!$AV$72))+Calc!$BB$73)</f>
        <v/>
      </c>
      <c r="BS41" s="31">
        <f>IF(OR(Settings!$A$39="",OR(EOMONTH(BS$4,0)&lt;=Settings!$B$5,BS$4&gt;TODAY())),"",IF(EOMONTH(BR$4,0)&lt;=Settings!$B$5,N(Settings!$C$39),N(Calc!$AV$73))+Calc!$BB$74)</f>
        <v/>
      </c>
      <c r="BT41" s="31">
        <f>IF(OR(Settings!$A$39="",OR(EOMONTH(BT$4,0)&lt;=Settings!$B$5,BT$4&gt;TODAY())),"",IF(EOMONTH(BS$4,0)&lt;=Settings!$B$5,N(Settings!$C$39),N(Calc!$AV$74))+Calc!$BB$75)</f>
        <v/>
      </c>
      <c r="BU41" s="31">
        <f>IF(OR(Settings!$A$39="",OR(EOMONTH(BU$4,0)&lt;=Settings!$B$5,BU$4&gt;TODAY())),"",IF(EOMONTH(BT$4,0)&lt;=Settings!$B$5,N(Settings!$C$39),N(Calc!$AV$75))+Calc!$BB$76)</f>
        <v/>
      </c>
      <c r="BV41" s="31">
        <f>IF(OR(Settings!$A$39="",OR(EOMONTH(BV$4,0)&lt;=Settings!$B$5,BV$4&gt;TODAY())),"",IF(EOMONTH(BU$4,0)&lt;=Settings!$B$5,N(Settings!$C$39),N(Calc!$AV$76))+Calc!$BB$77)</f>
        <v/>
      </c>
      <c r="BW41" s="31">
        <f>IF(OR(Settings!$A$39="",OR(EOMONTH(BW$4,0)&lt;=Settings!$B$5,BW$4&gt;TODAY())),"",IF(EOMONTH(BV$4,0)&lt;=Settings!$B$5,N(Settings!$C$39),N(Calc!$AV$77))+Calc!$BB$78)</f>
        <v/>
      </c>
      <c r="BX41" s="31">
        <f>IF(OR(Settings!$A$39="",OR(EOMONTH(BX$4,0)&lt;=Settings!$B$5,BX$4&gt;TODAY())),"",IF(EOMONTH(BW$4,0)&lt;=Settings!$B$5,N(Settings!$C$39),N(Calc!$AV$78))+Calc!$BB$79)</f>
        <v/>
      </c>
      <c r="BY41" s="31">
        <f>IF(OR(Settings!$A$39="",OR(EOMONTH(BY$4,0)&lt;=Settings!$B$5,BY$4&gt;TODAY())),"",IF(EOMONTH(BX$4,0)&lt;=Settings!$B$5,N(Settings!$C$39),N(Calc!$AV$79))+Calc!$BB$80)</f>
        <v/>
      </c>
      <c r="BZ41" s="31">
        <f>IF(OR(Settings!$A$39="",OR(EOMONTH(BZ$4,0)&lt;=Settings!$B$5,BZ$4&gt;TODAY())),"",IF(EOMONTH(BY$4,0)&lt;=Settings!$B$5,N(Settings!$C$39),N(Calc!$AV$80))+Calc!$BB$81)</f>
        <v/>
      </c>
      <c r="CA41" s="31">
        <f>IF(OR(Settings!$A$39="",OR(EOMONTH(CA$4,0)&lt;=Settings!$B$5,CA$4&gt;TODAY())),"",IF(EOMONTH(BZ$4,0)&lt;=Settings!$B$5,N(Settings!$C$39),N(Calc!$AV$81))+Calc!$BB$82)</f>
        <v/>
      </c>
      <c r="CB41" s="31">
        <f>IF(OR(Settings!$A$39="",OR(EOMONTH(CB$4,0)&lt;=Settings!$B$5,CB$4&gt;TODAY())),"",IF(EOMONTH(CA$4,0)&lt;=Settings!$B$5,N(Settings!$C$39),N(Calc!$AV$82))+Calc!$BB$83)</f>
        <v/>
      </c>
      <c r="CC41" s="31">
        <f>IF(OR(Settings!$A$39="",OR(EOMONTH(CC$4,0)&lt;=Settings!$B$5,CC$4&gt;TODAY())),"",IF(EOMONTH(CB$4,0)&lt;=Settings!$B$5,N(Settings!$C$39),N(Calc!$AV$83))+Calc!$BB$84)</f>
        <v/>
      </c>
      <c r="CD41" s="31">
        <f>IF(OR(Settings!$A$39="",OR(EOMONTH(CD$4,0)&lt;=Settings!$B$5,CD$4&gt;TODAY())),"",IF(EOMONTH(CC$4,0)&lt;=Settings!$B$5,N(Settings!$C$39),N(Calc!$AV$84))+Calc!$BB$85)</f>
        <v/>
      </c>
      <c r="CE41" s="31">
        <f>IF(OR(Settings!$A$39="",OR(EOMONTH(CE$4,0)&lt;=Settings!$B$5,CE$4&gt;TODAY())),"",IF(EOMONTH(CD$4,0)&lt;=Settings!$B$5,N(Settings!$C$39),N(Calc!$AV$85))+Calc!$BB$86)</f>
        <v/>
      </c>
      <c r="CF41" s="31">
        <f>IF(OR(Settings!$A$39="",OR(EOMONTH(CF$4,0)&lt;=Settings!$B$5,CF$4&gt;TODAY())),"",IF(EOMONTH(CE$4,0)&lt;=Settings!$B$5,N(Settings!$C$39),N(Calc!$AV$86))+Calc!$BB$87)</f>
        <v/>
      </c>
      <c r="CG41" s="31">
        <f>IF(OR(Settings!$A$39="",OR(EOMONTH(CG$4,0)&lt;=Settings!$B$5,CG$4&gt;TODAY())),"",IF(EOMONTH(CF$4,0)&lt;=Settings!$B$5,N(Settings!$C$39),N(Calc!$AV$87))+Calc!$BB$88)</f>
        <v/>
      </c>
      <c r="CH41" s="31">
        <f>IF(OR(Settings!$A$39="",OR(EOMONTH(CH$4,0)&lt;=Settings!$B$5,CH$4&gt;TODAY())),"",IF(EOMONTH(CG$4,0)&lt;=Settings!$B$5,N(Settings!$C$39),N(Calc!$AV$88))+Calc!$BB$89)</f>
        <v/>
      </c>
      <c r="CI41" s="31">
        <f>IF(OR(Settings!$A$39="",OR(EOMONTH(CI$4,0)&lt;=Settings!$B$5,CI$4&gt;TODAY())),"",IF(EOMONTH(CH$4,0)&lt;=Settings!$B$5,N(Settings!$C$39),N(Calc!$AV$89))+Calc!$BB$90)</f>
        <v/>
      </c>
      <c r="CJ41" s="31">
        <f>IF(OR(Settings!$A$39="",OR(EOMONTH(CJ$4,0)&lt;=Settings!$B$5,CJ$4&gt;TODAY())),"",IF(EOMONTH(CI$4,0)&lt;=Settings!$B$5,N(Settings!$C$39),N(Calc!$AV$90))+Calc!$BB$91)</f>
        <v/>
      </c>
      <c r="CK41" s="31">
        <f>IF(OR(Settings!$A$39="",OR(EOMONTH(CK$4,0)&lt;=Settings!$B$5,CK$4&gt;TODAY())),"",IF(EOMONTH(CJ$4,0)&lt;=Settings!$B$5,N(Settings!$C$39),N(Calc!$AV$91))+Calc!$BB$92)</f>
        <v/>
      </c>
      <c r="CL41" s="31">
        <f>IF(OR(Settings!$A$39="",OR(EOMONTH(CL$4,0)&lt;=Settings!$B$5,CL$4&gt;TODAY())),"",IF(EOMONTH(CK$4,0)&lt;=Settings!$B$5,N(Settings!$C$39),N(Calc!$AV$92))+Calc!$BB$93)</f>
        <v/>
      </c>
      <c r="CM41" s="31">
        <f>IF(OR(Settings!$A$39="",OR(EOMONTH(CM$4,0)&lt;=Settings!$B$5,CM$4&gt;TODAY())),"",IF(EOMONTH(CL$4,0)&lt;=Settings!$B$5,N(Settings!$C$39),N(Calc!$AV$93))+Calc!$BB$94)</f>
        <v/>
      </c>
      <c r="CN41" s="31">
        <f>IF(OR(Settings!$A$39="",OR(EOMONTH(CN$4,0)&lt;=Settings!$B$5,CN$4&gt;TODAY())),"",IF(EOMONTH(CM$4,0)&lt;=Settings!$B$5,N(Settings!$C$39),N(Calc!$AV$94))+Calc!$BB$95)</f>
        <v/>
      </c>
      <c r="CO41" s="31">
        <f>IF(OR(Settings!$A$39="",OR(EOMONTH(CO$4,0)&lt;=Settings!$B$5,CO$4&gt;TODAY())),"",IF(EOMONTH(CN$4,0)&lt;=Settings!$B$5,N(Settings!$C$39),N(Calc!$AV$95))+Calc!$BB$96)</f>
        <v/>
      </c>
      <c r="CP41" s="31">
        <f>IF(OR(Settings!$A$39="",OR(EOMONTH(CP$4,0)&lt;=Settings!$B$5,CP$4&gt;TODAY())),"",IF(EOMONTH(CO$4,0)&lt;=Settings!$B$5,N(Settings!$C$39),N(Calc!$AV$96))+Calc!$BB$97)</f>
        <v/>
      </c>
      <c r="CQ41" s="31">
        <f>IF(OR(Settings!$A$39="",OR(EOMONTH(CQ$4,0)&lt;=Settings!$B$5,CQ$4&gt;TODAY())),"",IF(EOMONTH(CP$4,0)&lt;=Settings!$B$5,N(Settings!$C$39),N(Calc!$AV$97))+Calc!$BB$98)</f>
        <v/>
      </c>
      <c r="CR41" s="31">
        <f>IF(OR(Settings!$A$39="",OR(EOMONTH(CR$4,0)&lt;=Settings!$B$5,CR$4&gt;TODAY())),"",IF(EOMONTH(CQ$4,0)&lt;=Settings!$B$5,N(Settings!$C$39),N(Calc!$AV$98))+Calc!$BB$99)</f>
        <v/>
      </c>
      <c r="CS41" s="31">
        <f>IF(OR(Settings!$A$39="",OR(EOMONTH(CS$4,0)&lt;=Settings!$B$5,CS$4&gt;TODAY())),"",IF(EOMONTH(CR$4,0)&lt;=Settings!$B$5,N(Settings!$C$39),N(Calc!$AV$99))+Calc!$BB$100)</f>
        <v/>
      </c>
      <c r="CT41" s="31">
        <f>IF(OR(Settings!$A$39="",OR(EOMONTH(CT$4,0)&lt;=Settings!$B$5,CT$4&gt;TODAY())),"",IF(EOMONTH(CS$4,0)&lt;=Settings!$B$5,N(Settings!$C$39),N(Calc!$AV$100))+Calc!$BB$101)</f>
        <v/>
      </c>
      <c r="CU41" s="31">
        <f>IF(OR(Settings!$A$39="",OR(EOMONTH(CU$4,0)&lt;=Settings!$B$5,CU$4&gt;TODAY())),"",IF(EOMONTH(CT$4,0)&lt;=Settings!$B$5,N(Settings!$C$39),N(Calc!$AV$101))+Calc!$BB$102)</f>
        <v/>
      </c>
      <c r="CV41" s="31">
        <f>IF(OR(Settings!$A$39="",OR(EOMONTH(CV$4,0)&lt;=Settings!$B$5,CV$4&gt;TODAY())),"",IF(EOMONTH(CU$4,0)&lt;=Settings!$B$5,N(Settings!$C$39),N(Calc!$AV$102))+Calc!$BB$103)</f>
        <v/>
      </c>
      <c r="CW41" s="31">
        <f>IF(OR(Settings!$A$39="",OR(EOMONTH(CW$4,0)&lt;=Settings!$B$5,CW$4&gt;TODAY())),"",IF(EOMONTH(CV$4,0)&lt;=Settings!$B$5,N(Settings!$C$39),N(Calc!$AV$103))+Calc!$BB$104)</f>
        <v/>
      </c>
      <c r="CX41" s="31">
        <f>IF(OR(Settings!$A$39="",OR(EOMONTH(CX$4,0)&lt;=Settings!$B$5,CX$4&gt;TODAY())),"",IF(EOMONTH(CW$4,0)&lt;=Settings!$B$5,N(Settings!$C$39),N(Calc!$AV$104))+Calc!$BB$105)</f>
        <v/>
      </c>
      <c r="CY41" s="31">
        <f>IF(OR(Settings!$A$39="",OR(EOMONTH(CY$4,0)&lt;=Settings!$B$5,CY$4&gt;TODAY())),"",IF(EOMONTH(CX$4,0)&lt;=Settings!$B$5,N(Settings!$C$39),N(Calc!$AV$105))+Calc!$BB$106)</f>
        <v/>
      </c>
      <c r="CZ41" s="31">
        <f>IF(OR(Settings!$A$39="",OR(EOMONTH(CZ$4,0)&lt;=Settings!$B$5,CZ$4&gt;TODAY())),"",IF(EOMONTH(CY$4,0)&lt;=Settings!$B$5,N(Settings!$C$39),N(Calc!$AV$106))+Calc!$BB$107)</f>
        <v/>
      </c>
      <c r="DA41" s="31">
        <f>IF(OR(Settings!$A$39="",OR(EOMONTH(DA$4,0)&lt;=Settings!$B$5,DA$4&gt;TODAY())),"",IF(EOMONTH(CZ$4,0)&lt;=Settings!$B$5,N(Settings!$C$39),N(Calc!$AV$107))+Calc!$BB$108)</f>
        <v/>
      </c>
      <c r="DB41" s="31">
        <f>IF(OR(Settings!$A$39="",OR(EOMONTH(DB$4,0)&lt;=Settings!$B$5,DB$4&gt;TODAY())),"",IF(EOMONTH(DA$4,0)&lt;=Settings!$B$5,N(Settings!$C$39),N(Calc!$AV$108))+Calc!$BB$109)</f>
        <v/>
      </c>
      <c r="DC41" s="31">
        <f>IF(OR(Settings!$A$39="",OR(EOMONTH(DC$4,0)&lt;=Settings!$B$5,DC$4&gt;TODAY())),"",IF(EOMONTH(DB$4,0)&lt;=Settings!$B$5,N(Settings!$C$39),N(Calc!$AV$109))+Calc!$BB$110)</f>
        <v/>
      </c>
      <c r="DD41" s="31">
        <f>IF(OR(Settings!$A$39="",OR(EOMONTH(DD$4,0)&lt;=Settings!$B$5,DD$4&gt;TODAY())),"",IF(EOMONTH(DC$4,0)&lt;=Settings!$B$5,N(Settings!$C$39),N(Calc!$AV$110))+Calc!$BB$111)</f>
        <v/>
      </c>
      <c r="DE41" s="31">
        <f>IF(OR(Settings!$A$39="",OR(EOMONTH(DE$4,0)&lt;=Settings!$B$5,DE$4&gt;TODAY())),"",IF(EOMONTH(DD$4,0)&lt;=Settings!$B$5,N(Settings!$C$39),N(Calc!$AV$111))+Calc!$BB$112)</f>
        <v/>
      </c>
      <c r="DF41" s="31">
        <f>IF(OR(Settings!$A$39="",OR(EOMONTH(DF$4,0)&lt;=Settings!$B$5,DF$4&gt;TODAY())),"",IF(EOMONTH(DE$4,0)&lt;=Settings!$B$5,N(Settings!$C$39),N(Calc!$AV$112))+Calc!$BB$113)</f>
        <v/>
      </c>
      <c r="DG41" s="31">
        <f>IF(OR(Settings!$A$39="",OR(EOMONTH(DG$4,0)&lt;=Settings!$B$5,DG$4&gt;TODAY())),"",IF(EOMONTH(DF$4,0)&lt;=Settings!$B$5,N(Settings!$C$39),N(Calc!$AV$113))+Calc!$BB$114)</f>
        <v/>
      </c>
      <c r="DH41" s="31">
        <f>IF(OR(Settings!$A$39="",OR(EOMONTH(DH$4,0)&lt;=Settings!$B$5,DH$4&gt;TODAY())),"",IF(EOMONTH(DG$4,0)&lt;=Settings!$B$5,N(Settings!$C$39),N(Calc!$AV$114))+Calc!$BB$115)</f>
        <v/>
      </c>
      <c r="DI41" s="31">
        <f>IF(OR(Settings!$A$39="",OR(EOMONTH(DI$4,0)&lt;=Settings!$B$5,DI$4&gt;TODAY())),"",IF(EOMONTH(DH$4,0)&lt;=Settings!$B$5,N(Settings!$C$39),N(Calc!$AV$115))+Calc!$BB$116)</f>
        <v/>
      </c>
      <c r="DJ41" s="31">
        <f>IF(OR(Settings!$A$39="",OR(EOMONTH(DJ$4,0)&lt;=Settings!$B$5,DJ$4&gt;TODAY())),"",IF(EOMONTH(DI$4,0)&lt;=Settings!$B$5,N(Settings!$C$39),N(Calc!$AV$116))+Calc!$BB$117)</f>
        <v/>
      </c>
      <c r="DK41" s="31">
        <f>IF(OR(Settings!$A$39="",OR(EOMONTH(DK$4,0)&lt;=Settings!$B$5,DK$4&gt;TODAY())),"",IF(EOMONTH(DJ$4,0)&lt;=Settings!$B$5,N(Settings!$C$39),N(Calc!$AV$117))+Calc!$BB$118)</f>
        <v/>
      </c>
      <c r="DL41" s="31">
        <f>IF(OR(Settings!$A$39="",OR(EOMONTH(DL$4,0)&lt;=Settings!$B$5,DL$4&gt;TODAY())),"",IF(EOMONTH(DK$4,0)&lt;=Settings!$B$5,N(Settings!$C$39),N(Calc!$AV$118))+Calc!$BB$119)</f>
        <v/>
      </c>
      <c r="DM41" s="31">
        <f>IF(OR(Settings!$A$39="",OR(EOMONTH(DM$4,0)&lt;=Settings!$B$5,DM$4&gt;TODAY())),"",IF(EOMONTH(DL$4,0)&lt;=Settings!$B$5,N(Settings!$C$39),N(Calc!$AV$119))+Calc!$BB$120)</f>
        <v/>
      </c>
      <c r="DN41" s="31">
        <f>IF(OR(Settings!$A$39="",OR(EOMONTH(DN$4,0)&lt;=Settings!$B$5,DN$4&gt;TODAY())),"",IF(EOMONTH(DM$4,0)&lt;=Settings!$B$5,N(Settings!$C$39),N(Calc!$AV$120))+Calc!$BB$121)</f>
        <v/>
      </c>
      <c r="DO41" s="31">
        <f>IF(OR(Settings!$A$39="",OR(EOMONTH(DO$4,0)&lt;=Settings!$B$5,DO$4&gt;TODAY())),"",IF(EOMONTH(DN$4,0)&lt;=Settings!$B$5,N(Settings!$C$39),N(Calc!$AV$121))+Calc!$BB$122)</f>
        <v/>
      </c>
      <c r="DP41" s="31">
        <f>IF(OR(Settings!$A$39="",OR(EOMONTH(DP$4,0)&lt;=Settings!$B$5,DP$4&gt;TODAY())),"",IF(EOMONTH(DO$4,0)&lt;=Settings!$B$5,N(Settings!$C$39),N(Calc!$AV$122))+Calc!$BB$123)</f>
        <v/>
      </c>
      <c r="DQ41" s="31">
        <f>IF(OR(Settings!$A$39="",OR(EOMONTH(DQ$4,0)&lt;=Settings!$B$5,DQ$4&gt;TODAY())),"",IF(EOMONTH(DP$4,0)&lt;=Settings!$B$5,N(Settings!$C$39),N(Calc!$AV$123))+Calc!$BB$124)</f>
        <v/>
      </c>
      <c r="DR41" s="31">
        <f>IF(OR(Settings!$A$39="",OR(EOMONTH(DR$4,0)&lt;=Settings!$B$5,DR$4&gt;TODAY())),"",IF(EOMONTH(DQ$4,0)&lt;=Settings!$B$5,N(Settings!$C$39),N(Calc!$AV$124))+Calc!$BB$125)</f>
        <v/>
      </c>
      <c r="DS41" s="31">
        <f>IF(OR(Settings!$A$39="",OR(EOMONTH(DS$4,0)&lt;=Settings!$B$5,DS$4&gt;TODAY())),"",IF(EOMONTH(DR$4,0)&lt;=Settings!$B$5,N(Settings!$C$39),N(Calc!$AV$125))+Calc!$BB$126)</f>
        <v/>
      </c>
      <c r="DT41" s="31">
        <f>IF(OR(Settings!$A$39="",OR(EOMONTH(DT$4,0)&lt;=Settings!$B$5,DT$4&gt;TODAY())),"",IF(EOMONTH(DS$4,0)&lt;=Settings!$B$5,N(Settings!$C$39),N(Calc!$AV$126))+Calc!$BB$127)</f>
        <v/>
      </c>
      <c r="DU41" s="31">
        <f>IF(OR(Settings!$A$39="",OR(EOMONTH(DU$4,0)&lt;=Settings!$B$5,DU$4&gt;TODAY())),"",IF(EOMONTH(DT$4,0)&lt;=Settings!$B$5,N(Settings!$C$39),N(Calc!$AV$127))+Calc!$BB$128)</f>
        <v/>
      </c>
      <c r="DV41" s="31">
        <f>IF(OR(Settings!$A$39="",OR(EOMONTH(DV$4,0)&lt;=Settings!$B$5,DV$4&gt;TODAY())),"",IF(EOMONTH(DU$4,0)&lt;=Settings!$B$5,N(Settings!$C$39),N(Calc!$AV$128))+Calc!$BB$129)</f>
        <v/>
      </c>
      <c r="DW41" s="31">
        <f>IF(OR(Settings!$A$39="",OR(EOMONTH(DW$4,0)&lt;=Settings!$B$5,DW$4&gt;TODAY())),"",IF(EOMONTH(DV$4,0)&lt;=Settings!$B$5,N(Settings!$C$39),N(Calc!$AV$129))+Calc!$BB$130)</f>
        <v/>
      </c>
      <c r="DX41" s="31">
        <f>IF(OR(Settings!$A$39="",OR(EOMONTH(DX$4,0)&lt;=Settings!$B$5,DX$4&gt;TODAY())),"",IF(EOMONTH(DW$4,0)&lt;=Settings!$B$5,N(Settings!$C$39),N(Calc!$AV$130))+Calc!$BB$131)</f>
        <v/>
      </c>
      <c r="DY41" s="31">
        <f>IF(OR(Settings!$A$39="",OR(EOMONTH(DY$4,0)&lt;=Settings!$B$5,DY$4&gt;TODAY())),"",IF(EOMONTH(DX$4,0)&lt;=Settings!$B$5,N(Settings!$C$39),N(Calc!$AV$131))+Calc!$BB$132)</f>
        <v/>
      </c>
      <c r="DZ41" s="31">
        <f>IF(OR(Settings!$A$39="",OR(EOMONTH(DZ$4,0)&lt;=Settings!$B$5,DZ$4&gt;TODAY())),"",IF(EOMONTH(DY$4,0)&lt;=Settings!$B$5,N(Settings!$C$39),N(Calc!$AV$132))+Calc!$BB$133)</f>
        <v/>
      </c>
      <c r="EA41" s="31">
        <f>IF(OR(Settings!$A$39="",OR(EOMONTH(EA$4,0)&lt;=Settings!$B$5,EA$4&gt;TODAY())),"",IF(EOMONTH(DZ$4,0)&lt;=Settings!$B$5,N(Settings!$C$39),N(Calc!$AV$133))+Calc!$BB$134)</f>
        <v/>
      </c>
      <c r="EB41" s="31">
        <f>IF(OR(Settings!$A$39="",OR(EOMONTH(EB$4,0)&lt;=Settings!$B$5,EB$4&gt;TODAY())),"",IF(EOMONTH(EA$4,0)&lt;=Settings!$B$5,N(Settings!$C$39),N(Calc!$AV$134))+Calc!$BB$135)</f>
        <v/>
      </c>
      <c r="EC41" s="31">
        <f>IF(OR(Settings!$A$39="",OR(EOMONTH(EC$4,0)&lt;=Settings!$B$5,EC$4&gt;TODAY())),"",IF(EOMONTH(EB$4,0)&lt;=Settings!$B$5,N(Settings!$C$39),N(Calc!$AV$135))+Calc!$BB$136)</f>
        <v/>
      </c>
      <c r="ED41" s="31">
        <f>IF(OR(Settings!$A$39="",OR(EOMONTH(ED$4,0)&lt;=Settings!$B$5,ED$4&gt;TODAY())),"",IF(EOMONTH(EC$4,0)&lt;=Settings!$B$5,N(Settings!$C$39),N(Calc!$AV$136))+Calc!$BB$137)</f>
        <v/>
      </c>
      <c r="EE41" s="31">
        <f>IF(OR(Settings!$A$39="",OR(EOMONTH(EE$4,0)&lt;=Settings!$B$5,EE$4&gt;TODAY())),"",IF(EOMONTH(ED$4,0)&lt;=Settings!$B$5,N(Settings!$C$39),N(Calc!$AV$137))+Calc!$BB$138)</f>
        <v/>
      </c>
      <c r="EF41" s="31">
        <f>IF(OR(Settings!$A$39="",OR(EOMONTH(EF$4,0)&lt;=Settings!$B$5,EF$4&gt;TODAY())),"",IF(EOMONTH(EE$4,0)&lt;=Settings!$B$5,N(Settings!$C$39),N(Calc!$AV$138))+Calc!$BB$139)</f>
        <v/>
      </c>
      <c r="EG41" s="31">
        <f>IF(OR(Settings!$A$39="",OR(EOMONTH(EG$4,0)&lt;=Settings!$B$5,EG$4&gt;TODAY())),"",IF(EOMONTH(EF$4,0)&lt;=Settings!$B$5,N(Settings!$C$39),N(Calc!$AV$139))+Calc!$BB$140)</f>
        <v/>
      </c>
      <c r="EH41" s="31">
        <f>IF(OR(Settings!$A$39="",OR(EOMONTH(EH$4,0)&lt;=Settings!$B$5,EH$4&gt;TODAY())),"",IF(EOMONTH(EG$4,0)&lt;=Settings!$B$5,N(Settings!$C$39),N(Calc!$AV$140))+Calc!$BB$141)</f>
        <v/>
      </c>
      <c r="EI41" s="31">
        <f>IF(OR(Settings!$A$39="",OR(EOMONTH(EI$4,0)&lt;=Settings!$B$5,EI$4&gt;TODAY())),"",IF(EOMONTH(EH$4,0)&lt;=Settings!$B$5,N(Settings!$C$39),N(Calc!$AV$141))+Calc!$BB$142)</f>
        <v/>
      </c>
      <c r="EJ41" s="31">
        <f>IF(OR(Settings!$A$39="",OR(EOMONTH(EJ$4,0)&lt;=Settings!$B$5,EJ$4&gt;TODAY())),"",IF(EOMONTH(EI$4,0)&lt;=Settings!$B$5,N(Settings!$C$39),N(Calc!$AV$142))+Calc!$BB$143)</f>
        <v/>
      </c>
      <c r="EK41" s="31">
        <f>IF(OR(Settings!$A$39="",OR(EOMONTH(EK$4,0)&lt;=Settings!$B$5,EK$4&gt;TODAY())),"",IF(EOMONTH(EJ$4,0)&lt;=Settings!$B$5,N(Settings!$C$39),N(Calc!$AV$143))+Calc!$BB$144)</f>
        <v/>
      </c>
      <c r="EL41" s="31">
        <f>IF(OR(Settings!$A$39="",OR(EOMONTH(EL$4,0)&lt;=Settings!$B$5,EL$4&gt;TODAY())),"",IF(EOMONTH(EK$4,0)&lt;=Settings!$B$5,N(Settings!$C$39),N(Calc!$AV$144))+Calc!$BB$145)</f>
        <v/>
      </c>
      <c r="EM41" s="31">
        <f>IF(OR(Settings!$A$39="",OR(EOMONTH(EM$4,0)&lt;=Settings!$B$5,EM$4&gt;TODAY())),"",IF(EOMONTH(EL$4,0)&lt;=Settings!$B$5,N(Settings!$C$39),N(Calc!$AV$145))+Calc!$BB$146)</f>
        <v/>
      </c>
      <c r="EN41" s="31">
        <f>IF(OR(Settings!$A$39="",OR(EOMONTH(EN$4,0)&lt;=Settings!$B$5,EN$4&gt;TODAY())),"",IF(EOMONTH(EM$4,0)&lt;=Settings!$B$5,N(Settings!$C$39),N(Calc!$AV$146))+Calc!$BB$147)</f>
        <v/>
      </c>
      <c r="EO41" s="31">
        <f>IF(OR(Settings!$A$39="",OR(EOMONTH(EO$4,0)&lt;=Settings!$B$5,EO$4&gt;TODAY())),"",IF(EOMONTH(EN$4,0)&lt;=Settings!$B$5,N(Settings!$C$39),N(Calc!$AV$147))+Calc!$BB$148)</f>
        <v/>
      </c>
      <c r="EP41" s="31">
        <f>IF(OR(Settings!$A$39="",OR(EOMONTH(EP$4,0)&lt;=Settings!$B$5,EP$4&gt;TODAY())),"",IF(EOMONTH(EO$4,0)&lt;=Settings!$B$5,N(Settings!$C$39),N(Calc!$AV$148))+Calc!$BB$149)</f>
        <v/>
      </c>
      <c r="EQ41" s="31">
        <f>IF(OR(Settings!$A$39="",OR(EOMONTH(EQ$4,0)&lt;=Settings!$B$5,EQ$4&gt;TODAY())),"",IF(EOMONTH(EP$4,0)&lt;=Settings!$B$5,N(Settings!$C$39),N(Calc!$AV$149))+Calc!$BB$150)</f>
        <v/>
      </c>
      <c r="ER41" s="31">
        <f>IF(OR(Settings!$A$39="",OR(EOMONTH(ER$4,0)&lt;=Settings!$B$5,ER$4&gt;TODAY())),"",IF(EOMONTH(EQ$4,0)&lt;=Settings!$B$5,N(Settings!$C$39),N(Calc!$AV$150))+Calc!$BB$151)</f>
        <v/>
      </c>
      <c r="ES41" s="31">
        <f>IF(OR(Settings!$A$39="",OR(EOMONTH(ES$4,0)&lt;=Settings!$B$5,ES$4&gt;TODAY())),"",IF(EOMONTH(ER$4,0)&lt;=Settings!$B$5,N(Settings!$C$39),N(Calc!$AV$151))+Calc!$BB$152)</f>
        <v/>
      </c>
      <c r="ET41" s="31">
        <f>IF(OR(Settings!$A$39="",OR(EOMONTH(ET$4,0)&lt;=Settings!$B$5,ET$4&gt;TODAY())),"",IF(EOMONTH(ES$4,0)&lt;=Settings!$B$5,N(Settings!$C$39),N(Calc!$AV$152))+Calc!$BB$153)</f>
        <v/>
      </c>
      <c r="EU41" s="31">
        <f>IF(OR(Settings!$A$39="",OR(EOMONTH(EU$4,0)&lt;=Settings!$B$5,EU$4&gt;TODAY())),"",IF(EOMONTH(ET$4,0)&lt;=Settings!$B$5,N(Settings!$C$39),N(Calc!$AV$153))+Calc!$BB$154)</f>
        <v/>
      </c>
      <c r="EV41" s="31">
        <f>IF(OR(Settings!$A$39="",OR(EOMONTH(EV$4,0)&lt;=Settings!$B$5,EV$4&gt;TODAY())),"",IF(EOMONTH(EU$4,0)&lt;=Settings!$B$5,N(Settings!$C$39),N(Calc!$AV$154))+Calc!$BB$155)</f>
        <v/>
      </c>
      <c r="EW41" s="31">
        <f>IF(OR(Settings!$A$39="",OR(EOMONTH(EW$4,0)&lt;=Settings!$B$5,EW$4&gt;TODAY())),"",IF(EOMONTH(EV$4,0)&lt;=Settings!$B$5,N(Settings!$C$39),N(Calc!$AV$155))+Calc!$BB$156)</f>
        <v/>
      </c>
      <c r="EX41" s="31">
        <f>IF(OR(Settings!$A$39="",OR(EOMONTH(EX$4,0)&lt;=Settings!$B$5,EX$4&gt;TODAY())),"",IF(EOMONTH(EW$4,0)&lt;=Settings!$B$5,N(Settings!$C$39),N(Calc!$AV$156))+Calc!$BB$157)</f>
        <v/>
      </c>
      <c r="EY41" s="31">
        <f>IF(OR(Settings!$A$39="",OR(EOMONTH(EY$4,0)&lt;=Settings!$B$5,EY$4&gt;TODAY())),"",IF(EOMONTH(EX$4,0)&lt;=Settings!$B$5,N(Settings!$C$39),N(Calc!$AV$157))+Calc!$BB$158)</f>
        <v/>
      </c>
      <c r="EZ41" s="31">
        <f>IF(OR(Settings!$A$39="",OR(EOMONTH(EZ$4,0)&lt;=Settings!$B$5,EZ$4&gt;TODAY())),"",IF(EOMONTH(EY$4,0)&lt;=Settings!$B$5,N(Settings!$C$39),N(Calc!$AV$158))+Calc!$BB$159)</f>
        <v/>
      </c>
      <c r="FA41" s="31">
        <f>IF(OR(Settings!$A$39="",OR(EOMONTH(FA$4,0)&lt;=Settings!$B$5,FA$4&gt;TODAY())),"",IF(EOMONTH(EZ$4,0)&lt;=Settings!$B$5,N(Settings!$C$39),N(Calc!$AV$159))+Calc!$BB$160)</f>
        <v/>
      </c>
      <c r="FB41" s="31">
        <f>IF(OR(Settings!$A$39="",OR(EOMONTH(FB$4,0)&lt;=Settings!$B$5,FB$4&gt;TODAY())),"",IF(EOMONTH(FA$4,0)&lt;=Settings!$B$5,N(Settings!$C$39),N(Calc!$AV$160))+Calc!$BB$161)</f>
        <v/>
      </c>
      <c r="FC41" s="31">
        <f>IF(OR(Settings!$A$39="",OR(EOMONTH(FC$4,0)&lt;=Settings!$B$5,FC$4&gt;TODAY())),"",IF(EOMONTH(FB$4,0)&lt;=Settings!$B$5,N(Settings!$C$39),N(Calc!$AV$161))+Calc!$BB$162)</f>
        <v/>
      </c>
      <c r="FD41" s="31">
        <f>IF(OR(Settings!$A$39="",OR(EOMONTH(FD$4,0)&lt;=Settings!$B$5,FD$4&gt;TODAY())),"",IF(EOMONTH(FC$4,0)&lt;=Settings!$B$5,N(Settings!$C$39),N(Calc!$AV$162))+Calc!$BB$163)</f>
        <v/>
      </c>
      <c r="FE41" s="31">
        <f>IF(OR(Settings!$A$39="",OR(EOMONTH(FE$4,0)&lt;=Settings!$B$5,FE$4&gt;TODAY())),"",IF(EOMONTH(FD$4,0)&lt;=Settings!$B$5,N(Settings!$C$39),N(Calc!$AV$163))+Calc!$BB$164)</f>
        <v/>
      </c>
      <c r="FF41" s="31">
        <f>IF(OR(Settings!$A$39="",OR(EOMONTH(FF$4,0)&lt;=Settings!$B$5,FF$4&gt;TODAY())),"",IF(EOMONTH(FE$4,0)&lt;=Settings!$B$5,N(Settings!$C$39),N(Calc!$AV$164))+Calc!$BB$165)</f>
        <v/>
      </c>
      <c r="FG41" s="31">
        <f>IF(OR(Settings!$A$39="",OR(EOMONTH(FG$4,0)&lt;=Settings!$B$5,FG$4&gt;TODAY())),"",IF(EOMONTH(FF$4,0)&lt;=Settings!$B$5,N(Settings!$C$39),N(Calc!$AV$165))+Calc!$BB$166)</f>
        <v/>
      </c>
      <c r="FH41" s="31">
        <f>IF(OR(Settings!$A$39="",OR(EOMONTH(FH$4,0)&lt;=Settings!$B$5,FH$4&gt;TODAY())),"",IF(EOMONTH(FG$4,0)&lt;=Settings!$B$5,N(Settings!$C$39),N(Calc!$AV$166))+Calc!$BB$167)</f>
        <v/>
      </c>
      <c r="FI41" s="31">
        <f>IF(OR(Settings!$A$39="",OR(EOMONTH(FI$4,0)&lt;=Settings!$B$5,FI$4&gt;TODAY())),"",IF(EOMONTH(FH$4,0)&lt;=Settings!$B$5,N(Settings!$C$39),N(Calc!$AV$167))+Calc!$BB$168)</f>
        <v/>
      </c>
      <c r="FJ41" s="31">
        <f>IF(OR(Settings!$A$39="",OR(EOMONTH(FJ$4,0)&lt;=Settings!$B$5,FJ$4&gt;TODAY())),"",IF(EOMONTH(FI$4,0)&lt;=Settings!$B$5,N(Settings!$C$39),N(Calc!$AV$168))+Calc!$BB$169)</f>
        <v/>
      </c>
      <c r="FK41" s="31">
        <f>IF(OR(Settings!$A$39="",OR(EOMONTH(FK$4,0)&lt;=Settings!$B$5,FK$4&gt;TODAY())),"",IF(EOMONTH(FJ$4,0)&lt;=Settings!$B$5,N(Settings!$C$39),N(Calc!$AV$169))+Calc!$BB$170)</f>
        <v/>
      </c>
      <c r="FL41" s="31">
        <f>IF(OR(Settings!$A$39="",OR(EOMONTH(FL$4,0)&lt;=Settings!$B$5,FL$4&gt;TODAY())),"",IF(EOMONTH(FK$4,0)&lt;=Settings!$B$5,N(Settings!$C$39),N(Calc!$AV$170))+Calc!$BB$171)</f>
        <v/>
      </c>
      <c r="FM41" s="31">
        <f>IF(OR(Settings!$A$39="",OR(EOMONTH(FM$4,0)&lt;=Settings!$B$5,FM$4&gt;TODAY())),"",IF(EOMONTH(FL$4,0)&lt;=Settings!$B$5,N(Settings!$C$39),N(Calc!$AV$171))+Calc!$BB$172)</f>
        <v/>
      </c>
      <c r="FN41" s="31">
        <f>IF(OR(Settings!$A$39="",OR(EOMONTH(FN$4,0)&lt;=Settings!$B$5,FN$4&gt;TODAY())),"",IF(EOMONTH(FM$4,0)&lt;=Settings!$B$5,N(Settings!$C$39),N(Calc!$AV$172))+Calc!$BB$173)</f>
        <v/>
      </c>
      <c r="FO41" s="31">
        <f>IF(OR(Settings!$A$39="",OR(EOMONTH(FO$4,0)&lt;=Settings!$B$5,FO$4&gt;TODAY())),"",IF(EOMONTH(FN$4,0)&lt;=Settings!$B$5,N(Settings!$C$39),N(Calc!$AV$173))+Calc!$BB$174)</f>
        <v/>
      </c>
      <c r="FP41" s="31">
        <f>IF(OR(Settings!$A$39="",OR(EOMONTH(FP$4,0)&lt;=Settings!$B$5,FP$4&gt;TODAY())),"",IF(EOMONTH(FO$4,0)&lt;=Settings!$B$5,N(Settings!$C$39),N(Calc!$AV$174))+Calc!$BB$175)</f>
        <v/>
      </c>
      <c r="FQ41" s="31">
        <f>IF(OR(Settings!$A$39="",OR(EOMONTH(FQ$4,0)&lt;=Settings!$B$5,FQ$4&gt;TODAY())),"",IF(EOMONTH(FP$4,0)&lt;=Settings!$B$5,N(Settings!$C$39),N(Calc!$AV$175))+Calc!$BB$176)</f>
        <v/>
      </c>
      <c r="FR41" s="31">
        <f>IF(OR(Settings!$A$39="",OR(EOMONTH(FR$4,0)&lt;=Settings!$B$5,FR$4&gt;TODAY())),"",IF(EOMONTH(FQ$4,0)&lt;=Settings!$B$5,N(Settings!$C$39),N(Calc!$AV$176))+Calc!$BB$177)</f>
        <v/>
      </c>
      <c r="FS41" s="31">
        <f>IF(OR(Settings!$A$39="",OR(EOMONTH(FS$4,0)&lt;=Settings!$B$5,FS$4&gt;TODAY())),"",IF(EOMONTH(FR$4,0)&lt;=Settings!$B$5,N(Settings!$C$39),N(Calc!$AV$177))+Calc!$BB$178)</f>
        <v/>
      </c>
      <c r="FT41" s="31">
        <f>IF(OR(Settings!$A$39="",OR(EOMONTH(FT$4,0)&lt;=Settings!$B$5,FT$4&gt;TODAY())),"",IF(EOMONTH(FS$4,0)&lt;=Settings!$B$5,N(Settings!$C$39),N(Calc!$AV$178))+Calc!$BB$179)</f>
        <v/>
      </c>
      <c r="FU41" s="31">
        <f>IF(OR(Settings!$A$39="",OR(EOMONTH(FU$4,0)&lt;=Settings!$B$5,FU$4&gt;TODAY())),"",IF(EOMONTH(FT$4,0)&lt;=Settings!$B$5,N(Settings!$C$39),N(Calc!$AV$179))+Calc!$BB$180)</f>
        <v/>
      </c>
      <c r="FV41" s="31">
        <f>IF(OR(Settings!$A$39="",OR(EOMONTH(FV$4,0)&lt;=Settings!$B$5,FV$4&gt;TODAY())),"",IF(EOMONTH(FU$4,0)&lt;=Settings!$B$5,N(Settings!$C$39),N(Calc!$AV$180))+Calc!$BB$181)</f>
        <v/>
      </c>
      <c r="FW41" s="31">
        <f>IF(OR(Settings!$A$39="",OR(EOMONTH(FW$4,0)&lt;=Settings!$B$5,FW$4&gt;TODAY())),"",IF(EOMONTH(FV$4,0)&lt;=Settings!$B$5,N(Settings!$C$39),N(Calc!$AV$181))+Calc!$BB$182)</f>
        <v/>
      </c>
      <c r="FX41" s="31">
        <f>IF(OR(Settings!$A$39="",OR(EOMONTH(FX$4,0)&lt;=Settings!$B$5,FX$4&gt;TODAY())),"",IF(EOMONTH(FW$4,0)&lt;=Settings!$B$5,N(Settings!$C$39),N(Calc!$AV$182))+Calc!$BB$183)</f>
        <v/>
      </c>
    </row>
    <row r="42">
      <c r="A42" s="15">
        <f>IF(Settings!$A$40="","(unused)",Settings!$A$40&amp;" — value")</f>
        <v/>
      </c>
      <c r="B42" s="26">
        <f>IF(Settings!$A$40="","","grey = last value + deposits")</f>
        <v/>
      </c>
      <c r="C42" s="31">
        <f>IF(OR(Settings!$A$40="",OR(EOMONTH(C$4,0)&lt;=Settings!$B$5,C$4&gt;TODAY())),"",N(Settings!$C$40)+Calc!$BC$6)</f>
        <v/>
      </c>
      <c r="D42" s="31">
        <f>IF(OR(Settings!$A$40="",OR(EOMONTH(D$4,0)&lt;=Settings!$B$5,D$4&gt;TODAY())),"",IF(EOMONTH(C$4,0)&lt;=Settings!$B$5,N(Settings!$C$40),N(Calc!$AW$6))+Calc!$BC$7)</f>
        <v/>
      </c>
      <c r="E42" s="31">
        <f>IF(OR(Settings!$A$40="",OR(EOMONTH(E$4,0)&lt;=Settings!$B$5,E$4&gt;TODAY())),"",IF(EOMONTH(D$4,0)&lt;=Settings!$B$5,N(Settings!$C$40),N(Calc!$AW$7))+Calc!$BC$8)</f>
        <v/>
      </c>
      <c r="F42" s="31">
        <f>IF(OR(Settings!$A$40="",OR(EOMONTH(F$4,0)&lt;=Settings!$B$5,F$4&gt;TODAY())),"",IF(EOMONTH(E$4,0)&lt;=Settings!$B$5,N(Settings!$C$40),N(Calc!$AW$8))+Calc!$BC$9)</f>
        <v/>
      </c>
      <c r="G42" s="31">
        <f>IF(OR(Settings!$A$40="",OR(EOMONTH(G$4,0)&lt;=Settings!$B$5,G$4&gt;TODAY())),"",IF(EOMONTH(F$4,0)&lt;=Settings!$B$5,N(Settings!$C$40),N(Calc!$AW$9))+Calc!$BC$10)</f>
        <v/>
      </c>
      <c r="H42" s="31">
        <f>IF(OR(Settings!$A$40="",OR(EOMONTH(H$4,0)&lt;=Settings!$B$5,H$4&gt;TODAY())),"",IF(EOMONTH(G$4,0)&lt;=Settings!$B$5,N(Settings!$C$40),N(Calc!$AW$10))+Calc!$BC$11)</f>
        <v/>
      </c>
      <c r="I42" s="31">
        <f>IF(OR(Settings!$A$40="",OR(EOMONTH(I$4,0)&lt;=Settings!$B$5,I$4&gt;TODAY())),"",IF(EOMONTH(H$4,0)&lt;=Settings!$B$5,N(Settings!$C$40),N(Calc!$AW$11))+Calc!$BC$12)</f>
        <v/>
      </c>
      <c r="J42" s="31">
        <f>IF(OR(Settings!$A$40="",OR(EOMONTH(J$4,0)&lt;=Settings!$B$5,J$4&gt;TODAY())),"",IF(EOMONTH(I$4,0)&lt;=Settings!$B$5,N(Settings!$C$40),N(Calc!$AW$12))+Calc!$BC$13)</f>
        <v/>
      </c>
      <c r="K42" s="31">
        <f>IF(OR(Settings!$A$40="",OR(EOMONTH(K$4,0)&lt;=Settings!$B$5,K$4&gt;TODAY())),"",IF(EOMONTH(J$4,0)&lt;=Settings!$B$5,N(Settings!$C$40),N(Calc!$AW$13))+Calc!$BC$14)</f>
        <v/>
      </c>
      <c r="L42" s="31">
        <f>IF(OR(Settings!$A$40="",OR(EOMONTH(L$4,0)&lt;=Settings!$B$5,L$4&gt;TODAY())),"",IF(EOMONTH(K$4,0)&lt;=Settings!$B$5,N(Settings!$C$40),N(Calc!$AW$14))+Calc!$BC$15)</f>
        <v/>
      </c>
      <c r="M42" s="31">
        <f>IF(OR(Settings!$A$40="",OR(EOMONTH(M$4,0)&lt;=Settings!$B$5,M$4&gt;TODAY())),"",IF(EOMONTH(L$4,0)&lt;=Settings!$B$5,N(Settings!$C$40),N(Calc!$AW$15))+Calc!$BC$16)</f>
        <v/>
      </c>
      <c r="N42" s="31">
        <f>IF(OR(Settings!$A$40="",OR(EOMONTH(N$4,0)&lt;=Settings!$B$5,N$4&gt;TODAY())),"",IF(EOMONTH(M$4,0)&lt;=Settings!$B$5,N(Settings!$C$40),N(Calc!$AW$16))+Calc!$BC$17)</f>
        <v/>
      </c>
      <c r="O42" s="31">
        <f>IF(OR(Settings!$A$40="",OR(EOMONTH(O$4,0)&lt;=Settings!$B$5,O$4&gt;TODAY())),"",IF(EOMONTH(N$4,0)&lt;=Settings!$B$5,N(Settings!$C$40),N(Calc!$AW$17))+Calc!$BC$18)</f>
        <v/>
      </c>
      <c r="P42" s="31">
        <f>IF(OR(Settings!$A$40="",OR(EOMONTH(P$4,0)&lt;=Settings!$B$5,P$4&gt;TODAY())),"",IF(EOMONTH(O$4,0)&lt;=Settings!$B$5,N(Settings!$C$40),N(Calc!$AW$18))+Calc!$BC$19)</f>
        <v/>
      </c>
      <c r="Q42" s="31">
        <f>IF(OR(Settings!$A$40="",OR(EOMONTH(Q$4,0)&lt;=Settings!$B$5,Q$4&gt;TODAY())),"",IF(EOMONTH(P$4,0)&lt;=Settings!$B$5,N(Settings!$C$40),N(Calc!$AW$19))+Calc!$BC$20)</f>
        <v/>
      </c>
      <c r="R42" s="31">
        <f>IF(OR(Settings!$A$40="",OR(EOMONTH(R$4,0)&lt;=Settings!$B$5,R$4&gt;TODAY())),"",IF(EOMONTH(Q$4,0)&lt;=Settings!$B$5,N(Settings!$C$40),N(Calc!$AW$20))+Calc!$BC$21)</f>
        <v/>
      </c>
      <c r="S42" s="31">
        <f>IF(OR(Settings!$A$40="",OR(EOMONTH(S$4,0)&lt;=Settings!$B$5,S$4&gt;TODAY())),"",IF(EOMONTH(R$4,0)&lt;=Settings!$B$5,N(Settings!$C$40),N(Calc!$AW$21))+Calc!$BC$22)</f>
        <v/>
      </c>
      <c r="T42" s="31">
        <f>IF(OR(Settings!$A$40="",OR(EOMONTH(T$4,0)&lt;=Settings!$B$5,T$4&gt;TODAY())),"",IF(EOMONTH(S$4,0)&lt;=Settings!$B$5,N(Settings!$C$40),N(Calc!$AW$22))+Calc!$BC$23)</f>
        <v/>
      </c>
      <c r="U42" s="31">
        <f>IF(OR(Settings!$A$40="",OR(EOMONTH(U$4,0)&lt;=Settings!$B$5,U$4&gt;TODAY())),"",IF(EOMONTH(T$4,0)&lt;=Settings!$B$5,N(Settings!$C$40),N(Calc!$AW$23))+Calc!$BC$24)</f>
        <v/>
      </c>
      <c r="V42" s="31">
        <f>IF(OR(Settings!$A$40="",OR(EOMONTH(V$4,0)&lt;=Settings!$B$5,V$4&gt;TODAY())),"",IF(EOMONTH(U$4,0)&lt;=Settings!$B$5,N(Settings!$C$40),N(Calc!$AW$24))+Calc!$BC$25)</f>
        <v/>
      </c>
      <c r="W42" s="31">
        <f>IF(OR(Settings!$A$40="",OR(EOMONTH(W$4,0)&lt;=Settings!$B$5,W$4&gt;TODAY())),"",IF(EOMONTH(V$4,0)&lt;=Settings!$B$5,N(Settings!$C$40),N(Calc!$AW$25))+Calc!$BC$26)</f>
        <v/>
      </c>
      <c r="X42" s="31">
        <f>IF(OR(Settings!$A$40="",OR(EOMONTH(X$4,0)&lt;=Settings!$B$5,X$4&gt;TODAY())),"",IF(EOMONTH(W$4,0)&lt;=Settings!$B$5,N(Settings!$C$40),N(Calc!$AW$26))+Calc!$BC$27)</f>
        <v/>
      </c>
      <c r="Y42" s="31">
        <f>IF(OR(Settings!$A$40="",OR(EOMONTH(Y$4,0)&lt;=Settings!$B$5,Y$4&gt;TODAY())),"",IF(EOMONTH(X$4,0)&lt;=Settings!$B$5,N(Settings!$C$40),N(Calc!$AW$27))+Calc!$BC$28)</f>
        <v/>
      </c>
      <c r="Z42" s="31">
        <f>IF(OR(Settings!$A$40="",OR(EOMONTH(Z$4,0)&lt;=Settings!$B$5,Z$4&gt;TODAY())),"",IF(EOMONTH(Y$4,0)&lt;=Settings!$B$5,N(Settings!$C$40),N(Calc!$AW$28))+Calc!$BC$29)</f>
        <v/>
      </c>
      <c r="AA42" s="31">
        <f>IF(OR(Settings!$A$40="",OR(EOMONTH(AA$4,0)&lt;=Settings!$B$5,AA$4&gt;TODAY())),"",IF(EOMONTH(Z$4,0)&lt;=Settings!$B$5,N(Settings!$C$40),N(Calc!$AW$29))+Calc!$BC$30)</f>
        <v/>
      </c>
      <c r="AB42" s="31">
        <f>IF(OR(Settings!$A$40="",OR(EOMONTH(AB$4,0)&lt;=Settings!$B$5,AB$4&gt;TODAY())),"",IF(EOMONTH(AA$4,0)&lt;=Settings!$B$5,N(Settings!$C$40),N(Calc!$AW$30))+Calc!$BC$31)</f>
        <v/>
      </c>
      <c r="AC42" s="31">
        <f>IF(OR(Settings!$A$40="",OR(EOMONTH(AC$4,0)&lt;=Settings!$B$5,AC$4&gt;TODAY())),"",IF(EOMONTH(AB$4,0)&lt;=Settings!$B$5,N(Settings!$C$40),N(Calc!$AW$31))+Calc!$BC$32)</f>
        <v/>
      </c>
      <c r="AD42" s="31">
        <f>IF(OR(Settings!$A$40="",OR(EOMONTH(AD$4,0)&lt;=Settings!$B$5,AD$4&gt;TODAY())),"",IF(EOMONTH(AC$4,0)&lt;=Settings!$B$5,N(Settings!$C$40),N(Calc!$AW$32))+Calc!$BC$33)</f>
        <v/>
      </c>
      <c r="AE42" s="31">
        <f>IF(OR(Settings!$A$40="",OR(EOMONTH(AE$4,0)&lt;=Settings!$B$5,AE$4&gt;TODAY())),"",IF(EOMONTH(AD$4,0)&lt;=Settings!$B$5,N(Settings!$C$40),N(Calc!$AW$33))+Calc!$BC$34)</f>
        <v/>
      </c>
      <c r="AF42" s="31">
        <f>IF(OR(Settings!$A$40="",OR(EOMONTH(AF$4,0)&lt;=Settings!$B$5,AF$4&gt;TODAY())),"",IF(EOMONTH(AE$4,0)&lt;=Settings!$B$5,N(Settings!$C$40),N(Calc!$AW$34))+Calc!$BC$35)</f>
        <v/>
      </c>
      <c r="AG42" s="31">
        <f>IF(OR(Settings!$A$40="",OR(EOMONTH(AG$4,0)&lt;=Settings!$B$5,AG$4&gt;TODAY())),"",IF(EOMONTH(AF$4,0)&lt;=Settings!$B$5,N(Settings!$C$40),N(Calc!$AW$35))+Calc!$BC$36)</f>
        <v/>
      </c>
      <c r="AH42" s="31">
        <f>IF(OR(Settings!$A$40="",OR(EOMONTH(AH$4,0)&lt;=Settings!$B$5,AH$4&gt;TODAY())),"",IF(EOMONTH(AG$4,0)&lt;=Settings!$B$5,N(Settings!$C$40),N(Calc!$AW$36))+Calc!$BC$37)</f>
        <v/>
      </c>
      <c r="AI42" s="31">
        <f>IF(OR(Settings!$A$40="",OR(EOMONTH(AI$4,0)&lt;=Settings!$B$5,AI$4&gt;TODAY())),"",IF(EOMONTH(AH$4,0)&lt;=Settings!$B$5,N(Settings!$C$40),N(Calc!$AW$37))+Calc!$BC$38)</f>
        <v/>
      </c>
      <c r="AJ42" s="31">
        <f>IF(OR(Settings!$A$40="",OR(EOMONTH(AJ$4,0)&lt;=Settings!$B$5,AJ$4&gt;TODAY())),"",IF(EOMONTH(AI$4,0)&lt;=Settings!$B$5,N(Settings!$C$40),N(Calc!$AW$38))+Calc!$BC$39)</f>
        <v/>
      </c>
      <c r="AK42" s="31">
        <f>IF(OR(Settings!$A$40="",OR(EOMONTH(AK$4,0)&lt;=Settings!$B$5,AK$4&gt;TODAY())),"",IF(EOMONTH(AJ$4,0)&lt;=Settings!$B$5,N(Settings!$C$40),N(Calc!$AW$39))+Calc!$BC$40)</f>
        <v/>
      </c>
      <c r="AL42" s="31">
        <f>IF(OR(Settings!$A$40="",OR(EOMONTH(AL$4,0)&lt;=Settings!$B$5,AL$4&gt;TODAY())),"",IF(EOMONTH(AK$4,0)&lt;=Settings!$B$5,N(Settings!$C$40),N(Calc!$AW$40))+Calc!$BC$41)</f>
        <v/>
      </c>
      <c r="AM42" s="31">
        <f>IF(OR(Settings!$A$40="",OR(EOMONTH(AM$4,0)&lt;=Settings!$B$5,AM$4&gt;TODAY())),"",IF(EOMONTH(AL$4,0)&lt;=Settings!$B$5,N(Settings!$C$40),N(Calc!$AW$41))+Calc!$BC$42)</f>
        <v/>
      </c>
      <c r="AN42" s="31">
        <f>IF(OR(Settings!$A$40="",OR(EOMONTH(AN$4,0)&lt;=Settings!$B$5,AN$4&gt;TODAY())),"",IF(EOMONTH(AM$4,0)&lt;=Settings!$B$5,N(Settings!$C$40),N(Calc!$AW$42))+Calc!$BC$43)</f>
        <v/>
      </c>
      <c r="AO42" s="31">
        <f>IF(OR(Settings!$A$40="",OR(EOMONTH(AO$4,0)&lt;=Settings!$B$5,AO$4&gt;TODAY())),"",IF(EOMONTH(AN$4,0)&lt;=Settings!$B$5,N(Settings!$C$40),N(Calc!$AW$43))+Calc!$BC$44)</f>
        <v/>
      </c>
      <c r="AP42" s="31">
        <f>IF(OR(Settings!$A$40="",OR(EOMONTH(AP$4,0)&lt;=Settings!$B$5,AP$4&gt;TODAY())),"",IF(EOMONTH(AO$4,0)&lt;=Settings!$B$5,N(Settings!$C$40),N(Calc!$AW$44))+Calc!$BC$45)</f>
        <v/>
      </c>
      <c r="AQ42" s="31">
        <f>IF(OR(Settings!$A$40="",OR(EOMONTH(AQ$4,0)&lt;=Settings!$B$5,AQ$4&gt;TODAY())),"",IF(EOMONTH(AP$4,0)&lt;=Settings!$B$5,N(Settings!$C$40),N(Calc!$AW$45))+Calc!$BC$46)</f>
        <v/>
      </c>
      <c r="AR42" s="31">
        <f>IF(OR(Settings!$A$40="",OR(EOMONTH(AR$4,0)&lt;=Settings!$B$5,AR$4&gt;TODAY())),"",IF(EOMONTH(AQ$4,0)&lt;=Settings!$B$5,N(Settings!$C$40),N(Calc!$AW$46))+Calc!$BC$47)</f>
        <v/>
      </c>
      <c r="AS42" s="31">
        <f>IF(OR(Settings!$A$40="",OR(EOMONTH(AS$4,0)&lt;=Settings!$B$5,AS$4&gt;TODAY())),"",IF(EOMONTH(AR$4,0)&lt;=Settings!$B$5,N(Settings!$C$40),N(Calc!$AW$47))+Calc!$BC$48)</f>
        <v/>
      </c>
      <c r="AT42" s="31">
        <f>IF(OR(Settings!$A$40="",OR(EOMONTH(AT$4,0)&lt;=Settings!$B$5,AT$4&gt;TODAY())),"",IF(EOMONTH(AS$4,0)&lt;=Settings!$B$5,N(Settings!$C$40),N(Calc!$AW$48))+Calc!$BC$49)</f>
        <v/>
      </c>
      <c r="AU42" s="31">
        <f>IF(OR(Settings!$A$40="",OR(EOMONTH(AU$4,0)&lt;=Settings!$B$5,AU$4&gt;TODAY())),"",IF(EOMONTH(AT$4,0)&lt;=Settings!$B$5,N(Settings!$C$40),N(Calc!$AW$49))+Calc!$BC$50)</f>
        <v/>
      </c>
      <c r="AV42" s="31">
        <f>IF(OR(Settings!$A$40="",OR(EOMONTH(AV$4,0)&lt;=Settings!$B$5,AV$4&gt;TODAY())),"",IF(EOMONTH(AU$4,0)&lt;=Settings!$B$5,N(Settings!$C$40),N(Calc!$AW$50))+Calc!$BC$51)</f>
        <v/>
      </c>
      <c r="AW42" s="31">
        <f>IF(OR(Settings!$A$40="",OR(EOMONTH(AW$4,0)&lt;=Settings!$B$5,AW$4&gt;TODAY())),"",IF(EOMONTH(AV$4,0)&lt;=Settings!$B$5,N(Settings!$C$40),N(Calc!$AW$51))+Calc!$BC$52)</f>
        <v/>
      </c>
      <c r="AX42" s="31">
        <f>IF(OR(Settings!$A$40="",OR(EOMONTH(AX$4,0)&lt;=Settings!$B$5,AX$4&gt;TODAY())),"",IF(EOMONTH(AW$4,0)&lt;=Settings!$B$5,N(Settings!$C$40),N(Calc!$AW$52))+Calc!$BC$53)</f>
        <v/>
      </c>
      <c r="AY42" s="31">
        <f>IF(OR(Settings!$A$40="",OR(EOMONTH(AY$4,0)&lt;=Settings!$B$5,AY$4&gt;TODAY())),"",IF(EOMONTH(AX$4,0)&lt;=Settings!$B$5,N(Settings!$C$40),N(Calc!$AW$53))+Calc!$BC$54)</f>
        <v/>
      </c>
      <c r="AZ42" s="31">
        <f>IF(OR(Settings!$A$40="",OR(EOMONTH(AZ$4,0)&lt;=Settings!$B$5,AZ$4&gt;TODAY())),"",IF(EOMONTH(AY$4,0)&lt;=Settings!$B$5,N(Settings!$C$40),N(Calc!$AW$54))+Calc!$BC$55)</f>
        <v/>
      </c>
      <c r="BA42" s="31">
        <f>IF(OR(Settings!$A$40="",OR(EOMONTH(BA$4,0)&lt;=Settings!$B$5,BA$4&gt;TODAY())),"",IF(EOMONTH(AZ$4,0)&lt;=Settings!$B$5,N(Settings!$C$40),N(Calc!$AW$55))+Calc!$BC$56)</f>
        <v/>
      </c>
      <c r="BB42" s="31">
        <f>IF(OR(Settings!$A$40="",OR(EOMONTH(BB$4,0)&lt;=Settings!$B$5,BB$4&gt;TODAY())),"",IF(EOMONTH(BA$4,0)&lt;=Settings!$B$5,N(Settings!$C$40),N(Calc!$AW$56))+Calc!$BC$57)</f>
        <v/>
      </c>
      <c r="BC42" s="31">
        <f>IF(OR(Settings!$A$40="",OR(EOMONTH(BC$4,0)&lt;=Settings!$B$5,BC$4&gt;TODAY())),"",IF(EOMONTH(BB$4,0)&lt;=Settings!$B$5,N(Settings!$C$40),N(Calc!$AW$57))+Calc!$BC$58)</f>
        <v/>
      </c>
      <c r="BD42" s="31">
        <f>IF(OR(Settings!$A$40="",OR(EOMONTH(BD$4,0)&lt;=Settings!$B$5,BD$4&gt;TODAY())),"",IF(EOMONTH(BC$4,0)&lt;=Settings!$B$5,N(Settings!$C$40),N(Calc!$AW$58))+Calc!$BC$59)</f>
        <v/>
      </c>
      <c r="BE42" s="31">
        <f>IF(OR(Settings!$A$40="",OR(EOMONTH(BE$4,0)&lt;=Settings!$B$5,BE$4&gt;TODAY())),"",IF(EOMONTH(BD$4,0)&lt;=Settings!$B$5,N(Settings!$C$40),N(Calc!$AW$59))+Calc!$BC$60)</f>
        <v/>
      </c>
      <c r="BF42" s="31">
        <f>IF(OR(Settings!$A$40="",OR(EOMONTH(BF$4,0)&lt;=Settings!$B$5,BF$4&gt;TODAY())),"",IF(EOMONTH(BE$4,0)&lt;=Settings!$B$5,N(Settings!$C$40),N(Calc!$AW$60))+Calc!$BC$61)</f>
        <v/>
      </c>
      <c r="BG42" s="31">
        <f>IF(OR(Settings!$A$40="",OR(EOMONTH(BG$4,0)&lt;=Settings!$B$5,BG$4&gt;TODAY())),"",IF(EOMONTH(BF$4,0)&lt;=Settings!$B$5,N(Settings!$C$40),N(Calc!$AW$61))+Calc!$BC$62)</f>
        <v/>
      </c>
      <c r="BH42" s="31">
        <f>IF(OR(Settings!$A$40="",OR(EOMONTH(BH$4,0)&lt;=Settings!$B$5,BH$4&gt;TODAY())),"",IF(EOMONTH(BG$4,0)&lt;=Settings!$B$5,N(Settings!$C$40),N(Calc!$AW$62))+Calc!$BC$63)</f>
        <v/>
      </c>
      <c r="BI42" s="31">
        <f>IF(OR(Settings!$A$40="",OR(EOMONTH(BI$4,0)&lt;=Settings!$B$5,BI$4&gt;TODAY())),"",IF(EOMONTH(BH$4,0)&lt;=Settings!$B$5,N(Settings!$C$40),N(Calc!$AW$63))+Calc!$BC$64)</f>
        <v/>
      </c>
      <c r="BJ42" s="31">
        <f>IF(OR(Settings!$A$40="",OR(EOMONTH(BJ$4,0)&lt;=Settings!$B$5,BJ$4&gt;TODAY())),"",IF(EOMONTH(BI$4,0)&lt;=Settings!$B$5,N(Settings!$C$40),N(Calc!$AW$64))+Calc!$BC$65)</f>
        <v/>
      </c>
      <c r="BK42" s="31">
        <f>IF(OR(Settings!$A$40="",OR(EOMONTH(BK$4,0)&lt;=Settings!$B$5,BK$4&gt;TODAY())),"",IF(EOMONTH(BJ$4,0)&lt;=Settings!$B$5,N(Settings!$C$40),N(Calc!$AW$65))+Calc!$BC$66)</f>
        <v/>
      </c>
      <c r="BL42" s="31">
        <f>IF(OR(Settings!$A$40="",OR(EOMONTH(BL$4,0)&lt;=Settings!$B$5,BL$4&gt;TODAY())),"",IF(EOMONTH(BK$4,0)&lt;=Settings!$B$5,N(Settings!$C$40),N(Calc!$AW$66))+Calc!$BC$67)</f>
        <v/>
      </c>
      <c r="BM42" s="31">
        <f>IF(OR(Settings!$A$40="",OR(EOMONTH(BM$4,0)&lt;=Settings!$B$5,BM$4&gt;TODAY())),"",IF(EOMONTH(BL$4,0)&lt;=Settings!$B$5,N(Settings!$C$40),N(Calc!$AW$67))+Calc!$BC$68)</f>
        <v/>
      </c>
      <c r="BN42" s="31">
        <f>IF(OR(Settings!$A$40="",OR(EOMONTH(BN$4,0)&lt;=Settings!$B$5,BN$4&gt;TODAY())),"",IF(EOMONTH(BM$4,0)&lt;=Settings!$B$5,N(Settings!$C$40),N(Calc!$AW$68))+Calc!$BC$69)</f>
        <v/>
      </c>
      <c r="BO42" s="31">
        <f>IF(OR(Settings!$A$40="",OR(EOMONTH(BO$4,0)&lt;=Settings!$B$5,BO$4&gt;TODAY())),"",IF(EOMONTH(BN$4,0)&lt;=Settings!$B$5,N(Settings!$C$40),N(Calc!$AW$69))+Calc!$BC$70)</f>
        <v/>
      </c>
      <c r="BP42" s="31">
        <f>IF(OR(Settings!$A$40="",OR(EOMONTH(BP$4,0)&lt;=Settings!$B$5,BP$4&gt;TODAY())),"",IF(EOMONTH(BO$4,0)&lt;=Settings!$B$5,N(Settings!$C$40),N(Calc!$AW$70))+Calc!$BC$71)</f>
        <v/>
      </c>
      <c r="BQ42" s="31">
        <f>IF(OR(Settings!$A$40="",OR(EOMONTH(BQ$4,0)&lt;=Settings!$B$5,BQ$4&gt;TODAY())),"",IF(EOMONTH(BP$4,0)&lt;=Settings!$B$5,N(Settings!$C$40),N(Calc!$AW$71))+Calc!$BC$72)</f>
        <v/>
      </c>
      <c r="BR42" s="31">
        <f>IF(OR(Settings!$A$40="",OR(EOMONTH(BR$4,0)&lt;=Settings!$B$5,BR$4&gt;TODAY())),"",IF(EOMONTH(BQ$4,0)&lt;=Settings!$B$5,N(Settings!$C$40),N(Calc!$AW$72))+Calc!$BC$73)</f>
        <v/>
      </c>
      <c r="BS42" s="31">
        <f>IF(OR(Settings!$A$40="",OR(EOMONTH(BS$4,0)&lt;=Settings!$B$5,BS$4&gt;TODAY())),"",IF(EOMONTH(BR$4,0)&lt;=Settings!$B$5,N(Settings!$C$40),N(Calc!$AW$73))+Calc!$BC$74)</f>
        <v/>
      </c>
      <c r="BT42" s="31">
        <f>IF(OR(Settings!$A$40="",OR(EOMONTH(BT$4,0)&lt;=Settings!$B$5,BT$4&gt;TODAY())),"",IF(EOMONTH(BS$4,0)&lt;=Settings!$B$5,N(Settings!$C$40),N(Calc!$AW$74))+Calc!$BC$75)</f>
        <v/>
      </c>
      <c r="BU42" s="31">
        <f>IF(OR(Settings!$A$40="",OR(EOMONTH(BU$4,0)&lt;=Settings!$B$5,BU$4&gt;TODAY())),"",IF(EOMONTH(BT$4,0)&lt;=Settings!$B$5,N(Settings!$C$40),N(Calc!$AW$75))+Calc!$BC$76)</f>
        <v/>
      </c>
      <c r="BV42" s="31">
        <f>IF(OR(Settings!$A$40="",OR(EOMONTH(BV$4,0)&lt;=Settings!$B$5,BV$4&gt;TODAY())),"",IF(EOMONTH(BU$4,0)&lt;=Settings!$B$5,N(Settings!$C$40),N(Calc!$AW$76))+Calc!$BC$77)</f>
        <v/>
      </c>
      <c r="BW42" s="31">
        <f>IF(OR(Settings!$A$40="",OR(EOMONTH(BW$4,0)&lt;=Settings!$B$5,BW$4&gt;TODAY())),"",IF(EOMONTH(BV$4,0)&lt;=Settings!$B$5,N(Settings!$C$40),N(Calc!$AW$77))+Calc!$BC$78)</f>
        <v/>
      </c>
      <c r="BX42" s="31">
        <f>IF(OR(Settings!$A$40="",OR(EOMONTH(BX$4,0)&lt;=Settings!$B$5,BX$4&gt;TODAY())),"",IF(EOMONTH(BW$4,0)&lt;=Settings!$B$5,N(Settings!$C$40),N(Calc!$AW$78))+Calc!$BC$79)</f>
        <v/>
      </c>
      <c r="BY42" s="31">
        <f>IF(OR(Settings!$A$40="",OR(EOMONTH(BY$4,0)&lt;=Settings!$B$5,BY$4&gt;TODAY())),"",IF(EOMONTH(BX$4,0)&lt;=Settings!$B$5,N(Settings!$C$40),N(Calc!$AW$79))+Calc!$BC$80)</f>
        <v/>
      </c>
      <c r="BZ42" s="31">
        <f>IF(OR(Settings!$A$40="",OR(EOMONTH(BZ$4,0)&lt;=Settings!$B$5,BZ$4&gt;TODAY())),"",IF(EOMONTH(BY$4,0)&lt;=Settings!$B$5,N(Settings!$C$40),N(Calc!$AW$80))+Calc!$BC$81)</f>
        <v/>
      </c>
      <c r="CA42" s="31">
        <f>IF(OR(Settings!$A$40="",OR(EOMONTH(CA$4,0)&lt;=Settings!$B$5,CA$4&gt;TODAY())),"",IF(EOMONTH(BZ$4,0)&lt;=Settings!$B$5,N(Settings!$C$40),N(Calc!$AW$81))+Calc!$BC$82)</f>
        <v/>
      </c>
      <c r="CB42" s="31">
        <f>IF(OR(Settings!$A$40="",OR(EOMONTH(CB$4,0)&lt;=Settings!$B$5,CB$4&gt;TODAY())),"",IF(EOMONTH(CA$4,0)&lt;=Settings!$B$5,N(Settings!$C$40),N(Calc!$AW$82))+Calc!$BC$83)</f>
        <v/>
      </c>
      <c r="CC42" s="31">
        <f>IF(OR(Settings!$A$40="",OR(EOMONTH(CC$4,0)&lt;=Settings!$B$5,CC$4&gt;TODAY())),"",IF(EOMONTH(CB$4,0)&lt;=Settings!$B$5,N(Settings!$C$40),N(Calc!$AW$83))+Calc!$BC$84)</f>
        <v/>
      </c>
      <c r="CD42" s="31">
        <f>IF(OR(Settings!$A$40="",OR(EOMONTH(CD$4,0)&lt;=Settings!$B$5,CD$4&gt;TODAY())),"",IF(EOMONTH(CC$4,0)&lt;=Settings!$B$5,N(Settings!$C$40),N(Calc!$AW$84))+Calc!$BC$85)</f>
        <v/>
      </c>
      <c r="CE42" s="31">
        <f>IF(OR(Settings!$A$40="",OR(EOMONTH(CE$4,0)&lt;=Settings!$B$5,CE$4&gt;TODAY())),"",IF(EOMONTH(CD$4,0)&lt;=Settings!$B$5,N(Settings!$C$40),N(Calc!$AW$85))+Calc!$BC$86)</f>
        <v/>
      </c>
      <c r="CF42" s="31">
        <f>IF(OR(Settings!$A$40="",OR(EOMONTH(CF$4,0)&lt;=Settings!$B$5,CF$4&gt;TODAY())),"",IF(EOMONTH(CE$4,0)&lt;=Settings!$B$5,N(Settings!$C$40),N(Calc!$AW$86))+Calc!$BC$87)</f>
        <v/>
      </c>
      <c r="CG42" s="31">
        <f>IF(OR(Settings!$A$40="",OR(EOMONTH(CG$4,0)&lt;=Settings!$B$5,CG$4&gt;TODAY())),"",IF(EOMONTH(CF$4,0)&lt;=Settings!$B$5,N(Settings!$C$40),N(Calc!$AW$87))+Calc!$BC$88)</f>
        <v/>
      </c>
      <c r="CH42" s="31">
        <f>IF(OR(Settings!$A$40="",OR(EOMONTH(CH$4,0)&lt;=Settings!$B$5,CH$4&gt;TODAY())),"",IF(EOMONTH(CG$4,0)&lt;=Settings!$B$5,N(Settings!$C$40),N(Calc!$AW$88))+Calc!$BC$89)</f>
        <v/>
      </c>
      <c r="CI42" s="31">
        <f>IF(OR(Settings!$A$40="",OR(EOMONTH(CI$4,0)&lt;=Settings!$B$5,CI$4&gt;TODAY())),"",IF(EOMONTH(CH$4,0)&lt;=Settings!$B$5,N(Settings!$C$40),N(Calc!$AW$89))+Calc!$BC$90)</f>
        <v/>
      </c>
      <c r="CJ42" s="31">
        <f>IF(OR(Settings!$A$40="",OR(EOMONTH(CJ$4,0)&lt;=Settings!$B$5,CJ$4&gt;TODAY())),"",IF(EOMONTH(CI$4,0)&lt;=Settings!$B$5,N(Settings!$C$40),N(Calc!$AW$90))+Calc!$BC$91)</f>
        <v/>
      </c>
      <c r="CK42" s="31">
        <f>IF(OR(Settings!$A$40="",OR(EOMONTH(CK$4,0)&lt;=Settings!$B$5,CK$4&gt;TODAY())),"",IF(EOMONTH(CJ$4,0)&lt;=Settings!$B$5,N(Settings!$C$40),N(Calc!$AW$91))+Calc!$BC$92)</f>
        <v/>
      </c>
      <c r="CL42" s="31">
        <f>IF(OR(Settings!$A$40="",OR(EOMONTH(CL$4,0)&lt;=Settings!$B$5,CL$4&gt;TODAY())),"",IF(EOMONTH(CK$4,0)&lt;=Settings!$B$5,N(Settings!$C$40),N(Calc!$AW$92))+Calc!$BC$93)</f>
        <v/>
      </c>
      <c r="CM42" s="31">
        <f>IF(OR(Settings!$A$40="",OR(EOMONTH(CM$4,0)&lt;=Settings!$B$5,CM$4&gt;TODAY())),"",IF(EOMONTH(CL$4,0)&lt;=Settings!$B$5,N(Settings!$C$40),N(Calc!$AW$93))+Calc!$BC$94)</f>
        <v/>
      </c>
      <c r="CN42" s="31">
        <f>IF(OR(Settings!$A$40="",OR(EOMONTH(CN$4,0)&lt;=Settings!$B$5,CN$4&gt;TODAY())),"",IF(EOMONTH(CM$4,0)&lt;=Settings!$B$5,N(Settings!$C$40),N(Calc!$AW$94))+Calc!$BC$95)</f>
        <v/>
      </c>
      <c r="CO42" s="31">
        <f>IF(OR(Settings!$A$40="",OR(EOMONTH(CO$4,0)&lt;=Settings!$B$5,CO$4&gt;TODAY())),"",IF(EOMONTH(CN$4,0)&lt;=Settings!$B$5,N(Settings!$C$40),N(Calc!$AW$95))+Calc!$BC$96)</f>
        <v/>
      </c>
      <c r="CP42" s="31">
        <f>IF(OR(Settings!$A$40="",OR(EOMONTH(CP$4,0)&lt;=Settings!$B$5,CP$4&gt;TODAY())),"",IF(EOMONTH(CO$4,0)&lt;=Settings!$B$5,N(Settings!$C$40),N(Calc!$AW$96))+Calc!$BC$97)</f>
        <v/>
      </c>
      <c r="CQ42" s="31">
        <f>IF(OR(Settings!$A$40="",OR(EOMONTH(CQ$4,0)&lt;=Settings!$B$5,CQ$4&gt;TODAY())),"",IF(EOMONTH(CP$4,0)&lt;=Settings!$B$5,N(Settings!$C$40),N(Calc!$AW$97))+Calc!$BC$98)</f>
        <v/>
      </c>
      <c r="CR42" s="31">
        <f>IF(OR(Settings!$A$40="",OR(EOMONTH(CR$4,0)&lt;=Settings!$B$5,CR$4&gt;TODAY())),"",IF(EOMONTH(CQ$4,0)&lt;=Settings!$B$5,N(Settings!$C$40),N(Calc!$AW$98))+Calc!$BC$99)</f>
        <v/>
      </c>
      <c r="CS42" s="31">
        <f>IF(OR(Settings!$A$40="",OR(EOMONTH(CS$4,0)&lt;=Settings!$B$5,CS$4&gt;TODAY())),"",IF(EOMONTH(CR$4,0)&lt;=Settings!$B$5,N(Settings!$C$40),N(Calc!$AW$99))+Calc!$BC$100)</f>
        <v/>
      </c>
      <c r="CT42" s="31">
        <f>IF(OR(Settings!$A$40="",OR(EOMONTH(CT$4,0)&lt;=Settings!$B$5,CT$4&gt;TODAY())),"",IF(EOMONTH(CS$4,0)&lt;=Settings!$B$5,N(Settings!$C$40),N(Calc!$AW$100))+Calc!$BC$101)</f>
        <v/>
      </c>
      <c r="CU42" s="31">
        <f>IF(OR(Settings!$A$40="",OR(EOMONTH(CU$4,0)&lt;=Settings!$B$5,CU$4&gt;TODAY())),"",IF(EOMONTH(CT$4,0)&lt;=Settings!$B$5,N(Settings!$C$40),N(Calc!$AW$101))+Calc!$BC$102)</f>
        <v/>
      </c>
      <c r="CV42" s="31">
        <f>IF(OR(Settings!$A$40="",OR(EOMONTH(CV$4,0)&lt;=Settings!$B$5,CV$4&gt;TODAY())),"",IF(EOMONTH(CU$4,0)&lt;=Settings!$B$5,N(Settings!$C$40),N(Calc!$AW$102))+Calc!$BC$103)</f>
        <v/>
      </c>
      <c r="CW42" s="31">
        <f>IF(OR(Settings!$A$40="",OR(EOMONTH(CW$4,0)&lt;=Settings!$B$5,CW$4&gt;TODAY())),"",IF(EOMONTH(CV$4,0)&lt;=Settings!$B$5,N(Settings!$C$40),N(Calc!$AW$103))+Calc!$BC$104)</f>
        <v/>
      </c>
      <c r="CX42" s="31">
        <f>IF(OR(Settings!$A$40="",OR(EOMONTH(CX$4,0)&lt;=Settings!$B$5,CX$4&gt;TODAY())),"",IF(EOMONTH(CW$4,0)&lt;=Settings!$B$5,N(Settings!$C$40),N(Calc!$AW$104))+Calc!$BC$105)</f>
        <v/>
      </c>
      <c r="CY42" s="31">
        <f>IF(OR(Settings!$A$40="",OR(EOMONTH(CY$4,0)&lt;=Settings!$B$5,CY$4&gt;TODAY())),"",IF(EOMONTH(CX$4,0)&lt;=Settings!$B$5,N(Settings!$C$40),N(Calc!$AW$105))+Calc!$BC$106)</f>
        <v/>
      </c>
      <c r="CZ42" s="31">
        <f>IF(OR(Settings!$A$40="",OR(EOMONTH(CZ$4,0)&lt;=Settings!$B$5,CZ$4&gt;TODAY())),"",IF(EOMONTH(CY$4,0)&lt;=Settings!$B$5,N(Settings!$C$40),N(Calc!$AW$106))+Calc!$BC$107)</f>
        <v/>
      </c>
      <c r="DA42" s="31">
        <f>IF(OR(Settings!$A$40="",OR(EOMONTH(DA$4,0)&lt;=Settings!$B$5,DA$4&gt;TODAY())),"",IF(EOMONTH(CZ$4,0)&lt;=Settings!$B$5,N(Settings!$C$40),N(Calc!$AW$107))+Calc!$BC$108)</f>
        <v/>
      </c>
      <c r="DB42" s="31">
        <f>IF(OR(Settings!$A$40="",OR(EOMONTH(DB$4,0)&lt;=Settings!$B$5,DB$4&gt;TODAY())),"",IF(EOMONTH(DA$4,0)&lt;=Settings!$B$5,N(Settings!$C$40),N(Calc!$AW$108))+Calc!$BC$109)</f>
        <v/>
      </c>
      <c r="DC42" s="31">
        <f>IF(OR(Settings!$A$40="",OR(EOMONTH(DC$4,0)&lt;=Settings!$B$5,DC$4&gt;TODAY())),"",IF(EOMONTH(DB$4,0)&lt;=Settings!$B$5,N(Settings!$C$40),N(Calc!$AW$109))+Calc!$BC$110)</f>
        <v/>
      </c>
      <c r="DD42" s="31">
        <f>IF(OR(Settings!$A$40="",OR(EOMONTH(DD$4,0)&lt;=Settings!$B$5,DD$4&gt;TODAY())),"",IF(EOMONTH(DC$4,0)&lt;=Settings!$B$5,N(Settings!$C$40),N(Calc!$AW$110))+Calc!$BC$111)</f>
        <v/>
      </c>
      <c r="DE42" s="31">
        <f>IF(OR(Settings!$A$40="",OR(EOMONTH(DE$4,0)&lt;=Settings!$B$5,DE$4&gt;TODAY())),"",IF(EOMONTH(DD$4,0)&lt;=Settings!$B$5,N(Settings!$C$40),N(Calc!$AW$111))+Calc!$BC$112)</f>
        <v/>
      </c>
      <c r="DF42" s="31">
        <f>IF(OR(Settings!$A$40="",OR(EOMONTH(DF$4,0)&lt;=Settings!$B$5,DF$4&gt;TODAY())),"",IF(EOMONTH(DE$4,0)&lt;=Settings!$B$5,N(Settings!$C$40),N(Calc!$AW$112))+Calc!$BC$113)</f>
        <v/>
      </c>
      <c r="DG42" s="31">
        <f>IF(OR(Settings!$A$40="",OR(EOMONTH(DG$4,0)&lt;=Settings!$B$5,DG$4&gt;TODAY())),"",IF(EOMONTH(DF$4,0)&lt;=Settings!$B$5,N(Settings!$C$40),N(Calc!$AW$113))+Calc!$BC$114)</f>
        <v/>
      </c>
      <c r="DH42" s="31">
        <f>IF(OR(Settings!$A$40="",OR(EOMONTH(DH$4,0)&lt;=Settings!$B$5,DH$4&gt;TODAY())),"",IF(EOMONTH(DG$4,0)&lt;=Settings!$B$5,N(Settings!$C$40),N(Calc!$AW$114))+Calc!$BC$115)</f>
        <v/>
      </c>
      <c r="DI42" s="31">
        <f>IF(OR(Settings!$A$40="",OR(EOMONTH(DI$4,0)&lt;=Settings!$B$5,DI$4&gt;TODAY())),"",IF(EOMONTH(DH$4,0)&lt;=Settings!$B$5,N(Settings!$C$40),N(Calc!$AW$115))+Calc!$BC$116)</f>
        <v/>
      </c>
      <c r="DJ42" s="31">
        <f>IF(OR(Settings!$A$40="",OR(EOMONTH(DJ$4,0)&lt;=Settings!$B$5,DJ$4&gt;TODAY())),"",IF(EOMONTH(DI$4,0)&lt;=Settings!$B$5,N(Settings!$C$40),N(Calc!$AW$116))+Calc!$BC$117)</f>
        <v/>
      </c>
      <c r="DK42" s="31">
        <f>IF(OR(Settings!$A$40="",OR(EOMONTH(DK$4,0)&lt;=Settings!$B$5,DK$4&gt;TODAY())),"",IF(EOMONTH(DJ$4,0)&lt;=Settings!$B$5,N(Settings!$C$40),N(Calc!$AW$117))+Calc!$BC$118)</f>
        <v/>
      </c>
      <c r="DL42" s="31">
        <f>IF(OR(Settings!$A$40="",OR(EOMONTH(DL$4,0)&lt;=Settings!$B$5,DL$4&gt;TODAY())),"",IF(EOMONTH(DK$4,0)&lt;=Settings!$B$5,N(Settings!$C$40),N(Calc!$AW$118))+Calc!$BC$119)</f>
        <v/>
      </c>
      <c r="DM42" s="31">
        <f>IF(OR(Settings!$A$40="",OR(EOMONTH(DM$4,0)&lt;=Settings!$B$5,DM$4&gt;TODAY())),"",IF(EOMONTH(DL$4,0)&lt;=Settings!$B$5,N(Settings!$C$40),N(Calc!$AW$119))+Calc!$BC$120)</f>
        <v/>
      </c>
      <c r="DN42" s="31">
        <f>IF(OR(Settings!$A$40="",OR(EOMONTH(DN$4,0)&lt;=Settings!$B$5,DN$4&gt;TODAY())),"",IF(EOMONTH(DM$4,0)&lt;=Settings!$B$5,N(Settings!$C$40),N(Calc!$AW$120))+Calc!$BC$121)</f>
        <v/>
      </c>
      <c r="DO42" s="31">
        <f>IF(OR(Settings!$A$40="",OR(EOMONTH(DO$4,0)&lt;=Settings!$B$5,DO$4&gt;TODAY())),"",IF(EOMONTH(DN$4,0)&lt;=Settings!$B$5,N(Settings!$C$40),N(Calc!$AW$121))+Calc!$BC$122)</f>
        <v/>
      </c>
      <c r="DP42" s="31">
        <f>IF(OR(Settings!$A$40="",OR(EOMONTH(DP$4,0)&lt;=Settings!$B$5,DP$4&gt;TODAY())),"",IF(EOMONTH(DO$4,0)&lt;=Settings!$B$5,N(Settings!$C$40),N(Calc!$AW$122))+Calc!$BC$123)</f>
        <v/>
      </c>
      <c r="DQ42" s="31">
        <f>IF(OR(Settings!$A$40="",OR(EOMONTH(DQ$4,0)&lt;=Settings!$B$5,DQ$4&gt;TODAY())),"",IF(EOMONTH(DP$4,0)&lt;=Settings!$B$5,N(Settings!$C$40),N(Calc!$AW$123))+Calc!$BC$124)</f>
        <v/>
      </c>
      <c r="DR42" s="31">
        <f>IF(OR(Settings!$A$40="",OR(EOMONTH(DR$4,0)&lt;=Settings!$B$5,DR$4&gt;TODAY())),"",IF(EOMONTH(DQ$4,0)&lt;=Settings!$B$5,N(Settings!$C$40),N(Calc!$AW$124))+Calc!$BC$125)</f>
        <v/>
      </c>
      <c r="DS42" s="31">
        <f>IF(OR(Settings!$A$40="",OR(EOMONTH(DS$4,0)&lt;=Settings!$B$5,DS$4&gt;TODAY())),"",IF(EOMONTH(DR$4,0)&lt;=Settings!$B$5,N(Settings!$C$40),N(Calc!$AW$125))+Calc!$BC$126)</f>
        <v/>
      </c>
      <c r="DT42" s="31">
        <f>IF(OR(Settings!$A$40="",OR(EOMONTH(DT$4,0)&lt;=Settings!$B$5,DT$4&gt;TODAY())),"",IF(EOMONTH(DS$4,0)&lt;=Settings!$B$5,N(Settings!$C$40),N(Calc!$AW$126))+Calc!$BC$127)</f>
        <v/>
      </c>
      <c r="DU42" s="31">
        <f>IF(OR(Settings!$A$40="",OR(EOMONTH(DU$4,0)&lt;=Settings!$B$5,DU$4&gt;TODAY())),"",IF(EOMONTH(DT$4,0)&lt;=Settings!$B$5,N(Settings!$C$40),N(Calc!$AW$127))+Calc!$BC$128)</f>
        <v/>
      </c>
      <c r="DV42" s="31">
        <f>IF(OR(Settings!$A$40="",OR(EOMONTH(DV$4,0)&lt;=Settings!$B$5,DV$4&gt;TODAY())),"",IF(EOMONTH(DU$4,0)&lt;=Settings!$B$5,N(Settings!$C$40),N(Calc!$AW$128))+Calc!$BC$129)</f>
        <v/>
      </c>
      <c r="DW42" s="31">
        <f>IF(OR(Settings!$A$40="",OR(EOMONTH(DW$4,0)&lt;=Settings!$B$5,DW$4&gt;TODAY())),"",IF(EOMONTH(DV$4,0)&lt;=Settings!$B$5,N(Settings!$C$40),N(Calc!$AW$129))+Calc!$BC$130)</f>
        <v/>
      </c>
      <c r="DX42" s="31">
        <f>IF(OR(Settings!$A$40="",OR(EOMONTH(DX$4,0)&lt;=Settings!$B$5,DX$4&gt;TODAY())),"",IF(EOMONTH(DW$4,0)&lt;=Settings!$B$5,N(Settings!$C$40),N(Calc!$AW$130))+Calc!$BC$131)</f>
        <v/>
      </c>
      <c r="DY42" s="31">
        <f>IF(OR(Settings!$A$40="",OR(EOMONTH(DY$4,0)&lt;=Settings!$B$5,DY$4&gt;TODAY())),"",IF(EOMONTH(DX$4,0)&lt;=Settings!$B$5,N(Settings!$C$40),N(Calc!$AW$131))+Calc!$BC$132)</f>
        <v/>
      </c>
      <c r="DZ42" s="31">
        <f>IF(OR(Settings!$A$40="",OR(EOMONTH(DZ$4,0)&lt;=Settings!$B$5,DZ$4&gt;TODAY())),"",IF(EOMONTH(DY$4,0)&lt;=Settings!$B$5,N(Settings!$C$40),N(Calc!$AW$132))+Calc!$BC$133)</f>
        <v/>
      </c>
      <c r="EA42" s="31">
        <f>IF(OR(Settings!$A$40="",OR(EOMONTH(EA$4,0)&lt;=Settings!$B$5,EA$4&gt;TODAY())),"",IF(EOMONTH(DZ$4,0)&lt;=Settings!$B$5,N(Settings!$C$40),N(Calc!$AW$133))+Calc!$BC$134)</f>
        <v/>
      </c>
      <c r="EB42" s="31">
        <f>IF(OR(Settings!$A$40="",OR(EOMONTH(EB$4,0)&lt;=Settings!$B$5,EB$4&gt;TODAY())),"",IF(EOMONTH(EA$4,0)&lt;=Settings!$B$5,N(Settings!$C$40),N(Calc!$AW$134))+Calc!$BC$135)</f>
        <v/>
      </c>
      <c r="EC42" s="31">
        <f>IF(OR(Settings!$A$40="",OR(EOMONTH(EC$4,0)&lt;=Settings!$B$5,EC$4&gt;TODAY())),"",IF(EOMONTH(EB$4,0)&lt;=Settings!$B$5,N(Settings!$C$40),N(Calc!$AW$135))+Calc!$BC$136)</f>
        <v/>
      </c>
      <c r="ED42" s="31">
        <f>IF(OR(Settings!$A$40="",OR(EOMONTH(ED$4,0)&lt;=Settings!$B$5,ED$4&gt;TODAY())),"",IF(EOMONTH(EC$4,0)&lt;=Settings!$B$5,N(Settings!$C$40),N(Calc!$AW$136))+Calc!$BC$137)</f>
        <v/>
      </c>
      <c r="EE42" s="31">
        <f>IF(OR(Settings!$A$40="",OR(EOMONTH(EE$4,0)&lt;=Settings!$B$5,EE$4&gt;TODAY())),"",IF(EOMONTH(ED$4,0)&lt;=Settings!$B$5,N(Settings!$C$40),N(Calc!$AW$137))+Calc!$BC$138)</f>
        <v/>
      </c>
      <c r="EF42" s="31">
        <f>IF(OR(Settings!$A$40="",OR(EOMONTH(EF$4,0)&lt;=Settings!$B$5,EF$4&gt;TODAY())),"",IF(EOMONTH(EE$4,0)&lt;=Settings!$B$5,N(Settings!$C$40),N(Calc!$AW$138))+Calc!$BC$139)</f>
        <v/>
      </c>
      <c r="EG42" s="31">
        <f>IF(OR(Settings!$A$40="",OR(EOMONTH(EG$4,0)&lt;=Settings!$B$5,EG$4&gt;TODAY())),"",IF(EOMONTH(EF$4,0)&lt;=Settings!$B$5,N(Settings!$C$40),N(Calc!$AW$139))+Calc!$BC$140)</f>
        <v/>
      </c>
      <c r="EH42" s="31">
        <f>IF(OR(Settings!$A$40="",OR(EOMONTH(EH$4,0)&lt;=Settings!$B$5,EH$4&gt;TODAY())),"",IF(EOMONTH(EG$4,0)&lt;=Settings!$B$5,N(Settings!$C$40),N(Calc!$AW$140))+Calc!$BC$141)</f>
        <v/>
      </c>
      <c r="EI42" s="31">
        <f>IF(OR(Settings!$A$40="",OR(EOMONTH(EI$4,0)&lt;=Settings!$B$5,EI$4&gt;TODAY())),"",IF(EOMONTH(EH$4,0)&lt;=Settings!$B$5,N(Settings!$C$40),N(Calc!$AW$141))+Calc!$BC$142)</f>
        <v/>
      </c>
      <c r="EJ42" s="31">
        <f>IF(OR(Settings!$A$40="",OR(EOMONTH(EJ$4,0)&lt;=Settings!$B$5,EJ$4&gt;TODAY())),"",IF(EOMONTH(EI$4,0)&lt;=Settings!$B$5,N(Settings!$C$40),N(Calc!$AW$142))+Calc!$BC$143)</f>
        <v/>
      </c>
      <c r="EK42" s="31">
        <f>IF(OR(Settings!$A$40="",OR(EOMONTH(EK$4,0)&lt;=Settings!$B$5,EK$4&gt;TODAY())),"",IF(EOMONTH(EJ$4,0)&lt;=Settings!$B$5,N(Settings!$C$40),N(Calc!$AW$143))+Calc!$BC$144)</f>
        <v/>
      </c>
      <c r="EL42" s="31">
        <f>IF(OR(Settings!$A$40="",OR(EOMONTH(EL$4,0)&lt;=Settings!$B$5,EL$4&gt;TODAY())),"",IF(EOMONTH(EK$4,0)&lt;=Settings!$B$5,N(Settings!$C$40),N(Calc!$AW$144))+Calc!$BC$145)</f>
        <v/>
      </c>
      <c r="EM42" s="31">
        <f>IF(OR(Settings!$A$40="",OR(EOMONTH(EM$4,0)&lt;=Settings!$B$5,EM$4&gt;TODAY())),"",IF(EOMONTH(EL$4,0)&lt;=Settings!$B$5,N(Settings!$C$40),N(Calc!$AW$145))+Calc!$BC$146)</f>
        <v/>
      </c>
      <c r="EN42" s="31">
        <f>IF(OR(Settings!$A$40="",OR(EOMONTH(EN$4,0)&lt;=Settings!$B$5,EN$4&gt;TODAY())),"",IF(EOMONTH(EM$4,0)&lt;=Settings!$B$5,N(Settings!$C$40),N(Calc!$AW$146))+Calc!$BC$147)</f>
        <v/>
      </c>
      <c r="EO42" s="31">
        <f>IF(OR(Settings!$A$40="",OR(EOMONTH(EO$4,0)&lt;=Settings!$B$5,EO$4&gt;TODAY())),"",IF(EOMONTH(EN$4,0)&lt;=Settings!$B$5,N(Settings!$C$40),N(Calc!$AW$147))+Calc!$BC$148)</f>
        <v/>
      </c>
      <c r="EP42" s="31">
        <f>IF(OR(Settings!$A$40="",OR(EOMONTH(EP$4,0)&lt;=Settings!$B$5,EP$4&gt;TODAY())),"",IF(EOMONTH(EO$4,0)&lt;=Settings!$B$5,N(Settings!$C$40),N(Calc!$AW$148))+Calc!$BC$149)</f>
        <v/>
      </c>
      <c r="EQ42" s="31">
        <f>IF(OR(Settings!$A$40="",OR(EOMONTH(EQ$4,0)&lt;=Settings!$B$5,EQ$4&gt;TODAY())),"",IF(EOMONTH(EP$4,0)&lt;=Settings!$B$5,N(Settings!$C$40),N(Calc!$AW$149))+Calc!$BC$150)</f>
        <v/>
      </c>
      <c r="ER42" s="31">
        <f>IF(OR(Settings!$A$40="",OR(EOMONTH(ER$4,0)&lt;=Settings!$B$5,ER$4&gt;TODAY())),"",IF(EOMONTH(EQ$4,0)&lt;=Settings!$B$5,N(Settings!$C$40),N(Calc!$AW$150))+Calc!$BC$151)</f>
        <v/>
      </c>
      <c r="ES42" s="31">
        <f>IF(OR(Settings!$A$40="",OR(EOMONTH(ES$4,0)&lt;=Settings!$B$5,ES$4&gt;TODAY())),"",IF(EOMONTH(ER$4,0)&lt;=Settings!$B$5,N(Settings!$C$40),N(Calc!$AW$151))+Calc!$BC$152)</f>
        <v/>
      </c>
      <c r="ET42" s="31">
        <f>IF(OR(Settings!$A$40="",OR(EOMONTH(ET$4,0)&lt;=Settings!$B$5,ET$4&gt;TODAY())),"",IF(EOMONTH(ES$4,0)&lt;=Settings!$B$5,N(Settings!$C$40),N(Calc!$AW$152))+Calc!$BC$153)</f>
        <v/>
      </c>
      <c r="EU42" s="31">
        <f>IF(OR(Settings!$A$40="",OR(EOMONTH(EU$4,0)&lt;=Settings!$B$5,EU$4&gt;TODAY())),"",IF(EOMONTH(ET$4,0)&lt;=Settings!$B$5,N(Settings!$C$40),N(Calc!$AW$153))+Calc!$BC$154)</f>
        <v/>
      </c>
      <c r="EV42" s="31">
        <f>IF(OR(Settings!$A$40="",OR(EOMONTH(EV$4,0)&lt;=Settings!$B$5,EV$4&gt;TODAY())),"",IF(EOMONTH(EU$4,0)&lt;=Settings!$B$5,N(Settings!$C$40),N(Calc!$AW$154))+Calc!$BC$155)</f>
        <v/>
      </c>
      <c r="EW42" s="31">
        <f>IF(OR(Settings!$A$40="",OR(EOMONTH(EW$4,0)&lt;=Settings!$B$5,EW$4&gt;TODAY())),"",IF(EOMONTH(EV$4,0)&lt;=Settings!$B$5,N(Settings!$C$40),N(Calc!$AW$155))+Calc!$BC$156)</f>
        <v/>
      </c>
      <c r="EX42" s="31">
        <f>IF(OR(Settings!$A$40="",OR(EOMONTH(EX$4,0)&lt;=Settings!$B$5,EX$4&gt;TODAY())),"",IF(EOMONTH(EW$4,0)&lt;=Settings!$B$5,N(Settings!$C$40),N(Calc!$AW$156))+Calc!$BC$157)</f>
        <v/>
      </c>
      <c r="EY42" s="31">
        <f>IF(OR(Settings!$A$40="",OR(EOMONTH(EY$4,0)&lt;=Settings!$B$5,EY$4&gt;TODAY())),"",IF(EOMONTH(EX$4,0)&lt;=Settings!$B$5,N(Settings!$C$40),N(Calc!$AW$157))+Calc!$BC$158)</f>
        <v/>
      </c>
      <c r="EZ42" s="31">
        <f>IF(OR(Settings!$A$40="",OR(EOMONTH(EZ$4,0)&lt;=Settings!$B$5,EZ$4&gt;TODAY())),"",IF(EOMONTH(EY$4,0)&lt;=Settings!$B$5,N(Settings!$C$40),N(Calc!$AW$158))+Calc!$BC$159)</f>
        <v/>
      </c>
      <c r="FA42" s="31">
        <f>IF(OR(Settings!$A$40="",OR(EOMONTH(FA$4,0)&lt;=Settings!$B$5,FA$4&gt;TODAY())),"",IF(EOMONTH(EZ$4,0)&lt;=Settings!$B$5,N(Settings!$C$40),N(Calc!$AW$159))+Calc!$BC$160)</f>
        <v/>
      </c>
      <c r="FB42" s="31">
        <f>IF(OR(Settings!$A$40="",OR(EOMONTH(FB$4,0)&lt;=Settings!$B$5,FB$4&gt;TODAY())),"",IF(EOMONTH(FA$4,0)&lt;=Settings!$B$5,N(Settings!$C$40),N(Calc!$AW$160))+Calc!$BC$161)</f>
        <v/>
      </c>
      <c r="FC42" s="31">
        <f>IF(OR(Settings!$A$40="",OR(EOMONTH(FC$4,0)&lt;=Settings!$B$5,FC$4&gt;TODAY())),"",IF(EOMONTH(FB$4,0)&lt;=Settings!$B$5,N(Settings!$C$40),N(Calc!$AW$161))+Calc!$BC$162)</f>
        <v/>
      </c>
      <c r="FD42" s="31">
        <f>IF(OR(Settings!$A$40="",OR(EOMONTH(FD$4,0)&lt;=Settings!$B$5,FD$4&gt;TODAY())),"",IF(EOMONTH(FC$4,0)&lt;=Settings!$B$5,N(Settings!$C$40),N(Calc!$AW$162))+Calc!$BC$163)</f>
        <v/>
      </c>
      <c r="FE42" s="31">
        <f>IF(OR(Settings!$A$40="",OR(EOMONTH(FE$4,0)&lt;=Settings!$B$5,FE$4&gt;TODAY())),"",IF(EOMONTH(FD$4,0)&lt;=Settings!$B$5,N(Settings!$C$40),N(Calc!$AW$163))+Calc!$BC$164)</f>
        <v/>
      </c>
      <c r="FF42" s="31">
        <f>IF(OR(Settings!$A$40="",OR(EOMONTH(FF$4,0)&lt;=Settings!$B$5,FF$4&gt;TODAY())),"",IF(EOMONTH(FE$4,0)&lt;=Settings!$B$5,N(Settings!$C$40),N(Calc!$AW$164))+Calc!$BC$165)</f>
        <v/>
      </c>
      <c r="FG42" s="31">
        <f>IF(OR(Settings!$A$40="",OR(EOMONTH(FG$4,0)&lt;=Settings!$B$5,FG$4&gt;TODAY())),"",IF(EOMONTH(FF$4,0)&lt;=Settings!$B$5,N(Settings!$C$40),N(Calc!$AW$165))+Calc!$BC$166)</f>
        <v/>
      </c>
      <c r="FH42" s="31">
        <f>IF(OR(Settings!$A$40="",OR(EOMONTH(FH$4,0)&lt;=Settings!$B$5,FH$4&gt;TODAY())),"",IF(EOMONTH(FG$4,0)&lt;=Settings!$B$5,N(Settings!$C$40),N(Calc!$AW$166))+Calc!$BC$167)</f>
        <v/>
      </c>
      <c r="FI42" s="31">
        <f>IF(OR(Settings!$A$40="",OR(EOMONTH(FI$4,0)&lt;=Settings!$B$5,FI$4&gt;TODAY())),"",IF(EOMONTH(FH$4,0)&lt;=Settings!$B$5,N(Settings!$C$40),N(Calc!$AW$167))+Calc!$BC$168)</f>
        <v/>
      </c>
      <c r="FJ42" s="31">
        <f>IF(OR(Settings!$A$40="",OR(EOMONTH(FJ$4,0)&lt;=Settings!$B$5,FJ$4&gt;TODAY())),"",IF(EOMONTH(FI$4,0)&lt;=Settings!$B$5,N(Settings!$C$40),N(Calc!$AW$168))+Calc!$BC$169)</f>
        <v/>
      </c>
      <c r="FK42" s="31">
        <f>IF(OR(Settings!$A$40="",OR(EOMONTH(FK$4,0)&lt;=Settings!$B$5,FK$4&gt;TODAY())),"",IF(EOMONTH(FJ$4,0)&lt;=Settings!$B$5,N(Settings!$C$40),N(Calc!$AW$169))+Calc!$BC$170)</f>
        <v/>
      </c>
      <c r="FL42" s="31">
        <f>IF(OR(Settings!$A$40="",OR(EOMONTH(FL$4,0)&lt;=Settings!$B$5,FL$4&gt;TODAY())),"",IF(EOMONTH(FK$4,0)&lt;=Settings!$B$5,N(Settings!$C$40),N(Calc!$AW$170))+Calc!$BC$171)</f>
        <v/>
      </c>
      <c r="FM42" s="31">
        <f>IF(OR(Settings!$A$40="",OR(EOMONTH(FM$4,0)&lt;=Settings!$B$5,FM$4&gt;TODAY())),"",IF(EOMONTH(FL$4,0)&lt;=Settings!$B$5,N(Settings!$C$40),N(Calc!$AW$171))+Calc!$BC$172)</f>
        <v/>
      </c>
      <c r="FN42" s="31">
        <f>IF(OR(Settings!$A$40="",OR(EOMONTH(FN$4,0)&lt;=Settings!$B$5,FN$4&gt;TODAY())),"",IF(EOMONTH(FM$4,0)&lt;=Settings!$B$5,N(Settings!$C$40),N(Calc!$AW$172))+Calc!$BC$173)</f>
        <v/>
      </c>
      <c r="FO42" s="31">
        <f>IF(OR(Settings!$A$40="",OR(EOMONTH(FO$4,0)&lt;=Settings!$B$5,FO$4&gt;TODAY())),"",IF(EOMONTH(FN$4,0)&lt;=Settings!$B$5,N(Settings!$C$40),N(Calc!$AW$173))+Calc!$BC$174)</f>
        <v/>
      </c>
      <c r="FP42" s="31">
        <f>IF(OR(Settings!$A$40="",OR(EOMONTH(FP$4,0)&lt;=Settings!$B$5,FP$4&gt;TODAY())),"",IF(EOMONTH(FO$4,0)&lt;=Settings!$B$5,N(Settings!$C$40),N(Calc!$AW$174))+Calc!$BC$175)</f>
        <v/>
      </c>
      <c r="FQ42" s="31">
        <f>IF(OR(Settings!$A$40="",OR(EOMONTH(FQ$4,0)&lt;=Settings!$B$5,FQ$4&gt;TODAY())),"",IF(EOMONTH(FP$4,0)&lt;=Settings!$B$5,N(Settings!$C$40),N(Calc!$AW$175))+Calc!$BC$176)</f>
        <v/>
      </c>
      <c r="FR42" s="31">
        <f>IF(OR(Settings!$A$40="",OR(EOMONTH(FR$4,0)&lt;=Settings!$B$5,FR$4&gt;TODAY())),"",IF(EOMONTH(FQ$4,0)&lt;=Settings!$B$5,N(Settings!$C$40),N(Calc!$AW$176))+Calc!$BC$177)</f>
        <v/>
      </c>
      <c r="FS42" s="31">
        <f>IF(OR(Settings!$A$40="",OR(EOMONTH(FS$4,0)&lt;=Settings!$B$5,FS$4&gt;TODAY())),"",IF(EOMONTH(FR$4,0)&lt;=Settings!$B$5,N(Settings!$C$40),N(Calc!$AW$177))+Calc!$BC$178)</f>
        <v/>
      </c>
      <c r="FT42" s="31">
        <f>IF(OR(Settings!$A$40="",OR(EOMONTH(FT$4,0)&lt;=Settings!$B$5,FT$4&gt;TODAY())),"",IF(EOMONTH(FS$4,0)&lt;=Settings!$B$5,N(Settings!$C$40),N(Calc!$AW$178))+Calc!$BC$179)</f>
        <v/>
      </c>
      <c r="FU42" s="31">
        <f>IF(OR(Settings!$A$40="",OR(EOMONTH(FU$4,0)&lt;=Settings!$B$5,FU$4&gt;TODAY())),"",IF(EOMONTH(FT$4,0)&lt;=Settings!$B$5,N(Settings!$C$40),N(Calc!$AW$179))+Calc!$BC$180)</f>
        <v/>
      </c>
      <c r="FV42" s="31">
        <f>IF(OR(Settings!$A$40="",OR(EOMONTH(FV$4,0)&lt;=Settings!$B$5,FV$4&gt;TODAY())),"",IF(EOMONTH(FU$4,0)&lt;=Settings!$B$5,N(Settings!$C$40),N(Calc!$AW$180))+Calc!$BC$181)</f>
        <v/>
      </c>
      <c r="FW42" s="31">
        <f>IF(OR(Settings!$A$40="",OR(EOMONTH(FW$4,0)&lt;=Settings!$B$5,FW$4&gt;TODAY())),"",IF(EOMONTH(FV$4,0)&lt;=Settings!$B$5,N(Settings!$C$40),N(Calc!$AW$181))+Calc!$BC$182)</f>
        <v/>
      </c>
      <c r="FX42" s="31">
        <f>IF(OR(Settings!$A$40="",OR(EOMONTH(FX$4,0)&lt;=Settings!$B$5,FX$4&gt;TODAY())),"",IF(EOMONTH(FW$4,0)&lt;=Settings!$B$5,N(Settings!$C$40),N(Calc!$AW$182))+Calc!$BC$183)</f>
        <v/>
      </c>
    </row>
    <row r="43">
      <c r="A43" s="15">
        <f>IF(Settings!$A$41="","(unused)",Settings!$A$41&amp;" — value")</f>
        <v/>
      </c>
      <c r="B43" s="26">
        <f>IF(Settings!$A$41="","","grey = last value + deposits")</f>
        <v/>
      </c>
      <c r="C43" s="31">
        <f>IF(OR(Settings!$A$41="",OR(EOMONTH(C$4,0)&lt;=Settings!$B$5,C$4&gt;TODAY())),"",N(Settings!$C$41)+Calc!$BD$6)</f>
        <v/>
      </c>
      <c r="D43" s="31">
        <f>IF(OR(Settings!$A$41="",OR(EOMONTH(D$4,0)&lt;=Settings!$B$5,D$4&gt;TODAY())),"",IF(EOMONTH(C$4,0)&lt;=Settings!$B$5,N(Settings!$C$41),N(Calc!$AX$6))+Calc!$BD$7)</f>
        <v/>
      </c>
      <c r="E43" s="31">
        <f>IF(OR(Settings!$A$41="",OR(EOMONTH(E$4,0)&lt;=Settings!$B$5,E$4&gt;TODAY())),"",IF(EOMONTH(D$4,0)&lt;=Settings!$B$5,N(Settings!$C$41),N(Calc!$AX$7))+Calc!$BD$8)</f>
        <v/>
      </c>
      <c r="F43" s="31">
        <f>IF(OR(Settings!$A$41="",OR(EOMONTH(F$4,0)&lt;=Settings!$B$5,F$4&gt;TODAY())),"",IF(EOMONTH(E$4,0)&lt;=Settings!$B$5,N(Settings!$C$41),N(Calc!$AX$8))+Calc!$BD$9)</f>
        <v/>
      </c>
      <c r="G43" s="31">
        <f>IF(OR(Settings!$A$41="",OR(EOMONTH(G$4,0)&lt;=Settings!$B$5,G$4&gt;TODAY())),"",IF(EOMONTH(F$4,0)&lt;=Settings!$B$5,N(Settings!$C$41),N(Calc!$AX$9))+Calc!$BD$10)</f>
        <v/>
      </c>
      <c r="H43" s="31">
        <f>IF(OR(Settings!$A$41="",OR(EOMONTH(H$4,0)&lt;=Settings!$B$5,H$4&gt;TODAY())),"",IF(EOMONTH(G$4,0)&lt;=Settings!$B$5,N(Settings!$C$41),N(Calc!$AX$10))+Calc!$BD$11)</f>
        <v/>
      </c>
      <c r="I43" s="31">
        <f>IF(OR(Settings!$A$41="",OR(EOMONTH(I$4,0)&lt;=Settings!$B$5,I$4&gt;TODAY())),"",IF(EOMONTH(H$4,0)&lt;=Settings!$B$5,N(Settings!$C$41),N(Calc!$AX$11))+Calc!$BD$12)</f>
        <v/>
      </c>
      <c r="J43" s="31">
        <f>IF(OR(Settings!$A$41="",OR(EOMONTH(J$4,0)&lt;=Settings!$B$5,J$4&gt;TODAY())),"",IF(EOMONTH(I$4,0)&lt;=Settings!$B$5,N(Settings!$C$41),N(Calc!$AX$12))+Calc!$BD$13)</f>
        <v/>
      </c>
      <c r="K43" s="31">
        <f>IF(OR(Settings!$A$41="",OR(EOMONTH(K$4,0)&lt;=Settings!$B$5,K$4&gt;TODAY())),"",IF(EOMONTH(J$4,0)&lt;=Settings!$B$5,N(Settings!$C$41),N(Calc!$AX$13))+Calc!$BD$14)</f>
        <v/>
      </c>
      <c r="L43" s="31">
        <f>IF(OR(Settings!$A$41="",OR(EOMONTH(L$4,0)&lt;=Settings!$B$5,L$4&gt;TODAY())),"",IF(EOMONTH(K$4,0)&lt;=Settings!$B$5,N(Settings!$C$41),N(Calc!$AX$14))+Calc!$BD$15)</f>
        <v/>
      </c>
      <c r="M43" s="31">
        <f>IF(OR(Settings!$A$41="",OR(EOMONTH(M$4,0)&lt;=Settings!$B$5,M$4&gt;TODAY())),"",IF(EOMONTH(L$4,0)&lt;=Settings!$B$5,N(Settings!$C$41),N(Calc!$AX$15))+Calc!$BD$16)</f>
        <v/>
      </c>
      <c r="N43" s="31">
        <f>IF(OR(Settings!$A$41="",OR(EOMONTH(N$4,0)&lt;=Settings!$B$5,N$4&gt;TODAY())),"",IF(EOMONTH(M$4,0)&lt;=Settings!$B$5,N(Settings!$C$41),N(Calc!$AX$16))+Calc!$BD$17)</f>
        <v/>
      </c>
      <c r="O43" s="31">
        <f>IF(OR(Settings!$A$41="",OR(EOMONTH(O$4,0)&lt;=Settings!$B$5,O$4&gt;TODAY())),"",IF(EOMONTH(N$4,0)&lt;=Settings!$B$5,N(Settings!$C$41),N(Calc!$AX$17))+Calc!$BD$18)</f>
        <v/>
      </c>
      <c r="P43" s="31">
        <f>IF(OR(Settings!$A$41="",OR(EOMONTH(P$4,0)&lt;=Settings!$B$5,P$4&gt;TODAY())),"",IF(EOMONTH(O$4,0)&lt;=Settings!$B$5,N(Settings!$C$41),N(Calc!$AX$18))+Calc!$BD$19)</f>
        <v/>
      </c>
      <c r="Q43" s="31">
        <f>IF(OR(Settings!$A$41="",OR(EOMONTH(Q$4,0)&lt;=Settings!$B$5,Q$4&gt;TODAY())),"",IF(EOMONTH(P$4,0)&lt;=Settings!$B$5,N(Settings!$C$41),N(Calc!$AX$19))+Calc!$BD$20)</f>
        <v/>
      </c>
      <c r="R43" s="31">
        <f>IF(OR(Settings!$A$41="",OR(EOMONTH(R$4,0)&lt;=Settings!$B$5,R$4&gt;TODAY())),"",IF(EOMONTH(Q$4,0)&lt;=Settings!$B$5,N(Settings!$C$41),N(Calc!$AX$20))+Calc!$BD$21)</f>
        <v/>
      </c>
      <c r="S43" s="31">
        <f>IF(OR(Settings!$A$41="",OR(EOMONTH(S$4,0)&lt;=Settings!$B$5,S$4&gt;TODAY())),"",IF(EOMONTH(R$4,0)&lt;=Settings!$B$5,N(Settings!$C$41),N(Calc!$AX$21))+Calc!$BD$22)</f>
        <v/>
      </c>
      <c r="T43" s="31">
        <f>IF(OR(Settings!$A$41="",OR(EOMONTH(T$4,0)&lt;=Settings!$B$5,T$4&gt;TODAY())),"",IF(EOMONTH(S$4,0)&lt;=Settings!$B$5,N(Settings!$C$41),N(Calc!$AX$22))+Calc!$BD$23)</f>
        <v/>
      </c>
      <c r="U43" s="31">
        <f>IF(OR(Settings!$A$41="",OR(EOMONTH(U$4,0)&lt;=Settings!$B$5,U$4&gt;TODAY())),"",IF(EOMONTH(T$4,0)&lt;=Settings!$B$5,N(Settings!$C$41),N(Calc!$AX$23))+Calc!$BD$24)</f>
        <v/>
      </c>
      <c r="V43" s="31">
        <f>IF(OR(Settings!$A$41="",OR(EOMONTH(V$4,0)&lt;=Settings!$B$5,V$4&gt;TODAY())),"",IF(EOMONTH(U$4,0)&lt;=Settings!$B$5,N(Settings!$C$41),N(Calc!$AX$24))+Calc!$BD$25)</f>
        <v/>
      </c>
      <c r="W43" s="31">
        <f>IF(OR(Settings!$A$41="",OR(EOMONTH(W$4,0)&lt;=Settings!$B$5,W$4&gt;TODAY())),"",IF(EOMONTH(V$4,0)&lt;=Settings!$B$5,N(Settings!$C$41),N(Calc!$AX$25))+Calc!$BD$26)</f>
        <v/>
      </c>
      <c r="X43" s="31">
        <f>IF(OR(Settings!$A$41="",OR(EOMONTH(X$4,0)&lt;=Settings!$B$5,X$4&gt;TODAY())),"",IF(EOMONTH(W$4,0)&lt;=Settings!$B$5,N(Settings!$C$41),N(Calc!$AX$26))+Calc!$BD$27)</f>
        <v/>
      </c>
      <c r="Y43" s="31">
        <f>IF(OR(Settings!$A$41="",OR(EOMONTH(Y$4,0)&lt;=Settings!$B$5,Y$4&gt;TODAY())),"",IF(EOMONTH(X$4,0)&lt;=Settings!$B$5,N(Settings!$C$41),N(Calc!$AX$27))+Calc!$BD$28)</f>
        <v/>
      </c>
      <c r="Z43" s="31">
        <f>IF(OR(Settings!$A$41="",OR(EOMONTH(Z$4,0)&lt;=Settings!$B$5,Z$4&gt;TODAY())),"",IF(EOMONTH(Y$4,0)&lt;=Settings!$B$5,N(Settings!$C$41),N(Calc!$AX$28))+Calc!$BD$29)</f>
        <v/>
      </c>
      <c r="AA43" s="31">
        <f>IF(OR(Settings!$A$41="",OR(EOMONTH(AA$4,0)&lt;=Settings!$B$5,AA$4&gt;TODAY())),"",IF(EOMONTH(Z$4,0)&lt;=Settings!$B$5,N(Settings!$C$41),N(Calc!$AX$29))+Calc!$BD$30)</f>
        <v/>
      </c>
      <c r="AB43" s="31">
        <f>IF(OR(Settings!$A$41="",OR(EOMONTH(AB$4,0)&lt;=Settings!$B$5,AB$4&gt;TODAY())),"",IF(EOMONTH(AA$4,0)&lt;=Settings!$B$5,N(Settings!$C$41),N(Calc!$AX$30))+Calc!$BD$31)</f>
        <v/>
      </c>
      <c r="AC43" s="31">
        <f>IF(OR(Settings!$A$41="",OR(EOMONTH(AC$4,0)&lt;=Settings!$B$5,AC$4&gt;TODAY())),"",IF(EOMONTH(AB$4,0)&lt;=Settings!$B$5,N(Settings!$C$41),N(Calc!$AX$31))+Calc!$BD$32)</f>
        <v/>
      </c>
      <c r="AD43" s="31">
        <f>IF(OR(Settings!$A$41="",OR(EOMONTH(AD$4,0)&lt;=Settings!$B$5,AD$4&gt;TODAY())),"",IF(EOMONTH(AC$4,0)&lt;=Settings!$B$5,N(Settings!$C$41),N(Calc!$AX$32))+Calc!$BD$33)</f>
        <v/>
      </c>
      <c r="AE43" s="31">
        <f>IF(OR(Settings!$A$41="",OR(EOMONTH(AE$4,0)&lt;=Settings!$B$5,AE$4&gt;TODAY())),"",IF(EOMONTH(AD$4,0)&lt;=Settings!$B$5,N(Settings!$C$41),N(Calc!$AX$33))+Calc!$BD$34)</f>
        <v/>
      </c>
      <c r="AF43" s="31">
        <f>IF(OR(Settings!$A$41="",OR(EOMONTH(AF$4,0)&lt;=Settings!$B$5,AF$4&gt;TODAY())),"",IF(EOMONTH(AE$4,0)&lt;=Settings!$B$5,N(Settings!$C$41),N(Calc!$AX$34))+Calc!$BD$35)</f>
        <v/>
      </c>
      <c r="AG43" s="31">
        <f>IF(OR(Settings!$A$41="",OR(EOMONTH(AG$4,0)&lt;=Settings!$B$5,AG$4&gt;TODAY())),"",IF(EOMONTH(AF$4,0)&lt;=Settings!$B$5,N(Settings!$C$41),N(Calc!$AX$35))+Calc!$BD$36)</f>
        <v/>
      </c>
      <c r="AH43" s="31">
        <f>IF(OR(Settings!$A$41="",OR(EOMONTH(AH$4,0)&lt;=Settings!$B$5,AH$4&gt;TODAY())),"",IF(EOMONTH(AG$4,0)&lt;=Settings!$B$5,N(Settings!$C$41),N(Calc!$AX$36))+Calc!$BD$37)</f>
        <v/>
      </c>
      <c r="AI43" s="31">
        <f>IF(OR(Settings!$A$41="",OR(EOMONTH(AI$4,0)&lt;=Settings!$B$5,AI$4&gt;TODAY())),"",IF(EOMONTH(AH$4,0)&lt;=Settings!$B$5,N(Settings!$C$41),N(Calc!$AX$37))+Calc!$BD$38)</f>
        <v/>
      </c>
      <c r="AJ43" s="31">
        <f>IF(OR(Settings!$A$41="",OR(EOMONTH(AJ$4,0)&lt;=Settings!$B$5,AJ$4&gt;TODAY())),"",IF(EOMONTH(AI$4,0)&lt;=Settings!$B$5,N(Settings!$C$41),N(Calc!$AX$38))+Calc!$BD$39)</f>
        <v/>
      </c>
      <c r="AK43" s="31">
        <f>IF(OR(Settings!$A$41="",OR(EOMONTH(AK$4,0)&lt;=Settings!$B$5,AK$4&gt;TODAY())),"",IF(EOMONTH(AJ$4,0)&lt;=Settings!$B$5,N(Settings!$C$41),N(Calc!$AX$39))+Calc!$BD$40)</f>
        <v/>
      </c>
      <c r="AL43" s="31">
        <f>IF(OR(Settings!$A$41="",OR(EOMONTH(AL$4,0)&lt;=Settings!$B$5,AL$4&gt;TODAY())),"",IF(EOMONTH(AK$4,0)&lt;=Settings!$B$5,N(Settings!$C$41),N(Calc!$AX$40))+Calc!$BD$41)</f>
        <v/>
      </c>
      <c r="AM43" s="31">
        <f>IF(OR(Settings!$A$41="",OR(EOMONTH(AM$4,0)&lt;=Settings!$B$5,AM$4&gt;TODAY())),"",IF(EOMONTH(AL$4,0)&lt;=Settings!$B$5,N(Settings!$C$41),N(Calc!$AX$41))+Calc!$BD$42)</f>
        <v/>
      </c>
      <c r="AN43" s="31">
        <f>IF(OR(Settings!$A$41="",OR(EOMONTH(AN$4,0)&lt;=Settings!$B$5,AN$4&gt;TODAY())),"",IF(EOMONTH(AM$4,0)&lt;=Settings!$B$5,N(Settings!$C$41),N(Calc!$AX$42))+Calc!$BD$43)</f>
        <v/>
      </c>
      <c r="AO43" s="31">
        <f>IF(OR(Settings!$A$41="",OR(EOMONTH(AO$4,0)&lt;=Settings!$B$5,AO$4&gt;TODAY())),"",IF(EOMONTH(AN$4,0)&lt;=Settings!$B$5,N(Settings!$C$41),N(Calc!$AX$43))+Calc!$BD$44)</f>
        <v/>
      </c>
      <c r="AP43" s="31">
        <f>IF(OR(Settings!$A$41="",OR(EOMONTH(AP$4,0)&lt;=Settings!$B$5,AP$4&gt;TODAY())),"",IF(EOMONTH(AO$4,0)&lt;=Settings!$B$5,N(Settings!$C$41),N(Calc!$AX$44))+Calc!$BD$45)</f>
        <v/>
      </c>
      <c r="AQ43" s="31">
        <f>IF(OR(Settings!$A$41="",OR(EOMONTH(AQ$4,0)&lt;=Settings!$B$5,AQ$4&gt;TODAY())),"",IF(EOMONTH(AP$4,0)&lt;=Settings!$B$5,N(Settings!$C$41),N(Calc!$AX$45))+Calc!$BD$46)</f>
        <v/>
      </c>
      <c r="AR43" s="31">
        <f>IF(OR(Settings!$A$41="",OR(EOMONTH(AR$4,0)&lt;=Settings!$B$5,AR$4&gt;TODAY())),"",IF(EOMONTH(AQ$4,0)&lt;=Settings!$B$5,N(Settings!$C$41),N(Calc!$AX$46))+Calc!$BD$47)</f>
        <v/>
      </c>
      <c r="AS43" s="31">
        <f>IF(OR(Settings!$A$41="",OR(EOMONTH(AS$4,0)&lt;=Settings!$B$5,AS$4&gt;TODAY())),"",IF(EOMONTH(AR$4,0)&lt;=Settings!$B$5,N(Settings!$C$41),N(Calc!$AX$47))+Calc!$BD$48)</f>
        <v/>
      </c>
      <c r="AT43" s="31">
        <f>IF(OR(Settings!$A$41="",OR(EOMONTH(AT$4,0)&lt;=Settings!$B$5,AT$4&gt;TODAY())),"",IF(EOMONTH(AS$4,0)&lt;=Settings!$B$5,N(Settings!$C$41),N(Calc!$AX$48))+Calc!$BD$49)</f>
        <v/>
      </c>
      <c r="AU43" s="31">
        <f>IF(OR(Settings!$A$41="",OR(EOMONTH(AU$4,0)&lt;=Settings!$B$5,AU$4&gt;TODAY())),"",IF(EOMONTH(AT$4,0)&lt;=Settings!$B$5,N(Settings!$C$41),N(Calc!$AX$49))+Calc!$BD$50)</f>
        <v/>
      </c>
      <c r="AV43" s="31">
        <f>IF(OR(Settings!$A$41="",OR(EOMONTH(AV$4,0)&lt;=Settings!$B$5,AV$4&gt;TODAY())),"",IF(EOMONTH(AU$4,0)&lt;=Settings!$B$5,N(Settings!$C$41),N(Calc!$AX$50))+Calc!$BD$51)</f>
        <v/>
      </c>
      <c r="AW43" s="31">
        <f>IF(OR(Settings!$A$41="",OR(EOMONTH(AW$4,0)&lt;=Settings!$B$5,AW$4&gt;TODAY())),"",IF(EOMONTH(AV$4,0)&lt;=Settings!$B$5,N(Settings!$C$41),N(Calc!$AX$51))+Calc!$BD$52)</f>
        <v/>
      </c>
      <c r="AX43" s="31">
        <f>IF(OR(Settings!$A$41="",OR(EOMONTH(AX$4,0)&lt;=Settings!$B$5,AX$4&gt;TODAY())),"",IF(EOMONTH(AW$4,0)&lt;=Settings!$B$5,N(Settings!$C$41),N(Calc!$AX$52))+Calc!$BD$53)</f>
        <v/>
      </c>
      <c r="AY43" s="31">
        <f>IF(OR(Settings!$A$41="",OR(EOMONTH(AY$4,0)&lt;=Settings!$B$5,AY$4&gt;TODAY())),"",IF(EOMONTH(AX$4,0)&lt;=Settings!$B$5,N(Settings!$C$41),N(Calc!$AX$53))+Calc!$BD$54)</f>
        <v/>
      </c>
      <c r="AZ43" s="31">
        <f>IF(OR(Settings!$A$41="",OR(EOMONTH(AZ$4,0)&lt;=Settings!$B$5,AZ$4&gt;TODAY())),"",IF(EOMONTH(AY$4,0)&lt;=Settings!$B$5,N(Settings!$C$41),N(Calc!$AX$54))+Calc!$BD$55)</f>
        <v/>
      </c>
      <c r="BA43" s="31">
        <f>IF(OR(Settings!$A$41="",OR(EOMONTH(BA$4,0)&lt;=Settings!$B$5,BA$4&gt;TODAY())),"",IF(EOMONTH(AZ$4,0)&lt;=Settings!$B$5,N(Settings!$C$41),N(Calc!$AX$55))+Calc!$BD$56)</f>
        <v/>
      </c>
      <c r="BB43" s="31">
        <f>IF(OR(Settings!$A$41="",OR(EOMONTH(BB$4,0)&lt;=Settings!$B$5,BB$4&gt;TODAY())),"",IF(EOMONTH(BA$4,0)&lt;=Settings!$B$5,N(Settings!$C$41),N(Calc!$AX$56))+Calc!$BD$57)</f>
        <v/>
      </c>
      <c r="BC43" s="31">
        <f>IF(OR(Settings!$A$41="",OR(EOMONTH(BC$4,0)&lt;=Settings!$B$5,BC$4&gt;TODAY())),"",IF(EOMONTH(BB$4,0)&lt;=Settings!$B$5,N(Settings!$C$41),N(Calc!$AX$57))+Calc!$BD$58)</f>
        <v/>
      </c>
      <c r="BD43" s="31">
        <f>IF(OR(Settings!$A$41="",OR(EOMONTH(BD$4,0)&lt;=Settings!$B$5,BD$4&gt;TODAY())),"",IF(EOMONTH(BC$4,0)&lt;=Settings!$B$5,N(Settings!$C$41),N(Calc!$AX$58))+Calc!$BD$59)</f>
        <v/>
      </c>
      <c r="BE43" s="31">
        <f>IF(OR(Settings!$A$41="",OR(EOMONTH(BE$4,0)&lt;=Settings!$B$5,BE$4&gt;TODAY())),"",IF(EOMONTH(BD$4,0)&lt;=Settings!$B$5,N(Settings!$C$41),N(Calc!$AX$59))+Calc!$BD$60)</f>
        <v/>
      </c>
      <c r="BF43" s="31">
        <f>IF(OR(Settings!$A$41="",OR(EOMONTH(BF$4,0)&lt;=Settings!$B$5,BF$4&gt;TODAY())),"",IF(EOMONTH(BE$4,0)&lt;=Settings!$B$5,N(Settings!$C$41),N(Calc!$AX$60))+Calc!$BD$61)</f>
        <v/>
      </c>
      <c r="BG43" s="31">
        <f>IF(OR(Settings!$A$41="",OR(EOMONTH(BG$4,0)&lt;=Settings!$B$5,BG$4&gt;TODAY())),"",IF(EOMONTH(BF$4,0)&lt;=Settings!$B$5,N(Settings!$C$41),N(Calc!$AX$61))+Calc!$BD$62)</f>
        <v/>
      </c>
      <c r="BH43" s="31">
        <f>IF(OR(Settings!$A$41="",OR(EOMONTH(BH$4,0)&lt;=Settings!$B$5,BH$4&gt;TODAY())),"",IF(EOMONTH(BG$4,0)&lt;=Settings!$B$5,N(Settings!$C$41),N(Calc!$AX$62))+Calc!$BD$63)</f>
        <v/>
      </c>
      <c r="BI43" s="31">
        <f>IF(OR(Settings!$A$41="",OR(EOMONTH(BI$4,0)&lt;=Settings!$B$5,BI$4&gt;TODAY())),"",IF(EOMONTH(BH$4,0)&lt;=Settings!$B$5,N(Settings!$C$41),N(Calc!$AX$63))+Calc!$BD$64)</f>
        <v/>
      </c>
      <c r="BJ43" s="31">
        <f>IF(OR(Settings!$A$41="",OR(EOMONTH(BJ$4,0)&lt;=Settings!$B$5,BJ$4&gt;TODAY())),"",IF(EOMONTH(BI$4,0)&lt;=Settings!$B$5,N(Settings!$C$41),N(Calc!$AX$64))+Calc!$BD$65)</f>
        <v/>
      </c>
      <c r="BK43" s="31">
        <f>IF(OR(Settings!$A$41="",OR(EOMONTH(BK$4,0)&lt;=Settings!$B$5,BK$4&gt;TODAY())),"",IF(EOMONTH(BJ$4,0)&lt;=Settings!$B$5,N(Settings!$C$41),N(Calc!$AX$65))+Calc!$BD$66)</f>
        <v/>
      </c>
      <c r="BL43" s="31">
        <f>IF(OR(Settings!$A$41="",OR(EOMONTH(BL$4,0)&lt;=Settings!$B$5,BL$4&gt;TODAY())),"",IF(EOMONTH(BK$4,0)&lt;=Settings!$B$5,N(Settings!$C$41),N(Calc!$AX$66))+Calc!$BD$67)</f>
        <v/>
      </c>
      <c r="BM43" s="31">
        <f>IF(OR(Settings!$A$41="",OR(EOMONTH(BM$4,0)&lt;=Settings!$B$5,BM$4&gt;TODAY())),"",IF(EOMONTH(BL$4,0)&lt;=Settings!$B$5,N(Settings!$C$41),N(Calc!$AX$67))+Calc!$BD$68)</f>
        <v/>
      </c>
      <c r="BN43" s="31">
        <f>IF(OR(Settings!$A$41="",OR(EOMONTH(BN$4,0)&lt;=Settings!$B$5,BN$4&gt;TODAY())),"",IF(EOMONTH(BM$4,0)&lt;=Settings!$B$5,N(Settings!$C$41),N(Calc!$AX$68))+Calc!$BD$69)</f>
        <v/>
      </c>
      <c r="BO43" s="31">
        <f>IF(OR(Settings!$A$41="",OR(EOMONTH(BO$4,0)&lt;=Settings!$B$5,BO$4&gt;TODAY())),"",IF(EOMONTH(BN$4,0)&lt;=Settings!$B$5,N(Settings!$C$41),N(Calc!$AX$69))+Calc!$BD$70)</f>
        <v/>
      </c>
      <c r="BP43" s="31">
        <f>IF(OR(Settings!$A$41="",OR(EOMONTH(BP$4,0)&lt;=Settings!$B$5,BP$4&gt;TODAY())),"",IF(EOMONTH(BO$4,0)&lt;=Settings!$B$5,N(Settings!$C$41),N(Calc!$AX$70))+Calc!$BD$71)</f>
        <v/>
      </c>
      <c r="BQ43" s="31">
        <f>IF(OR(Settings!$A$41="",OR(EOMONTH(BQ$4,0)&lt;=Settings!$B$5,BQ$4&gt;TODAY())),"",IF(EOMONTH(BP$4,0)&lt;=Settings!$B$5,N(Settings!$C$41),N(Calc!$AX$71))+Calc!$BD$72)</f>
        <v/>
      </c>
      <c r="BR43" s="31">
        <f>IF(OR(Settings!$A$41="",OR(EOMONTH(BR$4,0)&lt;=Settings!$B$5,BR$4&gt;TODAY())),"",IF(EOMONTH(BQ$4,0)&lt;=Settings!$B$5,N(Settings!$C$41),N(Calc!$AX$72))+Calc!$BD$73)</f>
        <v/>
      </c>
      <c r="BS43" s="31">
        <f>IF(OR(Settings!$A$41="",OR(EOMONTH(BS$4,0)&lt;=Settings!$B$5,BS$4&gt;TODAY())),"",IF(EOMONTH(BR$4,0)&lt;=Settings!$B$5,N(Settings!$C$41),N(Calc!$AX$73))+Calc!$BD$74)</f>
        <v/>
      </c>
      <c r="BT43" s="31">
        <f>IF(OR(Settings!$A$41="",OR(EOMONTH(BT$4,0)&lt;=Settings!$B$5,BT$4&gt;TODAY())),"",IF(EOMONTH(BS$4,0)&lt;=Settings!$B$5,N(Settings!$C$41),N(Calc!$AX$74))+Calc!$BD$75)</f>
        <v/>
      </c>
      <c r="BU43" s="31">
        <f>IF(OR(Settings!$A$41="",OR(EOMONTH(BU$4,0)&lt;=Settings!$B$5,BU$4&gt;TODAY())),"",IF(EOMONTH(BT$4,0)&lt;=Settings!$B$5,N(Settings!$C$41),N(Calc!$AX$75))+Calc!$BD$76)</f>
        <v/>
      </c>
      <c r="BV43" s="31">
        <f>IF(OR(Settings!$A$41="",OR(EOMONTH(BV$4,0)&lt;=Settings!$B$5,BV$4&gt;TODAY())),"",IF(EOMONTH(BU$4,0)&lt;=Settings!$B$5,N(Settings!$C$41),N(Calc!$AX$76))+Calc!$BD$77)</f>
        <v/>
      </c>
      <c r="BW43" s="31">
        <f>IF(OR(Settings!$A$41="",OR(EOMONTH(BW$4,0)&lt;=Settings!$B$5,BW$4&gt;TODAY())),"",IF(EOMONTH(BV$4,0)&lt;=Settings!$B$5,N(Settings!$C$41),N(Calc!$AX$77))+Calc!$BD$78)</f>
        <v/>
      </c>
      <c r="BX43" s="31">
        <f>IF(OR(Settings!$A$41="",OR(EOMONTH(BX$4,0)&lt;=Settings!$B$5,BX$4&gt;TODAY())),"",IF(EOMONTH(BW$4,0)&lt;=Settings!$B$5,N(Settings!$C$41),N(Calc!$AX$78))+Calc!$BD$79)</f>
        <v/>
      </c>
      <c r="BY43" s="31">
        <f>IF(OR(Settings!$A$41="",OR(EOMONTH(BY$4,0)&lt;=Settings!$B$5,BY$4&gt;TODAY())),"",IF(EOMONTH(BX$4,0)&lt;=Settings!$B$5,N(Settings!$C$41),N(Calc!$AX$79))+Calc!$BD$80)</f>
        <v/>
      </c>
      <c r="BZ43" s="31">
        <f>IF(OR(Settings!$A$41="",OR(EOMONTH(BZ$4,0)&lt;=Settings!$B$5,BZ$4&gt;TODAY())),"",IF(EOMONTH(BY$4,0)&lt;=Settings!$B$5,N(Settings!$C$41),N(Calc!$AX$80))+Calc!$BD$81)</f>
        <v/>
      </c>
      <c r="CA43" s="31">
        <f>IF(OR(Settings!$A$41="",OR(EOMONTH(CA$4,0)&lt;=Settings!$B$5,CA$4&gt;TODAY())),"",IF(EOMONTH(BZ$4,0)&lt;=Settings!$B$5,N(Settings!$C$41),N(Calc!$AX$81))+Calc!$BD$82)</f>
        <v/>
      </c>
      <c r="CB43" s="31">
        <f>IF(OR(Settings!$A$41="",OR(EOMONTH(CB$4,0)&lt;=Settings!$B$5,CB$4&gt;TODAY())),"",IF(EOMONTH(CA$4,0)&lt;=Settings!$B$5,N(Settings!$C$41),N(Calc!$AX$82))+Calc!$BD$83)</f>
        <v/>
      </c>
      <c r="CC43" s="31">
        <f>IF(OR(Settings!$A$41="",OR(EOMONTH(CC$4,0)&lt;=Settings!$B$5,CC$4&gt;TODAY())),"",IF(EOMONTH(CB$4,0)&lt;=Settings!$B$5,N(Settings!$C$41),N(Calc!$AX$83))+Calc!$BD$84)</f>
        <v/>
      </c>
      <c r="CD43" s="31">
        <f>IF(OR(Settings!$A$41="",OR(EOMONTH(CD$4,0)&lt;=Settings!$B$5,CD$4&gt;TODAY())),"",IF(EOMONTH(CC$4,0)&lt;=Settings!$B$5,N(Settings!$C$41),N(Calc!$AX$84))+Calc!$BD$85)</f>
        <v/>
      </c>
      <c r="CE43" s="31">
        <f>IF(OR(Settings!$A$41="",OR(EOMONTH(CE$4,0)&lt;=Settings!$B$5,CE$4&gt;TODAY())),"",IF(EOMONTH(CD$4,0)&lt;=Settings!$B$5,N(Settings!$C$41),N(Calc!$AX$85))+Calc!$BD$86)</f>
        <v/>
      </c>
      <c r="CF43" s="31">
        <f>IF(OR(Settings!$A$41="",OR(EOMONTH(CF$4,0)&lt;=Settings!$B$5,CF$4&gt;TODAY())),"",IF(EOMONTH(CE$4,0)&lt;=Settings!$B$5,N(Settings!$C$41),N(Calc!$AX$86))+Calc!$BD$87)</f>
        <v/>
      </c>
      <c r="CG43" s="31">
        <f>IF(OR(Settings!$A$41="",OR(EOMONTH(CG$4,0)&lt;=Settings!$B$5,CG$4&gt;TODAY())),"",IF(EOMONTH(CF$4,0)&lt;=Settings!$B$5,N(Settings!$C$41),N(Calc!$AX$87))+Calc!$BD$88)</f>
        <v/>
      </c>
      <c r="CH43" s="31">
        <f>IF(OR(Settings!$A$41="",OR(EOMONTH(CH$4,0)&lt;=Settings!$B$5,CH$4&gt;TODAY())),"",IF(EOMONTH(CG$4,0)&lt;=Settings!$B$5,N(Settings!$C$41),N(Calc!$AX$88))+Calc!$BD$89)</f>
        <v/>
      </c>
      <c r="CI43" s="31">
        <f>IF(OR(Settings!$A$41="",OR(EOMONTH(CI$4,0)&lt;=Settings!$B$5,CI$4&gt;TODAY())),"",IF(EOMONTH(CH$4,0)&lt;=Settings!$B$5,N(Settings!$C$41),N(Calc!$AX$89))+Calc!$BD$90)</f>
        <v/>
      </c>
      <c r="CJ43" s="31">
        <f>IF(OR(Settings!$A$41="",OR(EOMONTH(CJ$4,0)&lt;=Settings!$B$5,CJ$4&gt;TODAY())),"",IF(EOMONTH(CI$4,0)&lt;=Settings!$B$5,N(Settings!$C$41),N(Calc!$AX$90))+Calc!$BD$91)</f>
        <v/>
      </c>
      <c r="CK43" s="31">
        <f>IF(OR(Settings!$A$41="",OR(EOMONTH(CK$4,0)&lt;=Settings!$B$5,CK$4&gt;TODAY())),"",IF(EOMONTH(CJ$4,0)&lt;=Settings!$B$5,N(Settings!$C$41),N(Calc!$AX$91))+Calc!$BD$92)</f>
        <v/>
      </c>
      <c r="CL43" s="31">
        <f>IF(OR(Settings!$A$41="",OR(EOMONTH(CL$4,0)&lt;=Settings!$B$5,CL$4&gt;TODAY())),"",IF(EOMONTH(CK$4,0)&lt;=Settings!$B$5,N(Settings!$C$41),N(Calc!$AX$92))+Calc!$BD$93)</f>
        <v/>
      </c>
      <c r="CM43" s="31">
        <f>IF(OR(Settings!$A$41="",OR(EOMONTH(CM$4,0)&lt;=Settings!$B$5,CM$4&gt;TODAY())),"",IF(EOMONTH(CL$4,0)&lt;=Settings!$B$5,N(Settings!$C$41),N(Calc!$AX$93))+Calc!$BD$94)</f>
        <v/>
      </c>
      <c r="CN43" s="31">
        <f>IF(OR(Settings!$A$41="",OR(EOMONTH(CN$4,0)&lt;=Settings!$B$5,CN$4&gt;TODAY())),"",IF(EOMONTH(CM$4,0)&lt;=Settings!$B$5,N(Settings!$C$41),N(Calc!$AX$94))+Calc!$BD$95)</f>
        <v/>
      </c>
      <c r="CO43" s="31">
        <f>IF(OR(Settings!$A$41="",OR(EOMONTH(CO$4,0)&lt;=Settings!$B$5,CO$4&gt;TODAY())),"",IF(EOMONTH(CN$4,0)&lt;=Settings!$B$5,N(Settings!$C$41),N(Calc!$AX$95))+Calc!$BD$96)</f>
        <v/>
      </c>
      <c r="CP43" s="31">
        <f>IF(OR(Settings!$A$41="",OR(EOMONTH(CP$4,0)&lt;=Settings!$B$5,CP$4&gt;TODAY())),"",IF(EOMONTH(CO$4,0)&lt;=Settings!$B$5,N(Settings!$C$41),N(Calc!$AX$96))+Calc!$BD$97)</f>
        <v/>
      </c>
      <c r="CQ43" s="31">
        <f>IF(OR(Settings!$A$41="",OR(EOMONTH(CQ$4,0)&lt;=Settings!$B$5,CQ$4&gt;TODAY())),"",IF(EOMONTH(CP$4,0)&lt;=Settings!$B$5,N(Settings!$C$41),N(Calc!$AX$97))+Calc!$BD$98)</f>
        <v/>
      </c>
      <c r="CR43" s="31">
        <f>IF(OR(Settings!$A$41="",OR(EOMONTH(CR$4,0)&lt;=Settings!$B$5,CR$4&gt;TODAY())),"",IF(EOMONTH(CQ$4,0)&lt;=Settings!$B$5,N(Settings!$C$41),N(Calc!$AX$98))+Calc!$BD$99)</f>
        <v/>
      </c>
      <c r="CS43" s="31">
        <f>IF(OR(Settings!$A$41="",OR(EOMONTH(CS$4,0)&lt;=Settings!$B$5,CS$4&gt;TODAY())),"",IF(EOMONTH(CR$4,0)&lt;=Settings!$B$5,N(Settings!$C$41),N(Calc!$AX$99))+Calc!$BD$100)</f>
        <v/>
      </c>
      <c r="CT43" s="31">
        <f>IF(OR(Settings!$A$41="",OR(EOMONTH(CT$4,0)&lt;=Settings!$B$5,CT$4&gt;TODAY())),"",IF(EOMONTH(CS$4,0)&lt;=Settings!$B$5,N(Settings!$C$41),N(Calc!$AX$100))+Calc!$BD$101)</f>
        <v/>
      </c>
      <c r="CU43" s="31">
        <f>IF(OR(Settings!$A$41="",OR(EOMONTH(CU$4,0)&lt;=Settings!$B$5,CU$4&gt;TODAY())),"",IF(EOMONTH(CT$4,0)&lt;=Settings!$B$5,N(Settings!$C$41),N(Calc!$AX$101))+Calc!$BD$102)</f>
        <v/>
      </c>
      <c r="CV43" s="31">
        <f>IF(OR(Settings!$A$41="",OR(EOMONTH(CV$4,0)&lt;=Settings!$B$5,CV$4&gt;TODAY())),"",IF(EOMONTH(CU$4,0)&lt;=Settings!$B$5,N(Settings!$C$41),N(Calc!$AX$102))+Calc!$BD$103)</f>
        <v/>
      </c>
      <c r="CW43" s="31">
        <f>IF(OR(Settings!$A$41="",OR(EOMONTH(CW$4,0)&lt;=Settings!$B$5,CW$4&gt;TODAY())),"",IF(EOMONTH(CV$4,0)&lt;=Settings!$B$5,N(Settings!$C$41),N(Calc!$AX$103))+Calc!$BD$104)</f>
        <v/>
      </c>
      <c r="CX43" s="31">
        <f>IF(OR(Settings!$A$41="",OR(EOMONTH(CX$4,0)&lt;=Settings!$B$5,CX$4&gt;TODAY())),"",IF(EOMONTH(CW$4,0)&lt;=Settings!$B$5,N(Settings!$C$41),N(Calc!$AX$104))+Calc!$BD$105)</f>
        <v/>
      </c>
      <c r="CY43" s="31">
        <f>IF(OR(Settings!$A$41="",OR(EOMONTH(CY$4,0)&lt;=Settings!$B$5,CY$4&gt;TODAY())),"",IF(EOMONTH(CX$4,0)&lt;=Settings!$B$5,N(Settings!$C$41),N(Calc!$AX$105))+Calc!$BD$106)</f>
        <v/>
      </c>
      <c r="CZ43" s="31">
        <f>IF(OR(Settings!$A$41="",OR(EOMONTH(CZ$4,0)&lt;=Settings!$B$5,CZ$4&gt;TODAY())),"",IF(EOMONTH(CY$4,0)&lt;=Settings!$B$5,N(Settings!$C$41),N(Calc!$AX$106))+Calc!$BD$107)</f>
        <v/>
      </c>
      <c r="DA43" s="31">
        <f>IF(OR(Settings!$A$41="",OR(EOMONTH(DA$4,0)&lt;=Settings!$B$5,DA$4&gt;TODAY())),"",IF(EOMONTH(CZ$4,0)&lt;=Settings!$B$5,N(Settings!$C$41),N(Calc!$AX$107))+Calc!$BD$108)</f>
        <v/>
      </c>
      <c r="DB43" s="31">
        <f>IF(OR(Settings!$A$41="",OR(EOMONTH(DB$4,0)&lt;=Settings!$B$5,DB$4&gt;TODAY())),"",IF(EOMONTH(DA$4,0)&lt;=Settings!$B$5,N(Settings!$C$41),N(Calc!$AX$108))+Calc!$BD$109)</f>
        <v/>
      </c>
      <c r="DC43" s="31">
        <f>IF(OR(Settings!$A$41="",OR(EOMONTH(DC$4,0)&lt;=Settings!$B$5,DC$4&gt;TODAY())),"",IF(EOMONTH(DB$4,0)&lt;=Settings!$B$5,N(Settings!$C$41),N(Calc!$AX$109))+Calc!$BD$110)</f>
        <v/>
      </c>
      <c r="DD43" s="31">
        <f>IF(OR(Settings!$A$41="",OR(EOMONTH(DD$4,0)&lt;=Settings!$B$5,DD$4&gt;TODAY())),"",IF(EOMONTH(DC$4,0)&lt;=Settings!$B$5,N(Settings!$C$41),N(Calc!$AX$110))+Calc!$BD$111)</f>
        <v/>
      </c>
      <c r="DE43" s="31">
        <f>IF(OR(Settings!$A$41="",OR(EOMONTH(DE$4,0)&lt;=Settings!$B$5,DE$4&gt;TODAY())),"",IF(EOMONTH(DD$4,0)&lt;=Settings!$B$5,N(Settings!$C$41),N(Calc!$AX$111))+Calc!$BD$112)</f>
        <v/>
      </c>
      <c r="DF43" s="31">
        <f>IF(OR(Settings!$A$41="",OR(EOMONTH(DF$4,0)&lt;=Settings!$B$5,DF$4&gt;TODAY())),"",IF(EOMONTH(DE$4,0)&lt;=Settings!$B$5,N(Settings!$C$41),N(Calc!$AX$112))+Calc!$BD$113)</f>
        <v/>
      </c>
      <c r="DG43" s="31">
        <f>IF(OR(Settings!$A$41="",OR(EOMONTH(DG$4,0)&lt;=Settings!$B$5,DG$4&gt;TODAY())),"",IF(EOMONTH(DF$4,0)&lt;=Settings!$B$5,N(Settings!$C$41),N(Calc!$AX$113))+Calc!$BD$114)</f>
        <v/>
      </c>
      <c r="DH43" s="31">
        <f>IF(OR(Settings!$A$41="",OR(EOMONTH(DH$4,0)&lt;=Settings!$B$5,DH$4&gt;TODAY())),"",IF(EOMONTH(DG$4,0)&lt;=Settings!$B$5,N(Settings!$C$41),N(Calc!$AX$114))+Calc!$BD$115)</f>
        <v/>
      </c>
      <c r="DI43" s="31">
        <f>IF(OR(Settings!$A$41="",OR(EOMONTH(DI$4,0)&lt;=Settings!$B$5,DI$4&gt;TODAY())),"",IF(EOMONTH(DH$4,0)&lt;=Settings!$B$5,N(Settings!$C$41),N(Calc!$AX$115))+Calc!$BD$116)</f>
        <v/>
      </c>
      <c r="DJ43" s="31">
        <f>IF(OR(Settings!$A$41="",OR(EOMONTH(DJ$4,0)&lt;=Settings!$B$5,DJ$4&gt;TODAY())),"",IF(EOMONTH(DI$4,0)&lt;=Settings!$B$5,N(Settings!$C$41),N(Calc!$AX$116))+Calc!$BD$117)</f>
        <v/>
      </c>
      <c r="DK43" s="31">
        <f>IF(OR(Settings!$A$41="",OR(EOMONTH(DK$4,0)&lt;=Settings!$B$5,DK$4&gt;TODAY())),"",IF(EOMONTH(DJ$4,0)&lt;=Settings!$B$5,N(Settings!$C$41),N(Calc!$AX$117))+Calc!$BD$118)</f>
        <v/>
      </c>
      <c r="DL43" s="31">
        <f>IF(OR(Settings!$A$41="",OR(EOMONTH(DL$4,0)&lt;=Settings!$B$5,DL$4&gt;TODAY())),"",IF(EOMONTH(DK$4,0)&lt;=Settings!$B$5,N(Settings!$C$41),N(Calc!$AX$118))+Calc!$BD$119)</f>
        <v/>
      </c>
      <c r="DM43" s="31">
        <f>IF(OR(Settings!$A$41="",OR(EOMONTH(DM$4,0)&lt;=Settings!$B$5,DM$4&gt;TODAY())),"",IF(EOMONTH(DL$4,0)&lt;=Settings!$B$5,N(Settings!$C$41),N(Calc!$AX$119))+Calc!$BD$120)</f>
        <v/>
      </c>
      <c r="DN43" s="31">
        <f>IF(OR(Settings!$A$41="",OR(EOMONTH(DN$4,0)&lt;=Settings!$B$5,DN$4&gt;TODAY())),"",IF(EOMONTH(DM$4,0)&lt;=Settings!$B$5,N(Settings!$C$41),N(Calc!$AX$120))+Calc!$BD$121)</f>
        <v/>
      </c>
      <c r="DO43" s="31">
        <f>IF(OR(Settings!$A$41="",OR(EOMONTH(DO$4,0)&lt;=Settings!$B$5,DO$4&gt;TODAY())),"",IF(EOMONTH(DN$4,0)&lt;=Settings!$B$5,N(Settings!$C$41),N(Calc!$AX$121))+Calc!$BD$122)</f>
        <v/>
      </c>
      <c r="DP43" s="31">
        <f>IF(OR(Settings!$A$41="",OR(EOMONTH(DP$4,0)&lt;=Settings!$B$5,DP$4&gt;TODAY())),"",IF(EOMONTH(DO$4,0)&lt;=Settings!$B$5,N(Settings!$C$41),N(Calc!$AX$122))+Calc!$BD$123)</f>
        <v/>
      </c>
      <c r="DQ43" s="31">
        <f>IF(OR(Settings!$A$41="",OR(EOMONTH(DQ$4,0)&lt;=Settings!$B$5,DQ$4&gt;TODAY())),"",IF(EOMONTH(DP$4,0)&lt;=Settings!$B$5,N(Settings!$C$41),N(Calc!$AX$123))+Calc!$BD$124)</f>
        <v/>
      </c>
      <c r="DR43" s="31">
        <f>IF(OR(Settings!$A$41="",OR(EOMONTH(DR$4,0)&lt;=Settings!$B$5,DR$4&gt;TODAY())),"",IF(EOMONTH(DQ$4,0)&lt;=Settings!$B$5,N(Settings!$C$41),N(Calc!$AX$124))+Calc!$BD$125)</f>
        <v/>
      </c>
      <c r="DS43" s="31">
        <f>IF(OR(Settings!$A$41="",OR(EOMONTH(DS$4,0)&lt;=Settings!$B$5,DS$4&gt;TODAY())),"",IF(EOMONTH(DR$4,0)&lt;=Settings!$B$5,N(Settings!$C$41),N(Calc!$AX$125))+Calc!$BD$126)</f>
        <v/>
      </c>
      <c r="DT43" s="31">
        <f>IF(OR(Settings!$A$41="",OR(EOMONTH(DT$4,0)&lt;=Settings!$B$5,DT$4&gt;TODAY())),"",IF(EOMONTH(DS$4,0)&lt;=Settings!$B$5,N(Settings!$C$41),N(Calc!$AX$126))+Calc!$BD$127)</f>
        <v/>
      </c>
      <c r="DU43" s="31">
        <f>IF(OR(Settings!$A$41="",OR(EOMONTH(DU$4,0)&lt;=Settings!$B$5,DU$4&gt;TODAY())),"",IF(EOMONTH(DT$4,0)&lt;=Settings!$B$5,N(Settings!$C$41),N(Calc!$AX$127))+Calc!$BD$128)</f>
        <v/>
      </c>
      <c r="DV43" s="31">
        <f>IF(OR(Settings!$A$41="",OR(EOMONTH(DV$4,0)&lt;=Settings!$B$5,DV$4&gt;TODAY())),"",IF(EOMONTH(DU$4,0)&lt;=Settings!$B$5,N(Settings!$C$41),N(Calc!$AX$128))+Calc!$BD$129)</f>
        <v/>
      </c>
      <c r="DW43" s="31">
        <f>IF(OR(Settings!$A$41="",OR(EOMONTH(DW$4,0)&lt;=Settings!$B$5,DW$4&gt;TODAY())),"",IF(EOMONTH(DV$4,0)&lt;=Settings!$B$5,N(Settings!$C$41),N(Calc!$AX$129))+Calc!$BD$130)</f>
        <v/>
      </c>
      <c r="DX43" s="31">
        <f>IF(OR(Settings!$A$41="",OR(EOMONTH(DX$4,0)&lt;=Settings!$B$5,DX$4&gt;TODAY())),"",IF(EOMONTH(DW$4,0)&lt;=Settings!$B$5,N(Settings!$C$41),N(Calc!$AX$130))+Calc!$BD$131)</f>
        <v/>
      </c>
      <c r="DY43" s="31">
        <f>IF(OR(Settings!$A$41="",OR(EOMONTH(DY$4,0)&lt;=Settings!$B$5,DY$4&gt;TODAY())),"",IF(EOMONTH(DX$4,0)&lt;=Settings!$B$5,N(Settings!$C$41),N(Calc!$AX$131))+Calc!$BD$132)</f>
        <v/>
      </c>
      <c r="DZ43" s="31">
        <f>IF(OR(Settings!$A$41="",OR(EOMONTH(DZ$4,0)&lt;=Settings!$B$5,DZ$4&gt;TODAY())),"",IF(EOMONTH(DY$4,0)&lt;=Settings!$B$5,N(Settings!$C$41),N(Calc!$AX$132))+Calc!$BD$133)</f>
        <v/>
      </c>
      <c r="EA43" s="31">
        <f>IF(OR(Settings!$A$41="",OR(EOMONTH(EA$4,0)&lt;=Settings!$B$5,EA$4&gt;TODAY())),"",IF(EOMONTH(DZ$4,0)&lt;=Settings!$B$5,N(Settings!$C$41),N(Calc!$AX$133))+Calc!$BD$134)</f>
        <v/>
      </c>
      <c r="EB43" s="31">
        <f>IF(OR(Settings!$A$41="",OR(EOMONTH(EB$4,0)&lt;=Settings!$B$5,EB$4&gt;TODAY())),"",IF(EOMONTH(EA$4,0)&lt;=Settings!$B$5,N(Settings!$C$41),N(Calc!$AX$134))+Calc!$BD$135)</f>
        <v/>
      </c>
      <c r="EC43" s="31">
        <f>IF(OR(Settings!$A$41="",OR(EOMONTH(EC$4,0)&lt;=Settings!$B$5,EC$4&gt;TODAY())),"",IF(EOMONTH(EB$4,0)&lt;=Settings!$B$5,N(Settings!$C$41),N(Calc!$AX$135))+Calc!$BD$136)</f>
        <v/>
      </c>
      <c r="ED43" s="31">
        <f>IF(OR(Settings!$A$41="",OR(EOMONTH(ED$4,0)&lt;=Settings!$B$5,ED$4&gt;TODAY())),"",IF(EOMONTH(EC$4,0)&lt;=Settings!$B$5,N(Settings!$C$41),N(Calc!$AX$136))+Calc!$BD$137)</f>
        <v/>
      </c>
      <c r="EE43" s="31">
        <f>IF(OR(Settings!$A$41="",OR(EOMONTH(EE$4,0)&lt;=Settings!$B$5,EE$4&gt;TODAY())),"",IF(EOMONTH(ED$4,0)&lt;=Settings!$B$5,N(Settings!$C$41),N(Calc!$AX$137))+Calc!$BD$138)</f>
        <v/>
      </c>
      <c r="EF43" s="31">
        <f>IF(OR(Settings!$A$41="",OR(EOMONTH(EF$4,0)&lt;=Settings!$B$5,EF$4&gt;TODAY())),"",IF(EOMONTH(EE$4,0)&lt;=Settings!$B$5,N(Settings!$C$41),N(Calc!$AX$138))+Calc!$BD$139)</f>
        <v/>
      </c>
      <c r="EG43" s="31">
        <f>IF(OR(Settings!$A$41="",OR(EOMONTH(EG$4,0)&lt;=Settings!$B$5,EG$4&gt;TODAY())),"",IF(EOMONTH(EF$4,0)&lt;=Settings!$B$5,N(Settings!$C$41),N(Calc!$AX$139))+Calc!$BD$140)</f>
        <v/>
      </c>
      <c r="EH43" s="31">
        <f>IF(OR(Settings!$A$41="",OR(EOMONTH(EH$4,0)&lt;=Settings!$B$5,EH$4&gt;TODAY())),"",IF(EOMONTH(EG$4,0)&lt;=Settings!$B$5,N(Settings!$C$41),N(Calc!$AX$140))+Calc!$BD$141)</f>
        <v/>
      </c>
      <c r="EI43" s="31">
        <f>IF(OR(Settings!$A$41="",OR(EOMONTH(EI$4,0)&lt;=Settings!$B$5,EI$4&gt;TODAY())),"",IF(EOMONTH(EH$4,0)&lt;=Settings!$B$5,N(Settings!$C$41),N(Calc!$AX$141))+Calc!$BD$142)</f>
        <v/>
      </c>
      <c r="EJ43" s="31">
        <f>IF(OR(Settings!$A$41="",OR(EOMONTH(EJ$4,0)&lt;=Settings!$B$5,EJ$4&gt;TODAY())),"",IF(EOMONTH(EI$4,0)&lt;=Settings!$B$5,N(Settings!$C$41),N(Calc!$AX$142))+Calc!$BD$143)</f>
        <v/>
      </c>
      <c r="EK43" s="31">
        <f>IF(OR(Settings!$A$41="",OR(EOMONTH(EK$4,0)&lt;=Settings!$B$5,EK$4&gt;TODAY())),"",IF(EOMONTH(EJ$4,0)&lt;=Settings!$B$5,N(Settings!$C$41),N(Calc!$AX$143))+Calc!$BD$144)</f>
        <v/>
      </c>
      <c r="EL43" s="31">
        <f>IF(OR(Settings!$A$41="",OR(EOMONTH(EL$4,0)&lt;=Settings!$B$5,EL$4&gt;TODAY())),"",IF(EOMONTH(EK$4,0)&lt;=Settings!$B$5,N(Settings!$C$41),N(Calc!$AX$144))+Calc!$BD$145)</f>
        <v/>
      </c>
      <c r="EM43" s="31">
        <f>IF(OR(Settings!$A$41="",OR(EOMONTH(EM$4,0)&lt;=Settings!$B$5,EM$4&gt;TODAY())),"",IF(EOMONTH(EL$4,0)&lt;=Settings!$B$5,N(Settings!$C$41),N(Calc!$AX$145))+Calc!$BD$146)</f>
        <v/>
      </c>
      <c r="EN43" s="31">
        <f>IF(OR(Settings!$A$41="",OR(EOMONTH(EN$4,0)&lt;=Settings!$B$5,EN$4&gt;TODAY())),"",IF(EOMONTH(EM$4,0)&lt;=Settings!$B$5,N(Settings!$C$41),N(Calc!$AX$146))+Calc!$BD$147)</f>
        <v/>
      </c>
      <c r="EO43" s="31">
        <f>IF(OR(Settings!$A$41="",OR(EOMONTH(EO$4,0)&lt;=Settings!$B$5,EO$4&gt;TODAY())),"",IF(EOMONTH(EN$4,0)&lt;=Settings!$B$5,N(Settings!$C$41),N(Calc!$AX$147))+Calc!$BD$148)</f>
        <v/>
      </c>
      <c r="EP43" s="31">
        <f>IF(OR(Settings!$A$41="",OR(EOMONTH(EP$4,0)&lt;=Settings!$B$5,EP$4&gt;TODAY())),"",IF(EOMONTH(EO$4,0)&lt;=Settings!$B$5,N(Settings!$C$41),N(Calc!$AX$148))+Calc!$BD$149)</f>
        <v/>
      </c>
      <c r="EQ43" s="31">
        <f>IF(OR(Settings!$A$41="",OR(EOMONTH(EQ$4,0)&lt;=Settings!$B$5,EQ$4&gt;TODAY())),"",IF(EOMONTH(EP$4,0)&lt;=Settings!$B$5,N(Settings!$C$41),N(Calc!$AX$149))+Calc!$BD$150)</f>
        <v/>
      </c>
      <c r="ER43" s="31">
        <f>IF(OR(Settings!$A$41="",OR(EOMONTH(ER$4,0)&lt;=Settings!$B$5,ER$4&gt;TODAY())),"",IF(EOMONTH(EQ$4,0)&lt;=Settings!$B$5,N(Settings!$C$41),N(Calc!$AX$150))+Calc!$BD$151)</f>
        <v/>
      </c>
      <c r="ES43" s="31">
        <f>IF(OR(Settings!$A$41="",OR(EOMONTH(ES$4,0)&lt;=Settings!$B$5,ES$4&gt;TODAY())),"",IF(EOMONTH(ER$4,0)&lt;=Settings!$B$5,N(Settings!$C$41),N(Calc!$AX$151))+Calc!$BD$152)</f>
        <v/>
      </c>
      <c r="ET43" s="31">
        <f>IF(OR(Settings!$A$41="",OR(EOMONTH(ET$4,0)&lt;=Settings!$B$5,ET$4&gt;TODAY())),"",IF(EOMONTH(ES$4,0)&lt;=Settings!$B$5,N(Settings!$C$41),N(Calc!$AX$152))+Calc!$BD$153)</f>
        <v/>
      </c>
      <c r="EU43" s="31">
        <f>IF(OR(Settings!$A$41="",OR(EOMONTH(EU$4,0)&lt;=Settings!$B$5,EU$4&gt;TODAY())),"",IF(EOMONTH(ET$4,0)&lt;=Settings!$B$5,N(Settings!$C$41),N(Calc!$AX$153))+Calc!$BD$154)</f>
        <v/>
      </c>
      <c r="EV43" s="31">
        <f>IF(OR(Settings!$A$41="",OR(EOMONTH(EV$4,0)&lt;=Settings!$B$5,EV$4&gt;TODAY())),"",IF(EOMONTH(EU$4,0)&lt;=Settings!$B$5,N(Settings!$C$41),N(Calc!$AX$154))+Calc!$BD$155)</f>
        <v/>
      </c>
      <c r="EW43" s="31">
        <f>IF(OR(Settings!$A$41="",OR(EOMONTH(EW$4,0)&lt;=Settings!$B$5,EW$4&gt;TODAY())),"",IF(EOMONTH(EV$4,0)&lt;=Settings!$B$5,N(Settings!$C$41),N(Calc!$AX$155))+Calc!$BD$156)</f>
        <v/>
      </c>
      <c r="EX43" s="31">
        <f>IF(OR(Settings!$A$41="",OR(EOMONTH(EX$4,0)&lt;=Settings!$B$5,EX$4&gt;TODAY())),"",IF(EOMONTH(EW$4,0)&lt;=Settings!$B$5,N(Settings!$C$41),N(Calc!$AX$156))+Calc!$BD$157)</f>
        <v/>
      </c>
      <c r="EY43" s="31">
        <f>IF(OR(Settings!$A$41="",OR(EOMONTH(EY$4,0)&lt;=Settings!$B$5,EY$4&gt;TODAY())),"",IF(EOMONTH(EX$4,0)&lt;=Settings!$B$5,N(Settings!$C$41),N(Calc!$AX$157))+Calc!$BD$158)</f>
        <v/>
      </c>
      <c r="EZ43" s="31">
        <f>IF(OR(Settings!$A$41="",OR(EOMONTH(EZ$4,0)&lt;=Settings!$B$5,EZ$4&gt;TODAY())),"",IF(EOMONTH(EY$4,0)&lt;=Settings!$B$5,N(Settings!$C$41),N(Calc!$AX$158))+Calc!$BD$159)</f>
        <v/>
      </c>
      <c r="FA43" s="31">
        <f>IF(OR(Settings!$A$41="",OR(EOMONTH(FA$4,0)&lt;=Settings!$B$5,FA$4&gt;TODAY())),"",IF(EOMONTH(EZ$4,0)&lt;=Settings!$B$5,N(Settings!$C$41),N(Calc!$AX$159))+Calc!$BD$160)</f>
        <v/>
      </c>
      <c r="FB43" s="31">
        <f>IF(OR(Settings!$A$41="",OR(EOMONTH(FB$4,0)&lt;=Settings!$B$5,FB$4&gt;TODAY())),"",IF(EOMONTH(FA$4,0)&lt;=Settings!$B$5,N(Settings!$C$41),N(Calc!$AX$160))+Calc!$BD$161)</f>
        <v/>
      </c>
      <c r="FC43" s="31">
        <f>IF(OR(Settings!$A$41="",OR(EOMONTH(FC$4,0)&lt;=Settings!$B$5,FC$4&gt;TODAY())),"",IF(EOMONTH(FB$4,0)&lt;=Settings!$B$5,N(Settings!$C$41),N(Calc!$AX$161))+Calc!$BD$162)</f>
        <v/>
      </c>
      <c r="FD43" s="31">
        <f>IF(OR(Settings!$A$41="",OR(EOMONTH(FD$4,0)&lt;=Settings!$B$5,FD$4&gt;TODAY())),"",IF(EOMONTH(FC$4,0)&lt;=Settings!$B$5,N(Settings!$C$41),N(Calc!$AX$162))+Calc!$BD$163)</f>
        <v/>
      </c>
      <c r="FE43" s="31">
        <f>IF(OR(Settings!$A$41="",OR(EOMONTH(FE$4,0)&lt;=Settings!$B$5,FE$4&gt;TODAY())),"",IF(EOMONTH(FD$4,0)&lt;=Settings!$B$5,N(Settings!$C$41),N(Calc!$AX$163))+Calc!$BD$164)</f>
        <v/>
      </c>
      <c r="FF43" s="31">
        <f>IF(OR(Settings!$A$41="",OR(EOMONTH(FF$4,0)&lt;=Settings!$B$5,FF$4&gt;TODAY())),"",IF(EOMONTH(FE$4,0)&lt;=Settings!$B$5,N(Settings!$C$41),N(Calc!$AX$164))+Calc!$BD$165)</f>
        <v/>
      </c>
      <c r="FG43" s="31">
        <f>IF(OR(Settings!$A$41="",OR(EOMONTH(FG$4,0)&lt;=Settings!$B$5,FG$4&gt;TODAY())),"",IF(EOMONTH(FF$4,0)&lt;=Settings!$B$5,N(Settings!$C$41),N(Calc!$AX$165))+Calc!$BD$166)</f>
        <v/>
      </c>
      <c r="FH43" s="31">
        <f>IF(OR(Settings!$A$41="",OR(EOMONTH(FH$4,0)&lt;=Settings!$B$5,FH$4&gt;TODAY())),"",IF(EOMONTH(FG$4,0)&lt;=Settings!$B$5,N(Settings!$C$41),N(Calc!$AX$166))+Calc!$BD$167)</f>
        <v/>
      </c>
      <c r="FI43" s="31">
        <f>IF(OR(Settings!$A$41="",OR(EOMONTH(FI$4,0)&lt;=Settings!$B$5,FI$4&gt;TODAY())),"",IF(EOMONTH(FH$4,0)&lt;=Settings!$B$5,N(Settings!$C$41),N(Calc!$AX$167))+Calc!$BD$168)</f>
        <v/>
      </c>
      <c r="FJ43" s="31">
        <f>IF(OR(Settings!$A$41="",OR(EOMONTH(FJ$4,0)&lt;=Settings!$B$5,FJ$4&gt;TODAY())),"",IF(EOMONTH(FI$4,0)&lt;=Settings!$B$5,N(Settings!$C$41),N(Calc!$AX$168))+Calc!$BD$169)</f>
        <v/>
      </c>
      <c r="FK43" s="31">
        <f>IF(OR(Settings!$A$41="",OR(EOMONTH(FK$4,0)&lt;=Settings!$B$5,FK$4&gt;TODAY())),"",IF(EOMONTH(FJ$4,0)&lt;=Settings!$B$5,N(Settings!$C$41),N(Calc!$AX$169))+Calc!$BD$170)</f>
        <v/>
      </c>
      <c r="FL43" s="31">
        <f>IF(OR(Settings!$A$41="",OR(EOMONTH(FL$4,0)&lt;=Settings!$B$5,FL$4&gt;TODAY())),"",IF(EOMONTH(FK$4,0)&lt;=Settings!$B$5,N(Settings!$C$41),N(Calc!$AX$170))+Calc!$BD$171)</f>
        <v/>
      </c>
      <c r="FM43" s="31">
        <f>IF(OR(Settings!$A$41="",OR(EOMONTH(FM$4,0)&lt;=Settings!$B$5,FM$4&gt;TODAY())),"",IF(EOMONTH(FL$4,0)&lt;=Settings!$B$5,N(Settings!$C$41),N(Calc!$AX$171))+Calc!$BD$172)</f>
        <v/>
      </c>
      <c r="FN43" s="31">
        <f>IF(OR(Settings!$A$41="",OR(EOMONTH(FN$4,0)&lt;=Settings!$B$5,FN$4&gt;TODAY())),"",IF(EOMONTH(FM$4,0)&lt;=Settings!$B$5,N(Settings!$C$41),N(Calc!$AX$172))+Calc!$BD$173)</f>
        <v/>
      </c>
      <c r="FO43" s="31">
        <f>IF(OR(Settings!$A$41="",OR(EOMONTH(FO$4,0)&lt;=Settings!$B$5,FO$4&gt;TODAY())),"",IF(EOMONTH(FN$4,0)&lt;=Settings!$B$5,N(Settings!$C$41),N(Calc!$AX$173))+Calc!$BD$174)</f>
        <v/>
      </c>
      <c r="FP43" s="31">
        <f>IF(OR(Settings!$A$41="",OR(EOMONTH(FP$4,0)&lt;=Settings!$B$5,FP$4&gt;TODAY())),"",IF(EOMONTH(FO$4,0)&lt;=Settings!$B$5,N(Settings!$C$41),N(Calc!$AX$174))+Calc!$BD$175)</f>
        <v/>
      </c>
      <c r="FQ43" s="31">
        <f>IF(OR(Settings!$A$41="",OR(EOMONTH(FQ$4,0)&lt;=Settings!$B$5,FQ$4&gt;TODAY())),"",IF(EOMONTH(FP$4,0)&lt;=Settings!$B$5,N(Settings!$C$41),N(Calc!$AX$175))+Calc!$BD$176)</f>
        <v/>
      </c>
      <c r="FR43" s="31">
        <f>IF(OR(Settings!$A$41="",OR(EOMONTH(FR$4,0)&lt;=Settings!$B$5,FR$4&gt;TODAY())),"",IF(EOMONTH(FQ$4,0)&lt;=Settings!$B$5,N(Settings!$C$41),N(Calc!$AX$176))+Calc!$BD$177)</f>
        <v/>
      </c>
      <c r="FS43" s="31">
        <f>IF(OR(Settings!$A$41="",OR(EOMONTH(FS$4,0)&lt;=Settings!$B$5,FS$4&gt;TODAY())),"",IF(EOMONTH(FR$4,0)&lt;=Settings!$B$5,N(Settings!$C$41),N(Calc!$AX$177))+Calc!$BD$178)</f>
        <v/>
      </c>
      <c r="FT43" s="31">
        <f>IF(OR(Settings!$A$41="",OR(EOMONTH(FT$4,0)&lt;=Settings!$B$5,FT$4&gt;TODAY())),"",IF(EOMONTH(FS$4,0)&lt;=Settings!$B$5,N(Settings!$C$41),N(Calc!$AX$178))+Calc!$BD$179)</f>
        <v/>
      </c>
      <c r="FU43" s="31">
        <f>IF(OR(Settings!$A$41="",OR(EOMONTH(FU$4,0)&lt;=Settings!$B$5,FU$4&gt;TODAY())),"",IF(EOMONTH(FT$4,0)&lt;=Settings!$B$5,N(Settings!$C$41),N(Calc!$AX$179))+Calc!$BD$180)</f>
        <v/>
      </c>
      <c r="FV43" s="31">
        <f>IF(OR(Settings!$A$41="",OR(EOMONTH(FV$4,0)&lt;=Settings!$B$5,FV$4&gt;TODAY())),"",IF(EOMONTH(FU$4,0)&lt;=Settings!$B$5,N(Settings!$C$41),N(Calc!$AX$180))+Calc!$BD$181)</f>
        <v/>
      </c>
      <c r="FW43" s="31">
        <f>IF(OR(Settings!$A$41="",OR(EOMONTH(FW$4,0)&lt;=Settings!$B$5,FW$4&gt;TODAY())),"",IF(EOMONTH(FV$4,0)&lt;=Settings!$B$5,N(Settings!$C$41),N(Calc!$AX$181))+Calc!$BD$182)</f>
        <v/>
      </c>
      <c r="FX43" s="31">
        <f>IF(OR(Settings!$A$41="",OR(EOMONTH(FX$4,0)&lt;=Settings!$B$5,FX$4&gt;TODAY())),"",IF(EOMONTH(FW$4,0)&lt;=Settings!$B$5,N(Settings!$C$41),N(Calc!$AX$182))+Calc!$BD$183)</f>
        <v/>
      </c>
    </row>
    <row r="44" ht="26" customHeight="1">
      <c r="A44" s="11" t="inlineStr">
        <is>
          <t>4 · Moved into investments this month (+ in / − out)</t>
        </is>
      </c>
      <c r="B44" s="12" t="n"/>
    </row>
    <row r="45">
      <c r="A45" s="15">
        <f>IF(Settings!$A$36="","(unused)",Settings!$A$36&amp;" — deposited")</f>
        <v/>
      </c>
      <c r="B45" s="26">
        <f>IF(Settings!$A$36="","","from your own accounts")</f>
        <v/>
      </c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  <c r="AL45" s="31" t="n"/>
      <c r="AM45" s="31" t="n"/>
      <c r="AN45" s="31" t="n"/>
      <c r="AO45" s="31" t="n"/>
      <c r="AP45" s="31" t="n"/>
      <c r="AQ45" s="31" t="n"/>
      <c r="AR45" s="31" t="n"/>
      <c r="AS45" s="31" t="n"/>
      <c r="AT45" s="31" t="n"/>
      <c r="AU45" s="31" t="n"/>
      <c r="AV45" s="31" t="n"/>
      <c r="AW45" s="31" t="n"/>
      <c r="AX45" s="31" t="n"/>
      <c r="AY45" s="31" t="n"/>
      <c r="AZ45" s="31" t="n"/>
      <c r="BA45" s="31" t="n"/>
      <c r="BB45" s="31" t="n"/>
      <c r="BC45" s="31" t="n"/>
      <c r="BD45" s="31" t="n"/>
      <c r="BE45" s="31" t="n"/>
      <c r="BF45" s="31" t="n"/>
      <c r="BG45" s="31" t="n"/>
      <c r="BH45" s="31" t="n"/>
      <c r="BI45" s="31" t="n"/>
      <c r="BJ45" s="31" t="n"/>
      <c r="BK45" s="31" t="n"/>
      <c r="BL45" s="31" t="n"/>
      <c r="BM45" s="31" t="n"/>
      <c r="BN45" s="31" t="n"/>
      <c r="BO45" s="31" t="n"/>
      <c r="BP45" s="31" t="n"/>
      <c r="BQ45" s="31" t="n"/>
      <c r="BR45" s="31" t="n"/>
      <c r="BS45" s="31" t="n"/>
      <c r="BT45" s="31" t="n"/>
      <c r="BU45" s="31" t="n"/>
      <c r="BV45" s="31" t="n"/>
      <c r="BW45" s="31" t="n"/>
      <c r="BX45" s="31" t="n"/>
      <c r="BY45" s="31" t="n"/>
      <c r="BZ45" s="31" t="n"/>
      <c r="CA45" s="31" t="n"/>
      <c r="CB45" s="31" t="n"/>
      <c r="CC45" s="31" t="n"/>
      <c r="CD45" s="31" t="n"/>
      <c r="CE45" s="31" t="n"/>
      <c r="CF45" s="31" t="n"/>
      <c r="CG45" s="31" t="n"/>
      <c r="CH45" s="31" t="n"/>
      <c r="CI45" s="31" t="n"/>
      <c r="CJ45" s="31" t="n"/>
      <c r="CK45" s="31" t="n"/>
      <c r="CL45" s="31" t="n"/>
      <c r="CM45" s="31" t="n"/>
      <c r="CN45" s="31" t="n"/>
      <c r="CO45" s="31" t="n"/>
      <c r="CP45" s="31" t="n"/>
      <c r="CQ45" s="31" t="n"/>
      <c r="CR45" s="31" t="n"/>
      <c r="CS45" s="31" t="n"/>
      <c r="CT45" s="31" t="n"/>
      <c r="CU45" s="31" t="n"/>
      <c r="CV45" s="31" t="n"/>
      <c r="CW45" s="31" t="n"/>
      <c r="CX45" s="31" t="n"/>
      <c r="CY45" s="31" t="n"/>
      <c r="CZ45" s="31" t="n"/>
      <c r="DA45" s="31" t="n"/>
      <c r="DB45" s="31" t="n"/>
      <c r="DC45" s="31" t="n"/>
      <c r="DD45" s="31" t="n"/>
      <c r="DE45" s="31" t="n"/>
      <c r="DF45" s="31" t="n"/>
      <c r="DG45" s="31" t="n"/>
      <c r="DH45" s="31" t="n"/>
      <c r="DI45" s="31" t="n"/>
      <c r="DJ45" s="31" t="n"/>
      <c r="DK45" s="31" t="n"/>
      <c r="DL45" s="31" t="n"/>
      <c r="DM45" s="31" t="n"/>
      <c r="DN45" s="31" t="n"/>
      <c r="DO45" s="31" t="n"/>
      <c r="DP45" s="31" t="n"/>
      <c r="DQ45" s="31" t="n"/>
      <c r="DR45" s="31" t="n"/>
      <c r="DS45" s="31" t="n"/>
      <c r="DT45" s="31" t="n"/>
      <c r="DU45" s="31" t="n"/>
      <c r="DV45" s="31" t="n"/>
      <c r="DW45" s="31" t="n"/>
      <c r="DX45" s="31" t="n"/>
      <c r="DY45" s="31" t="n"/>
      <c r="DZ45" s="31" t="n"/>
      <c r="EA45" s="31" t="n"/>
      <c r="EB45" s="31" t="n"/>
      <c r="EC45" s="31" t="n"/>
      <c r="ED45" s="31" t="n"/>
      <c r="EE45" s="31" t="n"/>
      <c r="EF45" s="31" t="n"/>
      <c r="EG45" s="31" t="n"/>
      <c r="EH45" s="31" t="n"/>
      <c r="EI45" s="31" t="n"/>
      <c r="EJ45" s="31" t="n"/>
      <c r="EK45" s="31" t="n"/>
      <c r="EL45" s="31" t="n"/>
      <c r="EM45" s="31" t="n"/>
      <c r="EN45" s="31" t="n"/>
      <c r="EO45" s="31" t="n"/>
      <c r="EP45" s="31" t="n"/>
      <c r="EQ45" s="31" t="n"/>
      <c r="ER45" s="31" t="n"/>
      <c r="ES45" s="31" t="n"/>
      <c r="ET45" s="31" t="n"/>
      <c r="EU45" s="31" t="n"/>
      <c r="EV45" s="31" t="n"/>
      <c r="EW45" s="31" t="n"/>
      <c r="EX45" s="31" t="n"/>
      <c r="EY45" s="31" t="n"/>
      <c r="EZ45" s="31" t="n"/>
      <c r="FA45" s="31" t="n"/>
      <c r="FB45" s="31" t="n"/>
      <c r="FC45" s="31" t="n"/>
      <c r="FD45" s="31" t="n"/>
      <c r="FE45" s="31" t="n"/>
      <c r="FF45" s="31" t="n"/>
      <c r="FG45" s="31" t="n"/>
      <c r="FH45" s="31" t="n"/>
      <c r="FI45" s="31" t="n"/>
      <c r="FJ45" s="31" t="n"/>
      <c r="FK45" s="31" t="n"/>
      <c r="FL45" s="31" t="n"/>
      <c r="FM45" s="31" t="n"/>
      <c r="FN45" s="31" t="n"/>
      <c r="FO45" s="31" t="n"/>
      <c r="FP45" s="31" t="n"/>
      <c r="FQ45" s="31" t="n"/>
      <c r="FR45" s="31" t="n"/>
      <c r="FS45" s="31" t="n"/>
      <c r="FT45" s="31" t="n"/>
      <c r="FU45" s="31" t="n"/>
      <c r="FV45" s="31" t="n"/>
      <c r="FW45" s="31" t="n"/>
      <c r="FX45" s="31" t="n"/>
    </row>
    <row r="46">
      <c r="A46" s="15">
        <f>IF(Settings!$A$37="","(unused)",Settings!$A$37&amp;" — deposited")</f>
        <v/>
      </c>
      <c r="B46" s="26">
        <f>IF(Settings!$A$37="","","from your own accounts")</f>
        <v/>
      </c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  <c r="AL46" s="31" t="n"/>
      <c r="AM46" s="31" t="n"/>
      <c r="AN46" s="31" t="n"/>
      <c r="AO46" s="31" t="n"/>
      <c r="AP46" s="31" t="n"/>
      <c r="AQ46" s="31" t="n"/>
      <c r="AR46" s="31" t="n"/>
      <c r="AS46" s="31" t="n"/>
      <c r="AT46" s="31" t="n"/>
      <c r="AU46" s="31" t="n"/>
      <c r="AV46" s="31" t="n"/>
      <c r="AW46" s="31" t="n"/>
      <c r="AX46" s="31" t="n"/>
      <c r="AY46" s="31" t="n"/>
      <c r="AZ46" s="31" t="n"/>
      <c r="BA46" s="31" t="n"/>
      <c r="BB46" s="31" t="n"/>
      <c r="BC46" s="31" t="n"/>
      <c r="BD46" s="31" t="n"/>
      <c r="BE46" s="31" t="n"/>
      <c r="BF46" s="31" t="n"/>
      <c r="BG46" s="31" t="n"/>
      <c r="BH46" s="31" t="n"/>
      <c r="BI46" s="31" t="n"/>
      <c r="BJ46" s="31" t="n"/>
      <c r="BK46" s="31" t="n"/>
      <c r="BL46" s="31" t="n"/>
      <c r="BM46" s="31" t="n"/>
      <c r="BN46" s="31" t="n"/>
      <c r="BO46" s="31" t="n"/>
      <c r="BP46" s="31" t="n"/>
      <c r="BQ46" s="31" t="n"/>
      <c r="BR46" s="31" t="n"/>
      <c r="BS46" s="31" t="n"/>
      <c r="BT46" s="31" t="n"/>
      <c r="BU46" s="31" t="n"/>
      <c r="BV46" s="31" t="n"/>
      <c r="BW46" s="31" t="n"/>
      <c r="BX46" s="31" t="n"/>
      <c r="BY46" s="31" t="n"/>
      <c r="BZ46" s="31" t="n"/>
      <c r="CA46" s="31" t="n"/>
      <c r="CB46" s="31" t="n"/>
      <c r="CC46" s="31" t="n"/>
      <c r="CD46" s="31" t="n"/>
      <c r="CE46" s="31" t="n"/>
      <c r="CF46" s="31" t="n"/>
      <c r="CG46" s="31" t="n"/>
      <c r="CH46" s="31" t="n"/>
      <c r="CI46" s="31" t="n"/>
      <c r="CJ46" s="31" t="n"/>
      <c r="CK46" s="31" t="n"/>
      <c r="CL46" s="31" t="n"/>
      <c r="CM46" s="31" t="n"/>
      <c r="CN46" s="31" t="n"/>
      <c r="CO46" s="31" t="n"/>
      <c r="CP46" s="31" t="n"/>
      <c r="CQ46" s="31" t="n"/>
      <c r="CR46" s="31" t="n"/>
      <c r="CS46" s="31" t="n"/>
      <c r="CT46" s="31" t="n"/>
      <c r="CU46" s="31" t="n"/>
      <c r="CV46" s="31" t="n"/>
      <c r="CW46" s="31" t="n"/>
      <c r="CX46" s="31" t="n"/>
      <c r="CY46" s="31" t="n"/>
      <c r="CZ46" s="31" t="n"/>
      <c r="DA46" s="31" t="n"/>
      <c r="DB46" s="31" t="n"/>
      <c r="DC46" s="31" t="n"/>
      <c r="DD46" s="31" t="n"/>
      <c r="DE46" s="31" t="n"/>
      <c r="DF46" s="31" t="n"/>
      <c r="DG46" s="31" t="n"/>
      <c r="DH46" s="31" t="n"/>
      <c r="DI46" s="31" t="n"/>
      <c r="DJ46" s="31" t="n"/>
      <c r="DK46" s="31" t="n"/>
      <c r="DL46" s="31" t="n"/>
      <c r="DM46" s="31" t="n"/>
      <c r="DN46" s="31" t="n"/>
      <c r="DO46" s="31" t="n"/>
      <c r="DP46" s="31" t="n"/>
      <c r="DQ46" s="31" t="n"/>
      <c r="DR46" s="31" t="n"/>
      <c r="DS46" s="31" t="n"/>
      <c r="DT46" s="31" t="n"/>
      <c r="DU46" s="31" t="n"/>
      <c r="DV46" s="31" t="n"/>
      <c r="DW46" s="31" t="n"/>
      <c r="DX46" s="31" t="n"/>
      <c r="DY46" s="31" t="n"/>
      <c r="DZ46" s="31" t="n"/>
      <c r="EA46" s="31" t="n"/>
      <c r="EB46" s="31" t="n"/>
      <c r="EC46" s="31" t="n"/>
      <c r="ED46" s="31" t="n"/>
      <c r="EE46" s="31" t="n"/>
      <c r="EF46" s="31" t="n"/>
      <c r="EG46" s="31" t="n"/>
      <c r="EH46" s="31" t="n"/>
      <c r="EI46" s="31" t="n"/>
      <c r="EJ46" s="31" t="n"/>
      <c r="EK46" s="31" t="n"/>
      <c r="EL46" s="31" t="n"/>
      <c r="EM46" s="31" t="n"/>
      <c r="EN46" s="31" t="n"/>
      <c r="EO46" s="31" t="n"/>
      <c r="EP46" s="31" t="n"/>
      <c r="EQ46" s="31" t="n"/>
      <c r="ER46" s="31" t="n"/>
      <c r="ES46" s="31" t="n"/>
      <c r="ET46" s="31" t="n"/>
      <c r="EU46" s="31" t="n"/>
      <c r="EV46" s="31" t="n"/>
      <c r="EW46" s="31" t="n"/>
      <c r="EX46" s="31" t="n"/>
      <c r="EY46" s="31" t="n"/>
      <c r="EZ46" s="31" t="n"/>
      <c r="FA46" s="31" t="n"/>
      <c r="FB46" s="31" t="n"/>
      <c r="FC46" s="31" t="n"/>
      <c r="FD46" s="31" t="n"/>
      <c r="FE46" s="31" t="n"/>
      <c r="FF46" s="31" t="n"/>
      <c r="FG46" s="31" t="n"/>
      <c r="FH46" s="31" t="n"/>
      <c r="FI46" s="31" t="n"/>
      <c r="FJ46" s="31" t="n"/>
      <c r="FK46" s="31" t="n"/>
      <c r="FL46" s="31" t="n"/>
      <c r="FM46" s="31" t="n"/>
      <c r="FN46" s="31" t="n"/>
      <c r="FO46" s="31" t="n"/>
      <c r="FP46" s="31" t="n"/>
      <c r="FQ46" s="31" t="n"/>
      <c r="FR46" s="31" t="n"/>
      <c r="FS46" s="31" t="n"/>
      <c r="FT46" s="31" t="n"/>
      <c r="FU46" s="31" t="n"/>
      <c r="FV46" s="31" t="n"/>
      <c r="FW46" s="31" t="n"/>
      <c r="FX46" s="31" t="n"/>
    </row>
    <row r="47">
      <c r="A47" s="15">
        <f>IF(Settings!$A$38="","(unused)",Settings!$A$38&amp;" — deposited")</f>
        <v/>
      </c>
      <c r="B47" s="26">
        <f>IF(Settings!$A$38="","","from your own accounts")</f>
        <v/>
      </c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  <c r="AL47" s="31" t="n"/>
      <c r="AM47" s="31" t="n"/>
      <c r="AN47" s="31" t="n"/>
      <c r="AO47" s="31" t="n"/>
      <c r="AP47" s="31" t="n"/>
      <c r="AQ47" s="31" t="n"/>
      <c r="AR47" s="31" t="n"/>
      <c r="AS47" s="31" t="n"/>
      <c r="AT47" s="31" t="n"/>
      <c r="AU47" s="31" t="n"/>
      <c r="AV47" s="31" t="n"/>
      <c r="AW47" s="31" t="n"/>
      <c r="AX47" s="31" t="n"/>
      <c r="AY47" s="31" t="n"/>
      <c r="AZ47" s="31" t="n"/>
      <c r="BA47" s="31" t="n"/>
      <c r="BB47" s="31" t="n"/>
      <c r="BC47" s="31" t="n"/>
      <c r="BD47" s="31" t="n"/>
      <c r="BE47" s="31" t="n"/>
      <c r="BF47" s="31" t="n"/>
      <c r="BG47" s="31" t="n"/>
      <c r="BH47" s="31" t="n"/>
      <c r="BI47" s="31" t="n"/>
      <c r="BJ47" s="31" t="n"/>
      <c r="BK47" s="31" t="n"/>
      <c r="BL47" s="31" t="n"/>
      <c r="BM47" s="31" t="n"/>
      <c r="BN47" s="31" t="n"/>
      <c r="BO47" s="31" t="n"/>
      <c r="BP47" s="31" t="n"/>
      <c r="BQ47" s="31" t="n"/>
      <c r="BR47" s="31" t="n"/>
      <c r="BS47" s="31" t="n"/>
      <c r="BT47" s="31" t="n"/>
      <c r="BU47" s="31" t="n"/>
      <c r="BV47" s="31" t="n"/>
      <c r="BW47" s="31" t="n"/>
      <c r="BX47" s="31" t="n"/>
      <c r="BY47" s="31" t="n"/>
      <c r="BZ47" s="31" t="n"/>
      <c r="CA47" s="31" t="n"/>
      <c r="CB47" s="31" t="n"/>
      <c r="CC47" s="31" t="n"/>
      <c r="CD47" s="31" t="n"/>
      <c r="CE47" s="31" t="n"/>
      <c r="CF47" s="31" t="n"/>
      <c r="CG47" s="31" t="n"/>
      <c r="CH47" s="31" t="n"/>
      <c r="CI47" s="31" t="n"/>
      <c r="CJ47" s="31" t="n"/>
      <c r="CK47" s="31" t="n"/>
      <c r="CL47" s="31" t="n"/>
      <c r="CM47" s="31" t="n"/>
      <c r="CN47" s="31" t="n"/>
      <c r="CO47" s="31" t="n"/>
      <c r="CP47" s="31" t="n"/>
      <c r="CQ47" s="31" t="n"/>
      <c r="CR47" s="31" t="n"/>
      <c r="CS47" s="31" t="n"/>
      <c r="CT47" s="31" t="n"/>
      <c r="CU47" s="31" t="n"/>
      <c r="CV47" s="31" t="n"/>
      <c r="CW47" s="31" t="n"/>
      <c r="CX47" s="31" t="n"/>
      <c r="CY47" s="31" t="n"/>
      <c r="CZ47" s="31" t="n"/>
      <c r="DA47" s="31" t="n"/>
      <c r="DB47" s="31" t="n"/>
      <c r="DC47" s="31" t="n"/>
      <c r="DD47" s="31" t="n"/>
      <c r="DE47" s="31" t="n"/>
      <c r="DF47" s="31" t="n"/>
      <c r="DG47" s="31" t="n"/>
      <c r="DH47" s="31" t="n"/>
      <c r="DI47" s="31" t="n"/>
      <c r="DJ47" s="31" t="n"/>
      <c r="DK47" s="31" t="n"/>
      <c r="DL47" s="31" t="n"/>
      <c r="DM47" s="31" t="n"/>
      <c r="DN47" s="31" t="n"/>
      <c r="DO47" s="31" t="n"/>
      <c r="DP47" s="31" t="n"/>
      <c r="DQ47" s="31" t="n"/>
      <c r="DR47" s="31" t="n"/>
      <c r="DS47" s="31" t="n"/>
      <c r="DT47" s="31" t="n"/>
      <c r="DU47" s="31" t="n"/>
      <c r="DV47" s="31" t="n"/>
      <c r="DW47" s="31" t="n"/>
      <c r="DX47" s="31" t="n"/>
      <c r="DY47" s="31" t="n"/>
      <c r="DZ47" s="31" t="n"/>
      <c r="EA47" s="31" t="n"/>
      <c r="EB47" s="31" t="n"/>
      <c r="EC47" s="31" t="n"/>
      <c r="ED47" s="31" t="n"/>
      <c r="EE47" s="31" t="n"/>
      <c r="EF47" s="31" t="n"/>
      <c r="EG47" s="31" t="n"/>
      <c r="EH47" s="31" t="n"/>
      <c r="EI47" s="31" t="n"/>
      <c r="EJ47" s="31" t="n"/>
      <c r="EK47" s="31" t="n"/>
      <c r="EL47" s="31" t="n"/>
      <c r="EM47" s="31" t="n"/>
      <c r="EN47" s="31" t="n"/>
      <c r="EO47" s="31" t="n"/>
      <c r="EP47" s="31" t="n"/>
      <c r="EQ47" s="31" t="n"/>
      <c r="ER47" s="31" t="n"/>
      <c r="ES47" s="31" t="n"/>
      <c r="ET47" s="31" t="n"/>
      <c r="EU47" s="31" t="n"/>
      <c r="EV47" s="31" t="n"/>
      <c r="EW47" s="31" t="n"/>
      <c r="EX47" s="31" t="n"/>
      <c r="EY47" s="31" t="n"/>
      <c r="EZ47" s="31" t="n"/>
      <c r="FA47" s="31" t="n"/>
      <c r="FB47" s="31" t="n"/>
      <c r="FC47" s="31" t="n"/>
      <c r="FD47" s="31" t="n"/>
      <c r="FE47" s="31" t="n"/>
      <c r="FF47" s="31" t="n"/>
      <c r="FG47" s="31" t="n"/>
      <c r="FH47" s="31" t="n"/>
      <c r="FI47" s="31" t="n"/>
      <c r="FJ47" s="31" t="n"/>
      <c r="FK47" s="31" t="n"/>
      <c r="FL47" s="31" t="n"/>
      <c r="FM47" s="31" t="n"/>
      <c r="FN47" s="31" t="n"/>
      <c r="FO47" s="31" t="n"/>
      <c r="FP47" s="31" t="n"/>
      <c r="FQ47" s="31" t="n"/>
      <c r="FR47" s="31" t="n"/>
      <c r="FS47" s="31" t="n"/>
      <c r="FT47" s="31" t="n"/>
      <c r="FU47" s="31" t="n"/>
      <c r="FV47" s="31" t="n"/>
      <c r="FW47" s="31" t="n"/>
      <c r="FX47" s="31" t="n"/>
    </row>
    <row r="48">
      <c r="A48" s="15">
        <f>IF(Settings!$A$39="","(unused)",Settings!$A$39&amp;" — deposited")</f>
        <v/>
      </c>
      <c r="B48" s="26">
        <f>IF(Settings!$A$39="","","from your own accounts")</f>
        <v/>
      </c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  <c r="AL48" s="31" t="n"/>
      <c r="AM48" s="31" t="n"/>
      <c r="AN48" s="31" t="n"/>
      <c r="AO48" s="31" t="n"/>
      <c r="AP48" s="31" t="n"/>
      <c r="AQ48" s="31" t="n"/>
      <c r="AR48" s="31" t="n"/>
      <c r="AS48" s="31" t="n"/>
      <c r="AT48" s="31" t="n"/>
      <c r="AU48" s="31" t="n"/>
      <c r="AV48" s="31" t="n"/>
      <c r="AW48" s="31" t="n"/>
      <c r="AX48" s="31" t="n"/>
      <c r="AY48" s="31" t="n"/>
      <c r="AZ48" s="31" t="n"/>
      <c r="BA48" s="31" t="n"/>
      <c r="BB48" s="31" t="n"/>
      <c r="BC48" s="31" t="n"/>
      <c r="BD48" s="31" t="n"/>
      <c r="BE48" s="31" t="n"/>
      <c r="BF48" s="31" t="n"/>
      <c r="BG48" s="31" t="n"/>
      <c r="BH48" s="31" t="n"/>
      <c r="BI48" s="31" t="n"/>
      <c r="BJ48" s="31" t="n"/>
      <c r="BK48" s="31" t="n"/>
      <c r="BL48" s="31" t="n"/>
      <c r="BM48" s="31" t="n"/>
      <c r="BN48" s="31" t="n"/>
      <c r="BO48" s="31" t="n"/>
      <c r="BP48" s="31" t="n"/>
      <c r="BQ48" s="31" t="n"/>
      <c r="BR48" s="31" t="n"/>
      <c r="BS48" s="31" t="n"/>
      <c r="BT48" s="31" t="n"/>
      <c r="BU48" s="31" t="n"/>
      <c r="BV48" s="31" t="n"/>
      <c r="BW48" s="31" t="n"/>
      <c r="BX48" s="31" t="n"/>
      <c r="BY48" s="31" t="n"/>
      <c r="BZ48" s="31" t="n"/>
      <c r="CA48" s="31" t="n"/>
      <c r="CB48" s="31" t="n"/>
      <c r="CC48" s="31" t="n"/>
      <c r="CD48" s="31" t="n"/>
      <c r="CE48" s="31" t="n"/>
      <c r="CF48" s="31" t="n"/>
      <c r="CG48" s="31" t="n"/>
      <c r="CH48" s="31" t="n"/>
      <c r="CI48" s="31" t="n"/>
      <c r="CJ48" s="31" t="n"/>
      <c r="CK48" s="31" t="n"/>
      <c r="CL48" s="31" t="n"/>
      <c r="CM48" s="31" t="n"/>
      <c r="CN48" s="31" t="n"/>
      <c r="CO48" s="31" t="n"/>
      <c r="CP48" s="31" t="n"/>
      <c r="CQ48" s="31" t="n"/>
      <c r="CR48" s="31" t="n"/>
      <c r="CS48" s="31" t="n"/>
      <c r="CT48" s="31" t="n"/>
      <c r="CU48" s="31" t="n"/>
      <c r="CV48" s="31" t="n"/>
      <c r="CW48" s="31" t="n"/>
      <c r="CX48" s="31" t="n"/>
      <c r="CY48" s="31" t="n"/>
      <c r="CZ48" s="31" t="n"/>
      <c r="DA48" s="31" t="n"/>
      <c r="DB48" s="31" t="n"/>
      <c r="DC48" s="31" t="n"/>
      <c r="DD48" s="31" t="n"/>
      <c r="DE48" s="31" t="n"/>
      <c r="DF48" s="31" t="n"/>
      <c r="DG48" s="31" t="n"/>
      <c r="DH48" s="31" t="n"/>
      <c r="DI48" s="31" t="n"/>
      <c r="DJ48" s="31" t="n"/>
      <c r="DK48" s="31" t="n"/>
      <c r="DL48" s="31" t="n"/>
      <c r="DM48" s="31" t="n"/>
      <c r="DN48" s="31" t="n"/>
      <c r="DO48" s="31" t="n"/>
      <c r="DP48" s="31" t="n"/>
      <c r="DQ48" s="31" t="n"/>
      <c r="DR48" s="31" t="n"/>
      <c r="DS48" s="31" t="n"/>
      <c r="DT48" s="31" t="n"/>
      <c r="DU48" s="31" t="n"/>
      <c r="DV48" s="31" t="n"/>
      <c r="DW48" s="31" t="n"/>
      <c r="DX48" s="31" t="n"/>
      <c r="DY48" s="31" t="n"/>
      <c r="DZ48" s="31" t="n"/>
      <c r="EA48" s="31" t="n"/>
      <c r="EB48" s="31" t="n"/>
      <c r="EC48" s="31" t="n"/>
      <c r="ED48" s="31" t="n"/>
      <c r="EE48" s="31" t="n"/>
      <c r="EF48" s="31" t="n"/>
      <c r="EG48" s="31" t="n"/>
      <c r="EH48" s="31" t="n"/>
      <c r="EI48" s="31" t="n"/>
      <c r="EJ48" s="31" t="n"/>
      <c r="EK48" s="31" t="n"/>
      <c r="EL48" s="31" t="n"/>
      <c r="EM48" s="31" t="n"/>
      <c r="EN48" s="31" t="n"/>
      <c r="EO48" s="31" t="n"/>
      <c r="EP48" s="31" t="n"/>
      <c r="EQ48" s="31" t="n"/>
      <c r="ER48" s="31" t="n"/>
      <c r="ES48" s="31" t="n"/>
      <c r="ET48" s="31" t="n"/>
      <c r="EU48" s="31" t="n"/>
      <c r="EV48" s="31" t="n"/>
      <c r="EW48" s="31" t="n"/>
      <c r="EX48" s="31" t="n"/>
      <c r="EY48" s="31" t="n"/>
      <c r="EZ48" s="31" t="n"/>
      <c r="FA48" s="31" t="n"/>
      <c r="FB48" s="31" t="n"/>
      <c r="FC48" s="31" t="n"/>
      <c r="FD48" s="31" t="n"/>
      <c r="FE48" s="31" t="n"/>
      <c r="FF48" s="31" t="n"/>
      <c r="FG48" s="31" t="n"/>
      <c r="FH48" s="31" t="n"/>
      <c r="FI48" s="31" t="n"/>
      <c r="FJ48" s="31" t="n"/>
      <c r="FK48" s="31" t="n"/>
      <c r="FL48" s="31" t="n"/>
      <c r="FM48" s="31" t="n"/>
      <c r="FN48" s="31" t="n"/>
      <c r="FO48" s="31" t="n"/>
      <c r="FP48" s="31" t="n"/>
      <c r="FQ48" s="31" t="n"/>
      <c r="FR48" s="31" t="n"/>
      <c r="FS48" s="31" t="n"/>
      <c r="FT48" s="31" t="n"/>
      <c r="FU48" s="31" t="n"/>
      <c r="FV48" s="31" t="n"/>
      <c r="FW48" s="31" t="n"/>
      <c r="FX48" s="31" t="n"/>
    </row>
    <row r="49">
      <c r="A49" s="15">
        <f>IF(Settings!$A$40="","(unused)",Settings!$A$40&amp;" — deposited")</f>
        <v/>
      </c>
      <c r="B49" s="26">
        <f>IF(Settings!$A$40="","","from your own accounts")</f>
        <v/>
      </c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  <c r="AO49" s="31" t="n"/>
      <c r="AP49" s="31" t="n"/>
      <c r="AQ49" s="31" t="n"/>
      <c r="AR49" s="31" t="n"/>
      <c r="AS49" s="31" t="n"/>
      <c r="AT49" s="31" t="n"/>
      <c r="AU49" s="31" t="n"/>
      <c r="AV49" s="31" t="n"/>
      <c r="AW49" s="31" t="n"/>
      <c r="AX49" s="31" t="n"/>
      <c r="AY49" s="31" t="n"/>
      <c r="AZ49" s="31" t="n"/>
      <c r="BA49" s="31" t="n"/>
      <c r="BB49" s="31" t="n"/>
      <c r="BC49" s="31" t="n"/>
      <c r="BD49" s="31" t="n"/>
      <c r="BE49" s="31" t="n"/>
      <c r="BF49" s="31" t="n"/>
      <c r="BG49" s="31" t="n"/>
      <c r="BH49" s="31" t="n"/>
      <c r="BI49" s="31" t="n"/>
      <c r="BJ49" s="31" t="n"/>
      <c r="BK49" s="31" t="n"/>
      <c r="BL49" s="31" t="n"/>
      <c r="BM49" s="31" t="n"/>
      <c r="BN49" s="31" t="n"/>
      <c r="BO49" s="31" t="n"/>
      <c r="BP49" s="31" t="n"/>
      <c r="BQ49" s="31" t="n"/>
      <c r="BR49" s="31" t="n"/>
      <c r="BS49" s="31" t="n"/>
      <c r="BT49" s="31" t="n"/>
      <c r="BU49" s="31" t="n"/>
      <c r="BV49" s="31" t="n"/>
      <c r="BW49" s="31" t="n"/>
      <c r="BX49" s="31" t="n"/>
      <c r="BY49" s="31" t="n"/>
      <c r="BZ49" s="31" t="n"/>
      <c r="CA49" s="31" t="n"/>
      <c r="CB49" s="31" t="n"/>
      <c r="CC49" s="31" t="n"/>
      <c r="CD49" s="31" t="n"/>
      <c r="CE49" s="31" t="n"/>
      <c r="CF49" s="31" t="n"/>
      <c r="CG49" s="31" t="n"/>
      <c r="CH49" s="31" t="n"/>
      <c r="CI49" s="31" t="n"/>
      <c r="CJ49" s="31" t="n"/>
      <c r="CK49" s="31" t="n"/>
      <c r="CL49" s="31" t="n"/>
      <c r="CM49" s="31" t="n"/>
      <c r="CN49" s="31" t="n"/>
      <c r="CO49" s="31" t="n"/>
      <c r="CP49" s="31" t="n"/>
      <c r="CQ49" s="31" t="n"/>
      <c r="CR49" s="31" t="n"/>
      <c r="CS49" s="31" t="n"/>
      <c r="CT49" s="31" t="n"/>
      <c r="CU49" s="31" t="n"/>
      <c r="CV49" s="31" t="n"/>
      <c r="CW49" s="31" t="n"/>
      <c r="CX49" s="31" t="n"/>
      <c r="CY49" s="31" t="n"/>
      <c r="CZ49" s="31" t="n"/>
      <c r="DA49" s="31" t="n"/>
      <c r="DB49" s="31" t="n"/>
      <c r="DC49" s="31" t="n"/>
      <c r="DD49" s="31" t="n"/>
      <c r="DE49" s="31" t="n"/>
      <c r="DF49" s="31" t="n"/>
      <c r="DG49" s="31" t="n"/>
      <c r="DH49" s="31" t="n"/>
      <c r="DI49" s="31" t="n"/>
      <c r="DJ49" s="31" t="n"/>
      <c r="DK49" s="31" t="n"/>
      <c r="DL49" s="31" t="n"/>
      <c r="DM49" s="31" t="n"/>
      <c r="DN49" s="31" t="n"/>
      <c r="DO49" s="31" t="n"/>
      <c r="DP49" s="31" t="n"/>
      <c r="DQ49" s="31" t="n"/>
      <c r="DR49" s="31" t="n"/>
      <c r="DS49" s="31" t="n"/>
      <c r="DT49" s="31" t="n"/>
      <c r="DU49" s="31" t="n"/>
      <c r="DV49" s="31" t="n"/>
      <c r="DW49" s="31" t="n"/>
      <c r="DX49" s="31" t="n"/>
      <c r="DY49" s="31" t="n"/>
      <c r="DZ49" s="31" t="n"/>
      <c r="EA49" s="31" t="n"/>
      <c r="EB49" s="31" t="n"/>
      <c r="EC49" s="31" t="n"/>
      <c r="ED49" s="31" t="n"/>
      <c r="EE49" s="31" t="n"/>
      <c r="EF49" s="31" t="n"/>
      <c r="EG49" s="31" t="n"/>
      <c r="EH49" s="31" t="n"/>
      <c r="EI49" s="31" t="n"/>
      <c r="EJ49" s="31" t="n"/>
      <c r="EK49" s="31" t="n"/>
      <c r="EL49" s="31" t="n"/>
      <c r="EM49" s="31" t="n"/>
      <c r="EN49" s="31" t="n"/>
      <c r="EO49" s="31" t="n"/>
      <c r="EP49" s="31" t="n"/>
      <c r="EQ49" s="31" t="n"/>
      <c r="ER49" s="31" t="n"/>
      <c r="ES49" s="31" t="n"/>
      <c r="ET49" s="31" t="n"/>
      <c r="EU49" s="31" t="n"/>
      <c r="EV49" s="31" t="n"/>
      <c r="EW49" s="31" t="n"/>
      <c r="EX49" s="31" t="n"/>
      <c r="EY49" s="31" t="n"/>
      <c r="EZ49" s="31" t="n"/>
      <c r="FA49" s="31" t="n"/>
      <c r="FB49" s="31" t="n"/>
      <c r="FC49" s="31" t="n"/>
      <c r="FD49" s="31" t="n"/>
      <c r="FE49" s="31" t="n"/>
      <c r="FF49" s="31" t="n"/>
      <c r="FG49" s="31" t="n"/>
      <c r="FH49" s="31" t="n"/>
      <c r="FI49" s="31" t="n"/>
      <c r="FJ49" s="31" t="n"/>
      <c r="FK49" s="31" t="n"/>
      <c r="FL49" s="31" t="n"/>
      <c r="FM49" s="31" t="n"/>
      <c r="FN49" s="31" t="n"/>
      <c r="FO49" s="31" t="n"/>
      <c r="FP49" s="31" t="n"/>
      <c r="FQ49" s="31" t="n"/>
      <c r="FR49" s="31" t="n"/>
      <c r="FS49" s="31" t="n"/>
      <c r="FT49" s="31" t="n"/>
      <c r="FU49" s="31" t="n"/>
      <c r="FV49" s="31" t="n"/>
      <c r="FW49" s="31" t="n"/>
      <c r="FX49" s="31" t="n"/>
    </row>
    <row r="50">
      <c r="A50" s="15">
        <f>IF(Settings!$A$41="","(unused)",Settings!$A$41&amp;" — deposited")</f>
        <v/>
      </c>
      <c r="B50" s="26">
        <f>IF(Settings!$A$41="","","from your own accounts")</f>
        <v/>
      </c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1" t="n"/>
      <c r="AP50" s="31" t="n"/>
      <c r="AQ50" s="31" t="n"/>
      <c r="AR50" s="31" t="n"/>
      <c r="AS50" s="31" t="n"/>
      <c r="AT50" s="31" t="n"/>
      <c r="AU50" s="31" t="n"/>
      <c r="AV50" s="31" t="n"/>
      <c r="AW50" s="31" t="n"/>
      <c r="AX50" s="31" t="n"/>
      <c r="AY50" s="31" t="n"/>
      <c r="AZ50" s="31" t="n"/>
      <c r="BA50" s="31" t="n"/>
      <c r="BB50" s="31" t="n"/>
      <c r="BC50" s="31" t="n"/>
      <c r="BD50" s="31" t="n"/>
      <c r="BE50" s="31" t="n"/>
      <c r="BF50" s="31" t="n"/>
      <c r="BG50" s="31" t="n"/>
      <c r="BH50" s="31" t="n"/>
      <c r="BI50" s="31" t="n"/>
      <c r="BJ50" s="31" t="n"/>
      <c r="BK50" s="31" t="n"/>
      <c r="BL50" s="31" t="n"/>
      <c r="BM50" s="31" t="n"/>
      <c r="BN50" s="31" t="n"/>
      <c r="BO50" s="31" t="n"/>
      <c r="BP50" s="31" t="n"/>
      <c r="BQ50" s="31" t="n"/>
      <c r="BR50" s="31" t="n"/>
      <c r="BS50" s="31" t="n"/>
      <c r="BT50" s="31" t="n"/>
      <c r="BU50" s="31" t="n"/>
      <c r="BV50" s="31" t="n"/>
      <c r="BW50" s="31" t="n"/>
      <c r="BX50" s="31" t="n"/>
      <c r="BY50" s="31" t="n"/>
      <c r="BZ50" s="31" t="n"/>
      <c r="CA50" s="31" t="n"/>
      <c r="CB50" s="31" t="n"/>
      <c r="CC50" s="31" t="n"/>
      <c r="CD50" s="31" t="n"/>
      <c r="CE50" s="31" t="n"/>
      <c r="CF50" s="31" t="n"/>
      <c r="CG50" s="31" t="n"/>
      <c r="CH50" s="31" t="n"/>
      <c r="CI50" s="31" t="n"/>
      <c r="CJ50" s="31" t="n"/>
      <c r="CK50" s="31" t="n"/>
      <c r="CL50" s="31" t="n"/>
      <c r="CM50" s="31" t="n"/>
      <c r="CN50" s="31" t="n"/>
      <c r="CO50" s="31" t="n"/>
      <c r="CP50" s="31" t="n"/>
      <c r="CQ50" s="31" t="n"/>
      <c r="CR50" s="31" t="n"/>
      <c r="CS50" s="31" t="n"/>
      <c r="CT50" s="31" t="n"/>
      <c r="CU50" s="31" t="n"/>
      <c r="CV50" s="31" t="n"/>
      <c r="CW50" s="31" t="n"/>
      <c r="CX50" s="31" t="n"/>
      <c r="CY50" s="31" t="n"/>
      <c r="CZ50" s="31" t="n"/>
      <c r="DA50" s="31" t="n"/>
      <c r="DB50" s="31" t="n"/>
      <c r="DC50" s="31" t="n"/>
      <c r="DD50" s="31" t="n"/>
      <c r="DE50" s="31" t="n"/>
      <c r="DF50" s="31" t="n"/>
      <c r="DG50" s="31" t="n"/>
      <c r="DH50" s="31" t="n"/>
      <c r="DI50" s="31" t="n"/>
      <c r="DJ50" s="31" t="n"/>
      <c r="DK50" s="31" t="n"/>
      <c r="DL50" s="31" t="n"/>
      <c r="DM50" s="31" t="n"/>
      <c r="DN50" s="31" t="n"/>
      <c r="DO50" s="31" t="n"/>
      <c r="DP50" s="31" t="n"/>
      <c r="DQ50" s="31" t="n"/>
      <c r="DR50" s="31" t="n"/>
      <c r="DS50" s="31" t="n"/>
      <c r="DT50" s="31" t="n"/>
      <c r="DU50" s="31" t="n"/>
      <c r="DV50" s="31" t="n"/>
      <c r="DW50" s="31" t="n"/>
      <c r="DX50" s="31" t="n"/>
      <c r="DY50" s="31" t="n"/>
      <c r="DZ50" s="31" t="n"/>
      <c r="EA50" s="31" t="n"/>
      <c r="EB50" s="31" t="n"/>
      <c r="EC50" s="31" t="n"/>
      <c r="ED50" s="31" t="n"/>
      <c r="EE50" s="31" t="n"/>
      <c r="EF50" s="31" t="n"/>
      <c r="EG50" s="31" t="n"/>
      <c r="EH50" s="31" t="n"/>
      <c r="EI50" s="31" t="n"/>
      <c r="EJ50" s="31" t="n"/>
      <c r="EK50" s="31" t="n"/>
      <c r="EL50" s="31" t="n"/>
      <c r="EM50" s="31" t="n"/>
      <c r="EN50" s="31" t="n"/>
      <c r="EO50" s="31" t="n"/>
      <c r="EP50" s="31" t="n"/>
      <c r="EQ50" s="31" t="n"/>
      <c r="ER50" s="31" t="n"/>
      <c r="ES50" s="31" t="n"/>
      <c r="ET50" s="31" t="n"/>
      <c r="EU50" s="31" t="n"/>
      <c r="EV50" s="31" t="n"/>
      <c r="EW50" s="31" t="n"/>
      <c r="EX50" s="31" t="n"/>
      <c r="EY50" s="31" t="n"/>
      <c r="EZ50" s="31" t="n"/>
      <c r="FA50" s="31" t="n"/>
      <c r="FB50" s="31" t="n"/>
      <c r="FC50" s="31" t="n"/>
      <c r="FD50" s="31" t="n"/>
      <c r="FE50" s="31" t="n"/>
      <c r="FF50" s="31" t="n"/>
      <c r="FG50" s="31" t="n"/>
      <c r="FH50" s="31" t="n"/>
      <c r="FI50" s="31" t="n"/>
      <c r="FJ50" s="31" t="n"/>
      <c r="FK50" s="31" t="n"/>
      <c r="FL50" s="31" t="n"/>
      <c r="FM50" s="31" t="n"/>
      <c r="FN50" s="31" t="n"/>
      <c r="FO50" s="31" t="n"/>
      <c r="FP50" s="31" t="n"/>
      <c r="FQ50" s="31" t="n"/>
      <c r="FR50" s="31" t="n"/>
      <c r="FS50" s="31" t="n"/>
      <c r="FT50" s="31" t="n"/>
      <c r="FU50" s="31" t="n"/>
      <c r="FV50" s="31" t="n"/>
      <c r="FW50" s="31" t="n"/>
      <c r="FX50" s="31" t="n"/>
    </row>
    <row r="51" ht="26" customHeight="1">
      <c r="A51" s="11" t="inlineStr">
        <is>
          <t>5 · Results (calculated — nothing to type)</t>
        </is>
      </c>
      <c r="B51" s="12" t="n"/>
    </row>
    <row r="52">
      <c r="A52" s="29" t="inlineStr">
        <is>
          <t>Income (incl. automatic)</t>
        </is>
      </c>
      <c r="C52" s="32">
        <f>Calc!$S6</f>
        <v/>
      </c>
      <c r="D52" s="32">
        <f>Calc!$S7</f>
        <v/>
      </c>
      <c r="E52" s="32">
        <f>Calc!$S8</f>
        <v/>
      </c>
      <c r="F52" s="32">
        <f>Calc!$S9</f>
        <v/>
      </c>
      <c r="G52" s="32">
        <f>Calc!$S10</f>
        <v/>
      </c>
      <c r="H52" s="32">
        <f>Calc!$S11</f>
        <v/>
      </c>
      <c r="I52" s="32">
        <f>Calc!$S12</f>
        <v/>
      </c>
      <c r="J52" s="32">
        <f>Calc!$S13</f>
        <v/>
      </c>
      <c r="K52" s="32">
        <f>Calc!$S14</f>
        <v/>
      </c>
      <c r="L52" s="32">
        <f>Calc!$S15</f>
        <v/>
      </c>
      <c r="M52" s="32">
        <f>Calc!$S16</f>
        <v/>
      </c>
      <c r="N52" s="32">
        <f>Calc!$S17</f>
        <v/>
      </c>
      <c r="O52" s="32">
        <f>Calc!$S18</f>
        <v/>
      </c>
      <c r="P52" s="32">
        <f>Calc!$S19</f>
        <v/>
      </c>
      <c r="Q52" s="32">
        <f>Calc!$S20</f>
        <v/>
      </c>
      <c r="R52" s="32">
        <f>Calc!$S21</f>
        <v/>
      </c>
      <c r="S52" s="32">
        <f>Calc!$S22</f>
        <v/>
      </c>
      <c r="T52" s="32">
        <f>Calc!$S23</f>
        <v/>
      </c>
      <c r="U52" s="32">
        <f>Calc!$S24</f>
        <v/>
      </c>
      <c r="V52" s="32">
        <f>Calc!$S25</f>
        <v/>
      </c>
      <c r="W52" s="32">
        <f>Calc!$S26</f>
        <v/>
      </c>
      <c r="X52" s="32">
        <f>Calc!$S27</f>
        <v/>
      </c>
      <c r="Y52" s="32">
        <f>Calc!$S28</f>
        <v/>
      </c>
      <c r="Z52" s="32">
        <f>Calc!$S29</f>
        <v/>
      </c>
      <c r="AA52" s="32">
        <f>Calc!$S30</f>
        <v/>
      </c>
      <c r="AB52" s="32">
        <f>Calc!$S31</f>
        <v/>
      </c>
      <c r="AC52" s="32">
        <f>Calc!$S32</f>
        <v/>
      </c>
      <c r="AD52" s="32">
        <f>Calc!$S33</f>
        <v/>
      </c>
      <c r="AE52" s="32">
        <f>Calc!$S34</f>
        <v/>
      </c>
      <c r="AF52" s="32">
        <f>Calc!$S35</f>
        <v/>
      </c>
      <c r="AG52" s="32">
        <f>Calc!$S36</f>
        <v/>
      </c>
      <c r="AH52" s="32">
        <f>Calc!$S37</f>
        <v/>
      </c>
      <c r="AI52" s="32">
        <f>Calc!$S38</f>
        <v/>
      </c>
      <c r="AJ52" s="32">
        <f>Calc!$S39</f>
        <v/>
      </c>
      <c r="AK52" s="32">
        <f>Calc!$S40</f>
        <v/>
      </c>
      <c r="AL52" s="32">
        <f>Calc!$S41</f>
        <v/>
      </c>
      <c r="AM52" s="32">
        <f>Calc!$S42</f>
        <v/>
      </c>
      <c r="AN52" s="32">
        <f>Calc!$S43</f>
        <v/>
      </c>
      <c r="AO52" s="32">
        <f>Calc!$S44</f>
        <v/>
      </c>
      <c r="AP52" s="32">
        <f>Calc!$S45</f>
        <v/>
      </c>
      <c r="AQ52" s="32">
        <f>Calc!$S46</f>
        <v/>
      </c>
      <c r="AR52" s="32">
        <f>Calc!$S47</f>
        <v/>
      </c>
      <c r="AS52" s="32">
        <f>Calc!$S48</f>
        <v/>
      </c>
      <c r="AT52" s="32">
        <f>Calc!$S49</f>
        <v/>
      </c>
      <c r="AU52" s="32">
        <f>Calc!$S50</f>
        <v/>
      </c>
      <c r="AV52" s="32">
        <f>Calc!$S51</f>
        <v/>
      </c>
      <c r="AW52" s="32">
        <f>Calc!$S52</f>
        <v/>
      </c>
      <c r="AX52" s="32">
        <f>Calc!$S53</f>
        <v/>
      </c>
      <c r="AY52" s="32">
        <f>Calc!$S54</f>
        <v/>
      </c>
      <c r="AZ52" s="32">
        <f>Calc!$S55</f>
        <v/>
      </c>
      <c r="BA52" s="32">
        <f>Calc!$S56</f>
        <v/>
      </c>
      <c r="BB52" s="32">
        <f>Calc!$S57</f>
        <v/>
      </c>
      <c r="BC52" s="32">
        <f>Calc!$S58</f>
        <v/>
      </c>
      <c r="BD52" s="32">
        <f>Calc!$S59</f>
        <v/>
      </c>
      <c r="BE52" s="32">
        <f>Calc!$S60</f>
        <v/>
      </c>
      <c r="BF52" s="32">
        <f>Calc!$S61</f>
        <v/>
      </c>
      <c r="BG52" s="32">
        <f>Calc!$S62</f>
        <v/>
      </c>
      <c r="BH52" s="32">
        <f>Calc!$S63</f>
        <v/>
      </c>
      <c r="BI52" s="32">
        <f>Calc!$S64</f>
        <v/>
      </c>
      <c r="BJ52" s="32">
        <f>Calc!$S65</f>
        <v/>
      </c>
      <c r="BK52" s="32">
        <f>Calc!$S66</f>
        <v/>
      </c>
      <c r="BL52" s="32">
        <f>Calc!$S67</f>
        <v/>
      </c>
      <c r="BM52" s="32">
        <f>Calc!$S68</f>
        <v/>
      </c>
      <c r="BN52" s="32">
        <f>Calc!$S69</f>
        <v/>
      </c>
      <c r="BO52" s="32">
        <f>Calc!$S70</f>
        <v/>
      </c>
      <c r="BP52" s="32">
        <f>Calc!$S71</f>
        <v/>
      </c>
      <c r="BQ52" s="32">
        <f>Calc!$S72</f>
        <v/>
      </c>
      <c r="BR52" s="32">
        <f>Calc!$S73</f>
        <v/>
      </c>
      <c r="BS52" s="32">
        <f>Calc!$S74</f>
        <v/>
      </c>
      <c r="BT52" s="32">
        <f>Calc!$S75</f>
        <v/>
      </c>
      <c r="BU52" s="32">
        <f>Calc!$S76</f>
        <v/>
      </c>
      <c r="BV52" s="32">
        <f>Calc!$S77</f>
        <v/>
      </c>
      <c r="BW52" s="32">
        <f>Calc!$S78</f>
        <v/>
      </c>
      <c r="BX52" s="32">
        <f>Calc!$S79</f>
        <v/>
      </c>
      <c r="BY52" s="32">
        <f>Calc!$S80</f>
        <v/>
      </c>
      <c r="BZ52" s="32">
        <f>Calc!$S81</f>
        <v/>
      </c>
      <c r="CA52" s="32">
        <f>Calc!$S82</f>
        <v/>
      </c>
      <c r="CB52" s="32">
        <f>Calc!$S83</f>
        <v/>
      </c>
      <c r="CC52" s="32">
        <f>Calc!$S84</f>
        <v/>
      </c>
      <c r="CD52" s="32">
        <f>Calc!$S85</f>
        <v/>
      </c>
      <c r="CE52" s="32">
        <f>Calc!$S86</f>
        <v/>
      </c>
      <c r="CF52" s="32">
        <f>Calc!$S87</f>
        <v/>
      </c>
      <c r="CG52" s="32">
        <f>Calc!$S88</f>
        <v/>
      </c>
      <c r="CH52" s="32">
        <f>Calc!$S89</f>
        <v/>
      </c>
      <c r="CI52" s="32">
        <f>Calc!$S90</f>
        <v/>
      </c>
      <c r="CJ52" s="32">
        <f>Calc!$S91</f>
        <v/>
      </c>
      <c r="CK52" s="32">
        <f>Calc!$S92</f>
        <v/>
      </c>
      <c r="CL52" s="32">
        <f>Calc!$S93</f>
        <v/>
      </c>
      <c r="CM52" s="32">
        <f>Calc!$S94</f>
        <v/>
      </c>
      <c r="CN52" s="32">
        <f>Calc!$S95</f>
        <v/>
      </c>
      <c r="CO52" s="32">
        <f>Calc!$S96</f>
        <v/>
      </c>
      <c r="CP52" s="32">
        <f>Calc!$S97</f>
        <v/>
      </c>
      <c r="CQ52" s="32">
        <f>Calc!$S98</f>
        <v/>
      </c>
      <c r="CR52" s="32">
        <f>Calc!$S99</f>
        <v/>
      </c>
      <c r="CS52" s="32">
        <f>Calc!$S100</f>
        <v/>
      </c>
      <c r="CT52" s="32">
        <f>Calc!$S101</f>
        <v/>
      </c>
      <c r="CU52" s="32">
        <f>Calc!$S102</f>
        <v/>
      </c>
      <c r="CV52" s="32">
        <f>Calc!$S103</f>
        <v/>
      </c>
      <c r="CW52" s="32">
        <f>Calc!$S104</f>
        <v/>
      </c>
      <c r="CX52" s="32">
        <f>Calc!$S105</f>
        <v/>
      </c>
      <c r="CY52" s="32">
        <f>Calc!$S106</f>
        <v/>
      </c>
      <c r="CZ52" s="32">
        <f>Calc!$S107</f>
        <v/>
      </c>
      <c r="DA52" s="32">
        <f>Calc!$S108</f>
        <v/>
      </c>
      <c r="DB52" s="32">
        <f>Calc!$S109</f>
        <v/>
      </c>
      <c r="DC52" s="32">
        <f>Calc!$S110</f>
        <v/>
      </c>
      <c r="DD52" s="32">
        <f>Calc!$S111</f>
        <v/>
      </c>
      <c r="DE52" s="32">
        <f>Calc!$S112</f>
        <v/>
      </c>
      <c r="DF52" s="32">
        <f>Calc!$S113</f>
        <v/>
      </c>
      <c r="DG52" s="32">
        <f>Calc!$S114</f>
        <v/>
      </c>
      <c r="DH52" s="32">
        <f>Calc!$S115</f>
        <v/>
      </c>
      <c r="DI52" s="32">
        <f>Calc!$S116</f>
        <v/>
      </c>
      <c r="DJ52" s="32">
        <f>Calc!$S117</f>
        <v/>
      </c>
      <c r="DK52" s="32">
        <f>Calc!$S118</f>
        <v/>
      </c>
      <c r="DL52" s="32">
        <f>Calc!$S119</f>
        <v/>
      </c>
      <c r="DM52" s="32">
        <f>Calc!$S120</f>
        <v/>
      </c>
      <c r="DN52" s="32">
        <f>Calc!$S121</f>
        <v/>
      </c>
      <c r="DO52" s="32">
        <f>Calc!$S122</f>
        <v/>
      </c>
      <c r="DP52" s="32">
        <f>Calc!$S123</f>
        <v/>
      </c>
      <c r="DQ52" s="32">
        <f>Calc!$S124</f>
        <v/>
      </c>
      <c r="DR52" s="32">
        <f>Calc!$S125</f>
        <v/>
      </c>
      <c r="DS52" s="32">
        <f>Calc!$S126</f>
        <v/>
      </c>
      <c r="DT52" s="32">
        <f>Calc!$S127</f>
        <v/>
      </c>
      <c r="DU52" s="32">
        <f>Calc!$S128</f>
        <v/>
      </c>
      <c r="DV52" s="32">
        <f>Calc!$S129</f>
        <v/>
      </c>
      <c r="DW52" s="32">
        <f>Calc!$S130</f>
        <v/>
      </c>
      <c r="DX52" s="32">
        <f>Calc!$S131</f>
        <v/>
      </c>
      <c r="DY52" s="32">
        <f>Calc!$S132</f>
        <v/>
      </c>
      <c r="DZ52" s="32">
        <f>Calc!$S133</f>
        <v/>
      </c>
      <c r="EA52" s="32">
        <f>Calc!$S134</f>
        <v/>
      </c>
      <c r="EB52" s="32">
        <f>Calc!$S135</f>
        <v/>
      </c>
      <c r="EC52" s="32">
        <f>Calc!$S136</f>
        <v/>
      </c>
      <c r="ED52" s="32">
        <f>Calc!$S137</f>
        <v/>
      </c>
      <c r="EE52" s="32">
        <f>Calc!$S138</f>
        <v/>
      </c>
      <c r="EF52" s="32">
        <f>Calc!$S139</f>
        <v/>
      </c>
      <c r="EG52" s="32">
        <f>Calc!$S140</f>
        <v/>
      </c>
      <c r="EH52" s="32">
        <f>Calc!$S141</f>
        <v/>
      </c>
      <c r="EI52" s="32">
        <f>Calc!$S142</f>
        <v/>
      </c>
      <c r="EJ52" s="32">
        <f>Calc!$S143</f>
        <v/>
      </c>
      <c r="EK52" s="32">
        <f>Calc!$S144</f>
        <v/>
      </c>
      <c r="EL52" s="32">
        <f>Calc!$S145</f>
        <v/>
      </c>
      <c r="EM52" s="32">
        <f>Calc!$S146</f>
        <v/>
      </c>
      <c r="EN52" s="32">
        <f>Calc!$S147</f>
        <v/>
      </c>
      <c r="EO52" s="32">
        <f>Calc!$S148</f>
        <v/>
      </c>
      <c r="EP52" s="32">
        <f>Calc!$S149</f>
        <v/>
      </c>
      <c r="EQ52" s="32">
        <f>Calc!$S150</f>
        <v/>
      </c>
      <c r="ER52" s="32">
        <f>Calc!$S151</f>
        <v/>
      </c>
      <c r="ES52" s="32">
        <f>Calc!$S152</f>
        <v/>
      </c>
      <c r="ET52" s="32">
        <f>Calc!$S153</f>
        <v/>
      </c>
      <c r="EU52" s="32">
        <f>Calc!$S154</f>
        <v/>
      </c>
      <c r="EV52" s="32">
        <f>Calc!$S155</f>
        <v/>
      </c>
      <c r="EW52" s="32">
        <f>Calc!$S156</f>
        <v/>
      </c>
      <c r="EX52" s="32">
        <f>Calc!$S157</f>
        <v/>
      </c>
      <c r="EY52" s="32">
        <f>Calc!$S158</f>
        <v/>
      </c>
      <c r="EZ52" s="32">
        <f>Calc!$S159</f>
        <v/>
      </c>
      <c r="FA52" s="32">
        <f>Calc!$S160</f>
        <v/>
      </c>
      <c r="FB52" s="32">
        <f>Calc!$S161</f>
        <v/>
      </c>
      <c r="FC52" s="32">
        <f>Calc!$S162</f>
        <v/>
      </c>
      <c r="FD52" s="32">
        <f>Calc!$S163</f>
        <v/>
      </c>
      <c r="FE52" s="32">
        <f>Calc!$S164</f>
        <v/>
      </c>
      <c r="FF52" s="32">
        <f>Calc!$S165</f>
        <v/>
      </c>
      <c r="FG52" s="32">
        <f>Calc!$S166</f>
        <v/>
      </c>
      <c r="FH52" s="32">
        <f>Calc!$S167</f>
        <v/>
      </c>
      <c r="FI52" s="32">
        <f>Calc!$S168</f>
        <v/>
      </c>
      <c r="FJ52" s="32">
        <f>Calc!$S169</f>
        <v/>
      </c>
      <c r="FK52" s="32">
        <f>Calc!$S170</f>
        <v/>
      </c>
      <c r="FL52" s="32">
        <f>Calc!$S171</f>
        <v/>
      </c>
      <c r="FM52" s="32">
        <f>Calc!$S172</f>
        <v/>
      </c>
      <c r="FN52" s="32">
        <f>Calc!$S173</f>
        <v/>
      </c>
      <c r="FO52" s="32">
        <f>Calc!$S174</f>
        <v/>
      </c>
      <c r="FP52" s="32">
        <f>Calc!$S175</f>
        <v/>
      </c>
      <c r="FQ52" s="32">
        <f>Calc!$S176</f>
        <v/>
      </c>
      <c r="FR52" s="32">
        <f>Calc!$S177</f>
        <v/>
      </c>
      <c r="FS52" s="32">
        <f>Calc!$S178</f>
        <v/>
      </c>
      <c r="FT52" s="32">
        <f>Calc!$S179</f>
        <v/>
      </c>
      <c r="FU52" s="32">
        <f>Calc!$S180</f>
        <v/>
      </c>
      <c r="FV52" s="32">
        <f>Calc!$S181</f>
        <v/>
      </c>
      <c r="FW52" s="32">
        <f>Calc!$S182</f>
        <v/>
      </c>
      <c r="FX52" s="32">
        <f>Calc!$S183</f>
        <v/>
      </c>
    </row>
    <row r="53">
      <c r="A53" s="29" t="inlineStr">
        <is>
          <t>Household-paid spending</t>
        </is>
      </c>
      <c r="C53" s="32">
        <f>Calc!$DD6</f>
        <v/>
      </c>
      <c r="D53" s="32">
        <f>Calc!$DD7</f>
        <v/>
      </c>
      <c r="E53" s="32">
        <f>Calc!$DD8</f>
        <v/>
      </c>
      <c r="F53" s="32">
        <f>Calc!$DD9</f>
        <v/>
      </c>
      <c r="G53" s="32">
        <f>Calc!$DD10</f>
        <v/>
      </c>
      <c r="H53" s="32">
        <f>Calc!$DD11</f>
        <v/>
      </c>
      <c r="I53" s="32">
        <f>Calc!$DD12</f>
        <v/>
      </c>
      <c r="J53" s="32">
        <f>Calc!$DD13</f>
        <v/>
      </c>
      <c r="K53" s="32">
        <f>Calc!$DD14</f>
        <v/>
      </c>
      <c r="L53" s="32">
        <f>Calc!$DD15</f>
        <v/>
      </c>
      <c r="M53" s="32">
        <f>Calc!$DD16</f>
        <v/>
      </c>
      <c r="N53" s="32">
        <f>Calc!$DD17</f>
        <v/>
      </c>
      <c r="O53" s="32">
        <f>Calc!$DD18</f>
        <v/>
      </c>
      <c r="P53" s="32">
        <f>Calc!$DD19</f>
        <v/>
      </c>
      <c r="Q53" s="32">
        <f>Calc!$DD20</f>
        <v/>
      </c>
      <c r="R53" s="32">
        <f>Calc!$DD21</f>
        <v/>
      </c>
      <c r="S53" s="32">
        <f>Calc!$DD22</f>
        <v/>
      </c>
      <c r="T53" s="32">
        <f>Calc!$DD23</f>
        <v/>
      </c>
      <c r="U53" s="32">
        <f>Calc!$DD24</f>
        <v/>
      </c>
      <c r="V53" s="32">
        <f>Calc!$DD25</f>
        <v/>
      </c>
      <c r="W53" s="32">
        <f>Calc!$DD26</f>
        <v/>
      </c>
      <c r="X53" s="32">
        <f>Calc!$DD27</f>
        <v/>
      </c>
      <c r="Y53" s="32">
        <f>Calc!$DD28</f>
        <v/>
      </c>
      <c r="Z53" s="32">
        <f>Calc!$DD29</f>
        <v/>
      </c>
      <c r="AA53" s="32">
        <f>Calc!$DD30</f>
        <v/>
      </c>
      <c r="AB53" s="32">
        <f>Calc!$DD31</f>
        <v/>
      </c>
      <c r="AC53" s="32">
        <f>Calc!$DD32</f>
        <v/>
      </c>
      <c r="AD53" s="32">
        <f>Calc!$DD33</f>
        <v/>
      </c>
      <c r="AE53" s="32">
        <f>Calc!$DD34</f>
        <v/>
      </c>
      <c r="AF53" s="32">
        <f>Calc!$DD35</f>
        <v/>
      </c>
      <c r="AG53" s="32">
        <f>Calc!$DD36</f>
        <v/>
      </c>
      <c r="AH53" s="32">
        <f>Calc!$DD37</f>
        <v/>
      </c>
      <c r="AI53" s="32">
        <f>Calc!$DD38</f>
        <v/>
      </c>
      <c r="AJ53" s="32">
        <f>Calc!$DD39</f>
        <v/>
      </c>
      <c r="AK53" s="32">
        <f>Calc!$DD40</f>
        <v/>
      </c>
      <c r="AL53" s="32">
        <f>Calc!$DD41</f>
        <v/>
      </c>
      <c r="AM53" s="32">
        <f>Calc!$DD42</f>
        <v/>
      </c>
      <c r="AN53" s="32">
        <f>Calc!$DD43</f>
        <v/>
      </c>
      <c r="AO53" s="32">
        <f>Calc!$DD44</f>
        <v/>
      </c>
      <c r="AP53" s="32">
        <f>Calc!$DD45</f>
        <v/>
      </c>
      <c r="AQ53" s="32">
        <f>Calc!$DD46</f>
        <v/>
      </c>
      <c r="AR53" s="32">
        <f>Calc!$DD47</f>
        <v/>
      </c>
      <c r="AS53" s="32">
        <f>Calc!$DD48</f>
        <v/>
      </c>
      <c r="AT53" s="32">
        <f>Calc!$DD49</f>
        <v/>
      </c>
      <c r="AU53" s="32">
        <f>Calc!$DD50</f>
        <v/>
      </c>
      <c r="AV53" s="32">
        <f>Calc!$DD51</f>
        <v/>
      </c>
      <c r="AW53" s="32">
        <f>Calc!$DD52</f>
        <v/>
      </c>
      <c r="AX53" s="32">
        <f>Calc!$DD53</f>
        <v/>
      </c>
      <c r="AY53" s="32">
        <f>Calc!$DD54</f>
        <v/>
      </c>
      <c r="AZ53" s="32">
        <f>Calc!$DD55</f>
        <v/>
      </c>
      <c r="BA53" s="32">
        <f>Calc!$DD56</f>
        <v/>
      </c>
      <c r="BB53" s="32">
        <f>Calc!$DD57</f>
        <v/>
      </c>
      <c r="BC53" s="32">
        <f>Calc!$DD58</f>
        <v/>
      </c>
      <c r="BD53" s="32">
        <f>Calc!$DD59</f>
        <v/>
      </c>
      <c r="BE53" s="32">
        <f>Calc!$DD60</f>
        <v/>
      </c>
      <c r="BF53" s="32">
        <f>Calc!$DD61</f>
        <v/>
      </c>
      <c r="BG53" s="32">
        <f>Calc!$DD62</f>
        <v/>
      </c>
      <c r="BH53" s="32">
        <f>Calc!$DD63</f>
        <v/>
      </c>
      <c r="BI53" s="32">
        <f>Calc!$DD64</f>
        <v/>
      </c>
      <c r="BJ53" s="32">
        <f>Calc!$DD65</f>
        <v/>
      </c>
      <c r="BK53" s="32">
        <f>Calc!$DD66</f>
        <v/>
      </c>
      <c r="BL53" s="32">
        <f>Calc!$DD67</f>
        <v/>
      </c>
      <c r="BM53" s="32">
        <f>Calc!$DD68</f>
        <v/>
      </c>
      <c r="BN53" s="32">
        <f>Calc!$DD69</f>
        <v/>
      </c>
      <c r="BO53" s="32">
        <f>Calc!$DD70</f>
        <v/>
      </c>
      <c r="BP53" s="32">
        <f>Calc!$DD71</f>
        <v/>
      </c>
      <c r="BQ53" s="32">
        <f>Calc!$DD72</f>
        <v/>
      </c>
      <c r="BR53" s="32">
        <f>Calc!$DD73</f>
        <v/>
      </c>
      <c r="BS53" s="32">
        <f>Calc!$DD74</f>
        <v/>
      </c>
      <c r="BT53" s="32">
        <f>Calc!$DD75</f>
        <v/>
      </c>
      <c r="BU53" s="32">
        <f>Calc!$DD76</f>
        <v/>
      </c>
      <c r="BV53" s="32">
        <f>Calc!$DD77</f>
        <v/>
      </c>
      <c r="BW53" s="32">
        <f>Calc!$DD78</f>
        <v/>
      </c>
      <c r="BX53" s="32">
        <f>Calc!$DD79</f>
        <v/>
      </c>
      <c r="BY53" s="32">
        <f>Calc!$DD80</f>
        <v/>
      </c>
      <c r="BZ53" s="32">
        <f>Calc!$DD81</f>
        <v/>
      </c>
      <c r="CA53" s="32">
        <f>Calc!$DD82</f>
        <v/>
      </c>
      <c r="CB53" s="32">
        <f>Calc!$DD83</f>
        <v/>
      </c>
      <c r="CC53" s="32">
        <f>Calc!$DD84</f>
        <v/>
      </c>
      <c r="CD53" s="32">
        <f>Calc!$DD85</f>
        <v/>
      </c>
      <c r="CE53" s="32">
        <f>Calc!$DD86</f>
        <v/>
      </c>
      <c r="CF53" s="32">
        <f>Calc!$DD87</f>
        <v/>
      </c>
      <c r="CG53" s="32">
        <f>Calc!$DD88</f>
        <v/>
      </c>
      <c r="CH53" s="32">
        <f>Calc!$DD89</f>
        <v/>
      </c>
      <c r="CI53" s="32">
        <f>Calc!$DD90</f>
        <v/>
      </c>
      <c r="CJ53" s="32">
        <f>Calc!$DD91</f>
        <v/>
      </c>
      <c r="CK53" s="32">
        <f>Calc!$DD92</f>
        <v/>
      </c>
      <c r="CL53" s="32">
        <f>Calc!$DD93</f>
        <v/>
      </c>
      <c r="CM53" s="32">
        <f>Calc!$DD94</f>
        <v/>
      </c>
      <c r="CN53" s="32">
        <f>Calc!$DD95</f>
        <v/>
      </c>
      <c r="CO53" s="32">
        <f>Calc!$DD96</f>
        <v/>
      </c>
      <c r="CP53" s="32">
        <f>Calc!$DD97</f>
        <v/>
      </c>
      <c r="CQ53" s="32">
        <f>Calc!$DD98</f>
        <v/>
      </c>
      <c r="CR53" s="32">
        <f>Calc!$DD99</f>
        <v/>
      </c>
      <c r="CS53" s="32">
        <f>Calc!$DD100</f>
        <v/>
      </c>
      <c r="CT53" s="32">
        <f>Calc!$DD101</f>
        <v/>
      </c>
      <c r="CU53" s="32">
        <f>Calc!$DD102</f>
        <v/>
      </c>
      <c r="CV53" s="32">
        <f>Calc!$DD103</f>
        <v/>
      </c>
      <c r="CW53" s="32">
        <f>Calc!$DD104</f>
        <v/>
      </c>
      <c r="CX53" s="32">
        <f>Calc!$DD105</f>
        <v/>
      </c>
      <c r="CY53" s="32">
        <f>Calc!$DD106</f>
        <v/>
      </c>
      <c r="CZ53" s="32">
        <f>Calc!$DD107</f>
        <v/>
      </c>
      <c r="DA53" s="32">
        <f>Calc!$DD108</f>
        <v/>
      </c>
      <c r="DB53" s="32">
        <f>Calc!$DD109</f>
        <v/>
      </c>
      <c r="DC53" s="32">
        <f>Calc!$DD110</f>
        <v/>
      </c>
      <c r="DD53" s="32">
        <f>Calc!$DD111</f>
        <v/>
      </c>
      <c r="DE53" s="32">
        <f>Calc!$DD112</f>
        <v/>
      </c>
      <c r="DF53" s="32">
        <f>Calc!$DD113</f>
        <v/>
      </c>
      <c r="DG53" s="32">
        <f>Calc!$DD114</f>
        <v/>
      </c>
      <c r="DH53" s="32">
        <f>Calc!$DD115</f>
        <v/>
      </c>
      <c r="DI53" s="32">
        <f>Calc!$DD116</f>
        <v/>
      </c>
      <c r="DJ53" s="32">
        <f>Calc!$DD117</f>
        <v/>
      </c>
      <c r="DK53" s="32">
        <f>Calc!$DD118</f>
        <v/>
      </c>
      <c r="DL53" s="32">
        <f>Calc!$DD119</f>
        <v/>
      </c>
      <c r="DM53" s="32">
        <f>Calc!$DD120</f>
        <v/>
      </c>
      <c r="DN53" s="32">
        <f>Calc!$DD121</f>
        <v/>
      </c>
      <c r="DO53" s="32">
        <f>Calc!$DD122</f>
        <v/>
      </c>
      <c r="DP53" s="32">
        <f>Calc!$DD123</f>
        <v/>
      </c>
      <c r="DQ53" s="32">
        <f>Calc!$DD124</f>
        <v/>
      </c>
      <c r="DR53" s="32">
        <f>Calc!$DD125</f>
        <v/>
      </c>
      <c r="DS53" s="32">
        <f>Calc!$DD126</f>
        <v/>
      </c>
      <c r="DT53" s="32">
        <f>Calc!$DD127</f>
        <v/>
      </c>
      <c r="DU53" s="32">
        <f>Calc!$DD128</f>
        <v/>
      </c>
      <c r="DV53" s="32">
        <f>Calc!$DD129</f>
        <v/>
      </c>
      <c r="DW53" s="32">
        <f>Calc!$DD130</f>
        <v/>
      </c>
      <c r="DX53" s="32">
        <f>Calc!$DD131</f>
        <v/>
      </c>
      <c r="DY53" s="32">
        <f>Calc!$DD132</f>
        <v/>
      </c>
      <c r="DZ53" s="32">
        <f>Calc!$DD133</f>
        <v/>
      </c>
      <c r="EA53" s="32">
        <f>Calc!$DD134</f>
        <v/>
      </c>
      <c r="EB53" s="32">
        <f>Calc!$DD135</f>
        <v/>
      </c>
      <c r="EC53" s="32">
        <f>Calc!$DD136</f>
        <v/>
      </c>
      <c r="ED53" s="32">
        <f>Calc!$DD137</f>
        <v/>
      </c>
      <c r="EE53" s="32">
        <f>Calc!$DD138</f>
        <v/>
      </c>
      <c r="EF53" s="32">
        <f>Calc!$DD139</f>
        <v/>
      </c>
      <c r="EG53" s="32">
        <f>Calc!$DD140</f>
        <v/>
      </c>
      <c r="EH53" s="32">
        <f>Calc!$DD141</f>
        <v/>
      </c>
      <c r="EI53" s="32">
        <f>Calc!$DD142</f>
        <v/>
      </c>
      <c r="EJ53" s="32">
        <f>Calc!$DD143</f>
        <v/>
      </c>
      <c r="EK53" s="32">
        <f>Calc!$DD144</f>
        <v/>
      </c>
      <c r="EL53" s="32">
        <f>Calc!$DD145</f>
        <v/>
      </c>
      <c r="EM53" s="32">
        <f>Calc!$DD146</f>
        <v/>
      </c>
      <c r="EN53" s="32">
        <f>Calc!$DD147</f>
        <v/>
      </c>
      <c r="EO53" s="32">
        <f>Calc!$DD148</f>
        <v/>
      </c>
      <c r="EP53" s="32">
        <f>Calc!$DD149</f>
        <v/>
      </c>
      <c r="EQ53" s="32">
        <f>Calc!$DD150</f>
        <v/>
      </c>
      <c r="ER53" s="32">
        <f>Calc!$DD151</f>
        <v/>
      </c>
      <c r="ES53" s="32">
        <f>Calc!$DD152</f>
        <v/>
      </c>
      <c r="ET53" s="32">
        <f>Calc!$DD153</f>
        <v/>
      </c>
      <c r="EU53" s="32">
        <f>Calc!$DD154</f>
        <v/>
      </c>
      <c r="EV53" s="32">
        <f>Calc!$DD155</f>
        <v/>
      </c>
      <c r="EW53" s="32">
        <f>Calc!$DD156</f>
        <v/>
      </c>
      <c r="EX53" s="32">
        <f>Calc!$DD157</f>
        <v/>
      </c>
      <c r="EY53" s="32">
        <f>Calc!$DD158</f>
        <v/>
      </c>
      <c r="EZ53" s="32">
        <f>Calc!$DD159</f>
        <v/>
      </c>
      <c r="FA53" s="32">
        <f>Calc!$DD160</f>
        <v/>
      </c>
      <c r="FB53" s="32">
        <f>Calc!$DD161</f>
        <v/>
      </c>
      <c r="FC53" s="32">
        <f>Calc!$DD162</f>
        <v/>
      </c>
      <c r="FD53" s="32">
        <f>Calc!$DD163</f>
        <v/>
      </c>
      <c r="FE53" s="32">
        <f>Calc!$DD164</f>
        <v/>
      </c>
      <c r="FF53" s="32">
        <f>Calc!$DD165</f>
        <v/>
      </c>
      <c r="FG53" s="32">
        <f>Calc!$DD166</f>
        <v/>
      </c>
      <c r="FH53" s="32">
        <f>Calc!$DD167</f>
        <v/>
      </c>
      <c r="FI53" s="32">
        <f>Calc!$DD168</f>
        <v/>
      </c>
      <c r="FJ53" s="32">
        <f>Calc!$DD169</f>
        <v/>
      </c>
      <c r="FK53" s="32">
        <f>Calc!$DD170</f>
        <v/>
      </c>
      <c r="FL53" s="32">
        <f>Calc!$DD171</f>
        <v/>
      </c>
      <c r="FM53" s="32">
        <f>Calc!$DD172</f>
        <v/>
      </c>
      <c r="FN53" s="32">
        <f>Calc!$DD173</f>
        <v/>
      </c>
      <c r="FO53" s="32">
        <f>Calc!$DD174</f>
        <v/>
      </c>
      <c r="FP53" s="32">
        <f>Calc!$DD175</f>
        <v/>
      </c>
      <c r="FQ53" s="32">
        <f>Calc!$DD176</f>
        <v/>
      </c>
      <c r="FR53" s="32">
        <f>Calc!$DD177</f>
        <v/>
      </c>
      <c r="FS53" s="32">
        <f>Calc!$DD178</f>
        <v/>
      </c>
      <c r="FT53" s="32">
        <f>Calc!$DD179</f>
        <v/>
      </c>
      <c r="FU53" s="32">
        <f>Calc!$DD180</f>
        <v/>
      </c>
      <c r="FV53" s="32">
        <f>Calc!$DD181</f>
        <v/>
      </c>
      <c r="FW53" s="32">
        <f>Calc!$DD182</f>
        <v/>
      </c>
      <c r="FX53" s="32">
        <f>Calc!$DD183</f>
        <v/>
      </c>
    </row>
    <row r="54">
      <c r="A54" s="29" t="inlineStr">
        <is>
          <t>Family-paid costs</t>
        </is>
      </c>
      <c r="C54" s="32">
        <f>Calc!$DE6</f>
        <v/>
      </c>
      <c r="D54" s="32">
        <f>Calc!$DE7</f>
        <v/>
      </c>
      <c r="E54" s="32">
        <f>Calc!$DE8</f>
        <v/>
      </c>
      <c r="F54" s="32">
        <f>Calc!$DE9</f>
        <v/>
      </c>
      <c r="G54" s="32">
        <f>Calc!$DE10</f>
        <v/>
      </c>
      <c r="H54" s="32">
        <f>Calc!$DE11</f>
        <v/>
      </c>
      <c r="I54" s="32">
        <f>Calc!$DE12</f>
        <v/>
      </c>
      <c r="J54" s="32">
        <f>Calc!$DE13</f>
        <v/>
      </c>
      <c r="K54" s="32">
        <f>Calc!$DE14</f>
        <v/>
      </c>
      <c r="L54" s="32">
        <f>Calc!$DE15</f>
        <v/>
      </c>
      <c r="M54" s="32">
        <f>Calc!$DE16</f>
        <v/>
      </c>
      <c r="N54" s="32">
        <f>Calc!$DE17</f>
        <v/>
      </c>
      <c r="O54" s="32">
        <f>Calc!$DE18</f>
        <v/>
      </c>
      <c r="P54" s="32">
        <f>Calc!$DE19</f>
        <v/>
      </c>
      <c r="Q54" s="32">
        <f>Calc!$DE20</f>
        <v/>
      </c>
      <c r="R54" s="32">
        <f>Calc!$DE21</f>
        <v/>
      </c>
      <c r="S54" s="32">
        <f>Calc!$DE22</f>
        <v/>
      </c>
      <c r="T54" s="32">
        <f>Calc!$DE23</f>
        <v/>
      </c>
      <c r="U54" s="32">
        <f>Calc!$DE24</f>
        <v/>
      </c>
      <c r="V54" s="32">
        <f>Calc!$DE25</f>
        <v/>
      </c>
      <c r="W54" s="32">
        <f>Calc!$DE26</f>
        <v/>
      </c>
      <c r="X54" s="32">
        <f>Calc!$DE27</f>
        <v/>
      </c>
      <c r="Y54" s="32">
        <f>Calc!$DE28</f>
        <v/>
      </c>
      <c r="Z54" s="32">
        <f>Calc!$DE29</f>
        <v/>
      </c>
      <c r="AA54" s="32">
        <f>Calc!$DE30</f>
        <v/>
      </c>
      <c r="AB54" s="32">
        <f>Calc!$DE31</f>
        <v/>
      </c>
      <c r="AC54" s="32">
        <f>Calc!$DE32</f>
        <v/>
      </c>
      <c r="AD54" s="32">
        <f>Calc!$DE33</f>
        <v/>
      </c>
      <c r="AE54" s="32">
        <f>Calc!$DE34</f>
        <v/>
      </c>
      <c r="AF54" s="32">
        <f>Calc!$DE35</f>
        <v/>
      </c>
      <c r="AG54" s="32">
        <f>Calc!$DE36</f>
        <v/>
      </c>
      <c r="AH54" s="32">
        <f>Calc!$DE37</f>
        <v/>
      </c>
      <c r="AI54" s="32">
        <f>Calc!$DE38</f>
        <v/>
      </c>
      <c r="AJ54" s="32">
        <f>Calc!$DE39</f>
        <v/>
      </c>
      <c r="AK54" s="32">
        <f>Calc!$DE40</f>
        <v/>
      </c>
      <c r="AL54" s="32">
        <f>Calc!$DE41</f>
        <v/>
      </c>
      <c r="AM54" s="32">
        <f>Calc!$DE42</f>
        <v/>
      </c>
      <c r="AN54" s="32">
        <f>Calc!$DE43</f>
        <v/>
      </c>
      <c r="AO54" s="32">
        <f>Calc!$DE44</f>
        <v/>
      </c>
      <c r="AP54" s="32">
        <f>Calc!$DE45</f>
        <v/>
      </c>
      <c r="AQ54" s="32">
        <f>Calc!$DE46</f>
        <v/>
      </c>
      <c r="AR54" s="32">
        <f>Calc!$DE47</f>
        <v/>
      </c>
      <c r="AS54" s="32">
        <f>Calc!$DE48</f>
        <v/>
      </c>
      <c r="AT54" s="32">
        <f>Calc!$DE49</f>
        <v/>
      </c>
      <c r="AU54" s="32">
        <f>Calc!$DE50</f>
        <v/>
      </c>
      <c r="AV54" s="32">
        <f>Calc!$DE51</f>
        <v/>
      </c>
      <c r="AW54" s="32">
        <f>Calc!$DE52</f>
        <v/>
      </c>
      <c r="AX54" s="32">
        <f>Calc!$DE53</f>
        <v/>
      </c>
      <c r="AY54" s="32">
        <f>Calc!$DE54</f>
        <v/>
      </c>
      <c r="AZ54" s="32">
        <f>Calc!$DE55</f>
        <v/>
      </c>
      <c r="BA54" s="32">
        <f>Calc!$DE56</f>
        <v/>
      </c>
      <c r="BB54" s="32">
        <f>Calc!$DE57</f>
        <v/>
      </c>
      <c r="BC54" s="32">
        <f>Calc!$DE58</f>
        <v/>
      </c>
      <c r="BD54" s="32">
        <f>Calc!$DE59</f>
        <v/>
      </c>
      <c r="BE54" s="32">
        <f>Calc!$DE60</f>
        <v/>
      </c>
      <c r="BF54" s="32">
        <f>Calc!$DE61</f>
        <v/>
      </c>
      <c r="BG54" s="32">
        <f>Calc!$DE62</f>
        <v/>
      </c>
      <c r="BH54" s="32">
        <f>Calc!$DE63</f>
        <v/>
      </c>
      <c r="BI54" s="32">
        <f>Calc!$DE64</f>
        <v/>
      </c>
      <c r="BJ54" s="32">
        <f>Calc!$DE65</f>
        <v/>
      </c>
      <c r="BK54" s="32">
        <f>Calc!$DE66</f>
        <v/>
      </c>
      <c r="BL54" s="32">
        <f>Calc!$DE67</f>
        <v/>
      </c>
      <c r="BM54" s="32">
        <f>Calc!$DE68</f>
        <v/>
      </c>
      <c r="BN54" s="32">
        <f>Calc!$DE69</f>
        <v/>
      </c>
      <c r="BO54" s="32">
        <f>Calc!$DE70</f>
        <v/>
      </c>
      <c r="BP54" s="32">
        <f>Calc!$DE71</f>
        <v/>
      </c>
      <c r="BQ54" s="32">
        <f>Calc!$DE72</f>
        <v/>
      </c>
      <c r="BR54" s="32">
        <f>Calc!$DE73</f>
        <v/>
      </c>
      <c r="BS54" s="32">
        <f>Calc!$DE74</f>
        <v/>
      </c>
      <c r="BT54" s="32">
        <f>Calc!$DE75</f>
        <v/>
      </c>
      <c r="BU54" s="32">
        <f>Calc!$DE76</f>
        <v/>
      </c>
      <c r="BV54" s="32">
        <f>Calc!$DE77</f>
        <v/>
      </c>
      <c r="BW54" s="32">
        <f>Calc!$DE78</f>
        <v/>
      </c>
      <c r="BX54" s="32">
        <f>Calc!$DE79</f>
        <v/>
      </c>
      <c r="BY54" s="32">
        <f>Calc!$DE80</f>
        <v/>
      </c>
      <c r="BZ54" s="32">
        <f>Calc!$DE81</f>
        <v/>
      </c>
      <c r="CA54" s="32">
        <f>Calc!$DE82</f>
        <v/>
      </c>
      <c r="CB54" s="32">
        <f>Calc!$DE83</f>
        <v/>
      </c>
      <c r="CC54" s="32">
        <f>Calc!$DE84</f>
        <v/>
      </c>
      <c r="CD54" s="32">
        <f>Calc!$DE85</f>
        <v/>
      </c>
      <c r="CE54" s="32">
        <f>Calc!$DE86</f>
        <v/>
      </c>
      <c r="CF54" s="32">
        <f>Calc!$DE87</f>
        <v/>
      </c>
      <c r="CG54" s="32">
        <f>Calc!$DE88</f>
        <v/>
      </c>
      <c r="CH54" s="32">
        <f>Calc!$DE89</f>
        <v/>
      </c>
      <c r="CI54" s="32">
        <f>Calc!$DE90</f>
        <v/>
      </c>
      <c r="CJ54" s="32">
        <f>Calc!$DE91</f>
        <v/>
      </c>
      <c r="CK54" s="32">
        <f>Calc!$DE92</f>
        <v/>
      </c>
      <c r="CL54" s="32">
        <f>Calc!$DE93</f>
        <v/>
      </c>
      <c r="CM54" s="32">
        <f>Calc!$DE94</f>
        <v/>
      </c>
      <c r="CN54" s="32">
        <f>Calc!$DE95</f>
        <v/>
      </c>
      <c r="CO54" s="32">
        <f>Calc!$DE96</f>
        <v/>
      </c>
      <c r="CP54" s="32">
        <f>Calc!$DE97</f>
        <v/>
      </c>
      <c r="CQ54" s="32">
        <f>Calc!$DE98</f>
        <v/>
      </c>
      <c r="CR54" s="32">
        <f>Calc!$DE99</f>
        <v/>
      </c>
      <c r="CS54" s="32">
        <f>Calc!$DE100</f>
        <v/>
      </c>
      <c r="CT54" s="32">
        <f>Calc!$DE101</f>
        <v/>
      </c>
      <c r="CU54" s="32">
        <f>Calc!$DE102</f>
        <v/>
      </c>
      <c r="CV54" s="32">
        <f>Calc!$DE103</f>
        <v/>
      </c>
      <c r="CW54" s="32">
        <f>Calc!$DE104</f>
        <v/>
      </c>
      <c r="CX54" s="32">
        <f>Calc!$DE105</f>
        <v/>
      </c>
      <c r="CY54" s="32">
        <f>Calc!$DE106</f>
        <v/>
      </c>
      <c r="CZ54" s="32">
        <f>Calc!$DE107</f>
        <v/>
      </c>
      <c r="DA54" s="32">
        <f>Calc!$DE108</f>
        <v/>
      </c>
      <c r="DB54" s="32">
        <f>Calc!$DE109</f>
        <v/>
      </c>
      <c r="DC54" s="32">
        <f>Calc!$DE110</f>
        <v/>
      </c>
      <c r="DD54" s="32">
        <f>Calc!$DE111</f>
        <v/>
      </c>
      <c r="DE54" s="32">
        <f>Calc!$DE112</f>
        <v/>
      </c>
      <c r="DF54" s="32">
        <f>Calc!$DE113</f>
        <v/>
      </c>
      <c r="DG54" s="32">
        <f>Calc!$DE114</f>
        <v/>
      </c>
      <c r="DH54" s="32">
        <f>Calc!$DE115</f>
        <v/>
      </c>
      <c r="DI54" s="32">
        <f>Calc!$DE116</f>
        <v/>
      </c>
      <c r="DJ54" s="32">
        <f>Calc!$DE117</f>
        <v/>
      </c>
      <c r="DK54" s="32">
        <f>Calc!$DE118</f>
        <v/>
      </c>
      <c r="DL54" s="32">
        <f>Calc!$DE119</f>
        <v/>
      </c>
      <c r="DM54" s="32">
        <f>Calc!$DE120</f>
        <v/>
      </c>
      <c r="DN54" s="32">
        <f>Calc!$DE121</f>
        <v/>
      </c>
      <c r="DO54" s="32">
        <f>Calc!$DE122</f>
        <v/>
      </c>
      <c r="DP54" s="32">
        <f>Calc!$DE123</f>
        <v/>
      </c>
      <c r="DQ54" s="32">
        <f>Calc!$DE124</f>
        <v/>
      </c>
      <c r="DR54" s="32">
        <f>Calc!$DE125</f>
        <v/>
      </c>
      <c r="DS54" s="32">
        <f>Calc!$DE126</f>
        <v/>
      </c>
      <c r="DT54" s="32">
        <f>Calc!$DE127</f>
        <v/>
      </c>
      <c r="DU54" s="32">
        <f>Calc!$DE128</f>
        <v/>
      </c>
      <c r="DV54" s="32">
        <f>Calc!$DE129</f>
        <v/>
      </c>
      <c r="DW54" s="32">
        <f>Calc!$DE130</f>
        <v/>
      </c>
      <c r="DX54" s="32">
        <f>Calc!$DE131</f>
        <v/>
      </c>
      <c r="DY54" s="32">
        <f>Calc!$DE132</f>
        <v/>
      </c>
      <c r="DZ54" s="32">
        <f>Calc!$DE133</f>
        <v/>
      </c>
      <c r="EA54" s="32">
        <f>Calc!$DE134</f>
        <v/>
      </c>
      <c r="EB54" s="32">
        <f>Calc!$DE135</f>
        <v/>
      </c>
      <c r="EC54" s="32">
        <f>Calc!$DE136</f>
        <v/>
      </c>
      <c r="ED54" s="32">
        <f>Calc!$DE137</f>
        <v/>
      </c>
      <c r="EE54" s="32">
        <f>Calc!$DE138</f>
        <v/>
      </c>
      <c r="EF54" s="32">
        <f>Calc!$DE139</f>
        <v/>
      </c>
      <c r="EG54" s="32">
        <f>Calc!$DE140</f>
        <v/>
      </c>
      <c r="EH54" s="32">
        <f>Calc!$DE141</f>
        <v/>
      </c>
      <c r="EI54" s="32">
        <f>Calc!$DE142</f>
        <v/>
      </c>
      <c r="EJ54" s="32">
        <f>Calc!$DE143</f>
        <v/>
      </c>
      <c r="EK54" s="32">
        <f>Calc!$DE144</f>
        <v/>
      </c>
      <c r="EL54" s="32">
        <f>Calc!$DE145</f>
        <v/>
      </c>
      <c r="EM54" s="32">
        <f>Calc!$DE146</f>
        <v/>
      </c>
      <c r="EN54" s="32">
        <f>Calc!$DE147</f>
        <v/>
      </c>
      <c r="EO54" s="32">
        <f>Calc!$DE148</f>
        <v/>
      </c>
      <c r="EP54" s="32">
        <f>Calc!$DE149</f>
        <v/>
      </c>
      <c r="EQ54" s="32">
        <f>Calc!$DE150</f>
        <v/>
      </c>
      <c r="ER54" s="32">
        <f>Calc!$DE151</f>
        <v/>
      </c>
      <c r="ES54" s="32">
        <f>Calc!$DE152</f>
        <v/>
      </c>
      <c r="ET54" s="32">
        <f>Calc!$DE153</f>
        <v/>
      </c>
      <c r="EU54" s="32">
        <f>Calc!$DE154</f>
        <v/>
      </c>
      <c r="EV54" s="32">
        <f>Calc!$DE155</f>
        <v/>
      </c>
      <c r="EW54" s="32">
        <f>Calc!$DE156</f>
        <v/>
      </c>
      <c r="EX54" s="32">
        <f>Calc!$DE157</f>
        <v/>
      </c>
      <c r="EY54" s="32">
        <f>Calc!$DE158</f>
        <v/>
      </c>
      <c r="EZ54" s="32">
        <f>Calc!$DE159</f>
        <v/>
      </c>
      <c r="FA54" s="32">
        <f>Calc!$DE160</f>
        <v/>
      </c>
      <c r="FB54" s="32">
        <f>Calc!$DE161</f>
        <v/>
      </c>
      <c r="FC54" s="32">
        <f>Calc!$DE162</f>
        <v/>
      </c>
      <c r="FD54" s="32">
        <f>Calc!$DE163</f>
        <v/>
      </c>
      <c r="FE54" s="32">
        <f>Calc!$DE164</f>
        <v/>
      </c>
      <c r="FF54" s="32">
        <f>Calc!$DE165</f>
        <v/>
      </c>
      <c r="FG54" s="32">
        <f>Calc!$DE166</f>
        <v/>
      </c>
      <c r="FH54" s="32">
        <f>Calc!$DE167</f>
        <v/>
      </c>
      <c r="FI54" s="32">
        <f>Calc!$DE168</f>
        <v/>
      </c>
      <c r="FJ54" s="32">
        <f>Calc!$DE169</f>
        <v/>
      </c>
      <c r="FK54" s="32">
        <f>Calc!$DE170</f>
        <v/>
      </c>
      <c r="FL54" s="32">
        <f>Calc!$DE171</f>
        <v/>
      </c>
      <c r="FM54" s="32">
        <f>Calc!$DE172</f>
        <v/>
      </c>
      <c r="FN54" s="32">
        <f>Calc!$DE173</f>
        <v/>
      </c>
      <c r="FO54" s="32">
        <f>Calc!$DE174</f>
        <v/>
      </c>
      <c r="FP54" s="32">
        <f>Calc!$DE175</f>
        <v/>
      </c>
      <c r="FQ54" s="32">
        <f>Calc!$DE176</f>
        <v/>
      </c>
      <c r="FR54" s="32">
        <f>Calc!$DE177</f>
        <v/>
      </c>
      <c r="FS54" s="32">
        <f>Calc!$DE178</f>
        <v/>
      </c>
      <c r="FT54" s="32">
        <f>Calc!$DE179</f>
        <v/>
      </c>
      <c r="FU54" s="32">
        <f>Calc!$DE180</f>
        <v/>
      </c>
      <c r="FV54" s="32">
        <f>Calc!$DE181</f>
        <v/>
      </c>
      <c r="FW54" s="32">
        <f>Calc!$DE182</f>
        <v/>
      </c>
      <c r="FX54" s="32">
        <f>Calc!$DE183</f>
        <v/>
      </c>
    </row>
    <row r="55">
      <c r="A55" s="29" t="inlineStr">
        <is>
          <t>True cost of living</t>
        </is>
      </c>
      <c r="C55" s="32">
        <f>Calc!$DG6</f>
        <v/>
      </c>
      <c r="D55" s="32">
        <f>Calc!$DG7</f>
        <v/>
      </c>
      <c r="E55" s="32">
        <f>Calc!$DG8</f>
        <v/>
      </c>
      <c r="F55" s="32">
        <f>Calc!$DG9</f>
        <v/>
      </c>
      <c r="G55" s="32">
        <f>Calc!$DG10</f>
        <v/>
      </c>
      <c r="H55" s="32">
        <f>Calc!$DG11</f>
        <v/>
      </c>
      <c r="I55" s="32">
        <f>Calc!$DG12</f>
        <v/>
      </c>
      <c r="J55" s="32">
        <f>Calc!$DG13</f>
        <v/>
      </c>
      <c r="K55" s="32">
        <f>Calc!$DG14</f>
        <v/>
      </c>
      <c r="L55" s="32">
        <f>Calc!$DG15</f>
        <v/>
      </c>
      <c r="M55" s="32">
        <f>Calc!$DG16</f>
        <v/>
      </c>
      <c r="N55" s="32">
        <f>Calc!$DG17</f>
        <v/>
      </c>
      <c r="O55" s="32">
        <f>Calc!$DG18</f>
        <v/>
      </c>
      <c r="P55" s="32">
        <f>Calc!$DG19</f>
        <v/>
      </c>
      <c r="Q55" s="32">
        <f>Calc!$DG20</f>
        <v/>
      </c>
      <c r="R55" s="32">
        <f>Calc!$DG21</f>
        <v/>
      </c>
      <c r="S55" s="32">
        <f>Calc!$DG22</f>
        <v/>
      </c>
      <c r="T55" s="32">
        <f>Calc!$DG23</f>
        <v/>
      </c>
      <c r="U55" s="32">
        <f>Calc!$DG24</f>
        <v/>
      </c>
      <c r="V55" s="32">
        <f>Calc!$DG25</f>
        <v/>
      </c>
      <c r="W55" s="32">
        <f>Calc!$DG26</f>
        <v/>
      </c>
      <c r="X55" s="32">
        <f>Calc!$DG27</f>
        <v/>
      </c>
      <c r="Y55" s="32">
        <f>Calc!$DG28</f>
        <v/>
      </c>
      <c r="Z55" s="32">
        <f>Calc!$DG29</f>
        <v/>
      </c>
      <c r="AA55" s="32">
        <f>Calc!$DG30</f>
        <v/>
      </c>
      <c r="AB55" s="32">
        <f>Calc!$DG31</f>
        <v/>
      </c>
      <c r="AC55" s="32">
        <f>Calc!$DG32</f>
        <v/>
      </c>
      <c r="AD55" s="32">
        <f>Calc!$DG33</f>
        <v/>
      </c>
      <c r="AE55" s="32">
        <f>Calc!$DG34</f>
        <v/>
      </c>
      <c r="AF55" s="32">
        <f>Calc!$DG35</f>
        <v/>
      </c>
      <c r="AG55" s="32">
        <f>Calc!$DG36</f>
        <v/>
      </c>
      <c r="AH55" s="32">
        <f>Calc!$DG37</f>
        <v/>
      </c>
      <c r="AI55" s="32">
        <f>Calc!$DG38</f>
        <v/>
      </c>
      <c r="AJ55" s="32">
        <f>Calc!$DG39</f>
        <v/>
      </c>
      <c r="AK55" s="32">
        <f>Calc!$DG40</f>
        <v/>
      </c>
      <c r="AL55" s="32">
        <f>Calc!$DG41</f>
        <v/>
      </c>
      <c r="AM55" s="32">
        <f>Calc!$DG42</f>
        <v/>
      </c>
      <c r="AN55" s="32">
        <f>Calc!$DG43</f>
        <v/>
      </c>
      <c r="AO55" s="32">
        <f>Calc!$DG44</f>
        <v/>
      </c>
      <c r="AP55" s="32">
        <f>Calc!$DG45</f>
        <v/>
      </c>
      <c r="AQ55" s="32">
        <f>Calc!$DG46</f>
        <v/>
      </c>
      <c r="AR55" s="32">
        <f>Calc!$DG47</f>
        <v/>
      </c>
      <c r="AS55" s="32">
        <f>Calc!$DG48</f>
        <v/>
      </c>
      <c r="AT55" s="32">
        <f>Calc!$DG49</f>
        <v/>
      </c>
      <c r="AU55" s="32">
        <f>Calc!$DG50</f>
        <v/>
      </c>
      <c r="AV55" s="32">
        <f>Calc!$DG51</f>
        <v/>
      </c>
      <c r="AW55" s="32">
        <f>Calc!$DG52</f>
        <v/>
      </c>
      <c r="AX55" s="32">
        <f>Calc!$DG53</f>
        <v/>
      </c>
      <c r="AY55" s="32">
        <f>Calc!$DG54</f>
        <v/>
      </c>
      <c r="AZ55" s="32">
        <f>Calc!$DG55</f>
        <v/>
      </c>
      <c r="BA55" s="32">
        <f>Calc!$DG56</f>
        <v/>
      </c>
      <c r="BB55" s="32">
        <f>Calc!$DG57</f>
        <v/>
      </c>
      <c r="BC55" s="32">
        <f>Calc!$DG58</f>
        <v/>
      </c>
      <c r="BD55" s="32">
        <f>Calc!$DG59</f>
        <v/>
      </c>
      <c r="BE55" s="32">
        <f>Calc!$DG60</f>
        <v/>
      </c>
      <c r="BF55" s="32">
        <f>Calc!$DG61</f>
        <v/>
      </c>
      <c r="BG55" s="32">
        <f>Calc!$DG62</f>
        <v/>
      </c>
      <c r="BH55" s="32">
        <f>Calc!$DG63</f>
        <v/>
      </c>
      <c r="BI55" s="32">
        <f>Calc!$DG64</f>
        <v/>
      </c>
      <c r="BJ55" s="32">
        <f>Calc!$DG65</f>
        <v/>
      </c>
      <c r="BK55" s="32">
        <f>Calc!$DG66</f>
        <v/>
      </c>
      <c r="BL55" s="32">
        <f>Calc!$DG67</f>
        <v/>
      </c>
      <c r="BM55" s="32">
        <f>Calc!$DG68</f>
        <v/>
      </c>
      <c r="BN55" s="32">
        <f>Calc!$DG69</f>
        <v/>
      </c>
      <c r="BO55" s="32">
        <f>Calc!$DG70</f>
        <v/>
      </c>
      <c r="BP55" s="32">
        <f>Calc!$DG71</f>
        <v/>
      </c>
      <c r="BQ55" s="32">
        <f>Calc!$DG72</f>
        <v/>
      </c>
      <c r="BR55" s="32">
        <f>Calc!$DG73</f>
        <v/>
      </c>
      <c r="BS55" s="32">
        <f>Calc!$DG74</f>
        <v/>
      </c>
      <c r="BT55" s="32">
        <f>Calc!$DG75</f>
        <v/>
      </c>
      <c r="BU55" s="32">
        <f>Calc!$DG76</f>
        <v/>
      </c>
      <c r="BV55" s="32">
        <f>Calc!$DG77</f>
        <v/>
      </c>
      <c r="BW55" s="32">
        <f>Calc!$DG78</f>
        <v/>
      </c>
      <c r="BX55" s="32">
        <f>Calc!$DG79</f>
        <v/>
      </c>
      <c r="BY55" s="32">
        <f>Calc!$DG80</f>
        <v/>
      </c>
      <c r="BZ55" s="32">
        <f>Calc!$DG81</f>
        <v/>
      </c>
      <c r="CA55" s="32">
        <f>Calc!$DG82</f>
        <v/>
      </c>
      <c r="CB55" s="32">
        <f>Calc!$DG83</f>
        <v/>
      </c>
      <c r="CC55" s="32">
        <f>Calc!$DG84</f>
        <v/>
      </c>
      <c r="CD55" s="32">
        <f>Calc!$DG85</f>
        <v/>
      </c>
      <c r="CE55" s="32">
        <f>Calc!$DG86</f>
        <v/>
      </c>
      <c r="CF55" s="32">
        <f>Calc!$DG87</f>
        <v/>
      </c>
      <c r="CG55" s="32">
        <f>Calc!$DG88</f>
        <v/>
      </c>
      <c r="CH55" s="32">
        <f>Calc!$DG89</f>
        <v/>
      </c>
      <c r="CI55" s="32">
        <f>Calc!$DG90</f>
        <v/>
      </c>
      <c r="CJ55" s="32">
        <f>Calc!$DG91</f>
        <v/>
      </c>
      <c r="CK55" s="32">
        <f>Calc!$DG92</f>
        <v/>
      </c>
      <c r="CL55" s="32">
        <f>Calc!$DG93</f>
        <v/>
      </c>
      <c r="CM55" s="32">
        <f>Calc!$DG94</f>
        <v/>
      </c>
      <c r="CN55" s="32">
        <f>Calc!$DG95</f>
        <v/>
      </c>
      <c r="CO55" s="32">
        <f>Calc!$DG96</f>
        <v/>
      </c>
      <c r="CP55" s="32">
        <f>Calc!$DG97</f>
        <v/>
      </c>
      <c r="CQ55" s="32">
        <f>Calc!$DG98</f>
        <v/>
      </c>
      <c r="CR55" s="32">
        <f>Calc!$DG99</f>
        <v/>
      </c>
      <c r="CS55" s="32">
        <f>Calc!$DG100</f>
        <v/>
      </c>
      <c r="CT55" s="32">
        <f>Calc!$DG101</f>
        <v/>
      </c>
      <c r="CU55" s="32">
        <f>Calc!$DG102</f>
        <v/>
      </c>
      <c r="CV55" s="32">
        <f>Calc!$DG103</f>
        <v/>
      </c>
      <c r="CW55" s="32">
        <f>Calc!$DG104</f>
        <v/>
      </c>
      <c r="CX55" s="32">
        <f>Calc!$DG105</f>
        <v/>
      </c>
      <c r="CY55" s="32">
        <f>Calc!$DG106</f>
        <v/>
      </c>
      <c r="CZ55" s="32">
        <f>Calc!$DG107</f>
        <v/>
      </c>
      <c r="DA55" s="32">
        <f>Calc!$DG108</f>
        <v/>
      </c>
      <c r="DB55" s="32">
        <f>Calc!$DG109</f>
        <v/>
      </c>
      <c r="DC55" s="32">
        <f>Calc!$DG110</f>
        <v/>
      </c>
      <c r="DD55" s="32">
        <f>Calc!$DG111</f>
        <v/>
      </c>
      <c r="DE55" s="32">
        <f>Calc!$DG112</f>
        <v/>
      </c>
      <c r="DF55" s="32">
        <f>Calc!$DG113</f>
        <v/>
      </c>
      <c r="DG55" s="32">
        <f>Calc!$DG114</f>
        <v/>
      </c>
      <c r="DH55" s="32">
        <f>Calc!$DG115</f>
        <v/>
      </c>
      <c r="DI55" s="32">
        <f>Calc!$DG116</f>
        <v/>
      </c>
      <c r="DJ55" s="32">
        <f>Calc!$DG117</f>
        <v/>
      </c>
      <c r="DK55" s="32">
        <f>Calc!$DG118</f>
        <v/>
      </c>
      <c r="DL55" s="32">
        <f>Calc!$DG119</f>
        <v/>
      </c>
      <c r="DM55" s="32">
        <f>Calc!$DG120</f>
        <v/>
      </c>
      <c r="DN55" s="32">
        <f>Calc!$DG121</f>
        <v/>
      </c>
      <c r="DO55" s="32">
        <f>Calc!$DG122</f>
        <v/>
      </c>
      <c r="DP55" s="32">
        <f>Calc!$DG123</f>
        <v/>
      </c>
      <c r="DQ55" s="32">
        <f>Calc!$DG124</f>
        <v/>
      </c>
      <c r="DR55" s="32">
        <f>Calc!$DG125</f>
        <v/>
      </c>
      <c r="DS55" s="32">
        <f>Calc!$DG126</f>
        <v/>
      </c>
      <c r="DT55" s="32">
        <f>Calc!$DG127</f>
        <v/>
      </c>
      <c r="DU55" s="32">
        <f>Calc!$DG128</f>
        <v/>
      </c>
      <c r="DV55" s="32">
        <f>Calc!$DG129</f>
        <v/>
      </c>
      <c r="DW55" s="32">
        <f>Calc!$DG130</f>
        <v/>
      </c>
      <c r="DX55" s="32">
        <f>Calc!$DG131</f>
        <v/>
      </c>
      <c r="DY55" s="32">
        <f>Calc!$DG132</f>
        <v/>
      </c>
      <c r="DZ55" s="32">
        <f>Calc!$DG133</f>
        <v/>
      </c>
      <c r="EA55" s="32">
        <f>Calc!$DG134</f>
        <v/>
      </c>
      <c r="EB55" s="32">
        <f>Calc!$DG135</f>
        <v/>
      </c>
      <c r="EC55" s="32">
        <f>Calc!$DG136</f>
        <v/>
      </c>
      <c r="ED55" s="32">
        <f>Calc!$DG137</f>
        <v/>
      </c>
      <c r="EE55" s="32">
        <f>Calc!$DG138</f>
        <v/>
      </c>
      <c r="EF55" s="32">
        <f>Calc!$DG139</f>
        <v/>
      </c>
      <c r="EG55" s="32">
        <f>Calc!$DG140</f>
        <v/>
      </c>
      <c r="EH55" s="32">
        <f>Calc!$DG141</f>
        <v/>
      </c>
      <c r="EI55" s="32">
        <f>Calc!$DG142</f>
        <v/>
      </c>
      <c r="EJ55" s="32">
        <f>Calc!$DG143</f>
        <v/>
      </c>
      <c r="EK55" s="32">
        <f>Calc!$DG144</f>
        <v/>
      </c>
      <c r="EL55" s="32">
        <f>Calc!$DG145</f>
        <v/>
      </c>
      <c r="EM55" s="32">
        <f>Calc!$DG146</f>
        <v/>
      </c>
      <c r="EN55" s="32">
        <f>Calc!$DG147</f>
        <v/>
      </c>
      <c r="EO55" s="32">
        <f>Calc!$DG148</f>
        <v/>
      </c>
      <c r="EP55" s="32">
        <f>Calc!$DG149</f>
        <v/>
      </c>
      <c r="EQ55" s="32">
        <f>Calc!$DG150</f>
        <v/>
      </c>
      <c r="ER55" s="32">
        <f>Calc!$DG151</f>
        <v/>
      </c>
      <c r="ES55" s="32">
        <f>Calc!$DG152</f>
        <v/>
      </c>
      <c r="ET55" s="32">
        <f>Calc!$DG153</f>
        <v/>
      </c>
      <c r="EU55" s="32">
        <f>Calc!$DG154</f>
        <v/>
      </c>
      <c r="EV55" s="32">
        <f>Calc!$DG155</f>
        <v/>
      </c>
      <c r="EW55" s="32">
        <f>Calc!$DG156</f>
        <v/>
      </c>
      <c r="EX55" s="32">
        <f>Calc!$DG157</f>
        <v/>
      </c>
      <c r="EY55" s="32">
        <f>Calc!$DG158</f>
        <v/>
      </c>
      <c r="EZ55" s="32">
        <f>Calc!$DG159</f>
        <v/>
      </c>
      <c r="FA55" s="32">
        <f>Calc!$DG160</f>
        <v/>
      </c>
      <c r="FB55" s="32">
        <f>Calc!$DG161</f>
        <v/>
      </c>
      <c r="FC55" s="32">
        <f>Calc!$DG162</f>
        <v/>
      </c>
      <c r="FD55" s="32">
        <f>Calc!$DG163</f>
        <v/>
      </c>
      <c r="FE55" s="32">
        <f>Calc!$DG164</f>
        <v/>
      </c>
      <c r="FF55" s="32">
        <f>Calc!$DG165</f>
        <v/>
      </c>
      <c r="FG55" s="32">
        <f>Calc!$DG166</f>
        <v/>
      </c>
      <c r="FH55" s="32">
        <f>Calc!$DG167</f>
        <v/>
      </c>
      <c r="FI55" s="32">
        <f>Calc!$DG168</f>
        <v/>
      </c>
      <c r="FJ55" s="32">
        <f>Calc!$DG169</f>
        <v/>
      </c>
      <c r="FK55" s="32">
        <f>Calc!$DG170</f>
        <v/>
      </c>
      <c r="FL55" s="32">
        <f>Calc!$DG171</f>
        <v/>
      </c>
      <c r="FM55" s="32">
        <f>Calc!$DG172</f>
        <v/>
      </c>
      <c r="FN55" s="32">
        <f>Calc!$DG173</f>
        <v/>
      </c>
      <c r="FO55" s="32">
        <f>Calc!$DG174</f>
        <v/>
      </c>
      <c r="FP55" s="32">
        <f>Calc!$DG175</f>
        <v/>
      </c>
      <c r="FQ55" s="32">
        <f>Calc!$DG176</f>
        <v/>
      </c>
      <c r="FR55" s="32">
        <f>Calc!$DG177</f>
        <v/>
      </c>
      <c r="FS55" s="32">
        <f>Calc!$DG178</f>
        <v/>
      </c>
      <c r="FT55" s="32">
        <f>Calc!$DG179</f>
        <v/>
      </c>
      <c r="FU55" s="32">
        <f>Calc!$DG180</f>
        <v/>
      </c>
      <c r="FV55" s="32">
        <f>Calc!$DG181</f>
        <v/>
      </c>
      <c r="FW55" s="32">
        <f>Calc!$DG182</f>
        <v/>
      </c>
      <c r="FX55" s="32">
        <f>Calc!$DG183</f>
        <v/>
      </c>
    </row>
    <row r="56">
      <c r="A56" s="29" t="inlineStr">
        <is>
          <t>Tithe / charity given</t>
        </is>
      </c>
      <c r="C56" s="32">
        <f>Calc!$AA6</f>
        <v/>
      </c>
      <c r="D56" s="32">
        <f>Calc!$AA7</f>
        <v/>
      </c>
      <c r="E56" s="32">
        <f>Calc!$AA8</f>
        <v/>
      </c>
      <c r="F56" s="32">
        <f>Calc!$AA9</f>
        <v/>
      </c>
      <c r="G56" s="32">
        <f>Calc!$AA10</f>
        <v/>
      </c>
      <c r="H56" s="32">
        <f>Calc!$AA11</f>
        <v/>
      </c>
      <c r="I56" s="32">
        <f>Calc!$AA12</f>
        <v/>
      </c>
      <c r="J56" s="32">
        <f>Calc!$AA13</f>
        <v/>
      </c>
      <c r="K56" s="32">
        <f>Calc!$AA14</f>
        <v/>
      </c>
      <c r="L56" s="32">
        <f>Calc!$AA15</f>
        <v/>
      </c>
      <c r="M56" s="32">
        <f>Calc!$AA16</f>
        <v/>
      </c>
      <c r="N56" s="32">
        <f>Calc!$AA17</f>
        <v/>
      </c>
      <c r="O56" s="32">
        <f>Calc!$AA18</f>
        <v/>
      </c>
      <c r="P56" s="32">
        <f>Calc!$AA19</f>
        <v/>
      </c>
      <c r="Q56" s="32">
        <f>Calc!$AA20</f>
        <v/>
      </c>
      <c r="R56" s="32">
        <f>Calc!$AA21</f>
        <v/>
      </c>
      <c r="S56" s="32">
        <f>Calc!$AA22</f>
        <v/>
      </c>
      <c r="T56" s="32">
        <f>Calc!$AA23</f>
        <v/>
      </c>
      <c r="U56" s="32">
        <f>Calc!$AA24</f>
        <v/>
      </c>
      <c r="V56" s="32">
        <f>Calc!$AA25</f>
        <v/>
      </c>
      <c r="W56" s="32">
        <f>Calc!$AA26</f>
        <v/>
      </c>
      <c r="X56" s="32">
        <f>Calc!$AA27</f>
        <v/>
      </c>
      <c r="Y56" s="32">
        <f>Calc!$AA28</f>
        <v/>
      </c>
      <c r="Z56" s="32">
        <f>Calc!$AA29</f>
        <v/>
      </c>
      <c r="AA56" s="32">
        <f>Calc!$AA30</f>
        <v/>
      </c>
      <c r="AB56" s="32">
        <f>Calc!$AA31</f>
        <v/>
      </c>
      <c r="AC56" s="32">
        <f>Calc!$AA32</f>
        <v/>
      </c>
      <c r="AD56" s="32">
        <f>Calc!$AA33</f>
        <v/>
      </c>
      <c r="AE56" s="32">
        <f>Calc!$AA34</f>
        <v/>
      </c>
      <c r="AF56" s="32">
        <f>Calc!$AA35</f>
        <v/>
      </c>
      <c r="AG56" s="32">
        <f>Calc!$AA36</f>
        <v/>
      </c>
      <c r="AH56" s="32">
        <f>Calc!$AA37</f>
        <v/>
      </c>
      <c r="AI56" s="32">
        <f>Calc!$AA38</f>
        <v/>
      </c>
      <c r="AJ56" s="32">
        <f>Calc!$AA39</f>
        <v/>
      </c>
      <c r="AK56" s="32">
        <f>Calc!$AA40</f>
        <v/>
      </c>
      <c r="AL56" s="32">
        <f>Calc!$AA41</f>
        <v/>
      </c>
      <c r="AM56" s="32">
        <f>Calc!$AA42</f>
        <v/>
      </c>
      <c r="AN56" s="32">
        <f>Calc!$AA43</f>
        <v/>
      </c>
      <c r="AO56" s="32">
        <f>Calc!$AA44</f>
        <v/>
      </c>
      <c r="AP56" s="32">
        <f>Calc!$AA45</f>
        <v/>
      </c>
      <c r="AQ56" s="32">
        <f>Calc!$AA46</f>
        <v/>
      </c>
      <c r="AR56" s="32">
        <f>Calc!$AA47</f>
        <v/>
      </c>
      <c r="AS56" s="32">
        <f>Calc!$AA48</f>
        <v/>
      </c>
      <c r="AT56" s="32">
        <f>Calc!$AA49</f>
        <v/>
      </c>
      <c r="AU56" s="32">
        <f>Calc!$AA50</f>
        <v/>
      </c>
      <c r="AV56" s="32">
        <f>Calc!$AA51</f>
        <v/>
      </c>
      <c r="AW56" s="32">
        <f>Calc!$AA52</f>
        <v/>
      </c>
      <c r="AX56" s="32">
        <f>Calc!$AA53</f>
        <v/>
      </c>
      <c r="AY56" s="32">
        <f>Calc!$AA54</f>
        <v/>
      </c>
      <c r="AZ56" s="32">
        <f>Calc!$AA55</f>
        <v/>
      </c>
      <c r="BA56" s="32">
        <f>Calc!$AA56</f>
        <v/>
      </c>
      <c r="BB56" s="32">
        <f>Calc!$AA57</f>
        <v/>
      </c>
      <c r="BC56" s="32">
        <f>Calc!$AA58</f>
        <v/>
      </c>
      <c r="BD56" s="32">
        <f>Calc!$AA59</f>
        <v/>
      </c>
      <c r="BE56" s="32">
        <f>Calc!$AA60</f>
        <v/>
      </c>
      <c r="BF56" s="32">
        <f>Calc!$AA61</f>
        <v/>
      </c>
      <c r="BG56" s="32">
        <f>Calc!$AA62</f>
        <v/>
      </c>
      <c r="BH56" s="32">
        <f>Calc!$AA63</f>
        <v/>
      </c>
      <c r="BI56" s="32">
        <f>Calc!$AA64</f>
        <v/>
      </c>
      <c r="BJ56" s="32">
        <f>Calc!$AA65</f>
        <v/>
      </c>
      <c r="BK56" s="32">
        <f>Calc!$AA66</f>
        <v/>
      </c>
      <c r="BL56" s="32">
        <f>Calc!$AA67</f>
        <v/>
      </c>
      <c r="BM56" s="32">
        <f>Calc!$AA68</f>
        <v/>
      </c>
      <c r="BN56" s="32">
        <f>Calc!$AA69</f>
        <v/>
      </c>
      <c r="BO56" s="32">
        <f>Calc!$AA70</f>
        <v/>
      </c>
      <c r="BP56" s="32">
        <f>Calc!$AA71</f>
        <v/>
      </c>
      <c r="BQ56" s="32">
        <f>Calc!$AA72</f>
        <v/>
      </c>
      <c r="BR56" s="32">
        <f>Calc!$AA73</f>
        <v/>
      </c>
      <c r="BS56" s="32">
        <f>Calc!$AA74</f>
        <v/>
      </c>
      <c r="BT56" s="32">
        <f>Calc!$AA75</f>
        <v/>
      </c>
      <c r="BU56" s="32">
        <f>Calc!$AA76</f>
        <v/>
      </c>
      <c r="BV56" s="32">
        <f>Calc!$AA77</f>
        <v/>
      </c>
      <c r="BW56" s="32">
        <f>Calc!$AA78</f>
        <v/>
      </c>
      <c r="BX56" s="32">
        <f>Calc!$AA79</f>
        <v/>
      </c>
      <c r="BY56" s="32">
        <f>Calc!$AA80</f>
        <v/>
      </c>
      <c r="BZ56" s="32">
        <f>Calc!$AA81</f>
        <v/>
      </c>
      <c r="CA56" s="32">
        <f>Calc!$AA82</f>
        <v/>
      </c>
      <c r="CB56" s="32">
        <f>Calc!$AA83</f>
        <v/>
      </c>
      <c r="CC56" s="32">
        <f>Calc!$AA84</f>
        <v/>
      </c>
      <c r="CD56" s="32">
        <f>Calc!$AA85</f>
        <v/>
      </c>
      <c r="CE56" s="32">
        <f>Calc!$AA86</f>
        <v/>
      </c>
      <c r="CF56" s="32">
        <f>Calc!$AA87</f>
        <v/>
      </c>
      <c r="CG56" s="32">
        <f>Calc!$AA88</f>
        <v/>
      </c>
      <c r="CH56" s="32">
        <f>Calc!$AA89</f>
        <v/>
      </c>
      <c r="CI56" s="32">
        <f>Calc!$AA90</f>
        <v/>
      </c>
      <c r="CJ56" s="32">
        <f>Calc!$AA91</f>
        <v/>
      </c>
      <c r="CK56" s="32">
        <f>Calc!$AA92</f>
        <v/>
      </c>
      <c r="CL56" s="32">
        <f>Calc!$AA93</f>
        <v/>
      </c>
      <c r="CM56" s="32">
        <f>Calc!$AA94</f>
        <v/>
      </c>
      <c r="CN56" s="32">
        <f>Calc!$AA95</f>
        <v/>
      </c>
      <c r="CO56" s="32">
        <f>Calc!$AA96</f>
        <v/>
      </c>
      <c r="CP56" s="32">
        <f>Calc!$AA97</f>
        <v/>
      </c>
      <c r="CQ56" s="32">
        <f>Calc!$AA98</f>
        <v/>
      </c>
      <c r="CR56" s="32">
        <f>Calc!$AA99</f>
        <v/>
      </c>
      <c r="CS56" s="32">
        <f>Calc!$AA100</f>
        <v/>
      </c>
      <c r="CT56" s="32">
        <f>Calc!$AA101</f>
        <v/>
      </c>
      <c r="CU56" s="32">
        <f>Calc!$AA102</f>
        <v/>
      </c>
      <c r="CV56" s="32">
        <f>Calc!$AA103</f>
        <v/>
      </c>
      <c r="CW56" s="32">
        <f>Calc!$AA104</f>
        <v/>
      </c>
      <c r="CX56" s="32">
        <f>Calc!$AA105</f>
        <v/>
      </c>
      <c r="CY56" s="32">
        <f>Calc!$AA106</f>
        <v/>
      </c>
      <c r="CZ56" s="32">
        <f>Calc!$AA107</f>
        <v/>
      </c>
      <c r="DA56" s="32">
        <f>Calc!$AA108</f>
        <v/>
      </c>
      <c r="DB56" s="32">
        <f>Calc!$AA109</f>
        <v/>
      </c>
      <c r="DC56" s="32">
        <f>Calc!$AA110</f>
        <v/>
      </c>
      <c r="DD56" s="32">
        <f>Calc!$AA111</f>
        <v/>
      </c>
      <c r="DE56" s="32">
        <f>Calc!$AA112</f>
        <v/>
      </c>
      <c r="DF56" s="32">
        <f>Calc!$AA113</f>
        <v/>
      </c>
      <c r="DG56" s="32">
        <f>Calc!$AA114</f>
        <v/>
      </c>
      <c r="DH56" s="32">
        <f>Calc!$AA115</f>
        <v/>
      </c>
      <c r="DI56" s="32">
        <f>Calc!$AA116</f>
        <v/>
      </c>
      <c r="DJ56" s="32">
        <f>Calc!$AA117</f>
        <v/>
      </c>
      <c r="DK56" s="32">
        <f>Calc!$AA118</f>
        <v/>
      </c>
      <c r="DL56" s="32">
        <f>Calc!$AA119</f>
        <v/>
      </c>
      <c r="DM56" s="32">
        <f>Calc!$AA120</f>
        <v/>
      </c>
      <c r="DN56" s="32">
        <f>Calc!$AA121</f>
        <v/>
      </c>
      <c r="DO56" s="32">
        <f>Calc!$AA122</f>
        <v/>
      </c>
      <c r="DP56" s="32">
        <f>Calc!$AA123</f>
        <v/>
      </c>
      <c r="DQ56" s="32">
        <f>Calc!$AA124</f>
        <v/>
      </c>
      <c r="DR56" s="32">
        <f>Calc!$AA125</f>
        <v/>
      </c>
      <c r="DS56" s="32">
        <f>Calc!$AA126</f>
        <v/>
      </c>
      <c r="DT56" s="32">
        <f>Calc!$AA127</f>
        <v/>
      </c>
      <c r="DU56" s="32">
        <f>Calc!$AA128</f>
        <v/>
      </c>
      <c r="DV56" s="32">
        <f>Calc!$AA129</f>
        <v/>
      </c>
      <c r="DW56" s="32">
        <f>Calc!$AA130</f>
        <v/>
      </c>
      <c r="DX56" s="32">
        <f>Calc!$AA131</f>
        <v/>
      </c>
      <c r="DY56" s="32">
        <f>Calc!$AA132</f>
        <v/>
      </c>
      <c r="DZ56" s="32">
        <f>Calc!$AA133</f>
        <v/>
      </c>
      <c r="EA56" s="32">
        <f>Calc!$AA134</f>
        <v/>
      </c>
      <c r="EB56" s="32">
        <f>Calc!$AA135</f>
        <v/>
      </c>
      <c r="EC56" s="32">
        <f>Calc!$AA136</f>
        <v/>
      </c>
      <c r="ED56" s="32">
        <f>Calc!$AA137</f>
        <v/>
      </c>
      <c r="EE56" s="32">
        <f>Calc!$AA138</f>
        <v/>
      </c>
      <c r="EF56" s="32">
        <f>Calc!$AA139</f>
        <v/>
      </c>
      <c r="EG56" s="32">
        <f>Calc!$AA140</f>
        <v/>
      </c>
      <c r="EH56" s="32">
        <f>Calc!$AA141</f>
        <v/>
      </c>
      <c r="EI56" s="32">
        <f>Calc!$AA142</f>
        <v/>
      </c>
      <c r="EJ56" s="32">
        <f>Calc!$AA143</f>
        <v/>
      </c>
      <c r="EK56" s="32">
        <f>Calc!$AA144</f>
        <v/>
      </c>
      <c r="EL56" s="32">
        <f>Calc!$AA145</f>
        <v/>
      </c>
      <c r="EM56" s="32">
        <f>Calc!$AA146</f>
        <v/>
      </c>
      <c r="EN56" s="32">
        <f>Calc!$AA147</f>
        <v/>
      </c>
      <c r="EO56" s="32">
        <f>Calc!$AA148</f>
        <v/>
      </c>
      <c r="EP56" s="32">
        <f>Calc!$AA149</f>
        <v/>
      </c>
      <c r="EQ56" s="32">
        <f>Calc!$AA150</f>
        <v/>
      </c>
      <c r="ER56" s="32">
        <f>Calc!$AA151</f>
        <v/>
      </c>
      <c r="ES56" s="32">
        <f>Calc!$AA152</f>
        <v/>
      </c>
      <c r="ET56" s="32">
        <f>Calc!$AA153</f>
        <v/>
      </c>
      <c r="EU56" s="32">
        <f>Calc!$AA154</f>
        <v/>
      </c>
      <c r="EV56" s="32">
        <f>Calc!$AA155</f>
        <v/>
      </c>
      <c r="EW56" s="32">
        <f>Calc!$AA156</f>
        <v/>
      </c>
      <c r="EX56" s="32">
        <f>Calc!$AA157</f>
        <v/>
      </c>
      <c r="EY56" s="32">
        <f>Calc!$AA158</f>
        <v/>
      </c>
      <c r="EZ56" s="32">
        <f>Calc!$AA159</f>
        <v/>
      </c>
      <c r="FA56" s="32">
        <f>Calc!$AA160</f>
        <v/>
      </c>
      <c r="FB56" s="32">
        <f>Calc!$AA161</f>
        <v/>
      </c>
      <c r="FC56" s="32">
        <f>Calc!$AA162</f>
        <v/>
      </c>
      <c r="FD56" s="32">
        <f>Calc!$AA163</f>
        <v/>
      </c>
      <c r="FE56" s="32">
        <f>Calc!$AA164</f>
        <v/>
      </c>
      <c r="FF56" s="32">
        <f>Calc!$AA165</f>
        <v/>
      </c>
      <c r="FG56" s="32">
        <f>Calc!$AA166</f>
        <v/>
      </c>
      <c r="FH56" s="32">
        <f>Calc!$AA167</f>
        <v/>
      </c>
      <c r="FI56" s="32">
        <f>Calc!$AA168</f>
        <v/>
      </c>
      <c r="FJ56" s="32">
        <f>Calc!$AA169</f>
        <v/>
      </c>
      <c r="FK56" s="32">
        <f>Calc!$AA170</f>
        <v/>
      </c>
      <c r="FL56" s="32">
        <f>Calc!$AA171</f>
        <v/>
      </c>
      <c r="FM56" s="32">
        <f>Calc!$AA172</f>
        <v/>
      </c>
      <c r="FN56" s="32">
        <f>Calc!$AA173</f>
        <v/>
      </c>
      <c r="FO56" s="32">
        <f>Calc!$AA174</f>
        <v/>
      </c>
      <c r="FP56" s="32">
        <f>Calc!$AA175</f>
        <v/>
      </c>
      <c r="FQ56" s="32">
        <f>Calc!$AA176</f>
        <v/>
      </c>
      <c r="FR56" s="32">
        <f>Calc!$AA177</f>
        <v/>
      </c>
      <c r="FS56" s="32">
        <f>Calc!$AA178</f>
        <v/>
      </c>
      <c r="FT56" s="32">
        <f>Calc!$AA179</f>
        <v/>
      </c>
      <c r="FU56" s="32">
        <f>Calc!$AA180</f>
        <v/>
      </c>
      <c r="FV56" s="32">
        <f>Calc!$AA181</f>
        <v/>
      </c>
      <c r="FW56" s="32">
        <f>Calc!$AA182</f>
        <v/>
      </c>
      <c r="FX56" s="32">
        <f>Calc!$AA183</f>
        <v/>
      </c>
    </row>
    <row r="57">
      <c r="A57" s="29" t="inlineStr">
        <is>
          <t>Saved (after giving)</t>
        </is>
      </c>
      <c r="C57" s="32">
        <f>Calc!$DK6</f>
        <v/>
      </c>
      <c r="D57" s="32">
        <f>Calc!$DK7</f>
        <v/>
      </c>
      <c r="E57" s="32">
        <f>Calc!$DK8</f>
        <v/>
      </c>
      <c r="F57" s="32">
        <f>Calc!$DK9</f>
        <v/>
      </c>
      <c r="G57" s="32">
        <f>Calc!$DK10</f>
        <v/>
      </c>
      <c r="H57" s="32">
        <f>Calc!$DK11</f>
        <v/>
      </c>
      <c r="I57" s="32">
        <f>Calc!$DK12</f>
        <v/>
      </c>
      <c r="J57" s="32">
        <f>Calc!$DK13</f>
        <v/>
      </c>
      <c r="K57" s="32">
        <f>Calc!$DK14</f>
        <v/>
      </c>
      <c r="L57" s="32">
        <f>Calc!$DK15</f>
        <v/>
      </c>
      <c r="M57" s="32">
        <f>Calc!$DK16</f>
        <v/>
      </c>
      <c r="N57" s="32">
        <f>Calc!$DK17</f>
        <v/>
      </c>
      <c r="O57" s="32">
        <f>Calc!$DK18</f>
        <v/>
      </c>
      <c r="P57" s="32">
        <f>Calc!$DK19</f>
        <v/>
      </c>
      <c r="Q57" s="32">
        <f>Calc!$DK20</f>
        <v/>
      </c>
      <c r="R57" s="32">
        <f>Calc!$DK21</f>
        <v/>
      </c>
      <c r="S57" s="32">
        <f>Calc!$DK22</f>
        <v/>
      </c>
      <c r="T57" s="32">
        <f>Calc!$DK23</f>
        <v/>
      </c>
      <c r="U57" s="32">
        <f>Calc!$DK24</f>
        <v/>
      </c>
      <c r="V57" s="32">
        <f>Calc!$DK25</f>
        <v/>
      </c>
      <c r="W57" s="32">
        <f>Calc!$DK26</f>
        <v/>
      </c>
      <c r="X57" s="32">
        <f>Calc!$DK27</f>
        <v/>
      </c>
      <c r="Y57" s="32">
        <f>Calc!$DK28</f>
        <v/>
      </c>
      <c r="Z57" s="32">
        <f>Calc!$DK29</f>
        <v/>
      </c>
      <c r="AA57" s="32">
        <f>Calc!$DK30</f>
        <v/>
      </c>
      <c r="AB57" s="32">
        <f>Calc!$DK31</f>
        <v/>
      </c>
      <c r="AC57" s="32">
        <f>Calc!$DK32</f>
        <v/>
      </c>
      <c r="AD57" s="32">
        <f>Calc!$DK33</f>
        <v/>
      </c>
      <c r="AE57" s="32">
        <f>Calc!$DK34</f>
        <v/>
      </c>
      <c r="AF57" s="32">
        <f>Calc!$DK35</f>
        <v/>
      </c>
      <c r="AG57" s="32">
        <f>Calc!$DK36</f>
        <v/>
      </c>
      <c r="AH57" s="32">
        <f>Calc!$DK37</f>
        <v/>
      </c>
      <c r="AI57" s="32">
        <f>Calc!$DK38</f>
        <v/>
      </c>
      <c r="AJ57" s="32">
        <f>Calc!$DK39</f>
        <v/>
      </c>
      <c r="AK57" s="32">
        <f>Calc!$DK40</f>
        <v/>
      </c>
      <c r="AL57" s="32">
        <f>Calc!$DK41</f>
        <v/>
      </c>
      <c r="AM57" s="32">
        <f>Calc!$DK42</f>
        <v/>
      </c>
      <c r="AN57" s="32">
        <f>Calc!$DK43</f>
        <v/>
      </c>
      <c r="AO57" s="32">
        <f>Calc!$DK44</f>
        <v/>
      </c>
      <c r="AP57" s="32">
        <f>Calc!$DK45</f>
        <v/>
      </c>
      <c r="AQ57" s="32">
        <f>Calc!$DK46</f>
        <v/>
      </c>
      <c r="AR57" s="32">
        <f>Calc!$DK47</f>
        <v/>
      </c>
      <c r="AS57" s="32">
        <f>Calc!$DK48</f>
        <v/>
      </c>
      <c r="AT57" s="32">
        <f>Calc!$DK49</f>
        <v/>
      </c>
      <c r="AU57" s="32">
        <f>Calc!$DK50</f>
        <v/>
      </c>
      <c r="AV57" s="32">
        <f>Calc!$DK51</f>
        <v/>
      </c>
      <c r="AW57" s="32">
        <f>Calc!$DK52</f>
        <v/>
      </c>
      <c r="AX57" s="32">
        <f>Calc!$DK53</f>
        <v/>
      </c>
      <c r="AY57" s="32">
        <f>Calc!$DK54</f>
        <v/>
      </c>
      <c r="AZ57" s="32">
        <f>Calc!$DK55</f>
        <v/>
      </c>
      <c r="BA57" s="32">
        <f>Calc!$DK56</f>
        <v/>
      </c>
      <c r="BB57" s="32">
        <f>Calc!$DK57</f>
        <v/>
      </c>
      <c r="BC57" s="32">
        <f>Calc!$DK58</f>
        <v/>
      </c>
      <c r="BD57" s="32">
        <f>Calc!$DK59</f>
        <v/>
      </c>
      <c r="BE57" s="32">
        <f>Calc!$DK60</f>
        <v/>
      </c>
      <c r="BF57" s="32">
        <f>Calc!$DK61</f>
        <v/>
      </c>
      <c r="BG57" s="32">
        <f>Calc!$DK62</f>
        <v/>
      </c>
      <c r="BH57" s="32">
        <f>Calc!$DK63</f>
        <v/>
      </c>
      <c r="BI57" s="32">
        <f>Calc!$DK64</f>
        <v/>
      </c>
      <c r="BJ57" s="32">
        <f>Calc!$DK65</f>
        <v/>
      </c>
      <c r="BK57" s="32">
        <f>Calc!$DK66</f>
        <v/>
      </c>
      <c r="BL57" s="32">
        <f>Calc!$DK67</f>
        <v/>
      </c>
      <c r="BM57" s="32">
        <f>Calc!$DK68</f>
        <v/>
      </c>
      <c r="BN57" s="32">
        <f>Calc!$DK69</f>
        <v/>
      </c>
      <c r="BO57" s="32">
        <f>Calc!$DK70</f>
        <v/>
      </c>
      <c r="BP57" s="32">
        <f>Calc!$DK71</f>
        <v/>
      </c>
      <c r="BQ57" s="32">
        <f>Calc!$DK72</f>
        <v/>
      </c>
      <c r="BR57" s="32">
        <f>Calc!$DK73</f>
        <v/>
      </c>
      <c r="BS57" s="32">
        <f>Calc!$DK74</f>
        <v/>
      </c>
      <c r="BT57" s="32">
        <f>Calc!$DK75</f>
        <v/>
      </c>
      <c r="BU57" s="32">
        <f>Calc!$DK76</f>
        <v/>
      </c>
      <c r="BV57" s="32">
        <f>Calc!$DK77</f>
        <v/>
      </c>
      <c r="BW57" s="32">
        <f>Calc!$DK78</f>
        <v/>
      </c>
      <c r="BX57" s="32">
        <f>Calc!$DK79</f>
        <v/>
      </c>
      <c r="BY57" s="32">
        <f>Calc!$DK80</f>
        <v/>
      </c>
      <c r="BZ57" s="32">
        <f>Calc!$DK81</f>
        <v/>
      </c>
      <c r="CA57" s="32">
        <f>Calc!$DK82</f>
        <v/>
      </c>
      <c r="CB57" s="32">
        <f>Calc!$DK83</f>
        <v/>
      </c>
      <c r="CC57" s="32">
        <f>Calc!$DK84</f>
        <v/>
      </c>
      <c r="CD57" s="32">
        <f>Calc!$DK85</f>
        <v/>
      </c>
      <c r="CE57" s="32">
        <f>Calc!$DK86</f>
        <v/>
      </c>
      <c r="CF57" s="32">
        <f>Calc!$DK87</f>
        <v/>
      </c>
      <c r="CG57" s="32">
        <f>Calc!$DK88</f>
        <v/>
      </c>
      <c r="CH57" s="32">
        <f>Calc!$DK89</f>
        <v/>
      </c>
      <c r="CI57" s="32">
        <f>Calc!$DK90</f>
        <v/>
      </c>
      <c r="CJ57" s="32">
        <f>Calc!$DK91</f>
        <v/>
      </c>
      <c r="CK57" s="32">
        <f>Calc!$DK92</f>
        <v/>
      </c>
      <c r="CL57" s="32">
        <f>Calc!$DK93</f>
        <v/>
      </c>
      <c r="CM57" s="32">
        <f>Calc!$DK94</f>
        <v/>
      </c>
      <c r="CN57" s="32">
        <f>Calc!$DK95</f>
        <v/>
      </c>
      <c r="CO57" s="32">
        <f>Calc!$DK96</f>
        <v/>
      </c>
      <c r="CP57" s="32">
        <f>Calc!$DK97</f>
        <v/>
      </c>
      <c r="CQ57" s="32">
        <f>Calc!$DK98</f>
        <v/>
      </c>
      <c r="CR57" s="32">
        <f>Calc!$DK99</f>
        <v/>
      </c>
      <c r="CS57" s="32">
        <f>Calc!$DK100</f>
        <v/>
      </c>
      <c r="CT57" s="32">
        <f>Calc!$DK101</f>
        <v/>
      </c>
      <c r="CU57" s="32">
        <f>Calc!$DK102</f>
        <v/>
      </c>
      <c r="CV57" s="32">
        <f>Calc!$DK103</f>
        <v/>
      </c>
      <c r="CW57" s="32">
        <f>Calc!$DK104</f>
        <v/>
      </c>
      <c r="CX57" s="32">
        <f>Calc!$DK105</f>
        <v/>
      </c>
      <c r="CY57" s="32">
        <f>Calc!$DK106</f>
        <v/>
      </c>
      <c r="CZ57" s="32">
        <f>Calc!$DK107</f>
        <v/>
      </c>
      <c r="DA57" s="32">
        <f>Calc!$DK108</f>
        <v/>
      </c>
      <c r="DB57" s="32">
        <f>Calc!$DK109</f>
        <v/>
      </c>
      <c r="DC57" s="32">
        <f>Calc!$DK110</f>
        <v/>
      </c>
      <c r="DD57" s="32">
        <f>Calc!$DK111</f>
        <v/>
      </c>
      <c r="DE57" s="32">
        <f>Calc!$DK112</f>
        <v/>
      </c>
      <c r="DF57" s="32">
        <f>Calc!$DK113</f>
        <v/>
      </c>
      <c r="DG57" s="32">
        <f>Calc!$DK114</f>
        <v/>
      </c>
      <c r="DH57" s="32">
        <f>Calc!$DK115</f>
        <v/>
      </c>
      <c r="DI57" s="32">
        <f>Calc!$DK116</f>
        <v/>
      </c>
      <c r="DJ57" s="32">
        <f>Calc!$DK117</f>
        <v/>
      </c>
      <c r="DK57" s="32">
        <f>Calc!$DK118</f>
        <v/>
      </c>
      <c r="DL57" s="32">
        <f>Calc!$DK119</f>
        <v/>
      </c>
      <c r="DM57" s="32">
        <f>Calc!$DK120</f>
        <v/>
      </c>
      <c r="DN57" s="32">
        <f>Calc!$DK121</f>
        <v/>
      </c>
      <c r="DO57" s="32">
        <f>Calc!$DK122</f>
        <v/>
      </c>
      <c r="DP57" s="32">
        <f>Calc!$DK123</f>
        <v/>
      </c>
      <c r="DQ57" s="32">
        <f>Calc!$DK124</f>
        <v/>
      </c>
      <c r="DR57" s="32">
        <f>Calc!$DK125</f>
        <v/>
      </c>
      <c r="DS57" s="32">
        <f>Calc!$DK126</f>
        <v/>
      </c>
      <c r="DT57" s="32">
        <f>Calc!$DK127</f>
        <v/>
      </c>
      <c r="DU57" s="32">
        <f>Calc!$DK128</f>
        <v/>
      </c>
      <c r="DV57" s="32">
        <f>Calc!$DK129</f>
        <v/>
      </c>
      <c r="DW57" s="32">
        <f>Calc!$DK130</f>
        <v/>
      </c>
      <c r="DX57" s="32">
        <f>Calc!$DK131</f>
        <v/>
      </c>
      <c r="DY57" s="32">
        <f>Calc!$DK132</f>
        <v/>
      </c>
      <c r="DZ57" s="32">
        <f>Calc!$DK133</f>
        <v/>
      </c>
      <c r="EA57" s="32">
        <f>Calc!$DK134</f>
        <v/>
      </c>
      <c r="EB57" s="32">
        <f>Calc!$DK135</f>
        <v/>
      </c>
      <c r="EC57" s="32">
        <f>Calc!$DK136</f>
        <v/>
      </c>
      <c r="ED57" s="32">
        <f>Calc!$DK137</f>
        <v/>
      </c>
      <c r="EE57" s="32">
        <f>Calc!$DK138</f>
        <v/>
      </c>
      <c r="EF57" s="32">
        <f>Calc!$DK139</f>
        <v/>
      </c>
      <c r="EG57" s="32">
        <f>Calc!$DK140</f>
        <v/>
      </c>
      <c r="EH57" s="32">
        <f>Calc!$DK141</f>
        <v/>
      </c>
      <c r="EI57" s="32">
        <f>Calc!$DK142</f>
        <v/>
      </c>
      <c r="EJ57" s="32">
        <f>Calc!$DK143</f>
        <v/>
      </c>
      <c r="EK57" s="32">
        <f>Calc!$DK144</f>
        <v/>
      </c>
      <c r="EL57" s="32">
        <f>Calc!$DK145</f>
        <v/>
      </c>
      <c r="EM57" s="32">
        <f>Calc!$DK146</f>
        <v/>
      </c>
      <c r="EN57" s="32">
        <f>Calc!$DK147</f>
        <v/>
      </c>
      <c r="EO57" s="32">
        <f>Calc!$DK148</f>
        <v/>
      </c>
      <c r="EP57" s="32">
        <f>Calc!$DK149</f>
        <v/>
      </c>
      <c r="EQ57" s="32">
        <f>Calc!$DK150</f>
        <v/>
      </c>
      <c r="ER57" s="32">
        <f>Calc!$DK151</f>
        <v/>
      </c>
      <c r="ES57" s="32">
        <f>Calc!$DK152</f>
        <v/>
      </c>
      <c r="ET57" s="32">
        <f>Calc!$DK153</f>
        <v/>
      </c>
      <c r="EU57" s="32">
        <f>Calc!$DK154</f>
        <v/>
      </c>
      <c r="EV57" s="32">
        <f>Calc!$DK155</f>
        <v/>
      </c>
      <c r="EW57" s="32">
        <f>Calc!$DK156</f>
        <v/>
      </c>
      <c r="EX57" s="32">
        <f>Calc!$DK157</f>
        <v/>
      </c>
      <c r="EY57" s="32">
        <f>Calc!$DK158</f>
        <v/>
      </c>
      <c r="EZ57" s="32">
        <f>Calc!$DK159</f>
        <v/>
      </c>
      <c r="FA57" s="32">
        <f>Calc!$DK160</f>
        <v/>
      </c>
      <c r="FB57" s="32">
        <f>Calc!$DK161</f>
        <v/>
      </c>
      <c r="FC57" s="32">
        <f>Calc!$DK162</f>
        <v/>
      </c>
      <c r="FD57" s="32">
        <f>Calc!$DK163</f>
        <v/>
      </c>
      <c r="FE57" s="32">
        <f>Calc!$DK164</f>
        <v/>
      </c>
      <c r="FF57" s="32">
        <f>Calc!$DK165</f>
        <v/>
      </c>
      <c r="FG57" s="32">
        <f>Calc!$DK166</f>
        <v/>
      </c>
      <c r="FH57" s="32">
        <f>Calc!$DK167</f>
        <v/>
      </c>
      <c r="FI57" s="32">
        <f>Calc!$DK168</f>
        <v/>
      </c>
      <c r="FJ57" s="32">
        <f>Calc!$DK169</f>
        <v/>
      </c>
      <c r="FK57" s="32">
        <f>Calc!$DK170</f>
        <v/>
      </c>
      <c r="FL57" s="32">
        <f>Calc!$DK171</f>
        <v/>
      </c>
      <c r="FM57" s="32">
        <f>Calc!$DK172</f>
        <v/>
      </c>
      <c r="FN57" s="32">
        <f>Calc!$DK173</f>
        <v/>
      </c>
      <c r="FO57" s="32">
        <f>Calc!$DK174</f>
        <v/>
      </c>
      <c r="FP57" s="32">
        <f>Calc!$DK175</f>
        <v/>
      </c>
      <c r="FQ57" s="32">
        <f>Calc!$DK176</f>
        <v/>
      </c>
      <c r="FR57" s="32">
        <f>Calc!$DK177</f>
        <v/>
      </c>
      <c r="FS57" s="32">
        <f>Calc!$DK178</f>
        <v/>
      </c>
      <c r="FT57" s="32">
        <f>Calc!$DK179</f>
        <v/>
      </c>
      <c r="FU57" s="32">
        <f>Calc!$DK180</f>
        <v/>
      </c>
      <c r="FV57" s="32">
        <f>Calc!$DK181</f>
        <v/>
      </c>
      <c r="FW57" s="32">
        <f>Calc!$DK182</f>
        <v/>
      </c>
      <c r="FX57" s="32">
        <f>Calc!$DK183</f>
        <v/>
      </c>
    </row>
    <row r="58">
      <c r="A58" s="29" t="inlineStr">
        <is>
          <t>Net worth (month end)</t>
        </is>
      </c>
      <c r="C58" s="32">
        <f>Calc!$DJ6</f>
        <v/>
      </c>
      <c r="D58" s="32">
        <f>Calc!$DJ7</f>
        <v/>
      </c>
      <c r="E58" s="32">
        <f>Calc!$DJ8</f>
        <v/>
      </c>
      <c r="F58" s="32">
        <f>Calc!$DJ9</f>
        <v/>
      </c>
      <c r="G58" s="32">
        <f>Calc!$DJ10</f>
        <v/>
      </c>
      <c r="H58" s="32">
        <f>Calc!$DJ11</f>
        <v/>
      </c>
      <c r="I58" s="32">
        <f>Calc!$DJ12</f>
        <v/>
      </c>
      <c r="J58" s="32">
        <f>Calc!$DJ13</f>
        <v/>
      </c>
      <c r="K58" s="32">
        <f>Calc!$DJ14</f>
        <v/>
      </c>
      <c r="L58" s="32">
        <f>Calc!$DJ15</f>
        <v/>
      </c>
      <c r="M58" s="32">
        <f>Calc!$DJ16</f>
        <v/>
      </c>
      <c r="N58" s="32">
        <f>Calc!$DJ17</f>
        <v/>
      </c>
      <c r="O58" s="32">
        <f>Calc!$DJ18</f>
        <v/>
      </c>
      <c r="P58" s="32">
        <f>Calc!$DJ19</f>
        <v/>
      </c>
      <c r="Q58" s="32">
        <f>Calc!$DJ20</f>
        <v/>
      </c>
      <c r="R58" s="32">
        <f>Calc!$DJ21</f>
        <v/>
      </c>
      <c r="S58" s="32">
        <f>Calc!$DJ22</f>
        <v/>
      </c>
      <c r="T58" s="32">
        <f>Calc!$DJ23</f>
        <v/>
      </c>
      <c r="U58" s="32">
        <f>Calc!$DJ24</f>
        <v/>
      </c>
      <c r="V58" s="32">
        <f>Calc!$DJ25</f>
        <v/>
      </c>
      <c r="W58" s="32">
        <f>Calc!$DJ26</f>
        <v/>
      </c>
      <c r="X58" s="32">
        <f>Calc!$DJ27</f>
        <v/>
      </c>
      <c r="Y58" s="32">
        <f>Calc!$DJ28</f>
        <v/>
      </c>
      <c r="Z58" s="32">
        <f>Calc!$DJ29</f>
        <v/>
      </c>
      <c r="AA58" s="32">
        <f>Calc!$DJ30</f>
        <v/>
      </c>
      <c r="AB58" s="32">
        <f>Calc!$DJ31</f>
        <v/>
      </c>
      <c r="AC58" s="32">
        <f>Calc!$DJ32</f>
        <v/>
      </c>
      <c r="AD58" s="32">
        <f>Calc!$DJ33</f>
        <v/>
      </c>
      <c r="AE58" s="32">
        <f>Calc!$DJ34</f>
        <v/>
      </c>
      <c r="AF58" s="32">
        <f>Calc!$DJ35</f>
        <v/>
      </c>
      <c r="AG58" s="32">
        <f>Calc!$DJ36</f>
        <v/>
      </c>
      <c r="AH58" s="32">
        <f>Calc!$DJ37</f>
        <v/>
      </c>
      <c r="AI58" s="32">
        <f>Calc!$DJ38</f>
        <v/>
      </c>
      <c r="AJ58" s="32">
        <f>Calc!$DJ39</f>
        <v/>
      </c>
      <c r="AK58" s="32">
        <f>Calc!$DJ40</f>
        <v/>
      </c>
      <c r="AL58" s="32">
        <f>Calc!$DJ41</f>
        <v/>
      </c>
      <c r="AM58" s="32">
        <f>Calc!$DJ42</f>
        <v/>
      </c>
      <c r="AN58" s="32">
        <f>Calc!$DJ43</f>
        <v/>
      </c>
      <c r="AO58" s="32">
        <f>Calc!$DJ44</f>
        <v/>
      </c>
      <c r="AP58" s="32">
        <f>Calc!$DJ45</f>
        <v/>
      </c>
      <c r="AQ58" s="32">
        <f>Calc!$DJ46</f>
        <v/>
      </c>
      <c r="AR58" s="32">
        <f>Calc!$DJ47</f>
        <v/>
      </c>
      <c r="AS58" s="32">
        <f>Calc!$DJ48</f>
        <v/>
      </c>
      <c r="AT58" s="32">
        <f>Calc!$DJ49</f>
        <v/>
      </c>
      <c r="AU58" s="32">
        <f>Calc!$DJ50</f>
        <v/>
      </c>
      <c r="AV58" s="32">
        <f>Calc!$DJ51</f>
        <v/>
      </c>
      <c r="AW58" s="32">
        <f>Calc!$DJ52</f>
        <v/>
      </c>
      <c r="AX58" s="32">
        <f>Calc!$DJ53</f>
        <v/>
      </c>
      <c r="AY58" s="32">
        <f>Calc!$DJ54</f>
        <v/>
      </c>
      <c r="AZ58" s="32">
        <f>Calc!$DJ55</f>
        <v/>
      </c>
      <c r="BA58" s="32">
        <f>Calc!$DJ56</f>
        <v/>
      </c>
      <c r="BB58" s="32">
        <f>Calc!$DJ57</f>
        <v/>
      </c>
      <c r="BC58" s="32">
        <f>Calc!$DJ58</f>
        <v/>
      </c>
      <c r="BD58" s="32">
        <f>Calc!$DJ59</f>
        <v/>
      </c>
      <c r="BE58" s="32">
        <f>Calc!$DJ60</f>
        <v/>
      </c>
      <c r="BF58" s="32">
        <f>Calc!$DJ61</f>
        <v/>
      </c>
      <c r="BG58" s="32">
        <f>Calc!$DJ62</f>
        <v/>
      </c>
      <c r="BH58" s="32">
        <f>Calc!$DJ63</f>
        <v/>
      </c>
      <c r="BI58" s="32">
        <f>Calc!$DJ64</f>
        <v/>
      </c>
      <c r="BJ58" s="32">
        <f>Calc!$DJ65</f>
        <v/>
      </c>
      <c r="BK58" s="32">
        <f>Calc!$DJ66</f>
        <v/>
      </c>
      <c r="BL58" s="32">
        <f>Calc!$DJ67</f>
        <v/>
      </c>
      <c r="BM58" s="32">
        <f>Calc!$DJ68</f>
        <v/>
      </c>
      <c r="BN58" s="32">
        <f>Calc!$DJ69</f>
        <v/>
      </c>
      <c r="BO58" s="32">
        <f>Calc!$DJ70</f>
        <v/>
      </c>
      <c r="BP58" s="32">
        <f>Calc!$DJ71</f>
        <v/>
      </c>
      <c r="BQ58" s="32">
        <f>Calc!$DJ72</f>
        <v/>
      </c>
      <c r="BR58" s="32">
        <f>Calc!$DJ73</f>
        <v/>
      </c>
      <c r="BS58" s="32">
        <f>Calc!$DJ74</f>
        <v/>
      </c>
      <c r="BT58" s="32">
        <f>Calc!$DJ75</f>
        <v/>
      </c>
      <c r="BU58" s="32">
        <f>Calc!$DJ76</f>
        <v/>
      </c>
      <c r="BV58" s="32">
        <f>Calc!$DJ77</f>
        <v/>
      </c>
      <c r="BW58" s="32">
        <f>Calc!$DJ78</f>
        <v/>
      </c>
      <c r="BX58" s="32">
        <f>Calc!$DJ79</f>
        <v/>
      </c>
      <c r="BY58" s="32">
        <f>Calc!$DJ80</f>
        <v/>
      </c>
      <c r="BZ58" s="32">
        <f>Calc!$DJ81</f>
        <v/>
      </c>
      <c r="CA58" s="32">
        <f>Calc!$DJ82</f>
        <v/>
      </c>
      <c r="CB58" s="32">
        <f>Calc!$DJ83</f>
        <v/>
      </c>
      <c r="CC58" s="32">
        <f>Calc!$DJ84</f>
        <v/>
      </c>
      <c r="CD58" s="32">
        <f>Calc!$DJ85</f>
        <v/>
      </c>
      <c r="CE58" s="32">
        <f>Calc!$DJ86</f>
        <v/>
      </c>
      <c r="CF58" s="32">
        <f>Calc!$DJ87</f>
        <v/>
      </c>
      <c r="CG58" s="32">
        <f>Calc!$DJ88</f>
        <v/>
      </c>
      <c r="CH58" s="32">
        <f>Calc!$DJ89</f>
        <v/>
      </c>
      <c r="CI58" s="32">
        <f>Calc!$DJ90</f>
        <v/>
      </c>
      <c r="CJ58" s="32">
        <f>Calc!$DJ91</f>
        <v/>
      </c>
      <c r="CK58" s="32">
        <f>Calc!$DJ92</f>
        <v/>
      </c>
      <c r="CL58" s="32">
        <f>Calc!$DJ93</f>
        <v/>
      </c>
      <c r="CM58" s="32">
        <f>Calc!$DJ94</f>
        <v/>
      </c>
      <c r="CN58" s="32">
        <f>Calc!$DJ95</f>
        <v/>
      </c>
      <c r="CO58" s="32">
        <f>Calc!$DJ96</f>
        <v/>
      </c>
      <c r="CP58" s="32">
        <f>Calc!$DJ97</f>
        <v/>
      </c>
      <c r="CQ58" s="32">
        <f>Calc!$DJ98</f>
        <v/>
      </c>
      <c r="CR58" s="32">
        <f>Calc!$DJ99</f>
        <v/>
      </c>
      <c r="CS58" s="32">
        <f>Calc!$DJ100</f>
        <v/>
      </c>
      <c r="CT58" s="32">
        <f>Calc!$DJ101</f>
        <v/>
      </c>
      <c r="CU58" s="32">
        <f>Calc!$DJ102</f>
        <v/>
      </c>
      <c r="CV58" s="32">
        <f>Calc!$DJ103</f>
        <v/>
      </c>
      <c r="CW58" s="32">
        <f>Calc!$DJ104</f>
        <v/>
      </c>
      <c r="CX58" s="32">
        <f>Calc!$DJ105</f>
        <v/>
      </c>
      <c r="CY58" s="32">
        <f>Calc!$DJ106</f>
        <v/>
      </c>
      <c r="CZ58" s="32">
        <f>Calc!$DJ107</f>
        <v/>
      </c>
      <c r="DA58" s="32">
        <f>Calc!$DJ108</f>
        <v/>
      </c>
      <c r="DB58" s="32">
        <f>Calc!$DJ109</f>
        <v/>
      </c>
      <c r="DC58" s="32">
        <f>Calc!$DJ110</f>
        <v/>
      </c>
      <c r="DD58" s="32">
        <f>Calc!$DJ111</f>
        <v/>
      </c>
      <c r="DE58" s="32">
        <f>Calc!$DJ112</f>
        <v/>
      </c>
      <c r="DF58" s="32">
        <f>Calc!$DJ113</f>
        <v/>
      </c>
      <c r="DG58" s="32">
        <f>Calc!$DJ114</f>
        <v/>
      </c>
      <c r="DH58" s="32">
        <f>Calc!$DJ115</f>
        <v/>
      </c>
      <c r="DI58" s="32">
        <f>Calc!$DJ116</f>
        <v/>
      </c>
      <c r="DJ58" s="32">
        <f>Calc!$DJ117</f>
        <v/>
      </c>
      <c r="DK58" s="32">
        <f>Calc!$DJ118</f>
        <v/>
      </c>
      <c r="DL58" s="32">
        <f>Calc!$DJ119</f>
        <v/>
      </c>
      <c r="DM58" s="32">
        <f>Calc!$DJ120</f>
        <v/>
      </c>
      <c r="DN58" s="32">
        <f>Calc!$DJ121</f>
        <v/>
      </c>
      <c r="DO58" s="32">
        <f>Calc!$DJ122</f>
        <v/>
      </c>
      <c r="DP58" s="32">
        <f>Calc!$DJ123</f>
        <v/>
      </c>
      <c r="DQ58" s="32">
        <f>Calc!$DJ124</f>
        <v/>
      </c>
      <c r="DR58" s="32">
        <f>Calc!$DJ125</f>
        <v/>
      </c>
      <c r="DS58" s="32">
        <f>Calc!$DJ126</f>
        <v/>
      </c>
      <c r="DT58" s="32">
        <f>Calc!$DJ127</f>
        <v/>
      </c>
      <c r="DU58" s="32">
        <f>Calc!$DJ128</f>
        <v/>
      </c>
      <c r="DV58" s="32">
        <f>Calc!$DJ129</f>
        <v/>
      </c>
      <c r="DW58" s="32">
        <f>Calc!$DJ130</f>
        <v/>
      </c>
      <c r="DX58" s="32">
        <f>Calc!$DJ131</f>
        <v/>
      </c>
      <c r="DY58" s="32">
        <f>Calc!$DJ132</f>
        <v/>
      </c>
      <c r="DZ58" s="32">
        <f>Calc!$DJ133</f>
        <v/>
      </c>
      <c r="EA58" s="32">
        <f>Calc!$DJ134</f>
        <v/>
      </c>
      <c r="EB58" s="32">
        <f>Calc!$DJ135</f>
        <v/>
      </c>
      <c r="EC58" s="32">
        <f>Calc!$DJ136</f>
        <v/>
      </c>
      <c r="ED58" s="32">
        <f>Calc!$DJ137</f>
        <v/>
      </c>
      <c r="EE58" s="32">
        <f>Calc!$DJ138</f>
        <v/>
      </c>
      <c r="EF58" s="32">
        <f>Calc!$DJ139</f>
        <v/>
      </c>
      <c r="EG58" s="32">
        <f>Calc!$DJ140</f>
        <v/>
      </c>
      <c r="EH58" s="32">
        <f>Calc!$DJ141</f>
        <v/>
      </c>
      <c r="EI58" s="32">
        <f>Calc!$DJ142</f>
        <v/>
      </c>
      <c r="EJ58" s="32">
        <f>Calc!$DJ143</f>
        <v/>
      </c>
      <c r="EK58" s="32">
        <f>Calc!$DJ144</f>
        <v/>
      </c>
      <c r="EL58" s="32">
        <f>Calc!$DJ145</f>
        <v/>
      </c>
      <c r="EM58" s="32">
        <f>Calc!$DJ146</f>
        <v/>
      </c>
      <c r="EN58" s="32">
        <f>Calc!$DJ147</f>
        <v/>
      </c>
      <c r="EO58" s="32">
        <f>Calc!$DJ148</f>
        <v/>
      </c>
      <c r="EP58" s="32">
        <f>Calc!$DJ149</f>
        <v/>
      </c>
      <c r="EQ58" s="32">
        <f>Calc!$DJ150</f>
        <v/>
      </c>
      <c r="ER58" s="32">
        <f>Calc!$DJ151</f>
        <v/>
      </c>
      <c r="ES58" s="32">
        <f>Calc!$DJ152</f>
        <v/>
      </c>
      <c r="ET58" s="32">
        <f>Calc!$DJ153</f>
        <v/>
      </c>
      <c r="EU58" s="32">
        <f>Calc!$DJ154</f>
        <v/>
      </c>
      <c r="EV58" s="32">
        <f>Calc!$DJ155</f>
        <v/>
      </c>
      <c r="EW58" s="32">
        <f>Calc!$DJ156</f>
        <v/>
      </c>
      <c r="EX58" s="32">
        <f>Calc!$DJ157</f>
        <v/>
      </c>
      <c r="EY58" s="32">
        <f>Calc!$DJ158</f>
        <v/>
      </c>
      <c r="EZ58" s="32">
        <f>Calc!$DJ159</f>
        <v/>
      </c>
      <c r="FA58" s="32">
        <f>Calc!$DJ160</f>
        <v/>
      </c>
      <c r="FB58" s="32">
        <f>Calc!$DJ161</f>
        <v/>
      </c>
      <c r="FC58" s="32">
        <f>Calc!$DJ162</f>
        <v/>
      </c>
      <c r="FD58" s="32">
        <f>Calc!$DJ163</f>
        <v/>
      </c>
      <c r="FE58" s="32">
        <f>Calc!$DJ164</f>
        <v/>
      </c>
      <c r="FF58" s="32">
        <f>Calc!$DJ165</f>
        <v/>
      </c>
      <c r="FG58" s="32">
        <f>Calc!$DJ166</f>
        <v/>
      </c>
      <c r="FH58" s="32">
        <f>Calc!$DJ167</f>
        <v/>
      </c>
      <c r="FI58" s="32">
        <f>Calc!$DJ168</f>
        <v/>
      </c>
      <c r="FJ58" s="32">
        <f>Calc!$DJ169</f>
        <v/>
      </c>
      <c r="FK58" s="32">
        <f>Calc!$DJ170</f>
        <v/>
      </c>
      <c r="FL58" s="32">
        <f>Calc!$DJ171</f>
        <v/>
      </c>
      <c r="FM58" s="32">
        <f>Calc!$DJ172</f>
        <v/>
      </c>
      <c r="FN58" s="32">
        <f>Calc!$DJ173</f>
        <v/>
      </c>
      <c r="FO58" s="32">
        <f>Calc!$DJ174</f>
        <v/>
      </c>
      <c r="FP58" s="32">
        <f>Calc!$DJ175</f>
        <v/>
      </c>
      <c r="FQ58" s="32">
        <f>Calc!$DJ176</f>
        <v/>
      </c>
      <c r="FR58" s="32">
        <f>Calc!$DJ177</f>
        <v/>
      </c>
      <c r="FS58" s="32">
        <f>Calc!$DJ178</f>
        <v/>
      </c>
      <c r="FT58" s="32">
        <f>Calc!$DJ179</f>
        <v/>
      </c>
      <c r="FU58" s="32">
        <f>Calc!$DJ180</f>
        <v/>
      </c>
      <c r="FV58" s="32">
        <f>Calc!$DJ181</f>
        <v/>
      </c>
      <c r="FW58" s="32">
        <f>Calc!$DJ182</f>
        <v/>
      </c>
      <c r="FX58" s="32">
        <f>Calc!$DJ183</f>
        <v/>
      </c>
    </row>
    <row r="59"/>
    <row r="60" ht="30" customHeight="1">
      <c r="A60" s="29" t="inlineStr">
        <is>
          <t>Notes</t>
        </is>
      </c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3" t="n"/>
      <c r="AY60" s="33" t="n"/>
      <c r="AZ60" s="33" t="n"/>
      <c r="BA60" s="33" t="n"/>
      <c r="BB60" s="33" t="n"/>
      <c r="BC60" s="33" t="n"/>
      <c r="BD60" s="33" t="n"/>
      <c r="BE60" s="33" t="n"/>
      <c r="BF60" s="33" t="n"/>
      <c r="BG60" s="33" t="n"/>
      <c r="BH60" s="33" t="n"/>
      <c r="BI60" s="33" t="n"/>
      <c r="BJ60" s="33" t="n"/>
      <c r="BK60" s="33" t="n"/>
      <c r="BL60" s="33" t="n"/>
      <c r="BM60" s="33" t="n"/>
      <c r="BN60" s="33" t="n"/>
      <c r="BO60" s="33" t="n"/>
      <c r="BP60" s="33" t="n"/>
      <c r="BQ60" s="33" t="n"/>
      <c r="BR60" s="33" t="n"/>
      <c r="BS60" s="33" t="n"/>
      <c r="BT60" s="33" t="n"/>
      <c r="BU60" s="33" t="n"/>
      <c r="BV60" s="33" t="n"/>
      <c r="BW60" s="33" t="n"/>
      <c r="BX60" s="33" t="n"/>
      <c r="BY60" s="33" t="n"/>
      <c r="BZ60" s="33" t="n"/>
      <c r="CA60" s="33" t="n"/>
      <c r="CB60" s="33" t="n"/>
      <c r="CC60" s="33" t="n"/>
      <c r="CD60" s="33" t="n"/>
      <c r="CE60" s="33" t="n"/>
      <c r="CF60" s="33" t="n"/>
      <c r="CG60" s="33" t="n"/>
      <c r="CH60" s="33" t="n"/>
      <c r="CI60" s="33" t="n"/>
      <c r="CJ60" s="33" t="n"/>
      <c r="CK60" s="33" t="n"/>
      <c r="CL60" s="33" t="n"/>
      <c r="CM60" s="33" t="n"/>
      <c r="CN60" s="33" t="n"/>
      <c r="CO60" s="33" t="n"/>
      <c r="CP60" s="33" t="n"/>
      <c r="CQ60" s="33" t="n"/>
      <c r="CR60" s="33" t="n"/>
      <c r="CS60" s="33" t="n"/>
      <c r="CT60" s="33" t="n"/>
      <c r="CU60" s="33" t="n"/>
      <c r="CV60" s="33" t="n"/>
      <c r="CW60" s="33" t="n"/>
      <c r="CX60" s="33" t="n"/>
      <c r="CY60" s="33" t="n"/>
      <c r="CZ60" s="33" t="n"/>
      <c r="DA60" s="33" t="n"/>
      <c r="DB60" s="33" t="n"/>
      <c r="DC60" s="33" t="n"/>
      <c r="DD60" s="33" t="n"/>
      <c r="DE60" s="33" t="n"/>
      <c r="DF60" s="33" t="n"/>
      <c r="DG60" s="33" t="n"/>
      <c r="DH60" s="33" t="n"/>
      <c r="DI60" s="33" t="n"/>
      <c r="DJ60" s="33" t="n"/>
      <c r="DK60" s="33" t="n"/>
      <c r="DL60" s="33" t="n"/>
      <c r="DM60" s="33" t="n"/>
      <c r="DN60" s="33" t="n"/>
      <c r="DO60" s="33" t="n"/>
      <c r="DP60" s="33" t="n"/>
      <c r="DQ60" s="33" t="n"/>
      <c r="DR60" s="33" t="n"/>
      <c r="DS60" s="33" t="n"/>
      <c r="DT60" s="33" t="n"/>
      <c r="DU60" s="33" t="n"/>
      <c r="DV60" s="33" t="n"/>
      <c r="DW60" s="33" t="n"/>
      <c r="DX60" s="33" t="n"/>
      <c r="DY60" s="33" t="n"/>
      <c r="DZ60" s="33" t="n"/>
      <c r="EA60" s="33" t="n"/>
      <c r="EB60" s="33" t="n"/>
      <c r="EC60" s="33" t="n"/>
      <c r="ED60" s="33" t="n"/>
      <c r="EE60" s="33" t="n"/>
      <c r="EF60" s="33" t="n"/>
      <c r="EG60" s="33" t="n"/>
      <c r="EH60" s="33" t="n"/>
      <c r="EI60" s="33" t="n"/>
      <c r="EJ60" s="33" t="n"/>
      <c r="EK60" s="33" t="n"/>
      <c r="EL60" s="33" t="n"/>
      <c r="EM60" s="33" t="n"/>
      <c r="EN60" s="33" t="n"/>
      <c r="EO60" s="33" t="n"/>
      <c r="EP60" s="33" t="n"/>
      <c r="EQ60" s="33" t="n"/>
      <c r="ER60" s="33" t="n"/>
      <c r="ES60" s="33" t="n"/>
      <c r="ET60" s="33" t="n"/>
      <c r="EU60" s="33" t="n"/>
      <c r="EV60" s="33" t="n"/>
      <c r="EW60" s="33" t="n"/>
      <c r="EX60" s="33" t="n"/>
      <c r="EY60" s="33" t="n"/>
      <c r="EZ60" s="33" t="n"/>
      <c r="FA60" s="33" t="n"/>
      <c r="FB60" s="33" t="n"/>
      <c r="FC60" s="33" t="n"/>
      <c r="FD60" s="33" t="n"/>
      <c r="FE60" s="33" t="n"/>
      <c r="FF60" s="33" t="n"/>
      <c r="FG60" s="33" t="n"/>
      <c r="FH60" s="33" t="n"/>
      <c r="FI60" s="33" t="n"/>
      <c r="FJ60" s="33" t="n"/>
      <c r="FK60" s="33" t="n"/>
      <c r="FL60" s="33" t="n"/>
      <c r="FM60" s="33" t="n"/>
      <c r="FN60" s="33" t="n"/>
      <c r="FO60" s="33" t="n"/>
      <c r="FP60" s="33" t="n"/>
      <c r="FQ60" s="33" t="n"/>
      <c r="FR60" s="33" t="n"/>
      <c r="FS60" s="33" t="n"/>
      <c r="FT60" s="33" t="n"/>
      <c r="FU60" s="33" t="n"/>
      <c r="FV60" s="33" t="n"/>
      <c r="FW60" s="33" t="n"/>
      <c r="FX60" s="33" t="n"/>
    </row>
  </sheetData>
  <mergeCells count="2">
    <mergeCell ref="A2:N2"/>
    <mergeCell ref="A1:N1"/>
  </mergeCells>
  <conditionalFormatting sqref="C7:FX20">
    <cfRule type="expression" priority="1" dxfId="12">
      <formula>$A7="(unused)"</formula>
    </cfRule>
    <cfRule type="expression" priority="6" dxfId="12">
      <formula>EOMONTH(C$4,0)&lt;=Settings!$B$5</formula>
    </cfRule>
    <cfRule type="expression" priority="9" dxfId="13">
      <formula>$B7="REQUIRED"</formula>
    </cfRule>
  </conditionalFormatting>
  <conditionalFormatting sqref="C22:FX33">
    <cfRule type="expression" priority="2" dxfId="12">
      <formula>$A22="(unused)"</formula>
    </cfRule>
  </conditionalFormatting>
  <conditionalFormatting sqref="C35:FX36">
    <cfRule type="expression" priority="3" dxfId="12">
      <formula>$A35="(unused)"</formula>
    </cfRule>
  </conditionalFormatting>
  <conditionalFormatting sqref="C38:FX43">
    <cfRule type="expression" priority="4" dxfId="12">
      <formula>$A38="(unused)"</formula>
    </cfRule>
    <cfRule type="expression" priority="7" dxfId="12">
      <formula>EOMONTH(C$4,0)&lt;=Settings!$B$5</formula>
    </cfRule>
  </conditionalFormatting>
  <conditionalFormatting sqref="C45:FX50">
    <cfRule type="expression" priority="5" dxfId="12">
      <formula>$A45="(unused)"</formula>
    </cfRule>
    <cfRule type="expression" priority="8" dxfId="12">
      <formula>EOMONTH(C$4,0)&lt;=Settings!$B$5</formula>
    </cfRule>
  </conditionalFormatting>
  <conditionalFormatting sqref="B7:B20">
    <cfRule type="expression" priority="10" dxfId="14">
      <formula>$B7="REQUIRED"</formula>
    </cfRule>
  </conditionalFormatting>
  <conditionalFormatting sqref="C7:FX50">
    <cfRule type="expression" priority="11" dxfId="15">
      <formula>_xlfn.ISFORMULA(C7)</formula>
    </cfRule>
  </conditionalFormatting>
  <conditionalFormatting sqref="C4:FX4">
    <cfRule type="expression" priority="12" dxfId="16">
      <formula>AND(C$4&lt;=TODAY(),EOMONTH(C$4,0)&gt;=TODAY())</formula>
    </cfRule>
  </conditionalFormatting>
  <conditionalFormatting sqref="C5:FX5">
    <cfRule type="expression" priority="13" dxfId="17">
      <formula>LEFT(C5,1)="⚠"</formula>
    </cfRule>
    <cfRule type="expression" priority="14" dxfId="18">
      <formula>LEFT(C5,1)="✓"</formula>
    </cfRule>
  </conditionalFormatting>
  <dataValidations count="1">
    <dataValidation sqref="C7:FX50" showDropDown="0" showInputMessage="0" showErrorMessage="1" allowBlank="0" errorTitle="Number expected" error="Please enter a number." type="decimal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G2006"/>
  <sheetViews>
    <sheetView showGridLines="0" showRowColHeaders="0" zoomScale="100" workbookViewId="0">
      <pane ySplit="6" topLeftCell="A7" activePane="bottomLeft" state="frozen"/>
      <selection pane="bottomLeft" activeCell="A1" sqref="A1"/>
    </sheetView>
  </sheetViews>
  <sheetFormatPr baseColWidth="8" defaultRowHeight="19" customHeight="1"/>
  <cols>
    <col width="12" customWidth="1" min="1" max="1"/>
    <col width="13" customWidth="1" min="2" max="2"/>
    <col width="30" customWidth="1" min="3" max="3"/>
    <col width="22" customWidth="1" min="4" max="4"/>
    <col width="18" customWidth="1" min="5" max="5"/>
    <col width="40" customWidth="1" min="6" max="6"/>
    <col width="16" customWidth="1" min="7" max="7"/>
  </cols>
  <sheetData>
    <row r="1" ht="38" customHeight="1">
      <c r="A1" s="1" t="inlineStr">
        <is>
          <t>Giving</t>
        </is>
      </c>
    </row>
    <row r="2" ht="34" customHeight="1">
      <c r="A2" s="2" t="inlineStr">
        <is>
          <t>Tithe &amp; charity log. One row per donation, any payment method — card donations need nothing else. Mark Household-funded = No only if family money paid it (then it is not your tithe). Recurring donations are in Settings and count automatically.</t>
        </is>
      </c>
    </row>
    <row r="3">
      <c r="A3" s="34" t="inlineStr">
        <is>
          <t>TITHE BALANCE NOW</t>
        </is>
      </c>
      <c r="B3" s="6" t="n"/>
      <c r="D3" s="34" t="inlineStr">
        <is>
          <t>GIVEN THIS YEAR (INCL. RECURRING)</t>
        </is>
      </c>
      <c r="E3" s="6" t="n"/>
    </row>
    <row r="4" ht="26" customHeight="1">
      <c r="A4" s="35">
        <f>Calc!$EB$24</f>
        <v/>
      </c>
      <c r="B4" s="6" t="n"/>
      <c r="D4" s="36">
        <f>Calc!$EB$17</f>
        <v/>
      </c>
      <c r="E4" s="6" t="n"/>
    </row>
    <row r="5"/>
    <row r="6">
      <c r="A6" s="13" t="inlineStr">
        <is>
          <t>Date</t>
        </is>
      </c>
      <c r="B6" s="14" t="inlineStr">
        <is>
          <t>Amount ($)</t>
        </is>
      </c>
      <c r="C6" s="13" t="inlineStr">
        <is>
          <t>Recipient</t>
        </is>
      </c>
      <c r="D6" s="13" t="inlineStr">
        <is>
          <t>Paid from (optional)</t>
        </is>
      </c>
      <c r="E6" s="13" t="inlineStr">
        <is>
          <t>Household-funded?</t>
        </is>
      </c>
      <c r="F6" s="13" t="inlineStr">
        <is>
          <t>Note</t>
        </is>
      </c>
      <c r="G6" s="13" t="inlineStr">
        <is>
          <t>Tax-deductible?</t>
        </is>
      </c>
    </row>
    <row r="7">
      <c r="A7" s="37" t="n"/>
      <c r="B7" s="31" t="n"/>
      <c r="C7" s="33" t="n"/>
      <c r="D7" s="33" t="n"/>
      <c r="E7" s="33" t="n"/>
      <c r="F7" s="33" t="n"/>
      <c r="G7" s="33" t="n"/>
    </row>
    <row r="8">
      <c r="A8" s="37" t="n"/>
      <c r="B8" s="31" t="n"/>
      <c r="C8" s="33" t="n"/>
      <c r="D8" s="33" t="n"/>
      <c r="E8" s="33" t="n"/>
      <c r="F8" s="33" t="n"/>
      <c r="G8" s="33" t="n"/>
    </row>
    <row r="9">
      <c r="A9" s="37" t="n"/>
      <c r="B9" s="31" t="n"/>
      <c r="C9" s="33" t="n"/>
      <c r="D9" s="33" t="n"/>
      <c r="E9" s="33" t="n"/>
      <c r="F9" s="33" t="n"/>
      <c r="G9" s="33" t="n"/>
    </row>
    <row r="10">
      <c r="A10" s="37" t="n"/>
      <c r="B10" s="31" t="n"/>
      <c r="C10" s="33" t="n"/>
      <c r="D10" s="33" t="n"/>
      <c r="E10" s="33" t="n"/>
      <c r="F10" s="33" t="n"/>
      <c r="G10" s="33" t="n"/>
    </row>
    <row r="11">
      <c r="A11" s="37" t="n"/>
      <c r="B11" s="31" t="n"/>
      <c r="C11" s="33" t="n"/>
      <c r="D11" s="33" t="n"/>
      <c r="E11" s="33" t="n"/>
      <c r="F11" s="33" t="n"/>
      <c r="G11" s="33" t="n"/>
    </row>
    <row r="12">
      <c r="A12" s="37" t="n"/>
      <c r="B12" s="31" t="n"/>
      <c r="C12" s="33" t="n"/>
      <c r="D12" s="33" t="n"/>
      <c r="E12" s="33" t="n"/>
      <c r="F12" s="33" t="n"/>
      <c r="G12" s="33" t="n"/>
    </row>
    <row r="13">
      <c r="A13" s="37" t="n"/>
      <c r="B13" s="31" t="n"/>
      <c r="C13" s="33" t="n"/>
      <c r="D13" s="33" t="n"/>
      <c r="E13" s="33" t="n"/>
      <c r="F13" s="33" t="n"/>
      <c r="G13" s="33" t="n"/>
    </row>
    <row r="14">
      <c r="A14" s="37" t="n"/>
      <c r="B14" s="31" t="n"/>
      <c r="C14" s="33" t="n"/>
      <c r="D14" s="33" t="n"/>
      <c r="E14" s="33" t="n"/>
      <c r="F14" s="33" t="n"/>
      <c r="G14" s="33" t="n"/>
    </row>
    <row r="15">
      <c r="A15" s="37" t="n"/>
      <c r="B15" s="31" t="n"/>
      <c r="C15" s="33" t="n"/>
      <c r="D15" s="33" t="n"/>
      <c r="E15" s="33" t="n"/>
      <c r="F15" s="33" t="n"/>
      <c r="G15" s="33" t="n"/>
    </row>
    <row r="16">
      <c r="A16" s="37" t="n"/>
      <c r="B16" s="31" t="n"/>
      <c r="C16" s="33" t="n"/>
      <c r="D16" s="33" t="n"/>
      <c r="E16" s="33" t="n"/>
      <c r="F16" s="33" t="n"/>
      <c r="G16" s="33" t="n"/>
    </row>
    <row r="17">
      <c r="A17" s="37" t="n"/>
      <c r="B17" s="31" t="n"/>
      <c r="C17" s="33" t="n"/>
      <c r="D17" s="33" t="n"/>
      <c r="E17" s="33" t="n"/>
      <c r="F17" s="33" t="n"/>
      <c r="G17" s="33" t="n"/>
    </row>
    <row r="18">
      <c r="A18" s="37" t="n"/>
      <c r="B18" s="31" t="n"/>
      <c r="C18" s="33" t="n"/>
      <c r="D18" s="33" t="n"/>
      <c r="E18" s="33" t="n"/>
      <c r="F18" s="33" t="n"/>
      <c r="G18" s="33" t="n"/>
    </row>
    <row r="19">
      <c r="A19" s="37" t="n"/>
      <c r="B19" s="31" t="n"/>
      <c r="C19" s="33" t="n"/>
      <c r="D19" s="33" t="n"/>
      <c r="E19" s="33" t="n"/>
      <c r="F19" s="33" t="n"/>
      <c r="G19" s="33" t="n"/>
    </row>
    <row r="20">
      <c r="A20" s="37" t="n"/>
      <c r="B20" s="31" t="n"/>
      <c r="C20" s="33" t="n"/>
      <c r="D20" s="33" t="n"/>
      <c r="E20" s="33" t="n"/>
      <c r="F20" s="33" t="n"/>
      <c r="G20" s="33" t="n"/>
    </row>
    <row r="21">
      <c r="A21" s="37" t="n"/>
      <c r="B21" s="31" t="n"/>
      <c r="C21" s="33" t="n"/>
      <c r="D21" s="33" t="n"/>
      <c r="E21" s="33" t="n"/>
      <c r="F21" s="33" t="n"/>
      <c r="G21" s="33" t="n"/>
    </row>
    <row r="22">
      <c r="A22" s="37" t="n"/>
      <c r="B22" s="31" t="n"/>
      <c r="C22" s="33" t="n"/>
      <c r="D22" s="33" t="n"/>
      <c r="E22" s="33" t="n"/>
      <c r="F22" s="33" t="n"/>
      <c r="G22" s="33" t="n"/>
    </row>
    <row r="23">
      <c r="A23" s="37" t="n"/>
      <c r="B23" s="31" t="n"/>
      <c r="C23" s="33" t="n"/>
      <c r="D23" s="33" t="n"/>
      <c r="E23" s="33" t="n"/>
      <c r="F23" s="33" t="n"/>
      <c r="G23" s="33" t="n"/>
    </row>
    <row r="24">
      <c r="A24" s="37" t="n"/>
      <c r="B24" s="31" t="n"/>
      <c r="C24" s="33" t="n"/>
      <c r="D24" s="33" t="n"/>
      <c r="E24" s="33" t="n"/>
      <c r="F24" s="33" t="n"/>
      <c r="G24" s="33" t="n"/>
    </row>
    <row r="25">
      <c r="A25" s="37" t="n"/>
      <c r="B25" s="31" t="n"/>
      <c r="C25" s="33" t="n"/>
      <c r="D25" s="33" t="n"/>
      <c r="E25" s="33" t="n"/>
      <c r="F25" s="33" t="n"/>
      <c r="G25" s="33" t="n"/>
    </row>
    <row r="26">
      <c r="A26" s="37" t="n"/>
      <c r="B26" s="31" t="n"/>
      <c r="C26" s="33" t="n"/>
      <c r="D26" s="33" t="n"/>
      <c r="E26" s="33" t="n"/>
      <c r="F26" s="33" t="n"/>
      <c r="G26" s="33" t="n"/>
    </row>
    <row r="27">
      <c r="A27" s="37" t="n"/>
      <c r="B27" s="31" t="n"/>
      <c r="C27" s="33" t="n"/>
      <c r="D27" s="33" t="n"/>
      <c r="E27" s="33" t="n"/>
      <c r="F27" s="33" t="n"/>
      <c r="G27" s="33" t="n"/>
    </row>
    <row r="28">
      <c r="A28" s="37" t="n"/>
      <c r="B28" s="31" t="n"/>
      <c r="C28" s="33" t="n"/>
      <c r="D28" s="33" t="n"/>
      <c r="E28" s="33" t="n"/>
      <c r="F28" s="33" t="n"/>
      <c r="G28" s="33" t="n"/>
    </row>
    <row r="29">
      <c r="A29" s="37" t="n"/>
      <c r="B29" s="31" t="n"/>
      <c r="C29" s="33" t="n"/>
      <c r="D29" s="33" t="n"/>
      <c r="E29" s="33" t="n"/>
      <c r="F29" s="33" t="n"/>
      <c r="G29" s="33" t="n"/>
    </row>
    <row r="30">
      <c r="A30" s="37" t="n"/>
      <c r="B30" s="31" t="n"/>
      <c r="C30" s="33" t="n"/>
      <c r="D30" s="33" t="n"/>
      <c r="E30" s="33" t="n"/>
      <c r="F30" s="33" t="n"/>
      <c r="G30" s="33" t="n"/>
    </row>
    <row r="31">
      <c r="A31" s="37" t="n"/>
      <c r="B31" s="31" t="n"/>
      <c r="C31" s="33" t="n"/>
      <c r="D31" s="33" t="n"/>
      <c r="E31" s="33" t="n"/>
      <c r="F31" s="33" t="n"/>
      <c r="G31" s="33" t="n"/>
    </row>
    <row r="32">
      <c r="A32" s="37" t="n"/>
      <c r="B32" s="31" t="n"/>
      <c r="C32" s="33" t="n"/>
      <c r="D32" s="33" t="n"/>
      <c r="E32" s="33" t="n"/>
      <c r="F32" s="33" t="n"/>
      <c r="G32" s="33" t="n"/>
    </row>
    <row r="33">
      <c r="A33" s="37" t="n"/>
      <c r="B33" s="31" t="n"/>
      <c r="C33" s="33" t="n"/>
      <c r="D33" s="33" t="n"/>
      <c r="E33" s="33" t="n"/>
      <c r="F33" s="33" t="n"/>
      <c r="G33" s="33" t="n"/>
    </row>
    <row r="34">
      <c r="A34" s="37" t="n"/>
      <c r="B34" s="31" t="n"/>
      <c r="C34" s="33" t="n"/>
      <c r="D34" s="33" t="n"/>
      <c r="E34" s="33" t="n"/>
      <c r="F34" s="33" t="n"/>
      <c r="G34" s="33" t="n"/>
    </row>
    <row r="35">
      <c r="A35" s="37" t="n"/>
      <c r="B35" s="31" t="n"/>
      <c r="C35" s="33" t="n"/>
      <c r="D35" s="33" t="n"/>
      <c r="E35" s="33" t="n"/>
      <c r="F35" s="33" t="n"/>
      <c r="G35" s="33" t="n"/>
    </row>
    <row r="36">
      <c r="A36" s="37" t="n"/>
      <c r="B36" s="31" t="n"/>
      <c r="C36" s="33" t="n"/>
      <c r="D36" s="33" t="n"/>
      <c r="E36" s="33" t="n"/>
      <c r="F36" s="33" t="n"/>
      <c r="G36" s="33" t="n"/>
    </row>
    <row r="37">
      <c r="A37" s="37" t="n"/>
      <c r="B37" s="31" t="n"/>
      <c r="C37" s="33" t="n"/>
      <c r="D37" s="33" t="n"/>
      <c r="E37" s="33" t="n"/>
      <c r="F37" s="33" t="n"/>
      <c r="G37" s="33" t="n"/>
    </row>
    <row r="38">
      <c r="A38" s="37" t="n"/>
      <c r="B38" s="31" t="n"/>
      <c r="C38" s="33" t="n"/>
      <c r="D38" s="33" t="n"/>
      <c r="E38" s="33" t="n"/>
      <c r="F38" s="33" t="n"/>
      <c r="G38" s="33" t="n"/>
    </row>
    <row r="39">
      <c r="A39" s="37" t="n"/>
      <c r="B39" s="31" t="n"/>
      <c r="C39" s="33" t="n"/>
      <c r="D39" s="33" t="n"/>
      <c r="E39" s="33" t="n"/>
      <c r="F39" s="33" t="n"/>
      <c r="G39" s="33" t="n"/>
    </row>
    <row r="40">
      <c r="A40" s="37" t="n"/>
      <c r="B40" s="31" t="n"/>
      <c r="C40" s="33" t="n"/>
      <c r="D40" s="33" t="n"/>
      <c r="E40" s="33" t="n"/>
      <c r="F40" s="33" t="n"/>
      <c r="G40" s="33" t="n"/>
    </row>
    <row r="41">
      <c r="A41" s="37" t="n"/>
      <c r="B41" s="31" t="n"/>
      <c r="C41" s="33" t="n"/>
      <c r="D41" s="33" t="n"/>
      <c r="E41" s="33" t="n"/>
      <c r="F41" s="33" t="n"/>
      <c r="G41" s="33" t="n"/>
    </row>
    <row r="42">
      <c r="A42" s="37" t="n"/>
      <c r="B42" s="31" t="n"/>
      <c r="C42" s="33" t="n"/>
      <c r="D42" s="33" t="n"/>
      <c r="E42" s="33" t="n"/>
      <c r="F42" s="33" t="n"/>
      <c r="G42" s="33" t="n"/>
    </row>
    <row r="43">
      <c r="A43" s="37" t="n"/>
      <c r="B43" s="31" t="n"/>
      <c r="C43" s="33" t="n"/>
      <c r="D43" s="33" t="n"/>
      <c r="E43" s="33" t="n"/>
      <c r="F43" s="33" t="n"/>
      <c r="G43" s="33" t="n"/>
    </row>
    <row r="44">
      <c r="A44" s="37" t="n"/>
      <c r="B44" s="31" t="n"/>
      <c r="C44" s="33" t="n"/>
      <c r="D44" s="33" t="n"/>
      <c r="E44" s="33" t="n"/>
      <c r="F44" s="33" t="n"/>
      <c r="G44" s="33" t="n"/>
    </row>
    <row r="45">
      <c r="A45" s="37" t="n"/>
      <c r="B45" s="31" t="n"/>
      <c r="C45" s="33" t="n"/>
      <c r="D45" s="33" t="n"/>
      <c r="E45" s="33" t="n"/>
      <c r="F45" s="33" t="n"/>
      <c r="G45" s="33" t="n"/>
    </row>
    <row r="46">
      <c r="A46" s="37" t="n"/>
      <c r="B46" s="31" t="n"/>
      <c r="C46" s="33" t="n"/>
      <c r="D46" s="33" t="n"/>
      <c r="E46" s="33" t="n"/>
      <c r="F46" s="33" t="n"/>
      <c r="G46" s="33" t="n"/>
    </row>
    <row r="47">
      <c r="A47" s="37" t="n"/>
      <c r="B47" s="31" t="n"/>
      <c r="C47" s="33" t="n"/>
      <c r="D47" s="33" t="n"/>
      <c r="E47" s="33" t="n"/>
      <c r="F47" s="33" t="n"/>
      <c r="G47" s="33" t="n"/>
    </row>
    <row r="48">
      <c r="A48" s="37" t="n"/>
      <c r="B48" s="31" t="n"/>
      <c r="C48" s="33" t="n"/>
      <c r="D48" s="33" t="n"/>
      <c r="E48" s="33" t="n"/>
      <c r="F48" s="33" t="n"/>
      <c r="G48" s="33" t="n"/>
    </row>
    <row r="49">
      <c r="A49" s="37" t="n"/>
      <c r="B49" s="31" t="n"/>
      <c r="C49" s="33" t="n"/>
      <c r="D49" s="33" t="n"/>
      <c r="E49" s="33" t="n"/>
      <c r="F49" s="33" t="n"/>
      <c r="G49" s="33" t="n"/>
    </row>
    <row r="50">
      <c r="A50" s="37" t="n"/>
      <c r="B50" s="31" t="n"/>
      <c r="C50" s="33" t="n"/>
      <c r="D50" s="33" t="n"/>
      <c r="E50" s="33" t="n"/>
      <c r="F50" s="33" t="n"/>
      <c r="G50" s="33" t="n"/>
    </row>
    <row r="51">
      <c r="A51" s="37" t="n"/>
      <c r="B51" s="31" t="n"/>
      <c r="C51" s="33" t="n"/>
      <c r="D51" s="33" t="n"/>
      <c r="E51" s="33" t="n"/>
      <c r="F51" s="33" t="n"/>
      <c r="G51" s="33" t="n"/>
    </row>
    <row r="52">
      <c r="A52" s="37" t="n"/>
      <c r="B52" s="31" t="n"/>
      <c r="C52" s="33" t="n"/>
      <c r="D52" s="33" t="n"/>
      <c r="E52" s="33" t="n"/>
      <c r="F52" s="33" t="n"/>
      <c r="G52" s="33" t="n"/>
    </row>
    <row r="53">
      <c r="A53" s="37" t="n"/>
      <c r="B53" s="31" t="n"/>
      <c r="C53" s="33" t="n"/>
      <c r="D53" s="33" t="n"/>
      <c r="E53" s="33" t="n"/>
      <c r="F53" s="33" t="n"/>
      <c r="G53" s="33" t="n"/>
    </row>
    <row r="54">
      <c r="A54" s="37" t="n"/>
      <c r="B54" s="31" t="n"/>
      <c r="C54" s="33" t="n"/>
      <c r="D54" s="33" t="n"/>
      <c r="E54" s="33" t="n"/>
      <c r="F54" s="33" t="n"/>
      <c r="G54" s="33" t="n"/>
    </row>
    <row r="55">
      <c r="A55" s="37" t="n"/>
      <c r="B55" s="31" t="n"/>
      <c r="C55" s="33" t="n"/>
      <c r="D55" s="33" t="n"/>
      <c r="E55" s="33" t="n"/>
      <c r="F55" s="33" t="n"/>
      <c r="G55" s="33" t="n"/>
    </row>
    <row r="56">
      <c r="A56" s="37" t="n"/>
      <c r="B56" s="31" t="n"/>
      <c r="C56" s="33" t="n"/>
      <c r="D56" s="33" t="n"/>
      <c r="E56" s="33" t="n"/>
      <c r="F56" s="33" t="n"/>
      <c r="G56" s="33" t="n"/>
    </row>
    <row r="57">
      <c r="A57" s="37" t="n"/>
      <c r="B57" s="31" t="n"/>
      <c r="C57" s="33" t="n"/>
      <c r="D57" s="33" t="n"/>
      <c r="E57" s="33" t="n"/>
      <c r="F57" s="33" t="n"/>
      <c r="G57" s="33" t="n"/>
    </row>
    <row r="58">
      <c r="A58" s="37" t="n"/>
      <c r="B58" s="31" t="n"/>
      <c r="C58" s="33" t="n"/>
      <c r="D58" s="33" t="n"/>
      <c r="E58" s="33" t="n"/>
      <c r="F58" s="33" t="n"/>
      <c r="G58" s="33" t="n"/>
    </row>
    <row r="59">
      <c r="A59" s="37" t="n"/>
      <c r="B59" s="31" t="n"/>
      <c r="C59" s="33" t="n"/>
      <c r="D59" s="33" t="n"/>
      <c r="E59" s="33" t="n"/>
      <c r="F59" s="33" t="n"/>
      <c r="G59" s="33" t="n"/>
    </row>
    <row r="60">
      <c r="A60" s="37" t="n"/>
      <c r="B60" s="31" t="n"/>
      <c r="C60" s="33" t="n"/>
      <c r="D60" s="33" t="n"/>
      <c r="E60" s="33" t="n"/>
      <c r="F60" s="33" t="n"/>
      <c r="G60" s="33" t="n"/>
    </row>
    <row r="61">
      <c r="A61" s="37" t="n"/>
      <c r="B61" s="31" t="n"/>
      <c r="C61" s="33" t="n"/>
      <c r="D61" s="33" t="n"/>
      <c r="E61" s="33" t="n"/>
      <c r="F61" s="33" t="n"/>
      <c r="G61" s="33" t="n"/>
    </row>
    <row r="62">
      <c r="A62" s="37" t="n"/>
      <c r="B62" s="31" t="n"/>
      <c r="C62" s="33" t="n"/>
      <c r="D62" s="33" t="n"/>
      <c r="E62" s="33" t="n"/>
      <c r="F62" s="33" t="n"/>
      <c r="G62" s="33" t="n"/>
    </row>
    <row r="63">
      <c r="A63" s="37" t="n"/>
      <c r="B63" s="31" t="n"/>
      <c r="C63" s="33" t="n"/>
      <c r="D63" s="33" t="n"/>
      <c r="E63" s="33" t="n"/>
      <c r="F63" s="33" t="n"/>
      <c r="G63" s="33" t="n"/>
    </row>
    <row r="64">
      <c r="A64" s="37" t="n"/>
      <c r="B64" s="31" t="n"/>
      <c r="C64" s="33" t="n"/>
      <c r="D64" s="33" t="n"/>
      <c r="E64" s="33" t="n"/>
      <c r="F64" s="33" t="n"/>
      <c r="G64" s="33" t="n"/>
    </row>
    <row r="65">
      <c r="A65" s="37" t="n"/>
      <c r="B65" s="31" t="n"/>
      <c r="C65" s="33" t="n"/>
      <c r="D65" s="33" t="n"/>
      <c r="E65" s="33" t="n"/>
      <c r="F65" s="33" t="n"/>
      <c r="G65" s="33" t="n"/>
    </row>
    <row r="66">
      <c r="A66" s="37" t="n"/>
      <c r="B66" s="31" t="n"/>
      <c r="C66" s="33" t="n"/>
      <c r="D66" s="33" t="n"/>
      <c r="E66" s="33" t="n"/>
      <c r="F66" s="33" t="n"/>
      <c r="G66" s="33" t="n"/>
    </row>
    <row r="67">
      <c r="A67" s="37" t="n"/>
      <c r="B67" s="31" t="n"/>
      <c r="C67" s="33" t="n"/>
      <c r="D67" s="33" t="n"/>
      <c r="E67" s="33" t="n"/>
      <c r="F67" s="33" t="n"/>
      <c r="G67" s="33" t="n"/>
    </row>
    <row r="68">
      <c r="A68" s="37" t="n"/>
      <c r="B68" s="31" t="n"/>
      <c r="C68" s="33" t="n"/>
      <c r="D68" s="33" t="n"/>
      <c r="E68" s="33" t="n"/>
      <c r="F68" s="33" t="n"/>
      <c r="G68" s="33" t="n"/>
    </row>
    <row r="69">
      <c r="A69" s="37" t="n"/>
      <c r="B69" s="31" t="n"/>
      <c r="C69" s="33" t="n"/>
      <c r="D69" s="33" t="n"/>
      <c r="E69" s="33" t="n"/>
      <c r="F69" s="33" t="n"/>
      <c r="G69" s="33" t="n"/>
    </row>
    <row r="70">
      <c r="A70" s="37" t="n"/>
      <c r="B70" s="31" t="n"/>
      <c r="C70" s="33" t="n"/>
      <c r="D70" s="33" t="n"/>
      <c r="E70" s="33" t="n"/>
      <c r="F70" s="33" t="n"/>
      <c r="G70" s="33" t="n"/>
    </row>
    <row r="71">
      <c r="A71" s="37" t="n"/>
      <c r="B71" s="31" t="n"/>
      <c r="C71" s="33" t="n"/>
      <c r="D71" s="33" t="n"/>
      <c r="E71" s="33" t="n"/>
      <c r="F71" s="33" t="n"/>
      <c r="G71" s="33" t="n"/>
    </row>
    <row r="72">
      <c r="A72" s="37" t="n"/>
      <c r="B72" s="31" t="n"/>
      <c r="C72" s="33" t="n"/>
      <c r="D72" s="33" t="n"/>
      <c r="E72" s="33" t="n"/>
      <c r="F72" s="33" t="n"/>
      <c r="G72" s="33" t="n"/>
    </row>
    <row r="73">
      <c r="A73" s="37" t="n"/>
      <c r="B73" s="31" t="n"/>
      <c r="C73" s="33" t="n"/>
      <c r="D73" s="33" t="n"/>
      <c r="E73" s="33" t="n"/>
      <c r="F73" s="33" t="n"/>
      <c r="G73" s="33" t="n"/>
    </row>
    <row r="74">
      <c r="A74" s="37" t="n"/>
      <c r="B74" s="31" t="n"/>
      <c r="C74" s="33" t="n"/>
      <c r="D74" s="33" t="n"/>
      <c r="E74" s="33" t="n"/>
      <c r="F74" s="33" t="n"/>
      <c r="G74" s="33" t="n"/>
    </row>
    <row r="75">
      <c r="A75" s="37" t="n"/>
      <c r="B75" s="31" t="n"/>
      <c r="C75" s="33" t="n"/>
      <c r="D75" s="33" t="n"/>
      <c r="E75" s="33" t="n"/>
      <c r="F75" s="33" t="n"/>
      <c r="G75" s="33" t="n"/>
    </row>
    <row r="76">
      <c r="A76" s="37" t="n"/>
      <c r="B76" s="31" t="n"/>
      <c r="C76" s="33" t="n"/>
      <c r="D76" s="33" t="n"/>
      <c r="E76" s="33" t="n"/>
      <c r="F76" s="33" t="n"/>
      <c r="G76" s="33" t="n"/>
    </row>
    <row r="77">
      <c r="A77" s="37" t="n"/>
      <c r="B77" s="31" t="n"/>
      <c r="C77" s="33" t="n"/>
      <c r="D77" s="33" t="n"/>
      <c r="E77" s="33" t="n"/>
      <c r="F77" s="33" t="n"/>
      <c r="G77" s="33" t="n"/>
    </row>
    <row r="78">
      <c r="A78" s="37" t="n"/>
      <c r="B78" s="31" t="n"/>
      <c r="C78" s="33" t="n"/>
      <c r="D78" s="33" t="n"/>
      <c r="E78" s="33" t="n"/>
      <c r="F78" s="33" t="n"/>
      <c r="G78" s="33" t="n"/>
    </row>
    <row r="79">
      <c r="A79" s="37" t="n"/>
      <c r="B79" s="31" t="n"/>
      <c r="C79" s="33" t="n"/>
      <c r="D79" s="33" t="n"/>
      <c r="E79" s="33" t="n"/>
      <c r="F79" s="33" t="n"/>
      <c r="G79" s="33" t="n"/>
    </row>
    <row r="80">
      <c r="A80" s="37" t="n"/>
      <c r="B80" s="31" t="n"/>
      <c r="C80" s="33" t="n"/>
      <c r="D80" s="33" t="n"/>
      <c r="E80" s="33" t="n"/>
      <c r="F80" s="33" t="n"/>
      <c r="G80" s="33" t="n"/>
    </row>
    <row r="81">
      <c r="A81" s="37" t="n"/>
      <c r="B81" s="31" t="n"/>
      <c r="C81" s="33" t="n"/>
      <c r="D81" s="33" t="n"/>
      <c r="E81" s="33" t="n"/>
      <c r="F81" s="33" t="n"/>
      <c r="G81" s="33" t="n"/>
    </row>
    <row r="82">
      <c r="A82" s="37" t="n"/>
      <c r="B82" s="31" t="n"/>
      <c r="C82" s="33" t="n"/>
      <c r="D82" s="33" t="n"/>
      <c r="E82" s="33" t="n"/>
      <c r="F82" s="33" t="n"/>
      <c r="G82" s="33" t="n"/>
    </row>
    <row r="83">
      <c r="A83" s="37" t="n"/>
      <c r="B83" s="31" t="n"/>
      <c r="C83" s="33" t="n"/>
      <c r="D83" s="33" t="n"/>
      <c r="E83" s="33" t="n"/>
      <c r="F83" s="33" t="n"/>
      <c r="G83" s="33" t="n"/>
    </row>
    <row r="84">
      <c r="A84" s="37" t="n"/>
      <c r="B84" s="31" t="n"/>
      <c r="C84" s="33" t="n"/>
      <c r="D84" s="33" t="n"/>
      <c r="E84" s="33" t="n"/>
      <c r="F84" s="33" t="n"/>
      <c r="G84" s="33" t="n"/>
    </row>
    <row r="85">
      <c r="A85" s="37" t="n"/>
      <c r="B85" s="31" t="n"/>
      <c r="C85" s="33" t="n"/>
      <c r="D85" s="33" t="n"/>
      <c r="E85" s="33" t="n"/>
      <c r="F85" s="33" t="n"/>
      <c r="G85" s="33" t="n"/>
    </row>
    <row r="86">
      <c r="A86" s="37" t="n"/>
      <c r="B86" s="31" t="n"/>
      <c r="C86" s="33" t="n"/>
      <c r="D86" s="33" t="n"/>
      <c r="E86" s="33" t="n"/>
      <c r="F86" s="33" t="n"/>
      <c r="G86" s="33" t="n"/>
    </row>
    <row r="87">
      <c r="A87" s="37" t="n"/>
      <c r="B87" s="31" t="n"/>
      <c r="C87" s="33" t="n"/>
      <c r="D87" s="33" t="n"/>
      <c r="E87" s="33" t="n"/>
      <c r="F87" s="33" t="n"/>
      <c r="G87" s="33" t="n"/>
    </row>
    <row r="88">
      <c r="A88" s="37" t="n"/>
      <c r="B88" s="31" t="n"/>
      <c r="C88" s="33" t="n"/>
      <c r="D88" s="33" t="n"/>
      <c r="E88" s="33" t="n"/>
      <c r="F88" s="33" t="n"/>
      <c r="G88" s="33" t="n"/>
    </row>
    <row r="89">
      <c r="A89" s="37" t="n"/>
      <c r="B89" s="31" t="n"/>
      <c r="C89" s="33" t="n"/>
      <c r="D89" s="33" t="n"/>
      <c r="E89" s="33" t="n"/>
      <c r="F89" s="33" t="n"/>
      <c r="G89" s="33" t="n"/>
    </row>
    <row r="90">
      <c r="A90" s="37" t="n"/>
      <c r="B90" s="31" t="n"/>
      <c r="C90" s="33" t="n"/>
      <c r="D90" s="33" t="n"/>
      <c r="E90" s="33" t="n"/>
      <c r="F90" s="33" t="n"/>
      <c r="G90" s="33" t="n"/>
    </row>
    <row r="91">
      <c r="A91" s="37" t="n"/>
      <c r="B91" s="31" t="n"/>
      <c r="C91" s="33" t="n"/>
      <c r="D91" s="33" t="n"/>
      <c r="E91" s="33" t="n"/>
      <c r="F91" s="33" t="n"/>
      <c r="G91" s="33" t="n"/>
    </row>
    <row r="92">
      <c r="A92" s="37" t="n"/>
      <c r="B92" s="31" t="n"/>
      <c r="C92" s="33" t="n"/>
      <c r="D92" s="33" t="n"/>
      <c r="E92" s="33" t="n"/>
      <c r="F92" s="33" t="n"/>
      <c r="G92" s="33" t="n"/>
    </row>
    <row r="93">
      <c r="A93" s="37" t="n"/>
      <c r="B93" s="31" t="n"/>
      <c r="C93" s="33" t="n"/>
      <c r="D93" s="33" t="n"/>
      <c r="E93" s="33" t="n"/>
      <c r="F93" s="33" t="n"/>
      <c r="G93" s="33" t="n"/>
    </row>
    <row r="94">
      <c r="A94" s="37" t="n"/>
      <c r="B94" s="31" t="n"/>
      <c r="C94" s="33" t="n"/>
      <c r="D94" s="33" t="n"/>
      <c r="E94" s="33" t="n"/>
      <c r="F94" s="33" t="n"/>
      <c r="G94" s="33" t="n"/>
    </row>
    <row r="95">
      <c r="A95" s="37" t="n"/>
      <c r="B95" s="31" t="n"/>
      <c r="C95" s="33" t="n"/>
      <c r="D95" s="33" t="n"/>
      <c r="E95" s="33" t="n"/>
      <c r="F95" s="33" t="n"/>
      <c r="G95" s="33" t="n"/>
    </row>
    <row r="96">
      <c r="A96" s="37" t="n"/>
      <c r="B96" s="31" t="n"/>
      <c r="C96" s="33" t="n"/>
      <c r="D96" s="33" t="n"/>
      <c r="E96" s="33" t="n"/>
      <c r="F96" s="33" t="n"/>
      <c r="G96" s="33" t="n"/>
    </row>
    <row r="97">
      <c r="A97" s="37" t="n"/>
      <c r="B97" s="31" t="n"/>
      <c r="C97" s="33" t="n"/>
      <c r="D97" s="33" t="n"/>
      <c r="E97" s="33" t="n"/>
      <c r="F97" s="33" t="n"/>
      <c r="G97" s="33" t="n"/>
    </row>
    <row r="98">
      <c r="A98" s="37" t="n"/>
      <c r="B98" s="31" t="n"/>
      <c r="C98" s="33" t="n"/>
      <c r="D98" s="33" t="n"/>
      <c r="E98" s="33" t="n"/>
      <c r="F98" s="33" t="n"/>
      <c r="G98" s="33" t="n"/>
    </row>
    <row r="99">
      <c r="A99" s="37" t="n"/>
      <c r="B99" s="31" t="n"/>
      <c r="C99" s="33" t="n"/>
      <c r="D99" s="33" t="n"/>
      <c r="E99" s="33" t="n"/>
      <c r="F99" s="33" t="n"/>
      <c r="G99" s="33" t="n"/>
    </row>
    <row r="100">
      <c r="A100" s="37" t="n"/>
      <c r="B100" s="31" t="n"/>
      <c r="C100" s="33" t="n"/>
      <c r="D100" s="33" t="n"/>
      <c r="E100" s="33" t="n"/>
      <c r="F100" s="33" t="n"/>
      <c r="G100" s="33" t="n"/>
    </row>
    <row r="101">
      <c r="A101" s="37" t="n"/>
      <c r="B101" s="31" t="n"/>
      <c r="C101" s="33" t="n"/>
      <c r="D101" s="33" t="n"/>
      <c r="E101" s="33" t="n"/>
      <c r="F101" s="33" t="n"/>
      <c r="G101" s="33" t="n"/>
    </row>
    <row r="102">
      <c r="A102" s="37" t="n"/>
      <c r="B102" s="31" t="n"/>
      <c r="C102" s="33" t="n"/>
      <c r="D102" s="33" t="n"/>
      <c r="E102" s="33" t="n"/>
      <c r="F102" s="33" t="n"/>
      <c r="G102" s="33" t="n"/>
    </row>
    <row r="103">
      <c r="A103" s="37" t="n"/>
      <c r="B103" s="31" t="n"/>
      <c r="C103" s="33" t="n"/>
      <c r="D103" s="33" t="n"/>
      <c r="E103" s="33" t="n"/>
      <c r="F103" s="33" t="n"/>
      <c r="G103" s="33" t="n"/>
    </row>
    <row r="104">
      <c r="A104" s="37" t="n"/>
      <c r="B104" s="31" t="n"/>
      <c r="C104" s="33" t="n"/>
      <c r="D104" s="33" t="n"/>
      <c r="E104" s="33" t="n"/>
      <c r="F104" s="33" t="n"/>
      <c r="G104" s="33" t="n"/>
    </row>
    <row r="105">
      <c r="A105" s="37" t="n"/>
      <c r="B105" s="31" t="n"/>
      <c r="C105" s="33" t="n"/>
      <c r="D105" s="33" t="n"/>
      <c r="E105" s="33" t="n"/>
      <c r="F105" s="33" t="n"/>
      <c r="G105" s="33" t="n"/>
    </row>
    <row r="106">
      <c r="A106" s="37" t="n"/>
      <c r="B106" s="31" t="n"/>
      <c r="C106" s="33" t="n"/>
      <c r="D106" s="33" t="n"/>
      <c r="E106" s="33" t="n"/>
      <c r="F106" s="33" t="n"/>
      <c r="G106" s="33" t="n"/>
    </row>
    <row r="107">
      <c r="A107" s="37" t="n"/>
      <c r="B107" s="31" t="n"/>
      <c r="C107" s="33" t="n"/>
      <c r="D107" s="33" t="n"/>
      <c r="E107" s="33" t="n"/>
      <c r="F107" s="33" t="n"/>
      <c r="G107" s="33" t="n"/>
    </row>
    <row r="108">
      <c r="A108" s="37" t="n"/>
      <c r="B108" s="31" t="n"/>
      <c r="C108" s="33" t="n"/>
      <c r="D108" s="33" t="n"/>
      <c r="E108" s="33" t="n"/>
      <c r="F108" s="33" t="n"/>
      <c r="G108" s="33" t="n"/>
    </row>
    <row r="109">
      <c r="A109" s="37" t="n"/>
      <c r="B109" s="31" t="n"/>
      <c r="C109" s="33" t="n"/>
      <c r="D109" s="33" t="n"/>
      <c r="E109" s="33" t="n"/>
      <c r="F109" s="33" t="n"/>
      <c r="G109" s="33" t="n"/>
    </row>
    <row r="110">
      <c r="A110" s="37" t="n"/>
      <c r="B110" s="31" t="n"/>
      <c r="C110" s="33" t="n"/>
      <c r="D110" s="33" t="n"/>
      <c r="E110" s="33" t="n"/>
      <c r="F110" s="33" t="n"/>
      <c r="G110" s="33" t="n"/>
    </row>
    <row r="111">
      <c r="A111" s="37" t="n"/>
      <c r="B111" s="31" t="n"/>
      <c r="C111" s="33" t="n"/>
      <c r="D111" s="33" t="n"/>
      <c r="E111" s="33" t="n"/>
      <c r="F111" s="33" t="n"/>
      <c r="G111" s="33" t="n"/>
    </row>
    <row r="112">
      <c r="A112" s="37" t="n"/>
      <c r="B112" s="31" t="n"/>
      <c r="C112" s="33" t="n"/>
      <c r="D112" s="33" t="n"/>
      <c r="E112" s="33" t="n"/>
      <c r="F112" s="33" t="n"/>
      <c r="G112" s="33" t="n"/>
    </row>
    <row r="113">
      <c r="A113" s="37" t="n"/>
      <c r="B113" s="31" t="n"/>
      <c r="C113" s="33" t="n"/>
      <c r="D113" s="33" t="n"/>
      <c r="E113" s="33" t="n"/>
      <c r="F113" s="33" t="n"/>
      <c r="G113" s="33" t="n"/>
    </row>
    <row r="114">
      <c r="A114" s="37" t="n"/>
      <c r="B114" s="31" t="n"/>
      <c r="C114" s="33" t="n"/>
      <c r="D114" s="33" t="n"/>
      <c r="E114" s="33" t="n"/>
      <c r="F114" s="33" t="n"/>
      <c r="G114" s="33" t="n"/>
    </row>
    <row r="115">
      <c r="A115" s="37" t="n"/>
      <c r="B115" s="31" t="n"/>
      <c r="C115" s="33" t="n"/>
      <c r="D115" s="33" t="n"/>
      <c r="E115" s="33" t="n"/>
      <c r="F115" s="33" t="n"/>
      <c r="G115" s="33" t="n"/>
    </row>
    <row r="116">
      <c r="A116" s="37" t="n"/>
      <c r="B116" s="31" t="n"/>
      <c r="C116" s="33" t="n"/>
      <c r="D116" s="33" t="n"/>
      <c r="E116" s="33" t="n"/>
      <c r="F116" s="33" t="n"/>
      <c r="G116" s="33" t="n"/>
    </row>
    <row r="117">
      <c r="A117" s="37" t="n"/>
      <c r="B117" s="31" t="n"/>
      <c r="C117" s="33" t="n"/>
      <c r="D117" s="33" t="n"/>
      <c r="E117" s="33" t="n"/>
      <c r="F117" s="33" t="n"/>
      <c r="G117" s="33" t="n"/>
    </row>
    <row r="118">
      <c r="A118" s="37" t="n"/>
      <c r="B118" s="31" t="n"/>
      <c r="C118" s="33" t="n"/>
      <c r="D118" s="33" t="n"/>
      <c r="E118" s="33" t="n"/>
      <c r="F118" s="33" t="n"/>
      <c r="G118" s="33" t="n"/>
    </row>
    <row r="119">
      <c r="A119" s="37" t="n"/>
      <c r="B119" s="31" t="n"/>
      <c r="C119" s="33" t="n"/>
      <c r="D119" s="33" t="n"/>
      <c r="E119" s="33" t="n"/>
      <c r="F119" s="33" t="n"/>
      <c r="G119" s="33" t="n"/>
    </row>
    <row r="120">
      <c r="A120" s="37" t="n"/>
      <c r="B120" s="31" t="n"/>
      <c r="C120" s="33" t="n"/>
      <c r="D120" s="33" t="n"/>
      <c r="E120" s="33" t="n"/>
      <c r="F120" s="33" t="n"/>
      <c r="G120" s="33" t="n"/>
    </row>
    <row r="121">
      <c r="A121" s="37" t="n"/>
      <c r="B121" s="31" t="n"/>
      <c r="C121" s="33" t="n"/>
      <c r="D121" s="33" t="n"/>
      <c r="E121" s="33" t="n"/>
      <c r="F121" s="33" t="n"/>
      <c r="G121" s="33" t="n"/>
    </row>
    <row r="122">
      <c r="A122" s="37" t="n"/>
      <c r="B122" s="31" t="n"/>
      <c r="C122" s="33" t="n"/>
      <c r="D122" s="33" t="n"/>
      <c r="E122" s="33" t="n"/>
      <c r="F122" s="33" t="n"/>
      <c r="G122" s="33" t="n"/>
    </row>
    <row r="123">
      <c r="A123" s="37" t="n"/>
      <c r="B123" s="31" t="n"/>
      <c r="C123" s="33" t="n"/>
      <c r="D123" s="33" t="n"/>
      <c r="E123" s="33" t="n"/>
      <c r="F123" s="33" t="n"/>
      <c r="G123" s="33" t="n"/>
    </row>
    <row r="124">
      <c r="A124" s="37" t="n"/>
      <c r="B124" s="31" t="n"/>
      <c r="C124" s="33" t="n"/>
      <c r="D124" s="33" t="n"/>
      <c r="E124" s="33" t="n"/>
      <c r="F124" s="33" t="n"/>
      <c r="G124" s="33" t="n"/>
    </row>
    <row r="125">
      <c r="A125" s="37" t="n"/>
      <c r="B125" s="31" t="n"/>
      <c r="C125" s="33" t="n"/>
      <c r="D125" s="33" t="n"/>
      <c r="E125" s="33" t="n"/>
      <c r="F125" s="33" t="n"/>
      <c r="G125" s="33" t="n"/>
    </row>
    <row r="126">
      <c r="A126" s="37" t="n"/>
      <c r="B126" s="31" t="n"/>
      <c r="C126" s="33" t="n"/>
      <c r="D126" s="33" t="n"/>
      <c r="E126" s="33" t="n"/>
      <c r="F126" s="33" t="n"/>
      <c r="G126" s="33" t="n"/>
    </row>
    <row r="127">
      <c r="A127" s="37" t="n"/>
      <c r="B127" s="31" t="n"/>
      <c r="C127" s="33" t="n"/>
      <c r="D127" s="33" t="n"/>
      <c r="E127" s="33" t="n"/>
      <c r="F127" s="33" t="n"/>
      <c r="G127" s="33" t="n"/>
    </row>
    <row r="128">
      <c r="A128" s="37" t="n"/>
      <c r="B128" s="31" t="n"/>
      <c r="C128" s="33" t="n"/>
      <c r="D128" s="33" t="n"/>
      <c r="E128" s="33" t="n"/>
      <c r="F128" s="33" t="n"/>
      <c r="G128" s="33" t="n"/>
    </row>
    <row r="129">
      <c r="A129" s="37" t="n"/>
      <c r="B129" s="31" t="n"/>
      <c r="C129" s="33" t="n"/>
      <c r="D129" s="33" t="n"/>
      <c r="E129" s="33" t="n"/>
      <c r="F129" s="33" t="n"/>
      <c r="G129" s="33" t="n"/>
    </row>
    <row r="130">
      <c r="A130" s="37" t="n"/>
      <c r="B130" s="31" t="n"/>
      <c r="C130" s="33" t="n"/>
      <c r="D130" s="33" t="n"/>
      <c r="E130" s="33" t="n"/>
      <c r="F130" s="33" t="n"/>
      <c r="G130" s="33" t="n"/>
    </row>
    <row r="131">
      <c r="A131" s="37" t="n"/>
      <c r="B131" s="31" t="n"/>
      <c r="C131" s="33" t="n"/>
      <c r="D131" s="33" t="n"/>
      <c r="E131" s="33" t="n"/>
      <c r="F131" s="33" t="n"/>
      <c r="G131" s="33" t="n"/>
    </row>
    <row r="132">
      <c r="A132" s="37" t="n"/>
      <c r="B132" s="31" t="n"/>
      <c r="C132" s="33" t="n"/>
      <c r="D132" s="33" t="n"/>
      <c r="E132" s="33" t="n"/>
      <c r="F132" s="33" t="n"/>
      <c r="G132" s="33" t="n"/>
    </row>
    <row r="133">
      <c r="A133" s="37" t="n"/>
      <c r="B133" s="31" t="n"/>
      <c r="C133" s="33" t="n"/>
      <c r="D133" s="33" t="n"/>
      <c r="E133" s="33" t="n"/>
      <c r="F133" s="33" t="n"/>
      <c r="G133" s="33" t="n"/>
    </row>
    <row r="134">
      <c r="A134" s="37" t="n"/>
      <c r="B134" s="31" t="n"/>
      <c r="C134" s="33" t="n"/>
      <c r="D134" s="33" t="n"/>
      <c r="E134" s="33" t="n"/>
      <c r="F134" s="33" t="n"/>
      <c r="G134" s="33" t="n"/>
    </row>
    <row r="135">
      <c r="A135" s="37" t="n"/>
      <c r="B135" s="31" t="n"/>
      <c r="C135" s="33" t="n"/>
      <c r="D135" s="33" t="n"/>
      <c r="E135" s="33" t="n"/>
      <c r="F135" s="33" t="n"/>
      <c r="G135" s="33" t="n"/>
    </row>
    <row r="136">
      <c r="A136" s="37" t="n"/>
      <c r="B136" s="31" t="n"/>
      <c r="C136" s="33" t="n"/>
      <c r="D136" s="33" t="n"/>
      <c r="E136" s="33" t="n"/>
      <c r="F136" s="33" t="n"/>
      <c r="G136" s="33" t="n"/>
    </row>
    <row r="137">
      <c r="A137" s="37" t="n"/>
      <c r="B137" s="31" t="n"/>
      <c r="C137" s="33" t="n"/>
      <c r="D137" s="33" t="n"/>
      <c r="E137" s="33" t="n"/>
      <c r="F137" s="33" t="n"/>
      <c r="G137" s="33" t="n"/>
    </row>
    <row r="138">
      <c r="A138" s="37" t="n"/>
      <c r="B138" s="31" t="n"/>
      <c r="C138" s="33" t="n"/>
      <c r="D138" s="33" t="n"/>
      <c r="E138" s="33" t="n"/>
      <c r="F138" s="33" t="n"/>
      <c r="G138" s="33" t="n"/>
    </row>
    <row r="139">
      <c r="A139" s="37" t="n"/>
      <c r="B139" s="31" t="n"/>
      <c r="C139" s="33" t="n"/>
      <c r="D139" s="33" t="n"/>
      <c r="E139" s="33" t="n"/>
      <c r="F139" s="33" t="n"/>
      <c r="G139" s="33" t="n"/>
    </row>
    <row r="140">
      <c r="A140" s="37" t="n"/>
      <c r="B140" s="31" t="n"/>
      <c r="C140" s="33" t="n"/>
      <c r="D140" s="33" t="n"/>
      <c r="E140" s="33" t="n"/>
      <c r="F140" s="33" t="n"/>
      <c r="G140" s="33" t="n"/>
    </row>
    <row r="141">
      <c r="A141" s="37" t="n"/>
      <c r="B141" s="31" t="n"/>
      <c r="C141" s="33" t="n"/>
      <c r="D141" s="33" t="n"/>
      <c r="E141" s="33" t="n"/>
      <c r="F141" s="33" t="n"/>
      <c r="G141" s="33" t="n"/>
    </row>
    <row r="142">
      <c r="A142" s="37" t="n"/>
      <c r="B142" s="31" t="n"/>
      <c r="C142" s="33" t="n"/>
      <c r="D142" s="33" t="n"/>
      <c r="E142" s="33" t="n"/>
      <c r="F142" s="33" t="n"/>
      <c r="G142" s="33" t="n"/>
    </row>
    <row r="143">
      <c r="A143" s="37" t="n"/>
      <c r="B143" s="31" t="n"/>
      <c r="C143" s="33" t="n"/>
      <c r="D143" s="33" t="n"/>
      <c r="E143" s="33" t="n"/>
      <c r="F143" s="33" t="n"/>
      <c r="G143" s="33" t="n"/>
    </row>
    <row r="144">
      <c r="A144" s="37" t="n"/>
      <c r="B144" s="31" t="n"/>
      <c r="C144" s="33" t="n"/>
      <c r="D144" s="33" t="n"/>
      <c r="E144" s="33" t="n"/>
      <c r="F144" s="33" t="n"/>
      <c r="G144" s="33" t="n"/>
    </row>
    <row r="145">
      <c r="A145" s="37" t="n"/>
      <c r="B145" s="31" t="n"/>
      <c r="C145" s="33" t="n"/>
      <c r="D145" s="33" t="n"/>
      <c r="E145" s="33" t="n"/>
      <c r="F145" s="33" t="n"/>
      <c r="G145" s="33" t="n"/>
    </row>
    <row r="146">
      <c r="A146" s="37" t="n"/>
      <c r="B146" s="31" t="n"/>
      <c r="C146" s="33" t="n"/>
      <c r="D146" s="33" t="n"/>
      <c r="E146" s="33" t="n"/>
      <c r="F146" s="33" t="n"/>
      <c r="G146" s="33" t="n"/>
    </row>
    <row r="147">
      <c r="A147" s="37" t="n"/>
      <c r="B147" s="31" t="n"/>
      <c r="C147" s="33" t="n"/>
      <c r="D147" s="33" t="n"/>
      <c r="E147" s="33" t="n"/>
      <c r="F147" s="33" t="n"/>
      <c r="G147" s="33" t="n"/>
    </row>
    <row r="148">
      <c r="A148" s="37" t="n"/>
      <c r="B148" s="31" t="n"/>
      <c r="C148" s="33" t="n"/>
      <c r="D148" s="33" t="n"/>
      <c r="E148" s="33" t="n"/>
      <c r="F148" s="33" t="n"/>
      <c r="G148" s="33" t="n"/>
    </row>
    <row r="149">
      <c r="A149" s="37" t="n"/>
      <c r="B149" s="31" t="n"/>
      <c r="C149" s="33" t="n"/>
      <c r="D149" s="33" t="n"/>
      <c r="E149" s="33" t="n"/>
      <c r="F149" s="33" t="n"/>
      <c r="G149" s="33" t="n"/>
    </row>
    <row r="150">
      <c r="A150" s="37" t="n"/>
      <c r="B150" s="31" t="n"/>
      <c r="C150" s="33" t="n"/>
      <c r="D150" s="33" t="n"/>
      <c r="E150" s="33" t="n"/>
      <c r="F150" s="33" t="n"/>
      <c r="G150" s="33" t="n"/>
    </row>
    <row r="151">
      <c r="A151" s="37" t="n"/>
      <c r="B151" s="31" t="n"/>
      <c r="C151" s="33" t="n"/>
      <c r="D151" s="33" t="n"/>
      <c r="E151" s="33" t="n"/>
      <c r="F151" s="33" t="n"/>
      <c r="G151" s="33" t="n"/>
    </row>
    <row r="152">
      <c r="A152" s="37" t="n"/>
      <c r="B152" s="31" t="n"/>
      <c r="C152" s="33" t="n"/>
      <c r="D152" s="33" t="n"/>
      <c r="E152" s="33" t="n"/>
      <c r="F152" s="33" t="n"/>
      <c r="G152" s="33" t="n"/>
    </row>
    <row r="153">
      <c r="A153" s="37" t="n"/>
      <c r="B153" s="31" t="n"/>
      <c r="C153" s="33" t="n"/>
      <c r="D153" s="33" t="n"/>
      <c r="E153" s="33" t="n"/>
      <c r="F153" s="33" t="n"/>
      <c r="G153" s="33" t="n"/>
    </row>
    <row r="154">
      <c r="A154" s="37" t="n"/>
      <c r="B154" s="31" t="n"/>
      <c r="C154" s="33" t="n"/>
      <c r="D154" s="33" t="n"/>
      <c r="E154" s="33" t="n"/>
      <c r="F154" s="33" t="n"/>
      <c r="G154" s="33" t="n"/>
    </row>
    <row r="155">
      <c r="A155" s="37" t="n"/>
      <c r="B155" s="31" t="n"/>
      <c r="C155" s="33" t="n"/>
      <c r="D155" s="33" t="n"/>
      <c r="E155" s="33" t="n"/>
      <c r="F155" s="33" t="n"/>
      <c r="G155" s="33" t="n"/>
    </row>
    <row r="156">
      <c r="A156" s="37" t="n"/>
      <c r="B156" s="31" t="n"/>
      <c r="C156" s="33" t="n"/>
      <c r="D156" s="33" t="n"/>
      <c r="E156" s="33" t="n"/>
      <c r="F156" s="33" t="n"/>
      <c r="G156" s="33" t="n"/>
    </row>
    <row r="157">
      <c r="A157" s="37" t="n"/>
      <c r="B157" s="31" t="n"/>
      <c r="C157" s="33" t="n"/>
      <c r="D157" s="33" t="n"/>
      <c r="E157" s="33" t="n"/>
      <c r="F157" s="33" t="n"/>
      <c r="G157" s="33" t="n"/>
    </row>
    <row r="158">
      <c r="A158" s="37" t="n"/>
      <c r="B158" s="31" t="n"/>
      <c r="C158" s="33" t="n"/>
      <c r="D158" s="33" t="n"/>
      <c r="E158" s="33" t="n"/>
      <c r="F158" s="33" t="n"/>
      <c r="G158" s="33" t="n"/>
    </row>
    <row r="159">
      <c r="A159" s="37" t="n"/>
      <c r="B159" s="31" t="n"/>
      <c r="C159" s="33" t="n"/>
      <c r="D159" s="33" t="n"/>
      <c r="E159" s="33" t="n"/>
      <c r="F159" s="33" t="n"/>
      <c r="G159" s="33" t="n"/>
    </row>
    <row r="160">
      <c r="A160" s="37" t="n"/>
      <c r="B160" s="31" t="n"/>
      <c r="C160" s="33" t="n"/>
      <c r="D160" s="33" t="n"/>
      <c r="E160" s="33" t="n"/>
      <c r="F160" s="33" t="n"/>
      <c r="G160" s="33" t="n"/>
    </row>
    <row r="161">
      <c r="A161" s="37" t="n"/>
      <c r="B161" s="31" t="n"/>
      <c r="C161" s="33" t="n"/>
      <c r="D161" s="33" t="n"/>
      <c r="E161" s="33" t="n"/>
      <c r="F161" s="33" t="n"/>
      <c r="G161" s="33" t="n"/>
    </row>
    <row r="162">
      <c r="A162" s="37" t="n"/>
      <c r="B162" s="31" t="n"/>
      <c r="C162" s="33" t="n"/>
      <c r="D162" s="33" t="n"/>
      <c r="E162" s="33" t="n"/>
      <c r="F162" s="33" t="n"/>
      <c r="G162" s="33" t="n"/>
    </row>
    <row r="163">
      <c r="A163" s="37" t="n"/>
      <c r="B163" s="31" t="n"/>
      <c r="C163" s="33" t="n"/>
      <c r="D163" s="33" t="n"/>
      <c r="E163" s="33" t="n"/>
      <c r="F163" s="33" t="n"/>
      <c r="G163" s="33" t="n"/>
    </row>
    <row r="164">
      <c r="A164" s="37" t="n"/>
      <c r="B164" s="31" t="n"/>
      <c r="C164" s="33" t="n"/>
      <c r="D164" s="33" t="n"/>
      <c r="E164" s="33" t="n"/>
      <c r="F164" s="33" t="n"/>
      <c r="G164" s="33" t="n"/>
    </row>
    <row r="165">
      <c r="A165" s="37" t="n"/>
      <c r="B165" s="31" t="n"/>
      <c r="C165" s="33" t="n"/>
      <c r="D165" s="33" t="n"/>
      <c r="E165" s="33" t="n"/>
      <c r="F165" s="33" t="n"/>
      <c r="G165" s="33" t="n"/>
    </row>
    <row r="166">
      <c r="A166" s="37" t="n"/>
      <c r="B166" s="31" t="n"/>
      <c r="C166" s="33" t="n"/>
      <c r="D166" s="33" t="n"/>
      <c r="E166" s="33" t="n"/>
      <c r="F166" s="33" t="n"/>
      <c r="G166" s="33" t="n"/>
    </row>
    <row r="167">
      <c r="A167" s="37" t="n"/>
      <c r="B167" s="31" t="n"/>
      <c r="C167" s="33" t="n"/>
      <c r="D167" s="33" t="n"/>
      <c r="E167" s="33" t="n"/>
      <c r="F167" s="33" t="n"/>
      <c r="G167" s="33" t="n"/>
    </row>
    <row r="168">
      <c r="A168" s="37" t="n"/>
      <c r="B168" s="31" t="n"/>
      <c r="C168" s="33" t="n"/>
      <c r="D168" s="33" t="n"/>
      <c r="E168" s="33" t="n"/>
      <c r="F168" s="33" t="n"/>
      <c r="G168" s="33" t="n"/>
    </row>
    <row r="169">
      <c r="A169" s="37" t="n"/>
      <c r="B169" s="31" t="n"/>
      <c r="C169" s="33" t="n"/>
      <c r="D169" s="33" t="n"/>
      <c r="E169" s="33" t="n"/>
      <c r="F169" s="33" t="n"/>
      <c r="G169" s="33" t="n"/>
    </row>
    <row r="170">
      <c r="A170" s="37" t="n"/>
      <c r="B170" s="31" t="n"/>
      <c r="C170" s="33" t="n"/>
      <c r="D170" s="33" t="n"/>
      <c r="E170" s="33" t="n"/>
      <c r="F170" s="33" t="n"/>
      <c r="G170" s="33" t="n"/>
    </row>
    <row r="171">
      <c r="A171" s="37" t="n"/>
      <c r="B171" s="31" t="n"/>
      <c r="C171" s="33" t="n"/>
      <c r="D171" s="33" t="n"/>
      <c r="E171" s="33" t="n"/>
      <c r="F171" s="33" t="n"/>
      <c r="G171" s="33" t="n"/>
    </row>
    <row r="172">
      <c r="A172" s="37" t="n"/>
      <c r="B172" s="31" t="n"/>
      <c r="C172" s="33" t="n"/>
      <c r="D172" s="33" t="n"/>
      <c r="E172" s="33" t="n"/>
      <c r="F172" s="33" t="n"/>
      <c r="G172" s="33" t="n"/>
    </row>
    <row r="173">
      <c r="A173" s="37" t="n"/>
      <c r="B173" s="31" t="n"/>
      <c r="C173" s="33" t="n"/>
      <c r="D173" s="33" t="n"/>
      <c r="E173" s="33" t="n"/>
      <c r="F173" s="33" t="n"/>
      <c r="G173" s="33" t="n"/>
    </row>
    <row r="174">
      <c r="A174" s="37" t="n"/>
      <c r="B174" s="31" t="n"/>
      <c r="C174" s="33" t="n"/>
      <c r="D174" s="33" t="n"/>
      <c r="E174" s="33" t="n"/>
      <c r="F174" s="33" t="n"/>
      <c r="G174" s="33" t="n"/>
    </row>
    <row r="175">
      <c r="A175" s="37" t="n"/>
      <c r="B175" s="31" t="n"/>
      <c r="C175" s="33" t="n"/>
      <c r="D175" s="33" t="n"/>
      <c r="E175" s="33" t="n"/>
      <c r="F175" s="33" t="n"/>
      <c r="G175" s="33" t="n"/>
    </row>
    <row r="176">
      <c r="A176" s="37" t="n"/>
      <c r="B176" s="31" t="n"/>
      <c r="C176" s="33" t="n"/>
      <c r="D176" s="33" t="n"/>
      <c r="E176" s="33" t="n"/>
      <c r="F176" s="33" t="n"/>
      <c r="G176" s="33" t="n"/>
    </row>
    <row r="177">
      <c r="A177" s="37" t="n"/>
      <c r="B177" s="31" t="n"/>
      <c r="C177" s="33" t="n"/>
      <c r="D177" s="33" t="n"/>
      <c r="E177" s="33" t="n"/>
      <c r="F177" s="33" t="n"/>
      <c r="G177" s="33" t="n"/>
    </row>
    <row r="178">
      <c r="A178" s="37" t="n"/>
      <c r="B178" s="31" t="n"/>
      <c r="C178" s="33" t="n"/>
      <c r="D178" s="33" t="n"/>
      <c r="E178" s="33" t="n"/>
      <c r="F178" s="33" t="n"/>
      <c r="G178" s="33" t="n"/>
    </row>
    <row r="179">
      <c r="A179" s="37" t="n"/>
      <c r="B179" s="31" t="n"/>
      <c r="C179" s="33" t="n"/>
      <c r="D179" s="33" t="n"/>
      <c r="E179" s="33" t="n"/>
      <c r="F179" s="33" t="n"/>
      <c r="G179" s="33" t="n"/>
    </row>
    <row r="180">
      <c r="A180" s="37" t="n"/>
      <c r="B180" s="31" t="n"/>
      <c r="C180" s="33" t="n"/>
      <c r="D180" s="33" t="n"/>
      <c r="E180" s="33" t="n"/>
      <c r="F180" s="33" t="n"/>
      <c r="G180" s="33" t="n"/>
    </row>
    <row r="181">
      <c r="A181" s="37" t="n"/>
      <c r="B181" s="31" t="n"/>
      <c r="C181" s="33" t="n"/>
      <c r="D181" s="33" t="n"/>
      <c r="E181" s="33" t="n"/>
      <c r="F181" s="33" t="n"/>
      <c r="G181" s="33" t="n"/>
    </row>
    <row r="182">
      <c r="A182" s="37" t="n"/>
      <c r="B182" s="31" t="n"/>
      <c r="C182" s="33" t="n"/>
      <c r="D182" s="33" t="n"/>
      <c r="E182" s="33" t="n"/>
      <c r="F182" s="33" t="n"/>
      <c r="G182" s="33" t="n"/>
    </row>
    <row r="183">
      <c r="A183" s="37" t="n"/>
      <c r="B183" s="31" t="n"/>
      <c r="C183" s="33" t="n"/>
      <c r="D183" s="33" t="n"/>
      <c r="E183" s="33" t="n"/>
      <c r="F183" s="33" t="n"/>
      <c r="G183" s="33" t="n"/>
    </row>
    <row r="184">
      <c r="A184" s="37" t="n"/>
      <c r="B184" s="31" t="n"/>
      <c r="C184" s="33" t="n"/>
      <c r="D184" s="33" t="n"/>
      <c r="E184" s="33" t="n"/>
      <c r="F184" s="33" t="n"/>
      <c r="G184" s="33" t="n"/>
    </row>
    <row r="185">
      <c r="A185" s="37" t="n"/>
      <c r="B185" s="31" t="n"/>
      <c r="C185" s="33" t="n"/>
      <c r="D185" s="33" t="n"/>
      <c r="E185" s="33" t="n"/>
      <c r="F185" s="33" t="n"/>
      <c r="G185" s="33" t="n"/>
    </row>
    <row r="186">
      <c r="A186" s="37" t="n"/>
      <c r="B186" s="31" t="n"/>
      <c r="C186" s="33" t="n"/>
      <c r="D186" s="33" t="n"/>
      <c r="E186" s="33" t="n"/>
      <c r="F186" s="33" t="n"/>
      <c r="G186" s="33" t="n"/>
    </row>
    <row r="187">
      <c r="A187" s="37" t="n"/>
      <c r="B187" s="31" t="n"/>
      <c r="C187" s="33" t="n"/>
      <c r="D187" s="33" t="n"/>
      <c r="E187" s="33" t="n"/>
      <c r="F187" s="33" t="n"/>
      <c r="G187" s="33" t="n"/>
    </row>
    <row r="188">
      <c r="A188" s="37" t="n"/>
      <c r="B188" s="31" t="n"/>
      <c r="C188" s="33" t="n"/>
      <c r="D188" s="33" t="n"/>
      <c r="E188" s="33" t="n"/>
      <c r="F188" s="33" t="n"/>
      <c r="G188" s="33" t="n"/>
    </row>
    <row r="189">
      <c r="A189" s="37" t="n"/>
      <c r="B189" s="31" t="n"/>
      <c r="C189" s="33" t="n"/>
      <c r="D189" s="33" t="n"/>
      <c r="E189" s="33" t="n"/>
      <c r="F189" s="33" t="n"/>
      <c r="G189" s="33" t="n"/>
    </row>
    <row r="190">
      <c r="A190" s="37" t="n"/>
      <c r="B190" s="31" t="n"/>
      <c r="C190" s="33" t="n"/>
      <c r="D190" s="33" t="n"/>
      <c r="E190" s="33" t="n"/>
      <c r="F190" s="33" t="n"/>
      <c r="G190" s="33" t="n"/>
    </row>
    <row r="191">
      <c r="A191" s="37" t="n"/>
      <c r="B191" s="31" t="n"/>
      <c r="C191" s="33" t="n"/>
      <c r="D191" s="33" t="n"/>
      <c r="E191" s="33" t="n"/>
      <c r="F191" s="33" t="n"/>
      <c r="G191" s="33" t="n"/>
    </row>
    <row r="192">
      <c r="A192" s="37" t="n"/>
      <c r="B192" s="31" t="n"/>
      <c r="C192" s="33" t="n"/>
      <c r="D192" s="33" t="n"/>
      <c r="E192" s="33" t="n"/>
      <c r="F192" s="33" t="n"/>
      <c r="G192" s="33" t="n"/>
    </row>
    <row r="193">
      <c r="A193" s="37" t="n"/>
      <c r="B193" s="31" t="n"/>
      <c r="C193" s="33" t="n"/>
      <c r="D193" s="33" t="n"/>
      <c r="E193" s="33" t="n"/>
      <c r="F193" s="33" t="n"/>
      <c r="G193" s="33" t="n"/>
    </row>
    <row r="194">
      <c r="A194" s="37" t="n"/>
      <c r="B194" s="31" t="n"/>
      <c r="C194" s="33" t="n"/>
      <c r="D194" s="33" t="n"/>
      <c r="E194" s="33" t="n"/>
      <c r="F194" s="33" t="n"/>
      <c r="G194" s="33" t="n"/>
    </row>
    <row r="195">
      <c r="A195" s="37" t="n"/>
      <c r="B195" s="31" t="n"/>
      <c r="C195" s="33" t="n"/>
      <c r="D195" s="33" t="n"/>
      <c r="E195" s="33" t="n"/>
      <c r="F195" s="33" t="n"/>
      <c r="G195" s="33" t="n"/>
    </row>
    <row r="196">
      <c r="A196" s="37" t="n"/>
      <c r="B196" s="31" t="n"/>
      <c r="C196" s="33" t="n"/>
      <c r="D196" s="33" t="n"/>
      <c r="E196" s="33" t="n"/>
      <c r="F196" s="33" t="n"/>
      <c r="G196" s="33" t="n"/>
    </row>
    <row r="197">
      <c r="A197" s="37" t="n"/>
      <c r="B197" s="31" t="n"/>
      <c r="C197" s="33" t="n"/>
      <c r="D197" s="33" t="n"/>
      <c r="E197" s="33" t="n"/>
      <c r="F197" s="33" t="n"/>
      <c r="G197" s="33" t="n"/>
    </row>
    <row r="198">
      <c r="A198" s="37" t="n"/>
      <c r="B198" s="31" t="n"/>
      <c r="C198" s="33" t="n"/>
      <c r="D198" s="33" t="n"/>
      <c r="E198" s="33" t="n"/>
      <c r="F198" s="33" t="n"/>
      <c r="G198" s="33" t="n"/>
    </row>
    <row r="199">
      <c r="A199" s="37" t="n"/>
      <c r="B199" s="31" t="n"/>
      <c r="C199" s="33" t="n"/>
      <c r="D199" s="33" t="n"/>
      <c r="E199" s="33" t="n"/>
      <c r="F199" s="33" t="n"/>
      <c r="G199" s="33" t="n"/>
    </row>
    <row r="200">
      <c r="A200" s="37" t="n"/>
      <c r="B200" s="31" t="n"/>
      <c r="C200" s="33" t="n"/>
      <c r="D200" s="33" t="n"/>
      <c r="E200" s="33" t="n"/>
      <c r="F200" s="33" t="n"/>
      <c r="G200" s="33" t="n"/>
    </row>
    <row r="201">
      <c r="A201" s="37" t="n"/>
      <c r="B201" s="31" t="n"/>
      <c r="C201" s="33" t="n"/>
      <c r="D201" s="33" t="n"/>
      <c r="E201" s="33" t="n"/>
      <c r="F201" s="33" t="n"/>
      <c r="G201" s="33" t="n"/>
    </row>
    <row r="202">
      <c r="A202" s="37" t="n"/>
      <c r="B202" s="31" t="n"/>
      <c r="C202" s="33" t="n"/>
      <c r="D202" s="33" t="n"/>
      <c r="E202" s="33" t="n"/>
      <c r="F202" s="33" t="n"/>
      <c r="G202" s="33" t="n"/>
    </row>
    <row r="203">
      <c r="A203" s="37" t="n"/>
      <c r="B203" s="31" t="n"/>
      <c r="C203" s="33" t="n"/>
      <c r="D203" s="33" t="n"/>
      <c r="E203" s="33" t="n"/>
      <c r="F203" s="33" t="n"/>
      <c r="G203" s="33" t="n"/>
    </row>
    <row r="204">
      <c r="A204" s="37" t="n"/>
      <c r="B204" s="31" t="n"/>
      <c r="C204" s="33" t="n"/>
      <c r="D204" s="33" t="n"/>
      <c r="E204" s="33" t="n"/>
      <c r="F204" s="33" t="n"/>
      <c r="G204" s="33" t="n"/>
    </row>
    <row r="205">
      <c r="A205" s="37" t="n"/>
      <c r="B205" s="31" t="n"/>
      <c r="C205" s="33" t="n"/>
      <c r="D205" s="33" t="n"/>
      <c r="E205" s="33" t="n"/>
      <c r="F205" s="33" t="n"/>
      <c r="G205" s="33" t="n"/>
    </row>
    <row r="206">
      <c r="A206" s="37" t="n"/>
      <c r="B206" s="31" t="n"/>
      <c r="C206" s="33" t="n"/>
      <c r="D206" s="33" t="n"/>
      <c r="E206" s="33" t="n"/>
      <c r="F206" s="33" t="n"/>
      <c r="G206" s="33" t="n"/>
    </row>
    <row r="207">
      <c r="A207" s="37" t="n"/>
      <c r="B207" s="31" t="n"/>
      <c r="C207" s="33" t="n"/>
      <c r="D207" s="33" t="n"/>
      <c r="E207" s="33" t="n"/>
      <c r="F207" s="33" t="n"/>
      <c r="G207" s="33" t="n"/>
    </row>
    <row r="208">
      <c r="A208" s="37" t="n"/>
      <c r="B208" s="31" t="n"/>
      <c r="C208" s="33" t="n"/>
      <c r="D208" s="33" t="n"/>
      <c r="E208" s="33" t="n"/>
      <c r="F208" s="33" t="n"/>
      <c r="G208" s="33" t="n"/>
    </row>
    <row r="209">
      <c r="A209" s="37" t="n"/>
      <c r="B209" s="31" t="n"/>
      <c r="C209" s="33" t="n"/>
      <c r="D209" s="33" t="n"/>
      <c r="E209" s="33" t="n"/>
      <c r="F209" s="33" t="n"/>
      <c r="G209" s="33" t="n"/>
    </row>
    <row r="210">
      <c r="A210" s="37" t="n"/>
      <c r="B210" s="31" t="n"/>
      <c r="C210" s="33" t="n"/>
      <c r="D210" s="33" t="n"/>
      <c r="E210" s="33" t="n"/>
      <c r="F210" s="33" t="n"/>
      <c r="G210" s="33" t="n"/>
    </row>
    <row r="211">
      <c r="A211" s="37" t="n"/>
      <c r="B211" s="31" t="n"/>
      <c r="C211" s="33" t="n"/>
      <c r="D211" s="33" t="n"/>
      <c r="E211" s="33" t="n"/>
      <c r="F211" s="33" t="n"/>
      <c r="G211" s="33" t="n"/>
    </row>
    <row r="212">
      <c r="A212" s="37" t="n"/>
      <c r="B212" s="31" t="n"/>
      <c r="C212" s="33" t="n"/>
      <c r="D212" s="33" t="n"/>
      <c r="E212" s="33" t="n"/>
      <c r="F212" s="33" t="n"/>
      <c r="G212" s="33" t="n"/>
    </row>
    <row r="213">
      <c r="A213" s="37" t="n"/>
      <c r="B213" s="31" t="n"/>
      <c r="C213" s="33" t="n"/>
      <c r="D213" s="33" t="n"/>
      <c r="E213" s="33" t="n"/>
      <c r="F213" s="33" t="n"/>
      <c r="G213" s="33" t="n"/>
    </row>
    <row r="214">
      <c r="A214" s="37" t="n"/>
      <c r="B214" s="31" t="n"/>
      <c r="C214" s="33" t="n"/>
      <c r="D214" s="33" t="n"/>
      <c r="E214" s="33" t="n"/>
      <c r="F214" s="33" t="n"/>
      <c r="G214" s="33" t="n"/>
    </row>
    <row r="215">
      <c r="A215" s="37" t="n"/>
      <c r="B215" s="31" t="n"/>
      <c r="C215" s="33" t="n"/>
      <c r="D215" s="33" t="n"/>
      <c r="E215" s="33" t="n"/>
      <c r="F215" s="33" t="n"/>
      <c r="G215" s="33" t="n"/>
    </row>
    <row r="216">
      <c r="A216" s="37" t="n"/>
      <c r="B216" s="31" t="n"/>
      <c r="C216" s="33" t="n"/>
      <c r="D216" s="33" t="n"/>
      <c r="E216" s="33" t="n"/>
      <c r="F216" s="33" t="n"/>
      <c r="G216" s="33" t="n"/>
    </row>
    <row r="217">
      <c r="A217" s="37" t="n"/>
      <c r="B217" s="31" t="n"/>
      <c r="C217" s="33" t="n"/>
      <c r="D217" s="33" t="n"/>
      <c r="E217" s="33" t="n"/>
      <c r="F217" s="33" t="n"/>
      <c r="G217" s="33" t="n"/>
    </row>
    <row r="218">
      <c r="A218" s="37" t="n"/>
      <c r="B218" s="31" t="n"/>
      <c r="C218" s="33" t="n"/>
      <c r="D218" s="33" t="n"/>
      <c r="E218" s="33" t="n"/>
      <c r="F218" s="33" t="n"/>
      <c r="G218" s="33" t="n"/>
    </row>
    <row r="219">
      <c r="A219" s="37" t="n"/>
      <c r="B219" s="31" t="n"/>
      <c r="C219" s="33" t="n"/>
      <c r="D219" s="33" t="n"/>
      <c r="E219" s="33" t="n"/>
      <c r="F219" s="33" t="n"/>
      <c r="G219" s="33" t="n"/>
    </row>
    <row r="220">
      <c r="A220" s="37" t="n"/>
      <c r="B220" s="31" t="n"/>
      <c r="C220" s="33" t="n"/>
      <c r="D220" s="33" t="n"/>
      <c r="E220" s="33" t="n"/>
      <c r="F220" s="33" t="n"/>
      <c r="G220" s="33" t="n"/>
    </row>
    <row r="221">
      <c r="A221" s="37" t="n"/>
      <c r="B221" s="31" t="n"/>
      <c r="C221" s="33" t="n"/>
      <c r="D221" s="33" t="n"/>
      <c r="E221" s="33" t="n"/>
      <c r="F221" s="33" t="n"/>
      <c r="G221" s="33" t="n"/>
    </row>
    <row r="222">
      <c r="A222" s="37" t="n"/>
      <c r="B222" s="31" t="n"/>
      <c r="C222" s="33" t="n"/>
      <c r="D222" s="33" t="n"/>
      <c r="E222" s="33" t="n"/>
      <c r="F222" s="33" t="n"/>
      <c r="G222" s="33" t="n"/>
    </row>
    <row r="223">
      <c r="A223" s="37" t="n"/>
      <c r="B223" s="31" t="n"/>
      <c r="C223" s="33" t="n"/>
      <c r="D223" s="33" t="n"/>
      <c r="E223" s="33" t="n"/>
      <c r="F223" s="33" t="n"/>
      <c r="G223" s="33" t="n"/>
    </row>
    <row r="224">
      <c r="A224" s="37" t="n"/>
      <c r="B224" s="31" t="n"/>
      <c r="C224" s="33" t="n"/>
      <c r="D224" s="33" t="n"/>
      <c r="E224" s="33" t="n"/>
      <c r="F224" s="33" t="n"/>
      <c r="G224" s="33" t="n"/>
    </row>
    <row r="225">
      <c r="A225" s="37" t="n"/>
      <c r="B225" s="31" t="n"/>
      <c r="C225" s="33" t="n"/>
      <c r="D225" s="33" t="n"/>
      <c r="E225" s="33" t="n"/>
      <c r="F225" s="33" t="n"/>
      <c r="G225" s="33" t="n"/>
    </row>
    <row r="226">
      <c r="A226" s="37" t="n"/>
      <c r="B226" s="31" t="n"/>
      <c r="C226" s="33" t="n"/>
      <c r="D226" s="33" t="n"/>
      <c r="E226" s="33" t="n"/>
      <c r="F226" s="33" t="n"/>
      <c r="G226" s="33" t="n"/>
    </row>
    <row r="227">
      <c r="A227" s="37" t="n"/>
      <c r="B227" s="31" t="n"/>
      <c r="C227" s="33" t="n"/>
      <c r="D227" s="33" t="n"/>
      <c r="E227" s="33" t="n"/>
      <c r="F227" s="33" t="n"/>
      <c r="G227" s="33" t="n"/>
    </row>
    <row r="228">
      <c r="A228" s="37" t="n"/>
      <c r="B228" s="31" t="n"/>
      <c r="C228" s="33" t="n"/>
      <c r="D228" s="33" t="n"/>
      <c r="E228" s="33" t="n"/>
      <c r="F228" s="33" t="n"/>
      <c r="G228" s="33" t="n"/>
    </row>
    <row r="229">
      <c r="A229" s="37" t="n"/>
      <c r="B229" s="31" t="n"/>
      <c r="C229" s="33" t="n"/>
      <c r="D229" s="33" t="n"/>
      <c r="E229" s="33" t="n"/>
      <c r="F229" s="33" t="n"/>
      <c r="G229" s="33" t="n"/>
    </row>
    <row r="230">
      <c r="A230" s="37" t="n"/>
      <c r="B230" s="31" t="n"/>
      <c r="C230" s="33" t="n"/>
      <c r="D230" s="33" t="n"/>
      <c r="E230" s="33" t="n"/>
      <c r="F230" s="33" t="n"/>
      <c r="G230" s="33" t="n"/>
    </row>
    <row r="231">
      <c r="A231" s="37" t="n"/>
      <c r="B231" s="31" t="n"/>
      <c r="C231" s="33" t="n"/>
      <c r="D231" s="33" t="n"/>
      <c r="E231" s="33" t="n"/>
      <c r="F231" s="33" t="n"/>
      <c r="G231" s="33" t="n"/>
    </row>
    <row r="232">
      <c r="A232" s="37" t="n"/>
      <c r="B232" s="31" t="n"/>
      <c r="C232" s="33" t="n"/>
      <c r="D232" s="33" t="n"/>
      <c r="E232" s="33" t="n"/>
      <c r="F232" s="33" t="n"/>
      <c r="G232" s="33" t="n"/>
    </row>
    <row r="233">
      <c r="A233" s="37" t="n"/>
      <c r="B233" s="31" t="n"/>
      <c r="C233" s="33" t="n"/>
      <c r="D233" s="33" t="n"/>
      <c r="E233" s="33" t="n"/>
      <c r="F233" s="33" t="n"/>
      <c r="G233" s="33" t="n"/>
    </row>
    <row r="234">
      <c r="A234" s="37" t="n"/>
      <c r="B234" s="31" t="n"/>
      <c r="C234" s="33" t="n"/>
      <c r="D234" s="33" t="n"/>
      <c r="E234" s="33" t="n"/>
      <c r="F234" s="33" t="n"/>
      <c r="G234" s="33" t="n"/>
    </row>
    <row r="235">
      <c r="A235" s="37" t="n"/>
      <c r="B235" s="31" t="n"/>
      <c r="C235" s="33" t="n"/>
      <c r="D235" s="33" t="n"/>
      <c r="E235" s="33" t="n"/>
      <c r="F235" s="33" t="n"/>
      <c r="G235" s="33" t="n"/>
    </row>
    <row r="236">
      <c r="A236" s="37" t="n"/>
      <c r="B236" s="31" t="n"/>
      <c r="C236" s="33" t="n"/>
      <c r="D236" s="33" t="n"/>
      <c r="E236" s="33" t="n"/>
      <c r="F236" s="33" t="n"/>
      <c r="G236" s="33" t="n"/>
    </row>
    <row r="237">
      <c r="A237" s="37" t="n"/>
      <c r="B237" s="31" t="n"/>
      <c r="C237" s="33" t="n"/>
      <c r="D237" s="33" t="n"/>
      <c r="E237" s="33" t="n"/>
      <c r="F237" s="33" t="n"/>
      <c r="G237" s="33" t="n"/>
    </row>
    <row r="238">
      <c r="A238" s="37" t="n"/>
      <c r="B238" s="31" t="n"/>
      <c r="C238" s="33" t="n"/>
      <c r="D238" s="33" t="n"/>
      <c r="E238" s="33" t="n"/>
      <c r="F238" s="33" t="n"/>
      <c r="G238" s="33" t="n"/>
    </row>
    <row r="239">
      <c r="A239" s="37" t="n"/>
      <c r="B239" s="31" t="n"/>
      <c r="C239" s="33" t="n"/>
      <c r="D239" s="33" t="n"/>
      <c r="E239" s="33" t="n"/>
      <c r="F239" s="33" t="n"/>
      <c r="G239" s="33" t="n"/>
    </row>
    <row r="240">
      <c r="A240" s="37" t="n"/>
      <c r="B240" s="31" t="n"/>
      <c r="C240" s="33" t="n"/>
      <c r="D240" s="33" t="n"/>
      <c r="E240" s="33" t="n"/>
      <c r="F240" s="33" t="n"/>
      <c r="G240" s="33" t="n"/>
    </row>
    <row r="241">
      <c r="A241" s="37" t="n"/>
      <c r="B241" s="31" t="n"/>
      <c r="C241" s="33" t="n"/>
      <c r="D241" s="33" t="n"/>
      <c r="E241" s="33" t="n"/>
      <c r="F241" s="33" t="n"/>
      <c r="G241" s="33" t="n"/>
    </row>
    <row r="242">
      <c r="A242" s="37" t="n"/>
      <c r="B242" s="31" t="n"/>
      <c r="C242" s="33" t="n"/>
      <c r="D242" s="33" t="n"/>
      <c r="E242" s="33" t="n"/>
      <c r="F242" s="33" t="n"/>
      <c r="G242" s="33" t="n"/>
    </row>
    <row r="243">
      <c r="A243" s="37" t="n"/>
      <c r="B243" s="31" t="n"/>
      <c r="C243" s="33" t="n"/>
      <c r="D243" s="33" t="n"/>
      <c r="E243" s="33" t="n"/>
      <c r="F243" s="33" t="n"/>
      <c r="G243" s="33" t="n"/>
    </row>
    <row r="244">
      <c r="A244" s="37" t="n"/>
      <c r="B244" s="31" t="n"/>
      <c r="C244" s="33" t="n"/>
      <c r="D244" s="33" t="n"/>
      <c r="E244" s="33" t="n"/>
      <c r="F244" s="33" t="n"/>
      <c r="G244" s="33" t="n"/>
    </row>
    <row r="245">
      <c r="A245" s="37" t="n"/>
      <c r="B245" s="31" t="n"/>
      <c r="C245" s="33" t="n"/>
      <c r="D245" s="33" t="n"/>
      <c r="E245" s="33" t="n"/>
      <c r="F245" s="33" t="n"/>
      <c r="G245" s="33" t="n"/>
    </row>
    <row r="246">
      <c r="A246" s="37" t="n"/>
      <c r="B246" s="31" t="n"/>
      <c r="C246" s="33" t="n"/>
      <c r="D246" s="33" t="n"/>
      <c r="E246" s="33" t="n"/>
      <c r="F246" s="33" t="n"/>
      <c r="G246" s="33" t="n"/>
    </row>
    <row r="247">
      <c r="A247" s="37" t="n"/>
      <c r="B247" s="31" t="n"/>
      <c r="C247" s="33" t="n"/>
      <c r="D247" s="33" t="n"/>
      <c r="E247" s="33" t="n"/>
      <c r="F247" s="33" t="n"/>
      <c r="G247" s="33" t="n"/>
    </row>
    <row r="248">
      <c r="A248" s="37" t="n"/>
      <c r="B248" s="31" t="n"/>
      <c r="C248" s="33" t="n"/>
      <c r="D248" s="33" t="n"/>
      <c r="E248" s="33" t="n"/>
      <c r="F248" s="33" t="n"/>
      <c r="G248" s="33" t="n"/>
    </row>
    <row r="249">
      <c r="A249" s="37" t="n"/>
      <c r="B249" s="31" t="n"/>
      <c r="C249" s="33" t="n"/>
      <c r="D249" s="33" t="n"/>
      <c r="E249" s="33" t="n"/>
      <c r="F249" s="33" t="n"/>
      <c r="G249" s="33" t="n"/>
    </row>
    <row r="250">
      <c r="A250" s="37" t="n"/>
      <c r="B250" s="31" t="n"/>
      <c r="C250" s="33" t="n"/>
      <c r="D250" s="33" t="n"/>
      <c r="E250" s="33" t="n"/>
      <c r="F250" s="33" t="n"/>
      <c r="G250" s="33" t="n"/>
    </row>
    <row r="251">
      <c r="A251" s="37" t="n"/>
      <c r="B251" s="31" t="n"/>
      <c r="C251" s="33" t="n"/>
      <c r="D251" s="33" t="n"/>
      <c r="E251" s="33" t="n"/>
      <c r="F251" s="33" t="n"/>
      <c r="G251" s="33" t="n"/>
    </row>
    <row r="252">
      <c r="A252" s="37" t="n"/>
      <c r="B252" s="31" t="n"/>
      <c r="C252" s="33" t="n"/>
      <c r="D252" s="33" t="n"/>
      <c r="E252" s="33" t="n"/>
      <c r="F252" s="33" t="n"/>
      <c r="G252" s="33" t="n"/>
    </row>
    <row r="253">
      <c r="A253" s="37" t="n"/>
      <c r="B253" s="31" t="n"/>
      <c r="C253" s="33" t="n"/>
      <c r="D253" s="33" t="n"/>
      <c r="E253" s="33" t="n"/>
      <c r="F253" s="33" t="n"/>
      <c r="G253" s="33" t="n"/>
    </row>
    <row r="254">
      <c r="A254" s="37" t="n"/>
      <c r="B254" s="31" t="n"/>
      <c r="C254" s="33" t="n"/>
      <c r="D254" s="33" t="n"/>
      <c r="E254" s="33" t="n"/>
      <c r="F254" s="33" t="n"/>
      <c r="G254" s="33" t="n"/>
    </row>
    <row r="255">
      <c r="A255" s="37" t="n"/>
      <c r="B255" s="31" t="n"/>
      <c r="C255" s="33" t="n"/>
      <c r="D255" s="33" t="n"/>
      <c r="E255" s="33" t="n"/>
      <c r="F255" s="33" t="n"/>
      <c r="G255" s="33" t="n"/>
    </row>
    <row r="256">
      <c r="A256" s="37" t="n"/>
      <c r="B256" s="31" t="n"/>
      <c r="C256" s="33" t="n"/>
      <c r="D256" s="33" t="n"/>
      <c r="E256" s="33" t="n"/>
      <c r="F256" s="33" t="n"/>
      <c r="G256" s="33" t="n"/>
    </row>
    <row r="257">
      <c r="A257" s="37" t="n"/>
      <c r="B257" s="31" t="n"/>
      <c r="C257" s="33" t="n"/>
      <c r="D257" s="33" t="n"/>
      <c r="E257" s="33" t="n"/>
      <c r="F257" s="33" t="n"/>
      <c r="G257" s="33" t="n"/>
    </row>
    <row r="258">
      <c r="A258" s="37" t="n"/>
      <c r="B258" s="31" t="n"/>
      <c r="C258" s="33" t="n"/>
      <c r="D258" s="33" t="n"/>
      <c r="E258" s="33" t="n"/>
      <c r="F258" s="33" t="n"/>
      <c r="G258" s="33" t="n"/>
    </row>
    <row r="259">
      <c r="A259" s="37" t="n"/>
      <c r="B259" s="31" t="n"/>
      <c r="C259" s="33" t="n"/>
      <c r="D259" s="33" t="n"/>
      <c r="E259" s="33" t="n"/>
      <c r="F259" s="33" t="n"/>
      <c r="G259" s="33" t="n"/>
    </row>
    <row r="260">
      <c r="A260" s="37" t="n"/>
      <c r="B260" s="31" t="n"/>
      <c r="C260" s="33" t="n"/>
      <c r="D260" s="33" t="n"/>
      <c r="E260" s="33" t="n"/>
      <c r="F260" s="33" t="n"/>
      <c r="G260" s="33" t="n"/>
    </row>
    <row r="261">
      <c r="A261" s="37" t="n"/>
      <c r="B261" s="31" t="n"/>
      <c r="C261" s="33" t="n"/>
      <c r="D261" s="33" t="n"/>
      <c r="E261" s="33" t="n"/>
      <c r="F261" s="33" t="n"/>
      <c r="G261" s="33" t="n"/>
    </row>
    <row r="262">
      <c r="A262" s="37" t="n"/>
      <c r="B262" s="31" t="n"/>
      <c r="C262" s="33" t="n"/>
      <c r="D262" s="33" t="n"/>
      <c r="E262" s="33" t="n"/>
      <c r="F262" s="33" t="n"/>
      <c r="G262" s="33" t="n"/>
    </row>
    <row r="263">
      <c r="A263" s="37" t="n"/>
      <c r="B263" s="31" t="n"/>
      <c r="C263" s="33" t="n"/>
      <c r="D263" s="33" t="n"/>
      <c r="E263" s="33" t="n"/>
      <c r="F263" s="33" t="n"/>
      <c r="G263" s="33" t="n"/>
    </row>
    <row r="264">
      <c r="A264" s="37" t="n"/>
      <c r="B264" s="31" t="n"/>
      <c r="C264" s="33" t="n"/>
      <c r="D264" s="33" t="n"/>
      <c r="E264" s="33" t="n"/>
      <c r="F264" s="33" t="n"/>
      <c r="G264" s="33" t="n"/>
    </row>
    <row r="265">
      <c r="A265" s="37" t="n"/>
      <c r="B265" s="31" t="n"/>
      <c r="C265" s="33" t="n"/>
      <c r="D265" s="33" t="n"/>
      <c r="E265" s="33" t="n"/>
      <c r="F265" s="33" t="n"/>
      <c r="G265" s="33" t="n"/>
    </row>
    <row r="266">
      <c r="A266" s="37" t="n"/>
      <c r="B266" s="31" t="n"/>
      <c r="C266" s="33" t="n"/>
      <c r="D266" s="33" t="n"/>
      <c r="E266" s="33" t="n"/>
      <c r="F266" s="33" t="n"/>
      <c r="G266" s="33" t="n"/>
    </row>
    <row r="267">
      <c r="A267" s="37" t="n"/>
      <c r="B267" s="31" t="n"/>
      <c r="C267" s="33" t="n"/>
      <c r="D267" s="33" t="n"/>
      <c r="E267" s="33" t="n"/>
      <c r="F267" s="33" t="n"/>
      <c r="G267" s="33" t="n"/>
    </row>
    <row r="268">
      <c r="A268" s="37" t="n"/>
      <c r="B268" s="31" t="n"/>
      <c r="C268" s="33" t="n"/>
      <c r="D268" s="33" t="n"/>
      <c r="E268" s="33" t="n"/>
      <c r="F268" s="33" t="n"/>
      <c r="G268" s="33" t="n"/>
    </row>
    <row r="269">
      <c r="A269" s="37" t="n"/>
      <c r="B269" s="31" t="n"/>
      <c r="C269" s="33" t="n"/>
      <c r="D269" s="33" t="n"/>
      <c r="E269" s="33" t="n"/>
      <c r="F269" s="33" t="n"/>
      <c r="G269" s="33" t="n"/>
    </row>
    <row r="270">
      <c r="A270" s="37" t="n"/>
      <c r="B270" s="31" t="n"/>
      <c r="C270" s="33" t="n"/>
      <c r="D270" s="33" t="n"/>
      <c r="E270" s="33" t="n"/>
      <c r="F270" s="33" t="n"/>
      <c r="G270" s="33" t="n"/>
    </row>
    <row r="271">
      <c r="A271" s="37" t="n"/>
      <c r="B271" s="31" t="n"/>
      <c r="C271" s="33" t="n"/>
      <c r="D271" s="33" t="n"/>
      <c r="E271" s="33" t="n"/>
      <c r="F271" s="33" t="n"/>
      <c r="G271" s="33" t="n"/>
    </row>
    <row r="272">
      <c r="A272" s="37" t="n"/>
      <c r="B272" s="31" t="n"/>
      <c r="C272" s="33" t="n"/>
      <c r="D272" s="33" t="n"/>
      <c r="E272" s="33" t="n"/>
      <c r="F272" s="33" t="n"/>
      <c r="G272" s="33" t="n"/>
    </row>
    <row r="273">
      <c r="A273" s="37" t="n"/>
      <c r="B273" s="31" t="n"/>
      <c r="C273" s="33" t="n"/>
      <c r="D273" s="33" t="n"/>
      <c r="E273" s="33" t="n"/>
      <c r="F273" s="33" t="n"/>
      <c r="G273" s="33" t="n"/>
    </row>
    <row r="274">
      <c r="A274" s="37" t="n"/>
      <c r="B274" s="31" t="n"/>
      <c r="C274" s="33" t="n"/>
      <c r="D274" s="33" t="n"/>
      <c r="E274" s="33" t="n"/>
      <c r="F274" s="33" t="n"/>
      <c r="G274" s="33" t="n"/>
    </row>
    <row r="275">
      <c r="A275" s="37" t="n"/>
      <c r="B275" s="31" t="n"/>
      <c r="C275" s="33" t="n"/>
      <c r="D275" s="33" t="n"/>
      <c r="E275" s="33" t="n"/>
      <c r="F275" s="33" t="n"/>
      <c r="G275" s="33" t="n"/>
    </row>
    <row r="276">
      <c r="A276" s="37" t="n"/>
      <c r="B276" s="31" t="n"/>
      <c r="C276" s="33" t="n"/>
      <c r="D276" s="33" t="n"/>
      <c r="E276" s="33" t="n"/>
      <c r="F276" s="33" t="n"/>
      <c r="G276" s="33" t="n"/>
    </row>
    <row r="277">
      <c r="A277" s="37" t="n"/>
      <c r="B277" s="31" t="n"/>
      <c r="C277" s="33" t="n"/>
      <c r="D277" s="33" t="n"/>
      <c r="E277" s="33" t="n"/>
      <c r="F277" s="33" t="n"/>
      <c r="G277" s="33" t="n"/>
    </row>
    <row r="278">
      <c r="A278" s="37" t="n"/>
      <c r="B278" s="31" t="n"/>
      <c r="C278" s="33" t="n"/>
      <c r="D278" s="33" t="n"/>
      <c r="E278" s="33" t="n"/>
      <c r="F278" s="33" t="n"/>
      <c r="G278" s="33" t="n"/>
    </row>
    <row r="279">
      <c r="A279" s="37" t="n"/>
      <c r="B279" s="31" t="n"/>
      <c r="C279" s="33" t="n"/>
      <c r="D279" s="33" t="n"/>
      <c r="E279" s="33" t="n"/>
      <c r="F279" s="33" t="n"/>
      <c r="G279" s="33" t="n"/>
    </row>
    <row r="280">
      <c r="A280" s="37" t="n"/>
      <c r="B280" s="31" t="n"/>
      <c r="C280" s="33" t="n"/>
      <c r="D280" s="33" t="n"/>
      <c r="E280" s="33" t="n"/>
      <c r="F280" s="33" t="n"/>
      <c r="G280" s="33" t="n"/>
    </row>
    <row r="281">
      <c r="A281" s="37" t="n"/>
      <c r="B281" s="31" t="n"/>
      <c r="C281" s="33" t="n"/>
      <c r="D281" s="33" t="n"/>
      <c r="E281" s="33" t="n"/>
      <c r="F281" s="33" t="n"/>
      <c r="G281" s="33" t="n"/>
    </row>
    <row r="282">
      <c r="A282" s="37" t="n"/>
      <c r="B282" s="31" t="n"/>
      <c r="C282" s="33" t="n"/>
      <c r="D282" s="33" t="n"/>
      <c r="E282" s="33" t="n"/>
      <c r="F282" s="33" t="n"/>
      <c r="G282" s="33" t="n"/>
    </row>
    <row r="283">
      <c r="A283" s="37" t="n"/>
      <c r="B283" s="31" t="n"/>
      <c r="C283" s="33" t="n"/>
      <c r="D283" s="33" t="n"/>
      <c r="E283" s="33" t="n"/>
      <c r="F283" s="33" t="n"/>
      <c r="G283" s="33" t="n"/>
    </row>
    <row r="284">
      <c r="A284" s="37" t="n"/>
      <c r="B284" s="31" t="n"/>
      <c r="C284" s="33" t="n"/>
      <c r="D284" s="33" t="n"/>
      <c r="E284" s="33" t="n"/>
      <c r="F284" s="33" t="n"/>
      <c r="G284" s="33" t="n"/>
    </row>
    <row r="285">
      <c r="A285" s="37" t="n"/>
      <c r="B285" s="31" t="n"/>
      <c r="C285" s="33" t="n"/>
      <c r="D285" s="33" t="n"/>
      <c r="E285" s="33" t="n"/>
      <c r="F285" s="33" t="n"/>
      <c r="G285" s="33" t="n"/>
    </row>
    <row r="286">
      <c r="A286" s="37" t="n"/>
      <c r="B286" s="31" t="n"/>
      <c r="C286" s="33" t="n"/>
      <c r="D286" s="33" t="n"/>
      <c r="E286" s="33" t="n"/>
      <c r="F286" s="33" t="n"/>
      <c r="G286" s="33" t="n"/>
    </row>
    <row r="287">
      <c r="A287" s="37" t="n"/>
      <c r="B287" s="31" t="n"/>
      <c r="C287" s="33" t="n"/>
      <c r="D287" s="33" t="n"/>
      <c r="E287" s="33" t="n"/>
      <c r="F287" s="33" t="n"/>
      <c r="G287" s="33" t="n"/>
    </row>
    <row r="288">
      <c r="A288" s="37" t="n"/>
      <c r="B288" s="31" t="n"/>
      <c r="C288" s="33" t="n"/>
      <c r="D288" s="33" t="n"/>
      <c r="E288" s="33" t="n"/>
      <c r="F288" s="33" t="n"/>
      <c r="G288" s="33" t="n"/>
    </row>
    <row r="289">
      <c r="A289" s="37" t="n"/>
      <c r="B289" s="31" t="n"/>
      <c r="C289" s="33" t="n"/>
      <c r="D289" s="33" t="n"/>
      <c r="E289" s="33" t="n"/>
      <c r="F289" s="33" t="n"/>
      <c r="G289" s="33" t="n"/>
    </row>
    <row r="290">
      <c r="A290" s="37" t="n"/>
      <c r="B290" s="31" t="n"/>
      <c r="C290" s="33" t="n"/>
      <c r="D290" s="33" t="n"/>
      <c r="E290" s="33" t="n"/>
      <c r="F290" s="33" t="n"/>
      <c r="G290" s="33" t="n"/>
    </row>
    <row r="291">
      <c r="A291" s="37" t="n"/>
      <c r="B291" s="31" t="n"/>
      <c r="C291" s="33" t="n"/>
      <c r="D291" s="33" t="n"/>
      <c r="E291" s="33" t="n"/>
      <c r="F291" s="33" t="n"/>
      <c r="G291" s="33" t="n"/>
    </row>
    <row r="292">
      <c r="A292" s="37" t="n"/>
      <c r="B292" s="31" t="n"/>
      <c r="C292" s="33" t="n"/>
      <c r="D292" s="33" t="n"/>
      <c r="E292" s="33" t="n"/>
      <c r="F292" s="33" t="n"/>
      <c r="G292" s="33" t="n"/>
    </row>
    <row r="293">
      <c r="A293" s="37" t="n"/>
      <c r="B293" s="31" t="n"/>
      <c r="C293" s="33" t="n"/>
      <c r="D293" s="33" t="n"/>
      <c r="E293" s="33" t="n"/>
      <c r="F293" s="33" t="n"/>
      <c r="G293" s="33" t="n"/>
    </row>
    <row r="294">
      <c r="A294" s="37" t="n"/>
      <c r="B294" s="31" t="n"/>
      <c r="C294" s="33" t="n"/>
      <c r="D294" s="33" t="n"/>
      <c r="E294" s="33" t="n"/>
      <c r="F294" s="33" t="n"/>
      <c r="G294" s="33" t="n"/>
    </row>
    <row r="295">
      <c r="A295" s="37" t="n"/>
      <c r="B295" s="31" t="n"/>
      <c r="C295" s="33" t="n"/>
      <c r="D295" s="33" t="n"/>
      <c r="E295" s="33" t="n"/>
      <c r="F295" s="33" t="n"/>
      <c r="G295" s="33" t="n"/>
    </row>
    <row r="296">
      <c r="A296" s="37" t="n"/>
      <c r="B296" s="31" t="n"/>
      <c r="C296" s="33" t="n"/>
      <c r="D296" s="33" t="n"/>
      <c r="E296" s="33" t="n"/>
      <c r="F296" s="33" t="n"/>
      <c r="G296" s="33" t="n"/>
    </row>
    <row r="297">
      <c r="A297" s="37" t="n"/>
      <c r="B297" s="31" t="n"/>
      <c r="C297" s="33" t="n"/>
      <c r="D297" s="33" t="n"/>
      <c r="E297" s="33" t="n"/>
      <c r="F297" s="33" t="n"/>
      <c r="G297" s="33" t="n"/>
    </row>
    <row r="298">
      <c r="A298" s="37" t="n"/>
      <c r="B298" s="31" t="n"/>
      <c r="C298" s="33" t="n"/>
      <c r="D298" s="33" t="n"/>
      <c r="E298" s="33" t="n"/>
      <c r="F298" s="33" t="n"/>
      <c r="G298" s="33" t="n"/>
    </row>
    <row r="299">
      <c r="A299" s="37" t="n"/>
      <c r="B299" s="31" t="n"/>
      <c r="C299" s="33" t="n"/>
      <c r="D299" s="33" t="n"/>
      <c r="E299" s="33" t="n"/>
      <c r="F299" s="33" t="n"/>
      <c r="G299" s="33" t="n"/>
    </row>
    <row r="300">
      <c r="A300" s="37" t="n"/>
      <c r="B300" s="31" t="n"/>
      <c r="C300" s="33" t="n"/>
      <c r="D300" s="33" t="n"/>
      <c r="E300" s="33" t="n"/>
      <c r="F300" s="33" t="n"/>
      <c r="G300" s="33" t="n"/>
    </row>
    <row r="301">
      <c r="A301" s="37" t="n"/>
      <c r="B301" s="31" t="n"/>
      <c r="C301" s="33" t="n"/>
      <c r="D301" s="33" t="n"/>
      <c r="E301" s="33" t="n"/>
      <c r="F301" s="33" t="n"/>
      <c r="G301" s="33" t="n"/>
    </row>
    <row r="302">
      <c r="A302" s="37" t="n"/>
      <c r="B302" s="31" t="n"/>
      <c r="C302" s="33" t="n"/>
      <c r="D302" s="33" t="n"/>
      <c r="E302" s="33" t="n"/>
      <c r="F302" s="33" t="n"/>
      <c r="G302" s="33" t="n"/>
    </row>
    <row r="303">
      <c r="A303" s="37" t="n"/>
      <c r="B303" s="31" t="n"/>
      <c r="C303" s="33" t="n"/>
      <c r="D303" s="33" t="n"/>
      <c r="E303" s="33" t="n"/>
      <c r="F303" s="33" t="n"/>
      <c r="G303" s="33" t="n"/>
    </row>
    <row r="304">
      <c r="A304" s="37" t="n"/>
      <c r="B304" s="31" t="n"/>
      <c r="C304" s="33" t="n"/>
      <c r="D304" s="33" t="n"/>
      <c r="E304" s="33" t="n"/>
      <c r="F304" s="33" t="n"/>
      <c r="G304" s="33" t="n"/>
    </row>
    <row r="305">
      <c r="A305" s="37" t="n"/>
      <c r="B305" s="31" t="n"/>
      <c r="C305" s="33" t="n"/>
      <c r="D305" s="33" t="n"/>
      <c r="E305" s="33" t="n"/>
      <c r="F305" s="33" t="n"/>
      <c r="G305" s="33" t="n"/>
    </row>
    <row r="306">
      <c r="A306" s="37" t="n"/>
      <c r="B306" s="31" t="n"/>
      <c r="C306" s="33" t="n"/>
      <c r="D306" s="33" t="n"/>
      <c r="E306" s="33" t="n"/>
      <c r="F306" s="33" t="n"/>
      <c r="G306" s="33" t="n"/>
    </row>
    <row r="307">
      <c r="A307" s="37" t="n"/>
      <c r="B307" s="31" t="n"/>
      <c r="C307" s="33" t="n"/>
      <c r="D307" s="33" t="n"/>
      <c r="E307" s="33" t="n"/>
      <c r="F307" s="33" t="n"/>
      <c r="G307" s="33" t="n"/>
    </row>
    <row r="308">
      <c r="A308" s="37" t="n"/>
      <c r="B308" s="31" t="n"/>
      <c r="C308" s="33" t="n"/>
      <c r="D308" s="33" t="n"/>
      <c r="E308" s="33" t="n"/>
      <c r="F308" s="33" t="n"/>
      <c r="G308" s="33" t="n"/>
    </row>
    <row r="309">
      <c r="A309" s="37" t="n"/>
      <c r="B309" s="31" t="n"/>
      <c r="C309" s="33" t="n"/>
      <c r="D309" s="33" t="n"/>
      <c r="E309" s="33" t="n"/>
      <c r="F309" s="33" t="n"/>
      <c r="G309" s="33" t="n"/>
    </row>
    <row r="310">
      <c r="A310" s="37" t="n"/>
      <c r="B310" s="31" t="n"/>
      <c r="C310" s="33" t="n"/>
      <c r="D310" s="33" t="n"/>
      <c r="E310" s="33" t="n"/>
      <c r="F310" s="33" t="n"/>
      <c r="G310" s="33" t="n"/>
    </row>
    <row r="311">
      <c r="A311" s="37" t="n"/>
      <c r="B311" s="31" t="n"/>
      <c r="C311" s="33" t="n"/>
      <c r="D311" s="33" t="n"/>
      <c r="E311" s="33" t="n"/>
      <c r="F311" s="33" t="n"/>
      <c r="G311" s="33" t="n"/>
    </row>
    <row r="312">
      <c r="A312" s="37" t="n"/>
      <c r="B312" s="31" t="n"/>
      <c r="C312" s="33" t="n"/>
      <c r="D312" s="33" t="n"/>
      <c r="E312" s="33" t="n"/>
      <c r="F312" s="33" t="n"/>
      <c r="G312" s="33" t="n"/>
    </row>
    <row r="313">
      <c r="A313" s="37" t="n"/>
      <c r="B313" s="31" t="n"/>
      <c r="C313" s="33" t="n"/>
      <c r="D313" s="33" t="n"/>
      <c r="E313" s="33" t="n"/>
      <c r="F313" s="33" t="n"/>
      <c r="G313" s="33" t="n"/>
    </row>
    <row r="314">
      <c r="A314" s="37" t="n"/>
      <c r="B314" s="31" t="n"/>
      <c r="C314" s="33" t="n"/>
      <c r="D314" s="33" t="n"/>
      <c r="E314" s="33" t="n"/>
      <c r="F314" s="33" t="n"/>
      <c r="G314" s="33" t="n"/>
    </row>
    <row r="315">
      <c r="A315" s="37" t="n"/>
      <c r="B315" s="31" t="n"/>
      <c r="C315" s="33" t="n"/>
      <c r="D315" s="33" t="n"/>
      <c r="E315" s="33" t="n"/>
      <c r="F315" s="33" t="n"/>
      <c r="G315" s="33" t="n"/>
    </row>
    <row r="316">
      <c r="A316" s="37" t="n"/>
      <c r="B316" s="31" t="n"/>
      <c r="C316" s="33" t="n"/>
      <c r="D316" s="33" t="n"/>
      <c r="E316" s="33" t="n"/>
      <c r="F316" s="33" t="n"/>
      <c r="G316" s="33" t="n"/>
    </row>
    <row r="317">
      <c r="A317" s="37" t="n"/>
      <c r="B317" s="31" t="n"/>
      <c r="C317" s="33" t="n"/>
      <c r="D317" s="33" t="n"/>
      <c r="E317" s="33" t="n"/>
      <c r="F317" s="33" t="n"/>
      <c r="G317" s="33" t="n"/>
    </row>
    <row r="318">
      <c r="A318" s="37" t="n"/>
      <c r="B318" s="31" t="n"/>
      <c r="C318" s="33" t="n"/>
      <c r="D318" s="33" t="n"/>
      <c r="E318" s="33" t="n"/>
      <c r="F318" s="33" t="n"/>
      <c r="G318" s="33" t="n"/>
    </row>
    <row r="319">
      <c r="A319" s="37" t="n"/>
      <c r="B319" s="31" t="n"/>
      <c r="C319" s="33" t="n"/>
      <c r="D319" s="33" t="n"/>
      <c r="E319" s="33" t="n"/>
      <c r="F319" s="33" t="n"/>
      <c r="G319" s="33" t="n"/>
    </row>
    <row r="320">
      <c r="A320" s="37" t="n"/>
      <c r="B320" s="31" t="n"/>
      <c r="C320" s="33" t="n"/>
      <c r="D320" s="33" t="n"/>
      <c r="E320" s="33" t="n"/>
      <c r="F320" s="33" t="n"/>
      <c r="G320" s="33" t="n"/>
    </row>
    <row r="321">
      <c r="A321" s="37" t="n"/>
      <c r="B321" s="31" t="n"/>
      <c r="C321" s="33" t="n"/>
      <c r="D321" s="33" t="n"/>
      <c r="E321" s="33" t="n"/>
      <c r="F321" s="33" t="n"/>
      <c r="G321" s="33" t="n"/>
    </row>
    <row r="322">
      <c r="A322" s="37" t="n"/>
      <c r="B322" s="31" t="n"/>
      <c r="C322" s="33" t="n"/>
      <c r="D322" s="33" t="n"/>
      <c r="E322" s="33" t="n"/>
      <c r="F322" s="33" t="n"/>
      <c r="G322" s="33" t="n"/>
    </row>
    <row r="323">
      <c r="A323" s="37" t="n"/>
      <c r="B323" s="31" t="n"/>
      <c r="C323" s="33" t="n"/>
      <c r="D323" s="33" t="n"/>
      <c r="E323" s="33" t="n"/>
      <c r="F323" s="33" t="n"/>
      <c r="G323" s="33" t="n"/>
    </row>
    <row r="324">
      <c r="A324" s="37" t="n"/>
      <c r="B324" s="31" t="n"/>
      <c r="C324" s="33" t="n"/>
      <c r="D324" s="33" t="n"/>
      <c r="E324" s="33" t="n"/>
      <c r="F324" s="33" t="n"/>
      <c r="G324" s="33" t="n"/>
    </row>
    <row r="325">
      <c r="A325" s="37" t="n"/>
      <c r="B325" s="31" t="n"/>
      <c r="C325" s="33" t="n"/>
      <c r="D325" s="33" t="n"/>
      <c r="E325" s="33" t="n"/>
      <c r="F325" s="33" t="n"/>
      <c r="G325" s="33" t="n"/>
    </row>
    <row r="326">
      <c r="A326" s="37" t="n"/>
      <c r="B326" s="31" t="n"/>
      <c r="C326" s="33" t="n"/>
      <c r="D326" s="33" t="n"/>
      <c r="E326" s="33" t="n"/>
      <c r="F326" s="33" t="n"/>
      <c r="G326" s="33" t="n"/>
    </row>
    <row r="327">
      <c r="A327" s="37" t="n"/>
      <c r="B327" s="31" t="n"/>
      <c r="C327" s="33" t="n"/>
      <c r="D327" s="33" t="n"/>
      <c r="E327" s="33" t="n"/>
      <c r="F327" s="33" t="n"/>
      <c r="G327" s="33" t="n"/>
    </row>
    <row r="328">
      <c r="A328" s="37" t="n"/>
      <c r="B328" s="31" t="n"/>
      <c r="C328" s="33" t="n"/>
      <c r="D328" s="33" t="n"/>
      <c r="E328" s="33" t="n"/>
      <c r="F328" s="33" t="n"/>
      <c r="G328" s="33" t="n"/>
    </row>
    <row r="329">
      <c r="A329" s="37" t="n"/>
      <c r="B329" s="31" t="n"/>
      <c r="C329" s="33" t="n"/>
      <c r="D329" s="33" t="n"/>
      <c r="E329" s="33" t="n"/>
      <c r="F329" s="33" t="n"/>
      <c r="G329" s="33" t="n"/>
    </row>
    <row r="330">
      <c r="A330" s="37" t="n"/>
      <c r="B330" s="31" t="n"/>
      <c r="C330" s="33" t="n"/>
      <c r="D330" s="33" t="n"/>
      <c r="E330" s="33" t="n"/>
      <c r="F330" s="33" t="n"/>
      <c r="G330" s="33" t="n"/>
    </row>
    <row r="331">
      <c r="A331" s="37" t="n"/>
      <c r="B331" s="31" t="n"/>
      <c r="C331" s="33" t="n"/>
      <c r="D331" s="33" t="n"/>
      <c r="E331" s="33" t="n"/>
      <c r="F331" s="33" t="n"/>
      <c r="G331" s="33" t="n"/>
    </row>
    <row r="332">
      <c r="A332" s="37" t="n"/>
      <c r="B332" s="31" t="n"/>
      <c r="C332" s="33" t="n"/>
      <c r="D332" s="33" t="n"/>
      <c r="E332" s="33" t="n"/>
      <c r="F332" s="33" t="n"/>
      <c r="G332" s="33" t="n"/>
    </row>
    <row r="333">
      <c r="A333" s="37" t="n"/>
      <c r="B333" s="31" t="n"/>
      <c r="C333" s="33" t="n"/>
      <c r="D333" s="33" t="n"/>
      <c r="E333" s="33" t="n"/>
      <c r="F333" s="33" t="n"/>
      <c r="G333" s="33" t="n"/>
    </row>
    <row r="334">
      <c r="A334" s="37" t="n"/>
      <c r="B334" s="31" t="n"/>
      <c r="C334" s="33" t="n"/>
      <c r="D334" s="33" t="n"/>
      <c r="E334" s="33" t="n"/>
      <c r="F334" s="33" t="n"/>
      <c r="G334" s="33" t="n"/>
    </row>
    <row r="335">
      <c r="A335" s="37" t="n"/>
      <c r="B335" s="31" t="n"/>
      <c r="C335" s="33" t="n"/>
      <c r="D335" s="33" t="n"/>
      <c r="E335" s="33" t="n"/>
      <c r="F335" s="33" t="n"/>
      <c r="G335" s="33" t="n"/>
    </row>
    <row r="336">
      <c r="A336" s="37" t="n"/>
      <c r="B336" s="31" t="n"/>
      <c r="C336" s="33" t="n"/>
      <c r="D336" s="33" t="n"/>
      <c r="E336" s="33" t="n"/>
      <c r="F336" s="33" t="n"/>
      <c r="G336" s="33" t="n"/>
    </row>
    <row r="337">
      <c r="A337" s="37" t="n"/>
      <c r="B337" s="31" t="n"/>
      <c r="C337" s="33" t="n"/>
      <c r="D337" s="33" t="n"/>
      <c r="E337" s="33" t="n"/>
      <c r="F337" s="33" t="n"/>
      <c r="G337" s="33" t="n"/>
    </row>
    <row r="338">
      <c r="A338" s="37" t="n"/>
      <c r="B338" s="31" t="n"/>
      <c r="C338" s="33" t="n"/>
      <c r="D338" s="33" t="n"/>
      <c r="E338" s="33" t="n"/>
      <c r="F338" s="33" t="n"/>
      <c r="G338" s="33" t="n"/>
    </row>
    <row r="339">
      <c r="A339" s="37" t="n"/>
      <c r="B339" s="31" t="n"/>
      <c r="C339" s="33" t="n"/>
      <c r="D339" s="33" t="n"/>
      <c r="E339" s="33" t="n"/>
      <c r="F339" s="33" t="n"/>
      <c r="G339" s="33" t="n"/>
    </row>
    <row r="340">
      <c r="A340" s="37" t="n"/>
      <c r="B340" s="31" t="n"/>
      <c r="C340" s="33" t="n"/>
      <c r="D340" s="33" t="n"/>
      <c r="E340" s="33" t="n"/>
      <c r="F340" s="33" t="n"/>
      <c r="G340" s="33" t="n"/>
    </row>
    <row r="341">
      <c r="A341" s="37" t="n"/>
      <c r="B341" s="31" t="n"/>
      <c r="C341" s="33" t="n"/>
      <c r="D341" s="33" t="n"/>
      <c r="E341" s="33" t="n"/>
      <c r="F341" s="33" t="n"/>
      <c r="G341" s="33" t="n"/>
    </row>
    <row r="342">
      <c r="A342" s="37" t="n"/>
      <c r="B342" s="31" t="n"/>
      <c r="C342" s="33" t="n"/>
      <c r="D342" s="33" t="n"/>
      <c r="E342" s="33" t="n"/>
      <c r="F342" s="33" t="n"/>
      <c r="G342" s="33" t="n"/>
    </row>
    <row r="343">
      <c r="A343" s="37" t="n"/>
      <c r="B343" s="31" t="n"/>
      <c r="C343" s="33" t="n"/>
      <c r="D343" s="33" t="n"/>
      <c r="E343" s="33" t="n"/>
      <c r="F343" s="33" t="n"/>
      <c r="G343" s="33" t="n"/>
    </row>
    <row r="344">
      <c r="A344" s="37" t="n"/>
      <c r="B344" s="31" t="n"/>
      <c r="C344" s="33" t="n"/>
      <c r="D344" s="33" t="n"/>
      <c r="E344" s="33" t="n"/>
      <c r="F344" s="33" t="n"/>
      <c r="G344" s="33" t="n"/>
    </row>
    <row r="345">
      <c r="A345" s="37" t="n"/>
      <c r="B345" s="31" t="n"/>
      <c r="C345" s="33" t="n"/>
      <c r="D345" s="33" t="n"/>
      <c r="E345" s="33" t="n"/>
      <c r="F345" s="33" t="n"/>
      <c r="G345" s="33" t="n"/>
    </row>
    <row r="346">
      <c r="A346" s="37" t="n"/>
      <c r="B346" s="31" t="n"/>
      <c r="C346" s="33" t="n"/>
      <c r="D346" s="33" t="n"/>
      <c r="E346" s="33" t="n"/>
      <c r="F346" s="33" t="n"/>
      <c r="G346" s="33" t="n"/>
    </row>
    <row r="347">
      <c r="A347" s="37" t="n"/>
      <c r="B347" s="31" t="n"/>
      <c r="C347" s="33" t="n"/>
      <c r="D347" s="33" t="n"/>
      <c r="E347" s="33" t="n"/>
      <c r="F347" s="33" t="n"/>
      <c r="G347" s="33" t="n"/>
    </row>
    <row r="348">
      <c r="A348" s="37" t="n"/>
      <c r="B348" s="31" t="n"/>
      <c r="C348" s="33" t="n"/>
      <c r="D348" s="33" t="n"/>
      <c r="E348" s="33" t="n"/>
      <c r="F348" s="33" t="n"/>
      <c r="G348" s="33" t="n"/>
    </row>
    <row r="349">
      <c r="A349" s="37" t="n"/>
      <c r="B349" s="31" t="n"/>
      <c r="C349" s="33" t="n"/>
      <c r="D349" s="33" t="n"/>
      <c r="E349" s="33" t="n"/>
      <c r="F349" s="33" t="n"/>
      <c r="G349" s="33" t="n"/>
    </row>
    <row r="350">
      <c r="A350" s="37" t="n"/>
      <c r="B350" s="31" t="n"/>
      <c r="C350" s="33" t="n"/>
      <c r="D350" s="33" t="n"/>
      <c r="E350" s="33" t="n"/>
      <c r="F350" s="33" t="n"/>
      <c r="G350" s="33" t="n"/>
    </row>
    <row r="351">
      <c r="A351" s="37" t="n"/>
      <c r="B351" s="31" t="n"/>
      <c r="C351" s="33" t="n"/>
      <c r="D351" s="33" t="n"/>
      <c r="E351" s="33" t="n"/>
      <c r="F351" s="33" t="n"/>
      <c r="G351" s="33" t="n"/>
    </row>
    <row r="352">
      <c r="A352" s="37" t="n"/>
      <c r="B352" s="31" t="n"/>
      <c r="C352" s="33" t="n"/>
      <c r="D352" s="33" t="n"/>
      <c r="E352" s="33" t="n"/>
      <c r="F352" s="33" t="n"/>
      <c r="G352" s="33" t="n"/>
    </row>
    <row r="353">
      <c r="A353" s="37" t="n"/>
      <c r="B353" s="31" t="n"/>
      <c r="C353" s="33" t="n"/>
      <c r="D353" s="33" t="n"/>
      <c r="E353" s="33" t="n"/>
      <c r="F353" s="33" t="n"/>
      <c r="G353" s="33" t="n"/>
    </row>
    <row r="354">
      <c r="A354" s="37" t="n"/>
      <c r="B354" s="31" t="n"/>
      <c r="C354" s="33" t="n"/>
      <c r="D354" s="33" t="n"/>
      <c r="E354" s="33" t="n"/>
      <c r="F354" s="33" t="n"/>
      <c r="G354" s="33" t="n"/>
    </row>
    <row r="355">
      <c r="A355" s="37" t="n"/>
      <c r="B355" s="31" t="n"/>
      <c r="C355" s="33" t="n"/>
      <c r="D355" s="33" t="n"/>
      <c r="E355" s="33" t="n"/>
      <c r="F355" s="33" t="n"/>
      <c r="G355" s="33" t="n"/>
    </row>
    <row r="356">
      <c r="A356" s="37" t="n"/>
      <c r="B356" s="31" t="n"/>
      <c r="C356" s="33" t="n"/>
      <c r="D356" s="33" t="n"/>
      <c r="E356" s="33" t="n"/>
      <c r="F356" s="33" t="n"/>
      <c r="G356" s="33" t="n"/>
    </row>
    <row r="357">
      <c r="A357" s="37" t="n"/>
      <c r="B357" s="31" t="n"/>
      <c r="C357" s="33" t="n"/>
      <c r="D357" s="33" t="n"/>
      <c r="E357" s="33" t="n"/>
      <c r="F357" s="33" t="n"/>
      <c r="G357" s="33" t="n"/>
    </row>
    <row r="358">
      <c r="A358" s="37" t="n"/>
      <c r="B358" s="31" t="n"/>
      <c r="C358" s="33" t="n"/>
      <c r="D358" s="33" t="n"/>
      <c r="E358" s="33" t="n"/>
      <c r="F358" s="33" t="n"/>
      <c r="G358" s="33" t="n"/>
    </row>
    <row r="359">
      <c r="A359" s="37" t="n"/>
      <c r="B359" s="31" t="n"/>
      <c r="C359" s="33" t="n"/>
      <c r="D359" s="33" t="n"/>
      <c r="E359" s="33" t="n"/>
      <c r="F359" s="33" t="n"/>
      <c r="G359" s="33" t="n"/>
    </row>
    <row r="360">
      <c r="A360" s="37" t="n"/>
      <c r="B360" s="31" t="n"/>
      <c r="C360" s="33" t="n"/>
      <c r="D360" s="33" t="n"/>
      <c r="E360" s="33" t="n"/>
      <c r="F360" s="33" t="n"/>
      <c r="G360" s="33" t="n"/>
    </row>
    <row r="361">
      <c r="A361" s="37" t="n"/>
      <c r="B361" s="31" t="n"/>
      <c r="C361" s="33" t="n"/>
      <c r="D361" s="33" t="n"/>
      <c r="E361" s="33" t="n"/>
      <c r="F361" s="33" t="n"/>
      <c r="G361" s="33" t="n"/>
    </row>
    <row r="362">
      <c r="A362" s="37" t="n"/>
      <c r="B362" s="31" t="n"/>
      <c r="C362" s="33" t="n"/>
      <c r="D362" s="33" t="n"/>
      <c r="E362" s="33" t="n"/>
      <c r="F362" s="33" t="n"/>
      <c r="G362" s="33" t="n"/>
    </row>
    <row r="363">
      <c r="A363" s="37" t="n"/>
      <c r="B363" s="31" t="n"/>
      <c r="C363" s="33" t="n"/>
      <c r="D363" s="33" t="n"/>
      <c r="E363" s="33" t="n"/>
      <c r="F363" s="33" t="n"/>
      <c r="G363" s="33" t="n"/>
    </row>
    <row r="364">
      <c r="A364" s="37" t="n"/>
      <c r="B364" s="31" t="n"/>
      <c r="C364" s="33" t="n"/>
      <c r="D364" s="33" t="n"/>
      <c r="E364" s="33" t="n"/>
      <c r="F364" s="33" t="n"/>
      <c r="G364" s="33" t="n"/>
    </row>
    <row r="365">
      <c r="A365" s="37" t="n"/>
      <c r="B365" s="31" t="n"/>
      <c r="C365" s="33" t="n"/>
      <c r="D365" s="33" t="n"/>
      <c r="E365" s="33" t="n"/>
      <c r="F365" s="33" t="n"/>
      <c r="G365" s="33" t="n"/>
    </row>
    <row r="366">
      <c r="A366" s="37" t="n"/>
      <c r="B366" s="31" t="n"/>
      <c r="C366" s="33" t="n"/>
      <c r="D366" s="33" t="n"/>
      <c r="E366" s="33" t="n"/>
      <c r="F366" s="33" t="n"/>
      <c r="G366" s="33" t="n"/>
    </row>
    <row r="367">
      <c r="A367" s="37" t="n"/>
      <c r="B367" s="31" t="n"/>
      <c r="C367" s="33" t="n"/>
      <c r="D367" s="33" t="n"/>
      <c r="E367" s="33" t="n"/>
      <c r="F367" s="33" t="n"/>
      <c r="G367" s="33" t="n"/>
    </row>
    <row r="368">
      <c r="A368" s="37" t="n"/>
      <c r="B368" s="31" t="n"/>
      <c r="C368" s="33" t="n"/>
      <c r="D368" s="33" t="n"/>
      <c r="E368" s="33" t="n"/>
      <c r="F368" s="33" t="n"/>
      <c r="G368" s="33" t="n"/>
    </row>
    <row r="369">
      <c r="A369" s="37" t="n"/>
      <c r="B369" s="31" t="n"/>
      <c r="C369" s="33" t="n"/>
      <c r="D369" s="33" t="n"/>
      <c r="E369" s="33" t="n"/>
      <c r="F369" s="33" t="n"/>
      <c r="G369" s="33" t="n"/>
    </row>
    <row r="370">
      <c r="A370" s="37" t="n"/>
      <c r="B370" s="31" t="n"/>
      <c r="C370" s="33" t="n"/>
      <c r="D370" s="33" t="n"/>
      <c r="E370" s="33" t="n"/>
      <c r="F370" s="33" t="n"/>
      <c r="G370" s="33" t="n"/>
    </row>
    <row r="371">
      <c r="A371" s="37" t="n"/>
      <c r="B371" s="31" t="n"/>
      <c r="C371" s="33" t="n"/>
      <c r="D371" s="33" t="n"/>
      <c r="E371" s="33" t="n"/>
      <c r="F371" s="33" t="n"/>
      <c r="G371" s="33" t="n"/>
    </row>
    <row r="372">
      <c r="A372" s="37" t="n"/>
      <c r="B372" s="31" t="n"/>
      <c r="C372" s="33" t="n"/>
      <c r="D372" s="33" t="n"/>
      <c r="E372" s="33" t="n"/>
      <c r="F372" s="33" t="n"/>
      <c r="G372" s="33" t="n"/>
    </row>
    <row r="373">
      <c r="A373" s="37" t="n"/>
      <c r="B373" s="31" t="n"/>
      <c r="C373" s="33" t="n"/>
      <c r="D373" s="33" t="n"/>
      <c r="E373" s="33" t="n"/>
      <c r="F373" s="33" t="n"/>
      <c r="G373" s="33" t="n"/>
    </row>
    <row r="374">
      <c r="A374" s="37" t="n"/>
      <c r="B374" s="31" t="n"/>
      <c r="C374" s="33" t="n"/>
      <c r="D374" s="33" t="n"/>
      <c r="E374" s="33" t="n"/>
      <c r="F374" s="33" t="n"/>
      <c r="G374" s="33" t="n"/>
    </row>
    <row r="375">
      <c r="A375" s="37" t="n"/>
      <c r="B375" s="31" t="n"/>
      <c r="C375" s="33" t="n"/>
      <c r="D375" s="33" t="n"/>
      <c r="E375" s="33" t="n"/>
      <c r="F375" s="33" t="n"/>
      <c r="G375" s="33" t="n"/>
    </row>
    <row r="376">
      <c r="A376" s="37" t="n"/>
      <c r="B376" s="31" t="n"/>
      <c r="C376" s="33" t="n"/>
      <c r="D376" s="33" t="n"/>
      <c r="E376" s="33" t="n"/>
      <c r="F376" s="33" t="n"/>
      <c r="G376" s="33" t="n"/>
    </row>
    <row r="377">
      <c r="A377" s="37" t="n"/>
      <c r="B377" s="31" t="n"/>
      <c r="C377" s="33" t="n"/>
      <c r="D377" s="33" t="n"/>
      <c r="E377" s="33" t="n"/>
      <c r="F377" s="33" t="n"/>
      <c r="G377" s="33" t="n"/>
    </row>
    <row r="378">
      <c r="A378" s="37" t="n"/>
      <c r="B378" s="31" t="n"/>
      <c r="C378" s="33" t="n"/>
      <c r="D378" s="33" t="n"/>
      <c r="E378" s="33" t="n"/>
      <c r="F378" s="33" t="n"/>
      <c r="G378" s="33" t="n"/>
    </row>
    <row r="379">
      <c r="A379" s="37" t="n"/>
      <c r="B379" s="31" t="n"/>
      <c r="C379" s="33" t="n"/>
      <c r="D379" s="33" t="n"/>
      <c r="E379" s="33" t="n"/>
      <c r="F379" s="33" t="n"/>
      <c r="G379" s="33" t="n"/>
    </row>
    <row r="380">
      <c r="A380" s="37" t="n"/>
      <c r="B380" s="31" t="n"/>
      <c r="C380" s="33" t="n"/>
      <c r="D380" s="33" t="n"/>
      <c r="E380" s="33" t="n"/>
      <c r="F380" s="33" t="n"/>
      <c r="G380" s="33" t="n"/>
    </row>
    <row r="381">
      <c r="A381" s="37" t="n"/>
      <c r="B381" s="31" t="n"/>
      <c r="C381" s="33" t="n"/>
      <c r="D381" s="33" t="n"/>
      <c r="E381" s="33" t="n"/>
      <c r="F381" s="33" t="n"/>
      <c r="G381" s="33" t="n"/>
    </row>
    <row r="382">
      <c r="A382" s="37" t="n"/>
      <c r="B382" s="31" t="n"/>
      <c r="C382" s="33" t="n"/>
      <c r="D382" s="33" t="n"/>
      <c r="E382" s="33" t="n"/>
      <c r="F382" s="33" t="n"/>
      <c r="G382" s="33" t="n"/>
    </row>
    <row r="383">
      <c r="A383" s="37" t="n"/>
      <c r="B383" s="31" t="n"/>
      <c r="C383" s="33" t="n"/>
      <c r="D383" s="33" t="n"/>
      <c r="E383" s="33" t="n"/>
      <c r="F383" s="33" t="n"/>
      <c r="G383" s="33" t="n"/>
    </row>
    <row r="384">
      <c r="A384" s="37" t="n"/>
      <c r="B384" s="31" t="n"/>
      <c r="C384" s="33" t="n"/>
      <c r="D384" s="33" t="n"/>
      <c r="E384" s="33" t="n"/>
      <c r="F384" s="33" t="n"/>
      <c r="G384" s="33" t="n"/>
    </row>
    <row r="385">
      <c r="A385" s="37" t="n"/>
      <c r="B385" s="31" t="n"/>
      <c r="C385" s="33" t="n"/>
      <c r="D385" s="33" t="n"/>
      <c r="E385" s="33" t="n"/>
      <c r="F385" s="33" t="n"/>
      <c r="G385" s="33" t="n"/>
    </row>
    <row r="386">
      <c r="A386" s="37" t="n"/>
      <c r="B386" s="31" t="n"/>
      <c r="C386" s="33" t="n"/>
      <c r="D386" s="33" t="n"/>
      <c r="E386" s="33" t="n"/>
      <c r="F386" s="33" t="n"/>
      <c r="G386" s="33" t="n"/>
    </row>
    <row r="387">
      <c r="A387" s="37" t="n"/>
      <c r="B387" s="31" t="n"/>
      <c r="C387" s="33" t="n"/>
      <c r="D387" s="33" t="n"/>
      <c r="E387" s="33" t="n"/>
      <c r="F387" s="33" t="n"/>
      <c r="G387" s="33" t="n"/>
    </row>
    <row r="388">
      <c r="A388" s="37" t="n"/>
      <c r="B388" s="31" t="n"/>
      <c r="C388" s="33" t="n"/>
      <c r="D388" s="33" t="n"/>
      <c r="E388" s="33" t="n"/>
      <c r="F388" s="33" t="n"/>
      <c r="G388" s="33" t="n"/>
    </row>
    <row r="389">
      <c r="A389" s="37" t="n"/>
      <c r="B389" s="31" t="n"/>
      <c r="C389" s="33" t="n"/>
      <c r="D389" s="33" t="n"/>
      <c r="E389" s="33" t="n"/>
      <c r="F389" s="33" t="n"/>
      <c r="G389" s="33" t="n"/>
    </row>
    <row r="390">
      <c r="A390" s="37" t="n"/>
      <c r="B390" s="31" t="n"/>
      <c r="C390" s="33" t="n"/>
      <c r="D390" s="33" t="n"/>
      <c r="E390" s="33" t="n"/>
      <c r="F390" s="33" t="n"/>
      <c r="G390" s="33" t="n"/>
    </row>
    <row r="391">
      <c r="A391" s="37" t="n"/>
      <c r="B391" s="31" t="n"/>
      <c r="C391" s="33" t="n"/>
      <c r="D391" s="33" t="n"/>
      <c r="E391" s="33" t="n"/>
      <c r="F391" s="33" t="n"/>
      <c r="G391" s="33" t="n"/>
    </row>
    <row r="392">
      <c r="A392" s="37" t="n"/>
      <c r="B392" s="31" t="n"/>
      <c r="C392" s="33" t="n"/>
      <c r="D392" s="33" t="n"/>
      <c r="E392" s="33" t="n"/>
      <c r="F392" s="33" t="n"/>
      <c r="G392" s="33" t="n"/>
    </row>
    <row r="393">
      <c r="A393" s="37" t="n"/>
      <c r="B393" s="31" t="n"/>
      <c r="C393" s="33" t="n"/>
      <c r="D393" s="33" t="n"/>
      <c r="E393" s="33" t="n"/>
      <c r="F393" s="33" t="n"/>
      <c r="G393" s="33" t="n"/>
    </row>
    <row r="394">
      <c r="A394" s="37" t="n"/>
      <c r="B394" s="31" t="n"/>
      <c r="C394" s="33" t="n"/>
      <c r="D394" s="33" t="n"/>
      <c r="E394" s="33" t="n"/>
      <c r="F394" s="33" t="n"/>
      <c r="G394" s="33" t="n"/>
    </row>
    <row r="395">
      <c r="A395" s="37" t="n"/>
      <c r="B395" s="31" t="n"/>
      <c r="C395" s="33" t="n"/>
      <c r="D395" s="33" t="n"/>
      <c r="E395" s="33" t="n"/>
      <c r="F395" s="33" t="n"/>
      <c r="G395" s="33" t="n"/>
    </row>
    <row r="396">
      <c r="A396" s="37" t="n"/>
      <c r="B396" s="31" t="n"/>
      <c r="C396" s="33" t="n"/>
      <c r="D396" s="33" t="n"/>
      <c r="E396" s="33" t="n"/>
      <c r="F396" s="33" t="n"/>
      <c r="G396" s="33" t="n"/>
    </row>
    <row r="397">
      <c r="A397" s="37" t="n"/>
      <c r="B397" s="31" t="n"/>
      <c r="C397" s="33" t="n"/>
      <c r="D397" s="33" t="n"/>
      <c r="E397" s="33" t="n"/>
      <c r="F397" s="33" t="n"/>
      <c r="G397" s="33" t="n"/>
    </row>
    <row r="398">
      <c r="A398" s="37" t="n"/>
      <c r="B398" s="31" t="n"/>
      <c r="C398" s="33" t="n"/>
      <c r="D398" s="33" t="n"/>
      <c r="E398" s="33" t="n"/>
      <c r="F398" s="33" t="n"/>
      <c r="G398" s="33" t="n"/>
    </row>
    <row r="399">
      <c r="A399" s="37" t="n"/>
      <c r="B399" s="31" t="n"/>
      <c r="C399" s="33" t="n"/>
      <c r="D399" s="33" t="n"/>
      <c r="E399" s="33" t="n"/>
      <c r="F399" s="33" t="n"/>
      <c r="G399" s="33" t="n"/>
    </row>
    <row r="400">
      <c r="A400" s="37" t="n"/>
      <c r="B400" s="31" t="n"/>
      <c r="C400" s="33" t="n"/>
      <c r="D400" s="33" t="n"/>
      <c r="E400" s="33" t="n"/>
      <c r="F400" s="33" t="n"/>
      <c r="G400" s="33" t="n"/>
    </row>
    <row r="401">
      <c r="A401" s="37" t="n"/>
      <c r="B401" s="31" t="n"/>
      <c r="C401" s="33" t="n"/>
      <c r="D401" s="33" t="n"/>
      <c r="E401" s="33" t="n"/>
      <c r="F401" s="33" t="n"/>
      <c r="G401" s="33" t="n"/>
    </row>
    <row r="402">
      <c r="A402" s="37" t="n"/>
      <c r="B402" s="31" t="n"/>
      <c r="C402" s="33" t="n"/>
      <c r="D402" s="33" t="n"/>
      <c r="E402" s="33" t="n"/>
      <c r="F402" s="33" t="n"/>
      <c r="G402" s="33" t="n"/>
    </row>
    <row r="403">
      <c r="A403" s="37" t="n"/>
      <c r="B403" s="31" t="n"/>
      <c r="C403" s="33" t="n"/>
      <c r="D403" s="33" t="n"/>
      <c r="E403" s="33" t="n"/>
      <c r="F403" s="33" t="n"/>
      <c r="G403" s="33" t="n"/>
    </row>
    <row r="404">
      <c r="A404" s="37" t="n"/>
      <c r="B404" s="31" t="n"/>
      <c r="C404" s="33" t="n"/>
      <c r="D404" s="33" t="n"/>
      <c r="E404" s="33" t="n"/>
      <c r="F404" s="33" t="n"/>
      <c r="G404" s="33" t="n"/>
    </row>
    <row r="405">
      <c r="A405" s="37" t="n"/>
      <c r="B405" s="31" t="n"/>
      <c r="C405" s="33" t="n"/>
      <c r="D405" s="33" t="n"/>
      <c r="E405" s="33" t="n"/>
      <c r="F405" s="33" t="n"/>
      <c r="G405" s="33" t="n"/>
    </row>
    <row r="406">
      <c r="A406" s="37" t="n"/>
      <c r="B406" s="31" t="n"/>
      <c r="C406" s="33" t="n"/>
      <c r="D406" s="33" t="n"/>
      <c r="E406" s="33" t="n"/>
      <c r="F406" s="33" t="n"/>
      <c r="G406" s="33" t="n"/>
    </row>
    <row r="407">
      <c r="A407" s="37" t="n"/>
      <c r="B407" s="31" t="n"/>
      <c r="C407" s="33" t="n"/>
      <c r="D407" s="33" t="n"/>
      <c r="E407" s="33" t="n"/>
      <c r="F407" s="33" t="n"/>
      <c r="G407" s="33" t="n"/>
    </row>
    <row r="408">
      <c r="A408" s="37" t="n"/>
      <c r="B408" s="31" t="n"/>
      <c r="C408" s="33" t="n"/>
      <c r="D408" s="33" t="n"/>
      <c r="E408" s="33" t="n"/>
      <c r="F408" s="33" t="n"/>
      <c r="G408" s="33" t="n"/>
    </row>
    <row r="409">
      <c r="A409" s="37" t="n"/>
      <c r="B409" s="31" t="n"/>
      <c r="C409" s="33" t="n"/>
      <c r="D409" s="33" t="n"/>
      <c r="E409" s="33" t="n"/>
      <c r="F409" s="33" t="n"/>
      <c r="G409" s="33" t="n"/>
    </row>
    <row r="410">
      <c r="A410" s="37" t="n"/>
      <c r="B410" s="31" t="n"/>
      <c r="C410" s="33" t="n"/>
      <c r="D410" s="33" t="n"/>
      <c r="E410" s="33" t="n"/>
      <c r="F410" s="33" t="n"/>
      <c r="G410" s="33" t="n"/>
    </row>
    <row r="411">
      <c r="A411" s="37" t="n"/>
      <c r="B411" s="31" t="n"/>
      <c r="C411" s="33" t="n"/>
      <c r="D411" s="33" t="n"/>
      <c r="E411" s="33" t="n"/>
      <c r="F411" s="33" t="n"/>
      <c r="G411" s="33" t="n"/>
    </row>
    <row r="412">
      <c r="A412" s="37" t="n"/>
      <c r="B412" s="31" t="n"/>
      <c r="C412" s="33" t="n"/>
      <c r="D412" s="33" t="n"/>
      <c r="E412" s="33" t="n"/>
      <c r="F412" s="33" t="n"/>
      <c r="G412" s="33" t="n"/>
    </row>
    <row r="413">
      <c r="A413" s="37" t="n"/>
      <c r="B413" s="31" t="n"/>
      <c r="C413" s="33" t="n"/>
      <c r="D413" s="33" t="n"/>
      <c r="E413" s="33" t="n"/>
      <c r="F413" s="33" t="n"/>
      <c r="G413" s="33" t="n"/>
    </row>
    <row r="414">
      <c r="A414" s="37" t="n"/>
      <c r="B414" s="31" t="n"/>
      <c r="C414" s="33" t="n"/>
      <c r="D414" s="33" t="n"/>
      <c r="E414" s="33" t="n"/>
      <c r="F414" s="33" t="n"/>
      <c r="G414" s="33" t="n"/>
    </row>
    <row r="415">
      <c r="A415" s="37" t="n"/>
      <c r="B415" s="31" t="n"/>
      <c r="C415" s="33" t="n"/>
      <c r="D415" s="33" t="n"/>
      <c r="E415" s="33" t="n"/>
      <c r="F415" s="33" t="n"/>
      <c r="G415" s="33" t="n"/>
    </row>
    <row r="416">
      <c r="A416" s="37" t="n"/>
      <c r="B416" s="31" t="n"/>
      <c r="C416" s="33" t="n"/>
      <c r="D416" s="33" t="n"/>
      <c r="E416" s="33" t="n"/>
      <c r="F416" s="33" t="n"/>
      <c r="G416" s="33" t="n"/>
    </row>
    <row r="417">
      <c r="A417" s="37" t="n"/>
      <c r="B417" s="31" t="n"/>
      <c r="C417" s="33" t="n"/>
      <c r="D417" s="33" t="n"/>
      <c r="E417" s="33" t="n"/>
      <c r="F417" s="33" t="n"/>
      <c r="G417" s="33" t="n"/>
    </row>
    <row r="418">
      <c r="A418" s="37" t="n"/>
      <c r="B418" s="31" t="n"/>
      <c r="C418" s="33" t="n"/>
      <c r="D418" s="33" t="n"/>
      <c r="E418" s="33" t="n"/>
      <c r="F418" s="33" t="n"/>
      <c r="G418" s="33" t="n"/>
    </row>
    <row r="419">
      <c r="A419" s="37" t="n"/>
      <c r="B419" s="31" t="n"/>
      <c r="C419" s="33" t="n"/>
      <c r="D419" s="33" t="n"/>
      <c r="E419" s="33" t="n"/>
      <c r="F419" s="33" t="n"/>
      <c r="G419" s="33" t="n"/>
    </row>
    <row r="420">
      <c r="A420" s="37" t="n"/>
      <c r="B420" s="31" t="n"/>
      <c r="C420" s="33" t="n"/>
      <c r="D420" s="33" t="n"/>
      <c r="E420" s="33" t="n"/>
      <c r="F420" s="33" t="n"/>
      <c r="G420" s="33" t="n"/>
    </row>
    <row r="421">
      <c r="A421" s="37" t="n"/>
      <c r="B421" s="31" t="n"/>
      <c r="C421" s="33" t="n"/>
      <c r="D421" s="33" t="n"/>
      <c r="E421" s="33" t="n"/>
      <c r="F421" s="33" t="n"/>
      <c r="G421" s="33" t="n"/>
    </row>
    <row r="422">
      <c r="A422" s="37" t="n"/>
      <c r="B422" s="31" t="n"/>
      <c r="C422" s="33" t="n"/>
      <c r="D422" s="33" t="n"/>
      <c r="E422" s="33" t="n"/>
      <c r="F422" s="33" t="n"/>
      <c r="G422" s="33" t="n"/>
    </row>
    <row r="423">
      <c r="A423" s="37" t="n"/>
      <c r="B423" s="31" t="n"/>
      <c r="C423" s="33" t="n"/>
      <c r="D423" s="33" t="n"/>
      <c r="E423" s="33" t="n"/>
      <c r="F423" s="33" t="n"/>
      <c r="G423" s="33" t="n"/>
    </row>
    <row r="424">
      <c r="A424" s="37" t="n"/>
      <c r="B424" s="31" t="n"/>
      <c r="C424" s="33" t="n"/>
      <c r="D424" s="33" t="n"/>
      <c r="E424" s="33" t="n"/>
      <c r="F424" s="33" t="n"/>
      <c r="G424" s="33" t="n"/>
    </row>
    <row r="425">
      <c r="A425" s="37" t="n"/>
      <c r="B425" s="31" t="n"/>
      <c r="C425" s="33" t="n"/>
      <c r="D425" s="33" t="n"/>
      <c r="E425" s="33" t="n"/>
      <c r="F425" s="33" t="n"/>
      <c r="G425" s="33" t="n"/>
    </row>
    <row r="426">
      <c r="A426" s="37" t="n"/>
      <c r="B426" s="31" t="n"/>
      <c r="C426" s="33" t="n"/>
      <c r="D426" s="33" t="n"/>
      <c r="E426" s="33" t="n"/>
      <c r="F426" s="33" t="n"/>
      <c r="G426" s="33" t="n"/>
    </row>
    <row r="427">
      <c r="A427" s="37" t="n"/>
      <c r="B427" s="31" t="n"/>
      <c r="C427" s="33" t="n"/>
      <c r="D427" s="33" t="n"/>
      <c r="E427" s="33" t="n"/>
      <c r="F427" s="33" t="n"/>
      <c r="G427" s="33" t="n"/>
    </row>
    <row r="428">
      <c r="A428" s="37" t="n"/>
      <c r="B428" s="31" t="n"/>
      <c r="C428" s="33" t="n"/>
      <c r="D428" s="33" t="n"/>
      <c r="E428" s="33" t="n"/>
      <c r="F428" s="33" t="n"/>
      <c r="G428" s="33" t="n"/>
    </row>
    <row r="429">
      <c r="A429" s="37" t="n"/>
      <c r="B429" s="31" t="n"/>
      <c r="C429" s="33" t="n"/>
      <c r="D429" s="33" t="n"/>
      <c r="E429" s="33" t="n"/>
      <c r="F429" s="33" t="n"/>
      <c r="G429" s="33" t="n"/>
    </row>
    <row r="430">
      <c r="A430" s="37" t="n"/>
      <c r="B430" s="31" t="n"/>
      <c r="C430" s="33" t="n"/>
      <c r="D430" s="33" t="n"/>
      <c r="E430" s="33" t="n"/>
      <c r="F430" s="33" t="n"/>
      <c r="G430" s="33" t="n"/>
    </row>
    <row r="431">
      <c r="A431" s="37" t="n"/>
      <c r="B431" s="31" t="n"/>
      <c r="C431" s="33" t="n"/>
      <c r="D431" s="33" t="n"/>
      <c r="E431" s="33" t="n"/>
      <c r="F431" s="33" t="n"/>
      <c r="G431" s="33" t="n"/>
    </row>
    <row r="432">
      <c r="A432" s="37" t="n"/>
      <c r="B432" s="31" t="n"/>
      <c r="C432" s="33" t="n"/>
      <c r="D432" s="33" t="n"/>
      <c r="E432" s="33" t="n"/>
      <c r="F432" s="33" t="n"/>
      <c r="G432" s="33" t="n"/>
    </row>
    <row r="433">
      <c r="A433" s="37" t="n"/>
      <c r="B433" s="31" t="n"/>
      <c r="C433" s="33" t="n"/>
      <c r="D433" s="33" t="n"/>
      <c r="E433" s="33" t="n"/>
      <c r="F433" s="33" t="n"/>
      <c r="G433" s="33" t="n"/>
    </row>
    <row r="434">
      <c r="A434" s="37" t="n"/>
      <c r="B434" s="31" t="n"/>
      <c r="C434" s="33" t="n"/>
      <c r="D434" s="33" t="n"/>
      <c r="E434" s="33" t="n"/>
      <c r="F434" s="33" t="n"/>
      <c r="G434" s="33" t="n"/>
    </row>
    <row r="435">
      <c r="A435" s="37" t="n"/>
      <c r="B435" s="31" t="n"/>
      <c r="C435" s="33" t="n"/>
      <c r="D435" s="33" t="n"/>
      <c r="E435" s="33" t="n"/>
      <c r="F435" s="33" t="n"/>
      <c r="G435" s="33" t="n"/>
    </row>
    <row r="436">
      <c r="A436" s="37" t="n"/>
      <c r="B436" s="31" t="n"/>
      <c r="C436" s="33" t="n"/>
      <c r="D436" s="33" t="n"/>
      <c r="E436" s="33" t="n"/>
      <c r="F436" s="33" t="n"/>
      <c r="G436" s="33" t="n"/>
    </row>
    <row r="437">
      <c r="A437" s="37" t="n"/>
      <c r="B437" s="31" t="n"/>
      <c r="C437" s="33" t="n"/>
      <c r="D437" s="33" t="n"/>
      <c r="E437" s="33" t="n"/>
      <c r="F437" s="33" t="n"/>
      <c r="G437" s="33" t="n"/>
    </row>
    <row r="438">
      <c r="A438" s="37" t="n"/>
      <c r="B438" s="31" t="n"/>
      <c r="C438" s="33" t="n"/>
      <c r="D438" s="33" t="n"/>
      <c r="E438" s="33" t="n"/>
      <c r="F438" s="33" t="n"/>
      <c r="G438" s="33" t="n"/>
    </row>
    <row r="439">
      <c r="A439" s="37" t="n"/>
      <c r="B439" s="31" t="n"/>
      <c r="C439" s="33" t="n"/>
      <c r="D439" s="33" t="n"/>
      <c r="E439" s="33" t="n"/>
      <c r="F439" s="33" t="n"/>
      <c r="G439" s="33" t="n"/>
    </row>
    <row r="440">
      <c r="A440" s="37" t="n"/>
      <c r="B440" s="31" t="n"/>
      <c r="C440" s="33" t="n"/>
      <c r="D440" s="33" t="n"/>
      <c r="E440" s="33" t="n"/>
      <c r="F440" s="33" t="n"/>
      <c r="G440" s="33" t="n"/>
    </row>
    <row r="441">
      <c r="A441" s="37" t="n"/>
      <c r="B441" s="31" t="n"/>
      <c r="C441" s="33" t="n"/>
      <c r="D441" s="33" t="n"/>
      <c r="E441" s="33" t="n"/>
      <c r="F441" s="33" t="n"/>
      <c r="G441" s="33" t="n"/>
    </row>
    <row r="442">
      <c r="A442" s="37" t="n"/>
      <c r="B442" s="31" t="n"/>
      <c r="C442" s="33" t="n"/>
      <c r="D442" s="33" t="n"/>
      <c r="E442" s="33" t="n"/>
      <c r="F442" s="33" t="n"/>
      <c r="G442" s="33" t="n"/>
    </row>
    <row r="443">
      <c r="A443" s="37" t="n"/>
      <c r="B443" s="31" t="n"/>
      <c r="C443" s="33" t="n"/>
      <c r="D443" s="33" t="n"/>
      <c r="E443" s="33" t="n"/>
      <c r="F443" s="33" t="n"/>
      <c r="G443" s="33" t="n"/>
    </row>
    <row r="444">
      <c r="A444" s="37" t="n"/>
      <c r="B444" s="31" t="n"/>
      <c r="C444" s="33" t="n"/>
      <c r="D444" s="33" t="n"/>
      <c r="E444" s="33" t="n"/>
      <c r="F444" s="33" t="n"/>
      <c r="G444" s="33" t="n"/>
    </row>
    <row r="445">
      <c r="A445" s="37" t="n"/>
      <c r="B445" s="31" t="n"/>
      <c r="C445" s="33" t="n"/>
      <c r="D445" s="33" t="n"/>
      <c r="E445" s="33" t="n"/>
      <c r="F445" s="33" t="n"/>
      <c r="G445" s="33" t="n"/>
    </row>
    <row r="446">
      <c r="A446" s="37" t="n"/>
      <c r="B446" s="31" t="n"/>
      <c r="C446" s="33" t="n"/>
      <c r="D446" s="33" t="n"/>
      <c r="E446" s="33" t="n"/>
      <c r="F446" s="33" t="n"/>
      <c r="G446" s="33" t="n"/>
    </row>
    <row r="447">
      <c r="A447" s="37" t="n"/>
      <c r="B447" s="31" t="n"/>
      <c r="C447" s="33" t="n"/>
      <c r="D447" s="33" t="n"/>
      <c r="E447" s="33" t="n"/>
      <c r="F447" s="33" t="n"/>
      <c r="G447" s="33" t="n"/>
    </row>
    <row r="448">
      <c r="A448" s="37" t="n"/>
      <c r="B448" s="31" t="n"/>
      <c r="C448" s="33" t="n"/>
      <c r="D448" s="33" t="n"/>
      <c r="E448" s="33" t="n"/>
      <c r="F448" s="33" t="n"/>
      <c r="G448" s="33" t="n"/>
    </row>
    <row r="449">
      <c r="A449" s="37" t="n"/>
      <c r="B449" s="31" t="n"/>
      <c r="C449" s="33" t="n"/>
      <c r="D449" s="33" t="n"/>
      <c r="E449" s="33" t="n"/>
      <c r="F449" s="33" t="n"/>
      <c r="G449" s="33" t="n"/>
    </row>
    <row r="450">
      <c r="A450" s="37" t="n"/>
      <c r="B450" s="31" t="n"/>
      <c r="C450" s="33" t="n"/>
      <c r="D450" s="33" t="n"/>
      <c r="E450" s="33" t="n"/>
      <c r="F450" s="33" t="n"/>
      <c r="G450" s="33" t="n"/>
    </row>
    <row r="451">
      <c r="A451" s="37" t="n"/>
      <c r="B451" s="31" t="n"/>
      <c r="C451" s="33" t="n"/>
      <c r="D451" s="33" t="n"/>
      <c r="E451" s="33" t="n"/>
      <c r="F451" s="33" t="n"/>
      <c r="G451" s="33" t="n"/>
    </row>
    <row r="452">
      <c r="A452" s="37" t="n"/>
      <c r="B452" s="31" t="n"/>
      <c r="C452" s="33" t="n"/>
      <c r="D452" s="33" t="n"/>
      <c r="E452" s="33" t="n"/>
      <c r="F452" s="33" t="n"/>
      <c r="G452" s="33" t="n"/>
    </row>
    <row r="453">
      <c r="A453" s="37" t="n"/>
      <c r="B453" s="31" t="n"/>
      <c r="C453" s="33" t="n"/>
      <c r="D453" s="33" t="n"/>
      <c r="E453" s="33" t="n"/>
      <c r="F453" s="33" t="n"/>
      <c r="G453" s="33" t="n"/>
    </row>
    <row r="454">
      <c r="A454" s="37" t="n"/>
      <c r="B454" s="31" t="n"/>
      <c r="C454" s="33" t="n"/>
      <c r="D454" s="33" t="n"/>
      <c r="E454" s="33" t="n"/>
      <c r="F454" s="33" t="n"/>
      <c r="G454" s="33" t="n"/>
    </row>
    <row r="455">
      <c r="A455" s="37" t="n"/>
      <c r="B455" s="31" t="n"/>
      <c r="C455" s="33" t="n"/>
      <c r="D455" s="33" t="n"/>
      <c r="E455" s="33" t="n"/>
      <c r="F455" s="33" t="n"/>
      <c r="G455" s="33" t="n"/>
    </row>
    <row r="456">
      <c r="A456" s="37" t="n"/>
      <c r="B456" s="31" t="n"/>
      <c r="C456" s="33" t="n"/>
      <c r="D456" s="33" t="n"/>
      <c r="E456" s="33" t="n"/>
      <c r="F456" s="33" t="n"/>
      <c r="G456" s="33" t="n"/>
    </row>
    <row r="457">
      <c r="A457" s="37" t="n"/>
      <c r="B457" s="31" t="n"/>
      <c r="C457" s="33" t="n"/>
      <c r="D457" s="33" t="n"/>
      <c r="E457" s="33" t="n"/>
      <c r="F457" s="33" t="n"/>
      <c r="G457" s="33" t="n"/>
    </row>
    <row r="458">
      <c r="A458" s="37" t="n"/>
      <c r="B458" s="31" t="n"/>
      <c r="C458" s="33" t="n"/>
      <c r="D458" s="33" t="n"/>
      <c r="E458" s="33" t="n"/>
      <c r="F458" s="33" t="n"/>
      <c r="G458" s="33" t="n"/>
    </row>
    <row r="459">
      <c r="A459" s="37" t="n"/>
      <c r="B459" s="31" t="n"/>
      <c r="C459" s="33" t="n"/>
      <c r="D459" s="33" t="n"/>
      <c r="E459" s="33" t="n"/>
      <c r="F459" s="33" t="n"/>
      <c r="G459" s="33" t="n"/>
    </row>
    <row r="460">
      <c r="A460" s="37" t="n"/>
      <c r="B460" s="31" t="n"/>
      <c r="C460" s="33" t="n"/>
      <c r="D460" s="33" t="n"/>
      <c r="E460" s="33" t="n"/>
      <c r="F460" s="33" t="n"/>
      <c r="G460" s="33" t="n"/>
    </row>
    <row r="461">
      <c r="A461" s="37" t="n"/>
      <c r="B461" s="31" t="n"/>
      <c r="C461" s="33" t="n"/>
      <c r="D461" s="33" t="n"/>
      <c r="E461" s="33" t="n"/>
      <c r="F461" s="33" t="n"/>
      <c r="G461" s="33" t="n"/>
    </row>
    <row r="462">
      <c r="A462" s="37" t="n"/>
      <c r="B462" s="31" t="n"/>
      <c r="C462" s="33" t="n"/>
      <c r="D462" s="33" t="n"/>
      <c r="E462" s="33" t="n"/>
      <c r="F462" s="33" t="n"/>
      <c r="G462" s="33" t="n"/>
    </row>
    <row r="463">
      <c r="A463" s="37" t="n"/>
      <c r="B463" s="31" t="n"/>
      <c r="C463" s="33" t="n"/>
      <c r="D463" s="33" t="n"/>
      <c r="E463" s="33" t="n"/>
      <c r="F463" s="33" t="n"/>
      <c r="G463" s="33" t="n"/>
    </row>
    <row r="464">
      <c r="A464" s="37" t="n"/>
      <c r="B464" s="31" t="n"/>
      <c r="C464" s="33" t="n"/>
      <c r="D464" s="33" t="n"/>
      <c r="E464" s="33" t="n"/>
      <c r="F464" s="33" t="n"/>
      <c r="G464" s="33" t="n"/>
    </row>
    <row r="465">
      <c r="A465" s="37" t="n"/>
      <c r="B465" s="31" t="n"/>
      <c r="C465" s="33" t="n"/>
      <c r="D465" s="33" t="n"/>
      <c r="E465" s="33" t="n"/>
      <c r="F465" s="33" t="n"/>
      <c r="G465" s="33" t="n"/>
    </row>
    <row r="466">
      <c r="A466" s="37" t="n"/>
      <c r="B466" s="31" t="n"/>
      <c r="C466" s="33" t="n"/>
      <c r="D466" s="33" t="n"/>
      <c r="E466" s="33" t="n"/>
      <c r="F466" s="33" t="n"/>
      <c r="G466" s="33" t="n"/>
    </row>
    <row r="467">
      <c r="A467" s="37" t="n"/>
      <c r="B467" s="31" t="n"/>
      <c r="C467" s="33" t="n"/>
      <c r="D467" s="33" t="n"/>
      <c r="E467" s="33" t="n"/>
      <c r="F467" s="33" t="n"/>
      <c r="G467" s="33" t="n"/>
    </row>
    <row r="468">
      <c r="A468" s="37" t="n"/>
      <c r="B468" s="31" t="n"/>
      <c r="C468" s="33" t="n"/>
      <c r="D468" s="33" t="n"/>
      <c r="E468" s="33" t="n"/>
      <c r="F468" s="33" t="n"/>
      <c r="G468" s="33" t="n"/>
    </row>
    <row r="469">
      <c r="A469" s="37" t="n"/>
      <c r="B469" s="31" t="n"/>
      <c r="C469" s="33" t="n"/>
      <c r="D469" s="33" t="n"/>
      <c r="E469" s="33" t="n"/>
      <c r="F469" s="33" t="n"/>
      <c r="G469" s="33" t="n"/>
    </row>
    <row r="470">
      <c r="A470" s="37" t="n"/>
      <c r="B470" s="31" t="n"/>
      <c r="C470" s="33" t="n"/>
      <c r="D470" s="33" t="n"/>
      <c r="E470" s="33" t="n"/>
      <c r="F470" s="33" t="n"/>
      <c r="G470" s="33" t="n"/>
    </row>
    <row r="471">
      <c r="A471" s="37" t="n"/>
      <c r="B471" s="31" t="n"/>
      <c r="C471" s="33" t="n"/>
      <c r="D471" s="33" t="n"/>
      <c r="E471" s="33" t="n"/>
      <c r="F471" s="33" t="n"/>
      <c r="G471" s="33" t="n"/>
    </row>
    <row r="472">
      <c r="A472" s="37" t="n"/>
      <c r="B472" s="31" t="n"/>
      <c r="C472" s="33" t="n"/>
      <c r="D472" s="33" t="n"/>
      <c r="E472" s="33" t="n"/>
      <c r="F472" s="33" t="n"/>
      <c r="G472" s="33" t="n"/>
    </row>
    <row r="473">
      <c r="A473" s="37" t="n"/>
      <c r="B473" s="31" t="n"/>
      <c r="C473" s="33" t="n"/>
      <c r="D473" s="33" t="n"/>
      <c r="E473" s="33" t="n"/>
      <c r="F473" s="33" t="n"/>
      <c r="G473" s="33" t="n"/>
    </row>
    <row r="474">
      <c r="A474" s="37" t="n"/>
      <c r="B474" s="31" t="n"/>
      <c r="C474" s="33" t="n"/>
      <c r="D474" s="33" t="n"/>
      <c r="E474" s="33" t="n"/>
      <c r="F474" s="33" t="n"/>
      <c r="G474" s="33" t="n"/>
    </row>
    <row r="475">
      <c r="A475" s="37" t="n"/>
      <c r="B475" s="31" t="n"/>
      <c r="C475" s="33" t="n"/>
      <c r="D475" s="33" t="n"/>
      <c r="E475" s="33" t="n"/>
      <c r="F475" s="33" t="n"/>
      <c r="G475" s="33" t="n"/>
    </row>
    <row r="476">
      <c r="A476" s="37" t="n"/>
      <c r="B476" s="31" t="n"/>
      <c r="C476" s="33" t="n"/>
      <c r="D476" s="33" t="n"/>
      <c r="E476" s="33" t="n"/>
      <c r="F476" s="33" t="n"/>
      <c r="G476" s="33" t="n"/>
    </row>
    <row r="477">
      <c r="A477" s="37" t="n"/>
      <c r="B477" s="31" t="n"/>
      <c r="C477" s="33" t="n"/>
      <c r="D477" s="33" t="n"/>
      <c r="E477" s="33" t="n"/>
      <c r="F477" s="33" t="n"/>
      <c r="G477" s="33" t="n"/>
    </row>
    <row r="478">
      <c r="A478" s="37" t="n"/>
      <c r="B478" s="31" t="n"/>
      <c r="C478" s="33" t="n"/>
      <c r="D478" s="33" t="n"/>
      <c r="E478" s="33" t="n"/>
      <c r="F478" s="33" t="n"/>
      <c r="G478" s="33" t="n"/>
    </row>
    <row r="479">
      <c r="A479" s="37" t="n"/>
      <c r="B479" s="31" t="n"/>
      <c r="C479" s="33" t="n"/>
      <c r="D479" s="33" t="n"/>
      <c r="E479" s="33" t="n"/>
      <c r="F479" s="33" t="n"/>
      <c r="G479" s="33" t="n"/>
    </row>
    <row r="480">
      <c r="A480" s="37" t="n"/>
      <c r="B480" s="31" t="n"/>
      <c r="C480" s="33" t="n"/>
      <c r="D480" s="33" t="n"/>
      <c r="E480" s="33" t="n"/>
      <c r="F480" s="33" t="n"/>
      <c r="G480" s="33" t="n"/>
    </row>
    <row r="481">
      <c r="A481" s="37" t="n"/>
      <c r="B481" s="31" t="n"/>
      <c r="C481" s="33" t="n"/>
      <c r="D481" s="33" t="n"/>
      <c r="E481" s="33" t="n"/>
      <c r="F481" s="33" t="n"/>
      <c r="G481" s="33" t="n"/>
    </row>
    <row r="482">
      <c r="A482" s="37" t="n"/>
      <c r="B482" s="31" t="n"/>
      <c r="C482" s="33" t="n"/>
      <c r="D482" s="33" t="n"/>
      <c r="E482" s="33" t="n"/>
      <c r="F482" s="33" t="n"/>
      <c r="G482" s="33" t="n"/>
    </row>
    <row r="483">
      <c r="A483" s="37" t="n"/>
      <c r="B483" s="31" t="n"/>
      <c r="C483" s="33" t="n"/>
      <c r="D483" s="33" t="n"/>
      <c r="E483" s="33" t="n"/>
      <c r="F483" s="33" t="n"/>
      <c r="G483" s="33" t="n"/>
    </row>
    <row r="484">
      <c r="A484" s="37" t="n"/>
      <c r="B484" s="31" t="n"/>
      <c r="C484" s="33" t="n"/>
      <c r="D484" s="33" t="n"/>
      <c r="E484" s="33" t="n"/>
      <c r="F484" s="33" t="n"/>
      <c r="G484" s="33" t="n"/>
    </row>
    <row r="485">
      <c r="A485" s="37" t="n"/>
      <c r="B485" s="31" t="n"/>
      <c r="C485" s="33" t="n"/>
      <c r="D485" s="33" t="n"/>
      <c r="E485" s="33" t="n"/>
      <c r="F485" s="33" t="n"/>
      <c r="G485" s="33" t="n"/>
    </row>
    <row r="486">
      <c r="A486" s="37" t="n"/>
      <c r="B486" s="31" t="n"/>
      <c r="C486" s="33" t="n"/>
      <c r="D486" s="33" t="n"/>
      <c r="E486" s="33" t="n"/>
      <c r="F486" s="33" t="n"/>
      <c r="G486" s="33" t="n"/>
    </row>
    <row r="487">
      <c r="A487" s="37" t="n"/>
      <c r="B487" s="31" t="n"/>
      <c r="C487" s="33" t="n"/>
      <c r="D487" s="33" t="n"/>
      <c r="E487" s="33" t="n"/>
      <c r="F487" s="33" t="n"/>
      <c r="G487" s="33" t="n"/>
    </row>
    <row r="488">
      <c r="A488" s="37" t="n"/>
      <c r="B488" s="31" t="n"/>
      <c r="C488" s="33" t="n"/>
      <c r="D488" s="33" t="n"/>
      <c r="E488" s="33" t="n"/>
      <c r="F488" s="33" t="n"/>
      <c r="G488" s="33" t="n"/>
    </row>
    <row r="489">
      <c r="A489" s="37" t="n"/>
      <c r="B489" s="31" t="n"/>
      <c r="C489" s="33" t="n"/>
      <c r="D489" s="33" t="n"/>
      <c r="E489" s="33" t="n"/>
      <c r="F489" s="33" t="n"/>
      <c r="G489" s="33" t="n"/>
    </row>
    <row r="490">
      <c r="A490" s="37" t="n"/>
      <c r="B490" s="31" t="n"/>
      <c r="C490" s="33" t="n"/>
      <c r="D490" s="33" t="n"/>
      <c r="E490" s="33" t="n"/>
      <c r="F490" s="33" t="n"/>
      <c r="G490" s="33" t="n"/>
    </row>
    <row r="491">
      <c r="A491" s="37" t="n"/>
      <c r="B491" s="31" t="n"/>
      <c r="C491" s="33" t="n"/>
      <c r="D491" s="33" t="n"/>
      <c r="E491" s="33" t="n"/>
      <c r="F491" s="33" t="n"/>
      <c r="G491" s="33" t="n"/>
    </row>
    <row r="492">
      <c r="A492" s="37" t="n"/>
      <c r="B492" s="31" t="n"/>
      <c r="C492" s="33" t="n"/>
      <c r="D492" s="33" t="n"/>
      <c r="E492" s="33" t="n"/>
      <c r="F492" s="33" t="n"/>
      <c r="G492" s="33" t="n"/>
    </row>
    <row r="493">
      <c r="A493" s="37" t="n"/>
      <c r="B493" s="31" t="n"/>
      <c r="C493" s="33" t="n"/>
      <c r="D493" s="33" t="n"/>
      <c r="E493" s="33" t="n"/>
      <c r="F493" s="33" t="n"/>
      <c r="G493" s="33" t="n"/>
    </row>
    <row r="494">
      <c r="A494" s="37" t="n"/>
      <c r="B494" s="31" t="n"/>
      <c r="C494" s="33" t="n"/>
      <c r="D494" s="33" t="n"/>
      <c r="E494" s="33" t="n"/>
      <c r="F494" s="33" t="n"/>
      <c r="G494" s="33" t="n"/>
    </row>
    <row r="495">
      <c r="A495" s="37" t="n"/>
      <c r="B495" s="31" t="n"/>
      <c r="C495" s="33" t="n"/>
      <c r="D495" s="33" t="n"/>
      <c r="E495" s="33" t="n"/>
      <c r="F495" s="33" t="n"/>
      <c r="G495" s="33" t="n"/>
    </row>
    <row r="496">
      <c r="A496" s="37" t="n"/>
      <c r="B496" s="31" t="n"/>
      <c r="C496" s="33" t="n"/>
      <c r="D496" s="33" t="n"/>
      <c r="E496" s="33" t="n"/>
      <c r="F496" s="33" t="n"/>
      <c r="G496" s="33" t="n"/>
    </row>
    <row r="497">
      <c r="A497" s="37" t="n"/>
      <c r="B497" s="31" t="n"/>
      <c r="C497" s="33" t="n"/>
      <c r="D497" s="33" t="n"/>
      <c r="E497" s="33" t="n"/>
      <c r="F497" s="33" t="n"/>
      <c r="G497" s="33" t="n"/>
    </row>
    <row r="498">
      <c r="A498" s="37" t="n"/>
      <c r="B498" s="31" t="n"/>
      <c r="C498" s="33" t="n"/>
      <c r="D498" s="33" t="n"/>
      <c r="E498" s="33" t="n"/>
      <c r="F498" s="33" t="n"/>
      <c r="G498" s="33" t="n"/>
    </row>
    <row r="499">
      <c r="A499" s="37" t="n"/>
      <c r="B499" s="31" t="n"/>
      <c r="C499" s="33" t="n"/>
      <c r="D499" s="33" t="n"/>
      <c r="E499" s="33" t="n"/>
      <c r="F499" s="33" t="n"/>
      <c r="G499" s="33" t="n"/>
    </row>
    <row r="500">
      <c r="A500" s="37" t="n"/>
      <c r="B500" s="31" t="n"/>
      <c r="C500" s="33" t="n"/>
      <c r="D500" s="33" t="n"/>
      <c r="E500" s="33" t="n"/>
      <c r="F500" s="33" t="n"/>
      <c r="G500" s="33" t="n"/>
    </row>
    <row r="501">
      <c r="A501" s="37" t="n"/>
      <c r="B501" s="31" t="n"/>
      <c r="C501" s="33" t="n"/>
      <c r="D501" s="33" t="n"/>
      <c r="E501" s="33" t="n"/>
      <c r="F501" s="33" t="n"/>
      <c r="G501" s="33" t="n"/>
    </row>
    <row r="502">
      <c r="A502" s="37" t="n"/>
      <c r="B502" s="31" t="n"/>
      <c r="C502" s="33" t="n"/>
      <c r="D502" s="33" t="n"/>
      <c r="E502" s="33" t="n"/>
      <c r="F502" s="33" t="n"/>
      <c r="G502" s="33" t="n"/>
    </row>
    <row r="503">
      <c r="A503" s="37" t="n"/>
      <c r="B503" s="31" t="n"/>
      <c r="C503" s="33" t="n"/>
      <c r="D503" s="33" t="n"/>
      <c r="E503" s="33" t="n"/>
      <c r="F503" s="33" t="n"/>
      <c r="G503" s="33" t="n"/>
    </row>
    <row r="504">
      <c r="A504" s="37" t="n"/>
      <c r="B504" s="31" t="n"/>
      <c r="C504" s="33" t="n"/>
      <c r="D504" s="33" t="n"/>
      <c r="E504" s="33" t="n"/>
      <c r="F504" s="33" t="n"/>
      <c r="G504" s="33" t="n"/>
    </row>
    <row r="505">
      <c r="A505" s="37" t="n"/>
      <c r="B505" s="31" t="n"/>
      <c r="C505" s="33" t="n"/>
      <c r="D505" s="33" t="n"/>
      <c r="E505" s="33" t="n"/>
      <c r="F505" s="33" t="n"/>
      <c r="G505" s="33" t="n"/>
    </row>
    <row r="506">
      <c r="A506" s="37" t="n"/>
      <c r="B506" s="31" t="n"/>
      <c r="C506" s="33" t="n"/>
      <c r="D506" s="33" t="n"/>
      <c r="E506" s="33" t="n"/>
      <c r="F506" s="33" t="n"/>
      <c r="G506" s="33" t="n"/>
    </row>
    <row r="507">
      <c r="A507" s="37" t="n"/>
      <c r="B507" s="31" t="n"/>
      <c r="C507" s="33" t="n"/>
      <c r="D507" s="33" t="n"/>
      <c r="E507" s="33" t="n"/>
      <c r="F507" s="33" t="n"/>
      <c r="G507" s="33" t="n"/>
    </row>
    <row r="508">
      <c r="A508" s="37" t="n"/>
      <c r="B508" s="31" t="n"/>
      <c r="C508" s="33" t="n"/>
      <c r="D508" s="33" t="n"/>
      <c r="E508" s="33" t="n"/>
      <c r="F508" s="33" t="n"/>
      <c r="G508" s="33" t="n"/>
    </row>
    <row r="509">
      <c r="A509" s="37" t="n"/>
      <c r="B509" s="31" t="n"/>
      <c r="C509" s="33" t="n"/>
      <c r="D509" s="33" t="n"/>
      <c r="E509" s="33" t="n"/>
      <c r="F509" s="33" t="n"/>
      <c r="G509" s="33" t="n"/>
    </row>
    <row r="510">
      <c r="A510" s="37" t="n"/>
      <c r="B510" s="31" t="n"/>
      <c r="C510" s="33" t="n"/>
      <c r="D510" s="33" t="n"/>
      <c r="E510" s="33" t="n"/>
      <c r="F510" s="33" t="n"/>
      <c r="G510" s="33" t="n"/>
    </row>
    <row r="511">
      <c r="A511" s="37" t="n"/>
      <c r="B511" s="31" t="n"/>
      <c r="C511" s="33" t="n"/>
      <c r="D511" s="33" t="n"/>
      <c r="E511" s="33" t="n"/>
      <c r="F511" s="33" t="n"/>
      <c r="G511" s="33" t="n"/>
    </row>
    <row r="512">
      <c r="A512" s="37" t="n"/>
      <c r="B512" s="31" t="n"/>
      <c r="C512" s="33" t="n"/>
      <c r="D512" s="33" t="n"/>
      <c r="E512" s="33" t="n"/>
      <c r="F512" s="33" t="n"/>
      <c r="G512" s="33" t="n"/>
    </row>
    <row r="513">
      <c r="A513" s="37" t="n"/>
      <c r="B513" s="31" t="n"/>
      <c r="C513" s="33" t="n"/>
      <c r="D513" s="33" t="n"/>
      <c r="E513" s="33" t="n"/>
      <c r="F513" s="33" t="n"/>
      <c r="G513" s="33" t="n"/>
    </row>
    <row r="514">
      <c r="A514" s="37" t="n"/>
      <c r="B514" s="31" t="n"/>
      <c r="C514" s="33" t="n"/>
      <c r="D514" s="33" t="n"/>
      <c r="E514" s="33" t="n"/>
      <c r="F514" s="33" t="n"/>
      <c r="G514" s="33" t="n"/>
    </row>
    <row r="515">
      <c r="A515" s="37" t="n"/>
      <c r="B515" s="31" t="n"/>
      <c r="C515" s="33" t="n"/>
      <c r="D515" s="33" t="n"/>
      <c r="E515" s="33" t="n"/>
      <c r="F515" s="33" t="n"/>
      <c r="G515" s="33" t="n"/>
    </row>
    <row r="516">
      <c r="A516" s="37" t="n"/>
      <c r="B516" s="31" t="n"/>
      <c r="C516" s="33" t="n"/>
      <c r="D516" s="33" t="n"/>
      <c r="E516" s="33" t="n"/>
      <c r="F516" s="33" t="n"/>
      <c r="G516" s="33" t="n"/>
    </row>
    <row r="517">
      <c r="A517" s="37" t="n"/>
      <c r="B517" s="31" t="n"/>
      <c r="C517" s="33" t="n"/>
      <c r="D517" s="33" t="n"/>
      <c r="E517" s="33" t="n"/>
      <c r="F517" s="33" t="n"/>
      <c r="G517" s="33" t="n"/>
    </row>
    <row r="518">
      <c r="A518" s="37" t="n"/>
      <c r="B518" s="31" t="n"/>
      <c r="C518" s="33" t="n"/>
      <c r="D518" s="33" t="n"/>
      <c r="E518" s="33" t="n"/>
      <c r="F518" s="33" t="n"/>
      <c r="G518" s="33" t="n"/>
    </row>
    <row r="519">
      <c r="A519" s="37" t="n"/>
      <c r="B519" s="31" t="n"/>
      <c r="C519" s="33" t="n"/>
      <c r="D519" s="33" t="n"/>
      <c r="E519" s="33" t="n"/>
      <c r="F519" s="33" t="n"/>
      <c r="G519" s="33" t="n"/>
    </row>
    <row r="520">
      <c r="A520" s="37" t="n"/>
      <c r="B520" s="31" t="n"/>
      <c r="C520" s="33" t="n"/>
      <c r="D520" s="33" t="n"/>
      <c r="E520" s="33" t="n"/>
      <c r="F520" s="33" t="n"/>
      <c r="G520" s="33" t="n"/>
    </row>
    <row r="521">
      <c r="A521" s="37" t="n"/>
      <c r="B521" s="31" t="n"/>
      <c r="C521" s="33" t="n"/>
      <c r="D521" s="33" t="n"/>
      <c r="E521" s="33" t="n"/>
      <c r="F521" s="33" t="n"/>
      <c r="G521" s="33" t="n"/>
    </row>
    <row r="522">
      <c r="A522" s="37" t="n"/>
      <c r="B522" s="31" t="n"/>
      <c r="C522" s="33" t="n"/>
      <c r="D522" s="33" t="n"/>
      <c r="E522" s="33" t="n"/>
      <c r="F522" s="33" t="n"/>
      <c r="G522" s="33" t="n"/>
    </row>
    <row r="523">
      <c r="A523" s="37" t="n"/>
      <c r="B523" s="31" t="n"/>
      <c r="C523" s="33" t="n"/>
      <c r="D523" s="33" t="n"/>
      <c r="E523" s="33" t="n"/>
      <c r="F523" s="33" t="n"/>
      <c r="G523" s="33" t="n"/>
    </row>
    <row r="524">
      <c r="A524" s="37" t="n"/>
      <c r="B524" s="31" t="n"/>
      <c r="C524" s="33" t="n"/>
      <c r="D524" s="33" t="n"/>
      <c r="E524" s="33" t="n"/>
      <c r="F524" s="33" t="n"/>
      <c r="G524" s="33" t="n"/>
    </row>
    <row r="525">
      <c r="A525" s="37" t="n"/>
      <c r="B525" s="31" t="n"/>
      <c r="C525" s="33" t="n"/>
      <c r="D525" s="33" t="n"/>
      <c r="E525" s="33" t="n"/>
      <c r="F525" s="33" t="n"/>
      <c r="G525" s="33" t="n"/>
    </row>
    <row r="526">
      <c r="A526" s="37" t="n"/>
      <c r="B526" s="31" t="n"/>
      <c r="C526" s="33" t="n"/>
      <c r="D526" s="33" t="n"/>
      <c r="E526" s="33" t="n"/>
      <c r="F526" s="33" t="n"/>
      <c r="G526" s="33" t="n"/>
    </row>
    <row r="527">
      <c r="A527" s="37" t="n"/>
      <c r="B527" s="31" t="n"/>
      <c r="C527" s="33" t="n"/>
      <c r="D527" s="33" t="n"/>
      <c r="E527" s="33" t="n"/>
      <c r="F527" s="33" t="n"/>
      <c r="G527" s="33" t="n"/>
    </row>
    <row r="528">
      <c r="A528" s="37" t="n"/>
      <c r="B528" s="31" t="n"/>
      <c r="C528" s="33" t="n"/>
      <c r="D528" s="33" t="n"/>
      <c r="E528" s="33" t="n"/>
      <c r="F528" s="33" t="n"/>
      <c r="G528" s="33" t="n"/>
    </row>
    <row r="529">
      <c r="A529" s="37" t="n"/>
      <c r="B529" s="31" t="n"/>
      <c r="C529" s="33" t="n"/>
      <c r="D529" s="33" t="n"/>
      <c r="E529" s="33" t="n"/>
      <c r="F529" s="33" t="n"/>
      <c r="G529" s="33" t="n"/>
    </row>
    <row r="530">
      <c r="A530" s="37" t="n"/>
      <c r="B530" s="31" t="n"/>
      <c r="C530" s="33" t="n"/>
      <c r="D530" s="33" t="n"/>
      <c r="E530" s="33" t="n"/>
      <c r="F530" s="33" t="n"/>
      <c r="G530" s="33" t="n"/>
    </row>
    <row r="531">
      <c r="A531" s="37" t="n"/>
      <c r="B531" s="31" t="n"/>
      <c r="C531" s="33" t="n"/>
      <c r="D531" s="33" t="n"/>
      <c r="E531" s="33" t="n"/>
      <c r="F531" s="33" t="n"/>
      <c r="G531" s="33" t="n"/>
    </row>
    <row r="532">
      <c r="A532" s="37" t="n"/>
      <c r="B532" s="31" t="n"/>
      <c r="C532" s="33" t="n"/>
      <c r="D532" s="33" t="n"/>
      <c r="E532" s="33" t="n"/>
      <c r="F532" s="33" t="n"/>
      <c r="G532" s="33" t="n"/>
    </row>
    <row r="533">
      <c r="A533" s="37" t="n"/>
      <c r="B533" s="31" t="n"/>
      <c r="C533" s="33" t="n"/>
      <c r="D533" s="33" t="n"/>
      <c r="E533" s="33" t="n"/>
      <c r="F533" s="33" t="n"/>
      <c r="G533" s="33" t="n"/>
    </row>
    <row r="534">
      <c r="A534" s="37" t="n"/>
      <c r="B534" s="31" t="n"/>
      <c r="C534" s="33" t="n"/>
      <c r="D534" s="33" t="n"/>
      <c r="E534" s="33" t="n"/>
      <c r="F534" s="33" t="n"/>
      <c r="G534" s="33" t="n"/>
    </row>
    <row r="535">
      <c r="A535" s="37" t="n"/>
      <c r="B535" s="31" t="n"/>
      <c r="C535" s="33" t="n"/>
      <c r="D535" s="33" t="n"/>
      <c r="E535" s="33" t="n"/>
      <c r="F535" s="33" t="n"/>
      <c r="G535" s="33" t="n"/>
    </row>
    <row r="536">
      <c r="A536" s="37" t="n"/>
      <c r="B536" s="31" t="n"/>
      <c r="C536" s="33" t="n"/>
      <c r="D536" s="33" t="n"/>
      <c r="E536" s="33" t="n"/>
      <c r="F536" s="33" t="n"/>
      <c r="G536" s="33" t="n"/>
    </row>
    <row r="537">
      <c r="A537" s="37" t="n"/>
      <c r="B537" s="31" t="n"/>
      <c r="C537" s="33" t="n"/>
      <c r="D537" s="33" t="n"/>
      <c r="E537" s="33" t="n"/>
      <c r="F537" s="33" t="n"/>
      <c r="G537" s="33" t="n"/>
    </row>
    <row r="538">
      <c r="A538" s="37" t="n"/>
      <c r="B538" s="31" t="n"/>
      <c r="C538" s="33" t="n"/>
      <c r="D538" s="33" t="n"/>
      <c r="E538" s="33" t="n"/>
      <c r="F538" s="33" t="n"/>
      <c r="G538" s="33" t="n"/>
    </row>
    <row r="539">
      <c r="A539" s="37" t="n"/>
      <c r="B539" s="31" t="n"/>
      <c r="C539" s="33" t="n"/>
      <c r="D539" s="33" t="n"/>
      <c r="E539" s="33" t="n"/>
      <c r="F539" s="33" t="n"/>
      <c r="G539" s="33" t="n"/>
    </row>
    <row r="540">
      <c r="A540" s="37" t="n"/>
      <c r="B540" s="31" t="n"/>
      <c r="C540" s="33" t="n"/>
      <c r="D540" s="33" t="n"/>
      <c r="E540" s="33" t="n"/>
      <c r="F540" s="33" t="n"/>
      <c r="G540" s="33" t="n"/>
    </row>
    <row r="541">
      <c r="A541" s="37" t="n"/>
      <c r="B541" s="31" t="n"/>
      <c r="C541" s="33" t="n"/>
      <c r="D541" s="33" t="n"/>
      <c r="E541" s="33" t="n"/>
      <c r="F541" s="33" t="n"/>
      <c r="G541" s="33" t="n"/>
    </row>
    <row r="542">
      <c r="A542" s="37" t="n"/>
      <c r="B542" s="31" t="n"/>
      <c r="C542" s="33" t="n"/>
      <c r="D542" s="33" t="n"/>
      <c r="E542" s="33" t="n"/>
      <c r="F542" s="33" t="n"/>
      <c r="G542" s="33" t="n"/>
    </row>
    <row r="543">
      <c r="A543" s="37" t="n"/>
      <c r="B543" s="31" t="n"/>
      <c r="C543" s="33" t="n"/>
      <c r="D543" s="33" t="n"/>
      <c r="E543" s="33" t="n"/>
      <c r="F543" s="33" t="n"/>
      <c r="G543" s="33" t="n"/>
    </row>
    <row r="544">
      <c r="A544" s="37" t="n"/>
      <c r="B544" s="31" t="n"/>
      <c r="C544" s="33" t="n"/>
      <c r="D544" s="33" t="n"/>
      <c r="E544" s="33" t="n"/>
      <c r="F544" s="33" t="n"/>
      <c r="G544" s="33" t="n"/>
    </row>
    <row r="545">
      <c r="A545" s="37" t="n"/>
      <c r="B545" s="31" t="n"/>
      <c r="C545" s="33" t="n"/>
      <c r="D545" s="33" t="n"/>
      <c r="E545" s="33" t="n"/>
      <c r="F545" s="33" t="n"/>
      <c r="G545" s="33" t="n"/>
    </row>
    <row r="546">
      <c r="A546" s="37" t="n"/>
      <c r="B546" s="31" t="n"/>
      <c r="C546" s="33" t="n"/>
      <c r="D546" s="33" t="n"/>
      <c r="E546" s="33" t="n"/>
      <c r="F546" s="33" t="n"/>
      <c r="G546" s="33" t="n"/>
    </row>
    <row r="547">
      <c r="A547" s="37" t="n"/>
      <c r="B547" s="31" t="n"/>
      <c r="C547" s="33" t="n"/>
      <c r="D547" s="33" t="n"/>
      <c r="E547" s="33" t="n"/>
      <c r="F547" s="33" t="n"/>
      <c r="G547" s="33" t="n"/>
    </row>
    <row r="548">
      <c r="A548" s="37" t="n"/>
      <c r="B548" s="31" t="n"/>
      <c r="C548" s="33" t="n"/>
      <c r="D548" s="33" t="n"/>
      <c r="E548" s="33" t="n"/>
      <c r="F548" s="33" t="n"/>
      <c r="G548" s="33" t="n"/>
    </row>
    <row r="549">
      <c r="A549" s="37" t="n"/>
      <c r="B549" s="31" t="n"/>
      <c r="C549" s="33" t="n"/>
      <c r="D549" s="33" t="n"/>
      <c r="E549" s="33" t="n"/>
      <c r="F549" s="33" t="n"/>
      <c r="G549" s="33" t="n"/>
    </row>
    <row r="550">
      <c r="A550" s="37" t="n"/>
      <c r="B550" s="31" t="n"/>
      <c r="C550" s="33" t="n"/>
      <c r="D550" s="33" t="n"/>
      <c r="E550" s="33" t="n"/>
      <c r="F550" s="33" t="n"/>
      <c r="G550" s="33" t="n"/>
    </row>
    <row r="551">
      <c r="A551" s="37" t="n"/>
      <c r="B551" s="31" t="n"/>
      <c r="C551" s="33" t="n"/>
      <c r="D551" s="33" t="n"/>
      <c r="E551" s="33" t="n"/>
      <c r="F551" s="33" t="n"/>
      <c r="G551" s="33" t="n"/>
    </row>
    <row r="552">
      <c r="A552" s="37" t="n"/>
      <c r="B552" s="31" t="n"/>
      <c r="C552" s="33" t="n"/>
      <c r="D552" s="33" t="n"/>
      <c r="E552" s="33" t="n"/>
      <c r="F552" s="33" t="n"/>
      <c r="G552" s="33" t="n"/>
    </row>
    <row r="553">
      <c r="A553" s="37" t="n"/>
      <c r="B553" s="31" t="n"/>
      <c r="C553" s="33" t="n"/>
      <c r="D553" s="33" t="n"/>
      <c r="E553" s="33" t="n"/>
      <c r="F553" s="33" t="n"/>
      <c r="G553" s="33" t="n"/>
    </row>
    <row r="554">
      <c r="A554" s="37" t="n"/>
      <c r="B554" s="31" t="n"/>
      <c r="C554" s="33" t="n"/>
      <c r="D554" s="33" t="n"/>
      <c r="E554" s="33" t="n"/>
      <c r="F554" s="33" t="n"/>
      <c r="G554" s="33" t="n"/>
    </row>
    <row r="555">
      <c r="A555" s="37" t="n"/>
      <c r="B555" s="31" t="n"/>
      <c r="C555" s="33" t="n"/>
      <c r="D555" s="33" t="n"/>
      <c r="E555" s="33" t="n"/>
      <c r="F555" s="33" t="n"/>
      <c r="G555" s="33" t="n"/>
    </row>
    <row r="556">
      <c r="A556" s="37" t="n"/>
      <c r="B556" s="31" t="n"/>
      <c r="C556" s="33" t="n"/>
      <c r="D556" s="33" t="n"/>
      <c r="E556" s="33" t="n"/>
      <c r="F556" s="33" t="n"/>
      <c r="G556" s="33" t="n"/>
    </row>
    <row r="557">
      <c r="A557" s="37" t="n"/>
      <c r="B557" s="31" t="n"/>
      <c r="C557" s="33" t="n"/>
      <c r="D557" s="33" t="n"/>
      <c r="E557" s="33" t="n"/>
      <c r="F557" s="33" t="n"/>
      <c r="G557" s="33" t="n"/>
    </row>
    <row r="558">
      <c r="A558" s="37" t="n"/>
      <c r="B558" s="31" t="n"/>
      <c r="C558" s="33" t="n"/>
      <c r="D558" s="33" t="n"/>
      <c r="E558" s="33" t="n"/>
      <c r="F558" s="33" t="n"/>
      <c r="G558" s="33" t="n"/>
    </row>
    <row r="559">
      <c r="A559" s="37" t="n"/>
      <c r="B559" s="31" t="n"/>
      <c r="C559" s="33" t="n"/>
      <c r="D559" s="33" t="n"/>
      <c r="E559" s="33" t="n"/>
      <c r="F559" s="33" t="n"/>
      <c r="G559" s="33" t="n"/>
    </row>
    <row r="560">
      <c r="A560" s="37" t="n"/>
      <c r="B560" s="31" t="n"/>
      <c r="C560" s="33" t="n"/>
      <c r="D560" s="33" t="n"/>
      <c r="E560" s="33" t="n"/>
      <c r="F560" s="33" t="n"/>
      <c r="G560" s="33" t="n"/>
    </row>
    <row r="561">
      <c r="A561" s="37" t="n"/>
      <c r="B561" s="31" t="n"/>
      <c r="C561" s="33" t="n"/>
      <c r="D561" s="33" t="n"/>
      <c r="E561" s="33" t="n"/>
      <c r="F561" s="33" t="n"/>
      <c r="G561" s="33" t="n"/>
    </row>
    <row r="562">
      <c r="A562" s="37" t="n"/>
      <c r="B562" s="31" t="n"/>
      <c r="C562" s="33" t="n"/>
      <c r="D562" s="33" t="n"/>
      <c r="E562" s="33" t="n"/>
      <c r="F562" s="33" t="n"/>
      <c r="G562" s="33" t="n"/>
    </row>
    <row r="563">
      <c r="A563" s="37" t="n"/>
      <c r="B563" s="31" t="n"/>
      <c r="C563" s="33" t="n"/>
      <c r="D563" s="33" t="n"/>
      <c r="E563" s="33" t="n"/>
      <c r="F563" s="33" t="n"/>
      <c r="G563" s="33" t="n"/>
    </row>
    <row r="564">
      <c r="A564" s="37" t="n"/>
      <c r="B564" s="31" t="n"/>
      <c r="C564" s="33" t="n"/>
      <c r="D564" s="33" t="n"/>
      <c r="E564" s="33" t="n"/>
      <c r="F564" s="33" t="n"/>
      <c r="G564" s="33" t="n"/>
    </row>
    <row r="565">
      <c r="A565" s="37" t="n"/>
      <c r="B565" s="31" t="n"/>
      <c r="C565" s="33" t="n"/>
      <c r="D565" s="33" t="n"/>
      <c r="E565" s="33" t="n"/>
      <c r="F565" s="33" t="n"/>
      <c r="G565" s="33" t="n"/>
    </row>
    <row r="566">
      <c r="A566" s="37" t="n"/>
      <c r="B566" s="31" t="n"/>
      <c r="C566" s="33" t="n"/>
      <c r="D566" s="33" t="n"/>
      <c r="E566" s="33" t="n"/>
      <c r="F566" s="33" t="n"/>
      <c r="G566" s="33" t="n"/>
    </row>
    <row r="567">
      <c r="A567" s="37" t="n"/>
      <c r="B567" s="31" t="n"/>
      <c r="C567" s="33" t="n"/>
      <c r="D567" s="33" t="n"/>
      <c r="E567" s="33" t="n"/>
      <c r="F567" s="33" t="n"/>
      <c r="G567" s="33" t="n"/>
    </row>
    <row r="568">
      <c r="A568" s="37" t="n"/>
      <c r="B568" s="31" t="n"/>
      <c r="C568" s="33" t="n"/>
      <c r="D568" s="33" t="n"/>
      <c r="E568" s="33" t="n"/>
      <c r="F568" s="33" t="n"/>
      <c r="G568" s="33" t="n"/>
    </row>
    <row r="569">
      <c r="A569" s="37" t="n"/>
      <c r="B569" s="31" t="n"/>
      <c r="C569" s="33" t="n"/>
      <c r="D569" s="33" t="n"/>
      <c r="E569" s="33" t="n"/>
      <c r="F569" s="33" t="n"/>
      <c r="G569" s="33" t="n"/>
    </row>
    <row r="570">
      <c r="A570" s="37" t="n"/>
      <c r="B570" s="31" t="n"/>
      <c r="C570" s="33" t="n"/>
      <c r="D570" s="33" t="n"/>
      <c r="E570" s="33" t="n"/>
      <c r="F570" s="33" t="n"/>
      <c r="G570" s="33" t="n"/>
    </row>
    <row r="571">
      <c r="A571" s="37" t="n"/>
      <c r="B571" s="31" t="n"/>
      <c r="C571" s="33" t="n"/>
      <c r="D571" s="33" t="n"/>
      <c r="E571" s="33" t="n"/>
      <c r="F571" s="33" t="n"/>
      <c r="G571" s="33" t="n"/>
    </row>
    <row r="572">
      <c r="A572" s="37" t="n"/>
      <c r="B572" s="31" t="n"/>
      <c r="C572" s="33" t="n"/>
      <c r="D572" s="33" t="n"/>
      <c r="E572" s="33" t="n"/>
      <c r="F572" s="33" t="n"/>
      <c r="G572" s="33" t="n"/>
    </row>
    <row r="573">
      <c r="A573" s="37" t="n"/>
      <c r="B573" s="31" t="n"/>
      <c r="C573" s="33" t="n"/>
      <c r="D573" s="33" t="n"/>
      <c r="E573" s="33" t="n"/>
      <c r="F573" s="33" t="n"/>
      <c r="G573" s="33" t="n"/>
    </row>
    <row r="574">
      <c r="A574" s="37" t="n"/>
      <c r="B574" s="31" t="n"/>
      <c r="C574" s="33" t="n"/>
      <c r="D574" s="33" t="n"/>
      <c r="E574" s="33" t="n"/>
      <c r="F574" s="33" t="n"/>
      <c r="G574" s="33" t="n"/>
    </row>
    <row r="575">
      <c r="A575" s="37" t="n"/>
      <c r="B575" s="31" t="n"/>
      <c r="C575" s="33" t="n"/>
      <c r="D575" s="33" t="n"/>
      <c r="E575" s="33" t="n"/>
      <c r="F575" s="33" t="n"/>
      <c r="G575" s="33" t="n"/>
    </row>
    <row r="576">
      <c r="A576" s="37" t="n"/>
      <c r="B576" s="31" t="n"/>
      <c r="C576" s="33" t="n"/>
      <c r="D576" s="33" t="n"/>
      <c r="E576" s="33" t="n"/>
      <c r="F576" s="33" t="n"/>
      <c r="G576" s="33" t="n"/>
    </row>
    <row r="577">
      <c r="A577" s="37" t="n"/>
      <c r="B577" s="31" t="n"/>
      <c r="C577" s="33" t="n"/>
      <c r="D577" s="33" t="n"/>
      <c r="E577" s="33" t="n"/>
      <c r="F577" s="33" t="n"/>
      <c r="G577" s="33" t="n"/>
    </row>
    <row r="578">
      <c r="A578" s="37" t="n"/>
      <c r="B578" s="31" t="n"/>
      <c r="C578" s="33" t="n"/>
      <c r="D578" s="33" t="n"/>
      <c r="E578" s="33" t="n"/>
      <c r="F578" s="33" t="n"/>
      <c r="G578" s="33" t="n"/>
    </row>
    <row r="579">
      <c r="A579" s="37" t="n"/>
      <c r="B579" s="31" t="n"/>
      <c r="C579" s="33" t="n"/>
      <c r="D579" s="33" t="n"/>
      <c r="E579" s="33" t="n"/>
      <c r="F579" s="33" t="n"/>
      <c r="G579" s="33" t="n"/>
    </row>
    <row r="580">
      <c r="A580" s="37" t="n"/>
      <c r="B580" s="31" t="n"/>
      <c r="C580" s="33" t="n"/>
      <c r="D580" s="33" t="n"/>
      <c r="E580" s="33" t="n"/>
      <c r="F580" s="33" t="n"/>
      <c r="G580" s="33" t="n"/>
    </row>
    <row r="581">
      <c r="A581" s="37" t="n"/>
      <c r="B581" s="31" t="n"/>
      <c r="C581" s="33" t="n"/>
      <c r="D581" s="33" t="n"/>
      <c r="E581" s="33" t="n"/>
      <c r="F581" s="33" t="n"/>
      <c r="G581" s="33" t="n"/>
    </row>
    <row r="582">
      <c r="A582" s="37" t="n"/>
      <c r="B582" s="31" t="n"/>
      <c r="C582" s="33" t="n"/>
      <c r="D582" s="33" t="n"/>
      <c r="E582" s="33" t="n"/>
      <c r="F582" s="33" t="n"/>
      <c r="G582" s="33" t="n"/>
    </row>
    <row r="583">
      <c r="A583" s="37" t="n"/>
      <c r="B583" s="31" t="n"/>
      <c r="C583" s="33" t="n"/>
      <c r="D583" s="33" t="n"/>
      <c r="E583" s="33" t="n"/>
      <c r="F583" s="33" t="n"/>
      <c r="G583" s="33" t="n"/>
    </row>
    <row r="584">
      <c r="A584" s="37" t="n"/>
      <c r="B584" s="31" t="n"/>
      <c r="C584" s="33" t="n"/>
      <c r="D584" s="33" t="n"/>
      <c r="E584" s="33" t="n"/>
      <c r="F584" s="33" t="n"/>
      <c r="G584" s="33" t="n"/>
    </row>
    <row r="585">
      <c r="A585" s="37" t="n"/>
      <c r="B585" s="31" t="n"/>
      <c r="C585" s="33" t="n"/>
      <c r="D585" s="33" t="n"/>
      <c r="E585" s="33" t="n"/>
      <c r="F585" s="33" t="n"/>
      <c r="G585" s="33" t="n"/>
    </row>
    <row r="586">
      <c r="A586" s="37" t="n"/>
      <c r="B586" s="31" t="n"/>
      <c r="C586" s="33" t="n"/>
      <c r="D586" s="33" t="n"/>
      <c r="E586" s="33" t="n"/>
      <c r="F586" s="33" t="n"/>
      <c r="G586" s="33" t="n"/>
    </row>
    <row r="587">
      <c r="A587" s="37" t="n"/>
      <c r="B587" s="31" t="n"/>
      <c r="C587" s="33" t="n"/>
      <c r="D587" s="33" t="n"/>
      <c r="E587" s="33" t="n"/>
      <c r="F587" s="33" t="n"/>
      <c r="G587" s="33" t="n"/>
    </row>
    <row r="588">
      <c r="A588" s="37" t="n"/>
      <c r="B588" s="31" t="n"/>
      <c r="C588" s="33" t="n"/>
      <c r="D588" s="33" t="n"/>
      <c r="E588" s="33" t="n"/>
      <c r="F588" s="33" t="n"/>
      <c r="G588" s="33" t="n"/>
    </row>
    <row r="589">
      <c r="A589" s="37" t="n"/>
      <c r="B589" s="31" t="n"/>
      <c r="C589" s="33" t="n"/>
      <c r="D589" s="33" t="n"/>
      <c r="E589" s="33" t="n"/>
      <c r="F589" s="33" t="n"/>
      <c r="G589" s="33" t="n"/>
    </row>
    <row r="590">
      <c r="A590" s="37" t="n"/>
      <c r="B590" s="31" t="n"/>
      <c r="C590" s="33" t="n"/>
      <c r="D590" s="33" t="n"/>
      <c r="E590" s="33" t="n"/>
      <c r="F590" s="33" t="n"/>
      <c r="G590" s="33" t="n"/>
    </row>
    <row r="591">
      <c r="A591" s="37" t="n"/>
      <c r="B591" s="31" t="n"/>
      <c r="C591" s="33" t="n"/>
      <c r="D591" s="33" t="n"/>
      <c r="E591" s="33" t="n"/>
      <c r="F591" s="33" t="n"/>
      <c r="G591" s="33" t="n"/>
    </row>
    <row r="592">
      <c r="A592" s="37" t="n"/>
      <c r="B592" s="31" t="n"/>
      <c r="C592" s="33" t="n"/>
      <c r="D592" s="33" t="n"/>
      <c r="E592" s="33" t="n"/>
      <c r="F592" s="33" t="n"/>
      <c r="G592" s="33" t="n"/>
    </row>
    <row r="593">
      <c r="A593" s="37" t="n"/>
      <c r="B593" s="31" t="n"/>
      <c r="C593" s="33" t="n"/>
      <c r="D593" s="33" t="n"/>
      <c r="E593" s="33" t="n"/>
      <c r="F593" s="33" t="n"/>
      <c r="G593" s="33" t="n"/>
    </row>
    <row r="594">
      <c r="A594" s="37" t="n"/>
      <c r="B594" s="31" t="n"/>
      <c r="C594" s="33" t="n"/>
      <c r="D594" s="33" t="n"/>
      <c r="E594" s="33" t="n"/>
      <c r="F594" s="33" t="n"/>
      <c r="G594" s="33" t="n"/>
    </row>
    <row r="595">
      <c r="A595" s="37" t="n"/>
      <c r="B595" s="31" t="n"/>
      <c r="C595" s="33" t="n"/>
      <c r="D595" s="33" t="n"/>
      <c r="E595" s="33" t="n"/>
      <c r="F595" s="33" t="n"/>
      <c r="G595" s="33" t="n"/>
    </row>
    <row r="596">
      <c r="A596" s="37" t="n"/>
      <c r="B596" s="31" t="n"/>
      <c r="C596" s="33" t="n"/>
      <c r="D596" s="33" t="n"/>
      <c r="E596" s="33" t="n"/>
      <c r="F596" s="33" t="n"/>
      <c r="G596" s="33" t="n"/>
    </row>
    <row r="597">
      <c r="A597" s="37" t="n"/>
      <c r="B597" s="31" t="n"/>
      <c r="C597" s="33" t="n"/>
      <c r="D597" s="33" t="n"/>
      <c r="E597" s="33" t="n"/>
      <c r="F597" s="33" t="n"/>
      <c r="G597" s="33" t="n"/>
    </row>
    <row r="598">
      <c r="A598" s="37" t="n"/>
      <c r="B598" s="31" t="n"/>
      <c r="C598" s="33" t="n"/>
      <c r="D598" s="33" t="n"/>
      <c r="E598" s="33" t="n"/>
      <c r="F598" s="33" t="n"/>
      <c r="G598" s="33" t="n"/>
    </row>
    <row r="599">
      <c r="A599" s="37" t="n"/>
      <c r="B599" s="31" t="n"/>
      <c r="C599" s="33" t="n"/>
      <c r="D599" s="33" t="n"/>
      <c r="E599" s="33" t="n"/>
      <c r="F599" s="33" t="n"/>
      <c r="G599" s="33" t="n"/>
    </row>
    <row r="600">
      <c r="A600" s="37" t="n"/>
      <c r="B600" s="31" t="n"/>
      <c r="C600" s="33" t="n"/>
      <c r="D600" s="33" t="n"/>
      <c r="E600" s="33" t="n"/>
      <c r="F600" s="33" t="n"/>
      <c r="G600" s="33" t="n"/>
    </row>
    <row r="601">
      <c r="A601" s="37" t="n"/>
      <c r="B601" s="31" t="n"/>
      <c r="C601" s="33" t="n"/>
      <c r="D601" s="33" t="n"/>
      <c r="E601" s="33" t="n"/>
      <c r="F601" s="33" t="n"/>
      <c r="G601" s="33" t="n"/>
    </row>
    <row r="602">
      <c r="A602" s="37" t="n"/>
      <c r="B602" s="31" t="n"/>
      <c r="C602" s="33" t="n"/>
      <c r="D602" s="33" t="n"/>
      <c r="E602" s="33" t="n"/>
      <c r="F602" s="33" t="n"/>
      <c r="G602" s="33" t="n"/>
    </row>
    <row r="603">
      <c r="A603" s="37" t="n"/>
      <c r="B603" s="31" t="n"/>
      <c r="C603" s="33" t="n"/>
      <c r="D603" s="33" t="n"/>
      <c r="E603" s="33" t="n"/>
      <c r="F603" s="33" t="n"/>
      <c r="G603" s="33" t="n"/>
    </row>
    <row r="604">
      <c r="A604" s="37" t="n"/>
      <c r="B604" s="31" t="n"/>
      <c r="C604" s="33" t="n"/>
      <c r="D604" s="33" t="n"/>
      <c r="E604" s="33" t="n"/>
      <c r="F604" s="33" t="n"/>
      <c r="G604" s="33" t="n"/>
    </row>
    <row r="605">
      <c r="A605" s="37" t="n"/>
      <c r="B605" s="31" t="n"/>
      <c r="C605" s="33" t="n"/>
      <c r="D605" s="33" t="n"/>
      <c r="E605" s="33" t="n"/>
      <c r="F605" s="33" t="n"/>
      <c r="G605" s="33" t="n"/>
    </row>
    <row r="606">
      <c r="A606" s="37" t="n"/>
      <c r="B606" s="31" t="n"/>
      <c r="C606" s="33" t="n"/>
      <c r="D606" s="33" t="n"/>
      <c r="E606" s="33" t="n"/>
      <c r="F606" s="33" t="n"/>
      <c r="G606" s="33" t="n"/>
    </row>
    <row r="607">
      <c r="A607" s="37" t="n"/>
      <c r="B607" s="31" t="n"/>
      <c r="C607" s="33" t="n"/>
      <c r="D607" s="33" t="n"/>
      <c r="E607" s="33" t="n"/>
      <c r="F607" s="33" t="n"/>
      <c r="G607" s="33" t="n"/>
    </row>
    <row r="608">
      <c r="A608" s="37" t="n"/>
      <c r="B608" s="31" t="n"/>
      <c r="C608" s="33" t="n"/>
      <c r="D608" s="33" t="n"/>
      <c r="E608" s="33" t="n"/>
      <c r="F608" s="33" t="n"/>
      <c r="G608" s="33" t="n"/>
    </row>
    <row r="609">
      <c r="A609" s="37" t="n"/>
      <c r="B609" s="31" t="n"/>
      <c r="C609" s="33" t="n"/>
      <c r="D609" s="33" t="n"/>
      <c r="E609" s="33" t="n"/>
      <c r="F609" s="33" t="n"/>
      <c r="G609" s="33" t="n"/>
    </row>
    <row r="610">
      <c r="A610" s="37" t="n"/>
      <c r="B610" s="31" t="n"/>
      <c r="C610" s="33" t="n"/>
      <c r="D610" s="33" t="n"/>
      <c r="E610" s="33" t="n"/>
      <c r="F610" s="33" t="n"/>
      <c r="G610" s="33" t="n"/>
    </row>
    <row r="611">
      <c r="A611" s="37" t="n"/>
      <c r="B611" s="31" t="n"/>
      <c r="C611" s="33" t="n"/>
      <c r="D611" s="33" t="n"/>
      <c r="E611" s="33" t="n"/>
      <c r="F611" s="33" t="n"/>
      <c r="G611" s="33" t="n"/>
    </row>
    <row r="612">
      <c r="A612" s="37" t="n"/>
      <c r="B612" s="31" t="n"/>
      <c r="C612" s="33" t="n"/>
      <c r="D612" s="33" t="n"/>
      <c r="E612" s="33" t="n"/>
      <c r="F612" s="33" t="n"/>
      <c r="G612" s="33" t="n"/>
    </row>
    <row r="613">
      <c r="A613" s="37" t="n"/>
      <c r="B613" s="31" t="n"/>
      <c r="C613" s="33" t="n"/>
      <c r="D613" s="33" t="n"/>
      <c r="E613" s="33" t="n"/>
      <c r="F613" s="33" t="n"/>
      <c r="G613" s="33" t="n"/>
    </row>
    <row r="614">
      <c r="A614" s="37" t="n"/>
      <c r="B614" s="31" t="n"/>
      <c r="C614" s="33" t="n"/>
      <c r="D614" s="33" t="n"/>
      <c r="E614" s="33" t="n"/>
      <c r="F614" s="33" t="n"/>
      <c r="G614" s="33" t="n"/>
    </row>
    <row r="615">
      <c r="A615" s="37" t="n"/>
      <c r="B615" s="31" t="n"/>
      <c r="C615" s="33" t="n"/>
      <c r="D615" s="33" t="n"/>
      <c r="E615" s="33" t="n"/>
      <c r="F615" s="33" t="n"/>
      <c r="G615" s="33" t="n"/>
    </row>
    <row r="616">
      <c r="A616" s="37" t="n"/>
      <c r="B616" s="31" t="n"/>
      <c r="C616" s="33" t="n"/>
      <c r="D616" s="33" t="n"/>
      <c r="E616" s="33" t="n"/>
      <c r="F616" s="33" t="n"/>
      <c r="G616" s="33" t="n"/>
    </row>
    <row r="617">
      <c r="A617" s="37" t="n"/>
      <c r="B617" s="31" t="n"/>
      <c r="C617" s="33" t="n"/>
      <c r="D617" s="33" t="n"/>
      <c r="E617" s="33" t="n"/>
      <c r="F617" s="33" t="n"/>
      <c r="G617" s="33" t="n"/>
    </row>
    <row r="618">
      <c r="A618" s="37" t="n"/>
      <c r="B618" s="31" t="n"/>
      <c r="C618" s="33" t="n"/>
      <c r="D618" s="33" t="n"/>
      <c r="E618" s="33" t="n"/>
      <c r="F618" s="33" t="n"/>
      <c r="G618" s="33" t="n"/>
    </row>
    <row r="619">
      <c r="A619" s="37" t="n"/>
      <c r="B619" s="31" t="n"/>
      <c r="C619" s="33" t="n"/>
      <c r="D619" s="33" t="n"/>
      <c r="E619" s="33" t="n"/>
      <c r="F619" s="33" t="n"/>
      <c r="G619" s="33" t="n"/>
    </row>
    <row r="620">
      <c r="A620" s="37" t="n"/>
      <c r="B620" s="31" t="n"/>
      <c r="C620" s="33" t="n"/>
      <c r="D620" s="33" t="n"/>
      <c r="E620" s="33" t="n"/>
      <c r="F620" s="33" t="n"/>
      <c r="G620" s="33" t="n"/>
    </row>
    <row r="621">
      <c r="A621" s="37" t="n"/>
      <c r="B621" s="31" t="n"/>
      <c r="C621" s="33" t="n"/>
      <c r="D621" s="33" t="n"/>
      <c r="E621" s="33" t="n"/>
      <c r="F621" s="33" t="n"/>
      <c r="G621" s="33" t="n"/>
    </row>
    <row r="622">
      <c r="A622" s="37" t="n"/>
      <c r="B622" s="31" t="n"/>
      <c r="C622" s="33" t="n"/>
      <c r="D622" s="33" t="n"/>
      <c r="E622" s="33" t="n"/>
      <c r="F622" s="33" t="n"/>
      <c r="G622" s="33" t="n"/>
    </row>
    <row r="623">
      <c r="A623" s="37" t="n"/>
      <c r="B623" s="31" t="n"/>
      <c r="C623" s="33" t="n"/>
      <c r="D623" s="33" t="n"/>
      <c r="E623" s="33" t="n"/>
      <c r="F623" s="33" t="n"/>
      <c r="G623" s="33" t="n"/>
    </row>
    <row r="624">
      <c r="A624" s="37" t="n"/>
      <c r="B624" s="31" t="n"/>
      <c r="C624" s="33" t="n"/>
      <c r="D624" s="33" t="n"/>
      <c r="E624" s="33" t="n"/>
      <c r="F624" s="33" t="n"/>
      <c r="G624" s="33" t="n"/>
    </row>
    <row r="625">
      <c r="A625" s="37" t="n"/>
      <c r="B625" s="31" t="n"/>
      <c r="C625" s="33" t="n"/>
      <c r="D625" s="33" t="n"/>
      <c r="E625" s="33" t="n"/>
      <c r="F625" s="33" t="n"/>
      <c r="G625" s="33" t="n"/>
    </row>
    <row r="626">
      <c r="A626" s="37" t="n"/>
      <c r="B626" s="31" t="n"/>
      <c r="C626" s="33" t="n"/>
      <c r="D626" s="33" t="n"/>
      <c r="E626" s="33" t="n"/>
      <c r="F626" s="33" t="n"/>
      <c r="G626" s="33" t="n"/>
    </row>
    <row r="627">
      <c r="A627" s="37" t="n"/>
      <c r="B627" s="31" t="n"/>
      <c r="C627" s="33" t="n"/>
      <c r="D627" s="33" t="n"/>
      <c r="E627" s="33" t="n"/>
      <c r="F627" s="33" t="n"/>
      <c r="G627" s="33" t="n"/>
    </row>
    <row r="628">
      <c r="A628" s="37" t="n"/>
      <c r="B628" s="31" t="n"/>
      <c r="C628" s="33" t="n"/>
      <c r="D628" s="33" t="n"/>
      <c r="E628" s="33" t="n"/>
      <c r="F628" s="33" t="n"/>
      <c r="G628" s="33" t="n"/>
    </row>
    <row r="629">
      <c r="A629" s="37" t="n"/>
      <c r="B629" s="31" t="n"/>
      <c r="C629" s="33" t="n"/>
      <c r="D629" s="33" t="n"/>
      <c r="E629" s="33" t="n"/>
      <c r="F629" s="33" t="n"/>
      <c r="G629" s="33" t="n"/>
    </row>
    <row r="630">
      <c r="A630" s="37" t="n"/>
      <c r="B630" s="31" t="n"/>
      <c r="C630" s="33" t="n"/>
      <c r="D630" s="33" t="n"/>
      <c r="E630" s="33" t="n"/>
      <c r="F630" s="33" t="n"/>
      <c r="G630" s="33" t="n"/>
    </row>
    <row r="631">
      <c r="A631" s="37" t="n"/>
      <c r="B631" s="31" t="n"/>
      <c r="C631" s="33" t="n"/>
      <c r="D631" s="33" t="n"/>
      <c r="E631" s="33" t="n"/>
      <c r="F631" s="33" t="n"/>
      <c r="G631" s="33" t="n"/>
    </row>
    <row r="632">
      <c r="A632" s="37" t="n"/>
      <c r="B632" s="31" t="n"/>
      <c r="C632" s="33" t="n"/>
      <c r="D632" s="33" t="n"/>
      <c r="E632" s="33" t="n"/>
      <c r="F632" s="33" t="n"/>
      <c r="G632" s="33" t="n"/>
    </row>
    <row r="633">
      <c r="A633" s="37" t="n"/>
      <c r="B633" s="31" t="n"/>
      <c r="C633" s="33" t="n"/>
      <c r="D633" s="33" t="n"/>
      <c r="E633" s="33" t="n"/>
      <c r="F633" s="33" t="n"/>
      <c r="G633" s="33" t="n"/>
    </row>
    <row r="634">
      <c r="A634" s="37" t="n"/>
      <c r="B634" s="31" t="n"/>
      <c r="C634" s="33" t="n"/>
      <c r="D634" s="33" t="n"/>
      <c r="E634" s="33" t="n"/>
      <c r="F634" s="33" t="n"/>
      <c r="G634" s="33" t="n"/>
    </row>
    <row r="635">
      <c r="A635" s="37" t="n"/>
      <c r="B635" s="31" t="n"/>
      <c r="C635" s="33" t="n"/>
      <c r="D635" s="33" t="n"/>
      <c r="E635" s="33" t="n"/>
      <c r="F635" s="33" t="n"/>
      <c r="G635" s="33" t="n"/>
    </row>
    <row r="636">
      <c r="A636" s="37" t="n"/>
      <c r="B636" s="31" t="n"/>
      <c r="C636" s="33" t="n"/>
      <c r="D636" s="33" t="n"/>
      <c r="E636" s="33" t="n"/>
      <c r="F636" s="33" t="n"/>
      <c r="G636" s="33" t="n"/>
    </row>
    <row r="637">
      <c r="A637" s="37" t="n"/>
      <c r="B637" s="31" t="n"/>
      <c r="C637" s="33" t="n"/>
      <c r="D637" s="33" t="n"/>
      <c r="E637" s="33" t="n"/>
      <c r="F637" s="33" t="n"/>
      <c r="G637" s="33" t="n"/>
    </row>
    <row r="638">
      <c r="A638" s="37" t="n"/>
      <c r="B638" s="31" t="n"/>
      <c r="C638" s="33" t="n"/>
      <c r="D638" s="33" t="n"/>
      <c r="E638" s="33" t="n"/>
      <c r="F638" s="33" t="n"/>
      <c r="G638" s="33" t="n"/>
    </row>
    <row r="639">
      <c r="A639" s="37" t="n"/>
      <c r="B639" s="31" t="n"/>
      <c r="C639" s="33" t="n"/>
      <c r="D639" s="33" t="n"/>
      <c r="E639" s="33" t="n"/>
      <c r="F639" s="33" t="n"/>
      <c r="G639" s="33" t="n"/>
    </row>
    <row r="640">
      <c r="A640" s="37" t="n"/>
      <c r="B640" s="31" t="n"/>
      <c r="C640" s="33" t="n"/>
      <c r="D640" s="33" t="n"/>
      <c r="E640" s="33" t="n"/>
      <c r="F640" s="33" t="n"/>
      <c r="G640" s="33" t="n"/>
    </row>
    <row r="641">
      <c r="A641" s="37" t="n"/>
      <c r="B641" s="31" t="n"/>
      <c r="C641" s="33" t="n"/>
      <c r="D641" s="33" t="n"/>
      <c r="E641" s="33" t="n"/>
      <c r="F641" s="33" t="n"/>
      <c r="G641" s="33" t="n"/>
    </row>
    <row r="642">
      <c r="A642" s="37" t="n"/>
      <c r="B642" s="31" t="n"/>
      <c r="C642" s="33" t="n"/>
      <c r="D642" s="33" t="n"/>
      <c r="E642" s="33" t="n"/>
      <c r="F642" s="33" t="n"/>
      <c r="G642" s="33" t="n"/>
    </row>
    <row r="643">
      <c r="A643" s="37" t="n"/>
      <c r="B643" s="31" t="n"/>
      <c r="C643" s="33" t="n"/>
      <c r="D643" s="33" t="n"/>
      <c r="E643" s="33" t="n"/>
      <c r="F643" s="33" t="n"/>
      <c r="G643" s="33" t="n"/>
    </row>
    <row r="644">
      <c r="A644" s="37" t="n"/>
      <c r="B644" s="31" t="n"/>
      <c r="C644" s="33" t="n"/>
      <c r="D644" s="33" t="n"/>
      <c r="E644" s="33" t="n"/>
      <c r="F644" s="33" t="n"/>
      <c r="G644" s="33" t="n"/>
    </row>
    <row r="645">
      <c r="A645" s="37" t="n"/>
      <c r="B645" s="31" t="n"/>
      <c r="C645" s="33" t="n"/>
      <c r="D645" s="33" t="n"/>
      <c r="E645" s="33" t="n"/>
      <c r="F645" s="33" t="n"/>
      <c r="G645" s="33" t="n"/>
    </row>
    <row r="646">
      <c r="A646" s="37" t="n"/>
      <c r="B646" s="31" t="n"/>
      <c r="C646" s="33" t="n"/>
      <c r="D646" s="33" t="n"/>
      <c r="E646" s="33" t="n"/>
      <c r="F646" s="33" t="n"/>
      <c r="G646" s="33" t="n"/>
    </row>
    <row r="647">
      <c r="A647" s="37" t="n"/>
      <c r="B647" s="31" t="n"/>
      <c r="C647" s="33" t="n"/>
      <c r="D647" s="33" t="n"/>
      <c r="E647" s="33" t="n"/>
      <c r="F647" s="33" t="n"/>
      <c r="G647" s="33" t="n"/>
    </row>
    <row r="648">
      <c r="A648" s="37" t="n"/>
      <c r="B648" s="31" t="n"/>
      <c r="C648" s="33" t="n"/>
      <c r="D648" s="33" t="n"/>
      <c r="E648" s="33" t="n"/>
      <c r="F648" s="33" t="n"/>
      <c r="G648" s="33" t="n"/>
    </row>
    <row r="649">
      <c r="A649" s="37" t="n"/>
      <c r="B649" s="31" t="n"/>
      <c r="C649" s="33" t="n"/>
      <c r="D649" s="33" t="n"/>
      <c r="E649" s="33" t="n"/>
      <c r="F649" s="33" t="n"/>
      <c r="G649" s="33" t="n"/>
    </row>
    <row r="650">
      <c r="A650" s="37" t="n"/>
      <c r="B650" s="31" t="n"/>
      <c r="C650" s="33" t="n"/>
      <c r="D650" s="33" t="n"/>
      <c r="E650" s="33" t="n"/>
      <c r="F650" s="33" t="n"/>
      <c r="G650" s="33" t="n"/>
    </row>
    <row r="651">
      <c r="A651" s="37" t="n"/>
      <c r="B651" s="31" t="n"/>
      <c r="C651" s="33" t="n"/>
      <c r="D651" s="33" t="n"/>
      <c r="E651" s="33" t="n"/>
      <c r="F651" s="33" t="n"/>
      <c r="G651" s="33" t="n"/>
    </row>
    <row r="652">
      <c r="A652" s="37" t="n"/>
      <c r="B652" s="31" t="n"/>
      <c r="C652" s="33" t="n"/>
      <c r="D652" s="33" t="n"/>
      <c r="E652" s="33" t="n"/>
      <c r="F652" s="33" t="n"/>
      <c r="G652" s="33" t="n"/>
    </row>
    <row r="653">
      <c r="A653" s="37" t="n"/>
      <c r="B653" s="31" t="n"/>
      <c r="C653" s="33" t="n"/>
      <c r="D653" s="33" t="n"/>
      <c r="E653" s="33" t="n"/>
      <c r="F653" s="33" t="n"/>
      <c r="G653" s="33" t="n"/>
    </row>
    <row r="654">
      <c r="A654" s="37" t="n"/>
      <c r="B654" s="31" t="n"/>
      <c r="C654" s="33" t="n"/>
      <c r="D654" s="33" t="n"/>
      <c r="E654" s="33" t="n"/>
      <c r="F654" s="33" t="n"/>
      <c r="G654" s="33" t="n"/>
    </row>
    <row r="655">
      <c r="A655" s="37" t="n"/>
      <c r="B655" s="31" t="n"/>
      <c r="C655" s="33" t="n"/>
      <c r="D655" s="33" t="n"/>
      <c r="E655" s="33" t="n"/>
      <c r="F655" s="33" t="n"/>
      <c r="G655" s="33" t="n"/>
    </row>
    <row r="656">
      <c r="A656" s="37" t="n"/>
      <c r="B656" s="31" t="n"/>
      <c r="C656" s="33" t="n"/>
      <c r="D656" s="33" t="n"/>
      <c r="E656" s="33" t="n"/>
      <c r="F656" s="33" t="n"/>
      <c r="G656" s="33" t="n"/>
    </row>
    <row r="657">
      <c r="A657" s="37" t="n"/>
      <c r="B657" s="31" t="n"/>
      <c r="C657" s="33" t="n"/>
      <c r="D657" s="33" t="n"/>
      <c r="E657" s="33" t="n"/>
      <c r="F657" s="33" t="n"/>
      <c r="G657" s="33" t="n"/>
    </row>
    <row r="658">
      <c r="A658" s="37" t="n"/>
      <c r="B658" s="31" t="n"/>
      <c r="C658" s="33" t="n"/>
      <c r="D658" s="33" t="n"/>
      <c r="E658" s="33" t="n"/>
      <c r="F658" s="33" t="n"/>
      <c r="G658" s="33" t="n"/>
    </row>
    <row r="659">
      <c r="A659" s="37" t="n"/>
      <c r="B659" s="31" t="n"/>
      <c r="C659" s="33" t="n"/>
      <c r="D659" s="33" t="n"/>
      <c r="E659" s="33" t="n"/>
      <c r="F659" s="33" t="n"/>
      <c r="G659" s="33" t="n"/>
    </row>
    <row r="660">
      <c r="A660" s="37" t="n"/>
      <c r="B660" s="31" t="n"/>
      <c r="C660" s="33" t="n"/>
      <c r="D660" s="33" t="n"/>
      <c r="E660" s="33" t="n"/>
      <c r="F660" s="33" t="n"/>
      <c r="G660" s="33" t="n"/>
    </row>
    <row r="661">
      <c r="A661" s="37" t="n"/>
      <c r="B661" s="31" t="n"/>
      <c r="C661" s="33" t="n"/>
      <c r="D661" s="33" t="n"/>
      <c r="E661" s="33" t="n"/>
      <c r="F661" s="33" t="n"/>
      <c r="G661" s="33" t="n"/>
    </row>
    <row r="662">
      <c r="A662" s="37" t="n"/>
      <c r="B662" s="31" t="n"/>
      <c r="C662" s="33" t="n"/>
      <c r="D662" s="33" t="n"/>
      <c r="E662" s="33" t="n"/>
      <c r="F662" s="33" t="n"/>
      <c r="G662" s="33" t="n"/>
    </row>
    <row r="663">
      <c r="A663" s="37" t="n"/>
      <c r="B663" s="31" t="n"/>
      <c r="C663" s="33" t="n"/>
      <c r="D663" s="33" t="n"/>
      <c r="E663" s="33" t="n"/>
      <c r="F663" s="33" t="n"/>
      <c r="G663" s="33" t="n"/>
    </row>
    <row r="664">
      <c r="A664" s="37" t="n"/>
      <c r="B664" s="31" t="n"/>
      <c r="C664" s="33" t="n"/>
      <c r="D664" s="33" t="n"/>
      <c r="E664" s="33" t="n"/>
      <c r="F664" s="33" t="n"/>
      <c r="G664" s="33" t="n"/>
    </row>
    <row r="665">
      <c r="A665" s="37" t="n"/>
      <c r="B665" s="31" t="n"/>
      <c r="C665" s="33" t="n"/>
      <c r="D665" s="33" t="n"/>
      <c r="E665" s="33" t="n"/>
      <c r="F665" s="33" t="n"/>
      <c r="G665" s="33" t="n"/>
    </row>
    <row r="666">
      <c r="A666" s="37" t="n"/>
      <c r="B666" s="31" t="n"/>
      <c r="C666" s="33" t="n"/>
      <c r="D666" s="33" t="n"/>
      <c r="E666" s="33" t="n"/>
      <c r="F666" s="33" t="n"/>
      <c r="G666" s="33" t="n"/>
    </row>
    <row r="667">
      <c r="A667" s="37" t="n"/>
      <c r="B667" s="31" t="n"/>
      <c r="C667" s="33" t="n"/>
      <c r="D667" s="33" t="n"/>
      <c r="E667" s="33" t="n"/>
      <c r="F667" s="33" t="n"/>
      <c r="G667" s="33" t="n"/>
    </row>
    <row r="668">
      <c r="A668" s="37" t="n"/>
      <c r="B668" s="31" t="n"/>
      <c r="C668" s="33" t="n"/>
      <c r="D668" s="33" t="n"/>
      <c r="E668" s="33" t="n"/>
      <c r="F668" s="33" t="n"/>
      <c r="G668" s="33" t="n"/>
    </row>
    <row r="669">
      <c r="A669" s="37" t="n"/>
      <c r="B669" s="31" t="n"/>
      <c r="C669" s="33" t="n"/>
      <c r="D669" s="33" t="n"/>
      <c r="E669" s="33" t="n"/>
      <c r="F669" s="33" t="n"/>
      <c r="G669" s="33" t="n"/>
    </row>
    <row r="670">
      <c r="A670" s="37" t="n"/>
      <c r="B670" s="31" t="n"/>
      <c r="C670" s="33" t="n"/>
      <c r="D670" s="33" t="n"/>
      <c r="E670" s="33" t="n"/>
      <c r="F670" s="33" t="n"/>
      <c r="G670" s="33" t="n"/>
    </row>
    <row r="671">
      <c r="A671" s="37" t="n"/>
      <c r="B671" s="31" t="n"/>
      <c r="C671" s="33" t="n"/>
      <c r="D671" s="33" t="n"/>
      <c r="E671" s="33" t="n"/>
      <c r="F671" s="33" t="n"/>
      <c r="G671" s="33" t="n"/>
    </row>
    <row r="672">
      <c r="A672" s="37" t="n"/>
      <c r="B672" s="31" t="n"/>
      <c r="C672" s="33" t="n"/>
      <c r="D672" s="33" t="n"/>
      <c r="E672" s="33" t="n"/>
      <c r="F672" s="33" t="n"/>
      <c r="G672" s="33" t="n"/>
    </row>
    <row r="673">
      <c r="A673" s="37" t="n"/>
      <c r="B673" s="31" t="n"/>
      <c r="C673" s="33" t="n"/>
      <c r="D673" s="33" t="n"/>
      <c r="E673" s="33" t="n"/>
      <c r="F673" s="33" t="n"/>
      <c r="G673" s="33" t="n"/>
    </row>
    <row r="674">
      <c r="A674" s="37" t="n"/>
      <c r="B674" s="31" t="n"/>
      <c r="C674" s="33" t="n"/>
      <c r="D674" s="33" t="n"/>
      <c r="E674" s="33" t="n"/>
      <c r="F674" s="33" t="n"/>
      <c r="G674" s="33" t="n"/>
    </row>
    <row r="675">
      <c r="A675" s="37" t="n"/>
      <c r="B675" s="31" t="n"/>
      <c r="C675" s="33" t="n"/>
      <c r="D675" s="33" t="n"/>
      <c r="E675" s="33" t="n"/>
      <c r="F675" s="33" t="n"/>
      <c r="G675" s="33" t="n"/>
    </row>
    <row r="676">
      <c r="A676" s="37" t="n"/>
      <c r="B676" s="31" t="n"/>
      <c r="C676" s="33" t="n"/>
      <c r="D676" s="33" t="n"/>
      <c r="E676" s="33" t="n"/>
      <c r="F676" s="33" t="n"/>
      <c r="G676" s="33" t="n"/>
    </row>
    <row r="677">
      <c r="A677" s="37" t="n"/>
      <c r="B677" s="31" t="n"/>
      <c r="C677" s="33" t="n"/>
      <c r="D677" s="33" t="n"/>
      <c r="E677" s="33" t="n"/>
      <c r="F677" s="33" t="n"/>
      <c r="G677" s="33" t="n"/>
    </row>
    <row r="678">
      <c r="A678" s="37" t="n"/>
      <c r="B678" s="31" t="n"/>
      <c r="C678" s="33" t="n"/>
      <c r="D678" s="33" t="n"/>
      <c r="E678" s="33" t="n"/>
      <c r="F678" s="33" t="n"/>
      <c r="G678" s="33" t="n"/>
    </row>
    <row r="679">
      <c r="A679" s="37" t="n"/>
      <c r="B679" s="31" t="n"/>
      <c r="C679" s="33" t="n"/>
      <c r="D679" s="33" t="n"/>
      <c r="E679" s="33" t="n"/>
      <c r="F679" s="33" t="n"/>
      <c r="G679" s="33" t="n"/>
    </row>
    <row r="680">
      <c r="A680" s="37" t="n"/>
      <c r="B680" s="31" t="n"/>
      <c r="C680" s="33" t="n"/>
      <c r="D680" s="33" t="n"/>
      <c r="E680" s="33" t="n"/>
      <c r="F680" s="33" t="n"/>
      <c r="G680" s="33" t="n"/>
    </row>
    <row r="681">
      <c r="A681" s="37" t="n"/>
      <c r="B681" s="31" t="n"/>
      <c r="C681" s="33" t="n"/>
      <c r="D681" s="33" t="n"/>
      <c r="E681" s="33" t="n"/>
      <c r="F681" s="33" t="n"/>
      <c r="G681" s="33" t="n"/>
    </row>
    <row r="682">
      <c r="A682" s="37" t="n"/>
      <c r="B682" s="31" t="n"/>
      <c r="C682" s="33" t="n"/>
      <c r="D682" s="33" t="n"/>
      <c r="E682" s="33" t="n"/>
      <c r="F682" s="33" t="n"/>
      <c r="G682" s="33" t="n"/>
    </row>
    <row r="683">
      <c r="A683" s="37" t="n"/>
      <c r="B683" s="31" t="n"/>
      <c r="C683" s="33" t="n"/>
      <c r="D683" s="33" t="n"/>
      <c r="E683" s="33" t="n"/>
      <c r="F683" s="33" t="n"/>
      <c r="G683" s="33" t="n"/>
    </row>
    <row r="684">
      <c r="A684" s="37" t="n"/>
      <c r="B684" s="31" t="n"/>
      <c r="C684" s="33" t="n"/>
      <c r="D684" s="33" t="n"/>
      <c r="E684" s="33" t="n"/>
      <c r="F684" s="33" t="n"/>
      <c r="G684" s="33" t="n"/>
    </row>
    <row r="685">
      <c r="A685" s="37" t="n"/>
      <c r="B685" s="31" t="n"/>
      <c r="C685" s="33" t="n"/>
      <c r="D685" s="33" t="n"/>
      <c r="E685" s="33" t="n"/>
      <c r="F685" s="33" t="n"/>
      <c r="G685" s="33" t="n"/>
    </row>
    <row r="686">
      <c r="A686" s="37" t="n"/>
      <c r="B686" s="31" t="n"/>
      <c r="C686" s="33" t="n"/>
      <c r="D686" s="33" t="n"/>
      <c r="E686" s="33" t="n"/>
      <c r="F686" s="33" t="n"/>
      <c r="G686" s="33" t="n"/>
    </row>
    <row r="687">
      <c r="A687" s="37" t="n"/>
      <c r="B687" s="31" t="n"/>
      <c r="C687" s="33" t="n"/>
      <c r="D687" s="33" t="n"/>
      <c r="E687" s="33" t="n"/>
      <c r="F687" s="33" t="n"/>
      <c r="G687" s="33" t="n"/>
    </row>
    <row r="688">
      <c r="A688" s="37" t="n"/>
      <c r="B688" s="31" t="n"/>
      <c r="C688" s="33" t="n"/>
      <c r="D688" s="33" t="n"/>
      <c r="E688" s="33" t="n"/>
      <c r="F688" s="33" t="n"/>
      <c r="G688" s="33" t="n"/>
    </row>
    <row r="689">
      <c r="A689" s="37" t="n"/>
      <c r="B689" s="31" t="n"/>
      <c r="C689" s="33" t="n"/>
      <c r="D689" s="33" t="n"/>
      <c r="E689" s="33" t="n"/>
      <c r="F689" s="33" t="n"/>
      <c r="G689" s="33" t="n"/>
    </row>
    <row r="690">
      <c r="A690" s="37" t="n"/>
      <c r="B690" s="31" t="n"/>
      <c r="C690" s="33" t="n"/>
      <c r="D690" s="33" t="n"/>
      <c r="E690" s="33" t="n"/>
      <c r="F690" s="33" t="n"/>
      <c r="G690" s="33" t="n"/>
    </row>
    <row r="691">
      <c r="A691" s="37" t="n"/>
      <c r="B691" s="31" t="n"/>
      <c r="C691" s="33" t="n"/>
      <c r="D691" s="33" t="n"/>
      <c r="E691" s="33" t="n"/>
      <c r="F691" s="33" t="n"/>
      <c r="G691" s="33" t="n"/>
    </row>
    <row r="692">
      <c r="A692" s="37" t="n"/>
      <c r="B692" s="31" t="n"/>
      <c r="C692" s="33" t="n"/>
      <c r="D692" s="33" t="n"/>
      <c r="E692" s="33" t="n"/>
      <c r="F692" s="33" t="n"/>
      <c r="G692" s="33" t="n"/>
    </row>
    <row r="693">
      <c r="A693" s="37" t="n"/>
      <c r="B693" s="31" t="n"/>
      <c r="C693" s="33" t="n"/>
      <c r="D693" s="33" t="n"/>
      <c r="E693" s="33" t="n"/>
      <c r="F693" s="33" t="n"/>
      <c r="G693" s="33" t="n"/>
    </row>
    <row r="694">
      <c r="A694" s="37" t="n"/>
      <c r="B694" s="31" t="n"/>
      <c r="C694" s="33" t="n"/>
      <c r="D694" s="33" t="n"/>
      <c r="E694" s="33" t="n"/>
      <c r="F694" s="33" t="n"/>
      <c r="G694" s="33" t="n"/>
    </row>
    <row r="695">
      <c r="A695" s="37" t="n"/>
      <c r="B695" s="31" t="n"/>
      <c r="C695" s="33" t="n"/>
      <c r="D695" s="33" t="n"/>
      <c r="E695" s="33" t="n"/>
      <c r="F695" s="33" t="n"/>
      <c r="G695" s="33" t="n"/>
    </row>
    <row r="696">
      <c r="A696" s="37" t="n"/>
      <c r="B696" s="31" t="n"/>
      <c r="C696" s="33" t="n"/>
      <c r="D696" s="33" t="n"/>
      <c r="E696" s="33" t="n"/>
      <c r="F696" s="33" t="n"/>
      <c r="G696" s="33" t="n"/>
    </row>
    <row r="697">
      <c r="A697" s="37" t="n"/>
      <c r="B697" s="31" t="n"/>
      <c r="C697" s="33" t="n"/>
      <c r="D697" s="33" t="n"/>
      <c r="E697" s="33" t="n"/>
      <c r="F697" s="33" t="n"/>
      <c r="G697" s="33" t="n"/>
    </row>
    <row r="698">
      <c r="A698" s="37" t="n"/>
      <c r="B698" s="31" t="n"/>
      <c r="C698" s="33" t="n"/>
      <c r="D698" s="33" t="n"/>
      <c r="E698" s="33" t="n"/>
      <c r="F698" s="33" t="n"/>
      <c r="G698" s="33" t="n"/>
    </row>
    <row r="699">
      <c r="A699" s="37" t="n"/>
      <c r="B699" s="31" t="n"/>
      <c r="C699" s="33" t="n"/>
      <c r="D699" s="33" t="n"/>
      <c r="E699" s="33" t="n"/>
      <c r="F699" s="33" t="n"/>
      <c r="G699" s="33" t="n"/>
    </row>
    <row r="700">
      <c r="A700" s="37" t="n"/>
      <c r="B700" s="31" t="n"/>
      <c r="C700" s="33" t="n"/>
      <c r="D700" s="33" t="n"/>
      <c r="E700" s="33" t="n"/>
      <c r="F700" s="33" t="n"/>
      <c r="G700" s="33" t="n"/>
    </row>
    <row r="701">
      <c r="A701" s="37" t="n"/>
      <c r="B701" s="31" t="n"/>
      <c r="C701" s="33" t="n"/>
      <c r="D701" s="33" t="n"/>
      <c r="E701" s="33" t="n"/>
      <c r="F701" s="33" t="n"/>
      <c r="G701" s="33" t="n"/>
    </row>
    <row r="702">
      <c r="A702" s="37" t="n"/>
      <c r="B702" s="31" t="n"/>
      <c r="C702" s="33" t="n"/>
      <c r="D702" s="33" t="n"/>
      <c r="E702" s="33" t="n"/>
      <c r="F702" s="33" t="n"/>
      <c r="G702" s="33" t="n"/>
    </row>
    <row r="703">
      <c r="A703" s="37" t="n"/>
      <c r="B703" s="31" t="n"/>
      <c r="C703" s="33" t="n"/>
      <c r="D703" s="33" t="n"/>
      <c r="E703" s="33" t="n"/>
      <c r="F703" s="33" t="n"/>
      <c r="G703" s="33" t="n"/>
    </row>
    <row r="704">
      <c r="A704" s="37" t="n"/>
      <c r="B704" s="31" t="n"/>
      <c r="C704" s="33" t="n"/>
      <c r="D704" s="33" t="n"/>
      <c r="E704" s="33" t="n"/>
      <c r="F704" s="33" t="n"/>
      <c r="G704" s="33" t="n"/>
    </row>
    <row r="705">
      <c r="A705" s="37" t="n"/>
      <c r="B705" s="31" t="n"/>
      <c r="C705" s="33" t="n"/>
      <c r="D705" s="33" t="n"/>
      <c r="E705" s="33" t="n"/>
      <c r="F705" s="33" t="n"/>
      <c r="G705" s="33" t="n"/>
    </row>
    <row r="706">
      <c r="A706" s="37" t="n"/>
      <c r="B706" s="31" t="n"/>
      <c r="C706" s="33" t="n"/>
      <c r="D706" s="33" t="n"/>
      <c r="E706" s="33" t="n"/>
      <c r="F706" s="33" t="n"/>
      <c r="G706" s="33" t="n"/>
    </row>
    <row r="707">
      <c r="A707" s="37" t="n"/>
      <c r="B707" s="31" t="n"/>
      <c r="C707" s="33" t="n"/>
      <c r="D707" s="33" t="n"/>
      <c r="E707" s="33" t="n"/>
      <c r="F707" s="33" t="n"/>
      <c r="G707" s="33" t="n"/>
    </row>
    <row r="708">
      <c r="A708" s="37" t="n"/>
      <c r="B708" s="31" t="n"/>
      <c r="C708" s="33" t="n"/>
      <c r="D708" s="33" t="n"/>
      <c r="E708" s="33" t="n"/>
      <c r="F708" s="33" t="n"/>
      <c r="G708" s="33" t="n"/>
    </row>
    <row r="709">
      <c r="A709" s="37" t="n"/>
      <c r="B709" s="31" t="n"/>
      <c r="C709" s="33" t="n"/>
      <c r="D709" s="33" t="n"/>
      <c r="E709" s="33" t="n"/>
      <c r="F709" s="33" t="n"/>
      <c r="G709" s="33" t="n"/>
    </row>
    <row r="710">
      <c r="A710" s="37" t="n"/>
      <c r="B710" s="31" t="n"/>
      <c r="C710" s="33" t="n"/>
      <c r="D710" s="33" t="n"/>
      <c r="E710" s="33" t="n"/>
      <c r="F710" s="33" t="n"/>
      <c r="G710" s="33" t="n"/>
    </row>
    <row r="711">
      <c r="A711" s="37" t="n"/>
      <c r="B711" s="31" t="n"/>
      <c r="C711" s="33" t="n"/>
      <c r="D711" s="33" t="n"/>
      <c r="E711" s="33" t="n"/>
      <c r="F711" s="33" t="n"/>
      <c r="G711" s="33" t="n"/>
    </row>
    <row r="712">
      <c r="A712" s="37" t="n"/>
      <c r="B712" s="31" t="n"/>
      <c r="C712" s="33" t="n"/>
      <c r="D712" s="33" t="n"/>
      <c r="E712" s="33" t="n"/>
      <c r="F712" s="33" t="n"/>
      <c r="G712" s="33" t="n"/>
    </row>
    <row r="713">
      <c r="A713" s="37" t="n"/>
      <c r="B713" s="31" t="n"/>
      <c r="C713" s="33" t="n"/>
      <c r="D713" s="33" t="n"/>
      <c r="E713" s="33" t="n"/>
      <c r="F713" s="33" t="n"/>
      <c r="G713" s="33" t="n"/>
    </row>
    <row r="714">
      <c r="A714" s="37" t="n"/>
      <c r="B714" s="31" t="n"/>
      <c r="C714" s="33" t="n"/>
      <c r="D714" s="33" t="n"/>
      <c r="E714" s="33" t="n"/>
      <c r="F714" s="33" t="n"/>
      <c r="G714" s="33" t="n"/>
    </row>
    <row r="715">
      <c r="A715" s="37" t="n"/>
      <c r="B715" s="31" t="n"/>
      <c r="C715" s="33" t="n"/>
      <c r="D715" s="33" t="n"/>
      <c r="E715" s="33" t="n"/>
      <c r="F715" s="33" t="n"/>
      <c r="G715" s="33" t="n"/>
    </row>
    <row r="716">
      <c r="A716" s="37" t="n"/>
      <c r="B716" s="31" t="n"/>
      <c r="C716" s="33" t="n"/>
      <c r="D716" s="33" t="n"/>
      <c r="E716" s="33" t="n"/>
      <c r="F716" s="33" t="n"/>
      <c r="G716" s="33" t="n"/>
    </row>
    <row r="717">
      <c r="A717" s="37" t="n"/>
      <c r="B717" s="31" t="n"/>
      <c r="C717" s="33" t="n"/>
      <c r="D717" s="33" t="n"/>
      <c r="E717" s="33" t="n"/>
      <c r="F717" s="33" t="n"/>
      <c r="G717" s="33" t="n"/>
    </row>
    <row r="718">
      <c r="A718" s="37" t="n"/>
      <c r="B718" s="31" t="n"/>
      <c r="C718" s="33" t="n"/>
      <c r="D718" s="33" t="n"/>
      <c r="E718" s="33" t="n"/>
      <c r="F718" s="33" t="n"/>
      <c r="G718" s="33" t="n"/>
    </row>
    <row r="719">
      <c r="A719" s="37" t="n"/>
      <c r="B719" s="31" t="n"/>
      <c r="C719" s="33" t="n"/>
      <c r="D719" s="33" t="n"/>
      <c r="E719" s="33" t="n"/>
      <c r="F719" s="33" t="n"/>
      <c r="G719" s="33" t="n"/>
    </row>
    <row r="720">
      <c r="A720" s="37" t="n"/>
      <c r="B720" s="31" t="n"/>
      <c r="C720" s="33" t="n"/>
      <c r="D720" s="33" t="n"/>
      <c r="E720" s="33" t="n"/>
      <c r="F720" s="33" t="n"/>
      <c r="G720" s="33" t="n"/>
    </row>
    <row r="721">
      <c r="A721" s="37" t="n"/>
      <c r="B721" s="31" t="n"/>
      <c r="C721" s="33" t="n"/>
      <c r="D721" s="33" t="n"/>
      <c r="E721" s="33" t="n"/>
      <c r="F721" s="33" t="n"/>
      <c r="G721" s="33" t="n"/>
    </row>
    <row r="722">
      <c r="A722" s="37" t="n"/>
      <c r="B722" s="31" t="n"/>
      <c r="C722" s="33" t="n"/>
      <c r="D722" s="33" t="n"/>
      <c r="E722" s="33" t="n"/>
      <c r="F722" s="33" t="n"/>
      <c r="G722" s="33" t="n"/>
    </row>
    <row r="723">
      <c r="A723" s="37" t="n"/>
      <c r="B723" s="31" t="n"/>
      <c r="C723" s="33" t="n"/>
      <c r="D723" s="33" t="n"/>
      <c r="E723" s="33" t="n"/>
      <c r="F723" s="33" t="n"/>
      <c r="G723" s="33" t="n"/>
    </row>
    <row r="724">
      <c r="A724" s="37" t="n"/>
      <c r="B724" s="31" t="n"/>
      <c r="C724" s="33" t="n"/>
      <c r="D724" s="33" t="n"/>
      <c r="E724" s="33" t="n"/>
      <c r="F724" s="33" t="n"/>
      <c r="G724" s="33" t="n"/>
    </row>
    <row r="725">
      <c r="A725" s="37" t="n"/>
      <c r="B725" s="31" t="n"/>
      <c r="C725" s="33" t="n"/>
      <c r="D725" s="33" t="n"/>
      <c r="E725" s="33" t="n"/>
      <c r="F725" s="33" t="n"/>
      <c r="G725" s="33" t="n"/>
    </row>
    <row r="726">
      <c r="A726" s="37" t="n"/>
      <c r="B726" s="31" t="n"/>
      <c r="C726" s="33" t="n"/>
      <c r="D726" s="33" t="n"/>
      <c r="E726" s="33" t="n"/>
      <c r="F726" s="33" t="n"/>
      <c r="G726" s="33" t="n"/>
    </row>
    <row r="727">
      <c r="A727" s="37" t="n"/>
      <c r="B727" s="31" t="n"/>
      <c r="C727" s="33" t="n"/>
      <c r="D727" s="33" t="n"/>
      <c r="E727" s="33" t="n"/>
      <c r="F727" s="33" t="n"/>
      <c r="G727" s="33" t="n"/>
    </row>
    <row r="728">
      <c r="A728" s="37" t="n"/>
      <c r="B728" s="31" t="n"/>
      <c r="C728" s="33" t="n"/>
      <c r="D728" s="33" t="n"/>
      <c r="E728" s="33" t="n"/>
      <c r="F728" s="33" t="n"/>
      <c r="G728" s="33" t="n"/>
    </row>
    <row r="729">
      <c r="A729" s="37" t="n"/>
      <c r="B729" s="31" t="n"/>
      <c r="C729" s="33" t="n"/>
      <c r="D729" s="33" t="n"/>
      <c r="E729" s="33" t="n"/>
      <c r="F729" s="33" t="n"/>
      <c r="G729" s="33" t="n"/>
    </row>
    <row r="730">
      <c r="A730" s="37" t="n"/>
      <c r="B730" s="31" t="n"/>
      <c r="C730" s="33" t="n"/>
      <c r="D730" s="33" t="n"/>
      <c r="E730" s="33" t="n"/>
      <c r="F730" s="33" t="n"/>
      <c r="G730" s="33" t="n"/>
    </row>
    <row r="731">
      <c r="A731" s="37" t="n"/>
      <c r="B731" s="31" t="n"/>
      <c r="C731" s="33" t="n"/>
      <c r="D731" s="33" t="n"/>
      <c r="E731" s="33" t="n"/>
      <c r="F731" s="33" t="n"/>
      <c r="G731" s="33" t="n"/>
    </row>
    <row r="732">
      <c r="A732" s="37" t="n"/>
      <c r="B732" s="31" t="n"/>
      <c r="C732" s="33" t="n"/>
      <c r="D732" s="33" t="n"/>
      <c r="E732" s="33" t="n"/>
      <c r="F732" s="33" t="n"/>
      <c r="G732" s="33" t="n"/>
    </row>
    <row r="733">
      <c r="A733" s="37" t="n"/>
      <c r="B733" s="31" t="n"/>
      <c r="C733" s="33" t="n"/>
      <c r="D733" s="33" t="n"/>
      <c r="E733" s="33" t="n"/>
      <c r="F733" s="33" t="n"/>
      <c r="G733" s="33" t="n"/>
    </row>
    <row r="734">
      <c r="A734" s="37" t="n"/>
      <c r="B734" s="31" t="n"/>
      <c r="C734" s="33" t="n"/>
      <c r="D734" s="33" t="n"/>
      <c r="E734" s="33" t="n"/>
      <c r="F734" s="33" t="n"/>
      <c r="G734" s="33" t="n"/>
    </row>
    <row r="735">
      <c r="A735" s="37" t="n"/>
      <c r="B735" s="31" t="n"/>
      <c r="C735" s="33" t="n"/>
      <c r="D735" s="33" t="n"/>
      <c r="E735" s="33" t="n"/>
      <c r="F735" s="33" t="n"/>
      <c r="G735" s="33" t="n"/>
    </row>
    <row r="736">
      <c r="A736" s="37" t="n"/>
      <c r="B736" s="31" t="n"/>
      <c r="C736" s="33" t="n"/>
      <c r="D736" s="33" t="n"/>
      <c r="E736" s="33" t="n"/>
      <c r="F736" s="33" t="n"/>
      <c r="G736" s="33" t="n"/>
    </row>
    <row r="737">
      <c r="A737" s="37" t="n"/>
      <c r="B737" s="31" t="n"/>
      <c r="C737" s="33" t="n"/>
      <c r="D737" s="33" t="n"/>
      <c r="E737" s="33" t="n"/>
      <c r="F737" s="33" t="n"/>
      <c r="G737" s="33" t="n"/>
    </row>
    <row r="738">
      <c r="A738" s="37" t="n"/>
      <c r="B738" s="31" t="n"/>
      <c r="C738" s="33" t="n"/>
      <c r="D738" s="33" t="n"/>
      <c r="E738" s="33" t="n"/>
      <c r="F738" s="33" t="n"/>
      <c r="G738" s="33" t="n"/>
    </row>
    <row r="739">
      <c r="A739" s="37" t="n"/>
      <c r="B739" s="31" t="n"/>
      <c r="C739" s="33" t="n"/>
      <c r="D739" s="33" t="n"/>
      <c r="E739" s="33" t="n"/>
      <c r="F739" s="33" t="n"/>
      <c r="G739" s="33" t="n"/>
    </row>
    <row r="740">
      <c r="A740" s="37" t="n"/>
      <c r="B740" s="31" t="n"/>
      <c r="C740" s="33" t="n"/>
      <c r="D740" s="33" t="n"/>
      <c r="E740" s="33" t="n"/>
      <c r="F740" s="33" t="n"/>
      <c r="G740" s="33" t="n"/>
    </row>
    <row r="741">
      <c r="A741" s="37" t="n"/>
      <c r="B741" s="31" t="n"/>
      <c r="C741" s="33" t="n"/>
      <c r="D741" s="33" t="n"/>
      <c r="E741" s="33" t="n"/>
      <c r="F741" s="33" t="n"/>
      <c r="G741" s="33" t="n"/>
    </row>
    <row r="742">
      <c r="A742" s="37" t="n"/>
      <c r="B742" s="31" t="n"/>
      <c r="C742" s="33" t="n"/>
      <c r="D742" s="33" t="n"/>
      <c r="E742" s="33" t="n"/>
      <c r="F742" s="33" t="n"/>
      <c r="G742" s="33" t="n"/>
    </row>
    <row r="743">
      <c r="A743" s="37" t="n"/>
      <c r="B743" s="31" t="n"/>
      <c r="C743" s="33" t="n"/>
      <c r="D743" s="33" t="n"/>
      <c r="E743" s="33" t="n"/>
      <c r="F743" s="33" t="n"/>
      <c r="G743" s="33" t="n"/>
    </row>
    <row r="744">
      <c r="A744" s="37" t="n"/>
      <c r="B744" s="31" t="n"/>
      <c r="C744" s="33" t="n"/>
      <c r="D744" s="33" t="n"/>
      <c r="E744" s="33" t="n"/>
      <c r="F744" s="33" t="n"/>
      <c r="G744" s="33" t="n"/>
    </row>
    <row r="745">
      <c r="A745" s="37" t="n"/>
      <c r="B745" s="31" t="n"/>
      <c r="C745" s="33" t="n"/>
      <c r="D745" s="33" t="n"/>
      <c r="E745" s="33" t="n"/>
      <c r="F745" s="33" t="n"/>
      <c r="G745" s="33" t="n"/>
    </row>
    <row r="746">
      <c r="A746" s="37" t="n"/>
      <c r="B746" s="31" t="n"/>
      <c r="C746" s="33" t="n"/>
      <c r="D746" s="33" t="n"/>
      <c r="E746" s="33" t="n"/>
      <c r="F746" s="33" t="n"/>
      <c r="G746" s="33" t="n"/>
    </row>
    <row r="747">
      <c r="A747" s="37" t="n"/>
      <c r="B747" s="31" t="n"/>
      <c r="C747" s="33" t="n"/>
      <c r="D747" s="33" t="n"/>
      <c r="E747" s="33" t="n"/>
      <c r="F747" s="33" t="n"/>
      <c r="G747" s="33" t="n"/>
    </row>
    <row r="748">
      <c r="A748" s="37" t="n"/>
      <c r="B748" s="31" t="n"/>
      <c r="C748" s="33" t="n"/>
      <c r="D748" s="33" t="n"/>
      <c r="E748" s="33" t="n"/>
      <c r="F748" s="33" t="n"/>
      <c r="G748" s="33" t="n"/>
    </row>
    <row r="749">
      <c r="A749" s="37" t="n"/>
      <c r="B749" s="31" t="n"/>
      <c r="C749" s="33" t="n"/>
      <c r="D749" s="33" t="n"/>
      <c r="E749" s="33" t="n"/>
      <c r="F749" s="33" t="n"/>
      <c r="G749" s="33" t="n"/>
    </row>
    <row r="750">
      <c r="A750" s="37" t="n"/>
      <c r="B750" s="31" t="n"/>
      <c r="C750" s="33" t="n"/>
      <c r="D750" s="33" t="n"/>
      <c r="E750" s="33" t="n"/>
      <c r="F750" s="33" t="n"/>
      <c r="G750" s="33" t="n"/>
    </row>
    <row r="751">
      <c r="A751" s="37" t="n"/>
      <c r="B751" s="31" t="n"/>
      <c r="C751" s="33" t="n"/>
      <c r="D751" s="33" t="n"/>
      <c r="E751" s="33" t="n"/>
      <c r="F751" s="33" t="n"/>
      <c r="G751" s="33" t="n"/>
    </row>
    <row r="752">
      <c r="A752" s="37" t="n"/>
      <c r="B752" s="31" t="n"/>
      <c r="C752" s="33" t="n"/>
      <c r="D752" s="33" t="n"/>
      <c r="E752" s="33" t="n"/>
      <c r="F752" s="33" t="n"/>
      <c r="G752" s="33" t="n"/>
    </row>
    <row r="753">
      <c r="A753" s="37" t="n"/>
      <c r="B753" s="31" t="n"/>
      <c r="C753" s="33" t="n"/>
      <c r="D753" s="33" t="n"/>
      <c r="E753" s="33" t="n"/>
      <c r="F753" s="33" t="n"/>
      <c r="G753" s="33" t="n"/>
    </row>
    <row r="754">
      <c r="A754" s="37" t="n"/>
      <c r="B754" s="31" t="n"/>
      <c r="C754" s="33" t="n"/>
      <c r="D754" s="33" t="n"/>
      <c r="E754" s="33" t="n"/>
      <c r="F754" s="33" t="n"/>
      <c r="G754" s="33" t="n"/>
    </row>
    <row r="755">
      <c r="A755" s="37" t="n"/>
      <c r="B755" s="31" t="n"/>
      <c r="C755" s="33" t="n"/>
      <c r="D755" s="33" t="n"/>
      <c r="E755" s="33" t="n"/>
      <c r="F755" s="33" t="n"/>
      <c r="G755" s="33" t="n"/>
    </row>
    <row r="756">
      <c r="A756" s="37" t="n"/>
      <c r="B756" s="31" t="n"/>
      <c r="C756" s="33" t="n"/>
      <c r="D756" s="33" t="n"/>
      <c r="E756" s="33" t="n"/>
      <c r="F756" s="33" t="n"/>
      <c r="G756" s="33" t="n"/>
    </row>
    <row r="757">
      <c r="A757" s="37" t="n"/>
      <c r="B757" s="31" t="n"/>
      <c r="C757" s="33" t="n"/>
      <c r="D757" s="33" t="n"/>
      <c r="E757" s="33" t="n"/>
      <c r="F757" s="33" t="n"/>
      <c r="G757" s="33" t="n"/>
    </row>
    <row r="758">
      <c r="A758" s="37" t="n"/>
      <c r="B758" s="31" t="n"/>
      <c r="C758" s="33" t="n"/>
      <c r="D758" s="33" t="n"/>
      <c r="E758" s="33" t="n"/>
      <c r="F758" s="33" t="n"/>
      <c r="G758" s="33" t="n"/>
    </row>
    <row r="759">
      <c r="A759" s="37" t="n"/>
      <c r="B759" s="31" t="n"/>
      <c r="C759" s="33" t="n"/>
      <c r="D759" s="33" t="n"/>
      <c r="E759" s="33" t="n"/>
      <c r="F759" s="33" t="n"/>
      <c r="G759" s="33" t="n"/>
    </row>
    <row r="760">
      <c r="A760" s="37" t="n"/>
      <c r="B760" s="31" t="n"/>
      <c r="C760" s="33" t="n"/>
      <c r="D760" s="33" t="n"/>
      <c r="E760" s="33" t="n"/>
      <c r="F760" s="33" t="n"/>
      <c r="G760" s="33" t="n"/>
    </row>
    <row r="761">
      <c r="A761" s="37" t="n"/>
      <c r="B761" s="31" t="n"/>
      <c r="C761" s="33" t="n"/>
      <c r="D761" s="33" t="n"/>
      <c r="E761" s="33" t="n"/>
      <c r="F761" s="33" t="n"/>
      <c r="G761" s="33" t="n"/>
    </row>
    <row r="762">
      <c r="A762" s="37" t="n"/>
      <c r="B762" s="31" t="n"/>
      <c r="C762" s="33" t="n"/>
      <c r="D762" s="33" t="n"/>
      <c r="E762" s="33" t="n"/>
      <c r="F762" s="33" t="n"/>
      <c r="G762" s="33" t="n"/>
    </row>
    <row r="763">
      <c r="A763" s="37" t="n"/>
      <c r="B763" s="31" t="n"/>
      <c r="C763" s="33" t="n"/>
      <c r="D763" s="33" t="n"/>
      <c r="E763" s="33" t="n"/>
      <c r="F763" s="33" t="n"/>
      <c r="G763" s="33" t="n"/>
    </row>
    <row r="764">
      <c r="A764" s="37" t="n"/>
      <c r="B764" s="31" t="n"/>
      <c r="C764" s="33" t="n"/>
      <c r="D764" s="33" t="n"/>
      <c r="E764" s="33" t="n"/>
      <c r="F764" s="33" t="n"/>
      <c r="G764" s="33" t="n"/>
    </row>
    <row r="765">
      <c r="A765" s="37" t="n"/>
      <c r="B765" s="31" t="n"/>
      <c r="C765" s="33" t="n"/>
      <c r="D765" s="33" t="n"/>
      <c r="E765" s="33" t="n"/>
      <c r="F765" s="33" t="n"/>
      <c r="G765" s="33" t="n"/>
    </row>
    <row r="766">
      <c r="A766" s="37" t="n"/>
      <c r="B766" s="31" t="n"/>
      <c r="C766" s="33" t="n"/>
      <c r="D766" s="33" t="n"/>
      <c r="E766" s="33" t="n"/>
      <c r="F766" s="33" t="n"/>
      <c r="G766" s="33" t="n"/>
    </row>
    <row r="767">
      <c r="A767" s="37" t="n"/>
      <c r="B767" s="31" t="n"/>
      <c r="C767" s="33" t="n"/>
      <c r="D767" s="33" t="n"/>
      <c r="E767" s="33" t="n"/>
      <c r="F767" s="33" t="n"/>
      <c r="G767" s="33" t="n"/>
    </row>
    <row r="768">
      <c r="A768" s="37" t="n"/>
      <c r="B768" s="31" t="n"/>
      <c r="C768" s="33" t="n"/>
      <c r="D768" s="33" t="n"/>
      <c r="E768" s="33" t="n"/>
      <c r="F768" s="33" t="n"/>
      <c r="G768" s="33" t="n"/>
    </row>
    <row r="769">
      <c r="A769" s="37" t="n"/>
      <c r="B769" s="31" t="n"/>
      <c r="C769" s="33" t="n"/>
      <c r="D769" s="33" t="n"/>
      <c r="E769" s="33" t="n"/>
      <c r="F769" s="33" t="n"/>
      <c r="G769" s="33" t="n"/>
    </row>
    <row r="770">
      <c r="A770" s="37" t="n"/>
      <c r="B770" s="31" t="n"/>
      <c r="C770" s="33" t="n"/>
      <c r="D770" s="33" t="n"/>
      <c r="E770" s="33" t="n"/>
      <c r="F770" s="33" t="n"/>
      <c r="G770" s="33" t="n"/>
    </row>
    <row r="771">
      <c r="A771" s="37" t="n"/>
      <c r="B771" s="31" t="n"/>
      <c r="C771" s="33" t="n"/>
      <c r="D771" s="33" t="n"/>
      <c r="E771" s="33" t="n"/>
      <c r="F771" s="33" t="n"/>
      <c r="G771" s="33" t="n"/>
    </row>
    <row r="772">
      <c r="A772" s="37" t="n"/>
      <c r="B772" s="31" t="n"/>
      <c r="C772" s="33" t="n"/>
      <c r="D772" s="33" t="n"/>
      <c r="E772" s="33" t="n"/>
      <c r="F772" s="33" t="n"/>
      <c r="G772" s="33" t="n"/>
    </row>
    <row r="773">
      <c r="A773" s="37" t="n"/>
      <c r="B773" s="31" t="n"/>
      <c r="C773" s="33" t="n"/>
      <c r="D773" s="33" t="n"/>
      <c r="E773" s="33" t="n"/>
      <c r="F773" s="33" t="n"/>
      <c r="G773" s="33" t="n"/>
    </row>
    <row r="774">
      <c r="A774" s="37" t="n"/>
      <c r="B774" s="31" t="n"/>
      <c r="C774" s="33" t="n"/>
      <c r="D774" s="33" t="n"/>
      <c r="E774" s="33" t="n"/>
      <c r="F774" s="33" t="n"/>
      <c r="G774" s="33" t="n"/>
    </row>
    <row r="775">
      <c r="A775" s="37" t="n"/>
      <c r="B775" s="31" t="n"/>
      <c r="C775" s="33" t="n"/>
      <c r="D775" s="33" t="n"/>
      <c r="E775" s="33" t="n"/>
      <c r="F775" s="33" t="n"/>
      <c r="G775" s="33" t="n"/>
    </row>
    <row r="776">
      <c r="A776" s="37" t="n"/>
      <c r="B776" s="31" t="n"/>
      <c r="C776" s="33" t="n"/>
      <c r="D776" s="33" t="n"/>
      <c r="E776" s="33" t="n"/>
      <c r="F776" s="33" t="n"/>
      <c r="G776" s="33" t="n"/>
    </row>
    <row r="777">
      <c r="A777" s="37" t="n"/>
      <c r="B777" s="31" t="n"/>
      <c r="C777" s="33" t="n"/>
      <c r="D777" s="33" t="n"/>
      <c r="E777" s="33" t="n"/>
      <c r="F777" s="33" t="n"/>
      <c r="G777" s="33" t="n"/>
    </row>
    <row r="778">
      <c r="A778" s="37" t="n"/>
      <c r="B778" s="31" t="n"/>
      <c r="C778" s="33" t="n"/>
      <c r="D778" s="33" t="n"/>
      <c r="E778" s="33" t="n"/>
      <c r="F778" s="33" t="n"/>
      <c r="G778" s="33" t="n"/>
    </row>
    <row r="779">
      <c r="A779" s="37" t="n"/>
      <c r="B779" s="31" t="n"/>
      <c r="C779" s="33" t="n"/>
      <c r="D779" s="33" t="n"/>
      <c r="E779" s="33" t="n"/>
      <c r="F779" s="33" t="n"/>
      <c r="G779" s="33" t="n"/>
    </row>
    <row r="780">
      <c r="A780" s="37" t="n"/>
      <c r="B780" s="31" t="n"/>
      <c r="C780" s="33" t="n"/>
      <c r="D780" s="33" t="n"/>
      <c r="E780" s="33" t="n"/>
      <c r="F780" s="33" t="n"/>
      <c r="G780" s="33" t="n"/>
    </row>
    <row r="781">
      <c r="A781" s="37" t="n"/>
      <c r="B781" s="31" t="n"/>
      <c r="C781" s="33" t="n"/>
      <c r="D781" s="33" t="n"/>
      <c r="E781" s="33" t="n"/>
      <c r="F781" s="33" t="n"/>
      <c r="G781" s="33" t="n"/>
    </row>
    <row r="782">
      <c r="A782" s="37" t="n"/>
      <c r="B782" s="31" t="n"/>
      <c r="C782" s="33" t="n"/>
      <c r="D782" s="33" t="n"/>
      <c r="E782" s="33" t="n"/>
      <c r="F782" s="33" t="n"/>
      <c r="G782" s="33" t="n"/>
    </row>
    <row r="783">
      <c r="A783" s="37" t="n"/>
      <c r="B783" s="31" t="n"/>
      <c r="C783" s="33" t="n"/>
      <c r="D783" s="33" t="n"/>
      <c r="E783" s="33" t="n"/>
      <c r="F783" s="33" t="n"/>
      <c r="G783" s="33" t="n"/>
    </row>
    <row r="784">
      <c r="A784" s="37" t="n"/>
      <c r="B784" s="31" t="n"/>
      <c r="C784" s="33" t="n"/>
      <c r="D784" s="33" t="n"/>
      <c r="E784" s="33" t="n"/>
      <c r="F784" s="33" t="n"/>
      <c r="G784" s="33" t="n"/>
    </row>
    <row r="785">
      <c r="A785" s="37" t="n"/>
      <c r="B785" s="31" t="n"/>
      <c r="C785" s="33" t="n"/>
      <c r="D785" s="33" t="n"/>
      <c r="E785" s="33" t="n"/>
      <c r="F785" s="33" t="n"/>
      <c r="G785" s="33" t="n"/>
    </row>
    <row r="786">
      <c r="A786" s="37" t="n"/>
      <c r="B786" s="31" t="n"/>
      <c r="C786" s="33" t="n"/>
      <c r="D786" s="33" t="n"/>
      <c r="E786" s="33" t="n"/>
      <c r="F786" s="33" t="n"/>
      <c r="G786" s="33" t="n"/>
    </row>
    <row r="787">
      <c r="A787" s="37" t="n"/>
      <c r="B787" s="31" t="n"/>
      <c r="C787" s="33" t="n"/>
      <c r="D787" s="33" t="n"/>
      <c r="E787" s="33" t="n"/>
      <c r="F787" s="33" t="n"/>
      <c r="G787" s="33" t="n"/>
    </row>
    <row r="788">
      <c r="A788" s="37" t="n"/>
      <c r="B788" s="31" t="n"/>
      <c r="C788" s="33" t="n"/>
      <c r="D788" s="33" t="n"/>
      <c r="E788" s="33" t="n"/>
      <c r="F788" s="33" t="n"/>
      <c r="G788" s="33" t="n"/>
    </row>
    <row r="789">
      <c r="A789" s="37" t="n"/>
      <c r="B789" s="31" t="n"/>
      <c r="C789" s="33" t="n"/>
      <c r="D789" s="33" t="n"/>
      <c r="E789" s="33" t="n"/>
      <c r="F789" s="33" t="n"/>
      <c r="G789" s="33" t="n"/>
    </row>
    <row r="790">
      <c r="A790" s="37" t="n"/>
      <c r="B790" s="31" t="n"/>
      <c r="C790" s="33" t="n"/>
      <c r="D790" s="33" t="n"/>
      <c r="E790" s="33" t="n"/>
      <c r="F790" s="33" t="n"/>
      <c r="G790" s="33" t="n"/>
    </row>
    <row r="791">
      <c r="A791" s="37" t="n"/>
      <c r="B791" s="31" t="n"/>
      <c r="C791" s="33" t="n"/>
      <c r="D791" s="33" t="n"/>
      <c r="E791" s="33" t="n"/>
      <c r="F791" s="33" t="n"/>
      <c r="G791" s="33" t="n"/>
    </row>
    <row r="792">
      <c r="A792" s="37" t="n"/>
      <c r="B792" s="31" t="n"/>
      <c r="C792" s="33" t="n"/>
      <c r="D792" s="33" t="n"/>
      <c r="E792" s="33" t="n"/>
      <c r="F792" s="33" t="n"/>
      <c r="G792" s="33" t="n"/>
    </row>
    <row r="793">
      <c r="A793" s="37" t="n"/>
      <c r="B793" s="31" t="n"/>
      <c r="C793" s="33" t="n"/>
      <c r="D793" s="33" t="n"/>
      <c r="E793" s="33" t="n"/>
      <c r="F793" s="33" t="n"/>
      <c r="G793" s="33" t="n"/>
    </row>
    <row r="794">
      <c r="A794" s="37" t="n"/>
      <c r="B794" s="31" t="n"/>
      <c r="C794" s="33" t="n"/>
      <c r="D794" s="33" t="n"/>
      <c r="E794" s="33" t="n"/>
      <c r="F794" s="33" t="n"/>
      <c r="G794" s="33" t="n"/>
    </row>
    <row r="795">
      <c r="A795" s="37" t="n"/>
      <c r="B795" s="31" t="n"/>
      <c r="C795" s="33" t="n"/>
      <c r="D795" s="33" t="n"/>
      <c r="E795" s="33" t="n"/>
      <c r="F795" s="33" t="n"/>
      <c r="G795" s="33" t="n"/>
    </row>
    <row r="796">
      <c r="A796" s="37" t="n"/>
      <c r="B796" s="31" t="n"/>
      <c r="C796" s="33" t="n"/>
      <c r="D796" s="33" t="n"/>
      <c r="E796" s="33" t="n"/>
      <c r="F796" s="33" t="n"/>
      <c r="G796" s="33" t="n"/>
    </row>
    <row r="797">
      <c r="A797" s="37" t="n"/>
      <c r="B797" s="31" t="n"/>
      <c r="C797" s="33" t="n"/>
      <c r="D797" s="33" t="n"/>
      <c r="E797" s="33" t="n"/>
      <c r="F797" s="33" t="n"/>
      <c r="G797" s="33" t="n"/>
    </row>
    <row r="798">
      <c r="A798" s="37" t="n"/>
      <c r="B798" s="31" t="n"/>
      <c r="C798" s="33" t="n"/>
      <c r="D798" s="33" t="n"/>
      <c r="E798" s="33" t="n"/>
      <c r="F798" s="33" t="n"/>
      <c r="G798" s="33" t="n"/>
    </row>
    <row r="799">
      <c r="A799" s="37" t="n"/>
      <c r="B799" s="31" t="n"/>
      <c r="C799" s="33" t="n"/>
      <c r="D799" s="33" t="n"/>
      <c r="E799" s="33" t="n"/>
      <c r="F799" s="33" t="n"/>
      <c r="G799" s="33" t="n"/>
    </row>
    <row r="800">
      <c r="A800" s="37" t="n"/>
      <c r="B800" s="31" t="n"/>
      <c r="C800" s="33" t="n"/>
      <c r="D800" s="33" t="n"/>
      <c r="E800" s="33" t="n"/>
      <c r="F800" s="33" t="n"/>
      <c r="G800" s="33" t="n"/>
    </row>
    <row r="801">
      <c r="A801" s="37" t="n"/>
      <c r="B801" s="31" t="n"/>
      <c r="C801" s="33" t="n"/>
      <c r="D801" s="33" t="n"/>
      <c r="E801" s="33" t="n"/>
      <c r="F801" s="33" t="n"/>
      <c r="G801" s="33" t="n"/>
    </row>
    <row r="802">
      <c r="A802" s="37" t="n"/>
      <c r="B802" s="31" t="n"/>
      <c r="C802" s="33" t="n"/>
      <c r="D802" s="33" t="n"/>
      <c r="E802" s="33" t="n"/>
      <c r="F802" s="33" t="n"/>
      <c r="G802" s="33" t="n"/>
    </row>
    <row r="803">
      <c r="A803" s="37" t="n"/>
      <c r="B803" s="31" t="n"/>
      <c r="C803" s="33" t="n"/>
      <c r="D803" s="33" t="n"/>
      <c r="E803" s="33" t="n"/>
      <c r="F803" s="33" t="n"/>
      <c r="G803" s="33" t="n"/>
    </row>
    <row r="804">
      <c r="A804" s="37" t="n"/>
      <c r="B804" s="31" t="n"/>
      <c r="C804" s="33" t="n"/>
      <c r="D804" s="33" t="n"/>
      <c r="E804" s="33" t="n"/>
      <c r="F804" s="33" t="n"/>
      <c r="G804" s="33" t="n"/>
    </row>
    <row r="805">
      <c r="A805" s="37" t="n"/>
      <c r="B805" s="31" t="n"/>
      <c r="C805" s="33" t="n"/>
      <c r="D805" s="33" t="n"/>
      <c r="E805" s="33" t="n"/>
      <c r="F805" s="33" t="n"/>
      <c r="G805" s="33" t="n"/>
    </row>
    <row r="806">
      <c r="A806" s="37" t="n"/>
      <c r="B806" s="31" t="n"/>
      <c r="C806" s="33" t="n"/>
      <c r="D806" s="33" t="n"/>
      <c r="E806" s="33" t="n"/>
      <c r="F806" s="33" t="n"/>
      <c r="G806" s="33" t="n"/>
    </row>
    <row r="807">
      <c r="A807" s="37" t="n"/>
      <c r="B807" s="31" t="n"/>
      <c r="C807" s="33" t="n"/>
      <c r="D807" s="33" t="n"/>
      <c r="E807" s="33" t="n"/>
      <c r="F807" s="33" t="n"/>
      <c r="G807" s="33" t="n"/>
    </row>
    <row r="808">
      <c r="A808" s="37" t="n"/>
      <c r="B808" s="31" t="n"/>
      <c r="C808" s="33" t="n"/>
      <c r="D808" s="33" t="n"/>
      <c r="E808" s="33" t="n"/>
      <c r="F808" s="33" t="n"/>
      <c r="G808" s="33" t="n"/>
    </row>
    <row r="809">
      <c r="A809" s="37" t="n"/>
      <c r="B809" s="31" t="n"/>
      <c r="C809" s="33" t="n"/>
      <c r="D809" s="33" t="n"/>
      <c r="E809" s="33" t="n"/>
      <c r="F809" s="33" t="n"/>
      <c r="G809" s="33" t="n"/>
    </row>
    <row r="810">
      <c r="A810" s="37" t="n"/>
      <c r="B810" s="31" t="n"/>
      <c r="C810" s="33" t="n"/>
      <c r="D810" s="33" t="n"/>
      <c r="E810" s="33" t="n"/>
      <c r="F810" s="33" t="n"/>
      <c r="G810" s="33" t="n"/>
    </row>
    <row r="811">
      <c r="A811" s="37" t="n"/>
      <c r="B811" s="31" t="n"/>
      <c r="C811" s="33" t="n"/>
      <c r="D811" s="33" t="n"/>
      <c r="E811" s="33" t="n"/>
      <c r="F811" s="33" t="n"/>
      <c r="G811" s="33" t="n"/>
    </row>
    <row r="812">
      <c r="A812" s="37" t="n"/>
      <c r="B812" s="31" t="n"/>
      <c r="C812" s="33" t="n"/>
      <c r="D812" s="33" t="n"/>
      <c r="E812" s="33" t="n"/>
      <c r="F812" s="33" t="n"/>
      <c r="G812" s="33" t="n"/>
    </row>
    <row r="813">
      <c r="A813" s="37" t="n"/>
      <c r="B813" s="31" t="n"/>
      <c r="C813" s="33" t="n"/>
      <c r="D813" s="33" t="n"/>
      <c r="E813" s="33" t="n"/>
      <c r="F813" s="33" t="n"/>
      <c r="G813" s="33" t="n"/>
    </row>
    <row r="814">
      <c r="A814" s="37" t="n"/>
      <c r="B814" s="31" t="n"/>
      <c r="C814" s="33" t="n"/>
      <c r="D814" s="33" t="n"/>
      <c r="E814" s="33" t="n"/>
      <c r="F814" s="33" t="n"/>
      <c r="G814" s="33" t="n"/>
    </row>
    <row r="815">
      <c r="A815" s="37" t="n"/>
      <c r="B815" s="31" t="n"/>
      <c r="C815" s="33" t="n"/>
      <c r="D815" s="33" t="n"/>
      <c r="E815" s="33" t="n"/>
      <c r="F815" s="33" t="n"/>
      <c r="G815" s="33" t="n"/>
    </row>
    <row r="816">
      <c r="A816" s="37" t="n"/>
      <c r="B816" s="31" t="n"/>
      <c r="C816" s="33" t="n"/>
      <c r="D816" s="33" t="n"/>
      <c r="E816" s="33" t="n"/>
      <c r="F816" s="33" t="n"/>
      <c r="G816" s="33" t="n"/>
    </row>
    <row r="817">
      <c r="A817" s="37" t="n"/>
      <c r="B817" s="31" t="n"/>
      <c r="C817" s="33" t="n"/>
      <c r="D817" s="33" t="n"/>
      <c r="E817" s="33" t="n"/>
      <c r="F817" s="33" t="n"/>
      <c r="G817" s="33" t="n"/>
    </row>
    <row r="818">
      <c r="A818" s="37" t="n"/>
      <c r="B818" s="31" t="n"/>
      <c r="C818" s="33" t="n"/>
      <c r="D818" s="33" t="n"/>
      <c r="E818" s="33" t="n"/>
      <c r="F818" s="33" t="n"/>
      <c r="G818" s="33" t="n"/>
    </row>
    <row r="819">
      <c r="A819" s="37" t="n"/>
      <c r="B819" s="31" t="n"/>
      <c r="C819" s="33" t="n"/>
      <c r="D819" s="33" t="n"/>
      <c r="E819" s="33" t="n"/>
      <c r="F819" s="33" t="n"/>
      <c r="G819" s="33" t="n"/>
    </row>
    <row r="820">
      <c r="A820" s="37" t="n"/>
      <c r="B820" s="31" t="n"/>
      <c r="C820" s="33" t="n"/>
      <c r="D820" s="33" t="n"/>
      <c r="E820" s="33" t="n"/>
      <c r="F820" s="33" t="n"/>
      <c r="G820" s="33" t="n"/>
    </row>
    <row r="821">
      <c r="A821" s="37" t="n"/>
      <c r="B821" s="31" t="n"/>
      <c r="C821" s="33" t="n"/>
      <c r="D821" s="33" t="n"/>
      <c r="E821" s="33" t="n"/>
      <c r="F821" s="33" t="n"/>
      <c r="G821" s="33" t="n"/>
    </row>
    <row r="822">
      <c r="A822" s="37" t="n"/>
      <c r="B822" s="31" t="n"/>
      <c r="C822" s="33" t="n"/>
      <c r="D822" s="33" t="n"/>
      <c r="E822" s="33" t="n"/>
      <c r="F822" s="33" t="n"/>
      <c r="G822" s="33" t="n"/>
    </row>
    <row r="823">
      <c r="A823" s="37" t="n"/>
      <c r="B823" s="31" t="n"/>
      <c r="C823" s="33" t="n"/>
      <c r="D823" s="33" t="n"/>
      <c r="E823" s="33" t="n"/>
      <c r="F823" s="33" t="n"/>
      <c r="G823" s="33" t="n"/>
    </row>
    <row r="824">
      <c r="A824" s="37" t="n"/>
      <c r="B824" s="31" t="n"/>
      <c r="C824" s="33" t="n"/>
      <c r="D824" s="33" t="n"/>
      <c r="E824" s="33" t="n"/>
      <c r="F824" s="33" t="n"/>
      <c r="G824" s="33" t="n"/>
    </row>
    <row r="825">
      <c r="A825" s="37" t="n"/>
      <c r="B825" s="31" t="n"/>
      <c r="C825" s="33" t="n"/>
      <c r="D825" s="33" t="n"/>
      <c r="E825" s="33" t="n"/>
      <c r="F825" s="33" t="n"/>
      <c r="G825" s="33" t="n"/>
    </row>
    <row r="826">
      <c r="A826" s="37" t="n"/>
      <c r="B826" s="31" t="n"/>
      <c r="C826" s="33" t="n"/>
      <c r="D826" s="33" t="n"/>
      <c r="E826" s="33" t="n"/>
      <c r="F826" s="33" t="n"/>
      <c r="G826" s="33" t="n"/>
    </row>
    <row r="827">
      <c r="A827" s="37" t="n"/>
      <c r="B827" s="31" t="n"/>
      <c r="C827" s="33" t="n"/>
      <c r="D827" s="33" t="n"/>
      <c r="E827" s="33" t="n"/>
      <c r="F827" s="33" t="n"/>
      <c r="G827" s="33" t="n"/>
    </row>
    <row r="828">
      <c r="A828" s="37" t="n"/>
      <c r="B828" s="31" t="n"/>
      <c r="C828" s="33" t="n"/>
      <c r="D828" s="33" t="n"/>
      <c r="E828" s="33" t="n"/>
      <c r="F828" s="33" t="n"/>
      <c r="G828" s="33" t="n"/>
    </row>
    <row r="829">
      <c r="A829" s="37" t="n"/>
      <c r="B829" s="31" t="n"/>
      <c r="C829" s="33" t="n"/>
      <c r="D829" s="33" t="n"/>
      <c r="E829" s="33" t="n"/>
      <c r="F829" s="33" t="n"/>
      <c r="G829" s="33" t="n"/>
    </row>
    <row r="830">
      <c r="A830" s="37" t="n"/>
      <c r="B830" s="31" t="n"/>
      <c r="C830" s="33" t="n"/>
      <c r="D830" s="33" t="n"/>
      <c r="E830" s="33" t="n"/>
      <c r="F830" s="33" t="n"/>
      <c r="G830" s="33" t="n"/>
    </row>
    <row r="831">
      <c r="A831" s="37" t="n"/>
      <c r="B831" s="31" t="n"/>
      <c r="C831" s="33" t="n"/>
      <c r="D831" s="33" t="n"/>
      <c r="E831" s="33" t="n"/>
      <c r="F831" s="33" t="n"/>
      <c r="G831" s="33" t="n"/>
    </row>
    <row r="832">
      <c r="A832" s="37" t="n"/>
      <c r="B832" s="31" t="n"/>
      <c r="C832" s="33" t="n"/>
      <c r="D832" s="33" t="n"/>
      <c r="E832" s="33" t="n"/>
      <c r="F832" s="33" t="n"/>
      <c r="G832" s="33" t="n"/>
    </row>
    <row r="833">
      <c r="A833" s="37" t="n"/>
      <c r="B833" s="31" t="n"/>
      <c r="C833" s="33" t="n"/>
      <c r="D833" s="33" t="n"/>
      <c r="E833" s="33" t="n"/>
      <c r="F833" s="33" t="n"/>
      <c r="G833" s="33" t="n"/>
    </row>
    <row r="834">
      <c r="A834" s="37" t="n"/>
      <c r="B834" s="31" t="n"/>
      <c r="C834" s="33" t="n"/>
      <c r="D834" s="33" t="n"/>
      <c r="E834" s="33" t="n"/>
      <c r="F834" s="33" t="n"/>
      <c r="G834" s="33" t="n"/>
    </row>
    <row r="835">
      <c r="A835" s="37" t="n"/>
      <c r="B835" s="31" t="n"/>
      <c r="C835" s="33" t="n"/>
      <c r="D835" s="33" t="n"/>
      <c r="E835" s="33" t="n"/>
      <c r="F835" s="33" t="n"/>
      <c r="G835" s="33" t="n"/>
    </row>
    <row r="836">
      <c r="A836" s="37" t="n"/>
      <c r="B836" s="31" t="n"/>
      <c r="C836" s="33" t="n"/>
      <c r="D836" s="33" t="n"/>
      <c r="E836" s="33" t="n"/>
      <c r="F836" s="33" t="n"/>
      <c r="G836" s="33" t="n"/>
    </row>
    <row r="837">
      <c r="A837" s="37" t="n"/>
      <c r="B837" s="31" t="n"/>
      <c r="C837" s="33" t="n"/>
      <c r="D837" s="33" t="n"/>
      <c r="E837" s="33" t="n"/>
      <c r="F837" s="33" t="n"/>
      <c r="G837" s="33" t="n"/>
    </row>
    <row r="838">
      <c r="A838" s="37" t="n"/>
      <c r="B838" s="31" t="n"/>
      <c r="C838" s="33" t="n"/>
      <c r="D838" s="33" t="n"/>
      <c r="E838" s="33" t="n"/>
      <c r="F838" s="33" t="n"/>
      <c r="G838" s="33" t="n"/>
    </row>
    <row r="839">
      <c r="A839" s="37" t="n"/>
      <c r="B839" s="31" t="n"/>
      <c r="C839" s="33" t="n"/>
      <c r="D839" s="33" t="n"/>
      <c r="E839" s="33" t="n"/>
      <c r="F839" s="33" t="n"/>
      <c r="G839" s="33" t="n"/>
    </row>
    <row r="840">
      <c r="A840" s="37" t="n"/>
      <c r="B840" s="31" t="n"/>
      <c r="C840" s="33" t="n"/>
      <c r="D840" s="33" t="n"/>
      <c r="E840" s="33" t="n"/>
      <c r="F840" s="33" t="n"/>
      <c r="G840" s="33" t="n"/>
    </row>
    <row r="841">
      <c r="A841" s="37" t="n"/>
      <c r="B841" s="31" t="n"/>
      <c r="C841" s="33" t="n"/>
      <c r="D841" s="33" t="n"/>
      <c r="E841" s="33" t="n"/>
      <c r="F841" s="33" t="n"/>
      <c r="G841" s="33" t="n"/>
    </row>
    <row r="842">
      <c r="A842" s="37" t="n"/>
      <c r="B842" s="31" t="n"/>
      <c r="C842" s="33" t="n"/>
      <c r="D842" s="33" t="n"/>
      <c r="E842" s="33" t="n"/>
      <c r="F842" s="33" t="n"/>
      <c r="G842" s="33" t="n"/>
    </row>
    <row r="843">
      <c r="A843" s="37" t="n"/>
      <c r="B843" s="31" t="n"/>
      <c r="C843" s="33" t="n"/>
      <c r="D843" s="33" t="n"/>
      <c r="E843" s="33" t="n"/>
      <c r="F843" s="33" t="n"/>
      <c r="G843" s="33" t="n"/>
    </row>
    <row r="844">
      <c r="A844" s="37" t="n"/>
      <c r="B844" s="31" t="n"/>
      <c r="C844" s="33" t="n"/>
      <c r="D844" s="33" t="n"/>
      <c r="E844" s="33" t="n"/>
      <c r="F844" s="33" t="n"/>
      <c r="G844" s="33" t="n"/>
    </row>
    <row r="845">
      <c r="A845" s="37" t="n"/>
      <c r="B845" s="31" t="n"/>
      <c r="C845" s="33" t="n"/>
      <c r="D845" s="33" t="n"/>
      <c r="E845" s="33" t="n"/>
      <c r="F845" s="33" t="n"/>
      <c r="G845" s="33" t="n"/>
    </row>
    <row r="846">
      <c r="A846" s="37" t="n"/>
      <c r="B846" s="31" t="n"/>
      <c r="C846" s="33" t="n"/>
      <c r="D846" s="33" t="n"/>
      <c r="E846" s="33" t="n"/>
      <c r="F846" s="33" t="n"/>
      <c r="G846" s="33" t="n"/>
    </row>
    <row r="847">
      <c r="A847" s="37" t="n"/>
      <c r="B847" s="31" t="n"/>
      <c r="C847" s="33" t="n"/>
      <c r="D847" s="33" t="n"/>
      <c r="E847" s="33" t="n"/>
      <c r="F847" s="33" t="n"/>
      <c r="G847" s="33" t="n"/>
    </row>
    <row r="848">
      <c r="A848" s="37" t="n"/>
      <c r="B848" s="31" t="n"/>
      <c r="C848" s="33" t="n"/>
      <c r="D848" s="33" t="n"/>
      <c r="E848" s="33" t="n"/>
      <c r="F848" s="33" t="n"/>
      <c r="G848" s="33" t="n"/>
    </row>
    <row r="849">
      <c r="A849" s="37" t="n"/>
      <c r="B849" s="31" t="n"/>
      <c r="C849" s="33" t="n"/>
      <c r="D849" s="33" t="n"/>
      <c r="E849" s="33" t="n"/>
      <c r="F849" s="33" t="n"/>
      <c r="G849" s="33" t="n"/>
    </row>
    <row r="850">
      <c r="A850" s="37" t="n"/>
      <c r="B850" s="31" t="n"/>
      <c r="C850" s="33" t="n"/>
      <c r="D850" s="33" t="n"/>
      <c r="E850" s="33" t="n"/>
      <c r="F850" s="33" t="n"/>
      <c r="G850" s="33" t="n"/>
    </row>
    <row r="851">
      <c r="A851" s="37" t="n"/>
      <c r="B851" s="31" t="n"/>
      <c r="C851" s="33" t="n"/>
      <c r="D851" s="33" t="n"/>
      <c r="E851" s="33" t="n"/>
      <c r="F851" s="33" t="n"/>
      <c r="G851" s="33" t="n"/>
    </row>
    <row r="852">
      <c r="A852" s="37" t="n"/>
      <c r="B852" s="31" t="n"/>
      <c r="C852" s="33" t="n"/>
      <c r="D852" s="33" t="n"/>
      <c r="E852" s="33" t="n"/>
      <c r="F852" s="33" t="n"/>
      <c r="G852" s="33" t="n"/>
    </row>
    <row r="853">
      <c r="A853" s="37" t="n"/>
      <c r="B853" s="31" t="n"/>
      <c r="C853" s="33" t="n"/>
      <c r="D853" s="33" t="n"/>
      <c r="E853" s="33" t="n"/>
      <c r="F853" s="33" t="n"/>
      <c r="G853" s="33" t="n"/>
    </row>
    <row r="854">
      <c r="A854" s="37" t="n"/>
      <c r="B854" s="31" t="n"/>
      <c r="C854" s="33" t="n"/>
      <c r="D854" s="33" t="n"/>
      <c r="E854" s="33" t="n"/>
      <c r="F854" s="33" t="n"/>
      <c r="G854" s="33" t="n"/>
    </row>
    <row r="855">
      <c r="A855" s="37" t="n"/>
      <c r="B855" s="31" t="n"/>
      <c r="C855" s="33" t="n"/>
      <c r="D855" s="33" t="n"/>
      <c r="E855" s="33" t="n"/>
      <c r="F855" s="33" t="n"/>
      <c r="G855" s="33" t="n"/>
    </row>
    <row r="856">
      <c r="A856" s="37" t="n"/>
      <c r="B856" s="31" t="n"/>
      <c r="C856" s="33" t="n"/>
      <c r="D856" s="33" t="n"/>
      <c r="E856" s="33" t="n"/>
      <c r="F856" s="33" t="n"/>
      <c r="G856" s="33" t="n"/>
    </row>
    <row r="857">
      <c r="A857" s="37" t="n"/>
      <c r="B857" s="31" t="n"/>
      <c r="C857" s="33" t="n"/>
      <c r="D857" s="33" t="n"/>
      <c r="E857" s="33" t="n"/>
      <c r="F857" s="33" t="n"/>
      <c r="G857" s="33" t="n"/>
    </row>
    <row r="858">
      <c r="A858" s="37" t="n"/>
      <c r="B858" s="31" t="n"/>
      <c r="C858" s="33" t="n"/>
      <c r="D858" s="33" t="n"/>
      <c r="E858" s="33" t="n"/>
      <c r="F858" s="33" t="n"/>
      <c r="G858" s="33" t="n"/>
    </row>
    <row r="859">
      <c r="A859" s="37" t="n"/>
      <c r="B859" s="31" t="n"/>
      <c r="C859" s="33" t="n"/>
      <c r="D859" s="33" t="n"/>
      <c r="E859" s="33" t="n"/>
      <c r="F859" s="33" t="n"/>
      <c r="G859" s="33" t="n"/>
    </row>
    <row r="860">
      <c r="A860" s="37" t="n"/>
      <c r="B860" s="31" t="n"/>
      <c r="C860" s="33" t="n"/>
      <c r="D860" s="33" t="n"/>
      <c r="E860" s="33" t="n"/>
      <c r="F860" s="33" t="n"/>
      <c r="G860" s="33" t="n"/>
    </row>
    <row r="861">
      <c r="A861" s="37" t="n"/>
      <c r="B861" s="31" t="n"/>
      <c r="C861" s="33" t="n"/>
      <c r="D861" s="33" t="n"/>
      <c r="E861" s="33" t="n"/>
      <c r="F861" s="33" t="n"/>
      <c r="G861" s="33" t="n"/>
    </row>
    <row r="862">
      <c r="A862" s="37" t="n"/>
      <c r="B862" s="31" t="n"/>
      <c r="C862" s="33" t="n"/>
      <c r="D862" s="33" t="n"/>
      <c r="E862" s="33" t="n"/>
      <c r="F862" s="33" t="n"/>
      <c r="G862" s="33" t="n"/>
    </row>
    <row r="863">
      <c r="A863" s="37" t="n"/>
      <c r="B863" s="31" t="n"/>
      <c r="C863" s="33" t="n"/>
      <c r="D863" s="33" t="n"/>
      <c r="E863" s="33" t="n"/>
      <c r="F863" s="33" t="n"/>
      <c r="G863" s="33" t="n"/>
    </row>
    <row r="864">
      <c r="A864" s="37" t="n"/>
      <c r="B864" s="31" t="n"/>
      <c r="C864" s="33" t="n"/>
      <c r="D864" s="33" t="n"/>
      <c r="E864" s="33" t="n"/>
      <c r="F864" s="33" t="n"/>
      <c r="G864" s="33" t="n"/>
    </row>
    <row r="865">
      <c r="A865" s="37" t="n"/>
      <c r="B865" s="31" t="n"/>
      <c r="C865" s="33" t="n"/>
      <c r="D865" s="33" t="n"/>
      <c r="E865" s="33" t="n"/>
      <c r="F865" s="33" t="n"/>
      <c r="G865" s="33" t="n"/>
    </row>
    <row r="866">
      <c r="A866" s="37" t="n"/>
      <c r="B866" s="31" t="n"/>
      <c r="C866" s="33" t="n"/>
      <c r="D866" s="33" t="n"/>
      <c r="E866" s="33" t="n"/>
      <c r="F866" s="33" t="n"/>
      <c r="G866" s="33" t="n"/>
    </row>
    <row r="867">
      <c r="A867" s="37" t="n"/>
      <c r="B867" s="31" t="n"/>
      <c r="C867" s="33" t="n"/>
      <c r="D867" s="33" t="n"/>
      <c r="E867" s="33" t="n"/>
      <c r="F867" s="33" t="n"/>
      <c r="G867" s="33" t="n"/>
    </row>
    <row r="868">
      <c r="A868" s="37" t="n"/>
      <c r="B868" s="31" t="n"/>
      <c r="C868" s="33" t="n"/>
      <c r="D868" s="33" t="n"/>
      <c r="E868" s="33" t="n"/>
      <c r="F868" s="33" t="n"/>
      <c r="G868" s="33" t="n"/>
    </row>
    <row r="869">
      <c r="A869" s="37" t="n"/>
      <c r="B869" s="31" t="n"/>
      <c r="C869" s="33" t="n"/>
      <c r="D869" s="33" t="n"/>
      <c r="E869" s="33" t="n"/>
      <c r="F869" s="33" t="n"/>
      <c r="G869" s="33" t="n"/>
    </row>
    <row r="870">
      <c r="A870" s="37" t="n"/>
      <c r="B870" s="31" t="n"/>
      <c r="C870" s="33" t="n"/>
      <c r="D870" s="33" t="n"/>
      <c r="E870" s="33" t="n"/>
      <c r="F870" s="33" t="n"/>
      <c r="G870" s="33" t="n"/>
    </row>
    <row r="871">
      <c r="A871" s="37" t="n"/>
      <c r="B871" s="31" t="n"/>
      <c r="C871" s="33" t="n"/>
      <c r="D871" s="33" t="n"/>
      <c r="E871" s="33" t="n"/>
      <c r="F871" s="33" t="n"/>
      <c r="G871" s="33" t="n"/>
    </row>
    <row r="872">
      <c r="A872" s="37" t="n"/>
      <c r="B872" s="31" t="n"/>
      <c r="C872" s="33" t="n"/>
      <c r="D872" s="33" t="n"/>
      <c r="E872" s="33" t="n"/>
      <c r="F872" s="33" t="n"/>
      <c r="G872" s="33" t="n"/>
    </row>
    <row r="873">
      <c r="A873" s="37" t="n"/>
      <c r="B873" s="31" t="n"/>
      <c r="C873" s="33" t="n"/>
      <c r="D873" s="33" t="n"/>
      <c r="E873" s="33" t="n"/>
      <c r="F873" s="33" t="n"/>
      <c r="G873" s="33" t="n"/>
    </row>
    <row r="874">
      <c r="A874" s="37" t="n"/>
      <c r="B874" s="31" t="n"/>
      <c r="C874" s="33" t="n"/>
      <c r="D874" s="33" t="n"/>
      <c r="E874" s="33" t="n"/>
      <c r="F874" s="33" t="n"/>
      <c r="G874" s="33" t="n"/>
    </row>
    <row r="875">
      <c r="A875" s="37" t="n"/>
      <c r="B875" s="31" t="n"/>
      <c r="C875" s="33" t="n"/>
      <c r="D875" s="33" t="n"/>
      <c r="E875" s="33" t="n"/>
      <c r="F875" s="33" t="n"/>
      <c r="G875" s="33" t="n"/>
    </row>
    <row r="876">
      <c r="A876" s="37" t="n"/>
      <c r="B876" s="31" t="n"/>
      <c r="C876" s="33" t="n"/>
      <c r="D876" s="33" t="n"/>
      <c r="E876" s="33" t="n"/>
      <c r="F876" s="33" t="n"/>
      <c r="G876" s="33" t="n"/>
    </row>
    <row r="877">
      <c r="A877" s="37" t="n"/>
      <c r="B877" s="31" t="n"/>
      <c r="C877" s="33" t="n"/>
      <c r="D877" s="33" t="n"/>
      <c r="E877" s="33" t="n"/>
      <c r="F877" s="33" t="n"/>
      <c r="G877" s="33" t="n"/>
    </row>
    <row r="878">
      <c r="A878" s="37" t="n"/>
      <c r="B878" s="31" t="n"/>
      <c r="C878" s="33" t="n"/>
      <c r="D878" s="33" t="n"/>
      <c r="E878" s="33" t="n"/>
      <c r="F878" s="33" t="n"/>
      <c r="G878" s="33" t="n"/>
    </row>
    <row r="879">
      <c r="A879" s="37" t="n"/>
      <c r="B879" s="31" t="n"/>
      <c r="C879" s="33" t="n"/>
      <c r="D879" s="33" t="n"/>
      <c r="E879" s="33" t="n"/>
      <c r="F879" s="33" t="n"/>
      <c r="G879" s="33" t="n"/>
    </row>
    <row r="880">
      <c r="A880" s="37" t="n"/>
      <c r="B880" s="31" t="n"/>
      <c r="C880" s="33" t="n"/>
      <c r="D880" s="33" t="n"/>
      <c r="E880" s="33" t="n"/>
      <c r="F880" s="33" t="n"/>
      <c r="G880" s="33" t="n"/>
    </row>
    <row r="881">
      <c r="A881" s="37" t="n"/>
      <c r="B881" s="31" t="n"/>
      <c r="C881" s="33" t="n"/>
      <c r="D881" s="33" t="n"/>
      <c r="E881" s="33" t="n"/>
      <c r="F881" s="33" t="n"/>
      <c r="G881" s="33" t="n"/>
    </row>
    <row r="882">
      <c r="A882" s="37" t="n"/>
      <c r="B882" s="31" t="n"/>
      <c r="C882" s="33" t="n"/>
      <c r="D882" s="33" t="n"/>
      <c r="E882" s="33" t="n"/>
      <c r="F882" s="33" t="n"/>
      <c r="G882" s="33" t="n"/>
    </row>
    <row r="883">
      <c r="A883" s="37" t="n"/>
      <c r="B883" s="31" t="n"/>
      <c r="C883" s="33" t="n"/>
      <c r="D883" s="33" t="n"/>
      <c r="E883" s="33" t="n"/>
      <c r="F883" s="33" t="n"/>
      <c r="G883" s="33" t="n"/>
    </row>
    <row r="884">
      <c r="A884" s="37" t="n"/>
      <c r="B884" s="31" t="n"/>
      <c r="C884" s="33" t="n"/>
      <c r="D884" s="33" t="n"/>
      <c r="E884" s="33" t="n"/>
      <c r="F884" s="33" t="n"/>
      <c r="G884" s="33" t="n"/>
    </row>
    <row r="885">
      <c r="A885" s="37" t="n"/>
      <c r="B885" s="31" t="n"/>
      <c r="C885" s="33" t="n"/>
      <c r="D885" s="33" t="n"/>
      <c r="E885" s="33" t="n"/>
      <c r="F885" s="33" t="n"/>
      <c r="G885" s="33" t="n"/>
    </row>
    <row r="886">
      <c r="A886" s="37" t="n"/>
      <c r="B886" s="31" t="n"/>
      <c r="C886" s="33" t="n"/>
      <c r="D886" s="33" t="n"/>
      <c r="E886" s="33" t="n"/>
      <c r="F886" s="33" t="n"/>
      <c r="G886" s="33" t="n"/>
    </row>
    <row r="887">
      <c r="A887" s="37" t="n"/>
      <c r="B887" s="31" t="n"/>
      <c r="C887" s="33" t="n"/>
      <c r="D887" s="33" t="n"/>
      <c r="E887" s="33" t="n"/>
      <c r="F887" s="33" t="n"/>
      <c r="G887" s="33" t="n"/>
    </row>
    <row r="888">
      <c r="A888" s="37" t="n"/>
      <c r="B888" s="31" t="n"/>
      <c r="C888" s="33" t="n"/>
      <c r="D888" s="33" t="n"/>
      <c r="E888" s="33" t="n"/>
      <c r="F888" s="33" t="n"/>
      <c r="G888" s="33" t="n"/>
    </row>
    <row r="889">
      <c r="A889" s="37" t="n"/>
      <c r="B889" s="31" t="n"/>
      <c r="C889" s="33" t="n"/>
      <c r="D889" s="33" t="n"/>
      <c r="E889" s="33" t="n"/>
      <c r="F889" s="33" t="n"/>
      <c r="G889" s="33" t="n"/>
    </row>
    <row r="890">
      <c r="A890" s="37" t="n"/>
      <c r="B890" s="31" t="n"/>
      <c r="C890" s="33" t="n"/>
      <c r="D890" s="33" t="n"/>
      <c r="E890" s="33" t="n"/>
      <c r="F890" s="33" t="n"/>
      <c r="G890" s="33" t="n"/>
    </row>
    <row r="891">
      <c r="A891" s="37" t="n"/>
      <c r="B891" s="31" t="n"/>
      <c r="C891" s="33" t="n"/>
      <c r="D891" s="33" t="n"/>
      <c r="E891" s="33" t="n"/>
      <c r="F891" s="33" t="n"/>
      <c r="G891" s="33" t="n"/>
    </row>
    <row r="892">
      <c r="A892" s="37" t="n"/>
      <c r="B892" s="31" t="n"/>
      <c r="C892" s="33" t="n"/>
      <c r="D892" s="33" t="n"/>
      <c r="E892" s="33" t="n"/>
      <c r="F892" s="33" t="n"/>
      <c r="G892" s="33" t="n"/>
    </row>
    <row r="893">
      <c r="A893" s="37" t="n"/>
      <c r="B893" s="31" t="n"/>
      <c r="C893" s="33" t="n"/>
      <c r="D893" s="33" t="n"/>
      <c r="E893" s="33" t="n"/>
      <c r="F893" s="33" t="n"/>
      <c r="G893" s="33" t="n"/>
    </row>
    <row r="894">
      <c r="A894" s="37" t="n"/>
      <c r="B894" s="31" t="n"/>
      <c r="C894" s="33" t="n"/>
      <c r="D894" s="33" t="n"/>
      <c r="E894" s="33" t="n"/>
      <c r="F894" s="33" t="n"/>
      <c r="G894" s="33" t="n"/>
    </row>
    <row r="895">
      <c r="A895" s="37" t="n"/>
      <c r="B895" s="31" t="n"/>
      <c r="C895" s="33" t="n"/>
      <c r="D895" s="33" t="n"/>
      <c r="E895" s="33" t="n"/>
      <c r="F895" s="33" t="n"/>
      <c r="G895" s="33" t="n"/>
    </row>
    <row r="896">
      <c r="A896" s="37" t="n"/>
      <c r="B896" s="31" t="n"/>
      <c r="C896" s="33" t="n"/>
      <c r="D896" s="33" t="n"/>
      <c r="E896" s="33" t="n"/>
      <c r="F896" s="33" t="n"/>
      <c r="G896" s="33" t="n"/>
    </row>
    <row r="897">
      <c r="A897" s="37" t="n"/>
      <c r="B897" s="31" t="n"/>
      <c r="C897" s="33" t="n"/>
      <c r="D897" s="33" t="n"/>
      <c r="E897" s="33" t="n"/>
      <c r="F897" s="33" t="n"/>
      <c r="G897" s="33" t="n"/>
    </row>
    <row r="898">
      <c r="A898" s="37" t="n"/>
      <c r="B898" s="31" t="n"/>
      <c r="C898" s="33" t="n"/>
      <c r="D898" s="33" t="n"/>
      <c r="E898" s="33" t="n"/>
      <c r="F898" s="33" t="n"/>
      <c r="G898" s="33" t="n"/>
    </row>
    <row r="899">
      <c r="A899" s="37" t="n"/>
      <c r="B899" s="31" t="n"/>
      <c r="C899" s="33" t="n"/>
      <c r="D899" s="33" t="n"/>
      <c r="E899" s="33" t="n"/>
      <c r="F899" s="33" t="n"/>
      <c r="G899" s="33" t="n"/>
    </row>
    <row r="900">
      <c r="A900" s="37" t="n"/>
      <c r="B900" s="31" t="n"/>
      <c r="C900" s="33" t="n"/>
      <c r="D900" s="33" t="n"/>
      <c r="E900" s="33" t="n"/>
      <c r="F900" s="33" t="n"/>
      <c r="G900" s="33" t="n"/>
    </row>
    <row r="901">
      <c r="A901" s="37" t="n"/>
      <c r="B901" s="31" t="n"/>
      <c r="C901" s="33" t="n"/>
      <c r="D901" s="33" t="n"/>
      <c r="E901" s="33" t="n"/>
      <c r="F901" s="33" t="n"/>
      <c r="G901" s="33" t="n"/>
    </row>
    <row r="902">
      <c r="A902" s="37" t="n"/>
      <c r="B902" s="31" t="n"/>
      <c r="C902" s="33" t="n"/>
      <c r="D902" s="33" t="n"/>
      <c r="E902" s="33" t="n"/>
      <c r="F902" s="33" t="n"/>
      <c r="G902" s="33" t="n"/>
    </row>
    <row r="903">
      <c r="A903" s="37" t="n"/>
      <c r="B903" s="31" t="n"/>
      <c r="C903" s="33" t="n"/>
      <c r="D903" s="33" t="n"/>
      <c r="E903" s="33" t="n"/>
      <c r="F903" s="33" t="n"/>
      <c r="G903" s="33" t="n"/>
    </row>
    <row r="904">
      <c r="A904" s="37" t="n"/>
      <c r="B904" s="31" t="n"/>
      <c r="C904" s="33" t="n"/>
      <c r="D904" s="33" t="n"/>
      <c r="E904" s="33" t="n"/>
      <c r="F904" s="33" t="n"/>
      <c r="G904" s="33" t="n"/>
    </row>
    <row r="905">
      <c r="A905" s="37" t="n"/>
      <c r="B905" s="31" t="n"/>
      <c r="C905" s="33" t="n"/>
      <c r="D905" s="33" t="n"/>
      <c r="E905" s="33" t="n"/>
      <c r="F905" s="33" t="n"/>
      <c r="G905" s="33" t="n"/>
    </row>
    <row r="906">
      <c r="A906" s="37" t="n"/>
      <c r="B906" s="31" t="n"/>
      <c r="C906" s="33" t="n"/>
      <c r="D906" s="33" t="n"/>
      <c r="E906" s="33" t="n"/>
      <c r="F906" s="33" t="n"/>
      <c r="G906" s="33" t="n"/>
    </row>
    <row r="907">
      <c r="A907" s="37" t="n"/>
      <c r="B907" s="31" t="n"/>
      <c r="C907" s="33" t="n"/>
      <c r="D907" s="33" t="n"/>
      <c r="E907" s="33" t="n"/>
      <c r="F907" s="33" t="n"/>
      <c r="G907" s="33" t="n"/>
    </row>
    <row r="908">
      <c r="A908" s="37" t="n"/>
      <c r="B908" s="31" t="n"/>
      <c r="C908" s="33" t="n"/>
      <c r="D908" s="33" t="n"/>
      <c r="E908" s="33" t="n"/>
      <c r="F908" s="33" t="n"/>
      <c r="G908" s="33" t="n"/>
    </row>
    <row r="909">
      <c r="A909" s="37" t="n"/>
      <c r="B909" s="31" t="n"/>
      <c r="C909" s="33" t="n"/>
      <c r="D909" s="33" t="n"/>
      <c r="E909" s="33" t="n"/>
      <c r="F909" s="33" t="n"/>
      <c r="G909" s="33" t="n"/>
    </row>
    <row r="910">
      <c r="A910" s="37" t="n"/>
      <c r="B910" s="31" t="n"/>
      <c r="C910" s="33" t="n"/>
      <c r="D910" s="33" t="n"/>
      <c r="E910" s="33" t="n"/>
      <c r="F910" s="33" t="n"/>
      <c r="G910" s="33" t="n"/>
    </row>
    <row r="911">
      <c r="A911" s="37" t="n"/>
      <c r="B911" s="31" t="n"/>
      <c r="C911" s="33" t="n"/>
      <c r="D911" s="33" t="n"/>
      <c r="E911" s="33" t="n"/>
      <c r="F911" s="33" t="n"/>
      <c r="G911" s="33" t="n"/>
    </row>
    <row r="912">
      <c r="A912" s="37" t="n"/>
      <c r="B912" s="31" t="n"/>
      <c r="C912" s="33" t="n"/>
      <c r="D912" s="33" t="n"/>
      <c r="E912" s="33" t="n"/>
      <c r="F912" s="33" t="n"/>
      <c r="G912" s="33" t="n"/>
    </row>
    <row r="913">
      <c r="A913" s="37" t="n"/>
      <c r="B913" s="31" t="n"/>
      <c r="C913" s="33" t="n"/>
      <c r="D913" s="33" t="n"/>
      <c r="E913" s="33" t="n"/>
      <c r="F913" s="33" t="n"/>
      <c r="G913" s="33" t="n"/>
    </row>
    <row r="914">
      <c r="A914" s="37" t="n"/>
      <c r="B914" s="31" t="n"/>
      <c r="C914" s="33" t="n"/>
      <c r="D914" s="33" t="n"/>
      <c r="E914" s="33" t="n"/>
      <c r="F914" s="33" t="n"/>
      <c r="G914" s="33" t="n"/>
    </row>
    <row r="915">
      <c r="A915" s="37" t="n"/>
      <c r="B915" s="31" t="n"/>
      <c r="C915" s="33" t="n"/>
      <c r="D915" s="33" t="n"/>
      <c r="E915" s="33" t="n"/>
      <c r="F915" s="33" t="n"/>
      <c r="G915" s="33" t="n"/>
    </row>
    <row r="916">
      <c r="A916" s="37" t="n"/>
      <c r="B916" s="31" t="n"/>
      <c r="C916" s="33" t="n"/>
      <c r="D916" s="33" t="n"/>
      <c r="E916" s="33" t="n"/>
      <c r="F916" s="33" t="n"/>
      <c r="G916" s="33" t="n"/>
    </row>
    <row r="917">
      <c r="A917" s="37" t="n"/>
      <c r="B917" s="31" t="n"/>
      <c r="C917" s="33" t="n"/>
      <c r="D917" s="33" t="n"/>
      <c r="E917" s="33" t="n"/>
      <c r="F917" s="33" t="n"/>
      <c r="G917" s="33" t="n"/>
    </row>
    <row r="918">
      <c r="A918" s="37" t="n"/>
      <c r="B918" s="31" t="n"/>
      <c r="C918" s="33" t="n"/>
      <c r="D918" s="33" t="n"/>
      <c r="E918" s="33" t="n"/>
      <c r="F918" s="33" t="n"/>
      <c r="G918" s="33" t="n"/>
    </row>
    <row r="919">
      <c r="A919" s="37" t="n"/>
      <c r="B919" s="31" t="n"/>
      <c r="C919" s="33" t="n"/>
      <c r="D919" s="33" t="n"/>
      <c r="E919" s="33" t="n"/>
      <c r="F919" s="33" t="n"/>
      <c r="G919" s="33" t="n"/>
    </row>
    <row r="920">
      <c r="A920" s="37" t="n"/>
      <c r="B920" s="31" t="n"/>
      <c r="C920" s="33" t="n"/>
      <c r="D920" s="33" t="n"/>
      <c r="E920" s="33" t="n"/>
      <c r="F920" s="33" t="n"/>
      <c r="G920" s="33" t="n"/>
    </row>
    <row r="921">
      <c r="A921" s="37" t="n"/>
      <c r="B921" s="31" t="n"/>
      <c r="C921" s="33" t="n"/>
      <c r="D921" s="33" t="n"/>
      <c r="E921" s="33" t="n"/>
      <c r="F921" s="33" t="n"/>
      <c r="G921" s="33" t="n"/>
    </row>
    <row r="922">
      <c r="A922" s="37" t="n"/>
      <c r="B922" s="31" t="n"/>
      <c r="C922" s="33" t="n"/>
      <c r="D922" s="33" t="n"/>
      <c r="E922" s="33" t="n"/>
      <c r="F922" s="33" t="n"/>
      <c r="G922" s="33" t="n"/>
    </row>
    <row r="923">
      <c r="A923" s="37" t="n"/>
      <c r="B923" s="31" t="n"/>
      <c r="C923" s="33" t="n"/>
      <c r="D923" s="33" t="n"/>
      <c r="E923" s="33" t="n"/>
      <c r="F923" s="33" t="n"/>
      <c r="G923" s="33" t="n"/>
    </row>
    <row r="924">
      <c r="A924" s="37" t="n"/>
      <c r="B924" s="31" t="n"/>
      <c r="C924" s="33" t="n"/>
      <c r="D924" s="33" t="n"/>
      <c r="E924" s="33" t="n"/>
      <c r="F924" s="33" t="n"/>
      <c r="G924" s="33" t="n"/>
    </row>
    <row r="925">
      <c r="A925" s="37" t="n"/>
      <c r="B925" s="31" t="n"/>
      <c r="C925" s="33" t="n"/>
      <c r="D925" s="33" t="n"/>
      <c r="E925" s="33" t="n"/>
      <c r="F925" s="33" t="n"/>
      <c r="G925" s="33" t="n"/>
    </row>
    <row r="926">
      <c r="A926" s="37" t="n"/>
      <c r="B926" s="31" t="n"/>
      <c r="C926" s="33" t="n"/>
      <c r="D926" s="33" t="n"/>
      <c r="E926" s="33" t="n"/>
      <c r="F926" s="33" t="n"/>
      <c r="G926" s="33" t="n"/>
    </row>
    <row r="927">
      <c r="A927" s="37" t="n"/>
      <c r="B927" s="31" t="n"/>
      <c r="C927" s="33" t="n"/>
      <c r="D927" s="33" t="n"/>
      <c r="E927" s="33" t="n"/>
      <c r="F927" s="33" t="n"/>
      <c r="G927" s="33" t="n"/>
    </row>
    <row r="928">
      <c r="A928" s="37" t="n"/>
      <c r="B928" s="31" t="n"/>
      <c r="C928" s="33" t="n"/>
      <c r="D928" s="33" t="n"/>
      <c r="E928" s="33" t="n"/>
      <c r="F928" s="33" t="n"/>
      <c r="G928" s="33" t="n"/>
    </row>
    <row r="929">
      <c r="A929" s="37" t="n"/>
      <c r="B929" s="31" t="n"/>
      <c r="C929" s="33" t="n"/>
      <c r="D929" s="33" t="n"/>
      <c r="E929" s="33" t="n"/>
      <c r="F929" s="33" t="n"/>
      <c r="G929" s="33" t="n"/>
    </row>
    <row r="930">
      <c r="A930" s="37" t="n"/>
      <c r="B930" s="31" t="n"/>
      <c r="C930" s="33" t="n"/>
      <c r="D930" s="33" t="n"/>
      <c r="E930" s="33" t="n"/>
      <c r="F930" s="33" t="n"/>
      <c r="G930" s="33" t="n"/>
    </row>
    <row r="931">
      <c r="A931" s="37" t="n"/>
      <c r="B931" s="31" t="n"/>
      <c r="C931" s="33" t="n"/>
      <c r="D931" s="33" t="n"/>
      <c r="E931" s="33" t="n"/>
      <c r="F931" s="33" t="n"/>
      <c r="G931" s="33" t="n"/>
    </row>
    <row r="932">
      <c r="A932" s="37" t="n"/>
      <c r="B932" s="31" t="n"/>
      <c r="C932" s="33" t="n"/>
      <c r="D932" s="33" t="n"/>
      <c r="E932" s="33" t="n"/>
      <c r="F932" s="33" t="n"/>
      <c r="G932" s="33" t="n"/>
    </row>
    <row r="933">
      <c r="A933" s="37" t="n"/>
      <c r="B933" s="31" t="n"/>
      <c r="C933" s="33" t="n"/>
      <c r="D933" s="33" t="n"/>
      <c r="E933" s="33" t="n"/>
      <c r="F933" s="33" t="n"/>
      <c r="G933" s="33" t="n"/>
    </row>
    <row r="934">
      <c r="A934" s="37" t="n"/>
      <c r="B934" s="31" t="n"/>
      <c r="C934" s="33" t="n"/>
      <c r="D934" s="33" t="n"/>
      <c r="E934" s="33" t="n"/>
      <c r="F934" s="33" t="n"/>
      <c r="G934" s="33" t="n"/>
    </row>
    <row r="935">
      <c r="A935" s="37" t="n"/>
      <c r="B935" s="31" t="n"/>
      <c r="C935" s="33" t="n"/>
      <c r="D935" s="33" t="n"/>
      <c r="E935" s="33" t="n"/>
      <c r="F935" s="33" t="n"/>
      <c r="G935" s="33" t="n"/>
    </row>
    <row r="936">
      <c r="A936" s="37" t="n"/>
      <c r="B936" s="31" t="n"/>
      <c r="C936" s="33" t="n"/>
      <c r="D936" s="33" t="n"/>
      <c r="E936" s="33" t="n"/>
      <c r="F936" s="33" t="n"/>
      <c r="G936" s="33" t="n"/>
    </row>
    <row r="937">
      <c r="A937" s="37" t="n"/>
      <c r="B937" s="31" t="n"/>
      <c r="C937" s="33" t="n"/>
      <c r="D937" s="33" t="n"/>
      <c r="E937" s="33" t="n"/>
      <c r="F937" s="33" t="n"/>
      <c r="G937" s="33" t="n"/>
    </row>
    <row r="938">
      <c r="A938" s="37" t="n"/>
      <c r="B938" s="31" t="n"/>
      <c r="C938" s="33" t="n"/>
      <c r="D938" s="33" t="n"/>
      <c r="E938" s="33" t="n"/>
      <c r="F938" s="33" t="n"/>
      <c r="G938" s="33" t="n"/>
    </row>
    <row r="939">
      <c r="A939" s="37" t="n"/>
      <c r="B939" s="31" t="n"/>
      <c r="C939" s="33" t="n"/>
      <c r="D939" s="33" t="n"/>
      <c r="E939" s="33" t="n"/>
      <c r="F939" s="33" t="n"/>
      <c r="G939" s="33" t="n"/>
    </row>
    <row r="940">
      <c r="A940" s="37" t="n"/>
      <c r="B940" s="31" t="n"/>
      <c r="C940" s="33" t="n"/>
      <c r="D940" s="33" t="n"/>
      <c r="E940" s="33" t="n"/>
      <c r="F940" s="33" t="n"/>
      <c r="G940" s="33" t="n"/>
    </row>
    <row r="941">
      <c r="A941" s="37" t="n"/>
      <c r="B941" s="31" t="n"/>
      <c r="C941" s="33" t="n"/>
      <c r="D941" s="33" t="n"/>
      <c r="E941" s="33" t="n"/>
      <c r="F941" s="33" t="n"/>
      <c r="G941" s="33" t="n"/>
    </row>
    <row r="942">
      <c r="A942" s="37" t="n"/>
      <c r="B942" s="31" t="n"/>
      <c r="C942" s="33" t="n"/>
      <c r="D942" s="33" t="n"/>
      <c r="E942" s="33" t="n"/>
      <c r="F942" s="33" t="n"/>
      <c r="G942" s="33" t="n"/>
    </row>
    <row r="943">
      <c r="A943" s="37" t="n"/>
      <c r="B943" s="31" t="n"/>
      <c r="C943" s="33" t="n"/>
      <c r="D943" s="33" t="n"/>
      <c r="E943" s="33" t="n"/>
      <c r="F943" s="33" t="n"/>
      <c r="G943" s="33" t="n"/>
    </row>
    <row r="944">
      <c r="A944" s="37" t="n"/>
      <c r="B944" s="31" t="n"/>
      <c r="C944" s="33" t="n"/>
      <c r="D944" s="33" t="n"/>
      <c r="E944" s="33" t="n"/>
      <c r="F944" s="33" t="n"/>
      <c r="G944" s="33" t="n"/>
    </row>
    <row r="945">
      <c r="A945" s="37" t="n"/>
      <c r="B945" s="31" t="n"/>
      <c r="C945" s="33" t="n"/>
      <c r="D945" s="33" t="n"/>
      <c r="E945" s="33" t="n"/>
      <c r="F945" s="33" t="n"/>
      <c r="G945" s="33" t="n"/>
    </row>
    <row r="946">
      <c r="A946" s="37" t="n"/>
      <c r="B946" s="31" t="n"/>
      <c r="C946" s="33" t="n"/>
      <c r="D946" s="33" t="n"/>
      <c r="E946" s="33" t="n"/>
      <c r="F946" s="33" t="n"/>
      <c r="G946" s="33" t="n"/>
    </row>
    <row r="947">
      <c r="A947" s="37" t="n"/>
      <c r="B947" s="31" t="n"/>
      <c r="C947" s="33" t="n"/>
      <c r="D947" s="33" t="n"/>
      <c r="E947" s="33" t="n"/>
      <c r="F947" s="33" t="n"/>
      <c r="G947" s="33" t="n"/>
    </row>
    <row r="948">
      <c r="A948" s="37" t="n"/>
      <c r="B948" s="31" t="n"/>
      <c r="C948" s="33" t="n"/>
      <c r="D948" s="33" t="n"/>
      <c r="E948" s="33" t="n"/>
      <c r="F948" s="33" t="n"/>
      <c r="G948" s="33" t="n"/>
    </row>
    <row r="949">
      <c r="A949" s="37" t="n"/>
      <c r="B949" s="31" t="n"/>
      <c r="C949" s="33" t="n"/>
      <c r="D949" s="33" t="n"/>
      <c r="E949" s="33" t="n"/>
      <c r="F949" s="33" t="n"/>
      <c r="G949" s="33" t="n"/>
    </row>
    <row r="950">
      <c r="A950" s="37" t="n"/>
      <c r="B950" s="31" t="n"/>
      <c r="C950" s="33" t="n"/>
      <c r="D950" s="33" t="n"/>
      <c r="E950" s="33" t="n"/>
      <c r="F950" s="33" t="n"/>
      <c r="G950" s="33" t="n"/>
    </row>
    <row r="951">
      <c r="A951" s="37" t="n"/>
      <c r="B951" s="31" t="n"/>
      <c r="C951" s="33" t="n"/>
      <c r="D951" s="33" t="n"/>
      <c r="E951" s="33" t="n"/>
      <c r="F951" s="33" t="n"/>
      <c r="G951" s="33" t="n"/>
    </row>
    <row r="952">
      <c r="A952" s="37" t="n"/>
      <c r="B952" s="31" t="n"/>
      <c r="C952" s="33" t="n"/>
      <c r="D952" s="33" t="n"/>
      <c r="E952" s="33" t="n"/>
      <c r="F952" s="33" t="n"/>
      <c r="G952" s="33" t="n"/>
    </row>
    <row r="953">
      <c r="A953" s="37" t="n"/>
      <c r="B953" s="31" t="n"/>
      <c r="C953" s="33" t="n"/>
      <c r="D953" s="33" t="n"/>
      <c r="E953" s="33" t="n"/>
      <c r="F953" s="33" t="n"/>
      <c r="G953" s="33" t="n"/>
    </row>
    <row r="954">
      <c r="A954" s="37" t="n"/>
      <c r="B954" s="31" t="n"/>
      <c r="C954" s="33" t="n"/>
      <c r="D954" s="33" t="n"/>
      <c r="E954" s="33" t="n"/>
      <c r="F954" s="33" t="n"/>
      <c r="G954" s="33" t="n"/>
    </row>
    <row r="955">
      <c r="A955" s="37" t="n"/>
      <c r="B955" s="31" t="n"/>
      <c r="C955" s="33" t="n"/>
      <c r="D955" s="33" t="n"/>
      <c r="E955" s="33" t="n"/>
      <c r="F955" s="33" t="n"/>
      <c r="G955" s="33" t="n"/>
    </row>
    <row r="956">
      <c r="A956" s="37" t="n"/>
      <c r="B956" s="31" t="n"/>
      <c r="C956" s="33" t="n"/>
      <c r="D956" s="33" t="n"/>
      <c r="E956" s="33" t="n"/>
      <c r="F956" s="33" t="n"/>
      <c r="G956" s="33" t="n"/>
    </row>
    <row r="957">
      <c r="A957" s="37" t="n"/>
      <c r="B957" s="31" t="n"/>
      <c r="C957" s="33" t="n"/>
      <c r="D957" s="33" t="n"/>
      <c r="E957" s="33" t="n"/>
      <c r="F957" s="33" t="n"/>
      <c r="G957" s="33" t="n"/>
    </row>
    <row r="958">
      <c r="A958" s="37" t="n"/>
      <c r="B958" s="31" t="n"/>
      <c r="C958" s="33" t="n"/>
      <c r="D958" s="33" t="n"/>
      <c r="E958" s="33" t="n"/>
      <c r="F958" s="33" t="n"/>
      <c r="G958" s="33" t="n"/>
    </row>
    <row r="959">
      <c r="A959" s="37" t="n"/>
      <c r="B959" s="31" t="n"/>
      <c r="C959" s="33" t="n"/>
      <c r="D959" s="33" t="n"/>
      <c r="E959" s="33" t="n"/>
      <c r="F959" s="33" t="n"/>
      <c r="G959" s="33" t="n"/>
    </row>
    <row r="960">
      <c r="A960" s="37" t="n"/>
      <c r="B960" s="31" t="n"/>
      <c r="C960" s="33" t="n"/>
      <c r="D960" s="33" t="n"/>
      <c r="E960" s="33" t="n"/>
      <c r="F960" s="33" t="n"/>
      <c r="G960" s="33" t="n"/>
    </row>
    <row r="961">
      <c r="A961" s="37" t="n"/>
      <c r="B961" s="31" t="n"/>
      <c r="C961" s="33" t="n"/>
      <c r="D961" s="33" t="n"/>
      <c r="E961" s="33" t="n"/>
      <c r="F961" s="33" t="n"/>
      <c r="G961" s="33" t="n"/>
    </row>
    <row r="962">
      <c r="A962" s="37" t="n"/>
      <c r="B962" s="31" t="n"/>
      <c r="C962" s="33" t="n"/>
      <c r="D962" s="33" t="n"/>
      <c r="E962" s="33" t="n"/>
      <c r="F962" s="33" t="n"/>
      <c r="G962" s="33" t="n"/>
    </row>
    <row r="963">
      <c r="A963" s="37" t="n"/>
      <c r="B963" s="31" t="n"/>
      <c r="C963" s="33" t="n"/>
      <c r="D963" s="33" t="n"/>
      <c r="E963" s="33" t="n"/>
      <c r="F963" s="33" t="n"/>
      <c r="G963" s="33" t="n"/>
    </row>
    <row r="964">
      <c r="A964" s="37" t="n"/>
      <c r="B964" s="31" t="n"/>
      <c r="C964" s="33" t="n"/>
      <c r="D964" s="33" t="n"/>
      <c r="E964" s="33" t="n"/>
      <c r="F964" s="33" t="n"/>
      <c r="G964" s="33" t="n"/>
    </row>
    <row r="965">
      <c r="A965" s="37" t="n"/>
      <c r="B965" s="31" t="n"/>
      <c r="C965" s="33" t="n"/>
      <c r="D965" s="33" t="n"/>
      <c r="E965" s="33" t="n"/>
      <c r="F965" s="33" t="n"/>
      <c r="G965" s="33" t="n"/>
    </row>
    <row r="966">
      <c r="A966" s="37" t="n"/>
      <c r="B966" s="31" t="n"/>
      <c r="C966" s="33" t="n"/>
      <c r="D966" s="33" t="n"/>
      <c r="E966" s="33" t="n"/>
      <c r="F966" s="33" t="n"/>
      <c r="G966" s="33" t="n"/>
    </row>
    <row r="967">
      <c r="A967" s="37" t="n"/>
      <c r="B967" s="31" t="n"/>
      <c r="C967" s="33" t="n"/>
      <c r="D967" s="33" t="n"/>
      <c r="E967" s="33" t="n"/>
      <c r="F967" s="33" t="n"/>
      <c r="G967" s="33" t="n"/>
    </row>
    <row r="968">
      <c r="A968" s="37" t="n"/>
      <c r="B968" s="31" t="n"/>
      <c r="C968" s="33" t="n"/>
      <c r="D968" s="33" t="n"/>
      <c r="E968" s="33" t="n"/>
      <c r="F968" s="33" t="n"/>
      <c r="G968" s="33" t="n"/>
    </row>
    <row r="969">
      <c r="A969" s="37" t="n"/>
      <c r="B969" s="31" t="n"/>
      <c r="C969" s="33" t="n"/>
      <c r="D969" s="33" t="n"/>
      <c r="E969" s="33" t="n"/>
      <c r="F969" s="33" t="n"/>
      <c r="G969" s="33" t="n"/>
    </row>
    <row r="970">
      <c r="A970" s="37" t="n"/>
      <c r="B970" s="31" t="n"/>
      <c r="C970" s="33" t="n"/>
      <c r="D970" s="33" t="n"/>
      <c r="E970" s="33" t="n"/>
      <c r="F970" s="33" t="n"/>
      <c r="G970" s="33" t="n"/>
    </row>
    <row r="971">
      <c r="A971" s="37" t="n"/>
      <c r="B971" s="31" t="n"/>
      <c r="C971" s="33" t="n"/>
      <c r="D971" s="33" t="n"/>
      <c r="E971" s="33" t="n"/>
      <c r="F971" s="33" t="n"/>
      <c r="G971" s="33" t="n"/>
    </row>
    <row r="972">
      <c r="A972" s="37" t="n"/>
      <c r="B972" s="31" t="n"/>
      <c r="C972" s="33" t="n"/>
      <c r="D972" s="33" t="n"/>
      <c r="E972" s="33" t="n"/>
      <c r="F972" s="33" t="n"/>
      <c r="G972" s="33" t="n"/>
    </row>
    <row r="973">
      <c r="A973" s="37" t="n"/>
      <c r="B973" s="31" t="n"/>
      <c r="C973" s="33" t="n"/>
      <c r="D973" s="33" t="n"/>
      <c r="E973" s="33" t="n"/>
      <c r="F973" s="33" t="n"/>
      <c r="G973" s="33" t="n"/>
    </row>
    <row r="974">
      <c r="A974" s="37" t="n"/>
      <c r="B974" s="31" t="n"/>
      <c r="C974" s="33" t="n"/>
      <c r="D974" s="33" t="n"/>
      <c r="E974" s="33" t="n"/>
      <c r="F974" s="33" t="n"/>
      <c r="G974" s="33" t="n"/>
    </row>
    <row r="975">
      <c r="A975" s="37" t="n"/>
      <c r="B975" s="31" t="n"/>
      <c r="C975" s="33" t="n"/>
      <c r="D975" s="33" t="n"/>
      <c r="E975" s="33" t="n"/>
      <c r="F975" s="33" t="n"/>
      <c r="G975" s="33" t="n"/>
    </row>
    <row r="976">
      <c r="A976" s="37" t="n"/>
      <c r="B976" s="31" t="n"/>
      <c r="C976" s="33" t="n"/>
      <c r="D976" s="33" t="n"/>
      <c r="E976" s="33" t="n"/>
      <c r="F976" s="33" t="n"/>
      <c r="G976" s="33" t="n"/>
    </row>
    <row r="977">
      <c r="A977" s="37" t="n"/>
      <c r="B977" s="31" t="n"/>
      <c r="C977" s="33" t="n"/>
      <c r="D977" s="33" t="n"/>
      <c r="E977" s="33" t="n"/>
      <c r="F977" s="33" t="n"/>
      <c r="G977" s="33" t="n"/>
    </row>
    <row r="978">
      <c r="A978" s="37" t="n"/>
      <c r="B978" s="31" t="n"/>
      <c r="C978" s="33" t="n"/>
      <c r="D978" s="33" t="n"/>
      <c r="E978" s="33" t="n"/>
      <c r="F978" s="33" t="n"/>
      <c r="G978" s="33" t="n"/>
    </row>
    <row r="979">
      <c r="A979" s="37" t="n"/>
      <c r="B979" s="31" t="n"/>
      <c r="C979" s="33" t="n"/>
      <c r="D979" s="33" t="n"/>
      <c r="E979" s="33" t="n"/>
      <c r="F979" s="33" t="n"/>
      <c r="G979" s="33" t="n"/>
    </row>
    <row r="980">
      <c r="A980" s="37" t="n"/>
      <c r="B980" s="31" t="n"/>
      <c r="C980" s="33" t="n"/>
      <c r="D980" s="33" t="n"/>
      <c r="E980" s="33" t="n"/>
      <c r="F980" s="33" t="n"/>
      <c r="G980" s="33" t="n"/>
    </row>
    <row r="981">
      <c r="A981" s="37" t="n"/>
      <c r="B981" s="31" t="n"/>
      <c r="C981" s="33" t="n"/>
      <c r="D981" s="33" t="n"/>
      <c r="E981" s="33" t="n"/>
      <c r="F981" s="33" t="n"/>
      <c r="G981" s="33" t="n"/>
    </row>
    <row r="982">
      <c r="A982" s="37" t="n"/>
      <c r="B982" s="31" t="n"/>
      <c r="C982" s="33" t="n"/>
      <c r="D982" s="33" t="n"/>
      <c r="E982" s="33" t="n"/>
      <c r="F982" s="33" t="n"/>
      <c r="G982" s="33" t="n"/>
    </row>
    <row r="983">
      <c r="A983" s="37" t="n"/>
      <c r="B983" s="31" t="n"/>
      <c r="C983" s="33" t="n"/>
      <c r="D983" s="33" t="n"/>
      <c r="E983" s="33" t="n"/>
      <c r="F983" s="33" t="n"/>
      <c r="G983" s="33" t="n"/>
    </row>
    <row r="984">
      <c r="A984" s="37" t="n"/>
      <c r="B984" s="31" t="n"/>
      <c r="C984" s="33" t="n"/>
      <c r="D984" s="33" t="n"/>
      <c r="E984" s="33" t="n"/>
      <c r="F984" s="33" t="n"/>
      <c r="G984" s="33" t="n"/>
    </row>
    <row r="985">
      <c r="A985" s="37" t="n"/>
      <c r="B985" s="31" t="n"/>
      <c r="C985" s="33" t="n"/>
      <c r="D985" s="33" t="n"/>
      <c r="E985" s="33" t="n"/>
      <c r="F985" s="33" t="n"/>
      <c r="G985" s="33" t="n"/>
    </row>
    <row r="986">
      <c r="A986" s="37" t="n"/>
      <c r="B986" s="31" t="n"/>
      <c r="C986" s="33" t="n"/>
      <c r="D986" s="33" t="n"/>
      <c r="E986" s="33" t="n"/>
      <c r="F986" s="33" t="n"/>
      <c r="G986" s="33" t="n"/>
    </row>
    <row r="987">
      <c r="A987" s="37" t="n"/>
      <c r="B987" s="31" t="n"/>
      <c r="C987" s="33" t="n"/>
      <c r="D987" s="33" t="n"/>
      <c r="E987" s="33" t="n"/>
      <c r="F987" s="33" t="n"/>
      <c r="G987" s="33" t="n"/>
    </row>
    <row r="988">
      <c r="A988" s="37" t="n"/>
      <c r="B988" s="31" t="n"/>
      <c r="C988" s="33" t="n"/>
      <c r="D988" s="33" t="n"/>
      <c r="E988" s="33" t="n"/>
      <c r="F988" s="33" t="n"/>
      <c r="G988" s="33" t="n"/>
    </row>
    <row r="989">
      <c r="A989" s="37" t="n"/>
      <c r="B989" s="31" t="n"/>
      <c r="C989" s="33" t="n"/>
      <c r="D989" s="33" t="n"/>
      <c r="E989" s="33" t="n"/>
      <c r="F989" s="33" t="n"/>
      <c r="G989" s="33" t="n"/>
    </row>
    <row r="990">
      <c r="A990" s="37" t="n"/>
      <c r="B990" s="31" t="n"/>
      <c r="C990" s="33" t="n"/>
      <c r="D990" s="33" t="n"/>
      <c r="E990" s="33" t="n"/>
      <c r="F990" s="33" t="n"/>
      <c r="G990" s="33" t="n"/>
    </row>
    <row r="991">
      <c r="A991" s="37" t="n"/>
      <c r="B991" s="31" t="n"/>
      <c r="C991" s="33" t="n"/>
      <c r="D991" s="33" t="n"/>
      <c r="E991" s="33" t="n"/>
      <c r="F991" s="33" t="n"/>
      <c r="G991" s="33" t="n"/>
    </row>
    <row r="992">
      <c r="A992" s="37" t="n"/>
      <c r="B992" s="31" t="n"/>
      <c r="C992" s="33" t="n"/>
      <c r="D992" s="33" t="n"/>
      <c r="E992" s="33" t="n"/>
      <c r="F992" s="33" t="n"/>
      <c r="G992" s="33" t="n"/>
    </row>
    <row r="993">
      <c r="A993" s="37" t="n"/>
      <c r="B993" s="31" t="n"/>
      <c r="C993" s="33" t="n"/>
      <c r="D993" s="33" t="n"/>
      <c r="E993" s="33" t="n"/>
      <c r="F993" s="33" t="n"/>
      <c r="G993" s="33" t="n"/>
    </row>
    <row r="994">
      <c r="A994" s="37" t="n"/>
      <c r="B994" s="31" t="n"/>
      <c r="C994" s="33" t="n"/>
      <c r="D994" s="33" t="n"/>
      <c r="E994" s="33" t="n"/>
      <c r="F994" s="33" t="n"/>
      <c r="G994" s="33" t="n"/>
    </row>
    <row r="995">
      <c r="A995" s="37" t="n"/>
      <c r="B995" s="31" t="n"/>
      <c r="C995" s="33" t="n"/>
      <c r="D995" s="33" t="n"/>
      <c r="E995" s="33" t="n"/>
      <c r="F995" s="33" t="n"/>
      <c r="G995" s="33" t="n"/>
    </row>
    <row r="996">
      <c r="A996" s="37" t="n"/>
      <c r="B996" s="31" t="n"/>
      <c r="C996" s="33" t="n"/>
      <c r="D996" s="33" t="n"/>
      <c r="E996" s="33" t="n"/>
      <c r="F996" s="33" t="n"/>
      <c r="G996" s="33" t="n"/>
    </row>
    <row r="997">
      <c r="A997" s="37" t="n"/>
      <c r="B997" s="31" t="n"/>
      <c r="C997" s="33" t="n"/>
      <c r="D997" s="33" t="n"/>
      <c r="E997" s="33" t="n"/>
      <c r="F997" s="33" t="n"/>
      <c r="G997" s="33" t="n"/>
    </row>
    <row r="998">
      <c r="A998" s="37" t="n"/>
      <c r="B998" s="31" t="n"/>
      <c r="C998" s="33" t="n"/>
      <c r="D998" s="33" t="n"/>
      <c r="E998" s="33" t="n"/>
      <c r="F998" s="33" t="n"/>
      <c r="G998" s="33" t="n"/>
    </row>
    <row r="999">
      <c r="A999" s="37" t="n"/>
      <c r="B999" s="31" t="n"/>
      <c r="C999" s="33" t="n"/>
      <c r="D999" s="33" t="n"/>
      <c r="E999" s="33" t="n"/>
      <c r="F999" s="33" t="n"/>
      <c r="G999" s="33" t="n"/>
    </row>
    <row r="1000">
      <c r="A1000" s="37" t="n"/>
      <c r="B1000" s="31" t="n"/>
      <c r="C1000" s="33" t="n"/>
      <c r="D1000" s="33" t="n"/>
      <c r="E1000" s="33" t="n"/>
      <c r="F1000" s="33" t="n"/>
      <c r="G1000" s="33" t="n"/>
    </row>
    <row r="1001">
      <c r="A1001" s="37" t="n"/>
      <c r="B1001" s="31" t="n"/>
      <c r="C1001" s="33" t="n"/>
      <c r="D1001" s="33" t="n"/>
      <c r="E1001" s="33" t="n"/>
      <c r="F1001" s="33" t="n"/>
      <c r="G1001" s="33" t="n"/>
    </row>
    <row r="1002">
      <c r="A1002" s="37" t="n"/>
      <c r="B1002" s="31" t="n"/>
      <c r="C1002" s="33" t="n"/>
      <c r="D1002" s="33" t="n"/>
      <c r="E1002" s="33" t="n"/>
      <c r="F1002" s="33" t="n"/>
      <c r="G1002" s="33" t="n"/>
    </row>
    <row r="1003">
      <c r="A1003" s="37" t="n"/>
      <c r="B1003" s="31" t="n"/>
      <c r="C1003" s="33" t="n"/>
      <c r="D1003" s="33" t="n"/>
      <c r="E1003" s="33" t="n"/>
      <c r="F1003" s="33" t="n"/>
      <c r="G1003" s="33" t="n"/>
    </row>
    <row r="1004">
      <c r="A1004" s="37" t="n"/>
      <c r="B1004" s="31" t="n"/>
      <c r="C1004" s="33" t="n"/>
      <c r="D1004" s="33" t="n"/>
      <c r="E1004" s="33" t="n"/>
      <c r="F1004" s="33" t="n"/>
      <c r="G1004" s="33" t="n"/>
    </row>
    <row r="1005">
      <c r="A1005" s="37" t="n"/>
      <c r="B1005" s="31" t="n"/>
      <c r="C1005" s="33" t="n"/>
      <c r="D1005" s="33" t="n"/>
      <c r="E1005" s="33" t="n"/>
      <c r="F1005" s="33" t="n"/>
      <c r="G1005" s="33" t="n"/>
    </row>
    <row r="1006">
      <c r="A1006" s="37" t="n"/>
      <c r="B1006" s="31" t="n"/>
      <c r="C1006" s="33" t="n"/>
      <c r="D1006" s="33" t="n"/>
      <c r="E1006" s="33" t="n"/>
      <c r="F1006" s="33" t="n"/>
      <c r="G1006" s="33" t="n"/>
    </row>
    <row r="1007">
      <c r="A1007" s="37" t="n"/>
      <c r="B1007" s="31" t="n"/>
      <c r="C1007" s="33" t="n"/>
      <c r="D1007" s="33" t="n"/>
      <c r="E1007" s="33" t="n"/>
      <c r="F1007" s="33" t="n"/>
      <c r="G1007" s="33" t="n"/>
    </row>
    <row r="1008">
      <c r="A1008" s="37" t="n"/>
      <c r="B1008" s="31" t="n"/>
      <c r="C1008" s="33" t="n"/>
      <c r="D1008" s="33" t="n"/>
      <c r="E1008" s="33" t="n"/>
      <c r="F1008" s="33" t="n"/>
      <c r="G1008" s="33" t="n"/>
    </row>
    <row r="1009">
      <c r="A1009" s="37" t="n"/>
      <c r="B1009" s="31" t="n"/>
      <c r="C1009" s="33" t="n"/>
      <c r="D1009" s="33" t="n"/>
      <c r="E1009" s="33" t="n"/>
      <c r="F1009" s="33" t="n"/>
      <c r="G1009" s="33" t="n"/>
    </row>
    <row r="1010">
      <c r="A1010" s="37" t="n"/>
      <c r="B1010" s="31" t="n"/>
      <c r="C1010" s="33" t="n"/>
      <c r="D1010" s="33" t="n"/>
      <c r="E1010" s="33" t="n"/>
      <c r="F1010" s="33" t="n"/>
      <c r="G1010" s="33" t="n"/>
    </row>
    <row r="1011">
      <c r="A1011" s="37" t="n"/>
      <c r="B1011" s="31" t="n"/>
      <c r="C1011" s="33" t="n"/>
      <c r="D1011" s="33" t="n"/>
      <c r="E1011" s="33" t="n"/>
      <c r="F1011" s="33" t="n"/>
      <c r="G1011" s="33" t="n"/>
    </row>
    <row r="1012">
      <c r="A1012" s="37" t="n"/>
      <c r="B1012" s="31" t="n"/>
      <c r="C1012" s="33" t="n"/>
      <c r="D1012" s="33" t="n"/>
      <c r="E1012" s="33" t="n"/>
      <c r="F1012" s="33" t="n"/>
      <c r="G1012" s="33" t="n"/>
    </row>
    <row r="1013">
      <c r="A1013" s="37" t="n"/>
      <c r="B1013" s="31" t="n"/>
      <c r="C1013" s="33" t="n"/>
      <c r="D1013" s="33" t="n"/>
      <c r="E1013" s="33" t="n"/>
      <c r="F1013" s="33" t="n"/>
      <c r="G1013" s="33" t="n"/>
    </row>
    <row r="1014">
      <c r="A1014" s="37" t="n"/>
      <c r="B1014" s="31" t="n"/>
      <c r="C1014" s="33" t="n"/>
      <c r="D1014" s="33" t="n"/>
      <c r="E1014" s="33" t="n"/>
      <c r="F1014" s="33" t="n"/>
      <c r="G1014" s="33" t="n"/>
    </row>
    <row r="1015">
      <c r="A1015" s="37" t="n"/>
      <c r="B1015" s="31" t="n"/>
      <c r="C1015" s="33" t="n"/>
      <c r="D1015" s="33" t="n"/>
      <c r="E1015" s="33" t="n"/>
      <c r="F1015" s="33" t="n"/>
      <c r="G1015" s="33" t="n"/>
    </row>
    <row r="1016">
      <c r="A1016" s="37" t="n"/>
      <c r="B1016" s="31" t="n"/>
      <c r="C1016" s="33" t="n"/>
      <c r="D1016" s="33" t="n"/>
      <c r="E1016" s="33" t="n"/>
      <c r="F1016" s="33" t="n"/>
      <c r="G1016" s="33" t="n"/>
    </row>
    <row r="1017">
      <c r="A1017" s="37" t="n"/>
      <c r="B1017" s="31" t="n"/>
      <c r="C1017" s="33" t="n"/>
      <c r="D1017" s="33" t="n"/>
      <c r="E1017" s="33" t="n"/>
      <c r="F1017" s="33" t="n"/>
      <c r="G1017" s="33" t="n"/>
    </row>
    <row r="1018">
      <c r="A1018" s="37" t="n"/>
      <c r="B1018" s="31" t="n"/>
      <c r="C1018" s="33" t="n"/>
      <c r="D1018" s="33" t="n"/>
      <c r="E1018" s="33" t="n"/>
      <c r="F1018" s="33" t="n"/>
      <c r="G1018" s="33" t="n"/>
    </row>
    <row r="1019">
      <c r="A1019" s="37" t="n"/>
      <c r="B1019" s="31" t="n"/>
      <c r="C1019" s="33" t="n"/>
      <c r="D1019" s="33" t="n"/>
      <c r="E1019" s="33" t="n"/>
      <c r="F1019" s="33" t="n"/>
      <c r="G1019" s="33" t="n"/>
    </row>
    <row r="1020">
      <c r="A1020" s="37" t="n"/>
      <c r="B1020" s="31" t="n"/>
      <c r="C1020" s="33" t="n"/>
      <c r="D1020" s="33" t="n"/>
      <c r="E1020" s="33" t="n"/>
      <c r="F1020" s="33" t="n"/>
      <c r="G1020" s="33" t="n"/>
    </row>
    <row r="1021">
      <c r="A1021" s="37" t="n"/>
      <c r="B1021" s="31" t="n"/>
      <c r="C1021" s="33" t="n"/>
      <c r="D1021" s="33" t="n"/>
      <c r="E1021" s="33" t="n"/>
      <c r="F1021" s="33" t="n"/>
      <c r="G1021" s="33" t="n"/>
    </row>
    <row r="1022">
      <c r="A1022" s="37" t="n"/>
      <c r="B1022" s="31" t="n"/>
      <c r="C1022" s="33" t="n"/>
      <c r="D1022" s="33" t="n"/>
      <c r="E1022" s="33" t="n"/>
      <c r="F1022" s="33" t="n"/>
      <c r="G1022" s="33" t="n"/>
    </row>
    <row r="1023">
      <c r="A1023" s="37" t="n"/>
      <c r="B1023" s="31" t="n"/>
      <c r="C1023" s="33" t="n"/>
      <c r="D1023" s="33" t="n"/>
      <c r="E1023" s="33" t="n"/>
      <c r="F1023" s="33" t="n"/>
      <c r="G1023" s="33" t="n"/>
    </row>
    <row r="1024">
      <c r="A1024" s="37" t="n"/>
      <c r="B1024" s="31" t="n"/>
      <c r="C1024" s="33" t="n"/>
      <c r="D1024" s="33" t="n"/>
      <c r="E1024" s="33" t="n"/>
      <c r="F1024" s="33" t="n"/>
      <c r="G1024" s="33" t="n"/>
    </row>
    <row r="1025">
      <c r="A1025" s="37" t="n"/>
      <c r="B1025" s="31" t="n"/>
      <c r="C1025" s="33" t="n"/>
      <c r="D1025" s="33" t="n"/>
      <c r="E1025" s="33" t="n"/>
      <c r="F1025" s="33" t="n"/>
      <c r="G1025" s="33" t="n"/>
    </row>
    <row r="1026">
      <c r="A1026" s="37" t="n"/>
      <c r="B1026" s="31" t="n"/>
      <c r="C1026" s="33" t="n"/>
      <c r="D1026" s="33" t="n"/>
      <c r="E1026" s="33" t="n"/>
      <c r="F1026" s="33" t="n"/>
      <c r="G1026" s="33" t="n"/>
    </row>
    <row r="1027">
      <c r="A1027" s="37" t="n"/>
      <c r="B1027" s="31" t="n"/>
      <c r="C1027" s="33" t="n"/>
      <c r="D1027" s="33" t="n"/>
      <c r="E1027" s="33" t="n"/>
      <c r="F1027" s="33" t="n"/>
      <c r="G1027" s="33" t="n"/>
    </row>
    <row r="1028">
      <c r="A1028" s="37" t="n"/>
      <c r="B1028" s="31" t="n"/>
      <c r="C1028" s="33" t="n"/>
      <c r="D1028" s="33" t="n"/>
      <c r="E1028" s="33" t="n"/>
      <c r="F1028" s="33" t="n"/>
      <c r="G1028" s="33" t="n"/>
    </row>
    <row r="1029">
      <c r="A1029" s="37" t="n"/>
      <c r="B1029" s="31" t="n"/>
      <c r="C1029" s="33" t="n"/>
      <c r="D1029" s="33" t="n"/>
      <c r="E1029" s="33" t="n"/>
      <c r="F1029" s="33" t="n"/>
      <c r="G1029" s="33" t="n"/>
    </row>
    <row r="1030">
      <c r="A1030" s="37" t="n"/>
      <c r="B1030" s="31" t="n"/>
      <c r="C1030" s="33" t="n"/>
      <c r="D1030" s="33" t="n"/>
      <c r="E1030" s="33" t="n"/>
      <c r="F1030" s="33" t="n"/>
      <c r="G1030" s="33" t="n"/>
    </row>
    <row r="1031">
      <c r="A1031" s="37" t="n"/>
      <c r="B1031" s="31" t="n"/>
      <c r="C1031" s="33" t="n"/>
      <c r="D1031" s="33" t="n"/>
      <c r="E1031" s="33" t="n"/>
      <c r="F1031" s="33" t="n"/>
      <c r="G1031" s="33" t="n"/>
    </row>
    <row r="1032">
      <c r="A1032" s="37" t="n"/>
      <c r="B1032" s="31" t="n"/>
      <c r="C1032" s="33" t="n"/>
      <c r="D1032" s="33" t="n"/>
      <c r="E1032" s="33" t="n"/>
      <c r="F1032" s="33" t="n"/>
      <c r="G1032" s="33" t="n"/>
    </row>
    <row r="1033">
      <c r="A1033" s="37" t="n"/>
      <c r="B1033" s="31" t="n"/>
      <c r="C1033" s="33" t="n"/>
      <c r="D1033" s="33" t="n"/>
      <c r="E1033" s="33" t="n"/>
      <c r="F1033" s="33" t="n"/>
      <c r="G1033" s="33" t="n"/>
    </row>
    <row r="1034">
      <c r="A1034" s="37" t="n"/>
      <c r="B1034" s="31" t="n"/>
      <c r="C1034" s="33" t="n"/>
      <c r="D1034" s="33" t="n"/>
      <c r="E1034" s="33" t="n"/>
      <c r="F1034" s="33" t="n"/>
      <c r="G1034" s="33" t="n"/>
    </row>
    <row r="1035">
      <c r="A1035" s="37" t="n"/>
      <c r="B1035" s="31" t="n"/>
      <c r="C1035" s="33" t="n"/>
      <c r="D1035" s="33" t="n"/>
      <c r="E1035" s="33" t="n"/>
      <c r="F1035" s="33" t="n"/>
      <c r="G1035" s="33" t="n"/>
    </row>
    <row r="1036">
      <c r="A1036" s="37" t="n"/>
      <c r="B1036" s="31" t="n"/>
      <c r="C1036" s="33" t="n"/>
      <c r="D1036" s="33" t="n"/>
      <c r="E1036" s="33" t="n"/>
      <c r="F1036" s="33" t="n"/>
      <c r="G1036" s="33" t="n"/>
    </row>
    <row r="1037">
      <c r="A1037" s="37" t="n"/>
      <c r="B1037" s="31" t="n"/>
      <c r="C1037" s="33" t="n"/>
      <c r="D1037" s="33" t="n"/>
      <c r="E1037" s="33" t="n"/>
      <c r="F1037" s="33" t="n"/>
      <c r="G1037" s="33" t="n"/>
    </row>
    <row r="1038">
      <c r="A1038" s="37" t="n"/>
      <c r="B1038" s="31" t="n"/>
      <c r="C1038" s="33" t="n"/>
      <c r="D1038" s="33" t="n"/>
      <c r="E1038" s="33" t="n"/>
      <c r="F1038" s="33" t="n"/>
      <c r="G1038" s="33" t="n"/>
    </row>
    <row r="1039">
      <c r="A1039" s="37" t="n"/>
      <c r="B1039" s="31" t="n"/>
      <c r="C1039" s="33" t="n"/>
      <c r="D1039" s="33" t="n"/>
      <c r="E1039" s="33" t="n"/>
      <c r="F1039" s="33" t="n"/>
      <c r="G1039" s="33" t="n"/>
    </row>
    <row r="1040">
      <c r="A1040" s="37" t="n"/>
      <c r="B1040" s="31" t="n"/>
      <c r="C1040" s="33" t="n"/>
      <c r="D1040" s="33" t="n"/>
      <c r="E1040" s="33" t="n"/>
      <c r="F1040" s="33" t="n"/>
      <c r="G1040" s="33" t="n"/>
    </row>
    <row r="1041">
      <c r="A1041" s="37" t="n"/>
      <c r="B1041" s="31" t="n"/>
      <c r="C1041" s="33" t="n"/>
      <c r="D1041" s="33" t="n"/>
      <c r="E1041" s="33" t="n"/>
      <c r="F1041" s="33" t="n"/>
      <c r="G1041" s="33" t="n"/>
    </row>
    <row r="1042">
      <c r="A1042" s="37" t="n"/>
      <c r="B1042" s="31" t="n"/>
      <c r="C1042" s="33" t="n"/>
      <c r="D1042" s="33" t="n"/>
      <c r="E1042" s="33" t="n"/>
      <c r="F1042" s="33" t="n"/>
      <c r="G1042" s="33" t="n"/>
    </row>
    <row r="1043">
      <c r="A1043" s="37" t="n"/>
      <c r="B1043" s="31" t="n"/>
      <c r="C1043" s="33" t="n"/>
      <c r="D1043" s="33" t="n"/>
      <c r="E1043" s="33" t="n"/>
      <c r="F1043" s="33" t="n"/>
      <c r="G1043" s="33" t="n"/>
    </row>
    <row r="1044">
      <c r="A1044" s="37" t="n"/>
      <c r="B1044" s="31" t="n"/>
      <c r="C1044" s="33" t="n"/>
      <c r="D1044" s="33" t="n"/>
      <c r="E1044" s="33" t="n"/>
      <c r="F1044" s="33" t="n"/>
      <c r="G1044" s="33" t="n"/>
    </row>
    <row r="1045">
      <c r="A1045" s="37" t="n"/>
      <c r="B1045" s="31" t="n"/>
      <c r="C1045" s="33" t="n"/>
      <c r="D1045" s="33" t="n"/>
      <c r="E1045" s="33" t="n"/>
      <c r="F1045" s="33" t="n"/>
      <c r="G1045" s="33" t="n"/>
    </row>
    <row r="1046">
      <c r="A1046" s="37" t="n"/>
      <c r="B1046" s="31" t="n"/>
      <c r="C1046" s="33" t="n"/>
      <c r="D1046" s="33" t="n"/>
      <c r="E1046" s="33" t="n"/>
      <c r="F1046" s="33" t="n"/>
      <c r="G1046" s="33" t="n"/>
    </row>
    <row r="1047">
      <c r="A1047" s="37" t="n"/>
      <c r="B1047" s="31" t="n"/>
      <c r="C1047" s="33" t="n"/>
      <c r="D1047" s="33" t="n"/>
      <c r="E1047" s="33" t="n"/>
      <c r="F1047" s="33" t="n"/>
      <c r="G1047" s="33" t="n"/>
    </row>
    <row r="1048">
      <c r="A1048" s="37" t="n"/>
      <c r="B1048" s="31" t="n"/>
      <c r="C1048" s="33" t="n"/>
      <c r="D1048" s="33" t="n"/>
      <c r="E1048" s="33" t="n"/>
      <c r="F1048" s="33" t="n"/>
      <c r="G1048" s="33" t="n"/>
    </row>
    <row r="1049">
      <c r="A1049" s="37" t="n"/>
      <c r="B1049" s="31" t="n"/>
      <c r="C1049" s="33" t="n"/>
      <c r="D1049" s="33" t="n"/>
      <c r="E1049" s="33" t="n"/>
      <c r="F1049" s="33" t="n"/>
      <c r="G1049" s="33" t="n"/>
    </row>
    <row r="1050">
      <c r="A1050" s="37" t="n"/>
      <c r="B1050" s="31" t="n"/>
      <c r="C1050" s="33" t="n"/>
      <c r="D1050" s="33" t="n"/>
      <c r="E1050" s="33" t="n"/>
      <c r="F1050" s="33" t="n"/>
      <c r="G1050" s="33" t="n"/>
    </row>
    <row r="1051">
      <c r="A1051" s="37" t="n"/>
      <c r="B1051" s="31" t="n"/>
      <c r="C1051" s="33" t="n"/>
      <c r="D1051" s="33" t="n"/>
      <c r="E1051" s="33" t="n"/>
      <c r="F1051" s="33" t="n"/>
      <c r="G1051" s="33" t="n"/>
    </row>
    <row r="1052">
      <c r="A1052" s="37" t="n"/>
      <c r="B1052" s="31" t="n"/>
      <c r="C1052" s="33" t="n"/>
      <c r="D1052" s="33" t="n"/>
      <c r="E1052" s="33" t="n"/>
      <c r="F1052" s="33" t="n"/>
      <c r="G1052" s="33" t="n"/>
    </row>
    <row r="1053">
      <c r="A1053" s="37" t="n"/>
      <c r="B1053" s="31" t="n"/>
      <c r="C1053" s="33" t="n"/>
      <c r="D1053" s="33" t="n"/>
      <c r="E1053" s="33" t="n"/>
      <c r="F1053" s="33" t="n"/>
      <c r="G1053" s="33" t="n"/>
    </row>
    <row r="1054">
      <c r="A1054" s="37" t="n"/>
      <c r="B1054" s="31" t="n"/>
      <c r="C1054" s="33" t="n"/>
      <c r="D1054" s="33" t="n"/>
      <c r="E1054" s="33" t="n"/>
      <c r="F1054" s="33" t="n"/>
      <c r="G1054" s="33" t="n"/>
    </row>
    <row r="1055">
      <c r="A1055" s="37" t="n"/>
      <c r="B1055" s="31" t="n"/>
      <c r="C1055" s="33" t="n"/>
      <c r="D1055" s="33" t="n"/>
      <c r="E1055" s="33" t="n"/>
      <c r="F1055" s="33" t="n"/>
      <c r="G1055" s="33" t="n"/>
    </row>
    <row r="1056">
      <c r="A1056" s="37" t="n"/>
      <c r="B1056" s="31" t="n"/>
      <c r="C1056" s="33" t="n"/>
      <c r="D1056" s="33" t="n"/>
      <c r="E1056" s="33" t="n"/>
      <c r="F1056" s="33" t="n"/>
      <c r="G1056" s="33" t="n"/>
    </row>
    <row r="1057">
      <c r="A1057" s="37" t="n"/>
      <c r="B1057" s="31" t="n"/>
      <c r="C1057" s="33" t="n"/>
      <c r="D1057" s="33" t="n"/>
      <c r="E1057" s="33" t="n"/>
      <c r="F1057" s="33" t="n"/>
      <c r="G1057" s="33" t="n"/>
    </row>
    <row r="1058">
      <c r="A1058" s="37" t="n"/>
      <c r="B1058" s="31" t="n"/>
      <c r="C1058" s="33" t="n"/>
      <c r="D1058" s="33" t="n"/>
      <c r="E1058" s="33" t="n"/>
      <c r="F1058" s="33" t="n"/>
      <c r="G1058" s="33" t="n"/>
    </row>
    <row r="1059">
      <c r="A1059" s="37" t="n"/>
      <c r="B1059" s="31" t="n"/>
      <c r="C1059" s="33" t="n"/>
      <c r="D1059" s="33" t="n"/>
      <c r="E1059" s="33" t="n"/>
      <c r="F1059" s="33" t="n"/>
      <c r="G1059" s="33" t="n"/>
    </row>
    <row r="1060">
      <c r="A1060" s="37" t="n"/>
      <c r="B1060" s="31" t="n"/>
      <c r="C1060" s="33" t="n"/>
      <c r="D1060" s="33" t="n"/>
      <c r="E1060" s="33" t="n"/>
      <c r="F1060" s="33" t="n"/>
      <c r="G1060" s="33" t="n"/>
    </row>
    <row r="1061">
      <c r="A1061" s="37" t="n"/>
      <c r="B1061" s="31" t="n"/>
      <c r="C1061" s="33" t="n"/>
      <c r="D1061" s="33" t="n"/>
      <c r="E1061" s="33" t="n"/>
      <c r="F1061" s="33" t="n"/>
      <c r="G1061" s="33" t="n"/>
    </row>
    <row r="1062">
      <c r="A1062" s="37" t="n"/>
      <c r="B1062" s="31" t="n"/>
      <c r="C1062" s="33" t="n"/>
      <c r="D1062" s="33" t="n"/>
      <c r="E1062" s="33" t="n"/>
      <c r="F1062" s="33" t="n"/>
      <c r="G1062" s="33" t="n"/>
    </row>
    <row r="1063">
      <c r="A1063" s="37" t="n"/>
      <c r="B1063" s="31" t="n"/>
      <c r="C1063" s="33" t="n"/>
      <c r="D1063" s="33" t="n"/>
      <c r="E1063" s="33" t="n"/>
      <c r="F1063" s="33" t="n"/>
      <c r="G1063" s="33" t="n"/>
    </row>
    <row r="1064">
      <c r="A1064" s="37" t="n"/>
      <c r="B1064" s="31" t="n"/>
      <c r="C1064" s="33" t="n"/>
      <c r="D1064" s="33" t="n"/>
      <c r="E1064" s="33" t="n"/>
      <c r="F1064" s="33" t="n"/>
      <c r="G1064" s="33" t="n"/>
    </row>
    <row r="1065">
      <c r="A1065" s="37" t="n"/>
      <c r="B1065" s="31" t="n"/>
      <c r="C1065" s="33" t="n"/>
      <c r="D1065" s="33" t="n"/>
      <c r="E1065" s="33" t="n"/>
      <c r="F1065" s="33" t="n"/>
      <c r="G1065" s="33" t="n"/>
    </row>
    <row r="1066">
      <c r="A1066" s="37" t="n"/>
      <c r="B1066" s="31" t="n"/>
      <c r="C1066" s="33" t="n"/>
      <c r="D1066" s="33" t="n"/>
      <c r="E1066" s="33" t="n"/>
      <c r="F1066" s="33" t="n"/>
      <c r="G1066" s="33" t="n"/>
    </row>
    <row r="1067">
      <c r="A1067" s="37" t="n"/>
      <c r="B1067" s="31" t="n"/>
      <c r="C1067" s="33" t="n"/>
      <c r="D1067" s="33" t="n"/>
      <c r="E1067" s="33" t="n"/>
      <c r="F1067" s="33" t="n"/>
      <c r="G1067" s="33" t="n"/>
    </row>
    <row r="1068">
      <c r="A1068" s="37" t="n"/>
      <c r="B1068" s="31" t="n"/>
      <c r="C1068" s="33" t="n"/>
      <c r="D1068" s="33" t="n"/>
      <c r="E1068" s="33" t="n"/>
      <c r="F1068" s="33" t="n"/>
      <c r="G1068" s="33" t="n"/>
    </row>
    <row r="1069">
      <c r="A1069" s="37" t="n"/>
      <c r="B1069" s="31" t="n"/>
      <c r="C1069" s="33" t="n"/>
      <c r="D1069" s="33" t="n"/>
      <c r="E1069" s="33" t="n"/>
      <c r="F1069" s="33" t="n"/>
      <c r="G1069" s="33" t="n"/>
    </row>
    <row r="1070">
      <c r="A1070" s="37" t="n"/>
      <c r="B1070" s="31" t="n"/>
      <c r="C1070" s="33" t="n"/>
      <c r="D1070" s="33" t="n"/>
      <c r="E1070" s="33" t="n"/>
      <c r="F1070" s="33" t="n"/>
      <c r="G1070" s="33" t="n"/>
    </row>
    <row r="1071">
      <c r="A1071" s="37" t="n"/>
      <c r="B1071" s="31" t="n"/>
      <c r="C1071" s="33" t="n"/>
      <c r="D1071" s="33" t="n"/>
      <c r="E1071" s="33" t="n"/>
      <c r="F1071" s="33" t="n"/>
      <c r="G1071" s="33" t="n"/>
    </row>
    <row r="1072">
      <c r="A1072" s="37" t="n"/>
      <c r="B1072" s="31" t="n"/>
      <c r="C1072" s="33" t="n"/>
      <c r="D1072" s="33" t="n"/>
      <c r="E1072" s="33" t="n"/>
      <c r="F1072" s="33" t="n"/>
      <c r="G1072" s="33" t="n"/>
    </row>
    <row r="1073">
      <c r="A1073" s="37" t="n"/>
      <c r="B1073" s="31" t="n"/>
      <c r="C1073" s="33" t="n"/>
      <c r="D1073" s="33" t="n"/>
      <c r="E1073" s="33" t="n"/>
      <c r="F1073" s="33" t="n"/>
      <c r="G1073" s="33" t="n"/>
    </row>
    <row r="1074">
      <c r="A1074" s="37" t="n"/>
      <c r="B1074" s="31" t="n"/>
      <c r="C1074" s="33" t="n"/>
      <c r="D1074" s="33" t="n"/>
      <c r="E1074" s="33" t="n"/>
      <c r="F1074" s="33" t="n"/>
      <c r="G1074" s="33" t="n"/>
    </row>
    <row r="1075">
      <c r="A1075" s="37" t="n"/>
      <c r="B1075" s="31" t="n"/>
      <c r="C1075" s="33" t="n"/>
      <c r="D1075" s="33" t="n"/>
      <c r="E1075" s="33" t="n"/>
      <c r="F1075" s="33" t="n"/>
      <c r="G1075" s="33" t="n"/>
    </row>
    <row r="1076">
      <c r="A1076" s="37" t="n"/>
      <c r="B1076" s="31" t="n"/>
      <c r="C1076" s="33" t="n"/>
      <c r="D1076" s="33" t="n"/>
      <c r="E1076" s="33" t="n"/>
      <c r="F1076" s="33" t="n"/>
      <c r="G1076" s="33" t="n"/>
    </row>
    <row r="1077">
      <c r="A1077" s="37" t="n"/>
      <c r="B1077" s="31" t="n"/>
      <c r="C1077" s="33" t="n"/>
      <c r="D1077" s="33" t="n"/>
      <c r="E1077" s="33" t="n"/>
      <c r="F1077" s="33" t="n"/>
      <c r="G1077" s="33" t="n"/>
    </row>
    <row r="1078">
      <c r="A1078" s="37" t="n"/>
      <c r="B1078" s="31" t="n"/>
      <c r="C1078" s="33" t="n"/>
      <c r="D1078" s="33" t="n"/>
      <c r="E1078" s="33" t="n"/>
      <c r="F1078" s="33" t="n"/>
      <c r="G1078" s="33" t="n"/>
    </row>
    <row r="1079">
      <c r="A1079" s="37" t="n"/>
      <c r="B1079" s="31" t="n"/>
      <c r="C1079" s="33" t="n"/>
      <c r="D1079" s="33" t="n"/>
      <c r="E1079" s="33" t="n"/>
      <c r="F1079" s="33" t="n"/>
      <c r="G1079" s="33" t="n"/>
    </row>
    <row r="1080">
      <c r="A1080" s="37" t="n"/>
      <c r="B1080" s="31" t="n"/>
      <c r="C1080" s="33" t="n"/>
      <c r="D1080" s="33" t="n"/>
      <c r="E1080" s="33" t="n"/>
      <c r="F1080" s="33" t="n"/>
      <c r="G1080" s="33" t="n"/>
    </row>
    <row r="1081">
      <c r="A1081" s="37" t="n"/>
      <c r="B1081" s="31" t="n"/>
      <c r="C1081" s="33" t="n"/>
      <c r="D1081" s="33" t="n"/>
      <c r="E1081" s="33" t="n"/>
      <c r="F1081" s="33" t="n"/>
      <c r="G1081" s="33" t="n"/>
    </row>
    <row r="1082">
      <c r="A1082" s="37" t="n"/>
      <c r="B1082" s="31" t="n"/>
      <c r="C1082" s="33" t="n"/>
      <c r="D1082" s="33" t="n"/>
      <c r="E1082" s="33" t="n"/>
      <c r="F1082" s="33" t="n"/>
      <c r="G1082" s="33" t="n"/>
    </row>
    <row r="1083">
      <c r="A1083" s="37" t="n"/>
      <c r="B1083" s="31" t="n"/>
      <c r="C1083" s="33" t="n"/>
      <c r="D1083" s="33" t="n"/>
      <c r="E1083" s="33" t="n"/>
      <c r="F1083" s="33" t="n"/>
      <c r="G1083" s="33" t="n"/>
    </row>
    <row r="1084">
      <c r="A1084" s="37" t="n"/>
      <c r="B1084" s="31" t="n"/>
      <c r="C1084" s="33" t="n"/>
      <c r="D1084" s="33" t="n"/>
      <c r="E1084" s="33" t="n"/>
      <c r="F1084" s="33" t="n"/>
      <c r="G1084" s="33" t="n"/>
    </row>
    <row r="1085">
      <c r="A1085" s="37" t="n"/>
      <c r="B1085" s="31" t="n"/>
      <c r="C1085" s="33" t="n"/>
      <c r="D1085" s="33" t="n"/>
      <c r="E1085" s="33" t="n"/>
      <c r="F1085" s="33" t="n"/>
      <c r="G1085" s="33" t="n"/>
    </row>
    <row r="1086">
      <c r="A1086" s="37" t="n"/>
      <c r="B1086" s="31" t="n"/>
      <c r="C1086" s="33" t="n"/>
      <c r="D1086" s="33" t="n"/>
      <c r="E1086" s="33" t="n"/>
      <c r="F1086" s="33" t="n"/>
      <c r="G1086" s="33" t="n"/>
    </row>
    <row r="1087">
      <c r="A1087" s="37" t="n"/>
      <c r="B1087" s="31" t="n"/>
      <c r="C1087" s="33" t="n"/>
      <c r="D1087" s="33" t="n"/>
      <c r="E1087" s="33" t="n"/>
      <c r="F1087" s="33" t="n"/>
      <c r="G1087" s="33" t="n"/>
    </row>
    <row r="1088">
      <c r="A1088" s="37" t="n"/>
      <c r="B1088" s="31" t="n"/>
      <c r="C1088" s="33" t="n"/>
      <c r="D1088" s="33" t="n"/>
      <c r="E1088" s="33" t="n"/>
      <c r="F1088" s="33" t="n"/>
      <c r="G1088" s="33" t="n"/>
    </row>
    <row r="1089">
      <c r="A1089" s="37" t="n"/>
      <c r="B1089" s="31" t="n"/>
      <c r="C1089" s="33" t="n"/>
      <c r="D1089" s="33" t="n"/>
      <c r="E1089" s="33" t="n"/>
      <c r="F1089" s="33" t="n"/>
      <c r="G1089" s="33" t="n"/>
    </row>
    <row r="1090">
      <c r="A1090" s="37" t="n"/>
      <c r="B1090" s="31" t="n"/>
      <c r="C1090" s="33" t="n"/>
      <c r="D1090" s="33" t="n"/>
      <c r="E1090" s="33" t="n"/>
      <c r="F1090" s="33" t="n"/>
      <c r="G1090" s="33" t="n"/>
    </row>
    <row r="1091">
      <c r="A1091" s="37" t="n"/>
      <c r="B1091" s="31" t="n"/>
      <c r="C1091" s="33" t="n"/>
      <c r="D1091" s="33" t="n"/>
      <c r="E1091" s="33" t="n"/>
      <c r="F1091" s="33" t="n"/>
      <c r="G1091" s="33" t="n"/>
    </row>
    <row r="1092">
      <c r="A1092" s="37" t="n"/>
      <c r="B1092" s="31" t="n"/>
      <c r="C1092" s="33" t="n"/>
      <c r="D1092" s="33" t="n"/>
      <c r="E1092" s="33" t="n"/>
      <c r="F1092" s="33" t="n"/>
      <c r="G1092" s="33" t="n"/>
    </row>
    <row r="1093">
      <c r="A1093" s="37" t="n"/>
      <c r="B1093" s="31" t="n"/>
      <c r="C1093" s="33" t="n"/>
      <c r="D1093" s="33" t="n"/>
      <c r="E1093" s="33" t="n"/>
      <c r="F1093" s="33" t="n"/>
      <c r="G1093" s="33" t="n"/>
    </row>
    <row r="1094">
      <c r="A1094" s="37" t="n"/>
      <c r="B1094" s="31" t="n"/>
      <c r="C1094" s="33" t="n"/>
      <c r="D1094" s="33" t="n"/>
      <c r="E1094" s="33" t="n"/>
      <c r="F1094" s="33" t="n"/>
      <c r="G1094" s="33" t="n"/>
    </row>
    <row r="1095">
      <c r="A1095" s="37" t="n"/>
      <c r="B1095" s="31" t="n"/>
      <c r="C1095" s="33" t="n"/>
      <c r="D1095" s="33" t="n"/>
      <c r="E1095" s="33" t="n"/>
      <c r="F1095" s="33" t="n"/>
      <c r="G1095" s="33" t="n"/>
    </row>
    <row r="1096">
      <c r="A1096" s="37" t="n"/>
      <c r="B1096" s="31" t="n"/>
      <c r="C1096" s="33" t="n"/>
      <c r="D1096" s="33" t="n"/>
      <c r="E1096" s="33" t="n"/>
      <c r="F1096" s="33" t="n"/>
      <c r="G1096" s="33" t="n"/>
    </row>
    <row r="1097">
      <c r="A1097" s="37" t="n"/>
      <c r="B1097" s="31" t="n"/>
      <c r="C1097" s="33" t="n"/>
      <c r="D1097" s="33" t="n"/>
      <c r="E1097" s="33" t="n"/>
      <c r="F1097" s="33" t="n"/>
      <c r="G1097" s="33" t="n"/>
    </row>
    <row r="1098">
      <c r="A1098" s="37" t="n"/>
      <c r="B1098" s="31" t="n"/>
      <c r="C1098" s="33" t="n"/>
      <c r="D1098" s="33" t="n"/>
      <c r="E1098" s="33" t="n"/>
      <c r="F1098" s="33" t="n"/>
      <c r="G1098" s="33" t="n"/>
    </row>
    <row r="1099">
      <c r="A1099" s="37" t="n"/>
      <c r="B1099" s="31" t="n"/>
      <c r="C1099" s="33" t="n"/>
      <c r="D1099" s="33" t="n"/>
      <c r="E1099" s="33" t="n"/>
      <c r="F1099" s="33" t="n"/>
      <c r="G1099" s="33" t="n"/>
    </row>
    <row r="1100">
      <c r="A1100" s="37" t="n"/>
      <c r="B1100" s="31" t="n"/>
      <c r="C1100" s="33" t="n"/>
      <c r="D1100" s="33" t="n"/>
      <c r="E1100" s="33" t="n"/>
      <c r="F1100" s="33" t="n"/>
      <c r="G1100" s="33" t="n"/>
    </row>
    <row r="1101">
      <c r="A1101" s="37" t="n"/>
      <c r="B1101" s="31" t="n"/>
      <c r="C1101" s="33" t="n"/>
      <c r="D1101" s="33" t="n"/>
      <c r="E1101" s="33" t="n"/>
      <c r="F1101" s="33" t="n"/>
      <c r="G1101" s="33" t="n"/>
    </row>
    <row r="1102">
      <c r="A1102" s="37" t="n"/>
      <c r="B1102" s="31" t="n"/>
      <c r="C1102" s="33" t="n"/>
      <c r="D1102" s="33" t="n"/>
      <c r="E1102" s="33" t="n"/>
      <c r="F1102" s="33" t="n"/>
      <c r="G1102" s="33" t="n"/>
    </row>
    <row r="1103">
      <c r="A1103" s="37" t="n"/>
      <c r="B1103" s="31" t="n"/>
      <c r="C1103" s="33" t="n"/>
      <c r="D1103" s="33" t="n"/>
      <c r="E1103" s="33" t="n"/>
      <c r="F1103" s="33" t="n"/>
      <c r="G1103" s="33" t="n"/>
    </row>
    <row r="1104">
      <c r="A1104" s="37" t="n"/>
      <c r="B1104" s="31" t="n"/>
      <c r="C1104" s="33" t="n"/>
      <c r="D1104" s="33" t="n"/>
      <c r="E1104" s="33" t="n"/>
      <c r="F1104" s="33" t="n"/>
      <c r="G1104" s="33" t="n"/>
    </row>
    <row r="1105">
      <c r="A1105" s="37" t="n"/>
      <c r="B1105" s="31" t="n"/>
      <c r="C1105" s="33" t="n"/>
      <c r="D1105" s="33" t="n"/>
      <c r="E1105" s="33" t="n"/>
      <c r="F1105" s="33" t="n"/>
      <c r="G1105" s="33" t="n"/>
    </row>
    <row r="1106">
      <c r="A1106" s="37" t="n"/>
      <c r="B1106" s="31" t="n"/>
      <c r="C1106" s="33" t="n"/>
      <c r="D1106" s="33" t="n"/>
      <c r="E1106" s="33" t="n"/>
      <c r="F1106" s="33" t="n"/>
      <c r="G1106" s="33" t="n"/>
    </row>
    <row r="1107">
      <c r="A1107" s="37" t="n"/>
      <c r="B1107" s="31" t="n"/>
      <c r="C1107" s="33" t="n"/>
      <c r="D1107" s="33" t="n"/>
      <c r="E1107" s="33" t="n"/>
      <c r="F1107" s="33" t="n"/>
      <c r="G1107" s="33" t="n"/>
    </row>
    <row r="1108">
      <c r="A1108" s="37" t="n"/>
      <c r="B1108" s="31" t="n"/>
      <c r="C1108" s="33" t="n"/>
      <c r="D1108" s="33" t="n"/>
      <c r="E1108" s="33" t="n"/>
      <c r="F1108" s="33" t="n"/>
      <c r="G1108" s="33" t="n"/>
    </row>
    <row r="1109">
      <c r="A1109" s="37" t="n"/>
      <c r="B1109" s="31" t="n"/>
      <c r="C1109" s="33" t="n"/>
      <c r="D1109" s="33" t="n"/>
      <c r="E1109" s="33" t="n"/>
      <c r="F1109" s="33" t="n"/>
      <c r="G1109" s="33" t="n"/>
    </row>
    <row r="1110">
      <c r="A1110" s="37" t="n"/>
      <c r="B1110" s="31" t="n"/>
      <c r="C1110" s="33" t="n"/>
      <c r="D1110" s="33" t="n"/>
      <c r="E1110" s="33" t="n"/>
      <c r="F1110" s="33" t="n"/>
      <c r="G1110" s="33" t="n"/>
    </row>
    <row r="1111">
      <c r="A1111" s="37" t="n"/>
      <c r="B1111" s="31" t="n"/>
      <c r="C1111" s="33" t="n"/>
      <c r="D1111" s="33" t="n"/>
      <c r="E1111" s="33" t="n"/>
      <c r="F1111" s="33" t="n"/>
      <c r="G1111" s="33" t="n"/>
    </row>
    <row r="1112">
      <c r="A1112" s="37" t="n"/>
      <c r="B1112" s="31" t="n"/>
      <c r="C1112" s="33" t="n"/>
      <c r="D1112" s="33" t="n"/>
      <c r="E1112" s="33" t="n"/>
      <c r="F1112" s="33" t="n"/>
      <c r="G1112" s="33" t="n"/>
    </row>
    <row r="1113">
      <c r="A1113" s="37" t="n"/>
      <c r="B1113" s="31" t="n"/>
      <c r="C1113" s="33" t="n"/>
      <c r="D1113" s="33" t="n"/>
      <c r="E1113" s="33" t="n"/>
      <c r="F1113" s="33" t="n"/>
      <c r="G1113" s="33" t="n"/>
    </row>
    <row r="1114">
      <c r="A1114" s="37" t="n"/>
      <c r="B1114" s="31" t="n"/>
      <c r="C1114" s="33" t="n"/>
      <c r="D1114" s="33" t="n"/>
      <c r="E1114" s="33" t="n"/>
      <c r="F1114" s="33" t="n"/>
      <c r="G1114" s="33" t="n"/>
    </row>
    <row r="1115">
      <c r="A1115" s="37" t="n"/>
      <c r="B1115" s="31" t="n"/>
      <c r="C1115" s="33" t="n"/>
      <c r="D1115" s="33" t="n"/>
      <c r="E1115" s="33" t="n"/>
      <c r="F1115" s="33" t="n"/>
      <c r="G1115" s="33" t="n"/>
    </row>
    <row r="1116">
      <c r="A1116" s="37" t="n"/>
      <c r="B1116" s="31" t="n"/>
      <c r="C1116" s="33" t="n"/>
      <c r="D1116" s="33" t="n"/>
      <c r="E1116" s="33" t="n"/>
      <c r="F1116" s="33" t="n"/>
      <c r="G1116" s="33" t="n"/>
    </row>
    <row r="1117">
      <c r="A1117" s="37" t="n"/>
      <c r="B1117" s="31" t="n"/>
      <c r="C1117" s="33" t="n"/>
      <c r="D1117" s="33" t="n"/>
      <c r="E1117" s="33" t="n"/>
      <c r="F1117" s="33" t="n"/>
      <c r="G1117" s="33" t="n"/>
    </row>
    <row r="1118">
      <c r="A1118" s="37" t="n"/>
      <c r="B1118" s="31" t="n"/>
      <c r="C1118" s="33" t="n"/>
      <c r="D1118" s="33" t="n"/>
      <c r="E1118" s="33" t="n"/>
      <c r="F1118" s="33" t="n"/>
      <c r="G1118" s="33" t="n"/>
    </row>
    <row r="1119">
      <c r="A1119" s="37" t="n"/>
      <c r="B1119" s="31" t="n"/>
      <c r="C1119" s="33" t="n"/>
      <c r="D1119" s="33" t="n"/>
      <c r="E1119" s="33" t="n"/>
      <c r="F1119" s="33" t="n"/>
      <c r="G1119" s="33" t="n"/>
    </row>
    <row r="1120">
      <c r="A1120" s="37" t="n"/>
      <c r="B1120" s="31" t="n"/>
      <c r="C1120" s="33" t="n"/>
      <c r="D1120" s="33" t="n"/>
      <c r="E1120" s="33" t="n"/>
      <c r="F1120" s="33" t="n"/>
      <c r="G1120" s="33" t="n"/>
    </row>
    <row r="1121">
      <c r="A1121" s="37" t="n"/>
      <c r="B1121" s="31" t="n"/>
      <c r="C1121" s="33" t="n"/>
      <c r="D1121" s="33" t="n"/>
      <c r="E1121" s="33" t="n"/>
      <c r="F1121" s="33" t="n"/>
      <c r="G1121" s="33" t="n"/>
    </row>
    <row r="1122">
      <c r="A1122" s="37" t="n"/>
      <c r="B1122" s="31" t="n"/>
      <c r="C1122" s="33" t="n"/>
      <c r="D1122" s="33" t="n"/>
      <c r="E1122" s="33" t="n"/>
      <c r="F1122" s="33" t="n"/>
      <c r="G1122" s="33" t="n"/>
    </row>
    <row r="1123">
      <c r="A1123" s="37" t="n"/>
      <c r="B1123" s="31" t="n"/>
      <c r="C1123" s="33" t="n"/>
      <c r="D1123" s="33" t="n"/>
      <c r="E1123" s="33" t="n"/>
      <c r="F1123" s="33" t="n"/>
      <c r="G1123" s="33" t="n"/>
    </row>
    <row r="1124">
      <c r="A1124" s="37" t="n"/>
      <c r="B1124" s="31" t="n"/>
      <c r="C1124" s="33" t="n"/>
      <c r="D1124" s="33" t="n"/>
      <c r="E1124" s="33" t="n"/>
      <c r="F1124" s="33" t="n"/>
      <c r="G1124" s="33" t="n"/>
    </row>
    <row r="1125">
      <c r="A1125" s="37" t="n"/>
      <c r="B1125" s="31" t="n"/>
      <c r="C1125" s="33" t="n"/>
      <c r="D1125" s="33" t="n"/>
      <c r="E1125" s="33" t="n"/>
      <c r="F1125" s="33" t="n"/>
      <c r="G1125" s="33" t="n"/>
    </row>
    <row r="1126">
      <c r="A1126" s="37" t="n"/>
      <c r="B1126" s="31" t="n"/>
      <c r="C1126" s="33" t="n"/>
      <c r="D1126" s="33" t="n"/>
      <c r="E1126" s="33" t="n"/>
      <c r="F1126" s="33" t="n"/>
      <c r="G1126" s="33" t="n"/>
    </row>
    <row r="1127">
      <c r="A1127" s="37" t="n"/>
      <c r="B1127" s="31" t="n"/>
      <c r="C1127" s="33" t="n"/>
      <c r="D1127" s="33" t="n"/>
      <c r="E1127" s="33" t="n"/>
      <c r="F1127" s="33" t="n"/>
      <c r="G1127" s="33" t="n"/>
    </row>
    <row r="1128">
      <c r="A1128" s="37" t="n"/>
      <c r="B1128" s="31" t="n"/>
      <c r="C1128" s="33" t="n"/>
      <c r="D1128" s="33" t="n"/>
      <c r="E1128" s="33" t="n"/>
      <c r="F1128" s="33" t="n"/>
      <c r="G1128" s="33" t="n"/>
    </row>
    <row r="1129">
      <c r="A1129" s="37" t="n"/>
      <c r="B1129" s="31" t="n"/>
      <c r="C1129" s="33" t="n"/>
      <c r="D1129" s="33" t="n"/>
      <c r="E1129" s="33" t="n"/>
      <c r="F1129" s="33" t="n"/>
      <c r="G1129" s="33" t="n"/>
    </row>
    <row r="1130">
      <c r="A1130" s="37" t="n"/>
      <c r="B1130" s="31" t="n"/>
      <c r="C1130" s="33" t="n"/>
      <c r="D1130" s="33" t="n"/>
      <c r="E1130" s="33" t="n"/>
      <c r="F1130" s="33" t="n"/>
      <c r="G1130" s="33" t="n"/>
    </row>
    <row r="1131">
      <c r="A1131" s="37" t="n"/>
      <c r="B1131" s="31" t="n"/>
      <c r="C1131" s="33" t="n"/>
      <c r="D1131" s="33" t="n"/>
      <c r="E1131" s="33" t="n"/>
      <c r="F1131" s="33" t="n"/>
      <c r="G1131" s="33" t="n"/>
    </row>
    <row r="1132">
      <c r="A1132" s="37" t="n"/>
      <c r="B1132" s="31" t="n"/>
      <c r="C1132" s="33" t="n"/>
      <c r="D1132" s="33" t="n"/>
      <c r="E1132" s="33" t="n"/>
      <c r="F1132" s="33" t="n"/>
      <c r="G1132" s="33" t="n"/>
    </row>
    <row r="1133">
      <c r="A1133" s="37" t="n"/>
      <c r="B1133" s="31" t="n"/>
      <c r="C1133" s="33" t="n"/>
      <c r="D1133" s="33" t="n"/>
      <c r="E1133" s="33" t="n"/>
      <c r="F1133" s="33" t="n"/>
      <c r="G1133" s="33" t="n"/>
    </row>
    <row r="1134">
      <c r="A1134" s="37" t="n"/>
      <c r="B1134" s="31" t="n"/>
      <c r="C1134" s="33" t="n"/>
      <c r="D1134" s="33" t="n"/>
      <c r="E1134" s="33" t="n"/>
      <c r="F1134" s="33" t="n"/>
      <c r="G1134" s="33" t="n"/>
    </row>
    <row r="1135">
      <c r="A1135" s="37" t="n"/>
      <c r="B1135" s="31" t="n"/>
      <c r="C1135" s="33" t="n"/>
      <c r="D1135" s="33" t="n"/>
      <c r="E1135" s="33" t="n"/>
      <c r="F1135" s="33" t="n"/>
      <c r="G1135" s="33" t="n"/>
    </row>
    <row r="1136">
      <c r="A1136" s="37" t="n"/>
      <c r="B1136" s="31" t="n"/>
      <c r="C1136" s="33" t="n"/>
      <c r="D1136" s="33" t="n"/>
      <c r="E1136" s="33" t="n"/>
      <c r="F1136" s="33" t="n"/>
      <c r="G1136" s="33" t="n"/>
    </row>
    <row r="1137">
      <c r="A1137" s="37" t="n"/>
      <c r="B1137" s="31" t="n"/>
      <c r="C1137" s="33" t="n"/>
      <c r="D1137" s="33" t="n"/>
      <c r="E1137" s="33" t="n"/>
      <c r="F1137" s="33" t="n"/>
      <c r="G1137" s="33" t="n"/>
    </row>
    <row r="1138">
      <c r="A1138" s="37" t="n"/>
      <c r="B1138" s="31" t="n"/>
      <c r="C1138" s="33" t="n"/>
      <c r="D1138" s="33" t="n"/>
      <c r="E1138" s="33" t="n"/>
      <c r="F1138" s="33" t="n"/>
      <c r="G1138" s="33" t="n"/>
    </row>
    <row r="1139">
      <c r="A1139" s="37" t="n"/>
      <c r="B1139" s="31" t="n"/>
      <c r="C1139" s="33" t="n"/>
      <c r="D1139" s="33" t="n"/>
      <c r="E1139" s="33" t="n"/>
      <c r="F1139" s="33" t="n"/>
      <c r="G1139" s="33" t="n"/>
    </row>
    <row r="1140">
      <c r="A1140" s="37" t="n"/>
      <c r="B1140" s="31" t="n"/>
      <c r="C1140" s="33" t="n"/>
      <c r="D1140" s="33" t="n"/>
      <c r="E1140" s="33" t="n"/>
      <c r="F1140" s="33" t="n"/>
      <c r="G1140" s="33" t="n"/>
    </row>
    <row r="1141">
      <c r="A1141" s="37" t="n"/>
      <c r="B1141" s="31" t="n"/>
      <c r="C1141" s="33" t="n"/>
      <c r="D1141" s="33" t="n"/>
      <c r="E1141" s="33" t="n"/>
      <c r="F1141" s="33" t="n"/>
      <c r="G1141" s="33" t="n"/>
    </row>
    <row r="1142">
      <c r="A1142" s="37" t="n"/>
      <c r="B1142" s="31" t="n"/>
      <c r="C1142" s="33" t="n"/>
      <c r="D1142" s="33" t="n"/>
      <c r="E1142" s="33" t="n"/>
      <c r="F1142" s="33" t="n"/>
      <c r="G1142" s="33" t="n"/>
    </row>
    <row r="1143">
      <c r="A1143" s="37" t="n"/>
      <c r="B1143" s="31" t="n"/>
      <c r="C1143" s="33" t="n"/>
      <c r="D1143" s="33" t="n"/>
      <c r="E1143" s="33" t="n"/>
      <c r="F1143" s="33" t="n"/>
      <c r="G1143" s="33" t="n"/>
    </row>
    <row r="1144">
      <c r="A1144" s="37" t="n"/>
      <c r="B1144" s="31" t="n"/>
      <c r="C1144" s="33" t="n"/>
      <c r="D1144" s="33" t="n"/>
      <c r="E1144" s="33" t="n"/>
      <c r="F1144" s="33" t="n"/>
      <c r="G1144" s="33" t="n"/>
    </row>
    <row r="1145">
      <c r="A1145" s="37" t="n"/>
      <c r="B1145" s="31" t="n"/>
      <c r="C1145" s="33" t="n"/>
      <c r="D1145" s="33" t="n"/>
      <c r="E1145" s="33" t="n"/>
      <c r="F1145" s="33" t="n"/>
      <c r="G1145" s="33" t="n"/>
    </row>
    <row r="1146">
      <c r="A1146" s="37" t="n"/>
      <c r="B1146" s="31" t="n"/>
      <c r="C1146" s="33" t="n"/>
      <c r="D1146" s="33" t="n"/>
      <c r="E1146" s="33" t="n"/>
      <c r="F1146" s="33" t="n"/>
      <c r="G1146" s="33" t="n"/>
    </row>
    <row r="1147">
      <c r="A1147" s="37" t="n"/>
      <c r="B1147" s="31" t="n"/>
      <c r="C1147" s="33" t="n"/>
      <c r="D1147" s="33" t="n"/>
      <c r="E1147" s="33" t="n"/>
      <c r="F1147" s="33" t="n"/>
      <c r="G1147" s="33" t="n"/>
    </row>
    <row r="1148">
      <c r="A1148" s="37" t="n"/>
      <c r="B1148" s="31" t="n"/>
      <c r="C1148" s="33" t="n"/>
      <c r="D1148" s="33" t="n"/>
      <c r="E1148" s="33" t="n"/>
      <c r="F1148" s="33" t="n"/>
      <c r="G1148" s="33" t="n"/>
    </row>
    <row r="1149">
      <c r="A1149" s="37" t="n"/>
      <c r="B1149" s="31" t="n"/>
      <c r="C1149" s="33" t="n"/>
      <c r="D1149" s="33" t="n"/>
      <c r="E1149" s="33" t="n"/>
      <c r="F1149" s="33" t="n"/>
      <c r="G1149" s="33" t="n"/>
    </row>
    <row r="1150">
      <c r="A1150" s="37" t="n"/>
      <c r="B1150" s="31" t="n"/>
      <c r="C1150" s="33" t="n"/>
      <c r="D1150" s="33" t="n"/>
      <c r="E1150" s="33" t="n"/>
      <c r="F1150" s="33" t="n"/>
      <c r="G1150" s="33" t="n"/>
    </row>
    <row r="1151">
      <c r="A1151" s="37" t="n"/>
      <c r="B1151" s="31" t="n"/>
      <c r="C1151" s="33" t="n"/>
      <c r="D1151" s="33" t="n"/>
      <c r="E1151" s="33" t="n"/>
      <c r="F1151" s="33" t="n"/>
      <c r="G1151" s="33" t="n"/>
    </row>
    <row r="1152">
      <c r="A1152" s="37" t="n"/>
      <c r="B1152" s="31" t="n"/>
      <c r="C1152" s="33" t="n"/>
      <c r="D1152" s="33" t="n"/>
      <c r="E1152" s="33" t="n"/>
      <c r="F1152" s="33" t="n"/>
      <c r="G1152" s="33" t="n"/>
    </row>
    <row r="1153">
      <c r="A1153" s="37" t="n"/>
      <c r="B1153" s="31" t="n"/>
      <c r="C1153" s="33" t="n"/>
      <c r="D1153" s="33" t="n"/>
      <c r="E1153" s="33" t="n"/>
      <c r="F1153" s="33" t="n"/>
      <c r="G1153" s="33" t="n"/>
    </row>
    <row r="1154">
      <c r="A1154" s="37" t="n"/>
      <c r="B1154" s="31" t="n"/>
      <c r="C1154" s="33" t="n"/>
      <c r="D1154" s="33" t="n"/>
      <c r="E1154" s="33" t="n"/>
      <c r="F1154" s="33" t="n"/>
      <c r="G1154" s="33" t="n"/>
    </row>
    <row r="1155">
      <c r="A1155" s="37" t="n"/>
      <c r="B1155" s="31" t="n"/>
      <c r="C1155" s="33" t="n"/>
      <c r="D1155" s="33" t="n"/>
      <c r="E1155" s="33" t="n"/>
      <c r="F1155" s="33" t="n"/>
      <c r="G1155" s="33" t="n"/>
    </row>
    <row r="1156">
      <c r="A1156" s="37" t="n"/>
      <c r="B1156" s="31" t="n"/>
      <c r="C1156" s="33" t="n"/>
      <c r="D1156" s="33" t="n"/>
      <c r="E1156" s="33" t="n"/>
      <c r="F1156" s="33" t="n"/>
      <c r="G1156" s="33" t="n"/>
    </row>
    <row r="1157">
      <c r="A1157" s="37" t="n"/>
      <c r="B1157" s="31" t="n"/>
      <c r="C1157" s="33" t="n"/>
      <c r="D1157" s="33" t="n"/>
      <c r="E1157" s="33" t="n"/>
      <c r="F1157" s="33" t="n"/>
      <c r="G1157" s="33" t="n"/>
    </row>
    <row r="1158">
      <c r="A1158" s="37" t="n"/>
      <c r="B1158" s="31" t="n"/>
      <c r="C1158" s="33" t="n"/>
      <c r="D1158" s="33" t="n"/>
      <c r="E1158" s="33" t="n"/>
      <c r="F1158" s="33" t="n"/>
      <c r="G1158" s="33" t="n"/>
    </row>
    <row r="1159">
      <c r="A1159" s="37" t="n"/>
      <c r="B1159" s="31" t="n"/>
      <c r="C1159" s="33" t="n"/>
      <c r="D1159" s="33" t="n"/>
      <c r="E1159" s="33" t="n"/>
      <c r="F1159" s="33" t="n"/>
      <c r="G1159" s="33" t="n"/>
    </row>
    <row r="1160">
      <c r="A1160" s="37" t="n"/>
      <c r="B1160" s="31" t="n"/>
      <c r="C1160" s="33" t="n"/>
      <c r="D1160" s="33" t="n"/>
      <c r="E1160" s="33" t="n"/>
      <c r="F1160" s="33" t="n"/>
      <c r="G1160" s="33" t="n"/>
    </row>
    <row r="1161">
      <c r="A1161" s="37" t="n"/>
      <c r="B1161" s="31" t="n"/>
      <c r="C1161" s="33" t="n"/>
      <c r="D1161" s="33" t="n"/>
      <c r="E1161" s="33" t="n"/>
      <c r="F1161" s="33" t="n"/>
      <c r="G1161" s="33" t="n"/>
    </row>
    <row r="1162">
      <c r="A1162" s="37" t="n"/>
      <c r="B1162" s="31" t="n"/>
      <c r="C1162" s="33" t="n"/>
      <c r="D1162" s="33" t="n"/>
      <c r="E1162" s="33" t="n"/>
      <c r="F1162" s="33" t="n"/>
      <c r="G1162" s="33" t="n"/>
    </row>
    <row r="1163">
      <c r="A1163" s="37" t="n"/>
      <c r="B1163" s="31" t="n"/>
      <c r="C1163" s="33" t="n"/>
      <c r="D1163" s="33" t="n"/>
      <c r="E1163" s="33" t="n"/>
      <c r="F1163" s="33" t="n"/>
      <c r="G1163" s="33" t="n"/>
    </row>
    <row r="1164">
      <c r="A1164" s="37" t="n"/>
      <c r="B1164" s="31" t="n"/>
      <c r="C1164" s="33" t="n"/>
      <c r="D1164" s="33" t="n"/>
      <c r="E1164" s="33" t="n"/>
      <c r="F1164" s="33" t="n"/>
      <c r="G1164" s="33" t="n"/>
    </row>
    <row r="1165">
      <c r="A1165" s="37" t="n"/>
      <c r="B1165" s="31" t="n"/>
      <c r="C1165" s="33" t="n"/>
      <c r="D1165" s="33" t="n"/>
      <c r="E1165" s="33" t="n"/>
      <c r="F1165" s="33" t="n"/>
      <c r="G1165" s="33" t="n"/>
    </row>
    <row r="1166">
      <c r="A1166" s="37" t="n"/>
      <c r="B1166" s="31" t="n"/>
      <c r="C1166" s="33" t="n"/>
      <c r="D1166" s="33" t="n"/>
      <c r="E1166" s="33" t="n"/>
      <c r="F1166" s="33" t="n"/>
      <c r="G1166" s="33" t="n"/>
    </row>
    <row r="1167">
      <c r="A1167" s="37" t="n"/>
      <c r="B1167" s="31" t="n"/>
      <c r="C1167" s="33" t="n"/>
      <c r="D1167" s="33" t="n"/>
      <c r="E1167" s="33" t="n"/>
      <c r="F1167" s="33" t="n"/>
      <c r="G1167" s="33" t="n"/>
    </row>
    <row r="1168">
      <c r="A1168" s="37" t="n"/>
      <c r="B1168" s="31" t="n"/>
      <c r="C1168" s="33" t="n"/>
      <c r="D1168" s="33" t="n"/>
      <c r="E1168" s="33" t="n"/>
      <c r="F1168" s="33" t="n"/>
      <c r="G1168" s="33" t="n"/>
    </row>
    <row r="1169">
      <c r="A1169" s="37" t="n"/>
      <c r="B1169" s="31" t="n"/>
      <c r="C1169" s="33" t="n"/>
      <c r="D1169" s="33" t="n"/>
      <c r="E1169" s="33" t="n"/>
      <c r="F1169" s="33" t="n"/>
      <c r="G1169" s="33" t="n"/>
    </row>
    <row r="1170">
      <c r="A1170" s="37" t="n"/>
      <c r="B1170" s="31" t="n"/>
      <c r="C1170" s="33" t="n"/>
      <c r="D1170" s="33" t="n"/>
      <c r="E1170" s="33" t="n"/>
      <c r="F1170" s="33" t="n"/>
      <c r="G1170" s="33" t="n"/>
    </row>
    <row r="1171">
      <c r="A1171" s="37" t="n"/>
      <c r="B1171" s="31" t="n"/>
      <c r="C1171" s="33" t="n"/>
      <c r="D1171" s="33" t="n"/>
      <c r="E1171" s="33" t="n"/>
      <c r="F1171" s="33" t="n"/>
      <c r="G1171" s="33" t="n"/>
    </row>
    <row r="1172">
      <c r="A1172" s="37" t="n"/>
      <c r="B1172" s="31" t="n"/>
      <c r="C1172" s="33" t="n"/>
      <c r="D1172" s="33" t="n"/>
      <c r="E1172" s="33" t="n"/>
      <c r="F1172" s="33" t="n"/>
      <c r="G1172" s="33" t="n"/>
    </row>
    <row r="1173">
      <c r="A1173" s="37" t="n"/>
      <c r="B1173" s="31" t="n"/>
      <c r="C1173" s="33" t="n"/>
      <c r="D1173" s="33" t="n"/>
      <c r="E1173" s="33" t="n"/>
      <c r="F1173" s="33" t="n"/>
      <c r="G1173" s="33" t="n"/>
    </row>
    <row r="1174">
      <c r="A1174" s="37" t="n"/>
      <c r="B1174" s="31" t="n"/>
      <c r="C1174" s="33" t="n"/>
      <c r="D1174" s="33" t="n"/>
      <c r="E1174" s="33" t="n"/>
      <c r="F1174" s="33" t="n"/>
      <c r="G1174" s="33" t="n"/>
    </row>
    <row r="1175">
      <c r="A1175" s="37" t="n"/>
      <c r="B1175" s="31" t="n"/>
      <c r="C1175" s="33" t="n"/>
      <c r="D1175" s="33" t="n"/>
      <c r="E1175" s="33" t="n"/>
      <c r="F1175" s="33" t="n"/>
      <c r="G1175" s="33" t="n"/>
    </row>
    <row r="1176">
      <c r="A1176" s="37" t="n"/>
      <c r="B1176" s="31" t="n"/>
      <c r="C1176" s="33" t="n"/>
      <c r="D1176" s="33" t="n"/>
      <c r="E1176" s="33" t="n"/>
      <c r="F1176" s="33" t="n"/>
      <c r="G1176" s="33" t="n"/>
    </row>
    <row r="1177">
      <c r="A1177" s="37" t="n"/>
      <c r="B1177" s="31" t="n"/>
      <c r="C1177" s="33" t="n"/>
      <c r="D1177" s="33" t="n"/>
      <c r="E1177" s="33" t="n"/>
      <c r="F1177" s="33" t="n"/>
      <c r="G1177" s="33" t="n"/>
    </row>
    <row r="1178">
      <c r="A1178" s="37" t="n"/>
      <c r="B1178" s="31" t="n"/>
      <c r="C1178" s="33" t="n"/>
      <c r="D1178" s="33" t="n"/>
      <c r="E1178" s="33" t="n"/>
      <c r="F1178" s="33" t="n"/>
      <c r="G1178" s="33" t="n"/>
    </row>
    <row r="1179">
      <c r="A1179" s="37" t="n"/>
      <c r="B1179" s="31" t="n"/>
      <c r="C1179" s="33" t="n"/>
      <c r="D1179" s="33" t="n"/>
      <c r="E1179" s="33" t="n"/>
      <c r="F1179" s="33" t="n"/>
      <c r="G1179" s="33" t="n"/>
    </row>
    <row r="1180">
      <c r="A1180" s="37" t="n"/>
      <c r="B1180" s="31" t="n"/>
      <c r="C1180" s="33" t="n"/>
      <c r="D1180" s="33" t="n"/>
      <c r="E1180" s="33" t="n"/>
      <c r="F1180" s="33" t="n"/>
      <c r="G1180" s="33" t="n"/>
    </row>
    <row r="1181">
      <c r="A1181" s="37" t="n"/>
      <c r="B1181" s="31" t="n"/>
      <c r="C1181" s="33" t="n"/>
      <c r="D1181" s="33" t="n"/>
      <c r="E1181" s="33" t="n"/>
      <c r="F1181" s="33" t="n"/>
      <c r="G1181" s="33" t="n"/>
    </row>
    <row r="1182">
      <c r="A1182" s="37" t="n"/>
      <c r="B1182" s="31" t="n"/>
      <c r="C1182" s="33" t="n"/>
      <c r="D1182" s="33" t="n"/>
      <c r="E1182" s="33" t="n"/>
      <c r="F1182" s="33" t="n"/>
      <c r="G1182" s="33" t="n"/>
    </row>
    <row r="1183">
      <c r="A1183" s="37" t="n"/>
      <c r="B1183" s="31" t="n"/>
      <c r="C1183" s="33" t="n"/>
      <c r="D1183" s="33" t="n"/>
      <c r="E1183" s="33" t="n"/>
      <c r="F1183" s="33" t="n"/>
      <c r="G1183" s="33" t="n"/>
    </row>
    <row r="1184">
      <c r="A1184" s="37" t="n"/>
      <c r="B1184" s="31" t="n"/>
      <c r="C1184" s="33" t="n"/>
      <c r="D1184" s="33" t="n"/>
      <c r="E1184" s="33" t="n"/>
      <c r="F1184" s="33" t="n"/>
      <c r="G1184" s="33" t="n"/>
    </row>
    <row r="1185">
      <c r="A1185" s="37" t="n"/>
      <c r="B1185" s="31" t="n"/>
      <c r="C1185" s="33" t="n"/>
      <c r="D1185" s="33" t="n"/>
      <c r="E1185" s="33" t="n"/>
      <c r="F1185" s="33" t="n"/>
      <c r="G1185" s="33" t="n"/>
    </row>
    <row r="1186">
      <c r="A1186" s="37" t="n"/>
      <c r="B1186" s="31" t="n"/>
      <c r="C1186" s="33" t="n"/>
      <c r="D1186" s="33" t="n"/>
      <c r="E1186" s="33" t="n"/>
      <c r="F1186" s="33" t="n"/>
      <c r="G1186" s="33" t="n"/>
    </row>
    <row r="1187">
      <c r="A1187" s="37" t="n"/>
      <c r="B1187" s="31" t="n"/>
      <c r="C1187" s="33" t="n"/>
      <c r="D1187" s="33" t="n"/>
      <c r="E1187" s="33" t="n"/>
      <c r="F1187" s="33" t="n"/>
      <c r="G1187" s="33" t="n"/>
    </row>
    <row r="1188">
      <c r="A1188" s="37" t="n"/>
      <c r="B1188" s="31" t="n"/>
      <c r="C1188" s="33" t="n"/>
      <c r="D1188" s="33" t="n"/>
      <c r="E1188" s="33" t="n"/>
      <c r="F1188" s="33" t="n"/>
      <c r="G1188" s="33" t="n"/>
    </row>
    <row r="1189">
      <c r="A1189" s="37" t="n"/>
      <c r="B1189" s="31" t="n"/>
      <c r="C1189" s="33" t="n"/>
      <c r="D1189" s="33" t="n"/>
      <c r="E1189" s="33" t="n"/>
      <c r="F1189" s="33" t="n"/>
      <c r="G1189" s="33" t="n"/>
    </row>
    <row r="1190">
      <c r="A1190" s="37" t="n"/>
      <c r="B1190" s="31" t="n"/>
      <c r="C1190" s="33" t="n"/>
      <c r="D1190" s="33" t="n"/>
      <c r="E1190" s="33" t="n"/>
      <c r="F1190" s="33" t="n"/>
      <c r="G1190" s="33" t="n"/>
    </row>
    <row r="1191">
      <c r="A1191" s="37" t="n"/>
      <c r="B1191" s="31" t="n"/>
      <c r="C1191" s="33" t="n"/>
      <c r="D1191" s="33" t="n"/>
      <c r="E1191" s="33" t="n"/>
      <c r="F1191" s="33" t="n"/>
      <c r="G1191" s="33" t="n"/>
    </row>
    <row r="1192">
      <c r="A1192" s="37" t="n"/>
      <c r="B1192" s="31" t="n"/>
      <c r="C1192" s="33" t="n"/>
      <c r="D1192" s="33" t="n"/>
      <c r="E1192" s="33" t="n"/>
      <c r="F1192" s="33" t="n"/>
      <c r="G1192" s="33" t="n"/>
    </row>
    <row r="1193">
      <c r="A1193" s="37" t="n"/>
      <c r="B1193" s="31" t="n"/>
      <c r="C1193" s="33" t="n"/>
      <c r="D1193" s="33" t="n"/>
      <c r="E1193" s="33" t="n"/>
      <c r="F1193" s="33" t="n"/>
      <c r="G1193" s="33" t="n"/>
    </row>
    <row r="1194">
      <c r="A1194" s="37" t="n"/>
      <c r="B1194" s="31" t="n"/>
      <c r="C1194" s="33" t="n"/>
      <c r="D1194" s="33" t="n"/>
      <c r="E1194" s="33" t="n"/>
      <c r="F1194" s="33" t="n"/>
      <c r="G1194" s="33" t="n"/>
    </row>
    <row r="1195">
      <c r="A1195" s="37" t="n"/>
      <c r="B1195" s="31" t="n"/>
      <c r="C1195" s="33" t="n"/>
      <c r="D1195" s="33" t="n"/>
      <c r="E1195" s="33" t="n"/>
      <c r="F1195" s="33" t="n"/>
      <c r="G1195" s="33" t="n"/>
    </row>
    <row r="1196">
      <c r="A1196" s="37" t="n"/>
      <c r="B1196" s="31" t="n"/>
      <c r="C1196" s="33" t="n"/>
      <c r="D1196" s="33" t="n"/>
      <c r="E1196" s="33" t="n"/>
      <c r="F1196" s="33" t="n"/>
      <c r="G1196" s="33" t="n"/>
    </row>
    <row r="1197">
      <c r="A1197" s="37" t="n"/>
      <c r="B1197" s="31" t="n"/>
      <c r="C1197" s="33" t="n"/>
      <c r="D1197" s="33" t="n"/>
      <c r="E1197" s="33" t="n"/>
      <c r="F1197" s="33" t="n"/>
      <c r="G1197" s="33" t="n"/>
    </row>
    <row r="1198">
      <c r="A1198" s="37" t="n"/>
      <c r="B1198" s="31" t="n"/>
      <c r="C1198" s="33" t="n"/>
      <c r="D1198" s="33" t="n"/>
      <c r="E1198" s="33" t="n"/>
      <c r="F1198" s="33" t="n"/>
      <c r="G1198" s="33" t="n"/>
    </row>
    <row r="1199">
      <c r="A1199" s="37" t="n"/>
      <c r="B1199" s="31" t="n"/>
      <c r="C1199" s="33" t="n"/>
      <c r="D1199" s="33" t="n"/>
      <c r="E1199" s="33" t="n"/>
      <c r="F1199" s="33" t="n"/>
      <c r="G1199" s="33" t="n"/>
    </row>
    <row r="1200">
      <c r="A1200" s="37" t="n"/>
      <c r="B1200" s="31" t="n"/>
      <c r="C1200" s="33" t="n"/>
      <c r="D1200" s="33" t="n"/>
      <c r="E1200" s="33" t="n"/>
      <c r="F1200" s="33" t="n"/>
      <c r="G1200" s="33" t="n"/>
    </row>
    <row r="1201">
      <c r="A1201" s="37" t="n"/>
      <c r="B1201" s="31" t="n"/>
      <c r="C1201" s="33" t="n"/>
      <c r="D1201" s="33" t="n"/>
      <c r="E1201" s="33" t="n"/>
      <c r="F1201" s="33" t="n"/>
      <c r="G1201" s="33" t="n"/>
    </row>
    <row r="1202">
      <c r="A1202" s="37" t="n"/>
      <c r="B1202" s="31" t="n"/>
      <c r="C1202" s="33" t="n"/>
      <c r="D1202" s="33" t="n"/>
      <c r="E1202" s="33" t="n"/>
      <c r="F1202" s="33" t="n"/>
      <c r="G1202" s="33" t="n"/>
    </row>
    <row r="1203">
      <c r="A1203" s="37" t="n"/>
      <c r="B1203" s="31" t="n"/>
      <c r="C1203" s="33" t="n"/>
      <c r="D1203" s="33" t="n"/>
      <c r="E1203" s="33" t="n"/>
      <c r="F1203" s="33" t="n"/>
      <c r="G1203" s="33" t="n"/>
    </row>
    <row r="1204">
      <c r="A1204" s="37" t="n"/>
      <c r="B1204" s="31" t="n"/>
      <c r="C1204" s="33" t="n"/>
      <c r="D1204" s="33" t="n"/>
      <c r="E1204" s="33" t="n"/>
      <c r="F1204" s="33" t="n"/>
      <c r="G1204" s="33" t="n"/>
    </row>
    <row r="1205">
      <c r="A1205" s="37" t="n"/>
      <c r="B1205" s="31" t="n"/>
      <c r="C1205" s="33" t="n"/>
      <c r="D1205" s="33" t="n"/>
      <c r="E1205" s="33" t="n"/>
      <c r="F1205" s="33" t="n"/>
      <c r="G1205" s="33" t="n"/>
    </row>
    <row r="1206">
      <c r="A1206" s="37" t="n"/>
      <c r="B1206" s="31" t="n"/>
      <c r="C1206" s="33" t="n"/>
      <c r="D1206" s="33" t="n"/>
      <c r="E1206" s="33" t="n"/>
      <c r="F1206" s="33" t="n"/>
      <c r="G1206" s="33" t="n"/>
    </row>
    <row r="1207">
      <c r="A1207" s="37" t="n"/>
      <c r="B1207" s="31" t="n"/>
      <c r="C1207" s="33" t="n"/>
      <c r="D1207" s="33" t="n"/>
      <c r="E1207" s="33" t="n"/>
      <c r="F1207" s="33" t="n"/>
      <c r="G1207" s="33" t="n"/>
    </row>
    <row r="1208">
      <c r="A1208" s="37" t="n"/>
      <c r="B1208" s="31" t="n"/>
      <c r="C1208" s="33" t="n"/>
      <c r="D1208" s="33" t="n"/>
      <c r="E1208" s="33" t="n"/>
      <c r="F1208" s="33" t="n"/>
      <c r="G1208" s="33" t="n"/>
    </row>
    <row r="1209">
      <c r="A1209" s="37" t="n"/>
      <c r="B1209" s="31" t="n"/>
      <c r="C1209" s="33" t="n"/>
      <c r="D1209" s="33" t="n"/>
      <c r="E1209" s="33" t="n"/>
      <c r="F1209" s="33" t="n"/>
      <c r="G1209" s="33" t="n"/>
    </row>
    <row r="1210">
      <c r="A1210" s="37" t="n"/>
      <c r="B1210" s="31" t="n"/>
      <c r="C1210" s="33" t="n"/>
      <c r="D1210" s="33" t="n"/>
      <c r="E1210" s="33" t="n"/>
      <c r="F1210" s="33" t="n"/>
      <c r="G1210" s="33" t="n"/>
    </row>
    <row r="1211">
      <c r="A1211" s="37" t="n"/>
      <c r="B1211" s="31" t="n"/>
      <c r="C1211" s="33" t="n"/>
      <c r="D1211" s="33" t="n"/>
      <c r="E1211" s="33" t="n"/>
      <c r="F1211" s="33" t="n"/>
      <c r="G1211" s="33" t="n"/>
    </row>
    <row r="1212">
      <c r="A1212" s="37" t="n"/>
      <c r="B1212" s="31" t="n"/>
      <c r="C1212" s="33" t="n"/>
      <c r="D1212" s="33" t="n"/>
      <c r="E1212" s="33" t="n"/>
      <c r="F1212" s="33" t="n"/>
      <c r="G1212" s="33" t="n"/>
    </row>
    <row r="1213">
      <c r="A1213" s="37" t="n"/>
      <c r="B1213" s="31" t="n"/>
      <c r="C1213" s="33" t="n"/>
      <c r="D1213" s="33" t="n"/>
      <c r="E1213" s="33" t="n"/>
      <c r="F1213" s="33" t="n"/>
      <c r="G1213" s="33" t="n"/>
    </row>
    <row r="1214">
      <c r="A1214" s="37" t="n"/>
      <c r="B1214" s="31" t="n"/>
      <c r="C1214" s="33" t="n"/>
      <c r="D1214" s="33" t="n"/>
      <c r="E1214" s="33" t="n"/>
      <c r="F1214" s="33" t="n"/>
      <c r="G1214" s="33" t="n"/>
    </row>
    <row r="1215">
      <c r="A1215" s="37" t="n"/>
      <c r="B1215" s="31" t="n"/>
      <c r="C1215" s="33" t="n"/>
      <c r="D1215" s="33" t="n"/>
      <c r="E1215" s="33" t="n"/>
      <c r="F1215" s="33" t="n"/>
      <c r="G1215" s="33" t="n"/>
    </row>
    <row r="1216">
      <c r="A1216" s="37" t="n"/>
      <c r="B1216" s="31" t="n"/>
      <c r="C1216" s="33" t="n"/>
      <c r="D1216" s="33" t="n"/>
      <c r="E1216" s="33" t="n"/>
      <c r="F1216" s="33" t="n"/>
      <c r="G1216" s="33" t="n"/>
    </row>
    <row r="1217">
      <c r="A1217" s="37" t="n"/>
      <c r="B1217" s="31" t="n"/>
      <c r="C1217" s="33" t="n"/>
      <c r="D1217" s="33" t="n"/>
      <c r="E1217" s="33" t="n"/>
      <c r="F1217" s="33" t="n"/>
      <c r="G1217" s="33" t="n"/>
    </row>
    <row r="1218">
      <c r="A1218" s="37" t="n"/>
      <c r="B1218" s="31" t="n"/>
      <c r="C1218" s="33" t="n"/>
      <c r="D1218" s="33" t="n"/>
      <c r="E1218" s="33" t="n"/>
      <c r="F1218" s="33" t="n"/>
      <c r="G1218" s="33" t="n"/>
    </row>
    <row r="1219">
      <c r="A1219" s="37" t="n"/>
      <c r="B1219" s="31" t="n"/>
      <c r="C1219" s="33" t="n"/>
      <c r="D1219" s="33" t="n"/>
      <c r="E1219" s="33" t="n"/>
      <c r="F1219" s="33" t="n"/>
      <c r="G1219" s="33" t="n"/>
    </row>
    <row r="1220">
      <c r="A1220" s="37" t="n"/>
      <c r="B1220" s="31" t="n"/>
      <c r="C1220" s="33" t="n"/>
      <c r="D1220" s="33" t="n"/>
      <c r="E1220" s="33" t="n"/>
      <c r="F1220" s="33" t="n"/>
      <c r="G1220" s="33" t="n"/>
    </row>
    <row r="1221">
      <c r="A1221" s="37" t="n"/>
      <c r="B1221" s="31" t="n"/>
      <c r="C1221" s="33" t="n"/>
      <c r="D1221" s="33" t="n"/>
      <c r="E1221" s="33" t="n"/>
      <c r="F1221" s="33" t="n"/>
      <c r="G1221" s="33" t="n"/>
    </row>
    <row r="1222">
      <c r="A1222" s="37" t="n"/>
      <c r="B1222" s="31" t="n"/>
      <c r="C1222" s="33" t="n"/>
      <c r="D1222" s="33" t="n"/>
      <c r="E1222" s="33" t="n"/>
      <c r="F1222" s="33" t="n"/>
      <c r="G1222" s="33" t="n"/>
    </row>
    <row r="1223">
      <c r="A1223" s="37" t="n"/>
      <c r="B1223" s="31" t="n"/>
      <c r="C1223" s="33" t="n"/>
      <c r="D1223" s="33" t="n"/>
      <c r="E1223" s="33" t="n"/>
      <c r="F1223" s="33" t="n"/>
      <c r="G1223" s="33" t="n"/>
    </row>
    <row r="1224">
      <c r="A1224" s="37" t="n"/>
      <c r="B1224" s="31" t="n"/>
      <c r="C1224" s="33" t="n"/>
      <c r="D1224" s="33" t="n"/>
      <c r="E1224" s="33" t="n"/>
      <c r="F1224" s="33" t="n"/>
      <c r="G1224" s="33" t="n"/>
    </row>
    <row r="1225">
      <c r="A1225" s="37" t="n"/>
      <c r="B1225" s="31" t="n"/>
      <c r="C1225" s="33" t="n"/>
      <c r="D1225" s="33" t="n"/>
      <c r="E1225" s="33" t="n"/>
      <c r="F1225" s="33" t="n"/>
      <c r="G1225" s="33" t="n"/>
    </row>
    <row r="1226">
      <c r="A1226" s="37" t="n"/>
      <c r="B1226" s="31" t="n"/>
      <c r="C1226" s="33" t="n"/>
      <c r="D1226" s="33" t="n"/>
      <c r="E1226" s="33" t="n"/>
      <c r="F1226" s="33" t="n"/>
      <c r="G1226" s="33" t="n"/>
    </row>
    <row r="1227">
      <c r="A1227" s="37" t="n"/>
      <c r="B1227" s="31" t="n"/>
      <c r="C1227" s="33" t="n"/>
      <c r="D1227" s="33" t="n"/>
      <c r="E1227" s="33" t="n"/>
      <c r="F1227" s="33" t="n"/>
      <c r="G1227" s="33" t="n"/>
    </row>
    <row r="1228">
      <c r="A1228" s="37" t="n"/>
      <c r="B1228" s="31" t="n"/>
      <c r="C1228" s="33" t="n"/>
      <c r="D1228" s="33" t="n"/>
      <c r="E1228" s="33" t="n"/>
      <c r="F1228" s="33" t="n"/>
      <c r="G1228" s="33" t="n"/>
    </row>
    <row r="1229">
      <c r="A1229" s="37" t="n"/>
      <c r="B1229" s="31" t="n"/>
      <c r="C1229" s="33" t="n"/>
      <c r="D1229" s="33" t="n"/>
      <c r="E1229" s="33" t="n"/>
      <c r="F1229" s="33" t="n"/>
      <c r="G1229" s="33" t="n"/>
    </row>
    <row r="1230">
      <c r="A1230" s="37" t="n"/>
      <c r="B1230" s="31" t="n"/>
      <c r="C1230" s="33" t="n"/>
      <c r="D1230" s="33" t="n"/>
      <c r="E1230" s="33" t="n"/>
      <c r="F1230" s="33" t="n"/>
      <c r="G1230" s="33" t="n"/>
    </row>
    <row r="1231">
      <c r="A1231" s="37" t="n"/>
      <c r="B1231" s="31" t="n"/>
      <c r="C1231" s="33" t="n"/>
      <c r="D1231" s="33" t="n"/>
      <c r="E1231" s="33" t="n"/>
      <c r="F1231" s="33" t="n"/>
      <c r="G1231" s="33" t="n"/>
    </row>
    <row r="1232">
      <c r="A1232" s="37" t="n"/>
      <c r="B1232" s="31" t="n"/>
      <c r="C1232" s="33" t="n"/>
      <c r="D1232" s="33" t="n"/>
      <c r="E1232" s="33" t="n"/>
      <c r="F1232" s="33" t="n"/>
      <c r="G1232" s="33" t="n"/>
    </row>
    <row r="1233">
      <c r="A1233" s="37" t="n"/>
      <c r="B1233" s="31" t="n"/>
      <c r="C1233" s="33" t="n"/>
      <c r="D1233" s="33" t="n"/>
      <c r="E1233" s="33" t="n"/>
      <c r="F1233" s="33" t="n"/>
      <c r="G1233" s="33" t="n"/>
    </row>
    <row r="1234">
      <c r="A1234" s="37" t="n"/>
      <c r="B1234" s="31" t="n"/>
      <c r="C1234" s="33" t="n"/>
      <c r="D1234" s="33" t="n"/>
      <c r="E1234" s="33" t="n"/>
      <c r="F1234" s="33" t="n"/>
      <c r="G1234" s="33" t="n"/>
    </row>
    <row r="1235">
      <c r="A1235" s="37" t="n"/>
      <c r="B1235" s="31" t="n"/>
      <c r="C1235" s="33" t="n"/>
      <c r="D1235" s="33" t="n"/>
      <c r="E1235" s="33" t="n"/>
      <c r="F1235" s="33" t="n"/>
      <c r="G1235" s="33" t="n"/>
    </row>
    <row r="1236">
      <c r="A1236" s="37" t="n"/>
      <c r="B1236" s="31" t="n"/>
      <c r="C1236" s="33" t="n"/>
      <c r="D1236" s="33" t="n"/>
      <c r="E1236" s="33" t="n"/>
      <c r="F1236" s="33" t="n"/>
      <c r="G1236" s="33" t="n"/>
    </row>
    <row r="1237">
      <c r="A1237" s="37" t="n"/>
      <c r="B1237" s="31" t="n"/>
      <c r="C1237" s="33" t="n"/>
      <c r="D1237" s="33" t="n"/>
      <c r="E1237" s="33" t="n"/>
      <c r="F1237" s="33" t="n"/>
      <c r="G1237" s="33" t="n"/>
    </row>
    <row r="1238">
      <c r="A1238" s="37" t="n"/>
      <c r="B1238" s="31" t="n"/>
      <c r="C1238" s="33" t="n"/>
      <c r="D1238" s="33" t="n"/>
      <c r="E1238" s="33" t="n"/>
      <c r="F1238" s="33" t="n"/>
      <c r="G1238" s="33" t="n"/>
    </row>
    <row r="1239">
      <c r="A1239" s="37" t="n"/>
      <c r="B1239" s="31" t="n"/>
      <c r="C1239" s="33" t="n"/>
      <c r="D1239" s="33" t="n"/>
      <c r="E1239" s="33" t="n"/>
      <c r="F1239" s="33" t="n"/>
      <c r="G1239" s="33" t="n"/>
    </row>
    <row r="1240">
      <c r="A1240" s="37" t="n"/>
      <c r="B1240" s="31" t="n"/>
      <c r="C1240" s="33" t="n"/>
      <c r="D1240" s="33" t="n"/>
      <c r="E1240" s="33" t="n"/>
      <c r="F1240" s="33" t="n"/>
      <c r="G1240" s="33" t="n"/>
    </row>
    <row r="1241">
      <c r="A1241" s="37" t="n"/>
      <c r="B1241" s="31" t="n"/>
      <c r="C1241" s="33" t="n"/>
      <c r="D1241" s="33" t="n"/>
      <c r="E1241" s="33" t="n"/>
      <c r="F1241" s="33" t="n"/>
      <c r="G1241" s="33" t="n"/>
    </row>
    <row r="1242">
      <c r="A1242" s="37" t="n"/>
      <c r="B1242" s="31" t="n"/>
      <c r="C1242" s="33" t="n"/>
      <c r="D1242" s="33" t="n"/>
      <c r="E1242" s="33" t="n"/>
      <c r="F1242" s="33" t="n"/>
      <c r="G1242" s="33" t="n"/>
    </row>
    <row r="1243">
      <c r="A1243" s="37" t="n"/>
      <c r="B1243" s="31" t="n"/>
      <c r="C1243" s="33" t="n"/>
      <c r="D1243" s="33" t="n"/>
      <c r="E1243" s="33" t="n"/>
      <c r="F1243" s="33" t="n"/>
      <c r="G1243" s="33" t="n"/>
    </row>
    <row r="1244">
      <c r="A1244" s="37" t="n"/>
      <c r="B1244" s="31" t="n"/>
      <c r="C1244" s="33" t="n"/>
      <c r="D1244" s="33" t="n"/>
      <c r="E1244" s="33" t="n"/>
      <c r="F1244" s="33" t="n"/>
      <c r="G1244" s="33" t="n"/>
    </row>
    <row r="1245">
      <c r="A1245" s="37" t="n"/>
      <c r="B1245" s="31" t="n"/>
      <c r="C1245" s="33" t="n"/>
      <c r="D1245" s="33" t="n"/>
      <c r="E1245" s="33" t="n"/>
      <c r="F1245" s="33" t="n"/>
      <c r="G1245" s="33" t="n"/>
    </row>
    <row r="1246">
      <c r="A1246" s="37" t="n"/>
      <c r="B1246" s="31" t="n"/>
      <c r="C1246" s="33" t="n"/>
      <c r="D1246" s="33" t="n"/>
      <c r="E1246" s="33" t="n"/>
      <c r="F1246" s="33" t="n"/>
      <c r="G1246" s="33" t="n"/>
    </row>
    <row r="1247">
      <c r="A1247" s="37" t="n"/>
      <c r="B1247" s="31" t="n"/>
      <c r="C1247" s="33" t="n"/>
      <c r="D1247" s="33" t="n"/>
      <c r="E1247" s="33" t="n"/>
      <c r="F1247" s="33" t="n"/>
      <c r="G1247" s="33" t="n"/>
    </row>
    <row r="1248">
      <c r="A1248" s="37" t="n"/>
      <c r="B1248" s="31" t="n"/>
      <c r="C1248" s="33" t="n"/>
      <c r="D1248" s="33" t="n"/>
      <c r="E1248" s="33" t="n"/>
      <c r="F1248" s="33" t="n"/>
      <c r="G1248" s="33" t="n"/>
    </row>
    <row r="1249">
      <c r="A1249" s="37" t="n"/>
      <c r="B1249" s="31" t="n"/>
      <c r="C1249" s="33" t="n"/>
      <c r="D1249" s="33" t="n"/>
      <c r="E1249" s="33" t="n"/>
      <c r="F1249" s="33" t="n"/>
      <c r="G1249" s="33" t="n"/>
    </row>
    <row r="1250">
      <c r="A1250" s="37" t="n"/>
      <c r="B1250" s="31" t="n"/>
      <c r="C1250" s="33" t="n"/>
      <c r="D1250" s="33" t="n"/>
      <c r="E1250" s="33" t="n"/>
      <c r="F1250" s="33" t="n"/>
      <c r="G1250" s="33" t="n"/>
    </row>
    <row r="1251">
      <c r="A1251" s="37" t="n"/>
      <c r="B1251" s="31" t="n"/>
      <c r="C1251" s="33" t="n"/>
      <c r="D1251" s="33" t="n"/>
      <c r="E1251" s="33" t="n"/>
      <c r="F1251" s="33" t="n"/>
      <c r="G1251" s="33" t="n"/>
    </row>
    <row r="1252">
      <c r="A1252" s="37" t="n"/>
      <c r="B1252" s="31" t="n"/>
      <c r="C1252" s="33" t="n"/>
      <c r="D1252" s="33" t="n"/>
      <c r="E1252" s="33" t="n"/>
      <c r="F1252" s="33" t="n"/>
      <c r="G1252" s="33" t="n"/>
    </row>
    <row r="1253">
      <c r="A1253" s="37" t="n"/>
      <c r="B1253" s="31" t="n"/>
      <c r="C1253" s="33" t="n"/>
      <c r="D1253" s="33" t="n"/>
      <c r="E1253" s="33" t="n"/>
      <c r="F1253" s="33" t="n"/>
      <c r="G1253" s="33" t="n"/>
    </row>
    <row r="1254">
      <c r="A1254" s="37" t="n"/>
      <c r="B1254" s="31" t="n"/>
      <c r="C1254" s="33" t="n"/>
      <c r="D1254" s="33" t="n"/>
      <c r="E1254" s="33" t="n"/>
      <c r="F1254" s="33" t="n"/>
      <c r="G1254" s="33" t="n"/>
    </row>
    <row r="1255">
      <c r="A1255" s="37" t="n"/>
      <c r="B1255" s="31" t="n"/>
      <c r="C1255" s="33" t="n"/>
      <c r="D1255" s="33" t="n"/>
      <c r="E1255" s="33" t="n"/>
      <c r="F1255" s="33" t="n"/>
      <c r="G1255" s="33" t="n"/>
    </row>
    <row r="1256">
      <c r="A1256" s="37" t="n"/>
      <c r="B1256" s="31" t="n"/>
      <c r="C1256" s="33" t="n"/>
      <c r="D1256" s="33" t="n"/>
      <c r="E1256" s="33" t="n"/>
      <c r="F1256" s="33" t="n"/>
      <c r="G1256" s="33" t="n"/>
    </row>
    <row r="1257">
      <c r="A1257" s="37" t="n"/>
      <c r="B1257" s="31" t="n"/>
      <c r="C1257" s="33" t="n"/>
      <c r="D1257" s="33" t="n"/>
      <c r="E1257" s="33" t="n"/>
      <c r="F1257" s="33" t="n"/>
      <c r="G1257" s="33" t="n"/>
    </row>
    <row r="1258">
      <c r="A1258" s="37" t="n"/>
      <c r="B1258" s="31" t="n"/>
      <c r="C1258" s="33" t="n"/>
      <c r="D1258" s="33" t="n"/>
      <c r="E1258" s="33" t="n"/>
      <c r="F1258" s="33" t="n"/>
      <c r="G1258" s="33" t="n"/>
    </row>
    <row r="1259">
      <c r="A1259" s="37" t="n"/>
      <c r="B1259" s="31" t="n"/>
      <c r="C1259" s="33" t="n"/>
      <c r="D1259" s="33" t="n"/>
      <c r="E1259" s="33" t="n"/>
      <c r="F1259" s="33" t="n"/>
      <c r="G1259" s="33" t="n"/>
    </row>
    <row r="1260">
      <c r="A1260" s="37" t="n"/>
      <c r="B1260" s="31" t="n"/>
      <c r="C1260" s="33" t="n"/>
      <c r="D1260" s="33" t="n"/>
      <c r="E1260" s="33" t="n"/>
      <c r="F1260" s="33" t="n"/>
      <c r="G1260" s="33" t="n"/>
    </row>
    <row r="1261">
      <c r="A1261" s="37" t="n"/>
      <c r="B1261" s="31" t="n"/>
      <c r="C1261" s="33" t="n"/>
      <c r="D1261" s="33" t="n"/>
      <c r="E1261" s="33" t="n"/>
      <c r="F1261" s="33" t="n"/>
      <c r="G1261" s="33" t="n"/>
    </row>
    <row r="1262">
      <c r="A1262" s="37" t="n"/>
      <c r="B1262" s="31" t="n"/>
      <c r="C1262" s="33" t="n"/>
      <c r="D1262" s="33" t="n"/>
      <c r="E1262" s="33" t="n"/>
      <c r="F1262" s="33" t="n"/>
      <c r="G1262" s="33" t="n"/>
    </row>
    <row r="1263">
      <c r="A1263" s="37" t="n"/>
      <c r="B1263" s="31" t="n"/>
      <c r="C1263" s="33" t="n"/>
      <c r="D1263" s="33" t="n"/>
      <c r="E1263" s="33" t="n"/>
      <c r="F1263" s="33" t="n"/>
      <c r="G1263" s="33" t="n"/>
    </row>
    <row r="1264">
      <c r="A1264" s="37" t="n"/>
      <c r="B1264" s="31" t="n"/>
      <c r="C1264" s="33" t="n"/>
      <c r="D1264" s="33" t="n"/>
      <c r="E1264" s="33" t="n"/>
      <c r="F1264" s="33" t="n"/>
      <c r="G1264" s="33" t="n"/>
    </row>
    <row r="1265">
      <c r="A1265" s="37" t="n"/>
      <c r="B1265" s="31" t="n"/>
      <c r="C1265" s="33" t="n"/>
      <c r="D1265" s="33" t="n"/>
      <c r="E1265" s="33" t="n"/>
      <c r="F1265" s="33" t="n"/>
      <c r="G1265" s="33" t="n"/>
    </row>
    <row r="1266">
      <c r="A1266" s="37" t="n"/>
      <c r="B1266" s="31" t="n"/>
      <c r="C1266" s="33" t="n"/>
      <c r="D1266" s="33" t="n"/>
      <c r="E1266" s="33" t="n"/>
      <c r="F1266" s="33" t="n"/>
      <c r="G1266" s="33" t="n"/>
    </row>
    <row r="1267">
      <c r="A1267" s="37" t="n"/>
      <c r="B1267" s="31" t="n"/>
      <c r="C1267" s="33" t="n"/>
      <c r="D1267" s="33" t="n"/>
      <c r="E1267" s="33" t="n"/>
      <c r="F1267" s="33" t="n"/>
      <c r="G1267" s="33" t="n"/>
    </row>
    <row r="1268">
      <c r="A1268" s="37" t="n"/>
      <c r="B1268" s="31" t="n"/>
      <c r="C1268" s="33" t="n"/>
      <c r="D1268" s="33" t="n"/>
      <c r="E1268" s="33" t="n"/>
      <c r="F1268" s="33" t="n"/>
      <c r="G1268" s="33" t="n"/>
    </row>
    <row r="1269">
      <c r="A1269" s="37" t="n"/>
      <c r="B1269" s="31" t="n"/>
      <c r="C1269" s="33" t="n"/>
      <c r="D1269" s="33" t="n"/>
      <c r="E1269" s="33" t="n"/>
      <c r="F1269" s="33" t="n"/>
      <c r="G1269" s="33" t="n"/>
    </row>
    <row r="1270">
      <c r="A1270" s="37" t="n"/>
      <c r="B1270" s="31" t="n"/>
      <c r="C1270" s="33" t="n"/>
      <c r="D1270" s="33" t="n"/>
      <c r="E1270" s="33" t="n"/>
      <c r="F1270" s="33" t="n"/>
      <c r="G1270" s="33" t="n"/>
    </row>
    <row r="1271">
      <c r="A1271" s="37" t="n"/>
      <c r="B1271" s="31" t="n"/>
      <c r="C1271" s="33" t="n"/>
      <c r="D1271" s="33" t="n"/>
      <c r="E1271" s="33" t="n"/>
      <c r="F1271" s="33" t="n"/>
      <c r="G1271" s="33" t="n"/>
    </row>
    <row r="1272">
      <c r="A1272" s="37" t="n"/>
      <c r="B1272" s="31" t="n"/>
      <c r="C1272" s="33" t="n"/>
      <c r="D1272" s="33" t="n"/>
      <c r="E1272" s="33" t="n"/>
      <c r="F1272" s="33" t="n"/>
      <c r="G1272" s="33" t="n"/>
    </row>
    <row r="1273">
      <c r="A1273" s="37" t="n"/>
      <c r="B1273" s="31" t="n"/>
      <c r="C1273" s="33" t="n"/>
      <c r="D1273" s="33" t="n"/>
      <c r="E1273" s="33" t="n"/>
      <c r="F1273" s="33" t="n"/>
      <c r="G1273" s="33" t="n"/>
    </row>
    <row r="1274">
      <c r="A1274" s="37" t="n"/>
      <c r="B1274" s="31" t="n"/>
      <c r="C1274" s="33" t="n"/>
      <c r="D1274" s="33" t="n"/>
      <c r="E1274" s="33" t="n"/>
      <c r="F1274" s="33" t="n"/>
      <c r="G1274" s="33" t="n"/>
    </row>
    <row r="1275">
      <c r="A1275" s="37" t="n"/>
      <c r="B1275" s="31" t="n"/>
      <c r="C1275" s="33" t="n"/>
      <c r="D1275" s="33" t="n"/>
      <c r="E1275" s="33" t="n"/>
      <c r="F1275" s="33" t="n"/>
      <c r="G1275" s="33" t="n"/>
    </row>
    <row r="1276">
      <c r="A1276" s="37" t="n"/>
      <c r="B1276" s="31" t="n"/>
      <c r="C1276" s="33" t="n"/>
      <c r="D1276" s="33" t="n"/>
      <c r="E1276" s="33" t="n"/>
      <c r="F1276" s="33" t="n"/>
      <c r="G1276" s="33" t="n"/>
    </row>
    <row r="1277">
      <c r="A1277" s="37" t="n"/>
      <c r="B1277" s="31" t="n"/>
      <c r="C1277" s="33" t="n"/>
      <c r="D1277" s="33" t="n"/>
      <c r="E1277" s="33" t="n"/>
      <c r="F1277" s="33" t="n"/>
      <c r="G1277" s="33" t="n"/>
    </row>
    <row r="1278">
      <c r="A1278" s="37" t="n"/>
      <c r="B1278" s="31" t="n"/>
      <c r="C1278" s="33" t="n"/>
      <c r="D1278" s="33" t="n"/>
      <c r="E1278" s="33" t="n"/>
      <c r="F1278" s="33" t="n"/>
      <c r="G1278" s="33" t="n"/>
    </row>
    <row r="1279">
      <c r="A1279" s="37" t="n"/>
      <c r="B1279" s="31" t="n"/>
      <c r="C1279" s="33" t="n"/>
      <c r="D1279" s="33" t="n"/>
      <c r="E1279" s="33" t="n"/>
      <c r="F1279" s="33" t="n"/>
      <c r="G1279" s="33" t="n"/>
    </row>
    <row r="1280">
      <c r="A1280" s="37" t="n"/>
      <c r="B1280" s="31" t="n"/>
      <c r="C1280" s="33" t="n"/>
      <c r="D1280" s="33" t="n"/>
      <c r="E1280" s="33" t="n"/>
      <c r="F1280" s="33" t="n"/>
      <c r="G1280" s="33" t="n"/>
    </row>
    <row r="1281">
      <c r="A1281" s="37" t="n"/>
      <c r="B1281" s="31" t="n"/>
      <c r="C1281" s="33" t="n"/>
      <c r="D1281" s="33" t="n"/>
      <c r="E1281" s="33" t="n"/>
      <c r="F1281" s="33" t="n"/>
      <c r="G1281" s="33" t="n"/>
    </row>
    <row r="1282">
      <c r="A1282" s="37" t="n"/>
      <c r="B1282" s="31" t="n"/>
      <c r="C1282" s="33" t="n"/>
      <c r="D1282" s="33" t="n"/>
      <c r="E1282" s="33" t="n"/>
      <c r="F1282" s="33" t="n"/>
      <c r="G1282" s="33" t="n"/>
    </row>
    <row r="1283">
      <c r="A1283" s="37" t="n"/>
      <c r="B1283" s="31" t="n"/>
      <c r="C1283" s="33" t="n"/>
      <c r="D1283" s="33" t="n"/>
      <c r="E1283" s="33" t="n"/>
      <c r="F1283" s="33" t="n"/>
      <c r="G1283" s="33" t="n"/>
    </row>
    <row r="1284">
      <c r="A1284" s="37" t="n"/>
      <c r="B1284" s="31" t="n"/>
      <c r="C1284" s="33" t="n"/>
      <c r="D1284" s="33" t="n"/>
      <c r="E1284" s="33" t="n"/>
      <c r="F1284" s="33" t="n"/>
      <c r="G1284" s="33" t="n"/>
    </row>
    <row r="1285">
      <c r="A1285" s="37" t="n"/>
      <c r="B1285" s="31" t="n"/>
      <c r="C1285" s="33" t="n"/>
      <c r="D1285" s="33" t="n"/>
      <c r="E1285" s="33" t="n"/>
      <c r="F1285" s="33" t="n"/>
      <c r="G1285" s="33" t="n"/>
    </row>
    <row r="1286">
      <c r="A1286" s="37" t="n"/>
      <c r="B1286" s="31" t="n"/>
      <c r="C1286" s="33" t="n"/>
      <c r="D1286" s="33" t="n"/>
      <c r="E1286" s="33" t="n"/>
      <c r="F1286" s="33" t="n"/>
      <c r="G1286" s="33" t="n"/>
    </row>
    <row r="1287">
      <c r="A1287" s="37" t="n"/>
      <c r="B1287" s="31" t="n"/>
      <c r="C1287" s="33" t="n"/>
      <c r="D1287" s="33" t="n"/>
      <c r="E1287" s="33" t="n"/>
      <c r="F1287" s="33" t="n"/>
      <c r="G1287" s="33" t="n"/>
    </row>
    <row r="1288">
      <c r="A1288" s="37" t="n"/>
      <c r="B1288" s="31" t="n"/>
      <c r="C1288" s="33" t="n"/>
      <c r="D1288" s="33" t="n"/>
      <c r="E1288" s="33" t="n"/>
      <c r="F1288" s="33" t="n"/>
      <c r="G1288" s="33" t="n"/>
    </row>
    <row r="1289">
      <c r="A1289" s="37" t="n"/>
      <c r="B1289" s="31" t="n"/>
      <c r="C1289" s="33" t="n"/>
      <c r="D1289" s="33" t="n"/>
      <c r="E1289" s="33" t="n"/>
      <c r="F1289" s="33" t="n"/>
      <c r="G1289" s="33" t="n"/>
    </row>
    <row r="1290">
      <c r="A1290" s="37" t="n"/>
      <c r="B1290" s="31" t="n"/>
      <c r="C1290" s="33" t="n"/>
      <c r="D1290" s="33" t="n"/>
      <c r="E1290" s="33" t="n"/>
      <c r="F1290" s="33" t="n"/>
      <c r="G1290" s="33" t="n"/>
    </row>
    <row r="1291">
      <c r="A1291" s="37" t="n"/>
      <c r="B1291" s="31" t="n"/>
      <c r="C1291" s="33" t="n"/>
      <c r="D1291" s="33" t="n"/>
      <c r="E1291" s="33" t="n"/>
      <c r="F1291" s="33" t="n"/>
      <c r="G1291" s="33" t="n"/>
    </row>
    <row r="1292">
      <c r="A1292" s="37" t="n"/>
      <c r="B1292" s="31" t="n"/>
      <c r="C1292" s="33" t="n"/>
      <c r="D1292" s="33" t="n"/>
      <c r="E1292" s="33" t="n"/>
      <c r="F1292" s="33" t="n"/>
      <c r="G1292" s="33" t="n"/>
    </row>
    <row r="1293">
      <c r="A1293" s="37" t="n"/>
      <c r="B1293" s="31" t="n"/>
      <c r="C1293" s="33" t="n"/>
      <c r="D1293" s="33" t="n"/>
      <c r="E1293" s="33" t="n"/>
      <c r="F1293" s="33" t="n"/>
      <c r="G1293" s="33" t="n"/>
    </row>
    <row r="1294">
      <c r="A1294" s="37" t="n"/>
      <c r="B1294" s="31" t="n"/>
      <c r="C1294" s="33" t="n"/>
      <c r="D1294" s="33" t="n"/>
      <c r="E1294" s="33" t="n"/>
      <c r="F1294" s="33" t="n"/>
      <c r="G1294" s="33" t="n"/>
    </row>
    <row r="1295">
      <c r="A1295" s="37" t="n"/>
      <c r="B1295" s="31" t="n"/>
      <c r="C1295" s="33" t="n"/>
      <c r="D1295" s="33" t="n"/>
      <c r="E1295" s="33" t="n"/>
      <c r="F1295" s="33" t="n"/>
      <c r="G1295" s="33" t="n"/>
    </row>
    <row r="1296">
      <c r="A1296" s="37" t="n"/>
      <c r="B1296" s="31" t="n"/>
      <c r="C1296" s="33" t="n"/>
      <c r="D1296" s="33" t="n"/>
      <c r="E1296" s="33" t="n"/>
      <c r="F1296" s="33" t="n"/>
      <c r="G1296" s="33" t="n"/>
    </row>
    <row r="1297">
      <c r="A1297" s="37" t="n"/>
      <c r="B1297" s="31" t="n"/>
      <c r="C1297" s="33" t="n"/>
      <c r="D1297" s="33" t="n"/>
      <c r="E1297" s="33" t="n"/>
      <c r="F1297" s="33" t="n"/>
      <c r="G1297" s="33" t="n"/>
    </row>
    <row r="1298">
      <c r="A1298" s="37" t="n"/>
      <c r="B1298" s="31" t="n"/>
      <c r="C1298" s="33" t="n"/>
      <c r="D1298" s="33" t="n"/>
      <c r="E1298" s="33" t="n"/>
      <c r="F1298" s="33" t="n"/>
      <c r="G1298" s="33" t="n"/>
    </row>
    <row r="1299">
      <c r="A1299" s="37" t="n"/>
      <c r="B1299" s="31" t="n"/>
      <c r="C1299" s="33" t="n"/>
      <c r="D1299" s="33" t="n"/>
      <c r="E1299" s="33" t="n"/>
      <c r="F1299" s="33" t="n"/>
      <c r="G1299" s="33" t="n"/>
    </row>
    <row r="1300">
      <c r="A1300" s="37" t="n"/>
      <c r="B1300" s="31" t="n"/>
      <c r="C1300" s="33" t="n"/>
      <c r="D1300" s="33" t="n"/>
      <c r="E1300" s="33" t="n"/>
      <c r="F1300" s="33" t="n"/>
      <c r="G1300" s="33" t="n"/>
    </row>
    <row r="1301">
      <c r="A1301" s="37" t="n"/>
      <c r="B1301" s="31" t="n"/>
      <c r="C1301" s="33" t="n"/>
      <c r="D1301" s="33" t="n"/>
      <c r="E1301" s="33" t="n"/>
      <c r="F1301" s="33" t="n"/>
      <c r="G1301" s="33" t="n"/>
    </row>
    <row r="1302">
      <c r="A1302" s="37" t="n"/>
      <c r="B1302" s="31" t="n"/>
      <c r="C1302" s="33" t="n"/>
      <c r="D1302" s="33" t="n"/>
      <c r="E1302" s="33" t="n"/>
      <c r="F1302" s="33" t="n"/>
      <c r="G1302" s="33" t="n"/>
    </row>
    <row r="1303">
      <c r="A1303" s="37" t="n"/>
      <c r="B1303" s="31" t="n"/>
      <c r="C1303" s="33" t="n"/>
      <c r="D1303" s="33" t="n"/>
      <c r="E1303" s="33" t="n"/>
      <c r="F1303" s="33" t="n"/>
      <c r="G1303" s="33" t="n"/>
    </row>
    <row r="1304">
      <c r="A1304" s="37" t="n"/>
      <c r="B1304" s="31" t="n"/>
      <c r="C1304" s="33" t="n"/>
      <c r="D1304" s="33" t="n"/>
      <c r="E1304" s="33" t="n"/>
      <c r="F1304" s="33" t="n"/>
      <c r="G1304" s="33" t="n"/>
    </row>
    <row r="1305">
      <c r="A1305" s="37" t="n"/>
      <c r="B1305" s="31" t="n"/>
      <c r="C1305" s="33" t="n"/>
      <c r="D1305" s="33" t="n"/>
      <c r="E1305" s="33" t="n"/>
      <c r="F1305" s="33" t="n"/>
      <c r="G1305" s="33" t="n"/>
    </row>
    <row r="1306">
      <c r="A1306" s="37" t="n"/>
      <c r="B1306" s="31" t="n"/>
      <c r="C1306" s="33" t="n"/>
      <c r="D1306" s="33" t="n"/>
      <c r="E1306" s="33" t="n"/>
      <c r="F1306" s="33" t="n"/>
      <c r="G1306" s="33" t="n"/>
    </row>
    <row r="1307">
      <c r="A1307" s="37" t="n"/>
      <c r="B1307" s="31" t="n"/>
      <c r="C1307" s="33" t="n"/>
      <c r="D1307" s="33" t="n"/>
      <c r="E1307" s="33" t="n"/>
      <c r="F1307" s="33" t="n"/>
      <c r="G1307" s="33" t="n"/>
    </row>
    <row r="1308">
      <c r="A1308" s="37" t="n"/>
      <c r="B1308" s="31" t="n"/>
      <c r="C1308" s="33" t="n"/>
      <c r="D1308" s="33" t="n"/>
      <c r="E1308" s="33" t="n"/>
      <c r="F1308" s="33" t="n"/>
      <c r="G1308" s="33" t="n"/>
    </row>
    <row r="1309">
      <c r="A1309" s="37" t="n"/>
      <c r="B1309" s="31" t="n"/>
      <c r="C1309" s="33" t="n"/>
      <c r="D1309" s="33" t="n"/>
      <c r="E1309" s="33" t="n"/>
      <c r="F1309" s="33" t="n"/>
      <c r="G1309" s="33" t="n"/>
    </row>
    <row r="1310">
      <c r="A1310" s="37" t="n"/>
      <c r="B1310" s="31" t="n"/>
      <c r="C1310" s="33" t="n"/>
      <c r="D1310" s="33" t="n"/>
      <c r="E1310" s="33" t="n"/>
      <c r="F1310" s="33" t="n"/>
      <c r="G1310" s="33" t="n"/>
    </row>
    <row r="1311">
      <c r="A1311" s="37" t="n"/>
      <c r="B1311" s="31" t="n"/>
      <c r="C1311" s="33" t="n"/>
      <c r="D1311" s="33" t="n"/>
      <c r="E1311" s="33" t="n"/>
      <c r="F1311" s="33" t="n"/>
      <c r="G1311" s="33" t="n"/>
    </row>
    <row r="1312">
      <c r="A1312" s="37" t="n"/>
      <c r="B1312" s="31" t="n"/>
      <c r="C1312" s="33" t="n"/>
      <c r="D1312" s="33" t="n"/>
      <c r="E1312" s="33" t="n"/>
      <c r="F1312" s="33" t="n"/>
      <c r="G1312" s="33" t="n"/>
    </row>
    <row r="1313">
      <c r="A1313" s="37" t="n"/>
      <c r="B1313" s="31" t="n"/>
      <c r="C1313" s="33" t="n"/>
      <c r="D1313" s="33" t="n"/>
      <c r="E1313" s="33" t="n"/>
      <c r="F1313" s="33" t="n"/>
      <c r="G1313" s="33" t="n"/>
    </row>
    <row r="1314">
      <c r="A1314" s="37" t="n"/>
      <c r="B1314" s="31" t="n"/>
      <c r="C1314" s="33" t="n"/>
      <c r="D1314" s="33" t="n"/>
      <c r="E1314" s="33" t="n"/>
      <c r="F1314" s="33" t="n"/>
      <c r="G1314" s="33" t="n"/>
    </row>
    <row r="1315">
      <c r="A1315" s="37" t="n"/>
      <c r="B1315" s="31" t="n"/>
      <c r="C1315" s="33" t="n"/>
      <c r="D1315" s="33" t="n"/>
      <c r="E1315" s="33" t="n"/>
      <c r="F1315" s="33" t="n"/>
      <c r="G1315" s="33" t="n"/>
    </row>
    <row r="1316">
      <c r="A1316" s="37" t="n"/>
      <c r="B1316" s="31" t="n"/>
      <c r="C1316" s="33" t="n"/>
      <c r="D1316" s="33" t="n"/>
      <c r="E1316" s="33" t="n"/>
      <c r="F1316" s="33" t="n"/>
      <c r="G1316" s="33" t="n"/>
    </row>
    <row r="1317">
      <c r="A1317" s="37" t="n"/>
      <c r="B1317" s="31" t="n"/>
      <c r="C1317" s="33" t="n"/>
      <c r="D1317" s="33" t="n"/>
      <c r="E1317" s="33" t="n"/>
      <c r="F1317" s="33" t="n"/>
      <c r="G1317" s="33" t="n"/>
    </row>
    <row r="1318">
      <c r="A1318" s="37" t="n"/>
      <c r="B1318" s="31" t="n"/>
      <c r="C1318" s="33" t="n"/>
      <c r="D1318" s="33" t="n"/>
      <c r="E1318" s="33" t="n"/>
      <c r="F1318" s="33" t="n"/>
      <c r="G1318" s="33" t="n"/>
    </row>
    <row r="1319">
      <c r="A1319" s="37" t="n"/>
      <c r="B1319" s="31" t="n"/>
      <c r="C1319" s="33" t="n"/>
      <c r="D1319" s="33" t="n"/>
      <c r="E1319" s="33" t="n"/>
      <c r="F1319" s="33" t="n"/>
      <c r="G1319" s="33" t="n"/>
    </row>
    <row r="1320">
      <c r="A1320" s="37" t="n"/>
      <c r="B1320" s="31" t="n"/>
      <c r="C1320" s="33" t="n"/>
      <c r="D1320" s="33" t="n"/>
      <c r="E1320" s="33" t="n"/>
      <c r="F1320" s="33" t="n"/>
      <c r="G1320" s="33" t="n"/>
    </row>
    <row r="1321">
      <c r="A1321" s="37" t="n"/>
      <c r="B1321" s="31" t="n"/>
      <c r="C1321" s="33" t="n"/>
      <c r="D1321" s="33" t="n"/>
      <c r="E1321" s="33" t="n"/>
      <c r="F1321" s="33" t="n"/>
      <c r="G1321" s="33" t="n"/>
    </row>
    <row r="1322">
      <c r="A1322" s="37" t="n"/>
      <c r="B1322" s="31" t="n"/>
      <c r="C1322" s="33" t="n"/>
      <c r="D1322" s="33" t="n"/>
      <c r="E1322" s="33" t="n"/>
      <c r="F1322" s="33" t="n"/>
      <c r="G1322" s="33" t="n"/>
    </row>
    <row r="1323">
      <c r="A1323" s="37" t="n"/>
      <c r="B1323" s="31" t="n"/>
      <c r="C1323" s="33" t="n"/>
      <c r="D1323" s="33" t="n"/>
      <c r="E1323" s="33" t="n"/>
      <c r="F1323" s="33" t="n"/>
      <c r="G1323" s="33" t="n"/>
    </row>
    <row r="1324">
      <c r="A1324" s="37" t="n"/>
      <c r="B1324" s="31" t="n"/>
      <c r="C1324" s="33" t="n"/>
      <c r="D1324" s="33" t="n"/>
      <c r="E1324" s="33" t="n"/>
      <c r="F1324" s="33" t="n"/>
      <c r="G1324" s="33" t="n"/>
    </row>
    <row r="1325">
      <c r="A1325" s="37" t="n"/>
      <c r="B1325" s="31" t="n"/>
      <c r="C1325" s="33" t="n"/>
      <c r="D1325" s="33" t="n"/>
      <c r="E1325" s="33" t="n"/>
      <c r="F1325" s="33" t="n"/>
      <c r="G1325" s="33" t="n"/>
    </row>
    <row r="1326">
      <c r="A1326" s="37" t="n"/>
      <c r="B1326" s="31" t="n"/>
      <c r="C1326" s="33" t="n"/>
      <c r="D1326" s="33" t="n"/>
      <c r="E1326" s="33" t="n"/>
      <c r="F1326" s="33" t="n"/>
      <c r="G1326" s="33" t="n"/>
    </row>
    <row r="1327">
      <c r="A1327" s="37" t="n"/>
      <c r="B1327" s="31" t="n"/>
      <c r="C1327" s="33" t="n"/>
      <c r="D1327" s="33" t="n"/>
      <c r="E1327" s="33" t="n"/>
      <c r="F1327" s="33" t="n"/>
      <c r="G1327" s="33" t="n"/>
    </row>
    <row r="1328">
      <c r="A1328" s="37" t="n"/>
      <c r="B1328" s="31" t="n"/>
      <c r="C1328" s="33" t="n"/>
      <c r="D1328" s="33" t="n"/>
      <c r="E1328" s="33" t="n"/>
      <c r="F1328" s="33" t="n"/>
      <c r="G1328" s="33" t="n"/>
    </row>
    <row r="1329">
      <c r="A1329" s="37" t="n"/>
      <c r="B1329" s="31" t="n"/>
      <c r="C1329" s="33" t="n"/>
      <c r="D1329" s="33" t="n"/>
      <c r="E1329" s="33" t="n"/>
      <c r="F1329" s="33" t="n"/>
      <c r="G1329" s="33" t="n"/>
    </row>
    <row r="1330">
      <c r="A1330" s="37" t="n"/>
      <c r="B1330" s="31" t="n"/>
      <c r="C1330" s="33" t="n"/>
      <c r="D1330" s="33" t="n"/>
      <c r="E1330" s="33" t="n"/>
      <c r="F1330" s="33" t="n"/>
      <c r="G1330" s="33" t="n"/>
    </row>
    <row r="1331">
      <c r="A1331" s="37" t="n"/>
      <c r="B1331" s="31" t="n"/>
      <c r="C1331" s="33" t="n"/>
      <c r="D1331" s="33" t="n"/>
      <c r="E1331" s="33" t="n"/>
      <c r="F1331" s="33" t="n"/>
      <c r="G1331" s="33" t="n"/>
    </row>
    <row r="1332">
      <c r="A1332" s="37" t="n"/>
      <c r="B1332" s="31" t="n"/>
      <c r="C1332" s="33" t="n"/>
      <c r="D1332" s="33" t="n"/>
      <c r="E1332" s="33" t="n"/>
      <c r="F1332" s="33" t="n"/>
      <c r="G1332" s="33" t="n"/>
    </row>
    <row r="1333">
      <c r="A1333" s="37" t="n"/>
      <c r="B1333" s="31" t="n"/>
      <c r="C1333" s="33" t="n"/>
      <c r="D1333" s="33" t="n"/>
      <c r="E1333" s="33" t="n"/>
      <c r="F1333" s="33" t="n"/>
      <c r="G1333" s="33" t="n"/>
    </row>
    <row r="1334">
      <c r="A1334" s="37" t="n"/>
      <c r="B1334" s="31" t="n"/>
      <c r="C1334" s="33" t="n"/>
      <c r="D1334" s="33" t="n"/>
      <c r="E1334" s="33" t="n"/>
      <c r="F1334" s="33" t="n"/>
      <c r="G1334" s="33" t="n"/>
    </row>
    <row r="1335">
      <c r="A1335" s="37" t="n"/>
      <c r="B1335" s="31" t="n"/>
      <c r="C1335" s="33" t="n"/>
      <c r="D1335" s="33" t="n"/>
      <c r="E1335" s="33" t="n"/>
      <c r="F1335" s="33" t="n"/>
      <c r="G1335" s="33" t="n"/>
    </row>
    <row r="1336">
      <c r="A1336" s="37" t="n"/>
      <c r="B1336" s="31" t="n"/>
      <c r="C1336" s="33" t="n"/>
      <c r="D1336" s="33" t="n"/>
      <c r="E1336" s="33" t="n"/>
      <c r="F1336" s="33" t="n"/>
      <c r="G1336" s="33" t="n"/>
    </row>
    <row r="1337">
      <c r="A1337" s="37" t="n"/>
      <c r="B1337" s="31" t="n"/>
      <c r="C1337" s="33" t="n"/>
      <c r="D1337" s="33" t="n"/>
      <c r="E1337" s="33" t="n"/>
      <c r="F1337" s="33" t="n"/>
      <c r="G1337" s="33" t="n"/>
    </row>
    <row r="1338">
      <c r="A1338" s="37" t="n"/>
      <c r="B1338" s="31" t="n"/>
      <c r="C1338" s="33" t="n"/>
      <c r="D1338" s="33" t="n"/>
      <c r="E1338" s="33" t="n"/>
      <c r="F1338" s="33" t="n"/>
      <c r="G1338" s="33" t="n"/>
    </row>
    <row r="1339">
      <c r="A1339" s="37" t="n"/>
      <c r="B1339" s="31" t="n"/>
      <c r="C1339" s="33" t="n"/>
      <c r="D1339" s="33" t="n"/>
      <c r="E1339" s="33" t="n"/>
      <c r="F1339" s="33" t="n"/>
      <c r="G1339" s="33" t="n"/>
    </row>
    <row r="1340">
      <c r="A1340" s="37" t="n"/>
      <c r="B1340" s="31" t="n"/>
      <c r="C1340" s="33" t="n"/>
      <c r="D1340" s="33" t="n"/>
      <c r="E1340" s="33" t="n"/>
      <c r="F1340" s="33" t="n"/>
      <c r="G1340" s="33" t="n"/>
    </row>
    <row r="1341">
      <c r="A1341" s="37" t="n"/>
      <c r="B1341" s="31" t="n"/>
      <c r="C1341" s="33" t="n"/>
      <c r="D1341" s="33" t="n"/>
      <c r="E1341" s="33" t="n"/>
      <c r="F1341" s="33" t="n"/>
      <c r="G1341" s="33" t="n"/>
    </row>
    <row r="1342">
      <c r="A1342" s="37" t="n"/>
      <c r="B1342" s="31" t="n"/>
      <c r="C1342" s="33" t="n"/>
      <c r="D1342" s="33" t="n"/>
      <c r="E1342" s="33" t="n"/>
      <c r="F1342" s="33" t="n"/>
      <c r="G1342" s="33" t="n"/>
    </row>
    <row r="1343">
      <c r="A1343" s="37" t="n"/>
      <c r="B1343" s="31" t="n"/>
      <c r="C1343" s="33" t="n"/>
      <c r="D1343" s="33" t="n"/>
      <c r="E1343" s="33" t="n"/>
      <c r="F1343" s="33" t="n"/>
      <c r="G1343" s="33" t="n"/>
    </row>
    <row r="1344">
      <c r="A1344" s="37" t="n"/>
      <c r="B1344" s="31" t="n"/>
      <c r="C1344" s="33" t="n"/>
      <c r="D1344" s="33" t="n"/>
      <c r="E1344" s="33" t="n"/>
      <c r="F1344" s="33" t="n"/>
      <c r="G1344" s="33" t="n"/>
    </row>
    <row r="1345">
      <c r="A1345" s="37" t="n"/>
      <c r="B1345" s="31" t="n"/>
      <c r="C1345" s="33" t="n"/>
      <c r="D1345" s="33" t="n"/>
      <c r="E1345" s="33" t="n"/>
      <c r="F1345" s="33" t="n"/>
      <c r="G1345" s="33" t="n"/>
    </row>
    <row r="1346">
      <c r="A1346" s="37" t="n"/>
      <c r="B1346" s="31" t="n"/>
      <c r="C1346" s="33" t="n"/>
      <c r="D1346" s="33" t="n"/>
      <c r="E1346" s="33" t="n"/>
      <c r="F1346" s="33" t="n"/>
      <c r="G1346" s="33" t="n"/>
    </row>
    <row r="1347">
      <c r="A1347" s="37" t="n"/>
      <c r="B1347" s="31" t="n"/>
      <c r="C1347" s="33" t="n"/>
      <c r="D1347" s="33" t="n"/>
      <c r="E1347" s="33" t="n"/>
      <c r="F1347" s="33" t="n"/>
      <c r="G1347" s="33" t="n"/>
    </row>
    <row r="1348">
      <c r="A1348" s="37" t="n"/>
      <c r="B1348" s="31" t="n"/>
      <c r="C1348" s="33" t="n"/>
      <c r="D1348" s="33" t="n"/>
      <c r="E1348" s="33" t="n"/>
      <c r="F1348" s="33" t="n"/>
      <c r="G1348" s="33" t="n"/>
    </row>
    <row r="1349">
      <c r="A1349" s="37" t="n"/>
      <c r="B1349" s="31" t="n"/>
      <c r="C1349" s="33" t="n"/>
      <c r="D1349" s="33" t="n"/>
      <c r="E1349" s="33" t="n"/>
      <c r="F1349" s="33" t="n"/>
      <c r="G1349" s="33" t="n"/>
    </row>
    <row r="1350">
      <c r="A1350" s="37" t="n"/>
      <c r="B1350" s="31" t="n"/>
      <c r="C1350" s="33" t="n"/>
      <c r="D1350" s="33" t="n"/>
      <c r="E1350" s="33" t="n"/>
      <c r="F1350" s="33" t="n"/>
      <c r="G1350" s="33" t="n"/>
    </row>
    <row r="1351">
      <c r="A1351" s="37" t="n"/>
      <c r="B1351" s="31" t="n"/>
      <c r="C1351" s="33" t="n"/>
      <c r="D1351" s="33" t="n"/>
      <c r="E1351" s="33" t="n"/>
      <c r="F1351" s="33" t="n"/>
      <c r="G1351" s="33" t="n"/>
    </row>
    <row r="1352">
      <c r="A1352" s="37" t="n"/>
      <c r="B1352" s="31" t="n"/>
      <c r="C1352" s="33" t="n"/>
      <c r="D1352" s="33" t="n"/>
      <c r="E1352" s="33" t="n"/>
      <c r="F1352" s="33" t="n"/>
      <c r="G1352" s="33" t="n"/>
    </row>
    <row r="1353">
      <c r="A1353" s="37" t="n"/>
      <c r="B1353" s="31" t="n"/>
      <c r="C1353" s="33" t="n"/>
      <c r="D1353" s="33" t="n"/>
      <c r="E1353" s="33" t="n"/>
      <c r="F1353" s="33" t="n"/>
      <c r="G1353" s="33" t="n"/>
    </row>
    <row r="1354">
      <c r="A1354" s="37" t="n"/>
      <c r="B1354" s="31" t="n"/>
      <c r="C1354" s="33" t="n"/>
      <c r="D1354" s="33" t="n"/>
      <c r="E1354" s="33" t="n"/>
      <c r="F1354" s="33" t="n"/>
      <c r="G1354" s="33" t="n"/>
    </row>
    <row r="1355">
      <c r="A1355" s="37" t="n"/>
      <c r="B1355" s="31" t="n"/>
      <c r="C1355" s="33" t="n"/>
      <c r="D1355" s="33" t="n"/>
      <c r="E1355" s="33" t="n"/>
      <c r="F1355" s="33" t="n"/>
      <c r="G1355" s="33" t="n"/>
    </row>
    <row r="1356">
      <c r="A1356" s="37" t="n"/>
      <c r="B1356" s="31" t="n"/>
      <c r="C1356" s="33" t="n"/>
      <c r="D1356" s="33" t="n"/>
      <c r="E1356" s="33" t="n"/>
      <c r="F1356" s="33" t="n"/>
      <c r="G1356" s="33" t="n"/>
    </row>
    <row r="1357">
      <c r="A1357" s="37" t="n"/>
      <c r="B1357" s="31" t="n"/>
      <c r="C1357" s="33" t="n"/>
      <c r="D1357" s="33" t="n"/>
      <c r="E1357" s="33" t="n"/>
      <c r="F1357" s="33" t="n"/>
      <c r="G1357" s="33" t="n"/>
    </row>
    <row r="1358">
      <c r="A1358" s="37" t="n"/>
      <c r="B1358" s="31" t="n"/>
      <c r="C1358" s="33" t="n"/>
      <c r="D1358" s="33" t="n"/>
      <c r="E1358" s="33" t="n"/>
      <c r="F1358" s="33" t="n"/>
      <c r="G1358" s="33" t="n"/>
    </row>
    <row r="1359">
      <c r="A1359" s="37" t="n"/>
      <c r="B1359" s="31" t="n"/>
      <c r="C1359" s="33" t="n"/>
      <c r="D1359" s="33" t="n"/>
      <c r="E1359" s="33" t="n"/>
      <c r="F1359" s="33" t="n"/>
      <c r="G1359" s="33" t="n"/>
    </row>
    <row r="1360">
      <c r="A1360" s="37" t="n"/>
      <c r="B1360" s="31" t="n"/>
      <c r="C1360" s="33" t="n"/>
      <c r="D1360" s="33" t="n"/>
      <c r="E1360" s="33" t="n"/>
      <c r="F1360" s="33" t="n"/>
      <c r="G1360" s="33" t="n"/>
    </row>
    <row r="1361">
      <c r="A1361" s="37" t="n"/>
      <c r="B1361" s="31" t="n"/>
      <c r="C1361" s="33" t="n"/>
      <c r="D1361" s="33" t="n"/>
      <c r="E1361" s="33" t="n"/>
      <c r="F1361" s="33" t="n"/>
      <c r="G1361" s="33" t="n"/>
    </row>
    <row r="1362">
      <c r="A1362" s="37" t="n"/>
      <c r="B1362" s="31" t="n"/>
      <c r="C1362" s="33" t="n"/>
      <c r="D1362" s="33" t="n"/>
      <c r="E1362" s="33" t="n"/>
      <c r="F1362" s="33" t="n"/>
      <c r="G1362" s="33" t="n"/>
    </row>
    <row r="1363">
      <c r="A1363" s="37" t="n"/>
      <c r="B1363" s="31" t="n"/>
      <c r="C1363" s="33" t="n"/>
      <c r="D1363" s="33" t="n"/>
      <c r="E1363" s="33" t="n"/>
      <c r="F1363" s="33" t="n"/>
      <c r="G1363" s="33" t="n"/>
    </row>
    <row r="1364">
      <c r="A1364" s="37" t="n"/>
      <c r="B1364" s="31" t="n"/>
      <c r="C1364" s="33" t="n"/>
      <c r="D1364" s="33" t="n"/>
      <c r="E1364" s="33" t="n"/>
      <c r="F1364" s="33" t="n"/>
      <c r="G1364" s="33" t="n"/>
    </row>
    <row r="1365">
      <c r="A1365" s="37" t="n"/>
      <c r="B1365" s="31" t="n"/>
      <c r="C1365" s="33" t="n"/>
      <c r="D1365" s="33" t="n"/>
      <c r="E1365" s="33" t="n"/>
      <c r="F1365" s="33" t="n"/>
      <c r="G1365" s="33" t="n"/>
    </row>
    <row r="1366">
      <c r="A1366" s="37" t="n"/>
      <c r="B1366" s="31" t="n"/>
      <c r="C1366" s="33" t="n"/>
      <c r="D1366" s="33" t="n"/>
      <c r="E1366" s="33" t="n"/>
      <c r="F1366" s="33" t="n"/>
      <c r="G1366" s="33" t="n"/>
    </row>
    <row r="1367">
      <c r="A1367" s="37" t="n"/>
      <c r="B1367" s="31" t="n"/>
      <c r="C1367" s="33" t="n"/>
      <c r="D1367" s="33" t="n"/>
      <c r="E1367" s="33" t="n"/>
      <c r="F1367" s="33" t="n"/>
      <c r="G1367" s="33" t="n"/>
    </row>
    <row r="1368">
      <c r="A1368" s="37" t="n"/>
      <c r="B1368" s="31" t="n"/>
      <c r="C1368" s="33" t="n"/>
      <c r="D1368" s="33" t="n"/>
      <c r="E1368" s="33" t="n"/>
      <c r="F1368" s="33" t="n"/>
      <c r="G1368" s="33" t="n"/>
    </row>
    <row r="1369">
      <c r="A1369" s="37" t="n"/>
      <c r="B1369" s="31" t="n"/>
      <c r="C1369" s="33" t="n"/>
      <c r="D1369" s="33" t="n"/>
      <c r="E1369" s="33" t="n"/>
      <c r="F1369" s="33" t="n"/>
      <c r="G1369" s="33" t="n"/>
    </row>
    <row r="1370">
      <c r="A1370" s="37" t="n"/>
      <c r="B1370" s="31" t="n"/>
      <c r="C1370" s="33" t="n"/>
      <c r="D1370" s="33" t="n"/>
      <c r="E1370" s="33" t="n"/>
      <c r="F1370" s="33" t="n"/>
      <c r="G1370" s="33" t="n"/>
    </row>
    <row r="1371">
      <c r="A1371" s="37" t="n"/>
      <c r="B1371" s="31" t="n"/>
      <c r="C1371" s="33" t="n"/>
      <c r="D1371" s="33" t="n"/>
      <c r="E1371" s="33" t="n"/>
      <c r="F1371" s="33" t="n"/>
      <c r="G1371" s="33" t="n"/>
    </row>
    <row r="1372">
      <c r="A1372" s="37" t="n"/>
      <c r="B1372" s="31" t="n"/>
      <c r="C1372" s="33" t="n"/>
      <c r="D1372" s="33" t="n"/>
      <c r="E1372" s="33" t="n"/>
      <c r="F1372" s="33" t="n"/>
      <c r="G1372" s="33" t="n"/>
    </row>
    <row r="1373">
      <c r="A1373" s="37" t="n"/>
      <c r="B1373" s="31" t="n"/>
      <c r="C1373" s="33" t="n"/>
      <c r="D1373" s="33" t="n"/>
      <c r="E1373" s="33" t="n"/>
      <c r="F1373" s="33" t="n"/>
      <c r="G1373" s="33" t="n"/>
    </row>
    <row r="1374">
      <c r="A1374" s="37" t="n"/>
      <c r="B1374" s="31" t="n"/>
      <c r="C1374" s="33" t="n"/>
      <c r="D1374" s="33" t="n"/>
      <c r="E1374" s="33" t="n"/>
      <c r="F1374" s="33" t="n"/>
      <c r="G1374" s="33" t="n"/>
    </row>
    <row r="1375">
      <c r="A1375" s="37" t="n"/>
      <c r="B1375" s="31" t="n"/>
      <c r="C1375" s="33" t="n"/>
      <c r="D1375" s="33" t="n"/>
      <c r="E1375" s="33" t="n"/>
      <c r="F1375" s="33" t="n"/>
      <c r="G1375" s="33" t="n"/>
    </row>
    <row r="1376">
      <c r="A1376" s="37" t="n"/>
      <c r="B1376" s="31" t="n"/>
      <c r="C1376" s="33" t="n"/>
      <c r="D1376" s="33" t="n"/>
      <c r="E1376" s="33" t="n"/>
      <c r="F1376" s="33" t="n"/>
      <c r="G1376" s="33" t="n"/>
    </row>
    <row r="1377">
      <c r="A1377" s="37" t="n"/>
      <c r="B1377" s="31" t="n"/>
      <c r="C1377" s="33" t="n"/>
      <c r="D1377" s="33" t="n"/>
      <c r="E1377" s="33" t="n"/>
      <c r="F1377" s="33" t="n"/>
      <c r="G1377" s="33" t="n"/>
    </row>
    <row r="1378">
      <c r="A1378" s="37" t="n"/>
      <c r="B1378" s="31" t="n"/>
      <c r="C1378" s="33" t="n"/>
      <c r="D1378" s="33" t="n"/>
      <c r="E1378" s="33" t="n"/>
      <c r="F1378" s="33" t="n"/>
      <c r="G1378" s="33" t="n"/>
    </row>
    <row r="1379">
      <c r="A1379" s="37" t="n"/>
      <c r="B1379" s="31" t="n"/>
      <c r="C1379" s="33" t="n"/>
      <c r="D1379" s="33" t="n"/>
      <c r="E1379" s="33" t="n"/>
      <c r="F1379" s="33" t="n"/>
      <c r="G1379" s="33" t="n"/>
    </row>
    <row r="1380">
      <c r="A1380" s="37" t="n"/>
      <c r="B1380" s="31" t="n"/>
      <c r="C1380" s="33" t="n"/>
      <c r="D1380" s="33" t="n"/>
      <c r="E1380" s="33" t="n"/>
      <c r="F1380" s="33" t="n"/>
      <c r="G1380" s="33" t="n"/>
    </row>
    <row r="1381">
      <c r="A1381" s="37" t="n"/>
      <c r="B1381" s="31" t="n"/>
      <c r="C1381" s="33" t="n"/>
      <c r="D1381" s="33" t="n"/>
      <c r="E1381" s="33" t="n"/>
      <c r="F1381" s="33" t="n"/>
      <c r="G1381" s="33" t="n"/>
    </row>
    <row r="1382">
      <c r="A1382" s="37" t="n"/>
      <c r="B1382" s="31" t="n"/>
      <c r="C1382" s="33" t="n"/>
      <c r="D1382" s="33" t="n"/>
      <c r="E1382" s="33" t="n"/>
      <c r="F1382" s="33" t="n"/>
      <c r="G1382" s="33" t="n"/>
    </row>
    <row r="1383">
      <c r="A1383" s="37" t="n"/>
      <c r="B1383" s="31" t="n"/>
      <c r="C1383" s="33" t="n"/>
      <c r="D1383" s="33" t="n"/>
      <c r="E1383" s="33" t="n"/>
      <c r="F1383" s="33" t="n"/>
      <c r="G1383" s="33" t="n"/>
    </row>
    <row r="1384">
      <c r="A1384" s="37" t="n"/>
      <c r="B1384" s="31" t="n"/>
      <c r="C1384" s="33" t="n"/>
      <c r="D1384" s="33" t="n"/>
      <c r="E1384" s="33" t="n"/>
      <c r="F1384" s="33" t="n"/>
      <c r="G1384" s="33" t="n"/>
    </row>
    <row r="1385">
      <c r="A1385" s="37" t="n"/>
      <c r="B1385" s="31" t="n"/>
      <c r="C1385" s="33" t="n"/>
      <c r="D1385" s="33" t="n"/>
      <c r="E1385" s="33" t="n"/>
      <c r="F1385" s="33" t="n"/>
      <c r="G1385" s="33" t="n"/>
    </row>
    <row r="1386">
      <c r="A1386" s="37" t="n"/>
      <c r="B1386" s="31" t="n"/>
      <c r="C1386" s="33" t="n"/>
      <c r="D1386" s="33" t="n"/>
      <c r="E1386" s="33" t="n"/>
      <c r="F1386" s="33" t="n"/>
      <c r="G1386" s="33" t="n"/>
    </row>
    <row r="1387">
      <c r="A1387" s="37" t="n"/>
      <c r="B1387" s="31" t="n"/>
      <c r="C1387" s="33" t="n"/>
      <c r="D1387" s="33" t="n"/>
      <c r="E1387" s="33" t="n"/>
      <c r="F1387" s="33" t="n"/>
      <c r="G1387" s="33" t="n"/>
    </row>
    <row r="1388">
      <c r="A1388" s="37" t="n"/>
      <c r="B1388" s="31" t="n"/>
      <c r="C1388" s="33" t="n"/>
      <c r="D1388" s="33" t="n"/>
      <c r="E1388" s="33" t="n"/>
      <c r="F1388" s="33" t="n"/>
      <c r="G1388" s="33" t="n"/>
    </row>
    <row r="1389">
      <c r="A1389" s="37" t="n"/>
      <c r="B1389" s="31" t="n"/>
      <c r="C1389" s="33" t="n"/>
      <c r="D1389" s="33" t="n"/>
      <c r="E1389" s="33" t="n"/>
      <c r="F1389" s="33" t="n"/>
      <c r="G1389" s="33" t="n"/>
    </row>
    <row r="1390">
      <c r="A1390" s="37" t="n"/>
      <c r="B1390" s="31" t="n"/>
      <c r="C1390" s="33" t="n"/>
      <c r="D1390" s="33" t="n"/>
      <c r="E1390" s="33" t="n"/>
      <c r="F1390" s="33" t="n"/>
      <c r="G1390" s="33" t="n"/>
    </row>
    <row r="1391">
      <c r="A1391" s="37" t="n"/>
      <c r="B1391" s="31" t="n"/>
      <c r="C1391" s="33" t="n"/>
      <c r="D1391" s="33" t="n"/>
      <c r="E1391" s="33" t="n"/>
      <c r="F1391" s="33" t="n"/>
      <c r="G1391" s="33" t="n"/>
    </row>
    <row r="1392">
      <c r="A1392" s="37" t="n"/>
      <c r="B1392" s="31" t="n"/>
      <c r="C1392" s="33" t="n"/>
      <c r="D1392" s="33" t="n"/>
      <c r="E1392" s="33" t="n"/>
      <c r="F1392" s="33" t="n"/>
      <c r="G1392" s="33" t="n"/>
    </row>
    <row r="1393">
      <c r="A1393" s="37" t="n"/>
      <c r="B1393" s="31" t="n"/>
      <c r="C1393" s="33" t="n"/>
      <c r="D1393" s="33" t="n"/>
      <c r="E1393" s="33" t="n"/>
      <c r="F1393" s="33" t="n"/>
      <c r="G1393" s="33" t="n"/>
    </row>
    <row r="1394">
      <c r="A1394" s="37" t="n"/>
      <c r="B1394" s="31" t="n"/>
      <c r="C1394" s="33" t="n"/>
      <c r="D1394" s="33" t="n"/>
      <c r="E1394" s="33" t="n"/>
      <c r="F1394" s="33" t="n"/>
      <c r="G1394" s="33" t="n"/>
    </row>
    <row r="1395">
      <c r="A1395" s="37" t="n"/>
      <c r="B1395" s="31" t="n"/>
      <c r="C1395" s="33" t="n"/>
      <c r="D1395" s="33" t="n"/>
      <c r="E1395" s="33" t="n"/>
      <c r="F1395" s="33" t="n"/>
      <c r="G1395" s="33" t="n"/>
    </row>
    <row r="1396">
      <c r="A1396" s="37" t="n"/>
      <c r="B1396" s="31" t="n"/>
      <c r="C1396" s="33" t="n"/>
      <c r="D1396" s="33" t="n"/>
      <c r="E1396" s="33" t="n"/>
      <c r="F1396" s="33" t="n"/>
      <c r="G1396" s="33" t="n"/>
    </row>
    <row r="1397">
      <c r="A1397" s="37" t="n"/>
      <c r="B1397" s="31" t="n"/>
      <c r="C1397" s="33" t="n"/>
      <c r="D1397" s="33" t="n"/>
      <c r="E1397" s="33" t="n"/>
      <c r="F1397" s="33" t="n"/>
      <c r="G1397" s="33" t="n"/>
    </row>
    <row r="1398">
      <c r="A1398" s="37" t="n"/>
      <c r="B1398" s="31" t="n"/>
      <c r="C1398" s="33" t="n"/>
      <c r="D1398" s="33" t="n"/>
      <c r="E1398" s="33" t="n"/>
      <c r="F1398" s="33" t="n"/>
      <c r="G1398" s="33" t="n"/>
    </row>
    <row r="1399">
      <c r="A1399" s="37" t="n"/>
      <c r="B1399" s="31" t="n"/>
      <c r="C1399" s="33" t="n"/>
      <c r="D1399" s="33" t="n"/>
      <c r="E1399" s="33" t="n"/>
      <c r="F1399" s="33" t="n"/>
      <c r="G1399" s="33" t="n"/>
    </row>
    <row r="1400">
      <c r="A1400" s="37" t="n"/>
      <c r="B1400" s="31" t="n"/>
      <c r="C1400" s="33" t="n"/>
      <c r="D1400" s="33" t="n"/>
      <c r="E1400" s="33" t="n"/>
      <c r="F1400" s="33" t="n"/>
      <c r="G1400" s="33" t="n"/>
    </row>
    <row r="1401">
      <c r="A1401" s="37" t="n"/>
      <c r="B1401" s="31" t="n"/>
      <c r="C1401" s="33" t="n"/>
      <c r="D1401" s="33" t="n"/>
      <c r="E1401" s="33" t="n"/>
      <c r="F1401" s="33" t="n"/>
      <c r="G1401" s="33" t="n"/>
    </row>
    <row r="1402">
      <c r="A1402" s="37" t="n"/>
      <c r="B1402" s="31" t="n"/>
      <c r="C1402" s="33" t="n"/>
      <c r="D1402" s="33" t="n"/>
      <c r="E1402" s="33" t="n"/>
      <c r="F1402" s="33" t="n"/>
      <c r="G1402" s="33" t="n"/>
    </row>
    <row r="1403">
      <c r="A1403" s="37" t="n"/>
      <c r="B1403" s="31" t="n"/>
      <c r="C1403" s="33" t="n"/>
      <c r="D1403" s="33" t="n"/>
      <c r="E1403" s="33" t="n"/>
      <c r="F1403" s="33" t="n"/>
      <c r="G1403" s="33" t="n"/>
    </row>
    <row r="1404">
      <c r="A1404" s="37" t="n"/>
      <c r="B1404" s="31" t="n"/>
      <c r="C1404" s="33" t="n"/>
      <c r="D1404" s="33" t="n"/>
      <c r="E1404" s="33" t="n"/>
      <c r="F1404" s="33" t="n"/>
      <c r="G1404" s="33" t="n"/>
    </row>
    <row r="1405">
      <c r="A1405" s="37" t="n"/>
      <c r="B1405" s="31" t="n"/>
      <c r="C1405" s="33" t="n"/>
      <c r="D1405" s="33" t="n"/>
      <c r="E1405" s="33" t="n"/>
      <c r="F1405" s="33" t="n"/>
      <c r="G1405" s="33" t="n"/>
    </row>
    <row r="1406">
      <c r="A1406" s="37" t="n"/>
      <c r="B1406" s="31" t="n"/>
      <c r="C1406" s="33" t="n"/>
      <c r="D1406" s="33" t="n"/>
      <c r="E1406" s="33" t="n"/>
      <c r="F1406" s="33" t="n"/>
      <c r="G1406" s="33" t="n"/>
    </row>
    <row r="1407">
      <c r="A1407" s="37" t="n"/>
      <c r="B1407" s="31" t="n"/>
      <c r="C1407" s="33" t="n"/>
      <c r="D1407" s="33" t="n"/>
      <c r="E1407" s="33" t="n"/>
      <c r="F1407" s="33" t="n"/>
      <c r="G1407" s="33" t="n"/>
    </row>
    <row r="1408">
      <c r="A1408" s="37" t="n"/>
      <c r="B1408" s="31" t="n"/>
      <c r="C1408" s="33" t="n"/>
      <c r="D1408" s="33" t="n"/>
      <c r="E1408" s="33" t="n"/>
      <c r="F1408" s="33" t="n"/>
      <c r="G1408" s="33" t="n"/>
    </row>
    <row r="1409">
      <c r="A1409" s="37" t="n"/>
      <c r="B1409" s="31" t="n"/>
      <c r="C1409" s="33" t="n"/>
      <c r="D1409" s="33" t="n"/>
      <c r="E1409" s="33" t="n"/>
      <c r="F1409" s="33" t="n"/>
      <c r="G1409" s="33" t="n"/>
    </row>
    <row r="1410">
      <c r="A1410" s="37" t="n"/>
      <c r="B1410" s="31" t="n"/>
      <c r="C1410" s="33" t="n"/>
      <c r="D1410" s="33" t="n"/>
      <c r="E1410" s="33" t="n"/>
      <c r="F1410" s="33" t="n"/>
      <c r="G1410" s="33" t="n"/>
    </row>
    <row r="1411">
      <c r="A1411" s="37" t="n"/>
      <c r="B1411" s="31" t="n"/>
      <c r="C1411" s="33" t="n"/>
      <c r="D1411" s="33" t="n"/>
      <c r="E1411" s="33" t="n"/>
      <c r="F1411" s="33" t="n"/>
      <c r="G1411" s="33" t="n"/>
    </row>
    <row r="1412">
      <c r="A1412" s="37" t="n"/>
      <c r="B1412" s="31" t="n"/>
      <c r="C1412" s="33" t="n"/>
      <c r="D1412" s="33" t="n"/>
      <c r="E1412" s="33" t="n"/>
      <c r="F1412" s="33" t="n"/>
      <c r="G1412" s="33" t="n"/>
    </row>
    <row r="1413">
      <c r="A1413" s="37" t="n"/>
      <c r="B1413" s="31" t="n"/>
      <c r="C1413" s="33" t="n"/>
      <c r="D1413" s="33" t="n"/>
      <c r="E1413" s="33" t="n"/>
      <c r="F1413" s="33" t="n"/>
      <c r="G1413" s="33" t="n"/>
    </row>
    <row r="1414">
      <c r="A1414" s="37" t="n"/>
      <c r="B1414" s="31" t="n"/>
      <c r="C1414" s="33" t="n"/>
      <c r="D1414" s="33" t="n"/>
      <c r="E1414" s="33" t="n"/>
      <c r="F1414" s="33" t="n"/>
      <c r="G1414" s="33" t="n"/>
    </row>
    <row r="1415">
      <c r="A1415" s="37" t="n"/>
      <c r="B1415" s="31" t="n"/>
      <c r="C1415" s="33" t="n"/>
      <c r="D1415" s="33" t="n"/>
      <c r="E1415" s="33" t="n"/>
      <c r="F1415" s="33" t="n"/>
      <c r="G1415" s="33" t="n"/>
    </row>
    <row r="1416">
      <c r="A1416" s="37" t="n"/>
      <c r="B1416" s="31" t="n"/>
      <c r="C1416" s="33" t="n"/>
      <c r="D1416" s="33" t="n"/>
      <c r="E1416" s="33" t="n"/>
      <c r="F1416" s="33" t="n"/>
      <c r="G1416" s="33" t="n"/>
    </row>
    <row r="1417">
      <c r="A1417" s="37" t="n"/>
      <c r="B1417" s="31" t="n"/>
      <c r="C1417" s="33" t="n"/>
      <c r="D1417" s="33" t="n"/>
      <c r="E1417" s="33" t="n"/>
      <c r="F1417" s="33" t="n"/>
      <c r="G1417" s="33" t="n"/>
    </row>
    <row r="1418">
      <c r="A1418" s="37" t="n"/>
      <c r="B1418" s="31" t="n"/>
      <c r="C1418" s="33" t="n"/>
      <c r="D1418" s="33" t="n"/>
      <c r="E1418" s="33" t="n"/>
      <c r="F1418" s="33" t="n"/>
      <c r="G1418" s="33" t="n"/>
    </row>
    <row r="1419">
      <c r="A1419" s="37" t="n"/>
      <c r="B1419" s="31" t="n"/>
      <c r="C1419" s="33" t="n"/>
      <c r="D1419" s="33" t="n"/>
      <c r="E1419" s="33" t="n"/>
      <c r="F1419" s="33" t="n"/>
      <c r="G1419" s="33" t="n"/>
    </row>
    <row r="1420">
      <c r="A1420" s="37" t="n"/>
      <c r="B1420" s="31" t="n"/>
      <c r="C1420" s="33" t="n"/>
      <c r="D1420" s="33" t="n"/>
      <c r="E1420" s="33" t="n"/>
      <c r="F1420" s="33" t="n"/>
      <c r="G1420" s="33" t="n"/>
    </row>
    <row r="1421">
      <c r="A1421" s="37" t="n"/>
      <c r="B1421" s="31" t="n"/>
      <c r="C1421" s="33" t="n"/>
      <c r="D1421" s="33" t="n"/>
      <c r="E1421" s="33" t="n"/>
      <c r="F1421" s="33" t="n"/>
      <c r="G1421" s="33" t="n"/>
    </row>
    <row r="1422">
      <c r="A1422" s="37" t="n"/>
      <c r="B1422" s="31" t="n"/>
      <c r="C1422" s="33" t="n"/>
      <c r="D1422" s="33" t="n"/>
      <c r="E1422" s="33" t="n"/>
      <c r="F1422" s="33" t="n"/>
      <c r="G1422" s="33" t="n"/>
    </row>
    <row r="1423">
      <c r="A1423" s="37" t="n"/>
      <c r="B1423" s="31" t="n"/>
      <c r="C1423" s="33" t="n"/>
      <c r="D1423" s="33" t="n"/>
      <c r="E1423" s="33" t="n"/>
      <c r="F1423" s="33" t="n"/>
      <c r="G1423" s="33" t="n"/>
    </row>
    <row r="1424">
      <c r="A1424" s="37" t="n"/>
      <c r="B1424" s="31" t="n"/>
      <c r="C1424" s="33" t="n"/>
      <c r="D1424" s="33" t="n"/>
      <c r="E1424" s="33" t="n"/>
      <c r="F1424" s="33" t="n"/>
      <c r="G1424" s="33" t="n"/>
    </row>
    <row r="1425">
      <c r="A1425" s="37" t="n"/>
      <c r="B1425" s="31" t="n"/>
      <c r="C1425" s="33" t="n"/>
      <c r="D1425" s="33" t="n"/>
      <c r="E1425" s="33" t="n"/>
      <c r="F1425" s="33" t="n"/>
      <c r="G1425" s="33" t="n"/>
    </row>
    <row r="1426">
      <c r="A1426" s="37" t="n"/>
      <c r="B1426" s="31" t="n"/>
      <c r="C1426" s="33" t="n"/>
      <c r="D1426" s="33" t="n"/>
      <c r="E1426" s="33" t="n"/>
      <c r="F1426" s="33" t="n"/>
      <c r="G1426" s="33" t="n"/>
    </row>
    <row r="1427">
      <c r="A1427" s="37" t="n"/>
      <c r="B1427" s="31" t="n"/>
      <c r="C1427" s="33" t="n"/>
      <c r="D1427" s="33" t="n"/>
      <c r="E1427" s="33" t="n"/>
      <c r="F1427" s="33" t="n"/>
      <c r="G1427" s="33" t="n"/>
    </row>
    <row r="1428">
      <c r="A1428" s="37" t="n"/>
      <c r="B1428" s="31" t="n"/>
      <c r="C1428" s="33" t="n"/>
      <c r="D1428" s="33" t="n"/>
      <c r="E1428" s="33" t="n"/>
      <c r="F1428" s="33" t="n"/>
      <c r="G1428" s="33" t="n"/>
    </row>
    <row r="1429">
      <c r="A1429" s="37" t="n"/>
      <c r="B1429" s="31" t="n"/>
      <c r="C1429" s="33" t="n"/>
      <c r="D1429" s="33" t="n"/>
      <c r="E1429" s="33" t="n"/>
      <c r="F1429" s="33" t="n"/>
      <c r="G1429" s="33" t="n"/>
    </row>
    <row r="1430">
      <c r="A1430" s="37" t="n"/>
      <c r="B1430" s="31" t="n"/>
      <c r="C1430" s="33" t="n"/>
      <c r="D1430" s="33" t="n"/>
      <c r="E1430" s="33" t="n"/>
      <c r="F1430" s="33" t="n"/>
      <c r="G1430" s="33" t="n"/>
    </row>
    <row r="1431">
      <c r="A1431" s="37" t="n"/>
      <c r="B1431" s="31" t="n"/>
      <c r="C1431" s="33" t="n"/>
      <c r="D1431" s="33" t="n"/>
      <c r="E1431" s="33" t="n"/>
      <c r="F1431" s="33" t="n"/>
      <c r="G1431" s="33" t="n"/>
    </row>
    <row r="1432">
      <c r="A1432" s="37" t="n"/>
      <c r="B1432" s="31" t="n"/>
      <c r="C1432" s="33" t="n"/>
      <c r="D1432" s="33" t="n"/>
      <c r="E1432" s="33" t="n"/>
      <c r="F1432" s="33" t="n"/>
      <c r="G1432" s="33" t="n"/>
    </row>
    <row r="1433">
      <c r="A1433" s="37" t="n"/>
      <c r="B1433" s="31" t="n"/>
      <c r="C1433" s="33" t="n"/>
      <c r="D1433" s="33" t="n"/>
      <c r="E1433" s="33" t="n"/>
      <c r="F1433" s="33" t="n"/>
      <c r="G1433" s="33" t="n"/>
    </row>
    <row r="1434">
      <c r="A1434" s="37" t="n"/>
      <c r="B1434" s="31" t="n"/>
      <c r="C1434" s="33" t="n"/>
      <c r="D1434" s="33" t="n"/>
      <c r="E1434" s="33" t="n"/>
      <c r="F1434" s="33" t="n"/>
      <c r="G1434" s="33" t="n"/>
    </row>
    <row r="1435">
      <c r="A1435" s="37" t="n"/>
      <c r="B1435" s="31" t="n"/>
      <c r="C1435" s="33" t="n"/>
      <c r="D1435" s="33" t="n"/>
      <c r="E1435" s="33" t="n"/>
      <c r="F1435" s="33" t="n"/>
      <c r="G1435" s="33" t="n"/>
    </row>
    <row r="1436">
      <c r="A1436" s="37" t="n"/>
      <c r="B1436" s="31" t="n"/>
      <c r="C1436" s="33" t="n"/>
      <c r="D1436" s="33" t="n"/>
      <c r="E1436" s="33" t="n"/>
      <c r="F1436" s="33" t="n"/>
      <c r="G1436" s="33" t="n"/>
    </row>
    <row r="1437">
      <c r="A1437" s="37" t="n"/>
      <c r="B1437" s="31" t="n"/>
      <c r="C1437" s="33" t="n"/>
      <c r="D1437" s="33" t="n"/>
      <c r="E1437" s="33" t="n"/>
      <c r="F1437" s="33" t="n"/>
      <c r="G1437" s="33" t="n"/>
    </row>
    <row r="1438">
      <c r="A1438" s="37" t="n"/>
      <c r="B1438" s="31" t="n"/>
      <c r="C1438" s="33" t="n"/>
      <c r="D1438" s="33" t="n"/>
      <c r="E1438" s="33" t="n"/>
      <c r="F1438" s="33" t="n"/>
      <c r="G1438" s="33" t="n"/>
    </row>
    <row r="1439">
      <c r="A1439" s="37" t="n"/>
      <c r="B1439" s="31" t="n"/>
      <c r="C1439" s="33" t="n"/>
      <c r="D1439" s="33" t="n"/>
      <c r="E1439" s="33" t="n"/>
      <c r="F1439" s="33" t="n"/>
      <c r="G1439" s="33" t="n"/>
    </row>
    <row r="1440">
      <c r="A1440" s="37" t="n"/>
      <c r="B1440" s="31" t="n"/>
      <c r="C1440" s="33" t="n"/>
      <c r="D1440" s="33" t="n"/>
      <c r="E1440" s="33" t="n"/>
      <c r="F1440" s="33" t="n"/>
      <c r="G1440" s="33" t="n"/>
    </row>
    <row r="1441">
      <c r="A1441" s="37" t="n"/>
      <c r="B1441" s="31" t="n"/>
      <c r="C1441" s="33" t="n"/>
      <c r="D1441" s="33" t="n"/>
      <c r="E1441" s="33" t="n"/>
      <c r="F1441" s="33" t="n"/>
      <c r="G1441" s="33" t="n"/>
    </row>
    <row r="1442">
      <c r="A1442" s="37" t="n"/>
      <c r="B1442" s="31" t="n"/>
      <c r="C1442" s="33" t="n"/>
      <c r="D1442" s="33" t="n"/>
      <c r="E1442" s="33" t="n"/>
      <c r="F1442" s="33" t="n"/>
      <c r="G1442" s="33" t="n"/>
    </row>
    <row r="1443">
      <c r="A1443" s="37" t="n"/>
      <c r="B1443" s="31" t="n"/>
      <c r="C1443" s="33" t="n"/>
      <c r="D1443" s="33" t="n"/>
      <c r="E1443" s="33" t="n"/>
      <c r="F1443" s="33" t="n"/>
      <c r="G1443" s="33" t="n"/>
    </row>
    <row r="1444">
      <c r="A1444" s="37" t="n"/>
      <c r="B1444" s="31" t="n"/>
      <c r="C1444" s="33" t="n"/>
      <c r="D1444" s="33" t="n"/>
      <c r="E1444" s="33" t="n"/>
      <c r="F1444" s="33" t="n"/>
      <c r="G1444" s="33" t="n"/>
    </row>
    <row r="1445">
      <c r="A1445" s="37" t="n"/>
      <c r="B1445" s="31" t="n"/>
      <c r="C1445" s="33" t="n"/>
      <c r="D1445" s="33" t="n"/>
      <c r="E1445" s="33" t="n"/>
      <c r="F1445" s="33" t="n"/>
      <c r="G1445" s="33" t="n"/>
    </row>
    <row r="1446">
      <c r="A1446" s="37" t="n"/>
      <c r="B1446" s="31" t="n"/>
      <c r="C1446" s="33" t="n"/>
      <c r="D1446" s="33" t="n"/>
      <c r="E1446" s="33" t="n"/>
      <c r="F1446" s="33" t="n"/>
      <c r="G1446" s="33" t="n"/>
    </row>
    <row r="1447">
      <c r="A1447" s="37" t="n"/>
      <c r="B1447" s="31" t="n"/>
      <c r="C1447" s="33" t="n"/>
      <c r="D1447" s="33" t="n"/>
      <c r="E1447" s="33" t="n"/>
      <c r="F1447" s="33" t="n"/>
      <c r="G1447" s="33" t="n"/>
    </row>
    <row r="1448">
      <c r="A1448" s="37" t="n"/>
      <c r="B1448" s="31" t="n"/>
      <c r="C1448" s="33" t="n"/>
      <c r="D1448" s="33" t="n"/>
      <c r="E1448" s="33" t="n"/>
      <c r="F1448" s="33" t="n"/>
      <c r="G1448" s="33" t="n"/>
    </row>
    <row r="1449">
      <c r="A1449" s="37" t="n"/>
      <c r="B1449" s="31" t="n"/>
      <c r="C1449" s="33" t="n"/>
      <c r="D1449" s="33" t="n"/>
      <c r="E1449" s="33" t="n"/>
      <c r="F1449" s="33" t="n"/>
      <c r="G1449" s="33" t="n"/>
    </row>
    <row r="1450">
      <c r="A1450" s="37" t="n"/>
      <c r="B1450" s="31" t="n"/>
      <c r="C1450" s="33" t="n"/>
      <c r="D1450" s="33" t="n"/>
      <c r="E1450" s="33" t="n"/>
      <c r="F1450" s="33" t="n"/>
      <c r="G1450" s="33" t="n"/>
    </row>
    <row r="1451">
      <c r="A1451" s="37" t="n"/>
      <c r="B1451" s="31" t="n"/>
      <c r="C1451" s="33" t="n"/>
      <c r="D1451" s="33" t="n"/>
      <c r="E1451" s="33" t="n"/>
      <c r="F1451" s="33" t="n"/>
      <c r="G1451" s="33" t="n"/>
    </row>
    <row r="1452">
      <c r="A1452" s="37" t="n"/>
      <c r="B1452" s="31" t="n"/>
      <c r="C1452" s="33" t="n"/>
      <c r="D1452" s="33" t="n"/>
      <c r="E1452" s="33" t="n"/>
      <c r="F1452" s="33" t="n"/>
      <c r="G1452" s="33" t="n"/>
    </row>
    <row r="1453">
      <c r="A1453" s="37" t="n"/>
      <c r="B1453" s="31" t="n"/>
      <c r="C1453" s="33" t="n"/>
      <c r="D1453" s="33" t="n"/>
      <c r="E1453" s="33" t="n"/>
      <c r="F1453" s="33" t="n"/>
      <c r="G1453" s="33" t="n"/>
    </row>
    <row r="1454">
      <c r="A1454" s="37" t="n"/>
      <c r="B1454" s="31" t="n"/>
      <c r="C1454" s="33" t="n"/>
      <c r="D1454" s="33" t="n"/>
      <c r="E1454" s="33" t="n"/>
      <c r="F1454" s="33" t="n"/>
      <c r="G1454" s="33" t="n"/>
    </row>
    <row r="1455">
      <c r="A1455" s="37" t="n"/>
      <c r="B1455" s="31" t="n"/>
      <c r="C1455" s="33" t="n"/>
      <c r="D1455" s="33" t="n"/>
      <c r="E1455" s="33" t="n"/>
      <c r="F1455" s="33" t="n"/>
      <c r="G1455" s="33" t="n"/>
    </row>
    <row r="1456">
      <c r="A1456" s="37" t="n"/>
      <c r="B1456" s="31" t="n"/>
      <c r="C1456" s="33" t="n"/>
      <c r="D1456" s="33" t="n"/>
      <c r="E1456" s="33" t="n"/>
      <c r="F1456" s="33" t="n"/>
      <c r="G1456" s="33" t="n"/>
    </row>
    <row r="1457">
      <c r="A1457" s="37" t="n"/>
      <c r="B1457" s="31" t="n"/>
      <c r="C1457" s="33" t="n"/>
      <c r="D1457" s="33" t="n"/>
      <c r="E1457" s="33" t="n"/>
      <c r="F1457" s="33" t="n"/>
      <c r="G1457" s="33" t="n"/>
    </row>
    <row r="1458">
      <c r="A1458" s="37" t="n"/>
      <c r="B1458" s="31" t="n"/>
      <c r="C1458" s="33" t="n"/>
      <c r="D1458" s="33" t="n"/>
      <c r="E1458" s="33" t="n"/>
      <c r="F1458" s="33" t="n"/>
      <c r="G1458" s="33" t="n"/>
    </row>
    <row r="1459">
      <c r="A1459" s="37" t="n"/>
      <c r="B1459" s="31" t="n"/>
      <c r="C1459" s="33" t="n"/>
      <c r="D1459" s="33" t="n"/>
      <c r="E1459" s="33" t="n"/>
      <c r="F1459" s="33" t="n"/>
      <c r="G1459" s="33" t="n"/>
    </row>
    <row r="1460">
      <c r="A1460" s="37" t="n"/>
      <c r="B1460" s="31" t="n"/>
      <c r="C1460" s="33" t="n"/>
      <c r="D1460" s="33" t="n"/>
      <c r="E1460" s="33" t="n"/>
      <c r="F1460" s="33" t="n"/>
      <c r="G1460" s="33" t="n"/>
    </row>
    <row r="1461">
      <c r="A1461" s="37" t="n"/>
      <c r="B1461" s="31" t="n"/>
      <c r="C1461" s="33" t="n"/>
      <c r="D1461" s="33" t="n"/>
      <c r="E1461" s="33" t="n"/>
      <c r="F1461" s="33" t="n"/>
      <c r="G1461" s="33" t="n"/>
    </row>
    <row r="1462">
      <c r="A1462" s="37" t="n"/>
      <c r="B1462" s="31" t="n"/>
      <c r="C1462" s="33" t="n"/>
      <c r="D1462" s="33" t="n"/>
      <c r="E1462" s="33" t="n"/>
      <c r="F1462" s="33" t="n"/>
      <c r="G1462" s="33" t="n"/>
    </row>
    <row r="1463">
      <c r="A1463" s="37" t="n"/>
      <c r="B1463" s="31" t="n"/>
      <c r="C1463" s="33" t="n"/>
      <c r="D1463" s="33" t="n"/>
      <c r="E1463" s="33" t="n"/>
      <c r="F1463" s="33" t="n"/>
      <c r="G1463" s="33" t="n"/>
    </row>
    <row r="1464">
      <c r="A1464" s="37" t="n"/>
      <c r="B1464" s="31" t="n"/>
      <c r="C1464" s="33" t="n"/>
      <c r="D1464" s="33" t="n"/>
      <c r="E1464" s="33" t="n"/>
      <c r="F1464" s="33" t="n"/>
      <c r="G1464" s="33" t="n"/>
    </row>
    <row r="1465">
      <c r="A1465" s="37" t="n"/>
      <c r="B1465" s="31" t="n"/>
      <c r="C1465" s="33" t="n"/>
      <c r="D1465" s="33" t="n"/>
      <c r="E1465" s="33" t="n"/>
      <c r="F1465" s="33" t="n"/>
      <c r="G1465" s="33" t="n"/>
    </row>
    <row r="1466">
      <c r="A1466" s="37" t="n"/>
      <c r="B1466" s="31" t="n"/>
      <c r="C1466" s="33" t="n"/>
      <c r="D1466" s="33" t="n"/>
      <c r="E1466" s="33" t="n"/>
      <c r="F1466" s="33" t="n"/>
      <c r="G1466" s="33" t="n"/>
    </row>
    <row r="1467">
      <c r="A1467" s="37" t="n"/>
      <c r="B1467" s="31" t="n"/>
      <c r="C1467" s="33" t="n"/>
      <c r="D1467" s="33" t="n"/>
      <c r="E1467" s="33" t="n"/>
      <c r="F1467" s="33" t="n"/>
      <c r="G1467" s="33" t="n"/>
    </row>
    <row r="1468">
      <c r="A1468" s="37" t="n"/>
      <c r="B1468" s="31" t="n"/>
      <c r="C1468" s="33" t="n"/>
      <c r="D1468" s="33" t="n"/>
      <c r="E1468" s="33" t="n"/>
      <c r="F1468" s="33" t="n"/>
      <c r="G1468" s="33" t="n"/>
    </row>
    <row r="1469">
      <c r="A1469" s="37" t="n"/>
      <c r="B1469" s="31" t="n"/>
      <c r="C1469" s="33" t="n"/>
      <c r="D1469" s="33" t="n"/>
      <c r="E1469" s="33" t="n"/>
      <c r="F1469" s="33" t="n"/>
      <c r="G1469" s="33" t="n"/>
    </row>
    <row r="1470">
      <c r="A1470" s="37" t="n"/>
      <c r="B1470" s="31" t="n"/>
      <c r="C1470" s="33" t="n"/>
      <c r="D1470" s="33" t="n"/>
      <c r="E1470" s="33" t="n"/>
      <c r="F1470" s="33" t="n"/>
      <c r="G1470" s="33" t="n"/>
    </row>
    <row r="1471">
      <c r="A1471" s="37" t="n"/>
      <c r="B1471" s="31" t="n"/>
      <c r="C1471" s="33" t="n"/>
      <c r="D1471" s="33" t="n"/>
      <c r="E1471" s="33" t="n"/>
      <c r="F1471" s="33" t="n"/>
      <c r="G1471" s="33" t="n"/>
    </row>
    <row r="1472">
      <c r="A1472" s="37" t="n"/>
      <c r="B1472" s="31" t="n"/>
      <c r="C1472" s="33" t="n"/>
      <c r="D1472" s="33" t="n"/>
      <c r="E1472" s="33" t="n"/>
      <c r="F1472" s="33" t="n"/>
      <c r="G1472" s="33" t="n"/>
    </row>
    <row r="1473">
      <c r="A1473" s="37" t="n"/>
      <c r="B1473" s="31" t="n"/>
      <c r="C1473" s="33" t="n"/>
      <c r="D1473" s="33" t="n"/>
      <c r="E1473" s="33" t="n"/>
      <c r="F1473" s="33" t="n"/>
      <c r="G1473" s="33" t="n"/>
    </row>
    <row r="1474">
      <c r="A1474" s="37" t="n"/>
      <c r="B1474" s="31" t="n"/>
      <c r="C1474" s="33" t="n"/>
      <c r="D1474" s="33" t="n"/>
      <c r="E1474" s="33" t="n"/>
      <c r="F1474" s="33" t="n"/>
      <c r="G1474" s="33" t="n"/>
    </row>
    <row r="1475">
      <c r="A1475" s="37" t="n"/>
      <c r="B1475" s="31" t="n"/>
      <c r="C1475" s="33" t="n"/>
      <c r="D1475" s="33" t="n"/>
      <c r="E1475" s="33" t="n"/>
      <c r="F1475" s="33" t="n"/>
      <c r="G1475" s="33" t="n"/>
    </row>
    <row r="1476">
      <c r="A1476" s="37" t="n"/>
      <c r="B1476" s="31" t="n"/>
      <c r="C1476" s="33" t="n"/>
      <c r="D1476" s="33" t="n"/>
      <c r="E1476" s="33" t="n"/>
      <c r="F1476" s="33" t="n"/>
      <c r="G1476" s="33" t="n"/>
    </row>
    <row r="1477">
      <c r="A1477" s="37" t="n"/>
      <c r="B1477" s="31" t="n"/>
      <c r="C1477" s="33" t="n"/>
      <c r="D1477" s="33" t="n"/>
      <c r="E1477" s="33" t="n"/>
      <c r="F1477" s="33" t="n"/>
      <c r="G1477" s="33" t="n"/>
    </row>
    <row r="1478">
      <c r="A1478" s="37" t="n"/>
      <c r="B1478" s="31" t="n"/>
      <c r="C1478" s="33" t="n"/>
      <c r="D1478" s="33" t="n"/>
      <c r="E1478" s="33" t="n"/>
      <c r="F1478" s="33" t="n"/>
      <c r="G1478" s="33" t="n"/>
    </row>
    <row r="1479">
      <c r="A1479" s="37" t="n"/>
      <c r="B1479" s="31" t="n"/>
      <c r="C1479" s="33" t="n"/>
      <c r="D1479" s="33" t="n"/>
      <c r="E1479" s="33" t="n"/>
      <c r="F1479" s="33" t="n"/>
      <c r="G1479" s="33" t="n"/>
    </row>
    <row r="1480">
      <c r="A1480" s="37" t="n"/>
      <c r="B1480" s="31" t="n"/>
      <c r="C1480" s="33" t="n"/>
      <c r="D1480" s="33" t="n"/>
      <c r="E1480" s="33" t="n"/>
      <c r="F1480" s="33" t="n"/>
      <c r="G1480" s="33" t="n"/>
    </row>
    <row r="1481">
      <c r="A1481" s="37" t="n"/>
      <c r="B1481" s="31" t="n"/>
      <c r="C1481" s="33" t="n"/>
      <c r="D1481" s="33" t="n"/>
      <c r="E1481" s="33" t="n"/>
      <c r="F1481" s="33" t="n"/>
      <c r="G1481" s="33" t="n"/>
    </row>
    <row r="1482">
      <c r="A1482" s="37" t="n"/>
      <c r="B1482" s="31" t="n"/>
      <c r="C1482" s="33" t="n"/>
      <c r="D1482" s="33" t="n"/>
      <c r="E1482" s="33" t="n"/>
      <c r="F1482" s="33" t="n"/>
      <c r="G1482" s="33" t="n"/>
    </row>
    <row r="1483">
      <c r="A1483" s="37" t="n"/>
      <c r="B1483" s="31" t="n"/>
      <c r="C1483" s="33" t="n"/>
      <c r="D1483" s="33" t="n"/>
      <c r="E1483" s="33" t="n"/>
      <c r="F1483" s="33" t="n"/>
      <c r="G1483" s="33" t="n"/>
    </row>
    <row r="1484">
      <c r="A1484" s="37" t="n"/>
      <c r="B1484" s="31" t="n"/>
      <c r="C1484" s="33" t="n"/>
      <c r="D1484" s="33" t="n"/>
      <c r="E1484" s="33" t="n"/>
      <c r="F1484" s="33" t="n"/>
      <c r="G1484" s="33" t="n"/>
    </row>
    <row r="1485">
      <c r="A1485" s="37" t="n"/>
      <c r="B1485" s="31" t="n"/>
      <c r="C1485" s="33" t="n"/>
      <c r="D1485" s="33" t="n"/>
      <c r="E1485" s="33" t="n"/>
      <c r="F1485" s="33" t="n"/>
      <c r="G1485" s="33" t="n"/>
    </row>
    <row r="1486">
      <c r="A1486" s="37" t="n"/>
      <c r="B1486" s="31" t="n"/>
      <c r="C1486" s="33" t="n"/>
      <c r="D1486" s="33" t="n"/>
      <c r="E1486" s="33" t="n"/>
      <c r="F1486" s="33" t="n"/>
      <c r="G1486" s="33" t="n"/>
    </row>
    <row r="1487">
      <c r="A1487" s="37" t="n"/>
      <c r="B1487" s="31" t="n"/>
      <c r="C1487" s="33" t="n"/>
      <c r="D1487" s="33" t="n"/>
      <c r="E1487" s="33" t="n"/>
      <c r="F1487" s="33" t="n"/>
      <c r="G1487" s="33" t="n"/>
    </row>
    <row r="1488">
      <c r="A1488" s="37" t="n"/>
      <c r="B1488" s="31" t="n"/>
      <c r="C1488" s="33" t="n"/>
      <c r="D1488" s="33" t="n"/>
      <c r="E1488" s="33" t="n"/>
      <c r="F1488" s="33" t="n"/>
      <c r="G1488" s="33" t="n"/>
    </row>
    <row r="1489">
      <c r="A1489" s="37" t="n"/>
      <c r="B1489" s="31" t="n"/>
      <c r="C1489" s="33" t="n"/>
      <c r="D1489" s="33" t="n"/>
      <c r="E1489" s="33" t="n"/>
      <c r="F1489" s="33" t="n"/>
      <c r="G1489" s="33" t="n"/>
    </row>
    <row r="1490">
      <c r="A1490" s="37" t="n"/>
      <c r="B1490" s="31" t="n"/>
      <c r="C1490" s="33" t="n"/>
      <c r="D1490" s="33" t="n"/>
      <c r="E1490" s="33" t="n"/>
      <c r="F1490" s="33" t="n"/>
      <c r="G1490" s="33" t="n"/>
    </row>
    <row r="1491">
      <c r="A1491" s="37" t="n"/>
      <c r="B1491" s="31" t="n"/>
      <c r="C1491" s="33" t="n"/>
      <c r="D1491" s="33" t="n"/>
      <c r="E1491" s="33" t="n"/>
      <c r="F1491" s="33" t="n"/>
      <c r="G1491" s="33" t="n"/>
    </row>
    <row r="1492">
      <c r="A1492" s="37" t="n"/>
      <c r="B1492" s="31" t="n"/>
      <c r="C1492" s="33" t="n"/>
      <c r="D1492" s="33" t="n"/>
      <c r="E1492" s="33" t="n"/>
      <c r="F1492" s="33" t="n"/>
      <c r="G1492" s="33" t="n"/>
    </row>
    <row r="1493">
      <c r="A1493" s="37" t="n"/>
      <c r="B1493" s="31" t="n"/>
      <c r="C1493" s="33" t="n"/>
      <c r="D1493" s="33" t="n"/>
      <c r="E1493" s="33" t="n"/>
      <c r="F1493" s="33" t="n"/>
      <c r="G1493" s="33" t="n"/>
    </row>
    <row r="1494">
      <c r="A1494" s="37" t="n"/>
      <c r="B1494" s="31" t="n"/>
      <c r="C1494" s="33" t="n"/>
      <c r="D1494" s="33" t="n"/>
      <c r="E1494" s="33" t="n"/>
      <c r="F1494" s="33" t="n"/>
      <c r="G1494" s="33" t="n"/>
    </row>
    <row r="1495">
      <c r="A1495" s="37" t="n"/>
      <c r="B1495" s="31" t="n"/>
      <c r="C1495" s="33" t="n"/>
      <c r="D1495" s="33" t="n"/>
      <c r="E1495" s="33" t="n"/>
      <c r="F1495" s="33" t="n"/>
      <c r="G1495" s="33" t="n"/>
    </row>
    <row r="1496">
      <c r="A1496" s="37" t="n"/>
      <c r="B1496" s="31" t="n"/>
      <c r="C1496" s="33" t="n"/>
      <c r="D1496" s="33" t="n"/>
      <c r="E1496" s="33" t="n"/>
      <c r="F1496" s="33" t="n"/>
      <c r="G1496" s="33" t="n"/>
    </row>
    <row r="1497">
      <c r="A1497" s="37" t="n"/>
      <c r="B1497" s="31" t="n"/>
      <c r="C1497" s="33" t="n"/>
      <c r="D1497" s="33" t="n"/>
      <c r="E1497" s="33" t="n"/>
      <c r="F1497" s="33" t="n"/>
      <c r="G1497" s="33" t="n"/>
    </row>
    <row r="1498">
      <c r="A1498" s="37" t="n"/>
      <c r="B1498" s="31" t="n"/>
      <c r="C1498" s="33" t="n"/>
      <c r="D1498" s="33" t="n"/>
      <c r="E1498" s="33" t="n"/>
      <c r="F1498" s="33" t="n"/>
      <c r="G1498" s="33" t="n"/>
    </row>
    <row r="1499">
      <c r="A1499" s="37" t="n"/>
      <c r="B1499" s="31" t="n"/>
      <c r="C1499" s="33" t="n"/>
      <c r="D1499" s="33" t="n"/>
      <c r="E1499" s="33" t="n"/>
      <c r="F1499" s="33" t="n"/>
      <c r="G1499" s="33" t="n"/>
    </row>
    <row r="1500">
      <c r="A1500" s="37" t="n"/>
      <c r="B1500" s="31" t="n"/>
      <c r="C1500" s="33" t="n"/>
      <c r="D1500" s="33" t="n"/>
      <c r="E1500" s="33" t="n"/>
      <c r="F1500" s="33" t="n"/>
      <c r="G1500" s="33" t="n"/>
    </row>
    <row r="1501">
      <c r="A1501" s="37" t="n"/>
      <c r="B1501" s="31" t="n"/>
      <c r="C1501" s="33" t="n"/>
      <c r="D1501" s="33" t="n"/>
      <c r="E1501" s="33" t="n"/>
      <c r="F1501" s="33" t="n"/>
      <c r="G1501" s="33" t="n"/>
    </row>
    <row r="1502">
      <c r="A1502" s="37" t="n"/>
      <c r="B1502" s="31" t="n"/>
      <c r="C1502" s="33" t="n"/>
      <c r="D1502" s="33" t="n"/>
      <c r="E1502" s="33" t="n"/>
      <c r="F1502" s="33" t="n"/>
      <c r="G1502" s="33" t="n"/>
    </row>
    <row r="1503">
      <c r="A1503" s="37" t="n"/>
      <c r="B1503" s="31" t="n"/>
      <c r="C1503" s="33" t="n"/>
      <c r="D1503" s="33" t="n"/>
      <c r="E1503" s="33" t="n"/>
      <c r="F1503" s="33" t="n"/>
      <c r="G1503" s="33" t="n"/>
    </row>
    <row r="1504">
      <c r="A1504" s="37" t="n"/>
      <c r="B1504" s="31" t="n"/>
      <c r="C1504" s="33" t="n"/>
      <c r="D1504" s="33" t="n"/>
      <c r="E1504" s="33" t="n"/>
      <c r="F1504" s="33" t="n"/>
      <c r="G1504" s="33" t="n"/>
    </row>
    <row r="1505">
      <c r="A1505" s="37" t="n"/>
      <c r="B1505" s="31" t="n"/>
      <c r="C1505" s="33" t="n"/>
      <c r="D1505" s="33" t="n"/>
      <c r="E1505" s="33" t="n"/>
      <c r="F1505" s="33" t="n"/>
      <c r="G1505" s="33" t="n"/>
    </row>
    <row r="1506">
      <c r="A1506" s="37" t="n"/>
      <c r="B1506" s="31" t="n"/>
      <c r="C1506" s="33" t="n"/>
      <c r="D1506" s="33" t="n"/>
      <c r="E1506" s="33" t="n"/>
      <c r="F1506" s="33" t="n"/>
      <c r="G1506" s="33" t="n"/>
    </row>
    <row r="1507">
      <c r="A1507" s="37" t="n"/>
      <c r="B1507" s="31" t="n"/>
      <c r="C1507" s="33" t="n"/>
      <c r="D1507" s="33" t="n"/>
      <c r="E1507" s="33" t="n"/>
      <c r="F1507" s="33" t="n"/>
      <c r="G1507" s="33" t="n"/>
    </row>
    <row r="1508">
      <c r="A1508" s="37" t="n"/>
      <c r="B1508" s="31" t="n"/>
      <c r="C1508" s="33" t="n"/>
      <c r="D1508" s="33" t="n"/>
      <c r="E1508" s="33" t="n"/>
      <c r="F1508" s="33" t="n"/>
      <c r="G1508" s="33" t="n"/>
    </row>
    <row r="1509">
      <c r="A1509" s="37" t="n"/>
      <c r="B1509" s="31" t="n"/>
      <c r="C1509" s="33" t="n"/>
      <c r="D1509" s="33" t="n"/>
      <c r="E1509" s="33" t="n"/>
      <c r="F1509" s="33" t="n"/>
      <c r="G1509" s="33" t="n"/>
    </row>
    <row r="1510">
      <c r="A1510" s="37" t="n"/>
      <c r="B1510" s="31" t="n"/>
      <c r="C1510" s="33" t="n"/>
      <c r="D1510" s="33" t="n"/>
      <c r="E1510" s="33" t="n"/>
      <c r="F1510" s="33" t="n"/>
      <c r="G1510" s="33" t="n"/>
    </row>
    <row r="1511">
      <c r="A1511" s="37" t="n"/>
      <c r="B1511" s="31" t="n"/>
      <c r="C1511" s="33" t="n"/>
      <c r="D1511" s="33" t="n"/>
      <c r="E1511" s="33" t="n"/>
      <c r="F1511" s="33" t="n"/>
      <c r="G1511" s="33" t="n"/>
    </row>
    <row r="1512">
      <c r="A1512" s="37" t="n"/>
      <c r="B1512" s="31" t="n"/>
      <c r="C1512" s="33" t="n"/>
      <c r="D1512" s="33" t="n"/>
      <c r="E1512" s="33" t="n"/>
      <c r="F1512" s="33" t="n"/>
      <c r="G1512" s="33" t="n"/>
    </row>
    <row r="1513">
      <c r="A1513" s="37" t="n"/>
      <c r="B1513" s="31" t="n"/>
      <c r="C1513" s="33" t="n"/>
      <c r="D1513" s="33" t="n"/>
      <c r="E1513" s="33" t="n"/>
      <c r="F1513" s="33" t="n"/>
      <c r="G1513" s="33" t="n"/>
    </row>
    <row r="1514">
      <c r="A1514" s="37" t="n"/>
      <c r="B1514" s="31" t="n"/>
      <c r="C1514" s="33" t="n"/>
      <c r="D1514" s="33" t="n"/>
      <c r="E1514" s="33" t="n"/>
      <c r="F1514" s="33" t="n"/>
      <c r="G1514" s="33" t="n"/>
    </row>
    <row r="1515">
      <c r="A1515" s="37" t="n"/>
      <c r="B1515" s="31" t="n"/>
      <c r="C1515" s="33" t="n"/>
      <c r="D1515" s="33" t="n"/>
      <c r="E1515" s="33" t="n"/>
      <c r="F1515" s="33" t="n"/>
      <c r="G1515" s="33" t="n"/>
    </row>
    <row r="1516">
      <c r="A1516" s="37" t="n"/>
      <c r="B1516" s="31" t="n"/>
      <c r="C1516" s="33" t="n"/>
      <c r="D1516" s="33" t="n"/>
      <c r="E1516" s="33" t="n"/>
      <c r="F1516" s="33" t="n"/>
      <c r="G1516" s="33" t="n"/>
    </row>
    <row r="1517">
      <c r="A1517" s="37" t="n"/>
      <c r="B1517" s="31" t="n"/>
      <c r="C1517" s="33" t="n"/>
      <c r="D1517" s="33" t="n"/>
      <c r="E1517" s="33" t="n"/>
      <c r="F1517" s="33" t="n"/>
      <c r="G1517" s="33" t="n"/>
    </row>
    <row r="1518">
      <c r="A1518" s="37" t="n"/>
      <c r="B1518" s="31" t="n"/>
      <c r="C1518" s="33" t="n"/>
      <c r="D1518" s="33" t="n"/>
      <c r="E1518" s="33" t="n"/>
      <c r="F1518" s="33" t="n"/>
      <c r="G1518" s="33" t="n"/>
    </row>
    <row r="1519">
      <c r="A1519" s="37" t="n"/>
      <c r="B1519" s="31" t="n"/>
      <c r="C1519" s="33" t="n"/>
      <c r="D1519" s="33" t="n"/>
      <c r="E1519" s="33" t="n"/>
      <c r="F1519" s="33" t="n"/>
      <c r="G1519" s="33" t="n"/>
    </row>
    <row r="1520">
      <c r="A1520" s="37" t="n"/>
      <c r="B1520" s="31" t="n"/>
      <c r="C1520" s="33" t="n"/>
      <c r="D1520" s="33" t="n"/>
      <c r="E1520" s="33" t="n"/>
      <c r="F1520" s="33" t="n"/>
      <c r="G1520" s="33" t="n"/>
    </row>
    <row r="1521">
      <c r="A1521" s="37" t="n"/>
      <c r="B1521" s="31" t="n"/>
      <c r="C1521" s="33" t="n"/>
      <c r="D1521" s="33" t="n"/>
      <c r="E1521" s="33" t="n"/>
      <c r="F1521" s="33" t="n"/>
      <c r="G1521" s="33" t="n"/>
    </row>
    <row r="1522">
      <c r="A1522" s="37" t="n"/>
      <c r="B1522" s="31" t="n"/>
      <c r="C1522" s="33" t="n"/>
      <c r="D1522" s="33" t="n"/>
      <c r="E1522" s="33" t="n"/>
      <c r="F1522" s="33" t="n"/>
      <c r="G1522" s="33" t="n"/>
    </row>
    <row r="1523">
      <c r="A1523" s="37" t="n"/>
      <c r="B1523" s="31" t="n"/>
      <c r="C1523" s="33" t="n"/>
      <c r="D1523" s="33" t="n"/>
      <c r="E1523" s="33" t="n"/>
      <c r="F1523" s="33" t="n"/>
      <c r="G1523" s="33" t="n"/>
    </row>
    <row r="1524">
      <c r="A1524" s="37" t="n"/>
      <c r="B1524" s="31" t="n"/>
      <c r="C1524" s="33" t="n"/>
      <c r="D1524" s="33" t="n"/>
      <c r="E1524" s="33" t="n"/>
      <c r="F1524" s="33" t="n"/>
      <c r="G1524" s="33" t="n"/>
    </row>
    <row r="1525">
      <c r="A1525" s="37" t="n"/>
      <c r="B1525" s="31" t="n"/>
      <c r="C1525" s="33" t="n"/>
      <c r="D1525" s="33" t="n"/>
      <c r="E1525" s="33" t="n"/>
      <c r="F1525" s="33" t="n"/>
      <c r="G1525" s="33" t="n"/>
    </row>
    <row r="1526">
      <c r="A1526" s="37" t="n"/>
      <c r="B1526" s="31" t="n"/>
      <c r="C1526" s="33" t="n"/>
      <c r="D1526" s="33" t="n"/>
      <c r="E1526" s="33" t="n"/>
      <c r="F1526" s="33" t="n"/>
      <c r="G1526" s="33" t="n"/>
    </row>
    <row r="1527">
      <c r="A1527" s="37" t="n"/>
      <c r="B1527" s="31" t="n"/>
      <c r="C1527" s="33" t="n"/>
      <c r="D1527" s="33" t="n"/>
      <c r="E1527" s="33" t="n"/>
      <c r="F1527" s="33" t="n"/>
      <c r="G1527" s="33" t="n"/>
    </row>
    <row r="1528">
      <c r="A1528" s="37" t="n"/>
      <c r="B1528" s="31" t="n"/>
      <c r="C1528" s="33" t="n"/>
      <c r="D1528" s="33" t="n"/>
      <c r="E1528" s="33" t="n"/>
      <c r="F1528" s="33" t="n"/>
      <c r="G1528" s="33" t="n"/>
    </row>
    <row r="1529">
      <c r="A1529" s="37" t="n"/>
      <c r="B1529" s="31" t="n"/>
      <c r="C1529" s="33" t="n"/>
      <c r="D1529" s="33" t="n"/>
      <c r="E1529" s="33" t="n"/>
      <c r="F1529" s="33" t="n"/>
      <c r="G1529" s="33" t="n"/>
    </row>
    <row r="1530">
      <c r="A1530" s="37" t="n"/>
      <c r="B1530" s="31" t="n"/>
      <c r="C1530" s="33" t="n"/>
      <c r="D1530" s="33" t="n"/>
      <c r="E1530" s="33" t="n"/>
      <c r="F1530" s="33" t="n"/>
      <c r="G1530" s="33" t="n"/>
    </row>
    <row r="1531">
      <c r="A1531" s="37" t="n"/>
      <c r="B1531" s="31" t="n"/>
      <c r="C1531" s="33" t="n"/>
      <c r="D1531" s="33" t="n"/>
      <c r="E1531" s="33" t="n"/>
      <c r="F1531" s="33" t="n"/>
      <c r="G1531" s="33" t="n"/>
    </row>
    <row r="1532">
      <c r="A1532" s="37" t="n"/>
      <c r="B1532" s="31" t="n"/>
      <c r="C1532" s="33" t="n"/>
      <c r="D1532" s="33" t="n"/>
      <c r="E1532" s="33" t="n"/>
      <c r="F1532" s="33" t="n"/>
      <c r="G1532" s="33" t="n"/>
    </row>
    <row r="1533">
      <c r="A1533" s="37" t="n"/>
      <c r="B1533" s="31" t="n"/>
      <c r="C1533" s="33" t="n"/>
      <c r="D1533" s="33" t="n"/>
      <c r="E1533" s="33" t="n"/>
      <c r="F1533" s="33" t="n"/>
      <c r="G1533" s="33" t="n"/>
    </row>
    <row r="1534">
      <c r="A1534" s="37" t="n"/>
      <c r="B1534" s="31" t="n"/>
      <c r="C1534" s="33" t="n"/>
      <c r="D1534" s="33" t="n"/>
      <c r="E1534" s="33" t="n"/>
      <c r="F1534" s="33" t="n"/>
      <c r="G1534" s="33" t="n"/>
    </row>
    <row r="1535">
      <c r="A1535" s="37" t="n"/>
      <c r="B1535" s="31" t="n"/>
      <c r="C1535" s="33" t="n"/>
      <c r="D1535" s="33" t="n"/>
      <c r="E1535" s="33" t="n"/>
      <c r="F1535" s="33" t="n"/>
      <c r="G1535" s="33" t="n"/>
    </row>
    <row r="1536">
      <c r="A1536" s="37" t="n"/>
      <c r="B1536" s="31" t="n"/>
      <c r="C1536" s="33" t="n"/>
      <c r="D1536" s="33" t="n"/>
      <c r="E1536" s="33" t="n"/>
      <c r="F1536" s="33" t="n"/>
      <c r="G1536" s="33" t="n"/>
    </row>
    <row r="1537">
      <c r="A1537" s="37" t="n"/>
      <c r="B1537" s="31" t="n"/>
      <c r="C1537" s="33" t="n"/>
      <c r="D1537" s="33" t="n"/>
      <c r="E1537" s="33" t="n"/>
      <c r="F1537" s="33" t="n"/>
      <c r="G1537" s="33" t="n"/>
    </row>
    <row r="1538">
      <c r="A1538" s="37" t="n"/>
      <c r="B1538" s="31" t="n"/>
      <c r="C1538" s="33" t="n"/>
      <c r="D1538" s="33" t="n"/>
      <c r="E1538" s="33" t="n"/>
      <c r="F1538" s="33" t="n"/>
      <c r="G1538" s="33" t="n"/>
    </row>
    <row r="1539">
      <c r="A1539" s="37" t="n"/>
      <c r="B1539" s="31" t="n"/>
      <c r="C1539" s="33" t="n"/>
      <c r="D1539" s="33" t="n"/>
      <c r="E1539" s="33" t="n"/>
      <c r="F1539" s="33" t="n"/>
      <c r="G1539" s="33" t="n"/>
    </row>
    <row r="1540">
      <c r="A1540" s="37" t="n"/>
      <c r="B1540" s="31" t="n"/>
      <c r="C1540" s="33" t="n"/>
      <c r="D1540" s="33" t="n"/>
      <c r="E1540" s="33" t="n"/>
      <c r="F1540" s="33" t="n"/>
      <c r="G1540" s="33" t="n"/>
    </row>
    <row r="1541">
      <c r="A1541" s="37" t="n"/>
      <c r="B1541" s="31" t="n"/>
      <c r="C1541" s="33" t="n"/>
      <c r="D1541" s="33" t="n"/>
      <c r="E1541" s="33" t="n"/>
      <c r="F1541" s="33" t="n"/>
      <c r="G1541" s="33" t="n"/>
    </row>
    <row r="1542">
      <c r="A1542" s="37" t="n"/>
      <c r="B1542" s="31" t="n"/>
      <c r="C1542" s="33" t="n"/>
      <c r="D1542" s="33" t="n"/>
      <c r="E1542" s="33" t="n"/>
      <c r="F1542" s="33" t="n"/>
      <c r="G1542" s="33" t="n"/>
    </row>
    <row r="1543">
      <c r="A1543" s="37" t="n"/>
      <c r="B1543" s="31" t="n"/>
      <c r="C1543" s="33" t="n"/>
      <c r="D1543" s="33" t="n"/>
      <c r="E1543" s="33" t="n"/>
      <c r="F1543" s="33" t="n"/>
      <c r="G1543" s="33" t="n"/>
    </row>
    <row r="1544">
      <c r="A1544" s="37" t="n"/>
      <c r="B1544" s="31" t="n"/>
      <c r="C1544" s="33" t="n"/>
      <c r="D1544" s="33" t="n"/>
      <c r="E1544" s="33" t="n"/>
      <c r="F1544" s="33" t="n"/>
      <c r="G1544" s="33" t="n"/>
    </row>
    <row r="1545">
      <c r="A1545" s="37" t="n"/>
      <c r="B1545" s="31" t="n"/>
      <c r="C1545" s="33" t="n"/>
      <c r="D1545" s="33" t="n"/>
      <c r="E1545" s="33" t="n"/>
      <c r="F1545" s="33" t="n"/>
      <c r="G1545" s="33" t="n"/>
    </row>
    <row r="1546">
      <c r="A1546" s="37" t="n"/>
      <c r="B1546" s="31" t="n"/>
      <c r="C1546" s="33" t="n"/>
      <c r="D1546" s="33" t="n"/>
      <c r="E1546" s="33" t="n"/>
      <c r="F1546" s="33" t="n"/>
      <c r="G1546" s="33" t="n"/>
    </row>
    <row r="1547">
      <c r="A1547" s="37" t="n"/>
      <c r="B1547" s="31" t="n"/>
      <c r="C1547" s="33" t="n"/>
      <c r="D1547" s="33" t="n"/>
      <c r="E1547" s="33" t="n"/>
      <c r="F1547" s="33" t="n"/>
      <c r="G1547" s="33" t="n"/>
    </row>
    <row r="1548">
      <c r="A1548" s="37" t="n"/>
      <c r="B1548" s="31" t="n"/>
      <c r="C1548" s="33" t="n"/>
      <c r="D1548" s="33" t="n"/>
      <c r="E1548" s="33" t="n"/>
      <c r="F1548" s="33" t="n"/>
      <c r="G1548" s="33" t="n"/>
    </row>
    <row r="1549">
      <c r="A1549" s="37" t="n"/>
      <c r="B1549" s="31" t="n"/>
      <c r="C1549" s="33" t="n"/>
      <c r="D1549" s="33" t="n"/>
      <c r="E1549" s="33" t="n"/>
      <c r="F1549" s="33" t="n"/>
      <c r="G1549" s="33" t="n"/>
    </row>
    <row r="1550">
      <c r="A1550" s="37" t="n"/>
      <c r="B1550" s="31" t="n"/>
      <c r="C1550" s="33" t="n"/>
      <c r="D1550" s="33" t="n"/>
      <c r="E1550" s="33" t="n"/>
      <c r="F1550" s="33" t="n"/>
      <c r="G1550" s="33" t="n"/>
    </row>
    <row r="1551">
      <c r="A1551" s="37" t="n"/>
      <c r="B1551" s="31" t="n"/>
      <c r="C1551" s="33" t="n"/>
      <c r="D1551" s="33" t="n"/>
      <c r="E1551" s="33" t="n"/>
      <c r="F1551" s="33" t="n"/>
      <c r="G1551" s="33" t="n"/>
    </row>
    <row r="1552">
      <c r="A1552" s="37" t="n"/>
      <c r="B1552" s="31" t="n"/>
      <c r="C1552" s="33" t="n"/>
      <c r="D1552" s="33" t="n"/>
      <c r="E1552" s="33" t="n"/>
      <c r="F1552" s="33" t="n"/>
      <c r="G1552" s="33" t="n"/>
    </row>
    <row r="1553">
      <c r="A1553" s="37" t="n"/>
      <c r="B1553" s="31" t="n"/>
      <c r="C1553" s="33" t="n"/>
      <c r="D1553" s="33" t="n"/>
      <c r="E1553" s="33" t="n"/>
      <c r="F1553" s="33" t="n"/>
      <c r="G1553" s="33" t="n"/>
    </row>
    <row r="1554">
      <c r="A1554" s="37" t="n"/>
      <c r="B1554" s="31" t="n"/>
      <c r="C1554" s="33" t="n"/>
      <c r="D1554" s="33" t="n"/>
      <c r="E1554" s="33" t="n"/>
      <c r="F1554" s="33" t="n"/>
      <c r="G1554" s="33" t="n"/>
    </row>
    <row r="1555">
      <c r="A1555" s="37" t="n"/>
      <c r="B1555" s="31" t="n"/>
      <c r="C1555" s="33" t="n"/>
      <c r="D1555" s="33" t="n"/>
      <c r="E1555" s="33" t="n"/>
      <c r="F1555" s="33" t="n"/>
      <c r="G1555" s="33" t="n"/>
    </row>
    <row r="1556">
      <c r="A1556" s="37" t="n"/>
      <c r="B1556" s="31" t="n"/>
      <c r="C1556" s="33" t="n"/>
      <c r="D1556" s="33" t="n"/>
      <c r="E1556" s="33" t="n"/>
      <c r="F1556" s="33" t="n"/>
      <c r="G1556" s="33" t="n"/>
    </row>
    <row r="1557">
      <c r="A1557" s="37" t="n"/>
      <c r="B1557" s="31" t="n"/>
      <c r="C1557" s="33" t="n"/>
      <c r="D1557" s="33" t="n"/>
      <c r="E1557" s="33" t="n"/>
      <c r="F1557" s="33" t="n"/>
      <c r="G1557" s="33" t="n"/>
    </row>
    <row r="1558">
      <c r="A1558" s="37" t="n"/>
      <c r="B1558" s="31" t="n"/>
      <c r="C1558" s="33" t="n"/>
      <c r="D1558" s="33" t="n"/>
      <c r="E1558" s="33" t="n"/>
      <c r="F1558" s="33" t="n"/>
      <c r="G1558" s="33" t="n"/>
    </row>
    <row r="1559">
      <c r="A1559" s="37" t="n"/>
      <c r="B1559" s="31" t="n"/>
      <c r="C1559" s="33" t="n"/>
      <c r="D1559" s="33" t="n"/>
      <c r="E1559" s="33" t="n"/>
      <c r="F1559" s="33" t="n"/>
      <c r="G1559" s="33" t="n"/>
    </row>
    <row r="1560">
      <c r="A1560" s="37" t="n"/>
      <c r="B1560" s="31" t="n"/>
      <c r="C1560" s="33" t="n"/>
      <c r="D1560" s="33" t="n"/>
      <c r="E1560" s="33" t="n"/>
      <c r="F1560" s="33" t="n"/>
      <c r="G1560" s="33" t="n"/>
    </row>
    <row r="1561">
      <c r="A1561" s="37" t="n"/>
      <c r="B1561" s="31" t="n"/>
      <c r="C1561" s="33" t="n"/>
      <c r="D1561" s="33" t="n"/>
      <c r="E1561" s="33" t="n"/>
      <c r="F1561" s="33" t="n"/>
      <c r="G1561" s="33" t="n"/>
    </row>
    <row r="1562">
      <c r="A1562" s="37" t="n"/>
      <c r="B1562" s="31" t="n"/>
      <c r="C1562" s="33" t="n"/>
      <c r="D1562" s="33" t="n"/>
      <c r="E1562" s="33" t="n"/>
      <c r="F1562" s="33" t="n"/>
      <c r="G1562" s="33" t="n"/>
    </row>
    <row r="1563">
      <c r="A1563" s="37" t="n"/>
      <c r="B1563" s="31" t="n"/>
      <c r="C1563" s="33" t="n"/>
      <c r="D1563" s="33" t="n"/>
      <c r="E1563" s="33" t="n"/>
      <c r="F1563" s="33" t="n"/>
      <c r="G1563" s="33" t="n"/>
    </row>
    <row r="1564">
      <c r="A1564" s="37" t="n"/>
      <c r="B1564" s="31" t="n"/>
      <c r="C1564" s="33" t="n"/>
      <c r="D1564" s="33" t="n"/>
      <c r="E1564" s="33" t="n"/>
      <c r="F1564" s="33" t="n"/>
      <c r="G1564" s="33" t="n"/>
    </row>
    <row r="1565">
      <c r="A1565" s="37" t="n"/>
      <c r="B1565" s="31" t="n"/>
      <c r="C1565" s="33" t="n"/>
      <c r="D1565" s="33" t="n"/>
      <c r="E1565" s="33" t="n"/>
      <c r="F1565" s="33" t="n"/>
      <c r="G1565" s="33" t="n"/>
    </row>
    <row r="1566">
      <c r="A1566" s="37" t="n"/>
      <c r="B1566" s="31" t="n"/>
      <c r="C1566" s="33" t="n"/>
      <c r="D1566" s="33" t="n"/>
      <c r="E1566" s="33" t="n"/>
      <c r="F1566" s="33" t="n"/>
      <c r="G1566" s="33" t="n"/>
    </row>
    <row r="1567">
      <c r="A1567" s="37" t="n"/>
      <c r="B1567" s="31" t="n"/>
      <c r="C1567" s="33" t="n"/>
      <c r="D1567" s="33" t="n"/>
      <c r="E1567" s="33" t="n"/>
      <c r="F1567" s="33" t="n"/>
      <c r="G1567" s="33" t="n"/>
    </row>
    <row r="1568">
      <c r="A1568" s="37" t="n"/>
      <c r="B1568" s="31" t="n"/>
      <c r="C1568" s="33" t="n"/>
      <c r="D1568" s="33" t="n"/>
      <c r="E1568" s="33" t="n"/>
      <c r="F1568" s="33" t="n"/>
      <c r="G1568" s="33" t="n"/>
    </row>
    <row r="1569">
      <c r="A1569" s="37" t="n"/>
      <c r="B1569" s="31" t="n"/>
      <c r="C1569" s="33" t="n"/>
      <c r="D1569" s="33" t="n"/>
      <c r="E1569" s="33" t="n"/>
      <c r="F1569" s="33" t="n"/>
      <c r="G1569" s="33" t="n"/>
    </row>
    <row r="1570">
      <c r="A1570" s="37" t="n"/>
      <c r="B1570" s="31" t="n"/>
      <c r="C1570" s="33" t="n"/>
      <c r="D1570" s="33" t="n"/>
      <c r="E1570" s="33" t="n"/>
      <c r="F1570" s="33" t="n"/>
      <c r="G1570" s="33" t="n"/>
    </row>
    <row r="1571">
      <c r="A1571" s="37" t="n"/>
      <c r="B1571" s="31" t="n"/>
      <c r="C1571" s="33" t="n"/>
      <c r="D1571" s="33" t="n"/>
      <c r="E1571" s="33" t="n"/>
      <c r="F1571" s="33" t="n"/>
      <c r="G1571" s="33" t="n"/>
    </row>
    <row r="1572">
      <c r="A1572" s="37" t="n"/>
      <c r="B1572" s="31" t="n"/>
      <c r="C1572" s="33" t="n"/>
      <c r="D1572" s="33" t="n"/>
      <c r="E1572" s="33" t="n"/>
      <c r="F1572" s="33" t="n"/>
      <c r="G1572" s="33" t="n"/>
    </row>
    <row r="1573">
      <c r="A1573" s="37" t="n"/>
      <c r="B1573" s="31" t="n"/>
      <c r="C1573" s="33" t="n"/>
      <c r="D1573" s="33" t="n"/>
      <c r="E1573" s="33" t="n"/>
      <c r="F1573" s="33" t="n"/>
      <c r="G1573" s="33" t="n"/>
    </row>
    <row r="1574">
      <c r="A1574" s="37" t="n"/>
      <c r="B1574" s="31" t="n"/>
      <c r="C1574" s="33" t="n"/>
      <c r="D1574" s="33" t="n"/>
      <c r="E1574" s="33" t="n"/>
      <c r="F1574" s="33" t="n"/>
      <c r="G1574" s="33" t="n"/>
    </row>
    <row r="1575">
      <c r="A1575" s="37" t="n"/>
      <c r="B1575" s="31" t="n"/>
      <c r="C1575" s="33" t="n"/>
      <c r="D1575" s="33" t="n"/>
      <c r="E1575" s="33" t="n"/>
      <c r="F1575" s="33" t="n"/>
      <c r="G1575" s="33" t="n"/>
    </row>
    <row r="1576">
      <c r="A1576" s="37" t="n"/>
      <c r="B1576" s="31" t="n"/>
      <c r="C1576" s="33" t="n"/>
      <c r="D1576" s="33" t="n"/>
      <c r="E1576" s="33" t="n"/>
      <c r="F1576" s="33" t="n"/>
      <c r="G1576" s="33" t="n"/>
    </row>
    <row r="1577">
      <c r="A1577" s="37" t="n"/>
      <c r="B1577" s="31" t="n"/>
      <c r="C1577" s="33" t="n"/>
      <c r="D1577" s="33" t="n"/>
      <c r="E1577" s="33" t="n"/>
      <c r="F1577" s="33" t="n"/>
      <c r="G1577" s="33" t="n"/>
    </row>
    <row r="1578">
      <c r="A1578" s="37" t="n"/>
      <c r="B1578" s="31" t="n"/>
      <c r="C1578" s="33" t="n"/>
      <c r="D1578" s="33" t="n"/>
      <c r="E1578" s="33" t="n"/>
      <c r="F1578" s="33" t="n"/>
      <c r="G1578" s="33" t="n"/>
    </row>
    <row r="1579">
      <c r="A1579" s="37" t="n"/>
      <c r="B1579" s="31" t="n"/>
      <c r="C1579" s="33" t="n"/>
      <c r="D1579" s="33" t="n"/>
      <c r="E1579" s="33" t="n"/>
      <c r="F1579" s="33" t="n"/>
      <c r="G1579" s="33" t="n"/>
    </row>
    <row r="1580">
      <c r="A1580" s="37" t="n"/>
      <c r="B1580" s="31" t="n"/>
      <c r="C1580" s="33" t="n"/>
      <c r="D1580" s="33" t="n"/>
      <c r="E1580" s="33" t="n"/>
      <c r="F1580" s="33" t="n"/>
      <c r="G1580" s="33" t="n"/>
    </row>
    <row r="1581">
      <c r="A1581" s="37" t="n"/>
      <c r="B1581" s="31" t="n"/>
      <c r="C1581" s="33" t="n"/>
      <c r="D1581" s="33" t="n"/>
      <c r="E1581" s="33" t="n"/>
      <c r="F1581" s="33" t="n"/>
      <c r="G1581" s="33" t="n"/>
    </row>
    <row r="1582">
      <c r="A1582" s="37" t="n"/>
      <c r="B1582" s="31" t="n"/>
      <c r="C1582" s="33" t="n"/>
      <c r="D1582" s="33" t="n"/>
      <c r="E1582" s="33" t="n"/>
      <c r="F1582" s="33" t="n"/>
      <c r="G1582" s="33" t="n"/>
    </row>
    <row r="1583">
      <c r="A1583" s="37" t="n"/>
      <c r="B1583" s="31" t="n"/>
      <c r="C1583" s="33" t="n"/>
      <c r="D1583" s="33" t="n"/>
      <c r="E1583" s="33" t="n"/>
      <c r="F1583" s="33" t="n"/>
      <c r="G1583" s="33" t="n"/>
    </row>
    <row r="1584">
      <c r="A1584" s="37" t="n"/>
      <c r="B1584" s="31" t="n"/>
      <c r="C1584" s="33" t="n"/>
      <c r="D1584" s="33" t="n"/>
      <c r="E1584" s="33" t="n"/>
      <c r="F1584" s="33" t="n"/>
      <c r="G1584" s="33" t="n"/>
    </row>
    <row r="1585">
      <c r="A1585" s="37" t="n"/>
      <c r="B1585" s="31" t="n"/>
      <c r="C1585" s="33" t="n"/>
      <c r="D1585" s="33" t="n"/>
      <c r="E1585" s="33" t="n"/>
      <c r="F1585" s="33" t="n"/>
      <c r="G1585" s="33" t="n"/>
    </row>
    <row r="1586">
      <c r="A1586" s="37" t="n"/>
      <c r="B1586" s="31" t="n"/>
      <c r="C1586" s="33" t="n"/>
      <c r="D1586" s="33" t="n"/>
      <c r="E1586" s="33" t="n"/>
      <c r="F1586" s="33" t="n"/>
      <c r="G1586" s="33" t="n"/>
    </row>
    <row r="1587">
      <c r="A1587" s="37" t="n"/>
      <c r="B1587" s="31" t="n"/>
      <c r="C1587" s="33" t="n"/>
      <c r="D1587" s="33" t="n"/>
      <c r="E1587" s="33" t="n"/>
      <c r="F1587" s="33" t="n"/>
      <c r="G1587" s="33" t="n"/>
    </row>
    <row r="1588">
      <c r="A1588" s="37" t="n"/>
      <c r="B1588" s="31" t="n"/>
      <c r="C1588" s="33" t="n"/>
      <c r="D1588" s="33" t="n"/>
      <c r="E1588" s="33" t="n"/>
      <c r="F1588" s="33" t="n"/>
      <c r="G1588" s="33" t="n"/>
    </row>
    <row r="1589">
      <c r="A1589" s="37" t="n"/>
      <c r="B1589" s="31" t="n"/>
      <c r="C1589" s="33" t="n"/>
      <c r="D1589" s="33" t="n"/>
      <c r="E1589" s="33" t="n"/>
      <c r="F1589" s="33" t="n"/>
      <c r="G1589" s="33" t="n"/>
    </row>
    <row r="1590">
      <c r="A1590" s="37" t="n"/>
      <c r="B1590" s="31" t="n"/>
      <c r="C1590" s="33" t="n"/>
      <c r="D1590" s="33" t="n"/>
      <c r="E1590" s="33" t="n"/>
      <c r="F1590" s="33" t="n"/>
      <c r="G1590" s="33" t="n"/>
    </row>
    <row r="1591">
      <c r="A1591" s="37" t="n"/>
      <c r="B1591" s="31" t="n"/>
      <c r="C1591" s="33" t="n"/>
      <c r="D1591" s="33" t="n"/>
      <c r="E1591" s="33" t="n"/>
      <c r="F1591" s="33" t="n"/>
      <c r="G1591" s="33" t="n"/>
    </row>
    <row r="1592">
      <c r="A1592" s="37" t="n"/>
      <c r="B1592" s="31" t="n"/>
      <c r="C1592" s="33" t="n"/>
      <c r="D1592" s="33" t="n"/>
      <c r="E1592" s="33" t="n"/>
      <c r="F1592" s="33" t="n"/>
      <c r="G1592" s="33" t="n"/>
    </row>
    <row r="1593">
      <c r="A1593" s="37" t="n"/>
      <c r="B1593" s="31" t="n"/>
      <c r="C1593" s="33" t="n"/>
      <c r="D1593" s="33" t="n"/>
      <c r="E1593" s="33" t="n"/>
      <c r="F1593" s="33" t="n"/>
      <c r="G1593" s="33" t="n"/>
    </row>
    <row r="1594">
      <c r="A1594" s="37" t="n"/>
      <c r="B1594" s="31" t="n"/>
      <c r="C1594" s="33" t="n"/>
      <c r="D1594" s="33" t="n"/>
      <c r="E1594" s="33" t="n"/>
      <c r="F1594" s="33" t="n"/>
      <c r="G1594" s="33" t="n"/>
    </row>
    <row r="1595">
      <c r="A1595" s="37" t="n"/>
      <c r="B1595" s="31" t="n"/>
      <c r="C1595" s="33" t="n"/>
      <c r="D1595" s="33" t="n"/>
      <c r="E1595" s="33" t="n"/>
      <c r="F1595" s="33" t="n"/>
      <c r="G1595" s="33" t="n"/>
    </row>
    <row r="1596">
      <c r="A1596" s="37" t="n"/>
      <c r="B1596" s="31" t="n"/>
      <c r="C1596" s="33" t="n"/>
      <c r="D1596" s="33" t="n"/>
      <c r="E1596" s="33" t="n"/>
      <c r="F1596" s="33" t="n"/>
      <c r="G1596" s="33" t="n"/>
    </row>
    <row r="1597">
      <c r="A1597" s="37" t="n"/>
      <c r="B1597" s="31" t="n"/>
      <c r="C1597" s="33" t="n"/>
      <c r="D1597" s="33" t="n"/>
      <c r="E1597" s="33" t="n"/>
      <c r="F1597" s="33" t="n"/>
      <c r="G1597" s="33" t="n"/>
    </row>
    <row r="1598">
      <c r="A1598" s="37" t="n"/>
      <c r="B1598" s="31" t="n"/>
      <c r="C1598" s="33" t="n"/>
      <c r="D1598" s="33" t="n"/>
      <c r="E1598" s="33" t="n"/>
      <c r="F1598" s="33" t="n"/>
      <c r="G1598" s="33" t="n"/>
    </row>
    <row r="1599">
      <c r="A1599" s="37" t="n"/>
      <c r="B1599" s="31" t="n"/>
      <c r="C1599" s="33" t="n"/>
      <c r="D1599" s="33" t="n"/>
      <c r="E1599" s="33" t="n"/>
      <c r="F1599" s="33" t="n"/>
      <c r="G1599" s="33" t="n"/>
    </row>
    <row r="1600">
      <c r="A1600" s="37" t="n"/>
      <c r="B1600" s="31" t="n"/>
      <c r="C1600" s="33" t="n"/>
      <c r="D1600" s="33" t="n"/>
      <c r="E1600" s="33" t="n"/>
      <c r="F1600" s="33" t="n"/>
      <c r="G1600" s="33" t="n"/>
    </row>
    <row r="1601">
      <c r="A1601" s="37" t="n"/>
      <c r="B1601" s="31" t="n"/>
      <c r="C1601" s="33" t="n"/>
      <c r="D1601" s="33" t="n"/>
      <c r="E1601" s="33" t="n"/>
      <c r="F1601" s="33" t="n"/>
      <c r="G1601" s="33" t="n"/>
    </row>
    <row r="1602">
      <c r="A1602" s="37" t="n"/>
      <c r="B1602" s="31" t="n"/>
      <c r="C1602" s="33" t="n"/>
      <c r="D1602" s="33" t="n"/>
      <c r="E1602" s="33" t="n"/>
      <c r="F1602" s="33" t="n"/>
      <c r="G1602" s="33" t="n"/>
    </row>
    <row r="1603">
      <c r="A1603" s="37" t="n"/>
      <c r="B1603" s="31" t="n"/>
      <c r="C1603" s="33" t="n"/>
      <c r="D1603" s="33" t="n"/>
      <c r="E1603" s="33" t="n"/>
      <c r="F1603" s="33" t="n"/>
      <c r="G1603" s="33" t="n"/>
    </row>
    <row r="1604">
      <c r="A1604" s="37" t="n"/>
      <c r="B1604" s="31" t="n"/>
      <c r="C1604" s="33" t="n"/>
      <c r="D1604" s="33" t="n"/>
      <c r="E1604" s="33" t="n"/>
      <c r="F1604" s="33" t="n"/>
      <c r="G1604" s="33" t="n"/>
    </row>
    <row r="1605">
      <c r="A1605" s="37" t="n"/>
      <c r="B1605" s="31" t="n"/>
      <c r="C1605" s="33" t="n"/>
      <c r="D1605" s="33" t="n"/>
      <c r="E1605" s="33" t="n"/>
      <c r="F1605" s="33" t="n"/>
      <c r="G1605" s="33" t="n"/>
    </row>
    <row r="1606">
      <c r="A1606" s="37" t="n"/>
      <c r="B1606" s="31" t="n"/>
      <c r="C1606" s="33" t="n"/>
      <c r="D1606" s="33" t="n"/>
      <c r="E1606" s="33" t="n"/>
      <c r="F1606" s="33" t="n"/>
      <c r="G1606" s="33" t="n"/>
    </row>
    <row r="1607">
      <c r="A1607" s="37" t="n"/>
      <c r="B1607" s="31" t="n"/>
      <c r="C1607" s="33" t="n"/>
      <c r="D1607" s="33" t="n"/>
      <c r="E1607" s="33" t="n"/>
      <c r="F1607" s="33" t="n"/>
      <c r="G1607" s="33" t="n"/>
    </row>
    <row r="1608">
      <c r="A1608" s="37" t="n"/>
      <c r="B1608" s="31" t="n"/>
      <c r="C1608" s="33" t="n"/>
      <c r="D1608" s="33" t="n"/>
      <c r="E1608" s="33" t="n"/>
      <c r="F1608" s="33" t="n"/>
      <c r="G1608" s="33" t="n"/>
    </row>
    <row r="1609">
      <c r="A1609" s="37" t="n"/>
      <c r="B1609" s="31" t="n"/>
      <c r="C1609" s="33" t="n"/>
      <c r="D1609" s="33" t="n"/>
      <c r="E1609" s="33" t="n"/>
      <c r="F1609" s="33" t="n"/>
      <c r="G1609" s="33" t="n"/>
    </row>
    <row r="1610">
      <c r="A1610" s="37" t="n"/>
      <c r="B1610" s="31" t="n"/>
      <c r="C1610" s="33" t="n"/>
      <c r="D1610" s="33" t="n"/>
      <c r="E1610" s="33" t="n"/>
      <c r="F1610" s="33" t="n"/>
      <c r="G1610" s="33" t="n"/>
    </row>
    <row r="1611">
      <c r="A1611" s="37" t="n"/>
      <c r="B1611" s="31" t="n"/>
      <c r="C1611" s="33" t="n"/>
      <c r="D1611" s="33" t="n"/>
      <c r="E1611" s="33" t="n"/>
      <c r="F1611" s="33" t="n"/>
      <c r="G1611" s="33" t="n"/>
    </row>
    <row r="1612">
      <c r="A1612" s="37" t="n"/>
      <c r="B1612" s="31" t="n"/>
      <c r="C1612" s="33" t="n"/>
      <c r="D1612" s="33" t="n"/>
      <c r="E1612" s="33" t="n"/>
      <c r="F1612" s="33" t="n"/>
      <c r="G1612" s="33" t="n"/>
    </row>
    <row r="1613">
      <c r="A1613" s="37" t="n"/>
      <c r="B1613" s="31" t="n"/>
      <c r="C1613" s="33" t="n"/>
      <c r="D1613" s="33" t="n"/>
      <c r="E1613" s="33" t="n"/>
      <c r="F1613" s="33" t="n"/>
      <c r="G1613" s="33" t="n"/>
    </row>
    <row r="1614">
      <c r="A1614" s="37" t="n"/>
      <c r="B1614" s="31" t="n"/>
      <c r="C1614" s="33" t="n"/>
      <c r="D1614" s="33" t="n"/>
      <c r="E1614" s="33" t="n"/>
      <c r="F1614" s="33" t="n"/>
      <c r="G1614" s="33" t="n"/>
    </row>
    <row r="1615">
      <c r="A1615" s="37" t="n"/>
      <c r="B1615" s="31" t="n"/>
      <c r="C1615" s="33" t="n"/>
      <c r="D1615" s="33" t="n"/>
      <c r="E1615" s="33" t="n"/>
      <c r="F1615" s="33" t="n"/>
      <c r="G1615" s="33" t="n"/>
    </row>
    <row r="1616">
      <c r="A1616" s="37" t="n"/>
      <c r="B1616" s="31" t="n"/>
      <c r="C1616" s="33" t="n"/>
      <c r="D1616" s="33" t="n"/>
      <c r="E1616" s="33" t="n"/>
      <c r="F1616" s="33" t="n"/>
      <c r="G1616" s="33" t="n"/>
    </row>
    <row r="1617">
      <c r="A1617" s="37" t="n"/>
      <c r="B1617" s="31" t="n"/>
      <c r="C1617" s="33" t="n"/>
      <c r="D1617" s="33" t="n"/>
      <c r="E1617" s="33" t="n"/>
      <c r="F1617" s="33" t="n"/>
      <c r="G1617" s="33" t="n"/>
    </row>
    <row r="1618">
      <c r="A1618" s="37" t="n"/>
      <c r="B1618" s="31" t="n"/>
      <c r="C1618" s="33" t="n"/>
      <c r="D1618" s="33" t="n"/>
      <c r="E1618" s="33" t="n"/>
      <c r="F1618" s="33" t="n"/>
      <c r="G1618" s="33" t="n"/>
    </row>
    <row r="1619">
      <c r="A1619" s="37" t="n"/>
      <c r="B1619" s="31" t="n"/>
      <c r="C1619" s="33" t="n"/>
      <c r="D1619" s="33" t="n"/>
      <c r="E1619" s="33" t="n"/>
      <c r="F1619" s="33" t="n"/>
      <c r="G1619" s="33" t="n"/>
    </row>
    <row r="1620">
      <c r="A1620" s="37" t="n"/>
      <c r="B1620" s="31" t="n"/>
      <c r="C1620" s="33" t="n"/>
      <c r="D1620" s="33" t="n"/>
      <c r="E1620" s="33" t="n"/>
      <c r="F1620" s="33" t="n"/>
      <c r="G1620" s="33" t="n"/>
    </row>
    <row r="1621">
      <c r="A1621" s="37" t="n"/>
      <c r="B1621" s="31" t="n"/>
      <c r="C1621" s="33" t="n"/>
      <c r="D1621" s="33" t="n"/>
      <c r="E1621" s="33" t="n"/>
      <c r="F1621" s="33" t="n"/>
      <c r="G1621" s="33" t="n"/>
    </row>
    <row r="1622">
      <c r="A1622" s="37" t="n"/>
      <c r="B1622" s="31" t="n"/>
      <c r="C1622" s="33" t="n"/>
      <c r="D1622" s="33" t="n"/>
      <c r="E1622" s="33" t="n"/>
      <c r="F1622" s="33" t="n"/>
      <c r="G1622" s="33" t="n"/>
    </row>
    <row r="1623">
      <c r="A1623" s="37" t="n"/>
      <c r="B1623" s="31" t="n"/>
      <c r="C1623" s="33" t="n"/>
      <c r="D1623" s="33" t="n"/>
      <c r="E1623" s="33" t="n"/>
      <c r="F1623" s="33" t="n"/>
      <c r="G1623" s="33" t="n"/>
    </row>
    <row r="1624">
      <c r="A1624" s="37" t="n"/>
      <c r="B1624" s="31" t="n"/>
      <c r="C1624" s="33" t="n"/>
      <c r="D1624" s="33" t="n"/>
      <c r="E1624" s="33" t="n"/>
      <c r="F1624" s="33" t="n"/>
      <c r="G1624" s="33" t="n"/>
    </row>
    <row r="1625">
      <c r="A1625" s="37" t="n"/>
      <c r="B1625" s="31" t="n"/>
      <c r="C1625" s="33" t="n"/>
      <c r="D1625" s="33" t="n"/>
      <c r="E1625" s="33" t="n"/>
      <c r="F1625" s="33" t="n"/>
      <c r="G1625" s="33" t="n"/>
    </row>
    <row r="1626">
      <c r="A1626" s="37" t="n"/>
      <c r="B1626" s="31" t="n"/>
      <c r="C1626" s="33" t="n"/>
      <c r="D1626" s="33" t="n"/>
      <c r="E1626" s="33" t="n"/>
      <c r="F1626" s="33" t="n"/>
      <c r="G1626" s="33" t="n"/>
    </row>
    <row r="1627">
      <c r="A1627" s="37" t="n"/>
      <c r="B1627" s="31" t="n"/>
      <c r="C1627" s="33" t="n"/>
      <c r="D1627" s="33" t="n"/>
      <c r="E1627" s="33" t="n"/>
      <c r="F1627" s="33" t="n"/>
      <c r="G1627" s="33" t="n"/>
    </row>
    <row r="1628">
      <c r="A1628" s="37" t="n"/>
      <c r="B1628" s="31" t="n"/>
      <c r="C1628" s="33" t="n"/>
      <c r="D1628" s="33" t="n"/>
      <c r="E1628" s="33" t="n"/>
      <c r="F1628" s="33" t="n"/>
      <c r="G1628" s="33" t="n"/>
    </row>
    <row r="1629">
      <c r="A1629" s="37" t="n"/>
      <c r="B1629" s="31" t="n"/>
      <c r="C1629" s="33" t="n"/>
      <c r="D1629" s="33" t="n"/>
      <c r="E1629" s="33" t="n"/>
      <c r="F1629" s="33" t="n"/>
      <c r="G1629" s="33" t="n"/>
    </row>
    <row r="1630">
      <c r="A1630" s="37" t="n"/>
      <c r="B1630" s="31" t="n"/>
      <c r="C1630" s="33" t="n"/>
      <c r="D1630" s="33" t="n"/>
      <c r="E1630" s="33" t="n"/>
      <c r="F1630" s="33" t="n"/>
      <c r="G1630" s="33" t="n"/>
    </row>
    <row r="1631">
      <c r="A1631" s="37" t="n"/>
      <c r="B1631" s="31" t="n"/>
      <c r="C1631" s="33" t="n"/>
      <c r="D1631" s="33" t="n"/>
      <c r="E1631" s="33" t="n"/>
      <c r="F1631" s="33" t="n"/>
      <c r="G1631" s="33" t="n"/>
    </row>
    <row r="1632">
      <c r="A1632" s="37" t="n"/>
      <c r="B1632" s="31" t="n"/>
      <c r="C1632" s="33" t="n"/>
      <c r="D1632" s="33" t="n"/>
      <c r="E1632" s="33" t="n"/>
      <c r="F1632" s="33" t="n"/>
      <c r="G1632" s="33" t="n"/>
    </row>
    <row r="1633">
      <c r="A1633" s="37" t="n"/>
      <c r="B1633" s="31" t="n"/>
      <c r="C1633" s="33" t="n"/>
      <c r="D1633" s="33" t="n"/>
      <c r="E1633" s="33" t="n"/>
      <c r="F1633" s="33" t="n"/>
      <c r="G1633" s="33" t="n"/>
    </row>
    <row r="1634">
      <c r="A1634" s="37" t="n"/>
      <c r="B1634" s="31" t="n"/>
      <c r="C1634" s="33" t="n"/>
      <c r="D1634" s="33" t="n"/>
      <c r="E1634" s="33" t="n"/>
      <c r="F1634" s="33" t="n"/>
      <c r="G1634" s="33" t="n"/>
    </row>
    <row r="1635">
      <c r="A1635" s="37" t="n"/>
      <c r="B1635" s="31" t="n"/>
      <c r="C1635" s="33" t="n"/>
      <c r="D1635" s="33" t="n"/>
      <c r="E1635" s="33" t="n"/>
      <c r="F1635" s="33" t="n"/>
      <c r="G1635" s="33" t="n"/>
    </row>
    <row r="1636">
      <c r="A1636" s="37" t="n"/>
      <c r="B1636" s="31" t="n"/>
      <c r="C1636" s="33" t="n"/>
      <c r="D1636" s="33" t="n"/>
      <c r="E1636" s="33" t="n"/>
      <c r="F1636" s="33" t="n"/>
      <c r="G1636" s="33" t="n"/>
    </row>
    <row r="1637">
      <c r="A1637" s="37" t="n"/>
      <c r="B1637" s="31" t="n"/>
      <c r="C1637" s="33" t="n"/>
      <c r="D1637" s="33" t="n"/>
      <c r="E1637" s="33" t="n"/>
      <c r="F1637" s="33" t="n"/>
      <c r="G1637" s="33" t="n"/>
    </row>
    <row r="1638">
      <c r="A1638" s="37" t="n"/>
      <c r="B1638" s="31" t="n"/>
      <c r="C1638" s="33" t="n"/>
      <c r="D1638" s="33" t="n"/>
      <c r="E1638" s="33" t="n"/>
      <c r="F1638" s="33" t="n"/>
      <c r="G1638" s="33" t="n"/>
    </row>
    <row r="1639">
      <c r="A1639" s="37" t="n"/>
      <c r="B1639" s="31" t="n"/>
      <c r="C1639" s="33" t="n"/>
      <c r="D1639" s="33" t="n"/>
      <c r="E1639" s="33" t="n"/>
      <c r="F1639" s="33" t="n"/>
      <c r="G1639" s="33" t="n"/>
    </row>
    <row r="1640">
      <c r="A1640" s="37" t="n"/>
      <c r="B1640" s="31" t="n"/>
      <c r="C1640" s="33" t="n"/>
      <c r="D1640" s="33" t="n"/>
      <c r="E1640" s="33" t="n"/>
      <c r="F1640" s="33" t="n"/>
      <c r="G1640" s="33" t="n"/>
    </row>
    <row r="1641">
      <c r="A1641" s="37" t="n"/>
      <c r="B1641" s="31" t="n"/>
      <c r="C1641" s="33" t="n"/>
      <c r="D1641" s="33" t="n"/>
      <c r="E1641" s="33" t="n"/>
      <c r="F1641" s="33" t="n"/>
      <c r="G1641" s="33" t="n"/>
    </row>
    <row r="1642">
      <c r="A1642" s="37" t="n"/>
      <c r="B1642" s="31" t="n"/>
      <c r="C1642" s="33" t="n"/>
      <c r="D1642" s="33" t="n"/>
      <c r="E1642" s="33" t="n"/>
      <c r="F1642" s="33" t="n"/>
      <c r="G1642" s="33" t="n"/>
    </row>
    <row r="1643">
      <c r="A1643" s="37" t="n"/>
      <c r="B1643" s="31" t="n"/>
      <c r="C1643" s="33" t="n"/>
      <c r="D1643" s="33" t="n"/>
      <c r="E1643" s="33" t="n"/>
      <c r="F1643" s="33" t="n"/>
      <c r="G1643" s="33" t="n"/>
    </row>
    <row r="1644">
      <c r="A1644" s="37" t="n"/>
      <c r="B1644" s="31" t="n"/>
      <c r="C1644" s="33" t="n"/>
      <c r="D1644" s="33" t="n"/>
      <c r="E1644" s="33" t="n"/>
      <c r="F1644" s="33" t="n"/>
      <c r="G1644" s="33" t="n"/>
    </row>
    <row r="1645">
      <c r="A1645" s="37" t="n"/>
      <c r="B1645" s="31" t="n"/>
      <c r="C1645" s="33" t="n"/>
      <c r="D1645" s="33" t="n"/>
      <c r="E1645" s="33" t="n"/>
      <c r="F1645" s="33" t="n"/>
      <c r="G1645" s="33" t="n"/>
    </row>
    <row r="1646">
      <c r="A1646" s="37" t="n"/>
      <c r="B1646" s="31" t="n"/>
      <c r="C1646" s="33" t="n"/>
      <c r="D1646" s="33" t="n"/>
      <c r="E1646" s="33" t="n"/>
      <c r="F1646" s="33" t="n"/>
      <c r="G1646" s="33" t="n"/>
    </row>
    <row r="1647">
      <c r="A1647" s="37" t="n"/>
      <c r="B1647" s="31" t="n"/>
      <c r="C1647" s="33" t="n"/>
      <c r="D1647" s="33" t="n"/>
      <c r="E1647" s="33" t="n"/>
      <c r="F1647" s="33" t="n"/>
      <c r="G1647" s="33" t="n"/>
    </row>
    <row r="1648">
      <c r="A1648" s="37" t="n"/>
      <c r="B1648" s="31" t="n"/>
      <c r="C1648" s="33" t="n"/>
      <c r="D1648" s="33" t="n"/>
      <c r="E1648" s="33" t="n"/>
      <c r="F1648" s="33" t="n"/>
      <c r="G1648" s="33" t="n"/>
    </row>
    <row r="1649">
      <c r="A1649" s="37" t="n"/>
      <c r="B1649" s="31" t="n"/>
      <c r="C1649" s="33" t="n"/>
      <c r="D1649" s="33" t="n"/>
      <c r="E1649" s="33" t="n"/>
      <c r="F1649" s="33" t="n"/>
      <c r="G1649" s="33" t="n"/>
    </row>
    <row r="1650">
      <c r="A1650" s="37" t="n"/>
      <c r="B1650" s="31" t="n"/>
      <c r="C1650" s="33" t="n"/>
      <c r="D1650" s="33" t="n"/>
      <c r="E1650" s="33" t="n"/>
      <c r="F1650" s="33" t="n"/>
      <c r="G1650" s="33" t="n"/>
    </row>
    <row r="1651">
      <c r="A1651" s="37" t="n"/>
      <c r="B1651" s="31" t="n"/>
      <c r="C1651" s="33" t="n"/>
      <c r="D1651" s="33" t="n"/>
      <c r="E1651" s="33" t="n"/>
      <c r="F1651" s="33" t="n"/>
      <c r="G1651" s="33" t="n"/>
    </row>
    <row r="1652">
      <c r="A1652" s="37" t="n"/>
      <c r="B1652" s="31" t="n"/>
      <c r="C1652" s="33" t="n"/>
      <c r="D1652" s="33" t="n"/>
      <c r="E1652" s="33" t="n"/>
      <c r="F1652" s="33" t="n"/>
      <c r="G1652" s="33" t="n"/>
    </row>
    <row r="1653">
      <c r="A1653" s="37" t="n"/>
      <c r="B1653" s="31" t="n"/>
      <c r="C1653" s="33" t="n"/>
      <c r="D1653" s="33" t="n"/>
      <c r="E1653" s="33" t="n"/>
      <c r="F1653" s="33" t="n"/>
      <c r="G1653" s="33" t="n"/>
    </row>
    <row r="1654">
      <c r="A1654" s="37" t="n"/>
      <c r="B1654" s="31" t="n"/>
      <c r="C1654" s="33" t="n"/>
      <c r="D1654" s="33" t="n"/>
      <c r="E1654" s="33" t="n"/>
      <c r="F1654" s="33" t="n"/>
      <c r="G1654" s="33" t="n"/>
    </row>
    <row r="1655">
      <c r="A1655" s="37" t="n"/>
      <c r="B1655" s="31" t="n"/>
      <c r="C1655" s="33" t="n"/>
      <c r="D1655" s="33" t="n"/>
      <c r="E1655" s="33" t="n"/>
      <c r="F1655" s="33" t="n"/>
      <c r="G1655" s="33" t="n"/>
    </row>
    <row r="1656">
      <c r="A1656" s="37" t="n"/>
      <c r="B1656" s="31" t="n"/>
      <c r="C1656" s="33" t="n"/>
      <c r="D1656" s="33" t="n"/>
      <c r="E1656" s="33" t="n"/>
      <c r="F1656" s="33" t="n"/>
      <c r="G1656" s="33" t="n"/>
    </row>
    <row r="1657">
      <c r="A1657" s="37" t="n"/>
      <c r="B1657" s="31" t="n"/>
      <c r="C1657" s="33" t="n"/>
      <c r="D1657" s="33" t="n"/>
      <c r="E1657" s="33" t="n"/>
      <c r="F1657" s="33" t="n"/>
      <c r="G1657" s="33" t="n"/>
    </row>
    <row r="1658">
      <c r="A1658" s="37" t="n"/>
      <c r="B1658" s="31" t="n"/>
      <c r="C1658" s="33" t="n"/>
      <c r="D1658" s="33" t="n"/>
      <c r="E1658" s="33" t="n"/>
      <c r="F1658" s="33" t="n"/>
      <c r="G1658" s="33" t="n"/>
    </row>
    <row r="1659">
      <c r="A1659" s="37" t="n"/>
      <c r="B1659" s="31" t="n"/>
      <c r="C1659" s="33" t="n"/>
      <c r="D1659" s="33" t="n"/>
      <c r="E1659" s="33" t="n"/>
      <c r="F1659" s="33" t="n"/>
      <c r="G1659" s="33" t="n"/>
    </row>
    <row r="1660">
      <c r="A1660" s="37" t="n"/>
      <c r="B1660" s="31" t="n"/>
      <c r="C1660" s="33" t="n"/>
      <c r="D1660" s="33" t="n"/>
      <c r="E1660" s="33" t="n"/>
      <c r="F1660" s="33" t="n"/>
      <c r="G1660" s="33" t="n"/>
    </row>
    <row r="1661">
      <c r="A1661" s="37" t="n"/>
      <c r="B1661" s="31" t="n"/>
      <c r="C1661" s="33" t="n"/>
      <c r="D1661" s="33" t="n"/>
      <c r="E1661" s="33" t="n"/>
      <c r="F1661" s="33" t="n"/>
      <c r="G1661" s="33" t="n"/>
    </row>
    <row r="1662">
      <c r="A1662" s="37" t="n"/>
      <c r="B1662" s="31" t="n"/>
      <c r="C1662" s="33" t="n"/>
      <c r="D1662" s="33" t="n"/>
      <c r="E1662" s="33" t="n"/>
      <c r="F1662" s="33" t="n"/>
      <c r="G1662" s="33" t="n"/>
    </row>
    <row r="1663">
      <c r="A1663" s="37" t="n"/>
      <c r="B1663" s="31" t="n"/>
      <c r="C1663" s="33" t="n"/>
      <c r="D1663" s="33" t="n"/>
      <c r="E1663" s="33" t="n"/>
      <c r="F1663" s="33" t="n"/>
      <c r="G1663" s="33" t="n"/>
    </row>
    <row r="1664">
      <c r="A1664" s="37" t="n"/>
      <c r="B1664" s="31" t="n"/>
      <c r="C1664" s="33" t="n"/>
      <c r="D1664" s="33" t="n"/>
      <c r="E1664" s="33" t="n"/>
      <c r="F1664" s="33" t="n"/>
      <c r="G1664" s="33" t="n"/>
    </row>
    <row r="1665">
      <c r="A1665" s="37" t="n"/>
      <c r="B1665" s="31" t="n"/>
      <c r="C1665" s="33" t="n"/>
      <c r="D1665" s="33" t="n"/>
      <c r="E1665" s="33" t="n"/>
      <c r="F1665" s="33" t="n"/>
      <c r="G1665" s="33" t="n"/>
    </row>
    <row r="1666">
      <c r="A1666" s="37" t="n"/>
      <c r="B1666" s="31" t="n"/>
      <c r="C1666" s="33" t="n"/>
      <c r="D1666" s="33" t="n"/>
      <c r="E1666" s="33" t="n"/>
      <c r="F1666" s="33" t="n"/>
      <c r="G1666" s="33" t="n"/>
    </row>
    <row r="1667">
      <c r="A1667" s="37" t="n"/>
      <c r="B1667" s="31" t="n"/>
      <c r="C1667" s="33" t="n"/>
      <c r="D1667" s="33" t="n"/>
      <c r="E1667" s="33" t="n"/>
      <c r="F1667" s="33" t="n"/>
      <c r="G1667" s="33" t="n"/>
    </row>
    <row r="1668">
      <c r="A1668" s="37" t="n"/>
      <c r="B1668" s="31" t="n"/>
      <c r="C1668" s="33" t="n"/>
      <c r="D1668" s="33" t="n"/>
      <c r="E1668" s="33" t="n"/>
      <c r="F1668" s="33" t="n"/>
      <c r="G1668" s="33" t="n"/>
    </row>
    <row r="1669">
      <c r="A1669" s="37" t="n"/>
      <c r="B1669" s="31" t="n"/>
      <c r="C1669" s="33" t="n"/>
      <c r="D1669" s="33" t="n"/>
      <c r="E1669" s="33" t="n"/>
      <c r="F1669" s="33" t="n"/>
      <c r="G1669" s="33" t="n"/>
    </row>
    <row r="1670">
      <c r="A1670" s="37" t="n"/>
      <c r="B1670" s="31" t="n"/>
      <c r="C1670" s="33" t="n"/>
      <c r="D1670" s="33" t="n"/>
      <c r="E1670" s="33" t="n"/>
      <c r="F1670" s="33" t="n"/>
      <c r="G1670" s="33" t="n"/>
    </row>
    <row r="1671">
      <c r="A1671" s="37" t="n"/>
      <c r="B1671" s="31" t="n"/>
      <c r="C1671" s="33" t="n"/>
      <c r="D1671" s="33" t="n"/>
      <c r="E1671" s="33" t="n"/>
      <c r="F1671" s="33" t="n"/>
      <c r="G1671" s="33" t="n"/>
    </row>
    <row r="1672">
      <c r="A1672" s="37" t="n"/>
      <c r="B1672" s="31" t="n"/>
      <c r="C1672" s="33" t="n"/>
      <c r="D1672" s="33" t="n"/>
      <c r="E1672" s="33" t="n"/>
      <c r="F1672" s="33" t="n"/>
      <c r="G1672" s="33" t="n"/>
    </row>
    <row r="1673">
      <c r="A1673" s="37" t="n"/>
      <c r="B1673" s="31" t="n"/>
      <c r="C1673" s="33" t="n"/>
      <c r="D1673" s="33" t="n"/>
      <c r="E1673" s="33" t="n"/>
      <c r="F1673" s="33" t="n"/>
      <c r="G1673" s="33" t="n"/>
    </row>
    <row r="1674">
      <c r="A1674" s="37" t="n"/>
      <c r="B1674" s="31" t="n"/>
      <c r="C1674" s="33" t="n"/>
      <c r="D1674" s="33" t="n"/>
      <c r="E1674" s="33" t="n"/>
      <c r="F1674" s="33" t="n"/>
      <c r="G1674" s="33" t="n"/>
    </row>
    <row r="1675">
      <c r="A1675" s="37" t="n"/>
      <c r="B1675" s="31" t="n"/>
      <c r="C1675" s="33" t="n"/>
      <c r="D1675" s="33" t="n"/>
      <c r="E1675" s="33" t="n"/>
      <c r="F1675" s="33" t="n"/>
      <c r="G1675" s="33" t="n"/>
    </row>
    <row r="1676">
      <c r="A1676" s="37" t="n"/>
      <c r="B1676" s="31" t="n"/>
      <c r="C1676" s="33" t="n"/>
      <c r="D1676" s="33" t="n"/>
      <c r="E1676" s="33" t="n"/>
      <c r="F1676" s="33" t="n"/>
      <c r="G1676" s="33" t="n"/>
    </row>
    <row r="1677">
      <c r="A1677" s="37" t="n"/>
      <c r="B1677" s="31" t="n"/>
      <c r="C1677" s="33" t="n"/>
      <c r="D1677" s="33" t="n"/>
      <c r="E1677" s="33" t="n"/>
      <c r="F1677" s="33" t="n"/>
      <c r="G1677" s="33" t="n"/>
    </row>
    <row r="1678">
      <c r="A1678" s="37" t="n"/>
      <c r="B1678" s="31" t="n"/>
      <c r="C1678" s="33" t="n"/>
      <c r="D1678" s="33" t="n"/>
      <c r="E1678" s="33" t="n"/>
      <c r="F1678" s="33" t="n"/>
      <c r="G1678" s="33" t="n"/>
    </row>
    <row r="1679">
      <c r="A1679" s="37" t="n"/>
      <c r="B1679" s="31" t="n"/>
      <c r="C1679" s="33" t="n"/>
      <c r="D1679" s="33" t="n"/>
      <c r="E1679" s="33" t="n"/>
      <c r="F1679" s="33" t="n"/>
      <c r="G1679" s="33" t="n"/>
    </row>
    <row r="1680">
      <c r="A1680" s="37" t="n"/>
      <c r="B1680" s="31" t="n"/>
      <c r="C1680" s="33" t="n"/>
      <c r="D1680" s="33" t="n"/>
      <c r="E1680" s="33" t="n"/>
      <c r="F1680" s="33" t="n"/>
      <c r="G1680" s="33" t="n"/>
    </row>
    <row r="1681">
      <c r="A1681" s="37" t="n"/>
      <c r="B1681" s="31" t="n"/>
      <c r="C1681" s="33" t="n"/>
      <c r="D1681" s="33" t="n"/>
      <c r="E1681" s="33" t="n"/>
      <c r="F1681" s="33" t="n"/>
      <c r="G1681" s="33" t="n"/>
    </row>
    <row r="1682">
      <c r="A1682" s="37" t="n"/>
      <c r="B1682" s="31" t="n"/>
      <c r="C1682" s="33" t="n"/>
      <c r="D1682" s="33" t="n"/>
      <c r="E1682" s="33" t="n"/>
      <c r="F1682" s="33" t="n"/>
      <c r="G1682" s="33" t="n"/>
    </row>
    <row r="1683">
      <c r="A1683" s="37" t="n"/>
      <c r="B1683" s="31" t="n"/>
      <c r="C1683" s="33" t="n"/>
      <c r="D1683" s="33" t="n"/>
      <c r="E1683" s="33" t="n"/>
      <c r="F1683" s="33" t="n"/>
      <c r="G1683" s="33" t="n"/>
    </row>
    <row r="1684">
      <c r="A1684" s="37" t="n"/>
      <c r="B1684" s="31" t="n"/>
      <c r="C1684" s="33" t="n"/>
      <c r="D1684" s="33" t="n"/>
      <c r="E1684" s="33" t="n"/>
      <c r="F1684" s="33" t="n"/>
      <c r="G1684" s="33" t="n"/>
    </row>
    <row r="1685">
      <c r="A1685" s="37" t="n"/>
      <c r="B1685" s="31" t="n"/>
      <c r="C1685" s="33" t="n"/>
      <c r="D1685" s="33" t="n"/>
      <c r="E1685" s="33" t="n"/>
      <c r="F1685" s="33" t="n"/>
      <c r="G1685" s="33" t="n"/>
    </row>
    <row r="1686">
      <c r="A1686" s="37" t="n"/>
      <c r="B1686" s="31" t="n"/>
      <c r="C1686" s="33" t="n"/>
      <c r="D1686" s="33" t="n"/>
      <c r="E1686" s="33" t="n"/>
      <c r="F1686" s="33" t="n"/>
      <c r="G1686" s="33" t="n"/>
    </row>
    <row r="1687">
      <c r="A1687" s="37" t="n"/>
      <c r="B1687" s="31" t="n"/>
      <c r="C1687" s="33" t="n"/>
      <c r="D1687" s="33" t="n"/>
      <c r="E1687" s="33" t="n"/>
      <c r="F1687" s="33" t="n"/>
      <c r="G1687" s="33" t="n"/>
    </row>
    <row r="1688">
      <c r="A1688" s="37" t="n"/>
      <c r="B1688" s="31" t="n"/>
      <c r="C1688" s="33" t="n"/>
      <c r="D1688" s="33" t="n"/>
      <c r="E1688" s="33" t="n"/>
      <c r="F1688" s="33" t="n"/>
      <c r="G1688" s="33" t="n"/>
    </row>
    <row r="1689">
      <c r="A1689" s="37" t="n"/>
      <c r="B1689" s="31" t="n"/>
      <c r="C1689" s="33" t="n"/>
      <c r="D1689" s="33" t="n"/>
      <c r="E1689" s="33" t="n"/>
      <c r="F1689" s="33" t="n"/>
      <c r="G1689" s="33" t="n"/>
    </row>
    <row r="1690">
      <c r="A1690" s="37" t="n"/>
      <c r="B1690" s="31" t="n"/>
      <c r="C1690" s="33" t="n"/>
      <c r="D1690" s="33" t="n"/>
      <c r="E1690" s="33" t="n"/>
      <c r="F1690" s="33" t="n"/>
      <c r="G1690" s="33" t="n"/>
    </row>
    <row r="1691">
      <c r="A1691" s="37" t="n"/>
      <c r="B1691" s="31" t="n"/>
      <c r="C1691" s="33" t="n"/>
      <c r="D1691" s="33" t="n"/>
      <c r="E1691" s="33" t="n"/>
      <c r="F1691" s="33" t="n"/>
      <c r="G1691" s="33" t="n"/>
    </row>
    <row r="1692">
      <c r="A1692" s="37" t="n"/>
      <c r="B1692" s="31" t="n"/>
      <c r="C1692" s="33" t="n"/>
      <c r="D1692" s="33" t="n"/>
      <c r="E1692" s="33" t="n"/>
      <c r="F1692" s="33" t="n"/>
      <c r="G1692" s="33" t="n"/>
    </row>
    <row r="1693">
      <c r="A1693" s="37" t="n"/>
      <c r="B1693" s="31" t="n"/>
      <c r="C1693" s="33" t="n"/>
      <c r="D1693" s="33" t="n"/>
      <c r="E1693" s="33" t="n"/>
      <c r="F1693" s="33" t="n"/>
      <c r="G1693" s="33" t="n"/>
    </row>
    <row r="1694">
      <c r="A1694" s="37" t="n"/>
      <c r="B1694" s="31" t="n"/>
      <c r="C1694" s="33" t="n"/>
      <c r="D1694" s="33" t="n"/>
      <c r="E1694" s="33" t="n"/>
      <c r="F1694" s="33" t="n"/>
      <c r="G1694" s="33" t="n"/>
    </row>
    <row r="1695">
      <c r="A1695" s="37" t="n"/>
      <c r="B1695" s="31" t="n"/>
      <c r="C1695" s="33" t="n"/>
      <c r="D1695" s="33" t="n"/>
      <c r="E1695" s="33" t="n"/>
      <c r="F1695" s="33" t="n"/>
      <c r="G1695" s="33" t="n"/>
    </row>
    <row r="1696">
      <c r="A1696" s="37" t="n"/>
      <c r="B1696" s="31" t="n"/>
      <c r="C1696" s="33" t="n"/>
      <c r="D1696" s="33" t="n"/>
      <c r="E1696" s="33" t="n"/>
      <c r="F1696" s="33" t="n"/>
      <c r="G1696" s="33" t="n"/>
    </row>
    <row r="1697">
      <c r="A1697" s="37" t="n"/>
      <c r="B1697" s="31" t="n"/>
      <c r="C1697" s="33" t="n"/>
      <c r="D1697" s="33" t="n"/>
      <c r="E1697" s="33" t="n"/>
      <c r="F1697" s="33" t="n"/>
      <c r="G1697" s="33" t="n"/>
    </row>
    <row r="1698">
      <c r="A1698" s="37" t="n"/>
      <c r="B1698" s="31" t="n"/>
      <c r="C1698" s="33" t="n"/>
      <c r="D1698" s="33" t="n"/>
      <c r="E1698" s="33" t="n"/>
      <c r="F1698" s="33" t="n"/>
      <c r="G1698" s="33" t="n"/>
    </row>
    <row r="1699">
      <c r="A1699" s="37" t="n"/>
      <c r="B1699" s="31" t="n"/>
      <c r="C1699" s="33" t="n"/>
      <c r="D1699" s="33" t="n"/>
      <c r="E1699" s="33" t="n"/>
      <c r="F1699" s="33" t="n"/>
      <c r="G1699" s="33" t="n"/>
    </row>
    <row r="1700">
      <c r="A1700" s="37" t="n"/>
      <c r="B1700" s="31" t="n"/>
      <c r="C1700" s="33" t="n"/>
      <c r="D1700" s="33" t="n"/>
      <c r="E1700" s="33" t="n"/>
      <c r="F1700" s="33" t="n"/>
      <c r="G1700" s="33" t="n"/>
    </row>
    <row r="1701">
      <c r="A1701" s="37" t="n"/>
      <c r="B1701" s="31" t="n"/>
      <c r="C1701" s="33" t="n"/>
      <c r="D1701" s="33" t="n"/>
      <c r="E1701" s="33" t="n"/>
      <c r="F1701" s="33" t="n"/>
      <c r="G1701" s="33" t="n"/>
    </row>
    <row r="1702">
      <c r="A1702" s="37" t="n"/>
      <c r="B1702" s="31" t="n"/>
      <c r="C1702" s="33" t="n"/>
      <c r="D1702" s="33" t="n"/>
      <c r="E1702" s="33" t="n"/>
      <c r="F1702" s="33" t="n"/>
      <c r="G1702" s="33" t="n"/>
    </row>
    <row r="1703">
      <c r="A1703" s="37" t="n"/>
      <c r="B1703" s="31" t="n"/>
      <c r="C1703" s="33" t="n"/>
      <c r="D1703" s="33" t="n"/>
      <c r="E1703" s="33" t="n"/>
      <c r="F1703" s="33" t="n"/>
      <c r="G1703" s="33" t="n"/>
    </row>
    <row r="1704">
      <c r="A1704" s="37" t="n"/>
      <c r="B1704" s="31" t="n"/>
      <c r="C1704" s="33" t="n"/>
      <c r="D1704" s="33" t="n"/>
      <c r="E1704" s="33" t="n"/>
      <c r="F1704" s="33" t="n"/>
      <c r="G1704" s="33" t="n"/>
    </row>
    <row r="1705">
      <c r="A1705" s="37" t="n"/>
      <c r="B1705" s="31" t="n"/>
      <c r="C1705" s="33" t="n"/>
      <c r="D1705" s="33" t="n"/>
      <c r="E1705" s="33" t="n"/>
      <c r="F1705" s="33" t="n"/>
      <c r="G1705" s="33" t="n"/>
    </row>
    <row r="1706">
      <c r="A1706" s="37" t="n"/>
      <c r="B1706" s="31" t="n"/>
      <c r="C1706" s="33" t="n"/>
      <c r="D1706" s="33" t="n"/>
      <c r="E1706" s="33" t="n"/>
      <c r="F1706" s="33" t="n"/>
      <c r="G1706" s="33" t="n"/>
    </row>
    <row r="1707">
      <c r="A1707" s="37" t="n"/>
      <c r="B1707" s="31" t="n"/>
      <c r="C1707" s="33" t="n"/>
      <c r="D1707" s="33" t="n"/>
      <c r="E1707" s="33" t="n"/>
      <c r="F1707" s="33" t="n"/>
      <c r="G1707" s="33" t="n"/>
    </row>
    <row r="1708">
      <c r="A1708" s="37" t="n"/>
      <c r="B1708" s="31" t="n"/>
      <c r="C1708" s="33" t="n"/>
      <c r="D1708" s="33" t="n"/>
      <c r="E1708" s="33" t="n"/>
      <c r="F1708" s="33" t="n"/>
      <c r="G1708" s="33" t="n"/>
    </row>
    <row r="1709">
      <c r="A1709" s="37" t="n"/>
      <c r="B1709" s="31" t="n"/>
      <c r="C1709" s="33" t="n"/>
      <c r="D1709" s="33" t="n"/>
      <c r="E1709" s="33" t="n"/>
      <c r="F1709" s="33" t="n"/>
      <c r="G1709" s="33" t="n"/>
    </row>
    <row r="1710">
      <c r="A1710" s="37" t="n"/>
      <c r="B1710" s="31" t="n"/>
      <c r="C1710" s="33" t="n"/>
      <c r="D1710" s="33" t="n"/>
      <c r="E1710" s="33" t="n"/>
      <c r="F1710" s="33" t="n"/>
      <c r="G1710" s="33" t="n"/>
    </row>
    <row r="1711">
      <c r="A1711" s="37" t="n"/>
      <c r="B1711" s="31" t="n"/>
      <c r="C1711" s="33" t="n"/>
      <c r="D1711" s="33" t="n"/>
      <c r="E1711" s="33" t="n"/>
      <c r="F1711" s="33" t="n"/>
      <c r="G1711" s="33" t="n"/>
    </row>
    <row r="1712">
      <c r="A1712" s="37" t="n"/>
      <c r="B1712" s="31" t="n"/>
      <c r="C1712" s="33" t="n"/>
      <c r="D1712" s="33" t="n"/>
      <c r="E1712" s="33" t="n"/>
      <c r="F1712" s="33" t="n"/>
      <c r="G1712" s="33" t="n"/>
    </row>
    <row r="1713">
      <c r="A1713" s="37" t="n"/>
      <c r="B1713" s="31" t="n"/>
      <c r="C1713" s="33" t="n"/>
      <c r="D1713" s="33" t="n"/>
      <c r="E1713" s="33" t="n"/>
      <c r="F1713" s="33" t="n"/>
      <c r="G1713" s="33" t="n"/>
    </row>
    <row r="1714">
      <c r="A1714" s="37" t="n"/>
      <c r="B1714" s="31" t="n"/>
      <c r="C1714" s="33" t="n"/>
      <c r="D1714" s="33" t="n"/>
      <c r="E1714" s="33" t="n"/>
      <c r="F1714" s="33" t="n"/>
      <c r="G1714" s="33" t="n"/>
    </row>
    <row r="1715">
      <c r="A1715" s="37" t="n"/>
      <c r="B1715" s="31" t="n"/>
      <c r="C1715" s="33" t="n"/>
      <c r="D1715" s="33" t="n"/>
      <c r="E1715" s="33" t="n"/>
      <c r="F1715" s="33" t="n"/>
      <c r="G1715" s="33" t="n"/>
    </row>
    <row r="1716">
      <c r="A1716" s="37" t="n"/>
      <c r="B1716" s="31" t="n"/>
      <c r="C1716" s="33" t="n"/>
      <c r="D1716" s="33" t="n"/>
      <c r="E1716" s="33" t="n"/>
      <c r="F1716" s="33" t="n"/>
      <c r="G1716" s="33" t="n"/>
    </row>
    <row r="1717">
      <c r="A1717" s="37" t="n"/>
      <c r="B1717" s="31" t="n"/>
      <c r="C1717" s="33" t="n"/>
      <c r="D1717" s="33" t="n"/>
      <c r="E1717" s="33" t="n"/>
      <c r="F1717" s="33" t="n"/>
      <c r="G1717" s="33" t="n"/>
    </row>
    <row r="1718">
      <c r="A1718" s="37" t="n"/>
      <c r="B1718" s="31" t="n"/>
      <c r="C1718" s="33" t="n"/>
      <c r="D1718" s="33" t="n"/>
      <c r="E1718" s="33" t="n"/>
      <c r="F1718" s="33" t="n"/>
      <c r="G1718" s="33" t="n"/>
    </row>
    <row r="1719">
      <c r="A1719" s="37" t="n"/>
      <c r="B1719" s="31" t="n"/>
      <c r="C1719" s="33" t="n"/>
      <c r="D1719" s="33" t="n"/>
      <c r="E1719" s="33" t="n"/>
      <c r="F1719" s="33" t="n"/>
      <c r="G1719" s="33" t="n"/>
    </row>
    <row r="1720">
      <c r="A1720" s="37" t="n"/>
      <c r="B1720" s="31" t="n"/>
      <c r="C1720" s="33" t="n"/>
      <c r="D1720" s="33" t="n"/>
      <c r="E1720" s="33" t="n"/>
      <c r="F1720" s="33" t="n"/>
      <c r="G1720" s="33" t="n"/>
    </row>
    <row r="1721">
      <c r="A1721" s="37" t="n"/>
      <c r="B1721" s="31" t="n"/>
      <c r="C1721" s="33" t="n"/>
      <c r="D1721" s="33" t="n"/>
      <c r="E1721" s="33" t="n"/>
      <c r="F1721" s="33" t="n"/>
      <c r="G1721" s="33" t="n"/>
    </row>
    <row r="1722">
      <c r="A1722" s="37" t="n"/>
      <c r="B1722" s="31" t="n"/>
      <c r="C1722" s="33" t="n"/>
      <c r="D1722" s="33" t="n"/>
      <c r="E1722" s="33" t="n"/>
      <c r="F1722" s="33" t="n"/>
      <c r="G1722" s="33" t="n"/>
    </row>
    <row r="1723">
      <c r="A1723" s="37" t="n"/>
      <c r="B1723" s="31" t="n"/>
      <c r="C1723" s="33" t="n"/>
      <c r="D1723" s="33" t="n"/>
      <c r="E1723" s="33" t="n"/>
      <c r="F1723" s="33" t="n"/>
      <c r="G1723" s="33" t="n"/>
    </row>
    <row r="1724">
      <c r="A1724" s="37" t="n"/>
      <c r="B1724" s="31" t="n"/>
      <c r="C1724" s="33" t="n"/>
      <c r="D1724" s="33" t="n"/>
      <c r="E1724" s="33" t="n"/>
      <c r="F1724" s="33" t="n"/>
      <c r="G1724" s="33" t="n"/>
    </row>
    <row r="1725">
      <c r="A1725" s="37" t="n"/>
      <c r="B1725" s="31" t="n"/>
      <c r="C1725" s="33" t="n"/>
      <c r="D1725" s="33" t="n"/>
      <c r="E1725" s="33" t="n"/>
      <c r="F1725" s="33" t="n"/>
      <c r="G1725" s="33" t="n"/>
    </row>
    <row r="1726">
      <c r="A1726" s="37" t="n"/>
      <c r="B1726" s="31" t="n"/>
      <c r="C1726" s="33" t="n"/>
      <c r="D1726" s="33" t="n"/>
      <c r="E1726" s="33" t="n"/>
      <c r="F1726" s="33" t="n"/>
      <c r="G1726" s="33" t="n"/>
    </row>
    <row r="1727">
      <c r="A1727" s="37" t="n"/>
      <c r="B1727" s="31" t="n"/>
      <c r="C1727" s="33" t="n"/>
      <c r="D1727" s="33" t="n"/>
      <c r="E1727" s="33" t="n"/>
      <c r="F1727" s="33" t="n"/>
      <c r="G1727" s="33" t="n"/>
    </row>
    <row r="1728">
      <c r="A1728" s="37" t="n"/>
      <c r="B1728" s="31" t="n"/>
      <c r="C1728" s="33" t="n"/>
      <c r="D1728" s="33" t="n"/>
      <c r="E1728" s="33" t="n"/>
      <c r="F1728" s="33" t="n"/>
      <c r="G1728" s="33" t="n"/>
    </row>
    <row r="1729">
      <c r="A1729" s="37" t="n"/>
      <c r="B1729" s="31" t="n"/>
      <c r="C1729" s="33" t="n"/>
      <c r="D1729" s="33" t="n"/>
      <c r="E1729" s="33" t="n"/>
      <c r="F1729" s="33" t="n"/>
      <c r="G1729" s="33" t="n"/>
    </row>
    <row r="1730">
      <c r="A1730" s="37" t="n"/>
      <c r="B1730" s="31" t="n"/>
      <c r="C1730" s="33" t="n"/>
      <c r="D1730" s="33" t="n"/>
      <c r="E1730" s="33" t="n"/>
      <c r="F1730" s="33" t="n"/>
      <c r="G1730" s="33" t="n"/>
    </row>
    <row r="1731">
      <c r="A1731" s="37" t="n"/>
      <c r="B1731" s="31" t="n"/>
      <c r="C1731" s="33" t="n"/>
      <c r="D1731" s="33" t="n"/>
      <c r="E1731" s="33" t="n"/>
      <c r="F1731" s="33" t="n"/>
      <c r="G1731" s="33" t="n"/>
    </row>
    <row r="1732">
      <c r="A1732" s="37" t="n"/>
      <c r="B1732" s="31" t="n"/>
      <c r="C1732" s="33" t="n"/>
      <c r="D1732" s="33" t="n"/>
      <c r="E1732" s="33" t="n"/>
      <c r="F1732" s="33" t="n"/>
      <c r="G1732" s="33" t="n"/>
    </row>
    <row r="1733">
      <c r="A1733" s="37" t="n"/>
      <c r="B1733" s="31" t="n"/>
      <c r="C1733" s="33" t="n"/>
      <c r="D1733" s="33" t="n"/>
      <c r="E1733" s="33" t="n"/>
      <c r="F1733" s="33" t="n"/>
      <c r="G1733" s="33" t="n"/>
    </row>
    <row r="1734">
      <c r="A1734" s="37" t="n"/>
      <c r="B1734" s="31" t="n"/>
      <c r="C1734" s="33" t="n"/>
      <c r="D1734" s="33" t="n"/>
      <c r="E1734" s="33" t="n"/>
      <c r="F1734" s="33" t="n"/>
      <c r="G1734" s="33" t="n"/>
    </row>
    <row r="1735">
      <c r="A1735" s="37" t="n"/>
      <c r="B1735" s="31" t="n"/>
      <c r="C1735" s="33" t="n"/>
      <c r="D1735" s="33" t="n"/>
      <c r="E1735" s="33" t="n"/>
      <c r="F1735" s="33" t="n"/>
      <c r="G1735" s="33" t="n"/>
    </row>
    <row r="1736">
      <c r="A1736" s="37" t="n"/>
      <c r="B1736" s="31" t="n"/>
      <c r="C1736" s="33" t="n"/>
      <c r="D1736" s="33" t="n"/>
      <c r="E1736" s="33" t="n"/>
      <c r="F1736" s="33" t="n"/>
      <c r="G1736" s="33" t="n"/>
    </row>
    <row r="1737">
      <c r="A1737" s="37" t="n"/>
      <c r="B1737" s="31" t="n"/>
      <c r="C1737" s="33" t="n"/>
      <c r="D1737" s="33" t="n"/>
      <c r="E1737" s="33" t="n"/>
      <c r="F1737" s="33" t="n"/>
      <c r="G1737" s="33" t="n"/>
    </row>
    <row r="1738">
      <c r="A1738" s="37" t="n"/>
      <c r="B1738" s="31" t="n"/>
      <c r="C1738" s="33" t="n"/>
      <c r="D1738" s="33" t="n"/>
      <c r="E1738" s="33" t="n"/>
      <c r="F1738" s="33" t="n"/>
      <c r="G1738" s="33" t="n"/>
    </row>
    <row r="1739">
      <c r="A1739" s="37" t="n"/>
      <c r="B1739" s="31" t="n"/>
      <c r="C1739" s="33" t="n"/>
      <c r="D1739" s="33" t="n"/>
      <c r="E1739" s="33" t="n"/>
      <c r="F1739" s="33" t="n"/>
      <c r="G1739" s="33" t="n"/>
    </row>
    <row r="1740">
      <c r="A1740" s="37" t="n"/>
      <c r="B1740" s="31" t="n"/>
      <c r="C1740" s="33" t="n"/>
      <c r="D1740" s="33" t="n"/>
      <c r="E1740" s="33" t="n"/>
      <c r="F1740" s="33" t="n"/>
      <c r="G1740" s="33" t="n"/>
    </row>
    <row r="1741">
      <c r="A1741" s="37" t="n"/>
      <c r="B1741" s="31" t="n"/>
      <c r="C1741" s="33" t="n"/>
      <c r="D1741" s="33" t="n"/>
      <c r="E1741" s="33" t="n"/>
      <c r="F1741" s="33" t="n"/>
      <c r="G1741" s="33" t="n"/>
    </row>
    <row r="1742">
      <c r="A1742" s="37" t="n"/>
      <c r="B1742" s="31" t="n"/>
      <c r="C1742" s="33" t="n"/>
      <c r="D1742" s="33" t="n"/>
      <c r="E1742" s="33" t="n"/>
      <c r="F1742" s="33" t="n"/>
      <c r="G1742" s="33" t="n"/>
    </row>
    <row r="1743">
      <c r="A1743" s="37" t="n"/>
      <c r="B1743" s="31" t="n"/>
      <c r="C1743" s="33" t="n"/>
      <c r="D1743" s="33" t="n"/>
      <c r="E1743" s="33" t="n"/>
      <c r="F1743" s="33" t="n"/>
      <c r="G1743" s="33" t="n"/>
    </row>
    <row r="1744">
      <c r="A1744" s="37" t="n"/>
      <c r="B1744" s="31" t="n"/>
      <c r="C1744" s="33" t="n"/>
      <c r="D1744" s="33" t="n"/>
      <c r="E1744" s="33" t="n"/>
      <c r="F1744" s="33" t="n"/>
      <c r="G1744" s="33" t="n"/>
    </row>
    <row r="1745">
      <c r="A1745" s="37" t="n"/>
      <c r="B1745" s="31" t="n"/>
      <c r="C1745" s="33" t="n"/>
      <c r="D1745" s="33" t="n"/>
      <c r="E1745" s="33" t="n"/>
      <c r="F1745" s="33" t="n"/>
      <c r="G1745" s="33" t="n"/>
    </row>
    <row r="1746">
      <c r="A1746" s="37" t="n"/>
      <c r="B1746" s="31" t="n"/>
      <c r="C1746" s="33" t="n"/>
      <c r="D1746" s="33" t="n"/>
      <c r="E1746" s="33" t="n"/>
      <c r="F1746" s="33" t="n"/>
      <c r="G1746" s="33" t="n"/>
    </row>
    <row r="1747">
      <c r="A1747" s="37" t="n"/>
      <c r="B1747" s="31" t="n"/>
      <c r="C1747" s="33" t="n"/>
      <c r="D1747" s="33" t="n"/>
      <c r="E1747" s="33" t="n"/>
      <c r="F1747" s="33" t="n"/>
      <c r="G1747" s="33" t="n"/>
    </row>
    <row r="1748">
      <c r="A1748" s="37" t="n"/>
      <c r="B1748" s="31" t="n"/>
      <c r="C1748" s="33" t="n"/>
      <c r="D1748" s="33" t="n"/>
      <c r="E1748" s="33" t="n"/>
      <c r="F1748" s="33" t="n"/>
      <c r="G1748" s="33" t="n"/>
    </row>
    <row r="1749">
      <c r="A1749" s="37" t="n"/>
      <c r="B1749" s="31" t="n"/>
      <c r="C1749" s="33" t="n"/>
      <c r="D1749" s="33" t="n"/>
      <c r="E1749" s="33" t="n"/>
      <c r="F1749" s="33" t="n"/>
      <c r="G1749" s="33" t="n"/>
    </row>
    <row r="1750">
      <c r="A1750" s="37" t="n"/>
      <c r="B1750" s="31" t="n"/>
      <c r="C1750" s="33" t="n"/>
      <c r="D1750" s="33" t="n"/>
      <c r="E1750" s="33" t="n"/>
      <c r="F1750" s="33" t="n"/>
      <c r="G1750" s="33" t="n"/>
    </row>
    <row r="1751">
      <c r="A1751" s="37" t="n"/>
      <c r="B1751" s="31" t="n"/>
      <c r="C1751" s="33" t="n"/>
      <c r="D1751" s="33" t="n"/>
      <c r="E1751" s="33" t="n"/>
      <c r="F1751" s="33" t="n"/>
      <c r="G1751" s="33" t="n"/>
    </row>
    <row r="1752">
      <c r="A1752" s="37" t="n"/>
      <c r="B1752" s="31" t="n"/>
      <c r="C1752" s="33" t="n"/>
      <c r="D1752" s="33" t="n"/>
      <c r="E1752" s="33" t="n"/>
      <c r="F1752" s="33" t="n"/>
      <c r="G1752" s="33" t="n"/>
    </row>
    <row r="1753">
      <c r="A1753" s="37" t="n"/>
      <c r="B1753" s="31" t="n"/>
      <c r="C1753" s="33" t="n"/>
      <c r="D1753" s="33" t="n"/>
      <c r="E1753" s="33" t="n"/>
      <c r="F1753" s="33" t="n"/>
      <c r="G1753" s="33" t="n"/>
    </row>
    <row r="1754">
      <c r="A1754" s="37" t="n"/>
      <c r="B1754" s="31" t="n"/>
      <c r="C1754" s="33" t="n"/>
      <c r="D1754" s="33" t="n"/>
      <c r="E1754" s="33" t="n"/>
      <c r="F1754" s="33" t="n"/>
      <c r="G1754" s="33" t="n"/>
    </row>
    <row r="1755">
      <c r="A1755" s="37" t="n"/>
      <c r="B1755" s="31" t="n"/>
      <c r="C1755" s="33" t="n"/>
      <c r="D1755" s="33" t="n"/>
      <c r="E1755" s="33" t="n"/>
      <c r="F1755" s="33" t="n"/>
      <c r="G1755" s="33" t="n"/>
    </row>
    <row r="1756">
      <c r="A1756" s="37" t="n"/>
      <c r="B1756" s="31" t="n"/>
      <c r="C1756" s="33" t="n"/>
      <c r="D1756" s="33" t="n"/>
      <c r="E1756" s="33" t="n"/>
      <c r="F1756" s="33" t="n"/>
      <c r="G1756" s="33" t="n"/>
    </row>
    <row r="1757">
      <c r="A1757" s="37" t="n"/>
      <c r="B1757" s="31" t="n"/>
      <c r="C1757" s="33" t="n"/>
      <c r="D1757" s="33" t="n"/>
      <c r="E1757" s="33" t="n"/>
      <c r="F1757" s="33" t="n"/>
      <c r="G1757" s="33" t="n"/>
    </row>
    <row r="1758">
      <c r="A1758" s="37" t="n"/>
      <c r="B1758" s="31" t="n"/>
      <c r="C1758" s="33" t="n"/>
      <c r="D1758" s="33" t="n"/>
      <c r="E1758" s="33" t="n"/>
      <c r="F1758" s="33" t="n"/>
      <c r="G1758" s="33" t="n"/>
    </row>
    <row r="1759">
      <c r="A1759" s="37" t="n"/>
      <c r="B1759" s="31" t="n"/>
      <c r="C1759" s="33" t="n"/>
      <c r="D1759" s="33" t="n"/>
      <c r="E1759" s="33" t="n"/>
      <c r="F1759" s="33" t="n"/>
      <c r="G1759" s="33" t="n"/>
    </row>
    <row r="1760">
      <c r="A1760" s="37" t="n"/>
      <c r="B1760" s="31" t="n"/>
      <c r="C1760" s="33" t="n"/>
      <c r="D1760" s="33" t="n"/>
      <c r="E1760" s="33" t="n"/>
      <c r="F1760" s="33" t="n"/>
      <c r="G1760" s="33" t="n"/>
    </row>
    <row r="1761">
      <c r="A1761" s="37" t="n"/>
      <c r="B1761" s="31" t="n"/>
      <c r="C1761" s="33" t="n"/>
      <c r="D1761" s="33" t="n"/>
      <c r="E1761" s="33" t="n"/>
      <c r="F1761" s="33" t="n"/>
      <c r="G1761" s="33" t="n"/>
    </row>
    <row r="1762">
      <c r="A1762" s="37" t="n"/>
      <c r="B1762" s="31" t="n"/>
      <c r="C1762" s="33" t="n"/>
      <c r="D1762" s="33" t="n"/>
      <c r="E1762" s="33" t="n"/>
      <c r="F1762" s="33" t="n"/>
      <c r="G1762" s="33" t="n"/>
    </row>
    <row r="1763">
      <c r="A1763" s="37" t="n"/>
      <c r="B1763" s="31" t="n"/>
      <c r="C1763" s="33" t="n"/>
      <c r="D1763" s="33" t="n"/>
      <c r="E1763" s="33" t="n"/>
      <c r="F1763" s="33" t="n"/>
      <c r="G1763" s="33" t="n"/>
    </row>
    <row r="1764">
      <c r="A1764" s="37" t="n"/>
      <c r="B1764" s="31" t="n"/>
      <c r="C1764" s="33" t="n"/>
      <c r="D1764" s="33" t="n"/>
      <c r="E1764" s="33" t="n"/>
      <c r="F1764" s="33" t="n"/>
      <c r="G1764" s="33" t="n"/>
    </row>
    <row r="1765">
      <c r="A1765" s="37" t="n"/>
      <c r="B1765" s="31" t="n"/>
      <c r="C1765" s="33" t="n"/>
      <c r="D1765" s="33" t="n"/>
      <c r="E1765" s="33" t="n"/>
      <c r="F1765" s="33" t="n"/>
      <c r="G1765" s="33" t="n"/>
    </row>
    <row r="1766">
      <c r="A1766" s="37" t="n"/>
      <c r="B1766" s="31" t="n"/>
      <c r="C1766" s="33" t="n"/>
      <c r="D1766" s="33" t="n"/>
      <c r="E1766" s="33" t="n"/>
      <c r="F1766" s="33" t="n"/>
      <c r="G1766" s="33" t="n"/>
    </row>
    <row r="1767">
      <c r="A1767" s="37" t="n"/>
      <c r="B1767" s="31" t="n"/>
      <c r="C1767" s="33" t="n"/>
      <c r="D1767" s="33" t="n"/>
      <c r="E1767" s="33" t="n"/>
      <c r="F1767" s="33" t="n"/>
      <c r="G1767" s="33" t="n"/>
    </row>
    <row r="1768">
      <c r="A1768" s="37" t="n"/>
      <c r="B1768" s="31" t="n"/>
      <c r="C1768" s="33" t="n"/>
      <c r="D1768" s="33" t="n"/>
      <c r="E1768" s="33" t="n"/>
      <c r="F1768" s="33" t="n"/>
      <c r="G1768" s="33" t="n"/>
    </row>
    <row r="1769">
      <c r="A1769" s="37" t="n"/>
      <c r="B1769" s="31" t="n"/>
      <c r="C1769" s="33" t="n"/>
      <c r="D1769" s="33" t="n"/>
      <c r="E1769" s="33" t="n"/>
      <c r="F1769" s="33" t="n"/>
      <c r="G1769" s="33" t="n"/>
    </row>
    <row r="1770">
      <c r="A1770" s="37" t="n"/>
      <c r="B1770" s="31" t="n"/>
      <c r="C1770" s="33" t="n"/>
      <c r="D1770" s="33" t="n"/>
      <c r="E1770" s="33" t="n"/>
      <c r="F1770" s="33" t="n"/>
      <c r="G1770" s="33" t="n"/>
    </row>
    <row r="1771">
      <c r="A1771" s="37" t="n"/>
      <c r="B1771" s="31" t="n"/>
      <c r="C1771" s="33" t="n"/>
      <c r="D1771" s="33" t="n"/>
      <c r="E1771" s="33" t="n"/>
      <c r="F1771" s="33" t="n"/>
      <c r="G1771" s="33" t="n"/>
    </row>
    <row r="1772">
      <c r="A1772" s="37" t="n"/>
      <c r="B1772" s="31" t="n"/>
      <c r="C1772" s="33" t="n"/>
      <c r="D1772" s="33" t="n"/>
      <c r="E1772" s="33" t="n"/>
      <c r="F1772" s="33" t="n"/>
      <c r="G1772" s="33" t="n"/>
    </row>
    <row r="1773">
      <c r="A1773" s="37" t="n"/>
      <c r="B1773" s="31" t="n"/>
      <c r="C1773" s="33" t="n"/>
      <c r="D1773" s="33" t="n"/>
      <c r="E1773" s="33" t="n"/>
      <c r="F1773" s="33" t="n"/>
      <c r="G1773" s="33" t="n"/>
    </row>
    <row r="1774">
      <c r="A1774" s="37" t="n"/>
      <c r="B1774" s="31" t="n"/>
      <c r="C1774" s="33" t="n"/>
      <c r="D1774" s="33" t="n"/>
      <c r="E1774" s="33" t="n"/>
      <c r="F1774" s="33" t="n"/>
      <c r="G1774" s="33" t="n"/>
    </row>
    <row r="1775">
      <c r="A1775" s="37" t="n"/>
      <c r="B1775" s="31" t="n"/>
      <c r="C1775" s="33" t="n"/>
      <c r="D1775" s="33" t="n"/>
      <c r="E1775" s="33" t="n"/>
      <c r="F1775" s="33" t="n"/>
      <c r="G1775" s="33" t="n"/>
    </row>
    <row r="1776">
      <c r="A1776" s="37" t="n"/>
      <c r="B1776" s="31" t="n"/>
      <c r="C1776" s="33" t="n"/>
      <c r="D1776" s="33" t="n"/>
      <c r="E1776" s="33" t="n"/>
      <c r="F1776" s="33" t="n"/>
      <c r="G1776" s="33" t="n"/>
    </row>
    <row r="1777">
      <c r="A1777" s="37" t="n"/>
      <c r="B1777" s="31" t="n"/>
      <c r="C1777" s="33" t="n"/>
      <c r="D1777" s="33" t="n"/>
      <c r="E1777" s="33" t="n"/>
      <c r="F1777" s="33" t="n"/>
      <c r="G1777" s="33" t="n"/>
    </row>
    <row r="1778">
      <c r="A1778" s="37" t="n"/>
      <c r="B1778" s="31" t="n"/>
      <c r="C1778" s="33" t="n"/>
      <c r="D1778" s="33" t="n"/>
      <c r="E1778" s="33" t="n"/>
      <c r="F1778" s="33" t="n"/>
      <c r="G1778" s="33" t="n"/>
    </row>
    <row r="1779">
      <c r="A1779" s="37" t="n"/>
      <c r="B1779" s="31" t="n"/>
      <c r="C1779" s="33" t="n"/>
      <c r="D1779" s="33" t="n"/>
      <c r="E1779" s="33" t="n"/>
      <c r="F1779" s="33" t="n"/>
      <c r="G1779" s="33" t="n"/>
    </row>
    <row r="1780">
      <c r="A1780" s="37" t="n"/>
      <c r="B1780" s="31" t="n"/>
      <c r="C1780" s="33" t="n"/>
      <c r="D1780" s="33" t="n"/>
      <c r="E1780" s="33" t="n"/>
      <c r="F1780" s="33" t="n"/>
      <c r="G1780" s="33" t="n"/>
    </row>
    <row r="1781">
      <c r="A1781" s="37" t="n"/>
      <c r="B1781" s="31" t="n"/>
      <c r="C1781" s="33" t="n"/>
      <c r="D1781" s="33" t="n"/>
      <c r="E1781" s="33" t="n"/>
      <c r="F1781" s="33" t="n"/>
      <c r="G1781" s="33" t="n"/>
    </row>
    <row r="1782">
      <c r="A1782" s="37" t="n"/>
      <c r="B1782" s="31" t="n"/>
      <c r="C1782" s="33" t="n"/>
      <c r="D1782" s="33" t="n"/>
      <c r="E1782" s="33" t="n"/>
      <c r="F1782" s="33" t="n"/>
      <c r="G1782" s="33" t="n"/>
    </row>
    <row r="1783">
      <c r="A1783" s="37" t="n"/>
      <c r="B1783" s="31" t="n"/>
      <c r="C1783" s="33" t="n"/>
      <c r="D1783" s="33" t="n"/>
      <c r="E1783" s="33" t="n"/>
      <c r="F1783" s="33" t="n"/>
      <c r="G1783" s="33" t="n"/>
    </row>
    <row r="1784">
      <c r="A1784" s="37" t="n"/>
      <c r="B1784" s="31" t="n"/>
      <c r="C1784" s="33" t="n"/>
      <c r="D1784" s="33" t="n"/>
      <c r="E1784" s="33" t="n"/>
      <c r="F1784" s="33" t="n"/>
      <c r="G1784" s="33" t="n"/>
    </row>
    <row r="1785">
      <c r="A1785" s="37" t="n"/>
      <c r="B1785" s="31" t="n"/>
      <c r="C1785" s="33" t="n"/>
      <c r="D1785" s="33" t="n"/>
      <c r="E1785" s="33" t="n"/>
      <c r="F1785" s="33" t="n"/>
      <c r="G1785" s="33" t="n"/>
    </row>
    <row r="1786">
      <c r="A1786" s="37" t="n"/>
      <c r="B1786" s="31" t="n"/>
      <c r="C1786" s="33" t="n"/>
      <c r="D1786" s="33" t="n"/>
      <c r="E1786" s="33" t="n"/>
      <c r="F1786" s="33" t="n"/>
      <c r="G1786" s="33" t="n"/>
    </row>
    <row r="1787">
      <c r="A1787" s="37" t="n"/>
      <c r="B1787" s="31" t="n"/>
      <c r="C1787" s="33" t="n"/>
      <c r="D1787" s="33" t="n"/>
      <c r="E1787" s="33" t="n"/>
      <c r="F1787" s="33" t="n"/>
      <c r="G1787" s="33" t="n"/>
    </row>
    <row r="1788">
      <c r="A1788" s="37" t="n"/>
      <c r="B1788" s="31" t="n"/>
      <c r="C1788" s="33" t="n"/>
      <c r="D1788" s="33" t="n"/>
      <c r="E1788" s="33" t="n"/>
      <c r="F1788" s="33" t="n"/>
      <c r="G1788" s="33" t="n"/>
    </row>
    <row r="1789">
      <c r="A1789" s="37" t="n"/>
      <c r="B1789" s="31" t="n"/>
      <c r="C1789" s="33" t="n"/>
      <c r="D1789" s="33" t="n"/>
      <c r="E1789" s="33" t="n"/>
      <c r="F1789" s="33" t="n"/>
      <c r="G1789" s="33" t="n"/>
    </row>
    <row r="1790">
      <c r="A1790" s="37" t="n"/>
      <c r="B1790" s="31" t="n"/>
      <c r="C1790" s="33" t="n"/>
      <c r="D1790" s="33" t="n"/>
      <c r="E1790" s="33" t="n"/>
      <c r="F1790" s="33" t="n"/>
      <c r="G1790" s="33" t="n"/>
    </row>
    <row r="1791">
      <c r="A1791" s="37" t="n"/>
      <c r="B1791" s="31" t="n"/>
      <c r="C1791" s="33" t="n"/>
      <c r="D1791" s="33" t="n"/>
      <c r="E1791" s="33" t="n"/>
      <c r="F1791" s="33" t="n"/>
      <c r="G1791" s="33" t="n"/>
    </row>
    <row r="1792">
      <c r="A1792" s="37" t="n"/>
      <c r="B1792" s="31" t="n"/>
      <c r="C1792" s="33" t="n"/>
      <c r="D1792" s="33" t="n"/>
      <c r="E1792" s="33" t="n"/>
      <c r="F1792" s="33" t="n"/>
      <c r="G1792" s="33" t="n"/>
    </row>
    <row r="1793">
      <c r="A1793" s="37" t="n"/>
      <c r="B1793" s="31" t="n"/>
      <c r="C1793" s="33" t="n"/>
      <c r="D1793" s="33" t="n"/>
      <c r="E1793" s="33" t="n"/>
      <c r="F1793" s="33" t="n"/>
      <c r="G1793" s="33" t="n"/>
    </row>
    <row r="1794">
      <c r="A1794" s="37" t="n"/>
      <c r="B1794" s="31" t="n"/>
      <c r="C1794" s="33" t="n"/>
      <c r="D1794" s="33" t="n"/>
      <c r="E1794" s="33" t="n"/>
      <c r="F1794" s="33" t="n"/>
      <c r="G1794" s="33" t="n"/>
    </row>
    <row r="1795">
      <c r="A1795" s="37" t="n"/>
      <c r="B1795" s="31" t="n"/>
      <c r="C1795" s="33" t="n"/>
      <c r="D1795" s="33" t="n"/>
      <c r="E1795" s="33" t="n"/>
      <c r="F1795" s="33" t="n"/>
      <c r="G1795" s="33" t="n"/>
    </row>
    <row r="1796">
      <c r="A1796" s="37" t="n"/>
      <c r="B1796" s="31" t="n"/>
      <c r="C1796" s="33" t="n"/>
      <c r="D1796" s="33" t="n"/>
      <c r="E1796" s="33" t="n"/>
      <c r="F1796" s="33" t="n"/>
      <c r="G1796" s="33" t="n"/>
    </row>
    <row r="1797">
      <c r="A1797" s="37" t="n"/>
      <c r="B1797" s="31" t="n"/>
      <c r="C1797" s="33" t="n"/>
      <c r="D1797" s="33" t="n"/>
      <c r="E1797" s="33" t="n"/>
      <c r="F1797" s="33" t="n"/>
      <c r="G1797" s="33" t="n"/>
    </row>
    <row r="1798">
      <c r="A1798" s="37" t="n"/>
      <c r="B1798" s="31" t="n"/>
      <c r="C1798" s="33" t="n"/>
      <c r="D1798" s="33" t="n"/>
      <c r="E1798" s="33" t="n"/>
      <c r="F1798" s="33" t="n"/>
      <c r="G1798" s="33" t="n"/>
    </row>
    <row r="1799">
      <c r="A1799" s="37" t="n"/>
      <c r="B1799" s="31" t="n"/>
      <c r="C1799" s="33" t="n"/>
      <c r="D1799" s="33" t="n"/>
      <c r="E1799" s="33" t="n"/>
      <c r="F1799" s="33" t="n"/>
      <c r="G1799" s="33" t="n"/>
    </row>
    <row r="1800">
      <c r="A1800" s="37" t="n"/>
      <c r="B1800" s="31" t="n"/>
      <c r="C1800" s="33" t="n"/>
      <c r="D1800" s="33" t="n"/>
      <c r="E1800" s="33" t="n"/>
      <c r="F1800" s="33" t="n"/>
      <c r="G1800" s="33" t="n"/>
    </row>
    <row r="1801">
      <c r="A1801" s="37" t="n"/>
      <c r="B1801" s="31" t="n"/>
      <c r="C1801" s="33" t="n"/>
      <c r="D1801" s="33" t="n"/>
      <c r="E1801" s="33" t="n"/>
      <c r="F1801" s="33" t="n"/>
      <c r="G1801" s="33" t="n"/>
    </row>
    <row r="1802">
      <c r="A1802" s="37" t="n"/>
      <c r="B1802" s="31" t="n"/>
      <c r="C1802" s="33" t="n"/>
      <c r="D1802" s="33" t="n"/>
      <c r="E1802" s="33" t="n"/>
      <c r="F1802" s="33" t="n"/>
      <c r="G1802" s="33" t="n"/>
    </row>
    <row r="1803">
      <c r="A1803" s="37" t="n"/>
      <c r="B1803" s="31" t="n"/>
      <c r="C1803" s="33" t="n"/>
      <c r="D1803" s="33" t="n"/>
      <c r="E1803" s="33" t="n"/>
      <c r="F1803" s="33" t="n"/>
      <c r="G1803" s="33" t="n"/>
    </row>
    <row r="1804">
      <c r="A1804" s="37" t="n"/>
      <c r="B1804" s="31" t="n"/>
      <c r="C1804" s="33" t="n"/>
      <c r="D1804" s="33" t="n"/>
      <c r="E1804" s="33" t="n"/>
      <c r="F1804" s="33" t="n"/>
      <c r="G1804" s="33" t="n"/>
    </row>
    <row r="1805">
      <c r="A1805" s="37" t="n"/>
      <c r="B1805" s="31" t="n"/>
      <c r="C1805" s="33" t="n"/>
      <c r="D1805" s="33" t="n"/>
      <c r="E1805" s="33" t="n"/>
      <c r="F1805" s="33" t="n"/>
      <c r="G1805" s="33" t="n"/>
    </row>
    <row r="1806">
      <c r="A1806" s="37" t="n"/>
      <c r="B1806" s="31" t="n"/>
      <c r="C1806" s="33" t="n"/>
      <c r="D1806" s="33" t="n"/>
      <c r="E1806" s="33" t="n"/>
      <c r="F1806" s="33" t="n"/>
      <c r="G1806" s="33" t="n"/>
    </row>
    <row r="1807">
      <c r="A1807" s="37" t="n"/>
      <c r="B1807" s="31" t="n"/>
      <c r="C1807" s="33" t="n"/>
      <c r="D1807" s="33" t="n"/>
      <c r="E1807" s="33" t="n"/>
      <c r="F1807" s="33" t="n"/>
      <c r="G1807" s="33" t="n"/>
    </row>
    <row r="1808">
      <c r="A1808" s="37" t="n"/>
      <c r="B1808" s="31" t="n"/>
      <c r="C1808" s="33" t="n"/>
      <c r="D1808" s="33" t="n"/>
      <c r="E1808" s="33" t="n"/>
      <c r="F1808" s="33" t="n"/>
      <c r="G1808" s="33" t="n"/>
    </row>
    <row r="1809">
      <c r="A1809" s="37" t="n"/>
      <c r="B1809" s="31" t="n"/>
      <c r="C1809" s="33" t="n"/>
      <c r="D1809" s="33" t="n"/>
      <c r="E1809" s="33" t="n"/>
      <c r="F1809" s="33" t="n"/>
      <c r="G1809" s="33" t="n"/>
    </row>
    <row r="1810">
      <c r="A1810" s="37" t="n"/>
      <c r="B1810" s="31" t="n"/>
      <c r="C1810" s="33" t="n"/>
      <c r="D1810" s="33" t="n"/>
      <c r="E1810" s="33" t="n"/>
      <c r="F1810" s="33" t="n"/>
      <c r="G1810" s="33" t="n"/>
    </row>
    <row r="1811">
      <c r="A1811" s="37" t="n"/>
      <c r="B1811" s="31" t="n"/>
      <c r="C1811" s="33" t="n"/>
      <c r="D1811" s="33" t="n"/>
      <c r="E1811" s="33" t="n"/>
      <c r="F1811" s="33" t="n"/>
      <c r="G1811" s="33" t="n"/>
    </row>
    <row r="1812">
      <c r="A1812" s="37" t="n"/>
      <c r="B1812" s="31" t="n"/>
      <c r="C1812" s="33" t="n"/>
      <c r="D1812" s="33" t="n"/>
      <c r="E1812" s="33" t="n"/>
      <c r="F1812" s="33" t="n"/>
      <c r="G1812" s="33" t="n"/>
    </row>
    <row r="1813">
      <c r="A1813" s="37" t="n"/>
      <c r="B1813" s="31" t="n"/>
      <c r="C1813" s="33" t="n"/>
      <c r="D1813" s="33" t="n"/>
      <c r="E1813" s="33" t="n"/>
      <c r="F1813" s="33" t="n"/>
      <c r="G1813" s="33" t="n"/>
    </row>
    <row r="1814">
      <c r="A1814" s="37" t="n"/>
      <c r="B1814" s="31" t="n"/>
      <c r="C1814" s="33" t="n"/>
      <c r="D1814" s="33" t="n"/>
      <c r="E1814" s="33" t="n"/>
      <c r="F1814" s="33" t="n"/>
      <c r="G1814" s="33" t="n"/>
    </row>
    <row r="1815">
      <c r="A1815" s="37" t="n"/>
      <c r="B1815" s="31" t="n"/>
      <c r="C1815" s="33" t="n"/>
      <c r="D1815" s="33" t="n"/>
      <c r="E1815" s="33" t="n"/>
      <c r="F1815" s="33" t="n"/>
      <c r="G1815" s="33" t="n"/>
    </row>
    <row r="1816">
      <c r="A1816" s="37" t="n"/>
      <c r="B1816" s="31" t="n"/>
      <c r="C1816" s="33" t="n"/>
      <c r="D1816" s="33" t="n"/>
      <c r="E1816" s="33" t="n"/>
      <c r="F1816" s="33" t="n"/>
      <c r="G1816" s="33" t="n"/>
    </row>
    <row r="1817">
      <c r="A1817" s="37" t="n"/>
      <c r="B1817" s="31" t="n"/>
      <c r="C1817" s="33" t="n"/>
      <c r="D1817" s="33" t="n"/>
      <c r="E1817" s="33" t="n"/>
      <c r="F1817" s="33" t="n"/>
      <c r="G1817" s="33" t="n"/>
    </row>
    <row r="1818">
      <c r="A1818" s="37" t="n"/>
      <c r="B1818" s="31" t="n"/>
      <c r="C1818" s="33" t="n"/>
      <c r="D1818" s="33" t="n"/>
      <c r="E1818" s="33" t="n"/>
      <c r="F1818" s="33" t="n"/>
      <c r="G1818" s="33" t="n"/>
    </row>
    <row r="1819">
      <c r="A1819" s="37" t="n"/>
      <c r="B1819" s="31" t="n"/>
      <c r="C1819" s="33" t="n"/>
      <c r="D1819" s="33" t="n"/>
      <c r="E1819" s="33" t="n"/>
      <c r="F1819" s="33" t="n"/>
      <c r="G1819" s="33" t="n"/>
    </row>
    <row r="1820">
      <c r="A1820" s="37" t="n"/>
      <c r="B1820" s="31" t="n"/>
      <c r="C1820" s="33" t="n"/>
      <c r="D1820" s="33" t="n"/>
      <c r="E1820" s="33" t="n"/>
      <c r="F1820" s="33" t="n"/>
      <c r="G1820" s="33" t="n"/>
    </row>
    <row r="1821">
      <c r="A1821" s="37" t="n"/>
      <c r="B1821" s="31" t="n"/>
      <c r="C1821" s="33" t="n"/>
      <c r="D1821" s="33" t="n"/>
      <c r="E1821" s="33" t="n"/>
      <c r="F1821" s="33" t="n"/>
      <c r="G1821" s="33" t="n"/>
    </row>
    <row r="1822">
      <c r="A1822" s="37" t="n"/>
      <c r="B1822" s="31" t="n"/>
      <c r="C1822" s="33" t="n"/>
      <c r="D1822" s="33" t="n"/>
      <c r="E1822" s="33" t="n"/>
      <c r="F1822" s="33" t="n"/>
      <c r="G1822" s="33" t="n"/>
    </row>
    <row r="1823">
      <c r="A1823" s="37" t="n"/>
      <c r="B1823" s="31" t="n"/>
      <c r="C1823" s="33" t="n"/>
      <c r="D1823" s="33" t="n"/>
      <c r="E1823" s="33" t="n"/>
      <c r="F1823" s="33" t="n"/>
      <c r="G1823" s="33" t="n"/>
    </row>
    <row r="1824">
      <c r="A1824" s="37" t="n"/>
      <c r="B1824" s="31" t="n"/>
      <c r="C1824" s="33" t="n"/>
      <c r="D1824" s="33" t="n"/>
      <c r="E1824" s="33" t="n"/>
      <c r="F1824" s="33" t="n"/>
      <c r="G1824" s="33" t="n"/>
    </row>
    <row r="1825">
      <c r="A1825" s="37" t="n"/>
      <c r="B1825" s="31" t="n"/>
      <c r="C1825" s="33" t="n"/>
      <c r="D1825" s="33" t="n"/>
      <c r="E1825" s="33" t="n"/>
      <c r="F1825" s="33" t="n"/>
      <c r="G1825" s="33" t="n"/>
    </row>
    <row r="1826">
      <c r="A1826" s="37" t="n"/>
      <c r="B1826" s="31" t="n"/>
      <c r="C1826" s="33" t="n"/>
      <c r="D1826" s="33" t="n"/>
      <c r="E1826" s="33" t="n"/>
      <c r="F1826" s="33" t="n"/>
      <c r="G1826" s="33" t="n"/>
    </row>
    <row r="1827">
      <c r="A1827" s="37" t="n"/>
      <c r="B1827" s="31" t="n"/>
      <c r="C1827" s="33" t="n"/>
      <c r="D1827" s="33" t="n"/>
      <c r="E1827" s="33" t="n"/>
      <c r="F1827" s="33" t="n"/>
      <c r="G1827" s="33" t="n"/>
    </row>
    <row r="1828">
      <c r="A1828" s="37" t="n"/>
      <c r="B1828" s="31" t="n"/>
      <c r="C1828" s="33" t="n"/>
      <c r="D1828" s="33" t="n"/>
      <c r="E1828" s="33" t="n"/>
      <c r="F1828" s="33" t="n"/>
      <c r="G1828" s="33" t="n"/>
    </row>
    <row r="1829">
      <c r="A1829" s="37" t="n"/>
      <c r="B1829" s="31" t="n"/>
      <c r="C1829" s="33" t="n"/>
      <c r="D1829" s="33" t="n"/>
      <c r="E1829" s="33" t="n"/>
      <c r="F1829" s="33" t="n"/>
      <c r="G1829" s="33" t="n"/>
    </row>
    <row r="1830">
      <c r="A1830" s="37" t="n"/>
      <c r="B1830" s="31" t="n"/>
      <c r="C1830" s="33" t="n"/>
      <c r="D1830" s="33" t="n"/>
      <c r="E1830" s="33" t="n"/>
      <c r="F1830" s="33" t="n"/>
      <c r="G1830" s="33" t="n"/>
    </row>
    <row r="1831">
      <c r="A1831" s="37" t="n"/>
      <c r="B1831" s="31" t="n"/>
      <c r="C1831" s="33" t="n"/>
      <c r="D1831" s="33" t="n"/>
      <c r="E1831" s="33" t="n"/>
      <c r="F1831" s="33" t="n"/>
      <c r="G1831" s="33" t="n"/>
    </row>
    <row r="1832">
      <c r="A1832" s="37" t="n"/>
      <c r="B1832" s="31" t="n"/>
      <c r="C1832" s="33" t="n"/>
      <c r="D1832" s="33" t="n"/>
      <c r="E1832" s="33" t="n"/>
      <c r="F1832" s="33" t="n"/>
      <c r="G1832" s="33" t="n"/>
    </row>
    <row r="1833">
      <c r="A1833" s="37" t="n"/>
      <c r="B1833" s="31" t="n"/>
      <c r="C1833" s="33" t="n"/>
      <c r="D1833" s="33" t="n"/>
      <c r="E1833" s="33" t="n"/>
      <c r="F1833" s="33" t="n"/>
      <c r="G1833" s="33" t="n"/>
    </row>
    <row r="1834">
      <c r="A1834" s="37" t="n"/>
      <c r="B1834" s="31" t="n"/>
      <c r="C1834" s="33" t="n"/>
      <c r="D1834" s="33" t="n"/>
      <c r="E1834" s="33" t="n"/>
      <c r="F1834" s="33" t="n"/>
      <c r="G1834" s="33" t="n"/>
    </row>
    <row r="1835">
      <c r="A1835" s="37" t="n"/>
      <c r="B1835" s="31" t="n"/>
      <c r="C1835" s="33" t="n"/>
      <c r="D1835" s="33" t="n"/>
      <c r="E1835" s="33" t="n"/>
      <c r="F1835" s="33" t="n"/>
      <c r="G1835" s="33" t="n"/>
    </row>
    <row r="1836">
      <c r="A1836" s="37" t="n"/>
      <c r="B1836" s="31" t="n"/>
      <c r="C1836" s="33" t="n"/>
      <c r="D1836" s="33" t="n"/>
      <c r="E1836" s="33" t="n"/>
      <c r="F1836" s="33" t="n"/>
      <c r="G1836" s="33" t="n"/>
    </row>
    <row r="1837">
      <c r="A1837" s="37" t="n"/>
      <c r="B1837" s="31" t="n"/>
      <c r="C1837" s="33" t="n"/>
      <c r="D1837" s="33" t="n"/>
      <c r="E1837" s="33" t="n"/>
      <c r="F1837" s="33" t="n"/>
      <c r="G1837" s="33" t="n"/>
    </row>
    <row r="1838">
      <c r="A1838" s="37" t="n"/>
      <c r="B1838" s="31" t="n"/>
      <c r="C1838" s="33" t="n"/>
      <c r="D1838" s="33" t="n"/>
      <c r="E1838" s="33" t="n"/>
      <c r="F1838" s="33" t="n"/>
      <c r="G1838" s="33" t="n"/>
    </row>
    <row r="1839">
      <c r="A1839" s="37" t="n"/>
      <c r="B1839" s="31" t="n"/>
      <c r="C1839" s="33" t="n"/>
      <c r="D1839" s="33" t="n"/>
      <c r="E1839" s="33" t="n"/>
      <c r="F1839" s="33" t="n"/>
      <c r="G1839" s="33" t="n"/>
    </row>
    <row r="1840">
      <c r="A1840" s="37" t="n"/>
      <c r="B1840" s="31" t="n"/>
      <c r="C1840" s="33" t="n"/>
      <c r="D1840" s="33" t="n"/>
      <c r="E1840" s="33" t="n"/>
      <c r="F1840" s="33" t="n"/>
      <c r="G1840" s="33" t="n"/>
    </row>
    <row r="1841">
      <c r="A1841" s="37" t="n"/>
      <c r="B1841" s="31" t="n"/>
      <c r="C1841" s="33" t="n"/>
      <c r="D1841" s="33" t="n"/>
      <c r="E1841" s="33" t="n"/>
      <c r="F1841" s="33" t="n"/>
      <c r="G1841" s="33" t="n"/>
    </row>
    <row r="1842">
      <c r="A1842" s="37" t="n"/>
      <c r="B1842" s="31" t="n"/>
      <c r="C1842" s="33" t="n"/>
      <c r="D1842" s="33" t="n"/>
      <c r="E1842" s="33" t="n"/>
      <c r="F1842" s="33" t="n"/>
      <c r="G1842" s="33" t="n"/>
    </row>
    <row r="1843">
      <c r="A1843" s="37" t="n"/>
      <c r="B1843" s="31" t="n"/>
      <c r="C1843" s="33" t="n"/>
      <c r="D1843" s="33" t="n"/>
      <c r="E1843" s="33" t="n"/>
      <c r="F1843" s="33" t="n"/>
      <c r="G1843" s="33" t="n"/>
    </row>
    <row r="1844">
      <c r="A1844" s="37" t="n"/>
      <c r="B1844" s="31" t="n"/>
      <c r="C1844" s="33" t="n"/>
      <c r="D1844" s="33" t="n"/>
      <c r="E1844" s="33" t="n"/>
      <c r="F1844" s="33" t="n"/>
      <c r="G1844" s="33" t="n"/>
    </row>
    <row r="1845">
      <c r="A1845" s="37" t="n"/>
      <c r="B1845" s="31" t="n"/>
      <c r="C1845" s="33" t="n"/>
      <c r="D1845" s="33" t="n"/>
      <c r="E1845" s="33" t="n"/>
      <c r="F1845" s="33" t="n"/>
      <c r="G1845" s="33" t="n"/>
    </row>
    <row r="1846">
      <c r="A1846" s="37" t="n"/>
      <c r="B1846" s="31" t="n"/>
      <c r="C1846" s="33" t="n"/>
      <c r="D1846" s="33" t="n"/>
      <c r="E1846" s="33" t="n"/>
      <c r="F1846" s="33" t="n"/>
      <c r="G1846" s="33" t="n"/>
    </row>
    <row r="1847">
      <c r="A1847" s="37" t="n"/>
      <c r="B1847" s="31" t="n"/>
      <c r="C1847" s="33" t="n"/>
      <c r="D1847" s="33" t="n"/>
      <c r="E1847" s="33" t="n"/>
      <c r="F1847" s="33" t="n"/>
      <c r="G1847" s="33" t="n"/>
    </row>
    <row r="1848">
      <c r="A1848" s="37" t="n"/>
      <c r="B1848" s="31" t="n"/>
      <c r="C1848" s="33" t="n"/>
      <c r="D1848" s="33" t="n"/>
      <c r="E1848" s="33" t="n"/>
      <c r="F1848" s="33" t="n"/>
      <c r="G1848" s="33" t="n"/>
    </row>
    <row r="1849">
      <c r="A1849" s="37" t="n"/>
      <c r="B1849" s="31" t="n"/>
      <c r="C1849" s="33" t="n"/>
      <c r="D1849" s="33" t="n"/>
      <c r="E1849" s="33" t="n"/>
      <c r="F1849" s="33" t="n"/>
      <c r="G1849" s="33" t="n"/>
    </row>
    <row r="1850">
      <c r="A1850" s="37" t="n"/>
      <c r="B1850" s="31" t="n"/>
      <c r="C1850" s="33" t="n"/>
      <c r="D1850" s="33" t="n"/>
      <c r="E1850" s="33" t="n"/>
      <c r="F1850" s="33" t="n"/>
      <c r="G1850" s="33" t="n"/>
    </row>
    <row r="1851">
      <c r="A1851" s="37" t="n"/>
      <c r="B1851" s="31" t="n"/>
      <c r="C1851" s="33" t="n"/>
      <c r="D1851" s="33" t="n"/>
      <c r="E1851" s="33" t="n"/>
      <c r="F1851" s="33" t="n"/>
      <c r="G1851" s="33" t="n"/>
    </row>
    <row r="1852">
      <c r="A1852" s="37" t="n"/>
      <c r="B1852" s="31" t="n"/>
      <c r="C1852" s="33" t="n"/>
      <c r="D1852" s="33" t="n"/>
      <c r="E1852" s="33" t="n"/>
      <c r="F1852" s="33" t="n"/>
      <c r="G1852" s="33" t="n"/>
    </row>
    <row r="1853">
      <c r="A1853" s="37" t="n"/>
      <c r="B1853" s="31" t="n"/>
      <c r="C1853" s="33" t="n"/>
      <c r="D1853" s="33" t="n"/>
      <c r="E1853" s="33" t="n"/>
      <c r="F1853" s="33" t="n"/>
      <c r="G1853" s="33" t="n"/>
    </row>
    <row r="1854">
      <c r="A1854" s="37" t="n"/>
      <c r="B1854" s="31" t="n"/>
      <c r="C1854" s="33" t="n"/>
      <c r="D1854" s="33" t="n"/>
      <c r="E1854" s="33" t="n"/>
      <c r="F1854" s="33" t="n"/>
      <c r="G1854" s="33" t="n"/>
    </row>
    <row r="1855">
      <c r="A1855" s="37" t="n"/>
      <c r="B1855" s="31" t="n"/>
      <c r="C1855" s="33" t="n"/>
      <c r="D1855" s="33" t="n"/>
      <c r="E1855" s="33" t="n"/>
      <c r="F1855" s="33" t="n"/>
      <c r="G1855" s="33" t="n"/>
    </row>
    <row r="1856">
      <c r="A1856" s="37" t="n"/>
      <c r="B1856" s="31" t="n"/>
      <c r="C1856" s="33" t="n"/>
      <c r="D1856" s="33" t="n"/>
      <c r="E1856" s="33" t="n"/>
      <c r="F1856" s="33" t="n"/>
      <c r="G1856" s="33" t="n"/>
    </row>
    <row r="1857">
      <c r="A1857" s="37" t="n"/>
      <c r="B1857" s="31" t="n"/>
      <c r="C1857" s="33" t="n"/>
      <c r="D1857" s="33" t="n"/>
      <c r="E1857" s="33" t="n"/>
      <c r="F1857" s="33" t="n"/>
      <c r="G1857" s="33" t="n"/>
    </row>
    <row r="1858">
      <c r="A1858" s="37" t="n"/>
      <c r="B1858" s="31" t="n"/>
      <c r="C1858" s="33" t="n"/>
      <c r="D1858" s="33" t="n"/>
      <c r="E1858" s="33" t="n"/>
      <c r="F1858" s="33" t="n"/>
      <c r="G1858" s="33" t="n"/>
    </row>
    <row r="1859">
      <c r="A1859" s="37" t="n"/>
      <c r="B1859" s="31" t="n"/>
      <c r="C1859" s="33" t="n"/>
      <c r="D1859" s="33" t="n"/>
      <c r="E1859" s="33" t="n"/>
      <c r="F1859" s="33" t="n"/>
      <c r="G1859" s="33" t="n"/>
    </row>
    <row r="1860">
      <c r="A1860" s="37" t="n"/>
      <c r="B1860" s="31" t="n"/>
      <c r="C1860" s="33" t="n"/>
      <c r="D1860" s="33" t="n"/>
      <c r="E1860" s="33" t="n"/>
      <c r="F1860" s="33" t="n"/>
      <c r="G1860" s="33" t="n"/>
    </row>
    <row r="1861">
      <c r="A1861" s="37" t="n"/>
      <c r="B1861" s="31" t="n"/>
      <c r="C1861" s="33" t="n"/>
      <c r="D1861" s="33" t="n"/>
      <c r="E1861" s="33" t="n"/>
      <c r="F1861" s="33" t="n"/>
      <c r="G1861" s="33" t="n"/>
    </row>
    <row r="1862">
      <c r="A1862" s="37" t="n"/>
      <c r="B1862" s="31" t="n"/>
      <c r="C1862" s="33" t="n"/>
      <c r="D1862" s="33" t="n"/>
      <c r="E1862" s="33" t="n"/>
      <c r="F1862" s="33" t="n"/>
      <c r="G1862" s="33" t="n"/>
    </row>
    <row r="1863">
      <c r="A1863" s="37" t="n"/>
      <c r="B1863" s="31" t="n"/>
      <c r="C1863" s="33" t="n"/>
      <c r="D1863" s="33" t="n"/>
      <c r="E1863" s="33" t="n"/>
      <c r="F1863" s="33" t="n"/>
      <c r="G1863" s="33" t="n"/>
    </row>
    <row r="1864">
      <c r="A1864" s="37" t="n"/>
      <c r="B1864" s="31" t="n"/>
      <c r="C1864" s="33" t="n"/>
      <c r="D1864" s="33" t="n"/>
      <c r="E1864" s="33" t="n"/>
      <c r="F1864" s="33" t="n"/>
      <c r="G1864" s="33" t="n"/>
    </row>
    <row r="1865">
      <c r="A1865" s="37" t="n"/>
      <c r="B1865" s="31" t="n"/>
      <c r="C1865" s="33" t="n"/>
      <c r="D1865" s="33" t="n"/>
      <c r="E1865" s="33" t="n"/>
      <c r="F1865" s="33" t="n"/>
      <c r="G1865" s="33" t="n"/>
    </row>
    <row r="1866">
      <c r="A1866" s="37" t="n"/>
      <c r="B1866" s="31" t="n"/>
      <c r="C1866" s="33" t="n"/>
      <c r="D1866" s="33" t="n"/>
      <c r="E1866" s="33" t="n"/>
      <c r="F1866" s="33" t="n"/>
      <c r="G1866" s="33" t="n"/>
    </row>
    <row r="1867">
      <c r="A1867" s="37" t="n"/>
      <c r="B1867" s="31" t="n"/>
      <c r="C1867" s="33" t="n"/>
      <c r="D1867" s="33" t="n"/>
      <c r="E1867" s="33" t="n"/>
      <c r="F1867" s="33" t="n"/>
      <c r="G1867" s="33" t="n"/>
    </row>
    <row r="1868">
      <c r="A1868" s="37" t="n"/>
      <c r="B1868" s="31" t="n"/>
      <c r="C1868" s="33" t="n"/>
      <c r="D1868" s="33" t="n"/>
      <c r="E1868" s="33" t="n"/>
      <c r="F1868" s="33" t="n"/>
      <c r="G1868" s="33" t="n"/>
    </row>
    <row r="1869">
      <c r="A1869" s="37" t="n"/>
      <c r="B1869" s="31" t="n"/>
      <c r="C1869" s="33" t="n"/>
      <c r="D1869" s="33" t="n"/>
      <c r="E1869" s="33" t="n"/>
      <c r="F1869" s="33" t="n"/>
      <c r="G1869" s="33" t="n"/>
    </row>
    <row r="1870">
      <c r="A1870" s="37" t="n"/>
      <c r="B1870" s="31" t="n"/>
      <c r="C1870" s="33" t="n"/>
      <c r="D1870" s="33" t="n"/>
      <c r="E1870" s="33" t="n"/>
      <c r="F1870" s="33" t="n"/>
      <c r="G1870" s="33" t="n"/>
    </row>
    <row r="1871">
      <c r="A1871" s="37" t="n"/>
      <c r="B1871" s="31" t="n"/>
      <c r="C1871" s="33" t="n"/>
      <c r="D1871" s="33" t="n"/>
      <c r="E1871" s="33" t="n"/>
      <c r="F1871" s="33" t="n"/>
      <c r="G1871" s="33" t="n"/>
    </row>
    <row r="1872">
      <c r="A1872" s="37" t="n"/>
      <c r="B1872" s="31" t="n"/>
      <c r="C1872" s="33" t="n"/>
      <c r="D1872" s="33" t="n"/>
      <c r="E1872" s="33" t="n"/>
      <c r="F1872" s="33" t="n"/>
      <c r="G1872" s="33" t="n"/>
    </row>
    <row r="1873">
      <c r="A1873" s="37" t="n"/>
      <c r="B1873" s="31" t="n"/>
      <c r="C1873" s="33" t="n"/>
      <c r="D1873" s="33" t="n"/>
      <c r="E1873" s="33" t="n"/>
      <c r="F1873" s="33" t="n"/>
      <c r="G1873" s="33" t="n"/>
    </row>
    <row r="1874">
      <c r="A1874" s="37" t="n"/>
      <c r="B1874" s="31" t="n"/>
      <c r="C1874" s="33" t="n"/>
      <c r="D1874" s="33" t="n"/>
      <c r="E1874" s="33" t="n"/>
      <c r="F1874" s="33" t="n"/>
      <c r="G1874" s="33" t="n"/>
    </row>
    <row r="1875">
      <c r="A1875" s="37" t="n"/>
      <c r="B1875" s="31" t="n"/>
      <c r="C1875" s="33" t="n"/>
      <c r="D1875" s="33" t="n"/>
      <c r="E1875" s="33" t="n"/>
      <c r="F1875" s="33" t="n"/>
      <c r="G1875" s="33" t="n"/>
    </row>
    <row r="1876">
      <c r="A1876" s="37" t="n"/>
      <c r="B1876" s="31" t="n"/>
      <c r="C1876" s="33" t="n"/>
      <c r="D1876" s="33" t="n"/>
      <c r="E1876" s="33" t="n"/>
      <c r="F1876" s="33" t="n"/>
      <c r="G1876" s="33" t="n"/>
    </row>
    <row r="1877">
      <c r="A1877" s="37" t="n"/>
      <c r="B1877" s="31" t="n"/>
      <c r="C1877" s="33" t="n"/>
      <c r="D1877" s="33" t="n"/>
      <c r="E1877" s="33" t="n"/>
      <c r="F1877" s="33" t="n"/>
      <c r="G1877" s="33" t="n"/>
    </row>
    <row r="1878">
      <c r="A1878" s="37" t="n"/>
      <c r="B1878" s="31" t="n"/>
      <c r="C1878" s="33" t="n"/>
      <c r="D1878" s="33" t="n"/>
      <c r="E1878" s="33" t="n"/>
      <c r="F1878" s="33" t="n"/>
      <c r="G1878" s="33" t="n"/>
    </row>
    <row r="1879">
      <c r="A1879" s="37" t="n"/>
      <c r="B1879" s="31" t="n"/>
      <c r="C1879" s="33" t="n"/>
      <c r="D1879" s="33" t="n"/>
      <c r="E1879" s="33" t="n"/>
      <c r="F1879" s="33" t="n"/>
      <c r="G1879" s="33" t="n"/>
    </row>
    <row r="1880">
      <c r="A1880" s="37" t="n"/>
      <c r="B1880" s="31" t="n"/>
      <c r="C1880" s="33" t="n"/>
      <c r="D1880" s="33" t="n"/>
      <c r="E1880" s="33" t="n"/>
      <c r="F1880" s="33" t="n"/>
      <c r="G1880" s="33" t="n"/>
    </row>
    <row r="1881">
      <c r="A1881" s="37" t="n"/>
      <c r="B1881" s="31" t="n"/>
      <c r="C1881" s="33" t="n"/>
      <c r="D1881" s="33" t="n"/>
      <c r="E1881" s="33" t="n"/>
      <c r="F1881" s="33" t="n"/>
      <c r="G1881" s="33" t="n"/>
    </row>
    <row r="1882">
      <c r="A1882" s="37" t="n"/>
      <c r="B1882" s="31" t="n"/>
      <c r="C1882" s="33" t="n"/>
      <c r="D1882" s="33" t="n"/>
      <c r="E1882" s="33" t="n"/>
      <c r="F1882" s="33" t="n"/>
      <c r="G1882" s="33" t="n"/>
    </row>
    <row r="1883">
      <c r="A1883" s="37" t="n"/>
      <c r="B1883" s="31" t="n"/>
      <c r="C1883" s="33" t="n"/>
      <c r="D1883" s="33" t="n"/>
      <c r="E1883" s="33" t="n"/>
      <c r="F1883" s="33" t="n"/>
      <c r="G1883" s="33" t="n"/>
    </row>
    <row r="1884">
      <c r="A1884" s="37" t="n"/>
      <c r="B1884" s="31" t="n"/>
      <c r="C1884" s="33" t="n"/>
      <c r="D1884" s="33" t="n"/>
      <c r="E1884" s="33" t="n"/>
      <c r="F1884" s="33" t="n"/>
      <c r="G1884" s="33" t="n"/>
    </row>
    <row r="1885">
      <c r="A1885" s="37" t="n"/>
      <c r="B1885" s="31" t="n"/>
      <c r="C1885" s="33" t="n"/>
      <c r="D1885" s="33" t="n"/>
      <c r="E1885" s="33" t="n"/>
      <c r="F1885" s="33" t="n"/>
      <c r="G1885" s="33" t="n"/>
    </row>
    <row r="1886">
      <c r="A1886" s="37" t="n"/>
      <c r="B1886" s="31" t="n"/>
      <c r="C1886" s="33" t="n"/>
      <c r="D1886" s="33" t="n"/>
      <c r="E1886" s="33" t="n"/>
      <c r="F1886" s="33" t="n"/>
      <c r="G1886" s="33" t="n"/>
    </row>
    <row r="1887">
      <c r="A1887" s="37" t="n"/>
      <c r="B1887" s="31" t="n"/>
      <c r="C1887" s="33" t="n"/>
      <c r="D1887" s="33" t="n"/>
      <c r="E1887" s="33" t="n"/>
      <c r="F1887" s="33" t="n"/>
      <c r="G1887" s="33" t="n"/>
    </row>
    <row r="1888">
      <c r="A1888" s="37" t="n"/>
      <c r="B1888" s="31" t="n"/>
      <c r="C1888" s="33" t="n"/>
      <c r="D1888" s="33" t="n"/>
      <c r="E1888" s="33" t="n"/>
      <c r="F1888" s="33" t="n"/>
      <c r="G1888" s="33" t="n"/>
    </row>
    <row r="1889">
      <c r="A1889" s="37" t="n"/>
      <c r="B1889" s="31" t="n"/>
      <c r="C1889" s="33" t="n"/>
      <c r="D1889" s="33" t="n"/>
      <c r="E1889" s="33" t="n"/>
      <c r="F1889" s="33" t="n"/>
      <c r="G1889" s="33" t="n"/>
    </row>
    <row r="1890">
      <c r="A1890" s="37" t="n"/>
      <c r="B1890" s="31" t="n"/>
      <c r="C1890" s="33" t="n"/>
      <c r="D1890" s="33" t="n"/>
      <c r="E1890" s="33" t="n"/>
      <c r="F1890" s="33" t="n"/>
      <c r="G1890" s="33" t="n"/>
    </row>
    <row r="1891">
      <c r="A1891" s="37" t="n"/>
      <c r="B1891" s="31" t="n"/>
      <c r="C1891" s="33" t="n"/>
      <c r="D1891" s="33" t="n"/>
      <c r="E1891" s="33" t="n"/>
      <c r="F1891" s="33" t="n"/>
      <c r="G1891" s="33" t="n"/>
    </row>
    <row r="1892">
      <c r="A1892" s="37" t="n"/>
      <c r="B1892" s="31" t="n"/>
      <c r="C1892" s="33" t="n"/>
      <c r="D1892" s="33" t="n"/>
      <c r="E1892" s="33" t="n"/>
      <c r="F1892" s="33" t="n"/>
      <c r="G1892" s="33" t="n"/>
    </row>
    <row r="1893">
      <c r="A1893" s="37" t="n"/>
      <c r="B1893" s="31" t="n"/>
      <c r="C1893" s="33" t="n"/>
      <c r="D1893" s="33" t="n"/>
      <c r="E1893" s="33" t="n"/>
      <c r="F1893" s="33" t="n"/>
      <c r="G1893" s="33" t="n"/>
    </row>
    <row r="1894">
      <c r="A1894" s="37" t="n"/>
      <c r="B1894" s="31" t="n"/>
      <c r="C1894" s="33" t="n"/>
      <c r="D1894" s="33" t="n"/>
      <c r="E1894" s="33" t="n"/>
      <c r="F1894" s="33" t="n"/>
      <c r="G1894" s="33" t="n"/>
    </row>
    <row r="1895">
      <c r="A1895" s="37" t="n"/>
      <c r="B1895" s="31" t="n"/>
      <c r="C1895" s="33" t="n"/>
      <c r="D1895" s="33" t="n"/>
      <c r="E1895" s="33" t="n"/>
      <c r="F1895" s="33" t="n"/>
      <c r="G1895" s="33" t="n"/>
    </row>
    <row r="1896">
      <c r="A1896" s="37" t="n"/>
      <c r="B1896" s="31" t="n"/>
      <c r="C1896" s="33" t="n"/>
      <c r="D1896" s="33" t="n"/>
      <c r="E1896" s="33" t="n"/>
      <c r="F1896" s="33" t="n"/>
      <c r="G1896" s="33" t="n"/>
    </row>
    <row r="1897">
      <c r="A1897" s="37" t="n"/>
      <c r="B1897" s="31" t="n"/>
      <c r="C1897" s="33" t="n"/>
      <c r="D1897" s="33" t="n"/>
      <c r="E1897" s="33" t="n"/>
      <c r="F1897" s="33" t="n"/>
      <c r="G1897" s="33" t="n"/>
    </row>
    <row r="1898">
      <c r="A1898" s="37" t="n"/>
      <c r="B1898" s="31" t="n"/>
      <c r="C1898" s="33" t="n"/>
      <c r="D1898" s="33" t="n"/>
      <c r="E1898" s="33" t="n"/>
      <c r="F1898" s="33" t="n"/>
      <c r="G1898" s="33" t="n"/>
    </row>
    <row r="1899">
      <c r="A1899" s="37" t="n"/>
      <c r="B1899" s="31" t="n"/>
      <c r="C1899" s="33" t="n"/>
      <c r="D1899" s="33" t="n"/>
      <c r="E1899" s="33" t="n"/>
      <c r="F1899" s="33" t="n"/>
      <c r="G1899" s="33" t="n"/>
    </row>
    <row r="1900">
      <c r="A1900" s="37" t="n"/>
      <c r="B1900" s="31" t="n"/>
      <c r="C1900" s="33" t="n"/>
      <c r="D1900" s="33" t="n"/>
      <c r="E1900" s="33" t="n"/>
      <c r="F1900" s="33" t="n"/>
      <c r="G1900" s="33" t="n"/>
    </row>
    <row r="1901">
      <c r="A1901" s="37" t="n"/>
      <c r="B1901" s="31" t="n"/>
      <c r="C1901" s="33" t="n"/>
      <c r="D1901" s="33" t="n"/>
      <c r="E1901" s="33" t="n"/>
      <c r="F1901" s="33" t="n"/>
      <c r="G1901" s="33" t="n"/>
    </row>
    <row r="1902">
      <c r="A1902" s="37" t="n"/>
      <c r="B1902" s="31" t="n"/>
      <c r="C1902" s="33" t="n"/>
      <c r="D1902" s="33" t="n"/>
      <c r="E1902" s="33" t="n"/>
      <c r="F1902" s="33" t="n"/>
      <c r="G1902" s="33" t="n"/>
    </row>
    <row r="1903">
      <c r="A1903" s="37" t="n"/>
      <c r="B1903" s="31" t="n"/>
      <c r="C1903" s="33" t="n"/>
      <c r="D1903" s="33" t="n"/>
      <c r="E1903" s="33" t="n"/>
      <c r="F1903" s="33" t="n"/>
      <c r="G1903" s="33" t="n"/>
    </row>
    <row r="1904">
      <c r="A1904" s="37" t="n"/>
      <c r="B1904" s="31" t="n"/>
      <c r="C1904" s="33" t="n"/>
      <c r="D1904" s="33" t="n"/>
      <c r="E1904" s="33" t="n"/>
      <c r="F1904" s="33" t="n"/>
      <c r="G1904" s="33" t="n"/>
    </row>
    <row r="1905">
      <c r="A1905" s="37" t="n"/>
      <c r="B1905" s="31" t="n"/>
      <c r="C1905" s="33" t="n"/>
      <c r="D1905" s="33" t="n"/>
      <c r="E1905" s="33" t="n"/>
      <c r="F1905" s="33" t="n"/>
      <c r="G1905" s="33" t="n"/>
    </row>
    <row r="1906">
      <c r="A1906" s="37" t="n"/>
      <c r="B1906" s="31" t="n"/>
      <c r="C1906" s="33" t="n"/>
      <c r="D1906" s="33" t="n"/>
      <c r="E1906" s="33" t="n"/>
      <c r="F1906" s="33" t="n"/>
      <c r="G1906" s="33" t="n"/>
    </row>
    <row r="1907">
      <c r="A1907" s="37" t="n"/>
      <c r="B1907" s="31" t="n"/>
      <c r="C1907" s="33" t="n"/>
      <c r="D1907" s="33" t="n"/>
      <c r="E1907" s="33" t="n"/>
      <c r="F1907" s="33" t="n"/>
      <c r="G1907" s="33" t="n"/>
    </row>
    <row r="1908">
      <c r="A1908" s="37" t="n"/>
      <c r="B1908" s="31" t="n"/>
      <c r="C1908" s="33" t="n"/>
      <c r="D1908" s="33" t="n"/>
      <c r="E1908" s="33" t="n"/>
      <c r="F1908" s="33" t="n"/>
      <c r="G1908" s="33" t="n"/>
    </row>
    <row r="1909">
      <c r="A1909" s="37" t="n"/>
      <c r="B1909" s="31" t="n"/>
      <c r="C1909" s="33" t="n"/>
      <c r="D1909" s="33" t="n"/>
      <c r="E1909" s="33" t="n"/>
      <c r="F1909" s="33" t="n"/>
      <c r="G1909" s="33" t="n"/>
    </row>
    <row r="1910">
      <c r="A1910" s="37" t="n"/>
      <c r="B1910" s="31" t="n"/>
      <c r="C1910" s="33" t="n"/>
      <c r="D1910" s="33" t="n"/>
      <c r="E1910" s="33" t="n"/>
      <c r="F1910" s="33" t="n"/>
      <c r="G1910" s="33" t="n"/>
    </row>
    <row r="1911">
      <c r="A1911" s="37" t="n"/>
      <c r="B1911" s="31" t="n"/>
      <c r="C1911" s="33" t="n"/>
      <c r="D1911" s="33" t="n"/>
      <c r="E1911" s="33" t="n"/>
      <c r="F1911" s="33" t="n"/>
      <c r="G1911" s="33" t="n"/>
    </row>
    <row r="1912">
      <c r="A1912" s="37" t="n"/>
      <c r="B1912" s="31" t="n"/>
      <c r="C1912" s="33" t="n"/>
      <c r="D1912" s="33" t="n"/>
      <c r="E1912" s="33" t="n"/>
      <c r="F1912" s="33" t="n"/>
      <c r="G1912" s="33" t="n"/>
    </row>
    <row r="1913">
      <c r="A1913" s="37" t="n"/>
      <c r="B1913" s="31" t="n"/>
      <c r="C1913" s="33" t="n"/>
      <c r="D1913" s="33" t="n"/>
      <c r="E1913" s="33" t="n"/>
      <c r="F1913" s="33" t="n"/>
      <c r="G1913" s="33" t="n"/>
    </row>
    <row r="1914">
      <c r="A1914" s="37" t="n"/>
      <c r="B1914" s="31" t="n"/>
      <c r="C1914" s="33" t="n"/>
      <c r="D1914" s="33" t="n"/>
      <c r="E1914" s="33" t="n"/>
      <c r="F1914" s="33" t="n"/>
      <c r="G1914" s="33" t="n"/>
    </row>
    <row r="1915">
      <c r="A1915" s="37" t="n"/>
      <c r="B1915" s="31" t="n"/>
      <c r="C1915" s="33" t="n"/>
      <c r="D1915" s="33" t="n"/>
      <c r="E1915" s="33" t="n"/>
      <c r="F1915" s="33" t="n"/>
      <c r="G1915" s="33" t="n"/>
    </row>
    <row r="1916">
      <c r="A1916" s="37" t="n"/>
      <c r="B1916" s="31" t="n"/>
      <c r="C1916" s="33" t="n"/>
      <c r="D1916" s="33" t="n"/>
      <c r="E1916" s="33" t="n"/>
      <c r="F1916" s="33" t="n"/>
      <c r="G1916" s="33" t="n"/>
    </row>
    <row r="1917">
      <c r="A1917" s="37" t="n"/>
      <c r="B1917" s="31" t="n"/>
      <c r="C1917" s="33" t="n"/>
      <c r="D1917" s="33" t="n"/>
      <c r="E1917" s="33" t="n"/>
      <c r="F1917" s="33" t="n"/>
      <c r="G1917" s="33" t="n"/>
    </row>
    <row r="1918">
      <c r="A1918" s="37" t="n"/>
      <c r="B1918" s="31" t="n"/>
      <c r="C1918" s="33" t="n"/>
      <c r="D1918" s="33" t="n"/>
      <c r="E1918" s="33" t="n"/>
      <c r="F1918" s="33" t="n"/>
      <c r="G1918" s="33" t="n"/>
    </row>
    <row r="1919">
      <c r="A1919" s="37" t="n"/>
      <c r="B1919" s="31" t="n"/>
      <c r="C1919" s="33" t="n"/>
      <c r="D1919" s="33" t="n"/>
      <c r="E1919" s="33" t="n"/>
      <c r="F1919" s="33" t="n"/>
      <c r="G1919" s="33" t="n"/>
    </row>
    <row r="1920">
      <c r="A1920" s="37" t="n"/>
      <c r="B1920" s="31" t="n"/>
      <c r="C1920" s="33" t="n"/>
      <c r="D1920" s="33" t="n"/>
      <c r="E1920" s="33" t="n"/>
      <c r="F1920" s="33" t="n"/>
      <c r="G1920" s="33" t="n"/>
    </row>
    <row r="1921">
      <c r="A1921" s="37" t="n"/>
      <c r="B1921" s="31" t="n"/>
      <c r="C1921" s="33" t="n"/>
      <c r="D1921" s="33" t="n"/>
      <c r="E1921" s="33" t="n"/>
      <c r="F1921" s="33" t="n"/>
      <c r="G1921" s="33" t="n"/>
    </row>
    <row r="1922">
      <c r="A1922" s="37" t="n"/>
      <c r="B1922" s="31" t="n"/>
      <c r="C1922" s="33" t="n"/>
      <c r="D1922" s="33" t="n"/>
      <c r="E1922" s="33" t="n"/>
      <c r="F1922" s="33" t="n"/>
      <c r="G1922" s="33" t="n"/>
    </row>
    <row r="1923">
      <c r="A1923" s="37" t="n"/>
      <c r="B1923" s="31" t="n"/>
      <c r="C1923" s="33" t="n"/>
      <c r="D1923" s="33" t="n"/>
      <c r="E1923" s="33" t="n"/>
      <c r="F1923" s="33" t="n"/>
      <c r="G1923" s="33" t="n"/>
    </row>
    <row r="1924">
      <c r="A1924" s="37" t="n"/>
      <c r="B1924" s="31" t="n"/>
      <c r="C1924" s="33" t="n"/>
      <c r="D1924" s="33" t="n"/>
      <c r="E1924" s="33" t="n"/>
      <c r="F1924" s="33" t="n"/>
      <c r="G1924" s="33" t="n"/>
    </row>
    <row r="1925">
      <c r="A1925" s="37" t="n"/>
      <c r="B1925" s="31" t="n"/>
      <c r="C1925" s="33" t="n"/>
      <c r="D1925" s="33" t="n"/>
      <c r="E1925" s="33" t="n"/>
      <c r="F1925" s="33" t="n"/>
      <c r="G1925" s="33" t="n"/>
    </row>
    <row r="1926">
      <c r="A1926" s="37" t="n"/>
      <c r="B1926" s="31" t="n"/>
      <c r="C1926" s="33" t="n"/>
      <c r="D1926" s="33" t="n"/>
      <c r="E1926" s="33" t="n"/>
      <c r="F1926" s="33" t="n"/>
      <c r="G1926" s="33" t="n"/>
    </row>
    <row r="1927">
      <c r="A1927" s="37" t="n"/>
      <c r="B1927" s="31" t="n"/>
      <c r="C1927" s="33" t="n"/>
      <c r="D1927" s="33" t="n"/>
      <c r="E1927" s="33" t="n"/>
      <c r="F1927" s="33" t="n"/>
      <c r="G1927" s="33" t="n"/>
    </row>
    <row r="1928">
      <c r="A1928" s="37" t="n"/>
      <c r="B1928" s="31" t="n"/>
      <c r="C1928" s="33" t="n"/>
      <c r="D1928" s="33" t="n"/>
      <c r="E1928" s="33" t="n"/>
      <c r="F1928" s="33" t="n"/>
      <c r="G1928" s="33" t="n"/>
    </row>
    <row r="1929">
      <c r="A1929" s="37" t="n"/>
      <c r="B1929" s="31" t="n"/>
      <c r="C1929" s="33" t="n"/>
      <c r="D1929" s="33" t="n"/>
      <c r="E1929" s="33" t="n"/>
      <c r="F1929" s="33" t="n"/>
      <c r="G1929" s="33" t="n"/>
    </row>
    <row r="1930">
      <c r="A1930" s="37" t="n"/>
      <c r="B1930" s="31" t="n"/>
      <c r="C1930" s="33" t="n"/>
      <c r="D1930" s="33" t="n"/>
      <c r="E1930" s="33" t="n"/>
      <c r="F1930" s="33" t="n"/>
      <c r="G1930" s="33" t="n"/>
    </row>
    <row r="1931">
      <c r="A1931" s="37" t="n"/>
      <c r="B1931" s="31" t="n"/>
      <c r="C1931" s="33" t="n"/>
      <c r="D1931" s="33" t="n"/>
      <c r="E1931" s="33" t="n"/>
      <c r="F1931" s="33" t="n"/>
      <c r="G1931" s="33" t="n"/>
    </row>
    <row r="1932">
      <c r="A1932" s="37" t="n"/>
      <c r="B1932" s="31" t="n"/>
      <c r="C1932" s="33" t="n"/>
      <c r="D1932" s="33" t="n"/>
      <c r="E1932" s="33" t="n"/>
      <c r="F1932" s="33" t="n"/>
      <c r="G1932" s="33" t="n"/>
    </row>
    <row r="1933">
      <c r="A1933" s="37" t="n"/>
      <c r="B1933" s="31" t="n"/>
      <c r="C1933" s="33" t="n"/>
      <c r="D1933" s="33" t="n"/>
      <c r="E1933" s="33" t="n"/>
      <c r="F1933" s="33" t="n"/>
      <c r="G1933" s="33" t="n"/>
    </row>
    <row r="1934">
      <c r="A1934" s="37" t="n"/>
      <c r="B1934" s="31" t="n"/>
      <c r="C1934" s="33" t="n"/>
      <c r="D1934" s="33" t="n"/>
      <c r="E1934" s="33" t="n"/>
      <c r="F1934" s="33" t="n"/>
      <c r="G1934" s="33" t="n"/>
    </row>
    <row r="1935">
      <c r="A1935" s="37" t="n"/>
      <c r="B1935" s="31" t="n"/>
      <c r="C1935" s="33" t="n"/>
      <c r="D1935" s="33" t="n"/>
      <c r="E1935" s="33" t="n"/>
      <c r="F1935" s="33" t="n"/>
      <c r="G1935" s="33" t="n"/>
    </row>
    <row r="1936">
      <c r="A1936" s="37" t="n"/>
      <c r="B1936" s="31" t="n"/>
      <c r="C1936" s="33" t="n"/>
      <c r="D1936" s="33" t="n"/>
      <c r="E1936" s="33" t="n"/>
      <c r="F1936" s="33" t="n"/>
      <c r="G1936" s="33" t="n"/>
    </row>
    <row r="1937">
      <c r="A1937" s="37" t="n"/>
      <c r="B1937" s="31" t="n"/>
      <c r="C1937" s="33" t="n"/>
      <c r="D1937" s="33" t="n"/>
      <c r="E1937" s="33" t="n"/>
      <c r="F1937" s="33" t="n"/>
      <c r="G1937" s="33" t="n"/>
    </row>
    <row r="1938">
      <c r="A1938" s="37" t="n"/>
      <c r="B1938" s="31" t="n"/>
      <c r="C1938" s="33" t="n"/>
      <c r="D1938" s="33" t="n"/>
      <c r="E1938" s="33" t="n"/>
      <c r="F1938" s="33" t="n"/>
      <c r="G1938" s="33" t="n"/>
    </row>
    <row r="1939">
      <c r="A1939" s="37" t="n"/>
      <c r="B1939" s="31" t="n"/>
      <c r="C1939" s="33" t="n"/>
      <c r="D1939" s="33" t="n"/>
      <c r="E1939" s="33" t="n"/>
      <c r="F1939" s="33" t="n"/>
      <c r="G1939" s="33" t="n"/>
    </row>
    <row r="1940">
      <c r="A1940" s="37" t="n"/>
      <c r="B1940" s="31" t="n"/>
      <c r="C1940" s="33" t="n"/>
      <c r="D1940" s="33" t="n"/>
      <c r="E1940" s="33" t="n"/>
      <c r="F1940" s="33" t="n"/>
      <c r="G1940" s="33" t="n"/>
    </row>
    <row r="1941">
      <c r="A1941" s="37" t="n"/>
      <c r="B1941" s="31" t="n"/>
      <c r="C1941" s="33" t="n"/>
      <c r="D1941" s="33" t="n"/>
      <c r="E1941" s="33" t="n"/>
      <c r="F1941" s="33" t="n"/>
      <c r="G1941" s="33" t="n"/>
    </row>
    <row r="1942">
      <c r="A1942" s="37" t="n"/>
      <c r="B1942" s="31" t="n"/>
      <c r="C1942" s="33" t="n"/>
      <c r="D1942" s="33" t="n"/>
      <c r="E1942" s="33" t="n"/>
      <c r="F1942" s="33" t="n"/>
      <c r="G1942" s="33" t="n"/>
    </row>
    <row r="1943">
      <c r="A1943" s="37" t="n"/>
      <c r="B1943" s="31" t="n"/>
      <c r="C1943" s="33" t="n"/>
      <c r="D1943" s="33" t="n"/>
      <c r="E1943" s="33" t="n"/>
      <c r="F1943" s="33" t="n"/>
      <c r="G1943" s="33" t="n"/>
    </row>
    <row r="1944">
      <c r="A1944" s="37" t="n"/>
      <c r="B1944" s="31" t="n"/>
      <c r="C1944" s="33" t="n"/>
      <c r="D1944" s="33" t="n"/>
      <c r="E1944" s="33" t="n"/>
      <c r="F1944" s="33" t="n"/>
      <c r="G1944" s="33" t="n"/>
    </row>
    <row r="1945">
      <c r="A1945" s="37" t="n"/>
      <c r="B1945" s="31" t="n"/>
      <c r="C1945" s="33" t="n"/>
      <c r="D1945" s="33" t="n"/>
      <c r="E1945" s="33" t="n"/>
      <c r="F1945" s="33" t="n"/>
      <c r="G1945" s="33" t="n"/>
    </row>
    <row r="1946">
      <c r="A1946" s="37" t="n"/>
      <c r="B1946" s="31" t="n"/>
      <c r="C1946" s="33" t="n"/>
      <c r="D1946" s="33" t="n"/>
      <c r="E1946" s="33" t="n"/>
      <c r="F1946" s="33" t="n"/>
      <c r="G1946" s="33" t="n"/>
    </row>
    <row r="1947">
      <c r="A1947" s="37" t="n"/>
      <c r="B1947" s="31" t="n"/>
      <c r="C1947" s="33" t="n"/>
      <c r="D1947" s="33" t="n"/>
      <c r="E1947" s="33" t="n"/>
      <c r="F1947" s="33" t="n"/>
      <c r="G1947" s="33" t="n"/>
    </row>
    <row r="1948">
      <c r="A1948" s="37" t="n"/>
      <c r="B1948" s="31" t="n"/>
      <c r="C1948" s="33" t="n"/>
      <c r="D1948" s="33" t="n"/>
      <c r="E1948" s="33" t="n"/>
      <c r="F1948" s="33" t="n"/>
      <c r="G1948" s="33" t="n"/>
    </row>
    <row r="1949">
      <c r="A1949" s="37" t="n"/>
      <c r="B1949" s="31" t="n"/>
      <c r="C1949" s="33" t="n"/>
      <c r="D1949" s="33" t="n"/>
      <c r="E1949" s="33" t="n"/>
      <c r="F1949" s="33" t="n"/>
      <c r="G1949" s="33" t="n"/>
    </row>
    <row r="1950">
      <c r="A1950" s="37" t="n"/>
      <c r="B1950" s="31" t="n"/>
      <c r="C1950" s="33" t="n"/>
      <c r="D1950" s="33" t="n"/>
      <c r="E1950" s="33" t="n"/>
      <c r="F1950" s="33" t="n"/>
      <c r="G1950" s="33" t="n"/>
    </row>
    <row r="1951">
      <c r="A1951" s="37" t="n"/>
      <c r="B1951" s="31" t="n"/>
      <c r="C1951" s="33" t="n"/>
      <c r="D1951" s="33" t="n"/>
      <c r="E1951" s="33" t="n"/>
      <c r="F1951" s="33" t="n"/>
      <c r="G1951" s="33" t="n"/>
    </row>
    <row r="1952">
      <c r="A1952" s="37" t="n"/>
      <c r="B1952" s="31" t="n"/>
      <c r="C1952" s="33" t="n"/>
      <c r="D1952" s="33" t="n"/>
      <c r="E1952" s="33" t="n"/>
      <c r="F1952" s="33" t="n"/>
      <c r="G1952" s="33" t="n"/>
    </row>
    <row r="1953">
      <c r="A1953" s="37" t="n"/>
      <c r="B1953" s="31" t="n"/>
      <c r="C1953" s="33" t="n"/>
      <c r="D1953" s="33" t="n"/>
      <c r="E1953" s="33" t="n"/>
      <c r="F1953" s="33" t="n"/>
      <c r="G1953" s="33" t="n"/>
    </row>
    <row r="1954">
      <c r="A1954" s="37" t="n"/>
      <c r="B1954" s="31" t="n"/>
      <c r="C1954" s="33" t="n"/>
      <c r="D1954" s="33" t="n"/>
      <c r="E1954" s="33" t="n"/>
      <c r="F1954" s="33" t="n"/>
      <c r="G1954" s="33" t="n"/>
    </row>
    <row r="1955">
      <c r="A1955" s="37" t="n"/>
      <c r="B1955" s="31" t="n"/>
      <c r="C1955" s="33" t="n"/>
      <c r="D1955" s="33" t="n"/>
      <c r="E1955" s="33" t="n"/>
      <c r="F1955" s="33" t="n"/>
      <c r="G1955" s="33" t="n"/>
    </row>
    <row r="1956">
      <c r="A1956" s="37" t="n"/>
      <c r="B1956" s="31" t="n"/>
      <c r="C1956" s="33" t="n"/>
      <c r="D1956" s="33" t="n"/>
      <c r="E1956" s="33" t="n"/>
      <c r="F1956" s="33" t="n"/>
      <c r="G1956" s="33" t="n"/>
    </row>
    <row r="1957">
      <c r="A1957" s="37" t="n"/>
      <c r="B1957" s="31" t="n"/>
      <c r="C1957" s="33" t="n"/>
      <c r="D1957" s="33" t="n"/>
      <c r="E1957" s="33" t="n"/>
      <c r="F1957" s="33" t="n"/>
      <c r="G1957" s="33" t="n"/>
    </row>
    <row r="1958">
      <c r="A1958" s="37" t="n"/>
      <c r="B1958" s="31" t="n"/>
      <c r="C1958" s="33" t="n"/>
      <c r="D1958" s="33" t="n"/>
      <c r="E1958" s="33" t="n"/>
      <c r="F1958" s="33" t="n"/>
      <c r="G1958" s="33" t="n"/>
    </row>
    <row r="1959">
      <c r="A1959" s="37" t="n"/>
      <c r="B1959" s="31" t="n"/>
      <c r="C1959" s="33" t="n"/>
      <c r="D1959" s="33" t="n"/>
      <c r="E1959" s="33" t="n"/>
      <c r="F1959" s="33" t="n"/>
      <c r="G1959" s="33" t="n"/>
    </row>
    <row r="1960">
      <c r="A1960" s="37" t="n"/>
      <c r="B1960" s="31" t="n"/>
      <c r="C1960" s="33" t="n"/>
      <c r="D1960" s="33" t="n"/>
      <c r="E1960" s="33" t="n"/>
      <c r="F1960" s="33" t="n"/>
      <c r="G1960" s="33" t="n"/>
    </row>
    <row r="1961">
      <c r="A1961" s="37" t="n"/>
      <c r="B1961" s="31" t="n"/>
      <c r="C1961" s="33" t="n"/>
      <c r="D1961" s="33" t="n"/>
      <c r="E1961" s="33" t="n"/>
      <c r="F1961" s="33" t="n"/>
      <c r="G1961" s="33" t="n"/>
    </row>
    <row r="1962">
      <c r="A1962" s="37" t="n"/>
      <c r="B1962" s="31" t="n"/>
      <c r="C1962" s="33" t="n"/>
      <c r="D1962" s="33" t="n"/>
      <c r="E1962" s="33" t="n"/>
      <c r="F1962" s="33" t="n"/>
      <c r="G1962" s="33" t="n"/>
    </row>
    <row r="1963">
      <c r="A1963" s="37" t="n"/>
      <c r="B1963" s="31" t="n"/>
      <c r="C1963" s="33" t="n"/>
      <c r="D1963" s="33" t="n"/>
      <c r="E1963" s="33" t="n"/>
      <c r="F1963" s="33" t="n"/>
      <c r="G1963" s="33" t="n"/>
    </row>
    <row r="1964">
      <c r="A1964" s="37" t="n"/>
      <c r="B1964" s="31" t="n"/>
      <c r="C1964" s="33" t="n"/>
      <c r="D1964" s="33" t="n"/>
      <c r="E1964" s="33" t="n"/>
      <c r="F1964" s="33" t="n"/>
      <c r="G1964" s="33" t="n"/>
    </row>
    <row r="1965">
      <c r="A1965" s="37" t="n"/>
      <c r="B1965" s="31" t="n"/>
      <c r="C1965" s="33" t="n"/>
      <c r="D1965" s="33" t="n"/>
      <c r="E1965" s="33" t="n"/>
      <c r="F1965" s="33" t="n"/>
      <c r="G1965" s="33" t="n"/>
    </row>
    <row r="1966">
      <c r="A1966" s="37" t="n"/>
      <c r="B1966" s="31" t="n"/>
      <c r="C1966" s="33" t="n"/>
      <c r="D1966" s="33" t="n"/>
      <c r="E1966" s="33" t="n"/>
      <c r="F1966" s="33" t="n"/>
      <c r="G1966" s="33" t="n"/>
    </row>
    <row r="1967">
      <c r="A1967" s="37" t="n"/>
      <c r="B1967" s="31" t="n"/>
      <c r="C1967" s="33" t="n"/>
      <c r="D1967" s="33" t="n"/>
      <c r="E1967" s="33" t="n"/>
      <c r="F1967" s="33" t="n"/>
      <c r="G1967" s="33" t="n"/>
    </row>
    <row r="1968">
      <c r="A1968" s="37" t="n"/>
      <c r="B1968" s="31" t="n"/>
      <c r="C1968" s="33" t="n"/>
      <c r="D1968" s="33" t="n"/>
      <c r="E1968" s="33" t="n"/>
      <c r="F1968" s="33" t="n"/>
      <c r="G1968" s="33" t="n"/>
    </row>
    <row r="1969">
      <c r="A1969" s="37" t="n"/>
      <c r="B1969" s="31" t="n"/>
      <c r="C1969" s="33" t="n"/>
      <c r="D1969" s="33" t="n"/>
      <c r="E1969" s="33" t="n"/>
      <c r="F1969" s="33" t="n"/>
      <c r="G1969" s="33" t="n"/>
    </row>
    <row r="1970">
      <c r="A1970" s="37" t="n"/>
      <c r="B1970" s="31" t="n"/>
      <c r="C1970" s="33" t="n"/>
      <c r="D1970" s="33" t="n"/>
      <c r="E1970" s="33" t="n"/>
      <c r="F1970" s="33" t="n"/>
      <c r="G1970" s="33" t="n"/>
    </row>
    <row r="1971">
      <c r="A1971" s="37" t="n"/>
      <c r="B1971" s="31" t="n"/>
      <c r="C1971" s="33" t="n"/>
      <c r="D1971" s="33" t="n"/>
      <c r="E1971" s="33" t="n"/>
      <c r="F1971" s="33" t="n"/>
      <c r="G1971" s="33" t="n"/>
    </row>
    <row r="1972">
      <c r="A1972" s="37" t="n"/>
      <c r="B1972" s="31" t="n"/>
      <c r="C1972" s="33" t="n"/>
      <c r="D1972" s="33" t="n"/>
      <c r="E1972" s="33" t="n"/>
      <c r="F1972" s="33" t="n"/>
      <c r="G1972" s="33" t="n"/>
    </row>
    <row r="1973">
      <c r="A1973" s="37" t="n"/>
      <c r="B1973" s="31" t="n"/>
      <c r="C1973" s="33" t="n"/>
      <c r="D1973" s="33" t="n"/>
      <c r="E1973" s="33" t="n"/>
      <c r="F1973" s="33" t="n"/>
      <c r="G1973" s="33" t="n"/>
    </row>
    <row r="1974">
      <c r="A1974" s="37" t="n"/>
      <c r="B1974" s="31" t="n"/>
      <c r="C1974" s="33" t="n"/>
      <c r="D1974" s="33" t="n"/>
      <c r="E1974" s="33" t="n"/>
      <c r="F1974" s="33" t="n"/>
      <c r="G1974" s="33" t="n"/>
    </row>
    <row r="1975">
      <c r="A1975" s="37" t="n"/>
      <c r="B1975" s="31" t="n"/>
      <c r="C1975" s="33" t="n"/>
      <c r="D1975" s="33" t="n"/>
      <c r="E1975" s="33" t="n"/>
      <c r="F1975" s="33" t="n"/>
      <c r="G1975" s="33" t="n"/>
    </row>
    <row r="1976">
      <c r="A1976" s="37" t="n"/>
      <c r="B1976" s="31" t="n"/>
      <c r="C1976" s="33" t="n"/>
      <c r="D1976" s="33" t="n"/>
      <c r="E1976" s="33" t="n"/>
      <c r="F1976" s="33" t="n"/>
      <c r="G1976" s="33" t="n"/>
    </row>
    <row r="1977">
      <c r="A1977" s="37" t="n"/>
      <c r="B1977" s="31" t="n"/>
      <c r="C1977" s="33" t="n"/>
      <c r="D1977" s="33" t="n"/>
      <c r="E1977" s="33" t="n"/>
      <c r="F1977" s="33" t="n"/>
      <c r="G1977" s="33" t="n"/>
    </row>
    <row r="1978">
      <c r="A1978" s="37" t="n"/>
      <c r="B1978" s="31" t="n"/>
      <c r="C1978" s="33" t="n"/>
      <c r="D1978" s="33" t="n"/>
      <c r="E1978" s="33" t="n"/>
      <c r="F1978" s="33" t="n"/>
      <c r="G1978" s="33" t="n"/>
    </row>
    <row r="1979">
      <c r="A1979" s="37" t="n"/>
      <c r="B1979" s="31" t="n"/>
      <c r="C1979" s="33" t="n"/>
      <c r="D1979" s="33" t="n"/>
      <c r="E1979" s="33" t="n"/>
      <c r="F1979" s="33" t="n"/>
      <c r="G1979" s="33" t="n"/>
    </row>
    <row r="1980">
      <c r="A1980" s="37" t="n"/>
      <c r="B1980" s="31" t="n"/>
      <c r="C1980" s="33" t="n"/>
      <c r="D1980" s="33" t="n"/>
      <c r="E1980" s="33" t="n"/>
      <c r="F1980" s="33" t="n"/>
      <c r="G1980" s="33" t="n"/>
    </row>
    <row r="1981">
      <c r="A1981" s="37" t="n"/>
      <c r="B1981" s="31" t="n"/>
      <c r="C1981" s="33" t="n"/>
      <c r="D1981" s="33" t="n"/>
      <c r="E1981" s="33" t="n"/>
      <c r="F1981" s="33" t="n"/>
      <c r="G1981" s="33" t="n"/>
    </row>
    <row r="1982">
      <c r="A1982" s="37" t="n"/>
      <c r="B1982" s="31" t="n"/>
      <c r="C1982" s="33" t="n"/>
      <c r="D1982" s="33" t="n"/>
      <c r="E1982" s="33" t="n"/>
      <c r="F1982" s="33" t="n"/>
      <c r="G1982" s="33" t="n"/>
    </row>
    <row r="1983">
      <c r="A1983" s="37" t="n"/>
      <c r="B1983" s="31" t="n"/>
      <c r="C1983" s="33" t="n"/>
      <c r="D1983" s="33" t="n"/>
      <c r="E1983" s="33" t="n"/>
      <c r="F1983" s="33" t="n"/>
      <c r="G1983" s="33" t="n"/>
    </row>
    <row r="1984">
      <c r="A1984" s="37" t="n"/>
      <c r="B1984" s="31" t="n"/>
      <c r="C1984" s="33" t="n"/>
      <c r="D1984" s="33" t="n"/>
      <c r="E1984" s="33" t="n"/>
      <c r="F1984" s="33" t="n"/>
      <c r="G1984" s="33" t="n"/>
    </row>
    <row r="1985">
      <c r="A1985" s="37" t="n"/>
      <c r="B1985" s="31" t="n"/>
      <c r="C1985" s="33" t="n"/>
      <c r="D1985" s="33" t="n"/>
      <c r="E1985" s="33" t="n"/>
      <c r="F1985" s="33" t="n"/>
      <c r="G1985" s="33" t="n"/>
    </row>
    <row r="1986">
      <c r="A1986" s="37" t="n"/>
      <c r="B1986" s="31" t="n"/>
      <c r="C1986" s="33" t="n"/>
      <c r="D1986" s="33" t="n"/>
      <c r="E1986" s="33" t="n"/>
      <c r="F1986" s="33" t="n"/>
      <c r="G1986" s="33" t="n"/>
    </row>
    <row r="1987">
      <c r="A1987" s="37" t="n"/>
      <c r="B1987" s="31" t="n"/>
      <c r="C1987" s="33" t="n"/>
      <c r="D1987" s="33" t="n"/>
      <c r="E1987" s="33" t="n"/>
      <c r="F1987" s="33" t="n"/>
      <c r="G1987" s="33" t="n"/>
    </row>
    <row r="1988">
      <c r="A1988" s="37" t="n"/>
      <c r="B1988" s="31" t="n"/>
      <c r="C1988" s="33" t="n"/>
      <c r="D1988" s="33" t="n"/>
      <c r="E1988" s="33" t="n"/>
      <c r="F1988" s="33" t="n"/>
      <c r="G1988" s="33" t="n"/>
    </row>
    <row r="1989">
      <c r="A1989" s="37" t="n"/>
      <c r="B1989" s="31" t="n"/>
      <c r="C1989" s="33" t="n"/>
      <c r="D1989" s="33" t="n"/>
      <c r="E1989" s="33" t="n"/>
      <c r="F1989" s="33" t="n"/>
      <c r="G1989" s="33" t="n"/>
    </row>
    <row r="1990">
      <c r="A1990" s="37" t="n"/>
      <c r="B1990" s="31" t="n"/>
      <c r="C1990" s="33" t="n"/>
      <c r="D1990" s="33" t="n"/>
      <c r="E1990" s="33" t="n"/>
      <c r="F1990" s="33" t="n"/>
      <c r="G1990" s="33" t="n"/>
    </row>
    <row r="1991">
      <c r="A1991" s="37" t="n"/>
      <c r="B1991" s="31" t="n"/>
      <c r="C1991" s="33" t="n"/>
      <c r="D1991" s="33" t="n"/>
      <c r="E1991" s="33" t="n"/>
      <c r="F1991" s="33" t="n"/>
      <c r="G1991" s="33" t="n"/>
    </row>
    <row r="1992">
      <c r="A1992" s="37" t="n"/>
      <c r="B1992" s="31" t="n"/>
      <c r="C1992" s="33" t="n"/>
      <c r="D1992" s="33" t="n"/>
      <c r="E1992" s="33" t="n"/>
      <c r="F1992" s="33" t="n"/>
      <c r="G1992" s="33" t="n"/>
    </row>
    <row r="1993">
      <c r="A1993" s="37" t="n"/>
      <c r="B1993" s="31" t="n"/>
      <c r="C1993" s="33" t="n"/>
      <c r="D1993" s="33" t="n"/>
      <c r="E1993" s="33" t="n"/>
      <c r="F1993" s="33" t="n"/>
      <c r="G1993" s="33" t="n"/>
    </row>
    <row r="1994">
      <c r="A1994" s="37" t="n"/>
      <c r="B1994" s="31" t="n"/>
      <c r="C1994" s="33" t="n"/>
      <c r="D1994" s="33" t="n"/>
      <c r="E1994" s="33" t="n"/>
      <c r="F1994" s="33" t="n"/>
      <c r="G1994" s="33" t="n"/>
    </row>
    <row r="1995">
      <c r="A1995" s="37" t="n"/>
      <c r="B1995" s="31" t="n"/>
      <c r="C1995" s="33" t="n"/>
      <c r="D1995" s="33" t="n"/>
      <c r="E1995" s="33" t="n"/>
      <c r="F1995" s="33" t="n"/>
      <c r="G1995" s="33" t="n"/>
    </row>
    <row r="1996">
      <c r="A1996" s="37" t="n"/>
      <c r="B1996" s="31" t="n"/>
      <c r="C1996" s="33" t="n"/>
      <c r="D1996" s="33" t="n"/>
      <c r="E1996" s="33" t="n"/>
      <c r="F1996" s="33" t="n"/>
      <c r="G1996" s="33" t="n"/>
    </row>
    <row r="1997">
      <c r="A1997" s="37" t="n"/>
      <c r="B1997" s="31" t="n"/>
      <c r="C1997" s="33" t="n"/>
      <c r="D1997" s="33" t="n"/>
      <c r="E1997" s="33" t="n"/>
      <c r="F1997" s="33" t="n"/>
      <c r="G1997" s="33" t="n"/>
    </row>
    <row r="1998">
      <c r="A1998" s="37" t="n"/>
      <c r="B1998" s="31" t="n"/>
      <c r="C1998" s="33" t="n"/>
      <c r="D1998" s="33" t="n"/>
      <c r="E1998" s="33" t="n"/>
      <c r="F1998" s="33" t="n"/>
      <c r="G1998" s="33" t="n"/>
    </row>
    <row r="1999">
      <c r="A1999" s="37" t="n"/>
      <c r="B1999" s="31" t="n"/>
      <c r="C1999" s="33" t="n"/>
      <c r="D1999" s="33" t="n"/>
      <c r="E1999" s="33" t="n"/>
      <c r="F1999" s="33" t="n"/>
      <c r="G1999" s="33" t="n"/>
    </row>
    <row r="2000">
      <c r="A2000" s="37" t="n"/>
      <c r="B2000" s="31" t="n"/>
      <c r="C2000" s="33" t="n"/>
      <c r="D2000" s="33" t="n"/>
      <c r="E2000" s="33" t="n"/>
      <c r="F2000" s="33" t="n"/>
      <c r="G2000" s="33" t="n"/>
    </row>
    <row r="2001">
      <c r="A2001" s="37" t="n"/>
      <c r="B2001" s="31" t="n"/>
      <c r="C2001" s="33" t="n"/>
      <c r="D2001" s="33" t="n"/>
      <c r="E2001" s="33" t="n"/>
      <c r="F2001" s="33" t="n"/>
      <c r="G2001" s="33" t="n"/>
    </row>
    <row r="2002">
      <c r="A2002" s="37" t="n"/>
      <c r="B2002" s="31" t="n"/>
      <c r="C2002" s="33" t="n"/>
      <c r="D2002" s="33" t="n"/>
      <c r="E2002" s="33" t="n"/>
      <c r="F2002" s="33" t="n"/>
      <c r="G2002" s="33" t="n"/>
    </row>
    <row r="2003">
      <c r="A2003" s="37" t="n"/>
      <c r="B2003" s="31" t="n"/>
      <c r="C2003" s="33" t="n"/>
      <c r="D2003" s="33" t="n"/>
      <c r="E2003" s="33" t="n"/>
      <c r="F2003" s="33" t="n"/>
      <c r="G2003" s="33" t="n"/>
    </row>
    <row r="2004">
      <c r="A2004" s="37" t="n"/>
      <c r="B2004" s="31" t="n"/>
      <c r="C2004" s="33" t="n"/>
      <c r="D2004" s="33" t="n"/>
      <c r="E2004" s="33" t="n"/>
      <c r="F2004" s="33" t="n"/>
      <c r="G2004" s="33" t="n"/>
    </row>
    <row r="2005">
      <c r="A2005" s="37" t="n"/>
      <c r="B2005" s="31" t="n"/>
      <c r="C2005" s="33" t="n"/>
      <c r="D2005" s="33" t="n"/>
      <c r="E2005" s="33" t="n"/>
      <c r="F2005" s="33" t="n"/>
      <c r="G2005" s="33" t="n"/>
    </row>
    <row r="2006">
      <c r="A2006" s="37" t="n"/>
      <c r="B2006" s="31" t="n"/>
      <c r="C2006" s="33" t="n"/>
      <c r="D2006" s="33" t="n"/>
      <c r="E2006" s="33" t="n"/>
      <c r="F2006" s="33" t="n"/>
      <c r="G2006" s="33" t="n"/>
    </row>
  </sheetData>
  <autoFilter ref="A6:G2006"/>
  <mergeCells count="6">
    <mergeCell ref="A4:B4"/>
    <mergeCell ref="A2:F2"/>
    <mergeCell ref="A1:F1"/>
    <mergeCell ref="D4:E4"/>
    <mergeCell ref="D3:E3"/>
    <mergeCell ref="A3:B3"/>
  </mergeCells>
  <dataValidations count="4">
    <dataValidation sqref="A7:A2006" showDropDown="0" showInputMessage="0" showErrorMessage="1" allowBlank="0" errorTitle="Date expected" error="Please enter a date, e.g. 10/9/2026." type="date" operator="greaterThan">
      <formula1>DATE(2000,1,1)</formula1>
    </dataValidation>
    <dataValidation sqref="B7:B2006" showDropDown="0" showInputMessage="0" showErrorMessage="1" allowBlank="0" errorTitle="Number expected" error="Please enter a number." type="decimal" operator="between">
      <formula1>-1000000000</formula1>
      <formula2>1000000000</formula2>
    </dataValidation>
    <dataValidation sqref="E7:E2006" showDropDown="0" showInputMessage="1" showErrorMessage="0" allowBlank="1" promptTitle="Tip" prompt="Blank = Yes (your own money)" type="list">
      <formula1>"Yes,No"</formula1>
    </dataValidation>
    <dataValidation sqref="G7:G2006" showDropDown="0" showInputMessage="1" showErrorMessage="0" allowBlank="1" promptTitle="Tip" prompt="Blank =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3C5FD"/>
    <outlinePr summaryBelow="1" summaryRight="1"/>
    <pageSetUpPr/>
  </sheetPr>
  <dimension ref="A1:R86"/>
  <sheetViews>
    <sheetView showGridLines="0" showRowColHeaders="0" zoomScale="100" workbookViewId="0">
      <selection activeCell="A1" sqref="A1"/>
    </sheetView>
  </sheetViews>
  <sheetFormatPr baseColWidth="8" defaultRowHeight="19" customHeight="1"/>
  <cols>
    <col width="10" customWidth="1" min="1" max="1"/>
    <col width="14" customWidth="1" min="2" max="2"/>
    <col width="15" customWidth="1" min="3" max="3"/>
    <col width="1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38" customHeight="1">
      <c r="A1" s="1" t="inlineStr">
        <is>
          <t>History</t>
        </is>
      </c>
    </row>
    <row r="2" ht="34" customHeight="1">
      <c r="A2" s="2" t="inlineStr">
        <is>
          <t>Year by year, tithe by quarter, net worth. Fully automatic, nothing to type. Month-by-month results are at the bottom of each Month-End column.</t>
        </is>
      </c>
    </row>
    <row r="3"/>
    <row r="4" ht="26" customHeight="1">
      <c r="A4" s="11" t="inlineStr">
        <is>
          <t>Yearly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K4" s="11" t="inlineStr">
        <is>
          <t>Net worth — last 24 months</t>
        </is>
      </c>
      <c r="L4" s="12" t="n"/>
      <c r="M4" s="12" t="n"/>
      <c r="N4" s="12" t="n"/>
      <c r="O4" s="12" t="n"/>
      <c r="P4" s="12" t="n"/>
      <c r="Q4" s="12" t="n"/>
      <c r="R4" s="12" t="n"/>
    </row>
    <row r="5" ht="32" customHeight="1">
      <c r="A5" s="13" t="inlineStr">
        <is>
          <t>Year</t>
        </is>
      </c>
      <c r="B5" s="14" t="inlineStr">
        <is>
          <t>Income</t>
        </is>
      </c>
      <c r="C5" s="14" t="inlineStr">
        <is>
          <t>Household-paid</t>
        </is>
      </c>
      <c r="D5" s="14" t="inlineStr">
        <is>
          <t>Family-paid</t>
        </is>
      </c>
      <c r="E5" s="14" t="inlineStr">
        <is>
          <t>True cost</t>
        </is>
      </c>
      <c r="F5" s="14" t="inlineStr">
        <is>
          <t>Avg true cost / full month</t>
        </is>
      </c>
      <c r="G5" s="14" t="inlineStr">
        <is>
          <t>Given</t>
        </is>
      </c>
      <c r="H5" s="14" t="inlineStr">
        <is>
          <t>Invested</t>
        </is>
      </c>
      <c r="I5" s="14" t="inlineStr">
        <is>
          <t>Saved</t>
        </is>
      </c>
    </row>
    <row r="6">
      <c r="A6" s="23" t="n">
        <v>2026</v>
      </c>
      <c r="B6" s="24">
        <f>SUMIFS(Calc!$S$6:$S$183,Calc!$DO$6:$DO$183,$A6)</f>
        <v/>
      </c>
      <c r="C6" s="24">
        <f>SUMIFS(Calc!$DD$6:$DD$183,Calc!$DO$6:$DO$183,$A6)</f>
        <v/>
      </c>
      <c r="D6" s="24">
        <f>SUMIFS(Calc!$DE$6:$DE$183,Calc!$DO$6:$DO$183,$A6)</f>
        <v/>
      </c>
      <c r="E6" s="24">
        <f>SUMIFS(Calc!$DG$6:$DG$183,Calc!$DO$6:$DO$183,$A6)</f>
        <v/>
      </c>
      <c r="F6" s="24">
        <f>IF(COUNTIFS(Calc!$DO$6:$DO$183,$A6,Calc!$DL$6:$DL$183,1)=0,"",SUMIFS(Calc!$DG$6:$DG$183,Calc!$DO$6:$DO$183,$A6,Calc!$DL$6:$DL$183,1)/COUNTIFS(Calc!$DO$6:$DO$183,$A6,Calc!$DL$6:$DL$183,1))</f>
        <v/>
      </c>
      <c r="G6" s="24">
        <f>SUMIFS(Calc!$AA$6:$AA$183,Calc!$DO$6:$DO$183,$A6)</f>
        <v/>
      </c>
      <c r="H6" s="24">
        <f>SUMIFS(Calc!$AC$6:$AC$183,Calc!$DO$6:$DO$183,$A6)</f>
        <v/>
      </c>
      <c r="I6" s="24">
        <f>SUMIFS(Calc!$DK$6:$DK$183,Calc!$DO$6:$DO$183,$A6)</f>
        <v/>
      </c>
    </row>
    <row r="7">
      <c r="A7" s="23" t="n">
        <v>2027</v>
      </c>
      <c r="B7" s="24">
        <f>SUMIFS(Calc!$S$6:$S$183,Calc!$DO$6:$DO$183,$A7)</f>
        <v/>
      </c>
      <c r="C7" s="24">
        <f>SUMIFS(Calc!$DD$6:$DD$183,Calc!$DO$6:$DO$183,$A7)</f>
        <v/>
      </c>
      <c r="D7" s="24">
        <f>SUMIFS(Calc!$DE$6:$DE$183,Calc!$DO$6:$DO$183,$A7)</f>
        <v/>
      </c>
      <c r="E7" s="24">
        <f>SUMIFS(Calc!$DG$6:$DG$183,Calc!$DO$6:$DO$183,$A7)</f>
        <v/>
      </c>
      <c r="F7" s="24">
        <f>IF(COUNTIFS(Calc!$DO$6:$DO$183,$A7,Calc!$DL$6:$DL$183,1)=0,"",SUMIFS(Calc!$DG$6:$DG$183,Calc!$DO$6:$DO$183,$A7,Calc!$DL$6:$DL$183,1)/COUNTIFS(Calc!$DO$6:$DO$183,$A7,Calc!$DL$6:$DL$183,1))</f>
        <v/>
      </c>
      <c r="G7" s="24">
        <f>SUMIFS(Calc!$AA$6:$AA$183,Calc!$DO$6:$DO$183,$A7)</f>
        <v/>
      </c>
      <c r="H7" s="24">
        <f>SUMIFS(Calc!$AC$6:$AC$183,Calc!$DO$6:$DO$183,$A7)</f>
        <v/>
      </c>
      <c r="I7" s="24">
        <f>SUMIFS(Calc!$DK$6:$DK$183,Calc!$DO$6:$DO$183,$A7)</f>
        <v/>
      </c>
    </row>
    <row r="8">
      <c r="A8" s="23" t="n">
        <v>2028</v>
      </c>
      <c r="B8" s="24">
        <f>SUMIFS(Calc!$S$6:$S$183,Calc!$DO$6:$DO$183,$A8)</f>
        <v/>
      </c>
      <c r="C8" s="24">
        <f>SUMIFS(Calc!$DD$6:$DD$183,Calc!$DO$6:$DO$183,$A8)</f>
        <v/>
      </c>
      <c r="D8" s="24">
        <f>SUMIFS(Calc!$DE$6:$DE$183,Calc!$DO$6:$DO$183,$A8)</f>
        <v/>
      </c>
      <c r="E8" s="24">
        <f>SUMIFS(Calc!$DG$6:$DG$183,Calc!$DO$6:$DO$183,$A8)</f>
        <v/>
      </c>
      <c r="F8" s="24">
        <f>IF(COUNTIFS(Calc!$DO$6:$DO$183,$A8,Calc!$DL$6:$DL$183,1)=0,"",SUMIFS(Calc!$DG$6:$DG$183,Calc!$DO$6:$DO$183,$A8,Calc!$DL$6:$DL$183,1)/COUNTIFS(Calc!$DO$6:$DO$183,$A8,Calc!$DL$6:$DL$183,1))</f>
        <v/>
      </c>
      <c r="G8" s="24">
        <f>SUMIFS(Calc!$AA$6:$AA$183,Calc!$DO$6:$DO$183,$A8)</f>
        <v/>
      </c>
      <c r="H8" s="24">
        <f>SUMIFS(Calc!$AC$6:$AC$183,Calc!$DO$6:$DO$183,$A8)</f>
        <v/>
      </c>
      <c r="I8" s="24">
        <f>SUMIFS(Calc!$DK$6:$DK$183,Calc!$DO$6:$DO$183,$A8)</f>
        <v/>
      </c>
    </row>
    <row r="9">
      <c r="A9" s="23" t="n">
        <v>2029</v>
      </c>
      <c r="B9" s="24">
        <f>SUMIFS(Calc!$S$6:$S$183,Calc!$DO$6:$DO$183,$A9)</f>
        <v/>
      </c>
      <c r="C9" s="24">
        <f>SUMIFS(Calc!$DD$6:$DD$183,Calc!$DO$6:$DO$183,$A9)</f>
        <v/>
      </c>
      <c r="D9" s="24">
        <f>SUMIFS(Calc!$DE$6:$DE$183,Calc!$DO$6:$DO$183,$A9)</f>
        <v/>
      </c>
      <c r="E9" s="24">
        <f>SUMIFS(Calc!$DG$6:$DG$183,Calc!$DO$6:$DO$183,$A9)</f>
        <v/>
      </c>
      <c r="F9" s="24">
        <f>IF(COUNTIFS(Calc!$DO$6:$DO$183,$A9,Calc!$DL$6:$DL$183,1)=0,"",SUMIFS(Calc!$DG$6:$DG$183,Calc!$DO$6:$DO$183,$A9,Calc!$DL$6:$DL$183,1)/COUNTIFS(Calc!$DO$6:$DO$183,$A9,Calc!$DL$6:$DL$183,1))</f>
        <v/>
      </c>
      <c r="G9" s="24">
        <f>SUMIFS(Calc!$AA$6:$AA$183,Calc!$DO$6:$DO$183,$A9)</f>
        <v/>
      </c>
      <c r="H9" s="24">
        <f>SUMIFS(Calc!$AC$6:$AC$183,Calc!$DO$6:$DO$183,$A9)</f>
        <v/>
      </c>
      <c r="I9" s="24">
        <f>SUMIFS(Calc!$DK$6:$DK$183,Calc!$DO$6:$DO$183,$A9)</f>
        <v/>
      </c>
    </row>
    <row r="10">
      <c r="A10" s="23" t="n">
        <v>2030</v>
      </c>
      <c r="B10" s="24">
        <f>SUMIFS(Calc!$S$6:$S$183,Calc!$DO$6:$DO$183,$A10)</f>
        <v/>
      </c>
      <c r="C10" s="24">
        <f>SUMIFS(Calc!$DD$6:$DD$183,Calc!$DO$6:$DO$183,$A10)</f>
        <v/>
      </c>
      <c r="D10" s="24">
        <f>SUMIFS(Calc!$DE$6:$DE$183,Calc!$DO$6:$DO$183,$A10)</f>
        <v/>
      </c>
      <c r="E10" s="24">
        <f>SUMIFS(Calc!$DG$6:$DG$183,Calc!$DO$6:$DO$183,$A10)</f>
        <v/>
      </c>
      <c r="F10" s="24">
        <f>IF(COUNTIFS(Calc!$DO$6:$DO$183,$A10,Calc!$DL$6:$DL$183,1)=0,"",SUMIFS(Calc!$DG$6:$DG$183,Calc!$DO$6:$DO$183,$A10,Calc!$DL$6:$DL$183,1)/COUNTIFS(Calc!$DO$6:$DO$183,$A10,Calc!$DL$6:$DL$183,1))</f>
        <v/>
      </c>
      <c r="G10" s="24">
        <f>SUMIFS(Calc!$AA$6:$AA$183,Calc!$DO$6:$DO$183,$A10)</f>
        <v/>
      </c>
      <c r="H10" s="24">
        <f>SUMIFS(Calc!$AC$6:$AC$183,Calc!$DO$6:$DO$183,$A10)</f>
        <v/>
      </c>
      <c r="I10" s="24">
        <f>SUMIFS(Calc!$DK$6:$DK$183,Calc!$DO$6:$DO$183,$A10)</f>
        <v/>
      </c>
    </row>
    <row r="11">
      <c r="A11" s="23" t="n">
        <v>2031</v>
      </c>
      <c r="B11" s="24">
        <f>SUMIFS(Calc!$S$6:$S$183,Calc!$DO$6:$DO$183,$A11)</f>
        <v/>
      </c>
      <c r="C11" s="24">
        <f>SUMIFS(Calc!$DD$6:$DD$183,Calc!$DO$6:$DO$183,$A11)</f>
        <v/>
      </c>
      <c r="D11" s="24">
        <f>SUMIFS(Calc!$DE$6:$DE$183,Calc!$DO$6:$DO$183,$A11)</f>
        <v/>
      </c>
      <c r="E11" s="24">
        <f>SUMIFS(Calc!$DG$6:$DG$183,Calc!$DO$6:$DO$183,$A11)</f>
        <v/>
      </c>
      <c r="F11" s="24">
        <f>IF(COUNTIFS(Calc!$DO$6:$DO$183,$A11,Calc!$DL$6:$DL$183,1)=0,"",SUMIFS(Calc!$DG$6:$DG$183,Calc!$DO$6:$DO$183,$A11,Calc!$DL$6:$DL$183,1)/COUNTIFS(Calc!$DO$6:$DO$183,$A11,Calc!$DL$6:$DL$183,1))</f>
        <v/>
      </c>
      <c r="G11" s="24">
        <f>SUMIFS(Calc!$AA$6:$AA$183,Calc!$DO$6:$DO$183,$A11)</f>
        <v/>
      </c>
      <c r="H11" s="24">
        <f>SUMIFS(Calc!$AC$6:$AC$183,Calc!$DO$6:$DO$183,$A11)</f>
        <v/>
      </c>
      <c r="I11" s="24">
        <f>SUMIFS(Calc!$DK$6:$DK$183,Calc!$DO$6:$DO$183,$A11)</f>
        <v/>
      </c>
    </row>
    <row r="12">
      <c r="A12" s="23" t="n">
        <v>2032</v>
      </c>
      <c r="B12" s="24">
        <f>SUMIFS(Calc!$S$6:$S$183,Calc!$DO$6:$DO$183,$A12)</f>
        <v/>
      </c>
      <c r="C12" s="24">
        <f>SUMIFS(Calc!$DD$6:$DD$183,Calc!$DO$6:$DO$183,$A12)</f>
        <v/>
      </c>
      <c r="D12" s="24">
        <f>SUMIFS(Calc!$DE$6:$DE$183,Calc!$DO$6:$DO$183,$A12)</f>
        <v/>
      </c>
      <c r="E12" s="24">
        <f>SUMIFS(Calc!$DG$6:$DG$183,Calc!$DO$6:$DO$183,$A12)</f>
        <v/>
      </c>
      <c r="F12" s="24">
        <f>IF(COUNTIFS(Calc!$DO$6:$DO$183,$A12,Calc!$DL$6:$DL$183,1)=0,"",SUMIFS(Calc!$DG$6:$DG$183,Calc!$DO$6:$DO$183,$A12,Calc!$DL$6:$DL$183,1)/COUNTIFS(Calc!$DO$6:$DO$183,$A12,Calc!$DL$6:$DL$183,1))</f>
        <v/>
      </c>
      <c r="G12" s="24">
        <f>SUMIFS(Calc!$AA$6:$AA$183,Calc!$DO$6:$DO$183,$A12)</f>
        <v/>
      </c>
      <c r="H12" s="24">
        <f>SUMIFS(Calc!$AC$6:$AC$183,Calc!$DO$6:$DO$183,$A12)</f>
        <v/>
      </c>
      <c r="I12" s="24">
        <f>SUMIFS(Calc!$DK$6:$DK$183,Calc!$DO$6:$DO$183,$A12)</f>
        <v/>
      </c>
    </row>
    <row r="13">
      <c r="A13" s="23" t="n">
        <v>2033</v>
      </c>
      <c r="B13" s="24">
        <f>SUMIFS(Calc!$S$6:$S$183,Calc!$DO$6:$DO$183,$A13)</f>
        <v/>
      </c>
      <c r="C13" s="24">
        <f>SUMIFS(Calc!$DD$6:$DD$183,Calc!$DO$6:$DO$183,$A13)</f>
        <v/>
      </c>
      <c r="D13" s="24">
        <f>SUMIFS(Calc!$DE$6:$DE$183,Calc!$DO$6:$DO$183,$A13)</f>
        <v/>
      </c>
      <c r="E13" s="24">
        <f>SUMIFS(Calc!$DG$6:$DG$183,Calc!$DO$6:$DO$183,$A13)</f>
        <v/>
      </c>
      <c r="F13" s="24">
        <f>IF(COUNTIFS(Calc!$DO$6:$DO$183,$A13,Calc!$DL$6:$DL$183,1)=0,"",SUMIFS(Calc!$DG$6:$DG$183,Calc!$DO$6:$DO$183,$A13,Calc!$DL$6:$DL$183,1)/COUNTIFS(Calc!$DO$6:$DO$183,$A13,Calc!$DL$6:$DL$183,1))</f>
        <v/>
      </c>
      <c r="G13" s="24">
        <f>SUMIFS(Calc!$AA$6:$AA$183,Calc!$DO$6:$DO$183,$A13)</f>
        <v/>
      </c>
      <c r="H13" s="24">
        <f>SUMIFS(Calc!$AC$6:$AC$183,Calc!$DO$6:$DO$183,$A13)</f>
        <v/>
      </c>
      <c r="I13" s="24">
        <f>SUMIFS(Calc!$DK$6:$DK$183,Calc!$DO$6:$DO$183,$A13)</f>
        <v/>
      </c>
    </row>
    <row r="14">
      <c r="A14" s="23" t="n">
        <v>2034</v>
      </c>
      <c r="B14" s="24">
        <f>SUMIFS(Calc!$S$6:$S$183,Calc!$DO$6:$DO$183,$A14)</f>
        <v/>
      </c>
      <c r="C14" s="24">
        <f>SUMIFS(Calc!$DD$6:$DD$183,Calc!$DO$6:$DO$183,$A14)</f>
        <v/>
      </c>
      <c r="D14" s="24">
        <f>SUMIFS(Calc!$DE$6:$DE$183,Calc!$DO$6:$DO$183,$A14)</f>
        <v/>
      </c>
      <c r="E14" s="24">
        <f>SUMIFS(Calc!$DG$6:$DG$183,Calc!$DO$6:$DO$183,$A14)</f>
        <v/>
      </c>
      <c r="F14" s="24">
        <f>IF(COUNTIFS(Calc!$DO$6:$DO$183,$A14,Calc!$DL$6:$DL$183,1)=0,"",SUMIFS(Calc!$DG$6:$DG$183,Calc!$DO$6:$DO$183,$A14,Calc!$DL$6:$DL$183,1)/COUNTIFS(Calc!$DO$6:$DO$183,$A14,Calc!$DL$6:$DL$183,1))</f>
        <v/>
      </c>
      <c r="G14" s="24">
        <f>SUMIFS(Calc!$AA$6:$AA$183,Calc!$DO$6:$DO$183,$A14)</f>
        <v/>
      </c>
      <c r="H14" s="24">
        <f>SUMIFS(Calc!$AC$6:$AC$183,Calc!$DO$6:$DO$183,$A14)</f>
        <v/>
      </c>
      <c r="I14" s="24">
        <f>SUMIFS(Calc!$DK$6:$DK$183,Calc!$DO$6:$DO$183,$A14)</f>
        <v/>
      </c>
    </row>
    <row r="15">
      <c r="A15" s="23" t="n">
        <v>2035</v>
      </c>
      <c r="B15" s="24">
        <f>SUMIFS(Calc!$S$6:$S$183,Calc!$DO$6:$DO$183,$A15)</f>
        <v/>
      </c>
      <c r="C15" s="24">
        <f>SUMIFS(Calc!$DD$6:$DD$183,Calc!$DO$6:$DO$183,$A15)</f>
        <v/>
      </c>
      <c r="D15" s="24">
        <f>SUMIFS(Calc!$DE$6:$DE$183,Calc!$DO$6:$DO$183,$A15)</f>
        <v/>
      </c>
      <c r="E15" s="24">
        <f>SUMIFS(Calc!$DG$6:$DG$183,Calc!$DO$6:$DO$183,$A15)</f>
        <v/>
      </c>
      <c r="F15" s="24">
        <f>IF(COUNTIFS(Calc!$DO$6:$DO$183,$A15,Calc!$DL$6:$DL$183,1)=0,"",SUMIFS(Calc!$DG$6:$DG$183,Calc!$DO$6:$DO$183,$A15,Calc!$DL$6:$DL$183,1)/COUNTIFS(Calc!$DO$6:$DO$183,$A15,Calc!$DL$6:$DL$183,1))</f>
        <v/>
      </c>
      <c r="G15" s="24">
        <f>SUMIFS(Calc!$AA$6:$AA$183,Calc!$DO$6:$DO$183,$A15)</f>
        <v/>
      </c>
      <c r="H15" s="24">
        <f>SUMIFS(Calc!$AC$6:$AC$183,Calc!$DO$6:$DO$183,$A15)</f>
        <v/>
      </c>
      <c r="I15" s="24">
        <f>SUMIFS(Calc!$DK$6:$DK$183,Calc!$DO$6:$DO$183,$A15)</f>
        <v/>
      </c>
    </row>
    <row r="16">
      <c r="A16" s="23" t="n">
        <v>2036</v>
      </c>
      <c r="B16" s="24">
        <f>SUMIFS(Calc!$S$6:$S$183,Calc!$DO$6:$DO$183,$A16)</f>
        <v/>
      </c>
      <c r="C16" s="24">
        <f>SUMIFS(Calc!$DD$6:$DD$183,Calc!$DO$6:$DO$183,$A16)</f>
        <v/>
      </c>
      <c r="D16" s="24">
        <f>SUMIFS(Calc!$DE$6:$DE$183,Calc!$DO$6:$DO$183,$A16)</f>
        <v/>
      </c>
      <c r="E16" s="24">
        <f>SUMIFS(Calc!$DG$6:$DG$183,Calc!$DO$6:$DO$183,$A16)</f>
        <v/>
      </c>
      <c r="F16" s="24">
        <f>IF(COUNTIFS(Calc!$DO$6:$DO$183,$A16,Calc!$DL$6:$DL$183,1)=0,"",SUMIFS(Calc!$DG$6:$DG$183,Calc!$DO$6:$DO$183,$A16,Calc!$DL$6:$DL$183,1)/COUNTIFS(Calc!$DO$6:$DO$183,$A16,Calc!$DL$6:$DL$183,1))</f>
        <v/>
      </c>
      <c r="G16" s="24">
        <f>SUMIFS(Calc!$AA$6:$AA$183,Calc!$DO$6:$DO$183,$A16)</f>
        <v/>
      </c>
      <c r="H16" s="24">
        <f>SUMIFS(Calc!$AC$6:$AC$183,Calc!$DO$6:$DO$183,$A16)</f>
        <v/>
      </c>
      <c r="I16" s="24">
        <f>SUMIFS(Calc!$DK$6:$DK$183,Calc!$DO$6:$DO$183,$A16)</f>
        <v/>
      </c>
    </row>
    <row r="17">
      <c r="A17" s="23" t="n">
        <v>2037</v>
      </c>
      <c r="B17" s="24">
        <f>SUMIFS(Calc!$S$6:$S$183,Calc!$DO$6:$DO$183,$A17)</f>
        <v/>
      </c>
      <c r="C17" s="24">
        <f>SUMIFS(Calc!$DD$6:$DD$183,Calc!$DO$6:$DO$183,$A17)</f>
        <v/>
      </c>
      <c r="D17" s="24">
        <f>SUMIFS(Calc!$DE$6:$DE$183,Calc!$DO$6:$DO$183,$A17)</f>
        <v/>
      </c>
      <c r="E17" s="24">
        <f>SUMIFS(Calc!$DG$6:$DG$183,Calc!$DO$6:$DO$183,$A17)</f>
        <v/>
      </c>
      <c r="F17" s="24">
        <f>IF(COUNTIFS(Calc!$DO$6:$DO$183,$A17,Calc!$DL$6:$DL$183,1)=0,"",SUMIFS(Calc!$DG$6:$DG$183,Calc!$DO$6:$DO$183,$A17,Calc!$DL$6:$DL$183,1)/COUNTIFS(Calc!$DO$6:$DO$183,$A17,Calc!$DL$6:$DL$183,1))</f>
        <v/>
      </c>
      <c r="G17" s="24">
        <f>SUMIFS(Calc!$AA$6:$AA$183,Calc!$DO$6:$DO$183,$A17)</f>
        <v/>
      </c>
      <c r="H17" s="24">
        <f>SUMIFS(Calc!$AC$6:$AC$183,Calc!$DO$6:$DO$183,$A17)</f>
        <v/>
      </c>
      <c r="I17" s="24">
        <f>SUMIFS(Calc!$DK$6:$DK$183,Calc!$DO$6:$DO$183,$A17)</f>
        <v/>
      </c>
    </row>
    <row r="18">
      <c r="A18" s="23" t="n">
        <v>2038</v>
      </c>
      <c r="B18" s="24">
        <f>SUMIFS(Calc!$S$6:$S$183,Calc!$DO$6:$DO$183,$A18)</f>
        <v/>
      </c>
      <c r="C18" s="24">
        <f>SUMIFS(Calc!$DD$6:$DD$183,Calc!$DO$6:$DO$183,$A18)</f>
        <v/>
      </c>
      <c r="D18" s="24">
        <f>SUMIFS(Calc!$DE$6:$DE$183,Calc!$DO$6:$DO$183,$A18)</f>
        <v/>
      </c>
      <c r="E18" s="24">
        <f>SUMIFS(Calc!$DG$6:$DG$183,Calc!$DO$6:$DO$183,$A18)</f>
        <v/>
      </c>
      <c r="F18" s="24">
        <f>IF(COUNTIFS(Calc!$DO$6:$DO$183,$A18,Calc!$DL$6:$DL$183,1)=0,"",SUMIFS(Calc!$DG$6:$DG$183,Calc!$DO$6:$DO$183,$A18,Calc!$DL$6:$DL$183,1)/COUNTIFS(Calc!$DO$6:$DO$183,$A18,Calc!$DL$6:$DL$183,1))</f>
        <v/>
      </c>
      <c r="G18" s="24">
        <f>SUMIFS(Calc!$AA$6:$AA$183,Calc!$DO$6:$DO$183,$A18)</f>
        <v/>
      </c>
      <c r="H18" s="24">
        <f>SUMIFS(Calc!$AC$6:$AC$183,Calc!$DO$6:$DO$183,$A18)</f>
        <v/>
      </c>
      <c r="I18" s="24">
        <f>SUMIFS(Calc!$DK$6:$DK$183,Calc!$DO$6:$DO$183,$A18)</f>
        <v/>
      </c>
    </row>
    <row r="19">
      <c r="A19" s="23" t="n">
        <v>2039</v>
      </c>
      <c r="B19" s="24">
        <f>SUMIFS(Calc!$S$6:$S$183,Calc!$DO$6:$DO$183,$A19)</f>
        <v/>
      </c>
      <c r="C19" s="24">
        <f>SUMIFS(Calc!$DD$6:$DD$183,Calc!$DO$6:$DO$183,$A19)</f>
        <v/>
      </c>
      <c r="D19" s="24">
        <f>SUMIFS(Calc!$DE$6:$DE$183,Calc!$DO$6:$DO$183,$A19)</f>
        <v/>
      </c>
      <c r="E19" s="24">
        <f>SUMIFS(Calc!$DG$6:$DG$183,Calc!$DO$6:$DO$183,$A19)</f>
        <v/>
      </c>
      <c r="F19" s="24">
        <f>IF(COUNTIFS(Calc!$DO$6:$DO$183,$A19,Calc!$DL$6:$DL$183,1)=0,"",SUMIFS(Calc!$DG$6:$DG$183,Calc!$DO$6:$DO$183,$A19,Calc!$DL$6:$DL$183,1)/COUNTIFS(Calc!$DO$6:$DO$183,$A19,Calc!$DL$6:$DL$183,1))</f>
        <v/>
      </c>
      <c r="G19" s="24">
        <f>SUMIFS(Calc!$AA$6:$AA$183,Calc!$DO$6:$DO$183,$A19)</f>
        <v/>
      </c>
      <c r="H19" s="24">
        <f>SUMIFS(Calc!$AC$6:$AC$183,Calc!$DO$6:$DO$183,$A19)</f>
        <v/>
      </c>
      <c r="I19" s="24">
        <f>SUMIFS(Calc!$DK$6:$DK$183,Calc!$DO$6:$DO$183,$A19)</f>
        <v/>
      </c>
    </row>
    <row r="20">
      <c r="A20" s="23" t="n">
        <v>2040</v>
      </c>
      <c r="B20" s="24">
        <f>SUMIFS(Calc!$S$6:$S$183,Calc!$DO$6:$DO$183,$A20)</f>
        <v/>
      </c>
      <c r="C20" s="24">
        <f>SUMIFS(Calc!$DD$6:$DD$183,Calc!$DO$6:$DO$183,$A20)</f>
        <v/>
      </c>
      <c r="D20" s="24">
        <f>SUMIFS(Calc!$DE$6:$DE$183,Calc!$DO$6:$DO$183,$A20)</f>
        <v/>
      </c>
      <c r="E20" s="24">
        <f>SUMIFS(Calc!$DG$6:$DG$183,Calc!$DO$6:$DO$183,$A20)</f>
        <v/>
      </c>
      <c r="F20" s="24">
        <f>IF(COUNTIFS(Calc!$DO$6:$DO$183,$A20,Calc!$DL$6:$DL$183,1)=0,"",SUMIFS(Calc!$DG$6:$DG$183,Calc!$DO$6:$DO$183,$A20,Calc!$DL$6:$DL$183,1)/COUNTIFS(Calc!$DO$6:$DO$183,$A20,Calc!$DL$6:$DL$183,1))</f>
        <v/>
      </c>
      <c r="G20" s="24">
        <f>SUMIFS(Calc!$AA$6:$AA$183,Calc!$DO$6:$DO$183,$A20)</f>
        <v/>
      </c>
      <c r="H20" s="24">
        <f>SUMIFS(Calc!$AC$6:$AC$183,Calc!$DO$6:$DO$183,$A20)</f>
        <v/>
      </c>
      <c r="I20" s="24">
        <f>SUMIFS(Calc!$DK$6:$DK$183,Calc!$DO$6:$DO$183,$A20)</f>
        <v/>
      </c>
    </row>
    <row r="21"/>
    <row r="22"/>
    <row r="23" ht="26" customHeight="1">
      <c r="A23" s="11" t="inlineStr">
        <is>
          <t>Tithe by quarter</t>
        </is>
      </c>
      <c r="B23" s="12" t="n"/>
      <c r="C23" s="12" t="n"/>
      <c r="D23" s="12" t="n"/>
      <c r="E23" s="12" t="n"/>
      <c r="F23" s="12" t="n"/>
      <c r="G23" s="12" t="n"/>
    </row>
    <row r="24">
      <c r="A24" s="13" t="inlineStr">
        <is>
          <t>Quarter</t>
        </is>
      </c>
      <c r="B24" s="14" t="inlineStr">
        <is>
          <t>Quarter start</t>
        </is>
      </c>
      <c r="C24" s="14" t="inlineStr">
        <is>
          <t>Carried in</t>
        </is>
      </c>
      <c r="D24" s="14" t="inlineStr">
        <is>
          <t>Tithe due</t>
        </is>
      </c>
      <c r="E24" s="14" t="inlineStr">
        <is>
          <t>Given</t>
        </is>
      </c>
      <c r="F24" s="14" t="inlineStr">
        <is>
          <t>Balance at end</t>
        </is>
      </c>
      <c r="G24" s="13" t="inlineStr">
        <is>
          <t>Status</t>
        </is>
      </c>
    </row>
    <row r="25">
      <c r="A25" s="23">
        <f>IF(B25&gt;TODAY(),"","Q"&amp;(INT((MONTH(B25)-1)/3)+1)&amp;" "&amp;YEAR(B25))</f>
        <v/>
      </c>
      <c r="B25" s="38">
        <f>DATE(YEAR(Settings!$B$6),INT((MONTH(Settings!$B$6)-1)/3)*3+1,1)</f>
        <v/>
      </c>
      <c r="C25" s="39">
        <f>N(Settings!$B$8)</f>
        <v/>
      </c>
      <c r="D25" s="24">
        <f>ROUND(Settings!$B$7*SUMIFS(Calc!$T$6:$T$183,Calc!$DP$6:$DP$183,B25),2)</f>
        <v/>
      </c>
      <c r="E25" s="24">
        <f>SUMIFS(Calc!$AA$6:$AA$183,Calc!$DP$6:$DP$183,B25,Calc!$A$6:$A$183,"&gt;="&amp;DATE(YEAR(Settings!$B$6),MONTH(Settings!$B$6),1))</f>
        <v/>
      </c>
      <c r="F25" s="39">
        <f>ROUND(C25+D25-E25,2)</f>
        <v/>
      </c>
      <c r="G25" s="23">
        <f>IF(A25="","",IF(TODAY()&lt;EDATE(B25,3),"In progress",IF(F25&lt;=0,"✓ Settled","Carried forward")))</f>
        <v/>
      </c>
    </row>
    <row r="26">
      <c r="A26" s="23">
        <f>IF(B26&gt;TODAY(),"","Q"&amp;(INT((MONTH(B26)-1)/3)+1)&amp;" "&amp;YEAR(B26))</f>
        <v/>
      </c>
      <c r="B26" s="38">
        <f>EDATE(B25,3)</f>
        <v/>
      </c>
      <c r="C26" s="39">
        <f>IF(Settings!$B$9="No",MAX(0,F25),F25)</f>
        <v/>
      </c>
      <c r="D26" s="24">
        <f>ROUND(Settings!$B$7*SUMIFS(Calc!$T$6:$T$183,Calc!$DP$6:$DP$183,B26),2)</f>
        <v/>
      </c>
      <c r="E26" s="24">
        <f>SUMIFS(Calc!$AA$6:$AA$183,Calc!$DP$6:$DP$183,B26,Calc!$A$6:$A$183,"&gt;="&amp;DATE(YEAR(Settings!$B$6),MONTH(Settings!$B$6),1))</f>
        <v/>
      </c>
      <c r="F26" s="39">
        <f>ROUND(C26+D26-E26,2)</f>
        <v/>
      </c>
      <c r="G26" s="23">
        <f>IF(A26="","",IF(TODAY()&lt;EDATE(B26,3),"In progress",IF(F26&lt;=0,"✓ Settled","Carried forward")))</f>
        <v/>
      </c>
    </row>
    <row r="27">
      <c r="A27" s="23">
        <f>IF(B27&gt;TODAY(),"","Q"&amp;(INT((MONTH(B27)-1)/3)+1)&amp;" "&amp;YEAR(B27))</f>
        <v/>
      </c>
      <c r="B27" s="38">
        <f>EDATE(B26,3)</f>
        <v/>
      </c>
      <c r="C27" s="39">
        <f>IF(Settings!$B$9="No",MAX(0,F26),F26)</f>
        <v/>
      </c>
      <c r="D27" s="24">
        <f>ROUND(Settings!$B$7*SUMIFS(Calc!$T$6:$T$183,Calc!$DP$6:$DP$183,B27),2)</f>
        <v/>
      </c>
      <c r="E27" s="24">
        <f>SUMIFS(Calc!$AA$6:$AA$183,Calc!$DP$6:$DP$183,B27,Calc!$A$6:$A$183,"&gt;="&amp;DATE(YEAR(Settings!$B$6),MONTH(Settings!$B$6),1))</f>
        <v/>
      </c>
      <c r="F27" s="39">
        <f>ROUND(C27+D27-E27,2)</f>
        <v/>
      </c>
      <c r="G27" s="23">
        <f>IF(A27="","",IF(TODAY()&lt;EDATE(B27,3),"In progress",IF(F27&lt;=0,"✓ Settled","Carried forward")))</f>
        <v/>
      </c>
    </row>
    <row r="28">
      <c r="A28" s="23">
        <f>IF(B28&gt;TODAY(),"","Q"&amp;(INT((MONTH(B28)-1)/3)+1)&amp;" "&amp;YEAR(B28))</f>
        <v/>
      </c>
      <c r="B28" s="38">
        <f>EDATE(B27,3)</f>
        <v/>
      </c>
      <c r="C28" s="39">
        <f>IF(Settings!$B$9="No",MAX(0,F27),F27)</f>
        <v/>
      </c>
      <c r="D28" s="24">
        <f>ROUND(Settings!$B$7*SUMIFS(Calc!$T$6:$T$183,Calc!$DP$6:$DP$183,B28),2)</f>
        <v/>
      </c>
      <c r="E28" s="24">
        <f>SUMIFS(Calc!$AA$6:$AA$183,Calc!$DP$6:$DP$183,B28,Calc!$A$6:$A$183,"&gt;="&amp;DATE(YEAR(Settings!$B$6),MONTH(Settings!$B$6),1))</f>
        <v/>
      </c>
      <c r="F28" s="39">
        <f>ROUND(C28+D28-E28,2)</f>
        <v/>
      </c>
      <c r="G28" s="23">
        <f>IF(A28="","",IF(TODAY()&lt;EDATE(B28,3),"In progress",IF(F28&lt;=0,"✓ Settled","Carried forward")))</f>
        <v/>
      </c>
    </row>
    <row r="29">
      <c r="A29" s="23">
        <f>IF(B29&gt;TODAY(),"","Q"&amp;(INT((MONTH(B29)-1)/3)+1)&amp;" "&amp;YEAR(B29))</f>
        <v/>
      </c>
      <c r="B29" s="38">
        <f>EDATE(B28,3)</f>
        <v/>
      </c>
      <c r="C29" s="39">
        <f>IF(Settings!$B$9="No",MAX(0,F28),F28)</f>
        <v/>
      </c>
      <c r="D29" s="24">
        <f>ROUND(Settings!$B$7*SUMIFS(Calc!$T$6:$T$183,Calc!$DP$6:$DP$183,B29),2)</f>
        <v/>
      </c>
      <c r="E29" s="24">
        <f>SUMIFS(Calc!$AA$6:$AA$183,Calc!$DP$6:$DP$183,B29,Calc!$A$6:$A$183,"&gt;="&amp;DATE(YEAR(Settings!$B$6),MONTH(Settings!$B$6),1))</f>
        <v/>
      </c>
      <c r="F29" s="39">
        <f>ROUND(C29+D29-E29,2)</f>
        <v/>
      </c>
      <c r="G29" s="23">
        <f>IF(A29="","",IF(TODAY()&lt;EDATE(B29,3),"In progress",IF(F29&lt;=0,"✓ Settled","Carried forward")))</f>
        <v/>
      </c>
    </row>
    <row r="30">
      <c r="A30" s="23">
        <f>IF(B30&gt;TODAY(),"","Q"&amp;(INT((MONTH(B30)-1)/3)+1)&amp;" "&amp;YEAR(B30))</f>
        <v/>
      </c>
      <c r="B30" s="38">
        <f>EDATE(B29,3)</f>
        <v/>
      </c>
      <c r="C30" s="39">
        <f>IF(Settings!$B$9="No",MAX(0,F29),F29)</f>
        <v/>
      </c>
      <c r="D30" s="24">
        <f>ROUND(Settings!$B$7*SUMIFS(Calc!$T$6:$T$183,Calc!$DP$6:$DP$183,B30),2)</f>
        <v/>
      </c>
      <c r="E30" s="24">
        <f>SUMIFS(Calc!$AA$6:$AA$183,Calc!$DP$6:$DP$183,B30,Calc!$A$6:$A$183,"&gt;="&amp;DATE(YEAR(Settings!$B$6),MONTH(Settings!$B$6),1))</f>
        <v/>
      </c>
      <c r="F30" s="39">
        <f>ROUND(C30+D30-E30,2)</f>
        <v/>
      </c>
      <c r="G30" s="23">
        <f>IF(A30="","",IF(TODAY()&lt;EDATE(B30,3),"In progress",IF(F30&lt;=0,"✓ Settled","Carried forward")))</f>
        <v/>
      </c>
    </row>
    <row r="31">
      <c r="A31" s="23">
        <f>IF(B31&gt;TODAY(),"","Q"&amp;(INT((MONTH(B31)-1)/3)+1)&amp;" "&amp;YEAR(B31))</f>
        <v/>
      </c>
      <c r="B31" s="38">
        <f>EDATE(B30,3)</f>
        <v/>
      </c>
      <c r="C31" s="39">
        <f>IF(Settings!$B$9="No",MAX(0,F30),F30)</f>
        <v/>
      </c>
      <c r="D31" s="24">
        <f>ROUND(Settings!$B$7*SUMIFS(Calc!$T$6:$T$183,Calc!$DP$6:$DP$183,B31),2)</f>
        <v/>
      </c>
      <c r="E31" s="24">
        <f>SUMIFS(Calc!$AA$6:$AA$183,Calc!$DP$6:$DP$183,B31,Calc!$A$6:$A$183,"&gt;="&amp;DATE(YEAR(Settings!$B$6),MONTH(Settings!$B$6),1))</f>
        <v/>
      </c>
      <c r="F31" s="39">
        <f>ROUND(C31+D31-E31,2)</f>
        <v/>
      </c>
      <c r="G31" s="23">
        <f>IF(A31="","",IF(TODAY()&lt;EDATE(B31,3),"In progress",IF(F31&lt;=0,"✓ Settled","Carried forward")))</f>
        <v/>
      </c>
    </row>
    <row r="32">
      <c r="A32" s="23">
        <f>IF(B32&gt;TODAY(),"","Q"&amp;(INT((MONTH(B32)-1)/3)+1)&amp;" "&amp;YEAR(B32))</f>
        <v/>
      </c>
      <c r="B32" s="38">
        <f>EDATE(B31,3)</f>
        <v/>
      </c>
      <c r="C32" s="39">
        <f>IF(Settings!$B$9="No",MAX(0,F31),F31)</f>
        <v/>
      </c>
      <c r="D32" s="24">
        <f>ROUND(Settings!$B$7*SUMIFS(Calc!$T$6:$T$183,Calc!$DP$6:$DP$183,B32),2)</f>
        <v/>
      </c>
      <c r="E32" s="24">
        <f>SUMIFS(Calc!$AA$6:$AA$183,Calc!$DP$6:$DP$183,B32,Calc!$A$6:$A$183,"&gt;="&amp;DATE(YEAR(Settings!$B$6),MONTH(Settings!$B$6),1))</f>
        <v/>
      </c>
      <c r="F32" s="39">
        <f>ROUND(C32+D32-E32,2)</f>
        <v/>
      </c>
      <c r="G32" s="23">
        <f>IF(A32="","",IF(TODAY()&lt;EDATE(B32,3),"In progress",IF(F32&lt;=0,"✓ Settled","Carried forward")))</f>
        <v/>
      </c>
    </row>
    <row r="33">
      <c r="A33" s="23">
        <f>IF(B33&gt;TODAY(),"","Q"&amp;(INT((MONTH(B33)-1)/3)+1)&amp;" "&amp;YEAR(B33))</f>
        <v/>
      </c>
      <c r="B33" s="38">
        <f>EDATE(B32,3)</f>
        <v/>
      </c>
      <c r="C33" s="39">
        <f>IF(Settings!$B$9="No",MAX(0,F32),F32)</f>
        <v/>
      </c>
      <c r="D33" s="24">
        <f>ROUND(Settings!$B$7*SUMIFS(Calc!$T$6:$T$183,Calc!$DP$6:$DP$183,B33),2)</f>
        <v/>
      </c>
      <c r="E33" s="24">
        <f>SUMIFS(Calc!$AA$6:$AA$183,Calc!$DP$6:$DP$183,B33,Calc!$A$6:$A$183,"&gt;="&amp;DATE(YEAR(Settings!$B$6),MONTH(Settings!$B$6),1))</f>
        <v/>
      </c>
      <c r="F33" s="39">
        <f>ROUND(C33+D33-E33,2)</f>
        <v/>
      </c>
      <c r="G33" s="23">
        <f>IF(A33="","",IF(TODAY()&lt;EDATE(B33,3),"In progress",IF(F33&lt;=0,"✓ Settled","Carried forward")))</f>
        <v/>
      </c>
    </row>
    <row r="34">
      <c r="A34" s="23">
        <f>IF(B34&gt;TODAY(),"","Q"&amp;(INT((MONTH(B34)-1)/3)+1)&amp;" "&amp;YEAR(B34))</f>
        <v/>
      </c>
      <c r="B34" s="38">
        <f>EDATE(B33,3)</f>
        <v/>
      </c>
      <c r="C34" s="39">
        <f>IF(Settings!$B$9="No",MAX(0,F33),F33)</f>
        <v/>
      </c>
      <c r="D34" s="24">
        <f>ROUND(Settings!$B$7*SUMIFS(Calc!$T$6:$T$183,Calc!$DP$6:$DP$183,B34),2)</f>
        <v/>
      </c>
      <c r="E34" s="24">
        <f>SUMIFS(Calc!$AA$6:$AA$183,Calc!$DP$6:$DP$183,B34,Calc!$A$6:$A$183,"&gt;="&amp;DATE(YEAR(Settings!$B$6),MONTH(Settings!$B$6),1))</f>
        <v/>
      </c>
      <c r="F34" s="39">
        <f>ROUND(C34+D34-E34,2)</f>
        <v/>
      </c>
      <c r="G34" s="23">
        <f>IF(A34="","",IF(TODAY()&lt;EDATE(B34,3),"In progress",IF(F34&lt;=0,"✓ Settled","Carried forward")))</f>
        <v/>
      </c>
    </row>
    <row r="35">
      <c r="A35" s="23">
        <f>IF(B35&gt;TODAY(),"","Q"&amp;(INT((MONTH(B35)-1)/3)+1)&amp;" "&amp;YEAR(B35))</f>
        <v/>
      </c>
      <c r="B35" s="38">
        <f>EDATE(B34,3)</f>
        <v/>
      </c>
      <c r="C35" s="39">
        <f>IF(Settings!$B$9="No",MAX(0,F34),F34)</f>
        <v/>
      </c>
      <c r="D35" s="24">
        <f>ROUND(Settings!$B$7*SUMIFS(Calc!$T$6:$T$183,Calc!$DP$6:$DP$183,B35),2)</f>
        <v/>
      </c>
      <c r="E35" s="24">
        <f>SUMIFS(Calc!$AA$6:$AA$183,Calc!$DP$6:$DP$183,B35,Calc!$A$6:$A$183,"&gt;="&amp;DATE(YEAR(Settings!$B$6),MONTH(Settings!$B$6),1))</f>
        <v/>
      </c>
      <c r="F35" s="39">
        <f>ROUND(C35+D35-E35,2)</f>
        <v/>
      </c>
      <c r="G35" s="23">
        <f>IF(A35="","",IF(TODAY()&lt;EDATE(B35,3),"In progress",IF(F35&lt;=0,"✓ Settled","Carried forward")))</f>
        <v/>
      </c>
    </row>
    <row r="36">
      <c r="A36" s="23">
        <f>IF(B36&gt;TODAY(),"","Q"&amp;(INT((MONTH(B36)-1)/3)+1)&amp;" "&amp;YEAR(B36))</f>
        <v/>
      </c>
      <c r="B36" s="38">
        <f>EDATE(B35,3)</f>
        <v/>
      </c>
      <c r="C36" s="39">
        <f>IF(Settings!$B$9="No",MAX(0,F35),F35)</f>
        <v/>
      </c>
      <c r="D36" s="24">
        <f>ROUND(Settings!$B$7*SUMIFS(Calc!$T$6:$T$183,Calc!$DP$6:$DP$183,B36),2)</f>
        <v/>
      </c>
      <c r="E36" s="24">
        <f>SUMIFS(Calc!$AA$6:$AA$183,Calc!$DP$6:$DP$183,B36,Calc!$A$6:$A$183,"&gt;="&amp;DATE(YEAR(Settings!$B$6),MONTH(Settings!$B$6),1))</f>
        <v/>
      </c>
      <c r="F36" s="39">
        <f>ROUND(C36+D36-E36,2)</f>
        <v/>
      </c>
      <c r="G36" s="23">
        <f>IF(A36="","",IF(TODAY()&lt;EDATE(B36,3),"In progress",IF(F36&lt;=0,"✓ Settled","Carried forward")))</f>
        <v/>
      </c>
    </row>
    <row r="37">
      <c r="A37" s="23">
        <f>IF(B37&gt;TODAY(),"","Q"&amp;(INT((MONTH(B37)-1)/3)+1)&amp;" "&amp;YEAR(B37))</f>
        <v/>
      </c>
      <c r="B37" s="38">
        <f>EDATE(B36,3)</f>
        <v/>
      </c>
      <c r="C37" s="39">
        <f>IF(Settings!$B$9="No",MAX(0,F36),F36)</f>
        <v/>
      </c>
      <c r="D37" s="24">
        <f>ROUND(Settings!$B$7*SUMIFS(Calc!$T$6:$T$183,Calc!$DP$6:$DP$183,B37),2)</f>
        <v/>
      </c>
      <c r="E37" s="24">
        <f>SUMIFS(Calc!$AA$6:$AA$183,Calc!$DP$6:$DP$183,B37,Calc!$A$6:$A$183,"&gt;="&amp;DATE(YEAR(Settings!$B$6),MONTH(Settings!$B$6),1))</f>
        <v/>
      </c>
      <c r="F37" s="39">
        <f>ROUND(C37+D37-E37,2)</f>
        <v/>
      </c>
      <c r="G37" s="23">
        <f>IF(A37="","",IF(TODAY()&lt;EDATE(B37,3),"In progress",IF(F37&lt;=0,"✓ Settled","Carried forward")))</f>
        <v/>
      </c>
    </row>
    <row r="38">
      <c r="A38" s="23">
        <f>IF(B38&gt;TODAY(),"","Q"&amp;(INT((MONTH(B38)-1)/3)+1)&amp;" "&amp;YEAR(B38))</f>
        <v/>
      </c>
      <c r="B38" s="38">
        <f>EDATE(B37,3)</f>
        <v/>
      </c>
      <c r="C38" s="39">
        <f>IF(Settings!$B$9="No",MAX(0,F37),F37)</f>
        <v/>
      </c>
      <c r="D38" s="24">
        <f>ROUND(Settings!$B$7*SUMIFS(Calc!$T$6:$T$183,Calc!$DP$6:$DP$183,B38),2)</f>
        <v/>
      </c>
      <c r="E38" s="24">
        <f>SUMIFS(Calc!$AA$6:$AA$183,Calc!$DP$6:$DP$183,B38,Calc!$A$6:$A$183,"&gt;="&amp;DATE(YEAR(Settings!$B$6),MONTH(Settings!$B$6),1))</f>
        <v/>
      </c>
      <c r="F38" s="39">
        <f>ROUND(C38+D38-E38,2)</f>
        <v/>
      </c>
      <c r="G38" s="23">
        <f>IF(A38="","",IF(TODAY()&lt;EDATE(B38,3),"In progress",IF(F38&lt;=0,"✓ Settled","Carried forward")))</f>
        <v/>
      </c>
    </row>
    <row r="39">
      <c r="A39" s="23">
        <f>IF(B39&gt;TODAY(),"","Q"&amp;(INT((MONTH(B39)-1)/3)+1)&amp;" "&amp;YEAR(B39))</f>
        <v/>
      </c>
      <c r="B39" s="38">
        <f>EDATE(B38,3)</f>
        <v/>
      </c>
      <c r="C39" s="39">
        <f>IF(Settings!$B$9="No",MAX(0,F38),F38)</f>
        <v/>
      </c>
      <c r="D39" s="24">
        <f>ROUND(Settings!$B$7*SUMIFS(Calc!$T$6:$T$183,Calc!$DP$6:$DP$183,B39),2)</f>
        <v/>
      </c>
      <c r="E39" s="24">
        <f>SUMIFS(Calc!$AA$6:$AA$183,Calc!$DP$6:$DP$183,B39,Calc!$A$6:$A$183,"&gt;="&amp;DATE(YEAR(Settings!$B$6),MONTH(Settings!$B$6),1))</f>
        <v/>
      </c>
      <c r="F39" s="39">
        <f>ROUND(C39+D39-E39,2)</f>
        <v/>
      </c>
      <c r="G39" s="23">
        <f>IF(A39="","",IF(TODAY()&lt;EDATE(B39,3),"In progress",IF(F39&lt;=0,"✓ Settled","Carried forward")))</f>
        <v/>
      </c>
    </row>
    <row r="40">
      <c r="A40" s="23">
        <f>IF(B40&gt;TODAY(),"","Q"&amp;(INT((MONTH(B40)-1)/3)+1)&amp;" "&amp;YEAR(B40))</f>
        <v/>
      </c>
      <c r="B40" s="38">
        <f>EDATE(B39,3)</f>
        <v/>
      </c>
      <c r="C40" s="39">
        <f>IF(Settings!$B$9="No",MAX(0,F39),F39)</f>
        <v/>
      </c>
      <c r="D40" s="24">
        <f>ROUND(Settings!$B$7*SUMIFS(Calc!$T$6:$T$183,Calc!$DP$6:$DP$183,B40),2)</f>
        <v/>
      </c>
      <c r="E40" s="24">
        <f>SUMIFS(Calc!$AA$6:$AA$183,Calc!$DP$6:$DP$183,B40,Calc!$A$6:$A$183,"&gt;="&amp;DATE(YEAR(Settings!$B$6),MONTH(Settings!$B$6),1))</f>
        <v/>
      </c>
      <c r="F40" s="39">
        <f>ROUND(C40+D40-E40,2)</f>
        <v/>
      </c>
      <c r="G40" s="23">
        <f>IF(A40="","",IF(TODAY()&lt;EDATE(B40,3),"In progress",IF(F40&lt;=0,"✓ Settled","Carried forward")))</f>
        <v/>
      </c>
    </row>
    <row r="41">
      <c r="A41" s="23">
        <f>IF(B41&gt;TODAY(),"","Q"&amp;(INT((MONTH(B41)-1)/3)+1)&amp;" "&amp;YEAR(B41))</f>
        <v/>
      </c>
      <c r="B41" s="38">
        <f>EDATE(B40,3)</f>
        <v/>
      </c>
      <c r="C41" s="39">
        <f>IF(Settings!$B$9="No",MAX(0,F40),F40)</f>
        <v/>
      </c>
      <c r="D41" s="24">
        <f>ROUND(Settings!$B$7*SUMIFS(Calc!$T$6:$T$183,Calc!$DP$6:$DP$183,B41),2)</f>
        <v/>
      </c>
      <c r="E41" s="24">
        <f>SUMIFS(Calc!$AA$6:$AA$183,Calc!$DP$6:$DP$183,B41,Calc!$A$6:$A$183,"&gt;="&amp;DATE(YEAR(Settings!$B$6),MONTH(Settings!$B$6),1))</f>
        <v/>
      </c>
      <c r="F41" s="39">
        <f>ROUND(C41+D41-E41,2)</f>
        <v/>
      </c>
      <c r="G41" s="23">
        <f>IF(A41="","",IF(TODAY()&lt;EDATE(B41,3),"In progress",IF(F41&lt;=0,"✓ Settled","Carried forward")))</f>
        <v/>
      </c>
    </row>
    <row r="42">
      <c r="A42" s="23">
        <f>IF(B42&gt;TODAY(),"","Q"&amp;(INT((MONTH(B42)-1)/3)+1)&amp;" "&amp;YEAR(B42))</f>
        <v/>
      </c>
      <c r="B42" s="38">
        <f>EDATE(B41,3)</f>
        <v/>
      </c>
      <c r="C42" s="39">
        <f>IF(Settings!$B$9="No",MAX(0,F41),F41)</f>
        <v/>
      </c>
      <c r="D42" s="24">
        <f>ROUND(Settings!$B$7*SUMIFS(Calc!$T$6:$T$183,Calc!$DP$6:$DP$183,B42),2)</f>
        <v/>
      </c>
      <c r="E42" s="24">
        <f>SUMIFS(Calc!$AA$6:$AA$183,Calc!$DP$6:$DP$183,B42,Calc!$A$6:$A$183,"&gt;="&amp;DATE(YEAR(Settings!$B$6),MONTH(Settings!$B$6),1))</f>
        <v/>
      </c>
      <c r="F42" s="39">
        <f>ROUND(C42+D42-E42,2)</f>
        <v/>
      </c>
      <c r="G42" s="23">
        <f>IF(A42="","",IF(TODAY()&lt;EDATE(B42,3),"In progress",IF(F42&lt;=0,"✓ Settled","Carried forward")))</f>
        <v/>
      </c>
    </row>
    <row r="43">
      <c r="A43" s="23">
        <f>IF(B43&gt;TODAY(),"","Q"&amp;(INT((MONTH(B43)-1)/3)+1)&amp;" "&amp;YEAR(B43))</f>
        <v/>
      </c>
      <c r="B43" s="38">
        <f>EDATE(B42,3)</f>
        <v/>
      </c>
      <c r="C43" s="39">
        <f>IF(Settings!$B$9="No",MAX(0,F42),F42)</f>
        <v/>
      </c>
      <c r="D43" s="24">
        <f>ROUND(Settings!$B$7*SUMIFS(Calc!$T$6:$T$183,Calc!$DP$6:$DP$183,B43),2)</f>
        <v/>
      </c>
      <c r="E43" s="24">
        <f>SUMIFS(Calc!$AA$6:$AA$183,Calc!$DP$6:$DP$183,B43,Calc!$A$6:$A$183,"&gt;="&amp;DATE(YEAR(Settings!$B$6),MONTH(Settings!$B$6),1))</f>
        <v/>
      </c>
      <c r="F43" s="39">
        <f>ROUND(C43+D43-E43,2)</f>
        <v/>
      </c>
      <c r="G43" s="23">
        <f>IF(A43="","",IF(TODAY()&lt;EDATE(B43,3),"In progress",IF(F43&lt;=0,"✓ Settled","Carried forward")))</f>
        <v/>
      </c>
    </row>
    <row r="44">
      <c r="A44" s="23">
        <f>IF(B44&gt;TODAY(),"","Q"&amp;(INT((MONTH(B44)-1)/3)+1)&amp;" "&amp;YEAR(B44))</f>
        <v/>
      </c>
      <c r="B44" s="38">
        <f>EDATE(B43,3)</f>
        <v/>
      </c>
      <c r="C44" s="39">
        <f>IF(Settings!$B$9="No",MAX(0,F43),F43)</f>
        <v/>
      </c>
      <c r="D44" s="24">
        <f>ROUND(Settings!$B$7*SUMIFS(Calc!$T$6:$T$183,Calc!$DP$6:$DP$183,B44),2)</f>
        <v/>
      </c>
      <c r="E44" s="24">
        <f>SUMIFS(Calc!$AA$6:$AA$183,Calc!$DP$6:$DP$183,B44,Calc!$A$6:$A$183,"&gt;="&amp;DATE(YEAR(Settings!$B$6),MONTH(Settings!$B$6),1))</f>
        <v/>
      </c>
      <c r="F44" s="39">
        <f>ROUND(C44+D44-E44,2)</f>
        <v/>
      </c>
      <c r="G44" s="23">
        <f>IF(A44="","",IF(TODAY()&lt;EDATE(B44,3),"In progress",IF(F44&lt;=0,"✓ Settled","Carried forward")))</f>
        <v/>
      </c>
    </row>
    <row r="45">
      <c r="A45" s="23">
        <f>IF(B45&gt;TODAY(),"","Q"&amp;(INT((MONTH(B45)-1)/3)+1)&amp;" "&amp;YEAR(B45))</f>
        <v/>
      </c>
      <c r="B45" s="38">
        <f>EDATE(B44,3)</f>
        <v/>
      </c>
      <c r="C45" s="39">
        <f>IF(Settings!$B$9="No",MAX(0,F44),F44)</f>
        <v/>
      </c>
      <c r="D45" s="24">
        <f>ROUND(Settings!$B$7*SUMIFS(Calc!$T$6:$T$183,Calc!$DP$6:$DP$183,B45),2)</f>
        <v/>
      </c>
      <c r="E45" s="24">
        <f>SUMIFS(Calc!$AA$6:$AA$183,Calc!$DP$6:$DP$183,B45,Calc!$A$6:$A$183,"&gt;="&amp;DATE(YEAR(Settings!$B$6),MONTH(Settings!$B$6),1))</f>
        <v/>
      </c>
      <c r="F45" s="39">
        <f>ROUND(C45+D45-E45,2)</f>
        <v/>
      </c>
      <c r="G45" s="23">
        <f>IF(A45="","",IF(TODAY()&lt;EDATE(B45,3),"In progress",IF(F45&lt;=0,"✓ Settled","Carried forward")))</f>
        <v/>
      </c>
    </row>
    <row r="46">
      <c r="A46" s="23">
        <f>IF(B46&gt;TODAY(),"","Q"&amp;(INT((MONTH(B46)-1)/3)+1)&amp;" "&amp;YEAR(B46))</f>
        <v/>
      </c>
      <c r="B46" s="38">
        <f>EDATE(B45,3)</f>
        <v/>
      </c>
      <c r="C46" s="39">
        <f>IF(Settings!$B$9="No",MAX(0,F45),F45)</f>
        <v/>
      </c>
      <c r="D46" s="24">
        <f>ROUND(Settings!$B$7*SUMIFS(Calc!$T$6:$T$183,Calc!$DP$6:$DP$183,B46),2)</f>
        <v/>
      </c>
      <c r="E46" s="24">
        <f>SUMIFS(Calc!$AA$6:$AA$183,Calc!$DP$6:$DP$183,B46,Calc!$A$6:$A$183,"&gt;="&amp;DATE(YEAR(Settings!$B$6),MONTH(Settings!$B$6),1))</f>
        <v/>
      </c>
      <c r="F46" s="39">
        <f>ROUND(C46+D46-E46,2)</f>
        <v/>
      </c>
      <c r="G46" s="23">
        <f>IF(A46="","",IF(TODAY()&lt;EDATE(B46,3),"In progress",IF(F46&lt;=0,"✓ Settled","Carried forward")))</f>
        <v/>
      </c>
    </row>
    <row r="47">
      <c r="A47" s="23">
        <f>IF(B47&gt;TODAY(),"","Q"&amp;(INT((MONTH(B47)-1)/3)+1)&amp;" "&amp;YEAR(B47))</f>
        <v/>
      </c>
      <c r="B47" s="38">
        <f>EDATE(B46,3)</f>
        <v/>
      </c>
      <c r="C47" s="39">
        <f>IF(Settings!$B$9="No",MAX(0,F46),F46)</f>
        <v/>
      </c>
      <c r="D47" s="24">
        <f>ROUND(Settings!$B$7*SUMIFS(Calc!$T$6:$T$183,Calc!$DP$6:$DP$183,B47),2)</f>
        <v/>
      </c>
      <c r="E47" s="24">
        <f>SUMIFS(Calc!$AA$6:$AA$183,Calc!$DP$6:$DP$183,B47,Calc!$A$6:$A$183,"&gt;="&amp;DATE(YEAR(Settings!$B$6),MONTH(Settings!$B$6),1))</f>
        <v/>
      </c>
      <c r="F47" s="39">
        <f>ROUND(C47+D47-E47,2)</f>
        <v/>
      </c>
      <c r="G47" s="23">
        <f>IF(A47="","",IF(TODAY()&lt;EDATE(B47,3),"In progress",IF(F47&lt;=0,"✓ Settled","Carried forward")))</f>
        <v/>
      </c>
    </row>
    <row r="48">
      <c r="A48" s="23">
        <f>IF(B48&gt;TODAY(),"","Q"&amp;(INT((MONTH(B48)-1)/3)+1)&amp;" "&amp;YEAR(B48))</f>
        <v/>
      </c>
      <c r="B48" s="38">
        <f>EDATE(B47,3)</f>
        <v/>
      </c>
      <c r="C48" s="39">
        <f>IF(Settings!$B$9="No",MAX(0,F47),F47)</f>
        <v/>
      </c>
      <c r="D48" s="24">
        <f>ROUND(Settings!$B$7*SUMIFS(Calc!$T$6:$T$183,Calc!$DP$6:$DP$183,B48),2)</f>
        <v/>
      </c>
      <c r="E48" s="24">
        <f>SUMIFS(Calc!$AA$6:$AA$183,Calc!$DP$6:$DP$183,B48,Calc!$A$6:$A$183,"&gt;="&amp;DATE(YEAR(Settings!$B$6),MONTH(Settings!$B$6),1))</f>
        <v/>
      </c>
      <c r="F48" s="39">
        <f>ROUND(C48+D48-E48,2)</f>
        <v/>
      </c>
      <c r="G48" s="23">
        <f>IF(A48="","",IF(TODAY()&lt;EDATE(B48,3),"In progress",IF(F48&lt;=0,"✓ Settled","Carried forward")))</f>
        <v/>
      </c>
    </row>
    <row r="49">
      <c r="A49" s="23">
        <f>IF(B49&gt;TODAY(),"","Q"&amp;(INT((MONTH(B49)-1)/3)+1)&amp;" "&amp;YEAR(B49))</f>
        <v/>
      </c>
      <c r="B49" s="38">
        <f>EDATE(B48,3)</f>
        <v/>
      </c>
      <c r="C49" s="39">
        <f>IF(Settings!$B$9="No",MAX(0,F48),F48)</f>
        <v/>
      </c>
      <c r="D49" s="24">
        <f>ROUND(Settings!$B$7*SUMIFS(Calc!$T$6:$T$183,Calc!$DP$6:$DP$183,B49),2)</f>
        <v/>
      </c>
      <c r="E49" s="24">
        <f>SUMIFS(Calc!$AA$6:$AA$183,Calc!$DP$6:$DP$183,B49,Calc!$A$6:$A$183,"&gt;="&amp;DATE(YEAR(Settings!$B$6),MONTH(Settings!$B$6),1))</f>
        <v/>
      </c>
      <c r="F49" s="39">
        <f>ROUND(C49+D49-E49,2)</f>
        <v/>
      </c>
      <c r="G49" s="23">
        <f>IF(A49="","",IF(TODAY()&lt;EDATE(B49,3),"In progress",IF(F49&lt;=0,"✓ Settled","Carried forward")))</f>
        <v/>
      </c>
    </row>
    <row r="50">
      <c r="A50" s="23">
        <f>IF(B50&gt;TODAY(),"","Q"&amp;(INT((MONTH(B50)-1)/3)+1)&amp;" "&amp;YEAR(B50))</f>
        <v/>
      </c>
      <c r="B50" s="38">
        <f>EDATE(B49,3)</f>
        <v/>
      </c>
      <c r="C50" s="39">
        <f>IF(Settings!$B$9="No",MAX(0,F49),F49)</f>
        <v/>
      </c>
      <c r="D50" s="24">
        <f>ROUND(Settings!$B$7*SUMIFS(Calc!$T$6:$T$183,Calc!$DP$6:$DP$183,B50),2)</f>
        <v/>
      </c>
      <c r="E50" s="24">
        <f>SUMIFS(Calc!$AA$6:$AA$183,Calc!$DP$6:$DP$183,B50,Calc!$A$6:$A$183,"&gt;="&amp;DATE(YEAR(Settings!$B$6),MONTH(Settings!$B$6),1))</f>
        <v/>
      </c>
      <c r="F50" s="39">
        <f>ROUND(C50+D50-E50,2)</f>
        <v/>
      </c>
      <c r="G50" s="23">
        <f>IF(A50="","",IF(TODAY()&lt;EDATE(B50,3),"In progress",IF(F50&lt;=0,"✓ Settled","Carried forward")))</f>
        <v/>
      </c>
    </row>
    <row r="51">
      <c r="A51" s="23">
        <f>IF(B51&gt;TODAY(),"","Q"&amp;(INT((MONTH(B51)-1)/3)+1)&amp;" "&amp;YEAR(B51))</f>
        <v/>
      </c>
      <c r="B51" s="38">
        <f>EDATE(B50,3)</f>
        <v/>
      </c>
      <c r="C51" s="39">
        <f>IF(Settings!$B$9="No",MAX(0,F50),F50)</f>
        <v/>
      </c>
      <c r="D51" s="24">
        <f>ROUND(Settings!$B$7*SUMIFS(Calc!$T$6:$T$183,Calc!$DP$6:$DP$183,B51),2)</f>
        <v/>
      </c>
      <c r="E51" s="24">
        <f>SUMIFS(Calc!$AA$6:$AA$183,Calc!$DP$6:$DP$183,B51,Calc!$A$6:$A$183,"&gt;="&amp;DATE(YEAR(Settings!$B$6),MONTH(Settings!$B$6),1))</f>
        <v/>
      </c>
      <c r="F51" s="39">
        <f>ROUND(C51+D51-E51,2)</f>
        <v/>
      </c>
      <c r="G51" s="23">
        <f>IF(A51="","",IF(TODAY()&lt;EDATE(B51,3),"In progress",IF(F51&lt;=0,"✓ Settled","Carried forward")))</f>
        <v/>
      </c>
    </row>
    <row r="52">
      <c r="A52" s="23">
        <f>IF(B52&gt;TODAY(),"","Q"&amp;(INT((MONTH(B52)-1)/3)+1)&amp;" "&amp;YEAR(B52))</f>
        <v/>
      </c>
      <c r="B52" s="38">
        <f>EDATE(B51,3)</f>
        <v/>
      </c>
      <c r="C52" s="39">
        <f>IF(Settings!$B$9="No",MAX(0,F51),F51)</f>
        <v/>
      </c>
      <c r="D52" s="24">
        <f>ROUND(Settings!$B$7*SUMIFS(Calc!$T$6:$T$183,Calc!$DP$6:$DP$183,B52),2)</f>
        <v/>
      </c>
      <c r="E52" s="24">
        <f>SUMIFS(Calc!$AA$6:$AA$183,Calc!$DP$6:$DP$183,B52,Calc!$A$6:$A$183,"&gt;="&amp;DATE(YEAR(Settings!$B$6),MONTH(Settings!$B$6),1))</f>
        <v/>
      </c>
      <c r="F52" s="39">
        <f>ROUND(C52+D52-E52,2)</f>
        <v/>
      </c>
      <c r="G52" s="23">
        <f>IF(A52="","",IF(TODAY()&lt;EDATE(B52,3),"In progress",IF(F52&lt;=0,"✓ Settled","Carried forward")))</f>
        <v/>
      </c>
    </row>
    <row r="53">
      <c r="A53" s="23">
        <f>IF(B53&gt;TODAY(),"","Q"&amp;(INT((MONTH(B53)-1)/3)+1)&amp;" "&amp;YEAR(B53))</f>
        <v/>
      </c>
      <c r="B53" s="38">
        <f>EDATE(B52,3)</f>
        <v/>
      </c>
      <c r="C53" s="39">
        <f>IF(Settings!$B$9="No",MAX(0,F52),F52)</f>
        <v/>
      </c>
      <c r="D53" s="24">
        <f>ROUND(Settings!$B$7*SUMIFS(Calc!$T$6:$T$183,Calc!$DP$6:$DP$183,B53),2)</f>
        <v/>
      </c>
      <c r="E53" s="24">
        <f>SUMIFS(Calc!$AA$6:$AA$183,Calc!$DP$6:$DP$183,B53,Calc!$A$6:$A$183,"&gt;="&amp;DATE(YEAR(Settings!$B$6),MONTH(Settings!$B$6),1))</f>
        <v/>
      </c>
      <c r="F53" s="39">
        <f>ROUND(C53+D53-E53,2)</f>
        <v/>
      </c>
      <c r="G53" s="23">
        <f>IF(A53="","",IF(TODAY()&lt;EDATE(B53,3),"In progress",IF(F53&lt;=0,"✓ Settled","Carried forward")))</f>
        <v/>
      </c>
    </row>
    <row r="54">
      <c r="A54" s="23">
        <f>IF(B54&gt;TODAY(),"","Q"&amp;(INT((MONTH(B54)-1)/3)+1)&amp;" "&amp;YEAR(B54))</f>
        <v/>
      </c>
      <c r="B54" s="38">
        <f>EDATE(B53,3)</f>
        <v/>
      </c>
      <c r="C54" s="39">
        <f>IF(Settings!$B$9="No",MAX(0,F53),F53)</f>
        <v/>
      </c>
      <c r="D54" s="24">
        <f>ROUND(Settings!$B$7*SUMIFS(Calc!$T$6:$T$183,Calc!$DP$6:$DP$183,B54),2)</f>
        <v/>
      </c>
      <c r="E54" s="24">
        <f>SUMIFS(Calc!$AA$6:$AA$183,Calc!$DP$6:$DP$183,B54,Calc!$A$6:$A$183,"&gt;="&amp;DATE(YEAR(Settings!$B$6),MONTH(Settings!$B$6),1))</f>
        <v/>
      </c>
      <c r="F54" s="39">
        <f>ROUND(C54+D54-E54,2)</f>
        <v/>
      </c>
      <c r="G54" s="23">
        <f>IF(A54="","",IF(TODAY()&lt;EDATE(B54,3),"In progress",IF(F54&lt;=0,"✓ Settled","Carried forward")))</f>
        <v/>
      </c>
    </row>
    <row r="55">
      <c r="A55" s="23">
        <f>IF(B55&gt;TODAY(),"","Q"&amp;(INT((MONTH(B55)-1)/3)+1)&amp;" "&amp;YEAR(B55))</f>
        <v/>
      </c>
      <c r="B55" s="38">
        <f>EDATE(B54,3)</f>
        <v/>
      </c>
      <c r="C55" s="39">
        <f>IF(Settings!$B$9="No",MAX(0,F54),F54)</f>
        <v/>
      </c>
      <c r="D55" s="24">
        <f>ROUND(Settings!$B$7*SUMIFS(Calc!$T$6:$T$183,Calc!$DP$6:$DP$183,B55),2)</f>
        <v/>
      </c>
      <c r="E55" s="24">
        <f>SUMIFS(Calc!$AA$6:$AA$183,Calc!$DP$6:$DP$183,B55,Calc!$A$6:$A$183,"&gt;="&amp;DATE(YEAR(Settings!$B$6),MONTH(Settings!$B$6),1))</f>
        <v/>
      </c>
      <c r="F55" s="39">
        <f>ROUND(C55+D55-E55,2)</f>
        <v/>
      </c>
      <c r="G55" s="23">
        <f>IF(A55="","",IF(TODAY()&lt;EDATE(B55,3),"In progress",IF(F55&lt;=0,"✓ Settled","Carried forward")))</f>
        <v/>
      </c>
    </row>
    <row r="56">
      <c r="A56" s="23">
        <f>IF(B56&gt;TODAY(),"","Q"&amp;(INT((MONTH(B56)-1)/3)+1)&amp;" "&amp;YEAR(B56))</f>
        <v/>
      </c>
      <c r="B56" s="38">
        <f>EDATE(B55,3)</f>
        <v/>
      </c>
      <c r="C56" s="39">
        <f>IF(Settings!$B$9="No",MAX(0,F55),F55)</f>
        <v/>
      </c>
      <c r="D56" s="24">
        <f>ROUND(Settings!$B$7*SUMIFS(Calc!$T$6:$T$183,Calc!$DP$6:$DP$183,B56),2)</f>
        <v/>
      </c>
      <c r="E56" s="24">
        <f>SUMIFS(Calc!$AA$6:$AA$183,Calc!$DP$6:$DP$183,B56,Calc!$A$6:$A$183,"&gt;="&amp;DATE(YEAR(Settings!$B$6),MONTH(Settings!$B$6),1))</f>
        <v/>
      </c>
      <c r="F56" s="39">
        <f>ROUND(C56+D56-E56,2)</f>
        <v/>
      </c>
      <c r="G56" s="23">
        <f>IF(A56="","",IF(TODAY()&lt;EDATE(B56,3),"In progress",IF(F56&lt;=0,"✓ Settled","Carried forward")))</f>
        <v/>
      </c>
    </row>
    <row r="57">
      <c r="A57" s="23">
        <f>IF(B57&gt;TODAY(),"","Q"&amp;(INT((MONTH(B57)-1)/3)+1)&amp;" "&amp;YEAR(B57))</f>
        <v/>
      </c>
      <c r="B57" s="38">
        <f>EDATE(B56,3)</f>
        <v/>
      </c>
      <c r="C57" s="39">
        <f>IF(Settings!$B$9="No",MAX(0,F56),F56)</f>
        <v/>
      </c>
      <c r="D57" s="24">
        <f>ROUND(Settings!$B$7*SUMIFS(Calc!$T$6:$T$183,Calc!$DP$6:$DP$183,B57),2)</f>
        <v/>
      </c>
      <c r="E57" s="24">
        <f>SUMIFS(Calc!$AA$6:$AA$183,Calc!$DP$6:$DP$183,B57,Calc!$A$6:$A$183,"&gt;="&amp;DATE(YEAR(Settings!$B$6),MONTH(Settings!$B$6),1))</f>
        <v/>
      </c>
      <c r="F57" s="39">
        <f>ROUND(C57+D57-E57,2)</f>
        <v/>
      </c>
      <c r="G57" s="23">
        <f>IF(A57="","",IF(TODAY()&lt;EDATE(B57,3),"In progress",IF(F57&lt;=0,"✓ Settled","Carried forward")))</f>
        <v/>
      </c>
    </row>
    <row r="58">
      <c r="A58" s="23">
        <f>IF(B58&gt;TODAY(),"","Q"&amp;(INT((MONTH(B58)-1)/3)+1)&amp;" "&amp;YEAR(B58))</f>
        <v/>
      </c>
      <c r="B58" s="38">
        <f>EDATE(B57,3)</f>
        <v/>
      </c>
      <c r="C58" s="39">
        <f>IF(Settings!$B$9="No",MAX(0,F57),F57)</f>
        <v/>
      </c>
      <c r="D58" s="24">
        <f>ROUND(Settings!$B$7*SUMIFS(Calc!$T$6:$T$183,Calc!$DP$6:$DP$183,B58),2)</f>
        <v/>
      </c>
      <c r="E58" s="24">
        <f>SUMIFS(Calc!$AA$6:$AA$183,Calc!$DP$6:$DP$183,B58,Calc!$A$6:$A$183,"&gt;="&amp;DATE(YEAR(Settings!$B$6),MONTH(Settings!$B$6),1))</f>
        <v/>
      </c>
      <c r="F58" s="39">
        <f>ROUND(C58+D58-E58,2)</f>
        <v/>
      </c>
      <c r="G58" s="23">
        <f>IF(A58="","",IF(TODAY()&lt;EDATE(B58,3),"In progress",IF(F58&lt;=0,"✓ Settled","Carried forward")))</f>
        <v/>
      </c>
    </row>
    <row r="59">
      <c r="A59" s="23">
        <f>IF(B59&gt;TODAY(),"","Q"&amp;(INT((MONTH(B59)-1)/3)+1)&amp;" "&amp;YEAR(B59))</f>
        <v/>
      </c>
      <c r="B59" s="38">
        <f>EDATE(B58,3)</f>
        <v/>
      </c>
      <c r="C59" s="39">
        <f>IF(Settings!$B$9="No",MAX(0,F58),F58)</f>
        <v/>
      </c>
      <c r="D59" s="24">
        <f>ROUND(Settings!$B$7*SUMIFS(Calc!$T$6:$T$183,Calc!$DP$6:$DP$183,B59),2)</f>
        <v/>
      </c>
      <c r="E59" s="24">
        <f>SUMIFS(Calc!$AA$6:$AA$183,Calc!$DP$6:$DP$183,B59,Calc!$A$6:$A$183,"&gt;="&amp;DATE(YEAR(Settings!$B$6),MONTH(Settings!$B$6),1))</f>
        <v/>
      </c>
      <c r="F59" s="39">
        <f>ROUND(C59+D59-E59,2)</f>
        <v/>
      </c>
      <c r="G59" s="23">
        <f>IF(A59="","",IF(TODAY()&lt;EDATE(B59,3),"In progress",IF(F59&lt;=0,"✓ Settled","Carried forward")))</f>
        <v/>
      </c>
    </row>
    <row r="60">
      <c r="A60" s="23">
        <f>IF(B60&gt;TODAY(),"","Q"&amp;(INT((MONTH(B60)-1)/3)+1)&amp;" "&amp;YEAR(B60))</f>
        <v/>
      </c>
      <c r="B60" s="38">
        <f>EDATE(B59,3)</f>
        <v/>
      </c>
      <c r="C60" s="39">
        <f>IF(Settings!$B$9="No",MAX(0,F59),F59)</f>
        <v/>
      </c>
      <c r="D60" s="24">
        <f>ROUND(Settings!$B$7*SUMIFS(Calc!$T$6:$T$183,Calc!$DP$6:$DP$183,B60),2)</f>
        <v/>
      </c>
      <c r="E60" s="24">
        <f>SUMIFS(Calc!$AA$6:$AA$183,Calc!$DP$6:$DP$183,B60,Calc!$A$6:$A$183,"&gt;="&amp;DATE(YEAR(Settings!$B$6),MONTH(Settings!$B$6),1))</f>
        <v/>
      </c>
      <c r="F60" s="39">
        <f>ROUND(C60+D60-E60,2)</f>
        <v/>
      </c>
      <c r="G60" s="23">
        <f>IF(A60="","",IF(TODAY()&lt;EDATE(B60,3),"In progress",IF(F60&lt;=0,"✓ Settled","Carried forward")))</f>
        <v/>
      </c>
    </row>
    <row r="61">
      <c r="A61" s="23">
        <f>IF(B61&gt;TODAY(),"","Q"&amp;(INT((MONTH(B61)-1)/3)+1)&amp;" "&amp;YEAR(B61))</f>
        <v/>
      </c>
      <c r="B61" s="38">
        <f>EDATE(B60,3)</f>
        <v/>
      </c>
      <c r="C61" s="39">
        <f>IF(Settings!$B$9="No",MAX(0,F60),F60)</f>
        <v/>
      </c>
      <c r="D61" s="24">
        <f>ROUND(Settings!$B$7*SUMIFS(Calc!$T$6:$T$183,Calc!$DP$6:$DP$183,B61),2)</f>
        <v/>
      </c>
      <c r="E61" s="24">
        <f>SUMIFS(Calc!$AA$6:$AA$183,Calc!$DP$6:$DP$183,B61,Calc!$A$6:$A$183,"&gt;="&amp;DATE(YEAR(Settings!$B$6),MONTH(Settings!$B$6),1))</f>
        <v/>
      </c>
      <c r="F61" s="39">
        <f>ROUND(C61+D61-E61,2)</f>
        <v/>
      </c>
      <c r="G61" s="23">
        <f>IF(A61="","",IF(TODAY()&lt;EDATE(B61,3),"In progress",IF(F61&lt;=0,"✓ Settled","Carried forward")))</f>
        <v/>
      </c>
    </row>
    <row r="62">
      <c r="A62" s="23">
        <f>IF(B62&gt;TODAY(),"","Q"&amp;(INT((MONTH(B62)-1)/3)+1)&amp;" "&amp;YEAR(B62))</f>
        <v/>
      </c>
      <c r="B62" s="38">
        <f>EDATE(B61,3)</f>
        <v/>
      </c>
      <c r="C62" s="39">
        <f>IF(Settings!$B$9="No",MAX(0,F61),F61)</f>
        <v/>
      </c>
      <c r="D62" s="24">
        <f>ROUND(Settings!$B$7*SUMIFS(Calc!$T$6:$T$183,Calc!$DP$6:$DP$183,B62),2)</f>
        <v/>
      </c>
      <c r="E62" s="24">
        <f>SUMIFS(Calc!$AA$6:$AA$183,Calc!$DP$6:$DP$183,B62,Calc!$A$6:$A$183,"&gt;="&amp;DATE(YEAR(Settings!$B$6),MONTH(Settings!$B$6),1))</f>
        <v/>
      </c>
      <c r="F62" s="39">
        <f>ROUND(C62+D62-E62,2)</f>
        <v/>
      </c>
      <c r="G62" s="23">
        <f>IF(A62="","",IF(TODAY()&lt;EDATE(B62,3),"In progress",IF(F62&lt;=0,"✓ Settled","Carried forward")))</f>
        <v/>
      </c>
    </row>
    <row r="63">
      <c r="A63" s="23">
        <f>IF(B63&gt;TODAY(),"","Q"&amp;(INT((MONTH(B63)-1)/3)+1)&amp;" "&amp;YEAR(B63))</f>
        <v/>
      </c>
      <c r="B63" s="38">
        <f>EDATE(B62,3)</f>
        <v/>
      </c>
      <c r="C63" s="39">
        <f>IF(Settings!$B$9="No",MAX(0,F62),F62)</f>
        <v/>
      </c>
      <c r="D63" s="24">
        <f>ROUND(Settings!$B$7*SUMIFS(Calc!$T$6:$T$183,Calc!$DP$6:$DP$183,B63),2)</f>
        <v/>
      </c>
      <c r="E63" s="24">
        <f>SUMIFS(Calc!$AA$6:$AA$183,Calc!$DP$6:$DP$183,B63,Calc!$A$6:$A$183,"&gt;="&amp;DATE(YEAR(Settings!$B$6),MONTH(Settings!$B$6),1))</f>
        <v/>
      </c>
      <c r="F63" s="39">
        <f>ROUND(C63+D63-E63,2)</f>
        <v/>
      </c>
      <c r="G63" s="23">
        <f>IF(A63="","",IF(TODAY()&lt;EDATE(B63,3),"In progress",IF(F63&lt;=0,"✓ Settled","Carried forward")))</f>
        <v/>
      </c>
    </row>
    <row r="64">
      <c r="A64" s="23">
        <f>IF(B64&gt;TODAY(),"","Q"&amp;(INT((MONTH(B64)-1)/3)+1)&amp;" "&amp;YEAR(B64))</f>
        <v/>
      </c>
      <c r="B64" s="38">
        <f>EDATE(B63,3)</f>
        <v/>
      </c>
      <c r="C64" s="39">
        <f>IF(Settings!$B$9="No",MAX(0,F63),F63)</f>
        <v/>
      </c>
      <c r="D64" s="24">
        <f>ROUND(Settings!$B$7*SUMIFS(Calc!$T$6:$T$183,Calc!$DP$6:$DP$183,B64),2)</f>
        <v/>
      </c>
      <c r="E64" s="24">
        <f>SUMIFS(Calc!$AA$6:$AA$183,Calc!$DP$6:$DP$183,B64,Calc!$A$6:$A$183,"&gt;="&amp;DATE(YEAR(Settings!$B$6),MONTH(Settings!$B$6),1))</f>
        <v/>
      </c>
      <c r="F64" s="39">
        <f>ROUND(C64+D64-E64,2)</f>
        <v/>
      </c>
      <c r="G64" s="23">
        <f>IF(A64="","",IF(TODAY()&lt;EDATE(B64,3),"In progress",IF(F64&lt;=0,"✓ Settled","Carried forward")))</f>
        <v/>
      </c>
    </row>
    <row r="65">
      <c r="A65" s="23">
        <f>IF(B65&gt;TODAY(),"","Q"&amp;(INT((MONTH(B65)-1)/3)+1)&amp;" "&amp;YEAR(B65))</f>
        <v/>
      </c>
      <c r="B65" s="38">
        <f>EDATE(B64,3)</f>
        <v/>
      </c>
      <c r="C65" s="39">
        <f>IF(Settings!$B$9="No",MAX(0,F64),F64)</f>
        <v/>
      </c>
      <c r="D65" s="24">
        <f>ROUND(Settings!$B$7*SUMIFS(Calc!$T$6:$T$183,Calc!$DP$6:$DP$183,B65),2)</f>
        <v/>
      </c>
      <c r="E65" s="24">
        <f>SUMIFS(Calc!$AA$6:$AA$183,Calc!$DP$6:$DP$183,B65,Calc!$A$6:$A$183,"&gt;="&amp;DATE(YEAR(Settings!$B$6),MONTH(Settings!$B$6),1))</f>
        <v/>
      </c>
      <c r="F65" s="39">
        <f>ROUND(C65+D65-E65,2)</f>
        <v/>
      </c>
      <c r="G65" s="23">
        <f>IF(A65="","",IF(TODAY()&lt;EDATE(B65,3),"In progress",IF(F65&lt;=0,"✓ Settled","Carried forward")))</f>
        <v/>
      </c>
    </row>
    <row r="66">
      <c r="A66" s="23">
        <f>IF(B66&gt;TODAY(),"","Q"&amp;(INT((MONTH(B66)-1)/3)+1)&amp;" "&amp;YEAR(B66))</f>
        <v/>
      </c>
      <c r="B66" s="38">
        <f>EDATE(B65,3)</f>
        <v/>
      </c>
      <c r="C66" s="39">
        <f>IF(Settings!$B$9="No",MAX(0,F65),F65)</f>
        <v/>
      </c>
      <c r="D66" s="24">
        <f>ROUND(Settings!$B$7*SUMIFS(Calc!$T$6:$T$183,Calc!$DP$6:$DP$183,B66),2)</f>
        <v/>
      </c>
      <c r="E66" s="24">
        <f>SUMIFS(Calc!$AA$6:$AA$183,Calc!$DP$6:$DP$183,B66,Calc!$A$6:$A$183,"&gt;="&amp;DATE(YEAR(Settings!$B$6),MONTH(Settings!$B$6),1))</f>
        <v/>
      </c>
      <c r="F66" s="39">
        <f>ROUND(C66+D66-E66,2)</f>
        <v/>
      </c>
      <c r="G66" s="23">
        <f>IF(A66="","",IF(TODAY()&lt;EDATE(B66,3),"In progress",IF(F66&lt;=0,"✓ Settled","Carried forward")))</f>
        <v/>
      </c>
    </row>
    <row r="67">
      <c r="A67" s="23">
        <f>IF(B67&gt;TODAY(),"","Q"&amp;(INT((MONTH(B67)-1)/3)+1)&amp;" "&amp;YEAR(B67))</f>
        <v/>
      </c>
      <c r="B67" s="38">
        <f>EDATE(B66,3)</f>
        <v/>
      </c>
      <c r="C67" s="39">
        <f>IF(Settings!$B$9="No",MAX(0,F66),F66)</f>
        <v/>
      </c>
      <c r="D67" s="24">
        <f>ROUND(Settings!$B$7*SUMIFS(Calc!$T$6:$T$183,Calc!$DP$6:$DP$183,B67),2)</f>
        <v/>
      </c>
      <c r="E67" s="24">
        <f>SUMIFS(Calc!$AA$6:$AA$183,Calc!$DP$6:$DP$183,B67,Calc!$A$6:$A$183,"&gt;="&amp;DATE(YEAR(Settings!$B$6),MONTH(Settings!$B$6),1))</f>
        <v/>
      </c>
      <c r="F67" s="39">
        <f>ROUND(C67+D67-E67,2)</f>
        <v/>
      </c>
      <c r="G67" s="23">
        <f>IF(A67="","",IF(TODAY()&lt;EDATE(B67,3),"In progress",IF(F67&lt;=0,"✓ Settled","Carried forward")))</f>
        <v/>
      </c>
    </row>
    <row r="68">
      <c r="A68" s="23">
        <f>IF(B68&gt;TODAY(),"","Q"&amp;(INT((MONTH(B68)-1)/3)+1)&amp;" "&amp;YEAR(B68))</f>
        <v/>
      </c>
      <c r="B68" s="38">
        <f>EDATE(B67,3)</f>
        <v/>
      </c>
      <c r="C68" s="39">
        <f>IF(Settings!$B$9="No",MAX(0,F67),F67)</f>
        <v/>
      </c>
      <c r="D68" s="24">
        <f>ROUND(Settings!$B$7*SUMIFS(Calc!$T$6:$T$183,Calc!$DP$6:$DP$183,B68),2)</f>
        <v/>
      </c>
      <c r="E68" s="24">
        <f>SUMIFS(Calc!$AA$6:$AA$183,Calc!$DP$6:$DP$183,B68,Calc!$A$6:$A$183,"&gt;="&amp;DATE(YEAR(Settings!$B$6),MONTH(Settings!$B$6),1))</f>
        <v/>
      </c>
      <c r="F68" s="39">
        <f>ROUND(C68+D68-E68,2)</f>
        <v/>
      </c>
      <c r="G68" s="23">
        <f>IF(A68="","",IF(TODAY()&lt;EDATE(B68,3),"In progress",IF(F68&lt;=0,"✓ Settled","Carried forward")))</f>
        <v/>
      </c>
    </row>
    <row r="69">
      <c r="A69" s="23">
        <f>IF(B69&gt;TODAY(),"","Q"&amp;(INT((MONTH(B69)-1)/3)+1)&amp;" "&amp;YEAR(B69))</f>
        <v/>
      </c>
      <c r="B69" s="38">
        <f>EDATE(B68,3)</f>
        <v/>
      </c>
      <c r="C69" s="39">
        <f>IF(Settings!$B$9="No",MAX(0,F68),F68)</f>
        <v/>
      </c>
      <c r="D69" s="24">
        <f>ROUND(Settings!$B$7*SUMIFS(Calc!$T$6:$T$183,Calc!$DP$6:$DP$183,B69),2)</f>
        <v/>
      </c>
      <c r="E69" s="24">
        <f>SUMIFS(Calc!$AA$6:$AA$183,Calc!$DP$6:$DP$183,B69,Calc!$A$6:$A$183,"&gt;="&amp;DATE(YEAR(Settings!$B$6),MONTH(Settings!$B$6),1))</f>
        <v/>
      </c>
      <c r="F69" s="39">
        <f>ROUND(C69+D69-E69,2)</f>
        <v/>
      </c>
      <c r="G69" s="23">
        <f>IF(A69="","",IF(TODAY()&lt;EDATE(B69,3),"In progress",IF(F69&lt;=0,"✓ Settled","Carried forward")))</f>
        <v/>
      </c>
    </row>
    <row r="70">
      <c r="A70" s="23">
        <f>IF(B70&gt;TODAY(),"","Q"&amp;(INT((MONTH(B70)-1)/3)+1)&amp;" "&amp;YEAR(B70))</f>
        <v/>
      </c>
      <c r="B70" s="38">
        <f>EDATE(B69,3)</f>
        <v/>
      </c>
      <c r="C70" s="39">
        <f>IF(Settings!$B$9="No",MAX(0,F69),F69)</f>
        <v/>
      </c>
      <c r="D70" s="24">
        <f>ROUND(Settings!$B$7*SUMIFS(Calc!$T$6:$T$183,Calc!$DP$6:$DP$183,B70),2)</f>
        <v/>
      </c>
      <c r="E70" s="24">
        <f>SUMIFS(Calc!$AA$6:$AA$183,Calc!$DP$6:$DP$183,B70,Calc!$A$6:$A$183,"&gt;="&amp;DATE(YEAR(Settings!$B$6),MONTH(Settings!$B$6),1))</f>
        <v/>
      </c>
      <c r="F70" s="39">
        <f>ROUND(C70+D70-E70,2)</f>
        <v/>
      </c>
      <c r="G70" s="23">
        <f>IF(A70="","",IF(TODAY()&lt;EDATE(B70,3),"In progress",IF(F70&lt;=0,"✓ Settled","Carried forward")))</f>
        <v/>
      </c>
    </row>
    <row r="71">
      <c r="A71" s="23">
        <f>IF(B71&gt;TODAY(),"","Q"&amp;(INT((MONTH(B71)-1)/3)+1)&amp;" "&amp;YEAR(B71))</f>
        <v/>
      </c>
      <c r="B71" s="38">
        <f>EDATE(B70,3)</f>
        <v/>
      </c>
      <c r="C71" s="39">
        <f>IF(Settings!$B$9="No",MAX(0,F70),F70)</f>
        <v/>
      </c>
      <c r="D71" s="24">
        <f>ROUND(Settings!$B$7*SUMIFS(Calc!$T$6:$T$183,Calc!$DP$6:$DP$183,B71),2)</f>
        <v/>
      </c>
      <c r="E71" s="24">
        <f>SUMIFS(Calc!$AA$6:$AA$183,Calc!$DP$6:$DP$183,B71,Calc!$A$6:$A$183,"&gt;="&amp;DATE(YEAR(Settings!$B$6),MONTH(Settings!$B$6),1))</f>
        <v/>
      </c>
      <c r="F71" s="39">
        <f>ROUND(C71+D71-E71,2)</f>
        <v/>
      </c>
      <c r="G71" s="23">
        <f>IF(A71="","",IF(TODAY()&lt;EDATE(B71,3),"In progress",IF(F71&lt;=0,"✓ Settled","Carried forward")))</f>
        <v/>
      </c>
    </row>
    <row r="72">
      <c r="A72" s="23">
        <f>IF(B72&gt;TODAY(),"","Q"&amp;(INT((MONTH(B72)-1)/3)+1)&amp;" "&amp;YEAR(B72))</f>
        <v/>
      </c>
      <c r="B72" s="38">
        <f>EDATE(B71,3)</f>
        <v/>
      </c>
      <c r="C72" s="39">
        <f>IF(Settings!$B$9="No",MAX(0,F71),F71)</f>
        <v/>
      </c>
      <c r="D72" s="24">
        <f>ROUND(Settings!$B$7*SUMIFS(Calc!$T$6:$T$183,Calc!$DP$6:$DP$183,B72),2)</f>
        <v/>
      </c>
      <c r="E72" s="24">
        <f>SUMIFS(Calc!$AA$6:$AA$183,Calc!$DP$6:$DP$183,B72,Calc!$A$6:$A$183,"&gt;="&amp;DATE(YEAR(Settings!$B$6),MONTH(Settings!$B$6),1))</f>
        <v/>
      </c>
      <c r="F72" s="39">
        <f>ROUND(C72+D72-E72,2)</f>
        <v/>
      </c>
      <c r="G72" s="23">
        <f>IF(A72="","",IF(TODAY()&lt;EDATE(B72,3),"In progress",IF(F72&lt;=0,"✓ Settled","Carried forward")))</f>
        <v/>
      </c>
    </row>
    <row r="73">
      <c r="A73" s="23">
        <f>IF(B73&gt;TODAY(),"","Q"&amp;(INT((MONTH(B73)-1)/3)+1)&amp;" "&amp;YEAR(B73))</f>
        <v/>
      </c>
      <c r="B73" s="38">
        <f>EDATE(B72,3)</f>
        <v/>
      </c>
      <c r="C73" s="39">
        <f>IF(Settings!$B$9="No",MAX(0,F72),F72)</f>
        <v/>
      </c>
      <c r="D73" s="24">
        <f>ROUND(Settings!$B$7*SUMIFS(Calc!$T$6:$T$183,Calc!$DP$6:$DP$183,B73),2)</f>
        <v/>
      </c>
      <c r="E73" s="24">
        <f>SUMIFS(Calc!$AA$6:$AA$183,Calc!$DP$6:$DP$183,B73,Calc!$A$6:$A$183,"&gt;="&amp;DATE(YEAR(Settings!$B$6),MONTH(Settings!$B$6),1))</f>
        <v/>
      </c>
      <c r="F73" s="39">
        <f>ROUND(C73+D73-E73,2)</f>
        <v/>
      </c>
      <c r="G73" s="23">
        <f>IF(A73="","",IF(TODAY()&lt;EDATE(B73,3),"In progress",IF(F73&lt;=0,"✓ Settled","Carried forward")))</f>
        <v/>
      </c>
    </row>
    <row r="74">
      <c r="A74" s="23">
        <f>IF(B74&gt;TODAY(),"","Q"&amp;(INT((MONTH(B74)-1)/3)+1)&amp;" "&amp;YEAR(B74))</f>
        <v/>
      </c>
      <c r="B74" s="38">
        <f>EDATE(B73,3)</f>
        <v/>
      </c>
      <c r="C74" s="39">
        <f>IF(Settings!$B$9="No",MAX(0,F73),F73)</f>
        <v/>
      </c>
      <c r="D74" s="24">
        <f>ROUND(Settings!$B$7*SUMIFS(Calc!$T$6:$T$183,Calc!$DP$6:$DP$183,B74),2)</f>
        <v/>
      </c>
      <c r="E74" s="24">
        <f>SUMIFS(Calc!$AA$6:$AA$183,Calc!$DP$6:$DP$183,B74,Calc!$A$6:$A$183,"&gt;="&amp;DATE(YEAR(Settings!$B$6),MONTH(Settings!$B$6),1))</f>
        <v/>
      </c>
      <c r="F74" s="39">
        <f>ROUND(C74+D74-E74,2)</f>
        <v/>
      </c>
      <c r="G74" s="23">
        <f>IF(A74="","",IF(TODAY()&lt;EDATE(B74,3),"In progress",IF(F74&lt;=0,"✓ Settled","Carried forward")))</f>
        <v/>
      </c>
    </row>
    <row r="75">
      <c r="A75" s="23">
        <f>IF(B75&gt;TODAY(),"","Q"&amp;(INT((MONTH(B75)-1)/3)+1)&amp;" "&amp;YEAR(B75))</f>
        <v/>
      </c>
      <c r="B75" s="38">
        <f>EDATE(B74,3)</f>
        <v/>
      </c>
      <c r="C75" s="39">
        <f>IF(Settings!$B$9="No",MAX(0,F74),F74)</f>
        <v/>
      </c>
      <c r="D75" s="24">
        <f>ROUND(Settings!$B$7*SUMIFS(Calc!$T$6:$T$183,Calc!$DP$6:$DP$183,B75),2)</f>
        <v/>
      </c>
      <c r="E75" s="24">
        <f>SUMIFS(Calc!$AA$6:$AA$183,Calc!$DP$6:$DP$183,B75,Calc!$A$6:$A$183,"&gt;="&amp;DATE(YEAR(Settings!$B$6),MONTH(Settings!$B$6),1))</f>
        <v/>
      </c>
      <c r="F75" s="39">
        <f>ROUND(C75+D75-E75,2)</f>
        <v/>
      </c>
      <c r="G75" s="23">
        <f>IF(A75="","",IF(TODAY()&lt;EDATE(B75,3),"In progress",IF(F75&lt;=0,"✓ Settled","Carried forward")))</f>
        <v/>
      </c>
    </row>
    <row r="76">
      <c r="A76" s="23">
        <f>IF(B76&gt;TODAY(),"","Q"&amp;(INT((MONTH(B76)-1)/3)+1)&amp;" "&amp;YEAR(B76))</f>
        <v/>
      </c>
      <c r="B76" s="38">
        <f>EDATE(B75,3)</f>
        <v/>
      </c>
      <c r="C76" s="39">
        <f>IF(Settings!$B$9="No",MAX(0,F75),F75)</f>
        <v/>
      </c>
      <c r="D76" s="24">
        <f>ROUND(Settings!$B$7*SUMIFS(Calc!$T$6:$T$183,Calc!$DP$6:$DP$183,B76),2)</f>
        <v/>
      </c>
      <c r="E76" s="24">
        <f>SUMIFS(Calc!$AA$6:$AA$183,Calc!$DP$6:$DP$183,B76,Calc!$A$6:$A$183,"&gt;="&amp;DATE(YEAR(Settings!$B$6),MONTH(Settings!$B$6),1))</f>
        <v/>
      </c>
      <c r="F76" s="39">
        <f>ROUND(C76+D76-E76,2)</f>
        <v/>
      </c>
      <c r="G76" s="23">
        <f>IF(A76="","",IF(TODAY()&lt;EDATE(B76,3),"In progress",IF(F76&lt;=0,"✓ Settled","Carried forward")))</f>
        <v/>
      </c>
    </row>
    <row r="77">
      <c r="A77" s="23">
        <f>IF(B77&gt;TODAY(),"","Q"&amp;(INT((MONTH(B77)-1)/3)+1)&amp;" "&amp;YEAR(B77))</f>
        <v/>
      </c>
      <c r="B77" s="38">
        <f>EDATE(B76,3)</f>
        <v/>
      </c>
      <c r="C77" s="39">
        <f>IF(Settings!$B$9="No",MAX(0,F76),F76)</f>
        <v/>
      </c>
      <c r="D77" s="24">
        <f>ROUND(Settings!$B$7*SUMIFS(Calc!$T$6:$T$183,Calc!$DP$6:$DP$183,B77),2)</f>
        <v/>
      </c>
      <c r="E77" s="24">
        <f>SUMIFS(Calc!$AA$6:$AA$183,Calc!$DP$6:$DP$183,B77,Calc!$A$6:$A$183,"&gt;="&amp;DATE(YEAR(Settings!$B$6),MONTH(Settings!$B$6),1))</f>
        <v/>
      </c>
      <c r="F77" s="39">
        <f>ROUND(C77+D77-E77,2)</f>
        <v/>
      </c>
      <c r="G77" s="23">
        <f>IF(A77="","",IF(TODAY()&lt;EDATE(B77,3),"In progress",IF(F77&lt;=0,"✓ Settled","Carried forward")))</f>
        <v/>
      </c>
    </row>
    <row r="78">
      <c r="A78" s="23">
        <f>IF(B78&gt;TODAY(),"","Q"&amp;(INT((MONTH(B78)-1)/3)+1)&amp;" "&amp;YEAR(B78))</f>
        <v/>
      </c>
      <c r="B78" s="38">
        <f>EDATE(B77,3)</f>
        <v/>
      </c>
      <c r="C78" s="39">
        <f>IF(Settings!$B$9="No",MAX(0,F77),F77)</f>
        <v/>
      </c>
      <c r="D78" s="24">
        <f>ROUND(Settings!$B$7*SUMIFS(Calc!$T$6:$T$183,Calc!$DP$6:$DP$183,B78),2)</f>
        <v/>
      </c>
      <c r="E78" s="24">
        <f>SUMIFS(Calc!$AA$6:$AA$183,Calc!$DP$6:$DP$183,B78,Calc!$A$6:$A$183,"&gt;="&amp;DATE(YEAR(Settings!$B$6),MONTH(Settings!$B$6),1))</f>
        <v/>
      </c>
      <c r="F78" s="39">
        <f>ROUND(C78+D78-E78,2)</f>
        <v/>
      </c>
      <c r="G78" s="23">
        <f>IF(A78="","",IF(TODAY()&lt;EDATE(B78,3),"In progress",IF(F78&lt;=0,"✓ Settled","Carried forward")))</f>
        <v/>
      </c>
    </row>
    <row r="79">
      <c r="A79" s="23">
        <f>IF(B79&gt;TODAY(),"","Q"&amp;(INT((MONTH(B79)-1)/3)+1)&amp;" "&amp;YEAR(B79))</f>
        <v/>
      </c>
      <c r="B79" s="38">
        <f>EDATE(B78,3)</f>
        <v/>
      </c>
      <c r="C79" s="39">
        <f>IF(Settings!$B$9="No",MAX(0,F78),F78)</f>
        <v/>
      </c>
      <c r="D79" s="24">
        <f>ROUND(Settings!$B$7*SUMIFS(Calc!$T$6:$T$183,Calc!$DP$6:$DP$183,B79),2)</f>
        <v/>
      </c>
      <c r="E79" s="24">
        <f>SUMIFS(Calc!$AA$6:$AA$183,Calc!$DP$6:$DP$183,B79,Calc!$A$6:$A$183,"&gt;="&amp;DATE(YEAR(Settings!$B$6),MONTH(Settings!$B$6),1))</f>
        <v/>
      </c>
      <c r="F79" s="39">
        <f>ROUND(C79+D79-E79,2)</f>
        <v/>
      </c>
      <c r="G79" s="23">
        <f>IF(A79="","",IF(TODAY()&lt;EDATE(B79,3),"In progress",IF(F79&lt;=0,"✓ Settled","Carried forward")))</f>
        <v/>
      </c>
    </row>
    <row r="80">
      <c r="A80" s="23">
        <f>IF(B80&gt;TODAY(),"","Q"&amp;(INT((MONTH(B80)-1)/3)+1)&amp;" "&amp;YEAR(B80))</f>
        <v/>
      </c>
      <c r="B80" s="38">
        <f>EDATE(B79,3)</f>
        <v/>
      </c>
      <c r="C80" s="39">
        <f>IF(Settings!$B$9="No",MAX(0,F79),F79)</f>
        <v/>
      </c>
      <c r="D80" s="24">
        <f>ROUND(Settings!$B$7*SUMIFS(Calc!$T$6:$T$183,Calc!$DP$6:$DP$183,B80),2)</f>
        <v/>
      </c>
      <c r="E80" s="24">
        <f>SUMIFS(Calc!$AA$6:$AA$183,Calc!$DP$6:$DP$183,B80,Calc!$A$6:$A$183,"&gt;="&amp;DATE(YEAR(Settings!$B$6),MONTH(Settings!$B$6),1))</f>
        <v/>
      </c>
      <c r="F80" s="39">
        <f>ROUND(C80+D80-E80,2)</f>
        <v/>
      </c>
      <c r="G80" s="23">
        <f>IF(A80="","",IF(TODAY()&lt;EDATE(B80,3),"In progress",IF(F80&lt;=0,"✓ Settled","Carried forward")))</f>
        <v/>
      </c>
    </row>
    <row r="81">
      <c r="A81" s="23">
        <f>IF(B81&gt;TODAY(),"","Q"&amp;(INT((MONTH(B81)-1)/3)+1)&amp;" "&amp;YEAR(B81))</f>
        <v/>
      </c>
      <c r="B81" s="38">
        <f>EDATE(B80,3)</f>
        <v/>
      </c>
      <c r="C81" s="39">
        <f>IF(Settings!$B$9="No",MAX(0,F80),F80)</f>
        <v/>
      </c>
      <c r="D81" s="24">
        <f>ROUND(Settings!$B$7*SUMIFS(Calc!$T$6:$T$183,Calc!$DP$6:$DP$183,B81),2)</f>
        <v/>
      </c>
      <c r="E81" s="24">
        <f>SUMIFS(Calc!$AA$6:$AA$183,Calc!$DP$6:$DP$183,B81,Calc!$A$6:$A$183,"&gt;="&amp;DATE(YEAR(Settings!$B$6),MONTH(Settings!$B$6),1))</f>
        <v/>
      </c>
      <c r="F81" s="39">
        <f>ROUND(C81+D81-E81,2)</f>
        <v/>
      </c>
      <c r="G81" s="23">
        <f>IF(A81="","",IF(TODAY()&lt;EDATE(B81,3),"In progress",IF(F81&lt;=0,"✓ Settled","Carried forward")))</f>
        <v/>
      </c>
    </row>
    <row r="82">
      <c r="A82" s="23">
        <f>IF(B82&gt;TODAY(),"","Q"&amp;(INT((MONTH(B82)-1)/3)+1)&amp;" "&amp;YEAR(B82))</f>
        <v/>
      </c>
      <c r="B82" s="38">
        <f>EDATE(B81,3)</f>
        <v/>
      </c>
      <c r="C82" s="39">
        <f>IF(Settings!$B$9="No",MAX(0,F81),F81)</f>
        <v/>
      </c>
      <c r="D82" s="24">
        <f>ROUND(Settings!$B$7*SUMIFS(Calc!$T$6:$T$183,Calc!$DP$6:$DP$183,B82),2)</f>
        <v/>
      </c>
      <c r="E82" s="24">
        <f>SUMIFS(Calc!$AA$6:$AA$183,Calc!$DP$6:$DP$183,B82,Calc!$A$6:$A$183,"&gt;="&amp;DATE(YEAR(Settings!$B$6),MONTH(Settings!$B$6),1))</f>
        <v/>
      </c>
      <c r="F82" s="39">
        <f>ROUND(C82+D82-E82,2)</f>
        <v/>
      </c>
      <c r="G82" s="23">
        <f>IF(A82="","",IF(TODAY()&lt;EDATE(B82,3),"In progress",IF(F82&lt;=0,"✓ Settled","Carried forward")))</f>
        <v/>
      </c>
    </row>
    <row r="83">
      <c r="A83" s="23">
        <f>IF(B83&gt;TODAY(),"","Q"&amp;(INT((MONTH(B83)-1)/3)+1)&amp;" "&amp;YEAR(B83))</f>
        <v/>
      </c>
      <c r="B83" s="38">
        <f>EDATE(B82,3)</f>
        <v/>
      </c>
      <c r="C83" s="39">
        <f>IF(Settings!$B$9="No",MAX(0,F82),F82)</f>
        <v/>
      </c>
      <c r="D83" s="24">
        <f>ROUND(Settings!$B$7*SUMIFS(Calc!$T$6:$T$183,Calc!$DP$6:$DP$183,B83),2)</f>
        <v/>
      </c>
      <c r="E83" s="24">
        <f>SUMIFS(Calc!$AA$6:$AA$183,Calc!$DP$6:$DP$183,B83,Calc!$A$6:$A$183,"&gt;="&amp;DATE(YEAR(Settings!$B$6),MONTH(Settings!$B$6),1))</f>
        <v/>
      </c>
      <c r="F83" s="39">
        <f>ROUND(C83+D83-E83,2)</f>
        <v/>
      </c>
      <c r="G83" s="23">
        <f>IF(A83="","",IF(TODAY()&lt;EDATE(B83,3),"In progress",IF(F83&lt;=0,"✓ Settled","Carried forward")))</f>
        <v/>
      </c>
    </row>
    <row r="84">
      <c r="A84" s="23">
        <f>IF(B84&gt;TODAY(),"","Q"&amp;(INT((MONTH(B84)-1)/3)+1)&amp;" "&amp;YEAR(B84))</f>
        <v/>
      </c>
      <c r="B84" s="38">
        <f>EDATE(B83,3)</f>
        <v/>
      </c>
      <c r="C84" s="39">
        <f>IF(Settings!$B$9="No",MAX(0,F83),F83)</f>
        <v/>
      </c>
      <c r="D84" s="24">
        <f>ROUND(Settings!$B$7*SUMIFS(Calc!$T$6:$T$183,Calc!$DP$6:$DP$183,B84),2)</f>
        <v/>
      </c>
      <c r="E84" s="24">
        <f>SUMIFS(Calc!$AA$6:$AA$183,Calc!$DP$6:$DP$183,B84,Calc!$A$6:$A$183,"&gt;="&amp;DATE(YEAR(Settings!$B$6),MONTH(Settings!$B$6),1))</f>
        <v/>
      </c>
      <c r="F84" s="39">
        <f>ROUND(C84+D84-E84,2)</f>
        <v/>
      </c>
      <c r="G84" s="23">
        <f>IF(A84="","",IF(TODAY()&lt;EDATE(B84,3),"In progress",IF(F84&lt;=0,"✓ Settled","Carried forward")))</f>
        <v/>
      </c>
    </row>
    <row r="85"/>
    <row r="86">
      <c r="A86" s="26" t="inlineStr">
        <is>
          <t>Each quarter: carried in + 10% of tithe-able income − giving = balance, carried into the next quarter. Rate, start and carry-forward rule are in Settings. Month-by-month results are on Month-End (section 5).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2"/>
  </mergeCells>
  <conditionalFormatting sqref="A6:I20">
    <cfRule type="expression" priority="1" dxfId="19">
      <formula>$A6&gt;YEAR(TODAY())</formula>
    </cfRule>
  </conditionalFormatting>
  <conditionalFormatting sqref="A25:G84">
    <cfRule type="expression" priority="2" dxfId="20">
      <formula>$A25=""</formula>
    </cfRule>
  </conditionalFormatting>
  <conditionalFormatting sqref="G25:G84">
    <cfRule type="expression" priority="3" dxfId="9">
      <formula>G25="✓ Settled"</formula>
    </cfRule>
    <cfRule type="expression" priority="4" dxfId="10">
      <formula>G25="Carried forward"</formula>
    </cfRule>
  </conditionalFormatting>
  <conditionalFormatting sqref="F25:F84">
    <cfRule type="expression" priority="5" dxfId="4">
      <formula>AND($A25&lt;&gt;"",F25&gt;0)</formula>
    </cfRule>
    <cfRule type="expression" priority="6" dxfId="5">
      <formula>AND($A25&lt;&gt;"",F25&lt;0)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/>
  </sheetPr>
  <dimension ref="A1:J91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9" customHeight="1"/>
  <cols>
    <col width="58" customWidth="1" min="1" max="1"/>
    <col width="16" customWidth="1" min="2" max="2"/>
    <col width="18" customWidth="1" min="3" max="3"/>
    <col width="22" customWidth="1" min="4" max="4"/>
    <col width="24" customWidth="1" min="5" max="5"/>
    <col width="22" customWidth="1" min="6" max="6"/>
    <col width="16" customWidth="1" min="7" max="7"/>
    <col width="60" customWidth="1" min="8" max="8"/>
    <col width="13" customWidth="1" min="9" max="9"/>
    <col width="15" customWidth="1" min="10" max="10"/>
  </cols>
  <sheetData>
    <row r="1" ht="38" customHeight="1">
      <c r="A1" s="1" t="inlineStr">
        <is>
          <t>Settings</t>
        </is>
      </c>
      <c r="J1" s="40" t="inlineStr">
        <is>
          <t>FFOS 4.0</t>
        </is>
      </c>
    </row>
    <row r="2" ht="34" customHeight="1">
      <c r="A2" s="2" t="inlineStr">
        <is>
          <t>The things you set once (or rarely). Boxed white cells are yours. To add an account, income source, recurring donation or goal: fill the next empty row. To retire an account: set Active = No (its history stays).</t>
        </is>
      </c>
    </row>
    <row r="3"/>
    <row r="4" ht="26" customHeight="1">
      <c r="A4" s="11" t="inlineStr">
        <is>
          <t>Start &amp; rules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5" t="inlineStr">
        <is>
          <t>Opening date (account values below are as of the END of this day)</t>
        </is>
      </c>
      <c r="B5" s="37" t="n">
        <v>46112</v>
      </c>
      <c r="C5" s="41" t="inlineStr">
        <is>
          <t>Balances are tracked from here. Months before keep income, giving and tithe history only.</t>
        </is>
      </c>
    </row>
    <row r="6">
      <c r="A6" s="15" t="inlineStr">
        <is>
          <t>Tithe tracking start</t>
        </is>
      </c>
      <c r="B6" s="37" t="n">
        <v>46082</v>
      </c>
      <c r="C6" s="41" t="inlineStr">
        <is>
          <t>Month-End starts March 2026; enter only income from this date on.</t>
        </is>
      </c>
    </row>
    <row r="7">
      <c r="A7" s="15" t="inlineStr">
        <is>
          <t>Tithe rate</t>
        </is>
      </c>
      <c r="B7" s="42" t="n">
        <v>0.1</v>
      </c>
      <c r="C7" s="41" t="inlineStr">
        <is>
          <t>Applied to income sources marked Tithe-able = Yes.</t>
        </is>
      </c>
    </row>
    <row r="8">
      <c r="A8" s="15" t="inlineStr">
        <is>
          <t>Opening tithe balance (owed at tracking start)</t>
        </is>
      </c>
      <c r="B8" s="31" t="n">
        <v>0</v>
      </c>
      <c r="C8" s="41" t="inlineStr">
        <is>
          <t>Equals 10% of the older undated tithe-able items (listed at the bottom). Negative = a credit.</t>
        </is>
      </c>
    </row>
    <row r="9">
      <c r="A9" s="15" t="inlineStr">
        <is>
          <t>Extra giving carries forward to later quarters?</t>
        </is>
      </c>
      <c r="B9" s="33" t="inlineStr">
        <is>
          <t>Yes</t>
        </is>
      </c>
      <c r="C9" s="41" t="inlineStr">
        <is>
          <t>Yes = giving above what is owed is a credit. No = each quarter can only settle to $0.</t>
        </is>
      </c>
    </row>
    <row r="10">
      <c r="A10" s="15" t="inlineStr">
        <is>
          <t>Averages use the last N full months</t>
        </is>
      </c>
      <c r="B10" s="43" t="n">
        <v>3</v>
      </c>
      <c r="C10" s="41" t="inlineStr">
        <is>
          <t>Only complete months after the opening month count.</t>
        </is>
      </c>
    </row>
    <row r="11">
      <c r="A11" s="15" t="inlineStr">
        <is>
          <t>Fallback household-paid living ($/month)</t>
        </is>
      </c>
      <c r="B11" s="31" t="n">
        <v>2000</v>
      </c>
      <c r="C11" s="41" t="inlineStr">
        <is>
          <t>Used only until the first full month is complete.</t>
        </is>
      </c>
    </row>
    <row r="12">
      <c r="A12" s="15" t="inlineStr">
        <is>
          <t>Fallback family-paid living ($/month)</t>
        </is>
      </c>
      <c r="B12" s="31" t="n">
        <v>0</v>
      </c>
      <c r="C12" s="41" t="inlineStr">
        <is>
          <t>Used only until the first full month is complete.</t>
        </is>
      </c>
    </row>
    <row r="13">
      <c r="A13" s="15" t="inlineStr">
        <is>
          <t>Opening month: typed income already inside the opening balances</t>
        </is>
      </c>
      <c r="B13" s="31" t="n">
        <v>0</v>
      </c>
      <c r="C13" s="41" t="inlineStr">
        <is>
          <t>Only for the opening month: income you TYPE for that month that arrived on/before the opening date.</t>
        </is>
      </c>
    </row>
    <row r="14">
      <c r="A14" s="15" t="inlineStr">
        <is>
          <t>Family-paid costs: usual monthly amount (optional)</t>
        </is>
      </c>
      <c r="B14" s="31" t="n"/>
      <c r="C14" s="41" t="inlineStr">
        <is>
          <t>Rent or bills a relative pays… If set, Month-End uses it whenever that cell is blank.</t>
        </is>
      </c>
    </row>
    <row r="15">
      <c r="A15" s="15" t="inlineStr">
        <is>
          <t>Usual family-paid amount starts (month)</t>
        </is>
      </c>
      <c r="B15" s="37" t="n"/>
      <c r="C15" s="41" t="inlineStr">
        <is>
          <t>Blank = from the opening month.</t>
        </is>
      </c>
    </row>
    <row r="16"/>
    <row r="17" ht="26" customHeight="1">
      <c r="A17" s="11" t="inlineStr">
        <is>
          <t>Everyday accounts — bank, cash, cards, loans (14 slots)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13" t="inlineStr">
        <is>
          <t>Account</t>
        </is>
      </c>
      <c r="B18" s="13" t="inlineStr">
        <is>
          <t>Type</t>
        </is>
      </c>
      <c r="C18" s="14" t="inlineStr">
        <is>
          <t>Opening balance ($)</t>
        </is>
      </c>
      <c r="D18" s="13" t="inlineStr">
        <is>
          <t>Estimate?</t>
        </is>
      </c>
      <c r="E18" s="13" t="inlineStr">
        <is>
          <t>Active?</t>
        </is>
      </c>
      <c r="F18" s="13" t="inlineStr">
        <is>
          <t>Required monthly?</t>
        </is>
      </c>
      <c r="G18" s="13" t="inlineStr">
        <is>
          <t>Notes</t>
        </is>
      </c>
    </row>
    <row r="19">
      <c r="A19" s="33" t="n"/>
      <c r="B19" s="33" t="n"/>
      <c r="C19" s="31" t="n"/>
      <c r="D19" s="33" t="n"/>
      <c r="E19" s="33" t="n"/>
      <c r="F19" s="33" t="n"/>
      <c r="G19" s="33" t="n"/>
    </row>
    <row r="20">
      <c r="A20" s="33" t="n"/>
      <c r="B20" s="33" t="n"/>
      <c r="C20" s="31" t="n"/>
      <c r="D20" s="33" t="n"/>
      <c r="E20" s="33" t="n"/>
      <c r="F20" s="33" t="n"/>
      <c r="G20" s="33" t="n"/>
    </row>
    <row r="21">
      <c r="A21" s="33" t="n"/>
      <c r="B21" s="33" t="n"/>
      <c r="C21" s="31" t="n"/>
      <c r="D21" s="33" t="n"/>
      <c r="E21" s="33" t="n"/>
      <c r="F21" s="33" t="n"/>
      <c r="G21" s="33" t="n"/>
    </row>
    <row r="22">
      <c r="A22" s="33" t="n"/>
      <c r="B22" s="33" t="n"/>
      <c r="C22" s="31" t="n"/>
      <c r="D22" s="33" t="n"/>
      <c r="E22" s="33" t="n"/>
      <c r="F22" s="33" t="n"/>
      <c r="G22" s="33" t="n"/>
    </row>
    <row r="23">
      <c r="A23" s="33" t="n"/>
      <c r="B23" s="33" t="n"/>
      <c r="C23" s="31" t="n"/>
      <c r="D23" s="33" t="n"/>
      <c r="E23" s="33" t="n"/>
      <c r="F23" s="33" t="n"/>
      <c r="G23" s="33" t="n"/>
    </row>
    <row r="24">
      <c r="A24" s="33" t="n"/>
      <c r="B24" s="33" t="n"/>
      <c r="C24" s="31" t="n"/>
      <c r="D24" s="33" t="n"/>
      <c r="E24" s="33" t="n"/>
      <c r="F24" s="33" t="n"/>
      <c r="G24" s="33" t="n"/>
    </row>
    <row r="25">
      <c r="A25" s="33" t="n"/>
      <c r="B25" s="33" t="n"/>
      <c r="C25" s="31" t="n"/>
      <c r="D25" s="33" t="n"/>
      <c r="E25" s="33" t="n"/>
      <c r="F25" s="33" t="n"/>
      <c r="G25" s="33" t="n"/>
    </row>
    <row r="26">
      <c r="A26" s="33" t="n"/>
      <c r="B26" s="33" t="n"/>
      <c r="C26" s="31" t="n"/>
      <c r="D26" s="33" t="n"/>
      <c r="E26" s="33" t="n"/>
      <c r="F26" s="33" t="n"/>
      <c r="G26" s="33" t="n"/>
    </row>
    <row r="27">
      <c r="A27" s="33" t="n"/>
      <c r="B27" s="33" t="n"/>
      <c r="C27" s="31" t="n"/>
      <c r="D27" s="33" t="n"/>
      <c r="E27" s="33" t="n"/>
      <c r="F27" s="33" t="n"/>
      <c r="G27" s="33" t="n"/>
    </row>
    <row r="28">
      <c r="A28" s="33" t="n"/>
      <c r="B28" s="33" t="n"/>
      <c r="C28" s="31" t="n"/>
      <c r="D28" s="33" t="n"/>
      <c r="E28" s="33" t="n"/>
      <c r="F28" s="33" t="n"/>
      <c r="G28" s="33" t="n"/>
    </row>
    <row r="29">
      <c r="A29" s="33" t="n"/>
      <c r="B29" s="33" t="n"/>
      <c r="C29" s="31" t="n"/>
      <c r="D29" s="33" t="n"/>
      <c r="E29" s="33" t="n"/>
      <c r="F29" s="33" t="n"/>
      <c r="G29" s="33" t="n"/>
    </row>
    <row r="30">
      <c r="A30" s="33" t="n"/>
      <c r="B30" s="33" t="n"/>
      <c r="C30" s="31" t="n"/>
      <c r="D30" s="33" t="n"/>
      <c r="E30" s="33" t="n"/>
      <c r="F30" s="33" t="n"/>
      <c r="G30" s="33" t="n"/>
    </row>
    <row r="31">
      <c r="A31" s="33" t="n"/>
      <c r="B31" s="33" t="n"/>
      <c r="C31" s="31" t="n"/>
      <c r="D31" s="33" t="n"/>
      <c r="E31" s="33" t="n"/>
      <c r="F31" s="33" t="n"/>
      <c r="G31" s="33" t="n"/>
    </row>
    <row r="32">
      <c r="A32" s="33" t="n"/>
      <c r="B32" s="33" t="n"/>
      <c r="C32" s="31" t="n"/>
      <c r="D32" s="33" t="n"/>
      <c r="E32" s="33" t="n"/>
      <c r="F32" s="33" t="n"/>
      <c r="G32" s="33" t="n"/>
    </row>
    <row r="33">
      <c r="A33" s="26" t="inlineStr">
        <is>
          <t>Required monthly? Yes = the workbook waits for this balance each month. No = optional; a blank month means “unchanged since last time”. Cards: owed amount, positive.</t>
        </is>
      </c>
    </row>
    <row r="34" ht="26" customHeight="1">
      <c r="A34" s="11" t="inlineStr">
        <is>
          <t>Investment &amp; retirement accounts (6 slots)</t>
        </is>
      </c>
      <c r="B34" s="12" t="n"/>
      <c r="C34" s="12" t="n"/>
      <c r="D34" s="12" t="n"/>
      <c r="E34" s="12" t="n"/>
      <c r="F34" s="12" t="n"/>
      <c r="G34" s="12" t="n"/>
      <c r="H34" s="12" t="n"/>
    </row>
    <row r="35">
      <c r="A35" s="13" t="inlineStr">
        <is>
          <t>Account</t>
        </is>
      </c>
      <c r="B35" s="13" t="inlineStr">
        <is>
          <t>Type</t>
        </is>
      </c>
      <c r="C35" s="14" t="inlineStr">
        <is>
          <t>Opening value ($)</t>
        </is>
      </c>
      <c r="D35" s="14" t="inlineStr">
        <is>
          <t>Contributed so far ($)</t>
        </is>
      </c>
      <c r="E35" s="14" t="inlineStr">
        <is>
          <t>Contributed this year before opening ($)</t>
        </is>
      </c>
      <c r="F35" s="13" t="inlineStr">
        <is>
          <t>Estimate?</t>
        </is>
      </c>
      <c r="G35" s="13" t="inlineStr">
        <is>
          <t>Active?</t>
        </is>
      </c>
      <c r="H35" s="13" t="inlineStr">
        <is>
          <t>Notes</t>
        </is>
      </c>
    </row>
    <row r="36">
      <c r="A36" s="33" t="n"/>
      <c r="B36" s="33" t="n"/>
      <c r="C36" s="31" t="n"/>
      <c r="D36" s="31" t="n"/>
      <c r="E36" s="31" t="n"/>
      <c r="F36" s="33" t="n"/>
      <c r="G36" s="33" t="n"/>
      <c r="H36" s="33" t="n"/>
    </row>
    <row r="37">
      <c r="A37" s="33" t="n"/>
      <c r="B37" s="33" t="n"/>
      <c r="C37" s="31" t="n"/>
      <c r="D37" s="31" t="n"/>
      <c r="E37" s="31" t="n"/>
      <c r="F37" s="33" t="n"/>
      <c r="G37" s="33" t="n"/>
      <c r="H37" s="33" t="n"/>
    </row>
    <row r="38">
      <c r="A38" s="33" t="n"/>
      <c r="B38" s="33" t="n"/>
      <c r="C38" s="31" t="n"/>
      <c r="D38" s="31" t="n"/>
      <c r="E38" s="31" t="n"/>
      <c r="F38" s="33" t="n"/>
      <c r="G38" s="33" t="n"/>
      <c r="H38" s="33" t="n"/>
    </row>
    <row r="39">
      <c r="A39" s="33" t="n"/>
      <c r="B39" s="33" t="n"/>
      <c r="C39" s="31" t="n"/>
      <c r="D39" s="31" t="n"/>
      <c r="E39" s="31" t="n"/>
      <c r="F39" s="33" t="n"/>
      <c r="G39" s="33" t="n"/>
      <c r="H39" s="33" t="n"/>
    </row>
    <row r="40">
      <c r="A40" s="33" t="n"/>
      <c r="B40" s="33" t="n"/>
      <c r="C40" s="31" t="n"/>
      <c r="D40" s="31" t="n"/>
      <c r="E40" s="31" t="n"/>
      <c r="F40" s="33" t="n"/>
      <c r="G40" s="33" t="n"/>
      <c r="H40" s="33" t="n"/>
    </row>
    <row r="41">
      <c r="A41" s="33" t="n"/>
      <c r="B41" s="33" t="n"/>
      <c r="C41" s="31" t="n"/>
      <c r="D41" s="31" t="n"/>
      <c r="E41" s="31" t="n"/>
      <c r="F41" s="33" t="n"/>
      <c r="G41" s="33" t="n"/>
      <c r="H41" s="33" t="n"/>
    </row>
    <row r="42"/>
    <row r="43" ht="26" customHeight="1">
      <c r="A43" s="11" t="inlineStr">
        <is>
          <t>Income sources (12 slots — a usual amount + frequency makes it automatic)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>
      <c r="A44" s="13" t="inlineStr">
        <is>
          <t>Source</t>
        </is>
      </c>
      <c r="B44" s="13" t="inlineStr">
        <is>
          <t>Tithe-able?</t>
        </is>
      </c>
      <c r="C44" s="14" t="inlineStr">
        <is>
          <t>Usual amount ($)</t>
        </is>
      </c>
      <c r="D44" s="13" t="inlineStr">
        <is>
          <t>Frequency</t>
        </is>
      </c>
      <c r="E44" s="13" t="inlineStr">
        <is>
          <t>Weekday / day of month</t>
        </is>
      </c>
      <c r="F44" s="13" t="inlineStr">
        <is>
          <t>From</t>
        </is>
      </c>
      <c r="G44" s="13" t="inlineStr">
        <is>
          <t>Until</t>
        </is>
      </c>
      <c r="H44" s="13" t="inlineStr">
        <is>
          <t>Notes</t>
        </is>
      </c>
      <c r="I44" s="13" t="inlineStr">
        <is>
          <t>Taxable?</t>
        </is>
      </c>
      <c r="J44" s="13" t="inlineStr">
        <is>
          <t>Tax withheld?</t>
        </is>
      </c>
    </row>
    <row r="45">
      <c r="A45" s="33" t="n"/>
      <c r="B45" s="33" t="n"/>
      <c r="C45" s="31" t="n"/>
      <c r="D45" s="33" t="n"/>
      <c r="E45" s="33" t="n"/>
      <c r="F45" s="37" t="n"/>
      <c r="G45" s="37" t="n"/>
      <c r="H45" s="33" t="n"/>
      <c r="I45" s="33" t="n"/>
      <c r="J45" s="33" t="n"/>
    </row>
    <row r="46">
      <c r="A46" s="33" t="n"/>
      <c r="B46" s="33" t="n"/>
      <c r="C46" s="31" t="n"/>
      <c r="D46" s="33" t="n"/>
      <c r="E46" s="33" t="n"/>
      <c r="F46" s="37" t="n"/>
      <c r="G46" s="37" t="n"/>
      <c r="H46" s="33" t="n"/>
      <c r="I46" s="33" t="n"/>
      <c r="J46" s="33" t="n"/>
    </row>
    <row r="47">
      <c r="A47" s="33" t="n"/>
      <c r="B47" s="33" t="n"/>
      <c r="C47" s="31" t="n"/>
      <c r="D47" s="33" t="n"/>
      <c r="E47" s="33" t="n"/>
      <c r="F47" s="37" t="n"/>
      <c r="G47" s="37" t="n"/>
      <c r="H47" s="33" t="n"/>
      <c r="I47" s="33" t="n"/>
      <c r="J47" s="33" t="n"/>
    </row>
    <row r="48">
      <c r="A48" s="33" t="n"/>
      <c r="B48" s="33" t="n"/>
      <c r="C48" s="31" t="n"/>
      <c r="D48" s="33" t="n"/>
      <c r="E48" s="33" t="n"/>
      <c r="F48" s="37" t="n"/>
      <c r="G48" s="37" t="n"/>
      <c r="H48" s="33" t="n"/>
      <c r="I48" s="33" t="n"/>
      <c r="J48" s="33" t="n"/>
    </row>
    <row r="49">
      <c r="A49" s="33" t="n"/>
      <c r="B49" s="33" t="n"/>
      <c r="C49" s="31" t="n"/>
      <c r="D49" s="33" t="n"/>
      <c r="E49" s="33" t="n"/>
      <c r="F49" s="37" t="n"/>
      <c r="G49" s="37" t="n"/>
      <c r="H49" s="33" t="n"/>
      <c r="I49" s="33" t="n"/>
      <c r="J49" s="33" t="n"/>
    </row>
    <row r="50">
      <c r="A50" s="33" t="n"/>
      <c r="B50" s="33" t="n"/>
      <c r="C50" s="31" t="n"/>
      <c r="D50" s="33" t="n"/>
      <c r="E50" s="33" t="n"/>
      <c r="F50" s="37" t="n"/>
      <c r="G50" s="37" t="n"/>
      <c r="H50" s="33" t="n"/>
      <c r="I50" s="33" t="n"/>
      <c r="J50" s="33" t="n"/>
    </row>
    <row r="51">
      <c r="A51" s="33" t="n"/>
      <c r="B51" s="33" t="n"/>
      <c r="C51" s="31" t="n"/>
      <c r="D51" s="33" t="n"/>
      <c r="E51" s="33" t="n"/>
      <c r="F51" s="37" t="n"/>
      <c r="G51" s="37" t="n"/>
      <c r="H51" s="33" t="n"/>
      <c r="I51" s="33" t="n"/>
      <c r="J51" s="33" t="n"/>
    </row>
    <row r="52">
      <c r="A52" s="33" t="n"/>
      <c r="B52" s="33" t="n"/>
      <c r="C52" s="31" t="n"/>
      <c r="D52" s="33" t="n"/>
      <c r="E52" s="33" t="n"/>
      <c r="F52" s="37" t="n"/>
      <c r="G52" s="37" t="n"/>
      <c r="H52" s="33" t="n"/>
      <c r="I52" s="33" t="n"/>
      <c r="J52" s="33" t="n"/>
    </row>
    <row r="53">
      <c r="A53" s="33" t="n"/>
      <c r="B53" s="33" t="n"/>
      <c r="C53" s="31" t="n"/>
      <c r="D53" s="33" t="n"/>
      <c r="E53" s="33" t="n"/>
      <c r="F53" s="37" t="n"/>
      <c r="G53" s="37" t="n"/>
      <c r="H53" s="33" t="n"/>
      <c r="I53" s="33" t="n"/>
      <c r="J53" s="33" t="n"/>
    </row>
    <row r="54">
      <c r="A54" s="33" t="n"/>
      <c r="B54" s="33" t="n"/>
      <c r="C54" s="31" t="n"/>
      <c r="D54" s="33" t="n"/>
      <c r="E54" s="33" t="n"/>
      <c r="F54" s="37" t="n"/>
      <c r="G54" s="37" t="n"/>
      <c r="H54" s="33" t="n"/>
      <c r="I54" s="33" t="n"/>
      <c r="J54" s="33" t="n"/>
    </row>
    <row r="55">
      <c r="A55" s="33" t="n"/>
      <c r="B55" s="33" t="n"/>
      <c r="C55" s="31" t="n"/>
      <c r="D55" s="33" t="n"/>
      <c r="E55" s="33" t="n"/>
      <c r="F55" s="37" t="n"/>
      <c r="G55" s="37" t="n"/>
      <c r="H55" s="33" t="n"/>
      <c r="I55" s="33" t="n"/>
      <c r="J55" s="33" t="n"/>
    </row>
    <row r="56">
      <c r="A56" s="33" t="n"/>
      <c r="B56" s="33" t="n"/>
      <c r="C56" s="31" t="n"/>
      <c r="D56" s="33" t="n"/>
      <c r="E56" s="33" t="n"/>
      <c r="F56" s="37" t="n"/>
      <c r="G56" s="37" t="n"/>
      <c r="H56" s="33" t="n"/>
      <c r="I56" s="33" t="n"/>
      <c r="J56" s="33" t="n"/>
    </row>
    <row r="57">
      <c r="A57" s="26" t="inlineStr">
        <is>
          <t>Taxable? and Tax withheld? (columns I–J) only feed the Dashboard’s “Tax this year” lines. Tithe doesn’t use them.</t>
        </is>
      </c>
    </row>
    <row r="58" ht="26" customHeight="1">
      <c r="A58" s="11" t="inlineStr">
        <is>
          <t>Recurring donations (6 slots — counted automatically)</t>
        </is>
      </c>
      <c r="B58" s="12" t="n"/>
      <c r="C58" s="12" t="n"/>
      <c r="D58" s="12" t="n"/>
      <c r="E58" s="12" t="n"/>
      <c r="F58" s="12" t="n"/>
      <c r="G58" s="12" t="n"/>
      <c r="H58" s="12" t="n"/>
    </row>
    <row r="59">
      <c r="A59" s="13" t="inlineStr">
        <is>
          <t>Name</t>
        </is>
      </c>
      <c r="B59" s="14" t="inlineStr">
        <is>
          <t>Amount ($)</t>
        </is>
      </c>
      <c r="C59" s="13" t="inlineStr">
        <is>
          <t>Day of month</t>
        </is>
      </c>
      <c r="D59" s="13" t="inlineStr">
        <is>
          <t>From</t>
        </is>
      </c>
      <c r="E59" s="13" t="inlineStr">
        <is>
          <t>Until</t>
        </is>
      </c>
      <c r="F59" s="13" t="inlineStr">
        <is>
          <t>Household-funded?</t>
        </is>
      </c>
      <c r="G59" s="13" t="inlineStr">
        <is>
          <t>Notes</t>
        </is>
      </c>
      <c r="H59" s="13" t="inlineStr">
        <is>
          <t>Tax-deductible?</t>
        </is>
      </c>
    </row>
    <row r="60">
      <c r="A60" s="33" t="n"/>
      <c r="B60" s="31" t="n"/>
      <c r="C60" s="33" t="n"/>
      <c r="D60" s="37" t="n"/>
      <c r="E60" s="37" t="n"/>
      <c r="F60" s="33" t="n"/>
      <c r="G60" s="33" t="n"/>
      <c r="H60" s="33" t="n"/>
    </row>
    <row r="61">
      <c r="A61" s="33" t="n"/>
      <c r="B61" s="31" t="n"/>
      <c r="C61" s="33" t="n"/>
      <c r="D61" s="37" t="n"/>
      <c r="E61" s="37" t="n"/>
      <c r="F61" s="33" t="n"/>
      <c r="G61" s="33" t="n"/>
      <c r="H61" s="33" t="n"/>
    </row>
    <row r="62">
      <c r="A62" s="33" t="n"/>
      <c r="B62" s="31" t="n"/>
      <c r="C62" s="33" t="n"/>
      <c r="D62" s="37" t="n"/>
      <c r="E62" s="37" t="n"/>
      <c r="F62" s="33" t="n"/>
      <c r="G62" s="33" t="n"/>
      <c r="H62" s="33" t="n"/>
    </row>
    <row r="63">
      <c r="A63" s="33" t="n"/>
      <c r="B63" s="31" t="n"/>
      <c r="C63" s="33" t="n"/>
      <c r="D63" s="37" t="n"/>
      <c r="E63" s="37" t="n"/>
      <c r="F63" s="33" t="n"/>
      <c r="G63" s="33" t="n"/>
      <c r="H63" s="33" t="n"/>
    </row>
    <row r="64">
      <c r="A64" s="33" t="n"/>
      <c r="B64" s="31" t="n"/>
      <c r="C64" s="33" t="n"/>
      <c r="D64" s="37" t="n"/>
      <c r="E64" s="37" t="n"/>
      <c r="F64" s="33" t="n"/>
      <c r="G64" s="33" t="n"/>
      <c r="H64" s="33" t="n"/>
    </row>
    <row r="65">
      <c r="A65" s="33" t="n"/>
      <c r="B65" s="31" t="n"/>
      <c r="C65" s="33" t="n"/>
      <c r="D65" s="37" t="n"/>
      <c r="E65" s="37" t="n"/>
      <c r="F65" s="33" t="n"/>
      <c r="G65" s="33" t="n"/>
      <c r="H65" s="33" t="n"/>
    </row>
    <row r="66"/>
    <row r="67" ht="26" customHeight="1">
      <c r="A67" s="11" t="inlineStr">
        <is>
          <t>Goals (20 slots)</t>
        </is>
      </c>
      <c r="B67" s="12" t="n"/>
      <c r="C67" s="12" t="n"/>
      <c r="D67" s="12" t="n"/>
      <c r="E67" s="12" t="n"/>
      <c r="F67" s="12" t="n"/>
      <c r="G67" s="12" t="n"/>
      <c r="H67" s="12" t="n"/>
    </row>
    <row r="68">
      <c r="A68" s="13" t="inlineStr">
        <is>
          <t>Goal</t>
        </is>
      </c>
      <c r="B68" s="13" t="inlineStr">
        <is>
          <t>Type</t>
        </is>
      </c>
      <c r="C68" s="14" t="inlineStr">
        <is>
          <t>Target number</t>
        </is>
      </c>
      <c r="D68" s="13" t="inlineStr">
        <is>
          <t>Based on</t>
        </is>
      </c>
      <c r="E68" s="14" t="inlineStr">
        <is>
          <t>Current value from</t>
        </is>
      </c>
      <c r="F68" s="13" t="inlineStr">
        <is>
          <t>Account (if “Specific Account”)</t>
        </is>
      </c>
      <c r="G68" s="14" t="inlineStr">
        <is>
          <t>Target date</t>
        </is>
      </c>
    </row>
    <row r="69">
      <c r="A69" s="33" t="n"/>
      <c r="B69" s="33" t="n"/>
      <c r="C69" s="33" t="n"/>
      <c r="D69" s="33" t="n"/>
      <c r="E69" s="33" t="n"/>
      <c r="F69" s="33" t="n"/>
      <c r="G69" s="37" t="n"/>
    </row>
    <row r="70">
      <c r="A70" s="33" t="n"/>
      <c r="B70" s="33" t="n"/>
      <c r="C70" s="33" t="n"/>
      <c r="D70" s="33" t="n"/>
      <c r="E70" s="33" t="n"/>
      <c r="F70" s="33" t="n"/>
      <c r="G70" s="37" t="n"/>
    </row>
    <row r="71">
      <c r="A71" s="33" t="n"/>
      <c r="B71" s="33" t="n"/>
      <c r="C71" s="33" t="n"/>
      <c r="D71" s="33" t="n"/>
      <c r="E71" s="33" t="n"/>
      <c r="F71" s="33" t="n"/>
      <c r="G71" s="37" t="n"/>
    </row>
    <row r="72">
      <c r="A72" s="33" t="n"/>
      <c r="B72" s="33" t="n"/>
      <c r="C72" s="33" t="n"/>
      <c r="D72" s="33" t="n"/>
      <c r="E72" s="33" t="n"/>
      <c r="F72" s="33" t="n"/>
      <c r="G72" s="37" t="n"/>
    </row>
    <row r="73">
      <c r="A73" s="33" t="n"/>
      <c r="B73" s="33" t="n"/>
      <c r="C73" s="33" t="n"/>
      <c r="D73" s="33" t="n"/>
      <c r="E73" s="33" t="n"/>
      <c r="F73" s="33" t="n"/>
      <c r="G73" s="37" t="n"/>
    </row>
    <row r="74">
      <c r="A74" s="33" t="n"/>
      <c r="B74" s="33" t="n"/>
      <c r="C74" s="33" t="n"/>
      <c r="D74" s="33" t="n"/>
      <c r="E74" s="33" t="n"/>
      <c r="F74" s="33" t="n"/>
      <c r="G74" s="37" t="n"/>
    </row>
    <row r="75">
      <c r="A75" s="33" t="n"/>
      <c r="B75" s="33" t="n"/>
      <c r="C75" s="33" t="n"/>
      <c r="D75" s="33" t="n"/>
      <c r="E75" s="33" t="n"/>
      <c r="F75" s="33" t="n"/>
      <c r="G75" s="37" t="n"/>
    </row>
    <row r="76">
      <c r="A76" s="33" t="n"/>
      <c r="B76" s="33" t="n"/>
      <c r="C76" s="33" t="n"/>
      <c r="D76" s="33" t="n"/>
      <c r="E76" s="33" t="n"/>
      <c r="F76" s="33" t="n"/>
      <c r="G76" s="37" t="n"/>
    </row>
    <row r="77">
      <c r="A77" s="33" t="n"/>
      <c r="B77" s="33" t="n"/>
      <c r="C77" s="33" t="n"/>
      <c r="D77" s="33" t="n"/>
      <c r="E77" s="33" t="n"/>
      <c r="F77" s="33" t="n"/>
      <c r="G77" s="37" t="n"/>
    </row>
    <row r="78">
      <c r="A78" s="33" t="n"/>
      <c r="B78" s="33" t="n"/>
      <c r="C78" s="33" t="n"/>
      <c r="D78" s="33" t="n"/>
      <c r="E78" s="33" t="n"/>
      <c r="F78" s="33" t="n"/>
      <c r="G78" s="37" t="n"/>
    </row>
    <row r="79">
      <c r="A79" s="33" t="n"/>
      <c r="B79" s="33" t="n"/>
      <c r="C79" s="33" t="n"/>
      <c r="D79" s="33" t="n"/>
      <c r="E79" s="33" t="n"/>
      <c r="F79" s="33" t="n"/>
      <c r="G79" s="37" t="n"/>
    </row>
    <row r="80">
      <c r="A80" s="33" t="n"/>
      <c r="B80" s="33" t="n"/>
      <c r="C80" s="33" t="n"/>
      <c r="D80" s="33" t="n"/>
      <c r="E80" s="33" t="n"/>
      <c r="F80" s="33" t="n"/>
      <c r="G80" s="37" t="n"/>
    </row>
    <row r="81">
      <c r="A81" s="33" t="n"/>
      <c r="B81" s="33" t="n"/>
      <c r="C81" s="33" t="n"/>
      <c r="D81" s="33" t="n"/>
      <c r="E81" s="33" t="n"/>
      <c r="F81" s="33" t="n"/>
      <c r="G81" s="37" t="n"/>
    </row>
    <row r="82">
      <c r="A82" s="33" t="n"/>
      <c r="B82" s="33" t="n"/>
      <c r="C82" s="33" t="n"/>
      <c r="D82" s="33" t="n"/>
      <c r="E82" s="33" t="n"/>
      <c r="F82" s="33" t="n"/>
      <c r="G82" s="37" t="n"/>
    </row>
    <row r="83">
      <c r="A83" s="33" t="n"/>
      <c r="B83" s="33" t="n"/>
      <c r="C83" s="33" t="n"/>
      <c r="D83" s="33" t="n"/>
      <c r="E83" s="33" t="n"/>
      <c r="F83" s="33" t="n"/>
      <c r="G83" s="37" t="n"/>
    </row>
    <row r="84">
      <c r="A84" s="33" t="n"/>
      <c r="B84" s="33" t="n"/>
      <c r="C84" s="33" t="n"/>
      <c r="D84" s="33" t="n"/>
      <c r="E84" s="33" t="n"/>
      <c r="F84" s="33" t="n"/>
      <c r="G84" s="37" t="n"/>
    </row>
    <row r="85">
      <c r="A85" s="33" t="n"/>
      <c r="B85" s="33" t="n"/>
      <c r="C85" s="33" t="n"/>
      <c r="D85" s="33" t="n"/>
      <c r="E85" s="33" t="n"/>
      <c r="F85" s="33" t="n"/>
      <c r="G85" s="37" t="n"/>
    </row>
    <row r="86">
      <c r="A86" s="33" t="n"/>
      <c r="B86" s="33" t="n"/>
      <c r="C86" s="33" t="n"/>
      <c r="D86" s="33" t="n"/>
      <c r="E86" s="33" t="n"/>
      <c r="F86" s="33" t="n"/>
      <c r="G86" s="37" t="n"/>
    </row>
    <row r="87">
      <c r="A87" s="33" t="n"/>
      <c r="B87" s="33" t="n"/>
      <c r="C87" s="33" t="n"/>
      <c r="D87" s="33" t="n"/>
      <c r="E87" s="33" t="n"/>
      <c r="F87" s="33" t="n"/>
      <c r="G87" s="37" t="n"/>
    </row>
    <row r="88">
      <c r="A88" s="33" t="n"/>
      <c r="B88" s="33" t="n"/>
      <c r="C88" s="33" t="n"/>
      <c r="D88" s="33" t="n"/>
      <c r="E88" s="33" t="n"/>
      <c r="F88" s="33" t="n"/>
      <c r="G88" s="37" t="n"/>
    </row>
    <row r="89">
      <c r="A89" s="26" t="inlineStr">
        <is>
          <t>Types: Fixed Amount (reach $X) · Percentage (X% of “Based on”) · Multiple (X × “Based on”) · Annual Contribution ($X per year) · Pay Down To (stay at or under $X) · Save By Date ($X by the target date; shows the monthly amount needed) · Tithe Balance (this quarter).</t>
        </is>
      </c>
    </row>
    <row r="90"/>
    <row r="91" ht="26" customHeight="1">
      <c r="A91" s="11" t="inlineStr">
        <is>
          <t>Reference only — older undated items (not counted anywhere except as noted)</t>
        </is>
      </c>
      <c r="B91" s="12" t="n"/>
      <c r="C91" s="12" t="n"/>
      <c r="D91" s="12" t="n"/>
      <c r="E91" s="12" t="n"/>
      <c r="F91" s="12" t="n"/>
      <c r="G91" s="12" t="n"/>
      <c r="H91" s="12" t="n"/>
    </row>
  </sheetData>
  <mergeCells count="13">
    <mergeCell ref="C11:H11"/>
    <mergeCell ref="C6:H6"/>
    <mergeCell ref="C10:H10"/>
    <mergeCell ref="C14:H14"/>
    <mergeCell ref="C5:H5"/>
    <mergeCell ref="A2:H2"/>
    <mergeCell ref="C9:H9"/>
    <mergeCell ref="C13:H13"/>
    <mergeCell ref="C8:H8"/>
    <mergeCell ref="A1:H1"/>
    <mergeCell ref="C12:H12"/>
    <mergeCell ref="C7:H7"/>
    <mergeCell ref="C15:H15"/>
  </mergeCells>
  <dataValidations count="19">
    <dataValidation sqref="B9" showDropDown="0" showInputMessage="0" showErrorMessage="0" allowBlank="1" type="list">
      <formula1>"Yes,No"</formula1>
    </dataValidation>
    <dataValidation sqref="B5 B6 B15" showDropDown="0" showInputMessage="0" showErrorMessage="1" allowBlank="0" errorTitle="Date expected" error="Please enter a date, e.g. 10/9/2026." type="date" operator="greaterThan">
      <formula1>DATE(2000,1,1)</formula1>
    </dataValidation>
    <dataValidation sqref="B19:B32" showDropDown="0" showInputMessage="0" showErrorMessage="0" allowBlank="1" type="list">
      <formula1>"Checking,Savings,Cash,Card,Loan"</formula1>
    </dataValidation>
    <dataValidation sqref="D19:F32" showDropDown="0" showInputMessage="0" showErrorMessage="0" allowBlank="1" type="list">
      <formula1>"Yes,No"</formula1>
    </dataValidation>
    <dataValidation sqref="C19:C32" showDropDown="0" showInputMessage="0" showErrorMessage="1" allowBlank="0" errorTitle="Number expected" error="Please enter a number." type="decimal" operator="between">
      <formula1>-1000000000</formula1>
      <formula2>1000000000</formula2>
    </dataValidation>
    <dataValidation sqref="B36:B41" showDropDown="0" showInputMessage="0" showErrorMessage="0" allowBlank="1" type="list">
      <formula1>"Investment,Retirement"</formula1>
    </dataValidation>
    <dataValidation sqref="F36:G41" showDropDown="0" showInputMessage="0" showErrorMessage="0" allowBlank="1" type="list">
      <formula1>"Yes,No"</formula1>
    </dataValidation>
    <dataValidation sqref="C36:E41" showDropDown="0" showInputMessage="0" showErrorMessage="1" allowBlank="0" errorTitle="Number expected" error="Please enter a number." type="decimal" operator="between">
      <formula1>-1000000000</formula1>
      <formula2>1000000000</formula2>
    </dataValidation>
    <dataValidation sqref="B45:B56" showDropDown="0" showInputMessage="0" showErrorMessage="0" allowBlank="1" type="list">
      <formula1>"Yes,No,Not Sure"</formula1>
    </dataValidation>
    <dataValidation sqref="D45:D56" showDropDown="0" showInputMessage="0" showErrorMessage="0" allowBlank="1" type="list">
      <formula1>"Weekly,Monthly"</formula1>
    </dataValidation>
    <dataValidation sqref="F45:G56" showDropDown="0" showInputMessage="0" showErrorMessage="1" allowBlank="0" errorTitle="Date expected" error="Please enter a date, e.g. 10/9/2026." type="date" operator="greaterThan">
      <formula1>DATE(2000,1,1)</formula1>
    </dataValidation>
    <dataValidation sqref="I45:I56" showDropDown="0" showInputMessage="1" showErrorMessage="0" allowBlank="1" promptTitle="Tip" prompt="Yes = counts in &quot;Taxable income received&quot; (Dashboard). No, Not Sure or blank = not counted." type="list">
      <formula1>"Yes,No,Not Sure"</formula1>
    </dataValidation>
    <dataValidation sqref="J45:J56" showDropDown="0" showInputMessage="1" showErrorMessage="0" allowBlank="1" promptTitle="Tip" prompt="No = taxable income with no tax taken off; it also counts in &quot;…of which no tax withheld&quot;." type="list">
      <formula1>"Yes,No"</formula1>
    </dataValidation>
    <dataValidation sqref="F60:F65" showDropDown="0" showInputMessage="0" showErrorMessage="0" allowBlank="1" type="list">
      <formula1>"Yes,No"</formula1>
    </dataValidation>
    <dataValidation sqref="H60:H65" showDropDown="0" showInputMessage="1" showErrorMessage="0" allowBlank="1" promptTitle="Tip" prompt="Yes = counts in &quot;Tax-deductible giving&quot; (Dashboard)." type="list">
      <formula1>"Yes,No"</formula1>
    </dataValidation>
    <dataValidation sqref="B69:B88" showDropDown="0" showInputMessage="0" showErrorMessage="0" allowBlank="1" type="list">
      <formula1>"Fixed Amount,Percentage,Multiple,Annual Contribution,Pay Down To,Save By Date,Tithe Balance"</formula1>
    </dataValidation>
    <dataValidation sqref="D69:E88" showDropDown="0" showInputMessage="0" showErrorMessage="0" allowBlank="1" type="list">
      <formula1>=Calc!$EA$6:$EA$26</formula1>
    </dataValidation>
    <dataValidation sqref="F69:F88" showDropDown="0" showInputMessage="0" showErrorMessage="0" allowBlank="1" type="list">
      <formula1>=Calc!$EA$40:$EA$59</formula1>
    </dataValidation>
    <dataValidation sqref="G69:G88" showDropDown="0" showInputMessage="0" showErrorMessage="1" allowBlank="0" errorTitle="Date expected" error="Please enter a date, e.g. 10/9/2026." type="date" operator="greaterThan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L183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Calc — engine. Do not edit (hidden on purpose). Row 6 = Mar 2026 … row 183 = Dec 2040 (Month-End columns C…).</t>
        </is>
      </c>
    </row>
    <row r="2"/>
    <row r="3"/>
    <row r="4">
      <c r="EA4" t="inlineStr">
        <is>
          <t>Metric</t>
        </is>
      </c>
      <c r="EB4" t="inlineStr">
        <is>
          <t>Value</t>
        </is>
      </c>
      <c r="EO4" t="inlineStr">
        <is>
          <t>Sunday</t>
        </is>
      </c>
      <c r="ET4" t="inlineStr">
        <is>
          <t>Opening month only: automatic income up to the opening date, per untyped source (summed in PreOpenInc, column V)</t>
        </is>
      </c>
      <c r="FF4" t="inlineStr">
        <is>
          <t>Tax: income from sources with Taxable = Yes · the part with Tax withheld = No · Giving rows and counted recurring donations marked Tax-deductible = Yes (totals for this year in EA61:EB64)</t>
        </is>
      </c>
      <c r="FI4" t="inlineStr">
        <is>
          <t>Cards &amp; loans: amount owed in complete months · the amount before (opening if the opening month or after a "pre" month) · 1 if it rose (needs PrevOK) · rises in a row (health check in EA103)</t>
        </is>
      </c>
    </row>
    <row r="5">
      <c r="A5" t="inlineStr">
        <is>
          <t>MonthStart</t>
        </is>
      </c>
      <c r="B5" t="inlineStr">
        <is>
          <t>MonthEnd</t>
        </is>
      </c>
      <c r="C5" t="inlineStr">
        <is>
          <t>EffEnd</t>
        </is>
      </c>
      <c r="D5" t="inlineStr">
        <is>
          <t>Future</t>
        </is>
      </c>
      <c r="E5" t="inlineStr">
        <is>
          <t>Phase</t>
        </is>
      </c>
      <c r="F5" t="inlineStr">
        <is>
          <t>Spare</t>
        </is>
      </c>
      <c r="G5" t="inlineStr">
        <is>
          <t>Inc0</t>
        </is>
      </c>
      <c r="H5" t="inlineStr">
        <is>
          <t>Inc1</t>
        </is>
      </c>
      <c r="I5" t="inlineStr">
        <is>
          <t>Inc2</t>
        </is>
      </c>
      <c r="J5" t="inlineStr">
        <is>
          <t>Inc3</t>
        </is>
      </c>
      <c r="K5" t="inlineStr">
        <is>
          <t>Inc4</t>
        </is>
      </c>
      <c r="L5" t="inlineStr">
        <is>
          <t>Inc5</t>
        </is>
      </c>
      <c r="M5" t="inlineStr">
        <is>
          <t>Inc6</t>
        </is>
      </c>
      <c r="N5" t="inlineStr">
        <is>
          <t>Inc7</t>
        </is>
      </c>
      <c r="O5" t="inlineStr">
        <is>
          <t>Inc8</t>
        </is>
      </c>
      <c r="P5" t="inlineStr">
        <is>
          <t>Inc9</t>
        </is>
      </c>
      <c r="Q5" t="inlineStr">
        <is>
          <t>Inc10</t>
        </is>
      </c>
      <c r="R5" t="inlineStr">
        <is>
          <t>Inc11</t>
        </is>
      </c>
      <c r="S5" t="inlineStr">
        <is>
          <t>Income</t>
        </is>
      </c>
      <c r="T5" t="inlineStr">
        <is>
          <t>TitheInc</t>
        </is>
      </c>
      <c r="U5" t="inlineStr">
        <is>
          <t>NotSureInc</t>
        </is>
      </c>
      <c r="V5" t="inlineStr">
        <is>
          <t>PreOpenInc</t>
        </is>
      </c>
      <c r="W5" t="inlineStr">
        <is>
          <t>IncSpend</t>
        </is>
      </c>
      <c r="X5" t="inlineStr">
        <is>
          <t>GiveLog</t>
        </is>
      </c>
      <c r="Y5" t="inlineStr">
        <is>
          <t>GiveFam</t>
        </is>
      </c>
      <c r="Z5" t="inlineStr">
        <is>
          <t>GiveRec</t>
        </is>
      </c>
      <c r="AA5" t="inlineStr">
        <is>
          <t>Given</t>
        </is>
      </c>
      <c r="AB5" t="inlineStr">
        <is>
          <t>GiveSpend</t>
        </is>
      </c>
      <c r="AC5" t="inlineStr">
        <is>
          <t>Contrib</t>
        </is>
      </c>
      <c r="AD5" t="inlineStr">
        <is>
          <t>ContribSpend</t>
        </is>
      </c>
      <c r="AE5" t="inlineStr">
        <is>
          <t>Val0</t>
        </is>
      </c>
      <c r="AF5" t="inlineStr">
        <is>
          <t>Val1</t>
        </is>
      </c>
      <c r="AG5" t="inlineStr">
        <is>
          <t>Val2</t>
        </is>
      </c>
      <c r="AH5" t="inlineStr">
        <is>
          <t>Val3</t>
        </is>
      </c>
      <c r="AI5" t="inlineStr">
        <is>
          <t>Val4</t>
        </is>
      </c>
      <c r="AJ5" t="inlineStr">
        <is>
          <t>Val5</t>
        </is>
      </c>
      <c r="AK5" t="inlineStr">
        <is>
          <t>Val6</t>
        </is>
      </c>
      <c r="AL5" t="inlineStr">
        <is>
          <t>Val7</t>
        </is>
      </c>
      <c r="AM5" t="inlineStr">
        <is>
          <t>Val8</t>
        </is>
      </c>
      <c r="AN5" t="inlineStr">
        <is>
          <t>Val9</t>
        </is>
      </c>
      <c r="AO5" t="inlineStr">
        <is>
          <t>Val10</t>
        </is>
      </c>
      <c r="AP5" t="inlineStr">
        <is>
          <t>Val11</t>
        </is>
      </c>
      <c r="AQ5" t="inlineStr">
        <is>
          <t>Val12</t>
        </is>
      </c>
      <c r="AR5" t="inlineStr">
        <is>
          <t>Val13</t>
        </is>
      </c>
      <c r="AS5" t="inlineStr">
        <is>
          <t>Val14</t>
        </is>
      </c>
      <c r="AT5" t="inlineStr">
        <is>
          <t>Val15</t>
        </is>
      </c>
      <c r="AU5" t="inlineStr">
        <is>
          <t>Val16</t>
        </is>
      </c>
      <c r="AV5" t="inlineStr">
        <is>
          <t>Val17</t>
        </is>
      </c>
      <c r="AW5" t="inlineStr">
        <is>
          <t>Val18</t>
        </is>
      </c>
      <c r="AX5" t="inlineStr">
        <is>
          <t>Val19</t>
        </is>
      </c>
      <c r="AY5" t="inlineStr">
        <is>
          <t>Dep0</t>
        </is>
      </c>
      <c r="AZ5" t="inlineStr">
        <is>
          <t>Dep1</t>
        </is>
      </c>
      <c r="BA5" t="inlineStr">
        <is>
          <t>Dep2</t>
        </is>
      </c>
      <c r="BB5" t="inlineStr">
        <is>
          <t>Dep3</t>
        </is>
      </c>
      <c r="BC5" t="inlineStr">
        <is>
          <t>Dep4</t>
        </is>
      </c>
      <c r="BD5" t="inlineStr">
        <is>
          <t>Dep5</t>
        </is>
      </c>
      <c r="BE5" t="inlineStr">
        <is>
          <t>Auto0</t>
        </is>
      </c>
      <c r="BF5" t="inlineStr">
        <is>
          <t>Auto1</t>
        </is>
      </c>
      <c r="BG5" t="inlineStr">
        <is>
          <t>Auto2</t>
        </is>
      </c>
      <c r="BH5" t="inlineStr">
        <is>
          <t>Auto3</t>
        </is>
      </c>
      <c r="BI5" t="inlineStr">
        <is>
          <t>Auto4</t>
        </is>
      </c>
      <c r="BJ5" t="inlineStr">
        <is>
          <t>Auto5</t>
        </is>
      </c>
      <c r="BK5" t="inlineStr">
        <is>
          <t>Auto6</t>
        </is>
      </c>
      <c r="BL5" t="inlineStr">
        <is>
          <t>Auto7</t>
        </is>
      </c>
      <c r="BM5" t="inlineStr">
        <is>
          <t>Auto8</t>
        </is>
      </c>
      <c r="BN5" t="inlineStr">
        <is>
          <t>Auto9</t>
        </is>
      </c>
      <c r="BO5" t="inlineStr">
        <is>
          <t>Auto10</t>
        </is>
      </c>
      <c r="BP5" t="inlineStr">
        <is>
          <t>Auto11</t>
        </is>
      </c>
      <c r="BQ5" t="inlineStr">
        <is>
          <t>FamAuto</t>
        </is>
      </c>
      <c r="BR5" t="inlineStr">
        <is>
          <t>Typed0</t>
        </is>
      </c>
      <c r="BS5" t="inlineStr">
        <is>
          <t>Typed1</t>
        </is>
      </c>
      <c r="BT5" t="inlineStr">
        <is>
          <t>Typed2</t>
        </is>
      </c>
      <c r="BU5" t="inlineStr">
        <is>
          <t>Typed3</t>
        </is>
      </c>
      <c r="BV5" t="inlineStr">
        <is>
          <t>Typed4</t>
        </is>
      </c>
      <c r="BW5" t="inlineStr">
        <is>
          <t>Typed5</t>
        </is>
      </c>
      <c r="BX5" t="inlineStr">
        <is>
          <t>Typed6</t>
        </is>
      </c>
      <c r="BY5" t="inlineStr">
        <is>
          <t>Typed7</t>
        </is>
      </c>
      <c r="BZ5" t="inlineStr">
        <is>
          <t>Typed8</t>
        </is>
      </c>
      <c r="CA5" t="inlineStr">
        <is>
          <t>Typed9</t>
        </is>
      </c>
      <c r="CB5" t="inlineStr">
        <is>
          <t>Typed10</t>
        </is>
      </c>
      <c r="CC5" t="inlineStr">
        <is>
          <t>Typed11</t>
        </is>
      </c>
      <c r="CD5" t="inlineStr">
        <is>
          <t>Typed12</t>
        </is>
      </c>
      <c r="CE5" t="inlineStr">
        <is>
          <t>Typed13</t>
        </is>
      </c>
      <c r="CF5" t="inlineStr">
        <is>
          <t>Typed14</t>
        </is>
      </c>
      <c r="CG5" t="inlineStr">
        <is>
          <t>Typed15</t>
        </is>
      </c>
      <c r="CH5" t="inlineStr">
        <is>
          <t>Typed16</t>
        </is>
      </c>
      <c r="CI5" t="inlineStr">
        <is>
          <t>Typed17</t>
        </is>
      </c>
      <c r="CJ5" t="inlineStr">
        <is>
          <t>Typed18</t>
        </is>
      </c>
      <c r="CK5" t="inlineStr">
        <is>
          <t>Typed19</t>
        </is>
      </c>
      <c r="CL5" t="inlineStr">
        <is>
          <t>MissingCount</t>
        </is>
      </c>
      <c r="CM5" t="inlineStr">
        <is>
          <t>Miss0</t>
        </is>
      </c>
      <c r="CN5" t="inlineStr">
        <is>
          <t>Miss1</t>
        </is>
      </c>
      <c r="CO5" t="inlineStr">
        <is>
          <t>Miss2</t>
        </is>
      </c>
      <c r="CP5" t="inlineStr">
        <is>
          <t>Miss3</t>
        </is>
      </c>
      <c r="CQ5" t="inlineStr">
        <is>
          <t>Miss4</t>
        </is>
      </c>
      <c r="CR5" t="inlineStr">
        <is>
          <t>Miss5</t>
        </is>
      </c>
      <c r="CS5" t="inlineStr">
        <is>
          <t>Miss6</t>
        </is>
      </c>
      <c r="CT5" t="inlineStr">
        <is>
          <t>Miss7</t>
        </is>
      </c>
      <c r="CU5" t="inlineStr">
        <is>
          <t>Miss8</t>
        </is>
      </c>
      <c r="CV5" t="inlineStr">
        <is>
          <t>Miss9</t>
        </is>
      </c>
      <c r="CW5" t="inlineStr">
        <is>
          <t>Miss10</t>
        </is>
      </c>
      <c r="CX5" t="inlineStr">
        <is>
          <t>Miss11</t>
        </is>
      </c>
      <c r="CY5" t="inlineStr">
        <is>
          <t>Miss12</t>
        </is>
      </c>
      <c r="CZ5" t="inlineStr">
        <is>
          <t>Miss13</t>
        </is>
      </c>
      <c r="DA5" t="inlineStr">
        <is>
          <t>NetCash</t>
        </is>
      </c>
      <c r="DB5" t="inlineStr">
        <is>
          <t>PrevNetCash</t>
        </is>
      </c>
      <c r="DC5" t="inlineStr">
        <is>
          <t>PrevOK</t>
        </is>
      </c>
      <c r="DD5" t="inlineStr">
        <is>
          <t>HHSpend</t>
        </is>
      </c>
      <c r="DE5" t="inlineStr">
        <is>
          <t>Family</t>
        </is>
      </c>
      <c r="DF5" t="inlineStr">
        <is>
          <t>OneTime</t>
        </is>
      </c>
      <c r="DG5" t="inlineStr">
        <is>
          <t>TrueCost</t>
        </is>
      </c>
      <c r="DH5" t="inlineStr">
        <is>
          <t>NormalCost</t>
        </is>
      </c>
      <c r="DI5" t="inlineStr">
        <is>
          <t>InvValue</t>
        </is>
      </c>
      <c r="DJ5" t="inlineStr">
        <is>
          <t>NetWorth</t>
        </is>
      </c>
      <c r="DK5" t="inlineStr">
        <is>
          <t>Saved</t>
        </is>
      </c>
      <c r="DL5" t="inlineStr">
        <is>
          <t>Full</t>
        </is>
      </c>
      <c r="DM5" t="inlineStr">
        <is>
          <t>RankFull</t>
        </is>
      </c>
      <c r="DN5" t="inlineStr">
        <is>
          <t>Status</t>
        </is>
      </c>
      <c r="DO5" t="inlineStr">
        <is>
          <t>Year</t>
        </is>
      </c>
      <c r="DP5" t="inlineStr">
        <is>
          <t>QStart</t>
        </is>
      </c>
      <c r="DQ5" t="inlineStr">
        <is>
          <t>RowIfDone</t>
        </is>
      </c>
      <c r="DR5" t="inlineStr">
        <is>
          <t>MissingPast</t>
        </is>
      </c>
      <c r="DS5" t="inlineStr">
        <is>
          <t>ChartNW</t>
        </is>
      </c>
      <c r="DT5" t="inlineStr">
        <is>
          <t>Complete</t>
        </is>
      </c>
      <c r="DU5" t="inlineStr">
        <is>
          <t>IncomeAvg</t>
        </is>
      </c>
      <c r="DV5" t="inlineStr">
        <is>
          <t>RankInc</t>
        </is>
      </c>
      <c r="DW5" t="inlineStr">
        <is>
          <t>NegLiab</t>
        </is>
      </c>
      <c r="DX5" t="inlineStr">
        <is>
          <t>RetDep</t>
        </is>
      </c>
      <c r="EA5" t="inlineStr">
        <is>
          <t>Latest done row (0 = none)</t>
        </is>
      </c>
      <c r="EB5">
        <f>MAX($DQ$6:$DQ$183)</f>
        <v/>
      </c>
      <c r="EO5" t="inlineStr">
        <is>
          <t>Monday</t>
        </is>
      </c>
      <c r="ET5" t="inlineStr">
        <is>
          <t>PreAuto0</t>
        </is>
      </c>
      <c r="EU5" t="inlineStr">
        <is>
          <t>PreAuto1</t>
        </is>
      </c>
      <c r="EV5" t="inlineStr">
        <is>
          <t>PreAuto2</t>
        </is>
      </c>
      <c r="EW5" t="inlineStr">
        <is>
          <t>PreAuto3</t>
        </is>
      </c>
      <c r="EX5" t="inlineStr">
        <is>
          <t>PreAuto4</t>
        </is>
      </c>
      <c r="EY5" t="inlineStr">
        <is>
          <t>PreAuto5</t>
        </is>
      </c>
      <c r="EZ5" t="inlineStr">
        <is>
          <t>PreAuto6</t>
        </is>
      </c>
      <c r="FA5" t="inlineStr">
        <is>
          <t>PreAuto7</t>
        </is>
      </c>
      <c r="FB5" t="inlineStr">
        <is>
          <t>PreAuto8</t>
        </is>
      </c>
      <c r="FC5" t="inlineStr">
        <is>
          <t>PreAuto9</t>
        </is>
      </c>
      <c r="FD5" t="inlineStr">
        <is>
          <t>PreAuto10</t>
        </is>
      </c>
      <c r="FE5" t="inlineStr">
        <is>
          <t>PreAuto11</t>
        </is>
      </c>
      <c r="FF5" t="inlineStr">
        <is>
          <t>TaxableInc</t>
        </is>
      </c>
      <c r="FG5" t="inlineStr">
        <is>
          <t>UnwithheldInc</t>
        </is>
      </c>
      <c r="FH5" t="inlineStr">
        <is>
          <t>DeductGive</t>
        </is>
      </c>
      <c r="FI5" t="inlineStr">
        <is>
          <t>Owed</t>
        </is>
      </c>
      <c r="FJ5" t="inlineStr">
        <is>
          <t>PrevOwed</t>
        </is>
      </c>
      <c r="FK5" t="inlineStr">
        <is>
          <t>Rise</t>
        </is>
      </c>
      <c r="FL5" t="inlineStr">
        <is>
          <t>RiseStreak</t>
        </is>
      </c>
    </row>
    <row r="6">
      <c r="A6">
        <f>'Month-End'!$C$4</f>
        <v/>
      </c>
      <c r="B6">
        <f>EOMONTH($A6,0)</f>
        <v/>
      </c>
      <c r="C6">
        <f>MIN($B6,TODAY())</f>
        <v/>
      </c>
      <c r="D6">
        <f>IF($A6&gt;TODAY(),1,0)</f>
        <v/>
      </c>
      <c r="E6">
        <f>IF($B6&lt;=Settings!$B$5,"pre",IF($A6&lt;=Settings!$B$5,"open","post"))</f>
        <v/>
      </c>
      <c r="G6">
        <f>IF('Month-End'!$C$22="",$BE6,N('Month-End'!$C$22))</f>
        <v/>
      </c>
      <c r="H6">
        <f>IF('Month-End'!$C$23="",$BF6,N('Month-End'!$C$23))</f>
        <v/>
      </c>
      <c r="I6">
        <f>IF('Month-End'!$C$24="",$BG6,N('Month-End'!$C$24))</f>
        <v/>
      </c>
      <c r="J6">
        <f>IF('Month-End'!$C$25="",$BH6,N('Month-End'!$C$25))</f>
        <v/>
      </c>
      <c r="K6">
        <f>IF('Month-End'!$C$26="",$BI6,N('Month-End'!$C$26))</f>
        <v/>
      </c>
      <c r="L6">
        <f>IF('Month-End'!$C$27="",$BJ6,N('Month-End'!$C$27))</f>
        <v/>
      </c>
      <c r="M6">
        <f>IF('Month-End'!$C$28="",$BK6,N('Month-End'!$C$28))</f>
        <v/>
      </c>
      <c r="N6">
        <f>IF('Month-End'!$C$29="",$BL6,N('Month-End'!$C$29))</f>
        <v/>
      </c>
      <c r="O6">
        <f>IF('Month-End'!$C$30="",$BM6,N('Month-End'!$C$30))</f>
        <v/>
      </c>
      <c r="P6">
        <f>IF('Month-End'!$C$31="",$BN6,N('Month-End'!$C$31))</f>
        <v/>
      </c>
      <c r="Q6">
        <f>IF('Month-End'!$C$32="",$BO6,N('Month-End'!$C$32))</f>
        <v/>
      </c>
      <c r="R6">
        <f>IF('Month-End'!$C$33="",$BP6,N('Month-End'!$C$33))</f>
        <v/>
      </c>
      <c r="S6">
        <f>$G6+$H6+$I6+$J6+$K6+$L6+$M6+$N6+$O6+$P6+$Q6+$R6</f>
        <v/>
      </c>
      <c r="T6">
        <f>IF($B6&lt;Settings!$B$6,0,IF(Settings!$B$45="Yes",$G6,0)+IF(Settings!$B$46="Yes",$H6,0)+IF(Settings!$B$47="Yes",$I6,0)+IF(Settings!$B$48="Yes",$J6,0)+IF(Settings!$B$49="Yes",$K6,0)+IF(Settings!$B$50="Yes",$L6,0)+IF(Settings!$B$51="Yes",$M6,0)+IF(Settings!$B$52="Yes",$N6,0)+IF(Settings!$B$53="Yes",$O6,0)+IF(Settings!$B$54="Yes",$P6,0)+IF(Settings!$B$55="Yes",$Q6,0)+IF(Settings!$B$56="Yes",$R6,0))</f>
        <v/>
      </c>
      <c r="U6">
        <f>IF(Settings!$B$45="Not Sure",$G6,0)+IF(Settings!$B$46="Not Sure",$H6,0)+IF(Settings!$B$47="Not Sure",$I6,0)+IF(Settings!$B$48="Not Sure",$J6,0)+IF(Settings!$B$49="Not Sure",$K6,0)+IF(Settings!$B$50="Not Sure",$L6,0)+IF(Settings!$B$51="Not Sure",$M6,0)+IF(Settings!$B$52="Not Sure",$N6,0)+IF(Settings!$B$53="Not Sure",$O6,0)+IF(Settings!$B$54="Not Sure",$P6,0)+IF(Settings!$B$55="Not Sure",$Q6,0)+IF(Settings!$B$56="Not Sure",$R6,0)</f>
        <v/>
      </c>
      <c r="V6">
        <f>IF($E6="open",SUM($ET6:$FE6)+N(Settings!$B$13),0)</f>
        <v/>
      </c>
      <c r="W6">
        <f>IF($E6="post",$S6,IF($E6="open",$S6-$V6,0))</f>
        <v/>
      </c>
      <c r="X6">
        <f>SUMIFS(Giving!$B$7:$B$2006,Giving!$A$7:$A$2006,"&gt;="&amp;$A6,Giving!$A$7:$A$2006,"&lt;="&amp;$B6,Giving!$E$7:$E$2006,"&lt;&gt;No")</f>
        <v/>
      </c>
      <c r="Y6">
        <f>SUMIFS(Giving!$B$7:$B$2006,Giving!$A$7:$A$2006,"&gt;="&amp;$A6,Giving!$A$7:$A$2006,"&lt;="&amp;$B6,Giving!$E$7:$E$2006,"No")</f>
        <v/>
      </c>
      <c r="Z6">
        <f>IF(OR(Settings!$B$60="",Settings!$F$60="No"),0,Settings!$B$60*IF(AND(IF(Settings!$C$60="",$B6,DATE(YEAR($A6),MONTH($A6),MIN(Settings!$C$60,DAY($B6))))&gt;=MAX($A6,Settings!$D$60),IF(Settings!$C$60="",$B6,DATE(YEAR($A6),MONTH($A6),MIN(Settings!$C$60,DAY($B6))))&lt;=MIN($C6,IF(Settings!$E$60="",$C6,Settings!$E$60))),1,0))+IF(OR(Settings!$B$61="",Settings!$F$61="No"),0,Settings!$B$61*IF(AND(IF(Settings!$C$61="",$B6,DATE(YEAR($A6),MONTH($A6),MIN(Settings!$C$61,DAY($B6))))&gt;=MAX($A6,Settings!$D$61),IF(Settings!$C$61="",$B6,DATE(YEAR($A6),MONTH($A6),MIN(Settings!$C$61,DAY($B6))))&lt;=MIN($C6,IF(Settings!$E$61="",$C6,Settings!$E$61))),1,0))+IF(OR(Settings!$B$62="",Settings!$F$62="No"),0,Settings!$B$62*IF(AND(IF(Settings!$C$62="",$B6,DATE(YEAR($A6),MONTH($A6),MIN(Settings!$C$62,DAY($B6))))&gt;=MAX($A6,Settings!$D$62),IF(Settings!$C$62="",$B6,DATE(YEAR($A6),MONTH($A6),MIN(Settings!$C$62,DAY($B6))))&lt;=MIN($C6,IF(Settings!$E$62="",$C6,Settings!$E$62))),1,0))+IF(OR(Settings!$B$63="",Settings!$F$63="No"),0,Settings!$B$63*IF(AND(IF(Settings!$C$63="",$B6,DATE(YEAR($A6),MONTH($A6),MIN(Settings!$C$63,DAY($B6))))&gt;=MAX($A6,Settings!$D$63),IF(Settings!$C$63="",$B6,DATE(YEAR($A6),MONTH($A6),MIN(Settings!$C$63,DAY($B6))))&lt;=MIN($C6,IF(Settings!$E$63="",$C6,Settings!$E$63))),1,0))+IF(OR(Settings!$B$64="",Settings!$F$64="No"),0,Settings!$B$64*IF(AND(IF(Settings!$C$64="",$B6,DATE(YEAR($A6),MONTH($A6),MIN(Settings!$C$64,DAY($B6))))&gt;=MAX($A6,Settings!$D$64),IF(Settings!$C$64="",$B6,DATE(YEAR($A6),MONTH($A6),MIN(Settings!$C$64,DAY($B6))))&lt;=MIN($C6,IF(Settings!$E$64="",$C6,Settings!$E$64))),1,0))+IF(OR(Settings!$B$65="",Settings!$F$65="No"),0,Settings!$B$65*IF(AND(IF(Settings!$C$65="",$B6,DATE(YEAR($A6),MONTH($A6),MIN(Settings!$C$65,DAY($B6))))&gt;=MAX($A6,Settings!$D$65),IF(Settings!$C$65="",$B6,DATE(YEAR($A6),MONTH($A6),MIN(Settings!$C$65,DAY($B6))))&lt;=MIN($C6,IF(Settings!$E$65="",$C6,Settings!$E$65))),1,0))</f>
        <v/>
      </c>
      <c r="AA6">
        <f>$X6+$Z6</f>
        <v/>
      </c>
      <c r="AB6">
        <f>IF($E6="post",$AA6,IF($E6="open",SUMIFS(Giving!$B$7:$B$2006,Giving!$A$7:$A$2006,"&gt;"&amp;Settings!$B$5,Giving!$A$7:$A$2006,"&lt;="&amp;$B6,Giving!$E$7:$E$2006,"&lt;&gt;No")+IF(OR(Settings!$B$60="",Settings!$F$60="No"),0,Settings!$B$60*IF(AND(IF(Settings!$C$60="",$B6,DATE(YEAR($A6),MONTH($A6),MIN(Settings!$C$60,DAY($B6))))&gt;=MAX($A6,Settings!$D$60,Settings!$B$5+1),IF(Settings!$C$60="",$B6,DATE(YEAR($A6),MONTH($A6),MIN(Settings!$C$60,DAY($B6))))&lt;=MIN($C6,IF(Settings!$E$60="",$C6,Settings!$E$60))),1,0))+IF(OR(Settings!$B$61="",Settings!$F$61="No"),0,Settings!$B$61*IF(AND(IF(Settings!$C$61="",$B6,DATE(YEAR($A6),MONTH($A6),MIN(Settings!$C$61,DAY($B6))))&gt;=MAX($A6,Settings!$D$61,Settings!$B$5+1),IF(Settings!$C$61="",$B6,DATE(YEAR($A6),MONTH($A6),MIN(Settings!$C$61,DAY($B6))))&lt;=MIN($C6,IF(Settings!$E$61="",$C6,Settings!$E$61))),1,0))+IF(OR(Settings!$B$62="",Settings!$F$62="No"),0,Settings!$B$62*IF(AND(IF(Settings!$C$62="",$B6,DATE(YEAR($A6),MONTH($A6),MIN(Settings!$C$62,DAY($B6))))&gt;=MAX($A6,Settings!$D$62,Settings!$B$5+1),IF(Settings!$C$62="",$B6,DATE(YEAR($A6),MONTH($A6),MIN(Settings!$C$62,DAY($B6))))&lt;=MIN($C6,IF(Settings!$E$62="",$C6,Settings!$E$62))),1,0))+IF(OR(Settings!$B$63="",Settings!$F$63="No"),0,Settings!$B$63*IF(AND(IF(Settings!$C$63="",$B6,DATE(YEAR($A6),MONTH($A6),MIN(Settings!$C$63,DAY($B6))))&gt;=MAX($A6,Settings!$D$63,Settings!$B$5+1),IF(Settings!$C$63="",$B6,DATE(YEAR($A6),MONTH($A6),MIN(Settings!$C$63,DAY($B6))))&lt;=MIN($C6,IF(Settings!$E$63="",$C6,Settings!$E$63))),1,0))+IF(OR(Settings!$B$64="",Settings!$F$64="No"),0,Settings!$B$64*IF(AND(IF(Settings!$C$64="",$B6,DATE(YEAR($A6),MONTH($A6),MIN(Settings!$C$64,DAY($B6))))&gt;=MAX($A6,Settings!$D$64,Settings!$B$5+1),IF(Settings!$C$64="",$B6,DATE(YEAR($A6),MONTH($A6),MIN(Settings!$C$64,DAY($B6))))&lt;=MIN($C6,IF(Settings!$E$64="",$C6,Settings!$E$64))),1,0))+IF(OR(Settings!$B$65="",Settings!$F$65="No"),0,Settings!$B$65*IF(AND(IF(Settings!$C$65="",$B6,DATE(YEAR($A6),MONTH($A6),MIN(Settings!$C$65,DAY($B6))))&gt;=MAX($A6,Settings!$D$65,Settings!$B$5+1),IF(Settings!$C$65="",$B6,DATE(YEAR($A6),MONTH($A6),MIN(Settings!$C$65,DAY($B6))))&lt;=MIN($C6,IF(Settings!$E$65="",$C6,Settings!$E$65))),1,0)),0))</f>
        <v/>
      </c>
      <c r="AC6">
        <f>$AY6+$AZ6+$BA6+$BB6+$BC6+$BD6</f>
        <v/>
      </c>
      <c r="AD6">
        <f>$AC6</f>
        <v/>
      </c>
      <c r="AE6">
        <f>IF(OR(Settings!$A$19="",$E6="pre"),"",IF(AND('Month-End'!$C$7&lt;&gt;"",NOT(_xlfn.ISFORMULA('Month-End'!$C$7))),N('Month-End'!$C$7),N(Settings!$C$19)))</f>
        <v/>
      </c>
      <c r="AF6">
        <f>IF(OR(Settings!$A$20="",$E6="pre"),"",IF(AND('Month-End'!$C$8&lt;&gt;"",NOT(_xlfn.ISFORMULA('Month-End'!$C$8))),N('Month-End'!$C$8),N(Settings!$C$20)))</f>
        <v/>
      </c>
      <c r="AG6">
        <f>IF(OR(Settings!$A$21="",$E6="pre"),"",IF(AND('Month-End'!$C$9&lt;&gt;"",NOT(_xlfn.ISFORMULA('Month-End'!$C$9))),N('Month-End'!$C$9),N(Settings!$C$21)))</f>
        <v/>
      </c>
      <c r="AH6">
        <f>IF(OR(Settings!$A$22="",$E6="pre"),"",IF(AND('Month-End'!$C$10&lt;&gt;"",NOT(_xlfn.ISFORMULA('Month-End'!$C$10))),N('Month-End'!$C$10),N(Settings!$C$22)))</f>
        <v/>
      </c>
      <c r="AI6">
        <f>IF(OR(Settings!$A$23="",$E6="pre"),"",IF(AND('Month-End'!$C$11&lt;&gt;"",NOT(_xlfn.ISFORMULA('Month-End'!$C$11))),N('Month-End'!$C$11),N(Settings!$C$23)))</f>
        <v/>
      </c>
      <c r="AJ6">
        <f>IF(OR(Settings!$A$24="",$E6="pre"),"",IF(AND('Month-End'!$C$12&lt;&gt;"",NOT(_xlfn.ISFORMULA('Month-End'!$C$12))),N('Month-End'!$C$12),N(Settings!$C$24)))</f>
        <v/>
      </c>
      <c r="AK6">
        <f>IF(OR(Settings!$A$25="",$E6="pre"),"",IF(AND('Month-End'!$C$13&lt;&gt;"",NOT(_xlfn.ISFORMULA('Month-End'!$C$13))),N('Month-End'!$C$13),N(Settings!$C$25)))</f>
        <v/>
      </c>
      <c r="AL6">
        <f>IF(OR(Settings!$A$26="",$E6="pre"),"",IF(AND('Month-End'!$C$14&lt;&gt;"",NOT(_xlfn.ISFORMULA('Month-End'!$C$14))),N('Month-End'!$C$14),N(Settings!$C$26)))</f>
        <v/>
      </c>
      <c r="AM6">
        <f>IF(OR(Settings!$A$27="",$E6="pre"),"",IF(AND('Month-End'!$C$15&lt;&gt;"",NOT(_xlfn.ISFORMULA('Month-End'!$C$15))),N('Month-End'!$C$15),N(Settings!$C$27)))</f>
        <v/>
      </c>
      <c r="AN6">
        <f>IF(OR(Settings!$A$28="",$E6="pre"),"",IF(AND('Month-End'!$C$16&lt;&gt;"",NOT(_xlfn.ISFORMULA('Month-End'!$C$16))),N('Month-End'!$C$16),N(Settings!$C$28)))</f>
        <v/>
      </c>
      <c r="AO6">
        <f>IF(OR(Settings!$A$29="",$E6="pre"),"",IF(AND('Month-End'!$C$17&lt;&gt;"",NOT(_xlfn.ISFORMULA('Month-End'!$C$17))),N('Month-End'!$C$17),N(Settings!$C$29)))</f>
        <v/>
      </c>
      <c r="AP6">
        <f>IF(OR(Settings!$A$30="",$E6="pre"),"",IF(AND('Month-End'!$C$18&lt;&gt;"",NOT(_xlfn.ISFORMULA('Month-End'!$C$18))),N('Month-End'!$C$18),N(Settings!$C$30)))</f>
        <v/>
      </c>
      <c r="AQ6">
        <f>IF(OR(Settings!$A$31="",$E6="pre"),"",IF(AND('Month-End'!$C$19&lt;&gt;"",NOT(_xlfn.ISFORMULA('Month-End'!$C$19))),N('Month-End'!$C$19),N(Settings!$C$31)))</f>
        <v/>
      </c>
      <c r="AR6">
        <f>IF(OR(Settings!$A$32="",$E6="pre"),"",IF(AND('Month-End'!$C$20&lt;&gt;"",NOT(_xlfn.ISFORMULA('Month-End'!$C$20))),N('Month-End'!$C$20),N(Settings!$C$32)))</f>
        <v/>
      </c>
      <c r="AS6">
        <f>IF(OR(Settings!$A$36="",$E6="pre"),"",IF(AND('Month-End'!$C$38&lt;&gt;"",NOT(_xlfn.ISFORMULA('Month-End'!$C$38))),N('Month-End'!$C$38),N(Settings!$C$36)+$AY6))</f>
        <v/>
      </c>
      <c r="AT6">
        <f>IF(OR(Settings!$A$37="",$E6="pre"),"",IF(AND('Month-End'!$C$39&lt;&gt;"",NOT(_xlfn.ISFORMULA('Month-End'!$C$39))),N('Month-End'!$C$39),N(Settings!$C$37)+$AZ6))</f>
        <v/>
      </c>
      <c r="AU6">
        <f>IF(OR(Settings!$A$38="",$E6="pre"),"",IF(AND('Month-End'!$C$40&lt;&gt;"",NOT(_xlfn.ISFORMULA('Month-End'!$C$40))),N('Month-End'!$C$40),N(Settings!$C$38)+$BA6))</f>
        <v/>
      </c>
      <c r="AV6">
        <f>IF(OR(Settings!$A$39="",$E6="pre"),"",IF(AND('Month-End'!$C$41&lt;&gt;"",NOT(_xlfn.ISFORMULA('Month-End'!$C$41))),N('Month-End'!$C$41),N(Settings!$C$39)+$BB6))</f>
        <v/>
      </c>
      <c r="AW6">
        <f>IF(OR(Settings!$A$40="",$E6="pre"),"",IF(AND('Month-End'!$C$42&lt;&gt;"",NOT(_xlfn.ISFORMULA('Month-End'!$C$42))),N('Month-End'!$C$42),N(Settings!$C$40)+$BC6))</f>
        <v/>
      </c>
      <c r="AX6">
        <f>IF(OR(Settings!$A$41="",$E6="pre"),"",IF(AND('Month-End'!$C$43&lt;&gt;"",NOT(_xlfn.ISFORMULA('Month-End'!$C$43))),N('Month-End'!$C$43),N(Settings!$C$41)+$BD6))</f>
        <v/>
      </c>
      <c r="AY6">
        <f>IF($E6="pre",0,N('Month-End'!$C$45))</f>
        <v/>
      </c>
      <c r="AZ6">
        <f>IF($E6="pre",0,N('Month-End'!$C$46))</f>
        <v/>
      </c>
      <c r="BA6">
        <f>IF($E6="pre",0,N('Month-End'!$C$47))</f>
        <v/>
      </c>
      <c r="BB6">
        <f>IF($E6="pre",0,N('Month-End'!$C$48))</f>
        <v/>
      </c>
      <c r="BC6">
        <f>IF($E6="pre",0,N('Month-End'!$C$49))</f>
        <v/>
      </c>
      <c r="BD6">
        <f>IF($E6="pre",0,N('Month-End'!$C$50))</f>
        <v/>
      </c>
      <c r="BE6">
        <f>IF(OR(Settings!$C$45="",Settings!$D$45=""),0,Settings!$C$45*IF(Settings!$D$45="Weekly",IF(IFERROR(MATCH(Settings!$E$45,$EO$4:$EO$10,0),0)=0,0,IF(MIN($C6,IF(Settings!$G$45="",$C6,Settings!$G$45))&lt;MAX($A6,Settings!$F$45),0,INT((MIN($C6,IF(Settings!$G$45="",$C6,Settings!$G$45))-MAX($A6,Settings!$F$45)-MOD(IFERROR(MATCH(Settings!$E$45,$EO$4:$EO$10,0),0)-WEEKDAY(MAX($A6,Settings!$F$45)),7))/7)+1)),IF(AND(IF(Settings!$E$45="",$B6,DATE(YEAR($A6),MONTH($A6),MIN(Settings!$E$45,DAY($B6))))&gt;=MAX($A6,Settings!$F$45),IF(Settings!$E$45="",$B6,DATE(YEAR($A6),MONTH($A6),MIN(Settings!$E$45,DAY($B6))))&lt;=MIN($C6,IF(Settings!$G$45="",$C6,Settings!$G$45))),1,0)))</f>
        <v/>
      </c>
      <c r="BF6">
        <f>IF(OR(Settings!$C$46="",Settings!$D$46=""),0,Settings!$C$46*IF(Settings!$D$46="Weekly",IF(IFERROR(MATCH(Settings!$E$46,$EO$4:$EO$10,0),0)=0,0,IF(MIN($C6,IF(Settings!$G$46="",$C6,Settings!$G$46))&lt;MAX($A6,Settings!$F$46),0,INT((MIN($C6,IF(Settings!$G$46="",$C6,Settings!$G$46))-MAX($A6,Settings!$F$46)-MOD(IFERROR(MATCH(Settings!$E$46,$EO$4:$EO$10,0),0)-WEEKDAY(MAX($A6,Settings!$F$46)),7))/7)+1)),IF(AND(IF(Settings!$E$46="",$B6,DATE(YEAR($A6),MONTH($A6),MIN(Settings!$E$46,DAY($B6))))&gt;=MAX($A6,Settings!$F$46),IF(Settings!$E$46="",$B6,DATE(YEAR($A6),MONTH($A6),MIN(Settings!$E$46,DAY($B6))))&lt;=MIN($C6,IF(Settings!$G$46="",$C6,Settings!$G$46))),1,0)))</f>
        <v/>
      </c>
      <c r="BG6">
        <f>IF(OR(Settings!$C$47="",Settings!$D$47=""),0,Settings!$C$47*IF(Settings!$D$47="Weekly",IF(IFERROR(MATCH(Settings!$E$47,$EO$4:$EO$10,0),0)=0,0,IF(MIN($C6,IF(Settings!$G$47="",$C6,Settings!$G$47))&lt;MAX($A6,Settings!$F$47),0,INT((MIN($C6,IF(Settings!$G$47="",$C6,Settings!$G$47))-MAX($A6,Settings!$F$47)-MOD(IFERROR(MATCH(Settings!$E$47,$EO$4:$EO$10,0),0)-WEEKDAY(MAX($A6,Settings!$F$47)),7))/7)+1)),IF(AND(IF(Settings!$E$47="",$B6,DATE(YEAR($A6),MONTH($A6),MIN(Settings!$E$47,DAY($B6))))&gt;=MAX($A6,Settings!$F$47),IF(Settings!$E$47="",$B6,DATE(YEAR($A6),MONTH($A6),MIN(Settings!$E$47,DAY($B6))))&lt;=MIN($C6,IF(Settings!$G$47="",$C6,Settings!$G$47))),1,0)))</f>
        <v/>
      </c>
      <c r="BH6">
        <f>IF(OR(Settings!$C$48="",Settings!$D$48=""),0,Settings!$C$48*IF(Settings!$D$48="Weekly",IF(IFERROR(MATCH(Settings!$E$48,$EO$4:$EO$10,0),0)=0,0,IF(MIN($C6,IF(Settings!$G$48="",$C6,Settings!$G$48))&lt;MAX($A6,Settings!$F$48),0,INT((MIN($C6,IF(Settings!$G$48="",$C6,Settings!$G$48))-MAX($A6,Settings!$F$48)-MOD(IFERROR(MATCH(Settings!$E$48,$EO$4:$EO$10,0),0)-WEEKDAY(MAX($A6,Settings!$F$48)),7))/7)+1)),IF(AND(IF(Settings!$E$48="",$B6,DATE(YEAR($A6),MONTH($A6),MIN(Settings!$E$48,DAY($B6))))&gt;=MAX($A6,Settings!$F$48),IF(Settings!$E$48="",$B6,DATE(YEAR($A6),MONTH($A6),MIN(Settings!$E$48,DAY($B6))))&lt;=MIN($C6,IF(Settings!$G$48="",$C6,Settings!$G$48))),1,0)))</f>
        <v/>
      </c>
      <c r="BI6">
        <f>IF(OR(Settings!$C$49="",Settings!$D$49=""),0,Settings!$C$49*IF(Settings!$D$49="Weekly",IF(IFERROR(MATCH(Settings!$E$49,$EO$4:$EO$10,0),0)=0,0,IF(MIN($C6,IF(Settings!$G$49="",$C6,Settings!$G$49))&lt;MAX($A6,Settings!$F$49),0,INT((MIN($C6,IF(Settings!$G$49="",$C6,Settings!$G$49))-MAX($A6,Settings!$F$49)-MOD(IFERROR(MATCH(Settings!$E$49,$EO$4:$EO$10,0),0)-WEEKDAY(MAX($A6,Settings!$F$49)),7))/7)+1)),IF(AND(IF(Settings!$E$49="",$B6,DATE(YEAR($A6),MONTH($A6),MIN(Settings!$E$49,DAY($B6))))&gt;=MAX($A6,Settings!$F$49),IF(Settings!$E$49="",$B6,DATE(YEAR($A6),MONTH($A6),MIN(Settings!$E$49,DAY($B6))))&lt;=MIN($C6,IF(Settings!$G$49="",$C6,Settings!$G$49))),1,0)))</f>
        <v/>
      </c>
      <c r="BJ6">
        <f>IF(OR(Settings!$C$50="",Settings!$D$50=""),0,Settings!$C$50*IF(Settings!$D$50="Weekly",IF(IFERROR(MATCH(Settings!$E$50,$EO$4:$EO$10,0),0)=0,0,IF(MIN($C6,IF(Settings!$G$50="",$C6,Settings!$G$50))&lt;MAX($A6,Settings!$F$50),0,INT((MIN($C6,IF(Settings!$G$50="",$C6,Settings!$G$50))-MAX($A6,Settings!$F$50)-MOD(IFERROR(MATCH(Settings!$E$50,$EO$4:$EO$10,0),0)-WEEKDAY(MAX($A6,Settings!$F$50)),7))/7)+1)),IF(AND(IF(Settings!$E$50="",$B6,DATE(YEAR($A6),MONTH($A6),MIN(Settings!$E$50,DAY($B6))))&gt;=MAX($A6,Settings!$F$50),IF(Settings!$E$50="",$B6,DATE(YEAR($A6),MONTH($A6),MIN(Settings!$E$50,DAY($B6))))&lt;=MIN($C6,IF(Settings!$G$50="",$C6,Settings!$G$50))),1,0)))</f>
        <v/>
      </c>
      <c r="BK6">
        <f>IF(OR(Settings!$C$51="",Settings!$D$51=""),0,Settings!$C$51*IF(Settings!$D$51="Weekly",IF(IFERROR(MATCH(Settings!$E$51,$EO$4:$EO$10,0),0)=0,0,IF(MIN($C6,IF(Settings!$G$51="",$C6,Settings!$G$51))&lt;MAX($A6,Settings!$F$51),0,INT((MIN($C6,IF(Settings!$G$51="",$C6,Settings!$G$51))-MAX($A6,Settings!$F$51)-MOD(IFERROR(MATCH(Settings!$E$51,$EO$4:$EO$10,0),0)-WEEKDAY(MAX($A6,Settings!$F$51)),7))/7)+1)),IF(AND(IF(Settings!$E$51="",$B6,DATE(YEAR($A6),MONTH($A6),MIN(Settings!$E$51,DAY($B6))))&gt;=MAX($A6,Settings!$F$51),IF(Settings!$E$51="",$B6,DATE(YEAR($A6),MONTH($A6),MIN(Settings!$E$51,DAY($B6))))&lt;=MIN($C6,IF(Settings!$G$51="",$C6,Settings!$G$51))),1,0)))</f>
        <v/>
      </c>
      <c r="BL6">
        <f>IF(OR(Settings!$C$52="",Settings!$D$52=""),0,Settings!$C$52*IF(Settings!$D$52="Weekly",IF(IFERROR(MATCH(Settings!$E$52,$EO$4:$EO$10,0),0)=0,0,IF(MIN($C6,IF(Settings!$G$52="",$C6,Settings!$G$52))&lt;MAX($A6,Settings!$F$52),0,INT((MIN($C6,IF(Settings!$G$52="",$C6,Settings!$G$52))-MAX($A6,Settings!$F$52)-MOD(IFERROR(MATCH(Settings!$E$52,$EO$4:$EO$10,0),0)-WEEKDAY(MAX($A6,Settings!$F$52)),7))/7)+1)),IF(AND(IF(Settings!$E$52="",$B6,DATE(YEAR($A6),MONTH($A6),MIN(Settings!$E$52,DAY($B6))))&gt;=MAX($A6,Settings!$F$52),IF(Settings!$E$52="",$B6,DATE(YEAR($A6),MONTH($A6),MIN(Settings!$E$52,DAY($B6))))&lt;=MIN($C6,IF(Settings!$G$52="",$C6,Settings!$G$52))),1,0)))</f>
        <v/>
      </c>
      <c r="BM6">
        <f>IF(OR(Settings!$C$53="",Settings!$D$53=""),0,Settings!$C$53*IF(Settings!$D$53="Weekly",IF(IFERROR(MATCH(Settings!$E$53,$EO$4:$EO$10,0),0)=0,0,IF(MIN($C6,IF(Settings!$G$53="",$C6,Settings!$G$53))&lt;MAX($A6,Settings!$F$53),0,INT((MIN($C6,IF(Settings!$G$53="",$C6,Settings!$G$53))-MAX($A6,Settings!$F$53)-MOD(IFERROR(MATCH(Settings!$E$53,$EO$4:$EO$10,0),0)-WEEKDAY(MAX($A6,Settings!$F$53)),7))/7)+1)),IF(AND(IF(Settings!$E$53="",$B6,DATE(YEAR($A6),MONTH($A6),MIN(Settings!$E$53,DAY($B6))))&gt;=MAX($A6,Settings!$F$53),IF(Settings!$E$53="",$B6,DATE(YEAR($A6),MONTH($A6),MIN(Settings!$E$53,DAY($B6))))&lt;=MIN($C6,IF(Settings!$G$53="",$C6,Settings!$G$53))),1,0)))</f>
        <v/>
      </c>
      <c r="BN6">
        <f>IF(OR(Settings!$C$54="",Settings!$D$54=""),0,Settings!$C$54*IF(Settings!$D$54="Weekly",IF(IFERROR(MATCH(Settings!$E$54,$EO$4:$EO$10,0),0)=0,0,IF(MIN($C6,IF(Settings!$G$54="",$C6,Settings!$G$54))&lt;MAX($A6,Settings!$F$54),0,INT((MIN($C6,IF(Settings!$G$54="",$C6,Settings!$G$54))-MAX($A6,Settings!$F$54)-MOD(IFERROR(MATCH(Settings!$E$54,$EO$4:$EO$10,0),0)-WEEKDAY(MAX($A6,Settings!$F$54)),7))/7)+1)),IF(AND(IF(Settings!$E$54="",$B6,DATE(YEAR($A6),MONTH($A6),MIN(Settings!$E$54,DAY($B6))))&gt;=MAX($A6,Settings!$F$54),IF(Settings!$E$54="",$B6,DATE(YEAR($A6),MONTH($A6),MIN(Settings!$E$54,DAY($B6))))&lt;=MIN($C6,IF(Settings!$G$54="",$C6,Settings!$G$54))),1,0)))</f>
        <v/>
      </c>
      <c r="BO6">
        <f>IF(OR(Settings!$C$55="",Settings!$D$55=""),0,Settings!$C$55*IF(Settings!$D$55="Weekly",IF(IFERROR(MATCH(Settings!$E$55,$EO$4:$EO$10,0),0)=0,0,IF(MIN($C6,IF(Settings!$G$55="",$C6,Settings!$G$55))&lt;MAX($A6,Settings!$F$55),0,INT((MIN($C6,IF(Settings!$G$55="",$C6,Settings!$G$55))-MAX($A6,Settings!$F$55)-MOD(IFERROR(MATCH(Settings!$E$55,$EO$4:$EO$10,0),0)-WEEKDAY(MAX($A6,Settings!$F$55)),7))/7)+1)),IF(AND(IF(Settings!$E$55="",$B6,DATE(YEAR($A6),MONTH($A6),MIN(Settings!$E$55,DAY($B6))))&gt;=MAX($A6,Settings!$F$55),IF(Settings!$E$55="",$B6,DATE(YEAR($A6),MONTH($A6),MIN(Settings!$E$55,DAY($B6))))&lt;=MIN($C6,IF(Settings!$G$55="",$C6,Settings!$G$55))),1,0)))</f>
        <v/>
      </c>
      <c r="BP6">
        <f>IF(OR(Settings!$C$56="",Settings!$D$56=""),0,Settings!$C$56*IF(Settings!$D$56="Weekly",IF(IFERROR(MATCH(Settings!$E$56,$EO$4:$EO$10,0),0)=0,0,IF(MIN($C6,IF(Settings!$G$56="",$C6,Settings!$G$56))&lt;MAX($A6,Settings!$F$56),0,INT((MIN($C6,IF(Settings!$G$56="",$C6,Settings!$G$56))-MAX($A6,Settings!$F$56)-MOD(IFERROR(MATCH(Settings!$E$56,$EO$4:$EO$10,0),0)-WEEKDAY(MAX($A6,Settings!$F$56)),7))/7)+1)),IF(AND(IF(Settings!$E$56="",$B6,DATE(YEAR($A6),MONTH($A6),MIN(Settings!$E$56,DAY($B6))))&gt;=MAX($A6,Settings!$F$56),IF(Settings!$E$56="",$B6,DATE(YEAR($A6),MONTH($A6),MIN(Settings!$E$56,DAY($B6))))&lt;=MIN($C6,IF(Settings!$G$56="",$C6,Settings!$G$56))),1,0)))</f>
        <v/>
      </c>
      <c r="BQ6">
        <f>IF(OR(Settings!$B$14="",$D6=1,$E6="pre",$A6&lt;IF(Settings!$B$15="",0,Settings!$B$15)),0,Settings!$B$14)</f>
        <v/>
      </c>
      <c r="BR6">
        <f>IF(AND('Month-End'!$C$7&lt;&gt;"",NOT(_xlfn.ISFORMULA('Month-End'!$C$7))),1,0)</f>
        <v/>
      </c>
      <c r="BS6">
        <f>IF(AND('Month-End'!$C$8&lt;&gt;"",NOT(_xlfn.ISFORMULA('Month-End'!$C$8))),1,0)</f>
        <v/>
      </c>
      <c r="BT6">
        <f>IF(AND('Month-End'!$C$9&lt;&gt;"",NOT(_xlfn.ISFORMULA('Month-End'!$C$9))),1,0)</f>
        <v/>
      </c>
      <c r="BU6">
        <f>IF(AND('Month-End'!$C$10&lt;&gt;"",NOT(_xlfn.ISFORMULA('Month-End'!$C$10))),1,0)</f>
        <v/>
      </c>
      <c r="BV6">
        <f>IF(AND('Month-End'!$C$11&lt;&gt;"",NOT(_xlfn.ISFORMULA('Month-End'!$C$11))),1,0)</f>
        <v/>
      </c>
      <c r="BW6">
        <f>IF(AND('Month-End'!$C$12&lt;&gt;"",NOT(_xlfn.ISFORMULA('Month-End'!$C$12))),1,0)</f>
        <v/>
      </c>
      <c r="BX6">
        <f>IF(AND('Month-End'!$C$13&lt;&gt;"",NOT(_xlfn.ISFORMULA('Month-End'!$C$13))),1,0)</f>
        <v/>
      </c>
      <c r="BY6">
        <f>IF(AND('Month-End'!$C$14&lt;&gt;"",NOT(_xlfn.ISFORMULA('Month-End'!$C$14))),1,0)</f>
        <v/>
      </c>
      <c r="BZ6">
        <f>IF(AND('Month-End'!$C$15&lt;&gt;"",NOT(_xlfn.ISFORMULA('Month-End'!$C$15))),1,0)</f>
        <v/>
      </c>
      <c r="CA6">
        <f>IF(AND('Month-End'!$C$16&lt;&gt;"",NOT(_xlfn.ISFORMULA('Month-End'!$C$16))),1,0)</f>
        <v/>
      </c>
      <c r="CB6">
        <f>IF(AND('Month-End'!$C$17&lt;&gt;"",NOT(_xlfn.ISFORMULA('Month-End'!$C$17))),1,0)</f>
        <v/>
      </c>
      <c r="CC6">
        <f>IF(AND('Month-End'!$C$18&lt;&gt;"",NOT(_xlfn.ISFORMULA('Month-End'!$C$18))),1,0)</f>
        <v/>
      </c>
      <c r="CD6">
        <f>IF(AND('Month-End'!$C$19&lt;&gt;"",NOT(_xlfn.ISFORMULA('Month-End'!$C$19))),1,0)</f>
        <v/>
      </c>
      <c r="CE6">
        <f>IF(AND('Month-End'!$C$20&lt;&gt;"",NOT(_xlfn.ISFORMULA('Month-End'!$C$20))),1,0)</f>
        <v/>
      </c>
      <c r="CF6">
        <f>IF(AND('Month-End'!$C$38&lt;&gt;"",NOT(_xlfn.ISFORMULA('Month-End'!$C$38))),1,0)</f>
        <v/>
      </c>
      <c r="CG6">
        <f>IF(AND('Month-End'!$C$39&lt;&gt;"",NOT(_xlfn.ISFORMULA('Month-End'!$C$39))),1,0)</f>
        <v/>
      </c>
      <c r="CH6">
        <f>IF(AND('Month-End'!$C$40&lt;&gt;"",NOT(_xlfn.ISFORMULA('Month-End'!$C$40))),1,0)</f>
        <v/>
      </c>
      <c r="CI6">
        <f>IF(AND('Month-End'!$C$41&lt;&gt;"",NOT(_xlfn.ISFORMULA('Month-End'!$C$41))),1,0)</f>
        <v/>
      </c>
      <c r="CJ6">
        <f>IF(AND('Month-End'!$C$42&lt;&gt;"",NOT(_xlfn.ISFORMULA('Month-End'!$C$42))),1,0)</f>
        <v/>
      </c>
      <c r="CK6">
        <f>IF(AND('Month-End'!$C$43&lt;&gt;"",NOT(_xlfn.ISFORMULA('Month-End'!$C$43))),1,0)</f>
        <v/>
      </c>
      <c r="CL6">
        <f>SUM($CM6:$CZ6)</f>
        <v/>
      </c>
      <c r="CM6">
        <f>IF(AND($E6&lt;&gt;"pre",AND(Settings!$A$19&lt;&gt;"",Settings!$E$19&lt;&gt;"No"),Settings!$F$19="Yes",NOT(AND('Month-End'!$C$7&lt;&gt;"",NOT(_xlfn.ISFORMULA('Month-End'!$C$7))))),1,0)</f>
        <v/>
      </c>
      <c r="CN6">
        <f>IF(AND($E6&lt;&gt;"pre",AND(Settings!$A$20&lt;&gt;"",Settings!$E$20&lt;&gt;"No"),Settings!$F$20="Yes",NOT(AND('Month-End'!$C$8&lt;&gt;"",NOT(_xlfn.ISFORMULA('Month-End'!$C$8))))),1,0)</f>
        <v/>
      </c>
      <c r="CO6">
        <f>IF(AND($E6&lt;&gt;"pre",AND(Settings!$A$21&lt;&gt;"",Settings!$E$21&lt;&gt;"No"),Settings!$F$21="Yes",NOT(AND('Month-End'!$C$9&lt;&gt;"",NOT(_xlfn.ISFORMULA('Month-End'!$C$9))))),1,0)</f>
        <v/>
      </c>
      <c r="CP6">
        <f>IF(AND($E6&lt;&gt;"pre",AND(Settings!$A$22&lt;&gt;"",Settings!$E$22&lt;&gt;"No"),Settings!$F$22="Yes",NOT(AND('Month-End'!$C$10&lt;&gt;"",NOT(_xlfn.ISFORMULA('Month-End'!$C$10))))),1,0)</f>
        <v/>
      </c>
      <c r="CQ6">
        <f>IF(AND($E6&lt;&gt;"pre",AND(Settings!$A$23&lt;&gt;"",Settings!$E$23&lt;&gt;"No"),Settings!$F$23="Yes",NOT(AND('Month-End'!$C$11&lt;&gt;"",NOT(_xlfn.ISFORMULA('Month-End'!$C$11))))),1,0)</f>
        <v/>
      </c>
      <c r="CR6">
        <f>IF(AND($E6&lt;&gt;"pre",AND(Settings!$A$24&lt;&gt;"",Settings!$E$24&lt;&gt;"No"),Settings!$F$24="Yes",NOT(AND('Month-End'!$C$12&lt;&gt;"",NOT(_xlfn.ISFORMULA('Month-End'!$C$12))))),1,0)</f>
        <v/>
      </c>
      <c r="CS6">
        <f>IF(AND($E6&lt;&gt;"pre",AND(Settings!$A$25&lt;&gt;"",Settings!$E$25&lt;&gt;"No"),Settings!$F$25="Yes",NOT(AND('Month-End'!$C$13&lt;&gt;"",NOT(_xlfn.ISFORMULA('Month-End'!$C$13))))),1,0)</f>
        <v/>
      </c>
      <c r="CT6">
        <f>IF(AND($E6&lt;&gt;"pre",AND(Settings!$A$26&lt;&gt;"",Settings!$E$26&lt;&gt;"No"),Settings!$F$26="Yes",NOT(AND('Month-End'!$C$14&lt;&gt;"",NOT(_xlfn.ISFORMULA('Month-End'!$C$14))))),1,0)</f>
        <v/>
      </c>
      <c r="CU6">
        <f>IF(AND($E6&lt;&gt;"pre",AND(Settings!$A$27&lt;&gt;"",Settings!$E$27&lt;&gt;"No"),Settings!$F$27="Yes",NOT(AND('Month-End'!$C$15&lt;&gt;"",NOT(_xlfn.ISFORMULA('Month-End'!$C$15))))),1,0)</f>
        <v/>
      </c>
      <c r="CV6">
        <f>IF(AND($E6&lt;&gt;"pre",AND(Settings!$A$28&lt;&gt;"",Settings!$E$28&lt;&gt;"No"),Settings!$F$28="Yes",NOT(AND('Month-End'!$C$16&lt;&gt;"",NOT(_xlfn.ISFORMULA('Month-End'!$C$16))))),1,0)</f>
        <v/>
      </c>
      <c r="CW6">
        <f>IF(AND($E6&lt;&gt;"pre",AND(Settings!$A$29&lt;&gt;"",Settings!$E$29&lt;&gt;"No"),Settings!$F$29="Yes",NOT(AND('Month-End'!$C$17&lt;&gt;"",NOT(_xlfn.ISFORMULA('Month-End'!$C$17))))),1,0)</f>
        <v/>
      </c>
      <c r="CX6">
        <f>IF(AND($E6&lt;&gt;"pre",AND(Settings!$A$30&lt;&gt;"",Settings!$E$30&lt;&gt;"No"),Settings!$F$30="Yes",NOT(AND('Month-End'!$C$18&lt;&gt;"",NOT(_xlfn.ISFORMULA('Month-End'!$C$18))))),1,0)</f>
        <v/>
      </c>
      <c r="CY6">
        <f>IF(AND($E6&lt;&gt;"pre",AND(Settings!$A$31&lt;&gt;"",Settings!$E$31&lt;&gt;"No"),Settings!$F$31="Yes",NOT(AND('Month-End'!$C$19&lt;&gt;"",NOT(_xlfn.ISFORMULA('Month-End'!$C$19))))),1,0)</f>
        <v/>
      </c>
      <c r="CZ6">
        <f>IF(AND($E6&lt;&gt;"pre",AND(Settings!$A$32&lt;&gt;"",Settings!$E$32&lt;&gt;"No"),Settings!$F$32="Yes",NOT(AND('Month-End'!$C$20&lt;&gt;"",NOT(_xlfn.ISFORMULA('Month-End'!$C$20))))),1,0)</f>
        <v/>
      </c>
      <c r="DA6">
        <f>IF($DT6=1,IF(OR(Settings!$B$19="Checking",Settings!$B$19="Savings",Settings!$B$19="Cash"),N($AE6),IF(OR(Settings!$B$19="Card",Settings!$B$19="Loan"),-N($AE6),0))+IF(OR(Settings!$B$20="Checking",Settings!$B$20="Savings",Settings!$B$20="Cash"),N($AF6),IF(OR(Settings!$B$20="Card",Settings!$B$20="Loan"),-N($AF6),0))+IF(OR(Settings!$B$21="Checking",Settings!$B$21="Savings",Settings!$B$21="Cash"),N($AG6),IF(OR(Settings!$B$21="Card",Settings!$B$21="Loan"),-N($AG6),0))+IF(OR(Settings!$B$22="Checking",Settings!$B$22="Savings",Settings!$B$22="Cash"),N($AH6),IF(OR(Settings!$B$22="Card",Settings!$B$22="Loan"),-N($AH6),0))+IF(OR(Settings!$B$23="Checking",Settings!$B$23="Savings",Settings!$B$23="Cash"),N($AI6),IF(OR(Settings!$B$23="Card",Settings!$B$23="Loan"),-N($AI6),0))+IF(OR(Settings!$B$24="Checking",Settings!$B$24="Savings",Settings!$B$24="Cash"),N($AJ6),IF(OR(Settings!$B$24="Card",Settings!$B$24="Loan"),-N($AJ6),0))+IF(OR(Settings!$B$25="Checking",Settings!$B$25="Savings",Settings!$B$25="Cash"),N($AK6),IF(OR(Settings!$B$25="Card",Settings!$B$25="Loan"),-N($AK6),0))+IF(OR(Settings!$B$26="Checking",Settings!$B$26="Savings",Settings!$B$26="Cash"),N($AL6),IF(OR(Settings!$B$26="Card",Settings!$B$26="Loan"),-N($AL6),0))+IF(OR(Settings!$B$27="Checking",Settings!$B$27="Savings",Settings!$B$27="Cash"),N($AM6),IF(OR(Settings!$B$27="Card",Settings!$B$27="Loan"),-N($AM6),0))+IF(OR(Settings!$B$28="Checking",Settings!$B$28="Savings",Settings!$B$28="Cash"),N($AN6),IF(OR(Settings!$B$28="Card",Settings!$B$28="Loan"),-N($AN6),0))+IF(OR(Settings!$B$29="Checking",Settings!$B$29="Savings",Settings!$B$29="Cash"),N($AO6),IF(OR(Settings!$B$29="Card",Settings!$B$29="Loan"),-N($AO6),0))+IF(OR(Settings!$B$30="Checking",Settings!$B$30="Savings",Settings!$B$30="Cash"),N($AP6),IF(OR(Settings!$B$30="Card",Settings!$B$30="Loan"),-N($AP6),0))+IF(OR(Settings!$B$31="Checking",Settings!$B$31="Savings",Settings!$B$31="Cash"),N($AQ6),IF(OR(Settings!$B$31="Card",Settings!$B$31="Loan"),-N($AQ6),0))+IF(OR(Settings!$B$32="Checking",Settings!$B$32="Savings",Settings!$B$32="Cash"),N($AR6),IF(OR(Settings!$B$32="Card",Settings!$B$32="Loan"),-N($AR6),0)),"")</f>
        <v/>
      </c>
      <c r="DB6">
        <f>IF($E6="open",$EB$27,IF($E6="post",$EB$27,""))</f>
        <v/>
      </c>
      <c r="DC6">
        <f>IF($E6="open",1,IF($E6="post",1,0))</f>
        <v/>
      </c>
      <c r="DD6">
        <f>IF(AND($DT6=1,$DC6=1),ROUND($W6-($DA6-$DB6)-$AD6-$AB6,2),"")</f>
        <v/>
      </c>
      <c r="DE6">
        <f>IF('Month-End'!$C$35="",$BQ6,N('Month-End'!$C$35))</f>
        <v/>
      </c>
      <c r="DF6">
        <f>N('Month-End'!$C$36)</f>
        <v/>
      </c>
      <c r="DG6">
        <f>IF($DD6="","",$DD6+$DE6)</f>
        <v/>
      </c>
      <c r="DH6">
        <f>IF($DG6="","",$DG6-$DF6)</f>
        <v/>
      </c>
      <c r="DI6">
        <f>IF(OR($E6="pre",$D6=1),"",N($AS6)+N($AT6)+N($AU6)+N($AV6)+N($AW6)+N($AX6))</f>
        <v/>
      </c>
      <c r="DJ6">
        <f>IF($DT6=1,$DA6+N($DI6),"")</f>
        <v/>
      </c>
      <c r="DK6">
        <f>IF($DD6="","",$W6-$DD6-$AB6)</f>
        <v/>
      </c>
      <c r="DL6">
        <f>IF(AND($E6="post",$DD6&lt;&gt;"",$B6&lt;TODAY()),1,0)</f>
        <v/>
      </c>
      <c r="DM6">
        <f>IF($DL6=1,COUNTIF($DL6:$DL$183,1),0)</f>
        <v/>
      </c>
      <c r="DN6">
        <f>IF($D6=1,"",IF($E6="pre","History only",IF($DT6=1,IF($DD6="","⚠ Previous month missing",IF($DD6&lt;0,"⚠ Check: spending &lt; 0",IF($E6="open","✓ Done (partial)","✓ Done"))),IF($B6&gt;=TODAY(),"In progress","⚠ Needs balances"))))</f>
        <v/>
      </c>
      <c r="DO6">
        <f>YEAR($A6)</f>
        <v/>
      </c>
      <c r="DP6">
        <f>DATE(YEAR($A6),INT((MONTH($A6)-1)/3)*3+1,1)</f>
        <v/>
      </c>
      <c r="DQ6">
        <f>IF(AND($DT6=1,$DD6&lt;&gt;"",$D6=0),ROW(),0)</f>
        <v/>
      </c>
      <c r="DR6">
        <f>IF(AND($E6&lt;&gt;"pre",$B6&lt;TODAY(),$DT6=0),1,0)</f>
        <v/>
      </c>
      <c r="DS6">
        <f>IF($DJ6="",NA(),$DJ6)</f>
        <v/>
      </c>
      <c r="DT6">
        <f>IF(AND($E6&lt;&gt;"pre",$CL6=0,COUNTIFS(Settings!$F$19:$F$32,"Yes",Settings!$A$19:$A$32,"&lt;&gt;",Settings!$E$19:$E$32,"&lt;&gt;No")&gt;0),1,0)</f>
        <v/>
      </c>
      <c r="DU6">
        <f>IF(AND($B6&lt;TODAY(),$S6&gt;0),1,0)</f>
        <v/>
      </c>
      <c r="DV6">
        <f>IF($DU6=1,COUNTIF($DU6:$DU$183,1),0)</f>
        <v/>
      </c>
      <c r="DW6">
        <f>IF(AND(OR(Settings!$B$19="Card",Settings!$B$19="Loan"),AND('Month-End'!$C$7&lt;&gt;"",NOT(_xlfn.ISFORMULA('Month-End'!$C$7)))),IF(N('Month-End'!$C$7)&lt;0,1,0),0)+IF(AND(OR(Settings!$B$20="Card",Settings!$B$20="Loan"),AND('Month-End'!$C$8&lt;&gt;"",NOT(_xlfn.ISFORMULA('Month-End'!$C$8)))),IF(N('Month-End'!$C$8)&lt;0,1,0),0)+IF(AND(OR(Settings!$B$21="Card",Settings!$B$21="Loan"),AND('Month-End'!$C$9&lt;&gt;"",NOT(_xlfn.ISFORMULA('Month-End'!$C$9)))),IF(N('Month-End'!$C$9)&lt;0,1,0),0)+IF(AND(OR(Settings!$B$22="Card",Settings!$B$22="Loan"),AND('Month-End'!$C$10&lt;&gt;"",NOT(_xlfn.ISFORMULA('Month-End'!$C$10)))),IF(N('Month-End'!$C$10)&lt;0,1,0),0)+IF(AND(OR(Settings!$B$23="Card",Settings!$B$23="Loan"),AND('Month-End'!$C$11&lt;&gt;"",NOT(_xlfn.ISFORMULA('Month-End'!$C$11)))),IF(N('Month-End'!$C$11)&lt;0,1,0),0)+IF(AND(OR(Settings!$B$24="Card",Settings!$B$24="Loan"),AND('Month-End'!$C$12&lt;&gt;"",NOT(_xlfn.ISFORMULA('Month-End'!$C$12)))),IF(N('Month-End'!$C$12)&lt;0,1,0),0)+IF(AND(OR(Settings!$B$25="Card",Settings!$B$25="Loan"),AND('Month-End'!$C$13&lt;&gt;"",NOT(_xlfn.ISFORMULA('Month-End'!$C$13)))),IF(N('Month-End'!$C$13)&lt;0,1,0),0)+IF(AND(OR(Settings!$B$26="Card",Settings!$B$26="Loan"),AND('Month-End'!$C$14&lt;&gt;"",NOT(_xlfn.ISFORMULA('Month-End'!$C$14)))),IF(N('Month-End'!$C$14)&lt;0,1,0),0)+IF(AND(OR(Settings!$B$27="Card",Settings!$B$27="Loan"),AND('Month-End'!$C$15&lt;&gt;"",NOT(_xlfn.ISFORMULA('Month-End'!$C$15)))),IF(N('Month-End'!$C$15)&lt;0,1,0),0)+IF(AND(OR(Settings!$B$28="Card",Settings!$B$28="Loan"),AND('Month-End'!$C$16&lt;&gt;"",NOT(_xlfn.ISFORMULA('Month-End'!$C$16)))),IF(N('Month-End'!$C$16)&lt;0,1,0),0)+IF(AND(OR(Settings!$B$29="Card",Settings!$B$29="Loan"),AND('Month-End'!$C$17&lt;&gt;"",NOT(_xlfn.ISFORMULA('Month-End'!$C$17)))),IF(N('Month-End'!$C$17)&lt;0,1,0),0)+IF(AND(OR(Settings!$B$30="Card",Settings!$B$30="Loan"),AND('Month-End'!$C$18&lt;&gt;"",NOT(_xlfn.ISFORMULA('Month-End'!$C$18)))),IF(N('Month-End'!$C$18)&lt;0,1,0),0)+IF(AND(OR(Settings!$B$31="Card",Settings!$B$31="Loan"),AND('Month-End'!$C$19&lt;&gt;"",NOT(_xlfn.ISFORMULA('Month-End'!$C$19)))),IF(N('Month-End'!$C$19)&lt;0,1,0),0)+IF(AND(OR(Settings!$B$32="Card",Settings!$B$32="Loan"),AND('Month-End'!$C$20&lt;&gt;"",NOT(_xlfn.ISFORMULA('Month-End'!$C$20)))),IF(N('Month-End'!$C$20)&lt;0,1,0),0)</f>
        <v/>
      </c>
      <c r="DX6">
        <f>IF(Settings!$B$36="Retirement",$AY6,0)+IF(Settings!$B$37="Retirement",$AZ6,0)+IF(Settings!$B$38="Retirement",$BA6,0)+IF(Settings!$B$39="Retirement",$BB6,0)+IF(Settings!$B$40="Retirement",$BC6,0)+IF(Settings!$B$41="Retirement",$BD6,0)</f>
        <v/>
      </c>
      <c r="EA6" t="inlineStr">
        <is>
          <t>Net Worth</t>
        </is>
      </c>
      <c r="EB6">
        <f>EB30+EB31+EB32-EB33</f>
        <v/>
      </c>
      <c r="EO6" t="inlineStr">
        <is>
          <t>Tuesday</t>
        </is>
      </c>
      <c r="ET6">
        <f>IF($E6&lt;&gt;"open",0,IF(AND('Month-End'!$C$22&lt;&gt;"",NOT(_xlfn.ISFORMULA('Month-End'!$C$22))),0,IF(OR(Settings!$C$45="",Settings!$D$45=""),0,Settings!$C$45*IF(Settings!$D$45="Weekly",IF(IFERROR(MATCH(Settings!$E$45,$EO$4:$EO$10,0),0)=0,0,IF(MIN(Settings!$B$5,IF(Settings!$G$45="",Settings!$B$5,Settings!$G$45))&lt;MAX($A6,Settings!$F$45),0,INT((MIN(Settings!$B$5,IF(Settings!$G$45="",Settings!$B$5,Settings!$G$45))-MAX($A6,Settings!$F$45)-MOD(IFERROR(MATCH(Settings!$E$45,$EO$4:$EO$10,0),0)-WEEKDAY(MAX($A6,Settings!$F$45)),7))/7)+1)),IF(AND(IF(Settings!$E$45="",$B6,DATE(YEAR($A6),MONTH($A6),MIN(Settings!$E$45,DAY($B6))))&gt;=MAX($A6,Settings!$F$45),IF(Settings!$E$45="",$B6,DATE(YEAR($A6),MONTH($A6),MIN(Settings!$E$45,DAY($B6))))&lt;=MIN(Settings!$B$5,IF(Settings!$G$45="",Settings!$B$5,Settings!$G$45))),1,0)))))</f>
        <v/>
      </c>
      <c r="EU6">
        <f>IF($E6&lt;&gt;"open",0,IF(AND('Month-End'!$C$23&lt;&gt;"",NOT(_xlfn.ISFORMULA('Month-End'!$C$23))),0,IF(OR(Settings!$C$46="",Settings!$D$46=""),0,Settings!$C$46*IF(Settings!$D$46="Weekly",IF(IFERROR(MATCH(Settings!$E$46,$EO$4:$EO$10,0),0)=0,0,IF(MIN(Settings!$B$5,IF(Settings!$G$46="",Settings!$B$5,Settings!$G$46))&lt;MAX($A6,Settings!$F$46),0,INT((MIN(Settings!$B$5,IF(Settings!$G$46="",Settings!$B$5,Settings!$G$46))-MAX($A6,Settings!$F$46)-MOD(IFERROR(MATCH(Settings!$E$46,$EO$4:$EO$10,0),0)-WEEKDAY(MAX($A6,Settings!$F$46)),7))/7)+1)),IF(AND(IF(Settings!$E$46="",$B6,DATE(YEAR($A6),MONTH($A6),MIN(Settings!$E$46,DAY($B6))))&gt;=MAX($A6,Settings!$F$46),IF(Settings!$E$46="",$B6,DATE(YEAR($A6),MONTH($A6),MIN(Settings!$E$46,DAY($B6))))&lt;=MIN(Settings!$B$5,IF(Settings!$G$46="",Settings!$B$5,Settings!$G$46))),1,0)))))</f>
        <v/>
      </c>
      <c r="EV6">
        <f>IF($E6&lt;&gt;"open",0,IF(AND('Month-End'!$C$24&lt;&gt;"",NOT(_xlfn.ISFORMULA('Month-End'!$C$24))),0,IF(OR(Settings!$C$47="",Settings!$D$47=""),0,Settings!$C$47*IF(Settings!$D$47="Weekly",IF(IFERROR(MATCH(Settings!$E$47,$EO$4:$EO$10,0),0)=0,0,IF(MIN(Settings!$B$5,IF(Settings!$G$47="",Settings!$B$5,Settings!$G$47))&lt;MAX($A6,Settings!$F$47),0,INT((MIN(Settings!$B$5,IF(Settings!$G$47="",Settings!$B$5,Settings!$G$47))-MAX($A6,Settings!$F$47)-MOD(IFERROR(MATCH(Settings!$E$47,$EO$4:$EO$10,0),0)-WEEKDAY(MAX($A6,Settings!$F$47)),7))/7)+1)),IF(AND(IF(Settings!$E$47="",$B6,DATE(YEAR($A6),MONTH($A6),MIN(Settings!$E$47,DAY($B6))))&gt;=MAX($A6,Settings!$F$47),IF(Settings!$E$47="",$B6,DATE(YEAR($A6),MONTH($A6),MIN(Settings!$E$47,DAY($B6))))&lt;=MIN(Settings!$B$5,IF(Settings!$G$47="",Settings!$B$5,Settings!$G$47))),1,0)))))</f>
        <v/>
      </c>
      <c r="EW6">
        <f>IF($E6&lt;&gt;"open",0,IF(AND('Month-End'!$C$25&lt;&gt;"",NOT(_xlfn.ISFORMULA('Month-End'!$C$25))),0,IF(OR(Settings!$C$48="",Settings!$D$48=""),0,Settings!$C$48*IF(Settings!$D$48="Weekly",IF(IFERROR(MATCH(Settings!$E$48,$EO$4:$EO$10,0),0)=0,0,IF(MIN(Settings!$B$5,IF(Settings!$G$48="",Settings!$B$5,Settings!$G$48))&lt;MAX($A6,Settings!$F$48),0,INT((MIN(Settings!$B$5,IF(Settings!$G$48="",Settings!$B$5,Settings!$G$48))-MAX($A6,Settings!$F$48)-MOD(IFERROR(MATCH(Settings!$E$48,$EO$4:$EO$10,0),0)-WEEKDAY(MAX($A6,Settings!$F$48)),7))/7)+1)),IF(AND(IF(Settings!$E$48="",$B6,DATE(YEAR($A6),MONTH($A6),MIN(Settings!$E$48,DAY($B6))))&gt;=MAX($A6,Settings!$F$48),IF(Settings!$E$48="",$B6,DATE(YEAR($A6),MONTH($A6),MIN(Settings!$E$48,DAY($B6))))&lt;=MIN(Settings!$B$5,IF(Settings!$G$48="",Settings!$B$5,Settings!$G$48))),1,0)))))</f>
        <v/>
      </c>
      <c r="EX6">
        <f>IF($E6&lt;&gt;"open",0,IF(AND('Month-End'!$C$26&lt;&gt;"",NOT(_xlfn.ISFORMULA('Month-End'!$C$26))),0,IF(OR(Settings!$C$49="",Settings!$D$49=""),0,Settings!$C$49*IF(Settings!$D$49="Weekly",IF(IFERROR(MATCH(Settings!$E$49,$EO$4:$EO$10,0),0)=0,0,IF(MIN(Settings!$B$5,IF(Settings!$G$49="",Settings!$B$5,Settings!$G$49))&lt;MAX($A6,Settings!$F$49),0,INT((MIN(Settings!$B$5,IF(Settings!$G$49="",Settings!$B$5,Settings!$G$49))-MAX($A6,Settings!$F$49)-MOD(IFERROR(MATCH(Settings!$E$49,$EO$4:$EO$10,0),0)-WEEKDAY(MAX($A6,Settings!$F$49)),7))/7)+1)),IF(AND(IF(Settings!$E$49="",$B6,DATE(YEAR($A6),MONTH($A6),MIN(Settings!$E$49,DAY($B6))))&gt;=MAX($A6,Settings!$F$49),IF(Settings!$E$49="",$B6,DATE(YEAR($A6),MONTH($A6),MIN(Settings!$E$49,DAY($B6))))&lt;=MIN(Settings!$B$5,IF(Settings!$G$49="",Settings!$B$5,Settings!$G$49))),1,0)))))</f>
        <v/>
      </c>
      <c r="EY6">
        <f>IF($E6&lt;&gt;"open",0,IF(AND('Month-End'!$C$27&lt;&gt;"",NOT(_xlfn.ISFORMULA('Month-End'!$C$27))),0,IF(OR(Settings!$C$50="",Settings!$D$50=""),0,Settings!$C$50*IF(Settings!$D$50="Weekly",IF(IFERROR(MATCH(Settings!$E$50,$EO$4:$EO$10,0),0)=0,0,IF(MIN(Settings!$B$5,IF(Settings!$G$50="",Settings!$B$5,Settings!$G$50))&lt;MAX($A6,Settings!$F$50),0,INT((MIN(Settings!$B$5,IF(Settings!$G$50="",Settings!$B$5,Settings!$G$50))-MAX($A6,Settings!$F$50)-MOD(IFERROR(MATCH(Settings!$E$50,$EO$4:$EO$10,0),0)-WEEKDAY(MAX($A6,Settings!$F$50)),7))/7)+1)),IF(AND(IF(Settings!$E$50="",$B6,DATE(YEAR($A6),MONTH($A6),MIN(Settings!$E$50,DAY($B6))))&gt;=MAX($A6,Settings!$F$50),IF(Settings!$E$50="",$B6,DATE(YEAR($A6),MONTH($A6),MIN(Settings!$E$50,DAY($B6))))&lt;=MIN(Settings!$B$5,IF(Settings!$G$50="",Settings!$B$5,Settings!$G$50))),1,0)))))</f>
        <v/>
      </c>
      <c r="EZ6">
        <f>IF($E6&lt;&gt;"open",0,IF(AND('Month-End'!$C$28&lt;&gt;"",NOT(_xlfn.ISFORMULA('Month-End'!$C$28))),0,IF(OR(Settings!$C$51="",Settings!$D$51=""),0,Settings!$C$51*IF(Settings!$D$51="Weekly",IF(IFERROR(MATCH(Settings!$E$51,$EO$4:$EO$10,0),0)=0,0,IF(MIN(Settings!$B$5,IF(Settings!$G$51="",Settings!$B$5,Settings!$G$51))&lt;MAX($A6,Settings!$F$51),0,INT((MIN(Settings!$B$5,IF(Settings!$G$51="",Settings!$B$5,Settings!$G$51))-MAX($A6,Settings!$F$51)-MOD(IFERROR(MATCH(Settings!$E$51,$EO$4:$EO$10,0),0)-WEEKDAY(MAX($A6,Settings!$F$51)),7))/7)+1)),IF(AND(IF(Settings!$E$51="",$B6,DATE(YEAR($A6),MONTH($A6),MIN(Settings!$E$51,DAY($B6))))&gt;=MAX($A6,Settings!$F$51),IF(Settings!$E$51="",$B6,DATE(YEAR($A6),MONTH($A6),MIN(Settings!$E$51,DAY($B6))))&lt;=MIN(Settings!$B$5,IF(Settings!$G$51="",Settings!$B$5,Settings!$G$51))),1,0)))))</f>
        <v/>
      </c>
      <c r="FA6">
        <f>IF($E6&lt;&gt;"open",0,IF(AND('Month-End'!$C$29&lt;&gt;"",NOT(_xlfn.ISFORMULA('Month-End'!$C$29))),0,IF(OR(Settings!$C$52="",Settings!$D$52=""),0,Settings!$C$52*IF(Settings!$D$52="Weekly",IF(IFERROR(MATCH(Settings!$E$52,$EO$4:$EO$10,0),0)=0,0,IF(MIN(Settings!$B$5,IF(Settings!$G$52="",Settings!$B$5,Settings!$G$52))&lt;MAX($A6,Settings!$F$52),0,INT((MIN(Settings!$B$5,IF(Settings!$G$52="",Settings!$B$5,Settings!$G$52))-MAX($A6,Settings!$F$52)-MOD(IFERROR(MATCH(Settings!$E$52,$EO$4:$EO$10,0),0)-WEEKDAY(MAX($A6,Settings!$F$52)),7))/7)+1)),IF(AND(IF(Settings!$E$52="",$B6,DATE(YEAR($A6),MONTH($A6),MIN(Settings!$E$52,DAY($B6))))&gt;=MAX($A6,Settings!$F$52),IF(Settings!$E$52="",$B6,DATE(YEAR($A6),MONTH($A6),MIN(Settings!$E$52,DAY($B6))))&lt;=MIN(Settings!$B$5,IF(Settings!$G$52="",Settings!$B$5,Settings!$G$52))),1,0)))))</f>
        <v/>
      </c>
      <c r="FB6">
        <f>IF($E6&lt;&gt;"open",0,IF(AND('Month-End'!$C$30&lt;&gt;"",NOT(_xlfn.ISFORMULA('Month-End'!$C$30))),0,IF(OR(Settings!$C$53="",Settings!$D$53=""),0,Settings!$C$53*IF(Settings!$D$53="Weekly",IF(IFERROR(MATCH(Settings!$E$53,$EO$4:$EO$10,0),0)=0,0,IF(MIN(Settings!$B$5,IF(Settings!$G$53="",Settings!$B$5,Settings!$G$53))&lt;MAX($A6,Settings!$F$53),0,INT((MIN(Settings!$B$5,IF(Settings!$G$53="",Settings!$B$5,Settings!$G$53))-MAX($A6,Settings!$F$53)-MOD(IFERROR(MATCH(Settings!$E$53,$EO$4:$EO$10,0),0)-WEEKDAY(MAX($A6,Settings!$F$53)),7))/7)+1)),IF(AND(IF(Settings!$E$53="",$B6,DATE(YEAR($A6),MONTH($A6),MIN(Settings!$E$53,DAY($B6))))&gt;=MAX($A6,Settings!$F$53),IF(Settings!$E$53="",$B6,DATE(YEAR($A6),MONTH($A6),MIN(Settings!$E$53,DAY($B6))))&lt;=MIN(Settings!$B$5,IF(Settings!$G$53="",Settings!$B$5,Settings!$G$53))),1,0)))))</f>
        <v/>
      </c>
      <c r="FC6">
        <f>IF($E6&lt;&gt;"open",0,IF(AND('Month-End'!$C$31&lt;&gt;"",NOT(_xlfn.ISFORMULA('Month-End'!$C$31))),0,IF(OR(Settings!$C$54="",Settings!$D$54=""),0,Settings!$C$54*IF(Settings!$D$54="Weekly",IF(IFERROR(MATCH(Settings!$E$54,$EO$4:$EO$10,0),0)=0,0,IF(MIN(Settings!$B$5,IF(Settings!$G$54="",Settings!$B$5,Settings!$G$54))&lt;MAX($A6,Settings!$F$54),0,INT((MIN(Settings!$B$5,IF(Settings!$G$54="",Settings!$B$5,Settings!$G$54))-MAX($A6,Settings!$F$54)-MOD(IFERROR(MATCH(Settings!$E$54,$EO$4:$EO$10,0),0)-WEEKDAY(MAX($A6,Settings!$F$54)),7))/7)+1)),IF(AND(IF(Settings!$E$54="",$B6,DATE(YEAR($A6),MONTH($A6),MIN(Settings!$E$54,DAY($B6))))&gt;=MAX($A6,Settings!$F$54),IF(Settings!$E$54="",$B6,DATE(YEAR($A6),MONTH($A6),MIN(Settings!$E$54,DAY($B6))))&lt;=MIN(Settings!$B$5,IF(Settings!$G$54="",Settings!$B$5,Settings!$G$54))),1,0)))))</f>
        <v/>
      </c>
      <c r="FD6">
        <f>IF($E6&lt;&gt;"open",0,IF(AND('Month-End'!$C$32&lt;&gt;"",NOT(_xlfn.ISFORMULA('Month-End'!$C$32))),0,IF(OR(Settings!$C$55="",Settings!$D$55=""),0,Settings!$C$55*IF(Settings!$D$55="Weekly",IF(IFERROR(MATCH(Settings!$E$55,$EO$4:$EO$10,0),0)=0,0,IF(MIN(Settings!$B$5,IF(Settings!$G$55="",Settings!$B$5,Settings!$G$55))&lt;MAX($A6,Settings!$F$55),0,INT((MIN(Settings!$B$5,IF(Settings!$G$55="",Settings!$B$5,Settings!$G$55))-MAX($A6,Settings!$F$55)-MOD(IFERROR(MATCH(Settings!$E$55,$EO$4:$EO$10,0),0)-WEEKDAY(MAX($A6,Settings!$F$55)),7))/7)+1)),IF(AND(IF(Settings!$E$55="",$B6,DATE(YEAR($A6),MONTH($A6),MIN(Settings!$E$55,DAY($B6))))&gt;=MAX($A6,Settings!$F$55),IF(Settings!$E$55="",$B6,DATE(YEAR($A6),MONTH($A6),MIN(Settings!$E$55,DAY($B6))))&lt;=MIN(Settings!$B$5,IF(Settings!$G$55="",Settings!$B$5,Settings!$G$55))),1,0)))))</f>
        <v/>
      </c>
      <c r="FE6">
        <f>IF($E6&lt;&gt;"open",0,IF(AND('Month-End'!$C$33&lt;&gt;"",NOT(_xlfn.ISFORMULA('Month-End'!$C$33))),0,IF(OR(Settings!$C$56="",Settings!$D$56=""),0,Settings!$C$56*IF(Settings!$D$56="Weekly",IF(IFERROR(MATCH(Settings!$E$56,$EO$4:$EO$10,0),0)=0,0,IF(MIN(Settings!$B$5,IF(Settings!$G$56="",Settings!$B$5,Settings!$G$56))&lt;MAX($A6,Settings!$F$56),0,INT((MIN(Settings!$B$5,IF(Settings!$G$56="",Settings!$B$5,Settings!$G$56))-MAX($A6,Settings!$F$56)-MOD(IFERROR(MATCH(Settings!$E$56,$EO$4:$EO$10,0),0)-WEEKDAY(MAX($A6,Settings!$F$56)),7))/7)+1)),IF(AND(IF(Settings!$E$56="",$B6,DATE(YEAR($A6),MONTH($A6),MIN(Settings!$E$56,DAY($B6))))&gt;=MAX($A6,Settings!$F$56),IF(Settings!$E$56="",$B6,DATE(YEAR($A6),MONTH($A6),MIN(Settings!$E$56,DAY($B6))))&lt;=MIN(Settings!$B$5,IF(Settings!$G$56="",Settings!$B$5,Settings!$G$56))),1,0)))))</f>
        <v/>
      </c>
      <c r="FF6">
        <f>IF(Settings!$I$45="Yes",$G6,0)+IF(Settings!$I$46="Yes",$H6,0)+IF(Settings!$I$47="Yes",$I6,0)+IF(Settings!$I$48="Yes",$J6,0)+IF(Settings!$I$49="Yes",$K6,0)+IF(Settings!$I$50="Yes",$L6,0)+IF(Settings!$I$51="Yes",$M6,0)+IF(Settings!$I$52="Yes",$N6,0)+IF(Settings!$I$53="Yes",$O6,0)+IF(Settings!$I$54="Yes",$P6,0)+IF(Settings!$I$55="Yes",$Q6,0)+IF(Settings!$I$56="Yes",$R6,0)</f>
        <v/>
      </c>
      <c r="FG6">
        <f>IF(AND(Settings!$I$45="Yes",Settings!$J$45="No"),$G6,0)+IF(AND(Settings!$I$46="Yes",Settings!$J$46="No"),$H6,0)+IF(AND(Settings!$I$47="Yes",Settings!$J$47="No"),$I6,0)+IF(AND(Settings!$I$48="Yes",Settings!$J$48="No"),$J6,0)+IF(AND(Settings!$I$49="Yes",Settings!$J$49="No"),$K6,0)+IF(AND(Settings!$I$50="Yes",Settings!$J$50="No"),$L6,0)+IF(AND(Settings!$I$51="Yes",Settings!$J$51="No"),$M6,0)+IF(AND(Settings!$I$52="Yes",Settings!$J$52="No"),$N6,0)+IF(AND(Settings!$I$53="Yes",Settings!$J$53="No"),$O6,0)+IF(AND(Settings!$I$54="Yes",Settings!$J$54="No"),$P6,0)+IF(AND(Settings!$I$55="Yes",Settings!$J$55="No"),$Q6,0)+IF(AND(Settings!$I$56="Yes",Settings!$J$56="No"),$R6,0)</f>
        <v/>
      </c>
      <c r="FH6">
        <f>SUMIFS(Giving!$B$7:$B$2006,Giving!$A$7:$A$2006,"&gt;="&amp;$A6,Giving!$A$7:$A$2006,"&lt;="&amp;$B6,Giving!$G$7:$G$2006,"Yes")+IF(OR(OR(Settings!$B$60="",Settings!$F$60="No"),Settings!$H$60&lt;&gt;"Yes"),0,Settings!$B$60*IF(AND(IF(Settings!$C$60="",$B6,DATE(YEAR($A6),MONTH($A6),MIN(Settings!$C$60,DAY($B6))))&gt;=MAX($A6,Settings!$D$60),IF(Settings!$C$60="",$B6,DATE(YEAR($A6),MONTH($A6),MIN(Settings!$C$60,DAY($B6))))&lt;=MIN($C6,IF(Settings!$E$60="",$C6,Settings!$E$60))),1,0))+IF(OR(OR(Settings!$B$61="",Settings!$F$61="No"),Settings!$H$61&lt;&gt;"Yes"),0,Settings!$B$61*IF(AND(IF(Settings!$C$61="",$B6,DATE(YEAR($A6),MONTH($A6),MIN(Settings!$C$61,DAY($B6))))&gt;=MAX($A6,Settings!$D$61),IF(Settings!$C$61="",$B6,DATE(YEAR($A6),MONTH($A6),MIN(Settings!$C$61,DAY($B6))))&lt;=MIN($C6,IF(Settings!$E$61="",$C6,Settings!$E$61))),1,0))+IF(OR(OR(Settings!$B$62="",Settings!$F$62="No"),Settings!$H$62&lt;&gt;"Yes"),0,Settings!$B$62*IF(AND(IF(Settings!$C$62="",$B6,DATE(YEAR($A6),MONTH($A6),MIN(Settings!$C$62,DAY($B6))))&gt;=MAX($A6,Settings!$D$62),IF(Settings!$C$62="",$B6,DATE(YEAR($A6),MONTH($A6),MIN(Settings!$C$62,DAY($B6))))&lt;=MIN($C6,IF(Settings!$E$62="",$C6,Settings!$E$62))),1,0))+IF(OR(OR(Settings!$B$63="",Settings!$F$63="No"),Settings!$H$63&lt;&gt;"Yes"),0,Settings!$B$63*IF(AND(IF(Settings!$C$63="",$B6,DATE(YEAR($A6),MONTH($A6),MIN(Settings!$C$63,DAY($B6))))&gt;=MAX($A6,Settings!$D$63),IF(Settings!$C$63="",$B6,DATE(YEAR($A6),MONTH($A6),MIN(Settings!$C$63,DAY($B6))))&lt;=MIN($C6,IF(Settings!$E$63="",$C6,Settings!$E$63))),1,0))+IF(OR(OR(Settings!$B$64="",Settings!$F$64="No"),Settings!$H$64&lt;&gt;"Yes"),0,Settings!$B$64*IF(AND(IF(Settings!$C$64="",$B6,DATE(YEAR($A6),MONTH($A6),MIN(Settings!$C$64,DAY($B6))))&gt;=MAX($A6,Settings!$D$64),IF(Settings!$C$64="",$B6,DATE(YEAR($A6),MONTH($A6),MIN(Settings!$C$64,DAY($B6))))&lt;=MIN($C6,IF(Settings!$E$64="",$C6,Settings!$E$64))),1,0))+IF(OR(OR(Settings!$B$65="",Settings!$F$65="No"),Settings!$H$65&lt;&gt;"Yes"),0,Settings!$B$65*IF(AND(IF(Settings!$C$65="",$B6,DATE(YEAR($A6),MONTH($A6),MIN(Settings!$C$65,DAY($B6))))&gt;=MAX($A6,Settings!$D$65),IF(Settings!$C$65="",$B6,DATE(YEAR($A6),MONTH($A6),MIN(Settings!$C$65,DAY($B6))))&lt;=MIN($C6,IF(Settings!$E$65="",$C6,Settings!$E$65))),1,0))</f>
        <v/>
      </c>
      <c r="FI6">
        <f>IF($DT6=1,IF(OR(Settings!$B$19="Card",Settings!$B$19="Loan"),N($AE6),0)+IF(OR(Settings!$B$20="Card",Settings!$B$20="Loan"),N($AF6),0)+IF(OR(Settings!$B$21="Card",Settings!$B$21="Loan"),N($AG6),0)+IF(OR(Settings!$B$22="Card",Settings!$B$22="Loan"),N($AH6),0)+IF(OR(Settings!$B$23="Card",Settings!$B$23="Loan"),N($AI6),0)+IF(OR(Settings!$B$24="Card",Settings!$B$24="Loan"),N($AJ6),0)+IF(OR(Settings!$B$25="Card",Settings!$B$25="Loan"),N($AK6),0)+IF(OR(Settings!$B$26="Card",Settings!$B$26="Loan"),N($AL6),0)+IF(OR(Settings!$B$27="Card",Settings!$B$27="Loan"),N($AM6),0)+IF(OR(Settings!$B$28="Card",Settings!$B$28="Loan"),N($AN6),0)+IF(OR(Settings!$B$29="Card",Settings!$B$29="Loan"),N($AO6),0)+IF(OR(Settings!$B$30="Card",Settings!$B$30="Loan"),N($AP6),0)+IF(OR(Settings!$B$31="Card",Settings!$B$31="Loan"),N($AQ6),0)+IF(OR(Settings!$B$32="Card",Settings!$B$32="Loan"),N($AR6),0),"")</f>
        <v/>
      </c>
      <c r="FJ6">
        <f>IF($E6="open",$EB$65,IF($E6="post",$EB$65,""))</f>
        <v/>
      </c>
      <c r="FK6">
        <f>IF(AND($DT6=1,$DC6=1),IF(ROUND($FI6-$FJ6,2)&gt;0,1,0),0)</f>
        <v/>
      </c>
      <c r="FL6">
        <f>IF($FK6=1,1,0)</f>
        <v/>
      </c>
    </row>
    <row r="7">
      <c r="A7">
        <f>'Month-End'!$D$4</f>
        <v/>
      </c>
      <c r="B7">
        <f>EOMONTH($A7,0)</f>
        <v/>
      </c>
      <c r="C7">
        <f>MIN($B7,TODAY())</f>
        <v/>
      </c>
      <c r="D7">
        <f>IF($A7&gt;TODAY(),1,0)</f>
        <v/>
      </c>
      <c r="E7">
        <f>IF($B7&lt;=Settings!$B$5,"pre",IF($A7&lt;=Settings!$B$5,"open","post"))</f>
        <v/>
      </c>
      <c r="G7">
        <f>IF('Month-End'!$D$22="",$BE7,N('Month-End'!$D$22))</f>
        <v/>
      </c>
      <c r="H7">
        <f>IF('Month-End'!$D$23="",$BF7,N('Month-End'!$D$23))</f>
        <v/>
      </c>
      <c r="I7">
        <f>IF('Month-End'!$D$24="",$BG7,N('Month-End'!$D$24))</f>
        <v/>
      </c>
      <c r="J7">
        <f>IF('Month-End'!$D$25="",$BH7,N('Month-End'!$D$25))</f>
        <v/>
      </c>
      <c r="K7">
        <f>IF('Month-End'!$D$26="",$BI7,N('Month-End'!$D$26))</f>
        <v/>
      </c>
      <c r="L7">
        <f>IF('Month-End'!$D$27="",$BJ7,N('Month-End'!$D$27))</f>
        <v/>
      </c>
      <c r="M7">
        <f>IF('Month-End'!$D$28="",$BK7,N('Month-End'!$D$28))</f>
        <v/>
      </c>
      <c r="N7">
        <f>IF('Month-End'!$D$29="",$BL7,N('Month-End'!$D$29))</f>
        <v/>
      </c>
      <c r="O7">
        <f>IF('Month-End'!$D$30="",$BM7,N('Month-End'!$D$30))</f>
        <v/>
      </c>
      <c r="P7">
        <f>IF('Month-End'!$D$31="",$BN7,N('Month-End'!$D$31))</f>
        <v/>
      </c>
      <c r="Q7">
        <f>IF('Month-End'!$D$32="",$BO7,N('Month-End'!$D$32))</f>
        <v/>
      </c>
      <c r="R7">
        <f>IF('Month-End'!$D$33="",$BP7,N('Month-End'!$D$33))</f>
        <v/>
      </c>
      <c r="S7">
        <f>$G7+$H7+$I7+$J7+$K7+$L7+$M7+$N7+$O7+$P7+$Q7+$R7</f>
        <v/>
      </c>
      <c r="T7">
        <f>IF($B7&lt;Settings!$B$6,0,IF(Settings!$B$45="Yes",$G7,0)+IF(Settings!$B$46="Yes",$H7,0)+IF(Settings!$B$47="Yes",$I7,0)+IF(Settings!$B$48="Yes",$J7,0)+IF(Settings!$B$49="Yes",$K7,0)+IF(Settings!$B$50="Yes",$L7,0)+IF(Settings!$B$51="Yes",$M7,0)+IF(Settings!$B$52="Yes",$N7,0)+IF(Settings!$B$53="Yes",$O7,0)+IF(Settings!$B$54="Yes",$P7,0)+IF(Settings!$B$55="Yes",$Q7,0)+IF(Settings!$B$56="Yes",$R7,0))</f>
        <v/>
      </c>
      <c r="U7">
        <f>IF(Settings!$B$45="Not Sure",$G7,0)+IF(Settings!$B$46="Not Sure",$H7,0)+IF(Settings!$B$47="Not Sure",$I7,0)+IF(Settings!$B$48="Not Sure",$J7,0)+IF(Settings!$B$49="Not Sure",$K7,0)+IF(Settings!$B$50="Not Sure",$L7,0)+IF(Settings!$B$51="Not Sure",$M7,0)+IF(Settings!$B$52="Not Sure",$N7,0)+IF(Settings!$B$53="Not Sure",$O7,0)+IF(Settings!$B$54="Not Sure",$P7,0)+IF(Settings!$B$55="Not Sure",$Q7,0)+IF(Settings!$B$56="Not Sure",$R7,0)</f>
        <v/>
      </c>
      <c r="V7">
        <f>IF($E7="open",SUM($ET7:$FE7)+N(Settings!$B$13),0)</f>
        <v/>
      </c>
      <c r="W7">
        <f>IF($E7="post",$S7,IF($E7="open",$S7-$V7,0))</f>
        <v/>
      </c>
      <c r="X7">
        <f>SUMIFS(Giving!$B$7:$B$2006,Giving!$A$7:$A$2006,"&gt;="&amp;$A7,Giving!$A$7:$A$2006,"&lt;="&amp;$B7,Giving!$E$7:$E$2006,"&lt;&gt;No")</f>
        <v/>
      </c>
      <c r="Y7">
        <f>SUMIFS(Giving!$B$7:$B$2006,Giving!$A$7:$A$2006,"&gt;="&amp;$A7,Giving!$A$7:$A$2006,"&lt;="&amp;$B7,Giving!$E$7:$E$2006,"No")</f>
        <v/>
      </c>
      <c r="Z7">
        <f>IF(OR(Settings!$B$60="",Settings!$F$60="No"),0,Settings!$B$60*IF(AND(IF(Settings!$C$60="",$B7,DATE(YEAR($A7),MONTH($A7),MIN(Settings!$C$60,DAY($B7))))&gt;=MAX($A7,Settings!$D$60),IF(Settings!$C$60="",$B7,DATE(YEAR($A7),MONTH($A7),MIN(Settings!$C$60,DAY($B7))))&lt;=MIN($C7,IF(Settings!$E$60="",$C7,Settings!$E$60))),1,0))+IF(OR(Settings!$B$61="",Settings!$F$61="No"),0,Settings!$B$61*IF(AND(IF(Settings!$C$61="",$B7,DATE(YEAR($A7),MONTH($A7),MIN(Settings!$C$61,DAY($B7))))&gt;=MAX($A7,Settings!$D$61),IF(Settings!$C$61="",$B7,DATE(YEAR($A7),MONTH($A7),MIN(Settings!$C$61,DAY($B7))))&lt;=MIN($C7,IF(Settings!$E$61="",$C7,Settings!$E$61))),1,0))+IF(OR(Settings!$B$62="",Settings!$F$62="No"),0,Settings!$B$62*IF(AND(IF(Settings!$C$62="",$B7,DATE(YEAR($A7),MONTH($A7),MIN(Settings!$C$62,DAY($B7))))&gt;=MAX($A7,Settings!$D$62),IF(Settings!$C$62="",$B7,DATE(YEAR($A7),MONTH($A7),MIN(Settings!$C$62,DAY($B7))))&lt;=MIN($C7,IF(Settings!$E$62="",$C7,Settings!$E$62))),1,0))+IF(OR(Settings!$B$63="",Settings!$F$63="No"),0,Settings!$B$63*IF(AND(IF(Settings!$C$63="",$B7,DATE(YEAR($A7),MONTH($A7),MIN(Settings!$C$63,DAY($B7))))&gt;=MAX($A7,Settings!$D$63),IF(Settings!$C$63="",$B7,DATE(YEAR($A7),MONTH($A7),MIN(Settings!$C$63,DAY($B7))))&lt;=MIN($C7,IF(Settings!$E$63="",$C7,Settings!$E$63))),1,0))+IF(OR(Settings!$B$64="",Settings!$F$64="No"),0,Settings!$B$64*IF(AND(IF(Settings!$C$64="",$B7,DATE(YEAR($A7),MONTH($A7),MIN(Settings!$C$64,DAY($B7))))&gt;=MAX($A7,Settings!$D$64),IF(Settings!$C$64="",$B7,DATE(YEAR($A7),MONTH($A7),MIN(Settings!$C$64,DAY($B7))))&lt;=MIN($C7,IF(Settings!$E$64="",$C7,Settings!$E$64))),1,0))+IF(OR(Settings!$B$65="",Settings!$F$65="No"),0,Settings!$B$65*IF(AND(IF(Settings!$C$65="",$B7,DATE(YEAR($A7),MONTH($A7),MIN(Settings!$C$65,DAY($B7))))&gt;=MAX($A7,Settings!$D$65),IF(Settings!$C$65="",$B7,DATE(YEAR($A7),MONTH($A7),MIN(Settings!$C$65,DAY($B7))))&lt;=MIN($C7,IF(Settings!$E$65="",$C7,Settings!$E$65))),1,0))</f>
        <v/>
      </c>
      <c r="AA7">
        <f>$X7+$Z7</f>
        <v/>
      </c>
      <c r="AB7">
        <f>IF($E7="post",$AA7,IF($E7="open",SUMIFS(Giving!$B$7:$B$2006,Giving!$A$7:$A$2006,"&gt;"&amp;Settings!$B$5,Giving!$A$7:$A$2006,"&lt;="&amp;$B7,Giving!$E$7:$E$2006,"&lt;&gt;No")+IF(OR(Settings!$B$60="",Settings!$F$60="No"),0,Settings!$B$60*IF(AND(IF(Settings!$C$60="",$B7,DATE(YEAR($A7),MONTH($A7),MIN(Settings!$C$60,DAY($B7))))&gt;=MAX($A7,Settings!$D$60,Settings!$B$5+1),IF(Settings!$C$60="",$B7,DATE(YEAR($A7),MONTH($A7),MIN(Settings!$C$60,DAY($B7))))&lt;=MIN($C7,IF(Settings!$E$60="",$C7,Settings!$E$60))),1,0))+IF(OR(Settings!$B$61="",Settings!$F$61="No"),0,Settings!$B$61*IF(AND(IF(Settings!$C$61="",$B7,DATE(YEAR($A7),MONTH($A7),MIN(Settings!$C$61,DAY($B7))))&gt;=MAX($A7,Settings!$D$61,Settings!$B$5+1),IF(Settings!$C$61="",$B7,DATE(YEAR($A7),MONTH($A7),MIN(Settings!$C$61,DAY($B7))))&lt;=MIN($C7,IF(Settings!$E$61="",$C7,Settings!$E$61))),1,0))+IF(OR(Settings!$B$62="",Settings!$F$62="No"),0,Settings!$B$62*IF(AND(IF(Settings!$C$62="",$B7,DATE(YEAR($A7),MONTH($A7),MIN(Settings!$C$62,DAY($B7))))&gt;=MAX($A7,Settings!$D$62,Settings!$B$5+1),IF(Settings!$C$62="",$B7,DATE(YEAR($A7),MONTH($A7),MIN(Settings!$C$62,DAY($B7))))&lt;=MIN($C7,IF(Settings!$E$62="",$C7,Settings!$E$62))),1,0))+IF(OR(Settings!$B$63="",Settings!$F$63="No"),0,Settings!$B$63*IF(AND(IF(Settings!$C$63="",$B7,DATE(YEAR($A7),MONTH($A7),MIN(Settings!$C$63,DAY($B7))))&gt;=MAX($A7,Settings!$D$63,Settings!$B$5+1),IF(Settings!$C$63="",$B7,DATE(YEAR($A7),MONTH($A7),MIN(Settings!$C$63,DAY($B7))))&lt;=MIN($C7,IF(Settings!$E$63="",$C7,Settings!$E$63))),1,0))+IF(OR(Settings!$B$64="",Settings!$F$64="No"),0,Settings!$B$64*IF(AND(IF(Settings!$C$64="",$B7,DATE(YEAR($A7),MONTH($A7),MIN(Settings!$C$64,DAY($B7))))&gt;=MAX($A7,Settings!$D$64,Settings!$B$5+1),IF(Settings!$C$64="",$B7,DATE(YEAR($A7),MONTH($A7),MIN(Settings!$C$64,DAY($B7))))&lt;=MIN($C7,IF(Settings!$E$64="",$C7,Settings!$E$64))),1,0))+IF(OR(Settings!$B$65="",Settings!$F$65="No"),0,Settings!$B$65*IF(AND(IF(Settings!$C$65="",$B7,DATE(YEAR($A7),MONTH($A7),MIN(Settings!$C$65,DAY($B7))))&gt;=MAX($A7,Settings!$D$65,Settings!$B$5+1),IF(Settings!$C$65="",$B7,DATE(YEAR($A7),MONTH($A7),MIN(Settings!$C$65,DAY($B7))))&lt;=MIN($C7,IF(Settings!$E$65="",$C7,Settings!$E$65))),1,0)),0))</f>
        <v/>
      </c>
      <c r="AC7">
        <f>$AY7+$AZ7+$BA7+$BB7+$BC7+$BD7</f>
        <v/>
      </c>
      <c r="AD7">
        <f>$AC7</f>
        <v/>
      </c>
      <c r="AE7">
        <f>IF(OR(Settings!$A$19="",$E7="pre"),"",IF(AND('Month-End'!$D$7&lt;&gt;"",NOT(_xlfn.ISFORMULA('Month-End'!$D$7))),N('Month-End'!$D$7),IF(OR($E7="open",$E6="pre"),N(Settings!$C$19),N($AE6))))</f>
        <v/>
      </c>
      <c r="AF7">
        <f>IF(OR(Settings!$A$20="",$E7="pre"),"",IF(AND('Month-End'!$D$8&lt;&gt;"",NOT(_xlfn.ISFORMULA('Month-End'!$D$8))),N('Month-End'!$D$8),IF(OR($E7="open",$E6="pre"),N(Settings!$C$20),N($AF6))))</f>
        <v/>
      </c>
      <c r="AG7">
        <f>IF(OR(Settings!$A$21="",$E7="pre"),"",IF(AND('Month-End'!$D$9&lt;&gt;"",NOT(_xlfn.ISFORMULA('Month-End'!$D$9))),N('Month-End'!$D$9),IF(OR($E7="open",$E6="pre"),N(Settings!$C$21),N($AG6))))</f>
        <v/>
      </c>
      <c r="AH7">
        <f>IF(OR(Settings!$A$22="",$E7="pre"),"",IF(AND('Month-End'!$D$10&lt;&gt;"",NOT(_xlfn.ISFORMULA('Month-End'!$D$10))),N('Month-End'!$D$10),IF(OR($E7="open",$E6="pre"),N(Settings!$C$22),N($AH6))))</f>
        <v/>
      </c>
      <c r="AI7">
        <f>IF(OR(Settings!$A$23="",$E7="pre"),"",IF(AND('Month-End'!$D$11&lt;&gt;"",NOT(_xlfn.ISFORMULA('Month-End'!$D$11))),N('Month-End'!$D$11),IF(OR($E7="open",$E6="pre"),N(Settings!$C$23),N($AI6))))</f>
        <v/>
      </c>
      <c r="AJ7">
        <f>IF(OR(Settings!$A$24="",$E7="pre"),"",IF(AND('Month-End'!$D$12&lt;&gt;"",NOT(_xlfn.ISFORMULA('Month-End'!$D$12))),N('Month-End'!$D$12),IF(OR($E7="open",$E6="pre"),N(Settings!$C$24),N($AJ6))))</f>
        <v/>
      </c>
      <c r="AK7">
        <f>IF(OR(Settings!$A$25="",$E7="pre"),"",IF(AND('Month-End'!$D$13&lt;&gt;"",NOT(_xlfn.ISFORMULA('Month-End'!$D$13))),N('Month-End'!$D$13),IF(OR($E7="open",$E6="pre"),N(Settings!$C$25),N($AK6))))</f>
        <v/>
      </c>
      <c r="AL7">
        <f>IF(OR(Settings!$A$26="",$E7="pre"),"",IF(AND('Month-End'!$D$14&lt;&gt;"",NOT(_xlfn.ISFORMULA('Month-End'!$D$14))),N('Month-End'!$D$14),IF(OR($E7="open",$E6="pre"),N(Settings!$C$26),N($AL6))))</f>
        <v/>
      </c>
      <c r="AM7">
        <f>IF(OR(Settings!$A$27="",$E7="pre"),"",IF(AND('Month-End'!$D$15&lt;&gt;"",NOT(_xlfn.ISFORMULA('Month-End'!$D$15))),N('Month-End'!$D$15),IF(OR($E7="open",$E6="pre"),N(Settings!$C$27),N($AM6))))</f>
        <v/>
      </c>
      <c r="AN7">
        <f>IF(OR(Settings!$A$28="",$E7="pre"),"",IF(AND('Month-End'!$D$16&lt;&gt;"",NOT(_xlfn.ISFORMULA('Month-End'!$D$16))),N('Month-End'!$D$16),IF(OR($E7="open",$E6="pre"),N(Settings!$C$28),N($AN6))))</f>
        <v/>
      </c>
      <c r="AO7">
        <f>IF(OR(Settings!$A$29="",$E7="pre"),"",IF(AND('Month-End'!$D$17&lt;&gt;"",NOT(_xlfn.ISFORMULA('Month-End'!$D$17))),N('Month-End'!$D$17),IF(OR($E7="open",$E6="pre"),N(Settings!$C$29),N($AO6))))</f>
        <v/>
      </c>
      <c r="AP7">
        <f>IF(OR(Settings!$A$30="",$E7="pre"),"",IF(AND('Month-End'!$D$18&lt;&gt;"",NOT(_xlfn.ISFORMULA('Month-End'!$D$18))),N('Month-End'!$D$18),IF(OR($E7="open",$E6="pre"),N(Settings!$C$30),N($AP6))))</f>
        <v/>
      </c>
      <c r="AQ7">
        <f>IF(OR(Settings!$A$31="",$E7="pre"),"",IF(AND('Month-End'!$D$19&lt;&gt;"",NOT(_xlfn.ISFORMULA('Month-End'!$D$19))),N('Month-End'!$D$19),IF(OR($E7="open",$E6="pre"),N(Settings!$C$31),N($AQ6))))</f>
        <v/>
      </c>
      <c r="AR7">
        <f>IF(OR(Settings!$A$32="",$E7="pre"),"",IF(AND('Month-End'!$D$20&lt;&gt;"",NOT(_xlfn.ISFORMULA('Month-End'!$D$20))),N('Month-End'!$D$20),IF(OR($E7="open",$E6="pre"),N(Settings!$C$32),N($AR6))))</f>
        <v/>
      </c>
      <c r="AS7">
        <f>IF(OR(Settings!$A$36="",$E7="pre"),"",IF(AND('Month-End'!$D$38&lt;&gt;"",NOT(_xlfn.ISFORMULA('Month-End'!$D$38))),N('Month-End'!$D$38),IF(OR($E7="open",$E6="pre"),N(Settings!$C$36),N($AS6))+$AY7))</f>
        <v/>
      </c>
      <c r="AT7">
        <f>IF(OR(Settings!$A$37="",$E7="pre"),"",IF(AND('Month-End'!$D$39&lt;&gt;"",NOT(_xlfn.ISFORMULA('Month-End'!$D$39))),N('Month-End'!$D$39),IF(OR($E7="open",$E6="pre"),N(Settings!$C$37),N($AT6))+$AZ7))</f>
        <v/>
      </c>
      <c r="AU7">
        <f>IF(OR(Settings!$A$38="",$E7="pre"),"",IF(AND('Month-End'!$D$40&lt;&gt;"",NOT(_xlfn.ISFORMULA('Month-End'!$D$40))),N('Month-End'!$D$40),IF(OR($E7="open",$E6="pre"),N(Settings!$C$38),N($AU6))+$BA7))</f>
        <v/>
      </c>
      <c r="AV7">
        <f>IF(OR(Settings!$A$39="",$E7="pre"),"",IF(AND('Month-End'!$D$41&lt;&gt;"",NOT(_xlfn.ISFORMULA('Month-End'!$D$41))),N('Month-End'!$D$41),IF(OR($E7="open",$E6="pre"),N(Settings!$C$39),N($AV6))+$BB7))</f>
        <v/>
      </c>
      <c r="AW7">
        <f>IF(OR(Settings!$A$40="",$E7="pre"),"",IF(AND('Month-End'!$D$42&lt;&gt;"",NOT(_xlfn.ISFORMULA('Month-End'!$D$42))),N('Month-End'!$D$42),IF(OR($E7="open",$E6="pre"),N(Settings!$C$40),N($AW6))+$BC7))</f>
        <v/>
      </c>
      <c r="AX7">
        <f>IF(OR(Settings!$A$41="",$E7="pre"),"",IF(AND('Month-End'!$D$43&lt;&gt;"",NOT(_xlfn.ISFORMULA('Month-End'!$D$43))),N('Month-End'!$D$43),IF(OR($E7="open",$E6="pre"),N(Settings!$C$41),N($AX6))+$BD7))</f>
        <v/>
      </c>
      <c r="AY7">
        <f>IF($E7="pre",0,N('Month-End'!$D$45))</f>
        <v/>
      </c>
      <c r="AZ7">
        <f>IF($E7="pre",0,N('Month-End'!$D$46))</f>
        <v/>
      </c>
      <c r="BA7">
        <f>IF($E7="pre",0,N('Month-End'!$D$47))</f>
        <v/>
      </c>
      <c r="BB7">
        <f>IF($E7="pre",0,N('Month-End'!$D$48))</f>
        <v/>
      </c>
      <c r="BC7">
        <f>IF($E7="pre",0,N('Month-End'!$D$49))</f>
        <v/>
      </c>
      <c r="BD7">
        <f>IF($E7="pre",0,N('Month-End'!$D$50))</f>
        <v/>
      </c>
      <c r="BE7">
        <f>IF(OR(Settings!$C$45="",Settings!$D$45=""),0,Settings!$C$45*IF(Settings!$D$45="Weekly",IF(IFERROR(MATCH(Settings!$E$45,$EO$4:$EO$10,0),0)=0,0,IF(MIN($C7,IF(Settings!$G$45="",$C7,Settings!$G$45))&lt;MAX($A7,Settings!$F$45),0,INT((MIN($C7,IF(Settings!$G$45="",$C7,Settings!$G$45))-MAX($A7,Settings!$F$45)-MOD(IFERROR(MATCH(Settings!$E$45,$EO$4:$EO$10,0),0)-WEEKDAY(MAX($A7,Settings!$F$45)),7))/7)+1)),IF(AND(IF(Settings!$E$45="",$B7,DATE(YEAR($A7),MONTH($A7),MIN(Settings!$E$45,DAY($B7))))&gt;=MAX($A7,Settings!$F$45),IF(Settings!$E$45="",$B7,DATE(YEAR($A7),MONTH($A7),MIN(Settings!$E$45,DAY($B7))))&lt;=MIN($C7,IF(Settings!$G$45="",$C7,Settings!$G$45))),1,0)))</f>
        <v/>
      </c>
      <c r="BF7">
        <f>IF(OR(Settings!$C$46="",Settings!$D$46=""),0,Settings!$C$46*IF(Settings!$D$46="Weekly",IF(IFERROR(MATCH(Settings!$E$46,$EO$4:$EO$10,0),0)=0,0,IF(MIN($C7,IF(Settings!$G$46="",$C7,Settings!$G$46))&lt;MAX($A7,Settings!$F$46),0,INT((MIN($C7,IF(Settings!$G$46="",$C7,Settings!$G$46))-MAX($A7,Settings!$F$46)-MOD(IFERROR(MATCH(Settings!$E$46,$EO$4:$EO$10,0),0)-WEEKDAY(MAX($A7,Settings!$F$46)),7))/7)+1)),IF(AND(IF(Settings!$E$46="",$B7,DATE(YEAR($A7),MONTH($A7),MIN(Settings!$E$46,DAY($B7))))&gt;=MAX($A7,Settings!$F$46),IF(Settings!$E$46="",$B7,DATE(YEAR($A7),MONTH($A7),MIN(Settings!$E$46,DAY($B7))))&lt;=MIN($C7,IF(Settings!$G$46="",$C7,Settings!$G$46))),1,0)))</f>
        <v/>
      </c>
      <c r="BG7">
        <f>IF(OR(Settings!$C$47="",Settings!$D$47=""),0,Settings!$C$47*IF(Settings!$D$47="Weekly",IF(IFERROR(MATCH(Settings!$E$47,$EO$4:$EO$10,0),0)=0,0,IF(MIN($C7,IF(Settings!$G$47="",$C7,Settings!$G$47))&lt;MAX($A7,Settings!$F$47),0,INT((MIN($C7,IF(Settings!$G$47="",$C7,Settings!$G$47))-MAX($A7,Settings!$F$47)-MOD(IFERROR(MATCH(Settings!$E$47,$EO$4:$EO$10,0),0)-WEEKDAY(MAX($A7,Settings!$F$47)),7))/7)+1)),IF(AND(IF(Settings!$E$47="",$B7,DATE(YEAR($A7),MONTH($A7),MIN(Settings!$E$47,DAY($B7))))&gt;=MAX($A7,Settings!$F$47),IF(Settings!$E$47="",$B7,DATE(YEAR($A7),MONTH($A7),MIN(Settings!$E$47,DAY($B7))))&lt;=MIN($C7,IF(Settings!$G$47="",$C7,Settings!$G$47))),1,0)))</f>
        <v/>
      </c>
      <c r="BH7">
        <f>IF(OR(Settings!$C$48="",Settings!$D$48=""),0,Settings!$C$48*IF(Settings!$D$48="Weekly",IF(IFERROR(MATCH(Settings!$E$48,$EO$4:$EO$10,0),0)=0,0,IF(MIN($C7,IF(Settings!$G$48="",$C7,Settings!$G$48))&lt;MAX($A7,Settings!$F$48),0,INT((MIN($C7,IF(Settings!$G$48="",$C7,Settings!$G$48))-MAX($A7,Settings!$F$48)-MOD(IFERROR(MATCH(Settings!$E$48,$EO$4:$EO$10,0),0)-WEEKDAY(MAX($A7,Settings!$F$48)),7))/7)+1)),IF(AND(IF(Settings!$E$48="",$B7,DATE(YEAR($A7),MONTH($A7),MIN(Settings!$E$48,DAY($B7))))&gt;=MAX($A7,Settings!$F$48),IF(Settings!$E$48="",$B7,DATE(YEAR($A7),MONTH($A7),MIN(Settings!$E$48,DAY($B7))))&lt;=MIN($C7,IF(Settings!$G$48="",$C7,Settings!$G$48))),1,0)))</f>
        <v/>
      </c>
      <c r="BI7">
        <f>IF(OR(Settings!$C$49="",Settings!$D$49=""),0,Settings!$C$49*IF(Settings!$D$49="Weekly",IF(IFERROR(MATCH(Settings!$E$49,$EO$4:$EO$10,0),0)=0,0,IF(MIN($C7,IF(Settings!$G$49="",$C7,Settings!$G$49))&lt;MAX($A7,Settings!$F$49),0,INT((MIN($C7,IF(Settings!$G$49="",$C7,Settings!$G$49))-MAX($A7,Settings!$F$49)-MOD(IFERROR(MATCH(Settings!$E$49,$EO$4:$EO$10,0),0)-WEEKDAY(MAX($A7,Settings!$F$49)),7))/7)+1)),IF(AND(IF(Settings!$E$49="",$B7,DATE(YEAR($A7),MONTH($A7),MIN(Settings!$E$49,DAY($B7))))&gt;=MAX($A7,Settings!$F$49),IF(Settings!$E$49="",$B7,DATE(YEAR($A7),MONTH($A7),MIN(Settings!$E$49,DAY($B7))))&lt;=MIN($C7,IF(Settings!$G$49="",$C7,Settings!$G$49))),1,0)))</f>
        <v/>
      </c>
      <c r="BJ7">
        <f>IF(OR(Settings!$C$50="",Settings!$D$50=""),0,Settings!$C$50*IF(Settings!$D$50="Weekly",IF(IFERROR(MATCH(Settings!$E$50,$EO$4:$EO$10,0),0)=0,0,IF(MIN($C7,IF(Settings!$G$50="",$C7,Settings!$G$50))&lt;MAX($A7,Settings!$F$50),0,INT((MIN($C7,IF(Settings!$G$50="",$C7,Settings!$G$50))-MAX($A7,Settings!$F$50)-MOD(IFERROR(MATCH(Settings!$E$50,$EO$4:$EO$10,0),0)-WEEKDAY(MAX($A7,Settings!$F$50)),7))/7)+1)),IF(AND(IF(Settings!$E$50="",$B7,DATE(YEAR($A7),MONTH($A7),MIN(Settings!$E$50,DAY($B7))))&gt;=MAX($A7,Settings!$F$50),IF(Settings!$E$50="",$B7,DATE(YEAR($A7),MONTH($A7),MIN(Settings!$E$50,DAY($B7))))&lt;=MIN($C7,IF(Settings!$G$50="",$C7,Settings!$G$50))),1,0)))</f>
        <v/>
      </c>
      <c r="BK7">
        <f>IF(OR(Settings!$C$51="",Settings!$D$51=""),0,Settings!$C$51*IF(Settings!$D$51="Weekly",IF(IFERROR(MATCH(Settings!$E$51,$EO$4:$EO$10,0),0)=0,0,IF(MIN($C7,IF(Settings!$G$51="",$C7,Settings!$G$51))&lt;MAX($A7,Settings!$F$51),0,INT((MIN($C7,IF(Settings!$G$51="",$C7,Settings!$G$51))-MAX($A7,Settings!$F$51)-MOD(IFERROR(MATCH(Settings!$E$51,$EO$4:$EO$10,0),0)-WEEKDAY(MAX($A7,Settings!$F$51)),7))/7)+1)),IF(AND(IF(Settings!$E$51="",$B7,DATE(YEAR($A7),MONTH($A7),MIN(Settings!$E$51,DAY($B7))))&gt;=MAX($A7,Settings!$F$51),IF(Settings!$E$51="",$B7,DATE(YEAR($A7),MONTH($A7),MIN(Settings!$E$51,DAY($B7))))&lt;=MIN($C7,IF(Settings!$G$51="",$C7,Settings!$G$51))),1,0)))</f>
        <v/>
      </c>
      <c r="BL7">
        <f>IF(OR(Settings!$C$52="",Settings!$D$52=""),0,Settings!$C$52*IF(Settings!$D$52="Weekly",IF(IFERROR(MATCH(Settings!$E$52,$EO$4:$EO$10,0),0)=0,0,IF(MIN($C7,IF(Settings!$G$52="",$C7,Settings!$G$52))&lt;MAX($A7,Settings!$F$52),0,INT((MIN($C7,IF(Settings!$G$52="",$C7,Settings!$G$52))-MAX($A7,Settings!$F$52)-MOD(IFERROR(MATCH(Settings!$E$52,$EO$4:$EO$10,0),0)-WEEKDAY(MAX($A7,Settings!$F$52)),7))/7)+1)),IF(AND(IF(Settings!$E$52="",$B7,DATE(YEAR($A7),MONTH($A7),MIN(Settings!$E$52,DAY($B7))))&gt;=MAX($A7,Settings!$F$52),IF(Settings!$E$52="",$B7,DATE(YEAR($A7),MONTH($A7),MIN(Settings!$E$52,DAY($B7))))&lt;=MIN($C7,IF(Settings!$G$52="",$C7,Settings!$G$52))),1,0)))</f>
        <v/>
      </c>
      <c r="BM7">
        <f>IF(OR(Settings!$C$53="",Settings!$D$53=""),0,Settings!$C$53*IF(Settings!$D$53="Weekly",IF(IFERROR(MATCH(Settings!$E$53,$EO$4:$EO$10,0),0)=0,0,IF(MIN($C7,IF(Settings!$G$53="",$C7,Settings!$G$53))&lt;MAX($A7,Settings!$F$53),0,INT((MIN($C7,IF(Settings!$G$53="",$C7,Settings!$G$53))-MAX($A7,Settings!$F$53)-MOD(IFERROR(MATCH(Settings!$E$53,$EO$4:$EO$10,0),0)-WEEKDAY(MAX($A7,Settings!$F$53)),7))/7)+1)),IF(AND(IF(Settings!$E$53="",$B7,DATE(YEAR($A7),MONTH($A7),MIN(Settings!$E$53,DAY($B7))))&gt;=MAX($A7,Settings!$F$53),IF(Settings!$E$53="",$B7,DATE(YEAR($A7),MONTH($A7),MIN(Settings!$E$53,DAY($B7))))&lt;=MIN($C7,IF(Settings!$G$53="",$C7,Settings!$G$53))),1,0)))</f>
        <v/>
      </c>
      <c r="BN7">
        <f>IF(OR(Settings!$C$54="",Settings!$D$54=""),0,Settings!$C$54*IF(Settings!$D$54="Weekly",IF(IFERROR(MATCH(Settings!$E$54,$EO$4:$EO$10,0),0)=0,0,IF(MIN($C7,IF(Settings!$G$54="",$C7,Settings!$G$54))&lt;MAX($A7,Settings!$F$54),0,INT((MIN($C7,IF(Settings!$G$54="",$C7,Settings!$G$54))-MAX($A7,Settings!$F$54)-MOD(IFERROR(MATCH(Settings!$E$54,$EO$4:$EO$10,0),0)-WEEKDAY(MAX($A7,Settings!$F$54)),7))/7)+1)),IF(AND(IF(Settings!$E$54="",$B7,DATE(YEAR($A7),MONTH($A7),MIN(Settings!$E$54,DAY($B7))))&gt;=MAX($A7,Settings!$F$54),IF(Settings!$E$54="",$B7,DATE(YEAR($A7),MONTH($A7),MIN(Settings!$E$54,DAY($B7))))&lt;=MIN($C7,IF(Settings!$G$54="",$C7,Settings!$G$54))),1,0)))</f>
        <v/>
      </c>
      <c r="BO7">
        <f>IF(OR(Settings!$C$55="",Settings!$D$55=""),0,Settings!$C$55*IF(Settings!$D$55="Weekly",IF(IFERROR(MATCH(Settings!$E$55,$EO$4:$EO$10,0),0)=0,0,IF(MIN($C7,IF(Settings!$G$55="",$C7,Settings!$G$55))&lt;MAX($A7,Settings!$F$55),0,INT((MIN($C7,IF(Settings!$G$55="",$C7,Settings!$G$55))-MAX($A7,Settings!$F$55)-MOD(IFERROR(MATCH(Settings!$E$55,$EO$4:$EO$10,0),0)-WEEKDAY(MAX($A7,Settings!$F$55)),7))/7)+1)),IF(AND(IF(Settings!$E$55="",$B7,DATE(YEAR($A7),MONTH($A7),MIN(Settings!$E$55,DAY($B7))))&gt;=MAX($A7,Settings!$F$55),IF(Settings!$E$55="",$B7,DATE(YEAR($A7),MONTH($A7),MIN(Settings!$E$55,DAY($B7))))&lt;=MIN($C7,IF(Settings!$G$55="",$C7,Settings!$G$55))),1,0)))</f>
        <v/>
      </c>
      <c r="BP7">
        <f>IF(OR(Settings!$C$56="",Settings!$D$56=""),0,Settings!$C$56*IF(Settings!$D$56="Weekly",IF(IFERROR(MATCH(Settings!$E$56,$EO$4:$EO$10,0),0)=0,0,IF(MIN($C7,IF(Settings!$G$56="",$C7,Settings!$G$56))&lt;MAX($A7,Settings!$F$56),0,INT((MIN($C7,IF(Settings!$G$56="",$C7,Settings!$G$56))-MAX($A7,Settings!$F$56)-MOD(IFERROR(MATCH(Settings!$E$56,$EO$4:$EO$10,0),0)-WEEKDAY(MAX($A7,Settings!$F$56)),7))/7)+1)),IF(AND(IF(Settings!$E$56="",$B7,DATE(YEAR($A7),MONTH($A7),MIN(Settings!$E$56,DAY($B7))))&gt;=MAX($A7,Settings!$F$56),IF(Settings!$E$56="",$B7,DATE(YEAR($A7),MONTH($A7),MIN(Settings!$E$56,DAY($B7))))&lt;=MIN($C7,IF(Settings!$G$56="",$C7,Settings!$G$56))),1,0)))</f>
        <v/>
      </c>
      <c r="BQ7">
        <f>IF(OR(Settings!$B$14="",$D7=1,$E7="pre",$A7&lt;IF(Settings!$B$15="",0,Settings!$B$15)),0,Settings!$B$14)</f>
        <v/>
      </c>
      <c r="BR7">
        <f>IF(AND('Month-End'!$D$7&lt;&gt;"",NOT(_xlfn.ISFORMULA('Month-End'!$D$7))),1,0)</f>
        <v/>
      </c>
      <c r="BS7">
        <f>IF(AND('Month-End'!$D$8&lt;&gt;"",NOT(_xlfn.ISFORMULA('Month-End'!$D$8))),1,0)</f>
        <v/>
      </c>
      <c r="BT7">
        <f>IF(AND('Month-End'!$D$9&lt;&gt;"",NOT(_xlfn.ISFORMULA('Month-End'!$D$9))),1,0)</f>
        <v/>
      </c>
      <c r="BU7">
        <f>IF(AND('Month-End'!$D$10&lt;&gt;"",NOT(_xlfn.ISFORMULA('Month-End'!$D$10))),1,0)</f>
        <v/>
      </c>
      <c r="BV7">
        <f>IF(AND('Month-End'!$D$11&lt;&gt;"",NOT(_xlfn.ISFORMULA('Month-End'!$D$11))),1,0)</f>
        <v/>
      </c>
      <c r="BW7">
        <f>IF(AND('Month-End'!$D$12&lt;&gt;"",NOT(_xlfn.ISFORMULA('Month-End'!$D$12))),1,0)</f>
        <v/>
      </c>
      <c r="BX7">
        <f>IF(AND('Month-End'!$D$13&lt;&gt;"",NOT(_xlfn.ISFORMULA('Month-End'!$D$13))),1,0)</f>
        <v/>
      </c>
      <c r="BY7">
        <f>IF(AND('Month-End'!$D$14&lt;&gt;"",NOT(_xlfn.ISFORMULA('Month-End'!$D$14))),1,0)</f>
        <v/>
      </c>
      <c r="BZ7">
        <f>IF(AND('Month-End'!$D$15&lt;&gt;"",NOT(_xlfn.ISFORMULA('Month-End'!$D$15))),1,0)</f>
        <v/>
      </c>
      <c r="CA7">
        <f>IF(AND('Month-End'!$D$16&lt;&gt;"",NOT(_xlfn.ISFORMULA('Month-End'!$D$16))),1,0)</f>
        <v/>
      </c>
      <c r="CB7">
        <f>IF(AND('Month-End'!$D$17&lt;&gt;"",NOT(_xlfn.ISFORMULA('Month-End'!$D$17))),1,0)</f>
        <v/>
      </c>
      <c r="CC7">
        <f>IF(AND('Month-End'!$D$18&lt;&gt;"",NOT(_xlfn.ISFORMULA('Month-End'!$D$18))),1,0)</f>
        <v/>
      </c>
      <c r="CD7">
        <f>IF(AND('Month-End'!$D$19&lt;&gt;"",NOT(_xlfn.ISFORMULA('Month-End'!$D$19))),1,0)</f>
        <v/>
      </c>
      <c r="CE7">
        <f>IF(AND('Month-End'!$D$20&lt;&gt;"",NOT(_xlfn.ISFORMULA('Month-End'!$D$20))),1,0)</f>
        <v/>
      </c>
      <c r="CF7">
        <f>IF(AND('Month-End'!$D$38&lt;&gt;"",NOT(_xlfn.ISFORMULA('Month-End'!$D$38))),1,0)</f>
        <v/>
      </c>
      <c r="CG7">
        <f>IF(AND('Month-End'!$D$39&lt;&gt;"",NOT(_xlfn.ISFORMULA('Month-End'!$D$39))),1,0)</f>
        <v/>
      </c>
      <c r="CH7">
        <f>IF(AND('Month-End'!$D$40&lt;&gt;"",NOT(_xlfn.ISFORMULA('Month-End'!$D$40))),1,0)</f>
        <v/>
      </c>
      <c r="CI7">
        <f>IF(AND('Month-End'!$D$41&lt;&gt;"",NOT(_xlfn.ISFORMULA('Month-End'!$D$41))),1,0)</f>
        <v/>
      </c>
      <c r="CJ7">
        <f>IF(AND('Month-End'!$D$42&lt;&gt;"",NOT(_xlfn.ISFORMULA('Month-End'!$D$42))),1,0)</f>
        <v/>
      </c>
      <c r="CK7">
        <f>IF(AND('Month-End'!$D$43&lt;&gt;"",NOT(_xlfn.ISFORMULA('Month-End'!$D$43))),1,0)</f>
        <v/>
      </c>
      <c r="CL7">
        <f>SUM($CM7:$CZ7)</f>
        <v/>
      </c>
      <c r="CM7">
        <f>IF(AND($E7&lt;&gt;"pre",AND(Settings!$A$19&lt;&gt;"",Settings!$E$19&lt;&gt;"No"),Settings!$F$19="Yes",NOT(AND('Month-End'!$D$7&lt;&gt;"",NOT(_xlfn.ISFORMULA('Month-End'!$D$7))))),1,0)</f>
        <v/>
      </c>
      <c r="CN7">
        <f>IF(AND($E7&lt;&gt;"pre",AND(Settings!$A$20&lt;&gt;"",Settings!$E$20&lt;&gt;"No"),Settings!$F$20="Yes",NOT(AND('Month-End'!$D$8&lt;&gt;"",NOT(_xlfn.ISFORMULA('Month-End'!$D$8))))),1,0)</f>
        <v/>
      </c>
      <c r="CO7">
        <f>IF(AND($E7&lt;&gt;"pre",AND(Settings!$A$21&lt;&gt;"",Settings!$E$21&lt;&gt;"No"),Settings!$F$21="Yes",NOT(AND('Month-End'!$D$9&lt;&gt;"",NOT(_xlfn.ISFORMULA('Month-End'!$D$9))))),1,0)</f>
        <v/>
      </c>
      <c r="CP7">
        <f>IF(AND($E7&lt;&gt;"pre",AND(Settings!$A$22&lt;&gt;"",Settings!$E$22&lt;&gt;"No"),Settings!$F$22="Yes",NOT(AND('Month-End'!$D$10&lt;&gt;"",NOT(_xlfn.ISFORMULA('Month-End'!$D$10))))),1,0)</f>
        <v/>
      </c>
      <c r="CQ7">
        <f>IF(AND($E7&lt;&gt;"pre",AND(Settings!$A$23&lt;&gt;"",Settings!$E$23&lt;&gt;"No"),Settings!$F$23="Yes",NOT(AND('Month-End'!$D$11&lt;&gt;"",NOT(_xlfn.ISFORMULA('Month-End'!$D$11))))),1,0)</f>
        <v/>
      </c>
      <c r="CR7">
        <f>IF(AND($E7&lt;&gt;"pre",AND(Settings!$A$24&lt;&gt;"",Settings!$E$24&lt;&gt;"No"),Settings!$F$24="Yes",NOT(AND('Month-End'!$D$12&lt;&gt;"",NOT(_xlfn.ISFORMULA('Month-End'!$D$12))))),1,0)</f>
        <v/>
      </c>
      <c r="CS7">
        <f>IF(AND($E7&lt;&gt;"pre",AND(Settings!$A$25&lt;&gt;"",Settings!$E$25&lt;&gt;"No"),Settings!$F$25="Yes",NOT(AND('Month-End'!$D$13&lt;&gt;"",NOT(_xlfn.ISFORMULA('Month-End'!$D$13))))),1,0)</f>
        <v/>
      </c>
      <c r="CT7">
        <f>IF(AND($E7&lt;&gt;"pre",AND(Settings!$A$26&lt;&gt;"",Settings!$E$26&lt;&gt;"No"),Settings!$F$26="Yes",NOT(AND('Month-End'!$D$14&lt;&gt;"",NOT(_xlfn.ISFORMULA('Month-End'!$D$14))))),1,0)</f>
        <v/>
      </c>
      <c r="CU7">
        <f>IF(AND($E7&lt;&gt;"pre",AND(Settings!$A$27&lt;&gt;"",Settings!$E$27&lt;&gt;"No"),Settings!$F$27="Yes",NOT(AND('Month-End'!$D$15&lt;&gt;"",NOT(_xlfn.ISFORMULA('Month-End'!$D$15))))),1,0)</f>
        <v/>
      </c>
      <c r="CV7">
        <f>IF(AND($E7&lt;&gt;"pre",AND(Settings!$A$28&lt;&gt;"",Settings!$E$28&lt;&gt;"No"),Settings!$F$28="Yes",NOT(AND('Month-End'!$D$16&lt;&gt;"",NOT(_xlfn.ISFORMULA('Month-End'!$D$16))))),1,0)</f>
        <v/>
      </c>
      <c r="CW7">
        <f>IF(AND($E7&lt;&gt;"pre",AND(Settings!$A$29&lt;&gt;"",Settings!$E$29&lt;&gt;"No"),Settings!$F$29="Yes",NOT(AND('Month-End'!$D$17&lt;&gt;"",NOT(_xlfn.ISFORMULA('Month-End'!$D$17))))),1,0)</f>
        <v/>
      </c>
      <c r="CX7">
        <f>IF(AND($E7&lt;&gt;"pre",AND(Settings!$A$30&lt;&gt;"",Settings!$E$30&lt;&gt;"No"),Settings!$F$30="Yes",NOT(AND('Month-End'!$D$18&lt;&gt;"",NOT(_xlfn.ISFORMULA('Month-End'!$D$18))))),1,0)</f>
        <v/>
      </c>
      <c r="CY7">
        <f>IF(AND($E7&lt;&gt;"pre",AND(Settings!$A$31&lt;&gt;"",Settings!$E$31&lt;&gt;"No"),Settings!$F$31="Yes",NOT(AND('Month-End'!$D$19&lt;&gt;"",NOT(_xlfn.ISFORMULA('Month-End'!$D$19))))),1,0)</f>
        <v/>
      </c>
      <c r="CZ7">
        <f>IF(AND($E7&lt;&gt;"pre",AND(Settings!$A$32&lt;&gt;"",Settings!$E$32&lt;&gt;"No"),Settings!$F$32="Yes",NOT(AND('Month-End'!$D$20&lt;&gt;"",NOT(_xlfn.ISFORMULA('Month-End'!$D$20))))),1,0)</f>
        <v/>
      </c>
      <c r="DA7">
        <f>IF($DT7=1,IF(OR(Settings!$B$19="Checking",Settings!$B$19="Savings",Settings!$B$19="Cash"),N($AE7),IF(OR(Settings!$B$19="Card",Settings!$B$19="Loan"),-N($AE7),0))+IF(OR(Settings!$B$20="Checking",Settings!$B$20="Savings",Settings!$B$20="Cash"),N($AF7),IF(OR(Settings!$B$20="Card",Settings!$B$20="Loan"),-N($AF7),0))+IF(OR(Settings!$B$21="Checking",Settings!$B$21="Savings",Settings!$B$21="Cash"),N($AG7),IF(OR(Settings!$B$21="Card",Settings!$B$21="Loan"),-N($AG7),0))+IF(OR(Settings!$B$22="Checking",Settings!$B$22="Savings",Settings!$B$22="Cash"),N($AH7),IF(OR(Settings!$B$22="Card",Settings!$B$22="Loan"),-N($AH7),0))+IF(OR(Settings!$B$23="Checking",Settings!$B$23="Savings",Settings!$B$23="Cash"),N($AI7),IF(OR(Settings!$B$23="Card",Settings!$B$23="Loan"),-N($AI7),0))+IF(OR(Settings!$B$24="Checking",Settings!$B$24="Savings",Settings!$B$24="Cash"),N($AJ7),IF(OR(Settings!$B$24="Card",Settings!$B$24="Loan"),-N($AJ7),0))+IF(OR(Settings!$B$25="Checking",Settings!$B$25="Savings",Settings!$B$25="Cash"),N($AK7),IF(OR(Settings!$B$25="Card",Settings!$B$25="Loan"),-N($AK7),0))+IF(OR(Settings!$B$26="Checking",Settings!$B$26="Savings",Settings!$B$26="Cash"),N($AL7),IF(OR(Settings!$B$26="Card",Settings!$B$26="Loan"),-N($AL7),0))+IF(OR(Settings!$B$27="Checking",Settings!$B$27="Savings",Settings!$B$27="Cash"),N($AM7),IF(OR(Settings!$B$27="Card",Settings!$B$27="Loan"),-N($AM7),0))+IF(OR(Settings!$B$28="Checking",Settings!$B$28="Savings",Settings!$B$28="Cash"),N($AN7),IF(OR(Settings!$B$28="Card",Settings!$B$28="Loan"),-N($AN7),0))+IF(OR(Settings!$B$29="Checking",Settings!$B$29="Savings",Settings!$B$29="Cash"),N($AO7),IF(OR(Settings!$B$29="Card",Settings!$B$29="Loan"),-N($AO7),0))+IF(OR(Settings!$B$30="Checking",Settings!$B$30="Savings",Settings!$B$30="Cash"),N($AP7),IF(OR(Settings!$B$30="Card",Settings!$B$30="Loan"),-N($AP7),0))+IF(OR(Settings!$B$31="Checking",Settings!$B$31="Savings",Settings!$B$31="Cash"),N($AQ7),IF(OR(Settings!$B$31="Card",Settings!$B$31="Loan"),-N($AQ7),0))+IF(OR(Settings!$B$32="Checking",Settings!$B$32="Savings",Settings!$B$32="Cash"),N($AR7),IF(OR(Settings!$B$32="Card",Settings!$B$32="Loan"),-N($AR7),0)),"")</f>
        <v/>
      </c>
      <c r="DB7">
        <f>IF($E7="open",$EB$27,IF($E7="post",IF($E6="pre",$EB$27,$DA6),""))</f>
        <v/>
      </c>
      <c r="DC7">
        <f>IF($E7="open",1,IF($E7="post",IF($E6="pre",1,$DT6),0))</f>
        <v/>
      </c>
      <c r="DD7">
        <f>IF(AND($DT7=1,$DC7=1),ROUND($W7-($DA7-$DB7)-$AD7-$AB7,2),"")</f>
        <v/>
      </c>
      <c r="DE7">
        <f>IF('Month-End'!$D$35="",$BQ7,N('Month-End'!$D$35))</f>
        <v/>
      </c>
      <c r="DF7">
        <f>N('Month-End'!$D$36)</f>
        <v/>
      </c>
      <c r="DG7">
        <f>IF($DD7="","",$DD7+$DE7)</f>
        <v/>
      </c>
      <c r="DH7">
        <f>IF($DG7="","",$DG7-$DF7)</f>
        <v/>
      </c>
      <c r="DI7">
        <f>IF(OR($E7="pre",$D7=1),"",N($AS7)+N($AT7)+N($AU7)+N($AV7)+N($AW7)+N($AX7))</f>
        <v/>
      </c>
      <c r="DJ7">
        <f>IF($DT7=1,$DA7+N($DI7),"")</f>
        <v/>
      </c>
      <c r="DK7">
        <f>IF($DD7="","",$W7-$DD7-$AB7)</f>
        <v/>
      </c>
      <c r="DL7">
        <f>IF(AND($E7="post",$DD7&lt;&gt;"",$B7&lt;TODAY()),1,0)</f>
        <v/>
      </c>
      <c r="DM7">
        <f>IF($DL7=1,COUNTIF($DL7:$DL$183,1),0)</f>
        <v/>
      </c>
      <c r="DN7">
        <f>IF($D7=1,"",IF($E7="pre","History only",IF($DT7=1,IF($DD7="","⚠ Previous month missing",IF($DD7&lt;0,"⚠ Check: spending &lt; 0",IF($E7="open","✓ Done (partial)","✓ Done"))),IF($B7&gt;=TODAY(),"In progress","⚠ Needs balances"))))</f>
        <v/>
      </c>
      <c r="DO7">
        <f>YEAR($A7)</f>
        <v/>
      </c>
      <c r="DP7">
        <f>DATE(YEAR($A7),INT((MONTH($A7)-1)/3)*3+1,1)</f>
        <v/>
      </c>
      <c r="DQ7">
        <f>IF(AND($DT7=1,$DD7&lt;&gt;"",$D7=0),ROW(),0)</f>
        <v/>
      </c>
      <c r="DR7">
        <f>IF(AND($E7&lt;&gt;"pre",$B7&lt;TODAY(),$DT7=0),1,0)</f>
        <v/>
      </c>
      <c r="DS7">
        <f>IF($DJ7="",NA(),$DJ7)</f>
        <v/>
      </c>
      <c r="DT7">
        <f>IF(AND($E7&lt;&gt;"pre",$CL7=0,COUNTIFS(Settings!$F$19:$F$32,"Yes",Settings!$A$19:$A$32,"&lt;&gt;",Settings!$E$19:$E$32,"&lt;&gt;No")&gt;0),1,0)</f>
        <v/>
      </c>
      <c r="DU7">
        <f>IF(AND($B7&lt;TODAY(),$S7&gt;0),1,0)</f>
        <v/>
      </c>
      <c r="DV7">
        <f>IF($DU7=1,COUNTIF($DU7:$DU$183,1),0)</f>
        <v/>
      </c>
      <c r="DW7">
        <f>IF(AND(OR(Settings!$B$19="Card",Settings!$B$19="Loan"),AND('Month-End'!$D$7&lt;&gt;"",NOT(_xlfn.ISFORMULA('Month-End'!$D$7)))),IF(N('Month-End'!$D$7)&lt;0,1,0),0)+IF(AND(OR(Settings!$B$20="Card",Settings!$B$20="Loan"),AND('Month-End'!$D$8&lt;&gt;"",NOT(_xlfn.ISFORMULA('Month-End'!$D$8)))),IF(N('Month-End'!$D$8)&lt;0,1,0),0)+IF(AND(OR(Settings!$B$21="Card",Settings!$B$21="Loan"),AND('Month-End'!$D$9&lt;&gt;"",NOT(_xlfn.ISFORMULA('Month-End'!$D$9)))),IF(N('Month-End'!$D$9)&lt;0,1,0),0)+IF(AND(OR(Settings!$B$22="Card",Settings!$B$22="Loan"),AND('Month-End'!$D$10&lt;&gt;"",NOT(_xlfn.ISFORMULA('Month-End'!$D$10)))),IF(N('Month-End'!$D$10)&lt;0,1,0),0)+IF(AND(OR(Settings!$B$23="Card",Settings!$B$23="Loan"),AND('Month-End'!$D$11&lt;&gt;"",NOT(_xlfn.ISFORMULA('Month-End'!$D$11)))),IF(N('Month-End'!$D$11)&lt;0,1,0),0)+IF(AND(OR(Settings!$B$24="Card",Settings!$B$24="Loan"),AND('Month-End'!$D$12&lt;&gt;"",NOT(_xlfn.ISFORMULA('Month-End'!$D$12)))),IF(N('Month-End'!$D$12)&lt;0,1,0),0)+IF(AND(OR(Settings!$B$25="Card",Settings!$B$25="Loan"),AND('Month-End'!$D$13&lt;&gt;"",NOT(_xlfn.ISFORMULA('Month-End'!$D$13)))),IF(N('Month-End'!$D$13)&lt;0,1,0),0)+IF(AND(OR(Settings!$B$26="Card",Settings!$B$26="Loan"),AND('Month-End'!$D$14&lt;&gt;"",NOT(_xlfn.ISFORMULA('Month-End'!$D$14)))),IF(N('Month-End'!$D$14)&lt;0,1,0),0)+IF(AND(OR(Settings!$B$27="Card",Settings!$B$27="Loan"),AND('Month-End'!$D$15&lt;&gt;"",NOT(_xlfn.ISFORMULA('Month-End'!$D$15)))),IF(N('Month-End'!$D$15)&lt;0,1,0),0)+IF(AND(OR(Settings!$B$28="Card",Settings!$B$28="Loan"),AND('Month-End'!$D$16&lt;&gt;"",NOT(_xlfn.ISFORMULA('Month-End'!$D$16)))),IF(N('Month-End'!$D$16)&lt;0,1,0),0)+IF(AND(OR(Settings!$B$29="Card",Settings!$B$29="Loan"),AND('Month-End'!$D$17&lt;&gt;"",NOT(_xlfn.ISFORMULA('Month-End'!$D$17)))),IF(N('Month-End'!$D$17)&lt;0,1,0),0)+IF(AND(OR(Settings!$B$30="Card",Settings!$B$30="Loan"),AND('Month-End'!$D$18&lt;&gt;"",NOT(_xlfn.ISFORMULA('Month-End'!$D$18)))),IF(N('Month-End'!$D$18)&lt;0,1,0),0)+IF(AND(OR(Settings!$B$31="Card",Settings!$B$31="Loan"),AND('Month-End'!$D$19&lt;&gt;"",NOT(_xlfn.ISFORMULA('Month-End'!$D$19)))),IF(N('Month-End'!$D$19)&lt;0,1,0),0)+IF(AND(OR(Settings!$B$32="Card",Settings!$B$32="Loan"),AND('Month-End'!$D$20&lt;&gt;"",NOT(_xlfn.ISFORMULA('Month-End'!$D$20)))),IF(N('Month-End'!$D$20)&lt;0,1,0),0)</f>
        <v/>
      </c>
      <c r="DX7">
        <f>IF(Settings!$B$36="Retirement",$AY7,0)+IF(Settings!$B$37="Retirement",$AZ7,0)+IF(Settings!$B$38="Retirement",$BA7,0)+IF(Settings!$B$39="Retirement",$BB7,0)+IF(Settings!$B$40="Retirement",$BC7,0)+IF(Settings!$B$41="Retirement",$BD7,0)</f>
        <v/>
      </c>
      <c r="EA7" t="inlineStr">
        <is>
          <t>Liquid Cash</t>
        </is>
      </c>
      <c r="EB7">
        <f>EB30</f>
        <v/>
      </c>
      <c r="EO7" t="inlineStr">
        <is>
          <t>Wednesday</t>
        </is>
      </c>
      <c r="ET7">
        <f>IF($E7&lt;&gt;"open",0,IF(AND('Month-End'!$D$22&lt;&gt;"",NOT(_xlfn.ISFORMULA('Month-End'!$D$22))),0,IF(OR(Settings!$C$45="",Settings!$D$45=""),0,Settings!$C$45*IF(Settings!$D$45="Weekly",IF(IFERROR(MATCH(Settings!$E$45,$EO$4:$EO$10,0),0)=0,0,IF(MIN(Settings!$B$5,IF(Settings!$G$45="",Settings!$B$5,Settings!$G$45))&lt;MAX($A7,Settings!$F$45),0,INT((MIN(Settings!$B$5,IF(Settings!$G$45="",Settings!$B$5,Settings!$G$45))-MAX($A7,Settings!$F$45)-MOD(IFERROR(MATCH(Settings!$E$45,$EO$4:$EO$10,0),0)-WEEKDAY(MAX($A7,Settings!$F$45)),7))/7)+1)),IF(AND(IF(Settings!$E$45="",$B7,DATE(YEAR($A7),MONTH($A7),MIN(Settings!$E$45,DAY($B7))))&gt;=MAX($A7,Settings!$F$45),IF(Settings!$E$45="",$B7,DATE(YEAR($A7),MONTH($A7),MIN(Settings!$E$45,DAY($B7))))&lt;=MIN(Settings!$B$5,IF(Settings!$G$45="",Settings!$B$5,Settings!$G$45))),1,0)))))</f>
        <v/>
      </c>
      <c r="EU7">
        <f>IF($E7&lt;&gt;"open",0,IF(AND('Month-End'!$D$23&lt;&gt;"",NOT(_xlfn.ISFORMULA('Month-End'!$D$23))),0,IF(OR(Settings!$C$46="",Settings!$D$46=""),0,Settings!$C$46*IF(Settings!$D$46="Weekly",IF(IFERROR(MATCH(Settings!$E$46,$EO$4:$EO$10,0),0)=0,0,IF(MIN(Settings!$B$5,IF(Settings!$G$46="",Settings!$B$5,Settings!$G$46))&lt;MAX($A7,Settings!$F$46),0,INT((MIN(Settings!$B$5,IF(Settings!$G$46="",Settings!$B$5,Settings!$G$46))-MAX($A7,Settings!$F$46)-MOD(IFERROR(MATCH(Settings!$E$46,$EO$4:$EO$10,0),0)-WEEKDAY(MAX($A7,Settings!$F$46)),7))/7)+1)),IF(AND(IF(Settings!$E$46="",$B7,DATE(YEAR($A7),MONTH($A7),MIN(Settings!$E$46,DAY($B7))))&gt;=MAX($A7,Settings!$F$46),IF(Settings!$E$46="",$B7,DATE(YEAR($A7),MONTH($A7),MIN(Settings!$E$46,DAY($B7))))&lt;=MIN(Settings!$B$5,IF(Settings!$G$46="",Settings!$B$5,Settings!$G$46))),1,0)))))</f>
        <v/>
      </c>
      <c r="EV7">
        <f>IF($E7&lt;&gt;"open",0,IF(AND('Month-End'!$D$24&lt;&gt;"",NOT(_xlfn.ISFORMULA('Month-End'!$D$24))),0,IF(OR(Settings!$C$47="",Settings!$D$47=""),0,Settings!$C$47*IF(Settings!$D$47="Weekly",IF(IFERROR(MATCH(Settings!$E$47,$EO$4:$EO$10,0),0)=0,0,IF(MIN(Settings!$B$5,IF(Settings!$G$47="",Settings!$B$5,Settings!$G$47))&lt;MAX($A7,Settings!$F$47),0,INT((MIN(Settings!$B$5,IF(Settings!$G$47="",Settings!$B$5,Settings!$G$47))-MAX($A7,Settings!$F$47)-MOD(IFERROR(MATCH(Settings!$E$47,$EO$4:$EO$10,0),0)-WEEKDAY(MAX($A7,Settings!$F$47)),7))/7)+1)),IF(AND(IF(Settings!$E$47="",$B7,DATE(YEAR($A7),MONTH($A7),MIN(Settings!$E$47,DAY($B7))))&gt;=MAX($A7,Settings!$F$47),IF(Settings!$E$47="",$B7,DATE(YEAR($A7),MONTH($A7),MIN(Settings!$E$47,DAY($B7))))&lt;=MIN(Settings!$B$5,IF(Settings!$G$47="",Settings!$B$5,Settings!$G$47))),1,0)))))</f>
        <v/>
      </c>
      <c r="EW7">
        <f>IF($E7&lt;&gt;"open",0,IF(AND('Month-End'!$D$25&lt;&gt;"",NOT(_xlfn.ISFORMULA('Month-End'!$D$25))),0,IF(OR(Settings!$C$48="",Settings!$D$48=""),0,Settings!$C$48*IF(Settings!$D$48="Weekly",IF(IFERROR(MATCH(Settings!$E$48,$EO$4:$EO$10,0),0)=0,0,IF(MIN(Settings!$B$5,IF(Settings!$G$48="",Settings!$B$5,Settings!$G$48))&lt;MAX($A7,Settings!$F$48),0,INT((MIN(Settings!$B$5,IF(Settings!$G$48="",Settings!$B$5,Settings!$G$48))-MAX($A7,Settings!$F$48)-MOD(IFERROR(MATCH(Settings!$E$48,$EO$4:$EO$10,0),0)-WEEKDAY(MAX($A7,Settings!$F$48)),7))/7)+1)),IF(AND(IF(Settings!$E$48="",$B7,DATE(YEAR($A7),MONTH($A7),MIN(Settings!$E$48,DAY($B7))))&gt;=MAX($A7,Settings!$F$48),IF(Settings!$E$48="",$B7,DATE(YEAR($A7),MONTH($A7),MIN(Settings!$E$48,DAY($B7))))&lt;=MIN(Settings!$B$5,IF(Settings!$G$48="",Settings!$B$5,Settings!$G$48))),1,0)))))</f>
        <v/>
      </c>
      <c r="EX7">
        <f>IF($E7&lt;&gt;"open",0,IF(AND('Month-End'!$D$26&lt;&gt;"",NOT(_xlfn.ISFORMULA('Month-End'!$D$26))),0,IF(OR(Settings!$C$49="",Settings!$D$49=""),0,Settings!$C$49*IF(Settings!$D$49="Weekly",IF(IFERROR(MATCH(Settings!$E$49,$EO$4:$EO$10,0),0)=0,0,IF(MIN(Settings!$B$5,IF(Settings!$G$49="",Settings!$B$5,Settings!$G$49))&lt;MAX($A7,Settings!$F$49),0,INT((MIN(Settings!$B$5,IF(Settings!$G$49="",Settings!$B$5,Settings!$G$49))-MAX($A7,Settings!$F$49)-MOD(IFERROR(MATCH(Settings!$E$49,$EO$4:$EO$10,0),0)-WEEKDAY(MAX($A7,Settings!$F$49)),7))/7)+1)),IF(AND(IF(Settings!$E$49="",$B7,DATE(YEAR($A7),MONTH($A7),MIN(Settings!$E$49,DAY($B7))))&gt;=MAX($A7,Settings!$F$49),IF(Settings!$E$49="",$B7,DATE(YEAR($A7),MONTH($A7),MIN(Settings!$E$49,DAY($B7))))&lt;=MIN(Settings!$B$5,IF(Settings!$G$49="",Settings!$B$5,Settings!$G$49))),1,0)))))</f>
        <v/>
      </c>
      <c r="EY7">
        <f>IF($E7&lt;&gt;"open",0,IF(AND('Month-End'!$D$27&lt;&gt;"",NOT(_xlfn.ISFORMULA('Month-End'!$D$27))),0,IF(OR(Settings!$C$50="",Settings!$D$50=""),0,Settings!$C$50*IF(Settings!$D$50="Weekly",IF(IFERROR(MATCH(Settings!$E$50,$EO$4:$EO$10,0),0)=0,0,IF(MIN(Settings!$B$5,IF(Settings!$G$50="",Settings!$B$5,Settings!$G$50))&lt;MAX($A7,Settings!$F$50),0,INT((MIN(Settings!$B$5,IF(Settings!$G$50="",Settings!$B$5,Settings!$G$50))-MAX($A7,Settings!$F$50)-MOD(IFERROR(MATCH(Settings!$E$50,$EO$4:$EO$10,0),0)-WEEKDAY(MAX($A7,Settings!$F$50)),7))/7)+1)),IF(AND(IF(Settings!$E$50="",$B7,DATE(YEAR($A7),MONTH($A7),MIN(Settings!$E$50,DAY($B7))))&gt;=MAX($A7,Settings!$F$50),IF(Settings!$E$50="",$B7,DATE(YEAR($A7),MONTH($A7),MIN(Settings!$E$50,DAY($B7))))&lt;=MIN(Settings!$B$5,IF(Settings!$G$50="",Settings!$B$5,Settings!$G$50))),1,0)))))</f>
        <v/>
      </c>
      <c r="EZ7">
        <f>IF($E7&lt;&gt;"open",0,IF(AND('Month-End'!$D$28&lt;&gt;"",NOT(_xlfn.ISFORMULA('Month-End'!$D$28))),0,IF(OR(Settings!$C$51="",Settings!$D$51=""),0,Settings!$C$51*IF(Settings!$D$51="Weekly",IF(IFERROR(MATCH(Settings!$E$51,$EO$4:$EO$10,0),0)=0,0,IF(MIN(Settings!$B$5,IF(Settings!$G$51="",Settings!$B$5,Settings!$G$51))&lt;MAX($A7,Settings!$F$51),0,INT((MIN(Settings!$B$5,IF(Settings!$G$51="",Settings!$B$5,Settings!$G$51))-MAX($A7,Settings!$F$51)-MOD(IFERROR(MATCH(Settings!$E$51,$EO$4:$EO$10,0),0)-WEEKDAY(MAX($A7,Settings!$F$51)),7))/7)+1)),IF(AND(IF(Settings!$E$51="",$B7,DATE(YEAR($A7),MONTH($A7),MIN(Settings!$E$51,DAY($B7))))&gt;=MAX($A7,Settings!$F$51),IF(Settings!$E$51="",$B7,DATE(YEAR($A7),MONTH($A7),MIN(Settings!$E$51,DAY($B7))))&lt;=MIN(Settings!$B$5,IF(Settings!$G$51="",Settings!$B$5,Settings!$G$51))),1,0)))))</f>
        <v/>
      </c>
      <c r="FA7">
        <f>IF($E7&lt;&gt;"open",0,IF(AND('Month-End'!$D$29&lt;&gt;"",NOT(_xlfn.ISFORMULA('Month-End'!$D$29))),0,IF(OR(Settings!$C$52="",Settings!$D$52=""),0,Settings!$C$52*IF(Settings!$D$52="Weekly",IF(IFERROR(MATCH(Settings!$E$52,$EO$4:$EO$10,0),0)=0,0,IF(MIN(Settings!$B$5,IF(Settings!$G$52="",Settings!$B$5,Settings!$G$52))&lt;MAX($A7,Settings!$F$52),0,INT((MIN(Settings!$B$5,IF(Settings!$G$52="",Settings!$B$5,Settings!$G$52))-MAX($A7,Settings!$F$52)-MOD(IFERROR(MATCH(Settings!$E$52,$EO$4:$EO$10,0),0)-WEEKDAY(MAX($A7,Settings!$F$52)),7))/7)+1)),IF(AND(IF(Settings!$E$52="",$B7,DATE(YEAR($A7),MONTH($A7),MIN(Settings!$E$52,DAY($B7))))&gt;=MAX($A7,Settings!$F$52),IF(Settings!$E$52="",$B7,DATE(YEAR($A7),MONTH($A7),MIN(Settings!$E$52,DAY($B7))))&lt;=MIN(Settings!$B$5,IF(Settings!$G$52="",Settings!$B$5,Settings!$G$52))),1,0)))))</f>
        <v/>
      </c>
      <c r="FB7">
        <f>IF($E7&lt;&gt;"open",0,IF(AND('Month-End'!$D$30&lt;&gt;"",NOT(_xlfn.ISFORMULA('Month-End'!$D$30))),0,IF(OR(Settings!$C$53="",Settings!$D$53=""),0,Settings!$C$53*IF(Settings!$D$53="Weekly",IF(IFERROR(MATCH(Settings!$E$53,$EO$4:$EO$10,0),0)=0,0,IF(MIN(Settings!$B$5,IF(Settings!$G$53="",Settings!$B$5,Settings!$G$53))&lt;MAX($A7,Settings!$F$53),0,INT((MIN(Settings!$B$5,IF(Settings!$G$53="",Settings!$B$5,Settings!$G$53))-MAX($A7,Settings!$F$53)-MOD(IFERROR(MATCH(Settings!$E$53,$EO$4:$EO$10,0),0)-WEEKDAY(MAX($A7,Settings!$F$53)),7))/7)+1)),IF(AND(IF(Settings!$E$53="",$B7,DATE(YEAR($A7),MONTH($A7),MIN(Settings!$E$53,DAY($B7))))&gt;=MAX($A7,Settings!$F$53),IF(Settings!$E$53="",$B7,DATE(YEAR($A7),MONTH($A7),MIN(Settings!$E$53,DAY($B7))))&lt;=MIN(Settings!$B$5,IF(Settings!$G$53="",Settings!$B$5,Settings!$G$53))),1,0)))))</f>
        <v/>
      </c>
      <c r="FC7">
        <f>IF($E7&lt;&gt;"open",0,IF(AND('Month-End'!$D$31&lt;&gt;"",NOT(_xlfn.ISFORMULA('Month-End'!$D$31))),0,IF(OR(Settings!$C$54="",Settings!$D$54=""),0,Settings!$C$54*IF(Settings!$D$54="Weekly",IF(IFERROR(MATCH(Settings!$E$54,$EO$4:$EO$10,0),0)=0,0,IF(MIN(Settings!$B$5,IF(Settings!$G$54="",Settings!$B$5,Settings!$G$54))&lt;MAX($A7,Settings!$F$54),0,INT((MIN(Settings!$B$5,IF(Settings!$G$54="",Settings!$B$5,Settings!$G$54))-MAX($A7,Settings!$F$54)-MOD(IFERROR(MATCH(Settings!$E$54,$EO$4:$EO$10,0),0)-WEEKDAY(MAX($A7,Settings!$F$54)),7))/7)+1)),IF(AND(IF(Settings!$E$54="",$B7,DATE(YEAR($A7),MONTH($A7),MIN(Settings!$E$54,DAY($B7))))&gt;=MAX($A7,Settings!$F$54),IF(Settings!$E$54="",$B7,DATE(YEAR($A7),MONTH($A7),MIN(Settings!$E$54,DAY($B7))))&lt;=MIN(Settings!$B$5,IF(Settings!$G$54="",Settings!$B$5,Settings!$G$54))),1,0)))))</f>
        <v/>
      </c>
      <c r="FD7">
        <f>IF($E7&lt;&gt;"open",0,IF(AND('Month-End'!$D$32&lt;&gt;"",NOT(_xlfn.ISFORMULA('Month-End'!$D$32))),0,IF(OR(Settings!$C$55="",Settings!$D$55=""),0,Settings!$C$55*IF(Settings!$D$55="Weekly",IF(IFERROR(MATCH(Settings!$E$55,$EO$4:$EO$10,0),0)=0,0,IF(MIN(Settings!$B$5,IF(Settings!$G$55="",Settings!$B$5,Settings!$G$55))&lt;MAX($A7,Settings!$F$55),0,INT((MIN(Settings!$B$5,IF(Settings!$G$55="",Settings!$B$5,Settings!$G$55))-MAX($A7,Settings!$F$55)-MOD(IFERROR(MATCH(Settings!$E$55,$EO$4:$EO$10,0),0)-WEEKDAY(MAX($A7,Settings!$F$55)),7))/7)+1)),IF(AND(IF(Settings!$E$55="",$B7,DATE(YEAR($A7),MONTH($A7),MIN(Settings!$E$55,DAY($B7))))&gt;=MAX($A7,Settings!$F$55),IF(Settings!$E$55="",$B7,DATE(YEAR($A7),MONTH($A7),MIN(Settings!$E$55,DAY($B7))))&lt;=MIN(Settings!$B$5,IF(Settings!$G$55="",Settings!$B$5,Settings!$G$55))),1,0)))))</f>
        <v/>
      </c>
      <c r="FE7">
        <f>IF($E7&lt;&gt;"open",0,IF(AND('Month-End'!$D$33&lt;&gt;"",NOT(_xlfn.ISFORMULA('Month-End'!$D$33))),0,IF(OR(Settings!$C$56="",Settings!$D$56=""),0,Settings!$C$56*IF(Settings!$D$56="Weekly",IF(IFERROR(MATCH(Settings!$E$56,$EO$4:$EO$10,0),0)=0,0,IF(MIN(Settings!$B$5,IF(Settings!$G$56="",Settings!$B$5,Settings!$G$56))&lt;MAX($A7,Settings!$F$56),0,INT((MIN(Settings!$B$5,IF(Settings!$G$56="",Settings!$B$5,Settings!$G$56))-MAX($A7,Settings!$F$56)-MOD(IFERROR(MATCH(Settings!$E$56,$EO$4:$EO$10,0),0)-WEEKDAY(MAX($A7,Settings!$F$56)),7))/7)+1)),IF(AND(IF(Settings!$E$56="",$B7,DATE(YEAR($A7),MONTH($A7),MIN(Settings!$E$56,DAY($B7))))&gt;=MAX($A7,Settings!$F$56),IF(Settings!$E$56="",$B7,DATE(YEAR($A7),MONTH($A7),MIN(Settings!$E$56,DAY($B7))))&lt;=MIN(Settings!$B$5,IF(Settings!$G$56="",Settings!$B$5,Settings!$G$56))),1,0)))))</f>
        <v/>
      </c>
      <c r="FF7">
        <f>IF(Settings!$I$45="Yes",$G7,0)+IF(Settings!$I$46="Yes",$H7,0)+IF(Settings!$I$47="Yes",$I7,0)+IF(Settings!$I$48="Yes",$J7,0)+IF(Settings!$I$49="Yes",$K7,0)+IF(Settings!$I$50="Yes",$L7,0)+IF(Settings!$I$51="Yes",$M7,0)+IF(Settings!$I$52="Yes",$N7,0)+IF(Settings!$I$53="Yes",$O7,0)+IF(Settings!$I$54="Yes",$P7,0)+IF(Settings!$I$55="Yes",$Q7,0)+IF(Settings!$I$56="Yes",$R7,0)</f>
        <v/>
      </c>
      <c r="FG7">
        <f>IF(AND(Settings!$I$45="Yes",Settings!$J$45="No"),$G7,0)+IF(AND(Settings!$I$46="Yes",Settings!$J$46="No"),$H7,0)+IF(AND(Settings!$I$47="Yes",Settings!$J$47="No"),$I7,0)+IF(AND(Settings!$I$48="Yes",Settings!$J$48="No"),$J7,0)+IF(AND(Settings!$I$49="Yes",Settings!$J$49="No"),$K7,0)+IF(AND(Settings!$I$50="Yes",Settings!$J$50="No"),$L7,0)+IF(AND(Settings!$I$51="Yes",Settings!$J$51="No"),$M7,0)+IF(AND(Settings!$I$52="Yes",Settings!$J$52="No"),$N7,0)+IF(AND(Settings!$I$53="Yes",Settings!$J$53="No"),$O7,0)+IF(AND(Settings!$I$54="Yes",Settings!$J$54="No"),$P7,0)+IF(AND(Settings!$I$55="Yes",Settings!$J$55="No"),$Q7,0)+IF(AND(Settings!$I$56="Yes",Settings!$J$56="No"),$R7,0)</f>
        <v/>
      </c>
      <c r="FH7">
        <f>SUMIFS(Giving!$B$7:$B$2006,Giving!$A$7:$A$2006,"&gt;="&amp;$A7,Giving!$A$7:$A$2006,"&lt;="&amp;$B7,Giving!$G$7:$G$2006,"Yes")+IF(OR(OR(Settings!$B$60="",Settings!$F$60="No"),Settings!$H$60&lt;&gt;"Yes"),0,Settings!$B$60*IF(AND(IF(Settings!$C$60="",$B7,DATE(YEAR($A7),MONTH($A7),MIN(Settings!$C$60,DAY($B7))))&gt;=MAX($A7,Settings!$D$60),IF(Settings!$C$60="",$B7,DATE(YEAR($A7),MONTH($A7),MIN(Settings!$C$60,DAY($B7))))&lt;=MIN($C7,IF(Settings!$E$60="",$C7,Settings!$E$60))),1,0))+IF(OR(OR(Settings!$B$61="",Settings!$F$61="No"),Settings!$H$61&lt;&gt;"Yes"),0,Settings!$B$61*IF(AND(IF(Settings!$C$61="",$B7,DATE(YEAR($A7),MONTH($A7),MIN(Settings!$C$61,DAY($B7))))&gt;=MAX($A7,Settings!$D$61),IF(Settings!$C$61="",$B7,DATE(YEAR($A7),MONTH($A7),MIN(Settings!$C$61,DAY($B7))))&lt;=MIN($C7,IF(Settings!$E$61="",$C7,Settings!$E$61))),1,0))+IF(OR(OR(Settings!$B$62="",Settings!$F$62="No"),Settings!$H$62&lt;&gt;"Yes"),0,Settings!$B$62*IF(AND(IF(Settings!$C$62="",$B7,DATE(YEAR($A7),MONTH($A7),MIN(Settings!$C$62,DAY($B7))))&gt;=MAX($A7,Settings!$D$62),IF(Settings!$C$62="",$B7,DATE(YEAR($A7),MONTH($A7),MIN(Settings!$C$62,DAY($B7))))&lt;=MIN($C7,IF(Settings!$E$62="",$C7,Settings!$E$62))),1,0))+IF(OR(OR(Settings!$B$63="",Settings!$F$63="No"),Settings!$H$63&lt;&gt;"Yes"),0,Settings!$B$63*IF(AND(IF(Settings!$C$63="",$B7,DATE(YEAR($A7),MONTH($A7),MIN(Settings!$C$63,DAY($B7))))&gt;=MAX($A7,Settings!$D$63),IF(Settings!$C$63="",$B7,DATE(YEAR($A7),MONTH($A7),MIN(Settings!$C$63,DAY($B7))))&lt;=MIN($C7,IF(Settings!$E$63="",$C7,Settings!$E$63))),1,0))+IF(OR(OR(Settings!$B$64="",Settings!$F$64="No"),Settings!$H$64&lt;&gt;"Yes"),0,Settings!$B$64*IF(AND(IF(Settings!$C$64="",$B7,DATE(YEAR($A7),MONTH($A7),MIN(Settings!$C$64,DAY($B7))))&gt;=MAX($A7,Settings!$D$64),IF(Settings!$C$64="",$B7,DATE(YEAR($A7),MONTH($A7),MIN(Settings!$C$64,DAY($B7))))&lt;=MIN($C7,IF(Settings!$E$64="",$C7,Settings!$E$64))),1,0))+IF(OR(OR(Settings!$B$65="",Settings!$F$65="No"),Settings!$H$65&lt;&gt;"Yes"),0,Settings!$B$65*IF(AND(IF(Settings!$C$65="",$B7,DATE(YEAR($A7),MONTH($A7),MIN(Settings!$C$65,DAY($B7))))&gt;=MAX($A7,Settings!$D$65),IF(Settings!$C$65="",$B7,DATE(YEAR($A7),MONTH($A7),MIN(Settings!$C$65,DAY($B7))))&lt;=MIN($C7,IF(Settings!$E$65="",$C7,Settings!$E$65))),1,0))</f>
        <v/>
      </c>
      <c r="FI7">
        <f>IF($DT7=1,IF(OR(Settings!$B$19="Card",Settings!$B$19="Loan"),N($AE7),0)+IF(OR(Settings!$B$20="Card",Settings!$B$20="Loan"),N($AF7),0)+IF(OR(Settings!$B$21="Card",Settings!$B$21="Loan"),N($AG7),0)+IF(OR(Settings!$B$22="Card",Settings!$B$22="Loan"),N($AH7),0)+IF(OR(Settings!$B$23="Card",Settings!$B$23="Loan"),N($AI7),0)+IF(OR(Settings!$B$24="Card",Settings!$B$24="Loan"),N($AJ7),0)+IF(OR(Settings!$B$25="Card",Settings!$B$25="Loan"),N($AK7),0)+IF(OR(Settings!$B$26="Card",Settings!$B$26="Loan"),N($AL7),0)+IF(OR(Settings!$B$27="Card",Settings!$B$27="Loan"),N($AM7),0)+IF(OR(Settings!$B$28="Card",Settings!$B$28="Loan"),N($AN7),0)+IF(OR(Settings!$B$29="Card",Settings!$B$29="Loan"),N($AO7),0)+IF(OR(Settings!$B$30="Card",Settings!$B$30="Loan"),N($AP7),0)+IF(OR(Settings!$B$31="Card",Settings!$B$31="Loan"),N($AQ7),0)+IF(OR(Settings!$B$32="Card",Settings!$B$32="Loan"),N($AR7),0),"")</f>
        <v/>
      </c>
      <c r="FJ7">
        <f>IF($E7="open",$EB$65,IF($E7="post",IF($E6="pre",$EB$65,$FI6),""))</f>
        <v/>
      </c>
      <c r="FK7">
        <f>IF(AND($DT7=1,$DC7=1),IF(ROUND($FI7-$FJ7,2)&gt;0,1,0),0)</f>
        <v/>
      </c>
      <c r="FL7">
        <f>IF($FK7=1,$FL6+1,0)</f>
        <v/>
      </c>
    </row>
    <row r="8">
      <c r="A8">
        <f>'Month-End'!$E$4</f>
        <v/>
      </c>
      <c r="B8">
        <f>EOMONTH($A8,0)</f>
        <v/>
      </c>
      <c r="C8">
        <f>MIN($B8,TODAY())</f>
        <v/>
      </c>
      <c r="D8">
        <f>IF($A8&gt;TODAY(),1,0)</f>
        <v/>
      </c>
      <c r="E8">
        <f>IF($B8&lt;=Settings!$B$5,"pre",IF($A8&lt;=Settings!$B$5,"open","post"))</f>
        <v/>
      </c>
      <c r="G8">
        <f>IF('Month-End'!$E$22="",$BE8,N('Month-End'!$E$22))</f>
        <v/>
      </c>
      <c r="H8">
        <f>IF('Month-End'!$E$23="",$BF8,N('Month-End'!$E$23))</f>
        <v/>
      </c>
      <c r="I8">
        <f>IF('Month-End'!$E$24="",$BG8,N('Month-End'!$E$24))</f>
        <v/>
      </c>
      <c r="J8">
        <f>IF('Month-End'!$E$25="",$BH8,N('Month-End'!$E$25))</f>
        <v/>
      </c>
      <c r="K8">
        <f>IF('Month-End'!$E$26="",$BI8,N('Month-End'!$E$26))</f>
        <v/>
      </c>
      <c r="L8">
        <f>IF('Month-End'!$E$27="",$BJ8,N('Month-End'!$E$27))</f>
        <v/>
      </c>
      <c r="M8">
        <f>IF('Month-End'!$E$28="",$BK8,N('Month-End'!$E$28))</f>
        <v/>
      </c>
      <c r="N8">
        <f>IF('Month-End'!$E$29="",$BL8,N('Month-End'!$E$29))</f>
        <v/>
      </c>
      <c r="O8">
        <f>IF('Month-End'!$E$30="",$BM8,N('Month-End'!$E$30))</f>
        <v/>
      </c>
      <c r="P8">
        <f>IF('Month-End'!$E$31="",$BN8,N('Month-End'!$E$31))</f>
        <v/>
      </c>
      <c r="Q8">
        <f>IF('Month-End'!$E$32="",$BO8,N('Month-End'!$E$32))</f>
        <v/>
      </c>
      <c r="R8">
        <f>IF('Month-End'!$E$33="",$BP8,N('Month-End'!$E$33))</f>
        <v/>
      </c>
      <c r="S8">
        <f>$G8+$H8+$I8+$J8+$K8+$L8+$M8+$N8+$O8+$P8+$Q8+$R8</f>
        <v/>
      </c>
      <c r="T8">
        <f>IF($B8&lt;Settings!$B$6,0,IF(Settings!$B$45="Yes",$G8,0)+IF(Settings!$B$46="Yes",$H8,0)+IF(Settings!$B$47="Yes",$I8,0)+IF(Settings!$B$48="Yes",$J8,0)+IF(Settings!$B$49="Yes",$K8,0)+IF(Settings!$B$50="Yes",$L8,0)+IF(Settings!$B$51="Yes",$M8,0)+IF(Settings!$B$52="Yes",$N8,0)+IF(Settings!$B$53="Yes",$O8,0)+IF(Settings!$B$54="Yes",$P8,0)+IF(Settings!$B$55="Yes",$Q8,0)+IF(Settings!$B$56="Yes",$R8,0))</f>
        <v/>
      </c>
      <c r="U8">
        <f>IF(Settings!$B$45="Not Sure",$G8,0)+IF(Settings!$B$46="Not Sure",$H8,0)+IF(Settings!$B$47="Not Sure",$I8,0)+IF(Settings!$B$48="Not Sure",$J8,0)+IF(Settings!$B$49="Not Sure",$K8,0)+IF(Settings!$B$50="Not Sure",$L8,0)+IF(Settings!$B$51="Not Sure",$M8,0)+IF(Settings!$B$52="Not Sure",$N8,0)+IF(Settings!$B$53="Not Sure",$O8,0)+IF(Settings!$B$54="Not Sure",$P8,0)+IF(Settings!$B$55="Not Sure",$Q8,0)+IF(Settings!$B$56="Not Sure",$R8,0)</f>
        <v/>
      </c>
      <c r="V8">
        <f>IF($E8="open",SUM($ET8:$FE8)+N(Settings!$B$13),0)</f>
        <v/>
      </c>
      <c r="W8">
        <f>IF($E8="post",$S8,IF($E8="open",$S8-$V8,0))</f>
        <v/>
      </c>
      <c r="X8">
        <f>SUMIFS(Giving!$B$7:$B$2006,Giving!$A$7:$A$2006,"&gt;="&amp;$A8,Giving!$A$7:$A$2006,"&lt;="&amp;$B8,Giving!$E$7:$E$2006,"&lt;&gt;No")</f>
        <v/>
      </c>
      <c r="Y8">
        <f>SUMIFS(Giving!$B$7:$B$2006,Giving!$A$7:$A$2006,"&gt;="&amp;$A8,Giving!$A$7:$A$2006,"&lt;="&amp;$B8,Giving!$E$7:$E$2006,"No")</f>
        <v/>
      </c>
      <c r="Z8">
        <f>IF(OR(Settings!$B$60="",Settings!$F$60="No"),0,Settings!$B$60*IF(AND(IF(Settings!$C$60="",$B8,DATE(YEAR($A8),MONTH($A8),MIN(Settings!$C$60,DAY($B8))))&gt;=MAX($A8,Settings!$D$60),IF(Settings!$C$60="",$B8,DATE(YEAR($A8),MONTH($A8),MIN(Settings!$C$60,DAY($B8))))&lt;=MIN($C8,IF(Settings!$E$60="",$C8,Settings!$E$60))),1,0))+IF(OR(Settings!$B$61="",Settings!$F$61="No"),0,Settings!$B$61*IF(AND(IF(Settings!$C$61="",$B8,DATE(YEAR($A8),MONTH($A8),MIN(Settings!$C$61,DAY($B8))))&gt;=MAX($A8,Settings!$D$61),IF(Settings!$C$61="",$B8,DATE(YEAR($A8),MONTH($A8),MIN(Settings!$C$61,DAY($B8))))&lt;=MIN($C8,IF(Settings!$E$61="",$C8,Settings!$E$61))),1,0))+IF(OR(Settings!$B$62="",Settings!$F$62="No"),0,Settings!$B$62*IF(AND(IF(Settings!$C$62="",$B8,DATE(YEAR($A8),MONTH($A8),MIN(Settings!$C$62,DAY($B8))))&gt;=MAX($A8,Settings!$D$62),IF(Settings!$C$62="",$B8,DATE(YEAR($A8),MONTH($A8),MIN(Settings!$C$62,DAY($B8))))&lt;=MIN($C8,IF(Settings!$E$62="",$C8,Settings!$E$62))),1,0))+IF(OR(Settings!$B$63="",Settings!$F$63="No"),0,Settings!$B$63*IF(AND(IF(Settings!$C$63="",$B8,DATE(YEAR($A8),MONTH($A8),MIN(Settings!$C$63,DAY($B8))))&gt;=MAX($A8,Settings!$D$63),IF(Settings!$C$63="",$B8,DATE(YEAR($A8),MONTH($A8),MIN(Settings!$C$63,DAY($B8))))&lt;=MIN($C8,IF(Settings!$E$63="",$C8,Settings!$E$63))),1,0))+IF(OR(Settings!$B$64="",Settings!$F$64="No"),0,Settings!$B$64*IF(AND(IF(Settings!$C$64="",$B8,DATE(YEAR($A8),MONTH($A8),MIN(Settings!$C$64,DAY($B8))))&gt;=MAX($A8,Settings!$D$64),IF(Settings!$C$64="",$B8,DATE(YEAR($A8),MONTH($A8),MIN(Settings!$C$64,DAY($B8))))&lt;=MIN($C8,IF(Settings!$E$64="",$C8,Settings!$E$64))),1,0))+IF(OR(Settings!$B$65="",Settings!$F$65="No"),0,Settings!$B$65*IF(AND(IF(Settings!$C$65="",$B8,DATE(YEAR($A8),MONTH($A8),MIN(Settings!$C$65,DAY($B8))))&gt;=MAX($A8,Settings!$D$65),IF(Settings!$C$65="",$B8,DATE(YEAR($A8),MONTH($A8),MIN(Settings!$C$65,DAY($B8))))&lt;=MIN($C8,IF(Settings!$E$65="",$C8,Settings!$E$65))),1,0))</f>
        <v/>
      </c>
      <c r="AA8">
        <f>$X8+$Z8</f>
        <v/>
      </c>
      <c r="AB8">
        <f>IF($E8="post",$AA8,IF($E8="open",SUMIFS(Giving!$B$7:$B$2006,Giving!$A$7:$A$2006,"&gt;"&amp;Settings!$B$5,Giving!$A$7:$A$2006,"&lt;="&amp;$B8,Giving!$E$7:$E$2006,"&lt;&gt;No")+IF(OR(Settings!$B$60="",Settings!$F$60="No"),0,Settings!$B$60*IF(AND(IF(Settings!$C$60="",$B8,DATE(YEAR($A8),MONTH($A8),MIN(Settings!$C$60,DAY($B8))))&gt;=MAX($A8,Settings!$D$60,Settings!$B$5+1),IF(Settings!$C$60="",$B8,DATE(YEAR($A8),MONTH($A8),MIN(Settings!$C$60,DAY($B8))))&lt;=MIN($C8,IF(Settings!$E$60="",$C8,Settings!$E$60))),1,0))+IF(OR(Settings!$B$61="",Settings!$F$61="No"),0,Settings!$B$61*IF(AND(IF(Settings!$C$61="",$B8,DATE(YEAR($A8),MONTH($A8),MIN(Settings!$C$61,DAY($B8))))&gt;=MAX($A8,Settings!$D$61,Settings!$B$5+1),IF(Settings!$C$61="",$B8,DATE(YEAR($A8),MONTH($A8),MIN(Settings!$C$61,DAY($B8))))&lt;=MIN($C8,IF(Settings!$E$61="",$C8,Settings!$E$61))),1,0))+IF(OR(Settings!$B$62="",Settings!$F$62="No"),0,Settings!$B$62*IF(AND(IF(Settings!$C$62="",$B8,DATE(YEAR($A8),MONTH($A8),MIN(Settings!$C$62,DAY($B8))))&gt;=MAX($A8,Settings!$D$62,Settings!$B$5+1),IF(Settings!$C$62="",$B8,DATE(YEAR($A8),MONTH($A8),MIN(Settings!$C$62,DAY($B8))))&lt;=MIN($C8,IF(Settings!$E$62="",$C8,Settings!$E$62))),1,0))+IF(OR(Settings!$B$63="",Settings!$F$63="No"),0,Settings!$B$63*IF(AND(IF(Settings!$C$63="",$B8,DATE(YEAR($A8),MONTH($A8),MIN(Settings!$C$63,DAY($B8))))&gt;=MAX($A8,Settings!$D$63,Settings!$B$5+1),IF(Settings!$C$63="",$B8,DATE(YEAR($A8),MONTH($A8),MIN(Settings!$C$63,DAY($B8))))&lt;=MIN($C8,IF(Settings!$E$63="",$C8,Settings!$E$63))),1,0))+IF(OR(Settings!$B$64="",Settings!$F$64="No"),0,Settings!$B$64*IF(AND(IF(Settings!$C$64="",$B8,DATE(YEAR($A8),MONTH($A8),MIN(Settings!$C$64,DAY($B8))))&gt;=MAX($A8,Settings!$D$64,Settings!$B$5+1),IF(Settings!$C$64="",$B8,DATE(YEAR($A8),MONTH($A8),MIN(Settings!$C$64,DAY($B8))))&lt;=MIN($C8,IF(Settings!$E$64="",$C8,Settings!$E$64))),1,0))+IF(OR(Settings!$B$65="",Settings!$F$65="No"),0,Settings!$B$65*IF(AND(IF(Settings!$C$65="",$B8,DATE(YEAR($A8),MONTH($A8),MIN(Settings!$C$65,DAY($B8))))&gt;=MAX($A8,Settings!$D$65,Settings!$B$5+1),IF(Settings!$C$65="",$B8,DATE(YEAR($A8),MONTH($A8),MIN(Settings!$C$65,DAY($B8))))&lt;=MIN($C8,IF(Settings!$E$65="",$C8,Settings!$E$65))),1,0)),0))</f>
        <v/>
      </c>
      <c r="AC8">
        <f>$AY8+$AZ8+$BA8+$BB8+$BC8+$BD8</f>
        <v/>
      </c>
      <c r="AD8">
        <f>$AC8</f>
        <v/>
      </c>
      <c r="AE8">
        <f>IF(OR(Settings!$A$19="",$E8="pre"),"",IF(AND('Month-End'!$E$7&lt;&gt;"",NOT(_xlfn.ISFORMULA('Month-End'!$E$7))),N('Month-End'!$E$7),IF(OR($E8="open",$E7="pre"),N(Settings!$C$19),N($AE7))))</f>
        <v/>
      </c>
      <c r="AF8">
        <f>IF(OR(Settings!$A$20="",$E8="pre"),"",IF(AND('Month-End'!$E$8&lt;&gt;"",NOT(_xlfn.ISFORMULA('Month-End'!$E$8))),N('Month-End'!$E$8),IF(OR($E8="open",$E7="pre"),N(Settings!$C$20),N($AF7))))</f>
        <v/>
      </c>
      <c r="AG8">
        <f>IF(OR(Settings!$A$21="",$E8="pre"),"",IF(AND('Month-End'!$E$9&lt;&gt;"",NOT(_xlfn.ISFORMULA('Month-End'!$E$9))),N('Month-End'!$E$9),IF(OR($E8="open",$E7="pre"),N(Settings!$C$21),N($AG7))))</f>
        <v/>
      </c>
      <c r="AH8">
        <f>IF(OR(Settings!$A$22="",$E8="pre"),"",IF(AND('Month-End'!$E$10&lt;&gt;"",NOT(_xlfn.ISFORMULA('Month-End'!$E$10))),N('Month-End'!$E$10),IF(OR($E8="open",$E7="pre"),N(Settings!$C$22),N($AH7))))</f>
        <v/>
      </c>
      <c r="AI8">
        <f>IF(OR(Settings!$A$23="",$E8="pre"),"",IF(AND('Month-End'!$E$11&lt;&gt;"",NOT(_xlfn.ISFORMULA('Month-End'!$E$11))),N('Month-End'!$E$11),IF(OR($E8="open",$E7="pre"),N(Settings!$C$23),N($AI7))))</f>
        <v/>
      </c>
      <c r="AJ8">
        <f>IF(OR(Settings!$A$24="",$E8="pre"),"",IF(AND('Month-End'!$E$12&lt;&gt;"",NOT(_xlfn.ISFORMULA('Month-End'!$E$12))),N('Month-End'!$E$12),IF(OR($E8="open",$E7="pre"),N(Settings!$C$24),N($AJ7))))</f>
        <v/>
      </c>
      <c r="AK8">
        <f>IF(OR(Settings!$A$25="",$E8="pre"),"",IF(AND('Month-End'!$E$13&lt;&gt;"",NOT(_xlfn.ISFORMULA('Month-End'!$E$13))),N('Month-End'!$E$13),IF(OR($E8="open",$E7="pre"),N(Settings!$C$25),N($AK7))))</f>
        <v/>
      </c>
      <c r="AL8">
        <f>IF(OR(Settings!$A$26="",$E8="pre"),"",IF(AND('Month-End'!$E$14&lt;&gt;"",NOT(_xlfn.ISFORMULA('Month-End'!$E$14))),N('Month-End'!$E$14),IF(OR($E8="open",$E7="pre"),N(Settings!$C$26),N($AL7))))</f>
        <v/>
      </c>
      <c r="AM8">
        <f>IF(OR(Settings!$A$27="",$E8="pre"),"",IF(AND('Month-End'!$E$15&lt;&gt;"",NOT(_xlfn.ISFORMULA('Month-End'!$E$15))),N('Month-End'!$E$15),IF(OR($E8="open",$E7="pre"),N(Settings!$C$27),N($AM7))))</f>
        <v/>
      </c>
      <c r="AN8">
        <f>IF(OR(Settings!$A$28="",$E8="pre"),"",IF(AND('Month-End'!$E$16&lt;&gt;"",NOT(_xlfn.ISFORMULA('Month-End'!$E$16))),N('Month-End'!$E$16),IF(OR($E8="open",$E7="pre"),N(Settings!$C$28),N($AN7))))</f>
        <v/>
      </c>
      <c r="AO8">
        <f>IF(OR(Settings!$A$29="",$E8="pre"),"",IF(AND('Month-End'!$E$17&lt;&gt;"",NOT(_xlfn.ISFORMULA('Month-End'!$E$17))),N('Month-End'!$E$17),IF(OR($E8="open",$E7="pre"),N(Settings!$C$29),N($AO7))))</f>
        <v/>
      </c>
      <c r="AP8">
        <f>IF(OR(Settings!$A$30="",$E8="pre"),"",IF(AND('Month-End'!$E$18&lt;&gt;"",NOT(_xlfn.ISFORMULA('Month-End'!$E$18))),N('Month-End'!$E$18),IF(OR($E8="open",$E7="pre"),N(Settings!$C$30),N($AP7))))</f>
        <v/>
      </c>
      <c r="AQ8">
        <f>IF(OR(Settings!$A$31="",$E8="pre"),"",IF(AND('Month-End'!$E$19&lt;&gt;"",NOT(_xlfn.ISFORMULA('Month-End'!$E$19))),N('Month-End'!$E$19),IF(OR($E8="open",$E7="pre"),N(Settings!$C$31),N($AQ7))))</f>
        <v/>
      </c>
      <c r="AR8">
        <f>IF(OR(Settings!$A$32="",$E8="pre"),"",IF(AND('Month-End'!$E$20&lt;&gt;"",NOT(_xlfn.ISFORMULA('Month-End'!$E$20))),N('Month-End'!$E$20),IF(OR($E8="open",$E7="pre"),N(Settings!$C$32),N($AR7))))</f>
        <v/>
      </c>
      <c r="AS8">
        <f>IF(OR(Settings!$A$36="",$E8="pre"),"",IF(AND('Month-End'!$E$38&lt;&gt;"",NOT(_xlfn.ISFORMULA('Month-End'!$E$38))),N('Month-End'!$E$38),IF(OR($E8="open",$E7="pre"),N(Settings!$C$36),N($AS7))+$AY8))</f>
        <v/>
      </c>
      <c r="AT8">
        <f>IF(OR(Settings!$A$37="",$E8="pre"),"",IF(AND('Month-End'!$E$39&lt;&gt;"",NOT(_xlfn.ISFORMULA('Month-End'!$E$39))),N('Month-End'!$E$39),IF(OR($E8="open",$E7="pre"),N(Settings!$C$37),N($AT7))+$AZ8))</f>
        <v/>
      </c>
      <c r="AU8">
        <f>IF(OR(Settings!$A$38="",$E8="pre"),"",IF(AND('Month-End'!$E$40&lt;&gt;"",NOT(_xlfn.ISFORMULA('Month-End'!$E$40))),N('Month-End'!$E$40),IF(OR($E8="open",$E7="pre"),N(Settings!$C$38),N($AU7))+$BA8))</f>
        <v/>
      </c>
      <c r="AV8">
        <f>IF(OR(Settings!$A$39="",$E8="pre"),"",IF(AND('Month-End'!$E$41&lt;&gt;"",NOT(_xlfn.ISFORMULA('Month-End'!$E$41))),N('Month-End'!$E$41),IF(OR($E8="open",$E7="pre"),N(Settings!$C$39),N($AV7))+$BB8))</f>
        <v/>
      </c>
      <c r="AW8">
        <f>IF(OR(Settings!$A$40="",$E8="pre"),"",IF(AND('Month-End'!$E$42&lt;&gt;"",NOT(_xlfn.ISFORMULA('Month-End'!$E$42))),N('Month-End'!$E$42),IF(OR($E8="open",$E7="pre"),N(Settings!$C$40),N($AW7))+$BC8))</f>
        <v/>
      </c>
      <c r="AX8">
        <f>IF(OR(Settings!$A$41="",$E8="pre"),"",IF(AND('Month-End'!$E$43&lt;&gt;"",NOT(_xlfn.ISFORMULA('Month-End'!$E$43))),N('Month-End'!$E$43),IF(OR($E8="open",$E7="pre"),N(Settings!$C$41),N($AX7))+$BD8))</f>
        <v/>
      </c>
      <c r="AY8">
        <f>IF($E8="pre",0,N('Month-End'!$E$45))</f>
        <v/>
      </c>
      <c r="AZ8">
        <f>IF($E8="pre",0,N('Month-End'!$E$46))</f>
        <v/>
      </c>
      <c r="BA8">
        <f>IF($E8="pre",0,N('Month-End'!$E$47))</f>
        <v/>
      </c>
      <c r="BB8">
        <f>IF($E8="pre",0,N('Month-End'!$E$48))</f>
        <v/>
      </c>
      <c r="BC8">
        <f>IF($E8="pre",0,N('Month-End'!$E$49))</f>
        <v/>
      </c>
      <c r="BD8">
        <f>IF($E8="pre",0,N('Month-End'!$E$50))</f>
        <v/>
      </c>
      <c r="BE8">
        <f>IF(OR(Settings!$C$45="",Settings!$D$45=""),0,Settings!$C$45*IF(Settings!$D$45="Weekly",IF(IFERROR(MATCH(Settings!$E$45,$EO$4:$EO$10,0),0)=0,0,IF(MIN($C8,IF(Settings!$G$45="",$C8,Settings!$G$45))&lt;MAX($A8,Settings!$F$45),0,INT((MIN($C8,IF(Settings!$G$45="",$C8,Settings!$G$45))-MAX($A8,Settings!$F$45)-MOD(IFERROR(MATCH(Settings!$E$45,$EO$4:$EO$10,0),0)-WEEKDAY(MAX($A8,Settings!$F$45)),7))/7)+1)),IF(AND(IF(Settings!$E$45="",$B8,DATE(YEAR($A8),MONTH($A8),MIN(Settings!$E$45,DAY($B8))))&gt;=MAX($A8,Settings!$F$45),IF(Settings!$E$45="",$B8,DATE(YEAR($A8),MONTH($A8),MIN(Settings!$E$45,DAY($B8))))&lt;=MIN($C8,IF(Settings!$G$45="",$C8,Settings!$G$45))),1,0)))</f>
        <v/>
      </c>
      <c r="BF8">
        <f>IF(OR(Settings!$C$46="",Settings!$D$46=""),0,Settings!$C$46*IF(Settings!$D$46="Weekly",IF(IFERROR(MATCH(Settings!$E$46,$EO$4:$EO$10,0),0)=0,0,IF(MIN($C8,IF(Settings!$G$46="",$C8,Settings!$G$46))&lt;MAX($A8,Settings!$F$46),0,INT((MIN($C8,IF(Settings!$G$46="",$C8,Settings!$G$46))-MAX($A8,Settings!$F$46)-MOD(IFERROR(MATCH(Settings!$E$46,$EO$4:$EO$10,0),0)-WEEKDAY(MAX($A8,Settings!$F$46)),7))/7)+1)),IF(AND(IF(Settings!$E$46="",$B8,DATE(YEAR($A8),MONTH($A8),MIN(Settings!$E$46,DAY($B8))))&gt;=MAX($A8,Settings!$F$46),IF(Settings!$E$46="",$B8,DATE(YEAR($A8),MONTH($A8),MIN(Settings!$E$46,DAY($B8))))&lt;=MIN($C8,IF(Settings!$G$46="",$C8,Settings!$G$46))),1,0)))</f>
        <v/>
      </c>
      <c r="BG8">
        <f>IF(OR(Settings!$C$47="",Settings!$D$47=""),0,Settings!$C$47*IF(Settings!$D$47="Weekly",IF(IFERROR(MATCH(Settings!$E$47,$EO$4:$EO$10,0),0)=0,0,IF(MIN($C8,IF(Settings!$G$47="",$C8,Settings!$G$47))&lt;MAX($A8,Settings!$F$47),0,INT((MIN($C8,IF(Settings!$G$47="",$C8,Settings!$G$47))-MAX($A8,Settings!$F$47)-MOD(IFERROR(MATCH(Settings!$E$47,$EO$4:$EO$10,0),0)-WEEKDAY(MAX($A8,Settings!$F$47)),7))/7)+1)),IF(AND(IF(Settings!$E$47="",$B8,DATE(YEAR($A8),MONTH($A8),MIN(Settings!$E$47,DAY($B8))))&gt;=MAX($A8,Settings!$F$47),IF(Settings!$E$47="",$B8,DATE(YEAR($A8),MONTH($A8),MIN(Settings!$E$47,DAY($B8))))&lt;=MIN($C8,IF(Settings!$G$47="",$C8,Settings!$G$47))),1,0)))</f>
        <v/>
      </c>
      <c r="BH8">
        <f>IF(OR(Settings!$C$48="",Settings!$D$48=""),0,Settings!$C$48*IF(Settings!$D$48="Weekly",IF(IFERROR(MATCH(Settings!$E$48,$EO$4:$EO$10,0),0)=0,0,IF(MIN($C8,IF(Settings!$G$48="",$C8,Settings!$G$48))&lt;MAX($A8,Settings!$F$48),0,INT((MIN($C8,IF(Settings!$G$48="",$C8,Settings!$G$48))-MAX($A8,Settings!$F$48)-MOD(IFERROR(MATCH(Settings!$E$48,$EO$4:$EO$10,0),0)-WEEKDAY(MAX($A8,Settings!$F$48)),7))/7)+1)),IF(AND(IF(Settings!$E$48="",$B8,DATE(YEAR($A8),MONTH($A8),MIN(Settings!$E$48,DAY($B8))))&gt;=MAX($A8,Settings!$F$48),IF(Settings!$E$48="",$B8,DATE(YEAR($A8),MONTH($A8),MIN(Settings!$E$48,DAY($B8))))&lt;=MIN($C8,IF(Settings!$G$48="",$C8,Settings!$G$48))),1,0)))</f>
        <v/>
      </c>
      <c r="BI8">
        <f>IF(OR(Settings!$C$49="",Settings!$D$49=""),0,Settings!$C$49*IF(Settings!$D$49="Weekly",IF(IFERROR(MATCH(Settings!$E$49,$EO$4:$EO$10,0),0)=0,0,IF(MIN($C8,IF(Settings!$G$49="",$C8,Settings!$G$49))&lt;MAX($A8,Settings!$F$49),0,INT((MIN($C8,IF(Settings!$G$49="",$C8,Settings!$G$49))-MAX($A8,Settings!$F$49)-MOD(IFERROR(MATCH(Settings!$E$49,$EO$4:$EO$10,0),0)-WEEKDAY(MAX($A8,Settings!$F$49)),7))/7)+1)),IF(AND(IF(Settings!$E$49="",$B8,DATE(YEAR($A8),MONTH($A8),MIN(Settings!$E$49,DAY($B8))))&gt;=MAX($A8,Settings!$F$49),IF(Settings!$E$49="",$B8,DATE(YEAR($A8),MONTH($A8),MIN(Settings!$E$49,DAY($B8))))&lt;=MIN($C8,IF(Settings!$G$49="",$C8,Settings!$G$49))),1,0)))</f>
        <v/>
      </c>
      <c r="BJ8">
        <f>IF(OR(Settings!$C$50="",Settings!$D$50=""),0,Settings!$C$50*IF(Settings!$D$50="Weekly",IF(IFERROR(MATCH(Settings!$E$50,$EO$4:$EO$10,0),0)=0,0,IF(MIN($C8,IF(Settings!$G$50="",$C8,Settings!$G$50))&lt;MAX($A8,Settings!$F$50),0,INT((MIN($C8,IF(Settings!$G$50="",$C8,Settings!$G$50))-MAX($A8,Settings!$F$50)-MOD(IFERROR(MATCH(Settings!$E$50,$EO$4:$EO$10,0),0)-WEEKDAY(MAX($A8,Settings!$F$50)),7))/7)+1)),IF(AND(IF(Settings!$E$50="",$B8,DATE(YEAR($A8),MONTH($A8),MIN(Settings!$E$50,DAY($B8))))&gt;=MAX($A8,Settings!$F$50),IF(Settings!$E$50="",$B8,DATE(YEAR($A8),MONTH($A8),MIN(Settings!$E$50,DAY($B8))))&lt;=MIN($C8,IF(Settings!$G$50="",$C8,Settings!$G$50))),1,0)))</f>
        <v/>
      </c>
      <c r="BK8">
        <f>IF(OR(Settings!$C$51="",Settings!$D$51=""),0,Settings!$C$51*IF(Settings!$D$51="Weekly",IF(IFERROR(MATCH(Settings!$E$51,$EO$4:$EO$10,0),0)=0,0,IF(MIN($C8,IF(Settings!$G$51="",$C8,Settings!$G$51))&lt;MAX($A8,Settings!$F$51),0,INT((MIN($C8,IF(Settings!$G$51="",$C8,Settings!$G$51))-MAX($A8,Settings!$F$51)-MOD(IFERROR(MATCH(Settings!$E$51,$EO$4:$EO$10,0),0)-WEEKDAY(MAX($A8,Settings!$F$51)),7))/7)+1)),IF(AND(IF(Settings!$E$51="",$B8,DATE(YEAR($A8),MONTH($A8),MIN(Settings!$E$51,DAY($B8))))&gt;=MAX($A8,Settings!$F$51),IF(Settings!$E$51="",$B8,DATE(YEAR($A8),MONTH($A8),MIN(Settings!$E$51,DAY($B8))))&lt;=MIN($C8,IF(Settings!$G$51="",$C8,Settings!$G$51))),1,0)))</f>
        <v/>
      </c>
      <c r="BL8">
        <f>IF(OR(Settings!$C$52="",Settings!$D$52=""),0,Settings!$C$52*IF(Settings!$D$52="Weekly",IF(IFERROR(MATCH(Settings!$E$52,$EO$4:$EO$10,0),0)=0,0,IF(MIN($C8,IF(Settings!$G$52="",$C8,Settings!$G$52))&lt;MAX($A8,Settings!$F$52),0,INT((MIN($C8,IF(Settings!$G$52="",$C8,Settings!$G$52))-MAX($A8,Settings!$F$52)-MOD(IFERROR(MATCH(Settings!$E$52,$EO$4:$EO$10,0),0)-WEEKDAY(MAX($A8,Settings!$F$52)),7))/7)+1)),IF(AND(IF(Settings!$E$52="",$B8,DATE(YEAR($A8),MONTH($A8),MIN(Settings!$E$52,DAY($B8))))&gt;=MAX($A8,Settings!$F$52),IF(Settings!$E$52="",$B8,DATE(YEAR($A8),MONTH($A8),MIN(Settings!$E$52,DAY($B8))))&lt;=MIN($C8,IF(Settings!$G$52="",$C8,Settings!$G$52))),1,0)))</f>
        <v/>
      </c>
      <c r="BM8">
        <f>IF(OR(Settings!$C$53="",Settings!$D$53=""),0,Settings!$C$53*IF(Settings!$D$53="Weekly",IF(IFERROR(MATCH(Settings!$E$53,$EO$4:$EO$10,0),0)=0,0,IF(MIN($C8,IF(Settings!$G$53="",$C8,Settings!$G$53))&lt;MAX($A8,Settings!$F$53),0,INT((MIN($C8,IF(Settings!$G$53="",$C8,Settings!$G$53))-MAX($A8,Settings!$F$53)-MOD(IFERROR(MATCH(Settings!$E$53,$EO$4:$EO$10,0),0)-WEEKDAY(MAX($A8,Settings!$F$53)),7))/7)+1)),IF(AND(IF(Settings!$E$53="",$B8,DATE(YEAR($A8),MONTH($A8),MIN(Settings!$E$53,DAY($B8))))&gt;=MAX($A8,Settings!$F$53),IF(Settings!$E$53="",$B8,DATE(YEAR($A8),MONTH($A8),MIN(Settings!$E$53,DAY($B8))))&lt;=MIN($C8,IF(Settings!$G$53="",$C8,Settings!$G$53))),1,0)))</f>
        <v/>
      </c>
      <c r="BN8">
        <f>IF(OR(Settings!$C$54="",Settings!$D$54=""),0,Settings!$C$54*IF(Settings!$D$54="Weekly",IF(IFERROR(MATCH(Settings!$E$54,$EO$4:$EO$10,0),0)=0,0,IF(MIN($C8,IF(Settings!$G$54="",$C8,Settings!$G$54))&lt;MAX($A8,Settings!$F$54),0,INT((MIN($C8,IF(Settings!$G$54="",$C8,Settings!$G$54))-MAX($A8,Settings!$F$54)-MOD(IFERROR(MATCH(Settings!$E$54,$EO$4:$EO$10,0),0)-WEEKDAY(MAX($A8,Settings!$F$54)),7))/7)+1)),IF(AND(IF(Settings!$E$54="",$B8,DATE(YEAR($A8),MONTH($A8),MIN(Settings!$E$54,DAY($B8))))&gt;=MAX($A8,Settings!$F$54),IF(Settings!$E$54="",$B8,DATE(YEAR($A8),MONTH($A8),MIN(Settings!$E$54,DAY($B8))))&lt;=MIN($C8,IF(Settings!$G$54="",$C8,Settings!$G$54))),1,0)))</f>
        <v/>
      </c>
      <c r="BO8">
        <f>IF(OR(Settings!$C$55="",Settings!$D$55=""),0,Settings!$C$55*IF(Settings!$D$55="Weekly",IF(IFERROR(MATCH(Settings!$E$55,$EO$4:$EO$10,0),0)=0,0,IF(MIN($C8,IF(Settings!$G$55="",$C8,Settings!$G$55))&lt;MAX($A8,Settings!$F$55),0,INT((MIN($C8,IF(Settings!$G$55="",$C8,Settings!$G$55))-MAX($A8,Settings!$F$55)-MOD(IFERROR(MATCH(Settings!$E$55,$EO$4:$EO$10,0),0)-WEEKDAY(MAX($A8,Settings!$F$55)),7))/7)+1)),IF(AND(IF(Settings!$E$55="",$B8,DATE(YEAR($A8),MONTH($A8),MIN(Settings!$E$55,DAY($B8))))&gt;=MAX($A8,Settings!$F$55),IF(Settings!$E$55="",$B8,DATE(YEAR($A8),MONTH($A8),MIN(Settings!$E$55,DAY($B8))))&lt;=MIN($C8,IF(Settings!$G$55="",$C8,Settings!$G$55))),1,0)))</f>
        <v/>
      </c>
      <c r="BP8">
        <f>IF(OR(Settings!$C$56="",Settings!$D$56=""),0,Settings!$C$56*IF(Settings!$D$56="Weekly",IF(IFERROR(MATCH(Settings!$E$56,$EO$4:$EO$10,0),0)=0,0,IF(MIN($C8,IF(Settings!$G$56="",$C8,Settings!$G$56))&lt;MAX($A8,Settings!$F$56),0,INT((MIN($C8,IF(Settings!$G$56="",$C8,Settings!$G$56))-MAX($A8,Settings!$F$56)-MOD(IFERROR(MATCH(Settings!$E$56,$EO$4:$EO$10,0),0)-WEEKDAY(MAX($A8,Settings!$F$56)),7))/7)+1)),IF(AND(IF(Settings!$E$56="",$B8,DATE(YEAR($A8),MONTH($A8),MIN(Settings!$E$56,DAY($B8))))&gt;=MAX($A8,Settings!$F$56),IF(Settings!$E$56="",$B8,DATE(YEAR($A8),MONTH($A8),MIN(Settings!$E$56,DAY($B8))))&lt;=MIN($C8,IF(Settings!$G$56="",$C8,Settings!$G$56))),1,0)))</f>
        <v/>
      </c>
      <c r="BQ8">
        <f>IF(OR(Settings!$B$14="",$D8=1,$E8="pre",$A8&lt;IF(Settings!$B$15="",0,Settings!$B$15)),0,Settings!$B$14)</f>
        <v/>
      </c>
      <c r="BR8">
        <f>IF(AND('Month-End'!$E$7&lt;&gt;"",NOT(_xlfn.ISFORMULA('Month-End'!$E$7))),1,0)</f>
        <v/>
      </c>
      <c r="BS8">
        <f>IF(AND('Month-End'!$E$8&lt;&gt;"",NOT(_xlfn.ISFORMULA('Month-End'!$E$8))),1,0)</f>
        <v/>
      </c>
      <c r="BT8">
        <f>IF(AND('Month-End'!$E$9&lt;&gt;"",NOT(_xlfn.ISFORMULA('Month-End'!$E$9))),1,0)</f>
        <v/>
      </c>
      <c r="BU8">
        <f>IF(AND('Month-End'!$E$10&lt;&gt;"",NOT(_xlfn.ISFORMULA('Month-End'!$E$10))),1,0)</f>
        <v/>
      </c>
      <c r="BV8">
        <f>IF(AND('Month-End'!$E$11&lt;&gt;"",NOT(_xlfn.ISFORMULA('Month-End'!$E$11))),1,0)</f>
        <v/>
      </c>
      <c r="BW8">
        <f>IF(AND('Month-End'!$E$12&lt;&gt;"",NOT(_xlfn.ISFORMULA('Month-End'!$E$12))),1,0)</f>
        <v/>
      </c>
      <c r="BX8">
        <f>IF(AND('Month-End'!$E$13&lt;&gt;"",NOT(_xlfn.ISFORMULA('Month-End'!$E$13))),1,0)</f>
        <v/>
      </c>
      <c r="BY8">
        <f>IF(AND('Month-End'!$E$14&lt;&gt;"",NOT(_xlfn.ISFORMULA('Month-End'!$E$14))),1,0)</f>
        <v/>
      </c>
      <c r="BZ8">
        <f>IF(AND('Month-End'!$E$15&lt;&gt;"",NOT(_xlfn.ISFORMULA('Month-End'!$E$15))),1,0)</f>
        <v/>
      </c>
      <c r="CA8">
        <f>IF(AND('Month-End'!$E$16&lt;&gt;"",NOT(_xlfn.ISFORMULA('Month-End'!$E$16))),1,0)</f>
        <v/>
      </c>
      <c r="CB8">
        <f>IF(AND('Month-End'!$E$17&lt;&gt;"",NOT(_xlfn.ISFORMULA('Month-End'!$E$17))),1,0)</f>
        <v/>
      </c>
      <c r="CC8">
        <f>IF(AND('Month-End'!$E$18&lt;&gt;"",NOT(_xlfn.ISFORMULA('Month-End'!$E$18))),1,0)</f>
        <v/>
      </c>
      <c r="CD8">
        <f>IF(AND('Month-End'!$E$19&lt;&gt;"",NOT(_xlfn.ISFORMULA('Month-End'!$E$19))),1,0)</f>
        <v/>
      </c>
      <c r="CE8">
        <f>IF(AND('Month-End'!$E$20&lt;&gt;"",NOT(_xlfn.ISFORMULA('Month-End'!$E$20))),1,0)</f>
        <v/>
      </c>
      <c r="CF8">
        <f>IF(AND('Month-End'!$E$38&lt;&gt;"",NOT(_xlfn.ISFORMULA('Month-End'!$E$38))),1,0)</f>
        <v/>
      </c>
      <c r="CG8">
        <f>IF(AND('Month-End'!$E$39&lt;&gt;"",NOT(_xlfn.ISFORMULA('Month-End'!$E$39))),1,0)</f>
        <v/>
      </c>
      <c r="CH8">
        <f>IF(AND('Month-End'!$E$40&lt;&gt;"",NOT(_xlfn.ISFORMULA('Month-End'!$E$40))),1,0)</f>
        <v/>
      </c>
      <c r="CI8">
        <f>IF(AND('Month-End'!$E$41&lt;&gt;"",NOT(_xlfn.ISFORMULA('Month-End'!$E$41))),1,0)</f>
        <v/>
      </c>
      <c r="CJ8">
        <f>IF(AND('Month-End'!$E$42&lt;&gt;"",NOT(_xlfn.ISFORMULA('Month-End'!$E$42))),1,0)</f>
        <v/>
      </c>
      <c r="CK8">
        <f>IF(AND('Month-End'!$E$43&lt;&gt;"",NOT(_xlfn.ISFORMULA('Month-End'!$E$43))),1,0)</f>
        <v/>
      </c>
      <c r="CL8">
        <f>SUM($CM8:$CZ8)</f>
        <v/>
      </c>
      <c r="CM8">
        <f>IF(AND($E8&lt;&gt;"pre",AND(Settings!$A$19&lt;&gt;"",Settings!$E$19&lt;&gt;"No"),Settings!$F$19="Yes",NOT(AND('Month-End'!$E$7&lt;&gt;"",NOT(_xlfn.ISFORMULA('Month-End'!$E$7))))),1,0)</f>
        <v/>
      </c>
      <c r="CN8">
        <f>IF(AND($E8&lt;&gt;"pre",AND(Settings!$A$20&lt;&gt;"",Settings!$E$20&lt;&gt;"No"),Settings!$F$20="Yes",NOT(AND('Month-End'!$E$8&lt;&gt;"",NOT(_xlfn.ISFORMULA('Month-End'!$E$8))))),1,0)</f>
        <v/>
      </c>
      <c r="CO8">
        <f>IF(AND($E8&lt;&gt;"pre",AND(Settings!$A$21&lt;&gt;"",Settings!$E$21&lt;&gt;"No"),Settings!$F$21="Yes",NOT(AND('Month-End'!$E$9&lt;&gt;"",NOT(_xlfn.ISFORMULA('Month-End'!$E$9))))),1,0)</f>
        <v/>
      </c>
      <c r="CP8">
        <f>IF(AND($E8&lt;&gt;"pre",AND(Settings!$A$22&lt;&gt;"",Settings!$E$22&lt;&gt;"No"),Settings!$F$22="Yes",NOT(AND('Month-End'!$E$10&lt;&gt;"",NOT(_xlfn.ISFORMULA('Month-End'!$E$10))))),1,0)</f>
        <v/>
      </c>
      <c r="CQ8">
        <f>IF(AND($E8&lt;&gt;"pre",AND(Settings!$A$23&lt;&gt;"",Settings!$E$23&lt;&gt;"No"),Settings!$F$23="Yes",NOT(AND('Month-End'!$E$11&lt;&gt;"",NOT(_xlfn.ISFORMULA('Month-End'!$E$11))))),1,0)</f>
        <v/>
      </c>
      <c r="CR8">
        <f>IF(AND($E8&lt;&gt;"pre",AND(Settings!$A$24&lt;&gt;"",Settings!$E$24&lt;&gt;"No"),Settings!$F$24="Yes",NOT(AND('Month-End'!$E$12&lt;&gt;"",NOT(_xlfn.ISFORMULA('Month-End'!$E$12))))),1,0)</f>
        <v/>
      </c>
      <c r="CS8">
        <f>IF(AND($E8&lt;&gt;"pre",AND(Settings!$A$25&lt;&gt;"",Settings!$E$25&lt;&gt;"No"),Settings!$F$25="Yes",NOT(AND('Month-End'!$E$13&lt;&gt;"",NOT(_xlfn.ISFORMULA('Month-End'!$E$13))))),1,0)</f>
        <v/>
      </c>
      <c r="CT8">
        <f>IF(AND($E8&lt;&gt;"pre",AND(Settings!$A$26&lt;&gt;"",Settings!$E$26&lt;&gt;"No"),Settings!$F$26="Yes",NOT(AND('Month-End'!$E$14&lt;&gt;"",NOT(_xlfn.ISFORMULA('Month-End'!$E$14))))),1,0)</f>
        <v/>
      </c>
      <c r="CU8">
        <f>IF(AND($E8&lt;&gt;"pre",AND(Settings!$A$27&lt;&gt;"",Settings!$E$27&lt;&gt;"No"),Settings!$F$27="Yes",NOT(AND('Month-End'!$E$15&lt;&gt;"",NOT(_xlfn.ISFORMULA('Month-End'!$E$15))))),1,0)</f>
        <v/>
      </c>
      <c r="CV8">
        <f>IF(AND($E8&lt;&gt;"pre",AND(Settings!$A$28&lt;&gt;"",Settings!$E$28&lt;&gt;"No"),Settings!$F$28="Yes",NOT(AND('Month-End'!$E$16&lt;&gt;"",NOT(_xlfn.ISFORMULA('Month-End'!$E$16))))),1,0)</f>
        <v/>
      </c>
      <c r="CW8">
        <f>IF(AND($E8&lt;&gt;"pre",AND(Settings!$A$29&lt;&gt;"",Settings!$E$29&lt;&gt;"No"),Settings!$F$29="Yes",NOT(AND('Month-End'!$E$17&lt;&gt;"",NOT(_xlfn.ISFORMULA('Month-End'!$E$17))))),1,0)</f>
        <v/>
      </c>
      <c r="CX8">
        <f>IF(AND($E8&lt;&gt;"pre",AND(Settings!$A$30&lt;&gt;"",Settings!$E$30&lt;&gt;"No"),Settings!$F$30="Yes",NOT(AND('Month-End'!$E$18&lt;&gt;"",NOT(_xlfn.ISFORMULA('Month-End'!$E$18))))),1,0)</f>
        <v/>
      </c>
      <c r="CY8">
        <f>IF(AND($E8&lt;&gt;"pre",AND(Settings!$A$31&lt;&gt;"",Settings!$E$31&lt;&gt;"No"),Settings!$F$31="Yes",NOT(AND('Month-End'!$E$19&lt;&gt;"",NOT(_xlfn.ISFORMULA('Month-End'!$E$19))))),1,0)</f>
        <v/>
      </c>
      <c r="CZ8">
        <f>IF(AND($E8&lt;&gt;"pre",AND(Settings!$A$32&lt;&gt;"",Settings!$E$32&lt;&gt;"No"),Settings!$F$32="Yes",NOT(AND('Month-End'!$E$20&lt;&gt;"",NOT(_xlfn.ISFORMULA('Month-End'!$E$20))))),1,0)</f>
        <v/>
      </c>
      <c r="DA8">
        <f>IF($DT8=1,IF(OR(Settings!$B$19="Checking",Settings!$B$19="Savings",Settings!$B$19="Cash"),N($AE8),IF(OR(Settings!$B$19="Card",Settings!$B$19="Loan"),-N($AE8),0))+IF(OR(Settings!$B$20="Checking",Settings!$B$20="Savings",Settings!$B$20="Cash"),N($AF8),IF(OR(Settings!$B$20="Card",Settings!$B$20="Loan"),-N($AF8),0))+IF(OR(Settings!$B$21="Checking",Settings!$B$21="Savings",Settings!$B$21="Cash"),N($AG8),IF(OR(Settings!$B$21="Card",Settings!$B$21="Loan"),-N($AG8),0))+IF(OR(Settings!$B$22="Checking",Settings!$B$22="Savings",Settings!$B$22="Cash"),N($AH8),IF(OR(Settings!$B$22="Card",Settings!$B$22="Loan"),-N($AH8),0))+IF(OR(Settings!$B$23="Checking",Settings!$B$23="Savings",Settings!$B$23="Cash"),N($AI8),IF(OR(Settings!$B$23="Card",Settings!$B$23="Loan"),-N($AI8),0))+IF(OR(Settings!$B$24="Checking",Settings!$B$24="Savings",Settings!$B$24="Cash"),N($AJ8),IF(OR(Settings!$B$24="Card",Settings!$B$24="Loan"),-N($AJ8),0))+IF(OR(Settings!$B$25="Checking",Settings!$B$25="Savings",Settings!$B$25="Cash"),N($AK8),IF(OR(Settings!$B$25="Card",Settings!$B$25="Loan"),-N($AK8),0))+IF(OR(Settings!$B$26="Checking",Settings!$B$26="Savings",Settings!$B$26="Cash"),N($AL8),IF(OR(Settings!$B$26="Card",Settings!$B$26="Loan"),-N($AL8),0))+IF(OR(Settings!$B$27="Checking",Settings!$B$27="Savings",Settings!$B$27="Cash"),N($AM8),IF(OR(Settings!$B$27="Card",Settings!$B$27="Loan"),-N($AM8),0))+IF(OR(Settings!$B$28="Checking",Settings!$B$28="Savings",Settings!$B$28="Cash"),N($AN8),IF(OR(Settings!$B$28="Card",Settings!$B$28="Loan"),-N($AN8),0))+IF(OR(Settings!$B$29="Checking",Settings!$B$29="Savings",Settings!$B$29="Cash"),N($AO8),IF(OR(Settings!$B$29="Card",Settings!$B$29="Loan"),-N($AO8),0))+IF(OR(Settings!$B$30="Checking",Settings!$B$30="Savings",Settings!$B$30="Cash"),N($AP8),IF(OR(Settings!$B$30="Card",Settings!$B$30="Loan"),-N($AP8),0))+IF(OR(Settings!$B$31="Checking",Settings!$B$31="Savings",Settings!$B$31="Cash"),N($AQ8),IF(OR(Settings!$B$31="Card",Settings!$B$31="Loan"),-N($AQ8),0))+IF(OR(Settings!$B$32="Checking",Settings!$B$32="Savings",Settings!$B$32="Cash"),N($AR8),IF(OR(Settings!$B$32="Card",Settings!$B$32="Loan"),-N($AR8),0)),"")</f>
        <v/>
      </c>
      <c r="DB8">
        <f>IF($E8="open",$EB$27,IF($E8="post",IF($E7="pre",$EB$27,$DA7),""))</f>
        <v/>
      </c>
      <c r="DC8">
        <f>IF($E8="open",1,IF($E8="post",IF($E7="pre",1,$DT7),0))</f>
        <v/>
      </c>
      <c r="DD8">
        <f>IF(AND($DT8=1,$DC8=1),ROUND($W8-($DA8-$DB8)-$AD8-$AB8,2),"")</f>
        <v/>
      </c>
      <c r="DE8">
        <f>IF('Month-End'!$E$35="",$BQ8,N('Month-End'!$E$35))</f>
        <v/>
      </c>
      <c r="DF8">
        <f>N('Month-End'!$E$36)</f>
        <v/>
      </c>
      <c r="DG8">
        <f>IF($DD8="","",$DD8+$DE8)</f>
        <v/>
      </c>
      <c r="DH8">
        <f>IF($DG8="","",$DG8-$DF8)</f>
        <v/>
      </c>
      <c r="DI8">
        <f>IF(OR($E8="pre",$D8=1),"",N($AS8)+N($AT8)+N($AU8)+N($AV8)+N($AW8)+N($AX8))</f>
        <v/>
      </c>
      <c r="DJ8">
        <f>IF($DT8=1,$DA8+N($DI8),"")</f>
        <v/>
      </c>
      <c r="DK8">
        <f>IF($DD8="","",$W8-$DD8-$AB8)</f>
        <v/>
      </c>
      <c r="DL8">
        <f>IF(AND($E8="post",$DD8&lt;&gt;"",$B8&lt;TODAY()),1,0)</f>
        <v/>
      </c>
      <c r="DM8">
        <f>IF($DL8=1,COUNTIF($DL8:$DL$183,1),0)</f>
        <v/>
      </c>
      <c r="DN8">
        <f>IF($D8=1,"",IF($E8="pre","History only",IF($DT8=1,IF($DD8="","⚠ Previous month missing",IF($DD8&lt;0,"⚠ Check: spending &lt; 0",IF($E8="open","✓ Done (partial)","✓ Done"))),IF($B8&gt;=TODAY(),"In progress","⚠ Needs balances"))))</f>
        <v/>
      </c>
      <c r="DO8">
        <f>YEAR($A8)</f>
        <v/>
      </c>
      <c r="DP8">
        <f>DATE(YEAR($A8),INT((MONTH($A8)-1)/3)*3+1,1)</f>
        <v/>
      </c>
      <c r="DQ8">
        <f>IF(AND($DT8=1,$DD8&lt;&gt;"",$D8=0),ROW(),0)</f>
        <v/>
      </c>
      <c r="DR8">
        <f>IF(AND($E8&lt;&gt;"pre",$B8&lt;TODAY(),$DT8=0),1,0)</f>
        <v/>
      </c>
      <c r="DS8">
        <f>IF($DJ8="",NA(),$DJ8)</f>
        <v/>
      </c>
      <c r="DT8">
        <f>IF(AND($E8&lt;&gt;"pre",$CL8=0,COUNTIFS(Settings!$F$19:$F$32,"Yes",Settings!$A$19:$A$32,"&lt;&gt;",Settings!$E$19:$E$32,"&lt;&gt;No")&gt;0),1,0)</f>
        <v/>
      </c>
      <c r="DU8">
        <f>IF(AND($B8&lt;TODAY(),$S8&gt;0),1,0)</f>
        <v/>
      </c>
      <c r="DV8">
        <f>IF($DU8=1,COUNTIF($DU8:$DU$183,1),0)</f>
        <v/>
      </c>
      <c r="DW8">
        <f>IF(AND(OR(Settings!$B$19="Card",Settings!$B$19="Loan"),AND('Month-End'!$E$7&lt;&gt;"",NOT(_xlfn.ISFORMULA('Month-End'!$E$7)))),IF(N('Month-End'!$E$7)&lt;0,1,0),0)+IF(AND(OR(Settings!$B$20="Card",Settings!$B$20="Loan"),AND('Month-End'!$E$8&lt;&gt;"",NOT(_xlfn.ISFORMULA('Month-End'!$E$8)))),IF(N('Month-End'!$E$8)&lt;0,1,0),0)+IF(AND(OR(Settings!$B$21="Card",Settings!$B$21="Loan"),AND('Month-End'!$E$9&lt;&gt;"",NOT(_xlfn.ISFORMULA('Month-End'!$E$9)))),IF(N('Month-End'!$E$9)&lt;0,1,0),0)+IF(AND(OR(Settings!$B$22="Card",Settings!$B$22="Loan"),AND('Month-End'!$E$10&lt;&gt;"",NOT(_xlfn.ISFORMULA('Month-End'!$E$10)))),IF(N('Month-End'!$E$10)&lt;0,1,0),0)+IF(AND(OR(Settings!$B$23="Card",Settings!$B$23="Loan"),AND('Month-End'!$E$11&lt;&gt;"",NOT(_xlfn.ISFORMULA('Month-End'!$E$11)))),IF(N('Month-End'!$E$11)&lt;0,1,0),0)+IF(AND(OR(Settings!$B$24="Card",Settings!$B$24="Loan"),AND('Month-End'!$E$12&lt;&gt;"",NOT(_xlfn.ISFORMULA('Month-End'!$E$12)))),IF(N('Month-End'!$E$12)&lt;0,1,0),0)+IF(AND(OR(Settings!$B$25="Card",Settings!$B$25="Loan"),AND('Month-End'!$E$13&lt;&gt;"",NOT(_xlfn.ISFORMULA('Month-End'!$E$13)))),IF(N('Month-End'!$E$13)&lt;0,1,0),0)+IF(AND(OR(Settings!$B$26="Card",Settings!$B$26="Loan"),AND('Month-End'!$E$14&lt;&gt;"",NOT(_xlfn.ISFORMULA('Month-End'!$E$14)))),IF(N('Month-End'!$E$14)&lt;0,1,0),0)+IF(AND(OR(Settings!$B$27="Card",Settings!$B$27="Loan"),AND('Month-End'!$E$15&lt;&gt;"",NOT(_xlfn.ISFORMULA('Month-End'!$E$15)))),IF(N('Month-End'!$E$15)&lt;0,1,0),0)+IF(AND(OR(Settings!$B$28="Card",Settings!$B$28="Loan"),AND('Month-End'!$E$16&lt;&gt;"",NOT(_xlfn.ISFORMULA('Month-End'!$E$16)))),IF(N('Month-End'!$E$16)&lt;0,1,0),0)+IF(AND(OR(Settings!$B$29="Card",Settings!$B$29="Loan"),AND('Month-End'!$E$17&lt;&gt;"",NOT(_xlfn.ISFORMULA('Month-End'!$E$17)))),IF(N('Month-End'!$E$17)&lt;0,1,0),0)+IF(AND(OR(Settings!$B$30="Card",Settings!$B$30="Loan"),AND('Month-End'!$E$18&lt;&gt;"",NOT(_xlfn.ISFORMULA('Month-End'!$E$18)))),IF(N('Month-End'!$E$18)&lt;0,1,0),0)+IF(AND(OR(Settings!$B$31="Card",Settings!$B$31="Loan"),AND('Month-End'!$E$19&lt;&gt;"",NOT(_xlfn.ISFORMULA('Month-End'!$E$19)))),IF(N('Month-End'!$E$19)&lt;0,1,0),0)+IF(AND(OR(Settings!$B$32="Card",Settings!$B$32="Loan"),AND('Month-End'!$E$20&lt;&gt;"",NOT(_xlfn.ISFORMULA('Month-End'!$E$20)))),IF(N('Month-End'!$E$20)&lt;0,1,0),0)</f>
        <v/>
      </c>
      <c r="DX8">
        <f>IF(Settings!$B$36="Retirement",$AY8,0)+IF(Settings!$B$37="Retirement",$AZ8,0)+IF(Settings!$B$38="Retirement",$BA8,0)+IF(Settings!$B$39="Retirement",$BB8,0)+IF(Settings!$B$40="Retirement",$BC8,0)+IF(Settings!$B$41="Retirement",$BD8,0)</f>
        <v/>
      </c>
      <c r="EA8" t="inlineStr">
        <is>
          <t>Investments</t>
        </is>
      </c>
      <c r="EB8">
        <f>EB31</f>
        <v/>
      </c>
      <c r="EO8" t="inlineStr">
        <is>
          <t>Thursday</t>
        </is>
      </c>
      <c r="ET8">
        <f>IF($E8&lt;&gt;"open",0,IF(AND('Month-End'!$E$22&lt;&gt;"",NOT(_xlfn.ISFORMULA('Month-End'!$E$22))),0,IF(OR(Settings!$C$45="",Settings!$D$45=""),0,Settings!$C$45*IF(Settings!$D$45="Weekly",IF(IFERROR(MATCH(Settings!$E$45,$EO$4:$EO$10,0),0)=0,0,IF(MIN(Settings!$B$5,IF(Settings!$G$45="",Settings!$B$5,Settings!$G$45))&lt;MAX($A8,Settings!$F$45),0,INT((MIN(Settings!$B$5,IF(Settings!$G$45="",Settings!$B$5,Settings!$G$45))-MAX($A8,Settings!$F$45)-MOD(IFERROR(MATCH(Settings!$E$45,$EO$4:$EO$10,0),0)-WEEKDAY(MAX($A8,Settings!$F$45)),7))/7)+1)),IF(AND(IF(Settings!$E$45="",$B8,DATE(YEAR($A8),MONTH($A8),MIN(Settings!$E$45,DAY($B8))))&gt;=MAX($A8,Settings!$F$45),IF(Settings!$E$45="",$B8,DATE(YEAR($A8),MONTH($A8),MIN(Settings!$E$45,DAY($B8))))&lt;=MIN(Settings!$B$5,IF(Settings!$G$45="",Settings!$B$5,Settings!$G$45))),1,0)))))</f>
        <v/>
      </c>
      <c r="EU8">
        <f>IF($E8&lt;&gt;"open",0,IF(AND('Month-End'!$E$23&lt;&gt;"",NOT(_xlfn.ISFORMULA('Month-End'!$E$23))),0,IF(OR(Settings!$C$46="",Settings!$D$46=""),0,Settings!$C$46*IF(Settings!$D$46="Weekly",IF(IFERROR(MATCH(Settings!$E$46,$EO$4:$EO$10,0),0)=0,0,IF(MIN(Settings!$B$5,IF(Settings!$G$46="",Settings!$B$5,Settings!$G$46))&lt;MAX($A8,Settings!$F$46),0,INT((MIN(Settings!$B$5,IF(Settings!$G$46="",Settings!$B$5,Settings!$G$46))-MAX($A8,Settings!$F$46)-MOD(IFERROR(MATCH(Settings!$E$46,$EO$4:$EO$10,0),0)-WEEKDAY(MAX($A8,Settings!$F$46)),7))/7)+1)),IF(AND(IF(Settings!$E$46="",$B8,DATE(YEAR($A8),MONTH($A8),MIN(Settings!$E$46,DAY($B8))))&gt;=MAX($A8,Settings!$F$46),IF(Settings!$E$46="",$B8,DATE(YEAR($A8),MONTH($A8),MIN(Settings!$E$46,DAY($B8))))&lt;=MIN(Settings!$B$5,IF(Settings!$G$46="",Settings!$B$5,Settings!$G$46))),1,0)))))</f>
        <v/>
      </c>
      <c r="EV8">
        <f>IF($E8&lt;&gt;"open",0,IF(AND('Month-End'!$E$24&lt;&gt;"",NOT(_xlfn.ISFORMULA('Month-End'!$E$24))),0,IF(OR(Settings!$C$47="",Settings!$D$47=""),0,Settings!$C$47*IF(Settings!$D$47="Weekly",IF(IFERROR(MATCH(Settings!$E$47,$EO$4:$EO$10,0),0)=0,0,IF(MIN(Settings!$B$5,IF(Settings!$G$47="",Settings!$B$5,Settings!$G$47))&lt;MAX($A8,Settings!$F$47),0,INT((MIN(Settings!$B$5,IF(Settings!$G$47="",Settings!$B$5,Settings!$G$47))-MAX($A8,Settings!$F$47)-MOD(IFERROR(MATCH(Settings!$E$47,$EO$4:$EO$10,0),0)-WEEKDAY(MAX($A8,Settings!$F$47)),7))/7)+1)),IF(AND(IF(Settings!$E$47="",$B8,DATE(YEAR($A8),MONTH($A8),MIN(Settings!$E$47,DAY($B8))))&gt;=MAX($A8,Settings!$F$47),IF(Settings!$E$47="",$B8,DATE(YEAR($A8),MONTH($A8),MIN(Settings!$E$47,DAY($B8))))&lt;=MIN(Settings!$B$5,IF(Settings!$G$47="",Settings!$B$5,Settings!$G$47))),1,0)))))</f>
        <v/>
      </c>
      <c r="EW8">
        <f>IF($E8&lt;&gt;"open",0,IF(AND('Month-End'!$E$25&lt;&gt;"",NOT(_xlfn.ISFORMULA('Month-End'!$E$25))),0,IF(OR(Settings!$C$48="",Settings!$D$48=""),0,Settings!$C$48*IF(Settings!$D$48="Weekly",IF(IFERROR(MATCH(Settings!$E$48,$EO$4:$EO$10,0),0)=0,0,IF(MIN(Settings!$B$5,IF(Settings!$G$48="",Settings!$B$5,Settings!$G$48))&lt;MAX($A8,Settings!$F$48),0,INT((MIN(Settings!$B$5,IF(Settings!$G$48="",Settings!$B$5,Settings!$G$48))-MAX($A8,Settings!$F$48)-MOD(IFERROR(MATCH(Settings!$E$48,$EO$4:$EO$10,0),0)-WEEKDAY(MAX($A8,Settings!$F$48)),7))/7)+1)),IF(AND(IF(Settings!$E$48="",$B8,DATE(YEAR($A8),MONTH($A8),MIN(Settings!$E$48,DAY($B8))))&gt;=MAX($A8,Settings!$F$48),IF(Settings!$E$48="",$B8,DATE(YEAR($A8),MONTH($A8),MIN(Settings!$E$48,DAY($B8))))&lt;=MIN(Settings!$B$5,IF(Settings!$G$48="",Settings!$B$5,Settings!$G$48))),1,0)))))</f>
        <v/>
      </c>
      <c r="EX8">
        <f>IF($E8&lt;&gt;"open",0,IF(AND('Month-End'!$E$26&lt;&gt;"",NOT(_xlfn.ISFORMULA('Month-End'!$E$26))),0,IF(OR(Settings!$C$49="",Settings!$D$49=""),0,Settings!$C$49*IF(Settings!$D$49="Weekly",IF(IFERROR(MATCH(Settings!$E$49,$EO$4:$EO$10,0),0)=0,0,IF(MIN(Settings!$B$5,IF(Settings!$G$49="",Settings!$B$5,Settings!$G$49))&lt;MAX($A8,Settings!$F$49),0,INT((MIN(Settings!$B$5,IF(Settings!$G$49="",Settings!$B$5,Settings!$G$49))-MAX($A8,Settings!$F$49)-MOD(IFERROR(MATCH(Settings!$E$49,$EO$4:$EO$10,0),0)-WEEKDAY(MAX($A8,Settings!$F$49)),7))/7)+1)),IF(AND(IF(Settings!$E$49="",$B8,DATE(YEAR($A8),MONTH($A8),MIN(Settings!$E$49,DAY($B8))))&gt;=MAX($A8,Settings!$F$49),IF(Settings!$E$49="",$B8,DATE(YEAR($A8),MONTH($A8),MIN(Settings!$E$49,DAY($B8))))&lt;=MIN(Settings!$B$5,IF(Settings!$G$49="",Settings!$B$5,Settings!$G$49))),1,0)))))</f>
        <v/>
      </c>
      <c r="EY8">
        <f>IF($E8&lt;&gt;"open",0,IF(AND('Month-End'!$E$27&lt;&gt;"",NOT(_xlfn.ISFORMULA('Month-End'!$E$27))),0,IF(OR(Settings!$C$50="",Settings!$D$50=""),0,Settings!$C$50*IF(Settings!$D$50="Weekly",IF(IFERROR(MATCH(Settings!$E$50,$EO$4:$EO$10,0),0)=0,0,IF(MIN(Settings!$B$5,IF(Settings!$G$50="",Settings!$B$5,Settings!$G$50))&lt;MAX($A8,Settings!$F$50),0,INT((MIN(Settings!$B$5,IF(Settings!$G$50="",Settings!$B$5,Settings!$G$50))-MAX($A8,Settings!$F$50)-MOD(IFERROR(MATCH(Settings!$E$50,$EO$4:$EO$10,0),0)-WEEKDAY(MAX($A8,Settings!$F$50)),7))/7)+1)),IF(AND(IF(Settings!$E$50="",$B8,DATE(YEAR($A8),MONTH($A8),MIN(Settings!$E$50,DAY($B8))))&gt;=MAX($A8,Settings!$F$50),IF(Settings!$E$50="",$B8,DATE(YEAR($A8),MONTH($A8),MIN(Settings!$E$50,DAY($B8))))&lt;=MIN(Settings!$B$5,IF(Settings!$G$50="",Settings!$B$5,Settings!$G$50))),1,0)))))</f>
        <v/>
      </c>
      <c r="EZ8">
        <f>IF($E8&lt;&gt;"open",0,IF(AND('Month-End'!$E$28&lt;&gt;"",NOT(_xlfn.ISFORMULA('Month-End'!$E$28))),0,IF(OR(Settings!$C$51="",Settings!$D$51=""),0,Settings!$C$51*IF(Settings!$D$51="Weekly",IF(IFERROR(MATCH(Settings!$E$51,$EO$4:$EO$10,0),0)=0,0,IF(MIN(Settings!$B$5,IF(Settings!$G$51="",Settings!$B$5,Settings!$G$51))&lt;MAX($A8,Settings!$F$51),0,INT((MIN(Settings!$B$5,IF(Settings!$G$51="",Settings!$B$5,Settings!$G$51))-MAX($A8,Settings!$F$51)-MOD(IFERROR(MATCH(Settings!$E$51,$EO$4:$EO$10,0),0)-WEEKDAY(MAX($A8,Settings!$F$51)),7))/7)+1)),IF(AND(IF(Settings!$E$51="",$B8,DATE(YEAR($A8),MONTH($A8),MIN(Settings!$E$51,DAY($B8))))&gt;=MAX($A8,Settings!$F$51),IF(Settings!$E$51="",$B8,DATE(YEAR($A8),MONTH($A8),MIN(Settings!$E$51,DAY($B8))))&lt;=MIN(Settings!$B$5,IF(Settings!$G$51="",Settings!$B$5,Settings!$G$51))),1,0)))))</f>
        <v/>
      </c>
      <c r="FA8">
        <f>IF($E8&lt;&gt;"open",0,IF(AND('Month-End'!$E$29&lt;&gt;"",NOT(_xlfn.ISFORMULA('Month-End'!$E$29))),0,IF(OR(Settings!$C$52="",Settings!$D$52=""),0,Settings!$C$52*IF(Settings!$D$52="Weekly",IF(IFERROR(MATCH(Settings!$E$52,$EO$4:$EO$10,0),0)=0,0,IF(MIN(Settings!$B$5,IF(Settings!$G$52="",Settings!$B$5,Settings!$G$52))&lt;MAX($A8,Settings!$F$52),0,INT((MIN(Settings!$B$5,IF(Settings!$G$52="",Settings!$B$5,Settings!$G$52))-MAX($A8,Settings!$F$52)-MOD(IFERROR(MATCH(Settings!$E$52,$EO$4:$EO$10,0),0)-WEEKDAY(MAX($A8,Settings!$F$52)),7))/7)+1)),IF(AND(IF(Settings!$E$52="",$B8,DATE(YEAR($A8),MONTH($A8),MIN(Settings!$E$52,DAY($B8))))&gt;=MAX($A8,Settings!$F$52),IF(Settings!$E$52="",$B8,DATE(YEAR($A8),MONTH($A8),MIN(Settings!$E$52,DAY($B8))))&lt;=MIN(Settings!$B$5,IF(Settings!$G$52="",Settings!$B$5,Settings!$G$52))),1,0)))))</f>
        <v/>
      </c>
      <c r="FB8">
        <f>IF($E8&lt;&gt;"open",0,IF(AND('Month-End'!$E$30&lt;&gt;"",NOT(_xlfn.ISFORMULA('Month-End'!$E$30))),0,IF(OR(Settings!$C$53="",Settings!$D$53=""),0,Settings!$C$53*IF(Settings!$D$53="Weekly",IF(IFERROR(MATCH(Settings!$E$53,$EO$4:$EO$10,0),0)=0,0,IF(MIN(Settings!$B$5,IF(Settings!$G$53="",Settings!$B$5,Settings!$G$53))&lt;MAX($A8,Settings!$F$53),0,INT((MIN(Settings!$B$5,IF(Settings!$G$53="",Settings!$B$5,Settings!$G$53))-MAX($A8,Settings!$F$53)-MOD(IFERROR(MATCH(Settings!$E$53,$EO$4:$EO$10,0),0)-WEEKDAY(MAX($A8,Settings!$F$53)),7))/7)+1)),IF(AND(IF(Settings!$E$53="",$B8,DATE(YEAR($A8),MONTH($A8),MIN(Settings!$E$53,DAY($B8))))&gt;=MAX($A8,Settings!$F$53),IF(Settings!$E$53="",$B8,DATE(YEAR($A8),MONTH($A8),MIN(Settings!$E$53,DAY($B8))))&lt;=MIN(Settings!$B$5,IF(Settings!$G$53="",Settings!$B$5,Settings!$G$53))),1,0)))))</f>
        <v/>
      </c>
      <c r="FC8">
        <f>IF($E8&lt;&gt;"open",0,IF(AND('Month-End'!$E$31&lt;&gt;"",NOT(_xlfn.ISFORMULA('Month-End'!$E$31))),0,IF(OR(Settings!$C$54="",Settings!$D$54=""),0,Settings!$C$54*IF(Settings!$D$54="Weekly",IF(IFERROR(MATCH(Settings!$E$54,$EO$4:$EO$10,0),0)=0,0,IF(MIN(Settings!$B$5,IF(Settings!$G$54="",Settings!$B$5,Settings!$G$54))&lt;MAX($A8,Settings!$F$54),0,INT((MIN(Settings!$B$5,IF(Settings!$G$54="",Settings!$B$5,Settings!$G$54))-MAX($A8,Settings!$F$54)-MOD(IFERROR(MATCH(Settings!$E$54,$EO$4:$EO$10,0),0)-WEEKDAY(MAX($A8,Settings!$F$54)),7))/7)+1)),IF(AND(IF(Settings!$E$54="",$B8,DATE(YEAR($A8),MONTH($A8),MIN(Settings!$E$54,DAY($B8))))&gt;=MAX($A8,Settings!$F$54),IF(Settings!$E$54="",$B8,DATE(YEAR($A8),MONTH($A8),MIN(Settings!$E$54,DAY($B8))))&lt;=MIN(Settings!$B$5,IF(Settings!$G$54="",Settings!$B$5,Settings!$G$54))),1,0)))))</f>
        <v/>
      </c>
      <c r="FD8">
        <f>IF($E8&lt;&gt;"open",0,IF(AND('Month-End'!$E$32&lt;&gt;"",NOT(_xlfn.ISFORMULA('Month-End'!$E$32))),0,IF(OR(Settings!$C$55="",Settings!$D$55=""),0,Settings!$C$55*IF(Settings!$D$55="Weekly",IF(IFERROR(MATCH(Settings!$E$55,$EO$4:$EO$10,0),0)=0,0,IF(MIN(Settings!$B$5,IF(Settings!$G$55="",Settings!$B$5,Settings!$G$55))&lt;MAX($A8,Settings!$F$55),0,INT((MIN(Settings!$B$5,IF(Settings!$G$55="",Settings!$B$5,Settings!$G$55))-MAX($A8,Settings!$F$55)-MOD(IFERROR(MATCH(Settings!$E$55,$EO$4:$EO$10,0),0)-WEEKDAY(MAX($A8,Settings!$F$55)),7))/7)+1)),IF(AND(IF(Settings!$E$55="",$B8,DATE(YEAR($A8),MONTH($A8),MIN(Settings!$E$55,DAY($B8))))&gt;=MAX($A8,Settings!$F$55),IF(Settings!$E$55="",$B8,DATE(YEAR($A8),MONTH($A8),MIN(Settings!$E$55,DAY($B8))))&lt;=MIN(Settings!$B$5,IF(Settings!$G$55="",Settings!$B$5,Settings!$G$55))),1,0)))))</f>
        <v/>
      </c>
      <c r="FE8">
        <f>IF($E8&lt;&gt;"open",0,IF(AND('Month-End'!$E$33&lt;&gt;"",NOT(_xlfn.ISFORMULA('Month-End'!$E$33))),0,IF(OR(Settings!$C$56="",Settings!$D$56=""),0,Settings!$C$56*IF(Settings!$D$56="Weekly",IF(IFERROR(MATCH(Settings!$E$56,$EO$4:$EO$10,0),0)=0,0,IF(MIN(Settings!$B$5,IF(Settings!$G$56="",Settings!$B$5,Settings!$G$56))&lt;MAX($A8,Settings!$F$56),0,INT((MIN(Settings!$B$5,IF(Settings!$G$56="",Settings!$B$5,Settings!$G$56))-MAX($A8,Settings!$F$56)-MOD(IFERROR(MATCH(Settings!$E$56,$EO$4:$EO$10,0),0)-WEEKDAY(MAX($A8,Settings!$F$56)),7))/7)+1)),IF(AND(IF(Settings!$E$56="",$B8,DATE(YEAR($A8),MONTH($A8),MIN(Settings!$E$56,DAY($B8))))&gt;=MAX($A8,Settings!$F$56),IF(Settings!$E$56="",$B8,DATE(YEAR($A8),MONTH($A8),MIN(Settings!$E$56,DAY($B8))))&lt;=MIN(Settings!$B$5,IF(Settings!$G$56="",Settings!$B$5,Settings!$G$56))),1,0)))))</f>
        <v/>
      </c>
      <c r="FF8">
        <f>IF(Settings!$I$45="Yes",$G8,0)+IF(Settings!$I$46="Yes",$H8,0)+IF(Settings!$I$47="Yes",$I8,0)+IF(Settings!$I$48="Yes",$J8,0)+IF(Settings!$I$49="Yes",$K8,0)+IF(Settings!$I$50="Yes",$L8,0)+IF(Settings!$I$51="Yes",$M8,0)+IF(Settings!$I$52="Yes",$N8,0)+IF(Settings!$I$53="Yes",$O8,0)+IF(Settings!$I$54="Yes",$P8,0)+IF(Settings!$I$55="Yes",$Q8,0)+IF(Settings!$I$56="Yes",$R8,0)</f>
        <v/>
      </c>
      <c r="FG8">
        <f>IF(AND(Settings!$I$45="Yes",Settings!$J$45="No"),$G8,0)+IF(AND(Settings!$I$46="Yes",Settings!$J$46="No"),$H8,0)+IF(AND(Settings!$I$47="Yes",Settings!$J$47="No"),$I8,0)+IF(AND(Settings!$I$48="Yes",Settings!$J$48="No"),$J8,0)+IF(AND(Settings!$I$49="Yes",Settings!$J$49="No"),$K8,0)+IF(AND(Settings!$I$50="Yes",Settings!$J$50="No"),$L8,0)+IF(AND(Settings!$I$51="Yes",Settings!$J$51="No"),$M8,0)+IF(AND(Settings!$I$52="Yes",Settings!$J$52="No"),$N8,0)+IF(AND(Settings!$I$53="Yes",Settings!$J$53="No"),$O8,0)+IF(AND(Settings!$I$54="Yes",Settings!$J$54="No"),$P8,0)+IF(AND(Settings!$I$55="Yes",Settings!$J$55="No"),$Q8,0)+IF(AND(Settings!$I$56="Yes",Settings!$J$56="No"),$R8,0)</f>
        <v/>
      </c>
      <c r="FH8">
        <f>SUMIFS(Giving!$B$7:$B$2006,Giving!$A$7:$A$2006,"&gt;="&amp;$A8,Giving!$A$7:$A$2006,"&lt;="&amp;$B8,Giving!$G$7:$G$2006,"Yes")+IF(OR(OR(Settings!$B$60="",Settings!$F$60="No"),Settings!$H$60&lt;&gt;"Yes"),0,Settings!$B$60*IF(AND(IF(Settings!$C$60="",$B8,DATE(YEAR($A8),MONTH($A8),MIN(Settings!$C$60,DAY($B8))))&gt;=MAX($A8,Settings!$D$60),IF(Settings!$C$60="",$B8,DATE(YEAR($A8),MONTH($A8),MIN(Settings!$C$60,DAY($B8))))&lt;=MIN($C8,IF(Settings!$E$60="",$C8,Settings!$E$60))),1,0))+IF(OR(OR(Settings!$B$61="",Settings!$F$61="No"),Settings!$H$61&lt;&gt;"Yes"),0,Settings!$B$61*IF(AND(IF(Settings!$C$61="",$B8,DATE(YEAR($A8),MONTH($A8),MIN(Settings!$C$61,DAY($B8))))&gt;=MAX($A8,Settings!$D$61),IF(Settings!$C$61="",$B8,DATE(YEAR($A8),MONTH($A8),MIN(Settings!$C$61,DAY($B8))))&lt;=MIN($C8,IF(Settings!$E$61="",$C8,Settings!$E$61))),1,0))+IF(OR(OR(Settings!$B$62="",Settings!$F$62="No"),Settings!$H$62&lt;&gt;"Yes"),0,Settings!$B$62*IF(AND(IF(Settings!$C$62="",$B8,DATE(YEAR($A8),MONTH($A8),MIN(Settings!$C$62,DAY($B8))))&gt;=MAX($A8,Settings!$D$62),IF(Settings!$C$62="",$B8,DATE(YEAR($A8),MONTH($A8),MIN(Settings!$C$62,DAY($B8))))&lt;=MIN($C8,IF(Settings!$E$62="",$C8,Settings!$E$62))),1,0))+IF(OR(OR(Settings!$B$63="",Settings!$F$63="No"),Settings!$H$63&lt;&gt;"Yes"),0,Settings!$B$63*IF(AND(IF(Settings!$C$63="",$B8,DATE(YEAR($A8),MONTH($A8),MIN(Settings!$C$63,DAY($B8))))&gt;=MAX($A8,Settings!$D$63),IF(Settings!$C$63="",$B8,DATE(YEAR($A8),MONTH($A8),MIN(Settings!$C$63,DAY($B8))))&lt;=MIN($C8,IF(Settings!$E$63="",$C8,Settings!$E$63))),1,0))+IF(OR(OR(Settings!$B$64="",Settings!$F$64="No"),Settings!$H$64&lt;&gt;"Yes"),0,Settings!$B$64*IF(AND(IF(Settings!$C$64="",$B8,DATE(YEAR($A8),MONTH($A8),MIN(Settings!$C$64,DAY($B8))))&gt;=MAX($A8,Settings!$D$64),IF(Settings!$C$64="",$B8,DATE(YEAR($A8),MONTH($A8),MIN(Settings!$C$64,DAY($B8))))&lt;=MIN($C8,IF(Settings!$E$64="",$C8,Settings!$E$64))),1,0))+IF(OR(OR(Settings!$B$65="",Settings!$F$65="No"),Settings!$H$65&lt;&gt;"Yes"),0,Settings!$B$65*IF(AND(IF(Settings!$C$65="",$B8,DATE(YEAR($A8),MONTH($A8),MIN(Settings!$C$65,DAY($B8))))&gt;=MAX($A8,Settings!$D$65),IF(Settings!$C$65="",$B8,DATE(YEAR($A8),MONTH($A8),MIN(Settings!$C$65,DAY($B8))))&lt;=MIN($C8,IF(Settings!$E$65="",$C8,Settings!$E$65))),1,0))</f>
        <v/>
      </c>
      <c r="FI8">
        <f>IF($DT8=1,IF(OR(Settings!$B$19="Card",Settings!$B$19="Loan"),N($AE8),0)+IF(OR(Settings!$B$20="Card",Settings!$B$20="Loan"),N($AF8),0)+IF(OR(Settings!$B$21="Card",Settings!$B$21="Loan"),N($AG8),0)+IF(OR(Settings!$B$22="Card",Settings!$B$22="Loan"),N($AH8),0)+IF(OR(Settings!$B$23="Card",Settings!$B$23="Loan"),N($AI8),0)+IF(OR(Settings!$B$24="Card",Settings!$B$24="Loan"),N($AJ8),0)+IF(OR(Settings!$B$25="Card",Settings!$B$25="Loan"),N($AK8),0)+IF(OR(Settings!$B$26="Card",Settings!$B$26="Loan"),N($AL8),0)+IF(OR(Settings!$B$27="Card",Settings!$B$27="Loan"),N($AM8),0)+IF(OR(Settings!$B$28="Card",Settings!$B$28="Loan"),N($AN8),0)+IF(OR(Settings!$B$29="Card",Settings!$B$29="Loan"),N($AO8),0)+IF(OR(Settings!$B$30="Card",Settings!$B$30="Loan"),N($AP8),0)+IF(OR(Settings!$B$31="Card",Settings!$B$31="Loan"),N($AQ8),0)+IF(OR(Settings!$B$32="Card",Settings!$B$32="Loan"),N($AR8),0),"")</f>
        <v/>
      </c>
      <c r="FJ8">
        <f>IF($E8="open",$EB$65,IF($E8="post",IF($E7="pre",$EB$65,$FI7),""))</f>
        <v/>
      </c>
      <c r="FK8">
        <f>IF(AND($DT8=1,$DC8=1),IF(ROUND($FI8-$FJ8,2)&gt;0,1,0),0)</f>
        <v/>
      </c>
      <c r="FL8">
        <f>IF($FK8=1,$FL7+1,0)</f>
        <v/>
      </c>
    </row>
    <row r="9">
      <c r="A9">
        <f>'Month-End'!$F$4</f>
        <v/>
      </c>
      <c r="B9">
        <f>EOMONTH($A9,0)</f>
        <v/>
      </c>
      <c r="C9">
        <f>MIN($B9,TODAY())</f>
        <v/>
      </c>
      <c r="D9">
        <f>IF($A9&gt;TODAY(),1,0)</f>
        <v/>
      </c>
      <c r="E9">
        <f>IF($B9&lt;=Settings!$B$5,"pre",IF($A9&lt;=Settings!$B$5,"open","post"))</f>
        <v/>
      </c>
      <c r="G9">
        <f>IF('Month-End'!$F$22="",$BE9,N('Month-End'!$F$22))</f>
        <v/>
      </c>
      <c r="H9">
        <f>IF('Month-End'!$F$23="",$BF9,N('Month-End'!$F$23))</f>
        <v/>
      </c>
      <c r="I9">
        <f>IF('Month-End'!$F$24="",$BG9,N('Month-End'!$F$24))</f>
        <v/>
      </c>
      <c r="J9">
        <f>IF('Month-End'!$F$25="",$BH9,N('Month-End'!$F$25))</f>
        <v/>
      </c>
      <c r="K9">
        <f>IF('Month-End'!$F$26="",$BI9,N('Month-End'!$F$26))</f>
        <v/>
      </c>
      <c r="L9">
        <f>IF('Month-End'!$F$27="",$BJ9,N('Month-End'!$F$27))</f>
        <v/>
      </c>
      <c r="M9">
        <f>IF('Month-End'!$F$28="",$BK9,N('Month-End'!$F$28))</f>
        <v/>
      </c>
      <c r="N9">
        <f>IF('Month-End'!$F$29="",$BL9,N('Month-End'!$F$29))</f>
        <v/>
      </c>
      <c r="O9">
        <f>IF('Month-End'!$F$30="",$BM9,N('Month-End'!$F$30))</f>
        <v/>
      </c>
      <c r="P9">
        <f>IF('Month-End'!$F$31="",$BN9,N('Month-End'!$F$31))</f>
        <v/>
      </c>
      <c r="Q9">
        <f>IF('Month-End'!$F$32="",$BO9,N('Month-End'!$F$32))</f>
        <v/>
      </c>
      <c r="R9">
        <f>IF('Month-End'!$F$33="",$BP9,N('Month-End'!$F$33))</f>
        <v/>
      </c>
      <c r="S9">
        <f>$G9+$H9+$I9+$J9+$K9+$L9+$M9+$N9+$O9+$P9+$Q9+$R9</f>
        <v/>
      </c>
      <c r="T9">
        <f>IF($B9&lt;Settings!$B$6,0,IF(Settings!$B$45="Yes",$G9,0)+IF(Settings!$B$46="Yes",$H9,0)+IF(Settings!$B$47="Yes",$I9,0)+IF(Settings!$B$48="Yes",$J9,0)+IF(Settings!$B$49="Yes",$K9,0)+IF(Settings!$B$50="Yes",$L9,0)+IF(Settings!$B$51="Yes",$M9,0)+IF(Settings!$B$52="Yes",$N9,0)+IF(Settings!$B$53="Yes",$O9,0)+IF(Settings!$B$54="Yes",$P9,0)+IF(Settings!$B$55="Yes",$Q9,0)+IF(Settings!$B$56="Yes",$R9,0))</f>
        <v/>
      </c>
      <c r="U9">
        <f>IF(Settings!$B$45="Not Sure",$G9,0)+IF(Settings!$B$46="Not Sure",$H9,0)+IF(Settings!$B$47="Not Sure",$I9,0)+IF(Settings!$B$48="Not Sure",$J9,0)+IF(Settings!$B$49="Not Sure",$K9,0)+IF(Settings!$B$50="Not Sure",$L9,0)+IF(Settings!$B$51="Not Sure",$M9,0)+IF(Settings!$B$52="Not Sure",$N9,0)+IF(Settings!$B$53="Not Sure",$O9,0)+IF(Settings!$B$54="Not Sure",$P9,0)+IF(Settings!$B$55="Not Sure",$Q9,0)+IF(Settings!$B$56="Not Sure",$R9,0)</f>
        <v/>
      </c>
      <c r="V9">
        <f>IF($E9="open",SUM($ET9:$FE9)+N(Settings!$B$13),0)</f>
        <v/>
      </c>
      <c r="W9">
        <f>IF($E9="post",$S9,IF($E9="open",$S9-$V9,0))</f>
        <v/>
      </c>
      <c r="X9">
        <f>SUMIFS(Giving!$B$7:$B$2006,Giving!$A$7:$A$2006,"&gt;="&amp;$A9,Giving!$A$7:$A$2006,"&lt;="&amp;$B9,Giving!$E$7:$E$2006,"&lt;&gt;No")</f>
        <v/>
      </c>
      <c r="Y9">
        <f>SUMIFS(Giving!$B$7:$B$2006,Giving!$A$7:$A$2006,"&gt;="&amp;$A9,Giving!$A$7:$A$2006,"&lt;="&amp;$B9,Giving!$E$7:$E$2006,"No")</f>
        <v/>
      </c>
      <c r="Z9">
        <f>IF(OR(Settings!$B$60="",Settings!$F$60="No"),0,Settings!$B$60*IF(AND(IF(Settings!$C$60="",$B9,DATE(YEAR($A9),MONTH($A9),MIN(Settings!$C$60,DAY($B9))))&gt;=MAX($A9,Settings!$D$60),IF(Settings!$C$60="",$B9,DATE(YEAR($A9),MONTH($A9),MIN(Settings!$C$60,DAY($B9))))&lt;=MIN($C9,IF(Settings!$E$60="",$C9,Settings!$E$60))),1,0))+IF(OR(Settings!$B$61="",Settings!$F$61="No"),0,Settings!$B$61*IF(AND(IF(Settings!$C$61="",$B9,DATE(YEAR($A9),MONTH($A9),MIN(Settings!$C$61,DAY($B9))))&gt;=MAX($A9,Settings!$D$61),IF(Settings!$C$61="",$B9,DATE(YEAR($A9),MONTH($A9),MIN(Settings!$C$61,DAY($B9))))&lt;=MIN($C9,IF(Settings!$E$61="",$C9,Settings!$E$61))),1,0))+IF(OR(Settings!$B$62="",Settings!$F$62="No"),0,Settings!$B$62*IF(AND(IF(Settings!$C$62="",$B9,DATE(YEAR($A9),MONTH($A9),MIN(Settings!$C$62,DAY($B9))))&gt;=MAX($A9,Settings!$D$62),IF(Settings!$C$62="",$B9,DATE(YEAR($A9),MONTH($A9),MIN(Settings!$C$62,DAY($B9))))&lt;=MIN($C9,IF(Settings!$E$62="",$C9,Settings!$E$62))),1,0))+IF(OR(Settings!$B$63="",Settings!$F$63="No"),0,Settings!$B$63*IF(AND(IF(Settings!$C$63="",$B9,DATE(YEAR($A9),MONTH($A9),MIN(Settings!$C$63,DAY($B9))))&gt;=MAX($A9,Settings!$D$63),IF(Settings!$C$63="",$B9,DATE(YEAR($A9),MONTH($A9),MIN(Settings!$C$63,DAY($B9))))&lt;=MIN($C9,IF(Settings!$E$63="",$C9,Settings!$E$63))),1,0))+IF(OR(Settings!$B$64="",Settings!$F$64="No"),0,Settings!$B$64*IF(AND(IF(Settings!$C$64="",$B9,DATE(YEAR($A9),MONTH($A9),MIN(Settings!$C$64,DAY($B9))))&gt;=MAX($A9,Settings!$D$64),IF(Settings!$C$64="",$B9,DATE(YEAR($A9),MONTH($A9),MIN(Settings!$C$64,DAY($B9))))&lt;=MIN($C9,IF(Settings!$E$64="",$C9,Settings!$E$64))),1,0))+IF(OR(Settings!$B$65="",Settings!$F$65="No"),0,Settings!$B$65*IF(AND(IF(Settings!$C$65="",$B9,DATE(YEAR($A9),MONTH($A9),MIN(Settings!$C$65,DAY($B9))))&gt;=MAX($A9,Settings!$D$65),IF(Settings!$C$65="",$B9,DATE(YEAR($A9),MONTH($A9),MIN(Settings!$C$65,DAY($B9))))&lt;=MIN($C9,IF(Settings!$E$65="",$C9,Settings!$E$65))),1,0))</f>
        <v/>
      </c>
      <c r="AA9">
        <f>$X9+$Z9</f>
        <v/>
      </c>
      <c r="AB9">
        <f>IF($E9="post",$AA9,IF($E9="open",SUMIFS(Giving!$B$7:$B$2006,Giving!$A$7:$A$2006,"&gt;"&amp;Settings!$B$5,Giving!$A$7:$A$2006,"&lt;="&amp;$B9,Giving!$E$7:$E$2006,"&lt;&gt;No")+IF(OR(Settings!$B$60="",Settings!$F$60="No"),0,Settings!$B$60*IF(AND(IF(Settings!$C$60="",$B9,DATE(YEAR($A9),MONTH($A9),MIN(Settings!$C$60,DAY($B9))))&gt;=MAX($A9,Settings!$D$60,Settings!$B$5+1),IF(Settings!$C$60="",$B9,DATE(YEAR($A9),MONTH($A9),MIN(Settings!$C$60,DAY($B9))))&lt;=MIN($C9,IF(Settings!$E$60="",$C9,Settings!$E$60))),1,0))+IF(OR(Settings!$B$61="",Settings!$F$61="No"),0,Settings!$B$61*IF(AND(IF(Settings!$C$61="",$B9,DATE(YEAR($A9),MONTH($A9),MIN(Settings!$C$61,DAY($B9))))&gt;=MAX($A9,Settings!$D$61,Settings!$B$5+1),IF(Settings!$C$61="",$B9,DATE(YEAR($A9),MONTH($A9),MIN(Settings!$C$61,DAY($B9))))&lt;=MIN($C9,IF(Settings!$E$61="",$C9,Settings!$E$61))),1,0))+IF(OR(Settings!$B$62="",Settings!$F$62="No"),0,Settings!$B$62*IF(AND(IF(Settings!$C$62="",$B9,DATE(YEAR($A9),MONTH($A9),MIN(Settings!$C$62,DAY($B9))))&gt;=MAX($A9,Settings!$D$62,Settings!$B$5+1),IF(Settings!$C$62="",$B9,DATE(YEAR($A9),MONTH($A9),MIN(Settings!$C$62,DAY($B9))))&lt;=MIN($C9,IF(Settings!$E$62="",$C9,Settings!$E$62))),1,0))+IF(OR(Settings!$B$63="",Settings!$F$63="No"),0,Settings!$B$63*IF(AND(IF(Settings!$C$63="",$B9,DATE(YEAR($A9),MONTH($A9),MIN(Settings!$C$63,DAY($B9))))&gt;=MAX($A9,Settings!$D$63,Settings!$B$5+1),IF(Settings!$C$63="",$B9,DATE(YEAR($A9),MONTH($A9),MIN(Settings!$C$63,DAY($B9))))&lt;=MIN($C9,IF(Settings!$E$63="",$C9,Settings!$E$63))),1,0))+IF(OR(Settings!$B$64="",Settings!$F$64="No"),0,Settings!$B$64*IF(AND(IF(Settings!$C$64="",$B9,DATE(YEAR($A9),MONTH($A9),MIN(Settings!$C$64,DAY($B9))))&gt;=MAX($A9,Settings!$D$64,Settings!$B$5+1),IF(Settings!$C$64="",$B9,DATE(YEAR($A9),MONTH($A9),MIN(Settings!$C$64,DAY($B9))))&lt;=MIN($C9,IF(Settings!$E$64="",$C9,Settings!$E$64))),1,0))+IF(OR(Settings!$B$65="",Settings!$F$65="No"),0,Settings!$B$65*IF(AND(IF(Settings!$C$65="",$B9,DATE(YEAR($A9),MONTH($A9),MIN(Settings!$C$65,DAY($B9))))&gt;=MAX($A9,Settings!$D$65,Settings!$B$5+1),IF(Settings!$C$65="",$B9,DATE(YEAR($A9),MONTH($A9),MIN(Settings!$C$65,DAY($B9))))&lt;=MIN($C9,IF(Settings!$E$65="",$C9,Settings!$E$65))),1,0)),0))</f>
        <v/>
      </c>
      <c r="AC9">
        <f>$AY9+$AZ9+$BA9+$BB9+$BC9+$BD9</f>
        <v/>
      </c>
      <c r="AD9">
        <f>$AC9</f>
        <v/>
      </c>
      <c r="AE9">
        <f>IF(OR(Settings!$A$19="",$E9="pre"),"",IF(AND('Month-End'!$F$7&lt;&gt;"",NOT(_xlfn.ISFORMULA('Month-End'!$F$7))),N('Month-End'!$F$7),IF(OR($E9="open",$E8="pre"),N(Settings!$C$19),N($AE8))))</f>
        <v/>
      </c>
      <c r="AF9">
        <f>IF(OR(Settings!$A$20="",$E9="pre"),"",IF(AND('Month-End'!$F$8&lt;&gt;"",NOT(_xlfn.ISFORMULA('Month-End'!$F$8))),N('Month-End'!$F$8),IF(OR($E9="open",$E8="pre"),N(Settings!$C$20),N($AF8))))</f>
        <v/>
      </c>
      <c r="AG9">
        <f>IF(OR(Settings!$A$21="",$E9="pre"),"",IF(AND('Month-End'!$F$9&lt;&gt;"",NOT(_xlfn.ISFORMULA('Month-End'!$F$9))),N('Month-End'!$F$9),IF(OR($E9="open",$E8="pre"),N(Settings!$C$21),N($AG8))))</f>
        <v/>
      </c>
      <c r="AH9">
        <f>IF(OR(Settings!$A$22="",$E9="pre"),"",IF(AND('Month-End'!$F$10&lt;&gt;"",NOT(_xlfn.ISFORMULA('Month-End'!$F$10))),N('Month-End'!$F$10),IF(OR($E9="open",$E8="pre"),N(Settings!$C$22),N($AH8))))</f>
        <v/>
      </c>
      <c r="AI9">
        <f>IF(OR(Settings!$A$23="",$E9="pre"),"",IF(AND('Month-End'!$F$11&lt;&gt;"",NOT(_xlfn.ISFORMULA('Month-End'!$F$11))),N('Month-End'!$F$11),IF(OR($E9="open",$E8="pre"),N(Settings!$C$23),N($AI8))))</f>
        <v/>
      </c>
      <c r="AJ9">
        <f>IF(OR(Settings!$A$24="",$E9="pre"),"",IF(AND('Month-End'!$F$12&lt;&gt;"",NOT(_xlfn.ISFORMULA('Month-End'!$F$12))),N('Month-End'!$F$12),IF(OR($E9="open",$E8="pre"),N(Settings!$C$24),N($AJ8))))</f>
        <v/>
      </c>
      <c r="AK9">
        <f>IF(OR(Settings!$A$25="",$E9="pre"),"",IF(AND('Month-End'!$F$13&lt;&gt;"",NOT(_xlfn.ISFORMULA('Month-End'!$F$13))),N('Month-End'!$F$13),IF(OR($E9="open",$E8="pre"),N(Settings!$C$25),N($AK8))))</f>
        <v/>
      </c>
      <c r="AL9">
        <f>IF(OR(Settings!$A$26="",$E9="pre"),"",IF(AND('Month-End'!$F$14&lt;&gt;"",NOT(_xlfn.ISFORMULA('Month-End'!$F$14))),N('Month-End'!$F$14),IF(OR($E9="open",$E8="pre"),N(Settings!$C$26),N($AL8))))</f>
        <v/>
      </c>
      <c r="AM9">
        <f>IF(OR(Settings!$A$27="",$E9="pre"),"",IF(AND('Month-End'!$F$15&lt;&gt;"",NOT(_xlfn.ISFORMULA('Month-End'!$F$15))),N('Month-End'!$F$15),IF(OR($E9="open",$E8="pre"),N(Settings!$C$27),N($AM8))))</f>
        <v/>
      </c>
      <c r="AN9">
        <f>IF(OR(Settings!$A$28="",$E9="pre"),"",IF(AND('Month-End'!$F$16&lt;&gt;"",NOT(_xlfn.ISFORMULA('Month-End'!$F$16))),N('Month-End'!$F$16),IF(OR($E9="open",$E8="pre"),N(Settings!$C$28),N($AN8))))</f>
        <v/>
      </c>
      <c r="AO9">
        <f>IF(OR(Settings!$A$29="",$E9="pre"),"",IF(AND('Month-End'!$F$17&lt;&gt;"",NOT(_xlfn.ISFORMULA('Month-End'!$F$17))),N('Month-End'!$F$17),IF(OR($E9="open",$E8="pre"),N(Settings!$C$29),N($AO8))))</f>
        <v/>
      </c>
      <c r="AP9">
        <f>IF(OR(Settings!$A$30="",$E9="pre"),"",IF(AND('Month-End'!$F$18&lt;&gt;"",NOT(_xlfn.ISFORMULA('Month-End'!$F$18))),N('Month-End'!$F$18),IF(OR($E9="open",$E8="pre"),N(Settings!$C$30),N($AP8))))</f>
        <v/>
      </c>
      <c r="AQ9">
        <f>IF(OR(Settings!$A$31="",$E9="pre"),"",IF(AND('Month-End'!$F$19&lt;&gt;"",NOT(_xlfn.ISFORMULA('Month-End'!$F$19))),N('Month-End'!$F$19),IF(OR($E9="open",$E8="pre"),N(Settings!$C$31),N($AQ8))))</f>
        <v/>
      </c>
      <c r="AR9">
        <f>IF(OR(Settings!$A$32="",$E9="pre"),"",IF(AND('Month-End'!$F$20&lt;&gt;"",NOT(_xlfn.ISFORMULA('Month-End'!$F$20))),N('Month-End'!$F$20),IF(OR($E9="open",$E8="pre"),N(Settings!$C$32),N($AR8))))</f>
        <v/>
      </c>
      <c r="AS9">
        <f>IF(OR(Settings!$A$36="",$E9="pre"),"",IF(AND('Month-End'!$F$38&lt;&gt;"",NOT(_xlfn.ISFORMULA('Month-End'!$F$38))),N('Month-End'!$F$38),IF(OR($E9="open",$E8="pre"),N(Settings!$C$36),N($AS8))+$AY9))</f>
        <v/>
      </c>
      <c r="AT9">
        <f>IF(OR(Settings!$A$37="",$E9="pre"),"",IF(AND('Month-End'!$F$39&lt;&gt;"",NOT(_xlfn.ISFORMULA('Month-End'!$F$39))),N('Month-End'!$F$39),IF(OR($E9="open",$E8="pre"),N(Settings!$C$37),N($AT8))+$AZ9))</f>
        <v/>
      </c>
      <c r="AU9">
        <f>IF(OR(Settings!$A$38="",$E9="pre"),"",IF(AND('Month-End'!$F$40&lt;&gt;"",NOT(_xlfn.ISFORMULA('Month-End'!$F$40))),N('Month-End'!$F$40),IF(OR($E9="open",$E8="pre"),N(Settings!$C$38),N($AU8))+$BA9))</f>
        <v/>
      </c>
      <c r="AV9">
        <f>IF(OR(Settings!$A$39="",$E9="pre"),"",IF(AND('Month-End'!$F$41&lt;&gt;"",NOT(_xlfn.ISFORMULA('Month-End'!$F$41))),N('Month-End'!$F$41),IF(OR($E9="open",$E8="pre"),N(Settings!$C$39),N($AV8))+$BB9))</f>
        <v/>
      </c>
      <c r="AW9">
        <f>IF(OR(Settings!$A$40="",$E9="pre"),"",IF(AND('Month-End'!$F$42&lt;&gt;"",NOT(_xlfn.ISFORMULA('Month-End'!$F$42))),N('Month-End'!$F$42),IF(OR($E9="open",$E8="pre"),N(Settings!$C$40),N($AW8))+$BC9))</f>
        <v/>
      </c>
      <c r="AX9">
        <f>IF(OR(Settings!$A$41="",$E9="pre"),"",IF(AND('Month-End'!$F$43&lt;&gt;"",NOT(_xlfn.ISFORMULA('Month-End'!$F$43))),N('Month-End'!$F$43),IF(OR($E9="open",$E8="pre"),N(Settings!$C$41),N($AX8))+$BD9))</f>
        <v/>
      </c>
      <c r="AY9">
        <f>IF($E9="pre",0,N('Month-End'!$F$45))</f>
        <v/>
      </c>
      <c r="AZ9">
        <f>IF($E9="pre",0,N('Month-End'!$F$46))</f>
        <v/>
      </c>
      <c r="BA9">
        <f>IF($E9="pre",0,N('Month-End'!$F$47))</f>
        <v/>
      </c>
      <c r="BB9">
        <f>IF($E9="pre",0,N('Month-End'!$F$48))</f>
        <v/>
      </c>
      <c r="BC9">
        <f>IF($E9="pre",0,N('Month-End'!$F$49))</f>
        <v/>
      </c>
      <c r="BD9">
        <f>IF($E9="pre",0,N('Month-End'!$F$50))</f>
        <v/>
      </c>
      <c r="BE9">
        <f>IF(OR(Settings!$C$45="",Settings!$D$45=""),0,Settings!$C$45*IF(Settings!$D$45="Weekly",IF(IFERROR(MATCH(Settings!$E$45,$EO$4:$EO$10,0),0)=0,0,IF(MIN($C9,IF(Settings!$G$45="",$C9,Settings!$G$45))&lt;MAX($A9,Settings!$F$45),0,INT((MIN($C9,IF(Settings!$G$45="",$C9,Settings!$G$45))-MAX($A9,Settings!$F$45)-MOD(IFERROR(MATCH(Settings!$E$45,$EO$4:$EO$10,0),0)-WEEKDAY(MAX($A9,Settings!$F$45)),7))/7)+1)),IF(AND(IF(Settings!$E$45="",$B9,DATE(YEAR($A9),MONTH($A9),MIN(Settings!$E$45,DAY($B9))))&gt;=MAX($A9,Settings!$F$45),IF(Settings!$E$45="",$B9,DATE(YEAR($A9),MONTH($A9),MIN(Settings!$E$45,DAY($B9))))&lt;=MIN($C9,IF(Settings!$G$45="",$C9,Settings!$G$45))),1,0)))</f>
        <v/>
      </c>
      <c r="BF9">
        <f>IF(OR(Settings!$C$46="",Settings!$D$46=""),0,Settings!$C$46*IF(Settings!$D$46="Weekly",IF(IFERROR(MATCH(Settings!$E$46,$EO$4:$EO$10,0),0)=0,0,IF(MIN($C9,IF(Settings!$G$46="",$C9,Settings!$G$46))&lt;MAX($A9,Settings!$F$46),0,INT((MIN($C9,IF(Settings!$G$46="",$C9,Settings!$G$46))-MAX($A9,Settings!$F$46)-MOD(IFERROR(MATCH(Settings!$E$46,$EO$4:$EO$10,0),0)-WEEKDAY(MAX($A9,Settings!$F$46)),7))/7)+1)),IF(AND(IF(Settings!$E$46="",$B9,DATE(YEAR($A9),MONTH($A9),MIN(Settings!$E$46,DAY($B9))))&gt;=MAX($A9,Settings!$F$46),IF(Settings!$E$46="",$B9,DATE(YEAR($A9),MONTH($A9),MIN(Settings!$E$46,DAY($B9))))&lt;=MIN($C9,IF(Settings!$G$46="",$C9,Settings!$G$46))),1,0)))</f>
        <v/>
      </c>
      <c r="BG9">
        <f>IF(OR(Settings!$C$47="",Settings!$D$47=""),0,Settings!$C$47*IF(Settings!$D$47="Weekly",IF(IFERROR(MATCH(Settings!$E$47,$EO$4:$EO$10,0),0)=0,0,IF(MIN($C9,IF(Settings!$G$47="",$C9,Settings!$G$47))&lt;MAX($A9,Settings!$F$47),0,INT((MIN($C9,IF(Settings!$G$47="",$C9,Settings!$G$47))-MAX($A9,Settings!$F$47)-MOD(IFERROR(MATCH(Settings!$E$47,$EO$4:$EO$10,0),0)-WEEKDAY(MAX($A9,Settings!$F$47)),7))/7)+1)),IF(AND(IF(Settings!$E$47="",$B9,DATE(YEAR($A9),MONTH($A9),MIN(Settings!$E$47,DAY($B9))))&gt;=MAX($A9,Settings!$F$47),IF(Settings!$E$47="",$B9,DATE(YEAR($A9),MONTH($A9),MIN(Settings!$E$47,DAY($B9))))&lt;=MIN($C9,IF(Settings!$G$47="",$C9,Settings!$G$47))),1,0)))</f>
        <v/>
      </c>
      <c r="BH9">
        <f>IF(OR(Settings!$C$48="",Settings!$D$48=""),0,Settings!$C$48*IF(Settings!$D$48="Weekly",IF(IFERROR(MATCH(Settings!$E$48,$EO$4:$EO$10,0),0)=0,0,IF(MIN($C9,IF(Settings!$G$48="",$C9,Settings!$G$48))&lt;MAX($A9,Settings!$F$48),0,INT((MIN($C9,IF(Settings!$G$48="",$C9,Settings!$G$48))-MAX($A9,Settings!$F$48)-MOD(IFERROR(MATCH(Settings!$E$48,$EO$4:$EO$10,0),0)-WEEKDAY(MAX($A9,Settings!$F$48)),7))/7)+1)),IF(AND(IF(Settings!$E$48="",$B9,DATE(YEAR($A9),MONTH($A9),MIN(Settings!$E$48,DAY($B9))))&gt;=MAX($A9,Settings!$F$48),IF(Settings!$E$48="",$B9,DATE(YEAR($A9),MONTH($A9),MIN(Settings!$E$48,DAY($B9))))&lt;=MIN($C9,IF(Settings!$G$48="",$C9,Settings!$G$48))),1,0)))</f>
        <v/>
      </c>
      <c r="BI9">
        <f>IF(OR(Settings!$C$49="",Settings!$D$49=""),0,Settings!$C$49*IF(Settings!$D$49="Weekly",IF(IFERROR(MATCH(Settings!$E$49,$EO$4:$EO$10,0),0)=0,0,IF(MIN($C9,IF(Settings!$G$49="",$C9,Settings!$G$49))&lt;MAX($A9,Settings!$F$49),0,INT((MIN($C9,IF(Settings!$G$49="",$C9,Settings!$G$49))-MAX($A9,Settings!$F$49)-MOD(IFERROR(MATCH(Settings!$E$49,$EO$4:$EO$10,0),0)-WEEKDAY(MAX($A9,Settings!$F$49)),7))/7)+1)),IF(AND(IF(Settings!$E$49="",$B9,DATE(YEAR($A9),MONTH($A9),MIN(Settings!$E$49,DAY($B9))))&gt;=MAX($A9,Settings!$F$49),IF(Settings!$E$49="",$B9,DATE(YEAR($A9),MONTH($A9),MIN(Settings!$E$49,DAY($B9))))&lt;=MIN($C9,IF(Settings!$G$49="",$C9,Settings!$G$49))),1,0)))</f>
        <v/>
      </c>
      <c r="BJ9">
        <f>IF(OR(Settings!$C$50="",Settings!$D$50=""),0,Settings!$C$50*IF(Settings!$D$50="Weekly",IF(IFERROR(MATCH(Settings!$E$50,$EO$4:$EO$10,0),0)=0,0,IF(MIN($C9,IF(Settings!$G$50="",$C9,Settings!$G$50))&lt;MAX($A9,Settings!$F$50),0,INT((MIN($C9,IF(Settings!$G$50="",$C9,Settings!$G$50))-MAX($A9,Settings!$F$50)-MOD(IFERROR(MATCH(Settings!$E$50,$EO$4:$EO$10,0),0)-WEEKDAY(MAX($A9,Settings!$F$50)),7))/7)+1)),IF(AND(IF(Settings!$E$50="",$B9,DATE(YEAR($A9),MONTH($A9),MIN(Settings!$E$50,DAY($B9))))&gt;=MAX($A9,Settings!$F$50),IF(Settings!$E$50="",$B9,DATE(YEAR($A9),MONTH($A9),MIN(Settings!$E$50,DAY($B9))))&lt;=MIN($C9,IF(Settings!$G$50="",$C9,Settings!$G$50))),1,0)))</f>
        <v/>
      </c>
      <c r="BK9">
        <f>IF(OR(Settings!$C$51="",Settings!$D$51=""),0,Settings!$C$51*IF(Settings!$D$51="Weekly",IF(IFERROR(MATCH(Settings!$E$51,$EO$4:$EO$10,0),0)=0,0,IF(MIN($C9,IF(Settings!$G$51="",$C9,Settings!$G$51))&lt;MAX($A9,Settings!$F$51),0,INT((MIN($C9,IF(Settings!$G$51="",$C9,Settings!$G$51))-MAX($A9,Settings!$F$51)-MOD(IFERROR(MATCH(Settings!$E$51,$EO$4:$EO$10,0),0)-WEEKDAY(MAX($A9,Settings!$F$51)),7))/7)+1)),IF(AND(IF(Settings!$E$51="",$B9,DATE(YEAR($A9),MONTH($A9),MIN(Settings!$E$51,DAY($B9))))&gt;=MAX($A9,Settings!$F$51),IF(Settings!$E$51="",$B9,DATE(YEAR($A9),MONTH($A9),MIN(Settings!$E$51,DAY($B9))))&lt;=MIN($C9,IF(Settings!$G$51="",$C9,Settings!$G$51))),1,0)))</f>
        <v/>
      </c>
      <c r="BL9">
        <f>IF(OR(Settings!$C$52="",Settings!$D$52=""),0,Settings!$C$52*IF(Settings!$D$52="Weekly",IF(IFERROR(MATCH(Settings!$E$52,$EO$4:$EO$10,0),0)=0,0,IF(MIN($C9,IF(Settings!$G$52="",$C9,Settings!$G$52))&lt;MAX($A9,Settings!$F$52),0,INT((MIN($C9,IF(Settings!$G$52="",$C9,Settings!$G$52))-MAX($A9,Settings!$F$52)-MOD(IFERROR(MATCH(Settings!$E$52,$EO$4:$EO$10,0),0)-WEEKDAY(MAX($A9,Settings!$F$52)),7))/7)+1)),IF(AND(IF(Settings!$E$52="",$B9,DATE(YEAR($A9),MONTH($A9),MIN(Settings!$E$52,DAY($B9))))&gt;=MAX($A9,Settings!$F$52),IF(Settings!$E$52="",$B9,DATE(YEAR($A9),MONTH($A9),MIN(Settings!$E$52,DAY($B9))))&lt;=MIN($C9,IF(Settings!$G$52="",$C9,Settings!$G$52))),1,0)))</f>
        <v/>
      </c>
      <c r="BM9">
        <f>IF(OR(Settings!$C$53="",Settings!$D$53=""),0,Settings!$C$53*IF(Settings!$D$53="Weekly",IF(IFERROR(MATCH(Settings!$E$53,$EO$4:$EO$10,0),0)=0,0,IF(MIN($C9,IF(Settings!$G$53="",$C9,Settings!$G$53))&lt;MAX($A9,Settings!$F$53),0,INT((MIN($C9,IF(Settings!$G$53="",$C9,Settings!$G$53))-MAX($A9,Settings!$F$53)-MOD(IFERROR(MATCH(Settings!$E$53,$EO$4:$EO$10,0),0)-WEEKDAY(MAX($A9,Settings!$F$53)),7))/7)+1)),IF(AND(IF(Settings!$E$53="",$B9,DATE(YEAR($A9),MONTH($A9),MIN(Settings!$E$53,DAY($B9))))&gt;=MAX($A9,Settings!$F$53),IF(Settings!$E$53="",$B9,DATE(YEAR($A9),MONTH($A9),MIN(Settings!$E$53,DAY($B9))))&lt;=MIN($C9,IF(Settings!$G$53="",$C9,Settings!$G$53))),1,0)))</f>
        <v/>
      </c>
      <c r="BN9">
        <f>IF(OR(Settings!$C$54="",Settings!$D$54=""),0,Settings!$C$54*IF(Settings!$D$54="Weekly",IF(IFERROR(MATCH(Settings!$E$54,$EO$4:$EO$10,0),0)=0,0,IF(MIN($C9,IF(Settings!$G$54="",$C9,Settings!$G$54))&lt;MAX($A9,Settings!$F$54),0,INT((MIN($C9,IF(Settings!$G$54="",$C9,Settings!$G$54))-MAX($A9,Settings!$F$54)-MOD(IFERROR(MATCH(Settings!$E$54,$EO$4:$EO$10,0),0)-WEEKDAY(MAX($A9,Settings!$F$54)),7))/7)+1)),IF(AND(IF(Settings!$E$54="",$B9,DATE(YEAR($A9),MONTH($A9),MIN(Settings!$E$54,DAY($B9))))&gt;=MAX($A9,Settings!$F$54),IF(Settings!$E$54="",$B9,DATE(YEAR($A9),MONTH($A9),MIN(Settings!$E$54,DAY($B9))))&lt;=MIN($C9,IF(Settings!$G$54="",$C9,Settings!$G$54))),1,0)))</f>
        <v/>
      </c>
      <c r="BO9">
        <f>IF(OR(Settings!$C$55="",Settings!$D$55=""),0,Settings!$C$55*IF(Settings!$D$55="Weekly",IF(IFERROR(MATCH(Settings!$E$55,$EO$4:$EO$10,0),0)=0,0,IF(MIN($C9,IF(Settings!$G$55="",$C9,Settings!$G$55))&lt;MAX($A9,Settings!$F$55),0,INT((MIN($C9,IF(Settings!$G$55="",$C9,Settings!$G$55))-MAX($A9,Settings!$F$55)-MOD(IFERROR(MATCH(Settings!$E$55,$EO$4:$EO$10,0),0)-WEEKDAY(MAX($A9,Settings!$F$55)),7))/7)+1)),IF(AND(IF(Settings!$E$55="",$B9,DATE(YEAR($A9),MONTH($A9),MIN(Settings!$E$55,DAY($B9))))&gt;=MAX($A9,Settings!$F$55),IF(Settings!$E$55="",$B9,DATE(YEAR($A9),MONTH($A9),MIN(Settings!$E$55,DAY($B9))))&lt;=MIN($C9,IF(Settings!$G$55="",$C9,Settings!$G$55))),1,0)))</f>
        <v/>
      </c>
      <c r="BP9">
        <f>IF(OR(Settings!$C$56="",Settings!$D$56=""),0,Settings!$C$56*IF(Settings!$D$56="Weekly",IF(IFERROR(MATCH(Settings!$E$56,$EO$4:$EO$10,0),0)=0,0,IF(MIN($C9,IF(Settings!$G$56="",$C9,Settings!$G$56))&lt;MAX($A9,Settings!$F$56),0,INT((MIN($C9,IF(Settings!$G$56="",$C9,Settings!$G$56))-MAX($A9,Settings!$F$56)-MOD(IFERROR(MATCH(Settings!$E$56,$EO$4:$EO$10,0),0)-WEEKDAY(MAX($A9,Settings!$F$56)),7))/7)+1)),IF(AND(IF(Settings!$E$56="",$B9,DATE(YEAR($A9),MONTH($A9),MIN(Settings!$E$56,DAY($B9))))&gt;=MAX($A9,Settings!$F$56),IF(Settings!$E$56="",$B9,DATE(YEAR($A9),MONTH($A9),MIN(Settings!$E$56,DAY($B9))))&lt;=MIN($C9,IF(Settings!$G$56="",$C9,Settings!$G$56))),1,0)))</f>
        <v/>
      </c>
      <c r="BQ9">
        <f>IF(OR(Settings!$B$14="",$D9=1,$E9="pre",$A9&lt;IF(Settings!$B$15="",0,Settings!$B$15)),0,Settings!$B$14)</f>
        <v/>
      </c>
      <c r="BR9">
        <f>IF(AND('Month-End'!$F$7&lt;&gt;"",NOT(_xlfn.ISFORMULA('Month-End'!$F$7))),1,0)</f>
        <v/>
      </c>
      <c r="BS9">
        <f>IF(AND('Month-End'!$F$8&lt;&gt;"",NOT(_xlfn.ISFORMULA('Month-End'!$F$8))),1,0)</f>
        <v/>
      </c>
      <c r="BT9">
        <f>IF(AND('Month-End'!$F$9&lt;&gt;"",NOT(_xlfn.ISFORMULA('Month-End'!$F$9))),1,0)</f>
        <v/>
      </c>
      <c r="BU9">
        <f>IF(AND('Month-End'!$F$10&lt;&gt;"",NOT(_xlfn.ISFORMULA('Month-End'!$F$10))),1,0)</f>
        <v/>
      </c>
      <c r="BV9">
        <f>IF(AND('Month-End'!$F$11&lt;&gt;"",NOT(_xlfn.ISFORMULA('Month-End'!$F$11))),1,0)</f>
        <v/>
      </c>
      <c r="BW9">
        <f>IF(AND('Month-End'!$F$12&lt;&gt;"",NOT(_xlfn.ISFORMULA('Month-End'!$F$12))),1,0)</f>
        <v/>
      </c>
      <c r="BX9">
        <f>IF(AND('Month-End'!$F$13&lt;&gt;"",NOT(_xlfn.ISFORMULA('Month-End'!$F$13))),1,0)</f>
        <v/>
      </c>
      <c r="BY9">
        <f>IF(AND('Month-End'!$F$14&lt;&gt;"",NOT(_xlfn.ISFORMULA('Month-End'!$F$14))),1,0)</f>
        <v/>
      </c>
      <c r="BZ9">
        <f>IF(AND('Month-End'!$F$15&lt;&gt;"",NOT(_xlfn.ISFORMULA('Month-End'!$F$15))),1,0)</f>
        <v/>
      </c>
      <c r="CA9">
        <f>IF(AND('Month-End'!$F$16&lt;&gt;"",NOT(_xlfn.ISFORMULA('Month-End'!$F$16))),1,0)</f>
        <v/>
      </c>
      <c r="CB9">
        <f>IF(AND('Month-End'!$F$17&lt;&gt;"",NOT(_xlfn.ISFORMULA('Month-End'!$F$17))),1,0)</f>
        <v/>
      </c>
      <c r="CC9">
        <f>IF(AND('Month-End'!$F$18&lt;&gt;"",NOT(_xlfn.ISFORMULA('Month-End'!$F$18))),1,0)</f>
        <v/>
      </c>
      <c r="CD9">
        <f>IF(AND('Month-End'!$F$19&lt;&gt;"",NOT(_xlfn.ISFORMULA('Month-End'!$F$19))),1,0)</f>
        <v/>
      </c>
      <c r="CE9">
        <f>IF(AND('Month-End'!$F$20&lt;&gt;"",NOT(_xlfn.ISFORMULA('Month-End'!$F$20))),1,0)</f>
        <v/>
      </c>
      <c r="CF9">
        <f>IF(AND('Month-End'!$F$38&lt;&gt;"",NOT(_xlfn.ISFORMULA('Month-End'!$F$38))),1,0)</f>
        <v/>
      </c>
      <c r="CG9">
        <f>IF(AND('Month-End'!$F$39&lt;&gt;"",NOT(_xlfn.ISFORMULA('Month-End'!$F$39))),1,0)</f>
        <v/>
      </c>
      <c r="CH9">
        <f>IF(AND('Month-End'!$F$40&lt;&gt;"",NOT(_xlfn.ISFORMULA('Month-End'!$F$40))),1,0)</f>
        <v/>
      </c>
      <c r="CI9">
        <f>IF(AND('Month-End'!$F$41&lt;&gt;"",NOT(_xlfn.ISFORMULA('Month-End'!$F$41))),1,0)</f>
        <v/>
      </c>
      <c r="CJ9">
        <f>IF(AND('Month-End'!$F$42&lt;&gt;"",NOT(_xlfn.ISFORMULA('Month-End'!$F$42))),1,0)</f>
        <v/>
      </c>
      <c r="CK9">
        <f>IF(AND('Month-End'!$F$43&lt;&gt;"",NOT(_xlfn.ISFORMULA('Month-End'!$F$43))),1,0)</f>
        <v/>
      </c>
      <c r="CL9">
        <f>SUM($CM9:$CZ9)</f>
        <v/>
      </c>
      <c r="CM9">
        <f>IF(AND($E9&lt;&gt;"pre",AND(Settings!$A$19&lt;&gt;"",Settings!$E$19&lt;&gt;"No"),Settings!$F$19="Yes",NOT(AND('Month-End'!$F$7&lt;&gt;"",NOT(_xlfn.ISFORMULA('Month-End'!$F$7))))),1,0)</f>
        <v/>
      </c>
      <c r="CN9">
        <f>IF(AND($E9&lt;&gt;"pre",AND(Settings!$A$20&lt;&gt;"",Settings!$E$20&lt;&gt;"No"),Settings!$F$20="Yes",NOT(AND('Month-End'!$F$8&lt;&gt;"",NOT(_xlfn.ISFORMULA('Month-End'!$F$8))))),1,0)</f>
        <v/>
      </c>
      <c r="CO9">
        <f>IF(AND($E9&lt;&gt;"pre",AND(Settings!$A$21&lt;&gt;"",Settings!$E$21&lt;&gt;"No"),Settings!$F$21="Yes",NOT(AND('Month-End'!$F$9&lt;&gt;"",NOT(_xlfn.ISFORMULA('Month-End'!$F$9))))),1,0)</f>
        <v/>
      </c>
      <c r="CP9">
        <f>IF(AND($E9&lt;&gt;"pre",AND(Settings!$A$22&lt;&gt;"",Settings!$E$22&lt;&gt;"No"),Settings!$F$22="Yes",NOT(AND('Month-End'!$F$10&lt;&gt;"",NOT(_xlfn.ISFORMULA('Month-End'!$F$10))))),1,0)</f>
        <v/>
      </c>
      <c r="CQ9">
        <f>IF(AND($E9&lt;&gt;"pre",AND(Settings!$A$23&lt;&gt;"",Settings!$E$23&lt;&gt;"No"),Settings!$F$23="Yes",NOT(AND('Month-End'!$F$11&lt;&gt;"",NOT(_xlfn.ISFORMULA('Month-End'!$F$11))))),1,0)</f>
        <v/>
      </c>
      <c r="CR9">
        <f>IF(AND($E9&lt;&gt;"pre",AND(Settings!$A$24&lt;&gt;"",Settings!$E$24&lt;&gt;"No"),Settings!$F$24="Yes",NOT(AND('Month-End'!$F$12&lt;&gt;"",NOT(_xlfn.ISFORMULA('Month-End'!$F$12))))),1,0)</f>
        <v/>
      </c>
      <c r="CS9">
        <f>IF(AND($E9&lt;&gt;"pre",AND(Settings!$A$25&lt;&gt;"",Settings!$E$25&lt;&gt;"No"),Settings!$F$25="Yes",NOT(AND('Month-End'!$F$13&lt;&gt;"",NOT(_xlfn.ISFORMULA('Month-End'!$F$13))))),1,0)</f>
        <v/>
      </c>
      <c r="CT9">
        <f>IF(AND($E9&lt;&gt;"pre",AND(Settings!$A$26&lt;&gt;"",Settings!$E$26&lt;&gt;"No"),Settings!$F$26="Yes",NOT(AND('Month-End'!$F$14&lt;&gt;"",NOT(_xlfn.ISFORMULA('Month-End'!$F$14))))),1,0)</f>
        <v/>
      </c>
      <c r="CU9">
        <f>IF(AND($E9&lt;&gt;"pre",AND(Settings!$A$27&lt;&gt;"",Settings!$E$27&lt;&gt;"No"),Settings!$F$27="Yes",NOT(AND('Month-End'!$F$15&lt;&gt;"",NOT(_xlfn.ISFORMULA('Month-End'!$F$15))))),1,0)</f>
        <v/>
      </c>
      <c r="CV9">
        <f>IF(AND($E9&lt;&gt;"pre",AND(Settings!$A$28&lt;&gt;"",Settings!$E$28&lt;&gt;"No"),Settings!$F$28="Yes",NOT(AND('Month-End'!$F$16&lt;&gt;"",NOT(_xlfn.ISFORMULA('Month-End'!$F$16))))),1,0)</f>
        <v/>
      </c>
      <c r="CW9">
        <f>IF(AND($E9&lt;&gt;"pre",AND(Settings!$A$29&lt;&gt;"",Settings!$E$29&lt;&gt;"No"),Settings!$F$29="Yes",NOT(AND('Month-End'!$F$17&lt;&gt;"",NOT(_xlfn.ISFORMULA('Month-End'!$F$17))))),1,0)</f>
        <v/>
      </c>
      <c r="CX9">
        <f>IF(AND($E9&lt;&gt;"pre",AND(Settings!$A$30&lt;&gt;"",Settings!$E$30&lt;&gt;"No"),Settings!$F$30="Yes",NOT(AND('Month-End'!$F$18&lt;&gt;"",NOT(_xlfn.ISFORMULA('Month-End'!$F$18))))),1,0)</f>
        <v/>
      </c>
      <c r="CY9">
        <f>IF(AND($E9&lt;&gt;"pre",AND(Settings!$A$31&lt;&gt;"",Settings!$E$31&lt;&gt;"No"),Settings!$F$31="Yes",NOT(AND('Month-End'!$F$19&lt;&gt;"",NOT(_xlfn.ISFORMULA('Month-End'!$F$19))))),1,0)</f>
        <v/>
      </c>
      <c r="CZ9">
        <f>IF(AND($E9&lt;&gt;"pre",AND(Settings!$A$32&lt;&gt;"",Settings!$E$32&lt;&gt;"No"),Settings!$F$32="Yes",NOT(AND('Month-End'!$F$20&lt;&gt;"",NOT(_xlfn.ISFORMULA('Month-End'!$F$20))))),1,0)</f>
        <v/>
      </c>
      <c r="DA9">
        <f>IF($DT9=1,IF(OR(Settings!$B$19="Checking",Settings!$B$19="Savings",Settings!$B$19="Cash"),N($AE9),IF(OR(Settings!$B$19="Card",Settings!$B$19="Loan"),-N($AE9),0))+IF(OR(Settings!$B$20="Checking",Settings!$B$20="Savings",Settings!$B$20="Cash"),N($AF9),IF(OR(Settings!$B$20="Card",Settings!$B$20="Loan"),-N($AF9),0))+IF(OR(Settings!$B$21="Checking",Settings!$B$21="Savings",Settings!$B$21="Cash"),N($AG9),IF(OR(Settings!$B$21="Card",Settings!$B$21="Loan"),-N($AG9),0))+IF(OR(Settings!$B$22="Checking",Settings!$B$22="Savings",Settings!$B$22="Cash"),N($AH9),IF(OR(Settings!$B$22="Card",Settings!$B$22="Loan"),-N($AH9),0))+IF(OR(Settings!$B$23="Checking",Settings!$B$23="Savings",Settings!$B$23="Cash"),N($AI9),IF(OR(Settings!$B$23="Card",Settings!$B$23="Loan"),-N($AI9),0))+IF(OR(Settings!$B$24="Checking",Settings!$B$24="Savings",Settings!$B$24="Cash"),N($AJ9),IF(OR(Settings!$B$24="Card",Settings!$B$24="Loan"),-N($AJ9),0))+IF(OR(Settings!$B$25="Checking",Settings!$B$25="Savings",Settings!$B$25="Cash"),N($AK9),IF(OR(Settings!$B$25="Card",Settings!$B$25="Loan"),-N($AK9),0))+IF(OR(Settings!$B$26="Checking",Settings!$B$26="Savings",Settings!$B$26="Cash"),N($AL9),IF(OR(Settings!$B$26="Card",Settings!$B$26="Loan"),-N($AL9),0))+IF(OR(Settings!$B$27="Checking",Settings!$B$27="Savings",Settings!$B$27="Cash"),N($AM9),IF(OR(Settings!$B$27="Card",Settings!$B$27="Loan"),-N($AM9),0))+IF(OR(Settings!$B$28="Checking",Settings!$B$28="Savings",Settings!$B$28="Cash"),N($AN9),IF(OR(Settings!$B$28="Card",Settings!$B$28="Loan"),-N($AN9),0))+IF(OR(Settings!$B$29="Checking",Settings!$B$29="Savings",Settings!$B$29="Cash"),N($AO9),IF(OR(Settings!$B$29="Card",Settings!$B$29="Loan"),-N($AO9),0))+IF(OR(Settings!$B$30="Checking",Settings!$B$30="Savings",Settings!$B$30="Cash"),N($AP9),IF(OR(Settings!$B$30="Card",Settings!$B$30="Loan"),-N($AP9),0))+IF(OR(Settings!$B$31="Checking",Settings!$B$31="Savings",Settings!$B$31="Cash"),N($AQ9),IF(OR(Settings!$B$31="Card",Settings!$B$31="Loan"),-N($AQ9),0))+IF(OR(Settings!$B$32="Checking",Settings!$B$32="Savings",Settings!$B$32="Cash"),N($AR9),IF(OR(Settings!$B$32="Card",Settings!$B$32="Loan"),-N($AR9),0)),"")</f>
        <v/>
      </c>
      <c r="DB9">
        <f>IF($E9="open",$EB$27,IF($E9="post",IF($E8="pre",$EB$27,$DA8),""))</f>
        <v/>
      </c>
      <c r="DC9">
        <f>IF($E9="open",1,IF($E9="post",IF($E8="pre",1,$DT8),0))</f>
        <v/>
      </c>
      <c r="DD9">
        <f>IF(AND($DT9=1,$DC9=1),ROUND($W9-($DA9-$DB9)-$AD9-$AB9,2),"")</f>
        <v/>
      </c>
      <c r="DE9">
        <f>IF('Month-End'!$F$35="",$BQ9,N('Month-End'!$F$35))</f>
        <v/>
      </c>
      <c r="DF9">
        <f>N('Month-End'!$F$36)</f>
        <v/>
      </c>
      <c r="DG9">
        <f>IF($DD9="","",$DD9+$DE9)</f>
        <v/>
      </c>
      <c r="DH9">
        <f>IF($DG9="","",$DG9-$DF9)</f>
        <v/>
      </c>
      <c r="DI9">
        <f>IF(OR($E9="pre",$D9=1),"",N($AS9)+N($AT9)+N($AU9)+N($AV9)+N($AW9)+N($AX9))</f>
        <v/>
      </c>
      <c r="DJ9">
        <f>IF($DT9=1,$DA9+N($DI9),"")</f>
        <v/>
      </c>
      <c r="DK9">
        <f>IF($DD9="","",$W9-$DD9-$AB9)</f>
        <v/>
      </c>
      <c r="DL9">
        <f>IF(AND($E9="post",$DD9&lt;&gt;"",$B9&lt;TODAY()),1,0)</f>
        <v/>
      </c>
      <c r="DM9">
        <f>IF($DL9=1,COUNTIF($DL9:$DL$183,1),0)</f>
        <v/>
      </c>
      <c r="DN9">
        <f>IF($D9=1,"",IF($E9="pre","History only",IF($DT9=1,IF($DD9="","⚠ Previous month missing",IF($DD9&lt;0,"⚠ Check: spending &lt; 0",IF($E9="open","✓ Done (partial)","✓ Done"))),IF($B9&gt;=TODAY(),"In progress","⚠ Needs balances"))))</f>
        <v/>
      </c>
      <c r="DO9">
        <f>YEAR($A9)</f>
        <v/>
      </c>
      <c r="DP9">
        <f>DATE(YEAR($A9),INT((MONTH($A9)-1)/3)*3+1,1)</f>
        <v/>
      </c>
      <c r="DQ9">
        <f>IF(AND($DT9=1,$DD9&lt;&gt;"",$D9=0),ROW(),0)</f>
        <v/>
      </c>
      <c r="DR9">
        <f>IF(AND($E9&lt;&gt;"pre",$B9&lt;TODAY(),$DT9=0),1,0)</f>
        <v/>
      </c>
      <c r="DS9">
        <f>IF($DJ9="",NA(),$DJ9)</f>
        <v/>
      </c>
      <c r="DT9">
        <f>IF(AND($E9&lt;&gt;"pre",$CL9=0,COUNTIFS(Settings!$F$19:$F$32,"Yes",Settings!$A$19:$A$32,"&lt;&gt;",Settings!$E$19:$E$32,"&lt;&gt;No")&gt;0),1,0)</f>
        <v/>
      </c>
      <c r="DU9">
        <f>IF(AND($B9&lt;TODAY(),$S9&gt;0),1,0)</f>
        <v/>
      </c>
      <c r="DV9">
        <f>IF($DU9=1,COUNTIF($DU9:$DU$183,1),0)</f>
        <v/>
      </c>
      <c r="DW9">
        <f>IF(AND(OR(Settings!$B$19="Card",Settings!$B$19="Loan"),AND('Month-End'!$F$7&lt;&gt;"",NOT(_xlfn.ISFORMULA('Month-End'!$F$7)))),IF(N('Month-End'!$F$7)&lt;0,1,0),0)+IF(AND(OR(Settings!$B$20="Card",Settings!$B$20="Loan"),AND('Month-End'!$F$8&lt;&gt;"",NOT(_xlfn.ISFORMULA('Month-End'!$F$8)))),IF(N('Month-End'!$F$8)&lt;0,1,0),0)+IF(AND(OR(Settings!$B$21="Card",Settings!$B$21="Loan"),AND('Month-End'!$F$9&lt;&gt;"",NOT(_xlfn.ISFORMULA('Month-End'!$F$9)))),IF(N('Month-End'!$F$9)&lt;0,1,0),0)+IF(AND(OR(Settings!$B$22="Card",Settings!$B$22="Loan"),AND('Month-End'!$F$10&lt;&gt;"",NOT(_xlfn.ISFORMULA('Month-End'!$F$10)))),IF(N('Month-End'!$F$10)&lt;0,1,0),0)+IF(AND(OR(Settings!$B$23="Card",Settings!$B$23="Loan"),AND('Month-End'!$F$11&lt;&gt;"",NOT(_xlfn.ISFORMULA('Month-End'!$F$11)))),IF(N('Month-End'!$F$11)&lt;0,1,0),0)+IF(AND(OR(Settings!$B$24="Card",Settings!$B$24="Loan"),AND('Month-End'!$F$12&lt;&gt;"",NOT(_xlfn.ISFORMULA('Month-End'!$F$12)))),IF(N('Month-End'!$F$12)&lt;0,1,0),0)+IF(AND(OR(Settings!$B$25="Card",Settings!$B$25="Loan"),AND('Month-End'!$F$13&lt;&gt;"",NOT(_xlfn.ISFORMULA('Month-End'!$F$13)))),IF(N('Month-End'!$F$13)&lt;0,1,0),0)+IF(AND(OR(Settings!$B$26="Card",Settings!$B$26="Loan"),AND('Month-End'!$F$14&lt;&gt;"",NOT(_xlfn.ISFORMULA('Month-End'!$F$14)))),IF(N('Month-End'!$F$14)&lt;0,1,0),0)+IF(AND(OR(Settings!$B$27="Card",Settings!$B$27="Loan"),AND('Month-End'!$F$15&lt;&gt;"",NOT(_xlfn.ISFORMULA('Month-End'!$F$15)))),IF(N('Month-End'!$F$15)&lt;0,1,0),0)+IF(AND(OR(Settings!$B$28="Card",Settings!$B$28="Loan"),AND('Month-End'!$F$16&lt;&gt;"",NOT(_xlfn.ISFORMULA('Month-End'!$F$16)))),IF(N('Month-End'!$F$16)&lt;0,1,0),0)+IF(AND(OR(Settings!$B$29="Card",Settings!$B$29="Loan"),AND('Month-End'!$F$17&lt;&gt;"",NOT(_xlfn.ISFORMULA('Month-End'!$F$17)))),IF(N('Month-End'!$F$17)&lt;0,1,0),0)+IF(AND(OR(Settings!$B$30="Card",Settings!$B$30="Loan"),AND('Month-End'!$F$18&lt;&gt;"",NOT(_xlfn.ISFORMULA('Month-End'!$F$18)))),IF(N('Month-End'!$F$18)&lt;0,1,0),0)+IF(AND(OR(Settings!$B$31="Card",Settings!$B$31="Loan"),AND('Month-End'!$F$19&lt;&gt;"",NOT(_xlfn.ISFORMULA('Month-End'!$F$19)))),IF(N('Month-End'!$F$19)&lt;0,1,0),0)+IF(AND(OR(Settings!$B$32="Card",Settings!$B$32="Loan"),AND('Month-End'!$F$20&lt;&gt;"",NOT(_xlfn.ISFORMULA('Month-End'!$F$20)))),IF(N('Month-End'!$F$20)&lt;0,1,0),0)</f>
        <v/>
      </c>
      <c r="DX9">
        <f>IF(Settings!$B$36="Retirement",$AY9,0)+IF(Settings!$B$37="Retirement",$AZ9,0)+IF(Settings!$B$38="Retirement",$BA9,0)+IF(Settings!$B$39="Retirement",$BB9,0)+IF(Settings!$B$40="Retirement",$BC9,0)+IF(Settings!$B$41="Retirement",$BD9,0)</f>
        <v/>
      </c>
      <c r="EA9" t="inlineStr">
        <is>
          <t>Retirement</t>
        </is>
      </c>
      <c r="EB9">
        <f>EB32</f>
        <v/>
      </c>
      <c r="EO9" t="inlineStr">
        <is>
          <t>Friday</t>
        </is>
      </c>
      <c r="ET9">
        <f>IF($E9&lt;&gt;"open",0,IF(AND('Month-End'!$F$22&lt;&gt;"",NOT(_xlfn.ISFORMULA('Month-End'!$F$22))),0,IF(OR(Settings!$C$45="",Settings!$D$45=""),0,Settings!$C$45*IF(Settings!$D$45="Weekly",IF(IFERROR(MATCH(Settings!$E$45,$EO$4:$EO$10,0),0)=0,0,IF(MIN(Settings!$B$5,IF(Settings!$G$45="",Settings!$B$5,Settings!$G$45))&lt;MAX($A9,Settings!$F$45),0,INT((MIN(Settings!$B$5,IF(Settings!$G$45="",Settings!$B$5,Settings!$G$45))-MAX($A9,Settings!$F$45)-MOD(IFERROR(MATCH(Settings!$E$45,$EO$4:$EO$10,0),0)-WEEKDAY(MAX($A9,Settings!$F$45)),7))/7)+1)),IF(AND(IF(Settings!$E$45="",$B9,DATE(YEAR($A9),MONTH($A9),MIN(Settings!$E$45,DAY($B9))))&gt;=MAX($A9,Settings!$F$45),IF(Settings!$E$45="",$B9,DATE(YEAR($A9),MONTH($A9),MIN(Settings!$E$45,DAY($B9))))&lt;=MIN(Settings!$B$5,IF(Settings!$G$45="",Settings!$B$5,Settings!$G$45))),1,0)))))</f>
        <v/>
      </c>
      <c r="EU9">
        <f>IF($E9&lt;&gt;"open",0,IF(AND('Month-End'!$F$23&lt;&gt;"",NOT(_xlfn.ISFORMULA('Month-End'!$F$23))),0,IF(OR(Settings!$C$46="",Settings!$D$46=""),0,Settings!$C$46*IF(Settings!$D$46="Weekly",IF(IFERROR(MATCH(Settings!$E$46,$EO$4:$EO$10,0),0)=0,0,IF(MIN(Settings!$B$5,IF(Settings!$G$46="",Settings!$B$5,Settings!$G$46))&lt;MAX($A9,Settings!$F$46),0,INT((MIN(Settings!$B$5,IF(Settings!$G$46="",Settings!$B$5,Settings!$G$46))-MAX($A9,Settings!$F$46)-MOD(IFERROR(MATCH(Settings!$E$46,$EO$4:$EO$10,0),0)-WEEKDAY(MAX($A9,Settings!$F$46)),7))/7)+1)),IF(AND(IF(Settings!$E$46="",$B9,DATE(YEAR($A9),MONTH($A9),MIN(Settings!$E$46,DAY($B9))))&gt;=MAX($A9,Settings!$F$46),IF(Settings!$E$46="",$B9,DATE(YEAR($A9),MONTH($A9),MIN(Settings!$E$46,DAY($B9))))&lt;=MIN(Settings!$B$5,IF(Settings!$G$46="",Settings!$B$5,Settings!$G$46))),1,0)))))</f>
        <v/>
      </c>
      <c r="EV9">
        <f>IF($E9&lt;&gt;"open",0,IF(AND('Month-End'!$F$24&lt;&gt;"",NOT(_xlfn.ISFORMULA('Month-End'!$F$24))),0,IF(OR(Settings!$C$47="",Settings!$D$47=""),0,Settings!$C$47*IF(Settings!$D$47="Weekly",IF(IFERROR(MATCH(Settings!$E$47,$EO$4:$EO$10,0),0)=0,0,IF(MIN(Settings!$B$5,IF(Settings!$G$47="",Settings!$B$5,Settings!$G$47))&lt;MAX($A9,Settings!$F$47),0,INT((MIN(Settings!$B$5,IF(Settings!$G$47="",Settings!$B$5,Settings!$G$47))-MAX($A9,Settings!$F$47)-MOD(IFERROR(MATCH(Settings!$E$47,$EO$4:$EO$10,0),0)-WEEKDAY(MAX($A9,Settings!$F$47)),7))/7)+1)),IF(AND(IF(Settings!$E$47="",$B9,DATE(YEAR($A9),MONTH($A9),MIN(Settings!$E$47,DAY($B9))))&gt;=MAX($A9,Settings!$F$47),IF(Settings!$E$47="",$B9,DATE(YEAR($A9),MONTH($A9),MIN(Settings!$E$47,DAY($B9))))&lt;=MIN(Settings!$B$5,IF(Settings!$G$47="",Settings!$B$5,Settings!$G$47))),1,0)))))</f>
        <v/>
      </c>
      <c r="EW9">
        <f>IF($E9&lt;&gt;"open",0,IF(AND('Month-End'!$F$25&lt;&gt;"",NOT(_xlfn.ISFORMULA('Month-End'!$F$25))),0,IF(OR(Settings!$C$48="",Settings!$D$48=""),0,Settings!$C$48*IF(Settings!$D$48="Weekly",IF(IFERROR(MATCH(Settings!$E$48,$EO$4:$EO$10,0),0)=0,0,IF(MIN(Settings!$B$5,IF(Settings!$G$48="",Settings!$B$5,Settings!$G$48))&lt;MAX($A9,Settings!$F$48),0,INT((MIN(Settings!$B$5,IF(Settings!$G$48="",Settings!$B$5,Settings!$G$48))-MAX($A9,Settings!$F$48)-MOD(IFERROR(MATCH(Settings!$E$48,$EO$4:$EO$10,0),0)-WEEKDAY(MAX($A9,Settings!$F$48)),7))/7)+1)),IF(AND(IF(Settings!$E$48="",$B9,DATE(YEAR($A9),MONTH($A9),MIN(Settings!$E$48,DAY($B9))))&gt;=MAX($A9,Settings!$F$48),IF(Settings!$E$48="",$B9,DATE(YEAR($A9),MONTH($A9),MIN(Settings!$E$48,DAY($B9))))&lt;=MIN(Settings!$B$5,IF(Settings!$G$48="",Settings!$B$5,Settings!$G$48))),1,0)))))</f>
        <v/>
      </c>
      <c r="EX9">
        <f>IF($E9&lt;&gt;"open",0,IF(AND('Month-End'!$F$26&lt;&gt;"",NOT(_xlfn.ISFORMULA('Month-End'!$F$26))),0,IF(OR(Settings!$C$49="",Settings!$D$49=""),0,Settings!$C$49*IF(Settings!$D$49="Weekly",IF(IFERROR(MATCH(Settings!$E$49,$EO$4:$EO$10,0),0)=0,0,IF(MIN(Settings!$B$5,IF(Settings!$G$49="",Settings!$B$5,Settings!$G$49))&lt;MAX($A9,Settings!$F$49),0,INT((MIN(Settings!$B$5,IF(Settings!$G$49="",Settings!$B$5,Settings!$G$49))-MAX($A9,Settings!$F$49)-MOD(IFERROR(MATCH(Settings!$E$49,$EO$4:$EO$10,0),0)-WEEKDAY(MAX($A9,Settings!$F$49)),7))/7)+1)),IF(AND(IF(Settings!$E$49="",$B9,DATE(YEAR($A9),MONTH($A9),MIN(Settings!$E$49,DAY($B9))))&gt;=MAX($A9,Settings!$F$49),IF(Settings!$E$49="",$B9,DATE(YEAR($A9),MONTH($A9),MIN(Settings!$E$49,DAY($B9))))&lt;=MIN(Settings!$B$5,IF(Settings!$G$49="",Settings!$B$5,Settings!$G$49))),1,0)))))</f>
        <v/>
      </c>
      <c r="EY9">
        <f>IF($E9&lt;&gt;"open",0,IF(AND('Month-End'!$F$27&lt;&gt;"",NOT(_xlfn.ISFORMULA('Month-End'!$F$27))),0,IF(OR(Settings!$C$50="",Settings!$D$50=""),0,Settings!$C$50*IF(Settings!$D$50="Weekly",IF(IFERROR(MATCH(Settings!$E$50,$EO$4:$EO$10,0),0)=0,0,IF(MIN(Settings!$B$5,IF(Settings!$G$50="",Settings!$B$5,Settings!$G$50))&lt;MAX($A9,Settings!$F$50),0,INT((MIN(Settings!$B$5,IF(Settings!$G$50="",Settings!$B$5,Settings!$G$50))-MAX($A9,Settings!$F$50)-MOD(IFERROR(MATCH(Settings!$E$50,$EO$4:$EO$10,0),0)-WEEKDAY(MAX($A9,Settings!$F$50)),7))/7)+1)),IF(AND(IF(Settings!$E$50="",$B9,DATE(YEAR($A9),MONTH($A9),MIN(Settings!$E$50,DAY($B9))))&gt;=MAX($A9,Settings!$F$50),IF(Settings!$E$50="",$B9,DATE(YEAR($A9),MONTH($A9),MIN(Settings!$E$50,DAY($B9))))&lt;=MIN(Settings!$B$5,IF(Settings!$G$50="",Settings!$B$5,Settings!$G$50))),1,0)))))</f>
        <v/>
      </c>
      <c r="EZ9">
        <f>IF($E9&lt;&gt;"open",0,IF(AND('Month-End'!$F$28&lt;&gt;"",NOT(_xlfn.ISFORMULA('Month-End'!$F$28))),0,IF(OR(Settings!$C$51="",Settings!$D$51=""),0,Settings!$C$51*IF(Settings!$D$51="Weekly",IF(IFERROR(MATCH(Settings!$E$51,$EO$4:$EO$10,0),0)=0,0,IF(MIN(Settings!$B$5,IF(Settings!$G$51="",Settings!$B$5,Settings!$G$51))&lt;MAX($A9,Settings!$F$51),0,INT((MIN(Settings!$B$5,IF(Settings!$G$51="",Settings!$B$5,Settings!$G$51))-MAX($A9,Settings!$F$51)-MOD(IFERROR(MATCH(Settings!$E$51,$EO$4:$EO$10,0),0)-WEEKDAY(MAX($A9,Settings!$F$51)),7))/7)+1)),IF(AND(IF(Settings!$E$51="",$B9,DATE(YEAR($A9),MONTH($A9),MIN(Settings!$E$51,DAY($B9))))&gt;=MAX($A9,Settings!$F$51),IF(Settings!$E$51="",$B9,DATE(YEAR($A9),MONTH($A9),MIN(Settings!$E$51,DAY($B9))))&lt;=MIN(Settings!$B$5,IF(Settings!$G$51="",Settings!$B$5,Settings!$G$51))),1,0)))))</f>
        <v/>
      </c>
      <c r="FA9">
        <f>IF($E9&lt;&gt;"open",0,IF(AND('Month-End'!$F$29&lt;&gt;"",NOT(_xlfn.ISFORMULA('Month-End'!$F$29))),0,IF(OR(Settings!$C$52="",Settings!$D$52=""),0,Settings!$C$52*IF(Settings!$D$52="Weekly",IF(IFERROR(MATCH(Settings!$E$52,$EO$4:$EO$10,0),0)=0,0,IF(MIN(Settings!$B$5,IF(Settings!$G$52="",Settings!$B$5,Settings!$G$52))&lt;MAX($A9,Settings!$F$52),0,INT((MIN(Settings!$B$5,IF(Settings!$G$52="",Settings!$B$5,Settings!$G$52))-MAX($A9,Settings!$F$52)-MOD(IFERROR(MATCH(Settings!$E$52,$EO$4:$EO$10,0),0)-WEEKDAY(MAX($A9,Settings!$F$52)),7))/7)+1)),IF(AND(IF(Settings!$E$52="",$B9,DATE(YEAR($A9),MONTH($A9),MIN(Settings!$E$52,DAY($B9))))&gt;=MAX($A9,Settings!$F$52),IF(Settings!$E$52="",$B9,DATE(YEAR($A9),MONTH($A9),MIN(Settings!$E$52,DAY($B9))))&lt;=MIN(Settings!$B$5,IF(Settings!$G$52="",Settings!$B$5,Settings!$G$52))),1,0)))))</f>
        <v/>
      </c>
      <c r="FB9">
        <f>IF($E9&lt;&gt;"open",0,IF(AND('Month-End'!$F$30&lt;&gt;"",NOT(_xlfn.ISFORMULA('Month-End'!$F$30))),0,IF(OR(Settings!$C$53="",Settings!$D$53=""),0,Settings!$C$53*IF(Settings!$D$53="Weekly",IF(IFERROR(MATCH(Settings!$E$53,$EO$4:$EO$10,0),0)=0,0,IF(MIN(Settings!$B$5,IF(Settings!$G$53="",Settings!$B$5,Settings!$G$53))&lt;MAX($A9,Settings!$F$53),0,INT((MIN(Settings!$B$5,IF(Settings!$G$53="",Settings!$B$5,Settings!$G$53))-MAX($A9,Settings!$F$53)-MOD(IFERROR(MATCH(Settings!$E$53,$EO$4:$EO$10,0),0)-WEEKDAY(MAX($A9,Settings!$F$53)),7))/7)+1)),IF(AND(IF(Settings!$E$53="",$B9,DATE(YEAR($A9),MONTH($A9),MIN(Settings!$E$53,DAY($B9))))&gt;=MAX($A9,Settings!$F$53),IF(Settings!$E$53="",$B9,DATE(YEAR($A9),MONTH($A9),MIN(Settings!$E$53,DAY($B9))))&lt;=MIN(Settings!$B$5,IF(Settings!$G$53="",Settings!$B$5,Settings!$G$53))),1,0)))))</f>
        <v/>
      </c>
      <c r="FC9">
        <f>IF($E9&lt;&gt;"open",0,IF(AND('Month-End'!$F$31&lt;&gt;"",NOT(_xlfn.ISFORMULA('Month-End'!$F$31))),0,IF(OR(Settings!$C$54="",Settings!$D$54=""),0,Settings!$C$54*IF(Settings!$D$54="Weekly",IF(IFERROR(MATCH(Settings!$E$54,$EO$4:$EO$10,0),0)=0,0,IF(MIN(Settings!$B$5,IF(Settings!$G$54="",Settings!$B$5,Settings!$G$54))&lt;MAX($A9,Settings!$F$54),0,INT((MIN(Settings!$B$5,IF(Settings!$G$54="",Settings!$B$5,Settings!$G$54))-MAX($A9,Settings!$F$54)-MOD(IFERROR(MATCH(Settings!$E$54,$EO$4:$EO$10,0),0)-WEEKDAY(MAX($A9,Settings!$F$54)),7))/7)+1)),IF(AND(IF(Settings!$E$54="",$B9,DATE(YEAR($A9),MONTH($A9),MIN(Settings!$E$54,DAY($B9))))&gt;=MAX($A9,Settings!$F$54),IF(Settings!$E$54="",$B9,DATE(YEAR($A9),MONTH($A9),MIN(Settings!$E$54,DAY($B9))))&lt;=MIN(Settings!$B$5,IF(Settings!$G$54="",Settings!$B$5,Settings!$G$54))),1,0)))))</f>
        <v/>
      </c>
      <c r="FD9">
        <f>IF($E9&lt;&gt;"open",0,IF(AND('Month-End'!$F$32&lt;&gt;"",NOT(_xlfn.ISFORMULA('Month-End'!$F$32))),0,IF(OR(Settings!$C$55="",Settings!$D$55=""),0,Settings!$C$55*IF(Settings!$D$55="Weekly",IF(IFERROR(MATCH(Settings!$E$55,$EO$4:$EO$10,0),0)=0,0,IF(MIN(Settings!$B$5,IF(Settings!$G$55="",Settings!$B$5,Settings!$G$55))&lt;MAX($A9,Settings!$F$55),0,INT((MIN(Settings!$B$5,IF(Settings!$G$55="",Settings!$B$5,Settings!$G$55))-MAX($A9,Settings!$F$55)-MOD(IFERROR(MATCH(Settings!$E$55,$EO$4:$EO$10,0),0)-WEEKDAY(MAX($A9,Settings!$F$55)),7))/7)+1)),IF(AND(IF(Settings!$E$55="",$B9,DATE(YEAR($A9),MONTH($A9),MIN(Settings!$E$55,DAY($B9))))&gt;=MAX($A9,Settings!$F$55),IF(Settings!$E$55="",$B9,DATE(YEAR($A9),MONTH($A9),MIN(Settings!$E$55,DAY($B9))))&lt;=MIN(Settings!$B$5,IF(Settings!$G$55="",Settings!$B$5,Settings!$G$55))),1,0)))))</f>
        <v/>
      </c>
      <c r="FE9">
        <f>IF($E9&lt;&gt;"open",0,IF(AND('Month-End'!$F$33&lt;&gt;"",NOT(_xlfn.ISFORMULA('Month-End'!$F$33))),0,IF(OR(Settings!$C$56="",Settings!$D$56=""),0,Settings!$C$56*IF(Settings!$D$56="Weekly",IF(IFERROR(MATCH(Settings!$E$56,$EO$4:$EO$10,0),0)=0,0,IF(MIN(Settings!$B$5,IF(Settings!$G$56="",Settings!$B$5,Settings!$G$56))&lt;MAX($A9,Settings!$F$56),0,INT((MIN(Settings!$B$5,IF(Settings!$G$56="",Settings!$B$5,Settings!$G$56))-MAX($A9,Settings!$F$56)-MOD(IFERROR(MATCH(Settings!$E$56,$EO$4:$EO$10,0),0)-WEEKDAY(MAX($A9,Settings!$F$56)),7))/7)+1)),IF(AND(IF(Settings!$E$56="",$B9,DATE(YEAR($A9),MONTH($A9),MIN(Settings!$E$56,DAY($B9))))&gt;=MAX($A9,Settings!$F$56),IF(Settings!$E$56="",$B9,DATE(YEAR($A9),MONTH($A9),MIN(Settings!$E$56,DAY($B9))))&lt;=MIN(Settings!$B$5,IF(Settings!$G$56="",Settings!$B$5,Settings!$G$56))),1,0)))))</f>
        <v/>
      </c>
      <c r="FF9">
        <f>IF(Settings!$I$45="Yes",$G9,0)+IF(Settings!$I$46="Yes",$H9,0)+IF(Settings!$I$47="Yes",$I9,0)+IF(Settings!$I$48="Yes",$J9,0)+IF(Settings!$I$49="Yes",$K9,0)+IF(Settings!$I$50="Yes",$L9,0)+IF(Settings!$I$51="Yes",$M9,0)+IF(Settings!$I$52="Yes",$N9,0)+IF(Settings!$I$53="Yes",$O9,0)+IF(Settings!$I$54="Yes",$P9,0)+IF(Settings!$I$55="Yes",$Q9,0)+IF(Settings!$I$56="Yes",$R9,0)</f>
        <v/>
      </c>
      <c r="FG9">
        <f>IF(AND(Settings!$I$45="Yes",Settings!$J$45="No"),$G9,0)+IF(AND(Settings!$I$46="Yes",Settings!$J$46="No"),$H9,0)+IF(AND(Settings!$I$47="Yes",Settings!$J$47="No"),$I9,0)+IF(AND(Settings!$I$48="Yes",Settings!$J$48="No"),$J9,0)+IF(AND(Settings!$I$49="Yes",Settings!$J$49="No"),$K9,0)+IF(AND(Settings!$I$50="Yes",Settings!$J$50="No"),$L9,0)+IF(AND(Settings!$I$51="Yes",Settings!$J$51="No"),$M9,0)+IF(AND(Settings!$I$52="Yes",Settings!$J$52="No"),$N9,0)+IF(AND(Settings!$I$53="Yes",Settings!$J$53="No"),$O9,0)+IF(AND(Settings!$I$54="Yes",Settings!$J$54="No"),$P9,0)+IF(AND(Settings!$I$55="Yes",Settings!$J$55="No"),$Q9,0)+IF(AND(Settings!$I$56="Yes",Settings!$J$56="No"),$R9,0)</f>
        <v/>
      </c>
      <c r="FH9">
        <f>SUMIFS(Giving!$B$7:$B$2006,Giving!$A$7:$A$2006,"&gt;="&amp;$A9,Giving!$A$7:$A$2006,"&lt;="&amp;$B9,Giving!$G$7:$G$2006,"Yes")+IF(OR(OR(Settings!$B$60="",Settings!$F$60="No"),Settings!$H$60&lt;&gt;"Yes"),0,Settings!$B$60*IF(AND(IF(Settings!$C$60="",$B9,DATE(YEAR($A9),MONTH($A9),MIN(Settings!$C$60,DAY($B9))))&gt;=MAX($A9,Settings!$D$60),IF(Settings!$C$60="",$B9,DATE(YEAR($A9),MONTH($A9),MIN(Settings!$C$60,DAY($B9))))&lt;=MIN($C9,IF(Settings!$E$60="",$C9,Settings!$E$60))),1,0))+IF(OR(OR(Settings!$B$61="",Settings!$F$61="No"),Settings!$H$61&lt;&gt;"Yes"),0,Settings!$B$61*IF(AND(IF(Settings!$C$61="",$B9,DATE(YEAR($A9),MONTH($A9),MIN(Settings!$C$61,DAY($B9))))&gt;=MAX($A9,Settings!$D$61),IF(Settings!$C$61="",$B9,DATE(YEAR($A9),MONTH($A9),MIN(Settings!$C$61,DAY($B9))))&lt;=MIN($C9,IF(Settings!$E$61="",$C9,Settings!$E$61))),1,0))+IF(OR(OR(Settings!$B$62="",Settings!$F$62="No"),Settings!$H$62&lt;&gt;"Yes"),0,Settings!$B$62*IF(AND(IF(Settings!$C$62="",$B9,DATE(YEAR($A9),MONTH($A9),MIN(Settings!$C$62,DAY($B9))))&gt;=MAX($A9,Settings!$D$62),IF(Settings!$C$62="",$B9,DATE(YEAR($A9),MONTH($A9),MIN(Settings!$C$62,DAY($B9))))&lt;=MIN($C9,IF(Settings!$E$62="",$C9,Settings!$E$62))),1,0))+IF(OR(OR(Settings!$B$63="",Settings!$F$63="No"),Settings!$H$63&lt;&gt;"Yes"),0,Settings!$B$63*IF(AND(IF(Settings!$C$63="",$B9,DATE(YEAR($A9),MONTH($A9),MIN(Settings!$C$63,DAY($B9))))&gt;=MAX($A9,Settings!$D$63),IF(Settings!$C$63="",$B9,DATE(YEAR($A9),MONTH($A9),MIN(Settings!$C$63,DAY($B9))))&lt;=MIN($C9,IF(Settings!$E$63="",$C9,Settings!$E$63))),1,0))+IF(OR(OR(Settings!$B$64="",Settings!$F$64="No"),Settings!$H$64&lt;&gt;"Yes"),0,Settings!$B$64*IF(AND(IF(Settings!$C$64="",$B9,DATE(YEAR($A9),MONTH($A9),MIN(Settings!$C$64,DAY($B9))))&gt;=MAX($A9,Settings!$D$64),IF(Settings!$C$64="",$B9,DATE(YEAR($A9),MONTH($A9),MIN(Settings!$C$64,DAY($B9))))&lt;=MIN($C9,IF(Settings!$E$64="",$C9,Settings!$E$64))),1,0))+IF(OR(OR(Settings!$B$65="",Settings!$F$65="No"),Settings!$H$65&lt;&gt;"Yes"),0,Settings!$B$65*IF(AND(IF(Settings!$C$65="",$B9,DATE(YEAR($A9),MONTH($A9),MIN(Settings!$C$65,DAY($B9))))&gt;=MAX($A9,Settings!$D$65),IF(Settings!$C$65="",$B9,DATE(YEAR($A9),MONTH($A9),MIN(Settings!$C$65,DAY($B9))))&lt;=MIN($C9,IF(Settings!$E$65="",$C9,Settings!$E$65))),1,0))</f>
        <v/>
      </c>
      <c r="FI9">
        <f>IF($DT9=1,IF(OR(Settings!$B$19="Card",Settings!$B$19="Loan"),N($AE9),0)+IF(OR(Settings!$B$20="Card",Settings!$B$20="Loan"),N($AF9),0)+IF(OR(Settings!$B$21="Card",Settings!$B$21="Loan"),N($AG9),0)+IF(OR(Settings!$B$22="Card",Settings!$B$22="Loan"),N($AH9),0)+IF(OR(Settings!$B$23="Card",Settings!$B$23="Loan"),N($AI9),0)+IF(OR(Settings!$B$24="Card",Settings!$B$24="Loan"),N($AJ9),0)+IF(OR(Settings!$B$25="Card",Settings!$B$25="Loan"),N($AK9),0)+IF(OR(Settings!$B$26="Card",Settings!$B$26="Loan"),N($AL9),0)+IF(OR(Settings!$B$27="Card",Settings!$B$27="Loan"),N($AM9),0)+IF(OR(Settings!$B$28="Card",Settings!$B$28="Loan"),N($AN9),0)+IF(OR(Settings!$B$29="Card",Settings!$B$29="Loan"),N($AO9),0)+IF(OR(Settings!$B$30="Card",Settings!$B$30="Loan"),N($AP9),0)+IF(OR(Settings!$B$31="Card",Settings!$B$31="Loan"),N($AQ9),0)+IF(OR(Settings!$B$32="Card",Settings!$B$32="Loan"),N($AR9),0),"")</f>
        <v/>
      </c>
      <c r="FJ9">
        <f>IF($E9="open",$EB$65,IF($E9="post",IF($E8="pre",$EB$65,$FI8),""))</f>
        <v/>
      </c>
      <c r="FK9">
        <f>IF(AND($DT9=1,$DC9=1),IF(ROUND($FI9-$FJ9,2)&gt;0,1,0),0)</f>
        <v/>
      </c>
      <c r="FL9">
        <f>IF($FK9=1,$FL8+1,0)</f>
        <v/>
      </c>
    </row>
    <row r="10">
      <c r="A10">
        <f>'Month-End'!$G$4</f>
        <v/>
      </c>
      <c r="B10">
        <f>EOMONTH($A10,0)</f>
        <v/>
      </c>
      <c r="C10">
        <f>MIN($B10,TODAY())</f>
        <v/>
      </c>
      <c r="D10">
        <f>IF($A10&gt;TODAY(),1,0)</f>
        <v/>
      </c>
      <c r="E10">
        <f>IF($B10&lt;=Settings!$B$5,"pre",IF($A10&lt;=Settings!$B$5,"open","post"))</f>
        <v/>
      </c>
      <c r="G10">
        <f>IF('Month-End'!$G$22="",$BE10,N('Month-End'!$G$22))</f>
        <v/>
      </c>
      <c r="H10">
        <f>IF('Month-End'!$G$23="",$BF10,N('Month-End'!$G$23))</f>
        <v/>
      </c>
      <c r="I10">
        <f>IF('Month-End'!$G$24="",$BG10,N('Month-End'!$G$24))</f>
        <v/>
      </c>
      <c r="J10">
        <f>IF('Month-End'!$G$25="",$BH10,N('Month-End'!$G$25))</f>
        <v/>
      </c>
      <c r="K10">
        <f>IF('Month-End'!$G$26="",$BI10,N('Month-End'!$G$26))</f>
        <v/>
      </c>
      <c r="L10">
        <f>IF('Month-End'!$G$27="",$BJ10,N('Month-End'!$G$27))</f>
        <v/>
      </c>
      <c r="M10">
        <f>IF('Month-End'!$G$28="",$BK10,N('Month-End'!$G$28))</f>
        <v/>
      </c>
      <c r="N10">
        <f>IF('Month-End'!$G$29="",$BL10,N('Month-End'!$G$29))</f>
        <v/>
      </c>
      <c r="O10">
        <f>IF('Month-End'!$G$30="",$BM10,N('Month-End'!$G$30))</f>
        <v/>
      </c>
      <c r="P10">
        <f>IF('Month-End'!$G$31="",$BN10,N('Month-End'!$G$31))</f>
        <v/>
      </c>
      <c r="Q10">
        <f>IF('Month-End'!$G$32="",$BO10,N('Month-End'!$G$32))</f>
        <v/>
      </c>
      <c r="R10">
        <f>IF('Month-End'!$G$33="",$BP10,N('Month-End'!$G$33))</f>
        <v/>
      </c>
      <c r="S10">
        <f>$G10+$H10+$I10+$J10+$K10+$L10+$M10+$N10+$O10+$P10+$Q10+$R10</f>
        <v/>
      </c>
      <c r="T10">
        <f>IF($B10&lt;Settings!$B$6,0,IF(Settings!$B$45="Yes",$G10,0)+IF(Settings!$B$46="Yes",$H10,0)+IF(Settings!$B$47="Yes",$I10,0)+IF(Settings!$B$48="Yes",$J10,0)+IF(Settings!$B$49="Yes",$K10,0)+IF(Settings!$B$50="Yes",$L10,0)+IF(Settings!$B$51="Yes",$M10,0)+IF(Settings!$B$52="Yes",$N10,0)+IF(Settings!$B$53="Yes",$O10,0)+IF(Settings!$B$54="Yes",$P10,0)+IF(Settings!$B$55="Yes",$Q10,0)+IF(Settings!$B$56="Yes",$R10,0))</f>
        <v/>
      </c>
      <c r="U10">
        <f>IF(Settings!$B$45="Not Sure",$G10,0)+IF(Settings!$B$46="Not Sure",$H10,0)+IF(Settings!$B$47="Not Sure",$I10,0)+IF(Settings!$B$48="Not Sure",$J10,0)+IF(Settings!$B$49="Not Sure",$K10,0)+IF(Settings!$B$50="Not Sure",$L10,0)+IF(Settings!$B$51="Not Sure",$M10,0)+IF(Settings!$B$52="Not Sure",$N10,0)+IF(Settings!$B$53="Not Sure",$O10,0)+IF(Settings!$B$54="Not Sure",$P10,0)+IF(Settings!$B$55="Not Sure",$Q10,0)+IF(Settings!$B$56="Not Sure",$R10,0)</f>
        <v/>
      </c>
      <c r="V10">
        <f>IF($E10="open",SUM($ET10:$FE10)+N(Settings!$B$13),0)</f>
        <v/>
      </c>
      <c r="W10">
        <f>IF($E10="post",$S10,IF($E10="open",$S10-$V10,0))</f>
        <v/>
      </c>
      <c r="X10">
        <f>SUMIFS(Giving!$B$7:$B$2006,Giving!$A$7:$A$2006,"&gt;="&amp;$A10,Giving!$A$7:$A$2006,"&lt;="&amp;$B10,Giving!$E$7:$E$2006,"&lt;&gt;No")</f>
        <v/>
      </c>
      <c r="Y10">
        <f>SUMIFS(Giving!$B$7:$B$2006,Giving!$A$7:$A$2006,"&gt;="&amp;$A10,Giving!$A$7:$A$2006,"&lt;="&amp;$B10,Giving!$E$7:$E$2006,"No")</f>
        <v/>
      </c>
      <c r="Z10">
        <f>IF(OR(Settings!$B$60="",Settings!$F$60="No"),0,Settings!$B$60*IF(AND(IF(Settings!$C$60="",$B10,DATE(YEAR($A10),MONTH($A10),MIN(Settings!$C$60,DAY($B10))))&gt;=MAX($A10,Settings!$D$60),IF(Settings!$C$60="",$B10,DATE(YEAR($A10),MONTH($A10),MIN(Settings!$C$60,DAY($B10))))&lt;=MIN($C10,IF(Settings!$E$60="",$C10,Settings!$E$60))),1,0))+IF(OR(Settings!$B$61="",Settings!$F$61="No"),0,Settings!$B$61*IF(AND(IF(Settings!$C$61="",$B10,DATE(YEAR($A10),MONTH($A10),MIN(Settings!$C$61,DAY($B10))))&gt;=MAX($A10,Settings!$D$61),IF(Settings!$C$61="",$B10,DATE(YEAR($A10),MONTH($A10),MIN(Settings!$C$61,DAY($B10))))&lt;=MIN($C10,IF(Settings!$E$61="",$C10,Settings!$E$61))),1,0))+IF(OR(Settings!$B$62="",Settings!$F$62="No"),0,Settings!$B$62*IF(AND(IF(Settings!$C$62="",$B10,DATE(YEAR($A10),MONTH($A10),MIN(Settings!$C$62,DAY($B10))))&gt;=MAX($A10,Settings!$D$62),IF(Settings!$C$62="",$B10,DATE(YEAR($A10),MONTH($A10),MIN(Settings!$C$62,DAY($B10))))&lt;=MIN($C10,IF(Settings!$E$62="",$C10,Settings!$E$62))),1,0))+IF(OR(Settings!$B$63="",Settings!$F$63="No"),0,Settings!$B$63*IF(AND(IF(Settings!$C$63="",$B10,DATE(YEAR($A10),MONTH($A10),MIN(Settings!$C$63,DAY($B10))))&gt;=MAX($A10,Settings!$D$63),IF(Settings!$C$63="",$B10,DATE(YEAR($A10),MONTH($A10),MIN(Settings!$C$63,DAY($B10))))&lt;=MIN($C10,IF(Settings!$E$63="",$C10,Settings!$E$63))),1,0))+IF(OR(Settings!$B$64="",Settings!$F$64="No"),0,Settings!$B$64*IF(AND(IF(Settings!$C$64="",$B10,DATE(YEAR($A10),MONTH($A10),MIN(Settings!$C$64,DAY($B10))))&gt;=MAX($A10,Settings!$D$64),IF(Settings!$C$64="",$B10,DATE(YEAR($A10),MONTH($A10),MIN(Settings!$C$64,DAY($B10))))&lt;=MIN($C10,IF(Settings!$E$64="",$C10,Settings!$E$64))),1,0))+IF(OR(Settings!$B$65="",Settings!$F$65="No"),0,Settings!$B$65*IF(AND(IF(Settings!$C$65="",$B10,DATE(YEAR($A10),MONTH($A10),MIN(Settings!$C$65,DAY($B10))))&gt;=MAX($A10,Settings!$D$65),IF(Settings!$C$65="",$B10,DATE(YEAR($A10),MONTH($A10),MIN(Settings!$C$65,DAY($B10))))&lt;=MIN($C10,IF(Settings!$E$65="",$C10,Settings!$E$65))),1,0))</f>
        <v/>
      </c>
      <c r="AA10">
        <f>$X10+$Z10</f>
        <v/>
      </c>
      <c r="AB10">
        <f>IF($E10="post",$AA10,IF($E10="open",SUMIFS(Giving!$B$7:$B$2006,Giving!$A$7:$A$2006,"&gt;"&amp;Settings!$B$5,Giving!$A$7:$A$2006,"&lt;="&amp;$B10,Giving!$E$7:$E$2006,"&lt;&gt;No")+IF(OR(Settings!$B$60="",Settings!$F$60="No"),0,Settings!$B$60*IF(AND(IF(Settings!$C$60="",$B10,DATE(YEAR($A10),MONTH($A10),MIN(Settings!$C$60,DAY($B10))))&gt;=MAX($A10,Settings!$D$60,Settings!$B$5+1),IF(Settings!$C$60="",$B10,DATE(YEAR($A10),MONTH($A10),MIN(Settings!$C$60,DAY($B10))))&lt;=MIN($C10,IF(Settings!$E$60="",$C10,Settings!$E$60))),1,0))+IF(OR(Settings!$B$61="",Settings!$F$61="No"),0,Settings!$B$61*IF(AND(IF(Settings!$C$61="",$B10,DATE(YEAR($A10),MONTH($A10),MIN(Settings!$C$61,DAY($B10))))&gt;=MAX($A10,Settings!$D$61,Settings!$B$5+1),IF(Settings!$C$61="",$B10,DATE(YEAR($A10),MONTH($A10),MIN(Settings!$C$61,DAY($B10))))&lt;=MIN($C10,IF(Settings!$E$61="",$C10,Settings!$E$61))),1,0))+IF(OR(Settings!$B$62="",Settings!$F$62="No"),0,Settings!$B$62*IF(AND(IF(Settings!$C$62="",$B10,DATE(YEAR($A10),MONTH($A10),MIN(Settings!$C$62,DAY($B10))))&gt;=MAX($A10,Settings!$D$62,Settings!$B$5+1),IF(Settings!$C$62="",$B10,DATE(YEAR($A10),MONTH($A10),MIN(Settings!$C$62,DAY($B10))))&lt;=MIN($C10,IF(Settings!$E$62="",$C10,Settings!$E$62))),1,0))+IF(OR(Settings!$B$63="",Settings!$F$63="No"),0,Settings!$B$63*IF(AND(IF(Settings!$C$63="",$B10,DATE(YEAR($A10),MONTH($A10),MIN(Settings!$C$63,DAY($B10))))&gt;=MAX($A10,Settings!$D$63,Settings!$B$5+1),IF(Settings!$C$63="",$B10,DATE(YEAR($A10),MONTH($A10),MIN(Settings!$C$63,DAY($B10))))&lt;=MIN($C10,IF(Settings!$E$63="",$C10,Settings!$E$63))),1,0))+IF(OR(Settings!$B$64="",Settings!$F$64="No"),0,Settings!$B$64*IF(AND(IF(Settings!$C$64="",$B10,DATE(YEAR($A10),MONTH($A10),MIN(Settings!$C$64,DAY($B10))))&gt;=MAX($A10,Settings!$D$64,Settings!$B$5+1),IF(Settings!$C$64="",$B10,DATE(YEAR($A10),MONTH($A10),MIN(Settings!$C$64,DAY($B10))))&lt;=MIN($C10,IF(Settings!$E$64="",$C10,Settings!$E$64))),1,0))+IF(OR(Settings!$B$65="",Settings!$F$65="No"),0,Settings!$B$65*IF(AND(IF(Settings!$C$65="",$B10,DATE(YEAR($A10),MONTH($A10),MIN(Settings!$C$65,DAY($B10))))&gt;=MAX($A10,Settings!$D$65,Settings!$B$5+1),IF(Settings!$C$65="",$B10,DATE(YEAR($A10),MONTH($A10),MIN(Settings!$C$65,DAY($B10))))&lt;=MIN($C10,IF(Settings!$E$65="",$C10,Settings!$E$65))),1,0)),0))</f>
        <v/>
      </c>
      <c r="AC10">
        <f>$AY10+$AZ10+$BA10+$BB10+$BC10+$BD10</f>
        <v/>
      </c>
      <c r="AD10">
        <f>$AC10</f>
        <v/>
      </c>
      <c r="AE10">
        <f>IF(OR(Settings!$A$19="",$E10="pre"),"",IF(AND('Month-End'!$G$7&lt;&gt;"",NOT(_xlfn.ISFORMULA('Month-End'!$G$7))),N('Month-End'!$G$7),IF(OR($E10="open",$E9="pre"),N(Settings!$C$19),N($AE9))))</f>
        <v/>
      </c>
      <c r="AF10">
        <f>IF(OR(Settings!$A$20="",$E10="pre"),"",IF(AND('Month-End'!$G$8&lt;&gt;"",NOT(_xlfn.ISFORMULA('Month-End'!$G$8))),N('Month-End'!$G$8),IF(OR($E10="open",$E9="pre"),N(Settings!$C$20),N($AF9))))</f>
        <v/>
      </c>
      <c r="AG10">
        <f>IF(OR(Settings!$A$21="",$E10="pre"),"",IF(AND('Month-End'!$G$9&lt;&gt;"",NOT(_xlfn.ISFORMULA('Month-End'!$G$9))),N('Month-End'!$G$9),IF(OR($E10="open",$E9="pre"),N(Settings!$C$21),N($AG9))))</f>
        <v/>
      </c>
      <c r="AH10">
        <f>IF(OR(Settings!$A$22="",$E10="pre"),"",IF(AND('Month-End'!$G$10&lt;&gt;"",NOT(_xlfn.ISFORMULA('Month-End'!$G$10))),N('Month-End'!$G$10),IF(OR($E10="open",$E9="pre"),N(Settings!$C$22),N($AH9))))</f>
        <v/>
      </c>
      <c r="AI10">
        <f>IF(OR(Settings!$A$23="",$E10="pre"),"",IF(AND('Month-End'!$G$11&lt;&gt;"",NOT(_xlfn.ISFORMULA('Month-End'!$G$11))),N('Month-End'!$G$11),IF(OR($E10="open",$E9="pre"),N(Settings!$C$23),N($AI9))))</f>
        <v/>
      </c>
      <c r="AJ10">
        <f>IF(OR(Settings!$A$24="",$E10="pre"),"",IF(AND('Month-End'!$G$12&lt;&gt;"",NOT(_xlfn.ISFORMULA('Month-End'!$G$12))),N('Month-End'!$G$12),IF(OR($E10="open",$E9="pre"),N(Settings!$C$24),N($AJ9))))</f>
        <v/>
      </c>
      <c r="AK10">
        <f>IF(OR(Settings!$A$25="",$E10="pre"),"",IF(AND('Month-End'!$G$13&lt;&gt;"",NOT(_xlfn.ISFORMULA('Month-End'!$G$13))),N('Month-End'!$G$13),IF(OR($E10="open",$E9="pre"),N(Settings!$C$25),N($AK9))))</f>
        <v/>
      </c>
      <c r="AL10">
        <f>IF(OR(Settings!$A$26="",$E10="pre"),"",IF(AND('Month-End'!$G$14&lt;&gt;"",NOT(_xlfn.ISFORMULA('Month-End'!$G$14))),N('Month-End'!$G$14),IF(OR($E10="open",$E9="pre"),N(Settings!$C$26),N($AL9))))</f>
        <v/>
      </c>
      <c r="AM10">
        <f>IF(OR(Settings!$A$27="",$E10="pre"),"",IF(AND('Month-End'!$G$15&lt;&gt;"",NOT(_xlfn.ISFORMULA('Month-End'!$G$15))),N('Month-End'!$G$15),IF(OR($E10="open",$E9="pre"),N(Settings!$C$27),N($AM9))))</f>
        <v/>
      </c>
      <c r="AN10">
        <f>IF(OR(Settings!$A$28="",$E10="pre"),"",IF(AND('Month-End'!$G$16&lt;&gt;"",NOT(_xlfn.ISFORMULA('Month-End'!$G$16))),N('Month-End'!$G$16),IF(OR($E10="open",$E9="pre"),N(Settings!$C$28),N($AN9))))</f>
        <v/>
      </c>
      <c r="AO10">
        <f>IF(OR(Settings!$A$29="",$E10="pre"),"",IF(AND('Month-End'!$G$17&lt;&gt;"",NOT(_xlfn.ISFORMULA('Month-End'!$G$17))),N('Month-End'!$G$17),IF(OR($E10="open",$E9="pre"),N(Settings!$C$29),N($AO9))))</f>
        <v/>
      </c>
      <c r="AP10">
        <f>IF(OR(Settings!$A$30="",$E10="pre"),"",IF(AND('Month-End'!$G$18&lt;&gt;"",NOT(_xlfn.ISFORMULA('Month-End'!$G$18))),N('Month-End'!$G$18),IF(OR($E10="open",$E9="pre"),N(Settings!$C$30),N($AP9))))</f>
        <v/>
      </c>
      <c r="AQ10">
        <f>IF(OR(Settings!$A$31="",$E10="pre"),"",IF(AND('Month-End'!$G$19&lt;&gt;"",NOT(_xlfn.ISFORMULA('Month-End'!$G$19))),N('Month-End'!$G$19),IF(OR($E10="open",$E9="pre"),N(Settings!$C$31),N($AQ9))))</f>
        <v/>
      </c>
      <c r="AR10">
        <f>IF(OR(Settings!$A$32="",$E10="pre"),"",IF(AND('Month-End'!$G$20&lt;&gt;"",NOT(_xlfn.ISFORMULA('Month-End'!$G$20))),N('Month-End'!$G$20),IF(OR($E10="open",$E9="pre"),N(Settings!$C$32),N($AR9))))</f>
        <v/>
      </c>
      <c r="AS10">
        <f>IF(OR(Settings!$A$36="",$E10="pre"),"",IF(AND('Month-End'!$G$38&lt;&gt;"",NOT(_xlfn.ISFORMULA('Month-End'!$G$38))),N('Month-End'!$G$38),IF(OR($E10="open",$E9="pre"),N(Settings!$C$36),N($AS9))+$AY10))</f>
        <v/>
      </c>
      <c r="AT10">
        <f>IF(OR(Settings!$A$37="",$E10="pre"),"",IF(AND('Month-End'!$G$39&lt;&gt;"",NOT(_xlfn.ISFORMULA('Month-End'!$G$39))),N('Month-End'!$G$39),IF(OR($E10="open",$E9="pre"),N(Settings!$C$37),N($AT9))+$AZ10))</f>
        <v/>
      </c>
      <c r="AU10">
        <f>IF(OR(Settings!$A$38="",$E10="pre"),"",IF(AND('Month-End'!$G$40&lt;&gt;"",NOT(_xlfn.ISFORMULA('Month-End'!$G$40))),N('Month-End'!$G$40),IF(OR($E10="open",$E9="pre"),N(Settings!$C$38),N($AU9))+$BA10))</f>
        <v/>
      </c>
      <c r="AV10">
        <f>IF(OR(Settings!$A$39="",$E10="pre"),"",IF(AND('Month-End'!$G$41&lt;&gt;"",NOT(_xlfn.ISFORMULA('Month-End'!$G$41))),N('Month-End'!$G$41),IF(OR($E10="open",$E9="pre"),N(Settings!$C$39),N($AV9))+$BB10))</f>
        <v/>
      </c>
      <c r="AW10">
        <f>IF(OR(Settings!$A$40="",$E10="pre"),"",IF(AND('Month-End'!$G$42&lt;&gt;"",NOT(_xlfn.ISFORMULA('Month-End'!$G$42))),N('Month-End'!$G$42),IF(OR($E10="open",$E9="pre"),N(Settings!$C$40),N($AW9))+$BC10))</f>
        <v/>
      </c>
      <c r="AX10">
        <f>IF(OR(Settings!$A$41="",$E10="pre"),"",IF(AND('Month-End'!$G$43&lt;&gt;"",NOT(_xlfn.ISFORMULA('Month-End'!$G$43))),N('Month-End'!$G$43),IF(OR($E10="open",$E9="pre"),N(Settings!$C$41),N($AX9))+$BD10))</f>
        <v/>
      </c>
      <c r="AY10">
        <f>IF($E10="pre",0,N('Month-End'!$G$45))</f>
        <v/>
      </c>
      <c r="AZ10">
        <f>IF($E10="pre",0,N('Month-End'!$G$46))</f>
        <v/>
      </c>
      <c r="BA10">
        <f>IF($E10="pre",0,N('Month-End'!$G$47))</f>
        <v/>
      </c>
      <c r="BB10">
        <f>IF($E10="pre",0,N('Month-End'!$G$48))</f>
        <v/>
      </c>
      <c r="BC10">
        <f>IF($E10="pre",0,N('Month-End'!$G$49))</f>
        <v/>
      </c>
      <c r="BD10">
        <f>IF($E10="pre",0,N('Month-End'!$G$50))</f>
        <v/>
      </c>
      <c r="BE10">
        <f>IF(OR(Settings!$C$45="",Settings!$D$45=""),0,Settings!$C$45*IF(Settings!$D$45="Weekly",IF(IFERROR(MATCH(Settings!$E$45,$EO$4:$EO$10,0),0)=0,0,IF(MIN($C10,IF(Settings!$G$45="",$C10,Settings!$G$45))&lt;MAX($A10,Settings!$F$45),0,INT((MIN($C10,IF(Settings!$G$45="",$C10,Settings!$G$45))-MAX($A10,Settings!$F$45)-MOD(IFERROR(MATCH(Settings!$E$45,$EO$4:$EO$10,0),0)-WEEKDAY(MAX($A10,Settings!$F$45)),7))/7)+1)),IF(AND(IF(Settings!$E$45="",$B10,DATE(YEAR($A10),MONTH($A10),MIN(Settings!$E$45,DAY($B10))))&gt;=MAX($A10,Settings!$F$45),IF(Settings!$E$45="",$B10,DATE(YEAR($A10),MONTH($A10),MIN(Settings!$E$45,DAY($B10))))&lt;=MIN($C10,IF(Settings!$G$45="",$C10,Settings!$G$45))),1,0)))</f>
        <v/>
      </c>
      <c r="BF10">
        <f>IF(OR(Settings!$C$46="",Settings!$D$46=""),0,Settings!$C$46*IF(Settings!$D$46="Weekly",IF(IFERROR(MATCH(Settings!$E$46,$EO$4:$EO$10,0),0)=0,0,IF(MIN($C10,IF(Settings!$G$46="",$C10,Settings!$G$46))&lt;MAX($A10,Settings!$F$46),0,INT((MIN($C10,IF(Settings!$G$46="",$C10,Settings!$G$46))-MAX($A10,Settings!$F$46)-MOD(IFERROR(MATCH(Settings!$E$46,$EO$4:$EO$10,0),0)-WEEKDAY(MAX($A10,Settings!$F$46)),7))/7)+1)),IF(AND(IF(Settings!$E$46="",$B10,DATE(YEAR($A10),MONTH($A10),MIN(Settings!$E$46,DAY($B10))))&gt;=MAX($A10,Settings!$F$46),IF(Settings!$E$46="",$B10,DATE(YEAR($A10),MONTH($A10),MIN(Settings!$E$46,DAY($B10))))&lt;=MIN($C10,IF(Settings!$G$46="",$C10,Settings!$G$46))),1,0)))</f>
        <v/>
      </c>
      <c r="BG10">
        <f>IF(OR(Settings!$C$47="",Settings!$D$47=""),0,Settings!$C$47*IF(Settings!$D$47="Weekly",IF(IFERROR(MATCH(Settings!$E$47,$EO$4:$EO$10,0),0)=0,0,IF(MIN($C10,IF(Settings!$G$47="",$C10,Settings!$G$47))&lt;MAX($A10,Settings!$F$47),0,INT((MIN($C10,IF(Settings!$G$47="",$C10,Settings!$G$47))-MAX($A10,Settings!$F$47)-MOD(IFERROR(MATCH(Settings!$E$47,$EO$4:$EO$10,0),0)-WEEKDAY(MAX($A10,Settings!$F$47)),7))/7)+1)),IF(AND(IF(Settings!$E$47="",$B10,DATE(YEAR($A10),MONTH($A10),MIN(Settings!$E$47,DAY($B10))))&gt;=MAX($A10,Settings!$F$47),IF(Settings!$E$47="",$B10,DATE(YEAR($A10),MONTH($A10),MIN(Settings!$E$47,DAY($B10))))&lt;=MIN($C10,IF(Settings!$G$47="",$C10,Settings!$G$47))),1,0)))</f>
        <v/>
      </c>
      <c r="BH10">
        <f>IF(OR(Settings!$C$48="",Settings!$D$48=""),0,Settings!$C$48*IF(Settings!$D$48="Weekly",IF(IFERROR(MATCH(Settings!$E$48,$EO$4:$EO$10,0),0)=0,0,IF(MIN($C10,IF(Settings!$G$48="",$C10,Settings!$G$48))&lt;MAX($A10,Settings!$F$48),0,INT((MIN($C10,IF(Settings!$G$48="",$C10,Settings!$G$48))-MAX($A10,Settings!$F$48)-MOD(IFERROR(MATCH(Settings!$E$48,$EO$4:$EO$10,0),0)-WEEKDAY(MAX($A10,Settings!$F$48)),7))/7)+1)),IF(AND(IF(Settings!$E$48="",$B10,DATE(YEAR($A10),MONTH($A10),MIN(Settings!$E$48,DAY($B10))))&gt;=MAX($A10,Settings!$F$48),IF(Settings!$E$48="",$B10,DATE(YEAR($A10),MONTH($A10),MIN(Settings!$E$48,DAY($B10))))&lt;=MIN($C10,IF(Settings!$G$48="",$C10,Settings!$G$48))),1,0)))</f>
        <v/>
      </c>
      <c r="BI10">
        <f>IF(OR(Settings!$C$49="",Settings!$D$49=""),0,Settings!$C$49*IF(Settings!$D$49="Weekly",IF(IFERROR(MATCH(Settings!$E$49,$EO$4:$EO$10,0),0)=0,0,IF(MIN($C10,IF(Settings!$G$49="",$C10,Settings!$G$49))&lt;MAX($A10,Settings!$F$49),0,INT((MIN($C10,IF(Settings!$G$49="",$C10,Settings!$G$49))-MAX($A10,Settings!$F$49)-MOD(IFERROR(MATCH(Settings!$E$49,$EO$4:$EO$10,0),0)-WEEKDAY(MAX($A10,Settings!$F$49)),7))/7)+1)),IF(AND(IF(Settings!$E$49="",$B10,DATE(YEAR($A10),MONTH($A10),MIN(Settings!$E$49,DAY($B10))))&gt;=MAX($A10,Settings!$F$49),IF(Settings!$E$49="",$B10,DATE(YEAR($A10),MONTH($A10),MIN(Settings!$E$49,DAY($B10))))&lt;=MIN($C10,IF(Settings!$G$49="",$C10,Settings!$G$49))),1,0)))</f>
        <v/>
      </c>
      <c r="BJ10">
        <f>IF(OR(Settings!$C$50="",Settings!$D$50=""),0,Settings!$C$50*IF(Settings!$D$50="Weekly",IF(IFERROR(MATCH(Settings!$E$50,$EO$4:$EO$10,0),0)=0,0,IF(MIN($C10,IF(Settings!$G$50="",$C10,Settings!$G$50))&lt;MAX($A10,Settings!$F$50),0,INT((MIN($C10,IF(Settings!$G$50="",$C10,Settings!$G$50))-MAX($A10,Settings!$F$50)-MOD(IFERROR(MATCH(Settings!$E$50,$EO$4:$EO$10,0),0)-WEEKDAY(MAX($A10,Settings!$F$50)),7))/7)+1)),IF(AND(IF(Settings!$E$50="",$B10,DATE(YEAR($A10),MONTH($A10),MIN(Settings!$E$50,DAY($B10))))&gt;=MAX($A10,Settings!$F$50),IF(Settings!$E$50="",$B10,DATE(YEAR($A10),MONTH($A10),MIN(Settings!$E$50,DAY($B10))))&lt;=MIN($C10,IF(Settings!$G$50="",$C10,Settings!$G$50))),1,0)))</f>
        <v/>
      </c>
      <c r="BK10">
        <f>IF(OR(Settings!$C$51="",Settings!$D$51=""),0,Settings!$C$51*IF(Settings!$D$51="Weekly",IF(IFERROR(MATCH(Settings!$E$51,$EO$4:$EO$10,0),0)=0,0,IF(MIN($C10,IF(Settings!$G$51="",$C10,Settings!$G$51))&lt;MAX($A10,Settings!$F$51),0,INT((MIN($C10,IF(Settings!$G$51="",$C10,Settings!$G$51))-MAX($A10,Settings!$F$51)-MOD(IFERROR(MATCH(Settings!$E$51,$EO$4:$EO$10,0),0)-WEEKDAY(MAX($A10,Settings!$F$51)),7))/7)+1)),IF(AND(IF(Settings!$E$51="",$B10,DATE(YEAR($A10),MONTH($A10),MIN(Settings!$E$51,DAY($B10))))&gt;=MAX($A10,Settings!$F$51),IF(Settings!$E$51="",$B10,DATE(YEAR($A10),MONTH($A10),MIN(Settings!$E$51,DAY($B10))))&lt;=MIN($C10,IF(Settings!$G$51="",$C10,Settings!$G$51))),1,0)))</f>
        <v/>
      </c>
      <c r="BL10">
        <f>IF(OR(Settings!$C$52="",Settings!$D$52=""),0,Settings!$C$52*IF(Settings!$D$52="Weekly",IF(IFERROR(MATCH(Settings!$E$52,$EO$4:$EO$10,0),0)=0,0,IF(MIN($C10,IF(Settings!$G$52="",$C10,Settings!$G$52))&lt;MAX($A10,Settings!$F$52),0,INT((MIN($C10,IF(Settings!$G$52="",$C10,Settings!$G$52))-MAX($A10,Settings!$F$52)-MOD(IFERROR(MATCH(Settings!$E$52,$EO$4:$EO$10,0),0)-WEEKDAY(MAX($A10,Settings!$F$52)),7))/7)+1)),IF(AND(IF(Settings!$E$52="",$B10,DATE(YEAR($A10),MONTH($A10),MIN(Settings!$E$52,DAY($B10))))&gt;=MAX($A10,Settings!$F$52),IF(Settings!$E$52="",$B10,DATE(YEAR($A10),MONTH($A10),MIN(Settings!$E$52,DAY($B10))))&lt;=MIN($C10,IF(Settings!$G$52="",$C10,Settings!$G$52))),1,0)))</f>
        <v/>
      </c>
      <c r="BM10">
        <f>IF(OR(Settings!$C$53="",Settings!$D$53=""),0,Settings!$C$53*IF(Settings!$D$53="Weekly",IF(IFERROR(MATCH(Settings!$E$53,$EO$4:$EO$10,0),0)=0,0,IF(MIN($C10,IF(Settings!$G$53="",$C10,Settings!$G$53))&lt;MAX($A10,Settings!$F$53),0,INT((MIN($C10,IF(Settings!$G$53="",$C10,Settings!$G$53))-MAX($A10,Settings!$F$53)-MOD(IFERROR(MATCH(Settings!$E$53,$EO$4:$EO$10,0),0)-WEEKDAY(MAX($A10,Settings!$F$53)),7))/7)+1)),IF(AND(IF(Settings!$E$53="",$B10,DATE(YEAR($A10),MONTH($A10),MIN(Settings!$E$53,DAY($B10))))&gt;=MAX($A10,Settings!$F$53),IF(Settings!$E$53="",$B10,DATE(YEAR($A10),MONTH($A10),MIN(Settings!$E$53,DAY($B10))))&lt;=MIN($C10,IF(Settings!$G$53="",$C10,Settings!$G$53))),1,0)))</f>
        <v/>
      </c>
      <c r="BN10">
        <f>IF(OR(Settings!$C$54="",Settings!$D$54=""),0,Settings!$C$54*IF(Settings!$D$54="Weekly",IF(IFERROR(MATCH(Settings!$E$54,$EO$4:$EO$10,0),0)=0,0,IF(MIN($C10,IF(Settings!$G$54="",$C10,Settings!$G$54))&lt;MAX($A10,Settings!$F$54),0,INT((MIN($C10,IF(Settings!$G$54="",$C10,Settings!$G$54))-MAX($A10,Settings!$F$54)-MOD(IFERROR(MATCH(Settings!$E$54,$EO$4:$EO$10,0),0)-WEEKDAY(MAX($A10,Settings!$F$54)),7))/7)+1)),IF(AND(IF(Settings!$E$54="",$B10,DATE(YEAR($A10),MONTH($A10),MIN(Settings!$E$54,DAY($B10))))&gt;=MAX($A10,Settings!$F$54),IF(Settings!$E$54="",$B10,DATE(YEAR($A10),MONTH($A10),MIN(Settings!$E$54,DAY($B10))))&lt;=MIN($C10,IF(Settings!$G$54="",$C10,Settings!$G$54))),1,0)))</f>
        <v/>
      </c>
      <c r="BO10">
        <f>IF(OR(Settings!$C$55="",Settings!$D$55=""),0,Settings!$C$55*IF(Settings!$D$55="Weekly",IF(IFERROR(MATCH(Settings!$E$55,$EO$4:$EO$10,0),0)=0,0,IF(MIN($C10,IF(Settings!$G$55="",$C10,Settings!$G$55))&lt;MAX($A10,Settings!$F$55),0,INT((MIN($C10,IF(Settings!$G$55="",$C10,Settings!$G$55))-MAX($A10,Settings!$F$55)-MOD(IFERROR(MATCH(Settings!$E$55,$EO$4:$EO$10,0),0)-WEEKDAY(MAX($A10,Settings!$F$55)),7))/7)+1)),IF(AND(IF(Settings!$E$55="",$B10,DATE(YEAR($A10),MONTH($A10),MIN(Settings!$E$55,DAY($B10))))&gt;=MAX($A10,Settings!$F$55),IF(Settings!$E$55="",$B10,DATE(YEAR($A10),MONTH($A10),MIN(Settings!$E$55,DAY($B10))))&lt;=MIN($C10,IF(Settings!$G$55="",$C10,Settings!$G$55))),1,0)))</f>
        <v/>
      </c>
      <c r="BP10">
        <f>IF(OR(Settings!$C$56="",Settings!$D$56=""),0,Settings!$C$56*IF(Settings!$D$56="Weekly",IF(IFERROR(MATCH(Settings!$E$56,$EO$4:$EO$10,0),0)=0,0,IF(MIN($C10,IF(Settings!$G$56="",$C10,Settings!$G$56))&lt;MAX($A10,Settings!$F$56),0,INT((MIN($C10,IF(Settings!$G$56="",$C10,Settings!$G$56))-MAX($A10,Settings!$F$56)-MOD(IFERROR(MATCH(Settings!$E$56,$EO$4:$EO$10,0),0)-WEEKDAY(MAX($A10,Settings!$F$56)),7))/7)+1)),IF(AND(IF(Settings!$E$56="",$B10,DATE(YEAR($A10),MONTH($A10),MIN(Settings!$E$56,DAY($B10))))&gt;=MAX($A10,Settings!$F$56),IF(Settings!$E$56="",$B10,DATE(YEAR($A10),MONTH($A10),MIN(Settings!$E$56,DAY($B10))))&lt;=MIN($C10,IF(Settings!$G$56="",$C10,Settings!$G$56))),1,0)))</f>
        <v/>
      </c>
      <c r="BQ10">
        <f>IF(OR(Settings!$B$14="",$D10=1,$E10="pre",$A10&lt;IF(Settings!$B$15="",0,Settings!$B$15)),0,Settings!$B$14)</f>
        <v/>
      </c>
      <c r="BR10">
        <f>IF(AND('Month-End'!$G$7&lt;&gt;"",NOT(_xlfn.ISFORMULA('Month-End'!$G$7))),1,0)</f>
        <v/>
      </c>
      <c r="BS10">
        <f>IF(AND('Month-End'!$G$8&lt;&gt;"",NOT(_xlfn.ISFORMULA('Month-End'!$G$8))),1,0)</f>
        <v/>
      </c>
      <c r="BT10">
        <f>IF(AND('Month-End'!$G$9&lt;&gt;"",NOT(_xlfn.ISFORMULA('Month-End'!$G$9))),1,0)</f>
        <v/>
      </c>
      <c r="BU10">
        <f>IF(AND('Month-End'!$G$10&lt;&gt;"",NOT(_xlfn.ISFORMULA('Month-End'!$G$10))),1,0)</f>
        <v/>
      </c>
      <c r="BV10">
        <f>IF(AND('Month-End'!$G$11&lt;&gt;"",NOT(_xlfn.ISFORMULA('Month-End'!$G$11))),1,0)</f>
        <v/>
      </c>
      <c r="BW10">
        <f>IF(AND('Month-End'!$G$12&lt;&gt;"",NOT(_xlfn.ISFORMULA('Month-End'!$G$12))),1,0)</f>
        <v/>
      </c>
      <c r="BX10">
        <f>IF(AND('Month-End'!$G$13&lt;&gt;"",NOT(_xlfn.ISFORMULA('Month-End'!$G$13))),1,0)</f>
        <v/>
      </c>
      <c r="BY10">
        <f>IF(AND('Month-End'!$G$14&lt;&gt;"",NOT(_xlfn.ISFORMULA('Month-End'!$G$14))),1,0)</f>
        <v/>
      </c>
      <c r="BZ10">
        <f>IF(AND('Month-End'!$G$15&lt;&gt;"",NOT(_xlfn.ISFORMULA('Month-End'!$G$15))),1,0)</f>
        <v/>
      </c>
      <c r="CA10">
        <f>IF(AND('Month-End'!$G$16&lt;&gt;"",NOT(_xlfn.ISFORMULA('Month-End'!$G$16))),1,0)</f>
        <v/>
      </c>
      <c r="CB10">
        <f>IF(AND('Month-End'!$G$17&lt;&gt;"",NOT(_xlfn.ISFORMULA('Month-End'!$G$17))),1,0)</f>
        <v/>
      </c>
      <c r="CC10">
        <f>IF(AND('Month-End'!$G$18&lt;&gt;"",NOT(_xlfn.ISFORMULA('Month-End'!$G$18))),1,0)</f>
        <v/>
      </c>
      <c r="CD10">
        <f>IF(AND('Month-End'!$G$19&lt;&gt;"",NOT(_xlfn.ISFORMULA('Month-End'!$G$19))),1,0)</f>
        <v/>
      </c>
      <c r="CE10">
        <f>IF(AND('Month-End'!$G$20&lt;&gt;"",NOT(_xlfn.ISFORMULA('Month-End'!$G$20))),1,0)</f>
        <v/>
      </c>
      <c r="CF10">
        <f>IF(AND('Month-End'!$G$38&lt;&gt;"",NOT(_xlfn.ISFORMULA('Month-End'!$G$38))),1,0)</f>
        <v/>
      </c>
      <c r="CG10">
        <f>IF(AND('Month-End'!$G$39&lt;&gt;"",NOT(_xlfn.ISFORMULA('Month-End'!$G$39))),1,0)</f>
        <v/>
      </c>
      <c r="CH10">
        <f>IF(AND('Month-End'!$G$40&lt;&gt;"",NOT(_xlfn.ISFORMULA('Month-End'!$G$40))),1,0)</f>
        <v/>
      </c>
      <c r="CI10">
        <f>IF(AND('Month-End'!$G$41&lt;&gt;"",NOT(_xlfn.ISFORMULA('Month-End'!$G$41))),1,0)</f>
        <v/>
      </c>
      <c r="CJ10">
        <f>IF(AND('Month-End'!$G$42&lt;&gt;"",NOT(_xlfn.ISFORMULA('Month-End'!$G$42))),1,0)</f>
        <v/>
      </c>
      <c r="CK10">
        <f>IF(AND('Month-End'!$G$43&lt;&gt;"",NOT(_xlfn.ISFORMULA('Month-End'!$G$43))),1,0)</f>
        <v/>
      </c>
      <c r="CL10">
        <f>SUM($CM10:$CZ10)</f>
        <v/>
      </c>
      <c r="CM10">
        <f>IF(AND($E10&lt;&gt;"pre",AND(Settings!$A$19&lt;&gt;"",Settings!$E$19&lt;&gt;"No"),Settings!$F$19="Yes",NOT(AND('Month-End'!$G$7&lt;&gt;"",NOT(_xlfn.ISFORMULA('Month-End'!$G$7))))),1,0)</f>
        <v/>
      </c>
      <c r="CN10">
        <f>IF(AND($E10&lt;&gt;"pre",AND(Settings!$A$20&lt;&gt;"",Settings!$E$20&lt;&gt;"No"),Settings!$F$20="Yes",NOT(AND('Month-End'!$G$8&lt;&gt;"",NOT(_xlfn.ISFORMULA('Month-End'!$G$8))))),1,0)</f>
        <v/>
      </c>
      <c r="CO10">
        <f>IF(AND($E10&lt;&gt;"pre",AND(Settings!$A$21&lt;&gt;"",Settings!$E$21&lt;&gt;"No"),Settings!$F$21="Yes",NOT(AND('Month-End'!$G$9&lt;&gt;"",NOT(_xlfn.ISFORMULA('Month-End'!$G$9))))),1,0)</f>
        <v/>
      </c>
      <c r="CP10">
        <f>IF(AND($E10&lt;&gt;"pre",AND(Settings!$A$22&lt;&gt;"",Settings!$E$22&lt;&gt;"No"),Settings!$F$22="Yes",NOT(AND('Month-End'!$G$10&lt;&gt;"",NOT(_xlfn.ISFORMULA('Month-End'!$G$10))))),1,0)</f>
        <v/>
      </c>
      <c r="CQ10">
        <f>IF(AND($E10&lt;&gt;"pre",AND(Settings!$A$23&lt;&gt;"",Settings!$E$23&lt;&gt;"No"),Settings!$F$23="Yes",NOT(AND('Month-End'!$G$11&lt;&gt;"",NOT(_xlfn.ISFORMULA('Month-End'!$G$11))))),1,0)</f>
        <v/>
      </c>
      <c r="CR10">
        <f>IF(AND($E10&lt;&gt;"pre",AND(Settings!$A$24&lt;&gt;"",Settings!$E$24&lt;&gt;"No"),Settings!$F$24="Yes",NOT(AND('Month-End'!$G$12&lt;&gt;"",NOT(_xlfn.ISFORMULA('Month-End'!$G$12))))),1,0)</f>
        <v/>
      </c>
      <c r="CS10">
        <f>IF(AND($E10&lt;&gt;"pre",AND(Settings!$A$25&lt;&gt;"",Settings!$E$25&lt;&gt;"No"),Settings!$F$25="Yes",NOT(AND('Month-End'!$G$13&lt;&gt;"",NOT(_xlfn.ISFORMULA('Month-End'!$G$13))))),1,0)</f>
        <v/>
      </c>
      <c r="CT10">
        <f>IF(AND($E10&lt;&gt;"pre",AND(Settings!$A$26&lt;&gt;"",Settings!$E$26&lt;&gt;"No"),Settings!$F$26="Yes",NOT(AND('Month-End'!$G$14&lt;&gt;"",NOT(_xlfn.ISFORMULA('Month-End'!$G$14))))),1,0)</f>
        <v/>
      </c>
      <c r="CU10">
        <f>IF(AND($E10&lt;&gt;"pre",AND(Settings!$A$27&lt;&gt;"",Settings!$E$27&lt;&gt;"No"),Settings!$F$27="Yes",NOT(AND('Month-End'!$G$15&lt;&gt;"",NOT(_xlfn.ISFORMULA('Month-End'!$G$15))))),1,0)</f>
        <v/>
      </c>
      <c r="CV10">
        <f>IF(AND($E10&lt;&gt;"pre",AND(Settings!$A$28&lt;&gt;"",Settings!$E$28&lt;&gt;"No"),Settings!$F$28="Yes",NOT(AND('Month-End'!$G$16&lt;&gt;"",NOT(_xlfn.ISFORMULA('Month-End'!$G$16))))),1,0)</f>
        <v/>
      </c>
      <c r="CW10">
        <f>IF(AND($E10&lt;&gt;"pre",AND(Settings!$A$29&lt;&gt;"",Settings!$E$29&lt;&gt;"No"),Settings!$F$29="Yes",NOT(AND('Month-End'!$G$17&lt;&gt;"",NOT(_xlfn.ISFORMULA('Month-End'!$G$17))))),1,0)</f>
        <v/>
      </c>
      <c r="CX10">
        <f>IF(AND($E10&lt;&gt;"pre",AND(Settings!$A$30&lt;&gt;"",Settings!$E$30&lt;&gt;"No"),Settings!$F$30="Yes",NOT(AND('Month-End'!$G$18&lt;&gt;"",NOT(_xlfn.ISFORMULA('Month-End'!$G$18))))),1,0)</f>
        <v/>
      </c>
      <c r="CY10">
        <f>IF(AND($E10&lt;&gt;"pre",AND(Settings!$A$31&lt;&gt;"",Settings!$E$31&lt;&gt;"No"),Settings!$F$31="Yes",NOT(AND('Month-End'!$G$19&lt;&gt;"",NOT(_xlfn.ISFORMULA('Month-End'!$G$19))))),1,0)</f>
        <v/>
      </c>
      <c r="CZ10">
        <f>IF(AND($E10&lt;&gt;"pre",AND(Settings!$A$32&lt;&gt;"",Settings!$E$32&lt;&gt;"No"),Settings!$F$32="Yes",NOT(AND('Month-End'!$G$20&lt;&gt;"",NOT(_xlfn.ISFORMULA('Month-End'!$G$20))))),1,0)</f>
        <v/>
      </c>
      <c r="DA10">
        <f>IF($DT10=1,IF(OR(Settings!$B$19="Checking",Settings!$B$19="Savings",Settings!$B$19="Cash"),N($AE10),IF(OR(Settings!$B$19="Card",Settings!$B$19="Loan"),-N($AE10),0))+IF(OR(Settings!$B$20="Checking",Settings!$B$20="Savings",Settings!$B$20="Cash"),N($AF10),IF(OR(Settings!$B$20="Card",Settings!$B$20="Loan"),-N($AF10),0))+IF(OR(Settings!$B$21="Checking",Settings!$B$21="Savings",Settings!$B$21="Cash"),N($AG10),IF(OR(Settings!$B$21="Card",Settings!$B$21="Loan"),-N($AG10),0))+IF(OR(Settings!$B$22="Checking",Settings!$B$22="Savings",Settings!$B$22="Cash"),N($AH10),IF(OR(Settings!$B$22="Card",Settings!$B$22="Loan"),-N($AH10),0))+IF(OR(Settings!$B$23="Checking",Settings!$B$23="Savings",Settings!$B$23="Cash"),N($AI10),IF(OR(Settings!$B$23="Card",Settings!$B$23="Loan"),-N($AI10),0))+IF(OR(Settings!$B$24="Checking",Settings!$B$24="Savings",Settings!$B$24="Cash"),N($AJ10),IF(OR(Settings!$B$24="Card",Settings!$B$24="Loan"),-N($AJ10),0))+IF(OR(Settings!$B$25="Checking",Settings!$B$25="Savings",Settings!$B$25="Cash"),N($AK10),IF(OR(Settings!$B$25="Card",Settings!$B$25="Loan"),-N($AK10),0))+IF(OR(Settings!$B$26="Checking",Settings!$B$26="Savings",Settings!$B$26="Cash"),N($AL10),IF(OR(Settings!$B$26="Card",Settings!$B$26="Loan"),-N($AL10),0))+IF(OR(Settings!$B$27="Checking",Settings!$B$27="Savings",Settings!$B$27="Cash"),N($AM10),IF(OR(Settings!$B$27="Card",Settings!$B$27="Loan"),-N($AM10),0))+IF(OR(Settings!$B$28="Checking",Settings!$B$28="Savings",Settings!$B$28="Cash"),N($AN10),IF(OR(Settings!$B$28="Card",Settings!$B$28="Loan"),-N($AN10),0))+IF(OR(Settings!$B$29="Checking",Settings!$B$29="Savings",Settings!$B$29="Cash"),N($AO10),IF(OR(Settings!$B$29="Card",Settings!$B$29="Loan"),-N($AO10),0))+IF(OR(Settings!$B$30="Checking",Settings!$B$30="Savings",Settings!$B$30="Cash"),N($AP10),IF(OR(Settings!$B$30="Card",Settings!$B$30="Loan"),-N($AP10),0))+IF(OR(Settings!$B$31="Checking",Settings!$B$31="Savings",Settings!$B$31="Cash"),N($AQ10),IF(OR(Settings!$B$31="Card",Settings!$B$31="Loan"),-N($AQ10),0))+IF(OR(Settings!$B$32="Checking",Settings!$B$32="Savings",Settings!$B$32="Cash"),N($AR10),IF(OR(Settings!$B$32="Card",Settings!$B$32="Loan"),-N($AR10),0)),"")</f>
        <v/>
      </c>
      <c r="DB10">
        <f>IF($E10="open",$EB$27,IF($E10="post",IF($E9="pre",$EB$27,$DA9),""))</f>
        <v/>
      </c>
      <c r="DC10">
        <f>IF($E10="open",1,IF($E10="post",IF($E9="pre",1,$DT9),0))</f>
        <v/>
      </c>
      <c r="DD10">
        <f>IF(AND($DT10=1,$DC10=1),ROUND($W10-($DA10-$DB10)-$AD10-$AB10,2),"")</f>
        <v/>
      </c>
      <c r="DE10">
        <f>IF('Month-End'!$G$35="",$BQ10,N('Month-End'!$G$35))</f>
        <v/>
      </c>
      <c r="DF10">
        <f>N('Month-End'!$G$36)</f>
        <v/>
      </c>
      <c r="DG10">
        <f>IF($DD10="","",$DD10+$DE10)</f>
        <v/>
      </c>
      <c r="DH10">
        <f>IF($DG10="","",$DG10-$DF10)</f>
        <v/>
      </c>
      <c r="DI10">
        <f>IF(OR($E10="pre",$D10=1),"",N($AS10)+N($AT10)+N($AU10)+N($AV10)+N($AW10)+N($AX10))</f>
        <v/>
      </c>
      <c r="DJ10">
        <f>IF($DT10=1,$DA10+N($DI10),"")</f>
        <v/>
      </c>
      <c r="DK10">
        <f>IF($DD10="","",$W10-$DD10-$AB10)</f>
        <v/>
      </c>
      <c r="DL10">
        <f>IF(AND($E10="post",$DD10&lt;&gt;"",$B10&lt;TODAY()),1,0)</f>
        <v/>
      </c>
      <c r="DM10">
        <f>IF($DL10=1,COUNTIF($DL10:$DL$183,1),0)</f>
        <v/>
      </c>
      <c r="DN10">
        <f>IF($D10=1,"",IF($E10="pre","History only",IF($DT10=1,IF($DD10="","⚠ Previous month missing",IF($DD10&lt;0,"⚠ Check: spending &lt; 0",IF($E10="open","✓ Done (partial)","✓ Done"))),IF($B10&gt;=TODAY(),"In progress","⚠ Needs balances"))))</f>
        <v/>
      </c>
      <c r="DO10">
        <f>YEAR($A10)</f>
        <v/>
      </c>
      <c r="DP10">
        <f>DATE(YEAR($A10),INT((MONTH($A10)-1)/3)*3+1,1)</f>
        <v/>
      </c>
      <c r="DQ10">
        <f>IF(AND($DT10=1,$DD10&lt;&gt;"",$D10=0),ROW(),0)</f>
        <v/>
      </c>
      <c r="DR10">
        <f>IF(AND($E10&lt;&gt;"pre",$B10&lt;TODAY(),$DT10=0),1,0)</f>
        <v/>
      </c>
      <c r="DS10">
        <f>IF($DJ10="",NA(),$DJ10)</f>
        <v/>
      </c>
      <c r="DT10">
        <f>IF(AND($E10&lt;&gt;"pre",$CL10=0,COUNTIFS(Settings!$F$19:$F$32,"Yes",Settings!$A$19:$A$32,"&lt;&gt;",Settings!$E$19:$E$32,"&lt;&gt;No")&gt;0),1,0)</f>
        <v/>
      </c>
      <c r="DU10">
        <f>IF(AND($B10&lt;TODAY(),$S10&gt;0),1,0)</f>
        <v/>
      </c>
      <c r="DV10">
        <f>IF($DU10=1,COUNTIF($DU10:$DU$183,1),0)</f>
        <v/>
      </c>
      <c r="DW10">
        <f>IF(AND(OR(Settings!$B$19="Card",Settings!$B$19="Loan"),AND('Month-End'!$G$7&lt;&gt;"",NOT(_xlfn.ISFORMULA('Month-End'!$G$7)))),IF(N('Month-End'!$G$7)&lt;0,1,0),0)+IF(AND(OR(Settings!$B$20="Card",Settings!$B$20="Loan"),AND('Month-End'!$G$8&lt;&gt;"",NOT(_xlfn.ISFORMULA('Month-End'!$G$8)))),IF(N('Month-End'!$G$8)&lt;0,1,0),0)+IF(AND(OR(Settings!$B$21="Card",Settings!$B$21="Loan"),AND('Month-End'!$G$9&lt;&gt;"",NOT(_xlfn.ISFORMULA('Month-End'!$G$9)))),IF(N('Month-End'!$G$9)&lt;0,1,0),0)+IF(AND(OR(Settings!$B$22="Card",Settings!$B$22="Loan"),AND('Month-End'!$G$10&lt;&gt;"",NOT(_xlfn.ISFORMULA('Month-End'!$G$10)))),IF(N('Month-End'!$G$10)&lt;0,1,0),0)+IF(AND(OR(Settings!$B$23="Card",Settings!$B$23="Loan"),AND('Month-End'!$G$11&lt;&gt;"",NOT(_xlfn.ISFORMULA('Month-End'!$G$11)))),IF(N('Month-End'!$G$11)&lt;0,1,0),0)+IF(AND(OR(Settings!$B$24="Card",Settings!$B$24="Loan"),AND('Month-End'!$G$12&lt;&gt;"",NOT(_xlfn.ISFORMULA('Month-End'!$G$12)))),IF(N('Month-End'!$G$12)&lt;0,1,0),0)+IF(AND(OR(Settings!$B$25="Card",Settings!$B$25="Loan"),AND('Month-End'!$G$13&lt;&gt;"",NOT(_xlfn.ISFORMULA('Month-End'!$G$13)))),IF(N('Month-End'!$G$13)&lt;0,1,0),0)+IF(AND(OR(Settings!$B$26="Card",Settings!$B$26="Loan"),AND('Month-End'!$G$14&lt;&gt;"",NOT(_xlfn.ISFORMULA('Month-End'!$G$14)))),IF(N('Month-End'!$G$14)&lt;0,1,0),0)+IF(AND(OR(Settings!$B$27="Card",Settings!$B$27="Loan"),AND('Month-End'!$G$15&lt;&gt;"",NOT(_xlfn.ISFORMULA('Month-End'!$G$15)))),IF(N('Month-End'!$G$15)&lt;0,1,0),0)+IF(AND(OR(Settings!$B$28="Card",Settings!$B$28="Loan"),AND('Month-End'!$G$16&lt;&gt;"",NOT(_xlfn.ISFORMULA('Month-End'!$G$16)))),IF(N('Month-End'!$G$16)&lt;0,1,0),0)+IF(AND(OR(Settings!$B$29="Card",Settings!$B$29="Loan"),AND('Month-End'!$G$17&lt;&gt;"",NOT(_xlfn.ISFORMULA('Month-End'!$G$17)))),IF(N('Month-End'!$G$17)&lt;0,1,0),0)+IF(AND(OR(Settings!$B$30="Card",Settings!$B$30="Loan"),AND('Month-End'!$G$18&lt;&gt;"",NOT(_xlfn.ISFORMULA('Month-End'!$G$18)))),IF(N('Month-End'!$G$18)&lt;0,1,0),0)+IF(AND(OR(Settings!$B$31="Card",Settings!$B$31="Loan"),AND('Month-End'!$G$19&lt;&gt;"",NOT(_xlfn.ISFORMULA('Month-End'!$G$19)))),IF(N('Month-End'!$G$19)&lt;0,1,0),0)+IF(AND(OR(Settings!$B$32="Card",Settings!$B$32="Loan"),AND('Month-End'!$G$20&lt;&gt;"",NOT(_xlfn.ISFORMULA('Month-End'!$G$20)))),IF(N('Month-End'!$G$20)&lt;0,1,0),0)</f>
        <v/>
      </c>
      <c r="DX10">
        <f>IF(Settings!$B$36="Retirement",$AY10,0)+IF(Settings!$B$37="Retirement",$AZ10,0)+IF(Settings!$B$38="Retirement",$BA10,0)+IF(Settings!$B$39="Retirement",$BB10,0)+IF(Settings!$B$40="Retirement",$BC10,0)+IF(Settings!$B$41="Retirement",$BD10,0)</f>
        <v/>
      </c>
      <c r="EA10" t="inlineStr">
        <is>
          <t>Retirement + Investments</t>
        </is>
      </c>
      <c r="EB10">
        <f>EB31+EB32</f>
        <v/>
      </c>
      <c r="EO10" t="inlineStr">
        <is>
          <t>Saturday</t>
        </is>
      </c>
      <c r="ET10">
        <f>IF($E10&lt;&gt;"open",0,IF(AND('Month-End'!$G$22&lt;&gt;"",NOT(_xlfn.ISFORMULA('Month-End'!$G$22))),0,IF(OR(Settings!$C$45="",Settings!$D$45=""),0,Settings!$C$45*IF(Settings!$D$45="Weekly",IF(IFERROR(MATCH(Settings!$E$45,$EO$4:$EO$10,0),0)=0,0,IF(MIN(Settings!$B$5,IF(Settings!$G$45="",Settings!$B$5,Settings!$G$45))&lt;MAX($A10,Settings!$F$45),0,INT((MIN(Settings!$B$5,IF(Settings!$G$45="",Settings!$B$5,Settings!$G$45))-MAX($A10,Settings!$F$45)-MOD(IFERROR(MATCH(Settings!$E$45,$EO$4:$EO$10,0),0)-WEEKDAY(MAX($A10,Settings!$F$45)),7))/7)+1)),IF(AND(IF(Settings!$E$45="",$B10,DATE(YEAR($A10),MONTH($A10),MIN(Settings!$E$45,DAY($B10))))&gt;=MAX($A10,Settings!$F$45),IF(Settings!$E$45="",$B10,DATE(YEAR($A10),MONTH($A10),MIN(Settings!$E$45,DAY($B10))))&lt;=MIN(Settings!$B$5,IF(Settings!$G$45="",Settings!$B$5,Settings!$G$45))),1,0)))))</f>
        <v/>
      </c>
      <c r="EU10">
        <f>IF($E10&lt;&gt;"open",0,IF(AND('Month-End'!$G$23&lt;&gt;"",NOT(_xlfn.ISFORMULA('Month-End'!$G$23))),0,IF(OR(Settings!$C$46="",Settings!$D$46=""),0,Settings!$C$46*IF(Settings!$D$46="Weekly",IF(IFERROR(MATCH(Settings!$E$46,$EO$4:$EO$10,0),0)=0,0,IF(MIN(Settings!$B$5,IF(Settings!$G$46="",Settings!$B$5,Settings!$G$46))&lt;MAX($A10,Settings!$F$46),0,INT((MIN(Settings!$B$5,IF(Settings!$G$46="",Settings!$B$5,Settings!$G$46))-MAX($A10,Settings!$F$46)-MOD(IFERROR(MATCH(Settings!$E$46,$EO$4:$EO$10,0),0)-WEEKDAY(MAX($A10,Settings!$F$46)),7))/7)+1)),IF(AND(IF(Settings!$E$46="",$B10,DATE(YEAR($A10),MONTH($A10),MIN(Settings!$E$46,DAY($B10))))&gt;=MAX($A10,Settings!$F$46),IF(Settings!$E$46="",$B10,DATE(YEAR($A10),MONTH($A10),MIN(Settings!$E$46,DAY($B10))))&lt;=MIN(Settings!$B$5,IF(Settings!$G$46="",Settings!$B$5,Settings!$G$46))),1,0)))))</f>
        <v/>
      </c>
      <c r="EV10">
        <f>IF($E10&lt;&gt;"open",0,IF(AND('Month-End'!$G$24&lt;&gt;"",NOT(_xlfn.ISFORMULA('Month-End'!$G$24))),0,IF(OR(Settings!$C$47="",Settings!$D$47=""),0,Settings!$C$47*IF(Settings!$D$47="Weekly",IF(IFERROR(MATCH(Settings!$E$47,$EO$4:$EO$10,0),0)=0,0,IF(MIN(Settings!$B$5,IF(Settings!$G$47="",Settings!$B$5,Settings!$G$47))&lt;MAX($A10,Settings!$F$47),0,INT((MIN(Settings!$B$5,IF(Settings!$G$47="",Settings!$B$5,Settings!$G$47))-MAX($A10,Settings!$F$47)-MOD(IFERROR(MATCH(Settings!$E$47,$EO$4:$EO$10,0),0)-WEEKDAY(MAX($A10,Settings!$F$47)),7))/7)+1)),IF(AND(IF(Settings!$E$47="",$B10,DATE(YEAR($A10),MONTH($A10),MIN(Settings!$E$47,DAY($B10))))&gt;=MAX($A10,Settings!$F$47),IF(Settings!$E$47="",$B10,DATE(YEAR($A10),MONTH($A10),MIN(Settings!$E$47,DAY($B10))))&lt;=MIN(Settings!$B$5,IF(Settings!$G$47="",Settings!$B$5,Settings!$G$47))),1,0)))))</f>
        <v/>
      </c>
      <c r="EW10">
        <f>IF($E10&lt;&gt;"open",0,IF(AND('Month-End'!$G$25&lt;&gt;"",NOT(_xlfn.ISFORMULA('Month-End'!$G$25))),0,IF(OR(Settings!$C$48="",Settings!$D$48=""),0,Settings!$C$48*IF(Settings!$D$48="Weekly",IF(IFERROR(MATCH(Settings!$E$48,$EO$4:$EO$10,0),0)=0,0,IF(MIN(Settings!$B$5,IF(Settings!$G$48="",Settings!$B$5,Settings!$G$48))&lt;MAX($A10,Settings!$F$48),0,INT((MIN(Settings!$B$5,IF(Settings!$G$48="",Settings!$B$5,Settings!$G$48))-MAX($A10,Settings!$F$48)-MOD(IFERROR(MATCH(Settings!$E$48,$EO$4:$EO$10,0),0)-WEEKDAY(MAX($A10,Settings!$F$48)),7))/7)+1)),IF(AND(IF(Settings!$E$48="",$B10,DATE(YEAR($A10),MONTH($A10),MIN(Settings!$E$48,DAY($B10))))&gt;=MAX($A10,Settings!$F$48),IF(Settings!$E$48="",$B10,DATE(YEAR($A10),MONTH($A10),MIN(Settings!$E$48,DAY($B10))))&lt;=MIN(Settings!$B$5,IF(Settings!$G$48="",Settings!$B$5,Settings!$G$48))),1,0)))))</f>
        <v/>
      </c>
      <c r="EX10">
        <f>IF($E10&lt;&gt;"open",0,IF(AND('Month-End'!$G$26&lt;&gt;"",NOT(_xlfn.ISFORMULA('Month-End'!$G$26))),0,IF(OR(Settings!$C$49="",Settings!$D$49=""),0,Settings!$C$49*IF(Settings!$D$49="Weekly",IF(IFERROR(MATCH(Settings!$E$49,$EO$4:$EO$10,0),0)=0,0,IF(MIN(Settings!$B$5,IF(Settings!$G$49="",Settings!$B$5,Settings!$G$49))&lt;MAX($A10,Settings!$F$49),0,INT((MIN(Settings!$B$5,IF(Settings!$G$49="",Settings!$B$5,Settings!$G$49))-MAX($A10,Settings!$F$49)-MOD(IFERROR(MATCH(Settings!$E$49,$EO$4:$EO$10,0),0)-WEEKDAY(MAX($A10,Settings!$F$49)),7))/7)+1)),IF(AND(IF(Settings!$E$49="",$B10,DATE(YEAR($A10),MONTH($A10),MIN(Settings!$E$49,DAY($B10))))&gt;=MAX($A10,Settings!$F$49),IF(Settings!$E$49="",$B10,DATE(YEAR($A10),MONTH($A10),MIN(Settings!$E$49,DAY($B10))))&lt;=MIN(Settings!$B$5,IF(Settings!$G$49="",Settings!$B$5,Settings!$G$49))),1,0)))))</f>
        <v/>
      </c>
      <c r="EY10">
        <f>IF($E10&lt;&gt;"open",0,IF(AND('Month-End'!$G$27&lt;&gt;"",NOT(_xlfn.ISFORMULA('Month-End'!$G$27))),0,IF(OR(Settings!$C$50="",Settings!$D$50=""),0,Settings!$C$50*IF(Settings!$D$50="Weekly",IF(IFERROR(MATCH(Settings!$E$50,$EO$4:$EO$10,0),0)=0,0,IF(MIN(Settings!$B$5,IF(Settings!$G$50="",Settings!$B$5,Settings!$G$50))&lt;MAX($A10,Settings!$F$50),0,INT((MIN(Settings!$B$5,IF(Settings!$G$50="",Settings!$B$5,Settings!$G$50))-MAX($A10,Settings!$F$50)-MOD(IFERROR(MATCH(Settings!$E$50,$EO$4:$EO$10,0),0)-WEEKDAY(MAX($A10,Settings!$F$50)),7))/7)+1)),IF(AND(IF(Settings!$E$50="",$B10,DATE(YEAR($A10),MONTH($A10),MIN(Settings!$E$50,DAY($B10))))&gt;=MAX($A10,Settings!$F$50),IF(Settings!$E$50="",$B10,DATE(YEAR($A10),MONTH($A10),MIN(Settings!$E$50,DAY($B10))))&lt;=MIN(Settings!$B$5,IF(Settings!$G$50="",Settings!$B$5,Settings!$G$50))),1,0)))))</f>
        <v/>
      </c>
      <c r="EZ10">
        <f>IF($E10&lt;&gt;"open",0,IF(AND('Month-End'!$G$28&lt;&gt;"",NOT(_xlfn.ISFORMULA('Month-End'!$G$28))),0,IF(OR(Settings!$C$51="",Settings!$D$51=""),0,Settings!$C$51*IF(Settings!$D$51="Weekly",IF(IFERROR(MATCH(Settings!$E$51,$EO$4:$EO$10,0),0)=0,0,IF(MIN(Settings!$B$5,IF(Settings!$G$51="",Settings!$B$5,Settings!$G$51))&lt;MAX($A10,Settings!$F$51),0,INT((MIN(Settings!$B$5,IF(Settings!$G$51="",Settings!$B$5,Settings!$G$51))-MAX($A10,Settings!$F$51)-MOD(IFERROR(MATCH(Settings!$E$51,$EO$4:$EO$10,0),0)-WEEKDAY(MAX($A10,Settings!$F$51)),7))/7)+1)),IF(AND(IF(Settings!$E$51="",$B10,DATE(YEAR($A10),MONTH($A10),MIN(Settings!$E$51,DAY($B10))))&gt;=MAX($A10,Settings!$F$51),IF(Settings!$E$51="",$B10,DATE(YEAR($A10),MONTH($A10),MIN(Settings!$E$51,DAY($B10))))&lt;=MIN(Settings!$B$5,IF(Settings!$G$51="",Settings!$B$5,Settings!$G$51))),1,0)))))</f>
        <v/>
      </c>
      <c r="FA10">
        <f>IF($E10&lt;&gt;"open",0,IF(AND('Month-End'!$G$29&lt;&gt;"",NOT(_xlfn.ISFORMULA('Month-End'!$G$29))),0,IF(OR(Settings!$C$52="",Settings!$D$52=""),0,Settings!$C$52*IF(Settings!$D$52="Weekly",IF(IFERROR(MATCH(Settings!$E$52,$EO$4:$EO$10,0),0)=0,0,IF(MIN(Settings!$B$5,IF(Settings!$G$52="",Settings!$B$5,Settings!$G$52))&lt;MAX($A10,Settings!$F$52),0,INT((MIN(Settings!$B$5,IF(Settings!$G$52="",Settings!$B$5,Settings!$G$52))-MAX($A10,Settings!$F$52)-MOD(IFERROR(MATCH(Settings!$E$52,$EO$4:$EO$10,0),0)-WEEKDAY(MAX($A10,Settings!$F$52)),7))/7)+1)),IF(AND(IF(Settings!$E$52="",$B10,DATE(YEAR($A10),MONTH($A10),MIN(Settings!$E$52,DAY($B10))))&gt;=MAX($A10,Settings!$F$52),IF(Settings!$E$52="",$B10,DATE(YEAR($A10),MONTH($A10),MIN(Settings!$E$52,DAY($B10))))&lt;=MIN(Settings!$B$5,IF(Settings!$G$52="",Settings!$B$5,Settings!$G$52))),1,0)))))</f>
        <v/>
      </c>
      <c r="FB10">
        <f>IF($E10&lt;&gt;"open",0,IF(AND('Month-End'!$G$30&lt;&gt;"",NOT(_xlfn.ISFORMULA('Month-End'!$G$30))),0,IF(OR(Settings!$C$53="",Settings!$D$53=""),0,Settings!$C$53*IF(Settings!$D$53="Weekly",IF(IFERROR(MATCH(Settings!$E$53,$EO$4:$EO$10,0),0)=0,0,IF(MIN(Settings!$B$5,IF(Settings!$G$53="",Settings!$B$5,Settings!$G$53))&lt;MAX($A10,Settings!$F$53),0,INT((MIN(Settings!$B$5,IF(Settings!$G$53="",Settings!$B$5,Settings!$G$53))-MAX($A10,Settings!$F$53)-MOD(IFERROR(MATCH(Settings!$E$53,$EO$4:$EO$10,0),0)-WEEKDAY(MAX($A10,Settings!$F$53)),7))/7)+1)),IF(AND(IF(Settings!$E$53="",$B10,DATE(YEAR($A10),MONTH($A10),MIN(Settings!$E$53,DAY($B10))))&gt;=MAX($A10,Settings!$F$53),IF(Settings!$E$53="",$B10,DATE(YEAR($A10),MONTH($A10),MIN(Settings!$E$53,DAY($B10))))&lt;=MIN(Settings!$B$5,IF(Settings!$G$53="",Settings!$B$5,Settings!$G$53))),1,0)))))</f>
        <v/>
      </c>
      <c r="FC10">
        <f>IF($E10&lt;&gt;"open",0,IF(AND('Month-End'!$G$31&lt;&gt;"",NOT(_xlfn.ISFORMULA('Month-End'!$G$31))),0,IF(OR(Settings!$C$54="",Settings!$D$54=""),0,Settings!$C$54*IF(Settings!$D$54="Weekly",IF(IFERROR(MATCH(Settings!$E$54,$EO$4:$EO$10,0),0)=0,0,IF(MIN(Settings!$B$5,IF(Settings!$G$54="",Settings!$B$5,Settings!$G$54))&lt;MAX($A10,Settings!$F$54),0,INT((MIN(Settings!$B$5,IF(Settings!$G$54="",Settings!$B$5,Settings!$G$54))-MAX($A10,Settings!$F$54)-MOD(IFERROR(MATCH(Settings!$E$54,$EO$4:$EO$10,0),0)-WEEKDAY(MAX($A10,Settings!$F$54)),7))/7)+1)),IF(AND(IF(Settings!$E$54="",$B10,DATE(YEAR($A10),MONTH($A10),MIN(Settings!$E$54,DAY($B10))))&gt;=MAX($A10,Settings!$F$54),IF(Settings!$E$54="",$B10,DATE(YEAR($A10),MONTH($A10),MIN(Settings!$E$54,DAY($B10))))&lt;=MIN(Settings!$B$5,IF(Settings!$G$54="",Settings!$B$5,Settings!$G$54))),1,0)))))</f>
        <v/>
      </c>
      <c r="FD10">
        <f>IF($E10&lt;&gt;"open",0,IF(AND('Month-End'!$G$32&lt;&gt;"",NOT(_xlfn.ISFORMULA('Month-End'!$G$32))),0,IF(OR(Settings!$C$55="",Settings!$D$55=""),0,Settings!$C$55*IF(Settings!$D$55="Weekly",IF(IFERROR(MATCH(Settings!$E$55,$EO$4:$EO$10,0),0)=0,0,IF(MIN(Settings!$B$5,IF(Settings!$G$55="",Settings!$B$5,Settings!$G$55))&lt;MAX($A10,Settings!$F$55),0,INT((MIN(Settings!$B$5,IF(Settings!$G$55="",Settings!$B$5,Settings!$G$55))-MAX($A10,Settings!$F$55)-MOD(IFERROR(MATCH(Settings!$E$55,$EO$4:$EO$10,0),0)-WEEKDAY(MAX($A10,Settings!$F$55)),7))/7)+1)),IF(AND(IF(Settings!$E$55="",$B10,DATE(YEAR($A10),MONTH($A10),MIN(Settings!$E$55,DAY($B10))))&gt;=MAX($A10,Settings!$F$55),IF(Settings!$E$55="",$B10,DATE(YEAR($A10),MONTH($A10),MIN(Settings!$E$55,DAY($B10))))&lt;=MIN(Settings!$B$5,IF(Settings!$G$55="",Settings!$B$5,Settings!$G$55))),1,0)))))</f>
        <v/>
      </c>
      <c r="FE10">
        <f>IF($E10&lt;&gt;"open",0,IF(AND('Month-End'!$G$33&lt;&gt;"",NOT(_xlfn.ISFORMULA('Month-End'!$G$33))),0,IF(OR(Settings!$C$56="",Settings!$D$56=""),0,Settings!$C$56*IF(Settings!$D$56="Weekly",IF(IFERROR(MATCH(Settings!$E$56,$EO$4:$EO$10,0),0)=0,0,IF(MIN(Settings!$B$5,IF(Settings!$G$56="",Settings!$B$5,Settings!$G$56))&lt;MAX($A10,Settings!$F$56),0,INT((MIN(Settings!$B$5,IF(Settings!$G$56="",Settings!$B$5,Settings!$G$56))-MAX($A10,Settings!$F$56)-MOD(IFERROR(MATCH(Settings!$E$56,$EO$4:$EO$10,0),0)-WEEKDAY(MAX($A10,Settings!$F$56)),7))/7)+1)),IF(AND(IF(Settings!$E$56="",$B10,DATE(YEAR($A10),MONTH($A10),MIN(Settings!$E$56,DAY($B10))))&gt;=MAX($A10,Settings!$F$56),IF(Settings!$E$56="",$B10,DATE(YEAR($A10),MONTH($A10),MIN(Settings!$E$56,DAY($B10))))&lt;=MIN(Settings!$B$5,IF(Settings!$G$56="",Settings!$B$5,Settings!$G$56))),1,0)))))</f>
        <v/>
      </c>
      <c r="FF10">
        <f>IF(Settings!$I$45="Yes",$G10,0)+IF(Settings!$I$46="Yes",$H10,0)+IF(Settings!$I$47="Yes",$I10,0)+IF(Settings!$I$48="Yes",$J10,0)+IF(Settings!$I$49="Yes",$K10,0)+IF(Settings!$I$50="Yes",$L10,0)+IF(Settings!$I$51="Yes",$M10,0)+IF(Settings!$I$52="Yes",$N10,0)+IF(Settings!$I$53="Yes",$O10,0)+IF(Settings!$I$54="Yes",$P10,0)+IF(Settings!$I$55="Yes",$Q10,0)+IF(Settings!$I$56="Yes",$R10,0)</f>
        <v/>
      </c>
      <c r="FG10">
        <f>IF(AND(Settings!$I$45="Yes",Settings!$J$45="No"),$G10,0)+IF(AND(Settings!$I$46="Yes",Settings!$J$46="No"),$H10,0)+IF(AND(Settings!$I$47="Yes",Settings!$J$47="No"),$I10,0)+IF(AND(Settings!$I$48="Yes",Settings!$J$48="No"),$J10,0)+IF(AND(Settings!$I$49="Yes",Settings!$J$49="No"),$K10,0)+IF(AND(Settings!$I$50="Yes",Settings!$J$50="No"),$L10,0)+IF(AND(Settings!$I$51="Yes",Settings!$J$51="No"),$M10,0)+IF(AND(Settings!$I$52="Yes",Settings!$J$52="No"),$N10,0)+IF(AND(Settings!$I$53="Yes",Settings!$J$53="No"),$O10,0)+IF(AND(Settings!$I$54="Yes",Settings!$J$54="No"),$P10,0)+IF(AND(Settings!$I$55="Yes",Settings!$J$55="No"),$Q10,0)+IF(AND(Settings!$I$56="Yes",Settings!$J$56="No"),$R10,0)</f>
        <v/>
      </c>
      <c r="FH10">
        <f>SUMIFS(Giving!$B$7:$B$2006,Giving!$A$7:$A$2006,"&gt;="&amp;$A10,Giving!$A$7:$A$2006,"&lt;="&amp;$B10,Giving!$G$7:$G$2006,"Yes")+IF(OR(OR(Settings!$B$60="",Settings!$F$60="No"),Settings!$H$60&lt;&gt;"Yes"),0,Settings!$B$60*IF(AND(IF(Settings!$C$60="",$B10,DATE(YEAR($A10),MONTH($A10),MIN(Settings!$C$60,DAY($B10))))&gt;=MAX($A10,Settings!$D$60),IF(Settings!$C$60="",$B10,DATE(YEAR($A10),MONTH($A10),MIN(Settings!$C$60,DAY($B10))))&lt;=MIN($C10,IF(Settings!$E$60="",$C10,Settings!$E$60))),1,0))+IF(OR(OR(Settings!$B$61="",Settings!$F$61="No"),Settings!$H$61&lt;&gt;"Yes"),0,Settings!$B$61*IF(AND(IF(Settings!$C$61="",$B10,DATE(YEAR($A10),MONTH($A10),MIN(Settings!$C$61,DAY($B10))))&gt;=MAX($A10,Settings!$D$61),IF(Settings!$C$61="",$B10,DATE(YEAR($A10),MONTH($A10),MIN(Settings!$C$61,DAY($B10))))&lt;=MIN($C10,IF(Settings!$E$61="",$C10,Settings!$E$61))),1,0))+IF(OR(OR(Settings!$B$62="",Settings!$F$62="No"),Settings!$H$62&lt;&gt;"Yes"),0,Settings!$B$62*IF(AND(IF(Settings!$C$62="",$B10,DATE(YEAR($A10),MONTH($A10),MIN(Settings!$C$62,DAY($B10))))&gt;=MAX($A10,Settings!$D$62),IF(Settings!$C$62="",$B10,DATE(YEAR($A10),MONTH($A10),MIN(Settings!$C$62,DAY($B10))))&lt;=MIN($C10,IF(Settings!$E$62="",$C10,Settings!$E$62))),1,0))+IF(OR(OR(Settings!$B$63="",Settings!$F$63="No"),Settings!$H$63&lt;&gt;"Yes"),0,Settings!$B$63*IF(AND(IF(Settings!$C$63="",$B10,DATE(YEAR($A10),MONTH($A10),MIN(Settings!$C$63,DAY($B10))))&gt;=MAX($A10,Settings!$D$63),IF(Settings!$C$63="",$B10,DATE(YEAR($A10),MONTH($A10),MIN(Settings!$C$63,DAY($B10))))&lt;=MIN($C10,IF(Settings!$E$63="",$C10,Settings!$E$63))),1,0))+IF(OR(OR(Settings!$B$64="",Settings!$F$64="No"),Settings!$H$64&lt;&gt;"Yes"),0,Settings!$B$64*IF(AND(IF(Settings!$C$64="",$B10,DATE(YEAR($A10),MONTH($A10),MIN(Settings!$C$64,DAY($B10))))&gt;=MAX($A10,Settings!$D$64),IF(Settings!$C$64="",$B10,DATE(YEAR($A10),MONTH($A10),MIN(Settings!$C$64,DAY($B10))))&lt;=MIN($C10,IF(Settings!$E$64="",$C10,Settings!$E$64))),1,0))+IF(OR(OR(Settings!$B$65="",Settings!$F$65="No"),Settings!$H$65&lt;&gt;"Yes"),0,Settings!$B$65*IF(AND(IF(Settings!$C$65="",$B10,DATE(YEAR($A10),MONTH($A10),MIN(Settings!$C$65,DAY($B10))))&gt;=MAX($A10,Settings!$D$65),IF(Settings!$C$65="",$B10,DATE(YEAR($A10),MONTH($A10),MIN(Settings!$C$65,DAY($B10))))&lt;=MIN($C10,IF(Settings!$E$65="",$C10,Settings!$E$65))),1,0))</f>
        <v/>
      </c>
      <c r="FI10">
        <f>IF($DT10=1,IF(OR(Settings!$B$19="Card",Settings!$B$19="Loan"),N($AE10),0)+IF(OR(Settings!$B$20="Card",Settings!$B$20="Loan"),N($AF10),0)+IF(OR(Settings!$B$21="Card",Settings!$B$21="Loan"),N($AG10),0)+IF(OR(Settings!$B$22="Card",Settings!$B$22="Loan"),N($AH10),0)+IF(OR(Settings!$B$23="Card",Settings!$B$23="Loan"),N($AI10),0)+IF(OR(Settings!$B$24="Card",Settings!$B$24="Loan"),N($AJ10),0)+IF(OR(Settings!$B$25="Card",Settings!$B$25="Loan"),N($AK10),0)+IF(OR(Settings!$B$26="Card",Settings!$B$26="Loan"),N($AL10),0)+IF(OR(Settings!$B$27="Card",Settings!$B$27="Loan"),N($AM10),0)+IF(OR(Settings!$B$28="Card",Settings!$B$28="Loan"),N($AN10),0)+IF(OR(Settings!$B$29="Card",Settings!$B$29="Loan"),N($AO10),0)+IF(OR(Settings!$B$30="Card",Settings!$B$30="Loan"),N($AP10),0)+IF(OR(Settings!$B$31="Card",Settings!$B$31="Loan"),N($AQ10),0)+IF(OR(Settings!$B$32="Card",Settings!$B$32="Loan"),N($AR10),0),"")</f>
        <v/>
      </c>
      <c r="FJ10">
        <f>IF($E10="open",$EB$65,IF($E10="post",IF($E9="pre",$EB$65,$FI9),""))</f>
        <v/>
      </c>
      <c r="FK10">
        <f>IF(AND($DT10=1,$DC10=1),IF(ROUND($FI10-$FJ10,2)&gt;0,1,0),0)</f>
        <v/>
      </c>
      <c r="FL10">
        <f>IF($FK10=1,$FL9+1,0)</f>
        <v/>
      </c>
    </row>
    <row r="11">
      <c r="A11">
        <f>'Month-End'!$H$4</f>
        <v/>
      </c>
      <c r="B11">
        <f>EOMONTH($A11,0)</f>
        <v/>
      </c>
      <c r="C11">
        <f>MIN($B11,TODAY())</f>
        <v/>
      </c>
      <c r="D11">
        <f>IF($A11&gt;TODAY(),1,0)</f>
        <v/>
      </c>
      <c r="E11">
        <f>IF($B11&lt;=Settings!$B$5,"pre",IF($A11&lt;=Settings!$B$5,"open","post"))</f>
        <v/>
      </c>
      <c r="G11">
        <f>IF('Month-End'!$H$22="",$BE11,N('Month-End'!$H$22))</f>
        <v/>
      </c>
      <c r="H11">
        <f>IF('Month-End'!$H$23="",$BF11,N('Month-End'!$H$23))</f>
        <v/>
      </c>
      <c r="I11">
        <f>IF('Month-End'!$H$24="",$BG11,N('Month-End'!$H$24))</f>
        <v/>
      </c>
      <c r="J11">
        <f>IF('Month-End'!$H$25="",$BH11,N('Month-End'!$H$25))</f>
        <v/>
      </c>
      <c r="K11">
        <f>IF('Month-End'!$H$26="",$BI11,N('Month-End'!$H$26))</f>
        <v/>
      </c>
      <c r="L11">
        <f>IF('Month-End'!$H$27="",$BJ11,N('Month-End'!$H$27))</f>
        <v/>
      </c>
      <c r="M11">
        <f>IF('Month-End'!$H$28="",$BK11,N('Month-End'!$H$28))</f>
        <v/>
      </c>
      <c r="N11">
        <f>IF('Month-End'!$H$29="",$BL11,N('Month-End'!$H$29))</f>
        <v/>
      </c>
      <c r="O11">
        <f>IF('Month-End'!$H$30="",$BM11,N('Month-End'!$H$30))</f>
        <v/>
      </c>
      <c r="P11">
        <f>IF('Month-End'!$H$31="",$BN11,N('Month-End'!$H$31))</f>
        <v/>
      </c>
      <c r="Q11">
        <f>IF('Month-End'!$H$32="",$BO11,N('Month-End'!$H$32))</f>
        <v/>
      </c>
      <c r="R11">
        <f>IF('Month-End'!$H$33="",$BP11,N('Month-End'!$H$33))</f>
        <v/>
      </c>
      <c r="S11">
        <f>$G11+$H11+$I11+$J11+$K11+$L11+$M11+$N11+$O11+$P11+$Q11+$R11</f>
        <v/>
      </c>
      <c r="T11">
        <f>IF($B11&lt;Settings!$B$6,0,IF(Settings!$B$45="Yes",$G11,0)+IF(Settings!$B$46="Yes",$H11,0)+IF(Settings!$B$47="Yes",$I11,0)+IF(Settings!$B$48="Yes",$J11,0)+IF(Settings!$B$49="Yes",$K11,0)+IF(Settings!$B$50="Yes",$L11,0)+IF(Settings!$B$51="Yes",$M11,0)+IF(Settings!$B$52="Yes",$N11,0)+IF(Settings!$B$53="Yes",$O11,0)+IF(Settings!$B$54="Yes",$P11,0)+IF(Settings!$B$55="Yes",$Q11,0)+IF(Settings!$B$56="Yes",$R11,0))</f>
        <v/>
      </c>
      <c r="U11">
        <f>IF(Settings!$B$45="Not Sure",$G11,0)+IF(Settings!$B$46="Not Sure",$H11,0)+IF(Settings!$B$47="Not Sure",$I11,0)+IF(Settings!$B$48="Not Sure",$J11,0)+IF(Settings!$B$49="Not Sure",$K11,0)+IF(Settings!$B$50="Not Sure",$L11,0)+IF(Settings!$B$51="Not Sure",$M11,0)+IF(Settings!$B$52="Not Sure",$N11,0)+IF(Settings!$B$53="Not Sure",$O11,0)+IF(Settings!$B$54="Not Sure",$P11,0)+IF(Settings!$B$55="Not Sure",$Q11,0)+IF(Settings!$B$56="Not Sure",$R11,0)</f>
        <v/>
      </c>
      <c r="V11">
        <f>IF($E11="open",SUM($ET11:$FE11)+N(Settings!$B$13),0)</f>
        <v/>
      </c>
      <c r="W11">
        <f>IF($E11="post",$S11,IF($E11="open",$S11-$V11,0))</f>
        <v/>
      </c>
      <c r="X11">
        <f>SUMIFS(Giving!$B$7:$B$2006,Giving!$A$7:$A$2006,"&gt;="&amp;$A11,Giving!$A$7:$A$2006,"&lt;="&amp;$B11,Giving!$E$7:$E$2006,"&lt;&gt;No")</f>
        <v/>
      </c>
      <c r="Y11">
        <f>SUMIFS(Giving!$B$7:$B$2006,Giving!$A$7:$A$2006,"&gt;="&amp;$A11,Giving!$A$7:$A$2006,"&lt;="&amp;$B11,Giving!$E$7:$E$2006,"No")</f>
        <v/>
      </c>
      <c r="Z11">
        <f>IF(OR(Settings!$B$60="",Settings!$F$60="No"),0,Settings!$B$60*IF(AND(IF(Settings!$C$60="",$B11,DATE(YEAR($A11),MONTH($A11),MIN(Settings!$C$60,DAY($B11))))&gt;=MAX($A11,Settings!$D$60),IF(Settings!$C$60="",$B11,DATE(YEAR($A11),MONTH($A11),MIN(Settings!$C$60,DAY($B11))))&lt;=MIN($C11,IF(Settings!$E$60="",$C11,Settings!$E$60))),1,0))+IF(OR(Settings!$B$61="",Settings!$F$61="No"),0,Settings!$B$61*IF(AND(IF(Settings!$C$61="",$B11,DATE(YEAR($A11),MONTH($A11),MIN(Settings!$C$61,DAY($B11))))&gt;=MAX($A11,Settings!$D$61),IF(Settings!$C$61="",$B11,DATE(YEAR($A11),MONTH($A11),MIN(Settings!$C$61,DAY($B11))))&lt;=MIN($C11,IF(Settings!$E$61="",$C11,Settings!$E$61))),1,0))+IF(OR(Settings!$B$62="",Settings!$F$62="No"),0,Settings!$B$62*IF(AND(IF(Settings!$C$62="",$B11,DATE(YEAR($A11),MONTH($A11),MIN(Settings!$C$62,DAY($B11))))&gt;=MAX($A11,Settings!$D$62),IF(Settings!$C$62="",$B11,DATE(YEAR($A11),MONTH($A11),MIN(Settings!$C$62,DAY($B11))))&lt;=MIN($C11,IF(Settings!$E$62="",$C11,Settings!$E$62))),1,0))+IF(OR(Settings!$B$63="",Settings!$F$63="No"),0,Settings!$B$63*IF(AND(IF(Settings!$C$63="",$B11,DATE(YEAR($A11),MONTH($A11),MIN(Settings!$C$63,DAY($B11))))&gt;=MAX($A11,Settings!$D$63),IF(Settings!$C$63="",$B11,DATE(YEAR($A11),MONTH($A11),MIN(Settings!$C$63,DAY($B11))))&lt;=MIN($C11,IF(Settings!$E$63="",$C11,Settings!$E$63))),1,0))+IF(OR(Settings!$B$64="",Settings!$F$64="No"),0,Settings!$B$64*IF(AND(IF(Settings!$C$64="",$B11,DATE(YEAR($A11),MONTH($A11),MIN(Settings!$C$64,DAY($B11))))&gt;=MAX($A11,Settings!$D$64),IF(Settings!$C$64="",$B11,DATE(YEAR($A11),MONTH($A11),MIN(Settings!$C$64,DAY($B11))))&lt;=MIN($C11,IF(Settings!$E$64="",$C11,Settings!$E$64))),1,0))+IF(OR(Settings!$B$65="",Settings!$F$65="No"),0,Settings!$B$65*IF(AND(IF(Settings!$C$65="",$B11,DATE(YEAR($A11),MONTH($A11),MIN(Settings!$C$65,DAY($B11))))&gt;=MAX($A11,Settings!$D$65),IF(Settings!$C$65="",$B11,DATE(YEAR($A11),MONTH($A11),MIN(Settings!$C$65,DAY($B11))))&lt;=MIN($C11,IF(Settings!$E$65="",$C11,Settings!$E$65))),1,0))</f>
        <v/>
      </c>
      <c r="AA11">
        <f>$X11+$Z11</f>
        <v/>
      </c>
      <c r="AB11">
        <f>IF($E11="post",$AA11,IF($E11="open",SUMIFS(Giving!$B$7:$B$2006,Giving!$A$7:$A$2006,"&gt;"&amp;Settings!$B$5,Giving!$A$7:$A$2006,"&lt;="&amp;$B11,Giving!$E$7:$E$2006,"&lt;&gt;No")+IF(OR(Settings!$B$60="",Settings!$F$60="No"),0,Settings!$B$60*IF(AND(IF(Settings!$C$60="",$B11,DATE(YEAR($A11),MONTH($A11),MIN(Settings!$C$60,DAY($B11))))&gt;=MAX($A11,Settings!$D$60,Settings!$B$5+1),IF(Settings!$C$60="",$B11,DATE(YEAR($A11),MONTH($A11),MIN(Settings!$C$60,DAY($B11))))&lt;=MIN($C11,IF(Settings!$E$60="",$C11,Settings!$E$60))),1,0))+IF(OR(Settings!$B$61="",Settings!$F$61="No"),0,Settings!$B$61*IF(AND(IF(Settings!$C$61="",$B11,DATE(YEAR($A11),MONTH($A11),MIN(Settings!$C$61,DAY($B11))))&gt;=MAX($A11,Settings!$D$61,Settings!$B$5+1),IF(Settings!$C$61="",$B11,DATE(YEAR($A11),MONTH($A11),MIN(Settings!$C$61,DAY($B11))))&lt;=MIN($C11,IF(Settings!$E$61="",$C11,Settings!$E$61))),1,0))+IF(OR(Settings!$B$62="",Settings!$F$62="No"),0,Settings!$B$62*IF(AND(IF(Settings!$C$62="",$B11,DATE(YEAR($A11),MONTH($A11),MIN(Settings!$C$62,DAY($B11))))&gt;=MAX($A11,Settings!$D$62,Settings!$B$5+1),IF(Settings!$C$62="",$B11,DATE(YEAR($A11),MONTH($A11),MIN(Settings!$C$62,DAY($B11))))&lt;=MIN($C11,IF(Settings!$E$62="",$C11,Settings!$E$62))),1,0))+IF(OR(Settings!$B$63="",Settings!$F$63="No"),0,Settings!$B$63*IF(AND(IF(Settings!$C$63="",$B11,DATE(YEAR($A11),MONTH($A11),MIN(Settings!$C$63,DAY($B11))))&gt;=MAX($A11,Settings!$D$63,Settings!$B$5+1),IF(Settings!$C$63="",$B11,DATE(YEAR($A11),MONTH($A11),MIN(Settings!$C$63,DAY($B11))))&lt;=MIN($C11,IF(Settings!$E$63="",$C11,Settings!$E$63))),1,0))+IF(OR(Settings!$B$64="",Settings!$F$64="No"),0,Settings!$B$64*IF(AND(IF(Settings!$C$64="",$B11,DATE(YEAR($A11),MONTH($A11),MIN(Settings!$C$64,DAY($B11))))&gt;=MAX($A11,Settings!$D$64,Settings!$B$5+1),IF(Settings!$C$64="",$B11,DATE(YEAR($A11),MONTH($A11),MIN(Settings!$C$64,DAY($B11))))&lt;=MIN($C11,IF(Settings!$E$64="",$C11,Settings!$E$64))),1,0))+IF(OR(Settings!$B$65="",Settings!$F$65="No"),0,Settings!$B$65*IF(AND(IF(Settings!$C$65="",$B11,DATE(YEAR($A11),MONTH($A11),MIN(Settings!$C$65,DAY($B11))))&gt;=MAX($A11,Settings!$D$65,Settings!$B$5+1),IF(Settings!$C$65="",$B11,DATE(YEAR($A11),MONTH($A11),MIN(Settings!$C$65,DAY($B11))))&lt;=MIN($C11,IF(Settings!$E$65="",$C11,Settings!$E$65))),1,0)),0))</f>
        <v/>
      </c>
      <c r="AC11">
        <f>$AY11+$AZ11+$BA11+$BB11+$BC11+$BD11</f>
        <v/>
      </c>
      <c r="AD11">
        <f>$AC11</f>
        <v/>
      </c>
      <c r="AE11">
        <f>IF(OR(Settings!$A$19="",$E11="pre"),"",IF(AND('Month-End'!$H$7&lt;&gt;"",NOT(_xlfn.ISFORMULA('Month-End'!$H$7))),N('Month-End'!$H$7),IF(OR($E11="open",$E10="pre"),N(Settings!$C$19),N($AE10))))</f>
        <v/>
      </c>
      <c r="AF11">
        <f>IF(OR(Settings!$A$20="",$E11="pre"),"",IF(AND('Month-End'!$H$8&lt;&gt;"",NOT(_xlfn.ISFORMULA('Month-End'!$H$8))),N('Month-End'!$H$8),IF(OR($E11="open",$E10="pre"),N(Settings!$C$20),N($AF10))))</f>
        <v/>
      </c>
      <c r="AG11">
        <f>IF(OR(Settings!$A$21="",$E11="pre"),"",IF(AND('Month-End'!$H$9&lt;&gt;"",NOT(_xlfn.ISFORMULA('Month-End'!$H$9))),N('Month-End'!$H$9),IF(OR($E11="open",$E10="pre"),N(Settings!$C$21),N($AG10))))</f>
        <v/>
      </c>
      <c r="AH11">
        <f>IF(OR(Settings!$A$22="",$E11="pre"),"",IF(AND('Month-End'!$H$10&lt;&gt;"",NOT(_xlfn.ISFORMULA('Month-End'!$H$10))),N('Month-End'!$H$10),IF(OR($E11="open",$E10="pre"),N(Settings!$C$22),N($AH10))))</f>
        <v/>
      </c>
      <c r="AI11">
        <f>IF(OR(Settings!$A$23="",$E11="pre"),"",IF(AND('Month-End'!$H$11&lt;&gt;"",NOT(_xlfn.ISFORMULA('Month-End'!$H$11))),N('Month-End'!$H$11),IF(OR($E11="open",$E10="pre"),N(Settings!$C$23),N($AI10))))</f>
        <v/>
      </c>
      <c r="AJ11">
        <f>IF(OR(Settings!$A$24="",$E11="pre"),"",IF(AND('Month-End'!$H$12&lt;&gt;"",NOT(_xlfn.ISFORMULA('Month-End'!$H$12))),N('Month-End'!$H$12),IF(OR($E11="open",$E10="pre"),N(Settings!$C$24),N($AJ10))))</f>
        <v/>
      </c>
      <c r="AK11">
        <f>IF(OR(Settings!$A$25="",$E11="pre"),"",IF(AND('Month-End'!$H$13&lt;&gt;"",NOT(_xlfn.ISFORMULA('Month-End'!$H$13))),N('Month-End'!$H$13),IF(OR($E11="open",$E10="pre"),N(Settings!$C$25),N($AK10))))</f>
        <v/>
      </c>
      <c r="AL11">
        <f>IF(OR(Settings!$A$26="",$E11="pre"),"",IF(AND('Month-End'!$H$14&lt;&gt;"",NOT(_xlfn.ISFORMULA('Month-End'!$H$14))),N('Month-End'!$H$14),IF(OR($E11="open",$E10="pre"),N(Settings!$C$26),N($AL10))))</f>
        <v/>
      </c>
      <c r="AM11">
        <f>IF(OR(Settings!$A$27="",$E11="pre"),"",IF(AND('Month-End'!$H$15&lt;&gt;"",NOT(_xlfn.ISFORMULA('Month-End'!$H$15))),N('Month-End'!$H$15),IF(OR($E11="open",$E10="pre"),N(Settings!$C$27),N($AM10))))</f>
        <v/>
      </c>
      <c r="AN11">
        <f>IF(OR(Settings!$A$28="",$E11="pre"),"",IF(AND('Month-End'!$H$16&lt;&gt;"",NOT(_xlfn.ISFORMULA('Month-End'!$H$16))),N('Month-End'!$H$16),IF(OR($E11="open",$E10="pre"),N(Settings!$C$28),N($AN10))))</f>
        <v/>
      </c>
      <c r="AO11">
        <f>IF(OR(Settings!$A$29="",$E11="pre"),"",IF(AND('Month-End'!$H$17&lt;&gt;"",NOT(_xlfn.ISFORMULA('Month-End'!$H$17))),N('Month-End'!$H$17),IF(OR($E11="open",$E10="pre"),N(Settings!$C$29),N($AO10))))</f>
        <v/>
      </c>
      <c r="AP11">
        <f>IF(OR(Settings!$A$30="",$E11="pre"),"",IF(AND('Month-End'!$H$18&lt;&gt;"",NOT(_xlfn.ISFORMULA('Month-End'!$H$18))),N('Month-End'!$H$18),IF(OR($E11="open",$E10="pre"),N(Settings!$C$30),N($AP10))))</f>
        <v/>
      </c>
      <c r="AQ11">
        <f>IF(OR(Settings!$A$31="",$E11="pre"),"",IF(AND('Month-End'!$H$19&lt;&gt;"",NOT(_xlfn.ISFORMULA('Month-End'!$H$19))),N('Month-End'!$H$19),IF(OR($E11="open",$E10="pre"),N(Settings!$C$31),N($AQ10))))</f>
        <v/>
      </c>
      <c r="AR11">
        <f>IF(OR(Settings!$A$32="",$E11="pre"),"",IF(AND('Month-End'!$H$20&lt;&gt;"",NOT(_xlfn.ISFORMULA('Month-End'!$H$20))),N('Month-End'!$H$20),IF(OR($E11="open",$E10="pre"),N(Settings!$C$32),N($AR10))))</f>
        <v/>
      </c>
      <c r="AS11">
        <f>IF(OR(Settings!$A$36="",$E11="pre"),"",IF(AND('Month-End'!$H$38&lt;&gt;"",NOT(_xlfn.ISFORMULA('Month-End'!$H$38))),N('Month-End'!$H$38),IF(OR($E11="open",$E10="pre"),N(Settings!$C$36),N($AS10))+$AY11))</f>
        <v/>
      </c>
      <c r="AT11">
        <f>IF(OR(Settings!$A$37="",$E11="pre"),"",IF(AND('Month-End'!$H$39&lt;&gt;"",NOT(_xlfn.ISFORMULA('Month-End'!$H$39))),N('Month-End'!$H$39),IF(OR($E11="open",$E10="pre"),N(Settings!$C$37),N($AT10))+$AZ11))</f>
        <v/>
      </c>
      <c r="AU11">
        <f>IF(OR(Settings!$A$38="",$E11="pre"),"",IF(AND('Month-End'!$H$40&lt;&gt;"",NOT(_xlfn.ISFORMULA('Month-End'!$H$40))),N('Month-End'!$H$40),IF(OR($E11="open",$E10="pre"),N(Settings!$C$38),N($AU10))+$BA11))</f>
        <v/>
      </c>
      <c r="AV11">
        <f>IF(OR(Settings!$A$39="",$E11="pre"),"",IF(AND('Month-End'!$H$41&lt;&gt;"",NOT(_xlfn.ISFORMULA('Month-End'!$H$41))),N('Month-End'!$H$41),IF(OR($E11="open",$E10="pre"),N(Settings!$C$39),N($AV10))+$BB11))</f>
        <v/>
      </c>
      <c r="AW11">
        <f>IF(OR(Settings!$A$40="",$E11="pre"),"",IF(AND('Month-End'!$H$42&lt;&gt;"",NOT(_xlfn.ISFORMULA('Month-End'!$H$42))),N('Month-End'!$H$42),IF(OR($E11="open",$E10="pre"),N(Settings!$C$40),N($AW10))+$BC11))</f>
        <v/>
      </c>
      <c r="AX11">
        <f>IF(OR(Settings!$A$41="",$E11="pre"),"",IF(AND('Month-End'!$H$43&lt;&gt;"",NOT(_xlfn.ISFORMULA('Month-End'!$H$43))),N('Month-End'!$H$43),IF(OR($E11="open",$E10="pre"),N(Settings!$C$41),N($AX10))+$BD11))</f>
        <v/>
      </c>
      <c r="AY11">
        <f>IF($E11="pre",0,N('Month-End'!$H$45))</f>
        <v/>
      </c>
      <c r="AZ11">
        <f>IF($E11="pre",0,N('Month-End'!$H$46))</f>
        <v/>
      </c>
      <c r="BA11">
        <f>IF($E11="pre",0,N('Month-End'!$H$47))</f>
        <v/>
      </c>
      <c r="BB11">
        <f>IF($E11="pre",0,N('Month-End'!$H$48))</f>
        <v/>
      </c>
      <c r="BC11">
        <f>IF($E11="pre",0,N('Month-End'!$H$49))</f>
        <v/>
      </c>
      <c r="BD11">
        <f>IF($E11="pre",0,N('Month-End'!$H$50))</f>
        <v/>
      </c>
      <c r="BE11">
        <f>IF(OR(Settings!$C$45="",Settings!$D$45=""),0,Settings!$C$45*IF(Settings!$D$45="Weekly",IF(IFERROR(MATCH(Settings!$E$45,$EO$4:$EO$10,0),0)=0,0,IF(MIN($C11,IF(Settings!$G$45="",$C11,Settings!$G$45))&lt;MAX($A11,Settings!$F$45),0,INT((MIN($C11,IF(Settings!$G$45="",$C11,Settings!$G$45))-MAX($A11,Settings!$F$45)-MOD(IFERROR(MATCH(Settings!$E$45,$EO$4:$EO$10,0),0)-WEEKDAY(MAX($A11,Settings!$F$45)),7))/7)+1)),IF(AND(IF(Settings!$E$45="",$B11,DATE(YEAR($A11),MONTH($A11),MIN(Settings!$E$45,DAY($B11))))&gt;=MAX($A11,Settings!$F$45),IF(Settings!$E$45="",$B11,DATE(YEAR($A11),MONTH($A11),MIN(Settings!$E$45,DAY($B11))))&lt;=MIN($C11,IF(Settings!$G$45="",$C11,Settings!$G$45))),1,0)))</f>
        <v/>
      </c>
      <c r="BF11">
        <f>IF(OR(Settings!$C$46="",Settings!$D$46=""),0,Settings!$C$46*IF(Settings!$D$46="Weekly",IF(IFERROR(MATCH(Settings!$E$46,$EO$4:$EO$10,0),0)=0,0,IF(MIN($C11,IF(Settings!$G$46="",$C11,Settings!$G$46))&lt;MAX($A11,Settings!$F$46),0,INT((MIN($C11,IF(Settings!$G$46="",$C11,Settings!$G$46))-MAX($A11,Settings!$F$46)-MOD(IFERROR(MATCH(Settings!$E$46,$EO$4:$EO$10,0),0)-WEEKDAY(MAX($A11,Settings!$F$46)),7))/7)+1)),IF(AND(IF(Settings!$E$46="",$B11,DATE(YEAR($A11),MONTH($A11),MIN(Settings!$E$46,DAY($B11))))&gt;=MAX($A11,Settings!$F$46),IF(Settings!$E$46="",$B11,DATE(YEAR($A11),MONTH($A11),MIN(Settings!$E$46,DAY($B11))))&lt;=MIN($C11,IF(Settings!$G$46="",$C11,Settings!$G$46))),1,0)))</f>
        <v/>
      </c>
      <c r="BG11">
        <f>IF(OR(Settings!$C$47="",Settings!$D$47=""),0,Settings!$C$47*IF(Settings!$D$47="Weekly",IF(IFERROR(MATCH(Settings!$E$47,$EO$4:$EO$10,0),0)=0,0,IF(MIN($C11,IF(Settings!$G$47="",$C11,Settings!$G$47))&lt;MAX($A11,Settings!$F$47),0,INT((MIN($C11,IF(Settings!$G$47="",$C11,Settings!$G$47))-MAX($A11,Settings!$F$47)-MOD(IFERROR(MATCH(Settings!$E$47,$EO$4:$EO$10,0),0)-WEEKDAY(MAX($A11,Settings!$F$47)),7))/7)+1)),IF(AND(IF(Settings!$E$47="",$B11,DATE(YEAR($A11),MONTH($A11),MIN(Settings!$E$47,DAY($B11))))&gt;=MAX($A11,Settings!$F$47),IF(Settings!$E$47="",$B11,DATE(YEAR($A11),MONTH($A11),MIN(Settings!$E$47,DAY($B11))))&lt;=MIN($C11,IF(Settings!$G$47="",$C11,Settings!$G$47))),1,0)))</f>
        <v/>
      </c>
      <c r="BH11">
        <f>IF(OR(Settings!$C$48="",Settings!$D$48=""),0,Settings!$C$48*IF(Settings!$D$48="Weekly",IF(IFERROR(MATCH(Settings!$E$48,$EO$4:$EO$10,0),0)=0,0,IF(MIN($C11,IF(Settings!$G$48="",$C11,Settings!$G$48))&lt;MAX($A11,Settings!$F$48),0,INT((MIN($C11,IF(Settings!$G$48="",$C11,Settings!$G$48))-MAX($A11,Settings!$F$48)-MOD(IFERROR(MATCH(Settings!$E$48,$EO$4:$EO$10,0),0)-WEEKDAY(MAX($A11,Settings!$F$48)),7))/7)+1)),IF(AND(IF(Settings!$E$48="",$B11,DATE(YEAR($A11),MONTH($A11),MIN(Settings!$E$48,DAY($B11))))&gt;=MAX($A11,Settings!$F$48),IF(Settings!$E$48="",$B11,DATE(YEAR($A11),MONTH($A11),MIN(Settings!$E$48,DAY($B11))))&lt;=MIN($C11,IF(Settings!$G$48="",$C11,Settings!$G$48))),1,0)))</f>
        <v/>
      </c>
      <c r="BI11">
        <f>IF(OR(Settings!$C$49="",Settings!$D$49=""),0,Settings!$C$49*IF(Settings!$D$49="Weekly",IF(IFERROR(MATCH(Settings!$E$49,$EO$4:$EO$10,0),0)=0,0,IF(MIN($C11,IF(Settings!$G$49="",$C11,Settings!$G$49))&lt;MAX($A11,Settings!$F$49),0,INT((MIN($C11,IF(Settings!$G$49="",$C11,Settings!$G$49))-MAX($A11,Settings!$F$49)-MOD(IFERROR(MATCH(Settings!$E$49,$EO$4:$EO$10,0),0)-WEEKDAY(MAX($A11,Settings!$F$49)),7))/7)+1)),IF(AND(IF(Settings!$E$49="",$B11,DATE(YEAR($A11),MONTH($A11),MIN(Settings!$E$49,DAY($B11))))&gt;=MAX($A11,Settings!$F$49),IF(Settings!$E$49="",$B11,DATE(YEAR($A11),MONTH($A11),MIN(Settings!$E$49,DAY($B11))))&lt;=MIN($C11,IF(Settings!$G$49="",$C11,Settings!$G$49))),1,0)))</f>
        <v/>
      </c>
      <c r="BJ11">
        <f>IF(OR(Settings!$C$50="",Settings!$D$50=""),0,Settings!$C$50*IF(Settings!$D$50="Weekly",IF(IFERROR(MATCH(Settings!$E$50,$EO$4:$EO$10,0),0)=0,0,IF(MIN($C11,IF(Settings!$G$50="",$C11,Settings!$G$50))&lt;MAX($A11,Settings!$F$50),0,INT((MIN($C11,IF(Settings!$G$50="",$C11,Settings!$G$50))-MAX($A11,Settings!$F$50)-MOD(IFERROR(MATCH(Settings!$E$50,$EO$4:$EO$10,0),0)-WEEKDAY(MAX($A11,Settings!$F$50)),7))/7)+1)),IF(AND(IF(Settings!$E$50="",$B11,DATE(YEAR($A11),MONTH($A11),MIN(Settings!$E$50,DAY($B11))))&gt;=MAX($A11,Settings!$F$50),IF(Settings!$E$50="",$B11,DATE(YEAR($A11),MONTH($A11),MIN(Settings!$E$50,DAY($B11))))&lt;=MIN($C11,IF(Settings!$G$50="",$C11,Settings!$G$50))),1,0)))</f>
        <v/>
      </c>
      <c r="BK11">
        <f>IF(OR(Settings!$C$51="",Settings!$D$51=""),0,Settings!$C$51*IF(Settings!$D$51="Weekly",IF(IFERROR(MATCH(Settings!$E$51,$EO$4:$EO$10,0),0)=0,0,IF(MIN($C11,IF(Settings!$G$51="",$C11,Settings!$G$51))&lt;MAX($A11,Settings!$F$51),0,INT((MIN($C11,IF(Settings!$G$51="",$C11,Settings!$G$51))-MAX($A11,Settings!$F$51)-MOD(IFERROR(MATCH(Settings!$E$51,$EO$4:$EO$10,0),0)-WEEKDAY(MAX($A11,Settings!$F$51)),7))/7)+1)),IF(AND(IF(Settings!$E$51="",$B11,DATE(YEAR($A11),MONTH($A11),MIN(Settings!$E$51,DAY($B11))))&gt;=MAX($A11,Settings!$F$51),IF(Settings!$E$51="",$B11,DATE(YEAR($A11),MONTH($A11),MIN(Settings!$E$51,DAY($B11))))&lt;=MIN($C11,IF(Settings!$G$51="",$C11,Settings!$G$51))),1,0)))</f>
        <v/>
      </c>
      <c r="BL11">
        <f>IF(OR(Settings!$C$52="",Settings!$D$52=""),0,Settings!$C$52*IF(Settings!$D$52="Weekly",IF(IFERROR(MATCH(Settings!$E$52,$EO$4:$EO$10,0),0)=0,0,IF(MIN($C11,IF(Settings!$G$52="",$C11,Settings!$G$52))&lt;MAX($A11,Settings!$F$52),0,INT((MIN($C11,IF(Settings!$G$52="",$C11,Settings!$G$52))-MAX($A11,Settings!$F$52)-MOD(IFERROR(MATCH(Settings!$E$52,$EO$4:$EO$10,0),0)-WEEKDAY(MAX($A11,Settings!$F$52)),7))/7)+1)),IF(AND(IF(Settings!$E$52="",$B11,DATE(YEAR($A11),MONTH($A11),MIN(Settings!$E$52,DAY($B11))))&gt;=MAX($A11,Settings!$F$52),IF(Settings!$E$52="",$B11,DATE(YEAR($A11),MONTH($A11),MIN(Settings!$E$52,DAY($B11))))&lt;=MIN($C11,IF(Settings!$G$52="",$C11,Settings!$G$52))),1,0)))</f>
        <v/>
      </c>
      <c r="BM11">
        <f>IF(OR(Settings!$C$53="",Settings!$D$53=""),0,Settings!$C$53*IF(Settings!$D$53="Weekly",IF(IFERROR(MATCH(Settings!$E$53,$EO$4:$EO$10,0),0)=0,0,IF(MIN($C11,IF(Settings!$G$53="",$C11,Settings!$G$53))&lt;MAX($A11,Settings!$F$53),0,INT((MIN($C11,IF(Settings!$G$53="",$C11,Settings!$G$53))-MAX($A11,Settings!$F$53)-MOD(IFERROR(MATCH(Settings!$E$53,$EO$4:$EO$10,0),0)-WEEKDAY(MAX($A11,Settings!$F$53)),7))/7)+1)),IF(AND(IF(Settings!$E$53="",$B11,DATE(YEAR($A11),MONTH($A11),MIN(Settings!$E$53,DAY($B11))))&gt;=MAX($A11,Settings!$F$53),IF(Settings!$E$53="",$B11,DATE(YEAR($A11),MONTH($A11),MIN(Settings!$E$53,DAY($B11))))&lt;=MIN($C11,IF(Settings!$G$53="",$C11,Settings!$G$53))),1,0)))</f>
        <v/>
      </c>
      <c r="BN11">
        <f>IF(OR(Settings!$C$54="",Settings!$D$54=""),0,Settings!$C$54*IF(Settings!$D$54="Weekly",IF(IFERROR(MATCH(Settings!$E$54,$EO$4:$EO$10,0),0)=0,0,IF(MIN($C11,IF(Settings!$G$54="",$C11,Settings!$G$54))&lt;MAX($A11,Settings!$F$54),0,INT((MIN($C11,IF(Settings!$G$54="",$C11,Settings!$G$54))-MAX($A11,Settings!$F$54)-MOD(IFERROR(MATCH(Settings!$E$54,$EO$4:$EO$10,0),0)-WEEKDAY(MAX($A11,Settings!$F$54)),7))/7)+1)),IF(AND(IF(Settings!$E$54="",$B11,DATE(YEAR($A11),MONTH($A11),MIN(Settings!$E$54,DAY($B11))))&gt;=MAX($A11,Settings!$F$54),IF(Settings!$E$54="",$B11,DATE(YEAR($A11),MONTH($A11),MIN(Settings!$E$54,DAY($B11))))&lt;=MIN($C11,IF(Settings!$G$54="",$C11,Settings!$G$54))),1,0)))</f>
        <v/>
      </c>
      <c r="BO11">
        <f>IF(OR(Settings!$C$55="",Settings!$D$55=""),0,Settings!$C$55*IF(Settings!$D$55="Weekly",IF(IFERROR(MATCH(Settings!$E$55,$EO$4:$EO$10,0),0)=0,0,IF(MIN($C11,IF(Settings!$G$55="",$C11,Settings!$G$55))&lt;MAX($A11,Settings!$F$55),0,INT((MIN($C11,IF(Settings!$G$55="",$C11,Settings!$G$55))-MAX($A11,Settings!$F$55)-MOD(IFERROR(MATCH(Settings!$E$55,$EO$4:$EO$10,0),0)-WEEKDAY(MAX($A11,Settings!$F$55)),7))/7)+1)),IF(AND(IF(Settings!$E$55="",$B11,DATE(YEAR($A11),MONTH($A11),MIN(Settings!$E$55,DAY($B11))))&gt;=MAX($A11,Settings!$F$55),IF(Settings!$E$55="",$B11,DATE(YEAR($A11),MONTH($A11),MIN(Settings!$E$55,DAY($B11))))&lt;=MIN($C11,IF(Settings!$G$55="",$C11,Settings!$G$55))),1,0)))</f>
        <v/>
      </c>
      <c r="BP11">
        <f>IF(OR(Settings!$C$56="",Settings!$D$56=""),0,Settings!$C$56*IF(Settings!$D$56="Weekly",IF(IFERROR(MATCH(Settings!$E$56,$EO$4:$EO$10,0),0)=0,0,IF(MIN($C11,IF(Settings!$G$56="",$C11,Settings!$G$56))&lt;MAX($A11,Settings!$F$56),0,INT((MIN($C11,IF(Settings!$G$56="",$C11,Settings!$G$56))-MAX($A11,Settings!$F$56)-MOD(IFERROR(MATCH(Settings!$E$56,$EO$4:$EO$10,0),0)-WEEKDAY(MAX($A11,Settings!$F$56)),7))/7)+1)),IF(AND(IF(Settings!$E$56="",$B11,DATE(YEAR($A11),MONTH($A11),MIN(Settings!$E$56,DAY($B11))))&gt;=MAX($A11,Settings!$F$56),IF(Settings!$E$56="",$B11,DATE(YEAR($A11),MONTH($A11),MIN(Settings!$E$56,DAY($B11))))&lt;=MIN($C11,IF(Settings!$G$56="",$C11,Settings!$G$56))),1,0)))</f>
        <v/>
      </c>
      <c r="BQ11">
        <f>IF(OR(Settings!$B$14="",$D11=1,$E11="pre",$A11&lt;IF(Settings!$B$15="",0,Settings!$B$15)),0,Settings!$B$14)</f>
        <v/>
      </c>
      <c r="BR11">
        <f>IF(AND('Month-End'!$H$7&lt;&gt;"",NOT(_xlfn.ISFORMULA('Month-End'!$H$7))),1,0)</f>
        <v/>
      </c>
      <c r="BS11">
        <f>IF(AND('Month-End'!$H$8&lt;&gt;"",NOT(_xlfn.ISFORMULA('Month-End'!$H$8))),1,0)</f>
        <v/>
      </c>
      <c r="BT11">
        <f>IF(AND('Month-End'!$H$9&lt;&gt;"",NOT(_xlfn.ISFORMULA('Month-End'!$H$9))),1,0)</f>
        <v/>
      </c>
      <c r="BU11">
        <f>IF(AND('Month-End'!$H$10&lt;&gt;"",NOT(_xlfn.ISFORMULA('Month-End'!$H$10))),1,0)</f>
        <v/>
      </c>
      <c r="BV11">
        <f>IF(AND('Month-End'!$H$11&lt;&gt;"",NOT(_xlfn.ISFORMULA('Month-End'!$H$11))),1,0)</f>
        <v/>
      </c>
      <c r="BW11">
        <f>IF(AND('Month-End'!$H$12&lt;&gt;"",NOT(_xlfn.ISFORMULA('Month-End'!$H$12))),1,0)</f>
        <v/>
      </c>
      <c r="BX11">
        <f>IF(AND('Month-End'!$H$13&lt;&gt;"",NOT(_xlfn.ISFORMULA('Month-End'!$H$13))),1,0)</f>
        <v/>
      </c>
      <c r="BY11">
        <f>IF(AND('Month-End'!$H$14&lt;&gt;"",NOT(_xlfn.ISFORMULA('Month-End'!$H$14))),1,0)</f>
        <v/>
      </c>
      <c r="BZ11">
        <f>IF(AND('Month-End'!$H$15&lt;&gt;"",NOT(_xlfn.ISFORMULA('Month-End'!$H$15))),1,0)</f>
        <v/>
      </c>
      <c r="CA11">
        <f>IF(AND('Month-End'!$H$16&lt;&gt;"",NOT(_xlfn.ISFORMULA('Month-End'!$H$16))),1,0)</f>
        <v/>
      </c>
      <c r="CB11">
        <f>IF(AND('Month-End'!$H$17&lt;&gt;"",NOT(_xlfn.ISFORMULA('Month-End'!$H$17))),1,0)</f>
        <v/>
      </c>
      <c r="CC11">
        <f>IF(AND('Month-End'!$H$18&lt;&gt;"",NOT(_xlfn.ISFORMULA('Month-End'!$H$18))),1,0)</f>
        <v/>
      </c>
      <c r="CD11">
        <f>IF(AND('Month-End'!$H$19&lt;&gt;"",NOT(_xlfn.ISFORMULA('Month-End'!$H$19))),1,0)</f>
        <v/>
      </c>
      <c r="CE11">
        <f>IF(AND('Month-End'!$H$20&lt;&gt;"",NOT(_xlfn.ISFORMULA('Month-End'!$H$20))),1,0)</f>
        <v/>
      </c>
      <c r="CF11">
        <f>IF(AND('Month-End'!$H$38&lt;&gt;"",NOT(_xlfn.ISFORMULA('Month-End'!$H$38))),1,0)</f>
        <v/>
      </c>
      <c r="CG11">
        <f>IF(AND('Month-End'!$H$39&lt;&gt;"",NOT(_xlfn.ISFORMULA('Month-End'!$H$39))),1,0)</f>
        <v/>
      </c>
      <c r="CH11">
        <f>IF(AND('Month-End'!$H$40&lt;&gt;"",NOT(_xlfn.ISFORMULA('Month-End'!$H$40))),1,0)</f>
        <v/>
      </c>
      <c r="CI11">
        <f>IF(AND('Month-End'!$H$41&lt;&gt;"",NOT(_xlfn.ISFORMULA('Month-End'!$H$41))),1,0)</f>
        <v/>
      </c>
      <c r="CJ11">
        <f>IF(AND('Month-End'!$H$42&lt;&gt;"",NOT(_xlfn.ISFORMULA('Month-End'!$H$42))),1,0)</f>
        <v/>
      </c>
      <c r="CK11">
        <f>IF(AND('Month-End'!$H$43&lt;&gt;"",NOT(_xlfn.ISFORMULA('Month-End'!$H$43))),1,0)</f>
        <v/>
      </c>
      <c r="CL11">
        <f>SUM($CM11:$CZ11)</f>
        <v/>
      </c>
      <c r="CM11">
        <f>IF(AND($E11&lt;&gt;"pre",AND(Settings!$A$19&lt;&gt;"",Settings!$E$19&lt;&gt;"No"),Settings!$F$19="Yes",NOT(AND('Month-End'!$H$7&lt;&gt;"",NOT(_xlfn.ISFORMULA('Month-End'!$H$7))))),1,0)</f>
        <v/>
      </c>
      <c r="CN11">
        <f>IF(AND($E11&lt;&gt;"pre",AND(Settings!$A$20&lt;&gt;"",Settings!$E$20&lt;&gt;"No"),Settings!$F$20="Yes",NOT(AND('Month-End'!$H$8&lt;&gt;"",NOT(_xlfn.ISFORMULA('Month-End'!$H$8))))),1,0)</f>
        <v/>
      </c>
      <c r="CO11">
        <f>IF(AND($E11&lt;&gt;"pre",AND(Settings!$A$21&lt;&gt;"",Settings!$E$21&lt;&gt;"No"),Settings!$F$21="Yes",NOT(AND('Month-End'!$H$9&lt;&gt;"",NOT(_xlfn.ISFORMULA('Month-End'!$H$9))))),1,0)</f>
        <v/>
      </c>
      <c r="CP11">
        <f>IF(AND($E11&lt;&gt;"pre",AND(Settings!$A$22&lt;&gt;"",Settings!$E$22&lt;&gt;"No"),Settings!$F$22="Yes",NOT(AND('Month-End'!$H$10&lt;&gt;"",NOT(_xlfn.ISFORMULA('Month-End'!$H$10))))),1,0)</f>
        <v/>
      </c>
      <c r="CQ11">
        <f>IF(AND($E11&lt;&gt;"pre",AND(Settings!$A$23&lt;&gt;"",Settings!$E$23&lt;&gt;"No"),Settings!$F$23="Yes",NOT(AND('Month-End'!$H$11&lt;&gt;"",NOT(_xlfn.ISFORMULA('Month-End'!$H$11))))),1,0)</f>
        <v/>
      </c>
      <c r="CR11">
        <f>IF(AND($E11&lt;&gt;"pre",AND(Settings!$A$24&lt;&gt;"",Settings!$E$24&lt;&gt;"No"),Settings!$F$24="Yes",NOT(AND('Month-End'!$H$12&lt;&gt;"",NOT(_xlfn.ISFORMULA('Month-End'!$H$12))))),1,0)</f>
        <v/>
      </c>
      <c r="CS11">
        <f>IF(AND($E11&lt;&gt;"pre",AND(Settings!$A$25&lt;&gt;"",Settings!$E$25&lt;&gt;"No"),Settings!$F$25="Yes",NOT(AND('Month-End'!$H$13&lt;&gt;"",NOT(_xlfn.ISFORMULA('Month-End'!$H$13))))),1,0)</f>
        <v/>
      </c>
      <c r="CT11">
        <f>IF(AND($E11&lt;&gt;"pre",AND(Settings!$A$26&lt;&gt;"",Settings!$E$26&lt;&gt;"No"),Settings!$F$26="Yes",NOT(AND('Month-End'!$H$14&lt;&gt;"",NOT(_xlfn.ISFORMULA('Month-End'!$H$14))))),1,0)</f>
        <v/>
      </c>
      <c r="CU11">
        <f>IF(AND($E11&lt;&gt;"pre",AND(Settings!$A$27&lt;&gt;"",Settings!$E$27&lt;&gt;"No"),Settings!$F$27="Yes",NOT(AND('Month-End'!$H$15&lt;&gt;"",NOT(_xlfn.ISFORMULA('Month-End'!$H$15))))),1,0)</f>
        <v/>
      </c>
      <c r="CV11">
        <f>IF(AND($E11&lt;&gt;"pre",AND(Settings!$A$28&lt;&gt;"",Settings!$E$28&lt;&gt;"No"),Settings!$F$28="Yes",NOT(AND('Month-End'!$H$16&lt;&gt;"",NOT(_xlfn.ISFORMULA('Month-End'!$H$16))))),1,0)</f>
        <v/>
      </c>
      <c r="CW11">
        <f>IF(AND($E11&lt;&gt;"pre",AND(Settings!$A$29&lt;&gt;"",Settings!$E$29&lt;&gt;"No"),Settings!$F$29="Yes",NOT(AND('Month-End'!$H$17&lt;&gt;"",NOT(_xlfn.ISFORMULA('Month-End'!$H$17))))),1,0)</f>
        <v/>
      </c>
      <c r="CX11">
        <f>IF(AND($E11&lt;&gt;"pre",AND(Settings!$A$30&lt;&gt;"",Settings!$E$30&lt;&gt;"No"),Settings!$F$30="Yes",NOT(AND('Month-End'!$H$18&lt;&gt;"",NOT(_xlfn.ISFORMULA('Month-End'!$H$18))))),1,0)</f>
        <v/>
      </c>
      <c r="CY11">
        <f>IF(AND($E11&lt;&gt;"pre",AND(Settings!$A$31&lt;&gt;"",Settings!$E$31&lt;&gt;"No"),Settings!$F$31="Yes",NOT(AND('Month-End'!$H$19&lt;&gt;"",NOT(_xlfn.ISFORMULA('Month-End'!$H$19))))),1,0)</f>
        <v/>
      </c>
      <c r="CZ11">
        <f>IF(AND($E11&lt;&gt;"pre",AND(Settings!$A$32&lt;&gt;"",Settings!$E$32&lt;&gt;"No"),Settings!$F$32="Yes",NOT(AND('Month-End'!$H$20&lt;&gt;"",NOT(_xlfn.ISFORMULA('Month-End'!$H$20))))),1,0)</f>
        <v/>
      </c>
      <c r="DA11">
        <f>IF($DT11=1,IF(OR(Settings!$B$19="Checking",Settings!$B$19="Savings",Settings!$B$19="Cash"),N($AE11),IF(OR(Settings!$B$19="Card",Settings!$B$19="Loan"),-N($AE11),0))+IF(OR(Settings!$B$20="Checking",Settings!$B$20="Savings",Settings!$B$20="Cash"),N($AF11),IF(OR(Settings!$B$20="Card",Settings!$B$20="Loan"),-N($AF11),0))+IF(OR(Settings!$B$21="Checking",Settings!$B$21="Savings",Settings!$B$21="Cash"),N($AG11),IF(OR(Settings!$B$21="Card",Settings!$B$21="Loan"),-N($AG11),0))+IF(OR(Settings!$B$22="Checking",Settings!$B$22="Savings",Settings!$B$22="Cash"),N($AH11),IF(OR(Settings!$B$22="Card",Settings!$B$22="Loan"),-N($AH11),0))+IF(OR(Settings!$B$23="Checking",Settings!$B$23="Savings",Settings!$B$23="Cash"),N($AI11),IF(OR(Settings!$B$23="Card",Settings!$B$23="Loan"),-N($AI11),0))+IF(OR(Settings!$B$24="Checking",Settings!$B$24="Savings",Settings!$B$24="Cash"),N($AJ11),IF(OR(Settings!$B$24="Card",Settings!$B$24="Loan"),-N($AJ11),0))+IF(OR(Settings!$B$25="Checking",Settings!$B$25="Savings",Settings!$B$25="Cash"),N($AK11),IF(OR(Settings!$B$25="Card",Settings!$B$25="Loan"),-N($AK11),0))+IF(OR(Settings!$B$26="Checking",Settings!$B$26="Savings",Settings!$B$26="Cash"),N($AL11),IF(OR(Settings!$B$26="Card",Settings!$B$26="Loan"),-N($AL11),0))+IF(OR(Settings!$B$27="Checking",Settings!$B$27="Savings",Settings!$B$27="Cash"),N($AM11),IF(OR(Settings!$B$27="Card",Settings!$B$27="Loan"),-N($AM11),0))+IF(OR(Settings!$B$28="Checking",Settings!$B$28="Savings",Settings!$B$28="Cash"),N($AN11),IF(OR(Settings!$B$28="Card",Settings!$B$28="Loan"),-N($AN11),0))+IF(OR(Settings!$B$29="Checking",Settings!$B$29="Savings",Settings!$B$29="Cash"),N($AO11),IF(OR(Settings!$B$29="Card",Settings!$B$29="Loan"),-N($AO11),0))+IF(OR(Settings!$B$30="Checking",Settings!$B$30="Savings",Settings!$B$30="Cash"),N($AP11),IF(OR(Settings!$B$30="Card",Settings!$B$30="Loan"),-N($AP11),0))+IF(OR(Settings!$B$31="Checking",Settings!$B$31="Savings",Settings!$B$31="Cash"),N($AQ11),IF(OR(Settings!$B$31="Card",Settings!$B$31="Loan"),-N($AQ11),0))+IF(OR(Settings!$B$32="Checking",Settings!$B$32="Savings",Settings!$B$32="Cash"),N($AR11),IF(OR(Settings!$B$32="Card",Settings!$B$32="Loan"),-N($AR11),0)),"")</f>
        <v/>
      </c>
      <c r="DB11">
        <f>IF($E11="open",$EB$27,IF($E11="post",IF($E10="pre",$EB$27,$DA10),""))</f>
        <v/>
      </c>
      <c r="DC11">
        <f>IF($E11="open",1,IF($E11="post",IF($E10="pre",1,$DT10),0))</f>
        <v/>
      </c>
      <c r="DD11">
        <f>IF(AND($DT11=1,$DC11=1),ROUND($W11-($DA11-$DB11)-$AD11-$AB11,2),"")</f>
        <v/>
      </c>
      <c r="DE11">
        <f>IF('Month-End'!$H$35="",$BQ11,N('Month-End'!$H$35))</f>
        <v/>
      </c>
      <c r="DF11">
        <f>N('Month-End'!$H$36)</f>
        <v/>
      </c>
      <c r="DG11">
        <f>IF($DD11="","",$DD11+$DE11)</f>
        <v/>
      </c>
      <c r="DH11">
        <f>IF($DG11="","",$DG11-$DF11)</f>
        <v/>
      </c>
      <c r="DI11">
        <f>IF(OR($E11="pre",$D11=1),"",N($AS11)+N($AT11)+N($AU11)+N($AV11)+N($AW11)+N($AX11))</f>
        <v/>
      </c>
      <c r="DJ11">
        <f>IF($DT11=1,$DA11+N($DI11),"")</f>
        <v/>
      </c>
      <c r="DK11">
        <f>IF($DD11="","",$W11-$DD11-$AB11)</f>
        <v/>
      </c>
      <c r="DL11">
        <f>IF(AND($E11="post",$DD11&lt;&gt;"",$B11&lt;TODAY()),1,0)</f>
        <v/>
      </c>
      <c r="DM11">
        <f>IF($DL11=1,COUNTIF($DL11:$DL$183,1),0)</f>
        <v/>
      </c>
      <c r="DN11">
        <f>IF($D11=1,"",IF($E11="pre","History only",IF($DT11=1,IF($DD11="","⚠ Previous month missing",IF($DD11&lt;0,"⚠ Check: spending &lt; 0",IF($E11="open","✓ Done (partial)","✓ Done"))),IF($B11&gt;=TODAY(),"In progress","⚠ Needs balances"))))</f>
        <v/>
      </c>
      <c r="DO11">
        <f>YEAR($A11)</f>
        <v/>
      </c>
      <c r="DP11">
        <f>DATE(YEAR($A11),INT((MONTH($A11)-1)/3)*3+1,1)</f>
        <v/>
      </c>
      <c r="DQ11">
        <f>IF(AND($DT11=1,$DD11&lt;&gt;"",$D11=0),ROW(),0)</f>
        <v/>
      </c>
      <c r="DR11">
        <f>IF(AND($E11&lt;&gt;"pre",$B11&lt;TODAY(),$DT11=0),1,0)</f>
        <v/>
      </c>
      <c r="DS11">
        <f>IF($DJ11="",NA(),$DJ11)</f>
        <v/>
      </c>
      <c r="DT11">
        <f>IF(AND($E11&lt;&gt;"pre",$CL11=0,COUNTIFS(Settings!$F$19:$F$32,"Yes",Settings!$A$19:$A$32,"&lt;&gt;",Settings!$E$19:$E$32,"&lt;&gt;No")&gt;0),1,0)</f>
        <v/>
      </c>
      <c r="DU11">
        <f>IF(AND($B11&lt;TODAY(),$S11&gt;0),1,0)</f>
        <v/>
      </c>
      <c r="DV11">
        <f>IF($DU11=1,COUNTIF($DU11:$DU$183,1),0)</f>
        <v/>
      </c>
      <c r="DW11">
        <f>IF(AND(OR(Settings!$B$19="Card",Settings!$B$19="Loan"),AND('Month-End'!$H$7&lt;&gt;"",NOT(_xlfn.ISFORMULA('Month-End'!$H$7)))),IF(N('Month-End'!$H$7)&lt;0,1,0),0)+IF(AND(OR(Settings!$B$20="Card",Settings!$B$20="Loan"),AND('Month-End'!$H$8&lt;&gt;"",NOT(_xlfn.ISFORMULA('Month-End'!$H$8)))),IF(N('Month-End'!$H$8)&lt;0,1,0),0)+IF(AND(OR(Settings!$B$21="Card",Settings!$B$21="Loan"),AND('Month-End'!$H$9&lt;&gt;"",NOT(_xlfn.ISFORMULA('Month-End'!$H$9)))),IF(N('Month-End'!$H$9)&lt;0,1,0),0)+IF(AND(OR(Settings!$B$22="Card",Settings!$B$22="Loan"),AND('Month-End'!$H$10&lt;&gt;"",NOT(_xlfn.ISFORMULA('Month-End'!$H$10)))),IF(N('Month-End'!$H$10)&lt;0,1,0),0)+IF(AND(OR(Settings!$B$23="Card",Settings!$B$23="Loan"),AND('Month-End'!$H$11&lt;&gt;"",NOT(_xlfn.ISFORMULA('Month-End'!$H$11)))),IF(N('Month-End'!$H$11)&lt;0,1,0),0)+IF(AND(OR(Settings!$B$24="Card",Settings!$B$24="Loan"),AND('Month-End'!$H$12&lt;&gt;"",NOT(_xlfn.ISFORMULA('Month-End'!$H$12)))),IF(N('Month-End'!$H$12)&lt;0,1,0),0)+IF(AND(OR(Settings!$B$25="Card",Settings!$B$25="Loan"),AND('Month-End'!$H$13&lt;&gt;"",NOT(_xlfn.ISFORMULA('Month-End'!$H$13)))),IF(N('Month-End'!$H$13)&lt;0,1,0),0)+IF(AND(OR(Settings!$B$26="Card",Settings!$B$26="Loan"),AND('Month-End'!$H$14&lt;&gt;"",NOT(_xlfn.ISFORMULA('Month-End'!$H$14)))),IF(N('Month-End'!$H$14)&lt;0,1,0),0)+IF(AND(OR(Settings!$B$27="Card",Settings!$B$27="Loan"),AND('Month-End'!$H$15&lt;&gt;"",NOT(_xlfn.ISFORMULA('Month-End'!$H$15)))),IF(N('Month-End'!$H$15)&lt;0,1,0),0)+IF(AND(OR(Settings!$B$28="Card",Settings!$B$28="Loan"),AND('Month-End'!$H$16&lt;&gt;"",NOT(_xlfn.ISFORMULA('Month-End'!$H$16)))),IF(N('Month-End'!$H$16)&lt;0,1,0),0)+IF(AND(OR(Settings!$B$29="Card",Settings!$B$29="Loan"),AND('Month-End'!$H$17&lt;&gt;"",NOT(_xlfn.ISFORMULA('Month-End'!$H$17)))),IF(N('Month-End'!$H$17)&lt;0,1,0),0)+IF(AND(OR(Settings!$B$30="Card",Settings!$B$30="Loan"),AND('Month-End'!$H$18&lt;&gt;"",NOT(_xlfn.ISFORMULA('Month-End'!$H$18)))),IF(N('Month-End'!$H$18)&lt;0,1,0),0)+IF(AND(OR(Settings!$B$31="Card",Settings!$B$31="Loan"),AND('Month-End'!$H$19&lt;&gt;"",NOT(_xlfn.ISFORMULA('Month-End'!$H$19)))),IF(N('Month-End'!$H$19)&lt;0,1,0),0)+IF(AND(OR(Settings!$B$32="Card",Settings!$B$32="Loan"),AND('Month-End'!$H$20&lt;&gt;"",NOT(_xlfn.ISFORMULA('Month-End'!$H$20)))),IF(N('Month-End'!$H$20)&lt;0,1,0),0)</f>
        <v/>
      </c>
      <c r="DX11">
        <f>IF(Settings!$B$36="Retirement",$AY11,0)+IF(Settings!$B$37="Retirement",$AZ11,0)+IF(Settings!$B$38="Retirement",$BA11,0)+IF(Settings!$B$39="Retirement",$BB11,0)+IF(Settings!$B$40="Retirement",$BC11,0)+IF(Settings!$B$41="Retirement",$BD11,0)</f>
        <v/>
      </c>
      <c r="EA11" t="inlineStr">
        <is>
          <t>Card &amp; Loan Balances</t>
        </is>
      </c>
      <c r="EB11">
        <f>EB33</f>
        <v/>
      </c>
      <c r="ET11">
        <f>IF($E11&lt;&gt;"open",0,IF(AND('Month-End'!$H$22&lt;&gt;"",NOT(_xlfn.ISFORMULA('Month-End'!$H$22))),0,IF(OR(Settings!$C$45="",Settings!$D$45=""),0,Settings!$C$45*IF(Settings!$D$45="Weekly",IF(IFERROR(MATCH(Settings!$E$45,$EO$4:$EO$10,0),0)=0,0,IF(MIN(Settings!$B$5,IF(Settings!$G$45="",Settings!$B$5,Settings!$G$45))&lt;MAX($A11,Settings!$F$45),0,INT((MIN(Settings!$B$5,IF(Settings!$G$45="",Settings!$B$5,Settings!$G$45))-MAX($A11,Settings!$F$45)-MOD(IFERROR(MATCH(Settings!$E$45,$EO$4:$EO$10,0),0)-WEEKDAY(MAX($A11,Settings!$F$45)),7))/7)+1)),IF(AND(IF(Settings!$E$45="",$B11,DATE(YEAR($A11),MONTH($A11),MIN(Settings!$E$45,DAY($B11))))&gt;=MAX($A11,Settings!$F$45),IF(Settings!$E$45="",$B11,DATE(YEAR($A11),MONTH($A11),MIN(Settings!$E$45,DAY($B11))))&lt;=MIN(Settings!$B$5,IF(Settings!$G$45="",Settings!$B$5,Settings!$G$45))),1,0)))))</f>
        <v/>
      </c>
      <c r="EU11">
        <f>IF($E11&lt;&gt;"open",0,IF(AND('Month-End'!$H$23&lt;&gt;"",NOT(_xlfn.ISFORMULA('Month-End'!$H$23))),0,IF(OR(Settings!$C$46="",Settings!$D$46=""),0,Settings!$C$46*IF(Settings!$D$46="Weekly",IF(IFERROR(MATCH(Settings!$E$46,$EO$4:$EO$10,0),0)=0,0,IF(MIN(Settings!$B$5,IF(Settings!$G$46="",Settings!$B$5,Settings!$G$46))&lt;MAX($A11,Settings!$F$46),0,INT((MIN(Settings!$B$5,IF(Settings!$G$46="",Settings!$B$5,Settings!$G$46))-MAX($A11,Settings!$F$46)-MOD(IFERROR(MATCH(Settings!$E$46,$EO$4:$EO$10,0),0)-WEEKDAY(MAX($A11,Settings!$F$46)),7))/7)+1)),IF(AND(IF(Settings!$E$46="",$B11,DATE(YEAR($A11),MONTH($A11),MIN(Settings!$E$46,DAY($B11))))&gt;=MAX($A11,Settings!$F$46),IF(Settings!$E$46="",$B11,DATE(YEAR($A11),MONTH($A11),MIN(Settings!$E$46,DAY($B11))))&lt;=MIN(Settings!$B$5,IF(Settings!$G$46="",Settings!$B$5,Settings!$G$46))),1,0)))))</f>
        <v/>
      </c>
      <c r="EV11">
        <f>IF($E11&lt;&gt;"open",0,IF(AND('Month-End'!$H$24&lt;&gt;"",NOT(_xlfn.ISFORMULA('Month-End'!$H$24))),0,IF(OR(Settings!$C$47="",Settings!$D$47=""),0,Settings!$C$47*IF(Settings!$D$47="Weekly",IF(IFERROR(MATCH(Settings!$E$47,$EO$4:$EO$10,0),0)=0,0,IF(MIN(Settings!$B$5,IF(Settings!$G$47="",Settings!$B$5,Settings!$G$47))&lt;MAX($A11,Settings!$F$47),0,INT((MIN(Settings!$B$5,IF(Settings!$G$47="",Settings!$B$5,Settings!$G$47))-MAX($A11,Settings!$F$47)-MOD(IFERROR(MATCH(Settings!$E$47,$EO$4:$EO$10,0),0)-WEEKDAY(MAX($A11,Settings!$F$47)),7))/7)+1)),IF(AND(IF(Settings!$E$47="",$B11,DATE(YEAR($A11),MONTH($A11),MIN(Settings!$E$47,DAY($B11))))&gt;=MAX($A11,Settings!$F$47),IF(Settings!$E$47="",$B11,DATE(YEAR($A11),MONTH($A11),MIN(Settings!$E$47,DAY($B11))))&lt;=MIN(Settings!$B$5,IF(Settings!$G$47="",Settings!$B$5,Settings!$G$47))),1,0)))))</f>
        <v/>
      </c>
      <c r="EW11">
        <f>IF($E11&lt;&gt;"open",0,IF(AND('Month-End'!$H$25&lt;&gt;"",NOT(_xlfn.ISFORMULA('Month-End'!$H$25))),0,IF(OR(Settings!$C$48="",Settings!$D$48=""),0,Settings!$C$48*IF(Settings!$D$48="Weekly",IF(IFERROR(MATCH(Settings!$E$48,$EO$4:$EO$10,0),0)=0,0,IF(MIN(Settings!$B$5,IF(Settings!$G$48="",Settings!$B$5,Settings!$G$48))&lt;MAX($A11,Settings!$F$48),0,INT((MIN(Settings!$B$5,IF(Settings!$G$48="",Settings!$B$5,Settings!$G$48))-MAX($A11,Settings!$F$48)-MOD(IFERROR(MATCH(Settings!$E$48,$EO$4:$EO$10,0),0)-WEEKDAY(MAX($A11,Settings!$F$48)),7))/7)+1)),IF(AND(IF(Settings!$E$48="",$B11,DATE(YEAR($A11),MONTH($A11),MIN(Settings!$E$48,DAY($B11))))&gt;=MAX($A11,Settings!$F$48),IF(Settings!$E$48="",$B11,DATE(YEAR($A11),MONTH($A11),MIN(Settings!$E$48,DAY($B11))))&lt;=MIN(Settings!$B$5,IF(Settings!$G$48="",Settings!$B$5,Settings!$G$48))),1,0)))))</f>
        <v/>
      </c>
      <c r="EX11">
        <f>IF($E11&lt;&gt;"open",0,IF(AND('Month-End'!$H$26&lt;&gt;"",NOT(_xlfn.ISFORMULA('Month-End'!$H$26))),0,IF(OR(Settings!$C$49="",Settings!$D$49=""),0,Settings!$C$49*IF(Settings!$D$49="Weekly",IF(IFERROR(MATCH(Settings!$E$49,$EO$4:$EO$10,0),0)=0,0,IF(MIN(Settings!$B$5,IF(Settings!$G$49="",Settings!$B$5,Settings!$G$49))&lt;MAX($A11,Settings!$F$49),0,INT((MIN(Settings!$B$5,IF(Settings!$G$49="",Settings!$B$5,Settings!$G$49))-MAX($A11,Settings!$F$49)-MOD(IFERROR(MATCH(Settings!$E$49,$EO$4:$EO$10,0),0)-WEEKDAY(MAX($A11,Settings!$F$49)),7))/7)+1)),IF(AND(IF(Settings!$E$49="",$B11,DATE(YEAR($A11),MONTH($A11),MIN(Settings!$E$49,DAY($B11))))&gt;=MAX($A11,Settings!$F$49),IF(Settings!$E$49="",$B11,DATE(YEAR($A11),MONTH($A11),MIN(Settings!$E$49,DAY($B11))))&lt;=MIN(Settings!$B$5,IF(Settings!$G$49="",Settings!$B$5,Settings!$G$49))),1,0)))))</f>
        <v/>
      </c>
      <c r="EY11">
        <f>IF($E11&lt;&gt;"open",0,IF(AND('Month-End'!$H$27&lt;&gt;"",NOT(_xlfn.ISFORMULA('Month-End'!$H$27))),0,IF(OR(Settings!$C$50="",Settings!$D$50=""),0,Settings!$C$50*IF(Settings!$D$50="Weekly",IF(IFERROR(MATCH(Settings!$E$50,$EO$4:$EO$10,0),0)=0,0,IF(MIN(Settings!$B$5,IF(Settings!$G$50="",Settings!$B$5,Settings!$G$50))&lt;MAX($A11,Settings!$F$50),0,INT((MIN(Settings!$B$5,IF(Settings!$G$50="",Settings!$B$5,Settings!$G$50))-MAX($A11,Settings!$F$50)-MOD(IFERROR(MATCH(Settings!$E$50,$EO$4:$EO$10,0),0)-WEEKDAY(MAX($A11,Settings!$F$50)),7))/7)+1)),IF(AND(IF(Settings!$E$50="",$B11,DATE(YEAR($A11),MONTH($A11),MIN(Settings!$E$50,DAY($B11))))&gt;=MAX($A11,Settings!$F$50),IF(Settings!$E$50="",$B11,DATE(YEAR($A11),MONTH($A11),MIN(Settings!$E$50,DAY($B11))))&lt;=MIN(Settings!$B$5,IF(Settings!$G$50="",Settings!$B$5,Settings!$G$50))),1,0)))))</f>
        <v/>
      </c>
      <c r="EZ11">
        <f>IF($E11&lt;&gt;"open",0,IF(AND('Month-End'!$H$28&lt;&gt;"",NOT(_xlfn.ISFORMULA('Month-End'!$H$28))),0,IF(OR(Settings!$C$51="",Settings!$D$51=""),0,Settings!$C$51*IF(Settings!$D$51="Weekly",IF(IFERROR(MATCH(Settings!$E$51,$EO$4:$EO$10,0),0)=0,0,IF(MIN(Settings!$B$5,IF(Settings!$G$51="",Settings!$B$5,Settings!$G$51))&lt;MAX($A11,Settings!$F$51),0,INT((MIN(Settings!$B$5,IF(Settings!$G$51="",Settings!$B$5,Settings!$G$51))-MAX($A11,Settings!$F$51)-MOD(IFERROR(MATCH(Settings!$E$51,$EO$4:$EO$10,0),0)-WEEKDAY(MAX($A11,Settings!$F$51)),7))/7)+1)),IF(AND(IF(Settings!$E$51="",$B11,DATE(YEAR($A11),MONTH($A11),MIN(Settings!$E$51,DAY($B11))))&gt;=MAX($A11,Settings!$F$51),IF(Settings!$E$51="",$B11,DATE(YEAR($A11),MONTH($A11),MIN(Settings!$E$51,DAY($B11))))&lt;=MIN(Settings!$B$5,IF(Settings!$G$51="",Settings!$B$5,Settings!$G$51))),1,0)))))</f>
        <v/>
      </c>
      <c r="FA11">
        <f>IF($E11&lt;&gt;"open",0,IF(AND('Month-End'!$H$29&lt;&gt;"",NOT(_xlfn.ISFORMULA('Month-End'!$H$29))),0,IF(OR(Settings!$C$52="",Settings!$D$52=""),0,Settings!$C$52*IF(Settings!$D$52="Weekly",IF(IFERROR(MATCH(Settings!$E$52,$EO$4:$EO$10,0),0)=0,0,IF(MIN(Settings!$B$5,IF(Settings!$G$52="",Settings!$B$5,Settings!$G$52))&lt;MAX($A11,Settings!$F$52),0,INT((MIN(Settings!$B$5,IF(Settings!$G$52="",Settings!$B$5,Settings!$G$52))-MAX($A11,Settings!$F$52)-MOD(IFERROR(MATCH(Settings!$E$52,$EO$4:$EO$10,0),0)-WEEKDAY(MAX($A11,Settings!$F$52)),7))/7)+1)),IF(AND(IF(Settings!$E$52="",$B11,DATE(YEAR($A11),MONTH($A11),MIN(Settings!$E$52,DAY($B11))))&gt;=MAX($A11,Settings!$F$52),IF(Settings!$E$52="",$B11,DATE(YEAR($A11),MONTH($A11),MIN(Settings!$E$52,DAY($B11))))&lt;=MIN(Settings!$B$5,IF(Settings!$G$52="",Settings!$B$5,Settings!$G$52))),1,0)))))</f>
        <v/>
      </c>
      <c r="FB11">
        <f>IF($E11&lt;&gt;"open",0,IF(AND('Month-End'!$H$30&lt;&gt;"",NOT(_xlfn.ISFORMULA('Month-End'!$H$30))),0,IF(OR(Settings!$C$53="",Settings!$D$53=""),0,Settings!$C$53*IF(Settings!$D$53="Weekly",IF(IFERROR(MATCH(Settings!$E$53,$EO$4:$EO$10,0),0)=0,0,IF(MIN(Settings!$B$5,IF(Settings!$G$53="",Settings!$B$5,Settings!$G$53))&lt;MAX($A11,Settings!$F$53),0,INT((MIN(Settings!$B$5,IF(Settings!$G$53="",Settings!$B$5,Settings!$G$53))-MAX($A11,Settings!$F$53)-MOD(IFERROR(MATCH(Settings!$E$53,$EO$4:$EO$10,0),0)-WEEKDAY(MAX($A11,Settings!$F$53)),7))/7)+1)),IF(AND(IF(Settings!$E$53="",$B11,DATE(YEAR($A11),MONTH($A11),MIN(Settings!$E$53,DAY($B11))))&gt;=MAX($A11,Settings!$F$53),IF(Settings!$E$53="",$B11,DATE(YEAR($A11),MONTH($A11),MIN(Settings!$E$53,DAY($B11))))&lt;=MIN(Settings!$B$5,IF(Settings!$G$53="",Settings!$B$5,Settings!$G$53))),1,0)))))</f>
        <v/>
      </c>
      <c r="FC11">
        <f>IF($E11&lt;&gt;"open",0,IF(AND('Month-End'!$H$31&lt;&gt;"",NOT(_xlfn.ISFORMULA('Month-End'!$H$31))),0,IF(OR(Settings!$C$54="",Settings!$D$54=""),0,Settings!$C$54*IF(Settings!$D$54="Weekly",IF(IFERROR(MATCH(Settings!$E$54,$EO$4:$EO$10,0),0)=0,0,IF(MIN(Settings!$B$5,IF(Settings!$G$54="",Settings!$B$5,Settings!$G$54))&lt;MAX($A11,Settings!$F$54),0,INT((MIN(Settings!$B$5,IF(Settings!$G$54="",Settings!$B$5,Settings!$G$54))-MAX($A11,Settings!$F$54)-MOD(IFERROR(MATCH(Settings!$E$54,$EO$4:$EO$10,0),0)-WEEKDAY(MAX($A11,Settings!$F$54)),7))/7)+1)),IF(AND(IF(Settings!$E$54="",$B11,DATE(YEAR($A11),MONTH($A11),MIN(Settings!$E$54,DAY($B11))))&gt;=MAX($A11,Settings!$F$54),IF(Settings!$E$54="",$B11,DATE(YEAR($A11),MONTH($A11),MIN(Settings!$E$54,DAY($B11))))&lt;=MIN(Settings!$B$5,IF(Settings!$G$54="",Settings!$B$5,Settings!$G$54))),1,0)))))</f>
        <v/>
      </c>
      <c r="FD11">
        <f>IF($E11&lt;&gt;"open",0,IF(AND('Month-End'!$H$32&lt;&gt;"",NOT(_xlfn.ISFORMULA('Month-End'!$H$32))),0,IF(OR(Settings!$C$55="",Settings!$D$55=""),0,Settings!$C$55*IF(Settings!$D$55="Weekly",IF(IFERROR(MATCH(Settings!$E$55,$EO$4:$EO$10,0),0)=0,0,IF(MIN(Settings!$B$5,IF(Settings!$G$55="",Settings!$B$5,Settings!$G$55))&lt;MAX($A11,Settings!$F$55),0,INT((MIN(Settings!$B$5,IF(Settings!$G$55="",Settings!$B$5,Settings!$G$55))-MAX($A11,Settings!$F$55)-MOD(IFERROR(MATCH(Settings!$E$55,$EO$4:$EO$10,0),0)-WEEKDAY(MAX($A11,Settings!$F$55)),7))/7)+1)),IF(AND(IF(Settings!$E$55="",$B11,DATE(YEAR($A11),MONTH($A11),MIN(Settings!$E$55,DAY($B11))))&gt;=MAX($A11,Settings!$F$55),IF(Settings!$E$55="",$B11,DATE(YEAR($A11),MONTH($A11),MIN(Settings!$E$55,DAY($B11))))&lt;=MIN(Settings!$B$5,IF(Settings!$G$55="",Settings!$B$5,Settings!$G$55))),1,0)))))</f>
        <v/>
      </c>
      <c r="FE11">
        <f>IF($E11&lt;&gt;"open",0,IF(AND('Month-End'!$H$33&lt;&gt;"",NOT(_xlfn.ISFORMULA('Month-End'!$H$33))),0,IF(OR(Settings!$C$56="",Settings!$D$56=""),0,Settings!$C$56*IF(Settings!$D$56="Weekly",IF(IFERROR(MATCH(Settings!$E$56,$EO$4:$EO$10,0),0)=0,0,IF(MIN(Settings!$B$5,IF(Settings!$G$56="",Settings!$B$5,Settings!$G$56))&lt;MAX($A11,Settings!$F$56),0,INT((MIN(Settings!$B$5,IF(Settings!$G$56="",Settings!$B$5,Settings!$G$56))-MAX($A11,Settings!$F$56)-MOD(IFERROR(MATCH(Settings!$E$56,$EO$4:$EO$10,0),0)-WEEKDAY(MAX($A11,Settings!$F$56)),7))/7)+1)),IF(AND(IF(Settings!$E$56="",$B11,DATE(YEAR($A11),MONTH($A11),MIN(Settings!$E$56,DAY($B11))))&gt;=MAX($A11,Settings!$F$56),IF(Settings!$E$56="",$B11,DATE(YEAR($A11),MONTH($A11),MIN(Settings!$E$56,DAY($B11))))&lt;=MIN(Settings!$B$5,IF(Settings!$G$56="",Settings!$B$5,Settings!$G$56))),1,0)))))</f>
        <v/>
      </c>
      <c r="FF11">
        <f>IF(Settings!$I$45="Yes",$G11,0)+IF(Settings!$I$46="Yes",$H11,0)+IF(Settings!$I$47="Yes",$I11,0)+IF(Settings!$I$48="Yes",$J11,0)+IF(Settings!$I$49="Yes",$K11,0)+IF(Settings!$I$50="Yes",$L11,0)+IF(Settings!$I$51="Yes",$M11,0)+IF(Settings!$I$52="Yes",$N11,0)+IF(Settings!$I$53="Yes",$O11,0)+IF(Settings!$I$54="Yes",$P11,0)+IF(Settings!$I$55="Yes",$Q11,0)+IF(Settings!$I$56="Yes",$R11,0)</f>
        <v/>
      </c>
      <c r="FG11">
        <f>IF(AND(Settings!$I$45="Yes",Settings!$J$45="No"),$G11,0)+IF(AND(Settings!$I$46="Yes",Settings!$J$46="No"),$H11,0)+IF(AND(Settings!$I$47="Yes",Settings!$J$47="No"),$I11,0)+IF(AND(Settings!$I$48="Yes",Settings!$J$48="No"),$J11,0)+IF(AND(Settings!$I$49="Yes",Settings!$J$49="No"),$K11,0)+IF(AND(Settings!$I$50="Yes",Settings!$J$50="No"),$L11,0)+IF(AND(Settings!$I$51="Yes",Settings!$J$51="No"),$M11,0)+IF(AND(Settings!$I$52="Yes",Settings!$J$52="No"),$N11,0)+IF(AND(Settings!$I$53="Yes",Settings!$J$53="No"),$O11,0)+IF(AND(Settings!$I$54="Yes",Settings!$J$54="No"),$P11,0)+IF(AND(Settings!$I$55="Yes",Settings!$J$55="No"),$Q11,0)+IF(AND(Settings!$I$56="Yes",Settings!$J$56="No"),$R11,0)</f>
        <v/>
      </c>
      <c r="FH11">
        <f>SUMIFS(Giving!$B$7:$B$2006,Giving!$A$7:$A$2006,"&gt;="&amp;$A11,Giving!$A$7:$A$2006,"&lt;="&amp;$B11,Giving!$G$7:$G$2006,"Yes")+IF(OR(OR(Settings!$B$60="",Settings!$F$60="No"),Settings!$H$60&lt;&gt;"Yes"),0,Settings!$B$60*IF(AND(IF(Settings!$C$60="",$B11,DATE(YEAR($A11),MONTH($A11),MIN(Settings!$C$60,DAY($B11))))&gt;=MAX($A11,Settings!$D$60),IF(Settings!$C$60="",$B11,DATE(YEAR($A11),MONTH($A11),MIN(Settings!$C$60,DAY($B11))))&lt;=MIN($C11,IF(Settings!$E$60="",$C11,Settings!$E$60))),1,0))+IF(OR(OR(Settings!$B$61="",Settings!$F$61="No"),Settings!$H$61&lt;&gt;"Yes"),0,Settings!$B$61*IF(AND(IF(Settings!$C$61="",$B11,DATE(YEAR($A11),MONTH($A11),MIN(Settings!$C$61,DAY($B11))))&gt;=MAX($A11,Settings!$D$61),IF(Settings!$C$61="",$B11,DATE(YEAR($A11),MONTH($A11),MIN(Settings!$C$61,DAY($B11))))&lt;=MIN($C11,IF(Settings!$E$61="",$C11,Settings!$E$61))),1,0))+IF(OR(OR(Settings!$B$62="",Settings!$F$62="No"),Settings!$H$62&lt;&gt;"Yes"),0,Settings!$B$62*IF(AND(IF(Settings!$C$62="",$B11,DATE(YEAR($A11),MONTH($A11),MIN(Settings!$C$62,DAY($B11))))&gt;=MAX($A11,Settings!$D$62),IF(Settings!$C$62="",$B11,DATE(YEAR($A11),MONTH($A11),MIN(Settings!$C$62,DAY($B11))))&lt;=MIN($C11,IF(Settings!$E$62="",$C11,Settings!$E$62))),1,0))+IF(OR(OR(Settings!$B$63="",Settings!$F$63="No"),Settings!$H$63&lt;&gt;"Yes"),0,Settings!$B$63*IF(AND(IF(Settings!$C$63="",$B11,DATE(YEAR($A11),MONTH($A11),MIN(Settings!$C$63,DAY($B11))))&gt;=MAX($A11,Settings!$D$63),IF(Settings!$C$63="",$B11,DATE(YEAR($A11),MONTH($A11),MIN(Settings!$C$63,DAY($B11))))&lt;=MIN($C11,IF(Settings!$E$63="",$C11,Settings!$E$63))),1,0))+IF(OR(OR(Settings!$B$64="",Settings!$F$64="No"),Settings!$H$64&lt;&gt;"Yes"),0,Settings!$B$64*IF(AND(IF(Settings!$C$64="",$B11,DATE(YEAR($A11),MONTH($A11),MIN(Settings!$C$64,DAY($B11))))&gt;=MAX($A11,Settings!$D$64),IF(Settings!$C$64="",$B11,DATE(YEAR($A11),MONTH($A11),MIN(Settings!$C$64,DAY($B11))))&lt;=MIN($C11,IF(Settings!$E$64="",$C11,Settings!$E$64))),1,0))+IF(OR(OR(Settings!$B$65="",Settings!$F$65="No"),Settings!$H$65&lt;&gt;"Yes"),0,Settings!$B$65*IF(AND(IF(Settings!$C$65="",$B11,DATE(YEAR($A11),MONTH($A11),MIN(Settings!$C$65,DAY($B11))))&gt;=MAX($A11,Settings!$D$65),IF(Settings!$C$65="",$B11,DATE(YEAR($A11),MONTH($A11),MIN(Settings!$C$65,DAY($B11))))&lt;=MIN($C11,IF(Settings!$E$65="",$C11,Settings!$E$65))),1,0))</f>
        <v/>
      </c>
      <c r="FI11">
        <f>IF($DT11=1,IF(OR(Settings!$B$19="Card",Settings!$B$19="Loan"),N($AE11),0)+IF(OR(Settings!$B$20="Card",Settings!$B$20="Loan"),N($AF11),0)+IF(OR(Settings!$B$21="Card",Settings!$B$21="Loan"),N($AG11),0)+IF(OR(Settings!$B$22="Card",Settings!$B$22="Loan"),N($AH11),0)+IF(OR(Settings!$B$23="Card",Settings!$B$23="Loan"),N($AI11),0)+IF(OR(Settings!$B$24="Card",Settings!$B$24="Loan"),N($AJ11),0)+IF(OR(Settings!$B$25="Card",Settings!$B$25="Loan"),N($AK11),0)+IF(OR(Settings!$B$26="Card",Settings!$B$26="Loan"),N($AL11),0)+IF(OR(Settings!$B$27="Card",Settings!$B$27="Loan"),N($AM11),0)+IF(OR(Settings!$B$28="Card",Settings!$B$28="Loan"),N($AN11),0)+IF(OR(Settings!$B$29="Card",Settings!$B$29="Loan"),N($AO11),0)+IF(OR(Settings!$B$30="Card",Settings!$B$30="Loan"),N($AP11),0)+IF(OR(Settings!$B$31="Card",Settings!$B$31="Loan"),N($AQ11),0)+IF(OR(Settings!$B$32="Card",Settings!$B$32="Loan"),N($AR11),0),"")</f>
        <v/>
      </c>
      <c r="FJ11">
        <f>IF($E11="open",$EB$65,IF($E11="post",IF($E10="pre",$EB$65,$FI10),""))</f>
        <v/>
      </c>
      <c r="FK11">
        <f>IF(AND($DT11=1,$DC11=1),IF(ROUND($FI11-$FJ11,2)&gt;0,1,0),0)</f>
        <v/>
      </c>
      <c r="FL11">
        <f>IF($FK11=1,$FL10+1,0)</f>
        <v/>
      </c>
    </row>
    <row r="12">
      <c r="A12">
        <f>'Month-End'!$I$4</f>
        <v/>
      </c>
      <c r="B12">
        <f>EOMONTH($A12,0)</f>
        <v/>
      </c>
      <c r="C12">
        <f>MIN($B12,TODAY())</f>
        <v/>
      </c>
      <c r="D12">
        <f>IF($A12&gt;TODAY(),1,0)</f>
        <v/>
      </c>
      <c r="E12">
        <f>IF($B12&lt;=Settings!$B$5,"pre",IF($A12&lt;=Settings!$B$5,"open","post"))</f>
        <v/>
      </c>
      <c r="G12">
        <f>IF('Month-End'!$I$22="",$BE12,N('Month-End'!$I$22))</f>
        <v/>
      </c>
      <c r="H12">
        <f>IF('Month-End'!$I$23="",$BF12,N('Month-End'!$I$23))</f>
        <v/>
      </c>
      <c r="I12">
        <f>IF('Month-End'!$I$24="",$BG12,N('Month-End'!$I$24))</f>
        <v/>
      </c>
      <c r="J12">
        <f>IF('Month-End'!$I$25="",$BH12,N('Month-End'!$I$25))</f>
        <v/>
      </c>
      <c r="K12">
        <f>IF('Month-End'!$I$26="",$BI12,N('Month-End'!$I$26))</f>
        <v/>
      </c>
      <c r="L12">
        <f>IF('Month-End'!$I$27="",$BJ12,N('Month-End'!$I$27))</f>
        <v/>
      </c>
      <c r="M12">
        <f>IF('Month-End'!$I$28="",$BK12,N('Month-End'!$I$28))</f>
        <v/>
      </c>
      <c r="N12">
        <f>IF('Month-End'!$I$29="",$BL12,N('Month-End'!$I$29))</f>
        <v/>
      </c>
      <c r="O12">
        <f>IF('Month-End'!$I$30="",$BM12,N('Month-End'!$I$30))</f>
        <v/>
      </c>
      <c r="P12">
        <f>IF('Month-End'!$I$31="",$BN12,N('Month-End'!$I$31))</f>
        <v/>
      </c>
      <c r="Q12">
        <f>IF('Month-End'!$I$32="",$BO12,N('Month-End'!$I$32))</f>
        <v/>
      </c>
      <c r="R12">
        <f>IF('Month-End'!$I$33="",$BP12,N('Month-End'!$I$33))</f>
        <v/>
      </c>
      <c r="S12">
        <f>$G12+$H12+$I12+$J12+$K12+$L12+$M12+$N12+$O12+$P12+$Q12+$R12</f>
        <v/>
      </c>
      <c r="T12">
        <f>IF($B12&lt;Settings!$B$6,0,IF(Settings!$B$45="Yes",$G12,0)+IF(Settings!$B$46="Yes",$H12,0)+IF(Settings!$B$47="Yes",$I12,0)+IF(Settings!$B$48="Yes",$J12,0)+IF(Settings!$B$49="Yes",$K12,0)+IF(Settings!$B$50="Yes",$L12,0)+IF(Settings!$B$51="Yes",$M12,0)+IF(Settings!$B$52="Yes",$N12,0)+IF(Settings!$B$53="Yes",$O12,0)+IF(Settings!$B$54="Yes",$P12,0)+IF(Settings!$B$55="Yes",$Q12,0)+IF(Settings!$B$56="Yes",$R12,0))</f>
        <v/>
      </c>
      <c r="U12">
        <f>IF(Settings!$B$45="Not Sure",$G12,0)+IF(Settings!$B$46="Not Sure",$H12,0)+IF(Settings!$B$47="Not Sure",$I12,0)+IF(Settings!$B$48="Not Sure",$J12,0)+IF(Settings!$B$49="Not Sure",$K12,0)+IF(Settings!$B$50="Not Sure",$L12,0)+IF(Settings!$B$51="Not Sure",$M12,0)+IF(Settings!$B$52="Not Sure",$N12,0)+IF(Settings!$B$53="Not Sure",$O12,0)+IF(Settings!$B$54="Not Sure",$P12,0)+IF(Settings!$B$55="Not Sure",$Q12,0)+IF(Settings!$B$56="Not Sure",$R12,0)</f>
        <v/>
      </c>
      <c r="V12">
        <f>IF($E12="open",SUM($ET12:$FE12)+N(Settings!$B$13),0)</f>
        <v/>
      </c>
      <c r="W12">
        <f>IF($E12="post",$S12,IF($E12="open",$S12-$V12,0))</f>
        <v/>
      </c>
      <c r="X12">
        <f>SUMIFS(Giving!$B$7:$B$2006,Giving!$A$7:$A$2006,"&gt;="&amp;$A12,Giving!$A$7:$A$2006,"&lt;="&amp;$B12,Giving!$E$7:$E$2006,"&lt;&gt;No")</f>
        <v/>
      </c>
      <c r="Y12">
        <f>SUMIFS(Giving!$B$7:$B$2006,Giving!$A$7:$A$2006,"&gt;="&amp;$A12,Giving!$A$7:$A$2006,"&lt;="&amp;$B12,Giving!$E$7:$E$2006,"No")</f>
        <v/>
      </c>
      <c r="Z12">
        <f>IF(OR(Settings!$B$60="",Settings!$F$60="No"),0,Settings!$B$60*IF(AND(IF(Settings!$C$60="",$B12,DATE(YEAR($A12),MONTH($A12),MIN(Settings!$C$60,DAY($B12))))&gt;=MAX($A12,Settings!$D$60),IF(Settings!$C$60="",$B12,DATE(YEAR($A12),MONTH($A12),MIN(Settings!$C$60,DAY($B12))))&lt;=MIN($C12,IF(Settings!$E$60="",$C12,Settings!$E$60))),1,0))+IF(OR(Settings!$B$61="",Settings!$F$61="No"),0,Settings!$B$61*IF(AND(IF(Settings!$C$61="",$B12,DATE(YEAR($A12),MONTH($A12),MIN(Settings!$C$61,DAY($B12))))&gt;=MAX($A12,Settings!$D$61),IF(Settings!$C$61="",$B12,DATE(YEAR($A12),MONTH($A12),MIN(Settings!$C$61,DAY($B12))))&lt;=MIN($C12,IF(Settings!$E$61="",$C12,Settings!$E$61))),1,0))+IF(OR(Settings!$B$62="",Settings!$F$62="No"),0,Settings!$B$62*IF(AND(IF(Settings!$C$62="",$B12,DATE(YEAR($A12),MONTH($A12),MIN(Settings!$C$62,DAY($B12))))&gt;=MAX($A12,Settings!$D$62),IF(Settings!$C$62="",$B12,DATE(YEAR($A12),MONTH($A12),MIN(Settings!$C$62,DAY($B12))))&lt;=MIN($C12,IF(Settings!$E$62="",$C12,Settings!$E$62))),1,0))+IF(OR(Settings!$B$63="",Settings!$F$63="No"),0,Settings!$B$63*IF(AND(IF(Settings!$C$63="",$B12,DATE(YEAR($A12),MONTH($A12),MIN(Settings!$C$63,DAY($B12))))&gt;=MAX($A12,Settings!$D$63),IF(Settings!$C$63="",$B12,DATE(YEAR($A12),MONTH($A12),MIN(Settings!$C$63,DAY($B12))))&lt;=MIN($C12,IF(Settings!$E$63="",$C12,Settings!$E$63))),1,0))+IF(OR(Settings!$B$64="",Settings!$F$64="No"),0,Settings!$B$64*IF(AND(IF(Settings!$C$64="",$B12,DATE(YEAR($A12),MONTH($A12),MIN(Settings!$C$64,DAY($B12))))&gt;=MAX($A12,Settings!$D$64),IF(Settings!$C$64="",$B12,DATE(YEAR($A12),MONTH($A12),MIN(Settings!$C$64,DAY($B12))))&lt;=MIN($C12,IF(Settings!$E$64="",$C12,Settings!$E$64))),1,0))+IF(OR(Settings!$B$65="",Settings!$F$65="No"),0,Settings!$B$65*IF(AND(IF(Settings!$C$65="",$B12,DATE(YEAR($A12),MONTH($A12),MIN(Settings!$C$65,DAY($B12))))&gt;=MAX($A12,Settings!$D$65),IF(Settings!$C$65="",$B12,DATE(YEAR($A12),MONTH($A12),MIN(Settings!$C$65,DAY($B12))))&lt;=MIN($C12,IF(Settings!$E$65="",$C12,Settings!$E$65))),1,0))</f>
        <v/>
      </c>
      <c r="AA12">
        <f>$X12+$Z12</f>
        <v/>
      </c>
      <c r="AB12">
        <f>IF($E12="post",$AA12,IF($E12="open",SUMIFS(Giving!$B$7:$B$2006,Giving!$A$7:$A$2006,"&gt;"&amp;Settings!$B$5,Giving!$A$7:$A$2006,"&lt;="&amp;$B12,Giving!$E$7:$E$2006,"&lt;&gt;No")+IF(OR(Settings!$B$60="",Settings!$F$60="No"),0,Settings!$B$60*IF(AND(IF(Settings!$C$60="",$B12,DATE(YEAR($A12),MONTH($A12),MIN(Settings!$C$60,DAY($B12))))&gt;=MAX($A12,Settings!$D$60,Settings!$B$5+1),IF(Settings!$C$60="",$B12,DATE(YEAR($A12),MONTH($A12),MIN(Settings!$C$60,DAY($B12))))&lt;=MIN($C12,IF(Settings!$E$60="",$C12,Settings!$E$60))),1,0))+IF(OR(Settings!$B$61="",Settings!$F$61="No"),0,Settings!$B$61*IF(AND(IF(Settings!$C$61="",$B12,DATE(YEAR($A12),MONTH($A12),MIN(Settings!$C$61,DAY($B12))))&gt;=MAX($A12,Settings!$D$61,Settings!$B$5+1),IF(Settings!$C$61="",$B12,DATE(YEAR($A12),MONTH($A12),MIN(Settings!$C$61,DAY($B12))))&lt;=MIN($C12,IF(Settings!$E$61="",$C12,Settings!$E$61))),1,0))+IF(OR(Settings!$B$62="",Settings!$F$62="No"),0,Settings!$B$62*IF(AND(IF(Settings!$C$62="",$B12,DATE(YEAR($A12),MONTH($A12),MIN(Settings!$C$62,DAY($B12))))&gt;=MAX($A12,Settings!$D$62,Settings!$B$5+1),IF(Settings!$C$62="",$B12,DATE(YEAR($A12),MONTH($A12),MIN(Settings!$C$62,DAY($B12))))&lt;=MIN($C12,IF(Settings!$E$62="",$C12,Settings!$E$62))),1,0))+IF(OR(Settings!$B$63="",Settings!$F$63="No"),0,Settings!$B$63*IF(AND(IF(Settings!$C$63="",$B12,DATE(YEAR($A12),MONTH($A12),MIN(Settings!$C$63,DAY($B12))))&gt;=MAX($A12,Settings!$D$63,Settings!$B$5+1),IF(Settings!$C$63="",$B12,DATE(YEAR($A12),MONTH($A12),MIN(Settings!$C$63,DAY($B12))))&lt;=MIN($C12,IF(Settings!$E$63="",$C12,Settings!$E$63))),1,0))+IF(OR(Settings!$B$64="",Settings!$F$64="No"),0,Settings!$B$64*IF(AND(IF(Settings!$C$64="",$B12,DATE(YEAR($A12),MONTH($A12),MIN(Settings!$C$64,DAY($B12))))&gt;=MAX($A12,Settings!$D$64,Settings!$B$5+1),IF(Settings!$C$64="",$B12,DATE(YEAR($A12),MONTH($A12),MIN(Settings!$C$64,DAY($B12))))&lt;=MIN($C12,IF(Settings!$E$64="",$C12,Settings!$E$64))),1,0))+IF(OR(Settings!$B$65="",Settings!$F$65="No"),0,Settings!$B$65*IF(AND(IF(Settings!$C$65="",$B12,DATE(YEAR($A12),MONTH($A12),MIN(Settings!$C$65,DAY($B12))))&gt;=MAX($A12,Settings!$D$65,Settings!$B$5+1),IF(Settings!$C$65="",$B12,DATE(YEAR($A12),MONTH($A12),MIN(Settings!$C$65,DAY($B12))))&lt;=MIN($C12,IF(Settings!$E$65="",$C12,Settings!$E$65))),1,0)),0))</f>
        <v/>
      </c>
      <c r="AC12">
        <f>$AY12+$AZ12+$BA12+$BB12+$BC12+$BD12</f>
        <v/>
      </c>
      <c r="AD12">
        <f>$AC12</f>
        <v/>
      </c>
      <c r="AE12">
        <f>IF(OR(Settings!$A$19="",$E12="pre"),"",IF(AND('Month-End'!$I$7&lt;&gt;"",NOT(_xlfn.ISFORMULA('Month-End'!$I$7))),N('Month-End'!$I$7),IF(OR($E12="open",$E11="pre"),N(Settings!$C$19),N($AE11))))</f>
        <v/>
      </c>
      <c r="AF12">
        <f>IF(OR(Settings!$A$20="",$E12="pre"),"",IF(AND('Month-End'!$I$8&lt;&gt;"",NOT(_xlfn.ISFORMULA('Month-End'!$I$8))),N('Month-End'!$I$8),IF(OR($E12="open",$E11="pre"),N(Settings!$C$20),N($AF11))))</f>
        <v/>
      </c>
      <c r="AG12">
        <f>IF(OR(Settings!$A$21="",$E12="pre"),"",IF(AND('Month-End'!$I$9&lt;&gt;"",NOT(_xlfn.ISFORMULA('Month-End'!$I$9))),N('Month-End'!$I$9),IF(OR($E12="open",$E11="pre"),N(Settings!$C$21),N($AG11))))</f>
        <v/>
      </c>
      <c r="AH12">
        <f>IF(OR(Settings!$A$22="",$E12="pre"),"",IF(AND('Month-End'!$I$10&lt;&gt;"",NOT(_xlfn.ISFORMULA('Month-End'!$I$10))),N('Month-End'!$I$10),IF(OR($E12="open",$E11="pre"),N(Settings!$C$22),N($AH11))))</f>
        <v/>
      </c>
      <c r="AI12">
        <f>IF(OR(Settings!$A$23="",$E12="pre"),"",IF(AND('Month-End'!$I$11&lt;&gt;"",NOT(_xlfn.ISFORMULA('Month-End'!$I$11))),N('Month-End'!$I$11),IF(OR($E12="open",$E11="pre"),N(Settings!$C$23),N($AI11))))</f>
        <v/>
      </c>
      <c r="AJ12">
        <f>IF(OR(Settings!$A$24="",$E12="pre"),"",IF(AND('Month-End'!$I$12&lt;&gt;"",NOT(_xlfn.ISFORMULA('Month-End'!$I$12))),N('Month-End'!$I$12),IF(OR($E12="open",$E11="pre"),N(Settings!$C$24),N($AJ11))))</f>
        <v/>
      </c>
      <c r="AK12">
        <f>IF(OR(Settings!$A$25="",$E12="pre"),"",IF(AND('Month-End'!$I$13&lt;&gt;"",NOT(_xlfn.ISFORMULA('Month-End'!$I$13))),N('Month-End'!$I$13),IF(OR($E12="open",$E11="pre"),N(Settings!$C$25),N($AK11))))</f>
        <v/>
      </c>
      <c r="AL12">
        <f>IF(OR(Settings!$A$26="",$E12="pre"),"",IF(AND('Month-End'!$I$14&lt;&gt;"",NOT(_xlfn.ISFORMULA('Month-End'!$I$14))),N('Month-End'!$I$14),IF(OR($E12="open",$E11="pre"),N(Settings!$C$26),N($AL11))))</f>
        <v/>
      </c>
      <c r="AM12">
        <f>IF(OR(Settings!$A$27="",$E12="pre"),"",IF(AND('Month-End'!$I$15&lt;&gt;"",NOT(_xlfn.ISFORMULA('Month-End'!$I$15))),N('Month-End'!$I$15),IF(OR($E12="open",$E11="pre"),N(Settings!$C$27),N($AM11))))</f>
        <v/>
      </c>
      <c r="AN12">
        <f>IF(OR(Settings!$A$28="",$E12="pre"),"",IF(AND('Month-End'!$I$16&lt;&gt;"",NOT(_xlfn.ISFORMULA('Month-End'!$I$16))),N('Month-End'!$I$16),IF(OR($E12="open",$E11="pre"),N(Settings!$C$28),N($AN11))))</f>
        <v/>
      </c>
      <c r="AO12">
        <f>IF(OR(Settings!$A$29="",$E12="pre"),"",IF(AND('Month-End'!$I$17&lt;&gt;"",NOT(_xlfn.ISFORMULA('Month-End'!$I$17))),N('Month-End'!$I$17),IF(OR($E12="open",$E11="pre"),N(Settings!$C$29),N($AO11))))</f>
        <v/>
      </c>
      <c r="AP12">
        <f>IF(OR(Settings!$A$30="",$E12="pre"),"",IF(AND('Month-End'!$I$18&lt;&gt;"",NOT(_xlfn.ISFORMULA('Month-End'!$I$18))),N('Month-End'!$I$18),IF(OR($E12="open",$E11="pre"),N(Settings!$C$30),N($AP11))))</f>
        <v/>
      </c>
      <c r="AQ12">
        <f>IF(OR(Settings!$A$31="",$E12="pre"),"",IF(AND('Month-End'!$I$19&lt;&gt;"",NOT(_xlfn.ISFORMULA('Month-End'!$I$19))),N('Month-End'!$I$19),IF(OR($E12="open",$E11="pre"),N(Settings!$C$31),N($AQ11))))</f>
        <v/>
      </c>
      <c r="AR12">
        <f>IF(OR(Settings!$A$32="",$E12="pre"),"",IF(AND('Month-End'!$I$20&lt;&gt;"",NOT(_xlfn.ISFORMULA('Month-End'!$I$20))),N('Month-End'!$I$20),IF(OR($E12="open",$E11="pre"),N(Settings!$C$32),N($AR11))))</f>
        <v/>
      </c>
      <c r="AS12">
        <f>IF(OR(Settings!$A$36="",$E12="pre"),"",IF(AND('Month-End'!$I$38&lt;&gt;"",NOT(_xlfn.ISFORMULA('Month-End'!$I$38))),N('Month-End'!$I$38),IF(OR($E12="open",$E11="pre"),N(Settings!$C$36),N($AS11))+$AY12))</f>
        <v/>
      </c>
      <c r="AT12">
        <f>IF(OR(Settings!$A$37="",$E12="pre"),"",IF(AND('Month-End'!$I$39&lt;&gt;"",NOT(_xlfn.ISFORMULA('Month-End'!$I$39))),N('Month-End'!$I$39),IF(OR($E12="open",$E11="pre"),N(Settings!$C$37),N($AT11))+$AZ12))</f>
        <v/>
      </c>
      <c r="AU12">
        <f>IF(OR(Settings!$A$38="",$E12="pre"),"",IF(AND('Month-End'!$I$40&lt;&gt;"",NOT(_xlfn.ISFORMULA('Month-End'!$I$40))),N('Month-End'!$I$40),IF(OR($E12="open",$E11="pre"),N(Settings!$C$38),N($AU11))+$BA12))</f>
        <v/>
      </c>
      <c r="AV12">
        <f>IF(OR(Settings!$A$39="",$E12="pre"),"",IF(AND('Month-End'!$I$41&lt;&gt;"",NOT(_xlfn.ISFORMULA('Month-End'!$I$41))),N('Month-End'!$I$41),IF(OR($E12="open",$E11="pre"),N(Settings!$C$39),N($AV11))+$BB12))</f>
        <v/>
      </c>
      <c r="AW12">
        <f>IF(OR(Settings!$A$40="",$E12="pre"),"",IF(AND('Month-End'!$I$42&lt;&gt;"",NOT(_xlfn.ISFORMULA('Month-End'!$I$42))),N('Month-End'!$I$42),IF(OR($E12="open",$E11="pre"),N(Settings!$C$40),N($AW11))+$BC12))</f>
        <v/>
      </c>
      <c r="AX12">
        <f>IF(OR(Settings!$A$41="",$E12="pre"),"",IF(AND('Month-End'!$I$43&lt;&gt;"",NOT(_xlfn.ISFORMULA('Month-End'!$I$43))),N('Month-End'!$I$43),IF(OR($E12="open",$E11="pre"),N(Settings!$C$41),N($AX11))+$BD12))</f>
        <v/>
      </c>
      <c r="AY12">
        <f>IF($E12="pre",0,N('Month-End'!$I$45))</f>
        <v/>
      </c>
      <c r="AZ12">
        <f>IF($E12="pre",0,N('Month-End'!$I$46))</f>
        <v/>
      </c>
      <c r="BA12">
        <f>IF($E12="pre",0,N('Month-End'!$I$47))</f>
        <v/>
      </c>
      <c r="BB12">
        <f>IF($E12="pre",0,N('Month-End'!$I$48))</f>
        <v/>
      </c>
      <c r="BC12">
        <f>IF($E12="pre",0,N('Month-End'!$I$49))</f>
        <v/>
      </c>
      <c r="BD12">
        <f>IF($E12="pre",0,N('Month-End'!$I$50))</f>
        <v/>
      </c>
      <c r="BE12">
        <f>IF(OR(Settings!$C$45="",Settings!$D$45=""),0,Settings!$C$45*IF(Settings!$D$45="Weekly",IF(IFERROR(MATCH(Settings!$E$45,$EO$4:$EO$10,0),0)=0,0,IF(MIN($C12,IF(Settings!$G$45="",$C12,Settings!$G$45))&lt;MAX($A12,Settings!$F$45),0,INT((MIN($C12,IF(Settings!$G$45="",$C12,Settings!$G$45))-MAX($A12,Settings!$F$45)-MOD(IFERROR(MATCH(Settings!$E$45,$EO$4:$EO$10,0),0)-WEEKDAY(MAX($A12,Settings!$F$45)),7))/7)+1)),IF(AND(IF(Settings!$E$45="",$B12,DATE(YEAR($A12),MONTH($A12),MIN(Settings!$E$45,DAY($B12))))&gt;=MAX($A12,Settings!$F$45),IF(Settings!$E$45="",$B12,DATE(YEAR($A12),MONTH($A12),MIN(Settings!$E$45,DAY($B12))))&lt;=MIN($C12,IF(Settings!$G$45="",$C12,Settings!$G$45))),1,0)))</f>
        <v/>
      </c>
      <c r="BF12">
        <f>IF(OR(Settings!$C$46="",Settings!$D$46=""),0,Settings!$C$46*IF(Settings!$D$46="Weekly",IF(IFERROR(MATCH(Settings!$E$46,$EO$4:$EO$10,0),0)=0,0,IF(MIN($C12,IF(Settings!$G$46="",$C12,Settings!$G$46))&lt;MAX($A12,Settings!$F$46),0,INT((MIN($C12,IF(Settings!$G$46="",$C12,Settings!$G$46))-MAX($A12,Settings!$F$46)-MOD(IFERROR(MATCH(Settings!$E$46,$EO$4:$EO$10,0),0)-WEEKDAY(MAX($A12,Settings!$F$46)),7))/7)+1)),IF(AND(IF(Settings!$E$46="",$B12,DATE(YEAR($A12),MONTH($A12),MIN(Settings!$E$46,DAY($B12))))&gt;=MAX($A12,Settings!$F$46),IF(Settings!$E$46="",$B12,DATE(YEAR($A12),MONTH($A12),MIN(Settings!$E$46,DAY($B12))))&lt;=MIN($C12,IF(Settings!$G$46="",$C12,Settings!$G$46))),1,0)))</f>
        <v/>
      </c>
      <c r="BG12">
        <f>IF(OR(Settings!$C$47="",Settings!$D$47=""),0,Settings!$C$47*IF(Settings!$D$47="Weekly",IF(IFERROR(MATCH(Settings!$E$47,$EO$4:$EO$10,0),0)=0,0,IF(MIN($C12,IF(Settings!$G$47="",$C12,Settings!$G$47))&lt;MAX($A12,Settings!$F$47),0,INT((MIN($C12,IF(Settings!$G$47="",$C12,Settings!$G$47))-MAX($A12,Settings!$F$47)-MOD(IFERROR(MATCH(Settings!$E$47,$EO$4:$EO$10,0),0)-WEEKDAY(MAX($A12,Settings!$F$47)),7))/7)+1)),IF(AND(IF(Settings!$E$47="",$B12,DATE(YEAR($A12),MONTH($A12),MIN(Settings!$E$47,DAY($B12))))&gt;=MAX($A12,Settings!$F$47),IF(Settings!$E$47="",$B12,DATE(YEAR($A12),MONTH($A12),MIN(Settings!$E$47,DAY($B12))))&lt;=MIN($C12,IF(Settings!$G$47="",$C12,Settings!$G$47))),1,0)))</f>
        <v/>
      </c>
      <c r="BH12">
        <f>IF(OR(Settings!$C$48="",Settings!$D$48=""),0,Settings!$C$48*IF(Settings!$D$48="Weekly",IF(IFERROR(MATCH(Settings!$E$48,$EO$4:$EO$10,0),0)=0,0,IF(MIN($C12,IF(Settings!$G$48="",$C12,Settings!$G$48))&lt;MAX($A12,Settings!$F$48),0,INT((MIN($C12,IF(Settings!$G$48="",$C12,Settings!$G$48))-MAX($A12,Settings!$F$48)-MOD(IFERROR(MATCH(Settings!$E$48,$EO$4:$EO$10,0),0)-WEEKDAY(MAX($A12,Settings!$F$48)),7))/7)+1)),IF(AND(IF(Settings!$E$48="",$B12,DATE(YEAR($A12),MONTH($A12),MIN(Settings!$E$48,DAY($B12))))&gt;=MAX($A12,Settings!$F$48),IF(Settings!$E$48="",$B12,DATE(YEAR($A12),MONTH($A12),MIN(Settings!$E$48,DAY($B12))))&lt;=MIN($C12,IF(Settings!$G$48="",$C12,Settings!$G$48))),1,0)))</f>
        <v/>
      </c>
      <c r="BI12">
        <f>IF(OR(Settings!$C$49="",Settings!$D$49=""),0,Settings!$C$49*IF(Settings!$D$49="Weekly",IF(IFERROR(MATCH(Settings!$E$49,$EO$4:$EO$10,0),0)=0,0,IF(MIN($C12,IF(Settings!$G$49="",$C12,Settings!$G$49))&lt;MAX($A12,Settings!$F$49),0,INT((MIN($C12,IF(Settings!$G$49="",$C12,Settings!$G$49))-MAX($A12,Settings!$F$49)-MOD(IFERROR(MATCH(Settings!$E$49,$EO$4:$EO$10,0),0)-WEEKDAY(MAX($A12,Settings!$F$49)),7))/7)+1)),IF(AND(IF(Settings!$E$49="",$B12,DATE(YEAR($A12),MONTH($A12),MIN(Settings!$E$49,DAY($B12))))&gt;=MAX($A12,Settings!$F$49),IF(Settings!$E$49="",$B12,DATE(YEAR($A12),MONTH($A12),MIN(Settings!$E$49,DAY($B12))))&lt;=MIN($C12,IF(Settings!$G$49="",$C12,Settings!$G$49))),1,0)))</f>
        <v/>
      </c>
      <c r="BJ12">
        <f>IF(OR(Settings!$C$50="",Settings!$D$50=""),0,Settings!$C$50*IF(Settings!$D$50="Weekly",IF(IFERROR(MATCH(Settings!$E$50,$EO$4:$EO$10,0),0)=0,0,IF(MIN($C12,IF(Settings!$G$50="",$C12,Settings!$G$50))&lt;MAX($A12,Settings!$F$50),0,INT((MIN($C12,IF(Settings!$G$50="",$C12,Settings!$G$50))-MAX($A12,Settings!$F$50)-MOD(IFERROR(MATCH(Settings!$E$50,$EO$4:$EO$10,0),0)-WEEKDAY(MAX($A12,Settings!$F$50)),7))/7)+1)),IF(AND(IF(Settings!$E$50="",$B12,DATE(YEAR($A12),MONTH($A12),MIN(Settings!$E$50,DAY($B12))))&gt;=MAX($A12,Settings!$F$50),IF(Settings!$E$50="",$B12,DATE(YEAR($A12),MONTH($A12),MIN(Settings!$E$50,DAY($B12))))&lt;=MIN($C12,IF(Settings!$G$50="",$C12,Settings!$G$50))),1,0)))</f>
        <v/>
      </c>
      <c r="BK12">
        <f>IF(OR(Settings!$C$51="",Settings!$D$51=""),0,Settings!$C$51*IF(Settings!$D$51="Weekly",IF(IFERROR(MATCH(Settings!$E$51,$EO$4:$EO$10,0),0)=0,0,IF(MIN($C12,IF(Settings!$G$51="",$C12,Settings!$G$51))&lt;MAX($A12,Settings!$F$51),0,INT((MIN($C12,IF(Settings!$G$51="",$C12,Settings!$G$51))-MAX($A12,Settings!$F$51)-MOD(IFERROR(MATCH(Settings!$E$51,$EO$4:$EO$10,0),0)-WEEKDAY(MAX($A12,Settings!$F$51)),7))/7)+1)),IF(AND(IF(Settings!$E$51="",$B12,DATE(YEAR($A12),MONTH($A12),MIN(Settings!$E$51,DAY($B12))))&gt;=MAX($A12,Settings!$F$51),IF(Settings!$E$51="",$B12,DATE(YEAR($A12),MONTH($A12),MIN(Settings!$E$51,DAY($B12))))&lt;=MIN($C12,IF(Settings!$G$51="",$C12,Settings!$G$51))),1,0)))</f>
        <v/>
      </c>
      <c r="BL12">
        <f>IF(OR(Settings!$C$52="",Settings!$D$52=""),0,Settings!$C$52*IF(Settings!$D$52="Weekly",IF(IFERROR(MATCH(Settings!$E$52,$EO$4:$EO$10,0),0)=0,0,IF(MIN($C12,IF(Settings!$G$52="",$C12,Settings!$G$52))&lt;MAX($A12,Settings!$F$52),0,INT((MIN($C12,IF(Settings!$G$52="",$C12,Settings!$G$52))-MAX($A12,Settings!$F$52)-MOD(IFERROR(MATCH(Settings!$E$52,$EO$4:$EO$10,0),0)-WEEKDAY(MAX($A12,Settings!$F$52)),7))/7)+1)),IF(AND(IF(Settings!$E$52="",$B12,DATE(YEAR($A12),MONTH($A12),MIN(Settings!$E$52,DAY($B12))))&gt;=MAX($A12,Settings!$F$52),IF(Settings!$E$52="",$B12,DATE(YEAR($A12),MONTH($A12),MIN(Settings!$E$52,DAY($B12))))&lt;=MIN($C12,IF(Settings!$G$52="",$C12,Settings!$G$52))),1,0)))</f>
        <v/>
      </c>
      <c r="BM12">
        <f>IF(OR(Settings!$C$53="",Settings!$D$53=""),0,Settings!$C$53*IF(Settings!$D$53="Weekly",IF(IFERROR(MATCH(Settings!$E$53,$EO$4:$EO$10,0),0)=0,0,IF(MIN($C12,IF(Settings!$G$53="",$C12,Settings!$G$53))&lt;MAX($A12,Settings!$F$53),0,INT((MIN($C12,IF(Settings!$G$53="",$C12,Settings!$G$53))-MAX($A12,Settings!$F$53)-MOD(IFERROR(MATCH(Settings!$E$53,$EO$4:$EO$10,0),0)-WEEKDAY(MAX($A12,Settings!$F$53)),7))/7)+1)),IF(AND(IF(Settings!$E$53="",$B12,DATE(YEAR($A12),MONTH($A12),MIN(Settings!$E$53,DAY($B12))))&gt;=MAX($A12,Settings!$F$53),IF(Settings!$E$53="",$B12,DATE(YEAR($A12),MONTH($A12),MIN(Settings!$E$53,DAY($B12))))&lt;=MIN($C12,IF(Settings!$G$53="",$C12,Settings!$G$53))),1,0)))</f>
        <v/>
      </c>
      <c r="BN12">
        <f>IF(OR(Settings!$C$54="",Settings!$D$54=""),0,Settings!$C$54*IF(Settings!$D$54="Weekly",IF(IFERROR(MATCH(Settings!$E$54,$EO$4:$EO$10,0),0)=0,0,IF(MIN($C12,IF(Settings!$G$54="",$C12,Settings!$G$54))&lt;MAX($A12,Settings!$F$54),0,INT((MIN($C12,IF(Settings!$G$54="",$C12,Settings!$G$54))-MAX($A12,Settings!$F$54)-MOD(IFERROR(MATCH(Settings!$E$54,$EO$4:$EO$10,0),0)-WEEKDAY(MAX($A12,Settings!$F$54)),7))/7)+1)),IF(AND(IF(Settings!$E$54="",$B12,DATE(YEAR($A12),MONTH($A12),MIN(Settings!$E$54,DAY($B12))))&gt;=MAX($A12,Settings!$F$54),IF(Settings!$E$54="",$B12,DATE(YEAR($A12),MONTH($A12),MIN(Settings!$E$54,DAY($B12))))&lt;=MIN($C12,IF(Settings!$G$54="",$C12,Settings!$G$54))),1,0)))</f>
        <v/>
      </c>
      <c r="BO12">
        <f>IF(OR(Settings!$C$55="",Settings!$D$55=""),0,Settings!$C$55*IF(Settings!$D$55="Weekly",IF(IFERROR(MATCH(Settings!$E$55,$EO$4:$EO$10,0),0)=0,0,IF(MIN($C12,IF(Settings!$G$55="",$C12,Settings!$G$55))&lt;MAX($A12,Settings!$F$55),0,INT((MIN($C12,IF(Settings!$G$55="",$C12,Settings!$G$55))-MAX($A12,Settings!$F$55)-MOD(IFERROR(MATCH(Settings!$E$55,$EO$4:$EO$10,0),0)-WEEKDAY(MAX($A12,Settings!$F$55)),7))/7)+1)),IF(AND(IF(Settings!$E$55="",$B12,DATE(YEAR($A12),MONTH($A12),MIN(Settings!$E$55,DAY($B12))))&gt;=MAX($A12,Settings!$F$55),IF(Settings!$E$55="",$B12,DATE(YEAR($A12),MONTH($A12),MIN(Settings!$E$55,DAY($B12))))&lt;=MIN($C12,IF(Settings!$G$55="",$C12,Settings!$G$55))),1,0)))</f>
        <v/>
      </c>
      <c r="BP12">
        <f>IF(OR(Settings!$C$56="",Settings!$D$56=""),0,Settings!$C$56*IF(Settings!$D$56="Weekly",IF(IFERROR(MATCH(Settings!$E$56,$EO$4:$EO$10,0),0)=0,0,IF(MIN($C12,IF(Settings!$G$56="",$C12,Settings!$G$56))&lt;MAX($A12,Settings!$F$56),0,INT((MIN($C12,IF(Settings!$G$56="",$C12,Settings!$G$56))-MAX($A12,Settings!$F$56)-MOD(IFERROR(MATCH(Settings!$E$56,$EO$4:$EO$10,0),0)-WEEKDAY(MAX($A12,Settings!$F$56)),7))/7)+1)),IF(AND(IF(Settings!$E$56="",$B12,DATE(YEAR($A12),MONTH($A12),MIN(Settings!$E$56,DAY($B12))))&gt;=MAX($A12,Settings!$F$56),IF(Settings!$E$56="",$B12,DATE(YEAR($A12),MONTH($A12),MIN(Settings!$E$56,DAY($B12))))&lt;=MIN($C12,IF(Settings!$G$56="",$C12,Settings!$G$56))),1,0)))</f>
        <v/>
      </c>
      <c r="BQ12">
        <f>IF(OR(Settings!$B$14="",$D12=1,$E12="pre",$A12&lt;IF(Settings!$B$15="",0,Settings!$B$15)),0,Settings!$B$14)</f>
        <v/>
      </c>
      <c r="BR12">
        <f>IF(AND('Month-End'!$I$7&lt;&gt;"",NOT(_xlfn.ISFORMULA('Month-End'!$I$7))),1,0)</f>
        <v/>
      </c>
      <c r="BS12">
        <f>IF(AND('Month-End'!$I$8&lt;&gt;"",NOT(_xlfn.ISFORMULA('Month-End'!$I$8))),1,0)</f>
        <v/>
      </c>
      <c r="BT12">
        <f>IF(AND('Month-End'!$I$9&lt;&gt;"",NOT(_xlfn.ISFORMULA('Month-End'!$I$9))),1,0)</f>
        <v/>
      </c>
      <c r="BU12">
        <f>IF(AND('Month-End'!$I$10&lt;&gt;"",NOT(_xlfn.ISFORMULA('Month-End'!$I$10))),1,0)</f>
        <v/>
      </c>
      <c r="BV12">
        <f>IF(AND('Month-End'!$I$11&lt;&gt;"",NOT(_xlfn.ISFORMULA('Month-End'!$I$11))),1,0)</f>
        <v/>
      </c>
      <c r="BW12">
        <f>IF(AND('Month-End'!$I$12&lt;&gt;"",NOT(_xlfn.ISFORMULA('Month-End'!$I$12))),1,0)</f>
        <v/>
      </c>
      <c r="BX12">
        <f>IF(AND('Month-End'!$I$13&lt;&gt;"",NOT(_xlfn.ISFORMULA('Month-End'!$I$13))),1,0)</f>
        <v/>
      </c>
      <c r="BY12">
        <f>IF(AND('Month-End'!$I$14&lt;&gt;"",NOT(_xlfn.ISFORMULA('Month-End'!$I$14))),1,0)</f>
        <v/>
      </c>
      <c r="BZ12">
        <f>IF(AND('Month-End'!$I$15&lt;&gt;"",NOT(_xlfn.ISFORMULA('Month-End'!$I$15))),1,0)</f>
        <v/>
      </c>
      <c r="CA12">
        <f>IF(AND('Month-End'!$I$16&lt;&gt;"",NOT(_xlfn.ISFORMULA('Month-End'!$I$16))),1,0)</f>
        <v/>
      </c>
      <c r="CB12">
        <f>IF(AND('Month-End'!$I$17&lt;&gt;"",NOT(_xlfn.ISFORMULA('Month-End'!$I$17))),1,0)</f>
        <v/>
      </c>
      <c r="CC12">
        <f>IF(AND('Month-End'!$I$18&lt;&gt;"",NOT(_xlfn.ISFORMULA('Month-End'!$I$18))),1,0)</f>
        <v/>
      </c>
      <c r="CD12">
        <f>IF(AND('Month-End'!$I$19&lt;&gt;"",NOT(_xlfn.ISFORMULA('Month-End'!$I$19))),1,0)</f>
        <v/>
      </c>
      <c r="CE12">
        <f>IF(AND('Month-End'!$I$20&lt;&gt;"",NOT(_xlfn.ISFORMULA('Month-End'!$I$20))),1,0)</f>
        <v/>
      </c>
      <c r="CF12">
        <f>IF(AND('Month-End'!$I$38&lt;&gt;"",NOT(_xlfn.ISFORMULA('Month-End'!$I$38))),1,0)</f>
        <v/>
      </c>
      <c r="CG12">
        <f>IF(AND('Month-End'!$I$39&lt;&gt;"",NOT(_xlfn.ISFORMULA('Month-End'!$I$39))),1,0)</f>
        <v/>
      </c>
      <c r="CH12">
        <f>IF(AND('Month-End'!$I$40&lt;&gt;"",NOT(_xlfn.ISFORMULA('Month-End'!$I$40))),1,0)</f>
        <v/>
      </c>
      <c r="CI12">
        <f>IF(AND('Month-End'!$I$41&lt;&gt;"",NOT(_xlfn.ISFORMULA('Month-End'!$I$41))),1,0)</f>
        <v/>
      </c>
      <c r="CJ12">
        <f>IF(AND('Month-End'!$I$42&lt;&gt;"",NOT(_xlfn.ISFORMULA('Month-End'!$I$42))),1,0)</f>
        <v/>
      </c>
      <c r="CK12">
        <f>IF(AND('Month-End'!$I$43&lt;&gt;"",NOT(_xlfn.ISFORMULA('Month-End'!$I$43))),1,0)</f>
        <v/>
      </c>
      <c r="CL12">
        <f>SUM($CM12:$CZ12)</f>
        <v/>
      </c>
      <c r="CM12">
        <f>IF(AND($E12&lt;&gt;"pre",AND(Settings!$A$19&lt;&gt;"",Settings!$E$19&lt;&gt;"No"),Settings!$F$19="Yes",NOT(AND('Month-End'!$I$7&lt;&gt;"",NOT(_xlfn.ISFORMULA('Month-End'!$I$7))))),1,0)</f>
        <v/>
      </c>
      <c r="CN12">
        <f>IF(AND($E12&lt;&gt;"pre",AND(Settings!$A$20&lt;&gt;"",Settings!$E$20&lt;&gt;"No"),Settings!$F$20="Yes",NOT(AND('Month-End'!$I$8&lt;&gt;"",NOT(_xlfn.ISFORMULA('Month-End'!$I$8))))),1,0)</f>
        <v/>
      </c>
      <c r="CO12">
        <f>IF(AND($E12&lt;&gt;"pre",AND(Settings!$A$21&lt;&gt;"",Settings!$E$21&lt;&gt;"No"),Settings!$F$21="Yes",NOT(AND('Month-End'!$I$9&lt;&gt;"",NOT(_xlfn.ISFORMULA('Month-End'!$I$9))))),1,0)</f>
        <v/>
      </c>
      <c r="CP12">
        <f>IF(AND($E12&lt;&gt;"pre",AND(Settings!$A$22&lt;&gt;"",Settings!$E$22&lt;&gt;"No"),Settings!$F$22="Yes",NOT(AND('Month-End'!$I$10&lt;&gt;"",NOT(_xlfn.ISFORMULA('Month-End'!$I$10))))),1,0)</f>
        <v/>
      </c>
      <c r="CQ12">
        <f>IF(AND($E12&lt;&gt;"pre",AND(Settings!$A$23&lt;&gt;"",Settings!$E$23&lt;&gt;"No"),Settings!$F$23="Yes",NOT(AND('Month-End'!$I$11&lt;&gt;"",NOT(_xlfn.ISFORMULA('Month-End'!$I$11))))),1,0)</f>
        <v/>
      </c>
      <c r="CR12">
        <f>IF(AND($E12&lt;&gt;"pre",AND(Settings!$A$24&lt;&gt;"",Settings!$E$24&lt;&gt;"No"),Settings!$F$24="Yes",NOT(AND('Month-End'!$I$12&lt;&gt;"",NOT(_xlfn.ISFORMULA('Month-End'!$I$12))))),1,0)</f>
        <v/>
      </c>
      <c r="CS12">
        <f>IF(AND($E12&lt;&gt;"pre",AND(Settings!$A$25&lt;&gt;"",Settings!$E$25&lt;&gt;"No"),Settings!$F$25="Yes",NOT(AND('Month-End'!$I$13&lt;&gt;"",NOT(_xlfn.ISFORMULA('Month-End'!$I$13))))),1,0)</f>
        <v/>
      </c>
      <c r="CT12">
        <f>IF(AND($E12&lt;&gt;"pre",AND(Settings!$A$26&lt;&gt;"",Settings!$E$26&lt;&gt;"No"),Settings!$F$26="Yes",NOT(AND('Month-End'!$I$14&lt;&gt;"",NOT(_xlfn.ISFORMULA('Month-End'!$I$14))))),1,0)</f>
        <v/>
      </c>
      <c r="CU12">
        <f>IF(AND($E12&lt;&gt;"pre",AND(Settings!$A$27&lt;&gt;"",Settings!$E$27&lt;&gt;"No"),Settings!$F$27="Yes",NOT(AND('Month-End'!$I$15&lt;&gt;"",NOT(_xlfn.ISFORMULA('Month-End'!$I$15))))),1,0)</f>
        <v/>
      </c>
      <c r="CV12">
        <f>IF(AND($E12&lt;&gt;"pre",AND(Settings!$A$28&lt;&gt;"",Settings!$E$28&lt;&gt;"No"),Settings!$F$28="Yes",NOT(AND('Month-End'!$I$16&lt;&gt;"",NOT(_xlfn.ISFORMULA('Month-End'!$I$16))))),1,0)</f>
        <v/>
      </c>
      <c r="CW12">
        <f>IF(AND($E12&lt;&gt;"pre",AND(Settings!$A$29&lt;&gt;"",Settings!$E$29&lt;&gt;"No"),Settings!$F$29="Yes",NOT(AND('Month-End'!$I$17&lt;&gt;"",NOT(_xlfn.ISFORMULA('Month-End'!$I$17))))),1,0)</f>
        <v/>
      </c>
      <c r="CX12">
        <f>IF(AND($E12&lt;&gt;"pre",AND(Settings!$A$30&lt;&gt;"",Settings!$E$30&lt;&gt;"No"),Settings!$F$30="Yes",NOT(AND('Month-End'!$I$18&lt;&gt;"",NOT(_xlfn.ISFORMULA('Month-End'!$I$18))))),1,0)</f>
        <v/>
      </c>
      <c r="CY12">
        <f>IF(AND($E12&lt;&gt;"pre",AND(Settings!$A$31&lt;&gt;"",Settings!$E$31&lt;&gt;"No"),Settings!$F$31="Yes",NOT(AND('Month-End'!$I$19&lt;&gt;"",NOT(_xlfn.ISFORMULA('Month-End'!$I$19))))),1,0)</f>
        <v/>
      </c>
      <c r="CZ12">
        <f>IF(AND($E12&lt;&gt;"pre",AND(Settings!$A$32&lt;&gt;"",Settings!$E$32&lt;&gt;"No"),Settings!$F$32="Yes",NOT(AND('Month-End'!$I$20&lt;&gt;"",NOT(_xlfn.ISFORMULA('Month-End'!$I$20))))),1,0)</f>
        <v/>
      </c>
      <c r="DA12">
        <f>IF($DT12=1,IF(OR(Settings!$B$19="Checking",Settings!$B$19="Savings",Settings!$B$19="Cash"),N($AE12),IF(OR(Settings!$B$19="Card",Settings!$B$19="Loan"),-N($AE12),0))+IF(OR(Settings!$B$20="Checking",Settings!$B$20="Savings",Settings!$B$20="Cash"),N($AF12),IF(OR(Settings!$B$20="Card",Settings!$B$20="Loan"),-N($AF12),0))+IF(OR(Settings!$B$21="Checking",Settings!$B$21="Savings",Settings!$B$21="Cash"),N($AG12),IF(OR(Settings!$B$21="Card",Settings!$B$21="Loan"),-N($AG12),0))+IF(OR(Settings!$B$22="Checking",Settings!$B$22="Savings",Settings!$B$22="Cash"),N($AH12),IF(OR(Settings!$B$22="Card",Settings!$B$22="Loan"),-N($AH12),0))+IF(OR(Settings!$B$23="Checking",Settings!$B$23="Savings",Settings!$B$23="Cash"),N($AI12),IF(OR(Settings!$B$23="Card",Settings!$B$23="Loan"),-N($AI12),0))+IF(OR(Settings!$B$24="Checking",Settings!$B$24="Savings",Settings!$B$24="Cash"),N($AJ12),IF(OR(Settings!$B$24="Card",Settings!$B$24="Loan"),-N($AJ12),0))+IF(OR(Settings!$B$25="Checking",Settings!$B$25="Savings",Settings!$B$25="Cash"),N($AK12),IF(OR(Settings!$B$25="Card",Settings!$B$25="Loan"),-N($AK12),0))+IF(OR(Settings!$B$26="Checking",Settings!$B$26="Savings",Settings!$B$26="Cash"),N($AL12),IF(OR(Settings!$B$26="Card",Settings!$B$26="Loan"),-N($AL12),0))+IF(OR(Settings!$B$27="Checking",Settings!$B$27="Savings",Settings!$B$27="Cash"),N($AM12),IF(OR(Settings!$B$27="Card",Settings!$B$27="Loan"),-N($AM12),0))+IF(OR(Settings!$B$28="Checking",Settings!$B$28="Savings",Settings!$B$28="Cash"),N($AN12),IF(OR(Settings!$B$28="Card",Settings!$B$28="Loan"),-N($AN12),0))+IF(OR(Settings!$B$29="Checking",Settings!$B$29="Savings",Settings!$B$29="Cash"),N($AO12),IF(OR(Settings!$B$29="Card",Settings!$B$29="Loan"),-N($AO12),0))+IF(OR(Settings!$B$30="Checking",Settings!$B$30="Savings",Settings!$B$30="Cash"),N($AP12),IF(OR(Settings!$B$30="Card",Settings!$B$30="Loan"),-N($AP12),0))+IF(OR(Settings!$B$31="Checking",Settings!$B$31="Savings",Settings!$B$31="Cash"),N($AQ12),IF(OR(Settings!$B$31="Card",Settings!$B$31="Loan"),-N($AQ12),0))+IF(OR(Settings!$B$32="Checking",Settings!$B$32="Savings",Settings!$B$32="Cash"),N($AR12),IF(OR(Settings!$B$32="Card",Settings!$B$32="Loan"),-N($AR12),0)),"")</f>
        <v/>
      </c>
      <c r="DB12">
        <f>IF($E12="open",$EB$27,IF($E12="post",IF($E11="pre",$EB$27,$DA11),""))</f>
        <v/>
      </c>
      <c r="DC12">
        <f>IF($E12="open",1,IF($E12="post",IF($E11="pre",1,$DT11),0))</f>
        <v/>
      </c>
      <c r="DD12">
        <f>IF(AND($DT12=1,$DC12=1),ROUND($W12-($DA12-$DB12)-$AD12-$AB12,2),"")</f>
        <v/>
      </c>
      <c r="DE12">
        <f>IF('Month-End'!$I$35="",$BQ12,N('Month-End'!$I$35))</f>
        <v/>
      </c>
      <c r="DF12">
        <f>N('Month-End'!$I$36)</f>
        <v/>
      </c>
      <c r="DG12">
        <f>IF($DD12="","",$DD12+$DE12)</f>
        <v/>
      </c>
      <c r="DH12">
        <f>IF($DG12="","",$DG12-$DF12)</f>
        <v/>
      </c>
      <c r="DI12">
        <f>IF(OR($E12="pre",$D12=1),"",N($AS12)+N($AT12)+N($AU12)+N($AV12)+N($AW12)+N($AX12))</f>
        <v/>
      </c>
      <c r="DJ12">
        <f>IF($DT12=1,$DA12+N($DI12),"")</f>
        <v/>
      </c>
      <c r="DK12">
        <f>IF($DD12="","",$W12-$DD12-$AB12)</f>
        <v/>
      </c>
      <c r="DL12">
        <f>IF(AND($E12="post",$DD12&lt;&gt;"",$B12&lt;TODAY()),1,0)</f>
        <v/>
      </c>
      <c r="DM12">
        <f>IF($DL12=1,COUNTIF($DL12:$DL$183,1),0)</f>
        <v/>
      </c>
      <c r="DN12">
        <f>IF($D12=1,"",IF($E12="pre","History only",IF($DT12=1,IF($DD12="","⚠ Previous month missing",IF($DD12&lt;0,"⚠ Check: spending &lt; 0",IF($E12="open","✓ Done (partial)","✓ Done"))),IF($B12&gt;=TODAY(),"In progress","⚠ Needs balances"))))</f>
        <v/>
      </c>
      <c r="DO12">
        <f>YEAR($A12)</f>
        <v/>
      </c>
      <c r="DP12">
        <f>DATE(YEAR($A12),INT((MONTH($A12)-1)/3)*3+1,1)</f>
        <v/>
      </c>
      <c r="DQ12">
        <f>IF(AND($DT12=1,$DD12&lt;&gt;"",$D12=0),ROW(),0)</f>
        <v/>
      </c>
      <c r="DR12">
        <f>IF(AND($E12&lt;&gt;"pre",$B12&lt;TODAY(),$DT12=0),1,0)</f>
        <v/>
      </c>
      <c r="DS12">
        <f>IF($DJ12="",NA(),$DJ12)</f>
        <v/>
      </c>
      <c r="DT12">
        <f>IF(AND($E12&lt;&gt;"pre",$CL12=0,COUNTIFS(Settings!$F$19:$F$32,"Yes",Settings!$A$19:$A$32,"&lt;&gt;",Settings!$E$19:$E$32,"&lt;&gt;No")&gt;0),1,0)</f>
        <v/>
      </c>
      <c r="DU12">
        <f>IF(AND($B12&lt;TODAY(),$S12&gt;0),1,0)</f>
        <v/>
      </c>
      <c r="DV12">
        <f>IF($DU12=1,COUNTIF($DU12:$DU$183,1),0)</f>
        <v/>
      </c>
      <c r="DW12">
        <f>IF(AND(OR(Settings!$B$19="Card",Settings!$B$19="Loan"),AND('Month-End'!$I$7&lt;&gt;"",NOT(_xlfn.ISFORMULA('Month-End'!$I$7)))),IF(N('Month-End'!$I$7)&lt;0,1,0),0)+IF(AND(OR(Settings!$B$20="Card",Settings!$B$20="Loan"),AND('Month-End'!$I$8&lt;&gt;"",NOT(_xlfn.ISFORMULA('Month-End'!$I$8)))),IF(N('Month-End'!$I$8)&lt;0,1,0),0)+IF(AND(OR(Settings!$B$21="Card",Settings!$B$21="Loan"),AND('Month-End'!$I$9&lt;&gt;"",NOT(_xlfn.ISFORMULA('Month-End'!$I$9)))),IF(N('Month-End'!$I$9)&lt;0,1,0),0)+IF(AND(OR(Settings!$B$22="Card",Settings!$B$22="Loan"),AND('Month-End'!$I$10&lt;&gt;"",NOT(_xlfn.ISFORMULA('Month-End'!$I$10)))),IF(N('Month-End'!$I$10)&lt;0,1,0),0)+IF(AND(OR(Settings!$B$23="Card",Settings!$B$23="Loan"),AND('Month-End'!$I$11&lt;&gt;"",NOT(_xlfn.ISFORMULA('Month-End'!$I$11)))),IF(N('Month-End'!$I$11)&lt;0,1,0),0)+IF(AND(OR(Settings!$B$24="Card",Settings!$B$24="Loan"),AND('Month-End'!$I$12&lt;&gt;"",NOT(_xlfn.ISFORMULA('Month-End'!$I$12)))),IF(N('Month-End'!$I$12)&lt;0,1,0),0)+IF(AND(OR(Settings!$B$25="Card",Settings!$B$25="Loan"),AND('Month-End'!$I$13&lt;&gt;"",NOT(_xlfn.ISFORMULA('Month-End'!$I$13)))),IF(N('Month-End'!$I$13)&lt;0,1,0),0)+IF(AND(OR(Settings!$B$26="Card",Settings!$B$26="Loan"),AND('Month-End'!$I$14&lt;&gt;"",NOT(_xlfn.ISFORMULA('Month-End'!$I$14)))),IF(N('Month-End'!$I$14)&lt;0,1,0),0)+IF(AND(OR(Settings!$B$27="Card",Settings!$B$27="Loan"),AND('Month-End'!$I$15&lt;&gt;"",NOT(_xlfn.ISFORMULA('Month-End'!$I$15)))),IF(N('Month-End'!$I$15)&lt;0,1,0),0)+IF(AND(OR(Settings!$B$28="Card",Settings!$B$28="Loan"),AND('Month-End'!$I$16&lt;&gt;"",NOT(_xlfn.ISFORMULA('Month-End'!$I$16)))),IF(N('Month-End'!$I$16)&lt;0,1,0),0)+IF(AND(OR(Settings!$B$29="Card",Settings!$B$29="Loan"),AND('Month-End'!$I$17&lt;&gt;"",NOT(_xlfn.ISFORMULA('Month-End'!$I$17)))),IF(N('Month-End'!$I$17)&lt;0,1,0),0)+IF(AND(OR(Settings!$B$30="Card",Settings!$B$30="Loan"),AND('Month-End'!$I$18&lt;&gt;"",NOT(_xlfn.ISFORMULA('Month-End'!$I$18)))),IF(N('Month-End'!$I$18)&lt;0,1,0),0)+IF(AND(OR(Settings!$B$31="Card",Settings!$B$31="Loan"),AND('Month-End'!$I$19&lt;&gt;"",NOT(_xlfn.ISFORMULA('Month-End'!$I$19)))),IF(N('Month-End'!$I$19)&lt;0,1,0),0)+IF(AND(OR(Settings!$B$32="Card",Settings!$B$32="Loan"),AND('Month-End'!$I$20&lt;&gt;"",NOT(_xlfn.ISFORMULA('Month-End'!$I$20)))),IF(N('Month-End'!$I$20)&lt;0,1,0),0)</f>
        <v/>
      </c>
      <c r="DX12">
        <f>IF(Settings!$B$36="Retirement",$AY12,0)+IF(Settings!$B$37="Retirement",$AZ12,0)+IF(Settings!$B$38="Retirement",$BA12,0)+IF(Settings!$B$39="Retirement",$BB12,0)+IF(Settings!$B$40="Retirement",$BC12,0)+IF(Settings!$B$41="Retirement",$BD12,0)</f>
        <v/>
      </c>
      <c r="EA12" t="inlineStr">
        <is>
          <t>Average Monthly Income</t>
        </is>
      </c>
      <c r="EB12">
        <f>IF(COUNTIF($DV$6:$DV$183,"&gt;0")=0,0,SUMIFS($S$6:$S$183,$DV$6:$DV$183,"&gt;0",$DV$6:$DV$183,"&lt;="&amp;Settings!$B$10)/MIN(Settings!$B$10,COUNTIF($DV$6:$DV$183,"&gt;0")))</f>
        <v/>
      </c>
      <c r="ET12">
        <f>IF($E12&lt;&gt;"open",0,IF(AND('Month-End'!$I$22&lt;&gt;"",NOT(_xlfn.ISFORMULA('Month-End'!$I$22))),0,IF(OR(Settings!$C$45="",Settings!$D$45=""),0,Settings!$C$45*IF(Settings!$D$45="Weekly",IF(IFERROR(MATCH(Settings!$E$45,$EO$4:$EO$10,0),0)=0,0,IF(MIN(Settings!$B$5,IF(Settings!$G$45="",Settings!$B$5,Settings!$G$45))&lt;MAX($A12,Settings!$F$45),0,INT((MIN(Settings!$B$5,IF(Settings!$G$45="",Settings!$B$5,Settings!$G$45))-MAX($A12,Settings!$F$45)-MOD(IFERROR(MATCH(Settings!$E$45,$EO$4:$EO$10,0),0)-WEEKDAY(MAX($A12,Settings!$F$45)),7))/7)+1)),IF(AND(IF(Settings!$E$45="",$B12,DATE(YEAR($A12),MONTH($A12),MIN(Settings!$E$45,DAY($B12))))&gt;=MAX($A12,Settings!$F$45),IF(Settings!$E$45="",$B12,DATE(YEAR($A12),MONTH($A12),MIN(Settings!$E$45,DAY($B12))))&lt;=MIN(Settings!$B$5,IF(Settings!$G$45="",Settings!$B$5,Settings!$G$45))),1,0)))))</f>
        <v/>
      </c>
      <c r="EU12">
        <f>IF($E12&lt;&gt;"open",0,IF(AND('Month-End'!$I$23&lt;&gt;"",NOT(_xlfn.ISFORMULA('Month-End'!$I$23))),0,IF(OR(Settings!$C$46="",Settings!$D$46=""),0,Settings!$C$46*IF(Settings!$D$46="Weekly",IF(IFERROR(MATCH(Settings!$E$46,$EO$4:$EO$10,0),0)=0,0,IF(MIN(Settings!$B$5,IF(Settings!$G$46="",Settings!$B$5,Settings!$G$46))&lt;MAX($A12,Settings!$F$46),0,INT((MIN(Settings!$B$5,IF(Settings!$G$46="",Settings!$B$5,Settings!$G$46))-MAX($A12,Settings!$F$46)-MOD(IFERROR(MATCH(Settings!$E$46,$EO$4:$EO$10,0),0)-WEEKDAY(MAX($A12,Settings!$F$46)),7))/7)+1)),IF(AND(IF(Settings!$E$46="",$B12,DATE(YEAR($A12),MONTH($A12),MIN(Settings!$E$46,DAY($B12))))&gt;=MAX($A12,Settings!$F$46),IF(Settings!$E$46="",$B12,DATE(YEAR($A12),MONTH($A12),MIN(Settings!$E$46,DAY($B12))))&lt;=MIN(Settings!$B$5,IF(Settings!$G$46="",Settings!$B$5,Settings!$G$46))),1,0)))))</f>
        <v/>
      </c>
      <c r="EV12">
        <f>IF($E12&lt;&gt;"open",0,IF(AND('Month-End'!$I$24&lt;&gt;"",NOT(_xlfn.ISFORMULA('Month-End'!$I$24))),0,IF(OR(Settings!$C$47="",Settings!$D$47=""),0,Settings!$C$47*IF(Settings!$D$47="Weekly",IF(IFERROR(MATCH(Settings!$E$47,$EO$4:$EO$10,0),0)=0,0,IF(MIN(Settings!$B$5,IF(Settings!$G$47="",Settings!$B$5,Settings!$G$47))&lt;MAX($A12,Settings!$F$47),0,INT((MIN(Settings!$B$5,IF(Settings!$G$47="",Settings!$B$5,Settings!$G$47))-MAX($A12,Settings!$F$47)-MOD(IFERROR(MATCH(Settings!$E$47,$EO$4:$EO$10,0),0)-WEEKDAY(MAX($A12,Settings!$F$47)),7))/7)+1)),IF(AND(IF(Settings!$E$47="",$B12,DATE(YEAR($A12),MONTH($A12),MIN(Settings!$E$47,DAY($B12))))&gt;=MAX($A12,Settings!$F$47),IF(Settings!$E$47="",$B12,DATE(YEAR($A12),MONTH($A12),MIN(Settings!$E$47,DAY($B12))))&lt;=MIN(Settings!$B$5,IF(Settings!$G$47="",Settings!$B$5,Settings!$G$47))),1,0)))))</f>
        <v/>
      </c>
      <c r="EW12">
        <f>IF($E12&lt;&gt;"open",0,IF(AND('Month-End'!$I$25&lt;&gt;"",NOT(_xlfn.ISFORMULA('Month-End'!$I$25))),0,IF(OR(Settings!$C$48="",Settings!$D$48=""),0,Settings!$C$48*IF(Settings!$D$48="Weekly",IF(IFERROR(MATCH(Settings!$E$48,$EO$4:$EO$10,0),0)=0,0,IF(MIN(Settings!$B$5,IF(Settings!$G$48="",Settings!$B$5,Settings!$G$48))&lt;MAX($A12,Settings!$F$48),0,INT((MIN(Settings!$B$5,IF(Settings!$G$48="",Settings!$B$5,Settings!$G$48))-MAX($A12,Settings!$F$48)-MOD(IFERROR(MATCH(Settings!$E$48,$EO$4:$EO$10,0),0)-WEEKDAY(MAX($A12,Settings!$F$48)),7))/7)+1)),IF(AND(IF(Settings!$E$48="",$B12,DATE(YEAR($A12),MONTH($A12),MIN(Settings!$E$48,DAY($B12))))&gt;=MAX($A12,Settings!$F$48),IF(Settings!$E$48="",$B12,DATE(YEAR($A12),MONTH($A12),MIN(Settings!$E$48,DAY($B12))))&lt;=MIN(Settings!$B$5,IF(Settings!$G$48="",Settings!$B$5,Settings!$G$48))),1,0)))))</f>
        <v/>
      </c>
      <c r="EX12">
        <f>IF($E12&lt;&gt;"open",0,IF(AND('Month-End'!$I$26&lt;&gt;"",NOT(_xlfn.ISFORMULA('Month-End'!$I$26))),0,IF(OR(Settings!$C$49="",Settings!$D$49=""),0,Settings!$C$49*IF(Settings!$D$49="Weekly",IF(IFERROR(MATCH(Settings!$E$49,$EO$4:$EO$10,0),0)=0,0,IF(MIN(Settings!$B$5,IF(Settings!$G$49="",Settings!$B$5,Settings!$G$49))&lt;MAX($A12,Settings!$F$49),0,INT((MIN(Settings!$B$5,IF(Settings!$G$49="",Settings!$B$5,Settings!$G$49))-MAX($A12,Settings!$F$49)-MOD(IFERROR(MATCH(Settings!$E$49,$EO$4:$EO$10,0),0)-WEEKDAY(MAX($A12,Settings!$F$49)),7))/7)+1)),IF(AND(IF(Settings!$E$49="",$B12,DATE(YEAR($A12),MONTH($A12),MIN(Settings!$E$49,DAY($B12))))&gt;=MAX($A12,Settings!$F$49),IF(Settings!$E$49="",$B12,DATE(YEAR($A12),MONTH($A12),MIN(Settings!$E$49,DAY($B12))))&lt;=MIN(Settings!$B$5,IF(Settings!$G$49="",Settings!$B$5,Settings!$G$49))),1,0)))))</f>
        <v/>
      </c>
      <c r="EY12">
        <f>IF($E12&lt;&gt;"open",0,IF(AND('Month-End'!$I$27&lt;&gt;"",NOT(_xlfn.ISFORMULA('Month-End'!$I$27))),0,IF(OR(Settings!$C$50="",Settings!$D$50=""),0,Settings!$C$50*IF(Settings!$D$50="Weekly",IF(IFERROR(MATCH(Settings!$E$50,$EO$4:$EO$10,0),0)=0,0,IF(MIN(Settings!$B$5,IF(Settings!$G$50="",Settings!$B$5,Settings!$G$50))&lt;MAX($A12,Settings!$F$50),0,INT((MIN(Settings!$B$5,IF(Settings!$G$50="",Settings!$B$5,Settings!$G$50))-MAX($A12,Settings!$F$50)-MOD(IFERROR(MATCH(Settings!$E$50,$EO$4:$EO$10,0),0)-WEEKDAY(MAX($A12,Settings!$F$50)),7))/7)+1)),IF(AND(IF(Settings!$E$50="",$B12,DATE(YEAR($A12),MONTH($A12),MIN(Settings!$E$50,DAY($B12))))&gt;=MAX($A12,Settings!$F$50),IF(Settings!$E$50="",$B12,DATE(YEAR($A12),MONTH($A12),MIN(Settings!$E$50,DAY($B12))))&lt;=MIN(Settings!$B$5,IF(Settings!$G$50="",Settings!$B$5,Settings!$G$50))),1,0)))))</f>
        <v/>
      </c>
      <c r="EZ12">
        <f>IF($E12&lt;&gt;"open",0,IF(AND('Month-End'!$I$28&lt;&gt;"",NOT(_xlfn.ISFORMULA('Month-End'!$I$28))),0,IF(OR(Settings!$C$51="",Settings!$D$51=""),0,Settings!$C$51*IF(Settings!$D$51="Weekly",IF(IFERROR(MATCH(Settings!$E$51,$EO$4:$EO$10,0),0)=0,0,IF(MIN(Settings!$B$5,IF(Settings!$G$51="",Settings!$B$5,Settings!$G$51))&lt;MAX($A12,Settings!$F$51),0,INT((MIN(Settings!$B$5,IF(Settings!$G$51="",Settings!$B$5,Settings!$G$51))-MAX($A12,Settings!$F$51)-MOD(IFERROR(MATCH(Settings!$E$51,$EO$4:$EO$10,0),0)-WEEKDAY(MAX($A12,Settings!$F$51)),7))/7)+1)),IF(AND(IF(Settings!$E$51="",$B12,DATE(YEAR($A12),MONTH($A12),MIN(Settings!$E$51,DAY($B12))))&gt;=MAX($A12,Settings!$F$51),IF(Settings!$E$51="",$B12,DATE(YEAR($A12),MONTH($A12),MIN(Settings!$E$51,DAY($B12))))&lt;=MIN(Settings!$B$5,IF(Settings!$G$51="",Settings!$B$5,Settings!$G$51))),1,0)))))</f>
        <v/>
      </c>
      <c r="FA12">
        <f>IF($E12&lt;&gt;"open",0,IF(AND('Month-End'!$I$29&lt;&gt;"",NOT(_xlfn.ISFORMULA('Month-End'!$I$29))),0,IF(OR(Settings!$C$52="",Settings!$D$52=""),0,Settings!$C$52*IF(Settings!$D$52="Weekly",IF(IFERROR(MATCH(Settings!$E$52,$EO$4:$EO$10,0),0)=0,0,IF(MIN(Settings!$B$5,IF(Settings!$G$52="",Settings!$B$5,Settings!$G$52))&lt;MAX($A12,Settings!$F$52),0,INT((MIN(Settings!$B$5,IF(Settings!$G$52="",Settings!$B$5,Settings!$G$52))-MAX($A12,Settings!$F$52)-MOD(IFERROR(MATCH(Settings!$E$52,$EO$4:$EO$10,0),0)-WEEKDAY(MAX($A12,Settings!$F$52)),7))/7)+1)),IF(AND(IF(Settings!$E$52="",$B12,DATE(YEAR($A12),MONTH($A12),MIN(Settings!$E$52,DAY($B12))))&gt;=MAX($A12,Settings!$F$52),IF(Settings!$E$52="",$B12,DATE(YEAR($A12),MONTH($A12),MIN(Settings!$E$52,DAY($B12))))&lt;=MIN(Settings!$B$5,IF(Settings!$G$52="",Settings!$B$5,Settings!$G$52))),1,0)))))</f>
        <v/>
      </c>
      <c r="FB12">
        <f>IF($E12&lt;&gt;"open",0,IF(AND('Month-End'!$I$30&lt;&gt;"",NOT(_xlfn.ISFORMULA('Month-End'!$I$30))),0,IF(OR(Settings!$C$53="",Settings!$D$53=""),0,Settings!$C$53*IF(Settings!$D$53="Weekly",IF(IFERROR(MATCH(Settings!$E$53,$EO$4:$EO$10,0),0)=0,0,IF(MIN(Settings!$B$5,IF(Settings!$G$53="",Settings!$B$5,Settings!$G$53))&lt;MAX($A12,Settings!$F$53),0,INT((MIN(Settings!$B$5,IF(Settings!$G$53="",Settings!$B$5,Settings!$G$53))-MAX($A12,Settings!$F$53)-MOD(IFERROR(MATCH(Settings!$E$53,$EO$4:$EO$10,0),0)-WEEKDAY(MAX($A12,Settings!$F$53)),7))/7)+1)),IF(AND(IF(Settings!$E$53="",$B12,DATE(YEAR($A12),MONTH($A12),MIN(Settings!$E$53,DAY($B12))))&gt;=MAX($A12,Settings!$F$53),IF(Settings!$E$53="",$B12,DATE(YEAR($A12),MONTH($A12),MIN(Settings!$E$53,DAY($B12))))&lt;=MIN(Settings!$B$5,IF(Settings!$G$53="",Settings!$B$5,Settings!$G$53))),1,0)))))</f>
        <v/>
      </c>
      <c r="FC12">
        <f>IF($E12&lt;&gt;"open",0,IF(AND('Month-End'!$I$31&lt;&gt;"",NOT(_xlfn.ISFORMULA('Month-End'!$I$31))),0,IF(OR(Settings!$C$54="",Settings!$D$54=""),0,Settings!$C$54*IF(Settings!$D$54="Weekly",IF(IFERROR(MATCH(Settings!$E$54,$EO$4:$EO$10,0),0)=0,0,IF(MIN(Settings!$B$5,IF(Settings!$G$54="",Settings!$B$5,Settings!$G$54))&lt;MAX($A12,Settings!$F$54),0,INT((MIN(Settings!$B$5,IF(Settings!$G$54="",Settings!$B$5,Settings!$G$54))-MAX($A12,Settings!$F$54)-MOD(IFERROR(MATCH(Settings!$E$54,$EO$4:$EO$10,0),0)-WEEKDAY(MAX($A12,Settings!$F$54)),7))/7)+1)),IF(AND(IF(Settings!$E$54="",$B12,DATE(YEAR($A12),MONTH($A12),MIN(Settings!$E$54,DAY($B12))))&gt;=MAX($A12,Settings!$F$54),IF(Settings!$E$54="",$B12,DATE(YEAR($A12),MONTH($A12),MIN(Settings!$E$54,DAY($B12))))&lt;=MIN(Settings!$B$5,IF(Settings!$G$54="",Settings!$B$5,Settings!$G$54))),1,0)))))</f>
        <v/>
      </c>
      <c r="FD12">
        <f>IF($E12&lt;&gt;"open",0,IF(AND('Month-End'!$I$32&lt;&gt;"",NOT(_xlfn.ISFORMULA('Month-End'!$I$32))),0,IF(OR(Settings!$C$55="",Settings!$D$55=""),0,Settings!$C$55*IF(Settings!$D$55="Weekly",IF(IFERROR(MATCH(Settings!$E$55,$EO$4:$EO$10,0),0)=0,0,IF(MIN(Settings!$B$5,IF(Settings!$G$55="",Settings!$B$5,Settings!$G$55))&lt;MAX($A12,Settings!$F$55),0,INT((MIN(Settings!$B$5,IF(Settings!$G$55="",Settings!$B$5,Settings!$G$55))-MAX($A12,Settings!$F$55)-MOD(IFERROR(MATCH(Settings!$E$55,$EO$4:$EO$10,0),0)-WEEKDAY(MAX($A12,Settings!$F$55)),7))/7)+1)),IF(AND(IF(Settings!$E$55="",$B12,DATE(YEAR($A12),MONTH($A12),MIN(Settings!$E$55,DAY($B12))))&gt;=MAX($A12,Settings!$F$55),IF(Settings!$E$55="",$B12,DATE(YEAR($A12),MONTH($A12),MIN(Settings!$E$55,DAY($B12))))&lt;=MIN(Settings!$B$5,IF(Settings!$G$55="",Settings!$B$5,Settings!$G$55))),1,0)))))</f>
        <v/>
      </c>
      <c r="FE12">
        <f>IF($E12&lt;&gt;"open",0,IF(AND('Month-End'!$I$33&lt;&gt;"",NOT(_xlfn.ISFORMULA('Month-End'!$I$33))),0,IF(OR(Settings!$C$56="",Settings!$D$56=""),0,Settings!$C$56*IF(Settings!$D$56="Weekly",IF(IFERROR(MATCH(Settings!$E$56,$EO$4:$EO$10,0),0)=0,0,IF(MIN(Settings!$B$5,IF(Settings!$G$56="",Settings!$B$5,Settings!$G$56))&lt;MAX($A12,Settings!$F$56),0,INT((MIN(Settings!$B$5,IF(Settings!$G$56="",Settings!$B$5,Settings!$G$56))-MAX($A12,Settings!$F$56)-MOD(IFERROR(MATCH(Settings!$E$56,$EO$4:$EO$10,0),0)-WEEKDAY(MAX($A12,Settings!$F$56)),7))/7)+1)),IF(AND(IF(Settings!$E$56="",$B12,DATE(YEAR($A12),MONTH($A12),MIN(Settings!$E$56,DAY($B12))))&gt;=MAX($A12,Settings!$F$56),IF(Settings!$E$56="",$B12,DATE(YEAR($A12),MONTH($A12),MIN(Settings!$E$56,DAY($B12))))&lt;=MIN(Settings!$B$5,IF(Settings!$G$56="",Settings!$B$5,Settings!$G$56))),1,0)))))</f>
        <v/>
      </c>
      <c r="FF12">
        <f>IF(Settings!$I$45="Yes",$G12,0)+IF(Settings!$I$46="Yes",$H12,0)+IF(Settings!$I$47="Yes",$I12,0)+IF(Settings!$I$48="Yes",$J12,0)+IF(Settings!$I$49="Yes",$K12,0)+IF(Settings!$I$50="Yes",$L12,0)+IF(Settings!$I$51="Yes",$M12,0)+IF(Settings!$I$52="Yes",$N12,0)+IF(Settings!$I$53="Yes",$O12,0)+IF(Settings!$I$54="Yes",$P12,0)+IF(Settings!$I$55="Yes",$Q12,0)+IF(Settings!$I$56="Yes",$R12,0)</f>
        <v/>
      </c>
      <c r="FG12">
        <f>IF(AND(Settings!$I$45="Yes",Settings!$J$45="No"),$G12,0)+IF(AND(Settings!$I$46="Yes",Settings!$J$46="No"),$H12,0)+IF(AND(Settings!$I$47="Yes",Settings!$J$47="No"),$I12,0)+IF(AND(Settings!$I$48="Yes",Settings!$J$48="No"),$J12,0)+IF(AND(Settings!$I$49="Yes",Settings!$J$49="No"),$K12,0)+IF(AND(Settings!$I$50="Yes",Settings!$J$50="No"),$L12,0)+IF(AND(Settings!$I$51="Yes",Settings!$J$51="No"),$M12,0)+IF(AND(Settings!$I$52="Yes",Settings!$J$52="No"),$N12,0)+IF(AND(Settings!$I$53="Yes",Settings!$J$53="No"),$O12,0)+IF(AND(Settings!$I$54="Yes",Settings!$J$54="No"),$P12,0)+IF(AND(Settings!$I$55="Yes",Settings!$J$55="No"),$Q12,0)+IF(AND(Settings!$I$56="Yes",Settings!$J$56="No"),$R12,0)</f>
        <v/>
      </c>
      <c r="FH12">
        <f>SUMIFS(Giving!$B$7:$B$2006,Giving!$A$7:$A$2006,"&gt;="&amp;$A12,Giving!$A$7:$A$2006,"&lt;="&amp;$B12,Giving!$G$7:$G$2006,"Yes")+IF(OR(OR(Settings!$B$60="",Settings!$F$60="No"),Settings!$H$60&lt;&gt;"Yes"),0,Settings!$B$60*IF(AND(IF(Settings!$C$60="",$B12,DATE(YEAR($A12),MONTH($A12),MIN(Settings!$C$60,DAY($B12))))&gt;=MAX($A12,Settings!$D$60),IF(Settings!$C$60="",$B12,DATE(YEAR($A12),MONTH($A12),MIN(Settings!$C$60,DAY($B12))))&lt;=MIN($C12,IF(Settings!$E$60="",$C12,Settings!$E$60))),1,0))+IF(OR(OR(Settings!$B$61="",Settings!$F$61="No"),Settings!$H$61&lt;&gt;"Yes"),0,Settings!$B$61*IF(AND(IF(Settings!$C$61="",$B12,DATE(YEAR($A12),MONTH($A12),MIN(Settings!$C$61,DAY($B12))))&gt;=MAX($A12,Settings!$D$61),IF(Settings!$C$61="",$B12,DATE(YEAR($A12),MONTH($A12),MIN(Settings!$C$61,DAY($B12))))&lt;=MIN($C12,IF(Settings!$E$61="",$C12,Settings!$E$61))),1,0))+IF(OR(OR(Settings!$B$62="",Settings!$F$62="No"),Settings!$H$62&lt;&gt;"Yes"),0,Settings!$B$62*IF(AND(IF(Settings!$C$62="",$B12,DATE(YEAR($A12),MONTH($A12),MIN(Settings!$C$62,DAY($B12))))&gt;=MAX($A12,Settings!$D$62),IF(Settings!$C$62="",$B12,DATE(YEAR($A12),MONTH($A12),MIN(Settings!$C$62,DAY($B12))))&lt;=MIN($C12,IF(Settings!$E$62="",$C12,Settings!$E$62))),1,0))+IF(OR(OR(Settings!$B$63="",Settings!$F$63="No"),Settings!$H$63&lt;&gt;"Yes"),0,Settings!$B$63*IF(AND(IF(Settings!$C$63="",$B12,DATE(YEAR($A12),MONTH($A12),MIN(Settings!$C$63,DAY($B12))))&gt;=MAX($A12,Settings!$D$63),IF(Settings!$C$63="",$B12,DATE(YEAR($A12),MONTH($A12),MIN(Settings!$C$63,DAY($B12))))&lt;=MIN($C12,IF(Settings!$E$63="",$C12,Settings!$E$63))),1,0))+IF(OR(OR(Settings!$B$64="",Settings!$F$64="No"),Settings!$H$64&lt;&gt;"Yes"),0,Settings!$B$64*IF(AND(IF(Settings!$C$64="",$B12,DATE(YEAR($A12),MONTH($A12),MIN(Settings!$C$64,DAY($B12))))&gt;=MAX($A12,Settings!$D$64),IF(Settings!$C$64="",$B12,DATE(YEAR($A12),MONTH($A12),MIN(Settings!$C$64,DAY($B12))))&lt;=MIN($C12,IF(Settings!$E$64="",$C12,Settings!$E$64))),1,0))+IF(OR(OR(Settings!$B$65="",Settings!$F$65="No"),Settings!$H$65&lt;&gt;"Yes"),0,Settings!$B$65*IF(AND(IF(Settings!$C$65="",$B12,DATE(YEAR($A12),MONTH($A12),MIN(Settings!$C$65,DAY($B12))))&gt;=MAX($A12,Settings!$D$65),IF(Settings!$C$65="",$B12,DATE(YEAR($A12),MONTH($A12),MIN(Settings!$C$65,DAY($B12))))&lt;=MIN($C12,IF(Settings!$E$65="",$C12,Settings!$E$65))),1,0))</f>
        <v/>
      </c>
      <c r="FI12">
        <f>IF($DT12=1,IF(OR(Settings!$B$19="Card",Settings!$B$19="Loan"),N($AE12),0)+IF(OR(Settings!$B$20="Card",Settings!$B$20="Loan"),N($AF12),0)+IF(OR(Settings!$B$21="Card",Settings!$B$21="Loan"),N($AG12),0)+IF(OR(Settings!$B$22="Card",Settings!$B$22="Loan"),N($AH12),0)+IF(OR(Settings!$B$23="Card",Settings!$B$23="Loan"),N($AI12),0)+IF(OR(Settings!$B$24="Card",Settings!$B$24="Loan"),N($AJ12),0)+IF(OR(Settings!$B$25="Card",Settings!$B$25="Loan"),N($AK12),0)+IF(OR(Settings!$B$26="Card",Settings!$B$26="Loan"),N($AL12),0)+IF(OR(Settings!$B$27="Card",Settings!$B$27="Loan"),N($AM12),0)+IF(OR(Settings!$B$28="Card",Settings!$B$28="Loan"),N($AN12),0)+IF(OR(Settings!$B$29="Card",Settings!$B$29="Loan"),N($AO12),0)+IF(OR(Settings!$B$30="Card",Settings!$B$30="Loan"),N($AP12),0)+IF(OR(Settings!$B$31="Card",Settings!$B$31="Loan"),N($AQ12),0)+IF(OR(Settings!$B$32="Card",Settings!$B$32="Loan"),N($AR12),0),"")</f>
        <v/>
      </c>
      <c r="FJ12">
        <f>IF($E12="open",$EB$65,IF($E12="post",IF($E11="pre",$EB$65,$FI11),""))</f>
        <v/>
      </c>
      <c r="FK12">
        <f>IF(AND($DT12=1,$DC12=1),IF(ROUND($FI12-$FJ12,2)&gt;0,1,0),0)</f>
        <v/>
      </c>
      <c r="FL12">
        <f>IF($FK12=1,$FL11+1,0)</f>
        <v/>
      </c>
    </row>
    <row r="13">
      <c r="A13">
        <f>'Month-End'!$J$4</f>
        <v/>
      </c>
      <c r="B13">
        <f>EOMONTH($A13,0)</f>
        <v/>
      </c>
      <c r="C13">
        <f>MIN($B13,TODAY())</f>
        <v/>
      </c>
      <c r="D13">
        <f>IF($A13&gt;TODAY(),1,0)</f>
        <v/>
      </c>
      <c r="E13">
        <f>IF($B13&lt;=Settings!$B$5,"pre",IF($A13&lt;=Settings!$B$5,"open","post"))</f>
        <v/>
      </c>
      <c r="G13">
        <f>IF('Month-End'!$J$22="",$BE13,N('Month-End'!$J$22))</f>
        <v/>
      </c>
      <c r="H13">
        <f>IF('Month-End'!$J$23="",$BF13,N('Month-End'!$J$23))</f>
        <v/>
      </c>
      <c r="I13">
        <f>IF('Month-End'!$J$24="",$BG13,N('Month-End'!$J$24))</f>
        <v/>
      </c>
      <c r="J13">
        <f>IF('Month-End'!$J$25="",$BH13,N('Month-End'!$J$25))</f>
        <v/>
      </c>
      <c r="K13">
        <f>IF('Month-End'!$J$26="",$BI13,N('Month-End'!$J$26))</f>
        <v/>
      </c>
      <c r="L13">
        <f>IF('Month-End'!$J$27="",$BJ13,N('Month-End'!$J$27))</f>
        <v/>
      </c>
      <c r="M13">
        <f>IF('Month-End'!$J$28="",$BK13,N('Month-End'!$J$28))</f>
        <v/>
      </c>
      <c r="N13">
        <f>IF('Month-End'!$J$29="",$BL13,N('Month-End'!$J$29))</f>
        <v/>
      </c>
      <c r="O13">
        <f>IF('Month-End'!$J$30="",$BM13,N('Month-End'!$J$30))</f>
        <v/>
      </c>
      <c r="P13">
        <f>IF('Month-End'!$J$31="",$BN13,N('Month-End'!$J$31))</f>
        <v/>
      </c>
      <c r="Q13">
        <f>IF('Month-End'!$J$32="",$BO13,N('Month-End'!$J$32))</f>
        <v/>
      </c>
      <c r="R13">
        <f>IF('Month-End'!$J$33="",$BP13,N('Month-End'!$J$33))</f>
        <v/>
      </c>
      <c r="S13">
        <f>$G13+$H13+$I13+$J13+$K13+$L13+$M13+$N13+$O13+$P13+$Q13+$R13</f>
        <v/>
      </c>
      <c r="T13">
        <f>IF($B13&lt;Settings!$B$6,0,IF(Settings!$B$45="Yes",$G13,0)+IF(Settings!$B$46="Yes",$H13,0)+IF(Settings!$B$47="Yes",$I13,0)+IF(Settings!$B$48="Yes",$J13,0)+IF(Settings!$B$49="Yes",$K13,0)+IF(Settings!$B$50="Yes",$L13,0)+IF(Settings!$B$51="Yes",$M13,0)+IF(Settings!$B$52="Yes",$N13,0)+IF(Settings!$B$53="Yes",$O13,0)+IF(Settings!$B$54="Yes",$P13,0)+IF(Settings!$B$55="Yes",$Q13,0)+IF(Settings!$B$56="Yes",$R13,0))</f>
        <v/>
      </c>
      <c r="U13">
        <f>IF(Settings!$B$45="Not Sure",$G13,0)+IF(Settings!$B$46="Not Sure",$H13,0)+IF(Settings!$B$47="Not Sure",$I13,0)+IF(Settings!$B$48="Not Sure",$J13,0)+IF(Settings!$B$49="Not Sure",$K13,0)+IF(Settings!$B$50="Not Sure",$L13,0)+IF(Settings!$B$51="Not Sure",$M13,0)+IF(Settings!$B$52="Not Sure",$N13,0)+IF(Settings!$B$53="Not Sure",$O13,0)+IF(Settings!$B$54="Not Sure",$P13,0)+IF(Settings!$B$55="Not Sure",$Q13,0)+IF(Settings!$B$56="Not Sure",$R13,0)</f>
        <v/>
      </c>
      <c r="V13">
        <f>IF($E13="open",SUM($ET13:$FE13)+N(Settings!$B$13),0)</f>
        <v/>
      </c>
      <c r="W13">
        <f>IF($E13="post",$S13,IF($E13="open",$S13-$V13,0))</f>
        <v/>
      </c>
      <c r="X13">
        <f>SUMIFS(Giving!$B$7:$B$2006,Giving!$A$7:$A$2006,"&gt;="&amp;$A13,Giving!$A$7:$A$2006,"&lt;="&amp;$B13,Giving!$E$7:$E$2006,"&lt;&gt;No")</f>
        <v/>
      </c>
      <c r="Y13">
        <f>SUMIFS(Giving!$B$7:$B$2006,Giving!$A$7:$A$2006,"&gt;="&amp;$A13,Giving!$A$7:$A$2006,"&lt;="&amp;$B13,Giving!$E$7:$E$2006,"No")</f>
        <v/>
      </c>
      <c r="Z13">
        <f>IF(OR(Settings!$B$60="",Settings!$F$60="No"),0,Settings!$B$60*IF(AND(IF(Settings!$C$60="",$B13,DATE(YEAR($A13),MONTH($A13),MIN(Settings!$C$60,DAY($B13))))&gt;=MAX($A13,Settings!$D$60),IF(Settings!$C$60="",$B13,DATE(YEAR($A13),MONTH($A13),MIN(Settings!$C$60,DAY($B13))))&lt;=MIN($C13,IF(Settings!$E$60="",$C13,Settings!$E$60))),1,0))+IF(OR(Settings!$B$61="",Settings!$F$61="No"),0,Settings!$B$61*IF(AND(IF(Settings!$C$61="",$B13,DATE(YEAR($A13),MONTH($A13),MIN(Settings!$C$61,DAY($B13))))&gt;=MAX($A13,Settings!$D$61),IF(Settings!$C$61="",$B13,DATE(YEAR($A13),MONTH($A13),MIN(Settings!$C$61,DAY($B13))))&lt;=MIN($C13,IF(Settings!$E$61="",$C13,Settings!$E$61))),1,0))+IF(OR(Settings!$B$62="",Settings!$F$62="No"),0,Settings!$B$62*IF(AND(IF(Settings!$C$62="",$B13,DATE(YEAR($A13),MONTH($A13),MIN(Settings!$C$62,DAY($B13))))&gt;=MAX($A13,Settings!$D$62),IF(Settings!$C$62="",$B13,DATE(YEAR($A13),MONTH($A13),MIN(Settings!$C$62,DAY($B13))))&lt;=MIN($C13,IF(Settings!$E$62="",$C13,Settings!$E$62))),1,0))+IF(OR(Settings!$B$63="",Settings!$F$63="No"),0,Settings!$B$63*IF(AND(IF(Settings!$C$63="",$B13,DATE(YEAR($A13),MONTH($A13),MIN(Settings!$C$63,DAY($B13))))&gt;=MAX($A13,Settings!$D$63),IF(Settings!$C$63="",$B13,DATE(YEAR($A13),MONTH($A13),MIN(Settings!$C$63,DAY($B13))))&lt;=MIN($C13,IF(Settings!$E$63="",$C13,Settings!$E$63))),1,0))+IF(OR(Settings!$B$64="",Settings!$F$64="No"),0,Settings!$B$64*IF(AND(IF(Settings!$C$64="",$B13,DATE(YEAR($A13),MONTH($A13),MIN(Settings!$C$64,DAY($B13))))&gt;=MAX($A13,Settings!$D$64),IF(Settings!$C$64="",$B13,DATE(YEAR($A13),MONTH($A13),MIN(Settings!$C$64,DAY($B13))))&lt;=MIN($C13,IF(Settings!$E$64="",$C13,Settings!$E$64))),1,0))+IF(OR(Settings!$B$65="",Settings!$F$65="No"),0,Settings!$B$65*IF(AND(IF(Settings!$C$65="",$B13,DATE(YEAR($A13),MONTH($A13),MIN(Settings!$C$65,DAY($B13))))&gt;=MAX($A13,Settings!$D$65),IF(Settings!$C$65="",$B13,DATE(YEAR($A13),MONTH($A13),MIN(Settings!$C$65,DAY($B13))))&lt;=MIN($C13,IF(Settings!$E$65="",$C13,Settings!$E$65))),1,0))</f>
        <v/>
      </c>
      <c r="AA13">
        <f>$X13+$Z13</f>
        <v/>
      </c>
      <c r="AB13">
        <f>IF($E13="post",$AA13,IF($E13="open",SUMIFS(Giving!$B$7:$B$2006,Giving!$A$7:$A$2006,"&gt;"&amp;Settings!$B$5,Giving!$A$7:$A$2006,"&lt;="&amp;$B13,Giving!$E$7:$E$2006,"&lt;&gt;No")+IF(OR(Settings!$B$60="",Settings!$F$60="No"),0,Settings!$B$60*IF(AND(IF(Settings!$C$60="",$B13,DATE(YEAR($A13),MONTH($A13),MIN(Settings!$C$60,DAY($B13))))&gt;=MAX($A13,Settings!$D$60,Settings!$B$5+1),IF(Settings!$C$60="",$B13,DATE(YEAR($A13),MONTH($A13),MIN(Settings!$C$60,DAY($B13))))&lt;=MIN($C13,IF(Settings!$E$60="",$C13,Settings!$E$60))),1,0))+IF(OR(Settings!$B$61="",Settings!$F$61="No"),0,Settings!$B$61*IF(AND(IF(Settings!$C$61="",$B13,DATE(YEAR($A13),MONTH($A13),MIN(Settings!$C$61,DAY($B13))))&gt;=MAX($A13,Settings!$D$61,Settings!$B$5+1),IF(Settings!$C$61="",$B13,DATE(YEAR($A13),MONTH($A13),MIN(Settings!$C$61,DAY($B13))))&lt;=MIN($C13,IF(Settings!$E$61="",$C13,Settings!$E$61))),1,0))+IF(OR(Settings!$B$62="",Settings!$F$62="No"),0,Settings!$B$62*IF(AND(IF(Settings!$C$62="",$B13,DATE(YEAR($A13),MONTH($A13),MIN(Settings!$C$62,DAY($B13))))&gt;=MAX($A13,Settings!$D$62,Settings!$B$5+1),IF(Settings!$C$62="",$B13,DATE(YEAR($A13),MONTH($A13),MIN(Settings!$C$62,DAY($B13))))&lt;=MIN($C13,IF(Settings!$E$62="",$C13,Settings!$E$62))),1,0))+IF(OR(Settings!$B$63="",Settings!$F$63="No"),0,Settings!$B$63*IF(AND(IF(Settings!$C$63="",$B13,DATE(YEAR($A13),MONTH($A13),MIN(Settings!$C$63,DAY($B13))))&gt;=MAX($A13,Settings!$D$63,Settings!$B$5+1),IF(Settings!$C$63="",$B13,DATE(YEAR($A13),MONTH($A13),MIN(Settings!$C$63,DAY($B13))))&lt;=MIN($C13,IF(Settings!$E$63="",$C13,Settings!$E$63))),1,0))+IF(OR(Settings!$B$64="",Settings!$F$64="No"),0,Settings!$B$64*IF(AND(IF(Settings!$C$64="",$B13,DATE(YEAR($A13),MONTH($A13),MIN(Settings!$C$64,DAY($B13))))&gt;=MAX($A13,Settings!$D$64,Settings!$B$5+1),IF(Settings!$C$64="",$B13,DATE(YEAR($A13),MONTH($A13),MIN(Settings!$C$64,DAY($B13))))&lt;=MIN($C13,IF(Settings!$E$64="",$C13,Settings!$E$64))),1,0))+IF(OR(Settings!$B$65="",Settings!$F$65="No"),0,Settings!$B$65*IF(AND(IF(Settings!$C$65="",$B13,DATE(YEAR($A13),MONTH($A13),MIN(Settings!$C$65,DAY($B13))))&gt;=MAX($A13,Settings!$D$65,Settings!$B$5+1),IF(Settings!$C$65="",$B13,DATE(YEAR($A13),MONTH($A13),MIN(Settings!$C$65,DAY($B13))))&lt;=MIN($C13,IF(Settings!$E$65="",$C13,Settings!$E$65))),1,0)),0))</f>
        <v/>
      </c>
      <c r="AC13">
        <f>$AY13+$AZ13+$BA13+$BB13+$BC13+$BD13</f>
        <v/>
      </c>
      <c r="AD13">
        <f>$AC13</f>
        <v/>
      </c>
      <c r="AE13">
        <f>IF(OR(Settings!$A$19="",$E13="pre"),"",IF(AND('Month-End'!$J$7&lt;&gt;"",NOT(_xlfn.ISFORMULA('Month-End'!$J$7))),N('Month-End'!$J$7),IF(OR($E13="open",$E12="pre"),N(Settings!$C$19),N($AE12))))</f>
        <v/>
      </c>
      <c r="AF13">
        <f>IF(OR(Settings!$A$20="",$E13="pre"),"",IF(AND('Month-End'!$J$8&lt;&gt;"",NOT(_xlfn.ISFORMULA('Month-End'!$J$8))),N('Month-End'!$J$8),IF(OR($E13="open",$E12="pre"),N(Settings!$C$20),N($AF12))))</f>
        <v/>
      </c>
      <c r="AG13">
        <f>IF(OR(Settings!$A$21="",$E13="pre"),"",IF(AND('Month-End'!$J$9&lt;&gt;"",NOT(_xlfn.ISFORMULA('Month-End'!$J$9))),N('Month-End'!$J$9),IF(OR($E13="open",$E12="pre"),N(Settings!$C$21),N($AG12))))</f>
        <v/>
      </c>
      <c r="AH13">
        <f>IF(OR(Settings!$A$22="",$E13="pre"),"",IF(AND('Month-End'!$J$10&lt;&gt;"",NOT(_xlfn.ISFORMULA('Month-End'!$J$10))),N('Month-End'!$J$10),IF(OR($E13="open",$E12="pre"),N(Settings!$C$22),N($AH12))))</f>
        <v/>
      </c>
      <c r="AI13">
        <f>IF(OR(Settings!$A$23="",$E13="pre"),"",IF(AND('Month-End'!$J$11&lt;&gt;"",NOT(_xlfn.ISFORMULA('Month-End'!$J$11))),N('Month-End'!$J$11),IF(OR($E13="open",$E12="pre"),N(Settings!$C$23),N($AI12))))</f>
        <v/>
      </c>
      <c r="AJ13">
        <f>IF(OR(Settings!$A$24="",$E13="pre"),"",IF(AND('Month-End'!$J$12&lt;&gt;"",NOT(_xlfn.ISFORMULA('Month-End'!$J$12))),N('Month-End'!$J$12),IF(OR($E13="open",$E12="pre"),N(Settings!$C$24),N($AJ12))))</f>
        <v/>
      </c>
      <c r="AK13">
        <f>IF(OR(Settings!$A$25="",$E13="pre"),"",IF(AND('Month-End'!$J$13&lt;&gt;"",NOT(_xlfn.ISFORMULA('Month-End'!$J$13))),N('Month-End'!$J$13),IF(OR($E13="open",$E12="pre"),N(Settings!$C$25),N($AK12))))</f>
        <v/>
      </c>
      <c r="AL13">
        <f>IF(OR(Settings!$A$26="",$E13="pre"),"",IF(AND('Month-End'!$J$14&lt;&gt;"",NOT(_xlfn.ISFORMULA('Month-End'!$J$14))),N('Month-End'!$J$14),IF(OR($E13="open",$E12="pre"),N(Settings!$C$26),N($AL12))))</f>
        <v/>
      </c>
      <c r="AM13">
        <f>IF(OR(Settings!$A$27="",$E13="pre"),"",IF(AND('Month-End'!$J$15&lt;&gt;"",NOT(_xlfn.ISFORMULA('Month-End'!$J$15))),N('Month-End'!$J$15),IF(OR($E13="open",$E12="pre"),N(Settings!$C$27),N($AM12))))</f>
        <v/>
      </c>
      <c r="AN13">
        <f>IF(OR(Settings!$A$28="",$E13="pre"),"",IF(AND('Month-End'!$J$16&lt;&gt;"",NOT(_xlfn.ISFORMULA('Month-End'!$J$16))),N('Month-End'!$J$16),IF(OR($E13="open",$E12="pre"),N(Settings!$C$28),N($AN12))))</f>
        <v/>
      </c>
      <c r="AO13">
        <f>IF(OR(Settings!$A$29="",$E13="pre"),"",IF(AND('Month-End'!$J$17&lt;&gt;"",NOT(_xlfn.ISFORMULA('Month-End'!$J$17))),N('Month-End'!$J$17),IF(OR($E13="open",$E12="pre"),N(Settings!$C$29),N($AO12))))</f>
        <v/>
      </c>
      <c r="AP13">
        <f>IF(OR(Settings!$A$30="",$E13="pre"),"",IF(AND('Month-End'!$J$18&lt;&gt;"",NOT(_xlfn.ISFORMULA('Month-End'!$J$18))),N('Month-End'!$J$18),IF(OR($E13="open",$E12="pre"),N(Settings!$C$30),N($AP12))))</f>
        <v/>
      </c>
      <c r="AQ13">
        <f>IF(OR(Settings!$A$31="",$E13="pre"),"",IF(AND('Month-End'!$J$19&lt;&gt;"",NOT(_xlfn.ISFORMULA('Month-End'!$J$19))),N('Month-End'!$J$19),IF(OR($E13="open",$E12="pre"),N(Settings!$C$31),N($AQ12))))</f>
        <v/>
      </c>
      <c r="AR13">
        <f>IF(OR(Settings!$A$32="",$E13="pre"),"",IF(AND('Month-End'!$J$20&lt;&gt;"",NOT(_xlfn.ISFORMULA('Month-End'!$J$20))),N('Month-End'!$J$20),IF(OR($E13="open",$E12="pre"),N(Settings!$C$32),N($AR12))))</f>
        <v/>
      </c>
      <c r="AS13">
        <f>IF(OR(Settings!$A$36="",$E13="pre"),"",IF(AND('Month-End'!$J$38&lt;&gt;"",NOT(_xlfn.ISFORMULA('Month-End'!$J$38))),N('Month-End'!$J$38),IF(OR($E13="open",$E12="pre"),N(Settings!$C$36),N($AS12))+$AY13))</f>
        <v/>
      </c>
      <c r="AT13">
        <f>IF(OR(Settings!$A$37="",$E13="pre"),"",IF(AND('Month-End'!$J$39&lt;&gt;"",NOT(_xlfn.ISFORMULA('Month-End'!$J$39))),N('Month-End'!$J$39),IF(OR($E13="open",$E12="pre"),N(Settings!$C$37),N($AT12))+$AZ13))</f>
        <v/>
      </c>
      <c r="AU13">
        <f>IF(OR(Settings!$A$38="",$E13="pre"),"",IF(AND('Month-End'!$J$40&lt;&gt;"",NOT(_xlfn.ISFORMULA('Month-End'!$J$40))),N('Month-End'!$J$40),IF(OR($E13="open",$E12="pre"),N(Settings!$C$38),N($AU12))+$BA13))</f>
        <v/>
      </c>
      <c r="AV13">
        <f>IF(OR(Settings!$A$39="",$E13="pre"),"",IF(AND('Month-End'!$J$41&lt;&gt;"",NOT(_xlfn.ISFORMULA('Month-End'!$J$41))),N('Month-End'!$J$41),IF(OR($E13="open",$E12="pre"),N(Settings!$C$39),N($AV12))+$BB13))</f>
        <v/>
      </c>
      <c r="AW13">
        <f>IF(OR(Settings!$A$40="",$E13="pre"),"",IF(AND('Month-End'!$J$42&lt;&gt;"",NOT(_xlfn.ISFORMULA('Month-End'!$J$42))),N('Month-End'!$J$42),IF(OR($E13="open",$E12="pre"),N(Settings!$C$40),N($AW12))+$BC13))</f>
        <v/>
      </c>
      <c r="AX13">
        <f>IF(OR(Settings!$A$41="",$E13="pre"),"",IF(AND('Month-End'!$J$43&lt;&gt;"",NOT(_xlfn.ISFORMULA('Month-End'!$J$43))),N('Month-End'!$J$43),IF(OR($E13="open",$E12="pre"),N(Settings!$C$41),N($AX12))+$BD13))</f>
        <v/>
      </c>
      <c r="AY13">
        <f>IF($E13="pre",0,N('Month-End'!$J$45))</f>
        <v/>
      </c>
      <c r="AZ13">
        <f>IF($E13="pre",0,N('Month-End'!$J$46))</f>
        <v/>
      </c>
      <c r="BA13">
        <f>IF($E13="pre",0,N('Month-End'!$J$47))</f>
        <v/>
      </c>
      <c r="BB13">
        <f>IF($E13="pre",0,N('Month-End'!$J$48))</f>
        <v/>
      </c>
      <c r="BC13">
        <f>IF($E13="pre",0,N('Month-End'!$J$49))</f>
        <v/>
      </c>
      <c r="BD13">
        <f>IF($E13="pre",0,N('Month-End'!$J$50))</f>
        <v/>
      </c>
      <c r="BE13">
        <f>IF(OR(Settings!$C$45="",Settings!$D$45=""),0,Settings!$C$45*IF(Settings!$D$45="Weekly",IF(IFERROR(MATCH(Settings!$E$45,$EO$4:$EO$10,0),0)=0,0,IF(MIN($C13,IF(Settings!$G$45="",$C13,Settings!$G$45))&lt;MAX($A13,Settings!$F$45),0,INT((MIN($C13,IF(Settings!$G$45="",$C13,Settings!$G$45))-MAX($A13,Settings!$F$45)-MOD(IFERROR(MATCH(Settings!$E$45,$EO$4:$EO$10,0),0)-WEEKDAY(MAX($A13,Settings!$F$45)),7))/7)+1)),IF(AND(IF(Settings!$E$45="",$B13,DATE(YEAR($A13),MONTH($A13),MIN(Settings!$E$45,DAY($B13))))&gt;=MAX($A13,Settings!$F$45),IF(Settings!$E$45="",$B13,DATE(YEAR($A13),MONTH($A13),MIN(Settings!$E$45,DAY($B13))))&lt;=MIN($C13,IF(Settings!$G$45="",$C13,Settings!$G$45))),1,0)))</f>
        <v/>
      </c>
      <c r="BF13">
        <f>IF(OR(Settings!$C$46="",Settings!$D$46=""),0,Settings!$C$46*IF(Settings!$D$46="Weekly",IF(IFERROR(MATCH(Settings!$E$46,$EO$4:$EO$10,0),0)=0,0,IF(MIN($C13,IF(Settings!$G$46="",$C13,Settings!$G$46))&lt;MAX($A13,Settings!$F$46),0,INT((MIN($C13,IF(Settings!$G$46="",$C13,Settings!$G$46))-MAX($A13,Settings!$F$46)-MOD(IFERROR(MATCH(Settings!$E$46,$EO$4:$EO$10,0),0)-WEEKDAY(MAX($A13,Settings!$F$46)),7))/7)+1)),IF(AND(IF(Settings!$E$46="",$B13,DATE(YEAR($A13),MONTH($A13),MIN(Settings!$E$46,DAY($B13))))&gt;=MAX($A13,Settings!$F$46),IF(Settings!$E$46="",$B13,DATE(YEAR($A13),MONTH($A13),MIN(Settings!$E$46,DAY($B13))))&lt;=MIN($C13,IF(Settings!$G$46="",$C13,Settings!$G$46))),1,0)))</f>
        <v/>
      </c>
      <c r="BG13">
        <f>IF(OR(Settings!$C$47="",Settings!$D$47=""),0,Settings!$C$47*IF(Settings!$D$47="Weekly",IF(IFERROR(MATCH(Settings!$E$47,$EO$4:$EO$10,0),0)=0,0,IF(MIN($C13,IF(Settings!$G$47="",$C13,Settings!$G$47))&lt;MAX($A13,Settings!$F$47),0,INT((MIN($C13,IF(Settings!$G$47="",$C13,Settings!$G$47))-MAX($A13,Settings!$F$47)-MOD(IFERROR(MATCH(Settings!$E$47,$EO$4:$EO$10,0),0)-WEEKDAY(MAX($A13,Settings!$F$47)),7))/7)+1)),IF(AND(IF(Settings!$E$47="",$B13,DATE(YEAR($A13),MONTH($A13),MIN(Settings!$E$47,DAY($B13))))&gt;=MAX($A13,Settings!$F$47),IF(Settings!$E$47="",$B13,DATE(YEAR($A13),MONTH($A13),MIN(Settings!$E$47,DAY($B13))))&lt;=MIN($C13,IF(Settings!$G$47="",$C13,Settings!$G$47))),1,0)))</f>
        <v/>
      </c>
      <c r="BH13">
        <f>IF(OR(Settings!$C$48="",Settings!$D$48=""),0,Settings!$C$48*IF(Settings!$D$48="Weekly",IF(IFERROR(MATCH(Settings!$E$48,$EO$4:$EO$10,0),0)=0,0,IF(MIN($C13,IF(Settings!$G$48="",$C13,Settings!$G$48))&lt;MAX($A13,Settings!$F$48),0,INT((MIN($C13,IF(Settings!$G$48="",$C13,Settings!$G$48))-MAX($A13,Settings!$F$48)-MOD(IFERROR(MATCH(Settings!$E$48,$EO$4:$EO$10,0),0)-WEEKDAY(MAX($A13,Settings!$F$48)),7))/7)+1)),IF(AND(IF(Settings!$E$48="",$B13,DATE(YEAR($A13),MONTH($A13),MIN(Settings!$E$48,DAY($B13))))&gt;=MAX($A13,Settings!$F$48),IF(Settings!$E$48="",$B13,DATE(YEAR($A13),MONTH($A13),MIN(Settings!$E$48,DAY($B13))))&lt;=MIN($C13,IF(Settings!$G$48="",$C13,Settings!$G$48))),1,0)))</f>
        <v/>
      </c>
      <c r="BI13">
        <f>IF(OR(Settings!$C$49="",Settings!$D$49=""),0,Settings!$C$49*IF(Settings!$D$49="Weekly",IF(IFERROR(MATCH(Settings!$E$49,$EO$4:$EO$10,0),0)=0,0,IF(MIN($C13,IF(Settings!$G$49="",$C13,Settings!$G$49))&lt;MAX($A13,Settings!$F$49),0,INT((MIN($C13,IF(Settings!$G$49="",$C13,Settings!$G$49))-MAX($A13,Settings!$F$49)-MOD(IFERROR(MATCH(Settings!$E$49,$EO$4:$EO$10,0),0)-WEEKDAY(MAX($A13,Settings!$F$49)),7))/7)+1)),IF(AND(IF(Settings!$E$49="",$B13,DATE(YEAR($A13),MONTH($A13),MIN(Settings!$E$49,DAY($B13))))&gt;=MAX($A13,Settings!$F$49),IF(Settings!$E$49="",$B13,DATE(YEAR($A13),MONTH($A13),MIN(Settings!$E$49,DAY($B13))))&lt;=MIN($C13,IF(Settings!$G$49="",$C13,Settings!$G$49))),1,0)))</f>
        <v/>
      </c>
      <c r="BJ13">
        <f>IF(OR(Settings!$C$50="",Settings!$D$50=""),0,Settings!$C$50*IF(Settings!$D$50="Weekly",IF(IFERROR(MATCH(Settings!$E$50,$EO$4:$EO$10,0),0)=0,0,IF(MIN($C13,IF(Settings!$G$50="",$C13,Settings!$G$50))&lt;MAX($A13,Settings!$F$50),0,INT((MIN($C13,IF(Settings!$G$50="",$C13,Settings!$G$50))-MAX($A13,Settings!$F$50)-MOD(IFERROR(MATCH(Settings!$E$50,$EO$4:$EO$10,0),0)-WEEKDAY(MAX($A13,Settings!$F$50)),7))/7)+1)),IF(AND(IF(Settings!$E$50="",$B13,DATE(YEAR($A13),MONTH($A13),MIN(Settings!$E$50,DAY($B13))))&gt;=MAX($A13,Settings!$F$50),IF(Settings!$E$50="",$B13,DATE(YEAR($A13),MONTH($A13),MIN(Settings!$E$50,DAY($B13))))&lt;=MIN($C13,IF(Settings!$G$50="",$C13,Settings!$G$50))),1,0)))</f>
        <v/>
      </c>
      <c r="BK13">
        <f>IF(OR(Settings!$C$51="",Settings!$D$51=""),0,Settings!$C$51*IF(Settings!$D$51="Weekly",IF(IFERROR(MATCH(Settings!$E$51,$EO$4:$EO$10,0),0)=0,0,IF(MIN($C13,IF(Settings!$G$51="",$C13,Settings!$G$51))&lt;MAX($A13,Settings!$F$51),0,INT((MIN($C13,IF(Settings!$G$51="",$C13,Settings!$G$51))-MAX($A13,Settings!$F$51)-MOD(IFERROR(MATCH(Settings!$E$51,$EO$4:$EO$10,0),0)-WEEKDAY(MAX($A13,Settings!$F$51)),7))/7)+1)),IF(AND(IF(Settings!$E$51="",$B13,DATE(YEAR($A13),MONTH($A13),MIN(Settings!$E$51,DAY($B13))))&gt;=MAX($A13,Settings!$F$51),IF(Settings!$E$51="",$B13,DATE(YEAR($A13),MONTH($A13),MIN(Settings!$E$51,DAY($B13))))&lt;=MIN($C13,IF(Settings!$G$51="",$C13,Settings!$G$51))),1,0)))</f>
        <v/>
      </c>
      <c r="BL13">
        <f>IF(OR(Settings!$C$52="",Settings!$D$52=""),0,Settings!$C$52*IF(Settings!$D$52="Weekly",IF(IFERROR(MATCH(Settings!$E$52,$EO$4:$EO$10,0),0)=0,0,IF(MIN($C13,IF(Settings!$G$52="",$C13,Settings!$G$52))&lt;MAX($A13,Settings!$F$52),0,INT((MIN($C13,IF(Settings!$G$52="",$C13,Settings!$G$52))-MAX($A13,Settings!$F$52)-MOD(IFERROR(MATCH(Settings!$E$52,$EO$4:$EO$10,0),0)-WEEKDAY(MAX($A13,Settings!$F$52)),7))/7)+1)),IF(AND(IF(Settings!$E$52="",$B13,DATE(YEAR($A13),MONTH($A13),MIN(Settings!$E$52,DAY($B13))))&gt;=MAX($A13,Settings!$F$52),IF(Settings!$E$52="",$B13,DATE(YEAR($A13),MONTH($A13),MIN(Settings!$E$52,DAY($B13))))&lt;=MIN($C13,IF(Settings!$G$52="",$C13,Settings!$G$52))),1,0)))</f>
        <v/>
      </c>
      <c r="BM13">
        <f>IF(OR(Settings!$C$53="",Settings!$D$53=""),0,Settings!$C$53*IF(Settings!$D$53="Weekly",IF(IFERROR(MATCH(Settings!$E$53,$EO$4:$EO$10,0),0)=0,0,IF(MIN($C13,IF(Settings!$G$53="",$C13,Settings!$G$53))&lt;MAX($A13,Settings!$F$53),0,INT((MIN($C13,IF(Settings!$G$53="",$C13,Settings!$G$53))-MAX($A13,Settings!$F$53)-MOD(IFERROR(MATCH(Settings!$E$53,$EO$4:$EO$10,0),0)-WEEKDAY(MAX($A13,Settings!$F$53)),7))/7)+1)),IF(AND(IF(Settings!$E$53="",$B13,DATE(YEAR($A13),MONTH($A13),MIN(Settings!$E$53,DAY($B13))))&gt;=MAX($A13,Settings!$F$53),IF(Settings!$E$53="",$B13,DATE(YEAR($A13),MONTH($A13),MIN(Settings!$E$53,DAY($B13))))&lt;=MIN($C13,IF(Settings!$G$53="",$C13,Settings!$G$53))),1,0)))</f>
        <v/>
      </c>
      <c r="BN13">
        <f>IF(OR(Settings!$C$54="",Settings!$D$54=""),0,Settings!$C$54*IF(Settings!$D$54="Weekly",IF(IFERROR(MATCH(Settings!$E$54,$EO$4:$EO$10,0),0)=0,0,IF(MIN($C13,IF(Settings!$G$54="",$C13,Settings!$G$54))&lt;MAX($A13,Settings!$F$54),0,INT((MIN($C13,IF(Settings!$G$54="",$C13,Settings!$G$54))-MAX($A13,Settings!$F$54)-MOD(IFERROR(MATCH(Settings!$E$54,$EO$4:$EO$10,0),0)-WEEKDAY(MAX($A13,Settings!$F$54)),7))/7)+1)),IF(AND(IF(Settings!$E$54="",$B13,DATE(YEAR($A13),MONTH($A13),MIN(Settings!$E$54,DAY($B13))))&gt;=MAX($A13,Settings!$F$54),IF(Settings!$E$54="",$B13,DATE(YEAR($A13),MONTH($A13),MIN(Settings!$E$54,DAY($B13))))&lt;=MIN($C13,IF(Settings!$G$54="",$C13,Settings!$G$54))),1,0)))</f>
        <v/>
      </c>
      <c r="BO13">
        <f>IF(OR(Settings!$C$55="",Settings!$D$55=""),0,Settings!$C$55*IF(Settings!$D$55="Weekly",IF(IFERROR(MATCH(Settings!$E$55,$EO$4:$EO$10,0),0)=0,0,IF(MIN($C13,IF(Settings!$G$55="",$C13,Settings!$G$55))&lt;MAX($A13,Settings!$F$55),0,INT((MIN($C13,IF(Settings!$G$55="",$C13,Settings!$G$55))-MAX($A13,Settings!$F$55)-MOD(IFERROR(MATCH(Settings!$E$55,$EO$4:$EO$10,0),0)-WEEKDAY(MAX($A13,Settings!$F$55)),7))/7)+1)),IF(AND(IF(Settings!$E$55="",$B13,DATE(YEAR($A13),MONTH($A13),MIN(Settings!$E$55,DAY($B13))))&gt;=MAX($A13,Settings!$F$55),IF(Settings!$E$55="",$B13,DATE(YEAR($A13),MONTH($A13),MIN(Settings!$E$55,DAY($B13))))&lt;=MIN($C13,IF(Settings!$G$55="",$C13,Settings!$G$55))),1,0)))</f>
        <v/>
      </c>
      <c r="BP13">
        <f>IF(OR(Settings!$C$56="",Settings!$D$56=""),0,Settings!$C$56*IF(Settings!$D$56="Weekly",IF(IFERROR(MATCH(Settings!$E$56,$EO$4:$EO$10,0),0)=0,0,IF(MIN($C13,IF(Settings!$G$56="",$C13,Settings!$G$56))&lt;MAX($A13,Settings!$F$56),0,INT((MIN($C13,IF(Settings!$G$56="",$C13,Settings!$G$56))-MAX($A13,Settings!$F$56)-MOD(IFERROR(MATCH(Settings!$E$56,$EO$4:$EO$10,0),0)-WEEKDAY(MAX($A13,Settings!$F$56)),7))/7)+1)),IF(AND(IF(Settings!$E$56="",$B13,DATE(YEAR($A13),MONTH($A13),MIN(Settings!$E$56,DAY($B13))))&gt;=MAX($A13,Settings!$F$56),IF(Settings!$E$56="",$B13,DATE(YEAR($A13),MONTH($A13),MIN(Settings!$E$56,DAY($B13))))&lt;=MIN($C13,IF(Settings!$G$56="",$C13,Settings!$G$56))),1,0)))</f>
        <v/>
      </c>
      <c r="BQ13">
        <f>IF(OR(Settings!$B$14="",$D13=1,$E13="pre",$A13&lt;IF(Settings!$B$15="",0,Settings!$B$15)),0,Settings!$B$14)</f>
        <v/>
      </c>
      <c r="BR13">
        <f>IF(AND('Month-End'!$J$7&lt;&gt;"",NOT(_xlfn.ISFORMULA('Month-End'!$J$7))),1,0)</f>
        <v/>
      </c>
      <c r="BS13">
        <f>IF(AND('Month-End'!$J$8&lt;&gt;"",NOT(_xlfn.ISFORMULA('Month-End'!$J$8))),1,0)</f>
        <v/>
      </c>
      <c r="BT13">
        <f>IF(AND('Month-End'!$J$9&lt;&gt;"",NOT(_xlfn.ISFORMULA('Month-End'!$J$9))),1,0)</f>
        <v/>
      </c>
      <c r="BU13">
        <f>IF(AND('Month-End'!$J$10&lt;&gt;"",NOT(_xlfn.ISFORMULA('Month-End'!$J$10))),1,0)</f>
        <v/>
      </c>
      <c r="BV13">
        <f>IF(AND('Month-End'!$J$11&lt;&gt;"",NOT(_xlfn.ISFORMULA('Month-End'!$J$11))),1,0)</f>
        <v/>
      </c>
      <c r="BW13">
        <f>IF(AND('Month-End'!$J$12&lt;&gt;"",NOT(_xlfn.ISFORMULA('Month-End'!$J$12))),1,0)</f>
        <v/>
      </c>
      <c r="BX13">
        <f>IF(AND('Month-End'!$J$13&lt;&gt;"",NOT(_xlfn.ISFORMULA('Month-End'!$J$13))),1,0)</f>
        <v/>
      </c>
      <c r="BY13">
        <f>IF(AND('Month-End'!$J$14&lt;&gt;"",NOT(_xlfn.ISFORMULA('Month-End'!$J$14))),1,0)</f>
        <v/>
      </c>
      <c r="BZ13">
        <f>IF(AND('Month-End'!$J$15&lt;&gt;"",NOT(_xlfn.ISFORMULA('Month-End'!$J$15))),1,0)</f>
        <v/>
      </c>
      <c r="CA13">
        <f>IF(AND('Month-End'!$J$16&lt;&gt;"",NOT(_xlfn.ISFORMULA('Month-End'!$J$16))),1,0)</f>
        <v/>
      </c>
      <c r="CB13">
        <f>IF(AND('Month-End'!$J$17&lt;&gt;"",NOT(_xlfn.ISFORMULA('Month-End'!$J$17))),1,0)</f>
        <v/>
      </c>
      <c r="CC13">
        <f>IF(AND('Month-End'!$J$18&lt;&gt;"",NOT(_xlfn.ISFORMULA('Month-End'!$J$18))),1,0)</f>
        <v/>
      </c>
      <c r="CD13">
        <f>IF(AND('Month-End'!$J$19&lt;&gt;"",NOT(_xlfn.ISFORMULA('Month-End'!$J$19))),1,0)</f>
        <v/>
      </c>
      <c r="CE13">
        <f>IF(AND('Month-End'!$J$20&lt;&gt;"",NOT(_xlfn.ISFORMULA('Month-End'!$J$20))),1,0)</f>
        <v/>
      </c>
      <c r="CF13">
        <f>IF(AND('Month-End'!$J$38&lt;&gt;"",NOT(_xlfn.ISFORMULA('Month-End'!$J$38))),1,0)</f>
        <v/>
      </c>
      <c r="CG13">
        <f>IF(AND('Month-End'!$J$39&lt;&gt;"",NOT(_xlfn.ISFORMULA('Month-End'!$J$39))),1,0)</f>
        <v/>
      </c>
      <c r="CH13">
        <f>IF(AND('Month-End'!$J$40&lt;&gt;"",NOT(_xlfn.ISFORMULA('Month-End'!$J$40))),1,0)</f>
        <v/>
      </c>
      <c r="CI13">
        <f>IF(AND('Month-End'!$J$41&lt;&gt;"",NOT(_xlfn.ISFORMULA('Month-End'!$J$41))),1,0)</f>
        <v/>
      </c>
      <c r="CJ13">
        <f>IF(AND('Month-End'!$J$42&lt;&gt;"",NOT(_xlfn.ISFORMULA('Month-End'!$J$42))),1,0)</f>
        <v/>
      </c>
      <c r="CK13">
        <f>IF(AND('Month-End'!$J$43&lt;&gt;"",NOT(_xlfn.ISFORMULA('Month-End'!$J$43))),1,0)</f>
        <v/>
      </c>
      <c r="CL13">
        <f>SUM($CM13:$CZ13)</f>
        <v/>
      </c>
      <c r="CM13">
        <f>IF(AND($E13&lt;&gt;"pre",AND(Settings!$A$19&lt;&gt;"",Settings!$E$19&lt;&gt;"No"),Settings!$F$19="Yes",NOT(AND('Month-End'!$J$7&lt;&gt;"",NOT(_xlfn.ISFORMULA('Month-End'!$J$7))))),1,0)</f>
        <v/>
      </c>
      <c r="CN13">
        <f>IF(AND($E13&lt;&gt;"pre",AND(Settings!$A$20&lt;&gt;"",Settings!$E$20&lt;&gt;"No"),Settings!$F$20="Yes",NOT(AND('Month-End'!$J$8&lt;&gt;"",NOT(_xlfn.ISFORMULA('Month-End'!$J$8))))),1,0)</f>
        <v/>
      </c>
      <c r="CO13">
        <f>IF(AND($E13&lt;&gt;"pre",AND(Settings!$A$21&lt;&gt;"",Settings!$E$21&lt;&gt;"No"),Settings!$F$21="Yes",NOT(AND('Month-End'!$J$9&lt;&gt;"",NOT(_xlfn.ISFORMULA('Month-End'!$J$9))))),1,0)</f>
        <v/>
      </c>
      <c r="CP13">
        <f>IF(AND($E13&lt;&gt;"pre",AND(Settings!$A$22&lt;&gt;"",Settings!$E$22&lt;&gt;"No"),Settings!$F$22="Yes",NOT(AND('Month-End'!$J$10&lt;&gt;"",NOT(_xlfn.ISFORMULA('Month-End'!$J$10))))),1,0)</f>
        <v/>
      </c>
      <c r="CQ13">
        <f>IF(AND($E13&lt;&gt;"pre",AND(Settings!$A$23&lt;&gt;"",Settings!$E$23&lt;&gt;"No"),Settings!$F$23="Yes",NOT(AND('Month-End'!$J$11&lt;&gt;"",NOT(_xlfn.ISFORMULA('Month-End'!$J$11))))),1,0)</f>
        <v/>
      </c>
      <c r="CR13">
        <f>IF(AND($E13&lt;&gt;"pre",AND(Settings!$A$24&lt;&gt;"",Settings!$E$24&lt;&gt;"No"),Settings!$F$24="Yes",NOT(AND('Month-End'!$J$12&lt;&gt;"",NOT(_xlfn.ISFORMULA('Month-End'!$J$12))))),1,0)</f>
        <v/>
      </c>
      <c r="CS13">
        <f>IF(AND($E13&lt;&gt;"pre",AND(Settings!$A$25&lt;&gt;"",Settings!$E$25&lt;&gt;"No"),Settings!$F$25="Yes",NOT(AND('Month-End'!$J$13&lt;&gt;"",NOT(_xlfn.ISFORMULA('Month-End'!$J$13))))),1,0)</f>
        <v/>
      </c>
      <c r="CT13">
        <f>IF(AND($E13&lt;&gt;"pre",AND(Settings!$A$26&lt;&gt;"",Settings!$E$26&lt;&gt;"No"),Settings!$F$26="Yes",NOT(AND('Month-End'!$J$14&lt;&gt;"",NOT(_xlfn.ISFORMULA('Month-End'!$J$14))))),1,0)</f>
        <v/>
      </c>
      <c r="CU13">
        <f>IF(AND($E13&lt;&gt;"pre",AND(Settings!$A$27&lt;&gt;"",Settings!$E$27&lt;&gt;"No"),Settings!$F$27="Yes",NOT(AND('Month-End'!$J$15&lt;&gt;"",NOT(_xlfn.ISFORMULA('Month-End'!$J$15))))),1,0)</f>
        <v/>
      </c>
      <c r="CV13">
        <f>IF(AND($E13&lt;&gt;"pre",AND(Settings!$A$28&lt;&gt;"",Settings!$E$28&lt;&gt;"No"),Settings!$F$28="Yes",NOT(AND('Month-End'!$J$16&lt;&gt;"",NOT(_xlfn.ISFORMULA('Month-End'!$J$16))))),1,0)</f>
        <v/>
      </c>
      <c r="CW13">
        <f>IF(AND($E13&lt;&gt;"pre",AND(Settings!$A$29&lt;&gt;"",Settings!$E$29&lt;&gt;"No"),Settings!$F$29="Yes",NOT(AND('Month-End'!$J$17&lt;&gt;"",NOT(_xlfn.ISFORMULA('Month-End'!$J$17))))),1,0)</f>
        <v/>
      </c>
      <c r="CX13">
        <f>IF(AND($E13&lt;&gt;"pre",AND(Settings!$A$30&lt;&gt;"",Settings!$E$30&lt;&gt;"No"),Settings!$F$30="Yes",NOT(AND('Month-End'!$J$18&lt;&gt;"",NOT(_xlfn.ISFORMULA('Month-End'!$J$18))))),1,0)</f>
        <v/>
      </c>
      <c r="CY13">
        <f>IF(AND($E13&lt;&gt;"pre",AND(Settings!$A$31&lt;&gt;"",Settings!$E$31&lt;&gt;"No"),Settings!$F$31="Yes",NOT(AND('Month-End'!$J$19&lt;&gt;"",NOT(_xlfn.ISFORMULA('Month-End'!$J$19))))),1,0)</f>
        <v/>
      </c>
      <c r="CZ13">
        <f>IF(AND($E13&lt;&gt;"pre",AND(Settings!$A$32&lt;&gt;"",Settings!$E$32&lt;&gt;"No"),Settings!$F$32="Yes",NOT(AND('Month-End'!$J$20&lt;&gt;"",NOT(_xlfn.ISFORMULA('Month-End'!$J$20))))),1,0)</f>
        <v/>
      </c>
      <c r="DA13">
        <f>IF($DT13=1,IF(OR(Settings!$B$19="Checking",Settings!$B$19="Savings",Settings!$B$19="Cash"),N($AE13),IF(OR(Settings!$B$19="Card",Settings!$B$19="Loan"),-N($AE13),0))+IF(OR(Settings!$B$20="Checking",Settings!$B$20="Savings",Settings!$B$20="Cash"),N($AF13),IF(OR(Settings!$B$20="Card",Settings!$B$20="Loan"),-N($AF13),0))+IF(OR(Settings!$B$21="Checking",Settings!$B$21="Savings",Settings!$B$21="Cash"),N($AG13),IF(OR(Settings!$B$21="Card",Settings!$B$21="Loan"),-N($AG13),0))+IF(OR(Settings!$B$22="Checking",Settings!$B$22="Savings",Settings!$B$22="Cash"),N($AH13),IF(OR(Settings!$B$22="Card",Settings!$B$22="Loan"),-N($AH13),0))+IF(OR(Settings!$B$23="Checking",Settings!$B$23="Savings",Settings!$B$23="Cash"),N($AI13),IF(OR(Settings!$B$23="Card",Settings!$B$23="Loan"),-N($AI13),0))+IF(OR(Settings!$B$24="Checking",Settings!$B$24="Savings",Settings!$B$24="Cash"),N($AJ13),IF(OR(Settings!$B$24="Card",Settings!$B$24="Loan"),-N($AJ13),0))+IF(OR(Settings!$B$25="Checking",Settings!$B$25="Savings",Settings!$B$25="Cash"),N($AK13),IF(OR(Settings!$B$25="Card",Settings!$B$25="Loan"),-N($AK13),0))+IF(OR(Settings!$B$26="Checking",Settings!$B$26="Savings",Settings!$B$26="Cash"),N($AL13),IF(OR(Settings!$B$26="Card",Settings!$B$26="Loan"),-N($AL13),0))+IF(OR(Settings!$B$27="Checking",Settings!$B$27="Savings",Settings!$B$27="Cash"),N($AM13),IF(OR(Settings!$B$27="Card",Settings!$B$27="Loan"),-N($AM13),0))+IF(OR(Settings!$B$28="Checking",Settings!$B$28="Savings",Settings!$B$28="Cash"),N($AN13),IF(OR(Settings!$B$28="Card",Settings!$B$28="Loan"),-N($AN13),0))+IF(OR(Settings!$B$29="Checking",Settings!$B$29="Savings",Settings!$B$29="Cash"),N($AO13),IF(OR(Settings!$B$29="Card",Settings!$B$29="Loan"),-N($AO13),0))+IF(OR(Settings!$B$30="Checking",Settings!$B$30="Savings",Settings!$B$30="Cash"),N($AP13),IF(OR(Settings!$B$30="Card",Settings!$B$30="Loan"),-N($AP13),0))+IF(OR(Settings!$B$31="Checking",Settings!$B$31="Savings",Settings!$B$31="Cash"),N($AQ13),IF(OR(Settings!$B$31="Card",Settings!$B$31="Loan"),-N($AQ13),0))+IF(OR(Settings!$B$32="Checking",Settings!$B$32="Savings",Settings!$B$32="Cash"),N($AR13),IF(OR(Settings!$B$32="Card",Settings!$B$32="Loan"),-N($AR13),0)),"")</f>
        <v/>
      </c>
      <c r="DB13">
        <f>IF($E13="open",$EB$27,IF($E13="post",IF($E12="pre",$EB$27,$DA12),""))</f>
        <v/>
      </c>
      <c r="DC13">
        <f>IF($E13="open",1,IF($E13="post",IF($E12="pre",1,$DT12),0))</f>
        <v/>
      </c>
      <c r="DD13">
        <f>IF(AND($DT13=1,$DC13=1),ROUND($W13-($DA13-$DB13)-$AD13-$AB13,2),"")</f>
        <v/>
      </c>
      <c r="DE13">
        <f>IF('Month-End'!$J$35="",$BQ13,N('Month-End'!$J$35))</f>
        <v/>
      </c>
      <c r="DF13">
        <f>N('Month-End'!$J$36)</f>
        <v/>
      </c>
      <c r="DG13">
        <f>IF($DD13="","",$DD13+$DE13)</f>
        <v/>
      </c>
      <c r="DH13">
        <f>IF($DG13="","",$DG13-$DF13)</f>
        <v/>
      </c>
      <c r="DI13">
        <f>IF(OR($E13="pre",$D13=1),"",N($AS13)+N($AT13)+N($AU13)+N($AV13)+N($AW13)+N($AX13))</f>
        <v/>
      </c>
      <c r="DJ13">
        <f>IF($DT13=1,$DA13+N($DI13),"")</f>
        <v/>
      </c>
      <c r="DK13">
        <f>IF($DD13="","",$W13-$DD13-$AB13)</f>
        <v/>
      </c>
      <c r="DL13">
        <f>IF(AND($E13="post",$DD13&lt;&gt;"",$B13&lt;TODAY()),1,0)</f>
        <v/>
      </c>
      <c r="DM13">
        <f>IF($DL13=1,COUNTIF($DL13:$DL$183,1),0)</f>
        <v/>
      </c>
      <c r="DN13">
        <f>IF($D13=1,"",IF($E13="pre","History only",IF($DT13=1,IF($DD13="","⚠ Previous month missing",IF($DD13&lt;0,"⚠ Check: spending &lt; 0",IF($E13="open","✓ Done (partial)","✓ Done"))),IF($B13&gt;=TODAY(),"In progress","⚠ Needs balances"))))</f>
        <v/>
      </c>
      <c r="DO13">
        <f>YEAR($A13)</f>
        <v/>
      </c>
      <c r="DP13">
        <f>DATE(YEAR($A13),INT((MONTH($A13)-1)/3)*3+1,1)</f>
        <v/>
      </c>
      <c r="DQ13">
        <f>IF(AND($DT13=1,$DD13&lt;&gt;"",$D13=0),ROW(),0)</f>
        <v/>
      </c>
      <c r="DR13">
        <f>IF(AND($E13&lt;&gt;"pre",$B13&lt;TODAY(),$DT13=0),1,0)</f>
        <v/>
      </c>
      <c r="DS13">
        <f>IF($DJ13="",NA(),$DJ13)</f>
        <v/>
      </c>
      <c r="DT13">
        <f>IF(AND($E13&lt;&gt;"pre",$CL13=0,COUNTIFS(Settings!$F$19:$F$32,"Yes",Settings!$A$19:$A$32,"&lt;&gt;",Settings!$E$19:$E$32,"&lt;&gt;No")&gt;0),1,0)</f>
        <v/>
      </c>
      <c r="DU13">
        <f>IF(AND($B13&lt;TODAY(),$S13&gt;0),1,0)</f>
        <v/>
      </c>
      <c r="DV13">
        <f>IF($DU13=1,COUNTIF($DU13:$DU$183,1),0)</f>
        <v/>
      </c>
      <c r="DW13">
        <f>IF(AND(OR(Settings!$B$19="Card",Settings!$B$19="Loan"),AND('Month-End'!$J$7&lt;&gt;"",NOT(_xlfn.ISFORMULA('Month-End'!$J$7)))),IF(N('Month-End'!$J$7)&lt;0,1,0),0)+IF(AND(OR(Settings!$B$20="Card",Settings!$B$20="Loan"),AND('Month-End'!$J$8&lt;&gt;"",NOT(_xlfn.ISFORMULA('Month-End'!$J$8)))),IF(N('Month-End'!$J$8)&lt;0,1,0),0)+IF(AND(OR(Settings!$B$21="Card",Settings!$B$21="Loan"),AND('Month-End'!$J$9&lt;&gt;"",NOT(_xlfn.ISFORMULA('Month-End'!$J$9)))),IF(N('Month-End'!$J$9)&lt;0,1,0),0)+IF(AND(OR(Settings!$B$22="Card",Settings!$B$22="Loan"),AND('Month-End'!$J$10&lt;&gt;"",NOT(_xlfn.ISFORMULA('Month-End'!$J$10)))),IF(N('Month-End'!$J$10)&lt;0,1,0),0)+IF(AND(OR(Settings!$B$23="Card",Settings!$B$23="Loan"),AND('Month-End'!$J$11&lt;&gt;"",NOT(_xlfn.ISFORMULA('Month-End'!$J$11)))),IF(N('Month-End'!$J$11)&lt;0,1,0),0)+IF(AND(OR(Settings!$B$24="Card",Settings!$B$24="Loan"),AND('Month-End'!$J$12&lt;&gt;"",NOT(_xlfn.ISFORMULA('Month-End'!$J$12)))),IF(N('Month-End'!$J$12)&lt;0,1,0),0)+IF(AND(OR(Settings!$B$25="Card",Settings!$B$25="Loan"),AND('Month-End'!$J$13&lt;&gt;"",NOT(_xlfn.ISFORMULA('Month-End'!$J$13)))),IF(N('Month-End'!$J$13)&lt;0,1,0),0)+IF(AND(OR(Settings!$B$26="Card",Settings!$B$26="Loan"),AND('Month-End'!$J$14&lt;&gt;"",NOT(_xlfn.ISFORMULA('Month-End'!$J$14)))),IF(N('Month-End'!$J$14)&lt;0,1,0),0)+IF(AND(OR(Settings!$B$27="Card",Settings!$B$27="Loan"),AND('Month-End'!$J$15&lt;&gt;"",NOT(_xlfn.ISFORMULA('Month-End'!$J$15)))),IF(N('Month-End'!$J$15)&lt;0,1,0),0)+IF(AND(OR(Settings!$B$28="Card",Settings!$B$28="Loan"),AND('Month-End'!$J$16&lt;&gt;"",NOT(_xlfn.ISFORMULA('Month-End'!$J$16)))),IF(N('Month-End'!$J$16)&lt;0,1,0),0)+IF(AND(OR(Settings!$B$29="Card",Settings!$B$29="Loan"),AND('Month-End'!$J$17&lt;&gt;"",NOT(_xlfn.ISFORMULA('Month-End'!$J$17)))),IF(N('Month-End'!$J$17)&lt;0,1,0),0)+IF(AND(OR(Settings!$B$30="Card",Settings!$B$30="Loan"),AND('Month-End'!$J$18&lt;&gt;"",NOT(_xlfn.ISFORMULA('Month-End'!$J$18)))),IF(N('Month-End'!$J$18)&lt;0,1,0),0)+IF(AND(OR(Settings!$B$31="Card",Settings!$B$31="Loan"),AND('Month-End'!$J$19&lt;&gt;"",NOT(_xlfn.ISFORMULA('Month-End'!$J$19)))),IF(N('Month-End'!$J$19)&lt;0,1,0),0)+IF(AND(OR(Settings!$B$32="Card",Settings!$B$32="Loan"),AND('Month-End'!$J$20&lt;&gt;"",NOT(_xlfn.ISFORMULA('Month-End'!$J$20)))),IF(N('Month-End'!$J$20)&lt;0,1,0),0)</f>
        <v/>
      </c>
      <c r="DX13">
        <f>IF(Settings!$B$36="Retirement",$AY13,0)+IF(Settings!$B$37="Retirement",$AZ13,0)+IF(Settings!$B$38="Retirement",$BA13,0)+IF(Settings!$B$39="Retirement",$BB13,0)+IF(Settings!$B$40="Retirement",$BC13,0)+IF(Settings!$B$41="Retirement",$BD13,0)</f>
        <v/>
      </c>
      <c r="EA13" t="inlineStr">
        <is>
          <t>Average Monthly Household-Paid</t>
        </is>
      </c>
      <c r="EB13">
        <f>IF(IF(COUNTIF($DM$6:$DM$183,"&gt;0")=0,"",SUMIFS($DD$6:$DD$183,$DM$6:$DM$183,"&gt;0",$DM$6:$DM$183,"&lt;="&amp;Settings!$B$10)/MIN(Settings!$B$10,COUNTIF($DM$6:$DM$183,"&gt;0")))="",Settings!$B$11,IF(COUNTIF($DM$6:$DM$183,"&gt;0")=0,"",SUMIFS($DD$6:$DD$183,$DM$6:$DM$183,"&gt;0",$DM$6:$DM$183,"&lt;="&amp;Settings!$B$10)/MIN(Settings!$B$10,COUNTIF($DM$6:$DM$183,"&gt;0"))))</f>
        <v/>
      </c>
      <c r="ET13">
        <f>IF($E13&lt;&gt;"open",0,IF(AND('Month-End'!$J$22&lt;&gt;"",NOT(_xlfn.ISFORMULA('Month-End'!$J$22))),0,IF(OR(Settings!$C$45="",Settings!$D$45=""),0,Settings!$C$45*IF(Settings!$D$45="Weekly",IF(IFERROR(MATCH(Settings!$E$45,$EO$4:$EO$10,0),0)=0,0,IF(MIN(Settings!$B$5,IF(Settings!$G$45="",Settings!$B$5,Settings!$G$45))&lt;MAX($A13,Settings!$F$45),0,INT((MIN(Settings!$B$5,IF(Settings!$G$45="",Settings!$B$5,Settings!$G$45))-MAX($A13,Settings!$F$45)-MOD(IFERROR(MATCH(Settings!$E$45,$EO$4:$EO$10,0),0)-WEEKDAY(MAX($A13,Settings!$F$45)),7))/7)+1)),IF(AND(IF(Settings!$E$45="",$B13,DATE(YEAR($A13),MONTH($A13),MIN(Settings!$E$45,DAY($B13))))&gt;=MAX($A13,Settings!$F$45),IF(Settings!$E$45="",$B13,DATE(YEAR($A13),MONTH($A13),MIN(Settings!$E$45,DAY($B13))))&lt;=MIN(Settings!$B$5,IF(Settings!$G$45="",Settings!$B$5,Settings!$G$45))),1,0)))))</f>
        <v/>
      </c>
      <c r="EU13">
        <f>IF($E13&lt;&gt;"open",0,IF(AND('Month-End'!$J$23&lt;&gt;"",NOT(_xlfn.ISFORMULA('Month-End'!$J$23))),0,IF(OR(Settings!$C$46="",Settings!$D$46=""),0,Settings!$C$46*IF(Settings!$D$46="Weekly",IF(IFERROR(MATCH(Settings!$E$46,$EO$4:$EO$10,0),0)=0,0,IF(MIN(Settings!$B$5,IF(Settings!$G$46="",Settings!$B$5,Settings!$G$46))&lt;MAX($A13,Settings!$F$46),0,INT((MIN(Settings!$B$5,IF(Settings!$G$46="",Settings!$B$5,Settings!$G$46))-MAX($A13,Settings!$F$46)-MOD(IFERROR(MATCH(Settings!$E$46,$EO$4:$EO$10,0),0)-WEEKDAY(MAX($A13,Settings!$F$46)),7))/7)+1)),IF(AND(IF(Settings!$E$46="",$B13,DATE(YEAR($A13),MONTH($A13),MIN(Settings!$E$46,DAY($B13))))&gt;=MAX($A13,Settings!$F$46),IF(Settings!$E$46="",$B13,DATE(YEAR($A13),MONTH($A13),MIN(Settings!$E$46,DAY($B13))))&lt;=MIN(Settings!$B$5,IF(Settings!$G$46="",Settings!$B$5,Settings!$G$46))),1,0)))))</f>
        <v/>
      </c>
      <c r="EV13">
        <f>IF($E13&lt;&gt;"open",0,IF(AND('Month-End'!$J$24&lt;&gt;"",NOT(_xlfn.ISFORMULA('Month-End'!$J$24))),0,IF(OR(Settings!$C$47="",Settings!$D$47=""),0,Settings!$C$47*IF(Settings!$D$47="Weekly",IF(IFERROR(MATCH(Settings!$E$47,$EO$4:$EO$10,0),0)=0,0,IF(MIN(Settings!$B$5,IF(Settings!$G$47="",Settings!$B$5,Settings!$G$47))&lt;MAX($A13,Settings!$F$47),0,INT((MIN(Settings!$B$5,IF(Settings!$G$47="",Settings!$B$5,Settings!$G$47))-MAX($A13,Settings!$F$47)-MOD(IFERROR(MATCH(Settings!$E$47,$EO$4:$EO$10,0),0)-WEEKDAY(MAX($A13,Settings!$F$47)),7))/7)+1)),IF(AND(IF(Settings!$E$47="",$B13,DATE(YEAR($A13),MONTH($A13),MIN(Settings!$E$47,DAY($B13))))&gt;=MAX($A13,Settings!$F$47),IF(Settings!$E$47="",$B13,DATE(YEAR($A13),MONTH($A13),MIN(Settings!$E$47,DAY($B13))))&lt;=MIN(Settings!$B$5,IF(Settings!$G$47="",Settings!$B$5,Settings!$G$47))),1,0)))))</f>
        <v/>
      </c>
      <c r="EW13">
        <f>IF($E13&lt;&gt;"open",0,IF(AND('Month-End'!$J$25&lt;&gt;"",NOT(_xlfn.ISFORMULA('Month-End'!$J$25))),0,IF(OR(Settings!$C$48="",Settings!$D$48=""),0,Settings!$C$48*IF(Settings!$D$48="Weekly",IF(IFERROR(MATCH(Settings!$E$48,$EO$4:$EO$10,0),0)=0,0,IF(MIN(Settings!$B$5,IF(Settings!$G$48="",Settings!$B$5,Settings!$G$48))&lt;MAX($A13,Settings!$F$48),0,INT((MIN(Settings!$B$5,IF(Settings!$G$48="",Settings!$B$5,Settings!$G$48))-MAX($A13,Settings!$F$48)-MOD(IFERROR(MATCH(Settings!$E$48,$EO$4:$EO$10,0),0)-WEEKDAY(MAX($A13,Settings!$F$48)),7))/7)+1)),IF(AND(IF(Settings!$E$48="",$B13,DATE(YEAR($A13),MONTH($A13),MIN(Settings!$E$48,DAY($B13))))&gt;=MAX($A13,Settings!$F$48),IF(Settings!$E$48="",$B13,DATE(YEAR($A13),MONTH($A13),MIN(Settings!$E$48,DAY($B13))))&lt;=MIN(Settings!$B$5,IF(Settings!$G$48="",Settings!$B$5,Settings!$G$48))),1,0)))))</f>
        <v/>
      </c>
      <c r="EX13">
        <f>IF($E13&lt;&gt;"open",0,IF(AND('Month-End'!$J$26&lt;&gt;"",NOT(_xlfn.ISFORMULA('Month-End'!$J$26))),0,IF(OR(Settings!$C$49="",Settings!$D$49=""),0,Settings!$C$49*IF(Settings!$D$49="Weekly",IF(IFERROR(MATCH(Settings!$E$49,$EO$4:$EO$10,0),0)=0,0,IF(MIN(Settings!$B$5,IF(Settings!$G$49="",Settings!$B$5,Settings!$G$49))&lt;MAX($A13,Settings!$F$49),0,INT((MIN(Settings!$B$5,IF(Settings!$G$49="",Settings!$B$5,Settings!$G$49))-MAX($A13,Settings!$F$49)-MOD(IFERROR(MATCH(Settings!$E$49,$EO$4:$EO$10,0),0)-WEEKDAY(MAX($A13,Settings!$F$49)),7))/7)+1)),IF(AND(IF(Settings!$E$49="",$B13,DATE(YEAR($A13),MONTH($A13),MIN(Settings!$E$49,DAY($B13))))&gt;=MAX($A13,Settings!$F$49),IF(Settings!$E$49="",$B13,DATE(YEAR($A13),MONTH($A13),MIN(Settings!$E$49,DAY($B13))))&lt;=MIN(Settings!$B$5,IF(Settings!$G$49="",Settings!$B$5,Settings!$G$49))),1,0)))))</f>
        <v/>
      </c>
      <c r="EY13">
        <f>IF($E13&lt;&gt;"open",0,IF(AND('Month-End'!$J$27&lt;&gt;"",NOT(_xlfn.ISFORMULA('Month-End'!$J$27))),0,IF(OR(Settings!$C$50="",Settings!$D$50=""),0,Settings!$C$50*IF(Settings!$D$50="Weekly",IF(IFERROR(MATCH(Settings!$E$50,$EO$4:$EO$10,0),0)=0,0,IF(MIN(Settings!$B$5,IF(Settings!$G$50="",Settings!$B$5,Settings!$G$50))&lt;MAX($A13,Settings!$F$50),0,INT((MIN(Settings!$B$5,IF(Settings!$G$50="",Settings!$B$5,Settings!$G$50))-MAX($A13,Settings!$F$50)-MOD(IFERROR(MATCH(Settings!$E$50,$EO$4:$EO$10,0),0)-WEEKDAY(MAX($A13,Settings!$F$50)),7))/7)+1)),IF(AND(IF(Settings!$E$50="",$B13,DATE(YEAR($A13),MONTH($A13),MIN(Settings!$E$50,DAY($B13))))&gt;=MAX($A13,Settings!$F$50),IF(Settings!$E$50="",$B13,DATE(YEAR($A13),MONTH($A13),MIN(Settings!$E$50,DAY($B13))))&lt;=MIN(Settings!$B$5,IF(Settings!$G$50="",Settings!$B$5,Settings!$G$50))),1,0)))))</f>
        <v/>
      </c>
      <c r="EZ13">
        <f>IF($E13&lt;&gt;"open",0,IF(AND('Month-End'!$J$28&lt;&gt;"",NOT(_xlfn.ISFORMULA('Month-End'!$J$28))),0,IF(OR(Settings!$C$51="",Settings!$D$51=""),0,Settings!$C$51*IF(Settings!$D$51="Weekly",IF(IFERROR(MATCH(Settings!$E$51,$EO$4:$EO$10,0),0)=0,0,IF(MIN(Settings!$B$5,IF(Settings!$G$51="",Settings!$B$5,Settings!$G$51))&lt;MAX($A13,Settings!$F$51),0,INT((MIN(Settings!$B$5,IF(Settings!$G$51="",Settings!$B$5,Settings!$G$51))-MAX($A13,Settings!$F$51)-MOD(IFERROR(MATCH(Settings!$E$51,$EO$4:$EO$10,0),0)-WEEKDAY(MAX($A13,Settings!$F$51)),7))/7)+1)),IF(AND(IF(Settings!$E$51="",$B13,DATE(YEAR($A13),MONTH($A13),MIN(Settings!$E$51,DAY($B13))))&gt;=MAX($A13,Settings!$F$51),IF(Settings!$E$51="",$B13,DATE(YEAR($A13),MONTH($A13),MIN(Settings!$E$51,DAY($B13))))&lt;=MIN(Settings!$B$5,IF(Settings!$G$51="",Settings!$B$5,Settings!$G$51))),1,0)))))</f>
        <v/>
      </c>
      <c r="FA13">
        <f>IF($E13&lt;&gt;"open",0,IF(AND('Month-End'!$J$29&lt;&gt;"",NOT(_xlfn.ISFORMULA('Month-End'!$J$29))),0,IF(OR(Settings!$C$52="",Settings!$D$52=""),0,Settings!$C$52*IF(Settings!$D$52="Weekly",IF(IFERROR(MATCH(Settings!$E$52,$EO$4:$EO$10,0),0)=0,0,IF(MIN(Settings!$B$5,IF(Settings!$G$52="",Settings!$B$5,Settings!$G$52))&lt;MAX($A13,Settings!$F$52),0,INT((MIN(Settings!$B$5,IF(Settings!$G$52="",Settings!$B$5,Settings!$G$52))-MAX($A13,Settings!$F$52)-MOD(IFERROR(MATCH(Settings!$E$52,$EO$4:$EO$10,0),0)-WEEKDAY(MAX($A13,Settings!$F$52)),7))/7)+1)),IF(AND(IF(Settings!$E$52="",$B13,DATE(YEAR($A13),MONTH($A13),MIN(Settings!$E$52,DAY($B13))))&gt;=MAX($A13,Settings!$F$52),IF(Settings!$E$52="",$B13,DATE(YEAR($A13),MONTH($A13),MIN(Settings!$E$52,DAY($B13))))&lt;=MIN(Settings!$B$5,IF(Settings!$G$52="",Settings!$B$5,Settings!$G$52))),1,0)))))</f>
        <v/>
      </c>
      <c r="FB13">
        <f>IF($E13&lt;&gt;"open",0,IF(AND('Month-End'!$J$30&lt;&gt;"",NOT(_xlfn.ISFORMULA('Month-End'!$J$30))),0,IF(OR(Settings!$C$53="",Settings!$D$53=""),0,Settings!$C$53*IF(Settings!$D$53="Weekly",IF(IFERROR(MATCH(Settings!$E$53,$EO$4:$EO$10,0),0)=0,0,IF(MIN(Settings!$B$5,IF(Settings!$G$53="",Settings!$B$5,Settings!$G$53))&lt;MAX($A13,Settings!$F$53),0,INT((MIN(Settings!$B$5,IF(Settings!$G$53="",Settings!$B$5,Settings!$G$53))-MAX($A13,Settings!$F$53)-MOD(IFERROR(MATCH(Settings!$E$53,$EO$4:$EO$10,0),0)-WEEKDAY(MAX($A13,Settings!$F$53)),7))/7)+1)),IF(AND(IF(Settings!$E$53="",$B13,DATE(YEAR($A13),MONTH($A13),MIN(Settings!$E$53,DAY($B13))))&gt;=MAX($A13,Settings!$F$53),IF(Settings!$E$53="",$B13,DATE(YEAR($A13),MONTH($A13),MIN(Settings!$E$53,DAY($B13))))&lt;=MIN(Settings!$B$5,IF(Settings!$G$53="",Settings!$B$5,Settings!$G$53))),1,0)))))</f>
        <v/>
      </c>
      <c r="FC13">
        <f>IF($E13&lt;&gt;"open",0,IF(AND('Month-End'!$J$31&lt;&gt;"",NOT(_xlfn.ISFORMULA('Month-End'!$J$31))),0,IF(OR(Settings!$C$54="",Settings!$D$54=""),0,Settings!$C$54*IF(Settings!$D$54="Weekly",IF(IFERROR(MATCH(Settings!$E$54,$EO$4:$EO$10,0),0)=0,0,IF(MIN(Settings!$B$5,IF(Settings!$G$54="",Settings!$B$5,Settings!$G$54))&lt;MAX($A13,Settings!$F$54),0,INT((MIN(Settings!$B$5,IF(Settings!$G$54="",Settings!$B$5,Settings!$G$54))-MAX($A13,Settings!$F$54)-MOD(IFERROR(MATCH(Settings!$E$54,$EO$4:$EO$10,0),0)-WEEKDAY(MAX($A13,Settings!$F$54)),7))/7)+1)),IF(AND(IF(Settings!$E$54="",$B13,DATE(YEAR($A13),MONTH($A13),MIN(Settings!$E$54,DAY($B13))))&gt;=MAX($A13,Settings!$F$54),IF(Settings!$E$54="",$B13,DATE(YEAR($A13),MONTH($A13),MIN(Settings!$E$54,DAY($B13))))&lt;=MIN(Settings!$B$5,IF(Settings!$G$54="",Settings!$B$5,Settings!$G$54))),1,0)))))</f>
        <v/>
      </c>
      <c r="FD13">
        <f>IF($E13&lt;&gt;"open",0,IF(AND('Month-End'!$J$32&lt;&gt;"",NOT(_xlfn.ISFORMULA('Month-End'!$J$32))),0,IF(OR(Settings!$C$55="",Settings!$D$55=""),0,Settings!$C$55*IF(Settings!$D$55="Weekly",IF(IFERROR(MATCH(Settings!$E$55,$EO$4:$EO$10,0),0)=0,0,IF(MIN(Settings!$B$5,IF(Settings!$G$55="",Settings!$B$5,Settings!$G$55))&lt;MAX($A13,Settings!$F$55),0,INT((MIN(Settings!$B$5,IF(Settings!$G$55="",Settings!$B$5,Settings!$G$55))-MAX($A13,Settings!$F$55)-MOD(IFERROR(MATCH(Settings!$E$55,$EO$4:$EO$10,0),0)-WEEKDAY(MAX($A13,Settings!$F$55)),7))/7)+1)),IF(AND(IF(Settings!$E$55="",$B13,DATE(YEAR($A13),MONTH($A13),MIN(Settings!$E$55,DAY($B13))))&gt;=MAX($A13,Settings!$F$55),IF(Settings!$E$55="",$B13,DATE(YEAR($A13),MONTH($A13),MIN(Settings!$E$55,DAY($B13))))&lt;=MIN(Settings!$B$5,IF(Settings!$G$55="",Settings!$B$5,Settings!$G$55))),1,0)))))</f>
        <v/>
      </c>
      <c r="FE13">
        <f>IF($E13&lt;&gt;"open",0,IF(AND('Month-End'!$J$33&lt;&gt;"",NOT(_xlfn.ISFORMULA('Month-End'!$J$33))),0,IF(OR(Settings!$C$56="",Settings!$D$56=""),0,Settings!$C$56*IF(Settings!$D$56="Weekly",IF(IFERROR(MATCH(Settings!$E$56,$EO$4:$EO$10,0),0)=0,0,IF(MIN(Settings!$B$5,IF(Settings!$G$56="",Settings!$B$5,Settings!$G$56))&lt;MAX($A13,Settings!$F$56),0,INT((MIN(Settings!$B$5,IF(Settings!$G$56="",Settings!$B$5,Settings!$G$56))-MAX($A13,Settings!$F$56)-MOD(IFERROR(MATCH(Settings!$E$56,$EO$4:$EO$10,0),0)-WEEKDAY(MAX($A13,Settings!$F$56)),7))/7)+1)),IF(AND(IF(Settings!$E$56="",$B13,DATE(YEAR($A13),MONTH($A13),MIN(Settings!$E$56,DAY($B13))))&gt;=MAX($A13,Settings!$F$56),IF(Settings!$E$56="",$B13,DATE(YEAR($A13),MONTH($A13),MIN(Settings!$E$56,DAY($B13))))&lt;=MIN(Settings!$B$5,IF(Settings!$G$56="",Settings!$B$5,Settings!$G$56))),1,0)))))</f>
        <v/>
      </c>
      <c r="FF13">
        <f>IF(Settings!$I$45="Yes",$G13,0)+IF(Settings!$I$46="Yes",$H13,0)+IF(Settings!$I$47="Yes",$I13,0)+IF(Settings!$I$48="Yes",$J13,0)+IF(Settings!$I$49="Yes",$K13,0)+IF(Settings!$I$50="Yes",$L13,0)+IF(Settings!$I$51="Yes",$M13,0)+IF(Settings!$I$52="Yes",$N13,0)+IF(Settings!$I$53="Yes",$O13,0)+IF(Settings!$I$54="Yes",$P13,0)+IF(Settings!$I$55="Yes",$Q13,0)+IF(Settings!$I$56="Yes",$R13,0)</f>
        <v/>
      </c>
      <c r="FG13">
        <f>IF(AND(Settings!$I$45="Yes",Settings!$J$45="No"),$G13,0)+IF(AND(Settings!$I$46="Yes",Settings!$J$46="No"),$H13,0)+IF(AND(Settings!$I$47="Yes",Settings!$J$47="No"),$I13,0)+IF(AND(Settings!$I$48="Yes",Settings!$J$48="No"),$J13,0)+IF(AND(Settings!$I$49="Yes",Settings!$J$49="No"),$K13,0)+IF(AND(Settings!$I$50="Yes",Settings!$J$50="No"),$L13,0)+IF(AND(Settings!$I$51="Yes",Settings!$J$51="No"),$M13,0)+IF(AND(Settings!$I$52="Yes",Settings!$J$52="No"),$N13,0)+IF(AND(Settings!$I$53="Yes",Settings!$J$53="No"),$O13,0)+IF(AND(Settings!$I$54="Yes",Settings!$J$54="No"),$P13,0)+IF(AND(Settings!$I$55="Yes",Settings!$J$55="No"),$Q13,0)+IF(AND(Settings!$I$56="Yes",Settings!$J$56="No"),$R13,0)</f>
        <v/>
      </c>
      <c r="FH13">
        <f>SUMIFS(Giving!$B$7:$B$2006,Giving!$A$7:$A$2006,"&gt;="&amp;$A13,Giving!$A$7:$A$2006,"&lt;="&amp;$B13,Giving!$G$7:$G$2006,"Yes")+IF(OR(OR(Settings!$B$60="",Settings!$F$60="No"),Settings!$H$60&lt;&gt;"Yes"),0,Settings!$B$60*IF(AND(IF(Settings!$C$60="",$B13,DATE(YEAR($A13),MONTH($A13),MIN(Settings!$C$60,DAY($B13))))&gt;=MAX($A13,Settings!$D$60),IF(Settings!$C$60="",$B13,DATE(YEAR($A13),MONTH($A13),MIN(Settings!$C$60,DAY($B13))))&lt;=MIN($C13,IF(Settings!$E$60="",$C13,Settings!$E$60))),1,0))+IF(OR(OR(Settings!$B$61="",Settings!$F$61="No"),Settings!$H$61&lt;&gt;"Yes"),0,Settings!$B$61*IF(AND(IF(Settings!$C$61="",$B13,DATE(YEAR($A13),MONTH($A13),MIN(Settings!$C$61,DAY($B13))))&gt;=MAX($A13,Settings!$D$61),IF(Settings!$C$61="",$B13,DATE(YEAR($A13),MONTH($A13),MIN(Settings!$C$61,DAY($B13))))&lt;=MIN($C13,IF(Settings!$E$61="",$C13,Settings!$E$61))),1,0))+IF(OR(OR(Settings!$B$62="",Settings!$F$62="No"),Settings!$H$62&lt;&gt;"Yes"),0,Settings!$B$62*IF(AND(IF(Settings!$C$62="",$B13,DATE(YEAR($A13),MONTH($A13),MIN(Settings!$C$62,DAY($B13))))&gt;=MAX($A13,Settings!$D$62),IF(Settings!$C$62="",$B13,DATE(YEAR($A13),MONTH($A13),MIN(Settings!$C$62,DAY($B13))))&lt;=MIN($C13,IF(Settings!$E$62="",$C13,Settings!$E$62))),1,0))+IF(OR(OR(Settings!$B$63="",Settings!$F$63="No"),Settings!$H$63&lt;&gt;"Yes"),0,Settings!$B$63*IF(AND(IF(Settings!$C$63="",$B13,DATE(YEAR($A13),MONTH($A13),MIN(Settings!$C$63,DAY($B13))))&gt;=MAX($A13,Settings!$D$63),IF(Settings!$C$63="",$B13,DATE(YEAR($A13),MONTH($A13),MIN(Settings!$C$63,DAY($B13))))&lt;=MIN($C13,IF(Settings!$E$63="",$C13,Settings!$E$63))),1,0))+IF(OR(OR(Settings!$B$64="",Settings!$F$64="No"),Settings!$H$64&lt;&gt;"Yes"),0,Settings!$B$64*IF(AND(IF(Settings!$C$64="",$B13,DATE(YEAR($A13),MONTH($A13),MIN(Settings!$C$64,DAY($B13))))&gt;=MAX($A13,Settings!$D$64),IF(Settings!$C$64="",$B13,DATE(YEAR($A13),MONTH($A13),MIN(Settings!$C$64,DAY($B13))))&lt;=MIN($C13,IF(Settings!$E$64="",$C13,Settings!$E$64))),1,0))+IF(OR(OR(Settings!$B$65="",Settings!$F$65="No"),Settings!$H$65&lt;&gt;"Yes"),0,Settings!$B$65*IF(AND(IF(Settings!$C$65="",$B13,DATE(YEAR($A13),MONTH($A13),MIN(Settings!$C$65,DAY($B13))))&gt;=MAX($A13,Settings!$D$65),IF(Settings!$C$65="",$B13,DATE(YEAR($A13),MONTH($A13),MIN(Settings!$C$65,DAY($B13))))&lt;=MIN($C13,IF(Settings!$E$65="",$C13,Settings!$E$65))),1,0))</f>
        <v/>
      </c>
      <c r="FI13">
        <f>IF($DT13=1,IF(OR(Settings!$B$19="Card",Settings!$B$19="Loan"),N($AE13),0)+IF(OR(Settings!$B$20="Card",Settings!$B$20="Loan"),N($AF13),0)+IF(OR(Settings!$B$21="Card",Settings!$B$21="Loan"),N($AG13),0)+IF(OR(Settings!$B$22="Card",Settings!$B$22="Loan"),N($AH13),0)+IF(OR(Settings!$B$23="Card",Settings!$B$23="Loan"),N($AI13),0)+IF(OR(Settings!$B$24="Card",Settings!$B$24="Loan"),N($AJ13),0)+IF(OR(Settings!$B$25="Card",Settings!$B$25="Loan"),N($AK13),0)+IF(OR(Settings!$B$26="Card",Settings!$B$26="Loan"),N($AL13),0)+IF(OR(Settings!$B$27="Card",Settings!$B$27="Loan"),N($AM13),0)+IF(OR(Settings!$B$28="Card",Settings!$B$28="Loan"),N($AN13),0)+IF(OR(Settings!$B$29="Card",Settings!$B$29="Loan"),N($AO13),0)+IF(OR(Settings!$B$30="Card",Settings!$B$30="Loan"),N($AP13),0)+IF(OR(Settings!$B$31="Card",Settings!$B$31="Loan"),N($AQ13),0)+IF(OR(Settings!$B$32="Card",Settings!$B$32="Loan"),N($AR13),0),"")</f>
        <v/>
      </c>
      <c r="FJ13">
        <f>IF($E13="open",$EB$65,IF($E13="post",IF($E12="pre",$EB$65,$FI12),""))</f>
        <v/>
      </c>
      <c r="FK13">
        <f>IF(AND($DT13=1,$DC13=1),IF(ROUND($FI13-$FJ13,2)&gt;0,1,0),0)</f>
        <v/>
      </c>
      <c r="FL13">
        <f>IF($FK13=1,$FL12+1,0)</f>
        <v/>
      </c>
    </row>
    <row r="14">
      <c r="A14">
        <f>'Month-End'!$K$4</f>
        <v/>
      </c>
      <c r="B14">
        <f>EOMONTH($A14,0)</f>
        <v/>
      </c>
      <c r="C14">
        <f>MIN($B14,TODAY())</f>
        <v/>
      </c>
      <c r="D14">
        <f>IF($A14&gt;TODAY(),1,0)</f>
        <v/>
      </c>
      <c r="E14">
        <f>IF($B14&lt;=Settings!$B$5,"pre",IF($A14&lt;=Settings!$B$5,"open","post"))</f>
        <v/>
      </c>
      <c r="G14">
        <f>IF('Month-End'!$K$22="",$BE14,N('Month-End'!$K$22))</f>
        <v/>
      </c>
      <c r="H14">
        <f>IF('Month-End'!$K$23="",$BF14,N('Month-End'!$K$23))</f>
        <v/>
      </c>
      <c r="I14">
        <f>IF('Month-End'!$K$24="",$BG14,N('Month-End'!$K$24))</f>
        <v/>
      </c>
      <c r="J14">
        <f>IF('Month-End'!$K$25="",$BH14,N('Month-End'!$K$25))</f>
        <v/>
      </c>
      <c r="K14">
        <f>IF('Month-End'!$K$26="",$BI14,N('Month-End'!$K$26))</f>
        <v/>
      </c>
      <c r="L14">
        <f>IF('Month-End'!$K$27="",$BJ14,N('Month-End'!$K$27))</f>
        <v/>
      </c>
      <c r="M14">
        <f>IF('Month-End'!$K$28="",$BK14,N('Month-End'!$K$28))</f>
        <v/>
      </c>
      <c r="N14">
        <f>IF('Month-End'!$K$29="",$BL14,N('Month-End'!$K$29))</f>
        <v/>
      </c>
      <c r="O14">
        <f>IF('Month-End'!$K$30="",$BM14,N('Month-End'!$K$30))</f>
        <v/>
      </c>
      <c r="P14">
        <f>IF('Month-End'!$K$31="",$BN14,N('Month-End'!$K$31))</f>
        <v/>
      </c>
      <c r="Q14">
        <f>IF('Month-End'!$K$32="",$BO14,N('Month-End'!$K$32))</f>
        <v/>
      </c>
      <c r="R14">
        <f>IF('Month-End'!$K$33="",$BP14,N('Month-End'!$K$33))</f>
        <v/>
      </c>
      <c r="S14">
        <f>$G14+$H14+$I14+$J14+$K14+$L14+$M14+$N14+$O14+$P14+$Q14+$R14</f>
        <v/>
      </c>
      <c r="T14">
        <f>IF($B14&lt;Settings!$B$6,0,IF(Settings!$B$45="Yes",$G14,0)+IF(Settings!$B$46="Yes",$H14,0)+IF(Settings!$B$47="Yes",$I14,0)+IF(Settings!$B$48="Yes",$J14,0)+IF(Settings!$B$49="Yes",$K14,0)+IF(Settings!$B$50="Yes",$L14,0)+IF(Settings!$B$51="Yes",$M14,0)+IF(Settings!$B$52="Yes",$N14,0)+IF(Settings!$B$53="Yes",$O14,0)+IF(Settings!$B$54="Yes",$P14,0)+IF(Settings!$B$55="Yes",$Q14,0)+IF(Settings!$B$56="Yes",$R14,0))</f>
        <v/>
      </c>
      <c r="U14">
        <f>IF(Settings!$B$45="Not Sure",$G14,0)+IF(Settings!$B$46="Not Sure",$H14,0)+IF(Settings!$B$47="Not Sure",$I14,0)+IF(Settings!$B$48="Not Sure",$J14,0)+IF(Settings!$B$49="Not Sure",$K14,0)+IF(Settings!$B$50="Not Sure",$L14,0)+IF(Settings!$B$51="Not Sure",$M14,0)+IF(Settings!$B$52="Not Sure",$N14,0)+IF(Settings!$B$53="Not Sure",$O14,0)+IF(Settings!$B$54="Not Sure",$P14,0)+IF(Settings!$B$55="Not Sure",$Q14,0)+IF(Settings!$B$56="Not Sure",$R14,0)</f>
        <v/>
      </c>
      <c r="V14">
        <f>IF($E14="open",SUM($ET14:$FE14)+N(Settings!$B$13),0)</f>
        <v/>
      </c>
      <c r="W14">
        <f>IF($E14="post",$S14,IF($E14="open",$S14-$V14,0))</f>
        <v/>
      </c>
      <c r="X14">
        <f>SUMIFS(Giving!$B$7:$B$2006,Giving!$A$7:$A$2006,"&gt;="&amp;$A14,Giving!$A$7:$A$2006,"&lt;="&amp;$B14,Giving!$E$7:$E$2006,"&lt;&gt;No")</f>
        <v/>
      </c>
      <c r="Y14">
        <f>SUMIFS(Giving!$B$7:$B$2006,Giving!$A$7:$A$2006,"&gt;="&amp;$A14,Giving!$A$7:$A$2006,"&lt;="&amp;$B14,Giving!$E$7:$E$2006,"No")</f>
        <v/>
      </c>
      <c r="Z14">
        <f>IF(OR(Settings!$B$60="",Settings!$F$60="No"),0,Settings!$B$60*IF(AND(IF(Settings!$C$60="",$B14,DATE(YEAR($A14),MONTH($A14),MIN(Settings!$C$60,DAY($B14))))&gt;=MAX($A14,Settings!$D$60),IF(Settings!$C$60="",$B14,DATE(YEAR($A14),MONTH($A14),MIN(Settings!$C$60,DAY($B14))))&lt;=MIN($C14,IF(Settings!$E$60="",$C14,Settings!$E$60))),1,0))+IF(OR(Settings!$B$61="",Settings!$F$61="No"),0,Settings!$B$61*IF(AND(IF(Settings!$C$61="",$B14,DATE(YEAR($A14),MONTH($A14),MIN(Settings!$C$61,DAY($B14))))&gt;=MAX($A14,Settings!$D$61),IF(Settings!$C$61="",$B14,DATE(YEAR($A14),MONTH($A14),MIN(Settings!$C$61,DAY($B14))))&lt;=MIN($C14,IF(Settings!$E$61="",$C14,Settings!$E$61))),1,0))+IF(OR(Settings!$B$62="",Settings!$F$62="No"),0,Settings!$B$62*IF(AND(IF(Settings!$C$62="",$B14,DATE(YEAR($A14),MONTH($A14),MIN(Settings!$C$62,DAY($B14))))&gt;=MAX($A14,Settings!$D$62),IF(Settings!$C$62="",$B14,DATE(YEAR($A14),MONTH($A14),MIN(Settings!$C$62,DAY($B14))))&lt;=MIN($C14,IF(Settings!$E$62="",$C14,Settings!$E$62))),1,0))+IF(OR(Settings!$B$63="",Settings!$F$63="No"),0,Settings!$B$63*IF(AND(IF(Settings!$C$63="",$B14,DATE(YEAR($A14),MONTH($A14),MIN(Settings!$C$63,DAY($B14))))&gt;=MAX($A14,Settings!$D$63),IF(Settings!$C$63="",$B14,DATE(YEAR($A14),MONTH($A14),MIN(Settings!$C$63,DAY($B14))))&lt;=MIN($C14,IF(Settings!$E$63="",$C14,Settings!$E$63))),1,0))+IF(OR(Settings!$B$64="",Settings!$F$64="No"),0,Settings!$B$64*IF(AND(IF(Settings!$C$64="",$B14,DATE(YEAR($A14),MONTH($A14),MIN(Settings!$C$64,DAY($B14))))&gt;=MAX($A14,Settings!$D$64),IF(Settings!$C$64="",$B14,DATE(YEAR($A14),MONTH($A14),MIN(Settings!$C$64,DAY($B14))))&lt;=MIN($C14,IF(Settings!$E$64="",$C14,Settings!$E$64))),1,0))+IF(OR(Settings!$B$65="",Settings!$F$65="No"),0,Settings!$B$65*IF(AND(IF(Settings!$C$65="",$B14,DATE(YEAR($A14),MONTH($A14),MIN(Settings!$C$65,DAY($B14))))&gt;=MAX($A14,Settings!$D$65),IF(Settings!$C$65="",$B14,DATE(YEAR($A14),MONTH($A14),MIN(Settings!$C$65,DAY($B14))))&lt;=MIN($C14,IF(Settings!$E$65="",$C14,Settings!$E$65))),1,0))</f>
        <v/>
      </c>
      <c r="AA14">
        <f>$X14+$Z14</f>
        <v/>
      </c>
      <c r="AB14">
        <f>IF($E14="post",$AA14,IF($E14="open",SUMIFS(Giving!$B$7:$B$2006,Giving!$A$7:$A$2006,"&gt;"&amp;Settings!$B$5,Giving!$A$7:$A$2006,"&lt;="&amp;$B14,Giving!$E$7:$E$2006,"&lt;&gt;No")+IF(OR(Settings!$B$60="",Settings!$F$60="No"),0,Settings!$B$60*IF(AND(IF(Settings!$C$60="",$B14,DATE(YEAR($A14),MONTH($A14),MIN(Settings!$C$60,DAY($B14))))&gt;=MAX($A14,Settings!$D$60,Settings!$B$5+1),IF(Settings!$C$60="",$B14,DATE(YEAR($A14),MONTH($A14),MIN(Settings!$C$60,DAY($B14))))&lt;=MIN($C14,IF(Settings!$E$60="",$C14,Settings!$E$60))),1,0))+IF(OR(Settings!$B$61="",Settings!$F$61="No"),0,Settings!$B$61*IF(AND(IF(Settings!$C$61="",$B14,DATE(YEAR($A14),MONTH($A14),MIN(Settings!$C$61,DAY($B14))))&gt;=MAX($A14,Settings!$D$61,Settings!$B$5+1),IF(Settings!$C$61="",$B14,DATE(YEAR($A14),MONTH($A14),MIN(Settings!$C$61,DAY($B14))))&lt;=MIN($C14,IF(Settings!$E$61="",$C14,Settings!$E$61))),1,0))+IF(OR(Settings!$B$62="",Settings!$F$62="No"),0,Settings!$B$62*IF(AND(IF(Settings!$C$62="",$B14,DATE(YEAR($A14),MONTH($A14),MIN(Settings!$C$62,DAY($B14))))&gt;=MAX($A14,Settings!$D$62,Settings!$B$5+1),IF(Settings!$C$62="",$B14,DATE(YEAR($A14),MONTH($A14),MIN(Settings!$C$62,DAY($B14))))&lt;=MIN($C14,IF(Settings!$E$62="",$C14,Settings!$E$62))),1,0))+IF(OR(Settings!$B$63="",Settings!$F$63="No"),0,Settings!$B$63*IF(AND(IF(Settings!$C$63="",$B14,DATE(YEAR($A14),MONTH($A14),MIN(Settings!$C$63,DAY($B14))))&gt;=MAX($A14,Settings!$D$63,Settings!$B$5+1),IF(Settings!$C$63="",$B14,DATE(YEAR($A14),MONTH($A14),MIN(Settings!$C$63,DAY($B14))))&lt;=MIN($C14,IF(Settings!$E$63="",$C14,Settings!$E$63))),1,0))+IF(OR(Settings!$B$64="",Settings!$F$64="No"),0,Settings!$B$64*IF(AND(IF(Settings!$C$64="",$B14,DATE(YEAR($A14),MONTH($A14),MIN(Settings!$C$64,DAY($B14))))&gt;=MAX($A14,Settings!$D$64,Settings!$B$5+1),IF(Settings!$C$64="",$B14,DATE(YEAR($A14),MONTH($A14),MIN(Settings!$C$64,DAY($B14))))&lt;=MIN($C14,IF(Settings!$E$64="",$C14,Settings!$E$64))),1,0))+IF(OR(Settings!$B$65="",Settings!$F$65="No"),0,Settings!$B$65*IF(AND(IF(Settings!$C$65="",$B14,DATE(YEAR($A14),MONTH($A14),MIN(Settings!$C$65,DAY($B14))))&gt;=MAX($A14,Settings!$D$65,Settings!$B$5+1),IF(Settings!$C$65="",$B14,DATE(YEAR($A14),MONTH($A14),MIN(Settings!$C$65,DAY($B14))))&lt;=MIN($C14,IF(Settings!$E$65="",$C14,Settings!$E$65))),1,0)),0))</f>
        <v/>
      </c>
      <c r="AC14">
        <f>$AY14+$AZ14+$BA14+$BB14+$BC14+$BD14</f>
        <v/>
      </c>
      <c r="AD14">
        <f>$AC14</f>
        <v/>
      </c>
      <c r="AE14">
        <f>IF(OR(Settings!$A$19="",$E14="pre"),"",IF(AND('Month-End'!$K$7&lt;&gt;"",NOT(_xlfn.ISFORMULA('Month-End'!$K$7))),N('Month-End'!$K$7),IF(OR($E14="open",$E13="pre"),N(Settings!$C$19),N($AE13))))</f>
        <v/>
      </c>
      <c r="AF14">
        <f>IF(OR(Settings!$A$20="",$E14="pre"),"",IF(AND('Month-End'!$K$8&lt;&gt;"",NOT(_xlfn.ISFORMULA('Month-End'!$K$8))),N('Month-End'!$K$8),IF(OR($E14="open",$E13="pre"),N(Settings!$C$20),N($AF13))))</f>
        <v/>
      </c>
      <c r="AG14">
        <f>IF(OR(Settings!$A$21="",$E14="pre"),"",IF(AND('Month-End'!$K$9&lt;&gt;"",NOT(_xlfn.ISFORMULA('Month-End'!$K$9))),N('Month-End'!$K$9),IF(OR($E14="open",$E13="pre"),N(Settings!$C$21),N($AG13))))</f>
        <v/>
      </c>
      <c r="AH14">
        <f>IF(OR(Settings!$A$22="",$E14="pre"),"",IF(AND('Month-End'!$K$10&lt;&gt;"",NOT(_xlfn.ISFORMULA('Month-End'!$K$10))),N('Month-End'!$K$10),IF(OR($E14="open",$E13="pre"),N(Settings!$C$22),N($AH13))))</f>
        <v/>
      </c>
      <c r="AI14">
        <f>IF(OR(Settings!$A$23="",$E14="pre"),"",IF(AND('Month-End'!$K$11&lt;&gt;"",NOT(_xlfn.ISFORMULA('Month-End'!$K$11))),N('Month-End'!$K$11),IF(OR($E14="open",$E13="pre"),N(Settings!$C$23),N($AI13))))</f>
        <v/>
      </c>
      <c r="AJ14">
        <f>IF(OR(Settings!$A$24="",$E14="pre"),"",IF(AND('Month-End'!$K$12&lt;&gt;"",NOT(_xlfn.ISFORMULA('Month-End'!$K$12))),N('Month-End'!$K$12),IF(OR($E14="open",$E13="pre"),N(Settings!$C$24),N($AJ13))))</f>
        <v/>
      </c>
      <c r="AK14">
        <f>IF(OR(Settings!$A$25="",$E14="pre"),"",IF(AND('Month-End'!$K$13&lt;&gt;"",NOT(_xlfn.ISFORMULA('Month-End'!$K$13))),N('Month-End'!$K$13),IF(OR($E14="open",$E13="pre"),N(Settings!$C$25),N($AK13))))</f>
        <v/>
      </c>
      <c r="AL14">
        <f>IF(OR(Settings!$A$26="",$E14="pre"),"",IF(AND('Month-End'!$K$14&lt;&gt;"",NOT(_xlfn.ISFORMULA('Month-End'!$K$14))),N('Month-End'!$K$14),IF(OR($E14="open",$E13="pre"),N(Settings!$C$26),N($AL13))))</f>
        <v/>
      </c>
      <c r="AM14">
        <f>IF(OR(Settings!$A$27="",$E14="pre"),"",IF(AND('Month-End'!$K$15&lt;&gt;"",NOT(_xlfn.ISFORMULA('Month-End'!$K$15))),N('Month-End'!$K$15),IF(OR($E14="open",$E13="pre"),N(Settings!$C$27),N($AM13))))</f>
        <v/>
      </c>
      <c r="AN14">
        <f>IF(OR(Settings!$A$28="",$E14="pre"),"",IF(AND('Month-End'!$K$16&lt;&gt;"",NOT(_xlfn.ISFORMULA('Month-End'!$K$16))),N('Month-End'!$K$16),IF(OR($E14="open",$E13="pre"),N(Settings!$C$28),N($AN13))))</f>
        <v/>
      </c>
      <c r="AO14">
        <f>IF(OR(Settings!$A$29="",$E14="pre"),"",IF(AND('Month-End'!$K$17&lt;&gt;"",NOT(_xlfn.ISFORMULA('Month-End'!$K$17))),N('Month-End'!$K$17),IF(OR($E14="open",$E13="pre"),N(Settings!$C$29),N($AO13))))</f>
        <v/>
      </c>
      <c r="AP14">
        <f>IF(OR(Settings!$A$30="",$E14="pre"),"",IF(AND('Month-End'!$K$18&lt;&gt;"",NOT(_xlfn.ISFORMULA('Month-End'!$K$18))),N('Month-End'!$K$18),IF(OR($E14="open",$E13="pre"),N(Settings!$C$30),N($AP13))))</f>
        <v/>
      </c>
      <c r="AQ14">
        <f>IF(OR(Settings!$A$31="",$E14="pre"),"",IF(AND('Month-End'!$K$19&lt;&gt;"",NOT(_xlfn.ISFORMULA('Month-End'!$K$19))),N('Month-End'!$K$19),IF(OR($E14="open",$E13="pre"),N(Settings!$C$31),N($AQ13))))</f>
        <v/>
      </c>
      <c r="AR14">
        <f>IF(OR(Settings!$A$32="",$E14="pre"),"",IF(AND('Month-End'!$K$20&lt;&gt;"",NOT(_xlfn.ISFORMULA('Month-End'!$K$20))),N('Month-End'!$K$20),IF(OR($E14="open",$E13="pre"),N(Settings!$C$32),N($AR13))))</f>
        <v/>
      </c>
      <c r="AS14">
        <f>IF(OR(Settings!$A$36="",$E14="pre"),"",IF(AND('Month-End'!$K$38&lt;&gt;"",NOT(_xlfn.ISFORMULA('Month-End'!$K$38))),N('Month-End'!$K$38),IF(OR($E14="open",$E13="pre"),N(Settings!$C$36),N($AS13))+$AY14))</f>
        <v/>
      </c>
      <c r="AT14">
        <f>IF(OR(Settings!$A$37="",$E14="pre"),"",IF(AND('Month-End'!$K$39&lt;&gt;"",NOT(_xlfn.ISFORMULA('Month-End'!$K$39))),N('Month-End'!$K$39),IF(OR($E14="open",$E13="pre"),N(Settings!$C$37),N($AT13))+$AZ14))</f>
        <v/>
      </c>
      <c r="AU14">
        <f>IF(OR(Settings!$A$38="",$E14="pre"),"",IF(AND('Month-End'!$K$40&lt;&gt;"",NOT(_xlfn.ISFORMULA('Month-End'!$K$40))),N('Month-End'!$K$40),IF(OR($E14="open",$E13="pre"),N(Settings!$C$38),N($AU13))+$BA14))</f>
        <v/>
      </c>
      <c r="AV14">
        <f>IF(OR(Settings!$A$39="",$E14="pre"),"",IF(AND('Month-End'!$K$41&lt;&gt;"",NOT(_xlfn.ISFORMULA('Month-End'!$K$41))),N('Month-End'!$K$41),IF(OR($E14="open",$E13="pre"),N(Settings!$C$39),N($AV13))+$BB14))</f>
        <v/>
      </c>
      <c r="AW14">
        <f>IF(OR(Settings!$A$40="",$E14="pre"),"",IF(AND('Month-End'!$K$42&lt;&gt;"",NOT(_xlfn.ISFORMULA('Month-End'!$K$42))),N('Month-End'!$K$42),IF(OR($E14="open",$E13="pre"),N(Settings!$C$40),N($AW13))+$BC14))</f>
        <v/>
      </c>
      <c r="AX14">
        <f>IF(OR(Settings!$A$41="",$E14="pre"),"",IF(AND('Month-End'!$K$43&lt;&gt;"",NOT(_xlfn.ISFORMULA('Month-End'!$K$43))),N('Month-End'!$K$43),IF(OR($E14="open",$E13="pre"),N(Settings!$C$41),N($AX13))+$BD14))</f>
        <v/>
      </c>
      <c r="AY14">
        <f>IF($E14="pre",0,N('Month-End'!$K$45))</f>
        <v/>
      </c>
      <c r="AZ14">
        <f>IF($E14="pre",0,N('Month-End'!$K$46))</f>
        <v/>
      </c>
      <c r="BA14">
        <f>IF($E14="pre",0,N('Month-End'!$K$47))</f>
        <v/>
      </c>
      <c r="BB14">
        <f>IF($E14="pre",0,N('Month-End'!$K$48))</f>
        <v/>
      </c>
      <c r="BC14">
        <f>IF($E14="pre",0,N('Month-End'!$K$49))</f>
        <v/>
      </c>
      <c r="BD14">
        <f>IF($E14="pre",0,N('Month-End'!$K$50))</f>
        <v/>
      </c>
      <c r="BE14">
        <f>IF(OR(Settings!$C$45="",Settings!$D$45=""),0,Settings!$C$45*IF(Settings!$D$45="Weekly",IF(IFERROR(MATCH(Settings!$E$45,$EO$4:$EO$10,0),0)=0,0,IF(MIN($C14,IF(Settings!$G$45="",$C14,Settings!$G$45))&lt;MAX($A14,Settings!$F$45),0,INT((MIN($C14,IF(Settings!$G$45="",$C14,Settings!$G$45))-MAX($A14,Settings!$F$45)-MOD(IFERROR(MATCH(Settings!$E$45,$EO$4:$EO$10,0),0)-WEEKDAY(MAX($A14,Settings!$F$45)),7))/7)+1)),IF(AND(IF(Settings!$E$45="",$B14,DATE(YEAR($A14),MONTH($A14),MIN(Settings!$E$45,DAY($B14))))&gt;=MAX($A14,Settings!$F$45),IF(Settings!$E$45="",$B14,DATE(YEAR($A14),MONTH($A14),MIN(Settings!$E$45,DAY($B14))))&lt;=MIN($C14,IF(Settings!$G$45="",$C14,Settings!$G$45))),1,0)))</f>
        <v/>
      </c>
      <c r="BF14">
        <f>IF(OR(Settings!$C$46="",Settings!$D$46=""),0,Settings!$C$46*IF(Settings!$D$46="Weekly",IF(IFERROR(MATCH(Settings!$E$46,$EO$4:$EO$10,0),0)=0,0,IF(MIN($C14,IF(Settings!$G$46="",$C14,Settings!$G$46))&lt;MAX($A14,Settings!$F$46),0,INT((MIN($C14,IF(Settings!$G$46="",$C14,Settings!$G$46))-MAX($A14,Settings!$F$46)-MOD(IFERROR(MATCH(Settings!$E$46,$EO$4:$EO$10,0),0)-WEEKDAY(MAX($A14,Settings!$F$46)),7))/7)+1)),IF(AND(IF(Settings!$E$46="",$B14,DATE(YEAR($A14),MONTH($A14),MIN(Settings!$E$46,DAY($B14))))&gt;=MAX($A14,Settings!$F$46),IF(Settings!$E$46="",$B14,DATE(YEAR($A14),MONTH($A14),MIN(Settings!$E$46,DAY($B14))))&lt;=MIN($C14,IF(Settings!$G$46="",$C14,Settings!$G$46))),1,0)))</f>
        <v/>
      </c>
      <c r="BG14">
        <f>IF(OR(Settings!$C$47="",Settings!$D$47=""),0,Settings!$C$47*IF(Settings!$D$47="Weekly",IF(IFERROR(MATCH(Settings!$E$47,$EO$4:$EO$10,0),0)=0,0,IF(MIN($C14,IF(Settings!$G$47="",$C14,Settings!$G$47))&lt;MAX($A14,Settings!$F$47),0,INT((MIN($C14,IF(Settings!$G$47="",$C14,Settings!$G$47))-MAX($A14,Settings!$F$47)-MOD(IFERROR(MATCH(Settings!$E$47,$EO$4:$EO$10,0),0)-WEEKDAY(MAX($A14,Settings!$F$47)),7))/7)+1)),IF(AND(IF(Settings!$E$47="",$B14,DATE(YEAR($A14),MONTH($A14),MIN(Settings!$E$47,DAY($B14))))&gt;=MAX($A14,Settings!$F$47),IF(Settings!$E$47="",$B14,DATE(YEAR($A14),MONTH($A14),MIN(Settings!$E$47,DAY($B14))))&lt;=MIN($C14,IF(Settings!$G$47="",$C14,Settings!$G$47))),1,0)))</f>
        <v/>
      </c>
      <c r="BH14">
        <f>IF(OR(Settings!$C$48="",Settings!$D$48=""),0,Settings!$C$48*IF(Settings!$D$48="Weekly",IF(IFERROR(MATCH(Settings!$E$48,$EO$4:$EO$10,0),0)=0,0,IF(MIN($C14,IF(Settings!$G$48="",$C14,Settings!$G$48))&lt;MAX($A14,Settings!$F$48),0,INT((MIN($C14,IF(Settings!$G$48="",$C14,Settings!$G$48))-MAX($A14,Settings!$F$48)-MOD(IFERROR(MATCH(Settings!$E$48,$EO$4:$EO$10,0),0)-WEEKDAY(MAX($A14,Settings!$F$48)),7))/7)+1)),IF(AND(IF(Settings!$E$48="",$B14,DATE(YEAR($A14),MONTH($A14),MIN(Settings!$E$48,DAY($B14))))&gt;=MAX($A14,Settings!$F$48),IF(Settings!$E$48="",$B14,DATE(YEAR($A14),MONTH($A14),MIN(Settings!$E$48,DAY($B14))))&lt;=MIN($C14,IF(Settings!$G$48="",$C14,Settings!$G$48))),1,0)))</f>
        <v/>
      </c>
      <c r="BI14">
        <f>IF(OR(Settings!$C$49="",Settings!$D$49=""),0,Settings!$C$49*IF(Settings!$D$49="Weekly",IF(IFERROR(MATCH(Settings!$E$49,$EO$4:$EO$10,0),0)=0,0,IF(MIN($C14,IF(Settings!$G$49="",$C14,Settings!$G$49))&lt;MAX($A14,Settings!$F$49),0,INT((MIN($C14,IF(Settings!$G$49="",$C14,Settings!$G$49))-MAX($A14,Settings!$F$49)-MOD(IFERROR(MATCH(Settings!$E$49,$EO$4:$EO$10,0),0)-WEEKDAY(MAX($A14,Settings!$F$49)),7))/7)+1)),IF(AND(IF(Settings!$E$49="",$B14,DATE(YEAR($A14),MONTH($A14),MIN(Settings!$E$49,DAY($B14))))&gt;=MAX($A14,Settings!$F$49),IF(Settings!$E$49="",$B14,DATE(YEAR($A14),MONTH($A14),MIN(Settings!$E$49,DAY($B14))))&lt;=MIN($C14,IF(Settings!$G$49="",$C14,Settings!$G$49))),1,0)))</f>
        <v/>
      </c>
      <c r="BJ14">
        <f>IF(OR(Settings!$C$50="",Settings!$D$50=""),0,Settings!$C$50*IF(Settings!$D$50="Weekly",IF(IFERROR(MATCH(Settings!$E$50,$EO$4:$EO$10,0),0)=0,0,IF(MIN($C14,IF(Settings!$G$50="",$C14,Settings!$G$50))&lt;MAX($A14,Settings!$F$50),0,INT((MIN($C14,IF(Settings!$G$50="",$C14,Settings!$G$50))-MAX($A14,Settings!$F$50)-MOD(IFERROR(MATCH(Settings!$E$50,$EO$4:$EO$10,0),0)-WEEKDAY(MAX($A14,Settings!$F$50)),7))/7)+1)),IF(AND(IF(Settings!$E$50="",$B14,DATE(YEAR($A14),MONTH($A14),MIN(Settings!$E$50,DAY($B14))))&gt;=MAX($A14,Settings!$F$50),IF(Settings!$E$50="",$B14,DATE(YEAR($A14),MONTH($A14),MIN(Settings!$E$50,DAY($B14))))&lt;=MIN($C14,IF(Settings!$G$50="",$C14,Settings!$G$50))),1,0)))</f>
        <v/>
      </c>
      <c r="BK14">
        <f>IF(OR(Settings!$C$51="",Settings!$D$51=""),0,Settings!$C$51*IF(Settings!$D$51="Weekly",IF(IFERROR(MATCH(Settings!$E$51,$EO$4:$EO$10,0),0)=0,0,IF(MIN($C14,IF(Settings!$G$51="",$C14,Settings!$G$51))&lt;MAX($A14,Settings!$F$51),0,INT((MIN($C14,IF(Settings!$G$51="",$C14,Settings!$G$51))-MAX($A14,Settings!$F$51)-MOD(IFERROR(MATCH(Settings!$E$51,$EO$4:$EO$10,0),0)-WEEKDAY(MAX($A14,Settings!$F$51)),7))/7)+1)),IF(AND(IF(Settings!$E$51="",$B14,DATE(YEAR($A14),MONTH($A14),MIN(Settings!$E$51,DAY($B14))))&gt;=MAX($A14,Settings!$F$51),IF(Settings!$E$51="",$B14,DATE(YEAR($A14),MONTH($A14),MIN(Settings!$E$51,DAY($B14))))&lt;=MIN($C14,IF(Settings!$G$51="",$C14,Settings!$G$51))),1,0)))</f>
        <v/>
      </c>
      <c r="BL14">
        <f>IF(OR(Settings!$C$52="",Settings!$D$52=""),0,Settings!$C$52*IF(Settings!$D$52="Weekly",IF(IFERROR(MATCH(Settings!$E$52,$EO$4:$EO$10,0),0)=0,0,IF(MIN($C14,IF(Settings!$G$52="",$C14,Settings!$G$52))&lt;MAX($A14,Settings!$F$52),0,INT((MIN($C14,IF(Settings!$G$52="",$C14,Settings!$G$52))-MAX($A14,Settings!$F$52)-MOD(IFERROR(MATCH(Settings!$E$52,$EO$4:$EO$10,0),0)-WEEKDAY(MAX($A14,Settings!$F$52)),7))/7)+1)),IF(AND(IF(Settings!$E$52="",$B14,DATE(YEAR($A14),MONTH($A14),MIN(Settings!$E$52,DAY($B14))))&gt;=MAX($A14,Settings!$F$52),IF(Settings!$E$52="",$B14,DATE(YEAR($A14),MONTH($A14),MIN(Settings!$E$52,DAY($B14))))&lt;=MIN($C14,IF(Settings!$G$52="",$C14,Settings!$G$52))),1,0)))</f>
        <v/>
      </c>
      <c r="BM14">
        <f>IF(OR(Settings!$C$53="",Settings!$D$53=""),0,Settings!$C$53*IF(Settings!$D$53="Weekly",IF(IFERROR(MATCH(Settings!$E$53,$EO$4:$EO$10,0),0)=0,0,IF(MIN($C14,IF(Settings!$G$53="",$C14,Settings!$G$53))&lt;MAX($A14,Settings!$F$53),0,INT((MIN($C14,IF(Settings!$G$53="",$C14,Settings!$G$53))-MAX($A14,Settings!$F$53)-MOD(IFERROR(MATCH(Settings!$E$53,$EO$4:$EO$10,0),0)-WEEKDAY(MAX($A14,Settings!$F$53)),7))/7)+1)),IF(AND(IF(Settings!$E$53="",$B14,DATE(YEAR($A14),MONTH($A14),MIN(Settings!$E$53,DAY($B14))))&gt;=MAX($A14,Settings!$F$53),IF(Settings!$E$53="",$B14,DATE(YEAR($A14),MONTH($A14),MIN(Settings!$E$53,DAY($B14))))&lt;=MIN($C14,IF(Settings!$G$53="",$C14,Settings!$G$53))),1,0)))</f>
        <v/>
      </c>
      <c r="BN14">
        <f>IF(OR(Settings!$C$54="",Settings!$D$54=""),0,Settings!$C$54*IF(Settings!$D$54="Weekly",IF(IFERROR(MATCH(Settings!$E$54,$EO$4:$EO$10,0),0)=0,0,IF(MIN($C14,IF(Settings!$G$54="",$C14,Settings!$G$54))&lt;MAX($A14,Settings!$F$54),0,INT((MIN($C14,IF(Settings!$G$54="",$C14,Settings!$G$54))-MAX($A14,Settings!$F$54)-MOD(IFERROR(MATCH(Settings!$E$54,$EO$4:$EO$10,0),0)-WEEKDAY(MAX($A14,Settings!$F$54)),7))/7)+1)),IF(AND(IF(Settings!$E$54="",$B14,DATE(YEAR($A14),MONTH($A14),MIN(Settings!$E$54,DAY($B14))))&gt;=MAX($A14,Settings!$F$54),IF(Settings!$E$54="",$B14,DATE(YEAR($A14),MONTH($A14),MIN(Settings!$E$54,DAY($B14))))&lt;=MIN($C14,IF(Settings!$G$54="",$C14,Settings!$G$54))),1,0)))</f>
        <v/>
      </c>
      <c r="BO14">
        <f>IF(OR(Settings!$C$55="",Settings!$D$55=""),0,Settings!$C$55*IF(Settings!$D$55="Weekly",IF(IFERROR(MATCH(Settings!$E$55,$EO$4:$EO$10,0),0)=0,0,IF(MIN($C14,IF(Settings!$G$55="",$C14,Settings!$G$55))&lt;MAX($A14,Settings!$F$55),0,INT((MIN($C14,IF(Settings!$G$55="",$C14,Settings!$G$55))-MAX($A14,Settings!$F$55)-MOD(IFERROR(MATCH(Settings!$E$55,$EO$4:$EO$10,0),0)-WEEKDAY(MAX($A14,Settings!$F$55)),7))/7)+1)),IF(AND(IF(Settings!$E$55="",$B14,DATE(YEAR($A14),MONTH($A14),MIN(Settings!$E$55,DAY($B14))))&gt;=MAX($A14,Settings!$F$55),IF(Settings!$E$55="",$B14,DATE(YEAR($A14),MONTH($A14),MIN(Settings!$E$55,DAY($B14))))&lt;=MIN($C14,IF(Settings!$G$55="",$C14,Settings!$G$55))),1,0)))</f>
        <v/>
      </c>
      <c r="BP14">
        <f>IF(OR(Settings!$C$56="",Settings!$D$56=""),0,Settings!$C$56*IF(Settings!$D$56="Weekly",IF(IFERROR(MATCH(Settings!$E$56,$EO$4:$EO$10,0),0)=0,0,IF(MIN($C14,IF(Settings!$G$56="",$C14,Settings!$G$56))&lt;MAX($A14,Settings!$F$56),0,INT((MIN($C14,IF(Settings!$G$56="",$C14,Settings!$G$56))-MAX($A14,Settings!$F$56)-MOD(IFERROR(MATCH(Settings!$E$56,$EO$4:$EO$10,0),0)-WEEKDAY(MAX($A14,Settings!$F$56)),7))/7)+1)),IF(AND(IF(Settings!$E$56="",$B14,DATE(YEAR($A14),MONTH($A14),MIN(Settings!$E$56,DAY($B14))))&gt;=MAX($A14,Settings!$F$56),IF(Settings!$E$56="",$B14,DATE(YEAR($A14),MONTH($A14),MIN(Settings!$E$56,DAY($B14))))&lt;=MIN($C14,IF(Settings!$G$56="",$C14,Settings!$G$56))),1,0)))</f>
        <v/>
      </c>
      <c r="BQ14">
        <f>IF(OR(Settings!$B$14="",$D14=1,$E14="pre",$A14&lt;IF(Settings!$B$15="",0,Settings!$B$15)),0,Settings!$B$14)</f>
        <v/>
      </c>
      <c r="BR14">
        <f>IF(AND('Month-End'!$K$7&lt;&gt;"",NOT(_xlfn.ISFORMULA('Month-End'!$K$7))),1,0)</f>
        <v/>
      </c>
      <c r="BS14">
        <f>IF(AND('Month-End'!$K$8&lt;&gt;"",NOT(_xlfn.ISFORMULA('Month-End'!$K$8))),1,0)</f>
        <v/>
      </c>
      <c r="BT14">
        <f>IF(AND('Month-End'!$K$9&lt;&gt;"",NOT(_xlfn.ISFORMULA('Month-End'!$K$9))),1,0)</f>
        <v/>
      </c>
      <c r="BU14">
        <f>IF(AND('Month-End'!$K$10&lt;&gt;"",NOT(_xlfn.ISFORMULA('Month-End'!$K$10))),1,0)</f>
        <v/>
      </c>
      <c r="BV14">
        <f>IF(AND('Month-End'!$K$11&lt;&gt;"",NOT(_xlfn.ISFORMULA('Month-End'!$K$11))),1,0)</f>
        <v/>
      </c>
      <c r="BW14">
        <f>IF(AND('Month-End'!$K$12&lt;&gt;"",NOT(_xlfn.ISFORMULA('Month-End'!$K$12))),1,0)</f>
        <v/>
      </c>
      <c r="BX14">
        <f>IF(AND('Month-End'!$K$13&lt;&gt;"",NOT(_xlfn.ISFORMULA('Month-End'!$K$13))),1,0)</f>
        <v/>
      </c>
      <c r="BY14">
        <f>IF(AND('Month-End'!$K$14&lt;&gt;"",NOT(_xlfn.ISFORMULA('Month-End'!$K$14))),1,0)</f>
        <v/>
      </c>
      <c r="BZ14">
        <f>IF(AND('Month-End'!$K$15&lt;&gt;"",NOT(_xlfn.ISFORMULA('Month-End'!$K$15))),1,0)</f>
        <v/>
      </c>
      <c r="CA14">
        <f>IF(AND('Month-End'!$K$16&lt;&gt;"",NOT(_xlfn.ISFORMULA('Month-End'!$K$16))),1,0)</f>
        <v/>
      </c>
      <c r="CB14">
        <f>IF(AND('Month-End'!$K$17&lt;&gt;"",NOT(_xlfn.ISFORMULA('Month-End'!$K$17))),1,0)</f>
        <v/>
      </c>
      <c r="CC14">
        <f>IF(AND('Month-End'!$K$18&lt;&gt;"",NOT(_xlfn.ISFORMULA('Month-End'!$K$18))),1,0)</f>
        <v/>
      </c>
      <c r="CD14">
        <f>IF(AND('Month-End'!$K$19&lt;&gt;"",NOT(_xlfn.ISFORMULA('Month-End'!$K$19))),1,0)</f>
        <v/>
      </c>
      <c r="CE14">
        <f>IF(AND('Month-End'!$K$20&lt;&gt;"",NOT(_xlfn.ISFORMULA('Month-End'!$K$20))),1,0)</f>
        <v/>
      </c>
      <c r="CF14">
        <f>IF(AND('Month-End'!$K$38&lt;&gt;"",NOT(_xlfn.ISFORMULA('Month-End'!$K$38))),1,0)</f>
        <v/>
      </c>
      <c r="CG14">
        <f>IF(AND('Month-End'!$K$39&lt;&gt;"",NOT(_xlfn.ISFORMULA('Month-End'!$K$39))),1,0)</f>
        <v/>
      </c>
      <c r="CH14">
        <f>IF(AND('Month-End'!$K$40&lt;&gt;"",NOT(_xlfn.ISFORMULA('Month-End'!$K$40))),1,0)</f>
        <v/>
      </c>
      <c r="CI14">
        <f>IF(AND('Month-End'!$K$41&lt;&gt;"",NOT(_xlfn.ISFORMULA('Month-End'!$K$41))),1,0)</f>
        <v/>
      </c>
      <c r="CJ14">
        <f>IF(AND('Month-End'!$K$42&lt;&gt;"",NOT(_xlfn.ISFORMULA('Month-End'!$K$42))),1,0)</f>
        <v/>
      </c>
      <c r="CK14">
        <f>IF(AND('Month-End'!$K$43&lt;&gt;"",NOT(_xlfn.ISFORMULA('Month-End'!$K$43))),1,0)</f>
        <v/>
      </c>
      <c r="CL14">
        <f>SUM($CM14:$CZ14)</f>
        <v/>
      </c>
      <c r="CM14">
        <f>IF(AND($E14&lt;&gt;"pre",AND(Settings!$A$19&lt;&gt;"",Settings!$E$19&lt;&gt;"No"),Settings!$F$19="Yes",NOT(AND('Month-End'!$K$7&lt;&gt;"",NOT(_xlfn.ISFORMULA('Month-End'!$K$7))))),1,0)</f>
        <v/>
      </c>
      <c r="CN14">
        <f>IF(AND($E14&lt;&gt;"pre",AND(Settings!$A$20&lt;&gt;"",Settings!$E$20&lt;&gt;"No"),Settings!$F$20="Yes",NOT(AND('Month-End'!$K$8&lt;&gt;"",NOT(_xlfn.ISFORMULA('Month-End'!$K$8))))),1,0)</f>
        <v/>
      </c>
      <c r="CO14">
        <f>IF(AND($E14&lt;&gt;"pre",AND(Settings!$A$21&lt;&gt;"",Settings!$E$21&lt;&gt;"No"),Settings!$F$21="Yes",NOT(AND('Month-End'!$K$9&lt;&gt;"",NOT(_xlfn.ISFORMULA('Month-End'!$K$9))))),1,0)</f>
        <v/>
      </c>
      <c r="CP14">
        <f>IF(AND($E14&lt;&gt;"pre",AND(Settings!$A$22&lt;&gt;"",Settings!$E$22&lt;&gt;"No"),Settings!$F$22="Yes",NOT(AND('Month-End'!$K$10&lt;&gt;"",NOT(_xlfn.ISFORMULA('Month-End'!$K$10))))),1,0)</f>
        <v/>
      </c>
      <c r="CQ14">
        <f>IF(AND($E14&lt;&gt;"pre",AND(Settings!$A$23&lt;&gt;"",Settings!$E$23&lt;&gt;"No"),Settings!$F$23="Yes",NOT(AND('Month-End'!$K$11&lt;&gt;"",NOT(_xlfn.ISFORMULA('Month-End'!$K$11))))),1,0)</f>
        <v/>
      </c>
      <c r="CR14">
        <f>IF(AND($E14&lt;&gt;"pre",AND(Settings!$A$24&lt;&gt;"",Settings!$E$24&lt;&gt;"No"),Settings!$F$24="Yes",NOT(AND('Month-End'!$K$12&lt;&gt;"",NOT(_xlfn.ISFORMULA('Month-End'!$K$12))))),1,0)</f>
        <v/>
      </c>
      <c r="CS14">
        <f>IF(AND($E14&lt;&gt;"pre",AND(Settings!$A$25&lt;&gt;"",Settings!$E$25&lt;&gt;"No"),Settings!$F$25="Yes",NOT(AND('Month-End'!$K$13&lt;&gt;"",NOT(_xlfn.ISFORMULA('Month-End'!$K$13))))),1,0)</f>
        <v/>
      </c>
      <c r="CT14">
        <f>IF(AND($E14&lt;&gt;"pre",AND(Settings!$A$26&lt;&gt;"",Settings!$E$26&lt;&gt;"No"),Settings!$F$26="Yes",NOT(AND('Month-End'!$K$14&lt;&gt;"",NOT(_xlfn.ISFORMULA('Month-End'!$K$14))))),1,0)</f>
        <v/>
      </c>
      <c r="CU14">
        <f>IF(AND($E14&lt;&gt;"pre",AND(Settings!$A$27&lt;&gt;"",Settings!$E$27&lt;&gt;"No"),Settings!$F$27="Yes",NOT(AND('Month-End'!$K$15&lt;&gt;"",NOT(_xlfn.ISFORMULA('Month-End'!$K$15))))),1,0)</f>
        <v/>
      </c>
      <c r="CV14">
        <f>IF(AND($E14&lt;&gt;"pre",AND(Settings!$A$28&lt;&gt;"",Settings!$E$28&lt;&gt;"No"),Settings!$F$28="Yes",NOT(AND('Month-End'!$K$16&lt;&gt;"",NOT(_xlfn.ISFORMULA('Month-End'!$K$16))))),1,0)</f>
        <v/>
      </c>
      <c r="CW14">
        <f>IF(AND($E14&lt;&gt;"pre",AND(Settings!$A$29&lt;&gt;"",Settings!$E$29&lt;&gt;"No"),Settings!$F$29="Yes",NOT(AND('Month-End'!$K$17&lt;&gt;"",NOT(_xlfn.ISFORMULA('Month-End'!$K$17))))),1,0)</f>
        <v/>
      </c>
      <c r="CX14">
        <f>IF(AND($E14&lt;&gt;"pre",AND(Settings!$A$30&lt;&gt;"",Settings!$E$30&lt;&gt;"No"),Settings!$F$30="Yes",NOT(AND('Month-End'!$K$18&lt;&gt;"",NOT(_xlfn.ISFORMULA('Month-End'!$K$18))))),1,0)</f>
        <v/>
      </c>
      <c r="CY14">
        <f>IF(AND($E14&lt;&gt;"pre",AND(Settings!$A$31&lt;&gt;"",Settings!$E$31&lt;&gt;"No"),Settings!$F$31="Yes",NOT(AND('Month-End'!$K$19&lt;&gt;"",NOT(_xlfn.ISFORMULA('Month-End'!$K$19))))),1,0)</f>
        <v/>
      </c>
      <c r="CZ14">
        <f>IF(AND($E14&lt;&gt;"pre",AND(Settings!$A$32&lt;&gt;"",Settings!$E$32&lt;&gt;"No"),Settings!$F$32="Yes",NOT(AND('Month-End'!$K$20&lt;&gt;"",NOT(_xlfn.ISFORMULA('Month-End'!$K$20))))),1,0)</f>
        <v/>
      </c>
      <c r="DA14">
        <f>IF($DT14=1,IF(OR(Settings!$B$19="Checking",Settings!$B$19="Savings",Settings!$B$19="Cash"),N($AE14),IF(OR(Settings!$B$19="Card",Settings!$B$19="Loan"),-N($AE14),0))+IF(OR(Settings!$B$20="Checking",Settings!$B$20="Savings",Settings!$B$20="Cash"),N($AF14),IF(OR(Settings!$B$20="Card",Settings!$B$20="Loan"),-N($AF14),0))+IF(OR(Settings!$B$21="Checking",Settings!$B$21="Savings",Settings!$B$21="Cash"),N($AG14),IF(OR(Settings!$B$21="Card",Settings!$B$21="Loan"),-N($AG14),0))+IF(OR(Settings!$B$22="Checking",Settings!$B$22="Savings",Settings!$B$22="Cash"),N($AH14),IF(OR(Settings!$B$22="Card",Settings!$B$22="Loan"),-N($AH14),0))+IF(OR(Settings!$B$23="Checking",Settings!$B$23="Savings",Settings!$B$23="Cash"),N($AI14),IF(OR(Settings!$B$23="Card",Settings!$B$23="Loan"),-N($AI14),0))+IF(OR(Settings!$B$24="Checking",Settings!$B$24="Savings",Settings!$B$24="Cash"),N($AJ14),IF(OR(Settings!$B$24="Card",Settings!$B$24="Loan"),-N($AJ14),0))+IF(OR(Settings!$B$25="Checking",Settings!$B$25="Savings",Settings!$B$25="Cash"),N($AK14),IF(OR(Settings!$B$25="Card",Settings!$B$25="Loan"),-N($AK14),0))+IF(OR(Settings!$B$26="Checking",Settings!$B$26="Savings",Settings!$B$26="Cash"),N($AL14),IF(OR(Settings!$B$26="Card",Settings!$B$26="Loan"),-N($AL14),0))+IF(OR(Settings!$B$27="Checking",Settings!$B$27="Savings",Settings!$B$27="Cash"),N($AM14),IF(OR(Settings!$B$27="Card",Settings!$B$27="Loan"),-N($AM14),0))+IF(OR(Settings!$B$28="Checking",Settings!$B$28="Savings",Settings!$B$28="Cash"),N($AN14),IF(OR(Settings!$B$28="Card",Settings!$B$28="Loan"),-N($AN14),0))+IF(OR(Settings!$B$29="Checking",Settings!$B$29="Savings",Settings!$B$29="Cash"),N($AO14),IF(OR(Settings!$B$29="Card",Settings!$B$29="Loan"),-N($AO14),0))+IF(OR(Settings!$B$30="Checking",Settings!$B$30="Savings",Settings!$B$30="Cash"),N($AP14),IF(OR(Settings!$B$30="Card",Settings!$B$30="Loan"),-N($AP14),0))+IF(OR(Settings!$B$31="Checking",Settings!$B$31="Savings",Settings!$B$31="Cash"),N($AQ14),IF(OR(Settings!$B$31="Card",Settings!$B$31="Loan"),-N($AQ14),0))+IF(OR(Settings!$B$32="Checking",Settings!$B$32="Savings",Settings!$B$32="Cash"),N($AR14),IF(OR(Settings!$B$32="Card",Settings!$B$32="Loan"),-N($AR14),0)),"")</f>
        <v/>
      </c>
      <c r="DB14">
        <f>IF($E14="open",$EB$27,IF($E14="post",IF($E13="pre",$EB$27,$DA13),""))</f>
        <v/>
      </c>
      <c r="DC14">
        <f>IF($E14="open",1,IF($E14="post",IF($E13="pre",1,$DT13),0))</f>
        <v/>
      </c>
      <c r="DD14">
        <f>IF(AND($DT14=1,$DC14=1),ROUND($W14-($DA14-$DB14)-$AD14-$AB14,2),"")</f>
        <v/>
      </c>
      <c r="DE14">
        <f>IF('Month-End'!$K$35="",$BQ14,N('Month-End'!$K$35))</f>
        <v/>
      </c>
      <c r="DF14">
        <f>N('Month-End'!$K$36)</f>
        <v/>
      </c>
      <c r="DG14">
        <f>IF($DD14="","",$DD14+$DE14)</f>
        <v/>
      </c>
      <c r="DH14">
        <f>IF($DG14="","",$DG14-$DF14)</f>
        <v/>
      </c>
      <c r="DI14">
        <f>IF(OR($E14="pre",$D14=1),"",N($AS14)+N($AT14)+N($AU14)+N($AV14)+N($AW14)+N($AX14))</f>
        <v/>
      </c>
      <c r="DJ14">
        <f>IF($DT14=1,$DA14+N($DI14),"")</f>
        <v/>
      </c>
      <c r="DK14">
        <f>IF($DD14="","",$W14-$DD14-$AB14)</f>
        <v/>
      </c>
      <c r="DL14">
        <f>IF(AND($E14="post",$DD14&lt;&gt;"",$B14&lt;TODAY()),1,0)</f>
        <v/>
      </c>
      <c r="DM14">
        <f>IF($DL14=1,COUNTIF($DL14:$DL$183,1),0)</f>
        <v/>
      </c>
      <c r="DN14">
        <f>IF($D14=1,"",IF($E14="pre","History only",IF($DT14=1,IF($DD14="","⚠ Previous month missing",IF($DD14&lt;0,"⚠ Check: spending &lt; 0",IF($E14="open","✓ Done (partial)","✓ Done"))),IF($B14&gt;=TODAY(),"In progress","⚠ Needs balances"))))</f>
        <v/>
      </c>
      <c r="DO14">
        <f>YEAR($A14)</f>
        <v/>
      </c>
      <c r="DP14">
        <f>DATE(YEAR($A14),INT((MONTH($A14)-1)/3)*3+1,1)</f>
        <v/>
      </c>
      <c r="DQ14">
        <f>IF(AND($DT14=1,$DD14&lt;&gt;"",$D14=0),ROW(),0)</f>
        <v/>
      </c>
      <c r="DR14">
        <f>IF(AND($E14&lt;&gt;"pre",$B14&lt;TODAY(),$DT14=0),1,0)</f>
        <v/>
      </c>
      <c r="DS14">
        <f>IF($DJ14="",NA(),$DJ14)</f>
        <v/>
      </c>
      <c r="DT14">
        <f>IF(AND($E14&lt;&gt;"pre",$CL14=0,COUNTIFS(Settings!$F$19:$F$32,"Yes",Settings!$A$19:$A$32,"&lt;&gt;",Settings!$E$19:$E$32,"&lt;&gt;No")&gt;0),1,0)</f>
        <v/>
      </c>
      <c r="DU14">
        <f>IF(AND($B14&lt;TODAY(),$S14&gt;0),1,0)</f>
        <v/>
      </c>
      <c r="DV14">
        <f>IF($DU14=1,COUNTIF($DU14:$DU$183,1),0)</f>
        <v/>
      </c>
      <c r="DW14">
        <f>IF(AND(OR(Settings!$B$19="Card",Settings!$B$19="Loan"),AND('Month-End'!$K$7&lt;&gt;"",NOT(_xlfn.ISFORMULA('Month-End'!$K$7)))),IF(N('Month-End'!$K$7)&lt;0,1,0),0)+IF(AND(OR(Settings!$B$20="Card",Settings!$B$20="Loan"),AND('Month-End'!$K$8&lt;&gt;"",NOT(_xlfn.ISFORMULA('Month-End'!$K$8)))),IF(N('Month-End'!$K$8)&lt;0,1,0),0)+IF(AND(OR(Settings!$B$21="Card",Settings!$B$21="Loan"),AND('Month-End'!$K$9&lt;&gt;"",NOT(_xlfn.ISFORMULA('Month-End'!$K$9)))),IF(N('Month-End'!$K$9)&lt;0,1,0),0)+IF(AND(OR(Settings!$B$22="Card",Settings!$B$22="Loan"),AND('Month-End'!$K$10&lt;&gt;"",NOT(_xlfn.ISFORMULA('Month-End'!$K$10)))),IF(N('Month-End'!$K$10)&lt;0,1,0),0)+IF(AND(OR(Settings!$B$23="Card",Settings!$B$23="Loan"),AND('Month-End'!$K$11&lt;&gt;"",NOT(_xlfn.ISFORMULA('Month-End'!$K$11)))),IF(N('Month-End'!$K$11)&lt;0,1,0),0)+IF(AND(OR(Settings!$B$24="Card",Settings!$B$24="Loan"),AND('Month-End'!$K$12&lt;&gt;"",NOT(_xlfn.ISFORMULA('Month-End'!$K$12)))),IF(N('Month-End'!$K$12)&lt;0,1,0),0)+IF(AND(OR(Settings!$B$25="Card",Settings!$B$25="Loan"),AND('Month-End'!$K$13&lt;&gt;"",NOT(_xlfn.ISFORMULA('Month-End'!$K$13)))),IF(N('Month-End'!$K$13)&lt;0,1,0),0)+IF(AND(OR(Settings!$B$26="Card",Settings!$B$26="Loan"),AND('Month-End'!$K$14&lt;&gt;"",NOT(_xlfn.ISFORMULA('Month-End'!$K$14)))),IF(N('Month-End'!$K$14)&lt;0,1,0),0)+IF(AND(OR(Settings!$B$27="Card",Settings!$B$27="Loan"),AND('Month-End'!$K$15&lt;&gt;"",NOT(_xlfn.ISFORMULA('Month-End'!$K$15)))),IF(N('Month-End'!$K$15)&lt;0,1,0),0)+IF(AND(OR(Settings!$B$28="Card",Settings!$B$28="Loan"),AND('Month-End'!$K$16&lt;&gt;"",NOT(_xlfn.ISFORMULA('Month-End'!$K$16)))),IF(N('Month-End'!$K$16)&lt;0,1,0),0)+IF(AND(OR(Settings!$B$29="Card",Settings!$B$29="Loan"),AND('Month-End'!$K$17&lt;&gt;"",NOT(_xlfn.ISFORMULA('Month-End'!$K$17)))),IF(N('Month-End'!$K$17)&lt;0,1,0),0)+IF(AND(OR(Settings!$B$30="Card",Settings!$B$30="Loan"),AND('Month-End'!$K$18&lt;&gt;"",NOT(_xlfn.ISFORMULA('Month-End'!$K$18)))),IF(N('Month-End'!$K$18)&lt;0,1,0),0)+IF(AND(OR(Settings!$B$31="Card",Settings!$B$31="Loan"),AND('Month-End'!$K$19&lt;&gt;"",NOT(_xlfn.ISFORMULA('Month-End'!$K$19)))),IF(N('Month-End'!$K$19)&lt;0,1,0),0)+IF(AND(OR(Settings!$B$32="Card",Settings!$B$32="Loan"),AND('Month-End'!$K$20&lt;&gt;"",NOT(_xlfn.ISFORMULA('Month-End'!$K$20)))),IF(N('Month-End'!$K$20)&lt;0,1,0),0)</f>
        <v/>
      </c>
      <c r="DX14">
        <f>IF(Settings!$B$36="Retirement",$AY14,0)+IF(Settings!$B$37="Retirement",$AZ14,0)+IF(Settings!$B$38="Retirement",$BA14,0)+IF(Settings!$B$39="Retirement",$BB14,0)+IF(Settings!$B$40="Retirement",$BC14,0)+IF(Settings!$B$41="Retirement",$BD14,0)</f>
        <v/>
      </c>
      <c r="EA14" t="inlineStr">
        <is>
          <t>Average Monthly Family-Paid</t>
        </is>
      </c>
      <c r="EB14">
        <f>IF(IF(COUNTIF($DM$6:$DM$183,"&gt;0")=0,"",SUMIFS($DE$6:$DE$183,$DM$6:$DM$183,"&gt;0",$DM$6:$DM$183,"&lt;="&amp;Settings!$B$10)/MIN(Settings!$B$10,COUNTIF($DM$6:$DM$183,"&gt;0")))="",Settings!$B$12,IF(COUNTIF($DM$6:$DM$183,"&gt;0")=0,"",SUMIFS($DE$6:$DE$183,$DM$6:$DM$183,"&gt;0",$DM$6:$DM$183,"&lt;="&amp;Settings!$B$10)/MIN(Settings!$B$10,COUNTIF($DM$6:$DM$183,"&gt;0"))))</f>
        <v/>
      </c>
      <c r="ET14">
        <f>IF($E14&lt;&gt;"open",0,IF(AND('Month-End'!$K$22&lt;&gt;"",NOT(_xlfn.ISFORMULA('Month-End'!$K$22))),0,IF(OR(Settings!$C$45="",Settings!$D$45=""),0,Settings!$C$45*IF(Settings!$D$45="Weekly",IF(IFERROR(MATCH(Settings!$E$45,$EO$4:$EO$10,0),0)=0,0,IF(MIN(Settings!$B$5,IF(Settings!$G$45="",Settings!$B$5,Settings!$G$45))&lt;MAX($A14,Settings!$F$45),0,INT((MIN(Settings!$B$5,IF(Settings!$G$45="",Settings!$B$5,Settings!$G$45))-MAX($A14,Settings!$F$45)-MOD(IFERROR(MATCH(Settings!$E$45,$EO$4:$EO$10,0),0)-WEEKDAY(MAX($A14,Settings!$F$45)),7))/7)+1)),IF(AND(IF(Settings!$E$45="",$B14,DATE(YEAR($A14),MONTH($A14),MIN(Settings!$E$45,DAY($B14))))&gt;=MAX($A14,Settings!$F$45),IF(Settings!$E$45="",$B14,DATE(YEAR($A14),MONTH($A14),MIN(Settings!$E$45,DAY($B14))))&lt;=MIN(Settings!$B$5,IF(Settings!$G$45="",Settings!$B$5,Settings!$G$45))),1,0)))))</f>
        <v/>
      </c>
      <c r="EU14">
        <f>IF($E14&lt;&gt;"open",0,IF(AND('Month-End'!$K$23&lt;&gt;"",NOT(_xlfn.ISFORMULA('Month-End'!$K$23))),0,IF(OR(Settings!$C$46="",Settings!$D$46=""),0,Settings!$C$46*IF(Settings!$D$46="Weekly",IF(IFERROR(MATCH(Settings!$E$46,$EO$4:$EO$10,0),0)=0,0,IF(MIN(Settings!$B$5,IF(Settings!$G$46="",Settings!$B$5,Settings!$G$46))&lt;MAX($A14,Settings!$F$46),0,INT((MIN(Settings!$B$5,IF(Settings!$G$46="",Settings!$B$5,Settings!$G$46))-MAX($A14,Settings!$F$46)-MOD(IFERROR(MATCH(Settings!$E$46,$EO$4:$EO$10,0),0)-WEEKDAY(MAX($A14,Settings!$F$46)),7))/7)+1)),IF(AND(IF(Settings!$E$46="",$B14,DATE(YEAR($A14),MONTH($A14),MIN(Settings!$E$46,DAY($B14))))&gt;=MAX($A14,Settings!$F$46),IF(Settings!$E$46="",$B14,DATE(YEAR($A14),MONTH($A14),MIN(Settings!$E$46,DAY($B14))))&lt;=MIN(Settings!$B$5,IF(Settings!$G$46="",Settings!$B$5,Settings!$G$46))),1,0)))))</f>
        <v/>
      </c>
      <c r="EV14">
        <f>IF($E14&lt;&gt;"open",0,IF(AND('Month-End'!$K$24&lt;&gt;"",NOT(_xlfn.ISFORMULA('Month-End'!$K$24))),0,IF(OR(Settings!$C$47="",Settings!$D$47=""),0,Settings!$C$47*IF(Settings!$D$47="Weekly",IF(IFERROR(MATCH(Settings!$E$47,$EO$4:$EO$10,0),0)=0,0,IF(MIN(Settings!$B$5,IF(Settings!$G$47="",Settings!$B$5,Settings!$G$47))&lt;MAX($A14,Settings!$F$47),0,INT((MIN(Settings!$B$5,IF(Settings!$G$47="",Settings!$B$5,Settings!$G$47))-MAX($A14,Settings!$F$47)-MOD(IFERROR(MATCH(Settings!$E$47,$EO$4:$EO$10,0),0)-WEEKDAY(MAX($A14,Settings!$F$47)),7))/7)+1)),IF(AND(IF(Settings!$E$47="",$B14,DATE(YEAR($A14),MONTH($A14),MIN(Settings!$E$47,DAY($B14))))&gt;=MAX($A14,Settings!$F$47),IF(Settings!$E$47="",$B14,DATE(YEAR($A14),MONTH($A14),MIN(Settings!$E$47,DAY($B14))))&lt;=MIN(Settings!$B$5,IF(Settings!$G$47="",Settings!$B$5,Settings!$G$47))),1,0)))))</f>
        <v/>
      </c>
      <c r="EW14">
        <f>IF($E14&lt;&gt;"open",0,IF(AND('Month-End'!$K$25&lt;&gt;"",NOT(_xlfn.ISFORMULA('Month-End'!$K$25))),0,IF(OR(Settings!$C$48="",Settings!$D$48=""),0,Settings!$C$48*IF(Settings!$D$48="Weekly",IF(IFERROR(MATCH(Settings!$E$48,$EO$4:$EO$10,0),0)=0,0,IF(MIN(Settings!$B$5,IF(Settings!$G$48="",Settings!$B$5,Settings!$G$48))&lt;MAX($A14,Settings!$F$48),0,INT((MIN(Settings!$B$5,IF(Settings!$G$48="",Settings!$B$5,Settings!$G$48))-MAX($A14,Settings!$F$48)-MOD(IFERROR(MATCH(Settings!$E$48,$EO$4:$EO$10,0),0)-WEEKDAY(MAX($A14,Settings!$F$48)),7))/7)+1)),IF(AND(IF(Settings!$E$48="",$B14,DATE(YEAR($A14),MONTH($A14),MIN(Settings!$E$48,DAY($B14))))&gt;=MAX($A14,Settings!$F$48),IF(Settings!$E$48="",$B14,DATE(YEAR($A14),MONTH($A14),MIN(Settings!$E$48,DAY($B14))))&lt;=MIN(Settings!$B$5,IF(Settings!$G$48="",Settings!$B$5,Settings!$G$48))),1,0)))))</f>
        <v/>
      </c>
      <c r="EX14">
        <f>IF($E14&lt;&gt;"open",0,IF(AND('Month-End'!$K$26&lt;&gt;"",NOT(_xlfn.ISFORMULA('Month-End'!$K$26))),0,IF(OR(Settings!$C$49="",Settings!$D$49=""),0,Settings!$C$49*IF(Settings!$D$49="Weekly",IF(IFERROR(MATCH(Settings!$E$49,$EO$4:$EO$10,0),0)=0,0,IF(MIN(Settings!$B$5,IF(Settings!$G$49="",Settings!$B$5,Settings!$G$49))&lt;MAX($A14,Settings!$F$49),0,INT((MIN(Settings!$B$5,IF(Settings!$G$49="",Settings!$B$5,Settings!$G$49))-MAX($A14,Settings!$F$49)-MOD(IFERROR(MATCH(Settings!$E$49,$EO$4:$EO$10,0),0)-WEEKDAY(MAX($A14,Settings!$F$49)),7))/7)+1)),IF(AND(IF(Settings!$E$49="",$B14,DATE(YEAR($A14),MONTH($A14),MIN(Settings!$E$49,DAY($B14))))&gt;=MAX($A14,Settings!$F$49),IF(Settings!$E$49="",$B14,DATE(YEAR($A14),MONTH($A14),MIN(Settings!$E$49,DAY($B14))))&lt;=MIN(Settings!$B$5,IF(Settings!$G$49="",Settings!$B$5,Settings!$G$49))),1,0)))))</f>
        <v/>
      </c>
      <c r="EY14">
        <f>IF($E14&lt;&gt;"open",0,IF(AND('Month-End'!$K$27&lt;&gt;"",NOT(_xlfn.ISFORMULA('Month-End'!$K$27))),0,IF(OR(Settings!$C$50="",Settings!$D$50=""),0,Settings!$C$50*IF(Settings!$D$50="Weekly",IF(IFERROR(MATCH(Settings!$E$50,$EO$4:$EO$10,0),0)=0,0,IF(MIN(Settings!$B$5,IF(Settings!$G$50="",Settings!$B$5,Settings!$G$50))&lt;MAX($A14,Settings!$F$50),0,INT((MIN(Settings!$B$5,IF(Settings!$G$50="",Settings!$B$5,Settings!$G$50))-MAX($A14,Settings!$F$50)-MOD(IFERROR(MATCH(Settings!$E$50,$EO$4:$EO$10,0),0)-WEEKDAY(MAX($A14,Settings!$F$50)),7))/7)+1)),IF(AND(IF(Settings!$E$50="",$B14,DATE(YEAR($A14),MONTH($A14),MIN(Settings!$E$50,DAY($B14))))&gt;=MAX($A14,Settings!$F$50),IF(Settings!$E$50="",$B14,DATE(YEAR($A14),MONTH($A14),MIN(Settings!$E$50,DAY($B14))))&lt;=MIN(Settings!$B$5,IF(Settings!$G$50="",Settings!$B$5,Settings!$G$50))),1,0)))))</f>
        <v/>
      </c>
      <c r="EZ14">
        <f>IF($E14&lt;&gt;"open",0,IF(AND('Month-End'!$K$28&lt;&gt;"",NOT(_xlfn.ISFORMULA('Month-End'!$K$28))),0,IF(OR(Settings!$C$51="",Settings!$D$51=""),0,Settings!$C$51*IF(Settings!$D$51="Weekly",IF(IFERROR(MATCH(Settings!$E$51,$EO$4:$EO$10,0),0)=0,0,IF(MIN(Settings!$B$5,IF(Settings!$G$51="",Settings!$B$5,Settings!$G$51))&lt;MAX($A14,Settings!$F$51),0,INT((MIN(Settings!$B$5,IF(Settings!$G$51="",Settings!$B$5,Settings!$G$51))-MAX($A14,Settings!$F$51)-MOD(IFERROR(MATCH(Settings!$E$51,$EO$4:$EO$10,0),0)-WEEKDAY(MAX($A14,Settings!$F$51)),7))/7)+1)),IF(AND(IF(Settings!$E$51="",$B14,DATE(YEAR($A14),MONTH($A14),MIN(Settings!$E$51,DAY($B14))))&gt;=MAX($A14,Settings!$F$51),IF(Settings!$E$51="",$B14,DATE(YEAR($A14),MONTH($A14),MIN(Settings!$E$51,DAY($B14))))&lt;=MIN(Settings!$B$5,IF(Settings!$G$51="",Settings!$B$5,Settings!$G$51))),1,0)))))</f>
        <v/>
      </c>
      <c r="FA14">
        <f>IF($E14&lt;&gt;"open",0,IF(AND('Month-End'!$K$29&lt;&gt;"",NOT(_xlfn.ISFORMULA('Month-End'!$K$29))),0,IF(OR(Settings!$C$52="",Settings!$D$52=""),0,Settings!$C$52*IF(Settings!$D$52="Weekly",IF(IFERROR(MATCH(Settings!$E$52,$EO$4:$EO$10,0),0)=0,0,IF(MIN(Settings!$B$5,IF(Settings!$G$52="",Settings!$B$5,Settings!$G$52))&lt;MAX($A14,Settings!$F$52),0,INT((MIN(Settings!$B$5,IF(Settings!$G$52="",Settings!$B$5,Settings!$G$52))-MAX($A14,Settings!$F$52)-MOD(IFERROR(MATCH(Settings!$E$52,$EO$4:$EO$10,0),0)-WEEKDAY(MAX($A14,Settings!$F$52)),7))/7)+1)),IF(AND(IF(Settings!$E$52="",$B14,DATE(YEAR($A14),MONTH($A14),MIN(Settings!$E$52,DAY($B14))))&gt;=MAX($A14,Settings!$F$52),IF(Settings!$E$52="",$B14,DATE(YEAR($A14),MONTH($A14),MIN(Settings!$E$52,DAY($B14))))&lt;=MIN(Settings!$B$5,IF(Settings!$G$52="",Settings!$B$5,Settings!$G$52))),1,0)))))</f>
        <v/>
      </c>
      <c r="FB14">
        <f>IF($E14&lt;&gt;"open",0,IF(AND('Month-End'!$K$30&lt;&gt;"",NOT(_xlfn.ISFORMULA('Month-End'!$K$30))),0,IF(OR(Settings!$C$53="",Settings!$D$53=""),0,Settings!$C$53*IF(Settings!$D$53="Weekly",IF(IFERROR(MATCH(Settings!$E$53,$EO$4:$EO$10,0),0)=0,0,IF(MIN(Settings!$B$5,IF(Settings!$G$53="",Settings!$B$5,Settings!$G$53))&lt;MAX($A14,Settings!$F$53),0,INT((MIN(Settings!$B$5,IF(Settings!$G$53="",Settings!$B$5,Settings!$G$53))-MAX($A14,Settings!$F$53)-MOD(IFERROR(MATCH(Settings!$E$53,$EO$4:$EO$10,0),0)-WEEKDAY(MAX($A14,Settings!$F$53)),7))/7)+1)),IF(AND(IF(Settings!$E$53="",$B14,DATE(YEAR($A14),MONTH($A14),MIN(Settings!$E$53,DAY($B14))))&gt;=MAX($A14,Settings!$F$53),IF(Settings!$E$53="",$B14,DATE(YEAR($A14),MONTH($A14),MIN(Settings!$E$53,DAY($B14))))&lt;=MIN(Settings!$B$5,IF(Settings!$G$53="",Settings!$B$5,Settings!$G$53))),1,0)))))</f>
        <v/>
      </c>
      <c r="FC14">
        <f>IF($E14&lt;&gt;"open",0,IF(AND('Month-End'!$K$31&lt;&gt;"",NOT(_xlfn.ISFORMULA('Month-End'!$K$31))),0,IF(OR(Settings!$C$54="",Settings!$D$54=""),0,Settings!$C$54*IF(Settings!$D$54="Weekly",IF(IFERROR(MATCH(Settings!$E$54,$EO$4:$EO$10,0),0)=0,0,IF(MIN(Settings!$B$5,IF(Settings!$G$54="",Settings!$B$5,Settings!$G$54))&lt;MAX($A14,Settings!$F$54),0,INT((MIN(Settings!$B$5,IF(Settings!$G$54="",Settings!$B$5,Settings!$G$54))-MAX($A14,Settings!$F$54)-MOD(IFERROR(MATCH(Settings!$E$54,$EO$4:$EO$10,0),0)-WEEKDAY(MAX($A14,Settings!$F$54)),7))/7)+1)),IF(AND(IF(Settings!$E$54="",$B14,DATE(YEAR($A14),MONTH($A14),MIN(Settings!$E$54,DAY($B14))))&gt;=MAX($A14,Settings!$F$54),IF(Settings!$E$54="",$B14,DATE(YEAR($A14),MONTH($A14),MIN(Settings!$E$54,DAY($B14))))&lt;=MIN(Settings!$B$5,IF(Settings!$G$54="",Settings!$B$5,Settings!$G$54))),1,0)))))</f>
        <v/>
      </c>
      <c r="FD14">
        <f>IF($E14&lt;&gt;"open",0,IF(AND('Month-End'!$K$32&lt;&gt;"",NOT(_xlfn.ISFORMULA('Month-End'!$K$32))),0,IF(OR(Settings!$C$55="",Settings!$D$55=""),0,Settings!$C$55*IF(Settings!$D$55="Weekly",IF(IFERROR(MATCH(Settings!$E$55,$EO$4:$EO$10,0),0)=0,0,IF(MIN(Settings!$B$5,IF(Settings!$G$55="",Settings!$B$5,Settings!$G$55))&lt;MAX($A14,Settings!$F$55),0,INT((MIN(Settings!$B$5,IF(Settings!$G$55="",Settings!$B$5,Settings!$G$55))-MAX($A14,Settings!$F$55)-MOD(IFERROR(MATCH(Settings!$E$55,$EO$4:$EO$10,0),0)-WEEKDAY(MAX($A14,Settings!$F$55)),7))/7)+1)),IF(AND(IF(Settings!$E$55="",$B14,DATE(YEAR($A14),MONTH($A14),MIN(Settings!$E$55,DAY($B14))))&gt;=MAX($A14,Settings!$F$55),IF(Settings!$E$55="",$B14,DATE(YEAR($A14),MONTH($A14),MIN(Settings!$E$55,DAY($B14))))&lt;=MIN(Settings!$B$5,IF(Settings!$G$55="",Settings!$B$5,Settings!$G$55))),1,0)))))</f>
        <v/>
      </c>
      <c r="FE14">
        <f>IF($E14&lt;&gt;"open",0,IF(AND('Month-End'!$K$33&lt;&gt;"",NOT(_xlfn.ISFORMULA('Month-End'!$K$33))),0,IF(OR(Settings!$C$56="",Settings!$D$56=""),0,Settings!$C$56*IF(Settings!$D$56="Weekly",IF(IFERROR(MATCH(Settings!$E$56,$EO$4:$EO$10,0),0)=0,0,IF(MIN(Settings!$B$5,IF(Settings!$G$56="",Settings!$B$5,Settings!$G$56))&lt;MAX($A14,Settings!$F$56),0,INT((MIN(Settings!$B$5,IF(Settings!$G$56="",Settings!$B$5,Settings!$G$56))-MAX($A14,Settings!$F$56)-MOD(IFERROR(MATCH(Settings!$E$56,$EO$4:$EO$10,0),0)-WEEKDAY(MAX($A14,Settings!$F$56)),7))/7)+1)),IF(AND(IF(Settings!$E$56="",$B14,DATE(YEAR($A14),MONTH($A14),MIN(Settings!$E$56,DAY($B14))))&gt;=MAX($A14,Settings!$F$56),IF(Settings!$E$56="",$B14,DATE(YEAR($A14),MONTH($A14),MIN(Settings!$E$56,DAY($B14))))&lt;=MIN(Settings!$B$5,IF(Settings!$G$56="",Settings!$B$5,Settings!$G$56))),1,0)))))</f>
        <v/>
      </c>
      <c r="FF14">
        <f>IF(Settings!$I$45="Yes",$G14,0)+IF(Settings!$I$46="Yes",$H14,0)+IF(Settings!$I$47="Yes",$I14,0)+IF(Settings!$I$48="Yes",$J14,0)+IF(Settings!$I$49="Yes",$K14,0)+IF(Settings!$I$50="Yes",$L14,0)+IF(Settings!$I$51="Yes",$M14,0)+IF(Settings!$I$52="Yes",$N14,0)+IF(Settings!$I$53="Yes",$O14,0)+IF(Settings!$I$54="Yes",$P14,0)+IF(Settings!$I$55="Yes",$Q14,0)+IF(Settings!$I$56="Yes",$R14,0)</f>
        <v/>
      </c>
      <c r="FG14">
        <f>IF(AND(Settings!$I$45="Yes",Settings!$J$45="No"),$G14,0)+IF(AND(Settings!$I$46="Yes",Settings!$J$46="No"),$H14,0)+IF(AND(Settings!$I$47="Yes",Settings!$J$47="No"),$I14,0)+IF(AND(Settings!$I$48="Yes",Settings!$J$48="No"),$J14,0)+IF(AND(Settings!$I$49="Yes",Settings!$J$49="No"),$K14,0)+IF(AND(Settings!$I$50="Yes",Settings!$J$50="No"),$L14,0)+IF(AND(Settings!$I$51="Yes",Settings!$J$51="No"),$M14,0)+IF(AND(Settings!$I$52="Yes",Settings!$J$52="No"),$N14,0)+IF(AND(Settings!$I$53="Yes",Settings!$J$53="No"),$O14,0)+IF(AND(Settings!$I$54="Yes",Settings!$J$54="No"),$P14,0)+IF(AND(Settings!$I$55="Yes",Settings!$J$55="No"),$Q14,0)+IF(AND(Settings!$I$56="Yes",Settings!$J$56="No"),$R14,0)</f>
        <v/>
      </c>
      <c r="FH14">
        <f>SUMIFS(Giving!$B$7:$B$2006,Giving!$A$7:$A$2006,"&gt;="&amp;$A14,Giving!$A$7:$A$2006,"&lt;="&amp;$B14,Giving!$G$7:$G$2006,"Yes")+IF(OR(OR(Settings!$B$60="",Settings!$F$60="No"),Settings!$H$60&lt;&gt;"Yes"),0,Settings!$B$60*IF(AND(IF(Settings!$C$60="",$B14,DATE(YEAR($A14),MONTH($A14),MIN(Settings!$C$60,DAY($B14))))&gt;=MAX($A14,Settings!$D$60),IF(Settings!$C$60="",$B14,DATE(YEAR($A14),MONTH($A14),MIN(Settings!$C$60,DAY($B14))))&lt;=MIN($C14,IF(Settings!$E$60="",$C14,Settings!$E$60))),1,0))+IF(OR(OR(Settings!$B$61="",Settings!$F$61="No"),Settings!$H$61&lt;&gt;"Yes"),0,Settings!$B$61*IF(AND(IF(Settings!$C$61="",$B14,DATE(YEAR($A14),MONTH($A14),MIN(Settings!$C$61,DAY($B14))))&gt;=MAX($A14,Settings!$D$61),IF(Settings!$C$61="",$B14,DATE(YEAR($A14),MONTH($A14),MIN(Settings!$C$61,DAY($B14))))&lt;=MIN($C14,IF(Settings!$E$61="",$C14,Settings!$E$61))),1,0))+IF(OR(OR(Settings!$B$62="",Settings!$F$62="No"),Settings!$H$62&lt;&gt;"Yes"),0,Settings!$B$62*IF(AND(IF(Settings!$C$62="",$B14,DATE(YEAR($A14),MONTH($A14),MIN(Settings!$C$62,DAY($B14))))&gt;=MAX($A14,Settings!$D$62),IF(Settings!$C$62="",$B14,DATE(YEAR($A14),MONTH($A14),MIN(Settings!$C$62,DAY($B14))))&lt;=MIN($C14,IF(Settings!$E$62="",$C14,Settings!$E$62))),1,0))+IF(OR(OR(Settings!$B$63="",Settings!$F$63="No"),Settings!$H$63&lt;&gt;"Yes"),0,Settings!$B$63*IF(AND(IF(Settings!$C$63="",$B14,DATE(YEAR($A14),MONTH($A14),MIN(Settings!$C$63,DAY($B14))))&gt;=MAX($A14,Settings!$D$63),IF(Settings!$C$63="",$B14,DATE(YEAR($A14),MONTH($A14),MIN(Settings!$C$63,DAY($B14))))&lt;=MIN($C14,IF(Settings!$E$63="",$C14,Settings!$E$63))),1,0))+IF(OR(OR(Settings!$B$64="",Settings!$F$64="No"),Settings!$H$64&lt;&gt;"Yes"),0,Settings!$B$64*IF(AND(IF(Settings!$C$64="",$B14,DATE(YEAR($A14),MONTH($A14),MIN(Settings!$C$64,DAY($B14))))&gt;=MAX($A14,Settings!$D$64),IF(Settings!$C$64="",$B14,DATE(YEAR($A14),MONTH($A14),MIN(Settings!$C$64,DAY($B14))))&lt;=MIN($C14,IF(Settings!$E$64="",$C14,Settings!$E$64))),1,0))+IF(OR(OR(Settings!$B$65="",Settings!$F$65="No"),Settings!$H$65&lt;&gt;"Yes"),0,Settings!$B$65*IF(AND(IF(Settings!$C$65="",$B14,DATE(YEAR($A14),MONTH($A14),MIN(Settings!$C$65,DAY($B14))))&gt;=MAX($A14,Settings!$D$65),IF(Settings!$C$65="",$B14,DATE(YEAR($A14),MONTH($A14),MIN(Settings!$C$65,DAY($B14))))&lt;=MIN($C14,IF(Settings!$E$65="",$C14,Settings!$E$65))),1,0))</f>
        <v/>
      </c>
      <c r="FI14">
        <f>IF($DT14=1,IF(OR(Settings!$B$19="Card",Settings!$B$19="Loan"),N($AE14),0)+IF(OR(Settings!$B$20="Card",Settings!$B$20="Loan"),N($AF14),0)+IF(OR(Settings!$B$21="Card",Settings!$B$21="Loan"),N($AG14),0)+IF(OR(Settings!$B$22="Card",Settings!$B$22="Loan"),N($AH14),0)+IF(OR(Settings!$B$23="Card",Settings!$B$23="Loan"),N($AI14),0)+IF(OR(Settings!$B$24="Card",Settings!$B$24="Loan"),N($AJ14),0)+IF(OR(Settings!$B$25="Card",Settings!$B$25="Loan"),N($AK14),0)+IF(OR(Settings!$B$26="Card",Settings!$B$26="Loan"),N($AL14),0)+IF(OR(Settings!$B$27="Card",Settings!$B$27="Loan"),N($AM14),0)+IF(OR(Settings!$B$28="Card",Settings!$B$28="Loan"),N($AN14),0)+IF(OR(Settings!$B$29="Card",Settings!$B$29="Loan"),N($AO14),0)+IF(OR(Settings!$B$30="Card",Settings!$B$30="Loan"),N($AP14),0)+IF(OR(Settings!$B$31="Card",Settings!$B$31="Loan"),N($AQ14),0)+IF(OR(Settings!$B$32="Card",Settings!$B$32="Loan"),N($AR14),0),"")</f>
        <v/>
      </c>
      <c r="FJ14">
        <f>IF($E14="open",$EB$65,IF($E14="post",IF($E13="pre",$EB$65,$FI13),""))</f>
        <v/>
      </c>
      <c r="FK14">
        <f>IF(AND($DT14=1,$DC14=1),IF(ROUND($FI14-$FJ14,2)&gt;0,1,0),0)</f>
        <v/>
      </c>
      <c r="FL14">
        <f>IF($FK14=1,$FL13+1,0)</f>
        <v/>
      </c>
    </row>
    <row r="15">
      <c r="A15">
        <f>'Month-End'!$L$4</f>
        <v/>
      </c>
      <c r="B15">
        <f>EOMONTH($A15,0)</f>
        <v/>
      </c>
      <c r="C15">
        <f>MIN($B15,TODAY())</f>
        <v/>
      </c>
      <c r="D15">
        <f>IF($A15&gt;TODAY(),1,0)</f>
        <v/>
      </c>
      <c r="E15">
        <f>IF($B15&lt;=Settings!$B$5,"pre",IF($A15&lt;=Settings!$B$5,"open","post"))</f>
        <v/>
      </c>
      <c r="G15">
        <f>IF('Month-End'!$L$22="",$BE15,N('Month-End'!$L$22))</f>
        <v/>
      </c>
      <c r="H15">
        <f>IF('Month-End'!$L$23="",$BF15,N('Month-End'!$L$23))</f>
        <v/>
      </c>
      <c r="I15">
        <f>IF('Month-End'!$L$24="",$BG15,N('Month-End'!$L$24))</f>
        <v/>
      </c>
      <c r="J15">
        <f>IF('Month-End'!$L$25="",$BH15,N('Month-End'!$L$25))</f>
        <v/>
      </c>
      <c r="K15">
        <f>IF('Month-End'!$L$26="",$BI15,N('Month-End'!$L$26))</f>
        <v/>
      </c>
      <c r="L15">
        <f>IF('Month-End'!$L$27="",$BJ15,N('Month-End'!$L$27))</f>
        <v/>
      </c>
      <c r="M15">
        <f>IF('Month-End'!$L$28="",$BK15,N('Month-End'!$L$28))</f>
        <v/>
      </c>
      <c r="N15">
        <f>IF('Month-End'!$L$29="",$BL15,N('Month-End'!$L$29))</f>
        <v/>
      </c>
      <c r="O15">
        <f>IF('Month-End'!$L$30="",$BM15,N('Month-End'!$L$30))</f>
        <v/>
      </c>
      <c r="P15">
        <f>IF('Month-End'!$L$31="",$BN15,N('Month-End'!$L$31))</f>
        <v/>
      </c>
      <c r="Q15">
        <f>IF('Month-End'!$L$32="",$BO15,N('Month-End'!$L$32))</f>
        <v/>
      </c>
      <c r="R15">
        <f>IF('Month-End'!$L$33="",$BP15,N('Month-End'!$L$33))</f>
        <v/>
      </c>
      <c r="S15">
        <f>$G15+$H15+$I15+$J15+$K15+$L15+$M15+$N15+$O15+$P15+$Q15+$R15</f>
        <v/>
      </c>
      <c r="T15">
        <f>IF($B15&lt;Settings!$B$6,0,IF(Settings!$B$45="Yes",$G15,0)+IF(Settings!$B$46="Yes",$H15,0)+IF(Settings!$B$47="Yes",$I15,0)+IF(Settings!$B$48="Yes",$J15,0)+IF(Settings!$B$49="Yes",$K15,0)+IF(Settings!$B$50="Yes",$L15,0)+IF(Settings!$B$51="Yes",$M15,0)+IF(Settings!$B$52="Yes",$N15,0)+IF(Settings!$B$53="Yes",$O15,0)+IF(Settings!$B$54="Yes",$P15,0)+IF(Settings!$B$55="Yes",$Q15,0)+IF(Settings!$B$56="Yes",$R15,0))</f>
        <v/>
      </c>
      <c r="U15">
        <f>IF(Settings!$B$45="Not Sure",$G15,0)+IF(Settings!$B$46="Not Sure",$H15,0)+IF(Settings!$B$47="Not Sure",$I15,0)+IF(Settings!$B$48="Not Sure",$J15,0)+IF(Settings!$B$49="Not Sure",$K15,0)+IF(Settings!$B$50="Not Sure",$L15,0)+IF(Settings!$B$51="Not Sure",$M15,0)+IF(Settings!$B$52="Not Sure",$N15,0)+IF(Settings!$B$53="Not Sure",$O15,0)+IF(Settings!$B$54="Not Sure",$P15,0)+IF(Settings!$B$55="Not Sure",$Q15,0)+IF(Settings!$B$56="Not Sure",$R15,0)</f>
        <v/>
      </c>
      <c r="V15">
        <f>IF($E15="open",SUM($ET15:$FE15)+N(Settings!$B$13),0)</f>
        <v/>
      </c>
      <c r="W15">
        <f>IF($E15="post",$S15,IF($E15="open",$S15-$V15,0))</f>
        <v/>
      </c>
      <c r="X15">
        <f>SUMIFS(Giving!$B$7:$B$2006,Giving!$A$7:$A$2006,"&gt;="&amp;$A15,Giving!$A$7:$A$2006,"&lt;="&amp;$B15,Giving!$E$7:$E$2006,"&lt;&gt;No")</f>
        <v/>
      </c>
      <c r="Y15">
        <f>SUMIFS(Giving!$B$7:$B$2006,Giving!$A$7:$A$2006,"&gt;="&amp;$A15,Giving!$A$7:$A$2006,"&lt;="&amp;$B15,Giving!$E$7:$E$2006,"No")</f>
        <v/>
      </c>
      <c r="Z15">
        <f>IF(OR(Settings!$B$60="",Settings!$F$60="No"),0,Settings!$B$60*IF(AND(IF(Settings!$C$60="",$B15,DATE(YEAR($A15),MONTH($A15),MIN(Settings!$C$60,DAY($B15))))&gt;=MAX($A15,Settings!$D$60),IF(Settings!$C$60="",$B15,DATE(YEAR($A15),MONTH($A15),MIN(Settings!$C$60,DAY($B15))))&lt;=MIN($C15,IF(Settings!$E$60="",$C15,Settings!$E$60))),1,0))+IF(OR(Settings!$B$61="",Settings!$F$61="No"),0,Settings!$B$61*IF(AND(IF(Settings!$C$61="",$B15,DATE(YEAR($A15),MONTH($A15),MIN(Settings!$C$61,DAY($B15))))&gt;=MAX($A15,Settings!$D$61),IF(Settings!$C$61="",$B15,DATE(YEAR($A15),MONTH($A15),MIN(Settings!$C$61,DAY($B15))))&lt;=MIN($C15,IF(Settings!$E$61="",$C15,Settings!$E$61))),1,0))+IF(OR(Settings!$B$62="",Settings!$F$62="No"),0,Settings!$B$62*IF(AND(IF(Settings!$C$62="",$B15,DATE(YEAR($A15),MONTH($A15),MIN(Settings!$C$62,DAY($B15))))&gt;=MAX($A15,Settings!$D$62),IF(Settings!$C$62="",$B15,DATE(YEAR($A15),MONTH($A15),MIN(Settings!$C$62,DAY($B15))))&lt;=MIN($C15,IF(Settings!$E$62="",$C15,Settings!$E$62))),1,0))+IF(OR(Settings!$B$63="",Settings!$F$63="No"),0,Settings!$B$63*IF(AND(IF(Settings!$C$63="",$B15,DATE(YEAR($A15),MONTH($A15),MIN(Settings!$C$63,DAY($B15))))&gt;=MAX($A15,Settings!$D$63),IF(Settings!$C$63="",$B15,DATE(YEAR($A15),MONTH($A15),MIN(Settings!$C$63,DAY($B15))))&lt;=MIN($C15,IF(Settings!$E$63="",$C15,Settings!$E$63))),1,0))+IF(OR(Settings!$B$64="",Settings!$F$64="No"),0,Settings!$B$64*IF(AND(IF(Settings!$C$64="",$B15,DATE(YEAR($A15),MONTH($A15),MIN(Settings!$C$64,DAY($B15))))&gt;=MAX($A15,Settings!$D$64),IF(Settings!$C$64="",$B15,DATE(YEAR($A15),MONTH($A15),MIN(Settings!$C$64,DAY($B15))))&lt;=MIN($C15,IF(Settings!$E$64="",$C15,Settings!$E$64))),1,0))+IF(OR(Settings!$B$65="",Settings!$F$65="No"),0,Settings!$B$65*IF(AND(IF(Settings!$C$65="",$B15,DATE(YEAR($A15),MONTH($A15),MIN(Settings!$C$65,DAY($B15))))&gt;=MAX($A15,Settings!$D$65),IF(Settings!$C$65="",$B15,DATE(YEAR($A15),MONTH($A15),MIN(Settings!$C$65,DAY($B15))))&lt;=MIN($C15,IF(Settings!$E$65="",$C15,Settings!$E$65))),1,0))</f>
        <v/>
      </c>
      <c r="AA15">
        <f>$X15+$Z15</f>
        <v/>
      </c>
      <c r="AB15">
        <f>IF($E15="post",$AA15,IF($E15="open",SUMIFS(Giving!$B$7:$B$2006,Giving!$A$7:$A$2006,"&gt;"&amp;Settings!$B$5,Giving!$A$7:$A$2006,"&lt;="&amp;$B15,Giving!$E$7:$E$2006,"&lt;&gt;No")+IF(OR(Settings!$B$60="",Settings!$F$60="No"),0,Settings!$B$60*IF(AND(IF(Settings!$C$60="",$B15,DATE(YEAR($A15),MONTH($A15),MIN(Settings!$C$60,DAY($B15))))&gt;=MAX($A15,Settings!$D$60,Settings!$B$5+1),IF(Settings!$C$60="",$B15,DATE(YEAR($A15),MONTH($A15),MIN(Settings!$C$60,DAY($B15))))&lt;=MIN($C15,IF(Settings!$E$60="",$C15,Settings!$E$60))),1,0))+IF(OR(Settings!$B$61="",Settings!$F$61="No"),0,Settings!$B$61*IF(AND(IF(Settings!$C$61="",$B15,DATE(YEAR($A15),MONTH($A15),MIN(Settings!$C$61,DAY($B15))))&gt;=MAX($A15,Settings!$D$61,Settings!$B$5+1),IF(Settings!$C$61="",$B15,DATE(YEAR($A15),MONTH($A15),MIN(Settings!$C$61,DAY($B15))))&lt;=MIN($C15,IF(Settings!$E$61="",$C15,Settings!$E$61))),1,0))+IF(OR(Settings!$B$62="",Settings!$F$62="No"),0,Settings!$B$62*IF(AND(IF(Settings!$C$62="",$B15,DATE(YEAR($A15),MONTH($A15),MIN(Settings!$C$62,DAY($B15))))&gt;=MAX($A15,Settings!$D$62,Settings!$B$5+1),IF(Settings!$C$62="",$B15,DATE(YEAR($A15),MONTH($A15),MIN(Settings!$C$62,DAY($B15))))&lt;=MIN($C15,IF(Settings!$E$62="",$C15,Settings!$E$62))),1,0))+IF(OR(Settings!$B$63="",Settings!$F$63="No"),0,Settings!$B$63*IF(AND(IF(Settings!$C$63="",$B15,DATE(YEAR($A15),MONTH($A15),MIN(Settings!$C$63,DAY($B15))))&gt;=MAX($A15,Settings!$D$63,Settings!$B$5+1),IF(Settings!$C$63="",$B15,DATE(YEAR($A15),MONTH($A15),MIN(Settings!$C$63,DAY($B15))))&lt;=MIN($C15,IF(Settings!$E$63="",$C15,Settings!$E$63))),1,0))+IF(OR(Settings!$B$64="",Settings!$F$64="No"),0,Settings!$B$64*IF(AND(IF(Settings!$C$64="",$B15,DATE(YEAR($A15),MONTH($A15),MIN(Settings!$C$64,DAY($B15))))&gt;=MAX($A15,Settings!$D$64,Settings!$B$5+1),IF(Settings!$C$64="",$B15,DATE(YEAR($A15),MONTH($A15),MIN(Settings!$C$64,DAY($B15))))&lt;=MIN($C15,IF(Settings!$E$64="",$C15,Settings!$E$64))),1,0))+IF(OR(Settings!$B$65="",Settings!$F$65="No"),0,Settings!$B$65*IF(AND(IF(Settings!$C$65="",$B15,DATE(YEAR($A15),MONTH($A15),MIN(Settings!$C$65,DAY($B15))))&gt;=MAX($A15,Settings!$D$65,Settings!$B$5+1),IF(Settings!$C$65="",$B15,DATE(YEAR($A15),MONTH($A15),MIN(Settings!$C$65,DAY($B15))))&lt;=MIN($C15,IF(Settings!$E$65="",$C15,Settings!$E$65))),1,0)),0))</f>
        <v/>
      </c>
      <c r="AC15">
        <f>$AY15+$AZ15+$BA15+$BB15+$BC15+$BD15</f>
        <v/>
      </c>
      <c r="AD15">
        <f>$AC15</f>
        <v/>
      </c>
      <c r="AE15">
        <f>IF(OR(Settings!$A$19="",$E15="pre"),"",IF(AND('Month-End'!$L$7&lt;&gt;"",NOT(_xlfn.ISFORMULA('Month-End'!$L$7))),N('Month-End'!$L$7),IF(OR($E15="open",$E14="pre"),N(Settings!$C$19),N($AE14))))</f>
        <v/>
      </c>
      <c r="AF15">
        <f>IF(OR(Settings!$A$20="",$E15="pre"),"",IF(AND('Month-End'!$L$8&lt;&gt;"",NOT(_xlfn.ISFORMULA('Month-End'!$L$8))),N('Month-End'!$L$8),IF(OR($E15="open",$E14="pre"),N(Settings!$C$20),N($AF14))))</f>
        <v/>
      </c>
      <c r="AG15">
        <f>IF(OR(Settings!$A$21="",$E15="pre"),"",IF(AND('Month-End'!$L$9&lt;&gt;"",NOT(_xlfn.ISFORMULA('Month-End'!$L$9))),N('Month-End'!$L$9),IF(OR($E15="open",$E14="pre"),N(Settings!$C$21),N($AG14))))</f>
        <v/>
      </c>
      <c r="AH15">
        <f>IF(OR(Settings!$A$22="",$E15="pre"),"",IF(AND('Month-End'!$L$10&lt;&gt;"",NOT(_xlfn.ISFORMULA('Month-End'!$L$10))),N('Month-End'!$L$10),IF(OR($E15="open",$E14="pre"),N(Settings!$C$22),N($AH14))))</f>
        <v/>
      </c>
      <c r="AI15">
        <f>IF(OR(Settings!$A$23="",$E15="pre"),"",IF(AND('Month-End'!$L$11&lt;&gt;"",NOT(_xlfn.ISFORMULA('Month-End'!$L$11))),N('Month-End'!$L$11),IF(OR($E15="open",$E14="pre"),N(Settings!$C$23),N($AI14))))</f>
        <v/>
      </c>
      <c r="AJ15">
        <f>IF(OR(Settings!$A$24="",$E15="pre"),"",IF(AND('Month-End'!$L$12&lt;&gt;"",NOT(_xlfn.ISFORMULA('Month-End'!$L$12))),N('Month-End'!$L$12),IF(OR($E15="open",$E14="pre"),N(Settings!$C$24),N($AJ14))))</f>
        <v/>
      </c>
      <c r="AK15">
        <f>IF(OR(Settings!$A$25="",$E15="pre"),"",IF(AND('Month-End'!$L$13&lt;&gt;"",NOT(_xlfn.ISFORMULA('Month-End'!$L$13))),N('Month-End'!$L$13),IF(OR($E15="open",$E14="pre"),N(Settings!$C$25),N($AK14))))</f>
        <v/>
      </c>
      <c r="AL15">
        <f>IF(OR(Settings!$A$26="",$E15="pre"),"",IF(AND('Month-End'!$L$14&lt;&gt;"",NOT(_xlfn.ISFORMULA('Month-End'!$L$14))),N('Month-End'!$L$14),IF(OR($E15="open",$E14="pre"),N(Settings!$C$26),N($AL14))))</f>
        <v/>
      </c>
      <c r="AM15">
        <f>IF(OR(Settings!$A$27="",$E15="pre"),"",IF(AND('Month-End'!$L$15&lt;&gt;"",NOT(_xlfn.ISFORMULA('Month-End'!$L$15))),N('Month-End'!$L$15),IF(OR($E15="open",$E14="pre"),N(Settings!$C$27),N($AM14))))</f>
        <v/>
      </c>
      <c r="AN15">
        <f>IF(OR(Settings!$A$28="",$E15="pre"),"",IF(AND('Month-End'!$L$16&lt;&gt;"",NOT(_xlfn.ISFORMULA('Month-End'!$L$16))),N('Month-End'!$L$16),IF(OR($E15="open",$E14="pre"),N(Settings!$C$28),N($AN14))))</f>
        <v/>
      </c>
      <c r="AO15">
        <f>IF(OR(Settings!$A$29="",$E15="pre"),"",IF(AND('Month-End'!$L$17&lt;&gt;"",NOT(_xlfn.ISFORMULA('Month-End'!$L$17))),N('Month-End'!$L$17),IF(OR($E15="open",$E14="pre"),N(Settings!$C$29),N($AO14))))</f>
        <v/>
      </c>
      <c r="AP15">
        <f>IF(OR(Settings!$A$30="",$E15="pre"),"",IF(AND('Month-End'!$L$18&lt;&gt;"",NOT(_xlfn.ISFORMULA('Month-End'!$L$18))),N('Month-End'!$L$18),IF(OR($E15="open",$E14="pre"),N(Settings!$C$30),N($AP14))))</f>
        <v/>
      </c>
      <c r="AQ15">
        <f>IF(OR(Settings!$A$31="",$E15="pre"),"",IF(AND('Month-End'!$L$19&lt;&gt;"",NOT(_xlfn.ISFORMULA('Month-End'!$L$19))),N('Month-End'!$L$19),IF(OR($E15="open",$E14="pre"),N(Settings!$C$31),N($AQ14))))</f>
        <v/>
      </c>
      <c r="AR15">
        <f>IF(OR(Settings!$A$32="",$E15="pre"),"",IF(AND('Month-End'!$L$20&lt;&gt;"",NOT(_xlfn.ISFORMULA('Month-End'!$L$20))),N('Month-End'!$L$20),IF(OR($E15="open",$E14="pre"),N(Settings!$C$32),N($AR14))))</f>
        <v/>
      </c>
      <c r="AS15">
        <f>IF(OR(Settings!$A$36="",$E15="pre"),"",IF(AND('Month-End'!$L$38&lt;&gt;"",NOT(_xlfn.ISFORMULA('Month-End'!$L$38))),N('Month-End'!$L$38),IF(OR($E15="open",$E14="pre"),N(Settings!$C$36),N($AS14))+$AY15))</f>
        <v/>
      </c>
      <c r="AT15">
        <f>IF(OR(Settings!$A$37="",$E15="pre"),"",IF(AND('Month-End'!$L$39&lt;&gt;"",NOT(_xlfn.ISFORMULA('Month-End'!$L$39))),N('Month-End'!$L$39),IF(OR($E15="open",$E14="pre"),N(Settings!$C$37),N($AT14))+$AZ15))</f>
        <v/>
      </c>
      <c r="AU15">
        <f>IF(OR(Settings!$A$38="",$E15="pre"),"",IF(AND('Month-End'!$L$40&lt;&gt;"",NOT(_xlfn.ISFORMULA('Month-End'!$L$40))),N('Month-End'!$L$40),IF(OR($E15="open",$E14="pre"),N(Settings!$C$38),N($AU14))+$BA15))</f>
        <v/>
      </c>
      <c r="AV15">
        <f>IF(OR(Settings!$A$39="",$E15="pre"),"",IF(AND('Month-End'!$L$41&lt;&gt;"",NOT(_xlfn.ISFORMULA('Month-End'!$L$41))),N('Month-End'!$L$41),IF(OR($E15="open",$E14="pre"),N(Settings!$C$39),N($AV14))+$BB15))</f>
        <v/>
      </c>
      <c r="AW15">
        <f>IF(OR(Settings!$A$40="",$E15="pre"),"",IF(AND('Month-End'!$L$42&lt;&gt;"",NOT(_xlfn.ISFORMULA('Month-End'!$L$42))),N('Month-End'!$L$42),IF(OR($E15="open",$E14="pre"),N(Settings!$C$40),N($AW14))+$BC15))</f>
        <v/>
      </c>
      <c r="AX15">
        <f>IF(OR(Settings!$A$41="",$E15="pre"),"",IF(AND('Month-End'!$L$43&lt;&gt;"",NOT(_xlfn.ISFORMULA('Month-End'!$L$43))),N('Month-End'!$L$43),IF(OR($E15="open",$E14="pre"),N(Settings!$C$41),N($AX14))+$BD15))</f>
        <v/>
      </c>
      <c r="AY15">
        <f>IF($E15="pre",0,N('Month-End'!$L$45))</f>
        <v/>
      </c>
      <c r="AZ15">
        <f>IF($E15="pre",0,N('Month-End'!$L$46))</f>
        <v/>
      </c>
      <c r="BA15">
        <f>IF($E15="pre",0,N('Month-End'!$L$47))</f>
        <v/>
      </c>
      <c r="BB15">
        <f>IF($E15="pre",0,N('Month-End'!$L$48))</f>
        <v/>
      </c>
      <c r="BC15">
        <f>IF($E15="pre",0,N('Month-End'!$L$49))</f>
        <v/>
      </c>
      <c r="BD15">
        <f>IF($E15="pre",0,N('Month-End'!$L$50))</f>
        <v/>
      </c>
      <c r="BE15">
        <f>IF(OR(Settings!$C$45="",Settings!$D$45=""),0,Settings!$C$45*IF(Settings!$D$45="Weekly",IF(IFERROR(MATCH(Settings!$E$45,$EO$4:$EO$10,0),0)=0,0,IF(MIN($C15,IF(Settings!$G$45="",$C15,Settings!$G$45))&lt;MAX($A15,Settings!$F$45),0,INT((MIN($C15,IF(Settings!$G$45="",$C15,Settings!$G$45))-MAX($A15,Settings!$F$45)-MOD(IFERROR(MATCH(Settings!$E$45,$EO$4:$EO$10,0),0)-WEEKDAY(MAX($A15,Settings!$F$45)),7))/7)+1)),IF(AND(IF(Settings!$E$45="",$B15,DATE(YEAR($A15),MONTH($A15),MIN(Settings!$E$45,DAY($B15))))&gt;=MAX($A15,Settings!$F$45),IF(Settings!$E$45="",$B15,DATE(YEAR($A15),MONTH($A15),MIN(Settings!$E$45,DAY($B15))))&lt;=MIN($C15,IF(Settings!$G$45="",$C15,Settings!$G$45))),1,0)))</f>
        <v/>
      </c>
      <c r="BF15">
        <f>IF(OR(Settings!$C$46="",Settings!$D$46=""),0,Settings!$C$46*IF(Settings!$D$46="Weekly",IF(IFERROR(MATCH(Settings!$E$46,$EO$4:$EO$10,0),0)=0,0,IF(MIN($C15,IF(Settings!$G$46="",$C15,Settings!$G$46))&lt;MAX($A15,Settings!$F$46),0,INT((MIN($C15,IF(Settings!$G$46="",$C15,Settings!$G$46))-MAX($A15,Settings!$F$46)-MOD(IFERROR(MATCH(Settings!$E$46,$EO$4:$EO$10,0),0)-WEEKDAY(MAX($A15,Settings!$F$46)),7))/7)+1)),IF(AND(IF(Settings!$E$46="",$B15,DATE(YEAR($A15),MONTH($A15),MIN(Settings!$E$46,DAY($B15))))&gt;=MAX($A15,Settings!$F$46),IF(Settings!$E$46="",$B15,DATE(YEAR($A15),MONTH($A15),MIN(Settings!$E$46,DAY($B15))))&lt;=MIN($C15,IF(Settings!$G$46="",$C15,Settings!$G$46))),1,0)))</f>
        <v/>
      </c>
      <c r="BG15">
        <f>IF(OR(Settings!$C$47="",Settings!$D$47=""),0,Settings!$C$47*IF(Settings!$D$47="Weekly",IF(IFERROR(MATCH(Settings!$E$47,$EO$4:$EO$10,0),0)=0,0,IF(MIN($C15,IF(Settings!$G$47="",$C15,Settings!$G$47))&lt;MAX($A15,Settings!$F$47),0,INT((MIN($C15,IF(Settings!$G$47="",$C15,Settings!$G$47))-MAX($A15,Settings!$F$47)-MOD(IFERROR(MATCH(Settings!$E$47,$EO$4:$EO$10,0),0)-WEEKDAY(MAX($A15,Settings!$F$47)),7))/7)+1)),IF(AND(IF(Settings!$E$47="",$B15,DATE(YEAR($A15),MONTH($A15),MIN(Settings!$E$47,DAY($B15))))&gt;=MAX($A15,Settings!$F$47),IF(Settings!$E$47="",$B15,DATE(YEAR($A15),MONTH($A15),MIN(Settings!$E$47,DAY($B15))))&lt;=MIN($C15,IF(Settings!$G$47="",$C15,Settings!$G$47))),1,0)))</f>
        <v/>
      </c>
      <c r="BH15">
        <f>IF(OR(Settings!$C$48="",Settings!$D$48=""),0,Settings!$C$48*IF(Settings!$D$48="Weekly",IF(IFERROR(MATCH(Settings!$E$48,$EO$4:$EO$10,0),0)=0,0,IF(MIN($C15,IF(Settings!$G$48="",$C15,Settings!$G$48))&lt;MAX($A15,Settings!$F$48),0,INT((MIN($C15,IF(Settings!$G$48="",$C15,Settings!$G$48))-MAX($A15,Settings!$F$48)-MOD(IFERROR(MATCH(Settings!$E$48,$EO$4:$EO$10,0),0)-WEEKDAY(MAX($A15,Settings!$F$48)),7))/7)+1)),IF(AND(IF(Settings!$E$48="",$B15,DATE(YEAR($A15),MONTH($A15),MIN(Settings!$E$48,DAY($B15))))&gt;=MAX($A15,Settings!$F$48),IF(Settings!$E$48="",$B15,DATE(YEAR($A15),MONTH($A15),MIN(Settings!$E$48,DAY($B15))))&lt;=MIN($C15,IF(Settings!$G$48="",$C15,Settings!$G$48))),1,0)))</f>
        <v/>
      </c>
      <c r="BI15">
        <f>IF(OR(Settings!$C$49="",Settings!$D$49=""),0,Settings!$C$49*IF(Settings!$D$49="Weekly",IF(IFERROR(MATCH(Settings!$E$49,$EO$4:$EO$10,0),0)=0,0,IF(MIN($C15,IF(Settings!$G$49="",$C15,Settings!$G$49))&lt;MAX($A15,Settings!$F$49),0,INT((MIN($C15,IF(Settings!$G$49="",$C15,Settings!$G$49))-MAX($A15,Settings!$F$49)-MOD(IFERROR(MATCH(Settings!$E$49,$EO$4:$EO$10,0),0)-WEEKDAY(MAX($A15,Settings!$F$49)),7))/7)+1)),IF(AND(IF(Settings!$E$49="",$B15,DATE(YEAR($A15),MONTH($A15),MIN(Settings!$E$49,DAY($B15))))&gt;=MAX($A15,Settings!$F$49),IF(Settings!$E$49="",$B15,DATE(YEAR($A15),MONTH($A15),MIN(Settings!$E$49,DAY($B15))))&lt;=MIN($C15,IF(Settings!$G$49="",$C15,Settings!$G$49))),1,0)))</f>
        <v/>
      </c>
      <c r="BJ15">
        <f>IF(OR(Settings!$C$50="",Settings!$D$50=""),0,Settings!$C$50*IF(Settings!$D$50="Weekly",IF(IFERROR(MATCH(Settings!$E$50,$EO$4:$EO$10,0),0)=0,0,IF(MIN($C15,IF(Settings!$G$50="",$C15,Settings!$G$50))&lt;MAX($A15,Settings!$F$50),0,INT((MIN($C15,IF(Settings!$G$50="",$C15,Settings!$G$50))-MAX($A15,Settings!$F$50)-MOD(IFERROR(MATCH(Settings!$E$50,$EO$4:$EO$10,0),0)-WEEKDAY(MAX($A15,Settings!$F$50)),7))/7)+1)),IF(AND(IF(Settings!$E$50="",$B15,DATE(YEAR($A15),MONTH($A15),MIN(Settings!$E$50,DAY($B15))))&gt;=MAX($A15,Settings!$F$50),IF(Settings!$E$50="",$B15,DATE(YEAR($A15),MONTH($A15),MIN(Settings!$E$50,DAY($B15))))&lt;=MIN($C15,IF(Settings!$G$50="",$C15,Settings!$G$50))),1,0)))</f>
        <v/>
      </c>
      <c r="BK15">
        <f>IF(OR(Settings!$C$51="",Settings!$D$51=""),0,Settings!$C$51*IF(Settings!$D$51="Weekly",IF(IFERROR(MATCH(Settings!$E$51,$EO$4:$EO$10,0),0)=0,0,IF(MIN($C15,IF(Settings!$G$51="",$C15,Settings!$G$51))&lt;MAX($A15,Settings!$F$51),0,INT((MIN($C15,IF(Settings!$G$51="",$C15,Settings!$G$51))-MAX($A15,Settings!$F$51)-MOD(IFERROR(MATCH(Settings!$E$51,$EO$4:$EO$10,0),0)-WEEKDAY(MAX($A15,Settings!$F$51)),7))/7)+1)),IF(AND(IF(Settings!$E$51="",$B15,DATE(YEAR($A15),MONTH($A15),MIN(Settings!$E$51,DAY($B15))))&gt;=MAX($A15,Settings!$F$51),IF(Settings!$E$51="",$B15,DATE(YEAR($A15),MONTH($A15),MIN(Settings!$E$51,DAY($B15))))&lt;=MIN($C15,IF(Settings!$G$51="",$C15,Settings!$G$51))),1,0)))</f>
        <v/>
      </c>
      <c r="BL15">
        <f>IF(OR(Settings!$C$52="",Settings!$D$52=""),0,Settings!$C$52*IF(Settings!$D$52="Weekly",IF(IFERROR(MATCH(Settings!$E$52,$EO$4:$EO$10,0),0)=0,0,IF(MIN($C15,IF(Settings!$G$52="",$C15,Settings!$G$52))&lt;MAX($A15,Settings!$F$52),0,INT((MIN($C15,IF(Settings!$G$52="",$C15,Settings!$G$52))-MAX($A15,Settings!$F$52)-MOD(IFERROR(MATCH(Settings!$E$52,$EO$4:$EO$10,0),0)-WEEKDAY(MAX($A15,Settings!$F$52)),7))/7)+1)),IF(AND(IF(Settings!$E$52="",$B15,DATE(YEAR($A15),MONTH($A15),MIN(Settings!$E$52,DAY($B15))))&gt;=MAX($A15,Settings!$F$52),IF(Settings!$E$52="",$B15,DATE(YEAR($A15),MONTH($A15),MIN(Settings!$E$52,DAY($B15))))&lt;=MIN($C15,IF(Settings!$G$52="",$C15,Settings!$G$52))),1,0)))</f>
        <v/>
      </c>
      <c r="BM15">
        <f>IF(OR(Settings!$C$53="",Settings!$D$53=""),0,Settings!$C$53*IF(Settings!$D$53="Weekly",IF(IFERROR(MATCH(Settings!$E$53,$EO$4:$EO$10,0),0)=0,0,IF(MIN($C15,IF(Settings!$G$53="",$C15,Settings!$G$53))&lt;MAX($A15,Settings!$F$53),0,INT((MIN($C15,IF(Settings!$G$53="",$C15,Settings!$G$53))-MAX($A15,Settings!$F$53)-MOD(IFERROR(MATCH(Settings!$E$53,$EO$4:$EO$10,0),0)-WEEKDAY(MAX($A15,Settings!$F$53)),7))/7)+1)),IF(AND(IF(Settings!$E$53="",$B15,DATE(YEAR($A15),MONTH($A15),MIN(Settings!$E$53,DAY($B15))))&gt;=MAX($A15,Settings!$F$53),IF(Settings!$E$53="",$B15,DATE(YEAR($A15),MONTH($A15),MIN(Settings!$E$53,DAY($B15))))&lt;=MIN($C15,IF(Settings!$G$53="",$C15,Settings!$G$53))),1,0)))</f>
        <v/>
      </c>
      <c r="BN15">
        <f>IF(OR(Settings!$C$54="",Settings!$D$54=""),0,Settings!$C$54*IF(Settings!$D$54="Weekly",IF(IFERROR(MATCH(Settings!$E$54,$EO$4:$EO$10,0),0)=0,0,IF(MIN($C15,IF(Settings!$G$54="",$C15,Settings!$G$54))&lt;MAX($A15,Settings!$F$54),0,INT((MIN($C15,IF(Settings!$G$54="",$C15,Settings!$G$54))-MAX($A15,Settings!$F$54)-MOD(IFERROR(MATCH(Settings!$E$54,$EO$4:$EO$10,0),0)-WEEKDAY(MAX($A15,Settings!$F$54)),7))/7)+1)),IF(AND(IF(Settings!$E$54="",$B15,DATE(YEAR($A15),MONTH($A15),MIN(Settings!$E$54,DAY($B15))))&gt;=MAX($A15,Settings!$F$54),IF(Settings!$E$54="",$B15,DATE(YEAR($A15),MONTH($A15),MIN(Settings!$E$54,DAY($B15))))&lt;=MIN($C15,IF(Settings!$G$54="",$C15,Settings!$G$54))),1,0)))</f>
        <v/>
      </c>
      <c r="BO15">
        <f>IF(OR(Settings!$C$55="",Settings!$D$55=""),0,Settings!$C$55*IF(Settings!$D$55="Weekly",IF(IFERROR(MATCH(Settings!$E$55,$EO$4:$EO$10,0),0)=0,0,IF(MIN($C15,IF(Settings!$G$55="",$C15,Settings!$G$55))&lt;MAX($A15,Settings!$F$55),0,INT((MIN($C15,IF(Settings!$G$55="",$C15,Settings!$G$55))-MAX($A15,Settings!$F$55)-MOD(IFERROR(MATCH(Settings!$E$55,$EO$4:$EO$10,0),0)-WEEKDAY(MAX($A15,Settings!$F$55)),7))/7)+1)),IF(AND(IF(Settings!$E$55="",$B15,DATE(YEAR($A15),MONTH($A15),MIN(Settings!$E$55,DAY($B15))))&gt;=MAX($A15,Settings!$F$55),IF(Settings!$E$55="",$B15,DATE(YEAR($A15),MONTH($A15),MIN(Settings!$E$55,DAY($B15))))&lt;=MIN($C15,IF(Settings!$G$55="",$C15,Settings!$G$55))),1,0)))</f>
        <v/>
      </c>
      <c r="BP15">
        <f>IF(OR(Settings!$C$56="",Settings!$D$56=""),0,Settings!$C$56*IF(Settings!$D$56="Weekly",IF(IFERROR(MATCH(Settings!$E$56,$EO$4:$EO$10,0),0)=0,0,IF(MIN($C15,IF(Settings!$G$56="",$C15,Settings!$G$56))&lt;MAX($A15,Settings!$F$56),0,INT((MIN($C15,IF(Settings!$G$56="",$C15,Settings!$G$56))-MAX($A15,Settings!$F$56)-MOD(IFERROR(MATCH(Settings!$E$56,$EO$4:$EO$10,0),0)-WEEKDAY(MAX($A15,Settings!$F$56)),7))/7)+1)),IF(AND(IF(Settings!$E$56="",$B15,DATE(YEAR($A15),MONTH($A15),MIN(Settings!$E$56,DAY($B15))))&gt;=MAX($A15,Settings!$F$56),IF(Settings!$E$56="",$B15,DATE(YEAR($A15),MONTH($A15),MIN(Settings!$E$56,DAY($B15))))&lt;=MIN($C15,IF(Settings!$G$56="",$C15,Settings!$G$56))),1,0)))</f>
        <v/>
      </c>
      <c r="BQ15">
        <f>IF(OR(Settings!$B$14="",$D15=1,$E15="pre",$A15&lt;IF(Settings!$B$15="",0,Settings!$B$15)),0,Settings!$B$14)</f>
        <v/>
      </c>
      <c r="BR15">
        <f>IF(AND('Month-End'!$L$7&lt;&gt;"",NOT(_xlfn.ISFORMULA('Month-End'!$L$7))),1,0)</f>
        <v/>
      </c>
      <c r="BS15">
        <f>IF(AND('Month-End'!$L$8&lt;&gt;"",NOT(_xlfn.ISFORMULA('Month-End'!$L$8))),1,0)</f>
        <v/>
      </c>
      <c r="BT15">
        <f>IF(AND('Month-End'!$L$9&lt;&gt;"",NOT(_xlfn.ISFORMULA('Month-End'!$L$9))),1,0)</f>
        <v/>
      </c>
      <c r="BU15">
        <f>IF(AND('Month-End'!$L$10&lt;&gt;"",NOT(_xlfn.ISFORMULA('Month-End'!$L$10))),1,0)</f>
        <v/>
      </c>
      <c r="BV15">
        <f>IF(AND('Month-End'!$L$11&lt;&gt;"",NOT(_xlfn.ISFORMULA('Month-End'!$L$11))),1,0)</f>
        <v/>
      </c>
      <c r="BW15">
        <f>IF(AND('Month-End'!$L$12&lt;&gt;"",NOT(_xlfn.ISFORMULA('Month-End'!$L$12))),1,0)</f>
        <v/>
      </c>
      <c r="BX15">
        <f>IF(AND('Month-End'!$L$13&lt;&gt;"",NOT(_xlfn.ISFORMULA('Month-End'!$L$13))),1,0)</f>
        <v/>
      </c>
      <c r="BY15">
        <f>IF(AND('Month-End'!$L$14&lt;&gt;"",NOT(_xlfn.ISFORMULA('Month-End'!$L$14))),1,0)</f>
        <v/>
      </c>
      <c r="BZ15">
        <f>IF(AND('Month-End'!$L$15&lt;&gt;"",NOT(_xlfn.ISFORMULA('Month-End'!$L$15))),1,0)</f>
        <v/>
      </c>
      <c r="CA15">
        <f>IF(AND('Month-End'!$L$16&lt;&gt;"",NOT(_xlfn.ISFORMULA('Month-End'!$L$16))),1,0)</f>
        <v/>
      </c>
      <c r="CB15">
        <f>IF(AND('Month-End'!$L$17&lt;&gt;"",NOT(_xlfn.ISFORMULA('Month-End'!$L$17))),1,0)</f>
        <v/>
      </c>
      <c r="CC15">
        <f>IF(AND('Month-End'!$L$18&lt;&gt;"",NOT(_xlfn.ISFORMULA('Month-End'!$L$18))),1,0)</f>
        <v/>
      </c>
      <c r="CD15">
        <f>IF(AND('Month-End'!$L$19&lt;&gt;"",NOT(_xlfn.ISFORMULA('Month-End'!$L$19))),1,0)</f>
        <v/>
      </c>
      <c r="CE15">
        <f>IF(AND('Month-End'!$L$20&lt;&gt;"",NOT(_xlfn.ISFORMULA('Month-End'!$L$20))),1,0)</f>
        <v/>
      </c>
      <c r="CF15">
        <f>IF(AND('Month-End'!$L$38&lt;&gt;"",NOT(_xlfn.ISFORMULA('Month-End'!$L$38))),1,0)</f>
        <v/>
      </c>
      <c r="CG15">
        <f>IF(AND('Month-End'!$L$39&lt;&gt;"",NOT(_xlfn.ISFORMULA('Month-End'!$L$39))),1,0)</f>
        <v/>
      </c>
      <c r="CH15">
        <f>IF(AND('Month-End'!$L$40&lt;&gt;"",NOT(_xlfn.ISFORMULA('Month-End'!$L$40))),1,0)</f>
        <v/>
      </c>
      <c r="CI15">
        <f>IF(AND('Month-End'!$L$41&lt;&gt;"",NOT(_xlfn.ISFORMULA('Month-End'!$L$41))),1,0)</f>
        <v/>
      </c>
      <c r="CJ15">
        <f>IF(AND('Month-End'!$L$42&lt;&gt;"",NOT(_xlfn.ISFORMULA('Month-End'!$L$42))),1,0)</f>
        <v/>
      </c>
      <c r="CK15">
        <f>IF(AND('Month-End'!$L$43&lt;&gt;"",NOT(_xlfn.ISFORMULA('Month-End'!$L$43))),1,0)</f>
        <v/>
      </c>
      <c r="CL15">
        <f>SUM($CM15:$CZ15)</f>
        <v/>
      </c>
      <c r="CM15">
        <f>IF(AND($E15&lt;&gt;"pre",AND(Settings!$A$19&lt;&gt;"",Settings!$E$19&lt;&gt;"No"),Settings!$F$19="Yes",NOT(AND('Month-End'!$L$7&lt;&gt;"",NOT(_xlfn.ISFORMULA('Month-End'!$L$7))))),1,0)</f>
        <v/>
      </c>
      <c r="CN15">
        <f>IF(AND($E15&lt;&gt;"pre",AND(Settings!$A$20&lt;&gt;"",Settings!$E$20&lt;&gt;"No"),Settings!$F$20="Yes",NOT(AND('Month-End'!$L$8&lt;&gt;"",NOT(_xlfn.ISFORMULA('Month-End'!$L$8))))),1,0)</f>
        <v/>
      </c>
      <c r="CO15">
        <f>IF(AND($E15&lt;&gt;"pre",AND(Settings!$A$21&lt;&gt;"",Settings!$E$21&lt;&gt;"No"),Settings!$F$21="Yes",NOT(AND('Month-End'!$L$9&lt;&gt;"",NOT(_xlfn.ISFORMULA('Month-End'!$L$9))))),1,0)</f>
        <v/>
      </c>
      <c r="CP15">
        <f>IF(AND($E15&lt;&gt;"pre",AND(Settings!$A$22&lt;&gt;"",Settings!$E$22&lt;&gt;"No"),Settings!$F$22="Yes",NOT(AND('Month-End'!$L$10&lt;&gt;"",NOT(_xlfn.ISFORMULA('Month-End'!$L$10))))),1,0)</f>
        <v/>
      </c>
      <c r="CQ15">
        <f>IF(AND($E15&lt;&gt;"pre",AND(Settings!$A$23&lt;&gt;"",Settings!$E$23&lt;&gt;"No"),Settings!$F$23="Yes",NOT(AND('Month-End'!$L$11&lt;&gt;"",NOT(_xlfn.ISFORMULA('Month-End'!$L$11))))),1,0)</f>
        <v/>
      </c>
      <c r="CR15">
        <f>IF(AND($E15&lt;&gt;"pre",AND(Settings!$A$24&lt;&gt;"",Settings!$E$24&lt;&gt;"No"),Settings!$F$24="Yes",NOT(AND('Month-End'!$L$12&lt;&gt;"",NOT(_xlfn.ISFORMULA('Month-End'!$L$12))))),1,0)</f>
        <v/>
      </c>
      <c r="CS15">
        <f>IF(AND($E15&lt;&gt;"pre",AND(Settings!$A$25&lt;&gt;"",Settings!$E$25&lt;&gt;"No"),Settings!$F$25="Yes",NOT(AND('Month-End'!$L$13&lt;&gt;"",NOT(_xlfn.ISFORMULA('Month-End'!$L$13))))),1,0)</f>
        <v/>
      </c>
      <c r="CT15">
        <f>IF(AND($E15&lt;&gt;"pre",AND(Settings!$A$26&lt;&gt;"",Settings!$E$26&lt;&gt;"No"),Settings!$F$26="Yes",NOT(AND('Month-End'!$L$14&lt;&gt;"",NOT(_xlfn.ISFORMULA('Month-End'!$L$14))))),1,0)</f>
        <v/>
      </c>
      <c r="CU15">
        <f>IF(AND($E15&lt;&gt;"pre",AND(Settings!$A$27&lt;&gt;"",Settings!$E$27&lt;&gt;"No"),Settings!$F$27="Yes",NOT(AND('Month-End'!$L$15&lt;&gt;"",NOT(_xlfn.ISFORMULA('Month-End'!$L$15))))),1,0)</f>
        <v/>
      </c>
      <c r="CV15">
        <f>IF(AND($E15&lt;&gt;"pre",AND(Settings!$A$28&lt;&gt;"",Settings!$E$28&lt;&gt;"No"),Settings!$F$28="Yes",NOT(AND('Month-End'!$L$16&lt;&gt;"",NOT(_xlfn.ISFORMULA('Month-End'!$L$16))))),1,0)</f>
        <v/>
      </c>
      <c r="CW15">
        <f>IF(AND($E15&lt;&gt;"pre",AND(Settings!$A$29&lt;&gt;"",Settings!$E$29&lt;&gt;"No"),Settings!$F$29="Yes",NOT(AND('Month-End'!$L$17&lt;&gt;"",NOT(_xlfn.ISFORMULA('Month-End'!$L$17))))),1,0)</f>
        <v/>
      </c>
      <c r="CX15">
        <f>IF(AND($E15&lt;&gt;"pre",AND(Settings!$A$30&lt;&gt;"",Settings!$E$30&lt;&gt;"No"),Settings!$F$30="Yes",NOT(AND('Month-End'!$L$18&lt;&gt;"",NOT(_xlfn.ISFORMULA('Month-End'!$L$18))))),1,0)</f>
        <v/>
      </c>
      <c r="CY15">
        <f>IF(AND($E15&lt;&gt;"pre",AND(Settings!$A$31&lt;&gt;"",Settings!$E$31&lt;&gt;"No"),Settings!$F$31="Yes",NOT(AND('Month-End'!$L$19&lt;&gt;"",NOT(_xlfn.ISFORMULA('Month-End'!$L$19))))),1,0)</f>
        <v/>
      </c>
      <c r="CZ15">
        <f>IF(AND($E15&lt;&gt;"pre",AND(Settings!$A$32&lt;&gt;"",Settings!$E$32&lt;&gt;"No"),Settings!$F$32="Yes",NOT(AND('Month-End'!$L$20&lt;&gt;"",NOT(_xlfn.ISFORMULA('Month-End'!$L$20))))),1,0)</f>
        <v/>
      </c>
      <c r="DA15">
        <f>IF($DT15=1,IF(OR(Settings!$B$19="Checking",Settings!$B$19="Savings",Settings!$B$19="Cash"),N($AE15),IF(OR(Settings!$B$19="Card",Settings!$B$19="Loan"),-N($AE15),0))+IF(OR(Settings!$B$20="Checking",Settings!$B$20="Savings",Settings!$B$20="Cash"),N($AF15),IF(OR(Settings!$B$20="Card",Settings!$B$20="Loan"),-N($AF15),0))+IF(OR(Settings!$B$21="Checking",Settings!$B$21="Savings",Settings!$B$21="Cash"),N($AG15),IF(OR(Settings!$B$21="Card",Settings!$B$21="Loan"),-N($AG15),0))+IF(OR(Settings!$B$22="Checking",Settings!$B$22="Savings",Settings!$B$22="Cash"),N($AH15),IF(OR(Settings!$B$22="Card",Settings!$B$22="Loan"),-N($AH15),0))+IF(OR(Settings!$B$23="Checking",Settings!$B$23="Savings",Settings!$B$23="Cash"),N($AI15),IF(OR(Settings!$B$23="Card",Settings!$B$23="Loan"),-N($AI15),0))+IF(OR(Settings!$B$24="Checking",Settings!$B$24="Savings",Settings!$B$24="Cash"),N($AJ15),IF(OR(Settings!$B$24="Card",Settings!$B$24="Loan"),-N($AJ15),0))+IF(OR(Settings!$B$25="Checking",Settings!$B$25="Savings",Settings!$B$25="Cash"),N($AK15),IF(OR(Settings!$B$25="Card",Settings!$B$25="Loan"),-N($AK15),0))+IF(OR(Settings!$B$26="Checking",Settings!$B$26="Savings",Settings!$B$26="Cash"),N($AL15),IF(OR(Settings!$B$26="Card",Settings!$B$26="Loan"),-N($AL15),0))+IF(OR(Settings!$B$27="Checking",Settings!$B$27="Savings",Settings!$B$27="Cash"),N($AM15),IF(OR(Settings!$B$27="Card",Settings!$B$27="Loan"),-N($AM15),0))+IF(OR(Settings!$B$28="Checking",Settings!$B$28="Savings",Settings!$B$28="Cash"),N($AN15),IF(OR(Settings!$B$28="Card",Settings!$B$28="Loan"),-N($AN15),0))+IF(OR(Settings!$B$29="Checking",Settings!$B$29="Savings",Settings!$B$29="Cash"),N($AO15),IF(OR(Settings!$B$29="Card",Settings!$B$29="Loan"),-N($AO15),0))+IF(OR(Settings!$B$30="Checking",Settings!$B$30="Savings",Settings!$B$30="Cash"),N($AP15),IF(OR(Settings!$B$30="Card",Settings!$B$30="Loan"),-N($AP15),0))+IF(OR(Settings!$B$31="Checking",Settings!$B$31="Savings",Settings!$B$31="Cash"),N($AQ15),IF(OR(Settings!$B$31="Card",Settings!$B$31="Loan"),-N($AQ15),0))+IF(OR(Settings!$B$32="Checking",Settings!$B$32="Savings",Settings!$B$32="Cash"),N($AR15),IF(OR(Settings!$B$32="Card",Settings!$B$32="Loan"),-N($AR15),0)),"")</f>
        <v/>
      </c>
      <c r="DB15">
        <f>IF($E15="open",$EB$27,IF($E15="post",IF($E14="pre",$EB$27,$DA14),""))</f>
        <v/>
      </c>
      <c r="DC15">
        <f>IF($E15="open",1,IF($E15="post",IF($E14="pre",1,$DT14),0))</f>
        <v/>
      </c>
      <c r="DD15">
        <f>IF(AND($DT15=1,$DC15=1),ROUND($W15-($DA15-$DB15)-$AD15-$AB15,2),"")</f>
        <v/>
      </c>
      <c r="DE15">
        <f>IF('Month-End'!$L$35="",$BQ15,N('Month-End'!$L$35))</f>
        <v/>
      </c>
      <c r="DF15">
        <f>N('Month-End'!$L$36)</f>
        <v/>
      </c>
      <c r="DG15">
        <f>IF($DD15="","",$DD15+$DE15)</f>
        <v/>
      </c>
      <c r="DH15">
        <f>IF($DG15="","",$DG15-$DF15)</f>
        <v/>
      </c>
      <c r="DI15">
        <f>IF(OR($E15="pre",$D15=1),"",N($AS15)+N($AT15)+N($AU15)+N($AV15)+N($AW15)+N($AX15))</f>
        <v/>
      </c>
      <c r="DJ15">
        <f>IF($DT15=1,$DA15+N($DI15),"")</f>
        <v/>
      </c>
      <c r="DK15">
        <f>IF($DD15="","",$W15-$DD15-$AB15)</f>
        <v/>
      </c>
      <c r="DL15">
        <f>IF(AND($E15="post",$DD15&lt;&gt;"",$B15&lt;TODAY()),1,0)</f>
        <v/>
      </c>
      <c r="DM15">
        <f>IF($DL15=1,COUNTIF($DL15:$DL$183,1),0)</f>
        <v/>
      </c>
      <c r="DN15">
        <f>IF($D15=1,"",IF($E15="pre","History only",IF($DT15=1,IF($DD15="","⚠ Previous month missing",IF($DD15&lt;0,"⚠ Check: spending &lt; 0",IF($E15="open","✓ Done (partial)","✓ Done"))),IF($B15&gt;=TODAY(),"In progress","⚠ Needs balances"))))</f>
        <v/>
      </c>
      <c r="DO15">
        <f>YEAR($A15)</f>
        <v/>
      </c>
      <c r="DP15">
        <f>DATE(YEAR($A15),INT((MONTH($A15)-1)/3)*3+1,1)</f>
        <v/>
      </c>
      <c r="DQ15">
        <f>IF(AND($DT15=1,$DD15&lt;&gt;"",$D15=0),ROW(),0)</f>
        <v/>
      </c>
      <c r="DR15">
        <f>IF(AND($E15&lt;&gt;"pre",$B15&lt;TODAY(),$DT15=0),1,0)</f>
        <v/>
      </c>
      <c r="DS15">
        <f>IF($DJ15="",NA(),$DJ15)</f>
        <v/>
      </c>
      <c r="DT15">
        <f>IF(AND($E15&lt;&gt;"pre",$CL15=0,COUNTIFS(Settings!$F$19:$F$32,"Yes",Settings!$A$19:$A$32,"&lt;&gt;",Settings!$E$19:$E$32,"&lt;&gt;No")&gt;0),1,0)</f>
        <v/>
      </c>
      <c r="DU15">
        <f>IF(AND($B15&lt;TODAY(),$S15&gt;0),1,0)</f>
        <v/>
      </c>
      <c r="DV15">
        <f>IF($DU15=1,COUNTIF($DU15:$DU$183,1),0)</f>
        <v/>
      </c>
      <c r="DW15">
        <f>IF(AND(OR(Settings!$B$19="Card",Settings!$B$19="Loan"),AND('Month-End'!$L$7&lt;&gt;"",NOT(_xlfn.ISFORMULA('Month-End'!$L$7)))),IF(N('Month-End'!$L$7)&lt;0,1,0),0)+IF(AND(OR(Settings!$B$20="Card",Settings!$B$20="Loan"),AND('Month-End'!$L$8&lt;&gt;"",NOT(_xlfn.ISFORMULA('Month-End'!$L$8)))),IF(N('Month-End'!$L$8)&lt;0,1,0),0)+IF(AND(OR(Settings!$B$21="Card",Settings!$B$21="Loan"),AND('Month-End'!$L$9&lt;&gt;"",NOT(_xlfn.ISFORMULA('Month-End'!$L$9)))),IF(N('Month-End'!$L$9)&lt;0,1,0),0)+IF(AND(OR(Settings!$B$22="Card",Settings!$B$22="Loan"),AND('Month-End'!$L$10&lt;&gt;"",NOT(_xlfn.ISFORMULA('Month-End'!$L$10)))),IF(N('Month-End'!$L$10)&lt;0,1,0),0)+IF(AND(OR(Settings!$B$23="Card",Settings!$B$23="Loan"),AND('Month-End'!$L$11&lt;&gt;"",NOT(_xlfn.ISFORMULA('Month-End'!$L$11)))),IF(N('Month-End'!$L$11)&lt;0,1,0),0)+IF(AND(OR(Settings!$B$24="Card",Settings!$B$24="Loan"),AND('Month-End'!$L$12&lt;&gt;"",NOT(_xlfn.ISFORMULA('Month-End'!$L$12)))),IF(N('Month-End'!$L$12)&lt;0,1,0),0)+IF(AND(OR(Settings!$B$25="Card",Settings!$B$25="Loan"),AND('Month-End'!$L$13&lt;&gt;"",NOT(_xlfn.ISFORMULA('Month-End'!$L$13)))),IF(N('Month-End'!$L$13)&lt;0,1,0),0)+IF(AND(OR(Settings!$B$26="Card",Settings!$B$26="Loan"),AND('Month-End'!$L$14&lt;&gt;"",NOT(_xlfn.ISFORMULA('Month-End'!$L$14)))),IF(N('Month-End'!$L$14)&lt;0,1,0),0)+IF(AND(OR(Settings!$B$27="Card",Settings!$B$27="Loan"),AND('Month-End'!$L$15&lt;&gt;"",NOT(_xlfn.ISFORMULA('Month-End'!$L$15)))),IF(N('Month-End'!$L$15)&lt;0,1,0),0)+IF(AND(OR(Settings!$B$28="Card",Settings!$B$28="Loan"),AND('Month-End'!$L$16&lt;&gt;"",NOT(_xlfn.ISFORMULA('Month-End'!$L$16)))),IF(N('Month-End'!$L$16)&lt;0,1,0),0)+IF(AND(OR(Settings!$B$29="Card",Settings!$B$29="Loan"),AND('Month-End'!$L$17&lt;&gt;"",NOT(_xlfn.ISFORMULA('Month-End'!$L$17)))),IF(N('Month-End'!$L$17)&lt;0,1,0),0)+IF(AND(OR(Settings!$B$30="Card",Settings!$B$30="Loan"),AND('Month-End'!$L$18&lt;&gt;"",NOT(_xlfn.ISFORMULA('Month-End'!$L$18)))),IF(N('Month-End'!$L$18)&lt;0,1,0),0)+IF(AND(OR(Settings!$B$31="Card",Settings!$B$31="Loan"),AND('Month-End'!$L$19&lt;&gt;"",NOT(_xlfn.ISFORMULA('Month-End'!$L$19)))),IF(N('Month-End'!$L$19)&lt;0,1,0),0)+IF(AND(OR(Settings!$B$32="Card",Settings!$B$32="Loan"),AND('Month-End'!$L$20&lt;&gt;"",NOT(_xlfn.ISFORMULA('Month-End'!$L$20)))),IF(N('Month-End'!$L$20)&lt;0,1,0),0)</f>
        <v/>
      </c>
      <c r="DX15">
        <f>IF(Settings!$B$36="Retirement",$AY15,0)+IF(Settings!$B$37="Retirement",$AZ15,0)+IF(Settings!$B$38="Retirement",$BA15,0)+IF(Settings!$B$39="Retirement",$BB15,0)+IF(Settings!$B$40="Retirement",$BC15,0)+IF(Settings!$B$41="Retirement",$BD15,0)</f>
        <v/>
      </c>
      <c r="EA15" t="inlineStr">
        <is>
          <t>Average Monthly True Cost</t>
        </is>
      </c>
      <c r="EB15">
        <f>EB13+EB14</f>
        <v/>
      </c>
      <c r="ET15">
        <f>IF($E15&lt;&gt;"open",0,IF(AND('Month-End'!$L$22&lt;&gt;"",NOT(_xlfn.ISFORMULA('Month-End'!$L$22))),0,IF(OR(Settings!$C$45="",Settings!$D$45=""),0,Settings!$C$45*IF(Settings!$D$45="Weekly",IF(IFERROR(MATCH(Settings!$E$45,$EO$4:$EO$10,0),0)=0,0,IF(MIN(Settings!$B$5,IF(Settings!$G$45="",Settings!$B$5,Settings!$G$45))&lt;MAX($A15,Settings!$F$45),0,INT((MIN(Settings!$B$5,IF(Settings!$G$45="",Settings!$B$5,Settings!$G$45))-MAX($A15,Settings!$F$45)-MOD(IFERROR(MATCH(Settings!$E$45,$EO$4:$EO$10,0),0)-WEEKDAY(MAX($A15,Settings!$F$45)),7))/7)+1)),IF(AND(IF(Settings!$E$45="",$B15,DATE(YEAR($A15),MONTH($A15),MIN(Settings!$E$45,DAY($B15))))&gt;=MAX($A15,Settings!$F$45),IF(Settings!$E$45="",$B15,DATE(YEAR($A15),MONTH($A15),MIN(Settings!$E$45,DAY($B15))))&lt;=MIN(Settings!$B$5,IF(Settings!$G$45="",Settings!$B$5,Settings!$G$45))),1,0)))))</f>
        <v/>
      </c>
      <c r="EU15">
        <f>IF($E15&lt;&gt;"open",0,IF(AND('Month-End'!$L$23&lt;&gt;"",NOT(_xlfn.ISFORMULA('Month-End'!$L$23))),0,IF(OR(Settings!$C$46="",Settings!$D$46=""),0,Settings!$C$46*IF(Settings!$D$46="Weekly",IF(IFERROR(MATCH(Settings!$E$46,$EO$4:$EO$10,0),0)=0,0,IF(MIN(Settings!$B$5,IF(Settings!$G$46="",Settings!$B$5,Settings!$G$46))&lt;MAX($A15,Settings!$F$46),0,INT((MIN(Settings!$B$5,IF(Settings!$G$46="",Settings!$B$5,Settings!$G$46))-MAX($A15,Settings!$F$46)-MOD(IFERROR(MATCH(Settings!$E$46,$EO$4:$EO$10,0),0)-WEEKDAY(MAX($A15,Settings!$F$46)),7))/7)+1)),IF(AND(IF(Settings!$E$46="",$B15,DATE(YEAR($A15),MONTH($A15),MIN(Settings!$E$46,DAY($B15))))&gt;=MAX($A15,Settings!$F$46),IF(Settings!$E$46="",$B15,DATE(YEAR($A15),MONTH($A15),MIN(Settings!$E$46,DAY($B15))))&lt;=MIN(Settings!$B$5,IF(Settings!$G$46="",Settings!$B$5,Settings!$G$46))),1,0)))))</f>
        <v/>
      </c>
      <c r="EV15">
        <f>IF($E15&lt;&gt;"open",0,IF(AND('Month-End'!$L$24&lt;&gt;"",NOT(_xlfn.ISFORMULA('Month-End'!$L$24))),0,IF(OR(Settings!$C$47="",Settings!$D$47=""),0,Settings!$C$47*IF(Settings!$D$47="Weekly",IF(IFERROR(MATCH(Settings!$E$47,$EO$4:$EO$10,0),0)=0,0,IF(MIN(Settings!$B$5,IF(Settings!$G$47="",Settings!$B$5,Settings!$G$47))&lt;MAX($A15,Settings!$F$47),0,INT((MIN(Settings!$B$5,IF(Settings!$G$47="",Settings!$B$5,Settings!$G$47))-MAX($A15,Settings!$F$47)-MOD(IFERROR(MATCH(Settings!$E$47,$EO$4:$EO$10,0),0)-WEEKDAY(MAX($A15,Settings!$F$47)),7))/7)+1)),IF(AND(IF(Settings!$E$47="",$B15,DATE(YEAR($A15),MONTH($A15),MIN(Settings!$E$47,DAY($B15))))&gt;=MAX($A15,Settings!$F$47),IF(Settings!$E$47="",$B15,DATE(YEAR($A15),MONTH($A15),MIN(Settings!$E$47,DAY($B15))))&lt;=MIN(Settings!$B$5,IF(Settings!$G$47="",Settings!$B$5,Settings!$G$47))),1,0)))))</f>
        <v/>
      </c>
      <c r="EW15">
        <f>IF($E15&lt;&gt;"open",0,IF(AND('Month-End'!$L$25&lt;&gt;"",NOT(_xlfn.ISFORMULA('Month-End'!$L$25))),0,IF(OR(Settings!$C$48="",Settings!$D$48=""),0,Settings!$C$48*IF(Settings!$D$48="Weekly",IF(IFERROR(MATCH(Settings!$E$48,$EO$4:$EO$10,0),0)=0,0,IF(MIN(Settings!$B$5,IF(Settings!$G$48="",Settings!$B$5,Settings!$G$48))&lt;MAX($A15,Settings!$F$48),0,INT((MIN(Settings!$B$5,IF(Settings!$G$48="",Settings!$B$5,Settings!$G$48))-MAX($A15,Settings!$F$48)-MOD(IFERROR(MATCH(Settings!$E$48,$EO$4:$EO$10,0),0)-WEEKDAY(MAX($A15,Settings!$F$48)),7))/7)+1)),IF(AND(IF(Settings!$E$48="",$B15,DATE(YEAR($A15),MONTH($A15),MIN(Settings!$E$48,DAY($B15))))&gt;=MAX($A15,Settings!$F$48),IF(Settings!$E$48="",$B15,DATE(YEAR($A15),MONTH($A15),MIN(Settings!$E$48,DAY($B15))))&lt;=MIN(Settings!$B$5,IF(Settings!$G$48="",Settings!$B$5,Settings!$G$48))),1,0)))))</f>
        <v/>
      </c>
      <c r="EX15">
        <f>IF($E15&lt;&gt;"open",0,IF(AND('Month-End'!$L$26&lt;&gt;"",NOT(_xlfn.ISFORMULA('Month-End'!$L$26))),0,IF(OR(Settings!$C$49="",Settings!$D$49=""),0,Settings!$C$49*IF(Settings!$D$49="Weekly",IF(IFERROR(MATCH(Settings!$E$49,$EO$4:$EO$10,0),0)=0,0,IF(MIN(Settings!$B$5,IF(Settings!$G$49="",Settings!$B$5,Settings!$G$49))&lt;MAX($A15,Settings!$F$49),0,INT((MIN(Settings!$B$5,IF(Settings!$G$49="",Settings!$B$5,Settings!$G$49))-MAX($A15,Settings!$F$49)-MOD(IFERROR(MATCH(Settings!$E$49,$EO$4:$EO$10,0),0)-WEEKDAY(MAX($A15,Settings!$F$49)),7))/7)+1)),IF(AND(IF(Settings!$E$49="",$B15,DATE(YEAR($A15),MONTH($A15),MIN(Settings!$E$49,DAY($B15))))&gt;=MAX($A15,Settings!$F$49),IF(Settings!$E$49="",$B15,DATE(YEAR($A15),MONTH($A15),MIN(Settings!$E$49,DAY($B15))))&lt;=MIN(Settings!$B$5,IF(Settings!$G$49="",Settings!$B$5,Settings!$G$49))),1,0)))))</f>
        <v/>
      </c>
      <c r="EY15">
        <f>IF($E15&lt;&gt;"open",0,IF(AND('Month-End'!$L$27&lt;&gt;"",NOT(_xlfn.ISFORMULA('Month-End'!$L$27))),0,IF(OR(Settings!$C$50="",Settings!$D$50=""),0,Settings!$C$50*IF(Settings!$D$50="Weekly",IF(IFERROR(MATCH(Settings!$E$50,$EO$4:$EO$10,0),0)=0,0,IF(MIN(Settings!$B$5,IF(Settings!$G$50="",Settings!$B$5,Settings!$G$50))&lt;MAX($A15,Settings!$F$50),0,INT((MIN(Settings!$B$5,IF(Settings!$G$50="",Settings!$B$5,Settings!$G$50))-MAX($A15,Settings!$F$50)-MOD(IFERROR(MATCH(Settings!$E$50,$EO$4:$EO$10,0),0)-WEEKDAY(MAX($A15,Settings!$F$50)),7))/7)+1)),IF(AND(IF(Settings!$E$50="",$B15,DATE(YEAR($A15),MONTH($A15),MIN(Settings!$E$50,DAY($B15))))&gt;=MAX($A15,Settings!$F$50),IF(Settings!$E$50="",$B15,DATE(YEAR($A15),MONTH($A15),MIN(Settings!$E$50,DAY($B15))))&lt;=MIN(Settings!$B$5,IF(Settings!$G$50="",Settings!$B$5,Settings!$G$50))),1,0)))))</f>
        <v/>
      </c>
      <c r="EZ15">
        <f>IF($E15&lt;&gt;"open",0,IF(AND('Month-End'!$L$28&lt;&gt;"",NOT(_xlfn.ISFORMULA('Month-End'!$L$28))),0,IF(OR(Settings!$C$51="",Settings!$D$51=""),0,Settings!$C$51*IF(Settings!$D$51="Weekly",IF(IFERROR(MATCH(Settings!$E$51,$EO$4:$EO$10,0),0)=0,0,IF(MIN(Settings!$B$5,IF(Settings!$G$51="",Settings!$B$5,Settings!$G$51))&lt;MAX($A15,Settings!$F$51),0,INT((MIN(Settings!$B$5,IF(Settings!$G$51="",Settings!$B$5,Settings!$G$51))-MAX($A15,Settings!$F$51)-MOD(IFERROR(MATCH(Settings!$E$51,$EO$4:$EO$10,0),0)-WEEKDAY(MAX($A15,Settings!$F$51)),7))/7)+1)),IF(AND(IF(Settings!$E$51="",$B15,DATE(YEAR($A15),MONTH($A15),MIN(Settings!$E$51,DAY($B15))))&gt;=MAX($A15,Settings!$F$51),IF(Settings!$E$51="",$B15,DATE(YEAR($A15),MONTH($A15),MIN(Settings!$E$51,DAY($B15))))&lt;=MIN(Settings!$B$5,IF(Settings!$G$51="",Settings!$B$5,Settings!$G$51))),1,0)))))</f>
        <v/>
      </c>
      <c r="FA15">
        <f>IF($E15&lt;&gt;"open",0,IF(AND('Month-End'!$L$29&lt;&gt;"",NOT(_xlfn.ISFORMULA('Month-End'!$L$29))),0,IF(OR(Settings!$C$52="",Settings!$D$52=""),0,Settings!$C$52*IF(Settings!$D$52="Weekly",IF(IFERROR(MATCH(Settings!$E$52,$EO$4:$EO$10,0),0)=0,0,IF(MIN(Settings!$B$5,IF(Settings!$G$52="",Settings!$B$5,Settings!$G$52))&lt;MAX($A15,Settings!$F$52),0,INT((MIN(Settings!$B$5,IF(Settings!$G$52="",Settings!$B$5,Settings!$G$52))-MAX($A15,Settings!$F$52)-MOD(IFERROR(MATCH(Settings!$E$52,$EO$4:$EO$10,0),0)-WEEKDAY(MAX($A15,Settings!$F$52)),7))/7)+1)),IF(AND(IF(Settings!$E$52="",$B15,DATE(YEAR($A15),MONTH($A15),MIN(Settings!$E$52,DAY($B15))))&gt;=MAX($A15,Settings!$F$52),IF(Settings!$E$52="",$B15,DATE(YEAR($A15),MONTH($A15),MIN(Settings!$E$52,DAY($B15))))&lt;=MIN(Settings!$B$5,IF(Settings!$G$52="",Settings!$B$5,Settings!$G$52))),1,0)))))</f>
        <v/>
      </c>
      <c r="FB15">
        <f>IF($E15&lt;&gt;"open",0,IF(AND('Month-End'!$L$30&lt;&gt;"",NOT(_xlfn.ISFORMULA('Month-End'!$L$30))),0,IF(OR(Settings!$C$53="",Settings!$D$53=""),0,Settings!$C$53*IF(Settings!$D$53="Weekly",IF(IFERROR(MATCH(Settings!$E$53,$EO$4:$EO$10,0),0)=0,0,IF(MIN(Settings!$B$5,IF(Settings!$G$53="",Settings!$B$5,Settings!$G$53))&lt;MAX($A15,Settings!$F$53),0,INT((MIN(Settings!$B$5,IF(Settings!$G$53="",Settings!$B$5,Settings!$G$53))-MAX($A15,Settings!$F$53)-MOD(IFERROR(MATCH(Settings!$E$53,$EO$4:$EO$10,0),0)-WEEKDAY(MAX($A15,Settings!$F$53)),7))/7)+1)),IF(AND(IF(Settings!$E$53="",$B15,DATE(YEAR($A15),MONTH($A15),MIN(Settings!$E$53,DAY($B15))))&gt;=MAX($A15,Settings!$F$53),IF(Settings!$E$53="",$B15,DATE(YEAR($A15),MONTH($A15),MIN(Settings!$E$53,DAY($B15))))&lt;=MIN(Settings!$B$5,IF(Settings!$G$53="",Settings!$B$5,Settings!$G$53))),1,0)))))</f>
        <v/>
      </c>
      <c r="FC15">
        <f>IF($E15&lt;&gt;"open",0,IF(AND('Month-End'!$L$31&lt;&gt;"",NOT(_xlfn.ISFORMULA('Month-End'!$L$31))),0,IF(OR(Settings!$C$54="",Settings!$D$54=""),0,Settings!$C$54*IF(Settings!$D$54="Weekly",IF(IFERROR(MATCH(Settings!$E$54,$EO$4:$EO$10,0),0)=0,0,IF(MIN(Settings!$B$5,IF(Settings!$G$54="",Settings!$B$5,Settings!$G$54))&lt;MAX($A15,Settings!$F$54),0,INT((MIN(Settings!$B$5,IF(Settings!$G$54="",Settings!$B$5,Settings!$G$54))-MAX($A15,Settings!$F$54)-MOD(IFERROR(MATCH(Settings!$E$54,$EO$4:$EO$10,0),0)-WEEKDAY(MAX($A15,Settings!$F$54)),7))/7)+1)),IF(AND(IF(Settings!$E$54="",$B15,DATE(YEAR($A15),MONTH($A15),MIN(Settings!$E$54,DAY($B15))))&gt;=MAX($A15,Settings!$F$54),IF(Settings!$E$54="",$B15,DATE(YEAR($A15),MONTH($A15),MIN(Settings!$E$54,DAY($B15))))&lt;=MIN(Settings!$B$5,IF(Settings!$G$54="",Settings!$B$5,Settings!$G$54))),1,0)))))</f>
        <v/>
      </c>
      <c r="FD15">
        <f>IF($E15&lt;&gt;"open",0,IF(AND('Month-End'!$L$32&lt;&gt;"",NOT(_xlfn.ISFORMULA('Month-End'!$L$32))),0,IF(OR(Settings!$C$55="",Settings!$D$55=""),0,Settings!$C$55*IF(Settings!$D$55="Weekly",IF(IFERROR(MATCH(Settings!$E$55,$EO$4:$EO$10,0),0)=0,0,IF(MIN(Settings!$B$5,IF(Settings!$G$55="",Settings!$B$5,Settings!$G$55))&lt;MAX($A15,Settings!$F$55),0,INT((MIN(Settings!$B$5,IF(Settings!$G$55="",Settings!$B$5,Settings!$G$55))-MAX($A15,Settings!$F$55)-MOD(IFERROR(MATCH(Settings!$E$55,$EO$4:$EO$10,0),0)-WEEKDAY(MAX($A15,Settings!$F$55)),7))/7)+1)),IF(AND(IF(Settings!$E$55="",$B15,DATE(YEAR($A15),MONTH($A15),MIN(Settings!$E$55,DAY($B15))))&gt;=MAX($A15,Settings!$F$55),IF(Settings!$E$55="",$B15,DATE(YEAR($A15),MONTH($A15),MIN(Settings!$E$55,DAY($B15))))&lt;=MIN(Settings!$B$5,IF(Settings!$G$55="",Settings!$B$5,Settings!$G$55))),1,0)))))</f>
        <v/>
      </c>
      <c r="FE15">
        <f>IF($E15&lt;&gt;"open",0,IF(AND('Month-End'!$L$33&lt;&gt;"",NOT(_xlfn.ISFORMULA('Month-End'!$L$33))),0,IF(OR(Settings!$C$56="",Settings!$D$56=""),0,Settings!$C$56*IF(Settings!$D$56="Weekly",IF(IFERROR(MATCH(Settings!$E$56,$EO$4:$EO$10,0),0)=0,0,IF(MIN(Settings!$B$5,IF(Settings!$G$56="",Settings!$B$5,Settings!$G$56))&lt;MAX($A15,Settings!$F$56),0,INT((MIN(Settings!$B$5,IF(Settings!$G$56="",Settings!$B$5,Settings!$G$56))-MAX($A15,Settings!$F$56)-MOD(IFERROR(MATCH(Settings!$E$56,$EO$4:$EO$10,0),0)-WEEKDAY(MAX($A15,Settings!$F$56)),7))/7)+1)),IF(AND(IF(Settings!$E$56="",$B15,DATE(YEAR($A15),MONTH($A15),MIN(Settings!$E$56,DAY($B15))))&gt;=MAX($A15,Settings!$F$56),IF(Settings!$E$56="",$B15,DATE(YEAR($A15),MONTH($A15),MIN(Settings!$E$56,DAY($B15))))&lt;=MIN(Settings!$B$5,IF(Settings!$G$56="",Settings!$B$5,Settings!$G$56))),1,0)))))</f>
        <v/>
      </c>
      <c r="FF15">
        <f>IF(Settings!$I$45="Yes",$G15,0)+IF(Settings!$I$46="Yes",$H15,0)+IF(Settings!$I$47="Yes",$I15,0)+IF(Settings!$I$48="Yes",$J15,0)+IF(Settings!$I$49="Yes",$K15,0)+IF(Settings!$I$50="Yes",$L15,0)+IF(Settings!$I$51="Yes",$M15,0)+IF(Settings!$I$52="Yes",$N15,0)+IF(Settings!$I$53="Yes",$O15,0)+IF(Settings!$I$54="Yes",$P15,0)+IF(Settings!$I$55="Yes",$Q15,0)+IF(Settings!$I$56="Yes",$R15,0)</f>
        <v/>
      </c>
      <c r="FG15">
        <f>IF(AND(Settings!$I$45="Yes",Settings!$J$45="No"),$G15,0)+IF(AND(Settings!$I$46="Yes",Settings!$J$46="No"),$H15,0)+IF(AND(Settings!$I$47="Yes",Settings!$J$47="No"),$I15,0)+IF(AND(Settings!$I$48="Yes",Settings!$J$48="No"),$J15,0)+IF(AND(Settings!$I$49="Yes",Settings!$J$49="No"),$K15,0)+IF(AND(Settings!$I$50="Yes",Settings!$J$50="No"),$L15,0)+IF(AND(Settings!$I$51="Yes",Settings!$J$51="No"),$M15,0)+IF(AND(Settings!$I$52="Yes",Settings!$J$52="No"),$N15,0)+IF(AND(Settings!$I$53="Yes",Settings!$J$53="No"),$O15,0)+IF(AND(Settings!$I$54="Yes",Settings!$J$54="No"),$P15,0)+IF(AND(Settings!$I$55="Yes",Settings!$J$55="No"),$Q15,0)+IF(AND(Settings!$I$56="Yes",Settings!$J$56="No"),$R15,0)</f>
        <v/>
      </c>
      <c r="FH15">
        <f>SUMIFS(Giving!$B$7:$B$2006,Giving!$A$7:$A$2006,"&gt;="&amp;$A15,Giving!$A$7:$A$2006,"&lt;="&amp;$B15,Giving!$G$7:$G$2006,"Yes")+IF(OR(OR(Settings!$B$60="",Settings!$F$60="No"),Settings!$H$60&lt;&gt;"Yes"),0,Settings!$B$60*IF(AND(IF(Settings!$C$60="",$B15,DATE(YEAR($A15),MONTH($A15),MIN(Settings!$C$60,DAY($B15))))&gt;=MAX($A15,Settings!$D$60),IF(Settings!$C$60="",$B15,DATE(YEAR($A15),MONTH($A15),MIN(Settings!$C$60,DAY($B15))))&lt;=MIN($C15,IF(Settings!$E$60="",$C15,Settings!$E$60))),1,0))+IF(OR(OR(Settings!$B$61="",Settings!$F$61="No"),Settings!$H$61&lt;&gt;"Yes"),0,Settings!$B$61*IF(AND(IF(Settings!$C$61="",$B15,DATE(YEAR($A15),MONTH($A15),MIN(Settings!$C$61,DAY($B15))))&gt;=MAX($A15,Settings!$D$61),IF(Settings!$C$61="",$B15,DATE(YEAR($A15),MONTH($A15),MIN(Settings!$C$61,DAY($B15))))&lt;=MIN($C15,IF(Settings!$E$61="",$C15,Settings!$E$61))),1,0))+IF(OR(OR(Settings!$B$62="",Settings!$F$62="No"),Settings!$H$62&lt;&gt;"Yes"),0,Settings!$B$62*IF(AND(IF(Settings!$C$62="",$B15,DATE(YEAR($A15),MONTH($A15),MIN(Settings!$C$62,DAY($B15))))&gt;=MAX($A15,Settings!$D$62),IF(Settings!$C$62="",$B15,DATE(YEAR($A15),MONTH($A15),MIN(Settings!$C$62,DAY($B15))))&lt;=MIN($C15,IF(Settings!$E$62="",$C15,Settings!$E$62))),1,0))+IF(OR(OR(Settings!$B$63="",Settings!$F$63="No"),Settings!$H$63&lt;&gt;"Yes"),0,Settings!$B$63*IF(AND(IF(Settings!$C$63="",$B15,DATE(YEAR($A15),MONTH($A15),MIN(Settings!$C$63,DAY($B15))))&gt;=MAX($A15,Settings!$D$63),IF(Settings!$C$63="",$B15,DATE(YEAR($A15),MONTH($A15),MIN(Settings!$C$63,DAY($B15))))&lt;=MIN($C15,IF(Settings!$E$63="",$C15,Settings!$E$63))),1,0))+IF(OR(OR(Settings!$B$64="",Settings!$F$64="No"),Settings!$H$64&lt;&gt;"Yes"),0,Settings!$B$64*IF(AND(IF(Settings!$C$64="",$B15,DATE(YEAR($A15),MONTH($A15),MIN(Settings!$C$64,DAY($B15))))&gt;=MAX($A15,Settings!$D$64),IF(Settings!$C$64="",$B15,DATE(YEAR($A15),MONTH($A15),MIN(Settings!$C$64,DAY($B15))))&lt;=MIN($C15,IF(Settings!$E$64="",$C15,Settings!$E$64))),1,0))+IF(OR(OR(Settings!$B$65="",Settings!$F$65="No"),Settings!$H$65&lt;&gt;"Yes"),0,Settings!$B$65*IF(AND(IF(Settings!$C$65="",$B15,DATE(YEAR($A15),MONTH($A15),MIN(Settings!$C$65,DAY($B15))))&gt;=MAX($A15,Settings!$D$65),IF(Settings!$C$65="",$B15,DATE(YEAR($A15),MONTH($A15),MIN(Settings!$C$65,DAY($B15))))&lt;=MIN($C15,IF(Settings!$E$65="",$C15,Settings!$E$65))),1,0))</f>
        <v/>
      </c>
      <c r="FI15">
        <f>IF($DT15=1,IF(OR(Settings!$B$19="Card",Settings!$B$19="Loan"),N($AE15),0)+IF(OR(Settings!$B$20="Card",Settings!$B$20="Loan"),N($AF15),0)+IF(OR(Settings!$B$21="Card",Settings!$B$21="Loan"),N($AG15),0)+IF(OR(Settings!$B$22="Card",Settings!$B$22="Loan"),N($AH15),0)+IF(OR(Settings!$B$23="Card",Settings!$B$23="Loan"),N($AI15),0)+IF(OR(Settings!$B$24="Card",Settings!$B$24="Loan"),N($AJ15),0)+IF(OR(Settings!$B$25="Card",Settings!$B$25="Loan"),N($AK15),0)+IF(OR(Settings!$B$26="Card",Settings!$B$26="Loan"),N($AL15),0)+IF(OR(Settings!$B$27="Card",Settings!$B$27="Loan"),N($AM15),0)+IF(OR(Settings!$B$28="Card",Settings!$B$28="Loan"),N($AN15),0)+IF(OR(Settings!$B$29="Card",Settings!$B$29="Loan"),N($AO15),0)+IF(OR(Settings!$B$30="Card",Settings!$B$30="Loan"),N($AP15),0)+IF(OR(Settings!$B$31="Card",Settings!$B$31="Loan"),N($AQ15),0)+IF(OR(Settings!$B$32="Card",Settings!$B$32="Loan"),N($AR15),0),"")</f>
        <v/>
      </c>
      <c r="FJ15">
        <f>IF($E15="open",$EB$65,IF($E15="post",IF($E14="pre",$EB$65,$FI14),""))</f>
        <v/>
      </c>
      <c r="FK15">
        <f>IF(AND($DT15=1,$DC15=1),IF(ROUND($FI15-$FJ15,2)&gt;0,1,0),0)</f>
        <v/>
      </c>
      <c r="FL15">
        <f>IF($FK15=1,$FL14+1,0)</f>
        <v/>
      </c>
    </row>
    <row r="16">
      <c r="A16">
        <f>'Month-End'!$M$4</f>
        <v/>
      </c>
      <c r="B16">
        <f>EOMONTH($A16,0)</f>
        <v/>
      </c>
      <c r="C16">
        <f>MIN($B16,TODAY())</f>
        <v/>
      </c>
      <c r="D16">
        <f>IF($A16&gt;TODAY(),1,0)</f>
        <v/>
      </c>
      <c r="E16">
        <f>IF($B16&lt;=Settings!$B$5,"pre",IF($A16&lt;=Settings!$B$5,"open","post"))</f>
        <v/>
      </c>
      <c r="G16">
        <f>IF('Month-End'!$M$22="",$BE16,N('Month-End'!$M$22))</f>
        <v/>
      </c>
      <c r="H16">
        <f>IF('Month-End'!$M$23="",$BF16,N('Month-End'!$M$23))</f>
        <v/>
      </c>
      <c r="I16">
        <f>IF('Month-End'!$M$24="",$BG16,N('Month-End'!$M$24))</f>
        <v/>
      </c>
      <c r="J16">
        <f>IF('Month-End'!$M$25="",$BH16,N('Month-End'!$M$25))</f>
        <v/>
      </c>
      <c r="K16">
        <f>IF('Month-End'!$M$26="",$BI16,N('Month-End'!$M$26))</f>
        <v/>
      </c>
      <c r="L16">
        <f>IF('Month-End'!$M$27="",$BJ16,N('Month-End'!$M$27))</f>
        <v/>
      </c>
      <c r="M16">
        <f>IF('Month-End'!$M$28="",$BK16,N('Month-End'!$M$28))</f>
        <v/>
      </c>
      <c r="N16">
        <f>IF('Month-End'!$M$29="",$BL16,N('Month-End'!$M$29))</f>
        <v/>
      </c>
      <c r="O16">
        <f>IF('Month-End'!$M$30="",$BM16,N('Month-End'!$M$30))</f>
        <v/>
      </c>
      <c r="P16">
        <f>IF('Month-End'!$M$31="",$BN16,N('Month-End'!$M$31))</f>
        <v/>
      </c>
      <c r="Q16">
        <f>IF('Month-End'!$M$32="",$BO16,N('Month-End'!$M$32))</f>
        <v/>
      </c>
      <c r="R16">
        <f>IF('Month-End'!$M$33="",$BP16,N('Month-End'!$M$33))</f>
        <v/>
      </c>
      <c r="S16">
        <f>$G16+$H16+$I16+$J16+$K16+$L16+$M16+$N16+$O16+$P16+$Q16+$R16</f>
        <v/>
      </c>
      <c r="T16">
        <f>IF($B16&lt;Settings!$B$6,0,IF(Settings!$B$45="Yes",$G16,0)+IF(Settings!$B$46="Yes",$H16,0)+IF(Settings!$B$47="Yes",$I16,0)+IF(Settings!$B$48="Yes",$J16,0)+IF(Settings!$B$49="Yes",$K16,0)+IF(Settings!$B$50="Yes",$L16,0)+IF(Settings!$B$51="Yes",$M16,0)+IF(Settings!$B$52="Yes",$N16,0)+IF(Settings!$B$53="Yes",$O16,0)+IF(Settings!$B$54="Yes",$P16,0)+IF(Settings!$B$55="Yes",$Q16,0)+IF(Settings!$B$56="Yes",$R16,0))</f>
        <v/>
      </c>
      <c r="U16">
        <f>IF(Settings!$B$45="Not Sure",$G16,0)+IF(Settings!$B$46="Not Sure",$H16,0)+IF(Settings!$B$47="Not Sure",$I16,0)+IF(Settings!$B$48="Not Sure",$J16,0)+IF(Settings!$B$49="Not Sure",$K16,0)+IF(Settings!$B$50="Not Sure",$L16,0)+IF(Settings!$B$51="Not Sure",$M16,0)+IF(Settings!$B$52="Not Sure",$N16,0)+IF(Settings!$B$53="Not Sure",$O16,0)+IF(Settings!$B$54="Not Sure",$P16,0)+IF(Settings!$B$55="Not Sure",$Q16,0)+IF(Settings!$B$56="Not Sure",$R16,0)</f>
        <v/>
      </c>
      <c r="V16">
        <f>IF($E16="open",SUM($ET16:$FE16)+N(Settings!$B$13),0)</f>
        <v/>
      </c>
      <c r="W16">
        <f>IF($E16="post",$S16,IF($E16="open",$S16-$V16,0))</f>
        <v/>
      </c>
      <c r="X16">
        <f>SUMIFS(Giving!$B$7:$B$2006,Giving!$A$7:$A$2006,"&gt;="&amp;$A16,Giving!$A$7:$A$2006,"&lt;="&amp;$B16,Giving!$E$7:$E$2006,"&lt;&gt;No")</f>
        <v/>
      </c>
      <c r="Y16">
        <f>SUMIFS(Giving!$B$7:$B$2006,Giving!$A$7:$A$2006,"&gt;="&amp;$A16,Giving!$A$7:$A$2006,"&lt;="&amp;$B16,Giving!$E$7:$E$2006,"No")</f>
        <v/>
      </c>
      <c r="Z16">
        <f>IF(OR(Settings!$B$60="",Settings!$F$60="No"),0,Settings!$B$60*IF(AND(IF(Settings!$C$60="",$B16,DATE(YEAR($A16),MONTH($A16),MIN(Settings!$C$60,DAY($B16))))&gt;=MAX($A16,Settings!$D$60),IF(Settings!$C$60="",$B16,DATE(YEAR($A16),MONTH($A16),MIN(Settings!$C$60,DAY($B16))))&lt;=MIN($C16,IF(Settings!$E$60="",$C16,Settings!$E$60))),1,0))+IF(OR(Settings!$B$61="",Settings!$F$61="No"),0,Settings!$B$61*IF(AND(IF(Settings!$C$61="",$B16,DATE(YEAR($A16),MONTH($A16),MIN(Settings!$C$61,DAY($B16))))&gt;=MAX($A16,Settings!$D$61),IF(Settings!$C$61="",$B16,DATE(YEAR($A16),MONTH($A16),MIN(Settings!$C$61,DAY($B16))))&lt;=MIN($C16,IF(Settings!$E$61="",$C16,Settings!$E$61))),1,0))+IF(OR(Settings!$B$62="",Settings!$F$62="No"),0,Settings!$B$62*IF(AND(IF(Settings!$C$62="",$B16,DATE(YEAR($A16),MONTH($A16),MIN(Settings!$C$62,DAY($B16))))&gt;=MAX($A16,Settings!$D$62),IF(Settings!$C$62="",$B16,DATE(YEAR($A16),MONTH($A16),MIN(Settings!$C$62,DAY($B16))))&lt;=MIN($C16,IF(Settings!$E$62="",$C16,Settings!$E$62))),1,0))+IF(OR(Settings!$B$63="",Settings!$F$63="No"),0,Settings!$B$63*IF(AND(IF(Settings!$C$63="",$B16,DATE(YEAR($A16),MONTH($A16),MIN(Settings!$C$63,DAY($B16))))&gt;=MAX($A16,Settings!$D$63),IF(Settings!$C$63="",$B16,DATE(YEAR($A16),MONTH($A16),MIN(Settings!$C$63,DAY($B16))))&lt;=MIN($C16,IF(Settings!$E$63="",$C16,Settings!$E$63))),1,0))+IF(OR(Settings!$B$64="",Settings!$F$64="No"),0,Settings!$B$64*IF(AND(IF(Settings!$C$64="",$B16,DATE(YEAR($A16),MONTH($A16),MIN(Settings!$C$64,DAY($B16))))&gt;=MAX($A16,Settings!$D$64),IF(Settings!$C$64="",$B16,DATE(YEAR($A16),MONTH($A16),MIN(Settings!$C$64,DAY($B16))))&lt;=MIN($C16,IF(Settings!$E$64="",$C16,Settings!$E$64))),1,0))+IF(OR(Settings!$B$65="",Settings!$F$65="No"),0,Settings!$B$65*IF(AND(IF(Settings!$C$65="",$B16,DATE(YEAR($A16),MONTH($A16),MIN(Settings!$C$65,DAY($B16))))&gt;=MAX($A16,Settings!$D$65),IF(Settings!$C$65="",$B16,DATE(YEAR($A16),MONTH($A16),MIN(Settings!$C$65,DAY($B16))))&lt;=MIN($C16,IF(Settings!$E$65="",$C16,Settings!$E$65))),1,0))</f>
        <v/>
      </c>
      <c r="AA16">
        <f>$X16+$Z16</f>
        <v/>
      </c>
      <c r="AB16">
        <f>IF($E16="post",$AA16,IF($E16="open",SUMIFS(Giving!$B$7:$B$2006,Giving!$A$7:$A$2006,"&gt;"&amp;Settings!$B$5,Giving!$A$7:$A$2006,"&lt;="&amp;$B16,Giving!$E$7:$E$2006,"&lt;&gt;No")+IF(OR(Settings!$B$60="",Settings!$F$60="No"),0,Settings!$B$60*IF(AND(IF(Settings!$C$60="",$B16,DATE(YEAR($A16),MONTH($A16),MIN(Settings!$C$60,DAY($B16))))&gt;=MAX($A16,Settings!$D$60,Settings!$B$5+1),IF(Settings!$C$60="",$B16,DATE(YEAR($A16),MONTH($A16),MIN(Settings!$C$60,DAY($B16))))&lt;=MIN($C16,IF(Settings!$E$60="",$C16,Settings!$E$60))),1,0))+IF(OR(Settings!$B$61="",Settings!$F$61="No"),0,Settings!$B$61*IF(AND(IF(Settings!$C$61="",$B16,DATE(YEAR($A16),MONTH($A16),MIN(Settings!$C$61,DAY($B16))))&gt;=MAX($A16,Settings!$D$61,Settings!$B$5+1),IF(Settings!$C$61="",$B16,DATE(YEAR($A16),MONTH($A16),MIN(Settings!$C$61,DAY($B16))))&lt;=MIN($C16,IF(Settings!$E$61="",$C16,Settings!$E$61))),1,0))+IF(OR(Settings!$B$62="",Settings!$F$62="No"),0,Settings!$B$62*IF(AND(IF(Settings!$C$62="",$B16,DATE(YEAR($A16),MONTH($A16),MIN(Settings!$C$62,DAY($B16))))&gt;=MAX($A16,Settings!$D$62,Settings!$B$5+1),IF(Settings!$C$62="",$B16,DATE(YEAR($A16),MONTH($A16),MIN(Settings!$C$62,DAY($B16))))&lt;=MIN($C16,IF(Settings!$E$62="",$C16,Settings!$E$62))),1,0))+IF(OR(Settings!$B$63="",Settings!$F$63="No"),0,Settings!$B$63*IF(AND(IF(Settings!$C$63="",$B16,DATE(YEAR($A16),MONTH($A16),MIN(Settings!$C$63,DAY($B16))))&gt;=MAX($A16,Settings!$D$63,Settings!$B$5+1),IF(Settings!$C$63="",$B16,DATE(YEAR($A16),MONTH($A16),MIN(Settings!$C$63,DAY($B16))))&lt;=MIN($C16,IF(Settings!$E$63="",$C16,Settings!$E$63))),1,0))+IF(OR(Settings!$B$64="",Settings!$F$64="No"),0,Settings!$B$64*IF(AND(IF(Settings!$C$64="",$B16,DATE(YEAR($A16),MONTH($A16),MIN(Settings!$C$64,DAY($B16))))&gt;=MAX($A16,Settings!$D$64,Settings!$B$5+1),IF(Settings!$C$64="",$B16,DATE(YEAR($A16),MONTH($A16),MIN(Settings!$C$64,DAY($B16))))&lt;=MIN($C16,IF(Settings!$E$64="",$C16,Settings!$E$64))),1,0))+IF(OR(Settings!$B$65="",Settings!$F$65="No"),0,Settings!$B$65*IF(AND(IF(Settings!$C$65="",$B16,DATE(YEAR($A16),MONTH($A16),MIN(Settings!$C$65,DAY($B16))))&gt;=MAX($A16,Settings!$D$65,Settings!$B$5+1),IF(Settings!$C$65="",$B16,DATE(YEAR($A16),MONTH($A16),MIN(Settings!$C$65,DAY($B16))))&lt;=MIN($C16,IF(Settings!$E$65="",$C16,Settings!$E$65))),1,0)),0))</f>
        <v/>
      </c>
      <c r="AC16">
        <f>$AY16+$AZ16+$BA16+$BB16+$BC16+$BD16</f>
        <v/>
      </c>
      <c r="AD16">
        <f>$AC16</f>
        <v/>
      </c>
      <c r="AE16">
        <f>IF(OR(Settings!$A$19="",$E16="pre"),"",IF(AND('Month-End'!$M$7&lt;&gt;"",NOT(_xlfn.ISFORMULA('Month-End'!$M$7))),N('Month-End'!$M$7),IF(OR($E16="open",$E15="pre"),N(Settings!$C$19),N($AE15))))</f>
        <v/>
      </c>
      <c r="AF16">
        <f>IF(OR(Settings!$A$20="",$E16="pre"),"",IF(AND('Month-End'!$M$8&lt;&gt;"",NOT(_xlfn.ISFORMULA('Month-End'!$M$8))),N('Month-End'!$M$8),IF(OR($E16="open",$E15="pre"),N(Settings!$C$20),N($AF15))))</f>
        <v/>
      </c>
      <c r="AG16">
        <f>IF(OR(Settings!$A$21="",$E16="pre"),"",IF(AND('Month-End'!$M$9&lt;&gt;"",NOT(_xlfn.ISFORMULA('Month-End'!$M$9))),N('Month-End'!$M$9),IF(OR($E16="open",$E15="pre"),N(Settings!$C$21),N($AG15))))</f>
        <v/>
      </c>
      <c r="AH16">
        <f>IF(OR(Settings!$A$22="",$E16="pre"),"",IF(AND('Month-End'!$M$10&lt;&gt;"",NOT(_xlfn.ISFORMULA('Month-End'!$M$10))),N('Month-End'!$M$10),IF(OR($E16="open",$E15="pre"),N(Settings!$C$22),N($AH15))))</f>
        <v/>
      </c>
      <c r="AI16">
        <f>IF(OR(Settings!$A$23="",$E16="pre"),"",IF(AND('Month-End'!$M$11&lt;&gt;"",NOT(_xlfn.ISFORMULA('Month-End'!$M$11))),N('Month-End'!$M$11),IF(OR($E16="open",$E15="pre"),N(Settings!$C$23),N($AI15))))</f>
        <v/>
      </c>
      <c r="AJ16">
        <f>IF(OR(Settings!$A$24="",$E16="pre"),"",IF(AND('Month-End'!$M$12&lt;&gt;"",NOT(_xlfn.ISFORMULA('Month-End'!$M$12))),N('Month-End'!$M$12),IF(OR($E16="open",$E15="pre"),N(Settings!$C$24),N($AJ15))))</f>
        <v/>
      </c>
      <c r="AK16">
        <f>IF(OR(Settings!$A$25="",$E16="pre"),"",IF(AND('Month-End'!$M$13&lt;&gt;"",NOT(_xlfn.ISFORMULA('Month-End'!$M$13))),N('Month-End'!$M$13),IF(OR($E16="open",$E15="pre"),N(Settings!$C$25),N($AK15))))</f>
        <v/>
      </c>
      <c r="AL16">
        <f>IF(OR(Settings!$A$26="",$E16="pre"),"",IF(AND('Month-End'!$M$14&lt;&gt;"",NOT(_xlfn.ISFORMULA('Month-End'!$M$14))),N('Month-End'!$M$14),IF(OR($E16="open",$E15="pre"),N(Settings!$C$26),N($AL15))))</f>
        <v/>
      </c>
      <c r="AM16">
        <f>IF(OR(Settings!$A$27="",$E16="pre"),"",IF(AND('Month-End'!$M$15&lt;&gt;"",NOT(_xlfn.ISFORMULA('Month-End'!$M$15))),N('Month-End'!$M$15),IF(OR($E16="open",$E15="pre"),N(Settings!$C$27),N($AM15))))</f>
        <v/>
      </c>
      <c r="AN16">
        <f>IF(OR(Settings!$A$28="",$E16="pre"),"",IF(AND('Month-End'!$M$16&lt;&gt;"",NOT(_xlfn.ISFORMULA('Month-End'!$M$16))),N('Month-End'!$M$16),IF(OR($E16="open",$E15="pre"),N(Settings!$C$28),N($AN15))))</f>
        <v/>
      </c>
      <c r="AO16">
        <f>IF(OR(Settings!$A$29="",$E16="pre"),"",IF(AND('Month-End'!$M$17&lt;&gt;"",NOT(_xlfn.ISFORMULA('Month-End'!$M$17))),N('Month-End'!$M$17),IF(OR($E16="open",$E15="pre"),N(Settings!$C$29),N($AO15))))</f>
        <v/>
      </c>
      <c r="AP16">
        <f>IF(OR(Settings!$A$30="",$E16="pre"),"",IF(AND('Month-End'!$M$18&lt;&gt;"",NOT(_xlfn.ISFORMULA('Month-End'!$M$18))),N('Month-End'!$M$18),IF(OR($E16="open",$E15="pre"),N(Settings!$C$30),N($AP15))))</f>
        <v/>
      </c>
      <c r="AQ16">
        <f>IF(OR(Settings!$A$31="",$E16="pre"),"",IF(AND('Month-End'!$M$19&lt;&gt;"",NOT(_xlfn.ISFORMULA('Month-End'!$M$19))),N('Month-End'!$M$19),IF(OR($E16="open",$E15="pre"),N(Settings!$C$31),N($AQ15))))</f>
        <v/>
      </c>
      <c r="AR16">
        <f>IF(OR(Settings!$A$32="",$E16="pre"),"",IF(AND('Month-End'!$M$20&lt;&gt;"",NOT(_xlfn.ISFORMULA('Month-End'!$M$20))),N('Month-End'!$M$20),IF(OR($E16="open",$E15="pre"),N(Settings!$C$32),N($AR15))))</f>
        <v/>
      </c>
      <c r="AS16">
        <f>IF(OR(Settings!$A$36="",$E16="pre"),"",IF(AND('Month-End'!$M$38&lt;&gt;"",NOT(_xlfn.ISFORMULA('Month-End'!$M$38))),N('Month-End'!$M$38),IF(OR($E16="open",$E15="pre"),N(Settings!$C$36),N($AS15))+$AY16))</f>
        <v/>
      </c>
      <c r="AT16">
        <f>IF(OR(Settings!$A$37="",$E16="pre"),"",IF(AND('Month-End'!$M$39&lt;&gt;"",NOT(_xlfn.ISFORMULA('Month-End'!$M$39))),N('Month-End'!$M$39),IF(OR($E16="open",$E15="pre"),N(Settings!$C$37),N($AT15))+$AZ16))</f>
        <v/>
      </c>
      <c r="AU16">
        <f>IF(OR(Settings!$A$38="",$E16="pre"),"",IF(AND('Month-End'!$M$40&lt;&gt;"",NOT(_xlfn.ISFORMULA('Month-End'!$M$40))),N('Month-End'!$M$40),IF(OR($E16="open",$E15="pre"),N(Settings!$C$38),N($AU15))+$BA16))</f>
        <v/>
      </c>
      <c r="AV16">
        <f>IF(OR(Settings!$A$39="",$E16="pre"),"",IF(AND('Month-End'!$M$41&lt;&gt;"",NOT(_xlfn.ISFORMULA('Month-End'!$M$41))),N('Month-End'!$M$41),IF(OR($E16="open",$E15="pre"),N(Settings!$C$39),N($AV15))+$BB16))</f>
        <v/>
      </c>
      <c r="AW16">
        <f>IF(OR(Settings!$A$40="",$E16="pre"),"",IF(AND('Month-End'!$M$42&lt;&gt;"",NOT(_xlfn.ISFORMULA('Month-End'!$M$42))),N('Month-End'!$M$42),IF(OR($E16="open",$E15="pre"),N(Settings!$C$40),N($AW15))+$BC16))</f>
        <v/>
      </c>
      <c r="AX16">
        <f>IF(OR(Settings!$A$41="",$E16="pre"),"",IF(AND('Month-End'!$M$43&lt;&gt;"",NOT(_xlfn.ISFORMULA('Month-End'!$M$43))),N('Month-End'!$M$43),IF(OR($E16="open",$E15="pre"),N(Settings!$C$41),N($AX15))+$BD16))</f>
        <v/>
      </c>
      <c r="AY16">
        <f>IF($E16="pre",0,N('Month-End'!$M$45))</f>
        <v/>
      </c>
      <c r="AZ16">
        <f>IF($E16="pre",0,N('Month-End'!$M$46))</f>
        <v/>
      </c>
      <c r="BA16">
        <f>IF($E16="pre",0,N('Month-End'!$M$47))</f>
        <v/>
      </c>
      <c r="BB16">
        <f>IF($E16="pre",0,N('Month-End'!$M$48))</f>
        <v/>
      </c>
      <c r="BC16">
        <f>IF($E16="pre",0,N('Month-End'!$M$49))</f>
        <v/>
      </c>
      <c r="BD16">
        <f>IF($E16="pre",0,N('Month-End'!$M$50))</f>
        <v/>
      </c>
      <c r="BE16">
        <f>IF(OR(Settings!$C$45="",Settings!$D$45=""),0,Settings!$C$45*IF(Settings!$D$45="Weekly",IF(IFERROR(MATCH(Settings!$E$45,$EO$4:$EO$10,0),0)=0,0,IF(MIN($C16,IF(Settings!$G$45="",$C16,Settings!$G$45))&lt;MAX($A16,Settings!$F$45),0,INT((MIN($C16,IF(Settings!$G$45="",$C16,Settings!$G$45))-MAX($A16,Settings!$F$45)-MOD(IFERROR(MATCH(Settings!$E$45,$EO$4:$EO$10,0),0)-WEEKDAY(MAX($A16,Settings!$F$45)),7))/7)+1)),IF(AND(IF(Settings!$E$45="",$B16,DATE(YEAR($A16),MONTH($A16),MIN(Settings!$E$45,DAY($B16))))&gt;=MAX($A16,Settings!$F$45),IF(Settings!$E$45="",$B16,DATE(YEAR($A16),MONTH($A16),MIN(Settings!$E$45,DAY($B16))))&lt;=MIN($C16,IF(Settings!$G$45="",$C16,Settings!$G$45))),1,0)))</f>
        <v/>
      </c>
      <c r="BF16">
        <f>IF(OR(Settings!$C$46="",Settings!$D$46=""),0,Settings!$C$46*IF(Settings!$D$46="Weekly",IF(IFERROR(MATCH(Settings!$E$46,$EO$4:$EO$10,0),0)=0,0,IF(MIN($C16,IF(Settings!$G$46="",$C16,Settings!$G$46))&lt;MAX($A16,Settings!$F$46),0,INT((MIN($C16,IF(Settings!$G$46="",$C16,Settings!$G$46))-MAX($A16,Settings!$F$46)-MOD(IFERROR(MATCH(Settings!$E$46,$EO$4:$EO$10,0),0)-WEEKDAY(MAX($A16,Settings!$F$46)),7))/7)+1)),IF(AND(IF(Settings!$E$46="",$B16,DATE(YEAR($A16),MONTH($A16),MIN(Settings!$E$46,DAY($B16))))&gt;=MAX($A16,Settings!$F$46),IF(Settings!$E$46="",$B16,DATE(YEAR($A16),MONTH($A16),MIN(Settings!$E$46,DAY($B16))))&lt;=MIN($C16,IF(Settings!$G$46="",$C16,Settings!$G$46))),1,0)))</f>
        <v/>
      </c>
      <c r="BG16">
        <f>IF(OR(Settings!$C$47="",Settings!$D$47=""),0,Settings!$C$47*IF(Settings!$D$47="Weekly",IF(IFERROR(MATCH(Settings!$E$47,$EO$4:$EO$10,0),0)=0,0,IF(MIN($C16,IF(Settings!$G$47="",$C16,Settings!$G$47))&lt;MAX($A16,Settings!$F$47),0,INT((MIN($C16,IF(Settings!$G$47="",$C16,Settings!$G$47))-MAX($A16,Settings!$F$47)-MOD(IFERROR(MATCH(Settings!$E$47,$EO$4:$EO$10,0),0)-WEEKDAY(MAX($A16,Settings!$F$47)),7))/7)+1)),IF(AND(IF(Settings!$E$47="",$B16,DATE(YEAR($A16),MONTH($A16),MIN(Settings!$E$47,DAY($B16))))&gt;=MAX($A16,Settings!$F$47),IF(Settings!$E$47="",$B16,DATE(YEAR($A16),MONTH($A16),MIN(Settings!$E$47,DAY($B16))))&lt;=MIN($C16,IF(Settings!$G$47="",$C16,Settings!$G$47))),1,0)))</f>
        <v/>
      </c>
      <c r="BH16">
        <f>IF(OR(Settings!$C$48="",Settings!$D$48=""),0,Settings!$C$48*IF(Settings!$D$48="Weekly",IF(IFERROR(MATCH(Settings!$E$48,$EO$4:$EO$10,0),0)=0,0,IF(MIN($C16,IF(Settings!$G$48="",$C16,Settings!$G$48))&lt;MAX($A16,Settings!$F$48),0,INT((MIN($C16,IF(Settings!$G$48="",$C16,Settings!$G$48))-MAX($A16,Settings!$F$48)-MOD(IFERROR(MATCH(Settings!$E$48,$EO$4:$EO$10,0),0)-WEEKDAY(MAX($A16,Settings!$F$48)),7))/7)+1)),IF(AND(IF(Settings!$E$48="",$B16,DATE(YEAR($A16),MONTH($A16),MIN(Settings!$E$48,DAY($B16))))&gt;=MAX($A16,Settings!$F$48),IF(Settings!$E$48="",$B16,DATE(YEAR($A16),MONTH($A16),MIN(Settings!$E$48,DAY($B16))))&lt;=MIN($C16,IF(Settings!$G$48="",$C16,Settings!$G$48))),1,0)))</f>
        <v/>
      </c>
      <c r="BI16">
        <f>IF(OR(Settings!$C$49="",Settings!$D$49=""),0,Settings!$C$49*IF(Settings!$D$49="Weekly",IF(IFERROR(MATCH(Settings!$E$49,$EO$4:$EO$10,0),0)=0,0,IF(MIN($C16,IF(Settings!$G$49="",$C16,Settings!$G$49))&lt;MAX($A16,Settings!$F$49),0,INT((MIN($C16,IF(Settings!$G$49="",$C16,Settings!$G$49))-MAX($A16,Settings!$F$49)-MOD(IFERROR(MATCH(Settings!$E$49,$EO$4:$EO$10,0),0)-WEEKDAY(MAX($A16,Settings!$F$49)),7))/7)+1)),IF(AND(IF(Settings!$E$49="",$B16,DATE(YEAR($A16),MONTH($A16),MIN(Settings!$E$49,DAY($B16))))&gt;=MAX($A16,Settings!$F$49),IF(Settings!$E$49="",$B16,DATE(YEAR($A16),MONTH($A16),MIN(Settings!$E$49,DAY($B16))))&lt;=MIN($C16,IF(Settings!$G$49="",$C16,Settings!$G$49))),1,0)))</f>
        <v/>
      </c>
      <c r="BJ16">
        <f>IF(OR(Settings!$C$50="",Settings!$D$50=""),0,Settings!$C$50*IF(Settings!$D$50="Weekly",IF(IFERROR(MATCH(Settings!$E$50,$EO$4:$EO$10,0),0)=0,0,IF(MIN($C16,IF(Settings!$G$50="",$C16,Settings!$G$50))&lt;MAX($A16,Settings!$F$50),0,INT((MIN($C16,IF(Settings!$G$50="",$C16,Settings!$G$50))-MAX($A16,Settings!$F$50)-MOD(IFERROR(MATCH(Settings!$E$50,$EO$4:$EO$10,0),0)-WEEKDAY(MAX($A16,Settings!$F$50)),7))/7)+1)),IF(AND(IF(Settings!$E$50="",$B16,DATE(YEAR($A16),MONTH($A16),MIN(Settings!$E$50,DAY($B16))))&gt;=MAX($A16,Settings!$F$50),IF(Settings!$E$50="",$B16,DATE(YEAR($A16),MONTH($A16),MIN(Settings!$E$50,DAY($B16))))&lt;=MIN($C16,IF(Settings!$G$50="",$C16,Settings!$G$50))),1,0)))</f>
        <v/>
      </c>
      <c r="BK16">
        <f>IF(OR(Settings!$C$51="",Settings!$D$51=""),0,Settings!$C$51*IF(Settings!$D$51="Weekly",IF(IFERROR(MATCH(Settings!$E$51,$EO$4:$EO$10,0),0)=0,0,IF(MIN($C16,IF(Settings!$G$51="",$C16,Settings!$G$51))&lt;MAX($A16,Settings!$F$51),0,INT((MIN($C16,IF(Settings!$G$51="",$C16,Settings!$G$51))-MAX($A16,Settings!$F$51)-MOD(IFERROR(MATCH(Settings!$E$51,$EO$4:$EO$10,0),0)-WEEKDAY(MAX($A16,Settings!$F$51)),7))/7)+1)),IF(AND(IF(Settings!$E$51="",$B16,DATE(YEAR($A16),MONTH($A16),MIN(Settings!$E$51,DAY($B16))))&gt;=MAX($A16,Settings!$F$51),IF(Settings!$E$51="",$B16,DATE(YEAR($A16),MONTH($A16),MIN(Settings!$E$51,DAY($B16))))&lt;=MIN($C16,IF(Settings!$G$51="",$C16,Settings!$G$51))),1,0)))</f>
        <v/>
      </c>
      <c r="BL16">
        <f>IF(OR(Settings!$C$52="",Settings!$D$52=""),0,Settings!$C$52*IF(Settings!$D$52="Weekly",IF(IFERROR(MATCH(Settings!$E$52,$EO$4:$EO$10,0),0)=0,0,IF(MIN($C16,IF(Settings!$G$52="",$C16,Settings!$G$52))&lt;MAX($A16,Settings!$F$52),0,INT((MIN($C16,IF(Settings!$G$52="",$C16,Settings!$G$52))-MAX($A16,Settings!$F$52)-MOD(IFERROR(MATCH(Settings!$E$52,$EO$4:$EO$10,0),0)-WEEKDAY(MAX($A16,Settings!$F$52)),7))/7)+1)),IF(AND(IF(Settings!$E$52="",$B16,DATE(YEAR($A16),MONTH($A16),MIN(Settings!$E$52,DAY($B16))))&gt;=MAX($A16,Settings!$F$52),IF(Settings!$E$52="",$B16,DATE(YEAR($A16),MONTH($A16),MIN(Settings!$E$52,DAY($B16))))&lt;=MIN($C16,IF(Settings!$G$52="",$C16,Settings!$G$52))),1,0)))</f>
        <v/>
      </c>
      <c r="BM16">
        <f>IF(OR(Settings!$C$53="",Settings!$D$53=""),0,Settings!$C$53*IF(Settings!$D$53="Weekly",IF(IFERROR(MATCH(Settings!$E$53,$EO$4:$EO$10,0),0)=0,0,IF(MIN($C16,IF(Settings!$G$53="",$C16,Settings!$G$53))&lt;MAX($A16,Settings!$F$53),0,INT((MIN($C16,IF(Settings!$G$53="",$C16,Settings!$G$53))-MAX($A16,Settings!$F$53)-MOD(IFERROR(MATCH(Settings!$E$53,$EO$4:$EO$10,0),0)-WEEKDAY(MAX($A16,Settings!$F$53)),7))/7)+1)),IF(AND(IF(Settings!$E$53="",$B16,DATE(YEAR($A16),MONTH($A16),MIN(Settings!$E$53,DAY($B16))))&gt;=MAX($A16,Settings!$F$53),IF(Settings!$E$53="",$B16,DATE(YEAR($A16),MONTH($A16),MIN(Settings!$E$53,DAY($B16))))&lt;=MIN($C16,IF(Settings!$G$53="",$C16,Settings!$G$53))),1,0)))</f>
        <v/>
      </c>
      <c r="BN16">
        <f>IF(OR(Settings!$C$54="",Settings!$D$54=""),0,Settings!$C$54*IF(Settings!$D$54="Weekly",IF(IFERROR(MATCH(Settings!$E$54,$EO$4:$EO$10,0),0)=0,0,IF(MIN($C16,IF(Settings!$G$54="",$C16,Settings!$G$54))&lt;MAX($A16,Settings!$F$54),0,INT((MIN($C16,IF(Settings!$G$54="",$C16,Settings!$G$54))-MAX($A16,Settings!$F$54)-MOD(IFERROR(MATCH(Settings!$E$54,$EO$4:$EO$10,0),0)-WEEKDAY(MAX($A16,Settings!$F$54)),7))/7)+1)),IF(AND(IF(Settings!$E$54="",$B16,DATE(YEAR($A16),MONTH($A16),MIN(Settings!$E$54,DAY($B16))))&gt;=MAX($A16,Settings!$F$54),IF(Settings!$E$54="",$B16,DATE(YEAR($A16),MONTH($A16),MIN(Settings!$E$54,DAY($B16))))&lt;=MIN($C16,IF(Settings!$G$54="",$C16,Settings!$G$54))),1,0)))</f>
        <v/>
      </c>
      <c r="BO16">
        <f>IF(OR(Settings!$C$55="",Settings!$D$55=""),0,Settings!$C$55*IF(Settings!$D$55="Weekly",IF(IFERROR(MATCH(Settings!$E$55,$EO$4:$EO$10,0),0)=0,0,IF(MIN($C16,IF(Settings!$G$55="",$C16,Settings!$G$55))&lt;MAX($A16,Settings!$F$55),0,INT((MIN($C16,IF(Settings!$G$55="",$C16,Settings!$G$55))-MAX($A16,Settings!$F$55)-MOD(IFERROR(MATCH(Settings!$E$55,$EO$4:$EO$10,0),0)-WEEKDAY(MAX($A16,Settings!$F$55)),7))/7)+1)),IF(AND(IF(Settings!$E$55="",$B16,DATE(YEAR($A16),MONTH($A16),MIN(Settings!$E$55,DAY($B16))))&gt;=MAX($A16,Settings!$F$55),IF(Settings!$E$55="",$B16,DATE(YEAR($A16),MONTH($A16),MIN(Settings!$E$55,DAY($B16))))&lt;=MIN($C16,IF(Settings!$G$55="",$C16,Settings!$G$55))),1,0)))</f>
        <v/>
      </c>
      <c r="BP16">
        <f>IF(OR(Settings!$C$56="",Settings!$D$56=""),0,Settings!$C$56*IF(Settings!$D$56="Weekly",IF(IFERROR(MATCH(Settings!$E$56,$EO$4:$EO$10,0),0)=0,0,IF(MIN($C16,IF(Settings!$G$56="",$C16,Settings!$G$56))&lt;MAX($A16,Settings!$F$56),0,INT((MIN($C16,IF(Settings!$G$56="",$C16,Settings!$G$56))-MAX($A16,Settings!$F$56)-MOD(IFERROR(MATCH(Settings!$E$56,$EO$4:$EO$10,0),0)-WEEKDAY(MAX($A16,Settings!$F$56)),7))/7)+1)),IF(AND(IF(Settings!$E$56="",$B16,DATE(YEAR($A16),MONTH($A16),MIN(Settings!$E$56,DAY($B16))))&gt;=MAX($A16,Settings!$F$56),IF(Settings!$E$56="",$B16,DATE(YEAR($A16),MONTH($A16),MIN(Settings!$E$56,DAY($B16))))&lt;=MIN($C16,IF(Settings!$G$56="",$C16,Settings!$G$56))),1,0)))</f>
        <v/>
      </c>
      <c r="BQ16">
        <f>IF(OR(Settings!$B$14="",$D16=1,$E16="pre",$A16&lt;IF(Settings!$B$15="",0,Settings!$B$15)),0,Settings!$B$14)</f>
        <v/>
      </c>
      <c r="BR16">
        <f>IF(AND('Month-End'!$M$7&lt;&gt;"",NOT(_xlfn.ISFORMULA('Month-End'!$M$7))),1,0)</f>
        <v/>
      </c>
      <c r="BS16">
        <f>IF(AND('Month-End'!$M$8&lt;&gt;"",NOT(_xlfn.ISFORMULA('Month-End'!$M$8))),1,0)</f>
        <v/>
      </c>
      <c r="BT16">
        <f>IF(AND('Month-End'!$M$9&lt;&gt;"",NOT(_xlfn.ISFORMULA('Month-End'!$M$9))),1,0)</f>
        <v/>
      </c>
      <c r="BU16">
        <f>IF(AND('Month-End'!$M$10&lt;&gt;"",NOT(_xlfn.ISFORMULA('Month-End'!$M$10))),1,0)</f>
        <v/>
      </c>
      <c r="BV16">
        <f>IF(AND('Month-End'!$M$11&lt;&gt;"",NOT(_xlfn.ISFORMULA('Month-End'!$M$11))),1,0)</f>
        <v/>
      </c>
      <c r="BW16">
        <f>IF(AND('Month-End'!$M$12&lt;&gt;"",NOT(_xlfn.ISFORMULA('Month-End'!$M$12))),1,0)</f>
        <v/>
      </c>
      <c r="BX16">
        <f>IF(AND('Month-End'!$M$13&lt;&gt;"",NOT(_xlfn.ISFORMULA('Month-End'!$M$13))),1,0)</f>
        <v/>
      </c>
      <c r="BY16">
        <f>IF(AND('Month-End'!$M$14&lt;&gt;"",NOT(_xlfn.ISFORMULA('Month-End'!$M$14))),1,0)</f>
        <v/>
      </c>
      <c r="BZ16">
        <f>IF(AND('Month-End'!$M$15&lt;&gt;"",NOT(_xlfn.ISFORMULA('Month-End'!$M$15))),1,0)</f>
        <v/>
      </c>
      <c r="CA16">
        <f>IF(AND('Month-End'!$M$16&lt;&gt;"",NOT(_xlfn.ISFORMULA('Month-End'!$M$16))),1,0)</f>
        <v/>
      </c>
      <c r="CB16">
        <f>IF(AND('Month-End'!$M$17&lt;&gt;"",NOT(_xlfn.ISFORMULA('Month-End'!$M$17))),1,0)</f>
        <v/>
      </c>
      <c r="CC16">
        <f>IF(AND('Month-End'!$M$18&lt;&gt;"",NOT(_xlfn.ISFORMULA('Month-End'!$M$18))),1,0)</f>
        <v/>
      </c>
      <c r="CD16">
        <f>IF(AND('Month-End'!$M$19&lt;&gt;"",NOT(_xlfn.ISFORMULA('Month-End'!$M$19))),1,0)</f>
        <v/>
      </c>
      <c r="CE16">
        <f>IF(AND('Month-End'!$M$20&lt;&gt;"",NOT(_xlfn.ISFORMULA('Month-End'!$M$20))),1,0)</f>
        <v/>
      </c>
      <c r="CF16">
        <f>IF(AND('Month-End'!$M$38&lt;&gt;"",NOT(_xlfn.ISFORMULA('Month-End'!$M$38))),1,0)</f>
        <v/>
      </c>
      <c r="CG16">
        <f>IF(AND('Month-End'!$M$39&lt;&gt;"",NOT(_xlfn.ISFORMULA('Month-End'!$M$39))),1,0)</f>
        <v/>
      </c>
      <c r="CH16">
        <f>IF(AND('Month-End'!$M$40&lt;&gt;"",NOT(_xlfn.ISFORMULA('Month-End'!$M$40))),1,0)</f>
        <v/>
      </c>
      <c r="CI16">
        <f>IF(AND('Month-End'!$M$41&lt;&gt;"",NOT(_xlfn.ISFORMULA('Month-End'!$M$41))),1,0)</f>
        <v/>
      </c>
      <c r="CJ16">
        <f>IF(AND('Month-End'!$M$42&lt;&gt;"",NOT(_xlfn.ISFORMULA('Month-End'!$M$42))),1,0)</f>
        <v/>
      </c>
      <c r="CK16">
        <f>IF(AND('Month-End'!$M$43&lt;&gt;"",NOT(_xlfn.ISFORMULA('Month-End'!$M$43))),1,0)</f>
        <v/>
      </c>
      <c r="CL16">
        <f>SUM($CM16:$CZ16)</f>
        <v/>
      </c>
      <c r="CM16">
        <f>IF(AND($E16&lt;&gt;"pre",AND(Settings!$A$19&lt;&gt;"",Settings!$E$19&lt;&gt;"No"),Settings!$F$19="Yes",NOT(AND('Month-End'!$M$7&lt;&gt;"",NOT(_xlfn.ISFORMULA('Month-End'!$M$7))))),1,0)</f>
        <v/>
      </c>
      <c r="CN16">
        <f>IF(AND($E16&lt;&gt;"pre",AND(Settings!$A$20&lt;&gt;"",Settings!$E$20&lt;&gt;"No"),Settings!$F$20="Yes",NOT(AND('Month-End'!$M$8&lt;&gt;"",NOT(_xlfn.ISFORMULA('Month-End'!$M$8))))),1,0)</f>
        <v/>
      </c>
      <c r="CO16">
        <f>IF(AND($E16&lt;&gt;"pre",AND(Settings!$A$21&lt;&gt;"",Settings!$E$21&lt;&gt;"No"),Settings!$F$21="Yes",NOT(AND('Month-End'!$M$9&lt;&gt;"",NOT(_xlfn.ISFORMULA('Month-End'!$M$9))))),1,0)</f>
        <v/>
      </c>
      <c r="CP16">
        <f>IF(AND($E16&lt;&gt;"pre",AND(Settings!$A$22&lt;&gt;"",Settings!$E$22&lt;&gt;"No"),Settings!$F$22="Yes",NOT(AND('Month-End'!$M$10&lt;&gt;"",NOT(_xlfn.ISFORMULA('Month-End'!$M$10))))),1,0)</f>
        <v/>
      </c>
      <c r="CQ16">
        <f>IF(AND($E16&lt;&gt;"pre",AND(Settings!$A$23&lt;&gt;"",Settings!$E$23&lt;&gt;"No"),Settings!$F$23="Yes",NOT(AND('Month-End'!$M$11&lt;&gt;"",NOT(_xlfn.ISFORMULA('Month-End'!$M$11))))),1,0)</f>
        <v/>
      </c>
      <c r="CR16">
        <f>IF(AND($E16&lt;&gt;"pre",AND(Settings!$A$24&lt;&gt;"",Settings!$E$24&lt;&gt;"No"),Settings!$F$24="Yes",NOT(AND('Month-End'!$M$12&lt;&gt;"",NOT(_xlfn.ISFORMULA('Month-End'!$M$12))))),1,0)</f>
        <v/>
      </c>
      <c r="CS16">
        <f>IF(AND($E16&lt;&gt;"pre",AND(Settings!$A$25&lt;&gt;"",Settings!$E$25&lt;&gt;"No"),Settings!$F$25="Yes",NOT(AND('Month-End'!$M$13&lt;&gt;"",NOT(_xlfn.ISFORMULA('Month-End'!$M$13))))),1,0)</f>
        <v/>
      </c>
      <c r="CT16">
        <f>IF(AND($E16&lt;&gt;"pre",AND(Settings!$A$26&lt;&gt;"",Settings!$E$26&lt;&gt;"No"),Settings!$F$26="Yes",NOT(AND('Month-End'!$M$14&lt;&gt;"",NOT(_xlfn.ISFORMULA('Month-End'!$M$14))))),1,0)</f>
        <v/>
      </c>
      <c r="CU16">
        <f>IF(AND($E16&lt;&gt;"pre",AND(Settings!$A$27&lt;&gt;"",Settings!$E$27&lt;&gt;"No"),Settings!$F$27="Yes",NOT(AND('Month-End'!$M$15&lt;&gt;"",NOT(_xlfn.ISFORMULA('Month-End'!$M$15))))),1,0)</f>
        <v/>
      </c>
      <c r="CV16">
        <f>IF(AND($E16&lt;&gt;"pre",AND(Settings!$A$28&lt;&gt;"",Settings!$E$28&lt;&gt;"No"),Settings!$F$28="Yes",NOT(AND('Month-End'!$M$16&lt;&gt;"",NOT(_xlfn.ISFORMULA('Month-End'!$M$16))))),1,0)</f>
        <v/>
      </c>
      <c r="CW16">
        <f>IF(AND($E16&lt;&gt;"pre",AND(Settings!$A$29&lt;&gt;"",Settings!$E$29&lt;&gt;"No"),Settings!$F$29="Yes",NOT(AND('Month-End'!$M$17&lt;&gt;"",NOT(_xlfn.ISFORMULA('Month-End'!$M$17))))),1,0)</f>
        <v/>
      </c>
      <c r="CX16">
        <f>IF(AND($E16&lt;&gt;"pre",AND(Settings!$A$30&lt;&gt;"",Settings!$E$30&lt;&gt;"No"),Settings!$F$30="Yes",NOT(AND('Month-End'!$M$18&lt;&gt;"",NOT(_xlfn.ISFORMULA('Month-End'!$M$18))))),1,0)</f>
        <v/>
      </c>
      <c r="CY16">
        <f>IF(AND($E16&lt;&gt;"pre",AND(Settings!$A$31&lt;&gt;"",Settings!$E$31&lt;&gt;"No"),Settings!$F$31="Yes",NOT(AND('Month-End'!$M$19&lt;&gt;"",NOT(_xlfn.ISFORMULA('Month-End'!$M$19))))),1,0)</f>
        <v/>
      </c>
      <c r="CZ16">
        <f>IF(AND($E16&lt;&gt;"pre",AND(Settings!$A$32&lt;&gt;"",Settings!$E$32&lt;&gt;"No"),Settings!$F$32="Yes",NOT(AND('Month-End'!$M$20&lt;&gt;"",NOT(_xlfn.ISFORMULA('Month-End'!$M$20))))),1,0)</f>
        <v/>
      </c>
      <c r="DA16">
        <f>IF($DT16=1,IF(OR(Settings!$B$19="Checking",Settings!$B$19="Savings",Settings!$B$19="Cash"),N($AE16),IF(OR(Settings!$B$19="Card",Settings!$B$19="Loan"),-N($AE16),0))+IF(OR(Settings!$B$20="Checking",Settings!$B$20="Savings",Settings!$B$20="Cash"),N($AF16),IF(OR(Settings!$B$20="Card",Settings!$B$20="Loan"),-N($AF16),0))+IF(OR(Settings!$B$21="Checking",Settings!$B$21="Savings",Settings!$B$21="Cash"),N($AG16),IF(OR(Settings!$B$21="Card",Settings!$B$21="Loan"),-N($AG16),0))+IF(OR(Settings!$B$22="Checking",Settings!$B$22="Savings",Settings!$B$22="Cash"),N($AH16),IF(OR(Settings!$B$22="Card",Settings!$B$22="Loan"),-N($AH16),0))+IF(OR(Settings!$B$23="Checking",Settings!$B$23="Savings",Settings!$B$23="Cash"),N($AI16),IF(OR(Settings!$B$23="Card",Settings!$B$23="Loan"),-N($AI16),0))+IF(OR(Settings!$B$24="Checking",Settings!$B$24="Savings",Settings!$B$24="Cash"),N($AJ16),IF(OR(Settings!$B$24="Card",Settings!$B$24="Loan"),-N($AJ16),0))+IF(OR(Settings!$B$25="Checking",Settings!$B$25="Savings",Settings!$B$25="Cash"),N($AK16),IF(OR(Settings!$B$25="Card",Settings!$B$25="Loan"),-N($AK16),0))+IF(OR(Settings!$B$26="Checking",Settings!$B$26="Savings",Settings!$B$26="Cash"),N($AL16),IF(OR(Settings!$B$26="Card",Settings!$B$26="Loan"),-N($AL16),0))+IF(OR(Settings!$B$27="Checking",Settings!$B$27="Savings",Settings!$B$27="Cash"),N($AM16),IF(OR(Settings!$B$27="Card",Settings!$B$27="Loan"),-N($AM16),0))+IF(OR(Settings!$B$28="Checking",Settings!$B$28="Savings",Settings!$B$28="Cash"),N($AN16),IF(OR(Settings!$B$28="Card",Settings!$B$28="Loan"),-N($AN16),0))+IF(OR(Settings!$B$29="Checking",Settings!$B$29="Savings",Settings!$B$29="Cash"),N($AO16),IF(OR(Settings!$B$29="Card",Settings!$B$29="Loan"),-N($AO16),0))+IF(OR(Settings!$B$30="Checking",Settings!$B$30="Savings",Settings!$B$30="Cash"),N($AP16),IF(OR(Settings!$B$30="Card",Settings!$B$30="Loan"),-N($AP16),0))+IF(OR(Settings!$B$31="Checking",Settings!$B$31="Savings",Settings!$B$31="Cash"),N($AQ16),IF(OR(Settings!$B$31="Card",Settings!$B$31="Loan"),-N($AQ16),0))+IF(OR(Settings!$B$32="Checking",Settings!$B$32="Savings",Settings!$B$32="Cash"),N($AR16),IF(OR(Settings!$B$32="Card",Settings!$B$32="Loan"),-N($AR16),0)),"")</f>
        <v/>
      </c>
      <c r="DB16">
        <f>IF($E16="open",$EB$27,IF($E16="post",IF($E15="pre",$EB$27,$DA15),""))</f>
        <v/>
      </c>
      <c r="DC16">
        <f>IF($E16="open",1,IF($E16="post",IF($E15="pre",1,$DT15),0))</f>
        <v/>
      </c>
      <c r="DD16">
        <f>IF(AND($DT16=1,$DC16=1),ROUND($W16-($DA16-$DB16)-$AD16-$AB16,2),"")</f>
        <v/>
      </c>
      <c r="DE16">
        <f>IF('Month-End'!$M$35="",$BQ16,N('Month-End'!$M$35))</f>
        <v/>
      </c>
      <c r="DF16">
        <f>N('Month-End'!$M$36)</f>
        <v/>
      </c>
      <c r="DG16">
        <f>IF($DD16="","",$DD16+$DE16)</f>
        <v/>
      </c>
      <c r="DH16">
        <f>IF($DG16="","",$DG16-$DF16)</f>
        <v/>
      </c>
      <c r="DI16">
        <f>IF(OR($E16="pre",$D16=1),"",N($AS16)+N($AT16)+N($AU16)+N($AV16)+N($AW16)+N($AX16))</f>
        <v/>
      </c>
      <c r="DJ16">
        <f>IF($DT16=1,$DA16+N($DI16),"")</f>
        <v/>
      </c>
      <c r="DK16">
        <f>IF($DD16="","",$W16-$DD16-$AB16)</f>
        <v/>
      </c>
      <c r="DL16">
        <f>IF(AND($E16="post",$DD16&lt;&gt;"",$B16&lt;TODAY()),1,0)</f>
        <v/>
      </c>
      <c r="DM16">
        <f>IF($DL16=1,COUNTIF($DL16:$DL$183,1),0)</f>
        <v/>
      </c>
      <c r="DN16">
        <f>IF($D16=1,"",IF($E16="pre","History only",IF($DT16=1,IF($DD16="","⚠ Previous month missing",IF($DD16&lt;0,"⚠ Check: spending &lt; 0",IF($E16="open","✓ Done (partial)","✓ Done"))),IF($B16&gt;=TODAY(),"In progress","⚠ Needs balances"))))</f>
        <v/>
      </c>
      <c r="DO16">
        <f>YEAR($A16)</f>
        <v/>
      </c>
      <c r="DP16">
        <f>DATE(YEAR($A16),INT((MONTH($A16)-1)/3)*3+1,1)</f>
        <v/>
      </c>
      <c r="DQ16">
        <f>IF(AND($DT16=1,$DD16&lt;&gt;"",$D16=0),ROW(),0)</f>
        <v/>
      </c>
      <c r="DR16">
        <f>IF(AND($E16&lt;&gt;"pre",$B16&lt;TODAY(),$DT16=0),1,0)</f>
        <v/>
      </c>
      <c r="DS16">
        <f>IF($DJ16="",NA(),$DJ16)</f>
        <v/>
      </c>
      <c r="DT16">
        <f>IF(AND($E16&lt;&gt;"pre",$CL16=0,COUNTIFS(Settings!$F$19:$F$32,"Yes",Settings!$A$19:$A$32,"&lt;&gt;",Settings!$E$19:$E$32,"&lt;&gt;No")&gt;0),1,0)</f>
        <v/>
      </c>
      <c r="DU16">
        <f>IF(AND($B16&lt;TODAY(),$S16&gt;0),1,0)</f>
        <v/>
      </c>
      <c r="DV16">
        <f>IF($DU16=1,COUNTIF($DU16:$DU$183,1),0)</f>
        <v/>
      </c>
      <c r="DW16">
        <f>IF(AND(OR(Settings!$B$19="Card",Settings!$B$19="Loan"),AND('Month-End'!$M$7&lt;&gt;"",NOT(_xlfn.ISFORMULA('Month-End'!$M$7)))),IF(N('Month-End'!$M$7)&lt;0,1,0),0)+IF(AND(OR(Settings!$B$20="Card",Settings!$B$20="Loan"),AND('Month-End'!$M$8&lt;&gt;"",NOT(_xlfn.ISFORMULA('Month-End'!$M$8)))),IF(N('Month-End'!$M$8)&lt;0,1,0),0)+IF(AND(OR(Settings!$B$21="Card",Settings!$B$21="Loan"),AND('Month-End'!$M$9&lt;&gt;"",NOT(_xlfn.ISFORMULA('Month-End'!$M$9)))),IF(N('Month-End'!$M$9)&lt;0,1,0),0)+IF(AND(OR(Settings!$B$22="Card",Settings!$B$22="Loan"),AND('Month-End'!$M$10&lt;&gt;"",NOT(_xlfn.ISFORMULA('Month-End'!$M$10)))),IF(N('Month-End'!$M$10)&lt;0,1,0),0)+IF(AND(OR(Settings!$B$23="Card",Settings!$B$23="Loan"),AND('Month-End'!$M$11&lt;&gt;"",NOT(_xlfn.ISFORMULA('Month-End'!$M$11)))),IF(N('Month-End'!$M$11)&lt;0,1,0),0)+IF(AND(OR(Settings!$B$24="Card",Settings!$B$24="Loan"),AND('Month-End'!$M$12&lt;&gt;"",NOT(_xlfn.ISFORMULA('Month-End'!$M$12)))),IF(N('Month-End'!$M$12)&lt;0,1,0),0)+IF(AND(OR(Settings!$B$25="Card",Settings!$B$25="Loan"),AND('Month-End'!$M$13&lt;&gt;"",NOT(_xlfn.ISFORMULA('Month-End'!$M$13)))),IF(N('Month-End'!$M$13)&lt;0,1,0),0)+IF(AND(OR(Settings!$B$26="Card",Settings!$B$26="Loan"),AND('Month-End'!$M$14&lt;&gt;"",NOT(_xlfn.ISFORMULA('Month-End'!$M$14)))),IF(N('Month-End'!$M$14)&lt;0,1,0),0)+IF(AND(OR(Settings!$B$27="Card",Settings!$B$27="Loan"),AND('Month-End'!$M$15&lt;&gt;"",NOT(_xlfn.ISFORMULA('Month-End'!$M$15)))),IF(N('Month-End'!$M$15)&lt;0,1,0),0)+IF(AND(OR(Settings!$B$28="Card",Settings!$B$28="Loan"),AND('Month-End'!$M$16&lt;&gt;"",NOT(_xlfn.ISFORMULA('Month-End'!$M$16)))),IF(N('Month-End'!$M$16)&lt;0,1,0),0)+IF(AND(OR(Settings!$B$29="Card",Settings!$B$29="Loan"),AND('Month-End'!$M$17&lt;&gt;"",NOT(_xlfn.ISFORMULA('Month-End'!$M$17)))),IF(N('Month-End'!$M$17)&lt;0,1,0),0)+IF(AND(OR(Settings!$B$30="Card",Settings!$B$30="Loan"),AND('Month-End'!$M$18&lt;&gt;"",NOT(_xlfn.ISFORMULA('Month-End'!$M$18)))),IF(N('Month-End'!$M$18)&lt;0,1,0),0)+IF(AND(OR(Settings!$B$31="Card",Settings!$B$31="Loan"),AND('Month-End'!$M$19&lt;&gt;"",NOT(_xlfn.ISFORMULA('Month-End'!$M$19)))),IF(N('Month-End'!$M$19)&lt;0,1,0),0)+IF(AND(OR(Settings!$B$32="Card",Settings!$B$32="Loan"),AND('Month-End'!$M$20&lt;&gt;"",NOT(_xlfn.ISFORMULA('Month-End'!$M$20)))),IF(N('Month-End'!$M$20)&lt;0,1,0),0)</f>
        <v/>
      </c>
      <c r="DX16">
        <f>IF(Settings!$B$36="Retirement",$AY16,0)+IF(Settings!$B$37="Retirement",$AZ16,0)+IF(Settings!$B$38="Retirement",$BA16,0)+IF(Settings!$B$39="Retirement",$BB16,0)+IF(Settings!$B$40="Retirement",$BC16,0)+IF(Settings!$B$41="Retirement",$BD16,0)</f>
        <v/>
      </c>
      <c r="EA16" t="inlineStr">
        <is>
          <t>Income This Year</t>
        </is>
      </c>
      <c r="EB16">
        <f>SUMIFS($S$6:$S$183,$DO$6:$DO$183,YEAR(TODAY()))</f>
        <v/>
      </c>
      <c r="ET16">
        <f>IF($E16&lt;&gt;"open",0,IF(AND('Month-End'!$M$22&lt;&gt;"",NOT(_xlfn.ISFORMULA('Month-End'!$M$22))),0,IF(OR(Settings!$C$45="",Settings!$D$45=""),0,Settings!$C$45*IF(Settings!$D$45="Weekly",IF(IFERROR(MATCH(Settings!$E$45,$EO$4:$EO$10,0),0)=0,0,IF(MIN(Settings!$B$5,IF(Settings!$G$45="",Settings!$B$5,Settings!$G$45))&lt;MAX($A16,Settings!$F$45),0,INT((MIN(Settings!$B$5,IF(Settings!$G$45="",Settings!$B$5,Settings!$G$45))-MAX($A16,Settings!$F$45)-MOD(IFERROR(MATCH(Settings!$E$45,$EO$4:$EO$10,0),0)-WEEKDAY(MAX($A16,Settings!$F$45)),7))/7)+1)),IF(AND(IF(Settings!$E$45="",$B16,DATE(YEAR($A16),MONTH($A16),MIN(Settings!$E$45,DAY($B16))))&gt;=MAX($A16,Settings!$F$45),IF(Settings!$E$45="",$B16,DATE(YEAR($A16),MONTH($A16),MIN(Settings!$E$45,DAY($B16))))&lt;=MIN(Settings!$B$5,IF(Settings!$G$45="",Settings!$B$5,Settings!$G$45))),1,0)))))</f>
        <v/>
      </c>
      <c r="EU16">
        <f>IF($E16&lt;&gt;"open",0,IF(AND('Month-End'!$M$23&lt;&gt;"",NOT(_xlfn.ISFORMULA('Month-End'!$M$23))),0,IF(OR(Settings!$C$46="",Settings!$D$46=""),0,Settings!$C$46*IF(Settings!$D$46="Weekly",IF(IFERROR(MATCH(Settings!$E$46,$EO$4:$EO$10,0),0)=0,0,IF(MIN(Settings!$B$5,IF(Settings!$G$46="",Settings!$B$5,Settings!$G$46))&lt;MAX($A16,Settings!$F$46),0,INT((MIN(Settings!$B$5,IF(Settings!$G$46="",Settings!$B$5,Settings!$G$46))-MAX($A16,Settings!$F$46)-MOD(IFERROR(MATCH(Settings!$E$46,$EO$4:$EO$10,0),0)-WEEKDAY(MAX($A16,Settings!$F$46)),7))/7)+1)),IF(AND(IF(Settings!$E$46="",$B16,DATE(YEAR($A16),MONTH($A16),MIN(Settings!$E$46,DAY($B16))))&gt;=MAX($A16,Settings!$F$46),IF(Settings!$E$46="",$B16,DATE(YEAR($A16),MONTH($A16),MIN(Settings!$E$46,DAY($B16))))&lt;=MIN(Settings!$B$5,IF(Settings!$G$46="",Settings!$B$5,Settings!$G$46))),1,0)))))</f>
        <v/>
      </c>
      <c r="EV16">
        <f>IF($E16&lt;&gt;"open",0,IF(AND('Month-End'!$M$24&lt;&gt;"",NOT(_xlfn.ISFORMULA('Month-End'!$M$24))),0,IF(OR(Settings!$C$47="",Settings!$D$47=""),0,Settings!$C$47*IF(Settings!$D$47="Weekly",IF(IFERROR(MATCH(Settings!$E$47,$EO$4:$EO$10,0),0)=0,0,IF(MIN(Settings!$B$5,IF(Settings!$G$47="",Settings!$B$5,Settings!$G$47))&lt;MAX($A16,Settings!$F$47),0,INT((MIN(Settings!$B$5,IF(Settings!$G$47="",Settings!$B$5,Settings!$G$47))-MAX($A16,Settings!$F$47)-MOD(IFERROR(MATCH(Settings!$E$47,$EO$4:$EO$10,0),0)-WEEKDAY(MAX($A16,Settings!$F$47)),7))/7)+1)),IF(AND(IF(Settings!$E$47="",$B16,DATE(YEAR($A16),MONTH($A16),MIN(Settings!$E$47,DAY($B16))))&gt;=MAX($A16,Settings!$F$47),IF(Settings!$E$47="",$B16,DATE(YEAR($A16),MONTH($A16),MIN(Settings!$E$47,DAY($B16))))&lt;=MIN(Settings!$B$5,IF(Settings!$G$47="",Settings!$B$5,Settings!$G$47))),1,0)))))</f>
        <v/>
      </c>
      <c r="EW16">
        <f>IF($E16&lt;&gt;"open",0,IF(AND('Month-End'!$M$25&lt;&gt;"",NOT(_xlfn.ISFORMULA('Month-End'!$M$25))),0,IF(OR(Settings!$C$48="",Settings!$D$48=""),0,Settings!$C$48*IF(Settings!$D$48="Weekly",IF(IFERROR(MATCH(Settings!$E$48,$EO$4:$EO$10,0),0)=0,0,IF(MIN(Settings!$B$5,IF(Settings!$G$48="",Settings!$B$5,Settings!$G$48))&lt;MAX($A16,Settings!$F$48),0,INT((MIN(Settings!$B$5,IF(Settings!$G$48="",Settings!$B$5,Settings!$G$48))-MAX($A16,Settings!$F$48)-MOD(IFERROR(MATCH(Settings!$E$48,$EO$4:$EO$10,0),0)-WEEKDAY(MAX($A16,Settings!$F$48)),7))/7)+1)),IF(AND(IF(Settings!$E$48="",$B16,DATE(YEAR($A16),MONTH($A16),MIN(Settings!$E$48,DAY($B16))))&gt;=MAX($A16,Settings!$F$48),IF(Settings!$E$48="",$B16,DATE(YEAR($A16),MONTH($A16),MIN(Settings!$E$48,DAY($B16))))&lt;=MIN(Settings!$B$5,IF(Settings!$G$48="",Settings!$B$5,Settings!$G$48))),1,0)))))</f>
        <v/>
      </c>
      <c r="EX16">
        <f>IF($E16&lt;&gt;"open",0,IF(AND('Month-End'!$M$26&lt;&gt;"",NOT(_xlfn.ISFORMULA('Month-End'!$M$26))),0,IF(OR(Settings!$C$49="",Settings!$D$49=""),0,Settings!$C$49*IF(Settings!$D$49="Weekly",IF(IFERROR(MATCH(Settings!$E$49,$EO$4:$EO$10,0),0)=0,0,IF(MIN(Settings!$B$5,IF(Settings!$G$49="",Settings!$B$5,Settings!$G$49))&lt;MAX($A16,Settings!$F$49),0,INT((MIN(Settings!$B$5,IF(Settings!$G$49="",Settings!$B$5,Settings!$G$49))-MAX($A16,Settings!$F$49)-MOD(IFERROR(MATCH(Settings!$E$49,$EO$4:$EO$10,0),0)-WEEKDAY(MAX($A16,Settings!$F$49)),7))/7)+1)),IF(AND(IF(Settings!$E$49="",$B16,DATE(YEAR($A16),MONTH($A16),MIN(Settings!$E$49,DAY($B16))))&gt;=MAX($A16,Settings!$F$49),IF(Settings!$E$49="",$B16,DATE(YEAR($A16),MONTH($A16),MIN(Settings!$E$49,DAY($B16))))&lt;=MIN(Settings!$B$5,IF(Settings!$G$49="",Settings!$B$5,Settings!$G$49))),1,0)))))</f>
        <v/>
      </c>
      <c r="EY16">
        <f>IF($E16&lt;&gt;"open",0,IF(AND('Month-End'!$M$27&lt;&gt;"",NOT(_xlfn.ISFORMULA('Month-End'!$M$27))),0,IF(OR(Settings!$C$50="",Settings!$D$50=""),0,Settings!$C$50*IF(Settings!$D$50="Weekly",IF(IFERROR(MATCH(Settings!$E$50,$EO$4:$EO$10,0),0)=0,0,IF(MIN(Settings!$B$5,IF(Settings!$G$50="",Settings!$B$5,Settings!$G$50))&lt;MAX($A16,Settings!$F$50),0,INT((MIN(Settings!$B$5,IF(Settings!$G$50="",Settings!$B$5,Settings!$G$50))-MAX($A16,Settings!$F$50)-MOD(IFERROR(MATCH(Settings!$E$50,$EO$4:$EO$10,0),0)-WEEKDAY(MAX($A16,Settings!$F$50)),7))/7)+1)),IF(AND(IF(Settings!$E$50="",$B16,DATE(YEAR($A16),MONTH($A16),MIN(Settings!$E$50,DAY($B16))))&gt;=MAX($A16,Settings!$F$50),IF(Settings!$E$50="",$B16,DATE(YEAR($A16),MONTH($A16),MIN(Settings!$E$50,DAY($B16))))&lt;=MIN(Settings!$B$5,IF(Settings!$G$50="",Settings!$B$5,Settings!$G$50))),1,0)))))</f>
        <v/>
      </c>
      <c r="EZ16">
        <f>IF($E16&lt;&gt;"open",0,IF(AND('Month-End'!$M$28&lt;&gt;"",NOT(_xlfn.ISFORMULA('Month-End'!$M$28))),0,IF(OR(Settings!$C$51="",Settings!$D$51=""),0,Settings!$C$51*IF(Settings!$D$51="Weekly",IF(IFERROR(MATCH(Settings!$E$51,$EO$4:$EO$10,0),0)=0,0,IF(MIN(Settings!$B$5,IF(Settings!$G$51="",Settings!$B$5,Settings!$G$51))&lt;MAX($A16,Settings!$F$51),0,INT((MIN(Settings!$B$5,IF(Settings!$G$51="",Settings!$B$5,Settings!$G$51))-MAX($A16,Settings!$F$51)-MOD(IFERROR(MATCH(Settings!$E$51,$EO$4:$EO$10,0),0)-WEEKDAY(MAX($A16,Settings!$F$51)),7))/7)+1)),IF(AND(IF(Settings!$E$51="",$B16,DATE(YEAR($A16),MONTH($A16),MIN(Settings!$E$51,DAY($B16))))&gt;=MAX($A16,Settings!$F$51),IF(Settings!$E$51="",$B16,DATE(YEAR($A16),MONTH($A16),MIN(Settings!$E$51,DAY($B16))))&lt;=MIN(Settings!$B$5,IF(Settings!$G$51="",Settings!$B$5,Settings!$G$51))),1,0)))))</f>
        <v/>
      </c>
      <c r="FA16">
        <f>IF($E16&lt;&gt;"open",0,IF(AND('Month-End'!$M$29&lt;&gt;"",NOT(_xlfn.ISFORMULA('Month-End'!$M$29))),0,IF(OR(Settings!$C$52="",Settings!$D$52=""),0,Settings!$C$52*IF(Settings!$D$52="Weekly",IF(IFERROR(MATCH(Settings!$E$52,$EO$4:$EO$10,0),0)=0,0,IF(MIN(Settings!$B$5,IF(Settings!$G$52="",Settings!$B$5,Settings!$G$52))&lt;MAX($A16,Settings!$F$52),0,INT((MIN(Settings!$B$5,IF(Settings!$G$52="",Settings!$B$5,Settings!$G$52))-MAX($A16,Settings!$F$52)-MOD(IFERROR(MATCH(Settings!$E$52,$EO$4:$EO$10,0),0)-WEEKDAY(MAX($A16,Settings!$F$52)),7))/7)+1)),IF(AND(IF(Settings!$E$52="",$B16,DATE(YEAR($A16),MONTH($A16),MIN(Settings!$E$52,DAY($B16))))&gt;=MAX($A16,Settings!$F$52),IF(Settings!$E$52="",$B16,DATE(YEAR($A16),MONTH($A16),MIN(Settings!$E$52,DAY($B16))))&lt;=MIN(Settings!$B$5,IF(Settings!$G$52="",Settings!$B$5,Settings!$G$52))),1,0)))))</f>
        <v/>
      </c>
      <c r="FB16">
        <f>IF($E16&lt;&gt;"open",0,IF(AND('Month-End'!$M$30&lt;&gt;"",NOT(_xlfn.ISFORMULA('Month-End'!$M$30))),0,IF(OR(Settings!$C$53="",Settings!$D$53=""),0,Settings!$C$53*IF(Settings!$D$53="Weekly",IF(IFERROR(MATCH(Settings!$E$53,$EO$4:$EO$10,0),0)=0,0,IF(MIN(Settings!$B$5,IF(Settings!$G$53="",Settings!$B$5,Settings!$G$53))&lt;MAX($A16,Settings!$F$53),0,INT((MIN(Settings!$B$5,IF(Settings!$G$53="",Settings!$B$5,Settings!$G$53))-MAX($A16,Settings!$F$53)-MOD(IFERROR(MATCH(Settings!$E$53,$EO$4:$EO$10,0),0)-WEEKDAY(MAX($A16,Settings!$F$53)),7))/7)+1)),IF(AND(IF(Settings!$E$53="",$B16,DATE(YEAR($A16),MONTH($A16),MIN(Settings!$E$53,DAY($B16))))&gt;=MAX($A16,Settings!$F$53),IF(Settings!$E$53="",$B16,DATE(YEAR($A16),MONTH($A16),MIN(Settings!$E$53,DAY($B16))))&lt;=MIN(Settings!$B$5,IF(Settings!$G$53="",Settings!$B$5,Settings!$G$53))),1,0)))))</f>
        <v/>
      </c>
      <c r="FC16">
        <f>IF($E16&lt;&gt;"open",0,IF(AND('Month-End'!$M$31&lt;&gt;"",NOT(_xlfn.ISFORMULA('Month-End'!$M$31))),0,IF(OR(Settings!$C$54="",Settings!$D$54=""),0,Settings!$C$54*IF(Settings!$D$54="Weekly",IF(IFERROR(MATCH(Settings!$E$54,$EO$4:$EO$10,0),0)=0,0,IF(MIN(Settings!$B$5,IF(Settings!$G$54="",Settings!$B$5,Settings!$G$54))&lt;MAX($A16,Settings!$F$54),0,INT((MIN(Settings!$B$5,IF(Settings!$G$54="",Settings!$B$5,Settings!$G$54))-MAX($A16,Settings!$F$54)-MOD(IFERROR(MATCH(Settings!$E$54,$EO$4:$EO$10,0),0)-WEEKDAY(MAX($A16,Settings!$F$54)),7))/7)+1)),IF(AND(IF(Settings!$E$54="",$B16,DATE(YEAR($A16),MONTH($A16),MIN(Settings!$E$54,DAY($B16))))&gt;=MAX($A16,Settings!$F$54),IF(Settings!$E$54="",$B16,DATE(YEAR($A16),MONTH($A16),MIN(Settings!$E$54,DAY($B16))))&lt;=MIN(Settings!$B$5,IF(Settings!$G$54="",Settings!$B$5,Settings!$G$54))),1,0)))))</f>
        <v/>
      </c>
      <c r="FD16">
        <f>IF($E16&lt;&gt;"open",0,IF(AND('Month-End'!$M$32&lt;&gt;"",NOT(_xlfn.ISFORMULA('Month-End'!$M$32))),0,IF(OR(Settings!$C$55="",Settings!$D$55=""),0,Settings!$C$55*IF(Settings!$D$55="Weekly",IF(IFERROR(MATCH(Settings!$E$55,$EO$4:$EO$10,0),0)=0,0,IF(MIN(Settings!$B$5,IF(Settings!$G$55="",Settings!$B$5,Settings!$G$55))&lt;MAX($A16,Settings!$F$55),0,INT((MIN(Settings!$B$5,IF(Settings!$G$55="",Settings!$B$5,Settings!$G$55))-MAX($A16,Settings!$F$55)-MOD(IFERROR(MATCH(Settings!$E$55,$EO$4:$EO$10,0),0)-WEEKDAY(MAX($A16,Settings!$F$55)),7))/7)+1)),IF(AND(IF(Settings!$E$55="",$B16,DATE(YEAR($A16),MONTH($A16),MIN(Settings!$E$55,DAY($B16))))&gt;=MAX($A16,Settings!$F$55),IF(Settings!$E$55="",$B16,DATE(YEAR($A16),MONTH($A16),MIN(Settings!$E$55,DAY($B16))))&lt;=MIN(Settings!$B$5,IF(Settings!$G$55="",Settings!$B$5,Settings!$G$55))),1,0)))))</f>
        <v/>
      </c>
      <c r="FE16">
        <f>IF($E16&lt;&gt;"open",0,IF(AND('Month-End'!$M$33&lt;&gt;"",NOT(_xlfn.ISFORMULA('Month-End'!$M$33))),0,IF(OR(Settings!$C$56="",Settings!$D$56=""),0,Settings!$C$56*IF(Settings!$D$56="Weekly",IF(IFERROR(MATCH(Settings!$E$56,$EO$4:$EO$10,0),0)=0,0,IF(MIN(Settings!$B$5,IF(Settings!$G$56="",Settings!$B$5,Settings!$G$56))&lt;MAX($A16,Settings!$F$56),0,INT((MIN(Settings!$B$5,IF(Settings!$G$56="",Settings!$B$5,Settings!$G$56))-MAX($A16,Settings!$F$56)-MOD(IFERROR(MATCH(Settings!$E$56,$EO$4:$EO$10,0),0)-WEEKDAY(MAX($A16,Settings!$F$56)),7))/7)+1)),IF(AND(IF(Settings!$E$56="",$B16,DATE(YEAR($A16),MONTH($A16),MIN(Settings!$E$56,DAY($B16))))&gt;=MAX($A16,Settings!$F$56),IF(Settings!$E$56="",$B16,DATE(YEAR($A16),MONTH($A16),MIN(Settings!$E$56,DAY($B16))))&lt;=MIN(Settings!$B$5,IF(Settings!$G$56="",Settings!$B$5,Settings!$G$56))),1,0)))))</f>
        <v/>
      </c>
      <c r="FF16">
        <f>IF(Settings!$I$45="Yes",$G16,0)+IF(Settings!$I$46="Yes",$H16,0)+IF(Settings!$I$47="Yes",$I16,0)+IF(Settings!$I$48="Yes",$J16,0)+IF(Settings!$I$49="Yes",$K16,0)+IF(Settings!$I$50="Yes",$L16,0)+IF(Settings!$I$51="Yes",$M16,0)+IF(Settings!$I$52="Yes",$N16,0)+IF(Settings!$I$53="Yes",$O16,0)+IF(Settings!$I$54="Yes",$P16,0)+IF(Settings!$I$55="Yes",$Q16,0)+IF(Settings!$I$56="Yes",$R16,0)</f>
        <v/>
      </c>
      <c r="FG16">
        <f>IF(AND(Settings!$I$45="Yes",Settings!$J$45="No"),$G16,0)+IF(AND(Settings!$I$46="Yes",Settings!$J$46="No"),$H16,0)+IF(AND(Settings!$I$47="Yes",Settings!$J$47="No"),$I16,0)+IF(AND(Settings!$I$48="Yes",Settings!$J$48="No"),$J16,0)+IF(AND(Settings!$I$49="Yes",Settings!$J$49="No"),$K16,0)+IF(AND(Settings!$I$50="Yes",Settings!$J$50="No"),$L16,0)+IF(AND(Settings!$I$51="Yes",Settings!$J$51="No"),$M16,0)+IF(AND(Settings!$I$52="Yes",Settings!$J$52="No"),$N16,0)+IF(AND(Settings!$I$53="Yes",Settings!$J$53="No"),$O16,0)+IF(AND(Settings!$I$54="Yes",Settings!$J$54="No"),$P16,0)+IF(AND(Settings!$I$55="Yes",Settings!$J$55="No"),$Q16,0)+IF(AND(Settings!$I$56="Yes",Settings!$J$56="No"),$R16,0)</f>
        <v/>
      </c>
      <c r="FH16">
        <f>SUMIFS(Giving!$B$7:$B$2006,Giving!$A$7:$A$2006,"&gt;="&amp;$A16,Giving!$A$7:$A$2006,"&lt;="&amp;$B16,Giving!$G$7:$G$2006,"Yes")+IF(OR(OR(Settings!$B$60="",Settings!$F$60="No"),Settings!$H$60&lt;&gt;"Yes"),0,Settings!$B$60*IF(AND(IF(Settings!$C$60="",$B16,DATE(YEAR($A16),MONTH($A16),MIN(Settings!$C$60,DAY($B16))))&gt;=MAX($A16,Settings!$D$60),IF(Settings!$C$60="",$B16,DATE(YEAR($A16),MONTH($A16),MIN(Settings!$C$60,DAY($B16))))&lt;=MIN($C16,IF(Settings!$E$60="",$C16,Settings!$E$60))),1,0))+IF(OR(OR(Settings!$B$61="",Settings!$F$61="No"),Settings!$H$61&lt;&gt;"Yes"),0,Settings!$B$61*IF(AND(IF(Settings!$C$61="",$B16,DATE(YEAR($A16),MONTH($A16),MIN(Settings!$C$61,DAY($B16))))&gt;=MAX($A16,Settings!$D$61),IF(Settings!$C$61="",$B16,DATE(YEAR($A16),MONTH($A16),MIN(Settings!$C$61,DAY($B16))))&lt;=MIN($C16,IF(Settings!$E$61="",$C16,Settings!$E$61))),1,0))+IF(OR(OR(Settings!$B$62="",Settings!$F$62="No"),Settings!$H$62&lt;&gt;"Yes"),0,Settings!$B$62*IF(AND(IF(Settings!$C$62="",$B16,DATE(YEAR($A16),MONTH($A16),MIN(Settings!$C$62,DAY($B16))))&gt;=MAX($A16,Settings!$D$62),IF(Settings!$C$62="",$B16,DATE(YEAR($A16),MONTH($A16),MIN(Settings!$C$62,DAY($B16))))&lt;=MIN($C16,IF(Settings!$E$62="",$C16,Settings!$E$62))),1,0))+IF(OR(OR(Settings!$B$63="",Settings!$F$63="No"),Settings!$H$63&lt;&gt;"Yes"),0,Settings!$B$63*IF(AND(IF(Settings!$C$63="",$B16,DATE(YEAR($A16),MONTH($A16),MIN(Settings!$C$63,DAY($B16))))&gt;=MAX($A16,Settings!$D$63),IF(Settings!$C$63="",$B16,DATE(YEAR($A16),MONTH($A16),MIN(Settings!$C$63,DAY($B16))))&lt;=MIN($C16,IF(Settings!$E$63="",$C16,Settings!$E$63))),1,0))+IF(OR(OR(Settings!$B$64="",Settings!$F$64="No"),Settings!$H$64&lt;&gt;"Yes"),0,Settings!$B$64*IF(AND(IF(Settings!$C$64="",$B16,DATE(YEAR($A16),MONTH($A16),MIN(Settings!$C$64,DAY($B16))))&gt;=MAX($A16,Settings!$D$64),IF(Settings!$C$64="",$B16,DATE(YEAR($A16),MONTH($A16),MIN(Settings!$C$64,DAY($B16))))&lt;=MIN($C16,IF(Settings!$E$64="",$C16,Settings!$E$64))),1,0))+IF(OR(OR(Settings!$B$65="",Settings!$F$65="No"),Settings!$H$65&lt;&gt;"Yes"),0,Settings!$B$65*IF(AND(IF(Settings!$C$65="",$B16,DATE(YEAR($A16),MONTH($A16),MIN(Settings!$C$65,DAY($B16))))&gt;=MAX($A16,Settings!$D$65),IF(Settings!$C$65="",$B16,DATE(YEAR($A16),MONTH($A16),MIN(Settings!$C$65,DAY($B16))))&lt;=MIN($C16,IF(Settings!$E$65="",$C16,Settings!$E$65))),1,0))</f>
        <v/>
      </c>
      <c r="FI16">
        <f>IF($DT16=1,IF(OR(Settings!$B$19="Card",Settings!$B$19="Loan"),N($AE16),0)+IF(OR(Settings!$B$20="Card",Settings!$B$20="Loan"),N($AF16),0)+IF(OR(Settings!$B$21="Card",Settings!$B$21="Loan"),N($AG16),0)+IF(OR(Settings!$B$22="Card",Settings!$B$22="Loan"),N($AH16),0)+IF(OR(Settings!$B$23="Card",Settings!$B$23="Loan"),N($AI16),0)+IF(OR(Settings!$B$24="Card",Settings!$B$24="Loan"),N($AJ16),0)+IF(OR(Settings!$B$25="Card",Settings!$B$25="Loan"),N($AK16),0)+IF(OR(Settings!$B$26="Card",Settings!$B$26="Loan"),N($AL16),0)+IF(OR(Settings!$B$27="Card",Settings!$B$27="Loan"),N($AM16),0)+IF(OR(Settings!$B$28="Card",Settings!$B$28="Loan"),N($AN16),0)+IF(OR(Settings!$B$29="Card",Settings!$B$29="Loan"),N($AO16),0)+IF(OR(Settings!$B$30="Card",Settings!$B$30="Loan"),N($AP16),0)+IF(OR(Settings!$B$31="Card",Settings!$B$31="Loan"),N($AQ16),0)+IF(OR(Settings!$B$32="Card",Settings!$B$32="Loan"),N($AR16),0),"")</f>
        <v/>
      </c>
      <c r="FJ16">
        <f>IF($E16="open",$EB$65,IF($E16="post",IF($E15="pre",$EB$65,$FI15),""))</f>
        <v/>
      </c>
      <c r="FK16">
        <f>IF(AND($DT16=1,$DC16=1),IF(ROUND($FI16-$FJ16,2)&gt;0,1,0),0)</f>
        <v/>
      </c>
      <c r="FL16">
        <f>IF($FK16=1,$FL15+1,0)</f>
        <v/>
      </c>
    </row>
    <row r="17">
      <c r="A17">
        <f>'Month-End'!$N$4</f>
        <v/>
      </c>
      <c r="B17">
        <f>EOMONTH($A17,0)</f>
        <v/>
      </c>
      <c r="C17">
        <f>MIN($B17,TODAY())</f>
        <v/>
      </c>
      <c r="D17">
        <f>IF($A17&gt;TODAY(),1,0)</f>
        <v/>
      </c>
      <c r="E17">
        <f>IF($B17&lt;=Settings!$B$5,"pre",IF($A17&lt;=Settings!$B$5,"open","post"))</f>
        <v/>
      </c>
      <c r="G17">
        <f>IF('Month-End'!$N$22="",$BE17,N('Month-End'!$N$22))</f>
        <v/>
      </c>
      <c r="H17">
        <f>IF('Month-End'!$N$23="",$BF17,N('Month-End'!$N$23))</f>
        <v/>
      </c>
      <c r="I17">
        <f>IF('Month-End'!$N$24="",$BG17,N('Month-End'!$N$24))</f>
        <v/>
      </c>
      <c r="J17">
        <f>IF('Month-End'!$N$25="",$BH17,N('Month-End'!$N$25))</f>
        <v/>
      </c>
      <c r="K17">
        <f>IF('Month-End'!$N$26="",$BI17,N('Month-End'!$N$26))</f>
        <v/>
      </c>
      <c r="L17">
        <f>IF('Month-End'!$N$27="",$BJ17,N('Month-End'!$N$27))</f>
        <v/>
      </c>
      <c r="M17">
        <f>IF('Month-End'!$N$28="",$BK17,N('Month-End'!$N$28))</f>
        <v/>
      </c>
      <c r="N17">
        <f>IF('Month-End'!$N$29="",$BL17,N('Month-End'!$N$29))</f>
        <v/>
      </c>
      <c r="O17">
        <f>IF('Month-End'!$N$30="",$BM17,N('Month-End'!$N$30))</f>
        <v/>
      </c>
      <c r="P17">
        <f>IF('Month-End'!$N$31="",$BN17,N('Month-End'!$N$31))</f>
        <v/>
      </c>
      <c r="Q17">
        <f>IF('Month-End'!$N$32="",$BO17,N('Month-End'!$N$32))</f>
        <v/>
      </c>
      <c r="R17">
        <f>IF('Month-End'!$N$33="",$BP17,N('Month-End'!$N$33))</f>
        <v/>
      </c>
      <c r="S17">
        <f>$G17+$H17+$I17+$J17+$K17+$L17+$M17+$N17+$O17+$P17+$Q17+$R17</f>
        <v/>
      </c>
      <c r="T17">
        <f>IF($B17&lt;Settings!$B$6,0,IF(Settings!$B$45="Yes",$G17,0)+IF(Settings!$B$46="Yes",$H17,0)+IF(Settings!$B$47="Yes",$I17,0)+IF(Settings!$B$48="Yes",$J17,0)+IF(Settings!$B$49="Yes",$K17,0)+IF(Settings!$B$50="Yes",$L17,0)+IF(Settings!$B$51="Yes",$M17,0)+IF(Settings!$B$52="Yes",$N17,0)+IF(Settings!$B$53="Yes",$O17,0)+IF(Settings!$B$54="Yes",$P17,0)+IF(Settings!$B$55="Yes",$Q17,0)+IF(Settings!$B$56="Yes",$R17,0))</f>
        <v/>
      </c>
      <c r="U17">
        <f>IF(Settings!$B$45="Not Sure",$G17,0)+IF(Settings!$B$46="Not Sure",$H17,0)+IF(Settings!$B$47="Not Sure",$I17,0)+IF(Settings!$B$48="Not Sure",$J17,0)+IF(Settings!$B$49="Not Sure",$K17,0)+IF(Settings!$B$50="Not Sure",$L17,0)+IF(Settings!$B$51="Not Sure",$M17,0)+IF(Settings!$B$52="Not Sure",$N17,0)+IF(Settings!$B$53="Not Sure",$O17,0)+IF(Settings!$B$54="Not Sure",$P17,0)+IF(Settings!$B$55="Not Sure",$Q17,0)+IF(Settings!$B$56="Not Sure",$R17,0)</f>
        <v/>
      </c>
      <c r="V17">
        <f>IF($E17="open",SUM($ET17:$FE17)+N(Settings!$B$13),0)</f>
        <v/>
      </c>
      <c r="W17">
        <f>IF($E17="post",$S17,IF($E17="open",$S17-$V17,0))</f>
        <v/>
      </c>
      <c r="X17">
        <f>SUMIFS(Giving!$B$7:$B$2006,Giving!$A$7:$A$2006,"&gt;="&amp;$A17,Giving!$A$7:$A$2006,"&lt;="&amp;$B17,Giving!$E$7:$E$2006,"&lt;&gt;No")</f>
        <v/>
      </c>
      <c r="Y17">
        <f>SUMIFS(Giving!$B$7:$B$2006,Giving!$A$7:$A$2006,"&gt;="&amp;$A17,Giving!$A$7:$A$2006,"&lt;="&amp;$B17,Giving!$E$7:$E$2006,"No")</f>
        <v/>
      </c>
      <c r="Z17">
        <f>IF(OR(Settings!$B$60="",Settings!$F$60="No"),0,Settings!$B$60*IF(AND(IF(Settings!$C$60="",$B17,DATE(YEAR($A17),MONTH($A17),MIN(Settings!$C$60,DAY($B17))))&gt;=MAX($A17,Settings!$D$60),IF(Settings!$C$60="",$B17,DATE(YEAR($A17),MONTH($A17),MIN(Settings!$C$60,DAY($B17))))&lt;=MIN($C17,IF(Settings!$E$60="",$C17,Settings!$E$60))),1,0))+IF(OR(Settings!$B$61="",Settings!$F$61="No"),0,Settings!$B$61*IF(AND(IF(Settings!$C$61="",$B17,DATE(YEAR($A17),MONTH($A17),MIN(Settings!$C$61,DAY($B17))))&gt;=MAX($A17,Settings!$D$61),IF(Settings!$C$61="",$B17,DATE(YEAR($A17),MONTH($A17),MIN(Settings!$C$61,DAY($B17))))&lt;=MIN($C17,IF(Settings!$E$61="",$C17,Settings!$E$61))),1,0))+IF(OR(Settings!$B$62="",Settings!$F$62="No"),0,Settings!$B$62*IF(AND(IF(Settings!$C$62="",$B17,DATE(YEAR($A17),MONTH($A17),MIN(Settings!$C$62,DAY($B17))))&gt;=MAX($A17,Settings!$D$62),IF(Settings!$C$62="",$B17,DATE(YEAR($A17),MONTH($A17),MIN(Settings!$C$62,DAY($B17))))&lt;=MIN($C17,IF(Settings!$E$62="",$C17,Settings!$E$62))),1,0))+IF(OR(Settings!$B$63="",Settings!$F$63="No"),0,Settings!$B$63*IF(AND(IF(Settings!$C$63="",$B17,DATE(YEAR($A17),MONTH($A17),MIN(Settings!$C$63,DAY($B17))))&gt;=MAX($A17,Settings!$D$63),IF(Settings!$C$63="",$B17,DATE(YEAR($A17),MONTH($A17),MIN(Settings!$C$63,DAY($B17))))&lt;=MIN($C17,IF(Settings!$E$63="",$C17,Settings!$E$63))),1,0))+IF(OR(Settings!$B$64="",Settings!$F$64="No"),0,Settings!$B$64*IF(AND(IF(Settings!$C$64="",$B17,DATE(YEAR($A17),MONTH($A17),MIN(Settings!$C$64,DAY($B17))))&gt;=MAX($A17,Settings!$D$64),IF(Settings!$C$64="",$B17,DATE(YEAR($A17),MONTH($A17),MIN(Settings!$C$64,DAY($B17))))&lt;=MIN($C17,IF(Settings!$E$64="",$C17,Settings!$E$64))),1,0))+IF(OR(Settings!$B$65="",Settings!$F$65="No"),0,Settings!$B$65*IF(AND(IF(Settings!$C$65="",$B17,DATE(YEAR($A17),MONTH($A17),MIN(Settings!$C$65,DAY($B17))))&gt;=MAX($A17,Settings!$D$65),IF(Settings!$C$65="",$B17,DATE(YEAR($A17),MONTH($A17),MIN(Settings!$C$65,DAY($B17))))&lt;=MIN($C17,IF(Settings!$E$65="",$C17,Settings!$E$65))),1,0))</f>
        <v/>
      </c>
      <c r="AA17">
        <f>$X17+$Z17</f>
        <v/>
      </c>
      <c r="AB17">
        <f>IF($E17="post",$AA17,IF($E17="open",SUMIFS(Giving!$B$7:$B$2006,Giving!$A$7:$A$2006,"&gt;"&amp;Settings!$B$5,Giving!$A$7:$A$2006,"&lt;="&amp;$B17,Giving!$E$7:$E$2006,"&lt;&gt;No")+IF(OR(Settings!$B$60="",Settings!$F$60="No"),0,Settings!$B$60*IF(AND(IF(Settings!$C$60="",$B17,DATE(YEAR($A17),MONTH($A17),MIN(Settings!$C$60,DAY($B17))))&gt;=MAX($A17,Settings!$D$60,Settings!$B$5+1),IF(Settings!$C$60="",$B17,DATE(YEAR($A17),MONTH($A17),MIN(Settings!$C$60,DAY($B17))))&lt;=MIN($C17,IF(Settings!$E$60="",$C17,Settings!$E$60))),1,0))+IF(OR(Settings!$B$61="",Settings!$F$61="No"),0,Settings!$B$61*IF(AND(IF(Settings!$C$61="",$B17,DATE(YEAR($A17),MONTH($A17),MIN(Settings!$C$61,DAY($B17))))&gt;=MAX($A17,Settings!$D$61,Settings!$B$5+1),IF(Settings!$C$61="",$B17,DATE(YEAR($A17),MONTH($A17),MIN(Settings!$C$61,DAY($B17))))&lt;=MIN($C17,IF(Settings!$E$61="",$C17,Settings!$E$61))),1,0))+IF(OR(Settings!$B$62="",Settings!$F$62="No"),0,Settings!$B$62*IF(AND(IF(Settings!$C$62="",$B17,DATE(YEAR($A17),MONTH($A17),MIN(Settings!$C$62,DAY($B17))))&gt;=MAX($A17,Settings!$D$62,Settings!$B$5+1),IF(Settings!$C$62="",$B17,DATE(YEAR($A17),MONTH($A17),MIN(Settings!$C$62,DAY($B17))))&lt;=MIN($C17,IF(Settings!$E$62="",$C17,Settings!$E$62))),1,0))+IF(OR(Settings!$B$63="",Settings!$F$63="No"),0,Settings!$B$63*IF(AND(IF(Settings!$C$63="",$B17,DATE(YEAR($A17),MONTH($A17),MIN(Settings!$C$63,DAY($B17))))&gt;=MAX($A17,Settings!$D$63,Settings!$B$5+1),IF(Settings!$C$63="",$B17,DATE(YEAR($A17),MONTH($A17),MIN(Settings!$C$63,DAY($B17))))&lt;=MIN($C17,IF(Settings!$E$63="",$C17,Settings!$E$63))),1,0))+IF(OR(Settings!$B$64="",Settings!$F$64="No"),0,Settings!$B$64*IF(AND(IF(Settings!$C$64="",$B17,DATE(YEAR($A17),MONTH($A17),MIN(Settings!$C$64,DAY($B17))))&gt;=MAX($A17,Settings!$D$64,Settings!$B$5+1),IF(Settings!$C$64="",$B17,DATE(YEAR($A17),MONTH($A17),MIN(Settings!$C$64,DAY($B17))))&lt;=MIN($C17,IF(Settings!$E$64="",$C17,Settings!$E$64))),1,0))+IF(OR(Settings!$B$65="",Settings!$F$65="No"),0,Settings!$B$65*IF(AND(IF(Settings!$C$65="",$B17,DATE(YEAR($A17),MONTH($A17),MIN(Settings!$C$65,DAY($B17))))&gt;=MAX($A17,Settings!$D$65,Settings!$B$5+1),IF(Settings!$C$65="",$B17,DATE(YEAR($A17),MONTH($A17),MIN(Settings!$C$65,DAY($B17))))&lt;=MIN($C17,IF(Settings!$E$65="",$C17,Settings!$E$65))),1,0)),0))</f>
        <v/>
      </c>
      <c r="AC17">
        <f>$AY17+$AZ17+$BA17+$BB17+$BC17+$BD17</f>
        <v/>
      </c>
      <c r="AD17">
        <f>$AC17</f>
        <v/>
      </c>
      <c r="AE17">
        <f>IF(OR(Settings!$A$19="",$E17="pre"),"",IF(AND('Month-End'!$N$7&lt;&gt;"",NOT(_xlfn.ISFORMULA('Month-End'!$N$7))),N('Month-End'!$N$7),IF(OR($E17="open",$E16="pre"),N(Settings!$C$19),N($AE16))))</f>
        <v/>
      </c>
      <c r="AF17">
        <f>IF(OR(Settings!$A$20="",$E17="pre"),"",IF(AND('Month-End'!$N$8&lt;&gt;"",NOT(_xlfn.ISFORMULA('Month-End'!$N$8))),N('Month-End'!$N$8),IF(OR($E17="open",$E16="pre"),N(Settings!$C$20),N($AF16))))</f>
        <v/>
      </c>
      <c r="AG17">
        <f>IF(OR(Settings!$A$21="",$E17="pre"),"",IF(AND('Month-End'!$N$9&lt;&gt;"",NOT(_xlfn.ISFORMULA('Month-End'!$N$9))),N('Month-End'!$N$9),IF(OR($E17="open",$E16="pre"),N(Settings!$C$21),N($AG16))))</f>
        <v/>
      </c>
      <c r="AH17">
        <f>IF(OR(Settings!$A$22="",$E17="pre"),"",IF(AND('Month-End'!$N$10&lt;&gt;"",NOT(_xlfn.ISFORMULA('Month-End'!$N$10))),N('Month-End'!$N$10),IF(OR($E17="open",$E16="pre"),N(Settings!$C$22),N($AH16))))</f>
        <v/>
      </c>
      <c r="AI17">
        <f>IF(OR(Settings!$A$23="",$E17="pre"),"",IF(AND('Month-End'!$N$11&lt;&gt;"",NOT(_xlfn.ISFORMULA('Month-End'!$N$11))),N('Month-End'!$N$11),IF(OR($E17="open",$E16="pre"),N(Settings!$C$23),N($AI16))))</f>
        <v/>
      </c>
      <c r="AJ17">
        <f>IF(OR(Settings!$A$24="",$E17="pre"),"",IF(AND('Month-End'!$N$12&lt;&gt;"",NOT(_xlfn.ISFORMULA('Month-End'!$N$12))),N('Month-End'!$N$12),IF(OR($E17="open",$E16="pre"),N(Settings!$C$24),N($AJ16))))</f>
        <v/>
      </c>
      <c r="AK17">
        <f>IF(OR(Settings!$A$25="",$E17="pre"),"",IF(AND('Month-End'!$N$13&lt;&gt;"",NOT(_xlfn.ISFORMULA('Month-End'!$N$13))),N('Month-End'!$N$13),IF(OR($E17="open",$E16="pre"),N(Settings!$C$25),N($AK16))))</f>
        <v/>
      </c>
      <c r="AL17">
        <f>IF(OR(Settings!$A$26="",$E17="pre"),"",IF(AND('Month-End'!$N$14&lt;&gt;"",NOT(_xlfn.ISFORMULA('Month-End'!$N$14))),N('Month-End'!$N$14),IF(OR($E17="open",$E16="pre"),N(Settings!$C$26),N($AL16))))</f>
        <v/>
      </c>
      <c r="AM17">
        <f>IF(OR(Settings!$A$27="",$E17="pre"),"",IF(AND('Month-End'!$N$15&lt;&gt;"",NOT(_xlfn.ISFORMULA('Month-End'!$N$15))),N('Month-End'!$N$15),IF(OR($E17="open",$E16="pre"),N(Settings!$C$27),N($AM16))))</f>
        <v/>
      </c>
      <c r="AN17">
        <f>IF(OR(Settings!$A$28="",$E17="pre"),"",IF(AND('Month-End'!$N$16&lt;&gt;"",NOT(_xlfn.ISFORMULA('Month-End'!$N$16))),N('Month-End'!$N$16),IF(OR($E17="open",$E16="pre"),N(Settings!$C$28),N($AN16))))</f>
        <v/>
      </c>
      <c r="AO17">
        <f>IF(OR(Settings!$A$29="",$E17="pre"),"",IF(AND('Month-End'!$N$17&lt;&gt;"",NOT(_xlfn.ISFORMULA('Month-End'!$N$17))),N('Month-End'!$N$17),IF(OR($E17="open",$E16="pre"),N(Settings!$C$29),N($AO16))))</f>
        <v/>
      </c>
      <c r="AP17">
        <f>IF(OR(Settings!$A$30="",$E17="pre"),"",IF(AND('Month-End'!$N$18&lt;&gt;"",NOT(_xlfn.ISFORMULA('Month-End'!$N$18))),N('Month-End'!$N$18),IF(OR($E17="open",$E16="pre"),N(Settings!$C$30),N($AP16))))</f>
        <v/>
      </c>
      <c r="AQ17">
        <f>IF(OR(Settings!$A$31="",$E17="pre"),"",IF(AND('Month-End'!$N$19&lt;&gt;"",NOT(_xlfn.ISFORMULA('Month-End'!$N$19))),N('Month-End'!$N$19),IF(OR($E17="open",$E16="pre"),N(Settings!$C$31),N($AQ16))))</f>
        <v/>
      </c>
      <c r="AR17">
        <f>IF(OR(Settings!$A$32="",$E17="pre"),"",IF(AND('Month-End'!$N$20&lt;&gt;"",NOT(_xlfn.ISFORMULA('Month-End'!$N$20))),N('Month-End'!$N$20),IF(OR($E17="open",$E16="pre"),N(Settings!$C$32),N($AR16))))</f>
        <v/>
      </c>
      <c r="AS17">
        <f>IF(OR(Settings!$A$36="",$E17="pre"),"",IF(AND('Month-End'!$N$38&lt;&gt;"",NOT(_xlfn.ISFORMULA('Month-End'!$N$38))),N('Month-End'!$N$38),IF(OR($E17="open",$E16="pre"),N(Settings!$C$36),N($AS16))+$AY17))</f>
        <v/>
      </c>
      <c r="AT17">
        <f>IF(OR(Settings!$A$37="",$E17="pre"),"",IF(AND('Month-End'!$N$39&lt;&gt;"",NOT(_xlfn.ISFORMULA('Month-End'!$N$39))),N('Month-End'!$N$39),IF(OR($E17="open",$E16="pre"),N(Settings!$C$37),N($AT16))+$AZ17))</f>
        <v/>
      </c>
      <c r="AU17">
        <f>IF(OR(Settings!$A$38="",$E17="pre"),"",IF(AND('Month-End'!$N$40&lt;&gt;"",NOT(_xlfn.ISFORMULA('Month-End'!$N$40))),N('Month-End'!$N$40),IF(OR($E17="open",$E16="pre"),N(Settings!$C$38),N($AU16))+$BA17))</f>
        <v/>
      </c>
      <c r="AV17">
        <f>IF(OR(Settings!$A$39="",$E17="pre"),"",IF(AND('Month-End'!$N$41&lt;&gt;"",NOT(_xlfn.ISFORMULA('Month-End'!$N$41))),N('Month-End'!$N$41),IF(OR($E17="open",$E16="pre"),N(Settings!$C$39),N($AV16))+$BB17))</f>
        <v/>
      </c>
      <c r="AW17">
        <f>IF(OR(Settings!$A$40="",$E17="pre"),"",IF(AND('Month-End'!$N$42&lt;&gt;"",NOT(_xlfn.ISFORMULA('Month-End'!$N$42))),N('Month-End'!$N$42),IF(OR($E17="open",$E16="pre"),N(Settings!$C$40),N($AW16))+$BC17))</f>
        <v/>
      </c>
      <c r="AX17">
        <f>IF(OR(Settings!$A$41="",$E17="pre"),"",IF(AND('Month-End'!$N$43&lt;&gt;"",NOT(_xlfn.ISFORMULA('Month-End'!$N$43))),N('Month-End'!$N$43),IF(OR($E17="open",$E16="pre"),N(Settings!$C$41),N($AX16))+$BD17))</f>
        <v/>
      </c>
      <c r="AY17">
        <f>IF($E17="pre",0,N('Month-End'!$N$45))</f>
        <v/>
      </c>
      <c r="AZ17">
        <f>IF($E17="pre",0,N('Month-End'!$N$46))</f>
        <v/>
      </c>
      <c r="BA17">
        <f>IF($E17="pre",0,N('Month-End'!$N$47))</f>
        <v/>
      </c>
      <c r="BB17">
        <f>IF($E17="pre",0,N('Month-End'!$N$48))</f>
        <v/>
      </c>
      <c r="BC17">
        <f>IF($E17="pre",0,N('Month-End'!$N$49))</f>
        <v/>
      </c>
      <c r="BD17">
        <f>IF($E17="pre",0,N('Month-End'!$N$50))</f>
        <v/>
      </c>
      <c r="BE17">
        <f>IF(OR(Settings!$C$45="",Settings!$D$45=""),0,Settings!$C$45*IF(Settings!$D$45="Weekly",IF(IFERROR(MATCH(Settings!$E$45,$EO$4:$EO$10,0),0)=0,0,IF(MIN($C17,IF(Settings!$G$45="",$C17,Settings!$G$45))&lt;MAX($A17,Settings!$F$45),0,INT((MIN($C17,IF(Settings!$G$45="",$C17,Settings!$G$45))-MAX($A17,Settings!$F$45)-MOD(IFERROR(MATCH(Settings!$E$45,$EO$4:$EO$10,0),0)-WEEKDAY(MAX($A17,Settings!$F$45)),7))/7)+1)),IF(AND(IF(Settings!$E$45="",$B17,DATE(YEAR($A17),MONTH($A17),MIN(Settings!$E$45,DAY($B17))))&gt;=MAX($A17,Settings!$F$45),IF(Settings!$E$45="",$B17,DATE(YEAR($A17),MONTH($A17),MIN(Settings!$E$45,DAY($B17))))&lt;=MIN($C17,IF(Settings!$G$45="",$C17,Settings!$G$45))),1,0)))</f>
        <v/>
      </c>
      <c r="BF17">
        <f>IF(OR(Settings!$C$46="",Settings!$D$46=""),0,Settings!$C$46*IF(Settings!$D$46="Weekly",IF(IFERROR(MATCH(Settings!$E$46,$EO$4:$EO$10,0),0)=0,0,IF(MIN($C17,IF(Settings!$G$46="",$C17,Settings!$G$46))&lt;MAX($A17,Settings!$F$46),0,INT((MIN($C17,IF(Settings!$G$46="",$C17,Settings!$G$46))-MAX($A17,Settings!$F$46)-MOD(IFERROR(MATCH(Settings!$E$46,$EO$4:$EO$10,0),0)-WEEKDAY(MAX($A17,Settings!$F$46)),7))/7)+1)),IF(AND(IF(Settings!$E$46="",$B17,DATE(YEAR($A17),MONTH($A17),MIN(Settings!$E$46,DAY($B17))))&gt;=MAX($A17,Settings!$F$46),IF(Settings!$E$46="",$B17,DATE(YEAR($A17),MONTH($A17),MIN(Settings!$E$46,DAY($B17))))&lt;=MIN($C17,IF(Settings!$G$46="",$C17,Settings!$G$46))),1,0)))</f>
        <v/>
      </c>
      <c r="BG17">
        <f>IF(OR(Settings!$C$47="",Settings!$D$47=""),0,Settings!$C$47*IF(Settings!$D$47="Weekly",IF(IFERROR(MATCH(Settings!$E$47,$EO$4:$EO$10,0),0)=0,0,IF(MIN($C17,IF(Settings!$G$47="",$C17,Settings!$G$47))&lt;MAX($A17,Settings!$F$47),0,INT((MIN($C17,IF(Settings!$G$47="",$C17,Settings!$G$47))-MAX($A17,Settings!$F$47)-MOD(IFERROR(MATCH(Settings!$E$47,$EO$4:$EO$10,0),0)-WEEKDAY(MAX($A17,Settings!$F$47)),7))/7)+1)),IF(AND(IF(Settings!$E$47="",$B17,DATE(YEAR($A17),MONTH($A17),MIN(Settings!$E$47,DAY($B17))))&gt;=MAX($A17,Settings!$F$47),IF(Settings!$E$47="",$B17,DATE(YEAR($A17),MONTH($A17),MIN(Settings!$E$47,DAY($B17))))&lt;=MIN($C17,IF(Settings!$G$47="",$C17,Settings!$G$47))),1,0)))</f>
        <v/>
      </c>
      <c r="BH17">
        <f>IF(OR(Settings!$C$48="",Settings!$D$48=""),0,Settings!$C$48*IF(Settings!$D$48="Weekly",IF(IFERROR(MATCH(Settings!$E$48,$EO$4:$EO$10,0),0)=0,0,IF(MIN($C17,IF(Settings!$G$48="",$C17,Settings!$G$48))&lt;MAX($A17,Settings!$F$48),0,INT((MIN($C17,IF(Settings!$G$48="",$C17,Settings!$G$48))-MAX($A17,Settings!$F$48)-MOD(IFERROR(MATCH(Settings!$E$48,$EO$4:$EO$10,0),0)-WEEKDAY(MAX($A17,Settings!$F$48)),7))/7)+1)),IF(AND(IF(Settings!$E$48="",$B17,DATE(YEAR($A17),MONTH($A17),MIN(Settings!$E$48,DAY($B17))))&gt;=MAX($A17,Settings!$F$48),IF(Settings!$E$48="",$B17,DATE(YEAR($A17),MONTH($A17),MIN(Settings!$E$48,DAY($B17))))&lt;=MIN($C17,IF(Settings!$G$48="",$C17,Settings!$G$48))),1,0)))</f>
        <v/>
      </c>
      <c r="BI17">
        <f>IF(OR(Settings!$C$49="",Settings!$D$49=""),0,Settings!$C$49*IF(Settings!$D$49="Weekly",IF(IFERROR(MATCH(Settings!$E$49,$EO$4:$EO$10,0),0)=0,0,IF(MIN($C17,IF(Settings!$G$49="",$C17,Settings!$G$49))&lt;MAX($A17,Settings!$F$49),0,INT((MIN($C17,IF(Settings!$G$49="",$C17,Settings!$G$49))-MAX($A17,Settings!$F$49)-MOD(IFERROR(MATCH(Settings!$E$49,$EO$4:$EO$10,0),0)-WEEKDAY(MAX($A17,Settings!$F$49)),7))/7)+1)),IF(AND(IF(Settings!$E$49="",$B17,DATE(YEAR($A17),MONTH($A17),MIN(Settings!$E$49,DAY($B17))))&gt;=MAX($A17,Settings!$F$49),IF(Settings!$E$49="",$B17,DATE(YEAR($A17),MONTH($A17),MIN(Settings!$E$49,DAY($B17))))&lt;=MIN($C17,IF(Settings!$G$49="",$C17,Settings!$G$49))),1,0)))</f>
        <v/>
      </c>
      <c r="BJ17">
        <f>IF(OR(Settings!$C$50="",Settings!$D$50=""),0,Settings!$C$50*IF(Settings!$D$50="Weekly",IF(IFERROR(MATCH(Settings!$E$50,$EO$4:$EO$10,0),0)=0,0,IF(MIN($C17,IF(Settings!$G$50="",$C17,Settings!$G$50))&lt;MAX($A17,Settings!$F$50),0,INT((MIN($C17,IF(Settings!$G$50="",$C17,Settings!$G$50))-MAX($A17,Settings!$F$50)-MOD(IFERROR(MATCH(Settings!$E$50,$EO$4:$EO$10,0),0)-WEEKDAY(MAX($A17,Settings!$F$50)),7))/7)+1)),IF(AND(IF(Settings!$E$50="",$B17,DATE(YEAR($A17),MONTH($A17),MIN(Settings!$E$50,DAY($B17))))&gt;=MAX($A17,Settings!$F$50),IF(Settings!$E$50="",$B17,DATE(YEAR($A17),MONTH($A17),MIN(Settings!$E$50,DAY($B17))))&lt;=MIN($C17,IF(Settings!$G$50="",$C17,Settings!$G$50))),1,0)))</f>
        <v/>
      </c>
      <c r="BK17">
        <f>IF(OR(Settings!$C$51="",Settings!$D$51=""),0,Settings!$C$51*IF(Settings!$D$51="Weekly",IF(IFERROR(MATCH(Settings!$E$51,$EO$4:$EO$10,0),0)=0,0,IF(MIN($C17,IF(Settings!$G$51="",$C17,Settings!$G$51))&lt;MAX($A17,Settings!$F$51),0,INT((MIN($C17,IF(Settings!$G$51="",$C17,Settings!$G$51))-MAX($A17,Settings!$F$51)-MOD(IFERROR(MATCH(Settings!$E$51,$EO$4:$EO$10,0),0)-WEEKDAY(MAX($A17,Settings!$F$51)),7))/7)+1)),IF(AND(IF(Settings!$E$51="",$B17,DATE(YEAR($A17),MONTH($A17),MIN(Settings!$E$51,DAY($B17))))&gt;=MAX($A17,Settings!$F$51),IF(Settings!$E$51="",$B17,DATE(YEAR($A17),MONTH($A17),MIN(Settings!$E$51,DAY($B17))))&lt;=MIN($C17,IF(Settings!$G$51="",$C17,Settings!$G$51))),1,0)))</f>
        <v/>
      </c>
      <c r="BL17">
        <f>IF(OR(Settings!$C$52="",Settings!$D$52=""),0,Settings!$C$52*IF(Settings!$D$52="Weekly",IF(IFERROR(MATCH(Settings!$E$52,$EO$4:$EO$10,0),0)=0,0,IF(MIN($C17,IF(Settings!$G$52="",$C17,Settings!$G$52))&lt;MAX($A17,Settings!$F$52),0,INT((MIN($C17,IF(Settings!$G$52="",$C17,Settings!$G$52))-MAX($A17,Settings!$F$52)-MOD(IFERROR(MATCH(Settings!$E$52,$EO$4:$EO$10,0),0)-WEEKDAY(MAX($A17,Settings!$F$52)),7))/7)+1)),IF(AND(IF(Settings!$E$52="",$B17,DATE(YEAR($A17),MONTH($A17),MIN(Settings!$E$52,DAY($B17))))&gt;=MAX($A17,Settings!$F$52),IF(Settings!$E$52="",$B17,DATE(YEAR($A17),MONTH($A17),MIN(Settings!$E$52,DAY($B17))))&lt;=MIN($C17,IF(Settings!$G$52="",$C17,Settings!$G$52))),1,0)))</f>
        <v/>
      </c>
      <c r="BM17">
        <f>IF(OR(Settings!$C$53="",Settings!$D$53=""),0,Settings!$C$53*IF(Settings!$D$53="Weekly",IF(IFERROR(MATCH(Settings!$E$53,$EO$4:$EO$10,0),0)=0,0,IF(MIN($C17,IF(Settings!$G$53="",$C17,Settings!$G$53))&lt;MAX($A17,Settings!$F$53),0,INT((MIN($C17,IF(Settings!$G$53="",$C17,Settings!$G$53))-MAX($A17,Settings!$F$53)-MOD(IFERROR(MATCH(Settings!$E$53,$EO$4:$EO$10,0),0)-WEEKDAY(MAX($A17,Settings!$F$53)),7))/7)+1)),IF(AND(IF(Settings!$E$53="",$B17,DATE(YEAR($A17),MONTH($A17),MIN(Settings!$E$53,DAY($B17))))&gt;=MAX($A17,Settings!$F$53),IF(Settings!$E$53="",$B17,DATE(YEAR($A17),MONTH($A17),MIN(Settings!$E$53,DAY($B17))))&lt;=MIN($C17,IF(Settings!$G$53="",$C17,Settings!$G$53))),1,0)))</f>
        <v/>
      </c>
      <c r="BN17">
        <f>IF(OR(Settings!$C$54="",Settings!$D$54=""),0,Settings!$C$54*IF(Settings!$D$54="Weekly",IF(IFERROR(MATCH(Settings!$E$54,$EO$4:$EO$10,0),0)=0,0,IF(MIN($C17,IF(Settings!$G$54="",$C17,Settings!$G$54))&lt;MAX($A17,Settings!$F$54),0,INT((MIN($C17,IF(Settings!$G$54="",$C17,Settings!$G$54))-MAX($A17,Settings!$F$54)-MOD(IFERROR(MATCH(Settings!$E$54,$EO$4:$EO$10,0),0)-WEEKDAY(MAX($A17,Settings!$F$54)),7))/7)+1)),IF(AND(IF(Settings!$E$54="",$B17,DATE(YEAR($A17),MONTH($A17),MIN(Settings!$E$54,DAY($B17))))&gt;=MAX($A17,Settings!$F$54),IF(Settings!$E$54="",$B17,DATE(YEAR($A17),MONTH($A17),MIN(Settings!$E$54,DAY($B17))))&lt;=MIN($C17,IF(Settings!$G$54="",$C17,Settings!$G$54))),1,0)))</f>
        <v/>
      </c>
      <c r="BO17">
        <f>IF(OR(Settings!$C$55="",Settings!$D$55=""),0,Settings!$C$55*IF(Settings!$D$55="Weekly",IF(IFERROR(MATCH(Settings!$E$55,$EO$4:$EO$10,0),0)=0,0,IF(MIN($C17,IF(Settings!$G$55="",$C17,Settings!$G$55))&lt;MAX($A17,Settings!$F$55),0,INT((MIN($C17,IF(Settings!$G$55="",$C17,Settings!$G$55))-MAX($A17,Settings!$F$55)-MOD(IFERROR(MATCH(Settings!$E$55,$EO$4:$EO$10,0),0)-WEEKDAY(MAX($A17,Settings!$F$55)),7))/7)+1)),IF(AND(IF(Settings!$E$55="",$B17,DATE(YEAR($A17),MONTH($A17),MIN(Settings!$E$55,DAY($B17))))&gt;=MAX($A17,Settings!$F$55),IF(Settings!$E$55="",$B17,DATE(YEAR($A17),MONTH($A17),MIN(Settings!$E$55,DAY($B17))))&lt;=MIN($C17,IF(Settings!$G$55="",$C17,Settings!$G$55))),1,0)))</f>
        <v/>
      </c>
      <c r="BP17">
        <f>IF(OR(Settings!$C$56="",Settings!$D$56=""),0,Settings!$C$56*IF(Settings!$D$56="Weekly",IF(IFERROR(MATCH(Settings!$E$56,$EO$4:$EO$10,0),0)=0,0,IF(MIN($C17,IF(Settings!$G$56="",$C17,Settings!$G$56))&lt;MAX($A17,Settings!$F$56),0,INT((MIN($C17,IF(Settings!$G$56="",$C17,Settings!$G$56))-MAX($A17,Settings!$F$56)-MOD(IFERROR(MATCH(Settings!$E$56,$EO$4:$EO$10,0),0)-WEEKDAY(MAX($A17,Settings!$F$56)),7))/7)+1)),IF(AND(IF(Settings!$E$56="",$B17,DATE(YEAR($A17),MONTH($A17),MIN(Settings!$E$56,DAY($B17))))&gt;=MAX($A17,Settings!$F$56),IF(Settings!$E$56="",$B17,DATE(YEAR($A17),MONTH($A17),MIN(Settings!$E$56,DAY($B17))))&lt;=MIN($C17,IF(Settings!$G$56="",$C17,Settings!$G$56))),1,0)))</f>
        <v/>
      </c>
      <c r="BQ17">
        <f>IF(OR(Settings!$B$14="",$D17=1,$E17="pre",$A17&lt;IF(Settings!$B$15="",0,Settings!$B$15)),0,Settings!$B$14)</f>
        <v/>
      </c>
      <c r="BR17">
        <f>IF(AND('Month-End'!$N$7&lt;&gt;"",NOT(_xlfn.ISFORMULA('Month-End'!$N$7))),1,0)</f>
        <v/>
      </c>
      <c r="BS17">
        <f>IF(AND('Month-End'!$N$8&lt;&gt;"",NOT(_xlfn.ISFORMULA('Month-End'!$N$8))),1,0)</f>
        <v/>
      </c>
      <c r="BT17">
        <f>IF(AND('Month-End'!$N$9&lt;&gt;"",NOT(_xlfn.ISFORMULA('Month-End'!$N$9))),1,0)</f>
        <v/>
      </c>
      <c r="BU17">
        <f>IF(AND('Month-End'!$N$10&lt;&gt;"",NOT(_xlfn.ISFORMULA('Month-End'!$N$10))),1,0)</f>
        <v/>
      </c>
      <c r="BV17">
        <f>IF(AND('Month-End'!$N$11&lt;&gt;"",NOT(_xlfn.ISFORMULA('Month-End'!$N$11))),1,0)</f>
        <v/>
      </c>
      <c r="BW17">
        <f>IF(AND('Month-End'!$N$12&lt;&gt;"",NOT(_xlfn.ISFORMULA('Month-End'!$N$12))),1,0)</f>
        <v/>
      </c>
      <c r="BX17">
        <f>IF(AND('Month-End'!$N$13&lt;&gt;"",NOT(_xlfn.ISFORMULA('Month-End'!$N$13))),1,0)</f>
        <v/>
      </c>
      <c r="BY17">
        <f>IF(AND('Month-End'!$N$14&lt;&gt;"",NOT(_xlfn.ISFORMULA('Month-End'!$N$14))),1,0)</f>
        <v/>
      </c>
      <c r="BZ17">
        <f>IF(AND('Month-End'!$N$15&lt;&gt;"",NOT(_xlfn.ISFORMULA('Month-End'!$N$15))),1,0)</f>
        <v/>
      </c>
      <c r="CA17">
        <f>IF(AND('Month-End'!$N$16&lt;&gt;"",NOT(_xlfn.ISFORMULA('Month-End'!$N$16))),1,0)</f>
        <v/>
      </c>
      <c r="CB17">
        <f>IF(AND('Month-End'!$N$17&lt;&gt;"",NOT(_xlfn.ISFORMULA('Month-End'!$N$17))),1,0)</f>
        <v/>
      </c>
      <c r="CC17">
        <f>IF(AND('Month-End'!$N$18&lt;&gt;"",NOT(_xlfn.ISFORMULA('Month-End'!$N$18))),1,0)</f>
        <v/>
      </c>
      <c r="CD17">
        <f>IF(AND('Month-End'!$N$19&lt;&gt;"",NOT(_xlfn.ISFORMULA('Month-End'!$N$19))),1,0)</f>
        <v/>
      </c>
      <c r="CE17">
        <f>IF(AND('Month-End'!$N$20&lt;&gt;"",NOT(_xlfn.ISFORMULA('Month-End'!$N$20))),1,0)</f>
        <v/>
      </c>
      <c r="CF17">
        <f>IF(AND('Month-End'!$N$38&lt;&gt;"",NOT(_xlfn.ISFORMULA('Month-End'!$N$38))),1,0)</f>
        <v/>
      </c>
      <c r="CG17">
        <f>IF(AND('Month-End'!$N$39&lt;&gt;"",NOT(_xlfn.ISFORMULA('Month-End'!$N$39))),1,0)</f>
        <v/>
      </c>
      <c r="CH17">
        <f>IF(AND('Month-End'!$N$40&lt;&gt;"",NOT(_xlfn.ISFORMULA('Month-End'!$N$40))),1,0)</f>
        <v/>
      </c>
      <c r="CI17">
        <f>IF(AND('Month-End'!$N$41&lt;&gt;"",NOT(_xlfn.ISFORMULA('Month-End'!$N$41))),1,0)</f>
        <v/>
      </c>
      <c r="CJ17">
        <f>IF(AND('Month-End'!$N$42&lt;&gt;"",NOT(_xlfn.ISFORMULA('Month-End'!$N$42))),1,0)</f>
        <v/>
      </c>
      <c r="CK17">
        <f>IF(AND('Month-End'!$N$43&lt;&gt;"",NOT(_xlfn.ISFORMULA('Month-End'!$N$43))),1,0)</f>
        <v/>
      </c>
      <c r="CL17">
        <f>SUM($CM17:$CZ17)</f>
        <v/>
      </c>
      <c r="CM17">
        <f>IF(AND($E17&lt;&gt;"pre",AND(Settings!$A$19&lt;&gt;"",Settings!$E$19&lt;&gt;"No"),Settings!$F$19="Yes",NOT(AND('Month-End'!$N$7&lt;&gt;"",NOT(_xlfn.ISFORMULA('Month-End'!$N$7))))),1,0)</f>
        <v/>
      </c>
      <c r="CN17">
        <f>IF(AND($E17&lt;&gt;"pre",AND(Settings!$A$20&lt;&gt;"",Settings!$E$20&lt;&gt;"No"),Settings!$F$20="Yes",NOT(AND('Month-End'!$N$8&lt;&gt;"",NOT(_xlfn.ISFORMULA('Month-End'!$N$8))))),1,0)</f>
        <v/>
      </c>
      <c r="CO17">
        <f>IF(AND($E17&lt;&gt;"pre",AND(Settings!$A$21&lt;&gt;"",Settings!$E$21&lt;&gt;"No"),Settings!$F$21="Yes",NOT(AND('Month-End'!$N$9&lt;&gt;"",NOT(_xlfn.ISFORMULA('Month-End'!$N$9))))),1,0)</f>
        <v/>
      </c>
      <c r="CP17">
        <f>IF(AND($E17&lt;&gt;"pre",AND(Settings!$A$22&lt;&gt;"",Settings!$E$22&lt;&gt;"No"),Settings!$F$22="Yes",NOT(AND('Month-End'!$N$10&lt;&gt;"",NOT(_xlfn.ISFORMULA('Month-End'!$N$10))))),1,0)</f>
        <v/>
      </c>
      <c r="CQ17">
        <f>IF(AND($E17&lt;&gt;"pre",AND(Settings!$A$23&lt;&gt;"",Settings!$E$23&lt;&gt;"No"),Settings!$F$23="Yes",NOT(AND('Month-End'!$N$11&lt;&gt;"",NOT(_xlfn.ISFORMULA('Month-End'!$N$11))))),1,0)</f>
        <v/>
      </c>
      <c r="CR17">
        <f>IF(AND($E17&lt;&gt;"pre",AND(Settings!$A$24&lt;&gt;"",Settings!$E$24&lt;&gt;"No"),Settings!$F$24="Yes",NOT(AND('Month-End'!$N$12&lt;&gt;"",NOT(_xlfn.ISFORMULA('Month-End'!$N$12))))),1,0)</f>
        <v/>
      </c>
      <c r="CS17">
        <f>IF(AND($E17&lt;&gt;"pre",AND(Settings!$A$25&lt;&gt;"",Settings!$E$25&lt;&gt;"No"),Settings!$F$25="Yes",NOT(AND('Month-End'!$N$13&lt;&gt;"",NOT(_xlfn.ISFORMULA('Month-End'!$N$13))))),1,0)</f>
        <v/>
      </c>
      <c r="CT17">
        <f>IF(AND($E17&lt;&gt;"pre",AND(Settings!$A$26&lt;&gt;"",Settings!$E$26&lt;&gt;"No"),Settings!$F$26="Yes",NOT(AND('Month-End'!$N$14&lt;&gt;"",NOT(_xlfn.ISFORMULA('Month-End'!$N$14))))),1,0)</f>
        <v/>
      </c>
      <c r="CU17">
        <f>IF(AND($E17&lt;&gt;"pre",AND(Settings!$A$27&lt;&gt;"",Settings!$E$27&lt;&gt;"No"),Settings!$F$27="Yes",NOT(AND('Month-End'!$N$15&lt;&gt;"",NOT(_xlfn.ISFORMULA('Month-End'!$N$15))))),1,0)</f>
        <v/>
      </c>
      <c r="CV17">
        <f>IF(AND($E17&lt;&gt;"pre",AND(Settings!$A$28&lt;&gt;"",Settings!$E$28&lt;&gt;"No"),Settings!$F$28="Yes",NOT(AND('Month-End'!$N$16&lt;&gt;"",NOT(_xlfn.ISFORMULA('Month-End'!$N$16))))),1,0)</f>
        <v/>
      </c>
      <c r="CW17">
        <f>IF(AND($E17&lt;&gt;"pre",AND(Settings!$A$29&lt;&gt;"",Settings!$E$29&lt;&gt;"No"),Settings!$F$29="Yes",NOT(AND('Month-End'!$N$17&lt;&gt;"",NOT(_xlfn.ISFORMULA('Month-End'!$N$17))))),1,0)</f>
        <v/>
      </c>
      <c r="CX17">
        <f>IF(AND($E17&lt;&gt;"pre",AND(Settings!$A$30&lt;&gt;"",Settings!$E$30&lt;&gt;"No"),Settings!$F$30="Yes",NOT(AND('Month-End'!$N$18&lt;&gt;"",NOT(_xlfn.ISFORMULA('Month-End'!$N$18))))),1,0)</f>
        <v/>
      </c>
      <c r="CY17">
        <f>IF(AND($E17&lt;&gt;"pre",AND(Settings!$A$31&lt;&gt;"",Settings!$E$31&lt;&gt;"No"),Settings!$F$31="Yes",NOT(AND('Month-End'!$N$19&lt;&gt;"",NOT(_xlfn.ISFORMULA('Month-End'!$N$19))))),1,0)</f>
        <v/>
      </c>
      <c r="CZ17">
        <f>IF(AND($E17&lt;&gt;"pre",AND(Settings!$A$32&lt;&gt;"",Settings!$E$32&lt;&gt;"No"),Settings!$F$32="Yes",NOT(AND('Month-End'!$N$20&lt;&gt;"",NOT(_xlfn.ISFORMULA('Month-End'!$N$20))))),1,0)</f>
        <v/>
      </c>
      <c r="DA17">
        <f>IF($DT17=1,IF(OR(Settings!$B$19="Checking",Settings!$B$19="Savings",Settings!$B$19="Cash"),N($AE17),IF(OR(Settings!$B$19="Card",Settings!$B$19="Loan"),-N($AE17),0))+IF(OR(Settings!$B$20="Checking",Settings!$B$20="Savings",Settings!$B$20="Cash"),N($AF17),IF(OR(Settings!$B$20="Card",Settings!$B$20="Loan"),-N($AF17),0))+IF(OR(Settings!$B$21="Checking",Settings!$B$21="Savings",Settings!$B$21="Cash"),N($AG17),IF(OR(Settings!$B$21="Card",Settings!$B$21="Loan"),-N($AG17),0))+IF(OR(Settings!$B$22="Checking",Settings!$B$22="Savings",Settings!$B$22="Cash"),N($AH17),IF(OR(Settings!$B$22="Card",Settings!$B$22="Loan"),-N($AH17),0))+IF(OR(Settings!$B$23="Checking",Settings!$B$23="Savings",Settings!$B$23="Cash"),N($AI17),IF(OR(Settings!$B$23="Card",Settings!$B$23="Loan"),-N($AI17),0))+IF(OR(Settings!$B$24="Checking",Settings!$B$24="Savings",Settings!$B$24="Cash"),N($AJ17),IF(OR(Settings!$B$24="Card",Settings!$B$24="Loan"),-N($AJ17),0))+IF(OR(Settings!$B$25="Checking",Settings!$B$25="Savings",Settings!$B$25="Cash"),N($AK17),IF(OR(Settings!$B$25="Card",Settings!$B$25="Loan"),-N($AK17),0))+IF(OR(Settings!$B$26="Checking",Settings!$B$26="Savings",Settings!$B$26="Cash"),N($AL17),IF(OR(Settings!$B$26="Card",Settings!$B$26="Loan"),-N($AL17),0))+IF(OR(Settings!$B$27="Checking",Settings!$B$27="Savings",Settings!$B$27="Cash"),N($AM17),IF(OR(Settings!$B$27="Card",Settings!$B$27="Loan"),-N($AM17),0))+IF(OR(Settings!$B$28="Checking",Settings!$B$28="Savings",Settings!$B$28="Cash"),N($AN17),IF(OR(Settings!$B$28="Card",Settings!$B$28="Loan"),-N($AN17),0))+IF(OR(Settings!$B$29="Checking",Settings!$B$29="Savings",Settings!$B$29="Cash"),N($AO17),IF(OR(Settings!$B$29="Card",Settings!$B$29="Loan"),-N($AO17),0))+IF(OR(Settings!$B$30="Checking",Settings!$B$30="Savings",Settings!$B$30="Cash"),N($AP17),IF(OR(Settings!$B$30="Card",Settings!$B$30="Loan"),-N($AP17),0))+IF(OR(Settings!$B$31="Checking",Settings!$B$31="Savings",Settings!$B$31="Cash"),N($AQ17),IF(OR(Settings!$B$31="Card",Settings!$B$31="Loan"),-N($AQ17),0))+IF(OR(Settings!$B$32="Checking",Settings!$B$32="Savings",Settings!$B$32="Cash"),N($AR17),IF(OR(Settings!$B$32="Card",Settings!$B$32="Loan"),-N($AR17),0)),"")</f>
        <v/>
      </c>
      <c r="DB17">
        <f>IF($E17="open",$EB$27,IF($E17="post",IF($E16="pre",$EB$27,$DA16),""))</f>
        <v/>
      </c>
      <c r="DC17">
        <f>IF($E17="open",1,IF($E17="post",IF($E16="pre",1,$DT16),0))</f>
        <v/>
      </c>
      <c r="DD17">
        <f>IF(AND($DT17=1,$DC17=1),ROUND($W17-($DA17-$DB17)-$AD17-$AB17,2),"")</f>
        <v/>
      </c>
      <c r="DE17">
        <f>IF('Month-End'!$N$35="",$BQ17,N('Month-End'!$N$35))</f>
        <v/>
      </c>
      <c r="DF17">
        <f>N('Month-End'!$N$36)</f>
        <v/>
      </c>
      <c r="DG17">
        <f>IF($DD17="","",$DD17+$DE17)</f>
        <v/>
      </c>
      <c r="DH17">
        <f>IF($DG17="","",$DG17-$DF17)</f>
        <v/>
      </c>
      <c r="DI17">
        <f>IF(OR($E17="pre",$D17=1),"",N($AS17)+N($AT17)+N($AU17)+N($AV17)+N($AW17)+N($AX17))</f>
        <v/>
      </c>
      <c r="DJ17">
        <f>IF($DT17=1,$DA17+N($DI17),"")</f>
        <v/>
      </c>
      <c r="DK17">
        <f>IF($DD17="","",$W17-$DD17-$AB17)</f>
        <v/>
      </c>
      <c r="DL17">
        <f>IF(AND($E17="post",$DD17&lt;&gt;"",$B17&lt;TODAY()),1,0)</f>
        <v/>
      </c>
      <c r="DM17">
        <f>IF($DL17=1,COUNTIF($DL17:$DL$183,1),0)</f>
        <v/>
      </c>
      <c r="DN17">
        <f>IF($D17=1,"",IF($E17="pre","History only",IF($DT17=1,IF($DD17="","⚠ Previous month missing",IF($DD17&lt;0,"⚠ Check: spending &lt; 0",IF($E17="open","✓ Done (partial)","✓ Done"))),IF($B17&gt;=TODAY(),"In progress","⚠ Needs balances"))))</f>
        <v/>
      </c>
      <c r="DO17">
        <f>YEAR($A17)</f>
        <v/>
      </c>
      <c r="DP17">
        <f>DATE(YEAR($A17),INT((MONTH($A17)-1)/3)*3+1,1)</f>
        <v/>
      </c>
      <c r="DQ17">
        <f>IF(AND($DT17=1,$DD17&lt;&gt;"",$D17=0),ROW(),0)</f>
        <v/>
      </c>
      <c r="DR17">
        <f>IF(AND($E17&lt;&gt;"pre",$B17&lt;TODAY(),$DT17=0),1,0)</f>
        <v/>
      </c>
      <c r="DS17">
        <f>IF($DJ17="",NA(),$DJ17)</f>
        <v/>
      </c>
      <c r="DT17">
        <f>IF(AND($E17&lt;&gt;"pre",$CL17=0,COUNTIFS(Settings!$F$19:$F$32,"Yes",Settings!$A$19:$A$32,"&lt;&gt;",Settings!$E$19:$E$32,"&lt;&gt;No")&gt;0),1,0)</f>
        <v/>
      </c>
      <c r="DU17">
        <f>IF(AND($B17&lt;TODAY(),$S17&gt;0),1,0)</f>
        <v/>
      </c>
      <c r="DV17">
        <f>IF($DU17=1,COUNTIF($DU17:$DU$183,1),0)</f>
        <v/>
      </c>
      <c r="DW17">
        <f>IF(AND(OR(Settings!$B$19="Card",Settings!$B$19="Loan"),AND('Month-End'!$N$7&lt;&gt;"",NOT(_xlfn.ISFORMULA('Month-End'!$N$7)))),IF(N('Month-End'!$N$7)&lt;0,1,0),0)+IF(AND(OR(Settings!$B$20="Card",Settings!$B$20="Loan"),AND('Month-End'!$N$8&lt;&gt;"",NOT(_xlfn.ISFORMULA('Month-End'!$N$8)))),IF(N('Month-End'!$N$8)&lt;0,1,0),0)+IF(AND(OR(Settings!$B$21="Card",Settings!$B$21="Loan"),AND('Month-End'!$N$9&lt;&gt;"",NOT(_xlfn.ISFORMULA('Month-End'!$N$9)))),IF(N('Month-End'!$N$9)&lt;0,1,0),0)+IF(AND(OR(Settings!$B$22="Card",Settings!$B$22="Loan"),AND('Month-End'!$N$10&lt;&gt;"",NOT(_xlfn.ISFORMULA('Month-End'!$N$10)))),IF(N('Month-End'!$N$10)&lt;0,1,0),0)+IF(AND(OR(Settings!$B$23="Card",Settings!$B$23="Loan"),AND('Month-End'!$N$11&lt;&gt;"",NOT(_xlfn.ISFORMULA('Month-End'!$N$11)))),IF(N('Month-End'!$N$11)&lt;0,1,0),0)+IF(AND(OR(Settings!$B$24="Card",Settings!$B$24="Loan"),AND('Month-End'!$N$12&lt;&gt;"",NOT(_xlfn.ISFORMULA('Month-End'!$N$12)))),IF(N('Month-End'!$N$12)&lt;0,1,0),0)+IF(AND(OR(Settings!$B$25="Card",Settings!$B$25="Loan"),AND('Month-End'!$N$13&lt;&gt;"",NOT(_xlfn.ISFORMULA('Month-End'!$N$13)))),IF(N('Month-End'!$N$13)&lt;0,1,0),0)+IF(AND(OR(Settings!$B$26="Card",Settings!$B$26="Loan"),AND('Month-End'!$N$14&lt;&gt;"",NOT(_xlfn.ISFORMULA('Month-End'!$N$14)))),IF(N('Month-End'!$N$14)&lt;0,1,0),0)+IF(AND(OR(Settings!$B$27="Card",Settings!$B$27="Loan"),AND('Month-End'!$N$15&lt;&gt;"",NOT(_xlfn.ISFORMULA('Month-End'!$N$15)))),IF(N('Month-End'!$N$15)&lt;0,1,0),0)+IF(AND(OR(Settings!$B$28="Card",Settings!$B$28="Loan"),AND('Month-End'!$N$16&lt;&gt;"",NOT(_xlfn.ISFORMULA('Month-End'!$N$16)))),IF(N('Month-End'!$N$16)&lt;0,1,0),0)+IF(AND(OR(Settings!$B$29="Card",Settings!$B$29="Loan"),AND('Month-End'!$N$17&lt;&gt;"",NOT(_xlfn.ISFORMULA('Month-End'!$N$17)))),IF(N('Month-End'!$N$17)&lt;0,1,0),0)+IF(AND(OR(Settings!$B$30="Card",Settings!$B$30="Loan"),AND('Month-End'!$N$18&lt;&gt;"",NOT(_xlfn.ISFORMULA('Month-End'!$N$18)))),IF(N('Month-End'!$N$18)&lt;0,1,0),0)+IF(AND(OR(Settings!$B$31="Card",Settings!$B$31="Loan"),AND('Month-End'!$N$19&lt;&gt;"",NOT(_xlfn.ISFORMULA('Month-End'!$N$19)))),IF(N('Month-End'!$N$19)&lt;0,1,0),0)+IF(AND(OR(Settings!$B$32="Card",Settings!$B$32="Loan"),AND('Month-End'!$N$20&lt;&gt;"",NOT(_xlfn.ISFORMULA('Month-End'!$N$20)))),IF(N('Month-End'!$N$20)&lt;0,1,0),0)</f>
        <v/>
      </c>
      <c r="DX17">
        <f>IF(Settings!$B$36="Retirement",$AY17,0)+IF(Settings!$B$37="Retirement",$AZ17,0)+IF(Settings!$B$38="Retirement",$BA17,0)+IF(Settings!$B$39="Retirement",$BB17,0)+IF(Settings!$B$40="Retirement",$BC17,0)+IF(Settings!$B$41="Retirement",$BD17,0)</f>
        <v/>
      </c>
      <c r="EA17" t="inlineStr">
        <is>
          <t>Giving This Year</t>
        </is>
      </c>
      <c r="EB17">
        <f>SUMIFS($AA$6:$AA$183,$DO$6:$DO$183,YEAR(TODAY()))</f>
        <v/>
      </c>
      <c r="ET17">
        <f>IF($E17&lt;&gt;"open",0,IF(AND('Month-End'!$N$22&lt;&gt;"",NOT(_xlfn.ISFORMULA('Month-End'!$N$22))),0,IF(OR(Settings!$C$45="",Settings!$D$45=""),0,Settings!$C$45*IF(Settings!$D$45="Weekly",IF(IFERROR(MATCH(Settings!$E$45,$EO$4:$EO$10,0),0)=0,0,IF(MIN(Settings!$B$5,IF(Settings!$G$45="",Settings!$B$5,Settings!$G$45))&lt;MAX($A17,Settings!$F$45),0,INT((MIN(Settings!$B$5,IF(Settings!$G$45="",Settings!$B$5,Settings!$G$45))-MAX($A17,Settings!$F$45)-MOD(IFERROR(MATCH(Settings!$E$45,$EO$4:$EO$10,0),0)-WEEKDAY(MAX($A17,Settings!$F$45)),7))/7)+1)),IF(AND(IF(Settings!$E$45="",$B17,DATE(YEAR($A17),MONTH($A17),MIN(Settings!$E$45,DAY($B17))))&gt;=MAX($A17,Settings!$F$45),IF(Settings!$E$45="",$B17,DATE(YEAR($A17),MONTH($A17),MIN(Settings!$E$45,DAY($B17))))&lt;=MIN(Settings!$B$5,IF(Settings!$G$45="",Settings!$B$5,Settings!$G$45))),1,0)))))</f>
        <v/>
      </c>
      <c r="EU17">
        <f>IF($E17&lt;&gt;"open",0,IF(AND('Month-End'!$N$23&lt;&gt;"",NOT(_xlfn.ISFORMULA('Month-End'!$N$23))),0,IF(OR(Settings!$C$46="",Settings!$D$46=""),0,Settings!$C$46*IF(Settings!$D$46="Weekly",IF(IFERROR(MATCH(Settings!$E$46,$EO$4:$EO$10,0),0)=0,0,IF(MIN(Settings!$B$5,IF(Settings!$G$46="",Settings!$B$5,Settings!$G$46))&lt;MAX($A17,Settings!$F$46),0,INT((MIN(Settings!$B$5,IF(Settings!$G$46="",Settings!$B$5,Settings!$G$46))-MAX($A17,Settings!$F$46)-MOD(IFERROR(MATCH(Settings!$E$46,$EO$4:$EO$10,0),0)-WEEKDAY(MAX($A17,Settings!$F$46)),7))/7)+1)),IF(AND(IF(Settings!$E$46="",$B17,DATE(YEAR($A17),MONTH($A17),MIN(Settings!$E$46,DAY($B17))))&gt;=MAX($A17,Settings!$F$46),IF(Settings!$E$46="",$B17,DATE(YEAR($A17),MONTH($A17),MIN(Settings!$E$46,DAY($B17))))&lt;=MIN(Settings!$B$5,IF(Settings!$G$46="",Settings!$B$5,Settings!$G$46))),1,0)))))</f>
        <v/>
      </c>
      <c r="EV17">
        <f>IF($E17&lt;&gt;"open",0,IF(AND('Month-End'!$N$24&lt;&gt;"",NOT(_xlfn.ISFORMULA('Month-End'!$N$24))),0,IF(OR(Settings!$C$47="",Settings!$D$47=""),0,Settings!$C$47*IF(Settings!$D$47="Weekly",IF(IFERROR(MATCH(Settings!$E$47,$EO$4:$EO$10,0),0)=0,0,IF(MIN(Settings!$B$5,IF(Settings!$G$47="",Settings!$B$5,Settings!$G$47))&lt;MAX($A17,Settings!$F$47),0,INT((MIN(Settings!$B$5,IF(Settings!$G$47="",Settings!$B$5,Settings!$G$47))-MAX($A17,Settings!$F$47)-MOD(IFERROR(MATCH(Settings!$E$47,$EO$4:$EO$10,0),0)-WEEKDAY(MAX($A17,Settings!$F$47)),7))/7)+1)),IF(AND(IF(Settings!$E$47="",$B17,DATE(YEAR($A17),MONTH($A17),MIN(Settings!$E$47,DAY($B17))))&gt;=MAX($A17,Settings!$F$47),IF(Settings!$E$47="",$B17,DATE(YEAR($A17),MONTH($A17),MIN(Settings!$E$47,DAY($B17))))&lt;=MIN(Settings!$B$5,IF(Settings!$G$47="",Settings!$B$5,Settings!$G$47))),1,0)))))</f>
        <v/>
      </c>
      <c r="EW17">
        <f>IF($E17&lt;&gt;"open",0,IF(AND('Month-End'!$N$25&lt;&gt;"",NOT(_xlfn.ISFORMULA('Month-End'!$N$25))),0,IF(OR(Settings!$C$48="",Settings!$D$48=""),0,Settings!$C$48*IF(Settings!$D$48="Weekly",IF(IFERROR(MATCH(Settings!$E$48,$EO$4:$EO$10,0),0)=0,0,IF(MIN(Settings!$B$5,IF(Settings!$G$48="",Settings!$B$5,Settings!$G$48))&lt;MAX($A17,Settings!$F$48),0,INT((MIN(Settings!$B$5,IF(Settings!$G$48="",Settings!$B$5,Settings!$G$48))-MAX($A17,Settings!$F$48)-MOD(IFERROR(MATCH(Settings!$E$48,$EO$4:$EO$10,0),0)-WEEKDAY(MAX($A17,Settings!$F$48)),7))/7)+1)),IF(AND(IF(Settings!$E$48="",$B17,DATE(YEAR($A17),MONTH($A17),MIN(Settings!$E$48,DAY($B17))))&gt;=MAX($A17,Settings!$F$48),IF(Settings!$E$48="",$B17,DATE(YEAR($A17),MONTH($A17),MIN(Settings!$E$48,DAY($B17))))&lt;=MIN(Settings!$B$5,IF(Settings!$G$48="",Settings!$B$5,Settings!$G$48))),1,0)))))</f>
        <v/>
      </c>
      <c r="EX17">
        <f>IF($E17&lt;&gt;"open",0,IF(AND('Month-End'!$N$26&lt;&gt;"",NOT(_xlfn.ISFORMULA('Month-End'!$N$26))),0,IF(OR(Settings!$C$49="",Settings!$D$49=""),0,Settings!$C$49*IF(Settings!$D$49="Weekly",IF(IFERROR(MATCH(Settings!$E$49,$EO$4:$EO$10,0),0)=0,0,IF(MIN(Settings!$B$5,IF(Settings!$G$49="",Settings!$B$5,Settings!$G$49))&lt;MAX($A17,Settings!$F$49),0,INT((MIN(Settings!$B$5,IF(Settings!$G$49="",Settings!$B$5,Settings!$G$49))-MAX($A17,Settings!$F$49)-MOD(IFERROR(MATCH(Settings!$E$49,$EO$4:$EO$10,0),0)-WEEKDAY(MAX($A17,Settings!$F$49)),7))/7)+1)),IF(AND(IF(Settings!$E$49="",$B17,DATE(YEAR($A17),MONTH($A17),MIN(Settings!$E$49,DAY($B17))))&gt;=MAX($A17,Settings!$F$49),IF(Settings!$E$49="",$B17,DATE(YEAR($A17),MONTH($A17),MIN(Settings!$E$49,DAY($B17))))&lt;=MIN(Settings!$B$5,IF(Settings!$G$49="",Settings!$B$5,Settings!$G$49))),1,0)))))</f>
        <v/>
      </c>
      <c r="EY17">
        <f>IF($E17&lt;&gt;"open",0,IF(AND('Month-End'!$N$27&lt;&gt;"",NOT(_xlfn.ISFORMULA('Month-End'!$N$27))),0,IF(OR(Settings!$C$50="",Settings!$D$50=""),0,Settings!$C$50*IF(Settings!$D$50="Weekly",IF(IFERROR(MATCH(Settings!$E$50,$EO$4:$EO$10,0),0)=0,0,IF(MIN(Settings!$B$5,IF(Settings!$G$50="",Settings!$B$5,Settings!$G$50))&lt;MAX($A17,Settings!$F$50),0,INT((MIN(Settings!$B$5,IF(Settings!$G$50="",Settings!$B$5,Settings!$G$50))-MAX($A17,Settings!$F$50)-MOD(IFERROR(MATCH(Settings!$E$50,$EO$4:$EO$10,0),0)-WEEKDAY(MAX($A17,Settings!$F$50)),7))/7)+1)),IF(AND(IF(Settings!$E$50="",$B17,DATE(YEAR($A17),MONTH($A17),MIN(Settings!$E$50,DAY($B17))))&gt;=MAX($A17,Settings!$F$50),IF(Settings!$E$50="",$B17,DATE(YEAR($A17),MONTH($A17),MIN(Settings!$E$50,DAY($B17))))&lt;=MIN(Settings!$B$5,IF(Settings!$G$50="",Settings!$B$5,Settings!$G$50))),1,0)))))</f>
        <v/>
      </c>
      <c r="EZ17">
        <f>IF($E17&lt;&gt;"open",0,IF(AND('Month-End'!$N$28&lt;&gt;"",NOT(_xlfn.ISFORMULA('Month-End'!$N$28))),0,IF(OR(Settings!$C$51="",Settings!$D$51=""),0,Settings!$C$51*IF(Settings!$D$51="Weekly",IF(IFERROR(MATCH(Settings!$E$51,$EO$4:$EO$10,0),0)=0,0,IF(MIN(Settings!$B$5,IF(Settings!$G$51="",Settings!$B$5,Settings!$G$51))&lt;MAX($A17,Settings!$F$51),0,INT((MIN(Settings!$B$5,IF(Settings!$G$51="",Settings!$B$5,Settings!$G$51))-MAX($A17,Settings!$F$51)-MOD(IFERROR(MATCH(Settings!$E$51,$EO$4:$EO$10,0),0)-WEEKDAY(MAX($A17,Settings!$F$51)),7))/7)+1)),IF(AND(IF(Settings!$E$51="",$B17,DATE(YEAR($A17),MONTH($A17),MIN(Settings!$E$51,DAY($B17))))&gt;=MAX($A17,Settings!$F$51),IF(Settings!$E$51="",$B17,DATE(YEAR($A17),MONTH($A17),MIN(Settings!$E$51,DAY($B17))))&lt;=MIN(Settings!$B$5,IF(Settings!$G$51="",Settings!$B$5,Settings!$G$51))),1,0)))))</f>
        <v/>
      </c>
      <c r="FA17">
        <f>IF($E17&lt;&gt;"open",0,IF(AND('Month-End'!$N$29&lt;&gt;"",NOT(_xlfn.ISFORMULA('Month-End'!$N$29))),0,IF(OR(Settings!$C$52="",Settings!$D$52=""),0,Settings!$C$52*IF(Settings!$D$52="Weekly",IF(IFERROR(MATCH(Settings!$E$52,$EO$4:$EO$10,0),0)=0,0,IF(MIN(Settings!$B$5,IF(Settings!$G$52="",Settings!$B$5,Settings!$G$52))&lt;MAX($A17,Settings!$F$52),0,INT((MIN(Settings!$B$5,IF(Settings!$G$52="",Settings!$B$5,Settings!$G$52))-MAX($A17,Settings!$F$52)-MOD(IFERROR(MATCH(Settings!$E$52,$EO$4:$EO$10,0),0)-WEEKDAY(MAX($A17,Settings!$F$52)),7))/7)+1)),IF(AND(IF(Settings!$E$52="",$B17,DATE(YEAR($A17),MONTH($A17),MIN(Settings!$E$52,DAY($B17))))&gt;=MAX($A17,Settings!$F$52),IF(Settings!$E$52="",$B17,DATE(YEAR($A17),MONTH($A17),MIN(Settings!$E$52,DAY($B17))))&lt;=MIN(Settings!$B$5,IF(Settings!$G$52="",Settings!$B$5,Settings!$G$52))),1,0)))))</f>
        <v/>
      </c>
      <c r="FB17">
        <f>IF($E17&lt;&gt;"open",0,IF(AND('Month-End'!$N$30&lt;&gt;"",NOT(_xlfn.ISFORMULA('Month-End'!$N$30))),0,IF(OR(Settings!$C$53="",Settings!$D$53=""),0,Settings!$C$53*IF(Settings!$D$53="Weekly",IF(IFERROR(MATCH(Settings!$E$53,$EO$4:$EO$10,0),0)=0,0,IF(MIN(Settings!$B$5,IF(Settings!$G$53="",Settings!$B$5,Settings!$G$53))&lt;MAX($A17,Settings!$F$53),0,INT((MIN(Settings!$B$5,IF(Settings!$G$53="",Settings!$B$5,Settings!$G$53))-MAX($A17,Settings!$F$53)-MOD(IFERROR(MATCH(Settings!$E$53,$EO$4:$EO$10,0),0)-WEEKDAY(MAX($A17,Settings!$F$53)),7))/7)+1)),IF(AND(IF(Settings!$E$53="",$B17,DATE(YEAR($A17),MONTH($A17),MIN(Settings!$E$53,DAY($B17))))&gt;=MAX($A17,Settings!$F$53),IF(Settings!$E$53="",$B17,DATE(YEAR($A17),MONTH($A17),MIN(Settings!$E$53,DAY($B17))))&lt;=MIN(Settings!$B$5,IF(Settings!$G$53="",Settings!$B$5,Settings!$G$53))),1,0)))))</f>
        <v/>
      </c>
      <c r="FC17">
        <f>IF($E17&lt;&gt;"open",0,IF(AND('Month-End'!$N$31&lt;&gt;"",NOT(_xlfn.ISFORMULA('Month-End'!$N$31))),0,IF(OR(Settings!$C$54="",Settings!$D$54=""),0,Settings!$C$54*IF(Settings!$D$54="Weekly",IF(IFERROR(MATCH(Settings!$E$54,$EO$4:$EO$10,0),0)=0,0,IF(MIN(Settings!$B$5,IF(Settings!$G$54="",Settings!$B$5,Settings!$G$54))&lt;MAX($A17,Settings!$F$54),0,INT((MIN(Settings!$B$5,IF(Settings!$G$54="",Settings!$B$5,Settings!$G$54))-MAX($A17,Settings!$F$54)-MOD(IFERROR(MATCH(Settings!$E$54,$EO$4:$EO$10,0),0)-WEEKDAY(MAX($A17,Settings!$F$54)),7))/7)+1)),IF(AND(IF(Settings!$E$54="",$B17,DATE(YEAR($A17),MONTH($A17),MIN(Settings!$E$54,DAY($B17))))&gt;=MAX($A17,Settings!$F$54),IF(Settings!$E$54="",$B17,DATE(YEAR($A17),MONTH($A17),MIN(Settings!$E$54,DAY($B17))))&lt;=MIN(Settings!$B$5,IF(Settings!$G$54="",Settings!$B$5,Settings!$G$54))),1,0)))))</f>
        <v/>
      </c>
      <c r="FD17">
        <f>IF($E17&lt;&gt;"open",0,IF(AND('Month-End'!$N$32&lt;&gt;"",NOT(_xlfn.ISFORMULA('Month-End'!$N$32))),0,IF(OR(Settings!$C$55="",Settings!$D$55=""),0,Settings!$C$55*IF(Settings!$D$55="Weekly",IF(IFERROR(MATCH(Settings!$E$55,$EO$4:$EO$10,0),0)=0,0,IF(MIN(Settings!$B$5,IF(Settings!$G$55="",Settings!$B$5,Settings!$G$55))&lt;MAX($A17,Settings!$F$55),0,INT((MIN(Settings!$B$5,IF(Settings!$G$55="",Settings!$B$5,Settings!$G$55))-MAX($A17,Settings!$F$55)-MOD(IFERROR(MATCH(Settings!$E$55,$EO$4:$EO$10,0),0)-WEEKDAY(MAX($A17,Settings!$F$55)),7))/7)+1)),IF(AND(IF(Settings!$E$55="",$B17,DATE(YEAR($A17),MONTH($A17),MIN(Settings!$E$55,DAY($B17))))&gt;=MAX($A17,Settings!$F$55),IF(Settings!$E$55="",$B17,DATE(YEAR($A17),MONTH($A17),MIN(Settings!$E$55,DAY($B17))))&lt;=MIN(Settings!$B$5,IF(Settings!$G$55="",Settings!$B$5,Settings!$G$55))),1,0)))))</f>
        <v/>
      </c>
      <c r="FE17">
        <f>IF($E17&lt;&gt;"open",0,IF(AND('Month-End'!$N$33&lt;&gt;"",NOT(_xlfn.ISFORMULA('Month-End'!$N$33))),0,IF(OR(Settings!$C$56="",Settings!$D$56=""),0,Settings!$C$56*IF(Settings!$D$56="Weekly",IF(IFERROR(MATCH(Settings!$E$56,$EO$4:$EO$10,0),0)=0,0,IF(MIN(Settings!$B$5,IF(Settings!$G$56="",Settings!$B$5,Settings!$G$56))&lt;MAX($A17,Settings!$F$56),0,INT((MIN(Settings!$B$5,IF(Settings!$G$56="",Settings!$B$5,Settings!$G$56))-MAX($A17,Settings!$F$56)-MOD(IFERROR(MATCH(Settings!$E$56,$EO$4:$EO$10,0),0)-WEEKDAY(MAX($A17,Settings!$F$56)),7))/7)+1)),IF(AND(IF(Settings!$E$56="",$B17,DATE(YEAR($A17),MONTH($A17),MIN(Settings!$E$56,DAY($B17))))&gt;=MAX($A17,Settings!$F$56),IF(Settings!$E$56="",$B17,DATE(YEAR($A17),MONTH($A17),MIN(Settings!$E$56,DAY($B17))))&lt;=MIN(Settings!$B$5,IF(Settings!$G$56="",Settings!$B$5,Settings!$G$56))),1,0)))))</f>
        <v/>
      </c>
      <c r="FF17">
        <f>IF(Settings!$I$45="Yes",$G17,0)+IF(Settings!$I$46="Yes",$H17,0)+IF(Settings!$I$47="Yes",$I17,0)+IF(Settings!$I$48="Yes",$J17,0)+IF(Settings!$I$49="Yes",$K17,0)+IF(Settings!$I$50="Yes",$L17,0)+IF(Settings!$I$51="Yes",$M17,0)+IF(Settings!$I$52="Yes",$N17,0)+IF(Settings!$I$53="Yes",$O17,0)+IF(Settings!$I$54="Yes",$P17,0)+IF(Settings!$I$55="Yes",$Q17,0)+IF(Settings!$I$56="Yes",$R17,0)</f>
        <v/>
      </c>
      <c r="FG17">
        <f>IF(AND(Settings!$I$45="Yes",Settings!$J$45="No"),$G17,0)+IF(AND(Settings!$I$46="Yes",Settings!$J$46="No"),$H17,0)+IF(AND(Settings!$I$47="Yes",Settings!$J$47="No"),$I17,0)+IF(AND(Settings!$I$48="Yes",Settings!$J$48="No"),$J17,0)+IF(AND(Settings!$I$49="Yes",Settings!$J$49="No"),$K17,0)+IF(AND(Settings!$I$50="Yes",Settings!$J$50="No"),$L17,0)+IF(AND(Settings!$I$51="Yes",Settings!$J$51="No"),$M17,0)+IF(AND(Settings!$I$52="Yes",Settings!$J$52="No"),$N17,0)+IF(AND(Settings!$I$53="Yes",Settings!$J$53="No"),$O17,0)+IF(AND(Settings!$I$54="Yes",Settings!$J$54="No"),$P17,0)+IF(AND(Settings!$I$55="Yes",Settings!$J$55="No"),$Q17,0)+IF(AND(Settings!$I$56="Yes",Settings!$J$56="No"),$R17,0)</f>
        <v/>
      </c>
      <c r="FH17">
        <f>SUMIFS(Giving!$B$7:$B$2006,Giving!$A$7:$A$2006,"&gt;="&amp;$A17,Giving!$A$7:$A$2006,"&lt;="&amp;$B17,Giving!$G$7:$G$2006,"Yes")+IF(OR(OR(Settings!$B$60="",Settings!$F$60="No"),Settings!$H$60&lt;&gt;"Yes"),0,Settings!$B$60*IF(AND(IF(Settings!$C$60="",$B17,DATE(YEAR($A17),MONTH($A17),MIN(Settings!$C$60,DAY($B17))))&gt;=MAX($A17,Settings!$D$60),IF(Settings!$C$60="",$B17,DATE(YEAR($A17),MONTH($A17),MIN(Settings!$C$60,DAY($B17))))&lt;=MIN($C17,IF(Settings!$E$60="",$C17,Settings!$E$60))),1,0))+IF(OR(OR(Settings!$B$61="",Settings!$F$61="No"),Settings!$H$61&lt;&gt;"Yes"),0,Settings!$B$61*IF(AND(IF(Settings!$C$61="",$B17,DATE(YEAR($A17),MONTH($A17),MIN(Settings!$C$61,DAY($B17))))&gt;=MAX($A17,Settings!$D$61),IF(Settings!$C$61="",$B17,DATE(YEAR($A17),MONTH($A17),MIN(Settings!$C$61,DAY($B17))))&lt;=MIN($C17,IF(Settings!$E$61="",$C17,Settings!$E$61))),1,0))+IF(OR(OR(Settings!$B$62="",Settings!$F$62="No"),Settings!$H$62&lt;&gt;"Yes"),0,Settings!$B$62*IF(AND(IF(Settings!$C$62="",$B17,DATE(YEAR($A17),MONTH($A17),MIN(Settings!$C$62,DAY($B17))))&gt;=MAX($A17,Settings!$D$62),IF(Settings!$C$62="",$B17,DATE(YEAR($A17),MONTH($A17),MIN(Settings!$C$62,DAY($B17))))&lt;=MIN($C17,IF(Settings!$E$62="",$C17,Settings!$E$62))),1,0))+IF(OR(OR(Settings!$B$63="",Settings!$F$63="No"),Settings!$H$63&lt;&gt;"Yes"),0,Settings!$B$63*IF(AND(IF(Settings!$C$63="",$B17,DATE(YEAR($A17),MONTH($A17),MIN(Settings!$C$63,DAY($B17))))&gt;=MAX($A17,Settings!$D$63),IF(Settings!$C$63="",$B17,DATE(YEAR($A17),MONTH($A17),MIN(Settings!$C$63,DAY($B17))))&lt;=MIN($C17,IF(Settings!$E$63="",$C17,Settings!$E$63))),1,0))+IF(OR(OR(Settings!$B$64="",Settings!$F$64="No"),Settings!$H$64&lt;&gt;"Yes"),0,Settings!$B$64*IF(AND(IF(Settings!$C$64="",$B17,DATE(YEAR($A17),MONTH($A17),MIN(Settings!$C$64,DAY($B17))))&gt;=MAX($A17,Settings!$D$64),IF(Settings!$C$64="",$B17,DATE(YEAR($A17),MONTH($A17),MIN(Settings!$C$64,DAY($B17))))&lt;=MIN($C17,IF(Settings!$E$64="",$C17,Settings!$E$64))),1,0))+IF(OR(OR(Settings!$B$65="",Settings!$F$65="No"),Settings!$H$65&lt;&gt;"Yes"),0,Settings!$B$65*IF(AND(IF(Settings!$C$65="",$B17,DATE(YEAR($A17),MONTH($A17),MIN(Settings!$C$65,DAY($B17))))&gt;=MAX($A17,Settings!$D$65),IF(Settings!$C$65="",$B17,DATE(YEAR($A17),MONTH($A17),MIN(Settings!$C$65,DAY($B17))))&lt;=MIN($C17,IF(Settings!$E$65="",$C17,Settings!$E$65))),1,0))</f>
        <v/>
      </c>
      <c r="FI17">
        <f>IF($DT17=1,IF(OR(Settings!$B$19="Card",Settings!$B$19="Loan"),N($AE17),0)+IF(OR(Settings!$B$20="Card",Settings!$B$20="Loan"),N($AF17),0)+IF(OR(Settings!$B$21="Card",Settings!$B$21="Loan"),N($AG17),0)+IF(OR(Settings!$B$22="Card",Settings!$B$22="Loan"),N($AH17),0)+IF(OR(Settings!$B$23="Card",Settings!$B$23="Loan"),N($AI17),0)+IF(OR(Settings!$B$24="Card",Settings!$B$24="Loan"),N($AJ17),0)+IF(OR(Settings!$B$25="Card",Settings!$B$25="Loan"),N($AK17),0)+IF(OR(Settings!$B$26="Card",Settings!$B$26="Loan"),N($AL17),0)+IF(OR(Settings!$B$27="Card",Settings!$B$27="Loan"),N($AM17),0)+IF(OR(Settings!$B$28="Card",Settings!$B$28="Loan"),N($AN17),0)+IF(OR(Settings!$B$29="Card",Settings!$B$29="Loan"),N($AO17),0)+IF(OR(Settings!$B$30="Card",Settings!$B$30="Loan"),N($AP17),0)+IF(OR(Settings!$B$31="Card",Settings!$B$31="Loan"),N($AQ17),0)+IF(OR(Settings!$B$32="Card",Settings!$B$32="Loan"),N($AR17),0),"")</f>
        <v/>
      </c>
      <c r="FJ17">
        <f>IF($E17="open",$EB$65,IF($E17="post",IF($E16="pre",$EB$65,$FI16),""))</f>
        <v/>
      </c>
      <c r="FK17">
        <f>IF(AND($DT17=1,$DC17=1),IF(ROUND($FI17-$FJ17,2)&gt;0,1,0),0)</f>
        <v/>
      </c>
      <c r="FL17">
        <f>IF($FK17=1,$FL16+1,0)</f>
        <v/>
      </c>
    </row>
    <row r="18">
      <c r="A18">
        <f>'Month-End'!$O$4</f>
        <v/>
      </c>
      <c r="B18">
        <f>EOMONTH($A18,0)</f>
        <v/>
      </c>
      <c r="C18">
        <f>MIN($B18,TODAY())</f>
        <v/>
      </c>
      <c r="D18">
        <f>IF($A18&gt;TODAY(),1,0)</f>
        <v/>
      </c>
      <c r="E18">
        <f>IF($B18&lt;=Settings!$B$5,"pre",IF($A18&lt;=Settings!$B$5,"open","post"))</f>
        <v/>
      </c>
      <c r="G18">
        <f>IF('Month-End'!$O$22="",$BE18,N('Month-End'!$O$22))</f>
        <v/>
      </c>
      <c r="H18">
        <f>IF('Month-End'!$O$23="",$BF18,N('Month-End'!$O$23))</f>
        <v/>
      </c>
      <c r="I18">
        <f>IF('Month-End'!$O$24="",$BG18,N('Month-End'!$O$24))</f>
        <v/>
      </c>
      <c r="J18">
        <f>IF('Month-End'!$O$25="",$BH18,N('Month-End'!$O$25))</f>
        <v/>
      </c>
      <c r="K18">
        <f>IF('Month-End'!$O$26="",$BI18,N('Month-End'!$O$26))</f>
        <v/>
      </c>
      <c r="L18">
        <f>IF('Month-End'!$O$27="",$BJ18,N('Month-End'!$O$27))</f>
        <v/>
      </c>
      <c r="M18">
        <f>IF('Month-End'!$O$28="",$BK18,N('Month-End'!$O$28))</f>
        <v/>
      </c>
      <c r="N18">
        <f>IF('Month-End'!$O$29="",$BL18,N('Month-End'!$O$29))</f>
        <v/>
      </c>
      <c r="O18">
        <f>IF('Month-End'!$O$30="",$BM18,N('Month-End'!$O$30))</f>
        <v/>
      </c>
      <c r="P18">
        <f>IF('Month-End'!$O$31="",$BN18,N('Month-End'!$O$31))</f>
        <v/>
      </c>
      <c r="Q18">
        <f>IF('Month-End'!$O$32="",$BO18,N('Month-End'!$O$32))</f>
        <v/>
      </c>
      <c r="R18">
        <f>IF('Month-End'!$O$33="",$BP18,N('Month-End'!$O$33))</f>
        <v/>
      </c>
      <c r="S18">
        <f>$G18+$H18+$I18+$J18+$K18+$L18+$M18+$N18+$O18+$P18+$Q18+$R18</f>
        <v/>
      </c>
      <c r="T18">
        <f>IF($B18&lt;Settings!$B$6,0,IF(Settings!$B$45="Yes",$G18,0)+IF(Settings!$B$46="Yes",$H18,0)+IF(Settings!$B$47="Yes",$I18,0)+IF(Settings!$B$48="Yes",$J18,0)+IF(Settings!$B$49="Yes",$K18,0)+IF(Settings!$B$50="Yes",$L18,0)+IF(Settings!$B$51="Yes",$M18,0)+IF(Settings!$B$52="Yes",$N18,0)+IF(Settings!$B$53="Yes",$O18,0)+IF(Settings!$B$54="Yes",$P18,0)+IF(Settings!$B$55="Yes",$Q18,0)+IF(Settings!$B$56="Yes",$R18,0))</f>
        <v/>
      </c>
      <c r="U18">
        <f>IF(Settings!$B$45="Not Sure",$G18,0)+IF(Settings!$B$46="Not Sure",$H18,0)+IF(Settings!$B$47="Not Sure",$I18,0)+IF(Settings!$B$48="Not Sure",$J18,0)+IF(Settings!$B$49="Not Sure",$K18,0)+IF(Settings!$B$50="Not Sure",$L18,0)+IF(Settings!$B$51="Not Sure",$M18,0)+IF(Settings!$B$52="Not Sure",$N18,0)+IF(Settings!$B$53="Not Sure",$O18,0)+IF(Settings!$B$54="Not Sure",$P18,0)+IF(Settings!$B$55="Not Sure",$Q18,0)+IF(Settings!$B$56="Not Sure",$R18,0)</f>
        <v/>
      </c>
      <c r="V18">
        <f>IF($E18="open",SUM($ET18:$FE18)+N(Settings!$B$13),0)</f>
        <v/>
      </c>
      <c r="W18">
        <f>IF($E18="post",$S18,IF($E18="open",$S18-$V18,0))</f>
        <v/>
      </c>
      <c r="X18">
        <f>SUMIFS(Giving!$B$7:$B$2006,Giving!$A$7:$A$2006,"&gt;="&amp;$A18,Giving!$A$7:$A$2006,"&lt;="&amp;$B18,Giving!$E$7:$E$2006,"&lt;&gt;No")</f>
        <v/>
      </c>
      <c r="Y18">
        <f>SUMIFS(Giving!$B$7:$B$2006,Giving!$A$7:$A$2006,"&gt;="&amp;$A18,Giving!$A$7:$A$2006,"&lt;="&amp;$B18,Giving!$E$7:$E$2006,"No")</f>
        <v/>
      </c>
      <c r="Z18">
        <f>IF(OR(Settings!$B$60="",Settings!$F$60="No"),0,Settings!$B$60*IF(AND(IF(Settings!$C$60="",$B18,DATE(YEAR($A18),MONTH($A18),MIN(Settings!$C$60,DAY($B18))))&gt;=MAX($A18,Settings!$D$60),IF(Settings!$C$60="",$B18,DATE(YEAR($A18),MONTH($A18),MIN(Settings!$C$60,DAY($B18))))&lt;=MIN($C18,IF(Settings!$E$60="",$C18,Settings!$E$60))),1,0))+IF(OR(Settings!$B$61="",Settings!$F$61="No"),0,Settings!$B$61*IF(AND(IF(Settings!$C$61="",$B18,DATE(YEAR($A18),MONTH($A18),MIN(Settings!$C$61,DAY($B18))))&gt;=MAX($A18,Settings!$D$61),IF(Settings!$C$61="",$B18,DATE(YEAR($A18),MONTH($A18),MIN(Settings!$C$61,DAY($B18))))&lt;=MIN($C18,IF(Settings!$E$61="",$C18,Settings!$E$61))),1,0))+IF(OR(Settings!$B$62="",Settings!$F$62="No"),0,Settings!$B$62*IF(AND(IF(Settings!$C$62="",$B18,DATE(YEAR($A18),MONTH($A18),MIN(Settings!$C$62,DAY($B18))))&gt;=MAX($A18,Settings!$D$62),IF(Settings!$C$62="",$B18,DATE(YEAR($A18),MONTH($A18),MIN(Settings!$C$62,DAY($B18))))&lt;=MIN($C18,IF(Settings!$E$62="",$C18,Settings!$E$62))),1,0))+IF(OR(Settings!$B$63="",Settings!$F$63="No"),0,Settings!$B$63*IF(AND(IF(Settings!$C$63="",$B18,DATE(YEAR($A18),MONTH($A18),MIN(Settings!$C$63,DAY($B18))))&gt;=MAX($A18,Settings!$D$63),IF(Settings!$C$63="",$B18,DATE(YEAR($A18),MONTH($A18),MIN(Settings!$C$63,DAY($B18))))&lt;=MIN($C18,IF(Settings!$E$63="",$C18,Settings!$E$63))),1,0))+IF(OR(Settings!$B$64="",Settings!$F$64="No"),0,Settings!$B$64*IF(AND(IF(Settings!$C$64="",$B18,DATE(YEAR($A18),MONTH($A18),MIN(Settings!$C$64,DAY($B18))))&gt;=MAX($A18,Settings!$D$64),IF(Settings!$C$64="",$B18,DATE(YEAR($A18),MONTH($A18),MIN(Settings!$C$64,DAY($B18))))&lt;=MIN($C18,IF(Settings!$E$64="",$C18,Settings!$E$64))),1,0))+IF(OR(Settings!$B$65="",Settings!$F$65="No"),0,Settings!$B$65*IF(AND(IF(Settings!$C$65="",$B18,DATE(YEAR($A18),MONTH($A18),MIN(Settings!$C$65,DAY($B18))))&gt;=MAX($A18,Settings!$D$65),IF(Settings!$C$65="",$B18,DATE(YEAR($A18),MONTH($A18),MIN(Settings!$C$65,DAY($B18))))&lt;=MIN($C18,IF(Settings!$E$65="",$C18,Settings!$E$65))),1,0))</f>
        <v/>
      </c>
      <c r="AA18">
        <f>$X18+$Z18</f>
        <v/>
      </c>
      <c r="AB18">
        <f>IF($E18="post",$AA18,IF($E18="open",SUMIFS(Giving!$B$7:$B$2006,Giving!$A$7:$A$2006,"&gt;"&amp;Settings!$B$5,Giving!$A$7:$A$2006,"&lt;="&amp;$B18,Giving!$E$7:$E$2006,"&lt;&gt;No")+IF(OR(Settings!$B$60="",Settings!$F$60="No"),0,Settings!$B$60*IF(AND(IF(Settings!$C$60="",$B18,DATE(YEAR($A18),MONTH($A18),MIN(Settings!$C$60,DAY($B18))))&gt;=MAX($A18,Settings!$D$60,Settings!$B$5+1),IF(Settings!$C$60="",$B18,DATE(YEAR($A18),MONTH($A18),MIN(Settings!$C$60,DAY($B18))))&lt;=MIN($C18,IF(Settings!$E$60="",$C18,Settings!$E$60))),1,0))+IF(OR(Settings!$B$61="",Settings!$F$61="No"),0,Settings!$B$61*IF(AND(IF(Settings!$C$61="",$B18,DATE(YEAR($A18),MONTH($A18),MIN(Settings!$C$61,DAY($B18))))&gt;=MAX($A18,Settings!$D$61,Settings!$B$5+1),IF(Settings!$C$61="",$B18,DATE(YEAR($A18),MONTH($A18),MIN(Settings!$C$61,DAY($B18))))&lt;=MIN($C18,IF(Settings!$E$61="",$C18,Settings!$E$61))),1,0))+IF(OR(Settings!$B$62="",Settings!$F$62="No"),0,Settings!$B$62*IF(AND(IF(Settings!$C$62="",$B18,DATE(YEAR($A18),MONTH($A18),MIN(Settings!$C$62,DAY($B18))))&gt;=MAX($A18,Settings!$D$62,Settings!$B$5+1),IF(Settings!$C$62="",$B18,DATE(YEAR($A18),MONTH($A18),MIN(Settings!$C$62,DAY($B18))))&lt;=MIN($C18,IF(Settings!$E$62="",$C18,Settings!$E$62))),1,0))+IF(OR(Settings!$B$63="",Settings!$F$63="No"),0,Settings!$B$63*IF(AND(IF(Settings!$C$63="",$B18,DATE(YEAR($A18),MONTH($A18),MIN(Settings!$C$63,DAY($B18))))&gt;=MAX($A18,Settings!$D$63,Settings!$B$5+1),IF(Settings!$C$63="",$B18,DATE(YEAR($A18),MONTH($A18),MIN(Settings!$C$63,DAY($B18))))&lt;=MIN($C18,IF(Settings!$E$63="",$C18,Settings!$E$63))),1,0))+IF(OR(Settings!$B$64="",Settings!$F$64="No"),0,Settings!$B$64*IF(AND(IF(Settings!$C$64="",$B18,DATE(YEAR($A18),MONTH($A18),MIN(Settings!$C$64,DAY($B18))))&gt;=MAX($A18,Settings!$D$64,Settings!$B$5+1),IF(Settings!$C$64="",$B18,DATE(YEAR($A18),MONTH($A18),MIN(Settings!$C$64,DAY($B18))))&lt;=MIN($C18,IF(Settings!$E$64="",$C18,Settings!$E$64))),1,0))+IF(OR(Settings!$B$65="",Settings!$F$65="No"),0,Settings!$B$65*IF(AND(IF(Settings!$C$65="",$B18,DATE(YEAR($A18),MONTH($A18),MIN(Settings!$C$65,DAY($B18))))&gt;=MAX($A18,Settings!$D$65,Settings!$B$5+1),IF(Settings!$C$65="",$B18,DATE(YEAR($A18),MONTH($A18),MIN(Settings!$C$65,DAY($B18))))&lt;=MIN($C18,IF(Settings!$E$65="",$C18,Settings!$E$65))),1,0)),0))</f>
        <v/>
      </c>
      <c r="AC18">
        <f>$AY18+$AZ18+$BA18+$BB18+$BC18+$BD18</f>
        <v/>
      </c>
      <c r="AD18">
        <f>$AC18</f>
        <v/>
      </c>
      <c r="AE18">
        <f>IF(OR(Settings!$A$19="",$E18="pre"),"",IF(AND('Month-End'!$O$7&lt;&gt;"",NOT(_xlfn.ISFORMULA('Month-End'!$O$7))),N('Month-End'!$O$7),IF(OR($E18="open",$E17="pre"),N(Settings!$C$19),N($AE17))))</f>
        <v/>
      </c>
      <c r="AF18">
        <f>IF(OR(Settings!$A$20="",$E18="pre"),"",IF(AND('Month-End'!$O$8&lt;&gt;"",NOT(_xlfn.ISFORMULA('Month-End'!$O$8))),N('Month-End'!$O$8),IF(OR($E18="open",$E17="pre"),N(Settings!$C$20),N($AF17))))</f>
        <v/>
      </c>
      <c r="AG18">
        <f>IF(OR(Settings!$A$21="",$E18="pre"),"",IF(AND('Month-End'!$O$9&lt;&gt;"",NOT(_xlfn.ISFORMULA('Month-End'!$O$9))),N('Month-End'!$O$9),IF(OR($E18="open",$E17="pre"),N(Settings!$C$21),N($AG17))))</f>
        <v/>
      </c>
      <c r="AH18">
        <f>IF(OR(Settings!$A$22="",$E18="pre"),"",IF(AND('Month-End'!$O$10&lt;&gt;"",NOT(_xlfn.ISFORMULA('Month-End'!$O$10))),N('Month-End'!$O$10),IF(OR($E18="open",$E17="pre"),N(Settings!$C$22),N($AH17))))</f>
        <v/>
      </c>
      <c r="AI18">
        <f>IF(OR(Settings!$A$23="",$E18="pre"),"",IF(AND('Month-End'!$O$11&lt;&gt;"",NOT(_xlfn.ISFORMULA('Month-End'!$O$11))),N('Month-End'!$O$11),IF(OR($E18="open",$E17="pre"),N(Settings!$C$23),N($AI17))))</f>
        <v/>
      </c>
      <c r="AJ18">
        <f>IF(OR(Settings!$A$24="",$E18="pre"),"",IF(AND('Month-End'!$O$12&lt;&gt;"",NOT(_xlfn.ISFORMULA('Month-End'!$O$12))),N('Month-End'!$O$12),IF(OR($E18="open",$E17="pre"),N(Settings!$C$24),N($AJ17))))</f>
        <v/>
      </c>
      <c r="AK18">
        <f>IF(OR(Settings!$A$25="",$E18="pre"),"",IF(AND('Month-End'!$O$13&lt;&gt;"",NOT(_xlfn.ISFORMULA('Month-End'!$O$13))),N('Month-End'!$O$13),IF(OR($E18="open",$E17="pre"),N(Settings!$C$25),N($AK17))))</f>
        <v/>
      </c>
      <c r="AL18">
        <f>IF(OR(Settings!$A$26="",$E18="pre"),"",IF(AND('Month-End'!$O$14&lt;&gt;"",NOT(_xlfn.ISFORMULA('Month-End'!$O$14))),N('Month-End'!$O$14),IF(OR($E18="open",$E17="pre"),N(Settings!$C$26),N($AL17))))</f>
        <v/>
      </c>
      <c r="AM18">
        <f>IF(OR(Settings!$A$27="",$E18="pre"),"",IF(AND('Month-End'!$O$15&lt;&gt;"",NOT(_xlfn.ISFORMULA('Month-End'!$O$15))),N('Month-End'!$O$15),IF(OR($E18="open",$E17="pre"),N(Settings!$C$27),N($AM17))))</f>
        <v/>
      </c>
      <c r="AN18">
        <f>IF(OR(Settings!$A$28="",$E18="pre"),"",IF(AND('Month-End'!$O$16&lt;&gt;"",NOT(_xlfn.ISFORMULA('Month-End'!$O$16))),N('Month-End'!$O$16),IF(OR($E18="open",$E17="pre"),N(Settings!$C$28),N($AN17))))</f>
        <v/>
      </c>
      <c r="AO18">
        <f>IF(OR(Settings!$A$29="",$E18="pre"),"",IF(AND('Month-End'!$O$17&lt;&gt;"",NOT(_xlfn.ISFORMULA('Month-End'!$O$17))),N('Month-End'!$O$17),IF(OR($E18="open",$E17="pre"),N(Settings!$C$29),N($AO17))))</f>
        <v/>
      </c>
      <c r="AP18">
        <f>IF(OR(Settings!$A$30="",$E18="pre"),"",IF(AND('Month-End'!$O$18&lt;&gt;"",NOT(_xlfn.ISFORMULA('Month-End'!$O$18))),N('Month-End'!$O$18),IF(OR($E18="open",$E17="pre"),N(Settings!$C$30),N($AP17))))</f>
        <v/>
      </c>
      <c r="AQ18">
        <f>IF(OR(Settings!$A$31="",$E18="pre"),"",IF(AND('Month-End'!$O$19&lt;&gt;"",NOT(_xlfn.ISFORMULA('Month-End'!$O$19))),N('Month-End'!$O$19),IF(OR($E18="open",$E17="pre"),N(Settings!$C$31),N($AQ17))))</f>
        <v/>
      </c>
      <c r="AR18">
        <f>IF(OR(Settings!$A$32="",$E18="pre"),"",IF(AND('Month-End'!$O$20&lt;&gt;"",NOT(_xlfn.ISFORMULA('Month-End'!$O$20))),N('Month-End'!$O$20),IF(OR($E18="open",$E17="pre"),N(Settings!$C$32),N($AR17))))</f>
        <v/>
      </c>
      <c r="AS18">
        <f>IF(OR(Settings!$A$36="",$E18="pre"),"",IF(AND('Month-End'!$O$38&lt;&gt;"",NOT(_xlfn.ISFORMULA('Month-End'!$O$38))),N('Month-End'!$O$38),IF(OR($E18="open",$E17="pre"),N(Settings!$C$36),N($AS17))+$AY18))</f>
        <v/>
      </c>
      <c r="AT18">
        <f>IF(OR(Settings!$A$37="",$E18="pre"),"",IF(AND('Month-End'!$O$39&lt;&gt;"",NOT(_xlfn.ISFORMULA('Month-End'!$O$39))),N('Month-End'!$O$39),IF(OR($E18="open",$E17="pre"),N(Settings!$C$37),N($AT17))+$AZ18))</f>
        <v/>
      </c>
      <c r="AU18">
        <f>IF(OR(Settings!$A$38="",$E18="pre"),"",IF(AND('Month-End'!$O$40&lt;&gt;"",NOT(_xlfn.ISFORMULA('Month-End'!$O$40))),N('Month-End'!$O$40),IF(OR($E18="open",$E17="pre"),N(Settings!$C$38),N($AU17))+$BA18))</f>
        <v/>
      </c>
      <c r="AV18">
        <f>IF(OR(Settings!$A$39="",$E18="pre"),"",IF(AND('Month-End'!$O$41&lt;&gt;"",NOT(_xlfn.ISFORMULA('Month-End'!$O$41))),N('Month-End'!$O$41),IF(OR($E18="open",$E17="pre"),N(Settings!$C$39),N($AV17))+$BB18))</f>
        <v/>
      </c>
      <c r="AW18">
        <f>IF(OR(Settings!$A$40="",$E18="pre"),"",IF(AND('Month-End'!$O$42&lt;&gt;"",NOT(_xlfn.ISFORMULA('Month-End'!$O$42))),N('Month-End'!$O$42),IF(OR($E18="open",$E17="pre"),N(Settings!$C$40),N($AW17))+$BC18))</f>
        <v/>
      </c>
      <c r="AX18">
        <f>IF(OR(Settings!$A$41="",$E18="pre"),"",IF(AND('Month-End'!$O$43&lt;&gt;"",NOT(_xlfn.ISFORMULA('Month-End'!$O$43))),N('Month-End'!$O$43),IF(OR($E18="open",$E17="pre"),N(Settings!$C$41),N($AX17))+$BD18))</f>
        <v/>
      </c>
      <c r="AY18">
        <f>IF($E18="pre",0,N('Month-End'!$O$45))</f>
        <v/>
      </c>
      <c r="AZ18">
        <f>IF($E18="pre",0,N('Month-End'!$O$46))</f>
        <v/>
      </c>
      <c r="BA18">
        <f>IF($E18="pre",0,N('Month-End'!$O$47))</f>
        <v/>
      </c>
      <c r="BB18">
        <f>IF($E18="pre",0,N('Month-End'!$O$48))</f>
        <v/>
      </c>
      <c r="BC18">
        <f>IF($E18="pre",0,N('Month-End'!$O$49))</f>
        <v/>
      </c>
      <c r="BD18">
        <f>IF($E18="pre",0,N('Month-End'!$O$50))</f>
        <v/>
      </c>
      <c r="BE18">
        <f>IF(OR(Settings!$C$45="",Settings!$D$45=""),0,Settings!$C$45*IF(Settings!$D$45="Weekly",IF(IFERROR(MATCH(Settings!$E$45,$EO$4:$EO$10,0),0)=0,0,IF(MIN($C18,IF(Settings!$G$45="",$C18,Settings!$G$45))&lt;MAX($A18,Settings!$F$45),0,INT((MIN($C18,IF(Settings!$G$45="",$C18,Settings!$G$45))-MAX($A18,Settings!$F$45)-MOD(IFERROR(MATCH(Settings!$E$45,$EO$4:$EO$10,0),0)-WEEKDAY(MAX($A18,Settings!$F$45)),7))/7)+1)),IF(AND(IF(Settings!$E$45="",$B18,DATE(YEAR($A18),MONTH($A18),MIN(Settings!$E$45,DAY($B18))))&gt;=MAX($A18,Settings!$F$45),IF(Settings!$E$45="",$B18,DATE(YEAR($A18),MONTH($A18),MIN(Settings!$E$45,DAY($B18))))&lt;=MIN($C18,IF(Settings!$G$45="",$C18,Settings!$G$45))),1,0)))</f>
        <v/>
      </c>
      <c r="BF18">
        <f>IF(OR(Settings!$C$46="",Settings!$D$46=""),0,Settings!$C$46*IF(Settings!$D$46="Weekly",IF(IFERROR(MATCH(Settings!$E$46,$EO$4:$EO$10,0),0)=0,0,IF(MIN($C18,IF(Settings!$G$46="",$C18,Settings!$G$46))&lt;MAX($A18,Settings!$F$46),0,INT((MIN($C18,IF(Settings!$G$46="",$C18,Settings!$G$46))-MAX($A18,Settings!$F$46)-MOD(IFERROR(MATCH(Settings!$E$46,$EO$4:$EO$10,0),0)-WEEKDAY(MAX($A18,Settings!$F$46)),7))/7)+1)),IF(AND(IF(Settings!$E$46="",$B18,DATE(YEAR($A18),MONTH($A18),MIN(Settings!$E$46,DAY($B18))))&gt;=MAX($A18,Settings!$F$46),IF(Settings!$E$46="",$B18,DATE(YEAR($A18),MONTH($A18),MIN(Settings!$E$46,DAY($B18))))&lt;=MIN($C18,IF(Settings!$G$46="",$C18,Settings!$G$46))),1,0)))</f>
        <v/>
      </c>
      <c r="BG18">
        <f>IF(OR(Settings!$C$47="",Settings!$D$47=""),0,Settings!$C$47*IF(Settings!$D$47="Weekly",IF(IFERROR(MATCH(Settings!$E$47,$EO$4:$EO$10,0),0)=0,0,IF(MIN($C18,IF(Settings!$G$47="",$C18,Settings!$G$47))&lt;MAX($A18,Settings!$F$47),0,INT((MIN($C18,IF(Settings!$G$47="",$C18,Settings!$G$47))-MAX($A18,Settings!$F$47)-MOD(IFERROR(MATCH(Settings!$E$47,$EO$4:$EO$10,0),0)-WEEKDAY(MAX($A18,Settings!$F$47)),7))/7)+1)),IF(AND(IF(Settings!$E$47="",$B18,DATE(YEAR($A18),MONTH($A18),MIN(Settings!$E$47,DAY($B18))))&gt;=MAX($A18,Settings!$F$47),IF(Settings!$E$47="",$B18,DATE(YEAR($A18),MONTH($A18),MIN(Settings!$E$47,DAY($B18))))&lt;=MIN($C18,IF(Settings!$G$47="",$C18,Settings!$G$47))),1,0)))</f>
        <v/>
      </c>
      <c r="BH18">
        <f>IF(OR(Settings!$C$48="",Settings!$D$48=""),0,Settings!$C$48*IF(Settings!$D$48="Weekly",IF(IFERROR(MATCH(Settings!$E$48,$EO$4:$EO$10,0),0)=0,0,IF(MIN($C18,IF(Settings!$G$48="",$C18,Settings!$G$48))&lt;MAX($A18,Settings!$F$48),0,INT((MIN($C18,IF(Settings!$G$48="",$C18,Settings!$G$48))-MAX($A18,Settings!$F$48)-MOD(IFERROR(MATCH(Settings!$E$48,$EO$4:$EO$10,0),0)-WEEKDAY(MAX($A18,Settings!$F$48)),7))/7)+1)),IF(AND(IF(Settings!$E$48="",$B18,DATE(YEAR($A18),MONTH($A18),MIN(Settings!$E$48,DAY($B18))))&gt;=MAX($A18,Settings!$F$48),IF(Settings!$E$48="",$B18,DATE(YEAR($A18),MONTH($A18),MIN(Settings!$E$48,DAY($B18))))&lt;=MIN($C18,IF(Settings!$G$48="",$C18,Settings!$G$48))),1,0)))</f>
        <v/>
      </c>
      <c r="BI18">
        <f>IF(OR(Settings!$C$49="",Settings!$D$49=""),0,Settings!$C$49*IF(Settings!$D$49="Weekly",IF(IFERROR(MATCH(Settings!$E$49,$EO$4:$EO$10,0),0)=0,0,IF(MIN($C18,IF(Settings!$G$49="",$C18,Settings!$G$49))&lt;MAX($A18,Settings!$F$49),0,INT((MIN($C18,IF(Settings!$G$49="",$C18,Settings!$G$49))-MAX($A18,Settings!$F$49)-MOD(IFERROR(MATCH(Settings!$E$49,$EO$4:$EO$10,0),0)-WEEKDAY(MAX($A18,Settings!$F$49)),7))/7)+1)),IF(AND(IF(Settings!$E$49="",$B18,DATE(YEAR($A18),MONTH($A18),MIN(Settings!$E$49,DAY($B18))))&gt;=MAX($A18,Settings!$F$49),IF(Settings!$E$49="",$B18,DATE(YEAR($A18),MONTH($A18),MIN(Settings!$E$49,DAY($B18))))&lt;=MIN($C18,IF(Settings!$G$49="",$C18,Settings!$G$49))),1,0)))</f>
        <v/>
      </c>
      <c r="BJ18">
        <f>IF(OR(Settings!$C$50="",Settings!$D$50=""),0,Settings!$C$50*IF(Settings!$D$50="Weekly",IF(IFERROR(MATCH(Settings!$E$50,$EO$4:$EO$10,0),0)=0,0,IF(MIN($C18,IF(Settings!$G$50="",$C18,Settings!$G$50))&lt;MAX($A18,Settings!$F$50),0,INT((MIN($C18,IF(Settings!$G$50="",$C18,Settings!$G$50))-MAX($A18,Settings!$F$50)-MOD(IFERROR(MATCH(Settings!$E$50,$EO$4:$EO$10,0),0)-WEEKDAY(MAX($A18,Settings!$F$50)),7))/7)+1)),IF(AND(IF(Settings!$E$50="",$B18,DATE(YEAR($A18),MONTH($A18),MIN(Settings!$E$50,DAY($B18))))&gt;=MAX($A18,Settings!$F$50),IF(Settings!$E$50="",$B18,DATE(YEAR($A18),MONTH($A18),MIN(Settings!$E$50,DAY($B18))))&lt;=MIN($C18,IF(Settings!$G$50="",$C18,Settings!$G$50))),1,0)))</f>
        <v/>
      </c>
      <c r="BK18">
        <f>IF(OR(Settings!$C$51="",Settings!$D$51=""),0,Settings!$C$51*IF(Settings!$D$51="Weekly",IF(IFERROR(MATCH(Settings!$E$51,$EO$4:$EO$10,0),0)=0,0,IF(MIN($C18,IF(Settings!$G$51="",$C18,Settings!$G$51))&lt;MAX($A18,Settings!$F$51),0,INT((MIN($C18,IF(Settings!$G$51="",$C18,Settings!$G$51))-MAX($A18,Settings!$F$51)-MOD(IFERROR(MATCH(Settings!$E$51,$EO$4:$EO$10,0),0)-WEEKDAY(MAX($A18,Settings!$F$51)),7))/7)+1)),IF(AND(IF(Settings!$E$51="",$B18,DATE(YEAR($A18),MONTH($A18),MIN(Settings!$E$51,DAY($B18))))&gt;=MAX($A18,Settings!$F$51),IF(Settings!$E$51="",$B18,DATE(YEAR($A18),MONTH($A18),MIN(Settings!$E$51,DAY($B18))))&lt;=MIN($C18,IF(Settings!$G$51="",$C18,Settings!$G$51))),1,0)))</f>
        <v/>
      </c>
      <c r="BL18">
        <f>IF(OR(Settings!$C$52="",Settings!$D$52=""),0,Settings!$C$52*IF(Settings!$D$52="Weekly",IF(IFERROR(MATCH(Settings!$E$52,$EO$4:$EO$10,0),0)=0,0,IF(MIN($C18,IF(Settings!$G$52="",$C18,Settings!$G$52))&lt;MAX($A18,Settings!$F$52),0,INT((MIN($C18,IF(Settings!$G$52="",$C18,Settings!$G$52))-MAX($A18,Settings!$F$52)-MOD(IFERROR(MATCH(Settings!$E$52,$EO$4:$EO$10,0),0)-WEEKDAY(MAX($A18,Settings!$F$52)),7))/7)+1)),IF(AND(IF(Settings!$E$52="",$B18,DATE(YEAR($A18),MONTH($A18),MIN(Settings!$E$52,DAY($B18))))&gt;=MAX($A18,Settings!$F$52),IF(Settings!$E$52="",$B18,DATE(YEAR($A18),MONTH($A18),MIN(Settings!$E$52,DAY($B18))))&lt;=MIN($C18,IF(Settings!$G$52="",$C18,Settings!$G$52))),1,0)))</f>
        <v/>
      </c>
      <c r="BM18">
        <f>IF(OR(Settings!$C$53="",Settings!$D$53=""),0,Settings!$C$53*IF(Settings!$D$53="Weekly",IF(IFERROR(MATCH(Settings!$E$53,$EO$4:$EO$10,0),0)=0,0,IF(MIN($C18,IF(Settings!$G$53="",$C18,Settings!$G$53))&lt;MAX($A18,Settings!$F$53),0,INT((MIN($C18,IF(Settings!$G$53="",$C18,Settings!$G$53))-MAX($A18,Settings!$F$53)-MOD(IFERROR(MATCH(Settings!$E$53,$EO$4:$EO$10,0),0)-WEEKDAY(MAX($A18,Settings!$F$53)),7))/7)+1)),IF(AND(IF(Settings!$E$53="",$B18,DATE(YEAR($A18),MONTH($A18),MIN(Settings!$E$53,DAY($B18))))&gt;=MAX($A18,Settings!$F$53),IF(Settings!$E$53="",$B18,DATE(YEAR($A18),MONTH($A18),MIN(Settings!$E$53,DAY($B18))))&lt;=MIN($C18,IF(Settings!$G$53="",$C18,Settings!$G$53))),1,0)))</f>
        <v/>
      </c>
      <c r="BN18">
        <f>IF(OR(Settings!$C$54="",Settings!$D$54=""),0,Settings!$C$54*IF(Settings!$D$54="Weekly",IF(IFERROR(MATCH(Settings!$E$54,$EO$4:$EO$10,0),0)=0,0,IF(MIN($C18,IF(Settings!$G$54="",$C18,Settings!$G$54))&lt;MAX($A18,Settings!$F$54),0,INT((MIN($C18,IF(Settings!$G$54="",$C18,Settings!$G$54))-MAX($A18,Settings!$F$54)-MOD(IFERROR(MATCH(Settings!$E$54,$EO$4:$EO$10,0),0)-WEEKDAY(MAX($A18,Settings!$F$54)),7))/7)+1)),IF(AND(IF(Settings!$E$54="",$B18,DATE(YEAR($A18),MONTH($A18),MIN(Settings!$E$54,DAY($B18))))&gt;=MAX($A18,Settings!$F$54),IF(Settings!$E$54="",$B18,DATE(YEAR($A18),MONTH($A18),MIN(Settings!$E$54,DAY($B18))))&lt;=MIN($C18,IF(Settings!$G$54="",$C18,Settings!$G$54))),1,0)))</f>
        <v/>
      </c>
      <c r="BO18">
        <f>IF(OR(Settings!$C$55="",Settings!$D$55=""),0,Settings!$C$55*IF(Settings!$D$55="Weekly",IF(IFERROR(MATCH(Settings!$E$55,$EO$4:$EO$10,0),0)=0,0,IF(MIN($C18,IF(Settings!$G$55="",$C18,Settings!$G$55))&lt;MAX($A18,Settings!$F$55),0,INT((MIN($C18,IF(Settings!$G$55="",$C18,Settings!$G$55))-MAX($A18,Settings!$F$55)-MOD(IFERROR(MATCH(Settings!$E$55,$EO$4:$EO$10,0),0)-WEEKDAY(MAX($A18,Settings!$F$55)),7))/7)+1)),IF(AND(IF(Settings!$E$55="",$B18,DATE(YEAR($A18),MONTH($A18),MIN(Settings!$E$55,DAY($B18))))&gt;=MAX($A18,Settings!$F$55),IF(Settings!$E$55="",$B18,DATE(YEAR($A18),MONTH($A18),MIN(Settings!$E$55,DAY($B18))))&lt;=MIN($C18,IF(Settings!$G$55="",$C18,Settings!$G$55))),1,0)))</f>
        <v/>
      </c>
      <c r="BP18">
        <f>IF(OR(Settings!$C$56="",Settings!$D$56=""),0,Settings!$C$56*IF(Settings!$D$56="Weekly",IF(IFERROR(MATCH(Settings!$E$56,$EO$4:$EO$10,0),0)=0,0,IF(MIN($C18,IF(Settings!$G$56="",$C18,Settings!$G$56))&lt;MAX($A18,Settings!$F$56),0,INT((MIN($C18,IF(Settings!$G$56="",$C18,Settings!$G$56))-MAX($A18,Settings!$F$56)-MOD(IFERROR(MATCH(Settings!$E$56,$EO$4:$EO$10,0),0)-WEEKDAY(MAX($A18,Settings!$F$56)),7))/7)+1)),IF(AND(IF(Settings!$E$56="",$B18,DATE(YEAR($A18),MONTH($A18),MIN(Settings!$E$56,DAY($B18))))&gt;=MAX($A18,Settings!$F$56),IF(Settings!$E$56="",$B18,DATE(YEAR($A18),MONTH($A18),MIN(Settings!$E$56,DAY($B18))))&lt;=MIN($C18,IF(Settings!$G$56="",$C18,Settings!$G$56))),1,0)))</f>
        <v/>
      </c>
      <c r="BQ18">
        <f>IF(OR(Settings!$B$14="",$D18=1,$E18="pre",$A18&lt;IF(Settings!$B$15="",0,Settings!$B$15)),0,Settings!$B$14)</f>
        <v/>
      </c>
      <c r="BR18">
        <f>IF(AND('Month-End'!$O$7&lt;&gt;"",NOT(_xlfn.ISFORMULA('Month-End'!$O$7))),1,0)</f>
        <v/>
      </c>
      <c r="BS18">
        <f>IF(AND('Month-End'!$O$8&lt;&gt;"",NOT(_xlfn.ISFORMULA('Month-End'!$O$8))),1,0)</f>
        <v/>
      </c>
      <c r="BT18">
        <f>IF(AND('Month-End'!$O$9&lt;&gt;"",NOT(_xlfn.ISFORMULA('Month-End'!$O$9))),1,0)</f>
        <v/>
      </c>
      <c r="BU18">
        <f>IF(AND('Month-End'!$O$10&lt;&gt;"",NOT(_xlfn.ISFORMULA('Month-End'!$O$10))),1,0)</f>
        <v/>
      </c>
      <c r="BV18">
        <f>IF(AND('Month-End'!$O$11&lt;&gt;"",NOT(_xlfn.ISFORMULA('Month-End'!$O$11))),1,0)</f>
        <v/>
      </c>
      <c r="BW18">
        <f>IF(AND('Month-End'!$O$12&lt;&gt;"",NOT(_xlfn.ISFORMULA('Month-End'!$O$12))),1,0)</f>
        <v/>
      </c>
      <c r="BX18">
        <f>IF(AND('Month-End'!$O$13&lt;&gt;"",NOT(_xlfn.ISFORMULA('Month-End'!$O$13))),1,0)</f>
        <v/>
      </c>
      <c r="BY18">
        <f>IF(AND('Month-End'!$O$14&lt;&gt;"",NOT(_xlfn.ISFORMULA('Month-End'!$O$14))),1,0)</f>
        <v/>
      </c>
      <c r="BZ18">
        <f>IF(AND('Month-End'!$O$15&lt;&gt;"",NOT(_xlfn.ISFORMULA('Month-End'!$O$15))),1,0)</f>
        <v/>
      </c>
      <c r="CA18">
        <f>IF(AND('Month-End'!$O$16&lt;&gt;"",NOT(_xlfn.ISFORMULA('Month-End'!$O$16))),1,0)</f>
        <v/>
      </c>
      <c r="CB18">
        <f>IF(AND('Month-End'!$O$17&lt;&gt;"",NOT(_xlfn.ISFORMULA('Month-End'!$O$17))),1,0)</f>
        <v/>
      </c>
      <c r="CC18">
        <f>IF(AND('Month-End'!$O$18&lt;&gt;"",NOT(_xlfn.ISFORMULA('Month-End'!$O$18))),1,0)</f>
        <v/>
      </c>
      <c r="CD18">
        <f>IF(AND('Month-End'!$O$19&lt;&gt;"",NOT(_xlfn.ISFORMULA('Month-End'!$O$19))),1,0)</f>
        <v/>
      </c>
      <c r="CE18">
        <f>IF(AND('Month-End'!$O$20&lt;&gt;"",NOT(_xlfn.ISFORMULA('Month-End'!$O$20))),1,0)</f>
        <v/>
      </c>
      <c r="CF18">
        <f>IF(AND('Month-End'!$O$38&lt;&gt;"",NOT(_xlfn.ISFORMULA('Month-End'!$O$38))),1,0)</f>
        <v/>
      </c>
      <c r="CG18">
        <f>IF(AND('Month-End'!$O$39&lt;&gt;"",NOT(_xlfn.ISFORMULA('Month-End'!$O$39))),1,0)</f>
        <v/>
      </c>
      <c r="CH18">
        <f>IF(AND('Month-End'!$O$40&lt;&gt;"",NOT(_xlfn.ISFORMULA('Month-End'!$O$40))),1,0)</f>
        <v/>
      </c>
      <c r="CI18">
        <f>IF(AND('Month-End'!$O$41&lt;&gt;"",NOT(_xlfn.ISFORMULA('Month-End'!$O$41))),1,0)</f>
        <v/>
      </c>
      <c r="CJ18">
        <f>IF(AND('Month-End'!$O$42&lt;&gt;"",NOT(_xlfn.ISFORMULA('Month-End'!$O$42))),1,0)</f>
        <v/>
      </c>
      <c r="CK18">
        <f>IF(AND('Month-End'!$O$43&lt;&gt;"",NOT(_xlfn.ISFORMULA('Month-End'!$O$43))),1,0)</f>
        <v/>
      </c>
      <c r="CL18">
        <f>SUM($CM18:$CZ18)</f>
        <v/>
      </c>
      <c r="CM18">
        <f>IF(AND($E18&lt;&gt;"pre",AND(Settings!$A$19&lt;&gt;"",Settings!$E$19&lt;&gt;"No"),Settings!$F$19="Yes",NOT(AND('Month-End'!$O$7&lt;&gt;"",NOT(_xlfn.ISFORMULA('Month-End'!$O$7))))),1,0)</f>
        <v/>
      </c>
      <c r="CN18">
        <f>IF(AND($E18&lt;&gt;"pre",AND(Settings!$A$20&lt;&gt;"",Settings!$E$20&lt;&gt;"No"),Settings!$F$20="Yes",NOT(AND('Month-End'!$O$8&lt;&gt;"",NOT(_xlfn.ISFORMULA('Month-End'!$O$8))))),1,0)</f>
        <v/>
      </c>
      <c r="CO18">
        <f>IF(AND($E18&lt;&gt;"pre",AND(Settings!$A$21&lt;&gt;"",Settings!$E$21&lt;&gt;"No"),Settings!$F$21="Yes",NOT(AND('Month-End'!$O$9&lt;&gt;"",NOT(_xlfn.ISFORMULA('Month-End'!$O$9))))),1,0)</f>
        <v/>
      </c>
      <c r="CP18">
        <f>IF(AND($E18&lt;&gt;"pre",AND(Settings!$A$22&lt;&gt;"",Settings!$E$22&lt;&gt;"No"),Settings!$F$22="Yes",NOT(AND('Month-End'!$O$10&lt;&gt;"",NOT(_xlfn.ISFORMULA('Month-End'!$O$10))))),1,0)</f>
        <v/>
      </c>
      <c r="CQ18">
        <f>IF(AND($E18&lt;&gt;"pre",AND(Settings!$A$23&lt;&gt;"",Settings!$E$23&lt;&gt;"No"),Settings!$F$23="Yes",NOT(AND('Month-End'!$O$11&lt;&gt;"",NOT(_xlfn.ISFORMULA('Month-End'!$O$11))))),1,0)</f>
        <v/>
      </c>
      <c r="CR18">
        <f>IF(AND($E18&lt;&gt;"pre",AND(Settings!$A$24&lt;&gt;"",Settings!$E$24&lt;&gt;"No"),Settings!$F$24="Yes",NOT(AND('Month-End'!$O$12&lt;&gt;"",NOT(_xlfn.ISFORMULA('Month-End'!$O$12))))),1,0)</f>
        <v/>
      </c>
      <c r="CS18">
        <f>IF(AND($E18&lt;&gt;"pre",AND(Settings!$A$25&lt;&gt;"",Settings!$E$25&lt;&gt;"No"),Settings!$F$25="Yes",NOT(AND('Month-End'!$O$13&lt;&gt;"",NOT(_xlfn.ISFORMULA('Month-End'!$O$13))))),1,0)</f>
        <v/>
      </c>
      <c r="CT18">
        <f>IF(AND($E18&lt;&gt;"pre",AND(Settings!$A$26&lt;&gt;"",Settings!$E$26&lt;&gt;"No"),Settings!$F$26="Yes",NOT(AND('Month-End'!$O$14&lt;&gt;"",NOT(_xlfn.ISFORMULA('Month-End'!$O$14))))),1,0)</f>
        <v/>
      </c>
      <c r="CU18">
        <f>IF(AND($E18&lt;&gt;"pre",AND(Settings!$A$27&lt;&gt;"",Settings!$E$27&lt;&gt;"No"),Settings!$F$27="Yes",NOT(AND('Month-End'!$O$15&lt;&gt;"",NOT(_xlfn.ISFORMULA('Month-End'!$O$15))))),1,0)</f>
        <v/>
      </c>
      <c r="CV18">
        <f>IF(AND($E18&lt;&gt;"pre",AND(Settings!$A$28&lt;&gt;"",Settings!$E$28&lt;&gt;"No"),Settings!$F$28="Yes",NOT(AND('Month-End'!$O$16&lt;&gt;"",NOT(_xlfn.ISFORMULA('Month-End'!$O$16))))),1,0)</f>
        <v/>
      </c>
      <c r="CW18">
        <f>IF(AND($E18&lt;&gt;"pre",AND(Settings!$A$29&lt;&gt;"",Settings!$E$29&lt;&gt;"No"),Settings!$F$29="Yes",NOT(AND('Month-End'!$O$17&lt;&gt;"",NOT(_xlfn.ISFORMULA('Month-End'!$O$17))))),1,0)</f>
        <v/>
      </c>
      <c r="CX18">
        <f>IF(AND($E18&lt;&gt;"pre",AND(Settings!$A$30&lt;&gt;"",Settings!$E$30&lt;&gt;"No"),Settings!$F$30="Yes",NOT(AND('Month-End'!$O$18&lt;&gt;"",NOT(_xlfn.ISFORMULA('Month-End'!$O$18))))),1,0)</f>
        <v/>
      </c>
      <c r="CY18">
        <f>IF(AND($E18&lt;&gt;"pre",AND(Settings!$A$31&lt;&gt;"",Settings!$E$31&lt;&gt;"No"),Settings!$F$31="Yes",NOT(AND('Month-End'!$O$19&lt;&gt;"",NOT(_xlfn.ISFORMULA('Month-End'!$O$19))))),1,0)</f>
        <v/>
      </c>
      <c r="CZ18">
        <f>IF(AND($E18&lt;&gt;"pre",AND(Settings!$A$32&lt;&gt;"",Settings!$E$32&lt;&gt;"No"),Settings!$F$32="Yes",NOT(AND('Month-End'!$O$20&lt;&gt;"",NOT(_xlfn.ISFORMULA('Month-End'!$O$20))))),1,0)</f>
        <v/>
      </c>
      <c r="DA18">
        <f>IF($DT18=1,IF(OR(Settings!$B$19="Checking",Settings!$B$19="Savings",Settings!$B$19="Cash"),N($AE18),IF(OR(Settings!$B$19="Card",Settings!$B$19="Loan"),-N($AE18),0))+IF(OR(Settings!$B$20="Checking",Settings!$B$20="Savings",Settings!$B$20="Cash"),N($AF18),IF(OR(Settings!$B$20="Card",Settings!$B$20="Loan"),-N($AF18),0))+IF(OR(Settings!$B$21="Checking",Settings!$B$21="Savings",Settings!$B$21="Cash"),N($AG18),IF(OR(Settings!$B$21="Card",Settings!$B$21="Loan"),-N($AG18),0))+IF(OR(Settings!$B$22="Checking",Settings!$B$22="Savings",Settings!$B$22="Cash"),N($AH18),IF(OR(Settings!$B$22="Card",Settings!$B$22="Loan"),-N($AH18),0))+IF(OR(Settings!$B$23="Checking",Settings!$B$23="Savings",Settings!$B$23="Cash"),N($AI18),IF(OR(Settings!$B$23="Card",Settings!$B$23="Loan"),-N($AI18),0))+IF(OR(Settings!$B$24="Checking",Settings!$B$24="Savings",Settings!$B$24="Cash"),N($AJ18),IF(OR(Settings!$B$24="Card",Settings!$B$24="Loan"),-N($AJ18),0))+IF(OR(Settings!$B$25="Checking",Settings!$B$25="Savings",Settings!$B$25="Cash"),N($AK18),IF(OR(Settings!$B$25="Card",Settings!$B$25="Loan"),-N($AK18),0))+IF(OR(Settings!$B$26="Checking",Settings!$B$26="Savings",Settings!$B$26="Cash"),N($AL18),IF(OR(Settings!$B$26="Card",Settings!$B$26="Loan"),-N($AL18),0))+IF(OR(Settings!$B$27="Checking",Settings!$B$27="Savings",Settings!$B$27="Cash"),N($AM18),IF(OR(Settings!$B$27="Card",Settings!$B$27="Loan"),-N($AM18),0))+IF(OR(Settings!$B$28="Checking",Settings!$B$28="Savings",Settings!$B$28="Cash"),N($AN18),IF(OR(Settings!$B$28="Card",Settings!$B$28="Loan"),-N($AN18),0))+IF(OR(Settings!$B$29="Checking",Settings!$B$29="Savings",Settings!$B$29="Cash"),N($AO18),IF(OR(Settings!$B$29="Card",Settings!$B$29="Loan"),-N($AO18),0))+IF(OR(Settings!$B$30="Checking",Settings!$B$30="Savings",Settings!$B$30="Cash"),N($AP18),IF(OR(Settings!$B$30="Card",Settings!$B$30="Loan"),-N($AP18),0))+IF(OR(Settings!$B$31="Checking",Settings!$B$31="Savings",Settings!$B$31="Cash"),N($AQ18),IF(OR(Settings!$B$31="Card",Settings!$B$31="Loan"),-N($AQ18),0))+IF(OR(Settings!$B$32="Checking",Settings!$B$32="Savings",Settings!$B$32="Cash"),N($AR18),IF(OR(Settings!$B$32="Card",Settings!$B$32="Loan"),-N($AR18),0)),"")</f>
        <v/>
      </c>
      <c r="DB18">
        <f>IF($E18="open",$EB$27,IF($E18="post",IF($E17="pre",$EB$27,$DA17),""))</f>
        <v/>
      </c>
      <c r="DC18">
        <f>IF($E18="open",1,IF($E18="post",IF($E17="pre",1,$DT17),0))</f>
        <v/>
      </c>
      <c r="DD18">
        <f>IF(AND($DT18=1,$DC18=1),ROUND($W18-($DA18-$DB18)-$AD18-$AB18,2),"")</f>
        <v/>
      </c>
      <c r="DE18">
        <f>IF('Month-End'!$O$35="",$BQ18,N('Month-End'!$O$35))</f>
        <v/>
      </c>
      <c r="DF18">
        <f>N('Month-End'!$O$36)</f>
        <v/>
      </c>
      <c r="DG18">
        <f>IF($DD18="","",$DD18+$DE18)</f>
        <v/>
      </c>
      <c r="DH18">
        <f>IF($DG18="","",$DG18-$DF18)</f>
        <v/>
      </c>
      <c r="DI18">
        <f>IF(OR($E18="pre",$D18=1),"",N($AS18)+N($AT18)+N($AU18)+N($AV18)+N($AW18)+N($AX18))</f>
        <v/>
      </c>
      <c r="DJ18">
        <f>IF($DT18=1,$DA18+N($DI18),"")</f>
        <v/>
      </c>
      <c r="DK18">
        <f>IF($DD18="","",$W18-$DD18-$AB18)</f>
        <v/>
      </c>
      <c r="DL18">
        <f>IF(AND($E18="post",$DD18&lt;&gt;"",$B18&lt;TODAY()),1,0)</f>
        <v/>
      </c>
      <c r="DM18">
        <f>IF($DL18=1,COUNTIF($DL18:$DL$183,1),0)</f>
        <v/>
      </c>
      <c r="DN18">
        <f>IF($D18=1,"",IF($E18="pre","History only",IF($DT18=1,IF($DD18="","⚠ Previous month missing",IF($DD18&lt;0,"⚠ Check: spending &lt; 0",IF($E18="open","✓ Done (partial)","✓ Done"))),IF($B18&gt;=TODAY(),"In progress","⚠ Needs balances"))))</f>
        <v/>
      </c>
      <c r="DO18">
        <f>YEAR($A18)</f>
        <v/>
      </c>
      <c r="DP18">
        <f>DATE(YEAR($A18),INT((MONTH($A18)-1)/3)*3+1,1)</f>
        <v/>
      </c>
      <c r="DQ18">
        <f>IF(AND($DT18=1,$DD18&lt;&gt;"",$D18=0),ROW(),0)</f>
        <v/>
      </c>
      <c r="DR18">
        <f>IF(AND($E18&lt;&gt;"pre",$B18&lt;TODAY(),$DT18=0),1,0)</f>
        <v/>
      </c>
      <c r="DS18">
        <f>IF($DJ18="",NA(),$DJ18)</f>
        <v/>
      </c>
      <c r="DT18">
        <f>IF(AND($E18&lt;&gt;"pre",$CL18=0,COUNTIFS(Settings!$F$19:$F$32,"Yes",Settings!$A$19:$A$32,"&lt;&gt;",Settings!$E$19:$E$32,"&lt;&gt;No")&gt;0),1,0)</f>
        <v/>
      </c>
      <c r="DU18">
        <f>IF(AND($B18&lt;TODAY(),$S18&gt;0),1,0)</f>
        <v/>
      </c>
      <c r="DV18">
        <f>IF($DU18=1,COUNTIF($DU18:$DU$183,1),0)</f>
        <v/>
      </c>
      <c r="DW18">
        <f>IF(AND(OR(Settings!$B$19="Card",Settings!$B$19="Loan"),AND('Month-End'!$O$7&lt;&gt;"",NOT(_xlfn.ISFORMULA('Month-End'!$O$7)))),IF(N('Month-End'!$O$7)&lt;0,1,0),0)+IF(AND(OR(Settings!$B$20="Card",Settings!$B$20="Loan"),AND('Month-End'!$O$8&lt;&gt;"",NOT(_xlfn.ISFORMULA('Month-End'!$O$8)))),IF(N('Month-End'!$O$8)&lt;0,1,0),0)+IF(AND(OR(Settings!$B$21="Card",Settings!$B$21="Loan"),AND('Month-End'!$O$9&lt;&gt;"",NOT(_xlfn.ISFORMULA('Month-End'!$O$9)))),IF(N('Month-End'!$O$9)&lt;0,1,0),0)+IF(AND(OR(Settings!$B$22="Card",Settings!$B$22="Loan"),AND('Month-End'!$O$10&lt;&gt;"",NOT(_xlfn.ISFORMULA('Month-End'!$O$10)))),IF(N('Month-End'!$O$10)&lt;0,1,0),0)+IF(AND(OR(Settings!$B$23="Card",Settings!$B$23="Loan"),AND('Month-End'!$O$11&lt;&gt;"",NOT(_xlfn.ISFORMULA('Month-End'!$O$11)))),IF(N('Month-End'!$O$11)&lt;0,1,0),0)+IF(AND(OR(Settings!$B$24="Card",Settings!$B$24="Loan"),AND('Month-End'!$O$12&lt;&gt;"",NOT(_xlfn.ISFORMULA('Month-End'!$O$12)))),IF(N('Month-End'!$O$12)&lt;0,1,0),0)+IF(AND(OR(Settings!$B$25="Card",Settings!$B$25="Loan"),AND('Month-End'!$O$13&lt;&gt;"",NOT(_xlfn.ISFORMULA('Month-End'!$O$13)))),IF(N('Month-End'!$O$13)&lt;0,1,0),0)+IF(AND(OR(Settings!$B$26="Card",Settings!$B$26="Loan"),AND('Month-End'!$O$14&lt;&gt;"",NOT(_xlfn.ISFORMULA('Month-End'!$O$14)))),IF(N('Month-End'!$O$14)&lt;0,1,0),0)+IF(AND(OR(Settings!$B$27="Card",Settings!$B$27="Loan"),AND('Month-End'!$O$15&lt;&gt;"",NOT(_xlfn.ISFORMULA('Month-End'!$O$15)))),IF(N('Month-End'!$O$15)&lt;0,1,0),0)+IF(AND(OR(Settings!$B$28="Card",Settings!$B$28="Loan"),AND('Month-End'!$O$16&lt;&gt;"",NOT(_xlfn.ISFORMULA('Month-End'!$O$16)))),IF(N('Month-End'!$O$16)&lt;0,1,0),0)+IF(AND(OR(Settings!$B$29="Card",Settings!$B$29="Loan"),AND('Month-End'!$O$17&lt;&gt;"",NOT(_xlfn.ISFORMULA('Month-End'!$O$17)))),IF(N('Month-End'!$O$17)&lt;0,1,0),0)+IF(AND(OR(Settings!$B$30="Card",Settings!$B$30="Loan"),AND('Month-End'!$O$18&lt;&gt;"",NOT(_xlfn.ISFORMULA('Month-End'!$O$18)))),IF(N('Month-End'!$O$18)&lt;0,1,0),0)+IF(AND(OR(Settings!$B$31="Card",Settings!$B$31="Loan"),AND('Month-End'!$O$19&lt;&gt;"",NOT(_xlfn.ISFORMULA('Month-End'!$O$19)))),IF(N('Month-End'!$O$19)&lt;0,1,0),0)+IF(AND(OR(Settings!$B$32="Card",Settings!$B$32="Loan"),AND('Month-End'!$O$20&lt;&gt;"",NOT(_xlfn.ISFORMULA('Month-End'!$O$20)))),IF(N('Month-End'!$O$20)&lt;0,1,0),0)</f>
        <v/>
      </c>
      <c r="DX18">
        <f>IF(Settings!$B$36="Retirement",$AY18,0)+IF(Settings!$B$37="Retirement",$AZ18,0)+IF(Settings!$B$38="Retirement",$BA18,0)+IF(Settings!$B$39="Retirement",$BB18,0)+IF(Settings!$B$40="Retirement",$BC18,0)+IF(Settings!$B$41="Retirement",$BD18,0)</f>
        <v/>
      </c>
      <c r="EA18" t="inlineStr">
        <is>
          <t>Tithe-able Income This Year</t>
        </is>
      </c>
      <c r="EB18">
        <f>SUMIFS($T$6:$T$183,$DO$6:$DO$183,YEAR(TODAY()))</f>
        <v/>
      </c>
      <c r="ET18">
        <f>IF($E18&lt;&gt;"open",0,IF(AND('Month-End'!$O$22&lt;&gt;"",NOT(_xlfn.ISFORMULA('Month-End'!$O$22))),0,IF(OR(Settings!$C$45="",Settings!$D$45=""),0,Settings!$C$45*IF(Settings!$D$45="Weekly",IF(IFERROR(MATCH(Settings!$E$45,$EO$4:$EO$10,0),0)=0,0,IF(MIN(Settings!$B$5,IF(Settings!$G$45="",Settings!$B$5,Settings!$G$45))&lt;MAX($A18,Settings!$F$45),0,INT((MIN(Settings!$B$5,IF(Settings!$G$45="",Settings!$B$5,Settings!$G$45))-MAX($A18,Settings!$F$45)-MOD(IFERROR(MATCH(Settings!$E$45,$EO$4:$EO$10,0),0)-WEEKDAY(MAX($A18,Settings!$F$45)),7))/7)+1)),IF(AND(IF(Settings!$E$45="",$B18,DATE(YEAR($A18),MONTH($A18),MIN(Settings!$E$45,DAY($B18))))&gt;=MAX($A18,Settings!$F$45),IF(Settings!$E$45="",$B18,DATE(YEAR($A18),MONTH($A18),MIN(Settings!$E$45,DAY($B18))))&lt;=MIN(Settings!$B$5,IF(Settings!$G$45="",Settings!$B$5,Settings!$G$45))),1,0)))))</f>
        <v/>
      </c>
      <c r="EU18">
        <f>IF($E18&lt;&gt;"open",0,IF(AND('Month-End'!$O$23&lt;&gt;"",NOT(_xlfn.ISFORMULA('Month-End'!$O$23))),0,IF(OR(Settings!$C$46="",Settings!$D$46=""),0,Settings!$C$46*IF(Settings!$D$46="Weekly",IF(IFERROR(MATCH(Settings!$E$46,$EO$4:$EO$10,0),0)=0,0,IF(MIN(Settings!$B$5,IF(Settings!$G$46="",Settings!$B$5,Settings!$G$46))&lt;MAX($A18,Settings!$F$46),0,INT((MIN(Settings!$B$5,IF(Settings!$G$46="",Settings!$B$5,Settings!$G$46))-MAX($A18,Settings!$F$46)-MOD(IFERROR(MATCH(Settings!$E$46,$EO$4:$EO$10,0),0)-WEEKDAY(MAX($A18,Settings!$F$46)),7))/7)+1)),IF(AND(IF(Settings!$E$46="",$B18,DATE(YEAR($A18),MONTH($A18),MIN(Settings!$E$46,DAY($B18))))&gt;=MAX($A18,Settings!$F$46),IF(Settings!$E$46="",$B18,DATE(YEAR($A18),MONTH($A18),MIN(Settings!$E$46,DAY($B18))))&lt;=MIN(Settings!$B$5,IF(Settings!$G$46="",Settings!$B$5,Settings!$G$46))),1,0)))))</f>
        <v/>
      </c>
      <c r="EV18">
        <f>IF($E18&lt;&gt;"open",0,IF(AND('Month-End'!$O$24&lt;&gt;"",NOT(_xlfn.ISFORMULA('Month-End'!$O$24))),0,IF(OR(Settings!$C$47="",Settings!$D$47=""),0,Settings!$C$47*IF(Settings!$D$47="Weekly",IF(IFERROR(MATCH(Settings!$E$47,$EO$4:$EO$10,0),0)=0,0,IF(MIN(Settings!$B$5,IF(Settings!$G$47="",Settings!$B$5,Settings!$G$47))&lt;MAX($A18,Settings!$F$47),0,INT((MIN(Settings!$B$5,IF(Settings!$G$47="",Settings!$B$5,Settings!$G$47))-MAX($A18,Settings!$F$47)-MOD(IFERROR(MATCH(Settings!$E$47,$EO$4:$EO$10,0),0)-WEEKDAY(MAX($A18,Settings!$F$47)),7))/7)+1)),IF(AND(IF(Settings!$E$47="",$B18,DATE(YEAR($A18),MONTH($A18),MIN(Settings!$E$47,DAY($B18))))&gt;=MAX($A18,Settings!$F$47),IF(Settings!$E$47="",$B18,DATE(YEAR($A18),MONTH($A18),MIN(Settings!$E$47,DAY($B18))))&lt;=MIN(Settings!$B$5,IF(Settings!$G$47="",Settings!$B$5,Settings!$G$47))),1,0)))))</f>
        <v/>
      </c>
      <c r="EW18">
        <f>IF($E18&lt;&gt;"open",0,IF(AND('Month-End'!$O$25&lt;&gt;"",NOT(_xlfn.ISFORMULA('Month-End'!$O$25))),0,IF(OR(Settings!$C$48="",Settings!$D$48=""),0,Settings!$C$48*IF(Settings!$D$48="Weekly",IF(IFERROR(MATCH(Settings!$E$48,$EO$4:$EO$10,0),0)=0,0,IF(MIN(Settings!$B$5,IF(Settings!$G$48="",Settings!$B$5,Settings!$G$48))&lt;MAX($A18,Settings!$F$48),0,INT((MIN(Settings!$B$5,IF(Settings!$G$48="",Settings!$B$5,Settings!$G$48))-MAX($A18,Settings!$F$48)-MOD(IFERROR(MATCH(Settings!$E$48,$EO$4:$EO$10,0),0)-WEEKDAY(MAX($A18,Settings!$F$48)),7))/7)+1)),IF(AND(IF(Settings!$E$48="",$B18,DATE(YEAR($A18),MONTH($A18),MIN(Settings!$E$48,DAY($B18))))&gt;=MAX($A18,Settings!$F$48),IF(Settings!$E$48="",$B18,DATE(YEAR($A18),MONTH($A18),MIN(Settings!$E$48,DAY($B18))))&lt;=MIN(Settings!$B$5,IF(Settings!$G$48="",Settings!$B$5,Settings!$G$48))),1,0)))))</f>
        <v/>
      </c>
      <c r="EX18">
        <f>IF($E18&lt;&gt;"open",0,IF(AND('Month-End'!$O$26&lt;&gt;"",NOT(_xlfn.ISFORMULA('Month-End'!$O$26))),0,IF(OR(Settings!$C$49="",Settings!$D$49=""),0,Settings!$C$49*IF(Settings!$D$49="Weekly",IF(IFERROR(MATCH(Settings!$E$49,$EO$4:$EO$10,0),0)=0,0,IF(MIN(Settings!$B$5,IF(Settings!$G$49="",Settings!$B$5,Settings!$G$49))&lt;MAX($A18,Settings!$F$49),0,INT((MIN(Settings!$B$5,IF(Settings!$G$49="",Settings!$B$5,Settings!$G$49))-MAX($A18,Settings!$F$49)-MOD(IFERROR(MATCH(Settings!$E$49,$EO$4:$EO$10,0),0)-WEEKDAY(MAX($A18,Settings!$F$49)),7))/7)+1)),IF(AND(IF(Settings!$E$49="",$B18,DATE(YEAR($A18),MONTH($A18),MIN(Settings!$E$49,DAY($B18))))&gt;=MAX($A18,Settings!$F$49),IF(Settings!$E$49="",$B18,DATE(YEAR($A18),MONTH($A18),MIN(Settings!$E$49,DAY($B18))))&lt;=MIN(Settings!$B$5,IF(Settings!$G$49="",Settings!$B$5,Settings!$G$49))),1,0)))))</f>
        <v/>
      </c>
      <c r="EY18">
        <f>IF($E18&lt;&gt;"open",0,IF(AND('Month-End'!$O$27&lt;&gt;"",NOT(_xlfn.ISFORMULA('Month-End'!$O$27))),0,IF(OR(Settings!$C$50="",Settings!$D$50=""),0,Settings!$C$50*IF(Settings!$D$50="Weekly",IF(IFERROR(MATCH(Settings!$E$50,$EO$4:$EO$10,0),0)=0,0,IF(MIN(Settings!$B$5,IF(Settings!$G$50="",Settings!$B$5,Settings!$G$50))&lt;MAX($A18,Settings!$F$50),0,INT((MIN(Settings!$B$5,IF(Settings!$G$50="",Settings!$B$5,Settings!$G$50))-MAX($A18,Settings!$F$50)-MOD(IFERROR(MATCH(Settings!$E$50,$EO$4:$EO$10,0),0)-WEEKDAY(MAX($A18,Settings!$F$50)),7))/7)+1)),IF(AND(IF(Settings!$E$50="",$B18,DATE(YEAR($A18),MONTH($A18),MIN(Settings!$E$50,DAY($B18))))&gt;=MAX($A18,Settings!$F$50),IF(Settings!$E$50="",$B18,DATE(YEAR($A18),MONTH($A18),MIN(Settings!$E$50,DAY($B18))))&lt;=MIN(Settings!$B$5,IF(Settings!$G$50="",Settings!$B$5,Settings!$G$50))),1,0)))))</f>
        <v/>
      </c>
      <c r="EZ18">
        <f>IF($E18&lt;&gt;"open",0,IF(AND('Month-End'!$O$28&lt;&gt;"",NOT(_xlfn.ISFORMULA('Month-End'!$O$28))),0,IF(OR(Settings!$C$51="",Settings!$D$51=""),0,Settings!$C$51*IF(Settings!$D$51="Weekly",IF(IFERROR(MATCH(Settings!$E$51,$EO$4:$EO$10,0),0)=0,0,IF(MIN(Settings!$B$5,IF(Settings!$G$51="",Settings!$B$5,Settings!$G$51))&lt;MAX($A18,Settings!$F$51),0,INT((MIN(Settings!$B$5,IF(Settings!$G$51="",Settings!$B$5,Settings!$G$51))-MAX($A18,Settings!$F$51)-MOD(IFERROR(MATCH(Settings!$E$51,$EO$4:$EO$10,0),0)-WEEKDAY(MAX($A18,Settings!$F$51)),7))/7)+1)),IF(AND(IF(Settings!$E$51="",$B18,DATE(YEAR($A18),MONTH($A18),MIN(Settings!$E$51,DAY($B18))))&gt;=MAX($A18,Settings!$F$51),IF(Settings!$E$51="",$B18,DATE(YEAR($A18),MONTH($A18),MIN(Settings!$E$51,DAY($B18))))&lt;=MIN(Settings!$B$5,IF(Settings!$G$51="",Settings!$B$5,Settings!$G$51))),1,0)))))</f>
        <v/>
      </c>
      <c r="FA18">
        <f>IF($E18&lt;&gt;"open",0,IF(AND('Month-End'!$O$29&lt;&gt;"",NOT(_xlfn.ISFORMULA('Month-End'!$O$29))),0,IF(OR(Settings!$C$52="",Settings!$D$52=""),0,Settings!$C$52*IF(Settings!$D$52="Weekly",IF(IFERROR(MATCH(Settings!$E$52,$EO$4:$EO$10,0),0)=0,0,IF(MIN(Settings!$B$5,IF(Settings!$G$52="",Settings!$B$5,Settings!$G$52))&lt;MAX($A18,Settings!$F$52),0,INT((MIN(Settings!$B$5,IF(Settings!$G$52="",Settings!$B$5,Settings!$G$52))-MAX($A18,Settings!$F$52)-MOD(IFERROR(MATCH(Settings!$E$52,$EO$4:$EO$10,0),0)-WEEKDAY(MAX($A18,Settings!$F$52)),7))/7)+1)),IF(AND(IF(Settings!$E$52="",$B18,DATE(YEAR($A18),MONTH($A18),MIN(Settings!$E$52,DAY($B18))))&gt;=MAX($A18,Settings!$F$52),IF(Settings!$E$52="",$B18,DATE(YEAR($A18),MONTH($A18),MIN(Settings!$E$52,DAY($B18))))&lt;=MIN(Settings!$B$5,IF(Settings!$G$52="",Settings!$B$5,Settings!$G$52))),1,0)))))</f>
        <v/>
      </c>
      <c r="FB18">
        <f>IF($E18&lt;&gt;"open",0,IF(AND('Month-End'!$O$30&lt;&gt;"",NOT(_xlfn.ISFORMULA('Month-End'!$O$30))),0,IF(OR(Settings!$C$53="",Settings!$D$53=""),0,Settings!$C$53*IF(Settings!$D$53="Weekly",IF(IFERROR(MATCH(Settings!$E$53,$EO$4:$EO$10,0),0)=0,0,IF(MIN(Settings!$B$5,IF(Settings!$G$53="",Settings!$B$5,Settings!$G$53))&lt;MAX($A18,Settings!$F$53),0,INT((MIN(Settings!$B$5,IF(Settings!$G$53="",Settings!$B$5,Settings!$G$53))-MAX($A18,Settings!$F$53)-MOD(IFERROR(MATCH(Settings!$E$53,$EO$4:$EO$10,0),0)-WEEKDAY(MAX($A18,Settings!$F$53)),7))/7)+1)),IF(AND(IF(Settings!$E$53="",$B18,DATE(YEAR($A18),MONTH($A18),MIN(Settings!$E$53,DAY($B18))))&gt;=MAX($A18,Settings!$F$53),IF(Settings!$E$53="",$B18,DATE(YEAR($A18),MONTH($A18),MIN(Settings!$E$53,DAY($B18))))&lt;=MIN(Settings!$B$5,IF(Settings!$G$53="",Settings!$B$5,Settings!$G$53))),1,0)))))</f>
        <v/>
      </c>
      <c r="FC18">
        <f>IF($E18&lt;&gt;"open",0,IF(AND('Month-End'!$O$31&lt;&gt;"",NOT(_xlfn.ISFORMULA('Month-End'!$O$31))),0,IF(OR(Settings!$C$54="",Settings!$D$54=""),0,Settings!$C$54*IF(Settings!$D$54="Weekly",IF(IFERROR(MATCH(Settings!$E$54,$EO$4:$EO$10,0),0)=0,0,IF(MIN(Settings!$B$5,IF(Settings!$G$54="",Settings!$B$5,Settings!$G$54))&lt;MAX($A18,Settings!$F$54),0,INT((MIN(Settings!$B$5,IF(Settings!$G$54="",Settings!$B$5,Settings!$G$54))-MAX($A18,Settings!$F$54)-MOD(IFERROR(MATCH(Settings!$E$54,$EO$4:$EO$10,0),0)-WEEKDAY(MAX($A18,Settings!$F$54)),7))/7)+1)),IF(AND(IF(Settings!$E$54="",$B18,DATE(YEAR($A18),MONTH($A18),MIN(Settings!$E$54,DAY($B18))))&gt;=MAX($A18,Settings!$F$54),IF(Settings!$E$54="",$B18,DATE(YEAR($A18),MONTH($A18),MIN(Settings!$E$54,DAY($B18))))&lt;=MIN(Settings!$B$5,IF(Settings!$G$54="",Settings!$B$5,Settings!$G$54))),1,0)))))</f>
        <v/>
      </c>
      <c r="FD18">
        <f>IF($E18&lt;&gt;"open",0,IF(AND('Month-End'!$O$32&lt;&gt;"",NOT(_xlfn.ISFORMULA('Month-End'!$O$32))),0,IF(OR(Settings!$C$55="",Settings!$D$55=""),0,Settings!$C$55*IF(Settings!$D$55="Weekly",IF(IFERROR(MATCH(Settings!$E$55,$EO$4:$EO$10,0),0)=0,0,IF(MIN(Settings!$B$5,IF(Settings!$G$55="",Settings!$B$5,Settings!$G$55))&lt;MAX($A18,Settings!$F$55),0,INT((MIN(Settings!$B$5,IF(Settings!$G$55="",Settings!$B$5,Settings!$G$55))-MAX($A18,Settings!$F$55)-MOD(IFERROR(MATCH(Settings!$E$55,$EO$4:$EO$10,0),0)-WEEKDAY(MAX($A18,Settings!$F$55)),7))/7)+1)),IF(AND(IF(Settings!$E$55="",$B18,DATE(YEAR($A18),MONTH($A18),MIN(Settings!$E$55,DAY($B18))))&gt;=MAX($A18,Settings!$F$55),IF(Settings!$E$55="",$B18,DATE(YEAR($A18),MONTH($A18),MIN(Settings!$E$55,DAY($B18))))&lt;=MIN(Settings!$B$5,IF(Settings!$G$55="",Settings!$B$5,Settings!$G$55))),1,0)))))</f>
        <v/>
      </c>
      <c r="FE18">
        <f>IF($E18&lt;&gt;"open",0,IF(AND('Month-End'!$O$33&lt;&gt;"",NOT(_xlfn.ISFORMULA('Month-End'!$O$33))),0,IF(OR(Settings!$C$56="",Settings!$D$56=""),0,Settings!$C$56*IF(Settings!$D$56="Weekly",IF(IFERROR(MATCH(Settings!$E$56,$EO$4:$EO$10,0),0)=0,0,IF(MIN(Settings!$B$5,IF(Settings!$G$56="",Settings!$B$5,Settings!$G$56))&lt;MAX($A18,Settings!$F$56),0,INT((MIN(Settings!$B$5,IF(Settings!$G$56="",Settings!$B$5,Settings!$G$56))-MAX($A18,Settings!$F$56)-MOD(IFERROR(MATCH(Settings!$E$56,$EO$4:$EO$10,0),0)-WEEKDAY(MAX($A18,Settings!$F$56)),7))/7)+1)),IF(AND(IF(Settings!$E$56="",$B18,DATE(YEAR($A18),MONTH($A18),MIN(Settings!$E$56,DAY($B18))))&gt;=MAX($A18,Settings!$F$56),IF(Settings!$E$56="",$B18,DATE(YEAR($A18),MONTH($A18),MIN(Settings!$E$56,DAY($B18))))&lt;=MIN(Settings!$B$5,IF(Settings!$G$56="",Settings!$B$5,Settings!$G$56))),1,0)))))</f>
        <v/>
      </c>
      <c r="FF18">
        <f>IF(Settings!$I$45="Yes",$G18,0)+IF(Settings!$I$46="Yes",$H18,0)+IF(Settings!$I$47="Yes",$I18,0)+IF(Settings!$I$48="Yes",$J18,0)+IF(Settings!$I$49="Yes",$K18,0)+IF(Settings!$I$50="Yes",$L18,0)+IF(Settings!$I$51="Yes",$M18,0)+IF(Settings!$I$52="Yes",$N18,0)+IF(Settings!$I$53="Yes",$O18,0)+IF(Settings!$I$54="Yes",$P18,0)+IF(Settings!$I$55="Yes",$Q18,0)+IF(Settings!$I$56="Yes",$R18,0)</f>
        <v/>
      </c>
      <c r="FG18">
        <f>IF(AND(Settings!$I$45="Yes",Settings!$J$45="No"),$G18,0)+IF(AND(Settings!$I$46="Yes",Settings!$J$46="No"),$H18,0)+IF(AND(Settings!$I$47="Yes",Settings!$J$47="No"),$I18,0)+IF(AND(Settings!$I$48="Yes",Settings!$J$48="No"),$J18,0)+IF(AND(Settings!$I$49="Yes",Settings!$J$49="No"),$K18,0)+IF(AND(Settings!$I$50="Yes",Settings!$J$50="No"),$L18,0)+IF(AND(Settings!$I$51="Yes",Settings!$J$51="No"),$M18,0)+IF(AND(Settings!$I$52="Yes",Settings!$J$52="No"),$N18,0)+IF(AND(Settings!$I$53="Yes",Settings!$J$53="No"),$O18,0)+IF(AND(Settings!$I$54="Yes",Settings!$J$54="No"),$P18,0)+IF(AND(Settings!$I$55="Yes",Settings!$J$55="No"),$Q18,0)+IF(AND(Settings!$I$56="Yes",Settings!$J$56="No"),$R18,0)</f>
        <v/>
      </c>
      <c r="FH18">
        <f>SUMIFS(Giving!$B$7:$B$2006,Giving!$A$7:$A$2006,"&gt;="&amp;$A18,Giving!$A$7:$A$2006,"&lt;="&amp;$B18,Giving!$G$7:$G$2006,"Yes")+IF(OR(OR(Settings!$B$60="",Settings!$F$60="No"),Settings!$H$60&lt;&gt;"Yes"),0,Settings!$B$60*IF(AND(IF(Settings!$C$60="",$B18,DATE(YEAR($A18),MONTH($A18),MIN(Settings!$C$60,DAY($B18))))&gt;=MAX($A18,Settings!$D$60),IF(Settings!$C$60="",$B18,DATE(YEAR($A18),MONTH($A18),MIN(Settings!$C$60,DAY($B18))))&lt;=MIN($C18,IF(Settings!$E$60="",$C18,Settings!$E$60))),1,0))+IF(OR(OR(Settings!$B$61="",Settings!$F$61="No"),Settings!$H$61&lt;&gt;"Yes"),0,Settings!$B$61*IF(AND(IF(Settings!$C$61="",$B18,DATE(YEAR($A18),MONTH($A18),MIN(Settings!$C$61,DAY($B18))))&gt;=MAX($A18,Settings!$D$61),IF(Settings!$C$61="",$B18,DATE(YEAR($A18),MONTH($A18),MIN(Settings!$C$61,DAY($B18))))&lt;=MIN($C18,IF(Settings!$E$61="",$C18,Settings!$E$61))),1,0))+IF(OR(OR(Settings!$B$62="",Settings!$F$62="No"),Settings!$H$62&lt;&gt;"Yes"),0,Settings!$B$62*IF(AND(IF(Settings!$C$62="",$B18,DATE(YEAR($A18),MONTH($A18),MIN(Settings!$C$62,DAY($B18))))&gt;=MAX($A18,Settings!$D$62),IF(Settings!$C$62="",$B18,DATE(YEAR($A18),MONTH($A18),MIN(Settings!$C$62,DAY($B18))))&lt;=MIN($C18,IF(Settings!$E$62="",$C18,Settings!$E$62))),1,0))+IF(OR(OR(Settings!$B$63="",Settings!$F$63="No"),Settings!$H$63&lt;&gt;"Yes"),0,Settings!$B$63*IF(AND(IF(Settings!$C$63="",$B18,DATE(YEAR($A18),MONTH($A18),MIN(Settings!$C$63,DAY($B18))))&gt;=MAX($A18,Settings!$D$63),IF(Settings!$C$63="",$B18,DATE(YEAR($A18),MONTH($A18),MIN(Settings!$C$63,DAY($B18))))&lt;=MIN($C18,IF(Settings!$E$63="",$C18,Settings!$E$63))),1,0))+IF(OR(OR(Settings!$B$64="",Settings!$F$64="No"),Settings!$H$64&lt;&gt;"Yes"),0,Settings!$B$64*IF(AND(IF(Settings!$C$64="",$B18,DATE(YEAR($A18),MONTH($A18),MIN(Settings!$C$64,DAY($B18))))&gt;=MAX($A18,Settings!$D$64),IF(Settings!$C$64="",$B18,DATE(YEAR($A18),MONTH($A18),MIN(Settings!$C$64,DAY($B18))))&lt;=MIN($C18,IF(Settings!$E$64="",$C18,Settings!$E$64))),1,0))+IF(OR(OR(Settings!$B$65="",Settings!$F$65="No"),Settings!$H$65&lt;&gt;"Yes"),0,Settings!$B$65*IF(AND(IF(Settings!$C$65="",$B18,DATE(YEAR($A18),MONTH($A18),MIN(Settings!$C$65,DAY($B18))))&gt;=MAX($A18,Settings!$D$65),IF(Settings!$C$65="",$B18,DATE(YEAR($A18),MONTH($A18),MIN(Settings!$C$65,DAY($B18))))&lt;=MIN($C18,IF(Settings!$E$65="",$C18,Settings!$E$65))),1,0))</f>
        <v/>
      </c>
      <c r="FI18">
        <f>IF($DT18=1,IF(OR(Settings!$B$19="Card",Settings!$B$19="Loan"),N($AE18),0)+IF(OR(Settings!$B$20="Card",Settings!$B$20="Loan"),N($AF18),0)+IF(OR(Settings!$B$21="Card",Settings!$B$21="Loan"),N($AG18),0)+IF(OR(Settings!$B$22="Card",Settings!$B$22="Loan"),N($AH18),0)+IF(OR(Settings!$B$23="Card",Settings!$B$23="Loan"),N($AI18),0)+IF(OR(Settings!$B$24="Card",Settings!$B$24="Loan"),N($AJ18),0)+IF(OR(Settings!$B$25="Card",Settings!$B$25="Loan"),N($AK18),0)+IF(OR(Settings!$B$26="Card",Settings!$B$26="Loan"),N($AL18),0)+IF(OR(Settings!$B$27="Card",Settings!$B$27="Loan"),N($AM18),0)+IF(OR(Settings!$B$28="Card",Settings!$B$28="Loan"),N($AN18),0)+IF(OR(Settings!$B$29="Card",Settings!$B$29="Loan"),N($AO18),0)+IF(OR(Settings!$B$30="Card",Settings!$B$30="Loan"),N($AP18),0)+IF(OR(Settings!$B$31="Card",Settings!$B$31="Loan"),N($AQ18),0)+IF(OR(Settings!$B$32="Card",Settings!$B$32="Loan"),N($AR18),0),"")</f>
        <v/>
      </c>
      <c r="FJ18">
        <f>IF($E18="open",$EB$65,IF($E18="post",IF($E17="pre",$EB$65,$FI17),""))</f>
        <v/>
      </c>
      <c r="FK18">
        <f>IF(AND($DT18=1,$DC18=1),IF(ROUND($FI18-$FJ18,2)&gt;0,1,0),0)</f>
        <v/>
      </c>
      <c r="FL18">
        <f>IF($FK18=1,$FL17+1,0)</f>
        <v/>
      </c>
    </row>
    <row r="19">
      <c r="A19">
        <f>'Month-End'!$P$4</f>
        <v/>
      </c>
      <c r="B19">
        <f>EOMONTH($A19,0)</f>
        <v/>
      </c>
      <c r="C19">
        <f>MIN($B19,TODAY())</f>
        <v/>
      </c>
      <c r="D19">
        <f>IF($A19&gt;TODAY(),1,0)</f>
        <v/>
      </c>
      <c r="E19">
        <f>IF($B19&lt;=Settings!$B$5,"pre",IF($A19&lt;=Settings!$B$5,"open","post"))</f>
        <v/>
      </c>
      <c r="G19">
        <f>IF('Month-End'!$P$22="",$BE19,N('Month-End'!$P$22))</f>
        <v/>
      </c>
      <c r="H19">
        <f>IF('Month-End'!$P$23="",$BF19,N('Month-End'!$P$23))</f>
        <v/>
      </c>
      <c r="I19">
        <f>IF('Month-End'!$P$24="",$BG19,N('Month-End'!$P$24))</f>
        <v/>
      </c>
      <c r="J19">
        <f>IF('Month-End'!$P$25="",$BH19,N('Month-End'!$P$25))</f>
        <v/>
      </c>
      <c r="K19">
        <f>IF('Month-End'!$P$26="",$BI19,N('Month-End'!$P$26))</f>
        <v/>
      </c>
      <c r="L19">
        <f>IF('Month-End'!$P$27="",$BJ19,N('Month-End'!$P$27))</f>
        <v/>
      </c>
      <c r="M19">
        <f>IF('Month-End'!$P$28="",$BK19,N('Month-End'!$P$28))</f>
        <v/>
      </c>
      <c r="N19">
        <f>IF('Month-End'!$P$29="",$BL19,N('Month-End'!$P$29))</f>
        <v/>
      </c>
      <c r="O19">
        <f>IF('Month-End'!$P$30="",$BM19,N('Month-End'!$P$30))</f>
        <v/>
      </c>
      <c r="P19">
        <f>IF('Month-End'!$P$31="",$BN19,N('Month-End'!$P$31))</f>
        <v/>
      </c>
      <c r="Q19">
        <f>IF('Month-End'!$P$32="",$BO19,N('Month-End'!$P$32))</f>
        <v/>
      </c>
      <c r="R19">
        <f>IF('Month-End'!$P$33="",$BP19,N('Month-End'!$P$33))</f>
        <v/>
      </c>
      <c r="S19">
        <f>$G19+$H19+$I19+$J19+$K19+$L19+$M19+$N19+$O19+$P19+$Q19+$R19</f>
        <v/>
      </c>
      <c r="T19">
        <f>IF($B19&lt;Settings!$B$6,0,IF(Settings!$B$45="Yes",$G19,0)+IF(Settings!$B$46="Yes",$H19,0)+IF(Settings!$B$47="Yes",$I19,0)+IF(Settings!$B$48="Yes",$J19,0)+IF(Settings!$B$49="Yes",$K19,0)+IF(Settings!$B$50="Yes",$L19,0)+IF(Settings!$B$51="Yes",$M19,0)+IF(Settings!$B$52="Yes",$N19,0)+IF(Settings!$B$53="Yes",$O19,0)+IF(Settings!$B$54="Yes",$P19,0)+IF(Settings!$B$55="Yes",$Q19,0)+IF(Settings!$B$56="Yes",$R19,0))</f>
        <v/>
      </c>
      <c r="U19">
        <f>IF(Settings!$B$45="Not Sure",$G19,0)+IF(Settings!$B$46="Not Sure",$H19,0)+IF(Settings!$B$47="Not Sure",$I19,0)+IF(Settings!$B$48="Not Sure",$J19,0)+IF(Settings!$B$49="Not Sure",$K19,0)+IF(Settings!$B$50="Not Sure",$L19,0)+IF(Settings!$B$51="Not Sure",$M19,0)+IF(Settings!$B$52="Not Sure",$N19,0)+IF(Settings!$B$53="Not Sure",$O19,0)+IF(Settings!$B$54="Not Sure",$P19,0)+IF(Settings!$B$55="Not Sure",$Q19,0)+IF(Settings!$B$56="Not Sure",$R19,0)</f>
        <v/>
      </c>
      <c r="V19">
        <f>IF($E19="open",SUM($ET19:$FE19)+N(Settings!$B$13),0)</f>
        <v/>
      </c>
      <c r="W19">
        <f>IF($E19="post",$S19,IF($E19="open",$S19-$V19,0))</f>
        <v/>
      </c>
      <c r="X19">
        <f>SUMIFS(Giving!$B$7:$B$2006,Giving!$A$7:$A$2006,"&gt;="&amp;$A19,Giving!$A$7:$A$2006,"&lt;="&amp;$B19,Giving!$E$7:$E$2006,"&lt;&gt;No")</f>
        <v/>
      </c>
      <c r="Y19">
        <f>SUMIFS(Giving!$B$7:$B$2006,Giving!$A$7:$A$2006,"&gt;="&amp;$A19,Giving!$A$7:$A$2006,"&lt;="&amp;$B19,Giving!$E$7:$E$2006,"No")</f>
        <v/>
      </c>
      <c r="Z19">
        <f>IF(OR(Settings!$B$60="",Settings!$F$60="No"),0,Settings!$B$60*IF(AND(IF(Settings!$C$60="",$B19,DATE(YEAR($A19),MONTH($A19),MIN(Settings!$C$60,DAY($B19))))&gt;=MAX($A19,Settings!$D$60),IF(Settings!$C$60="",$B19,DATE(YEAR($A19),MONTH($A19),MIN(Settings!$C$60,DAY($B19))))&lt;=MIN($C19,IF(Settings!$E$60="",$C19,Settings!$E$60))),1,0))+IF(OR(Settings!$B$61="",Settings!$F$61="No"),0,Settings!$B$61*IF(AND(IF(Settings!$C$61="",$B19,DATE(YEAR($A19),MONTH($A19),MIN(Settings!$C$61,DAY($B19))))&gt;=MAX($A19,Settings!$D$61),IF(Settings!$C$61="",$B19,DATE(YEAR($A19),MONTH($A19),MIN(Settings!$C$61,DAY($B19))))&lt;=MIN($C19,IF(Settings!$E$61="",$C19,Settings!$E$61))),1,0))+IF(OR(Settings!$B$62="",Settings!$F$62="No"),0,Settings!$B$62*IF(AND(IF(Settings!$C$62="",$B19,DATE(YEAR($A19),MONTH($A19),MIN(Settings!$C$62,DAY($B19))))&gt;=MAX($A19,Settings!$D$62),IF(Settings!$C$62="",$B19,DATE(YEAR($A19),MONTH($A19),MIN(Settings!$C$62,DAY($B19))))&lt;=MIN($C19,IF(Settings!$E$62="",$C19,Settings!$E$62))),1,0))+IF(OR(Settings!$B$63="",Settings!$F$63="No"),0,Settings!$B$63*IF(AND(IF(Settings!$C$63="",$B19,DATE(YEAR($A19),MONTH($A19),MIN(Settings!$C$63,DAY($B19))))&gt;=MAX($A19,Settings!$D$63),IF(Settings!$C$63="",$B19,DATE(YEAR($A19),MONTH($A19),MIN(Settings!$C$63,DAY($B19))))&lt;=MIN($C19,IF(Settings!$E$63="",$C19,Settings!$E$63))),1,0))+IF(OR(Settings!$B$64="",Settings!$F$64="No"),0,Settings!$B$64*IF(AND(IF(Settings!$C$64="",$B19,DATE(YEAR($A19),MONTH($A19),MIN(Settings!$C$64,DAY($B19))))&gt;=MAX($A19,Settings!$D$64),IF(Settings!$C$64="",$B19,DATE(YEAR($A19),MONTH($A19),MIN(Settings!$C$64,DAY($B19))))&lt;=MIN($C19,IF(Settings!$E$64="",$C19,Settings!$E$64))),1,0))+IF(OR(Settings!$B$65="",Settings!$F$65="No"),0,Settings!$B$65*IF(AND(IF(Settings!$C$65="",$B19,DATE(YEAR($A19),MONTH($A19),MIN(Settings!$C$65,DAY($B19))))&gt;=MAX($A19,Settings!$D$65),IF(Settings!$C$65="",$B19,DATE(YEAR($A19),MONTH($A19),MIN(Settings!$C$65,DAY($B19))))&lt;=MIN($C19,IF(Settings!$E$65="",$C19,Settings!$E$65))),1,0))</f>
        <v/>
      </c>
      <c r="AA19">
        <f>$X19+$Z19</f>
        <v/>
      </c>
      <c r="AB19">
        <f>IF($E19="post",$AA19,IF($E19="open",SUMIFS(Giving!$B$7:$B$2006,Giving!$A$7:$A$2006,"&gt;"&amp;Settings!$B$5,Giving!$A$7:$A$2006,"&lt;="&amp;$B19,Giving!$E$7:$E$2006,"&lt;&gt;No")+IF(OR(Settings!$B$60="",Settings!$F$60="No"),0,Settings!$B$60*IF(AND(IF(Settings!$C$60="",$B19,DATE(YEAR($A19),MONTH($A19),MIN(Settings!$C$60,DAY($B19))))&gt;=MAX($A19,Settings!$D$60,Settings!$B$5+1),IF(Settings!$C$60="",$B19,DATE(YEAR($A19),MONTH($A19),MIN(Settings!$C$60,DAY($B19))))&lt;=MIN($C19,IF(Settings!$E$60="",$C19,Settings!$E$60))),1,0))+IF(OR(Settings!$B$61="",Settings!$F$61="No"),0,Settings!$B$61*IF(AND(IF(Settings!$C$61="",$B19,DATE(YEAR($A19),MONTH($A19),MIN(Settings!$C$61,DAY($B19))))&gt;=MAX($A19,Settings!$D$61,Settings!$B$5+1),IF(Settings!$C$61="",$B19,DATE(YEAR($A19),MONTH($A19),MIN(Settings!$C$61,DAY($B19))))&lt;=MIN($C19,IF(Settings!$E$61="",$C19,Settings!$E$61))),1,0))+IF(OR(Settings!$B$62="",Settings!$F$62="No"),0,Settings!$B$62*IF(AND(IF(Settings!$C$62="",$B19,DATE(YEAR($A19),MONTH($A19),MIN(Settings!$C$62,DAY($B19))))&gt;=MAX($A19,Settings!$D$62,Settings!$B$5+1),IF(Settings!$C$62="",$B19,DATE(YEAR($A19),MONTH($A19),MIN(Settings!$C$62,DAY($B19))))&lt;=MIN($C19,IF(Settings!$E$62="",$C19,Settings!$E$62))),1,0))+IF(OR(Settings!$B$63="",Settings!$F$63="No"),0,Settings!$B$63*IF(AND(IF(Settings!$C$63="",$B19,DATE(YEAR($A19),MONTH($A19),MIN(Settings!$C$63,DAY($B19))))&gt;=MAX($A19,Settings!$D$63,Settings!$B$5+1),IF(Settings!$C$63="",$B19,DATE(YEAR($A19),MONTH($A19),MIN(Settings!$C$63,DAY($B19))))&lt;=MIN($C19,IF(Settings!$E$63="",$C19,Settings!$E$63))),1,0))+IF(OR(Settings!$B$64="",Settings!$F$64="No"),0,Settings!$B$64*IF(AND(IF(Settings!$C$64="",$B19,DATE(YEAR($A19),MONTH($A19),MIN(Settings!$C$64,DAY($B19))))&gt;=MAX($A19,Settings!$D$64,Settings!$B$5+1),IF(Settings!$C$64="",$B19,DATE(YEAR($A19),MONTH($A19),MIN(Settings!$C$64,DAY($B19))))&lt;=MIN($C19,IF(Settings!$E$64="",$C19,Settings!$E$64))),1,0))+IF(OR(Settings!$B$65="",Settings!$F$65="No"),0,Settings!$B$65*IF(AND(IF(Settings!$C$65="",$B19,DATE(YEAR($A19),MONTH($A19),MIN(Settings!$C$65,DAY($B19))))&gt;=MAX($A19,Settings!$D$65,Settings!$B$5+1),IF(Settings!$C$65="",$B19,DATE(YEAR($A19),MONTH($A19),MIN(Settings!$C$65,DAY($B19))))&lt;=MIN($C19,IF(Settings!$E$65="",$C19,Settings!$E$65))),1,0)),0))</f>
        <v/>
      </c>
      <c r="AC19">
        <f>$AY19+$AZ19+$BA19+$BB19+$BC19+$BD19</f>
        <v/>
      </c>
      <c r="AD19">
        <f>$AC19</f>
        <v/>
      </c>
      <c r="AE19">
        <f>IF(OR(Settings!$A$19="",$E19="pre"),"",IF(AND('Month-End'!$P$7&lt;&gt;"",NOT(_xlfn.ISFORMULA('Month-End'!$P$7))),N('Month-End'!$P$7),IF(OR($E19="open",$E18="pre"),N(Settings!$C$19),N($AE18))))</f>
        <v/>
      </c>
      <c r="AF19">
        <f>IF(OR(Settings!$A$20="",$E19="pre"),"",IF(AND('Month-End'!$P$8&lt;&gt;"",NOT(_xlfn.ISFORMULA('Month-End'!$P$8))),N('Month-End'!$P$8),IF(OR($E19="open",$E18="pre"),N(Settings!$C$20),N($AF18))))</f>
        <v/>
      </c>
      <c r="AG19">
        <f>IF(OR(Settings!$A$21="",$E19="pre"),"",IF(AND('Month-End'!$P$9&lt;&gt;"",NOT(_xlfn.ISFORMULA('Month-End'!$P$9))),N('Month-End'!$P$9),IF(OR($E19="open",$E18="pre"),N(Settings!$C$21),N($AG18))))</f>
        <v/>
      </c>
      <c r="AH19">
        <f>IF(OR(Settings!$A$22="",$E19="pre"),"",IF(AND('Month-End'!$P$10&lt;&gt;"",NOT(_xlfn.ISFORMULA('Month-End'!$P$10))),N('Month-End'!$P$10),IF(OR($E19="open",$E18="pre"),N(Settings!$C$22),N($AH18))))</f>
        <v/>
      </c>
      <c r="AI19">
        <f>IF(OR(Settings!$A$23="",$E19="pre"),"",IF(AND('Month-End'!$P$11&lt;&gt;"",NOT(_xlfn.ISFORMULA('Month-End'!$P$11))),N('Month-End'!$P$11),IF(OR($E19="open",$E18="pre"),N(Settings!$C$23),N($AI18))))</f>
        <v/>
      </c>
      <c r="AJ19">
        <f>IF(OR(Settings!$A$24="",$E19="pre"),"",IF(AND('Month-End'!$P$12&lt;&gt;"",NOT(_xlfn.ISFORMULA('Month-End'!$P$12))),N('Month-End'!$P$12),IF(OR($E19="open",$E18="pre"),N(Settings!$C$24),N($AJ18))))</f>
        <v/>
      </c>
      <c r="AK19">
        <f>IF(OR(Settings!$A$25="",$E19="pre"),"",IF(AND('Month-End'!$P$13&lt;&gt;"",NOT(_xlfn.ISFORMULA('Month-End'!$P$13))),N('Month-End'!$P$13),IF(OR($E19="open",$E18="pre"),N(Settings!$C$25),N($AK18))))</f>
        <v/>
      </c>
      <c r="AL19">
        <f>IF(OR(Settings!$A$26="",$E19="pre"),"",IF(AND('Month-End'!$P$14&lt;&gt;"",NOT(_xlfn.ISFORMULA('Month-End'!$P$14))),N('Month-End'!$P$14),IF(OR($E19="open",$E18="pre"),N(Settings!$C$26),N($AL18))))</f>
        <v/>
      </c>
      <c r="AM19">
        <f>IF(OR(Settings!$A$27="",$E19="pre"),"",IF(AND('Month-End'!$P$15&lt;&gt;"",NOT(_xlfn.ISFORMULA('Month-End'!$P$15))),N('Month-End'!$P$15),IF(OR($E19="open",$E18="pre"),N(Settings!$C$27),N($AM18))))</f>
        <v/>
      </c>
      <c r="AN19">
        <f>IF(OR(Settings!$A$28="",$E19="pre"),"",IF(AND('Month-End'!$P$16&lt;&gt;"",NOT(_xlfn.ISFORMULA('Month-End'!$P$16))),N('Month-End'!$P$16),IF(OR($E19="open",$E18="pre"),N(Settings!$C$28),N($AN18))))</f>
        <v/>
      </c>
      <c r="AO19">
        <f>IF(OR(Settings!$A$29="",$E19="pre"),"",IF(AND('Month-End'!$P$17&lt;&gt;"",NOT(_xlfn.ISFORMULA('Month-End'!$P$17))),N('Month-End'!$P$17),IF(OR($E19="open",$E18="pre"),N(Settings!$C$29),N($AO18))))</f>
        <v/>
      </c>
      <c r="AP19">
        <f>IF(OR(Settings!$A$30="",$E19="pre"),"",IF(AND('Month-End'!$P$18&lt;&gt;"",NOT(_xlfn.ISFORMULA('Month-End'!$P$18))),N('Month-End'!$P$18),IF(OR($E19="open",$E18="pre"),N(Settings!$C$30),N($AP18))))</f>
        <v/>
      </c>
      <c r="AQ19">
        <f>IF(OR(Settings!$A$31="",$E19="pre"),"",IF(AND('Month-End'!$P$19&lt;&gt;"",NOT(_xlfn.ISFORMULA('Month-End'!$P$19))),N('Month-End'!$P$19),IF(OR($E19="open",$E18="pre"),N(Settings!$C$31),N($AQ18))))</f>
        <v/>
      </c>
      <c r="AR19">
        <f>IF(OR(Settings!$A$32="",$E19="pre"),"",IF(AND('Month-End'!$P$20&lt;&gt;"",NOT(_xlfn.ISFORMULA('Month-End'!$P$20))),N('Month-End'!$P$20),IF(OR($E19="open",$E18="pre"),N(Settings!$C$32),N($AR18))))</f>
        <v/>
      </c>
      <c r="AS19">
        <f>IF(OR(Settings!$A$36="",$E19="pre"),"",IF(AND('Month-End'!$P$38&lt;&gt;"",NOT(_xlfn.ISFORMULA('Month-End'!$P$38))),N('Month-End'!$P$38),IF(OR($E19="open",$E18="pre"),N(Settings!$C$36),N($AS18))+$AY19))</f>
        <v/>
      </c>
      <c r="AT19">
        <f>IF(OR(Settings!$A$37="",$E19="pre"),"",IF(AND('Month-End'!$P$39&lt;&gt;"",NOT(_xlfn.ISFORMULA('Month-End'!$P$39))),N('Month-End'!$P$39),IF(OR($E19="open",$E18="pre"),N(Settings!$C$37),N($AT18))+$AZ19))</f>
        <v/>
      </c>
      <c r="AU19">
        <f>IF(OR(Settings!$A$38="",$E19="pre"),"",IF(AND('Month-End'!$P$40&lt;&gt;"",NOT(_xlfn.ISFORMULA('Month-End'!$P$40))),N('Month-End'!$P$40),IF(OR($E19="open",$E18="pre"),N(Settings!$C$38),N($AU18))+$BA19))</f>
        <v/>
      </c>
      <c r="AV19">
        <f>IF(OR(Settings!$A$39="",$E19="pre"),"",IF(AND('Month-End'!$P$41&lt;&gt;"",NOT(_xlfn.ISFORMULA('Month-End'!$P$41))),N('Month-End'!$P$41),IF(OR($E19="open",$E18="pre"),N(Settings!$C$39),N($AV18))+$BB19))</f>
        <v/>
      </c>
      <c r="AW19">
        <f>IF(OR(Settings!$A$40="",$E19="pre"),"",IF(AND('Month-End'!$P$42&lt;&gt;"",NOT(_xlfn.ISFORMULA('Month-End'!$P$42))),N('Month-End'!$P$42),IF(OR($E19="open",$E18="pre"),N(Settings!$C$40),N($AW18))+$BC19))</f>
        <v/>
      </c>
      <c r="AX19">
        <f>IF(OR(Settings!$A$41="",$E19="pre"),"",IF(AND('Month-End'!$P$43&lt;&gt;"",NOT(_xlfn.ISFORMULA('Month-End'!$P$43))),N('Month-End'!$P$43),IF(OR($E19="open",$E18="pre"),N(Settings!$C$41),N($AX18))+$BD19))</f>
        <v/>
      </c>
      <c r="AY19">
        <f>IF($E19="pre",0,N('Month-End'!$P$45))</f>
        <v/>
      </c>
      <c r="AZ19">
        <f>IF($E19="pre",0,N('Month-End'!$P$46))</f>
        <v/>
      </c>
      <c r="BA19">
        <f>IF($E19="pre",0,N('Month-End'!$P$47))</f>
        <v/>
      </c>
      <c r="BB19">
        <f>IF($E19="pre",0,N('Month-End'!$P$48))</f>
        <v/>
      </c>
      <c r="BC19">
        <f>IF($E19="pre",0,N('Month-End'!$P$49))</f>
        <v/>
      </c>
      <c r="BD19">
        <f>IF($E19="pre",0,N('Month-End'!$P$50))</f>
        <v/>
      </c>
      <c r="BE19">
        <f>IF(OR(Settings!$C$45="",Settings!$D$45=""),0,Settings!$C$45*IF(Settings!$D$45="Weekly",IF(IFERROR(MATCH(Settings!$E$45,$EO$4:$EO$10,0),0)=0,0,IF(MIN($C19,IF(Settings!$G$45="",$C19,Settings!$G$45))&lt;MAX($A19,Settings!$F$45),0,INT((MIN($C19,IF(Settings!$G$45="",$C19,Settings!$G$45))-MAX($A19,Settings!$F$45)-MOD(IFERROR(MATCH(Settings!$E$45,$EO$4:$EO$10,0),0)-WEEKDAY(MAX($A19,Settings!$F$45)),7))/7)+1)),IF(AND(IF(Settings!$E$45="",$B19,DATE(YEAR($A19),MONTH($A19),MIN(Settings!$E$45,DAY($B19))))&gt;=MAX($A19,Settings!$F$45),IF(Settings!$E$45="",$B19,DATE(YEAR($A19),MONTH($A19),MIN(Settings!$E$45,DAY($B19))))&lt;=MIN($C19,IF(Settings!$G$45="",$C19,Settings!$G$45))),1,0)))</f>
        <v/>
      </c>
      <c r="BF19">
        <f>IF(OR(Settings!$C$46="",Settings!$D$46=""),0,Settings!$C$46*IF(Settings!$D$46="Weekly",IF(IFERROR(MATCH(Settings!$E$46,$EO$4:$EO$10,0),0)=0,0,IF(MIN($C19,IF(Settings!$G$46="",$C19,Settings!$G$46))&lt;MAX($A19,Settings!$F$46),0,INT((MIN($C19,IF(Settings!$G$46="",$C19,Settings!$G$46))-MAX($A19,Settings!$F$46)-MOD(IFERROR(MATCH(Settings!$E$46,$EO$4:$EO$10,0),0)-WEEKDAY(MAX($A19,Settings!$F$46)),7))/7)+1)),IF(AND(IF(Settings!$E$46="",$B19,DATE(YEAR($A19),MONTH($A19),MIN(Settings!$E$46,DAY($B19))))&gt;=MAX($A19,Settings!$F$46),IF(Settings!$E$46="",$B19,DATE(YEAR($A19),MONTH($A19),MIN(Settings!$E$46,DAY($B19))))&lt;=MIN($C19,IF(Settings!$G$46="",$C19,Settings!$G$46))),1,0)))</f>
        <v/>
      </c>
      <c r="BG19">
        <f>IF(OR(Settings!$C$47="",Settings!$D$47=""),0,Settings!$C$47*IF(Settings!$D$47="Weekly",IF(IFERROR(MATCH(Settings!$E$47,$EO$4:$EO$10,0),0)=0,0,IF(MIN($C19,IF(Settings!$G$47="",$C19,Settings!$G$47))&lt;MAX($A19,Settings!$F$47),0,INT((MIN($C19,IF(Settings!$G$47="",$C19,Settings!$G$47))-MAX($A19,Settings!$F$47)-MOD(IFERROR(MATCH(Settings!$E$47,$EO$4:$EO$10,0),0)-WEEKDAY(MAX($A19,Settings!$F$47)),7))/7)+1)),IF(AND(IF(Settings!$E$47="",$B19,DATE(YEAR($A19),MONTH($A19),MIN(Settings!$E$47,DAY($B19))))&gt;=MAX($A19,Settings!$F$47),IF(Settings!$E$47="",$B19,DATE(YEAR($A19),MONTH($A19),MIN(Settings!$E$47,DAY($B19))))&lt;=MIN($C19,IF(Settings!$G$47="",$C19,Settings!$G$47))),1,0)))</f>
        <v/>
      </c>
      <c r="BH19">
        <f>IF(OR(Settings!$C$48="",Settings!$D$48=""),0,Settings!$C$48*IF(Settings!$D$48="Weekly",IF(IFERROR(MATCH(Settings!$E$48,$EO$4:$EO$10,0),0)=0,0,IF(MIN($C19,IF(Settings!$G$48="",$C19,Settings!$G$48))&lt;MAX($A19,Settings!$F$48),0,INT((MIN($C19,IF(Settings!$G$48="",$C19,Settings!$G$48))-MAX($A19,Settings!$F$48)-MOD(IFERROR(MATCH(Settings!$E$48,$EO$4:$EO$10,0),0)-WEEKDAY(MAX($A19,Settings!$F$48)),7))/7)+1)),IF(AND(IF(Settings!$E$48="",$B19,DATE(YEAR($A19),MONTH($A19),MIN(Settings!$E$48,DAY($B19))))&gt;=MAX($A19,Settings!$F$48),IF(Settings!$E$48="",$B19,DATE(YEAR($A19),MONTH($A19),MIN(Settings!$E$48,DAY($B19))))&lt;=MIN($C19,IF(Settings!$G$48="",$C19,Settings!$G$48))),1,0)))</f>
        <v/>
      </c>
      <c r="BI19">
        <f>IF(OR(Settings!$C$49="",Settings!$D$49=""),0,Settings!$C$49*IF(Settings!$D$49="Weekly",IF(IFERROR(MATCH(Settings!$E$49,$EO$4:$EO$10,0),0)=0,0,IF(MIN($C19,IF(Settings!$G$49="",$C19,Settings!$G$49))&lt;MAX($A19,Settings!$F$49),0,INT((MIN($C19,IF(Settings!$G$49="",$C19,Settings!$G$49))-MAX($A19,Settings!$F$49)-MOD(IFERROR(MATCH(Settings!$E$49,$EO$4:$EO$10,0),0)-WEEKDAY(MAX($A19,Settings!$F$49)),7))/7)+1)),IF(AND(IF(Settings!$E$49="",$B19,DATE(YEAR($A19),MONTH($A19),MIN(Settings!$E$49,DAY($B19))))&gt;=MAX($A19,Settings!$F$49),IF(Settings!$E$49="",$B19,DATE(YEAR($A19),MONTH($A19),MIN(Settings!$E$49,DAY($B19))))&lt;=MIN($C19,IF(Settings!$G$49="",$C19,Settings!$G$49))),1,0)))</f>
        <v/>
      </c>
      <c r="BJ19">
        <f>IF(OR(Settings!$C$50="",Settings!$D$50=""),0,Settings!$C$50*IF(Settings!$D$50="Weekly",IF(IFERROR(MATCH(Settings!$E$50,$EO$4:$EO$10,0),0)=0,0,IF(MIN($C19,IF(Settings!$G$50="",$C19,Settings!$G$50))&lt;MAX($A19,Settings!$F$50),0,INT((MIN($C19,IF(Settings!$G$50="",$C19,Settings!$G$50))-MAX($A19,Settings!$F$50)-MOD(IFERROR(MATCH(Settings!$E$50,$EO$4:$EO$10,0),0)-WEEKDAY(MAX($A19,Settings!$F$50)),7))/7)+1)),IF(AND(IF(Settings!$E$50="",$B19,DATE(YEAR($A19),MONTH($A19),MIN(Settings!$E$50,DAY($B19))))&gt;=MAX($A19,Settings!$F$50),IF(Settings!$E$50="",$B19,DATE(YEAR($A19),MONTH($A19),MIN(Settings!$E$50,DAY($B19))))&lt;=MIN($C19,IF(Settings!$G$50="",$C19,Settings!$G$50))),1,0)))</f>
        <v/>
      </c>
      <c r="BK19">
        <f>IF(OR(Settings!$C$51="",Settings!$D$51=""),0,Settings!$C$51*IF(Settings!$D$51="Weekly",IF(IFERROR(MATCH(Settings!$E$51,$EO$4:$EO$10,0),0)=0,0,IF(MIN($C19,IF(Settings!$G$51="",$C19,Settings!$G$51))&lt;MAX($A19,Settings!$F$51),0,INT((MIN($C19,IF(Settings!$G$51="",$C19,Settings!$G$51))-MAX($A19,Settings!$F$51)-MOD(IFERROR(MATCH(Settings!$E$51,$EO$4:$EO$10,0),0)-WEEKDAY(MAX($A19,Settings!$F$51)),7))/7)+1)),IF(AND(IF(Settings!$E$51="",$B19,DATE(YEAR($A19),MONTH($A19),MIN(Settings!$E$51,DAY($B19))))&gt;=MAX($A19,Settings!$F$51),IF(Settings!$E$51="",$B19,DATE(YEAR($A19),MONTH($A19),MIN(Settings!$E$51,DAY($B19))))&lt;=MIN($C19,IF(Settings!$G$51="",$C19,Settings!$G$51))),1,0)))</f>
        <v/>
      </c>
      <c r="BL19">
        <f>IF(OR(Settings!$C$52="",Settings!$D$52=""),0,Settings!$C$52*IF(Settings!$D$52="Weekly",IF(IFERROR(MATCH(Settings!$E$52,$EO$4:$EO$10,0),0)=0,0,IF(MIN($C19,IF(Settings!$G$52="",$C19,Settings!$G$52))&lt;MAX($A19,Settings!$F$52),0,INT((MIN($C19,IF(Settings!$G$52="",$C19,Settings!$G$52))-MAX($A19,Settings!$F$52)-MOD(IFERROR(MATCH(Settings!$E$52,$EO$4:$EO$10,0),0)-WEEKDAY(MAX($A19,Settings!$F$52)),7))/7)+1)),IF(AND(IF(Settings!$E$52="",$B19,DATE(YEAR($A19),MONTH($A19),MIN(Settings!$E$52,DAY($B19))))&gt;=MAX($A19,Settings!$F$52),IF(Settings!$E$52="",$B19,DATE(YEAR($A19),MONTH($A19),MIN(Settings!$E$52,DAY($B19))))&lt;=MIN($C19,IF(Settings!$G$52="",$C19,Settings!$G$52))),1,0)))</f>
        <v/>
      </c>
      <c r="BM19">
        <f>IF(OR(Settings!$C$53="",Settings!$D$53=""),0,Settings!$C$53*IF(Settings!$D$53="Weekly",IF(IFERROR(MATCH(Settings!$E$53,$EO$4:$EO$10,0),0)=0,0,IF(MIN($C19,IF(Settings!$G$53="",$C19,Settings!$G$53))&lt;MAX($A19,Settings!$F$53),0,INT((MIN($C19,IF(Settings!$G$53="",$C19,Settings!$G$53))-MAX($A19,Settings!$F$53)-MOD(IFERROR(MATCH(Settings!$E$53,$EO$4:$EO$10,0),0)-WEEKDAY(MAX($A19,Settings!$F$53)),7))/7)+1)),IF(AND(IF(Settings!$E$53="",$B19,DATE(YEAR($A19),MONTH($A19),MIN(Settings!$E$53,DAY($B19))))&gt;=MAX($A19,Settings!$F$53),IF(Settings!$E$53="",$B19,DATE(YEAR($A19),MONTH($A19),MIN(Settings!$E$53,DAY($B19))))&lt;=MIN($C19,IF(Settings!$G$53="",$C19,Settings!$G$53))),1,0)))</f>
        <v/>
      </c>
      <c r="BN19">
        <f>IF(OR(Settings!$C$54="",Settings!$D$54=""),0,Settings!$C$54*IF(Settings!$D$54="Weekly",IF(IFERROR(MATCH(Settings!$E$54,$EO$4:$EO$10,0),0)=0,0,IF(MIN($C19,IF(Settings!$G$54="",$C19,Settings!$G$54))&lt;MAX($A19,Settings!$F$54),0,INT((MIN($C19,IF(Settings!$G$54="",$C19,Settings!$G$54))-MAX($A19,Settings!$F$54)-MOD(IFERROR(MATCH(Settings!$E$54,$EO$4:$EO$10,0),0)-WEEKDAY(MAX($A19,Settings!$F$54)),7))/7)+1)),IF(AND(IF(Settings!$E$54="",$B19,DATE(YEAR($A19),MONTH($A19),MIN(Settings!$E$54,DAY($B19))))&gt;=MAX($A19,Settings!$F$54),IF(Settings!$E$54="",$B19,DATE(YEAR($A19),MONTH($A19),MIN(Settings!$E$54,DAY($B19))))&lt;=MIN($C19,IF(Settings!$G$54="",$C19,Settings!$G$54))),1,0)))</f>
        <v/>
      </c>
      <c r="BO19">
        <f>IF(OR(Settings!$C$55="",Settings!$D$55=""),0,Settings!$C$55*IF(Settings!$D$55="Weekly",IF(IFERROR(MATCH(Settings!$E$55,$EO$4:$EO$10,0),0)=0,0,IF(MIN($C19,IF(Settings!$G$55="",$C19,Settings!$G$55))&lt;MAX($A19,Settings!$F$55),0,INT((MIN($C19,IF(Settings!$G$55="",$C19,Settings!$G$55))-MAX($A19,Settings!$F$55)-MOD(IFERROR(MATCH(Settings!$E$55,$EO$4:$EO$10,0),0)-WEEKDAY(MAX($A19,Settings!$F$55)),7))/7)+1)),IF(AND(IF(Settings!$E$55="",$B19,DATE(YEAR($A19),MONTH($A19),MIN(Settings!$E$55,DAY($B19))))&gt;=MAX($A19,Settings!$F$55),IF(Settings!$E$55="",$B19,DATE(YEAR($A19),MONTH($A19),MIN(Settings!$E$55,DAY($B19))))&lt;=MIN($C19,IF(Settings!$G$55="",$C19,Settings!$G$55))),1,0)))</f>
        <v/>
      </c>
      <c r="BP19">
        <f>IF(OR(Settings!$C$56="",Settings!$D$56=""),0,Settings!$C$56*IF(Settings!$D$56="Weekly",IF(IFERROR(MATCH(Settings!$E$56,$EO$4:$EO$10,0),0)=0,0,IF(MIN($C19,IF(Settings!$G$56="",$C19,Settings!$G$56))&lt;MAX($A19,Settings!$F$56),0,INT((MIN($C19,IF(Settings!$G$56="",$C19,Settings!$G$56))-MAX($A19,Settings!$F$56)-MOD(IFERROR(MATCH(Settings!$E$56,$EO$4:$EO$10,0),0)-WEEKDAY(MAX($A19,Settings!$F$56)),7))/7)+1)),IF(AND(IF(Settings!$E$56="",$B19,DATE(YEAR($A19),MONTH($A19),MIN(Settings!$E$56,DAY($B19))))&gt;=MAX($A19,Settings!$F$56),IF(Settings!$E$56="",$B19,DATE(YEAR($A19),MONTH($A19),MIN(Settings!$E$56,DAY($B19))))&lt;=MIN($C19,IF(Settings!$G$56="",$C19,Settings!$G$56))),1,0)))</f>
        <v/>
      </c>
      <c r="BQ19">
        <f>IF(OR(Settings!$B$14="",$D19=1,$E19="pre",$A19&lt;IF(Settings!$B$15="",0,Settings!$B$15)),0,Settings!$B$14)</f>
        <v/>
      </c>
      <c r="BR19">
        <f>IF(AND('Month-End'!$P$7&lt;&gt;"",NOT(_xlfn.ISFORMULA('Month-End'!$P$7))),1,0)</f>
        <v/>
      </c>
      <c r="BS19">
        <f>IF(AND('Month-End'!$P$8&lt;&gt;"",NOT(_xlfn.ISFORMULA('Month-End'!$P$8))),1,0)</f>
        <v/>
      </c>
      <c r="BT19">
        <f>IF(AND('Month-End'!$P$9&lt;&gt;"",NOT(_xlfn.ISFORMULA('Month-End'!$P$9))),1,0)</f>
        <v/>
      </c>
      <c r="BU19">
        <f>IF(AND('Month-End'!$P$10&lt;&gt;"",NOT(_xlfn.ISFORMULA('Month-End'!$P$10))),1,0)</f>
        <v/>
      </c>
      <c r="BV19">
        <f>IF(AND('Month-End'!$P$11&lt;&gt;"",NOT(_xlfn.ISFORMULA('Month-End'!$P$11))),1,0)</f>
        <v/>
      </c>
      <c r="BW19">
        <f>IF(AND('Month-End'!$P$12&lt;&gt;"",NOT(_xlfn.ISFORMULA('Month-End'!$P$12))),1,0)</f>
        <v/>
      </c>
      <c r="BX19">
        <f>IF(AND('Month-End'!$P$13&lt;&gt;"",NOT(_xlfn.ISFORMULA('Month-End'!$P$13))),1,0)</f>
        <v/>
      </c>
      <c r="BY19">
        <f>IF(AND('Month-End'!$P$14&lt;&gt;"",NOT(_xlfn.ISFORMULA('Month-End'!$P$14))),1,0)</f>
        <v/>
      </c>
      <c r="BZ19">
        <f>IF(AND('Month-End'!$P$15&lt;&gt;"",NOT(_xlfn.ISFORMULA('Month-End'!$P$15))),1,0)</f>
        <v/>
      </c>
      <c r="CA19">
        <f>IF(AND('Month-End'!$P$16&lt;&gt;"",NOT(_xlfn.ISFORMULA('Month-End'!$P$16))),1,0)</f>
        <v/>
      </c>
      <c r="CB19">
        <f>IF(AND('Month-End'!$P$17&lt;&gt;"",NOT(_xlfn.ISFORMULA('Month-End'!$P$17))),1,0)</f>
        <v/>
      </c>
      <c r="CC19">
        <f>IF(AND('Month-End'!$P$18&lt;&gt;"",NOT(_xlfn.ISFORMULA('Month-End'!$P$18))),1,0)</f>
        <v/>
      </c>
      <c r="CD19">
        <f>IF(AND('Month-End'!$P$19&lt;&gt;"",NOT(_xlfn.ISFORMULA('Month-End'!$P$19))),1,0)</f>
        <v/>
      </c>
      <c r="CE19">
        <f>IF(AND('Month-End'!$P$20&lt;&gt;"",NOT(_xlfn.ISFORMULA('Month-End'!$P$20))),1,0)</f>
        <v/>
      </c>
      <c r="CF19">
        <f>IF(AND('Month-End'!$P$38&lt;&gt;"",NOT(_xlfn.ISFORMULA('Month-End'!$P$38))),1,0)</f>
        <v/>
      </c>
      <c r="CG19">
        <f>IF(AND('Month-End'!$P$39&lt;&gt;"",NOT(_xlfn.ISFORMULA('Month-End'!$P$39))),1,0)</f>
        <v/>
      </c>
      <c r="CH19">
        <f>IF(AND('Month-End'!$P$40&lt;&gt;"",NOT(_xlfn.ISFORMULA('Month-End'!$P$40))),1,0)</f>
        <v/>
      </c>
      <c r="CI19">
        <f>IF(AND('Month-End'!$P$41&lt;&gt;"",NOT(_xlfn.ISFORMULA('Month-End'!$P$41))),1,0)</f>
        <v/>
      </c>
      <c r="CJ19">
        <f>IF(AND('Month-End'!$P$42&lt;&gt;"",NOT(_xlfn.ISFORMULA('Month-End'!$P$42))),1,0)</f>
        <v/>
      </c>
      <c r="CK19">
        <f>IF(AND('Month-End'!$P$43&lt;&gt;"",NOT(_xlfn.ISFORMULA('Month-End'!$P$43))),1,0)</f>
        <v/>
      </c>
      <c r="CL19">
        <f>SUM($CM19:$CZ19)</f>
        <v/>
      </c>
      <c r="CM19">
        <f>IF(AND($E19&lt;&gt;"pre",AND(Settings!$A$19&lt;&gt;"",Settings!$E$19&lt;&gt;"No"),Settings!$F$19="Yes",NOT(AND('Month-End'!$P$7&lt;&gt;"",NOT(_xlfn.ISFORMULA('Month-End'!$P$7))))),1,0)</f>
        <v/>
      </c>
      <c r="CN19">
        <f>IF(AND($E19&lt;&gt;"pre",AND(Settings!$A$20&lt;&gt;"",Settings!$E$20&lt;&gt;"No"),Settings!$F$20="Yes",NOT(AND('Month-End'!$P$8&lt;&gt;"",NOT(_xlfn.ISFORMULA('Month-End'!$P$8))))),1,0)</f>
        <v/>
      </c>
      <c r="CO19">
        <f>IF(AND($E19&lt;&gt;"pre",AND(Settings!$A$21&lt;&gt;"",Settings!$E$21&lt;&gt;"No"),Settings!$F$21="Yes",NOT(AND('Month-End'!$P$9&lt;&gt;"",NOT(_xlfn.ISFORMULA('Month-End'!$P$9))))),1,0)</f>
        <v/>
      </c>
      <c r="CP19">
        <f>IF(AND($E19&lt;&gt;"pre",AND(Settings!$A$22&lt;&gt;"",Settings!$E$22&lt;&gt;"No"),Settings!$F$22="Yes",NOT(AND('Month-End'!$P$10&lt;&gt;"",NOT(_xlfn.ISFORMULA('Month-End'!$P$10))))),1,0)</f>
        <v/>
      </c>
      <c r="CQ19">
        <f>IF(AND($E19&lt;&gt;"pre",AND(Settings!$A$23&lt;&gt;"",Settings!$E$23&lt;&gt;"No"),Settings!$F$23="Yes",NOT(AND('Month-End'!$P$11&lt;&gt;"",NOT(_xlfn.ISFORMULA('Month-End'!$P$11))))),1,0)</f>
        <v/>
      </c>
      <c r="CR19">
        <f>IF(AND($E19&lt;&gt;"pre",AND(Settings!$A$24&lt;&gt;"",Settings!$E$24&lt;&gt;"No"),Settings!$F$24="Yes",NOT(AND('Month-End'!$P$12&lt;&gt;"",NOT(_xlfn.ISFORMULA('Month-End'!$P$12))))),1,0)</f>
        <v/>
      </c>
      <c r="CS19">
        <f>IF(AND($E19&lt;&gt;"pre",AND(Settings!$A$25&lt;&gt;"",Settings!$E$25&lt;&gt;"No"),Settings!$F$25="Yes",NOT(AND('Month-End'!$P$13&lt;&gt;"",NOT(_xlfn.ISFORMULA('Month-End'!$P$13))))),1,0)</f>
        <v/>
      </c>
      <c r="CT19">
        <f>IF(AND($E19&lt;&gt;"pre",AND(Settings!$A$26&lt;&gt;"",Settings!$E$26&lt;&gt;"No"),Settings!$F$26="Yes",NOT(AND('Month-End'!$P$14&lt;&gt;"",NOT(_xlfn.ISFORMULA('Month-End'!$P$14))))),1,0)</f>
        <v/>
      </c>
      <c r="CU19">
        <f>IF(AND($E19&lt;&gt;"pre",AND(Settings!$A$27&lt;&gt;"",Settings!$E$27&lt;&gt;"No"),Settings!$F$27="Yes",NOT(AND('Month-End'!$P$15&lt;&gt;"",NOT(_xlfn.ISFORMULA('Month-End'!$P$15))))),1,0)</f>
        <v/>
      </c>
      <c r="CV19">
        <f>IF(AND($E19&lt;&gt;"pre",AND(Settings!$A$28&lt;&gt;"",Settings!$E$28&lt;&gt;"No"),Settings!$F$28="Yes",NOT(AND('Month-End'!$P$16&lt;&gt;"",NOT(_xlfn.ISFORMULA('Month-End'!$P$16))))),1,0)</f>
        <v/>
      </c>
      <c r="CW19">
        <f>IF(AND($E19&lt;&gt;"pre",AND(Settings!$A$29&lt;&gt;"",Settings!$E$29&lt;&gt;"No"),Settings!$F$29="Yes",NOT(AND('Month-End'!$P$17&lt;&gt;"",NOT(_xlfn.ISFORMULA('Month-End'!$P$17))))),1,0)</f>
        <v/>
      </c>
      <c r="CX19">
        <f>IF(AND($E19&lt;&gt;"pre",AND(Settings!$A$30&lt;&gt;"",Settings!$E$30&lt;&gt;"No"),Settings!$F$30="Yes",NOT(AND('Month-End'!$P$18&lt;&gt;"",NOT(_xlfn.ISFORMULA('Month-End'!$P$18))))),1,0)</f>
        <v/>
      </c>
      <c r="CY19">
        <f>IF(AND($E19&lt;&gt;"pre",AND(Settings!$A$31&lt;&gt;"",Settings!$E$31&lt;&gt;"No"),Settings!$F$31="Yes",NOT(AND('Month-End'!$P$19&lt;&gt;"",NOT(_xlfn.ISFORMULA('Month-End'!$P$19))))),1,0)</f>
        <v/>
      </c>
      <c r="CZ19">
        <f>IF(AND($E19&lt;&gt;"pre",AND(Settings!$A$32&lt;&gt;"",Settings!$E$32&lt;&gt;"No"),Settings!$F$32="Yes",NOT(AND('Month-End'!$P$20&lt;&gt;"",NOT(_xlfn.ISFORMULA('Month-End'!$P$20))))),1,0)</f>
        <v/>
      </c>
      <c r="DA19">
        <f>IF($DT19=1,IF(OR(Settings!$B$19="Checking",Settings!$B$19="Savings",Settings!$B$19="Cash"),N($AE19),IF(OR(Settings!$B$19="Card",Settings!$B$19="Loan"),-N($AE19),0))+IF(OR(Settings!$B$20="Checking",Settings!$B$20="Savings",Settings!$B$20="Cash"),N($AF19),IF(OR(Settings!$B$20="Card",Settings!$B$20="Loan"),-N($AF19),0))+IF(OR(Settings!$B$21="Checking",Settings!$B$21="Savings",Settings!$B$21="Cash"),N($AG19),IF(OR(Settings!$B$21="Card",Settings!$B$21="Loan"),-N($AG19),0))+IF(OR(Settings!$B$22="Checking",Settings!$B$22="Savings",Settings!$B$22="Cash"),N($AH19),IF(OR(Settings!$B$22="Card",Settings!$B$22="Loan"),-N($AH19),0))+IF(OR(Settings!$B$23="Checking",Settings!$B$23="Savings",Settings!$B$23="Cash"),N($AI19),IF(OR(Settings!$B$23="Card",Settings!$B$23="Loan"),-N($AI19),0))+IF(OR(Settings!$B$24="Checking",Settings!$B$24="Savings",Settings!$B$24="Cash"),N($AJ19),IF(OR(Settings!$B$24="Card",Settings!$B$24="Loan"),-N($AJ19),0))+IF(OR(Settings!$B$25="Checking",Settings!$B$25="Savings",Settings!$B$25="Cash"),N($AK19),IF(OR(Settings!$B$25="Card",Settings!$B$25="Loan"),-N($AK19),0))+IF(OR(Settings!$B$26="Checking",Settings!$B$26="Savings",Settings!$B$26="Cash"),N($AL19),IF(OR(Settings!$B$26="Card",Settings!$B$26="Loan"),-N($AL19),0))+IF(OR(Settings!$B$27="Checking",Settings!$B$27="Savings",Settings!$B$27="Cash"),N($AM19),IF(OR(Settings!$B$27="Card",Settings!$B$27="Loan"),-N($AM19),0))+IF(OR(Settings!$B$28="Checking",Settings!$B$28="Savings",Settings!$B$28="Cash"),N($AN19),IF(OR(Settings!$B$28="Card",Settings!$B$28="Loan"),-N($AN19),0))+IF(OR(Settings!$B$29="Checking",Settings!$B$29="Savings",Settings!$B$29="Cash"),N($AO19),IF(OR(Settings!$B$29="Card",Settings!$B$29="Loan"),-N($AO19),0))+IF(OR(Settings!$B$30="Checking",Settings!$B$30="Savings",Settings!$B$30="Cash"),N($AP19),IF(OR(Settings!$B$30="Card",Settings!$B$30="Loan"),-N($AP19),0))+IF(OR(Settings!$B$31="Checking",Settings!$B$31="Savings",Settings!$B$31="Cash"),N($AQ19),IF(OR(Settings!$B$31="Card",Settings!$B$31="Loan"),-N($AQ19),0))+IF(OR(Settings!$B$32="Checking",Settings!$B$32="Savings",Settings!$B$32="Cash"),N($AR19),IF(OR(Settings!$B$32="Card",Settings!$B$32="Loan"),-N($AR19),0)),"")</f>
        <v/>
      </c>
      <c r="DB19">
        <f>IF($E19="open",$EB$27,IF($E19="post",IF($E18="pre",$EB$27,$DA18),""))</f>
        <v/>
      </c>
      <c r="DC19">
        <f>IF($E19="open",1,IF($E19="post",IF($E18="pre",1,$DT18),0))</f>
        <v/>
      </c>
      <c r="DD19">
        <f>IF(AND($DT19=1,$DC19=1),ROUND($W19-($DA19-$DB19)-$AD19-$AB19,2),"")</f>
        <v/>
      </c>
      <c r="DE19">
        <f>IF('Month-End'!$P$35="",$BQ19,N('Month-End'!$P$35))</f>
        <v/>
      </c>
      <c r="DF19">
        <f>N('Month-End'!$P$36)</f>
        <v/>
      </c>
      <c r="DG19">
        <f>IF($DD19="","",$DD19+$DE19)</f>
        <v/>
      </c>
      <c r="DH19">
        <f>IF($DG19="","",$DG19-$DF19)</f>
        <v/>
      </c>
      <c r="DI19">
        <f>IF(OR($E19="pre",$D19=1),"",N($AS19)+N($AT19)+N($AU19)+N($AV19)+N($AW19)+N($AX19))</f>
        <v/>
      </c>
      <c r="DJ19">
        <f>IF($DT19=1,$DA19+N($DI19),"")</f>
        <v/>
      </c>
      <c r="DK19">
        <f>IF($DD19="","",$W19-$DD19-$AB19)</f>
        <v/>
      </c>
      <c r="DL19">
        <f>IF(AND($E19="post",$DD19&lt;&gt;"",$B19&lt;TODAY()),1,0)</f>
        <v/>
      </c>
      <c r="DM19">
        <f>IF($DL19=1,COUNTIF($DL19:$DL$183,1),0)</f>
        <v/>
      </c>
      <c r="DN19">
        <f>IF($D19=1,"",IF($E19="pre","History only",IF($DT19=1,IF($DD19="","⚠ Previous month missing",IF($DD19&lt;0,"⚠ Check: spending &lt; 0",IF($E19="open","✓ Done (partial)","✓ Done"))),IF($B19&gt;=TODAY(),"In progress","⚠ Needs balances"))))</f>
        <v/>
      </c>
      <c r="DO19">
        <f>YEAR($A19)</f>
        <v/>
      </c>
      <c r="DP19">
        <f>DATE(YEAR($A19),INT((MONTH($A19)-1)/3)*3+1,1)</f>
        <v/>
      </c>
      <c r="DQ19">
        <f>IF(AND($DT19=1,$DD19&lt;&gt;"",$D19=0),ROW(),0)</f>
        <v/>
      </c>
      <c r="DR19">
        <f>IF(AND($E19&lt;&gt;"pre",$B19&lt;TODAY(),$DT19=0),1,0)</f>
        <v/>
      </c>
      <c r="DS19">
        <f>IF($DJ19="",NA(),$DJ19)</f>
        <v/>
      </c>
      <c r="DT19">
        <f>IF(AND($E19&lt;&gt;"pre",$CL19=0,COUNTIFS(Settings!$F$19:$F$32,"Yes",Settings!$A$19:$A$32,"&lt;&gt;",Settings!$E$19:$E$32,"&lt;&gt;No")&gt;0),1,0)</f>
        <v/>
      </c>
      <c r="DU19">
        <f>IF(AND($B19&lt;TODAY(),$S19&gt;0),1,0)</f>
        <v/>
      </c>
      <c r="DV19">
        <f>IF($DU19=1,COUNTIF($DU19:$DU$183,1),0)</f>
        <v/>
      </c>
      <c r="DW19">
        <f>IF(AND(OR(Settings!$B$19="Card",Settings!$B$19="Loan"),AND('Month-End'!$P$7&lt;&gt;"",NOT(_xlfn.ISFORMULA('Month-End'!$P$7)))),IF(N('Month-End'!$P$7)&lt;0,1,0),0)+IF(AND(OR(Settings!$B$20="Card",Settings!$B$20="Loan"),AND('Month-End'!$P$8&lt;&gt;"",NOT(_xlfn.ISFORMULA('Month-End'!$P$8)))),IF(N('Month-End'!$P$8)&lt;0,1,0),0)+IF(AND(OR(Settings!$B$21="Card",Settings!$B$21="Loan"),AND('Month-End'!$P$9&lt;&gt;"",NOT(_xlfn.ISFORMULA('Month-End'!$P$9)))),IF(N('Month-End'!$P$9)&lt;0,1,0),0)+IF(AND(OR(Settings!$B$22="Card",Settings!$B$22="Loan"),AND('Month-End'!$P$10&lt;&gt;"",NOT(_xlfn.ISFORMULA('Month-End'!$P$10)))),IF(N('Month-End'!$P$10)&lt;0,1,0),0)+IF(AND(OR(Settings!$B$23="Card",Settings!$B$23="Loan"),AND('Month-End'!$P$11&lt;&gt;"",NOT(_xlfn.ISFORMULA('Month-End'!$P$11)))),IF(N('Month-End'!$P$11)&lt;0,1,0),0)+IF(AND(OR(Settings!$B$24="Card",Settings!$B$24="Loan"),AND('Month-End'!$P$12&lt;&gt;"",NOT(_xlfn.ISFORMULA('Month-End'!$P$12)))),IF(N('Month-End'!$P$12)&lt;0,1,0),0)+IF(AND(OR(Settings!$B$25="Card",Settings!$B$25="Loan"),AND('Month-End'!$P$13&lt;&gt;"",NOT(_xlfn.ISFORMULA('Month-End'!$P$13)))),IF(N('Month-End'!$P$13)&lt;0,1,0),0)+IF(AND(OR(Settings!$B$26="Card",Settings!$B$26="Loan"),AND('Month-End'!$P$14&lt;&gt;"",NOT(_xlfn.ISFORMULA('Month-End'!$P$14)))),IF(N('Month-End'!$P$14)&lt;0,1,0),0)+IF(AND(OR(Settings!$B$27="Card",Settings!$B$27="Loan"),AND('Month-End'!$P$15&lt;&gt;"",NOT(_xlfn.ISFORMULA('Month-End'!$P$15)))),IF(N('Month-End'!$P$15)&lt;0,1,0),0)+IF(AND(OR(Settings!$B$28="Card",Settings!$B$28="Loan"),AND('Month-End'!$P$16&lt;&gt;"",NOT(_xlfn.ISFORMULA('Month-End'!$P$16)))),IF(N('Month-End'!$P$16)&lt;0,1,0),0)+IF(AND(OR(Settings!$B$29="Card",Settings!$B$29="Loan"),AND('Month-End'!$P$17&lt;&gt;"",NOT(_xlfn.ISFORMULA('Month-End'!$P$17)))),IF(N('Month-End'!$P$17)&lt;0,1,0),0)+IF(AND(OR(Settings!$B$30="Card",Settings!$B$30="Loan"),AND('Month-End'!$P$18&lt;&gt;"",NOT(_xlfn.ISFORMULA('Month-End'!$P$18)))),IF(N('Month-End'!$P$18)&lt;0,1,0),0)+IF(AND(OR(Settings!$B$31="Card",Settings!$B$31="Loan"),AND('Month-End'!$P$19&lt;&gt;"",NOT(_xlfn.ISFORMULA('Month-End'!$P$19)))),IF(N('Month-End'!$P$19)&lt;0,1,0),0)+IF(AND(OR(Settings!$B$32="Card",Settings!$B$32="Loan"),AND('Month-End'!$P$20&lt;&gt;"",NOT(_xlfn.ISFORMULA('Month-End'!$P$20)))),IF(N('Month-End'!$P$20)&lt;0,1,0),0)</f>
        <v/>
      </c>
      <c r="DX19">
        <f>IF(Settings!$B$36="Retirement",$AY19,0)+IF(Settings!$B$37="Retirement",$AZ19,0)+IF(Settings!$B$38="Retirement",$BA19,0)+IF(Settings!$B$39="Retirement",$BB19,0)+IF(Settings!$B$40="Retirement",$BC19,0)+IF(Settings!$B$41="Retirement",$BD19,0)</f>
        <v/>
      </c>
      <c r="EA19" t="inlineStr">
        <is>
          <t>Contributions This Year</t>
        </is>
      </c>
      <c r="EB19">
        <f>IF(AND(Settings!$A$36&lt;&gt;"",YEAR(Settings!$B$5)=YEAR(TODAY())),N(Settings!$E$36),0)+IF(AND(Settings!$A$37&lt;&gt;"",YEAR(Settings!$B$5)=YEAR(TODAY())),N(Settings!$E$37),0)+IF(AND(Settings!$A$38&lt;&gt;"",YEAR(Settings!$B$5)=YEAR(TODAY())),N(Settings!$E$38),0)+IF(AND(Settings!$A$39&lt;&gt;"",YEAR(Settings!$B$5)=YEAR(TODAY())),N(Settings!$E$39),0)+IF(AND(Settings!$A$40&lt;&gt;"",YEAR(Settings!$B$5)=YEAR(TODAY())),N(Settings!$E$40),0)+IF(AND(Settings!$A$41&lt;&gt;"",YEAR(Settings!$B$5)=YEAR(TODAY())),N(Settings!$E$41),0)+SUMIFS($AC$6:$AC$183,$DO$6:$DO$183,YEAR(TODAY()),$D$6:$D$183,0)</f>
        <v/>
      </c>
      <c r="ET19">
        <f>IF($E19&lt;&gt;"open",0,IF(AND('Month-End'!$P$22&lt;&gt;"",NOT(_xlfn.ISFORMULA('Month-End'!$P$22))),0,IF(OR(Settings!$C$45="",Settings!$D$45=""),0,Settings!$C$45*IF(Settings!$D$45="Weekly",IF(IFERROR(MATCH(Settings!$E$45,$EO$4:$EO$10,0),0)=0,0,IF(MIN(Settings!$B$5,IF(Settings!$G$45="",Settings!$B$5,Settings!$G$45))&lt;MAX($A19,Settings!$F$45),0,INT((MIN(Settings!$B$5,IF(Settings!$G$45="",Settings!$B$5,Settings!$G$45))-MAX($A19,Settings!$F$45)-MOD(IFERROR(MATCH(Settings!$E$45,$EO$4:$EO$10,0),0)-WEEKDAY(MAX($A19,Settings!$F$45)),7))/7)+1)),IF(AND(IF(Settings!$E$45="",$B19,DATE(YEAR($A19),MONTH($A19),MIN(Settings!$E$45,DAY($B19))))&gt;=MAX($A19,Settings!$F$45),IF(Settings!$E$45="",$B19,DATE(YEAR($A19),MONTH($A19),MIN(Settings!$E$45,DAY($B19))))&lt;=MIN(Settings!$B$5,IF(Settings!$G$45="",Settings!$B$5,Settings!$G$45))),1,0)))))</f>
        <v/>
      </c>
      <c r="EU19">
        <f>IF($E19&lt;&gt;"open",0,IF(AND('Month-End'!$P$23&lt;&gt;"",NOT(_xlfn.ISFORMULA('Month-End'!$P$23))),0,IF(OR(Settings!$C$46="",Settings!$D$46=""),0,Settings!$C$46*IF(Settings!$D$46="Weekly",IF(IFERROR(MATCH(Settings!$E$46,$EO$4:$EO$10,0),0)=0,0,IF(MIN(Settings!$B$5,IF(Settings!$G$46="",Settings!$B$5,Settings!$G$46))&lt;MAX($A19,Settings!$F$46),0,INT((MIN(Settings!$B$5,IF(Settings!$G$46="",Settings!$B$5,Settings!$G$46))-MAX($A19,Settings!$F$46)-MOD(IFERROR(MATCH(Settings!$E$46,$EO$4:$EO$10,0),0)-WEEKDAY(MAX($A19,Settings!$F$46)),7))/7)+1)),IF(AND(IF(Settings!$E$46="",$B19,DATE(YEAR($A19),MONTH($A19),MIN(Settings!$E$46,DAY($B19))))&gt;=MAX($A19,Settings!$F$46),IF(Settings!$E$46="",$B19,DATE(YEAR($A19),MONTH($A19),MIN(Settings!$E$46,DAY($B19))))&lt;=MIN(Settings!$B$5,IF(Settings!$G$46="",Settings!$B$5,Settings!$G$46))),1,0)))))</f>
        <v/>
      </c>
      <c r="EV19">
        <f>IF($E19&lt;&gt;"open",0,IF(AND('Month-End'!$P$24&lt;&gt;"",NOT(_xlfn.ISFORMULA('Month-End'!$P$24))),0,IF(OR(Settings!$C$47="",Settings!$D$47=""),0,Settings!$C$47*IF(Settings!$D$47="Weekly",IF(IFERROR(MATCH(Settings!$E$47,$EO$4:$EO$10,0),0)=0,0,IF(MIN(Settings!$B$5,IF(Settings!$G$47="",Settings!$B$5,Settings!$G$47))&lt;MAX($A19,Settings!$F$47),0,INT((MIN(Settings!$B$5,IF(Settings!$G$47="",Settings!$B$5,Settings!$G$47))-MAX($A19,Settings!$F$47)-MOD(IFERROR(MATCH(Settings!$E$47,$EO$4:$EO$10,0),0)-WEEKDAY(MAX($A19,Settings!$F$47)),7))/7)+1)),IF(AND(IF(Settings!$E$47="",$B19,DATE(YEAR($A19),MONTH($A19),MIN(Settings!$E$47,DAY($B19))))&gt;=MAX($A19,Settings!$F$47),IF(Settings!$E$47="",$B19,DATE(YEAR($A19),MONTH($A19),MIN(Settings!$E$47,DAY($B19))))&lt;=MIN(Settings!$B$5,IF(Settings!$G$47="",Settings!$B$5,Settings!$G$47))),1,0)))))</f>
        <v/>
      </c>
      <c r="EW19">
        <f>IF($E19&lt;&gt;"open",0,IF(AND('Month-End'!$P$25&lt;&gt;"",NOT(_xlfn.ISFORMULA('Month-End'!$P$25))),0,IF(OR(Settings!$C$48="",Settings!$D$48=""),0,Settings!$C$48*IF(Settings!$D$48="Weekly",IF(IFERROR(MATCH(Settings!$E$48,$EO$4:$EO$10,0),0)=0,0,IF(MIN(Settings!$B$5,IF(Settings!$G$48="",Settings!$B$5,Settings!$G$48))&lt;MAX($A19,Settings!$F$48),0,INT((MIN(Settings!$B$5,IF(Settings!$G$48="",Settings!$B$5,Settings!$G$48))-MAX($A19,Settings!$F$48)-MOD(IFERROR(MATCH(Settings!$E$48,$EO$4:$EO$10,0),0)-WEEKDAY(MAX($A19,Settings!$F$48)),7))/7)+1)),IF(AND(IF(Settings!$E$48="",$B19,DATE(YEAR($A19),MONTH($A19),MIN(Settings!$E$48,DAY($B19))))&gt;=MAX($A19,Settings!$F$48),IF(Settings!$E$48="",$B19,DATE(YEAR($A19),MONTH($A19),MIN(Settings!$E$48,DAY($B19))))&lt;=MIN(Settings!$B$5,IF(Settings!$G$48="",Settings!$B$5,Settings!$G$48))),1,0)))))</f>
        <v/>
      </c>
      <c r="EX19">
        <f>IF($E19&lt;&gt;"open",0,IF(AND('Month-End'!$P$26&lt;&gt;"",NOT(_xlfn.ISFORMULA('Month-End'!$P$26))),0,IF(OR(Settings!$C$49="",Settings!$D$49=""),0,Settings!$C$49*IF(Settings!$D$49="Weekly",IF(IFERROR(MATCH(Settings!$E$49,$EO$4:$EO$10,0),0)=0,0,IF(MIN(Settings!$B$5,IF(Settings!$G$49="",Settings!$B$5,Settings!$G$49))&lt;MAX($A19,Settings!$F$49),0,INT((MIN(Settings!$B$5,IF(Settings!$G$49="",Settings!$B$5,Settings!$G$49))-MAX($A19,Settings!$F$49)-MOD(IFERROR(MATCH(Settings!$E$49,$EO$4:$EO$10,0),0)-WEEKDAY(MAX($A19,Settings!$F$49)),7))/7)+1)),IF(AND(IF(Settings!$E$49="",$B19,DATE(YEAR($A19),MONTH($A19),MIN(Settings!$E$49,DAY($B19))))&gt;=MAX($A19,Settings!$F$49),IF(Settings!$E$49="",$B19,DATE(YEAR($A19),MONTH($A19),MIN(Settings!$E$49,DAY($B19))))&lt;=MIN(Settings!$B$5,IF(Settings!$G$49="",Settings!$B$5,Settings!$G$49))),1,0)))))</f>
        <v/>
      </c>
      <c r="EY19">
        <f>IF($E19&lt;&gt;"open",0,IF(AND('Month-End'!$P$27&lt;&gt;"",NOT(_xlfn.ISFORMULA('Month-End'!$P$27))),0,IF(OR(Settings!$C$50="",Settings!$D$50=""),0,Settings!$C$50*IF(Settings!$D$50="Weekly",IF(IFERROR(MATCH(Settings!$E$50,$EO$4:$EO$10,0),0)=0,0,IF(MIN(Settings!$B$5,IF(Settings!$G$50="",Settings!$B$5,Settings!$G$50))&lt;MAX($A19,Settings!$F$50),0,INT((MIN(Settings!$B$5,IF(Settings!$G$50="",Settings!$B$5,Settings!$G$50))-MAX($A19,Settings!$F$50)-MOD(IFERROR(MATCH(Settings!$E$50,$EO$4:$EO$10,0),0)-WEEKDAY(MAX($A19,Settings!$F$50)),7))/7)+1)),IF(AND(IF(Settings!$E$50="",$B19,DATE(YEAR($A19),MONTH($A19),MIN(Settings!$E$50,DAY($B19))))&gt;=MAX($A19,Settings!$F$50),IF(Settings!$E$50="",$B19,DATE(YEAR($A19),MONTH($A19),MIN(Settings!$E$50,DAY($B19))))&lt;=MIN(Settings!$B$5,IF(Settings!$G$50="",Settings!$B$5,Settings!$G$50))),1,0)))))</f>
        <v/>
      </c>
      <c r="EZ19">
        <f>IF($E19&lt;&gt;"open",0,IF(AND('Month-End'!$P$28&lt;&gt;"",NOT(_xlfn.ISFORMULA('Month-End'!$P$28))),0,IF(OR(Settings!$C$51="",Settings!$D$51=""),0,Settings!$C$51*IF(Settings!$D$51="Weekly",IF(IFERROR(MATCH(Settings!$E$51,$EO$4:$EO$10,0),0)=0,0,IF(MIN(Settings!$B$5,IF(Settings!$G$51="",Settings!$B$5,Settings!$G$51))&lt;MAX($A19,Settings!$F$51),0,INT((MIN(Settings!$B$5,IF(Settings!$G$51="",Settings!$B$5,Settings!$G$51))-MAX($A19,Settings!$F$51)-MOD(IFERROR(MATCH(Settings!$E$51,$EO$4:$EO$10,0),0)-WEEKDAY(MAX($A19,Settings!$F$51)),7))/7)+1)),IF(AND(IF(Settings!$E$51="",$B19,DATE(YEAR($A19),MONTH($A19),MIN(Settings!$E$51,DAY($B19))))&gt;=MAX($A19,Settings!$F$51),IF(Settings!$E$51="",$B19,DATE(YEAR($A19),MONTH($A19),MIN(Settings!$E$51,DAY($B19))))&lt;=MIN(Settings!$B$5,IF(Settings!$G$51="",Settings!$B$5,Settings!$G$51))),1,0)))))</f>
        <v/>
      </c>
      <c r="FA19">
        <f>IF($E19&lt;&gt;"open",0,IF(AND('Month-End'!$P$29&lt;&gt;"",NOT(_xlfn.ISFORMULA('Month-End'!$P$29))),0,IF(OR(Settings!$C$52="",Settings!$D$52=""),0,Settings!$C$52*IF(Settings!$D$52="Weekly",IF(IFERROR(MATCH(Settings!$E$52,$EO$4:$EO$10,0),0)=0,0,IF(MIN(Settings!$B$5,IF(Settings!$G$52="",Settings!$B$5,Settings!$G$52))&lt;MAX($A19,Settings!$F$52),0,INT((MIN(Settings!$B$5,IF(Settings!$G$52="",Settings!$B$5,Settings!$G$52))-MAX($A19,Settings!$F$52)-MOD(IFERROR(MATCH(Settings!$E$52,$EO$4:$EO$10,0),0)-WEEKDAY(MAX($A19,Settings!$F$52)),7))/7)+1)),IF(AND(IF(Settings!$E$52="",$B19,DATE(YEAR($A19),MONTH($A19),MIN(Settings!$E$52,DAY($B19))))&gt;=MAX($A19,Settings!$F$52),IF(Settings!$E$52="",$B19,DATE(YEAR($A19),MONTH($A19),MIN(Settings!$E$52,DAY($B19))))&lt;=MIN(Settings!$B$5,IF(Settings!$G$52="",Settings!$B$5,Settings!$G$52))),1,0)))))</f>
        <v/>
      </c>
      <c r="FB19">
        <f>IF($E19&lt;&gt;"open",0,IF(AND('Month-End'!$P$30&lt;&gt;"",NOT(_xlfn.ISFORMULA('Month-End'!$P$30))),0,IF(OR(Settings!$C$53="",Settings!$D$53=""),0,Settings!$C$53*IF(Settings!$D$53="Weekly",IF(IFERROR(MATCH(Settings!$E$53,$EO$4:$EO$10,0),0)=0,0,IF(MIN(Settings!$B$5,IF(Settings!$G$53="",Settings!$B$5,Settings!$G$53))&lt;MAX($A19,Settings!$F$53),0,INT((MIN(Settings!$B$5,IF(Settings!$G$53="",Settings!$B$5,Settings!$G$53))-MAX($A19,Settings!$F$53)-MOD(IFERROR(MATCH(Settings!$E$53,$EO$4:$EO$10,0),0)-WEEKDAY(MAX($A19,Settings!$F$53)),7))/7)+1)),IF(AND(IF(Settings!$E$53="",$B19,DATE(YEAR($A19),MONTH($A19),MIN(Settings!$E$53,DAY($B19))))&gt;=MAX($A19,Settings!$F$53),IF(Settings!$E$53="",$B19,DATE(YEAR($A19),MONTH($A19),MIN(Settings!$E$53,DAY($B19))))&lt;=MIN(Settings!$B$5,IF(Settings!$G$53="",Settings!$B$5,Settings!$G$53))),1,0)))))</f>
        <v/>
      </c>
      <c r="FC19">
        <f>IF($E19&lt;&gt;"open",0,IF(AND('Month-End'!$P$31&lt;&gt;"",NOT(_xlfn.ISFORMULA('Month-End'!$P$31))),0,IF(OR(Settings!$C$54="",Settings!$D$54=""),0,Settings!$C$54*IF(Settings!$D$54="Weekly",IF(IFERROR(MATCH(Settings!$E$54,$EO$4:$EO$10,0),0)=0,0,IF(MIN(Settings!$B$5,IF(Settings!$G$54="",Settings!$B$5,Settings!$G$54))&lt;MAX($A19,Settings!$F$54),0,INT((MIN(Settings!$B$5,IF(Settings!$G$54="",Settings!$B$5,Settings!$G$54))-MAX($A19,Settings!$F$54)-MOD(IFERROR(MATCH(Settings!$E$54,$EO$4:$EO$10,0),0)-WEEKDAY(MAX($A19,Settings!$F$54)),7))/7)+1)),IF(AND(IF(Settings!$E$54="",$B19,DATE(YEAR($A19),MONTH($A19),MIN(Settings!$E$54,DAY($B19))))&gt;=MAX($A19,Settings!$F$54),IF(Settings!$E$54="",$B19,DATE(YEAR($A19),MONTH($A19),MIN(Settings!$E$54,DAY($B19))))&lt;=MIN(Settings!$B$5,IF(Settings!$G$54="",Settings!$B$5,Settings!$G$54))),1,0)))))</f>
        <v/>
      </c>
      <c r="FD19">
        <f>IF($E19&lt;&gt;"open",0,IF(AND('Month-End'!$P$32&lt;&gt;"",NOT(_xlfn.ISFORMULA('Month-End'!$P$32))),0,IF(OR(Settings!$C$55="",Settings!$D$55=""),0,Settings!$C$55*IF(Settings!$D$55="Weekly",IF(IFERROR(MATCH(Settings!$E$55,$EO$4:$EO$10,0),0)=0,0,IF(MIN(Settings!$B$5,IF(Settings!$G$55="",Settings!$B$5,Settings!$G$55))&lt;MAX($A19,Settings!$F$55),0,INT((MIN(Settings!$B$5,IF(Settings!$G$55="",Settings!$B$5,Settings!$G$55))-MAX($A19,Settings!$F$55)-MOD(IFERROR(MATCH(Settings!$E$55,$EO$4:$EO$10,0),0)-WEEKDAY(MAX($A19,Settings!$F$55)),7))/7)+1)),IF(AND(IF(Settings!$E$55="",$B19,DATE(YEAR($A19),MONTH($A19),MIN(Settings!$E$55,DAY($B19))))&gt;=MAX($A19,Settings!$F$55),IF(Settings!$E$55="",$B19,DATE(YEAR($A19),MONTH($A19),MIN(Settings!$E$55,DAY($B19))))&lt;=MIN(Settings!$B$5,IF(Settings!$G$55="",Settings!$B$5,Settings!$G$55))),1,0)))))</f>
        <v/>
      </c>
      <c r="FE19">
        <f>IF($E19&lt;&gt;"open",0,IF(AND('Month-End'!$P$33&lt;&gt;"",NOT(_xlfn.ISFORMULA('Month-End'!$P$33))),0,IF(OR(Settings!$C$56="",Settings!$D$56=""),0,Settings!$C$56*IF(Settings!$D$56="Weekly",IF(IFERROR(MATCH(Settings!$E$56,$EO$4:$EO$10,0),0)=0,0,IF(MIN(Settings!$B$5,IF(Settings!$G$56="",Settings!$B$5,Settings!$G$56))&lt;MAX($A19,Settings!$F$56),0,INT((MIN(Settings!$B$5,IF(Settings!$G$56="",Settings!$B$5,Settings!$G$56))-MAX($A19,Settings!$F$56)-MOD(IFERROR(MATCH(Settings!$E$56,$EO$4:$EO$10,0),0)-WEEKDAY(MAX($A19,Settings!$F$56)),7))/7)+1)),IF(AND(IF(Settings!$E$56="",$B19,DATE(YEAR($A19),MONTH($A19),MIN(Settings!$E$56,DAY($B19))))&gt;=MAX($A19,Settings!$F$56),IF(Settings!$E$56="",$B19,DATE(YEAR($A19),MONTH($A19),MIN(Settings!$E$56,DAY($B19))))&lt;=MIN(Settings!$B$5,IF(Settings!$G$56="",Settings!$B$5,Settings!$G$56))),1,0)))))</f>
        <v/>
      </c>
      <c r="FF19">
        <f>IF(Settings!$I$45="Yes",$G19,0)+IF(Settings!$I$46="Yes",$H19,0)+IF(Settings!$I$47="Yes",$I19,0)+IF(Settings!$I$48="Yes",$J19,0)+IF(Settings!$I$49="Yes",$K19,0)+IF(Settings!$I$50="Yes",$L19,0)+IF(Settings!$I$51="Yes",$M19,0)+IF(Settings!$I$52="Yes",$N19,0)+IF(Settings!$I$53="Yes",$O19,0)+IF(Settings!$I$54="Yes",$P19,0)+IF(Settings!$I$55="Yes",$Q19,0)+IF(Settings!$I$56="Yes",$R19,0)</f>
        <v/>
      </c>
      <c r="FG19">
        <f>IF(AND(Settings!$I$45="Yes",Settings!$J$45="No"),$G19,0)+IF(AND(Settings!$I$46="Yes",Settings!$J$46="No"),$H19,0)+IF(AND(Settings!$I$47="Yes",Settings!$J$47="No"),$I19,0)+IF(AND(Settings!$I$48="Yes",Settings!$J$48="No"),$J19,0)+IF(AND(Settings!$I$49="Yes",Settings!$J$49="No"),$K19,0)+IF(AND(Settings!$I$50="Yes",Settings!$J$50="No"),$L19,0)+IF(AND(Settings!$I$51="Yes",Settings!$J$51="No"),$M19,0)+IF(AND(Settings!$I$52="Yes",Settings!$J$52="No"),$N19,0)+IF(AND(Settings!$I$53="Yes",Settings!$J$53="No"),$O19,0)+IF(AND(Settings!$I$54="Yes",Settings!$J$54="No"),$P19,0)+IF(AND(Settings!$I$55="Yes",Settings!$J$55="No"),$Q19,0)+IF(AND(Settings!$I$56="Yes",Settings!$J$56="No"),$R19,0)</f>
        <v/>
      </c>
      <c r="FH19">
        <f>SUMIFS(Giving!$B$7:$B$2006,Giving!$A$7:$A$2006,"&gt;="&amp;$A19,Giving!$A$7:$A$2006,"&lt;="&amp;$B19,Giving!$G$7:$G$2006,"Yes")+IF(OR(OR(Settings!$B$60="",Settings!$F$60="No"),Settings!$H$60&lt;&gt;"Yes"),0,Settings!$B$60*IF(AND(IF(Settings!$C$60="",$B19,DATE(YEAR($A19),MONTH($A19),MIN(Settings!$C$60,DAY($B19))))&gt;=MAX($A19,Settings!$D$60),IF(Settings!$C$60="",$B19,DATE(YEAR($A19),MONTH($A19),MIN(Settings!$C$60,DAY($B19))))&lt;=MIN($C19,IF(Settings!$E$60="",$C19,Settings!$E$60))),1,0))+IF(OR(OR(Settings!$B$61="",Settings!$F$61="No"),Settings!$H$61&lt;&gt;"Yes"),0,Settings!$B$61*IF(AND(IF(Settings!$C$61="",$B19,DATE(YEAR($A19),MONTH($A19),MIN(Settings!$C$61,DAY($B19))))&gt;=MAX($A19,Settings!$D$61),IF(Settings!$C$61="",$B19,DATE(YEAR($A19),MONTH($A19),MIN(Settings!$C$61,DAY($B19))))&lt;=MIN($C19,IF(Settings!$E$61="",$C19,Settings!$E$61))),1,0))+IF(OR(OR(Settings!$B$62="",Settings!$F$62="No"),Settings!$H$62&lt;&gt;"Yes"),0,Settings!$B$62*IF(AND(IF(Settings!$C$62="",$B19,DATE(YEAR($A19),MONTH($A19),MIN(Settings!$C$62,DAY($B19))))&gt;=MAX($A19,Settings!$D$62),IF(Settings!$C$62="",$B19,DATE(YEAR($A19),MONTH($A19),MIN(Settings!$C$62,DAY($B19))))&lt;=MIN($C19,IF(Settings!$E$62="",$C19,Settings!$E$62))),1,0))+IF(OR(OR(Settings!$B$63="",Settings!$F$63="No"),Settings!$H$63&lt;&gt;"Yes"),0,Settings!$B$63*IF(AND(IF(Settings!$C$63="",$B19,DATE(YEAR($A19),MONTH($A19),MIN(Settings!$C$63,DAY($B19))))&gt;=MAX($A19,Settings!$D$63),IF(Settings!$C$63="",$B19,DATE(YEAR($A19),MONTH($A19),MIN(Settings!$C$63,DAY($B19))))&lt;=MIN($C19,IF(Settings!$E$63="",$C19,Settings!$E$63))),1,0))+IF(OR(OR(Settings!$B$64="",Settings!$F$64="No"),Settings!$H$64&lt;&gt;"Yes"),0,Settings!$B$64*IF(AND(IF(Settings!$C$64="",$B19,DATE(YEAR($A19),MONTH($A19),MIN(Settings!$C$64,DAY($B19))))&gt;=MAX($A19,Settings!$D$64),IF(Settings!$C$64="",$B19,DATE(YEAR($A19),MONTH($A19),MIN(Settings!$C$64,DAY($B19))))&lt;=MIN($C19,IF(Settings!$E$64="",$C19,Settings!$E$64))),1,0))+IF(OR(OR(Settings!$B$65="",Settings!$F$65="No"),Settings!$H$65&lt;&gt;"Yes"),0,Settings!$B$65*IF(AND(IF(Settings!$C$65="",$B19,DATE(YEAR($A19),MONTH($A19),MIN(Settings!$C$65,DAY($B19))))&gt;=MAX($A19,Settings!$D$65),IF(Settings!$C$65="",$B19,DATE(YEAR($A19),MONTH($A19),MIN(Settings!$C$65,DAY($B19))))&lt;=MIN($C19,IF(Settings!$E$65="",$C19,Settings!$E$65))),1,0))</f>
        <v/>
      </c>
      <c r="FI19">
        <f>IF($DT19=1,IF(OR(Settings!$B$19="Card",Settings!$B$19="Loan"),N($AE19),0)+IF(OR(Settings!$B$20="Card",Settings!$B$20="Loan"),N($AF19),0)+IF(OR(Settings!$B$21="Card",Settings!$B$21="Loan"),N($AG19),0)+IF(OR(Settings!$B$22="Card",Settings!$B$22="Loan"),N($AH19),0)+IF(OR(Settings!$B$23="Card",Settings!$B$23="Loan"),N($AI19),0)+IF(OR(Settings!$B$24="Card",Settings!$B$24="Loan"),N($AJ19),0)+IF(OR(Settings!$B$25="Card",Settings!$B$25="Loan"),N($AK19),0)+IF(OR(Settings!$B$26="Card",Settings!$B$26="Loan"),N($AL19),0)+IF(OR(Settings!$B$27="Card",Settings!$B$27="Loan"),N($AM19),0)+IF(OR(Settings!$B$28="Card",Settings!$B$28="Loan"),N($AN19),0)+IF(OR(Settings!$B$29="Card",Settings!$B$29="Loan"),N($AO19),0)+IF(OR(Settings!$B$30="Card",Settings!$B$30="Loan"),N($AP19),0)+IF(OR(Settings!$B$31="Card",Settings!$B$31="Loan"),N($AQ19),0)+IF(OR(Settings!$B$32="Card",Settings!$B$32="Loan"),N($AR19),0),"")</f>
        <v/>
      </c>
      <c r="FJ19">
        <f>IF($E19="open",$EB$65,IF($E19="post",IF($E18="pre",$EB$65,$FI18),""))</f>
        <v/>
      </c>
      <c r="FK19">
        <f>IF(AND($DT19=1,$DC19=1),IF(ROUND($FI19-$FJ19,2)&gt;0,1,0),0)</f>
        <v/>
      </c>
      <c r="FL19">
        <f>IF($FK19=1,$FL18+1,0)</f>
        <v/>
      </c>
    </row>
    <row r="20">
      <c r="A20">
        <f>'Month-End'!$Q$4</f>
        <v/>
      </c>
      <c r="B20">
        <f>EOMONTH($A20,0)</f>
        <v/>
      </c>
      <c r="C20">
        <f>MIN($B20,TODAY())</f>
        <v/>
      </c>
      <c r="D20">
        <f>IF($A20&gt;TODAY(),1,0)</f>
        <v/>
      </c>
      <c r="E20">
        <f>IF($B20&lt;=Settings!$B$5,"pre",IF($A20&lt;=Settings!$B$5,"open","post"))</f>
        <v/>
      </c>
      <c r="G20">
        <f>IF('Month-End'!$Q$22="",$BE20,N('Month-End'!$Q$22))</f>
        <v/>
      </c>
      <c r="H20">
        <f>IF('Month-End'!$Q$23="",$BF20,N('Month-End'!$Q$23))</f>
        <v/>
      </c>
      <c r="I20">
        <f>IF('Month-End'!$Q$24="",$BG20,N('Month-End'!$Q$24))</f>
        <v/>
      </c>
      <c r="J20">
        <f>IF('Month-End'!$Q$25="",$BH20,N('Month-End'!$Q$25))</f>
        <v/>
      </c>
      <c r="K20">
        <f>IF('Month-End'!$Q$26="",$BI20,N('Month-End'!$Q$26))</f>
        <v/>
      </c>
      <c r="L20">
        <f>IF('Month-End'!$Q$27="",$BJ20,N('Month-End'!$Q$27))</f>
        <v/>
      </c>
      <c r="M20">
        <f>IF('Month-End'!$Q$28="",$BK20,N('Month-End'!$Q$28))</f>
        <v/>
      </c>
      <c r="N20">
        <f>IF('Month-End'!$Q$29="",$BL20,N('Month-End'!$Q$29))</f>
        <v/>
      </c>
      <c r="O20">
        <f>IF('Month-End'!$Q$30="",$BM20,N('Month-End'!$Q$30))</f>
        <v/>
      </c>
      <c r="P20">
        <f>IF('Month-End'!$Q$31="",$BN20,N('Month-End'!$Q$31))</f>
        <v/>
      </c>
      <c r="Q20">
        <f>IF('Month-End'!$Q$32="",$BO20,N('Month-End'!$Q$32))</f>
        <v/>
      </c>
      <c r="R20">
        <f>IF('Month-End'!$Q$33="",$BP20,N('Month-End'!$Q$33))</f>
        <v/>
      </c>
      <c r="S20">
        <f>$G20+$H20+$I20+$J20+$K20+$L20+$M20+$N20+$O20+$P20+$Q20+$R20</f>
        <v/>
      </c>
      <c r="T20">
        <f>IF($B20&lt;Settings!$B$6,0,IF(Settings!$B$45="Yes",$G20,0)+IF(Settings!$B$46="Yes",$H20,0)+IF(Settings!$B$47="Yes",$I20,0)+IF(Settings!$B$48="Yes",$J20,0)+IF(Settings!$B$49="Yes",$K20,0)+IF(Settings!$B$50="Yes",$L20,0)+IF(Settings!$B$51="Yes",$M20,0)+IF(Settings!$B$52="Yes",$N20,0)+IF(Settings!$B$53="Yes",$O20,0)+IF(Settings!$B$54="Yes",$P20,0)+IF(Settings!$B$55="Yes",$Q20,0)+IF(Settings!$B$56="Yes",$R20,0))</f>
        <v/>
      </c>
      <c r="U20">
        <f>IF(Settings!$B$45="Not Sure",$G20,0)+IF(Settings!$B$46="Not Sure",$H20,0)+IF(Settings!$B$47="Not Sure",$I20,0)+IF(Settings!$B$48="Not Sure",$J20,0)+IF(Settings!$B$49="Not Sure",$K20,0)+IF(Settings!$B$50="Not Sure",$L20,0)+IF(Settings!$B$51="Not Sure",$M20,0)+IF(Settings!$B$52="Not Sure",$N20,0)+IF(Settings!$B$53="Not Sure",$O20,0)+IF(Settings!$B$54="Not Sure",$P20,0)+IF(Settings!$B$55="Not Sure",$Q20,0)+IF(Settings!$B$56="Not Sure",$R20,0)</f>
        <v/>
      </c>
      <c r="V20">
        <f>IF($E20="open",SUM($ET20:$FE20)+N(Settings!$B$13),0)</f>
        <v/>
      </c>
      <c r="W20">
        <f>IF($E20="post",$S20,IF($E20="open",$S20-$V20,0))</f>
        <v/>
      </c>
      <c r="X20">
        <f>SUMIFS(Giving!$B$7:$B$2006,Giving!$A$7:$A$2006,"&gt;="&amp;$A20,Giving!$A$7:$A$2006,"&lt;="&amp;$B20,Giving!$E$7:$E$2006,"&lt;&gt;No")</f>
        <v/>
      </c>
      <c r="Y20">
        <f>SUMIFS(Giving!$B$7:$B$2006,Giving!$A$7:$A$2006,"&gt;="&amp;$A20,Giving!$A$7:$A$2006,"&lt;="&amp;$B20,Giving!$E$7:$E$2006,"No")</f>
        <v/>
      </c>
      <c r="Z20">
        <f>IF(OR(Settings!$B$60="",Settings!$F$60="No"),0,Settings!$B$60*IF(AND(IF(Settings!$C$60="",$B20,DATE(YEAR($A20),MONTH($A20),MIN(Settings!$C$60,DAY($B20))))&gt;=MAX($A20,Settings!$D$60),IF(Settings!$C$60="",$B20,DATE(YEAR($A20),MONTH($A20),MIN(Settings!$C$60,DAY($B20))))&lt;=MIN($C20,IF(Settings!$E$60="",$C20,Settings!$E$60))),1,0))+IF(OR(Settings!$B$61="",Settings!$F$61="No"),0,Settings!$B$61*IF(AND(IF(Settings!$C$61="",$B20,DATE(YEAR($A20),MONTH($A20),MIN(Settings!$C$61,DAY($B20))))&gt;=MAX($A20,Settings!$D$61),IF(Settings!$C$61="",$B20,DATE(YEAR($A20),MONTH($A20),MIN(Settings!$C$61,DAY($B20))))&lt;=MIN($C20,IF(Settings!$E$61="",$C20,Settings!$E$61))),1,0))+IF(OR(Settings!$B$62="",Settings!$F$62="No"),0,Settings!$B$62*IF(AND(IF(Settings!$C$62="",$B20,DATE(YEAR($A20),MONTH($A20),MIN(Settings!$C$62,DAY($B20))))&gt;=MAX($A20,Settings!$D$62),IF(Settings!$C$62="",$B20,DATE(YEAR($A20),MONTH($A20),MIN(Settings!$C$62,DAY($B20))))&lt;=MIN($C20,IF(Settings!$E$62="",$C20,Settings!$E$62))),1,0))+IF(OR(Settings!$B$63="",Settings!$F$63="No"),0,Settings!$B$63*IF(AND(IF(Settings!$C$63="",$B20,DATE(YEAR($A20),MONTH($A20),MIN(Settings!$C$63,DAY($B20))))&gt;=MAX($A20,Settings!$D$63),IF(Settings!$C$63="",$B20,DATE(YEAR($A20),MONTH($A20),MIN(Settings!$C$63,DAY($B20))))&lt;=MIN($C20,IF(Settings!$E$63="",$C20,Settings!$E$63))),1,0))+IF(OR(Settings!$B$64="",Settings!$F$64="No"),0,Settings!$B$64*IF(AND(IF(Settings!$C$64="",$B20,DATE(YEAR($A20),MONTH($A20),MIN(Settings!$C$64,DAY($B20))))&gt;=MAX($A20,Settings!$D$64),IF(Settings!$C$64="",$B20,DATE(YEAR($A20),MONTH($A20),MIN(Settings!$C$64,DAY($B20))))&lt;=MIN($C20,IF(Settings!$E$64="",$C20,Settings!$E$64))),1,0))+IF(OR(Settings!$B$65="",Settings!$F$65="No"),0,Settings!$B$65*IF(AND(IF(Settings!$C$65="",$B20,DATE(YEAR($A20),MONTH($A20),MIN(Settings!$C$65,DAY($B20))))&gt;=MAX($A20,Settings!$D$65),IF(Settings!$C$65="",$B20,DATE(YEAR($A20),MONTH($A20),MIN(Settings!$C$65,DAY($B20))))&lt;=MIN($C20,IF(Settings!$E$65="",$C20,Settings!$E$65))),1,0))</f>
        <v/>
      </c>
      <c r="AA20">
        <f>$X20+$Z20</f>
        <v/>
      </c>
      <c r="AB20">
        <f>IF($E20="post",$AA20,IF($E20="open",SUMIFS(Giving!$B$7:$B$2006,Giving!$A$7:$A$2006,"&gt;"&amp;Settings!$B$5,Giving!$A$7:$A$2006,"&lt;="&amp;$B20,Giving!$E$7:$E$2006,"&lt;&gt;No")+IF(OR(Settings!$B$60="",Settings!$F$60="No"),0,Settings!$B$60*IF(AND(IF(Settings!$C$60="",$B20,DATE(YEAR($A20),MONTH($A20),MIN(Settings!$C$60,DAY($B20))))&gt;=MAX($A20,Settings!$D$60,Settings!$B$5+1),IF(Settings!$C$60="",$B20,DATE(YEAR($A20),MONTH($A20),MIN(Settings!$C$60,DAY($B20))))&lt;=MIN($C20,IF(Settings!$E$60="",$C20,Settings!$E$60))),1,0))+IF(OR(Settings!$B$61="",Settings!$F$61="No"),0,Settings!$B$61*IF(AND(IF(Settings!$C$61="",$B20,DATE(YEAR($A20),MONTH($A20),MIN(Settings!$C$61,DAY($B20))))&gt;=MAX($A20,Settings!$D$61,Settings!$B$5+1),IF(Settings!$C$61="",$B20,DATE(YEAR($A20),MONTH($A20),MIN(Settings!$C$61,DAY($B20))))&lt;=MIN($C20,IF(Settings!$E$61="",$C20,Settings!$E$61))),1,0))+IF(OR(Settings!$B$62="",Settings!$F$62="No"),0,Settings!$B$62*IF(AND(IF(Settings!$C$62="",$B20,DATE(YEAR($A20),MONTH($A20),MIN(Settings!$C$62,DAY($B20))))&gt;=MAX($A20,Settings!$D$62,Settings!$B$5+1),IF(Settings!$C$62="",$B20,DATE(YEAR($A20),MONTH($A20),MIN(Settings!$C$62,DAY($B20))))&lt;=MIN($C20,IF(Settings!$E$62="",$C20,Settings!$E$62))),1,0))+IF(OR(Settings!$B$63="",Settings!$F$63="No"),0,Settings!$B$63*IF(AND(IF(Settings!$C$63="",$B20,DATE(YEAR($A20),MONTH($A20),MIN(Settings!$C$63,DAY($B20))))&gt;=MAX($A20,Settings!$D$63,Settings!$B$5+1),IF(Settings!$C$63="",$B20,DATE(YEAR($A20),MONTH($A20),MIN(Settings!$C$63,DAY($B20))))&lt;=MIN($C20,IF(Settings!$E$63="",$C20,Settings!$E$63))),1,0))+IF(OR(Settings!$B$64="",Settings!$F$64="No"),0,Settings!$B$64*IF(AND(IF(Settings!$C$64="",$B20,DATE(YEAR($A20),MONTH($A20),MIN(Settings!$C$64,DAY($B20))))&gt;=MAX($A20,Settings!$D$64,Settings!$B$5+1),IF(Settings!$C$64="",$B20,DATE(YEAR($A20),MONTH($A20),MIN(Settings!$C$64,DAY($B20))))&lt;=MIN($C20,IF(Settings!$E$64="",$C20,Settings!$E$64))),1,0))+IF(OR(Settings!$B$65="",Settings!$F$65="No"),0,Settings!$B$65*IF(AND(IF(Settings!$C$65="",$B20,DATE(YEAR($A20),MONTH($A20),MIN(Settings!$C$65,DAY($B20))))&gt;=MAX($A20,Settings!$D$65,Settings!$B$5+1),IF(Settings!$C$65="",$B20,DATE(YEAR($A20),MONTH($A20),MIN(Settings!$C$65,DAY($B20))))&lt;=MIN($C20,IF(Settings!$E$65="",$C20,Settings!$E$65))),1,0)),0))</f>
        <v/>
      </c>
      <c r="AC20">
        <f>$AY20+$AZ20+$BA20+$BB20+$BC20+$BD20</f>
        <v/>
      </c>
      <c r="AD20">
        <f>$AC20</f>
        <v/>
      </c>
      <c r="AE20">
        <f>IF(OR(Settings!$A$19="",$E20="pre"),"",IF(AND('Month-End'!$Q$7&lt;&gt;"",NOT(_xlfn.ISFORMULA('Month-End'!$Q$7))),N('Month-End'!$Q$7),IF(OR($E20="open",$E19="pre"),N(Settings!$C$19),N($AE19))))</f>
        <v/>
      </c>
      <c r="AF20">
        <f>IF(OR(Settings!$A$20="",$E20="pre"),"",IF(AND('Month-End'!$Q$8&lt;&gt;"",NOT(_xlfn.ISFORMULA('Month-End'!$Q$8))),N('Month-End'!$Q$8),IF(OR($E20="open",$E19="pre"),N(Settings!$C$20),N($AF19))))</f>
        <v/>
      </c>
      <c r="AG20">
        <f>IF(OR(Settings!$A$21="",$E20="pre"),"",IF(AND('Month-End'!$Q$9&lt;&gt;"",NOT(_xlfn.ISFORMULA('Month-End'!$Q$9))),N('Month-End'!$Q$9),IF(OR($E20="open",$E19="pre"),N(Settings!$C$21),N($AG19))))</f>
        <v/>
      </c>
      <c r="AH20">
        <f>IF(OR(Settings!$A$22="",$E20="pre"),"",IF(AND('Month-End'!$Q$10&lt;&gt;"",NOT(_xlfn.ISFORMULA('Month-End'!$Q$10))),N('Month-End'!$Q$10),IF(OR($E20="open",$E19="pre"),N(Settings!$C$22),N($AH19))))</f>
        <v/>
      </c>
      <c r="AI20">
        <f>IF(OR(Settings!$A$23="",$E20="pre"),"",IF(AND('Month-End'!$Q$11&lt;&gt;"",NOT(_xlfn.ISFORMULA('Month-End'!$Q$11))),N('Month-End'!$Q$11),IF(OR($E20="open",$E19="pre"),N(Settings!$C$23),N($AI19))))</f>
        <v/>
      </c>
      <c r="AJ20">
        <f>IF(OR(Settings!$A$24="",$E20="pre"),"",IF(AND('Month-End'!$Q$12&lt;&gt;"",NOT(_xlfn.ISFORMULA('Month-End'!$Q$12))),N('Month-End'!$Q$12),IF(OR($E20="open",$E19="pre"),N(Settings!$C$24),N($AJ19))))</f>
        <v/>
      </c>
      <c r="AK20">
        <f>IF(OR(Settings!$A$25="",$E20="pre"),"",IF(AND('Month-End'!$Q$13&lt;&gt;"",NOT(_xlfn.ISFORMULA('Month-End'!$Q$13))),N('Month-End'!$Q$13),IF(OR($E20="open",$E19="pre"),N(Settings!$C$25),N($AK19))))</f>
        <v/>
      </c>
      <c r="AL20">
        <f>IF(OR(Settings!$A$26="",$E20="pre"),"",IF(AND('Month-End'!$Q$14&lt;&gt;"",NOT(_xlfn.ISFORMULA('Month-End'!$Q$14))),N('Month-End'!$Q$14),IF(OR($E20="open",$E19="pre"),N(Settings!$C$26),N($AL19))))</f>
        <v/>
      </c>
      <c r="AM20">
        <f>IF(OR(Settings!$A$27="",$E20="pre"),"",IF(AND('Month-End'!$Q$15&lt;&gt;"",NOT(_xlfn.ISFORMULA('Month-End'!$Q$15))),N('Month-End'!$Q$15),IF(OR($E20="open",$E19="pre"),N(Settings!$C$27),N($AM19))))</f>
        <v/>
      </c>
      <c r="AN20">
        <f>IF(OR(Settings!$A$28="",$E20="pre"),"",IF(AND('Month-End'!$Q$16&lt;&gt;"",NOT(_xlfn.ISFORMULA('Month-End'!$Q$16))),N('Month-End'!$Q$16),IF(OR($E20="open",$E19="pre"),N(Settings!$C$28),N($AN19))))</f>
        <v/>
      </c>
      <c r="AO20">
        <f>IF(OR(Settings!$A$29="",$E20="pre"),"",IF(AND('Month-End'!$Q$17&lt;&gt;"",NOT(_xlfn.ISFORMULA('Month-End'!$Q$17))),N('Month-End'!$Q$17),IF(OR($E20="open",$E19="pre"),N(Settings!$C$29),N($AO19))))</f>
        <v/>
      </c>
      <c r="AP20">
        <f>IF(OR(Settings!$A$30="",$E20="pre"),"",IF(AND('Month-End'!$Q$18&lt;&gt;"",NOT(_xlfn.ISFORMULA('Month-End'!$Q$18))),N('Month-End'!$Q$18),IF(OR($E20="open",$E19="pre"),N(Settings!$C$30),N($AP19))))</f>
        <v/>
      </c>
      <c r="AQ20">
        <f>IF(OR(Settings!$A$31="",$E20="pre"),"",IF(AND('Month-End'!$Q$19&lt;&gt;"",NOT(_xlfn.ISFORMULA('Month-End'!$Q$19))),N('Month-End'!$Q$19),IF(OR($E20="open",$E19="pre"),N(Settings!$C$31),N($AQ19))))</f>
        <v/>
      </c>
      <c r="AR20">
        <f>IF(OR(Settings!$A$32="",$E20="pre"),"",IF(AND('Month-End'!$Q$20&lt;&gt;"",NOT(_xlfn.ISFORMULA('Month-End'!$Q$20))),N('Month-End'!$Q$20),IF(OR($E20="open",$E19="pre"),N(Settings!$C$32),N($AR19))))</f>
        <v/>
      </c>
      <c r="AS20">
        <f>IF(OR(Settings!$A$36="",$E20="pre"),"",IF(AND('Month-End'!$Q$38&lt;&gt;"",NOT(_xlfn.ISFORMULA('Month-End'!$Q$38))),N('Month-End'!$Q$38),IF(OR($E20="open",$E19="pre"),N(Settings!$C$36),N($AS19))+$AY20))</f>
        <v/>
      </c>
      <c r="AT20">
        <f>IF(OR(Settings!$A$37="",$E20="pre"),"",IF(AND('Month-End'!$Q$39&lt;&gt;"",NOT(_xlfn.ISFORMULA('Month-End'!$Q$39))),N('Month-End'!$Q$39),IF(OR($E20="open",$E19="pre"),N(Settings!$C$37),N($AT19))+$AZ20))</f>
        <v/>
      </c>
      <c r="AU20">
        <f>IF(OR(Settings!$A$38="",$E20="pre"),"",IF(AND('Month-End'!$Q$40&lt;&gt;"",NOT(_xlfn.ISFORMULA('Month-End'!$Q$40))),N('Month-End'!$Q$40),IF(OR($E20="open",$E19="pre"),N(Settings!$C$38),N($AU19))+$BA20))</f>
        <v/>
      </c>
      <c r="AV20">
        <f>IF(OR(Settings!$A$39="",$E20="pre"),"",IF(AND('Month-End'!$Q$41&lt;&gt;"",NOT(_xlfn.ISFORMULA('Month-End'!$Q$41))),N('Month-End'!$Q$41),IF(OR($E20="open",$E19="pre"),N(Settings!$C$39),N($AV19))+$BB20))</f>
        <v/>
      </c>
      <c r="AW20">
        <f>IF(OR(Settings!$A$40="",$E20="pre"),"",IF(AND('Month-End'!$Q$42&lt;&gt;"",NOT(_xlfn.ISFORMULA('Month-End'!$Q$42))),N('Month-End'!$Q$42),IF(OR($E20="open",$E19="pre"),N(Settings!$C$40),N($AW19))+$BC20))</f>
        <v/>
      </c>
      <c r="AX20">
        <f>IF(OR(Settings!$A$41="",$E20="pre"),"",IF(AND('Month-End'!$Q$43&lt;&gt;"",NOT(_xlfn.ISFORMULA('Month-End'!$Q$43))),N('Month-End'!$Q$43),IF(OR($E20="open",$E19="pre"),N(Settings!$C$41),N($AX19))+$BD20))</f>
        <v/>
      </c>
      <c r="AY20">
        <f>IF($E20="pre",0,N('Month-End'!$Q$45))</f>
        <v/>
      </c>
      <c r="AZ20">
        <f>IF($E20="pre",0,N('Month-End'!$Q$46))</f>
        <v/>
      </c>
      <c r="BA20">
        <f>IF($E20="pre",0,N('Month-End'!$Q$47))</f>
        <v/>
      </c>
      <c r="BB20">
        <f>IF($E20="pre",0,N('Month-End'!$Q$48))</f>
        <v/>
      </c>
      <c r="BC20">
        <f>IF($E20="pre",0,N('Month-End'!$Q$49))</f>
        <v/>
      </c>
      <c r="BD20">
        <f>IF($E20="pre",0,N('Month-End'!$Q$50))</f>
        <v/>
      </c>
      <c r="BE20">
        <f>IF(OR(Settings!$C$45="",Settings!$D$45=""),0,Settings!$C$45*IF(Settings!$D$45="Weekly",IF(IFERROR(MATCH(Settings!$E$45,$EO$4:$EO$10,0),0)=0,0,IF(MIN($C20,IF(Settings!$G$45="",$C20,Settings!$G$45))&lt;MAX($A20,Settings!$F$45),0,INT((MIN($C20,IF(Settings!$G$45="",$C20,Settings!$G$45))-MAX($A20,Settings!$F$45)-MOD(IFERROR(MATCH(Settings!$E$45,$EO$4:$EO$10,0),0)-WEEKDAY(MAX($A20,Settings!$F$45)),7))/7)+1)),IF(AND(IF(Settings!$E$45="",$B20,DATE(YEAR($A20),MONTH($A20),MIN(Settings!$E$45,DAY($B20))))&gt;=MAX($A20,Settings!$F$45),IF(Settings!$E$45="",$B20,DATE(YEAR($A20),MONTH($A20),MIN(Settings!$E$45,DAY($B20))))&lt;=MIN($C20,IF(Settings!$G$45="",$C20,Settings!$G$45))),1,0)))</f>
        <v/>
      </c>
      <c r="BF20">
        <f>IF(OR(Settings!$C$46="",Settings!$D$46=""),0,Settings!$C$46*IF(Settings!$D$46="Weekly",IF(IFERROR(MATCH(Settings!$E$46,$EO$4:$EO$10,0),0)=0,0,IF(MIN($C20,IF(Settings!$G$46="",$C20,Settings!$G$46))&lt;MAX($A20,Settings!$F$46),0,INT((MIN($C20,IF(Settings!$G$46="",$C20,Settings!$G$46))-MAX($A20,Settings!$F$46)-MOD(IFERROR(MATCH(Settings!$E$46,$EO$4:$EO$10,0),0)-WEEKDAY(MAX($A20,Settings!$F$46)),7))/7)+1)),IF(AND(IF(Settings!$E$46="",$B20,DATE(YEAR($A20),MONTH($A20),MIN(Settings!$E$46,DAY($B20))))&gt;=MAX($A20,Settings!$F$46),IF(Settings!$E$46="",$B20,DATE(YEAR($A20),MONTH($A20),MIN(Settings!$E$46,DAY($B20))))&lt;=MIN($C20,IF(Settings!$G$46="",$C20,Settings!$G$46))),1,0)))</f>
        <v/>
      </c>
      <c r="BG20">
        <f>IF(OR(Settings!$C$47="",Settings!$D$47=""),0,Settings!$C$47*IF(Settings!$D$47="Weekly",IF(IFERROR(MATCH(Settings!$E$47,$EO$4:$EO$10,0),0)=0,0,IF(MIN($C20,IF(Settings!$G$47="",$C20,Settings!$G$47))&lt;MAX($A20,Settings!$F$47),0,INT((MIN($C20,IF(Settings!$G$47="",$C20,Settings!$G$47))-MAX($A20,Settings!$F$47)-MOD(IFERROR(MATCH(Settings!$E$47,$EO$4:$EO$10,0),0)-WEEKDAY(MAX($A20,Settings!$F$47)),7))/7)+1)),IF(AND(IF(Settings!$E$47="",$B20,DATE(YEAR($A20),MONTH($A20),MIN(Settings!$E$47,DAY($B20))))&gt;=MAX($A20,Settings!$F$47),IF(Settings!$E$47="",$B20,DATE(YEAR($A20),MONTH($A20),MIN(Settings!$E$47,DAY($B20))))&lt;=MIN($C20,IF(Settings!$G$47="",$C20,Settings!$G$47))),1,0)))</f>
        <v/>
      </c>
      <c r="BH20">
        <f>IF(OR(Settings!$C$48="",Settings!$D$48=""),0,Settings!$C$48*IF(Settings!$D$48="Weekly",IF(IFERROR(MATCH(Settings!$E$48,$EO$4:$EO$10,0),0)=0,0,IF(MIN($C20,IF(Settings!$G$48="",$C20,Settings!$G$48))&lt;MAX($A20,Settings!$F$48),0,INT((MIN($C20,IF(Settings!$G$48="",$C20,Settings!$G$48))-MAX($A20,Settings!$F$48)-MOD(IFERROR(MATCH(Settings!$E$48,$EO$4:$EO$10,0),0)-WEEKDAY(MAX($A20,Settings!$F$48)),7))/7)+1)),IF(AND(IF(Settings!$E$48="",$B20,DATE(YEAR($A20),MONTH($A20),MIN(Settings!$E$48,DAY($B20))))&gt;=MAX($A20,Settings!$F$48),IF(Settings!$E$48="",$B20,DATE(YEAR($A20),MONTH($A20),MIN(Settings!$E$48,DAY($B20))))&lt;=MIN($C20,IF(Settings!$G$48="",$C20,Settings!$G$48))),1,0)))</f>
        <v/>
      </c>
      <c r="BI20">
        <f>IF(OR(Settings!$C$49="",Settings!$D$49=""),0,Settings!$C$49*IF(Settings!$D$49="Weekly",IF(IFERROR(MATCH(Settings!$E$49,$EO$4:$EO$10,0),0)=0,0,IF(MIN($C20,IF(Settings!$G$49="",$C20,Settings!$G$49))&lt;MAX($A20,Settings!$F$49),0,INT((MIN($C20,IF(Settings!$G$49="",$C20,Settings!$G$49))-MAX($A20,Settings!$F$49)-MOD(IFERROR(MATCH(Settings!$E$49,$EO$4:$EO$10,0),0)-WEEKDAY(MAX($A20,Settings!$F$49)),7))/7)+1)),IF(AND(IF(Settings!$E$49="",$B20,DATE(YEAR($A20),MONTH($A20),MIN(Settings!$E$49,DAY($B20))))&gt;=MAX($A20,Settings!$F$49),IF(Settings!$E$49="",$B20,DATE(YEAR($A20),MONTH($A20),MIN(Settings!$E$49,DAY($B20))))&lt;=MIN($C20,IF(Settings!$G$49="",$C20,Settings!$G$49))),1,0)))</f>
        <v/>
      </c>
      <c r="BJ20">
        <f>IF(OR(Settings!$C$50="",Settings!$D$50=""),0,Settings!$C$50*IF(Settings!$D$50="Weekly",IF(IFERROR(MATCH(Settings!$E$50,$EO$4:$EO$10,0),0)=0,0,IF(MIN($C20,IF(Settings!$G$50="",$C20,Settings!$G$50))&lt;MAX($A20,Settings!$F$50),0,INT((MIN($C20,IF(Settings!$G$50="",$C20,Settings!$G$50))-MAX($A20,Settings!$F$50)-MOD(IFERROR(MATCH(Settings!$E$50,$EO$4:$EO$10,0),0)-WEEKDAY(MAX($A20,Settings!$F$50)),7))/7)+1)),IF(AND(IF(Settings!$E$50="",$B20,DATE(YEAR($A20),MONTH($A20),MIN(Settings!$E$50,DAY($B20))))&gt;=MAX($A20,Settings!$F$50),IF(Settings!$E$50="",$B20,DATE(YEAR($A20),MONTH($A20),MIN(Settings!$E$50,DAY($B20))))&lt;=MIN($C20,IF(Settings!$G$50="",$C20,Settings!$G$50))),1,0)))</f>
        <v/>
      </c>
      <c r="BK20">
        <f>IF(OR(Settings!$C$51="",Settings!$D$51=""),0,Settings!$C$51*IF(Settings!$D$51="Weekly",IF(IFERROR(MATCH(Settings!$E$51,$EO$4:$EO$10,0),0)=0,0,IF(MIN($C20,IF(Settings!$G$51="",$C20,Settings!$G$51))&lt;MAX($A20,Settings!$F$51),0,INT((MIN($C20,IF(Settings!$G$51="",$C20,Settings!$G$51))-MAX($A20,Settings!$F$51)-MOD(IFERROR(MATCH(Settings!$E$51,$EO$4:$EO$10,0),0)-WEEKDAY(MAX($A20,Settings!$F$51)),7))/7)+1)),IF(AND(IF(Settings!$E$51="",$B20,DATE(YEAR($A20),MONTH($A20),MIN(Settings!$E$51,DAY($B20))))&gt;=MAX($A20,Settings!$F$51),IF(Settings!$E$51="",$B20,DATE(YEAR($A20),MONTH($A20),MIN(Settings!$E$51,DAY($B20))))&lt;=MIN($C20,IF(Settings!$G$51="",$C20,Settings!$G$51))),1,0)))</f>
        <v/>
      </c>
      <c r="BL20">
        <f>IF(OR(Settings!$C$52="",Settings!$D$52=""),0,Settings!$C$52*IF(Settings!$D$52="Weekly",IF(IFERROR(MATCH(Settings!$E$52,$EO$4:$EO$10,0),0)=0,0,IF(MIN($C20,IF(Settings!$G$52="",$C20,Settings!$G$52))&lt;MAX($A20,Settings!$F$52),0,INT((MIN($C20,IF(Settings!$G$52="",$C20,Settings!$G$52))-MAX($A20,Settings!$F$52)-MOD(IFERROR(MATCH(Settings!$E$52,$EO$4:$EO$10,0),0)-WEEKDAY(MAX($A20,Settings!$F$52)),7))/7)+1)),IF(AND(IF(Settings!$E$52="",$B20,DATE(YEAR($A20),MONTH($A20),MIN(Settings!$E$52,DAY($B20))))&gt;=MAX($A20,Settings!$F$52),IF(Settings!$E$52="",$B20,DATE(YEAR($A20),MONTH($A20),MIN(Settings!$E$52,DAY($B20))))&lt;=MIN($C20,IF(Settings!$G$52="",$C20,Settings!$G$52))),1,0)))</f>
        <v/>
      </c>
      <c r="BM20">
        <f>IF(OR(Settings!$C$53="",Settings!$D$53=""),0,Settings!$C$53*IF(Settings!$D$53="Weekly",IF(IFERROR(MATCH(Settings!$E$53,$EO$4:$EO$10,0),0)=0,0,IF(MIN($C20,IF(Settings!$G$53="",$C20,Settings!$G$53))&lt;MAX($A20,Settings!$F$53),0,INT((MIN($C20,IF(Settings!$G$53="",$C20,Settings!$G$53))-MAX($A20,Settings!$F$53)-MOD(IFERROR(MATCH(Settings!$E$53,$EO$4:$EO$10,0),0)-WEEKDAY(MAX($A20,Settings!$F$53)),7))/7)+1)),IF(AND(IF(Settings!$E$53="",$B20,DATE(YEAR($A20),MONTH($A20),MIN(Settings!$E$53,DAY($B20))))&gt;=MAX($A20,Settings!$F$53),IF(Settings!$E$53="",$B20,DATE(YEAR($A20),MONTH($A20),MIN(Settings!$E$53,DAY($B20))))&lt;=MIN($C20,IF(Settings!$G$53="",$C20,Settings!$G$53))),1,0)))</f>
        <v/>
      </c>
      <c r="BN20">
        <f>IF(OR(Settings!$C$54="",Settings!$D$54=""),0,Settings!$C$54*IF(Settings!$D$54="Weekly",IF(IFERROR(MATCH(Settings!$E$54,$EO$4:$EO$10,0),0)=0,0,IF(MIN($C20,IF(Settings!$G$54="",$C20,Settings!$G$54))&lt;MAX($A20,Settings!$F$54),0,INT((MIN($C20,IF(Settings!$G$54="",$C20,Settings!$G$54))-MAX($A20,Settings!$F$54)-MOD(IFERROR(MATCH(Settings!$E$54,$EO$4:$EO$10,0),0)-WEEKDAY(MAX($A20,Settings!$F$54)),7))/7)+1)),IF(AND(IF(Settings!$E$54="",$B20,DATE(YEAR($A20),MONTH($A20),MIN(Settings!$E$54,DAY($B20))))&gt;=MAX($A20,Settings!$F$54),IF(Settings!$E$54="",$B20,DATE(YEAR($A20),MONTH($A20),MIN(Settings!$E$54,DAY($B20))))&lt;=MIN($C20,IF(Settings!$G$54="",$C20,Settings!$G$54))),1,0)))</f>
        <v/>
      </c>
      <c r="BO20">
        <f>IF(OR(Settings!$C$55="",Settings!$D$55=""),0,Settings!$C$55*IF(Settings!$D$55="Weekly",IF(IFERROR(MATCH(Settings!$E$55,$EO$4:$EO$10,0),0)=0,0,IF(MIN($C20,IF(Settings!$G$55="",$C20,Settings!$G$55))&lt;MAX($A20,Settings!$F$55),0,INT((MIN($C20,IF(Settings!$G$55="",$C20,Settings!$G$55))-MAX($A20,Settings!$F$55)-MOD(IFERROR(MATCH(Settings!$E$55,$EO$4:$EO$10,0),0)-WEEKDAY(MAX($A20,Settings!$F$55)),7))/7)+1)),IF(AND(IF(Settings!$E$55="",$B20,DATE(YEAR($A20),MONTH($A20),MIN(Settings!$E$55,DAY($B20))))&gt;=MAX($A20,Settings!$F$55),IF(Settings!$E$55="",$B20,DATE(YEAR($A20),MONTH($A20),MIN(Settings!$E$55,DAY($B20))))&lt;=MIN($C20,IF(Settings!$G$55="",$C20,Settings!$G$55))),1,0)))</f>
        <v/>
      </c>
      <c r="BP20">
        <f>IF(OR(Settings!$C$56="",Settings!$D$56=""),0,Settings!$C$56*IF(Settings!$D$56="Weekly",IF(IFERROR(MATCH(Settings!$E$56,$EO$4:$EO$10,0),0)=0,0,IF(MIN($C20,IF(Settings!$G$56="",$C20,Settings!$G$56))&lt;MAX($A20,Settings!$F$56),0,INT((MIN($C20,IF(Settings!$G$56="",$C20,Settings!$G$56))-MAX($A20,Settings!$F$56)-MOD(IFERROR(MATCH(Settings!$E$56,$EO$4:$EO$10,0),0)-WEEKDAY(MAX($A20,Settings!$F$56)),7))/7)+1)),IF(AND(IF(Settings!$E$56="",$B20,DATE(YEAR($A20),MONTH($A20),MIN(Settings!$E$56,DAY($B20))))&gt;=MAX($A20,Settings!$F$56),IF(Settings!$E$56="",$B20,DATE(YEAR($A20),MONTH($A20),MIN(Settings!$E$56,DAY($B20))))&lt;=MIN($C20,IF(Settings!$G$56="",$C20,Settings!$G$56))),1,0)))</f>
        <v/>
      </c>
      <c r="BQ20">
        <f>IF(OR(Settings!$B$14="",$D20=1,$E20="pre",$A20&lt;IF(Settings!$B$15="",0,Settings!$B$15)),0,Settings!$B$14)</f>
        <v/>
      </c>
      <c r="BR20">
        <f>IF(AND('Month-End'!$Q$7&lt;&gt;"",NOT(_xlfn.ISFORMULA('Month-End'!$Q$7))),1,0)</f>
        <v/>
      </c>
      <c r="BS20">
        <f>IF(AND('Month-End'!$Q$8&lt;&gt;"",NOT(_xlfn.ISFORMULA('Month-End'!$Q$8))),1,0)</f>
        <v/>
      </c>
      <c r="BT20">
        <f>IF(AND('Month-End'!$Q$9&lt;&gt;"",NOT(_xlfn.ISFORMULA('Month-End'!$Q$9))),1,0)</f>
        <v/>
      </c>
      <c r="BU20">
        <f>IF(AND('Month-End'!$Q$10&lt;&gt;"",NOT(_xlfn.ISFORMULA('Month-End'!$Q$10))),1,0)</f>
        <v/>
      </c>
      <c r="BV20">
        <f>IF(AND('Month-End'!$Q$11&lt;&gt;"",NOT(_xlfn.ISFORMULA('Month-End'!$Q$11))),1,0)</f>
        <v/>
      </c>
      <c r="BW20">
        <f>IF(AND('Month-End'!$Q$12&lt;&gt;"",NOT(_xlfn.ISFORMULA('Month-End'!$Q$12))),1,0)</f>
        <v/>
      </c>
      <c r="BX20">
        <f>IF(AND('Month-End'!$Q$13&lt;&gt;"",NOT(_xlfn.ISFORMULA('Month-End'!$Q$13))),1,0)</f>
        <v/>
      </c>
      <c r="BY20">
        <f>IF(AND('Month-End'!$Q$14&lt;&gt;"",NOT(_xlfn.ISFORMULA('Month-End'!$Q$14))),1,0)</f>
        <v/>
      </c>
      <c r="BZ20">
        <f>IF(AND('Month-End'!$Q$15&lt;&gt;"",NOT(_xlfn.ISFORMULA('Month-End'!$Q$15))),1,0)</f>
        <v/>
      </c>
      <c r="CA20">
        <f>IF(AND('Month-End'!$Q$16&lt;&gt;"",NOT(_xlfn.ISFORMULA('Month-End'!$Q$16))),1,0)</f>
        <v/>
      </c>
      <c r="CB20">
        <f>IF(AND('Month-End'!$Q$17&lt;&gt;"",NOT(_xlfn.ISFORMULA('Month-End'!$Q$17))),1,0)</f>
        <v/>
      </c>
      <c r="CC20">
        <f>IF(AND('Month-End'!$Q$18&lt;&gt;"",NOT(_xlfn.ISFORMULA('Month-End'!$Q$18))),1,0)</f>
        <v/>
      </c>
      <c r="CD20">
        <f>IF(AND('Month-End'!$Q$19&lt;&gt;"",NOT(_xlfn.ISFORMULA('Month-End'!$Q$19))),1,0)</f>
        <v/>
      </c>
      <c r="CE20">
        <f>IF(AND('Month-End'!$Q$20&lt;&gt;"",NOT(_xlfn.ISFORMULA('Month-End'!$Q$20))),1,0)</f>
        <v/>
      </c>
      <c r="CF20">
        <f>IF(AND('Month-End'!$Q$38&lt;&gt;"",NOT(_xlfn.ISFORMULA('Month-End'!$Q$38))),1,0)</f>
        <v/>
      </c>
      <c r="CG20">
        <f>IF(AND('Month-End'!$Q$39&lt;&gt;"",NOT(_xlfn.ISFORMULA('Month-End'!$Q$39))),1,0)</f>
        <v/>
      </c>
      <c r="CH20">
        <f>IF(AND('Month-End'!$Q$40&lt;&gt;"",NOT(_xlfn.ISFORMULA('Month-End'!$Q$40))),1,0)</f>
        <v/>
      </c>
      <c r="CI20">
        <f>IF(AND('Month-End'!$Q$41&lt;&gt;"",NOT(_xlfn.ISFORMULA('Month-End'!$Q$41))),1,0)</f>
        <v/>
      </c>
      <c r="CJ20">
        <f>IF(AND('Month-End'!$Q$42&lt;&gt;"",NOT(_xlfn.ISFORMULA('Month-End'!$Q$42))),1,0)</f>
        <v/>
      </c>
      <c r="CK20">
        <f>IF(AND('Month-End'!$Q$43&lt;&gt;"",NOT(_xlfn.ISFORMULA('Month-End'!$Q$43))),1,0)</f>
        <v/>
      </c>
      <c r="CL20">
        <f>SUM($CM20:$CZ20)</f>
        <v/>
      </c>
      <c r="CM20">
        <f>IF(AND($E20&lt;&gt;"pre",AND(Settings!$A$19&lt;&gt;"",Settings!$E$19&lt;&gt;"No"),Settings!$F$19="Yes",NOT(AND('Month-End'!$Q$7&lt;&gt;"",NOT(_xlfn.ISFORMULA('Month-End'!$Q$7))))),1,0)</f>
        <v/>
      </c>
      <c r="CN20">
        <f>IF(AND($E20&lt;&gt;"pre",AND(Settings!$A$20&lt;&gt;"",Settings!$E$20&lt;&gt;"No"),Settings!$F$20="Yes",NOT(AND('Month-End'!$Q$8&lt;&gt;"",NOT(_xlfn.ISFORMULA('Month-End'!$Q$8))))),1,0)</f>
        <v/>
      </c>
      <c r="CO20">
        <f>IF(AND($E20&lt;&gt;"pre",AND(Settings!$A$21&lt;&gt;"",Settings!$E$21&lt;&gt;"No"),Settings!$F$21="Yes",NOT(AND('Month-End'!$Q$9&lt;&gt;"",NOT(_xlfn.ISFORMULA('Month-End'!$Q$9))))),1,0)</f>
        <v/>
      </c>
      <c r="CP20">
        <f>IF(AND($E20&lt;&gt;"pre",AND(Settings!$A$22&lt;&gt;"",Settings!$E$22&lt;&gt;"No"),Settings!$F$22="Yes",NOT(AND('Month-End'!$Q$10&lt;&gt;"",NOT(_xlfn.ISFORMULA('Month-End'!$Q$10))))),1,0)</f>
        <v/>
      </c>
      <c r="CQ20">
        <f>IF(AND($E20&lt;&gt;"pre",AND(Settings!$A$23&lt;&gt;"",Settings!$E$23&lt;&gt;"No"),Settings!$F$23="Yes",NOT(AND('Month-End'!$Q$11&lt;&gt;"",NOT(_xlfn.ISFORMULA('Month-End'!$Q$11))))),1,0)</f>
        <v/>
      </c>
      <c r="CR20">
        <f>IF(AND($E20&lt;&gt;"pre",AND(Settings!$A$24&lt;&gt;"",Settings!$E$24&lt;&gt;"No"),Settings!$F$24="Yes",NOT(AND('Month-End'!$Q$12&lt;&gt;"",NOT(_xlfn.ISFORMULA('Month-End'!$Q$12))))),1,0)</f>
        <v/>
      </c>
      <c r="CS20">
        <f>IF(AND($E20&lt;&gt;"pre",AND(Settings!$A$25&lt;&gt;"",Settings!$E$25&lt;&gt;"No"),Settings!$F$25="Yes",NOT(AND('Month-End'!$Q$13&lt;&gt;"",NOT(_xlfn.ISFORMULA('Month-End'!$Q$13))))),1,0)</f>
        <v/>
      </c>
      <c r="CT20">
        <f>IF(AND($E20&lt;&gt;"pre",AND(Settings!$A$26&lt;&gt;"",Settings!$E$26&lt;&gt;"No"),Settings!$F$26="Yes",NOT(AND('Month-End'!$Q$14&lt;&gt;"",NOT(_xlfn.ISFORMULA('Month-End'!$Q$14))))),1,0)</f>
        <v/>
      </c>
      <c r="CU20">
        <f>IF(AND($E20&lt;&gt;"pre",AND(Settings!$A$27&lt;&gt;"",Settings!$E$27&lt;&gt;"No"),Settings!$F$27="Yes",NOT(AND('Month-End'!$Q$15&lt;&gt;"",NOT(_xlfn.ISFORMULA('Month-End'!$Q$15))))),1,0)</f>
        <v/>
      </c>
      <c r="CV20">
        <f>IF(AND($E20&lt;&gt;"pre",AND(Settings!$A$28&lt;&gt;"",Settings!$E$28&lt;&gt;"No"),Settings!$F$28="Yes",NOT(AND('Month-End'!$Q$16&lt;&gt;"",NOT(_xlfn.ISFORMULA('Month-End'!$Q$16))))),1,0)</f>
        <v/>
      </c>
      <c r="CW20">
        <f>IF(AND($E20&lt;&gt;"pre",AND(Settings!$A$29&lt;&gt;"",Settings!$E$29&lt;&gt;"No"),Settings!$F$29="Yes",NOT(AND('Month-End'!$Q$17&lt;&gt;"",NOT(_xlfn.ISFORMULA('Month-End'!$Q$17))))),1,0)</f>
        <v/>
      </c>
      <c r="CX20">
        <f>IF(AND($E20&lt;&gt;"pre",AND(Settings!$A$30&lt;&gt;"",Settings!$E$30&lt;&gt;"No"),Settings!$F$30="Yes",NOT(AND('Month-End'!$Q$18&lt;&gt;"",NOT(_xlfn.ISFORMULA('Month-End'!$Q$18))))),1,0)</f>
        <v/>
      </c>
      <c r="CY20">
        <f>IF(AND($E20&lt;&gt;"pre",AND(Settings!$A$31&lt;&gt;"",Settings!$E$31&lt;&gt;"No"),Settings!$F$31="Yes",NOT(AND('Month-End'!$Q$19&lt;&gt;"",NOT(_xlfn.ISFORMULA('Month-End'!$Q$19))))),1,0)</f>
        <v/>
      </c>
      <c r="CZ20">
        <f>IF(AND($E20&lt;&gt;"pre",AND(Settings!$A$32&lt;&gt;"",Settings!$E$32&lt;&gt;"No"),Settings!$F$32="Yes",NOT(AND('Month-End'!$Q$20&lt;&gt;"",NOT(_xlfn.ISFORMULA('Month-End'!$Q$20))))),1,0)</f>
        <v/>
      </c>
      <c r="DA20">
        <f>IF($DT20=1,IF(OR(Settings!$B$19="Checking",Settings!$B$19="Savings",Settings!$B$19="Cash"),N($AE20),IF(OR(Settings!$B$19="Card",Settings!$B$19="Loan"),-N($AE20),0))+IF(OR(Settings!$B$20="Checking",Settings!$B$20="Savings",Settings!$B$20="Cash"),N($AF20),IF(OR(Settings!$B$20="Card",Settings!$B$20="Loan"),-N($AF20),0))+IF(OR(Settings!$B$21="Checking",Settings!$B$21="Savings",Settings!$B$21="Cash"),N($AG20),IF(OR(Settings!$B$21="Card",Settings!$B$21="Loan"),-N($AG20),0))+IF(OR(Settings!$B$22="Checking",Settings!$B$22="Savings",Settings!$B$22="Cash"),N($AH20),IF(OR(Settings!$B$22="Card",Settings!$B$22="Loan"),-N($AH20),0))+IF(OR(Settings!$B$23="Checking",Settings!$B$23="Savings",Settings!$B$23="Cash"),N($AI20),IF(OR(Settings!$B$23="Card",Settings!$B$23="Loan"),-N($AI20),0))+IF(OR(Settings!$B$24="Checking",Settings!$B$24="Savings",Settings!$B$24="Cash"),N($AJ20),IF(OR(Settings!$B$24="Card",Settings!$B$24="Loan"),-N($AJ20),0))+IF(OR(Settings!$B$25="Checking",Settings!$B$25="Savings",Settings!$B$25="Cash"),N($AK20),IF(OR(Settings!$B$25="Card",Settings!$B$25="Loan"),-N($AK20),0))+IF(OR(Settings!$B$26="Checking",Settings!$B$26="Savings",Settings!$B$26="Cash"),N($AL20),IF(OR(Settings!$B$26="Card",Settings!$B$26="Loan"),-N($AL20),0))+IF(OR(Settings!$B$27="Checking",Settings!$B$27="Savings",Settings!$B$27="Cash"),N($AM20),IF(OR(Settings!$B$27="Card",Settings!$B$27="Loan"),-N($AM20),0))+IF(OR(Settings!$B$28="Checking",Settings!$B$28="Savings",Settings!$B$28="Cash"),N($AN20),IF(OR(Settings!$B$28="Card",Settings!$B$28="Loan"),-N($AN20),0))+IF(OR(Settings!$B$29="Checking",Settings!$B$29="Savings",Settings!$B$29="Cash"),N($AO20),IF(OR(Settings!$B$29="Card",Settings!$B$29="Loan"),-N($AO20),0))+IF(OR(Settings!$B$30="Checking",Settings!$B$30="Savings",Settings!$B$30="Cash"),N($AP20),IF(OR(Settings!$B$30="Card",Settings!$B$30="Loan"),-N($AP20),0))+IF(OR(Settings!$B$31="Checking",Settings!$B$31="Savings",Settings!$B$31="Cash"),N($AQ20),IF(OR(Settings!$B$31="Card",Settings!$B$31="Loan"),-N($AQ20),0))+IF(OR(Settings!$B$32="Checking",Settings!$B$32="Savings",Settings!$B$32="Cash"),N($AR20),IF(OR(Settings!$B$32="Card",Settings!$B$32="Loan"),-N($AR20),0)),"")</f>
        <v/>
      </c>
      <c r="DB20">
        <f>IF($E20="open",$EB$27,IF($E20="post",IF($E19="pre",$EB$27,$DA19),""))</f>
        <v/>
      </c>
      <c r="DC20">
        <f>IF($E20="open",1,IF($E20="post",IF($E19="pre",1,$DT19),0))</f>
        <v/>
      </c>
      <c r="DD20">
        <f>IF(AND($DT20=1,$DC20=1),ROUND($W20-($DA20-$DB20)-$AD20-$AB20,2),"")</f>
        <v/>
      </c>
      <c r="DE20">
        <f>IF('Month-End'!$Q$35="",$BQ20,N('Month-End'!$Q$35))</f>
        <v/>
      </c>
      <c r="DF20">
        <f>N('Month-End'!$Q$36)</f>
        <v/>
      </c>
      <c r="DG20">
        <f>IF($DD20="","",$DD20+$DE20)</f>
        <v/>
      </c>
      <c r="DH20">
        <f>IF($DG20="","",$DG20-$DF20)</f>
        <v/>
      </c>
      <c r="DI20">
        <f>IF(OR($E20="pre",$D20=1),"",N($AS20)+N($AT20)+N($AU20)+N($AV20)+N($AW20)+N($AX20))</f>
        <v/>
      </c>
      <c r="DJ20">
        <f>IF($DT20=1,$DA20+N($DI20),"")</f>
        <v/>
      </c>
      <c r="DK20">
        <f>IF($DD20="","",$W20-$DD20-$AB20)</f>
        <v/>
      </c>
      <c r="DL20">
        <f>IF(AND($E20="post",$DD20&lt;&gt;"",$B20&lt;TODAY()),1,0)</f>
        <v/>
      </c>
      <c r="DM20">
        <f>IF($DL20=1,COUNTIF($DL20:$DL$183,1),0)</f>
        <v/>
      </c>
      <c r="DN20">
        <f>IF($D20=1,"",IF($E20="pre","History only",IF($DT20=1,IF($DD20="","⚠ Previous month missing",IF($DD20&lt;0,"⚠ Check: spending &lt; 0",IF($E20="open","✓ Done (partial)","✓ Done"))),IF($B20&gt;=TODAY(),"In progress","⚠ Needs balances"))))</f>
        <v/>
      </c>
      <c r="DO20">
        <f>YEAR($A20)</f>
        <v/>
      </c>
      <c r="DP20">
        <f>DATE(YEAR($A20),INT((MONTH($A20)-1)/3)*3+1,1)</f>
        <v/>
      </c>
      <c r="DQ20">
        <f>IF(AND($DT20=1,$DD20&lt;&gt;"",$D20=0),ROW(),0)</f>
        <v/>
      </c>
      <c r="DR20">
        <f>IF(AND($E20&lt;&gt;"pre",$B20&lt;TODAY(),$DT20=0),1,0)</f>
        <v/>
      </c>
      <c r="DS20">
        <f>IF($DJ20="",NA(),$DJ20)</f>
        <v/>
      </c>
      <c r="DT20">
        <f>IF(AND($E20&lt;&gt;"pre",$CL20=0,COUNTIFS(Settings!$F$19:$F$32,"Yes",Settings!$A$19:$A$32,"&lt;&gt;",Settings!$E$19:$E$32,"&lt;&gt;No")&gt;0),1,0)</f>
        <v/>
      </c>
      <c r="DU20">
        <f>IF(AND($B20&lt;TODAY(),$S20&gt;0),1,0)</f>
        <v/>
      </c>
      <c r="DV20">
        <f>IF($DU20=1,COUNTIF($DU20:$DU$183,1),0)</f>
        <v/>
      </c>
      <c r="DW20">
        <f>IF(AND(OR(Settings!$B$19="Card",Settings!$B$19="Loan"),AND('Month-End'!$Q$7&lt;&gt;"",NOT(_xlfn.ISFORMULA('Month-End'!$Q$7)))),IF(N('Month-End'!$Q$7)&lt;0,1,0),0)+IF(AND(OR(Settings!$B$20="Card",Settings!$B$20="Loan"),AND('Month-End'!$Q$8&lt;&gt;"",NOT(_xlfn.ISFORMULA('Month-End'!$Q$8)))),IF(N('Month-End'!$Q$8)&lt;0,1,0),0)+IF(AND(OR(Settings!$B$21="Card",Settings!$B$21="Loan"),AND('Month-End'!$Q$9&lt;&gt;"",NOT(_xlfn.ISFORMULA('Month-End'!$Q$9)))),IF(N('Month-End'!$Q$9)&lt;0,1,0),0)+IF(AND(OR(Settings!$B$22="Card",Settings!$B$22="Loan"),AND('Month-End'!$Q$10&lt;&gt;"",NOT(_xlfn.ISFORMULA('Month-End'!$Q$10)))),IF(N('Month-End'!$Q$10)&lt;0,1,0),0)+IF(AND(OR(Settings!$B$23="Card",Settings!$B$23="Loan"),AND('Month-End'!$Q$11&lt;&gt;"",NOT(_xlfn.ISFORMULA('Month-End'!$Q$11)))),IF(N('Month-End'!$Q$11)&lt;0,1,0),0)+IF(AND(OR(Settings!$B$24="Card",Settings!$B$24="Loan"),AND('Month-End'!$Q$12&lt;&gt;"",NOT(_xlfn.ISFORMULA('Month-End'!$Q$12)))),IF(N('Month-End'!$Q$12)&lt;0,1,0),0)+IF(AND(OR(Settings!$B$25="Card",Settings!$B$25="Loan"),AND('Month-End'!$Q$13&lt;&gt;"",NOT(_xlfn.ISFORMULA('Month-End'!$Q$13)))),IF(N('Month-End'!$Q$13)&lt;0,1,0),0)+IF(AND(OR(Settings!$B$26="Card",Settings!$B$26="Loan"),AND('Month-End'!$Q$14&lt;&gt;"",NOT(_xlfn.ISFORMULA('Month-End'!$Q$14)))),IF(N('Month-End'!$Q$14)&lt;0,1,0),0)+IF(AND(OR(Settings!$B$27="Card",Settings!$B$27="Loan"),AND('Month-End'!$Q$15&lt;&gt;"",NOT(_xlfn.ISFORMULA('Month-End'!$Q$15)))),IF(N('Month-End'!$Q$15)&lt;0,1,0),0)+IF(AND(OR(Settings!$B$28="Card",Settings!$B$28="Loan"),AND('Month-End'!$Q$16&lt;&gt;"",NOT(_xlfn.ISFORMULA('Month-End'!$Q$16)))),IF(N('Month-End'!$Q$16)&lt;0,1,0),0)+IF(AND(OR(Settings!$B$29="Card",Settings!$B$29="Loan"),AND('Month-End'!$Q$17&lt;&gt;"",NOT(_xlfn.ISFORMULA('Month-End'!$Q$17)))),IF(N('Month-End'!$Q$17)&lt;0,1,0),0)+IF(AND(OR(Settings!$B$30="Card",Settings!$B$30="Loan"),AND('Month-End'!$Q$18&lt;&gt;"",NOT(_xlfn.ISFORMULA('Month-End'!$Q$18)))),IF(N('Month-End'!$Q$18)&lt;0,1,0),0)+IF(AND(OR(Settings!$B$31="Card",Settings!$B$31="Loan"),AND('Month-End'!$Q$19&lt;&gt;"",NOT(_xlfn.ISFORMULA('Month-End'!$Q$19)))),IF(N('Month-End'!$Q$19)&lt;0,1,0),0)+IF(AND(OR(Settings!$B$32="Card",Settings!$B$32="Loan"),AND('Month-End'!$Q$20&lt;&gt;"",NOT(_xlfn.ISFORMULA('Month-End'!$Q$20)))),IF(N('Month-End'!$Q$20)&lt;0,1,0),0)</f>
        <v/>
      </c>
      <c r="DX20">
        <f>IF(Settings!$B$36="Retirement",$AY20,0)+IF(Settings!$B$37="Retirement",$AZ20,0)+IF(Settings!$B$38="Retirement",$BA20,0)+IF(Settings!$B$39="Retirement",$BB20,0)+IF(Settings!$B$40="Retirement",$BC20,0)+IF(Settings!$B$41="Retirement",$BD20,0)</f>
        <v/>
      </c>
      <c r="EA20" t="inlineStr">
        <is>
          <t>Retirement Contributions This Year</t>
        </is>
      </c>
      <c r="EB20">
        <f>IF(AND(Settings!$A$36&lt;&gt;"",YEAR(Settings!$B$5)=YEAR(TODAY()),Settings!$B$36="Retirement"),N(Settings!$E$36),0)+IF(AND(Settings!$A$37&lt;&gt;"",YEAR(Settings!$B$5)=YEAR(TODAY()),Settings!$B$37="Retirement"),N(Settings!$E$37),0)+IF(AND(Settings!$A$38&lt;&gt;"",YEAR(Settings!$B$5)=YEAR(TODAY()),Settings!$B$38="Retirement"),N(Settings!$E$38),0)+IF(AND(Settings!$A$39&lt;&gt;"",YEAR(Settings!$B$5)=YEAR(TODAY()),Settings!$B$39="Retirement"),N(Settings!$E$39),0)+IF(AND(Settings!$A$40&lt;&gt;"",YEAR(Settings!$B$5)=YEAR(TODAY()),Settings!$B$40="Retirement"),N(Settings!$E$40),0)+IF(AND(Settings!$A$41&lt;&gt;"",YEAR(Settings!$B$5)=YEAR(TODAY()),Settings!$B$41="Retirement"),N(Settings!$E$41),0)+SUMIFS($DX$6:$DX$183,$DO$6:$DO$183,YEAR(TODAY()),$D$6:$D$183,0)</f>
        <v/>
      </c>
      <c r="ET20">
        <f>IF($E20&lt;&gt;"open",0,IF(AND('Month-End'!$Q$22&lt;&gt;"",NOT(_xlfn.ISFORMULA('Month-End'!$Q$22))),0,IF(OR(Settings!$C$45="",Settings!$D$45=""),0,Settings!$C$45*IF(Settings!$D$45="Weekly",IF(IFERROR(MATCH(Settings!$E$45,$EO$4:$EO$10,0),0)=0,0,IF(MIN(Settings!$B$5,IF(Settings!$G$45="",Settings!$B$5,Settings!$G$45))&lt;MAX($A20,Settings!$F$45),0,INT((MIN(Settings!$B$5,IF(Settings!$G$45="",Settings!$B$5,Settings!$G$45))-MAX($A20,Settings!$F$45)-MOD(IFERROR(MATCH(Settings!$E$45,$EO$4:$EO$10,0),0)-WEEKDAY(MAX($A20,Settings!$F$45)),7))/7)+1)),IF(AND(IF(Settings!$E$45="",$B20,DATE(YEAR($A20),MONTH($A20),MIN(Settings!$E$45,DAY($B20))))&gt;=MAX($A20,Settings!$F$45),IF(Settings!$E$45="",$B20,DATE(YEAR($A20),MONTH($A20),MIN(Settings!$E$45,DAY($B20))))&lt;=MIN(Settings!$B$5,IF(Settings!$G$45="",Settings!$B$5,Settings!$G$45))),1,0)))))</f>
        <v/>
      </c>
      <c r="EU20">
        <f>IF($E20&lt;&gt;"open",0,IF(AND('Month-End'!$Q$23&lt;&gt;"",NOT(_xlfn.ISFORMULA('Month-End'!$Q$23))),0,IF(OR(Settings!$C$46="",Settings!$D$46=""),0,Settings!$C$46*IF(Settings!$D$46="Weekly",IF(IFERROR(MATCH(Settings!$E$46,$EO$4:$EO$10,0),0)=0,0,IF(MIN(Settings!$B$5,IF(Settings!$G$46="",Settings!$B$5,Settings!$G$46))&lt;MAX($A20,Settings!$F$46),0,INT((MIN(Settings!$B$5,IF(Settings!$G$46="",Settings!$B$5,Settings!$G$46))-MAX($A20,Settings!$F$46)-MOD(IFERROR(MATCH(Settings!$E$46,$EO$4:$EO$10,0),0)-WEEKDAY(MAX($A20,Settings!$F$46)),7))/7)+1)),IF(AND(IF(Settings!$E$46="",$B20,DATE(YEAR($A20),MONTH($A20),MIN(Settings!$E$46,DAY($B20))))&gt;=MAX($A20,Settings!$F$46),IF(Settings!$E$46="",$B20,DATE(YEAR($A20),MONTH($A20),MIN(Settings!$E$46,DAY($B20))))&lt;=MIN(Settings!$B$5,IF(Settings!$G$46="",Settings!$B$5,Settings!$G$46))),1,0)))))</f>
        <v/>
      </c>
      <c r="EV20">
        <f>IF($E20&lt;&gt;"open",0,IF(AND('Month-End'!$Q$24&lt;&gt;"",NOT(_xlfn.ISFORMULA('Month-End'!$Q$24))),0,IF(OR(Settings!$C$47="",Settings!$D$47=""),0,Settings!$C$47*IF(Settings!$D$47="Weekly",IF(IFERROR(MATCH(Settings!$E$47,$EO$4:$EO$10,0),0)=0,0,IF(MIN(Settings!$B$5,IF(Settings!$G$47="",Settings!$B$5,Settings!$G$47))&lt;MAX($A20,Settings!$F$47),0,INT((MIN(Settings!$B$5,IF(Settings!$G$47="",Settings!$B$5,Settings!$G$47))-MAX($A20,Settings!$F$47)-MOD(IFERROR(MATCH(Settings!$E$47,$EO$4:$EO$10,0),0)-WEEKDAY(MAX($A20,Settings!$F$47)),7))/7)+1)),IF(AND(IF(Settings!$E$47="",$B20,DATE(YEAR($A20),MONTH($A20),MIN(Settings!$E$47,DAY($B20))))&gt;=MAX($A20,Settings!$F$47),IF(Settings!$E$47="",$B20,DATE(YEAR($A20),MONTH($A20),MIN(Settings!$E$47,DAY($B20))))&lt;=MIN(Settings!$B$5,IF(Settings!$G$47="",Settings!$B$5,Settings!$G$47))),1,0)))))</f>
        <v/>
      </c>
      <c r="EW20">
        <f>IF($E20&lt;&gt;"open",0,IF(AND('Month-End'!$Q$25&lt;&gt;"",NOT(_xlfn.ISFORMULA('Month-End'!$Q$25))),0,IF(OR(Settings!$C$48="",Settings!$D$48=""),0,Settings!$C$48*IF(Settings!$D$48="Weekly",IF(IFERROR(MATCH(Settings!$E$48,$EO$4:$EO$10,0),0)=0,0,IF(MIN(Settings!$B$5,IF(Settings!$G$48="",Settings!$B$5,Settings!$G$48))&lt;MAX($A20,Settings!$F$48),0,INT((MIN(Settings!$B$5,IF(Settings!$G$48="",Settings!$B$5,Settings!$G$48))-MAX($A20,Settings!$F$48)-MOD(IFERROR(MATCH(Settings!$E$48,$EO$4:$EO$10,0),0)-WEEKDAY(MAX($A20,Settings!$F$48)),7))/7)+1)),IF(AND(IF(Settings!$E$48="",$B20,DATE(YEAR($A20),MONTH($A20),MIN(Settings!$E$48,DAY($B20))))&gt;=MAX($A20,Settings!$F$48),IF(Settings!$E$48="",$B20,DATE(YEAR($A20),MONTH($A20),MIN(Settings!$E$48,DAY($B20))))&lt;=MIN(Settings!$B$5,IF(Settings!$G$48="",Settings!$B$5,Settings!$G$48))),1,0)))))</f>
        <v/>
      </c>
      <c r="EX20">
        <f>IF($E20&lt;&gt;"open",0,IF(AND('Month-End'!$Q$26&lt;&gt;"",NOT(_xlfn.ISFORMULA('Month-End'!$Q$26))),0,IF(OR(Settings!$C$49="",Settings!$D$49=""),0,Settings!$C$49*IF(Settings!$D$49="Weekly",IF(IFERROR(MATCH(Settings!$E$49,$EO$4:$EO$10,0),0)=0,0,IF(MIN(Settings!$B$5,IF(Settings!$G$49="",Settings!$B$5,Settings!$G$49))&lt;MAX($A20,Settings!$F$49),0,INT((MIN(Settings!$B$5,IF(Settings!$G$49="",Settings!$B$5,Settings!$G$49))-MAX($A20,Settings!$F$49)-MOD(IFERROR(MATCH(Settings!$E$49,$EO$4:$EO$10,0),0)-WEEKDAY(MAX($A20,Settings!$F$49)),7))/7)+1)),IF(AND(IF(Settings!$E$49="",$B20,DATE(YEAR($A20),MONTH($A20),MIN(Settings!$E$49,DAY($B20))))&gt;=MAX($A20,Settings!$F$49),IF(Settings!$E$49="",$B20,DATE(YEAR($A20),MONTH($A20),MIN(Settings!$E$49,DAY($B20))))&lt;=MIN(Settings!$B$5,IF(Settings!$G$49="",Settings!$B$5,Settings!$G$49))),1,0)))))</f>
        <v/>
      </c>
      <c r="EY20">
        <f>IF($E20&lt;&gt;"open",0,IF(AND('Month-End'!$Q$27&lt;&gt;"",NOT(_xlfn.ISFORMULA('Month-End'!$Q$27))),0,IF(OR(Settings!$C$50="",Settings!$D$50=""),0,Settings!$C$50*IF(Settings!$D$50="Weekly",IF(IFERROR(MATCH(Settings!$E$50,$EO$4:$EO$10,0),0)=0,0,IF(MIN(Settings!$B$5,IF(Settings!$G$50="",Settings!$B$5,Settings!$G$50))&lt;MAX($A20,Settings!$F$50),0,INT((MIN(Settings!$B$5,IF(Settings!$G$50="",Settings!$B$5,Settings!$G$50))-MAX($A20,Settings!$F$50)-MOD(IFERROR(MATCH(Settings!$E$50,$EO$4:$EO$10,0),0)-WEEKDAY(MAX($A20,Settings!$F$50)),7))/7)+1)),IF(AND(IF(Settings!$E$50="",$B20,DATE(YEAR($A20),MONTH($A20),MIN(Settings!$E$50,DAY($B20))))&gt;=MAX($A20,Settings!$F$50),IF(Settings!$E$50="",$B20,DATE(YEAR($A20),MONTH($A20),MIN(Settings!$E$50,DAY($B20))))&lt;=MIN(Settings!$B$5,IF(Settings!$G$50="",Settings!$B$5,Settings!$G$50))),1,0)))))</f>
        <v/>
      </c>
      <c r="EZ20">
        <f>IF($E20&lt;&gt;"open",0,IF(AND('Month-End'!$Q$28&lt;&gt;"",NOT(_xlfn.ISFORMULA('Month-End'!$Q$28))),0,IF(OR(Settings!$C$51="",Settings!$D$51=""),0,Settings!$C$51*IF(Settings!$D$51="Weekly",IF(IFERROR(MATCH(Settings!$E$51,$EO$4:$EO$10,0),0)=0,0,IF(MIN(Settings!$B$5,IF(Settings!$G$51="",Settings!$B$5,Settings!$G$51))&lt;MAX($A20,Settings!$F$51),0,INT((MIN(Settings!$B$5,IF(Settings!$G$51="",Settings!$B$5,Settings!$G$51))-MAX($A20,Settings!$F$51)-MOD(IFERROR(MATCH(Settings!$E$51,$EO$4:$EO$10,0),0)-WEEKDAY(MAX($A20,Settings!$F$51)),7))/7)+1)),IF(AND(IF(Settings!$E$51="",$B20,DATE(YEAR($A20),MONTH($A20),MIN(Settings!$E$51,DAY($B20))))&gt;=MAX($A20,Settings!$F$51),IF(Settings!$E$51="",$B20,DATE(YEAR($A20),MONTH($A20),MIN(Settings!$E$51,DAY($B20))))&lt;=MIN(Settings!$B$5,IF(Settings!$G$51="",Settings!$B$5,Settings!$G$51))),1,0)))))</f>
        <v/>
      </c>
      <c r="FA20">
        <f>IF($E20&lt;&gt;"open",0,IF(AND('Month-End'!$Q$29&lt;&gt;"",NOT(_xlfn.ISFORMULA('Month-End'!$Q$29))),0,IF(OR(Settings!$C$52="",Settings!$D$52=""),0,Settings!$C$52*IF(Settings!$D$52="Weekly",IF(IFERROR(MATCH(Settings!$E$52,$EO$4:$EO$10,0),0)=0,0,IF(MIN(Settings!$B$5,IF(Settings!$G$52="",Settings!$B$5,Settings!$G$52))&lt;MAX($A20,Settings!$F$52),0,INT((MIN(Settings!$B$5,IF(Settings!$G$52="",Settings!$B$5,Settings!$G$52))-MAX($A20,Settings!$F$52)-MOD(IFERROR(MATCH(Settings!$E$52,$EO$4:$EO$10,0),0)-WEEKDAY(MAX($A20,Settings!$F$52)),7))/7)+1)),IF(AND(IF(Settings!$E$52="",$B20,DATE(YEAR($A20),MONTH($A20),MIN(Settings!$E$52,DAY($B20))))&gt;=MAX($A20,Settings!$F$52),IF(Settings!$E$52="",$B20,DATE(YEAR($A20),MONTH($A20),MIN(Settings!$E$52,DAY($B20))))&lt;=MIN(Settings!$B$5,IF(Settings!$G$52="",Settings!$B$5,Settings!$G$52))),1,0)))))</f>
        <v/>
      </c>
      <c r="FB20">
        <f>IF($E20&lt;&gt;"open",0,IF(AND('Month-End'!$Q$30&lt;&gt;"",NOT(_xlfn.ISFORMULA('Month-End'!$Q$30))),0,IF(OR(Settings!$C$53="",Settings!$D$53=""),0,Settings!$C$53*IF(Settings!$D$53="Weekly",IF(IFERROR(MATCH(Settings!$E$53,$EO$4:$EO$10,0),0)=0,0,IF(MIN(Settings!$B$5,IF(Settings!$G$53="",Settings!$B$5,Settings!$G$53))&lt;MAX($A20,Settings!$F$53),0,INT((MIN(Settings!$B$5,IF(Settings!$G$53="",Settings!$B$5,Settings!$G$53))-MAX($A20,Settings!$F$53)-MOD(IFERROR(MATCH(Settings!$E$53,$EO$4:$EO$10,0),0)-WEEKDAY(MAX($A20,Settings!$F$53)),7))/7)+1)),IF(AND(IF(Settings!$E$53="",$B20,DATE(YEAR($A20),MONTH($A20),MIN(Settings!$E$53,DAY($B20))))&gt;=MAX($A20,Settings!$F$53),IF(Settings!$E$53="",$B20,DATE(YEAR($A20),MONTH($A20),MIN(Settings!$E$53,DAY($B20))))&lt;=MIN(Settings!$B$5,IF(Settings!$G$53="",Settings!$B$5,Settings!$G$53))),1,0)))))</f>
        <v/>
      </c>
      <c r="FC20">
        <f>IF($E20&lt;&gt;"open",0,IF(AND('Month-End'!$Q$31&lt;&gt;"",NOT(_xlfn.ISFORMULA('Month-End'!$Q$31))),0,IF(OR(Settings!$C$54="",Settings!$D$54=""),0,Settings!$C$54*IF(Settings!$D$54="Weekly",IF(IFERROR(MATCH(Settings!$E$54,$EO$4:$EO$10,0),0)=0,0,IF(MIN(Settings!$B$5,IF(Settings!$G$54="",Settings!$B$5,Settings!$G$54))&lt;MAX($A20,Settings!$F$54),0,INT((MIN(Settings!$B$5,IF(Settings!$G$54="",Settings!$B$5,Settings!$G$54))-MAX($A20,Settings!$F$54)-MOD(IFERROR(MATCH(Settings!$E$54,$EO$4:$EO$10,0),0)-WEEKDAY(MAX($A20,Settings!$F$54)),7))/7)+1)),IF(AND(IF(Settings!$E$54="",$B20,DATE(YEAR($A20),MONTH($A20),MIN(Settings!$E$54,DAY($B20))))&gt;=MAX($A20,Settings!$F$54),IF(Settings!$E$54="",$B20,DATE(YEAR($A20),MONTH($A20),MIN(Settings!$E$54,DAY($B20))))&lt;=MIN(Settings!$B$5,IF(Settings!$G$54="",Settings!$B$5,Settings!$G$54))),1,0)))))</f>
        <v/>
      </c>
      <c r="FD20">
        <f>IF($E20&lt;&gt;"open",0,IF(AND('Month-End'!$Q$32&lt;&gt;"",NOT(_xlfn.ISFORMULA('Month-End'!$Q$32))),0,IF(OR(Settings!$C$55="",Settings!$D$55=""),0,Settings!$C$55*IF(Settings!$D$55="Weekly",IF(IFERROR(MATCH(Settings!$E$55,$EO$4:$EO$10,0),0)=0,0,IF(MIN(Settings!$B$5,IF(Settings!$G$55="",Settings!$B$5,Settings!$G$55))&lt;MAX($A20,Settings!$F$55),0,INT((MIN(Settings!$B$5,IF(Settings!$G$55="",Settings!$B$5,Settings!$G$55))-MAX($A20,Settings!$F$55)-MOD(IFERROR(MATCH(Settings!$E$55,$EO$4:$EO$10,0),0)-WEEKDAY(MAX($A20,Settings!$F$55)),7))/7)+1)),IF(AND(IF(Settings!$E$55="",$B20,DATE(YEAR($A20),MONTH($A20),MIN(Settings!$E$55,DAY($B20))))&gt;=MAX($A20,Settings!$F$55),IF(Settings!$E$55="",$B20,DATE(YEAR($A20),MONTH($A20),MIN(Settings!$E$55,DAY($B20))))&lt;=MIN(Settings!$B$5,IF(Settings!$G$55="",Settings!$B$5,Settings!$G$55))),1,0)))))</f>
        <v/>
      </c>
      <c r="FE20">
        <f>IF($E20&lt;&gt;"open",0,IF(AND('Month-End'!$Q$33&lt;&gt;"",NOT(_xlfn.ISFORMULA('Month-End'!$Q$33))),0,IF(OR(Settings!$C$56="",Settings!$D$56=""),0,Settings!$C$56*IF(Settings!$D$56="Weekly",IF(IFERROR(MATCH(Settings!$E$56,$EO$4:$EO$10,0),0)=0,0,IF(MIN(Settings!$B$5,IF(Settings!$G$56="",Settings!$B$5,Settings!$G$56))&lt;MAX($A20,Settings!$F$56),0,INT((MIN(Settings!$B$5,IF(Settings!$G$56="",Settings!$B$5,Settings!$G$56))-MAX($A20,Settings!$F$56)-MOD(IFERROR(MATCH(Settings!$E$56,$EO$4:$EO$10,0),0)-WEEKDAY(MAX($A20,Settings!$F$56)),7))/7)+1)),IF(AND(IF(Settings!$E$56="",$B20,DATE(YEAR($A20),MONTH($A20),MIN(Settings!$E$56,DAY($B20))))&gt;=MAX($A20,Settings!$F$56),IF(Settings!$E$56="",$B20,DATE(YEAR($A20),MONTH($A20),MIN(Settings!$E$56,DAY($B20))))&lt;=MIN(Settings!$B$5,IF(Settings!$G$56="",Settings!$B$5,Settings!$G$56))),1,0)))))</f>
        <v/>
      </c>
      <c r="FF20">
        <f>IF(Settings!$I$45="Yes",$G20,0)+IF(Settings!$I$46="Yes",$H20,0)+IF(Settings!$I$47="Yes",$I20,0)+IF(Settings!$I$48="Yes",$J20,0)+IF(Settings!$I$49="Yes",$K20,0)+IF(Settings!$I$50="Yes",$L20,0)+IF(Settings!$I$51="Yes",$M20,0)+IF(Settings!$I$52="Yes",$N20,0)+IF(Settings!$I$53="Yes",$O20,0)+IF(Settings!$I$54="Yes",$P20,0)+IF(Settings!$I$55="Yes",$Q20,0)+IF(Settings!$I$56="Yes",$R20,0)</f>
        <v/>
      </c>
      <c r="FG20">
        <f>IF(AND(Settings!$I$45="Yes",Settings!$J$45="No"),$G20,0)+IF(AND(Settings!$I$46="Yes",Settings!$J$46="No"),$H20,0)+IF(AND(Settings!$I$47="Yes",Settings!$J$47="No"),$I20,0)+IF(AND(Settings!$I$48="Yes",Settings!$J$48="No"),$J20,0)+IF(AND(Settings!$I$49="Yes",Settings!$J$49="No"),$K20,0)+IF(AND(Settings!$I$50="Yes",Settings!$J$50="No"),$L20,0)+IF(AND(Settings!$I$51="Yes",Settings!$J$51="No"),$M20,0)+IF(AND(Settings!$I$52="Yes",Settings!$J$52="No"),$N20,0)+IF(AND(Settings!$I$53="Yes",Settings!$J$53="No"),$O20,0)+IF(AND(Settings!$I$54="Yes",Settings!$J$54="No"),$P20,0)+IF(AND(Settings!$I$55="Yes",Settings!$J$55="No"),$Q20,0)+IF(AND(Settings!$I$56="Yes",Settings!$J$56="No"),$R20,0)</f>
        <v/>
      </c>
      <c r="FH20">
        <f>SUMIFS(Giving!$B$7:$B$2006,Giving!$A$7:$A$2006,"&gt;="&amp;$A20,Giving!$A$7:$A$2006,"&lt;="&amp;$B20,Giving!$G$7:$G$2006,"Yes")+IF(OR(OR(Settings!$B$60="",Settings!$F$60="No"),Settings!$H$60&lt;&gt;"Yes"),0,Settings!$B$60*IF(AND(IF(Settings!$C$60="",$B20,DATE(YEAR($A20),MONTH($A20),MIN(Settings!$C$60,DAY($B20))))&gt;=MAX($A20,Settings!$D$60),IF(Settings!$C$60="",$B20,DATE(YEAR($A20),MONTH($A20),MIN(Settings!$C$60,DAY($B20))))&lt;=MIN($C20,IF(Settings!$E$60="",$C20,Settings!$E$60))),1,0))+IF(OR(OR(Settings!$B$61="",Settings!$F$61="No"),Settings!$H$61&lt;&gt;"Yes"),0,Settings!$B$61*IF(AND(IF(Settings!$C$61="",$B20,DATE(YEAR($A20),MONTH($A20),MIN(Settings!$C$61,DAY($B20))))&gt;=MAX($A20,Settings!$D$61),IF(Settings!$C$61="",$B20,DATE(YEAR($A20),MONTH($A20),MIN(Settings!$C$61,DAY($B20))))&lt;=MIN($C20,IF(Settings!$E$61="",$C20,Settings!$E$61))),1,0))+IF(OR(OR(Settings!$B$62="",Settings!$F$62="No"),Settings!$H$62&lt;&gt;"Yes"),0,Settings!$B$62*IF(AND(IF(Settings!$C$62="",$B20,DATE(YEAR($A20),MONTH($A20),MIN(Settings!$C$62,DAY($B20))))&gt;=MAX($A20,Settings!$D$62),IF(Settings!$C$62="",$B20,DATE(YEAR($A20),MONTH($A20),MIN(Settings!$C$62,DAY($B20))))&lt;=MIN($C20,IF(Settings!$E$62="",$C20,Settings!$E$62))),1,0))+IF(OR(OR(Settings!$B$63="",Settings!$F$63="No"),Settings!$H$63&lt;&gt;"Yes"),0,Settings!$B$63*IF(AND(IF(Settings!$C$63="",$B20,DATE(YEAR($A20),MONTH($A20),MIN(Settings!$C$63,DAY($B20))))&gt;=MAX($A20,Settings!$D$63),IF(Settings!$C$63="",$B20,DATE(YEAR($A20),MONTH($A20),MIN(Settings!$C$63,DAY($B20))))&lt;=MIN($C20,IF(Settings!$E$63="",$C20,Settings!$E$63))),1,0))+IF(OR(OR(Settings!$B$64="",Settings!$F$64="No"),Settings!$H$64&lt;&gt;"Yes"),0,Settings!$B$64*IF(AND(IF(Settings!$C$64="",$B20,DATE(YEAR($A20),MONTH($A20),MIN(Settings!$C$64,DAY($B20))))&gt;=MAX($A20,Settings!$D$64),IF(Settings!$C$64="",$B20,DATE(YEAR($A20),MONTH($A20),MIN(Settings!$C$64,DAY($B20))))&lt;=MIN($C20,IF(Settings!$E$64="",$C20,Settings!$E$64))),1,0))+IF(OR(OR(Settings!$B$65="",Settings!$F$65="No"),Settings!$H$65&lt;&gt;"Yes"),0,Settings!$B$65*IF(AND(IF(Settings!$C$65="",$B20,DATE(YEAR($A20),MONTH($A20),MIN(Settings!$C$65,DAY($B20))))&gt;=MAX($A20,Settings!$D$65),IF(Settings!$C$65="",$B20,DATE(YEAR($A20),MONTH($A20),MIN(Settings!$C$65,DAY($B20))))&lt;=MIN($C20,IF(Settings!$E$65="",$C20,Settings!$E$65))),1,0))</f>
        <v/>
      </c>
      <c r="FI20">
        <f>IF($DT20=1,IF(OR(Settings!$B$19="Card",Settings!$B$19="Loan"),N($AE20),0)+IF(OR(Settings!$B$20="Card",Settings!$B$20="Loan"),N($AF20),0)+IF(OR(Settings!$B$21="Card",Settings!$B$21="Loan"),N($AG20),0)+IF(OR(Settings!$B$22="Card",Settings!$B$22="Loan"),N($AH20),0)+IF(OR(Settings!$B$23="Card",Settings!$B$23="Loan"),N($AI20),0)+IF(OR(Settings!$B$24="Card",Settings!$B$24="Loan"),N($AJ20),0)+IF(OR(Settings!$B$25="Card",Settings!$B$25="Loan"),N($AK20),0)+IF(OR(Settings!$B$26="Card",Settings!$B$26="Loan"),N($AL20),0)+IF(OR(Settings!$B$27="Card",Settings!$B$27="Loan"),N($AM20),0)+IF(OR(Settings!$B$28="Card",Settings!$B$28="Loan"),N($AN20),0)+IF(OR(Settings!$B$29="Card",Settings!$B$29="Loan"),N($AO20),0)+IF(OR(Settings!$B$30="Card",Settings!$B$30="Loan"),N($AP20),0)+IF(OR(Settings!$B$31="Card",Settings!$B$31="Loan"),N($AQ20),0)+IF(OR(Settings!$B$32="Card",Settings!$B$32="Loan"),N($AR20),0),"")</f>
        <v/>
      </c>
      <c r="FJ20">
        <f>IF($E20="open",$EB$65,IF($E20="post",IF($E19="pre",$EB$65,$FI19),""))</f>
        <v/>
      </c>
      <c r="FK20">
        <f>IF(AND($DT20=1,$DC20=1),IF(ROUND($FI20-$FJ20,2)&gt;0,1,0),0)</f>
        <v/>
      </c>
      <c r="FL20">
        <f>IF($FK20=1,$FL19+1,0)</f>
        <v/>
      </c>
    </row>
    <row r="21">
      <c r="A21">
        <f>'Month-End'!$R$4</f>
        <v/>
      </c>
      <c r="B21">
        <f>EOMONTH($A21,0)</f>
        <v/>
      </c>
      <c r="C21">
        <f>MIN($B21,TODAY())</f>
        <v/>
      </c>
      <c r="D21">
        <f>IF($A21&gt;TODAY(),1,0)</f>
        <v/>
      </c>
      <c r="E21">
        <f>IF($B21&lt;=Settings!$B$5,"pre",IF($A21&lt;=Settings!$B$5,"open","post"))</f>
        <v/>
      </c>
      <c r="G21">
        <f>IF('Month-End'!$R$22="",$BE21,N('Month-End'!$R$22))</f>
        <v/>
      </c>
      <c r="H21">
        <f>IF('Month-End'!$R$23="",$BF21,N('Month-End'!$R$23))</f>
        <v/>
      </c>
      <c r="I21">
        <f>IF('Month-End'!$R$24="",$BG21,N('Month-End'!$R$24))</f>
        <v/>
      </c>
      <c r="J21">
        <f>IF('Month-End'!$R$25="",$BH21,N('Month-End'!$R$25))</f>
        <v/>
      </c>
      <c r="K21">
        <f>IF('Month-End'!$R$26="",$BI21,N('Month-End'!$R$26))</f>
        <v/>
      </c>
      <c r="L21">
        <f>IF('Month-End'!$R$27="",$BJ21,N('Month-End'!$R$27))</f>
        <v/>
      </c>
      <c r="M21">
        <f>IF('Month-End'!$R$28="",$BK21,N('Month-End'!$R$28))</f>
        <v/>
      </c>
      <c r="N21">
        <f>IF('Month-End'!$R$29="",$BL21,N('Month-End'!$R$29))</f>
        <v/>
      </c>
      <c r="O21">
        <f>IF('Month-End'!$R$30="",$BM21,N('Month-End'!$R$30))</f>
        <v/>
      </c>
      <c r="P21">
        <f>IF('Month-End'!$R$31="",$BN21,N('Month-End'!$R$31))</f>
        <v/>
      </c>
      <c r="Q21">
        <f>IF('Month-End'!$R$32="",$BO21,N('Month-End'!$R$32))</f>
        <v/>
      </c>
      <c r="R21">
        <f>IF('Month-End'!$R$33="",$BP21,N('Month-End'!$R$33))</f>
        <v/>
      </c>
      <c r="S21">
        <f>$G21+$H21+$I21+$J21+$K21+$L21+$M21+$N21+$O21+$P21+$Q21+$R21</f>
        <v/>
      </c>
      <c r="T21">
        <f>IF($B21&lt;Settings!$B$6,0,IF(Settings!$B$45="Yes",$G21,0)+IF(Settings!$B$46="Yes",$H21,0)+IF(Settings!$B$47="Yes",$I21,0)+IF(Settings!$B$48="Yes",$J21,0)+IF(Settings!$B$49="Yes",$K21,0)+IF(Settings!$B$50="Yes",$L21,0)+IF(Settings!$B$51="Yes",$M21,0)+IF(Settings!$B$52="Yes",$N21,0)+IF(Settings!$B$53="Yes",$O21,0)+IF(Settings!$B$54="Yes",$P21,0)+IF(Settings!$B$55="Yes",$Q21,0)+IF(Settings!$B$56="Yes",$R21,0))</f>
        <v/>
      </c>
      <c r="U21">
        <f>IF(Settings!$B$45="Not Sure",$G21,0)+IF(Settings!$B$46="Not Sure",$H21,0)+IF(Settings!$B$47="Not Sure",$I21,0)+IF(Settings!$B$48="Not Sure",$J21,0)+IF(Settings!$B$49="Not Sure",$K21,0)+IF(Settings!$B$50="Not Sure",$L21,0)+IF(Settings!$B$51="Not Sure",$M21,0)+IF(Settings!$B$52="Not Sure",$N21,0)+IF(Settings!$B$53="Not Sure",$O21,0)+IF(Settings!$B$54="Not Sure",$P21,0)+IF(Settings!$B$55="Not Sure",$Q21,0)+IF(Settings!$B$56="Not Sure",$R21,0)</f>
        <v/>
      </c>
      <c r="V21">
        <f>IF($E21="open",SUM($ET21:$FE21)+N(Settings!$B$13),0)</f>
        <v/>
      </c>
      <c r="W21">
        <f>IF($E21="post",$S21,IF($E21="open",$S21-$V21,0))</f>
        <v/>
      </c>
      <c r="X21">
        <f>SUMIFS(Giving!$B$7:$B$2006,Giving!$A$7:$A$2006,"&gt;="&amp;$A21,Giving!$A$7:$A$2006,"&lt;="&amp;$B21,Giving!$E$7:$E$2006,"&lt;&gt;No")</f>
        <v/>
      </c>
      <c r="Y21">
        <f>SUMIFS(Giving!$B$7:$B$2006,Giving!$A$7:$A$2006,"&gt;="&amp;$A21,Giving!$A$7:$A$2006,"&lt;="&amp;$B21,Giving!$E$7:$E$2006,"No")</f>
        <v/>
      </c>
      <c r="Z21">
        <f>IF(OR(Settings!$B$60="",Settings!$F$60="No"),0,Settings!$B$60*IF(AND(IF(Settings!$C$60="",$B21,DATE(YEAR($A21),MONTH($A21),MIN(Settings!$C$60,DAY($B21))))&gt;=MAX($A21,Settings!$D$60),IF(Settings!$C$60="",$B21,DATE(YEAR($A21),MONTH($A21),MIN(Settings!$C$60,DAY($B21))))&lt;=MIN($C21,IF(Settings!$E$60="",$C21,Settings!$E$60))),1,0))+IF(OR(Settings!$B$61="",Settings!$F$61="No"),0,Settings!$B$61*IF(AND(IF(Settings!$C$61="",$B21,DATE(YEAR($A21),MONTH($A21),MIN(Settings!$C$61,DAY($B21))))&gt;=MAX($A21,Settings!$D$61),IF(Settings!$C$61="",$B21,DATE(YEAR($A21),MONTH($A21),MIN(Settings!$C$61,DAY($B21))))&lt;=MIN($C21,IF(Settings!$E$61="",$C21,Settings!$E$61))),1,0))+IF(OR(Settings!$B$62="",Settings!$F$62="No"),0,Settings!$B$62*IF(AND(IF(Settings!$C$62="",$B21,DATE(YEAR($A21),MONTH($A21),MIN(Settings!$C$62,DAY($B21))))&gt;=MAX($A21,Settings!$D$62),IF(Settings!$C$62="",$B21,DATE(YEAR($A21),MONTH($A21),MIN(Settings!$C$62,DAY($B21))))&lt;=MIN($C21,IF(Settings!$E$62="",$C21,Settings!$E$62))),1,0))+IF(OR(Settings!$B$63="",Settings!$F$63="No"),0,Settings!$B$63*IF(AND(IF(Settings!$C$63="",$B21,DATE(YEAR($A21),MONTH($A21),MIN(Settings!$C$63,DAY($B21))))&gt;=MAX($A21,Settings!$D$63),IF(Settings!$C$63="",$B21,DATE(YEAR($A21),MONTH($A21),MIN(Settings!$C$63,DAY($B21))))&lt;=MIN($C21,IF(Settings!$E$63="",$C21,Settings!$E$63))),1,0))+IF(OR(Settings!$B$64="",Settings!$F$64="No"),0,Settings!$B$64*IF(AND(IF(Settings!$C$64="",$B21,DATE(YEAR($A21),MONTH($A21),MIN(Settings!$C$64,DAY($B21))))&gt;=MAX($A21,Settings!$D$64),IF(Settings!$C$64="",$B21,DATE(YEAR($A21),MONTH($A21),MIN(Settings!$C$64,DAY($B21))))&lt;=MIN($C21,IF(Settings!$E$64="",$C21,Settings!$E$64))),1,0))+IF(OR(Settings!$B$65="",Settings!$F$65="No"),0,Settings!$B$65*IF(AND(IF(Settings!$C$65="",$B21,DATE(YEAR($A21),MONTH($A21),MIN(Settings!$C$65,DAY($B21))))&gt;=MAX($A21,Settings!$D$65),IF(Settings!$C$65="",$B21,DATE(YEAR($A21),MONTH($A21),MIN(Settings!$C$65,DAY($B21))))&lt;=MIN($C21,IF(Settings!$E$65="",$C21,Settings!$E$65))),1,0))</f>
        <v/>
      </c>
      <c r="AA21">
        <f>$X21+$Z21</f>
        <v/>
      </c>
      <c r="AB21">
        <f>IF($E21="post",$AA21,IF($E21="open",SUMIFS(Giving!$B$7:$B$2006,Giving!$A$7:$A$2006,"&gt;"&amp;Settings!$B$5,Giving!$A$7:$A$2006,"&lt;="&amp;$B21,Giving!$E$7:$E$2006,"&lt;&gt;No")+IF(OR(Settings!$B$60="",Settings!$F$60="No"),0,Settings!$B$60*IF(AND(IF(Settings!$C$60="",$B21,DATE(YEAR($A21),MONTH($A21),MIN(Settings!$C$60,DAY($B21))))&gt;=MAX($A21,Settings!$D$60,Settings!$B$5+1),IF(Settings!$C$60="",$B21,DATE(YEAR($A21),MONTH($A21),MIN(Settings!$C$60,DAY($B21))))&lt;=MIN($C21,IF(Settings!$E$60="",$C21,Settings!$E$60))),1,0))+IF(OR(Settings!$B$61="",Settings!$F$61="No"),0,Settings!$B$61*IF(AND(IF(Settings!$C$61="",$B21,DATE(YEAR($A21),MONTH($A21),MIN(Settings!$C$61,DAY($B21))))&gt;=MAX($A21,Settings!$D$61,Settings!$B$5+1),IF(Settings!$C$61="",$B21,DATE(YEAR($A21),MONTH($A21),MIN(Settings!$C$61,DAY($B21))))&lt;=MIN($C21,IF(Settings!$E$61="",$C21,Settings!$E$61))),1,0))+IF(OR(Settings!$B$62="",Settings!$F$62="No"),0,Settings!$B$62*IF(AND(IF(Settings!$C$62="",$B21,DATE(YEAR($A21),MONTH($A21),MIN(Settings!$C$62,DAY($B21))))&gt;=MAX($A21,Settings!$D$62,Settings!$B$5+1),IF(Settings!$C$62="",$B21,DATE(YEAR($A21),MONTH($A21),MIN(Settings!$C$62,DAY($B21))))&lt;=MIN($C21,IF(Settings!$E$62="",$C21,Settings!$E$62))),1,0))+IF(OR(Settings!$B$63="",Settings!$F$63="No"),0,Settings!$B$63*IF(AND(IF(Settings!$C$63="",$B21,DATE(YEAR($A21),MONTH($A21),MIN(Settings!$C$63,DAY($B21))))&gt;=MAX($A21,Settings!$D$63,Settings!$B$5+1),IF(Settings!$C$63="",$B21,DATE(YEAR($A21),MONTH($A21),MIN(Settings!$C$63,DAY($B21))))&lt;=MIN($C21,IF(Settings!$E$63="",$C21,Settings!$E$63))),1,0))+IF(OR(Settings!$B$64="",Settings!$F$64="No"),0,Settings!$B$64*IF(AND(IF(Settings!$C$64="",$B21,DATE(YEAR($A21),MONTH($A21),MIN(Settings!$C$64,DAY($B21))))&gt;=MAX($A21,Settings!$D$64,Settings!$B$5+1),IF(Settings!$C$64="",$B21,DATE(YEAR($A21),MONTH($A21),MIN(Settings!$C$64,DAY($B21))))&lt;=MIN($C21,IF(Settings!$E$64="",$C21,Settings!$E$64))),1,0))+IF(OR(Settings!$B$65="",Settings!$F$65="No"),0,Settings!$B$65*IF(AND(IF(Settings!$C$65="",$B21,DATE(YEAR($A21),MONTH($A21),MIN(Settings!$C$65,DAY($B21))))&gt;=MAX($A21,Settings!$D$65,Settings!$B$5+1),IF(Settings!$C$65="",$B21,DATE(YEAR($A21),MONTH($A21),MIN(Settings!$C$65,DAY($B21))))&lt;=MIN($C21,IF(Settings!$E$65="",$C21,Settings!$E$65))),1,0)),0))</f>
        <v/>
      </c>
      <c r="AC21">
        <f>$AY21+$AZ21+$BA21+$BB21+$BC21+$BD21</f>
        <v/>
      </c>
      <c r="AD21">
        <f>$AC21</f>
        <v/>
      </c>
      <c r="AE21">
        <f>IF(OR(Settings!$A$19="",$E21="pre"),"",IF(AND('Month-End'!$R$7&lt;&gt;"",NOT(_xlfn.ISFORMULA('Month-End'!$R$7))),N('Month-End'!$R$7),IF(OR($E21="open",$E20="pre"),N(Settings!$C$19),N($AE20))))</f>
        <v/>
      </c>
      <c r="AF21">
        <f>IF(OR(Settings!$A$20="",$E21="pre"),"",IF(AND('Month-End'!$R$8&lt;&gt;"",NOT(_xlfn.ISFORMULA('Month-End'!$R$8))),N('Month-End'!$R$8),IF(OR($E21="open",$E20="pre"),N(Settings!$C$20),N($AF20))))</f>
        <v/>
      </c>
      <c r="AG21">
        <f>IF(OR(Settings!$A$21="",$E21="pre"),"",IF(AND('Month-End'!$R$9&lt;&gt;"",NOT(_xlfn.ISFORMULA('Month-End'!$R$9))),N('Month-End'!$R$9),IF(OR($E21="open",$E20="pre"),N(Settings!$C$21),N($AG20))))</f>
        <v/>
      </c>
      <c r="AH21">
        <f>IF(OR(Settings!$A$22="",$E21="pre"),"",IF(AND('Month-End'!$R$10&lt;&gt;"",NOT(_xlfn.ISFORMULA('Month-End'!$R$10))),N('Month-End'!$R$10),IF(OR($E21="open",$E20="pre"),N(Settings!$C$22),N($AH20))))</f>
        <v/>
      </c>
      <c r="AI21">
        <f>IF(OR(Settings!$A$23="",$E21="pre"),"",IF(AND('Month-End'!$R$11&lt;&gt;"",NOT(_xlfn.ISFORMULA('Month-End'!$R$11))),N('Month-End'!$R$11),IF(OR($E21="open",$E20="pre"),N(Settings!$C$23),N($AI20))))</f>
        <v/>
      </c>
      <c r="AJ21">
        <f>IF(OR(Settings!$A$24="",$E21="pre"),"",IF(AND('Month-End'!$R$12&lt;&gt;"",NOT(_xlfn.ISFORMULA('Month-End'!$R$12))),N('Month-End'!$R$12),IF(OR($E21="open",$E20="pre"),N(Settings!$C$24),N($AJ20))))</f>
        <v/>
      </c>
      <c r="AK21">
        <f>IF(OR(Settings!$A$25="",$E21="pre"),"",IF(AND('Month-End'!$R$13&lt;&gt;"",NOT(_xlfn.ISFORMULA('Month-End'!$R$13))),N('Month-End'!$R$13),IF(OR($E21="open",$E20="pre"),N(Settings!$C$25),N($AK20))))</f>
        <v/>
      </c>
      <c r="AL21">
        <f>IF(OR(Settings!$A$26="",$E21="pre"),"",IF(AND('Month-End'!$R$14&lt;&gt;"",NOT(_xlfn.ISFORMULA('Month-End'!$R$14))),N('Month-End'!$R$14),IF(OR($E21="open",$E20="pre"),N(Settings!$C$26),N($AL20))))</f>
        <v/>
      </c>
      <c r="AM21">
        <f>IF(OR(Settings!$A$27="",$E21="pre"),"",IF(AND('Month-End'!$R$15&lt;&gt;"",NOT(_xlfn.ISFORMULA('Month-End'!$R$15))),N('Month-End'!$R$15),IF(OR($E21="open",$E20="pre"),N(Settings!$C$27),N($AM20))))</f>
        <v/>
      </c>
      <c r="AN21">
        <f>IF(OR(Settings!$A$28="",$E21="pre"),"",IF(AND('Month-End'!$R$16&lt;&gt;"",NOT(_xlfn.ISFORMULA('Month-End'!$R$16))),N('Month-End'!$R$16),IF(OR($E21="open",$E20="pre"),N(Settings!$C$28),N($AN20))))</f>
        <v/>
      </c>
      <c r="AO21">
        <f>IF(OR(Settings!$A$29="",$E21="pre"),"",IF(AND('Month-End'!$R$17&lt;&gt;"",NOT(_xlfn.ISFORMULA('Month-End'!$R$17))),N('Month-End'!$R$17),IF(OR($E21="open",$E20="pre"),N(Settings!$C$29),N($AO20))))</f>
        <v/>
      </c>
      <c r="AP21">
        <f>IF(OR(Settings!$A$30="",$E21="pre"),"",IF(AND('Month-End'!$R$18&lt;&gt;"",NOT(_xlfn.ISFORMULA('Month-End'!$R$18))),N('Month-End'!$R$18),IF(OR($E21="open",$E20="pre"),N(Settings!$C$30),N($AP20))))</f>
        <v/>
      </c>
      <c r="AQ21">
        <f>IF(OR(Settings!$A$31="",$E21="pre"),"",IF(AND('Month-End'!$R$19&lt;&gt;"",NOT(_xlfn.ISFORMULA('Month-End'!$R$19))),N('Month-End'!$R$19),IF(OR($E21="open",$E20="pre"),N(Settings!$C$31),N($AQ20))))</f>
        <v/>
      </c>
      <c r="AR21">
        <f>IF(OR(Settings!$A$32="",$E21="pre"),"",IF(AND('Month-End'!$R$20&lt;&gt;"",NOT(_xlfn.ISFORMULA('Month-End'!$R$20))),N('Month-End'!$R$20),IF(OR($E21="open",$E20="pre"),N(Settings!$C$32),N($AR20))))</f>
        <v/>
      </c>
      <c r="AS21">
        <f>IF(OR(Settings!$A$36="",$E21="pre"),"",IF(AND('Month-End'!$R$38&lt;&gt;"",NOT(_xlfn.ISFORMULA('Month-End'!$R$38))),N('Month-End'!$R$38),IF(OR($E21="open",$E20="pre"),N(Settings!$C$36),N($AS20))+$AY21))</f>
        <v/>
      </c>
      <c r="AT21">
        <f>IF(OR(Settings!$A$37="",$E21="pre"),"",IF(AND('Month-End'!$R$39&lt;&gt;"",NOT(_xlfn.ISFORMULA('Month-End'!$R$39))),N('Month-End'!$R$39),IF(OR($E21="open",$E20="pre"),N(Settings!$C$37),N($AT20))+$AZ21))</f>
        <v/>
      </c>
      <c r="AU21">
        <f>IF(OR(Settings!$A$38="",$E21="pre"),"",IF(AND('Month-End'!$R$40&lt;&gt;"",NOT(_xlfn.ISFORMULA('Month-End'!$R$40))),N('Month-End'!$R$40),IF(OR($E21="open",$E20="pre"),N(Settings!$C$38),N($AU20))+$BA21))</f>
        <v/>
      </c>
      <c r="AV21">
        <f>IF(OR(Settings!$A$39="",$E21="pre"),"",IF(AND('Month-End'!$R$41&lt;&gt;"",NOT(_xlfn.ISFORMULA('Month-End'!$R$41))),N('Month-End'!$R$41),IF(OR($E21="open",$E20="pre"),N(Settings!$C$39),N($AV20))+$BB21))</f>
        <v/>
      </c>
      <c r="AW21">
        <f>IF(OR(Settings!$A$40="",$E21="pre"),"",IF(AND('Month-End'!$R$42&lt;&gt;"",NOT(_xlfn.ISFORMULA('Month-End'!$R$42))),N('Month-End'!$R$42),IF(OR($E21="open",$E20="pre"),N(Settings!$C$40),N($AW20))+$BC21))</f>
        <v/>
      </c>
      <c r="AX21">
        <f>IF(OR(Settings!$A$41="",$E21="pre"),"",IF(AND('Month-End'!$R$43&lt;&gt;"",NOT(_xlfn.ISFORMULA('Month-End'!$R$43))),N('Month-End'!$R$43),IF(OR($E21="open",$E20="pre"),N(Settings!$C$41),N($AX20))+$BD21))</f>
        <v/>
      </c>
      <c r="AY21">
        <f>IF($E21="pre",0,N('Month-End'!$R$45))</f>
        <v/>
      </c>
      <c r="AZ21">
        <f>IF($E21="pre",0,N('Month-End'!$R$46))</f>
        <v/>
      </c>
      <c r="BA21">
        <f>IF($E21="pre",0,N('Month-End'!$R$47))</f>
        <v/>
      </c>
      <c r="BB21">
        <f>IF($E21="pre",0,N('Month-End'!$R$48))</f>
        <v/>
      </c>
      <c r="BC21">
        <f>IF($E21="pre",0,N('Month-End'!$R$49))</f>
        <v/>
      </c>
      <c r="BD21">
        <f>IF($E21="pre",0,N('Month-End'!$R$50))</f>
        <v/>
      </c>
      <c r="BE21">
        <f>IF(OR(Settings!$C$45="",Settings!$D$45=""),0,Settings!$C$45*IF(Settings!$D$45="Weekly",IF(IFERROR(MATCH(Settings!$E$45,$EO$4:$EO$10,0),0)=0,0,IF(MIN($C21,IF(Settings!$G$45="",$C21,Settings!$G$45))&lt;MAX($A21,Settings!$F$45),0,INT((MIN($C21,IF(Settings!$G$45="",$C21,Settings!$G$45))-MAX($A21,Settings!$F$45)-MOD(IFERROR(MATCH(Settings!$E$45,$EO$4:$EO$10,0),0)-WEEKDAY(MAX($A21,Settings!$F$45)),7))/7)+1)),IF(AND(IF(Settings!$E$45="",$B21,DATE(YEAR($A21),MONTH($A21),MIN(Settings!$E$45,DAY($B21))))&gt;=MAX($A21,Settings!$F$45),IF(Settings!$E$45="",$B21,DATE(YEAR($A21),MONTH($A21),MIN(Settings!$E$45,DAY($B21))))&lt;=MIN($C21,IF(Settings!$G$45="",$C21,Settings!$G$45))),1,0)))</f>
        <v/>
      </c>
      <c r="BF21">
        <f>IF(OR(Settings!$C$46="",Settings!$D$46=""),0,Settings!$C$46*IF(Settings!$D$46="Weekly",IF(IFERROR(MATCH(Settings!$E$46,$EO$4:$EO$10,0),0)=0,0,IF(MIN($C21,IF(Settings!$G$46="",$C21,Settings!$G$46))&lt;MAX($A21,Settings!$F$46),0,INT((MIN($C21,IF(Settings!$G$46="",$C21,Settings!$G$46))-MAX($A21,Settings!$F$46)-MOD(IFERROR(MATCH(Settings!$E$46,$EO$4:$EO$10,0),0)-WEEKDAY(MAX($A21,Settings!$F$46)),7))/7)+1)),IF(AND(IF(Settings!$E$46="",$B21,DATE(YEAR($A21),MONTH($A21),MIN(Settings!$E$46,DAY($B21))))&gt;=MAX($A21,Settings!$F$46),IF(Settings!$E$46="",$B21,DATE(YEAR($A21),MONTH($A21),MIN(Settings!$E$46,DAY($B21))))&lt;=MIN($C21,IF(Settings!$G$46="",$C21,Settings!$G$46))),1,0)))</f>
        <v/>
      </c>
      <c r="BG21">
        <f>IF(OR(Settings!$C$47="",Settings!$D$47=""),0,Settings!$C$47*IF(Settings!$D$47="Weekly",IF(IFERROR(MATCH(Settings!$E$47,$EO$4:$EO$10,0),0)=0,0,IF(MIN($C21,IF(Settings!$G$47="",$C21,Settings!$G$47))&lt;MAX($A21,Settings!$F$47),0,INT((MIN($C21,IF(Settings!$G$47="",$C21,Settings!$G$47))-MAX($A21,Settings!$F$47)-MOD(IFERROR(MATCH(Settings!$E$47,$EO$4:$EO$10,0),0)-WEEKDAY(MAX($A21,Settings!$F$47)),7))/7)+1)),IF(AND(IF(Settings!$E$47="",$B21,DATE(YEAR($A21),MONTH($A21),MIN(Settings!$E$47,DAY($B21))))&gt;=MAX($A21,Settings!$F$47),IF(Settings!$E$47="",$B21,DATE(YEAR($A21),MONTH($A21),MIN(Settings!$E$47,DAY($B21))))&lt;=MIN($C21,IF(Settings!$G$47="",$C21,Settings!$G$47))),1,0)))</f>
        <v/>
      </c>
      <c r="BH21">
        <f>IF(OR(Settings!$C$48="",Settings!$D$48=""),0,Settings!$C$48*IF(Settings!$D$48="Weekly",IF(IFERROR(MATCH(Settings!$E$48,$EO$4:$EO$10,0),0)=0,0,IF(MIN($C21,IF(Settings!$G$48="",$C21,Settings!$G$48))&lt;MAX($A21,Settings!$F$48),0,INT((MIN($C21,IF(Settings!$G$48="",$C21,Settings!$G$48))-MAX($A21,Settings!$F$48)-MOD(IFERROR(MATCH(Settings!$E$48,$EO$4:$EO$10,0),0)-WEEKDAY(MAX($A21,Settings!$F$48)),7))/7)+1)),IF(AND(IF(Settings!$E$48="",$B21,DATE(YEAR($A21),MONTH($A21),MIN(Settings!$E$48,DAY($B21))))&gt;=MAX($A21,Settings!$F$48),IF(Settings!$E$48="",$B21,DATE(YEAR($A21),MONTH($A21),MIN(Settings!$E$48,DAY($B21))))&lt;=MIN($C21,IF(Settings!$G$48="",$C21,Settings!$G$48))),1,0)))</f>
        <v/>
      </c>
      <c r="BI21">
        <f>IF(OR(Settings!$C$49="",Settings!$D$49=""),0,Settings!$C$49*IF(Settings!$D$49="Weekly",IF(IFERROR(MATCH(Settings!$E$49,$EO$4:$EO$10,0),0)=0,0,IF(MIN($C21,IF(Settings!$G$49="",$C21,Settings!$G$49))&lt;MAX($A21,Settings!$F$49),0,INT((MIN($C21,IF(Settings!$G$49="",$C21,Settings!$G$49))-MAX($A21,Settings!$F$49)-MOD(IFERROR(MATCH(Settings!$E$49,$EO$4:$EO$10,0),0)-WEEKDAY(MAX($A21,Settings!$F$49)),7))/7)+1)),IF(AND(IF(Settings!$E$49="",$B21,DATE(YEAR($A21),MONTH($A21),MIN(Settings!$E$49,DAY($B21))))&gt;=MAX($A21,Settings!$F$49),IF(Settings!$E$49="",$B21,DATE(YEAR($A21),MONTH($A21),MIN(Settings!$E$49,DAY($B21))))&lt;=MIN($C21,IF(Settings!$G$49="",$C21,Settings!$G$49))),1,0)))</f>
        <v/>
      </c>
      <c r="BJ21">
        <f>IF(OR(Settings!$C$50="",Settings!$D$50=""),0,Settings!$C$50*IF(Settings!$D$50="Weekly",IF(IFERROR(MATCH(Settings!$E$50,$EO$4:$EO$10,0),0)=0,0,IF(MIN($C21,IF(Settings!$G$50="",$C21,Settings!$G$50))&lt;MAX($A21,Settings!$F$50),0,INT((MIN($C21,IF(Settings!$G$50="",$C21,Settings!$G$50))-MAX($A21,Settings!$F$50)-MOD(IFERROR(MATCH(Settings!$E$50,$EO$4:$EO$10,0),0)-WEEKDAY(MAX($A21,Settings!$F$50)),7))/7)+1)),IF(AND(IF(Settings!$E$50="",$B21,DATE(YEAR($A21),MONTH($A21),MIN(Settings!$E$50,DAY($B21))))&gt;=MAX($A21,Settings!$F$50),IF(Settings!$E$50="",$B21,DATE(YEAR($A21),MONTH($A21),MIN(Settings!$E$50,DAY($B21))))&lt;=MIN($C21,IF(Settings!$G$50="",$C21,Settings!$G$50))),1,0)))</f>
        <v/>
      </c>
      <c r="BK21">
        <f>IF(OR(Settings!$C$51="",Settings!$D$51=""),0,Settings!$C$51*IF(Settings!$D$51="Weekly",IF(IFERROR(MATCH(Settings!$E$51,$EO$4:$EO$10,0),0)=0,0,IF(MIN($C21,IF(Settings!$G$51="",$C21,Settings!$G$51))&lt;MAX($A21,Settings!$F$51),0,INT((MIN($C21,IF(Settings!$G$51="",$C21,Settings!$G$51))-MAX($A21,Settings!$F$51)-MOD(IFERROR(MATCH(Settings!$E$51,$EO$4:$EO$10,0),0)-WEEKDAY(MAX($A21,Settings!$F$51)),7))/7)+1)),IF(AND(IF(Settings!$E$51="",$B21,DATE(YEAR($A21),MONTH($A21),MIN(Settings!$E$51,DAY($B21))))&gt;=MAX($A21,Settings!$F$51),IF(Settings!$E$51="",$B21,DATE(YEAR($A21),MONTH($A21),MIN(Settings!$E$51,DAY($B21))))&lt;=MIN($C21,IF(Settings!$G$51="",$C21,Settings!$G$51))),1,0)))</f>
        <v/>
      </c>
      <c r="BL21">
        <f>IF(OR(Settings!$C$52="",Settings!$D$52=""),0,Settings!$C$52*IF(Settings!$D$52="Weekly",IF(IFERROR(MATCH(Settings!$E$52,$EO$4:$EO$10,0),0)=0,0,IF(MIN($C21,IF(Settings!$G$52="",$C21,Settings!$G$52))&lt;MAX($A21,Settings!$F$52),0,INT((MIN($C21,IF(Settings!$G$52="",$C21,Settings!$G$52))-MAX($A21,Settings!$F$52)-MOD(IFERROR(MATCH(Settings!$E$52,$EO$4:$EO$10,0),0)-WEEKDAY(MAX($A21,Settings!$F$52)),7))/7)+1)),IF(AND(IF(Settings!$E$52="",$B21,DATE(YEAR($A21),MONTH($A21),MIN(Settings!$E$52,DAY($B21))))&gt;=MAX($A21,Settings!$F$52),IF(Settings!$E$52="",$B21,DATE(YEAR($A21),MONTH($A21),MIN(Settings!$E$52,DAY($B21))))&lt;=MIN($C21,IF(Settings!$G$52="",$C21,Settings!$G$52))),1,0)))</f>
        <v/>
      </c>
      <c r="BM21">
        <f>IF(OR(Settings!$C$53="",Settings!$D$53=""),0,Settings!$C$53*IF(Settings!$D$53="Weekly",IF(IFERROR(MATCH(Settings!$E$53,$EO$4:$EO$10,0),0)=0,0,IF(MIN($C21,IF(Settings!$G$53="",$C21,Settings!$G$53))&lt;MAX($A21,Settings!$F$53),0,INT((MIN($C21,IF(Settings!$G$53="",$C21,Settings!$G$53))-MAX($A21,Settings!$F$53)-MOD(IFERROR(MATCH(Settings!$E$53,$EO$4:$EO$10,0),0)-WEEKDAY(MAX($A21,Settings!$F$53)),7))/7)+1)),IF(AND(IF(Settings!$E$53="",$B21,DATE(YEAR($A21),MONTH($A21),MIN(Settings!$E$53,DAY($B21))))&gt;=MAX($A21,Settings!$F$53),IF(Settings!$E$53="",$B21,DATE(YEAR($A21),MONTH($A21),MIN(Settings!$E$53,DAY($B21))))&lt;=MIN($C21,IF(Settings!$G$53="",$C21,Settings!$G$53))),1,0)))</f>
        <v/>
      </c>
      <c r="BN21">
        <f>IF(OR(Settings!$C$54="",Settings!$D$54=""),0,Settings!$C$54*IF(Settings!$D$54="Weekly",IF(IFERROR(MATCH(Settings!$E$54,$EO$4:$EO$10,0),0)=0,0,IF(MIN($C21,IF(Settings!$G$54="",$C21,Settings!$G$54))&lt;MAX($A21,Settings!$F$54),0,INT((MIN($C21,IF(Settings!$G$54="",$C21,Settings!$G$54))-MAX($A21,Settings!$F$54)-MOD(IFERROR(MATCH(Settings!$E$54,$EO$4:$EO$10,0),0)-WEEKDAY(MAX($A21,Settings!$F$54)),7))/7)+1)),IF(AND(IF(Settings!$E$54="",$B21,DATE(YEAR($A21),MONTH($A21),MIN(Settings!$E$54,DAY($B21))))&gt;=MAX($A21,Settings!$F$54),IF(Settings!$E$54="",$B21,DATE(YEAR($A21),MONTH($A21),MIN(Settings!$E$54,DAY($B21))))&lt;=MIN($C21,IF(Settings!$G$54="",$C21,Settings!$G$54))),1,0)))</f>
        <v/>
      </c>
      <c r="BO21">
        <f>IF(OR(Settings!$C$55="",Settings!$D$55=""),0,Settings!$C$55*IF(Settings!$D$55="Weekly",IF(IFERROR(MATCH(Settings!$E$55,$EO$4:$EO$10,0),0)=0,0,IF(MIN($C21,IF(Settings!$G$55="",$C21,Settings!$G$55))&lt;MAX($A21,Settings!$F$55),0,INT((MIN($C21,IF(Settings!$G$55="",$C21,Settings!$G$55))-MAX($A21,Settings!$F$55)-MOD(IFERROR(MATCH(Settings!$E$55,$EO$4:$EO$10,0),0)-WEEKDAY(MAX($A21,Settings!$F$55)),7))/7)+1)),IF(AND(IF(Settings!$E$55="",$B21,DATE(YEAR($A21),MONTH($A21),MIN(Settings!$E$55,DAY($B21))))&gt;=MAX($A21,Settings!$F$55),IF(Settings!$E$55="",$B21,DATE(YEAR($A21),MONTH($A21),MIN(Settings!$E$55,DAY($B21))))&lt;=MIN($C21,IF(Settings!$G$55="",$C21,Settings!$G$55))),1,0)))</f>
        <v/>
      </c>
      <c r="BP21">
        <f>IF(OR(Settings!$C$56="",Settings!$D$56=""),0,Settings!$C$56*IF(Settings!$D$56="Weekly",IF(IFERROR(MATCH(Settings!$E$56,$EO$4:$EO$10,0),0)=0,0,IF(MIN($C21,IF(Settings!$G$56="",$C21,Settings!$G$56))&lt;MAX($A21,Settings!$F$56),0,INT((MIN($C21,IF(Settings!$G$56="",$C21,Settings!$G$56))-MAX($A21,Settings!$F$56)-MOD(IFERROR(MATCH(Settings!$E$56,$EO$4:$EO$10,0),0)-WEEKDAY(MAX($A21,Settings!$F$56)),7))/7)+1)),IF(AND(IF(Settings!$E$56="",$B21,DATE(YEAR($A21),MONTH($A21),MIN(Settings!$E$56,DAY($B21))))&gt;=MAX($A21,Settings!$F$56),IF(Settings!$E$56="",$B21,DATE(YEAR($A21),MONTH($A21),MIN(Settings!$E$56,DAY($B21))))&lt;=MIN($C21,IF(Settings!$G$56="",$C21,Settings!$G$56))),1,0)))</f>
        <v/>
      </c>
      <c r="BQ21">
        <f>IF(OR(Settings!$B$14="",$D21=1,$E21="pre",$A21&lt;IF(Settings!$B$15="",0,Settings!$B$15)),0,Settings!$B$14)</f>
        <v/>
      </c>
      <c r="BR21">
        <f>IF(AND('Month-End'!$R$7&lt;&gt;"",NOT(_xlfn.ISFORMULA('Month-End'!$R$7))),1,0)</f>
        <v/>
      </c>
      <c r="BS21">
        <f>IF(AND('Month-End'!$R$8&lt;&gt;"",NOT(_xlfn.ISFORMULA('Month-End'!$R$8))),1,0)</f>
        <v/>
      </c>
      <c r="BT21">
        <f>IF(AND('Month-End'!$R$9&lt;&gt;"",NOT(_xlfn.ISFORMULA('Month-End'!$R$9))),1,0)</f>
        <v/>
      </c>
      <c r="BU21">
        <f>IF(AND('Month-End'!$R$10&lt;&gt;"",NOT(_xlfn.ISFORMULA('Month-End'!$R$10))),1,0)</f>
        <v/>
      </c>
      <c r="BV21">
        <f>IF(AND('Month-End'!$R$11&lt;&gt;"",NOT(_xlfn.ISFORMULA('Month-End'!$R$11))),1,0)</f>
        <v/>
      </c>
      <c r="BW21">
        <f>IF(AND('Month-End'!$R$12&lt;&gt;"",NOT(_xlfn.ISFORMULA('Month-End'!$R$12))),1,0)</f>
        <v/>
      </c>
      <c r="BX21">
        <f>IF(AND('Month-End'!$R$13&lt;&gt;"",NOT(_xlfn.ISFORMULA('Month-End'!$R$13))),1,0)</f>
        <v/>
      </c>
      <c r="BY21">
        <f>IF(AND('Month-End'!$R$14&lt;&gt;"",NOT(_xlfn.ISFORMULA('Month-End'!$R$14))),1,0)</f>
        <v/>
      </c>
      <c r="BZ21">
        <f>IF(AND('Month-End'!$R$15&lt;&gt;"",NOT(_xlfn.ISFORMULA('Month-End'!$R$15))),1,0)</f>
        <v/>
      </c>
      <c r="CA21">
        <f>IF(AND('Month-End'!$R$16&lt;&gt;"",NOT(_xlfn.ISFORMULA('Month-End'!$R$16))),1,0)</f>
        <v/>
      </c>
      <c r="CB21">
        <f>IF(AND('Month-End'!$R$17&lt;&gt;"",NOT(_xlfn.ISFORMULA('Month-End'!$R$17))),1,0)</f>
        <v/>
      </c>
      <c r="CC21">
        <f>IF(AND('Month-End'!$R$18&lt;&gt;"",NOT(_xlfn.ISFORMULA('Month-End'!$R$18))),1,0)</f>
        <v/>
      </c>
      <c r="CD21">
        <f>IF(AND('Month-End'!$R$19&lt;&gt;"",NOT(_xlfn.ISFORMULA('Month-End'!$R$19))),1,0)</f>
        <v/>
      </c>
      <c r="CE21">
        <f>IF(AND('Month-End'!$R$20&lt;&gt;"",NOT(_xlfn.ISFORMULA('Month-End'!$R$20))),1,0)</f>
        <v/>
      </c>
      <c r="CF21">
        <f>IF(AND('Month-End'!$R$38&lt;&gt;"",NOT(_xlfn.ISFORMULA('Month-End'!$R$38))),1,0)</f>
        <v/>
      </c>
      <c r="CG21">
        <f>IF(AND('Month-End'!$R$39&lt;&gt;"",NOT(_xlfn.ISFORMULA('Month-End'!$R$39))),1,0)</f>
        <v/>
      </c>
      <c r="CH21">
        <f>IF(AND('Month-End'!$R$40&lt;&gt;"",NOT(_xlfn.ISFORMULA('Month-End'!$R$40))),1,0)</f>
        <v/>
      </c>
      <c r="CI21">
        <f>IF(AND('Month-End'!$R$41&lt;&gt;"",NOT(_xlfn.ISFORMULA('Month-End'!$R$41))),1,0)</f>
        <v/>
      </c>
      <c r="CJ21">
        <f>IF(AND('Month-End'!$R$42&lt;&gt;"",NOT(_xlfn.ISFORMULA('Month-End'!$R$42))),1,0)</f>
        <v/>
      </c>
      <c r="CK21">
        <f>IF(AND('Month-End'!$R$43&lt;&gt;"",NOT(_xlfn.ISFORMULA('Month-End'!$R$43))),1,0)</f>
        <v/>
      </c>
      <c r="CL21">
        <f>SUM($CM21:$CZ21)</f>
        <v/>
      </c>
      <c r="CM21">
        <f>IF(AND($E21&lt;&gt;"pre",AND(Settings!$A$19&lt;&gt;"",Settings!$E$19&lt;&gt;"No"),Settings!$F$19="Yes",NOT(AND('Month-End'!$R$7&lt;&gt;"",NOT(_xlfn.ISFORMULA('Month-End'!$R$7))))),1,0)</f>
        <v/>
      </c>
      <c r="CN21">
        <f>IF(AND($E21&lt;&gt;"pre",AND(Settings!$A$20&lt;&gt;"",Settings!$E$20&lt;&gt;"No"),Settings!$F$20="Yes",NOT(AND('Month-End'!$R$8&lt;&gt;"",NOT(_xlfn.ISFORMULA('Month-End'!$R$8))))),1,0)</f>
        <v/>
      </c>
      <c r="CO21">
        <f>IF(AND($E21&lt;&gt;"pre",AND(Settings!$A$21&lt;&gt;"",Settings!$E$21&lt;&gt;"No"),Settings!$F$21="Yes",NOT(AND('Month-End'!$R$9&lt;&gt;"",NOT(_xlfn.ISFORMULA('Month-End'!$R$9))))),1,0)</f>
        <v/>
      </c>
      <c r="CP21">
        <f>IF(AND($E21&lt;&gt;"pre",AND(Settings!$A$22&lt;&gt;"",Settings!$E$22&lt;&gt;"No"),Settings!$F$22="Yes",NOT(AND('Month-End'!$R$10&lt;&gt;"",NOT(_xlfn.ISFORMULA('Month-End'!$R$10))))),1,0)</f>
        <v/>
      </c>
      <c r="CQ21">
        <f>IF(AND($E21&lt;&gt;"pre",AND(Settings!$A$23&lt;&gt;"",Settings!$E$23&lt;&gt;"No"),Settings!$F$23="Yes",NOT(AND('Month-End'!$R$11&lt;&gt;"",NOT(_xlfn.ISFORMULA('Month-End'!$R$11))))),1,0)</f>
        <v/>
      </c>
      <c r="CR21">
        <f>IF(AND($E21&lt;&gt;"pre",AND(Settings!$A$24&lt;&gt;"",Settings!$E$24&lt;&gt;"No"),Settings!$F$24="Yes",NOT(AND('Month-End'!$R$12&lt;&gt;"",NOT(_xlfn.ISFORMULA('Month-End'!$R$12))))),1,0)</f>
        <v/>
      </c>
      <c r="CS21">
        <f>IF(AND($E21&lt;&gt;"pre",AND(Settings!$A$25&lt;&gt;"",Settings!$E$25&lt;&gt;"No"),Settings!$F$25="Yes",NOT(AND('Month-End'!$R$13&lt;&gt;"",NOT(_xlfn.ISFORMULA('Month-End'!$R$13))))),1,0)</f>
        <v/>
      </c>
      <c r="CT21">
        <f>IF(AND($E21&lt;&gt;"pre",AND(Settings!$A$26&lt;&gt;"",Settings!$E$26&lt;&gt;"No"),Settings!$F$26="Yes",NOT(AND('Month-End'!$R$14&lt;&gt;"",NOT(_xlfn.ISFORMULA('Month-End'!$R$14))))),1,0)</f>
        <v/>
      </c>
      <c r="CU21">
        <f>IF(AND($E21&lt;&gt;"pre",AND(Settings!$A$27&lt;&gt;"",Settings!$E$27&lt;&gt;"No"),Settings!$F$27="Yes",NOT(AND('Month-End'!$R$15&lt;&gt;"",NOT(_xlfn.ISFORMULA('Month-End'!$R$15))))),1,0)</f>
        <v/>
      </c>
      <c r="CV21">
        <f>IF(AND($E21&lt;&gt;"pre",AND(Settings!$A$28&lt;&gt;"",Settings!$E$28&lt;&gt;"No"),Settings!$F$28="Yes",NOT(AND('Month-End'!$R$16&lt;&gt;"",NOT(_xlfn.ISFORMULA('Month-End'!$R$16))))),1,0)</f>
        <v/>
      </c>
      <c r="CW21">
        <f>IF(AND($E21&lt;&gt;"pre",AND(Settings!$A$29&lt;&gt;"",Settings!$E$29&lt;&gt;"No"),Settings!$F$29="Yes",NOT(AND('Month-End'!$R$17&lt;&gt;"",NOT(_xlfn.ISFORMULA('Month-End'!$R$17))))),1,0)</f>
        <v/>
      </c>
      <c r="CX21">
        <f>IF(AND($E21&lt;&gt;"pre",AND(Settings!$A$30&lt;&gt;"",Settings!$E$30&lt;&gt;"No"),Settings!$F$30="Yes",NOT(AND('Month-End'!$R$18&lt;&gt;"",NOT(_xlfn.ISFORMULA('Month-End'!$R$18))))),1,0)</f>
        <v/>
      </c>
      <c r="CY21">
        <f>IF(AND($E21&lt;&gt;"pre",AND(Settings!$A$31&lt;&gt;"",Settings!$E$31&lt;&gt;"No"),Settings!$F$31="Yes",NOT(AND('Month-End'!$R$19&lt;&gt;"",NOT(_xlfn.ISFORMULA('Month-End'!$R$19))))),1,0)</f>
        <v/>
      </c>
      <c r="CZ21">
        <f>IF(AND($E21&lt;&gt;"pre",AND(Settings!$A$32&lt;&gt;"",Settings!$E$32&lt;&gt;"No"),Settings!$F$32="Yes",NOT(AND('Month-End'!$R$20&lt;&gt;"",NOT(_xlfn.ISFORMULA('Month-End'!$R$20))))),1,0)</f>
        <v/>
      </c>
      <c r="DA21">
        <f>IF($DT21=1,IF(OR(Settings!$B$19="Checking",Settings!$B$19="Savings",Settings!$B$19="Cash"),N($AE21),IF(OR(Settings!$B$19="Card",Settings!$B$19="Loan"),-N($AE21),0))+IF(OR(Settings!$B$20="Checking",Settings!$B$20="Savings",Settings!$B$20="Cash"),N($AF21),IF(OR(Settings!$B$20="Card",Settings!$B$20="Loan"),-N($AF21),0))+IF(OR(Settings!$B$21="Checking",Settings!$B$21="Savings",Settings!$B$21="Cash"),N($AG21),IF(OR(Settings!$B$21="Card",Settings!$B$21="Loan"),-N($AG21),0))+IF(OR(Settings!$B$22="Checking",Settings!$B$22="Savings",Settings!$B$22="Cash"),N($AH21),IF(OR(Settings!$B$22="Card",Settings!$B$22="Loan"),-N($AH21),0))+IF(OR(Settings!$B$23="Checking",Settings!$B$23="Savings",Settings!$B$23="Cash"),N($AI21),IF(OR(Settings!$B$23="Card",Settings!$B$23="Loan"),-N($AI21),0))+IF(OR(Settings!$B$24="Checking",Settings!$B$24="Savings",Settings!$B$24="Cash"),N($AJ21),IF(OR(Settings!$B$24="Card",Settings!$B$24="Loan"),-N($AJ21),0))+IF(OR(Settings!$B$25="Checking",Settings!$B$25="Savings",Settings!$B$25="Cash"),N($AK21),IF(OR(Settings!$B$25="Card",Settings!$B$25="Loan"),-N($AK21),0))+IF(OR(Settings!$B$26="Checking",Settings!$B$26="Savings",Settings!$B$26="Cash"),N($AL21),IF(OR(Settings!$B$26="Card",Settings!$B$26="Loan"),-N($AL21),0))+IF(OR(Settings!$B$27="Checking",Settings!$B$27="Savings",Settings!$B$27="Cash"),N($AM21),IF(OR(Settings!$B$27="Card",Settings!$B$27="Loan"),-N($AM21),0))+IF(OR(Settings!$B$28="Checking",Settings!$B$28="Savings",Settings!$B$28="Cash"),N($AN21),IF(OR(Settings!$B$28="Card",Settings!$B$28="Loan"),-N($AN21),0))+IF(OR(Settings!$B$29="Checking",Settings!$B$29="Savings",Settings!$B$29="Cash"),N($AO21),IF(OR(Settings!$B$29="Card",Settings!$B$29="Loan"),-N($AO21),0))+IF(OR(Settings!$B$30="Checking",Settings!$B$30="Savings",Settings!$B$30="Cash"),N($AP21),IF(OR(Settings!$B$30="Card",Settings!$B$30="Loan"),-N($AP21),0))+IF(OR(Settings!$B$31="Checking",Settings!$B$31="Savings",Settings!$B$31="Cash"),N($AQ21),IF(OR(Settings!$B$31="Card",Settings!$B$31="Loan"),-N($AQ21),0))+IF(OR(Settings!$B$32="Checking",Settings!$B$32="Savings",Settings!$B$32="Cash"),N($AR21),IF(OR(Settings!$B$32="Card",Settings!$B$32="Loan"),-N($AR21),0)),"")</f>
        <v/>
      </c>
      <c r="DB21">
        <f>IF($E21="open",$EB$27,IF($E21="post",IF($E20="pre",$EB$27,$DA20),""))</f>
        <v/>
      </c>
      <c r="DC21">
        <f>IF($E21="open",1,IF($E21="post",IF($E20="pre",1,$DT20),0))</f>
        <v/>
      </c>
      <c r="DD21">
        <f>IF(AND($DT21=1,$DC21=1),ROUND($W21-($DA21-$DB21)-$AD21-$AB21,2),"")</f>
        <v/>
      </c>
      <c r="DE21">
        <f>IF('Month-End'!$R$35="",$BQ21,N('Month-End'!$R$35))</f>
        <v/>
      </c>
      <c r="DF21">
        <f>N('Month-End'!$R$36)</f>
        <v/>
      </c>
      <c r="DG21">
        <f>IF($DD21="","",$DD21+$DE21)</f>
        <v/>
      </c>
      <c r="DH21">
        <f>IF($DG21="","",$DG21-$DF21)</f>
        <v/>
      </c>
      <c r="DI21">
        <f>IF(OR($E21="pre",$D21=1),"",N($AS21)+N($AT21)+N($AU21)+N($AV21)+N($AW21)+N($AX21))</f>
        <v/>
      </c>
      <c r="DJ21">
        <f>IF($DT21=1,$DA21+N($DI21),"")</f>
        <v/>
      </c>
      <c r="DK21">
        <f>IF($DD21="","",$W21-$DD21-$AB21)</f>
        <v/>
      </c>
      <c r="DL21">
        <f>IF(AND($E21="post",$DD21&lt;&gt;"",$B21&lt;TODAY()),1,0)</f>
        <v/>
      </c>
      <c r="DM21">
        <f>IF($DL21=1,COUNTIF($DL21:$DL$183,1),0)</f>
        <v/>
      </c>
      <c r="DN21">
        <f>IF($D21=1,"",IF($E21="pre","History only",IF($DT21=1,IF($DD21="","⚠ Previous month missing",IF($DD21&lt;0,"⚠ Check: spending &lt; 0",IF($E21="open","✓ Done (partial)","✓ Done"))),IF($B21&gt;=TODAY(),"In progress","⚠ Needs balances"))))</f>
        <v/>
      </c>
      <c r="DO21">
        <f>YEAR($A21)</f>
        <v/>
      </c>
      <c r="DP21">
        <f>DATE(YEAR($A21),INT((MONTH($A21)-1)/3)*3+1,1)</f>
        <v/>
      </c>
      <c r="DQ21">
        <f>IF(AND($DT21=1,$DD21&lt;&gt;"",$D21=0),ROW(),0)</f>
        <v/>
      </c>
      <c r="DR21">
        <f>IF(AND($E21&lt;&gt;"pre",$B21&lt;TODAY(),$DT21=0),1,0)</f>
        <v/>
      </c>
      <c r="DS21">
        <f>IF($DJ21="",NA(),$DJ21)</f>
        <v/>
      </c>
      <c r="DT21">
        <f>IF(AND($E21&lt;&gt;"pre",$CL21=0,COUNTIFS(Settings!$F$19:$F$32,"Yes",Settings!$A$19:$A$32,"&lt;&gt;",Settings!$E$19:$E$32,"&lt;&gt;No")&gt;0),1,0)</f>
        <v/>
      </c>
      <c r="DU21">
        <f>IF(AND($B21&lt;TODAY(),$S21&gt;0),1,0)</f>
        <v/>
      </c>
      <c r="DV21">
        <f>IF($DU21=1,COUNTIF($DU21:$DU$183,1),0)</f>
        <v/>
      </c>
      <c r="DW21">
        <f>IF(AND(OR(Settings!$B$19="Card",Settings!$B$19="Loan"),AND('Month-End'!$R$7&lt;&gt;"",NOT(_xlfn.ISFORMULA('Month-End'!$R$7)))),IF(N('Month-End'!$R$7)&lt;0,1,0),0)+IF(AND(OR(Settings!$B$20="Card",Settings!$B$20="Loan"),AND('Month-End'!$R$8&lt;&gt;"",NOT(_xlfn.ISFORMULA('Month-End'!$R$8)))),IF(N('Month-End'!$R$8)&lt;0,1,0),0)+IF(AND(OR(Settings!$B$21="Card",Settings!$B$21="Loan"),AND('Month-End'!$R$9&lt;&gt;"",NOT(_xlfn.ISFORMULA('Month-End'!$R$9)))),IF(N('Month-End'!$R$9)&lt;0,1,0),0)+IF(AND(OR(Settings!$B$22="Card",Settings!$B$22="Loan"),AND('Month-End'!$R$10&lt;&gt;"",NOT(_xlfn.ISFORMULA('Month-End'!$R$10)))),IF(N('Month-End'!$R$10)&lt;0,1,0),0)+IF(AND(OR(Settings!$B$23="Card",Settings!$B$23="Loan"),AND('Month-End'!$R$11&lt;&gt;"",NOT(_xlfn.ISFORMULA('Month-End'!$R$11)))),IF(N('Month-End'!$R$11)&lt;0,1,0),0)+IF(AND(OR(Settings!$B$24="Card",Settings!$B$24="Loan"),AND('Month-End'!$R$12&lt;&gt;"",NOT(_xlfn.ISFORMULA('Month-End'!$R$12)))),IF(N('Month-End'!$R$12)&lt;0,1,0),0)+IF(AND(OR(Settings!$B$25="Card",Settings!$B$25="Loan"),AND('Month-End'!$R$13&lt;&gt;"",NOT(_xlfn.ISFORMULA('Month-End'!$R$13)))),IF(N('Month-End'!$R$13)&lt;0,1,0),0)+IF(AND(OR(Settings!$B$26="Card",Settings!$B$26="Loan"),AND('Month-End'!$R$14&lt;&gt;"",NOT(_xlfn.ISFORMULA('Month-End'!$R$14)))),IF(N('Month-End'!$R$14)&lt;0,1,0),0)+IF(AND(OR(Settings!$B$27="Card",Settings!$B$27="Loan"),AND('Month-End'!$R$15&lt;&gt;"",NOT(_xlfn.ISFORMULA('Month-End'!$R$15)))),IF(N('Month-End'!$R$15)&lt;0,1,0),0)+IF(AND(OR(Settings!$B$28="Card",Settings!$B$28="Loan"),AND('Month-End'!$R$16&lt;&gt;"",NOT(_xlfn.ISFORMULA('Month-End'!$R$16)))),IF(N('Month-End'!$R$16)&lt;0,1,0),0)+IF(AND(OR(Settings!$B$29="Card",Settings!$B$29="Loan"),AND('Month-End'!$R$17&lt;&gt;"",NOT(_xlfn.ISFORMULA('Month-End'!$R$17)))),IF(N('Month-End'!$R$17)&lt;0,1,0),0)+IF(AND(OR(Settings!$B$30="Card",Settings!$B$30="Loan"),AND('Month-End'!$R$18&lt;&gt;"",NOT(_xlfn.ISFORMULA('Month-End'!$R$18)))),IF(N('Month-End'!$R$18)&lt;0,1,0),0)+IF(AND(OR(Settings!$B$31="Card",Settings!$B$31="Loan"),AND('Month-End'!$R$19&lt;&gt;"",NOT(_xlfn.ISFORMULA('Month-End'!$R$19)))),IF(N('Month-End'!$R$19)&lt;0,1,0),0)+IF(AND(OR(Settings!$B$32="Card",Settings!$B$32="Loan"),AND('Month-End'!$R$20&lt;&gt;"",NOT(_xlfn.ISFORMULA('Month-End'!$R$20)))),IF(N('Month-End'!$R$20)&lt;0,1,0),0)</f>
        <v/>
      </c>
      <c r="DX21">
        <f>IF(Settings!$B$36="Retirement",$AY21,0)+IF(Settings!$B$37="Retirement",$AZ21,0)+IF(Settings!$B$38="Retirement",$BA21,0)+IF(Settings!$B$39="Retirement",$BB21,0)+IF(Settings!$B$40="Retirement",$BC21,0)+IF(Settings!$B$41="Retirement",$BD21,0)</f>
        <v/>
      </c>
      <c r="EA21" t="inlineStr">
        <is>
          <t>Saved This Year</t>
        </is>
      </c>
      <c r="EB21">
        <f>SUMIFS($DK$6:$DK$183,$DO$6:$DO$183,YEAR(TODAY()))</f>
        <v/>
      </c>
      <c r="ET21">
        <f>IF($E21&lt;&gt;"open",0,IF(AND('Month-End'!$R$22&lt;&gt;"",NOT(_xlfn.ISFORMULA('Month-End'!$R$22))),0,IF(OR(Settings!$C$45="",Settings!$D$45=""),0,Settings!$C$45*IF(Settings!$D$45="Weekly",IF(IFERROR(MATCH(Settings!$E$45,$EO$4:$EO$10,0),0)=0,0,IF(MIN(Settings!$B$5,IF(Settings!$G$45="",Settings!$B$5,Settings!$G$45))&lt;MAX($A21,Settings!$F$45),0,INT((MIN(Settings!$B$5,IF(Settings!$G$45="",Settings!$B$5,Settings!$G$45))-MAX($A21,Settings!$F$45)-MOD(IFERROR(MATCH(Settings!$E$45,$EO$4:$EO$10,0),0)-WEEKDAY(MAX($A21,Settings!$F$45)),7))/7)+1)),IF(AND(IF(Settings!$E$45="",$B21,DATE(YEAR($A21),MONTH($A21),MIN(Settings!$E$45,DAY($B21))))&gt;=MAX($A21,Settings!$F$45),IF(Settings!$E$45="",$B21,DATE(YEAR($A21),MONTH($A21),MIN(Settings!$E$45,DAY($B21))))&lt;=MIN(Settings!$B$5,IF(Settings!$G$45="",Settings!$B$5,Settings!$G$45))),1,0)))))</f>
        <v/>
      </c>
      <c r="EU21">
        <f>IF($E21&lt;&gt;"open",0,IF(AND('Month-End'!$R$23&lt;&gt;"",NOT(_xlfn.ISFORMULA('Month-End'!$R$23))),0,IF(OR(Settings!$C$46="",Settings!$D$46=""),0,Settings!$C$46*IF(Settings!$D$46="Weekly",IF(IFERROR(MATCH(Settings!$E$46,$EO$4:$EO$10,0),0)=0,0,IF(MIN(Settings!$B$5,IF(Settings!$G$46="",Settings!$B$5,Settings!$G$46))&lt;MAX($A21,Settings!$F$46),0,INT((MIN(Settings!$B$5,IF(Settings!$G$46="",Settings!$B$5,Settings!$G$46))-MAX($A21,Settings!$F$46)-MOD(IFERROR(MATCH(Settings!$E$46,$EO$4:$EO$10,0),0)-WEEKDAY(MAX($A21,Settings!$F$46)),7))/7)+1)),IF(AND(IF(Settings!$E$46="",$B21,DATE(YEAR($A21),MONTH($A21),MIN(Settings!$E$46,DAY($B21))))&gt;=MAX($A21,Settings!$F$46),IF(Settings!$E$46="",$B21,DATE(YEAR($A21),MONTH($A21),MIN(Settings!$E$46,DAY($B21))))&lt;=MIN(Settings!$B$5,IF(Settings!$G$46="",Settings!$B$5,Settings!$G$46))),1,0)))))</f>
        <v/>
      </c>
      <c r="EV21">
        <f>IF($E21&lt;&gt;"open",0,IF(AND('Month-End'!$R$24&lt;&gt;"",NOT(_xlfn.ISFORMULA('Month-End'!$R$24))),0,IF(OR(Settings!$C$47="",Settings!$D$47=""),0,Settings!$C$47*IF(Settings!$D$47="Weekly",IF(IFERROR(MATCH(Settings!$E$47,$EO$4:$EO$10,0),0)=0,0,IF(MIN(Settings!$B$5,IF(Settings!$G$47="",Settings!$B$5,Settings!$G$47))&lt;MAX($A21,Settings!$F$47),0,INT((MIN(Settings!$B$5,IF(Settings!$G$47="",Settings!$B$5,Settings!$G$47))-MAX($A21,Settings!$F$47)-MOD(IFERROR(MATCH(Settings!$E$47,$EO$4:$EO$10,0),0)-WEEKDAY(MAX($A21,Settings!$F$47)),7))/7)+1)),IF(AND(IF(Settings!$E$47="",$B21,DATE(YEAR($A21),MONTH($A21),MIN(Settings!$E$47,DAY($B21))))&gt;=MAX($A21,Settings!$F$47),IF(Settings!$E$47="",$B21,DATE(YEAR($A21),MONTH($A21),MIN(Settings!$E$47,DAY($B21))))&lt;=MIN(Settings!$B$5,IF(Settings!$G$47="",Settings!$B$5,Settings!$G$47))),1,0)))))</f>
        <v/>
      </c>
      <c r="EW21">
        <f>IF($E21&lt;&gt;"open",0,IF(AND('Month-End'!$R$25&lt;&gt;"",NOT(_xlfn.ISFORMULA('Month-End'!$R$25))),0,IF(OR(Settings!$C$48="",Settings!$D$48=""),0,Settings!$C$48*IF(Settings!$D$48="Weekly",IF(IFERROR(MATCH(Settings!$E$48,$EO$4:$EO$10,0),0)=0,0,IF(MIN(Settings!$B$5,IF(Settings!$G$48="",Settings!$B$5,Settings!$G$48))&lt;MAX($A21,Settings!$F$48),0,INT((MIN(Settings!$B$5,IF(Settings!$G$48="",Settings!$B$5,Settings!$G$48))-MAX($A21,Settings!$F$48)-MOD(IFERROR(MATCH(Settings!$E$48,$EO$4:$EO$10,0),0)-WEEKDAY(MAX($A21,Settings!$F$48)),7))/7)+1)),IF(AND(IF(Settings!$E$48="",$B21,DATE(YEAR($A21),MONTH($A21),MIN(Settings!$E$48,DAY($B21))))&gt;=MAX($A21,Settings!$F$48),IF(Settings!$E$48="",$B21,DATE(YEAR($A21),MONTH($A21),MIN(Settings!$E$48,DAY($B21))))&lt;=MIN(Settings!$B$5,IF(Settings!$G$48="",Settings!$B$5,Settings!$G$48))),1,0)))))</f>
        <v/>
      </c>
      <c r="EX21">
        <f>IF($E21&lt;&gt;"open",0,IF(AND('Month-End'!$R$26&lt;&gt;"",NOT(_xlfn.ISFORMULA('Month-End'!$R$26))),0,IF(OR(Settings!$C$49="",Settings!$D$49=""),0,Settings!$C$49*IF(Settings!$D$49="Weekly",IF(IFERROR(MATCH(Settings!$E$49,$EO$4:$EO$10,0),0)=0,0,IF(MIN(Settings!$B$5,IF(Settings!$G$49="",Settings!$B$5,Settings!$G$49))&lt;MAX($A21,Settings!$F$49),0,INT((MIN(Settings!$B$5,IF(Settings!$G$49="",Settings!$B$5,Settings!$G$49))-MAX($A21,Settings!$F$49)-MOD(IFERROR(MATCH(Settings!$E$49,$EO$4:$EO$10,0),0)-WEEKDAY(MAX($A21,Settings!$F$49)),7))/7)+1)),IF(AND(IF(Settings!$E$49="",$B21,DATE(YEAR($A21),MONTH($A21),MIN(Settings!$E$49,DAY($B21))))&gt;=MAX($A21,Settings!$F$49),IF(Settings!$E$49="",$B21,DATE(YEAR($A21),MONTH($A21),MIN(Settings!$E$49,DAY($B21))))&lt;=MIN(Settings!$B$5,IF(Settings!$G$49="",Settings!$B$5,Settings!$G$49))),1,0)))))</f>
        <v/>
      </c>
      <c r="EY21">
        <f>IF($E21&lt;&gt;"open",0,IF(AND('Month-End'!$R$27&lt;&gt;"",NOT(_xlfn.ISFORMULA('Month-End'!$R$27))),0,IF(OR(Settings!$C$50="",Settings!$D$50=""),0,Settings!$C$50*IF(Settings!$D$50="Weekly",IF(IFERROR(MATCH(Settings!$E$50,$EO$4:$EO$10,0),0)=0,0,IF(MIN(Settings!$B$5,IF(Settings!$G$50="",Settings!$B$5,Settings!$G$50))&lt;MAX($A21,Settings!$F$50),0,INT((MIN(Settings!$B$5,IF(Settings!$G$50="",Settings!$B$5,Settings!$G$50))-MAX($A21,Settings!$F$50)-MOD(IFERROR(MATCH(Settings!$E$50,$EO$4:$EO$10,0),0)-WEEKDAY(MAX($A21,Settings!$F$50)),7))/7)+1)),IF(AND(IF(Settings!$E$50="",$B21,DATE(YEAR($A21),MONTH($A21),MIN(Settings!$E$50,DAY($B21))))&gt;=MAX($A21,Settings!$F$50),IF(Settings!$E$50="",$B21,DATE(YEAR($A21),MONTH($A21),MIN(Settings!$E$50,DAY($B21))))&lt;=MIN(Settings!$B$5,IF(Settings!$G$50="",Settings!$B$5,Settings!$G$50))),1,0)))))</f>
        <v/>
      </c>
      <c r="EZ21">
        <f>IF($E21&lt;&gt;"open",0,IF(AND('Month-End'!$R$28&lt;&gt;"",NOT(_xlfn.ISFORMULA('Month-End'!$R$28))),0,IF(OR(Settings!$C$51="",Settings!$D$51=""),0,Settings!$C$51*IF(Settings!$D$51="Weekly",IF(IFERROR(MATCH(Settings!$E$51,$EO$4:$EO$10,0),0)=0,0,IF(MIN(Settings!$B$5,IF(Settings!$G$51="",Settings!$B$5,Settings!$G$51))&lt;MAX($A21,Settings!$F$51),0,INT((MIN(Settings!$B$5,IF(Settings!$G$51="",Settings!$B$5,Settings!$G$51))-MAX($A21,Settings!$F$51)-MOD(IFERROR(MATCH(Settings!$E$51,$EO$4:$EO$10,0),0)-WEEKDAY(MAX($A21,Settings!$F$51)),7))/7)+1)),IF(AND(IF(Settings!$E$51="",$B21,DATE(YEAR($A21),MONTH($A21),MIN(Settings!$E$51,DAY($B21))))&gt;=MAX($A21,Settings!$F$51),IF(Settings!$E$51="",$B21,DATE(YEAR($A21),MONTH($A21),MIN(Settings!$E$51,DAY($B21))))&lt;=MIN(Settings!$B$5,IF(Settings!$G$51="",Settings!$B$5,Settings!$G$51))),1,0)))))</f>
        <v/>
      </c>
      <c r="FA21">
        <f>IF($E21&lt;&gt;"open",0,IF(AND('Month-End'!$R$29&lt;&gt;"",NOT(_xlfn.ISFORMULA('Month-End'!$R$29))),0,IF(OR(Settings!$C$52="",Settings!$D$52=""),0,Settings!$C$52*IF(Settings!$D$52="Weekly",IF(IFERROR(MATCH(Settings!$E$52,$EO$4:$EO$10,0),0)=0,0,IF(MIN(Settings!$B$5,IF(Settings!$G$52="",Settings!$B$5,Settings!$G$52))&lt;MAX($A21,Settings!$F$52),0,INT((MIN(Settings!$B$5,IF(Settings!$G$52="",Settings!$B$5,Settings!$G$52))-MAX($A21,Settings!$F$52)-MOD(IFERROR(MATCH(Settings!$E$52,$EO$4:$EO$10,0),0)-WEEKDAY(MAX($A21,Settings!$F$52)),7))/7)+1)),IF(AND(IF(Settings!$E$52="",$B21,DATE(YEAR($A21),MONTH($A21),MIN(Settings!$E$52,DAY($B21))))&gt;=MAX($A21,Settings!$F$52),IF(Settings!$E$52="",$B21,DATE(YEAR($A21),MONTH($A21),MIN(Settings!$E$52,DAY($B21))))&lt;=MIN(Settings!$B$5,IF(Settings!$G$52="",Settings!$B$5,Settings!$G$52))),1,0)))))</f>
        <v/>
      </c>
      <c r="FB21">
        <f>IF($E21&lt;&gt;"open",0,IF(AND('Month-End'!$R$30&lt;&gt;"",NOT(_xlfn.ISFORMULA('Month-End'!$R$30))),0,IF(OR(Settings!$C$53="",Settings!$D$53=""),0,Settings!$C$53*IF(Settings!$D$53="Weekly",IF(IFERROR(MATCH(Settings!$E$53,$EO$4:$EO$10,0),0)=0,0,IF(MIN(Settings!$B$5,IF(Settings!$G$53="",Settings!$B$5,Settings!$G$53))&lt;MAX($A21,Settings!$F$53),0,INT((MIN(Settings!$B$5,IF(Settings!$G$53="",Settings!$B$5,Settings!$G$53))-MAX($A21,Settings!$F$53)-MOD(IFERROR(MATCH(Settings!$E$53,$EO$4:$EO$10,0),0)-WEEKDAY(MAX($A21,Settings!$F$53)),7))/7)+1)),IF(AND(IF(Settings!$E$53="",$B21,DATE(YEAR($A21),MONTH($A21),MIN(Settings!$E$53,DAY($B21))))&gt;=MAX($A21,Settings!$F$53),IF(Settings!$E$53="",$B21,DATE(YEAR($A21),MONTH($A21),MIN(Settings!$E$53,DAY($B21))))&lt;=MIN(Settings!$B$5,IF(Settings!$G$53="",Settings!$B$5,Settings!$G$53))),1,0)))))</f>
        <v/>
      </c>
      <c r="FC21">
        <f>IF($E21&lt;&gt;"open",0,IF(AND('Month-End'!$R$31&lt;&gt;"",NOT(_xlfn.ISFORMULA('Month-End'!$R$31))),0,IF(OR(Settings!$C$54="",Settings!$D$54=""),0,Settings!$C$54*IF(Settings!$D$54="Weekly",IF(IFERROR(MATCH(Settings!$E$54,$EO$4:$EO$10,0),0)=0,0,IF(MIN(Settings!$B$5,IF(Settings!$G$54="",Settings!$B$5,Settings!$G$54))&lt;MAX($A21,Settings!$F$54),0,INT((MIN(Settings!$B$5,IF(Settings!$G$54="",Settings!$B$5,Settings!$G$54))-MAX($A21,Settings!$F$54)-MOD(IFERROR(MATCH(Settings!$E$54,$EO$4:$EO$10,0),0)-WEEKDAY(MAX($A21,Settings!$F$54)),7))/7)+1)),IF(AND(IF(Settings!$E$54="",$B21,DATE(YEAR($A21),MONTH($A21),MIN(Settings!$E$54,DAY($B21))))&gt;=MAX($A21,Settings!$F$54),IF(Settings!$E$54="",$B21,DATE(YEAR($A21),MONTH($A21),MIN(Settings!$E$54,DAY($B21))))&lt;=MIN(Settings!$B$5,IF(Settings!$G$54="",Settings!$B$5,Settings!$G$54))),1,0)))))</f>
        <v/>
      </c>
      <c r="FD21">
        <f>IF($E21&lt;&gt;"open",0,IF(AND('Month-End'!$R$32&lt;&gt;"",NOT(_xlfn.ISFORMULA('Month-End'!$R$32))),0,IF(OR(Settings!$C$55="",Settings!$D$55=""),0,Settings!$C$55*IF(Settings!$D$55="Weekly",IF(IFERROR(MATCH(Settings!$E$55,$EO$4:$EO$10,0),0)=0,0,IF(MIN(Settings!$B$5,IF(Settings!$G$55="",Settings!$B$5,Settings!$G$55))&lt;MAX($A21,Settings!$F$55),0,INT((MIN(Settings!$B$5,IF(Settings!$G$55="",Settings!$B$5,Settings!$G$55))-MAX($A21,Settings!$F$55)-MOD(IFERROR(MATCH(Settings!$E$55,$EO$4:$EO$10,0),0)-WEEKDAY(MAX($A21,Settings!$F$55)),7))/7)+1)),IF(AND(IF(Settings!$E$55="",$B21,DATE(YEAR($A21),MONTH($A21),MIN(Settings!$E$55,DAY($B21))))&gt;=MAX($A21,Settings!$F$55),IF(Settings!$E$55="",$B21,DATE(YEAR($A21),MONTH($A21),MIN(Settings!$E$55,DAY($B21))))&lt;=MIN(Settings!$B$5,IF(Settings!$G$55="",Settings!$B$5,Settings!$G$55))),1,0)))))</f>
        <v/>
      </c>
      <c r="FE21">
        <f>IF($E21&lt;&gt;"open",0,IF(AND('Month-End'!$R$33&lt;&gt;"",NOT(_xlfn.ISFORMULA('Month-End'!$R$33))),0,IF(OR(Settings!$C$56="",Settings!$D$56=""),0,Settings!$C$56*IF(Settings!$D$56="Weekly",IF(IFERROR(MATCH(Settings!$E$56,$EO$4:$EO$10,0),0)=0,0,IF(MIN(Settings!$B$5,IF(Settings!$G$56="",Settings!$B$5,Settings!$G$56))&lt;MAX($A21,Settings!$F$56),0,INT((MIN(Settings!$B$5,IF(Settings!$G$56="",Settings!$B$5,Settings!$G$56))-MAX($A21,Settings!$F$56)-MOD(IFERROR(MATCH(Settings!$E$56,$EO$4:$EO$10,0),0)-WEEKDAY(MAX($A21,Settings!$F$56)),7))/7)+1)),IF(AND(IF(Settings!$E$56="",$B21,DATE(YEAR($A21),MONTH($A21),MIN(Settings!$E$56,DAY($B21))))&gt;=MAX($A21,Settings!$F$56),IF(Settings!$E$56="",$B21,DATE(YEAR($A21),MONTH($A21),MIN(Settings!$E$56,DAY($B21))))&lt;=MIN(Settings!$B$5,IF(Settings!$G$56="",Settings!$B$5,Settings!$G$56))),1,0)))))</f>
        <v/>
      </c>
      <c r="FF21">
        <f>IF(Settings!$I$45="Yes",$G21,0)+IF(Settings!$I$46="Yes",$H21,0)+IF(Settings!$I$47="Yes",$I21,0)+IF(Settings!$I$48="Yes",$J21,0)+IF(Settings!$I$49="Yes",$K21,0)+IF(Settings!$I$50="Yes",$L21,0)+IF(Settings!$I$51="Yes",$M21,0)+IF(Settings!$I$52="Yes",$N21,0)+IF(Settings!$I$53="Yes",$O21,0)+IF(Settings!$I$54="Yes",$P21,0)+IF(Settings!$I$55="Yes",$Q21,0)+IF(Settings!$I$56="Yes",$R21,0)</f>
        <v/>
      </c>
      <c r="FG21">
        <f>IF(AND(Settings!$I$45="Yes",Settings!$J$45="No"),$G21,0)+IF(AND(Settings!$I$46="Yes",Settings!$J$46="No"),$H21,0)+IF(AND(Settings!$I$47="Yes",Settings!$J$47="No"),$I21,0)+IF(AND(Settings!$I$48="Yes",Settings!$J$48="No"),$J21,0)+IF(AND(Settings!$I$49="Yes",Settings!$J$49="No"),$K21,0)+IF(AND(Settings!$I$50="Yes",Settings!$J$50="No"),$L21,0)+IF(AND(Settings!$I$51="Yes",Settings!$J$51="No"),$M21,0)+IF(AND(Settings!$I$52="Yes",Settings!$J$52="No"),$N21,0)+IF(AND(Settings!$I$53="Yes",Settings!$J$53="No"),$O21,0)+IF(AND(Settings!$I$54="Yes",Settings!$J$54="No"),$P21,0)+IF(AND(Settings!$I$55="Yes",Settings!$J$55="No"),$Q21,0)+IF(AND(Settings!$I$56="Yes",Settings!$J$56="No"),$R21,0)</f>
        <v/>
      </c>
      <c r="FH21">
        <f>SUMIFS(Giving!$B$7:$B$2006,Giving!$A$7:$A$2006,"&gt;="&amp;$A21,Giving!$A$7:$A$2006,"&lt;="&amp;$B21,Giving!$G$7:$G$2006,"Yes")+IF(OR(OR(Settings!$B$60="",Settings!$F$60="No"),Settings!$H$60&lt;&gt;"Yes"),0,Settings!$B$60*IF(AND(IF(Settings!$C$60="",$B21,DATE(YEAR($A21),MONTH($A21),MIN(Settings!$C$60,DAY($B21))))&gt;=MAX($A21,Settings!$D$60),IF(Settings!$C$60="",$B21,DATE(YEAR($A21),MONTH($A21),MIN(Settings!$C$60,DAY($B21))))&lt;=MIN($C21,IF(Settings!$E$60="",$C21,Settings!$E$60))),1,0))+IF(OR(OR(Settings!$B$61="",Settings!$F$61="No"),Settings!$H$61&lt;&gt;"Yes"),0,Settings!$B$61*IF(AND(IF(Settings!$C$61="",$B21,DATE(YEAR($A21),MONTH($A21),MIN(Settings!$C$61,DAY($B21))))&gt;=MAX($A21,Settings!$D$61),IF(Settings!$C$61="",$B21,DATE(YEAR($A21),MONTH($A21),MIN(Settings!$C$61,DAY($B21))))&lt;=MIN($C21,IF(Settings!$E$61="",$C21,Settings!$E$61))),1,0))+IF(OR(OR(Settings!$B$62="",Settings!$F$62="No"),Settings!$H$62&lt;&gt;"Yes"),0,Settings!$B$62*IF(AND(IF(Settings!$C$62="",$B21,DATE(YEAR($A21),MONTH($A21),MIN(Settings!$C$62,DAY($B21))))&gt;=MAX($A21,Settings!$D$62),IF(Settings!$C$62="",$B21,DATE(YEAR($A21),MONTH($A21),MIN(Settings!$C$62,DAY($B21))))&lt;=MIN($C21,IF(Settings!$E$62="",$C21,Settings!$E$62))),1,0))+IF(OR(OR(Settings!$B$63="",Settings!$F$63="No"),Settings!$H$63&lt;&gt;"Yes"),0,Settings!$B$63*IF(AND(IF(Settings!$C$63="",$B21,DATE(YEAR($A21),MONTH($A21),MIN(Settings!$C$63,DAY($B21))))&gt;=MAX($A21,Settings!$D$63),IF(Settings!$C$63="",$B21,DATE(YEAR($A21),MONTH($A21),MIN(Settings!$C$63,DAY($B21))))&lt;=MIN($C21,IF(Settings!$E$63="",$C21,Settings!$E$63))),1,0))+IF(OR(OR(Settings!$B$64="",Settings!$F$64="No"),Settings!$H$64&lt;&gt;"Yes"),0,Settings!$B$64*IF(AND(IF(Settings!$C$64="",$B21,DATE(YEAR($A21),MONTH($A21),MIN(Settings!$C$64,DAY($B21))))&gt;=MAX($A21,Settings!$D$64),IF(Settings!$C$64="",$B21,DATE(YEAR($A21),MONTH($A21),MIN(Settings!$C$64,DAY($B21))))&lt;=MIN($C21,IF(Settings!$E$64="",$C21,Settings!$E$64))),1,0))+IF(OR(OR(Settings!$B$65="",Settings!$F$65="No"),Settings!$H$65&lt;&gt;"Yes"),0,Settings!$B$65*IF(AND(IF(Settings!$C$65="",$B21,DATE(YEAR($A21),MONTH($A21),MIN(Settings!$C$65,DAY($B21))))&gt;=MAX($A21,Settings!$D$65),IF(Settings!$C$65="",$B21,DATE(YEAR($A21),MONTH($A21),MIN(Settings!$C$65,DAY($B21))))&lt;=MIN($C21,IF(Settings!$E$65="",$C21,Settings!$E$65))),1,0))</f>
        <v/>
      </c>
      <c r="FI21">
        <f>IF($DT21=1,IF(OR(Settings!$B$19="Card",Settings!$B$19="Loan"),N($AE21),0)+IF(OR(Settings!$B$20="Card",Settings!$B$20="Loan"),N($AF21),0)+IF(OR(Settings!$B$21="Card",Settings!$B$21="Loan"),N($AG21),0)+IF(OR(Settings!$B$22="Card",Settings!$B$22="Loan"),N($AH21),0)+IF(OR(Settings!$B$23="Card",Settings!$B$23="Loan"),N($AI21),0)+IF(OR(Settings!$B$24="Card",Settings!$B$24="Loan"),N($AJ21),0)+IF(OR(Settings!$B$25="Card",Settings!$B$25="Loan"),N($AK21),0)+IF(OR(Settings!$B$26="Card",Settings!$B$26="Loan"),N($AL21),0)+IF(OR(Settings!$B$27="Card",Settings!$B$27="Loan"),N($AM21),0)+IF(OR(Settings!$B$28="Card",Settings!$B$28="Loan"),N($AN21),0)+IF(OR(Settings!$B$29="Card",Settings!$B$29="Loan"),N($AO21),0)+IF(OR(Settings!$B$30="Card",Settings!$B$30="Loan"),N($AP21),0)+IF(OR(Settings!$B$31="Card",Settings!$B$31="Loan"),N($AQ21),0)+IF(OR(Settings!$B$32="Card",Settings!$B$32="Loan"),N($AR21),0),"")</f>
        <v/>
      </c>
      <c r="FJ21">
        <f>IF($E21="open",$EB$65,IF($E21="post",IF($E20="pre",$EB$65,$FI20),""))</f>
        <v/>
      </c>
      <c r="FK21">
        <f>IF(AND($DT21=1,$DC21=1),IF(ROUND($FI21-$FJ21,2)&gt;0,1,0),0)</f>
        <v/>
      </c>
      <c r="FL21">
        <f>IF($FK21=1,$FL20+1,0)</f>
        <v/>
      </c>
    </row>
    <row r="22">
      <c r="A22">
        <f>'Month-End'!$S$4</f>
        <v/>
      </c>
      <c r="B22">
        <f>EOMONTH($A22,0)</f>
        <v/>
      </c>
      <c r="C22">
        <f>MIN($B22,TODAY())</f>
        <v/>
      </c>
      <c r="D22">
        <f>IF($A22&gt;TODAY(),1,0)</f>
        <v/>
      </c>
      <c r="E22">
        <f>IF($B22&lt;=Settings!$B$5,"pre",IF($A22&lt;=Settings!$B$5,"open","post"))</f>
        <v/>
      </c>
      <c r="G22">
        <f>IF('Month-End'!$S$22="",$BE22,N('Month-End'!$S$22))</f>
        <v/>
      </c>
      <c r="H22">
        <f>IF('Month-End'!$S$23="",$BF22,N('Month-End'!$S$23))</f>
        <v/>
      </c>
      <c r="I22">
        <f>IF('Month-End'!$S$24="",$BG22,N('Month-End'!$S$24))</f>
        <v/>
      </c>
      <c r="J22">
        <f>IF('Month-End'!$S$25="",$BH22,N('Month-End'!$S$25))</f>
        <v/>
      </c>
      <c r="K22">
        <f>IF('Month-End'!$S$26="",$BI22,N('Month-End'!$S$26))</f>
        <v/>
      </c>
      <c r="L22">
        <f>IF('Month-End'!$S$27="",$BJ22,N('Month-End'!$S$27))</f>
        <v/>
      </c>
      <c r="M22">
        <f>IF('Month-End'!$S$28="",$BK22,N('Month-End'!$S$28))</f>
        <v/>
      </c>
      <c r="N22">
        <f>IF('Month-End'!$S$29="",$BL22,N('Month-End'!$S$29))</f>
        <v/>
      </c>
      <c r="O22">
        <f>IF('Month-End'!$S$30="",$BM22,N('Month-End'!$S$30))</f>
        <v/>
      </c>
      <c r="P22">
        <f>IF('Month-End'!$S$31="",$BN22,N('Month-End'!$S$31))</f>
        <v/>
      </c>
      <c r="Q22">
        <f>IF('Month-End'!$S$32="",$BO22,N('Month-End'!$S$32))</f>
        <v/>
      </c>
      <c r="R22">
        <f>IF('Month-End'!$S$33="",$BP22,N('Month-End'!$S$33))</f>
        <v/>
      </c>
      <c r="S22">
        <f>$G22+$H22+$I22+$J22+$K22+$L22+$M22+$N22+$O22+$P22+$Q22+$R22</f>
        <v/>
      </c>
      <c r="T22">
        <f>IF($B22&lt;Settings!$B$6,0,IF(Settings!$B$45="Yes",$G22,0)+IF(Settings!$B$46="Yes",$H22,0)+IF(Settings!$B$47="Yes",$I22,0)+IF(Settings!$B$48="Yes",$J22,0)+IF(Settings!$B$49="Yes",$K22,0)+IF(Settings!$B$50="Yes",$L22,0)+IF(Settings!$B$51="Yes",$M22,0)+IF(Settings!$B$52="Yes",$N22,0)+IF(Settings!$B$53="Yes",$O22,0)+IF(Settings!$B$54="Yes",$P22,0)+IF(Settings!$B$55="Yes",$Q22,0)+IF(Settings!$B$56="Yes",$R22,0))</f>
        <v/>
      </c>
      <c r="U22">
        <f>IF(Settings!$B$45="Not Sure",$G22,0)+IF(Settings!$B$46="Not Sure",$H22,0)+IF(Settings!$B$47="Not Sure",$I22,0)+IF(Settings!$B$48="Not Sure",$J22,0)+IF(Settings!$B$49="Not Sure",$K22,0)+IF(Settings!$B$50="Not Sure",$L22,0)+IF(Settings!$B$51="Not Sure",$M22,0)+IF(Settings!$B$52="Not Sure",$N22,0)+IF(Settings!$B$53="Not Sure",$O22,0)+IF(Settings!$B$54="Not Sure",$P22,0)+IF(Settings!$B$55="Not Sure",$Q22,0)+IF(Settings!$B$56="Not Sure",$R22,0)</f>
        <v/>
      </c>
      <c r="V22">
        <f>IF($E22="open",SUM($ET22:$FE22)+N(Settings!$B$13),0)</f>
        <v/>
      </c>
      <c r="W22">
        <f>IF($E22="post",$S22,IF($E22="open",$S22-$V22,0))</f>
        <v/>
      </c>
      <c r="X22">
        <f>SUMIFS(Giving!$B$7:$B$2006,Giving!$A$7:$A$2006,"&gt;="&amp;$A22,Giving!$A$7:$A$2006,"&lt;="&amp;$B22,Giving!$E$7:$E$2006,"&lt;&gt;No")</f>
        <v/>
      </c>
      <c r="Y22">
        <f>SUMIFS(Giving!$B$7:$B$2006,Giving!$A$7:$A$2006,"&gt;="&amp;$A22,Giving!$A$7:$A$2006,"&lt;="&amp;$B22,Giving!$E$7:$E$2006,"No")</f>
        <v/>
      </c>
      <c r="Z22">
        <f>IF(OR(Settings!$B$60="",Settings!$F$60="No"),0,Settings!$B$60*IF(AND(IF(Settings!$C$60="",$B22,DATE(YEAR($A22),MONTH($A22),MIN(Settings!$C$60,DAY($B22))))&gt;=MAX($A22,Settings!$D$60),IF(Settings!$C$60="",$B22,DATE(YEAR($A22),MONTH($A22),MIN(Settings!$C$60,DAY($B22))))&lt;=MIN($C22,IF(Settings!$E$60="",$C22,Settings!$E$60))),1,0))+IF(OR(Settings!$B$61="",Settings!$F$61="No"),0,Settings!$B$61*IF(AND(IF(Settings!$C$61="",$B22,DATE(YEAR($A22),MONTH($A22),MIN(Settings!$C$61,DAY($B22))))&gt;=MAX($A22,Settings!$D$61),IF(Settings!$C$61="",$B22,DATE(YEAR($A22),MONTH($A22),MIN(Settings!$C$61,DAY($B22))))&lt;=MIN($C22,IF(Settings!$E$61="",$C22,Settings!$E$61))),1,0))+IF(OR(Settings!$B$62="",Settings!$F$62="No"),0,Settings!$B$62*IF(AND(IF(Settings!$C$62="",$B22,DATE(YEAR($A22),MONTH($A22),MIN(Settings!$C$62,DAY($B22))))&gt;=MAX($A22,Settings!$D$62),IF(Settings!$C$62="",$B22,DATE(YEAR($A22),MONTH($A22),MIN(Settings!$C$62,DAY($B22))))&lt;=MIN($C22,IF(Settings!$E$62="",$C22,Settings!$E$62))),1,0))+IF(OR(Settings!$B$63="",Settings!$F$63="No"),0,Settings!$B$63*IF(AND(IF(Settings!$C$63="",$B22,DATE(YEAR($A22),MONTH($A22),MIN(Settings!$C$63,DAY($B22))))&gt;=MAX($A22,Settings!$D$63),IF(Settings!$C$63="",$B22,DATE(YEAR($A22),MONTH($A22),MIN(Settings!$C$63,DAY($B22))))&lt;=MIN($C22,IF(Settings!$E$63="",$C22,Settings!$E$63))),1,0))+IF(OR(Settings!$B$64="",Settings!$F$64="No"),0,Settings!$B$64*IF(AND(IF(Settings!$C$64="",$B22,DATE(YEAR($A22),MONTH($A22),MIN(Settings!$C$64,DAY($B22))))&gt;=MAX($A22,Settings!$D$64),IF(Settings!$C$64="",$B22,DATE(YEAR($A22),MONTH($A22),MIN(Settings!$C$64,DAY($B22))))&lt;=MIN($C22,IF(Settings!$E$64="",$C22,Settings!$E$64))),1,0))+IF(OR(Settings!$B$65="",Settings!$F$65="No"),0,Settings!$B$65*IF(AND(IF(Settings!$C$65="",$B22,DATE(YEAR($A22),MONTH($A22),MIN(Settings!$C$65,DAY($B22))))&gt;=MAX($A22,Settings!$D$65),IF(Settings!$C$65="",$B22,DATE(YEAR($A22),MONTH($A22),MIN(Settings!$C$65,DAY($B22))))&lt;=MIN($C22,IF(Settings!$E$65="",$C22,Settings!$E$65))),1,0))</f>
        <v/>
      </c>
      <c r="AA22">
        <f>$X22+$Z22</f>
        <v/>
      </c>
      <c r="AB22">
        <f>IF($E22="post",$AA22,IF($E22="open",SUMIFS(Giving!$B$7:$B$2006,Giving!$A$7:$A$2006,"&gt;"&amp;Settings!$B$5,Giving!$A$7:$A$2006,"&lt;="&amp;$B22,Giving!$E$7:$E$2006,"&lt;&gt;No")+IF(OR(Settings!$B$60="",Settings!$F$60="No"),0,Settings!$B$60*IF(AND(IF(Settings!$C$60="",$B22,DATE(YEAR($A22),MONTH($A22),MIN(Settings!$C$60,DAY($B22))))&gt;=MAX($A22,Settings!$D$60,Settings!$B$5+1),IF(Settings!$C$60="",$B22,DATE(YEAR($A22),MONTH($A22),MIN(Settings!$C$60,DAY($B22))))&lt;=MIN($C22,IF(Settings!$E$60="",$C22,Settings!$E$60))),1,0))+IF(OR(Settings!$B$61="",Settings!$F$61="No"),0,Settings!$B$61*IF(AND(IF(Settings!$C$61="",$B22,DATE(YEAR($A22),MONTH($A22),MIN(Settings!$C$61,DAY($B22))))&gt;=MAX($A22,Settings!$D$61,Settings!$B$5+1),IF(Settings!$C$61="",$B22,DATE(YEAR($A22),MONTH($A22),MIN(Settings!$C$61,DAY($B22))))&lt;=MIN($C22,IF(Settings!$E$61="",$C22,Settings!$E$61))),1,0))+IF(OR(Settings!$B$62="",Settings!$F$62="No"),0,Settings!$B$62*IF(AND(IF(Settings!$C$62="",$B22,DATE(YEAR($A22),MONTH($A22),MIN(Settings!$C$62,DAY($B22))))&gt;=MAX($A22,Settings!$D$62,Settings!$B$5+1),IF(Settings!$C$62="",$B22,DATE(YEAR($A22),MONTH($A22),MIN(Settings!$C$62,DAY($B22))))&lt;=MIN($C22,IF(Settings!$E$62="",$C22,Settings!$E$62))),1,0))+IF(OR(Settings!$B$63="",Settings!$F$63="No"),0,Settings!$B$63*IF(AND(IF(Settings!$C$63="",$B22,DATE(YEAR($A22),MONTH($A22),MIN(Settings!$C$63,DAY($B22))))&gt;=MAX($A22,Settings!$D$63,Settings!$B$5+1),IF(Settings!$C$63="",$B22,DATE(YEAR($A22),MONTH($A22),MIN(Settings!$C$63,DAY($B22))))&lt;=MIN($C22,IF(Settings!$E$63="",$C22,Settings!$E$63))),1,0))+IF(OR(Settings!$B$64="",Settings!$F$64="No"),0,Settings!$B$64*IF(AND(IF(Settings!$C$64="",$B22,DATE(YEAR($A22),MONTH($A22),MIN(Settings!$C$64,DAY($B22))))&gt;=MAX($A22,Settings!$D$64,Settings!$B$5+1),IF(Settings!$C$64="",$B22,DATE(YEAR($A22),MONTH($A22),MIN(Settings!$C$64,DAY($B22))))&lt;=MIN($C22,IF(Settings!$E$64="",$C22,Settings!$E$64))),1,0))+IF(OR(Settings!$B$65="",Settings!$F$65="No"),0,Settings!$B$65*IF(AND(IF(Settings!$C$65="",$B22,DATE(YEAR($A22),MONTH($A22),MIN(Settings!$C$65,DAY($B22))))&gt;=MAX($A22,Settings!$D$65,Settings!$B$5+1),IF(Settings!$C$65="",$B22,DATE(YEAR($A22),MONTH($A22),MIN(Settings!$C$65,DAY($B22))))&lt;=MIN($C22,IF(Settings!$E$65="",$C22,Settings!$E$65))),1,0)),0))</f>
        <v/>
      </c>
      <c r="AC22">
        <f>$AY22+$AZ22+$BA22+$BB22+$BC22+$BD22</f>
        <v/>
      </c>
      <c r="AD22">
        <f>$AC22</f>
        <v/>
      </c>
      <c r="AE22">
        <f>IF(OR(Settings!$A$19="",$E22="pre"),"",IF(AND('Month-End'!$S$7&lt;&gt;"",NOT(_xlfn.ISFORMULA('Month-End'!$S$7))),N('Month-End'!$S$7),IF(OR($E22="open",$E21="pre"),N(Settings!$C$19),N($AE21))))</f>
        <v/>
      </c>
      <c r="AF22">
        <f>IF(OR(Settings!$A$20="",$E22="pre"),"",IF(AND('Month-End'!$S$8&lt;&gt;"",NOT(_xlfn.ISFORMULA('Month-End'!$S$8))),N('Month-End'!$S$8),IF(OR($E22="open",$E21="pre"),N(Settings!$C$20),N($AF21))))</f>
        <v/>
      </c>
      <c r="AG22">
        <f>IF(OR(Settings!$A$21="",$E22="pre"),"",IF(AND('Month-End'!$S$9&lt;&gt;"",NOT(_xlfn.ISFORMULA('Month-End'!$S$9))),N('Month-End'!$S$9),IF(OR($E22="open",$E21="pre"),N(Settings!$C$21),N($AG21))))</f>
        <v/>
      </c>
      <c r="AH22">
        <f>IF(OR(Settings!$A$22="",$E22="pre"),"",IF(AND('Month-End'!$S$10&lt;&gt;"",NOT(_xlfn.ISFORMULA('Month-End'!$S$10))),N('Month-End'!$S$10),IF(OR($E22="open",$E21="pre"),N(Settings!$C$22),N($AH21))))</f>
        <v/>
      </c>
      <c r="AI22">
        <f>IF(OR(Settings!$A$23="",$E22="pre"),"",IF(AND('Month-End'!$S$11&lt;&gt;"",NOT(_xlfn.ISFORMULA('Month-End'!$S$11))),N('Month-End'!$S$11),IF(OR($E22="open",$E21="pre"),N(Settings!$C$23),N($AI21))))</f>
        <v/>
      </c>
      <c r="AJ22">
        <f>IF(OR(Settings!$A$24="",$E22="pre"),"",IF(AND('Month-End'!$S$12&lt;&gt;"",NOT(_xlfn.ISFORMULA('Month-End'!$S$12))),N('Month-End'!$S$12),IF(OR($E22="open",$E21="pre"),N(Settings!$C$24),N($AJ21))))</f>
        <v/>
      </c>
      <c r="AK22">
        <f>IF(OR(Settings!$A$25="",$E22="pre"),"",IF(AND('Month-End'!$S$13&lt;&gt;"",NOT(_xlfn.ISFORMULA('Month-End'!$S$13))),N('Month-End'!$S$13),IF(OR($E22="open",$E21="pre"),N(Settings!$C$25),N($AK21))))</f>
        <v/>
      </c>
      <c r="AL22">
        <f>IF(OR(Settings!$A$26="",$E22="pre"),"",IF(AND('Month-End'!$S$14&lt;&gt;"",NOT(_xlfn.ISFORMULA('Month-End'!$S$14))),N('Month-End'!$S$14),IF(OR($E22="open",$E21="pre"),N(Settings!$C$26),N($AL21))))</f>
        <v/>
      </c>
      <c r="AM22">
        <f>IF(OR(Settings!$A$27="",$E22="pre"),"",IF(AND('Month-End'!$S$15&lt;&gt;"",NOT(_xlfn.ISFORMULA('Month-End'!$S$15))),N('Month-End'!$S$15),IF(OR($E22="open",$E21="pre"),N(Settings!$C$27),N($AM21))))</f>
        <v/>
      </c>
      <c r="AN22">
        <f>IF(OR(Settings!$A$28="",$E22="pre"),"",IF(AND('Month-End'!$S$16&lt;&gt;"",NOT(_xlfn.ISFORMULA('Month-End'!$S$16))),N('Month-End'!$S$16),IF(OR($E22="open",$E21="pre"),N(Settings!$C$28),N($AN21))))</f>
        <v/>
      </c>
      <c r="AO22">
        <f>IF(OR(Settings!$A$29="",$E22="pre"),"",IF(AND('Month-End'!$S$17&lt;&gt;"",NOT(_xlfn.ISFORMULA('Month-End'!$S$17))),N('Month-End'!$S$17),IF(OR($E22="open",$E21="pre"),N(Settings!$C$29),N($AO21))))</f>
        <v/>
      </c>
      <c r="AP22">
        <f>IF(OR(Settings!$A$30="",$E22="pre"),"",IF(AND('Month-End'!$S$18&lt;&gt;"",NOT(_xlfn.ISFORMULA('Month-End'!$S$18))),N('Month-End'!$S$18),IF(OR($E22="open",$E21="pre"),N(Settings!$C$30),N($AP21))))</f>
        <v/>
      </c>
      <c r="AQ22">
        <f>IF(OR(Settings!$A$31="",$E22="pre"),"",IF(AND('Month-End'!$S$19&lt;&gt;"",NOT(_xlfn.ISFORMULA('Month-End'!$S$19))),N('Month-End'!$S$19),IF(OR($E22="open",$E21="pre"),N(Settings!$C$31),N($AQ21))))</f>
        <v/>
      </c>
      <c r="AR22">
        <f>IF(OR(Settings!$A$32="",$E22="pre"),"",IF(AND('Month-End'!$S$20&lt;&gt;"",NOT(_xlfn.ISFORMULA('Month-End'!$S$20))),N('Month-End'!$S$20),IF(OR($E22="open",$E21="pre"),N(Settings!$C$32),N($AR21))))</f>
        <v/>
      </c>
      <c r="AS22">
        <f>IF(OR(Settings!$A$36="",$E22="pre"),"",IF(AND('Month-End'!$S$38&lt;&gt;"",NOT(_xlfn.ISFORMULA('Month-End'!$S$38))),N('Month-End'!$S$38),IF(OR($E22="open",$E21="pre"),N(Settings!$C$36),N($AS21))+$AY22))</f>
        <v/>
      </c>
      <c r="AT22">
        <f>IF(OR(Settings!$A$37="",$E22="pre"),"",IF(AND('Month-End'!$S$39&lt;&gt;"",NOT(_xlfn.ISFORMULA('Month-End'!$S$39))),N('Month-End'!$S$39),IF(OR($E22="open",$E21="pre"),N(Settings!$C$37),N($AT21))+$AZ22))</f>
        <v/>
      </c>
      <c r="AU22">
        <f>IF(OR(Settings!$A$38="",$E22="pre"),"",IF(AND('Month-End'!$S$40&lt;&gt;"",NOT(_xlfn.ISFORMULA('Month-End'!$S$40))),N('Month-End'!$S$40),IF(OR($E22="open",$E21="pre"),N(Settings!$C$38),N($AU21))+$BA22))</f>
        <v/>
      </c>
      <c r="AV22">
        <f>IF(OR(Settings!$A$39="",$E22="pre"),"",IF(AND('Month-End'!$S$41&lt;&gt;"",NOT(_xlfn.ISFORMULA('Month-End'!$S$41))),N('Month-End'!$S$41),IF(OR($E22="open",$E21="pre"),N(Settings!$C$39),N($AV21))+$BB22))</f>
        <v/>
      </c>
      <c r="AW22">
        <f>IF(OR(Settings!$A$40="",$E22="pre"),"",IF(AND('Month-End'!$S$42&lt;&gt;"",NOT(_xlfn.ISFORMULA('Month-End'!$S$42))),N('Month-End'!$S$42),IF(OR($E22="open",$E21="pre"),N(Settings!$C$40),N($AW21))+$BC22))</f>
        <v/>
      </c>
      <c r="AX22">
        <f>IF(OR(Settings!$A$41="",$E22="pre"),"",IF(AND('Month-End'!$S$43&lt;&gt;"",NOT(_xlfn.ISFORMULA('Month-End'!$S$43))),N('Month-End'!$S$43),IF(OR($E22="open",$E21="pre"),N(Settings!$C$41),N($AX21))+$BD22))</f>
        <v/>
      </c>
      <c r="AY22">
        <f>IF($E22="pre",0,N('Month-End'!$S$45))</f>
        <v/>
      </c>
      <c r="AZ22">
        <f>IF($E22="pre",0,N('Month-End'!$S$46))</f>
        <v/>
      </c>
      <c r="BA22">
        <f>IF($E22="pre",0,N('Month-End'!$S$47))</f>
        <v/>
      </c>
      <c r="BB22">
        <f>IF($E22="pre",0,N('Month-End'!$S$48))</f>
        <v/>
      </c>
      <c r="BC22">
        <f>IF($E22="pre",0,N('Month-End'!$S$49))</f>
        <v/>
      </c>
      <c r="BD22">
        <f>IF($E22="pre",0,N('Month-End'!$S$50))</f>
        <v/>
      </c>
      <c r="BE22">
        <f>IF(OR(Settings!$C$45="",Settings!$D$45=""),0,Settings!$C$45*IF(Settings!$D$45="Weekly",IF(IFERROR(MATCH(Settings!$E$45,$EO$4:$EO$10,0),0)=0,0,IF(MIN($C22,IF(Settings!$G$45="",$C22,Settings!$G$45))&lt;MAX($A22,Settings!$F$45),0,INT((MIN($C22,IF(Settings!$G$45="",$C22,Settings!$G$45))-MAX($A22,Settings!$F$45)-MOD(IFERROR(MATCH(Settings!$E$45,$EO$4:$EO$10,0),0)-WEEKDAY(MAX($A22,Settings!$F$45)),7))/7)+1)),IF(AND(IF(Settings!$E$45="",$B22,DATE(YEAR($A22),MONTH($A22),MIN(Settings!$E$45,DAY($B22))))&gt;=MAX($A22,Settings!$F$45),IF(Settings!$E$45="",$B22,DATE(YEAR($A22),MONTH($A22),MIN(Settings!$E$45,DAY($B22))))&lt;=MIN($C22,IF(Settings!$G$45="",$C22,Settings!$G$45))),1,0)))</f>
        <v/>
      </c>
      <c r="BF22">
        <f>IF(OR(Settings!$C$46="",Settings!$D$46=""),0,Settings!$C$46*IF(Settings!$D$46="Weekly",IF(IFERROR(MATCH(Settings!$E$46,$EO$4:$EO$10,0),0)=0,0,IF(MIN($C22,IF(Settings!$G$46="",$C22,Settings!$G$46))&lt;MAX($A22,Settings!$F$46),0,INT((MIN($C22,IF(Settings!$G$46="",$C22,Settings!$G$46))-MAX($A22,Settings!$F$46)-MOD(IFERROR(MATCH(Settings!$E$46,$EO$4:$EO$10,0),0)-WEEKDAY(MAX($A22,Settings!$F$46)),7))/7)+1)),IF(AND(IF(Settings!$E$46="",$B22,DATE(YEAR($A22),MONTH($A22),MIN(Settings!$E$46,DAY($B22))))&gt;=MAX($A22,Settings!$F$46),IF(Settings!$E$46="",$B22,DATE(YEAR($A22),MONTH($A22),MIN(Settings!$E$46,DAY($B22))))&lt;=MIN($C22,IF(Settings!$G$46="",$C22,Settings!$G$46))),1,0)))</f>
        <v/>
      </c>
      <c r="BG22">
        <f>IF(OR(Settings!$C$47="",Settings!$D$47=""),0,Settings!$C$47*IF(Settings!$D$47="Weekly",IF(IFERROR(MATCH(Settings!$E$47,$EO$4:$EO$10,0),0)=0,0,IF(MIN($C22,IF(Settings!$G$47="",$C22,Settings!$G$47))&lt;MAX($A22,Settings!$F$47),0,INT((MIN($C22,IF(Settings!$G$47="",$C22,Settings!$G$47))-MAX($A22,Settings!$F$47)-MOD(IFERROR(MATCH(Settings!$E$47,$EO$4:$EO$10,0),0)-WEEKDAY(MAX($A22,Settings!$F$47)),7))/7)+1)),IF(AND(IF(Settings!$E$47="",$B22,DATE(YEAR($A22),MONTH($A22),MIN(Settings!$E$47,DAY($B22))))&gt;=MAX($A22,Settings!$F$47),IF(Settings!$E$47="",$B22,DATE(YEAR($A22),MONTH($A22),MIN(Settings!$E$47,DAY($B22))))&lt;=MIN($C22,IF(Settings!$G$47="",$C22,Settings!$G$47))),1,0)))</f>
        <v/>
      </c>
      <c r="BH22">
        <f>IF(OR(Settings!$C$48="",Settings!$D$48=""),0,Settings!$C$48*IF(Settings!$D$48="Weekly",IF(IFERROR(MATCH(Settings!$E$48,$EO$4:$EO$10,0),0)=0,0,IF(MIN($C22,IF(Settings!$G$48="",$C22,Settings!$G$48))&lt;MAX($A22,Settings!$F$48),0,INT((MIN($C22,IF(Settings!$G$48="",$C22,Settings!$G$48))-MAX($A22,Settings!$F$48)-MOD(IFERROR(MATCH(Settings!$E$48,$EO$4:$EO$10,0),0)-WEEKDAY(MAX($A22,Settings!$F$48)),7))/7)+1)),IF(AND(IF(Settings!$E$48="",$B22,DATE(YEAR($A22),MONTH($A22),MIN(Settings!$E$48,DAY($B22))))&gt;=MAX($A22,Settings!$F$48),IF(Settings!$E$48="",$B22,DATE(YEAR($A22),MONTH($A22),MIN(Settings!$E$48,DAY($B22))))&lt;=MIN($C22,IF(Settings!$G$48="",$C22,Settings!$G$48))),1,0)))</f>
        <v/>
      </c>
      <c r="BI22">
        <f>IF(OR(Settings!$C$49="",Settings!$D$49=""),0,Settings!$C$49*IF(Settings!$D$49="Weekly",IF(IFERROR(MATCH(Settings!$E$49,$EO$4:$EO$10,0),0)=0,0,IF(MIN($C22,IF(Settings!$G$49="",$C22,Settings!$G$49))&lt;MAX($A22,Settings!$F$49),0,INT((MIN($C22,IF(Settings!$G$49="",$C22,Settings!$G$49))-MAX($A22,Settings!$F$49)-MOD(IFERROR(MATCH(Settings!$E$49,$EO$4:$EO$10,0),0)-WEEKDAY(MAX($A22,Settings!$F$49)),7))/7)+1)),IF(AND(IF(Settings!$E$49="",$B22,DATE(YEAR($A22),MONTH($A22),MIN(Settings!$E$49,DAY($B22))))&gt;=MAX($A22,Settings!$F$49),IF(Settings!$E$49="",$B22,DATE(YEAR($A22),MONTH($A22),MIN(Settings!$E$49,DAY($B22))))&lt;=MIN($C22,IF(Settings!$G$49="",$C22,Settings!$G$49))),1,0)))</f>
        <v/>
      </c>
      <c r="BJ22">
        <f>IF(OR(Settings!$C$50="",Settings!$D$50=""),0,Settings!$C$50*IF(Settings!$D$50="Weekly",IF(IFERROR(MATCH(Settings!$E$50,$EO$4:$EO$10,0),0)=0,0,IF(MIN($C22,IF(Settings!$G$50="",$C22,Settings!$G$50))&lt;MAX($A22,Settings!$F$50),0,INT((MIN($C22,IF(Settings!$G$50="",$C22,Settings!$G$50))-MAX($A22,Settings!$F$50)-MOD(IFERROR(MATCH(Settings!$E$50,$EO$4:$EO$10,0),0)-WEEKDAY(MAX($A22,Settings!$F$50)),7))/7)+1)),IF(AND(IF(Settings!$E$50="",$B22,DATE(YEAR($A22),MONTH($A22),MIN(Settings!$E$50,DAY($B22))))&gt;=MAX($A22,Settings!$F$50),IF(Settings!$E$50="",$B22,DATE(YEAR($A22),MONTH($A22),MIN(Settings!$E$50,DAY($B22))))&lt;=MIN($C22,IF(Settings!$G$50="",$C22,Settings!$G$50))),1,0)))</f>
        <v/>
      </c>
      <c r="BK22">
        <f>IF(OR(Settings!$C$51="",Settings!$D$51=""),0,Settings!$C$51*IF(Settings!$D$51="Weekly",IF(IFERROR(MATCH(Settings!$E$51,$EO$4:$EO$10,0),0)=0,0,IF(MIN($C22,IF(Settings!$G$51="",$C22,Settings!$G$51))&lt;MAX($A22,Settings!$F$51),0,INT((MIN($C22,IF(Settings!$G$51="",$C22,Settings!$G$51))-MAX($A22,Settings!$F$51)-MOD(IFERROR(MATCH(Settings!$E$51,$EO$4:$EO$10,0),0)-WEEKDAY(MAX($A22,Settings!$F$51)),7))/7)+1)),IF(AND(IF(Settings!$E$51="",$B22,DATE(YEAR($A22),MONTH($A22),MIN(Settings!$E$51,DAY($B22))))&gt;=MAX($A22,Settings!$F$51),IF(Settings!$E$51="",$B22,DATE(YEAR($A22),MONTH($A22),MIN(Settings!$E$51,DAY($B22))))&lt;=MIN($C22,IF(Settings!$G$51="",$C22,Settings!$G$51))),1,0)))</f>
        <v/>
      </c>
      <c r="BL22">
        <f>IF(OR(Settings!$C$52="",Settings!$D$52=""),0,Settings!$C$52*IF(Settings!$D$52="Weekly",IF(IFERROR(MATCH(Settings!$E$52,$EO$4:$EO$10,0),0)=0,0,IF(MIN($C22,IF(Settings!$G$52="",$C22,Settings!$G$52))&lt;MAX($A22,Settings!$F$52),0,INT((MIN($C22,IF(Settings!$G$52="",$C22,Settings!$G$52))-MAX($A22,Settings!$F$52)-MOD(IFERROR(MATCH(Settings!$E$52,$EO$4:$EO$10,0),0)-WEEKDAY(MAX($A22,Settings!$F$52)),7))/7)+1)),IF(AND(IF(Settings!$E$52="",$B22,DATE(YEAR($A22),MONTH($A22),MIN(Settings!$E$52,DAY($B22))))&gt;=MAX($A22,Settings!$F$52),IF(Settings!$E$52="",$B22,DATE(YEAR($A22),MONTH($A22),MIN(Settings!$E$52,DAY($B22))))&lt;=MIN($C22,IF(Settings!$G$52="",$C22,Settings!$G$52))),1,0)))</f>
        <v/>
      </c>
      <c r="BM22">
        <f>IF(OR(Settings!$C$53="",Settings!$D$53=""),0,Settings!$C$53*IF(Settings!$D$53="Weekly",IF(IFERROR(MATCH(Settings!$E$53,$EO$4:$EO$10,0),0)=0,0,IF(MIN($C22,IF(Settings!$G$53="",$C22,Settings!$G$53))&lt;MAX($A22,Settings!$F$53),0,INT((MIN($C22,IF(Settings!$G$53="",$C22,Settings!$G$53))-MAX($A22,Settings!$F$53)-MOD(IFERROR(MATCH(Settings!$E$53,$EO$4:$EO$10,0),0)-WEEKDAY(MAX($A22,Settings!$F$53)),7))/7)+1)),IF(AND(IF(Settings!$E$53="",$B22,DATE(YEAR($A22),MONTH($A22),MIN(Settings!$E$53,DAY($B22))))&gt;=MAX($A22,Settings!$F$53),IF(Settings!$E$53="",$B22,DATE(YEAR($A22),MONTH($A22),MIN(Settings!$E$53,DAY($B22))))&lt;=MIN($C22,IF(Settings!$G$53="",$C22,Settings!$G$53))),1,0)))</f>
        <v/>
      </c>
      <c r="BN22">
        <f>IF(OR(Settings!$C$54="",Settings!$D$54=""),0,Settings!$C$54*IF(Settings!$D$54="Weekly",IF(IFERROR(MATCH(Settings!$E$54,$EO$4:$EO$10,0),0)=0,0,IF(MIN($C22,IF(Settings!$G$54="",$C22,Settings!$G$54))&lt;MAX($A22,Settings!$F$54),0,INT((MIN($C22,IF(Settings!$G$54="",$C22,Settings!$G$54))-MAX($A22,Settings!$F$54)-MOD(IFERROR(MATCH(Settings!$E$54,$EO$4:$EO$10,0),0)-WEEKDAY(MAX($A22,Settings!$F$54)),7))/7)+1)),IF(AND(IF(Settings!$E$54="",$B22,DATE(YEAR($A22),MONTH($A22),MIN(Settings!$E$54,DAY($B22))))&gt;=MAX($A22,Settings!$F$54),IF(Settings!$E$54="",$B22,DATE(YEAR($A22),MONTH($A22),MIN(Settings!$E$54,DAY($B22))))&lt;=MIN($C22,IF(Settings!$G$54="",$C22,Settings!$G$54))),1,0)))</f>
        <v/>
      </c>
      <c r="BO22">
        <f>IF(OR(Settings!$C$55="",Settings!$D$55=""),0,Settings!$C$55*IF(Settings!$D$55="Weekly",IF(IFERROR(MATCH(Settings!$E$55,$EO$4:$EO$10,0),0)=0,0,IF(MIN($C22,IF(Settings!$G$55="",$C22,Settings!$G$55))&lt;MAX($A22,Settings!$F$55),0,INT((MIN($C22,IF(Settings!$G$55="",$C22,Settings!$G$55))-MAX($A22,Settings!$F$55)-MOD(IFERROR(MATCH(Settings!$E$55,$EO$4:$EO$10,0),0)-WEEKDAY(MAX($A22,Settings!$F$55)),7))/7)+1)),IF(AND(IF(Settings!$E$55="",$B22,DATE(YEAR($A22),MONTH($A22),MIN(Settings!$E$55,DAY($B22))))&gt;=MAX($A22,Settings!$F$55),IF(Settings!$E$55="",$B22,DATE(YEAR($A22),MONTH($A22),MIN(Settings!$E$55,DAY($B22))))&lt;=MIN($C22,IF(Settings!$G$55="",$C22,Settings!$G$55))),1,0)))</f>
        <v/>
      </c>
      <c r="BP22">
        <f>IF(OR(Settings!$C$56="",Settings!$D$56=""),0,Settings!$C$56*IF(Settings!$D$56="Weekly",IF(IFERROR(MATCH(Settings!$E$56,$EO$4:$EO$10,0),0)=0,0,IF(MIN($C22,IF(Settings!$G$56="",$C22,Settings!$G$56))&lt;MAX($A22,Settings!$F$56),0,INT((MIN($C22,IF(Settings!$G$56="",$C22,Settings!$G$56))-MAX($A22,Settings!$F$56)-MOD(IFERROR(MATCH(Settings!$E$56,$EO$4:$EO$10,0),0)-WEEKDAY(MAX($A22,Settings!$F$56)),7))/7)+1)),IF(AND(IF(Settings!$E$56="",$B22,DATE(YEAR($A22),MONTH($A22),MIN(Settings!$E$56,DAY($B22))))&gt;=MAX($A22,Settings!$F$56),IF(Settings!$E$56="",$B22,DATE(YEAR($A22),MONTH($A22),MIN(Settings!$E$56,DAY($B22))))&lt;=MIN($C22,IF(Settings!$G$56="",$C22,Settings!$G$56))),1,0)))</f>
        <v/>
      </c>
      <c r="BQ22">
        <f>IF(OR(Settings!$B$14="",$D22=1,$E22="pre",$A22&lt;IF(Settings!$B$15="",0,Settings!$B$15)),0,Settings!$B$14)</f>
        <v/>
      </c>
      <c r="BR22">
        <f>IF(AND('Month-End'!$S$7&lt;&gt;"",NOT(_xlfn.ISFORMULA('Month-End'!$S$7))),1,0)</f>
        <v/>
      </c>
      <c r="BS22">
        <f>IF(AND('Month-End'!$S$8&lt;&gt;"",NOT(_xlfn.ISFORMULA('Month-End'!$S$8))),1,0)</f>
        <v/>
      </c>
      <c r="BT22">
        <f>IF(AND('Month-End'!$S$9&lt;&gt;"",NOT(_xlfn.ISFORMULA('Month-End'!$S$9))),1,0)</f>
        <v/>
      </c>
      <c r="BU22">
        <f>IF(AND('Month-End'!$S$10&lt;&gt;"",NOT(_xlfn.ISFORMULA('Month-End'!$S$10))),1,0)</f>
        <v/>
      </c>
      <c r="BV22">
        <f>IF(AND('Month-End'!$S$11&lt;&gt;"",NOT(_xlfn.ISFORMULA('Month-End'!$S$11))),1,0)</f>
        <v/>
      </c>
      <c r="BW22">
        <f>IF(AND('Month-End'!$S$12&lt;&gt;"",NOT(_xlfn.ISFORMULA('Month-End'!$S$12))),1,0)</f>
        <v/>
      </c>
      <c r="BX22">
        <f>IF(AND('Month-End'!$S$13&lt;&gt;"",NOT(_xlfn.ISFORMULA('Month-End'!$S$13))),1,0)</f>
        <v/>
      </c>
      <c r="BY22">
        <f>IF(AND('Month-End'!$S$14&lt;&gt;"",NOT(_xlfn.ISFORMULA('Month-End'!$S$14))),1,0)</f>
        <v/>
      </c>
      <c r="BZ22">
        <f>IF(AND('Month-End'!$S$15&lt;&gt;"",NOT(_xlfn.ISFORMULA('Month-End'!$S$15))),1,0)</f>
        <v/>
      </c>
      <c r="CA22">
        <f>IF(AND('Month-End'!$S$16&lt;&gt;"",NOT(_xlfn.ISFORMULA('Month-End'!$S$16))),1,0)</f>
        <v/>
      </c>
      <c r="CB22">
        <f>IF(AND('Month-End'!$S$17&lt;&gt;"",NOT(_xlfn.ISFORMULA('Month-End'!$S$17))),1,0)</f>
        <v/>
      </c>
      <c r="CC22">
        <f>IF(AND('Month-End'!$S$18&lt;&gt;"",NOT(_xlfn.ISFORMULA('Month-End'!$S$18))),1,0)</f>
        <v/>
      </c>
      <c r="CD22">
        <f>IF(AND('Month-End'!$S$19&lt;&gt;"",NOT(_xlfn.ISFORMULA('Month-End'!$S$19))),1,0)</f>
        <v/>
      </c>
      <c r="CE22">
        <f>IF(AND('Month-End'!$S$20&lt;&gt;"",NOT(_xlfn.ISFORMULA('Month-End'!$S$20))),1,0)</f>
        <v/>
      </c>
      <c r="CF22">
        <f>IF(AND('Month-End'!$S$38&lt;&gt;"",NOT(_xlfn.ISFORMULA('Month-End'!$S$38))),1,0)</f>
        <v/>
      </c>
      <c r="CG22">
        <f>IF(AND('Month-End'!$S$39&lt;&gt;"",NOT(_xlfn.ISFORMULA('Month-End'!$S$39))),1,0)</f>
        <v/>
      </c>
      <c r="CH22">
        <f>IF(AND('Month-End'!$S$40&lt;&gt;"",NOT(_xlfn.ISFORMULA('Month-End'!$S$40))),1,0)</f>
        <v/>
      </c>
      <c r="CI22">
        <f>IF(AND('Month-End'!$S$41&lt;&gt;"",NOT(_xlfn.ISFORMULA('Month-End'!$S$41))),1,0)</f>
        <v/>
      </c>
      <c r="CJ22">
        <f>IF(AND('Month-End'!$S$42&lt;&gt;"",NOT(_xlfn.ISFORMULA('Month-End'!$S$42))),1,0)</f>
        <v/>
      </c>
      <c r="CK22">
        <f>IF(AND('Month-End'!$S$43&lt;&gt;"",NOT(_xlfn.ISFORMULA('Month-End'!$S$43))),1,0)</f>
        <v/>
      </c>
      <c r="CL22">
        <f>SUM($CM22:$CZ22)</f>
        <v/>
      </c>
      <c r="CM22">
        <f>IF(AND($E22&lt;&gt;"pre",AND(Settings!$A$19&lt;&gt;"",Settings!$E$19&lt;&gt;"No"),Settings!$F$19="Yes",NOT(AND('Month-End'!$S$7&lt;&gt;"",NOT(_xlfn.ISFORMULA('Month-End'!$S$7))))),1,0)</f>
        <v/>
      </c>
      <c r="CN22">
        <f>IF(AND($E22&lt;&gt;"pre",AND(Settings!$A$20&lt;&gt;"",Settings!$E$20&lt;&gt;"No"),Settings!$F$20="Yes",NOT(AND('Month-End'!$S$8&lt;&gt;"",NOT(_xlfn.ISFORMULA('Month-End'!$S$8))))),1,0)</f>
        <v/>
      </c>
      <c r="CO22">
        <f>IF(AND($E22&lt;&gt;"pre",AND(Settings!$A$21&lt;&gt;"",Settings!$E$21&lt;&gt;"No"),Settings!$F$21="Yes",NOT(AND('Month-End'!$S$9&lt;&gt;"",NOT(_xlfn.ISFORMULA('Month-End'!$S$9))))),1,0)</f>
        <v/>
      </c>
      <c r="CP22">
        <f>IF(AND($E22&lt;&gt;"pre",AND(Settings!$A$22&lt;&gt;"",Settings!$E$22&lt;&gt;"No"),Settings!$F$22="Yes",NOT(AND('Month-End'!$S$10&lt;&gt;"",NOT(_xlfn.ISFORMULA('Month-End'!$S$10))))),1,0)</f>
        <v/>
      </c>
      <c r="CQ22">
        <f>IF(AND($E22&lt;&gt;"pre",AND(Settings!$A$23&lt;&gt;"",Settings!$E$23&lt;&gt;"No"),Settings!$F$23="Yes",NOT(AND('Month-End'!$S$11&lt;&gt;"",NOT(_xlfn.ISFORMULA('Month-End'!$S$11))))),1,0)</f>
        <v/>
      </c>
      <c r="CR22">
        <f>IF(AND($E22&lt;&gt;"pre",AND(Settings!$A$24&lt;&gt;"",Settings!$E$24&lt;&gt;"No"),Settings!$F$24="Yes",NOT(AND('Month-End'!$S$12&lt;&gt;"",NOT(_xlfn.ISFORMULA('Month-End'!$S$12))))),1,0)</f>
        <v/>
      </c>
      <c r="CS22">
        <f>IF(AND($E22&lt;&gt;"pre",AND(Settings!$A$25&lt;&gt;"",Settings!$E$25&lt;&gt;"No"),Settings!$F$25="Yes",NOT(AND('Month-End'!$S$13&lt;&gt;"",NOT(_xlfn.ISFORMULA('Month-End'!$S$13))))),1,0)</f>
        <v/>
      </c>
      <c r="CT22">
        <f>IF(AND($E22&lt;&gt;"pre",AND(Settings!$A$26&lt;&gt;"",Settings!$E$26&lt;&gt;"No"),Settings!$F$26="Yes",NOT(AND('Month-End'!$S$14&lt;&gt;"",NOT(_xlfn.ISFORMULA('Month-End'!$S$14))))),1,0)</f>
        <v/>
      </c>
      <c r="CU22">
        <f>IF(AND($E22&lt;&gt;"pre",AND(Settings!$A$27&lt;&gt;"",Settings!$E$27&lt;&gt;"No"),Settings!$F$27="Yes",NOT(AND('Month-End'!$S$15&lt;&gt;"",NOT(_xlfn.ISFORMULA('Month-End'!$S$15))))),1,0)</f>
        <v/>
      </c>
      <c r="CV22">
        <f>IF(AND($E22&lt;&gt;"pre",AND(Settings!$A$28&lt;&gt;"",Settings!$E$28&lt;&gt;"No"),Settings!$F$28="Yes",NOT(AND('Month-End'!$S$16&lt;&gt;"",NOT(_xlfn.ISFORMULA('Month-End'!$S$16))))),1,0)</f>
        <v/>
      </c>
      <c r="CW22">
        <f>IF(AND($E22&lt;&gt;"pre",AND(Settings!$A$29&lt;&gt;"",Settings!$E$29&lt;&gt;"No"),Settings!$F$29="Yes",NOT(AND('Month-End'!$S$17&lt;&gt;"",NOT(_xlfn.ISFORMULA('Month-End'!$S$17))))),1,0)</f>
        <v/>
      </c>
      <c r="CX22">
        <f>IF(AND($E22&lt;&gt;"pre",AND(Settings!$A$30&lt;&gt;"",Settings!$E$30&lt;&gt;"No"),Settings!$F$30="Yes",NOT(AND('Month-End'!$S$18&lt;&gt;"",NOT(_xlfn.ISFORMULA('Month-End'!$S$18))))),1,0)</f>
        <v/>
      </c>
      <c r="CY22">
        <f>IF(AND($E22&lt;&gt;"pre",AND(Settings!$A$31&lt;&gt;"",Settings!$E$31&lt;&gt;"No"),Settings!$F$31="Yes",NOT(AND('Month-End'!$S$19&lt;&gt;"",NOT(_xlfn.ISFORMULA('Month-End'!$S$19))))),1,0)</f>
        <v/>
      </c>
      <c r="CZ22">
        <f>IF(AND($E22&lt;&gt;"pre",AND(Settings!$A$32&lt;&gt;"",Settings!$E$32&lt;&gt;"No"),Settings!$F$32="Yes",NOT(AND('Month-End'!$S$20&lt;&gt;"",NOT(_xlfn.ISFORMULA('Month-End'!$S$20))))),1,0)</f>
        <v/>
      </c>
      <c r="DA22">
        <f>IF($DT22=1,IF(OR(Settings!$B$19="Checking",Settings!$B$19="Savings",Settings!$B$19="Cash"),N($AE22),IF(OR(Settings!$B$19="Card",Settings!$B$19="Loan"),-N($AE22),0))+IF(OR(Settings!$B$20="Checking",Settings!$B$20="Savings",Settings!$B$20="Cash"),N($AF22),IF(OR(Settings!$B$20="Card",Settings!$B$20="Loan"),-N($AF22),0))+IF(OR(Settings!$B$21="Checking",Settings!$B$21="Savings",Settings!$B$21="Cash"),N($AG22),IF(OR(Settings!$B$21="Card",Settings!$B$21="Loan"),-N($AG22),0))+IF(OR(Settings!$B$22="Checking",Settings!$B$22="Savings",Settings!$B$22="Cash"),N($AH22),IF(OR(Settings!$B$22="Card",Settings!$B$22="Loan"),-N($AH22),0))+IF(OR(Settings!$B$23="Checking",Settings!$B$23="Savings",Settings!$B$23="Cash"),N($AI22),IF(OR(Settings!$B$23="Card",Settings!$B$23="Loan"),-N($AI22),0))+IF(OR(Settings!$B$24="Checking",Settings!$B$24="Savings",Settings!$B$24="Cash"),N($AJ22),IF(OR(Settings!$B$24="Card",Settings!$B$24="Loan"),-N($AJ22),0))+IF(OR(Settings!$B$25="Checking",Settings!$B$25="Savings",Settings!$B$25="Cash"),N($AK22),IF(OR(Settings!$B$25="Card",Settings!$B$25="Loan"),-N($AK22),0))+IF(OR(Settings!$B$26="Checking",Settings!$B$26="Savings",Settings!$B$26="Cash"),N($AL22),IF(OR(Settings!$B$26="Card",Settings!$B$26="Loan"),-N($AL22),0))+IF(OR(Settings!$B$27="Checking",Settings!$B$27="Savings",Settings!$B$27="Cash"),N($AM22),IF(OR(Settings!$B$27="Card",Settings!$B$27="Loan"),-N($AM22),0))+IF(OR(Settings!$B$28="Checking",Settings!$B$28="Savings",Settings!$B$28="Cash"),N($AN22),IF(OR(Settings!$B$28="Card",Settings!$B$28="Loan"),-N($AN22),0))+IF(OR(Settings!$B$29="Checking",Settings!$B$29="Savings",Settings!$B$29="Cash"),N($AO22),IF(OR(Settings!$B$29="Card",Settings!$B$29="Loan"),-N($AO22),0))+IF(OR(Settings!$B$30="Checking",Settings!$B$30="Savings",Settings!$B$30="Cash"),N($AP22),IF(OR(Settings!$B$30="Card",Settings!$B$30="Loan"),-N($AP22),0))+IF(OR(Settings!$B$31="Checking",Settings!$B$31="Savings",Settings!$B$31="Cash"),N($AQ22),IF(OR(Settings!$B$31="Card",Settings!$B$31="Loan"),-N($AQ22),0))+IF(OR(Settings!$B$32="Checking",Settings!$B$32="Savings",Settings!$B$32="Cash"),N($AR22),IF(OR(Settings!$B$32="Card",Settings!$B$32="Loan"),-N($AR22),0)),"")</f>
        <v/>
      </c>
      <c r="DB22">
        <f>IF($E22="open",$EB$27,IF($E22="post",IF($E21="pre",$EB$27,$DA21),""))</f>
        <v/>
      </c>
      <c r="DC22">
        <f>IF($E22="open",1,IF($E22="post",IF($E21="pre",1,$DT21),0))</f>
        <v/>
      </c>
      <c r="DD22">
        <f>IF(AND($DT22=1,$DC22=1),ROUND($W22-($DA22-$DB22)-$AD22-$AB22,2),"")</f>
        <v/>
      </c>
      <c r="DE22">
        <f>IF('Month-End'!$S$35="",$BQ22,N('Month-End'!$S$35))</f>
        <v/>
      </c>
      <c r="DF22">
        <f>N('Month-End'!$S$36)</f>
        <v/>
      </c>
      <c r="DG22">
        <f>IF($DD22="","",$DD22+$DE22)</f>
        <v/>
      </c>
      <c r="DH22">
        <f>IF($DG22="","",$DG22-$DF22)</f>
        <v/>
      </c>
      <c r="DI22">
        <f>IF(OR($E22="pre",$D22=1),"",N($AS22)+N($AT22)+N($AU22)+N($AV22)+N($AW22)+N($AX22))</f>
        <v/>
      </c>
      <c r="DJ22">
        <f>IF($DT22=1,$DA22+N($DI22),"")</f>
        <v/>
      </c>
      <c r="DK22">
        <f>IF($DD22="","",$W22-$DD22-$AB22)</f>
        <v/>
      </c>
      <c r="DL22">
        <f>IF(AND($E22="post",$DD22&lt;&gt;"",$B22&lt;TODAY()),1,0)</f>
        <v/>
      </c>
      <c r="DM22">
        <f>IF($DL22=1,COUNTIF($DL22:$DL$183,1),0)</f>
        <v/>
      </c>
      <c r="DN22">
        <f>IF($D22=1,"",IF($E22="pre","History only",IF($DT22=1,IF($DD22="","⚠ Previous month missing",IF($DD22&lt;0,"⚠ Check: spending &lt; 0",IF($E22="open","✓ Done (partial)","✓ Done"))),IF($B22&gt;=TODAY(),"In progress","⚠ Needs balances"))))</f>
        <v/>
      </c>
      <c r="DO22">
        <f>YEAR($A22)</f>
        <v/>
      </c>
      <c r="DP22">
        <f>DATE(YEAR($A22),INT((MONTH($A22)-1)/3)*3+1,1)</f>
        <v/>
      </c>
      <c r="DQ22">
        <f>IF(AND($DT22=1,$DD22&lt;&gt;"",$D22=0),ROW(),0)</f>
        <v/>
      </c>
      <c r="DR22">
        <f>IF(AND($E22&lt;&gt;"pre",$B22&lt;TODAY(),$DT22=0),1,0)</f>
        <v/>
      </c>
      <c r="DS22">
        <f>IF($DJ22="",NA(),$DJ22)</f>
        <v/>
      </c>
      <c r="DT22">
        <f>IF(AND($E22&lt;&gt;"pre",$CL22=0,COUNTIFS(Settings!$F$19:$F$32,"Yes",Settings!$A$19:$A$32,"&lt;&gt;",Settings!$E$19:$E$32,"&lt;&gt;No")&gt;0),1,0)</f>
        <v/>
      </c>
      <c r="DU22">
        <f>IF(AND($B22&lt;TODAY(),$S22&gt;0),1,0)</f>
        <v/>
      </c>
      <c r="DV22">
        <f>IF($DU22=1,COUNTIF($DU22:$DU$183,1),0)</f>
        <v/>
      </c>
      <c r="DW22">
        <f>IF(AND(OR(Settings!$B$19="Card",Settings!$B$19="Loan"),AND('Month-End'!$S$7&lt;&gt;"",NOT(_xlfn.ISFORMULA('Month-End'!$S$7)))),IF(N('Month-End'!$S$7)&lt;0,1,0),0)+IF(AND(OR(Settings!$B$20="Card",Settings!$B$20="Loan"),AND('Month-End'!$S$8&lt;&gt;"",NOT(_xlfn.ISFORMULA('Month-End'!$S$8)))),IF(N('Month-End'!$S$8)&lt;0,1,0),0)+IF(AND(OR(Settings!$B$21="Card",Settings!$B$21="Loan"),AND('Month-End'!$S$9&lt;&gt;"",NOT(_xlfn.ISFORMULA('Month-End'!$S$9)))),IF(N('Month-End'!$S$9)&lt;0,1,0),0)+IF(AND(OR(Settings!$B$22="Card",Settings!$B$22="Loan"),AND('Month-End'!$S$10&lt;&gt;"",NOT(_xlfn.ISFORMULA('Month-End'!$S$10)))),IF(N('Month-End'!$S$10)&lt;0,1,0),0)+IF(AND(OR(Settings!$B$23="Card",Settings!$B$23="Loan"),AND('Month-End'!$S$11&lt;&gt;"",NOT(_xlfn.ISFORMULA('Month-End'!$S$11)))),IF(N('Month-End'!$S$11)&lt;0,1,0),0)+IF(AND(OR(Settings!$B$24="Card",Settings!$B$24="Loan"),AND('Month-End'!$S$12&lt;&gt;"",NOT(_xlfn.ISFORMULA('Month-End'!$S$12)))),IF(N('Month-End'!$S$12)&lt;0,1,0),0)+IF(AND(OR(Settings!$B$25="Card",Settings!$B$25="Loan"),AND('Month-End'!$S$13&lt;&gt;"",NOT(_xlfn.ISFORMULA('Month-End'!$S$13)))),IF(N('Month-End'!$S$13)&lt;0,1,0),0)+IF(AND(OR(Settings!$B$26="Card",Settings!$B$26="Loan"),AND('Month-End'!$S$14&lt;&gt;"",NOT(_xlfn.ISFORMULA('Month-End'!$S$14)))),IF(N('Month-End'!$S$14)&lt;0,1,0),0)+IF(AND(OR(Settings!$B$27="Card",Settings!$B$27="Loan"),AND('Month-End'!$S$15&lt;&gt;"",NOT(_xlfn.ISFORMULA('Month-End'!$S$15)))),IF(N('Month-End'!$S$15)&lt;0,1,0),0)+IF(AND(OR(Settings!$B$28="Card",Settings!$B$28="Loan"),AND('Month-End'!$S$16&lt;&gt;"",NOT(_xlfn.ISFORMULA('Month-End'!$S$16)))),IF(N('Month-End'!$S$16)&lt;0,1,0),0)+IF(AND(OR(Settings!$B$29="Card",Settings!$B$29="Loan"),AND('Month-End'!$S$17&lt;&gt;"",NOT(_xlfn.ISFORMULA('Month-End'!$S$17)))),IF(N('Month-End'!$S$17)&lt;0,1,0),0)+IF(AND(OR(Settings!$B$30="Card",Settings!$B$30="Loan"),AND('Month-End'!$S$18&lt;&gt;"",NOT(_xlfn.ISFORMULA('Month-End'!$S$18)))),IF(N('Month-End'!$S$18)&lt;0,1,0),0)+IF(AND(OR(Settings!$B$31="Card",Settings!$B$31="Loan"),AND('Month-End'!$S$19&lt;&gt;"",NOT(_xlfn.ISFORMULA('Month-End'!$S$19)))),IF(N('Month-End'!$S$19)&lt;0,1,0),0)+IF(AND(OR(Settings!$B$32="Card",Settings!$B$32="Loan"),AND('Month-End'!$S$20&lt;&gt;"",NOT(_xlfn.ISFORMULA('Month-End'!$S$20)))),IF(N('Month-End'!$S$20)&lt;0,1,0),0)</f>
        <v/>
      </c>
      <c r="DX22">
        <f>IF(Settings!$B$36="Retirement",$AY22,0)+IF(Settings!$B$37="Retirement",$AZ22,0)+IF(Settings!$B$38="Retirement",$BA22,0)+IF(Settings!$B$39="Retirement",$BB22,0)+IF(Settings!$B$40="Retirement",$BC22,0)+IF(Settings!$B$41="Retirement",$BD22,0)</f>
        <v/>
      </c>
      <c r="EA22" t="inlineStr">
        <is>
          <t>Tithe Owed This Quarter</t>
        </is>
      </c>
      <c r="EB22">
        <f>MAX(0,EB28)</f>
        <v/>
      </c>
      <c r="ET22">
        <f>IF($E22&lt;&gt;"open",0,IF(AND('Month-End'!$S$22&lt;&gt;"",NOT(_xlfn.ISFORMULA('Month-End'!$S$22))),0,IF(OR(Settings!$C$45="",Settings!$D$45=""),0,Settings!$C$45*IF(Settings!$D$45="Weekly",IF(IFERROR(MATCH(Settings!$E$45,$EO$4:$EO$10,0),0)=0,0,IF(MIN(Settings!$B$5,IF(Settings!$G$45="",Settings!$B$5,Settings!$G$45))&lt;MAX($A22,Settings!$F$45),0,INT((MIN(Settings!$B$5,IF(Settings!$G$45="",Settings!$B$5,Settings!$G$45))-MAX($A22,Settings!$F$45)-MOD(IFERROR(MATCH(Settings!$E$45,$EO$4:$EO$10,0),0)-WEEKDAY(MAX($A22,Settings!$F$45)),7))/7)+1)),IF(AND(IF(Settings!$E$45="",$B22,DATE(YEAR($A22),MONTH($A22),MIN(Settings!$E$45,DAY($B22))))&gt;=MAX($A22,Settings!$F$45),IF(Settings!$E$45="",$B22,DATE(YEAR($A22),MONTH($A22),MIN(Settings!$E$45,DAY($B22))))&lt;=MIN(Settings!$B$5,IF(Settings!$G$45="",Settings!$B$5,Settings!$G$45))),1,0)))))</f>
        <v/>
      </c>
      <c r="EU22">
        <f>IF($E22&lt;&gt;"open",0,IF(AND('Month-End'!$S$23&lt;&gt;"",NOT(_xlfn.ISFORMULA('Month-End'!$S$23))),0,IF(OR(Settings!$C$46="",Settings!$D$46=""),0,Settings!$C$46*IF(Settings!$D$46="Weekly",IF(IFERROR(MATCH(Settings!$E$46,$EO$4:$EO$10,0),0)=0,0,IF(MIN(Settings!$B$5,IF(Settings!$G$46="",Settings!$B$5,Settings!$G$46))&lt;MAX($A22,Settings!$F$46),0,INT((MIN(Settings!$B$5,IF(Settings!$G$46="",Settings!$B$5,Settings!$G$46))-MAX($A22,Settings!$F$46)-MOD(IFERROR(MATCH(Settings!$E$46,$EO$4:$EO$10,0),0)-WEEKDAY(MAX($A22,Settings!$F$46)),7))/7)+1)),IF(AND(IF(Settings!$E$46="",$B22,DATE(YEAR($A22),MONTH($A22),MIN(Settings!$E$46,DAY($B22))))&gt;=MAX($A22,Settings!$F$46),IF(Settings!$E$46="",$B22,DATE(YEAR($A22),MONTH($A22),MIN(Settings!$E$46,DAY($B22))))&lt;=MIN(Settings!$B$5,IF(Settings!$G$46="",Settings!$B$5,Settings!$G$46))),1,0)))))</f>
        <v/>
      </c>
      <c r="EV22">
        <f>IF($E22&lt;&gt;"open",0,IF(AND('Month-End'!$S$24&lt;&gt;"",NOT(_xlfn.ISFORMULA('Month-End'!$S$24))),0,IF(OR(Settings!$C$47="",Settings!$D$47=""),0,Settings!$C$47*IF(Settings!$D$47="Weekly",IF(IFERROR(MATCH(Settings!$E$47,$EO$4:$EO$10,0),0)=0,0,IF(MIN(Settings!$B$5,IF(Settings!$G$47="",Settings!$B$5,Settings!$G$47))&lt;MAX($A22,Settings!$F$47),0,INT((MIN(Settings!$B$5,IF(Settings!$G$47="",Settings!$B$5,Settings!$G$47))-MAX($A22,Settings!$F$47)-MOD(IFERROR(MATCH(Settings!$E$47,$EO$4:$EO$10,0),0)-WEEKDAY(MAX($A22,Settings!$F$47)),7))/7)+1)),IF(AND(IF(Settings!$E$47="",$B22,DATE(YEAR($A22),MONTH($A22),MIN(Settings!$E$47,DAY($B22))))&gt;=MAX($A22,Settings!$F$47),IF(Settings!$E$47="",$B22,DATE(YEAR($A22),MONTH($A22),MIN(Settings!$E$47,DAY($B22))))&lt;=MIN(Settings!$B$5,IF(Settings!$G$47="",Settings!$B$5,Settings!$G$47))),1,0)))))</f>
        <v/>
      </c>
      <c r="EW22">
        <f>IF($E22&lt;&gt;"open",0,IF(AND('Month-End'!$S$25&lt;&gt;"",NOT(_xlfn.ISFORMULA('Month-End'!$S$25))),0,IF(OR(Settings!$C$48="",Settings!$D$48=""),0,Settings!$C$48*IF(Settings!$D$48="Weekly",IF(IFERROR(MATCH(Settings!$E$48,$EO$4:$EO$10,0),0)=0,0,IF(MIN(Settings!$B$5,IF(Settings!$G$48="",Settings!$B$5,Settings!$G$48))&lt;MAX($A22,Settings!$F$48),0,INT((MIN(Settings!$B$5,IF(Settings!$G$48="",Settings!$B$5,Settings!$G$48))-MAX($A22,Settings!$F$48)-MOD(IFERROR(MATCH(Settings!$E$48,$EO$4:$EO$10,0),0)-WEEKDAY(MAX($A22,Settings!$F$48)),7))/7)+1)),IF(AND(IF(Settings!$E$48="",$B22,DATE(YEAR($A22),MONTH($A22),MIN(Settings!$E$48,DAY($B22))))&gt;=MAX($A22,Settings!$F$48),IF(Settings!$E$48="",$B22,DATE(YEAR($A22),MONTH($A22),MIN(Settings!$E$48,DAY($B22))))&lt;=MIN(Settings!$B$5,IF(Settings!$G$48="",Settings!$B$5,Settings!$G$48))),1,0)))))</f>
        <v/>
      </c>
      <c r="EX22">
        <f>IF($E22&lt;&gt;"open",0,IF(AND('Month-End'!$S$26&lt;&gt;"",NOT(_xlfn.ISFORMULA('Month-End'!$S$26))),0,IF(OR(Settings!$C$49="",Settings!$D$49=""),0,Settings!$C$49*IF(Settings!$D$49="Weekly",IF(IFERROR(MATCH(Settings!$E$49,$EO$4:$EO$10,0),0)=0,0,IF(MIN(Settings!$B$5,IF(Settings!$G$49="",Settings!$B$5,Settings!$G$49))&lt;MAX($A22,Settings!$F$49),0,INT((MIN(Settings!$B$5,IF(Settings!$G$49="",Settings!$B$5,Settings!$G$49))-MAX($A22,Settings!$F$49)-MOD(IFERROR(MATCH(Settings!$E$49,$EO$4:$EO$10,0),0)-WEEKDAY(MAX($A22,Settings!$F$49)),7))/7)+1)),IF(AND(IF(Settings!$E$49="",$B22,DATE(YEAR($A22),MONTH($A22),MIN(Settings!$E$49,DAY($B22))))&gt;=MAX($A22,Settings!$F$49),IF(Settings!$E$49="",$B22,DATE(YEAR($A22),MONTH($A22),MIN(Settings!$E$49,DAY($B22))))&lt;=MIN(Settings!$B$5,IF(Settings!$G$49="",Settings!$B$5,Settings!$G$49))),1,0)))))</f>
        <v/>
      </c>
      <c r="EY22">
        <f>IF($E22&lt;&gt;"open",0,IF(AND('Month-End'!$S$27&lt;&gt;"",NOT(_xlfn.ISFORMULA('Month-End'!$S$27))),0,IF(OR(Settings!$C$50="",Settings!$D$50=""),0,Settings!$C$50*IF(Settings!$D$50="Weekly",IF(IFERROR(MATCH(Settings!$E$50,$EO$4:$EO$10,0),0)=0,0,IF(MIN(Settings!$B$5,IF(Settings!$G$50="",Settings!$B$5,Settings!$G$50))&lt;MAX($A22,Settings!$F$50),0,INT((MIN(Settings!$B$5,IF(Settings!$G$50="",Settings!$B$5,Settings!$G$50))-MAX($A22,Settings!$F$50)-MOD(IFERROR(MATCH(Settings!$E$50,$EO$4:$EO$10,0),0)-WEEKDAY(MAX($A22,Settings!$F$50)),7))/7)+1)),IF(AND(IF(Settings!$E$50="",$B22,DATE(YEAR($A22),MONTH($A22),MIN(Settings!$E$50,DAY($B22))))&gt;=MAX($A22,Settings!$F$50),IF(Settings!$E$50="",$B22,DATE(YEAR($A22),MONTH($A22),MIN(Settings!$E$50,DAY($B22))))&lt;=MIN(Settings!$B$5,IF(Settings!$G$50="",Settings!$B$5,Settings!$G$50))),1,0)))))</f>
        <v/>
      </c>
      <c r="EZ22">
        <f>IF($E22&lt;&gt;"open",0,IF(AND('Month-End'!$S$28&lt;&gt;"",NOT(_xlfn.ISFORMULA('Month-End'!$S$28))),0,IF(OR(Settings!$C$51="",Settings!$D$51=""),0,Settings!$C$51*IF(Settings!$D$51="Weekly",IF(IFERROR(MATCH(Settings!$E$51,$EO$4:$EO$10,0),0)=0,0,IF(MIN(Settings!$B$5,IF(Settings!$G$51="",Settings!$B$5,Settings!$G$51))&lt;MAX($A22,Settings!$F$51),0,INT((MIN(Settings!$B$5,IF(Settings!$G$51="",Settings!$B$5,Settings!$G$51))-MAX($A22,Settings!$F$51)-MOD(IFERROR(MATCH(Settings!$E$51,$EO$4:$EO$10,0),0)-WEEKDAY(MAX($A22,Settings!$F$51)),7))/7)+1)),IF(AND(IF(Settings!$E$51="",$B22,DATE(YEAR($A22),MONTH($A22),MIN(Settings!$E$51,DAY($B22))))&gt;=MAX($A22,Settings!$F$51),IF(Settings!$E$51="",$B22,DATE(YEAR($A22),MONTH($A22),MIN(Settings!$E$51,DAY($B22))))&lt;=MIN(Settings!$B$5,IF(Settings!$G$51="",Settings!$B$5,Settings!$G$51))),1,0)))))</f>
        <v/>
      </c>
      <c r="FA22">
        <f>IF($E22&lt;&gt;"open",0,IF(AND('Month-End'!$S$29&lt;&gt;"",NOT(_xlfn.ISFORMULA('Month-End'!$S$29))),0,IF(OR(Settings!$C$52="",Settings!$D$52=""),0,Settings!$C$52*IF(Settings!$D$52="Weekly",IF(IFERROR(MATCH(Settings!$E$52,$EO$4:$EO$10,0),0)=0,0,IF(MIN(Settings!$B$5,IF(Settings!$G$52="",Settings!$B$5,Settings!$G$52))&lt;MAX($A22,Settings!$F$52),0,INT((MIN(Settings!$B$5,IF(Settings!$G$52="",Settings!$B$5,Settings!$G$52))-MAX($A22,Settings!$F$52)-MOD(IFERROR(MATCH(Settings!$E$52,$EO$4:$EO$10,0),0)-WEEKDAY(MAX($A22,Settings!$F$52)),7))/7)+1)),IF(AND(IF(Settings!$E$52="",$B22,DATE(YEAR($A22),MONTH($A22),MIN(Settings!$E$52,DAY($B22))))&gt;=MAX($A22,Settings!$F$52),IF(Settings!$E$52="",$B22,DATE(YEAR($A22),MONTH($A22),MIN(Settings!$E$52,DAY($B22))))&lt;=MIN(Settings!$B$5,IF(Settings!$G$52="",Settings!$B$5,Settings!$G$52))),1,0)))))</f>
        <v/>
      </c>
      <c r="FB22">
        <f>IF($E22&lt;&gt;"open",0,IF(AND('Month-End'!$S$30&lt;&gt;"",NOT(_xlfn.ISFORMULA('Month-End'!$S$30))),0,IF(OR(Settings!$C$53="",Settings!$D$53=""),0,Settings!$C$53*IF(Settings!$D$53="Weekly",IF(IFERROR(MATCH(Settings!$E$53,$EO$4:$EO$10,0),0)=0,0,IF(MIN(Settings!$B$5,IF(Settings!$G$53="",Settings!$B$5,Settings!$G$53))&lt;MAX($A22,Settings!$F$53),0,INT((MIN(Settings!$B$5,IF(Settings!$G$53="",Settings!$B$5,Settings!$G$53))-MAX($A22,Settings!$F$53)-MOD(IFERROR(MATCH(Settings!$E$53,$EO$4:$EO$10,0),0)-WEEKDAY(MAX($A22,Settings!$F$53)),7))/7)+1)),IF(AND(IF(Settings!$E$53="",$B22,DATE(YEAR($A22),MONTH($A22),MIN(Settings!$E$53,DAY($B22))))&gt;=MAX($A22,Settings!$F$53),IF(Settings!$E$53="",$B22,DATE(YEAR($A22),MONTH($A22),MIN(Settings!$E$53,DAY($B22))))&lt;=MIN(Settings!$B$5,IF(Settings!$G$53="",Settings!$B$5,Settings!$G$53))),1,0)))))</f>
        <v/>
      </c>
      <c r="FC22">
        <f>IF($E22&lt;&gt;"open",0,IF(AND('Month-End'!$S$31&lt;&gt;"",NOT(_xlfn.ISFORMULA('Month-End'!$S$31))),0,IF(OR(Settings!$C$54="",Settings!$D$54=""),0,Settings!$C$54*IF(Settings!$D$54="Weekly",IF(IFERROR(MATCH(Settings!$E$54,$EO$4:$EO$10,0),0)=0,0,IF(MIN(Settings!$B$5,IF(Settings!$G$54="",Settings!$B$5,Settings!$G$54))&lt;MAX($A22,Settings!$F$54),0,INT((MIN(Settings!$B$5,IF(Settings!$G$54="",Settings!$B$5,Settings!$G$54))-MAX($A22,Settings!$F$54)-MOD(IFERROR(MATCH(Settings!$E$54,$EO$4:$EO$10,0),0)-WEEKDAY(MAX($A22,Settings!$F$54)),7))/7)+1)),IF(AND(IF(Settings!$E$54="",$B22,DATE(YEAR($A22),MONTH($A22),MIN(Settings!$E$54,DAY($B22))))&gt;=MAX($A22,Settings!$F$54),IF(Settings!$E$54="",$B22,DATE(YEAR($A22),MONTH($A22),MIN(Settings!$E$54,DAY($B22))))&lt;=MIN(Settings!$B$5,IF(Settings!$G$54="",Settings!$B$5,Settings!$G$54))),1,0)))))</f>
        <v/>
      </c>
      <c r="FD22">
        <f>IF($E22&lt;&gt;"open",0,IF(AND('Month-End'!$S$32&lt;&gt;"",NOT(_xlfn.ISFORMULA('Month-End'!$S$32))),0,IF(OR(Settings!$C$55="",Settings!$D$55=""),0,Settings!$C$55*IF(Settings!$D$55="Weekly",IF(IFERROR(MATCH(Settings!$E$55,$EO$4:$EO$10,0),0)=0,0,IF(MIN(Settings!$B$5,IF(Settings!$G$55="",Settings!$B$5,Settings!$G$55))&lt;MAX($A22,Settings!$F$55),0,INT((MIN(Settings!$B$5,IF(Settings!$G$55="",Settings!$B$5,Settings!$G$55))-MAX($A22,Settings!$F$55)-MOD(IFERROR(MATCH(Settings!$E$55,$EO$4:$EO$10,0),0)-WEEKDAY(MAX($A22,Settings!$F$55)),7))/7)+1)),IF(AND(IF(Settings!$E$55="",$B22,DATE(YEAR($A22),MONTH($A22),MIN(Settings!$E$55,DAY($B22))))&gt;=MAX($A22,Settings!$F$55),IF(Settings!$E$55="",$B22,DATE(YEAR($A22),MONTH($A22),MIN(Settings!$E$55,DAY($B22))))&lt;=MIN(Settings!$B$5,IF(Settings!$G$55="",Settings!$B$5,Settings!$G$55))),1,0)))))</f>
        <v/>
      </c>
      <c r="FE22">
        <f>IF($E22&lt;&gt;"open",0,IF(AND('Month-End'!$S$33&lt;&gt;"",NOT(_xlfn.ISFORMULA('Month-End'!$S$33))),0,IF(OR(Settings!$C$56="",Settings!$D$56=""),0,Settings!$C$56*IF(Settings!$D$56="Weekly",IF(IFERROR(MATCH(Settings!$E$56,$EO$4:$EO$10,0),0)=0,0,IF(MIN(Settings!$B$5,IF(Settings!$G$56="",Settings!$B$5,Settings!$G$56))&lt;MAX($A22,Settings!$F$56),0,INT((MIN(Settings!$B$5,IF(Settings!$G$56="",Settings!$B$5,Settings!$G$56))-MAX($A22,Settings!$F$56)-MOD(IFERROR(MATCH(Settings!$E$56,$EO$4:$EO$10,0),0)-WEEKDAY(MAX($A22,Settings!$F$56)),7))/7)+1)),IF(AND(IF(Settings!$E$56="",$B22,DATE(YEAR($A22),MONTH($A22),MIN(Settings!$E$56,DAY($B22))))&gt;=MAX($A22,Settings!$F$56),IF(Settings!$E$56="",$B22,DATE(YEAR($A22),MONTH($A22),MIN(Settings!$E$56,DAY($B22))))&lt;=MIN(Settings!$B$5,IF(Settings!$G$56="",Settings!$B$5,Settings!$G$56))),1,0)))))</f>
        <v/>
      </c>
      <c r="FF22">
        <f>IF(Settings!$I$45="Yes",$G22,0)+IF(Settings!$I$46="Yes",$H22,0)+IF(Settings!$I$47="Yes",$I22,0)+IF(Settings!$I$48="Yes",$J22,0)+IF(Settings!$I$49="Yes",$K22,0)+IF(Settings!$I$50="Yes",$L22,0)+IF(Settings!$I$51="Yes",$M22,0)+IF(Settings!$I$52="Yes",$N22,0)+IF(Settings!$I$53="Yes",$O22,0)+IF(Settings!$I$54="Yes",$P22,0)+IF(Settings!$I$55="Yes",$Q22,0)+IF(Settings!$I$56="Yes",$R22,0)</f>
        <v/>
      </c>
      <c r="FG22">
        <f>IF(AND(Settings!$I$45="Yes",Settings!$J$45="No"),$G22,0)+IF(AND(Settings!$I$46="Yes",Settings!$J$46="No"),$H22,0)+IF(AND(Settings!$I$47="Yes",Settings!$J$47="No"),$I22,0)+IF(AND(Settings!$I$48="Yes",Settings!$J$48="No"),$J22,0)+IF(AND(Settings!$I$49="Yes",Settings!$J$49="No"),$K22,0)+IF(AND(Settings!$I$50="Yes",Settings!$J$50="No"),$L22,0)+IF(AND(Settings!$I$51="Yes",Settings!$J$51="No"),$M22,0)+IF(AND(Settings!$I$52="Yes",Settings!$J$52="No"),$N22,0)+IF(AND(Settings!$I$53="Yes",Settings!$J$53="No"),$O22,0)+IF(AND(Settings!$I$54="Yes",Settings!$J$54="No"),$P22,0)+IF(AND(Settings!$I$55="Yes",Settings!$J$55="No"),$Q22,0)+IF(AND(Settings!$I$56="Yes",Settings!$J$56="No"),$R22,0)</f>
        <v/>
      </c>
      <c r="FH22">
        <f>SUMIFS(Giving!$B$7:$B$2006,Giving!$A$7:$A$2006,"&gt;="&amp;$A22,Giving!$A$7:$A$2006,"&lt;="&amp;$B22,Giving!$G$7:$G$2006,"Yes")+IF(OR(OR(Settings!$B$60="",Settings!$F$60="No"),Settings!$H$60&lt;&gt;"Yes"),0,Settings!$B$60*IF(AND(IF(Settings!$C$60="",$B22,DATE(YEAR($A22),MONTH($A22),MIN(Settings!$C$60,DAY($B22))))&gt;=MAX($A22,Settings!$D$60),IF(Settings!$C$60="",$B22,DATE(YEAR($A22),MONTH($A22),MIN(Settings!$C$60,DAY($B22))))&lt;=MIN($C22,IF(Settings!$E$60="",$C22,Settings!$E$60))),1,0))+IF(OR(OR(Settings!$B$61="",Settings!$F$61="No"),Settings!$H$61&lt;&gt;"Yes"),0,Settings!$B$61*IF(AND(IF(Settings!$C$61="",$B22,DATE(YEAR($A22),MONTH($A22),MIN(Settings!$C$61,DAY($B22))))&gt;=MAX($A22,Settings!$D$61),IF(Settings!$C$61="",$B22,DATE(YEAR($A22),MONTH($A22),MIN(Settings!$C$61,DAY($B22))))&lt;=MIN($C22,IF(Settings!$E$61="",$C22,Settings!$E$61))),1,0))+IF(OR(OR(Settings!$B$62="",Settings!$F$62="No"),Settings!$H$62&lt;&gt;"Yes"),0,Settings!$B$62*IF(AND(IF(Settings!$C$62="",$B22,DATE(YEAR($A22),MONTH($A22),MIN(Settings!$C$62,DAY($B22))))&gt;=MAX($A22,Settings!$D$62),IF(Settings!$C$62="",$B22,DATE(YEAR($A22),MONTH($A22),MIN(Settings!$C$62,DAY($B22))))&lt;=MIN($C22,IF(Settings!$E$62="",$C22,Settings!$E$62))),1,0))+IF(OR(OR(Settings!$B$63="",Settings!$F$63="No"),Settings!$H$63&lt;&gt;"Yes"),0,Settings!$B$63*IF(AND(IF(Settings!$C$63="",$B22,DATE(YEAR($A22),MONTH($A22),MIN(Settings!$C$63,DAY($B22))))&gt;=MAX($A22,Settings!$D$63),IF(Settings!$C$63="",$B22,DATE(YEAR($A22),MONTH($A22),MIN(Settings!$C$63,DAY($B22))))&lt;=MIN($C22,IF(Settings!$E$63="",$C22,Settings!$E$63))),1,0))+IF(OR(OR(Settings!$B$64="",Settings!$F$64="No"),Settings!$H$64&lt;&gt;"Yes"),0,Settings!$B$64*IF(AND(IF(Settings!$C$64="",$B22,DATE(YEAR($A22),MONTH($A22),MIN(Settings!$C$64,DAY($B22))))&gt;=MAX($A22,Settings!$D$64),IF(Settings!$C$64="",$B22,DATE(YEAR($A22),MONTH($A22),MIN(Settings!$C$64,DAY($B22))))&lt;=MIN($C22,IF(Settings!$E$64="",$C22,Settings!$E$64))),1,0))+IF(OR(OR(Settings!$B$65="",Settings!$F$65="No"),Settings!$H$65&lt;&gt;"Yes"),0,Settings!$B$65*IF(AND(IF(Settings!$C$65="",$B22,DATE(YEAR($A22),MONTH($A22),MIN(Settings!$C$65,DAY($B22))))&gt;=MAX($A22,Settings!$D$65),IF(Settings!$C$65="",$B22,DATE(YEAR($A22),MONTH($A22),MIN(Settings!$C$65,DAY($B22))))&lt;=MIN($C22,IF(Settings!$E$65="",$C22,Settings!$E$65))),1,0))</f>
        <v/>
      </c>
      <c r="FI22">
        <f>IF($DT22=1,IF(OR(Settings!$B$19="Card",Settings!$B$19="Loan"),N($AE22),0)+IF(OR(Settings!$B$20="Card",Settings!$B$20="Loan"),N($AF22),0)+IF(OR(Settings!$B$21="Card",Settings!$B$21="Loan"),N($AG22),0)+IF(OR(Settings!$B$22="Card",Settings!$B$22="Loan"),N($AH22),0)+IF(OR(Settings!$B$23="Card",Settings!$B$23="Loan"),N($AI22),0)+IF(OR(Settings!$B$24="Card",Settings!$B$24="Loan"),N($AJ22),0)+IF(OR(Settings!$B$25="Card",Settings!$B$25="Loan"),N($AK22),0)+IF(OR(Settings!$B$26="Card",Settings!$B$26="Loan"),N($AL22),0)+IF(OR(Settings!$B$27="Card",Settings!$B$27="Loan"),N($AM22),0)+IF(OR(Settings!$B$28="Card",Settings!$B$28="Loan"),N($AN22),0)+IF(OR(Settings!$B$29="Card",Settings!$B$29="Loan"),N($AO22),0)+IF(OR(Settings!$B$30="Card",Settings!$B$30="Loan"),N($AP22),0)+IF(OR(Settings!$B$31="Card",Settings!$B$31="Loan"),N($AQ22),0)+IF(OR(Settings!$B$32="Card",Settings!$B$32="Loan"),N($AR22),0),"")</f>
        <v/>
      </c>
      <c r="FJ22">
        <f>IF($E22="open",$EB$65,IF($E22="post",IF($E21="pre",$EB$65,$FI21),""))</f>
        <v/>
      </c>
      <c r="FK22">
        <f>IF(AND($DT22=1,$DC22=1),IF(ROUND($FI22-$FJ22,2)&gt;0,1,0),0)</f>
        <v/>
      </c>
      <c r="FL22">
        <f>IF($FK22=1,$FL21+1,0)</f>
        <v/>
      </c>
    </row>
    <row r="23">
      <c r="A23">
        <f>'Month-End'!$T$4</f>
        <v/>
      </c>
      <c r="B23">
        <f>EOMONTH($A23,0)</f>
        <v/>
      </c>
      <c r="C23">
        <f>MIN($B23,TODAY())</f>
        <v/>
      </c>
      <c r="D23">
        <f>IF($A23&gt;TODAY(),1,0)</f>
        <v/>
      </c>
      <c r="E23">
        <f>IF($B23&lt;=Settings!$B$5,"pre",IF($A23&lt;=Settings!$B$5,"open","post"))</f>
        <v/>
      </c>
      <c r="G23">
        <f>IF('Month-End'!$T$22="",$BE23,N('Month-End'!$T$22))</f>
        <v/>
      </c>
      <c r="H23">
        <f>IF('Month-End'!$T$23="",$BF23,N('Month-End'!$T$23))</f>
        <v/>
      </c>
      <c r="I23">
        <f>IF('Month-End'!$T$24="",$BG23,N('Month-End'!$T$24))</f>
        <v/>
      </c>
      <c r="J23">
        <f>IF('Month-End'!$T$25="",$BH23,N('Month-End'!$T$25))</f>
        <v/>
      </c>
      <c r="K23">
        <f>IF('Month-End'!$T$26="",$BI23,N('Month-End'!$T$26))</f>
        <v/>
      </c>
      <c r="L23">
        <f>IF('Month-End'!$T$27="",$BJ23,N('Month-End'!$T$27))</f>
        <v/>
      </c>
      <c r="M23">
        <f>IF('Month-End'!$T$28="",$BK23,N('Month-End'!$T$28))</f>
        <v/>
      </c>
      <c r="N23">
        <f>IF('Month-End'!$T$29="",$BL23,N('Month-End'!$T$29))</f>
        <v/>
      </c>
      <c r="O23">
        <f>IF('Month-End'!$T$30="",$BM23,N('Month-End'!$T$30))</f>
        <v/>
      </c>
      <c r="P23">
        <f>IF('Month-End'!$T$31="",$BN23,N('Month-End'!$T$31))</f>
        <v/>
      </c>
      <c r="Q23">
        <f>IF('Month-End'!$T$32="",$BO23,N('Month-End'!$T$32))</f>
        <v/>
      </c>
      <c r="R23">
        <f>IF('Month-End'!$T$33="",$BP23,N('Month-End'!$T$33))</f>
        <v/>
      </c>
      <c r="S23">
        <f>$G23+$H23+$I23+$J23+$K23+$L23+$M23+$N23+$O23+$P23+$Q23+$R23</f>
        <v/>
      </c>
      <c r="T23">
        <f>IF($B23&lt;Settings!$B$6,0,IF(Settings!$B$45="Yes",$G23,0)+IF(Settings!$B$46="Yes",$H23,0)+IF(Settings!$B$47="Yes",$I23,0)+IF(Settings!$B$48="Yes",$J23,0)+IF(Settings!$B$49="Yes",$K23,0)+IF(Settings!$B$50="Yes",$L23,0)+IF(Settings!$B$51="Yes",$M23,0)+IF(Settings!$B$52="Yes",$N23,0)+IF(Settings!$B$53="Yes",$O23,0)+IF(Settings!$B$54="Yes",$P23,0)+IF(Settings!$B$55="Yes",$Q23,0)+IF(Settings!$B$56="Yes",$R23,0))</f>
        <v/>
      </c>
      <c r="U23">
        <f>IF(Settings!$B$45="Not Sure",$G23,0)+IF(Settings!$B$46="Not Sure",$H23,0)+IF(Settings!$B$47="Not Sure",$I23,0)+IF(Settings!$B$48="Not Sure",$J23,0)+IF(Settings!$B$49="Not Sure",$K23,0)+IF(Settings!$B$50="Not Sure",$L23,0)+IF(Settings!$B$51="Not Sure",$M23,0)+IF(Settings!$B$52="Not Sure",$N23,0)+IF(Settings!$B$53="Not Sure",$O23,0)+IF(Settings!$B$54="Not Sure",$P23,0)+IF(Settings!$B$55="Not Sure",$Q23,0)+IF(Settings!$B$56="Not Sure",$R23,0)</f>
        <v/>
      </c>
      <c r="V23">
        <f>IF($E23="open",SUM($ET23:$FE23)+N(Settings!$B$13),0)</f>
        <v/>
      </c>
      <c r="W23">
        <f>IF($E23="post",$S23,IF($E23="open",$S23-$V23,0))</f>
        <v/>
      </c>
      <c r="X23">
        <f>SUMIFS(Giving!$B$7:$B$2006,Giving!$A$7:$A$2006,"&gt;="&amp;$A23,Giving!$A$7:$A$2006,"&lt;="&amp;$B23,Giving!$E$7:$E$2006,"&lt;&gt;No")</f>
        <v/>
      </c>
      <c r="Y23">
        <f>SUMIFS(Giving!$B$7:$B$2006,Giving!$A$7:$A$2006,"&gt;="&amp;$A23,Giving!$A$7:$A$2006,"&lt;="&amp;$B23,Giving!$E$7:$E$2006,"No")</f>
        <v/>
      </c>
      <c r="Z23">
        <f>IF(OR(Settings!$B$60="",Settings!$F$60="No"),0,Settings!$B$60*IF(AND(IF(Settings!$C$60="",$B23,DATE(YEAR($A23),MONTH($A23),MIN(Settings!$C$60,DAY($B23))))&gt;=MAX($A23,Settings!$D$60),IF(Settings!$C$60="",$B23,DATE(YEAR($A23),MONTH($A23),MIN(Settings!$C$60,DAY($B23))))&lt;=MIN($C23,IF(Settings!$E$60="",$C23,Settings!$E$60))),1,0))+IF(OR(Settings!$B$61="",Settings!$F$61="No"),0,Settings!$B$61*IF(AND(IF(Settings!$C$61="",$B23,DATE(YEAR($A23),MONTH($A23),MIN(Settings!$C$61,DAY($B23))))&gt;=MAX($A23,Settings!$D$61),IF(Settings!$C$61="",$B23,DATE(YEAR($A23),MONTH($A23),MIN(Settings!$C$61,DAY($B23))))&lt;=MIN($C23,IF(Settings!$E$61="",$C23,Settings!$E$61))),1,0))+IF(OR(Settings!$B$62="",Settings!$F$62="No"),0,Settings!$B$62*IF(AND(IF(Settings!$C$62="",$B23,DATE(YEAR($A23),MONTH($A23),MIN(Settings!$C$62,DAY($B23))))&gt;=MAX($A23,Settings!$D$62),IF(Settings!$C$62="",$B23,DATE(YEAR($A23),MONTH($A23),MIN(Settings!$C$62,DAY($B23))))&lt;=MIN($C23,IF(Settings!$E$62="",$C23,Settings!$E$62))),1,0))+IF(OR(Settings!$B$63="",Settings!$F$63="No"),0,Settings!$B$63*IF(AND(IF(Settings!$C$63="",$B23,DATE(YEAR($A23),MONTH($A23),MIN(Settings!$C$63,DAY($B23))))&gt;=MAX($A23,Settings!$D$63),IF(Settings!$C$63="",$B23,DATE(YEAR($A23),MONTH($A23),MIN(Settings!$C$63,DAY($B23))))&lt;=MIN($C23,IF(Settings!$E$63="",$C23,Settings!$E$63))),1,0))+IF(OR(Settings!$B$64="",Settings!$F$64="No"),0,Settings!$B$64*IF(AND(IF(Settings!$C$64="",$B23,DATE(YEAR($A23),MONTH($A23),MIN(Settings!$C$64,DAY($B23))))&gt;=MAX($A23,Settings!$D$64),IF(Settings!$C$64="",$B23,DATE(YEAR($A23),MONTH($A23),MIN(Settings!$C$64,DAY($B23))))&lt;=MIN($C23,IF(Settings!$E$64="",$C23,Settings!$E$64))),1,0))+IF(OR(Settings!$B$65="",Settings!$F$65="No"),0,Settings!$B$65*IF(AND(IF(Settings!$C$65="",$B23,DATE(YEAR($A23),MONTH($A23),MIN(Settings!$C$65,DAY($B23))))&gt;=MAX($A23,Settings!$D$65),IF(Settings!$C$65="",$B23,DATE(YEAR($A23),MONTH($A23),MIN(Settings!$C$65,DAY($B23))))&lt;=MIN($C23,IF(Settings!$E$65="",$C23,Settings!$E$65))),1,0))</f>
        <v/>
      </c>
      <c r="AA23">
        <f>$X23+$Z23</f>
        <v/>
      </c>
      <c r="AB23">
        <f>IF($E23="post",$AA23,IF($E23="open",SUMIFS(Giving!$B$7:$B$2006,Giving!$A$7:$A$2006,"&gt;"&amp;Settings!$B$5,Giving!$A$7:$A$2006,"&lt;="&amp;$B23,Giving!$E$7:$E$2006,"&lt;&gt;No")+IF(OR(Settings!$B$60="",Settings!$F$60="No"),0,Settings!$B$60*IF(AND(IF(Settings!$C$60="",$B23,DATE(YEAR($A23),MONTH($A23),MIN(Settings!$C$60,DAY($B23))))&gt;=MAX($A23,Settings!$D$60,Settings!$B$5+1),IF(Settings!$C$60="",$B23,DATE(YEAR($A23),MONTH($A23),MIN(Settings!$C$60,DAY($B23))))&lt;=MIN($C23,IF(Settings!$E$60="",$C23,Settings!$E$60))),1,0))+IF(OR(Settings!$B$61="",Settings!$F$61="No"),0,Settings!$B$61*IF(AND(IF(Settings!$C$61="",$B23,DATE(YEAR($A23),MONTH($A23),MIN(Settings!$C$61,DAY($B23))))&gt;=MAX($A23,Settings!$D$61,Settings!$B$5+1),IF(Settings!$C$61="",$B23,DATE(YEAR($A23),MONTH($A23),MIN(Settings!$C$61,DAY($B23))))&lt;=MIN($C23,IF(Settings!$E$61="",$C23,Settings!$E$61))),1,0))+IF(OR(Settings!$B$62="",Settings!$F$62="No"),0,Settings!$B$62*IF(AND(IF(Settings!$C$62="",$B23,DATE(YEAR($A23),MONTH($A23),MIN(Settings!$C$62,DAY($B23))))&gt;=MAX($A23,Settings!$D$62,Settings!$B$5+1),IF(Settings!$C$62="",$B23,DATE(YEAR($A23),MONTH($A23),MIN(Settings!$C$62,DAY($B23))))&lt;=MIN($C23,IF(Settings!$E$62="",$C23,Settings!$E$62))),1,0))+IF(OR(Settings!$B$63="",Settings!$F$63="No"),0,Settings!$B$63*IF(AND(IF(Settings!$C$63="",$B23,DATE(YEAR($A23),MONTH($A23),MIN(Settings!$C$63,DAY($B23))))&gt;=MAX($A23,Settings!$D$63,Settings!$B$5+1),IF(Settings!$C$63="",$B23,DATE(YEAR($A23),MONTH($A23),MIN(Settings!$C$63,DAY($B23))))&lt;=MIN($C23,IF(Settings!$E$63="",$C23,Settings!$E$63))),1,0))+IF(OR(Settings!$B$64="",Settings!$F$64="No"),0,Settings!$B$64*IF(AND(IF(Settings!$C$64="",$B23,DATE(YEAR($A23),MONTH($A23),MIN(Settings!$C$64,DAY($B23))))&gt;=MAX($A23,Settings!$D$64,Settings!$B$5+1),IF(Settings!$C$64="",$B23,DATE(YEAR($A23),MONTH($A23),MIN(Settings!$C$64,DAY($B23))))&lt;=MIN($C23,IF(Settings!$E$64="",$C23,Settings!$E$64))),1,0))+IF(OR(Settings!$B$65="",Settings!$F$65="No"),0,Settings!$B$65*IF(AND(IF(Settings!$C$65="",$B23,DATE(YEAR($A23),MONTH($A23),MIN(Settings!$C$65,DAY($B23))))&gt;=MAX($A23,Settings!$D$65,Settings!$B$5+1),IF(Settings!$C$65="",$B23,DATE(YEAR($A23),MONTH($A23),MIN(Settings!$C$65,DAY($B23))))&lt;=MIN($C23,IF(Settings!$E$65="",$C23,Settings!$E$65))),1,0)),0))</f>
        <v/>
      </c>
      <c r="AC23">
        <f>$AY23+$AZ23+$BA23+$BB23+$BC23+$BD23</f>
        <v/>
      </c>
      <c r="AD23">
        <f>$AC23</f>
        <v/>
      </c>
      <c r="AE23">
        <f>IF(OR(Settings!$A$19="",$E23="pre"),"",IF(AND('Month-End'!$T$7&lt;&gt;"",NOT(_xlfn.ISFORMULA('Month-End'!$T$7))),N('Month-End'!$T$7),IF(OR($E23="open",$E22="pre"),N(Settings!$C$19),N($AE22))))</f>
        <v/>
      </c>
      <c r="AF23">
        <f>IF(OR(Settings!$A$20="",$E23="pre"),"",IF(AND('Month-End'!$T$8&lt;&gt;"",NOT(_xlfn.ISFORMULA('Month-End'!$T$8))),N('Month-End'!$T$8),IF(OR($E23="open",$E22="pre"),N(Settings!$C$20),N($AF22))))</f>
        <v/>
      </c>
      <c r="AG23">
        <f>IF(OR(Settings!$A$21="",$E23="pre"),"",IF(AND('Month-End'!$T$9&lt;&gt;"",NOT(_xlfn.ISFORMULA('Month-End'!$T$9))),N('Month-End'!$T$9),IF(OR($E23="open",$E22="pre"),N(Settings!$C$21),N($AG22))))</f>
        <v/>
      </c>
      <c r="AH23">
        <f>IF(OR(Settings!$A$22="",$E23="pre"),"",IF(AND('Month-End'!$T$10&lt;&gt;"",NOT(_xlfn.ISFORMULA('Month-End'!$T$10))),N('Month-End'!$T$10),IF(OR($E23="open",$E22="pre"),N(Settings!$C$22),N($AH22))))</f>
        <v/>
      </c>
      <c r="AI23">
        <f>IF(OR(Settings!$A$23="",$E23="pre"),"",IF(AND('Month-End'!$T$11&lt;&gt;"",NOT(_xlfn.ISFORMULA('Month-End'!$T$11))),N('Month-End'!$T$11),IF(OR($E23="open",$E22="pre"),N(Settings!$C$23),N($AI22))))</f>
        <v/>
      </c>
      <c r="AJ23">
        <f>IF(OR(Settings!$A$24="",$E23="pre"),"",IF(AND('Month-End'!$T$12&lt;&gt;"",NOT(_xlfn.ISFORMULA('Month-End'!$T$12))),N('Month-End'!$T$12),IF(OR($E23="open",$E22="pre"),N(Settings!$C$24),N($AJ22))))</f>
        <v/>
      </c>
      <c r="AK23">
        <f>IF(OR(Settings!$A$25="",$E23="pre"),"",IF(AND('Month-End'!$T$13&lt;&gt;"",NOT(_xlfn.ISFORMULA('Month-End'!$T$13))),N('Month-End'!$T$13),IF(OR($E23="open",$E22="pre"),N(Settings!$C$25),N($AK22))))</f>
        <v/>
      </c>
      <c r="AL23">
        <f>IF(OR(Settings!$A$26="",$E23="pre"),"",IF(AND('Month-End'!$T$14&lt;&gt;"",NOT(_xlfn.ISFORMULA('Month-End'!$T$14))),N('Month-End'!$T$14),IF(OR($E23="open",$E22="pre"),N(Settings!$C$26),N($AL22))))</f>
        <v/>
      </c>
      <c r="AM23">
        <f>IF(OR(Settings!$A$27="",$E23="pre"),"",IF(AND('Month-End'!$T$15&lt;&gt;"",NOT(_xlfn.ISFORMULA('Month-End'!$T$15))),N('Month-End'!$T$15),IF(OR($E23="open",$E22="pre"),N(Settings!$C$27),N($AM22))))</f>
        <v/>
      </c>
      <c r="AN23">
        <f>IF(OR(Settings!$A$28="",$E23="pre"),"",IF(AND('Month-End'!$T$16&lt;&gt;"",NOT(_xlfn.ISFORMULA('Month-End'!$T$16))),N('Month-End'!$T$16),IF(OR($E23="open",$E22="pre"),N(Settings!$C$28),N($AN22))))</f>
        <v/>
      </c>
      <c r="AO23">
        <f>IF(OR(Settings!$A$29="",$E23="pre"),"",IF(AND('Month-End'!$T$17&lt;&gt;"",NOT(_xlfn.ISFORMULA('Month-End'!$T$17))),N('Month-End'!$T$17),IF(OR($E23="open",$E22="pre"),N(Settings!$C$29),N($AO22))))</f>
        <v/>
      </c>
      <c r="AP23">
        <f>IF(OR(Settings!$A$30="",$E23="pre"),"",IF(AND('Month-End'!$T$18&lt;&gt;"",NOT(_xlfn.ISFORMULA('Month-End'!$T$18))),N('Month-End'!$T$18),IF(OR($E23="open",$E22="pre"),N(Settings!$C$30),N($AP22))))</f>
        <v/>
      </c>
      <c r="AQ23">
        <f>IF(OR(Settings!$A$31="",$E23="pre"),"",IF(AND('Month-End'!$T$19&lt;&gt;"",NOT(_xlfn.ISFORMULA('Month-End'!$T$19))),N('Month-End'!$T$19),IF(OR($E23="open",$E22="pre"),N(Settings!$C$31),N($AQ22))))</f>
        <v/>
      </c>
      <c r="AR23">
        <f>IF(OR(Settings!$A$32="",$E23="pre"),"",IF(AND('Month-End'!$T$20&lt;&gt;"",NOT(_xlfn.ISFORMULA('Month-End'!$T$20))),N('Month-End'!$T$20),IF(OR($E23="open",$E22="pre"),N(Settings!$C$32),N($AR22))))</f>
        <v/>
      </c>
      <c r="AS23">
        <f>IF(OR(Settings!$A$36="",$E23="pre"),"",IF(AND('Month-End'!$T$38&lt;&gt;"",NOT(_xlfn.ISFORMULA('Month-End'!$T$38))),N('Month-End'!$T$38),IF(OR($E23="open",$E22="pre"),N(Settings!$C$36),N($AS22))+$AY23))</f>
        <v/>
      </c>
      <c r="AT23">
        <f>IF(OR(Settings!$A$37="",$E23="pre"),"",IF(AND('Month-End'!$T$39&lt;&gt;"",NOT(_xlfn.ISFORMULA('Month-End'!$T$39))),N('Month-End'!$T$39),IF(OR($E23="open",$E22="pre"),N(Settings!$C$37),N($AT22))+$AZ23))</f>
        <v/>
      </c>
      <c r="AU23">
        <f>IF(OR(Settings!$A$38="",$E23="pre"),"",IF(AND('Month-End'!$T$40&lt;&gt;"",NOT(_xlfn.ISFORMULA('Month-End'!$T$40))),N('Month-End'!$T$40),IF(OR($E23="open",$E22="pre"),N(Settings!$C$38),N($AU22))+$BA23))</f>
        <v/>
      </c>
      <c r="AV23">
        <f>IF(OR(Settings!$A$39="",$E23="pre"),"",IF(AND('Month-End'!$T$41&lt;&gt;"",NOT(_xlfn.ISFORMULA('Month-End'!$T$41))),N('Month-End'!$T$41),IF(OR($E23="open",$E22="pre"),N(Settings!$C$39),N($AV22))+$BB23))</f>
        <v/>
      </c>
      <c r="AW23">
        <f>IF(OR(Settings!$A$40="",$E23="pre"),"",IF(AND('Month-End'!$T$42&lt;&gt;"",NOT(_xlfn.ISFORMULA('Month-End'!$T$42))),N('Month-End'!$T$42),IF(OR($E23="open",$E22="pre"),N(Settings!$C$40),N($AW22))+$BC23))</f>
        <v/>
      </c>
      <c r="AX23">
        <f>IF(OR(Settings!$A$41="",$E23="pre"),"",IF(AND('Month-End'!$T$43&lt;&gt;"",NOT(_xlfn.ISFORMULA('Month-End'!$T$43))),N('Month-End'!$T$43),IF(OR($E23="open",$E22="pre"),N(Settings!$C$41),N($AX22))+$BD23))</f>
        <v/>
      </c>
      <c r="AY23">
        <f>IF($E23="pre",0,N('Month-End'!$T$45))</f>
        <v/>
      </c>
      <c r="AZ23">
        <f>IF($E23="pre",0,N('Month-End'!$T$46))</f>
        <v/>
      </c>
      <c r="BA23">
        <f>IF($E23="pre",0,N('Month-End'!$T$47))</f>
        <v/>
      </c>
      <c r="BB23">
        <f>IF($E23="pre",0,N('Month-End'!$T$48))</f>
        <v/>
      </c>
      <c r="BC23">
        <f>IF($E23="pre",0,N('Month-End'!$T$49))</f>
        <v/>
      </c>
      <c r="BD23">
        <f>IF($E23="pre",0,N('Month-End'!$T$50))</f>
        <v/>
      </c>
      <c r="BE23">
        <f>IF(OR(Settings!$C$45="",Settings!$D$45=""),0,Settings!$C$45*IF(Settings!$D$45="Weekly",IF(IFERROR(MATCH(Settings!$E$45,$EO$4:$EO$10,0),0)=0,0,IF(MIN($C23,IF(Settings!$G$45="",$C23,Settings!$G$45))&lt;MAX($A23,Settings!$F$45),0,INT((MIN($C23,IF(Settings!$G$45="",$C23,Settings!$G$45))-MAX($A23,Settings!$F$45)-MOD(IFERROR(MATCH(Settings!$E$45,$EO$4:$EO$10,0),0)-WEEKDAY(MAX($A23,Settings!$F$45)),7))/7)+1)),IF(AND(IF(Settings!$E$45="",$B23,DATE(YEAR($A23),MONTH($A23),MIN(Settings!$E$45,DAY($B23))))&gt;=MAX($A23,Settings!$F$45),IF(Settings!$E$45="",$B23,DATE(YEAR($A23),MONTH($A23),MIN(Settings!$E$45,DAY($B23))))&lt;=MIN($C23,IF(Settings!$G$45="",$C23,Settings!$G$45))),1,0)))</f>
        <v/>
      </c>
      <c r="BF23">
        <f>IF(OR(Settings!$C$46="",Settings!$D$46=""),0,Settings!$C$46*IF(Settings!$D$46="Weekly",IF(IFERROR(MATCH(Settings!$E$46,$EO$4:$EO$10,0),0)=0,0,IF(MIN($C23,IF(Settings!$G$46="",$C23,Settings!$G$46))&lt;MAX($A23,Settings!$F$46),0,INT((MIN($C23,IF(Settings!$G$46="",$C23,Settings!$G$46))-MAX($A23,Settings!$F$46)-MOD(IFERROR(MATCH(Settings!$E$46,$EO$4:$EO$10,0),0)-WEEKDAY(MAX($A23,Settings!$F$46)),7))/7)+1)),IF(AND(IF(Settings!$E$46="",$B23,DATE(YEAR($A23),MONTH($A23),MIN(Settings!$E$46,DAY($B23))))&gt;=MAX($A23,Settings!$F$46),IF(Settings!$E$46="",$B23,DATE(YEAR($A23),MONTH($A23),MIN(Settings!$E$46,DAY($B23))))&lt;=MIN($C23,IF(Settings!$G$46="",$C23,Settings!$G$46))),1,0)))</f>
        <v/>
      </c>
      <c r="BG23">
        <f>IF(OR(Settings!$C$47="",Settings!$D$47=""),0,Settings!$C$47*IF(Settings!$D$47="Weekly",IF(IFERROR(MATCH(Settings!$E$47,$EO$4:$EO$10,0),0)=0,0,IF(MIN($C23,IF(Settings!$G$47="",$C23,Settings!$G$47))&lt;MAX($A23,Settings!$F$47),0,INT((MIN($C23,IF(Settings!$G$47="",$C23,Settings!$G$47))-MAX($A23,Settings!$F$47)-MOD(IFERROR(MATCH(Settings!$E$47,$EO$4:$EO$10,0),0)-WEEKDAY(MAX($A23,Settings!$F$47)),7))/7)+1)),IF(AND(IF(Settings!$E$47="",$B23,DATE(YEAR($A23),MONTH($A23),MIN(Settings!$E$47,DAY($B23))))&gt;=MAX($A23,Settings!$F$47),IF(Settings!$E$47="",$B23,DATE(YEAR($A23),MONTH($A23),MIN(Settings!$E$47,DAY($B23))))&lt;=MIN($C23,IF(Settings!$G$47="",$C23,Settings!$G$47))),1,0)))</f>
        <v/>
      </c>
      <c r="BH23">
        <f>IF(OR(Settings!$C$48="",Settings!$D$48=""),0,Settings!$C$48*IF(Settings!$D$48="Weekly",IF(IFERROR(MATCH(Settings!$E$48,$EO$4:$EO$10,0),0)=0,0,IF(MIN($C23,IF(Settings!$G$48="",$C23,Settings!$G$48))&lt;MAX($A23,Settings!$F$48),0,INT((MIN($C23,IF(Settings!$G$48="",$C23,Settings!$G$48))-MAX($A23,Settings!$F$48)-MOD(IFERROR(MATCH(Settings!$E$48,$EO$4:$EO$10,0),0)-WEEKDAY(MAX($A23,Settings!$F$48)),7))/7)+1)),IF(AND(IF(Settings!$E$48="",$B23,DATE(YEAR($A23),MONTH($A23),MIN(Settings!$E$48,DAY($B23))))&gt;=MAX($A23,Settings!$F$48),IF(Settings!$E$48="",$B23,DATE(YEAR($A23),MONTH($A23),MIN(Settings!$E$48,DAY($B23))))&lt;=MIN($C23,IF(Settings!$G$48="",$C23,Settings!$G$48))),1,0)))</f>
        <v/>
      </c>
      <c r="BI23">
        <f>IF(OR(Settings!$C$49="",Settings!$D$49=""),0,Settings!$C$49*IF(Settings!$D$49="Weekly",IF(IFERROR(MATCH(Settings!$E$49,$EO$4:$EO$10,0),0)=0,0,IF(MIN($C23,IF(Settings!$G$49="",$C23,Settings!$G$49))&lt;MAX($A23,Settings!$F$49),0,INT((MIN($C23,IF(Settings!$G$49="",$C23,Settings!$G$49))-MAX($A23,Settings!$F$49)-MOD(IFERROR(MATCH(Settings!$E$49,$EO$4:$EO$10,0),0)-WEEKDAY(MAX($A23,Settings!$F$49)),7))/7)+1)),IF(AND(IF(Settings!$E$49="",$B23,DATE(YEAR($A23),MONTH($A23),MIN(Settings!$E$49,DAY($B23))))&gt;=MAX($A23,Settings!$F$49),IF(Settings!$E$49="",$B23,DATE(YEAR($A23),MONTH($A23),MIN(Settings!$E$49,DAY($B23))))&lt;=MIN($C23,IF(Settings!$G$49="",$C23,Settings!$G$49))),1,0)))</f>
        <v/>
      </c>
      <c r="BJ23">
        <f>IF(OR(Settings!$C$50="",Settings!$D$50=""),0,Settings!$C$50*IF(Settings!$D$50="Weekly",IF(IFERROR(MATCH(Settings!$E$50,$EO$4:$EO$10,0),0)=0,0,IF(MIN($C23,IF(Settings!$G$50="",$C23,Settings!$G$50))&lt;MAX($A23,Settings!$F$50),0,INT((MIN($C23,IF(Settings!$G$50="",$C23,Settings!$G$50))-MAX($A23,Settings!$F$50)-MOD(IFERROR(MATCH(Settings!$E$50,$EO$4:$EO$10,0),0)-WEEKDAY(MAX($A23,Settings!$F$50)),7))/7)+1)),IF(AND(IF(Settings!$E$50="",$B23,DATE(YEAR($A23),MONTH($A23),MIN(Settings!$E$50,DAY($B23))))&gt;=MAX($A23,Settings!$F$50),IF(Settings!$E$50="",$B23,DATE(YEAR($A23),MONTH($A23),MIN(Settings!$E$50,DAY($B23))))&lt;=MIN($C23,IF(Settings!$G$50="",$C23,Settings!$G$50))),1,0)))</f>
        <v/>
      </c>
      <c r="BK23">
        <f>IF(OR(Settings!$C$51="",Settings!$D$51=""),0,Settings!$C$51*IF(Settings!$D$51="Weekly",IF(IFERROR(MATCH(Settings!$E$51,$EO$4:$EO$10,0),0)=0,0,IF(MIN($C23,IF(Settings!$G$51="",$C23,Settings!$G$51))&lt;MAX($A23,Settings!$F$51),0,INT((MIN($C23,IF(Settings!$G$51="",$C23,Settings!$G$51))-MAX($A23,Settings!$F$51)-MOD(IFERROR(MATCH(Settings!$E$51,$EO$4:$EO$10,0),0)-WEEKDAY(MAX($A23,Settings!$F$51)),7))/7)+1)),IF(AND(IF(Settings!$E$51="",$B23,DATE(YEAR($A23),MONTH($A23),MIN(Settings!$E$51,DAY($B23))))&gt;=MAX($A23,Settings!$F$51),IF(Settings!$E$51="",$B23,DATE(YEAR($A23),MONTH($A23),MIN(Settings!$E$51,DAY($B23))))&lt;=MIN($C23,IF(Settings!$G$51="",$C23,Settings!$G$51))),1,0)))</f>
        <v/>
      </c>
      <c r="BL23">
        <f>IF(OR(Settings!$C$52="",Settings!$D$52=""),0,Settings!$C$52*IF(Settings!$D$52="Weekly",IF(IFERROR(MATCH(Settings!$E$52,$EO$4:$EO$10,0),0)=0,0,IF(MIN($C23,IF(Settings!$G$52="",$C23,Settings!$G$52))&lt;MAX($A23,Settings!$F$52),0,INT((MIN($C23,IF(Settings!$G$52="",$C23,Settings!$G$52))-MAX($A23,Settings!$F$52)-MOD(IFERROR(MATCH(Settings!$E$52,$EO$4:$EO$10,0),0)-WEEKDAY(MAX($A23,Settings!$F$52)),7))/7)+1)),IF(AND(IF(Settings!$E$52="",$B23,DATE(YEAR($A23),MONTH($A23),MIN(Settings!$E$52,DAY($B23))))&gt;=MAX($A23,Settings!$F$52),IF(Settings!$E$52="",$B23,DATE(YEAR($A23),MONTH($A23),MIN(Settings!$E$52,DAY($B23))))&lt;=MIN($C23,IF(Settings!$G$52="",$C23,Settings!$G$52))),1,0)))</f>
        <v/>
      </c>
      <c r="BM23">
        <f>IF(OR(Settings!$C$53="",Settings!$D$53=""),0,Settings!$C$53*IF(Settings!$D$53="Weekly",IF(IFERROR(MATCH(Settings!$E$53,$EO$4:$EO$10,0),0)=0,0,IF(MIN($C23,IF(Settings!$G$53="",$C23,Settings!$G$53))&lt;MAX($A23,Settings!$F$53),0,INT((MIN($C23,IF(Settings!$G$53="",$C23,Settings!$G$53))-MAX($A23,Settings!$F$53)-MOD(IFERROR(MATCH(Settings!$E$53,$EO$4:$EO$10,0),0)-WEEKDAY(MAX($A23,Settings!$F$53)),7))/7)+1)),IF(AND(IF(Settings!$E$53="",$B23,DATE(YEAR($A23),MONTH($A23),MIN(Settings!$E$53,DAY($B23))))&gt;=MAX($A23,Settings!$F$53),IF(Settings!$E$53="",$B23,DATE(YEAR($A23),MONTH($A23),MIN(Settings!$E$53,DAY($B23))))&lt;=MIN($C23,IF(Settings!$G$53="",$C23,Settings!$G$53))),1,0)))</f>
        <v/>
      </c>
      <c r="BN23">
        <f>IF(OR(Settings!$C$54="",Settings!$D$54=""),0,Settings!$C$54*IF(Settings!$D$54="Weekly",IF(IFERROR(MATCH(Settings!$E$54,$EO$4:$EO$10,0),0)=0,0,IF(MIN($C23,IF(Settings!$G$54="",$C23,Settings!$G$54))&lt;MAX($A23,Settings!$F$54),0,INT((MIN($C23,IF(Settings!$G$54="",$C23,Settings!$G$54))-MAX($A23,Settings!$F$54)-MOD(IFERROR(MATCH(Settings!$E$54,$EO$4:$EO$10,0),0)-WEEKDAY(MAX($A23,Settings!$F$54)),7))/7)+1)),IF(AND(IF(Settings!$E$54="",$B23,DATE(YEAR($A23),MONTH($A23),MIN(Settings!$E$54,DAY($B23))))&gt;=MAX($A23,Settings!$F$54),IF(Settings!$E$54="",$B23,DATE(YEAR($A23),MONTH($A23),MIN(Settings!$E$54,DAY($B23))))&lt;=MIN($C23,IF(Settings!$G$54="",$C23,Settings!$G$54))),1,0)))</f>
        <v/>
      </c>
      <c r="BO23">
        <f>IF(OR(Settings!$C$55="",Settings!$D$55=""),0,Settings!$C$55*IF(Settings!$D$55="Weekly",IF(IFERROR(MATCH(Settings!$E$55,$EO$4:$EO$10,0),0)=0,0,IF(MIN($C23,IF(Settings!$G$55="",$C23,Settings!$G$55))&lt;MAX($A23,Settings!$F$55),0,INT((MIN($C23,IF(Settings!$G$55="",$C23,Settings!$G$55))-MAX($A23,Settings!$F$55)-MOD(IFERROR(MATCH(Settings!$E$55,$EO$4:$EO$10,0),0)-WEEKDAY(MAX($A23,Settings!$F$55)),7))/7)+1)),IF(AND(IF(Settings!$E$55="",$B23,DATE(YEAR($A23),MONTH($A23),MIN(Settings!$E$55,DAY($B23))))&gt;=MAX($A23,Settings!$F$55),IF(Settings!$E$55="",$B23,DATE(YEAR($A23),MONTH($A23),MIN(Settings!$E$55,DAY($B23))))&lt;=MIN($C23,IF(Settings!$G$55="",$C23,Settings!$G$55))),1,0)))</f>
        <v/>
      </c>
      <c r="BP23">
        <f>IF(OR(Settings!$C$56="",Settings!$D$56=""),0,Settings!$C$56*IF(Settings!$D$56="Weekly",IF(IFERROR(MATCH(Settings!$E$56,$EO$4:$EO$10,0),0)=0,0,IF(MIN($C23,IF(Settings!$G$56="",$C23,Settings!$G$56))&lt;MAX($A23,Settings!$F$56),0,INT((MIN($C23,IF(Settings!$G$56="",$C23,Settings!$G$56))-MAX($A23,Settings!$F$56)-MOD(IFERROR(MATCH(Settings!$E$56,$EO$4:$EO$10,0),0)-WEEKDAY(MAX($A23,Settings!$F$56)),7))/7)+1)),IF(AND(IF(Settings!$E$56="",$B23,DATE(YEAR($A23),MONTH($A23),MIN(Settings!$E$56,DAY($B23))))&gt;=MAX($A23,Settings!$F$56),IF(Settings!$E$56="",$B23,DATE(YEAR($A23),MONTH($A23),MIN(Settings!$E$56,DAY($B23))))&lt;=MIN($C23,IF(Settings!$G$56="",$C23,Settings!$G$56))),1,0)))</f>
        <v/>
      </c>
      <c r="BQ23">
        <f>IF(OR(Settings!$B$14="",$D23=1,$E23="pre",$A23&lt;IF(Settings!$B$15="",0,Settings!$B$15)),0,Settings!$B$14)</f>
        <v/>
      </c>
      <c r="BR23">
        <f>IF(AND('Month-End'!$T$7&lt;&gt;"",NOT(_xlfn.ISFORMULA('Month-End'!$T$7))),1,0)</f>
        <v/>
      </c>
      <c r="BS23">
        <f>IF(AND('Month-End'!$T$8&lt;&gt;"",NOT(_xlfn.ISFORMULA('Month-End'!$T$8))),1,0)</f>
        <v/>
      </c>
      <c r="BT23">
        <f>IF(AND('Month-End'!$T$9&lt;&gt;"",NOT(_xlfn.ISFORMULA('Month-End'!$T$9))),1,0)</f>
        <v/>
      </c>
      <c r="BU23">
        <f>IF(AND('Month-End'!$T$10&lt;&gt;"",NOT(_xlfn.ISFORMULA('Month-End'!$T$10))),1,0)</f>
        <v/>
      </c>
      <c r="BV23">
        <f>IF(AND('Month-End'!$T$11&lt;&gt;"",NOT(_xlfn.ISFORMULA('Month-End'!$T$11))),1,0)</f>
        <v/>
      </c>
      <c r="BW23">
        <f>IF(AND('Month-End'!$T$12&lt;&gt;"",NOT(_xlfn.ISFORMULA('Month-End'!$T$12))),1,0)</f>
        <v/>
      </c>
      <c r="BX23">
        <f>IF(AND('Month-End'!$T$13&lt;&gt;"",NOT(_xlfn.ISFORMULA('Month-End'!$T$13))),1,0)</f>
        <v/>
      </c>
      <c r="BY23">
        <f>IF(AND('Month-End'!$T$14&lt;&gt;"",NOT(_xlfn.ISFORMULA('Month-End'!$T$14))),1,0)</f>
        <v/>
      </c>
      <c r="BZ23">
        <f>IF(AND('Month-End'!$T$15&lt;&gt;"",NOT(_xlfn.ISFORMULA('Month-End'!$T$15))),1,0)</f>
        <v/>
      </c>
      <c r="CA23">
        <f>IF(AND('Month-End'!$T$16&lt;&gt;"",NOT(_xlfn.ISFORMULA('Month-End'!$T$16))),1,0)</f>
        <v/>
      </c>
      <c r="CB23">
        <f>IF(AND('Month-End'!$T$17&lt;&gt;"",NOT(_xlfn.ISFORMULA('Month-End'!$T$17))),1,0)</f>
        <v/>
      </c>
      <c r="CC23">
        <f>IF(AND('Month-End'!$T$18&lt;&gt;"",NOT(_xlfn.ISFORMULA('Month-End'!$T$18))),1,0)</f>
        <v/>
      </c>
      <c r="CD23">
        <f>IF(AND('Month-End'!$T$19&lt;&gt;"",NOT(_xlfn.ISFORMULA('Month-End'!$T$19))),1,0)</f>
        <v/>
      </c>
      <c r="CE23">
        <f>IF(AND('Month-End'!$T$20&lt;&gt;"",NOT(_xlfn.ISFORMULA('Month-End'!$T$20))),1,0)</f>
        <v/>
      </c>
      <c r="CF23">
        <f>IF(AND('Month-End'!$T$38&lt;&gt;"",NOT(_xlfn.ISFORMULA('Month-End'!$T$38))),1,0)</f>
        <v/>
      </c>
      <c r="CG23">
        <f>IF(AND('Month-End'!$T$39&lt;&gt;"",NOT(_xlfn.ISFORMULA('Month-End'!$T$39))),1,0)</f>
        <v/>
      </c>
      <c r="CH23">
        <f>IF(AND('Month-End'!$T$40&lt;&gt;"",NOT(_xlfn.ISFORMULA('Month-End'!$T$40))),1,0)</f>
        <v/>
      </c>
      <c r="CI23">
        <f>IF(AND('Month-End'!$T$41&lt;&gt;"",NOT(_xlfn.ISFORMULA('Month-End'!$T$41))),1,0)</f>
        <v/>
      </c>
      <c r="CJ23">
        <f>IF(AND('Month-End'!$T$42&lt;&gt;"",NOT(_xlfn.ISFORMULA('Month-End'!$T$42))),1,0)</f>
        <v/>
      </c>
      <c r="CK23">
        <f>IF(AND('Month-End'!$T$43&lt;&gt;"",NOT(_xlfn.ISFORMULA('Month-End'!$T$43))),1,0)</f>
        <v/>
      </c>
      <c r="CL23">
        <f>SUM($CM23:$CZ23)</f>
        <v/>
      </c>
      <c r="CM23">
        <f>IF(AND($E23&lt;&gt;"pre",AND(Settings!$A$19&lt;&gt;"",Settings!$E$19&lt;&gt;"No"),Settings!$F$19="Yes",NOT(AND('Month-End'!$T$7&lt;&gt;"",NOT(_xlfn.ISFORMULA('Month-End'!$T$7))))),1,0)</f>
        <v/>
      </c>
      <c r="CN23">
        <f>IF(AND($E23&lt;&gt;"pre",AND(Settings!$A$20&lt;&gt;"",Settings!$E$20&lt;&gt;"No"),Settings!$F$20="Yes",NOT(AND('Month-End'!$T$8&lt;&gt;"",NOT(_xlfn.ISFORMULA('Month-End'!$T$8))))),1,0)</f>
        <v/>
      </c>
      <c r="CO23">
        <f>IF(AND($E23&lt;&gt;"pre",AND(Settings!$A$21&lt;&gt;"",Settings!$E$21&lt;&gt;"No"),Settings!$F$21="Yes",NOT(AND('Month-End'!$T$9&lt;&gt;"",NOT(_xlfn.ISFORMULA('Month-End'!$T$9))))),1,0)</f>
        <v/>
      </c>
      <c r="CP23">
        <f>IF(AND($E23&lt;&gt;"pre",AND(Settings!$A$22&lt;&gt;"",Settings!$E$22&lt;&gt;"No"),Settings!$F$22="Yes",NOT(AND('Month-End'!$T$10&lt;&gt;"",NOT(_xlfn.ISFORMULA('Month-End'!$T$10))))),1,0)</f>
        <v/>
      </c>
      <c r="CQ23">
        <f>IF(AND($E23&lt;&gt;"pre",AND(Settings!$A$23&lt;&gt;"",Settings!$E$23&lt;&gt;"No"),Settings!$F$23="Yes",NOT(AND('Month-End'!$T$11&lt;&gt;"",NOT(_xlfn.ISFORMULA('Month-End'!$T$11))))),1,0)</f>
        <v/>
      </c>
      <c r="CR23">
        <f>IF(AND($E23&lt;&gt;"pre",AND(Settings!$A$24&lt;&gt;"",Settings!$E$24&lt;&gt;"No"),Settings!$F$24="Yes",NOT(AND('Month-End'!$T$12&lt;&gt;"",NOT(_xlfn.ISFORMULA('Month-End'!$T$12))))),1,0)</f>
        <v/>
      </c>
      <c r="CS23">
        <f>IF(AND($E23&lt;&gt;"pre",AND(Settings!$A$25&lt;&gt;"",Settings!$E$25&lt;&gt;"No"),Settings!$F$25="Yes",NOT(AND('Month-End'!$T$13&lt;&gt;"",NOT(_xlfn.ISFORMULA('Month-End'!$T$13))))),1,0)</f>
        <v/>
      </c>
      <c r="CT23">
        <f>IF(AND($E23&lt;&gt;"pre",AND(Settings!$A$26&lt;&gt;"",Settings!$E$26&lt;&gt;"No"),Settings!$F$26="Yes",NOT(AND('Month-End'!$T$14&lt;&gt;"",NOT(_xlfn.ISFORMULA('Month-End'!$T$14))))),1,0)</f>
        <v/>
      </c>
      <c r="CU23">
        <f>IF(AND($E23&lt;&gt;"pre",AND(Settings!$A$27&lt;&gt;"",Settings!$E$27&lt;&gt;"No"),Settings!$F$27="Yes",NOT(AND('Month-End'!$T$15&lt;&gt;"",NOT(_xlfn.ISFORMULA('Month-End'!$T$15))))),1,0)</f>
        <v/>
      </c>
      <c r="CV23">
        <f>IF(AND($E23&lt;&gt;"pre",AND(Settings!$A$28&lt;&gt;"",Settings!$E$28&lt;&gt;"No"),Settings!$F$28="Yes",NOT(AND('Month-End'!$T$16&lt;&gt;"",NOT(_xlfn.ISFORMULA('Month-End'!$T$16))))),1,0)</f>
        <v/>
      </c>
      <c r="CW23">
        <f>IF(AND($E23&lt;&gt;"pre",AND(Settings!$A$29&lt;&gt;"",Settings!$E$29&lt;&gt;"No"),Settings!$F$29="Yes",NOT(AND('Month-End'!$T$17&lt;&gt;"",NOT(_xlfn.ISFORMULA('Month-End'!$T$17))))),1,0)</f>
        <v/>
      </c>
      <c r="CX23">
        <f>IF(AND($E23&lt;&gt;"pre",AND(Settings!$A$30&lt;&gt;"",Settings!$E$30&lt;&gt;"No"),Settings!$F$30="Yes",NOT(AND('Month-End'!$T$18&lt;&gt;"",NOT(_xlfn.ISFORMULA('Month-End'!$T$18))))),1,0)</f>
        <v/>
      </c>
      <c r="CY23">
        <f>IF(AND($E23&lt;&gt;"pre",AND(Settings!$A$31&lt;&gt;"",Settings!$E$31&lt;&gt;"No"),Settings!$F$31="Yes",NOT(AND('Month-End'!$T$19&lt;&gt;"",NOT(_xlfn.ISFORMULA('Month-End'!$T$19))))),1,0)</f>
        <v/>
      </c>
      <c r="CZ23">
        <f>IF(AND($E23&lt;&gt;"pre",AND(Settings!$A$32&lt;&gt;"",Settings!$E$32&lt;&gt;"No"),Settings!$F$32="Yes",NOT(AND('Month-End'!$T$20&lt;&gt;"",NOT(_xlfn.ISFORMULA('Month-End'!$T$20))))),1,0)</f>
        <v/>
      </c>
      <c r="DA23">
        <f>IF($DT23=1,IF(OR(Settings!$B$19="Checking",Settings!$B$19="Savings",Settings!$B$19="Cash"),N($AE23),IF(OR(Settings!$B$19="Card",Settings!$B$19="Loan"),-N($AE23),0))+IF(OR(Settings!$B$20="Checking",Settings!$B$20="Savings",Settings!$B$20="Cash"),N($AF23),IF(OR(Settings!$B$20="Card",Settings!$B$20="Loan"),-N($AF23),0))+IF(OR(Settings!$B$21="Checking",Settings!$B$21="Savings",Settings!$B$21="Cash"),N($AG23),IF(OR(Settings!$B$21="Card",Settings!$B$21="Loan"),-N($AG23),0))+IF(OR(Settings!$B$22="Checking",Settings!$B$22="Savings",Settings!$B$22="Cash"),N($AH23),IF(OR(Settings!$B$22="Card",Settings!$B$22="Loan"),-N($AH23),0))+IF(OR(Settings!$B$23="Checking",Settings!$B$23="Savings",Settings!$B$23="Cash"),N($AI23),IF(OR(Settings!$B$23="Card",Settings!$B$23="Loan"),-N($AI23),0))+IF(OR(Settings!$B$24="Checking",Settings!$B$24="Savings",Settings!$B$24="Cash"),N($AJ23),IF(OR(Settings!$B$24="Card",Settings!$B$24="Loan"),-N($AJ23),0))+IF(OR(Settings!$B$25="Checking",Settings!$B$25="Savings",Settings!$B$25="Cash"),N($AK23),IF(OR(Settings!$B$25="Card",Settings!$B$25="Loan"),-N($AK23),0))+IF(OR(Settings!$B$26="Checking",Settings!$B$26="Savings",Settings!$B$26="Cash"),N($AL23),IF(OR(Settings!$B$26="Card",Settings!$B$26="Loan"),-N($AL23),0))+IF(OR(Settings!$B$27="Checking",Settings!$B$27="Savings",Settings!$B$27="Cash"),N($AM23),IF(OR(Settings!$B$27="Card",Settings!$B$27="Loan"),-N($AM23),0))+IF(OR(Settings!$B$28="Checking",Settings!$B$28="Savings",Settings!$B$28="Cash"),N($AN23),IF(OR(Settings!$B$28="Card",Settings!$B$28="Loan"),-N($AN23),0))+IF(OR(Settings!$B$29="Checking",Settings!$B$29="Savings",Settings!$B$29="Cash"),N($AO23),IF(OR(Settings!$B$29="Card",Settings!$B$29="Loan"),-N($AO23),0))+IF(OR(Settings!$B$30="Checking",Settings!$B$30="Savings",Settings!$B$30="Cash"),N($AP23),IF(OR(Settings!$B$30="Card",Settings!$B$30="Loan"),-N($AP23),0))+IF(OR(Settings!$B$31="Checking",Settings!$B$31="Savings",Settings!$B$31="Cash"),N($AQ23),IF(OR(Settings!$B$31="Card",Settings!$B$31="Loan"),-N($AQ23),0))+IF(OR(Settings!$B$32="Checking",Settings!$B$32="Savings",Settings!$B$32="Cash"),N($AR23),IF(OR(Settings!$B$32="Card",Settings!$B$32="Loan"),-N($AR23),0)),"")</f>
        <v/>
      </c>
      <c r="DB23">
        <f>IF($E23="open",$EB$27,IF($E23="post",IF($E22="pre",$EB$27,$DA22),""))</f>
        <v/>
      </c>
      <c r="DC23">
        <f>IF($E23="open",1,IF($E23="post",IF($E22="pre",1,$DT22),0))</f>
        <v/>
      </c>
      <c r="DD23">
        <f>IF(AND($DT23=1,$DC23=1),ROUND($W23-($DA23-$DB23)-$AD23-$AB23,2),"")</f>
        <v/>
      </c>
      <c r="DE23">
        <f>IF('Month-End'!$T$35="",$BQ23,N('Month-End'!$T$35))</f>
        <v/>
      </c>
      <c r="DF23">
        <f>N('Month-End'!$T$36)</f>
        <v/>
      </c>
      <c r="DG23">
        <f>IF($DD23="","",$DD23+$DE23)</f>
        <v/>
      </c>
      <c r="DH23">
        <f>IF($DG23="","",$DG23-$DF23)</f>
        <v/>
      </c>
      <c r="DI23">
        <f>IF(OR($E23="pre",$D23=1),"",N($AS23)+N($AT23)+N($AU23)+N($AV23)+N($AW23)+N($AX23))</f>
        <v/>
      </c>
      <c r="DJ23">
        <f>IF($DT23=1,$DA23+N($DI23),"")</f>
        <v/>
      </c>
      <c r="DK23">
        <f>IF($DD23="","",$W23-$DD23-$AB23)</f>
        <v/>
      </c>
      <c r="DL23">
        <f>IF(AND($E23="post",$DD23&lt;&gt;"",$B23&lt;TODAY()),1,0)</f>
        <v/>
      </c>
      <c r="DM23">
        <f>IF($DL23=1,COUNTIF($DL23:$DL$183,1),0)</f>
        <v/>
      </c>
      <c r="DN23">
        <f>IF($D23=1,"",IF($E23="pre","History only",IF($DT23=1,IF($DD23="","⚠ Previous month missing",IF($DD23&lt;0,"⚠ Check: spending &lt; 0",IF($E23="open","✓ Done (partial)","✓ Done"))),IF($B23&gt;=TODAY(),"In progress","⚠ Needs balances"))))</f>
        <v/>
      </c>
      <c r="DO23">
        <f>YEAR($A23)</f>
        <v/>
      </c>
      <c r="DP23">
        <f>DATE(YEAR($A23),INT((MONTH($A23)-1)/3)*3+1,1)</f>
        <v/>
      </c>
      <c r="DQ23">
        <f>IF(AND($DT23=1,$DD23&lt;&gt;"",$D23=0),ROW(),0)</f>
        <v/>
      </c>
      <c r="DR23">
        <f>IF(AND($E23&lt;&gt;"pre",$B23&lt;TODAY(),$DT23=0),1,0)</f>
        <v/>
      </c>
      <c r="DS23">
        <f>IF($DJ23="",NA(),$DJ23)</f>
        <v/>
      </c>
      <c r="DT23">
        <f>IF(AND($E23&lt;&gt;"pre",$CL23=0,COUNTIFS(Settings!$F$19:$F$32,"Yes",Settings!$A$19:$A$32,"&lt;&gt;",Settings!$E$19:$E$32,"&lt;&gt;No")&gt;0),1,0)</f>
        <v/>
      </c>
      <c r="DU23">
        <f>IF(AND($B23&lt;TODAY(),$S23&gt;0),1,0)</f>
        <v/>
      </c>
      <c r="DV23">
        <f>IF($DU23=1,COUNTIF($DU23:$DU$183,1),0)</f>
        <v/>
      </c>
      <c r="DW23">
        <f>IF(AND(OR(Settings!$B$19="Card",Settings!$B$19="Loan"),AND('Month-End'!$T$7&lt;&gt;"",NOT(_xlfn.ISFORMULA('Month-End'!$T$7)))),IF(N('Month-End'!$T$7)&lt;0,1,0),0)+IF(AND(OR(Settings!$B$20="Card",Settings!$B$20="Loan"),AND('Month-End'!$T$8&lt;&gt;"",NOT(_xlfn.ISFORMULA('Month-End'!$T$8)))),IF(N('Month-End'!$T$8)&lt;0,1,0),0)+IF(AND(OR(Settings!$B$21="Card",Settings!$B$21="Loan"),AND('Month-End'!$T$9&lt;&gt;"",NOT(_xlfn.ISFORMULA('Month-End'!$T$9)))),IF(N('Month-End'!$T$9)&lt;0,1,0),0)+IF(AND(OR(Settings!$B$22="Card",Settings!$B$22="Loan"),AND('Month-End'!$T$10&lt;&gt;"",NOT(_xlfn.ISFORMULA('Month-End'!$T$10)))),IF(N('Month-End'!$T$10)&lt;0,1,0),0)+IF(AND(OR(Settings!$B$23="Card",Settings!$B$23="Loan"),AND('Month-End'!$T$11&lt;&gt;"",NOT(_xlfn.ISFORMULA('Month-End'!$T$11)))),IF(N('Month-End'!$T$11)&lt;0,1,0),0)+IF(AND(OR(Settings!$B$24="Card",Settings!$B$24="Loan"),AND('Month-End'!$T$12&lt;&gt;"",NOT(_xlfn.ISFORMULA('Month-End'!$T$12)))),IF(N('Month-End'!$T$12)&lt;0,1,0),0)+IF(AND(OR(Settings!$B$25="Card",Settings!$B$25="Loan"),AND('Month-End'!$T$13&lt;&gt;"",NOT(_xlfn.ISFORMULA('Month-End'!$T$13)))),IF(N('Month-End'!$T$13)&lt;0,1,0),0)+IF(AND(OR(Settings!$B$26="Card",Settings!$B$26="Loan"),AND('Month-End'!$T$14&lt;&gt;"",NOT(_xlfn.ISFORMULA('Month-End'!$T$14)))),IF(N('Month-End'!$T$14)&lt;0,1,0),0)+IF(AND(OR(Settings!$B$27="Card",Settings!$B$27="Loan"),AND('Month-End'!$T$15&lt;&gt;"",NOT(_xlfn.ISFORMULA('Month-End'!$T$15)))),IF(N('Month-End'!$T$15)&lt;0,1,0),0)+IF(AND(OR(Settings!$B$28="Card",Settings!$B$28="Loan"),AND('Month-End'!$T$16&lt;&gt;"",NOT(_xlfn.ISFORMULA('Month-End'!$T$16)))),IF(N('Month-End'!$T$16)&lt;0,1,0),0)+IF(AND(OR(Settings!$B$29="Card",Settings!$B$29="Loan"),AND('Month-End'!$T$17&lt;&gt;"",NOT(_xlfn.ISFORMULA('Month-End'!$T$17)))),IF(N('Month-End'!$T$17)&lt;0,1,0),0)+IF(AND(OR(Settings!$B$30="Card",Settings!$B$30="Loan"),AND('Month-End'!$T$18&lt;&gt;"",NOT(_xlfn.ISFORMULA('Month-End'!$T$18)))),IF(N('Month-End'!$T$18)&lt;0,1,0),0)+IF(AND(OR(Settings!$B$31="Card",Settings!$B$31="Loan"),AND('Month-End'!$T$19&lt;&gt;"",NOT(_xlfn.ISFORMULA('Month-End'!$T$19)))),IF(N('Month-End'!$T$19)&lt;0,1,0),0)+IF(AND(OR(Settings!$B$32="Card",Settings!$B$32="Loan"),AND('Month-End'!$T$20&lt;&gt;"",NOT(_xlfn.ISFORMULA('Month-End'!$T$20)))),IF(N('Month-End'!$T$20)&lt;0,1,0),0)</f>
        <v/>
      </c>
      <c r="DX23">
        <f>IF(Settings!$B$36="Retirement",$AY23,0)+IF(Settings!$B$37="Retirement",$AZ23,0)+IF(Settings!$B$38="Retirement",$BA23,0)+IF(Settings!$B$39="Retirement",$BB23,0)+IF(Settings!$B$40="Retirement",$BC23,0)+IF(Settings!$B$41="Retirement",$BD23,0)</f>
        <v/>
      </c>
      <c r="EA23" t="inlineStr">
        <is>
          <t>Tithe Given This Quarter</t>
        </is>
      </c>
      <c r="EB23">
        <f>EB29</f>
        <v/>
      </c>
      <c r="ET23">
        <f>IF($E23&lt;&gt;"open",0,IF(AND('Month-End'!$T$22&lt;&gt;"",NOT(_xlfn.ISFORMULA('Month-End'!$T$22))),0,IF(OR(Settings!$C$45="",Settings!$D$45=""),0,Settings!$C$45*IF(Settings!$D$45="Weekly",IF(IFERROR(MATCH(Settings!$E$45,$EO$4:$EO$10,0),0)=0,0,IF(MIN(Settings!$B$5,IF(Settings!$G$45="",Settings!$B$5,Settings!$G$45))&lt;MAX($A23,Settings!$F$45),0,INT((MIN(Settings!$B$5,IF(Settings!$G$45="",Settings!$B$5,Settings!$G$45))-MAX($A23,Settings!$F$45)-MOD(IFERROR(MATCH(Settings!$E$45,$EO$4:$EO$10,0),0)-WEEKDAY(MAX($A23,Settings!$F$45)),7))/7)+1)),IF(AND(IF(Settings!$E$45="",$B23,DATE(YEAR($A23),MONTH($A23),MIN(Settings!$E$45,DAY($B23))))&gt;=MAX($A23,Settings!$F$45),IF(Settings!$E$45="",$B23,DATE(YEAR($A23),MONTH($A23),MIN(Settings!$E$45,DAY($B23))))&lt;=MIN(Settings!$B$5,IF(Settings!$G$45="",Settings!$B$5,Settings!$G$45))),1,0)))))</f>
        <v/>
      </c>
      <c r="EU23">
        <f>IF($E23&lt;&gt;"open",0,IF(AND('Month-End'!$T$23&lt;&gt;"",NOT(_xlfn.ISFORMULA('Month-End'!$T$23))),0,IF(OR(Settings!$C$46="",Settings!$D$46=""),0,Settings!$C$46*IF(Settings!$D$46="Weekly",IF(IFERROR(MATCH(Settings!$E$46,$EO$4:$EO$10,0),0)=0,0,IF(MIN(Settings!$B$5,IF(Settings!$G$46="",Settings!$B$5,Settings!$G$46))&lt;MAX($A23,Settings!$F$46),0,INT((MIN(Settings!$B$5,IF(Settings!$G$46="",Settings!$B$5,Settings!$G$46))-MAX($A23,Settings!$F$46)-MOD(IFERROR(MATCH(Settings!$E$46,$EO$4:$EO$10,0),0)-WEEKDAY(MAX($A23,Settings!$F$46)),7))/7)+1)),IF(AND(IF(Settings!$E$46="",$B23,DATE(YEAR($A23),MONTH($A23),MIN(Settings!$E$46,DAY($B23))))&gt;=MAX($A23,Settings!$F$46),IF(Settings!$E$46="",$B23,DATE(YEAR($A23),MONTH($A23),MIN(Settings!$E$46,DAY($B23))))&lt;=MIN(Settings!$B$5,IF(Settings!$G$46="",Settings!$B$5,Settings!$G$46))),1,0)))))</f>
        <v/>
      </c>
      <c r="EV23">
        <f>IF($E23&lt;&gt;"open",0,IF(AND('Month-End'!$T$24&lt;&gt;"",NOT(_xlfn.ISFORMULA('Month-End'!$T$24))),0,IF(OR(Settings!$C$47="",Settings!$D$47=""),0,Settings!$C$47*IF(Settings!$D$47="Weekly",IF(IFERROR(MATCH(Settings!$E$47,$EO$4:$EO$10,0),0)=0,0,IF(MIN(Settings!$B$5,IF(Settings!$G$47="",Settings!$B$5,Settings!$G$47))&lt;MAX($A23,Settings!$F$47),0,INT((MIN(Settings!$B$5,IF(Settings!$G$47="",Settings!$B$5,Settings!$G$47))-MAX($A23,Settings!$F$47)-MOD(IFERROR(MATCH(Settings!$E$47,$EO$4:$EO$10,0),0)-WEEKDAY(MAX($A23,Settings!$F$47)),7))/7)+1)),IF(AND(IF(Settings!$E$47="",$B23,DATE(YEAR($A23),MONTH($A23),MIN(Settings!$E$47,DAY($B23))))&gt;=MAX($A23,Settings!$F$47),IF(Settings!$E$47="",$B23,DATE(YEAR($A23),MONTH($A23),MIN(Settings!$E$47,DAY($B23))))&lt;=MIN(Settings!$B$5,IF(Settings!$G$47="",Settings!$B$5,Settings!$G$47))),1,0)))))</f>
        <v/>
      </c>
      <c r="EW23">
        <f>IF($E23&lt;&gt;"open",0,IF(AND('Month-End'!$T$25&lt;&gt;"",NOT(_xlfn.ISFORMULA('Month-End'!$T$25))),0,IF(OR(Settings!$C$48="",Settings!$D$48=""),0,Settings!$C$48*IF(Settings!$D$48="Weekly",IF(IFERROR(MATCH(Settings!$E$48,$EO$4:$EO$10,0),0)=0,0,IF(MIN(Settings!$B$5,IF(Settings!$G$48="",Settings!$B$5,Settings!$G$48))&lt;MAX($A23,Settings!$F$48),0,INT((MIN(Settings!$B$5,IF(Settings!$G$48="",Settings!$B$5,Settings!$G$48))-MAX($A23,Settings!$F$48)-MOD(IFERROR(MATCH(Settings!$E$48,$EO$4:$EO$10,0),0)-WEEKDAY(MAX($A23,Settings!$F$48)),7))/7)+1)),IF(AND(IF(Settings!$E$48="",$B23,DATE(YEAR($A23),MONTH($A23),MIN(Settings!$E$48,DAY($B23))))&gt;=MAX($A23,Settings!$F$48),IF(Settings!$E$48="",$B23,DATE(YEAR($A23),MONTH($A23),MIN(Settings!$E$48,DAY($B23))))&lt;=MIN(Settings!$B$5,IF(Settings!$G$48="",Settings!$B$5,Settings!$G$48))),1,0)))))</f>
        <v/>
      </c>
      <c r="EX23">
        <f>IF($E23&lt;&gt;"open",0,IF(AND('Month-End'!$T$26&lt;&gt;"",NOT(_xlfn.ISFORMULA('Month-End'!$T$26))),0,IF(OR(Settings!$C$49="",Settings!$D$49=""),0,Settings!$C$49*IF(Settings!$D$49="Weekly",IF(IFERROR(MATCH(Settings!$E$49,$EO$4:$EO$10,0),0)=0,0,IF(MIN(Settings!$B$5,IF(Settings!$G$49="",Settings!$B$5,Settings!$G$49))&lt;MAX($A23,Settings!$F$49),0,INT((MIN(Settings!$B$5,IF(Settings!$G$49="",Settings!$B$5,Settings!$G$49))-MAX($A23,Settings!$F$49)-MOD(IFERROR(MATCH(Settings!$E$49,$EO$4:$EO$10,0),0)-WEEKDAY(MAX($A23,Settings!$F$49)),7))/7)+1)),IF(AND(IF(Settings!$E$49="",$B23,DATE(YEAR($A23),MONTH($A23),MIN(Settings!$E$49,DAY($B23))))&gt;=MAX($A23,Settings!$F$49),IF(Settings!$E$49="",$B23,DATE(YEAR($A23),MONTH($A23),MIN(Settings!$E$49,DAY($B23))))&lt;=MIN(Settings!$B$5,IF(Settings!$G$49="",Settings!$B$5,Settings!$G$49))),1,0)))))</f>
        <v/>
      </c>
      <c r="EY23">
        <f>IF($E23&lt;&gt;"open",0,IF(AND('Month-End'!$T$27&lt;&gt;"",NOT(_xlfn.ISFORMULA('Month-End'!$T$27))),0,IF(OR(Settings!$C$50="",Settings!$D$50=""),0,Settings!$C$50*IF(Settings!$D$50="Weekly",IF(IFERROR(MATCH(Settings!$E$50,$EO$4:$EO$10,0),0)=0,0,IF(MIN(Settings!$B$5,IF(Settings!$G$50="",Settings!$B$5,Settings!$G$50))&lt;MAX($A23,Settings!$F$50),0,INT((MIN(Settings!$B$5,IF(Settings!$G$50="",Settings!$B$5,Settings!$G$50))-MAX($A23,Settings!$F$50)-MOD(IFERROR(MATCH(Settings!$E$50,$EO$4:$EO$10,0),0)-WEEKDAY(MAX($A23,Settings!$F$50)),7))/7)+1)),IF(AND(IF(Settings!$E$50="",$B23,DATE(YEAR($A23),MONTH($A23),MIN(Settings!$E$50,DAY($B23))))&gt;=MAX($A23,Settings!$F$50),IF(Settings!$E$50="",$B23,DATE(YEAR($A23),MONTH($A23),MIN(Settings!$E$50,DAY($B23))))&lt;=MIN(Settings!$B$5,IF(Settings!$G$50="",Settings!$B$5,Settings!$G$50))),1,0)))))</f>
        <v/>
      </c>
      <c r="EZ23">
        <f>IF($E23&lt;&gt;"open",0,IF(AND('Month-End'!$T$28&lt;&gt;"",NOT(_xlfn.ISFORMULA('Month-End'!$T$28))),0,IF(OR(Settings!$C$51="",Settings!$D$51=""),0,Settings!$C$51*IF(Settings!$D$51="Weekly",IF(IFERROR(MATCH(Settings!$E$51,$EO$4:$EO$10,0),0)=0,0,IF(MIN(Settings!$B$5,IF(Settings!$G$51="",Settings!$B$5,Settings!$G$51))&lt;MAX($A23,Settings!$F$51),0,INT((MIN(Settings!$B$5,IF(Settings!$G$51="",Settings!$B$5,Settings!$G$51))-MAX($A23,Settings!$F$51)-MOD(IFERROR(MATCH(Settings!$E$51,$EO$4:$EO$10,0),0)-WEEKDAY(MAX($A23,Settings!$F$51)),7))/7)+1)),IF(AND(IF(Settings!$E$51="",$B23,DATE(YEAR($A23),MONTH($A23),MIN(Settings!$E$51,DAY($B23))))&gt;=MAX($A23,Settings!$F$51),IF(Settings!$E$51="",$B23,DATE(YEAR($A23),MONTH($A23),MIN(Settings!$E$51,DAY($B23))))&lt;=MIN(Settings!$B$5,IF(Settings!$G$51="",Settings!$B$5,Settings!$G$51))),1,0)))))</f>
        <v/>
      </c>
      <c r="FA23">
        <f>IF($E23&lt;&gt;"open",0,IF(AND('Month-End'!$T$29&lt;&gt;"",NOT(_xlfn.ISFORMULA('Month-End'!$T$29))),0,IF(OR(Settings!$C$52="",Settings!$D$52=""),0,Settings!$C$52*IF(Settings!$D$52="Weekly",IF(IFERROR(MATCH(Settings!$E$52,$EO$4:$EO$10,0),0)=0,0,IF(MIN(Settings!$B$5,IF(Settings!$G$52="",Settings!$B$5,Settings!$G$52))&lt;MAX($A23,Settings!$F$52),0,INT((MIN(Settings!$B$5,IF(Settings!$G$52="",Settings!$B$5,Settings!$G$52))-MAX($A23,Settings!$F$52)-MOD(IFERROR(MATCH(Settings!$E$52,$EO$4:$EO$10,0),0)-WEEKDAY(MAX($A23,Settings!$F$52)),7))/7)+1)),IF(AND(IF(Settings!$E$52="",$B23,DATE(YEAR($A23),MONTH($A23),MIN(Settings!$E$52,DAY($B23))))&gt;=MAX($A23,Settings!$F$52),IF(Settings!$E$52="",$B23,DATE(YEAR($A23),MONTH($A23),MIN(Settings!$E$52,DAY($B23))))&lt;=MIN(Settings!$B$5,IF(Settings!$G$52="",Settings!$B$5,Settings!$G$52))),1,0)))))</f>
        <v/>
      </c>
      <c r="FB23">
        <f>IF($E23&lt;&gt;"open",0,IF(AND('Month-End'!$T$30&lt;&gt;"",NOT(_xlfn.ISFORMULA('Month-End'!$T$30))),0,IF(OR(Settings!$C$53="",Settings!$D$53=""),0,Settings!$C$53*IF(Settings!$D$53="Weekly",IF(IFERROR(MATCH(Settings!$E$53,$EO$4:$EO$10,0),0)=0,0,IF(MIN(Settings!$B$5,IF(Settings!$G$53="",Settings!$B$5,Settings!$G$53))&lt;MAX($A23,Settings!$F$53),0,INT((MIN(Settings!$B$5,IF(Settings!$G$53="",Settings!$B$5,Settings!$G$53))-MAX($A23,Settings!$F$53)-MOD(IFERROR(MATCH(Settings!$E$53,$EO$4:$EO$10,0),0)-WEEKDAY(MAX($A23,Settings!$F$53)),7))/7)+1)),IF(AND(IF(Settings!$E$53="",$B23,DATE(YEAR($A23),MONTH($A23),MIN(Settings!$E$53,DAY($B23))))&gt;=MAX($A23,Settings!$F$53),IF(Settings!$E$53="",$B23,DATE(YEAR($A23),MONTH($A23),MIN(Settings!$E$53,DAY($B23))))&lt;=MIN(Settings!$B$5,IF(Settings!$G$53="",Settings!$B$5,Settings!$G$53))),1,0)))))</f>
        <v/>
      </c>
      <c r="FC23">
        <f>IF($E23&lt;&gt;"open",0,IF(AND('Month-End'!$T$31&lt;&gt;"",NOT(_xlfn.ISFORMULA('Month-End'!$T$31))),0,IF(OR(Settings!$C$54="",Settings!$D$54=""),0,Settings!$C$54*IF(Settings!$D$54="Weekly",IF(IFERROR(MATCH(Settings!$E$54,$EO$4:$EO$10,0),0)=0,0,IF(MIN(Settings!$B$5,IF(Settings!$G$54="",Settings!$B$5,Settings!$G$54))&lt;MAX($A23,Settings!$F$54),0,INT((MIN(Settings!$B$5,IF(Settings!$G$54="",Settings!$B$5,Settings!$G$54))-MAX($A23,Settings!$F$54)-MOD(IFERROR(MATCH(Settings!$E$54,$EO$4:$EO$10,0),0)-WEEKDAY(MAX($A23,Settings!$F$54)),7))/7)+1)),IF(AND(IF(Settings!$E$54="",$B23,DATE(YEAR($A23),MONTH($A23),MIN(Settings!$E$54,DAY($B23))))&gt;=MAX($A23,Settings!$F$54),IF(Settings!$E$54="",$B23,DATE(YEAR($A23),MONTH($A23),MIN(Settings!$E$54,DAY($B23))))&lt;=MIN(Settings!$B$5,IF(Settings!$G$54="",Settings!$B$5,Settings!$G$54))),1,0)))))</f>
        <v/>
      </c>
      <c r="FD23">
        <f>IF($E23&lt;&gt;"open",0,IF(AND('Month-End'!$T$32&lt;&gt;"",NOT(_xlfn.ISFORMULA('Month-End'!$T$32))),0,IF(OR(Settings!$C$55="",Settings!$D$55=""),0,Settings!$C$55*IF(Settings!$D$55="Weekly",IF(IFERROR(MATCH(Settings!$E$55,$EO$4:$EO$10,0),0)=0,0,IF(MIN(Settings!$B$5,IF(Settings!$G$55="",Settings!$B$5,Settings!$G$55))&lt;MAX($A23,Settings!$F$55),0,INT((MIN(Settings!$B$5,IF(Settings!$G$55="",Settings!$B$5,Settings!$G$55))-MAX($A23,Settings!$F$55)-MOD(IFERROR(MATCH(Settings!$E$55,$EO$4:$EO$10,0),0)-WEEKDAY(MAX($A23,Settings!$F$55)),7))/7)+1)),IF(AND(IF(Settings!$E$55="",$B23,DATE(YEAR($A23),MONTH($A23),MIN(Settings!$E$55,DAY($B23))))&gt;=MAX($A23,Settings!$F$55),IF(Settings!$E$55="",$B23,DATE(YEAR($A23),MONTH($A23),MIN(Settings!$E$55,DAY($B23))))&lt;=MIN(Settings!$B$5,IF(Settings!$G$55="",Settings!$B$5,Settings!$G$55))),1,0)))))</f>
        <v/>
      </c>
      <c r="FE23">
        <f>IF($E23&lt;&gt;"open",0,IF(AND('Month-End'!$T$33&lt;&gt;"",NOT(_xlfn.ISFORMULA('Month-End'!$T$33))),0,IF(OR(Settings!$C$56="",Settings!$D$56=""),0,Settings!$C$56*IF(Settings!$D$56="Weekly",IF(IFERROR(MATCH(Settings!$E$56,$EO$4:$EO$10,0),0)=0,0,IF(MIN(Settings!$B$5,IF(Settings!$G$56="",Settings!$B$5,Settings!$G$56))&lt;MAX($A23,Settings!$F$56),0,INT((MIN(Settings!$B$5,IF(Settings!$G$56="",Settings!$B$5,Settings!$G$56))-MAX($A23,Settings!$F$56)-MOD(IFERROR(MATCH(Settings!$E$56,$EO$4:$EO$10,0),0)-WEEKDAY(MAX($A23,Settings!$F$56)),7))/7)+1)),IF(AND(IF(Settings!$E$56="",$B23,DATE(YEAR($A23),MONTH($A23),MIN(Settings!$E$56,DAY($B23))))&gt;=MAX($A23,Settings!$F$56),IF(Settings!$E$56="",$B23,DATE(YEAR($A23),MONTH($A23),MIN(Settings!$E$56,DAY($B23))))&lt;=MIN(Settings!$B$5,IF(Settings!$G$56="",Settings!$B$5,Settings!$G$56))),1,0)))))</f>
        <v/>
      </c>
      <c r="FF23">
        <f>IF(Settings!$I$45="Yes",$G23,0)+IF(Settings!$I$46="Yes",$H23,0)+IF(Settings!$I$47="Yes",$I23,0)+IF(Settings!$I$48="Yes",$J23,0)+IF(Settings!$I$49="Yes",$K23,0)+IF(Settings!$I$50="Yes",$L23,0)+IF(Settings!$I$51="Yes",$M23,0)+IF(Settings!$I$52="Yes",$N23,0)+IF(Settings!$I$53="Yes",$O23,0)+IF(Settings!$I$54="Yes",$P23,0)+IF(Settings!$I$55="Yes",$Q23,0)+IF(Settings!$I$56="Yes",$R23,0)</f>
        <v/>
      </c>
      <c r="FG23">
        <f>IF(AND(Settings!$I$45="Yes",Settings!$J$45="No"),$G23,0)+IF(AND(Settings!$I$46="Yes",Settings!$J$46="No"),$H23,0)+IF(AND(Settings!$I$47="Yes",Settings!$J$47="No"),$I23,0)+IF(AND(Settings!$I$48="Yes",Settings!$J$48="No"),$J23,0)+IF(AND(Settings!$I$49="Yes",Settings!$J$49="No"),$K23,0)+IF(AND(Settings!$I$50="Yes",Settings!$J$50="No"),$L23,0)+IF(AND(Settings!$I$51="Yes",Settings!$J$51="No"),$M23,0)+IF(AND(Settings!$I$52="Yes",Settings!$J$52="No"),$N23,0)+IF(AND(Settings!$I$53="Yes",Settings!$J$53="No"),$O23,0)+IF(AND(Settings!$I$54="Yes",Settings!$J$54="No"),$P23,0)+IF(AND(Settings!$I$55="Yes",Settings!$J$55="No"),$Q23,0)+IF(AND(Settings!$I$56="Yes",Settings!$J$56="No"),$R23,0)</f>
        <v/>
      </c>
      <c r="FH23">
        <f>SUMIFS(Giving!$B$7:$B$2006,Giving!$A$7:$A$2006,"&gt;="&amp;$A23,Giving!$A$7:$A$2006,"&lt;="&amp;$B23,Giving!$G$7:$G$2006,"Yes")+IF(OR(OR(Settings!$B$60="",Settings!$F$60="No"),Settings!$H$60&lt;&gt;"Yes"),0,Settings!$B$60*IF(AND(IF(Settings!$C$60="",$B23,DATE(YEAR($A23),MONTH($A23),MIN(Settings!$C$60,DAY($B23))))&gt;=MAX($A23,Settings!$D$60),IF(Settings!$C$60="",$B23,DATE(YEAR($A23),MONTH($A23),MIN(Settings!$C$60,DAY($B23))))&lt;=MIN($C23,IF(Settings!$E$60="",$C23,Settings!$E$60))),1,0))+IF(OR(OR(Settings!$B$61="",Settings!$F$61="No"),Settings!$H$61&lt;&gt;"Yes"),0,Settings!$B$61*IF(AND(IF(Settings!$C$61="",$B23,DATE(YEAR($A23),MONTH($A23),MIN(Settings!$C$61,DAY($B23))))&gt;=MAX($A23,Settings!$D$61),IF(Settings!$C$61="",$B23,DATE(YEAR($A23),MONTH($A23),MIN(Settings!$C$61,DAY($B23))))&lt;=MIN($C23,IF(Settings!$E$61="",$C23,Settings!$E$61))),1,0))+IF(OR(OR(Settings!$B$62="",Settings!$F$62="No"),Settings!$H$62&lt;&gt;"Yes"),0,Settings!$B$62*IF(AND(IF(Settings!$C$62="",$B23,DATE(YEAR($A23),MONTH($A23),MIN(Settings!$C$62,DAY($B23))))&gt;=MAX($A23,Settings!$D$62),IF(Settings!$C$62="",$B23,DATE(YEAR($A23),MONTH($A23),MIN(Settings!$C$62,DAY($B23))))&lt;=MIN($C23,IF(Settings!$E$62="",$C23,Settings!$E$62))),1,0))+IF(OR(OR(Settings!$B$63="",Settings!$F$63="No"),Settings!$H$63&lt;&gt;"Yes"),0,Settings!$B$63*IF(AND(IF(Settings!$C$63="",$B23,DATE(YEAR($A23),MONTH($A23),MIN(Settings!$C$63,DAY($B23))))&gt;=MAX($A23,Settings!$D$63),IF(Settings!$C$63="",$B23,DATE(YEAR($A23),MONTH($A23),MIN(Settings!$C$63,DAY($B23))))&lt;=MIN($C23,IF(Settings!$E$63="",$C23,Settings!$E$63))),1,0))+IF(OR(OR(Settings!$B$64="",Settings!$F$64="No"),Settings!$H$64&lt;&gt;"Yes"),0,Settings!$B$64*IF(AND(IF(Settings!$C$64="",$B23,DATE(YEAR($A23),MONTH($A23),MIN(Settings!$C$64,DAY($B23))))&gt;=MAX($A23,Settings!$D$64),IF(Settings!$C$64="",$B23,DATE(YEAR($A23),MONTH($A23),MIN(Settings!$C$64,DAY($B23))))&lt;=MIN($C23,IF(Settings!$E$64="",$C23,Settings!$E$64))),1,0))+IF(OR(OR(Settings!$B$65="",Settings!$F$65="No"),Settings!$H$65&lt;&gt;"Yes"),0,Settings!$B$65*IF(AND(IF(Settings!$C$65="",$B23,DATE(YEAR($A23),MONTH($A23),MIN(Settings!$C$65,DAY($B23))))&gt;=MAX($A23,Settings!$D$65),IF(Settings!$C$65="",$B23,DATE(YEAR($A23),MONTH($A23),MIN(Settings!$C$65,DAY($B23))))&lt;=MIN($C23,IF(Settings!$E$65="",$C23,Settings!$E$65))),1,0))</f>
        <v/>
      </c>
      <c r="FI23">
        <f>IF($DT23=1,IF(OR(Settings!$B$19="Card",Settings!$B$19="Loan"),N($AE23),0)+IF(OR(Settings!$B$20="Card",Settings!$B$20="Loan"),N($AF23),0)+IF(OR(Settings!$B$21="Card",Settings!$B$21="Loan"),N($AG23),0)+IF(OR(Settings!$B$22="Card",Settings!$B$22="Loan"),N($AH23),0)+IF(OR(Settings!$B$23="Card",Settings!$B$23="Loan"),N($AI23),0)+IF(OR(Settings!$B$24="Card",Settings!$B$24="Loan"),N($AJ23),0)+IF(OR(Settings!$B$25="Card",Settings!$B$25="Loan"),N($AK23),0)+IF(OR(Settings!$B$26="Card",Settings!$B$26="Loan"),N($AL23),0)+IF(OR(Settings!$B$27="Card",Settings!$B$27="Loan"),N($AM23),0)+IF(OR(Settings!$B$28="Card",Settings!$B$28="Loan"),N($AN23),0)+IF(OR(Settings!$B$29="Card",Settings!$B$29="Loan"),N($AO23),0)+IF(OR(Settings!$B$30="Card",Settings!$B$30="Loan"),N($AP23),0)+IF(OR(Settings!$B$31="Card",Settings!$B$31="Loan"),N($AQ23),0)+IF(OR(Settings!$B$32="Card",Settings!$B$32="Loan"),N($AR23),0),"")</f>
        <v/>
      </c>
      <c r="FJ23">
        <f>IF($E23="open",$EB$65,IF($E23="post",IF($E22="pre",$EB$65,$FI22),""))</f>
        <v/>
      </c>
      <c r="FK23">
        <f>IF(AND($DT23=1,$DC23=1),IF(ROUND($FI23-$FJ23,2)&gt;0,1,0),0)</f>
        <v/>
      </c>
      <c r="FL23">
        <f>IF($FK23=1,$FL22+1,0)</f>
        <v/>
      </c>
    </row>
    <row r="24">
      <c r="A24">
        <f>'Month-End'!$U$4</f>
        <v/>
      </c>
      <c r="B24">
        <f>EOMONTH($A24,0)</f>
        <v/>
      </c>
      <c r="C24">
        <f>MIN($B24,TODAY())</f>
        <v/>
      </c>
      <c r="D24">
        <f>IF($A24&gt;TODAY(),1,0)</f>
        <v/>
      </c>
      <c r="E24">
        <f>IF($B24&lt;=Settings!$B$5,"pre",IF($A24&lt;=Settings!$B$5,"open","post"))</f>
        <v/>
      </c>
      <c r="G24">
        <f>IF('Month-End'!$U$22="",$BE24,N('Month-End'!$U$22))</f>
        <v/>
      </c>
      <c r="H24">
        <f>IF('Month-End'!$U$23="",$BF24,N('Month-End'!$U$23))</f>
        <v/>
      </c>
      <c r="I24">
        <f>IF('Month-End'!$U$24="",$BG24,N('Month-End'!$U$24))</f>
        <v/>
      </c>
      <c r="J24">
        <f>IF('Month-End'!$U$25="",$BH24,N('Month-End'!$U$25))</f>
        <v/>
      </c>
      <c r="K24">
        <f>IF('Month-End'!$U$26="",$BI24,N('Month-End'!$U$26))</f>
        <v/>
      </c>
      <c r="L24">
        <f>IF('Month-End'!$U$27="",$BJ24,N('Month-End'!$U$27))</f>
        <v/>
      </c>
      <c r="M24">
        <f>IF('Month-End'!$U$28="",$BK24,N('Month-End'!$U$28))</f>
        <v/>
      </c>
      <c r="N24">
        <f>IF('Month-End'!$U$29="",$BL24,N('Month-End'!$U$29))</f>
        <v/>
      </c>
      <c r="O24">
        <f>IF('Month-End'!$U$30="",$BM24,N('Month-End'!$U$30))</f>
        <v/>
      </c>
      <c r="P24">
        <f>IF('Month-End'!$U$31="",$BN24,N('Month-End'!$U$31))</f>
        <v/>
      </c>
      <c r="Q24">
        <f>IF('Month-End'!$U$32="",$BO24,N('Month-End'!$U$32))</f>
        <v/>
      </c>
      <c r="R24">
        <f>IF('Month-End'!$U$33="",$BP24,N('Month-End'!$U$33))</f>
        <v/>
      </c>
      <c r="S24">
        <f>$G24+$H24+$I24+$J24+$K24+$L24+$M24+$N24+$O24+$P24+$Q24+$R24</f>
        <v/>
      </c>
      <c r="T24">
        <f>IF($B24&lt;Settings!$B$6,0,IF(Settings!$B$45="Yes",$G24,0)+IF(Settings!$B$46="Yes",$H24,0)+IF(Settings!$B$47="Yes",$I24,0)+IF(Settings!$B$48="Yes",$J24,0)+IF(Settings!$B$49="Yes",$K24,0)+IF(Settings!$B$50="Yes",$L24,0)+IF(Settings!$B$51="Yes",$M24,0)+IF(Settings!$B$52="Yes",$N24,0)+IF(Settings!$B$53="Yes",$O24,0)+IF(Settings!$B$54="Yes",$P24,0)+IF(Settings!$B$55="Yes",$Q24,0)+IF(Settings!$B$56="Yes",$R24,0))</f>
        <v/>
      </c>
      <c r="U24">
        <f>IF(Settings!$B$45="Not Sure",$G24,0)+IF(Settings!$B$46="Not Sure",$H24,0)+IF(Settings!$B$47="Not Sure",$I24,0)+IF(Settings!$B$48="Not Sure",$J24,0)+IF(Settings!$B$49="Not Sure",$K24,0)+IF(Settings!$B$50="Not Sure",$L24,0)+IF(Settings!$B$51="Not Sure",$M24,0)+IF(Settings!$B$52="Not Sure",$N24,0)+IF(Settings!$B$53="Not Sure",$O24,0)+IF(Settings!$B$54="Not Sure",$P24,0)+IF(Settings!$B$55="Not Sure",$Q24,0)+IF(Settings!$B$56="Not Sure",$R24,0)</f>
        <v/>
      </c>
      <c r="V24">
        <f>IF($E24="open",SUM($ET24:$FE24)+N(Settings!$B$13),0)</f>
        <v/>
      </c>
      <c r="W24">
        <f>IF($E24="post",$S24,IF($E24="open",$S24-$V24,0))</f>
        <v/>
      </c>
      <c r="X24">
        <f>SUMIFS(Giving!$B$7:$B$2006,Giving!$A$7:$A$2006,"&gt;="&amp;$A24,Giving!$A$7:$A$2006,"&lt;="&amp;$B24,Giving!$E$7:$E$2006,"&lt;&gt;No")</f>
        <v/>
      </c>
      <c r="Y24">
        <f>SUMIFS(Giving!$B$7:$B$2006,Giving!$A$7:$A$2006,"&gt;="&amp;$A24,Giving!$A$7:$A$2006,"&lt;="&amp;$B24,Giving!$E$7:$E$2006,"No")</f>
        <v/>
      </c>
      <c r="Z24">
        <f>IF(OR(Settings!$B$60="",Settings!$F$60="No"),0,Settings!$B$60*IF(AND(IF(Settings!$C$60="",$B24,DATE(YEAR($A24),MONTH($A24),MIN(Settings!$C$60,DAY($B24))))&gt;=MAX($A24,Settings!$D$60),IF(Settings!$C$60="",$B24,DATE(YEAR($A24),MONTH($A24),MIN(Settings!$C$60,DAY($B24))))&lt;=MIN($C24,IF(Settings!$E$60="",$C24,Settings!$E$60))),1,0))+IF(OR(Settings!$B$61="",Settings!$F$61="No"),0,Settings!$B$61*IF(AND(IF(Settings!$C$61="",$B24,DATE(YEAR($A24),MONTH($A24),MIN(Settings!$C$61,DAY($B24))))&gt;=MAX($A24,Settings!$D$61),IF(Settings!$C$61="",$B24,DATE(YEAR($A24),MONTH($A24),MIN(Settings!$C$61,DAY($B24))))&lt;=MIN($C24,IF(Settings!$E$61="",$C24,Settings!$E$61))),1,0))+IF(OR(Settings!$B$62="",Settings!$F$62="No"),0,Settings!$B$62*IF(AND(IF(Settings!$C$62="",$B24,DATE(YEAR($A24),MONTH($A24),MIN(Settings!$C$62,DAY($B24))))&gt;=MAX($A24,Settings!$D$62),IF(Settings!$C$62="",$B24,DATE(YEAR($A24),MONTH($A24),MIN(Settings!$C$62,DAY($B24))))&lt;=MIN($C24,IF(Settings!$E$62="",$C24,Settings!$E$62))),1,0))+IF(OR(Settings!$B$63="",Settings!$F$63="No"),0,Settings!$B$63*IF(AND(IF(Settings!$C$63="",$B24,DATE(YEAR($A24),MONTH($A24),MIN(Settings!$C$63,DAY($B24))))&gt;=MAX($A24,Settings!$D$63),IF(Settings!$C$63="",$B24,DATE(YEAR($A24),MONTH($A24),MIN(Settings!$C$63,DAY($B24))))&lt;=MIN($C24,IF(Settings!$E$63="",$C24,Settings!$E$63))),1,0))+IF(OR(Settings!$B$64="",Settings!$F$64="No"),0,Settings!$B$64*IF(AND(IF(Settings!$C$64="",$B24,DATE(YEAR($A24),MONTH($A24),MIN(Settings!$C$64,DAY($B24))))&gt;=MAX($A24,Settings!$D$64),IF(Settings!$C$64="",$B24,DATE(YEAR($A24),MONTH($A24),MIN(Settings!$C$64,DAY($B24))))&lt;=MIN($C24,IF(Settings!$E$64="",$C24,Settings!$E$64))),1,0))+IF(OR(Settings!$B$65="",Settings!$F$65="No"),0,Settings!$B$65*IF(AND(IF(Settings!$C$65="",$B24,DATE(YEAR($A24),MONTH($A24),MIN(Settings!$C$65,DAY($B24))))&gt;=MAX($A24,Settings!$D$65),IF(Settings!$C$65="",$B24,DATE(YEAR($A24),MONTH($A24),MIN(Settings!$C$65,DAY($B24))))&lt;=MIN($C24,IF(Settings!$E$65="",$C24,Settings!$E$65))),1,0))</f>
        <v/>
      </c>
      <c r="AA24">
        <f>$X24+$Z24</f>
        <v/>
      </c>
      <c r="AB24">
        <f>IF($E24="post",$AA24,IF($E24="open",SUMIFS(Giving!$B$7:$B$2006,Giving!$A$7:$A$2006,"&gt;"&amp;Settings!$B$5,Giving!$A$7:$A$2006,"&lt;="&amp;$B24,Giving!$E$7:$E$2006,"&lt;&gt;No")+IF(OR(Settings!$B$60="",Settings!$F$60="No"),0,Settings!$B$60*IF(AND(IF(Settings!$C$60="",$B24,DATE(YEAR($A24),MONTH($A24),MIN(Settings!$C$60,DAY($B24))))&gt;=MAX($A24,Settings!$D$60,Settings!$B$5+1),IF(Settings!$C$60="",$B24,DATE(YEAR($A24),MONTH($A24),MIN(Settings!$C$60,DAY($B24))))&lt;=MIN($C24,IF(Settings!$E$60="",$C24,Settings!$E$60))),1,0))+IF(OR(Settings!$B$61="",Settings!$F$61="No"),0,Settings!$B$61*IF(AND(IF(Settings!$C$61="",$B24,DATE(YEAR($A24),MONTH($A24),MIN(Settings!$C$61,DAY($B24))))&gt;=MAX($A24,Settings!$D$61,Settings!$B$5+1),IF(Settings!$C$61="",$B24,DATE(YEAR($A24),MONTH($A24),MIN(Settings!$C$61,DAY($B24))))&lt;=MIN($C24,IF(Settings!$E$61="",$C24,Settings!$E$61))),1,0))+IF(OR(Settings!$B$62="",Settings!$F$62="No"),0,Settings!$B$62*IF(AND(IF(Settings!$C$62="",$B24,DATE(YEAR($A24),MONTH($A24),MIN(Settings!$C$62,DAY($B24))))&gt;=MAX($A24,Settings!$D$62,Settings!$B$5+1),IF(Settings!$C$62="",$B24,DATE(YEAR($A24),MONTH($A24),MIN(Settings!$C$62,DAY($B24))))&lt;=MIN($C24,IF(Settings!$E$62="",$C24,Settings!$E$62))),1,0))+IF(OR(Settings!$B$63="",Settings!$F$63="No"),0,Settings!$B$63*IF(AND(IF(Settings!$C$63="",$B24,DATE(YEAR($A24),MONTH($A24),MIN(Settings!$C$63,DAY($B24))))&gt;=MAX($A24,Settings!$D$63,Settings!$B$5+1),IF(Settings!$C$63="",$B24,DATE(YEAR($A24),MONTH($A24),MIN(Settings!$C$63,DAY($B24))))&lt;=MIN($C24,IF(Settings!$E$63="",$C24,Settings!$E$63))),1,0))+IF(OR(Settings!$B$64="",Settings!$F$64="No"),0,Settings!$B$64*IF(AND(IF(Settings!$C$64="",$B24,DATE(YEAR($A24),MONTH($A24),MIN(Settings!$C$64,DAY($B24))))&gt;=MAX($A24,Settings!$D$64,Settings!$B$5+1),IF(Settings!$C$64="",$B24,DATE(YEAR($A24),MONTH($A24),MIN(Settings!$C$64,DAY($B24))))&lt;=MIN($C24,IF(Settings!$E$64="",$C24,Settings!$E$64))),1,0))+IF(OR(Settings!$B$65="",Settings!$F$65="No"),0,Settings!$B$65*IF(AND(IF(Settings!$C$65="",$B24,DATE(YEAR($A24),MONTH($A24),MIN(Settings!$C$65,DAY($B24))))&gt;=MAX($A24,Settings!$D$65,Settings!$B$5+1),IF(Settings!$C$65="",$B24,DATE(YEAR($A24),MONTH($A24),MIN(Settings!$C$65,DAY($B24))))&lt;=MIN($C24,IF(Settings!$E$65="",$C24,Settings!$E$65))),1,0)),0))</f>
        <v/>
      </c>
      <c r="AC24">
        <f>$AY24+$AZ24+$BA24+$BB24+$BC24+$BD24</f>
        <v/>
      </c>
      <c r="AD24">
        <f>$AC24</f>
        <v/>
      </c>
      <c r="AE24">
        <f>IF(OR(Settings!$A$19="",$E24="pre"),"",IF(AND('Month-End'!$U$7&lt;&gt;"",NOT(_xlfn.ISFORMULA('Month-End'!$U$7))),N('Month-End'!$U$7),IF(OR($E24="open",$E23="pre"),N(Settings!$C$19),N($AE23))))</f>
        <v/>
      </c>
      <c r="AF24">
        <f>IF(OR(Settings!$A$20="",$E24="pre"),"",IF(AND('Month-End'!$U$8&lt;&gt;"",NOT(_xlfn.ISFORMULA('Month-End'!$U$8))),N('Month-End'!$U$8),IF(OR($E24="open",$E23="pre"),N(Settings!$C$20),N($AF23))))</f>
        <v/>
      </c>
      <c r="AG24">
        <f>IF(OR(Settings!$A$21="",$E24="pre"),"",IF(AND('Month-End'!$U$9&lt;&gt;"",NOT(_xlfn.ISFORMULA('Month-End'!$U$9))),N('Month-End'!$U$9),IF(OR($E24="open",$E23="pre"),N(Settings!$C$21),N($AG23))))</f>
        <v/>
      </c>
      <c r="AH24">
        <f>IF(OR(Settings!$A$22="",$E24="pre"),"",IF(AND('Month-End'!$U$10&lt;&gt;"",NOT(_xlfn.ISFORMULA('Month-End'!$U$10))),N('Month-End'!$U$10),IF(OR($E24="open",$E23="pre"),N(Settings!$C$22),N($AH23))))</f>
        <v/>
      </c>
      <c r="AI24">
        <f>IF(OR(Settings!$A$23="",$E24="pre"),"",IF(AND('Month-End'!$U$11&lt;&gt;"",NOT(_xlfn.ISFORMULA('Month-End'!$U$11))),N('Month-End'!$U$11),IF(OR($E24="open",$E23="pre"),N(Settings!$C$23),N($AI23))))</f>
        <v/>
      </c>
      <c r="AJ24">
        <f>IF(OR(Settings!$A$24="",$E24="pre"),"",IF(AND('Month-End'!$U$12&lt;&gt;"",NOT(_xlfn.ISFORMULA('Month-End'!$U$12))),N('Month-End'!$U$12),IF(OR($E24="open",$E23="pre"),N(Settings!$C$24),N($AJ23))))</f>
        <v/>
      </c>
      <c r="AK24">
        <f>IF(OR(Settings!$A$25="",$E24="pre"),"",IF(AND('Month-End'!$U$13&lt;&gt;"",NOT(_xlfn.ISFORMULA('Month-End'!$U$13))),N('Month-End'!$U$13),IF(OR($E24="open",$E23="pre"),N(Settings!$C$25),N($AK23))))</f>
        <v/>
      </c>
      <c r="AL24">
        <f>IF(OR(Settings!$A$26="",$E24="pre"),"",IF(AND('Month-End'!$U$14&lt;&gt;"",NOT(_xlfn.ISFORMULA('Month-End'!$U$14))),N('Month-End'!$U$14),IF(OR($E24="open",$E23="pre"),N(Settings!$C$26),N($AL23))))</f>
        <v/>
      </c>
      <c r="AM24">
        <f>IF(OR(Settings!$A$27="",$E24="pre"),"",IF(AND('Month-End'!$U$15&lt;&gt;"",NOT(_xlfn.ISFORMULA('Month-End'!$U$15))),N('Month-End'!$U$15),IF(OR($E24="open",$E23="pre"),N(Settings!$C$27),N($AM23))))</f>
        <v/>
      </c>
      <c r="AN24">
        <f>IF(OR(Settings!$A$28="",$E24="pre"),"",IF(AND('Month-End'!$U$16&lt;&gt;"",NOT(_xlfn.ISFORMULA('Month-End'!$U$16))),N('Month-End'!$U$16),IF(OR($E24="open",$E23="pre"),N(Settings!$C$28),N($AN23))))</f>
        <v/>
      </c>
      <c r="AO24">
        <f>IF(OR(Settings!$A$29="",$E24="pre"),"",IF(AND('Month-End'!$U$17&lt;&gt;"",NOT(_xlfn.ISFORMULA('Month-End'!$U$17))),N('Month-End'!$U$17),IF(OR($E24="open",$E23="pre"),N(Settings!$C$29),N($AO23))))</f>
        <v/>
      </c>
      <c r="AP24">
        <f>IF(OR(Settings!$A$30="",$E24="pre"),"",IF(AND('Month-End'!$U$18&lt;&gt;"",NOT(_xlfn.ISFORMULA('Month-End'!$U$18))),N('Month-End'!$U$18),IF(OR($E24="open",$E23="pre"),N(Settings!$C$30),N($AP23))))</f>
        <v/>
      </c>
      <c r="AQ24">
        <f>IF(OR(Settings!$A$31="",$E24="pre"),"",IF(AND('Month-End'!$U$19&lt;&gt;"",NOT(_xlfn.ISFORMULA('Month-End'!$U$19))),N('Month-End'!$U$19),IF(OR($E24="open",$E23="pre"),N(Settings!$C$31),N($AQ23))))</f>
        <v/>
      </c>
      <c r="AR24">
        <f>IF(OR(Settings!$A$32="",$E24="pre"),"",IF(AND('Month-End'!$U$20&lt;&gt;"",NOT(_xlfn.ISFORMULA('Month-End'!$U$20))),N('Month-End'!$U$20),IF(OR($E24="open",$E23="pre"),N(Settings!$C$32),N($AR23))))</f>
        <v/>
      </c>
      <c r="AS24">
        <f>IF(OR(Settings!$A$36="",$E24="pre"),"",IF(AND('Month-End'!$U$38&lt;&gt;"",NOT(_xlfn.ISFORMULA('Month-End'!$U$38))),N('Month-End'!$U$38),IF(OR($E24="open",$E23="pre"),N(Settings!$C$36),N($AS23))+$AY24))</f>
        <v/>
      </c>
      <c r="AT24">
        <f>IF(OR(Settings!$A$37="",$E24="pre"),"",IF(AND('Month-End'!$U$39&lt;&gt;"",NOT(_xlfn.ISFORMULA('Month-End'!$U$39))),N('Month-End'!$U$39),IF(OR($E24="open",$E23="pre"),N(Settings!$C$37),N($AT23))+$AZ24))</f>
        <v/>
      </c>
      <c r="AU24">
        <f>IF(OR(Settings!$A$38="",$E24="pre"),"",IF(AND('Month-End'!$U$40&lt;&gt;"",NOT(_xlfn.ISFORMULA('Month-End'!$U$40))),N('Month-End'!$U$40),IF(OR($E24="open",$E23="pre"),N(Settings!$C$38),N($AU23))+$BA24))</f>
        <v/>
      </c>
      <c r="AV24">
        <f>IF(OR(Settings!$A$39="",$E24="pre"),"",IF(AND('Month-End'!$U$41&lt;&gt;"",NOT(_xlfn.ISFORMULA('Month-End'!$U$41))),N('Month-End'!$U$41),IF(OR($E24="open",$E23="pre"),N(Settings!$C$39),N($AV23))+$BB24))</f>
        <v/>
      </c>
      <c r="AW24">
        <f>IF(OR(Settings!$A$40="",$E24="pre"),"",IF(AND('Month-End'!$U$42&lt;&gt;"",NOT(_xlfn.ISFORMULA('Month-End'!$U$42))),N('Month-End'!$U$42),IF(OR($E24="open",$E23="pre"),N(Settings!$C$40),N($AW23))+$BC24))</f>
        <v/>
      </c>
      <c r="AX24">
        <f>IF(OR(Settings!$A$41="",$E24="pre"),"",IF(AND('Month-End'!$U$43&lt;&gt;"",NOT(_xlfn.ISFORMULA('Month-End'!$U$43))),N('Month-End'!$U$43),IF(OR($E24="open",$E23="pre"),N(Settings!$C$41),N($AX23))+$BD24))</f>
        <v/>
      </c>
      <c r="AY24">
        <f>IF($E24="pre",0,N('Month-End'!$U$45))</f>
        <v/>
      </c>
      <c r="AZ24">
        <f>IF($E24="pre",0,N('Month-End'!$U$46))</f>
        <v/>
      </c>
      <c r="BA24">
        <f>IF($E24="pre",0,N('Month-End'!$U$47))</f>
        <v/>
      </c>
      <c r="BB24">
        <f>IF($E24="pre",0,N('Month-End'!$U$48))</f>
        <v/>
      </c>
      <c r="BC24">
        <f>IF($E24="pre",0,N('Month-End'!$U$49))</f>
        <v/>
      </c>
      <c r="BD24">
        <f>IF($E24="pre",0,N('Month-End'!$U$50))</f>
        <v/>
      </c>
      <c r="BE24">
        <f>IF(OR(Settings!$C$45="",Settings!$D$45=""),0,Settings!$C$45*IF(Settings!$D$45="Weekly",IF(IFERROR(MATCH(Settings!$E$45,$EO$4:$EO$10,0),0)=0,0,IF(MIN($C24,IF(Settings!$G$45="",$C24,Settings!$G$45))&lt;MAX($A24,Settings!$F$45),0,INT((MIN($C24,IF(Settings!$G$45="",$C24,Settings!$G$45))-MAX($A24,Settings!$F$45)-MOD(IFERROR(MATCH(Settings!$E$45,$EO$4:$EO$10,0),0)-WEEKDAY(MAX($A24,Settings!$F$45)),7))/7)+1)),IF(AND(IF(Settings!$E$45="",$B24,DATE(YEAR($A24),MONTH($A24),MIN(Settings!$E$45,DAY($B24))))&gt;=MAX($A24,Settings!$F$45),IF(Settings!$E$45="",$B24,DATE(YEAR($A24),MONTH($A24),MIN(Settings!$E$45,DAY($B24))))&lt;=MIN($C24,IF(Settings!$G$45="",$C24,Settings!$G$45))),1,0)))</f>
        <v/>
      </c>
      <c r="BF24">
        <f>IF(OR(Settings!$C$46="",Settings!$D$46=""),0,Settings!$C$46*IF(Settings!$D$46="Weekly",IF(IFERROR(MATCH(Settings!$E$46,$EO$4:$EO$10,0),0)=0,0,IF(MIN($C24,IF(Settings!$G$46="",$C24,Settings!$G$46))&lt;MAX($A24,Settings!$F$46),0,INT((MIN($C24,IF(Settings!$G$46="",$C24,Settings!$G$46))-MAX($A24,Settings!$F$46)-MOD(IFERROR(MATCH(Settings!$E$46,$EO$4:$EO$10,0),0)-WEEKDAY(MAX($A24,Settings!$F$46)),7))/7)+1)),IF(AND(IF(Settings!$E$46="",$B24,DATE(YEAR($A24),MONTH($A24),MIN(Settings!$E$46,DAY($B24))))&gt;=MAX($A24,Settings!$F$46),IF(Settings!$E$46="",$B24,DATE(YEAR($A24),MONTH($A24),MIN(Settings!$E$46,DAY($B24))))&lt;=MIN($C24,IF(Settings!$G$46="",$C24,Settings!$G$46))),1,0)))</f>
        <v/>
      </c>
      <c r="BG24">
        <f>IF(OR(Settings!$C$47="",Settings!$D$47=""),0,Settings!$C$47*IF(Settings!$D$47="Weekly",IF(IFERROR(MATCH(Settings!$E$47,$EO$4:$EO$10,0),0)=0,0,IF(MIN($C24,IF(Settings!$G$47="",$C24,Settings!$G$47))&lt;MAX($A24,Settings!$F$47),0,INT((MIN($C24,IF(Settings!$G$47="",$C24,Settings!$G$47))-MAX($A24,Settings!$F$47)-MOD(IFERROR(MATCH(Settings!$E$47,$EO$4:$EO$10,0),0)-WEEKDAY(MAX($A24,Settings!$F$47)),7))/7)+1)),IF(AND(IF(Settings!$E$47="",$B24,DATE(YEAR($A24),MONTH($A24),MIN(Settings!$E$47,DAY($B24))))&gt;=MAX($A24,Settings!$F$47),IF(Settings!$E$47="",$B24,DATE(YEAR($A24),MONTH($A24),MIN(Settings!$E$47,DAY($B24))))&lt;=MIN($C24,IF(Settings!$G$47="",$C24,Settings!$G$47))),1,0)))</f>
        <v/>
      </c>
      <c r="BH24">
        <f>IF(OR(Settings!$C$48="",Settings!$D$48=""),0,Settings!$C$48*IF(Settings!$D$48="Weekly",IF(IFERROR(MATCH(Settings!$E$48,$EO$4:$EO$10,0),0)=0,0,IF(MIN($C24,IF(Settings!$G$48="",$C24,Settings!$G$48))&lt;MAX($A24,Settings!$F$48),0,INT((MIN($C24,IF(Settings!$G$48="",$C24,Settings!$G$48))-MAX($A24,Settings!$F$48)-MOD(IFERROR(MATCH(Settings!$E$48,$EO$4:$EO$10,0),0)-WEEKDAY(MAX($A24,Settings!$F$48)),7))/7)+1)),IF(AND(IF(Settings!$E$48="",$B24,DATE(YEAR($A24),MONTH($A24),MIN(Settings!$E$48,DAY($B24))))&gt;=MAX($A24,Settings!$F$48),IF(Settings!$E$48="",$B24,DATE(YEAR($A24),MONTH($A24),MIN(Settings!$E$48,DAY($B24))))&lt;=MIN($C24,IF(Settings!$G$48="",$C24,Settings!$G$48))),1,0)))</f>
        <v/>
      </c>
      <c r="BI24">
        <f>IF(OR(Settings!$C$49="",Settings!$D$49=""),0,Settings!$C$49*IF(Settings!$D$49="Weekly",IF(IFERROR(MATCH(Settings!$E$49,$EO$4:$EO$10,0),0)=0,0,IF(MIN($C24,IF(Settings!$G$49="",$C24,Settings!$G$49))&lt;MAX($A24,Settings!$F$49),0,INT((MIN($C24,IF(Settings!$G$49="",$C24,Settings!$G$49))-MAX($A24,Settings!$F$49)-MOD(IFERROR(MATCH(Settings!$E$49,$EO$4:$EO$10,0),0)-WEEKDAY(MAX($A24,Settings!$F$49)),7))/7)+1)),IF(AND(IF(Settings!$E$49="",$B24,DATE(YEAR($A24),MONTH($A24),MIN(Settings!$E$49,DAY($B24))))&gt;=MAX($A24,Settings!$F$49),IF(Settings!$E$49="",$B24,DATE(YEAR($A24),MONTH($A24),MIN(Settings!$E$49,DAY($B24))))&lt;=MIN($C24,IF(Settings!$G$49="",$C24,Settings!$G$49))),1,0)))</f>
        <v/>
      </c>
      <c r="BJ24">
        <f>IF(OR(Settings!$C$50="",Settings!$D$50=""),0,Settings!$C$50*IF(Settings!$D$50="Weekly",IF(IFERROR(MATCH(Settings!$E$50,$EO$4:$EO$10,0),0)=0,0,IF(MIN($C24,IF(Settings!$G$50="",$C24,Settings!$G$50))&lt;MAX($A24,Settings!$F$50),0,INT((MIN($C24,IF(Settings!$G$50="",$C24,Settings!$G$50))-MAX($A24,Settings!$F$50)-MOD(IFERROR(MATCH(Settings!$E$50,$EO$4:$EO$10,0),0)-WEEKDAY(MAX($A24,Settings!$F$50)),7))/7)+1)),IF(AND(IF(Settings!$E$50="",$B24,DATE(YEAR($A24),MONTH($A24),MIN(Settings!$E$50,DAY($B24))))&gt;=MAX($A24,Settings!$F$50),IF(Settings!$E$50="",$B24,DATE(YEAR($A24),MONTH($A24),MIN(Settings!$E$50,DAY($B24))))&lt;=MIN($C24,IF(Settings!$G$50="",$C24,Settings!$G$50))),1,0)))</f>
        <v/>
      </c>
      <c r="BK24">
        <f>IF(OR(Settings!$C$51="",Settings!$D$51=""),0,Settings!$C$51*IF(Settings!$D$51="Weekly",IF(IFERROR(MATCH(Settings!$E$51,$EO$4:$EO$10,0),0)=0,0,IF(MIN($C24,IF(Settings!$G$51="",$C24,Settings!$G$51))&lt;MAX($A24,Settings!$F$51),0,INT((MIN($C24,IF(Settings!$G$51="",$C24,Settings!$G$51))-MAX($A24,Settings!$F$51)-MOD(IFERROR(MATCH(Settings!$E$51,$EO$4:$EO$10,0),0)-WEEKDAY(MAX($A24,Settings!$F$51)),7))/7)+1)),IF(AND(IF(Settings!$E$51="",$B24,DATE(YEAR($A24),MONTH($A24),MIN(Settings!$E$51,DAY($B24))))&gt;=MAX($A24,Settings!$F$51),IF(Settings!$E$51="",$B24,DATE(YEAR($A24),MONTH($A24),MIN(Settings!$E$51,DAY($B24))))&lt;=MIN($C24,IF(Settings!$G$51="",$C24,Settings!$G$51))),1,0)))</f>
        <v/>
      </c>
      <c r="BL24">
        <f>IF(OR(Settings!$C$52="",Settings!$D$52=""),0,Settings!$C$52*IF(Settings!$D$52="Weekly",IF(IFERROR(MATCH(Settings!$E$52,$EO$4:$EO$10,0),0)=0,0,IF(MIN($C24,IF(Settings!$G$52="",$C24,Settings!$G$52))&lt;MAX($A24,Settings!$F$52),0,INT((MIN($C24,IF(Settings!$G$52="",$C24,Settings!$G$52))-MAX($A24,Settings!$F$52)-MOD(IFERROR(MATCH(Settings!$E$52,$EO$4:$EO$10,0),0)-WEEKDAY(MAX($A24,Settings!$F$52)),7))/7)+1)),IF(AND(IF(Settings!$E$52="",$B24,DATE(YEAR($A24),MONTH($A24),MIN(Settings!$E$52,DAY($B24))))&gt;=MAX($A24,Settings!$F$52),IF(Settings!$E$52="",$B24,DATE(YEAR($A24),MONTH($A24),MIN(Settings!$E$52,DAY($B24))))&lt;=MIN($C24,IF(Settings!$G$52="",$C24,Settings!$G$52))),1,0)))</f>
        <v/>
      </c>
      <c r="BM24">
        <f>IF(OR(Settings!$C$53="",Settings!$D$53=""),0,Settings!$C$53*IF(Settings!$D$53="Weekly",IF(IFERROR(MATCH(Settings!$E$53,$EO$4:$EO$10,0),0)=0,0,IF(MIN($C24,IF(Settings!$G$53="",$C24,Settings!$G$53))&lt;MAX($A24,Settings!$F$53),0,INT((MIN($C24,IF(Settings!$G$53="",$C24,Settings!$G$53))-MAX($A24,Settings!$F$53)-MOD(IFERROR(MATCH(Settings!$E$53,$EO$4:$EO$10,0),0)-WEEKDAY(MAX($A24,Settings!$F$53)),7))/7)+1)),IF(AND(IF(Settings!$E$53="",$B24,DATE(YEAR($A24),MONTH($A24),MIN(Settings!$E$53,DAY($B24))))&gt;=MAX($A24,Settings!$F$53),IF(Settings!$E$53="",$B24,DATE(YEAR($A24),MONTH($A24),MIN(Settings!$E$53,DAY($B24))))&lt;=MIN($C24,IF(Settings!$G$53="",$C24,Settings!$G$53))),1,0)))</f>
        <v/>
      </c>
      <c r="BN24">
        <f>IF(OR(Settings!$C$54="",Settings!$D$54=""),0,Settings!$C$54*IF(Settings!$D$54="Weekly",IF(IFERROR(MATCH(Settings!$E$54,$EO$4:$EO$10,0),0)=0,0,IF(MIN($C24,IF(Settings!$G$54="",$C24,Settings!$G$54))&lt;MAX($A24,Settings!$F$54),0,INT((MIN($C24,IF(Settings!$G$54="",$C24,Settings!$G$54))-MAX($A24,Settings!$F$54)-MOD(IFERROR(MATCH(Settings!$E$54,$EO$4:$EO$10,0),0)-WEEKDAY(MAX($A24,Settings!$F$54)),7))/7)+1)),IF(AND(IF(Settings!$E$54="",$B24,DATE(YEAR($A24),MONTH($A24),MIN(Settings!$E$54,DAY($B24))))&gt;=MAX($A24,Settings!$F$54),IF(Settings!$E$54="",$B24,DATE(YEAR($A24),MONTH($A24),MIN(Settings!$E$54,DAY($B24))))&lt;=MIN($C24,IF(Settings!$G$54="",$C24,Settings!$G$54))),1,0)))</f>
        <v/>
      </c>
      <c r="BO24">
        <f>IF(OR(Settings!$C$55="",Settings!$D$55=""),0,Settings!$C$55*IF(Settings!$D$55="Weekly",IF(IFERROR(MATCH(Settings!$E$55,$EO$4:$EO$10,0),0)=0,0,IF(MIN($C24,IF(Settings!$G$55="",$C24,Settings!$G$55))&lt;MAX($A24,Settings!$F$55),0,INT((MIN($C24,IF(Settings!$G$55="",$C24,Settings!$G$55))-MAX($A24,Settings!$F$55)-MOD(IFERROR(MATCH(Settings!$E$55,$EO$4:$EO$10,0),0)-WEEKDAY(MAX($A24,Settings!$F$55)),7))/7)+1)),IF(AND(IF(Settings!$E$55="",$B24,DATE(YEAR($A24),MONTH($A24),MIN(Settings!$E$55,DAY($B24))))&gt;=MAX($A24,Settings!$F$55),IF(Settings!$E$55="",$B24,DATE(YEAR($A24),MONTH($A24),MIN(Settings!$E$55,DAY($B24))))&lt;=MIN($C24,IF(Settings!$G$55="",$C24,Settings!$G$55))),1,0)))</f>
        <v/>
      </c>
      <c r="BP24">
        <f>IF(OR(Settings!$C$56="",Settings!$D$56=""),0,Settings!$C$56*IF(Settings!$D$56="Weekly",IF(IFERROR(MATCH(Settings!$E$56,$EO$4:$EO$10,0),0)=0,0,IF(MIN($C24,IF(Settings!$G$56="",$C24,Settings!$G$56))&lt;MAX($A24,Settings!$F$56),0,INT((MIN($C24,IF(Settings!$G$56="",$C24,Settings!$G$56))-MAX($A24,Settings!$F$56)-MOD(IFERROR(MATCH(Settings!$E$56,$EO$4:$EO$10,0),0)-WEEKDAY(MAX($A24,Settings!$F$56)),7))/7)+1)),IF(AND(IF(Settings!$E$56="",$B24,DATE(YEAR($A24),MONTH($A24),MIN(Settings!$E$56,DAY($B24))))&gt;=MAX($A24,Settings!$F$56),IF(Settings!$E$56="",$B24,DATE(YEAR($A24),MONTH($A24),MIN(Settings!$E$56,DAY($B24))))&lt;=MIN($C24,IF(Settings!$G$56="",$C24,Settings!$G$56))),1,0)))</f>
        <v/>
      </c>
      <c r="BQ24">
        <f>IF(OR(Settings!$B$14="",$D24=1,$E24="pre",$A24&lt;IF(Settings!$B$15="",0,Settings!$B$15)),0,Settings!$B$14)</f>
        <v/>
      </c>
      <c r="BR24">
        <f>IF(AND('Month-End'!$U$7&lt;&gt;"",NOT(_xlfn.ISFORMULA('Month-End'!$U$7))),1,0)</f>
        <v/>
      </c>
      <c r="BS24">
        <f>IF(AND('Month-End'!$U$8&lt;&gt;"",NOT(_xlfn.ISFORMULA('Month-End'!$U$8))),1,0)</f>
        <v/>
      </c>
      <c r="BT24">
        <f>IF(AND('Month-End'!$U$9&lt;&gt;"",NOT(_xlfn.ISFORMULA('Month-End'!$U$9))),1,0)</f>
        <v/>
      </c>
      <c r="BU24">
        <f>IF(AND('Month-End'!$U$10&lt;&gt;"",NOT(_xlfn.ISFORMULA('Month-End'!$U$10))),1,0)</f>
        <v/>
      </c>
      <c r="BV24">
        <f>IF(AND('Month-End'!$U$11&lt;&gt;"",NOT(_xlfn.ISFORMULA('Month-End'!$U$11))),1,0)</f>
        <v/>
      </c>
      <c r="BW24">
        <f>IF(AND('Month-End'!$U$12&lt;&gt;"",NOT(_xlfn.ISFORMULA('Month-End'!$U$12))),1,0)</f>
        <v/>
      </c>
      <c r="BX24">
        <f>IF(AND('Month-End'!$U$13&lt;&gt;"",NOT(_xlfn.ISFORMULA('Month-End'!$U$13))),1,0)</f>
        <v/>
      </c>
      <c r="BY24">
        <f>IF(AND('Month-End'!$U$14&lt;&gt;"",NOT(_xlfn.ISFORMULA('Month-End'!$U$14))),1,0)</f>
        <v/>
      </c>
      <c r="BZ24">
        <f>IF(AND('Month-End'!$U$15&lt;&gt;"",NOT(_xlfn.ISFORMULA('Month-End'!$U$15))),1,0)</f>
        <v/>
      </c>
      <c r="CA24">
        <f>IF(AND('Month-End'!$U$16&lt;&gt;"",NOT(_xlfn.ISFORMULA('Month-End'!$U$16))),1,0)</f>
        <v/>
      </c>
      <c r="CB24">
        <f>IF(AND('Month-End'!$U$17&lt;&gt;"",NOT(_xlfn.ISFORMULA('Month-End'!$U$17))),1,0)</f>
        <v/>
      </c>
      <c r="CC24">
        <f>IF(AND('Month-End'!$U$18&lt;&gt;"",NOT(_xlfn.ISFORMULA('Month-End'!$U$18))),1,0)</f>
        <v/>
      </c>
      <c r="CD24">
        <f>IF(AND('Month-End'!$U$19&lt;&gt;"",NOT(_xlfn.ISFORMULA('Month-End'!$U$19))),1,0)</f>
        <v/>
      </c>
      <c r="CE24">
        <f>IF(AND('Month-End'!$U$20&lt;&gt;"",NOT(_xlfn.ISFORMULA('Month-End'!$U$20))),1,0)</f>
        <v/>
      </c>
      <c r="CF24">
        <f>IF(AND('Month-End'!$U$38&lt;&gt;"",NOT(_xlfn.ISFORMULA('Month-End'!$U$38))),1,0)</f>
        <v/>
      </c>
      <c r="CG24">
        <f>IF(AND('Month-End'!$U$39&lt;&gt;"",NOT(_xlfn.ISFORMULA('Month-End'!$U$39))),1,0)</f>
        <v/>
      </c>
      <c r="CH24">
        <f>IF(AND('Month-End'!$U$40&lt;&gt;"",NOT(_xlfn.ISFORMULA('Month-End'!$U$40))),1,0)</f>
        <v/>
      </c>
      <c r="CI24">
        <f>IF(AND('Month-End'!$U$41&lt;&gt;"",NOT(_xlfn.ISFORMULA('Month-End'!$U$41))),1,0)</f>
        <v/>
      </c>
      <c r="CJ24">
        <f>IF(AND('Month-End'!$U$42&lt;&gt;"",NOT(_xlfn.ISFORMULA('Month-End'!$U$42))),1,0)</f>
        <v/>
      </c>
      <c r="CK24">
        <f>IF(AND('Month-End'!$U$43&lt;&gt;"",NOT(_xlfn.ISFORMULA('Month-End'!$U$43))),1,0)</f>
        <v/>
      </c>
      <c r="CL24">
        <f>SUM($CM24:$CZ24)</f>
        <v/>
      </c>
      <c r="CM24">
        <f>IF(AND($E24&lt;&gt;"pre",AND(Settings!$A$19&lt;&gt;"",Settings!$E$19&lt;&gt;"No"),Settings!$F$19="Yes",NOT(AND('Month-End'!$U$7&lt;&gt;"",NOT(_xlfn.ISFORMULA('Month-End'!$U$7))))),1,0)</f>
        <v/>
      </c>
      <c r="CN24">
        <f>IF(AND($E24&lt;&gt;"pre",AND(Settings!$A$20&lt;&gt;"",Settings!$E$20&lt;&gt;"No"),Settings!$F$20="Yes",NOT(AND('Month-End'!$U$8&lt;&gt;"",NOT(_xlfn.ISFORMULA('Month-End'!$U$8))))),1,0)</f>
        <v/>
      </c>
      <c r="CO24">
        <f>IF(AND($E24&lt;&gt;"pre",AND(Settings!$A$21&lt;&gt;"",Settings!$E$21&lt;&gt;"No"),Settings!$F$21="Yes",NOT(AND('Month-End'!$U$9&lt;&gt;"",NOT(_xlfn.ISFORMULA('Month-End'!$U$9))))),1,0)</f>
        <v/>
      </c>
      <c r="CP24">
        <f>IF(AND($E24&lt;&gt;"pre",AND(Settings!$A$22&lt;&gt;"",Settings!$E$22&lt;&gt;"No"),Settings!$F$22="Yes",NOT(AND('Month-End'!$U$10&lt;&gt;"",NOT(_xlfn.ISFORMULA('Month-End'!$U$10))))),1,0)</f>
        <v/>
      </c>
      <c r="CQ24">
        <f>IF(AND($E24&lt;&gt;"pre",AND(Settings!$A$23&lt;&gt;"",Settings!$E$23&lt;&gt;"No"),Settings!$F$23="Yes",NOT(AND('Month-End'!$U$11&lt;&gt;"",NOT(_xlfn.ISFORMULA('Month-End'!$U$11))))),1,0)</f>
        <v/>
      </c>
      <c r="CR24">
        <f>IF(AND($E24&lt;&gt;"pre",AND(Settings!$A$24&lt;&gt;"",Settings!$E$24&lt;&gt;"No"),Settings!$F$24="Yes",NOT(AND('Month-End'!$U$12&lt;&gt;"",NOT(_xlfn.ISFORMULA('Month-End'!$U$12))))),1,0)</f>
        <v/>
      </c>
      <c r="CS24">
        <f>IF(AND($E24&lt;&gt;"pre",AND(Settings!$A$25&lt;&gt;"",Settings!$E$25&lt;&gt;"No"),Settings!$F$25="Yes",NOT(AND('Month-End'!$U$13&lt;&gt;"",NOT(_xlfn.ISFORMULA('Month-End'!$U$13))))),1,0)</f>
        <v/>
      </c>
      <c r="CT24">
        <f>IF(AND($E24&lt;&gt;"pre",AND(Settings!$A$26&lt;&gt;"",Settings!$E$26&lt;&gt;"No"),Settings!$F$26="Yes",NOT(AND('Month-End'!$U$14&lt;&gt;"",NOT(_xlfn.ISFORMULA('Month-End'!$U$14))))),1,0)</f>
        <v/>
      </c>
      <c r="CU24">
        <f>IF(AND($E24&lt;&gt;"pre",AND(Settings!$A$27&lt;&gt;"",Settings!$E$27&lt;&gt;"No"),Settings!$F$27="Yes",NOT(AND('Month-End'!$U$15&lt;&gt;"",NOT(_xlfn.ISFORMULA('Month-End'!$U$15))))),1,0)</f>
        <v/>
      </c>
      <c r="CV24">
        <f>IF(AND($E24&lt;&gt;"pre",AND(Settings!$A$28&lt;&gt;"",Settings!$E$28&lt;&gt;"No"),Settings!$F$28="Yes",NOT(AND('Month-End'!$U$16&lt;&gt;"",NOT(_xlfn.ISFORMULA('Month-End'!$U$16))))),1,0)</f>
        <v/>
      </c>
      <c r="CW24">
        <f>IF(AND($E24&lt;&gt;"pre",AND(Settings!$A$29&lt;&gt;"",Settings!$E$29&lt;&gt;"No"),Settings!$F$29="Yes",NOT(AND('Month-End'!$U$17&lt;&gt;"",NOT(_xlfn.ISFORMULA('Month-End'!$U$17))))),1,0)</f>
        <v/>
      </c>
      <c r="CX24">
        <f>IF(AND($E24&lt;&gt;"pre",AND(Settings!$A$30&lt;&gt;"",Settings!$E$30&lt;&gt;"No"),Settings!$F$30="Yes",NOT(AND('Month-End'!$U$18&lt;&gt;"",NOT(_xlfn.ISFORMULA('Month-End'!$U$18))))),1,0)</f>
        <v/>
      </c>
      <c r="CY24">
        <f>IF(AND($E24&lt;&gt;"pre",AND(Settings!$A$31&lt;&gt;"",Settings!$E$31&lt;&gt;"No"),Settings!$F$31="Yes",NOT(AND('Month-End'!$U$19&lt;&gt;"",NOT(_xlfn.ISFORMULA('Month-End'!$U$19))))),1,0)</f>
        <v/>
      </c>
      <c r="CZ24">
        <f>IF(AND($E24&lt;&gt;"pre",AND(Settings!$A$32&lt;&gt;"",Settings!$E$32&lt;&gt;"No"),Settings!$F$32="Yes",NOT(AND('Month-End'!$U$20&lt;&gt;"",NOT(_xlfn.ISFORMULA('Month-End'!$U$20))))),1,0)</f>
        <v/>
      </c>
      <c r="DA24">
        <f>IF($DT24=1,IF(OR(Settings!$B$19="Checking",Settings!$B$19="Savings",Settings!$B$19="Cash"),N($AE24),IF(OR(Settings!$B$19="Card",Settings!$B$19="Loan"),-N($AE24),0))+IF(OR(Settings!$B$20="Checking",Settings!$B$20="Savings",Settings!$B$20="Cash"),N($AF24),IF(OR(Settings!$B$20="Card",Settings!$B$20="Loan"),-N($AF24),0))+IF(OR(Settings!$B$21="Checking",Settings!$B$21="Savings",Settings!$B$21="Cash"),N($AG24),IF(OR(Settings!$B$21="Card",Settings!$B$21="Loan"),-N($AG24),0))+IF(OR(Settings!$B$22="Checking",Settings!$B$22="Savings",Settings!$B$22="Cash"),N($AH24),IF(OR(Settings!$B$22="Card",Settings!$B$22="Loan"),-N($AH24),0))+IF(OR(Settings!$B$23="Checking",Settings!$B$23="Savings",Settings!$B$23="Cash"),N($AI24),IF(OR(Settings!$B$23="Card",Settings!$B$23="Loan"),-N($AI24),0))+IF(OR(Settings!$B$24="Checking",Settings!$B$24="Savings",Settings!$B$24="Cash"),N($AJ24),IF(OR(Settings!$B$24="Card",Settings!$B$24="Loan"),-N($AJ24),0))+IF(OR(Settings!$B$25="Checking",Settings!$B$25="Savings",Settings!$B$25="Cash"),N($AK24),IF(OR(Settings!$B$25="Card",Settings!$B$25="Loan"),-N($AK24),0))+IF(OR(Settings!$B$26="Checking",Settings!$B$26="Savings",Settings!$B$26="Cash"),N($AL24),IF(OR(Settings!$B$26="Card",Settings!$B$26="Loan"),-N($AL24),0))+IF(OR(Settings!$B$27="Checking",Settings!$B$27="Savings",Settings!$B$27="Cash"),N($AM24),IF(OR(Settings!$B$27="Card",Settings!$B$27="Loan"),-N($AM24),0))+IF(OR(Settings!$B$28="Checking",Settings!$B$28="Savings",Settings!$B$28="Cash"),N($AN24),IF(OR(Settings!$B$28="Card",Settings!$B$28="Loan"),-N($AN24),0))+IF(OR(Settings!$B$29="Checking",Settings!$B$29="Savings",Settings!$B$29="Cash"),N($AO24),IF(OR(Settings!$B$29="Card",Settings!$B$29="Loan"),-N($AO24),0))+IF(OR(Settings!$B$30="Checking",Settings!$B$30="Savings",Settings!$B$30="Cash"),N($AP24),IF(OR(Settings!$B$30="Card",Settings!$B$30="Loan"),-N($AP24),0))+IF(OR(Settings!$B$31="Checking",Settings!$B$31="Savings",Settings!$B$31="Cash"),N($AQ24),IF(OR(Settings!$B$31="Card",Settings!$B$31="Loan"),-N($AQ24),0))+IF(OR(Settings!$B$32="Checking",Settings!$B$32="Savings",Settings!$B$32="Cash"),N($AR24),IF(OR(Settings!$B$32="Card",Settings!$B$32="Loan"),-N($AR24),0)),"")</f>
        <v/>
      </c>
      <c r="DB24">
        <f>IF($E24="open",$EB$27,IF($E24="post",IF($E23="pre",$EB$27,$DA23),""))</f>
        <v/>
      </c>
      <c r="DC24">
        <f>IF($E24="open",1,IF($E24="post",IF($E23="pre",1,$DT23),0))</f>
        <v/>
      </c>
      <c r="DD24">
        <f>IF(AND($DT24=1,$DC24=1),ROUND($W24-($DA24-$DB24)-$AD24-$AB24,2),"")</f>
        <v/>
      </c>
      <c r="DE24">
        <f>IF('Month-End'!$U$35="",$BQ24,N('Month-End'!$U$35))</f>
        <v/>
      </c>
      <c r="DF24">
        <f>N('Month-End'!$U$36)</f>
        <v/>
      </c>
      <c r="DG24">
        <f>IF($DD24="","",$DD24+$DE24)</f>
        <v/>
      </c>
      <c r="DH24">
        <f>IF($DG24="","",$DG24-$DF24)</f>
        <v/>
      </c>
      <c r="DI24">
        <f>IF(OR($E24="pre",$D24=1),"",N($AS24)+N($AT24)+N($AU24)+N($AV24)+N($AW24)+N($AX24))</f>
        <v/>
      </c>
      <c r="DJ24">
        <f>IF($DT24=1,$DA24+N($DI24),"")</f>
        <v/>
      </c>
      <c r="DK24">
        <f>IF($DD24="","",$W24-$DD24-$AB24)</f>
        <v/>
      </c>
      <c r="DL24">
        <f>IF(AND($E24="post",$DD24&lt;&gt;"",$B24&lt;TODAY()),1,0)</f>
        <v/>
      </c>
      <c r="DM24">
        <f>IF($DL24=1,COUNTIF($DL24:$DL$183,1),0)</f>
        <v/>
      </c>
      <c r="DN24">
        <f>IF($D24=1,"",IF($E24="pre","History only",IF($DT24=1,IF($DD24="","⚠ Previous month missing",IF($DD24&lt;0,"⚠ Check: spending &lt; 0",IF($E24="open","✓ Done (partial)","✓ Done"))),IF($B24&gt;=TODAY(),"In progress","⚠ Needs balances"))))</f>
        <v/>
      </c>
      <c r="DO24">
        <f>YEAR($A24)</f>
        <v/>
      </c>
      <c r="DP24">
        <f>DATE(YEAR($A24),INT((MONTH($A24)-1)/3)*3+1,1)</f>
        <v/>
      </c>
      <c r="DQ24">
        <f>IF(AND($DT24=1,$DD24&lt;&gt;"",$D24=0),ROW(),0)</f>
        <v/>
      </c>
      <c r="DR24">
        <f>IF(AND($E24&lt;&gt;"pre",$B24&lt;TODAY(),$DT24=0),1,0)</f>
        <v/>
      </c>
      <c r="DS24">
        <f>IF($DJ24="",NA(),$DJ24)</f>
        <v/>
      </c>
      <c r="DT24">
        <f>IF(AND($E24&lt;&gt;"pre",$CL24=0,COUNTIFS(Settings!$F$19:$F$32,"Yes",Settings!$A$19:$A$32,"&lt;&gt;",Settings!$E$19:$E$32,"&lt;&gt;No")&gt;0),1,0)</f>
        <v/>
      </c>
      <c r="DU24">
        <f>IF(AND($B24&lt;TODAY(),$S24&gt;0),1,0)</f>
        <v/>
      </c>
      <c r="DV24">
        <f>IF($DU24=1,COUNTIF($DU24:$DU$183,1),0)</f>
        <v/>
      </c>
      <c r="DW24">
        <f>IF(AND(OR(Settings!$B$19="Card",Settings!$B$19="Loan"),AND('Month-End'!$U$7&lt;&gt;"",NOT(_xlfn.ISFORMULA('Month-End'!$U$7)))),IF(N('Month-End'!$U$7)&lt;0,1,0),0)+IF(AND(OR(Settings!$B$20="Card",Settings!$B$20="Loan"),AND('Month-End'!$U$8&lt;&gt;"",NOT(_xlfn.ISFORMULA('Month-End'!$U$8)))),IF(N('Month-End'!$U$8)&lt;0,1,0),0)+IF(AND(OR(Settings!$B$21="Card",Settings!$B$21="Loan"),AND('Month-End'!$U$9&lt;&gt;"",NOT(_xlfn.ISFORMULA('Month-End'!$U$9)))),IF(N('Month-End'!$U$9)&lt;0,1,0),0)+IF(AND(OR(Settings!$B$22="Card",Settings!$B$22="Loan"),AND('Month-End'!$U$10&lt;&gt;"",NOT(_xlfn.ISFORMULA('Month-End'!$U$10)))),IF(N('Month-End'!$U$10)&lt;0,1,0),0)+IF(AND(OR(Settings!$B$23="Card",Settings!$B$23="Loan"),AND('Month-End'!$U$11&lt;&gt;"",NOT(_xlfn.ISFORMULA('Month-End'!$U$11)))),IF(N('Month-End'!$U$11)&lt;0,1,0),0)+IF(AND(OR(Settings!$B$24="Card",Settings!$B$24="Loan"),AND('Month-End'!$U$12&lt;&gt;"",NOT(_xlfn.ISFORMULA('Month-End'!$U$12)))),IF(N('Month-End'!$U$12)&lt;0,1,0),0)+IF(AND(OR(Settings!$B$25="Card",Settings!$B$25="Loan"),AND('Month-End'!$U$13&lt;&gt;"",NOT(_xlfn.ISFORMULA('Month-End'!$U$13)))),IF(N('Month-End'!$U$13)&lt;0,1,0),0)+IF(AND(OR(Settings!$B$26="Card",Settings!$B$26="Loan"),AND('Month-End'!$U$14&lt;&gt;"",NOT(_xlfn.ISFORMULA('Month-End'!$U$14)))),IF(N('Month-End'!$U$14)&lt;0,1,0),0)+IF(AND(OR(Settings!$B$27="Card",Settings!$B$27="Loan"),AND('Month-End'!$U$15&lt;&gt;"",NOT(_xlfn.ISFORMULA('Month-End'!$U$15)))),IF(N('Month-End'!$U$15)&lt;0,1,0),0)+IF(AND(OR(Settings!$B$28="Card",Settings!$B$28="Loan"),AND('Month-End'!$U$16&lt;&gt;"",NOT(_xlfn.ISFORMULA('Month-End'!$U$16)))),IF(N('Month-End'!$U$16)&lt;0,1,0),0)+IF(AND(OR(Settings!$B$29="Card",Settings!$B$29="Loan"),AND('Month-End'!$U$17&lt;&gt;"",NOT(_xlfn.ISFORMULA('Month-End'!$U$17)))),IF(N('Month-End'!$U$17)&lt;0,1,0),0)+IF(AND(OR(Settings!$B$30="Card",Settings!$B$30="Loan"),AND('Month-End'!$U$18&lt;&gt;"",NOT(_xlfn.ISFORMULA('Month-End'!$U$18)))),IF(N('Month-End'!$U$18)&lt;0,1,0),0)+IF(AND(OR(Settings!$B$31="Card",Settings!$B$31="Loan"),AND('Month-End'!$U$19&lt;&gt;"",NOT(_xlfn.ISFORMULA('Month-End'!$U$19)))),IF(N('Month-End'!$U$19)&lt;0,1,0),0)+IF(AND(OR(Settings!$B$32="Card",Settings!$B$32="Loan"),AND('Month-End'!$U$20&lt;&gt;"",NOT(_xlfn.ISFORMULA('Month-End'!$U$20)))),IF(N('Month-End'!$U$20)&lt;0,1,0),0)</f>
        <v/>
      </c>
      <c r="DX24">
        <f>IF(Settings!$B$36="Retirement",$AY24,0)+IF(Settings!$B$37="Retirement",$AZ24,0)+IF(Settings!$B$38="Retirement",$BA24,0)+IF(Settings!$B$39="Retirement",$BB24,0)+IF(Settings!$B$40="Retirement",$BC24,0)+IF(Settings!$B$41="Retirement",$BD24,0)</f>
        <v/>
      </c>
      <c r="EA24" t="inlineStr">
        <is>
          <t>Tithe Balance Now</t>
        </is>
      </c>
      <c r="EB24">
        <f>IFERROR(INDEX(History!$F$25:$F$84,MATCH(DATE(YEAR(TODAY()),INT((MONTH(TODAY())-1)/3)*3+1,1),History!$B$25:$B$84,0)),0)</f>
        <v/>
      </c>
      <c r="ET24">
        <f>IF($E24&lt;&gt;"open",0,IF(AND('Month-End'!$U$22&lt;&gt;"",NOT(_xlfn.ISFORMULA('Month-End'!$U$22))),0,IF(OR(Settings!$C$45="",Settings!$D$45=""),0,Settings!$C$45*IF(Settings!$D$45="Weekly",IF(IFERROR(MATCH(Settings!$E$45,$EO$4:$EO$10,0),0)=0,0,IF(MIN(Settings!$B$5,IF(Settings!$G$45="",Settings!$B$5,Settings!$G$45))&lt;MAX($A24,Settings!$F$45),0,INT((MIN(Settings!$B$5,IF(Settings!$G$45="",Settings!$B$5,Settings!$G$45))-MAX($A24,Settings!$F$45)-MOD(IFERROR(MATCH(Settings!$E$45,$EO$4:$EO$10,0),0)-WEEKDAY(MAX($A24,Settings!$F$45)),7))/7)+1)),IF(AND(IF(Settings!$E$45="",$B24,DATE(YEAR($A24),MONTH($A24),MIN(Settings!$E$45,DAY($B24))))&gt;=MAX($A24,Settings!$F$45),IF(Settings!$E$45="",$B24,DATE(YEAR($A24),MONTH($A24),MIN(Settings!$E$45,DAY($B24))))&lt;=MIN(Settings!$B$5,IF(Settings!$G$45="",Settings!$B$5,Settings!$G$45))),1,0)))))</f>
        <v/>
      </c>
      <c r="EU24">
        <f>IF($E24&lt;&gt;"open",0,IF(AND('Month-End'!$U$23&lt;&gt;"",NOT(_xlfn.ISFORMULA('Month-End'!$U$23))),0,IF(OR(Settings!$C$46="",Settings!$D$46=""),0,Settings!$C$46*IF(Settings!$D$46="Weekly",IF(IFERROR(MATCH(Settings!$E$46,$EO$4:$EO$10,0),0)=0,0,IF(MIN(Settings!$B$5,IF(Settings!$G$46="",Settings!$B$5,Settings!$G$46))&lt;MAX($A24,Settings!$F$46),0,INT((MIN(Settings!$B$5,IF(Settings!$G$46="",Settings!$B$5,Settings!$G$46))-MAX($A24,Settings!$F$46)-MOD(IFERROR(MATCH(Settings!$E$46,$EO$4:$EO$10,0),0)-WEEKDAY(MAX($A24,Settings!$F$46)),7))/7)+1)),IF(AND(IF(Settings!$E$46="",$B24,DATE(YEAR($A24),MONTH($A24),MIN(Settings!$E$46,DAY($B24))))&gt;=MAX($A24,Settings!$F$46),IF(Settings!$E$46="",$B24,DATE(YEAR($A24),MONTH($A24),MIN(Settings!$E$46,DAY($B24))))&lt;=MIN(Settings!$B$5,IF(Settings!$G$46="",Settings!$B$5,Settings!$G$46))),1,0)))))</f>
        <v/>
      </c>
      <c r="EV24">
        <f>IF($E24&lt;&gt;"open",0,IF(AND('Month-End'!$U$24&lt;&gt;"",NOT(_xlfn.ISFORMULA('Month-End'!$U$24))),0,IF(OR(Settings!$C$47="",Settings!$D$47=""),0,Settings!$C$47*IF(Settings!$D$47="Weekly",IF(IFERROR(MATCH(Settings!$E$47,$EO$4:$EO$10,0),0)=0,0,IF(MIN(Settings!$B$5,IF(Settings!$G$47="",Settings!$B$5,Settings!$G$47))&lt;MAX($A24,Settings!$F$47),0,INT((MIN(Settings!$B$5,IF(Settings!$G$47="",Settings!$B$5,Settings!$G$47))-MAX($A24,Settings!$F$47)-MOD(IFERROR(MATCH(Settings!$E$47,$EO$4:$EO$10,0),0)-WEEKDAY(MAX($A24,Settings!$F$47)),7))/7)+1)),IF(AND(IF(Settings!$E$47="",$B24,DATE(YEAR($A24),MONTH($A24),MIN(Settings!$E$47,DAY($B24))))&gt;=MAX($A24,Settings!$F$47),IF(Settings!$E$47="",$B24,DATE(YEAR($A24),MONTH($A24),MIN(Settings!$E$47,DAY($B24))))&lt;=MIN(Settings!$B$5,IF(Settings!$G$47="",Settings!$B$5,Settings!$G$47))),1,0)))))</f>
        <v/>
      </c>
      <c r="EW24">
        <f>IF($E24&lt;&gt;"open",0,IF(AND('Month-End'!$U$25&lt;&gt;"",NOT(_xlfn.ISFORMULA('Month-End'!$U$25))),0,IF(OR(Settings!$C$48="",Settings!$D$48=""),0,Settings!$C$48*IF(Settings!$D$48="Weekly",IF(IFERROR(MATCH(Settings!$E$48,$EO$4:$EO$10,0),0)=0,0,IF(MIN(Settings!$B$5,IF(Settings!$G$48="",Settings!$B$5,Settings!$G$48))&lt;MAX($A24,Settings!$F$48),0,INT((MIN(Settings!$B$5,IF(Settings!$G$48="",Settings!$B$5,Settings!$G$48))-MAX($A24,Settings!$F$48)-MOD(IFERROR(MATCH(Settings!$E$48,$EO$4:$EO$10,0),0)-WEEKDAY(MAX($A24,Settings!$F$48)),7))/7)+1)),IF(AND(IF(Settings!$E$48="",$B24,DATE(YEAR($A24),MONTH($A24),MIN(Settings!$E$48,DAY($B24))))&gt;=MAX($A24,Settings!$F$48),IF(Settings!$E$48="",$B24,DATE(YEAR($A24),MONTH($A24),MIN(Settings!$E$48,DAY($B24))))&lt;=MIN(Settings!$B$5,IF(Settings!$G$48="",Settings!$B$5,Settings!$G$48))),1,0)))))</f>
        <v/>
      </c>
      <c r="EX24">
        <f>IF($E24&lt;&gt;"open",0,IF(AND('Month-End'!$U$26&lt;&gt;"",NOT(_xlfn.ISFORMULA('Month-End'!$U$26))),0,IF(OR(Settings!$C$49="",Settings!$D$49=""),0,Settings!$C$49*IF(Settings!$D$49="Weekly",IF(IFERROR(MATCH(Settings!$E$49,$EO$4:$EO$10,0),0)=0,0,IF(MIN(Settings!$B$5,IF(Settings!$G$49="",Settings!$B$5,Settings!$G$49))&lt;MAX($A24,Settings!$F$49),0,INT((MIN(Settings!$B$5,IF(Settings!$G$49="",Settings!$B$5,Settings!$G$49))-MAX($A24,Settings!$F$49)-MOD(IFERROR(MATCH(Settings!$E$49,$EO$4:$EO$10,0),0)-WEEKDAY(MAX($A24,Settings!$F$49)),7))/7)+1)),IF(AND(IF(Settings!$E$49="",$B24,DATE(YEAR($A24),MONTH($A24),MIN(Settings!$E$49,DAY($B24))))&gt;=MAX($A24,Settings!$F$49),IF(Settings!$E$49="",$B24,DATE(YEAR($A24),MONTH($A24),MIN(Settings!$E$49,DAY($B24))))&lt;=MIN(Settings!$B$5,IF(Settings!$G$49="",Settings!$B$5,Settings!$G$49))),1,0)))))</f>
        <v/>
      </c>
      <c r="EY24">
        <f>IF($E24&lt;&gt;"open",0,IF(AND('Month-End'!$U$27&lt;&gt;"",NOT(_xlfn.ISFORMULA('Month-End'!$U$27))),0,IF(OR(Settings!$C$50="",Settings!$D$50=""),0,Settings!$C$50*IF(Settings!$D$50="Weekly",IF(IFERROR(MATCH(Settings!$E$50,$EO$4:$EO$10,0),0)=0,0,IF(MIN(Settings!$B$5,IF(Settings!$G$50="",Settings!$B$5,Settings!$G$50))&lt;MAX($A24,Settings!$F$50),0,INT((MIN(Settings!$B$5,IF(Settings!$G$50="",Settings!$B$5,Settings!$G$50))-MAX($A24,Settings!$F$50)-MOD(IFERROR(MATCH(Settings!$E$50,$EO$4:$EO$10,0),0)-WEEKDAY(MAX($A24,Settings!$F$50)),7))/7)+1)),IF(AND(IF(Settings!$E$50="",$B24,DATE(YEAR($A24),MONTH($A24),MIN(Settings!$E$50,DAY($B24))))&gt;=MAX($A24,Settings!$F$50),IF(Settings!$E$50="",$B24,DATE(YEAR($A24),MONTH($A24),MIN(Settings!$E$50,DAY($B24))))&lt;=MIN(Settings!$B$5,IF(Settings!$G$50="",Settings!$B$5,Settings!$G$50))),1,0)))))</f>
        <v/>
      </c>
      <c r="EZ24">
        <f>IF($E24&lt;&gt;"open",0,IF(AND('Month-End'!$U$28&lt;&gt;"",NOT(_xlfn.ISFORMULA('Month-End'!$U$28))),0,IF(OR(Settings!$C$51="",Settings!$D$51=""),0,Settings!$C$51*IF(Settings!$D$51="Weekly",IF(IFERROR(MATCH(Settings!$E$51,$EO$4:$EO$10,0),0)=0,0,IF(MIN(Settings!$B$5,IF(Settings!$G$51="",Settings!$B$5,Settings!$G$51))&lt;MAX($A24,Settings!$F$51),0,INT((MIN(Settings!$B$5,IF(Settings!$G$51="",Settings!$B$5,Settings!$G$51))-MAX($A24,Settings!$F$51)-MOD(IFERROR(MATCH(Settings!$E$51,$EO$4:$EO$10,0),0)-WEEKDAY(MAX($A24,Settings!$F$51)),7))/7)+1)),IF(AND(IF(Settings!$E$51="",$B24,DATE(YEAR($A24),MONTH($A24),MIN(Settings!$E$51,DAY($B24))))&gt;=MAX($A24,Settings!$F$51),IF(Settings!$E$51="",$B24,DATE(YEAR($A24),MONTH($A24),MIN(Settings!$E$51,DAY($B24))))&lt;=MIN(Settings!$B$5,IF(Settings!$G$51="",Settings!$B$5,Settings!$G$51))),1,0)))))</f>
        <v/>
      </c>
      <c r="FA24">
        <f>IF($E24&lt;&gt;"open",0,IF(AND('Month-End'!$U$29&lt;&gt;"",NOT(_xlfn.ISFORMULA('Month-End'!$U$29))),0,IF(OR(Settings!$C$52="",Settings!$D$52=""),0,Settings!$C$52*IF(Settings!$D$52="Weekly",IF(IFERROR(MATCH(Settings!$E$52,$EO$4:$EO$10,0),0)=0,0,IF(MIN(Settings!$B$5,IF(Settings!$G$52="",Settings!$B$5,Settings!$G$52))&lt;MAX($A24,Settings!$F$52),0,INT((MIN(Settings!$B$5,IF(Settings!$G$52="",Settings!$B$5,Settings!$G$52))-MAX($A24,Settings!$F$52)-MOD(IFERROR(MATCH(Settings!$E$52,$EO$4:$EO$10,0),0)-WEEKDAY(MAX($A24,Settings!$F$52)),7))/7)+1)),IF(AND(IF(Settings!$E$52="",$B24,DATE(YEAR($A24),MONTH($A24),MIN(Settings!$E$52,DAY($B24))))&gt;=MAX($A24,Settings!$F$52),IF(Settings!$E$52="",$B24,DATE(YEAR($A24),MONTH($A24),MIN(Settings!$E$52,DAY($B24))))&lt;=MIN(Settings!$B$5,IF(Settings!$G$52="",Settings!$B$5,Settings!$G$52))),1,0)))))</f>
        <v/>
      </c>
      <c r="FB24">
        <f>IF($E24&lt;&gt;"open",0,IF(AND('Month-End'!$U$30&lt;&gt;"",NOT(_xlfn.ISFORMULA('Month-End'!$U$30))),0,IF(OR(Settings!$C$53="",Settings!$D$53=""),0,Settings!$C$53*IF(Settings!$D$53="Weekly",IF(IFERROR(MATCH(Settings!$E$53,$EO$4:$EO$10,0),0)=0,0,IF(MIN(Settings!$B$5,IF(Settings!$G$53="",Settings!$B$5,Settings!$G$53))&lt;MAX($A24,Settings!$F$53),0,INT((MIN(Settings!$B$5,IF(Settings!$G$53="",Settings!$B$5,Settings!$G$53))-MAX($A24,Settings!$F$53)-MOD(IFERROR(MATCH(Settings!$E$53,$EO$4:$EO$10,0),0)-WEEKDAY(MAX($A24,Settings!$F$53)),7))/7)+1)),IF(AND(IF(Settings!$E$53="",$B24,DATE(YEAR($A24),MONTH($A24),MIN(Settings!$E$53,DAY($B24))))&gt;=MAX($A24,Settings!$F$53),IF(Settings!$E$53="",$B24,DATE(YEAR($A24),MONTH($A24),MIN(Settings!$E$53,DAY($B24))))&lt;=MIN(Settings!$B$5,IF(Settings!$G$53="",Settings!$B$5,Settings!$G$53))),1,0)))))</f>
        <v/>
      </c>
      <c r="FC24">
        <f>IF($E24&lt;&gt;"open",0,IF(AND('Month-End'!$U$31&lt;&gt;"",NOT(_xlfn.ISFORMULA('Month-End'!$U$31))),0,IF(OR(Settings!$C$54="",Settings!$D$54=""),0,Settings!$C$54*IF(Settings!$D$54="Weekly",IF(IFERROR(MATCH(Settings!$E$54,$EO$4:$EO$10,0),0)=0,0,IF(MIN(Settings!$B$5,IF(Settings!$G$54="",Settings!$B$5,Settings!$G$54))&lt;MAX($A24,Settings!$F$54),0,INT((MIN(Settings!$B$5,IF(Settings!$G$54="",Settings!$B$5,Settings!$G$54))-MAX($A24,Settings!$F$54)-MOD(IFERROR(MATCH(Settings!$E$54,$EO$4:$EO$10,0),0)-WEEKDAY(MAX($A24,Settings!$F$54)),7))/7)+1)),IF(AND(IF(Settings!$E$54="",$B24,DATE(YEAR($A24),MONTH($A24),MIN(Settings!$E$54,DAY($B24))))&gt;=MAX($A24,Settings!$F$54),IF(Settings!$E$54="",$B24,DATE(YEAR($A24),MONTH($A24),MIN(Settings!$E$54,DAY($B24))))&lt;=MIN(Settings!$B$5,IF(Settings!$G$54="",Settings!$B$5,Settings!$G$54))),1,0)))))</f>
        <v/>
      </c>
      <c r="FD24">
        <f>IF($E24&lt;&gt;"open",0,IF(AND('Month-End'!$U$32&lt;&gt;"",NOT(_xlfn.ISFORMULA('Month-End'!$U$32))),0,IF(OR(Settings!$C$55="",Settings!$D$55=""),0,Settings!$C$55*IF(Settings!$D$55="Weekly",IF(IFERROR(MATCH(Settings!$E$55,$EO$4:$EO$10,0),0)=0,0,IF(MIN(Settings!$B$5,IF(Settings!$G$55="",Settings!$B$5,Settings!$G$55))&lt;MAX($A24,Settings!$F$55),0,INT((MIN(Settings!$B$5,IF(Settings!$G$55="",Settings!$B$5,Settings!$G$55))-MAX($A24,Settings!$F$55)-MOD(IFERROR(MATCH(Settings!$E$55,$EO$4:$EO$10,0),0)-WEEKDAY(MAX($A24,Settings!$F$55)),7))/7)+1)),IF(AND(IF(Settings!$E$55="",$B24,DATE(YEAR($A24),MONTH($A24),MIN(Settings!$E$55,DAY($B24))))&gt;=MAX($A24,Settings!$F$55),IF(Settings!$E$55="",$B24,DATE(YEAR($A24),MONTH($A24),MIN(Settings!$E$55,DAY($B24))))&lt;=MIN(Settings!$B$5,IF(Settings!$G$55="",Settings!$B$5,Settings!$G$55))),1,0)))))</f>
        <v/>
      </c>
      <c r="FE24">
        <f>IF($E24&lt;&gt;"open",0,IF(AND('Month-End'!$U$33&lt;&gt;"",NOT(_xlfn.ISFORMULA('Month-End'!$U$33))),0,IF(OR(Settings!$C$56="",Settings!$D$56=""),0,Settings!$C$56*IF(Settings!$D$56="Weekly",IF(IFERROR(MATCH(Settings!$E$56,$EO$4:$EO$10,0),0)=0,0,IF(MIN(Settings!$B$5,IF(Settings!$G$56="",Settings!$B$5,Settings!$G$56))&lt;MAX($A24,Settings!$F$56),0,INT((MIN(Settings!$B$5,IF(Settings!$G$56="",Settings!$B$5,Settings!$G$56))-MAX($A24,Settings!$F$56)-MOD(IFERROR(MATCH(Settings!$E$56,$EO$4:$EO$10,0),0)-WEEKDAY(MAX($A24,Settings!$F$56)),7))/7)+1)),IF(AND(IF(Settings!$E$56="",$B24,DATE(YEAR($A24),MONTH($A24),MIN(Settings!$E$56,DAY($B24))))&gt;=MAX($A24,Settings!$F$56),IF(Settings!$E$56="",$B24,DATE(YEAR($A24),MONTH($A24),MIN(Settings!$E$56,DAY($B24))))&lt;=MIN(Settings!$B$5,IF(Settings!$G$56="",Settings!$B$5,Settings!$G$56))),1,0)))))</f>
        <v/>
      </c>
      <c r="FF24">
        <f>IF(Settings!$I$45="Yes",$G24,0)+IF(Settings!$I$46="Yes",$H24,0)+IF(Settings!$I$47="Yes",$I24,0)+IF(Settings!$I$48="Yes",$J24,0)+IF(Settings!$I$49="Yes",$K24,0)+IF(Settings!$I$50="Yes",$L24,0)+IF(Settings!$I$51="Yes",$M24,0)+IF(Settings!$I$52="Yes",$N24,0)+IF(Settings!$I$53="Yes",$O24,0)+IF(Settings!$I$54="Yes",$P24,0)+IF(Settings!$I$55="Yes",$Q24,0)+IF(Settings!$I$56="Yes",$R24,0)</f>
        <v/>
      </c>
      <c r="FG24">
        <f>IF(AND(Settings!$I$45="Yes",Settings!$J$45="No"),$G24,0)+IF(AND(Settings!$I$46="Yes",Settings!$J$46="No"),$H24,0)+IF(AND(Settings!$I$47="Yes",Settings!$J$47="No"),$I24,0)+IF(AND(Settings!$I$48="Yes",Settings!$J$48="No"),$J24,0)+IF(AND(Settings!$I$49="Yes",Settings!$J$49="No"),$K24,0)+IF(AND(Settings!$I$50="Yes",Settings!$J$50="No"),$L24,0)+IF(AND(Settings!$I$51="Yes",Settings!$J$51="No"),$M24,0)+IF(AND(Settings!$I$52="Yes",Settings!$J$52="No"),$N24,0)+IF(AND(Settings!$I$53="Yes",Settings!$J$53="No"),$O24,0)+IF(AND(Settings!$I$54="Yes",Settings!$J$54="No"),$P24,0)+IF(AND(Settings!$I$55="Yes",Settings!$J$55="No"),$Q24,0)+IF(AND(Settings!$I$56="Yes",Settings!$J$56="No"),$R24,0)</f>
        <v/>
      </c>
      <c r="FH24">
        <f>SUMIFS(Giving!$B$7:$B$2006,Giving!$A$7:$A$2006,"&gt;="&amp;$A24,Giving!$A$7:$A$2006,"&lt;="&amp;$B24,Giving!$G$7:$G$2006,"Yes")+IF(OR(OR(Settings!$B$60="",Settings!$F$60="No"),Settings!$H$60&lt;&gt;"Yes"),0,Settings!$B$60*IF(AND(IF(Settings!$C$60="",$B24,DATE(YEAR($A24),MONTH($A24),MIN(Settings!$C$60,DAY($B24))))&gt;=MAX($A24,Settings!$D$60),IF(Settings!$C$60="",$B24,DATE(YEAR($A24),MONTH($A24),MIN(Settings!$C$60,DAY($B24))))&lt;=MIN($C24,IF(Settings!$E$60="",$C24,Settings!$E$60))),1,0))+IF(OR(OR(Settings!$B$61="",Settings!$F$61="No"),Settings!$H$61&lt;&gt;"Yes"),0,Settings!$B$61*IF(AND(IF(Settings!$C$61="",$B24,DATE(YEAR($A24),MONTH($A24),MIN(Settings!$C$61,DAY($B24))))&gt;=MAX($A24,Settings!$D$61),IF(Settings!$C$61="",$B24,DATE(YEAR($A24),MONTH($A24),MIN(Settings!$C$61,DAY($B24))))&lt;=MIN($C24,IF(Settings!$E$61="",$C24,Settings!$E$61))),1,0))+IF(OR(OR(Settings!$B$62="",Settings!$F$62="No"),Settings!$H$62&lt;&gt;"Yes"),0,Settings!$B$62*IF(AND(IF(Settings!$C$62="",$B24,DATE(YEAR($A24),MONTH($A24),MIN(Settings!$C$62,DAY($B24))))&gt;=MAX($A24,Settings!$D$62),IF(Settings!$C$62="",$B24,DATE(YEAR($A24),MONTH($A24),MIN(Settings!$C$62,DAY($B24))))&lt;=MIN($C24,IF(Settings!$E$62="",$C24,Settings!$E$62))),1,0))+IF(OR(OR(Settings!$B$63="",Settings!$F$63="No"),Settings!$H$63&lt;&gt;"Yes"),0,Settings!$B$63*IF(AND(IF(Settings!$C$63="",$B24,DATE(YEAR($A24),MONTH($A24),MIN(Settings!$C$63,DAY($B24))))&gt;=MAX($A24,Settings!$D$63),IF(Settings!$C$63="",$B24,DATE(YEAR($A24),MONTH($A24),MIN(Settings!$C$63,DAY($B24))))&lt;=MIN($C24,IF(Settings!$E$63="",$C24,Settings!$E$63))),1,0))+IF(OR(OR(Settings!$B$64="",Settings!$F$64="No"),Settings!$H$64&lt;&gt;"Yes"),0,Settings!$B$64*IF(AND(IF(Settings!$C$64="",$B24,DATE(YEAR($A24),MONTH($A24),MIN(Settings!$C$64,DAY($B24))))&gt;=MAX($A24,Settings!$D$64),IF(Settings!$C$64="",$B24,DATE(YEAR($A24),MONTH($A24),MIN(Settings!$C$64,DAY($B24))))&lt;=MIN($C24,IF(Settings!$E$64="",$C24,Settings!$E$64))),1,0))+IF(OR(OR(Settings!$B$65="",Settings!$F$65="No"),Settings!$H$65&lt;&gt;"Yes"),0,Settings!$B$65*IF(AND(IF(Settings!$C$65="",$B24,DATE(YEAR($A24),MONTH($A24),MIN(Settings!$C$65,DAY($B24))))&gt;=MAX($A24,Settings!$D$65),IF(Settings!$C$65="",$B24,DATE(YEAR($A24),MONTH($A24),MIN(Settings!$C$65,DAY($B24))))&lt;=MIN($C24,IF(Settings!$E$65="",$C24,Settings!$E$65))),1,0))</f>
        <v/>
      </c>
      <c r="FI24">
        <f>IF($DT24=1,IF(OR(Settings!$B$19="Card",Settings!$B$19="Loan"),N($AE24),0)+IF(OR(Settings!$B$20="Card",Settings!$B$20="Loan"),N($AF24),0)+IF(OR(Settings!$B$21="Card",Settings!$B$21="Loan"),N($AG24),0)+IF(OR(Settings!$B$22="Card",Settings!$B$22="Loan"),N($AH24),0)+IF(OR(Settings!$B$23="Card",Settings!$B$23="Loan"),N($AI24),0)+IF(OR(Settings!$B$24="Card",Settings!$B$24="Loan"),N($AJ24),0)+IF(OR(Settings!$B$25="Card",Settings!$B$25="Loan"),N($AK24),0)+IF(OR(Settings!$B$26="Card",Settings!$B$26="Loan"),N($AL24),0)+IF(OR(Settings!$B$27="Card",Settings!$B$27="Loan"),N($AM24),0)+IF(OR(Settings!$B$28="Card",Settings!$B$28="Loan"),N($AN24),0)+IF(OR(Settings!$B$29="Card",Settings!$B$29="Loan"),N($AO24),0)+IF(OR(Settings!$B$30="Card",Settings!$B$30="Loan"),N($AP24),0)+IF(OR(Settings!$B$31="Card",Settings!$B$31="Loan"),N($AQ24),0)+IF(OR(Settings!$B$32="Card",Settings!$B$32="Loan"),N($AR24),0),"")</f>
        <v/>
      </c>
      <c r="FJ24">
        <f>IF($E24="open",$EB$65,IF($E24="post",IF($E23="pre",$EB$65,$FI23),""))</f>
        <v/>
      </c>
      <c r="FK24">
        <f>IF(AND($DT24=1,$DC24=1),IF(ROUND($FI24-$FJ24,2)&gt;0,1,0),0)</f>
        <v/>
      </c>
      <c r="FL24">
        <f>IF($FK24=1,$FL23+1,0)</f>
        <v/>
      </c>
    </row>
    <row r="25">
      <c r="A25">
        <f>'Month-End'!$V$4</f>
        <v/>
      </c>
      <c r="B25">
        <f>EOMONTH($A25,0)</f>
        <v/>
      </c>
      <c r="C25">
        <f>MIN($B25,TODAY())</f>
        <v/>
      </c>
      <c r="D25">
        <f>IF($A25&gt;TODAY(),1,0)</f>
        <v/>
      </c>
      <c r="E25">
        <f>IF($B25&lt;=Settings!$B$5,"pre",IF($A25&lt;=Settings!$B$5,"open","post"))</f>
        <v/>
      </c>
      <c r="G25">
        <f>IF('Month-End'!$V$22="",$BE25,N('Month-End'!$V$22))</f>
        <v/>
      </c>
      <c r="H25">
        <f>IF('Month-End'!$V$23="",$BF25,N('Month-End'!$V$23))</f>
        <v/>
      </c>
      <c r="I25">
        <f>IF('Month-End'!$V$24="",$BG25,N('Month-End'!$V$24))</f>
        <v/>
      </c>
      <c r="J25">
        <f>IF('Month-End'!$V$25="",$BH25,N('Month-End'!$V$25))</f>
        <v/>
      </c>
      <c r="K25">
        <f>IF('Month-End'!$V$26="",$BI25,N('Month-End'!$V$26))</f>
        <v/>
      </c>
      <c r="L25">
        <f>IF('Month-End'!$V$27="",$BJ25,N('Month-End'!$V$27))</f>
        <v/>
      </c>
      <c r="M25">
        <f>IF('Month-End'!$V$28="",$BK25,N('Month-End'!$V$28))</f>
        <v/>
      </c>
      <c r="N25">
        <f>IF('Month-End'!$V$29="",$BL25,N('Month-End'!$V$29))</f>
        <v/>
      </c>
      <c r="O25">
        <f>IF('Month-End'!$V$30="",$BM25,N('Month-End'!$V$30))</f>
        <v/>
      </c>
      <c r="P25">
        <f>IF('Month-End'!$V$31="",$BN25,N('Month-End'!$V$31))</f>
        <v/>
      </c>
      <c r="Q25">
        <f>IF('Month-End'!$V$32="",$BO25,N('Month-End'!$V$32))</f>
        <v/>
      </c>
      <c r="R25">
        <f>IF('Month-End'!$V$33="",$BP25,N('Month-End'!$V$33))</f>
        <v/>
      </c>
      <c r="S25">
        <f>$G25+$H25+$I25+$J25+$K25+$L25+$M25+$N25+$O25+$P25+$Q25+$R25</f>
        <v/>
      </c>
      <c r="T25">
        <f>IF($B25&lt;Settings!$B$6,0,IF(Settings!$B$45="Yes",$G25,0)+IF(Settings!$B$46="Yes",$H25,0)+IF(Settings!$B$47="Yes",$I25,0)+IF(Settings!$B$48="Yes",$J25,0)+IF(Settings!$B$49="Yes",$K25,0)+IF(Settings!$B$50="Yes",$L25,0)+IF(Settings!$B$51="Yes",$M25,0)+IF(Settings!$B$52="Yes",$N25,0)+IF(Settings!$B$53="Yes",$O25,0)+IF(Settings!$B$54="Yes",$P25,0)+IF(Settings!$B$55="Yes",$Q25,0)+IF(Settings!$B$56="Yes",$R25,0))</f>
        <v/>
      </c>
      <c r="U25">
        <f>IF(Settings!$B$45="Not Sure",$G25,0)+IF(Settings!$B$46="Not Sure",$H25,0)+IF(Settings!$B$47="Not Sure",$I25,0)+IF(Settings!$B$48="Not Sure",$J25,0)+IF(Settings!$B$49="Not Sure",$K25,0)+IF(Settings!$B$50="Not Sure",$L25,0)+IF(Settings!$B$51="Not Sure",$M25,0)+IF(Settings!$B$52="Not Sure",$N25,0)+IF(Settings!$B$53="Not Sure",$O25,0)+IF(Settings!$B$54="Not Sure",$P25,0)+IF(Settings!$B$55="Not Sure",$Q25,0)+IF(Settings!$B$56="Not Sure",$R25,0)</f>
        <v/>
      </c>
      <c r="V25">
        <f>IF($E25="open",SUM($ET25:$FE25)+N(Settings!$B$13),0)</f>
        <v/>
      </c>
      <c r="W25">
        <f>IF($E25="post",$S25,IF($E25="open",$S25-$V25,0))</f>
        <v/>
      </c>
      <c r="X25">
        <f>SUMIFS(Giving!$B$7:$B$2006,Giving!$A$7:$A$2006,"&gt;="&amp;$A25,Giving!$A$7:$A$2006,"&lt;="&amp;$B25,Giving!$E$7:$E$2006,"&lt;&gt;No")</f>
        <v/>
      </c>
      <c r="Y25">
        <f>SUMIFS(Giving!$B$7:$B$2006,Giving!$A$7:$A$2006,"&gt;="&amp;$A25,Giving!$A$7:$A$2006,"&lt;="&amp;$B25,Giving!$E$7:$E$2006,"No")</f>
        <v/>
      </c>
      <c r="Z25">
        <f>IF(OR(Settings!$B$60="",Settings!$F$60="No"),0,Settings!$B$60*IF(AND(IF(Settings!$C$60="",$B25,DATE(YEAR($A25),MONTH($A25),MIN(Settings!$C$60,DAY($B25))))&gt;=MAX($A25,Settings!$D$60),IF(Settings!$C$60="",$B25,DATE(YEAR($A25),MONTH($A25),MIN(Settings!$C$60,DAY($B25))))&lt;=MIN($C25,IF(Settings!$E$60="",$C25,Settings!$E$60))),1,0))+IF(OR(Settings!$B$61="",Settings!$F$61="No"),0,Settings!$B$61*IF(AND(IF(Settings!$C$61="",$B25,DATE(YEAR($A25),MONTH($A25),MIN(Settings!$C$61,DAY($B25))))&gt;=MAX($A25,Settings!$D$61),IF(Settings!$C$61="",$B25,DATE(YEAR($A25),MONTH($A25),MIN(Settings!$C$61,DAY($B25))))&lt;=MIN($C25,IF(Settings!$E$61="",$C25,Settings!$E$61))),1,0))+IF(OR(Settings!$B$62="",Settings!$F$62="No"),0,Settings!$B$62*IF(AND(IF(Settings!$C$62="",$B25,DATE(YEAR($A25),MONTH($A25),MIN(Settings!$C$62,DAY($B25))))&gt;=MAX($A25,Settings!$D$62),IF(Settings!$C$62="",$B25,DATE(YEAR($A25),MONTH($A25),MIN(Settings!$C$62,DAY($B25))))&lt;=MIN($C25,IF(Settings!$E$62="",$C25,Settings!$E$62))),1,0))+IF(OR(Settings!$B$63="",Settings!$F$63="No"),0,Settings!$B$63*IF(AND(IF(Settings!$C$63="",$B25,DATE(YEAR($A25),MONTH($A25),MIN(Settings!$C$63,DAY($B25))))&gt;=MAX($A25,Settings!$D$63),IF(Settings!$C$63="",$B25,DATE(YEAR($A25),MONTH($A25),MIN(Settings!$C$63,DAY($B25))))&lt;=MIN($C25,IF(Settings!$E$63="",$C25,Settings!$E$63))),1,0))+IF(OR(Settings!$B$64="",Settings!$F$64="No"),0,Settings!$B$64*IF(AND(IF(Settings!$C$64="",$B25,DATE(YEAR($A25),MONTH($A25),MIN(Settings!$C$64,DAY($B25))))&gt;=MAX($A25,Settings!$D$64),IF(Settings!$C$64="",$B25,DATE(YEAR($A25),MONTH($A25),MIN(Settings!$C$64,DAY($B25))))&lt;=MIN($C25,IF(Settings!$E$64="",$C25,Settings!$E$64))),1,0))+IF(OR(Settings!$B$65="",Settings!$F$65="No"),0,Settings!$B$65*IF(AND(IF(Settings!$C$65="",$B25,DATE(YEAR($A25),MONTH($A25),MIN(Settings!$C$65,DAY($B25))))&gt;=MAX($A25,Settings!$D$65),IF(Settings!$C$65="",$B25,DATE(YEAR($A25),MONTH($A25),MIN(Settings!$C$65,DAY($B25))))&lt;=MIN($C25,IF(Settings!$E$65="",$C25,Settings!$E$65))),1,0))</f>
        <v/>
      </c>
      <c r="AA25">
        <f>$X25+$Z25</f>
        <v/>
      </c>
      <c r="AB25">
        <f>IF($E25="post",$AA25,IF($E25="open",SUMIFS(Giving!$B$7:$B$2006,Giving!$A$7:$A$2006,"&gt;"&amp;Settings!$B$5,Giving!$A$7:$A$2006,"&lt;="&amp;$B25,Giving!$E$7:$E$2006,"&lt;&gt;No")+IF(OR(Settings!$B$60="",Settings!$F$60="No"),0,Settings!$B$60*IF(AND(IF(Settings!$C$60="",$B25,DATE(YEAR($A25),MONTH($A25),MIN(Settings!$C$60,DAY($B25))))&gt;=MAX($A25,Settings!$D$60,Settings!$B$5+1),IF(Settings!$C$60="",$B25,DATE(YEAR($A25),MONTH($A25),MIN(Settings!$C$60,DAY($B25))))&lt;=MIN($C25,IF(Settings!$E$60="",$C25,Settings!$E$60))),1,0))+IF(OR(Settings!$B$61="",Settings!$F$61="No"),0,Settings!$B$61*IF(AND(IF(Settings!$C$61="",$B25,DATE(YEAR($A25),MONTH($A25),MIN(Settings!$C$61,DAY($B25))))&gt;=MAX($A25,Settings!$D$61,Settings!$B$5+1),IF(Settings!$C$61="",$B25,DATE(YEAR($A25),MONTH($A25),MIN(Settings!$C$61,DAY($B25))))&lt;=MIN($C25,IF(Settings!$E$61="",$C25,Settings!$E$61))),1,0))+IF(OR(Settings!$B$62="",Settings!$F$62="No"),0,Settings!$B$62*IF(AND(IF(Settings!$C$62="",$B25,DATE(YEAR($A25),MONTH($A25),MIN(Settings!$C$62,DAY($B25))))&gt;=MAX($A25,Settings!$D$62,Settings!$B$5+1),IF(Settings!$C$62="",$B25,DATE(YEAR($A25),MONTH($A25),MIN(Settings!$C$62,DAY($B25))))&lt;=MIN($C25,IF(Settings!$E$62="",$C25,Settings!$E$62))),1,0))+IF(OR(Settings!$B$63="",Settings!$F$63="No"),0,Settings!$B$63*IF(AND(IF(Settings!$C$63="",$B25,DATE(YEAR($A25),MONTH($A25),MIN(Settings!$C$63,DAY($B25))))&gt;=MAX($A25,Settings!$D$63,Settings!$B$5+1),IF(Settings!$C$63="",$B25,DATE(YEAR($A25),MONTH($A25),MIN(Settings!$C$63,DAY($B25))))&lt;=MIN($C25,IF(Settings!$E$63="",$C25,Settings!$E$63))),1,0))+IF(OR(Settings!$B$64="",Settings!$F$64="No"),0,Settings!$B$64*IF(AND(IF(Settings!$C$64="",$B25,DATE(YEAR($A25),MONTH($A25),MIN(Settings!$C$64,DAY($B25))))&gt;=MAX($A25,Settings!$D$64,Settings!$B$5+1),IF(Settings!$C$64="",$B25,DATE(YEAR($A25),MONTH($A25),MIN(Settings!$C$64,DAY($B25))))&lt;=MIN($C25,IF(Settings!$E$64="",$C25,Settings!$E$64))),1,0))+IF(OR(Settings!$B$65="",Settings!$F$65="No"),0,Settings!$B$65*IF(AND(IF(Settings!$C$65="",$B25,DATE(YEAR($A25),MONTH($A25),MIN(Settings!$C$65,DAY($B25))))&gt;=MAX($A25,Settings!$D$65,Settings!$B$5+1),IF(Settings!$C$65="",$B25,DATE(YEAR($A25),MONTH($A25),MIN(Settings!$C$65,DAY($B25))))&lt;=MIN($C25,IF(Settings!$E$65="",$C25,Settings!$E$65))),1,0)),0))</f>
        <v/>
      </c>
      <c r="AC25">
        <f>$AY25+$AZ25+$BA25+$BB25+$BC25+$BD25</f>
        <v/>
      </c>
      <c r="AD25">
        <f>$AC25</f>
        <v/>
      </c>
      <c r="AE25">
        <f>IF(OR(Settings!$A$19="",$E25="pre"),"",IF(AND('Month-End'!$V$7&lt;&gt;"",NOT(_xlfn.ISFORMULA('Month-End'!$V$7))),N('Month-End'!$V$7),IF(OR($E25="open",$E24="pre"),N(Settings!$C$19),N($AE24))))</f>
        <v/>
      </c>
      <c r="AF25">
        <f>IF(OR(Settings!$A$20="",$E25="pre"),"",IF(AND('Month-End'!$V$8&lt;&gt;"",NOT(_xlfn.ISFORMULA('Month-End'!$V$8))),N('Month-End'!$V$8),IF(OR($E25="open",$E24="pre"),N(Settings!$C$20),N($AF24))))</f>
        <v/>
      </c>
      <c r="AG25">
        <f>IF(OR(Settings!$A$21="",$E25="pre"),"",IF(AND('Month-End'!$V$9&lt;&gt;"",NOT(_xlfn.ISFORMULA('Month-End'!$V$9))),N('Month-End'!$V$9),IF(OR($E25="open",$E24="pre"),N(Settings!$C$21),N($AG24))))</f>
        <v/>
      </c>
      <c r="AH25">
        <f>IF(OR(Settings!$A$22="",$E25="pre"),"",IF(AND('Month-End'!$V$10&lt;&gt;"",NOT(_xlfn.ISFORMULA('Month-End'!$V$10))),N('Month-End'!$V$10),IF(OR($E25="open",$E24="pre"),N(Settings!$C$22),N($AH24))))</f>
        <v/>
      </c>
      <c r="AI25">
        <f>IF(OR(Settings!$A$23="",$E25="pre"),"",IF(AND('Month-End'!$V$11&lt;&gt;"",NOT(_xlfn.ISFORMULA('Month-End'!$V$11))),N('Month-End'!$V$11),IF(OR($E25="open",$E24="pre"),N(Settings!$C$23),N($AI24))))</f>
        <v/>
      </c>
      <c r="AJ25">
        <f>IF(OR(Settings!$A$24="",$E25="pre"),"",IF(AND('Month-End'!$V$12&lt;&gt;"",NOT(_xlfn.ISFORMULA('Month-End'!$V$12))),N('Month-End'!$V$12),IF(OR($E25="open",$E24="pre"),N(Settings!$C$24),N($AJ24))))</f>
        <v/>
      </c>
      <c r="AK25">
        <f>IF(OR(Settings!$A$25="",$E25="pre"),"",IF(AND('Month-End'!$V$13&lt;&gt;"",NOT(_xlfn.ISFORMULA('Month-End'!$V$13))),N('Month-End'!$V$13),IF(OR($E25="open",$E24="pre"),N(Settings!$C$25),N($AK24))))</f>
        <v/>
      </c>
      <c r="AL25">
        <f>IF(OR(Settings!$A$26="",$E25="pre"),"",IF(AND('Month-End'!$V$14&lt;&gt;"",NOT(_xlfn.ISFORMULA('Month-End'!$V$14))),N('Month-End'!$V$14),IF(OR($E25="open",$E24="pre"),N(Settings!$C$26),N($AL24))))</f>
        <v/>
      </c>
      <c r="AM25">
        <f>IF(OR(Settings!$A$27="",$E25="pre"),"",IF(AND('Month-End'!$V$15&lt;&gt;"",NOT(_xlfn.ISFORMULA('Month-End'!$V$15))),N('Month-End'!$V$15),IF(OR($E25="open",$E24="pre"),N(Settings!$C$27),N($AM24))))</f>
        <v/>
      </c>
      <c r="AN25">
        <f>IF(OR(Settings!$A$28="",$E25="pre"),"",IF(AND('Month-End'!$V$16&lt;&gt;"",NOT(_xlfn.ISFORMULA('Month-End'!$V$16))),N('Month-End'!$V$16),IF(OR($E25="open",$E24="pre"),N(Settings!$C$28),N($AN24))))</f>
        <v/>
      </c>
      <c r="AO25">
        <f>IF(OR(Settings!$A$29="",$E25="pre"),"",IF(AND('Month-End'!$V$17&lt;&gt;"",NOT(_xlfn.ISFORMULA('Month-End'!$V$17))),N('Month-End'!$V$17),IF(OR($E25="open",$E24="pre"),N(Settings!$C$29),N($AO24))))</f>
        <v/>
      </c>
      <c r="AP25">
        <f>IF(OR(Settings!$A$30="",$E25="pre"),"",IF(AND('Month-End'!$V$18&lt;&gt;"",NOT(_xlfn.ISFORMULA('Month-End'!$V$18))),N('Month-End'!$V$18),IF(OR($E25="open",$E24="pre"),N(Settings!$C$30),N($AP24))))</f>
        <v/>
      </c>
      <c r="AQ25">
        <f>IF(OR(Settings!$A$31="",$E25="pre"),"",IF(AND('Month-End'!$V$19&lt;&gt;"",NOT(_xlfn.ISFORMULA('Month-End'!$V$19))),N('Month-End'!$V$19),IF(OR($E25="open",$E24="pre"),N(Settings!$C$31),N($AQ24))))</f>
        <v/>
      </c>
      <c r="AR25">
        <f>IF(OR(Settings!$A$32="",$E25="pre"),"",IF(AND('Month-End'!$V$20&lt;&gt;"",NOT(_xlfn.ISFORMULA('Month-End'!$V$20))),N('Month-End'!$V$20),IF(OR($E25="open",$E24="pre"),N(Settings!$C$32),N($AR24))))</f>
        <v/>
      </c>
      <c r="AS25">
        <f>IF(OR(Settings!$A$36="",$E25="pre"),"",IF(AND('Month-End'!$V$38&lt;&gt;"",NOT(_xlfn.ISFORMULA('Month-End'!$V$38))),N('Month-End'!$V$38),IF(OR($E25="open",$E24="pre"),N(Settings!$C$36),N($AS24))+$AY25))</f>
        <v/>
      </c>
      <c r="AT25">
        <f>IF(OR(Settings!$A$37="",$E25="pre"),"",IF(AND('Month-End'!$V$39&lt;&gt;"",NOT(_xlfn.ISFORMULA('Month-End'!$V$39))),N('Month-End'!$V$39),IF(OR($E25="open",$E24="pre"),N(Settings!$C$37),N($AT24))+$AZ25))</f>
        <v/>
      </c>
      <c r="AU25">
        <f>IF(OR(Settings!$A$38="",$E25="pre"),"",IF(AND('Month-End'!$V$40&lt;&gt;"",NOT(_xlfn.ISFORMULA('Month-End'!$V$40))),N('Month-End'!$V$40),IF(OR($E25="open",$E24="pre"),N(Settings!$C$38),N($AU24))+$BA25))</f>
        <v/>
      </c>
      <c r="AV25">
        <f>IF(OR(Settings!$A$39="",$E25="pre"),"",IF(AND('Month-End'!$V$41&lt;&gt;"",NOT(_xlfn.ISFORMULA('Month-End'!$V$41))),N('Month-End'!$V$41),IF(OR($E25="open",$E24="pre"),N(Settings!$C$39),N($AV24))+$BB25))</f>
        <v/>
      </c>
      <c r="AW25">
        <f>IF(OR(Settings!$A$40="",$E25="pre"),"",IF(AND('Month-End'!$V$42&lt;&gt;"",NOT(_xlfn.ISFORMULA('Month-End'!$V$42))),N('Month-End'!$V$42),IF(OR($E25="open",$E24="pre"),N(Settings!$C$40),N($AW24))+$BC25))</f>
        <v/>
      </c>
      <c r="AX25">
        <f>IF(OR(Settings!$A$41="",$E25="pre"),"",IF(AND('Month-End'!$V$43&lt;&gt;"",NOT(_xlfn.ISFORMULA('Month-End'!$V$43))),N('Month-End'!$V$43),IF(OR($E25="open",$E24="pre"),N(Settings!$C$41),N($AX24))+$BD25))</f>
        <v/>
      </c>
      <c r="AY25">
        <f>IF($E25="pre",0,N('Month-End'!$V$45))</f>
        <v/>
      </c>
      <c r="AZ25">
        <f>IF($E25="pre",0,N('Month-End'!$V$46))</f>
        <v/>
      </c>
      <c r="BA25">
        <f>IF($E25="pre",0,N('Month-End'!$V$47))</f>
        <v/>
      </c>
      <c r="BB25">
        <f>IF($E25="pre",0,N('Month-End'!$V$48))</f>
        <v/>
      </c>
      <c r="BC25">
        <f>IF($E25="pre",0,N('Month-End'!$V$49))</f>
        <v/>
      </c>
      <c r="BD25">
        <f>IF($E25="pre",0,N('Month-End'!$V$50))</f>
        <v/>
      </c>
      <c r="BE25">
        <f>IF(OR(Settings!$C$45="",Settings!$D$45=""),0,Settings!$C$45*IF(Settings!$D$45="Weekly",IF(IFERROR(MATCH(Settings!$E$45,$EO$4:$EO$10,0),0)=0,0,IF(MIN($C25,IF(Settings!$G$45="",$C25,Settings!$G$45))&lt;MAX($A25,Settings!$F$45),0,INT((MIN($C25,IF(Settings!$G$45="",$C25,Settings!$G$45))-MAX($A25,Settings!$F$45)-MOD(IFERROR(MATCH(Settings!$E$45,$EO$4:$EO$10,0),0)-WEEKDAY(MAX($A25,Settings!$F$45)),7))/7)+1)),IF(AND(IF(Settings!$E$45="",$B25,DATE(YEAR($A25),MONTH($A25),MIN(Settings!$E$45,DAY($B25))))&gt;=MAX($A25,Settings!$F$45),IF(Settings!$E$45="",$B25,DATE(YEAR($A25),MONTH($A25),MIN(Settings!$E$45,DAY($B25))))&lt;=MIN($C25,IF(Settings!$G$45="",$C25,Settings!$G$45))),1,0)))</f>
        <v/>
      </c>
      <c r="BF25">
        <f>IF(OR(Settings!$C$46="",Settings!$D$46=""),0,Settings!$C$46*IF(Settings!$D$46="Weekly",IF(IFERROR(MATCH(Settings!$E$46,$EO$4:$EO$10,0),0)=0,0,IF(MIN($C25,IF(Settings!$G$46="",$C25,Settings!$G$46))&lt;MAX($A25,Settings!$F$46),0,INT((MIN($C25,IF(Settings!$G$46="",$C25,Settings!$G$46))-MAX($A25,Settings!$F$46)-MOD(IFERROR(MATCH(Settings!$E$46,$EO$4:$EO$10,0),0)-WEEKDAY(MAX($A25,Settings!$F$46)),7))/7)+1)),IF(AND(IF(Settings!$E$46="",$B25,DATE(YEAR($A25),MONTH($A25),MIN(Settings!$E$46,DAY($B25))))&gt;=MAX($A25,Settings!$F$46),IF(Settings!$E$46="",$B25,DATE(YEAR($A25),MONTH($A25),MIN(Settings!$E$46,DAY($B25))))&lt;=MIN($C25,IF(Settings!$G$46="",$C25,Settings!$G$46))),1,0)))</f>
        <v/>
      </c>
      <c r="BG25">
        <f>IF(OR(Settings!$C$47="",Settings!$D$47=""),0,Settings!$C$47*IF(Settings!$D$47="Weekly",IF(IFERROR(MATCH(Settings!$E$47,$EO$4:$EO$10,0),0)=0,0,IF(MIN($C25,IF(Settings!$G$47="",$C25,Settings!$G$47))&lt;MAX($A25,Settings!$F$47),0,INT((MIN($C25,IF(Settings!$G$47="",$C25,Settings!$G$47))-MAX($A25,Settings!$F$47)-MOD(IFERROR(MATCH(Settings!$E$47,$EO$4:$EO$10,0),0)-WEEKDAY(MAX($A25,Settings!$F$47)),7))/7)+1)),IF(AND(IF(Settings!$E$47="",$B25,DATE(YEAR($A25),MONTH($A25),MIN(Settings!$E$47,DAY($B25))))&gt;=MAX($A25,Settings!$F$47),IF(Settings!$E$47="",$B25,DATE(YEAR($A25),MONTH($A25),MIN(Settings!$E$47,DAY($B25))))&lt;=MIN($C25,IF(Settings!$G$47="",$C25,Settings!$G$47))),1,0)))</f>
        <v/>
      </c>
      <c r="BH25">
        <f>IF(OR(Settings!$C$48="",Settings!$D$48=""),0,Settings!$C$48*IF(Settings!$D$48="Weekly",IF(IFERROR(MATCH(Settings!$E$48,$EO$4:$EO$10,0),0)=0,0,IF(MIN($C25,IF(Settings!$G$48="",$C25,Settings!$G$48))&lt;MAX($A25,Settings!$F$48),0,INT((MIN($C25,IF(Settings!$G$48="",$C25,Settings!$G$48))-MAX($A25,Settings!$F$48)-MOD(IFERROR(MATCH(Settings!$E$48,$EO$4:$EO$10,0),0)-WEEKDAY(MAX($A25,Settings!$F$48)),7))/7)+1)),IF(AND(IF(Settings!$E$48="",$B25,DATE(YEAR($A25),MONTH($A25),MIN(Settings!$E$48,DAY($B25))))&gt;=MAX($A25,Settings!$F$48),IF(Settings!$E$48="",$B25,DATE(YEAR($A25),MONTH($A25),MIN(Settings!$E$48,DAY($B25))))&lt;=MIN($C25,IF(Settings!$G$48="",$C25,Settings!$G$48))),1,0)))</f>
        <v/>
      </c>
      <c r="BI25">
        <f>IF(OR(Settings!$C$49="",Settings!$D$49=""),0,Settings!$C$49*IF(Settings!$D$49="Weekly",IF(IFERROR(MATCH(Settings!$E$49,$EO$4:$EO$10,0),0)=0,0,IF(MIN($C25,IF(Settings!$G$49="",$C25,Settings!$G$49))&lt;MAX($A25,Settings!$F$49),0,INT((MIN($C25,IF(Settings!$G$49="",$C25,Settings!$G$49))-MAX($A25,Settings!$F$49)-MOD(IFERROR(MATCH(Settings!$E$49,$EO$4:$EO$10,0),0)-WEEKDAY(MAX($A25,Settings!$F$49)),7))/7)+1)),IF(AND(IF(Settings!$E$49="",$B25,DATE(YEAR($A25),MONTH($A25),MIN(Settings!$E$49,DAY($B25))))&gt;=MAX($A25,Settings!$F$49),IF(Settings!$E$49="",$B25,DATE(YEAR($A25),MONTH($A25),MIN(Settings!$E$49,DAY($B25))))&lt;=MIN($C25,IF(Settings!$G$49="",$C25,Settings!$G$49))),1,0)))</f>
        <v/>
      </c>
      <c r="BJ25">
        <f>IF(OR(Settings!$C$50="",Settings!$D$50=""),0,Settings!$C$50*IF(Settings!$D$50="Weekly",IF(IFERROR(MATCH(Settings!$E$50,$EO$4:$EO$10,0),0)=0,0,IF(MIN($C25,IF(Settings!$G$50="",$C25,Settings!$G$50))&lt;MAX($A25,Settings!$F$50),0,INT((MIN($C25,IF(Settings!$G$50="",$C25,Settings!$G$50))-MAX($A25,Settings!$F$50)-MOD(IFERROR(MATCH(Settings!$E$50,$EO$4:$EO$10,0),0)-WEEKDAY(MAX($A25,Settings!$F$50)),7))/7)+1)),IF(AND(IF(Settings!$E$50="",$B25,DATE(YEAR($A25),MONTH($A25),MIN(Settings!$E$50,DAY($B25))))&gt;=MAX($A25,Settings!$F$50),IF(Settings!$E$50="",$B25,DATE(YEAR($A25),MONTH($A25),MIN(Settings!$E$50,DAY($B25))))&lt;=MIN($C25,IF(Settings!$G$50="",$C25,Settings!$G$50))),1,0)))</f>
        <v/>
      </c>
      <c r="BK25">
        <f>IF(OR(Settings!$C$51="",Settings!$D$51=""),0,Settings!$C$51*IF(Settings!$D$51="Weekly",IF(IFERROR(MATCH(Settings!$E$51,$EO$4:$EO$10,0),0)=0,0,IF(MIN($C25,IF(Settings!$G$51="",$C25,Settings!$G$51))&lt;MAX($A25,Settings!$F$51),0,INT((MIN($C25,IF(Settings!$G$51="",$C25,Settings!$G$51))-MAX($A25,Settings!$F$51)-MOD(IFERROR(MATCH(Settings!$E$51,$EO$4:$EO$10,0),0)-WEEKDAY(MAX($A25,Settings!$F$51)),7))/7)+1)),IF(AND(IF(Settings!$E$51="",$B25,DATE(YEAR($A25),MONTH($A25),MIN(Settings!$E$51,DAY($B25))))&gt;=MAX($A25,Settings!$F$51),IF(Settings!$E$51="",$B25,DATE(YEAR($A25),MONTH($A25),MIN(Settings!$E$51,DAY($B25))))&lt;=MIN($C25,IF(Settings!$G$51="",$C25,Settings!$G$51))),1,0)))</f>
        <v/>
      </c>
      <c r="BL25">
        <f>IF(OR(Settings!$C$52="",Settings!$D$52=""),0,Settings!$C$52*IF(Settings!$D$52="Weekly",IF(IFERROR(MATCH(Settings!$E$52,$EO$4:$EO$10,0),0)=0,0,IF(MIN($C25,IF(Settings!$G$52="",$C25,Settings!$G$52))&lt;MAX($A25,Settings!$F$52),0,INT((MIN($C25,IF(Settings!$G$52="",$C25,Settings!$G$52))-MAX($A25,Settings!$F$52)-MOD(IFERROR(MATCH(Settings!$E$52,$EO$4:$EO$10,0),0)-WEEKDAY(MAX($A25,Settings!$F$52)),7))/7)+1)),IF(AND(IF(Settings!$E$52="",$B25,DATE(YEAR($A25),MONTH($A25),MIN(Settings!$E$52,DAY($B25))))&gt;=MAX($A25,Settings!$F$52),IF(Settings!$E$52="",$B25,DATE(YEAR($A25),MONTH($A25),MIN(Settings!$E$52,DAY($B25))))&lt;=MIN($C25,IF(Settings!$G$52="",$C25,Settings!$G$52))),1,0)))</f>
        <v/>
      </c>
      <c r="BM25">
        <f>IF(OR(Settings!$C$53="",Settings!$D$53=""),0,Settings!$C$53*IF(Settings!$D$53="Weekly",IF(IFERROR(MATCH(Settings!$E$53,$EO$4:$EO$10,0),0)=0,0,IF(MIN($C25,IF(Settings!$G$53="",$C25,Settings!$G$53))&lt;MAX($A25,Settings!$F$53),0,INT((MIN($C25,IF(Settings!$G$53="",$C25,Settings!$G$53))-MAX($A25,Settings!$F$53)-MOD(IFERROR(MATCH(Settings!$E$53,$EO$4:$EO$10,0),0)-WEEKDAY(MAX($A25,Settings!$F$53)),7))/7)+1)),IF(AND(IF(Settings!$E$53="",$B25,DATE(YEAR($A25),MONTH($A25),MIN(Settings!$E$53,DAY($B25))))&gt;=MAX($A25,Settings!$F$53),IF(Settings!$E$53="",$B25,DATE(YEAR($A25),MONTH($A25),MIN(Settings!$E$53,DAY($B25))))&lt;=MIN($C25,IF(Settings!$G$53="",$C25,Settings!$G$53))),1,0)))</f>
        <v/>
      </c>
      <c r="BN25">
        <f>IF(OR(Settings!$C$54="",Settings!$D$54=""),0,Settings!$C$54*IF(Settings!$D$54="Weekly",IF(IFERROR(MATCH(Settings!$E$54,$EO$4:$EO$10,0),0)=0,0,IF(MIN($C25,IF(Settings!$G$54="",$C25,Settings!$G$54))&lt;MAX($A25,Settings!$F$54),0,INT((MIN($C25,IF(Settings!$G$54="",$C25,Settings!$G$54))-MAX($A25,Settings!$F$54)-MOD(IFERROR(MATCH(Settings!$E$54,$EO$4:$EO$10,0),0)-WEEKDAY(MAX($A25,Settings!$F$54)),7))/7)+1)),IF(AND(IF(Settings!$E$54="",$B25,DATE(YEAR($A25),MONTH($A25),MIN(Settings!$E$54,DAY($B25))))&gt;=MAX($A25,Settings!$F$54),IF(Settings!$E$54="",$B25,DATE(YEAR($A25),MONTH($A25),MIN(Settings!$E$54,DAY($B25))))&lt;=MIN($C25,IF(Settings!$G$54="",$C25,Settings!$G$54))),1,0)))</f>
        <v/>
      </c>
      <c r="BO25">
        <f>IF(OR(Settings!$C$55="",Settings!$D$55=""),0,Settings!$C$55*IF(Settings!$D$55="Weekly",IF(IFERROR(MATCH(Settings!$E$55,$EO$4:$EO$10,0),0)=0,0,IF(MIN($C25,IF(Settings!$G$55="",$C25,Settings!$G$55))&lt;MAX($A25,Settings!$F$55),0,INT((MIN($C25,IF(Settings!$G$55="",$C25,Settings!$G$55))-MAX($A25,Settings!$F$55)-MOD(IFERROR(MATCH(Settings!$E$55,$EO$4:$EO$10,0),0)-WEEKDAY(MAX($A25,Settings!$F$55)),7))/7)+1)),IF(AND(IF(Settings!$E$55="",$B25,DATE(YEAR($A25),MONTH($A25),MIN(Settings!$E$55,DAY($B25))))&gt;=MAX($A25,Settings!$F$55),IF(Settings!$E$55="",$B25,DATE(YEAR($A25),MONTH($A25),MIN(Settings!$E$55,DAY($B25))))&lt;=MIN($C25,IF(Settings!$G$55="",$C25,Settings!$G$55))),1,0)))</f>
        <v/>
      </c>
      <c r="BP25">
        <f>IF(OR(Settings!$C$56="",Settings!$D$56=""),0,Settings!$C$56*IF(Settings!$D$56="Weekly",IF(IFERROR(MATCH(Settings!$E$56,$EO$4:$EO$10,0),0)=0,0,IF(MIN($C25,IF(Settings!$G$56="",$C25,Settings!$G$56))&lt;MAX($A25,Settings!$F$56),0,INT((MIN($C25,IF(Settings!$G$56="",$C25,Settings!$G$56))-MAX($A25,Settings!$F$56)-MOD(IFERROR(MATCH(Settings!$E$56,$EO$4:$EO$10,0),0)-WEEKDAY(MAX($A25,Settings!$F$56)),7))/7)+1)),IF(AND(IF(Settings!$E$56="",$B25,DATE(YEAR($A25),MONTH($A25),MIN(Settings!$E$56,DAY($B25))))&gt;=MAX($A25,Settings!$F$56),IF(Settings!$E$56="",$B25,DATE(YEAR($A25),MONTH($A25),MIN(Settings!$E$56,DAY($B25))))&lt;=MIN($C25,IF(Settings!$G$56="",$C25,Settings!$G$56))),1,0)))</f>
        <v/>
      </c>
      <c r="BQ25">
        <f>IF(OR(Settings!$B$14="",$D25=1,$E25="pre",$A25&lt;IF(Settings!$B$15="",0,Settings!$B$15)),0,Settings!$B$14)</f>
        <v/>
      </c>
      <c r="BR25">
        <f>IF(AND('Month-End'!$V$7&lt;&gt;"",NOT(_xlfn.ISFORMULA('Month-End'!$V$7))),1,0)</f>
        <v/>
      </c>
      <c r="BS25">
        <f>IF(AND('Month-End'!$V$8&lt;&gt;"",NOT(_xlfn.ISFORMULA('Month-End'!$V$8))),1,0)</f>
        <v/>
      </c>
      <c r="BT25">
        <f>IF(AND('Month-End'!$V$9&lt;&gt;"",NOT(_xlfn.ISFORMULA('Month-End'!$V$9))),1,0)</f>
        <v/>
      </c>
      <c r="BU25">
        <f>IF(AND('Month-End'!$V$10&lt;&gt;"",NOT(_xlfn.ISFORMULA('Month-End'!$V$10))),1,0)</f>
        <v/>
      </c>
      <c r="BV25">
        <f>IF(AND('Month-End'!$V$11&lt;&gt;"",NOT(_xlfn.ISFORMULA('Month-End'!$V$11))),1,0)</f>
        <v/>
      </c>
      <c r="BW25">
        <f>IF(AND('Month-End'!$V$12&lt;&gt;"",NOT(_xlfn.ISFORMULA('Month-End'!$V$12))),1,0)</f>
        <v/>
      </c>
      <c r="BX25">
        <f>IF(AND('Month-End'!$V$13&lt;&gt;"",NOT(_xlfn.ISFORMULA('Month-End'!$V$13))),1,0)</f>
        <v/>
      </c>
      <c r="BY25">
        <f>IF(AND('Month-End'!$V$14&lt;&gt;"",NOT(_xlfn.ISFORMULA('Month-End'!$V$14))),1,0)</f>
        <v/>
      </c>
      <c r="BZ25">
        <f>IF(AND('Month-End'!$V$15&lt;&gt;"",NOT(_xlfn.ISFORMULA('Month-End'!$V$15))),1,0)</f>
        <v/>
      </c>
      <c r="CA25">
        <f>IF(AND('Month-End'!$V$16&lt;&gt;"",NOT(_xlfn.ISFORMULA('Month-End'!$V$16))),1,0)</f>
        <v/>
      </c>
      <c r="CB25">
        <f>IF(AND('Month-End'!$V$17&lt;&gt;"",NOT(_xlfn.ISFORMULA('Month-End'!$V$17))),1,0)</f>
        <v/>
      </c>
      <c r="CC25">
        <f>IF(AND('Month-End'!$V$18&lt;&gt;"",NOT(_xlfn.ISFORMULA('Month-End'!$V$18))),1,0)</f>
        <v/>
      </c>
      <c r="CD25">
        <f>IF(AND('Month-End'!$V$19&lt;&gt;"",NOT(_xlfn.ISFORMULA('Month-End'!$V$19))),1,0)</f>
        <v/>
      </c>
      <c r="CE25">
        <f>IF(AND('Month-End'!$V$20&lt;&gt;"",NOT(_xlfn.ISFORMULA('Month-End'!$V$20))),1,0)</f>
        <v/>
      </c>
      <c r="CF25">
        <f>IF(AND('Month-End'!$V$38&lt;&gt;"",NOT(_xlfn.ISFORMULA('Month-End'!$V$38))),1,0)</f>
        <v/>
      </c>
      <c r="CG25">
        <f>IF(AND('Month-End'!$V$39&lt;&gt;"",NOT(_xlfn.ISFORMULA('Month-End'!$V$39))),1,0)</f>
        <v/>
      </c>
      <c r="CH25">
        <f>IF(AND('Month-End'!$V$40&lt;&gt;"",NOT(_xlfn.ISFORMULA('Month-End'!$V$40))),1,0)</f>
        <v/>
      </c>
      <c r="CI25">
        <f>IF(AND('Month-End'!$V$41&lt;&gt;"",NOT(_xlfn.ISFORMULA('Month-End'!$V$41))),1,0)</f>
        <v/>
      </c>
      <c r="CJ25">
        <f>IF(AND('Month-End'!$V$42&lt;&gt;"",NOT(_xlfn.ISFORMULA('Month-End'!$V$42))),1,0)</f>
        <v/>
      </c>
      <c r="CK25">
        <f>IF(AND('Month-End'!$V$43&lt;&gt;"",NOT(_xlfn.ISFORMULA('Month-End'!$V$43))),1,0)</f>
        <v/>
      </c>
      <c r="CL25">
        <f>SUM($CM25:$CZ25)</f>
        <v/>
      </c>
      <c r="CM25">
        <f>IF(AND($E25&lt;&gt;"pre",AND(Settings!$A$19&lt;&gt;"",Settings!$E$19&lt;&gt;"No"),Settings!$F$19="Yes",NOT(AND('Month-End'!$V$7&lt;&gt;"",NOT(_xlfn.ISFORMULA('Month-End'!$V$7))))),1,0)</f>
        <v/>
      </c>
      <c r="CN25">
        <f>IF(AND($E25&lt;&gt;"pre",AND(Settings!$A$20&lt;&gt;"",Settings!$E$20&lt;&gt;"No"),Settings!$F$20="Yes",NOT(AND('Month-End'!$V$8&lt;&gt;"",NOT(_xlfn.ISFORMULA('Month-End'!$V$8))))),1,0)</f>
        <v/>
      </c>
      <c r="CO25">
        <f>IF(AND($E25&lt;&gt;"pre",AND(Settings!$A$21&lt;&gt;"",Settings!$E$21&lt;&gt;"No"),Settings!$F$21="Yes",NOT(AND('Month-End'!$V$9&lt;&gt;"",NOT(_xlfn.ISFORMULA('Month-End'!$V$9))))),1,0)</f>
        <v/>
      </c>
      <c r="CP25">
        <f>IF(AND($E25&lt;&gt;"pre",AND(Settings!$A$22&lt;&gt;"",Settings!$E$22&lt;&gt;"No"),Settings!$F$22="Yes",NOT(AND('Month-End'!$V$10&lt;&gt;"",NOT(_xlfn.ISFORMULA('Month-End'!$V$10))))),1,0)</f>
        <v/>
      </c>
      <c r="CQ25">
        <f>IF(AND($E25&lt;&gt;"pre",AND(Settings!$A$23&lt;&gt;"",Settings!$E$23&lt;&gt;"No"),Settings!$F$23="Yes",NOT(AND('Month-End'!$V$11&lt;&gt;"",NOT(_xlfn.ISFORMULA('Month-End'!$V$11))))),1,0)</f>
        <v/>
      </c>
      <c r="CR25">
        <f>IF(AND($E25&lt;&gt;"pre",AND(Settings!$A$24&lt;&gt;"",Settings!$E$24&lt;&gt;"No"),Settings!$F$24="Yes",NOT(AND('Month-End'!$V$12&lt;&gt;"",NOT(_xlfn.ISFORMULA('Month-End'!$V$12))))),1,0)</f>
        <v/>
      </c>
      <c r="CS25">
        <f>IF(AND($E25&lt;&gt;"pre",AND(Settings!$A$25&lt;&gt;"",Settings!$E$25&lt;&gt;"No"),Settings!$F$25="Yes",NOT(AND('Month-End'!$V$13&lt;&gt;"",NOT(_xlfn.ISFORMULA('Month-End'!$V$13))))),1,0)</f>
        <v/>
      </c>
      <c r="CT25">
        <f>IF(AND($E25&lt;&gt;"pre",AND(Settings!$A$26&lt;&gt;"",Settings!$E$26&lt;&gt;"No"),Settings!$F$26="Yes",NOT(AND('Month-End'!$V$14&lt;&gt;"",NOT(_xlfn.ISFORMULA('Month-End'!$V$14))))),1,0)</f>
        <v/>
      </c>
      <c r="CU25">
        <f>IF(AND($E25&lt;&gt;"pre",AND(Settings!$A$27&lt;&gt;"",Settings!$E$27&lt;&gt;"No"),Settings!$F$27="Yes",NOT(AND('Month-End'!$V$15&lt;&gt;"",NOT(_xlfn.ISFORMULA('Month-End'!$V$15))))),1,0)</f>
        <v/>
      </c>
      <c r="CV25">
        <f>IF(AND($E25&lt;&gt;"pre",AND(Settings!$A$28&lt;&gt;"",Settings!$E$28&lt;&gt;"No"),Settings!$F$28="Yes",NOT(AND('Month-End'!$V$16&lt;&gt;"",NOT(_xlfn.ISFORMULA('Month-End'!$V$16))))),1,0)</f>
        <v/>
      </c>
      <c r="CW25">
        <f>IF(AND($E25&lt;&gt;"pre",AND(Settings!$A$29&lt;&gt;"",Settings!$E$29&lt;&gt;"No"),Settings!$F$29="Yes",NOT(AND('Month-End'!$V$17&lt;&gt;"",NOT(_xlfn.ISFORMULA('Month-End'!$V$17))))),1,0)</f>
        <v/>
      </c>
      <c r="CX25">
        <f>IF(AND($E25&lt;&gt;"pre",AND(Settings!$A$30&lt;&gt;"",Settings!$E$30&lt;&gt;"No"),Settings!$F$30="Yes",NOT(AND('Month-End'!$V$18&lt;&gt;"",NOT(_xlfn.ISFORMULA('Month-End'!$V$18))))),1,0)</f>
        <v/>
      </c>
      <c r="CY25">
        <f>IF(AND($E25&lt;&gt;"pre",AND(Settings!$A$31&lt;&gt;"",Settings!$E$31&lt;&gt;"No"),Settings!$F$31="Yes",NOT(AND('Month-End'!$V$19&lt;&gt;"",NOT(_xlfn.ISFORMULA('Month-End'!$V$19))))),1,0)</f>
        <v/>
      </c>
      <c r="CZ25">
        <f>IF(AND($E25&lt;&gt;"pre",AND(Settings!$A$32&lt;&gt;"",Settings!$E$32&lt;&gt;"No"),Settings!$F$32="Yes",NOT(AND('Month-End'!$V$20&lt;&gt;"",NOT(_xlfn.ISFORMULA('Month-End'!$V$20))))),1,0)</f>
        <v/>
      </c>
      <c r="DA25">
        <f>IF($DT25=1,IF(OR(Settings!$B$19="Checking",Settings!$B$19="Savings",Settings!$B$19="Cash"),N($AE25),IF(OR(Settings!$B$19="Card",Settings!$B$19="Loan"),-N($AE25),0))+IF(OR(Settings!$B$20="Checking",Settings!$B$20="Savings",Settings!$B$20="Cash"),N($AF25),IF(OR(Settings!$B$20="Card",Settings!$B$20="Loan"),-N($AF25),0))+IF(OR(Settings!$B$21="Checking",Settings!$B$21="Savings",Settings!$B$21="Cash"),N($AG25),IF(OR(Settings!$B$21="Card",Settings!$B$21="Loan"),-N($AG25),0))+IF(OR(Settings!$B$22="Checking",Settings!$B$22="Savings",Settings!$B$22="Cash"),N($AH25),IF(OR(Settings!$B$22="Card",Settings!$B$22="Loan"),-N($AH25),0))+IF(OR(Settings!$B$23="Checking",Settings!$B$23="Savings",Settings!$B$23="Cash"),N($AI25),IF(OR(Settings!$B$23="Card",Settings!$B$23="Loan"),-N($AI25),0))+IF(OR(Settings!$B$24="Checking",Settings!$B$24="Savings",Settings!$B$24="Cash"),N($AJ25),IF(OR(Settings!$B$24="Card",Settings!$B$24="Loan"),-N($AJ25),0))+IF(OR(Settings!$B$25="Checking",Settings!$B$25="Savings",Settings!$B$25="Cash"),N($AK25),IF(OR(Settings!$B$25="Card",Settings!$B$25="Loan"),-N($AK25),0))+IF(OR(Settings!$B$26="Checking",Settings!$B$26="Savings",Settings!$B$26="Cash"),N($AL25),IF(OR(Settings!$B$26="Card",Settings!$B$26="Loan"),-N($AL25),0))+IF(OR(Settings!$B$27="Checking",Settings!$B$27="Savings",Settings!$B$27="Cash"),N($AM25),IF(OR(Settings!$B$27="Card",Settings!$B$27="Loan"),-N($AM25),0))+IF(OR(Settings!$B$28="Checking",Settings!$B$28="Savings",Settings!$B$28="Cash"),N($AN25),IF(OR(Settings!$B$28="Card",Settings!$B$28="Loan"),-N($AN25),0))+IF(OR(Settings!$B$29="Checking",Settings!$B$29="Savings",Settings!$B$29="Cash"),N($AO25),IF(OR(Settings!$B$29="Card",Settings!$B$29="Loan"),-N($AO25),0))+IF(OR(Settings!$B$30="Checking",Settings!$B$30="Savings",Settings!$B$30="Cash"),N($AP25),IF(OR(Settings!$B$30="Card",Settings!$B$30="Loan"),-N($AP25),0))+IF(OR(Settings!$B$31="Checking",Settings!$B$31="Savings",Settings!$B$31="Cash"),N($AQ25),IF(OR(Settings!$B$31="Card",Settings!$B$31="Loan"),-N($AQ25),0))+IF(OR(Settings!$B$32="Checking",Settings!$B$32="Savings",Settings!$B$32="Cash"),N($AR25),IF(OR(Settings!$B$32="Card",Settings!$B$32="Loan"),-N($AR25),0)),"")</f>
        <v/>
      </c>
      <c r="DB25">
        <f>IF($E25="open",$EB$27,IF($E25="post",IF($E24="pre",$EB$27,$DA24),""))</f>
        <v/>
      </c>
      <c r="DC25">
        <f>IF($E25="open",1,IF($E25="post",IF($E24="pre",1,$DT24),0))</f>
        <v/>
      </c>
      <c r="DD25">
        <f>IF(AND($DT25=1,$DC25=1),ROUND($W25-($DA25-$DB25)-$AD25-$AB25,2),"")</f>
        <v/>
      </c>
      <c r="DE25">
        <f>IF('Month-End'!$V$35="",$BQ25,N('Month-End'!$V$35))</f>
        <v/>
      </c>
      <c r="DF25">
        <f>N('Month-End'!$V$36)</f>
        <v/>
      </c>
      <c r="DG25">
        <f>IF($DD25="","",$DD25+$DE25)</f>
        <v/>
      </c>
      <c r="DH25">
        <f>IF($DG25="","",$DG25-$DF25)</f>
        <v/>
      </c>
      <c r="DI25">
        <f>IF(OR($E25="pre",$D25=1),"",N($AS25)+N($AT25)+N($AU25)+N($AV25)+N($AW25)+N($AX25))</f>
        <v/>
      </c>
      <c r="DJ25">
        <f>IF($DT25=1,$DA25+N($DI25),"")</f>
        <v/>
      </c>
      <c r="DK25">
        <f>IF($DD25="","",$W25-$DD25-$AB25)</f>
        <v/>
      </c>
      <c r="DL25">
        <f>IF(AND($E25="post",$DD25&lt;&gt;"",$B25&lt;TODAY()),1,0)</f>
        <v/>
      </c>
      <c r="DM25">
        <f>IF($DL25=1,COUNTIF($DL25:$DL$183,1),0)</f>
        <v/>
      </c>
      <c r="DN25">
        <f>IF($D25=1,"",IF($E25="pre","History only",IF($DT25=1,IF($DD25="","⚠ Previous month missing",IF($DD25&lt;0,"⚠ Check: spending &lt; 0",IF($E25="open","✓ Done (partial)","✓ Done"))),IF($B25&gt;=TODAY(),"In progress","⚠ Needs balances"))))</f>
        <v/>
      </c>
      <c r="DO25">
        <f>YEAR($A25)</f>
        <v/>
      </c>
      <c r="DP25">
        <f>DATE(YEAR($A25),INT((MONTH($A25)-1)/3)*3+1,1)</f>
        <v/>
      </c>
      <c r="DQ25">
        <f>IF(AND($DT25=1,$DD25&lt;&gt;"",$D25=0),ROW(),0)</f>
        <v/>
      </c>
      <c r="DR25">
        <f>IF(AND($E25&lt;&gt;"pre",$B25&lt;TODAY(),$DT25=0),1,0)</f>
        <v/>
      </c>
      <c r="DS25">
        <f>IF($DJ25="",NA(),$DJ25)</f>
        <v/>
      </c>
      <c r="DT25">
        <f>IF(AND($E25&lt;&gt;"pre",$CL25=0,COUNTIFS(Settings!$F$19:$F$32,"Yes",Settings!$A$19:$A$32,"&lt;&gt;",Settings!$E$19:$E$32,"&lt;&gt;No")&gt;0),1,0)</f>
        <v/>
      </c>
      <c r="DU25">
        <f>IF(AND($B25&lt;TODAY(),$S25&gt;0),1,0)</f>
        <v/>
      </c>
      <c r="DV25">
        <f>IF($DU25=1,COUNTIF($DU25:$DU$183,1),0)</f>
        <v/>
      </c>
      <c r="DW25">
        <f>IF(AND(OR(Settings!$B$19="Card",Settings!$B$19="Loan"),AND('Month-End'!$V$7&lt;&gt;"",NOT(_xlfn.ISFORMULA('Month-End'!$V$7)))),IF(N('Month-End'!$V$7)&lt;0,1,0),0)+IF(AND(OR(Settings!$B$20="Card",Settings!$B$20="Loan"),AND('Month-End'!$V$8&lt;&gt;"",NOT(_xlfn.ISFORMULA('Month-End'!$V$8)))),IF(N('Month-End'!$V$8)&lt;0,1,0),0)+IF(AND(OR(Settings!$B$21="Card",Settings!$B$21="Loan"),AND('Month-End'!$V$9&lt;&gt;"",NOT(_xlfn.ISFORMULA('Month-End'!$V$9)))),IF(N('Month-End'!$V$9)&lt;0,1,0),0)+IF(AND(OR(Settings!$B$22="Card",Settings!$B$22="Loan"),AND('Month-End'!$V$10&lt;&gt;"",NOT(_xlfn.ISFORMULA('Month-End'!$V$10)))),IF(N('Month-End'!$V$10)&lt;0,1,0),0)+IF(AND(OR(Settings!$B$23="Card",Settings!$B$23="Loan"),AND('Month-End'!$V$11&lt;&gt;"",NOT(_xlfn.ISFORMULA('Month-End'!$V$11)))),IF(N('Month-End'!$V$11)&lt;0,1,0),0)+IF(AND(OR(Settings!$B$24="Card",Settings!$B$24="Loan"),AND('Month-End'!$V$12&lt;&gt;"",NOT(_xlfn.ISFORMULA('Month-End'!$V$12)))),IF(N('Month-End'!$V$12)&lt;0,1,0),0)+IF(AND(OR(Settings!$B$25="Card",Settings!$B$25="Loan"),AND('Month-End'!$V$13&lt;&gt;"",NOT(_xlfn.ISFORMULA('Month-End'!$V$13)))),IF(N('Month-End'!$V$13)&lt;0,1,0),0)+IF(AND(OR(Settings!$B$26="Card",Settings!$B$26="Loan"),AND('Month-End'!$V$14&lt;&gt;"",NOT(_xlfn.ISFORMULA('Month-End'!$V$14)))),IF(N('Month-End'!$V$14)&lt;0,1,0),0)+IF(AND(OR(Settings!$B$27="Card",Settings!$B$27="Loan"),AND('Month-End'!$V$15&lt;&gt;"",NOT(_xlfn.ISFORMULA('Month-End'!$V$15)))),IF(N('Month-End'!$V$15)&lt;0,1,0),0)+IF(AND(OR(Settings!$B$28="Card",Settings!$B$28="Loan"),AND('Month-End'!$V$16&lt;&gt;"",NOT(_xlfn.ISFORMULA('Month-End'!$V$16)))),IF(N('Month-End'!$V$16)&lt;0,1,0),0)+IF(AND(OR(Settings!$B$29="Card",Settings!$B$29="Loan"),AND('Month-End'!$V$17&lt;&gt;"",NOT(_xlfn.ISFORMULA('Month-End'!$V$17)))),IF(N('Month-End'!$V$17)&lt;0,1,0),0)+IF(AND(OR(Settings!$B$30="Card",Settings!$B$30="Loan"),AND('Month-End'!$V$18&lt;&gt;"",NOT(_xlfn.ISFORMULA('Month-End'!$V$18)))),IF(N('Month-End'!$V$18)&lt;0,1,0),0)+IF(AND(OR(Settings!$B$31="Card",Settings!$B$31="Loan"),AND('Month-End'!$V$19&lt;&gt;"",NOT(_xlfn.ISFORMULA('Month-End'!$V$19)))),IF(N('Month-End'!$V$19)&lt;0,1,0),0)+IF(AND(OR(Settings!$B$32="Card",Settings!$B$32="Loan"),AND('Month-End'!$V$20&lt;&gt;"",NOT(_xlfn.ISFORMULA('Month-End'!$V$20)))),IF(N('Month-End'!$V$20)&lt;0,1,0),0)</f>
        <v/>
      </c>
      <c r="DX25">
        <f>IF(Settings!$B$36="Retirement",$AY25,0)+IF(Settings!$B$37="Retirement",$AZ25,0)+IF(Settings!$B$38="Retirement",$BA25,0)+IF(Settings!$B$39="Retirement",$BB25,0)+IF(Settings!$B$40="Retirement",$BC25,0)+IF(Settings!$B$41="Retirement",$BD25,0)</f>
        <v/>
      </c>
      <c r="EA25" t="inlineStr">
        <is>
          <t>Average Monthly Giving</t>
        </is>
      </c>
      <c r="EB25">
        <f>IF(COUNTIF($DV$6:$DV$183,"&gt;0")=0,0,SUMIFS($AA$6:$AA$183,$DV$6:$DV$183,"&gt;0",$DV$6:$DV$183,"&lt;="&amp;Settings!$B$10)/MIN(Settings!$B$10,COUNTIF($DV$6:$DV$183,"&gt;0")))</f>
        <v/>
      </c>
      <c r="ET25">
        <f>IF($E25&lt;&gt;"open",0,IF(AND('Month-End'!$V$22&lt;&gt;"",NOT(_xlfn.ISFORMULA('Month-End'!$V$22))),0,IF(OR(Settings!$C$45="",Settings!$D$45=""),0,Settings!$C$45*IF(Settings!$D$45="Weekly",IF(IFERROR(MATCH(Settings!$E$45,$EO$4:$EO$10,0),0)=0,0,IF(MIN(Settings!$B$5,IF(Settings!$G$45="",Settings!$B$5,Settings!$G$45))&lt;MAX($A25,Settings!$F$45),0,INT((MIN(Settings!$B$5,IF(Settings!$G$45="",Settings!$B$5,Settings!$G$45))-MAX($A25,Settings!$F$45)-MOD(IFERROR(MATCH(Settings!$E$45,$EO$4:$EO$10,0),0)-WEEKDAY(MAX($A25,Settings!$F$45)),7))/7)+1)),IF(AND(IF(Settings!$E$45="",$B25,DATE(YEAR($A25),MONTH($A25),MIN(Settings!$E$45,DAY($B25))))&gt;=MAX($A25,Settings!$F$45),IF(Settings!$E$45="",$B25,DATE(YEAR($A25),MONTH($A25),MIN(Settings!$E$45,DAY($B25))))&lt;=MIN(Settings!$B$5,IF(Settings!$G$45="",Settings!$B$5,Settings!$G$45))),1,0)))))</f>
        <v/>
      </c>
      <c r="EU25">
        <f>IF($E25&lt;&gt;"open",0,IF(AND('Month-End'!$V$23&lt;&gt;"",NOT(_xlfn.ISFORMULA('Month-End'!$V$23))),0,IF(OR(Settings!$C$46="",Settings!$D$46=""),0,Settings!$C$46*IF(Settings!$D$46="Weekly",IF(IFERROR(MATCH(Settings!$E$46,$EO$4:$EO$10,0),0)=0,0,IF(MIN(Settings!$B$5,IF(Settings!$G$46="",Settings!$B$5,Settings!$G$46))&lt;MAX($A25,Settings!$F$46),0,INT((MIN(Settings!$B$5,IF(Settings!$G$46="",Settings!$B$5,Settings!$G$46))-MAX($A25,Settings!$F$46)-MOD(IFERROR(MATCH(Settings!$E$46,$EO$4:$EO$10,0),0)-WEEKDAY(MAX($A25,Settings!$F$46)),7))/7)+1)),IF(AND(IF(Settings!$E$46="",$B25,DATE(YEAR($A25),MONTH($A25),MIN(Settings!$E$46,DAY($B25))))&gt;=MAX($A25,Settings!$F$46),IF(Settings!$E$46="",$B25,DATE(YEAR($A25),MONTH($A25),MIN(Settings!$E$46,DAY($B25))))&lt;=MIN(Settings!$B$5,IF(Settings!$G$46="",Settings!$B$5,Settings!$G$46))),1,0)))))</f>
        <v/>
      </c>
      <c r="EV25">
        <f>IF($E25&lt;&gt;"open",0,IF(AND('Month-End'!$V$24&lt;&gt;"",NOT(_xlfn.ISFORMULA('Month-End'!$V$24))),0,IF(OR(Settings!$C$47="",Settings!$D$47=""),0,Settings!$C$47*IF(Settings!$D$47="Weekly",IF(IFERROR(MATCH(Settings!$E$47,$EO$4:$EO$10,0),0)=0,0,IF(MIN(Settings!$B$5,IF(Settings!$G$47="",Settings!$B$5,Settings!$G$47))&lt;MAX($A25,Settings!$F$47),0,INT((MIN(Settings!$B$5,IF(Settings!$G$47="",Settings!$B$5,Settings!$G$47))-MAX($A25,Settings!$F$47)-MOD(IFERROR(MATCH(Settings!$E$47,$EO$4:$EO$10,0),0)-WEEKDAY(MAX($A25,Settings!$F$47)),7))/7)+1)),IF(AND(IF(Settings!$E$47="",$B25,DATE(YEAR($A25),MONTH($A25),MIN(Settings!$E$47,DAY($B25))))&gt;=MAX($A25,Settings!$F$47),IF(Settings!$E$47="",$B25,DATE(YEAR($A25),MONTH($A25),MIN(Settings!$E$47,DAY($B25))))&lt;=MIN(Settings!$B$5,IF(Settings!$G$47="",Settings!$B$5,Settings!$G$47))),1,0)))))</f>
        <v/>
      </c>
      <c r="EW25">
        <f>IF($E25&lt;&gt;"open",0,IF(AND('Month-End'!$V$25&lt;&gt;"",NOT(_xlfn.ISFORMULA('Month-End'!$V$25))),0,IF(OR(Settings!$C$48="",Settings!$D$48=""),0,Settings!$C$48*IF(Settings!$D$48="Weekly",IF(IFERROR(MATCH(Settings!$E$48,$EO$4:$EO$10,0),0)=0,0,IF(MIN(Settings!$B$5,IF(Settings!$G$48="",Settings!$B$5,Settings!$G$48))&lt;MAX($A25,Settings!$F$48),0,INT((MIN(Settings!$B$5,IF(Settings!$G$48="",Settings!$B$5,Settings!$G$48))-MAX($A25,Settings!$F$48)-MOD(IFERROR(MATCH(Settings!$E$48,$EO$4:$EO$10,0),0)-WEEKDAY(MAX($A25,Settings!$F$48)),7))/7)+1)),IF(AND(IF(Settings!$E$48="",$B25,DATE(YEAR($A25),MONTH($A25),MIN(Settings!$E$48,DAY($B25))))&gt;=MAX($A25,Settings!$F$48),IF(Settings!$E$48="",$B25,DATE(YEAR($A25),MONTH($A25),MIN(Settings!$E$48,DAY($B25))))&lt;=MIN(Settings!$B$5,IF(Settings!$G$48="",Settings!$B$5,Settings!$G$48))),1,0)))))</f>
        <v/>
      </c>
      <c r="EX25">
        <f>IF($E25&lt;&gt;"open",0,IF(AND('Month-End'!$V$26&lt;&gt;"",NOT(_xlfn.ISFORMULA('Month-End'!$V$26))),0,IF(OR(Settings!$C$49="",Settings!$D$49=""),0,Settings!$C$49*IF(Settings!$D$49="Weekly",IF(IFERROR(MATCH(Settings!$E$49,$EO$4:$EO$10,0),0)=0,0,IF(MIN(Settings!$B$5,IF(Settings!$G$49="",Settings!$B$5,Settings!$G$49))&lt;MAX($A25,Settings!$F$49),0,INT((MIN(Settings!$B$5,IF(Settings!$G$49="",Settings!$B$5,Settings!$G$49))-MAX($A25,Settings!$F$49)-MOD(IFERROR(MATCH(Settings!$E$49,$EO$4:$EO$10,0),0)-WEEKDAY(MAX($A25,Settings!$F$49)),7))/7)+1)),IF(AND(IF(Settings!$E$49="",$B25,DATE(YEAR($A25),MONTH($A25),MIN(Settings!$E$49,DAY($B25))))&gt;=MAX($A25,Settings!$F$49),IF(Settings!$E$49="",$B25,DATE(YEAR($A25),MONTH($A25),MIN(Settings!$E$49,DAY($B25))))&lt;=MIN(Settings!$B$5,IF(Settings!$G$49="",Settings!$B$5,Settings!$G$49))),1,0)))))</f>
        <v/>
      </c>
      <c r="EY25">
        <f>IF($E25&lt;&gt;"open",0,IF(AND('Month-End'!$V$27&lt;&gt;"",NOT(_xlfn.ISFORMULA('Month-End'!$V$27))),0,IF(OR(Settings!$C$50="",Settings!$D$50=""),0,Settings!$C$50*IF(Settings!$D$50="Weekly",IF(IFERROR(MATCH(Settings!$E$50,$EO$4:$EO$10,0),0)=0,0,IF(MIN(Settings!$B$5,IF(Settings!$G$50="",Settings!$B$5,Settings!$G$50))&lt;MAX($A25,Settings!$F$50),0,INT((MIN(Settings!$B$5,IF(Settings!$G$50="",Settings!$B$5,Settings!$G$50))-MAX($A25,Settings!$F$50)-MOD(IFERROR(MATCH(Settings!$E$50,$EO$4:$EO$10,0),0)-WEEKDAY(MAX($A25,Settings!$F$50)),7))/7)+1)),IF(AND(IF(Settings!$E$50="",$B25,DATE(YEAR($A25),MONTH($A25),MIN(Settings!$E$50,DAY($B25))))&gt;=MAX($A25,Settings!$F$50),IF(Settings!$E$50="",$B25,DATE(YEAR($A25),MONTH($A25),MIN(Settings!$E$50,DAY($B25))))&lt;=MIN(Settings!$B$5,IF(Settings!$G$50="",Settings!$B$5,Settings!$G$50))),1,0)))))</f>
        <v/>
      </c>
      <c r="EZ25">
        <f>IF($E25&lt;&gt;"open",0,IF(AND('Month-End'!$V$28&lt;&gt;"",NOT(_xlfn.ISFORMULA('Month-End'!$V$28))),0,IF(OR(Settings!$C$51="",Settings!$D$51=""),0,Settings!$C$51*IF(Settings!$D$51="Weekly",IF(IFERROR(MATCH(Settings!$E$51,$EO$4:$EO$10,0),0)=0,0,IF(MIN(Settings!$B$5,IF(Settings!$G$51="",Settings!$B$5,Settings!$G$51))&lt;MAX($A25,Settings!$F$51),0,INT((MIN(Settings!$B$5,IF(Settings!$G$51="",Settings!$B$5,Settings!$G$51))-MAX($A25,Settings!$F$51)-MOD(IFERROR(MATCH(Settings!$E$51,$EO$4:$EO$10,0),0)-WEEKDAY(MAX($A25,Settings!$F$51)),7))/7)+1)),IF(AND(IF(Settings!$E$51="",$B25,DATE(YEAR($A25),MONTH($A25),MIN(Settings!$E$51,DAY($B25))))&gt;=MAX($A25,Settings!$F$51),IF(Settings!$E$51="",$B25,DATE(YEAR($A25),MONTH($A25),MIN(Settings!$E$51,DAY($B25))))&lt;=MIN(Settings!$B$5,IF(Settings!$G$51="",Settings!$B$5,Settings!$G$51))),1,0)))))</f>
        <v/>
      </c>
      <c r="FA25">
        <f>IF($E25&lt;&gt;"open",0,IF(AND('Month-End'!$V$29&lt;&gt;"",NOT(_xlfn.ISFORMULA('Month-End'!$V$29))),0,IF(OR(Settings!$C$52="",Settings!$D$52=""),0,Settings!$C$52*IF(Settings!$D$52="Weekly",IF(IFERROR(MATCH(Settings!$E$52,$EO$4:$EO$10,0),0)=0,0,IF(MIN(Settings!$B$5,IF(Settings!$G$52="",Settings!$B$5,Settings!$G$52))&lt;MAX($A25,Settings!$F$52),0,INT((MIN(Settings!$B$5,IF(Settings!$G$52="",Settings!$B$5,Settings!$G$52))-MAX($A25,Settings!$F$52)-MOD(IFERROR(MATCH(Settings!$E$52,$EO$4:$EO$10,0),0)-WEEKDAY(MAX($A25,Settings!$F$52)),7))/7)+1)),IF(AND(IF(Settings!$E$52="",$B25,DATE(YEAR($A25),MONTH($A25),MIN(Settings!$E$52,DAY($B25))))&gt;=MAX($A25,Settings!$F$52),IF(Settings!$E$52="",$B25,DATE(YEAR($A25),MONTH($A25),MIN(Settings!$E$52,DAY($B25))))&lt;=MIN(Settings!$B$5,IF(Settings!$G$52="",Settings!$B$5,Settings!$G$52))),1,0)))))</f>
        <v/>
      </c>
      <c r="FB25">
        <f>IF($E25&lt;&gt;"open",0,IF(AND('Month-End'!$V$30&lt;&gt;"",NOT(_xlfn.ISFORMULA('Month-End'!$V$30))),0,IF(OR(Settings!$C$53="",Settings!$D$53=""),0,Settings!$C$53*IF(Settings!$D$53="Weekly",IF(IFERROR(MATCH(Settings!$E$53,$EO$4:$EO$10,0),0)=0,0,IF(MIN(Settings!$B$5,IF(Settings!$G$53="",Settings!$B$5,Settings!$G$53))&lt;MAX($A25,Settings!$F$53),0,INT((MIN(Settings!$B$5,IF(Settings!$G$53="",Settings!$B$5,Settings!$G$53))-MAX($A25,Settings!$F$53)-MOD(IFERROR(MATCH(Settings!$E$53,$EO$4:$EO$10,0),0)-WEEKDAY(MAX($A25,Settings!$F$53)),7))/7)+1)),IF(AND(IF(Settings!$E$53="",$B25,DATE(YEAR($A25),MONTH($A25),MIN(Settings!$E$53,DAY($B25))))&gt;=MAX($A25,Settings!$F$53),IF(Settings!$E$53="",$B25,DATE(YEAR($A25),MONTH($A25),MIN(Settings!$E$53,DAY($B25))))&lt;=MIN(Settings!$B$5,IF(Settings!$G$53="",Settings!$B$5,Settings!$G$53))),1,0)))))</f>
        <v/>
      </c>
      <c r="FC25">
        <f>IF($E25&lt;&gt;"open",0,IF(AND('Month-End'!$V$31&lt;&gt;"",NOT(_xlfn.ISFORMULA('Month-End'!$V$31))),0,IF(OR(Settings!$C$54="",Settings!$D$54=""),0,Settings!$C$54*IF(Settings!$D$54="Weekly",IF(IFERROR(MATCH(Settings!$E$54,$EO$4:$EO$10,0),0)=0,0,IF(MIN(Settings!$B$5,IF(Settings!$G$54="",Settings!$B$5,Settings!$G$54))&lt;MAX($A25,Settings!$F$54),0,INT((MIN(Settings!$B$5,IF(Settings!$G$54="",Settings!$B$5,Settings!$G$54))-MAX($A25,Settings!$F$54)-MOD(IFERROR(MATCH(Settings!$E$54,$EO$4:$EO$10,0),0)-WEEKDAY(MAX($A25,Settings!$F$54)),7))/7)+1)),IF(AND(IF(Settings!$E$54="",$B25,DATE(YEAR($A25),MONTH($A25),MIN(Settings!$E$54,DAY($B25))))&gt;=MAX($A25,Settings!$F$54),IF(Settings!$E$54="",$B25,DATE(YEAR($A25),MONTH($A25),MIN(Settings!$E$54,DAY($B25))))&lt;=MIN(Settings!$B$5,IF(Settings!$G$54="",Settings!$B$5,Settings!$G$54))),1,0)))))</f>
        <v/>
      </c>
      <c r="FD25">
        <f>IF($E25&lt;&gt;"open",0,IF(AND('Month-End'!$V$32&lt;&gt;"",NOT(_xlfn.ISFORMULA('Month-End'!$V$32))),0,IF(OR(Settings!$C$55="",Settings!$D$55=""),0,Settings!$C$55*IF(Settings!$D$55="Weekly",IF(IFERROR(MATCH(Settings!$E$55,$EO$4:$EO$10,0),0)=0,0,IF(MIN(Settings!$B$5,IF(Settings!$G$55="",Settings!$B$5,Settings!$G$55))&lt;MAX($A25,Settings!$F$55),0,INT((MIN(Settings!$B$5,IF(Settings!$G$55="",Settings!$B$5,Settings!$G$55))-MAX($A25,Settings!$F$55)-MOD(IFERROR(MATCH(Settings!$E$55,$EO$4:$EO$10,0),0)-WEEKDAY(MAX($A25,Settings!$F$55)),7))/7)+1)),IF(AND(IF(Settings!$E$55="",$B25,DATE(YEAR($A25),MONTH($A25),MIN(Settings!$E$55,DAY($B25))))&gt;=MAX($A25,Settings!$F$55),IF(Settings!$E$55="",$B25,DATE(YEAR($A25),MONTH($A25),MIN(Settings!$E$55,DAY($B25))))&lt;=MIN(Settings!$B$5,IF(Settings!$G$55="",Settings!$B$5,Settings!$G$55))),1,0)))))</f>
        <v/>
      </c>
      <c r="FE25">
        <f>IF($E25&lt;&gt;"open",0,IF(AND('Month-End'!$V$33&lt;&gt;"",NOT(_xlfn.ISFORMULA('Month-End'!$V$33))),0,IF(OR(Settings!$C$56="",Settings!$D$56=""),0,Settings!$C$56*IF(Settings!$D$56="Weekly",IF(IFERROR(MATCH(Settings!$E$56,$EO$4:$EO$10,0),0)=0,0,IF(MIN(Settings!$B$5,IF(Settings!$G$56="",Settings!$B$5,Settings!$G$56))&lt;MAX($A25,Settings!$F$56),0,INT((MIN(Settings!$B$5,IF(Settings!$G$56="",Settings!$B$5,Settings!$G$56))-MAX($A25,Settings!$F$56)-MOD(IFERROR(MATCH(Settings!$E$56,$EO$4:$EO$10,0),0)-WEEKDAY(MAX($A25,Settings!$F$56)),7))/7)+1)),IF(AND(IF(Settings!$E$56="",$B25,DATE(YEAR($A25),MONTH($A25),MIN(Settings!$E$56,DAY($B25))))&gt;=MAX($A25,Settings!$F$56),IF(Settings!$E$56="",$B25,DATE(YEAR($A25),MONTH($A25),MIN(Settings!$E$56,DAY($B25))))&lt;=MIN(Settings!$B$5,IF(Settings!$G$56="",Settings!$B$5,Settings!$G$56))),1,0)))))</f>
        <v/>
      </c>
      <c r="FF25">
        <f>IF(Settings!$I$45="Yes",$G25,0)+IF(Settings!$I$46="Yes",$H25,0)+IF(Settings!$I$47="Yes",$I25,0)+IF(Settings!$I$48="Yes",$J25,0)+IF(Settings!$I$49="Yes",$K25,0)+IF(Settings!$I$50="Yes",$L25,0)+IF(Settings!$I$51="Yes",$M25,0)+IF(Settings!$I$52="Yes",$N25,0)+IF(Settings!$I$53="Yes",$O25,0)+IF(Settings!$I$54="Yes",$P25,0)+IF(Settings!$I$55="Yes",$Q25,0)+IF(Settings!$I$56="Yes",$R25,0)</f>
        <v/>
      </c>
      <c r="FG25">
        <f>IF(AND(Settings!$I$45="Yes",Settings!$J$45="No"),$G25,0)+IF(AND(Settings!$I$46="Yes",Settings!$J$46="No"),$H25,0)+IF(AND(Settings!$I$47="Yes",Settings!$J$47="No"),$I25,0)+IF(AND(Settings!$I$48="Yes",Settings!$J$48="No"),$J25,0)+IF(AND(Settings!$I$49="Yes",Settings!$J$49="No"),$K25,0)+IF(AND(Settings!$I$50="Yes",Settings!$J$50="No"),$L25,0)+IF(AND(Settings!$I$51="Yes",Settings!$J$51="No"),$M25,0)+IF(AND(Settings!$I$52="Yes",Settings!$J$52="No"),$N25,0)+IF(AND(Settings!$I$53="Yes",Settings!$J$53="No"),$O25,0)+IF(AND(Settings!$I$54="Yes",Settings!$J$54="No"),$P25,0)+IF(AND(Settings!$I$55="Yes",Settings!$J$55="No"),$Q25,0)+IF(AND(Settings!$I$56="Yes",Settings!$J$56="No"),$R25,0)</f>
        <v/>
      </c>
      <c r="FH25">
        <f>SUMIFS(Giving!$B$7:$B$2006,Giving!$A$7:$A$2006,"&gt;="&amp;$A25,Giving!$A$7:$A$2006,"&lt;="&amp;$B25,Giving!$G$7:$G$2006,"Yes")+IF(OR(OR(Settings!$B$60="",Settings!$F$60="No"),Settings!$H$60&lt;&gt;"Yes"),0,Settings!$B$60*IF(AND(IF(Settings!$C$60="",$B25,DATE(YEAR($A25),MONTH($A25),MIN(Settings!$C$60,DAY($B25))))&gt;=MAX($A25,Settings!$D$60),IF(Settings!$C$60="",$B25,DATE(YEAR($A25),MONTH($A25),MIN(Settings!$C$60,DAY($B25))))&lt;=MIN($C25,IF(Settings!$E$60="",$C25,Settings!$E$60))),1,0))+IF(OR(OR(Settings!$B$61="",Settings!$F$61="No"),Settings!$H$61&lt;&gt;"Yes"),0,Settings!$B$61*IF(AND(IF(Settings!$C$61="",$B25,DATE(YEAR($A25),MONTH($A25),MIN(Settings!$C$61,DAY($B25))))&gt;=MAX($A25,Settings!$D$61),IF(Settings!$C$61="",$B25,DATE(YEAR($A25),MONTH($A25),MIN(Settings!$C$61,DAY($B25))))&lt;=MIN($C25,IF(Settings!$E$61="",$C25,Settings!$E$61))),1,0))+IF(OR(OR(Settings!$B$62="",Settings!$F$62="No"),Settings!$H$62&lt;&gt;"Yes"),0,Settings!$B$62*IF(AND(IF(Settings!$C$62="",$B25,DATE(YEAR($A25),MONTH($A25),MIN(Settings!$C$62,DAY($B25))))&gt;=MAX($A25,Settings!$D$62),IF(Settings!$C$62="",$B25,DATE(YEAR($A25),MONTH($A25),MIN(Settings!$C$62,DAY($B25))))&lt;=MIN($C25,IF(Settings!$E$62="",$C25,Settings!$E$62))),1,0))+IF(OR(OR(Settings!$B$63="",Settings!$F$63="No"),Settings!$H$63&lt;&gt;"Yes"),0,Settings!$B$63*IF(AND(IF(Settings!$C$63="",$B25,DATE(YEAR($A25),MONTH($A25),MIN(Settings!$C$63,DAY($B25))))&gt;=MAX($A25,Settings!$D$63),IF(Settings!$C$63="",$B25,DATE(YEAR($A25),MONTH($A25),MIN(Settings!$C$63,DAY($B25))))&lt;=MIN($C25,IF(Settings!$E$63="",$C25,Settings!$E$63))),1,0))+IF(OR(OR(Settings!$B$64="",Settings!$F$64="No"),Settings!$H$64&lt;&gt;"Yes"),0,Settings!$B$64*IF(AND(IF(Settings!$C$64="",$B25,DATE(YEAR($A25),MONTH($A25),MIN(Settings!$C$64,DAY($B25))))&gt;=MAX($A25,Settings!$D$64),IF(Settings!$C$64="",$B25,DATE(YEAR($A25),MONTH($A25),MIN(Settings!$C$64,DAY($B25))))&lt;=MIN($C25,IF(Settings!$E$64="",$C25,Settings!$E$64))),1,0))+IF(OR(OR(Settings!$B$65="",Settings!$F$65="No"),Settings!$H$65&lt;&gt;"Yes"),0,Settings!$B$65*IF(AND(IF(Settings!$C$65="",$B25,DATE(YEAR($A25),MONTH($A25),MIN(Settings!$C$65,DAY($B25))))&gt;=MAX($A25,Settings!$D$65),IF(Settings!$C$65="",$B25,DATE(YEAR($A25),MONTH($A25),MIN(Settings!$C$65,DAY($B25))))&lt;=MIN($C25,IF(Settings!$E$65="",$C25,Settings!$E$65))),1,0))</f>
        <v/>
      </c>
      <c r="FI25">
        <f>IF($DT25=1,IF(OR(Settings!$B$19="Card",Settings!$B$19="Loan"),N($AE25),0)+IF(OR(Settings!$B$20="Card",Settings!$B$20="Loan"),N($AF25),0)+IF(OR(Settings!$B$21="Card",Settings!$B$21="Loan"),N($AG25),0)+IF(OR(Settings!$B$22="Card",Settings!$B$22="Loan"),N($AH25),0)+IF(OR(Settings!$B$23="Card",Settings!$B$23="Loan"),N($AI25),0)+IF(OR(Settings!$B$24="Card",Settings!$B$24="Loan"),N($AJ25),0)+IF(OR(Settings!$B$25="Card",Settings!$B$25="Loan"),N($AK25),0)+IF(OR(Settings!$B$26="Card",Settings!$B$26="Loan"),N($AL25),0)+IF(OR(Settings!$B$27="Card",Settings!$B$27="Loan"),N($AM25),0)+IF(OR(Settings!$B$28="Card",Settings!$B$28="Loan"),N($AN25),0)+IF(OR(Settings!$B$29="Card",Settings!$B$29="Loan"),N($AO25),0)+IF(OR(Settings!$B$30="Card",Settings!$B$30="Loan"),N($AP25),0)+IF(OR(Settings!$B$31="Card",Settings!$B$31="Loan"),N($AQ25),0)+IF(OR(Settings!$B$32="Card",Settings!$B$32="Loan"),N($AR25),0),"")</f>
        <v/>
      </c>
      <c r="FJ25">
        <f>IF($E25="open",$EB$65,IF($E25="post",IF($E24="pre",$EB$65,$FI24),""))</f>
        <v/>
      </c>
      <c r="FK25">
        <f>IF(AND($DT25=1,$DC25=1),IF(ROUND($FI25-$FJ25,2)&gt;0,1,0),0)</f>
        <v/>
      </c>
      <c r="FL25">
        <f>IF($FK25=1,$FL24+1,0)</f>
        <v/>
      </c>
    </row>
    <row r="26">
      <c r="A26">
        <f>'Month-End'!$W$4</f>
        <v/>
      </c>
      <c r="B26">
        <f>EOMONTH($A26,0)</f>
        <v/>
      </c>
      <c r="C26">
        <f>MIN($B26,TODAY())</f>
        <v/>
      </c>
      <c r="D26">
        <f>IF($A26&gt;TODAY(),1,0)</f>
        <v/>
      </c>
      <c r="E26">
        <f>IF($B26&lt;=Settings!$B$5,"pre",IF($A26&lt;=Settings!$B$5,"open","post"))</f>
        <v/>
      </c>
      <c r="G26">
        <f>IF('Month-End'!$W$22="",$BE26,N('Month-End'!$W$22))</f>
        <v/>
      </c>
      <c r="H26">
        <f>IF('Month-End'!$W$23="",$BF26,N('Month-End'!$W$23))</f>
        <v/>
      </c>
      <c r="I26">
        <f>IF('Month-End'!$W$24="",$BG26,N('Month-End'!$W$24))</f>
        <v/>
      </c>
      <c r="J26">
        <f>IF('Month-End'!$W$25="",$BH26,N('Month-End'!$W$25))</f>
        <v/>
      </c>
      <c r="K26">
        <f>IF('Month-End'!$W$26="",$BI26,N('Month-End'!$W$26))</f>
        <v/>
      </c>
      <c r="L26">
        <f>IF('Month-End'!$W$27="",$BJ26,N('Month-End'!$W$27))</f>
        <v/>
      </c>
      <c r="M26">
        <f>IF('Month-End'!$W$28="",$BK26,N('Month-End'!$W$28))</f>
        <v/>
      </c>
      <c r="N26">
        <f>IF('Month-End'!$W$29="",$BL26,N('Month-End'!$W$29))</f>
        <v/>
      </c>
      <c r="O26">
        <f>IF('Month-End'!$W$30="",$BM26,N('Month-End'!$W$30))</f>
        <v/>
      </c>
      <c r="P26">
        <f>IF('Month-End'!$W$31="",$BN26,N('Month-End'!$W$31))</f>
        <v/>
      </c>
      <c r="Q26">
        <f>IF('Month-End'!$W$32="",$BO26,N('Month-End'!$W$32))</f>
        <v/>
      </c>
      <c r="R26">
        <f>IF('Month-End'!$W$33="",$BP26,N('Month-End'!$W$33))</f>
        <v/>
      </c>
      <c r="S26">
        <f>$G26+$H26+$I26+$J26+$K26+$L26+$M26+$N26+$O26+$P26+$Q26+$R26</f>
        <v/>
      </c>
      <c r="T26">
        <f>IF($B26&lt;Settings!$B$6,0,IF(Settings!$B$45="Yes",$G26,0)+IF(Settings!$B$46="Yes",$H26,0)+IF(Settings!$B$47="Yes",$I26,0)+IF(Settings!$B$48="Yes",$J26,0)+IF(Settings!$B$49="Yes",$K26,0)+IF(Settings!$B$50="Yes",$L26,0)+IF(Settings!$B$51="Yes",$M26,0)+IF(Settings!$B$52="Yes",$N26,0)+IF(Settings!$B$53="Yes",$O26,0)+IF(Settings!$B$54="Yes",$P26,0)+IF(Settings!$B$55="Yes",$Q26,0)+IF(Settings!$B$56="Yes",$R26,0))</f>
        <v/>
      </c>
      <c r="U26">
        <f>IF(Settings!$B$45="Not Sure",$G26,0)+IF(Settings!$B$46="Not Sure",$H26,0)+IF(Settings!$B$47="Not Sure",$I26,0)+IF(Settings!$B$48="Not Sure",$J26,0)+IF(Settings!$B$49="Not Sure",$K26,0)+IF(Settings!$B$50="Not Sure",$L26,0)+IF(Settings!$B$51="Not Sure",$M26,0)+IF(Settings!$B$52="Not Sure",$N26,0)+IF(Settings!$B$53="Not Sure",$O26,0)+IF(Settings!$B$54="Not Sure",$P26,0)+IF(Settings!$B$55="Not Sure",$Q26,0)+IF(Settings!$B$56="Not Sure",$R26,0)</f>
        <v/>
      </c>
      <c r="V26">
        <f>IF($E26="open",SUM($ET26:$FE26)+N(Settings!$B$13),0)</f>
        <v/>
      </c>
      <c r="W26">
        <f>IF($E26="post",$S26,IF($E26="open",$S26-$V26,0))</f>
        <v/>
      </c>
      <c r="X26">
        <f>SUMIFS(Giving!$B$7:$B$2006,Giving!$A$7:$A$2006,"&gt;="&amp;$A26,Giving!$A$7:$A$2006,"&lt;="&amp;$B26,Giving!$E$7:$E$2006,"&lt;&gt;No")</f>
        <v/>
      </c>
      <c r="Y26">
        <f>SUMIFS(Giving!$B$7:$B$2006,Giving!$A$7:$A$2006,"&gt;="&amp;$A26,Giving!$A$7:$A$2006,"&lt;="&amp;$B26,Giving!$E$7:$E$2006,"No")</f>
        <v/>
      </c>
      <c r="Z26">
        <f>IF(OR(Settings!$B$60="",Settings!$F$60="No"),0,Settings!$B$60*IF(AND(IF(Settings!$C$60="",$B26,DATE(YEAR($A26),MONTH($A26),MIN(Settings!$C$60,DAY($B26))))&gt;=MAX($A26,Settings!$D$60),IF(Settings!$C$60="",$B26,DATE(YEAR($A26),MONTH($A26),MIN(Settings!$C$60,DAY($B26))))&lt;=MIN($C26,IF(Settings!$E$60="",$C26,Settings!$E$60))),1,0))+IF(OR(Settings!$B$61="",Settings!$F$61="No"),0,Settings!$B$61*IF(AND(IF(Settings!$C$61="",$B26,DATE(YEAR($A26),MONTH($A26),MIN(Settings!$C$61,DAY($B26))))&gt;=MAX($A26,Settings!$D$61),IF(Settings!$C$61="",$B26,DATE(YEAR($A26),MONTH($A26),MIN(Settings!$C$61,DAY($B26))))&lt;=MIN($C26,IF(Settings!$E$61="",$C26,Settings!$E$61))),1,0))+IF(OR(Settings!$B$62="",Settings!$F$62="No"),0,Settings!$B$62*IF(AND(IF(Settings!$C$62="",$B26,DATE(YEAR($A26),MONTH($A26),MIN(Settings!$C$62,DAY($B26))))&gt;=MAX($A26,Settings!$D$62),IF(Settings!$C$62="",$B26,DATE(YEAR($A26),MONTH($A26),MIN(Settings!$C$62,DAY($B26))))&lt;=MIN($C26,IF(Settings!$E$62="",$C26,Settings!$E$62))),1,0))+IF(OR(Settings!$B$63="",Settings!$F$63="No"),0,Settings!$B$63*IF(AND(IF(Settings!$C$63="",$B26,DATE(YEAR($A26),MONTH($A26),MIN(Settings!$C$63,DAY($B26))))&gt;=MAX($A26,Settings!$D$63),IF(Settings!$C$63="",$B26,DATE(YEAR($A26),MONTH($A26),MIN(Settings!$C$63,DAY($B26))))&lt;=MIN($C26,IF(Settings!$E$63="",$C26,Settings!$E$63))),1,0))+IF(OR(Settings!$B$64="",Settings!$F$64="No"),0,Settings!$B$64*IF(AND(IF(Settings!$C$64="",$B26,DATE(YEAR($A26),MONTH($A26),MIN(Settings!$C$64,DAY($B26))))&gt;=MAX($A26,Settings!$D$64),IF(Settings!$C$64="",$B26,DATE(YEAR($A26),MONTH($A26),MIN(Settings!$C$64,DAY($B26))))&lt;=MIN($C26,IF(Settings!$E$64="",$C26,Settings!$E$64))),1,0))+IF(OR(Settings!$B$65="",Settings!$F$65="No"),0,Settings!$B$65*IF(AND(IF(Settings!$C$65="",$B26,DATE(YEAR($A26),MONTH($A26),MIN(Settings!$C$65,DAY($B26))))&gt;=MAX($A26,Settings!$D$65),IF(Settings!$C$65="",$B26,DATE(YEAR($A26),MONTH($A26),MIN(Settings!$C$65,DAY($B26))))&lt;=MIN($C26,IF(Settings!$E$65="",$C26,Settings!$E$65))),1,0))</f>
        <v/>
      </c>
      <c r="AA26">
        <f>$X26+$Z26</f>
        <v/>
      </c>
      <c r="AB26">
        <f>IF($E26="post",$AA26,IF($E26="open",SUMIFS(Giving!$B$7:$B$2006,Giving!$A$7:$A$2006,"&gt;"&amp;Settings!$B$5,Giving!$A$7:$A$2006,"&lt;="&amp;$B26,Giving!$E$7:$E$2006,"&lt;&gt;No")+IF(OR(Settings!$B$60="",Settings!$F$60="No"),0,Settings!$B$60*IF(AND(IF(Settings!$C$60="",$B26,DATE(YEAR($A26),MONTH($A26),MIN(Settings!$C$60,DAY($B26))))&gt;=MAX($A26,Settings!$D$60,Settings!$B$5+1),IF(Settings!$C$60="",$B26,DATE(YEAR($A26),MONTH($A26),MIN(Settings!$C$60,DAY($B26))))&lt;=MIN($C26,IF(Settings!$E$60="",$C26,Settings!$E$60))),1,0))+IF(OR(Settings!$B$61="",Settings!$F$61="No"),0,Settings!$B$61*IF(AND(IF(Settings!$C$61="",$B26,DATE(YEAR($A26),MONTH($A26),MIN(Settings!$C$61,DAY($B26))))&gt;=MAX($A26,Settings!$D$61,Settings!$B$5+1),IF(Settings!$C$61="",$B26,DATE(YEAR($A26),MONTH($A26),MIN(Settings!$C$61,DAY($B26))))&lt;=MIN($C26,IF(Settings!$E$61="",$C26,Settings!$E$61))),1,0))+IF(OR(Settings!$B$62="",Settings!$F$62="No"),0,Settings!$B$62*IF(AND(IF(Settings!$C$62="",$B26,DATE(YEAR($A26),MONTH($A26),MIN(Settings!$C$62,DAY($B26))))&gt;=MAX($A26,Settings!$D$62,Settings!$B$5+1),IF(Settings!$C$62="",$B26,DATE(YEAR($A26),MONTH($A26),MIN(Settings!$C$62,DAY($B26))))&lt;=MIN($C26,IF(Settings!$E$62="",$C26,Settings!$E$62))),1,0))+IF(OR(Settings!$B$63="",Settings!$F$63="No"),0,Settings!$B$63*IF(AND(IF(Settings!$C$63="",$B26,DATE(YEAR($A26),MONTH($A26),MIN(Settings!$C$63,DAY($B26))))&gt;=MAX($A26,Settings!$D$63,Settings!$B$5+1),IF(Settings!$C$63="",$B26,DATE(YEAR($A26),MONTH($A26),MIN(Settings!$C$63,DAY($B26))))&lt;=MIN($C26,IF(Settings!$E$63="",$C26,Settings!$E$63))),1,0))+IF(OR(Settings!$B$64="",Settings!$F$64="No"),0,Settings!$B$64*IF(AND(IF(Settings!$C$64="",$B26,DATE(YEAR($A26),MONTH($A26),MIN(Settings!$C$64,DAY($B26))))&gt;=MAX($A26,Settings!$D$64,Settings!$B$5+1),IF(Settings!$C$64="",$B26,DATE(YEAR($A26),MONTH($A26),MIN(Settings!$C$64,DAY($B26))))&lt;=MIN($C26,IF(Settings!$E$64="",$C26,Settings!$E$64))),1,0))+IF(OR(Settings!$B$65="",Settings!$F$65="No"),0,Settings!$B$65*IF(AND(IF(Settings!$C$65="",$B26,DATE(YEAR($A26),MONTH($A26),MIN(Settings!$C$65,DAY($B26))))&gt;=MAX($A26,Settings!$D$65,Settings!$B$5+1),IF(Settings!$C$65="",$B26,DATE(YEAR($A26),MONTH($A26),MIN(Settings!$C$65,DAY($B26))))&lt;=MIN($C26,IF(Settings!$E$65="",$C26,Settings!$E$65))),1,0)),0))</f>
        <v/>
      </c>
      <c r="AC26">
        <f>$AY26+$AZ26+$BA26+$BB26+$BC26+$BD26</f>
        <v/>
      </c>
      <c r="AD26">
        <f>$AC26</f>
        <v/>
      </c>
      <c r="AE26">
        <f>IF(OR(Settings!$A$19="",$E26="pre"),"",IF(AND('Month-End'!$W$7&lt;&gt;"",NOT(_xlfn.ISFORMULA('Month-End'!$W$7))),N('Month-End'!$W$7),IF(OR($E26="open",$E25="pre"),N(Settings!$C$19),N($AE25))))</f>
        <v/>
      </c>
      <c r="AF26">
        <f>IF(OR(Settings!$A$20="",$E26="pre"),"",IF(AND('Month-End'!$W$8&lt;&gt;"",NOT(_xlfn.ISFORMULA('Month-End'!$W$8))),N('Month-End'!$W$8),IF(OR($E26="open",$E25="pre"),N(Settings!$C$20),N($AF25))))</f>
        <v/>
      </c>
      <c r="AG26">
        <f>IF(OR(Settings!$A$21="",$E26="pre"),"",IF(AND('Month-End'!$W$9&lt;&gt;"",NOT(_xlfn.ISFORMULA('Month-End'!$W$9))),N('Month-End'!$W$9),IF(OR($E26="open",$E25="pre"),N(Settings!$C$21),N($AG25))))</f>
        <v/>
      </c>
      <c r="AH26">
        <f>IF(OR(Settings!$A$22="",$E26="pre"),"",IF(AND('Month-End'!$W$10&lt;&gt;"",NOT(_xlfn.ISFORMULA('Month-End'!$W$10))),N('Month-End'!$W$10),IF(OR($E26="open",$E25="pre"),N(Settings!$C$22),N($AH25))))</f>
        <v/>
      </c>
      <c r="AI26">
        <f>IF(OR(Settings!$A$23="",$E26="pre"),"",IF(AND('Month-End'!$W$11&lt;&gt;"",NOT(_xlfn.ISFORMULA('Month-End'!$W$11))),N('Month-End'!$W$11),IF(OR($E26="open",$E25="pre"),N(Settings!$C$23),N($AI25))))</f>
        <v/>
      </c>
      <c r="AJ26">
        <f>IF(OR(Settings!$A$24="",$E26="pre"),"",IF(AND('Month-End'!$W$12&lt;&gt;"",NOT(_xlfn.ISFORMULA('Month-End'!$W$12))),N('Month-End'!$W$12),IF(OR($E26="open",$E25="pre"),N(Settings!$C$24),N($AJ25))))</f>
        <v/>
      </c>
      <c r="AK26">
        <f>IF(OR(Settings!$A$25="",$E26="pre"),"",IF(AND('Month-End'!$W$13&lt;&gt;"",NOT(_xlfn.ISFORMULA('Month-End'!$W$13))),N('Month-End'!$W$13),IF(OR($E26="open",$E25="pre"),N(Settings!$C$25),N($AK25))))</f>
        <v/>
      </c>
      <c r="AL26">
        <f>IF(OR(Settings!$A$26="",$E26="pre"),"",IF(AND('Month-End'!$W$14&lt;&gt;"",NOT(_xlfn.ISFORMULA('Month-End'!$W$14))),N('Month-End'!$W$14),IF(OR($E26="open",$E25="pre"),N(Settings!$C$26),N($AL25))))</f>
        <v/>
      </c>
      <c r="AM26">
        <f>IF(OR(Settings!$A$27="",$E26="pre"),"",IF(AND('Month-End'!$W$15&lt;&gt;"",NOT(_xlfn.ISFORMULA('Month-End'!$W$15))),N('Month-End'!$W$15),IF(OR($E26="open",$E25="pre"),N(Settings!$C$27),N($AM25))))</f>
        <v/>
      </c>
      <c r="AN26">
        <f>IF(OR(Settings!$A$28="",$E26="pre"),"",IF(AND('Month-End'!$W$16&lt;&gt;"",NOT(_xlfn.ISFORMULA('Month-End'!$W$16))),N('Month-End'!$W$16),IF(OR($E26="open",$E25="pre"),N(Settings!$C$28),N($AN25))))</f>
        <v/>
      </c>
      <c r="AO26">
        <f>IF(OR(Settings!$A$29="",$E26="pre"),"",IF(AND('Month-End'!$W$17&lt;&gt;"",NOT(_xlfn.ISFORMULA('Month-End'!$W$17))),N('Month-End'!$W$17),IF(OR($E26="open",$E25="pre"),N(Settings!$C$29),N($AO25))))</f>
        <v/>
      </c>
      <c r="AP26">
        <f>IF(OR(Settings!$A$30="",$E26="pre"),"",IF(AND('Month-End'!$W$18&lt;&gt;"",NOT(_xlfn.ISFORMULA('Month-End'!$W$18))),N('Month-End'!$W$18),IF(OR($E26="open",$E25="pre"),N(Settings!$C$30),N($AP25))))</f>
        <v/>
      </c>
      <c r="AQ26">
        <f>IF(OR(Settings!$A$31="",$E26="pre"),"",IF(AND('Month-End'!$W$19&lt;&gt;"",NOT(_xlfn.ISFORMULA('Month-End'!$W$19))),N('Month-End'!$W$19),IF(OR($E26="open",$E25="pre"),N(Settings!$C$31),N($AQ25))))</f>
        <v/>
      </c>
      <c r="AR26">
        <f>IF(OR(Settings!$A$32="",$E26="pre"),"",IF(AND('Month-End'!$W$20&lt;&gt;"",NOT(_xlfn.ISFORMULA('Month-End'!$W$20))),N('Month-End'!$W$20),IF(OR($E26="open",$E25="pre"),N(Settings!$C$32),N($AR25))))</f>
        <v/>
      </c>
      <c r="AS26">
        <f>IF(OR(Settings!$A$36="",$E26="pre"),"",IF(AND('Month-End'!$W$38&lt;&gt;"",NOT(_xlfn.ISFORMULA('Month-End'!$W$38))),N('Month-End'!$W$38),IF(OR($E26="open",$E25="pre"),N(Settings!$C$36),N($AS25))+$AY26))</f>
        <v/>
      </c>
      <c r="AT26">
        <f>IF(OR(Settings!$A$37="",$E26="pre"),"",IF(AND('Month-End'!$W$39&lt;&gt;"",NOT(_xlfn.ISFORMULA('Month-End'!$W$39))),N('Month-End'!$W$39),IF(OR($E26="open",$E25="pre"),N(Settings!$C$37),N($AT25))+$AZ26))</f>
        <v/>
      </c>
      <c r="AU26">
        <f>IF(OR(Settings!$A$38="",$E26="pre"),"",IF(AND('Month-End'!$W$40&lt;&gt;"",NOT(_xlfn.ISFORMULA('Month-End'!$W$40))),N('Month-End'!$W$40),IF(OR($E26="open",$E25="pre"),N(Settings!$C$38),N($AU25))+$BA26))</f>
        <v/>
      </c>
      <c r="AV26">
        <f>IF(OR(Settings!$A$39="",$E26="pre"),"",IF(AND('Month-End'!$W$41&lt;&gt;"",NOT(_xlfn.ISFORMULA('Month-End'!$W$41))),N('Month-End'!$W$41),IF(OR($E26="open",$E25="pre"),N(Settings!$C$39),N($AV25))+$BB26))</f>
        <v/>
      </c>
      <c r="AW26">
        <f>IF(OR(Settings!$A$40="",$E26="pre"),"",IF(AND('Month-End'!$W$42&lt;&gt;"",NOT(_xlfn.ISFORMULA('Month-End'!$W$42))),N('Month-End'!$W$42),IF(OR($E26="open",$E25="pre"),N(Settings!$C$40),N($AW25))+$BC26))</f>
        <v/>
      </c>
      <c r="AX26">
        <f>IF(OR(Settings!$A$41="",$E26="pre"),"",IF(AND('Month-End'!$W$43&lt;&gt;"",NOT(_xlfn.ISFORMULA('Month-End'!$W$43))),N('Month-End'!$W$43),IF(OR($E26="open",$E25="pre"),N(Settings!$C$41),N($AX25))+$BD26))</f>
        <v/>
      </c>
      <c r="AY26">
        <f>IF($E26="pre",0,N('Month-End'!$W$45))</f>
        <v/>
      </c>
      <c r="AZ26">
        <f>IF($E26="pre",0,N('Month-End'!$W$46))</f>
        <v/>
      </c>
      <c r="BA26">
        <f>IF($E26="pre",0,N('Month-End'!$W$47))</f>
        <v/>
      </c>
      <c r="BB26">
        <f>IF($E26="pre",0,N('Month-End'!$W$48))</f>
        <v/>
      </c>
      <c r="BC26">
        <f>IF($E26="pre",0,N('Month-End'!$W$49))</f>
        <v/>
      </c>
      <c r="BD26">
        <f>IF($E26="pre",0,N('Month-End'!$W$50))</f>
        <v/>
      </c>
      <c r="BE26">
        <f>IF(OR(Settings!$C$45="",Settings!$D$45=""),0,Settings!$C$45*IF(Settings!$D$45="Weekly",IF(IFERROR(MATCH(Settings!$E$45,$EO$4:$EO$10,0),0)=0,0,IF(MIN($C26,IF(Settings!$G$45="",$C26,Settings!$G$45))&lt;MAX($A26,Settings!$F$45),0,INT((MIN($C26,IF(Settings!$G$45="",$C26,Settings!$G$45))-MAX($A26,Settings!$F$45)-MOD(IFERROR(MATCH(Settings!$E$45,$EO$4:$EO$10,0),0)-WEEKDAY(MAX($A26,Settings!$F$45)),7))/7)+1)),IF(AND(IF(Settings!$E$45="",$B26,DATE(YEAR($A26),MONTH($A26),MIN(Settings!$E$45,DAY($B26))))&gt;=MAX($A26,Settings!$F$45),IF(Settings!$E$45="",$B26,DATE(YEAR($A26),MONTH($A26),MIN(Settings!$E$45,DAY($B26))))&lt;=MIN($C26,IF(Settings!$G$45="",$C26,Settings!$G$45))),1,0)))</f>
        <v/>
      </c>
      <c r="BF26">
        <f>IF(OR(Settings!$C$46="",Settings!$D$46=""),0,Settings!$C$46*IF(Settings!$D$46="Weekly",IF(IFERROR(MATCH(Settings!$E$46,$EO$4:$EO$10,0),0)=0,0,IF(MIN($C26,IF(Settings!$G$46="",$C26,Settings!$G$46))&lt;MAX($A26,Settings!$F$46),0,INT((MIN($C26,IF(Settings!$G$46="",$C26,Settings!$G$46))-MAX($A26,Settings!$F$46)-MOD(IFERROR(MATCH(Settings!$E$46,$EO$4:$EO$10,0),0)-WEEKDAY(MAX($A26,Settings!$F$46)),7))/7)+1)),IF(AND(IF(Settings!$E$46="",$B26,DATE(YEAR($A26),MONTH($A26),MIN(Settings!$E$46,DAY($B26))))&gt;=MAX($A26,Settings!$F$46),IF(Settings!$E$46="",$B26,DATE(YEAR($A26),MONTH($A26),MIN(Settings!$E$46,DAY($B26))))&lt;=MIN($C26,IF(Settings!$G$46="",$C26,Settings!$G$46))),1,0)))</f>
        <v/>
      </c>
      <c r="BG26">
        <f>IF(OR(Settings!$C$47="",Settings!$D$47=""),0,Settings!$C$47*IF(Settings!$D$47="Weekly",IF(IFERROR(MATCH(Settings!$E$47,$EO$4:$EO$10,0),0)=0,0,IF(MIN($C26,IF(Settings!$G$47="",$C26,Settings!$G$47))&lt;MAX($A26,Settings!$F$47),0,INT((MIN($C26,IF(Settings!$G$47="",$C26,Settings!$G$47))-MAX($A26,Settings!$F$47)-MOD(IFERROR(MATCH(Settings!$E$47,$EO$4:$EO$10,0),0)-WEEKDAY(MAX($A26,Settings!$F$47)),7))/7)+1)),IF(AND(IF(Settings!$E$47="",$B26,DATE(YEAR($A26),MONTH($A26),MIN(Settings!$E$47,DAY($B26))))&gt;=MAX($A26,Settings!$F$47),IF(Settings!$E$47="",$B26,DATE(YEAR($A26),MONTH($A26),MIN(Settings!$E$47,DAY($B26))))&lt;=MIN($C26,IF(Settings!$G$47="",$C26,Settings!$G$47))),1,0)))</f>
        <v/>
      </c>
      <c r="BH26">
        <f>IF(OR(Settings!$C$48="",Settings!$D$48=""),0,Settings!$C$48*IF(Settings!$D$48="Weekly",IF(IFERROR(MATCH(Settings!$E$48,$EO$4:$EO$10,0),0)=0,0,IF(MIN($C26,IF(Settings!$G$48="",$C26,Settings!$G$48))&lt;MAX($A26,Settings!$F$48),0,INT((MIN($C26,IF(Settings!$G$48="",$C26,Settings!$G$48))-MAX($A26,Settings!$F$48)-MOD(IFERROR(MATCH(Settings!$E$48,$EO$4:$EO$10,0),0)-WEEKDAY(MAX($A26,Settings!$F$48)),7))/7)+1)),IF(AND(IF(Settings!$E$48="",$B26,DATE(YEAR($A26),MONTH($A26),MIN(Settings!$E$48,DAY($B26))))&gt;=MAX($A26,Settings!$F$48),IF(Settings!$E$48="",$B26,DATE(YEAR($A26),MONTH($A26),MIN(Settings!$E$48,DAY($B26))))&lt;=MIN($C26,IF(Settings!$G$48="",$C26,Settings!$G$48))),1,0)))</f>
        <v/>
      </c>
      <c r="BI26">
        <f>IF(OR(Settings!$C$49="",Settings!$D$49=""),0,Settings!$C$49*IF(Settings!$D$49="Weekly",IF(IFERROR(MATCH(Settings!$E$49,$EO$4:$EO$10,0),0)=0,0,IF(MIN($C26,IF(Settings!$G$49="",$C26,Settings!$G$49))&lt;MAX($A26,Settings!$F$49),0,INT((MIN($C26,IF(Settings!$G$49="",$C26,Settings!$G$49))-MAX($A26,Settings!$F$49)-MOD(IFERROR(MATCH(Settings!$E$49,$EO$4:$EO$10,0),0)-WEEKDAY(MAX($A26,Settings!$F$49)),7))/7)+1)),IF(AND(IF(Settings!$E$49="",$B26,DATE(YEAR($A26),MONTH($A26),MIN(Settings!$E$49,DAY($B26))))&gt;=MAX($A26,Settings!$F$49),IF(Settings!$E$49="",$B26,DATE(YEAR($A26),MONTH($A26),MIN(Settings!$E$49,DAY($B26))))&lt;=MIN($C26,IF(Settings!$G$49="",$C26,Settings!$G$49))),1,0)))</f>
        <v/>
      </c>
      <c r="BJ26">
        <f>IF(OR(Settings!$C$50="",Settings!$D$50=""),0,Settings!$C$50*IF(Settings!$D$50="Weekly",IF(IFERROR(MATCH(Settings!$E$50,$EO$4:$EO$10,0),0)=0,0,IF(MIN($C26,IF(Settings!$G$50="",$C26,Settings!$G$50))&lt;MAX($A26,Settings!$F$50),0,INT((MIN($C26,IF(Settings!$G$50="",$C26,Settings!$G$50))-MAX($A26,Settings!$F$50)-MOD(IFERROR(MATCH(Settings!$E$50,$EO$4:$EO$10,0),0)-WEEKDAY(MAX($A26,Settings!$F$50)),7))/7)+1)),IF(AND(IF(Settings!$E$50="",$B26,DATE(YEAR($A26),MONTH($A26),MIN(Settings!$E$50,DAY($B26))))&gt;=MAX($A26,Settings!$F$50),IF(Settings!$E$50="",$B26,DATE(YEAR($A26),MONTH($A26),MIN(Settings!$E$50,DAY($B26))))&lt;=MIN($C26,IF(Settings!$G$50="",$C26,Settings!$G$50))),1,0)))</f>
        <v/>
      </c>
      <c r="BK26">
        <f>IF(OR(Settings!$C$51="",Settings!$D$51=""),0,Settings!$C$51*IF(Settings!$D$51="Weekly",IF(IFERROR(MATCH(Settings!$E$51,$EO$4:$EO$10,0),0)=0,0,IF(MIN($C26,IF(Settings!$G$51="",$C26,Settings!$G$51))&lt;MAX($A26,Settings!$F$51),0,INT((MIN($C26,IF(Settings!$G$51="",$C26,Settings!$G$51))-MAX($A26,Settings!$F$51)-MOD(IFERROR(MATCH(Settings!$E$51,$EO$4:$EO$10,0),0)-WEEKDAY(MAX($A26,Settings!$F$51)),7))/7)+1)),IF(AND(IF(Settings!$E$51="",$B26,DATE(YEAR($A26),MONTH($A26),MIN(Settings!$E$51,DAY($B26))))&gt;=MAX($A26,Settings!$F$51),IF(Settings!$E$51="",$B26,DATE(YEAR($A26),MONTH($A26),MIN(Settings!$E$51,DAY($B26))))&lt;=MIN($C26,IF(Settings!$G$51="",$C26,Settings!$G$51))),1,0)))</f>
        <v/>
      </c>
      <c r="BL26">
        <f>IF(OR(Settings!$C$52="",Settings!$D$52=""),0,Settings!$C$52*IF(Settings!$D$52="Weekly",IF(IFERROR(MATCH(Settings!$E$52,$EO$4:$EO$10,0),0)=0,0,IF(MIN($C26,IF(Settings!$G$52="",$C26,Settings!$G$52))&lt;MAX($A26,Settings!$F$52),0,INT((MIN($C26,IF(Settings!$G$52="",$C26,Settings!$G$52))-MAX($A26,Settings!$F$52)-MOD(IFERROR(MATCH(Settings!$E$52,$EO$4:$EO$10,0),0)-WEEKDAY(MAX($A26,Settings!$F$52)),7))/7)+1)),IF(AND(IF(Settings!$E$52="",$B26,DATE(YEAR($A26),MONTH($A26),MIN(Settings!$E$52,DAY($B26))))&gt;=MAX($A26,Settings!$F$52),IF(Settings!$E$52="",$B26,DATE(YEAR($A26),MONTH($A26),MIN(Settings!$E$52,DAY($B26))))&lt;=MIN($C26,IF(Settings!$G$52="",$C26,Settings!$G$52))),1,0)))</f>
        <v/>
      </c>
      <c r="BM26">
        <f>IF(OR(Settings!$C$53="",Settings!$D$53=""),0,Settings!$C$53*IF(Settings!$D$53="Weekly",IF(IFERROR(MATCH(Settings!$E$53,$EO$4:$EO$10,0),0)=0,0,IF(MIN($C26,IF(Settings!$G$53="",$C26,Settings!$G$53))&lt;MAX($A26,Settings!$F$53),0,INT((MIN($C26,IF(Settings!$G$53="",$C26,Settings!$G$53))-MAX($A26,Settings!$F$53)-MOD(IFERROR(MATCH(Settings!$E$53,$EO$4:$EO$10,0),0)-WEEKDAY(MAX($A26,Settings!$F$53)),7))/7)+1)),IF(AND(IF(Settings!$E$53="",$B26,DATE(YEAR($A26),MONTH($A26),MIN(Settings!$E$53,DAY($B26))))&gt;=MAX($A26,Settings!$F$53),IF(Settings!$E$53="",$B26,DATE(YEAR($A26),MONTH($A26),MIN(Settings!$E$53,DAY($B26))))&lt;=MIN($C26,IF(Settings!$G$53="",$C26,Settings!$G$53))),1,0)))</f>
        <v/>
      </c>
      <c r="BN26">
        <f>IF(OR(Settings!$C$54="",Settings!$D$54=""),0,Settings!$C$54*IF(Settings!$D$54="Weekly",IF(IFERROR(MATCH(Settings!$E$54,$EO$4:$EO$10,0),0)=0,0,IF(MIN($C26,IF(Settings!$G$54="",$C26,Settings!$G$54))&lt;MAX($A26,Settings!$F$54),0,INT((MIN($C26,IF(Settings!$G$54="",$C26,Settings!$G$54))-MAX($A26,Settings!$F$54)-MOD(IFERROR(MATCH(Settings!$E$54,$EO$4:$EO$10,0),0)-WEEKDAY(MAX($A26,Settings!$F$54)),7))/7)+1)),IF(AND(IF(Settings!$E$54="",$B26,DATE(YEAR($A26),MONTH($A26),MIN(Settings!$E$54,DAY($B26))))&gt;=MAX($A26,Settings!$F$54),IF(Settings!$E$54="",$B26,DATE(YEAR($A26),MONTH($A26),MIN(Settings!$E$54,DAY($B26))))&lt;=MIN($C26,IF(Settings!$G$54="",$C26,Settings!$G$54))),1,0)))</f>
        <v/>
      </c>
      <c r="BO26">
        <f>IF(OR(Settings!$C$55="",Settings!$D$55=""),0,Settings!$C$55*IF(Settings!$D$55="Weekly",IF(IFERROR(MATCH(Settings!$E$55,$EO$4:$EO$10,0),0)=0,0,IF(MIN($C26,IF(Settings!$G$55="",$C26,Settings!$G$55))&lt;MAX($A26,Settings!$F$55),0,INT((MIN($C26,IF(Settings!$G$55="",$C26,Settings!$G$55))-MAX($A26,Settings!$F$55)-MOD(IFERROR(MATCH(Settings!$E$55,$EO$4:$EO$10,0),0)-WEEKDAY(MAX($A26,Settings!$F$55)),7))/7)+1)),IF(AND(IF(Settings!$E$55="",$B26,DATE(YEAR($A26),MONTH($A26),MIN(Settings!$E$55,DAY($B26))))&gt;=MAX($A26,Settings!$F$55),IF(Settings!$E$55="",$B26,DATE(YEAR($A26),MONTH($A26),MIN(Settings!$E$55,DAY($B26))))&lt;=MIN($C26,IF(Settings!$G$55="",$C26,Settings!$G$55))),1,0)))</f>
        <v/>
      </c>
      <c r="BP26">
        <f>IF(OR(Settings!$C$56="",Settings!$D$56=""),0,Settings!$C$56*IF(Settings!$D$56="Weekly",IF(IFERROR(MATCH(Settings!$E$56,$EO$4:$EO$10,0),0)=0,0,IF(MIN($C26,IF(Settings!$G$56="",$C26,Settings!$G$56))&lt;MAX($A26,Settings!$F$56),0,INT((MIN($C26,IF(Settings!$G$56="",$C26,Settings!$G$56))-MAX($A26,Settings!$F$56)-MOD(IFERROR(MATCH(Settings!$E$56,$EO$4:$EO$10,0),0)-WEEKDAY(MAX($A26,Settings!$F$56)),7))/7)+1)),IF(AND(IF(Settings!$E$56="",$B26,DATE(YEAR($A26),MONTH($A26),MIN(Settings!$E$56,DAY($B26))))&gt;=MAX($A26,Settings!$F$56),IF(Settings!$E$56="",$B26,DATE(YEAR($A26),MONTH($A26),MIN(Settings!$E$56,DAY($B26))))&lt;=MIN($C26,IF(Settings!$G$56="",$C26,Settings!$G$56))),1,0)))</f>
        <v/>
      </c>
      <c r="BQ26">
        <f>IF(OR(Settings!$B$14="",$D26=1,$E26="pre",$A26&lt;IF(Settings!$B$15="",0,Settings!$B$15)),0,Settings!$B$14)</f>
        <v/>
      </c>
      <c r="BR26">
        <f>IF(AND('Month-End'!$W$7&lt;&gt;"",NOT(_xlfn.ISFORMULA('Month-End'!$W$7))),1,0)</f>
        <v/>
      </c>
      <c r="BS26">
        <f>IF(AND('Month-End'!$W$8&lt;&gt;"",NOT(_xlfn.ISFORMULA('Month-End'!$W$8))),1,0)</f>
        <v/>
      </c>
      <c r="BT26">
        <f>IF(AND('Month-End'!$W$9&lt;&gt;"",NOT(_xlfn.ISFORMULA('Month-End'!$W$9))),1,0)</f>
        <v/>
      </c>
      <c r="BU26">
        <f>IF(AND('Month-End'!$W$10&lt;&gt;"",NOT(_xlfn.ISFORMULA('Month-End'!$W$10))),1,0)</f>
        <v/>
      </c>
      <c r="BV26">
        <f>IF(AND('Month-End'!$W$11&lt;&gt;"",NOT(_xlfn.ISFORMULA('Month-End'!$W$11))),1,0)</f>
        <v/>
      </c>
      <c r="BW26">
        <f>IF(AND('Month-End'!$W$12&lt;&gt;"",NOT(_xlfn.ISFORMULA('Month-End'!$W$12))),1,0)</f>
        <v/>
      </c>
      <c r="BX26">
        <f>IF(AND('Month-End'!$W$13&lt;&gt;"",NOT(_xlfn.ISFORMULA('Month-End'!$W$13))),1,0)</f>
        <v/>
      </c>
      <c r="BY26">
        <f>IF(AND('Month-End'!$W$14&lt;&gt;"",NOT(_xlfn.ISFORMULA('Month-End'!$W$14))),1,0)</f>
        <v/>
      </c>
      <c r="BZ26">
        <f>IF(AND('Month-End'!$W$15&lt;&gt;"",NOT(_xlfn.ISFORMULA('Month-End'!$W$15))),1,0)</f>
        <v/>
      </c>
      <c r="CA26">
        <f>IF(AND('Month-End'!$W$16&lt;&gt;"",NOT(_xlfn.ISFORMULA('Month-End'!$W$16))),1,0)</f>
        <v/>
      </c>
      <c r="CB26">
        <f>IF(AND('Month-End'!$W$17&lt;&gt;"",NOT(_xlfn.ISFORMULA('Month-End'!$W$17))),1,0)</f>
        <v/>
      </c>
      <c r="CC26">
        <f>IF(AND('Month-End'!$W$18&lt;&gt;"",NOT(_xlfn.ISFORMULA('Month-End'!$W$18))),1,0)</f>
        <v/>
      </c>
      <c r="CD26">
        <f>IF(AND('Month-End'!$W$19&lt;&gt;"",NOT(_xlfn.ISFORMULA('Month-End'!$W$19))),1,0)</f>
        <v/>
      </c>
      <c r="CE26">
        <f>IF(AND('Month-End'!$W$20&lt;&gt;"",NOT(_xlfn.ISFORMULA('Month-End'!$W$20))),1,0)</f>
        <v/>
      </c>
      <c r="CF26">
        <f>IF(AND('Month-End'!$W$38&lt;&gt;"",NOT(_xlfn.ISFORMULA('Month-End'!$W$38))),1,0)</f>
        <v/>
      </c>
      <c r="CG26">
        <f>IF(AND('Month-End'!$W$39&lt;&gt;"",NOT(_xlfn.ISFORMULA('Month-End'!$W$39))),1,0)</f>
        <v/>
      </c>
      <c r="CH26">
        <f>IF(AND('Month-End'!$W$40&lt;&gt;"",NOT(_xlfn.ISFORMULA('Month-End'!$W$40))),1,0)</f>
        <v/>
      </c>
      <c r="CI26">
        <f>IF(AND('Month-End'!$W$41&lt;&gt;"",NOT(_xlfn.ISFORMULA('Month-End'!$W$41))),1,0)</f>
        <v/>
      </c>
      <c r="CJ26">
        <f>IF(AND('Month-End'!$W$42&lt;&gt;"",NOT(_xlfn.ISFORMULA('Month-End'!$W$42))),1,0)</f>
        <v/>
      </c>
      <c r="CK26">
        <f>IF(AND('Month-End'!$W$43&lt;&gt;"",NOT(_xlfn.ISFORMULA('Month-End'!$W$43))),1,0)</f>
        <v/>
      </c>
      <c r="CL26">
        <f>SUM($CM26:$CZ26)</f>
        <v/>
      </c>
      <c r="CM26">
        <f>IF(AND($E26&lt;&gt;"pre",AND(Settings!$A$19&lt;&gt;"",Settings!$E$19&lt;&gt;"No"),Settings!$F$19="Yes",NOT(AND('Month-End'!$W$7&lt;&gt;"",NOT(_xlfn.ISFORMULA('Month-End'!$W$7))))),1,0)</f>
        <v/>
      </c>
      <c r="CN26">
        <f>IF(AND($E26&lt;&gt;"pre",AND(Settings!$A$20&lt;&gt;"",Settings!$E$20&lt;&gt;"No"),Settings!$F$20="Yes",NOT(AND('Month-End'!$W$8&lt;&gt;"",NOT(_xlfn.ISFORMULA('Month-End'!$W$8))))),1,0)</f>
        <v/>
      </c>
      <c r="CO26">
        <f>IF(AND($E26&lt;&gt;"pre",AND(Settings!$A$21&lt;&gt;"",Settings!$E$21&lt;&gt;"No"),Settings!$F$21="Yes",NOT(AND('Month-End'!$W$9&lt;&gt;"",NOT(_xlfn.ISFORMULA('Month-End'!$W$9))))),1,0)</f>
        <v/>
      </c>
      <c r="CP26">
        <f>IF(AND($E26&lt;&gt;"pre",AND(Settings!$A$22&lt;&gt;"",Settings!$E$22&lt;&gt;"No"),Settings!$F$22="Yes",NOT(AND('Month-End'!$W$10&lt;&gt;"",NOT(_xlfn.ISFORMULA('Month-End'!$W$10))))),1,0)</f>
        <v/>
      </c>
      <c r="CQ26">
        <f>IF(AND($E26&lt;&gt;"pre",AND(Settings!$A$23&lt;&gt;"",Settings!$E$23&lt;&gt;"No"),Settings!$F$23="Yes",NOT(AND('Month-End'!$W$11&lt;&gt;"",NOT(_xlfn.ISFORMULA('Month-End'!$W$11))))),1,0)</f>
        <v/>
      </c>
      <c r="CR26">
        <f>IF(AND($E26&lt;&gt;"pre",AND(Settings!$A$24&lt;&gt;"",Settings!$E$24&lt;&gt;"No"),Settings!$F$24="Yes",NOT(AND('Month-End'!$W$12&lt;&gt;"",NOT(_xlfn.ISFORMULA('Month-End'!$W$12))))),1,0)</f>
        <v/>
      </c>
      <c r="CS26">
        <f>IF(AND($E26&lt;&gt;"pre",AND(Settings!$A$25&lt;&gt;"",Settings!$E$25&lt;&gt;"No"),Settings!$F$25="Yes",NOT(AND('Month-End'!$W$13&lt;&gt;"",NOT(_xlfn.ISFORMULA('Month-End'!$W$13))))),1,0)</f>
        <v/>
      </c>
      <c r="CT26">
        <f>IF(AND($E26&lt;&gt;"pre",AND(Settings!$A$26&lt;&gt;"",Settings!$E$26&lt;&gt;"No"),Settings!$F$26="Yes",NOT(AND('Month-End'!$W$14&lt;&gt;"",NOT(_xlfn.ISFORMULA('Month-End'!$W$14))))),1,0)</f>
        <v/>
      </c>
      <c r="CU26">
        <f>IF(AND($E26&lt;&gt;"pre",AND(Settings!$A$27&lt;&gt;"",Settings!$E$27&lt;&gt;"No"),Settings!$F$27="Yes",NOT(AND('Month-End'!$W$15&lt;&gt;"",NOT(_xlfn.ISFORMULA('Month-End'!$W$15))))),1,0)</f>
        <v/>
      </c>
      <c r="CV26">
        <f>IF(AND($E26&lt;&gt;"pre",AND(Settings!$A$28&lt;&gt;"",Settings!$E$28&lt;&gt;"No"),Settings!$F$28="Yes",NOT(AND('Month-End'!$W$16&lt;&gt;"",NOT(_xlfn.ISFORMULA('Month-End'!$W$16))))),1,0)</f>
        <v/>
      </c>
      <c r="CW26">
        <f>IF(AND($E26&lt;&gt;"pre",AND(Settings!$A$29&lt;&gt;"",Settings!$E$29&lt;&gt;"No"),Settings!$F$29="Yes",NOT(AND('Month-End'!$W$17&lt;&gt;"",NOT(_xlfn.ISFORMULA('Month-End'!$W$17))))),1,0)</f>
        <v/>
      </c>
      <c r="CX26">
        <f>IF(AND($E26&lt;&gt;"pre",AND(Settings!$A$30&lt;&gt;"",Settings!$E$30&lt;&gt;"No"),Settings!$F$30="Yes",NOT(AND('Month-End'!$W$18&lt;&gt;"",NOT(_xlfn.ISFORMULA('Month-End'!$W$18))))),1,0)</f>
        <v/>
      </c>
      <c r="CY26">
        <f>IF(AND($E26&lt;&gt;"pre",AND(Settings!$A$31&lt;&gt;"",Settings!$E$31&lt;&gt;"No"),Settings!$F$31="Yes",NOT(AND('Month-End'!$W$19&lt;&gt;"",NOT(_xlfn.ISFORMULA('Month-End'!$W$19))))),1,0)</f>
        <v/>
      </c>
      <c r="CZ26">
        <f>IF(AND($E26&lt;&gt;"pre",AND(Settings!$A$32&lt;&gt;"",Settings!$E$32&lt;&gt;"No"),Settings!$F$32="Yes",NOT(AND('Month-End'!$W$20&lt;&gt;"",NOT(_xlfn.ISFORMULA('Month-End'!$W$20))))),1,0)</f>
        <v/>
      </c>
      <c r="DA26">
        <f>IF($DT26=1,IF(OR(Settings!$B$19="Checking",Settings!$B$19="Savings",Settings!$B$19="Cash"),N($AE26),IF(OR(Settings!$B$19="Card",Settings!$B$19="Loan"),-N($AE26),0))+IF(OR(Settings!$B$20="Checking",Settings!$B$20="Savings",Settings!$B$20="Cash"),N($AF26),IF(OR(Settings!$B$20="Card",Settings!$B$20="Loan"),-N($AF26),0))+IF(OR(Settings!$B$21="Checking",Settings!$B$21="Savings",Settings!$B$21="Cash"),N($AG26),IF(OR(Settings!$B$21="Card",Settings!$B$21="Loan"),-N($AG26),0))+IF(OR(Settings!$B$22="Checking",Settings!$B$22="Savings",Settings!$B$22="Cash"),N($AH26),IF(OR(Settings!$B$22="Card",Settings!$B$22="Loan"),-N($AH26),0))+IF(OR(Settings!$B$23="Checking",Settings!$B$23="Savings",Settings!$B$23="Cash"),N($AI26),IF(OR(Settings!$B$23="Card",Settings!$B$23="Loan"),-N($AI26),0))+IF(OR(Settings!$B$24="Checking",Settings!$B$24="Savings",Settings!$B$24="Cash"),N($AJ26),IF(OR(Settings!$B$24="Card",Settings!$B$24="Loan"),-N($AJ26),0))+IF(OR(Settings!$B$25="Checking",Settings!$B$25="Savings",Settings!$B$25="Cash"),N($AK26),IF(OR(Settings!$B$25="Card",Settings!$B$25="Loan"),-N($AK26),0))+IF(OR(Settings!$B$26="Checking",Settings!$B$26="Savings",Settings!$B$26="Cash"),N($AL26),IF(OR(Settings!$B$26="Card",Settings!$B$26="Loan"),-N($AL26),0))+IF(OR(Settings!$B$27="Checking",Settings!$B$27="Savings",Settings!$B$27="Cash"),N($AM26),IF(OR(Settings!$B$27="Card",Settings!$B$27="Loan"),-N($AM26),0))+IF(OR(Settings!$B$28="Checking",Settings!$B$28="Savings",Settings!$B$28="Cash"),N($AN26),IF(OR(Settings!$B$28="Card",Settings!$B$28="Loan"),-N($AN26),0))+IF(OR(Settings!$B$29="Checking",Settings!$B$29="Savings",Settings!$B$29="Cash"),N($AO26),IF(OR(Settings!$B$29="Card",Settings!$B$29="Loan"),-N($AO26),0))+IF(OR(Settings!$B$30="Checking",Settings!$B$30="Savings",Settings!$B$30="Cash"),N($AP26),IF(OR(Settings!$B$30="Card",Settings!$B$30="Loan"),-N($AP26),0))+IF(OR(Settings!$B$31="Checking",Settings!$B$31="Savings",Settings!$B$31="Cash"),N($AQ26),IF(OR(Settings!$B$31="Card",Settings!$B$31="Loan"),-N($AQ26),0))+IF(OR(Settings!$B$32="Checking",Settings!$B$32="Savings",Settings!$B$32="Cash"),N($AR26),IF(OR(Settings!$B$32="Card",Settings!$B$32="Loan"),-N($AR26),0)),"")</f>
        <v/>
      </c>
      <c r="DB26">
        <f>IF($E26="open",$EB$27,IF($E26="post",IF($E25="pre",$EB$27,$DA25),""))</f>
        <v/>
      </c>
      <c r="DC26">
        <f>IF($E26="open",1,IF($E26="post",IF($E25="pre",1,$DT25),0))</f>
        <v/>
      </c>
      <c r="DD26">
        <f>IF(AND($DT26=1,$DC26=1),ROUND($W26-($DA26-$DB26)-$AD26-$AB26,2),"")</f>
        <v/>
      </c>
      <c r="DE26">
        <f>IF('Month-End'!$W$35="",$BQ26,N('Month-End'!$W$35))</f>
        <v/>
      </c>
      <c r="DF26">
        <f>N('Month-End'!$W$36)</f>
        <v/>
      </c>
      <c r="DG26">
        <f>IF($DD26="","",$DD26+$DE26)</f>
        <v/>
      </c>
      <c r="DH26">
        <f>IF($DG26="","",$DG26-$DF26)</f>
        <v/>
      </c>
      <c r="DI26">
        <f>IF(OR($E26="pre",$D26=1),"",N($AS26)+N($AT26)+N($AU26)+N($AV26)+N($AW26)+N($AX26))</f>
        <v/>
      </c>
      <c r="DJ26">
        <f>IF($DT26=1,$DA26+N($DI26),"")</f>
        <v/>
      </c>
      <c r="DK26">
        <f>IF($DD26="","",$W26-$DD26-$AB26)</f>
        <v/>
      </c>
      <c r="DL26">
        <f>IF(AND($E26="post",$DD26&lt;&gt;"",$B26&lt;TODAY()),1,0)</f>
        <v/>
      </c>
      <c r="DM26">
        <f>IF($DL26=1,COUNTIF($DL26:$DL$183,1),0)</f>
        <v/>
      </c>
      <c r="DN26">
        <f>IF($D26=1,"",IF($E26="pre","History only",IF($DT26=1,IF($DD26="","⚠ Previous month missing",IF($DD26&lt;0,"⚠ Check: spending &lt; 0",IF($E26="open","✓ Done (partial)","✓ Done"))),IF($B26&gt;=TODAY(),"In progress","⚠ Needs balances"))))</f>
        <v/>
      </c>
      <c r="DO26">
        <f>YEAR($A26)</f>
        <v/>
      </c>
      <c r="DP26">
        <f>DATE(YEAR($A26),INT((MONTH($A26)-1)/3)*3+1,1)</f>
        <v/>
      </c>
      <c r="DQ26">
        <f>IF(AND($DT26=1,$DD26&lt;&gt;"",$D26=0),ROW(),0)</f>
        <v/>
      </c>
      <c r="DR26">
        <f>IF(AND($E26&lt;&gt;"pre",$B26&lt;TODAY(),$DT26=0),1,0)</f>
        <v/>
      </c>
      <c r="DS26">
        <f>IF($DJ26="",NA(),$DJ26)</f>
        <v/>
      </c>
      <c r="DT26">
        <f>IF(AND($E26&lt;&gt;"pre",$CL26=0,COUNTIFS(Settings!$F$19:$F$32,"Yes",Settings!$A$19:$A$32,"&lt;&gt;",Settings!$E$19:$E$32,"&lt;&gt;No")&gt;0),1,0)</f>
        <v/>
      </c>
      <c r="DU26">
        <f>IF(AND($B26&lt;TODAY(),$S26&gt;0),1,0)</f>
        <v/>
      </c>
      <c r="DV26">
        <f>IF($DU26=1,COUNTIF($DU26:$DU$183,1),0)</f>
        <v/>
      </c>
      <c r="DW26">
        <f>IF(AND(OR(Settings!$B$19="Card",Settings!$B$19="Loan"),AND('Month-End'!$W$7&lt;&gt;"",NOT(_xlfn.ISFORMULA('Month-End'!$W$7)))),IF(N('Month-End'!$W$7)&lt;0,1,0),0)+IF(AND(OR(Settings!$B$20="Card",Settings!$B$20="Loan"),AND('Month-End'!$W$8&lt;&gt;"",NOT(_xlfn.ISFORMULA('Month-End'!$W$8)))),IF(N('Month-End'!$W$8)&lt;0,1,0),0)+IF(AND(OR(Settings!$B$21="Card",Settings!$B$21="Loan"),AND('Month-End'!$W$9&lt;&gt;"",NOT(_xlfn.ISFORMULA('Month-End'!$W$9)))),IF(N('Month-End'!$W$9)&lt;0,1,0),0)+IF(AND(OR(Settings!$B$22="Card",Settings!$B$22="Loan"),AND('Month-End'!$W$10&lt;&gt;"",NOT(_xlfn.ISFORMULA('Month-End'!$W$10)))),IF(N('Month-End'!$W$10)&lt;0,1,0),0)+IF(AND(OR(Settings!$B$23="Card",Settings!$B$23="Loan"),AND('Month-End'!$W$11&lt;&gt;"",NOT(_xlfn.ISFORMULA('Month-End'!$W$11)))),IF(N('Month-End'!$W$11)&lt;0,1,0),0)+IF(AND(OR(Settings!$B$24="Card",Settings!$B$24="Loan"),AND('Month-End'!$W$12&lt;&gt;"",NOT(_xlfn.ISFORMULA('Month-End'!$W$12)))),IF(N('Month-End'!$W$12)&lt;0,1,0),0)+IF(AND(OR(Settings!$B$25="Card",Settings!$B$25="Loan"),AND('Month-End'!$W$13&lt;&gt;"",NOT(_xlfn.ISFORMULA('Month-End'!$W$13)))),IF(N('Month-End'!$W$13)&lt;0,1,0),0)+IF(AND(OR(Settings!$B$26="Card",Settings!$B$26="Loan"),AND('Month-End'!$W$14&lt;&gt;"",NOT(_xlfn.ISFORMULA('Month-End'!$W$14)))),IF(N('Month-End'!$W$14)&lt;0,1,0),0)+IF(AND(OR(Settings!$B$27="Card",Settings!$B$27="Loan"),AND('Month-End'!$W$15&lt;&gt;"",NOT(_xlfn.ISFORMULA('Month-End'!$W$15)))),IF(N('Month-End'!$W$15)&lt;0,1,0),0)+IF(AND(OR(Settings!$B$28="Card",Settings!$B$28="Loan"),AND('Month-End'!$W$16&lt;&gt;"",NOT(_xlfn.ISFORMULA('Month-End'!$W$16)))),IF(N('Month-End'!$W$16)&lt;0,1,0),0)+IF(AND(OR(Settings!$B$29="Card",Settings!$B$29="Loan"),AND('Month-End'!$W$17&lt;&gt;"",NOT(_xlfn.ISFORMULA('Month-End'!$W$17)))),IF(N('Month-End'!$W$17)&lt;0,1,0),0)+IF(AND(OR(Settings!$B$30="Card",Settings!$B$30="Loan"),AND('Month-End'!$W$18&lt;&gt;"",NOT(_xlfn.ISFORMULA('Month-End'!$W$18)))),IF(N('Month-End'!$W$18)&lt;0,1,0),0)+IF(AND(OR(Settings!$B$31="Card",Settings!$B$31="Loan"),AND('Month-End'!$W$19&lt;&gt;"",NOT(_xlfn.ISFORMULA('Month-End'!$W$19)))),IF(N('Month-End'!$W$19)&lt;0,1,0),0)+IF(AND(OR(Settings!$B$32="Card",Settings!$B$32="Loan"),AND('Month-End'!$W$20&lt;&gt;"",NOT(_xlfn.ISFORMULA('Month-End'!$W$20)))),IF(N('Month-End'!$W$20)&lt;0,1,0),0)</f>
        <v/>
      </c>
      <c r="DX26">
        <f>IF(Settings!$B$36="Retirement",$AY26,0)+IF(Settings!$B$37="Retirement",$AZ26,0)+IF(Settings!$B$38="Retirement",$BA26,0)+IF(Settings!$B$39="Retirement",$BB26,0)+IF(Settings!$B$40="Retirement",$BC26,0)+IF(Settings!$B$41="Retirement",$BD26,0)</f>
        <v/>
      </c>
      <c r="EA26" t="inlineStr">
        <is>
          <t>Specific Account</t>
        </is>
      </c>
      <c r="EB26">
        <f>0</f>
        <v/>
      </c>
      <c r="ET26">
        <f>IF($E26&lt;&gt;"open",0,IF(AND('Month-End'!$W$22&lt;&gt;"",NOT(_xlfn.ISFORMULA('Month-End'!$W$22))),0,IF(OR(Settings!$C$45="",Settings!$D$45=""),0,Settings!$C$45*IF(Settings!$D$45="Weekly",IF(IFERROR(MATCH(Settings!$E$45,$EO$4:$EO$10,0),0)=0,0,IF(MIN(Settings!$B$5,IF(Settings!$G$45="",Settings!$B$5,Settings!$G$45))&lt;MAX($A26,Settings!$F$45),0,INT((MIN(Settings!$B$5,IF(Settings!$G$45="",Settings!$B$5,Settings!$G$45))-MAX($A26,Settings!$F$45)-MOD(IFERROR(MATCH(Settings!$E$45,$EO$4:$EO$10,0),0)-WEEKDAY(MAX($A26,Settings!$F$45)),7))/7)+1)),IF(AND(IF(Settings!$E$45="",$B26,DATE(YEAR($A26),MONTH($A26),MIN(Settings!$E$45,DAY($B26))))&gt;=MAX($A26,Settings!$F$45),IF(Settings!$E$45="",$B26,DATE(YEAR($A26),MONTH($A26),MIN(Settings!$E$45,DAY($B26))))&lt;=MIN(Settings!$B$5,IF(Settings!$G$45="",Settings!$B$5,Settings!$G$45))),1,0)))))</f>
        <v/>
      </c>
      <c r="EU26">
        <f>IF($E26&lt;&gt;"open",0,IF(AND('Month-End'!$W$23&lt;&gt;"",NOT(_xlfn.ISFORMULA('Month-End'!$W$23))),0,IF(OR(Settings!$C$46="",Settings!$D$46=""),0,Settings!$C$46*IF(Settings!$D$46="Weekly",IF(IFERROR(MATCH(Settings!$E$46,$EO$4:$EO$10,0),0)=0,0,IF(MIN(Settings!$B$5,IF(Settings!$G$46="",Settings!$B$5,Settings!$G$46))&lt;MAX($A26,Settings!$F$46),0,INT((MIN(Settings!$B$5,IF(Settings!$G$46="",Settings!$B$5,Settings!$G$46))-MAX($A26,Settings!$F$46)-MOD(IFERROR(MATCH(Settings!$E$46,$EO$4:$EO$10,0),0)-WEEKDAY(MAX($A26,Settings!$F$46)),7))/7)+1)),IF(AND(IF(Settings!$E$46="",$B26,DATE(YEAR($A26),MONTH($A26),MIN(Settings!$E$46,DAY($B26))))&gt;=MAX($A26,Settings!$F$46),IF(Settings!$E$46="",$B26,DATE(YEAR($A26),MONTH($A26),MIN(Settings!$E$46,DAY($B26))))&lt;=MIN(Settings!$B$5,IF(Settings!$G$46="",Settings!$B$5,Settings!$G$46))),1,0)))))</f>
        <v/>
      </c>
      <c r="EV26">
        <f>IF($E26&lt;&gt;"open",0,IF(AND('Month-End'!$W$24&lt;&gt;"",NOT(_xlfn.ISFORMULA('Month-End'!$W$24))),0,IF(OR(Settings!$C$47="",Settings!$D$47=""),0,Settings!$C$47*IF(Settings!$D$47="Weekly",IF(IFERROR(MATCH(Settings!$E$47,$EO$4:$EO$10,0),0)=0,0,IF(MIN(Settings!$B$5,IF(Settings!$G$47="",Settings!$B$5,Settings!$G$47))&lt;MAX($A26,Settings!$F$47),0,INT((MIN(Settings!$B$5,IF(Settings!$G$47="",Settings!$B$5,Settings!$G$47))-MAX($A26,Settings!$F$47)-MOD(IFERROR(MATCH(Settings!$E$47,$EO$4:$EO$10,0),0)-WEEKDAY(MAX($A26,Settings!$F$47)),7))/7)+1)),IF(AND(IF(Settings!$E$47="",$B26,DATE(YEAR($A26),MONTH($A26),MIN(Settings!$E$47,DAY($B26))))&gt;=MAX($A26,Settings!$F$47),IF(Settings!$E$47="",$B26,DATE(YEAR($A26),MONTH($A26),MIN(Settings!$E$47,DAY($B26))))&lt;=MIN(Settings!$B$5,IF(Settings!$G$47="",Settings!$B$5,Settings!$G$47))),1,0)))))</f>
        <v/>
      </c>
      <c r="EW26">
        <f>IF($E26&lt;&gt;"open",0,IF(AND('Month-End'!$W$25&lt;&gt;"",NOT(_xlfn.ISFORMULA('Month-End'!$W$25))),0,IF(OR(Settings!$C$48="",Settings!$D$48=""),0,Settings!$C$48*IF(Settings!$D$48="Weekly",IF(IFERROR(MATCH(Settings!$E$48,$EO$4:$EO$10,0),0)=0,0,IF(MIN(Settings!$B$5,IF(Settings!$G$48="",Settings!$B$5,Settings!$G$48))&lt;MAX($A26,Settings!$F$48),0,INT((MIN(Settings!$B$5,IF(Settings!$G$48="",Settings!$B$5,Settings!$G$48))-MAX($A26,Settings!$F$48)-MOD(IFERROR(MATCH(Settings!$E$48,$EO$4:$EO$10,0),0)-WEEKDAY(MAX($A26,Settings!$F$48)),7))/7)+1)),IF(AND(IF(Settings!$E$48="",$B26,DATE(YEAR($A26),MONTH($A26),MIN(Settings!$E$48,DAY($B26))))&gt;=MAX($A26,Settings!$F$48),IF(Settings!$E$48="",$B26,DATE(YEAR($A26),MONTH($A26),MIN(Settings!$E$48,DAY($B26))))&lt;=MIN(Settings!$B$5,IF(Settings!$G$48="",Settings!$B$5,Settings!$G$48))),1,0)))))</f>
        <v/>
      </c>
      <c r="EX26">
        <f>IF($E26&lt;&gt;"open",0,IF(AND('Month-End'!$W$26&lt;&gt;"",NOT(_xlfn.ISFORMULA('Month-End'!$W$26))),0,IF(OR(Settings!$C$49="",Settings!$D$49=""),0,Settings!$C$49*IF(Settings!$D$49="Weekly",IF(IFERROR(MATCH(Settings!$E$49,$EO$4:$EO$10,0),0)=0,0,IF(MIN(Settings!$B$5,IF(Settings!$G$49="",Settings!$B$5,Settings!$G$49))&lt;MAX($A26,Settings!$F$49),0,INT((MIN(Settings!$B$5,IF(Settings!$G$49="",Settings!$B$5,Settings!$G$49))-MAX($A26,Settings!$F$49)-MOD(IFERROR(MATCH(Settings!$E$49,$EO$4:$EO$10,0),0)-WEEKDAY(MAX($A26,Settings!$F$49)),7))/7)+1)),IF(AND(IF(Settings!$E$49="",$B26,DATE(YEAR($A26),MONTH($A26),MIN(Settings!$E$49,DAY($B26))))&gt;=MAX($A26,Settings!$F$49),IF(Settings!$E$49="",$B26,DATE(YEAR($A26),MONTH($A26),MIN(Settings!$E$49,DAY($B26))))&lt;=MIN(Settings!$B$5,IF(Settings!$G$49="",Settings!$B$5,Settings!$G$49))),1,0)))))</f>
        <v/>
      </c>
      <c r="EY26">
        <f>IF($E26&lt;&gt;"open",0,IF(AND('Month-End'!$W$27&lt;&gt;"",NOT(_xlfn.ISFORMULA('Month-End'!$W$27))),0,IF(OR(Settings!$C$50="",Settings!$D$50=""),0,Settings!$C$50*IF(Settings!$D$50="Weekly",IF(IFERROR(MATCH(Settings!$E$50,$EO$4:$EO$10,0),0)=0,0,IF(MIN(Settings!$B$5,IF(Settings!$G$50="",Settings!$B$5,Settings!$G$50))&lt;MAX($A26,Settings!$F$50),0,INT((MIN(Settings!$B$5,IF(Settings!$G$50="",Settings!$B$5,Settings!$G$50))-MAX($A26,Settings!$F$50)-MOD(IFERROR(MATCH(Settings!$E$50,$EO$4:$EO$10,0),0)-WEEKDAY(MAX($A26,Settings!$F$50)),7))/7)+1)),IF(AND(IF(Settings!$E$50="",$B26,DATE(YEAR($A26),MONTH($A26),MIN(Settings!$E$50,DAY($B26))))&gt;=MAX($A26,Settings!$F$50),IF(Settings!$E$50="",$B26,DATE(YEAR($A26),MONTH($A26),MIN(Settings!$E$50,DAY($B26))))&lt;=MIN(Settings!$B$5,IF(Settings!$G$50="",Settings!$B$5,Settings!$G$50))),1,0)))))</f>
        <v/>
      </c>
      <c r="EZ26">
        <f>IF($E26&lt;&gt;"open",0,IF(AND('Month-End'!$W$28&lt;&gt;"",NOT(_xlfn.ISFORMULA('Month-End'!$W$28))),0,IF(OR(Settings!$C$51="",Settings!$D$51=""),0,Settings!$C$51*IF(Settings!$D$51="Weekly",IF(IFERROR(MATCH(Settings!$E$51,$EO$4:$EO$10,0),0)=0,0,IF(MIN(Settings!$B$5,IF(Settings!$G$51="",Settings!$B$5,Settings!$G$51))&lt;MAX($A26,Settings!$F$51),0,INT((MIN(Settings!$B$5,IF(Settings!$G$51="",Settings!$B$5,Settings!$G$51))-MAX($A26,Settings!$F$51)-MOD(IFERROR(MATCH(Settings!$E$51,$EO$4:$EO$10,0),0)-WEEKDAY(MAX($A26,Settings!$F$51)),7))/7)+1)),IF(AND(IF(Settings!$E$51="",$B26,DATE(YEAR($A26),MONTH($A26),MIN(Settings!$E$51,DAY($B26))))&gt;=MAX($A26,Settings!$F$51),IF(Settings!$E$51="",$B26,DATE(YEAR($A26),MONTH($A26),MIN(Settings!$E$51,DAY($B26))))&lt;=MIN(Settings!$B$5,IF(Settings!$G$51="",Settings!$B$5,Settings!$G$51))),1,0)))))</f>
        <v/>
      </c>
      <c r="FA26">
        <f>IF($E26&lt;&gt;"open",0,IF(AND('Month-End'!$W$29&lt;&gt;"",NOT(_xlfn.ISFORMULA('Month-End'!$W$29))),0,IF(OR(Settings!$C$52="",Settings!$D$52=""),0,Settings!$C$52*IF(Settings!$D$52="Weekly",IF(IFERROR(MATCH(Settings!$E$52,$EO$4:$EO$10,0),0)=0,0,IF(MIN(Settings!$B$5,IF(Settings!$G$52="",Settings!$B$5,Settings!$G$52))&lt;MAX($A26,Settings!$F$52),0,INT((MIN(Settings!$B$5,IF(Settings!$G$52="",Settings!$B$5,Settings!$G$52))-MAX($A26,Settings!$F$52)-MOD(IFERROR(MATCH(Settings!$E$52,$EO$4:$EO$10,0),0)-WEEKDAY(MAX($A26,Settings!$F$52)),7))/7)+1)),IF(AND(IF(Settings!$E$52="",$B26,DATE(YEAR($A26),MONTH($A26),MIN(Settings!$E$52,DAY($B26))))&gt;=MAX($A26,Settings!$F$52),IF(Settings!$E$52="",$B26,DATE(YEAR($A26),MONTH($A26),MIN(Settings!$E$52,DAY($B26))))&lt;=MIN(Settings!$B$5,IF(Settings!$G$52="",Settings!$B$5,Settings!$G$52))),1,0)))))</f>
        <v/>
      </c>
      <c r="FB26">
        <f>IF($E26&lt;&gt;"open",0,IF(AND('Month-End'!$W$30&lt;&gt;"",NOT(_xlfn.ISFORMULA('Month-End'!$W$30))),0,IF(OR(Settings!$C$53="",Settings!$D$53=""),0,Settings!$C$53*IF(Settings!$D$53="Weekly",IF(IFERROR(MATCH(Settings!$E$53,$EO$4:$EO$10,0),0)=0,0,IF(MIN(Settings!$B$5,IF(Settings!$G$53="",Settings!$B$5,Settings!$G$53))&lt;MAX($A26,Settings!$F$53),0,INT((MIN(Settings!$B$5,IF(Settings!$G$53="",Settings!$B$5,Settings!$G$53))-MAX($A26,Settings!$F$53)-MOD(IFERROR(MATCH(Settings!$E$53,$EO$4:$EO$10,0),0)-WEEKDAY(MAX($A26,Settings!$F$53)),7))/7)+1)),IF(AND(IF(Settings!$E$53="",$B26,DATE(YEAR($A26),MONTH($A26),MIN(Settings!$E$53,DAY($B26))))&gt;=MAX($A26,Settings!$F$53),IF(Settings!$E$53="",$B26,DATE(YEAR($A26),MONTH($A26),MIN(Settings!$E$53,DAY($B26))))&lt;=MIN(Settings!$B$5,IF(Settings!$G$53="",Settings!$B$5,Settings!$G$53))),1,0)))))</f>
        <v/>
      </c>
      <c r="FC26">
        <f>IF($E26&lt;&gt;"open",0,IF(AND('Month-End'!$W$31&lt;&gt;"",NOT(_xlfn.ISFORMULA('Month-End'!$W$31))),0,IF(OR(Settings!$C$54="",Settings!$D$54=""),0,Settings!$C$54*IF(Settings!$D$54="Weekly",IF(IFERROR(MATCH(Settings!$E$54,$EO$4:$EO$10,0),0)=0,0,IF(MIN(Settings!$B$5,IF(Settings!$G$54="",Settings!$B$5,Settings!$G$54))&lt;MAX($A26,Settings!$F$54),0,INT((MIN(Settings!$B$5,IF(Settings!$G$54="",Settings!$B$5,Settings!$G$54))-MAX($A26,Settings!$F$54)-MOD(IFERROR(MATCH(Settings!$E$54,$EO$4:$EO$10,0),0)-WEEKDAY(MAX($A26,Settings!$F$54)),7))/7)+1)),IF(AND(IF(Settings!$E$54="",$B26,DATE(YEAR($A26),MONTH($A26),MIN(Settings!$E$54,DAY($B26))))&gt;=MAX($A26,Settings!$F$54),IF(Settings!$E$54="",$B26,DATE(YEAR($A26),MONTH($A26),MIN(Settings!$E$54,DAY($B26))))&lt;=MIN(Settings!$B$5,IF(Settings!$G$54="",Settings!$B$5,Settings!$G$54))),1,0)))))</f>
        <v/>
      </c>
      <c r="FD26">
        <f>IF($E26&lt;&gt;"open",0,IF(AND('Month-End'!$W$32&lt;&gt;"",NOT(_xlfn.ISFORMULA('Month-End'!$W$32))),0,IF(OR(Settings!$C$55="",Settings!$D$55=""),0,Settings!$C$55*IF(Settings!$D$55="Weekly",IF(IFERROR(MATCH(Settings!$E$55,$EO$4:$EO$10,0),0)=0,0,IF(MIN(Settings!$B$5,IF(Settings!$G$55="",Settings!$B$5,Settings!$G$55))&lt;MAX($A26,Settings!$F$55),0,INT((MIN(Settings!$B$5,IF(Settings!$G$55="",Settings!$B$5,Settings!$G$55))-MAX($A26,Settings!$F$55)-MOD(IFERROR(MATCH(Settings!$E$55,$EO$4:$EO$10,0),0)-WEEKDAY(MAX($A26,Settings!$F$55)),7))/7)+1)),IF(AND(IF(Settings!$E$55="",$B26,DATE(YEAR($A26),MONTH($A26),MIN(Settings!$E$55,DAY($B26))))&gt;=MAX($A26,Settings!$F$55),IF(Settings!$E$55="",$B26,DATE(YEAR($A26),MONTH($A26),MIN(Settings!$E$55,DAY($B26))))&lt;=MIN(Settings!$B$5,IF(Settings!$G$55="",Settings!$B$5,Settings!$G$55))),1,0)))))</f>
        <v/>
      </c>
      <c r="FE26">
        <f>IF($E26&lt;&gt;"open",0,IF(AND('Month-End'!$W$33&lt;&gt;"",NOT(_xlfn.ISFORMULA('Month-End'!$W$33))),0,IF(OR(Settings!$C$56="",Settings!$D$56=""),0,Settings!$C$56*IF(Settings!$D$56="Weekly",IF(IFERROR(MATCH(Settings!$E$56,$EO$4:$EO$10,0),0)=0,0,IF(MIN(Settings!$B$5,IF(Settings!$G$56="",Settings!$B$5,Settings!$G$56))&lt;MAX($A26,Settings!$F$56),0,INT((MIN(Settings!$B$5,IF(Settings!$G$56="",Settings!$B$5,Settings!$G$56))-MAX($A26,Settings!$F$56)-MOD(IFERROR(MATCH(Settings!$E$56,$EO$4:$EO$10,0),0)-WEEKDAY(MAX($A26,Settings!$F$56)),7))/7)+1)),IF(AND(IF(Settings!$E$56="",$B26,DATE(YEAR($A26),MONTH($A26),MIN(Settings!$E$56,DAY($B26))))&gt;=MAX($A26,Settings!$F$56),IF(Settings!$E$56="",$B26,DATE(YEAR($A26),MONTH($A26),MIN(Settings!$E$56,DAY($B26))))&lt;=MIN(Settings!$B$5,IF(Settings!$G$56="",Settings!$B$5,Settings!$G$56))),1,0)))))</f>
        <v/>
      </c>
      <c r="FF26">
        <f>IF(Settings!$I$45="Yes",$G26,0)+IF(Settings!$I$46="Yes",$H26,0)+IF(Settings!$I$47="Yes",$I26,0)+IF(Settings!$I$48="Yes",$J26,0)+IF(Settings!$I$49="Yes",$K26,0)+IF(Settings!$I$50="Yes",$L26,0)+IF(Settings!$I$51="Yes",$M26,0)+IF(Settings!$I$52="Yes",$N26,0)+IF(Settings!$I$53="Yes",$O26,0)+IF(Settings!$I$54="Yes",$P26,0)+IF(Settings!$I$55="Yes",$Q26,0)+IF(Settings!$I$56="Yes",$R26,0)</f>
        <v/>
      </c>
      <c r="FG26">
        <f>IF(AND(Settings!$I$45="Yes",Settings!$J$45="No"),$G26,0)+IF(AND(Settings!$I$46="Yes",Settings!$J$46="No"),$H26,0)+IF(AND(Settings!$I$47="Yes",Settings!$J$47="No"),$I26,0)+IF(AND(Settings!$I$48="Yes",Settings!$J$48="No"),$J26,0)+IF(AND(Settings!$I$49="Yes",Settings!$J$49="No"),$K26,0)+IF(AND(Settings!$I$50="Yes",Settings!$J$50="No"),$L26,0)+IF(AND(Settings!$I$51="Yes",Settings!$J$51="No"),$M26,0)+IF(AND(Settings!$I$52="Yes",Settings!$J$52="No"),$N26,0)+IF(AND(Settings!$I$53="Yes",Settings!$J$53="No"),$O26,0)+IF(AND(Settings!$I$54="Yes",Settings!$J$54="No"),$P26,0)+IF(AND(Settings!$I$55="Yes",Settings!$J$55="No"),$Q26,0)+IF(AND(Settings!$I$56="Yes",Settings!$J$56="No"),$R26,0)</f>
        <v/>
      </c>
      <c r="FH26">
        <f>SUMIFS(Giving!$B$7:$B$2006,Giving!$A$7:$A$2006,"&gt;="&amp;$A26,Giving!$A$7:$A$2006,"&lt;="&amp;$B26,Giving!$G$7:$G$2006,"Yes")+IF(OR(OR(Settings!$B$60="",Settings!$F$60="No"),Settings!$H$60&lt;&gt;"Yes"),0,Settings!$B$60*IF(AND(IF(Settings!$C$60="",$B26,DATE(YEAR($A26),MONTH($A26),MIN(Settings!$C$60,DAY($B26))))&gt;=MAX($A26,Settings!$D$60),IF(Settings!$C$60="",$B26,DATE(YEAR($A26),MONTH($A26),MIN(Settings!$C$60,DAY($B26))))&lt;=MIN($C26,IF(Settings!$E$60="",$C26,Settings!$E$60))),1,0))+IF(OR(OR(Settings!$B$61="",Settings!$F$61="No"),Settings!$H$61&lt;&gt;"Yes"),0,Settings!$B$61*IF(AND(IF(Settings!$C$61="",$B26,DATE(YEAR($A26),MONTH($A26),MIN(Settings!$C$61,DAY($B26))))&gt;=MAX($A26,Settings!$D$61),IF(Settings!$C$61="",$B26,DATE(YEAR($A26),MONTH($A26),MIN(Settings!$C$61,DAY($B26))))&lt;=MIN($C26,IF(Settings!$E$61="",$C26,Settings!$E$61))),1,0))+IF(OR(OR(Settings!$B$62="",Settings!$F$62="No"),Settings!$H$62&lt;&gt;"Yes"),0,Settings!$B$62*IF(AND(IF(Settings!$C$62="",$B26,DATE(YEAR($A26),MONTH($A26),MIN(Settings!$C$62,DAY($B26))))&gt;=MAX($A26,Settings!$D$62),IF(Settings!$C$62="",$B26,DATE(YEAR($A26),MONTH($A26),MIN(Settings!$C$62,DAY($B26))))&lt;=MIN($C26,IF(Settings!$E$62="",$C26,Settings!$E$62))),1,0))+IF(OR(OR(Settings!$B$63="",Settings!$F$63="No"),Settings!$H$63&lt;&gt;"Yes"),0,Settings!$B$63*IF(AND(IF(Settings!$C$63="",$B26,DATE(YEAR($A26),MONTH($A26),MIN(Settings!$C$63,DAY($B26))))&gt;=MAX($A26,Settings!$D$63),IF(Settings!$C$63="",$B26,DATE(YEAR($A26),MONTH($A26),MIN(Settings!$C$63,DAY($B26))))&lt;=MIN($C26,IF(Settings!$E$63="",$C26,Settings!$E$63))),1,0))+IF(OR(OR(Settings!$B$64="",Settings!$F$64="No"),Settings!$H$64&lt;&gt;"Yes"),0,Settings!$B$64*IF(AND(IF(Settings!$C$64="",$B26,DATE(YEAR($A26),MONTH($A26),MIN(Settings!$C$64,DAY($B26))))&gt;=MAX($A26,Settings!$D$64),IF(Settings!$C$64="",$B26,DATE(YEAR($A26),MONTH($A26),MIN(Settings!$C$64,DAY($B26))))&lt;=MIN($C26,IF(Settings!$E$64="",$C26,Settings!$E$64))),1,0))+IF(OR(OR(Settings!$B$65="",Settings!$F$65="No"),Settings!$H$65&lt;&gt;"Yes"),0,Settings!$B$65*IF(AND(IF(Settings!$C$65="",$B26,DATE(YEAR($A26),MONTH($A26),MIN(Settings!$C$65,DAY($B26))))&gt;=MAX($A26,Settings!$D$65),IF(Settings!$C$65="",$B26,DATE(YEAR($A26),MONTH($A26),MIN(Settings!$C$65,DAY($B26))))&lt;=MIN($C26,IF(Settings!$E$65="",$C26,Settings!$E$65))),1,0))</f>
        <v/>
      </c>
      <c r="FI26">
        <f>IF($DT26=1,IF(OR(Settings!$B$19="Card",Settings!$B$19="Loan"),N($AE26),0)+IF(OR(Settings!$B$20="Card",Settings!$B$20="Loan"),N($AF26),0)+IF(OR(Settings!$B$21="Card",Settings!$B$21="Loan"),N($AG26),0)+IF(OR(Settings!$B$22="Card",Settings!$B$22="Loan"),N($AH26),0)+IF(OR(Settings!$B$23="Card",Settings!$B$23="Loan"),N($AI26),0)+IF(OR(Settings!$B$24="Card",Settings!$B$24="Loan"),N($AJ26),0)+IF(OR(Settings!$B$25="Card",Settings!$B$25="Loan"),N($AK26),0)+IF(OR(Settings!$B$26="Card",Settings!$B$26="Loan"),N($AL26),0)+IF(OR(Settings!$B$27="Card",Settings!$B$27="Loan"),N($AM26),0)+IF(OR(Settings!$B$28="Card",Settings!$B$28="Loan"),N($AN26),0)+IF(OR(Settings!$B$29="Card",Settings!$B$29="Loan"),N($AO26),0)+IF(OR(Settings!$B$30="Card",Settings!$B$30="Loan"),N($AP26),0)+IF(OR(Settings!$B$31="Card",Settings!$B$31="Loan"),N($AQ26),0)+IF(OR(Settings!$B$32="Card",Settings!$B$32="Loan"),N($AR26),0),"")</f>
        <v/>
      </c>
      <c r="FJ26">
        <f>IF($E26="open",$EB$65,IF($E26="post",IF($E25="pre",$EB$65,$FI25),""))</f>
        <v/>
      </c>
      <c r="FK26">
        <f>IF(AND($DT26=1,$DC26=1),IF(ROUND($FI26-$FJ26,2)&gt;0,1,0),0)</f>
        <v/>
      </c>
      <c r="FL26">
        <f>IF($FK26=1,$FL25+1,0)</f>
        <v/>
      </c>
    </row>
    <row r="27">
      <c r="A27">
        <f>'Month-End'!$X$4</f>
        <v/>
      </c>
      <c r="B27">
        <f>EOMONTH($A27,0)</f>
        <v/>
      </c>
      <c r="C27">
        <f>MIN($B27,TODAY())</f>
        <v/>
      </c>
      <c r="D27">
        <f>IF($A27&gt;TODAY(),1,0)</f>
        <v/>
      </c>
      <c r="E27">
        <f>IF($B27&lt;=Settings!$B$5,"pre",IF($A27&lt;=Settings!$B$5,"open","post"))</f>
        <v/>
      </c>
      <c r="G27">
        <f>IF('Month-End'!$X$22="",$BE27,N('Month-End'!$X$22))</f>
        <v/>
      </c>
      <c r="H27">
        <f>IF('Month-End'!$X$23="",$BF27,N('Month-End'!$X$23))</f>
        <v/>
      </c>
      <c r="I27">
        <f>IF('Month-End'!$X$24="",$BG27,N('Month-End'!$X$24))</f>
        <v/>
      </c>
      <c r="J27">
        <f>IF('Month-End'!$X$25="",$BH27,N('Month-End'!$X$25))</f>
        <v/>
      </c>
      <c r="K27">
        <f>IF('Month-End'!$X$26="",$BI27,N('Month-End'!$X$26))</f>
        <v/>
      </c>
      <c r="L27">
        <f>IF('Month-End'!$X$27="",$BJ27,N('Month-End'!$X$27))</f>
        <v/>
      </c>
      <c r="M27">
        <f>IF('Month-End'!$X$28="",$BK27,N('Month-End'!$X$28))</f>
        <v/>
      </c>
      <c r="N27">
        <f>IF('Month-End'!$X$29="",$BL27,N('Month-End'!$X$29))</f>
        <v/>
      </c>
      <c r="O27">
        <f>IF('Month-End'!$X$30="",$BM27,N('Month-End'!$X$30))</f>
        <v/>
      </c>
      <c r="P27">
        <f>IF('Month-End'!$X$31="",$BN27,N('Month-End'!$X$31))</f>
        <v/>
      </c>
      <c r="Q27">
        <f>IF('Month-End'!$X$32="",$BO27,N('Month-End'!$X$32))</f>
        <v/>
      </c>
      <c r="R27">
        <f>IF('Month-End'!$X$33="",$BP27,N('Month-End'!$X$33))</f>
        <v/>
      </c>
      <c r="S27">
        <f>$G27+$H27+$I27+$J27+$K27+$L27+$M27+$N27+$O27+$P27+$Q27+$R27</f>
        <v/>
      </c>
      <c r="T27">
        <f>IF($B27&lt;Settings!$B$6,0,IF(Settings!$B$45="Yes",$G27,0)+IF(Settings!$B$46="Yes",$H27,0)+IF(Settings!$B$47="Yes",$I27,0)+IF(Settings!$B$48="Yes",$J27,0)+IF(Settings!$B$49="Yes",$K27,0)+IF(Settings!$B$50="Yes",$L27,0)+IF(Settings!$B$51="Yes",$M27,0)+IF(Settings!$B$52="Yes",$N27,0)+IF(Settings!$B$53="Yes",$O27,0)+IF(Settings!$B$54="Yes",$P27,0)+IF(Settings!$B$55="Yes",$Q27,0)+IF(Settings!$B$56="Yes",$R27,0))</f>
        <v/>
      </c>
      <c r="U27">
        <f>IF(Settings!$B$45="Not Sure",$G27,0)+IF(Settings!$B$46="Not Sure",$H27,0)+IF(Settings!$B$47="Not Sure",$I27,0)+IF(Settings!$B$48="Not Sure",$J27,0)+IF(Settings!$B$49="Not Sure",$K27,0)+IF(Settings!$B$50="Not Sure",$L27,0)+IF(Settings!$B$51="Not Sure",$M27,0)+IF(Settings!$B$52="Not Sure",$N27,0)+IF(Settings!$B$53="Not Sure",$O27,0)+IF(Settings!$B$54="Not Sure",$P27,0)+IF(Settings!$B$55="Not Sure",$Q27,0)+IF(Settings!$B$56="Not Sure",$R27,0)</f>
        <v/>
      </c>
      <c r="V27">
        <f>IF($E27="open",SUM($ET27:$FE27)+N(Settings!$B$13),0)</f>
        <v/>
      </c>
      <c r="W27">
        <f>IF($E27="post",$S27,IF($E27="open",$S27-$V27,0))</f>
        <v/>
      </c>
      <c r="X27">
        <f>SUMIFS(Giving!$B$7:$B$2006,Giving!$A$7:$A$2006,"&gt;="&amp;$A27,Giving!$A$7:$A$2006,"&lt;="&amp;$B27,Giving!$E$7:$E$2006,"&lt;&gt;No")</f>
        <v/>
      </c>
      <c r="Y27">
        <f>SUMIFS(Giving!$B$7:$B$2006,Giving!$A$7:$A$2006,"&gt;="&amp;$A27,Giving!$A$7:$A$2006,"&lt;="&amp;$B27,Giving!$E$7:$E$2006,"No")</f>
        <v/>
      </c>
      <c r="Z27">
        <f>IF(OR(Settings!$B$60="",Settings!$F$60="No"),0,Settings!$B$60*IF(AND(IF(Settings!$C$60="",$B27,DATE(YEAR($A27),MONTH($A27),MIN(Settings!$C$60,DAY($B27))))&gt;=MAX($A27,Settings!$D$60),IF(Settings!$C$60="",$B27,DATE(YEAR($A27),MONTH($A27),MIN(Settings!$C$60,DAY($B27))))&lt;=MIN($C27,IF(Settings!$E$60="",$C27,Settings!$E$60))),1,0))+IF(OR(Settings!$B$61="",Settings!$F$61="No"),0,Settings!$B$61*IF(AND(IF(Settings!$C$61="",$B27,DATE(YEAR($A27),MONTH($A27),MIN(Settings!$C$61,DAY($B27))))&gt;=MAX($A27,Settings!$D$61),IF(Settings!$C$61="",$B27,DATE(YEAR($A27),MONTH($A27),MIN(Settings!$C$61,DAY($B27))))&lt;=MIN($C27,IF(Settings!$E$61="",$C27,Settings!$E$61))),1,0))+IF(OR(Settings!$B$62="",Settings!$F$62="No"),0,Settings!$B$62*IF(AND(IF(Settings!$C$62="",$B27,DATE(YEAR($A27),MONTH($A27),MIN(Settings!$C$62,DAY($B27))))&gt;=MAX($A27,Settings!$D$62),IF(Settings!$C$62="",$B27,DATE(YEAR($A27),MONTH($A27),MIN(Settings!$C$62,DAY($B27))))&lt;=MIN($C27,IF(Settings!$E$62="",$C27,Settings!$E$62))),1,0))+IF(OR(Settings!$B$63="",Settings!$F$63="No"),0,Settings!$B$63*IF(AND(IF(Settings!$C$63="",$B27,DATE(YEAR($A27),MONTH($A27),MIN(Settings!$C$63,DAY($B27))))&gt;=MAX($A27,Settings!$D$63),IF(Settings!$C$63="",$B27,DATE(YEAR($A27),MONTH($A27),MIN(Settings!$C$63,DAY($B27))))&lt;=MIN($C27,IF(Settings!$E$63="",$C27,Settings!$E$63))),1,0))+IF(OR(Settings!$B$64="",Settings!$F$64="No"),0,Settings!$B$64*IF(AND(IF(Settings!$C$64="",$B27,DATE(YEAR($A27),MONTH($A27),MIN(Settings!$C$64,DAY($B27))))&gt;=MAX($A27,Settings!$D$64),IF(Settings!$C$64="",$B27,DATE(YEAR($A27),MONTH($A27),MIN(Settings!$C$64,DAY($B27))))&lt;=MIN($C27,IF(Settings!$E$64="",$C27,Settings!$E$64))),1,0))+IF(OR(Settings!$B$65="",Settings!$F$65="No"),0,Settings!$B$65*IF(AND(IF(Settings!$C$65="",$B27,DATE(YEAR($A27),MONTH($A27),MIN(Settings!$C$65,DAY($B27))))&gt;=MAX($A27,Settings!$D$65),IF(Settings!$C$65="",$B27,DATE(YEAR($A27),MONTH($A27),MIN(Settings!$C$65,DAY($B27))))&lt;=MIN($C27,IF(Settings!$E$65="",$C27,Settings!$E$65))),1,0))</f>
        <v/>
      </c>
      <c r="AA27">
        <f>$X27+$Z27</f>
        <v/>
      </c>
      <c r="AB27">
        <f>IF($E27="post",$AA27,IF($E27="open",SUMIFS(Giving!$B$7:$B$2006,Giving!$A$7:$A$2006,"&gt;"&amp;Settings!$B$5,Giving!$A$7:$A$2006,"&lt;="&amp;$B27,Giving!$E$7:$E$2006,"&lt;&gt;No")+IF(OR(Settings!$B$60="",Settings!$F$60="No"),0,Settings!$B$60*IF(AND(IF(Settings!$C$60="",$B27,DATE(YEAR($A27),MONTH($A27),MIN(Settings!$C$60,DAY($B27))))&gt;=MAX($A27,Settings!$D$60,Settings!$B$5+1),IF(Settings!$C$60="",$B27,DATE(YEAR($A27),MONTH($A27),MIN(Settings!$C$60,DAY($B27))))&lt;=MIN($C27,IF(Settings!$E$60="",$C27,Settings!$E$60))),1,0))+IF(OR(Settings!$B$61="",Settings!$F$61="No"),0,Settings!$B$61*IF(AND(IF(Settings!$C$61="",$B27,DATE(YEAR($A27),MONTH($A27),MIN(Settings!$C$61,DAY($B27))))&gt;=MAX($A27,Settings!$D$61,Settings!$B$5+1),IF(Settings!$C$61="",$B27,DATE(YEAR($A27),MONTH($A27),MIN(Settings!$C$61,DAY($B27))))&lt;=MIN($C27,IF(Settings!$E$61="",$C27,Settings!$E$61))),1,0))+IF(OR(Settings!$B$62="",Settings!$F$62="No"),0,Settings!$B$62*IF(AND(IF(Settings!$C$62="",$B27,DATE(YEAR($A27),MONTH($A27),MIN(Settings!$C$62,DAY($B27))))&gt;=MAX($A27,Settings!$D$62,Settings!$B$5+1),IF(Settings!$C$62="",$B27,DATE(YEAR($A27),MONTH($A27),MIN(Settings!$C$62,DAY($B27))))&lt;=MIN($C27,IF(Settings!$E$62="",$C27,Settings!$E$62))),1,0))+IF(OR(Settings!$B$63="",Settings!$F$63="No"),0,Settings!$B$63*IF(AND(IF(Settings!$C$63="",$B27,DATE(YEAR($A27),MONTH($A27),MIN(Settings!$C$63,DAY($B27))))&gt;=MAX($A27,Settings!$D$63,Settings!$B$5+1),IF(Settings!$C$63="",$B27,DATE(YEAR($A27),MONTH($A27),MIN(Settings!$C$63,DAY($B27))))&lt;=MIN($C27,IF(Settings!$E$63="",$C27,Settings!$E$63))),1,0))+IF(OR(Settings!$B$64="",Settings!$F$64="No"),0,Settings!$B$64*IF(AND(IF(Settings!$C$64="",$B27,DATE(YEAR($A27),MONTH($A27),MIN(Settings!$C$64,DAY($B27))))&gt;=MAX($A27,Settings!$D$64,Settings!$B$5+1),IF(Settings!$C$64="",$B27,DATE(YEAR($A27),MONTH($A27),MIN(Settings!$C$64,DAY($B27))))&lt;=MIN($C27,IF(Settings!$E$64="",$C27,Settings!$E$64))),1,0))+IF(OR(Settings!$B$65="",Settings!$F$65="No"),0,Settings!$B$65*IF(AND(IF(Settings!$C$65="",$B27,DATE(YEAR($A27),MONTH($A27),MIN(Settings!$C$65,DAY($B27))))&gt;=MAX($A27,Settings!$D$65,Settings!$B$5+1),IF(Settings!$C$65="",$B27,DATE(YEAR($A27),MONTH($A27),MIN(Settings!$C$65,DAY($B27))))&lt;=MIN($C27,IF(Settings!$E$65="",$C27,Settings!$E$65))),1,0)),0))</f>
        <v/>
      </c>
      <c r="AC27">
        <f>$AY27+$AZ27+$BA27+$BB27+$BC27+$BD27</f>
        <v/>
      </c>
      <c r="AD27">
        <f>$AC27</f>
        <v/>
      </c>
      <c r="AE27">
        <f>IF(OR(Settings!$A$19="",$E27="pre"),"",IF(AND('Month-End'!$X$7&lt;&gt;"",NOT(_xlfn.ISFORMULA('Month-End'!$X$7))),N('Month-End'!$X$7),IF(OR($E27="open",$E26="pre"),N(Settings!$C$19),N($AE26))))</f>
        <v/>
      </c>
      <c r="AF27">
        <f>IF(OR(Settings!$A$20="",$E27="pre"),"",IF(AND('Month-End'!$X$8&lt;&gt;"",NOT(_xlfn.ISFORMULA('Month-End'!$X$8))),N('Month-End'!$X$8),IF(OR($E27="open",$E26="pre"),N(Settings!$C$20),N($AF26))))</f>
        <v/>
      </c>
      <c r="AG27">
        <f>IF(OR(Settings!$A$21="",$E27="pre"),"",IF(AND('Month-End'!$X$9&lt;&gt;"",NOT(_xlfn.ISFORMULA('Month-End'!$X$9))),N('Month-End'!$X$9),IF(OR($E27="open",$E26="pre"),N(Settings!$C$21),N($AG26))))</f>
        <v/>
      </c>
      <c r="AH27">
        <f>IF(OR(Settings!$A$22="",$E27="pre"),"",IF(AND('Month-End'!$X$10&lt;&gt;"",NOT(_xlfn.ISFORMULA('Month-End'!$X$10))),N('Month-End'!$X$10),IF(OR($E27="open",$E26="pre"),N(Settings!$C$22),N($AH26))))</f>
        <v/>
      </c>
      <c r="AI27">
        <f>IF(OR(Settings!$A$23="",$E27="pre"),"",IF(AND('Month-End'!$X$11&lt;&gt;"",NOT(_xlfn.ISFORMULA('Month-End'!$X$11))),N('Month-End'!$X$11),IF(OR($E27="open",$E26="pre"),N(Settings!$C$23),N($AI26))))</f>
        <v/>
      </c>
      <c r="AJ27">
        <f>IF(OR(Settings!$A$24="",$E27="pre"),"",IF(AND('Month-End'!$X$12&lt;&gt;"",NOT(_xlfn.ISFORMULA('Month-End'!$X$12))),N('Month-End'!$X$12),IF(OR($E27="open",$E26="pre"),N(Settings!$C$24),N($AJ26))))</f>
        <v/>
      </c>
      <c r="AK27">
        <f>IF(OR(Settings!$A$25="",$E27="pre"),"",IF(AND('Month-End'!$X$13&lt;&gt;"",NOT(_xlfn.ISFORMULA('Month-End'!$X$13))),N('Month-End'!$X$13),IF(OR($E27="open",$E26="pre"),N(Settings!$C$25),N($AK26))))</f>
        <v/>
      </c>
      <c r="AL27">
        <f>IF(OR(Settings!$A$26="",$E27="pre"),"",IF(AND('Month-End'!$X$14&lt;&gt;"",NOT(_xlfn.ISFORMULA('Month-End'!$X$14))),N('Month-End'!$X$14),IF(OR($E27="open",$E26="pre"),N(Settings!$C$26),N($AL26))))</f>
        <v/>
      </c>
      <c r="AM27">
        <f>IF(OR(Settings!$A$27="",$E27="pre"),"",IF(AND('Month-End'!$X$15&lt;&gt;"",NOT(_xlfn.ISFORMULA('Month-End'!$X$15))),N('Month-End'!$X$15),IF(OR($E27="open",$E26="pre"),N(Settings!$C$27),N($AM26))))</f>
        <v/>
      </c>
      <c r="AN27">
        <f>IF(OR(Settings!$A$28="",$E27="pre"),"",IF(AND('Month-End'!$X$16&lt;&gt;"",NOT(_xlfn.ISFORMULA('Month-End'!$X$16))),N('Month-End'!$X$16),IF(OR($E27="open",$E26="pre"),N(Settings!$C$28),N($AN26))))</f>
        <v/>
      </c>
      <c r="AO27">
        <f>IF(OR(Settings!$A$29="",$E27="pre"),"",IF(AND('Month-End'!$X$17&lt;&gt;"",NOT(_xlfn.ISFORMULA('Month-End'!$X$17))),N('Month-End'!$X$17),IF(OR($E27="open",$E26="pre"),N(Settings!$C$29),N($AO26))))</f>
        <v/>
      </c>
      <c r="AP27">
        <f>IF(OR(Settings!$A$30="",$E27="pre"),"",IF(AND('Month-End'!$X$18&lt;&gt;"",NOT(_xlfn.ISFORMULA('Month-End'!$X$18))),N('Month-End'!$X$18),IF(OR($E27="open",$E26="pre"),N(Settings!$C$30),N($AP26))))</f>
        <v/>
      </c>
      <c r="AQ27">
        <f>IF(OR(Settings!$A$31="",$E27="pre"),"",IF(AND('Month-End'!$X$19&lt;&gt;"",NOT(_xlfn.ISFORMULA('Month-End'!$X$19))),N('Month-End'!$X$19),IF(OR($E27="open",$E26="pre"),N(Settings!$C$31),N($AQ26))))</f>
        <v/>
      </c>
      <c r="AR27">
        <f>IF(OR(Settings!$A$32="",$E27="pre"),"",IF(AND('Month-End'!$X$20&lt;&gt;"",NOT(_xlfn.ISFORMULA('Month-End'!$X$20))),N('Month-End'!$X$20),IF(OR($E27="open",$E26="pre"),N(Settings!$C$32),N($AR26))))</f>
        <v/>
      </c>
      <c r="AS27">
        <f>IF(OR(Settings!$A$36="",$E27="pre"),"",IF(AND('Month-End'!$X$38&lt;&gt;"",NOT(_xlfn.ISFORMULA('Month-End'!$X$38))),N('Month-End'!$X$38),IF(OR($E27="open",$E26="pre"),N(Settings!$C$36),N($AS26))+$AY27))</f>
        <v/>
      </c>
      <c r="AT27">
        <f>IF(OR(Settings!$A$37="",$E27="pre"),"",IF(AND('Month-End'!$X$39&lt;&gt;"",NOT(_xlfn.ISFORMULA('Month-End'!$X$39))),N('Month-End'!$X$39),IF(OR($E27="open",$E26="pre"),N(Settings!$C$37),N($AT26))+$AZ27))</f>
        <v/>
      </c>
      <c r="AU27">
        <f>IF(OR(Settings!$A$38="",$E27="pre"),"",IF(AND('Month-End'!$X$40&lt;&gt;"",NOT(_xlfn.ISFORMULA('Month-End'!$X$40))),N('Month-End'!$X$40),IF(OR($E27="open",$E26="pre"),N(Settings!$C$38),N($AU26))+$BA27))</f>
        <v/>
      </c>
      <c r="AV27">
        <f>IF(OR(Settings!$A$39="",$E27="pre"),"",IF(AND('Month-End'!$X$41&lt;&gt;"",NOT(_xlfn.ISFORMULA('Month-End'!$X$41))),N('Month-End'!$X$41),IF(OR($E27="open",$E26="pre"),N(Settings!$C$39),N($AV26))+$BB27))</f>
        <v/>
      </c>
      <c r="AW27">
        <f>IF(OR(Settings!$A$40="",$E27="pre"),"",IF(AND('Month-End'!$X$42&lt;&gt;"",NOT(_xlfn.ISFORMULA('Month-End'!$X$42))),N('Month-End'!$X$42),IF(OR($E27="open",$E26="pre"),N(Settings!$C$40),N($AW26))+$BC27))</f>
        <v/>
      </c>
      <c r="AX27">
        <f>IF(OR(Settings!$A$41="",$E27="pre"),"",IF(AND('Month-End'!$X$43&lt;&gt;"",NOT(_xlfn.ISFORMULA('Month-End'!$X$43))),N('Month-End'!$X$43),IF(OR($E27="open",$E26="pre"),N(Settings!$C$41),N($AX26))+$BD27))</f>
        <v/>
      </c>
      <c r="AY27">
        <f>IF($E27="pre",0,N('Month-End'!$X$45))</f>
        <v/>
      </c>
      <c r="AZ27">
        <f>IF($E27="pre",0,N('Month-End'!$X$46))</f>
        <v/>
      </c>
      <c r="BA27">
        <f>IF($E27="pre",0,N('Month-End'!$X$47))</f>
        <v/>
      </c>
      <c r="BB27">
        <f>IF($E27="pre",0,N('Month-End'!$X$48))</f>
        <v/>
      </c>
      <c r="BC27">
        <f>IF($E27="pre",0,N('Month-End'!$X$49))</f>
        <v/>
      </c>
      <c r="BD27">
        <f>IF($E27="pre",0,N('Month-End'!$X$50))</f>
        <v/>
      </c>
      <c r="BE27">
        <f>IF(OR(Settings!$C$45="",Settings!$D$45=""),0,Settings!$C$45*IF(Settings!$D$45="Weekly",IF(IFERROR(MATCH(Settings!$E$45,$EO$4:$EO$10,0),0)=0,0,IF(MIN($C27,IF(Settings!$G$45="",$C27,Settings!$G$45))&lt;MAX($A27,Settings!$F$45),0,INT((MIN($C27,IF(Settings!$G$45="",$C27,Settings!$G$45))-MAX($A27,Settings!$F$45)-MOD(IFERROR(MATCH(Settings!$E$45,$EO$4:$EO$10,0),0)-WEEKDAY(MAX($A27,Settings!$F$45)),7))/7)+1)),IF(AND(IF(Settings!$E$45="",$B27,DATE(YEAR($A27),MONTH($A27),MIN(Settings!$E$45,DAY($B27))))&gt;=MAX($A27,Settings!$F$45),IF(Settings!$E$45="",$B27,DATE(YEAR($A27),MONTH($A27),MIN(Settings!$E$45,DAY($B27))))&lt;=MIN($C27,IF(Settings!$G$45="",$C27,Settings!$G$45))),1,0)))</f>
        <v/>
      </c>
      <c r="BF27">
        <f>IF(OR(Settings!$C$46="",Settings!$D$46=""),0,Settings!$C$46*IF(Settings!$D$46="Weekly",IF(IFERROR(MATCH(Settings!$E$46,$EO$4:$EO$10,0),0)=0,0,IF(MIN($C27,IF(Settings!$G$46="",$C27,Settings!$G$46))&lt;MAX($A27,Settings!$F$46),0,INT((MIN($C27,IF(Settings!$G$46="",$C27,Settings!$G$46))-MAX($A27,Settings!$F$46)-MOD(IFERROR(MATCH(Settings!$E$46,$EO$4:$EO$10,0),0)-WEEKDAY(MAX($A27,Settings!$F$46)),7))/7)+1)),IF(AND(IF(Settings!$E$46="",$B27,DATE(YEAR($A27),MONTH($A27),MIN(Settings!$E$46,DAY($B27))))&gt;=MAX($A27,Settings!$F$46),IF(Settings!$E$46="",$B27,DATE(YEAR($A27),MONTH($A27),MIN(Settings!$E$46,DAY($B27))))&lt;=MIN($C27,IF(Settings!$G$46="",$C27,Settings!$G$46))),1,0)))</f>
        <v/>
      </c>
      <c r="BG27">
        <f>IF(OR(Settings!$C$47="",Settings!$D$47=""),0,Settings!$C$47*IF(Settings!$D$47="Weekly",IF(IFERROR(MATCH(Settings!$E$47,$EO$4:$EO$10,0),0)=0,0,IF(MIN($C27,IF(Settings!$G$47="",$C27,Settings!$G$47))&lt;MAX($A27,Settings!$F$47),0,INT((MIN($C27,IF(Settings!$G$47="",$C27,Settings!$G$47))-MAX($A27,Settings!$F$47)-MOD(IFERROR(MATCH(Settings!$E$47,$EO$4:$EO$10,0),0)-WEEKDAY(MAX($A27,Settings!$F$47)),7))/7)+1)),IF(AND(IF(Settings!$E$47="",$B27,DATE(YEAR($A27),MONTH($A27),MIN(Settings!$E$47,DAY($B27))))&gt;=MAX($A27,Settings!$F$47),IF(Settings!$E$47="",$B27,DATE(YEAR($A27),MONTH($A27),MIN(Settings!$E$47,DAY($B27))))&lt;=MIN($C27,IF(Settings!$G$47="",$C27,Settings!$G$47))),1,0)))</f>
        <v/>
      </c>
      <c r="BH27">
        <f>IF(OR(Settings!$C$48="",Settings!$D$48=""),0,Settings!$C$48*IF(Settings!$D$48="Weekly",IF(IFERROR(MATCH(Settings!$E$48,$EO$4:$EO$10,0),0)=0,0,IF(MIN($C27,IF(Settings!$G$48="",$C27,Settings!$G$48))&lt;MAX($A27,Settings!$F$48),0,INT((MIN($C27,IF(Settings!$G$48="",$C27,Settings!$G$48))-MAX($A27,Settings!$F$48)-MOD(IFERROR(MATCH(Settings!$E$48,$EO$4:$EO$10,0),0)-WEEKDAY(MAX($A27,Settings!$F$48)),7))/7)+1)),IF(AND(IF(Settings!$E$48="",$B27,DATE(YEAR($A27),MONTH($A27),MIN(Settings!$E$48,DAY($B27))))&gt;=MAX($A27,Settings!$F$48),IF(Settings!$E$48="",$B27,DATE(YEAR($A27),MONTH($A27),MIN(Settings!$E$48,DAY($B27))))&lt;=MIN($C27,IF(Settings!$G$48="",$C27,Settings!$G$48))),1,0)))</f>
        <v/>
      </c>
      <c r="BI27">
        <f>IF(OR(Settings!$C$49="",Settings!$D$49=""),0,Settings!$C$49*IF(Settings!$D$49="Weekly",IF(IFERROR(MATCH(Settings!$E$49,$EO$4:$EO$10,0),0)=0,0,IF(MIN($C27,IF(Settings!$G$49="",$C27,Settings!$G$49))&lt;MAX($A27,Settings!$F$49),0,INT((MIN($C27,IF(Settings!$G$49="",$C27,Settings!$G$49))-MAX($A27,Settings!$F$49)-MOD(IFERROR(MATCH(Settings!$E$49,$EO$4:$EO$10,0),0)-WEEKDAY(MAX($A27,Settings!$F$49)),7))/7)+1)),IF(AND(IF(Settings!$E$49="",$B27,DATE(YEAR($A27),MONTH($A27),MIN(Settings!$E$49,DAY($B27))))&gt;=MAX($A27,Settings!$F$49),IF(Settings!$E$49="",$B27,DATE(YEAR($A27),MONTH($A27),MIN(Settings!$E$49,DAY($B27))))&lt;=MIN($C27,IF(Settings!$G$49="",$C27,Settings!$G$49))),1,0)))</f>
        <v/>
      </c>
      <c r="BJ27">
        <f>IF(OR(Settings!$C$50="",Settings!$D$50=""),0,Settings!$C$50*IF(Settings!$D$50="Weekly",IF(IFERROR(MATCH(Settings!$E$50,$EO$4:$EO$10,0),0)=0,0,IF(MIN($C27,IF(Settings!$G$50="",$C27,Settings!$G$50))&lt;MAX($A27,Settings!$F$50),0,INT((MIN($C27,IF(Settings!$G$50="",$C27,Settings!$G$50))-MAX($A27,Settings!$F$50)-MOD(IFERROR(MATCH(Settings!$E$50,$EO$4:$EO$10,0),0)-WEEKDAY(MAX($A27,Settings!$F$50)),7))/7)+1)),IF(AND(IF(Settings!$E$50="",$B27,DATE(YEAR($A27),MONTH($A27),MIN(Settings!$E$50,DAY($B27))))&gt;=MAX($A27,Settings!$F$50),IF(Settings!$E$50="",$B27,DATE(YEAR($A27),MONTH($A27),MIN(Settings!$E$50,DAY($B27))))&lt;=MIN($C27,IF(Settings!$G$50="",$C27,Settings!$G$50))),1,0)))</f>
        <v/>
      </c>
      <c r="BK27">
        <f>IF(OR(Settings!$C$51="",Settings!$D$51=""),0,Settings!$C$51*IF(Settings!$D$51="Weekly",IF(IFERROR(MATCH(Settings!$E$51,$EO$4:$EO$10,0),0)=0,0,IF(MIN($C27,IF(Settings!$G$51="",$C27,Settings!$G$51))&lt;MAX($A27,Settings!$F$51),0,INT((MIN($C27,IF(Settings!$G$51="",$C27,Settings!$G$51))-MAX($A27,Settings!$F$51)-MOD(IFERROR(MATCH(Settings!$E$51,$EO$4:$EO$10,0),0)-WEEKDAY(MAX($A27,Settings!$F$51)),7))/7)+1)),IF(AND(IF(Settings!$E$51="",$B27,DATE(YEAR($A27),MONTH($A27),MIN(Settings!$E$51,DAY($B27))))&gt;=MAX($A27,Settings!$F$51),IF(Settings!$E$51="",$B27,DATE(YEAR($A27),MONTH($A27),MIN(Settings!$E$51,DAY($B27))))&lt;=MIN($C27,IF(Settings!$G$51="",$C27,Settings!$G$51))),1,0)))</f>
        <v/>
      </c>
      <c r="BL27">
        <f>IF(OR(Settings!$C$52="",Settings!$D$52=""),0,Settings!$C$52*IF(Settings!$D$52="Weekly",IF(IFERROR(MATCH(Settings!$E$52,$EO$4:$EO$10,0),0)=0,0,IF(MIN($C27,IF(Settings!$G$52="",$C27,Settings!$G$52))&lt;MAX($A27,Settings!$F$52),0,INT((MIN($C27,IF(Settings!$G$52="",$C27,Settings!$G$52))-MAX($A27,Settings!$F$52)-MOD(IFERROR(MATCH(Settings!$E$52,$EO$4:$EO$10,0),0)-WEEKDAY(MAX($A27,Settings!$F$52)),7))/7)+1)),IF(AND(IF(Settings!$E$52="",$B27,DATE(YEAR($A27),MONTH($A27),MIN(Settings!$E$52,DAY($B27))))&gt;=MAX($A27,Settings!$F$52),IF(Settings!$E$52="",$B27,DATE(YEAR($A27),MONTH($A27),MIN(Settings!$E$52,DAY($B27))))&lt;=MIN($C27,IF(Settings!$G$52="",$C27,Settings!$G$52))),1,0)))</f>
        <v/>
      </c>
      <c r="BM27">
        <f>IF(OR(Settings!$C$53="",Settings!$D$53=""),0,Settings!$C$53*IF(Settings!$D$53="Weekly",IF(IFERROR(MATCH(Settings!$E$53,$EO$4:$EO$10,0),0)=0,0,IF(MIN($C27,IF(Settings!$G$53="",$C27,Settings!$G$53))&lt;MAX($A27,Settings!$F$53),0,INT((MIN($C27,IF(Settings!$G$53="",$C27,Settings!$G$53))-MAX($A27,Settings!$F$53)-MOD(IFERROR(MATCH(Settings!$E$53,$EO$4:$EO$10,0),0)-WEEKDAY(MAX($A27,Settings!$F$53)),7))/7)+1)),IF(AND(IF(Settings!$E$53="",$B27,DATE(YEAR($A27),MONTH($A27),MIN(Settings!$E$53,DAY($B27))))&gt;=MAX($A27,Settings!$F$53),IF(Settings!$E$53="",$B27,DATE(YEAR($A27),MONTH($A27),MIN(Settings!$E$53,DAY($B27))))&lt;=MIN($C27,IF(Settings!$G$53="",$C27,Settings!$G$53))),1,0)))</f>
        <v/>
      </c>
      <c r="BN27">
        <f>IF(OR(Settings!$C$54="",Settings!$D$54=""),0,Settings!$C$54*IF(Settings!$D$54="Weekly",IF(IFERROR(MATCH(Settings!$E$54,$EO$4:$EO$10,0),0)=0,0,IF(MIN($C27,IF(Settings!$G$54="",$C27,Settings!$G$54))&lt;MAX($A27,Settings!$F$54),0,INT((MIN($C27,IF(Settings!$G$54="",$C27,Settings!$G$54))-MAX($A27,Settings!$F$54)-MOD(IFERROR(MATCH(Settings!$E$54,$EO$4:$EO$10,0),0)-WEEKDAY(MAX($A27,Settings!$F$54)),7))/7)+1)),IF(AND(IF(Settings!$E$54="",$B27,DATE(YEAR($A27),MONTH($A27),MIN(Settings!$E$54,DAY($B27))))&gt;=MAX($A27,Settings!$F$54),IF(Settings!$E$54="",$B27,DATE(YEAR($A27),MONTH($A27),MIN(Settings!$E$54,DAY($B27))))&lt;=MIN($C27,IF(Settings!$G$54="",$C27,Settings!$G$54))),1,0)))</f>
        <v/>
      </c>
      <c r="BO27">
        <f>IF(OR(Settings!$C$55="",Settings!$D$55=""),0,Settings!$C$55*IF(Settings!$D$55="Weekly",IF(IFERROR(MATCH(Settings!$E$55,$EO$4:$EO$10,0),0)=0,0,IF(MIN($C27,IF(Settings!$G$55="",$C27,Settings!$G$55))&lt;MAX($A27,Settings!$F$55),0,INT((MIN($C27,IF(Settings!$G$55="",$C27,Settings!$G$55))-MAX($A27,Settings!$F$55)-MOD(IFERROR(MATCH(Settings!$E$55,$EO$4:$EO$10,0),0)-WEEKDAY(MAX($A27,Settings!$F$55)),7))/7)+1)),IF(AND(IF(Settings!$E$55="",$B27,DATE(YEAR($A27),MONTH($A27),MIN(Settings!$E$55,DAY($B27))))&gt;=MAX($A27,Settings!$F$55),IF(Settings!$E$55="",$B27,DATE(YEAR($A27),MONTH($A27),MIN(Settings!$E$55,DAY($B27))))&lt;=MIN($C27,IF(Settings!$G$55="",$C27,Settings!$G$55))),1,0)))</f>
        <v/>
      </c>
      <c r="BP27">
        <f>IF(OR(Settings!$C$56="",Settings!$D$56=""),0,Settings!$C$56*IF(Settings!$D$56="Weekly",IF(IFERROR(MATCH(Settings!$E$56,$EO$4:$EO$10,0),0)=0,0,IF(MIN($C27,IF(Settings!$G$56="",$C27,Settings!$G$56))&lt;MAX($A27,Settings!$F$56),0,INT((MIN($C27,IF(Settings!$G$56="",$C27,Settings!$G$56))-MAX($A27,Settings!$F$56)-MOD(IFERROR(MATCH(Settings!$E$56,$EO$4:$EO$10,0),0)-WEEKDAY(MAX($A27,Settings!$F$56)),7))/7)+1)),IF(AND(IF(Settings!$E$56="",$B27,DATE(YEAR($A27),MONTH($A27),MIN(Settings!$E$56,DAY($B27))))&gt;=MAX($A27,Settings!$F$56),IF(Settings!$E$56="",$B27,DATE(YEAR($A27),MONTH($A27),MIN(Settings!$E$56,DAY($B27))))&lt;=MIN($C27,IF(Settings!$G$56="",$C27,Settings!$G$56))),1,0)))</f>
        <v/>
      </c>
      <c r="BQ27">
        <f>IF(OR(Settings!$B$14="",$D27=1,$E27="pre",$A27&lt;IF(Settings!$B$15="",0,Settings!$B$15)),0,Settings!$B$14)</f>
        <v/>
      </c>
      <c r="BR27">
        <f>IF(AND('Month-End'!$X$7&lt;&gt;"",NOT(_xlfn.ISFORMULA('Month-End'!$X$7))),1,0)</f>
        <v/>
      </c>
      <c r="BS27">
        <f>IF(AND('Month-End'!$X$8&lt;&gt;"",NOT(_xlfn.ISFORMULA('Month-End'!$X$8))),1,0)</f>
        <v/>
      </c>
      <c r="BT27">
        <f>IF(AND('Month-End'!$X$9&lt;&gt;"",NOT(_xlfn.ISFORMULA('Month-End'!$X$9))),1,0)</f>
        <v/>
      </c>
      <c r="BU27">
        <f>IF(AND('Month-End'!$X$10&lt;&gt;"",NOT(_xlfn.ISFORMULA('Month-End'!$X$10))),1,0)</f>
        <v/>
      </c>
      <c r="BV27">
        <f>IF(AND('Month-End'!$X$11&lt;&gt;"",NOT(_xlfn.ISFORMULA('Month-End'!$X$11))),1,0)</f>
        <v/>
      </c>
      <c r="BW27">
        <f>IF(AND('Month-End'!$X$12&lt;&gt;"",NOT(_xlfn.ISFORMULA('Month-End'!$X$12))),1,0)</f>
        <v/>
      </c>
      <c r="BX27">
        <f>IF(AND('Month-End'!$X$13&lt;&gt;"",NOT(_xlfn.ISFORMULA('Month-End'!$X$13))),1,0)</f>
        <v/>
      </c>
      <c r="BY27">
        <f>IF(AND('Month-End'!$X$14&lt;&gt;"",NOT(_xlfn.ISFORMULA('Month-End'!$X$14))),1,0)</f>
        <v/>
      </c>
      <c r="BZ27">
        <f>IF(AND('Month-End'!$X$15&lt;&gt;"",NOT(_xlfn.ISFORMULA('Month-End'!$X$15))),1,0)</f>
        <v/>
      </c>
      <c r="CA27">
        <f>IF(AND('Month-End'!$X$16&lt;&gt;"",NOT(_xlfn.ISFORMULA('Month-End'!$X$16))),1,0)</f>
        <v/>
      </c>
      <c r="CB27">
        <f>IF(AND('Month-End'!$X$17&lt;&gt;"",NOT(_xlfn.ISFORMULA('Month-End'!$X$17))),1,0)</f>
        <v/>
      </c>
      <c r="CC27">
        <f>IF(AND('Month-End'!$X$18&lt;&gt;"",NOT(_xlfn.ISFORMULA('Month-End'!$X$18))),1,0)</f>
        <v/>
      </c>
      <c r="CD27">
        <f>IF(AND('Month-End'!$X$19&lt;&gt;"",NOT(_xlfn.ISFORMULA('Month-End'!$X$19))),1,0)</f>
        <v/>
      </c>
      <c r="CE27">
        <f>IF(AND('Month-End'!$X$20&lt;&gt;"",NOT(_xlfn.ISFORMULA('Month-End'!$X$20))),1,0)</f>
        <v/>
      </c>
      <c r="CF27">
        <f>IF(AND('Month-End'!$X$38&lt;&gt;"",NOT(_xlfn.ISFORMULA('Month-End'!$X$38))),1,0)</f>
        <v/>
      </c>
      <c r="CG27">
        <f>IF(AND('Month-End'!$X$39&lt;&gt;"",NOT(_xlfn.ISFORMULA('Month-End'!$X$39))),1,0)</f>
        <v/>
      </c>
      <c r="CH27">
        <f>IF(AND('Month-End'!$X$40&lt;&gt;"",NOT(_xlfn.ISFORMULA('Month-End'!$X$40))),1,0)</f>
        <v/>
      </c>
      <c r="CI27">
        <f>IF(AND('Month-End'!$X$41&lt;&gt;"",NOT(_xlfn.ISFORMULA('Month-End'!$X$41))),1,0)</f>
        <v/>
      </c>
      <c r="CJ27">
        <f>IF(AND('Month-End'!$X$42&lt;&gt;"",NOT(_xlfn.ISFORMULA('Month-End'!$X$42))),1,0)</f>
        <v/>
      </c>
      <c r="CK27">
        <f>IF(AND('Month-End'!$X$43&lt;&gt;"",NOT(_xlfn.ISFORMULA('Month-End'!$X$43))),1,0)</f>
        <v/>
      </c>
      <c r="CL27">
        <f>SUM($CM27:$CZ27)</f>
        <v/>
      </c>
      <c r="CM27">
        <f>IF(AND($E27&lt;&gt;"pre",AND(Settings!$A$19&lt;&gt;"",Settings!$E$19&lt;&gt;"No"),Settings!$F$19="Yes",NOT(AND('Month-End'!$X$7&lt;&gt;"",NOT(_xlfn.ISFORMULA('Month-End'!$X$7))))),1,0)</f>
        <v/>
      </c>
      <c r="CN27">
        <f>IF(AND($E27&lt;&gt;"pre",AND(Settings!$A$20&lt;&gt;"",Settings!$E$20&lt;&gt;"No"),Settings!$F$20="Yes",NOT(AND('Month-End'!$X$8&lt;&gt;"",NOT(_xlfn.ISFORMULA('Month-End'!$X$8))))),1,0)</f>
        <v/>
      </c>
      <c r="CO27">
        <f>IF(AND($E27&lt;&gt;"pre",AND(Settings!$A$21&lt;&gt;"",Settings!$E$21&lt;&gt;"No"),Settings!$F$21="Yes",NOT(AND('Month-End'!$X$9&lt;&gt;"",NOT(_xlfn.ISFORMULA('Month-End'!$X$9))))),1,0)</f>
        <v/>
      </c>
      <c r="CP27">
        <f>IF(AND($E27&lt;&gt;"pre",AND(Settings!$A$22&lt;&gt;"",Settings!$E$22&lt;&gt;"No"),Settings!$F$22="Yes",NOT(AND('Month-End'!$X$10&lt;&gt;"",NOT(_xlfn.ISFORMULA('Month-End'!$X$10))))),1,0)</f>
        <v/>
      </c>
      <c r="CQ27">
        <f>IF(AND($E27&lt;&gt;"pre",AND(Settings!$A$23&lt;&gt;"",Settings!$E$23&lt;&gt;"No"),Settings!$F$23="Yes",NOT(AND('Month-End'!$X$11&lt;&gt;"",NOT(_xlfn.ISFORMULA('Month-End'!$X$11))))),1,0)</f>
        <v/>
      </c>
      <c r="CR27">
        <f>IF(AND($E27&lt;&gt;"pre",AND(Settings!$A$24&lt;&gt;"",Settings!$E$24&lt;&gt;"No"),Settings!$F$24="Yes",NOT(AND('Month-End'!$X$12&lt;&gt;"",NOT(_xlfn.ISFORMULA('Month-End'!$X$12))))),1,0)</f>
        <v/>
      </c>
      <c r="CS27">
        <f>IF(AND($E27&lt;&gt;"pre",AND(Settings!$A$25&lt;&gt;"",Settings!$E$25&lt;&gt;"No"),Settings!$F$25="Yes",NOT(AND('Month-End'!$X$13&lt;&gt;"",NOT(_xlfn.ISFORMULA('Month-End'!$X$13))))),1,0)</f>
        <v/>
      </c>
      <c r="CT27">
        <f>IF(AND($E27&lt;&gt;"pre",AND(Settings!$A$26&lt;&gt;"",Settings!$E$26&lt;&gt;"No"),Settings!$F$26="Yes",NOT(AND('Month-End'!$X$14&lt;&gt;"",NOT(_xlfn.ISFORMULA('Month-End'!$X$14))))),1,0)</f>
        <v/>
      </c>
      <c r="CU27">
        <f>IF(AND($E27&lt;&gt;"pre",AND(Settings!$A$27&lt;&gt;"",Settings!$E$27&lt;&gt;"No"),Settings!$F$27="Yes",NOT(AND('Month-End'!$X$15&lt;&gt;"",NOT(_xlfn.ISFORMULA('Month-End'!$X$15))))),1,0)</f>
        <v/>
      </c>
      <c r="CV27">
        <f>IF(AND($E27&lt;&gt;"pre",AND(Settings!$A$28&lt;&gt;"",Settings!$E$28&lt;&gt;"No"),Settings!$F$28="Yes",NOT(AND('Month-End'!$X$16&lt;&gt;"",NOT(_xlfn.ISFORMULA('Month-End'!$X$16))))),1,0)</f>
        <v/>
      </c>
      <c r="CW27">
        <f>IF(AND($E27&lt;&gt;"pre",AND(Settings!$A$29&lt;&gt;"",Settings!$E$29&lt;&gt;"No"),Settings!$F$29="Yes",NOT(AND('Month-End'!$X$17&lt;&gt;"",NOT(_xlfn.ISFORMULA('Month-End'!$X$17))))),1,0)</f>
        <v/>
      </c>
      <c r="CX27">
        <f>IF(AND($E27&lt;&gt;"pre",AND(Settings!$A$30&lt;&gt;"",Settings!$E$30&lt;&gt;"No"),Settings!$F$30="Yes",NOT(AND('Month-End'!$X$18&lt;&gt;"",NOT(_xlfn.ISFORMULA('Month-End'!$X$18))))),1,0)</f>
        <v/>
      </c>
      <c r="CY27">
        <f>IF(AND($E27&lt;&gt;"pre",AND(Settings!$A$31&lt;&gt;"",Settings!$E$31&lt;&gt;"No"),Settings!$F$31="Yes",NOT(AND('Month-End'!$X$19&lt;&gt;"",NOT(_xlfn.ISFORMULA('Month-End'!$X$19))))),1,0)</f>
        <v/>
      </c>
      <c r="CZ27">
        <f>IF(AND($E27&lt;&gt;"pre",AND(Settings!$A$32&lt;&gt;"",Settings!$E$32&lt;&gt;"No"),Settings!$F$32="Yes",NOT(AND('Month-End'!$X$20&lt;&gt;"",NOT(_xlfn.ISFORMULA('Month-End'!$X$20))))),1,0)</f>
        <v/>
      </c>
      <c r="DA27">
        <f>IF($DT27=1,IF(OR(Settings!$B$19="Checking",Settings!$B$19="Savings",Settings!$B$19="Cash"),N($AE27),IF(OR(Settings!$B$19="Card",Settings!$B$19="Loan"),-N($AE27),0))+IF(OR(Settings!$B$20="Checking",Settings!$B$20="Savings",Settings!$B$20="Cash"),N($AF27),IF(OR(Settings!$B$20="Card",Settings!$B$20="Loan"),-N($AF27),0))+IF(OR(Settings!$B$21="Checking",Settings!$B$21="Savings",Settings!$B$21="Cash"),N($AG27),IF(OR(Settings!$B$21="Card",Settings!$B$21="Loan"),-N($AG27),0))+IF(OR(Settings!$B$22="Checking",Settings!$B$22="Savings",Settings!$B$22="Cash"),N($AH27),IF(OR(Settings!$B$22="Card",Settings!$B$22="Loan"),-N($AH27),0))+IF(OR(Settings!$B$23="Checking",Settings!$B$23="Savings",Settings!$B$23="Cash"),N($AI27),IF(OR(Settings!$B$23="Card",Settings!$B$23="Loan"),-N($AI27),0))+IF(OR(Settings!$B$24="Checking",Settings!$B$24="Savings",Settings!$B$24="Cash"),N($AJ27),IF(OR(Settings!$B$24="Card",Settings!$B$24="Loan"),-N($AJ27),0))+IF(OR(Settings!$B$25="Checking",Settings!$B$25="Savings",Settings!$B$25="Cash"),N($AK27),IF(OR(Settings!$B$25="Card",Settings!$B$25="Loan"),-N($AK27),0))+IF(OR(Settings!$B$26="Checking",Settings!$B$26="Savings",Settings!$B$26="Cash"),N($AL27),IF(OR(Settings!$B$26="Card",Settings!$B$26="Loan"),-N($AL27),0))+IF(OR(Settings!$B$27="Checking",Settings!$B$27="Savings",Settings!$B$27="Cash"),N($AM27),IF(OR(Settings!$B$27="Card",Settings!$B$27="Loan"),-N($AM27),0))+IF(OR(Settings!$B$28="Checking",Settings!$B$28="Savings",Settings!$B$28="Cash"),N($AN27),IF(OR(Settings!$B$28="Card",Settings!$B$28="Loan"),-N($AN27),0))+IF(OR(Settings!$B$29="Checking",Settings!$B$29="Savings",Settings!$B$29="Cash"),N($AO27),IF(OR(Settings!$B$29="Card",Settings!$B$29="Loan"),-N($AO27),0))+IF(OR(Settings!$B$30="Checking",Settings!$B$30="Savings",Settings!$B$30="Cash"),N($AP27),IF(OR(Settings!$B$30="Card",Settings!$B$30="Loan"),-N($AP27),0))+IF(OR(Settings!$B$31="Checking",Settings!$B$31="Savings",Settings!$B$31="Cash"),N($AQ27),IF(OR(Settings!$B$31="Card",Settings!$B$31="Loan"),-N($AQ27),0))+IF(OR(Settings!$B$32="Checking",Settings!$B$32="Savings",Settings!$B$32="Cash"),N($AR27),IF(OR(Settings!$B$32="Card",Settings!$B$32="Loan"),-N($AR27),0)),"")</f>
        <v/>
      </c>
      <c r="DB27">
        <f>IF($E27="open",$EB$27,IF($E27="post",IF($E26="pre",$EB$27,$DA26),""))</f>
        <v/>
      </c>
      <c r="DC27">
        <f>IF($E27="open",1,IF($E27="post",IF($E26="pre",1,$DT26),0))</f>
        <v/>
      </c>
      <c r="DD27">
        <f>IF(AND($DT27=1,$DC27=1),ROUND($W27-($DA27-$DB27)-$AD27-$AB27,2),"")</f>
        <v/>
      </c>
      <c r="DE27">
        <f>IF('Month-End'!$X$35="",$BQ27,N('Month-End'!$X$35))</f>
        <v/>
      </c>
      <c r="DF27">
        <f>N('Month-End'!$X$36)</f>
        <v/>
      </c>
      <c r="DG27">
        <f>IF($DD27="","",$DD27+$DE27)</f>
        <v/>
      </c>
      <c r="DH27">
        <f>IF($DG27="","",$DG27-$DF27)</f>
        <v/>
      </c>
      <c r="DI27">
        <f>IF(OR($E27="pre",$D27=1),"",N($AS27)+N($AT27)+N($AU27)+N($AV27)+N($AW27)+N($AX27))</f>
        <v/>
      </c>
      <c r="DJ27">
        <f>IF($DT27=1,$DA27+N($DI27),"")</f>
        <v/>
      </c>
      <c r="DK27">
        <f>IF($DD27="","",$W27-$DD27-$AB27)</f>
        <v/>
      </c>
      <c r="DL27">
        <f>IF(AND($E27="post",$DD27&lt;&gt;"",$B27&lt;TODAY()),1,0)</f>
        <v/>
      </c>
      <c r="DM27">
        <f>IF($DL27=1,COUNTIF($DL27:$DL$183,1),0)</f>
        <v/>
      </c>
      <c r="DN27">
        <f>IF($D27=1,"",IF($E27="pre","History only",IF($DT27=1,IF($DD27="","⚠ Previous month missing",IF($DD27&lt;0,"⚠ Check: spending &lt; 0",IF($E27="open","✓ Done (partial)","✓ Done"))),IF($B27&gt;=TODAY(),"In progress","⚠ Needs balances"))))</f>
        <v/>
      </c>
      <c r="DO27">
        <f>YEAR($A27)</f>
        <v/>
      </c>
      <c r="DP27">
        <f>DATE(YEAR($A27),INT((MONTH($A27)-1)/3)*3+1,1)</f>
        <v/>
      </c>
      <c r="DQ27">
        <f>IF(AND($DT27=1,$DD27&lt;&gt;"",$D27=0),ROW(),0)</f>
        <v/>
      </c>
      <c r="DR27">
        <f>IF(AND($E27&lt;&gt;"pre",$B27&lt;TODAY(),$DT27=0),1,0)</f>
        <v/>
      </c>
      <c r="DS27">
        <f>IF($DJ27="",NA(),$DJ27)</f>
        <v/>
      </c>
      <c r="DT27">
        <f>IF(AND($E27&lt;&gt;"pre",$CL27=0,COUNTIFS(Settings!$F$19:$F$32,"Yes",Settings!$A$19:$A$32,"&lt;&gt;",Settings!$E$19:$E$32,"&lt;&gt;No")&gt;0),1,0)</f>
        <v/>
      </c>
      <c r="DU27">
        <f>IF(AND($B27&lt;TODAY(),$S27&gt;0),1,0)</f>
        <v/>
      </c>
      <c r="DV27">
        <f>IF($DU27=1,COUNTIF($DU27:$DU$183,1),0)</f>
        <v/>
      </c>
      <c r="DW27">
        <f>IF(AND(OR(Settings!$B$19="Card",Settings!$B$19="Loan"),AND('Month-End'!$X$7&lt;&gt;"",NOT(_xlfn.ISFORMULA('Month-End'!$X$7)))),IF(N('Month-End'!$X$7)&lt;0,1,0),0)+IF(AND(OR(Settings!$B$20="Card",Settings!$B$20="Loan"),AND('Month-End'!$X$8&lt;&gt;"",NOT(_xlfn.ISFORMULA('Month-End'!$X$8)))),IF(N('Month-End'!$X$8)&lt;0,1,0),0)+IF(AND(OR(Settings!$B$21="Card",Settings!$B$21="Loan"),AND('Month-End'!$X$9&lt;&gt;"",NOT(_xlfn.ISFORMULA('Month-End'!$X$9)))),IF(N('Month-End'!$X$9)&lt;0,1,0),0)+IF(AND(OR(Settings!$B$22="Card",Settings!$B$22="Loan"),AND('Month-End'!$X$10&lt;&gt;"",NOT(_xlfn.ISFORMULA('Month-End'!$X$10)))),IF(N('Month-End'!$X$10)&lt;0,1,0),0)+IF(AND(OR(Settings!$B$23="Card",Settings!$B$23="Loan"),AND('Month-End'!$X$11&lt;&gt;"",NOT(_xlfn.ISFORMULA('Month-End'!$X$11)))),IF(N('Month-End'!$X$11)&lt;0,1,0),0)+IF(AND(OR(Settings!$B$24="Card",Settings!$B$24="Loan"),AND('Month-End'!$X$12&lt;&gt;"",NOT(_xlfn.ISFORMULA('Month-End'!$X$12)))),IF(N('Month-End'!$X$12)&lt;0,1,0),0)+IF(AND(OR(Settings!$B$25="Card",Settings!$B$25="Loan"),AND('Month-End'!$X$13&lt;&gt;"",NOT(_xlfn.ISFORMULA('Month-End'!$X$13)))),IF(N('Month-End'!$X$13)&lt;0,1,0),0)+IF(AND(OR(Settings!$B$26="Card",Settings!$B$26="Loan"),AND('Month-End'!$X$14&lt;&gt;"",NOT(_xlfn.ISFORMULA('Month-End'!$X$14)))),IF(N('Month-End'!$X$14)&lt;0,1,0),0)+IF(AND(OR(Settings!$B$27="Card",Settings!$B$27="Loan"),AND('Month-End'!$X$15&lt;&gt;"",NOT(_xlfn.ISFORMULA('Month-End'!$X$15)))),IF(N('Month-End'!$X$15)&lt;0,1,0),0)+IF(AND(OR(Settings!$B$28="Card",Settings!$B$28="Loan"),AND('Month-End'!$X$16&lt;&gt;"",NOT(_xlfn.ISFORMULA('Month-End'!$X$16)))),IF(N('Month-End'!$X$16)&lt;0,1,0),0)+IF(AND(OR(Settings!$B$29="Card",Settings!$B$29="Loan"),AND('Month-End'!$X$17&lt;&gt;"",NOT(_xlfn.ISFORMULA('Month-End'!$X$17)))),IF(N('Month-End'!$X$17)&lt;0,1,0),0)+IF(AND(OR(Settings!$B$30="Card",Settings!$B$30="Loan"),AND('Month-End'!$X$18&lt;&gt;"",NOT(_xlfn.ISFORMULA('Month-End'!$X$18)))),IF(N('Month-End'!$X$18)&lt;0,1,0),0)+IF(AND(OR(Settings!$B$31="Card",Settings!$B$31="Loan"),AND('Month-End'!$X$19&lt;&gt;"",NOT(_xlfn.ISFORMULA('Month-End'!$X$19)))),IF(N('Month-End'!$X$19)&lt;0,1,0),0)+IF(AND(OR(Settings!$B$32="Card",Settings!$B$32="Loan"),AND('Month-End'!$X$20&lt;&gt;"",NOT(_xlfn.ISFORMULA('Month-End'!$X$20)))),IF(N('Month-End'!$X$20)&lt;0,1,0),0)</f>
        <v/>
      </c>
      <c r="DX27">
        <f>IF(Settings!$B$36="Retirement",$AY27,0)+IF(Settings!$B$37="Retirement",$AZ27,0)+IF(Settings!$B$38="Retirement",$BA27,0)+IF(Settings!$B$39="Retirement",$BB27,0)+IF(Settings!$B$40="Retirement",$BC27,0)+IF(Settings!$B$41="Retirement",$BD27,0)</f>
        <v/>
      </c>
      <c r="EA27" t="inlineStr">
        <is>
          <t>Opening net cash</t>
        </is>
      </c>
      <c r="EB27">
        <f>IF(OR(Settings!$B$19="Checking",Settings!$B$19="Savings",Settings!$B$19="Cash"),N(Settings!$C$19),IF(OR(Settings!$B$19="Card",Settings!$B$19="Loan"),-N(Settings!$C$19),0))+IF(OR(Settings!$B$20="Checking",Settings!$B$20="Savings",Settings!$B$20="Cash"),N(Settings!$C$20),IF(OR(Settings!$B$20="Card",Settings!$B$20="Loan"),-N(Settings!$C$20),0))+IF(OR(Settings!$B$21="Checking",Settings!$B$21="Savings",Settings!$B$21="Cash"),N(Settings!$C$21),IF(OR(Settings!$B$21="Card",Settings!$B$21="Loan"),-N(Settings!$C$21),0))+IF(OR(Settings!$B$22="Checking",Settings!$B$22="Savings",Settings!$B$22="Cash"),N(Settings!$C$22),IF(OR(Settings!$B$22="Card",Settings!$B$22="Loan"),-N(Settings!$C$22),0))+IF(OR(Settings!$B$23="Checking",Settings!$B$23="Savings",Settings!$B$23="Cash"),N(Settings!$C$23),IF(OR(Settings!$B$23="Card",Settings!$B$23="Loan"),-N(Settings!$C$23),0))+IF(OR(Settings!$B$24="Checking",Settings!$B$24="Savings",Settings!$B$24="Cash"),N(Settings!$C$24),IF(OR(Settings!$B$24="Card",Settings!$B$24="Loan"),-N(Settings!$C$24),0))+IF(OR(Settings!$B$25="Checking",Settings!$B$25="Savings",Settings!$B$25="Cash"),N(Settings!$C$25),IF(OR(Settings!$B$25="Card",Settings!$B$25="Loan"),-N(Settings!$C$25),0))+IF(OR(Settings!$B$26="Checking",Settings!$B$26="Savings",Settings!$B$26="Cash"),N(Settings!$C$26),IF(OR(Settings!$B$26="Card",Settings!$B$26="Loan"),-N(Settings!$C$26),0))+IF(OR(Settings!$B$27="Checking",Settings!$B$27="Savings",Settings!$B$27="Cash"),N(Settings!$C$27),IF(OR(Settings!$B$27="Card",Settings!$B$27="Loan"),-N(Settings!$C$27),0))+IF(OR(Settings!$B$28="Checking",Settings!$B$28="Savings",Settings!$B$28="Cash"),N(Settings!$C$28),IF(OR(Settings!$B$28="Card",Settings!$B$28="Loan"),-N(Settings!$C$28),0))+IF(OR(Settings!$B$29="Checking",Settings!$B$29="Savings",Settings!$B$29="Cash"),N(Settings!$C$29),IF(OR(Settings!$B$29="Card",Settings!$B$29="Loan"),-N(Settings!$C$29),0))+IF(OR(Settings!$B$30="Checking",Settings!$B$30="Savings",Settings!$B$30="Cash"),N(Settings!$C$30),IF(OR(Settings!$B$30="Card",Settings!$B$30="Loan"),-N(Settings!$C$30),0))+IF(OR(Settings!$B$31="Checking",Settings!$B$31="Savings",Settings!$B$31="Cash"),N(Settings!$C$31),IF(OR(Settings!$B$31="Card",Settings!$B$31="Loan"),-N(Settings!$C$31),0))+IF(OR(Settings!$B$32="Checking",Settings!$B$32="Savings",Settings!$B$32="Cash"),N(Settings!$C$32),IF(OR(Settings!$B$32="Card",Settings!$B$32="Loan"),-N(Settings!$C$32),0))</f>
        <v/>
      </c>
      <c r="ET27">
        <f>IF($E27&lt;&gt;"open",0,IF(AND('Month-End'!$X$22&lt;&gt;"",NOT(_xlfn.ISFORMULA('Month-End'!$X$22))),0,IF(OR(Settings!$C$45="",Settings!$D$45=""),0,Settings!$C$45*IF(Settings!$D$45="Weekly",IF(IFERROR(MATCH(Settings!$E$45,$EO$4:$EO$10,0),0)=0,0,IF(MIN(Settings!$B$5,IF(Settings!$G$45="",Settings!$B$5,Settings!$G$45))&lt;MAX($A27,Settings!$F$45),0,INT((MIN(Settings!$B$5,IF(Settings!$G$45="",Settings!$B$5,Settings!$G$45))-MAX($A27,Settings!$F$45)-MOD(IFERROR(MATCH(Settings!$E$45,$EO$4:$EO$10,0),0)-WEEKDAY(MAX($A27,Settings!$F$45)),7))/7)+1)),IF(AND(IF(Settings!$E$45="",$B27,DATE(YEAR($A27),MONTH($A27),MIN(Settings!$E$45,DAY($B27))))&gt;=MAX($A27,Settings!$F$45),IF(Settings!$E$45="",$B27,DATE(YEAR($A27),MONTH($A27),MIN(Settings!$E$45,DAY($B27))))&lt;=MIN(Settings!$B$5,IF(Settings!$G$45="",Settings!$B$5,Settings!$G$45))),1,0)))))</f>
        <v/>
      </c>
      <c r="EU27">
        <f>IF($E27&lt;&gt;"open",0,IF(AND('Month-End'!$X$23&lt;&gt;"",NOT(_xlfn.ISFORMULA('Month-End'!$X$23))),0,IF(OR(Settings!$C$46="",Settings!$D$46=""),0,Settings!$C$46*IF(Settings!$D$46="Weekly",IF(IFERROR(MATCH(Settings!$E$46,$EO$4:$EO$10,0),0)=0,0,IF(MIN(Settings!$B$5,IF(Settings!$G$46="",Settings!$B$5,Settings!$G$46))&lt;MAX($A27,Settings!$F$46),0,INT((MIN(Settings!$B$5,IF(Settings!$G$46="",Settings!$B$5,Settings!$G$46))-MAX($A27,Settings!$F$46)-MOD(IFERROR(MATCH(Settings!$E$46,$EO$4:$EO$10,0),0)-WEEKDAY(MAX($A27,Settings!$F$46)),7))/7)+1)),IF(AND(IF(Settings!$E$46="",$B27,DATE(YEAR($A27),MONTH($A27),MIN(Settings!$E$46,DAY($B27))))&gt;=MAX($A27,Settings!$F$46),IF(Settings!$E$46="",$B27,DATE(YEAR($A27),MONTH($A27),MIN(Settings!$E$46,DAY($B27))))&lt;=MIN(Settings!$B$5,IF(Settings!$G$46="",Settings!$B$5,Settings!$G$46))),1,0)))))</f>
        <v/>
      </c>
      <c r="EV27">
        <f>IF($E27&lt;&gt;"open",0,IF(AND('Month-End'!$X$24&lt;&gt;"",NOT(_xlfn.ISFORMULA('Month-End'!$X$24))),0,IF(OR(Settings!$C$47="",Settings!$D$47=""),0,Settings!$C$47*IF(Settings!$D$47="Weekly",IF(IFERROR(MATCH(Settings!$E$47,$EO$4:$EO$10,0),0)=0,0,IF(MIN(Settings!$B$5,IF(Settings!$G$47="",Settings!$B$5,Settings!$G$47))&lt;MAX($A27,Settings!$F$47),0,INT((MIN(Settings!$B$5,IF(Settings!$G$47="",Settings!$B$5,Settings!$G$47))-MAX($A27,Settings!$F$47)-MOD(IFERROR(MATCH(Settings!$E$47,$EO$4:$EO$10,0),0)-WEEKDAY(MAX($A27,Settings!$F$47)),7))/7)+1)),IF(AND(IF(Settings!$E$47="",$B27,DATE(YEAR($A27),MONTH($A27),MIN(Settings!$E$47,DAY($B27))))&gt;=MAX($A27,Settings!$F$47),IF(Settings!$E$47="",$B27,DATE(YEAR($A27),MONTH($A27),MIN(Settings!$E$47,DAY($B27))))&lt;=MIN(Settings!$B$5,IF(Settings!$G$47="",Settings!$B$5,Settings!$G$47))),1,0)))))</f>
        <v/>
      </c>
      <c r="EW27">
        <f>IF($E27&lt;&gt;"open",0,IF(AND('Month-End'!$X$25&lt;&gt;"",NOT(_xlfn.ISFORMULA('Month-End'!$X$25))),0,IF(OR(Settings!$C$48="",Settings!$D$48=""),0,Settings!$C$48*IF(Settings!$D$48="Weekly",IF(IFERROR(MATCH(Settings!$E$48,$EO$4:$EO$10,0),0)=0,0,IF(MIN(Settings!$B$5,IF(Settings!$G$48="",Settings!$B$5,Settings!$G$48))&lt;MAX($A27,Settings!$F$48),0,INT((MIN(Settings!$B$5,IF(Settings!$G$48="",Settings!$B$5,Settings!$G$48))-MAX($A27,Settings!$F$48)-MOD(IFERROR(MATCH(Settings!$E$48,$EO$4:$EO$10,0),0)-WEEKDAY(MAX($A27,Settings!$F$48)),7))/7)+1)),IF(AND(IF(Settings!$E$48="",$B27,DATE(YEAR($A27),MONTH($A27),MIN(Settings!$E$48,DAY($B27))))&gt;=MAX($A27,Settings!$F$48),IF(Settings!$E$48="",$B27,DATE(YEAR($A27),MONTH($A27),MIN(Settings!$E$48,DAY($B27))))&lt;=MIN(Settings!$B$5,IF(Settings!$G$48="",Settings!$B$5,Settings!$G$48))),1,0)))))</f>
        <v/>
      </c>
      <c r="EX27">
        <f>IF($E27&lt;&gt;"open",0,IF(AND('Month-End'!$X$26&lt;&gt;"",NOT(_xlfn.ISFORMULA('Month-End'!$X$26))),0,IF(OR(Settings!$C$49="",Settings!$D$49=""),0,Settings!$C$49*IF(Settings!$D$49="Weekly",IF(IFERROR(MATCH(Settings!$E$49,$EO$4:$EO$10,0),0)=0,0,IF(MIN(Settings!$B$5,IF(Settings!$G$49="",Settings!$B$5,Settings!$G$49))&lt;MAX($A27,Settings!$F$49),0,INT((MIN(Settings!$B$5,IF(Settings!$G$49="",Settings!$B$5,Settings!$G$49))-MAX($A27,Settings!$F$49)-MOD(IFERROR(MATCH(Settings!$E$49,$EO$4:$EO$10,0),0)-WEEKDAY(MAX($A27,Settings!$F$49)),7))/7)+1)),IF(AND(IF(Settings!$E$49="",$B27,DATE(YEAR($A27),MONTH($A27),MIN(Settings!$E$49,DAY($B27))))&gt;=MAX($A27,Settings!$F$49),IF(Settings!$E$49="",$B27,DATE(YEAR($A27),MONTH($A27),MIN(Settings!$E$49,DAY($B27))))&lt;=MIN(Settings!$B$5,IF(Settings!$G$49="",Settings!$B$5,Settings!$G$49))),1,0)))))</f>
        <v/>
      </c>
      <c r="EY27">
        <f>IF($E27&lt;&gt;"open",0,IF(AND('Month-End'!$X$27&lt;&gt;"",NOT(_xlfn.ISFORMULA('Month-End'!$X$27))),0,IF(OR(Settings!$C$50="",Settings!$D$50=""),0,Settings!$C$50*IF(Settings!$D$50="Weekly",IF(IFERROR(MATCH(Settings!$E$50,$EO$4:$EO$10,0),0)=0,0,IF(MIN(Settings!$B$5,IF(Settings!$G$50="",Settings!$B$5,Settings!$G$50))&lt;MAX($A27,Settings!$F$50),0,INT((MIN(Settings!$B$5,IF(Settings!$G$50="",Settings!$B$5,Settings!$G$50))-MAX($A27,Settings!$F$50)-MOD(IFERROR(MATCH(Settings!$E$50,$EO$4:$EO$10,0),0)-WEEKDAY(MAX($A27,Settings!$F$50)),7))/7)+1)),IF(AND(IF(Settings!$E$50="",$B27,DATE(YEAR($A27),MONTH($A27),MIN(Settings!$E$50,DAY($B27))))&gt;=MAX($A27,Settings!$F$50),IF(Settings!$E$50="",$B27,DATE(YEAR($A27),MONTH($A27),MIN(Settings!$E$50,DAY($B27))))&lt;=MIN(Settings!$B$5,IF(Settings!$G$50="",Settings!$B$5,Settings!$G$50))),1,0)))))</f>
        <v/>
      </c>
      <c r="EZ27">
        <f>IF($E27&lt;&gt;"open",0,IF(AND('Month-End'!$X$28&lt;&gt;"",NOT(_xlfn.ISFORMULA('Month-End'!$X$28))),0,IF(OR(Settings!$C$51="",Settings!$D$51=""),0,Settings!$C$51*IF(Settings!$D$51="Weekly",IF(IFERROR(MATCH(Settings!$E$51,$EO$4:$EO$10,0),0)=0,0,IF(MIN(Settings!$B$5,IF(Settings!$G$51="",Settings!$B$5,Settings!$G$51))&lt;MAX($A27,Settings!$F$51),0,INT((MIN(Settings!$B$5,IF(Settings!$G$51="",Settings!$B$5,Settings!$G$51))-MAX($A27,Settings!$F$51)-MOD(IFERROR(MATCH(Settings!$E$51,$EO$4:$EO$10,0),0)-WEEKDAY(MAX($A27,Settings!$F$51)),7))/7)+1)),IF(AND(IF(Settings!$E$51="",$B27,DATE(YEAR($A27),MONTH($A27),MIN(Settings!$E$51,DAY($B27))))&gt;=MAX($A27,Settings!$F$51),IF(Settings!$E$51="",$B27,DATE(YEAR($A27),MONTH($A27),MIN(Settings!$E$51,DAY($B27))))&lt;=MIN(Settings!$B$5,IF(Settings!$G$51="",Settings!$B$5,Settings!$G$51))),1,0)))))</f>
        <v/>
      </c>
      <c r="FA27">
        <f>IF($E27&lt;&gt;"open",0,IF(AND('Month-End'!$X$29&lt;&gt;"",NOT(_xlfn.ISFORMULA('Month-End'!$X$29))),0,IF(OR(Settings!$C$52="",Settings!$D$52=""),0,Settings!$C$52*IF(Settings!$D$52="Weekly",IF(IFERROR(MATCH(Settings!$E$52,$EO$4:$EO$10,0),0)=0,0,IF(MIN(Settings!$B$5,IF(Settings!$G$52="",Settings!$B$5,Settings!$G$52))&lt;MAX($A27,Settings!$F$52),0,INT((MIN(Settings!$B$5,IF(Settings!$G$52="",Settings!$B$5,Settings!$G$52))-MAX($A27,Settings!$F$52)-MOD(IFERROR(MATCH(Settings!$E$52,$EO$4:$EO$10,0),0)-WEEKDAY(MAX($A27,Settings!$F$52)),7))/7)+1)),IF(AND(IF(Settings!$E$52="",$B27,DATE(YEAR($A27),MONTH($A27),MIN(Settings!$E$52,DAY($B27))))&gt;=MAX($A27,Settings!$F$52),IF(Settings!$E$52="",$B27,DATE(YEAR($A27),MONTH($A27),MIN(Settings!$E$52,DAY($B27))))&lt;=MIN(Settings!$B$5,IF(Settings!$G$52="",Settings!$B$5,Settings!$G$52))),1,0)))))</f>
        <v/>
      </c>
      <c r="FB27">
        <f>IF($E27&lt;&gt;"open",0,IF(AND('Month-End'!$X$30&lt;&gt;"",NOT(_xlfn.ISFORMULA('Month-End'!$X$30))),0,IF(OR(Settings!$C$53="",Settings!$D$53=""),0,Settings!$C$53*IF(Settings!$D$53="Weekly",IF(IFERROR(MATCH(Settings!$E$53,$EO$4:$EO$10,0),0)=0,0,IF(MIN(Settings!$B$5,IF(Settings!$G$53="",Settings!$B$5,Settings!$G$53))&lt;MAX($A27,Settings!$F$53),0,INT((MIN(Settings!$B$5,IF(Settings!$G$53="",Settings!$B$5,Settings!$G$53))-MAX($A27,Settings!$F$53)-MOD(IFERROR(MATCH(Settings!$E$53,$EO$4:$EO$10,0),0)-WEEKDAY(MAX($A27,Settings!$F$53)),7))/7)+1)),IF(AND(IF(Settings!$E$53="",$B27,DATE(YEAR($A27),MONTH($A27),MIN(Settings!$E$53,DAY($B27))))&gt;=MAX($A27,Settings!$F$53),IF(Settings!$E$53="",$B27,DATE(YEAR($A27),MONTH($A27),MIN(Settings!$E$53,DAY($B27))))&lt;=MIN(Settings!$B$5,IF(Settings!$G$53="",Settings!$B$5,Settings!$G$53))),1,0)))))</f>
        <v/>
      </c>
      <c r="FC27">
        <f>IF($E27&lt;&gt;"open",0,IF(AND('Month-End'!$X$31&lt;&gt;"",NOT(_xlfn.ISFORMULA('Month-End'!$X$31))),0,IF(OR(Settings!$C$54="",Settings!$D$54=""),0,Settings!$C$54*IF(Settings!$D$54="Weekly",IF(IFERROR(MATCH(Settings!$E$54,$EO$4:$EO$10,0),0)=0,0,IF(MIN(Settings!$B$5,IF(Settings!$G$54="",Settings!$B$5,Settings!$G$54))&lt;MAX($A27,Settings!$F$54),0,INT((MIN(Settings!$B$5,IF(Settings!$G$54="",Settings!$B$5,Settings!$G$54))-MAX($A27,Settings!$F$54)-MOD(IFERROR(MATCH(Settings!$E$54,$EO$4:$EO$10,0),0)-WEEKDAY(MAX($A27,Settings!$F$54)),7))/7)+1)),IF(AND(IF(Settings!$E$54="",$B27,DATE(YEAR($A27),MONTH($A27),MIN(Settings!$E$54,DAY($B27))))&gt;=MAX($A27,Settings!$F$54),IF(Settings!$E$54="",$B27,DATE(YEAR($A27),MONTH($A27),MIN(Settings!$E$54,DAY($B27))))&lt;=MIN(Settings!$B$5,IF(Settings!$G$54="",Settings!$B$5,Settings!$G$54))),1,0)))))</f>
        <v/>
      </c>
      <c r="FD27">
        <f>IF($E27&lt;&gt;"open",0,IF(AND('Month-End'!$X$32&lt;&gt;"",NOT(_xlfn.ISFORMULA('Month-End'!$X$32))),0,IF(OR(Settings!$C$55="",Settings!$D$55=""),0,Settings!$C$55*IF(Settings!$D$55="Weekly",IF(IFERROR(MATCH(Settings!$E$55,$EO$4:$EO$10,0),0)=0,0,IF(MIN(Settings!$B$5,IF(Settings!$G$55="",Settings!$B$5,Settings!$G$55))&lt;MAX($A27,Settings!$F$55),0,INT((MIN(Settings!$B$5,IF(Settings!$G$55="",Settings!$B$5,Settings!$G$55))-MAX($A27,Settings!$F$55)-MOD(IFERROR(MATCH(Settings!$E$55,$EO$4:$EO$10,0),0)-WEEKDAY(MAX($A27,Settings!$F$55)),7))/7)+1)),IF(AND(IF(Settings!$E$55="",$B27,DATE(YEAR($A27),MONTH($A27),MIN(Settings!$E$55,DAY($B27))))&gt;=MAX($A27,Settings!$F$55),IF(Settings!$E$55="",$B27,DATE(YEAR($A27),MONTH($A27),MIN(Settings!$E$55,DAY($B27))))&lt;=MIN(Settings!$B$5,IF(Settings!$G$55="",Settings!$B$5,Settings!$G$55))),1,0)))))</f>
        <v/>
      </c>
      <c r="FE27">
        <f>IF($E27&lt;&gt;"open",0,IF(AND('Month-End'!$X$33&lt;&gt;"",NOT(_xlfn.ISFORMULA('Month-End'!$X$33))),0,IF(OR(Settings!$C$56="",Settings!$D$56=""),0,Settings!$C$56*IF(Settings!$D$56="Weekly",IF(IFERROR(MATCH(Settings!$E$56,$EO$4:$EO$10,0),0)=0,0,IF(MIN(Settings!$B$5,IF(Settings!$G$56="",Settings!$B$5,Settings!$G$56))&lt;MAX($A27,Settings!$F$56),0,INT((MIN(Settings!$B$5,IF(Settings!$G$56="",Settings!$B$5,Settings!$G$56))-MAX($A27,Settings!$F$56)-MOD(IFERROR(MATCH(Settings!$E$56,$EO$4:$EO$10,0),0)-WEEKDAY(MAX($A27,Settings!$F$56)),7))/7)+1)),IF(AND(IF(Settings!$E$56="",$B27,DATE(YEAR($A27),MONTH($A27),MIN(Settings!$E$56,DAY($B27))))&gt;=MAX($A27,Settings!$F$56),IF(Settings!$E$56="",$B27,DATE(YEAR($A27),MONTH($A27),MIN(Settings!$E$56,DAY($B27))))&lt;=MIN(Settings!$B$5,IF(Settings!$G$56="",Settings!$B$5,Settings!$G$56))),1,0)))))</f>
        <v/>
      </c>
      <c r="FF27">
        <f>IF(Settings!$I$45="Yes",$G27,0)+IF(Settings!$I$46="Yes",$H27,0)+IF(Settings!$I$47="Yes",$I27,0)+IF(Settings!$I$48="Yes",$J27,0)+IF(Settings!$I$49="Yes",$K27,0)+IF(Settings!$I$50="Yes",$L27,0)+IF(Settings!$I$51="Yes",$M27,0)+IF(Settings!$I$52="Yes",$N27,0)+IF(Settings!$I$53="Yes",$O27,0)+IF(Settings!$I$54="Yes",$P27,0)+IF(Settings!$I$55="Yes",$Q27,0)+IF(Settings!$I$56="Yes",$R27,0)</f>
        <v/>
      </c>
      <c r="FG27">
        <f>IF(AND(Settings!$I$45="Yes",Settings!$J$45="No"),$G27,0)+IF(AND(Settings!$I$46="Yes",Settings!$J$46="No"),$H27,0)+IF(AND(Settings!$I$47="Yes",Settings!$J$47="No"),$I27,0)+IF(AND(Settings!$I$48="Yes",Settings!$J$48="No"),$J27,0)+IF(AND(Settings!$I$49="Yes",Settings!$J$49="No"),$K27,0)+IF(AND(Settings!$I$50="Yes",Settings!$J$50="No"),$L27,0)+IF(AND(Settings!$I$51="Yes",Settings!$J$51="No"),$M27,0)+IF(AND(Settings!$I$52="Yes",Settings!$J$52="No"),$N27,0)+IF(AND(Settings!$I$53="Yes",Settings!$J$53="No"),$O27,0)+IF(AND(Settings!$I$54="Yes",Settings!$J$54="No"),$P27,0)+IF(AND(Settings!$I$55="Yes",Settings!$J$55="No"),$Q27,0)+IF(AND(Settings!$I$56="Yes",Settings!$J$56="No"),$R27,0)</f>
        <v/>
      </c>
      <c r="FH27">
        <f>SUMIFS(Giving!$B$7:$B$2006,Giving!$A$7:$A$2006,"&gt;="&amp;$A27,Giving!$A$7:$A$2006,"&lt;="&amp;$B27,Giving!$G$7:$G$2006,"Yes")+IF(OR(OR(Settings!$B$60="",Settings!$F$60="No"),Settings!$H$60&lt;&gt;"Yes"),0,Settings!$B$60*IF(AND(IF(Settings!$C$60="",$B27,DATE(YEAR($A27),MONTH($A27),MIN(Settings!$C$60,DAY($B27))))&gt;=MAX($A27,Settings!$D$60),IF(Settings!$C$60="",$B27,DATE(YEAR($A27),MONTH($A27),MIN(Settings!$C$60,DAY($B27))))&lt;=MIN($C27,IF(Settings!$E$60="",$C27,Settings!$E$60))),1,0))+IF(OR(OR(Settings!$B$61="",Settings!$F$61="No"),Settings!$H$61&lt;&gt;"Yes"),0,Settings!$B$61*IF(AND(IF(Settings!$C$61="",$B27,DATE(YEAR($A27),MONTH($A27),MIN(Settings!$C$61,DAY($B27))))&gt;=MAX($A27,Settings!$D$61),IF(Settings!$C$61="",$B27,DATE(YEAR($A27),MONTH($A27),MIN(Settings!$C$61,DAY($B27))))&lt;=MIN($C27,IF(Settings!$E$61="",$C27,Settings!$E$61))),1,0))+IF(OR(OR(Settings!$B$62="",Settings!$F$62="No"),Settings!$H$62&lt;&gt;"Yes"),0,Settings!$B$62*IF(AND(IF(Settings!$C$62="",$B27,DATE(YEAR($A27),MONTH($A27),MIN(Settings!$C$62,DAY($B27))))&gt;=MAX($A27,Settings!$D$62),IF(Settings!$C$62="",$B27,DATE(YEAR($A27),MONTH($A27),MIN(Settings!$C$62,DAY($B27))))&lt;=MIN($C27,IF(Settings!$E$62="",$C27,Settings!$E$62))),1,0))+IF(OR(OR(Settings!$B$63="",Settings!$F$63="No"),Settings!$H$63&lt;&gt;"Yes"),0,Settings!$B$63*IF(AND(IF(Settings!$C$63="",$B27,DATE(YEAR($A27),MONTH($A27),MIN(Settings!$C$63,DAY($B27))))&gt;=MAX($A27,Settings!$D$63),IF(Settings!$C$63="",$B27,DATE(YEAR($A27),MONTH($A27),MIN(Settings!$C$63,DAY($B27))))&lt;=MIN($C27,IF(Settings!$E$63="",$C27,Settings!$E$63))),1,0))+IF(OR(OR(Settings!$B$64="",Settings!$F$64="No"),Settings!$H$64&lt;&gt;"Yes"),0,Settings!$B$64*IF(AND(IF(Settings!$C$64="",$B27,DATE(YEAR($A27),MONTH($A27),MIN(Settings!$C$64,DAY($B27))))&gt;=MAX($A27,Settings!$D$64),IF(Settings!$C$64="",$B27,DATE(YEAR($A27),MONTH($A27),MIN(Settings!$C$64,DAY($B27))))&lt;=MIN($C27,IF(Settings!$E$64="",$C27,Settings!$E$64))),1,0))+IF(OR(OR(Settings!$B$65="",Settings!$F$65="No"),Settings!$H$65&lt;&gt;"Yes"),0,Settings!$B$65*IF(AND(IF(Settings!$C$65="",$B27,DATE(YEAR($A27),MONTH($A27),MIN(Settings!$C$65,DAY($B27))))&gt;=MAX($A27,Settings!$D$65),IF(Settings!$C$65="",$B27,DATE(YEAR($A27),MONTH($A27),MIN(Settings!$C$65,DAY($B27))))&lt;=MIN($C27,IF(Settings!$E$65="",$C27,Settings!$E$65))),1,0))</f>
        <v/>
      </c>
      <c r="FI27">
        <f>IF($DT27=1,IF(OR(Settings!$B$19="Card",Settings!$B$19="Loan"),N($AE27),0)+IF(OR(Settings!$B$20="Card",Settings!$B$20="Loan"),N($AF27),0)+IF(OR(Settings!$B$21="Card",Settings!$B$21="Loan"),N($AG27),0)+IF(OR(Settings!$B$22="Card",Settings!$B$22="Loan"),N($AH27),0)+IF(OR(Settings!$B$23="Card",Settings!$B$23="Loan"),N($AI27),0)+IF(OR(Settings!$B$24="Card",Settings!$B$24="Loan"),N($AJ27),0)+IF(OR(Settings!$B$25="Card",Settings!$B$25="Loan"),N($AK27),0)+IF(OR(Settings!$B$26="Card",Settings!$B$26="Loan"),N($AL27),0)+IF(OR(Settings!$B$27="Card",Settings!$B$27="Loan"),N($AM27),0)+IF(OR(Settings!$B$28="Card",Settings!$B$28="Loan"),N($AN27),0)+IF(OR(Settings!$B$29="Card",Settings!$B$29="Loan"),N($AO27),0)+IF(OR(Settings!$B$30="Card",Settings!$B$30="Loan"),N($AP27),0)+IF(OR(Settings!$B$31="Card",Settings!$B$31="Loan"),N($AQ27),0)+IF(OR(Settings!$B$32="Card",Settings!$B$32="Loan"),N($AR27),0),"")</f>
        <v/>
      </c>
      <c r="FJ27">
        <f>IF($E27="open",$EB$65,IF($E27="post",IF($E26="pre",$EB$65,$FI26),""))</f>
        <v/>
      </c>
      <c r="FK27">
        <f>IF(AND($DT27=1,$DC27=1),IF(ROUND($FI27-$FJ27,2)&gt;0,1,0),0)</f>
        <v/>
      </c>
      <c r="FL27">
        <f>IF($FK27=1,$FL26+1,0)</f>
        <v/>
      </c>
    </row>
    <row r="28">
      <c r="A28">
        <f>'Month-End'!$Y$4</f>
        <v/>
      </c>
      <c r="B28">
        <f>EOMONTH($A28,0)</f>
        <v/>
      </c>
      <c r="C28">
        <f>MIN($B28,TODAY())</f>
        <v/>
      </c>
      <c r="D28">
        <f>IF($A28&gt;TODAY(),1,0)</f>
        <v/>
      </c>
      <c r="E28">
        <f>IF($B28&lt;=Settings!$B$5,"pre",IF($A28&lt;=Settings!$B$5,"open","post"))</f>
        <v/>
      </c>
      <c r="G28">
        <f>IF('Month-End'!$Y$22="",$BE28,N('Month-End'!$Y$22))</f>
        <v/>
      </c>
      <c r="H28">
        <f>IF('Month-End'!$Y$23="",$BF28,N('Month-End'!$Y$23))</f>
        <v/>
      </c>
      <c r="I28">
        <f>IF('Month-End'!$Y$24="",$BG28,N('Month-End'!$Y$24))</f>
        <v/>
      </c>
      <c r="J28">
        <f>IF('Month-End'!$Y$25="",$BH28,N('Month-End'!$Y$25))</f>
        <v/>
      </c>
      <c r="K28">
        <f>IF('Month-End'!$Y$26="",$BI28,N('Month-End'!$Y$26))</f>
        <v/>
      </c>
      <c r="L28">
        <f>IF('Month-End'!$Y$27="",$BJ28,N('Month-End'!$Y$27))</f>
        <v/>
      </c>
      <c r="M28">
        <f>IF('Month-End'!$Y$28="",$BK28,N('Month-End'!$Y$28))</f>
        <v/>
      </c>
      <c r="N28">
        <f>IF('Month-End'!$Y$29="",$BL28,N('Month-End'!$Y$29))</f>
        <v/>
      </c>
      <c r="O28">
        <f>IF('Month-End'!$Y$30="",$BM28,N('Month-End'!$Y$30))</f>
        <v/>
      </c>
      <c r="P28">
        <f>IF('Month-End'!$Y$31="",$BN28,N('Month-End'!$Y$31))</f>
        <v/>
      </c>
      <c r="Q28">
        <f>IF('Month-End'!$Y$32="",$BO28,N('Month-End'!$Y$32))</f>
        <v/>
      </c>
      <c r="R28">
        <f>IF('Month-End'!$Y$33="",$BP28,N('Month-End'!$Y$33))</f>
        <v/>
      </c>
      <c r="S28">
        <f>$G28+$H28+$I28+$J28+$K28+$L28+$M28+$N28+$O28+$P28+$Q28+$R28</f>
        <v/>
      </c>
      <c r="T28">
        <f>IF($B28&lt;Settings!$B$6,0,IF(Settings!$B$45="Yes",$G28,0)+IF(Settings!$B$46="Yes",$H28,0)+IF(Settings!$B$47="Yes",$I28,0)+IF(Settings!$B$48="Yes",$J28,0)+IF(Settings!$B$49="Yes",$K28,0)+IF(Settings!$B$50="Yes",$L28,0)+IF(Settings!$B$51="Yes",$M28,0)+IF(Settings!$B$52="Yes",$N28,0)+IF(Settings!$B$53="Yes",$O28,0)+IF(Settings!$B$54="Yes",$P28,0)+IF(Settings!$B$55="Yes",$Q28,0)+IF(Settings!$B$56="Yes",$R28,0))</f>
        <v/>
      </c>
      <c r="U28">
        <f>IF(Settings!$B$45="Not Sure",$G28,0)+IF(Settings!$B$46="Not Sure",$H28,0)+IF(Settings!$B$47="Not Sure",$I28,0)+IF(Settings!$B$48="Not Sure",$J28,0)+IF(Settings!$B$49="Not Sure",$K28,0)+IF(Settings!$B$50="Not Sure",$L28,0)+IF(Settings!$B$51="Not Sure",$M28,0)+IF(Settings!$B$52="Not Sure",$N28,0)+IF(Settings!$B$53="Not Sure",$O28,0)+IF(Settings!$B$54="Not Sure",$P28,0)+IF(Settings!$B$55="Not Sure",$Q28,0)+IF(Settings!$B$56="Not Sure",$R28,0)</f>
        <v/>
      </c>
      <c r="V28">
        <f>IF($E28="open",SUM($ET28:$FE28)+N(Settings!$B$13),0)</f>
        <v/>
      </c>
      <c r="W28">
        <f>IF($E28="post",$S28,IF($E28="open",$S28-$V28,0))</f>
        <v/>
      </c>
      <c r="X28">
        <f>SUMIFS(Giving!$B$7:$B$2006,Giving!$A$7:$A$2006,"&gt;="&amp;$A28,Giving!$A$7:$A$2006,"&lt;="&amp;$B28,Giving!$E$7:$E$2006,"&lt;&gt;No")</f>
        <v/>
      </c>
      <c r="Y28">
        <f>SUMIFS(Giving!$B$7:$B$2006,Giving!$A$7:$A$2006,"&gt;="&amp;$A28,Giving!$A$7:$A$2006,"&lt;="&amp;$B28,Giving!$E$7:$E$2006,"No")</f>
        <v/>
      </c>
      <c r="Z28">
        <f>IF(OR(Settings!$B$60="",Settings!$F$60="No"),0,Settings!$B$60*IF(AND(IF(Settings!$C$60="",$B28,DATE(YEAR($A28),MONTH($A28),MIN(Settings!$C$60,DAY($B28))))&gt;=MAX($A28,Settings!$D$60),IF(Settings!$C$60="",$B28,DATE(YEAR($A28),MONTH($A28),MIN(Settings!$C$60,DAY($B28))))&lt;=MIN($C28,IF(Settings!$E$60="",$C28,Settings!$E$60))),1,0))+IF(OR(Settings!$B$61="",Settings!$F$61="No"),0,Settings!$B$61*IF(AND(IF(Settings!$C$61="",$B28,DATE(YEAR($A28),MONTH($A28),MIN(Settings!$C$61,DAY($B28))))&gt;=MAX($A28,Settings!$D$61),IF(Settings!$C$61="",$B28,DATE(YEAR($A28),MONTH($A28),MIN(Settings!$C$61,DAY($B28))))&lt;=MIN($C28,IF(Settings!$E$61="",$C28,Settings!$E$61))),1,0))+IF(OR(Settings!$B$62="",Settings!$F$62="No"),0,Settings!$B$62*IF(AND(IF(Settings!$C$62="",$B28,DATE(YEAR($A28),MONTH($A28),MIN(Settings!$C$62,DAY($B28))))&gt;=MAX($A28,Settings!$D$62),IF(Settings!$C$62="",$B28,DATE(YEAR($A28),MONTH($A28),MIN(Settings!$C$62,DAY($B28))))&lt;=MIN($C28,IF(Settings!$E$62="",$C28,Settings!$E$62))),1,0))+IF(OR(Settings!$B$63="",Settings!$F$63="No"),0,Settings!$B$63*IF(AND(IF(Settings!$C$63="",$B28,DATE(YEAR($A28),MONTH($A28),MIN(Settings!$C$63,DAY($B28))))&gt;=MAX($A28,Settings!$D$63),IF(Settings!$C$63="",$B28,DATE(YEAR($A28),MONTH($A28),MIN(Settings!$C$63,DAY($B28))))&lt;=MIN($C28,IF(Settings!$E$63="",$C28,Settings!$E$63))),1,0))+IF(OR(Settings!$B$64="",Settings!$F$64="No"),0,Settings!$B$64*IF(AND(IF(Settings!$C$64="",$B28,DATE(YEAR($A28),MONTH($A28),MIN(Settings!$C$64,DAY($B28))))&gt;=MAX($A28,Settings!$D$64),IF(Settings!$C$64="",$B28,DATE(YEAR($A28),MONTH($A28),MIN(Settings!$C$64,DAY($B28))))&lt;=MIN($C28,IF(Settings!$E$64="",$C28,Settings!$E$64))),1,0))+IF(OR(Settings!$B$65="",Settings!$F$65="No"),0,Settings!$B$65*IF(AND(IF(Settings!$C$65="",$B28,DATE(YEAR($A28),MONTH($A28),MIN(Settings!$C$65,DAY($B28))))&gt;=MAX($A28,Settings!$D$65),IF(Settings!$C$65="",$B28,DATE(YEAR($A28),MONTH($A28),MIN(Settings!$C$65,DAY($B28))))&lt;=MIN($C28,IF(Settings!$E$65="",$C28,Settings!$E$65))),1,0))</f>
        <v/>
      </c>
      <c r="AA28">
        <f>$X28+$Z28</f>
        <v/>
      </c>
      <c r="AB28">
        <f>IF($E28="post",$AA28,IF($E28="open",SUMIFS(Giving!$B$7:$B$2006,Giving!$A$7:$A$2006,"&gt;"&amp;Settings!$B$5,Giving!$A$7:$A$2006,"&lt;="&amp;$B28,Giving!$E$7:$E$2006,"&lt;&gt;No")+IF(OR(Settings!$B$60="",Settings!$F$60="No"),0,Settings!$B$60*IF(AND(IF(Settings!$C$60="",$B28,DATE(YEAR($A28),MONTH($A28),MIN(Settings!$C$60,DAY($B28))))&gt;=MAX($A28,Settings!$D$60,Settings!$B$5+1),IF(Settings!$C$60="",$B28,DATE(YEAR($A28),MONTH($A28),MIN(Settings!$C$60,DAY($B28))))&lt;=MIN($C28,IF(Settings!$E$60="",$C28,Settings!$E$60))),1,0))+IF(OR(Settings!$B$61="",Settings!$F$61="No"),0,Settings!$B$61*IF(AND(IF(Settings!$C$61="",$B28,DATE(YEAR($A28),MONTH($A28),MIN(Settings!$C$61,DAY($B28))))&gt;=MAX($A28,Settings!$D$61,Settings!$B$5+1),IF(Settings!$C$61="",$B28,DATE(YEAR($A28),MONTH($A28),MIN(Settings!$C$61,DAY($B28))))&lt;=MIN($C28,IF(Settings!$E$61="",$C28,Settings!$E$61))),1,0))+IF(OR(Settings!$B$62="",Settings!$F$62="No"),0,Settings!$B$62*IF(AND(IF(Settings!$C$62="",$B28,DATE(YEAR($A28),MONTH($A28),MIN(Settings!$C$62,DAY($B28))))&gt;=MAX($A28,Settings!$D$62,Settings!$B$5+1),IF(Settings!$C$62="",$B28,DATE(YEAR($A28),MONTH($A28),MIN(Settings!$C$62,DAY($B28))))&lt;=MIN($C28,IF(Settings!$E$62="",$C28,Settings!$E$62))),1,0))+IF(OR(Settings!$B$63="",Settings!$F$63="No"),0,Settings!$B$63*IF(AND(IF(Settings!$C$63="",$B28,DATE(YEAR($A28),MONTH($A28),MIN(Settings!$C$63,DAY($B28))))&gt;=MAX($A28,Settings!$D$63,Settings!$B$5+1),IF(Settings!$C$63="",$B28,DATE(YEAR($A28),MONTH($A28),MIN(Settings!$C$63,DAY($B28))))&lt;=MIN($C28,IF(Settings!$E$63="",$C28,Settings!$E$63))),1,0))+IF(OR(Settings!$B$64="",Settings!$F$64="No"),0,Settings!$B$64*IF(AND(IF(Settings!$C$64="",$B28,DATE(YEAR($A28),MONTH($A28),MIN(Settings!$C$64,DAY($B28))))&gt;=MAX($A28,Settings!$D$64,Settings!$B$5+1),IF(Settings!$C$64="",$B28,DATE(YEAR($A28),MONTH($A28),MIN(Settings!$C$64,DAY($B28))))&lt;=MIN($C28,IF(Settings!$E$64="",$C28,Settings!$E$64))),1,0))+IF(OR(Settings!$B$65="",Settings!$F$65="No"),0,Settings!$B$65*IF(AND(IF(Settings!$C$65="",$B28,DATE(YEAR($A28),MONTH($A28),MIN(Settings!$C$65,DAY($B28))))&gt;=MAX($A28,Settings!$D$65,Settings!$B$5+1),IF(Settings!$C$65="",$B28,DATE(YEAR($A28),MONTH($A28),MIN(Settings!$C$65,DAY($B28))))&lt;=MIN($C28,IF(Settings!$E$65="",$C28,Settings!$E$65))),1,0)),0))</f>
        <v/>
      </c>
      <c r="AC28">
        <f>$AY28+$AZ28+$BA28+$BB28+$BC28+$BD28</f>
        <v/>
      </c>
      <c r="AD28">
        <f>$AC28</f>
        <v/>
      </c>
      <c r="AE28">
        <f>IF(OR(Settings!$A$19="",$E28="pre"),"",IF(AND('Month-End'!$Y$7&lt;&gt;"",NOT(_xlfn.ISFORMULA('Month-End'!$Y$7))),N('Month-End'!$Y$7),IF(OR($E28="open",$E27="pre"),N(Settings!$C$19),N($AE27))))</f>
        <v/>
      </c>
      <c r="AF28">
        <f>IF(OR(Settings!$A$20="",$E28="pre"),"",IF(AND('Month-End'!$Y$8&lt;&gt;"",NOT(_xlfn.ISFORMULA('Month-End'!$Y$8))),N('Month-End'!$Y$8),IF(OR($E28="open",$E27="pre"),N(Settings!$C$20),N($AF27))))</f>
        <v/>
      </c>
      <c r="AG28">
        <f>IF(OR(Settings!$A$21="",$E28="pre"),"",IF(AND('Month-End'!$Y$9&lt;&gt;"",NOT(_xlfn.ISFORMULA('Month-End'!$Y$9))),N('Month-End'!$Y$9),IF(OR($E28="open",$E27="pre"),N(Settings!$C$21),N($AG27))))</f>
        <v/>
      </c>
      <c r="AH28">
        <f>IF(OR(Settings!$A$22="",$E28="pre"),"",IF(AND('Month-End'!$Y$10&lt;&gt;"",NOT(_xlfn.ISFORMULA('Month-End'!$Y$10))),N('Month-End'!$Y$10),IF(OR($E28="open",$E27="pre"),N(Settings!$C$22),N($AH27))))</f>
        <v/>
      </c>
      <c r="AI28">
        <f>IF(OR(Settings!$A$23="",$E28="pre"),"",IF(AND('Month-End'!$Y$11&lt;&gt;"",NOT(_xlfn.ISFORMULA('Month-End'!$Y$11))),N('Month-End'!$Y$11),IF(OR($E28="open",$E27="pre"),N(Settings!$C$23),N($AI27))))</f>
        <v/>
      </c>
      <c r="AJ28">
        <f>IF(OR(Settings!$A$24="",$E28="pre"),"",IF(AND('Month-End'!$Y$12&lt;&gt;"",NOT(_xlfn.ISFORMULA('Month-End'!$Y$12))),N('Month-End'!$Y$12),IF(OR($E28="open",$E27="pre"),N(Settings!$C$24),N($AJ27))))</f>
        <v/>
      </c>
      <c r="AK28">
        <f>IF(OR(Settings!$A$25="",$E28="pre"),"",IF(AND('Month-End'!$Y$13&lt;&gt;"",NOT(_xlfn.ISFORMULA('Month-End'!$Y$13))),N('Month-End'!$Y$13),IF(OR($E28="open",$E27="pre"),N(Settings!$C$25),N($AK27))))</f>
        <v/>
      </c>
      <c r="AL28">
        <f>IF(OR(Settings!$A$26="",$E28="pre"),"",IF(AND('Month-End'!$Y$14&lt;&gt;"",NOT(_xlfn.ISFORMULA('Month-End'!$Y$14))),N('Month-End'!$Y$14),IF(OR($E28="open",$E27="pre"),N(Settings!$C$26),N($AL27))))</f>
        <v/>
      </c>
      <c r="AM28">
        <f>IF(OR(Settings!$A$27="",$E28="pre"),"",IF(AND('Month-End'!$Y$15&lt;&gt;"",NOT(_xlfn.ISFORMULA('Month-End'!$Y$15))),N('Month-End'!$Y$15),IF(OR($E28="open",$E27="pre"),N(Settings!$C$27),N($AM27))))</f>
        <v/>
      </c>
      <c r="AN28">
        <f>IF(OR(Settings!$A$28="",$E28="pre"),"",IF(AND('Month-End'!$Y$16&lt;&gt;"",NOT(_xlfn.ISFORMULA('Month-End'!$Y$16))),N('Month-End'!$Y$16),IF(OR($E28="open",$E27="pre"),N(Settings!$C$28),N($AN27))))</f>
        <v/>
      </c>
      <c r="AO28">
        <f>IF(OR(Settings!$A$29="",$E28="pre"),"",IF(AND('Month-End'!$Y$17&lt;&gt;"",NOT(_xlfn.ISFORMULA('Month-End'!$Y$17))),N('Month-End'!$Y$17),IF(OR($E28="open",$E27="pre"),N(Settings!$C$29),N($AO27))))</f>
        <v/>
      </c>
      <c r="AP28">
        <f>IF(OR(Settings!$A$30="",$E28="pre"),"",IF(AND('Month-End'!$Y$18&lt;&gt;"",NOT(_xlfn.ISFORMULA('Month-End'!$Y$18))),N('Month-End'!$Y$18),IF(OR($E28="open",$E27="pre"),N(Settings!$C$30),N($AP27))))</f>
        <v/>
      </c>
      <c r="AQ28">
        <f>IF(OR(Settings!$A$31="",$E28="pre"),"",IF(AND('Month-End'!$Y$19&lt;&gt;"",NOT(_xlfn.ISFORMULA('Month-End'!$Y$19))),N('Month-End'!$Y$19),IF(OR($E28="open",$E27="pre"),N(Settings!$C$31),N($AQ27))))</f>
        <v/>
      </c>
      <c r="AR28">
        <f>IF(OR(Settings!$A$32="",$E28="pre"),"",IF(AND('Month-End'!$Y$20&lt;&gt;"",NOT(_xlfn.ISFORMULA('Month-End'!$Y$20))),N('Month-End'!$Y$20),IF(OR($E28="open",$E27="pre"),N(Settings!$C$32),N($AR27))))</f>
        <v/>
      </c>
      <c r="AS28">
        <f>IF(OR(Settings!$A$36="",$E28="pre"),"",IF(AND('Month-End'!$Y$38&lt;&gt;"",NOT(_xlfn.ISFORMULA('Month-End'!$Y$38))),N('Month-End'!$Y$38),IF(OR($E28="open",$E27="pre"),N(Settings!$C$36),N($AS27))+$AY28))</f>
        <v/>
      </c>
      <c r="AT28">
        <f>IF(OR(Settings!$A$37="",$E28="pre"),"",IF(AND('Month-End'!$Y$39&lt;&gt;"",NOT(_xlfn.ISFORMULA('Month-End'!$Y$39))),N('Month-End'!$Y$39),IF(OR($E28="open",$E27="pre"),N(Settings!$C$37),N($AT27))+$AZ28))</f>
        <v/>
      </c>
      <c r="AU28">
        <f>IF(OR(Settings!$A$38="",$E28="pre"),"",IF(AND('Month-End'!$Y$40&lt;&gt;"",NOT(_xlfn.ISFORMULA('Month-End'!$Y$40))),N('Month-End'!$Y$40),IF(OR($E28="open",$E27="pre"),N(Settings!$C$38),N($AU27))+$BA28))</f>
        <v/>
      </c>
      <c r="AV28">
        <f>IF(OR(Settings!$A$39="",$E28="pre"),"",IF(AND('Month-End'!$Y$41&lt;&gt;"",NOT(_xlfn.ISFORMULA('Month-End'!$Y$41))),N('Month-End'!$Y$41),IF(OR($E28="open",$E27="pre"),N(Settings!$C$39),N($AV27))+$BB28))</f>
        <v/>
      </c>
      <c r="AW28">
        <f>IF(OR(Settings!$A$40="",$E28="pre"),"",IF(AND('Month-End'!$Y$42&lt;&gt;"",NOT(_xlfn.ISFORMULA('Month-End'!$Y$42))),N('Month-End'!$Y$42),IF(OR($E28="open",$E27="pre"),N(Settings!$C$40),N($AW27))+$BC28))</f>
        <v/>
      </c>
      <c r="AX28">
        <f>IF(OR(Settings!$A$41="",$E28="pre"),"",IF(AND('Month-End'!$Y$43&lt;&gt;"",NOT(_xlfn.ISFORMULA('Month-End'!$Y$43))),N('Month-End'!$Y$43),IF(OR($E28="open",$E27="pre"),N(Settings!$C$41),N($AX27))+$BD28))</f>
        <v/>
      </c>
      <c r="AY28">
        <f>IF($E28="pre",0,N('Month-End'!$Y$45))</f>
        <v/>
      </c>
      <c r="AZ28">
        <f>IF($E28="pre",0,N('Month-End'!$Y$46))</f>
        <v/>
      </c>
      <c r="BA28">
        <f>IF($E28="pre",0,N('Month-End'!$Y$47))</f>
        <v/>
      </c>
      <c r="BB28">
        <f>IF($E28="pre",0,N('Month-End'!$Y$48))</f>
        <v/>
      </c>
      <c r="BC28">
        <f>IF($E28="pre",0,N('Month-End'!$Y$49))</f>
        <v/>
      </c>
      <c r="BD28">
        <f>IF($E28="pre",0,N('Month-End'!$Y$50))</f>
        <v/>
      </c>
      <c r="BE28">
        <f>IF(OR(Settings!$C$45="",Settings!$D$45=""),0,Settings!$C$45*IF(Settings!$D$45="Weekly",IF(IFERROR(MATCH(Settings!$E$45,$EO$4:$EO$10,0),0)=0,0,IF(MIN($C28,IF(Settings!$G$45="",$C28,Settings!$G$45))&lt;MAX($A28,Settings!$F$45),0,INT((MIN($C28,IF(Settings!$G$45="",$C28,Settings!$G$45))-MAX($A28,Settings!$F$45)-MOD(IFERROR(MATCH(Settings!$E$45,$EO$4:$EO$10,0),0)-WEEKDAY(MAX($A28,Settings!$F$45)),7))/7)+1)),IF(AND(IF(Settings!$E$45="",$B28,DATE(YEAR($A28),MONTH($A28),MIN(Settings!$E$45,DAY($B28))))&gt;=MAX($A28,Settings!$F$45),IF(Settings!$E$45="",$B28,DATE(YEAR($A28),MONTH($A28),MIN(Settings!$E$45,DAY($B28))))&lt;=MIN($C28,IF(Settings!$G$45="",$C28,Settings!$G$45))),1,0)))</f>
        <v/>
      </c>
      <c r="BF28">
        <f>IF(OR(Settings!$C$46="",Settings!$D$46=""),0,Settings!$C$46*IF(Settings!$D$46="Weekly",IF(IFERROR(MATCH(Settings!$E$46,$EO$4:$EO$10,0),0)=0,0,IF(MIN($C28,IF(Settings!$G$46="",$C28,Settings!$G$46))&lt;MAX($A28,Settings!$F$46),0,INT((MIN($C28,IF(Settings!$G$46="",$C28,Settings!$G$46))-MAX($A28,Settings!$F$46)-MOD(IFERROR(MATCH(Settings!$E$46,$EO$4:$EO$10,0),0)-WEEKDAY(MAX($A28,Settings!$F$46)),7))/7)+1)),IF(AND(IF(Settings!$E$46="",$B28,DATE(YEAR($A28),MONTH($A28),MIN(Settings!$E$46,DAY($B28))))&gt;=MAX($A28,Settings!$F$46),IF(Settings!$E$46="",$B28,DATE(YEAR($A28),MONTH($A28),MIN(Settings!$E$46,DAY($B28))))&lt;=MIN($C28,IF(Settings!$G$46="",$C28,Settings!$G$46))),1,0)))</f>
        <v/>
      </c>
      <c r="BG28">
        <f>IF(OR(Settings!$C$47="",Settings!$D$47=""),0,Settings!$C$47*IF(Settings!$D$47="Weekly",IF(IFERROR(MATCH(Settings!$E$47,$EO$4:$EO$10,0),0)=0,0,IF(MIN($C28,IF(Settings!$G$47="",$C28,Settings!$G$47))&lt;MAX($A28,Settings!$F$47),0,INT((MIN($C28,IF(Settings!$G$47="",$C28,Settings!$G$47))-MAX($A28,Settings!$F$47)-MOD(IFERROR(MATCH(Settings!$E$47,$EO$4:$EO$10,0),0)-WEEKDAY(MAX($A28,Settings!$F$47)),7))/7)+1)),IF(AND(IF(Settings!$E$47="",$B28,DATE(YEAR($A28),MONTH($A28),MIN(Settings!$E$47,DAY($B28))))&gt;=MAX($A28,Settings!$F$47),IF(Settings!$E$47="",$B28,DATE(YEAR($A28),MONTH($A28),MIN(Settings!$E$47,DAY($B28))))&lt;=MIN($C28,IF(Settings!$G$47="",$C28,Settings!$G$47))),1,0)))</f>
        <v/>
      </c>
      <c r="BH28">
        <f>IF(OR(Settings!$C$48="",Settings!$D$48=""),0,Settings!$C$48*IF(Settings!$D$48="Weekly",IF(IFERROR(MATCH(Settings!$E$48,$EO$4:$EO$10,0),0)=0,0,IF(MIN($C28,IF(Settings!$G$48="",$C28,Settings!$G$48))&lt;MAX($A28,Settings!$F$48),0,INT((MIN($C28,IF(Settings!$G$48="",$C28,Settings!$G$48))-MAX($A28,Settings!$F$48)-MOD(IFERROR(MATCH(Settings!$E$48,$EO$4:$EO$10,0),0)-WEEKDAY(MAX($A28,Settings!$F$48)),7))/7)+1)),IF(AND(IF(Settings!$E$48="",$B28,DATE(YEAR($A28),MONTH($A28),MIN(Settings!$E$48,DAY($B28))))&gt;=MAX($A28,Settings!$F$48),IF(Settings!$E$48="",$B28,DATE(YEAR($A28),MONTH($A28),MIN(Settings!$E$48,DAY($B28))))&lt;=MIN($C28,IF(Settings!$G$48="",$C28,Settings!$G$48))),1,0)))</f>
        <v/>
      </c>
      <c r="BI28">
        <f>IF(OR(Settings!$C$49="",Settings!$D$49=""),0,Settings!$C$49*IF(Settings!$D$49="Weekly",IF(IFERROR(MATCH(Settings!$E$49,$EO$4:$EO$10,0),0)=0,0,IF(MIN($C28,IF(Settings!$G$49="",$C28,Settings!$G$49))&lt;MAX($A28,Settings!$F$49),0,INT((MIN($C28,IF(Settings!$G$49="",$C28,Settings!$G$49))-MAX($A28,Settings!$F$49)-MOD(IFERROR(MATCH(Settings!$E$49,$EO$4:$EO$10,0),0)-WEEKDAY(MAX($A28,Settings!$F$49)),7))/7)+1)),IF(AND(IF(Settings!$E$49="",$B28,DATE(YEAR($A28),MONTH($A28),MIN(Settings!$E$49,DAY($B28))))&gt;=MAX($A28,Settings!$F$49),IF(Settings!$E$49="",$B28,DATE(YEAR($A28),MONTH($A28),MIN(Settings!$E$49,DAY($B28))))&lt;=MIN($C28,IF(Settings!$G$49="",$C28,Settings!$G$49))),1,0)))</f>
        <v/>
      </c>
      <c r="BJ28">
        <f>IF(OR(Settings!$C$50="",Settings!$D$50=""),0,Settings!$C$50*IF(Settings!$D$50="Weekly",IF(IFERROR(MATCH(Settings!$E$50,$EO$4:$EO$10,0),0)=0,0,IF(MIN($C28,IF(Settings!$G$50="",$C28,Settings!$G$50))&lt;MAX($A28,Settings!$F$50),0,INT((MIN($C28,IF(Settings!$G$50="",$C28,Settings!$G$50))-MAX($A28,Settings!$F$50)-MOD(IFERROR(MATCH(Settings!$E$50,$EO$4:$EO$10,0),0)-WEEKDAY(MAX($A28,Settings!$F$50)),7))/7)+1)),IF(AND(IF(Settings!$E$50="",$B28,DATE(YEAR($A28),MONTH($A28),MIN(Settings!$E$50,DAY($B28))))&gt;=MAX($A28,Settings!$F$50),IF(Settings!$E$50="",$B28,DATE(YEAR($A28),MONTH($A28),MIN(Settings!$E$50,DAY($B28))))&lt;=MIN($C28,IF(Settings!$G$50="",$C28,Settings!$G$50))),1,0)))</f>
        <v/>
      </c>
      <c r="BK28">
        <f>IF(OR(Settings!$C$51="",Settings!$D$51=""),0,Settings!$C$51*IF(Settings!$D$51="Weekly",IF(IFERROR(MATCH(Settings!$E$51,$EO$4:$EO$10,0),0)=0,0,IF(MIN($C28,IF(Settings!$G$51="",$C28,Settings!$G$51))&lt;MAX($A28,Settings!$F$51),0,INT((MIN($C28,IF(Settings!$G$51="",$C28,Settings!$G$51))-MAX($A28,Settings!$F$51)-MOD(IFERROR(MATCH(Settings!$E$51,$EO$4:$EO$10,0),0)-WEEKDAY(MAX($A28,Settings!$F$51)),7))/7)+1)),IF(AND(IF(Settings!$E$51="",$B28,DATE(YEAR($A28),MONTH($A28),MIN(Settings!$E$51,DAY($B28))))&gt;=MAX($A28,Settings!$F$51),IF(Settings!$E$51="",$B28,DATE(YEAR($A28),MONTH($A28),MIN(Settings!$E$51,DAY($B28))))&lt;=MIN($C28,IF(Settings!$G$51="",$C28,Settings!$G$51))),1,0)))</f>
        <v/>
      </c>
      <c r="BL28">
        <f>IF(OR(Settings!$C$52="",Settings!$D$52=""),0,Settings!$C$52*IF(Settings!$D$52="Weekly",IF(IFERROR(MATCH(Settings!$E$52,$EO$4:$EO$10,0),0)=0,0,IF(MIN($C28,IF(Settings!$G$52="",$C28,Settings!$G$52))&lt;MAX($A28,Settings!$F$52),0,INT((MIN($C28,IF(Settings!$G$52="",$C28,Settings!$G$52))-MAX($A28,Settings!$F$52)-MOD(IFERROR(MATCH(Settings!$E$52,$EO$4:$EO$10,0),0)-WEEKDAY(MAX($A28,Settings!$F$52)),7))/7)+1)),IF(AND(IF(Settings!$E$52="",$B28,DATE(YEAR($A28),MONTH($A28),MIN(Settings!$E$52,DAY($B28))))&gt;=MAX($A28,Settings!$F$52),IF(Settings!$E$52="",$B28,DATE(YEAR($A28),MONTH($A28),MIN(Settings!$E$52,DAY($B28))))&lt;=MIN($C28,IF(Settings!$G$52="",$C28,Settings!$G$52))),1,0)))</f>
        <v/>
      </c>
      <c r="BM28">
        <f>IF(OR(Settings!$C$53="",Settings!$D$53=""),0,Settings!$C$53*IF(Settings!$D$53="Weekly",IF(IFERROR(MATCH(Settings!$E$53,$EO$4:$EO$10,0),0)=0,0,IF(MIN($C28,IF(Settings!$G$53="",$C28,Settings!$G$53))&lt;MAX($A28,Settings!$F$53),0,INT((MIN($C28,IF(Settings!$G$53="",$C28,Settings!$G$53))-MAX($A28,Settings!$F$53)-MOD(IFERROR(MATCH(Settings!$E$53,$EO$4:$EO$10,0),0)-WEEKDAY(MAX($A28,Settings!$F$53)),7))/7)+1)),IF(AND(IF(Settings!$E$53="",$B28,DATE(YEAR($A28),MONTH($A28),MIN(Settings!$E$53,DAY($B28))))&gt;=MAX($A28,Settings!$F$53),IF(Settings!$E$53="",$B28,DATE(YEAR($A28),MONTH($A28),MIN(Settings!$E$53,DAY($B28))))&lt;=MIN($C28,IF(Settings!$G$53="",$C28,Settings!$G$53))),1,0)))</f>
        <v/>
      </c>
      <c r="BN28">
        <f>IF(OR(Settings!$C$54="",Settings!$D$54=""),0,Settings!$C$54*IF(Settings!$D$54="Weekly",IF(IFERROR(MATCH(Settings!$E$54,$EO$4:$EO$10,0),0)=0,0,IF(MIN($C28,IF(Settings!$G$54="",$C28,Settings!$G$54))&lt;MAX($A28,Settings!$F$54),0,INT((MIN($C28,IF(Settings!$G$54="",$C28,Settings!$G$54))-MAX($A28,Settings!$F$54)-MOD(IFERROR(MATCH(Settings!$E$54,$EO$4:$EO$10,0),0)-WEEKDAY(MAX($A28,Settings!$F$54)),7))/7)+1)),IF(AND(IF(Settings!$E$54="",$B28,DATE(YEAR($A28),MONTH($A28),MIN(Settings!$E$54,DAY($B28))))&gt;=MAX($A28,Settings!$F$54),IF(Settings!$E$54="",$B28,DATE(YEAR($A28),MONTH($A28),MIN(Settings!$E$54,DAY($B28))))&lt;=MIN($C28,IF(Settings!$G$54="",$C28,Settings!$G$54))),1,0)))</f>
        <v/>
      </c>
      <c r="BO28">
        <f>IF(OR(Settings!$C$55="",Settings!$D$55=""),0,Settings!$C$55*IF(Settings!$D$55="Weekly",IF(IFERROR(MATCH(Settings!$E$55,$EO$4:$EO$10,0),0)=0,0,IF(MIN($C28,IF(Settings!$G$55="",$C28,Settings!$G$55))&lt;MAX($A28,Settings!$F$55),0,INT((MIN($C28,IF(Settings!$G$55="",$C28,Settings!$G$55))-MAX($A28,Settings!$F$55)-MOD(IFERROR(MATCH(Settings!$E$55,$EO$4:$EO$10,0),0)-WEEKDAY(MAX($A28,Settings!$F$55)),7))/7)+1)),IF(AND(IF(Settings!$E$55="",$B28,DATE(YEAR($A28),MONTH($A28),MIN(Settings!$E$55,DAY($B28))))&gt;=MAX($A28,Settings!$F$55),IF(Settings!$E$55="",$B28,DATE(YEAR($A28),MONTH($A28),MIN(Settings!$E$55,DAY($B28))))&lt;=MIN($C28,IF(Settings!$G$55="",$C28,Settings!$G$55))),1,0)))</f>
        <v/>
      </c>
      <c r="BP28">
        <f>IF(OR(Settings!$C$56="",Settings!$D$56=""),0,Settings!$C$56*IF(Settings!$D$56="Weekly",IF(IFERROR(MATCH(Settings!$E$56,$EO$4:$EO$10,0),0)=0,0,IF(MIN($C28,IF(Settings!$G$56="",$C28,Settings!$G$56))&lt;MAX($A28,Settings!$F$56),0,INT((MIN($C28,IF(Settings!$G$56="",$C28,Settings!$G$56))-MAX($A28,Settings!$F$56)-MOD(IFERROR(MATCH(Settings!$E$56,$EO$4:$EO$10,0),0)-WEEKDAY(MAX($A28,Settings!$F$56)),7))/7)+1)),IF(AND(IF(Settings!$E$56="",$B28,DATE(YEAR($A28),MONTH($A28),MIN(Settings!$E$56,DAY($B28))))&gt;=MAX($A28,Settings!$F$56),IF(Settings!$E$56="",$B28,DATE(YEAR($A28),MONTH($A28),MIN(Settings!$E$56,DAY($B28))))&lt;=MIN($C28,IF(Settings!$G$56="",$C28,Settings!$G$56))),1,0)))</f>
        <v/>
      </c>
      <c r="BQ28">
        <f>IF(OR(Settings!$B$14="",$D28=1,$E28="pre",$A28&lt;IF(Settings!$B$15="",0,Settings!$B$15)),0,Settings!$B$14)</f>
        <v/>
      </c>
      <c r="BR28">
        <f>IF(AND('Month-End'!$Y$7&lt;&gt;"",NOT(_xlfn.ISFORMULA('Month-End'!$Y$7))),1,0)</f>
        <v/>
      </c>
      <c r="BS28">
        <f>IF(AND('Month-End'!$Y$8&lt;&gt;"",NOT(_xlfn.ISFORMULA('Month-End'!$Y$8))),1,0)</f>
        <v/>
      </c>
      <c r="BT28">
        <f>IF(AND('Month-End'!$Y$9&lt;&gt;"",NOT(_xlfn.ISFORMULA('Month-End'!$Y$9))),1,0)</f>
        <v/>
      </c>
      <c r="BU28">
        <f>IF(AND('Month-End'!$Y$10&lt;&gt;"",NOT(_xlfn.ISFORMULA('Month-End'!$Y$10))),1,0)</f>
        <v/>
      </c>
      <c r="BV28">
        <f>IF(AND('Month-End'!$Y$11&lt;&gt;"",NOT(_xlfn.ISFORMULA('Month-End'!$Y$11))),1,0)</f>
        <v/>
      </c>
      <c r="BW28">
        <f>IF(AND('Month-End'!$Y$12&lt;&gt;"",NOT(_xlfn.ISFORMULA('Month-End'!$Y$12))),1,0)</f>
        <v/>
      </c>
      <c r="BX28">
        <f>IF(AND('Month-End'!$Y$13&lt;&gt;"",NOT(_xlfn.ISFORMULA('Month-End'!$Y$13))),1,0)</f>
        <v/>
      </c>
      <c r="BY28">
        <f>IF(AND('Month-End'!$Y$14&lt;&gt;"",NOT(_xlfn.ISFORMULA('Month-End'!$Y$14))),1,0)</f>
        <v/>
      </c>
      <c r="BZ28">
        <f>IF(AND('Month-End'!$Y$15&lt;&gt;"",NOT(_xlfn.ISFORMULA('Month-End'!$Y$15))),1,0)</f>
        <v/>
      </c>
      <c r="CA28">
        <f>IF(AND('Month-End'!$Y$16&lt;&gt;"",NOT(_xlfn.ISFORMULA('Month-End'!$Y$16))),1,0)</f>
        <v/>
      </c>
      <c r="CB28">
        <f>IF(AND('Month-End'!$Y$17&lt;&gt;"",NOT(_xlfn.ISFORMULA('Month-End'!$Y$17))),1,0)</f>
        <v/>
      </c>
      <c r="CC28">
        <f>IF(AND('Month-End'!$Y$18&lt;&gt;"",NOT(_xlfn.ISFORMULA('Month-End'!$Y$18))),1,0)</f>
        <v/>
      </c>
      <c r="CD28">
        <f>IF(AND('Month-End'!$Y$19&lt;&gt;"",NOT(_xlfn.ISFORMULA('Month-End'!$Y$19))),1,0)</f>
        <v/>
      </c>
      <c r="CE28">
        <f>IF(AND('Month-End'!$Y$20&lt;&gt;"",NOT(_xlfn.ISFORMULA('Month-End'!$Y$20))),1,0)</f>
        <v/>
      </c>
      <c r="CF28">
        <f>IF(AND('Month-End'!$Y$38&lt;&gt;"",NOT(_xlfn.ISFORMULA('Month-End'!$Y$38))),1,0)</f>
        <v/>
      </c>
      <c r="CG28">
        <f>IF(AND('Month-End'!$Y$39&lt;&gt;"",NOT(_xlfn.ISFORMULA('Month-End'!$Y$39))),1,0)</f>
        <v/>
      </c>
      <c r="CH28">
        <f>IF(AND('Month-End'!$Y$40&lt;&gt;"",NOT(_xlfn.ISFORMULA('Month-End'!$Y$40))),1,0)</f>
        <v/>
      </c>
      <c r="CI28">
        <f>IF(AND('Month-End'!$Y$41&lt;&gt;"",NOT(_xlfn.ISFORMULA('Month-End'!$Y$41))),1,0)</f>
        <v/>
      </c>
      <c r="CJ28">
        <f>IF(AND('Month-End'!$Y$42&lt;&gt;"",NOT(_xlfn.ISFORMULA('Month-End'!$Y$42))),1,0)</f>
        <v/>
      </c>
      <c r="CK28">
        <f>IF(AND('Month-End'!$Y$43&lt;&gt;"",NOT(_xlfn.ISFORMULA('Month-End'!$Y$43))),1,0)</f>
        <v/>
      </c>
      <c r="CL28">
        <f>SUM($CM28:$CZ28)</f>
        <v/>
      </c>
      <c r="CM28">
        <f>IF(AND($E28&lt;&gt;"pre",AND(Settings!$A$19&lt;&gt;"",Settings!$E$19&lt;&gt;"No"),Settings!$F$19="Yes",NOT(AND('Month-End'!$Y$7&lt;&gt;"",NOT(_xlfn.ISFORMULA('Month-End'!$Y$7))))),1,0)</f>
        <v/>
      </c>
      <c r="CN28">
        <f>IF(AND($E28&lt;&gt;"pre",AND(Settings!$A$20&lt;&gt;"",Settings!$E$20&lt;&gt;"No"),Settings!$F$20="Yes",NOT(AND('Month-End'!$Y$8&lt;&gt;"",NOT(_xlfn.ISFORMULA('Month-End'!$Y$8))))),1,0)</f>
        <v/>
      </c>
      <c r="CO28">
        <f>IF(AND($E28&lt;&gt;"pre",AND(Settings!$A$21&lt;&gt;"",Settings!$E$21&lt;&gt;"No"),Settings!$F$21="Yes",NOT(AND('Month-End'!$Y$9&lt;&gt;"",NOT(_xlfn.ISFORMULA('Month-End'!$Y$9))))),1,0)</f>
        <v/>
      </c>
      <c r="CP28">
        <f>IF(AND($E28&lt;&gt;"pre",AND(Settings!$A$22&lt;&gt;"",Settings!$E$22&lt;&gt;"No"),Settings!$F$22="Yes",NOT(AND('Month-End'!$Y$10&lt;&gt;"",NOT(_xlfn.ISFORMULA('Month-End'!$Y$10))))),1,0)</f>
        <v/>
      </c>
      <c r="CQ28">
        <f>IF(AND($E28&lt;&gt;"pre",AND(Settings!$A$23&lt;&gt;"",Settings!$E$23&lt;&gt;"No"),Settings!$F$23="Yes",NOT(AND('Month-End'!$Y$11&lt;&gt;"",NOT(_xlfn.ISFORMULA('Month-End'!$Y$11))))),1,0)</f>
        <v/>
      </c>
      <c r="CR28">
        <f>IF(AND($E28&lt;&gt;"pre",AND(Settings!$A$24&lt;&gt;"",Settings!$E$24&lt;&gt;"No"),Settings!$F$24="Yes",NOT(AND('Month-End'!$Y$12&lt;&gt;"",NOT(_xlfn.ISFORMULA('Month-End'!$Y$12))))),1,0)</f>
        <v/>
      </c>
      <c r="CS28">
        <f>IF(AND($E28&lt;&gt;"pre",AND(Settings!$A$25&lt;&gt;"",Settings!$E$25&lt;&gt;"No"),Settings!$F$25="Yes",NOT(AND('Month-End'!$Y$13&lt;&gt;"",NOT(_xlfn.ISFORMULA('Month-End'!$Y$13))))),1,0)</f>
        <v/>
      </c>
      <c r="CT28">
        <f>IF(AND($E28&lt;&gt;"pre",AND(Settings!$A$26&lt;&gt;"",Settings!$E$26&lt;&gt;"No"),Settings!$F$26="Yes",NOT(AND('Month-End'!$Y$14&lt;&gt;"",NOT(_xlfn.ISFORMULA('Month-End'!$Y$14))))),1,0)</f>
        <v/>
      </c>
      <c r="CU28">
        <f>IF(AND($E28&lt;&gt;"pre",AND(Settings!$A$27&lt;&gt;"",Settings!$E$27&lt;&gt;"No"),Settings!$F$27="Yes",NOT(AND('Month-End'!$Y$15&lt;&gt;"",NOT(_xlfn.ISFORMULA('Month-End'!$Y$15))))),1,0)</f>
        <v/>
      </c>
      <c r="CV28">
        <f>IF(AND($E28&lt;&gt;"pre",AND(Settings!$A$28&lt;&gt;"",Settings!$E$28&lt;&gt;"No"),Settings!$F$28="Yes",NOT(AND('Month-End'!$Y$16&lt;&gt;"",NOT(_xlfn.ISFORMULA('Month-End'!$Y$16))))),1,0)</f>
        <v/>
      </c>
      <c r="CW28">
        <f>IF(AND($E28&lt;&gt;"pre",AND(Settings!$A$29&lt;&gt;"",Settings!$E$29&lt;&gt;"No"),Settings!$F$29="Yes",NOT(AND('Month-End'!$Y$17&lt;&gt;"",NOT(_xlfn.ISFORMULA('Month-End'!$Y$17))))),1,0)</f>
        <v/>
      </c>
      <c r="CX28">
        <f>IF(AND($E28&lt;&gt;"pre",AND(Settings!$A$30&lt;&gt;"",Settings!$E$30&lt;&gt;"No"),Settings!$F$30="Yes",NOT(AND('Month-End'!$Y$18&lt;&gt;"",NOT(_xlfn.ISFORMULA('Month-End'!$Y$18))))),1,0)</f>
        <v/>
      </c>
      <c r="CY28">
        <f>IF(AND($E28&lt;&gt;"pre",AND(Settings!$A$31&lt;&gt;"",Settings!$E$31&lt;&gt;"No"),Settings!$F$31="Yes",NOT(AND('Month-End'!$Y$19&lt;&gt;"",NOT(_xlfn.ISFORMULA('Month-End'!$Y$19))))),1,0)</f>
        <v/>
      </c>
      <c r="CZ28">
        <f>IF(AND($E28&lt;&gt;"pre",AND(Settings!$A$32&lt;&gt;"",Settings!$E$32&lt;&gt;"No"),Settings!$F$32="Yes",NOT(AND('Month-End'!$Y$20&lt;&gt;"",NOT(_xlfn.ISFORMULA('Month-End'!$Y$20))))),1,0)</f>
        <v/>
      </c>
      <c r="DA28">
        <f>IF($DT28=1,IF(OR(Settings!$B$19="Checking",Settings!$B$19="Savings",Settings!$B$19="Cash"),N($AE28),IF(OR(Settings!$B$19="Card",Settings!$B$19="Loan"),-N($AE28),0))+IF(OR(Settings!$B$20="Checking",Settings!$B$20="Savings",Settings!$B$20="Cash"),N($AF28),IF(OR(Settings!$B$20="Card",Settings!$B$20="Loan"),-N($AF28),0))+IF(OR(Settings!$B$21="Checking",Settings!$B$21="Savings",Settings!$B$21="Cash"),N($AG28),IF(OR(Settings!$B$21="Card",Settings!$B$21="Loan"),-N($AG28),0))+IF(OR(Settings!$B$22="Checking",Settings!$B$22="Savings",Settings!$B$22="Cash"),N($AH28),IF(OR(Settings!$B$22="Card",Settings!$B$22="Loan"),-N($AH28),0))+IF(OR(Settings!$B$23="Checking",Settings!$B$23="Savings",Settings!$B$23="Cash"),N($AI28),IF(OR(Settings!$B$23="Card",Settings!$B$23="Loan"),-N($AI28),0))+IF(OR(Settings!$B$24="Checking",Settings!$B$24="Savings",Settings!$B$24="Cash"),N($AJ28),IF(OR(Settings!$B$24="Card",Settings!$B$24="Loan"),-N($AJ28),0))+IF(OR(Settings!$B$25="Checking",Settings!$B$25="Savings",Settings!$B$25="Cash"),N($AK28),IF(OR(Settings!$B$25="Card",Settings!$B$25="Loan"),-N($AK28),0))+IF(OR(Settings!$B$26="Checking",Settings!$B$26="Savings",Settings!$B$26="Cash"),N($AL28),IF(OR(Settings!$B$26="Card",Settings!$B$26="Loan"),-N($AL28),0))+IF(OR(Settings!$B$27="Checking",Settings!$B$27="Savings",Settings!$B$27="Cash"),N($AM28),IF(OR(Settings!$B$27="Card",Settings!$B$27="Loan"),-N($AM28),0))+IF(OR(Settings!$B$28="Checking",Settings!$B$28="Savings",Settings!$B$28="Cash"),N($AN28),IF(OR(Settings!$B$28="Card",Settings!$B$28="Loan"),-N($AN28),0))+IF(OR(Settings!$B$29="Checking",Settings!$B$29="Savings",Settings!$B$29="Cash"),N($AO28),IF(OR(Settings!$B$29="Card",Settings!$B$29="Loan"),-N($AO28),0))+IF(OR(Settings!$B$30="Checking",Settings!$B$30="Savings",Settings!$B$30="Cash"),N($AP28),IF(OR(Settings!$B$30="Card",Settings!$B$30="Loan"),-N($AP28),0))+IF(OR(Settings!$B$31="Checking",Settings!$B$31="Savings",Settings!$B$31="Cash"),N($AQ28),IF(OR(Settings!$B$31="Card",Settings!$B$31="Loan"),-N($AQ28),0))+IF(OR(Settings!$B$32="Checking",Settings!$B$32="Savings",Settings!$B$32="Cash"),N($AR28),IF(OR(Settings!$B$32="Card",Settings!$B$32="Loan"),-N($AR28),0)),"")</f>
        <v/>
      </c>
      <c r="DB28">
        <f>IF($E28="open",$EB$27,IF($E28="post",IF($E27="pre",$EB$27,$DA27),""))</f>
        <v/>
      </c>
      <c r="DC28">
        <f>IF($E28="open",1,IF($E28="post",IF($E27="pre",1,$DT27),0))</f>
        <v/>
      </c>
      <c r="DD28">
        <f>IF(AND($DT28=1,$DC28=1),ROUND($W28-($DA28-$DB28)-$AD28-$AB28,2),"")</f>
        <v/>
      </c>
      <c r="DE28">
        <f>IF('Month-End'!$Y$35="",$BQ28,N('Month-End'!$Y$35))</f>
        <v/>
      </c>
      <c r="DF28">
        <f>N('Month-End'!$Y$36)</f>
        <v/>
      </c>
      <c r="DG28">
        <f>IF($DD28="","",$DD28+$DE28)</f>
        <v/>
      </c>
      <c r="DH28">
        <f>IF($DG28="","",$DG28-$DF28)</f>
        <v/>
      </c>
      <c r="DI28">
        <f>IF(OR($E28="pre",$D28=1),"",N($AS28)+N($AT28)+N($AU28)+N($AV28)+N($AW28)+N($AX28))</f>
        <v/>
      </c>
      <c r="DJ28">
        <f>IF($DT28=1,$DA28+N($DI28),"")</f>
        <v/>
      </c>
      <c r="DK28">
        <f>IF($DD28="","",$W28-$DD28-$AB28)</f>
        <v/>
      </c>
      <c r="DL28">
        <f>IF(AND($E28="post",$DD28&lt;&gt;"",$B28&lt;TODAY()),1,0)</f>
        <v/>
      </c>
      <c r="DM28">
        <f>IF($DL28=1,COUNTIF($DL28:$DL$183,1),0)</f>
        <v/>
      </c>
      <c r="DN28">
        <f>IF($D28=1,"",IF($E28="pre","History only",IF($DT28=1,IF($DD28="","⚠ Previous month missing",IF($DD28&lt;0,"⚠ Check: spending &lt; 0",IF($E28="open","✓ Done (partial)","✓ Done"))),IF($B28&gt;=TODAY(),"In progress","⚠ Needs balances"))))</f>
        <v/>
      </c>
      <c r="DO28">
        <f>YEAR($A28)</f>
        <v/>
      </c>
      <c r="DP28">
        <f>DATE(YEAR($A28),INT((MONTH($A28)-1)/3)*3+1,1)</f>
        <v/>
      </c>
      <c r="DQ28">
        <f>IF(AND($DT28=1,$DD28&lt;&gt;"",$D28=0),ROW(),0)</f>
        <v/>
      </c>
      <c r="DR28">
        <f>IF(AND($E28&lt;&gt;"pre",$B28&lt;TODAY(),$DT28=0),1,0)</f>
        <v/>
      </c>
      <c r="DS28">
        <f>IF($DJ28="",NA(),$DJ28)</f>
        <v/>
      </c>
      <c r="DT28">
        <f>IF(AND($E28&lt;&gt;"pre",$CL28=0,COUNTIFS(Settings!$F$19:$F$32,"Yes",Settings!$A$19:$A$32,"&lt;&gt;",Settings!$E$19:$E$32,"&lt;&gt;No")&gt;0),1,0)</f>
        <v/>
      </c>
      <c r="DU28">
        <f>IF(AND($B28&lt;TODAY(),$S28&gt;0),1,0)</f>
        <v/>
      </c>
      <c r="DV28">
        <f>IF($DU28=1,COUNTIF($DU28:$DU$183,1),0)</f>
        <v/>
      </c>
      <c r="DW28">
        <f>IF(AND(OR(Settings!$B$19="Card",Settings!$B$19="Loan"),AND('Month-End'!$Y$7&lt;&gt;"",NOT(_xlfn.ISFORMULA('Month-End'!$Y$7)))),IF(N('Month-End'!$Y$7)&lt;0,1,0),0)+IF(AND(OR(Settings!$B$20="Card",Settings!$B$20="Loan"),AND('Month-End'!$Y$8&lt;&gt;"",NOT(_xlfn.ISFORMULA('Month-End'!$Y$8)))),IF(N('Month-End'!$Y$8)&lt;0,1,0),0)+IF(AND(OR(Settings!$B$21="Card",Settings!$B$21="Loan"),AND('Month-End'!$Y$9&lt;&gt;"",NOT(_xlfn.ISFORMULA('Month-End'!$Y$9)))),IF(N('Month-End'!$Y$9)&lt;0,1,0),0)+IF(AND(OR(Settings!$B$22="Card",Settings!$B$22="Loan"),AND('Month-End'!$Y$10&lt;&gt;"",NOT(_xlfn.ISFORMULA('Month-End'!$Y$10)))),IF(N('Month-End'!$Y$10)&lt;0,1,0),0)+IF(AND(OR(Settings!$B$23="Card",Settings!$B$23="Loan"),AND('Month-End'!$Y$11&lt;&gt;"",NOT(_xlfn.ISFORMULA('Month-End'!$Y$11)))),IF(N('Month-End'!$Y$11)&lt;0,1,0),0)+IF(AND(OR(Settings!$B$24="Card",Settings!$B$24="Loan"),AND('Month-End'!$Y$12&lt;&gt;"",NOT(_xlfn.ISFORMULA('Month-End'!$Y$12)))),IF(N('Month-End'!$Y$12)&lt;0,1,0),0)+IF(AND(OR(Settings!$B$25="Card",Settings!$B$25="Loan"),AND('Month-End'!$Y$13&lt;&gt;"",NOT(_xlfn.ISFORMULA('Month-End'!$Y$13)))),IF(N('Month-End'!$Y$13)&lt;0,1,0),0)+IF(AND(OR(Settings!$B$26="Card",Settings!$B$26="Loan"),AND('Month-End'!$Y$14&lt;&gt;"",NOT(_xlfn.ISFORMULA('Month-End'!$Y$14)))),IF(N('Month-End'!$Y$14)&lt;0,1,0),0)+IF(AND(OR(Settings!$B$27="Card",Settings!$B$27="Loan"),AND('Month-End'!$Y$15&lt;&gt;"",NOT(_xlfn.ISFORMULA('Month-End'!$Y$15)))),IF(N('Month-End'!$Y$15)&lt;0,1,0),0)+IF(AND(OR(Settings!$B$28="Card",Settings!$B$28="Loan"),AND('Month-End'!$Y$16&lt;&gt;"",NOT(_xlfn.ISFORMULA('Month-End'!$Y$16)))),IF(N('Month-End'!$Y$16)&lt;0,1,0),0)+IF(AND(OR(Settings!$B$29="Card",Settings!$B$29="Loan"),AND('Month-End'!$Y$17&lt;&gt;"",NOT(_xlfn.ISFORMULA('Month-End'!$Y$17)))),IF(N('Month-End'!$Y$17)&lt;0,1,0),0)+IF(AND(OR(Settings!$B$30="Card",Settings!$B$30="Loan"),AND('Month-End'!$Y$18&lt;&gt;"",NOT(_xlfn.ISFORMULA('Month-End'!$Y$18)))),IF(N('Month-End'!$Y$18)&lt;0,1,0),0)+IF(AND(OR(Settings!$B$31="Card",Settings!$B$31="Loan"),AND('Month-End'!$Y$19&lt;&gt;"",NOT(_xlfn.ISFORMULA('Month-End'!$Y$19)))),IF(N('Month-End'!$Y$19)&lt;0,1,0),0)+IF(AND(OR(Settings!$B$32="Card",Settings!$B$32="Loan"),AND('Month-End'!$Y$20&lt;&gt;"",NOT(_xlfn.ISFORMULA('Month-End'!$Y$20)))),IF(N('Month-End'!$Y$20)&lt;0,1,0),0)</f>
        <v/>
      </c>
      <c r="DX28">
        <f>IF(Settings!$B$36="Retirement",$AY28,0)+IF(Settings!$B$37="Retirement",$AZ28,0)+IF(Settings!$B$38="Retirement",$BA28,0)+IF(Settings!$B$39="Retirement",$BB28,0)+IF(Settings!$B$40="Retirement",$BC28,0)+IF(Settings!$B$41="Retirement",$BD28,0)</f>
        <v/>
      </c>
      <c r="EA28" t="inlineStr">
        <is>
          <t>Tithe owed this quarter (carried in + due)</t>
        </is>
      </c>
      <c r="EB28">
        <f>IFERROR(INDEX(History!$C$25:$C$84,MATCH(DATE(YEAR(TODAY()),INT((MONTH(TODAY())-1)/3)*3+1,1),History!$B$25:$B$84,0))+INDEX(History!$D$25:$D$84,MATCH(DATE(YEAR(TODAY()),INT((MONTH(TODAY())-1)/3)*3+1,1),History!$B$25:$B$84,0)),0)</f>
        <v/>
      </c>
      <c r="ET28">
        <f>IF($E28&lt;&gt;"open",0,IF(AND('Month-End'!$Y$22&lt;&gt;"",NOT(_xlfn.ISFORMULA('Month-End'!$Y$22))),0,IF(OR(Settings!$C$45="",Settings!$D$45=""),0,Settings!$C$45*IF(Settings!$D$45="Weekly",IF(IFERROR(MATCH(Settings!$E$45,$EO$4:$EO$10,0),0)=0,0,IF(MIN(Settings!$B$5,IF(Settings!$G$45="",Settings!$B$5,Settings!$G$45))&lt;MAX($A28,Settings!$F$45),0,INT((MIN(Settings!$B$5,IF(Settings!$G$45="",Settings!$B$5,Settings!$G$45))-MAX($A28,Settings!$F$45)-MOD(IFERROR(MATCH(Settings!$E$45,$EO$4:$EO$10,0),0)-WEEKDAY(MAX($A28,Settings!$F$45)),7))/7)+1)),IF(AND(IF(Settings!$E$45="",$B28,DATE(YEAR($A28),MONTH($A28),MIN(Settings!$E$45,DAY($B28))))&gt;=MAX($A28,Settings!$F$45),IF(Settings!$E$45="",$B28,DATE(YEAR($A28),MONTH($A28),MIN(Settings!$E$45,DAY($B28))))&lt;=MIN(Settings!$B$5,IF(Settings!$G$45="",Settings!$B$5,Settings!$G$45))),1,0)))))</f>
        <v/>
      </c>
      <c r="EU28">
        <f>IF($E28&lt;&gt;"open",0,IF(AND('Month-End'!$Y$23&lt;&gt;"",NOT(_xlfn.ISFORMULA('Month-End'!$Y$23))),0,IF(OR(Settings!$C$46="",Settings!$D$46=""),0,Settings!$C$46*IF(Settings!$D$46="Weekly",IF(IFERROR(MATCH(Settings!$E$46,$EO$4:$EO$10,0),0)=0,0,IF(MIN(Settings!$B$5,IF(Settings!$G$46="",Settings!$B$5,Settings!$G$46))&lt;MAX($A28,Settings!$F$46),0,INT((MIN(Settings!$B$5,IF(Settings!$G$46="",Settings!$B$5,Settings!$G$46))-MAX($A28,Settings!$F$46)-MOD(IFERROR(MATCH(Settings!$E$46,$EO$4:$EO$10,0),0)-WEEKDAY(MAX($A28,Settings!$F$46)),7))/7)+1)),IF(AND(IF(Settings!$E$46="",$B28,DATE(YEAR($A28),MONTH($A28),MIN(Settings!$E$46,DAY($B28))))&gt;=MAX($A28,Settings!$F$46),IF(Settings!$E$46="",$B28,DATE(YEAR($A28),MONTH($A28),MIN(Settings!$E$46,DAY($B28))))&lt;=MIN(Settings!$B$5,IF(Settings!$G$46="",Settings!$B$5,Settings!$G$46))),1,0)))))</f>
        <v/>
      </c>
      <c r="EV28">
        <f>IF($E28&lt;&gt;"open",0,IF(AND('Month-End'!$Y$24&lt;&gt;"",NOT(_xlfn.ISFORMULA('Month-End'!$Y$24))),0,IF(OR(Settings!$C$47="",Settings!$D$47=""),0,Settings!$C$47*IF(Settings!$D$47="Weekly",IF(IFERROR(MATCH(Settings!$E$47,$EO$4:$EO$10,0),0)=0,0,IF(MIN(Settings!$B$5,IF(Settings!$G$47="",Settings!$B$5,Settings!$G$47))&lt;MAX($A28,Settings!$F$47),0,INT((MIN(Settings!$B$5,IF(Settings!$G$47="",Settings!$B$5,Settings!$G$47))-MAX($A28,Settings!$F$47)-MOD(IFERROR(MATCH(Settings!$E$47,$EO$4:$EO$10,0),0)-WEEKDAY(MAX($A28,Settings!$F$47)),7))/7)+1)),IF(AND(IF(Settings!$E$47="",$B28,DATE(YEAR($A28),MONTH($A28),MIN(Settings!$E$47,DAY($B28))))&gt;=MAX($A28,Settings!$F$47),IF(Settings!$E$47="",$B28,DATE(YEAR($A28),MONTH($A28),MIN(Settings!$E$47,DAY($B28))))&lt;=MIN(Settings!$B$5,IF(Settings!$G$47="",Settings!$B$5,Settings!$G$47))),1,0)))))</f>
        <v/>
      </c>
      <c r="EW28">
        <f>IF($E28&lt;&gt;"open",0,IF(AND('Month-End'!$Y$25&lt;&gt;"",NOT(_xlfn.ISFORMULA('Month-End'!$Y$25))),0,IF(OR(Settings!$C$48="",Settings!$D$48=""),0,Settings!$C$48*IF(Settings!$D$48="Weekly",IF(IFERROR(MATCH(Settings!$E$48,$EO$4:$EO$10,0),0)=0,0,IF(MIN(Settings!$B$5,IF(Settings!$G$48="",Settings!$B$5,Settings!$G$48))&lt;MAX($A28,Settings!$F$48),0,INT((MIN(Settings!$B$5,IF(Settings!$G$48="",Settings!$B$5,Settings!$G$48))-MAX($A28,Settings!$F$48)-MOD(IFERROR(MATCH(Settings!$E$48,$EO$4:$EO$10,0),0)-WEEKDAY(MAX($A28,Settings!$F$48)),7))/7)+1)),IF(AND(IF(Settings!$E$48="",$B28,DATE(YEAR($A28),MONTH($A28),MIN(Settings!$E$48,DAY($B28))))&gt;=MAX($A28,Settings!$F$48),IF(Settings!$E$48="",$B28,DATE(YEAR($A28),MONTH($A28),MIN(Settings!$E$48,DAY($B28))))&lt;=MIN(Settings!$B$5,IF(Settings!$G$48="",Settings!$B$5,Settings!$G$48))),1,0)))))</f>
        <v/>
      </c>
      <c r="EX28">
        <f>IF($E28&lt;&gt;"open",0,IF(AND('Month-End'!$Y$26&lt;&gt;"",NOT(_xlfn.ISFORMULA('Month-End'!$Y$26))),0,IF(OR(Settings!$C$49="",Settings!$D$49=""),0,Settings!$C$49*IF(Settings!$D$49="Weekly",IF(IFERROR(MATCH(Settings!$E$49,$EO$4:$EO$10,0),0)=0,0,IF(MIN(Settings!$B$5,IF(Settings!$G$49="",Settings!$B$5,Settings!$G$49))&lt;MAX($A28,Settings!$F$49),0,INT((MIN(Settings!$B$5,IF(Settings!$G$49="",Settings!$B$5,Settings!$G$49))-MAX($A28,Settings!$F$49)-MOD(IFERROR(MATCH(Settings!$E$49,$EO$4:$EO$10,0),0)-WEEKDAY(MAX($A28,Settings!$F$49)),7))/7)+1)),IF(AND(IF(Settings!$E$49="",$B28,DATE(YEAR($A28),MONTH($A28),MIN(Settings!$E$49,DAY($B28))))&gt;=MAX($A28,Settings!$F$49),IF(Settings!$E$49="",$B28,DATE(YEAR($A28),MONTH($A28),MIN(Settings!$E$49,DAY($B28))))&lt;=MIN(Settings!$B$5,IF(Settings!$G$49="",Settings!$B$5,Settings!$G$49))),1,0)))))</f>
        <v/>
      </c>
      <c r="EY28">
        <f>IF($E28&lt;&gt;"open",0,IF(AND('Month-End'!$Y$27&lt;&gt;"",NOT(_xlfn.ISFORMULA('Month-End'!$Y$27))),0,IF(OR(Settings!$C$50="",Settings!$D$50=""),0,Settings!$C$50*IF(Settings!$D$50="Weekly",IF(IFERROR(MATCH(Settings!$E$50,$EO$4:$EO$10,0),0)=0,0,IF(MIN(Settings!$B$5,IF(Settings!$G$50="",Settings!$B$5,Settings!$G$50))&lt;MAX($A28,Settings!$F$50),0,INT((MIN(Settings!$B$5,IF(Settings!$G$50="",Settings!$B$5,Settings!$G$50))-MAX($A28,Settings!$F$50)-MOD(IFERROR(MATCH(Settings!$E$50,$EO$4:$EO$10,0),0)-WEEKDAY(MAX($A28,Settings!$F$50)),7))/7)+1)),IF(AND(IF(Settings!$E$50="",$B28,DATE(YEAR($A28),MONTH($A28),MIN(Settings!$E$50,DAY($B28))))&gt;=MAX($A28,Settings!$F$50),IF(Settings!$E$50="",$B28,DATE(YEAR($A28),MONTH($A28),MIN(Settings!$E$50,DAY($B28))))&lt;=MIN(Settings!$B$5,IF(Settings!$G$50="",Settings!$B$5,Settings!$G$50))),1,0)))))</f>
        <v/>
      </c>
      <c r="EZ28">
        <f>IF($E28&lt;&gt;"open",0,IF(AND('Month-End'!$Y$28&lt;&gt;"",NOT(_xlfn.ISFORMULA('Month-End'!$Y$28))),0,IF(OR(Settings!$C$51="",Settings!$D$51=""),0,Settings!$C$51*IF(Settings!$D$51="Weekly",IF(IFERROR(MATCH(Settings!$E$51,$EO$4:$EO$10,0),0)=0,0,IF(MIN(Settings!$B$5,IF(Settings!$G$51="",Settings!$B$5,Settings!$G$51))&lt;MAX($A28,Settings!$F$51),0,INT((MIN(Settings!$B$5,IF(Settings!$G$51="",Settings!$B$5,Settings!$G$51))-MAX($A28,Settings!$F$51)-MOD(IFERROR(MATCH(Settings!$E$51,$EO$4:$EO$10,0),0)-WEEKDAY(MAX($A28,Settings!$F$51)),7))/7)+1)),IF(AND(IF(Settings!$E$51="",$B28,DATE(YEAR($A28),MONTH($A28),MIN(Settings!$E$51,DAY($B28))))&gt;=MAX($A28,Settings!$F$51),IF(Settings!$E$51="",$B28,DATE(YEAR($A28),MONTH($A28),MIN(Settings!$E$51,DAY($B28))))&lt;=MIN(Settings!$B$5,IF(Settings!$G$51="",Settings!$B$5,Settings!$G$51))),1,0)))))</f>
        <v/>
      </c>
      <c r="FA28">
        <f>IF($E28&lt;&gt;"open",0,IF(AND('Month-End'!$Y$29&lt;&gt;"",NOT(_xlfn.ISFORMULA('Month-End'!$Y$29))),0,IF(OR(Settings!$C$52="",Settings!$D$52=""),0,Settings!$C$52*IF(Settings!$D$52="Weekly",IF(IFERROR(MATCH(Settings!$E$52,$EO$4:$EO$10,0),0)=0,0,IF(MIN(Settings!$B$5,IF(Settings!$G$52="",Settings!$B$5,Settings!$G$52))&lt;MAX($A28,Settings!$F$52),0,INT((MIN(Settings!$B$5,IF(Settings!$G$52="",Settings!$B$5,Settings!$G$52))-MAX($A28,Settings!$F$52)-MOD(IFERROR(MATCH(Settings!$E$52,$EO$4:$EO$10,0),0)-WEEKDAY(MAX($A28,Settings!$F$52)),7))/7)+1)),IF(AND(IF(Settings!$E$52="",$B28,DATE(YEAR($A28),MONTH($A28),MIN(Settings!$E$52,DAY($B28))))&gt;=MAX($A28,Settings!$F$52),IF(Settings!$E$52="",$B28,DATE(YEAR($A28),MONTH($A28),MIN(Settings!$E$52,DAY($B28))))&lt;=MIN(Settings!$B$5,IF(Settings!$G$52="",Settings!$B$5,Settings!$G$52))),1,0)))))</f>
        <v/>
      </c>
      <c r="FB28">
        <f>IF($E28&lt;&gt;"open",0,IF(AND('Month-End'!$Y$30&lt;&gt;"",NOT(_xlfn.ISFORMULA('Month-End'!$Y$30))),0,IF(OR(Settings!$C$53="",Settings!$D$53=""),0,Settings!$C$53*IF(Settings!$D$53="Weekly",IF(IFERROR(MATCH(Settings!$E$53,$EO$4:$EO$10,0),0)=0,0,IF(MIN(Settings!$B$5,IF(Settings!$G$53="",Settings!$B$5,Settings!$G$53))&lt;MAX($A28,Settings!$F$53),0,INT((MIN(Settings!$B$5,IF(Settings!$G$53="",Settings!$B$5,Settings!$G$53))-MAX($A28,Settings!$F$53)-MOD(IFERROR(MATCH(Settings!$E$53,$EO$4:$EO$10,0),0)-WEEKDAY(MAX($A28,Settings!$F$53)),7))/7)+1)),IF(AND(IF(Settings!$E$53="",$B28,DATE(YEAR($A28),MONTH($A28),MIN(Settings!$E$53,DAY($B28))))&gt;=MAX($A28,Settings!$F$53),IF(Settings!$E$53="",$B28,DATE(YEAR($A28),MONTH($A28),MIN(Settings!$E$53,DAY($B28))))&lt;=MIN(Settings!$B$5,IF(Settings!$G$53="",Settings!$B$5,Settings!$G$53))),1,0)))))</f>
        <v/>
      </c>
      <c r="FC28">
        <f>IF($E28&lt;&gt;"open",0,IF(AND('Month-End'!$Y$31&lt;&gt;"",NOT(_xlfn.ISFORMULA('Month-End'!$Y$31))),0,IF(OR(Settings!$C$54="",Settings!$D$54=""),0,Settings!$C$54*IF(Settings!$D$54="Weekly",IF(IFERROR(MATCH(Settings!$E$54,$EO$4:$EO$10,0),0)=0,0,IF(MIN(Settings!$B$5,IF(Settings!$G$54="",Settings!$B$5,Settings!$G$54))&lt;MAX($A28,Settings!$F$54),0,INT((MIN(Settings!$B$5,IF(Settings!$G$54="",Settings!$B$5,Settings!$G$54))-MAX($A28,Settings!$F$54)-MOD(IFERROR(MATCH(Settings!$E$54,$EO$4:$EO$10,0),0)-WEEKDAY(MAX($A28,Settings!$F$54)),7))/7)+1)),IF(AND(IF(Settings!$E$54="",$B28,DATE(YEAR($A28),MONTH($A28),MIN(Settings!$E$54,DAY($B28))))&gt;=MAX($A28,Settings!$F$54),IF(Settings!$E$54="",$B28,DATE(YEAR($A28),MONTH($A28),MIN(Settings!$E$54,DAY($B28))))&lt;=MIN(Settings!$B$5,IF(Settings!$G$54="",Settings!$B$5,Settings!$G$54))),1,0)))))</f>
        <v/>
      </c>
      <c r="FD28">
        <f>IF($E28&lt;&gt;"open",0,IF(AND('Month-End'!$Y$32&lt;&gt;"",NOT(_xlfn.ISFORMULA('Month-End'!$Y$32))),0,IF(OR(Settings!$C$55="",Settings!$D$55=""),0,Settings!$C$55*IF(Settings!$D$55="Weekly",IF(IFERROR(MATCH(Settings!$E$55,$EO$4:$EO$10,0),0)=0,0,IF(MIN(Settings!$B$5,IF(Settings!$G$55="",Settings!$B$5,Settings!$G$55))&lt;MAX($A28,Settings!$F$55),0,INT((MIN(Settings!$B$5,IF(Settings!$G$55="",Settings!$B$5,Settings!$G$55))-MAX($A28,Settings!$F$55)-MOD(IFERROR(MATCH(Settings!$E$55,$EO$4:$EO$10,0),0)-WEEKDAY(MAX($A28,Settings!$F$55)),7))/7)+1)),IF(AND(IF(Settings!$E$55="",$B28,DATE(YEAR($A28),MONTH($A28),MIN(Settings!$E$55,DAY($B28))))&gt;=MAX($A28,Settings!$F$55),IF(Settings!$E$55="",$B28,DATE(YEAR($A28),MONTH($A28),MIN(Settings!$E$55,DAY($B28))))&lt;=MIN(Settings!$B$5,IF(Settings!$G$55="",Settings!$B$5,Settings!$G$55))),1,0)))))</f>
        <v/>
      </c>
      <c r="FE28">
        <f>IF($E28&lt;&gt;"open",0,IF(AND('Month-End'!$Y$33&lt;&gt;"",NOT(_xlfn.ISFORMULA('Month-End'!$Y$33))),0,IF(OR(Settings!$C$56="",Settings!$D$56=""),0,Settings!$C$56*IF(Settings!$D$56="Weekly",IF(IFERROR(MATCH(Settings!$E$56,$EO$4:$EO$10,0),0)=0,0,IF(MIN(Settings!$B$5,IF(Settings!$G$56="",Settings!$B$5,Settings!$G$56))&lt;MAX($A28,Settings!$F$56),0,INT((MIN(Settings!$B$5,IF(Settings!$G$56="",Settings!$B$5,Settings!$G$56))-MAX($A28,Settings!$F$56)-MOD(IFERROR(MATCH(Settings!$E$56,$EO$4:$EO$10,0),0)-WEEKDAY(MAX($A28,Settings!$F$56)),7))/7)+1)),IF(AND(IF(Settings!$E$56="",$B28,DATE(YEAR($A28),MONTH($A28),MIN(Settings!$E$56,DAY($B28))))&gt;=MAX($A28,Settings!$F$56),IF(Settings!$E$56="",$B28,DATE(YEAR($A28),MONTH($A28),MIN(Settings!$E$56,DAY($B28))))&lt;=MIN(Settings!$B$5,IF(Settings!$G$56="",Settings!$B$5,Settings!$G$56))),1,0)))))</f>
        <v/>
      </c>
      <c r="FF28">
        <f>IF(Settings!$I$45="Yes",$G28,0)+IF(Settings!$I$46="Yes",$H28,0)+IF(Settings!$I$47="Yes",$I28,0)+IF(Settings!$I$48="Yes",$J28,0)+IF(Settings!$I$49="Yes",$K28,0)+IF(Settings!$I$50="Yes",$L28,0)+IF(Settings!$I$51="Yes",$M28,0)+IF(Settings!$I$52="Yes",$N28,0)+IF(Settings!$I$53="Yes",$O28,0)+IF(Settings!$I$54="Yes",$P28,0)+IF(Settings!$I$55="Yes",$Q28,0)+IF(Settings!$I$56="Yes",$R28,0)</f>
        <v/>
      </c>
      <c r="FG28">
        <f>IF(AND(Settings!$I$45="Yes",Settings!$J$45="No"),$G28,0)+IF(AND(Settings!$I$46="Yes",Settings!$J$46="No"),$H28,0)+IF(AND(Settings!$I$47="Yes",Settings!$J$47="No"),$I28,0)+IF(AND(Settings!$I$48="Yes",Settings!$J$48="No"),$J28,0)+IF(AND(Settings!$I$49="Yes",Settings!$J$49="No"),$K28,0)+IF(AND(Settings!$I$50="Yes",Settings!$J$50="No"),$L28,0)+IF(AND(Settings!$I$51="Yes",Settings!$J$51="No"),$M28,0)+IF(AND(Settings!$I$52="Yes",Settings!$J$52="No"),$N28,0)+IF(AND(Settings!$I$53="Yes",Settings!$J$53="No"),$O28,0)+IF(AND(Settings!$I$54="Yes",Settings!$J$54="No"),$P28,0)+IF(AND(Settings!$I$55="Yes",Settings!$J$55="No"),$Q28,0)+IF(AND(Settings!$I$56="Yes",Settings!$J$56="No"),$R28,0)</f>
        <v/>
      </c>
      <c r="FH28">
        <f>SUMIFS(Giving!$B$7:$B$2006,Giving!$A$7:$A$2006,"&gt;="&amp;$A28,Giving!$A$7:$A$2006,"&lt;="&amp;$B28,Giving!$G$7:$G$2006,"Yes")+IF(OR(OR(Settings!$B$60="",Settings!$F$60="No"),Settings!$H$60&lt;&gt;"Yes"),0,Settings!$B$60*IF(AND(IF(Settings!$C$60="",$B28,DATE(YEAR($A28),MONTH($A28),MIN(Settings!$C$60,DAY($B28))))&gt;=MAX($A28,Settings!$D$60),IF(Settings!$C$60="",$B28,DATE(YEAR($A28),MONTH($A28),MIN(Settings!$C$60,DAY($B28))))&lt;=MIN($C28,IF(Settings!$E$60="",$C28,Settings!$E$60))),1,0))+IF(OR(OR(Settings!$B$61="",Settings!$F$61="No"),Settings!$H$61&lt;&gt;"Yes"),0,Settings!$B$61*IF(AND(IF(Settings!$C$61="",$B28,DATE(YEAR($A28),MONTH($A28),MIN(Settings!$C$61,DAY($B28))))&gt;=MAX($A28,Settings!$D$61),IF(Settings!$C$61="",$B28,DATE(YEAR($A28),MONTH($A28),MIN(Settings!$C$61,DAY($B28))))&lt;=MIN($C28,IF(Settings!$E$61="",$C28,Settings!$E$61))),1,0))+IF(OR(OR(Settings!$B$62="",Settings!$F$62="No"),Settings!$H$62&lt;&gt;"Yes"),0,Settings!$B$62*IF(AND(IF(Settings!$C$62="",$B28,DATE(YEAR($A28),MONTH($A28),MIN(Settings!$C$62,DAY($B28))))&gt;=MAX($A28,Settings!$D$62),IF(Settings!$C$62="",$B28,DATE(YEAR($A28),MONTH($A28),MIN(Settings!$C$62,DAY($B28))))&lt;=MIN($C28,IF(Settings!$E$62="",$C28,Settings!$E$62))),1,0))+IF(OR(OR(Settings!$B$63="",Settings!$F$63="No"),Settings!$H$63&lt;&gt;"Yes"),0,Settings!$B$63*IF(AND(IF(Settings!$C$63="",$B28,DATE(YEAR($A28),MONTH($A28),MIN(Settings!$C$63,DAY($B28))))&gt;=MAX($A28,Settings!$D$63),IF(Settings!$C$63="",$B28,DATE(YEAR($A28),MONTH($A28),MIN(Settings!$C$63,DAY($B28))))&lt;=MIN($C28,IF(Settings!$E$63="",$C28,Settings!$E$63))),1,0))+IF(OR(OR(Settings!$B$64="",Settings!$F$64="No"),Settings!$H$64&lt;&gt;"Yes"),0,Settings!$B$64*IF(AND(IF(Settings!$C$64="",$B28,DATE(YEAR($A28),MONTH($A28),MIN(Settings!$C$64,DAY($B28))))&gt;=MAX($A28,Settings!$D$64),IF(Settings!$C$64="",$B28,DATE(YEAR($A28),MONTH($A28),MIN(Settings!$C$64,DAY($B28))))&lt;=MIN($C28,IF(Settings!$E$64="",$C28,Settings!$E$64))),1,0))+IF(OR(OR(Settings!$B$65="",Settings!$F$65="No"),Settings!$H$65&lt;&gt;"Yes"),0,Settings!$B$65*IF(AND(IF(Settings!$C$65="",$B28,DATE(YEAR($A28),MONTH($A28),MIN(Settings!$C$65,DAY($B28))))&gt;=MAX($A28,Settings!$D$65),IF(Settings!$C$65="",$B28,DATE(YEAR($A28),MONTH($A28),MIN(Settings!$C$65,DAY($B28))))&lt;=MIN($C28,IF(Settings!$E$65="",$C28,Settings!$E$65))),1,0))</f>
        <v/>
      </c>
      <c r="FI28">
        <f>IF($DT28=1,IF(OR(Settings!$B$19="Card",Settings!$B$19="Loan"),N($AE28),0)+IF(OR(Settings!$B$20="Card",Settings!$B$20="Loan"),N($AF28),0)+IF(OR(Settings!$B$21="Card",Settings!$B$21="Loan"),N($AG28),0)+IF(OR(Settings!$B$22="Card",Settings!$B$22="Loan"),N($AH28),0)+IF(OR(Settings!$B$23="Card",Settings!$B$23="Loan"),N($AI28),0)+IF(OR(Settings!$B$24="Card",Settings!$B$24="Loan"),N($AJ28),0)+IF(OR(Settings!$B$25="Card",Settings!$B$25="Loan"),N($AK28),0)+IF(OR(Settings!$B$26="Card",Settings!$B$26="Loan"),N($AL28),0)+IF(OR(Settings!$B$27="Card",Settings!$B$27="Loan"),N($AM28),0)+IF(OR(Settings!$B$28="Card",Settings!$B$28="Loan"),N($AN28),0)+IF(OR(Settings!$B$29="Card",Settings!$B$29="Loan"),N($AO28),0)+IF(OR(Settings!$B$30="Card",Settings!$B$30="Loan"),N($AP28),0)+IF(OR(Settings!$B$31="Card",Settings!$B$31="Loan"),N($AQ28),0)+IF(OR(Settings!$B$32="Card",Settings!$B$32="Loan"),N($AR28),0),"")</f>
        <v/>
      </c>
      <c r="FJ28">
        <f>IF($E28="open",$EB$65,IF($E28="post",IF($E27="pre",$EB$65,$FI27),""))</f>
        <v/>
      </c>
      <c r="FK28">
        <f>IF(AND($DT28=1,$DC28=1),IF(ROUND($FI28-$FJ28,2)&gt;0,1,0),0)</f>
        <v/>
      </c>
      <c r="FL28">
        <f>IF($FK28=1,$FL27+1,0)</f>
        <v/>
      </c>
    </row>
    <row r="29">
      <c r="A29">
        <f>'Month-End'!$Z$4</f>
        <v/>
      </c>
      <c r="B29">
        <f>EOMONTH($A29,0)</f>
        <v/>
      </c>
      <c r="C29">
        <f>MIN($B29,TODAY())</f>
        <v/>
      </c>
      <c r="D29">
        <f>IF($A29&gt;TODAY(),1,0)</f>
        <v/>
      </c>
      <c r="E29">
        <f>IF($B29&lt;=Settings!$B$5,"pre",IF($A29&lt;=Settings!$B$5,"open","post"))</f>
        <v/>
      </c>
      <c r="G29">
        <f>IF('Month-End'!$Z$22="",$BE29,N('Month-End'!$Z$22))</f>
        <v/>
      </c>
      <c r="H29">
        <f>IF('Month-End'!$Z$23="",$BF29,N('Month-End'!$Z$23))</f>
        <v/>
      </c>
      <c r="I29">
        <f>IF('Month-End'!$Z$24="",$BG29,N('Month-End'!$Z$24))</f>
        <v/>
      </c>
      <c r="J29">
        <f>IF('Month-End'!$Z$25="",$BH29,N('Month-End'!$Z$25))</f>
        <v/>
      </c>
      <c r="K29">
        <f>IF('Month-End'!$Z$26="",$BI29,N('Month-End'!$Z$26))</f>
        <v/>
      </c>
      <c r="L29">
        <f>IF('Month-End'!$Z$27="",$BJ29,N('Month-End'!$Z$27))</f>
        <v/>
      </c>
      <c r="M29">
        <f>IF('Month-End'!$Z$28="",$BK29,N('Month-End'!$Z$28))</f>
        <v/>
      </c>
      <c r="N29">
        <f>IF('Month-End'!$Z$29="",$BL29,N('Month-End'!$Z$29))</f>
        <v/>
      </c>
      <c r="O29">
        <f>IF('Month-End'!$Z$30="",$BM29,N('Month-End'!$Z$30))</f>
        <v/>
      </c>
      <c r="P29">
        <f>IF('Month-End'!$Z$31="",$BN29,N('Month-End'!$Z$31))</f>
        <v/>
      </c>
      <c r="Q29">
        <f>IF('Month-End'!$Z$32="",$BO29,N('Month-End'!$Z$32))</f>
        <v/>
      </c>
      <c r="R29">
        <f>IF('Month-End'!$Z$33="",$BP29,N('Month-End'!$Z$33))</f>
        <v/>
      </c>
      <c r="S29">
        <f>$G29+$H29+$I29+$J29+$K29+$L29+$M29+$N29+$O29+$P29+$Q29+$R29</f>
        <v/>
      </c>
      <c r="T29">
        <f>IF($B29&lt;Settings!$B$6,0,IF(Settings!$B$45="Yes",$G29,0)+IF(Settings!$B$46="Yes",$H29,0)+IF(Settings!$B$47="Yes",$I29,0)+IF(Settings!$B$48="Yes",$J29,0)+IF(Settings!$B$49="Yes",$K29,0)+IF(Settings!$B$50="Yes",$L29,0)+IF(Settings!$B$51="Yes",$M29,0)+IF(Settings!$B$52="Yes",$N29,0)+IF(Settings!$B$53="Yes",$O29,0)+IF(Settings!$B$54="Yes",$P29,0)+IF(Settings!$B$55="Yes",$Q29,0)+IF(Settings!$B$56="Yes",$R29,0))</f>
        <v/>
      </c>
      <c r="U29">
        <f>IF(Settings!$B$45="Not Sure",$G29,0)+IF(Settings!$B$46="Not Sure",$H29,0)+IF(Settings!$B$47="Not Sure",$I29,0)+IF(Settings!$B$48="Not Sure",$J29,0)+IF(Settings!$B$49="Not Sure",$K29,0)+IF(Settings!$B$50="Not Sure",$L29,0)+IF(Settings!$B$51="Not Sure",$M29,0)+IF(Settings!$B$52="Not Sure",$N29,0)+IF(Settings!$B$53="Not Sure",$O29,0)+IF(Settings!$B$54="Not Sure",$P29,0)+IF(Settings!$B$55="Not Sure",$Q29,0)+IF(Settings!$B$56="Not Sure",$R29,0)</f>
        <v/>
      </c>
      <c r="V29">
        <f>IF($E29="open",SUM($ET29:$FE29)+N(Settings!$B$13),0)</f>
        <v/>
      </c>
      <c r="W29">
        <f>IF($E29="post",$S29,IF($E29="open",$S29-$V29,0))</f>
        <v/>
      </c>
      <c r="X29">
        <f>SUMIFS(Giving!$B$7:$B$2006,Giving!$A$7:$A$2006,"&gt;="&amp;$A29,Giving!$A$7:$A$2006,"&lt;="&amp;$B29,Giving!$E$7:$E$2006,"&lt;&gt;No")</f>
        <v/>
      </c>
      <c r="Y29">
        <f>SUMIFS(Giving!$B$7:$B$2006,Giving!$A$7:$A$2006,"&gt;="&amp;$A29,Giving!$A$7:$A$2006,"&lt;="&amp;$B29,Giving!$E$7:$E$2006,"No")</f>
        <v/>
      </c>
      <c r="Z29">
        <f>IF(OR(Settings!$B$60="",Settings!$F$60="No"),0,Settings!$B$60*IF(AND(IF(Settings!$C$60="",$B29,DATE(YEAR($A29),MONTH($A29),MIN(Settings!$C$60,DAY($B29))))&gt;=MAX($A29,Settings!$D$60),IF(Settings!$C$60="",$B29,DATE(YEAR($A29),MONTH($A29),MIN(Settings!$C$60,DAY($B29))))&lt;=MIN($C29,IF(Settings!$E$60="",$C29,Settings!$E$60))),1,0))+IF(OR(Settings!$B$61="",Settings!$F$61="No"),0,Settings!$B$61*IF(AND(IF(Settings!$C$61="",$B29,DATE(YEAR($A29),MONTH($A29),MIN(Settings!$C$61,DAY($B29))))&gt;=MAX($A29,Settings!$D$61),IF(Settings!$C$61="",$B29,DATE(YEAR($A29),MONTH($A29),MIN(Settings!$C$61,DAY($B29))))&lt;=MIN($C29,IF(Settings!$E$61="",$C29,Settings!$E$61))),1,0))+IF(OR(Settings!$B$62="",Settings!$F$62="No"),0,Settings!$B$62*IF(AND(IF(Settings!$C$62="",$B29,DATE(YEAR($A29),MONTH($A29),MIN(Settings!$C$62,DAY($B29))))&gt;=MAX($A29,Settings!$D$62),IF(Settings!$C$62="",$B29,DATE(YEAR($A29),MONTH($A29),MIN(Settings!$C$62,DAY($B29))))&lt;=MIN($C29,IF(Settings!$E$62="",$C29,Settings!$E$62))),1,0))+IF(OR(Settings!$B$63="",Settings!$F$63="No"),0,Settings!$B$63*IF(AND(IF(Settings!$C$63="",$B29,DATE(YEAR($A29),MONTH($A29),MIN(Settings!$C$63,DAY($B29))))&gt;=MAX($A29,Settings!$D$63),IF(Settings!$C$63="",$B29,DATE(YEAR($A29),MONTH($A29),MIN(Settings!$C$63,DAY($B29))))&lt;=MIN($C29,IF(Settings!$E$63="",$C29,Settings!$E$63))),1,0))+IF(OR(Settings!$B$64="",Settings!$F$64="No"),0,Settings!$B$64*IF(AND(IF(Settings!$C$64="",$B29,DATE(YEAR($A29),MONTH($A29),MIN(Settings!$C$64,DAY($B29))))&gt;=MAX($A29,Settings!$D$64),IF(Settings!$C$64="",$B29,DATE(YEAR($A29),MONTH($A29),MIN(Settings!$C$64,DAY($B29))))&lt;=MIN($C29,IF(Settings!$E$64="",$C29,Settings!$E$64))),1,0))+IF(OR(Settings!$B$65="",Settings!$F$65="No"),0,Settings!$B$65*IF(AND(IF(Settings!$C$65="",$B29,DATE(YEAR($A29),MONTH($A29),MIN(Settings!$C$65,DAY($B29))))&gt;=MAX($A29,Settings!$D$65),IF(Settings!$C$65="",$B29,DATE(YEAR($A29),MONTH($A29),MIN(Settings!$C$65,DAY($B29))))&lt;=MIN($C29,IF(Settings!$E$65="",$C29,Settings!$E$65))),1,0))</f>
        <v/>
      </c>
      <c r="AA29">
        <f>$X29+$Z29</f>
        <v/>
      </c>
      <c r="AB29">
        <f>IF($E29="post",$AA29,IF($E29="open",SUMIFS(Giving!$B$7:$B$2006,Giving!$A$7:$A$2006,"&gt;"&amp;Settings!$B$5,Giving!$A$7:$A$2006,"&lt;="&amp;$B29,Giving!$E$7:$E$2006,"&lt;&gt;No")+IF(OR(Settings!$B$60="",Settings!$F$60="No"),0,Settings!$B$60*IF(AND(IF(Settings!$C$60="",$B29,DATE(YEAR($A29),MONTH($A29),MIN(Settings!$C$60,DAY($B29))))&gt;=MAX($A29,Settings!$D$60,Settings!$B$5+1),IF(Settings!$C$60="",$B29,DATE(YEAR($A29),MONTH($A29),MIN(Settings!$C$60,DAY($B29))))&lt;=MIN($C29,IF(Settings!$E$60="",$C29,Settings!$E$60))),1,0))+IF(OR(Settings!$B$61="",Settings!$F$61="No"),0,Settings!$B$61*IF(AND(IF(Settings!$C$61="",$B29,DATE(YEAR($A29),MONTH($A29),MIN(Settings!$C$61,DAY($B29))))&gt;=MAX($A29,Settings!$D$61,Settings!$B$5+1),IF(Settings!$C$61="",$B29,DATE(YEAR($A29),MONTH($A29),MIN(Settings!$C$61,DAY($B29))))&lt;=MIN($C29,IF(Settings!$E$61="",$C29,Settings!$E$61))),1,0))+IF(OR(Settings!$B$62="",Settings!$F$62="No"),0,Settings!$B$62*IF(AND(IF(Settings!$C$62="",$B29,DATE(YEAR($A29),MONTH($A29),MIN(Settings!$C$62,DAY($B29))))&gt;=MAX($A29,Settings!$D$62,Settings!$B$5+1),IF(Settings!$C$62="",$B29,DATE(YEAR($A29),MONTH($A29),MIN(Settings!$C$62,DAY($B29))))&lt;=MIN($C29,IF(Settings!$E$62="",$C29,Settings!$E$62))),1,0))+IF(OR(Settings!$B$63="",Settings!$F$63="No"),0,Settings!$B$63*IF(AND(IF(Settings!$C$63="",$B29,DATE(YEAR($A29),MONTH($A29),MIN(Settings!$C$63,DAY($B29))))&gt;=MAX($A29,Settings!$D$63,Settings!$B$5+1),IF(Settings!$C$63="",$B29,DATE(YEAR($A29),MONTH($A29),MIN(Settings!$C$63,DAY($B29))))&lt;=MIN($C29,IF(Settings!$E$63="",$C29,Settings!$E$63))),1,0))+IF(OR(Settings!$B$64="",Settings!$F$64="No"),0,Settings!$B$64*IF(AND(IF(Settings!$C$64="",$B29,DATE(YEAR($A29),MONTH($A29),MIN(Settings!$C$64,DAY($B29))))&gt;=MAX($A29,Settings!$D$64,Settings!$B$5+1),IF(Settings!$C$64="",$B29,DATE(YEAR($A29),MONTH($A29),MIN(Settings!$C$64,DAY($B29))))&lt;=MIN($C29,IF(Settings!$E$64="",$C29,Settings!$E$64))),1,0))+IF(OR(Settings!$B$65="",Settings!$F$65="No"),0,Settings!$B$65*IF(AND(IF(Settings!$C$65="",$B29,DATE(YEAR($A29),MONTH($A29),MIN(Settings!$C$65,DAY($B29))))&gt;=MAX($A29,Settings!$D$65,Settings!$B$5+1),IF(Settings!$C$65="",$B29,DATE(YEAR($A29),MONTH($A29),MIN(Settings!$C$65,DAY($B29))))&lt;=MIN($C29,IF(Settings!$E$65="",$C29,Settings!$E$65))),1,0)),0))</f>
        <v/>
      </c>
      <c r="AC29">
        <f>$AY29+$AZ29+$BA29+$BB29+$BC29+$BD29</f>
        <v/>
      </c>
      <c r="AD29">
        <f>$AC29</f>
        <v/>
      </c>
      <c r="AE29">
        <f>IF(OR(Settings!$A$19="",$E29="pre"),"",IF(AND('Month-End'!$Z$7&lt;&gt;"",NOT(_xlfn.ISFORMULA('Month-End'!$Z$7))),N('Month-End'!$Z$7),IF(OR($E29="open",$E28="pre"),N(Settings!$C$19),N($AE28))))</f>
        <v/>
      </c>
      <c r="AF29">
        <f>IF(OR(Settings!$A$20="",$E29="pre"),"",IF(AND('Month-End'!$Z$8&lt;&gt;"",NOT(_xlfn.ISFORMULA('Month-End'!$Z$8))),N('Month-End'!$Z$8),IF(OR($E29="open",$E28="pre"),N(Settings!$C$20),N($AF28))))</f>
        <v/>
      </c>
      <c r="AG29">
        <f>IF(OR(Settings!$A$21="",$E29="pre"),"",IF(AND('Month-End'!$Z$9&lt;&gt;"",NOT(_xlfn.ISFORMULA('Month-End'!$Z$9))),N('Month-End'!$Z$9),IF(OR($E29="open",$E28="pre"),N(Settings!$C$21),N($AG28))))</f>
        <v/>
      </c>
      <c r="AH29">
        <f>IF(OR(Settings!$A$22="",$E29="pre"),"",IF(AND('Month-End'!$Z$10&lt;&gt;"",NOT(_xlfn.ISFORMULA('Month-End'!$Z$10))),N('Month-End'!$Z$10),IF(OR($E29="open",$E28="pre"),N(Settings!$C$22),N($AH28))))</f>
        <v/>
      </c>
      <c r="AI29">
        <f>IF(OR(Settings!$A$23="",$E29="pre"),"",IF(AND('Month-End'!$Z$11&lt;&gt;"",NOT(_xlfn.ISFORMULA('Month-End'!$Z$11))),N('Month-End'!$Z$11),IF(OR($E29="open",$E28="pre"),N(Settings!$C$23),N($AI28))))</f>
        <v/>
      </c>
      <c r="AJ29">
        <f>IF(OR(Settings!$A$24="",$E29="pre"),"",IF(AND('Month-End'!$Z$12&lt;&gt;"",NOT(_xlfn.ISFORMULA('Month-End'!$Z$12))),N('Month-End'!$Z$12),IF(OR($E29="open",$E28="pre"),N(Settings!$C$24),N($AJ28))))</f>
        <v/>
      </c>
      <c r="AK29">
        <f>IF(OR(Settings!$A$25="",$E29="pre"),"",IF(AND('Month-End'!$Z$13&lt;&gt;"",NOT(_xlfn.ISFORMULA('Month-End'!$Z$13))),N('Month-End'!$Z$13),IF(OR($E29="open",$E28="pre"),N(Settings!$C$25),N($AK28))))</f>
        <v/>
      </c>
      <c r="AL29">
        <f>IF(OR(Settings!$A$26="",$E29="pre"),"",IF(AND('Month-End'!$Z$14&lt;&gt;"",NOT(_xlfn.ISFORMULA('Month-End'!$Z$14))),N('Month-End'!$Z$14),IF(OR($E29="open",$E28="pre"),N(Settings!$C$26),N($AL28))))</f>
        <v/>
      </c>
      <c r="AM29">
        <f>IF(OR(Settings!$A$27="",$E29="pre"),"",IF(AND('Month-End'!$Z$15&lt;&gt;"",NOT(_xlfn.ISFORMULA('Month-End'!$Z$15))),N('Month-End'!$Z$15),IF(OR($E29="open",$E28="pre"),N(Settings!$C$27),N($AM28))))</f>
        <v/>
      </c>
      <c r="AN29">
        <f>IF(OR(Settings!$A$28="",$E29="pre"),"",IF(AND('Month-End'!$Z$16&lt;&gt;"",NOT(_xlfn.ISFORMULA('Month-End'!$Z$16))),N('Month-End'!$Z$16),IF(OR($E29="open",$E28="pre"),N(Settings!$C$28),N($AN28))))</f>
        <v/>
      </c>
      <c r="AO29">
        <f>IF(OR(Settings!$A$29="",$E29="pre"),"",IF(AND('Month-End'!$Z$17&lt;&gt;"",NOT(_xlfn.ISFORMULA('Month-End'!$Z$17))),N('Month-End'!$Z$17),IF(OR($E29="open",$E28="pre"),N(Settings!$C$29),N($AO28))))</f>
        <v/>
      </c>
      <c r="AP29">
        <f>IF(OR(Settings!$A$30="",$E29="pre"),"",IF(AND('Month-End'!$Z$18&lt;&gt;"",NOT(_xlfn.ISFORMULA('Month-End'!$Z$18))),N('Month-End'!$Z$18),IF(OR($E29="open",$E28="pre"),N(Settings!$C$30),N($AP28))))</f>
        <v/>
      </c>
      <c r="AQ29">
        <f>IF(OR(Settings!$A$31="",$E29="pre"),"",IF(AND('Month-End'!$Z$19&lt;&gt;"",NOT(_xlfn.ISFORMULA('Month-End'!$Z$19))),N('Month-End'!$Z$19),IF(OR($E29="open",$E28="pre"),N(Settings!$C$31),N($AQ28))))</f>
        <v/>
      </c>
      <c r="AR29">
        <f>IF(OR(Settings!$A$32="",$E29="pre"),"",IF(AND('Month-End'!$Z$20&lt;&gt;"",NOT(_xlfn.ISFORMULA('Month-End'!$Z$20))),N('Month-End'!$Z$20),IF(OR($E29="open",$E28="pre"),N(Settings!$C$32),N($AR28))))</f>
        <v/>
      </c>
      <c r="AS29">
        <f>IF(OR(Settings!$A$36="",$E29="pre"),"",IF(AND('Month-End'!$Z$38&lt;&gt;"",NOT(_xlfn.ISFORMULA('Month-End'!$Z$38))),N('Month-End'!$Z$38),IF(OR($E29="open",$E28="pre"),N(Settings!$C$36),N($AS28))+$AY29))</f>
        <v/>
      </c>
      <c r="AT29">
        <f>IF(OR(Settings!$A$37="",$E29="pre"),"",IF(AND('Month-End'!$Z$39&lt;&gt;"",NOT(_xlfn.ISFORMULA('Month-End'!$Z$39))),N('Month-End'!$Z$39),IF(OR($E29="open",$E28="pre"),N(Settings!$C$37),N($AT28))+$AZ29))</f>
        <v/>
      </c>
      <c r="AU29">
        <f>IF(OR(Settings!$A$38="",$E29="pre"),"",IF(AND('Month-End'!$Z$40&lt;&gt;"",NOT(_xlfn.ISFORMULA('Month-End'!$Z$40))),N('Month-End'!$Z$40),IF(OR($E29="open",$E28="pre"),N(Settings!$C$38),N($AU28))+$BA29))</f>
        <v/>
      </c>
      <c r="AV29">
        <f>IF(OR(Settings!$A$39="",$E29="pre"),"",IF(AND('Month-End'!$Z$41&lt;&gt;"",NOT(_xlfn.ISFORMULA('Month-End'!$Z$41))),N('Month-End'!$Z$41),IF(OR($E29="open",$E28="pre"),N(Settings!$C$39),N($AV28))+$BB29))</f>
        <v/>
      </c>
      <c r="AW29">
        <f>IF(OR(Settings!$A$40="",$E29="pre"),"",IF(AND('Month-End'!$Z$42&lt;&gt;"",NOT(_xlfn.ISFORMULA('Month-End'!$Z$42))),N('Month-End'!$Z$42),IF(OR($E29="open",$E28="pre"),N(Settings!$C$40),N($AW28))+$BC29))</f>
        <v/>
      </c>
      <c r="AX29">
        <f>IF(OR(Settings!$A$41="",$E29="pre"),"",IF(AND('Month-End'!$Z$43&lt;&gt;"",NOT(_xlfn.ISFORMULA('Month-End'!$Z$43))),N('Month-End'!$Z$43),IF(OR($E29="open",$E28="pre"),N(Settings!$C$41),N($AX28))+$BD29))</f>
        <v/>
      </c>
      <c r="AY29">
        <f>IF($E29="pre",0,N('Month-End'!$Z$45))</f>
        <v/>
      </c>
      <c r="AZ29">
        <f>IF($E29="pre",0,N('Month-End'!$Z$46))</f>
        <v/>
      </c>
      <c r="BA29">
        <f>IF($E29="pre",0,N('Month-End'!$Z$47))</f>
        <v/>
      </c>
      <c r="BB29">
        <f>IF($E29="pre",0,N('Month-End'!$Z$48))</f>
        <v/>
      </c>
      <c r="BC29">
        <f>IF($E29="pre",0,N('Month-End'!$Z$49))</f>
        <v/>
      </c>
      <c r="BD29">
        <f>IF($E29="pre",0,N('Month-End'!$Z$50))</f>
        <v/>
      </c>
      <c r="BE29">
        <f>IF(OR(Settings!$C$45="",Settings!$D$45=""),0,Settings!$C$45*IF(Settings!$D$45="Weekly",IF(IFERROR(MATCH(Settings!$E$45,$EO$4:$EO$10,0),0)=0,0,IF(MIN($C29,IF(Settings!$G$45="",$C29,Settings!$G$45))&lt;MAX($A29,Settings!$F$45),0,INT((MIN($C29,IF(Settings!$G$45="",$C29,Settings!$G$45))-MAX($A29,Settings!$F$45)-MOD(IFERROR(MATCH(Settings!$E$45,$EO$4:$EO$10,0),0)-WEEKDAY(MAX($A29,Settings!$F$45)),7))/7)+1)),IF(AND(IF(Settings!$E$45="",$B29,DATE(YEAR($A29),MONTH($A29),MIN(Settings!$E$45,DAY($B29))))&gt;=MAX($A29,Settings!$F$45),IF(Settings!$E$45="",$B29,DATE(YEAR($A29),MONTH($A29),MIN(Settings!$E$45,DAY($B29))))&lt;=MIN($C29,IF(Settings!$G$45="",$C29,Settings!$G$45))),1,0)))</f>
        <v/>
      </c>
      <c r="BF29">
        <f>IF(OR(Settings!$C$46="",Settings!$D$46=""),0,Settings!$C$46*IF(Settings!$D$46="Weekly",IF(IFERROR(MATCH(Settings!$E$46,$EO$4:$EO$10,0),0)=0,0,IF(MIN($C29,IF(Settings!$G$46="",$C29,Settings!$G$46))&lt;MAX($A29,Settings!$F$46),0,INT((MIN($C29,IF(Settings!$G$46="",$C29,Settings!$G$46))-MAX($A29,Settings!$F$46)-MOD(IFERROR(MATCH(Settings!$E$46,$EO$4:$EO$10,0),0)-WEEKDAY(MAX($A29,Settings!$F$46)),7))/7)+1)),IF(AND(IF(Settings!$E$46="",$B29,DATE(YEAR($A29),MONTH($A29),MIN(Settings!$E$46,DAY($B29))))&gt;=MAX($A29,Settings!$F$46),IF(Settings!$E$46="",$B29,DATE(YEAR($A29),MONTH($A29),MIN(Settings!$E$46,DAY($B29))))&lt;=MIN($C29,IF(Settings!$G$46="",$C29,Settings!$G$46))),1,0)))</f>
        <v/>
      </c>
      <c r="BG29">
        <f>IF(OR(Settings!$C$47="",Settings!$D$47=""),0,Settings!$C$47*IF(Settings!$D$47="Weekly",IF(IFERROR(MATCH(Settings!$E$47,$EO$4:$EO$10,0),0)=0,0,IF(MIN($C29,IF(Settings!$G$47="",$C29,Settings!$G$47))&lt;MAX($A29,Settings!$F$47),0,INT((MIN($C29,IF(Settings!$G$47="",$C29,Settings!$G$47))-MAX($A29,Settings!$F$47)-MOD(IFERROR(MATCH(Settings!$E$47,$EO$4:$EO$10,0),0)-WEEKDAY(MAX($A29,Settings!$F$47)),7))/7)+1)),IF(AND(IF(Settings!$E$47="",$B29,DATE(YEAR($A29),MONTH($A29),MIN(Settings!$E$47,DAY($B29))))&gt;=MAX($A29,Settings!$F$47),IF(Settings!$E$47="",$B29,DATE(YEAR($A29),MONTH($A29),MIN(Settings!$E$47,DAY($B29))))&lt;=MIN($C29,IF(Settings!$G$47="",$C29,Settings!$G$47))),1,0)))</f>
        <v/>
      </c>
      <c r="BH29">
        <f>IF(OR(Settings!$C$48="",Settings!$D$48=""),0,Settings!$C$48*IF(Settings!$D$48="Weekly",IF(IFERROR(MATCH(Settings!$E$48,$EO$4:$EO$10,0),0)=0,0,IF(MIN($C29,IF(Settings!$G$48="",$C29,Settings!$G$48))&lt;MAX($A29,Settings!$F$48),0,INT((MIN($C29,IF(Settings!$G$48="",$C29,Settings!$G$48))-MAX($A29,Settings!$F$48)-MOD(IFERROR(MATCH(Settings!$E$48,$EO$4:$EO$10,0),0)-WEEKDAY(MAX($A29,Settings!$F$48)),7))/7)+1)),IF(AND(IF(Settings!$E$48="",$B29,DATE(YEAR($A29),MONTH($A29),MIN(Settings!$E$48,DAY($B29))))&gt;=MAX($A29,Settings!$F$48),IF(Settings!$E$48="",$B29,DATE(YEAR($A29),MONTH($A29),MIN(Settings!$E$48,DAY($B29))))&lt;=MIN($C29,IF(Settings!$G$48="",$C29,Settings!$G$48))),1,0)))</f>
        <v/>
      </c>
      <c r="BI29">
        <f>IF(OR(Settings!$C$49="",Settings!$D$49=""),0,Settings!$C$49*IF(Settings!$D$49="Weekly",IF(IFERROR(MATCH(Settings!$E$49,$EO$4:$EO$10,0),0)=0,0,IF(MIN($C29,IF(Settings!$G$49="",$C29,Settings!$G$49))&lt;MAX($A29,Settings!$F$49),0,INT((MIN($C29,IF(Settings!$G$49="",$C29,Settings!$G$49))-MAX($A29,Settings!$F$49)-MOD(IFERROR(MATCH(Settings!$E$49,$EO$4:$EO$10,0),0)-WEEKDAY(MAX($A29,Settings!$F$49)),7))/7)+1)),IF(AND(IF(Settings!$E$49="",$B29,DATE(YEAR($A29),MONTH($A29),MIN(Settings!$E$49,DAY($B29))))&gt;=MAX($A29,Settings!$F$49),IF(Settings!$E$49="",$B29,DATE(YEAR($A29),MONTH($A29),MIN(Settings!$E$49,DAY($B29))))&lt;=MIN($C29,IF(Settings!$G$49="",$C29,Settings!$G$49))),1,0)))</f>
        <v/>
      </c>
      <c r="BJ29">
        <f>IF(OR(Settings!$C$50="",Settings!$D$50=""),0,Settings!$C$50*IF(Settings!$D$50="Weekly",IF(IFERROR(MATCH(Settings!$E$50,$EO$4:$EO$10,0),0)=0,0,IF(MIN($C29,IF(Settings!$G$50="",$C29,Settings!$G$50))&lt;MAX($A29,Settings!$F$50),0,INT((MIN($C29,IF(Settings!$G$50="",$C29,Settings!$G$50))-MAX($A29,Settings!$F$50)-MOD(IFERROR(MATCH(Settings!$E$50,$EO$4:$EO$10,0),0)-WEEKDAY(MAX($A29,Settings!$F$50)),7))/7)+1)),IF(AND(IF(Settings!$E$50="",$B29,DATE(YEAR($A29),MONTH($A29),MIN(Settings!$E$50,DAY($B29))))&gt;=MAX($A29,Settings!$F$50),IF(Settings!$E$50="",$B29,DATE(YEAR($A29),MONTH($A29),MIN(Settings!$E$50,DAY($B29))))&lt;=MIN($C29,IF(Settings!$G$50="",$C29,Settings!$G$50))),1,0)))</f>
        <v/>
      </c>
      <c r="BK29">
        <f>IF(OR(Settings!$C$51="",Settings!$D$51=""),0,Settings!$C$51*IF(Settings!$D$51="Weekly",IF(IFERROR(MATCH(Settings!$E$51,$EO$4:$EO$10,0),0)=0,0,IF(MIN($C29,IF(Settings!$G$51="",$C29,Settings!$G$51))&lt;MAX($A29,Settings!$F$51),0,INT((MIN($C29,IF(Settings!$G$51="",$C29,Settings!$G$51))-MAX($A29,Settings!$F$51)-MOD(IFERROR(MATCH(Settings!$E$51,$EO$4:$EO$10,0),0)-WEEKDAY(MAX($A29,Settings!$F$51)),7))/7)+1)),IF(AND(IF(Settings!$E$51="",$B29,DATE(YEAR($A29),MONTH($A29),MIN(Settings!$E$51,DAY($B29))))&gt;=MAX($A29,Settings!$F$51),IF(Settings!$E$51="",$B29,DATE(YEAR($A29),MONTH($A29),MIN(Settings!$E$51,DAY($B29))))&lt;=MIN($C29,IF(Settings!$G$51="",$C29,Settings!$G$51))),1,0)))</f>
        <v/>
      </c>
      <c r="BL29">
        <f>IF(OR(Settings!$C$52="",Settings!$D$52=""),0,Settings!$C$52*IF(Settings!$D$52="Weekly",IF(IFERROR(MATCH(Settings!$E$52,$EO$4:$EO$10,0),0)=0,0,IF(MIN($C29,IF(Settings!$G$52="",$C29,Settings!$G$52))&lt;MAX($A29,Settings!$F$52),0,INT((MIN($C29,IF(Settings!$G$52="",$C29,Settings!$G$52))-MAX($A29,Settings!$F$52)-MOD(IFERROR(MATCH(Settings!$E$52,$EO$4:$EO$10,0),0)-WEEKDAY(MAX($A29,Settings!$F$52)),7))/7)+1)),IF(AND(IF(Settings!$E$52="",$B29,DATE(YEAR($A29),MONTH($A29),MIN(Settings!$E$52,DAY($B29))))&gt;=MAX($A29,Settings!$F$52),IF(Settings!$E$52="",$B29,DATE(YEAR($A29),MONTH($A29),MIN(Settings!$E$52,DAY($B29))))&lt;=MIN($C29,IF(Settings!$G$52="",$C29,Settings!$G$52))),1,0)))</f>
        <v/>
      </c>
      <c r="BM29">
        <f>IF(OR(Settings!$C$53="",Settings!$D$53=""),0,Settings!$C$53*IF(Settings!$D$53="Weekly",IF(IFERROR(MATCH(Settings!$E$53,$EO$4:$EO$10,0),0)=0,0,IF(MIN($C29,IF(Settings!$G$53="",$C29,Settings!$G$53))&lt;MAX($A29,Settings!$F$53),0,INT((MIN($C29,IF(Settings!$G$53="",$C29,Settings!$G$53))-MAX($A29,Settings!$F$53)-MOD(IFERROR(MATCH(Settings!$E$53,$EO$4:$EO$10,0),0)-WEEKDAY(MAX($A29,Settings!$F$53)),7))/7)+1)),IF(AND(IF(Settings!$E$53="",$B29,DATE(YEAR($A29),MONTH($A29),MIN(Settings!$E$53,DAY($B29))))&gt;=MAX($A29,Settings!$F$53),IF(Settings!$E$53="",$B29,DATE(YEAR($A29),MONTH($A29),MIN(Settings!$E$53,DAY($B29))))&lt;=MIN($C29,IF(Settings!$G$53="",$C29,Settings!$G$53))),1,0)))</f>
        <v/>
      </c>
      <c r="BN29">
        <f>IF(OR(Settings!$C$54="",Settings!$D$54=""),0,Settings!$C$54*IF(Settings!$D$54="Weekly",IF(IFERROR(MATCH(Settings!$E$54,$EO$4:$EO$10,0),0)=0,0,IF(MIN($C29,IF(Settings!$G$54="",$C29,Settings!$G$54))&lt;MAX($A29,Settings!$F$54),0,INT((MIN($C29,IF(Settings!$G$54="",$C29,Settings!$G$54))-MAX($A29,Settings!$F$54)-MOD(IFERROR(MATCH(Settings!$E$54,$EO$4:$EO$10,0),0)-WEEKDAY(MAX($A29,Settings!$F$54)),7))/7)+1)),IF(AND(IF(Settings!$E$54="",$B29,DATE(YEAR($A29),MONTH($A29),MIN(Settings!$E$54,DAY($B29))))&gt;=MAX($A29,Settings!$F$54),IF(Settings!$E$54="",$B29,DATE(YEAR($A29),MONTH($A29),MIN(Settings!$E$54,DAY($B29))))&lt;=MIN($C29,IF(Settings!$G$54="",$C29,Settings!$G$54))),1,0)))</f>
        <v/>
      </c>
      <c r="BO29">
        <f>IF(OR(Settings!$C$55="",Settings!$D$55=""),0,Settings!$C$55*IF(Settings!$D$55="Weekly",IF(IFERROR(MATCH(Settings!$E$55,$EO$4:$EO$10,0),0)=0,0,IF(MIN($C29,IF(Settings!$G$55="",$C29,Settings!$G$55))&lt;MAX($A29,Settings!$F$55),0,INT((MIN($C29,IF(Settings!$G$55="",$C29,Settings!$G$55))-MAX($A29,Settings!$F$55)-MOD(IFERROR(MATCH(Settings!$E$55,$EO$4:$EO$10,0),0)-WEEKDAY(MAX($A29,Settings!$F$55)),7))/7)+1)),IF(AND(IF(Settings!$E$55="",$B29,DATE(YEAR($A29),MONTH($A29),MIN(Settings!$E$55,DAY($B29))))&gt;=MAX($A29,Settings!$F$55),IF(Settings!$E$55="",$B29,DATE(YEAR($A29),MONTH($A29),MIN(Settings!$E$55,DAY($B29))))&lt;=MIN($C29,IF(Settings!$G$55="",$C29,Settings!$G$55))),1,0)))</f>
        <v/>
      </c>
      <c r="BP29">
        <f>IF(OR(Settings!$C$56="",Settings!$D$56=""),0,Settings!$C$56*IF(Settings!$D$56="Weekly",IF(IFERROR(MATCH(Settings!$E$56,$EO$4:$EO$10,0),0)=0,0,IF(MIN($C29,IF(Settings!$G$56="",$C29,Settings!$G$56))&lt;MAX($A29,Settings!$F$56),0,INT((MIN($C29,IF(Settings!$G$56="",$C29,Settings!$G$56))-MAX($A29,Settings!$F$56)-MOD(IFERROR(MATCH(Settings!$E$56,$EO$4:$EO$10,0),0)-WEEKDAY(MAX($A29,Settings!$F$56)),7))/7)+1)),IF(AND(IF(Settings!$E$56="",$B29,DATE(YEAR($A29),MONTH($A29),MIN(Settings!$E$56,DAY($B29))))&gt;=MAX($A29,Settings!$F$56),IF(Settings!$E$56="",$B29,DATE(YEAR($A29),MONTH($A29),MIN(Settings!$E$56,DAY($B29))))&lt;=MIN($C29,IF(Settings!$G$56="",$C29,Settings!$G$56))),1,0)))</f>
        <v/>
      </c>
      <c r="BQ29">
        <f>IF(OR(Settings!$B$14="",$D29=1,$E29="pre",$A29&lt;IF(Settings!$B$15="",0,Settings!$B$15)),0,Settings!$B$14)</f>
        <v/>
      </c>
      <c r="BR29">
        <f>IF(AND('Month-End'!$Z$7&lt;&gt;"",NOT(_xlfn.ISFORMULA('Month-End'!$Z$7))),1,0)</f>
        <v/>
      </c>
      <c r="BS29">
        <f>IF(AND('Month-End'!$Z$8&lt;&gt;"",NOT(_xlfn.ISFORMULA('Month-End'!$Z$8))),1,0)</f>
        <v/>
      </c>
      <c r="BT29">
        <f>IF(AND('Month-End'!$Z$9&lt;&gt;"",NOT(_xlfn.ISFORMULA('Month-End'!$Z$9))),1,0)</f>
        <v/>
      </c>
      <c r="BU29">
        <f>IF(AND('Month-End'!$Z$10&lt;&gt;"",NOT(_xlfn.ISFORMULA('Month-End'!$Z$10))),1,0)</f>
        <v/>
      </c>
      <c r="BV29">
        <f>IF(AND('Month-End'!$Z$11&lt;&gt;"",NOT(_xlfn.ISFORMULA('Month-End'!$Z$11))),1,0)</f>
        <v/>
      </c>
      <c r="BW29">
        <f>IF(AND('Month-End'!$Z$12&lt;&gt;"",NOT(_xlfn.ISFORMULA('Month-End'!$Z$12))),1,0)</f>
        <v/>
      </c>
      <c r="BX29">
        <f>IF(AND('Month-End'!$Z$13&lt;&gt;"",NOT(_xlfn.ISFORMULA('Month-End'!$Z$13))),1,0)</f>
        <v/>
      </c>
      <c r="BY29">
        <f>IF(AND('Month-End'!$Z$14&lt;&gt;"",NOT(_xlfn.ISFORMULA('Month-End'!$Z$14))),1,0)</f>
        <v/>
      </c>
      <c r="BZ29">
        <f>IF(AND('Month-End'!$Z$15&lt;&gt;"",NOT(_xlfn.ISFORMULA('Month-End'!$Z$15))),1,0)</f>
        <v/>
      </c>
      <c r="CA29">
        <f>IF(AND('Month-End'!$Z$16&lt;&gt;"",NOT(_xlfn.ISFORMULA('Month-End'!$Z$16))),1,0)</f>
        <v/>
      </c>
      <c r="CB29">
        <f>IF(AND('Month-End'!$Z$17&lt;&gt;"",NOT(_xlfn.ISFORMULA('Month-End'!$Z$17))),1,0)</f>
        <v/>
      </c>
      <c r="CC29">
        <f>IF(AND('Month-End'!$Z$18&lt;&gt;"",NOT(_xlfn.ISFORMULA('Month-End'!$Z$18))),1,0)</f>
        <v/>
      </c>
      <c r="CD29">
        <f>IF(AND('Month-End'!$Z$19&lt;&gt;"",NOT(_xlfn.ISFORMULA('Month-End'!$Z$19))),1,0)</f>
        <v/>
      </c>
      <c r="CE29">
        <f>IF(AND('Month-End'!$Z$20&lt;&gt;"",NOT(_xlfn.ISFORMULA('Month-End'!$Z$20))),1,0)</f>
        <v/>
      </c>
      <c r="CF29">
        <f>IF(AND('Month-End'!$Z$38&lt;&gt;"",NOT(_xlfn.ISFORMULA('Month-End'!$Z$38))),1,0)</f>
        <v/>
      </c>
      <c r="CG29">
        <f>IF(AND('Month-End'!$Z$39&lt;&gt;"",NOT(_xlfn.ISFORMULA('Month-End'!$Z$39))),1,0)</f>
        <v/>
      </c>
      <c r="CH29">
        <f>IF(AND('Month-End'!$Z$40&lt;&gt;"",NOT(_xlfn.ISFORMULA('Month-End'!$Z$40))),1,0)</f>
        <v/>
      </c>
      <c r="CI29">
        <f>IF(AND('Month-End'!$Z$41&lt;&gt;"",NOT(_xlfn.ISFORMULA('Month-End'!$Z$41))),1,0)</f>
        <v/>
      </c>
      <c r="CJ29">
        <f>IF(AND('Month-End'!$Z$42&lt;&gt;"",NOT(_xlfn.ISFORMULA('Month-End'!$Z$42))),1,0)</f>
        <v/>
      </c>
      <c r="CK29">
        <f>IF(AND('Month-End'!$Z$43&lt;&gt;"",NOT(_xlfn.ISFORMULA('Month-End'!$Z$43))),1,0)</f>
        <v/>
      </c>
      <c r="CL29">
        <f>SUM($CM29:$CZ29)</f>
        <v/>
      </c>
      <c r="CM29">
        <f>IF(AND($E29&lt;&gt;"pre",AND(Settings!$A$19&lt;&gt;"",Settings!$E$19&lt;&gt;"No"),Settings!$F$19="Yes",NOT(AND('Month-End'!$Z$7&lt;&gt;"",NOT(_xlfn.ISFORMULA('Month-End'!$Z$7))))),1,0)</f>
        <v/>
      </c>
      <c r="CN29">
        <f>IF(AND($E29&lt;&gt;"pre",AND(Settings!$A$20&lt;&gt;"",Settings!$E$20&lt;&gt;"No"),Settings!$F$20="Yes",NOT(AND('Month-End'!$Z$8&lt;&gt;"",NOT(_xlfn.ISFORMULA('Month-End'!$Z$8))))),1,0)</f>
        <v/>
      </c>
      <c r="CO29">
        <f>IF(AND($E29&lt;&gt;"pre",AND(Settings!$A$21&lt;&gt;"",Settings!$E$21&lt;&gt;"No"),Settings!$F$21="Yes",NOT(AND('Month-End'!$Z$9&lt;&gt;"",NOT(_xlfn.ISFORMULA('Month-End'!$Z$9))))),1,0)</f>
        <v/>
      </c>
      <c r="CP29">
        <f>IF(AND($E29&lt;&gt;"pre",AND(Settings!$A$22&lt;&gt;"",Settings!$E$22&lt;&gt;"No"),Settings!$F$22="Yes",NOT(AND('Month-End'!$Z$10&lt;&gt;"",NOT(_xlfn.ISFORMULA('Month-End'!$Z$10))))),1,0)</f>
        <v/>
      </c>
      <c r="CQ29">
        <f>IF(AND($E29&lt;&gt;"pre",AND(Settings!$A$23&lt;&gt;"",Settings!$E$23&lt;&gt;"No"),Settings!$F$23="Yes",NOT(AND('Month-End'!$Z$11&lt;&gt;"",NOT(_xlfn.ISFORMULA('Month-End'!$Z$11))))),1,0)</f>
        <v/>
      </c>
      <c r="CR29">
        <f>IF(AND($E29&lt;&gt;"pre",AND(Settings!$A$24&lt;&gt;"",Settings!$E$24&lt;&gt;"No"),Settings!$F$24="Yes",NOT(AND('Month-End'!$Z$12&lt;&gt;"",NOT(_xlfn.ISFORMULA('Month-End'!$Z$12))))),1,0)</f>
        <v/>
      </c>
      <c r="CS29">
        <f>IF(AND($E29&lt;&gt;"pre",AND(Settings!$A$25&lt;&gt;"",Settings!$E$25&lt;&gt;"No"),Settings!$F$25="Yes",NOT(AND('Month-End'!$Z$13&lt;&gt;"",NOT(_xlfn.ISFORMULA('Month-End'!$Z$13))))),1,0)</f>
        <v/>
      </c>
      <c r="CT29">
        <f>IF(AND($E29&lt;&gt;"pre",AND(Settings!$A$26&lt;&gt;"",Settings!$E$26&lt;&gt;"No"),Settings!$F$26="Yes",NOT(AND('Month-End'!$Z$14&lt;&gt;"",NOT(_xlfn.ISFORMULA('Month-End'!$Z$14))))),1,0)</f>
        <v/>
      </c>
      <c r="CU29">
        <f>IF(AND($E29&lt;&gt;"pre",AND(Settings!$A$27&lt;&gt;"",Settings!$E$27&lt;&gt;"No"),Settings!$F$27="Yes",NOT(AND('Month-End'!$Z$15&lt;&gt;"",NOT(_xlfn.ISFORMULA('Month-End'!$Z$15))))),1,0)</f>
        <v/>
      </c>
      <c r="CV29">
        <f>IF(AND($E29&lt;&gt;"pre",AND(Settings!$A$28&lt;&gt;"",Settings!$E$28&lt;&gt;"No"),Settings!$F$28="Yes",NOT(AND('Month-End'!$Z$16&lt;&gt;"",NOT(_xlfn.ISFORMULA('Month-End'!$Z$16))))),1,0)</f>
        <v/>
      </c>
      <c r="CW29">
        <f>IF(AND($E29&lt;&gt;"pre",AND(Settings!$A$29&lt;&gt;"",Settings!$E$29&lt;&gt;"No"),Settings!$F$29="Yes",NOT(AND('Month-End'!$Z$17&lt;&gt;"",NOT(_xlfn.ISFORMULA('Month-End'!$Z$17))))),1,0)</f>
        <v/>
      </c>
      <c r="CX29">
        <f>IF(AND($E29&lt;&gt;"pre",AND(Settings!$A$30&lt;&gt;"",Settings!$E$30&lt;&gt;"No"),Settings!$F$30="Yes",NOT(AND('Month-End'!$Z$18&lt;&gt;"",NOT(_xlfn.ISFORMULA('Month-End'!$Z$18))))),1,0)</f>
        <v/>
      </c>
      <c r="CY29">
        <f>IF(AND($E29&lt;&gt;"pre",AND(Settings!$A$31&lt;&gt;"",Settings!$E$31&lt;&gt;"No"),Settings!$F$31="Yes",NOT(AND('Month-End'!$Z$19&lt;&gt;"",NOT(_xlfn.ISFORMULA('Month-End'!$Z$19))))),1,0)</f>
        <v/>
      </c>
      <c r="CZ29">
        <f>IF(AND($E29&lt;&gt;"pre",AND(Settings!$A$32&lt;&gt;"",Settings!$E$32&lt;&gt;"No"),Settings!$F$32="Yes",NOT(AND('Month-End'!$Z$20&lt;&gt;"",NOT(_xlfn.ISFORMULA('Month-End'!$Z$20))))),1,0)</f>
        <v/>
      </c>
      <c r="DA29">
        <f>IF($DT29=1,IF(OR(Settings!$B$19="Checking",Settings!$B$19="Savings",Settings!$B$19="Cash"),N($AE29),IF(OR(Settings!$B$19="Card",Settings!$B$19="Loan"),-N($AE29),0))+IF(OR(Settings!$B$20="Checking",Settings!$B$20="Savings",Settings!$B$20="Cash"),N($AF29),IF(OR(Settings!$B$20="Card",Settings!$B$20="Loan"),-N($AF29),0))+IF(OR(Settings!$B$21="Checking",Settings!$B$21="Savings",Settings!$B$21="Cash"),N($AG29),IF(OR(Settings!$B$21="Card",Settings!$B$21="Loan"),-N($AG29),0))+IF(OR(Settings!$B$22="Checking",Settings!$B$22="Savings",Settings!$B$22="Cash"),N($AH29),IF(OR(Settings!$B$22="Card",Settings!$B$22="Loan"),-N($AH29),0))+IF(OR(Settings!$B$23="Checking",Settings!$B$23="Savings",Settings!$B$23="Cash"),N($AI29),IF(OR(Settings!$B$23="Card",Settings!$B$23="Loan"),-N($AI29),0))+IF(OR(Settings!$B$24="Checking",Settings!$B$24="Savings",Settings!$B$24="Cash"),N($AJ29),IF(OR(Settings!$B$24="Card",Settings!$B$24="Loan"),-N($AJ29),0))+IF(OR(Settings!$B$25="Checking",Settings!$B$25="Savings",Settings!$B$25="Cash"),N($AK29),IF(OR(Settings!$B$25="Card",Settings!$B$25="Loan"),-N($AK29),0))+IF(OR(Settings!$B$26="Checking",Settings!$B$26="Savings",Settings!$B$26="Cash"),N($AL29),IF(OR(Settings!$B$26="Card",Settings!$B$26="Loan"),-N($AL29),0))+IF(OR(Settings!$B$27="Checking",Settings!$B$27="Savings",Settings!$B$27="Cash"),N($AM29),IF(OR(Settings!$B$27="Card",Settings!$B$27="Loan"),-N($AM29),0))+IF(OR(Settings!$B$28="Checking",Settings!$B$28="Savings",Settings!$B$28="Cash"),N($AN29),IF(OR(Settings!$B$28="Card",Settings!$B$28="Loan"),-N($AN29),0))+IF(OR(Settings!$B$29="Checking",Settings!$B$29="Savings",Settings!$B$29="Cash"),N($AO29),IF(OR(Settings!$B$29="Card",Settings!$B$29="Loan"),-N($AO29),0))+IF(OR(Settings!$B$30="Checking",Settings!$B$30="Savings",Settings!$B$30="Cash"),N($AP29),IF(OR(Settings!$B$30="Card",Settings!$B$30="Loan"),-N($AP29),0))+IF(OR(Settings!$B$31="Checking",Settings!$B$31="Savings",Settings!$B$31="Cash"),N($AQ29),IF(OR(Settings!$B$31="Card",Settings!$B$31="Loan"),-N($AQ29),0))+IF(OR(Settings!$B$32="Checking",Settings!$B$32="Savings",Settings!$B$32="Cash"),N($AR29),IF(OR(Settings!$B$32="Card",Settings!$B$32="Loan"),-N($AR29),0)),"")</f>
        <v/>
      </c>
      <c r="DB29">
        <f>IF($E29="open",$EB$27,IF($E29="post",IF($E28="pre",$EB$27,$DA28),""))</f>
        <v/>
      </c>
      <c r="DC29">
        <f>IF($E29="open",1,IF($E29="post",IF($E28="pre",1,$DT28),0))</f>
        <v/>
      </c>
      <c r="DD29">
        <f>IF(AND($DT29=1,$DC29=1),ROUND($W29-($DA29-$DB29)-$AD29-$AB29,2),"")</f>
        <v/>
      </c>
      <c r="DE29">
        <f>IF('Month-End'!$Z$35="",$BQ29,N('Month-End'!$Z$35))</f>
        <v/>
      </c>
      <c r="DF29">
        <f>N('Month-End'!$Z$36)</f>
        <v/>
      </c>
      <c r="DG29">
        <f>IF($DD29="","",$DD29+$DE29)</f>
        <v/>
      </c>
      <c r="DH29">
        <f>IF($DG29="","",$DG29-$DF29)</f>
        <v/>
      </c>
      <c r="DI29">
        <f>IF(OR($E29="pre",$D29=1),"",N($AS29)+N($AT29)+N($AU29)+N($AV29)+N($AW29)+N($AX29))</f>
        <v/>
      </c>
      <c r="DJ29">
        <f>IF($DT29=1,$DA29+N($DI29),"")</f>
        <v/>
      </c>
      <c r="DK29">
        <f>IF($DD29="","",$W29-$DD29-$AB29)</f>
        <v/>
      </c>
      <c r="DL29">
        <f>IF(AND($E29="post",$DD29&lt;&gt;"",$B29&lt;TODAY()),1,0)</f>
        <v/>
      </c>
      <c r="DM29">
        <f>IF($DL29=1,COUNTIF($DL29:$DL$183,1),0)</f>
        <v/>
      </c>
      <c r="DN29">
        <f>IF($D29=1,"",IF($E29="pre","History only",IF($DT29=1,IF($DD29="","⚠ Previous month missing",IF($DD29&lt;0,"⚠ Check: spending &lt; 0",IF($E29="open","✓ Done (partial)","✓ Done"))),IF($B29&gt;=TODAY(),"In progress","⚠ Needs balances"))))</f>
        <v/>
      </c>
      <c r="DO29">
        <f>YEAR($A29)</f>
        <v/>
      </c>
      <c r="DP29">
        <f>DATE(YEAR($A29),INT((MONTH($A29)-1)/3)*3+1,1)</f>
        <v/>
      </c>
      <c r="DQ29">
        <f>IF(AND($DT29=1,$DD29&lt;&gt;"",$D29=0),ROW(),0)</f>
        <v/>
      </c>
      <c r="DR29">
        <f>IF(AND($E29&lt;&gt;"pre",$B29&lt;TODAY(),$DT29=0),1,0)</f>
        <v/>
      </c>
      <c r="DS29">
        <f>IF($DJ29="",NA(),$DJ29)</f>
        <v/>
      </c>
      <c r="DT29">
        <f>IF(AND($E29&lt;&gt;"pre",$CL29=0,COUNTIFS(Settings!$F$19:$F$32,"Yes",Settings!$A$19:$A$32,"&lt;&gt;",Settings!$E$19:$E$32,"&lt;&gt;No")&gt;0),1,0)</f>
        <v/>
      </c>
      <c r="DU29">
        <f>IF(AND($B29&lt;TODAY(),$S29&gt;0),1,0)</f>
        <v/>
      </c>
      <c r="DV29">
        <f>IF($DU29=1,COUNTIF($DU29:$DU$183,1),0)</f>
        <v/>
      </c>
      <c r="DW29">
        <f>IF(AND(OR(Settings!$B$19="Card",Settings!$B$19="Loan"),AND('Month-End'!$Z$7&lt;&gt;"",NOT(_xlfn.ISFORMULA('Month-End'!$Z$7)))),IF(N('Month-End'!$Z$7)&lt;0,1,0),0)+IF(AND(OR(Settings!$B$20="Card",Settings!$B$20="Loan"),AND('Month-End'!$Z$8&lt;&gt;"",NOT(_xlfn.ISFORMULA('Month-End'!$Z$8)))),IF(N('Month-End'!$Z$8)&lt;0,1,0),0)+IF(AND(OR(Settings!$B$21="Card",Settings!$B$21="Loan"),AND('Month-End'!$Z$9&lt;&gt;"",NOT(_xlfn.ISFORMULA('Month-End'!$Z$9)))),IF(N('Month-End'!$Z$9)&lt;0,1,0),0)+IF(AND(OR(Settings!$B$22="Card",Settings!$B$22="Loan"),AND('Month-End'!$Z$10&lt;&gt;"",NOT(_xlfn.ISFORMULA('Month-End'!$Z$10)))),IF(N('Month-End'!$Z$10)&lt;0,1,0),0)+IF(AND(OR(Settings!$B$23="Card",Settings!$B$23="Loan"),AND('Month-End'!$Z$11&lt;&gt;"",NOT(_xlfn.ISFORMULA('Month-End'!$Z$11)))),IF(N('Month-End'!$Z$11)&lt;0,1,0),0)+IF(AND(OR(Settings!$B$24="Card",Settings!$B$24="Loan"),AND('Month-End'!$Z$12&lt;&gt;"",NOT(_xlfn.ISFORMULA('Month-End'!$Z$12)))),IF(N('Month-End'!$Z$12)&lt;0,1,0),0)+IF(AND(OR(Settings!$B$25="Card",Settings!$B$25="Loan"),AND('Month-End'!$Z$13&lt;&gt;"",NOT(_xlfn.ISFORMULA('Month-End'!$Z$13)))),IF(N('Month-End'!$Z$13)&lt;0,1,0),0)+IF(AND(OR(Settings!$B$26="Card",Settings!$B$26="Loan"),AND('Month-End'!$Z$14&lt;&gt;"",NOT(_xlfn.ISFORMULA('Month-End'!$Z$14)))),IF(N('Month-End'!$Z$14)&lt;0,1,0),0)+IF(AND(OR(Settings!$B$27="Card",Settings!$B$27="Loan"),AND('Month-End'!$Z$15&lt;&gt;"",NOT(_xlfn.ISFORMULA('Month-End'!$Z$15)))),IF(N('Month-End'!$Z$15)&lt;0,1,0),0)+IF(AND(OR(Settings!$B$28="Card",Settings!$B$28="Loan"),AND('Month-End'!$Z$16&lt;&gt;"",NOT(_xlfn.ISFORMULA('Month-End'!$Z$16)))),IF(N('Month-End'!$Z$16)&lt;0,1,0),0)+IF(AND(OR(Settings!$B$29="Card",Settings!$B$29="Loan"),AND('Month-End'!$Z$17&lt;&gt;"",NOT(_xlfn.ISFORMULA('Month-End'!$Z$17)))),IF(N('Month-End'!$Z$17)&lt;0,1,0),0)+IF(AND(OR(Settings!$B$30="Card",Settings!$B$30="Loan"),AND('Month-End'!$Z$18&lt;&gt;"",NOT(_xlfn.ISFORMULA('Month-End'!$Z$18)))),IF(N('Month-End'!$Z$18)&lt;0,1,0),0)+IF(AND(OR(Settings!$B$31="Card",Settings!$B$31="Loan"),AND('Month-End'!$Z$19&lt;&gt;"",NOT(_xlfn.ISFORMULA('Month-End'!$Z$19)))),IF(N('Month-End'!$Z$19)&lt;0,1,0),0)+IF(AND(OR(Settings!$B$32="Card",Settings!$B$32="Loan"),AND('Month-End'!$Z$20&lt;&gt;"",NOT(_xlfn.ISFORMULA('Month-End'!$Z$20)))),IF(N('Month-End'!$Z$20)&lt;0,1,0),0)</f>
        <v/>
      </c>
      <c r="DX29">
        <f>IF(Settings!$B$36="Retirement",$AY29,0)+IF(Settings!$B$37="Retirement",$AZ29,0)+IF(Settings!$B$38="Retirement",$BA29,0)+IF(Settings!$B$39="Retirement",$BB29,0)+IF(Settings!$B$40="Retirement",$BC29,0)+IF(Settings!$B$41="Retirement",$BD29,0)</f>
        <v/>
      </c>
      <c r="EA29" t="inlineStr">
        <is>
          <t>Tithe given this quarter</t>
        </is>
      </c>
      <c r="EB29">
        <f>IFERROR(INDEX(History!$E$25:$E$84,MATCH(DATE(YEAR(TODAY()),INT((MONTH(TODAY())-1)/3)*3+1,1),History!$B$25:$B$84,0)),0)</f>
        <v/>
      </c>
      <c r="ET29">
        <f>IF($E29&lt;&gt;"open",0,IF(AND('Month-End'!$Z$22&lt;&gt;"",NOT(_xlfn.ISFORMULA('Month-End'!$Z$22))),0,IF(OR(Settings!$C$45="",Settings!$D$45=""),0,Settings!$C$45*IF(Settings!$D$45="Weekly",IF(IFERROR(MATCH(Settings!$E$45,$EO$4:$EO$10,0),0)=0,0,IF(MIN(Settings!$B$5,IF(Settings!$G$45="",Settings!$B$5,Settings!$G$45))&lt;MAX($A29,Settings!$F$45),0,INT((MIN(Settings!$B$5,IF(Settings!$G$45="",Settings!$B$5,Settings!$G$45))-MAX($A29,Settings!$F$45)-MOD(IFERROR(MATCH(Settings!$E$45,$EO$4:$EO$10,0),0)-WEEKDAY(MAX($A29,Settings!$F$45)),7))/7)+1)),IF(AND(IF(Settings!$E$45="",$B29,DATE(YEAR($A29),MONTH($A29),MIN(Settings!$E$45,DAY($B29))))&gt;=MAX($A29,Settings!$F$45),IF(Settings!$E$45="",$B29,DATE(YEAR($A29),MONTH($A29),MIN(Settings!$E$45,DAY($B29))))&lt;=MIN(Settings!$B$5,IF(Settings!$G$45="",Settings!$B$5,Settings!$G$45))),1,0)))))</f>
        <v/>
      </c>
      <c r="EU29">
        <f>IF($E29&lt;&gt;"open",0,IF(AND('Month-End'!$Z$23&lt;&gt;"",NOT(_xlfn.ISFORMULA('Month-End'!$Z$23))),0,IF(OR(Settings!$C$46="",Settings!$D$46=""),0,Settings!$C$46*IF(Settings!$D$46="Weekly",IF(IFERROR(MATCH(Settings!$E$46,$EO$4:$EO$10,0),0)=0,0,IF(MIN(Settings!$B$5,IF(Settings!$G$46="",Settings!$B$5,Settings!$G$46))&lt;MAX($A29,Settings!$F$46),0,INT((MIN(Settings!$B$5,IF(Settings!$G$46="",Settings!$B$5,Settings!$G$46))-MAX($A29,Settings!$F$46)-MOD(IFERROR(MATCH(Settings!$E$46,$EO$4:$EO$10,0),0)-WEEKDAY(MAX($A29,Settings!$F$46)),7))/7)+1)),IF(AND(IF(Settings!$E$46="",$B29,DATE(YEAR($A29),MONTH($A29),MIN(Settings!$E$46,DAY($B29))))&gt;=MAX($A29,Settings!$F$46),IF(Settings!$E$46="",$B29,DATE(YEAR($A29),MONTH($A29),MIN(Settings!$E$46,DAY($B29))))&lt;=MIN(Settings!$B$5,IF(Settings!$G$46="",Settings!$B$5,Settings!$G$46))),1,0)))))</f>
        <v/>
      </c>
      <c r="EV29">
        <f>IF($E29&lt;&gt;"open",0,IF(AND('Month-End'!$Z$24&lt;&gt;"",NOT(_xlfn.ISFORMULA('Month-End'!$Z$24))),0,IF(OR(Settings!$C$47="",Settings!$D$47=""),0,Settings!$C$47*IF(Settings!$D$47="Weekly",IF(IFERROR(MATCH(Settings!$E$47,$EO$4:$EO$10,0),0)=0,0,IF(MIN(Settings!$B$5,IF(Settings!$G$47="",Settings!$B$5,Settings!$G$47))&lt;MAX($A29,Settings!$F$47),0,INT((MIN(Settings!$B$5,IF(Settings!$G$47="",Settings!$B$5,Settings!$G$47))-MAX($A29,Settings!$F$47)-MOD(IFERROR(MATCH(Settings!$E$47,$EO$4:$EO$10,0),0)-WEEKDAY(MAX($A29,Settings!$F$47)),7))/7)+1)),IF(AND(IF(Settings!$E$47="",$B29,DATE(YEAR($A29),MONTH($A29),MIN(Settings!$E$47,DAY($B29))))&gt;=MAX($A29,Settings!$F$47),IF(Settings!$E$47="",$B29,DATE(YEAR($A29),MONTH($A29),MIN(Settings!$E$47,DAY($B29))))&lt;=MIN(Settings!$B$5,IF(Settings!$G$47="",Settings!$B$5,Settings!$G$47))),1,0)))))</f>
        <v/>
      </c>
      <c r="EW29">
        <f>IF($E29&lt;&gt;"open",0,IF(AND('Month-End'!$Z$25&lt;&gt;"",NOT(_xlfn.ISFORMULA('Month-End'!$Z$25))),0,IF(OR(Settings!$C$48="",Settings!$D$48=""),0,Settings!$C$48*IF(Settings!$D$48="Weekly",IF(IFERROR(MATCH(Settings!$E$48,$EO$4:$EO$10,0),0)=0,0,IF(MIN(Settings!$B$5,IF(Settings!$G$48="",Settings!$B$5,Settings!$G$48))&lt;MAX($A29,Settings!$F$48),0,INT((MIN(Settings!$B$5,IF(Settings!$G$48="",Settings!$B$5,Settings!$G$48))-MAX($A29,Settings!$F$48)-MOD(IFERROR(MATCH(Settings!$E$48,$EO$4:$EO$10,0),0)-WEEKDAY(MAX($A29,Settings!$F$48)),7))/7)+1)),IF(AND(IF(Settings!$E$48="",$B29,DATE(YEAR($A29),MONTH($A29),MIN(Settings!$E$48,DAY($B29))))&gt;=MAX($A29,Settings!$F$48),IF(Settings!$E$48="",$B29,DATE(YEAR($A29),MONTH($A29),MIN(Settings!$E$48,DAY($B29))))&lt;=MIN(Settings!$B$5,IF(Settings!$G$48="",Settings!$B$5,Settings!$G$48))),1,0)))))</f>
        <v/>
      </c>
      <c r="EX29">
        <f>IF($E29&lt;&gt;"open",0,IF(AND('Month-End'!$Z$26&lt;&gt;"",NOT(_xlfn.ISFORMULA('Month-End'!$Z$26))),0,IF(OR(Settings!$C$49="",Settings!$D$49=""),0,Settings!$C$49*IF(Settings!$D$49="Weekly",IF(IFERROR(MATCH(Settings!$E$49,$EO$4:$EO$10,0),0)=0,0,IF(MIN(Settings!$B$5,IF(Settings!$G$49="",Settings!$B$5,Settings!$G$49))&lt;MAX($A29,Settings!$F$49),0,INT((MIN(Settings!$B$5,IF(Settings!$G$49="",Settings!$B$5,Settings!$G$49))-MAX($A29,Settings!$F$49)-MOD(IFERROR(MATCH(Settings!$E$49,$EO$4:$EO$10,0),0)-WEEKDAY(MAX($A29,Settings!$F$49)),7))/7)+1)),IF(AND(IF(Settings!$E$49="",$B29,DATE(YEAR($A29),MONTH($A29),MIN(Settings!$E$49,DAY($B29))))&gt;=MAX($A29,Settings!$F$49),IF(Settings!$E$49="",$B29,DATE(YEAR($A29),MONTH($A29),MIN(Settings!$E$49,DAY($B29))))&lt;=MIN(Settings!$B$5,IF(Settings!$G$49="",Settings!$B$5,Settings!$G$49))),1,0)))))</f>
        <v/>
      </c>
      <c r="EY29">
        <f>IF($E29&lt;&gt;"open",0,IF(AND('Month-End'!$Z$27&lt;&gt;"",NOT(_xlfn.ISFORMULA('Month-End'!$Z$27))),0,IF(OR(Settings!$C$50="",Settings!$D$50=""),0,Settings!$C$50*IF(Settings!$D$50="Weekly",IF(IFERROR(MATCH(Settings!$E$50,$EO$4:$EO$10,0),0)=0,0,IF(MIN(Settings!$B$5,IF(Settings!$G$50="",Settings!$B$5,Settings!$G$50))&lt;MAX($A29,Settings!$F$50),0,INT((MIN(Settings!$B$5,IF(Settings!$G$50="",Settings!$B$5,Settings!$G$50))-MAX($A29,Settings!$F$50)-MOD(IFERROR(MATCH(Settings!$E$50,$EO$4:$EO$10,0),0)-WEEKDAY(MAX($A29,Settings!$F$50)),7))/7)+1)),IF(AND(IF(Settings!$E$50="",$B29,DATE(YEAR($A29),MONTH($A29),MIN(Settings!$E$50,DAY($B29))))&gt;=MAX($A29,Settings!$F$50),IF(Settings!$E$50="",$B29,DATE(YEAR($A29),MONTH($A29),MIN(Settings!$E$50,DAY($B29))))&lt;=MIN(Settings!$B$5,IF(Settings!$G$50="",Settings!$B$5,Settings!$G$50))),1,0)))))</f>
        <v/>
      </c>
      <c r="EZ29">
        <f>IF($E29&lt;&gt;"open",0,IF(AND('Month-End'!$Z$28&lt;&gt;"",NOT(_xlfn.ISFORMULA('Month-End'!$Z$28))),0,IF(OR(Settings!$C$51="",Settings!$D$51=""),0,Settings!$C$51*IF(Settings!$D$51="Weekly",IF(IFERROR(MATCH(Settings!$E$51,$EO$4:$EO$10,0),0)=0,0,IF(MIN(Settings!$B$5,IF(Settings!$G$51="",Settings!$B$5,Settings!$G$51))&lt;MAX($A29,Settings!$F$51),0,INT((MIN(Settings!$B$5,IF(Settings!$G$51="",Settings!$B$5,Settings!$G$51))-MAX($A29,Settings!$F$51)-MOD(IFERROR(MATCH(Settings!$E$51,$EO$4:$EO$10,0),0)-WEEKDAY(MAX($A29,Settings!$F$51)),7))/7)+1)),IF(AND(IF(Settings!$E$51="",$B29,DATE(YEAR($A29),MONTH($A29),MIN(Settings!$E$51,DAY($B29))))&gt;=MAX($A29,Settings!$F$51),IF(Settings!$E$51="",$B29,DATE(YEAR($A29),MONTH($A29),MIN(Settings!$E$51,DAY($B29))))&lt;=MIN(Settings!$B$5,IF(Settings!$G$51="",Settings!$B$5,Settings!$G$51))),1,0)))))</f>
        <v/>
      </c>
      <c r="FA29">
        <f>IF($E29&lt;&gt;"open",0,IF(AND('Month-End'!$Z$29&lt;&gt;"",NOT(_xlfn.ISFORMULA('Month-End'!$Z$29))),0,IF(OR(Settings!$C$52="",Settings!$D$52=""),0,Settings!$C$52*IF(Settings!$D$52="Weekly",IF(IFERROR(MATCH(Settings!$E$52,$EO$4:$EO$10,0),0)=0,0,IF(MIN(Settings!$B$5,IF(Settings!$G$52="",Settings!$B$5,Settings!$G$52))&lt;MAX($A29,Settings!$F$52),0,INT((MIN(Settings!$B$5,IF(Settings!$G$52="",Settings!$B$5,Settings!$G$52))-MAX($A29,Settings!$F$52)-MOD(IFERROR(MATCH(Settings!$E$52,$EO$4:$EO$10,0),0)-WEEKDAY(MAX($A29,Settings!$F$52)),7))/7)+1)),IF(AND(IF(Settings!$E$52="",$B29,DATE(YEAR($A29),MONTH($A29),MIN(Settings!$E$52,DAY($B29))))&gt;=MAX($A29,Settings!$F$52),IF(Settings!$E$52="",$B29,DATE(YEAR($A29),MONTH($A29),MIN(Settings!$E$52,DAY($B29))))&lt;=MIN(Settings!$B$5,IF(Settings!$G$52="",Settings!$B$5,Settings!$G$52))),1,0)))))</f>
        <v/>
      </c>
      <c r="FB29">
        <f>IF($E29&lt;&gt;"open",0,IF(AND('Month-End'!$Z$30&lt;&gt;"",NOT(_xlfn.ISFORMULA('Month-End'!$Z$30))),0,IF(OR(Settings!$C$53="",Settings!$D$53=""),0,Settings!$C$53*IF(Settings!$D$53="Weekly",IF(IFERROR(MATCH(Settings!$E$53,$EO$4:$EO$10,0),0)=0,0,IF(MIN(Settings!$B$5,IF(Settings!$G$53="",Settings!$B$5,Settings!$G$53))&lt;MAX($A29,Settings!$F$53),0,INT((MIN(Settings!$B$5,IF(Settings!$G$53="",Settings!$B$5,Settings!$G$53))-MAX($A29,Settings!$F$53)-MOD(IFERROR(MATCH(Settings!$E$53,$EO$4:$EO$10,0),0)-WEEKDAY(MAX($A29,Settings!$F$53)),7))/7)+1)),IF(AND(IF(Settings!$E$53="",$B29,DATE(YEAR($A29),MONTH($A29),MIN(Settings!$E$53,DAY($B29))))&gt;=MAX($A29,Settings!$F$53),IF(Settings!$E$53="",$B29,DATE(YEAR($A29),MONTH($A29),MIN(Settings!$E$53,DAY($B29))))&lt;=MIN(Settings!$B$5,IF(Settings!$G$53="",Settings!$B$5,Settings!$G$53))),1,0)))))</f>
        <v/>
      </c>
      <c r="FC29">
        <f>IF($E29&lt;&gt;"open",0,IF(AND('Month-End'!$Z$31&lt;&gt;"",NOT(_xlfn.ISFORMULA('Month-End'!$Z$31))),0,IF(OR(Settings!$C$54="",Settings!$D$54=""),0,Settings!$C$54*IF(Settings!$D$54="Weekly",IF(IFERROR(MATCH(Settings!$E$54,$EO$4:$EO$10,0),0)=0,0,IF(MIN(Settings!$B$5,IF(Settings!$G$54="",Settings!$B$5,Settings!$G$54))&lt;MAX($A29,Settings!$F$54),0,INT((MIN(Settings!$B$5,IF(Settings!$G$54="",Settings!$B$5,Settings!$G$54))-MAX($A29,Settings!$F$54)-MOD(IFERROR(MATCH(Settings!$E$54,$EO$4:$EO$10,0),0)-WEEKDAY(MAX($A29,Settings!$F$54)),7))/7)+1)),IF(AND(IF(Settings!$E$54="",$B29,DATE(YEAR($A29),MONTH($A29),MIN(Settings!$E$54,DAY($B29))))&gt;=MAX($A29,Settings!$F$54),IF(Settings!$E$54="",$B29,DATE(YEAR($A29),MONTH($A29),MIN(Settings!$E$54,DAY($B29))))&lt;=MIN(Settings!$B$5,IF(Settings!$G$54="",Settings!$B$5,Settings!$G$54))),1,0)))))</f>
        <v/>
      </c>
      <c r="FD29">
        <f>IF($E29&lt;&gt;"open",0,IF(AND('Month-End'!$Z$32&lt;&gt;"",NOT(_xlfn.ISFORMULA('Month-End'!$Z$32))),0,IF(OR(Settings!$C$55="",Settings!$D$55=""),0,Settings!$C$55*IF(Settings!$D$55="Weekly",IF(IFERROR(MATCH(Settings!$E$55,$EO$4:$EO$10,0),0)=0,0,IF(MIN(Settings!$B$5,IF(Settings!$G$55="",Settings!$B$5,Settings!$G$55))&lt;MAX($A29,Settings!$F$55),0,INT((MIN(Settings!$B$5,IF(Settings!$G$55="",Settings!$B$5,Settings!$G$55))-MAX($A29,Settings!$F$55)-MOD(IFERROR(MATCH(Settings!$E$55,$EO$4:$EO$10,0),0)-WEEKDAY(MAX($A29,Settings!$F$55)),7))/7)+1)),IF(AND(IF(Settings!$E$55="",$B29,DATE(YEAR($A29),MONTH($A29),MIN(Settings!$E$55,DAY($B29))))&gt;=MAX($A29,Settings!$F$55),IF(Settings!$E$55="",$B29,DATE(YEAR($A29),MONTH($A29),MIN(Settings!$E$55,DAY($B29))))&lt;=MIN(Settings!$B$5,IF(Settings!$G$55="",Settings!$B$5,Settings!$G$55))),1,0)))))</f>
        <v/>
      </c>
      <c r="FE29">
        <f>IF($E29&lt;&gt;"open",0,IF(AND('Month-End'!$Z$33&lt;&gt;"",NOT(_xlfn.ISFORMULA('Month-End'!$Z$33))),0,IF(OR(Settings!$C$56="",Settings!$D$56=""),0,Settings!$C$56*IF(Settings!$D$56="Weekly",IF(IFERROR(MATCH(Settings!$E$56,$EO$4:$EO$10,0),0)=0,0,IF(MIN(Settings!$B$5,IF(Settings!$G$56="",Settings!$B$5,Settings!$G$56))&lt;MAX($A29,Settings!$F$56),0,INT((MIN(Settings!$B$5,IF(Settings!$G$56="",Settings!$B$5,Settings!$G$56))-MAX($A29,Settings!$F$56)-MOD(IFERROR(MATCH(Settings!$E$56,$EO$4:$EO$10,0),0)-WEEKDAY(MAX($A29,Settings!$F$56)),7))/7)+1)),IF(AND(IF(Settings!$E$56="",$B29,DATE(YEAR($A29),MONTH($A29),MIN(Settings!$E$56,DAY($B29))))&gt;=MAX($A29,Settings!$F$56),IF(Settings!$E$56="",$B29,DATE(YEAR($A29),MONTH($A29),MIN(Settings!$E$56,DAY($B29))))&lt;=MIN(Settings!$B$5,IF(Settings!$G$56="",Settings!$B$5,Settings!$G$56))),1,0)))))</f>
        <v/>
      </c>
      <c r="FF29">
        <f>IF(Settings!$I$45="Yes",$G29,0)+IF(Settings!$I$46="Yes",$H29,0)+IF(Settings!$I$47="Yes",$I29,0)+IF(Settings!$I$48="Yes",$J29,0)+IF(Settings!$I$49="Yes",$K29,0)+IF(Settings!$I$50="Yes",$L29,0)+IF(Settings!$I$51="Yes",$M29,0)+IF(Settings!$I$52="Yes",$N29,0)+IF(Settings!$I$53="Yes",$O29,0)+IF(Settings!$I$54="Yes",$P29,0)+IF(Settings!$I$55="Yes",$Q29,0)+IF(Settings!$I$56="Yes",$R29,0)</f>
        <v/>
      </c>
      <c r="FG29">
        <f>IF(AND(Settings!$I$45="Yes",Settings!$J$45="No"),$G29,0)+IF(AND(Settings!$I$46="Yes",Settings!$J$46="No"),$H29,0)+IF(AND(Settings!$I$47="Yes",Settings!$J$47="No"),$I29,0)+IF(AND(Settings!$I$48="Yes",Settings!$J$48="No"),$J29,0)+IF(AND(Settings!$I$49="Yes",Settings!$J$49="No"),$K29,0)+IF(AND(Settings!$I$50="Yes",Settings!$J$50="No"),$L29,0)+IF(AND(Settings!$I$51="Yes",Settings!$J$51="No"),$M29,0)+IF(AND(Settings!$I$52="Yes",Settings!$J$52="No"),$N29,0)+IF(AND(Settings!$I$53="Yes",Settings!$J$53="No"),$O29,0)+IF(AND(Settings!$I$54="Yes",Settings!$J$54="No"),$P29,0)+IF(AND(Settings!$I$55="Yes",Settings!$J$55="No"),$Q29,0)+IF(AND(Settings!$I$56="Yes",Settings!$J$56="No"),$R29,0)</f>
        <v/>
      </c>
      <c r="FH29">
        <f>SUMIFS(Giving!$B$7:$B$2006,Giving!$A$7:$A$2006,"&gt;="&amp;$A29,Giving!$A$7:$A$2006,"&lt;="&amp;$B29,Giving!$G$7:$G$2006,"Yes")+IF(OR(OR(Settings!$B$60="",Settings!$F$60="No"),Settings!$H$60&lt;&gt;"Yes"),0,Settings!$B$60*IF(AND(IF(Settings!$C$60="",$B29,DATE(YEAR($A29),MONTH($A29),MIN(Settings!$C$60,DAY($B29))))&gt;=MAX($A29,Settings!$D$60),IF(Settings!$C$60="",$B29,DATE(YEAR($A29),MONTH($A29),MIN(Settings!$C$60,DAY($B29))))&lt;=MIN($C29,IF(Settings!$E$60="",$C29,Settings!$E$60))),1,0))+IF(OR(OR(Settings!$B$61="",Settings!$F$61="No"),Settings!$H$61&lt;&gt;"Yes"),0,Settings!$B$61*IF(AND(IF(Settings!$C$61="",$B29,DATE(YEAR($A29),MONTH($A29),MIN(Settings!$C$61,DAY($B29))))&gt;=MAX($A29,Settings!$D$61),IF(Settings!$C$61="",$B29,DATE(YEAR($A29),MONTH($A29),MIN(Settings!$C$61,DAY($B29))))&lt;=MIN($C29,IF(Settings!$E$61="",$C29,Settings!$E$61))),1,0))+IF(OR(OR(Settings!$B$62="",Settings!$F$62="No"),Settings!$H$62&lt;&gt;"Yes"),0,Settings!$B$62*IF(AND(IF(Settings!$C$62="",$B29,DATE(YEAR($A29),MONTH($A29),MIN(Settings!$C$62,DAY($B29))))&gt;=MAX($A29,Settings!$D$62),IF(Settings!$C$62="",$B29,DATE(YEAR($A29),MONTH($A29),MIN(Settings!$C$62,DAY($B29))))&lt;=MIN($C29,IF(Settings!$E$62="",$C29,Settings!$E$62))),1,0))+IF(OR(OR(Settings!$B$63="",Settings!$F$63="No"),Settings!$H$63&lt;&gt;"Yes"),0,Settings!$B$63*IF(AND(IF(Settings!$C$63="",$B29,DATE(YEAR($A29),MONTH($A29),MIN(Settings!$C$63,DAY($B29))))&gt;=MAX($A29,Settings!$D$63),IF(Settings!$C$63="",$B29,DATE(YEAR($A29),MONTH($A29),MIN(Settings!$C$63,DAY($B29))))&lt;=MIN($C29,IF(Settings!$E$63="",$C29,Settings!$E$63))),1,0))+IF(OR(OR(Settings!$B$64="",Settings!$F$64="No"),Settings!$H$64&lt;&gt;"Yes"),0,Settings!$B$64*IF(AND(IF(Settings!$C$64="",$B29,DATE(YEAR($A29),MONTH($A29),MIN(Settings!$C$64,DAY($B29))))&gt;=MAX($A29,Settings!$D$64),IF(Settings!$C$64="",$B29,DATE(YEAR($A29),MONTH($A29),MIN(Settings!$C$64,DAY($B29))))&lt;=MIN($C29,IF(Settings!$E$64="",$C29,Settings!$E$64))),1,0))+IF(OR(OR(Settings!$B$65="",Settings!$F$65="No"),Settings!$H$65&lt;&gt;"Yes"),0,Settings!$B$65*IF(AND(IF(Settings!$C$65="",$B29,DATE(YEAR($A29),MONTH($A29),MIN(Settings!$C$65,DAY($B29))))&gt;=MAX($A29,Settings!$D$65),IF(Settings!$C$65="",$B29,DATE(YEAR($A29),MONTH($A29),MIN(Settings!$C$65,DAY($B29))))&lt;=MIN($C29,IF(Settings!$E$65="",$C29,Settings!$E$65))),1,0))</f>
        <v/>
      </c>
      <c r="FI29">
        <f>IF($DT29=1,IF(OR(Settings!$B$19="Card",Settings!$B$19="Loan"),N($AE29),0)+IF(OR(Settings!$B$20="Card",Settings!$B$20="Loan"),N($AF29),0)+IF(OR(Settings!$B$21="Card",Settings!$B$21="Loan"),N($AG29),0)+IF(OR(Settings!$B$22="Card",Settings!$B$22="Loan"),N($AH29),0)+IF(OR(Settings!$B$23="Card",Settings!$B$23="Loan"),N($AI29),0)+IF(OR(Settings!$B$24="Card",Settings!$B$24="Loan"),N($AJ29),0)+IF(OR(Settings!$B$25="Card",Settings!$B$25="Loan"),N($AK29),0)+IF(OR(Settings!$B$26="Card",Settings!$B$26="Loan"),N($AL29),0)+IF(OR(Settings!$B$27="Card",Settings!$B$27="Loan"),N($AM29),0)+IF(OR(Settings!$B$28="Card",Settings!$B$28="Loan"),N($AN29),0)+IF(OR(Settings!$B$29="Card",Settings!$B$29="Loan"),N($AO29),0)+IF(OR(Settings!$B$30="Card",Settings!$B$30="Loan"),N($AP29),0)+IF(OR(Settings!$B$31="Card",Settings!$B$31="Loan"),N($AQ29),0)+IF(OR(Settings!$B$32="Card",Settings!$B$32="Loan"),N($AR29),0),"")</f>
        <v/>
      </c>
      <c r="FJ29">
        <f>IF($E29="open",$EB$65,IF($E29="post",IF($E28="pre",$EB$65,$FI28),""))</f>
        <v/>
      </c>
      <c r="FK29">
        <f>IF(AND($DT29=1,$DC29=1),IF(ROUND($FI29-$FJ29,2)&gt;0,1,0),0)</f>
        <v/>
      </c>
      <c r="FL29">
        <f>IF($FK29=1,$FL28+1,0)</f>
        <v/>
      </c>
    </row>
    <row r="30">
      <c r="A30">
        <f>'Month-End'!$AA$4</f>
        <v/>
      </c>
      <c r="B30">
        <f>EOMONTH($A30,0)</f>
        <v/>
      </c>
      <c r="C30">
        <f>MIN($B30,TODAY())</f>
        <v/>
      </c>
      <c r="D30">
        <f>IF($A30&gt;TODAY(),1,0)</f>
        <v/>
      </c>
      <c r="E30">
        <f>IF($B30&lt;=Settings!$B$5,"pre",IF($A30&lt;=Settings!$B$5,"open","post"))</f>
        <v/>
      </c>
      <c r="G30">
        <f>IF('Month-End'!$AA$22="",$BE30,N('Month-End'!$AA$22))</f>
        <v/>
      </c>
      <c r="H30">
        <f>IF('Month-End'!$AA$23="",$BF30,N('Month-End'!$AA$23))</f>
        <v/>
      </c>
      <c r="I30">
        <f>IF('Month-End'!$AA$24="",$BG30,N('Month-End'!$AA$24))</f>
        <v/>
      </c>
      <c r="J30">
        <f>IF('Month-End'!$AA$25="",$BH30,N('Month-End'!$AA$25))</f>
        <v/>
      </c>
      <c r="K30">
        <f>IF('Month-End'!$AA$26="",$BI30,N('Month-End'!$AA$26))</f>
        <v/>
      </c>
      <c r="L30">
        <f>IF('Month-End'!$AA$27="",$BJ30,N('Month-End'!$AA$27))</f>
        <v/>
      </c>
      <c r="M30">
        <f>IF('Month-End'!$AA$28="",$BK30,N('Month-End'!$AA$28))</f>
        <v/>
      </c>
      <c r="N30">
        <f>IF('Month-End'!$AA$29="",$BL30,N('Month-End'!$AA$29))</f>
        <v/>
      </c>
      <c r="O30">
        <f>IF('Month-End'!$AA$30="",$BM30,N('Month-End'!$AA$30))</f>
        <v/>
      </c>
      <c r="P30">
        <f>IF('Month-End'!$AA$31="",$BN30,N('Month-End'!$AA$31))</f>
        <v/>
      </c>
      <c r="Q30">
        <f>IF('Month-End'!$AA$32="",$BO30,N('Month-End'!$AA$32))</f>
        <v/>
      </c>
      <c r="R30">
        <f>IF('Month-End'!$AA$33="",$BP30,N('Month-End'!$AA$33))</f>
        <v/>
      </c>
      <c r="S30">
        <f>$G30+$H30+$I30+$J30+$K30+$L30+$M30+$N30+$O30+$P30+$Q30+$R30</f>
        <v/>
      </c>
      <c r="T30">
        <f>IF($B30&lt;Settings!$B$6,0,IF(Settings!$B$45="Yes",$G30,0)+IF(Settings!$B$46="Yes",$H30,0)+IF(Settings!$B$47="Yes",$I30,0)+IF(Settings!$B$48="Yes",$J30,0)+IF(Settings!$B$49="Yes",$K30,0)+IF(Settings!$B$50="Yes",$L30,0)+IF(Settings!$B$51="Yes",$M30,0)+IF(Settings!$B$52="Yes",$N30,0)+IF(Settings!$B$53="Yes",$O30,0)+IF(Settings!$B$54="Yes",$P30,0)+IF(Settings!$B$55="Yes",$Q30,0)+IF(Settings!$B$56="Yes",$R30,0))</f>
        <v/>
      </c>
      <c r="U30">
        <f>IF(Settings!$B$45="Not Sure",$G30,0)+IF(Settings!$B$46="Not Sure",$H30,0)+IF(Settings!$B$47="Not Sure",$I30,0)+IF(Settings!$B$48="Not Sure",$J30,0)+IF(Settings!$B$49="Not Sure",$K30,0)+IF(Settings!$B$50="Not Sure",$L30,0)+IF(Settings!$B$51="Not Sure",$M30,0)+IF(Settings!$B$52="Not Sure",$N30,0)+IF(Settings!$B$53="Not Sure",$O30,0)+IF(Settings!$B$54="Not Sure",$P30,0)+IF(Settings!$B$55="Not Sure",$Q30,0)+IF(Settings!$B$56="Not Sure",$R30,0)</f>
        <v/>
      </c>
      <c r="V30">
        <f>IF($E30="open",SUM($ET30:$FE30)+N(Settings!$B$13),0)</f>
        <v/>
      </c>
      <c r="W30">
        <f>IF($E30="post",$S30,IF($E30="open",$S30-$V30,0))</f>
        <v/>
      </c>
      <c r="X30">
        <f>SUMIFS(Giving!$B$7:$B$2006,Giving!$A$7:$A$2006,"&gt;="&amp;$A30,Giving!$A$7:$A$2006,"&lt;="&amp;$B30,Giving!$E$7:$E$2006,"&lt;&gt;No")</f>
        <v/>
      </c>
      <c r="Y30">
        <f>SUMIFS(Giving!$B$7:$B$2006,Giving!$A$7:$A$2006,"&gt;="&amp;$A30,Giving!$A$7:$A$2006,"&lt;="&amp;$B30,Giving!$E$7:$E$2006,"No")</f>
        <v/>
      </c>
      <c r="Z30">
        <f>IF(OR(Settings!$B$60="",Settings!$F$60="No"),0,Settings!$B$60*IF(AND(IF(Settings!$C$60="",$B30,DATE(YEAR($A30),MONTH($A30),MIN(Settings!$C$60,DAY($B30))))&gt;=MAX($A30,Settings!$D$60),IF(Settings!$C$60="",$B30,DATE(YEAR($A30),MONTH($A30),MIN(Settings!$C$60,DAY($B30))))&lt;=MIN($C30,IF(Settings!$E$60="",$C30,Settings!$E$60))),1,0))+IF(OR(Settings!$B$61="",Settings!$F$61="No"),0,Settings!$B$61*IF(AND(IF(Settings!$C$61="",$B30,DATE(YEAR($A30),MONTH($A30),MIN(Settings!$C$61,DAY($B30))))&gt;=MAX($A30,Settings!$D$61),IF(Settings!$C$61="",$B30,DATE(YEAR($A30),MONTH($A30),MIN(Settings!$C$61,DAY($B30))))&lt;=MIN($C30,IF(Settings!$E$61="",$C30,Settings!$E$61))),1,0))+IF(OR(Settings!$B$62="",Settings!$F$62="No"),0,Settings!$B$62*IF(AND(IF(Settings!$C$62="",$B30,DATE(YEAR($A30),MONTH($A30),MIN(Settings!$C$62,DAY($B30))))&gt;=MAX($A30,Settings!$D$62),IF(Settings!$C$62="",$B30,DATE(YEAR($A30),MONTH($A30),MIN(Settings!$C$62,DAY($B30))))&lt;=MIN($C30,IF(Settings!$E$62="",$C30,Settings!$E$62))),1,0))+IF(OR(Settings!$B$63="",Settings!$F$63="No"),0,Settings!$B$63*IF(AND(IF(Settings!$C$63="",$B30,DATE(YEAR($A30),MONTH($A30),MIN(Settings!$C$63,DAY($B30))))&gt;=MAX($A30,Settings!$D$63),IF(Settings!$C$63="",$B30,DATE(YEAR($A30),MONTH($A30),MIN(Settings!$C$63,DAY($B30))))&lt;=MIN($C30,IF(Settings!$E$63="",$C30,Settings!$E$63))),1,0))+IF(OR(Settings!$B$64="",Settings!$F$64="No"),0,Settings!$B$64*IF(AND(IF(Settings!$C$64="",$B30,DATE(YEAR($A30),MONTH($A30),MIN(Settings!$C$64,DAY($B30))))&gt;=MAX($A30,Settings!$D$64),IF(Settings!$C$64="",$B30,DATE(YEAR($A30),MONTH($A30),MIN(Settings!$C$64,DAY($B30))))&lt;=MIN($C30,IF(Settings!$E$64="",$C30,Settings!$E$64))),1,0))+IF(OR(Settings!$B$65="",Settings!$F$65="No"),0,Settings!$B$65*IF(AND(IF(Settings!$C$65="",$B30,DATE(YEAR($A30),MONTH($A30),MIN(Settings!$C$65,DAY($B30))))&gt;=MAX($A30,Settings!$D$65),IF(Settings!$C$65="",$B30,DATE(YEAR($A30),MONTH($A30),MIN(Settings!$C$65,DAY($B30))))&lt;=MIN($C30,IF(Settings!$E$65="",$C30,Settings!$E$65))),1,0))</f>
        <v/>
      </c>
      <c r="AA30">
        <f>$X30+$Z30</f>
        <v/>
      </c>
      <c r="AB30">
        <f>IF($E30="post",$AA30,IF($E30="open",SUMIFS(Giving!$B$7:$B$2006,Giving!$A$7:$A$2006,"&gt;"&amp;Settings!$B$5,Giving!$A$7:$A$2006,"&lt;="&amp;$B30,Giving!$E$7:$E$2006,"&lt;&gt;No")+IF(OR(Settings!$B$60="",Settings!$F$60="No"),0,Settings!$B$60*IF(AND(IF(Settings!$C$60="",$B30,DATE(YEAR($A30),MONTH($A30),MIN(Settings!$C$60,DAY($B30))))&gt;=MAX($A30,Settings!$D$60,Settings!$B$5+1),IF(Settings!$C$60="",$B30,DATE(YEAR($A30),MONTH($A30),MIN(Settings!$C$60,DAY($B30))))&lt;=MIN($C30,IF(Settings!$E$60="",$C30,Settings!$E$60))),1,0))+IF(OR(Settings!$B$61="",Settings!$F$61="No"),0,Settings!$B$61*IF(AND(IF(Settings!$C$61="",$B30,DATE(YEAR($A30),MONTH($A30),MIN(Settings!$C$61,DAY($B30))))&gt;=MAX($A30,Settings!$D$61,Settings!$B$5+1),IF(Settings!$C$61="",$B30,DATE(YEAR($A30),MONTH($A30),MIN(Settings!$C$61,DAY($B30))))&lt;=MIN($C30,IF(Settings!$E$61="",$C30,Settings!$E$61))),1,0))+IF(OR(Settings!$B$62="",Settings!$F$62="No"),0,Settings!$B$62*IF(AND(IF(Settings!$C$62="",$B30,DATE(YEAR($A30),MONTH($A30),MIN(Settings!$C$62,DAY($B30))))&gt;=MAX($A30,Settings!$D$62,Settings!$B$5+1),IF(Settings!$C$62="",$B30,DATE(YEAR($A30),MONTH($A30),MIN(Settings!$C$62,DAY($B30))))&lt;=MIN($C30,IF(Settings!$E$62="",$C30,Settings!$E$62))),1,0))+IF(OR(Settings!$B$63="",Settings!$F$63="No"),0,Settings!$B$63*IF(AND(IF(Settings!$C$63="",$B30,DATE(YEAR($A30),MONTH($A30),MIN(Settings!$C$63,DAY($B30))))&gt;=MAX($A30,Settings!$D$63,Settings!$B$5+1),IF(Settings!$C$63="",$B30,DATE(YEAR($A30),MONTH($A30),MIN(Settings!$C$63,DAY($B30))))&lt;=MIN($C30,IF(Settings!$E$63="",$C30,Settings!$E$63))),1,0))+IF(OR(Settings!$B$64="",Settings!$F$64="No"),0,Settings!$B$64*IF(AND(IF(Settings!$C$64="",$B30,DATE(YEAR($A30),MONTH($A30),MIN(Settings!$C$64,DAY($B30))))&gt;=MAX($A30,Settings!$D$64,Settings!$B$5+1),IF(Settings!$C$64="",$B30,DATE(YEAR($A30),MONTH($A30),MIN(Settings!$C$64,DAY($B30))))&lt;=MIN($C30,IF(Settings!$E$64="",$C30,Settings!$E$64))),1,0))+IF(OR(Settings!$B$65="",Settings!$F$65="No"),0,Settings!$B$65*IF(AND(IF(Settings!$C$65="",$B30,DATE(YEAR($A30),MONTH($A30),MIN(Settings!$C$65,DAY($B30))))&gt;=MAX($A30,Settings!$D$65,Settings!$B$5+1),IF(Settings!$C$65="",$B30,DATE(YEAR($A30),MONTH($A30),MIN(Settings!$C$65,DAY($B30))))&lt;=MIN($C30,IF(Settings!$E$65="",$C30,Settings!$E$65))),1,0)),0))</f>
        <v/>
      </c>
      <c r="AC30">
        <f>$AY30+$AZ30+$BA30+$BB30+$BC30+$BD30</f>
        <v/>
      </c>
      <c r="AD30">
        <f>$AC30</f>
        <v/>
      </c>
      <c r="AE30">
        <f>IF(OR(Settings!$A$19="",$E30="pre"),"",IF(AND('Month-End'!$AA$7&lt;&gt;"",NOT(_xlfn.ISFORMULA('Month-End'!$AA$7))),N('Month-End'!$AA$7),IF(OR($E30="open",$E29="pre"),N(Settings!$C$19),N($AE29))))</f>
        <v/>
      </c>
      <c r="AF30">
        <f>IF(OR(Settings!$A$20="",$E30="pre"),"",IF(AND('Month-End'!$AA$8&lt;&gt;"",NOT(_xlfn.ISFORMULA('Month-End'!$AA$8))),N('Month-End'!$AA$8),IF(OR($E30="open",$E29="pre"),N(Settings!$C$20),N($AF29))))</f>
        <v/>
      </c>
      <c r="AG30">
        <f>IF(OR(Settings!$A$21="",$E30="pre"),"",IF(AND('Month-End'!$AA$9&lt;&gt;"",NOT(_xlfn.ISFORMULA('Month-End'!$AA$9))),N('Month-End'!$AA$9),IF(OR($E30="open",$E29="pre"),N(Settings!$C$21),N($AG29))))</f>
        <v/>
      </c>
      <c r="AH30">
        <f>IF(OR(Settings!$A$22="",$E30="pre"),"",IF(AND('Month-End'!$AA$10&lt;&gt;"",NOT(_xlfn.ISFORMULA('Month-End'!$AA$10))),N('Month-End'!$AA$10),IF(OR($E30="open",$E29="pre"),N(Settings!$C$22),N($AH29))))</f>
        <v/>
      </c>
      <c r="AI30">
        <f>IF(OR(Settings!$A$23="",$E30="pre"),"",IF(AND('Month-End'!$AA$11&lt;&gt;"",NOT(_xlfn.ISFORMULA('Month-End'!$AA$11))),N('Month-End'!$AA$11),IF(OR($E30="open",$E29="pre"),N(Settings!$C$23),N($AI29))))</f>
        <v/>
      </c>
      <c r="AJ30">
        <f>IF(OR(Settings!$A$24="",$E30="pre"),"",IF(AND('Month-End'!$AA$12&lt;&gt;"",NOT(_xlfn.ISFORMULA('Month-End'!$AA$12))),N('Month-End'!$AA$12),IF(OR($E30="open",$E29="pre"),N(Settings!$C$24),N($AJ29))))</f>
        <v/>
      </c>
      <c r="AK30">
        <f>IF(OR(Settings!$A$25="",$E30="pre"),"",IF(AND('Month-End'!$AA$13&lt;&gt;"",NOT(_xlfn.ISFORMULA('Month-End'!$AA$13))),N('Month-End'!$AA$13),IF(OR($E30="open",$E29="pre"),N(Settings!$C$25),N($AK29))))</f>
        <v/>
      </c>
      <c r="AL30">
        <f>IF(OR(Settings!$A$26="",$E30="pre"),"",IF(AND('Month-End'!$AA$14&lt;&gt;"",NOT(_xlfn.ISFORMULA('Month-End'!$AA$14))),N('Month-End'!$AA$14),IF(OR($E30="open",$E29="pre"),N(Settings!$C$26),N($AL29))))</f>
        <v/>
      </c>
      <c r="AM30">
        <f>IF(OR(Settings!$A$27="",$E30="pre"),"",IF(AND('Month-End'!$AA$15&lt;&gt;"",NOT(_xlfn.ISFORMULA('Month-End'!$AA$15))),N('Month-End'!$AA$15),IF(OR($E30="open",$E29="pre"),N(Settings!$C$27),N($AM29))))</f>
        <v/>
      </c>
      <c r="AN30">
        <f>IF(OR(Settings!$A$28="",$E30="pre"),"",IF(AND('Month-End'!$AA$16&lt;&gt;"",NOT(_xlfn.ISFORMULA('Month-End'!$AA$16))),N('Month-End'!$AA$16),IF(OR($E30="open",$E29="pre"),N(Settings!$C$28),N($AN29))))</f>
        <v/>
      </c>
      <c r="AO30">
        <f>IF(OR(Settings!$A$29="",$E30="pre"),"",IF(AND('Month-End'!$AA$17&lt;&gt;"",NOT(_xlfn.ISFORMULA('Month-End'!$AA$17))),N('Month-End'!$AA$17),IF(OR($E30="open",$E29="pre"),N(Settings!$C$29),N($AO29))))</f>
        <v/>
      </c>
      <c r="AP30">
        <f>IF(OR(Settings!$A$30="",$E30="pre"),"",IF(AND('Month-End'!$AA$18&lt;&gt;"",NOT(_xlfn.ISFORMULA('Month-End'!$AA$18))),N('Month-End'!$AA$18),IF(OR($E30="open",$E29="pre"),N(Settings!$C$30),N($AP29))))</f>
        <v/>
      </c>
      <c r="AQ30">
        <f>IF(OR(Settings!$A$31="",$E30="pre"),"",IF(AND('Month-End'!$AA$19&lt;&gt;"",NOT(_xlfn.ISFORMULA('Month-End'!$AA$19))),N('Month-End'!$AA$19),IF(OR($E30="open",$E29="pre"),N(Settings!$C$31),N($AQ29))))</f>
        <v/>
      </c>
      <c r="AR30">
        <f>IF(OR(Settings!$A$32="",$E30="pre"),"",IF(AND('Month-End'!$AA$20&lt;&gt;"",NOT(_xlfn.ISFORMULA('Month-End'!$AA$20))),N('Month-End'!$AA$20),IF(OR($E30="open",$E29="pre"),N(Settings!$C$32),N($AR29))))</f>
        <v/>
      </c>
      <c r="AS30">
        <f>IF(OR(Settings!$A$36="",$E30="pre"),"",IF(AND('Month-End'!$AA$38&lt;&gt;"",NOT(_xlfn.ISFORMULA('Month-End'!$AA$38))),N('Month-End'!$AA$38),IF(OR($E30="open",$E29="pre"),N(Settings!$C$36),N($AS29))+$AY30))</f>
        <v/>
      </c>
      <c r="AT30">
        <f>IF(OR(Settings!$A$37="",$E30="pre"),"",IF(AND('Month-End'!$AA$39&lt;&gt;"",NOT(_xlfn.ISFORMULA('Month-End'!$AA$39))),N('Month-End'!$AA$39),IF(OR($E30="open",$E29="pre"),N(Settings!$C$37),N($AT29))+$AZ30))</f>
        <v/>
      </c>
      <c r="AU30">
        <f>IF(OR(Settings!$A$38="",$E30="pre"),"",IF(AND('Month-End'!$AA$40&lt;&gt;"",NOT(_xlfn.ISFORMULA('Month-End'!$AA$40))),N('Month-End'!$AA$40),IF(OR($E30="open",$E29="pre"),N(Settings!$C$38),N($AU29))+$BA30))</f>
        <v/>
      </c>
      <c r="AV30">
        <f>IF(OR(Settings!$A$39="",$E30="pre"),"",IF(AND('Month-End'!$AA$41&lt;&gt;"",NOT(_xlfn.ISFORMULA('Month-End'!$AA$41))),N('Month-End'!$AA$41),IF(OR($E30="open",$E29="pre"),N(Settings!$C$39),N($AV29))+$BB30))</f>
        <v/>
      </c>
      <c r="AW30">
        <f>IF(OR(Settings!$A$40="",$E30="pre"),"",IF(AND('Month-End'!$AA$42&lt;&gt;"",NOT(_xlfn.ISFORMULA('Month-End'!$AA$42))),N('Month-End'!$AA$42),IF(OR($E30="open",$E29="pre"),N(Settings!$C$40),N($AW29))+$BC30))</f>
        <v/>
      </c>
      <c r="AX30">
        <f>IF(OR(Settings!$A$41="",$E30="pre"),"",IF(AND('Month-End'!$AA$43&lt;&gt;"",NOT(_xlfn.ISFORMULA('Month-End'!$AA$43))),N('Month-End'!$AA$43),IF(OR($E30="open",$E29="pre"),N(Settings!$C$41),N($AX29))+$BD30))</f>
        <v/>
      </c>
      <c r="AY30">
        <f>IF($E30="pre",0,N('Month-End'!$AA$45))</f>
        <v/>
      </c>
      <c r="AZ30">
        <f>IF($E30="pre",0,N('Month-End'!$AA$46))</f>
        <v/>
      </c>
      <c r="BA30">
        <f>IF($E30="pre",0,N('Month-End'!$AA$47))</f>
        <v/>
      </c>
      <c r="BB30">
        <f>IF($E30="pre",0,N('Month-End'!$AA$48))</f>
        <v/>
      </c>
      <c r="BC30">
        <f>IF($E30="pre",0,N('Month-End'!$AA$49))</f>
        <v/>
      </c>
      <c r="BD30">
        <f>IF($E30="pre",0,N('Month-End'!$AA$50))</f>
        <v/>
      </c>
      <c r="BE30">
        <f>IF(OR(Settings!$C$45="",Settings!$D$45=""),0,Settings!$C$45*IF(Settings!$D$45="Weekly",IF(IFERROR(MATCH(Settings!$E$45,$EO$4:$EO$10,0),0)=0,0,IF(MIN($C30,IF(Settings!$G$45="",$C30,Settings!$G$45))&lt;MAX($A30,Settings!$F$45),0,INT((MIN($C30,IF(Settings!$G$45="",$C30,Settings!$G$45))-MAX($A30,Settings!$F$45)-MOD(IFERROR(MATCH(Settings!$E$45,$EO$4:$EO$10,0),0)-WEEKDAY(MAX($A30,Settings!$F$45)),7))/7)+1)),IF(AND(IF(Settings!$E$45="",$B30,DATE(YEAR($A30),MONTH($A30),MIN(Settings!$E$45,DAY($B30))))&gt;=MAX($A30,Settings!$F$45),IF(Settings!$E$45="",$B30,DATE(YEAR($A30),MONTH($A30),MIN(Settings!$E$45,DAY($B30))))&lt;=MIN($C30,IF(Settings!$G$45="",$C30,Settings!$G$45))),1,0)))</f>
        <v/>
      </c>
      <c r="BF30">
        <f>IF(OR(Settings!$C$46="",Settings!$D$46=""),0,Settings!$C$46*IF(Settings!$D$46="Weekly",IF(IFERROR(MATCH(Settings!$E$46,$EO$4:$EO$10,0),0)=0,0,IF(MIN($C30,IF(Settings!$G$46="",$C30,Settings!$G$46))&lt;MAX($A30,Settings!$F$46),0,INT((MIN($C30,IF(Settings!$G$46="",$C30,Settings!$G$46))-MAX($A30,Settings!$F$46)-MOD(IFERROR(MATCH(Settings!$E$46,$EO$4:$EO$10,0),0)-WEEKDAY(MAX($A30,Settings!$F$46)),7))/7)+1)),IF(AND(IF(Settings!$E$46="",$B30,DATE(YEAR($A30),MONTH($A30),MIN(Settings!$E$46,DAY($B30))))&gt;=MAX($A30,Settings!$F$46),IF(Settings!$E$46="",$B30,DATE(YEAR($A30),MONTH($A30),MIN(Settings!$E$46,DAY($B30))))&lt;=MIN($C30,IF(Settings!$G$46="",$C30,Settings!$G$46))),1,0)))</f>
        <v/>
      </c>
      <c r="BG30">
        <f>IF(OR(Settings!$C$47="",Settings!$D$47=""),0,Settings!$C$47*IF(Settings!$D$47="Weekly",IF(IFERROR(MATCH(Settings!$E$47,$EO$4:$EO$10,0),0)=0,0,IF(MIN($C30,IF(Settings!$G$47="",$C30,Settings!$G$47))&lt;MAX($A30,Settings!$F$47),0,INT((MIN($C30,IF(Settings!$G$47="",$C30,Settings!$G$47))-MAX($A30,Settings!$F$47)-MOD(IFERROR(MATCH(Settings!$E$47,$EO$4:$EO$10,0),0)-WEEKDAY(MAX($A30,Settings!$F$47)),7))/7)+1)),IF(AND(IF(Settings!$E$47="",$B30,DATE(YEAR($A30),MONTH($A30),MIN(Settings!$E$47,DAY($B30))))&gt;=MAX($A30,Settings!$F$47),IF(Settings!$E$47="",$B30,DATE(YEAR($A30),MONTH($A30),MIN(Settings!$E$47,DAY($B30))))&lt;=MIN($C30,IF(Settings!$G$47="",$C30,Settings!$G$47))),1,0)))</f>
        <v/>
      </c>
      <c r="BH30">
        <f>IF(OR(Settings!$C$48="",Settings!$D$48=""),0,Settings!$C$48*IF(Settings!$D$48="Weekly",IF(IFERROR(MATCH(Settings!$E$48,$EO$4:$EO$10,0),0)=0,0,IF(MIN($C30,IF(Settings!$G$48="",$C30,Settings!$G$48))&lt;MAX($A30,Settings!$F$48),0,INT((MIN($C30,IF(Settings!$G$48="",$C30,Settings!$G$48))-MAX($A30,Settings!$F$48)-MOD(IFERROR(MATCH(Settings!$E$48,$EO$4:$EO$10,0),0)-WEEKDAY(MAX($A30,Settings!$F$48)),7))/7)+1)),IF(AND(IF(Settings!$E$48="",$B30,DATE(YEAR($A30),MONTH($A30),MIN(Settings!$E$48,DAY($B30))))&gt;=MAX($A30,Settings!$F$48),IF(Settings!$E$48="",$B30,DATE(YEAR($A30),MONTH($A30),MIN(Settings!$E$48,DAY($B30))))&lt;=MIN($C30,IF(Settings!$G$48="",$C30,Settings!$G$48))),1,0)))</f>
        <v/>
      </c>
      <c r="BI30">
        <f>IF(OR(Settings!$C$49="",Settings!$D$49=""),0,Settings!$C$49*IF(Settings!$D$49="Weekly",IF(IFERROR(MATCH(Settings!$E$49,$EO$4:$EO$10,0),0)=0,0,IF(MIN($C30,IF(Settings!$G$49="",$C30,Settings!$G$49))&lt;MAX($A30,Settings!$F$49),0,INT((MIN($C30,IF(Settings!$G$49="",$C30,Settings!$G$49))-MAX($A30,Settings!$F$49)-MOD(IFERROR(MATCH(Settings!$E$49,$EO$4:$EO$10,0),0)-WEEKDAY(MAX($A30,Settings!$F$49)),7))/7)+1)),IF(AND(IF(Settings!$E$49="",$B30,DATE(YEAR($A30),MONTH($A30),MIN(Settings!$E$49,DAY($B30))))&gt;=MAX($A30,Settings!$F$49),IF(Settings!$E$49="",$B30,DATE(YEAR($A30),MONTH($A30),MIN(Settings!$E$49,DAY($B30))))&lt;=MIN($C30,IF(Settings!$G$49="",$C30,Settings!$G$49))),1,0)))</f>
        <v/>
      </c>
      <c r="BJ30">
        <f>IF(OR(Settings!$C$50="",Settings!$D$50=""),0,Settings!$C$50*IF(Settings!$D$50="Weekly",IF(IFERROR(MATCH(Settings!$E$50,$EO$4:$EO$10,0),0)=0,0,IF(MIN($C30,IF(Settings!$G$50="",$C30,Settings!$G$50))&lt;MAX($A30,Settings!$F$50),0,INT((MIN($C30,IF(Settings!$G$50="",$C30,Settings!$G$50))-MAX($A30,Settings!$F$50)-MOD(IFERROR(MATCH(Settings!$E$50,$EO$4:$EO$10,0),0)-WEEKDAY(MAX($A30,Settings!$F$50)),7))/7)+1)),IF(AND(IF(Settings!$E$50="",$B30,DATE(YEAR($A30),MONTH($A30),MIN(Settings!$E$50,DAY($B30))))&gt;=MAX($A30,Settings!$F$50),IF(Settings!$E$50="",$B30,DATE(YEAR($A30),MONTH($A30),MIN(Settings!$E$50,DAY($B30))))&lt;=MIN($C30,IF(Settings!$G$50="",$C30,Settings!$G$50))),1,0)))</f>
        <v/>
      </c>
      <c r="BK30">
        <f>IF(OR(Settings!$C$51="",Settings!$D$51=""),0,Settings!$C$51*IF(Settings!$D$51="Weekly",IF(IFERROR(MATCH(Settings!$E$51,$EO$4:$EO$10,0),0)=0,0,IF(MIN($C30,IF(Settings!$G$51="",$C30,Settings!$G$51))&lt;MAX($A30,Settings!$F$51),0,INT((MIN($C30,IF(Settings!$G$51="",$C30,Settings!$G$51))-MAX($A30,Settings!$F$51)-MOD(IFERROR(MATCH(Settings!$E$51,$EO$4:$EO$10,0),0)-WEEKDAY(MAX($A30,Settings!$F$51)),7))/7)+1)),IF(AND(IF(Settings!$E$51="",$B30,DATE(YEAR($A30),MONTH($A30),MIN(Settings!$E$51,DAY($B30))))&gt;=MAX($A30,Settings!$F$51),IF(Settings!$E$51="",$B30,DATE(YEAR($A30),MONTH($A30),MIN(Settings!$E$51,DAY($B30))))&lt;=MIN($C30,IF(Settings!$G$51="",$C30,Settings!$G$51))),1,0)))</f>
        <v/>
      </c>
      <c r="BL30">
        <f>IF(OR(Settings!$C$52="",Settings!$D$52=""),0,Settings!$C$52*IF(Settings!$D$52="Weekly",IF(IFERROR(MATCH(Settings!$E$52,$EO$4:$EO$10,0),0)=0,0,IF(MIN($C30,IF(Settings!$G$52="",$C30,Settings!$G$52))&lt;MAX($A30,Settings!$F$52),0,INT((MIN($C30,IF(Settings!$G$52="",$C30,Settings!$G$52))-MAX($A30,Settings!$F$52)-MOD(IFERROR(MATCH(Settings!$E$52,$EO$4:$EO$10,0),0)-WEEKDAY(MAX($A30,Settings!$F$52)),7))/7)+1)),IF(AND(IF(Settings!$E$52="",$B30,DATE(YEAR($A30),MONTH($A30),MIN(Settings!$E$52,DAY($B30))))&gt;=MAX($A30,Settings!$F$52),IF(Settings!$E$52="",$B30,DATE(YEAR($A30),MONTH($A30),MIN(Settings!$E$52,DAY($B30))))&lt;=MIN($C30,IF(Settings!$G$52="",$C30,Settings!$G$52))),1,0)))</f>
        <v/>
      </c>
      <c r="BM30">
        <f>IF(OR(Settings!$C$53="",Settings!$D$53=""),0,Settings!$C$53*IF(Settings!$D$53="Weekly",IF(IFERROR(MATCH(Settings!$E$53,$EO$4:$EO$10,0),0)=0,0,IF(MIN($C30,IF(Settings!$G$53="",$C30,Settings!$G$53))&lt;MAX($A30,Settings!$F$53),0,INT((MIN($C30,IF(Settings!$G$53="",$C30,Settings!$G$53))-MAX($A30,Settings!$F$53)-MOD(IFERROR(MATCH(Settings!$E$53,$EO$4:$EO$10,0),0)-WEEKDAY(MAX($A30,Settings!$F$53)),7))/7)+1)),IF(AND(IF(Settings!$E$53="",$B30,DATE(YEAR($A30),MONTH($A30),MIN(Settings!$E$53,DAY($B30))))&gt;=MAX($A30,Settings!$F$53),IF(Settings!$E$53="",$B30,DATE(YEAR($A30),MONTH($A30),MIN(Settings!$E$53,DAY($B30))))&lt;=MIN($C30,IF(Settings!$G$53="",$C30,Settings!$G$53))),1,0)))</f>
        <v/>
      </c>
      <c r="BN30">
        <f>IF(OR(Settings!$C$54="",Settings!$D$54=""),0,Settings!$C$54*IF(Settings!$D$54="Weekly",IF(IFERROR(MATCH(Settings!$E$54,$EO$4:$EO$10,0),0)=0,0,IF(MIN($C30,IF(Settings!$G$54="",$C30,Settings!$G$54))&lt;MAX($A30,Settings!$F$54),0,INT((MIN($C30,IF(Settings!$G$54="",$C30,Settings!$G$54))-MAX($A30,Settings!$F$54)-MOD(IFERROR(MATCH(Settings!$E$54,$EO$4:$EO$10,0),0)-WEEKDAY(MAX($A30,Settings!$F$54)),7))/7)+1)),IF(AND(IF(Settings!$E$54="",$B30,DATE(YEAR($A30),MONTH($A30),MIN(Settings!$E$54,DAY($B30))))&gt;=MAX($A30,Settings!$F$54),IF(Settings!$E$54="",$B30,DATE(YEAR($A30),MONTH($A30),MIN(Settings!$E$54,DAY($B30))))&lt;=MIN($C30,IF(Settings!$G$54="",$C30,Settings!$G$54))),1,0)))</f>
        <v/>
      </c>
      <c r="BO30">
        <f>IF(OR(Settings!$C$55="",Settings!$D$55=""),0,Settings!$C$55*IF(Settings!$D$55="Weekly",IF(IFERROR(MATCH(Settings!$E$55,$EO$4:$EO$10,0),0)=0,0,IF(MIN($C30,IF(Settings!$G$55="",$C30,Settings!$G$55))&lt;MAX($A30,Settings!$F$55),0,INT((MIN($C30,IF(Settings!$G$55="",$C30,Settings!$G$55))-MAX($A30,Settings!$F$55)-MOD(IFERROR(MATCH(Settings!$E$55,$EO$4:$EO$10,0),0)-WEEKDAY(MAX($A30,Settings!$F$55)),7))/7)+1)),IF(AND(IF(Settings!$E$55="",$B30,DATE(YEAR($A30),MONTH($A30),MIN(Settings!$E$55,DAY($B30))))&gt;=MAX($A30,Settings!$F$55),IF(Settings!$E$55="",$B30,DATE(YEAR($A30),MONTH($A30),MIN(Settings!$E$55,DAY($B30))))&lt;=MIN($C30,IF(Settings!$G$55="",$C30,Settings!$G$55))),1,0)))</f>
        <v/>
      </c>
      <c r="BP30">
        <f>IF(OR(Settings!$C$56="",Settings!$D$56=""),0,Settings!$C$56*IF(Settings!$D$56="Weekly",IF(IFERROR(MATCH(Settings!$E$56,$EO$4:$EO$10,0),0)=0,0,IF(MIN($C30,IF(Settings!$G$56="",$C30,Settings!$G$56))&lt;MAX($A30,Settings!$F$56),0,INT((MIN($C30,IF(Settings!$G$56="",$C30,Settings!$G$56))-MAX($A30,Settings!$F$56)-MOD(IFERROR(MATCH(Settings!$E$56,$EO$4:$EO$10,0),0)-WEEKDAY(MAX($A30,Settings!$F$56)),7))/7)+1)),IF(AND(IF(Settings!$E$56="",$B30,DATE(YEAR($A30),MONTH($A30),MIN(Settings!$E$56,DAY($B30))))&gt;=MAX($A30,Settings!$F$56),IF(Settings!$E$56="",$B30,DATE(YEAR($A30),MONTH($A30),MIN(Settings!$E$56,DAY($B30))))&lt;=MIN($C30,IF(Settings!$G$56="",$C30,Settings!$G$56))),1,0)))</f>
        <v/>
      </c>
      <c r="BQ30">
        <f>IF(OR(Settings!$B$14="",$D30=1,$E30="pre",$A30&lt;IF(Settings!$B$15="",0,Settings!$B$15)),0,Settings!$B$14)</f>
        <v/>
      </c>
      <c r="BR30">
        <f>IF(AND('Month-End'!$AA$7&lt;&gt;"",NOT(_xlfn.ISFORMULA('Month-End'!$AA$7))),1,0)</f>
        <v/>
      </c>
      <c r="BS30">
        <f>IF(AND('Month-End'!$AA$8&lt;&gt;"",NOT(_xlfn.ISFORMULA('Month-End'!$AA$8))),1,0)</f>
        <v/>
      </c>
      <c r="BT30">
        <f>IF(AND('Month-End'!$AA$9&lt;&gt;"",NOT(_xlfn.ISFORMULA('Month-End'!$AA$9))),1,0)</f>
        <v/>
      </c>
      <c r="BU30">
        <f>IF(AND('Month-End'!$AA$10&lt;&gt;"",NOT(_xlfn.ISFORMULA('Month-End'!$AA$10))),1,0)</f>
        <v/>
      </c>
      <c r="BV30">
        <f>IF(AND('Month-End'!$AA$11&lt;&gt;"",NOT(_xlfn.ISFORMULA('Month-End'!$AA$11))),1,0)</f>
        <v/>
      </c>
      <c r="BW30">
        <f>IF(AND('Month-End'!$AA$12&lt;&gt;"",NOT(_xlfn.ISFORMULA('Month-End'!$AA$12))),1,0)</f>
        <v/>
      </c>
      <c r="BX30">
        <f>IF(AND('Month-End'!$AA$13&lt;&gt;"",NOT(_xlfn.ISFORMULA('Month-End'!$AA$13))),1,0)</f>
        <v/>
      </c>
      <c r="BY30">
        <f>IF(AND('Month-End'!$AA$14&lt;&gt;"",NOT(_xlfn.ISFORMULA('Month-End'!$AA$14))),1,0)</f>
        <v/>
      </c>
      <c r="BZ30">
        <f>IF(AND('Month-End'!$AA$15&lt;&gt;"",NOT(_xlfn.ISFORMULA('Month-End'!$AA$15))),1,0)</f>
        <v/>
      </c>
      <c r="CA30">
        <f>IF(AND('Month-End'!$AA$16&lt;&gt;"",NOT(_xlfn.ISFORMULA('Month-End'!$AA$16))),1,0)</f>
        <v/>
      </c>
      <c r="CB30">
        <f>IF(AND('Month-End'!$AA$17&lt;&gt;"",NOT(_xlfn.ISFORMULA('Month-End'!$AA$17))),1,0)</f>
        <v/>
      </c>
      <c r="CC30">
        <f>IF(AND('Month-End'!$AA$18&lt;&gt;"",NOT(_xlfn.ISFORMULA('Month-End'!$AA$18))),1,0)</f>
        <v/>
      </c>
      <c r="CD30">
        <f>IF(AND('Month-End'!$AA$19&lt;&gt;"",NOT(_xlfn.ISFORMULA('Month-End'!$AA$19))),1,0)</f>
        <v/>
      </c>
      <c r="CE30">
        <f>IF(AND('Month-End'!$AA$20&lt;&gt;"",NOT(_xlfn.ISFORMULA('Month-End'!$AA$20))),1,0)</f>
        <v/>
      </c>
      <c r="CF30">
        <f>IF(AND('Month-End'!$AA$38&lt;&gt;"",NOT(_xlfn.ISFORMULA('Month-End'!$AA$38))),1,0)</f>
        <v/>
      </c>
      <c r="CG30">
        <f>IF(AND('Month-End'!$AA$39&lt;&gt;"",NOT(_xlfn.ISFORMULA('Month-End'!$AA$39))),1,0)</f>
        <v/>
      </c>
      <c r="CH30">
        <f>IF(AND('Month-End'!$AA$40&lt;&gt;"",NOT(_xlfn.ISFORMULA('Month-End'!$AA$40))),1,0)</f>
        <v/>
      </c>
      <c r="CI30">
        <f>IF(AND('Month-End'!$AA$41&lt;&gt;"",NOT(_xlfn.ISFORMULA('Month-End'!$AA$41))),1,0)</f>
        <v/>
      </c>
      <c r="CJ30">
        <f>IF(AND('Month-End'!$AA$42&lt;&gt;"",NOT(_xlfn.ISFORMULA('Month-End'!$AA$42))),1,0)</f>
        <v/>
      </c>
      <c r="CK30">
        <f>IF(AND('Month-End'!$AA$43&lt;&gt;"",NOT(_xlfn.ISFORMULA('Month-End'!$AA$43))),1,0)</f>
        <v/>
      </c>
      <c r="CL30">
        <f>SUM($CM30:$CZ30)</f>
        <v/>
      </c>
      <c r="CM30">
        <f>IF(AND($E30&lt;&gt;"pre",AND(Settings!$A$19&lt;&gt;"",Settings!$E$19&lt;&gt;"No"),Settings!$F$19="Yes",NOT(AND('Month-End'!$AA$7&lt;&gt;"",NOT(_xlfn.ISFORMULA('Month-End'!$AA$7))))),1,0)</f>
        <v/>
      </c>
      <c r="CN30">
        <f>IF(AND($E30&lt;&gt;"pre",AND(Settings!$A$20&lt;&gt;"",Settings!$E$20&lt;&gt;"No"),Settings!$F$20="Yes",NOT(AND('Month-End'!$AA$8&lt;&gt;"",NOT(_xlfn.ISFORMULA('Month-End'!$AA$8))))),1,0)</f>
        <v/>
      </c>
      <c r="CO30">
        <f>IF(AND($E30&lt;&gt;"pre",AND(Settings!$A$21&lt;&gt;"",Settings!$E$21&lt;&gt;"No"),Settings!$F$21="Yes",NOT(AND('Month-End'!$AA$9&lt;&gt;"",NOT(_xlfn.ISFORMULA('Month-End'!$AA$9))))),1,0)</f>
        <v/>
      </c>
      <c r="CP30">
        <f>IF(AND($E30&lt;&gt;"pre",AND(Settings!$A$22&lt;&gt;"",Settings!$E$22&lt;&gt;"No"),Settings!$F$22="Yes",NOT(AND('Month-End'!$AA$10&lt;&gt;"",NOT(_xlfn.ISFORMULA('Month-End'!$AA$10))))),1,0)</f>
        <v/>
      </c>
      <c r="CQ30">
        <f>IF(AND($E30&lt;&gt;"pre",AND(Settings!$A$23&lt;&gt;"",Settings!$E$23&lt;&gt;"No"),Settings!$F$23="Yes",NOT(AND('Month-End'!$AA$11&lt;&gt;"",NOT(_xlfn.ISFORMULA('Month-End'!$AA$11))))),1,0)</f>
        <v/>
      </c>
      <c r="CR30">
        <f>IF(AND($E30&lt;&gt;"pre",AND(Settings!$A$24&lt;&gt;"",Settings!$E$24&lt;&gt;"No"),Settings!$F$24="Yes",NOT(AND('Month-End'!$AA$12&lt;&gt;"",NOT(_xlfn.ISFORMULA('Month-End'!$AA$12))))),1,0)</f>
        <v/>
      </c>
      <c r="CS30">
        <f>IF(AND($E30&lt;&gt;"pre",AND(Settings!$A$25&lt;&gt;"",Settings!$E$25&lt;&gt;"No"),Settings!$F$25="Yes",NOT(AND('Month-End'!$AA$13&lt;&gt;"",NOT(_xlfn.ISFORMULA('Month-End'!$AA$13))))),1,0)</f>
        <v/>
      </c>
      <c r="CT30">
        <f>IF(AND($E30&lt;&gt;"pre",AND(Settings!$A$26&lt;&gt;"",Settings!$E$26&lt;&gt;"No"),Settings!$F$26="Yes",NOT(AND('Month-End'!$AA$14&lt;&gt;"",NOT(_xlfn.ISFORMULA('Month-End'!$AA$14))))),1,0)</f>
        <v/>
      </c>
      <c r="CU30">
        <f>IF(AND($E30&lt;&gt;"pre",AND(Settings!$A$27&lt;&gt;"",Settings!$E$27&lt;&gt;"No"),Settings!$F$27="Yes",NOT(AND('Month-End'!$AA$15&lt;&gt;"",NOT(_xlfn.ISFORMULA('Month-End'!$AA$15))))),1,0)</f>
        <v/>
      </c>
      <c r="CV30">
        <f>IF(AND($E30&lt;&gt;"pre",AND(Settings!$A$28&lt;&gt;"",Settings!$E$28&lt;&gt;"No"),Settings!$F$28="Yes",NOT(AND('Month-End'!$AA$16&lt;&gt;"",NOT(_xlfn.ISFORMULA('Month-End'!$AA$16))))),1,0)</f>
        <v/>
      </c>
      <c r="CW30">
        <f>IF(AND($E30&lt;&gt;"pre",AND(Settings!$A$29&lt;&gt;"",Settings!$E$29&lt;&gt;"No"),Settings!$F$29="Yes",NOT(AND('Month-End'!$AA$17&lt;&gt;"",NOT(_xlfn.ISFORMULA('Month-End'!$AA$17))))),1,0)</f>
        <v/>
      </c>
      <c r="CX30">
        <f>IF(AND($E30&lt;&gt;"pre",AND(Settings!$A$30&lt;&gt;"",Settings!$E$30&lt;&gt;"No"),Settings!$F$30="Yes",NOT(AND('Month-End'!$AA$18&lt;&gt;"",NOT(_xlfn.ISFORMULA('Month-End'!$AA$18))))),1,0)</f>
        <v/>
      </c>
      <c r="CY30">
        <f>IF(AND($E30&lt;&gt;"pre",AND(Settings!$A$31&lt;&gt;"",Settings!$E$31&lt;&gt;"No"),Settings!$F$31="Yes",NOT(AND('Month-End'!$AA$19&lt;&gt;"",NOT(_xlfn.ISFORMULA('Month-End'!$AA$19))))),1,0)</f>
        <v/>
      </c>
      <c r="CZ30">
        <f>IF(AND($E30&lt;&gt;"pre",AND(Settings!$A$32&lt;&gt;"",Settings!$E$32&lt;&gt;"No"),Settings!$F$32="Yes",NOT(AND('Month-End'!$AA$20&lt;&gt;"",NOT(_xlfn.ISFORMULA('Month-End'!$AA$20))))),1,0)</f>
        <v/>
      </c>
      <c r="DA30">
        <f>IF($DT30=1,IF(OR(Settings!$B$19="Checking",Settings!$B$19="Savings",Settings!$B$19="Cash"),N($AE30),IF(OR(Settings!$B$19="Card",Settings!$B$19="Loan"),-N($AE30),0))+IF(OR(Settings!$B$20="Checking",Settings!$B$20="Savings",Settings!$B$20="Cash"),N($AF30),IF(OR(Settings!$B$20="Card",Settings!$B$20="Loan"),-N($AF30),0))+IF(OR(Settings!$B$21="Checking",Settings!$B$21="Savings",Settings!$B$21="Cash"),N($AG30),IF(OR(Settings!$B$21="Card",Settings!$B$21="Loan"),-N($AG30),0))+IF(OR(Settings!$B$22="Checking",Settings!$B$22="Savings",Settings!$B$22="Cash"),N($AH30),IF(OR(Settings!$B$22="Card",Settings!$B$22="Loan"),-N($AH30),0))+IF(OR(Settings!$B$23="Checking",Settings!$B$23="Savings",Settings!$B$23="Cash"),N($AI30),IF(OR(Settings!$B$23="Card",Settings!$B$23="Loan"),-N($AI30),0))+IF(OR(Settings!$B$24="Checking",Settings!$B$24="Savings",Settings!$B$24="Cash"),N($AJ30),IF(OR(Settings!$B$24="Card",Settings!$B$24="Loan"),-N($AJ30),0))+IF(OR(Settings!$B$25="Checking",Settings!$B$25="Savings",Settings!$B$25="Cash"),N($AK30),IF(OR(Settings!$B$25="Card",Settings!$B$25="Loan"),-N($AK30),0))+IF(OR(Settings!$B$26="Checking",Settings!$B$26="Savings",Settings!$B$26="Cash"),N($AL30),IF(OR(Settings!$B$26="Card",Settings!$B$26="Loan"),-N($AL30),0))+IF(OR(Settings!$B$27="Checking",Settings!$B$27="Savings",Settings!$B$27="Cash"),N($AM30),IF(OR(Settings!$B$27="Card",Settings!$B$27="Loan"),-N($AM30),0))+IF(OR(Settings!$B$28="Checking",Settings!$B$28="Savings",Settings!$B$28="Cash"),N($AN30),IF(OR(Settings!$B$28="Card",Settings!$B$28="Loan"),-N($AN30),0))+IF(OR(Settings!$B$29="Checking",Settings!$B$29="Savings",Settings!$B$29="Cash"),N($AO30),IF(OR(Settings!$B$29="Card",Settings!$B$29="Loan"),-N($AO30),0))+IF(OR(Settings!$B$30="Checking",Settings!$B$30="Savings",Settings!$B$30="Cash"),N($AP30),IF(OR(Settings!$B$30="Card",Settings!$B$30="Loan"),-N($AP30),0))+IF(OR(Settings!$B$31="Checking",Settings!$B$31="Savings",Settings!$B$31="Cash"),N($AQ30),IF(OR(Settings!$B$31="Card",Settings!$B$31="Loan"),-N($AQ30),0))+IF(OR(Settings!$B$32="Checking",Settings!$B$32="Savings",Settings!$B$32="Cash"),N($AR30),IF(OR(Settings!$B$32="Card",Settings!$B$32="Loan"),-N($AR30),0)),"")</f>
        <v/>
      </c>
      <c r="DB30">
        <f>IF($E30="open",$EB$27,IF($E30="post",IF($E29="pre",$EB$27,$DA29),""))</f>
        <v/>
      </c>
      <c r="DC30">
        <f>IF($E30="open",1,IF($E30="post",IF($E29="pre",1,$DT29),0))</f>
        <v/>
      </c>
      <c r="DD30">
        <f>IF(AND($DT30=1,$DC30=1),ROUND($W30-($DA30-$DB30)-$AD30-$AB30,2),"")</f>
        <v/>
      </c>
      <c r="DE30">
        <f>IF('Month-End'!$AA$35="",$BQ30,N('Month-End'!$AA$35))</f>
        <v/>
      </c>
      <c r="DF30">
        <f>N('Month-End'!$AA$36)</f>
        <v/>
      </c>
      <c r="DG30">
        <f>IF($DD30="","",$DD30+$DE30)</f>
        <v/>
      </c>
      <c r="DH30">
        <f>IF($DG30="","",$DG30-$DF30)</f>
        <v/>
      </c>
      <c r="DI30">
        <f>IF(OR($E30="pre",$D30=1),"",N($AS30)+N($AT30)+N($AU30)+N($AV30)+N($AW30)+N($AX30))</f>
        <v/>
      </c>
      <c r="DJ30">
        <f>IF($DT30=1,$DA30+N($DI30),"")</f>
        <v/>
      </c>
      <c r="DK30">
        <f>IF($DD30="","",$W30-$DD30-$AB30)</f>
        <v/>
      </c>
      <c r="DL30">
        <f>IF(AND($E30="post",$DD30&lt;&gt;"",$B30&lt;TODAY()),1,0)</f>
        <v/>
      </c>
      <c r="DM30">
        <f>IF($DL30=1,COUNTIF($DL30:$DL$183,1),0)</f>
        <v/>
      </c>
      <c r="DN30">
        <f>IF($D30=1,"",IF($E30="pre","History only",IF($DT30=1,IF($DD30="","⚠ Previous month missing",IF($DD30&lt;0,"⚠ Check: spending &lt; 0",IF($E30="open","✓ Done (partial)","✓ Done"))),IF($B30&gt;=TODAY(),"In progress","⚠ Needs balances"))))</f>
        <v/>
      </c>
      <c r="DO30">
        <f>YEAR($A30)</f>
        <v/>
      </c>
      <c r="DP30">
        <f>DATE(YEAR($A30),INT((MONTH($A30)-1)/3)*3+1,1)</f>
        <v/>
      </c>
      <c r="DQ30">
        <f>IF(AND($DT30=1,$DD30&lt;&gt;"",$D30=0),ROW(),0)</f>
        <v/>
      </c>
      <c r="DR30">
        <f>IF(AND($E30&lt;&gt;"pre",$B30&lt;TODAY(),$DT30=0),1,0)</f>
        <v/>
      </c>
      <c r="DS30">
        <f>IF($DJ30="",NA(),$DJ30)</f>
        <v/>
      </c>
      <c r="DT30">
        <f>IF(AND($E30&lt;&gt;"pre",$CL30=0,COUNTIFS(Settings!$F$19:$F$32,"Yes",Settings!$A$19:$A$32,"&lt;&gt;",Settings!$E$19:$E$32,"&lt;&gt;No")&gt;0),1,0)</f>
        <v/>
      </c>
      <c r="DU30">
        <f>IF(AND($B30&lt;TODAY(),$S30&gt;0),1,0)</f>
        <v/>
      </c>
      <c r="DV30">
        <f>IF($DU30=1,COUNTIF($DU30:$DU$183,1),0)</f>
        <v/>
      </c>
      <c r="DW30">
        <f>IF(AND(OR(Settings!$B$19="Card",Settings!$B$19="Loan"),AND('Month-End'!$AA$7&lt;&gt;"",NOT(_xlfn.ISFORMULA('Month-End'!$AA$7)))),IF(N('Month-End'!$AA$7)&lt;0,1,0),0)+IF(AND(OR(Settings!$B$20="Card",Settings!$B$20="Loan"),AND('Month-End'!$AA$8&lt;&gt;"",NOT(_xlfn.ISFORMULA('Month-End'!$AA$8)))),IF(N('Month-End'!$AA$8)&lt;0,1,0),0)+IF(AND(OR(Settings!$B$21="Card",Settings!$B$21="Loan"),AND('Month-End'!$AA$9&lt;&gt;"",NOT(_xlfn.ISFORMULA('Month-End'!$AA$9)))),IF(N('Month-End'!$AA$9)&lt;0,1,0),0)+IF(AND(OR(Settings!$B$22="Card",Settings!$B$22="Loan"),AND('Month-End'!$AA$10&lt;&gt;"",NOT(_xlfn.ISFORMULA('Month-End'!$AA$10)))),IF(N('Month-End'!$AA$10)&lt;0,1,0),0)+IF(AND(OR(Settings!$B$23="Card",Settings!$B$23="Loan"),AND('Month-End'!$AA$11&lt;&gt;"",NOT(_xlfn.ISFORMULA('Month-End'!$AA$11)))),IF(N('Month-End'!$AA$11)&lt;0,1,0),0)+IF(AND(OR(Settings!$B$24="Card",Settings!$B$24="Loan"),AND('Month-End'!$AA$12&lt;&gt;"",NOT(_xlfn.ISFORMULA('Month-End'!$AA$12)))),IF(N('Month-End'!$AA$12)&lt;0,1,0),0)+IF(AND(OR(Settings!$B$25="Card",Settings!$B$25="Loan"),AND('Month-End'!$AA$13&lt;&gt;"",NOT(_xlfn.ISFORMULA('Month-End'!$AA$13)))),IF(N('Month-End'!$AA$13)&lt;0,1,0),0)+IF(AND(OR(Settings!$B$26="Card",Settings!$B$26="Loan"),AND('Month-End'!$AA$14&lt;&gt;"",NOT(_xlfn.ISFORMULA('Month-End'!$AA$14)))),IF(N('Month-End'!$AA$14)&lt;0,1,0),0)+IF(AND(OR(Settings!$B$27="Card",Settings!$B$27="Loan"),AND('Month-End'!$AA$15&lt;&gt;"",NOT(_xlfn.ISFORMULA('Month-End'!$AA$15)))),IF(N('Month-End'!$AA$15)&lt;0,1,0),0)+IF(AND(OR(Settings!$B$28="Card",Settings!$B$28="Loan"),AND('Month-End'!$AA$16&lt;&gt;"",NOT(_xlfn.ISFORMULA('Month-End'!$AA$16)))),IF(N('Month-End'!$AA$16)&lt;0,1,0),0)+IF(AND(OR(Settings!$B$29="Card",Settings!$B$29="Loan"),AND('Month-End'!$AA$17&lt;&gt;"",NOT(_xlfn.ISFORMULA('Month-End'!$AA$17)))),IF(N('Month-End'!$AA$17)&lt;0,1,0),0)+IF(AND(OR(Settings!$B$30="Card",Settings!$B$30="Loan"),AND('Month-End'!$AA$18&lt;&gt;"",NOT(_xlfn.ISFORMULA('Month-End'!$AA$18)))),IF(N('Month-End'!$AA$18)&lt;0,1,0),0)+IF(AND(OR(Settings!$B$31="Card",Settings!$B$31="Loan"),AND('Month-End'!$AA$19&lt;&gt;"",NOT(_xlfn.ISFORMULA('Month-End'!$AA$19)))),IF(N('Month-End'!$AA$19)&lt;0,1,0),0)+IF(AND(OR(Settings!$B$32="Card",Settings!$B$32="Loan"),AND('Month-End'!$AA$20&lt;&gt;"",NOT(_xlfn.ISFORMULA('Month-End'!$AA$20)))),IF(N('Month-End'!$AA$20)&lt;0,1,0),0)</f>
        <v/>
      </c>
      <c r="DX30">
        <f>IF(Settings!$B$36="Retirement",$AY30,0)+IF(Settings!$B$37="Retirement",$AZ30,0)+IF(Settings!$B$38="Retirement",$BA30,0)+IF(Settings!$B$39="Retirement",$BB30,0)+IF(Settings!$B$40="Retirement",$BC30,0)+IF(Settings!$B$41="Retirement",$BD30,0)</f>
        <v/>
      </c>
      <c r="EA30" t="inlineStr">
        <is>
          <t>Liquid assets now</t>
        </is>
      </c>
      <c r="EB30">
        <f>IF(OR(Settings!$B$19="Checking",Settings!$B$19="Savings",Settings!$B$19="Cash"),N(EB40),0)+IF(OR(Settings!$B$20="Checking",Settings!$B$20="Savings",Settings!$B$20="Cash"),N(EB41),0)+IF(OR(Settings!$B$21="Checking",Settings!$B$21="Savings",Settings!$B$21="Cash"),N(EB42),0)+IF(OR(Settings!$B$22="Checking",Settings!$B$22="Savings",Settings!$B$22="Cash"),N(EB43),0)+IF(OR(Settings!$B$23="Checking",Settings!$B$23="Savings",Settings!$B$23="Cash"),N(EB44),0)+IF(OR(Settings!$B$24="Checking",Settings!$B$24="Savings",Settings!$B$24="Cash"),N(EB45),0)+IF(OR(Settings!$B$25="Checking",Settings!$B$25="Savings",Settings!$B$25="Cash"),N(EB46),0)+IF(OR(Settings!$B$26="Checking",Settings!$B$26="Savings",Settings!$B$26="Cash"),N(EB47),0)+IF(OR(Settings!$B$27="Checking",Settings!$B$27="Savings",Settings!$B$27="Cash"),N(EB48),0)+IF(OR(Settings!$B$28="Checking",Settings!$B$28="Savings",Settings!$B$28="Cash"),N(EB49),0)+IF(OR(Settings!$B$29="Checking",Settings!$B$29="Savings",Settings!$B$29="Cash"),N(EB50),0)+IF(OR(Settings!$B$30="Checking",Settings!$B$30="Savings",Settings!$B$30="Cash"),N(EB51),0)+IF(OR(Settings!$B$31="Checking",Settings!$B$31="Savings",Settings!$B$31="Cash"),N(EB52),0)+IF(OR(Settings!$B$32="Checking",Settings!$B$32="Savings",Settings!$B$32="Cash"),N(EB53),0)</f>
        <v/>
      </c>
      <c r="ET30">
        <f>IF($E30&lt;&gt;"open",0,IF(AND('Month-End'!$AA$22&lt;&gt;"",NOT(_xlfn.ISFORMULA('Month-End'!$AA$22))),0,IF(OR(Settings!$C$45="",Settings!$D$45=""),0,Settings!$C$45*IF(Settings!$D$45="Weekly",IF(IFERROR(MATCH(Settings!$E$45,$EO$4:$EO$10,0),0)=0,0,IF(MIN(Settings!$B$5,IF(Settings!$G$45="",Settings!$B$5,Settings!$G$45))&lt;MAX($A30,Settings!$F$45),0,INT((MIN(Settings!$B$5,IF(Settings!$G$45="",Settings!$B$5,Settings!$G$45))-MAX($A30,Settings!$F$45)-MOD(IFERROR(MATCH(Settings!$E$45,$EO$4:$EO$10,0),0)-WEEKDAY(MAX($A30,Settings!$F$45)),7))/7)+1)),IF(AND(IF(Settings!$E$45="",$B30,DATE(YEAR($A30),MONTH($A30),MIN(Settings!$E$45,DAY($B30))))&gt;=MAX($A30,Settings!$F$45),IF(Settings!$E$45="",$B30,DATE(YEAR($A30),MONTH($A30),MIN(Settings!$E$45,DAY($B30))))&lt;=MIN(Settings!$B$5,IF(Settings!$G$45="",Settings!$B$5,Settings!$G$45))),1,0)))))</f>
        <v/>
      </c>
      <c r="EU30">
        <f>IF($E30&lt;&gt;"open",0,IF(AND('Month-End'!$AA$23&lt;&gt;"",NOT(_xlfn.ISFORMULA('Month-End'!$AA$23))),0,IF(OR(Settings!$C$46="",Settings!$D$46=""),0,Settings!$C$46*IF(Settings!$D$46="Weekly",IF(IFERROR(MATCH(Settings!$E$46,$EO$4:$EO$10,0),0)=0,0,IF(MIN(Settings!$B$5,IF(Settings!$G$46="",Settings!$B$5,Settings!$G$46))&lt;MAX($A30,Settings!$F$46),0,INT((MIN(Settings!$B$5,IF(Settings!$G$46="",Settings!$B$5,Settings!$G$46))-MAX($A30,Settings!$F$46)-MOD(IFERROR(MATCH(Settings!$E$46,$EO$4:$EO$10,0),0)-WEEKDAY(MAX($A30,Settings!$F$46)),7))/7)+1)),IF(AND(IF(Settings!$E$46="",$B30,DATE(YEAR($A30),MONTH($A30),MIN(Settings!$E$46,DAY($B30))))&gt;=MAX($A30,Settings!$F$46),IF(Settings!$E$46="",$B30,DATE(YEAR($A30),MONTH($A30),MIN(Settings!$E$46,DAY($B30))))&lt;=MIN(Settings!$B$5,IF(Settings!$G$46="",Settings!$B$5,Settings!$G$46))),1,0)))))</f>
        <v/>
      </c>
      <c r="EV30">
        <f>IF($E30&lt;&gt;"open",0,IF(AND('Month-End'!$AA$24&lt;&gt;"",NOT(_xlfn.ISFORMULA('Month-End'!$AA$24))),0,IF(OR(Settings!$C$47="",Settings!$D$47=""),0,Settings!$C$47*IF(Settings!$D$47="Weekly",IF(IFERROR(MATCH(Settings!$E$47,$EO$4:$EO$10,0),0)=0,0,IF(MIN(Settings!$B$5,IF(Settings!$G$47="",Settings!$B$5,Settings!$G$47))&lt;MAX($A30,Settings!$F$47),0,INT((MIN(Settings!$B$5,IF(Settings!$G$47="",Settings!$B$5,Settings!$G$47))-MAX($A30,Settings!$F$47)-MOD(IFERROR(MATCH(Settings!$E$47,$EO$4:$EO$10,0),0)-WEEKDAY(MAX($A30,Settings!$F$47)),7))/7)+1)),IF(AND(IF(Settings!$E$47="",$B30,DATE(YEAR($A30),MONTH($A30),MIN(Settings!$E$47,DAY($B30))))&gt;=MAX($A30,Settings!$F$47),IF(Settings!$E$47="",$B30,DATE(YEAR($A30),MONTH($A30),MIN(Settings!$E$47,DAY($B30))))&lt;=MIN(Settings!$B$5,IF(Settings!$G$47="",Settings!$B$5,Settings!$G$47))),1,0)))))</f>
        <v/>
      </c>
      <c r="EW30">
        <f>IF($E30&lt;&gt;"open",0,IF(AND('Month-End'!$AA$25&lt;&gt;"",NOT(_xlfn.ISFORMULA('Month-End'!$AA$25))),0,IF(OR(Settings!$C$48="",Settings!$D$48=""),0,Settings!$C$48*IF(Settings!$D$48="Weekly",IF(IFERROR(MATCH(Settings!$E$48,$EO$4:$EO$10,0),0)=0,0,IF(MIN(Settings!$B$5,IF(Settings!$G$48="",Settings!$B$5,Settings!$G$48))&lt;MAX($A30,Settings!$F$48),0,INT((MIN(Settings!$B$5,IF(Settings!$G$48="",Settings!$B$5,Settings!$G$48))-MAX($A30,Settings!$F$48)-MOD(IFERROR(MATCH(Settings!$E$48,$EO$4:$EO$10,0),0)-WEEKDAY(MAX($A30,Settings!$F$48)),7))/7)+1)),IF(AND(IF(Settings!$E$48="",$B30,DATE(YEAR($A30),MONTH($A30),MIN(Settings!$E$48,DAY($B30))))&gt;=MAX($A30,Settings!$F$48),IF(Settings!$E$48="",$B30,DATE(YEAR($A30),MONTH($A30),MIN(Settings!$E$48,DAY($B30))))&lt;=MIN(Settings!$B$5,IF(Settings!$G$48="",Settings!$B$5,Settings!$G$48))),1,0)))))</f>
        <v/>
      </c>
      <c r="EX30">
        <f>IF($E30&lt;&gt;"open",0,IF(AND('Month-End'!$AA$26&lt;&gt;"",NOT(_xlfn.ISFORMULA('Month-End'!$AA$26))),0,IF(OR(Settings!$C$49="",Settings!$D$49=""),0,Settings!$C$49*IF(Settings!$D$49="Weekly",IF(IFERROR(MATCH(Settings!$E$49,$EO$4:$EO$10,0),0)=0,0,IF(MIN(Settings!$B$5,IF(Settings!$G$49="",Settings!$B$5,Settings!$G$49))&lt;MAX($A30,Settings!$F$49),0,INT((MIN(Settings!$B$5,IF(Settings!$G$49="",Settings!$B$5,Settings!$G$49))-MAX($A30,Settings!$F$49)-MOD(IFERROR(MATCH(Settings!$E$49,$EO$4:$EO$10,0),0)-WEEKDAY(MAX($A30,Settings!$F$49)),7))/7)+1)),IF(AND(IF(Settings!$E$49="",$B30,DATE(YEAR($A30),MONTH($A30),MIN(Settings!$E$49,DAY($B30))))&gt;=MAX($A30,Settings!$F$49),IF(Settings!$E$49="",$B30,DATE(YEAR($A30),MONTH($A30),MIN(Settings!$E$49,DAY($B30))))&lt;=MIN(Settings!$B$5,IF(Settings!$G$49="",Settings!$B$5,Settings!$G$49))),1,0)))))</f>
        <v/>
      </c>
      <c r="EY30">
        <f>IF($E30&lt;&gt;"open",0,IF(AND('Month-End'!$AA$27&lt;&gt;"",NOT(_xlfn.ISFORMULA('Month-End'!$AA$27))),0,IF(OR(Settings!$C$50="",Settings!$D$50=""),0,Settings!$C$50*IF(Settings!$D$50="Weekly",IF(IFERROR(MATCH(Settings!$E$50,$EO$4:$EO$10,0),0)=0,0,IF(MIN(Settings!$B$5,IF(Settings!$G$50="",Settings!$B$5,Settings!$G$50))&lt;MAX($A30,Settings!$F$50),0,INT((MIN(Settings!$B$5,IF(Settings!$G$50="",Settings!$B$5,Settings!$G$50))-MAX($A30,Settings!$F$50)-MOD(IFERROR(MATCH(Settings!$E$50,$EO$4:$EO$10,0),0)-WEEKDAY(MAX($A30,Settings!$F$50)),7))/7)+1)),IF(AND(IF(Settings!$E$50="",$B30,DATE(YEAR($A30),MONTH($A30),MIN(Settings!$E$50,DAY($B30))))&gt;=MAX($A30,Settings!$F$50),IF(Settings!$E$50="",$B30,DATE(YEAR($A30),MONTH($A30),MIN(Settings!$E$50,DAY($B30))))&lt;=MIN(Settings!$B$5,IF(Settings!$G$50="",Settings!$B$5,Settings!$G$50))),1,0)))))</f>
        <v/>
      </c>
      <c r="EZ30">
        <f>IF($E30&lt;&gt;"open",0,IF(AND('Month-End'!$AA$28&lt;&gt;"",NOT(_xlfn.ISFORMULA('Month-End'!$AA$28))),0,IF(OR(Settings!$C$51="",Settings!$D$51=""),0,Settings!$C$51*IF(Settings!$D$51="Weekly",IF(IFERROR(MATCH(Settings!$E$51,$EO$4:$EO$10,0),0)=0,0,IF(MIN(Settings!$B$5,IF(Settings!$G$51="",Settings!$B$5,Settings!$G$51))&lt;MAX($A30,Settings!$F$51),0,INT((MIN(Settings!$B$5,IF(Settings!$G$51="",Settings!$B$5,Settings!$G$51))-MAX($A30,Settings!$F$51)-MOD(IFERROR(MATCH(Settings!$E$51,$EO$4:$EO$10,0),0)-WEEKDAY(MAX($A30,Settings!$F$51)),7))/7)+1)),IF(AND(IF(Settings!$E$51="",$B30,DATE(YEAR($A30),MONTH($A30),MIN(Settings!$E$51,DAY($B30))))&gt;=MAX($A30,Settings!$F$51),IF(Settings!$E$51="",$B30,DATE(YEAR($A30),MONTH($A30),MIN(Settings!$E$51,DAY($B30))))&lt;=MIN(Settings!$B$5,IF(Settings!$G$51="",Settings!$B$5,Settings!$G$51))),1,0)))))</f>
        <v/>
      </c>
      <c r="FA30">
        <f>IF($E30&lt;&gt;"open",0,IF(AND('Month-End'!$AA$29&lt;&gt;"",NOT(_xlfn.ISFORMULA('Month-End'!$AA$29))),0,IF(OR(Settings!$C$52="",Settings!$D$52=""),0,Settings!$C$52*IF(Settings!$D$52="Weekly",IF(IFERROR(MATCH(Settings!$E$52,$EO$4:$EO$10,0),0)=0,0,IF(MIN(Settings!$B$5,IF(Settings!$G$52="",Settings!$B$5,Settings!$G$52))&lt;MAX($A30,Settings!$F$52),0,INT((MIN(Settings!$B$5,IF(Settings!$G$52="",Settings!$B$5,Settings!$G$52))-MAX($A30,Settings!$F$52)-MOD(IFERROR(MATCH(Settings!$E$52,$EO$4:$EO$10,0),0)-WEEKDAY(MAX($A30,Settings!$F$52)),7))/7)+1)),IF(AND(IF(Settings!$E$52="",$B30,DATE(YEAR($A30),MONTH($A30),MIN(Settings!$E$52,DAY($B30))))&gt;=MAX($A30,Settings!$F$52),IF(Settings!$E$52="",$B30,DATE(YEAR($A30),MONTH($A30),MIN(Settings!$E$52,DAY($B30))))&lt;=MIN(Settings!$B$5,IF(Settings!$G$52="",Settings!$B$5,Settings!$G$52))),1,0)))))</f>
        <v/>
      </c>
      <c r="FB30">
        <f>IF($E30&lt;&gt;"open",0,IF(AND('Month-End'!$AA$30&lt;&gt;"",NOT(_xlfn.ISFORMULA('Month-End'!$AA$30))),0,IF(OR(Settings!$C$53="",Settings!$D$53=""),0,Settings!$C$53*IF(Settings!$D$53="Weekly",IF(IFERROR(MATCH(Settings!$E$53,$EO$4:$EO$10,0),0)=0,0,IF(MIN(Settings!$B$5,IF(Settings!$G$53="",Settings!$B$5,Settings!$G$53))&lt;MAX($A30,Settings!$F$53),0,INT((MIN(Settings!$B$5,IF(Settings!$G$53="",Settings!$B$5,Settings!$G$53))-MAX($A30,Settings!$F$53)-MOD(IFERROR(MATCH(Settings!$E$53,$EO$4:$EO$10,0),0)-WEEKDAY(MAX($A30,Settings!$F$53)),7))/7)+1)),IF(AND(IF(Settings!$E$53="",$B30,DATE(YEAR($A30),MONTH($A30),MIN(Settings!$E$53,DAY($B30))))&gt;=MAX($A30,Settings!$F$53),IF(Settings!$E$53="",$B30,DATE(YEAR($A30),MONTH($A30),MIN(Settings!$E$53,DAY($B30))))&lt;=MIN(Settings!$B$5,IF(Settings!$G$53="",Settings!$B$5,Settings!$G$53))),1,0)))))</f>
        <v/>
      </c>
      <c r="FC30">
        <f>IF($E30&lt;&gt;"open",0,IF(AND('Month-End'!$AA$31&lt;&gt;"",NOT(_xlfn.ISFORMULA('Month-End'!$AA$31))),0,IF(OR(Settings!$C$54="",Settings!$D$54=""),0,Settings!$C$54*IF(Settings!$D$54="Weekly",IF(IFERROR(MATCH(Settings!$E$54,$EO$4:$EO$10,0),0)=0,0,IF(MIN(Settings!$B$5,IF(Settings!$G$54="",Settings!$B$5,Settings!$G$54))&lt;MAX($A30,Settings!$F$54),0,INT((MIN(Settings!$B$5,IF(Settings!$G$54="",Settings!$B$5,Settings!$G$54))-MAX($A30,Settings!$F$54)-MOD(IFERROR(MATCH(Settings!$E$54,$EO$4:$EO$10,0),0)-WEEKDAY(MAX($A30,Settings!$F$54)),7))/7)+1)),IF(AND(IF(Settings!$E$54="",$B30,DATE(YEAR($A30),MONTH($A30),MIN(Settings!$E$54,DAY($B30))))&gt;=MAX($A30,Settings!$F$54),IF(Settings!$E$54="",$B30,DATE(YEAR($A30),MONTH($A30),MIN(Settings!$E$54,DAY($B30))))&lt;=MIN(Settings!$B$5,IF(Settings!$G$54="",Settings!$B$5,Settings!$G$54))),1,0)))))</f>
        <v/>
      </c>
      <c r="FD30">
        <f>IF($E30&lt;&gt;"open",0,IF(AND('Month-End'!$AA$32&lt;&gt;"",NOT(_xlfn.ISFORMULA('Month-End'!$AA$32))),0,IF(OR(Settings!$C$55="",Settings!$D$55=""),0,Settings!$C$55*IF(Settings!$D$55="Weekly",IF(IFERROR(MATCH(Settings!$E$55,$EO$4:$EO$10,0),0)=0,0,IF(MIN(Settings!$B$5,IF(Settings!$G$55="",Settings!$B$5,Settings!$G$55))&lt;MAX($A30,Settings!$F$55),0,INT((MIN(Settings!$B$5,IF(Settings!$G$55="",Settings!$B$5,Settings!$G$55))-MAX($A30,Settings!$F$55)-MOD(IFERROR(MATCH(Settings!$E$55,$EO$4:$EO$10,0),0)-WEEKDAY(MAX($A30,Settings!$F$55)),7))/7)+1)),IF(AND(IF(Settings!$E$55="",$B30,DATE(YEAR($A30),MONTH($A30),MIN(Settings!$E$55,DAY($B30))))&gt;=MAX($A30,Settings!$F$55),IF(Settings!$E$55="",$B30,DATE(YEAR($A30),MONTH($A30),MIN(Settings!$E$55,DAY($B30))))&lt;=MIN(Settings!$B$5,IF(Settings!$G$55="",Settings!$B$5,Settings!$G$55))),1,0)))))</f>
        <v/>
      </c>
      <c r="FE30">
        <f>IF($E30&lt;&gt;"open",0,IF(AND('Month-End'!$AA$33&lt;&gt;"",NOT(_xlfn.ISFORMULA('Month-End'!$AA$33))),0,IF(OR(Settings!$C$56="",Settings!$D$56=""),0,Settings!$C$56*IF(Settings!$D$56="Weekly",IF(IFERROR(MATCH(Settings!$E$56,$EO$4:$EO$10,0),0)=0,0,IF(MIN(Settings!$B$5,IF(Settings!$G$56="",Settings!$B$5,Settings!$G$56))&lt;MAX($A30,Settings!$F$56),0,INT((MIN(Settings!$B$5,IF(Settings!$G$56="",Settings!$B$5,Settings!$G$56))-MAX($A30,Settings!$F$56)-MOD(IFERROR(MATCH(Settings!$E$56,$EO$4:$EO$10,0),0)-WEEKDAY(MAX($A30,Settings!$F$56)),7))/7)+1)),IF(AND(IF(Settings!$E$56="",$B30,DATE(YEAR($A30),MONTH($A30),MIN(Settings!$E$56,DAY($B30))))&gt;=MAX($A30,Settings!$F$56),IF(Settings!$E$56="",$B30,DATE(YEAR($A30),MONTH($A30),MIN(Settings!$E$56,DAY($B30))))&lt;=MIN(Settings!$B$5,IF(Settings!$G$56="",Settings!$B$5,Settings!$G$56))),1,0)))))</f>
        <v/>
      </c>
      <c r="FF30">
        <f>IF(Settings!$I$45="Yes",$G30,0)+IF(Settings!$I$46="Yes",$H30,0)+IF(Settings!$I$47="Yes",$I30,0)+IF(Settings!$I$48="Yes",$J30,0)+IF(Settings!$I$49="Yes",$K30,0)+IF(Settings!$I$50="Yes",$L30,0)+IF(Settings!$I$51="Yes",$M30,0)+IF(Settings!$I$52="Yes",$N30,0)+IF(Settings!$I$53="Yes",$O30,0)+IF(Settings!$I$54="Yes",$P30,0)+IF(Settings!$I$55="Yes",$Q30,0)+IF(Settings!$I$56="Yes",$R30,0)</f>
        <v/>
      </c>
      <c r="FG30">
        <f>IF(AND(Settings!$I$45="Yes",Settings!$J$45="No"),$G30,0)+IF(AND(Settings!$I$46="Yes",Settings!$J$46="No"),$H30,0)+IF(AND(Settings!$I$47="Yes",Settings!$J$47="No"),$I30,0)+IF(AND(Settings!$I$48="Yes",Settings!$J$48="No"),$J30,0)+IF(AND(Settings!$I$49="Yes",Settings!$J$49="No"),$K30,0)+IF(AND(Settings!$I$50="Yes",Settings!$J$50="No"),$L30,0)+IF(AND(Settings!$I$51="Yes",Settings!$J$51="No"),$M30,0)+IF(AND(Settings!$I$52="Yes",Settings!$J$52="No"),$N30,0)+IF(AND(Settings!$I$53="Yes",Settings!$J$53="No"),$O30,0)+IF(AND(Settings!$I$54="Yes",Settings!$J$54="No"),$P30,0)+IF(AND(Settings!$I$55="Yes",Settings!$J$55="No"),$Q30,0)+IF(AND(Settings!$I$56="Yes",Settings!$J$56="No"),$R30,0)</f>
        <v/>
      </c>
      <c r="FH30">
        <f>SUMIFS(Giving!$B$7:$B$2006,Giving!$A$7:$A$2006,"&gt;="&amp;$A30,Giving!$A$7:$A$2006,"&lt;="&amp;$B30,Giving!$G$7:$G$2006,"Yes")+IF(OR(OR(Settings!$B$60="",Settings!$F$60="No"),Settings!$H$60&lt;&gt;"Yes"),0,Settings!$B$60*IF(AND(IF(Settings!$C$60="",$B30,DATE(YEAR($A30),MONTH($A30),MIN(Settings!$C$60,DAY($B30))))&gt;=MAX($A30,Settings!$D$60),IF(Settings!$C$60="",$B30,DATE(YEAR($A30),MONTH($A30),MIN(Settings!$C$60,DAY($B30))))&lt;=MIN($C30,IF(Settings!$E$60="",$C30,Settings!$E$60))),1,0))+IF(OR(OR(Settings!$B$61="",Settings!$F$61="No"),Settings!$H$61&lt;&gt;"Yes"),0,Settings!$B$61*IF(AND(IF(Settings!$C$61="",$B30,DATE(YEAR($A30),MONTH($A30),MIN(Settings!$C$61,DAY($B30))))&gt;=MAX($A30,Settings!$D$61),IF(Settings!$C$61="",$B30,DATE(YEAR($A30),MONTH($A30),MIN(Settings!$C$61,DAY($B30))))&lt;=MIN($C30,IF(Settings!$E$61="",$C30,Settings!$E$61))),1,0))+IF(OR(OR(Settings!$B$62="",Settings!$F$62="No"),Settings!$H$62&lt;&gt;"Yes"),0,Settings!$B$62*IF(AND(IF(Settings!$C$62="",$B30,DATE(YEAR($A30),MONTH($A30),MIN(Settings!$C$62,DAY($B30))))&gt;=MAX($A30,Settings!$D$62),IF(Settings!$C$62="",$B30,DATE(YEAR($A30),MONTH($A30),MIN(Settings!$C$62,DAY($B30))))&lt;=MIN($C30,IF(Settings!$E$62="",$C30,Settings!$E$62))),1,0))+IF(OR(OR(Settings!$B$63="",Settings!$F$63="No"),Settings!$H$63&lt;&gt;"Yes"),0,Settings!$B$63*IF(AND(IF(Settings!$C$63="",$B30,DATE(YEAR($A30),MONTH($A30),MIN(Settings!$C$63,DAY($B30))))&gt;=MAX($A30,Settings!$D$63),IF(Settings!$C$63="",$B30,DATE(YEAR($A30),MONTH($A30),MIN(Settings!$C$63,DAY($B30))))&lt;=MIN($C30,IF(Settings!$E$63="",$C30,Settings!$E$63))),1,0))+IF(OR(OR(Settings!$B$64="",Settings!$F$64="No"),Settings!$H$64&lt;&gt;"Yes"),0,Settings!$B$64*IF(AND(IF(Settings!$C$64="",$B30,DATE(YEAR($A30),MONTH($A30),MIN(Settings!$C$64,DAY($B30))))&gt;=MAX($A30,Settings!$D$64),IF(Settings!$C$64="",$B30,DATE(YEAR($A30),MONTH($A30),MIN(Settings!$C$64,DAY($B30))))&lt;=MIN($C30,IF(Settings!$E$64="",$C30,Settings!$E$64))),1,0))+IF(OR(OR(Settings!$B$65="",Settings!$F$65="No"),Settings!$H$65&lt;&gt;"Yes"),0,Settings!$B$65*IF(AND(IF(Settings!$C$65="",$B30,DATE(YEAR($A30),MONTH($A30),MIN(Settings!$C$65,DAY($B30))))&gt;=MAX($A30,Settings!$D$65),IF(Settings!$C$65="",$B30,DATE(YEAR($A30),MONTH($A30),MIN(Settings!$C$65,DAY($B30))))&lt;=MIN($C30,IF(Settings!$E$65="",$C30,Settings!$E$65))),1,0))</f>
        <v/>
      </c>
      <c r="FI30">
        <f>IF($DT30=1,IF(OR(Settings!$B$19="Card",Settings!$B$19="Loan"),N($AE30),0)+IF(OR(Settings!$B$20="Card",Settings!$B$20="Loan"),N($AF30),0)+IF(OR(Settings!$B$21="Card",Settings!$B$21="Loan"),N($AG30),0)+IF(OR(Settings!$B$22="Card",Settings!$B$22="Loan"),N($AH30),0)+IF(OR(Settings!$B$23="Card",Settings!$B$23="Loan"),N($AI30),0)+IF(OR(Settings!$B$24="Card",Settings!$B$24="Loan"),N($AJ30),0)+IF(OR(Settings!$B$25="Card",Settings!$B$25="Loan"),N($AK30),0)+IF(OR(Settings!$B$26="Card",Settings!$B$26="Loan"),N($AL30),0)+IF(OR(Settings!$B$27="Card",Settings!$B$27="Loan"),N($AM30),0)+IF(OR(Settings!$B$28="Card",Settings!$B$28="Loan"),N($AN30),0)+IF(OR(Settings!$B$29="Card",Settings!$B$29="Loan"),N($AO30),0)+IF(OR(Settings!$B$30="Card",Settings!$B$30="Loan"),N($AP30),0)+IF(OR(Settings!$B$31="Card",Settings!$B$31="Loan"),N($AQ30),0)+IF(OR(Settings!$B$32="Card",Settings!$B$32="Loan"),N($AR30),0),"")</f>
        <v/>
      </c>
      <c r="FJ30">
        <f>IF($E30="open",$EB$65,IF($E30="post",IF($E29="pre",$EB$65,$FI29),""))</f>
        <v/>
      </c>
      <c r="FK30">
        <f>IF(AND($DT30=1,$DC30=1),IF(ROUND($FI30-$FJ30,2)&gt;0,1,0),0)</f>
        <v/>
      </c>
      <c r="FL30">
        <f>IF($FK30=1,$FL29+1,0)</f>
        <v/>
      </c>
    </row>
    <row r="31">
      <c r="A31">
        <f>'Month-End'!$AB$4</f>
        <v/>
      </c>
      <c r="B31">
        <f>EOMONTH($A31,0)</f>
        <v/>
      </c>
      <c r="C31">
        <f>MIN($B31,TODAY())</f>
        <v/>
      </c>
      <c r="D31">
        <f>IF($A31&gt;TODAY(),1,0)</f>
        <v/>
      </c>
      <c r="E31">
        <f>IF($B31&lt;=Settings!$B$5,"pre",IF($A31&lt;=Settings!$B$5,"open","post"))</f>
        <v/>
      </c>
      <c r="G31">
        <f>IF('Month-End'!$AB$22="",$BE31,N('Month-End'!$AB$22))</f>
        <v/>
      </c>
      <c r="H31">
        <f>IF('Month-End'!$AB$23="",$BF31,N('Month-End'!$AB$23))</f>
        <v/>
      </c>
      <c r="I31">
        <f>IF('Month-End'!$AB$24="",$BG31,N('Month-End'!$AB$24))</f>
        <v/>
      </c>
      <c r="J31">
        <f>IF('Month-End'!$AB$25="",$BH31,N('Month-End'!$AB$25))</f>
        <v/>
      </c>
      <c r="K31">
        <f>IF('Month-End'!$AB$26="",$BI31,N('Month-End'!$AB$26))</f>
        <v/>
      </c>
      <c r="L31">
        <f>IF('Month-End'!$AB$27="",$BJ31,N('Month-End'!$AB$27))</f>
        <v/>
      </c>
      <c r="M31">
        <f>IF('Month-End'!$AB$28="",$BK31,N('Month-End'!$AB$28))</f>
        <v/>
      </c>
      <c r="N31">
        <f>IF('Month-End'!$AB$29="",$BL31,N('Month-End'!$AB$29))</f>
        <v/>
      </c>
      <c r="O31">
        <f>IF('Month-End'!$AB$30="",$BM31,N('Month-End'!$AB$30))</f>
        <v/>
      </c>
      <c r="P31">
        <f>IF('Month-End'!$AB$31="",$BN31,N('Month-End'!$AB$31))</f>
        <v/>
      </c>
      <c r="Q31">
        <f>IF('Month-End'!$AB$32="",$BO31,N('Month-End'!$AB$32))</f>
        <v/>
      </c>
      <c r="R31">
        <f>IF('Month-End'!$AB$33="",$BP31,N('Month-End'!$AB$33))</f>
        <v/>
      </c>
      <c r="S31">
        <f>$G31+$H31+$I31+$J31+$K31+$L31+$M31+$N31+$O31+$P31+$Q31+$R31</f>
        <v/>
      </c>
      <c r="T31">
        <f>IF($B31&lt;Settings!$B$6,0,IF(Settings!$B$45="Yes",$G31,0)+IF(Settings!$B$46="Yes",$H31,0)+IF(Settings!$B$47="Yes",$I31,0)+IF(Settings!$B$48="Yes",$J31,0)+IF(Settings!$B$49="Yes",$K31,0)+IF(Settings!$B$50="Yes",$L31,0)+IF(Settings!$B$51="Yes",$M31,0)+IF(Settings!$B$52="Yes",$N31,0)+IF(Settings!$B$53="Yes",$O31,0)+IF(Settings!$B$54="Yes",$P31,0)+IF(Settings!$B$55="Yes",$Q31,0)+IF(Settings!$B$56="Yes",$R31,0))</f>
        <v/>
      </c>
      <c r="U31">
        <f>IF(Settings!$B$45="Not Sure",$G31,0)+IF(Settings!$B$46="Not Sure",$H31,0)+IF(Settings!$B$47="Not Sure",$I31,0)+IF(Settings!$B$48="Not Sure",$J31,0)+IF(Settings!$B$49="Not Sure",$K31,0)+IF(Settings!$B$50="Not Sure",$L31,0)+IF(Settings!$B$51="Not Sure",$M31,0)+IF(Settings!$B$52="Not Sure",$N31,0)+IF(Settings!$B$53="Not Sure",$O31,0)+IF(Settings!$B$54="Not Sure",$P31,0)+IF(Settings!$B$55="Not Sure",$Q31,0)+IF(Settings!$B$56="Not Sure",$R31,0)</f>
        <v/>
      </c>
      <c r="V31">
        <f>IF($E31="open",SUM($ET31:$FE31)+N(Settings!$B$13),0)</f>
        <v/>
      </c>
      <c r="W31">
        <f>IF($E31="post",$S31,IF($E31="open",$S31-$V31,0))</f>
        <v/>
      </c>
      <c r="X31">
        <f>SUMIFS(Giving!$B$7:$B$2006,Giving!$A$7:$A$2006,"&gt;="&amp;$A31,Giving!$A$7:$A$2006,"&lt;="&amp;$B31,Giving!$E$7:$E$2006,"&lt;&gt;No")</f>
        <v/>
      </c>
      <c r="Y31">
        <f>SUMIFS(Giving!$B$7:$B$2006,Giving!$A$7:$A$2006,"&gt;="&amp;$A31,Giving!$A$7:$A$2006,"&lt;="&amp;$B31,Giving!$E$7:$E$2006,"No")</f>
        <v/>
      </c>
      <c r="Z31">
        <f>IF(OR(Settings!$B$60="",Settings!$F$60="No"),0,Settings!$B$60*IF(AND(IF(Settings!$C$60="",$B31,DATE(YEAR($A31),MONTH($A31),MIN(Settings!$C$60,DAY($B31))))&gt;=MAX($A31,Settings!$D$60),IF(Settings!$C$60="",$B31,DATE(YEAR($A31),MONTH($A31),MIN(Settings!$C$60,DAY($B31))))&lt;=MIN($C31,IF(Settings!$E$60="",$C31,Settings!$E$60))),1,0))+IF(OR(Settings!$B$61="",Settings!$F$61="No"),0,Settings!$B$61*IF(AND(IF(Settings!$C$61="",$B31,DATE(YEAR($A31),MONTH($A31),MIN(Settings!$C$61,DAY($B31))))&gt;=MAX($A31,Settings!$D$61),IF(Settings!$C$61="",$B31,DATE(YEAR($A31),MONTH($A31),MIN(Settings!$C$61,DAY($B31))))&lt;=MIN($C31,IF(Settings!$E$61="",$C31,Settings!$E$61))),1,0))+IF(OR(Settings!$B$62="",Settings!$F$62="No"),0,Settings!$B$62*IF(AND(IF(Settings!$C$62="",$B31,DATE(YEAR($A31),MONTH($A31),MIN(Settings!$C$62,DAY($B31))))&gt;=MAX($A31,Settings!$D$62),IF(Settings!$C$62="",$B31,DATE(YEAR($A31),MONTH($A31),MIN(Settings!$C$62,DAY($B31))))&lt;=MIN($C31,IF(Settings!$E$62="",$C31,Settings!$E$62))),1,0))+IF(OR(Settings!$B$63="",Settings!$F$63="No"),0,Settings!$B$63*IF(AND(IF(Settings!$C$63="",$B31,DATE(YEAR($A31),MONTH($A31),MIN(Settings!$C$63,DAY($B31))))&gt;=MAX($A31,Settings!$D$63),IF(Settings!$C$63="",$B31,DATE(YEAR($A31),MONTH($A31),MIN(Settings!$C$63,DAY($B31))))&lt;=MIN($C31,IF(Settings!$E$63="",$C31,Settings!$E$63))),1,0))+IF(OR(Settings!$B$64="",Settings!$F$64="No"),0,Settings!$B$64*IF(AND(IF(Settings!$C$64="",$B31,DATE(YEAR($A31),MONTH($A31),MIN(Settings!$C$64,DAY($B31))))&gt;=MAX($A31,Settings!$D$64),IF(Settings!$C$64="",$B31,DATE(YEAR($A31),MONTH($A31),MIN(Settings!$C$64,DAY($B31))))&lt;=MIN($C31,IF(Settings!$E$64="",$C31,Settings!$E$64))),1,0))+IF(OR(Settings!$B$65="",Settings!$F$65="No"),0,Settings!$B$65*IF(AND(IF(Settings!$C$65="",$B31,DATE(YEAR($A31),MONTH($A31),MIN(Settings!$C$65,DAY($B31))))&gt;=MAX($A31,Settings!$D$65),IF(Settings!$C$65="",$B31,DATE(YEAR($A31),MONTH($A31),MIN(Settings!$C$65,DAY($B31))))&lt;=MIN($C31,IF(Settings!$E$65="",$C31,Settings!$E$65))),1,0))</f>
        <v/>
      </c>
      <c r="AA31">
        <f>$X31+$Z31</f>
        <v/>
      </c>
      <c r="AB31">
        <f>IF($E31="post",$AA31,IF($E31="open",SUMIFS(Giving!$B$7:$B$2006,Giving!$A$7:$A$2006,"&gt;"&amp;Settings!$B$5,Giving!$A$7:$A$2006,"&lt;="&amp;$B31,Giving!$E$7:$E$2006,"&lt;&gt;No")+IF(OR(Settings!$B$60="",Settings!$F$60="No"),0,Settings!$B$60*IF(AND(IF(Settings!$C$60="",$B31,DATE(YEAR($A31),MONTH($A31),MIN(Settings!$C$60,DAY($B31))))&gt;=MAX($A31,Settings!$D$60,Settings!$B$5+1),IF(Settings!$C$60="",$B31,DATE(YEAR($A31),MONTH($A31),MIN(Settings!$C$60,DAY($B31))))&lt;=MIN($C31,IF(Settings!$E$60="",$C31,Settings!$E$60))),1,0))+IF(OR(Settings!$B$61="",Settings!$F$61="No"),0,Settings!$B$61*IF(AND(IF(Settings!$C$61="",$B31,DATE(YEAR($A31),MONTH($A31),MIN(Settings!$C$61,DAY($B31))))&gt;=MAX($A31,Settings!$D$61,Settings!$B$5+1),IF(Settings!$C$61="",$B31,DATE(YEAR($A31),MONTH($A31),MIN(Settings!$C$61,DAY($B31))))&lt;=MIN($C31,IF(Settings!$E$61="",$C31,Settings!$E$61))),1,0))+IF(OR(Settings!$B$62="",Settings!$F$62="No"),0,Settings!$B$62*IF(AND(IF(Settings!$C$62="",$B31,DATE(YEAR($A31),MONTH($A31),MIN(Settings!$C$62,DAY($B31))))&gt;=MAX($A31,Settings!$D$62,Settings!$B$5+1),IF(Settings!$C$62="",$B31,DATE(YEAR($A31),MONTH($A31),MIN(Settings!$C$62,DAY($B31))))&lt;=MIN($C31,IF(Settings!$E$62="",$C31,Settings!$E$62))),1,0))+IF(OR(Settings!$B$63="",Settings!$F$63="No"),0,Settings!$B$63*IF(AND(IF(Settings!$C$63="",$B31,DATE(YEAR($A31),MONTH($A31),MIN(Settings!$C$63,DAY($B31))))&gt;=MAX($A31,Settings!$D$63,Settings!$B$5+1),IF(Settings!$C$63="",$B31,DATE(YEAR($A31),MONTH($A31),MIN(Settings!$C$63,DAY($B31))))&lt;=MIN($C31,IF(Settings!$E$63="",$C31,Settings!$E$63))),1,0))+IF(OR(Settings!$B$64="",Settings!$F$64="No"),0,Settings!$B$64*IF(AND(IF(Settings!$C$64="",$B31,DATE(YEAR($A31),MONTH($A31),MIN(Settings!$C$64,DAY($B31))))&gt;=MAX($A31,Settings!$D$64,Settings!$B$5+1),IF(Settings!$C$64="",$B31,DATE(YEAR($A31),MONTH($A31),MIN(Settings!$C$64,DAY($B31))))&lt;=MIN($C31,IF(Settings!$E$64="",$C31,Settings!$E$64))),1,0))+IF(OR(Settings!$B$65="",Settings!$F$65="No"),0,Settings!$B$65*IF(AND(IF(Settings!$C$65="",$B31,DATE(YEAR($A31),MONTH($A31),MIN(Settings!$C$65,DAY($B31))))&gt;=MAX($A31,Settings!$D$65,Settings!$B$5+1),IF(Settings!$C$65="",$B31,DATE(YEAR($A31),MONTH($A31),MIN(Settings!$C$65,DAY($B31))))&lt;=MIN($C31,IF(Settings!$E$65="",$C31,Settings!$E$65))),1,0)),0))</f>
        <v/>
      </c>
      <c r="AC31">
        <f>$AY31+$AZ31+$BA31+$BB31+$BC31+$BD31</f>
        <v/>
      </c>
      <c r="AD31">
        <f>$AC31</f>
        <v/>
      </c>
      <c r="AE31">
        <f>IF(OR(Settings!$A$19="",$E31="pre"),"",IF(AND('Month-End'!$AB$7&lt;&gt;"",NOT(_xlfn.ISFORMULA('Month-End'!$AB$7))),N('Month-End'!$AB$7),IF(OR($E31="open",$E30="pre"),N(Settings!$C$19),N($AE30))))</f>
        <v/>
      </c>
      <c r="AF31">
        <f>IF(OR(Settings!$A$20="",$E31="pre"),"",IF(AND('Month-End'!$AB$8&lt;&gt;"",NOT(_xlfn.ISFORMULA('Month-End'!$AB$8))),N('Month-End'!$AB$8),IF(OR($E31="open",$E30="pre"),N(Settings!$C$20),N($AF30))))</f>
        <v/>
      </c>
      <c r="AG31">
        <f>IF(OR(Settings!$A$21="",$E31="pre"),"",IF(AND('Month-End'!$AB$9&lt;&gt;"",NOT(_xlfn.ISFORMULA('Month-End'!$AB$9))),N('Month-End'!$AB$9),IF(OR($E31="open",$E30="pre"),N(Settings!$C$21),N($AG30))))</f>
        <v/>
      </c>
      <c r="AH31">
        <f>IF(OR(Settings!$A$22="",$E31="pre"),"",IF(AND('Month-End'!$AB$10&lt;&gt;"",NOT(_xlfn.ISFORMULA('Month-End'!$AB$10))),N('Month-End'!$AB$10),IF(OR($E31="open",$E30="pre"),N(Settings!$C$22),N($AH30))))</f>
        <v/>
      </c>
      <c r="AI31">
        <f>IF(OR(Settings!$A$23="",$E31="pre"),"",IF(AND('Month-End'!$AB$11&lt;&gt;"",NOT(_xlfn.ISFORMULA('Month-End'!$AB$11))),N('Month-End'!$AB$11),IF(OR($E31="open",$E30="pre"),N(Settings!$C$23),N($AI30))))</f>
        <v/>
      </c>
      <c r="AJ31">
        <f>IF(OR(Settings!$A$24="",$E31="pre"),"",IF(AND('Month-End'!$AB$12&lt;&gt;"",NOT(_xlfn.ISFORMULA('Month-End'!$AB$12))),N('Month-End'!$AB$12),IF(OR($E31="open",$E30="pre"),N(Settings!$C$24),N($AJ30))))</f>
        <v/>
      </c>
      <c r="AK31">
        <f>IF(OR(Settings!$A$25="",$E31="pre"),"",IF(AND('Month-End'!$AB$13&lt;&gt;"",NOT(_xlfn.ISFORMULA('Month-End'!$AB$13))),N('Month-End'!$AB$13),IF(OR($E31="open",$E30="pre"),N(Settings!$C$25),N($AK30))))</f>
        <v/>
      </c>
      <c r="AL31">
        <f>IF(OR(Settings!$A$26="",$E31="pre"),"",IF(AND('Month-End'!$AB$14&lt;&gt;"",NOT(_xlfn.ISFORMULA('Month-End'!$AB$14))),N('Month-End'!$AB$14),IF(OR($E31="open",$E30="pre"),N(Settings!$C$26),N($AL30))))</f>
        <v/>
      </c>
      <c r="AM31">
        <f>IF(OR(Settings!$A$27="",$E31="pre"),"",IF(AND('Month-End'!$AB$15&lt;&gt;"",NOT(_xlfn.ISFORMULA('Month-End'!$AB$15))),N('Month-End'!$AB$15),IF(OR($E31="open",$E30="pre"),N(Settings!$C$27),N($AM30))))</f>
        <v/>
      </c>
      <c r="AN31">
        <f>IF(OR(Settings!$A$28="",$E31="pre"),"",IF(AND('Month-End'!$AB$16&lt;&gt;"",NOT(_xlfn.ISFORMULA('Month-End'!$AB$16))),N('Month-End'!$AB$16),IF(OR($E31="open",$E30="pre"),N(Settings!$C$28),N($AN30))))</f>
        <v/>
      </c>
      <c r="AO31">
        <f>IF(OR(Settings!$A$29="",$E31="pre"),"",IF(AND('Month-End'!$AB$17&lt;&gt;"",NOT(_xlfn.ISFORMULA('Month-End'!$AB$17))),N('Month-End'!$AB$17),IF(OR($E31="open",$E30="pre"),N(Settings!$C$29),N($AO30))))</f>
        <v/>
      </c>
      <c r="AP31">
        <f>IF(OR(Settings!$A$30="",$E31="pre"),"",IF(AND('Month-End'!$AB$18&lt;&gt;"",NOT(_xlfn.ISFORMULA('Month-End'!$AB$18))),N('Month-End'!$AB$18),IF(OR($E31="open",$E30="pre"),N(Settings!$C$30),N($AP30))))</f>
        <v/>
      </c>
      <c r="AQ31">
        <f>IF(OR(Settings!$A$31="",$E31="pre"),"",IF(AND('Month-End'!$AB$19&lt;&gt;"",NOT(_xlfn.ISFORMULA('Month-End'!$AB$19))),N('Month-End'!$AB$19),IF(OR($E31="open",$E30="pre"),N(Settings!$C$31),N($AQ30))))</f>
        <v/>
      </c>
      <c r="AR31">
        <f>IF(OR(Settings!$A$32="",$E31="pre"),"",IF(AND('Month-End'!$AB$20&lt;&gt;"",NOT(_xlfn.ISFORMULA('Month-End'!$AB$20))),N('Month-End'!$AB$20),IF(OR($E31="open",$E30="pre"),N(Settings!$C$32),N($AR30))))</f>
        <v/>
      </c>
      <c r="AS31">
        <f>IF(OR(Settings!$A$36="",$E31="pre"),"",IF(AND('Month-End'!$AB$38&lt;&gt;"",NOT(_xlfn.ISFORMULA('Month-End'!$AB$38))),N('Month-End'!$AB$38),IF(OR($E31="open",$E30="pre"),N(Settings!$C$36),N($AS30))+$AY31))</f>
        <v/>
      </c>
      <c r="AT31">
        <f>IF(OR(Settings!$A$37="",$E31="pre"),"",IF(AND('Month-End'!$AB$39&lt;&gt;"",NOT(_xlfn.ISFORMULA('Month-End'!$AB$39))),N('Month-End'!$AB$39),IF(OR($E31="open",$E30="pre"),N(Settings!$C$37),N($AT30))+$AZ31))</f>
        <v/>
      </c>
      <c r="AU31">
        <f>IF(OR(Settings!$A$38="",$E31="pre"),"",IF(AND('Month-End'!$AB$40&lt;&gt;"",NOT(_xlfn.ISFORMULA('Month-End'!$AB$40))),N('Month-End'!$AB$40),IF(OR($E31="open",$E30="pre"),N(Settings!$C$38),N($AU30))+$BA31))</f>
        <v/>
      </c>
      <c r="AV31">
        <f>IF(OR(Settings!$A$39="",$E31="pre"),"",IF(AND('Month-End'!$AB$41&lt;&gt;"",NOT(_xlfn.ISFORMULA('Month-End'!$AB$41))),N('Month-End'!$AB$41),IF(OR($E31="open",$E30="pre"),N(Settings!$C$39),N($AV30))+$BB31))</f>
        <v/>
      </c>
      <c r="AW31">
        <f>IF(OR(Settings!$A$40="",$E31="pre"),"",IF(AND('Month-End'!$AB$42&lt;&gt;"",NOT(_xlfn.ISFORMULA('Month-End'!$AB$42))),N('Month-End'!$AB$42),IF(OR($E31="open",$E30="pre"),N(Settings!$C$40),N($AW30))+$BC31))</f>
        <v/>
      </c>
      <c r="AX31">
        <f>IF(OR(Settings!$A$41="",$E31="pre"),"",IF(AND('Month-End'!$AB$43&lt;&gt;"",NOT(_xlfn.ISFORMULA('Month-End'!$AB$43))),N('Month-End'!$AB$43),IF(OR($E31="open",$E30="pre"),N(Settings!$C$41),N($AX30))+$BD31))</f>
        <v/>
      </c>
      <c r="AY31">
        <f>IF($E31="pre",0,N('Month-End'!$AB$45))</f>
        <v/>
      </c>
      <c r="AZ31">
        <f>IF($E31="pre",0,N('Month-End'!$AB$46))</f>
        <v/>
      </c>
      <c r="BA31">
        <f>IF($E31="pre",0,N('Month-End'!$AB$47))</f>
        <v/>
      </c>
      <c r="BB31">
        <f>IF($E31="pre",0,N('Month-End'!$AB$48))</f>
        <v/>
      </c>
      <c r="BC31">
        <f>IF($E31="pre",0,N('Month-End'!$AB$49))</f>
        <v/>
      </c>
      <c r="BD31">
        <f>IF($E31="pre",0,N('Month-End'!$AB$50))</f>
        <v/>
      </c>
      <c r="BE31">
        <f>IF(OR(Settings!$C$45="",Settings!$D$45=""),0,Settings!$C$45*IF(Settings!$D$45="Weekly",IF(IFERROR(MATCH(Settings!$E$45,$EO$4:$EO$10,0),0)=0,0,IF(MIN($C31,IF(Settings!$G$45="",$C31,Settings!$G$45))&lt;MAX($A31,Settings!$F$45),0,INT((MIN($C31,IF(Settings!$G$45="",$C31,Settings!$G$45))-MAX($A31,Settings!$F$45)-MOD(IFERROR(MATCH(Settings!$E$45,$EO$4:$EO$10,0),0)-WEEKDAY(MAX($A31,Settings!$F$45)),7))/7)+1)),IF(AND(IF(Settings!$E$45="",$B31,DATE(YEAR($A31),MONTH($A31),MIN(Settings!$E$45,DAY($B31))))&gt;=MAX($A31,Settings!$F$45),IF(Settings!$E$45="",$B31,DATE(YEAR($A31),MONTH($A31),MIN(Settings!$E$45,DAY($B31))))&lt;=MIN($C31,IF(Settings!$G$45="",$C31,Settings!$G$45))),1,0)))</f>
        <v/>
      </c>
      <c r="BF31">
        <f>IF(OR(Settings!$C$46="",Settings!$D$46=""),0,Settings!$C$46*IF(Settings!$D$46="Weekly",IF(IFERROR(MATCH(Settings!$E$46,$EO$4:$EO$10,0),0)=0,0,IF(MIN($C31,IF(Settings!$G$46="",$C31,Settings!$G$46))&lt;MAX($A31,Settings!$F$46),0,INT((MIN($C31,IF(Settings!$G$46="",$C31,Settings!$G$46))-MAX($A31,Settings!$F$46)-MOD(IFERROR(MATCH(Settings!$E$46,$EO$4:$EO$10,0),0)-WEEKDAY(MAX($A31,Settings!$F$46)),7))/7)+1)),IF(AND(IF(Settings!$E$46="",$B31,DATE(YEAR($A31),MONTH($A31),MIN(Settings!$E$46,DAY($B31))))&gt;=MAX($A31,Settings!$F$46),IF(Settings!$E$46="",$B31,DATE(YEAR($A31),MONTH($A31),MIN(Settings!$E$46,DAY($B31))))&lt;=MIN($C31,IF(Settings!$G$46="",$C31,Settings!$G$46))),1,0)))</f>
        <v/>
      </c>
      <c r="BG31">
        <f>IF(OR(Settings!$C$47="",Settings!$D$47=""),0,Settings!$C$47*IF(Settings!$D$47="Weekly",IF(IFERROR(MATCH(Settings!$E$47,$EO$4:$EO$10,0),0)=0,0,IF(MIN($C31,IF(Settings!$G$47="",$C31,Settings!$G$47))&lt;MAX($A31,Settings!$F$47),0,INT((MIN($C31,IF(Settings!$G$47="",$C31,Settings!$G$47))-MAX($A31,Settings!$F$47)-MOD(IFERROR(MATCH(Settings!$E$47,$EO$4:$EO$10,0),0)-WEEKDAY(MAX($A31,Settings!$F$47)),7))/7)+1)),IF(AND(IF(Settings!$E$47="",$B31,DATE(YEAR($A31),MONTH($A31),MIN(Settings!$E$47,DAY($B31))))&gt;=MAX($A31,Settings!$F$47),IF(Settings!$E$47="",$B31,DATE(YEAR($A31),MONTH($A31),MIN(Settings!$E$47,DAY($B31))))&lt;=MIN($C31,IF(Settings!$G$47="",$C31,Settings!$G$47))),1,0)))</f>
        <v/>
      </c>
      <c r="BH31">
        <f>IF(OR(Settings!$C$48="",Settings!$D$48=""),0,Settings!$C$48*IF(Settings!$D$48="Weekly",IF(IFERROR(MATCH(Settings!$E$48,$EO$4:$EO$10,0),0)=0,0,IF(MIN($C31,IF(Settings!$G$48="",$C31,Settings!$G$48))&lt;MAX($A31,Settings!$F$48),0,INT((MIN($C31,IF(Settings!$G$48="",$C31,Settings!$G$48))-MAX($A31,Settings!$F$48)-MOD(IFERROR(MATCH(Settings!$E$48,$EO$4:$EO$10,0),0)-WEEKDAY(MAX($A31,Settings!$F$48)),7))/7)+1)),IF(AND(IF(Settings!$E$48="",$B31,DATE(YEAR($A31),MONTH($A31),MIN(Settings!$E$48,DAY($B31))))&gt;=MAX($A31,Settings!$F$48),IF(Settings!$E$48="",$B31,DATE(YEAR($A31),MONTH($A31),MIN(Settings!$E$48,DAY($B31))))&lt;=MIN($C31,IF(Settings!$G$48="",$C31,Settings!$G$48))),1,0)))</f>
        <v/>
      </c>
      <c r="BI31">
        <f>IF(OR(Settings!$C$49="",Settings!$D$49=""),0,Settings!$C$49*IF(Settings!$D$49="Weekly",IF(IFERROR(MATCH(Settings!$E$49,$EO$4:$EO$10,0),0)=0,0,IF(MIN($C31,IF(Settings!$G$49="",$C31,Settings!$G$49))&lt;MAX($A31,Settings!$F$49),0,INT((MIN($C31,IF(Settings!$G$49="",$C31,Settings!$G$49))-MAX($A31,Settings!$F$49)-MOD(IFERROR(MATCH(Settings!$E$49,$EO$4:$EO$10,0),0)-WEEKDAY(MAX($A31,Settings!$F$49)),7))/7)+1)),IF(AND(IF(Settings!$E$49="",$B31,DATE(YEAR($A31),MONTH($A31),MIN(Settings!$E$49,DAY($B31))))&gt;=MAX($A31,Settings!$F$49),IF(Settings!$E$49="",$B31,DATE(YEAR($A31),MONTH($A31),MIN(Settings!$E$49,DAY($B31))))&lt;=MIN($C31,IF(Settings!$G$49="",$C31,Settings!$G$49))),1,0)))</f>
        <v/>
      </c>
      <c r="BJ31">
        <f>IF(OR(Settings!$C$50="",Settings!$D$50=""),0,Settings!$C$50*IF(Settings!$D$50="Weekly",IF(IFERROR(MATCH(Settings!$E$50,$EO$4:$EO$10,0),0)=0,0,IF(MIN($C31,IF(Settings!$G$50="",$C31,Settings!$G$50))&lt;MAX($A31,Settings!$F$50),0,INT((MIN($C31,IF(Settings!$G$50="",$C31,Settings!$G$50))-MAX($A31,Settings!$F$50)-MOD(IFERROR(MATCH(Settings!$E$50,$EO$4:$EO$10,0),0)-WEEKDAY(MAX($A31,Settings!$F$50)),7))/7)+1)),IF(AND(IF(Settings!$E$50="",$B31,DATE(YEAR($A31),MONTH($A31),MIN(Settings!$E$50,DAY($B31))))&gt;=MAX($A31,Settings!$F$50),IF(Settings!$E$50="",$B31,DATE(YEAR($A31),MONTH($A31),MIN(Settings!$E$50,DAY($B31))))&lt;=MIN($C31,IF(Settings!$G$50="",$C31,Settings!$G$50))),1,0)))</f>
        <v/>
      </c>
      <c r="BK31">
        <f>IF(OR(Settings!$C$51="",Settings!$D$51=""),0,Settings!$C$51*IF(Settings!$D$51="Weekly",IF(IFERROR(MATCH(Settings!$E$51,$EO$4:$EO$10,0),0)=0,0,IF(MIN($C31,IF(Settings!$G$51="",$C31,Settings!$G$51))&lt;MAX($A31,Settings!$F$51),0,INT((MIN($C31,IF(Settings!$G$51="",$C31,Settings!$G$51))-MAX($A31,Settings!$F$51)-MOD(IFERROR(MATCH(Settings!$E$51,$EO$4:$EO$10,0),0)-WEEKDAY(MAX($A31,Settings!$F$51)),7))/7)+1)),IF(AND(IF(Settings!$E$51="",$B31,DATE(YEAR($A31),MONTH($A31),MIN(Settings!$E$51,DAY($B31))))&gt;=MAX($A31,Settings!$F$51),IF(Settings!$E$51="",$B31,DATE(YEAR($A31),MONTH($A31),MIN(Settings!$E$51,DAY($B31))))&lt;=MIN($C31,IF(Settings!$G$51="",$C31,Settings!$G$51))),1,0)))</f>
        <v/>
      </c>
      <c r="BL31">
        <f>IF(OR(Settings!$C$52="",Settings!$D$52=""),0,Settings!$C$52*IF(Settings!$D$52="Weekly",IF(IFERROR(MATCH(Settings!$E$52,$EO$4:$EO$10,0),0)=0,0,IF(MIN($C31,IF(Settings!$G$52="",$C31,Settings!$G$52))&lt;MAX($A31,Settings!$F$52),0,INT((MIN($C31,IF(Settings!$G$52="",$C31,Settings!$G$52))-MAX($A31,Settings!$F$52)-MOD(IFERROR(MATCH(Settings!$E$52,$EO$4:$EO$10,0),0)-WEEKDAY(MAX($A31,Settings!$F$52)),7))/7)+1)),IF(AND(IF(Settings!$E$52="",$B31,DATE(YEAR($A31),MONTH($A31),MIN(Settings!$E$52,DAY($B31))))&gt;=MAX($A31,Settings!$F$52),IF(Settings!$E$52="",$B31,DATE(YEAR($A31),MONTH($A31),MIN(Settings!$E$52,DAY($B31))))&lt;=MIN($C31,IF(Settings!$G$52="",$C31,Settings!$G$52))),1,0)))</f>
        <v/>
      </c>
      <c r="BM31">
        <f>IF(OR(Settings!$C$53="",Settings!$D$53=""),0,Settings!$C$53*IF(Settings!$D$53="Weekly",IF(IFERROR(MATCH(Settings!$E$53,$EO$4:$EO$10,0),0)=0,0,IF(MIN($C31,IF(Settings!$G$53="",$C31,Settings!$G$53))&lt;MAX($A31,Settings!$F$53),0,INT((MIN($C31,IF(Settings!$G$53="",$C31,Settings!$G$53))-MAX($A31,Settings!$F$53)-MOD(IFERROR(MATCH(Settings!$E$53,$EO$4:$EO$10,0),0)-WEEKDAY(MAX($A31,Settings!$F$53)),7))/7)+1)),IF(AND(IF(Settings!$E$53="",$B31,DATE(YEAR($A31),MONTH($A31),MIN(Settings!$E$53,DAY($B31))))&gt;=MAX($A31,Settings!$F$53),IF(Settings!$E$53="",$B31,DATE(YEAR($A31),MONTH($A31),MIN(Settings!$E$53,DAY($B31))))&lt;=MIN($C31,IF(Settings!$G$53="",$C31,Settings!$G$53))),1,0)))</f>
        <v/>
      </c>
      <c r="BN31">
        <f>IF(OR(Settings!$C$54="",Settings!$D$54=""),0,Settings!$C$54*IF(Settings!$D$54="Weekly",IF(IFERROR(MATCH(Settings!$E$54,$EO$4:$EO$10,0),0)=0,0,IF(MIN($C31,IF(Settings!$G$54="",$C31,Settings!$G$54))&lt;MAX($A31,Settings!$F$54),0,INT((MIN($C31,IF(Settings!$G$54="",$C31,Settings!$G$54))-MAX($A31,Settings!$F$54)-MOD(IFERROR(MATCH(Settings!$E$54,$EO$4:$EO$10,0),0)-WEEKDAY(MAX($A31,Settings!$F$54)),7))/7)+1)),IF(AND(IF(Settings!$E$54="",$B31,DATE(YEAR($A31),MONTH($A31),MIN(Settings!$E$54,DAY($B31))))&gt;=MAX($A31,Settings!$F$54),IF(Settings!$E$54="",$B31,DATE(YEAR($A31),MONTH($A31),MIN(Settings!$E$54,DAY($B31))))&lt;=MIN($C31,IF(Settings!$G$54="",$C31,Settings!$G$54))),1,0)))</f>
        <v/>
      </c>
      <c r="BO31">
        <f>IF(OR(Settings!$C$55="",Settings!$D$55=""),0,Settings!$C$55*IF(Settings!$D$55="Weekly",IF(IFERROR(MATCH(Settings!$E$55,$EO$4:$EO$10,0),0)=0,0,IF(MIN($C31,IF(Settings!$G$55="",$C31,Settings!$G$55))&lt;MAX($A31,Settings!$F$55),0,INT((MIN($C31,IF(Settings!$G$55="",$C31,Settings!$G$55))-MAX($A31,Settings!$F$55)-MOD(IFERROR(MATCH(Settings!$E$55,$EO$4:$EO$10,0),0)-WEEKDAY(MAX($A31,Settings!$F$55)),7))/7)+1)),IF(AND(IF(Settings!$E$55="",$B31,DATE(YEAR($A31),MONTH($A31),MIN(Settings!$E$55,DAY($B31))))&gt;=MAX($A31,Settings!$F$55),IF(Settings!$E$55="",$B31,DATE(YEAR($A31),MONTH($A31),MIN(Settings!$E$55,DAY($B31))))&lt;=MIN($C31,IF(Settings!$G$55="",$C31,Settings!$G$55))),1,0)))</f>
        <v/>
      </c>
      <c r="BP31">
        <f>IF(OR(Settings!$C$56="",Settings!$D$56=""),0,Settings!$C$56*IF(Settings!$D$56="Weekly",IF(IFERROR(MATCH(Settings!$E$56,$EO$4:$EO$10,0),0)=0,0,IF(MIN($C31,IF(Settings!$G$56="",$C31,Settings!$G$56))&lt;MAX($A31,Settings!$F$56),0,INT((MIN($C31,IF(Settings!$G$56="",$C31,Settings!$G$56))-MAX($A31,Settings!$F$56)-MOD(IFERROR(MATCH(Settings!$E$56,$EO$4:$EO$10,0),0)-WEEKDAY(MAX($A31,Settings!$F$56)),7))/7)+1)),IF(AND(IF(Settings!$E$56="",$B31,DATE(YEAR($A31),MONTH($A31),MIN(Settings!$E$56,DAY($B31))))&gt;=MAX($A31,Settings!$F$56),IF(Settings!$E$56="",$B31,DATE(YEAR($A31),MONTH($A31),MIN(Settings!$E$56,DAY($B31))))&lt;=MIN($C31,IF(Settings!$G$56="",$C31,Settings!$G$56))),1,0)))</f>
        <v/>
      </c>
      <c r="BQ31">
        <f>IF(OR(Settings!$B$14="",$D31=1,$E31="pre",$A31&lt;IF(Settings!$B$15="",0,Settings!$B$15)),0,Settings!$B$14)</f>
        <v/>
      </c>
      <c r="BR31">
        <f>IF(AND('Month-End'!$AB$7&lt;&gt;"",NOT(_xlfn.ISFORMULA('Month-End'!$AB$7))),1,0)</f>
        <v/>
      </c>
      <c r="BS31">
        <f>IF(AND('Month-End'!$AB$8&lt;&gt;"",NOT(_xlfn.ISFORMULA('Month-End'!$AB$8))),1,0)</f>
        <v/>
      </c>
      <c r="BT31">
        <f>IF(AND('Month-End'!$AB$9&lt;&gt;"",NOT(_xlfn.ISFORMULA('Month-End'!$AB$9))),1,0)</f>
        <v/>
      </c>
      <c r="BU31">
        <f>IF(AND('Month-End'!$AB$10&lt;&gt;"",NOT(_xlfn.ISFORMULA('Month-End'!$AB$10))),1,0)</f>
        <v/>
      </c>
      <c r="BV31">
        <f>IF(AND('Month-End'!$AB$11&lt;&gt;"",NOT(_xlfn.ISFORMULA('Month-End'!$AB$11))),1,0)</f>
        <v/>
      </c>
      <c r="BW31">
        <f>IF(AND('Month-End'!$AB$12&lt;&gt;"",NOT(_xlfn.ISFORMULA('Month-End'!$AB$12))),1,0)</f>
        <v/>
      </c>
      <c r="BX31">
        <f>IF(AND('Month-End'!$AB$13&lt;&gt;"",NOT(_xlfn.ISFORMULA('Month-End'!$AB$13))),1,0)</f>
        <v/>
      </c>
      <c r="BY31">
        <f>IF(AND('Month-End'!$AB$14&lt;&gt;"",NOT(_xlfn.ISFORMULA('Month-End'!$AB$14))),1,0)</f>
        <v/>
      </c>
      <c r="BZ31">
        <f>IF(AND('Month-End'!$AB$15&lt;&gt;"",NOT(_xlfn.ISFORMULA('Month-End'!$AB$15))),1,0)</f>
        <v/>
      </c>
      <c r="CA31">
        <f>IF(AND('Month-End'!$AB$16&lt;&gt;"",NOT(_xlfn.ISFORMULA('Month-End'!$AB$16))),1,0)</f>
        <v/>
      </c>
      <c r="CB31">
        <f>IF(AND('Month-End'!$AB$17&lt;&gt;"",NOT(_xlfn.ISFORMULA('Month-End'!$AB$17))),1,0)</f>
        <v/>
      </c>
      <c r="CC31">
        <f>IF(AND('Month-End'!$AB$18&lt;&gt;"",NOT(_xlfn.ISFORMULA('Month-End'!$AB$18))),1,0)</f>
        <v/>
      </c>
      <c r="CD31">
        <f>IF(AND('Month-End'!$AB$19&lt;&gt;"",NOT(_xlfn.ISFORMULA('Month-End'!$AB$19))),1,0)</f>
        <v/>
      </c>
      <c r="CE31">
        <f>IF(AND('Month-End'!$AB$20&lt;&gt;"",NOT(_xlfn.ISFORMULA('Month-End'!$AB$20))),1,0)</f>
        <v/>
      </c>
      <c r="CF31">
        <f>IF(AND('Month-End'!$AB$38&lt;&gt;"",NOT(_xlfn.ISFORMULA('Month-End'!$AB$38))),1,0)</f>
        <v/>
      </c>
      <c r="CG31">
        <f>IF(AND('Month-End'!$AB$39&lt;&gt;"",NOT(_xlfn.ISFORMULA('Month-End'!$AB$39))),1,0)</f>
        <v/>
      </c>
      <c r="CH31">
        <f>IF(AND('Month-End'!$AB$40&lt;&gt;"",NOT(_xlfn.ISFORMULA('Month-End'!$AB$40))),1,0)</f>
        <v/>
      </c>
      <c r="CI31">
        <f>IF(AND('Month-End'!$AB$41&lt;&gt;"",NOT(_xlfn.ISFORMULA('Month-End'!$AB$41))),1,0)</f>
        <v/>
      </c>
      <c r="CJ31">
        <f>IF(AND('Month-End'!$AB$42&lt;&gt;"",NOT(_xlfn.ISFORMULA('Month-End'!$AB$42))),1,0)</f>
        <v/>
      </c>
      <c r="CK31">
        <f>IF(AND('Month-End'!$AB$43&lt;&gt;"",NOT(_xlfn.ISFORMULA('Month-End'!$AB$43))),1,0)</f>
        <v/>
      </c>
      <c r="CL31">
        <f>SUM($CM31:$CZ31)</f>
        <v/>
      </c>
      <c r="CM31">
        <f>IF(AND($E31&lt;&gt;"pre",AND(Settings!$A$19&lt;&gt;"",Settings!$E$19&lt;&gt;"No"),Settings!$F$19="Yes",NOT(AND('Month-End'!$AB$7&lt;&gt;"",NOT(_xlfn.ISFORMULA('Month-End'!$AB$7))))),1,0)</f>
        <v/>
      </c>
      <c r="CN31">
        <f>IF(AND($E31&lt;&gt;"pre",AND(Settings!$A$20&lt;&gt;"",Settings!$E$20&lt;&gt;"No"),Settings!$F$20="Yes",NOT(AND('Month-End'!$AB$8&lt;&gt;"",NOT(_xlfn.ISFORMULA('Month-End'!$AB$8))))),1,0)</f>
        <v/>
      </c>
      <c r="CO31">
        <f>IF(AND($E31&lt;&gt;"pre",AND(Settings!$A$21&lt;&gt;"",Settings!$E$21&lt;&gt;"No"),Settings!$F$21="Yes",NOT(AND('Month-End'!$AB$9&lt;&gt;"",NOT(_xlfn.ISFORMULA('Month-End'!$AB$9))))),1,0)</f>
        <v/>
      </c>
      <c r="CP31">
        <f>IF(AND($E31&lt;&gt;"pre",AND(Settings!$A$22&lt;&gt;"",Settings!$E$22&lt;&gt;"No"),Settings!$F$22="Yes",NOT(AND('Month-End'!$AB$10&lt;&gt;"",NOT(_xlfn.ISFORMULA('Month-End'!$AB$10))))),1,0)</f>
        <v/>
      </c>
      <c r="CQ31">
        <f>IF(AND($E31&lt;&gt;"pre",AND(Settings!$A$23&lt;&gt;"",Settings!$E$23&lt;&gt;"No"),Settings!$F$23="Yes",NOT(AND('Month-End'!$AB$11&lt;&gt;"",NOT(_xlfn.ISFORMULA('Month-End'!$AB$11))))),1,0)</f>
        <v/>
      </c>
      <c r="CR31">
        <f>IF(AND($E31&lt;&gt;"pre",AND(Settings!$A$24&lt;&gt;"",Settings!$E$24&lt;&gt;"No"),Settings!$F$24="Yes",NOT(AND('Month-End'!$AB$12&lt;&gt;"",NOT(_xlfn.ISFORMULA('Month-End'!$AB$12))))),1,0)</f>
        <v/>
      </c>
      <c r="CS31">
        <f>IF(AND($E31&lt;&gt;"pre",AND(Settings!$A$25&lt;&gt;"",Settings!$E$25&lt;&gt;"No"),Settings!$F$25="Yes",NOT(AND('Month-End'!$AB$13&lt;&gt;"",NOT(_xlfn.ISFORMULA('Month-End'!$AB$13))))),1,0)</f>
        <v/>
      </c>
      <c r="CT31">
        <f>IF(AND($E31&lt;&gt;"pre",AND(Settings!$A$26&lt;&gt;"",Settings!$E$26&lt;&gt;"No"),Settings!$F$26="Yes",NOT(AND('Month-End'!$AB$14&lt;&gt;"",NOT(_xlfn.ISFORMULA('Month-End'!$AB$14))))),1,0)</f>
        <v/>
      </c>
      <c r="CU31">
        <f>IF(AND($E31&lt;&gt;"pre",AND(Settings!$A$27&lt;&gt;"",Settings!$E$27&lt;&gt;"No"),Settings!$F$27="Yes",NOT(AND('Month-End'!$AB$15&lt;&gt;"",NOT(_xlfn.ISFORMULA('Month-End'!$AB$15))))),1,0)</f>
        <v/>
      </c>
      <c r="CV31">
        <f>IF(AND($E31&lt;&gt;"pre",AND(Settings!$A$28&lt;&gt;"",Settings!$E$28&lt;&gt;"No"),Settings!$F$28="Yes",NOT(AND('Month-End'!$AB$16&lt;&gt;"",NOT(_xlfn.ISFORMULA('Month-End'!$AB$16))))),1,0)</f>
        <v/>
      </c>
      <c r="CW31">
        <f>IF(AND($E31&lt;&gt;"pre",AND(Settings!$A$29&lt;&gt;"",Settings!$E$29&lt;&gt;"No"),Settings!$F$29="Yes",NOT(AND('Month-End'!$AB$17&lt;&gt;"",NOT(_xlfn.ISFORMULA('Month-End'!$AB$17))))),1,0)</f>
        <v/>
      </c>
      <c r="CX31">
        <f>IF(AND($E31&lt;&gt;"pre",AND(Settings!$A$30&lt;&gt;"",Settings!$E$30&lt;&gt;"No"),Settings!$F$30="Yes",NOT(AND('Month-End'!$AB$18&lt;&gt;"",NOT(_xlfn.ISFORMULA('Month-End'!$AB$18))))),1,0)</f>
        <v/>
      </c>
      <c r="CY31">
        <f>IF(AND($E31&lt;&gt;"pre",AND(Settings!$A$31&lt;&gt;"",Settings!$E$31&lt;&gt;"No"),Settings!$F$31="Yes",NOT(AND('Month-End'!$AB$19&lt;&gt;"",NOT(_xlfn.ISFORMULA('Month-End'!$AB$19))))),1,0)</f>
        <v/>
      </c>
      <c r="CZ31">
        <f>IF(AND($E31&lt;&gt;"pre",AND(Settings!$A$32&lt;&gt;"",Settings!$E$32&lt;&gt;"No"),Settings!$F$32="Yes",NOT(AND('Month-End'!$AB$20&lt;&gt;"",NOT(_xlfn.ISFORMULA('Month-End'!$AB$20))))),1,0)</f>
        <v/>
      </c>
      <c r="DA31">
        <f>IF($DT31=1,IF(OR(Settings!$B$19="Checking",Settings!$B$19="Savings",Settings!$B$19="Cash"),N($AE31),IF(OR(Settings!$B$19="Card",Settings!$B$19="Loan"),-N($AE31),0))+IF(OR(Settings!$B$20="Checking",Settings!$B$20="Savings",Settings!$B$20="Cash"),N($AF31),IF(OR(Settings!$B$20="Card",Settings!$B$20="Loan"),-N($AF31),0))+IF(OR(Settings!$B$21="Checking",Settings!$B$21="Savings",Settings!$B$21="Cash"),N($AG31),IF(OR(Settings!$B$21="Card",Settings!$B$21="Loan"),-N($AG31),0))+IF(OR(Settings!$B$22="Checking",Settings!$B$22="Savings",Settings!$B$22="Cash"),N($AH31),IF(OR(Settings!$B$22="Card",Settings!$B$22="Loan"),-N($AH31),0))+IF(OR(Settings!$B$23="Checking",Settings!$B$23="Savings",Settings!$B$23="Cash"),N($AI31),IF(OR(Settings!$B$23="Card",Settings!$B$23="Loan"),-N($AI31),0))+IF(OR(Settings!$B$24="Checking",Settings!$B$24="Savings",Settings!$B$24="Cash"),N($AJ31),IF(OR(Settings!$B$24="Card",Settings!$B$24="Loan"),-N($AJ31),0))+IF(OR(Settings!$B$25="Checking",Settings!$B$25="Savings",Settings!$B$25="Cash"),N($AK31),IF(OR(Settings!$B$25="Card",Settings!$B$25="Loan"),-N($AK31),0))+IF(OR(Settings!$B$26="Checking",Settings!$B$26="Savings",Settings!$B$26="Cash"),N($AL31),IF(OR(Settings!$B$26="Card",Settings!$B$26="Loan"),-N($AL31),0))+IF(OR(Settings!$B$27="Checking",Settings!$B$27="Savings",Settings!$B$27="Cash"),N($AM31),IF(OR(Settings!$B$27="Card",Settings!$B$27="Loan"),-N($AM31),0))+IF(OR(Settings!$B$28="Checking",Settings!$B$28="Savings",Settings!$B$28="Cash"),N($AN31),IF(OR(Settings!$B$28="Card",Settings!$B$28="Loan"),-N($AN31),0))+IF(OR(Settings!$B$29="Checking",Settings!$B$29="Savings",Settings!$B$29="Cash"),N($AO31),IF(OR(Settings!$B$29="Card",Settings!$B$29="Loan"),-N($AO31),0))+IF(OR(Settings!$B$30="Checking",Settings!$B$30="Savings",Settings!$B$30="Cash"),N($AP31),IF(OR(Settings!$B$30="Card",Settings!$B$30="Loan"),-N($AP31),0))+IF(OR(Settings!$B$31="Checking",Settings!$B$31="Savings",Settings!$B$31="Cash"),N($AQ31),IF(OR(Settings!$B$31="Card",Settings!$B$31="Loan"),-N($AQ31),0))+IF(OR(Settings!$B$32="Checking",Settings!$B$32="Savings",Settings!$B$32="Cash"),N($AR31),IF(OR(Settings!$B$32="Card",Settings!$B$32="Loan"),-N($AR31),0)),"")</f>
        <v/>
      </c>
      <c r="DB31">
        <f>IF($E31="open",$EB$27,IF($E31="post",IF($E30="pre",$EB$27,$DA30),""))</f>
        <v/>
      </c>
      <c r="DC31">
        <f>IF($E31="open",1,IF($E31="post",IF($E30="pre",1,$DT30),0))</f>
        <v/>
      </c>
      <c r="DD31">
        <f>IF(AND($DT31=1,$DC31=1),ROUND($W31-($DA31-$DB31)-$AD31-$AB31,2),"")</f>
        <v/>
      </c>
      <c r="DE31">
        <f>IF('Month-End'!$AB$35="",$BQ31,N('Month-End'!$AB$35))</f>
        <v/>
      </c>
      <c r="DF31">
        <f>N('Month-End'!$AB$36)</f>
        <v/>
      </c>
      <c r="DG31">
        <f>IF($DD31="","",$DD31+$DE31)</f>
        <v/>
      </c>
      <c r="DH31">
        <f>IF($DG31="","",$DG31-$DF31)</f>
        <v/>
      </c>
      <c r="DI31">
        <f>IF(OR($E31="pre",$D31=1),"",N($AS31)+N($AT31)+N($AU31)+N($AV31)+N($AW31)+N($AX31))</f>
        <v/>
      </c>
      <c r="DJ31">
        <f>IF($DT31=1,$DA31+N($DI31),"")</f>
        <v/>
      </c>
      <c r="DK31">
        <f>IF($DD31="","",$W31-$DD31-$AB31)</f>
        <v/>
      </c>
      <c r="DL31">
        <f>IF(AND($E31="post",$DD31&lt;&gt;"",$B31&lt;TODAY()),1,0)</f>
        <v/>
      </c>
      <c r="DM31">
        <f>IF($DL31=1,COUNTIF($DL31:$DL$183,1),0)</f>
        <v/>
      </c>
      <c r="DN31">
        <f>IF($D31=1,"",IF($E31="pre","History only",IF($DT31=1,IF($DD31="","⚠ Previous month missing",IF($DD31&lt;0,"⚠ Check: spending &lt; 0",IF($E31="open","✓ Done (partial)","✓ Done"))),IF($B31&gt;=TODAY(),"In progress","⚠ Needs balances"))))</f>
        <v/>
      </c>
      <c r="DO31">
        <f>YEAR($A31)</f>
        <v/>
      </c>
      <c r="DP31">
        <f>DATE(YEAR($A31),INT((MONTH($A31)-1)/3)*3+1,1)</f>
        <v/>
      </c>
      <c r="DQ31">
        <f>IF(AND($DT31=1,$DD31&lt;&gt;"",$D31=0),ROW(),0)</f>
        <v/>
      </c>
      <c r="DR31">
        <f>IF(AND($E31&lt;&gt;"pre",$B31&lt;TODAY(),$DT31=0),1,0)</f>
        <v/>
      </c>
      <c r="DS31">
        <f>IF($DJ31="",NA(),$DJ31)</f>
        <v/>
      </c>
      <c r="DT31">
        <f>IF(AND($E31&lt;&gt;"pre",$CL31=0,COUNTIFS(Settings!$F$19:$F$32,"Yes",Settings!$A$19:$A$32,"&lt;&gt;",Settings!$E$19:$E$32,"&lt;&gt;No")&gt;0),1,0)</f>
        <v/>
      </c>
      <c r="DU31">
        <f>IF(AND($B31&lt;TODAY(),$S31&gt;0),1,0)</f>
        <v/>
      </c>
      <c r="DV31">
        <f>IF($DU31=1,COUNTIF($DU31:$DU$183,1),0)</f>
        <v/>
      </c>
      <c r="DW31">
        <f>IF(AND(OR(Settings!$B$19="Card",Settings!$B$19="Loan"),AND('Month-End'!$AB$7&lt;&gt;"",NOT(_xlfn.ISFORMULA('Month-End'!$AB$7)))),IF(N('Month-End'!$AB$7)&lt;0,1,0),0)+IF(AND(OR(Settings!$B$20="Card",Settings!$B$20="Loan"),AND('Month-End'!$AB$8&lt;&gt;"",NOT(_xlfn.ISFORMULA('Month-End'!$AB$8)))),IF(N('Month-End'!$AB$8)&lt;0,1,0),0)+IF(AND(OR(Settings!$B$21="Card",Settings!$B$21="Loan"),AND('Month-End'!$AB$9&lt;&gt;"",NOT(_xlfn.ISFORMULA('Month-End'!$AB$9)))),IF(N('Month-End'!$AB$9)&lt;0,1,0),0)+IF(AND(OR(Settings!$B$22="Card",Settings!$B$22="Loan"),AND('Month-End'!$AB$10&lt;&gt;"",NOT(_xlfn.ISFORMULA('Month-End'!$AB$10)))),IF(N('Month-End'!$AB$10)&lt;0,1,0),0)+IF(AND(OR(Settings!$B$23="Card",Settings!$B$23="Loan"),AND('Month-End'!$AB$11&lt;&gt;"",NOT(_xlfn.ISFORMULA('Month-End'!$AB$11)))),IF(N('Month-End'!$AB$11)&lt;0,1,0),0)+IF(AND(OR(Settings!$B$24="Card",Settings!$B$24="Loan"),AND('Month-End'!$AB$12&lt;&gt;"",NOT(_xlfn.ISFORMULA('Month-End'!$AB$12)))),IF(N('Month-End'!$AB$12)&lt;0,1,0),0)+IF(AND(OR(Settings!$B$25="Card",Settings!$B$25="Loan"),AND('Month-End'!$AB$13&lt;&gt;"",NOT(_xlfn.ISFORMULA('Month-End'!$AB$13)))),IF(N('Month-End'!$AB$13)&lt;0,1,0),0)+IF(AND(OR(Settings!$B$26="Card",Settings!$B$26="Loan"),AND('Month-End'!$AB$14&lt;&gt;"",NOT(_xlfn.ISFORMULA('Month-End'!$AB$14)))),IF(N('Month-End'!$AB$14)&lt;0,1,0),0)+IF(AND(OR(Settings!$B$27="Card",Settings!$B$27="Loan"),AND('Month-End'!$AB$15&lt;&gt;"",NOT(_xlfn.ISFORMULA('Month-End'!$AB$15)))),IF(N('Month-End'!$AB$15)&lt;0,1,0),0)+IF(AND(OR(Settings!$B$28="Card",Settings!$B$28="Loan"),AND('Month-End'!$AB$16&lt;&gt;"",NOT(_xlfn.ISFORMULA('Month-End'!$AB$16)))),IF(N('Month-End'!$AB$16)&lt;0,1,0),0)+IF(AND(OR(Settings!$B$29="Card",Settings!$B$29="Loan"),AND('Month-End'!$AB$17&lt;&gt;"",NOT(_xlfn.ISFORMULA('Month-End'!$AB$17)))),IF(N('Month-End'!$AB$17)&lt;0,1,0),0)+IF(AND(OR(Settings!$B$30="Card",Settings!$B$30="Loan"),AND('Month-End'!$AB$18&lt;&gt;"",NOT(_xlfn.ISFORMULA('Month-End'!$AB$18)))),IF(N('Month-End'!$AB$18)&lt;0,1,0),0)+IF(AND(OR(Settings!$B$31="Card",Settings!$B$31="Loan"),AND('Month-End'!$AB$19&lt;&gt;"",NOT(_xlfn.ISFORMULA('Month-End'!$AB$19)))),IF(N('Month-End'!$AB$19)&lt;0,1,0),0)+IF(AND(OR(Settings!$B$32="Card",Settings!$B$32="Loan"),AND('Month-End'!$AB$20&lt;&gt;"",NOT(_xlfn.ISFORMULA('Month-End'!$AB$20)))),IF(N('Month-End'!$AB$20)&lt;0,1,0),0)</f>
        <v/>
      </c>
      <c r="DX31">
        <f>IF(Settings!$B$36="Retirement",$AY31,0)+IF(Settings!$B$37="Retirement",$AZ31,0)+IF(Settings!$B$38="Retirement",$BA31,0)+IF(Settings!$B$39="Retirement",$BB31,0)+IF(Settings!$B$40="Retirement",$BC31,0)+IF(Settings!$B$41="Retirement",$BD31,0)</f>
        <v/>
      </c>
      <c r="EA31" t="inlineStr">
        <is>
          <t>Investments now</t>
        </is>
      </c>
      <c r="EB31">
        <f>IF(Settings!$B$36="Investment",N(EB54),0)+IF(Settings!$B$37="Investment",N(EB55),0)+IF(Settings!$B$38="Investment",N(EB56),0)+IF(Settings!$B$39="Investment",N(EB57),0)+IF(Settings!$B$40="Investment",N(EB58),0)+IF(Settings!$B$41="Investment",N(EB59),0)</f>
        <v/>
      </c>
      <c r="ET31">
        <f>IF($E31&lt;&gt;"open",0,IF(AND('Month-End'!$AB$22&lt;&gt;"",NOT(_xlfn.ISFORMULA('Month-End'!$AB$22))),0,IF(OR(Settings!$C$45="",Settings!$D$45=""),0,Settings!$C$45*IF(Settings!$D$45="Weekly",IF(IFERROR(MATCH(Settings!$E$45,$EO$4:$EO$10,0),0)=0,0,IF(MIN(Settings!$B$5,IF(Settings!$G$45="",Settings!$B$5,Settings!$G$45))&lt;MAX($A31,Settings!$F$45),0,INT((MIN(Settings!$B$5,IF(Settings!$G$45="",Settings!$B$5,Settings!$G$45))-MAX($A31,Settings!$F$45)-MOD(IFERROR(MATCH(Settings!$E$45,$EO$4:$EO$10,0),0)-WEEKDAY(MAX($A31,Settings!$F$45)),7))/7)+1)),IF(AND(IF(Settings!$E$45="",$B31,DATE(YEAR($A31),MONTH($A31),MIN(Settings!$E$45,DAY($B31))))&gt;=MAX($A31,Settings!$F$45),IF(Settings!$E$45="",$B31,DATE(YEAR($A31),MONTH($A31),MIN(Settings!$E$45,DAY($B31))))&lt;=MIN(Settings!$B$5,IF(Settings!$G$45="",Settings!$B$5,Settings!$G$45))),1,0)))))</f>
        <v/>
      </c>
      <c r="EU31">
        <f>IF($E31&lt;&gt;"open",0,IF(AND('Month-End'!$AB$23&lt;&gt;"",NOT(_xlfn.ISFORMULA('Month-End'!$AB$23))),0,IF(OR(Settings!$C$46="",Settings!$D$46=""),0,Settings!$C$46*IF(Settings!$D$46="Weekly",IF(IFERROR(MATCH(Settings!$E$46,$EO$4:$EO$10,0),0)=0,0,IF(MIN(Settings!$B$5,IF(Settings!$G$46="",Settings!$B$5,Settings!$G$46))&lt;MAX($A31,Settings!$F$46),0,INT((MIN(Settings!$B$5,IF(Settings!$G$46="",Settings!$B$5,Settings!$G$46))-MAX($A31,Settings!$F$46)-MOD(IFERROR(MATCH(Settings!$E$46,$EO$4:$EO$10,0),0)-WEEKDAY(MAX($A31,Settings!$F$46)),7))/7)+1)),IF(AND(IF(Settings!$E$46="",$B31,DATE(YEAR($A31),MONTH($A31),MIN(Settings!$E$46,DAY($B31))))&gt;=MAX($A31,Settings!$F$46),IF(Settings!$E$46="",$B31,DATE(YEAR($A31),MONTH($A31),MIN(Settings!$E$46,DAY($B31))))&lt;=MIN(Settings!$B$5,IF(Settings!$G$46="",Settings!$B$5,Settings!$G$46))),1,0)))))</f>
        <v/>
      </c>
      <c r="EV31">
        <f>IF($E31&lt;&gt;"open",0,IF(AND('Month-End'!$AB$24&lt;&gt;"",NOT(_xlfn.ISFORMULA('Month-End'!$AB$24))),0,IF(OR(Settings!$C$47="",Settings!$D$47=""),0,Settings!$C$47*IF(Settings!$D$47="Weekly",IF(IFERROR(MATCH(Settings!$E$47,$EO$4:$EO$10,0),0)=0,0,IF(MIN(Settings!$B$5,IF(Settings!$G$47="",Settings!$B$5,Settings!$G$47))&lt;MAX($A31,Settings!$F$47),0,INT((MIN(Settings!$B$5,IF(Settings!$G$47="",Settings!$B$5,Settings!$G$47))-MAX($A31,Settings!$F$47)-MOD(IFERROR(MATCH(Settings!$E$47,$EO$4:$EO$10,0),0)-WEEKDAY(MAX($A31,Settings!$F$47)),7))/7)+1)),IF(AND(IF(Settings!$E$47="",$B31,DATE(YEAR($A31),MONTH($A31),MIN(Settings!$E$47,DAY($B31))))&gt;=MAX($A31,Settings!$F$47),IF(Settings!$E$47="",$B31,DATE(YEAR($A31),MONTH($A31),MIN(Settings!$E$47,DAY($B31))))&lt;=MIN(Settings!$B$5,IF(Settings!$G$47="",Settings!$B$5,Settings!$G$47))),1,0)))))</f>
        <v/>
      </c>
      <c r="EW31">
        <f>IF($E31&lt;&gt;"open",0,IF(AND('Month-End'!$AB$25&lt;&gt;"",NOT(_xlfn.ISFORMULA('Month-End'!$AB$25))),0,IF(OR(Settings!$C$48="",Settings!$D$48=""),0,Settings!$C$48*IF(Settings!$D$48="Weekly",IF(IFERROR(MATCH(Settings!$E$48,$EO$4:$EO$10,0),0)=0,0,IF(MIN(Settings!$B$5,IF(Settings!$G$48="",Settings!$B$5,Settings!$G$48))&lt;MAX($A31,Settings!$F$48),0,INT((MIN(Settings!$B$5,IF(Settings!$G$48="",Settings!$B$5,Settings!$G$48))-MAX($A31,Settings!$F$48)-MOD(IFERROR(MATCH(Settings!$E$48,$EO$4:$EO$10,0),0)-WEEKDAY(MAX($A31,Settings!$F$48)),7))/7)+1)),IF(AND(IF(Settings!$E$48="",$B31,DATE(YEAR($A31),MONTH($A31),MIN(Settings!$E$48,DAY($B31))))&gt;=MAX($A31,Settings!$F$48),IF(Settings!$E$48="",$B31,DATE(YEAR($A31),MONTH($A31),MIN(Settings!$E$48,DAY($B31))))&lt;=MIN(Settings!$B$5,IF(Settings!$G$48="",Settings!$B$5,Settings!$G$48))),1,0)))))</f>
        <v/>
      </c>
      <c r="EX31">
        <f>IF($E31&lt;&gt;"open",0,IF(AND('Month-End'!$AB$26&lt;&gt;"",NOT(_xlfn.ISFORMULA('Month-End'!$AB$26))),0,IF(OR(Settings!$C$49="",Settings!$D$49=""),0,Settings!$C$49*IF(Settings!$D$49="Weekly",IF(IFERROR(MATCH(Settings!$E$49,$EO$4:$EO$10,0),0)=0,0,IF(MIN(Settings!$B$5,IF(Settings!$G$49="",Settings!$B$5,Settings!$G$49))&lt;MAX($A31,Settings!$F$49),0,INT((MIN(Settings!$B$5,IF(Settings!$G$49="",Settings!$B$5,Settings!$G$49))-MAX($A31,Settings!$F$49)-MOD(IFERROR(MATCH(Settings!$E$49,$EO$4:$EO$10,0),0)-WEEKDAY(MAX($A31,Settings!$F$49)),7))/7)+1)),IF(AND(IF(Settings!$E$49="",$B31,DATE(YEAR($A31),MONTH($A31),MIN(Settings!$E$49,DAY($B31))))&gt;=MAX($A31,Settings!$F$49),IF(Settings!$E$49="",$B31,DATE(YEAR($A31),MONTH($A31),MIN(Settings!$E$49,DAY($B31))))&lt;=MIN(Settings!$B$5,IF(Settings!$G$49="",Settings!$B$5,Settings!$G$49))),1,0)))))</f>
        <v/>
      </c>
      <c r="EY31">
        <f>IF($E31&lt;&gt;"open",0,IF(AND('Month-End'!$AB$27&lt;&gt;"",NOT(_xlfn.ISFORMULA('Month-End'!$AB$27))),0,IF(OR(Settings!$C$50="",Settings!$D$50=""),0,Settings!$C$50*IF(Settings!$D$50="Weekly",IF(IFERROR(MATCH(Settings!$E$50,$EO$4:$EO$10,0),0)=0,0,IF(MIN(Settings!$B$5,IF(Settings!$G$50="",Settings!$B$5,Settings!$G$50))&lt;MAX($A31,Settings!$F$50),0,INT((MIN(Settings!$B$5,IF(Settings!$G$50="",Settings!$B$5,Settings!$G$50))-MAX($A31,Settings!$F$50)-MOD(IFERROR(MATCH(Settings!$E$50,$EO$4:$EO$10,0),0)-WEEKDAY(MAX($A31,Settings!$F$50)),7))/7)+1)),IF(AND(IF(Settings!$E$50="",$B31,DATE(YEAR($A31),MONTH($A31),MIN(Settings!$E$50,DAY($B31))))&gt;=MAX($A31,Settings!$F$50),IF(Settings!$E$50="",$B31,DATE(YEAR($A31),MONTH($A31),MIN(Settings!$E$50,DAY($B31))))&lt;=MIN(Settings!$B$5,IF(Settings!$G$50="",Settings!$B$5,Settings!$G$50))),1,0)))))</f>
        <v/>
      </c>
      <c r="EZ31">
        <f>IF($E31&lt;&gt;"open",0,IF(AND('Month-End'!$AB$28&lt;&gt;"",NOT(_xlfn.ISFORMULA('Month-End'!$AB$28))),0,IF(OR(Settings!$C$51="",Settings!$D$51=""),0,Settings!$C$51*IF(Settings!$D$51="Weekly",IF(IFERROR(MATCH(Settings!$E$51,$EO$4:$EO$10,0),0)=0,0,IF(MIN(Settings!$B$5,IF(Settings!$G$51="",Settings!$B$5,Settings!$G$51))&lt;MAX($A31,Settings!$F$51),0,INT((MIN(Settings!$B$5,IF(Settings!$G$51="",Settings!$B$5,Settings!$G$51))-MAX($A31,Settings!$F$51)-MOD(IFERROR(MATCH(Settings!$E$51,$EO$4:$EO$10,0),0)-WEEKDAY(MAX($A31,Settings!$F$51)),7))/7)+1)),IF(AND(IF(Settings!$E$51="",$B31,DATE(YEAR($A31),MONTH($A31),MIN(Settings!$E$51,DAY($B31))))&gt;=MAX($A31,Settings!$F$51),IF(Settings!$E$51="",$B31,DATE(YEAR($A31),MONTH($A31),MIN(Settings!$E$51,DAY($B31))))&lt;=MIN(Settings!$B$5,IF(Settings!$G$51="",Settings!$B$5,Settings!$G$51))),1,0)))))</f>
        <v/>
      </c>
      <c r="FA31">
        <f>IF($E31&lt;&gt;"open",0,IF(AND('Month-End'!$AB$29&lt;&gt;"",NOT(_xlfn.ISFORMULA('Month-End'!$AB$29))),0,IF(OR(Settings!$C$52="",Settings!$D$52=""),0,Settings!$C$52*IF(Settings!$D$52="Weekly",IF(IFERROR(MATCH(Settings!$E$52,$EO$4:$EO$10,0),0)=0,0,IF(MIN(Settings!$B$5,IF(Settings!$G$52="",Settings!$B$5,Settings!$G$52))&lt;MAX($A31,Settings!$F$52),0,INT((MIN(Settings!$B$5,IF(Settings!$G$52="",Settings!$B$5,Settings!$G$52))-MAX($A31,Settings!$F$52)-MOD(IFERROR(MATCH(Settings!$E$52,$EO$4:$EO$10,0),0)-WEEKDAY(MAX($A31,Settings!$F$52)),7))/7)+1)),IF(AND(IF(Settings!$E$52="",$B31,DATE(YEAR($A31),MONTH($A31),MIN(Settings!$E$52,DAY($B31))))&gt;=MAX($A31,Settings!$F$52),IF(Settings!$E$52="",$B31,DATE(YEAR($A31),MONTH($A31),MIN(Settings!$E$52,DAY($B31))))&lt;=MIN(Settings!$B$5,IF(Settings!$G$52="",Settings!$B$5,Settings!$G$52))),1,0)))))</f>
        <v/>
      </c>
      <c r="FB31">
        <f>IF($E31&lt;&gt;"open",0,IF(AND('Month-End'!$AB$30&lt;&gt;"",NOT(_xlfn.ISFORMULA('Month-End'!$AB$30))),0,IF(OR(Settings!$C$53="",Settings!$D$53=""),0,Settings!$C$53*IF(Settings!$D$53="Weekly",IF(IFERROR(MATCH(Settings!$E$53,$EO$4:$EO$10,0),0)=0,0,IF(MIN(Settings!$B$5,IF(Settings!$G$53="",Settings!$B$5,Settings!$G$53))&lt;MAX($A31,Settings!$F$53),0,INT((MIN(Settings!$B$5,IF(Settings!$G$53="",Settings!$B$5,Settings!$G$53))-MAX($A31,Settings!$F$53)-MOD(IFERROR(MATCH(Settings!$E$53,$EO$4:$EO$10,0),0)-WEEKDAY(MAX($A31,Settings!$F$53)),7))/7)+1)),IF(AND(IF(Settings!$E$53="",$B31,DATE(YEAR($A31),MONTH($A31),MIN(Settings!$E$53,DAY($B31))))&gt;=MAX($A31,Settings!$F$53),IF(Settings!$E$53="",$B31,DATE(YEAR($A31),MONTH($A31),MIN(Settings!$E$53,DAY($B31))))&lt;=MIN(Settings!$B$5,IF(Settings!$G$53="",Settings!$B$5,Settings!$G$53))),1,0)))))</f>
        <v/>
      </c>
      <c r="FC31">
        <f>IF($E31&lt;&gt;"open",0,IF(AND('Month-End'!$AB$31&lt;&gt;"",NOT(_xlfn.ISFORMULA('Month-End'!$AB$31))),0,IF(OR(Settings!$C$54="",Settings!$D$54=""),0,Settings!$C$54*IF(Settings!$D$54="Weekly",IF(IFERROR(MATCH(Settings!$E$54,$EO$4:$EO$10,0),0)=0,0,IF(MIN(Settings!$B$5,IF(Settings!$G$54="",Settings!$B$5,Settings!$G$54))&lt;MAX($A31,Settings!$F$54),0,INT((MIN(Settings!$B$5,IF(Settings!$G$54="",Settings!$B$5,Settings!$G$54))-MAX($A31,Settings!$F$54)-MOD(IFERROR(MATCH(Settings!$E$54,$EO$4:$EO$10,0),0)-WEEKDAY(MAX($A31,Settings!$F$54)),7))/7)+1)),IF(AND(IF(Settings!$E$54="",$B31,DATE(YEAR($A31),MONTH($A31),MIN(Settings!$E$54,DAY($B31))))&gt;=MAX($A31,Settings!$F$54),IF(Settings!$E$54="",$B31,DATE(YEAR($A31),MONTH($A31),MIN(Settings!$E$54,DAY($B31))))&lt;=MIN(Settings!$B$5,IF(Settings!$G$54="",Settings!$B$5,Settings!$G$54))),1,0)))))</f>
        <v/>
      </c>
      <c r="FD31">
        <f>IF($E31&lt;&gt;"open",0,IF(AND('Month-End'!$AB$32&lt;&gt;"",NOT(_xlfn.ISFORMULA('Month-End'!$AB$32))),0,IF(OR(Settings!$C$55="",Settings!$D$55=""),0,Settings!$C$55*IF(Settings!$D$55="Weekly",IF(IFERROR(MATCH(Settings!$E$55,$EO$4:$EO$10,0),0)=0,0,IF(MIN(Settings!$B$5,IF(Settings!$G$55="",Settings!$B$5,Settings!$G$55))&lt;MAX($A31,Settings!$F$55),0,INT((MIN(Settings!$B$5,IF(Settings!$G$55="",Settings!$B$5,Settings!$G$55))-MAX($A31,Settings!$F$55)-MOD(IFERROR(MATCH(Settings!$E$55,$EO$4:$EO$10,0),0)-WEEKDAY(MAX($A31,Settings!$F$55)),7))/7)+1)),IF(AND(IF(Settings!$E$55="",$B31,DATE(YEAR($A31),MONTH($A31),MIN(Settings!$E$55,DAY($B31))))&gt;=MAX($A31,Settings!$F$55),IF(Settings!$E$55="",$B31,DATE(YEAR($A31),MONTH($A31),MIN(Settings!$E$55,DAY($B31))))&lt;=MIN(Settings!$B$5,IF(Settings!$G$55="",Settings!$B$5,Settings!$G$55))),1,0)))))</f>
        <v/>
      </c>
      <c r="FE31">
        <f>IF($E31&lt;&gt;"open",0,IF(AND('Month-End'!$AB$33&lt;&gt;"",NOT(_xlfn.ISFORMULA('Month-End'!$AB$33))),0,IF(OR(Settings!$C$56="",Settings!$D$56=""),0,Settings!$C$56*IF(Settings!$D$56="Weekly",IF(IFERROR(MATCH(Settings!$E$56,$EO$4:$EO$10,0),0)=0,0,IF(MIN(Settings!$B$5,IF(Settings!$G$56="",Settings!$B$5,Settings!$G$56))&lt;MAX($A31,Settings!$F$56),0,INT((MIN(Settings!$B$5,IF(Settings!$G$56="",Settings!$B$5,Settings!$G$56))-MAX($A31,Settings!$F$56)-MOD(IFERROR(MATCH(Settings!$E$56,$EO$4:$EO$10,0),0)-WEEKDAY(MAX($A31,Settings!$F$56)),7))/7)+1)),IF(AND(IF(Settings!$E$56="",$B31,DATE(YEAR($A31),MONTH($A31),MIN(Settings!$E$56,DAY($B31))))&gt;=MAX($A31,Settings!$F$56),IF(Settings!$E$56="",$B31,DATE(YEAR($A31),MONTH($A31),MIN(Settings!$E$56,DAY($B31))))&lt;=MIN(Settings!$B$5,IF(Settings!$G$56="",Settings!$B$5,Settings!$G$56))),1,0)))))</f>
        <v/>
      </c>
      <c r="FF31">
        <f>IF(Settings!$I$45="Yes",$G31,0)+IF(Settings!$I$46="Yes",$H31,0)+IF(Settings!$I$47="Yes",$I31,0)+IF(Settings!$I$48="Yes",$J31,0)+IF(Settings!$I$49="Yes",$K31,0)+IF(Settings!$I$50="Yes",$L31,0)+IF(Settings!$I$51="Yes",$M31,0)+IF(Settings!$I$52="Yes",$N31,0)+IF(Settings!$I$53="Yes",$O31,0)+IF(Settings!$I$54="Yes",$P31,0)+IF(Settings!$I$55="Yes",$Q31,0)+IF(Settings!$I$56="Yes",$R31,0)</f>
        <v/>
      </c>
      <c r="FG31">
        <f>IF(AND(Settings!$I$45="Yes",Settings!$J$45="No"),$G31,0)+IF(AND(Settings!$I$46="Yes",Settings!$J$46="No"),$H31,0)+IF(AND(Settings!$I$47="Yes",Settings!$J$47="No"),$I31,0)+IF(AND(Settings!$I$48="Yes",Settings!$J$48="No"),$J31,0)+IF(AND(Settings!$I$49="Yes",Settings!$J$49="No"),$K31,0)+IF(AND(Settings!$I$50="Yes",Settings!$J$50="No"),$L31,0)+IF(AND(Settings!$I$51="Yes",Settings!$J$51="No"),$M31,0)+IF(AND(Settings!$I$52="Yes",Settings!$J$52="No"),$N31,0)+IF(AND(Settings!$I$53="Yes",Settings!$J$53="No"),$O31,0)+IF(AND(Settings!$I$54="Yes",Settings!$J$54="No"),$P31,0)+IF(AND(Settings!$I$55="Yes",Settings!$J$55="No"),$Q31,0)+IF(AND(Settings!$I$56="Yes",Settings!$J$56="No"),$R31,0)</f>
        <v/>
      </c>
      <c r="FH31">
        <f>SUMIFS(Giving!$B$7:$B$2006,Giving!$A$7:$A$2006,"&gt;="&amp;$A31,Giving!$A$7:$A$2006,"&lt;="&amp;$B31,Giving!$G$7:$G$2006,"Yes")+IF(OR(OR(Settings!$B$60="",Settings!$F$60="No"),Settings!$H$60&lt;&gt;"Yes"),0,Settings!$B$60*IF(AND(IF(Settings!$C$60="",$B31,DATE(YEAR($A31),MONTH($A31),MIN(Settings!$C$60,DAY($B31))))&gt;=MAX($A31,Settings!$D$60),IF(Settings!$C$60="",$B31,DATE(YEAR($A31),MONTH($A31),MIN(Settings!$C$60,DAY($B31))))&lt;=MIN($C31,IF(Settings!$E$60="",$C31,Settings!$E$60))),1,0))+IF(OR(OR(Settings!$B$61="",Settings!$F$61="No"),Settings!$H$61&lt;&gt;"Yes"),0,Settings!$B$61*IF(AND(IF(Settings!$C$61="",$B31,DATE(YEAR($A31),MONTH($A31),MIN(Settings!$C$61,DAY($B31))))&gt;=MAX($A31,Settings!$D$61),IF(Settings!$C$61="",$B31,DATE(YEAR($A31),MONTH($A31),MIN(Settings!$C$61,DAY($B31))))&lt;=MIN($C31,IF(Settings!$E$61="",$C31,Settings!$E$61))),1,0))+IF(OR(OR(Settings!$B$62="",Settings!$F$62="No"),Settings!$H$62&lt;&gt;"Yes"),0,Settings!$B$62*IF(AND(IF(Settings!$C$62="",$B31,DATE(YEAR($A31),MONTH($A31),MIN(Settings!$C$62,DAY($B31))))&gt;=MAX($A31,Settings!$D$62),IF(Settings!$C$62="",$B31,DATE(YEAR($A31),MONTH($A31),MIN(Settings!$C$62,DAY($B31))))&lt;=MIN($C31,IF(Settings!$E$62="",$C31,Settings!$E$62))),1,0))+IF(OR(OR(Settings!$B$63="",Settings!$F$63="No"),Settings!$H$63&lt;&gt;"Yes"),0,Settings!$B$63*IF(AND(IF(Settings!$C$63="",$B31,DATE(YEAR($A31),MONTH($A31),MIN(Settings!$C$63,DAY($B31))))&gt;=MAX($A31,Settings!$D$63),IF(Settings!$C$63="",$B31,DATE(YEAR($A31),MONTH($A31),MIN(Settings!$C$63,DAY($B31))))&lt;=MIN($C31,IF(Settings!$E$63="",$C31,Settings!$E$63))),1,0))+IF(OR(OR(Settings!$B$64="",Settings!$F$64="No"),Settings!$H$64&lt;&gt;"Yes"),0,Settings!$B$64*IF(AND(IF(Settings!$C$64="",$B31,DATE(YEAR($A31),MONTH($A31),MIN(Settings!$C$64,DAY($B31))))&gt;=MAX($A31,Settings!$D$64),IF(Settings!$C$64="",$B31,DATE(YEAR($A31),MONTH($A31),MIN(Settings!$C$64,DAY($B31))))&lt;=MIN($C31,IF(Settings!$E$64="",$C31,Settings!$E$64))),1,0))+IF(OR(OR(Settings!$B$65="",Settings!$F$65="No"),Settings!$H$65&lt;&gt;"Yes"),0,Settings!$B$65*IF(AND(IF(Settings!$C$65="",$B31,DATE(YEAR($A31),MONTH($A31),MIN(Settings!$C$65,DAY($B31))))&gt;=MAX($A31,Settings!$D$65),IF(Settings!$C$65="",$B31,DATE(YEAR($A31),MONTH($A31),MIN(Settings!$C$65,DAY($B31))))&lt;=MIN($C31,IF(Settings!$E$65="",$C31,Settings!$E$65))),1,0))</f>
        <v/>
      </c>
      <c r="FI31">
        <f>IF($DT31=1,IF(OR(Settings!$B$19="Card",Settings!$B$19="Loan"),N($AE31),0)+IF(OR(Settings!$B$20="Card",Settings!$B$20="Loan"),N($AF31),0)+IF(OR(Settings!$B$21="Card",Settings!$B$21="Loan"),N($AG31),0)+IF(OR(Settings!$B$22="Card",Settings!$B$22="Loan"),N($AH31),0)+IF(OR(Settings!$B$23="Card",Settings!$B$23="Loan"),N($AI31),0)+IF(OR(Settings!$B$24="Card",Settings!$B$24="Loan"),N($AJ31),0)+IF(OR(Settings!$B$25="Card",Settings!$B$25="Loan"),N($AK31),0)+IF(OR(Settings!$B$26="Card",Settings!$B$26="Loan"),N($AL31),0)+IF(OR(Settings!$B$27="Card",Settings!$B$27="Loan"),N($AM31),0)+IF(OR(Settings!$B$28="Card",Settings!$B$28="Loan"),N($AN31),0)+IF(OR(Settings!$B$29="Card",Settings!$B$29="Loan"),N($AO31),0)+IF(OR(Settings!$B$30="Card",Settings!$B$30="Loan"),N($AP31),0)+IF(OR(Settings!$B$31="Card",Settings!$B$31="Loan"),N($AQ31),0)+IF(OR(Settings!$B$32="Card",Settings!$B$32="Loan"),N($AR31),0),"")</f>
        <v/>
      </c>
      <c r="FJ31">
        <f>IF($E31="open",$EB$65,IF($E31="post",IF($E30="pre",$EB$65,$FI30),""))</f>
        <v/>
      </c>
      <c r="FK31">
        <f>IF(AND($DT31=1,$DC31=1),IF(ROUND($FI31-$FJ31,2)&gt;0,1,0),0)</f>
        <v/>
      </c>
      <c r="FL31">
        <f>IF($FK31=1,$FL30+1,0)</f>
        <v/>
      </c>
    </row>
    <row r="32">
      <c r="A32">
        <f>'Month-End'!$AC$4</f>
        <v/>
      </c>
      <c r="B32">
        <f>EOMONTH($A32,0)</f>
        <v/>
      </c>
      <c r="C32">
        <f>MIN($B32,TODAY())</f>
        <v/>
      </c>
      <c r="D32">
        <f>IF($A32&gt;TODAY(),1,0)</f>
        <v/>
      </c>
      <c r="E32">
        <f>IF($B32&lt;=Settings!$B$5,"pre",IF($A32&lt;=Settings!$B$5,"open","post"))</f>
        <v/>
      </c>
      <c r="G32">
        <f>IF('Month-End'!$AC$22="",$BE32,N('Month-End'!$AC$22))</f>
        <v/>
      </c>
      <c r="H32">
        <f>IF('Month-End'!$AC$23="",$BF32,N('Month-End'!$AC$23))</f>
        <v/>
      </c>
      <c r="I32">
        <f>IF('Month-End'!$AC$24="",$BG32,N('Month-End'!$AC$24))</f>
        <v/>
      </c>
      <c r="J32">
        <f>IF('Month-End'!$AC$25="",$BH32,N('Month-End'!$AC$25))</f>
        <v/>
      </c>
      <c r="K32">
        <f>IF('Month-End'!$AC$26="",$BI32,N('Month-End'!$AC$26))</f>
        <v/>
      </c>
      <c r="L32">
        <f>IF('Month-End'!$AC$27="",$BJ32,N('Month-End'!$AC$27))</f>
        <v/>
      </c>
      <c r="M32">
        <f>IF('Month-End'!$AC$28="",$BK32,N('Month-End'!$AC$28))</f>
        <v/>
      </c>
      <c r="N32">
        <f>IF('Month-End'!$AC$29="",$BL32,N('Month-End'!$AC$29))</f>
        <v/>
      </c>
      <c r="O32">
        <f>IF('Month-End'!$AC$30="",$BM32,N('Month-End'!$AC$30))</f>
        <v/>
      </c>
      <c r="P32">
        <f>IF('Month-End'!$AC$31="",$BN32,N('Month-End'!$AC$31))</f>
        <v/>
      </c>
      <c r="Q32">
        <f>IF('Month-End'!$AC$32="",$BO32,N('Month-End'!$AC$32))</f>
        <v/>
      </c>
      <c r="R32">
        <f>IF('Month-End'!$AC$33="",$BP32,N('Month-End'!$AC$33))</f>
        <v/>
      </c>
      <c r="S32">
        <f>$G32+$H32+$I32+$J32+$K32+$L32+$M32+$N32+$O32+$P32+$Q32+$R32</f>
        <v/>
      </c>
      <c r="T32">
        <f>IF($B32&lt;Settings!$B$6,0,IF(Settings!$B$45="Yes",$G32,0)+IF(Settings!$B$46="Yes",$H32,0)+IF(Settings!$B$47="Yes",$I32,0)+IF(Settings!$B$48="Yes",$J32,0)+IF(Settings!$B$49="Yes",$K32,0)+IF(Settings!$B$50="Yes",$L32,0)+IF(Settings!$B$51="Yes",$M32,0)+IF(Settings!$B$52="Yes",$N32,0)+IF(Settings!$B$53="Yes",$O32,0)+IF(Settings!$B$54="Yes",$P32,0)+IF(Settings!$B$55="Yes",$Q32,0)+IF(Settings!$B$56="Yes",$R32,0))</f>
        <v/>
      </c>
      <c r="U32">
        <f>IF(Settings!$B$45="Not Sure",$G32,0)+IF(Settings!$B$46="Not Sure",$H32,0)+IF(Settings!$B$47="Not Sure",$I32,0)+IF(Settings!$B$48="Not Sure",$J32,0)+IF(Settings!$B$49="Not Sure",$K32,0)+IF(Settings!$B$50="Not Sure",$L32,0)+IF(Settings!$B$51="Not Sure",$M32,0)+IF(Settings!$B$52="Not Sure",$N32,0)+IF(Settings!$B$53="Not Sure",$O32,0)+IF(Settings!$B$54="Not Sure",$P32,0)+IF(Settings!$B$55="Not Sure",$Q32,0)+IF(Settings!$B$56="Not Sure",$R32,0)</f>
        <v/>
      </c>
      <c r="V32">
        <f>IF($E32="open",SUM($ET32:$FE32)+N(Settings!$B$13),0)</f>
        <v/>
      </c>
      <c r="W32">
        <f>IF($E32="post",$S32,IF($E32="open",$S32-$V32,0))</f>
        <v/>
      </c>
      <c r="X32">
        <f>SUMIFS(Giving!$B$7:$B$2006,Giving!$A$7:$A$2006,"&gt;="&amp;$A32,Giving!$A$7:$A$2006,"&lt;="&amp;$B32,Giving!$E$7:$E$2006,"&lt;&gt;No")</f>
        <v/>
      </c>
      <c r="Y32">
        <f>SUMIFS(Giving!$B$7:$B$2006,Giving!$A$7:$A$2006,"&gt;="&amp;$A32,Giving!$A$7:$A$2006,"&lt;="&amp;$B32,Giving!$E$7:$E$2006,"No")</f>
        <v/>
      </c>
      <c r="Z32">
        <f>IF(OR(Settings!$B$60="",Settings!$F$60="No"),0,Settings!$B$60*IF(AND(IF(Settings!$C$60="",$B32,DATE(YEAR($A32),MONTH($A32),MIN(Settings!$C$60,DAY($B32))))&gt;=MAX($A32,Settings!$D$60),IF(Settings!$C$60="",$B32,DATE(YEAR($A32),MONTH($A32),MIN(Settings!$C$60,DAY($B32))))&lt;=MIN($C32,IF(Settings!$E$60="",$C32,Settings!$E$60))),1,0))+IF(OR(Settings!$B$61="",Settings!$F$61="No"),0,Settings!$B$61*IF(AND(IF(Settings!$C$61="",$B32,DATE(YEAR($A32),MONTH($A32),MIN(Settings!$C$61,DAY($B32))))&gt;=MAX($A32,Settings!$D$61),IF(Settings!$C$61="",$B32,DATE(YEAR($A32),MONTH($A32),MIN(Settings!$C$61,DAY($B32))))&lt;=MIN($C32,IF(Settings!$E$61="",$C32,Settings!$E$61))),1,0))+IF(OR(Settings!$B$62="",Settings!$F$62="No"),0,Settings!$B$62*IF(AND(IF(Settings!$C$62="",$B32,DATE(YEAR($A32),MONTH($A32),MIN(Settings!$C$62,DAY($B32))))&gt;=MAX($A32,Settings!$D$62),IF(Settings!$C$62="",$B32,DATE(YEAR($A32),MONTH($A32),MIN(Settings!$C$62,DAY($B32))))&lt;=MIN($C32,IF(Settings!$E$62="",$C32,Settings!$E$62))),1,0))+IF(OR(Settings!$B$63="",Settings!$F$63="No"),0,Settings!$B$63*IF(AND(IF(Settings!$C$63="",$B32,DATE(YEAR($A32),MONTH($A32),MIN(Settings!$C$63,DAY($B32))))&gt;=MAX($A32,Settings!$D$63),IF(Settings!$C$63="",$B32,DATE(YEAR($A32),MONTH($A32),MIN(Settings!$C$63,DAY($B32))))&lt;=MIN($C32,IF(Settings!$E$63="",$C32,Settings!$E$63))),1,0))+IF(OR(Settings!$B$64="",Settings!$F$64="No"),0,Settings!$B$64*IF(AND(IF(Settings!$C$64="",$B32,DATE(YEAR($A32),MONTH($A32),MIN(Settings!$C$64,DAY($B32))))&gt;=MAX($A32,Settings!$D$64),IF(Settings!$C$64="",$B32,DATE(YEAR($A32),MONTH($A32),MIN(Settings!$C$64,DAY($B32))))&lt;=MIN($C32,IF(Settings!$E$64="",$C32,Settings!$E$64))),1,0))+IF(OR(Settings!$B$65="",Settings!$F$65="No"),0,Settings!$B$65*IF(AND(IF(Settings!$C$65="",$B32,DATE(YEAR($A32),MONTH($A32),MIN(Settings!$C$65,DAY($B32))))&gt;=MAX($A32,Settings!$D$65),IF(Settings!$C$65="",$B32,DATE(YEAR($A32),MONTH($A32),MIN(Settings!$C$65,DAY($B32))))&lt;=MIN($C32,IF(Settings!$E$65="",$C32,Settings!$E$65))),1,0))</f>
        <v/>
      </c>
      <c r="AA32">
        <f>$X32+$Z32</f>
        <v/>
      </c>
      <c r="AB32">
        <f>IF($E32="post",$AA32,IF($E32="open",SUMIFS(Giving!$B$7:$B$2006,Giving!$A$7:$A$2006,"&gt;"&amp;Settings!$B$5,Giving!$A$7:$A$2006,"&lt;="&amp;$B32,Giving!$E$7:$E$2006,"&lt;&gt;No")+IF(OR(Settings!$B$60="",Settings!$F$60="No"),0,Settings!$B$60*IF(AND(IF(Settings!$C$60="",$B32,DATE(YEAR($A32),MONTH($A32),MIN(Settings!$C$60,DAY($B32))))&gt;=MAX($A32,Settings!$D$60,Settings!$B$5+1),IF(Settings!$C$60="",$B32,DATE(YEAR($A32),MONTH($A32),MIN(Settings!$C$60,DAY($B32))))&lt;=MIN($C32,IF(Settings!$E$60="",$C32,Settings!$E$60))),1,0))+IF(OR(Settings!$B$61="",Settings!$F$61="No"),0,Settings!$B$61*IF(AND(IF(Settings!$C$61="",$B32,DATE(YEAR($A32),MONTH($A32),MIN(Settings!$C$61,DAY($B32))))&gt;=MAX($A32,Settings!$D$61,Settings!$B$5+1),IF(Settings!$C$61="",$B32,DATE(YEAR($A32),MONTH($A32),MIN(Settings!$C$61,DAY($B32))))&lt;=MIN($C32,IF(Settings!$E$61="",$C32,Settings!$E$61))),1,0))+IF(OR(Settings!$B$62="",Settings!$F$62="No"),0,Settings!$B$62*IF(AND(IF(Settings!$C$62="",$B32,DATE(YEAR($A32),MONTH($A32),MIN(Settings!$C$62,DAY($B32))))&gt;=MAX($A32,Settings!$D$62,Settings!$B$5+1),IF(Settings!$C$62="",$B32,DATE(YEAR($A32),MONTH($A32),MIN(Settings!$C$62,DAY($B32))))&lt;=MIN($C32,IF(Settings!$E$62="",$C32,Settings!$E$62))),1,0))+IF(OR(Settings!$B$63="",Settings!$F$63="No"),0,Settings!$B$63*IF(AND(IF(Settings!$C$63="",$B32,DATE(YEAR($A32),MONTH($A32),MIN(Settings!$C$63,DAY($B32))))&gt;=MAX($A32,Settings!$D$63,Settings!$B$5+1),IF(Settings!$C$63="",$B32,DATE(YEAR($A32),MONTH($A32),MIN(Settings!$C$63,DAY($B32))))&lt;=MIN($C32,IF(Settings!$E$63="",$C32,Settings!$E$63))),1,0))+IF(OR(Settings!$B$64="",Settings!$F$64="No"),0,Settings!$B$64*IF(AND(IF(Settings!$C$64="",$B32,DATE(YEAR($A32),MONTH($A32),MIN(Settings!$C$64,DAY($B32))))&gt;=MAX($A32,Settings!$D$64,Settings!$B$5+1),IF(Settings!$C$64="",$B32,DATE(YEAR($A32),MONTH($A32),MIN(Settings!$C$64,DAY($B32))))&lt;=MIN($C32,IF(Settings!$E$64="",$C32,Settings!$E$64))),1,0))+IF(OR(Settings!$B$65="",Settings!$F$65="No"),0,Settings!$B$65*IF(AND(IF(Settings!$C$65="",$B32,DATE(YEAR($A32),MONTH($A32),MIN(Settings!$C$65,DAY($B32))))&gt;=MAX($A32,Settings!$D$65,Settings!$B$5+1),IF(Settings!$C$65="",$B32,DATE(YEAR($A32),MONTH($A32),MIN(Settings!$C$65,DAY($B32))))&lt;=MIN($C32,IF(Settings!$E$65="",$C32,Settings!$E$65))),1,0)),0))</f>
        <v/>
      </c>
      <c r="AC32">
        <f>$AY32+$AZ32+$BA32+$BB32+$BC32+$BD32</f>
        <v/>
      </c>
      <c r="AD32">
        <f>$AC32</f>
        <v/>
      </c>
      <c r="AE32">
        <f>IF(OR(Settings!$A$19="",$E32="pre"),"",IF(AND('Month-End'!$AC$7&lt;&gt;"",NOT(_xlfn.ISFORMULA('Month-End'!$AC$7))),N('Month-End'!$AC$7),IF(OR($E32="open",$E31="pre"),N(Settings!$C$19),N($AE31))))</f>
        <v/>
      </c>
      <c r="AF32">
        <f>IF(OR(Settings!$A$20="",$E32="pre"),"",IF(AND('Month-End'!$AC$8&lt;&gt;"",NOT(_xlfn.ISFORMULA('Month-End'!$AC$8))),N('Month-End'!$AC$8),IF(OR($E32="open",$E31="pre"),N(Settings!$C$20),N($AF31))))</f>
        <v/>
      </c>
      <c r="AG32">
        <f>IF(OR(Settings!$A$21="",$E32="pre"),"",IF(AND('Month-End'!$AC$9&lt;&gt;"",NOT(_xlfn.ISFORMULA('Month-End'!$AC$9))),N('Month-End'!$AC$9),IF(OR($E32="open",$E31="pre"),N(Settings!$C$21),N($AG31))))</f>
        <v/>
      </c>
      <c r="AH32">
        <f>IF(OR(Settings!$A$22="",$E32="pre"),"",IF(AND('Month-End'!$AC$10&lt;&gt;"",NOT(_xlfn.ISFORMULA('Month-End'!$AC$10))),N('Month-End'!$AC$10),IF(OR($E32="open",$E31="pre"),N(Settings!$C$22),N($AH31))))</f>
        <v/>
      </c>
      <c r="AI32">
        <f>IF(OR(Settings!$A$23="",$E32="pre"),"",IF(AND('Month-End'!$AC$11&lt;&gt;"",NOT(_xlfn.ISFORMULA('Month-End'!$AC$11))),N('Month-End'!$AC$11),IF(OR($E32="open",$E31="pre"),N(Settings!$C$23),N($AI31))))</f>
        <v/>
      </c>
      <c r="AJ32">
        <f>IF(OR(Settings!$A$24="",$E32="pre"),"",IF(AND('Month-End'!$AC$12&lt;&gt;"",NOT(_xlfn.ISFORMULA('Month-End'!$AC$12))),N('Month-End'!$AC$12),IF(OR($E32="open",$E31="pre"),N(Settings!$C$24),N($AJ31))))</f>
        <v/>
      </c>
      <c r="AK32">
        <f>IF(OR(Settings!$A$25="",$E32="pre"),"",IF(AND('Month-End'!$AC$13&lt;&gt;"",NOT(_xlfn.ISFORMULA('Month-End'!$AC$13))),N('Month-End'!$AC$13),IF(OR($E32="open",$E31="pre"),N(Settings!$C$25),N($AK31))))</f>
        <v/>
      </c>
      <c r="AL32">
        <f>IF(OR(Settings!$A$26="",$E32="pre"),"",IF(AND('Month-End'!$AC$14&lt;&gt;"",NOT(_xlfn.ISFORMULA('Month-End'!$AC$14))),N('Month-End'!$AC$14),IF(OR($E32="open",$E31="pre"),N(Settings!$C$26),N($AL31))))</f>
        <v/>
      </c>
      <c r="AM32">
        <f>IF(OR(Settings!$A$27="",$E32="pre"),"",IF(AND('Month-End'!$AC$15&lt;&gt;"",NOT(_xlfn.ISFORMULA('Month-End'!$AC$15))),N('Month-End'!$AC$15),IF(OR($E32="open",$E31="pre"),N(Settings!$C$27),N($AM31))))</f>
        <v/>
      </c>
      <c r="AN32">
        <f>IF(OR(Settings!$A$28="",$E32="pre"),"",IF(AND('Month-End'!$AC$16&lt;&gt;"",NOT(_xlfn.ISFORMULA('Month-End'!$AC$16))),N('Month-End'!$AC$16),IF(OR($E32="open",$E31="pre"),N(Settings!$C$28),N($AN31))))</f>
        <v/>
      </c>
      <c r="AO32">
        <f>IF(OR(Settings!$A$29="",$E32="pre"),"",IF(AND('Month-End'!$AC$17&lt;&gt;"",NOT(_xlfn.ISFORMULA('Month-End'!$AC$17))),N('Month-End'!$AC$17),IF(OR($E32="open",$E31="pre"),N(Settings!$C$29),N($AO31))))</f>
        <v/>
      </c>
      <c r="AP32">
        <f>IF(OR(Settings!$A$30="",$E32="pre"),"",IF(AND('Month-End'!$AC$18&lt;&gt;"",NOT(_xlfn.ISFORMULA('Month-End'!$AC$18))),N('Month-End'!$AC$18),IF(OR($E32="open",$E31="pre"),N(Settings!$C$30),N($AP31))))</f>
        <v/>
      </c>
      <c r="AQ32">
        <f>IF(OR(Settings!$A$31="",$E32="pre"),"",IF(AND('Month-End'!$AC$19&lt;&gt;"",NOT(_xlfn.ISFORMULA('Month-End'!$AC$19))),N('Month-End'!$AC$19),IF(OR($E32="open",$E31="pre"),N(Settings!$C$31),N($AQ31))))</f>
        <v/>
      </c>
      <c r="AR32">
        <f>IF(OR(Settings!$A$32="",$E32="pre"),"",IF(AND('Month-End'!$AC$20&lt;&gt;"",NOT(_xlfn.ISFORMULA('Month-End'!$AC$20))),N('Month-End'!$AC$20),IF(OR($E32="open",$E31="pre"),N(Settings!$C$32),N($AR31))))</f>
        <v/>
      </c>
      <c r="AS32">
        <f>IF(OR(Settings!$A$36="",$E32="pre"),"",IF(AND('Month-End'!$AC$38&lt;&gt;"",NOT(_xlfn.ISFORMULA('Month-End'!$AC$38))),N('Month-End'!$AC$38),IF(OR($E32="open",$E31="pre"),N(Settings!$C$36),N($AS31))+$AY32))</f>
        <v/>
      </c>
      <c r="AT32">
        <f>IF(OR(Settings!$A$37="",$E32="pre"),"",IF(AND('Month-End'!$AC$39&lt;&gt;"",NOT(_xlfn.ISFORMULA('Month-End'!$AC$39))),N('Month-End'!$AC$39),IF(OR($E32="open",$E31="pre"),N(Settings!$C$37),N($AT31))+$AZ32))</f>
        <v/>
      </c>
      <c r="AU32">
        <f>IF(OR(Settings!$A$38="",$E32="pre"),"",IF(AND('Month-End'!$AC$40&lt;&gt;"",NOT(_xlfn.ISFORMULA('Month-End'!$AC$40))),N('Month-End'!$AC$40),IF(OR($E32="open",$E31="pre"),N(Settings!$C$38),N($AU31))+$BA32))</f>
        <v/>
      </c>
      <c r="AV32">
        <f>IF(OR(Settings!$A$39="",$E32="pre"),"",IF(AND('Month-End'!$AC$41&lt;&gt;"",NOT(_xlfn.ISFORMULA('Month-End'!$AC$41))),N('Month-End'!$AC$41),IF(OR($E32="open",$E31="pre"),N(Settings!$C$39),N($AV31))+$BB32))</f>
        <v/>
      </c>
      <c r="AW32">
        <f>IF(OR(Settings!$A$40="",$E32="pre"),"",IF(AND('Month-End'!$AC$42&lt;&gt;"",NOT(_xlfn.ISFORMULA('Month-End'!$AC$42))),N('Month-End'!$AC$42),IF(OR($E32="open",$E31="pre"),N(Settings!$C$40),N($AW31))+$BC32))</f>
        <v/>
      </c>
      <c r="AX32">
        <f>IF(OR(Settings!$A$41="",$E32="pre"),"",IF(AND('Month-End'!$AC$43&lt;&gt;"",NOT(_xlfn.ISFORMULA('Month-End'!$AC$43))),N('Month-End'!$AC$43),IF(OR($E32="open",$E31="pre"),N(Settings!$C$41),N($AX31))+$BD32))</f>
        <v/>
      </c>
      <c r="AY32">
        <f>IF($E32="pre",0,N('Month-End'!$AC$45))</f>
        <v/>
      </c>
      <c r="AZ32">
        <f>IF($E32="pre",0,N('Month-End'!$AC$46))</f>
        <v/>
      </c>
      <c r="BA32">
        <f>IF($E32="pre",0,N('Month-End'!$AC$47))</f>
        <v/>
      </c>
      <c r="BB32">
        <f>IF($E32="pre",0,N('Month-End'!$AC$48))</f>
        <v/>
      </c>
      <c r="BC32">
        <f>IF($E32="pre",0,N('Month-End'!$AC$49))</f>
        <v/>
      </c>
      <c r="BD32">
        <f>IF($E32="pre",0,N('Month-End'!$AC$50))</f>
        <v/>
      </c>
      <c r="BE32">
        <f>IF(OR(Settings!$C$45="",Settings!$D$45=""),0,Settings!$C$45*IF(Settings!$D$45="Weekly",IF(IFERROR(MATCH(Settings!$E$45,$EO$4:$EO$10,0),0)=0,0,IF(MIN($C32,IF(Settings!$G$45="",$C32,Settings!$G$45))&lt;MAX($A32,Settings!$F$45),0,INT((MIN($C32,IF(Settings!$G$45="",$C32,Settings!$G$45))-MAX($A32,Settings!$F$45)-MOD(IFERROR(MATCH(Settings!$E$45,$EO$4:$EO$10,0),0)-WEEKDAY(MAX($A32,Settings!$F$45)),7))/7)+1)),IF(AND(IF(Settings!$E$45="",$B32,DATE(YEAR($A32),MONTH($A32),MIN(Settings!$E$45,DAY($B32))))&gt;=MAX($A32,Settings!$F$45),IF(Settings!$E$45="",$B32,DATE(YEAR($A32),MONTH($A32),MIN(Settings!$E$45,DAY($B32))))&lt;=MIN($C32,IF(Settings!$G$45="",$C32,Settings!$G$45))),1,0)))</f>
        <v/>
      </c>
      <c r="BF32">
        <f>IF(OR(Settings!$C$46="",Settings!$D$46=""),0,Settings!$C$46*IF(Settings!$D$46="Weekly",IF(IFERROR(MATCH(Settings!$E$46,$EO$4:$EO$10,0),0)=0,0,IF(MIN($C32,IF(Settings!$G$46="",$C32,Settings!$G$46))&lt;MAX($A32,Settings!$F$46),0,INT((MIN($C32,IF(Settings!$G$46="",$C32,Settings!$G$46))-MAX($A32,Settings!$F$46)-MOD(IFERROR(MATCH(Settings!$E$46,$EO$4:$EO$10,0),0)-WEEKDAY(MAX($A32,Settings!$F$46)),7))/7)+1)),IF(AND(IF(Settings!$E$46="",$B32,DATE(YEAR($A32),MONTH($A32),MIN(Settings!$E$46,DAY($B32))))&gt;=MAX($A32,Settings!$F$46),IF(Settings!$E$46="",$B32,DATE(YEAR($A32),MONTH($A32),MIN(Settings!$E$46,DAY($B32))))&lt;=MIN($C32,IF(Settings!$G$46="",$C32,Settings!$G$46))),1,0)))</f>
        <v/>
      </c>
      <c r="BG32">
        <f>IF(OR(Settings!$C$47="",Settings!$D$47=""),0,Settings!$C$47*IF(Settings!$D$47="Weekly",IF(IFERROR(MATCH(Settings!$E$47,$EO$4:$EO$10,0),0)=0,0,IF(MIN($C32,IF(Settings!$G$47="",$C32,Settings!$G$47))&lt;MAX($A32,Settings!$F$47),0,INT((MIN($C32,IF(Settings!$G$47="",$C32,Settings!$G$47))-MAX($A32,Settings!$F$47)-MOD(IFERROR(MATCH(Settings!$E$47,$EO$4:$EO$10,0),0)-WEEKDAY(MAX($A32,Settings!$F$47)),7))/7)+1)),IF(AND(IF(Settings!$E$47="",$B32,DATE(YEAR($A32),MONTH($A32),MIN(Settings!$E$47,DAY($B32))))&gt;=MAX($A32,Settings!$F$47),IF(Settings!$E$47="",$B32,DATE(YEAR($A32),MONTH($A32),MIN(Settings!$E$47,DAY($B32))))&lt;=MIN($C32,IF(Settings!$G$47="",$C32,Settings!$G$47))),1,0)))</f>
        <v/>
      </c>
      <c r="BH32">
        <f>IF(OR(Settings!$C$48="",Settings!$D$48=""),0,Settings!$C$48*IF(Settings!$D$48="Weekly",IF(IFERROR(MATCH(Settings!$E$48,$EO$4:$EO$10,0),0)=0,0,IF(MIN($C32,IF(Settings!$G$48="",$C32,Settings!$G$48))&lt;MAX($A32,Settings!$F$48),0,INT((MIN($C32,IF(Settings!$G$48="",$C32,Settings!$G$48))-MAX($A32,Settings!$F$48)-MOD(IFERROR(MATCH(Settings!$E$48,$EO$4:$EO$10,0),0)-WEEKDAY(MAX($A32,Settings!$F$48)),7))/7)+1)),IF(AND(IF(Settings!$E$48="",$B32,DATE(YEAR($A32),MONTH($A32),MIN(Settings!$E$48,DAY($B32))))&gt;=MAX($A32,Settings!$F$48),IF(Settings!$E$48="",$B32,DATE(YEAR($A32),MONTH($A32),MIN(Settings!$E$48,DAY($B32))))&lt;=MIN($C32,IF(Settings!$G$48="",$C32,Settings!$G$48))),1,0)))</f>
        <v/>
      </c>
      <c r="BI32">
        <f>IF(OR(Settings!$C$49="",Settings!$D$49=""),0,Settings!$C$49*IF(Settings!$D$49="Weekly",IF(IFERROR(MATCH(Settings!$E$49,$EO$4:$EO$10,0),0)=0,0,IF(MIN($C32,IF(Settings!$G$49="",$C32,Settings!$G$49))&lt;MAX($A32,Settings!$F$49),0,INT((MIN($C32,IF(Settings!$G$49="",$C32,Settings!$G$49))-MAX($A32,Settings!$F$49)-MOD(IFERROR(MATCH(Settings!$E$49,$EO$4:$EO$10,0),0)-WEEKDAY(MAX($A32,Settings!$F$49)),7))/7)+1)),IF(AND(IF(Settings!$E$49="",$B32,DATE(YEAR($A32),MONTH($A32),MIN(Settings!$E$49,DAY($B32))))&gt;=MAX($A32,Settings!$F$49),IF(Settings!$E$49="",$B32,DATE(YEAR($A32),MONTH($A32),MIN(Settings!$E$49,DAY($B32))))&lt;=MIN($C32,IF(Settings!$G$49="",$C32,Settings!$G$49))),1,0)))</f>
        <v/>
      </c>
      <c r="BJ32">
        <f>IF(OR(Settings!$C$50="",Settings!$D$50=""),0,Settings!$C$50*IF(Settings!$D$50="Weekly",IF(IFERROR(MATCH(Settings!$E$50,$EO$4:$EO$10,0),0)=0,0,IF(MIN($C32,IF(Settings!$G$50="",$C32,Settings!$G$50))&lt;MAX($A32,Settings!$F$50),0,INT((MIN($C32,IF(Settings!$G$50="",$C32,Settings!$G$50))-MAX($A32,Settings!$F$50)-MOD(IFERROR(MATCH(Settings!$E$50,$EO$4:$EO$10,0),0)-WEEKDAY(MAX($A32,Settings!$F$50)),7))/7)+1)),IF(AND(IF(Settings!$E$50="",$B32,DATE(YEAR($A32),MONTH($A32),MIN(Settings!$E$50,DAY($B32))))&gt;=MAX($A32,Settings!$F$50),IF(Settings!$E$50="",$B32,DATE(YEAR($A32),MONTH($A32),MIN(Settings!$E$50,DAY($B32))))&lt;=MIN($C32,IF(Settings!$G$50="",$C32,Settings!$G$50))),1,0)))</f>
        <v/>
      </c>
      <c r="BK32">
        <f>IF(OR(Settings!$C$51="",Settings!$D$51=""),0,Settings!$C$51*IF(Settings!$D$51="Weekly",IF(IFERROR(MATCH(Settings!$E$51,$EO$4:$EO$10,0),0)=0,0,IF(MIN($C32,IF(Settings!$G$51="",$C32,Settings!$G$51))&lt;MAX($A32,Settings!$F$51),0,INT((MIN($C32,IF(Settings!$G$51="",$C32,Settings!$G$51))-MAX($A32,Settings!$F$51)-MOD(IFERROR(MATCH(Settings!$E$51,$EO$4:$EO$10,0),0)-WEEKDAY(MAX($A32,Settings!$F$51)),7))/7)+1)),IF(AND(IF(Settings!$E$51="",$B32,DATE(YEAR($A32),MONTH($A32),MIN(Settings!$E$51,DAY($B32))))&gt;=MAX($A32,Settings!$F$51),IF(Settings!$E$51="",$B32,DATE(YEAR($A32),MONTH($A32),MIN(Settings!$E$51,DAY($B32))))&lt;=MIN($C32,IF(Settings!$G$51="",$C32,Settings!$G$51))),1,0)))</f>
        <v/>
      </c>
      <c r="BL32">
        <f>IF(OR(Settings!$C$52="",Settings!$D$52=""),0,Settings!$C$52*IF(Settings!$D$52="Weekly",IF(IFERROR(MATCH(Settings!$E$52,$EO$4:$EO$10,0),0)=0,0,IF(MIN($C32,IF(Settings!$G$52="",$C32,Settings!$G$52))&lt;MAX($A32,Settings!$F$52),0,INT((MIN($C32,IF(Settings!$G$52="",$C32,Settings!$G$52))-MAX($A32,Settings!$F$52)-MOD(IFERROR(MATCH(Settings!$E$52,$EO$4:$EO$10,0),0)-WEEKDAY(MAX($A32,Settings!$F$52)),7))/7)+1)),IF(AND(IF(Settings!$E$52="",$B32,DATE(YEAR($A32),MONTH($A32),MIN(Settings!$E$52,DAY($B32))))&gt;=MAX($A32,Settings!$F$52),IF(Settings!$E$52="",$B32,DATE(YEAR($A32),MONTH($A32),MIN(Settings!$E$52,DAY($B32))))&lt;=MIN($C32,IF(Settings!$G$52="",$C32,Settings!$G$52))),1,0)))</f>
        <v/>
      </c>
      <c r="BM32">
        <f>IF(OR(Settings!$C$53="",Settings!$D$53=""),0,Settings!$C$53*IF(Settings!$D$53="Weekly",IF(IFERROR(MATCH(Settings!$E$53,$EO$4:$EO$10,0),0)=0,0,IF(MIN($C32,IF(Settings!$G$53="",$C32,Settings!$G$53))&lt;MAX($A32,Settings!$F$53),0,INT((MIN($C32,IF(Settings!$G$53="",$C32,Settings!$G$53))-MAX($A32,Settings!$F$53)-MOD(IFERROR(MATCH(Settings!$E$53,$EO$4:$EO$10,0),0)-WEEKDAY(MAX($A32,Settings!$F$53)),7))/7)+1)),IF(AND(IF(Settings!$E$53="",$B32,DATE(YEAR($A32),MONTH($A32),MIN(Settings!$E$53,DAY($B32))))&gt;=MAX($A32,Settings!$F$53),IF(Settings!$E$53="",$B32,DATE(YEAR($A32),MONTH($A32),MIN(Settings!$E$53,DAY($B32))))&lt;=MIN($C32,IF(Settings!$G$53="",$C32,Settings!$G$53))),1,0)))</f>
        <v/>
      </c>
      <c r="BN32">
        <f>IF(OR(Settings!$C$54="",Settings!$D$54=""),0,Settings!$C$54*IF(Settings!$D$54="Weekly",IF(IFERROR(MATCH(Settings!$E$54,$EO$4:$EO$10,0),0)=0,0,IF(MIN($C32,IF(Settings!$G$54="",$C32,Settings!$G$54))&lt;MAX($A32,Settings!$F$54),0,INT((MIN($C32,IF(Settings!$G$54="",$C32,Settings!$G$54))-MAX($A32,Settings!$F$54)-MOD(IFERROR(MATCH(Settings!$E$54,$EO$4:$EO$10,0),0)-WEEKDAY(MAX($A32,Settings!$F$54)),7))/7)+1)),IF(AND(IF(Settings!$E$54="",$B32,DATE(YEAR($A32),MONTH($A32),MIN(Settings!$E$54,DAY($B32))))&gt;=MAX($A32,Settings!$F$54),IF(Settings!$E$54="",$B32,DATE(YEAR($A32),MONTH($A32),MIN(Settings!$E$54,DAY($B32))))&lt;=MIN($C32,IF(Settings!$G$54="",$C32,Settings!$G$54))),1,0)))</f>
        <v/>
      </c>
      <c r="BO32">
        <f>IF(OR(Settings!$C$55="",Settings!$D$55=""),0,Settings!$C$55*IF(Settings!$D$55="Weekly",IF(IFERROR(MATCH(Settings!$E$55,$EO$4:$EO$10,0),0)=0,0,IF(MIN($C32,IF(Settings!$G$55="",$C32,Settings!$G$55))&lt;MAX($A32,Settings!$F$55),0,INT((MIN($C32,IF(Settings!$G$55="",$C32,Settings!$G$55))-MAX($A32,Settings!$F$55)-MOD(IFERROR(MATCH(Settings!$E$55,$EO$4:$EO$10,0),0)-WEEKDAY(MAX($A32,Settings!$F$55)),7))/7)+1)),IF(AND(IF(Settings!$E$55="",$B32,DATE(YEAR($A32),MONTH($A32),MIN(Settings!$E$55,DAY($B32))))&gt;=MAX($A32,Settings!$F$55),IF(Settings!$E$55="",$B32,DATE(YEAR($A32),MONTH($A32),MIN(Settings!$E$55,DAY($B32))))&lt;=MIN($C32,IF(Settings!$G$55="",$C32,Settings!$G$55))),1,0)))</f>
        <v/>
      </c>
      <c r="BP32">
        <f>IF(OR(Settings!$C$56="",Settings!$D$56=""),0,Settings!$C$56*IF(Settings!$D$56="Weekly",IF(IFERROR(MATCH(Settings!$E$56,$EO$4:$EO$10,0),0)=0,0,IF(MIN($C32,IF(Settings!$G$56="",$C32,Settings!$G$56))&lt;MAX($A32,Settings!$F$56),0,INT((MIN($C32,IF(Settings!$G$56="",$C32,Settings!$G$56))-MAX($A32,Settings!$F$56)-MOD(IFERROR(MATCH(Settings!$E$56,$EO$4:$EO$10,0),0)-WEEKDAY(MAX($A32,Settings!$F$56)),7))/7)+1)),IF(AND(IF(Settings!$E$56="",$B32,DATE(YEAR($A32),MONTH($A32),MIN(Settings!$E$56,DAY($B32))))&gt;=MAX($A32,Settings!$F$56),IF(Settings!$E$56="",$B32,DATE(YEAR($A32),MONTH($A32),MIN(Settings!$E$56,DAY($B32))))&lt;=MIN($C32,IF(Settings!$G$56="",$C32,Settings!$G$56))),1,0)))</f>
        <v/>
      </c>
      <c r="BQ32">
        <f>IF(OR(Settings!$B$14="",$D32=1,$E32="pre",$A32&lt;IF(Settings!$B$15="",0,Settings!$B$15)),0,Settings!$B$14)</f>
        <v/>
      </c>
      <c r="BR32">
        <f>IF(AND('Month-End'!$AC$7&lt;&gt;"",NOT(_xlfn.ISFORMULA('Month-End'!$AC$7))),1,0)</f>
        <v/>
      </c>
      <c r="BS32">
        <f>IF(AND('Month-End'!$AC$8&lt;&gt;"",NOT(_xlfn.ISFORMULA('Month-End'!$AC$8))),1,0)</f>
        <v/>
      </c>
      <c r="BT32">
        <f>IF(AND('Month-End'!$AC$9&lt;&gt;"",NOT(_xlfn.ISFORMULA('Month-End'!$AC$9))),1,0)</f>
        <v/>
      </c>
      <c r="BU32">
        <f>IF(AND('Month-End'!$AC$10&lt;&gt;"",NOT(_xlfn.ISFORMULA('Month-End'!$AC$10))),1,0)</f>
        <v/>
      </c>
      <c r="BV32">
        <f>IF(AND('Month-End'!$AC$11&lt;&gt;"",NOT(_xlfn.ISFORMULA('Month-End'!$AC$11))),1,0)</f>
        <v/>
      </c>
      <c r="BW32">
        <f>IF(AND('Month-End'!$AC$12&lt;&gt;"",NOT(_xlfn.ISFORMULA('Month-End'!$AC$12))),1,0)</f>
        <v/>
      </c>
      <c r="BX32">
        <f>IF(AND('Month-End'!$AC$13&lt;&gt;"",NOT(_xlfn.ISFORMULA('Month-End'!$AC$13))),1,0)</f>
        <v/>
      </c>
      <c r="BY32">
        <f>IF(AND('Month-End'!$AC$14&lt;&gt;"",NOT(_xlfn.ISFORMULA('Month-End'!$AC$14))),1,0)</f>
        <v/>
      </c>
      <c r="BZ32">
        <f>IF(AND('Month-End'!$AC$15&lt;&gt;"",NOT(_xlfn.ISFORMULA('Month-End'!$AC$15))),1,0)</f>
        <v/>
      </c>
      <c r="CA32">
        <f>IF(AND('Month-End'!$AC$16&lt;&gt;"",NOT(_xlfn.ISFORMULA('Month-End'!$AC$16))),1,0)</f>
        <v/>
      </c>
      <c r="CB32">
        <f>IF(AND('Month-End'!$AC$17&lt;&gt;"",NOT(_xlfn.ISFORMULA('Month-End'!$AC$17))),1,0)</f>
        <v/>
      </c>
      <c r="CC32">
        <f>IF(AND('Month-End'!$AC$18&lt;&gt;"",NOT(_xlfn.ISFORMULA('Month-End'!$AC$18))),1,0)</f>
        <v/>
      </c>
      <c r="CD32">
        <f>IF(AND('Month-End'!$AC$19&lt;&gt;"",NOT(_xlfn.ISFORMULA('Month-End'!$AC$19))),1,0)</f>
        <v/>
      </c>
      <c r="CE32">
        <f>IF(AND('Month-End'!$AC$20&lt;&gt;"",NOT(_xlfn.ISFORMULA('Month-End'!$AC$20))),1,0)</f>
        <v/>
      </c>
      <c r="CF32">
        <f>IF(AND('Month-End'!$AC$38&lt;&gt;"",NOT(_xlfn.ISFORMULA('Month-End'!$AC$38))),1,0)</f>
        <v/>
      </c>
      <c r="CG32">
        <f>IF(AND('Month-End'!$AC$39&lt;&gt;"",NOT(_xlfn.ISFORMULA('Month-End'!$AC$39))),1,0)</f>
        <v/>
      </c>
      <c r="CH32">
        <f>IF(AND('Month-End'!$AC$40&lt;&gt;"",NOT(_xlfn.ISFORMULA('Month-End'!$AC$40))),1,0)</f>
        <v/>
      </c>
      <c r="CI32">
        <f>IF(AND('Month-End'!$AC$41&lt;&gt;"",NOT(_xlfn.ISFORMULA('Month-End'!$AC$41))),1,0)</f>
        <v/>
      </c>
      <c r="CJ32">
        <f>IF(AND('Month-End'!$AC$42&lt;&gt;"",NOT(_xlfn.ISFORMULA('Month-End'!$AC$42))),1,0)</f>
        <v/>
      </c>
      <c r="CK32">
        <f>IF(AND('Month-End'!$AC$43&lt;&gt;"",NOT(_xlfn.ISFORMULA('Month-End'!$AC$43))),1,0)</f>
        <v/>
      </c>
      <c r="CL32">
        <f>SUM($CM32:$CZ32)</f>
        <v/>
      </c>
      <c r="CM32">
        <f>IF(AND($E32&lt;&gt;"pre",AND(Settings!$A$19&lt;&gt;"",Settings!$E$19&lt;&gt;"No"),Settings!$F$19="Yes",NOT(AND('Month-End'!$AC$7&lt;&gt;"",NOT(_xlfn.ISFORMULA('Month-End'!$AC$7))))),1,0)</f>
        <v/>
      </c>
      <c r="CN32">
        <f>IF(AND($E32&lt;&gt;"pre",AND(Settings!$A$20&lt;&gt;"",Settings!$E$20&lt;&gt;"No"),Settings!$F$20="Yes",NOT(AND('Month-End'!$AC$8&lt;&gt;"",NOT(_xlfn.ISFORMULA('Month-End'!$AC$8))))),1,0)</f>
        <v/>
      </c>
      <c r="CO32">
        <f>IF(AND($E32&lt;&gt;"pre",AND(Settings!$A$21&lt;&gt;"",Settings!$E$21&lt;&gt;"No"),Settings!$F$21="Yes",NOT(AND('Month-End'!$AC$9&lt;&gt;"",NOT(_xlfn.ISFORMULA('Month-End'!$AC$9))))),1,0)</f>
        <v/>
      </c>
      <c r="CP32">
        <f>IF(AND($E32&lt;&gt;"pre",AND(Settings!$A$22&lt;&gt;"",Settings!$E$22&lt;&gt;"No"),Settings!$F$22="Yes",NOT(AND('Month-End'!$AC$10&lt;&gt;"",NOT(_xlfn.ISFORMULA('Month-End'!$AC$10))))),1,0)</f>
        <v/>
      </c>
      <c r="CQ32">
        <f>IF(AND($E32&lt;&gt;"pre",AND(Settings!$A$23&lt;&gt;"",Settings!$E$23&lt;&gt;"No"),Settings!$F$23="Yes",NOT(AND('Month-End'!$AC$11&lt;&gt;"",NOT(_xlfn.ISFORMULA('Month-End'!$AC$11))))),1,0)</f>
        <v/>
      </c>
      <c r="CR32">
        <f>IF(AND($E32&lt;&gt;"pre",AND(Settings!$A$24&lt;&gt;"",Settings!$E$24&lt;&gt;"No"),Settings!$F$24="Yes",NOT(AND('Month-End'!$AC$12&lt;&gt;"",NOT(_xlfn.ISFORMULA('Month-End'!$AC$12))))),1,0)</f>
        <v/>
      </c>
      <c r="CS32">
        <f>IF(AND($E32&lt;&gt;"pre",AND(Settings!$A$25&lt;&gt;"",Settings!$E$25&lt;&gt;"No"),Settings!$F$25="Yes",NOT(AND('Month-End'!$AC$13&lt;&gt;"",NOT(_xlfn.ISFORMULA('Month-End'!$AC$13))))),1,0)</f>
        <v/>
      </c>
      <c r="CT32">
        <f>IF(AND($E32&lt;&gt;"pre",AND(Settings!$A$26&lt;&gt;"",Settings!$E$26&lt;&gt;"No"),Settings!$F$26="Yes",NOT(AND('Month-End'!$AC$14&lt;&gt;"",NOT(_xlfn.ISFORMULA('Month-End'!$AC$14))))),1,0)</f>
        <v/>
      </c>
      <c r="CU32">
        <f>IF(AND($E32&lt;&gt;"pre",AND(Settings!$A$27&lt;&gt;"",Settings!$E$27&lt;&gt;"No"),Settings!$F$27="Yes",NOT(AND('Month-End'!$AC$15&lt;&gt;"",NOT(_xlfn.ISFORMULA('Month-End'!$AC$15))))),1,0)</f>
        <v/>
      </c>
      <c r="CV32">
        <f>IF(AND($E32&lt;&gt;"pre",AND(Settings!$A$28&lt;&gt;"",Settings!$E$28&lt;&gt;"No"),Settings!$F$28="Yes",NOT(AND('Month-End'!$AC$16&lt;&gt;"",NOT(_xlfn.ISFORMULA('Month-End'!$AC$16))))),1,0)</f>
        <v/>
      </c>
      <c r="CW32">
        <f>IF(AND($E32&lt;&gt;"pre",AND(Settings!$A$29&lt;&gt;"",Settings!$E$29&lt;&gt;"No"),Settings!$F$29="Yes",NOT(AND('Month-End'!$AC$17&lt;&gt;"",NOT(_xlfn.ISFORMULA('Month-End'!$AC$17))))),1,0)</f>
        <v/>
      </c>
      <c r="CX32">
        <f>IF(AND($E32&lt;&gt;"pre",AND(Settings!$A$30&lt;&gt;"",Settings!$E$30&lt;&gt;"No"),Settings!$F$30="Yes",NOT(AND('Month-End'!$AC$18&lt;&gt;"",NOT(_xlfn.ISFORMULA('Month-End'!$AC$18))))),1,0)</f>
        <v/>
      </c>
      <c r="CY32">
        <f>IF(AND($E32&lt;&gt;"pre",AND(Settings!$A$31&lt;&gt;"",Settings!$E$31&lt;&gt;"No"),Settings!$F$31="Yes",NOT(AND('Month-End'!$AC$19&lt;&gt;"",NOT(_xlfn.ISFORMULA('Month-End'!$AC$19))))),1,0)</f>
        <v/>
      </c>
      <c r="CZ32">
        <f>IF(AND($E32&lt;&gt;"pre",AND(Settings!$A$32&lt;&gt;"",Settings!$E$32&lt;&gt;"No"),Settings!$F$32="Yes",NOT(AND('Month-End'!$AC$20&lt;&gt;"",NOT(_xlfn.ISFORMULA('Month-End'!$AC$20))))),1,0)</f>
        <v/>
      </c>
      <c r="DA32">
        <f>IF($DT32=1,IF(OR(Settings!$B$19="Checking",Settings!$B$19="Savings",Settings!$B$19="Cash"),N($AE32),IF(OR(Settings!$B$19="Card",Settings!$B$19="Loan"),-N($AE32),0))+IF(OR(Settings!$B$20="Checking",Settings!$B$20="Savings",Settings!$B$20="Cash"),N($AF32),IF(OR(Settings!$B$20="Card",Settings!$B$20="Loan"),-N($AF32),0))+IF(OR(Settings!$B$21="Checking",Settings!$B$21="Savings",Settings!$B$21="Cash"),N($AG32),IF(OR(Settings!$B$21="Card",Settings!$B$21="Loan"),-N($AG32),0))+IF(OR(Settings!$B$22="Checking",Settings!$B$22="Savings",Settings!$B$22="Cash"),N($AH32),IF(OR(Settings!$B$22="Card",Settings!$B$22="Loan"),-N($AH32),0))+IF(OR(Settings!$B$23="Checking",Settings!$B$23="Savings",Settings!$B$23="Cash"),N($AI32),IF(OR(Settings!$B$23="Card",Settings!$B$23="Loan"),-N($AI32),0))+IF(OR(Settings!$B$24="Checking",Settings!$B$24="Savings",Settings!$B$24="Cash"),N($AJ32),IF(OR(Settings!$B$24="Card",Settings!$B$24="Loan"),-N($AJ32),0))+IF(OR(Settings!$B$25="Checking",Settings!$B$25="Savings",Settings!$B$25="Cash"),N($AK32),IF(OR(Settings!$B$25="Card",Settings!$B$25="Loan"),-N($AK32),0))+IF(OR(Settings!$B$26="Checking",Settings!$B$26="Savings",Settings!$B$26="Cash"),N($AL32),IF(OR(Settings!$B$26="Card",Settings!$B$26="Loan"),-N($AL32),0))+IF(OR(Settings!$B$27="Checking",Settings!$B$27="Savings",Settings!$B$27="Cash"),N($AM32),IF(OR(Settings!$B$27="Card",Settings!$B$27="Loan"),-N($AM32),0))+IF(OR(Settings!$B$28="Checking",Settings!$B$28="Savings",Settings!$B$28="Cash"),N($AN32),IF(OR(Settings!$B$28="Card",Settings!$B$28="Loan"),-N($AN32),0))+IF(OR(Settings!$B$29="Checking",Settings!$B$29="Savings",Settings!$B$29="Cash"),N($AO32),IF(OR(Settings!$B$29="Card",Settings!$B$29="Loan"),-N($AO32),0))+IF(OR(Settings!$B$30="Checking",Settings!$B$30="Savings",Settings!$B$30="Cash"),N($AP32),IF(OR(Settings!$B$30="Card",Settings!$B$30="Loan"),-N($AP32),0))+IF(OR(Settings!$B$31="Checking",Settings!$B$31="Savings",Settings!$B$31="Cash"),N($AQ32),IF(OR(Settings!$B$31="Card",Settings!$B$31="Loan"),-N($AQ32),0))+IF(OR(Settings!$B$32="Checking",Settings!$B$32="Savings",Settings!$B$32="Cash"),N($AR32),IF(OR(Settings!$B$32="Card",Settings!$B$32="Loan"),-N($AR32),0)),"")</f>
        <v/>
      </c>
      <c r="DB32">
        <f>IF($E32="open",$EB$27,IF($E32="post",IF($E31="pre",$EB$27,$DA31),""))</f>
        <v/>
      </c>
      <c r="DC32">
        <f>IF($E32="open",1,IF($E32="post",IF($E31="pre",1,$DT31),0))</f>
        <v/>
      </c>
      <c r="DD32">
        <f>IF(AND($DT32=1,$DC32=1),ROUND($W32-($DA32-$DB32)-$AD32-$AB32,2),"")</f>
        <v/>
      </c>
      <c r="DE32">
        <f>IF('Month-End'!$AC$35="",$BQ32,N('Month-End'!$AC$35))</f>
        <v/>
      </c>
      <c r="DF32">
        <f>N('Month-End'!$AC$36)</f>
        <v/>
      </c>
      <c r="DG32">
        <f>IF($DD32="","",$DD32+$DE32)</f>
        <v/>
      </c>
      <c r="DH32">
        <f>IF($DG32="","",$DG32-$DF32)</f>
        <v/>
      </c>
      <c r="DI32">
        <f>IF(OR($E32="pre",$D32=1),"",N($AS32)+N($AT32)+N($AU32)+N($AV32)+N($AW32)+N($AX32))</f>
        <v/>
      </c>
      <c r="DJ32">
        <f>IF($DT32=1,$DA32+N($DI32),"")</f>
        <v/>
      </c>
      <c r="DK32">
        <f>IF($DD32="","",$W32-$DD32-$AB32)</f>
        <v/>
      </c>
      <c r="DL32">
        <f>IF(AND($E32="post",$DD32&lt;&gt;"",$B32&lt;TODAY()),1,0)</f>
        <v/>
      </c>
      <c r="DM32">
        <f>IF($DL32=1,COUNTIF($DL32:$DL$183,1),0)</f>
        <v/>
      </c>
      <c r="DN32">
        <f>IF($D32=1,"",IF($E32="pre","History only",IF($DT32=1,IF($DD32="","⚠ Previous month missing",IF($DD32&lt;0,"⚠ Check: spending &lt; 0",IF($E32="open","✓ Done (partial)","✓ Done"))),IF($B32&gt;=TODAY(),"In progress","⚠ Needs balances"))))</f>
        <v/>
      </c>
      <c r="DO32">
        <f>YEAR($A32)</f>
        <v/>
      </c>
      <c r="DP32">
        <f>DATE(YEAR($A32),INT((MONTH($A32)-1)/3)*3+1,1)</f>
        <v/>
      </c>
      <c r="DQ32">
        <f>IF(AND($DT32=1,$DD32&lt;&gt;"",$D32=0),ROW(),0)</f>
        <v/>
      </c>
      <c r="DR32">
        <f>IF(AND($E32&lt;&gt;"pre",$B32&lt;TODAY(),$DT32=0),1,0)</f>
        <v/>
      </c>
      <c r="DS32">
        <f>IF($DJ32="",NA(),$DJ32)</f>
        <v/>
      </c>
      <c r="DT32">
        <f>IF(AND($E32&lt;&gt;"pre",$CL32=0,COUNTIFS(Settings!$F$19:$F$32,"Yes",Settings!$A$19:$A$32,"&lt;&gt;",Settings!$E$19:$E$32,"&lt;&gt;No")&gt;0),1,0)</f>
        <v/>
      </c>
      <c r="DU32">
        <f>IF(AND($B32&lt;TODAY(),$S32&gt;0),1,0)</f>
        <v/>
      </c>
      <c r="DV32">
        <f>IF($DU32=1,COUNTIF($DU32:$DU$183,1),0)</f>
        <v/>
      </c>
      <c r="DW32">
        <f>IF(AND(OR(Settings!$B$19="Card",Settings!$B$19="Loan"),AND('Month-End'!$AC$7&lt;&gt;"",NOT(_xlfn.ISFORMULA('Month-End'!$AC$7)))),IF(N('Month-End'!$AC$7)&lt;0,1,0),0)+IF(AND(OR(Settings!$B$20="Card",Settings!$B$20="Loan"),AND('Month-End'!$AC$8&lt;&gt;"",NOT(_xlfn.ISFORMULA('Month-End'!$AC$8)))),IF(N('Month-End'!$AC$8)&lt;0,1,0),0)+IF(AND(OR(Settings!$B$21="Card",Settings!$B$21="Loan"),AND('Month-End'!$AC$9&lt;&gt;"",NOT(_xlfn.ISFORMULA('Month-End'!$AC$9)))),IF(N('Month-End'!$AC$9)&lt;0,1,0),0)+IF(AND(OR(Settings!$B$22="Card",Settings!$B$22="Loan"),AND('Month-End'!$AC$10&lt;&gt;"",NOT(_xlfn.ISFORMULA('Month-End'!$AC$10)))),IF(N('Month-End'!$AC$10)&lt;0,1,0),0)+IF(AND(OR(Settings!$B$23="Card",Settings!$B$23="Loan"),AND('Month-End'!$AC$11&lt;&gt;"",NOT(_xlfn.ISFORMULA('Month-End'!$AC$11)))),IF(N('Month-End'!$AC$11)&lt;0,1,0),0)+IF(AND(OR(Settings!$B$24="Card",Settings!$B$24="Loan"),AND('Month-End'!$AC$12&lt;&gt;"",NOT(_xlfn.ISFORMULA('Month-End'!$AC$12)))),IF(N('Month-End'!$AC$12)&lt;0,1,0),0)+IF(AND(OR(Settings!$B$25="Card",Settings!$B$25="Loan"),AND('Month-End'!$AC$13&lt;&gt;"",NOT(_xlfn.ISFORMULA('Month-End'!$AC$13)))),IF(N('Month-End'!$AC$13)&lt;0,1,0),0)+IF(AND(OR(Settings!$B$26="Card",Settings!$B$26="Loan"),AND('Month-End'!$AC$14&lt;&gt;"",NOT(_xlfn.ISFORMULA('Month-End'!$AC$14)))),IF(N('Month-End'!$AC$14)&lt;0,1,0),0)+IF(AND(OR(Settings!$B$27="Card",Settings!$B$27="Loan"),AND('Month-End'!$AC$15&lt;&gt;"",NOT(_xlfn.ISFORMULA('Month-End'!$AC$15)))),IF(N('Month-End'!$AC$15)&lt;0,1,0),0)+IF(AND(OR(Settings!$B$28="Card",Settings!$B$28="Loan"),AND('Month-End'!$AC$16&lt;&gt;"",NOT(_xlfn.ISFORMULA('Month-End'!$AC$16)))),IF(N('Month-End'!$AC$16)&lt;0,1,0),0)+IF(AND(OR(Settings!$B$29="Card",Settings!$B$29="Loan"),AND('Month-End'!$AC$17&lt;&gt;"",NOT(_xlfn.ISFORMULA('Month-End'!$AC$17)))),IF(N('Month-End'!$AC$17)&lt;0,1,0),0)+IF(AND(OR(Settings!$B$30="Card",Settings!$B$30="Loan"),AND('Month-End'!$AC$18&lt;&gt;"",NOT(_xlfn.ISFORMULA('Month-End'!$AC$18)))),IF(N('Month-End'!$AC$18)&lt;0,1,0),0)+IF(AND(OR(Settings!$B$31="Card",Settings!$B$31="Loan"),AND('Month-End'!$AC$19&lt;&gt;"",NOT(_xlfn.ISFORMULA('Month-End'!$AC$19)))),IF(N('Month-End'!$AC$19)&lt;0,1,0),0)+IF(AND(OR(Settings!$B$32="Card",Settings!$B$32="Loan"),AND('Month-End'!$AC$20&lt;&gt;"",NOT(_xlfn.ISFORMULA('Month-End'!$AC$20)))),IF(N('Month-End'!$AC$20)&lt;0,1,0),0)</f>
        <v/>
      </c>
      <c r="DX32">
        <f>IF(Settings!$B$36="Retirement",$AY32,0)+IF(Settings!$B$37="Retirement",$AZ32,0)+IF(Settings!$B$38="Retirement",$BA32,0)+IF(Settings!$B$39="Retirement",$BB32,0)+IF(Settings!$B$40="Retirement",$BC32,0)+IF(Settings!$B$41="Retirement",$BD32,0)</f>
        <v/>
      </c>
      <c r="EA32" t="inlineStr">
        <is>
          <t>Retirement now</t>
        </is>
      </c>
      <c r="EB32">
        <f>IF(Settings!$B$36="Retirement",N(EB54),0)+IF(Settings!$B$37="Retirement",N(EB55),0)+IF(Settings!$B$38="Retirement",N(EB56),0)+IF(Settings!$B$39="Retirement",N(EB57),0)+IF(Settings!$B$40="Retirement",N(EB58),0)+IF(Settings!$B$41="Retirement",N(EB59),0)</f>
        <v/>
      </c>
      <c r="ET32">
        <f>IF($E32&lt;&gt;"open",0,IF(AND('Month-End'!$AC$22&lt;&gt;"",NOT(_xlfn.ISFORMULA('Month-End'!$AC$22))),0,IF(OR(Settings!$C$45="",Settings!$D$45=""),0,Settings!$C$45*IF(Settings!$D$45="Weekly",IF(IFERROR(MATCH(Settings!$E$45,$EO$4:$EO$10,0),0)=0,0,IF(MIN(Settings!$B$5,IF(Settings!$G$45="",Settings!$B$5,Settings!$G$45))&lt;MAX($A32,Settings!$F$45),0,INT((MIN(Settings!$B$5,IF(Settings!$G$45="",Settings!$B$5,Settings!$G$45))-MAX($A32,Settings!$F$45)-MOD(IFERROR(MATCH(Settings!$E$45,$EO$4:$EO$10,0),0)-WEEKDAY(MAX($A32,Settings!$F$45)),7))/7)+1)),IF(AND(IF(Settings!$E$45="",$B32,DATE(YEAR($A32),MONTH($A32),MIN(Settings!$E$45,DAY($B32))))&gt;=MAX($A32,Settings!$F$45),IF(Settings!$E$45="",$B32,DATE(YEAR($A32),MONTH($A32),MIN(Settings!$E$45,DAY($B32))))&lt;=MIN(Settings!$B$5,IF(Settings!$G$45="",Settings!$B$5,Settings!$G$45))),1,0)))))</f>
        <v/>
      </c>
      <c r="EU32">
        <f>IF($E32&lt;&gt;"open",0,IF(AND('Month-End'!$AC$23&lt;&gt;"",NOT(_xlfn.ISFORMULA('Month-End'!$AC$23))),0,IF(OR(Settings!$C$46="",Settings!$D$46=""),0,Settings!$C$46*IF(Settings!$D$46="Weekly",IF(IFERROR(MATCH(Settings!$E$46,$EO$4:$EO$10,0),0)=0,0,IF(MIN(Settings!$B$5,IF(Settings!$G$46="",Settings!$B$5,Settings!$G$46))&lt;MAX($A32,Settings!$F$46),0,INT((MIN(Settings!$B$5,IF(Settings!$G$46="",Settings!$B$5,Settings!$G$46))-MAX($A32,Settings!$F$46)-MOD(IFERROR(MATCH(Settings!$E$46,$EO$4:$EO$10,0),0)-WEEKDAY(MAX($A32,Settings!$F$46)),7))/7)+1)),IF(AND(IF(Settings!$E$46="",$B32,DATE(YEAR($A32),MONTH($A32),MIN(Settings!$E$46,DAY($B32))))&gt;=MAX($A32,Settings!$F$46),IF(Settings!$E$46="",$B32,DATE(YEAR($A32),MONTH($A32),MIN(Settings!$E$46,DAY($B32))))&lt;=MIN(Settings!$B$5,IF(Settings!$G$46="",Settings!$B$5,Settings!$G$46))),1,0)))))</f>
        <v/>
      </c>
      <c r="EV32">
        <f>IF($E32&lt;&gt;"open",0,IF(AND('Month-End'!$AC$24&lt;&gt;"",NOT(_xlfn.ISFORMULA('Month-End'!$AC$24))),0,IF(OR(Settings!$C$47="",Settings!$D$47=""),0,Settings!$C$47*IF(Settings!$D$47="Weekly",IF(IFERROR(MATCH(Settings!$E$47,$EO$4:$EO$10,0),0)=0,0,IF(MIN(Settings!$B$5,IF(Settings!$G$47="",Settings!$B$5,Settings!$G$47))&lt;MAX($A32,Settings!$F$47),0,INT((MIN(Settings!$B$5,IF(Settings!$G$47="",Settings!$B$5,Settings!$G$47))-MAX($A32,Settings!$F$47)-MOD(IFERROR(MATCH(Settings!$E$47,$EO$4:$EO$10,0),0)-WEEKDAY(MAX($A32,Settings!$F$47)),7))/7)+1)),IF(AND(IF(Settings!$E$47="",$B32,DATE(YEAR($A32),MONTH($A32),MIN(Settings!$E$47,DAY($B32))))&gt;=MAX($A32,Settings!$F$47),IF(Settings!$E$47="",$B32,DATE(YEAR($A32),MONTH($A32),MIN(Settings!$E$47,DAY($B32))))&lt;=MIN(Settings!$B$5,IF(Settings!$G$47="",Settings!$B$5,Settings!$G$47))),1,0)))))</f>
        <v/>
      </c>
      <c r="EW32">
        <f>IF($E32&lt;&gt;"open",0,IF(AND('Month-End'!$AC$25&lt;&gt;"",NOT(_xlfn.ISFORMULA('Month-End'!$AC$25))),0,IF(OR(Settings!$C$48="",Settings!$D$48=""),0,Settings!$C$48*IF(Settings!$D$48="Weekly",IF(IFERROR(MATCH(Settings!$E$48,$EO$4:$EO$10,0),0)=0,0,IF(MIN(Settings!$B$5,IF(Settings!$G$48="",Settings!$B$5,Settings!$G$48))&lt;MAX($A32,Settings!$F$48),0,INT((MIN(Settings!$B$5,IF(Settings!$G$48="",Settings!$B$5,Settings!$G$48))-MAX($A32,Settings!$F$48)-MOD(IFERROR(MATCH(Settings!$E$48,$EO$4:$EO$10,0),0)-WEEKDAY(MAX($A32,Settings!$F$48)),7))/7)+1)),IF(AND(IF(Settings!$E$48="",$B32,DATE(YEAR($A32),MONTH($A32),MIN(Settings!$E$48,DAY($B32))))&gt;=MAX($A32,Settings!$F$48),IF(Settings!$E$48="",$B32,DATE(YEAR($A32),MONTH($A32),MIN(Settings!$E$48,DAY($B32))))&lt;=MIN(Settings!$B$5,IF(Settings!$G$48="",Settings!$B$5,Settings!$G$48))),1,0)))))</f>
        <v/>
      </c>
      <c r="EX32">
        <f>IF($E32&lt;&gt;"open",0,IF(AND('Month-End'!$AC$26&lt;&gt;"",NOT(_xlfn.ISFORMULA('Month-End'!$AC$26))),0,IF(OR(Settings!$C$49="",Settings!$D$49=""),0,Settings!$C$49*IF(Settings!$D$49="Weekly",IF(IFERROR(MATCH(Settings!$E$49,$EO$4:$EO$10,0),0)=0,0,IF(MIN(Settings!$B$5,IF(Settings!$G$49="",Settings!$B$5,Settings!$G$49))&lt;MAX($A32,Settings!$F$49),0,INT((MIN(Settings!$B$5,IF(Settings!$G$49="",Settings!$B$5,Settings!$G$49))-MAX($A32,Settings!$F$49)-MOD(IFERROR(MATCH(Settings!$E$49,$EO$4:$EO$10,0),0)-WEEKDAY(MAX($A32,Settings!$F$49)),7))/7)+1)),IF(AND(IF(Settings!$E$49="",$B32,DATE(YEAR($A32),MONTH($A32),MIN(Settings!$E$49,DAY($B32))))&gt;=MAX($A32,Settings!$F$49),IF(Settings!$E$49="",$B32,DATE(YEAR($A32),MONTH($A32),MIN(Settings!$E$49,DAY($B32))))&lt;=MIN(Settings!$B$5,IF(Settings!$G$49="",Settings!$B$5,Settings!$G$49))),1,0)))))</f>
        <v/>
      </c>
      <c r="EY32">
        <f>IF($E32&lt;&gt;"open",0,IF(AND('Month-End'!$AC$27&lt;&gt;"",NOT(_xlfn.ISFORMULA('Month-End'!$AC$27))),0,IF(OR(Settings!$C$50="",Settings!$D$50=""),0,Settings!$C$50*IF(Settings!$D$50="Weekly",IF(IFERROR(MATCH(Settings!$E$50,$EO$4:$EO$10,0),0)=0,0,IF(MIN(Settings!$B$5,IF(Settings!$G$50="",Settings!$B$5,Settings!$G$50))&lt;MAX($A32,Settings!$F$50),0,INT((MIN(Settings!$B$5,IF(Settings!$G$50="",Settings!$B$5,Settings!$G$50))-MAX($A32,Settings!$F$50)-MOD(IFERROR(MATCH(Settings!$E$50,$EO$4:$EO$10,0),0)-WEEKDAY(MAX($A32,Settings!$F$50)),7))/7)+1)),IF(AND(IF(Settings!$E$50="",$B32,DATE(YEAR($A32),MONTH($A32),MIN(Settings!$E$50,DAY($B32))))&gt;=MAX($A32,Settings!$F$50),IF(Settings!$E$50="",$B32,DATE(YEAR($A32),MONTH($A32),MIN(Settings!$E$50,DAY($B32))))&lt;=MIN(Settings!$B$5,IF(Settings!$G$50="",Settings!$B$5,Settings!$G$50))),1,0)))))</f>
        <v/>
      </c>
      <c r="EZ32">
        <f>IF($E32&lt;&gt;"open",0,IF(AND('Month-End'!$AC$28&lt;&gt;"",NOT(_xlfn.ISFORMULA('Month-End'!$AC$28))),0,IF(OR(Settings!$C$51="",Settings!$D$51=""),0,Settings!$C$51*IF(Settings!$D$51="Weekly",IF(IFERROR(MATCH(Settings!$E$51,$EO$4:$EO$10,0),0)=0,0,IF(MIN(Settings!$B$5,IF(Settings!$G$51="",Settings!$B$5,Settings!$G$51))&lt;MAX($A32,Settings!$F$51),0,INT((MIN(Settings!$B$5,IF(Settings!$G$51="",Settings!$B$5,Settings!$G$51))-MAX($A32,Settings!$F$51)-MOD(IFERROR(MATCH(Settings!$E$51,$EO$4:$EO$10,0),0)-WEEKDAY(MAX($A32,Settings!$F$51)),7))/7)+1)),IF(AND(IF(Settings!$E$51="",$B32,DATE(YEAR($A32),MONTH($A32),MIN(Settings!$E$51,DAY($B32))))&gt;=MAX($A32,Settings!$F$51),IF(Settings!$E$51="",$B32,DATE(YEAR($A32),MONTH($A32),MIN(Settings!$E$51,DAY($B32))))&lt;=MIN(Settings!$B$5,IF(Settings!$G$51="",Settings!$B$5,Settings!$G$51))),1,0)))))</f>
        <v/>
      </c>
      <c r="FA32">
        <f>IF($E32&lt;&gt;"open",0,IF(AND('Month-End'!$AC$29&lt;&gt;"",NOT(_xlfn.ISFORMULA('Month-End'!$AC$29))),0,IF(OR(Settings!$C$52="",Settings!$D$52=""),0,Settings!$C$52*IF(Settings!$D$52="Weekly",IF(IFERROR(MATCH(Settings!$E$52,$EO$4:$EO$10,0),0)=0,0,IF(MIN(Settings!$B$5,IF(Settings!$G$52="",Settings!$B$5,Settings!$G$52))&lt;MAX($A32,Settings!$F$52),0,INT((MIN(Settings!$B$5,IF(Settings!$G$52="",Settings!$B$5,Settings!$G$52))-MAX($A32,Settings!$F$52)-MOD(IFERROR(MATCH(Settings!$E$52,$EO$4:$EO$10,0),0)-WEEKDAY(MAX($A32,Settings!$F$52)),7))/7)+1)),IF(AND(IF(Settings!$E$52="",$B32,DATE(YEAR($A32),MONTH($A32),MIN(Settings!$E$52,DAY($B32))))&gt;=MAX($A32,Settings!$F$52),IF(Settings!$E$52="",$B32,DATE(YEAR($A32),MONTH($A32),MIN(Settings!$E$52,DAY($B32))))&lt;=MIN(Settings!$B$5,IF(Settings!$G$52="",Settings!$B$5,Settings!$G$52))),1,0)))))</f>
        <v/>
      </c>
      <c r="FB32">
        <f>IF($E32&lt;&gt;"open",0,IF(AND('Month-End'!$AC$30&lt;&gt;"",NOT(_xlfn.ISFORMULA('Month-End'!$AC$30))),0,IF(OR(Settings!$C$53="",Settings!$D$53=""),0,Settings!$C$53*IF(Settings!$D$53="Weekly",IF(IFERROR(MATCH(Settings!$E$53,$EO$4:$EO$10,0),0)=0,0,IF(MIN(Settings!$B$5,IF(Settings!$G$53="",Settings!$B$5,Settings!$G$53))&lt;MAX($A32,Settings!$F$53),0,INT((MIN(Settings!$B$5,IF(Settings!$G$53="",Settings!$B$5,Settings!$G$53))-MAX($A32,Settings!$F$53)-MOD(IFERROR(MATCH(Settings!$E$53,$EO$4:$EO$10,0),0)-WEEKDAY(MAX($A32,Settings!$F$53)),7))/7)+1)),IF(AND(IF(Settings!$E$53="",$B32,DATE(YEAR($A32),MONTH($A32),MIN(Settings!$E$53,DAY($B32))))&gt;=MAX($A32,Settings!$F$53),IF(Settings!$E$53="",$B32,DATE(YEAR($A32),MONTH($A32),MIN(Settings!$E$53,DAY($B32))))&lt;=MIN(Settings!$B$5,IF(Settings!$G$53="",Settings!$B$5,Settings!$G$53))),1,0)))))</f>
        <v/>
      </c>
      <c r="FC32">
        <f>IF($E32&lt;&gt;"open",0,IF(AND('Month-End'!$AC$31&lt;&gt;"",NOT(_xlfn.ISFORMULA('Month-End'!$AC$31))),0,IF(OR(Settings!$C$54="",Settings!$D$54=""),0,Settings!$C$54*IF(Settings!$D$54="Weekly",IF(IFERROR(MATCH(Settings!$E$54,$EO$4:$EO$10,0),0)=0,0,IF(MIN(Settings!$B$5,IF(Settings!$G$54="",Settings!$B$5,Settings!$G$54))&lt;MAX($A32,Settings!$F$54),0,INT((MIN(Settings!$B$5,IF(Settings!$G$54="",Settings!$B$5,Settings!$G$54))-MAX($A32,Settings!$F$54)-MOD(IFERROR(MATCH(Settings!$E$54,$EO$4:$EO$10,0),0)-WEEKDAY(MAX($A32,Settings!$F$54)),7))/7)+1)),IF(AND(IF(Settings!$E$54="",$B32,DATE(YEAR($A32),MONTH($A32),MIN(Settings!$E$54,DAY($B32))))&gt;=MAX($A32,Settings!$F$54),IF(Settings!$E$54="",$B32,DATE(YEAR($A32),MONTH($A32),MIN(Settings!$E$54,DAY($B32))))&lt;=MIN(Settings!$B$5,IF(Settings!$G$54="",Settings!$B$5,Settings!$G$54))),1,0)))))</f>
        <v/>
      </c>
      <c r="FD32">
        <f>IF($E32&lt;&gt;"open",0,IF(AND('Month-End'!$AC$32&lt;&gt;"",NOT(_xlfn.ISFORMULA('Month-End'!$AC$32))),0,IF(OR(Settings!$C$55="",Settings!$D$55=""),0,Settings!$C$55*IF(Settings!$D$55="Weekly",IF(IFERROR(MATCH(Settings!$E$55,$EO$4:$EO$10,0),0)=0,0,IF(MIN(Settings!$B$5,IF(Settings!$G$55="",Settings!$B$5,Settings!$G$55))&lt;MAX($A32,Settings!$F$55),0,INT((MIN(Settings!$B$5,IF(Settings!$G$55="",Settings!$B$5,Settings!$G$55))-MAX($A32,Settings!$F$55)-MOD(IFERROR(MATCH(Settings!$E$55,$EO$4:$EO$10,0),0)-WEEKDAY(MAX($A32,Settings!$F$55)),7))/7)+1)),IF(AND(IF(Settings!$E$55="",$B32,DATE(YEAR($A32),MONTH($A32),MIN(Settings!$E$55,DAY($B32))))&gt;=MAX($A32,Settings!$F$55),IF(Settings!$E$55="",$B32,DATE(YEAR($A32),MONTH($A32),MIN(Settings!$E$55,DAY($B32))))&lt;=MIN(Settings!$B$5,IF(Settings!$G$55="",Settings!$B$5,Settings!$G$55))),1,0)))))</f>
        <v/>
      </c>
      <c r="FE32">
        <f>IF($E32&lt;&gt;"open",0,IF(AND('Month-End'!$AC$33&lt;&gt;"",NOT(_xlfn.ISFORMULA('Month-End'!$AC$33))),0,IF(OR(Settings!$C$56="",Settings!$D$56=""),0,Settings!$C$56*IF(Settings!$D$56="Weekly",IF(IFERROR(MATCH(Settings!$E$56,$EO$4:$EO$10,0),0)=0,0,IF(MIN(Settings!$B$5,IF(Settings!$G$56="",Settings!$B$5,Settings!$G$56))&lt;MAX($A32,Settings!$F$56),0,INT((MIN(Settings!$B$5,IF(Settings!$G$56="",Settings!$B$5,Settings!$G$56))-MAX($A32,Settings!$F$56)-MOD(IFERROR(MATCH(Settings!$E$56,$EO$4:$EO$10,0),0)-WEEKDAY(MAX($A32,Settings!$F$56)),7))/7)+1)),IF(AND(IF(Settings!$E$56="",$B32,DATE(YEAR($A32),MONTH($A32),MIN(Settings!$E$56,DAY($B32))))&gt;=MAX($A32,Settings!$F$56),IF(Settings!$E$56="",$B32,DATE(YEAR($A32),MONTH($A32),MIN(Settings!$E$56,DAY($B32))))&lt;=MIN(Settings!$B$5,IF(Settings!$G$56="",Settings!$B$5,Settings!$G$56))),1,0)))))</f>
        <v/>
      </c>
      <c r="FF32">
        <f>IF(Settings!$I$45="Yes",$G32,0)+IF(Settings!$I$46="Yes",$H32,0)+IF(Settings!$I$47="Yes",$I32,0)+IF(Settings!$I$48="Yes",$J32,0)+IF(Settings!$I$49="Yes",$K32,0)+IF(Settings!$I$50="Yes",$L32,0)+IF(Settings!$I$51="Yes",$M32,0)+IF(Settings!$I$52="Yes",$N32,0)+IF(Settings!$I$53="Yes",$O32,0)+IF(Settings!$I$54="Yes",$P32,0)+IF(Settings!$I$55="Yes",$Q32,0)+IF(Settings!$I$56="Yes",$R32,0)</f>
        <v/>
      </c>
      <c r="FG32">
        <f>IF(AND(Settings!$I$45="Yes",Settings!$J$45="No"),$G32,0)+IF(AND(Settings!$I$46="Yes",Settings!$J$46="No"),$H32,0)+IF(AND(Settings!$I$47="Yes",Settings!$J$47="No"),$I32,0)+IF(AND(Settings!$I$48="Yes",Settings!$J$48="No"),$J32,0)+IF(AND(Settings!$I$49="Yes",Settings!$J$49="No"),$K32,0)+IF(AND(Settings!$I$50="Yes",Settings!$J$50="No"),$L32,0)+IF(AND(Settings!$I$51="Yes",Settings!$J$51="No"),$M32,0)+IF(AND(Settings!$I$52="Yes",Settings!$J$52="No"),$N32,0)+IF(AND(Settings!$I$53="Yes",Settings!$J$53="No"),$O32,0)+IF(AND(Settings!$I$54="Yes",Settings!$J$54="No"),$P32,0)+IF(AND(Settings!$I$55="Yes",Settings!$J$55="No"),$Q32,0)+IF(AND(Settings!$I$56="Yes",Settings!$J$56="No"),$R32,0)</f>
        <v/>
      </c>
      <c r="FH32">
        <f>SUMIFS(Giving!$B$7:$B$2006,Giving!$A$7:$A$2006,"&gt;="&amp;$A32,Giving!$A$7:$A$2006,"&lt;="&amp;$B32,Giving!$G$7:$G$2006,"Yes")+IF(OR(OR(Settings!$B$60="",Settings!$F$60="No"),Settings!$H$60&lt;&gt;"Yes"),0,Settings!$B$60*IF(AND(IF(Settings!$C$60="",$B32,DATE(YEAR($A32),MONTH($A32),MIN(Settings!$C$60,DAY($B32))))&gt;=MAX($A32,Settings!$D$60),IF(Settings!$C$60="",$B32,DATE(YEAR($A32),MONTH($A32),MIN(Settings!$C$60,DAY($B32))))&lt;=MIN($C32,IF(Settings!$E$60="",$C32,Settings!$E$60))),1,0))+IF(OR(OR(Settings!$B$61="",Settings!$F$61="No"),Settings!$H$61&lt;&gt;"Yes"),0,Settings!$B$61*IF(AND(IF(Settings!$C$61="",$B32,DATE(YEAR($A32),MONTH($A32),MIN(Settings!$C$61,DAY($B32))))&gt;=MAX($A32,Settings!$D$61),IF(Settings!$C$61="",$B32,DATE(YEAR($A32),MONTH($A32),MIN(Settings!$C$61,DAY($B32))))&lt;=MIN($C32,IF(Settings!$E$61="",$C32,Settings!$E$61))),1,0))+IF(OR(OR(Settings!$B$62="",Settings!$F$62="No"),Settings!$H$62&lt;&gt;"Yes"),0,Settings!$B$62*IF(AND(IF(Settings!$C$62="",$B32,DATE(YEAR($A32),MONTH($A32),MIN(Settings!$C$62,DAY($B32))))&gt;=MAX($A32,Settings!$D$62),IF(Settings!$C$62="",$B32,DATE(YEAR($A32),MONTH($A32),MIN(Settings!$C$62,DAY($B32))))&lt;=MIN($C32,IF(Settings!$E$62="",$C32,Settings!$E$62))),1,0))+IF(OR(OR(Settings!$B$63="",Settings!$F$63="No"),Settings!$H$63&lt;&gt;"Yes"),0,Settings!$B$63*IF(AND(IF(Settings!$C$63="",$B32,DATE(YEAR($A32),MONTH($A32),MIN(Settings!$C$63,DAY($B32))))&gt;=MAX($A32,Settings!$D$63),IF(Settings!$C$63="",$B32,DATE(YEAR($A32),MONTH($A32),MIN(Settings!$C$63,DAY($B32))))&lt;=MIN($C32,IF(Settings!$E$63="",$C32,Settings!$E$63))),1,0))+IF(OR(OR(Settings!$B$64="",Settings!$F$64="No"),Settings!$H$64&lt;&gt;"Yes"),0,Settings!$B$64*IF(AND(IF(Settings!$C$64="",$B32,DATE(YEAR($A32),MONTH($A32),MIN(Settings!$C$64,DAY($B32))))&gt;=MAX($A32,Settings!$D$64),IF(Settings!$C$64="",$B32,DATE(YEAR($A32),MONTH($A32),MIN(Settings!$C$64,DAY($B32))))&lt;=MIN($C32,IF(Settings!$E$64="",$C32,Settings!$E$64))),1,0))+IF(OR(OR(Settings!$B$65="",Settings!$F$65="No"),Settings!$H$65&lt;&gt;"Yes"),0,Settings!$B$65*IF(AND(IF(Settings!$C$65="",$B32,DATE(YEAR($A32),MONTH($A32),MIN(Settings!$C$65,DAY($B32))))&gt;=MAX($A32,Settings!$D$65),IF(Settings!$C$65="",$B32,DATE(YEAR($A32),MONTH($A32),MIN(Settings!$C$65,DAY($B32))))&lt;=MIN($C32,IF(Settings!$E$65="",$C32,Settings!$E$65))),1,0))</f>
        <v/>
      </c>
      <c r="FI32">
        <f>IF($DT32=1,IF(OR(Settings!$B$19="Card",Settings!$B$19="Loan"),N($AE32),0)+IF(OR(Settings!$B$20="Card",Settings!$B$20="Loan"),N($AF32),0)+IF(OR(Settings!$B$21="Card",Settings!$B$21="Loan"),N($AG32),0)+IF(OR(Settings!$B$22="Card",Settings!$B$22="Loan"),N($AH32),0)+IF(OR(Settings!$B$23="Card",Settings!$B$23="Loan"),N($AI32),0)+IF(OR(Settings!$B$24="Card",Settings!$B$24="Loan"),N($AJ32),0)+IF(OR(Settings!$B$25="Card",Settings!$B$25="Loan"),N($AK32),0)+IF(OR(Settings!$B$26="Card",Settings!$B$26="Loan"),N($AL32),0)+IF(OR(Settings!$B$27="Card",Settings!$B$27="Loan"),N($AM32),0)+IF(OR(Settings!$B$28="Card",Settings!$B$28="Loan"),N($AN32),0)+IF(OR(Settings!$B$29="Card",Settings!$B$29="Loan"),N($AO32),0)+IF(OR(Settings!$B$30="Card",Settings!$B$30="Loan"),N($AP32),0)+IF(OR(Settings!$B$31="Card",Settings!$B$31="Loan"),N($AQ32),0)+IF(OR(Settings!$B$32="Card",Settings!$B$32="Loan"),N($AR32),0),"")</f>
        <v/>
      </c>
      <c r="FJ32">
        <f>IF($E32="open",$EB$65,IF($E32="post",IF($E31="pre",$EB$65,$FI31),""))</f>
        <v/>
      </c>
      <c r="FK32">
        <f>IF(AND($DT32=1,$DC32=1),IF(ROUND($FI32-$FJ32,2)&gt;0,1,0),0)</f>
        <v/>
      </c>
      <c r="FL32">
        <f>IF($FK32=1,$FL31+1,0)</f>
        <v/>
      </c>
    </row>
    <row r="33">
      <c r="A33">
        <f>'Month-End'!$AD$4</f>
        <v/>
      </c>
      <c r="B33">
        <f>EOMONTH($A33,0)</f>
        <v/>
      </c>
      <c r="C33">
        <f>MIN($B33,TODAY())</f>
        <v/>
      </c>
      <c r="D33">
        <f>IF($A33&gt;TODAY(),1,0)</f>
        <v/>
      </c>
      <c r="E33">
        <f>IF($B33&lt;=Settings!$B$5,"pre",IF($A33&lt;=Settings!$B$5,"open","post"))</f>
        <v/>
      </c>
      <c r="G33">
        <f>IF('Month-End'!$AD$22="",$BE33,N('Month-End'!$AD$22))</f>
        <v/>
      </c>
      <c r="H33">
        <f>IF('Month-End'!$AD$23="",$BF33,N('Month-End'!$AD$23))</f>
        <v/>
      </c>
      <c r="I33">
        <f>IF('Month-End'!$AD$24="",$BG33,N('Month-End'!$AD$24))</f>
        <v/>
      </c>
      <c r="J33">
        <f>IF('Month-End'!$AD$25="",$BH33,N('Month-End'!$AD$25))</f>
        <v/>
      </c>
      <c r="K33">
        <f>IF('Month-End'!$AD$26="",$BI33,N('Month-End'!$AD$26))</f>
        <v/>
      </c>
      <c r="L33">
        <f>IF('Month-End'!$AD$27="",$BJ33,N('Month-End'!$AD$27))</f>
        <v/>
      </c>
      <c r="M33">
        <f>IF('Month-End'!$AD$28="",$BK33,N('Month-End'!$AD$28))</f>
        <v/>
      </c>
      <c r="N33">
        <f>IF('Month-End'!$AD$29="",$BL33,N('Month-End'!$AD$29))</f>
        <v/>
      </c>
      <c r="O33">
        <f>IF('Month-End'!$AD$30="",$BM33,N('Month-End'!$AD$30))</f>
        <v/>
      </c>
      <c r="P33">
        <f>IF('Month-End'!$AD$31="",$BN33,N('Month-End'!$AD$31))</f>
        <v/>
      </c>
      <c r="Q33">
        <f>IF('Month-End'!$AD$32="",$BO33,N('Month-End'!$AD$32))</f>
        <v/>
      </c>
      <c r="R33">
        <f>IF('Month-End'!$AD$33="",$BP33,N('Month-End'!$AD$33))</f>
        <v/>
      </c>
      <c r="S33">
        <f>$G33+$H33+$I33+$J33+$K33+$L33+$M33+$N33+$O33+$P33+$Q33+$R33</f>
        <v/>
      </c>
      <c r="T33">
        <f>IF($B33&lt;Settings!$B$6,0,IF(Settings!$B$45="Yes",$G33,0)+IF(Settings!$B$46="Yes",$H33,0)+IF(Settings!$B$47="Yes",$I33,0)+IF(Settings!$B$48="Yes",$J33,0)+IF(Settings!$B$49="Yes",$K33,0)+IF(Settings!$B$50="Yes",$L33,0)+IF(Settings!$B$51="Yes",$M33,0)+IF(Settings!$B$52="Yes",$N33,0)+IF(Settings!$B$53="Yes",$O33,0)+IF(Settings!$B$54="Yes",$P33,0)+IF(Settings!$B$55="Yes",$Q33,0)+IF(Settings!$B$56="Yes",$R33,0))</f>
        <v/>
      </c>
      <c r="U33">
        <f>IF(Settings!$B$45="Not Sure",$G33,0)+IF(Settings!$B$46="Not Sure",$H33,0)+IF(Settings!$B$47="Not Sure",$I33,0)+IF(Settings!$B$48="Not Sure",$J33,0)+IF(Settings!$B$49="Not Sure",$K33,0)+IF(Settings!$B$50="Not Sure",$L33,0)+IF(Settings!$B$51="Not Sure",$M33,0)+IF(Settings!$B$52="Not Sure",$N33,0)+IF(Settings!$B$53="Not Sure",$O33,0)+IF(Settings!$B$54="Not Sure",$P33,0)+IF(Settings!$B$55="Not Sure",$Q33,0)+IF(Settings!$B$56="Not Sure",$R33,0)</f>
        <v/>
      </c>
      <c r="V33">
        <f>IF($E33="open",SUM($ET33:$FE33)+N(Settings!$B$13),0)</f>
        <v/>
      </c>
      <c r="W33">
        <f>IF($E33="post",$S33,IF($E33="open",$S33-$V33,0))</f>
        <v/>
      </c>
      <c r="X33">
        <f>SUMIFS(Giving!$B$7:$B$2006,Giving!$A$7:$A$2006,"&gt;="&amp;$A33,Giving!$A$7:$A$2006,"&lt;="&amp;$B33,Giving!$E$7:$E$2006,"&lt;&gt;No")</f>
        <v/>
      </c>
      <c r="Y33">
        <f>SUMIFS(Giving!$B$7:$B$2006,Giving!$A$7:$A$2006,"&gt;="&amp;$A33,Giving!$A$7:$A$2006,"&lt;="&amp;$B33,Giving!$E$7:$E$2006,"No")</f>
        <v/>
      </c>
      <c r="Z33">
        <f>IF(OR(Settings!$B$60="",Settings!$F$60="No"),0,Settings!$B$60*IF(AND(IF(Settings!$C$60="",$B33,DATE(YEAR($A33),MONTH($A33),MIN(Settings!$C$60,DAY($B33))))&gt;=MAX($A33,Settings!$D$60),IF(Settings!$C$60="",$B33,DATE(YEAR($A33),MONTH($A33),MIN(Settings!$C$60,DAY($B33))))&lt;=MIN($C33,IF(Settings!$E$60="",$C33,Settings!$E$60))),1,0))+IF(OR(Settings!$B$61="",Settings!$F$61="No"),0,Settings!$B$61*IF(AND(IF(Settings!$C$61="",$B33,DATE(YEAR($A33),MONTH($A33),MIN(Settings!$C$61,DAY($B33))))&gt;=MAX($A33,Settings!$D$61),IF(Settings!$C$61="",$B33,DATE(YEAR($A33),MONTH($A33),MIN(Settings!$C$61,DAY($B33))))&lt;=MIN($C33,IF(Settings!$E$61="",$C33,Settings!$E$61))),1,0))+IF(OR(Settings!$B$62="",Settings!$F$62="No"),0,Settings!$B$62*IF(AND(IF(Settings!$C$62="",$B33,DATE(YEAR($A33),MONTH($A33),MIN(Settings!$C$62,DAY($B33))))&gt;=MAX($A33,Settings!$D$62),IF(Settings!$C$62="",$B33,DATE(YEAR($A33),MONTH($A33),MIN(Settings!$C$62,DAY($B33))))&lt;=MIN($C33,IF(Settings!$E$62="",$C33,Settings!$E$62))),1,0))+IF(OR(Settings!$B$63="",Settings!$F$63="No"),0,Settings!$B$63*IF(AND(IF(Settings!$C$63="",$B33,DATE(YEAR($A33),MONTH($A33),MIN(Settings!$C$63,DAY($B33))))&gt;=MAX($A33,Settings!$D$63),IF(Settings!$C$63="",$B33,DATE(YEAR($A33),MONTH($A33),MIN(Settings!$C$63,DAY($B33))))&lt;=MIN($C33,IF(Settings!$E$63="",$C33,Settings!$E$63))),1,0))+IF(OR(Settings!$B$64="",Settings!$F$64="No"),0,Settings!$B$64*IF(AND(IF(Settings!$C$64="",$B33,DATE(YEAR($A33),MONTH($A33),MIN(Settings!$C$64,DAY($B33))))&gt;=MAX($A33,Settings!$D$64),IF(Settings!$C$64="",$B33,DATE(YEAR($A33),MONTH($A33),MIN(Settings!$C$64,DAY($B33))))&lt;=MIN($C33,IF(Settings!$E$64="",$C33,Settings!$E$64))),1,0))+IF(OR(Settings!$B$65="",Settings!$F$65="No"),0,Settings!$B$65*IF(AND(IF(Settings!$C$65="",$B33,DATE(YEAR($A33),MONTH($A33),MIN(Settings!$C$65,DAY($B33))))&gt;=MAX($A33,Settings!$D$65),IF(Settings!$C$65="",$B33,DATE(YEAR($A33),MONTH($A33),MIN(Settings!$C$65,DAY($B33))))&lt;=MIN($C33,IF(Settings!$E$65="",$C33,Settings!$E$65))),1,0))</f>
        <v/>
      </c>
      <c r="AA33">
        <f>$X33+$Z33</f>
        <v/>
      </c>
      <c r="AB33">
        <f>IF($E33="post",$AA33,IF($E33="open",SUMIFS(Giving!$B$7:$B$2006,Giving!$A$7:$A$2006,"&gt;"&amp;Settings!$B$5,Giving!$A$7:$A$2006,"&lt;="&amp;$B33,Giving!$E$7:$E$2006,"&lt;&gt;No")+IF(OR(Settings!$B$60="",Settings!$F$60="No"),0,Settings!$B$60*IF(AND(IF(Settings!$C$60="",$B33,DATE(YEAR($A33),MONTH($A33),MIN(Settings!$C$60,DAY($B33))))&gt;=MAX($A33,Settings!$D$60,Settings!$B$5+1),IF(Settings!$C$60="",$B33,DATE(YEAR($A33),MONTH($A33),MIN(Settings!$C$60,DAY($B33))))&lt;=MIN($C33,IF(Settings!$E$60="",$C33,Settings!$E$60))),1,0))+IF(OR(Settings!$B$61="",Settings!$F$61="No"),0,Settings!$B$61*IF(AND(IF(Settings!$C$61="",$B33,DATE(YEAR($A33),MONTH($A33),MIN(Settings!$C$61,DAY($B33))))&gt;=MAX($A33,Settings!$D$61,Settings!$B$5+1),IF(Settings!$C$61="",$B33,DATE(YEAR($A33),MONTH($A33),MIN(Settings!$C$61,DAY($B33))))&lt;=MIN($C33,IF(Settings!$E$61="",$C33,Settings!$E$61))),1,0))+IF(OR(Settings!$B$62="",Settings!$F$62="No"),0,Settings!$B$62*IF(AND(IF(Settings!$C$62="",$B33,DATE(YEAR($A33),MONTH($A33),MIN(Settings!$C$62,DAY($B33))))&gt;=MAX($A33,Settings!$D$62,Settings!$B$5+1),IF(Settings!$C$62="",$B33,DATE(YEAR($A33),MONTH($A33),MIN(Settings!$C$62,DAY($B33))))&lt;=MIN($C33,IF(Settings!$E$62="",$C33,Settings!$E$62))),1,0))+IF(OR(Settings!$B$63="",Settings!$F$63="No"),0,Settings!$B$63*IF(AND(IF(Settings!$C$63="",$B33,DATE(YEAR($A33),MONTH($A33),MIN(Settings!$C$63,DAY($B33))))&gt;=MAX($A33,Settings!$D$63,Settings!$B$5+1),IF(Settings!$C$63="",$B33,DATE(YEAR($A33),MONTH($A33),MIN(Settings!$C$63,DAY($B33))))&lt;=MIN($C33,IF(Settings!$E$63="",$C33,Settings!$E$63))),1,0))+IF(OR(Settings!$B$64="",Settings!$F$64="No"),0,Settings!$B$64*IF(AND(IF(Settings!$C$64="",$B33,DATE(YEAR($A33),MONTH($A33),MIN(Settings!$C$64,DAY($B33))))&gt;=MAX($A33,Settings!$D$64,Settings!$B$5+1),IF(Settings!$C$64="",$B33,DATE(YEAR($A33),MONTH($A33),MIN(Settings!$C$64,DAY($B33))))&lt;=MIN($C33,IF(Settings!$E$64="",$C33,Settings!$E$64))),1,0))+IF(OR(Settings!$B$65="",Settings!$F$65="No"),0,Settings!$B$65*IF(AND(IF(Settings!$C$65="",$B33,DATE(YEAR($A33),MONTH($A33),MIN(Settings!$C$65,DAY($B33))))&gt;=MAX($A33,Settings!$D$65,Settings!$B$5+1),IF(Settings!$C$65="",$B33,DATE(YEAR($A33),MONTH($A33),MIN(Settings!$C$65,DAY($B33))))&lt;=MIN($C33,IF(Settings!$E$65="",$C33,Settings!$E$65))),1,0)),0))</f>
        <v/>
      </c>
      <c r="AC33">
        <f>$AY33+$AZ33+$BA33+$BB33+$BC33+$BD33</f>
        <v/>
      </c>
      <c r="AD33">
        <f>$AC33</f>
        <v/>
      </c>
      <c r="AE33">
        <f>IF(OR(Settings!$A$19="",$E33="pre"),"",IF(AND('Month-End'!$AD$7&lt;&gt;"",NOT(_xlfn.ISFORMULA('Month-End'!$AD$7))),N('Month-End'!$AD$7),IF(OR($E33="open",$E32="pre"),N(Settings!$C$19),N($AE32))))</f>
        <v/>
      </c>
      <c r="AF33">
        <f>IF(OR(Settings!$A$20="",$E33="pre"),"",IF(AND('Month-End'!$AD$8&lt;&gt;"",NOT(_xlfn.ISFORMULA('Month-End'!$AD$8))),N('Month-End'!$AD$8),IF(OR($E33="open",$E32="pre"),N(Settings!$C$20),N($AF32))))</f>
        <v/>
      </c>
      <c r="AG33">
        <f>IF(OR(Settings!$A$21="",$E33="pre"),"",IF(AND('Month-End'!$AD$9&lt;&gt;"",NOT(_xlfn.ISFORMULA('Month-End'!$AD$9))),N('Month-End'!$AD$9),IF(OR($E33="open",$E32="pre"),N(Settings!$C$21),N($AG32))))</f>
        <v/>
      </c>
      <c r="AH33">
        <f>IF(OR(Settings!$A$22="",$E33="pre"),"",IF(AND('Month-End'!$AD$10&lt;&gt;"",NOT(_xlfn.ISFORMULA('Month-End'!$AD$10))),N('Month-End'!$AD$10),IF(OR($E33="open",$E32="pre"),N(Settings!$C$22),N($AH32))))</f>
        <v/>
      </c>
      <c r="AI33">
        <f>IF(OR(Settings!$A$23="",$E33="pre"),"",IF(AND('Month-End'!$AD$11&lt;&gt;"",NOT(_xlfn.ISFORMULA('Month-End'!$AD$11))),N('Month-End'!$AD$11),IF(OR($E33="open",$E32="pre"),N(Settings!$C$23),N($AI32))))</f>
        <v/>
      </c>
      <c r="AJ33">
        <f>IF(OR(Settings!$A$24="",$E33="pre"),"",IF(AND('Month-End'!$AD$12&lt;&gt;"",NOT(_xlfn.ISFORMULA('Month-End'!$AD$12))),N('Month-End'!$AD$12),IF(OR($E33="open",$E32="pre"),N(Settings!$C$24),N($AJ32))))</f>
        <v/>
      </c>
      <c r="AK33">
        <f>IF(OR(Settings!$A$25="",$E33="pre"),"",IF(AND('Month-End'!$AD$13&lt;&gt;"",NOT(_xlfn.ISFORMULA('Month-End'!$AD$13))),N('Month-End'!$AD$13),IF(OR($E33="open",$E32="pre"),N(Settings!$C$25),N($AK32))))</f>
        <v/>
      </c>
      <c r="AL33">
        <f>IF(OR(Settings!$A$26="",$E33="pre"),"",IF(AND('Month-End'!$AD$14&lt;&gt;"",NOT(_xlfn.ISFORMULA('Month-End'!$AD$14))),N('Month-End'!$AD$14),IF(OR($E33="open",$E32="pre"),N(Settings!$C$26),N($AL32))))</f>
        <v/>
      </c>
      <c r="AM33">
        <f>IF(OR(Settings!$A$27="",$E33="pre"),"",IF(AND('Month-End'!$AD$15&lt;&gt;"",NOT(_xlfn.ISFORMULA('Month-End'!$AD$15))),N('Month-End'!$AD$15),IF(OR($E33="open",$E32="pre"),N(Settings!$C$27),N($AM32))))</f>
        <v/>
      </c>
      <c r="AN33">
        <f>IF(OR(Settings!$A$28="",$E33="pre"),"",IF(AND('Month-End'!$AD$16&lt;&gt;"",NOT(_xlfn.ISFORMULA('Month-End'!$AD$16))),N('Month-End'!$AD$16),IF(OR($E33="open",$E32="pre"),N(Settings!$C$28),N($AN32))))</f>
        <v/>
      </c>
      <c r="AO33">
        <f>IF(OR(Settings!$A$29="",$E33="pre"),"",IF(AND('Month-End'!$AD$17&lt;&gt;"",NOT(_xlfn.ISFORMULA('Month-End'!$AD$17))),N('Month-End'!$AD$17),IF(OR($E33="open",$E32="pre"),N(Settings!$C$29),N($AO32))))</f>
        <v/>
      </c>
      <c r="AP33">
        <f>IF(OR(Settings!$A$30="",$E33="pre"),"",IF(AND('Month-End'!$AD$18&lt;&gt;"",NOT(_xlfn.ISFORMULA('Month-End'!$AD$18))),N('Month-End'!$AD$18),IF(OR($E33="open",$E32="pre"),N(Settings!$C$30),N($AP32))))</f>
        <v/>
      </c>
      <c r="AQ33">
        <f>IF(OR(Settings!$A$31="",$E33="pre"),"",IF(AND('Month-End'!$AD$19&lt;&gt;"",NOT(_xlfn.ISFORMULA('Month-End'!$AD$19))),N('Month-End'!$AD$19),IF(OR($E33="open",$E32="pre"),N(Settings!$C$31),N($AQ32))))</f>
        <v/>
      </c>
      <c r="AR33">
        <f>IF(OR(Settings!$A$32="",$E33="pre"),"",IF(AND('Month-End'!$AD$20&lt;&gt;"",NOT(_xlfn.ISFORMULA('Month-End'!$AD$20))),N('Month-End'!$AD$20),IF(OR($E33="open",$E32="pre"),N(Settings!$C$32),N($AR32))))</f>
        <v/>
      </c>
      <c r="AS33">
        <f>IF(OR(Settings!$A$36="",$E33="pre"),"",IF(AND('Month-End'!$AD$38&lt;&gt;"",NOT(_xlfn.ISFORMULA('Month-End'!$AD$38))),N('Month-End'!$AD$38),IF(OR($E33="open",$E32="pre"),N(Settings!$C$36),N($AS32))+$AY33))</f>
        <v/>
      </c>
      <c r="AT33">
        <f>IF(OR(Settings!$A$37="",$E33="pre"),"",IF(AND('Month-End'!$AD$39&lt;&gt;"",NOT(_xlfn.ISFORMULA('Month-End'!$AD$39))),N('Month-End'!$AD$39),IF(OR($E33="open",$E32="pre"),N(Settings!$C$37),N($AT32))+$AZ33))</f>
        <v/>
      </c>
      <c r="AU33">
        <f>IF(OR(Settings!$A$38="",$E33="pre"),"",IF(AND('Month-End'!$AD$40&lt;&gt;"",NOT(_xlfn.ISFORMULA('Month-End'!$AD$40))),N('Month-End'!$AD$40),IF(OR($E33="open",$E32="pre"),N(Settings!$C$38),N($AU32))+$BA33))</f>
        <v/>
      </c>
      <c r="AV33">
        <f>IF(OR(Settings!$A$39="",$E33="pre"),"",IF(AND('Month-End'!$AD$41&lt;&gt;"",NOT(_xlfn.ISFORMULA('Month-End'!$AD$41))),N('Month-End'!$AD$41),IF(OR($E33="open",$E32="pre"),N(Settings!$C$39),N($AV32))+$BB33))</f>
        <v/>
      </c>
      <c r="AW33">
        <f>IF(OR(Settings!$A$40="",$E33="pre"),"",IF(AND('Month-End'!$AD$42&lt;&gt;"",NOT(_xlfn.ISFORMULA('Month-End'!$AD$42))),N('Month-End'!$AD$42),IF(OR($E33="open",$E32="pre"),N(Settings!$C$40),N($AW32))+$BC33))</f>
        <v/>
      </c>
      <c r="AX33">
        <f>IF(OR(Settings!$A$41="",$E33="pre"),"",IF(AND('Month-End'!$AD$43&lt;&gt;"",NOT(_xlfn.ISFORMULA('Month-End'!$AD$43))),N('Month-End'!$AD$43),IF(OR($E33="open",$E32="pre"),N(Settings!$C$41),N($AX32))+$BD33))</f>
        <v/>
      </c>
      <c r="AY33">
        <f>IF($E33="pre",0,N('Month-End'!$AD$45))</f>
        <v/>
      </c>
      <c r="AZ33">
        <f>IF($E33="pre",0,N('Month-End'!$AD$46))</f>
        <v/>
      </c>
      <c r="BA33">
        <f>IF($E33="pre",0,N('Month-End'!$AD$47))</f>
        <v/>
      </c>
      <c r="BB33">
        <f>IF($E33="pre",0,N('Month-End'!$AD$48))</f>
        <v/>
      </c>
      <c r="BC33">
        <f>IF($E33="pre",0,N('Month-End'!$AD$49))</f>
        <v/>
      </c>
      <c r="BD33">
        <f>IF($E33="pre",0,N('Month-End'!$AD$50))</f>
        <v/>
      </c>
      <c r="BE33">
        <f>IF(OR(Settings!$C$45="",Settings!$D$45=""),0,Settings!$C$45*IF(Settings!$D$45="Weekly",IF(IFERROR(MATCH(Settings!$E$45,$EO$4:$EO$10,0),0)=0,0,IF(MIN($C33,IF(Settings!$G$45="",$C33,Settings!$G$45))&lt;MAX($A33,Settings!$F$45),0,INT((MIN($C33,IF(Settings!$G$45="",$C33,Settings!$G$45))-MAX($A33,Settings!$F$45)-MOD(IFERROR(MATCH(Settings!$E$45,$EO$4:$EO$10,0),0)-WEEKDAY(MAX($A33,Settings!$F$45)),7))/7)+1)),IF(AND(IF(Settings!$E$45="",$B33,DATE(YEAR($A33),MONTH($A33),MIN(Settings!$E$45,DAY($B33))))&gt;=MAX($A33,Settings!$F$45),IF(Settings!$E$45="",$B33,DATE(YEAR($A33),MONTH($A33),MIN(Settings!$E$45,DAY($B33))))&lt;=MIN($C33,IF(Settings!$G$45="",$C33,Settings!$G$45))),1,0)))</f>
        <v/>
      </c>
      <c r="BF33">
        <f>IF(OR(Settings!$C$46="",Settings!$D$46=""),0,Settings!$C$46*IF(Settings!$D$46="Weekly",IF(IFERROR(MATCH(Settings!$E$46,$EO$4:$EO$10,0),0)=0,0,IF(MIN($C33,IF(Settings!$G$46="",$C33,Settings!$G$46))&lt;MAX($A33,Settings!$F$46),0,INT((MIN($C33,IF(Settings!$G$46="",$C33,Settings!$G$46))-MAX($A33,Settings!$F$46)-MOD(IFERROR(MATCH(Settings!$E$46,$EO$4:$EO$10,0),0)-WEEKDAY(MAX($A33,Settings!$F$46)),7))/7)+1)),IF(AND(IF(Settings!$E$46="",$B33,DATE(YEAR($A33),MONTH($A33),MIN(Settings!$E$46,DAY($B33))))&gt;=MAX($A33,Settings!$F$46),IF(Settings!$E$46="",$B33,DATE(YEAR($A33),MONTH($A33),MIN(Settings!$E$46,DAY($B33))))&lt;=MIN($C33,IF(Settings!$G$46="",$C33,Settings!$G$46))),1,0)))</f>
        <v/>
      </c>
      <c r="BG33">
        <f>IF(OR(Settings!$C$47="",Settings!$D$47=""),0,Settings!$C$47*IF(Settings!$D$47="Weekly",IF(IFERROR(MATCH(Settings!$E$47,$EO$4:$EO$10,0),0)=0,0,IF(MIN($C33,IF(Settings!$G$47="",$C33,Settings!$G$47))&lt;MAX($A33,Settings!$F$47),0,INT((MIN($C33,IF(Settings!$G$47="",$C33,Settings!$G$47))-MAX($A33,Settings!$F$47)-MOD(IFERROR(MATCH(Settings!$E$47,$EO$4:$EO$10,0),0)-WEEKDAY(MAX($A33,Settings!$F$47)),7))/7)+1)),IF(AND(IF(Settings!$E$47="",$B33,DATE(YEAR($A33),MONTH($A33),MIN(Settings!$E$47,DAY($B33))))&gt;=MAX($A33,Settings!$F$47),IF(Settings!$E$47="",$B33,DATE(YEAR($A33),MONTH($A33),MIN(Settings!$E$47,DAY($B33))))&lt;=MIN($C33,IF(Settings!$G$47="",$C33,Settings!$G$47))),1,0)))</f>
        <v/>
      </c>
      <c r="BH33">
        <f>IF(OR(Settings!$C$48="",Settings!$D$48=""),0,Settings!$C$48*IF(Settings!$D$48="Weekly",IF(IFERROR(MATCH(Settings!$E$48,$EO$4:$EO$10,0),0)=0,0,IF(MIN($C33,IF(Settings!$G$48="",$C33,Settings!$G$48))&lt;MAX($A33,Settings!$F$48),0,INT((MIN($C33,IF(Settings!$G$48="",$C33,Settings!$G$48))-MAX($A33,Settings!$F$48)-MOD(IFERROR(MATCH(Settings!$E$48,$EO$4:$EO$10,0),0)-WEEKDAY(MAX($A33,Settings!$F$48)),7))/7)+1)),IF(AND(IF(Settings!$E$48="",$B33,DATE(YEAR($A33),MONTH($A33),MIN(Settings!$E$48,DAY($B33))))&gt;=MAX($A33,Settings!$F$48),IF(Settings!$E$48="",$B33,DATE(YEAR($A33),MONTH($A33),MIN(Settings!$E$48,DAY($B33))))&lt;=MIN($C33,IF(Settings!$G$48="",$C33,Settings!$G$48))),1,0)))</f>
        <v/>
      </c>
      <c r="BI33">
        <f>IF(OR(Settings!$C$49="",Settings!$D$49=""),0,Settings!$C$49*IF(Settings!$D$49="Weekly",IF(IFERROR(MATCH(Settings!$E$49,$EO$4:$EO$10,0),0)=0,0,IF(MIN($C33,IF(Settings!$G$49="",$C33,Settings!$G$49))&lt;MAX($A33,Settings!$F$49),0,INT((MIN($C33,IF(Settings!$G$49="",$C33,Settings!$G$49))-MAX($A33,Settings!$F$49)-MOD(IFERROR(MATCH(Settings!$E$49,$EO$4:$EO$10,0),0)-WEEKDAY(MAX($A33,Settings!$F$49)),7))/7)+1)),IF(AND(IF(Settings!$E$49="",$B33,DATE(YEAR($A33),MONTH($A33),MIN(Settings!$E$49,DAY($B33))))&gt;=MAX($A33,Settings!$F$49),IF(Settings!$E$49="",$B33,DATE(YEAR($A33),MONTH($A33),MIN(Settings!$E$49,DAY($B33))))&lt;=MIN($C33,IF(Settings!$G$49="",$C33,Settings!$G$49))),1,0)))</f>
        <v/>
      </c>
      <c r="BJ33">
        <f>IF(OR(Settings!$C$50="",Settings!$D$50=""),0,Settings!$C$50*IF(Settings!$D$50="Weekly",IF(IFERROR(MATCH(Settings!$E$50,$EO$4:$EO$10,0),0)=0,0,IF(MIN($C33,IF(Settings!$G$50="",$C33,Settings!$G$50))&lt;MAX($A33,Settings!$F$50),0,INT((MIN($C33,IF(Settings!$G$50="",$C33,Settings!$G$50))-MAX($A33,Settings!$F$50)-MOD(IFERROR(MATCH(Settings!$E$50,$EO$4:$EO$10,0),0)-WEEKDAY(MAX($A33,Settings!$F$50)),7))/7)+1)),IF(AND(IF(Settings!$E$50="",$B33,DATE(YEAR($A33),MONTH($A33),MIN(Settings!$E$50,DAY($B33))))&gt;=MAX($A33,Settings!$F$50),IF(Settings!$E$50="",$B33,DATE(YEAR($A33),MONTH($A33),MIN(Settings!$E$50,DAY($B33))))&lt;=MIN($C33,IF(Settings!$G$50="",$C33,Settings!$G$50))),1,0)))</f>
        <v/>
      </c>
      <c r="BK33">
        <f>IF(OR(Settings!$C$51="",Settings!$D$51=""),0,Settings!$C$51*IF(Settings!$D$51="Weekly",IF(IFERROR(MATCH(Settings!$E$51,$EO$4:$EO$10,0),0)=0,0,IF(MIN($C33,IF(Settings!$G$51="",$C33,Settings!$G$51))&lt;MAX($A33,Settings!$F$51),0,INT((MIN($C33,IF(Settings!$G$51="",$C33,Settings!$G$51))-MAX($A33,Settings!$F$51)-MOD(IFERROR(MATCH(Settings!$E$51,$EO$4:$EO$10,0),0)-WEEKDAY(MAX($A33,Settings!$F$51)),7))/7)+1)),IF(AND(IF(Settings!$E$51="",$B33,DATE(YEAR($A33),MONTH($A33),MIN(Settings!$E$51,DAY($B33))))&gt;=MAX($A33,Settings!$F$51),IF(Settings!$E$51="",$B33,DATE(YEAR($A33),MONTH($A33),MIN(Settings!$E$51,DAY($B33))))&lt;=MIN($C33,IF(Settings!$G$51="",$C33,Settings!$G$51))),1,0)))</f>
        <v/>
      </c>
      <c r="BL33">
        <f>IF(OR(Settings!$C$52="",Settings!$D$52=""),0,Settings!$C$52*IF(Settings!$D$52="Weekly",IF(IFERROR(MATCH(Settings!$E$52,$EO$4:$EO$10,0),0)=0,0,IF(MIN($C33,IF(Settings!$G$52="",$C33,Settings!$G$52))&lt;MAX($A33,Settings!$F$52),0,INT((MIN($C33,IF(Settings!$G$52="",$C33,Settings!$G$52))-MAX($A33,Settings!$F$52)-MOD(IFERROR(MATCH(Settings!$E$52,$EO$4:$EO$10,0),0)-WEEKDAY(MAX($A33,Settings!$F$52)),7))/7)+1)),IF(AND(IF(Settings!$E$52="",$B33,DATE(YEAR($A33),MONTH($A33),MIN(Settings!$E$52,DAY($B33))))&gt;=MAX($A33,Settings!$F$52),IF(Settings!$E$52="",$B33,DATE(YEAR($A33),MONTH($A33),MIN(Settings!$E$52,DAY($B33))))&lt;=MIN($C33,IF(Settings!$G$52="",$C33,Settings!$G$52))),1,0)))</f>
        <v/>
      </c>
      <c r="BM33">
        <f>IF(OR(Settings!$C$53="",Settings!$D$53=""),0,Settings!$C$53*IF(Settings!$D$53="Weekly",IF(IFERROR(MATCH(Settings!$E$53,$EO$4:$EO$10,0),0)=0,0,IF(MIN($C33,IF(Settings!$G$53="",$C33,Settings!$G$53))&lt;MAX($A33,Settings!$F$53),0,INT((MIN($C33,IF(Settings!$G$53="",$C33,Settings!$G$53))-MAX($A33,Settings!$F$53)-MOD(IFERROR(MATCH(Settings!$E$53,$EO$4:$EO$10,0),0)-WEEKDAY(MAX($A33,Settings!$F$53)),7))/7)+1)),IF(AND(IF(Settings!$E$53="",$B33,DATE(YEAR($A33),MONTH($A33),MIN(Settings!$E$53,DAY($B33))))&gt;=MAX($A33,Settings!$F$53),IF(Settings!$E$53="",$B33,DATE(YEAR($A33),MONTH($A33),MIN(Settings!$E$53,DAY($B33))))&lt;=MIN($C33,IF(Settings!$G$53="",$C33,Settings!$G$53))),1,0)))</f>
        <v/>
      </c>
      <c r="BN33">
        <f>IF(OR(Settings!$C$54="",Settings!$D$54=""),0,Settings!$C$54*IF(Settings!$D$54="Weekly",IF(IFERROR(MATCH(Settings!$E$54,$EO$4:$EO$10,0),0)=0,0,IF(MIN($C33,IF(Settings!$G$54="",$C33,Settings!$G$54))&lt;MAX($A33,Settings!$F$54),0,INT((MIN($C33,IF(Settings!$G$54="",$C33,Settings!$G$54))-MAX($A33,Settings!$F$54)-MOD(IFERROR(MATCH(Settings!$E$54,$EO$4:$EO$10,0),0)-WEEKDAY(MAX($A33,Settings!$F$54)),7))/7)+1)),IF(AND(IF(Settings!$E$54="",$B33,DATE(YEAR($A33),MONTH($A33),MIN(Settings!$E$54,DAY($B33))))&gt;=MAX($A33,Settings!$F$54),IF(Settings!$E$54="",$B33,DATE(YEAR($A33),MONTH($A33),MIN(Settings!$E$54,DAY($B33))))&lt;=MIN($C33,IF(Settings!$G$54="",$C33,Settings!$G$54))),1,0)))</f>
        <v/>
      </c>
      <c r="BO33">
        <f>IF(OR(Settings!$C$55="",Settings!$D$55=""),0,Settings!$C$55*IF(Settings!$D$55="Weekly",IF(IFERROR(MATCH(Settings!$E$55,$EO$4:$EO$10,0),0)=0,0,IF(MIN($C33,IF(Settings!$G$55="",$C33,Settings!$G$55))&lt;MAX($A33,Settings!$F$55),0,INT((MIN($C33,IF(Settings!$G$55="",$C33,Settings!$G$55))-MAX($A33,Settings!$F$55)-MOD(IFERROR(MATCH(Settings!$E$55,$EO$4:$EO$10,0),0)-WEEKDAY(MAX($A33,Settings!$F$55)),7))/7)+1)),IF(AND(IF(Settings!$E$55="",$B33,DATE(YEAR($A33),MONTH($A33),MIN(Settings!$E$55,DAY($B33))))&gt;=MAX($A33,Settings!$F$55),IF(Settings!$E$55="",$B33,DATE(YEAR($A33),MONTH($A33),MIN(Settings!$E$55,DAY($B33))))&lt;=MIN($C33,IF(Settings!$G$55="",$C33,Settings!$G$55))),1,0)))</f>
        <v/>
      </c>
      <c r="BP33">
        <f>IF(OR(Settings!$C$56="",Settings!$D$56=""),0,Settings!$C$56*IF(Settings!$D$56="Weekly",IF(IFERROR(MATCH(Settings!$E$56,$EO$4:$EO$10,0),0)=0,0,IF(MIN($C33,IF(Settings!$G$56="",$C33,Settings!$G$56))&lt;MAX($A33,Settings!$F$56),0,INT((MIN($C33,IF(Settings!$G$56="",$C33,Settings!$G$56))-MAX($A33,Settings!$F$56)-MOD(IFERROR(MATCH(Settings!$E$56,$EO$4:$EO$10,0),0)-WEEKDAY(MAX($A33,Settings!$F$56)),7))/7)+1)),IF(AND(IF(Settings!$E$56="",$B33,DATE(YEAR($A33),MONTH($A33),MIN(Settings!$E$56,DAY($B33))))&gt;=MAX($A33,Settings!$F$56),IF(Settings!$E$56="",$B33,DATE(YEAR($A33),MONTH($A33),MIN(Settings!$E$56,DAY($B33))))&lt;=MIN($C33,IF(Settings!$G$56="",$C33,Settings!$G$56))),1,0)))</f>
        <v/>
      </c>
      <c r="BQ33">
        <f>IF(OR(Settings!$B$14="",$D33=1,$E33="pre",$A33&lt;IF(Settings!$B$15="",0,Settings!$B$15)),0,Settings!$B$14)</f>
        <v/>
      </c>
      <c r="BR33">
        <f>IF(AND('Month-End'!$AD$7&lt;&gt;"",NOT(_xlfn.ISFORMULA('Month-End'!$AD$7))),1,0)</f>
        <v/>
      </c>
      <c r="BS33">
        <f>IF(AND('Month-End'!$AD$8&lt;&gt;"",NOT(_xlfn.ISFORMULA('Month-End'!$AD$8))),1,0)</f>
        <v/>
      </c>
      <c r="BT33">
        <f>IF(AND('Month-End'!$AD$9&lt;&gt;"",NOT(_xlfn.ISFORMULA('Month-End'!$AD$9))),1,0)</f>
        <v/>
      </c>
      <c r="BU33">
        <f>IF(AND('Month-End'!$AD$10&lt;&gt;"",NOT(_xlfn.ISFORMULA('Month-End'!$AD$10))),1,0)</f>
        <v/>
      </c>
      <c r="BV33">
        <f>IF(AND('Month-End'!$AD$11&lt;&gt;"",NOT(_xlfn.ISFORMULA('Month-End'!$AD$11))),1,0)</f>
        <v/>
      </c>
      <c r="BW33">
        <f>IF(AND('Month-End'!$AD$12&lt;&gt;"",NOT(_xlfn.ISFORMULA('Month-End'!$AD$12))),1,0)</f>
        <v/>
      </c>
      <c r="BX33">
        <f>IF(AND('Month-End'!$AD$13&lt;&gt;"",NOT(_xlfn.ISFORMULA('Month-End'!$AD$13))),1,0)</f>
        <v/>
      </c>
      <c r="BY33">
        <f>IF(AND('Month-End'!$AD$14&lt;&gt;"",NOT(_xlfn.ISFORMULA('Month-End'!$AD$14))),1,0)</f>
        <v/>
      </c>
      <c r="BZ33">
        <f>IF(AND('Month-End'!$AD$15&lt;&gt;"",NOT(_xlfn.ISFORMULA('Month-End'!$AD$15))),1,0)</f>
        <v/>
      </c>
      <c r="CA33">
        <f>IF(AND('Month-End'!$AD$16&lt;&gt;"",NOT(_xlfn.ISFORMULA('Month-End'!$AD$16))),1,0)</f>
        <v/>
      </c>
      <c r="CB33">
        <f>IF(AND('Month-End'!$AD$17&lt;&gt;"",NOT(_xlfn.ISFORMULA('Month-End'!$AD$17))),1,0)</f>
        <v/>
      </c>
      <c r="CC33">
        <f>IF(AND('Month-End'!$AD$18&lt;&gt;"",NOT(_xlfn.ISFORMULA('Month-End'!$AD$18))),1,0)</f>
        <v/>
      </c>
      <c r="CD33">
        <f>IF(AND('Month-End'!$AD$19&lt;&gt;"",NOT(_xlfn.ISFORMULA('Month-End'!$AD$19))),1,0)</f>
        <v/>
      </c>
      <c r="CE33">
        <f>IF(AND('Month-End'!$AD$20&lt;&gt;"",NOT(_xlfn.ISFORMULA('Month-End'!$AD$20))),1,0)</f>
        <v/>
      </c>
      <c r="CF33">
        <f>IF(AND('Month-End'!$AD$38&lt;&gt;"",NOT(_xlfn.ISFORMULA('Month-End'!$AD$38))),1,0)</f>
        <v/>
      </c>
      <c r="CG33">
        <f>IF(AND('Month-End'!$AD$39&lt;&gt;"",NOT(_xlfn.ISFORMULA('Month-End'!$AD$39))),1,0)</f>
        <v/>
      </c>
      <c r="CH33">
        <f>IF(AND('Month-End'!$AD$40&lt;&gt;"",NOT(_xlfn.ISFORMULA('Month-End'!$AD$40))),1,0)</f>
        <v/>
      </c>
      <c r="CI33">
        <f>IF(AND('Month-End'!$AD$41&lt;&gt;"",NOT(_xlfn.ISFORMULA('Month-End'!$AD$41))),1,0)</f>
        <v/>
      </c>
      <c r="CJ33">
        <f>IF(AND('Month-End'!$AD$42&lt;&gt;"",NOT(_xlfn.ISFORMULA('Month-End'!$AD$42))),1,0)</f>
        <v/>
      </c>
      <c r="CK33">
        <f>IF(AND('Month-End'!$AD$43&lt;&gt;"",NOT(_xlfn.ISFORMULA('Month-End'!$AD$43))),1,0)</f>
        <v/>
      </c>
      <c r="CL33">
        <f>SUM($CM33:$CZ33)</f>
        <v/>
      </c>
      <c r="CM33">
        <f>IF(AND($E33&lt;&gt;"pre",AND(Settings!$A$19&lt;&gt;"",Settings!$E$19&lt;&gt;"No"),Settings!$F$19="Yes",NOT(AND('Month-End'!$AD$7&lt;&gt;"",NOT(_xlfn.ISFORMULA('Month-End'!$AD$7))))),1,0)</f>
        <v/>
      </c>
      <c r="CN33">
        <f>IF(AND($E33&lt;&gt;"pre",AND(Settings!$A$20&lt;&gt;"",Settings!$E$20&lt;&gt;"No"),Settings!$F$20="Yes",NOT(AND('Month-End'!$AD$8&lt;&gt;"",NOT(_xlfn.ISFORMULA('Month-End'!$AD$8))))),1,0)</f>
        <v/>
      </c>
      <c r="CO33">
        <f>IF(AND($E33&lt;&gt;"pre",AND(Settings!$A$21&lt;&gt;"",Settings!$E$21&lt;&gt;"No"),Settings!$F$21="Yes",NOT(AND('Month-End'!$AD$9&lt;&gt;"",NOT(_xlfn.ISFORMULA('Month-End'!$AD$9))))),1,0)</f>
        <v/>
      </c>
      <c r="CP33">
        <f>IF(AND($E33&lt;&gt;"pre",AND(Settings!$A$22&lt;&gt;"",Settings!$E$22&lt;&gt;"No"),Settings!$F$22="Yes",NOT(AND('Month-End'!$AD$10&lt;&gt;"",NOT(_xlfn.ISFORMULA('Month-End'!$AD$10))))),1,0)</f>
        <v/>
      </c>
      <c r="CQ33">
        <f>IF(AND($E33&lt;&gt;"pre",AND(Settings!$A$23&lt;&gt;"",Settings!$E$23&lt;&gt;"No"),Settings!$F$23="Yes",NOT(AND('Month-End'!$AD$11&lt;&gt;"",NOT(_xlfn.ISFORMULA('Month-End'!$AD$11))))),1,0)</f>
        <v/>
      </c>
      <c r="CR33">
        <f>IF(AND($E33&lt;&gt;"pre",AND(Settings!$A$24&lt;&gt;"",Settings!$E$24&lt;&gt;"No"),Settings!$F$24="Yes",NOT(AND('Month-End'!$AD$12&lt;&gt;"",NOT(_xlfn.ISFORMULA('Month-End'!$AD$12))))),1,0)</f>
        <v/>
      </c>
      <c r="CS33">
        <f>IF(AND($E33&lt;&gt;"pre",AND(Settings!$A$25&lt;&gt;"",Settings!$E$25&lt;&gt;"No"),Settings!$F$25="Yes",NOT(AND('Month-End'!$AD$13&lt;&gt;"",NOT(_xlfn.ISFORMULA('Month-End'!$AD$13))))),1,0)</f>
        <v/>
      </c>
      <c r="CT33">
        <f>IF(AND($E33&lt;&gt;"pre",AND(Settings!$A$26&lt;&gt;"",Settings!$E$26&lt;&gt;"No"),Settings!$F$26="Yes",NOT(AND('Month-End'!$AD$14&lt;&gt;"",NOT(_xlfn.ISFORMULA('Month-End'!$AD$14))))),1,0)</f>
        <v/>
      </c>
      <c r="CU33">
        <f>IF(AND($E33&lt;&gt;"pre",AND(Settings!$A$27&lt;&gt;"",Settings!$E$27&lt;&gt;"No"),Settings!$F$27="Yes",NOT(AND('Month-End'!$AD$15&lt;&gt;"",NOT(_xlfn.ISFORMULA('Month-End'!$AD$15))))),1,0)</f>
        <v/>
      </c>
      <c r="CV33">
        <f>IF(AND($E33&lt;&gt;"pre",AND(Settings!$A$28&lt;&gt;"",Settings!$E$28&lt;&gt;"No"),Settings!$F$28="Yes",NOT(AND('Month-End'!$AD$16&lt;&gt;"",NOT(_xlfn.ISFORMULA('Month-End'!$AD$16))))),1,0)</f>
        <v/>
      </c>
      <c r="CW33">
        <f>IF(AND($E33&lt;&gt;"pre",AND(Settings!$A$29&lt;&gt;"",Settings!$E$29&lt;&gt;"No"),Settings!$F$29="Yes",NOT(AND('Month-End'!$AD$17&lt;&gt;"",NOT(_xlfn.ISFORMULA('Month-End'!$AD$17))))),1,0)</f>
        <v/>
      </c>
      <c r="CX33">
        <f>IF(AND($E33&lt;&gt;"pre",AND(Settings!$A$30&lt;&gt;"",Settings!$E$30&lt;&gt;"No"),Settings!$F$30="Yes",NOT(AND('Month-End'!$AD$18&lt;&gt;"",NOT(_xlfn.ISFORMULA('Month-End'!$AD$18))))),1,0)</f>
        <v/>
      </c>
      <c r="CY33">
        <f>IF(AND($E33&lt;&gt;"pre",AND(Settings!$A$31&lt;&gt;"",Settings!$E$31&lt;&gt;"No"),Settings!$F$31="Yes",NOT(AND('Month-End'!$AD$19&lt;&gt;"",NOT(_xlfn.ISFORMULA('Month-End'!$AD$19))))),1,0)</f>
        <v/>
      </c>
      <c r="CZ33">
        <f>IF(AND($E33&lt;&gt;"pre",AND(Settings!$A$32&lt;&gt;"",Settings!$E$32&lt;&gt;"No"),Settings!$F$32="Yes",NOT(AND('Month-End'!$AD$20&lt;&gt;"",NOT(_xlfn.ISFORMULA('Month-End'!$AD$20))))),1,0)</f>
        <v/>
      </c>
      <c r="DA33">
        <f>IF($DT33=1,IF(OR(Settings!$B$19="Checking",Settings!$B$19="Savings",Settings!$B$19="Cash"),N($AE33),IF(OR(Settings!$B$19="Card",Settings!$B$19="Loan"),-N($AE33),0))+IF(OR(Settings!$B$20="Checking",Settings!$B$20="Savings",Settings!$B$20="Cash"),N($AF33),IF(OR(Settings!$B$20="Card",Settings!$B$20="Loan"),-N($AF33),0))+IF(OR(Settings!$B$21="Checking",Settings!$B$21="Savings",Settings!$B$21="Cash"),N($AG33),IF(OR(Settings!$B$21="Card",Settings!$B$21="Loan"),-N($AG33),0))+IF(OR(Settings!$B$22="Checking",Settings!$B$22="Savings",Settings!$B$22="Cash"),N($AH33),IF(OR(Settings!$B$22="Card",Settings!$B$22="Loan"),-N($AH33),0))+IF(OR(Settings!$B$23="Checking",Settings!$B$23="Savings",Settings!$B$23="Cash"),N($AI33),IF(OR(Settings!$B$23="Card",Settings!$B$23="Loan"),-N($AI33),0))+IF(OR(Settings!$B$24="Checking",Settings!$B$24="Savings",Settings!$B$24="Cash"),N($AJ33),IF(OR(Settings!$B$24="Card",Settings!$B$24="Loan"),-N($AJ33),0))+IF(OR(Settings!$B$25="Checking",Settings!$B$25="Savings",Settings!$B$25="Cash"),N($AK33),IF(OR(Settings!$B$25="Card",Settings!$B$25="Loan"),-N($AK33),0))+IF(OR(Settings!$B$26="Checking",Settings!$B$26="Savings",Settings!$B$26="Cash"),N($AL33),IF(OR(Settings!$B$26="Card",Settings!$B$26="Loan"),-N($AL33),0))+IF(OR(Settings!$B$27="Checking",Settings!$B$27="Savings",Settings!$B$27="Cash"),N($AM33),IF(OR(Settings!$B$27="Card",Settings!$B$27="Loan"),-N($AM33),0))+IF(OR(Settings!$B$28="Checking",Settings!$B$28="Savings",Settings!$B$28="Cash"),N($AN33),IF(OR(Settings!$B$28="Card",Settings!$B$28="Loan"),-N($AN33),0))+IF(OR(Settings!$B$29="Checking",Settings!$B$29="Savings",Settings!$B$29="Cash"),N($AO33),IF(OR(Settings!$B$29="Card",Settings!$B$29="Loan"),-N($AO33),0))+IF(OR(Settings!$B$30="Checking",Settings!$B$30="Savings",Settings!$B$30="Cash"),N($AP33),IF(OR(Settings!$B$30="Card",Settings!$B$30="Loan"),-N($AP33),0))+IF(OR(Settings!$B$31="Checking",Settings!$B$31="Savings",Settings!$B$31="Cash"),N($AQ33),IF(OR(Settings!$B$31="Card",Settings!$B$31="Loan"),-N($AQ33),0))+IF(OR(Settings!$B$32="Checking",Settings!$B$32="Savings",Settings!$B$32="Cash"),N($AR33),IF(OR(Settings!$B$32="Card",Settings!$B$32="Loan"),-N($AR33),0)),"")</f>
        <v/>
      </c>
      <c r="DB33">
        <f>IF($E33="open",$EB$27,IF($E33="post",IF($E32="pre",$EB$27,$DA32),""))</f>
        <v/>
      </c>
      <c r="DC33">
        <f>IF($E33="open",1,IF($E33="post",IF($E32="pre",1,$DT32),0))</f>
        <v/>
      </c>
      <c r="DD33">
        <f>IF(AND($DT33=1,$DC33=1),ROUND($W33-($DA33-$DB33)-$AD33-$AB33,2),"")</f>
        <v/>
      </c>
      <c r="DE33">
        <f>IF('Month-End'!$AD$35="",$BQ33,N('Month-End'!$AD$35))</f>
        <v/>
      </c>
      <c r="DF33">
        <f>N('Month-End'!$AD$36)</f>
        <v/>
      </c>
      <c r="DG33">
        <f>IF($DD33="","",$DD33+$DE33)</f>
        <v/>
      </c>
      <c r="DH33">
        <f>IF($DG33="","",$DG33-$DF33)</f>
        <v/>
      </c>
      <c r="DI33">
        <f>IF(OR($E33="pre",$D33=1),"",N($AS33)+N($AT33)+N($AU33)+N($AV33)+N($AW33)+N($AX33))</f>
        <v/>
      </c>
      <c r="DJ33">
        <f>IF($DT33=1,$DA33+N($DI33),"")</f>
        <v/>
      </c>
      <c r="DK33">
        <f>IF($DD33="","",$W33-$DD33-$AB33)</f>
        <v/>
      </c>
      <c r="DL33">
        <f>IF(AND($E33="post",$DD33&lt;&gt;"",$B33&lt;TODAY()),1,0)</f>
        <v/>
      </c>
      <c r="DM33">
        <f>IF($DL33=1,COUNTIF($DL33:$DL$183,1),0)</f>
        <v/>
      </c>
      <c r="DN33">
        <f>IF($D33=1,"",IF($E33="pre","History only",IF($DT33=1,IF($DD33="","⚠ Previous month missing",IF($DD33&lt;0,"⚠ Check: spending &lt; 0",IF($E33="open","✓ Done (partial)","✓ Done"))),IF($B33&gt;=TODAY(),"In progress","⚠ Needs balances"))))</f>
        <v/>
      </c>
      <c r="DO33">
        <f>YEAR($A33)</f>
        <v/>
      </c>
      <c r="DP33">
        <f>DATE(YEAR($A33),INT((MONTH($A33)-1)/3)*3+1,1)</f>
        <v/>
      </c>
      <c r="DQ33">
        <f>IF(AND($DT33=1,$DD33&lt;&gt;"",$D33=0),ROW(),0)</f>
        <v/>
      </c>
      <c r="DR33">
        <f>IF(AND($E33&lt;&gt;"pre",$B33&lt;TODAY(),$DT33=0),1,0)</f>
        <v/>
      </c>
      <c r="DS33">
        <f>IF($DJ33="",NA(),$DJ33)</f>
        <v/>
      </c>
      <c r="DT33">
        <f>IF(AND($E33&lt;&gt;"pre",$CL33=0,COUNTIFS(Settings!$F$19:$F$32,"Yes",Settings!$A$19:$A$32,"&lt;&gt;",Settings!$E$19:$E$32,"&lt;&gt;No")&gt;0),1,0)</f>
        <v/>
      </c>
      <c r="DU33">
        <f>IF(AND($B33&lt;TODAY(),$S33&gt;0),1,0)</f>
        <v/>
      </c>
      <c r="DV33">
        <f>IF($DU33=1,COUNTIF($DU33:$DU$183,1),0)</f>
        <v/>
      </c>
      <c r="DW33">
        <f>IF(AND(OR(Settings!$B$19="Card",Settings!$B$19="Loan"),AND('Month-End'!$AD$7&lt;&gt;"",NOT(_xlfn.ISFORMULA('Month-End'!$AD$7)))),IF(N('Month-End'!$AD$7)&lt;0,1,0),0)+IF(AND(OR(Settings!$B$20="Card",Settings!$B$20="Loan"),AND('Month-End'!$AD$8&lt;&gt;"",NOT(_xlfn.ISFORMULA('Month-End'!$AD$8)))),IF(N('Month-End'!$AD$8)&lt;0,1,0),0)+IF(AND(OR(Settings!$B$21="Card",Settings!$B$21="Loan"),AND('Month-End'!$AD$9&lt;&gt;"",NOT(_xlfn.ISFORMULA('Month-End'!$AD$9)))),IF(N('Month-End'!$AD$9)&lt;0,1,0),0)+IF(AND(OR(Settings!$B$22="Card",Settings!$B$22="Loan"),AND('Month-End'!$AD$10&lt;&gt;"",NOT(_xlfn.ISFORMULA('Month-End'!$AD$10)))),IF(N('Month-End'!$AD$10)&lt;0,1,0),0)+IF(AND(OR(Settings!$B$23="Card",Settings!$B$23="Loan"),AND('Month-End'!$AD$11&lt;&gt;"",NOT(_xlfn.ISFORMULA('Month-End'!$AD$11)))),IF(N('Month-End'!$AD$11)&lt;0,1,0),0)+IF(AND(OR(Settings!$B$24="Card",Settings!$B$24="Loan"),AND('Month-End'!$AD$12&lt;&gt;"",NOT(_xlfn.ISFORMULA('Month-End'!$AD$12)))),IF(N('Month-End'!$AD$12)&lt;0,1,0),0)+IF(AND(OR(Settings!$B$25="Card",Settings!$B$25="Loan"),AND('Month-End'!$AD$13&lt;&gt;"",NOT(_xlfn.ISFORMULA('Month-End'!$AD$13)))),IF(N('Month-End'!$AD$13)&lt;0,1,0),0)+IF(AND(OR(Settings!$B$26="Card",Settings!$B$26="Loan"),AND('Month-End'!$AD$14&lt;&gt;"",NOT(_xlfn.ISFORMULA('Month-End'!$AD$14)))),IF(N('Month-End'!$AD$14)&lt;0,1,0),0)+IF(AND(OR(Settings!$B$27="Card",Settings!$B$27="Loan"),AND('Month-End'!$AD$15&lt;&gt;"",NOT(_xlfn.ISFORMULA('Month-End'!$AD$15)))),IF(N('Month-End'!$AD$15)&lt;0,1,0),0)+IF(AND(OR(Settings!$B$28="Card",Settings!$B$28="Loan"),AND('Month-End'!$AD$16&lt;&gt;"",NOT(_xlfn.ISFORMULA('Month-End'!$AD$16)))),IF(N('Month-End'!$AD$16)&lt;0,1,0),0)+IF(AND(OR(Settings!$B$29="Card",Settings!$B$29="Loan"),AND('Month-End'!$AD$17&lt;&gt;"",NOT(_xlfn.ISFORMULA('Month-End'!$AD$17)))),IF(N('Month-End'!$AD$17)&lt;0,1,0),0)+IF(AND(OR(Settings!$B$30="Card",Settings!$B$30="Loan"),AND('Month-End'!$AD$18&lt;&gt;"",NOT(_xlfn.ISFORMULA('Month-End'!$AD$18)))),IF(N('Month-End'!$AD$18)&lt;0,1,0),0)+IF(AND(OR(Settings!$B$31="Card",Settings!$B$31="Loan"),AND('Month-End'!$AD$19&lt;&gt;"",NOT(_xlfn.ISFORMULA('Month-End'!$AD$19)))),IF(N('Month-End'!$AD$19)&lt;0,1,0),0)+IF(AND(OR(Settings!$B$32="Card",Settings!$B$32="Loan"),AND('Month-End'!$AD$20&lt;&gt;"",NOT(_xlfn.ISFORMULA('Month-End'!$AD$20)))),IF(N('Month-End'!$AD$20)&lt;0,1,0),0)</f>
        <v/>
      </c>
      <c r="DX33">
        <f>IF(Settings!$B$36="Retirement",$AY33,0)+IF(Settings!$B$37="Retirement",$AZ33,0)+IF(Settings!$B$38="Retirement",$BA33,0)+IF(Settings!$B$39="Retirement",$BB33,0)+IF(Settings!$B$40="Retirement",$BC33,0)+IF(Settings!$B$41="Retirement",$BD33,0)</f>
        <v/>
      </c>
      <c r="EA33" t="inlineStr">
        <is>
          <t>Liabilities now</t>
        </is>
      </c>
      <c r="EB33">
        <f>IF(OR(Settings!$B$19="Card",Settings!$B$19="Loan"),N(EB40),0)+IF(OR(Settings!$B$20="Card",Settings!$B$20="Loan"),N(EB41),0)+IF(OR(Settings!$B$21="Card",Settings!$B$21="Loan"),N(EB42),0)+IF(OR(Settings!$B$22="Card",Settings!$B$22="Loan"),N(EB43),0)+IF(OR(Settings!$B$23="Card",Settings!$B$23="Loan"),N(EB44),0)+IF(OR(Settings!$B$24="Card",Settings!$B$24="Loan"),N(EB45),0)+IF(OR(Settings!$B$25="Card",Settings!$B$25="Loan"),N(EB46),0)+IF(OR(Settings!$B$26="Card",Settings!$B$26="Loan"),N(EB47),0)+IF(OR(Settings!$B$27="Card",Settings!$B$27="Loan"),N(EB48),0)+IF(OR(Settings!$B$28="Card",Settings!$B$28="Loan"),N(EB49),0)+IF(OR(Settings!$B$29="Card",Settings!$B$29="Loan"),N(EB50),0)+IF(OR(Settings!$B$30="Card",Settings!$B$30="Loan"),N(EB51),0)+IF(OR(Settings!$B$31="Card",Settings!$B$31="Loan"),N(EB52),0)+IF(OR(Settings!$B$32="Card",Settings!$B$32="Loan"),N(EB53),0)</f>
        <v/>
      </c>
      <c r="ET33">
        <f>IF($E33&lt;&gt;"open",0,IF(AND('Month-End'!$AD$22&lt;&gt;"",NOT(_xlfn.ISFORMULA('Month-End'!$AD$22))),0,IF(OR(Settings!$C$45="",Settings!$D$45=""),0,Settings!$C$45*IF(Settings!$D$45="Weekly",IF(IFERROR(MATCH(Settings!$E$45,$EO$4:$EO$10,0),0)=0,0,IF(MIN(Settings!$B$5,IF(Settings!$G$45="",Settings!$B$5,Settings!$G$45))&lt;MAX($A33,Settings!$F$45),0,INT((MIN(Settings!$B$5,IF(Settings!$G$45="",Settings!$B$5,Settings!$G$45))-MAX($A33,Settings!$F$45)-MOD(IFERROR(MATCH(Settings!$E$45,$EO$4:$EO$10,0),0)-WEEKDAY(MAX($A33,Settings!$F$45)),7))/7)+1)),IF(AND(IF(Settings!$E$45="",$B33,DATE(YEAR($A33),MONTH($A33),MIN(Settings!$E$45,DAY($B33))))&gt;=MAX($A33,Settings!$F$45),IF(Settings!$E$45="",$B33,DATE(YEAR($A33),MONTH($A33),MIN(Settings!$E$45,DAY($B33))))&lt;=MIN(Settings!$B$5,IF(Settings!$G$45="",Settings!$B$5,Settings!$G$45))),1,0)))))</f>
        <v/>
      </c>
      <c r="EU33">
        <f>IF($E33&lt;&gt;"open",0,IF(AND('Month-End'!$AD$23&lt;&gt;"",NOT(_xlfn.ISFORMULA('Month-End'!$AD$23))),0,IF(OR(Settings!$C$46="",Settings!$D$46=""),0,Settings!$C$46*IF(Settings!$D$46="Weekly",IF(IFERROR(MATCH(Settings!$E$46,$EO$4:$EO$10,0),0)=0,0,IF(MIN(Settings!$B$5,IF(Settings!$G$46="",Settings!$B$5,Settings!$G$46))&lt;MAX($A33,Settings!$F$46),0,INT((MIN(Settings!$B$5,IF(Settings!$G$46="",Settings!$B$5,Settings!$G$46))-MAX($A33,Settings!$F$46)-MOD(IFERROR(MATCH(Settings!$E$46,$EO$4:$EO$10,0),0)-WEEKDAY(MAX($A33,Settings!$F$46)),7))/7)+1)),IF(AND(IF(Settings!$E$46="",$B33,DATE(YEAR($A33),MONTH($A33),MIN(Settings!$E$46,DAY($B33))))&gt;=MAX($A33,Settings!$F$46),IF(Settings!$E$46="",$B33,DATE(YEAR($A33),MONTH($A33),MIN(Settings!$E$46,DAY($B33))))&lt;=MIN(Settings!$B$5,IF(Settings!$G$46="",Settings!$B$5,Settings!$G$46))),1,0)))))</f>
        <v/>
      </c>
      <c r="EV33">
        <f>IF($E33&lt;&gt;"open",0,IF(AND('Month-End'!$AD$24&lt;&gt;"",NOT(_xlfn.ISFORMULA('Month-End'!$AD$24))),0,IF(OR(Settings!$C$47="",Settings!$D$47=""),0,Settings!$C$47*IF(Settings!$D$47="Weekly",IF(IFERROR(MATCH(Settings!$E$47,$EO$4:$EO$10,0),0)=0,0,IF(MIN(Settings!$B$5,IF(Settings!$G$47="",Settings!$B$5,Settings!$G$47))&lt;MAX($A33,Settings!$F$47),0,INT((MIN(Settings!$B$5,IF(Settings!$G$47="",Settings!$B$5,Settings!$G$47))-MAX($A33,Settings!$F$47)-MOD(IFERROR(MATCH(Settings!$E$47,$EO$4:$EO$10,0),0)-WEEKDAY(MAX($A33,Settings!$F$47)),7))/7)+1)),IF(AND(IF(Settings!$E$47="",$B33,DATE(YEAR($A33),MONTH($A33),MIN(Settings!$E$47,DAY($B33))))&gt;=MAX($A33,Settings!$F$47),IF(Settings!$E$47="",$B33,DATE(YEAR($A33),MONTH($A33),MIN(Settings!$E$47,DAY($B33))))&lt;=MIN(Settings!$B$5,IF(Settings!$G$47="",Settings!$B$5,Settings!$G$47))),1,0)))))</f>
        <v/>
      </c>
      <c r="EW33">
        <f>IF($E33&lt;&gt;"open",0,IF(AND('Month-End'!$AD$25&lt;&gt;"",NOT(_xlfn.ISFORMULA('Month-End'!$AD$25))),0,IF(OR(Settings!$C$48="",Settings!$D$48=""),0,Settings!$C$48*IF(Settings!$D$48="Weekly",IF(IFERROR(MATCH(Settings!$E$48,$EO$4:$EO$10,0),0)=0,0,IF(MIN(Settings!$B$5,IF(Settings!$G$48="",Settings!$B$5,Settings!$G$48))&lt;MAX($A33,Settings!$F$48),0,INT((MIN(Settings!$B$5,IF(Settings!$G$48="",Settings!$B$5,Settings!$G$48))-MAX($A33,Settings!$F$48)-MOD(IFERROR(MATCH(Settings!$E$48,$EO$4:$EO$10,0),0)-WEEKDAY(MAX($A33,Settings!$F$48)),7))/7)+1)),IF(AND(IF(Settings!$E$48="",$B33,DATE(YEAR($A33),MONTH($A33),MIN(Settings!$E$48,DAY($B33))))&gt;=MAX($A33,Settings!$F$48),IF(Settings!$E$48="",$B33,DATE(YEAR($A33),MONTH($A33),MIN(Settings!$E$48,DAY($B33))))&lt;=MIN(Settings!$B$5,IF(Settings!$G$48="",Settings!$B$5,Settings!$G$48))),1,0)))))</f>
        <v/>
      </c>
      <c r="EX33">
        <f>IF($E33&lt;&gt;"open",0,IF(AND('Month-End'!$AD$26&lt;&gt;"",NOT(_xlfn.ISFORMULA('Month-End'!$AD$26))),0,IF(OR(Settings!$C$49="",Settings!$D$49=""),0,Settings!$C$49*IF(Settings!$D$49="Weekly",IF(IFERROR(MATCH(Settings!$E$49,$EO$4:$EO$10,0),0)=0,0,IF(MIN(Settings!$B$5,IF(Settings!$G$49="",Settings!$B$5,Settings!$G$49))&lt;MAX($A33,Settings!$F$49),0,INT((MIN(Settings!$B$5,IF(Settings!$G$49="",Settings!$B$5,Settings!$G$49))-MAX($A33,Settings!$F$49)-MOD(IFERROR(MATCH(Settings!$E$49,$EO$4:$EO$10,0),0)-WEEKDAY(MAX($A33,Settings!$F$49)),7))/7)+1)),IF(AND(IF(Settings!$E$49="",$B33,DATE(YEAR($A33),MONTH($A33),MIN(Settings!$E$49,DAY($B33))))&gt;=MAX($A33,Settings!$F$49),IF(Settings!$E$49="",$B33,DATE(YEAR($A33),MONTH($A33),MIN(Settings!$E$49,DAY($B33))))&lt;=MIN(Settings!$B$5,IF(Settings!$G$49="",Settings!$B$5,Settings!$G$49))),1,0)))))</f>
        <v/>
      </c>
      <c r="EY33">
        <f>IF($E33&lt;&gt;"open",0,IF(AND('Month-End'!$AD$27&lt;&gt;"",NOT(_xlfn.ISFORMULA('Month-End'!$AD$27))),0,IF(OR(Settings!$C$50="",Settings!$D$50=""),0,Settings!$C$50*IF(Settings!$D$50="Weekly",IF(IFERROR(MATCH(Settings!$E$50,$EO$4:$EO$10,0),0)=0,0,IF(MIN(Settings!$B$5,IF(Settings!$G$50="",Settings!$B$5,Settings!$G$50))&lt;MAX($A33,Settings!$F$50),0,INT((MIN(Settings!$B$5,IF(Settings!$G$50="",Settings!$B$5,Settings!$G$50))-MAX($A33,Settings!$F$50)-MOD(IFERROR(MATCH(Settings!$E$50,$EO$4:$EO$10,0),0)-WEEKDAY(MAX($A33,Settings!$F$50)),7))/7)+1)),IF(AND(IF(Settings!$E$50="",$B33,DATE(YEAR($A33),MONTH($A33),MIN(Settings!$E$50,DAY($B33))))&gt;=MAX($A33,Settings!$F$50),IF(Settings!$E$50="",$B33,DATE(YEAR($A33),MONTH($A33),MIN(Settings!$E$50,DAY($B33))))&lt;=MIN(Settings!$B$5,IF(Settings!$G$50="",Settings!$B$5,Settings!$G$50))),1,0)))))</f>
        <v/>
      </c>
      <c r="EZ33">
        <f>IF($E33&lt;&gt;"open",0,IF(AND('Month-End'!$AD$28&lt;&gt;"",NOT(_xlfn.ISFORMULA('Month-End'!$AD$28))),0,IF(OR(Settings!$C$51="",Settings!$D$51=""),0,Settings!$C$51*IF(Settings!$D$51="Weekly",IF(IFERROR(MATCH(Settings!$E$51,$EO$4:$EO$10,0),0)=0,0,IF(MIN(Settings!$B$5,IF(Settings!$G$51="",Settings!$B$5,Settings!$G$51))&lt;MAX($A33,Settings!$F$51),0,INT((MIN(Settings!$B$5,IF(Settings!$G$51="",Settings!$B$5,Settings!$G$51))-MAX($A33,Settings!$F$51)-MOD(IFERROR(MATCH(Settings!$E$51,$EO$4:$EO$10,0),0)-WEEKDAY(MAX($A33,Settings!$F$51)),7))/7)+1)),IF(AND(IF(Settings!$E$51="",$B33,DATE(YEAR($A33),MONTH($A33),MIN(Settings!$E$51,DAY($B33))))&gt;=MAX($A33,Settings!$F$51),IF(Settings!$E$51="",$B33,DATE(YEAR($A33),MONTH($A33),MIN(Settings!$E$51,DAY($B33))))&lt;=MIN(Settings!$B$5,IF(Settings!$G$51="",Settings!$B$5,Settings!$G$51))),1,0)))))</f>
        <v/>
      </c>
      <c r="FA33">
        <f>IF($E33&lt;&gt;"open",0,IF(AND('Month-End'!$AD$29&lt;&gt;"",NOT(_xlfn.ISFORMULA('Month-End'!$AD$29))),0,IF(OR(Settings!$C$52="",Settings!$D$52=""),0,Settings!$C$52*IF(Settings!$D$52="Weekly",IF(IFERROR(MATCH(Settings!$E$52,$EO$4:$EO$10,0),0)=0,0,IF(MIN(Settings!$B$5,IF(Settings!$G$52="",Settings!$B$5,Settings!$G$52))&lt;MAX($A33,Settings!$F$52),0,INT((MIN(Settings!$B$5,IF(Settings!$G$52="",Settings!$B$5,Settings!$G$52))-MAX($A33,Settings!$F$52)-MOD(IFERROR(MATCH(Settings!$E$52,$EO$4:$EO$10,0),0)-WEEKDAY(MAX($A33,Settings!$F$52)),7))/7)+1)),IF(AND(IF(Settings!$E$52="",$B33,DATE(YEAR($A33),MONTH($A33),MIN(Settings!$E$52,DAY($B33))))&gt;=MAX($A33,Settings!$F$52),IF(Settings!$E$52="",$B33,DATE(YEAR($A33),MONTH($A33),MIN(Settings!$E$52,DAY($B33))))&lt;=MIN(Settings!$B$5,IF(Settings!$G$52="",Settings!$B$5,Settings!$G$52))),1,0)))))</f>
        <v/>
      </c>
      <c r="FB33">
        <f>IF($E33&lt;&gt;"open",0,IF(AND('Month-End'!$AD$30&lt;&gt;"",NOT(_xlfn.ISFORMULA('Month-End'!$AD$30))),0,IF(OR(Settings!$C$53="",Settings!$D$53=""),0,Settings!$C$53*IF(Settings!$D$53="Weekly",IF(IFERROR(MATCH(Settings!$E$53,$EO$4:$EO$10,0),0)=0,0,IF(MIN(Settings!$B$5,IF(Settings!$G$53="",Settings!$B$5,Settings!$G$53))&lt;MAX($A33,Settings!$F$53),0,INT((MIN(Settings!$B$5,IF(Settings!$G$53="",Settings!$B$5,Settings!$G$53))-MAX($A33,Settings!$F$53)-MOD(IFERROR(MATCH(Settings!$E$53,$EO$4:$EO$10,0),0)-WEEKDAY(MAX($A33,Settings!$F$53)),7))/7)+1)),IF(AND(IF(Settings!$E$53="",$B33,DATE(YEAR($A33),MONTH($A33),MIN(Settings!$E$53,DAY($B33))))&gt;=MAX($A33,Settings!$F$53),IF(Settings!$E$53="",$B33,DATE(YEAR($A33),MONTH($A33),MIN(Settings!$E$53,DAY($B33))))&lt;=MIN(Settings!$B$5,IF(Settings!$G$53="",Settings!$B$5,Settings!$G$53))),1,0)))))</f>
        <v/>
      </c>
      <c r="FC33">
        <f>IF($E33&lt;&gt;"open",0,IF(AND('Month-End'!$AD$31&lt;&gt;"",NOT(_xlfn.ISFORMULA('Month-End'!$AD$31))),0,IF(OR(Settings!$C$54="",Settings!$D$54=""),0,Settings!$C$54*IF(Settings!$D$54="Weekly",IF(IFERROR(MATCH(Settings!$E$54,$EO$4:$EO$10,0),0)=0,0,IF(MIN(Settings!$B$5,IF(Settings!$G$54="",Settings!$B$5,Settings!$G$54))&lt;MAX($A33,Settings!$F$54),0,INT((MIN(Settings!$B$5,IF(Settings!$G$54="",Settings!$B$5,Settings!$G$54))-MAX($A33,Settings!$F$54)-MOD(IFERROR(MATCH(Settings!$E$54,$EO$4:$EO$10,0),0)-WEEKDAY(MAX($A33,Settings!$F$54)),7))/7)+1)),IF(AND(IF(Settings!$E$54="",$B33,DATE(YEAR($A33),MONTH($A33),MIN(Settings!$E$54,DAY($B33))))&gt;=MAX($A33,Settings!$F$54),IF(Settings!$E$54="",$B33,DATE(YEAR($A33),MONTH($A33),MIN(Settings!$E$54,DAY($B33))))&lt;=MIN(Settings!$B$5,IF(Settings!$G$54="",Settings!$B$5,Settings!$G$54))),1,0)))))</f>
        <v/>
      </c>
      <c r="FD33">
        <f>IF($E33&lt;&gt;"open",0,IF(AND('Month-End'!$AD$32&lt;&gt;"",NOT(_xlfn.ISFORMULA('Month-End'!$AD$32))),0,IF(OR(Settings!$C$55="",Settings!$D$55=""),0,Settings!$C$55*IF(Settings!$D$55="Weekly",IF(IFERROR(MATCH(Settings!$E$55,$EO$4:$EO$10,0),0)=0,0,IF(MIN(Settings!$B$5,IF(Settings!$G$55="",Settings!$B$5,Settings!$G$55))&lt;MAX($A33,Settings!$F$55),0,INT((MIN(Settings!$B$5,IF(Settings!$G$55="",Settings!$B$5,Settings!$G$55))-MAX($A33,Settings!$F$55)-MOD(IFERROR(MATCH(Settings!$E$55,$EO$4:$EO$10,0),0)-WEEKDAY(MAX($A33,Settings!$F$55)),7))/7)+1)),IF(AND(IF(Settings!$E$55="",$B33,DATE(YEAR($A33),MONTH($A33),MIN(Settings!$E$55,DAY($B33))))&gt;=MAX($A33,Settings!$F$55),IF(Settings!$E$55="",$B33,DATE(YEAR($A33),MONTH($A33),MIN(Settings!$E$55,DAY($B33))))&lt;=MIN(Settings!$B$5,IF(Settings!$G$55="",Settings!$B$5,Settings!$G$55))),1,0)))))</f>
        <v/>
      </c>
      <c r="FE33">
        <f>IF($E33&lt;&gt;"open",0,IF(AND('Month-End'!$AD$33&lt;&gt;"",NOT(_xlfn.ISFORMULA('Month-End'!$AD$33))),0,IF(OR(Settings!$C$56="",Settings!$D$56=""),0,Settings!$C$56*IF(Settings!$D$56="Weekly",IF(IFERROR(MATCH(Settings!$E$56,$EO$4:$EO$10,0),0)=0,0,IF(MIN(Settings!$B$5,IF(Settings!$G$56="",Settings!$B$5,Settings!$G$56))&lt;MAX($A33,Settings!$F$56),0,INT((MIN(Settings!$B$5,IF(Settings!$G$56="",Settings!$B$5,Settings!$G$56))-MAX($A33,Settings!$F$56)-MOD(IFERROR(MATCH(Settings!$E$56,$EO$4:$EO$10,0),0)-WEEKDAY(MAX($A33,Settings!$F$56)),7))/7)+1)),IF(AND(IF(Settings!$E$56="",$B33,DATE(YEAR($A33),MONTH($A33),MIN(Settings!$E$56,DAY($B33))))&gt;=MAX($A33,Settings!$F$56),IF(Settings!$E$56="",$B33,DATE(YEAR($A33),MONTH($A33),MIN(Settings!$E$56,DAY($B33))))&lt;=MIN(Settings!$B$5,IF(Settings!$G$56="",Settings!$B$5,Settings!$G$56))),1,0)))))</f>
        <v/>
      </c>
      <c r="FF33">
        <f>IF(Settings!$I$45="Yes",$G33,0)+IF(Settings!$I$46="Yes",$H33,0)+IF(Settings!$I$47="Yes",$I33,0)+IF(Settings!$I$48="Yes",$J33,0)+IF(Settings!$I$49="Yes",$K33,0)+IF(Settings!$I$50="Yes",$L33,0)+IF(Settings!$I$51="Yes",$M33,0)+IF(Settings!$I$52="Yes",$N33,0)+IF(Settings!$I$53="Yes",$O33,0)+IF(Settings!$I$54="Yes",$P33,0)+IF(Settings!$I$55="Yes",$Q33,0)+IF(Settings!$I$56="Yes",$R33,0)</f>
        <v/>
      </c>
      <c r="FG33">
        <f>IF(AND(Settings!$I$45="Yes",Settings!$J$45="No"),$G33,0)+IF(AND(Settings!$I$46="Yes",Settings!$J$46="No"),$H33,0)+IF(AND(Settings!$I$47="Yes",Settings!$J$47="No"),$I33,0)+IF(AND(Settings!$I$48="Yes",Settings!$J$48="No"),$J33,0)+IF(AND(Settings!$I$49="Yes",Settings!$J$49="No"),$K33,0)+IF(AND(Settings!$I$50="Yes",Settings!$J$50="No"),$L33,0)+IF(AND(Settings!$I$51="Yes",Settings!$J$51="No"),$M33,0)+IF(AND(Settings!$I$52="Yes",Settings!$J$52="No"),$N33,0)+IF(AND(Settings!$I$53="Yes",Settings!$J$53="No"),$O33,0)+IF(AND(Settings!$I$54="Yes",Settings!$J$54="No"),$P33,0)+IF(AND(Settings!$I$55="Yes",Settings!$J$55="No"),$Q33,0)+IF(AND(Settings!$I$56="Yes",Settings!$J$56="No"),$R33,0)</f>
        <v/>
      </c>
      <c r="FH33">
        <f>SUMIFS(Giving!$B$7:$B$2006,Giving!$A$7:$A$2006,"&gt;="&amp;$A33,Giving!$A$7:$A$2006,"&lt;="&amp;$B33,Giving!$G$7:$G$2006,"Yes")+IF(OR(OR(Settings!$B$60="",Settings!$F$60="No"),Settings!$H$60&lt;&gt;"Yes"),0,Settings!$B$60*IF(AND(IF(Settings!$C$60="",$B33,DATE(YEAR($A33),MONTH($A33),MIN(Settings!$C$60,DAY($B33))))&gt;=MAX($A33,Settings!$D$60),IF(Settings!$C$60="",$B33,DATE(YEAR($A33),MONTH($A33),MIN(Settings!$C$60,DAY($B33))))&lt;=MIN($C33,IF(Settings!$E$60="",$C33,Settings!$E$60))),1,0))+IF(OR(OR(Settings!$B$61="",Settings!$F$61="No"),Settings!$H$61&lt;&gt;"Yes"),0,Settings!$B$61*IF(AND(IF(Settings!$C$61="",$B33,DATE(YEAR($A33),MONTH($A33),MIN(Settings!$C$61,DAY($B33))))&gt;=MAX($A33,Settings!$D$61),IF(Settings!$C$61="",$B33,DATE(YEAR($A33),MONTH($A33),MIN(Settings!$C$61,DAY($B33))))&lt;=MIN($C33,IF(Settings!$E$61="",$C33,Settings!$E$61))),1,0))+IF(OR(OR(Settings!$B$62="",Settings!$F$62="No"),Settings!$H$62&lt;&gt;"Yes"),0,Settings!$B$62*IF(AND(IF(Settings!$C$62="",$B33,DATE(YEAR($A33),MONTH($A33),MIN(Settings!$C$62,DAY($B33))))&gt;=MAX($A33,Settings!$D$62),IF(Settings!$C$62="",$B33,DATE(YEAR($A33),MONTH($A33),MIN(Settings!$C$62,DAY($B33))))&lt;=MIN($C33,IF(Settings!$E$62="",$C33,Settings!$E$62))),1,0))+IF(OR(OR(Settings!$B$63="",Settings!$F$63="No"),Settings!$H$63&lt;&gt;"Yes"),0,Settings!$B$63*IF(AND(IF(Settings!$C$63="",$B33,DATE(YEAR($A33),MONTH($A33),MIN(Settings!$C$63,DAY($B33))))&gt;=MAX($A33,Settings!$D$63),IF(Settings!$C$63="",$B33,DATE(YEAR($A33),MONTH($A33),MIN(Settings!$C$63,DAY($B33))))&lt;=MIN($C33,IF(Settings!$E$63="",$C33,Settings!$E$63))),1,0))+IF(OR(OR(Settings!$B$64="",Settings!$F$64="No"),Settings!$H$64&lt;&gt;"Yes"),0,Settings!$B$64*IF(AND(IF(Settings!$C$64="",$B33,DATE(YEAR($A33),MONTH($A33),MIN(Settings!$C$64,DAY($B33))))&gt;=MAX($A33,Settings!$D$64),IF(Settings!$C$64="",$B33,DATE(YEAR($A33),MONTH($A33),MIN(Settings!$C$64,DAY($B33))))&lt;=MIN($C33,IF(Settings!$E$64="",$C33,Settings!$E$64))),1,0))+IF(OR(OR(Settings!$B$65="",Settings!$F$65="No"),Settings!$H$65&lt;&gt;"Yes"),0,Settings!$B$65*IF(AND(IF(Settings!$C$65="",$B33,DATE(YEAR($A33),MONTH($A33),MIN(Settings!$C$65,DAY($B33))))&gt;=MAX($A33,Settings!$D$65),IF(Settings!$C$65="",$B33,DATE(YEAR($A33),MONTH($A33),MIN(Settings!$C$65,DAY($B33))))&lt;=MIN($C33,IF(Settings!$E$65="",$C33,Settings!$E$65))),1,0))</f>
        <v/>
      </c>
      <c r="FI33">
        <f>IF($DT33=1,IF(OR(Settings!$B$19="Card",Settings!$B$19="Loan"),N($AE33),0)+IF(OR(Settings!$B$20="Card",Settings!$B$20="Loan"),N($AF33),0)+IF(OR(Settings!$B$21="Card",Settings!$B$21="Loan"),N($AG33),0)+IF(OR(Settings!$B$22="Card",Settings!$B$22="Loan"),N($AH33),0)+IF(OR(Settings!$B$23="Card",Settings!$B$23="Loan"),N($AI33),0)+IF(OR(Settings!$B$24="Card",Settings!$B$24="Loan"),N($AJ33),0)+IF(OR(Settings!$B$25="Card",Settings!$B$25="Loan"),N($AK33),0)+IF(OR(Settings!$B$26="Card",Settings!$B$26="Loan"),N($AL33),0)+IF(OR(Settings!$B$27="Card",Settings!$B$27="Loan"),N($AM33),0)+IF(OR(Settings!$B$28="Card",Settings!$B$28="Loan"),N($AN33),0)+IF(OR(Settings!$B$29="Card",Settings!$B$29="Loan"),N($AO33),0)+IF(OR(Settings!$B$30="Card",Settings!$B$30="Loan"),N($AP33),0)+IF(OR(Settings!$B$31="Card",Settings!$B$31="Loan"),N($AQ33),0)+IF(OR(Settings!$B$32="Card",Settings!$B$32="Loan"),N($AR33),0),"")</f>
        <v/>
      </c>
      <c r="FJ33">
        <f>IF($E33="open",$EB$65,IF($E33="post",IF($E32="pre",$EB$65,$FI32),""))</f>
        <v/>
      </c>
      <c r="FK33">
        <f>IF(AND($DT33=1,$DC33=1),IF(ROUND($FI33-$FJ33,2)&gt;0,1,0),0)</f>
        <v/>
      </c>
      <c r="FL33">
        <f>IF($FK33=1,$FL32+1,0)</f>
        <v/>
      </c>
    </row>
    <row r="34">
      <c r="A34">
        <f>'Month-End'!$AE$4</f>
        <v/>
      </c>
      <c r="B34">
        <f>EOMONTH($A34,0)</f>
        <v/>
      </c>
      <c r="C34">
        <f>MIN($B34,TODAY())</f>
        <v/>
      </c>
      <c r="D34">
        <f>IF($A34&gt;TODAY(),1,0)</f>
        <v/>
      </c>
      <c r="E34">
        <f>IF($B34&lt;=Settings!$B$5,"pre",IF($A34&lt;=Settings!$B$5,"open","post"))</f>
        <v/>
      </c>
      <c r="G34">
        <f>IF('Month-End'!$AE$22="",$BE34,N('Month-End'!$AE$22))</f>
        <v/>
      </c>
      <c r="H34">
        <f>IF('Month-End'!$AE$23="",$BF34,N('Month-End'!$AE$23))</f>
        <v/>
      </c>
      <c r="I34">
        <f>IF('Month-End'!$AE$24="",$BG34,N('Month-End'!$AE$24))</f>
        <v/>
      </c>
      <c r="J34">
        <f>IF('Month-End'!$AE$25="",$BH34,N('Month-End'!$AE$25))</f>
        <v/>
      </c>
      <c r="K34">
        <f>IF('Month-End'!$AE$26="",$BI34,N('Month-End'!$AE$26))</f>
        <v/>
      </c>
      <c r="L34">
        <f>IF('Month-End'!$AE$27="",$BJ34,N('Month-End'!$AE$27))</f>
        <v/>
      </c>
      <c r="M34">
        <f>IF('Month-End'!$AE$28="",$BK34,N('Month-End'!$AE$28))</f>
        <v/>
      </c>
      <c r="N34">
        <f>IF('Month-End'!$AE$29="",$BL34,N('Month-End'!$AE$29))</f>
        <v/>
      </c>
      <c r="O34">
        <f>IF('Month-End'!$AE$30="",$BM34,N('Month-End'!$AE$30))</f>
        <v/>
      </c>
      <c r="P34">
        <f>IF('Month-End'!$AE$31="",$BN34,N('Month-End'!$AE$31))</f>
        <v/>
      </c>
      <c r="Q34">
        <f>IF('Month-End'!$AE$32="",$BO34,N('Month-End'!$AE$32))</f>
        <v/>
      </c>
      <c r="R34">
        <f>IF('Month-End'!$AE$33="",$BP34,N('Month-End'!$AE$33))</f>
        <v/>
      </c>
      <c r="S34">
        <f>$G34+$H34+$I34+$J34+$K34+$L34+$M34+$N34+$O34+$P34+$Q34+$R34</f>
        <v/>
      </c>
      <c r="T34">
        <f>IF($B34&lt;Settings!$B$6,0,IF(Settings!$B$45="Yes",$G34,0)+IF(Settings!$B$46="Yes",$H34,0)+IF(Settings!$B$47="Yes",$I34,0)+IF(Settings!$B$48="Yes",$J34,0)+IF(Settings!$B$49="Yes",$K34,0)+IF(Settings!$B$50="Yes",$L34,0)+IF(Settings!$B$51="Yes",$M34,0)+IF(Settings!$B$52="Yes",$N34,0)+IF(Settings!$B$53="Yes",$O34,0)+IF(Settings!$B$54="Yes",$P34,0)+IF(Settings!$B$55="Yes",$Q34,0)+IF(Settings!$B$56="Yes",$R34,0))</f>
        <v/>
      </c>
      <c r="U34">
        <f>IF(Settings!$B$45="Not Sure",$G34,0)+IF(Settings!$B$46="Not Sure",$H34,0)+IF(Settings!$B$47="Not Sure",$I34,0)+IF(Settings!$B$48="Not Sure",$J34,0)+IF(Settings!$B$49="Not Sure",$K34,0)+IF(Settings!$B$50="Not Sure",$L34,0)+IF(Settings!$B$51="Not Sure",$M34,0)+IF(Settings!$B$52="Not Sure",$N34,0)+IF(Settings!$B$53="Not Sure",$O34,0)+IF(Settings!$B$54="Not Sure",$P34,0)+IF(Settings!$B$55="Not Sure",$Q34,0)+IF(Settings!$B$56="Not Sure",$R34,0)</f>
        <v/>
      </c>
      <c r="V34">
        <f>IF($E34="open",SUM($ET34:$FE34)+N(Settings!$B$13),0)</f>
        <v/>
      </c>
      <c r="W34">
        <f>IF($E34="post",$S34,IF($E34="open",$S34-$V34,0))</f>
        <v/>
      </c>
      <c r="X34">
        <f>SUMIFS(Giving!$B$7:$B$2006,Giving!$A$7:$A$2006,"&gt;="&amp;$A34,Giving!$A$7:$A$2006,"&lt;="&amp;$B34,Giving!$E$7:$E$2006,"&lt;&gt;No")</f>
        <v/>
      </c>
      <c r="Y34">
        <f>SUMIFS(Giving!$B$7:$B$2006,Giving!$A$7:$A$2006,"&gt;="&amp;$A34,Giving!$A$7:$A$2006,"&lt;="&amp;$B34,Giving!$E$7:$E$2006,"No")</f>
        <v/>
      </c>
      <c r="Z34">
        <f>IF(OR(Settings!$B$60="",Settings!$F$60="No"),0,Settings!$B$60*IF(AND(IF(Settings!$C$60="",$B34,DATE(YEAR($A34),MONTH($A34),MIN(Settings!$C$60,DAY($B34))))&gt;=MAX($A34,Settings!$D$60),IF(Settings!$C$60="",$B34,DATE(YEAR($A34),MONTH($A34),MIN(Settings!$C$60,DAY($B34))))&lt;=MIN($C34,IF(Settings!$E$60="",$C34,Settings!$E$60))),1,0))+IF(OR(Settings!$B$61="",Settings!$F$61="No"),0,Settings!$B$61*IF(AND(IF(Settings!$C$61="",$B34,DATE(YEAR($A34),MONTH($A34),MIN(Settings!$C$61,DAY($B34))))&gt;=MAX($A34,Settings!$D$61),IF(Settings!$C$61="",$B34,DATE(YEAR($A34),MONTH($A34),MIN(Settings!$C$61,DAY($B34))))&lt;=MIN($C34,IF(Settings!$E$61="",$C34,Settings!$E$61))),1,0))+IF(OR(Settings!$B$62="",Settings!$F$62="No"),0,Settings!$B$62*IF(AND(IF(Settings!$C$62="",$B34,DATE(YEAR($A34),MONTH($A34),MIN(Settings!$C$62,DAY($B34))))&gt;=MAX($A34,Settings!$D$62),IF(Settings!$C$62="",$B34,DATE(YEAR($A34),MONTH($A34),MIN(Settings!$C$62,DAY($B34))))&lt;=MIN($C34,IF(Settings!$E$62="",$C34,Settings!$E$62))),1,0))+IF(OR(Settings!$B$63="",Settings!$F$63="No"),0,Settings!$B$63*IF(AND(IF(Settings!$C$63="",$B34,DATE(YEAR($A34),MONTH($A34),MIN(Settings!$C$63,DAY($B34))))&gt;=MAX($A34,Settings!$D$63),IF(Settings!$C$63="",$B34,DATE(YEAR($A34),MONTH($A34),MIN(Settings!$C$63,DAY($B34))))&lt;=MIN($C34,IF(Settings!$E$63="",$C34,Settings!$E$63))),1,0))+IF(OR(Settings!$B$64="",Settings!$F$64="No"),0,Settings!$B$64*IF(AND(IF(Settings!$C$64="",$B34,DATE(YEAR($A34),MONTH($A34),MIN(Settings!$C$64,DAY($B34))))&gt;=MAX($A34,Settings!$D$64),IF(Settings!$C$64="",$B34,DATE(YEAR($A34),MONTH($A34),MIN(Settings!$C$64,DAY($B34))))&lt;=MIN($C34,IF(Settings!$E$64="",$C34,Settings!$E$64))),1,0))+IF(OR(Settings!$B$65="",Settings!$F$65="No"),0,Settings!$B$65*IF(AND(IF(Settings!$C$65="",$B34,DATE(YEAR($A34),MONTH($A34),MIN(Settings!$C$65,DAY($B34))))&gt;=MAX($A34,Settings!$D$65),IF(Settings!$C$65="",$B34,DATE(YEAR($A34),MONTH($A34),MIN(Settings!$C$65,DAY($B34))))&lt;=MIN($C34,IF(Settings!$E$65="",$C34,Settings!$E$65))),1,0))</f>
        <v/>
      </c>
      <c r="AA34">
        <f>$X34+$Z34</f>
        <v/>
      </c>
      <c r="AB34">
        <f>IF($E34="post",$AA34,IF($E34="open",SUMIFS(Giving!$B$7:$B$2006,Giving!$A$7:$A$2006,"&gt;"&amp;Settings!$B$5,Giving!$A$7:$A$2006,"&lt;="&amp;$B34,Giving!$E$7:$E$2006,"&lt;&gt;No")+IF(OR(Settings!$B$60="",Settings!$F$60="No"),0,Settings!$B$60*IF(AND(IF(Settings!$C$60="",$B34,DATE(YEAR($A34),MONTH($A34),MIN(Settings!$C$60,DAY($B34))))&gt;=MAX($A34,Settings!$D$60,Settings!$B$5+1),IF(Settings!$C$60="",$B34,DATE(YEAR($A34),MONTH($A34),MIN(Settings!$C$60,DAY($B34))))&lt;=MIN($C34,IF(Settings!$E$60="",$C34,Settings!$E$60))),1,0))+IF(OR(Settings!$B$61="",Settings!$F$61="No"),0,Settings!$B$61*IF(AND(IF(Settings!$C$61="",$B34,DATE(YEAR($A34),MONTH($A34),MIN(Settings!$C$61,DAY($B34))))&gt;=MAX($A34,Settings!$D$61,Settings!$B$5+1),IF(Settings!$C$61="",$B34,DATE(YEAR($A34),MONTH($A34),MIN(Settings!$C$61,DAY($B34))))&lt;=MIN($C34,IF(Settings!$E$61="",$C34,Settings!$E$61))),1,0))+IF(OR(Settings!$B$62="",Settings!$F$62="No"),0,Settings!$B$62*IF(AND(IF(Settings!$C$62="",$B34,DATE(YEAR($A34),MONTH($A34),MIN(Settings!$C$62,DAY($B34))))&gt;=MAX($A34,Settings!$D$62,Settings!$B$5+1),IF(Settings!$C$62="",$B34,DATE(YEAR($A34),MONTH($A34),MIN(Settings!$C$62,DAY($B34))))&lt;=MIN($C34,IF(Settings!$E$62="",$C34,Settings!$E$62))),1,0))+IF(OR(Settings!$B$63="",Settings!$F$63="No"),0,Settings!$B$63*IF(AND(IF(Settings!$C$63="",$B34,DATE(YEAR($A34),MONTH($A34),MIN(Settings!$C$63,DAY($B34))))&gt;=MAX($A34,Settings!$D$63,Settings!$B$5+1),IF(Settings!$C$63="",$B34,DATE(YEAR($A34),MONTH($A34),MIN(Settings!$C$63,DAY($B34))))&lt;=MIN($C34,IF(Settings!$E$63="",$C34,Settings!$E$63))),1,0))+IF(OR(Settings!$B$64="",Settings!$F$64="No"),0,Settings!$B$64*IF(AND(IF(Settings!$C$64="",$B34,DATE(YEAR($A34),MONTH($A34),MIN(Settings!$C$64,DAY($B34))))&gt;=MAX($A34,Settings!$D$64,Settings!$B$5+1),IF(Settings!$C$64="",$B34,DATE(YEAR($A34),MONTH($A34),MIN(Settings!$C$64,DAY($B34))))&lt;=MIN($C34,IF(Settings!$E$64="",$C34,Settings!$E$64))),1,0))+IF(OR(Settings!$B$65="",Settings!$F$65="No"),0,Settings!$B$65*IF(AND(IF(Settings!$C$65="",$B34,DATE(YEAR($A34),MONTH($A34),MIN(Settings!$C$65,DAY($B34))))&gt;=MAX($A34,Settings!$D$65,Settings!$B$5+1),IF(Settings!$C$65="",$B34,DATE(YEAR($A34),MONTH($A34),MIN(Settings!$C$65,DAY($B34))))&lt;=MIN($C34,IF(Settings!$E$65="",$C34,Settings!$E$65))),1,0)),0))</f>
        <v/>
      </c>
      <c r="AC34">
        <f>$AY34+$AZ34+$BA34+$BB34+$BC34+$BD34</f>
        <v/>
      </c>
      <c r="AD34">
        <f>$AC34</f>
        <v/>
      </c>
      <c r="AE34">
        <f>IF(OR(Settings!$A$19="",$E34="pre"),"",IF(AND('Month-End'!$AE$7&lt;&gt;"",NOT(_xlfn.ISFORMULA('Month-End'!$AE$7))),N('Month-End'!$AE$7),IF(OR($E34="open",$E33="pre"),N(Settings!$C$19),N($AE33))))</f>
        <v/>
      </c>
      <c r="AF34">
        <f>IF(OR(Settings!$A$20="",$E34="pre"),"",IF(AND('Month-End'!$AE$8&lt;&gt;"",NOT(_xlfn.ISFORMULA('Month-End'!$AE$8))),N('Month-End'!$AE$8),IF(OR($E34="open",$E33="pre"),N(Settings!$C$20),N($AF33))))</f>
        <v/>
      </c>
      <c r="AG34">
        <f>IF(OR(Settings!$A$21="",$E34="pre"),"",IF(AND('Month-End'!$AE$9&lt;&gt;"",NOT(_xlfn.ISFORMULA('Month-End'!$AE$9))),N('Month-End'!$AE$9),IF(OR($E34="open",$E33="pre"),N(Settings!$C$21),N($AG33))))</f>
        <v/>
      </c>
      <c r="AH34">
        <f>IF(OR(Settings!$A$22="",$E34="pre"),"",IF(AND('Month-End'!$AE$10&lt;&gt;"",NOT(_xlfn.ISFORMULA('Month-End'!$AE$10))),N('Month-End'!$AE$10),IF(OR($E34="open",$E33="pre"),N(Settings!$C$22),N($AH33))))</f>
        <v/>
      </c>
      <c r="AI34">
        <f>IF(OR(Settings!$A$23="",$E34="pre"),"",IF(AND('Month-End'!$AE$11&lt;&gt;"",NOT(_xlfn.ISFORMULA('Month-End'!$AE$11))),N('Month-End'!$AE$11),IF(OR($E34="open",$E33="pre"),N(Settings!$C$23),N($AI33))))</f>
        <v/>
      </c>
      <c r="AJ34">
        <f>IF(OR(Settings!$A$24="",$E34="pre"),"",IF(AND('Month-End'!$AE$12&lt;&gt;"",NOT(_xlfn.ISFORMULA('Month-End'!$AE$12))),N('Month-End'!$AE$12),IF(OR($E34="open",$E33="pre"),N(Settings!$C$24),N($AJ33))))</f>
        <v/>
      </c>
      <c r="AK34">
        <f>IF(OR(Settings!$A$25="",$E34="pre"),"",IF(AND('Month-End'!$AE$13&lt;&gt;"",NOT(_xlfn.ISFORMULA('Month-End'!$AE$13))),N('Month-End'!$AE$13),IF(OR($E34="open",$E33="pre"),N(Settings!$C$25),N($AK33))))</f>
        <v/>
      </c>
      <c r="AL34">
        <f>IF(OR(Settings!$A$26="",$E34="pre"),"",IF(AND('Month-End'!$AE$14&lt;&gt;"",NOT(_xlfn.ISFORMULA('Month-End'!$AE$14))),N('Month-End'!$AE$14),IF(OR($E34="open",$E33="pre"),N(Settings!$C$26),N($AL33))))</f>
        <v/>
      </c>
      <c r="AM34">
        <f>IF(OR(Settings!$A$27="",$E34="pre"),"",IF(AND('Month-End'!$AE$15&lt;&gt;"",NOT(_xlfn.ISFORMULA('Month-End'!$AE$15))),N('Month-End'!$AE$15),IF(OR($E34="open",$E33="pre"),N(Settings!$C$27),N($AM33))))</f>
        <v/>
      </c>
      <c r="AN34">
        <f>IF(OR(Settings!$A$28="",$E34="pre"),"",IF(AND('Month-End'!$AE$16&lt;&gt;"",NOT(_xlfn.ISFORMULA('Month-End'!$AE$16))),N('Month-End'!$AE$16),IF(OR($E34="open",$E33="pre"),N(Settings!$C$28),N($AN33))))</f>
        <v/>
      </c>
      <c r="AO34">
        <f>IF(OR(Settings!$A$29="",$E34="pre"),"",IF(AND('Month-End'!$AE$17&lt;&gt;"",NOT(_xlfn.ISFORMULA('Month-End'!$AE$17))),N('Month-End'!$AE$17),IF(OR($E34="open",$E33="pre"),N(Settings!$C$29),N($AO33))))</f>
        <v/>
      </c>
      <c r="AP34">
        <f>IF(OR(Settings!$A$30="",$E34="pre"),"",IF(AND('Month-End'!$AE$18&lt;&gt;"",NOT(_xlfn.ISFORMULA('Month-End'!$AE$18))),N('Month-End'!$AE$18),IF(OR($E34="open",$E33="pre"),N(Settings!$C$30),N($AP33))))</f>
        <v/>
      </c>
      <c r="AQ34">
        <f>IF(OR(Settings!$A$31="",$E34="pre"),"",IF(AND('Month-End'!$AE$19&lt;&gt;"",NOT(_xlfn.ISFORMULA('Month-End'!$AE$19))),N('Month-End'!$AE$19),IF(OR($E34="open",$E33="pre"),N(Settings!$C$31),N($AQ33))))</f>
        <v/>
      </c>
      <c r="AR34">
        <f>IF(OR(Settings!$A$32="",$E34="pre"),"",IF(AND('Month-End'!$AE$20&lt;&gt;"",NOT(_xlfn.ISFORMULA('Month-End'!$AE$20))),N('Month-End'!$AE$20),IF(OR($E34="open",$E33="pre"),N(Settings!$C$32),N($AR33))))</f>
        <v/>
      </c>
      <c r="AS34">
        <f>IF(OR(Settings!$A$36="",$E34="pre"),"",IF(AND('Month-End'!$AE$38&lt;&gt;"",NOT(_xlfn.ISFORMULA('Month-End'!$AE$38))),N('Month-End'!$AE$38),IF(OR($E34="open",$E33="pre"),N(Settings!$C$36),N($AS33))+$AY34))</f>
        <v/>
      </c>
      <c r="AT34">
        <f>IF(OR(Settings!$A$37="",$E34="pre"),"",IF(AND('Month-End'!$AE$39&lt;&gt;"",NOT(_xlfn.ISFORMULA('Month-End'!$AE$39))),N('Month-End'!$AE$39),IF(OR($E34="open",$E33="pre"),N(Settings!$C$37),N($AT33))+$AZ34))</f>
        <v/>
      </c>
      <c r="AU34">
        <f>IF(OR(Settings!$A$38="",$E34="pre"),"",IF(AND('Month-End'!$AE$40&lt;&gt;"",NOT(_xlfn.ISFORMULA('Month-End'!$AE$40))),N('Month-End'!$AE$40),IF(OR($E34="open",$E33="pre"),N(Settings!$C$38),N($AU33))+$BA34))</f>
        <v/>
      </c>
      <c r="AV34">
        <f>IF(OR(Settings!$A$39="",$E34="pre"),"",IF(AND('Month-End'!$AE$41&lt;&gt;"",NOT(_xlfn.ISFORMULA('Month-End'!$AE$41))),N('Month-End'!$AE$41),IF(OR($E34="open",$E33="pre"),N(Settings!$C$39),N($AV33))+$BB34))</f>
        <v/>
      </c>
      <c r="AW34">
        <f>IF(OR(Settings!$A$40="",$E34="pre"),"",IF(AND('Month-End'!$AE$42&lt;&gt;"",NOT(_xlfn.ISFORMULA('Month-End'!$AE$42))),N('Month-End'!$AE$42),IF(OR($E34="open",$E33="pre"),N(Settings!$C$40),N($AW33))+$BC34))</f>
        <v/>
      </c>
      <c r="AX34">
        <f>IF(OR(Settings!$A$41="",$E34="pre"),"",IF(AND('Month-End'!$AE$43&lt;&gt;"",NOT(_xlfn.ISFORMULA('Month-End'!$AE$43))),N('Month-End'!$AE$43),IF(OR($E34="open",$E33="pre"),N(Settings!$C$41),N($AX33))+$BD34))</f>
        <v/>
      </c>
      <c r="AY34">
        <f>IF($E34="pre",0,N('Month-End'!$AE$45))</f>
        <v/>
      </c>
      <c r="AZ34">
        <f>IF($E34="pre",0,N('Month-End'!$AE$46))</f>
        <v/>
      </c>
      <c r="BA34">
        <f>IF($E34="pre",0,N('Month-End'!$AE$47))</f>
        <v/>
      </c>
      <c r="BB34">
        <f>IF($E34="pre",0,N('Month-End'!$AE$48))</f>
        <v/>
      </c>
      <c r="BC34">
        <f>IF($E34="pre",0,N('Month-End'!$AE$49))</f>
        <v/>
      </c>
      <c r="BD34">
        <f>IF($E34="pre",0,N('Month-End'!$AE$50))</f>
        <v/>
      </c>
      <c r="BE34">
        <f>IF(OR(Settings!$C$45="",Settings!$D$45=""),0,Settings!$C$45*IF(Settings!$D$45="Weekly",IF(IFERROR(MATCH(Settings!$E$45,$EO$4:$EO$10,0),0)=0,0,IF(MIN($C34,IF(Settings!$G$45="",$C34,Settings!$G$45))&lt;MAX($A34,Settings!$F$45),0,INT((MIN($C34,IF(Settings!$G$45="",$C34,Settings!$G$45))-MAX($A34,Settings!$F$45)-MOD(IFERROR(MATCH(Settings!$E$45,$EO$4:$EO$10,0),0)-WEEKDAY(MAX($A34,Settings!$F$45)),7))/7)+1)),IF(AND(IF(Settings!$E$45="",$B34,DATE(YEAR($A34),MONTH($A34),MIN(Settings!$E$45,DAY($B34))))&gt;=MAX($A34,Settings!$F$45),IF(Settings!$E$45="",$B34,DATE(YEAR($A34),MONTH($A34),MIN(Settings!$E$45,DAY($B34))))&lt;=MIN($C34,IF(Settings!$G$45="",$C34,Settings!$G$45))),1,0)))</f>
        <v/>
      </c>
      <c r="BF34">
        <f>IF(OR(Settings!$C$46="",Settings!$D$46=""),0,Settings!$C$46*IF(Settings!$D$46="Weekly",IF(IFERROR(MATCH(Settings!$E$46,$EO$4:$EO$10,0),0)=0,0,IF(MIN($C34,IF(Settings!$G$46="",$C34,Settings!$G$46))&lt;MAX($A34,Settings!$F$46),0,INT((MIN($C34,IF(Settings!$G$46="",$C34,Settings!$G$46))-MAX($A34,Settings!$F$46)-MOD(IFERROR(MATCH(Settings!$E$46,$EO$4:$EO$10,0),0)-WEEKDAY(MAX($A34,Settings!$F$46)),7))/7)+1)),IF(AND(IF(Settings!$E$46="",$B34,DATE(YEAR($A34),MONTH($A34),MIN(Settings!$E$46,DAY($B34))))&gt;=MAX($A34,Settings!$F$46),IF(Settings!$E$46="",$B34,DATE(YEAR($A34),MONTH($A34),MIN(Settings!$E$46,DAY($B34))))&lt;=MIN($C34,IF(Settings!$G$46="",$C34,Settings!$G$46))),1,0)))</f>
        <v/>
      </c>
      <c r="BG34">
        <f>IF(OR(Settings!$C$47="",Settings!$D$47=""),0,Settings!$C$47*IF(Settings!$D$47="Weekly",IF(IFERROR(MATCH(Settings!$E$47,$EO$4:$EO$10,0),0)=0,0,IF(MIN($C34,IF(Settings!$G$47="",$C34,Settings!$G$47))&lt;MAX($A34,Settings!$F$47),0,INT((MIN($C34,IF(Settings!$G$47="",$C34,Settings!$G$47))-MAX($A34,Settings!$F$47)-MOD(IFERROR(MATCH(Settings!$E$47,$EO$4:$EO$10,0),0)-WEEKDAY(MAX($A34,Settings!$F$47)),7))/7)+1)),IF(AND(IF(Settings!$E$47="",$B34,DATE(YEAR($A34),MONTH($A34),MIN(Settings!$E$47,DAY($B34))))&gt;=MAX($A34,Settings!$F$47),IF(Settings!$E$47="",$B34,DATE(YEAR($A34),MONTH($A34),MIN(Settings!$E$47,DAY($B34))))&lt;=MIN($C34,IF(Settings!$G$47="",$C34,Settings!$G$47))),1,0)))</f>
        <v/>
      </c>
      <c r="BH34">
        <f>IF(OR(Settings!$C$48="",Settings!$D$48=""),0,Settings!$C$48*IF(Settings!$D$48="Weekly",IF(IFERROR(MATCH(Settings!$E$48,$EO$4:$EO$10,0),0)=0,0,IF(MIN($C34,IF(Settings!$G$48="",$C34,Settings!$G$48))&lt;MAX($A34,Settings!$F$48),0,INT((MIN($C34,IF(Settings!$G$48="",$C34,Settings!$G$48))-MAX($A34,Settings!$F$48)-MOD(IFERROR(MATCH(Settings!$E$48,$EO$4:$EO$10,0),0)-WEEKDAY(MAX($A34,Settings!$F$48)),7))/7)+1)),IF(AND(IF(Settings!$E$48="",$B34,DATE(YEAR($A34),MONTH($A34),MIN(Settings!$E$48,DAY($B34))))&gt;=MAX($A34,Settings!$F$48),IF(Settings!$E$48="",$B34,DATE(YEAR($A34),MONTH($A34),MIN(Settings!$E$48,DAY($B34))))&lt;=MIN($C34,IF(Settings!$G$48="",$C34,Settings!$G$48))),1,0)))</f>
        <v/>
      </c>
      <c r="BI34">
        <f>IF(OR(Settings!$C$49="",Settings!$D$49=""),0,Settings!$C$49*IF(Settings!$D$49="Weekly",IF(IFERROR(MATCH(Settings!$E$49,$EO$4:$EO$10,0),0)=0,0,IF(MIN($C34,IF(Settings!$G$49="",$C34,Settings!$G$49))&lt;MAX($A34,Settings!$F$49),0,INT((MIN($C34,IF(Settings!$G$49="",$C34,Settings!$G$49))-MAX($A34,Settings!$F$49)-MOD(IFERROR(MATCH(Settings!$E$49,$EO$4:$EO$10,0),0)-WEEKDAY(MAX($A34,Settings!$F$49)),7))/7)+1)),IF(AND(IF(Settings!$E$49="",$B34,DATE(YEAR($A34),MONTH($A34),MIN(Settings!$E$49,DAY($B34))))&gt;=MAX($A34,Settings!$F$49),IF(Settings!$E$49="",$B34,DATE(YEAR($A34),MONTH($A34),MIN(Settings!$E$49,DAY($B34))))&lt;=MIN($C34,IF(Settings!$G$49="",$C34,Settings!$G$49))),1,0)))</f>
        <v/>
      </c>
      <c r="BJ34">
        <f>IF(OR(Settings!$C$50="",Settings!$D$50=""),0,Settings!$C$50*IF(Settings!$D$50="Weekly",IF(IFERROR(MATCH(Settings!$E$50,$EO$4:$EO$10,0),0)=0,0,IF(MIN($C34,IF(Settings!$G$50="",$C34,Settings!$G$50))&lt;MAX($A34,Settings!$F$50),0,INT((MIN($C34,IF(Settings!$G$50="",$C34,Settings!$G$50))-MAX($A34,Settings!$F$50)-MOD(IFERROR(MATCH(Settings!$E$50,$EO$4:$EO$10,0),0)-WEEKDAY(MAX($A34,Settings!$F$50)),7))/7)+1)),IF(AND(IF(Settings!$E$50="",$B34,DATE(YEAR($A34),MONTH($A34),MIN(Settings!$E$50,DAY($B34))))&gt;=MAX($A34,Settings!$F$50),IF(Settings!$E$50="",$B34,DATE(YEAR($A34),MONTH($A34),MIN(Settings!$E$50,DAY($B34))))&lt;=MIN($C34,IF(Settings!$G$50="",$C34,Settings!$G$50))),1,0)))</f>
        <v/>
      </c>
      <c r="BK34">
        <f>IF(OR(Settings!$C$51="",Settings!$D$51=""),0,Settings!$C$51*IF(Settings!$D$51="Weekly",IF(IFERROR(MATCH(Settings!$E$51,$EO$4:$EO$10,0),0)=0,0,IF(MIN($C34,IF(Settings!$G$51="",$C34,Settings!$G$51))&lt;MAX($A34,Settings!$F$51),0,INT((MIN($C34,IF(Settings!$G$51="",$C34,Settings!$G$51))-MAX($A34,Settings!$F$51)-MOD(IFERROR(MATCH(Settings!$E$51,$EO$4:$EO$10,0),0)-WEEKDAY(MAX($A34,Settings!$F$51)),7))/7)+1)),IF(AND(IF(Settings!$E$51="",$B34,DATE(YEAR($A34),MONTH($A34),MIN(Settings!$E$51,DAY($B34))))&gt;=MAX($A34,Settings!$F$51),IF(Settings!$E$51="",$B34,DATE(YEAR($A34),MONTH($A34),MIN(Settings!$E$51,DAY($B34))))&lt;=MIN($C34,IF(Settings!$G$51="",$C34,Settings!$G$51))),1,0)))</f>
        <v/>
      </c>
      <c r="BL34">
        <f>IF(OR(Settings!$C$52="",Settings!$D$52=""),0,Settings!$C$52*IF(Settings!$D$52="Weekly",IF(IFERROR(MATCH(Settings!$E$52,$EO$4:$EO$10,0),0)=0,0,IF(MIN($C34,IF(Settings!$G$52="",$C34,Settings!$G$52))&lt;MAX($A34,Settings!$F$52),0,INT((MIN($C34,IF(Settings!$G$52="",$C34,Settings!$G$52))-MAX($A34,Settings!$F$52)-MOD(IFERROR(MATCH(Settings!$E$52,$EO$4:$EO$10,0),0)-WEEKDAY(MAX($A34,Settings!$F$52)),7))/7)+1)),IF(AND(IF(Settings!$E$52="",$B34,DATE(YEAR($A34),MONTH($A34),MIN(Settings!$E$52,DAY($B34))))&gt;=MAX($A34,Settings!$F$52),IF(Settings!$E$52="",$B34,DATE(YEAR($A34),MONTH($A34),MIN(Settings!$E$52,DAY($B34))))&lt;=MIN($C34,IF(Settings!$G$52="",$C34,Settings!$G$52))),1,0)))</f>
        <v/>
      </c>
      <c r="BM34">
        <f>IF(OR(Settings!$C$53="",Settings!$D$53=""),0,Settings!$C$53*IF(Settings!$D$53="Weekly",IF(IFERROR(MATCH(Settings!$E$53,$EO$4:$EO$10,0),0)=0,0,IF(MIN($C34,IF(Settings!$G$53="",$C34,Settings!$G$53))&lt;MAX($A34,Settings!$F$53),0,INT((MIN($C34,IF(Settings!$G$53="",$C34,Settings!$G$53))-MAX($A34,Settings!$F$53)-MOD(IFERROR(MATCH(Settings!$E$53,$EO$4:$EO$10,0),0)-WEEKDAY(MAX($A34,Settings!$F$53)),7))/7)+1)),IF(AND(IF(Settings!$E$53="",$B34,DATE(YEAR($A34),MONTH($A34),MIN(Settings!$E$53,DAY($B34))))&gt;=MAX($A34,Settings!$F$53),IF(Settings!$E$53="",$B34,DATE(YEAR($A34),MONTH($A34),MIN(Settings!$E$53,DAY($B34))))&lt;=MIN($C34,IF(Settings!$G$53="",$C34,Settings!$G$53))),1,0)))</f>
        <v/>
      </c>
      <c r="BN34">
        <f>IF(OR(Settings!$C$54="",Settings!$D$54=""),0,Settings!$C$54*IF(Settings!$D$54="Weekly",IF(IFERROR(MATCH(Settings!$E$54,$EO$4:$EO$10,0),0)=0,0,IF(MIN($C34,IF(Settings!$G$54="",$C34,Settings!$G$54))&lt;MAX($A34,Settings!$F$54),0,INT((MIN($C34,IF(Settings!$G$54="",$C34,Settings!$G$54))-MAX($A34,Settings!$F$54)-MOD(IFERROR(MATCH(Settings!$E$54,$EO$4:$EO$10,0),0)-WEEKDAY(MAX($A34,Settings!$F$54)),7))/7)+1)),IF(AND(IF(Settings!$E$54="",$B34,DATE(YEAR($A34),MONTH($A34),MIN(Settings!$E$54,DAY($B34))))&gt;=MAX($A34,Settings!$F$54),IF(Settings!$E$54="",$B34,DATE(YEAR($A34),MONTH($A34),MIN(Settings!$E$54,DAY($B34))))&lt;=MIN($C34,IF(Settings!$G$54="",$C34,Settings!$G$54))),1,0)))</f>
        <v/>
      </c>
      <c r="BO34">
        <f>IF(OR(Settings!$C$55="",Settings!$D$55=""),0,Settings!$C$55*IF(Settings!$D$55="Weekly",IF(IFERROR(MATCH(Settings!$E$55,$EO$4:$EO$10,0),0)=0,0,IF(MIN($C34,IF(Settings!$G$55="",$C34,Settings!$G$55))&lt;MAX($A34,Settings!$F$55),0,INT((MIN($C34,IF(Settings!$G$55="",$C34,Settings!$G$55))-MAX($A34,Settings!$F$55)-MOD(IFERROR(MATCH(Settings!$E$55,$EO$4:$EO$10,0),0)-WEEKDAY(MAX($A34,Settings!$F$55)),7))/7)+1)),IF(AND(IF(Settings!$E$55="",$B34,DATE(YEAR($A34),MONTH($A34),MIN(Settings!$E$55,DAY($B34))))&gt;=MAX($A34,Settings!$F$55),IF(Settings!$E$55="",$B34,DATE(YEAR($A34),MONTH($A34),MIN(Settings!$E$55,DAY($B34))))&lt;=MIN($C34,IF(Settings!$G$55="",$C34,Settings!$G$55))),1,0)))</f>
        <v/>
      </c>
      <c r="BP34">
        <f>IF(OR(Settings!$C$56="",Settings!$D$56=""),0,Settings!$C$56*IF(Settings!$D$56="Weekly",IF(IFERROR(MATCH(Settings!$E$56,$EO$4:$EO$10,0),0)=0,0,IF(MIN($C34,IF(Settings!$G$56="",$C34,Settings!$G$56))&lt;MAX($A34,Settings!$F$56),0,INT((MIN($C34,IF(Settings!$G$56="",$C34,Settings!$G$56))-MAX($A34,Settings!$F$56)-MOD(IFERROR(MATCH(Settings!$E$56,$EO$4:$EO$10,0),0)-WEEKDAY(MAX($A34,Settings!$F$56)),7))/7)+1)),IF(AND(IF(Settings!$E$56="",$B34,DATE(YEAR($A34),MONTH($A34),MIN(Settings!$E$56,DAY($B34))))&gt;=MAX($A34,Settings!$F$56),IF(Settings!$E$56="",$B34,DATE(YEAR($A34),MONTH($A34),MIN(Settings!$E$56,DAY($B34))))&lt;=MIN($C34,IF(Settings!$G$56="",$C34,Settings!$G$56))),1,0)))</f>
        <v/>
      </c>
      <c r="BQ34">
        <f>IF(OR(Settings!$B$14="",$D34=1,$E34="pre",$A34&lt;IF(Settings!$B$15="",0,Settings!$B$15)),0,Settings!$B$14)</f>
        <v/>
      </c>
      <c r="BR34">
        <f>IF(AND('Month-End'!$AE$7&lt;&gt;"",NOT(_xlfn.ISFORMULA('Month-End'!$AE$7))),1,0)</f>
        <v/>
      </c>
      <c r="BS34">
        <f>IF(AND('Month-End'!$AE$8&lt;&gt;"",NOT(_xlfn.ISFORMULA('Month-End'!$AE$8))),1,0)</f>
        <v/>
      </c>
      <c r="BT34">
        <f>IF(AND('Month-End'!$AE$9&lt;&gt;"",NOT(_xlfn.ISFORMULA('Month-End'!$AE$9))),1,0)</f>
        <v/>
      </c>
      <c r="BU34">
        <f>IF(AND('Month-End'!$AE$10&lt;&gt;"",NOT(_xlfn.ISFORMULA('Month-End'!$AE$10))),1,0)</f>
        <v/>
      </c>
      <c r="BV34">
        <f>IF(AND('Month-End'!$AE$11&lt;&gt;"",NOT(_xlfn.ISFORMULA('Month-End'!$AE$11))),1,0)</f>
        <v/>
      </c>
      <c r="BW34">
        <f>IF(AND('Month-End'!$AE$12&lt;&gt;"",NOT(_xlfn.ISFORMULA('Month-End'!$AE$12))),1,0)</f>
        <v/>
      </c>
      <c r="BX34">
        <f>IF(AND('Month-End'!$AE$13&lt;&gt;"",NOT(_xlfn.ISFORMULA('Month-End'!$AE$13))),1,0)</f>
        <v/>
      </c>
      <c r="BY34">
        <f>IF(AND('Month-End'!$AE$14&lt;&gt;"",NOT(_xlfn.ISFORMULA('Month-End'!$AE$14))),1,0)</f>
        <v/>
      </c>
      <c r="BZ34">
        <f>IF(AND('Month-End'!$AE$15&lt;&gt;"",NOT(_xlfn.ISFORMULA('Month-End'!$AE$15))),1,0)</f>
        <v/>
      </c>
      <c r="CA34">
        <f>IF(AND('Month-End'!$AE$16&lt;&gt;"",NOT(_xlfn.ISFORMULA('Month-End'!$AE$16))),1,0)</f>
        <v/>
      </c>
      <c r="CB34">
        <f>IF(AND('Month-End'!$AE$17&lt;&gt;"",NOT(_xlfn.ISFORMULA('Month-End'!$AE$17))),1,0)</f>
        <v/>
      </c>
      <c r="CC34">
        <f>IF(AND('Month-End'!$AE$18&lt;&gt;"",NOT(_xlfn.ISFORMULA('Month-End'!$AE$18))),1,0)</f>
        <v/>
      </c>
      <c r="CD34">
        <f>IF(AND('Month-End'!$AE$19&lt;&gt;"",NOT(_xlfn.ISFORMULA('Month-End'!$AE$19))),1,0)</f>
        <v/>
      </c>
      <c r="CE34">
        <f>IF(AND('Month-End'!$AE$20&lt;&gt;"",NOT(_xlfn.ISFORMULA('Month-End'!$AE$20))),1,0)</f>
        <v/>
      </c>
      <c r="CF34">
        <f>IF(AND('Month-End'!$AE$38&lt;&gt;"",NOT(_xlfn.ISFORMULA('Month-End'!$AE$38))),1,0)</f>
        <v/>
      </c>
      <c r="CG34">
        <f>IF(AND('Month-End'!$AE$39&lt;&gt;"",NOT(_xlfn.ISFORMULA('Month-End'!$AE$39))),1,0)</f>
        <v/>
      </c>
      <c r="CH34">
        <f>IF(AND('Month-End'!$AE$40&lt;&gt;"",NOT(_xlfn.ISFORMULA('Month-End'!$AE$40))),1,0)</f>
        <v/>
      </c>
      <c r="CI34">
        <f>IF(AND('Month-End'!$AE$41&lt;&gt;"",NOT(_xlfn.ISFORMULA('Month-End'!$AE$41))),1,0)</f>
        <v/>
      </c>
      <c r="CJ34">
        <f>IF(AND('Month-End'!$AE$42&lt;&gt;"",NOT(_xlfn.ISFORMULA('Month-End'!$AE$42))),1,0)</f>
        <v/>
      </c>
      <c r="CK34">
        <f>IF(AND('Month-End'!$AE$43&lt;&gt;"",NOT(_xlfn.ISFORMULA('Month-End'!$AE$43))),1,0)</f>
        <v/>
      </c>
      <c r="CL34">
        <f>SUM($CM34:$CZ34)</f>
        <v/>
      </c>
      <c r="CM34">
        <f>IF(AND($E34&lt;&gt;"pre",AND(Settings!$A$19&lt;&gt;"",Settings!$E$19&lt;&gt;"No"),Settings!$F$19="Yes",NOT(AND('Month-End'!$AE$7&lt;&gt;"",NOT(_xlfn.ISFORMULA('Month-End'!$AE$7))))),1,0)</f>
        <v/>
      </c>
      <c r="CN34">
        <f>IF(AND($E34&lt;&gt;"pre",AND(Settings!$A$20&lt;&gt;"",Settings!$E$20&lt;&gt;"No"),Settings!$F$20="Yes",NOT(AND('Month-End'!$AE$8&lt;&gt;"",NOT(_xlfn.ISFORMULA('Month-End'!$AE$8))))),1,0)</f>
        <v/>
      </c>
      <c r="CO34">
        <f>IF(AND($E34&lt;&gt;"pre",AND(Settings!$A$21&lt;&gt;"",Settings!$E$21&lt;&gt;"No"),Settings!$F$21="Yes",NOT(AND('Month-End'!$AE$9&lt;&gt;"",NOT(_xlfn.ISFORMULA('Month-End'!$AE$9))))),1,0)</f>
        <v/>
      </c>
      <c r="CP34">
        <f>IF(AND($E34&lt;&gt;"pre",AND(Settings!$A$22&lt;&gt;"",Settings!$E$22&lt;&gt;"No"),Settings!$F$22="Yes",NOT(AND('Month-End'!$AE$10&lt;&gt;"",NOT(_xlfn.ISFORMULA('Month-End'!$AE$10))))),1,0)</f>
        <v/>
      </c>
      <c r="CQ34">
        <f>IF(AND($E34&lt;&gt;"pre",AND(Settings!$A$23&lt;&gt;"",Settings!$E$23&lt;&gt;"No"),Settings!$F$23="Yes",NOT(AND('Month-End'!$AE$11&lt;&gt;"",NOT(_xlfn.ISFORMULA('Month-End'!$AE$11))))),1,0)</f>
        <v/>
      </c>
      <c r="CR34">
        <f>IF(AND($E34&lt;&gt;"pre",AND(Settings!$A$24&lt;&gt;"",Settings!$E$24&lt;&gt;"No"),Settings!$F$24="Yes",NOT(AND('Month-End'!$AE$12&lt;&gt;"",NOT(_xlfn.ISFORMULA('Month-End'!$AE$12))))),1,0)</f>
        <v/>
      </c>
      <c r="CS34">
        <f>IF(AND($E34&lt;&gt;"pre",AND(Settings!$A$25&lt;&gt;"",Settings!$E$25&lt;&gt;"No"),Settings!$F$25="Yes",NOT(AND('Month-End'!$AE$13&lt;&gt;"",NOT(_xlfn.ISFORMULA('Month-End'!$AE$13))))),1,0)</f>
        <v/>
      </c>
      <c r="CT34">
        <f>IF(AND($E34&lt;&gt;"pre",AND(Settings!$A$26&lt;&gt;"",Settings!$E$26&lt;&gt;"No"),Settings!$F$26="Yes",NOT(AND('Month-End'!$AE$14&lt;&gt;"",NOT(_xlfn.ISFORMULA('Month-End'!$AE$14))))),1,0)</f>
        <v/>
      </c>
      <c r="CU34">
        <f>IF(AND($E34&lt;&gt;"pre",AND(Settings!$A$27&lt;&gt;"",Settings!$E$27&lt;&gt;"No"),Settings!$F$27="Yes",NOT(AND('Month-End'!$AE$15&lt;&gt;"",NOT(_xlfn.ISFORMULA('Month-End'!$AE$15))))),1,0)</f>
        <v/>
      </c>
      <c r="CV34">
        <f>IF(AND($E34&lt;&gt;"pre",AND(Settings!$A$28&lt;&gt;"",Settings!$E$28&lt;&gt;"No"),Settings!$F$28="Yes",NOT(AND('Month-End'!$AE$16&lt;&gt;"",NOT(_xlfn.ISFORMULA('Month-End'!$AE$16))))),1,0)</f>
        <v/>
      </c>
      <c r="CW34">
        <f>IF(AND($E34&lt;&gt;"pre",AND(Settings!$A$29&lt;&gt;"",Settings!$E$29&lt;&gt;"No"),Settings!$F$29="Yes",NOT(AND('Month-End'!$AE$17&lt;&gt;"",NOT(_xlfn.ISFORMULA('Month-End'!$AE$17))))),1,0)</f>
        <v/>
      </c>
      <c r="CX34">
        <f>IF(AND($E34&lt;&gt;"pre",AND(Settings!$A$30&lt;&gt;"",Settings!$E$30&lt;&gt;"No"),Settings!$F$30="Yes",NOT(AND('Month-End'!$AE$18&lt;&gt;"",NOT(_xlfn.ISFORMULA('Month-End'!$AE$18))))),1,0)</f>
        <v/>
      </c>
      <c r="CY34">
        <f>IF(AND($E34&lt;&gt;"pre",AND(Settings!$A$31&lt;&gt;"",Settings!$E$31&lt;&gt;"No"),Settings!$F$31="Yes",NOT(AND('Month-End'!$AE$19&lt;&gt;"",NOT(_xlfn.ISFORMULA('Month-End'!$AE$19))))),1,0)</f>
        <v/>
      </c>
      <c r="CZ34">
        <f>IF(AND($E34&lt;&gt;"pre",AND(Settings!$A$32&lt;&gt;"",Settings!$E$32&lt;&gt;"No"),Settings!$F$32="Yes",NOT(AND('Month-End'!$AE$20&lt;&gt;"",NOT(_xlfn.ISFORMULA('Month-End'!$AE$20))))),1,0)</f>
        <v/>
      </c>
      <c r="DA34">
        <f>IF($DT34=1,IF(OR(Settings!$B$19="Checking",Settings!$B$19="Savings",Settings!$B$19="Cash"),N($AE34),IF(OR(Settings!$B$19="Card",Settings!$B$19="Loan"),-N($AE34),0))+IF(OR(Settings!$B$20="Checking",Settings!$B$20="Savings",Settings!$B$20="Cash"),N($AF34),IF(OR(Settings!$B$20="Card",Settings!$B$20="Loan"),-N($AF34),0))+IF(OR(Settings!$B$21="Checking",Settings!$B$21="Savings",Settings!$B$21="Cash"),N($AG34),IF(OR(Settings!$B$21="Card",Settings!$B$21="Loan"),-N($AG34),0))+IF(OR(Settings!$B$22="Checking",Settings!$B$22="Savings",Settings!$B$22="Cash"),N($AH34),IF(OR(Settings!$B$22="Card",Settings!$B$22="Loan"),-N($AH34),0))+IF(OR(Settings!$B$23="Checking",Settings!$B$23="Savings",Settings!$B$23="Cash"),N($AI34),IF(OR(Settings!$B$23="Card",Settings!$B$23="Loan"),-N($AI34),0))+IF(OR(Settings!$B$24="Checking",Settings!$B$24="Savings",Settings!$B$24="Cash"),N($AJ34),IF(OR(Settings!$B$24="Card",Settings!$B$24="Loan"),-N($AJ34),0))+IF(OR(Settings!$B$25="Checking",Settings!$B$25="Savings",Settings!$B$25="Cash"),N($AK34),IF(OR(Settings!$B$25="Card",Settings!$B$25="Loan"),-N($AK34),0))+IF(OR(Settings!$B$26="Checking",Settings!$B$26="Savings",Settings!$B$26="Cash"),N($AL34),IF(OR(Settings!$B$26="Card",Settings!$B$26="Loan"),-N($AL34),0))+IF(OR(Settings!$B$27="Checking",Settings!$B$27="Savings",Settings!$B$27="Cash"),N($AM34),IF(OR(Settings!$B$27="Card",Settings!$B$27="Loan"),-N($AM34),0))+IF(OR(Settings!$B$28="Checking",Settings!$B$28="Savings",Settings!$B$28="Cash"),N($AN34),IF(OR(Settings!$B$28="Card",Settings!$B$28="Loan"),-N($AN34),0))+IF(OR(Settings!$B$29="Checking",Settings!$B$29="Savings",Settings!$B$29="Cash"),N($AO34),IF(OR(Settings!$B$29="Card",Settings!$B$29="Loan"),-N($AO34),0))+IF(OR(Settings!$B$30="Checking",Settings!$B$30="Savings",Settings!$B$30="Cash"),N($AP34),IF(OR(Settings!$B$30="Card",Settings!$B$30="Loan"),-N($AP34),0))+IF(OR(Settings!$B$31="Checking",Settings!$B$31="Savings",Settings!$B$31="Cash"),N($AQ34),IF(OR(Settings!$B$31="Card",Settings!$B$31="Loan"),-N($AQ34),0))+IF(OR(Settings!$B$32="Checking",Settings!$B$32="Savings",Settings!$B$32="Cash"),N($AR34),IF(OR(Settings!$B$32="Card",Settings!$B$32="Loan"),-N($AR34),0)),"")</f>
        <v/>
      </c>
      <c r="DB34">
        <f>IF($E34="open",$EB$27,IF($E34="post",IF($E33="pre",$EB$27,$DA33),""))</f>
        <v/>
      </c>
      <c r="DC34">
        <f>IF($E34="open",1,IF($E34="post",IF($E33="pre",1,$DT33),0))</f>
        <v/>
      </c>
      <c r="DD34">
        <f>IF(AND($DT34=1,$DC34=1),ROUND($W34-($DA34-$DB34)-$AD34-$AB34,2),"")</f>
        <v/>
      </c>
      <c r="DE34">
        <f>IF('Month-End'!$AE$35="",$BQ34,N('Month-End'!$AE$35))</f>
        <v/>
      </c>
      <c r="DF34">
        <f>N('Month-End'!$AE$36)</f>
        <v/>
      </c>
      <c r="DG34">
        <f>IF($DD34="","",$DD34+$DE34)</f>
        <v/>
      </c>
      <c r="DH34">
        <f>IF($DG34="","",$DG34-$DF34)</f>
        <v/>
      </c>
      <c r="DI34">
        <f>IF(OR($E34="pre",$D34=1),"",N($AS34)+N($AT34)+N($AU34)+N($AV34)+N($AW34)+N($AX34))</f>
        <v/>
      </c>
      <c r="DJ34">
        <f>IF($DT34=1,$DA34+N($DI34),"")</f>
        <v/>
      </c>
      <c r="DK34">
        <f>IF($DD34="","",$W34-$DD34-$AB34)</f>
        <v/>
      </c>
      <c r="DL34">
        <f>IF(AND($E34="post",$DD34&lt;&gt;"",$B34&lt;TODAY()),1,0)</f>
        <v/>
      </c>
      <c r="DM34">
        <f>IF($DL34=1,COUNTIF($DL34:$DL$183,1),0)</f>
        <v/>
      </c>
      <c r="DN34">
        <f>IF($D34=1,"",IF($E34="pre","History only",IF($DT34=1,IF($DD34="","⚠ Previous month missing",IF($DD34&lt;0,"⚠ Check: spending &lt; 0",IF($E34="open","✓ Done (partial)","✓ Done"))),IF($B34&gt;=TODAY(),"In progress","⚠ Needs balances"))))</f>
        <v/>
      </c>
      <c r="DO34">
        <f>YEAR($A34)</f>
        <v/>
      </c>
      <c r="DP34">
        <f>DATE(YEAR($A34),INT((MONTH($A34)-1)/3)*3+1,1)</f>
        <v/>
      </c>
      <c r="DQ34">
        <f>IF(AND($DT34=1,$DD34&lt;&gt;"",$D34=0),ROW(),0)</f>
        <v/>
      </c>
      <c r="DR34">
        <f>IF(AND($E34&lt;&gt;"pre",$B34&lt;TODAY(),$DT34=0),1,0)</f>
        <v/>
      </c>
      <c r="DS34">
        <f>IF($DJ34="",NA(),$DJ34)</f>
        <v/>
      </c>
      <c r="DT34">
        <f>IF(AND($E34&lt;&gt;"pre",$CL34=0,COUNTIFS(Settings!$F$19:$F$32,"Yes",Settings!$A$19:$A$32,"&lt;&gt;",Settings!$E$19:$E$32,"&lt;&gt;No")&gt;0),1,0)</f>
        <v/>
      </c>
      <c r="DU34">
        <f>IF(AND($B34&lt;TODAY(),$S34&gt;0),1,0)</f>
        <v/>
      </c>
      <c r="DV34">
        <f>IF($DU34=1,COUNTIF($DU34:$DU$183,1),0)</f>
        <v/>
      </c>
      <c r="DW34">
        <f>IF(AND(OR(Settings!$B$19="Card",Settings!$B$19="Loan"),AND('Month-End'!$AE$7&lt;&gt;"",NOT(_xlfn.ISFORMULA('Month-End'!$AE$7)))),IF(N('Month-End'!$AE$7)&lt;0,1,0),0)+IF(AND(OR(Settings!$B$20="Card",Settings!$B$20="Loan"),AND('Month-End'!$AE$8&lt;&gt;"",NOT(_xlfn.ISFORMULA('Month-End'!$AE$8)))),IF(N('Month-End'!$AE$8)&lt;0,1,0),0)+IF(AND(OR(Settings!$B$21="Card",Settings!$B$21="Loan"),AND('Month-End'!$AE$9&lt;&gt;"",NOT(_xlfn.ISFORMULA('Month-End'!$AE$9)))),IF(N('Month-End'!$AE$9)&lt;0,1,0),0)+IF(AND(OR(Settings!$B$22="Card",Settings!$B$22="Loan"),AND('Month-End'!$AE$10&lt;&gt;"",NOT(_xlfn.ISFORMULA('Month-End'!$AE$10)))),IF(N('Month-End'!$AE$10)&lt;0,1,0),0)+IF(AND(OR(Settings!$B$23="Card",Settings!$B$23="Loan"),AND('Month-End'!$AE$11&lt;&gt;"",NOT(_xlfn.ISFORMULA('Month-End'!$AE$11)))),IF(N('Month-End'!$AE$11)&lt;0,1,0),0)+IF(AND(OR(Settings!$B$24="Card",Settings!$B$24="Loan"),AND('Month-End'!$AE$12&lt;&gt;"",NOT(_xlfn.ISFORMULA('Month-End'!$AE$12)))),IF(N('Month-End'!$AE$12)&lt;0,1,0),0)+IF(AND(OR(Settings!$B$25="Card",Settings!$B$25="Loan"),AND('Month-End'!$AE$13&lt;&gt;"",NOT(_xlfn.ISFORMULA('Month-End'!$AE$13)))),IF(N('Month-End'!$AE$13)&lt;0,1,0),0)+IF(AND(OR(Settings!$B$26="Card",Settings!$B$26="Loan"),AND('Month-End'!$AE$14&lt;&gt;"",NOT(_xlfn.ISFORMULA('Month-End'!$AE$14)))),IF(N('Month-End'!$AE$14)&lt;0,1,0),0)+IF(AND(OR(Settings!$B$27="Card",Settings!$B$27="Loan"),AND('Month-End'!$AE$15&lt;&gt;"",NOT(_xlfn.ISFORMULA('Month-End'!$AE$15)))),IF(N('Month-End'!$AE$15)&lt;0,1,0),0)+IF(AND(OR(Settings!$B$28="Card",Settings!$B$28="Loan"),AND('Month-End'!$AE$16&lt;&gt;"",NOT(_xlfn.ISFORMULA('Month-End'!$AE$16)))),IF(N('Month-End'!$AE$16)&lt;0,1,0),0)+IF(AND(OR(Settings!$B$29="Card",Settings!$B$29="Loan"),AND('Month-End'!$AE$17&lt;&gt;"",NOT(_xlfn.ISFORMULA('Month-End'!$AE$17)))),IF(N('Month-End'!$AE$17)&lt;0,1,0),0)+IF(AND(OR(Settings!$B$30="Card",Settings!$B$30="Loan"),AND('Month-End'!$AE$18&lt;&gt;"",NOT(_xlfn.ISFORMULA('Month-End'!$AE$18)))),IF(N('Month-End'!$AE$18)&lt;0,1,0),0)+IF(AND(OR(Settings!$B$31="Card",Settings!$B$31="Loan"),AND('Month-End'!$AE$19&lt;&gt;"",NOT(_xlfn.ISFORMULA('Month-End'!$AE$19)))),IF(N('Month-End'!$AE$19)&lt;0,1,0),0)+IF(AND(OR(Settings!$B$32="Card",Settings!$B$32="Loan"),AND('Month-End'!$AE$20&lt;&gt;"",NOT(_xlfn.ISFORMULA('Month-End'!$AE$20)))),IF(N('Month-End'!$AE$20)&lt;0,1,0),0)</f>
        <v/>
      </c>
      <c r="DX34">
        <f>IF(Settings!$B$36="Retirement",$AY34,0)+IF(Settings!$B$37="Retirement",$AZ34,0)+IF(Settings!$B$38="Retirement",$BA34,0)+IF(Settings!$B$39="Retirement",$BB34,0)+IF(Settings!$B$40="Retirement",$BC34,0)+IF(Settings!$B$41="Retirement",$BD34,0)</f>
        <v/>
      </c>
      <c r="EA34" t="inlineStr">
        <is>
          <t>As-of date</t>
        </is>
      </c>
      <c r="EB34">
        <f>IF($EB$5=0,Settings!$B$5,EOMONTH(INDEX($A:$A,$EB$5),0))</f>
        <v/>
      </c>
      <c r="ET34">
        <f>IF($E34&lt;&gt;"open",0,IF(AND('Month-End'!$AE$22&lt;&gt;"",NOT(_xlfn.ISFORMULA('Month-End'!$AE$22))),0,IF(OR(Settings!$C$45="",Settings!$D$45=""),0,Settings!$C$45*IF(Settings!$D$45="Weekly",IF(IFERROR(MATCH(Settings!$E$45,$EO$4:$EO$10,0),0)=0,0,IF(MIN(Settings!$B$5,IF(Settings!$G$45="",Settings!$B$5,Settings!$G$45))&lt;MAX($A34,Settings!$F$45),0,INT((MIN(Settings!$B$5,IF(Settings!$G$45="",Settings!$B$5,Settings!$G$45))-MAX($A34,Settings!$F$45)-MOD(IFERROR(MATCH(Settings!$E$45,$EO$4:$EO$10,0),0)-WEEKDAY(MAX($A34,Settings!$F$45)),7))/7)+1)),IF(AND(IF(Settings!$E$45="",$B34,DATE(YEAR($A34),MONTH($A34),MIN(Settings!$E$45,DAY($B34))))&gt;=MAX($A34,Settings!$F$45),IF(Settings!$E$45="",$B34,DATE(YEAR($A34),MONTH($A34),MIN(Settings!$E$45,DAY($B34))))&lt;=MIN(Settings!$B$5,IF(Settings!$G$45="",Settings!$B$5,Settings!$G$45))),1,0)))))</f>
        <v/>
      </c>
      <c r="EU34">
        <f>IF($E34&lt;&gt;"open",0,IF(AND('Month-End'!$AE$23&lt;&gt;"",NOT(_xlfn.ISFORMULA('Month-End'!$AE$23))),0,IF(OR(Settings!$C$46="",Settings!$D$46=""),0,Settings!$C$46*IF(Settings!$D$46="Weekly",IF(IFERROR(MATCH(Settings!$E$46,$EO$4:$EO$10,0),0)=0,0,IF(MIN(Settings!$B$5,IF(Settings!$G$46="",Settings!$B$5,Settings!$G$46))&lt;MAX($A34,Settings!$F$46),0,INT((MIN(Settings!$B$5,IF(Settings!$G$46="",Settings!$B$5,Settings!$G$46))-MAX($A34,Settings!$F$46)-MOD(IFERROR(MATCH(Settings!$E$46,$EO$4:$EO$10,0),0)-WEEKDAY(MAX($A34,Settings!$F$46)),7))/7)+1)),IF(AND(IF(Settings!$E$46="",$B34,DATE(YEAR($A34),MONTH($A34),MIN(Settings!$E$46,DAY($B34))))&gt;=MAX($A34,Settings!$F$46),IF(Settings!$E$46="",$B34,DATE(YEAR($A34),MONTH($A34),MIN(Settings!$E$46,DAY($B34))))&lt;=MIN(Settings!$B$5,IF(Settings!$G$46="",Settings!$B$5,Settings!$G$46))),1,0)))))</f>
        <v/>
      </c>
      <c r="EV34">
        <f>IF($E34&lt;&gt;"open",0,IF(AND('Month-End'!$AE$24&lt;&gt;"",NOT(_xlfn.ISFORMULA('Month-End'!$AE$24))),0,IF(OR(Settings!$C$47="",Settings!$D$47=""),0,Settings!$C$47*IF(Settings!$D$47="Weekly",IF(IFERROR(MATCH(Settings!$E$47,$EO$4:$EO$10,0),0)=0,0,IF(MIN(Settings!$B$5,IF(Settings!$G$47="",Settings!$B$5,Settings!$G$47))&lt;MAX($A34,Settings!$F$47),0,INT((MIN(Settings!$B$5,IF(Settings!$G$47="",Settings!$B$5,Settings!$G$47))-MAX($A34,Settings!$F$47)-MOD(IFERROR(MATCH(Settings!$E$47,$EO$4:$EO$10,0),0)-WEEKDAY(MAX($A34,Settings!$F$47)),7))/7)+1)),IF(AND(IF(Settings!$E$47="",$B34,DATE(YEAR($A34),MONTH($A34),MIN(Settings!$E$47,DAY($B34))))&gt;=MAX($A34,Settings!$F$47),IF(Settings!$E$47="",$B34,DATE(YEAR($A34),MONTH($A34),MIN(Settings!$E$47,DAY($B34))))&lt;=MIN(Settings!$B$5,IF(Settings!$G$47="",Settings!$B$5,Settings!$G$47))),1,0)))))</f>
        <v/>
      </c>
      <c r="EW34">
        <f>IF($E34&lt;&gt;"open",0,IF(AND('Month-End'!$AE$25&lt;&gt;"",NOT(_xlfn.ISFORMULA('Month-End'!$AE$25))),0,IF(OR(Settings!$C$48="",Settings!$D$48=""),0,Settings!$C$48*IF(Settings!$D$48="Weekly",IF(IFERROR(MATCH(Settings!$E$48,$EO$4:$EO$10,0),0)=0,0,IF(MIN(Settings!$B$5,IF(Settings!$G$48="",Settings!$B$5,Settings!$G$48))&lt;MAX($A34,Settings!$F$48),0,INT((MIN(Settings!$B$5,IF(Settings!$G$48="",Settings!$B$5,Settings!$G$48))-MAX($A34,Settings!$F$48)-MOD(IFERROR(MATCH(Settings!$E$48,$EO$4:$EO$10,0),0)-WEEKDAY(MAX($A34,Settings!$F$48)),7))/7)+1)),IF(AND(IF(Settings!$E$48="",$B34,DATE(YEAR($A34),MONTH($A34),MIN(Settings!$E$48,DAY($B34))))&gt;=MAX($A34,Settings!$F$48),IF(Settings!$E$48="",$B34,DATE(YEAR($A34),MONTH($A34),MIN(Settings!$E$48,DAY($B34))))&lt;=MIN(Settings!$B$5,IF(Settings!$G$48="",Settings!$B$5,Settings!$G$48))),1,0)))))</f>
        <v/>
      </c>
      <c r="EX34">
        <f>IF($E34&lt;&gt;"open",0,IF(AND('Month-End'!$AE$26&lt;&gt;"",NOT(_xlfn.ISFORMULA('Month-End'!$AE$26))),0,IF(OR(Settings!$C$49="",Settings!$D$49=""),0,Settings!$C$49*IF(Settings!$D$49="Weekly",IF(IFERROR(MATCH(Settings!$E$49,$EO$4:$EO$10,0),0)=0,0,IF(MIN(Settings!$B$5,IF(Settings!$G$49="",Settings!$B$5,Settings!$G$49))&lt;MAX($A34,Settings!$F$49),0,INT((MIN(Settings!$B$5,IF(Settings!$G$49="",Settings!$B$5,Settings!$G$49))-MAX($A34,Settings!$F$49)-MOD(IFERROR(MATCH(Settings!$E$49,$EO$4:$EO$10,0),0)-WEEKDAY(MAX($A34,Settings!$F$49)),7))/7)+1)),IF(AND(IF(Settings!$E$49="",$B34,DATE(YEAR($A34),MONTH($A34),MIN(Settings!$E$49,DAY($B34))))&gt;=MAX($A34,Settings!$F$49),IF(Settings!$E$49="",$B34,DATE(YEAR($A34),MONTH($A34),MIN(Settings!$E$49,DAY($B34))))&lt;=MIN(Settings!$B$5,IF(Settings!$G$49="",Settings!$B$5,Settings!$G$49))),1,0)))))</f>
        <v/>
      </c>
      <c r="EY34">
        <f>IF($E34&lt;&gt;"open",0,IF(AND('Month-End'!$AE$27&lt;&gt;"",NOT(_xlfn.ISFORMULA('Month-End'!$AE$27))),0,IF(OR(Settings!$C$50="",Settings!$D$50=""),0,Settings!$C$50*IF(Settings!$D$50="Weekly",IF(IFERROR(MATCH(Settings!$E$50,$EO$4:$EO$10,0),0)=0,0,IF(MIN(Settings!$B$5,IF(Settings!$G$50="",Settings!$B$5,Settings!$G$50))&lt;MAX($A34,Settings!$F$50),0,INT((MIN(Settings!$B$5,IF(Settings!$G$50="",Settings!$B$5,Settings!$G$50))-MAX($A34,Settings!$F$50)-MOD(IFERROR(MATCH(Settings!$E$50,$EO$4:$EO$10,0),0)-WEEKDAY(MAX($A34,Settings!$F$50)),7))/7)+1)),IF(AND(IF(Settings!$E$50="",$B34,DATE(YEAR($A34),MONTH($A34),MIN(Settings!$E$50,DAY($B34))))&gt;=MAX($A34,Settings!$F$50),IF(Settings!$E$50="",$B34,DATE(YEAR($A34),MONTH($A34),MIN(Settings!$E$50,DAY($B34))))&lt;=MIN(Settings!$B$5,IF(Settings!$G$50="",Settings!$B$5,Settings!$G$50))),1,0)))))</f>
        <v/>
      </c>
      <c r="EZ34">
        <f>IF($E34&lt;&gt;"open",0,IF(AND('Month-End'!$AE$28&lt;&gt;"",NOT(_xlfn.ISFORMULA('Month-End'!$AE$28))),0,IF(OR(Settings!$C$51="",Settings!$D$51=""),0,Settings!$C$51*IF(Settings!$D$51="Weekly",IF(IFERROR(MATCH(Settings!$E$51,$EO$4:$EO$10,0),0)=0,0,IF(MIN(Settings!$B$5,IF(Settings!$G$51="",Settings!$B$5,Settings!$G$51))&lt;MAX($A34,Settings!$F$51),0,INT((MIN(Settings!$B$5,IF(Settings!$G$51="",Settings!$B$5,Settings!$G$51))-MAX($A34,Settings!$F$51)-MOD(IFERROR(MATCH(Settings!$E$51,$EO$4:$EO$10,0),0)-WEEKDAY(MAX($A34,Settings!$F$51)),7))/7)+1)),IF(AND(IF(Settings!$E$51="",$B34,DATE(YEAR($A34),MONTH($A34),MIN(Settings!$E$51,DAY($B34))))&gt;=MAX($A34,Settings!$F$51),IF(Settings!$E$51="",$B34,DATE(YEAR($A34),MONTH($A34),MIN(Settings!$E$51,DAY($B34))))&lt;=MIN(Settings!$B$5,IF(Settings!$G$51="",Settings!$B$5,Settings!$G$51))),1,0)))))</f>
        <v/>
      </c>
      <c r="FA34">
        <f>IF($E34&lt;&gt;"open",0,IF(AND('Month-End'!$AE$29&lt;&gt;"",NOT(_xlfn.ISFORMULA('Month-End'!$AE$29))),0,IF(OR(Settings!$C$52="",Settings!$D$52=""),0,Settings!$C$52*IF(Settings!$D$52="Weekly",IF(IFERROR(MATCH(Settings!$E$52,$EO$4:$EO$10,0),0)=0,0,IF(MIN(Settings!$B$5,IF(Settings!$G$52="",Settings!$B$5,Settings!$G$52))&lt;MAX($A34,Settings!$F$52),0,INT((MIN(Settings!$B$5,IF(Settings!$G$52="",Settings!$B$5,Settings!$G$52))-MAX($A34,Settings!$F$52)-MOD(IFERROR(MATCH(Settings!$E$52,$EO$4:$EO$10,0),0)-WEEKDAY(MAX($A34,Settings!$F$52)),7))/7)+1)),IF(AND(IF(Settings!$E$52="",$B34,DATE(YEAR($A34),MONTH($A34),MIN(Settings!$E$52,DAY($B34))))&gt;=MAX($A34,Settings!$F$52),IF(Settings!$E$52="",$B34,DATE(YEAR($A34),MONTH($A34),MIN(Settings!$E$52,DAY($B34))))&lt;=MIN(Settings!$B$5,IF(Settings!$G$52="",Settings!$B$5,Settings!$G$52))),1,0)))))</f>
        <v/>
      </c>
      <c r="FB34">
        <f>IF($E34&lt;&gt;"open",0,IF(AND('Month-End'!$AE$30&lt;&gt;"",NOT(_xlfn.ISFORMULA('Month-End'!$AE$30))),0,IF(OR(Settings!$C$53="",Settings!$D$53=""),0,Settings!$C$53*IF(Settings!$D$53="Weekly",IF(IFERROR(MATCH(Settings!$E$53,$EO$4:$EO$10,0),0)=0,0,IF(MIN(Settings!$B$5,IF(Settings!$G$53="",Settings!$B$5,Settings!$G$53))&lt;MAX($A34,Settings!$F$53),0,INT((MIN(Settings!$B$5,IF(Settings!$G$53="",Settings!$B$5,Settings!$G$53))-MAX($A34,Settings!$F$53)-MOD(IFERROR(MATCH(Settings!$E$53,$EO$4:$EO$10,0),0)-WEEKDAY(MAX($A34,Settings!$F$53)),7))/7)+1)),IF(AND(IF(Settings!$E$53="",$B34,DATE(YEAR($A34),MONTH($A34),MIN(Settings!$E$53,DAY($B34))))&gt;=MAX($A34,Settings!$F$53),IF(Settings!$E$53="",$B34,DATE(YEAR($A34),MONTH($A34),MIN(Settings!$E$53,DAY($B34))))&lt;=MIN(Settings!$B$5,IF(Settings!$G$53="",Settings!$B$5,Settings!$G$53))),1,0)))))</f>
        <v/>
      </c>
      <c r="FC34">
        <f>IF($E34&lt;&gt;"open",0,IF(AND('Month-End'!$AE$31&lt;&gt;"",NOT(_xlfn.ISFORMULA('Month-End'!$AE$31))),0,IF(OR(Settings!$C$54="",Settings!$D$54=""),0,Settings!$C$54*IF(Settings!$D$54="Weekly",IF(IFERROR(MATCH(Settings!$E$54,$EO$4:$EO$10,0),0)=0,0,IF(MIN(Settings!$B$5,IF(Settings!$G$54="",Settings!$B$5,Settings!$G$54))&lt;MAX($A34,Settings!$F$54),0,INT((MIN(Settings!$B$5,IF(Settings!$G$54="",Settings!$B$5,Settings!$G$54))-MAX($A34,Settings!$F$54)-MOD(IFERROR(MATCH(Settings!$E$54,$EO$4:$EO$10,0),0)-WEEKDAY(MAX($A34,Settings!$F$54)),7))/7)+1)),IF(AND(IF(Settings!$E$54="",$B34,DATE(YEAR($A34),MONTH($A34),MIN(Settings!$E$54,DAY($B34))))&gt;=MAX($A34,Settings!$F$54),IF(Settings!$E$54="",$B34,DATE(YEAR($A34),MONTH($A34),MIN(Settings!$E$54,DAY($B34))))&lt;=MIN(Settings!$B$5,IF(Settings!$G$54="",Settings!$B$5,Settings!$G$54))),1,0)))))</f>
        <v/>
      </c>
      <c r="FD34">
        <f>IF($E34&lt;&gt;"open",0,IF(AND('Month-End'!$AE$32&lt;&gt;"",NOT(_xlfn.ISFORMULA('Month-End'!$AE$32))),0,IF(OR(Settings!$C$55="",Settings!$D$55=""),0,Settings!$C$55*IF(Settings!$D$55="Weekly",IF(IFERROR(MATCH(Settings!$E$55,$EO$4:$EO$10,0),0)=0,0,IF(MIN(Settings!$B$5,IF(Settings!$G$55="",Settings!$B$5,Settings!$G$55))&lt;MAX($A34,Settings!$F$55),0,INT((MIN(Settings!$B$5,IF(Settings!$G$55="",Settings!$B$5,Settings!$G$55))-MAX($A34,Settings!$F$55)-MOD(IFERROR(MATCH(Settings!$E$55,$EO$4:$EO$10,0),0)-WEEKDAY(MAX($A34,Settings!$F$55)),7))/7)+1)),IF(AND(IF(Settings!$E$55="",$B34,DATE(YEAR($A34),MONTH($A34),MIN(Settings!$E$55,DAY($B34))))&gt;=MAX($A34,Settings!$F$55),IF(Settings!$E$55="",$B34,DATE(YEAR($A34),MONTH($A34),MIN(Settings!$E$55,DAY($B34))))&lt;=MIN(Settings!$B$5,IF(Settings!$G$55="",Settings!$B$5,Settings!$G$55))),1,0)))))</f>
        <v/>
      </c>
      <c r="FE34">
        <f>IF($E34&lt;&gt;"open",0,IF(AND('Month-End'!$AE$33&lt;&gt;"",NOT(_xlfn.ISFORMULA('Month-End'!$AE$33))),0,IF(OR(Settings!$C$56="",Settings!$D$56=""),0,Settings!$C$56*IF(Settings!$D$56="Weekly",IF(IFERROR(MATCH(Settings!$E$56,$EO$4:$EO$10,0),0)=0,0,IF(MIN(Settings!$B$5,IF(Settings!$G$56="",Settings!$B$5,Settings!$G$56))&lt;MAX($A34,Settings!$F$56),0,INT((MIN(Settings!$B$5,IF(Settings!$G$56="",Settings!$B$5,Settings!$G$56))-MAX($A34,Settings!$F$56)-MOD(IFERROR(MATCH(Settings!$E$56,$EO$4:$EO$10,0),0)-WEEKDAY(MAX($A34,Settings!$F$56)),7))/7)+1)),IF(AND(IF(Settings!$E$56="",$B34,DATE(YEAR($A34),MONTH($A34),MIN(Settings!$E$56,DAY($B34))))&gt;=MAX($A34,Settings!$F$56),IF(Settings!$E$56="",$B34,DATE(YEAR($A34),MONTH($A34),MIN(Settings!$E$56,DAY($B34))))&lt;=MIN(Settings!$B$5,IF(Settings!$G$56="",Settings!$B$5,Settings!$G$56))),1,0)))))</f>
        <v/>
      </c>
      <c r="FF34">
        <f>IF(Settings!$I$45="Yes",$G34,0)+IF(Settings!$I$46="Yes",$H34,0)+IF(Settings!$I$47="Yes",$I34,0)+IF(Settings!$I$48="Yes",$J34,0)+IF(Settings!$I$49="Yes",$K34,0)+IF(Settings!$I$50="Yes",$L34,0)+IF(Settings!$I$51="Yes",$M34,0)+IF(Settings!$I$52="Yes",$N34,0)+IF(Settings!$I$53="Yes",$O34,0)+IF(Settings!$I$54="Yes",$P34,0)+IF(Settings!$I$55="Yes",$Q34,0)+IF(Settings!$I$56="Yes",$R34,0)</f>
        <v/>
      </c>
      <c r="FG34">
        <f>IF(AND(Settings!$I$45="Yes",Settings!$J$45="No"),$G34,0)+IF(AND(Settings!$I$46="Yes",Settings!$J$46="No"),$H34,0)+IF(AND(Settings!$I$47="Yes",Settings!$J$47="No"),$I34,0)+IF(AND(Settings!$I$48="Yes",Settings!$J$48="No"),$J34,0)+IF(AND(Settings!$I$49="Yes",Settings!$J$49="No"),$K34,0)+IF(AND(Settings!$I$50="Yes",Settings!$J$50="No"),$L34,0)+IF(AND(Settings!$I$51="Yes",Settings!$J$51="No"),$M34,0)+IF(AND(Settings!$I$52="Yes",Settings!$J$52="No"),$N34,0)+IF(AND(Settings!$I$53="Yes",Settings!$J$53="No"),$O34,0)+IF(AND(Settings!$I$54="Yes",Settings!$J$54="No"),$P34,0)+IF(AND(Settings!$I$55="Yes",Settings!$J$55="No"),$Q34,0)+IF(AND(Settings!$I$56="Yes",Settings!$J$56="No"),$R34,0)</f>
        <v/>
      </c>
      <c r="FH34">
        <f>SUMIFS(Giving!$B$7:$B$2006,Giving!$A$7:$A$2006,"&gt;="&amp;$A34,Giving!$A$7:$A$2006,"&lt;="&amp;$B34,Giving!$G$7:$G$2006,"Yes")+IF(OR(OR(Settings!$B$60="",Settings!$F$60="No"),Settings!$H$60&lt;&gt;"Yes"),0,Settings!$B$60*IF(AND(IF(Settings!$C$60="",$B34,DATE(YEAR($A34),MONTH($A34),MIN(Settings!$C$60,DAY($B34))))&gt;=MAX($A34,Settings!$D$60),IF(Settings!$C$60="",$B34,DATE(YEAR($A34),MONTH($A34),MIN(Settings!$C$60,DAY($B34))))&lt;=MIN($C34,IF(Settings!$E$60="",$C34,Settings!$E$60))),1,0))+IF(OR(OR(Settings!$B$61="",Settings!$F$61="No"),Settings!$H$61&lt;&gt;"Yes"),0,Settings!$B$61*IF(AND(IF(Settings!$C$61="",$B34,DATE(YEAR($A34),MONTH($A34),MIN(Settings!$C$61,DAY($B34))))&gt;=MAX($A34,Settings!$D$61),IF(Settings!$C$61="",$B34,DATE(YEAR($A34),MONTH($A34),MIN(Settings!$C$61,DAY($B34))))&lt;=MIN($C34,IF(Settings!$E$61="",$C34,Settings!$E$61))),1,0))+IF(OR(OR(Settings!$B$62="",Settings!$F$62="No"),Settings!$H$62&lt;&gt;"Yes"),0,Settings!$B$62*IF(AND(IF(Settings!$C$62="",$B34,DATE(YEAR($A34),MONTH($A34),MIN(Settings!$C$62,DAY($B34))))&gt;=MAX($A34,Settings!$D$62),IF(Settings!$C$62="",$B34,DATE(YEAR($A34),MONTH($A34),MIN(Settings!$C$62,DAY($B34))))&lt;=MIN($C34,IF(Settings!$E$62="",$C34,Settings!$E$62))),1,0))+IF(OR(OR(Settings!$B$63="",Settings!$F$63="No"),Settings!$H$63&lt;&gt;"Yes"),0,Settings!$B$63*IF(AND(IF(Settings!$C$63="",$B34,DATE(YEAR($A34),MONTH($A34),MIN(Settings!$C$63,DAY($B34))))&gt;=MAX($A34,Settings!$D$63),IF(Settings!$C$63="",$B34,DATE(YEAR($A34),MONTH($A34),MIN(Settings!$C$63,DAY($B34))))&lt;=MIN($C34,IF(Settings!$E$63="",$C34,Settings!$E$63))),1,0))+IF(OR(OR(Settings!$B$64="",Settings!$F$64="No"),Settings!$H$64&lt;&gt;"Yes"),0,Settings!$B$64*IF(AND(IF(Settings!$C$64="",$B34,DATE(YEAR($A34),MONTH($A34),MIN(Settings!$C$64,DAY($B34))))&gt;=MAX($A34,Settings!$D$64),IF(Settings!$C$64="",$B34,DATE(YEAR($A34),MONTH($A34),MIN(Settings!$C$64,DAY($B34))))&lt;=MIN($C34,IF(Settings!$E$64="",$C34,Settings!$E$64))),1,0))+IF(OR(OR(Settings!$B$65="",Settings!$F$65="No"),Settings!$H$65&lt;&gt;"Yes"),0,Settings!$B$65*IF(AND(IF(Settings!$C$65="",$B34,DATE(YEAR($A34),MONTH($A34),MIN(Settings!$C$65,DAY($B34))))&gt;=MAX($A34,Settings!$D$65),IF(Settings!$C$65="",$B34,DATE(YEAR($A34),MONTH($A34),MIN(Settings!$C$65,DAY($B34))))&lt;=MIN($C34,IF(Settings!$E$65="",$C34,Settings!$E$65))),1,0))</f>
        <v/>
      </c>
      <c r="FI34">
        <f>IF($DT34=1,IF(OR(Settings!$B$19="Card",Settings!$B$19="Loan"),N($AE34),0)+IF(OR(Settings!$B$20="Card",Settings!$B$20="Loan"),N($AF34),0)+IF(OR(Settings!$B$21="Card",Settings!$B$21="Loan"),N($AG34),0)+IF(OR(Settings!$B$22="Card",Settings!$B$22="Loan"),N($AH34),0)+IF(OR(Settings!$B$23="Card",Settings!$B$23="Loan"),N($AI34),0)+IF(OR(Settings!$B$24="Card",Settings!$B$24="Loan"),N($AJ34),0)+IF(OR(Settings!$B$25="Card",Settings!$B$25="Loan"),N($AK34),0)+IF(OR(Settings!$B$26="Card",Settings!$B$26="Loan"),N($AL34),0)+IF(OR(Settings!$B$27="Card",Settings!$B$27="Loan"),N($AM34),0)+IF(OR(Settings!$B$28="Card",Settings!$B$28="Loan"),N($AN34),0)+IF(OR(Settings!$B$29="Card",Settings!$B$29="Loan"),N($AO34),0)+IF(OR(Settings!$B$30="Card",Settings!$B$30="Loan"),N($AP34),0)+IF(OR(Settings!$B$31="Card",Settings!$B$31="Loan"),N($AQ34),0)+IF(OR(Settings!$B$32="Card",Settings!$B$32="Loan"),N($AR34),0),"")</f>
        <v/>
      </c>
      <c r="FJ34">
        <f>IF($E34="open",$EB$65,IF($E34="post",IF($E33="pre",$EB$65,$FI33),""))</f>
        <v/>
      </c>
      <c r="FK34">
        <f>IF(AND($DT34=1,$DC34=1),IF(ROUND($FI34-$FJ34,2)&gt;0,1,0),0)</f>
        <v/>
      </c>
      <c r="FL34">
        <f>IF($FK34=1,$FL33+1,0)</f>
        <v/>
      </c>
    </row>
    <row r="35">
      <c r="A35">
        <f>'Month-End'!$AF$4</f>
        <v/>
      </c>
      <c r="B35">
        <f>EOMONTH($A35,0)</f>
        <v/>
      </c>
      <c r="C35">
        <f>MIN($B35,TODAY())</f>
        <v/>
      </c>
      <c r="D35">
        <f>IF($A35&gt;TODAY(),1,0)</f>
        <v/>
      </c>
      <c r="E35">
        <f>IF($B35&lt;=Settings!$B$5,"pre",IF($A35&lt;=Settings!$B$5,"open","post"))</f>
        <v/>
      </c>
      <c r="G35">
        <f>IF('Month-End'!$AF$22="",$BE35,N('Month-End'!$AF$22))</f>
        <v/>
      </c>
      <c r="H35">
        <f>IF('Month-End'!$AF$23="",$BF35,N('Month-End'!$AF$23))</f>
        <v/>
      </c>
      <c r="I35">
        <f>IF('Month-End'!$AF$24="",$BG35,N('Month-End'!$AF$24))</f>
        <v/>
      </c>
      <c r="J35">
        <f>IF('Month-End'!$AF$25="",$BH35,N('Month-End'!$AF$25))</f>
        <v/>
      </c>
      <c r="K35">
        <f>IF('Month-End'!$AF$26="",$BI35,N('Month-End'!$AF$26))</f>
        <v/>
      </c>
      <c r="L35">
        <f>IF('Month-End'!$AF$27="",$BJ35,N('Month-End'!$AF$27))</f>
        <v/>
      </c>
      <c r="M35">
        <f>IF('Month-End'!$AF$28="",$BK35,N('Month-End'!$AF$28))</f>
        <v/>
      </c>
      <c r="N35">
        <f>IF('Month-End'!$AF$29="",$BL35,N('Month-End'!$AF$29))</f>
        <v/>
      </c>
      <c r="O35">
        <f>IF('Month-End'!$AF$30="",$BM35,N('Month-End'!$AF$30))</f>
        <v/>
      </c>
      <c r="P35">
        <f>IF('Month-End'!$AF$31="",$BN35,N('Month-End'!$AF$31))</f>
        <v/>
      </c>
      <c r="Q35">
        <f>IF('Month-End'!$AF$32="",$BO35,N('Month-End'!$AF$32))</f>
        <v/>
      </c>
      <c r="R35">
        <f>IF('Month-End'!$AF$33="",$BP35,N('Month-End'!$AF$33))</f>
        <v/>
      </c>
      <c r="S35">
        <f>$G35+$H35+$I35+$J35+$K35+$L35+$M35+$N35+$O35+$P35+$Q35+$R35</f>
        <v/>
      </c>
      <c r="T35">
        <f>IF($B35&lt;Settings!$B$6,0,IF(Settings!$B$45="Yes",$G35,0)+IF(Settings!$B$46="Yes",$H35,0)+IF(Settings!$B$47="Yes",$I35,0)+IF(Settings!$B$48="Yes",$J35,0)+IF(Settings!$B$49="Yes",$K35,0)+IF(Settings!$B$50="Yes",$L35,0)+IF(Settings!$B$51="Yes",$M35,0)+IF(Settings!$B$52="Yes",$N35,0)+IF(Settings!$B$53="Yes",$O35,0)+IF(Settings!$B$54="Yes",$P35,0)+IF(Settings!$B$55="Yes",$Q35,0)+IF(Settings!$B$56="Yes",$R35,0))</f>
        <v/>
      </c>
      <c r="U35">
        <f>IF(Settings!$B$45="Not Sure",$G35,0)+IF(Settings!$B$46="Not Sure",$H35,0)+IF(Settings!$B$47="Not Sure",$I35,0)+IF(Settings!$B$48="Not Sure",$J35,0)+IF(Settings!$B$49="Not Sure",$K35,0)+IF(Settings!$B$50="Not Sure",$L35,0)+IF(Settings!$B$51="Not Sure",$M35,0)+IF(Settings!$B$52="Not Sure",$N35,0)+IF(Settings!$B$53="Not Sure",$O35,0)+IF(Settings!$B$54="Not Sure",$P35,0)+IF(Settings!$B$55="Not Sure",$Q35,0)+IF(Settings!$B$56="Not Sure",$R35,0)</f>
        <v/>
      </c>
      <c r="V35">
        <f>IF($E35="open",SUM($ET35:$FE35)+N(Settings!$B$13),0)</f>
        <v/>
      </c>
      <c r="W35">
        <f>IF($E35="post",$S35,IF($E35="open",$S35-$V35,0))</f>
        <v/>
      </c>
      <c r="X35">
        <f>SUMIFS(Giving!$B$7:$B$2006,Giving!$A$7:$A$2006,"&gt;="&amp;$A35,Giving!$A$7:$A$2006,"&lt;="&amp;$B35,Giving!$E$7:$E$2006,"&lt;&gt;No")</f>
        <v/>
      </c>
      <c r="Y35">
        <f>SUMIFS(Giving!$B$7:$B$2006,Giving!$A$7:$A$2006,"&gt;="&amp;$A35,Giving!$A$7:$A$2006,"&lt;="&amp;$B35,Giving!$E$7:$E$2006,"No")</f>
        <v/>
      </c>
      <c r="Z35">
        <f>IF(OR(Settings!$B$60="",Settings!$F$60="No"),0,Settings!$B$60*IF(AND(IF(Settings!$C$60="",$B35,DATE(YEAR($A35),MONTH($A35),MIN(Settings!$C$60,DAY($B35))))&gt;=MAX($A35,Settings!$D$60),IF(Settings!$C$60="",$B35,DATE(YEAR($A35),MONTH($A35),MIN(Settings!$C$60,DAY($B35))))&lt;=MIN($C35,IF(Settings!$E$60="",$C35,Settings!$E$60))),1,0))+IF(OR(Settings!$B$61="",Settings!$F$61="No"),0,Settings!$B$61*IF(AND(IF(Settings!$C$61="",$B35,DATE(YEAR($A35),MONTH($A35),MIN(Settings!$C$61,DAY($B35))))&gt;=MAX($A35,Settings!$D$61),IF(Settings!$C$61="",$B35,DATE(YEAR($A35),MONTH($A35),MIN(Settings!$C$61,DAY($B35))))&lt;=MIN($C35,IF(Settings!$E$61="",$C35,Settings!$E$61))),1,0))+IF(OR(Settings!$B$62="",Settings!$F$62="No"),0,Settings!$B$62*IF(AND(IF(Settings!$C$62="",$B35,DATE(YEAR($A35),MONTH($A35),MIN(Settings!$C$62,DAY($B35))))&gt;=MAX($A35,Settings!$D$62),IF(Settings!$C$62="",$B35,DATE(YEAR($A35),MONTH($A35),MIN(Settings!$C$62,DAY($B35))))&lt;=MIN($C35,IF(Settings!$E$62="",$C35,Settings!$E$62))),1,0))+IF(OR(Settings!$B$63="",Settings!$F$63="No"),0,Settings!$B$63*IF(AND(IF(Settings!$C$63="",$B35,DATE(YEAR($A35),MONTH($A35),MIN(Settings!$C$63,DAY($B35))))&gt;=MAX($A35,Settings!$D$63),IF(Settings!$C$63="",$B35,DATE(YEAR($A35),MONTH($A35),MIN(Settings!$C$63,DAY($B35))))&lt;=MIN($C35,IF(Settings!$E$63="",$C35,Settings!$E$63))),1,0))+IF(OR(Settings!$B$64="",Settings!$F$64="No"),0,Settings!$B$64*IF(AND(IF(Settings!$C$64="",$B35,DATE(YEAR($A35),MONTH($A35),MIN(Settings!$C$64,DAY($B35))))&gt;=MAX($A35,Settings!$D$64),IF(Settings!$C$64="",$B35,DATE(YEAR($A35),MONTH($A35),MIN(Settings!$C$64,DAY($B35))))&lt;=MIN($C35,IF(Settings!$E$64="",$C35,Settings!$E$64))),1,0))+IF(OR(Settings!$B$65="",Settings!$F$65="No"),0,Settings!$B$65*IF(AND(IF(Settings!$C$65="",$B35,DATE(YEAR($A35),MONTH($A35),MIN(Settings!$C$65,DAY($B35))))&gt;=MAX($A35,Settings!$D$65),IF(Settings!$C$65="",$B35,DATE(YEAR($A35),MONTH($A35),MIN(Settings!$C$65,DAY($B35))))&lt;=MIN($C35,IF(Settings!$E$65="",$C35,Settings!$E$65))),1,0))</f>
        <v/>
      </c>
      <c r="AA35">
        <f>$X35+$Z35</f>
        <v/>
      </c>
      <c r="AB35">
        <f>IF($E35="post",$AA35,IF($E35="open",SUMIFS(Giving!$B$7:$B$2006,Giving!$A$7:$A$2006,"&gt;"&amp;Settings!$B$5,Giving!$A$7:$A$2006,"&lt;="&amp;$B35,Giving!$E$7:$E$2006,"&lt;&gt;No")+IF(OR(Settings!$B$60="",Settings!$F$60="No"),0,Settings!$B$60*IF(AND(IF(Settings!$C$60="",$B35,DATE(YEAR($A35),MONTH($A35),MIN(Settings!$C$60,DAY($B35))))&gt;=MAX($A35,Settings!$D$60,Settings!$B$5+1),IF(Settings!$C$60="",$B35,DATE(YEAR($A35),MONTH($A35),MIN(Settings!$C$60,DAY($B35))))&lt;=MIN($C35,IF(Settings!$E$60="",$C35,Settings!$E$60))),1,0))+IF(OR(Settings!$B$61="",Settings!$F$61="No"),0,Settings!$B$61*IF(AND(IF(Settings!$C$61="",$B35,DATE(YEAR($A35),MONTH($A35),MIN(Settings!$C$61,DAY($B35))))&gt;=MAX($A35,Settings!$D$61,Settings!$B$5+1),IF(Settings!$C$61="",$B35,DATE(YEAR($A35),MONTH($A35),MIN(Settings!$C$61,DAY($B35))))&lt;=MIN($C35,IF(Settings!$E$61="",$C35,Settings!$E$61))),1,0))+IF(OR(Settings!$B$62="",Settings!$F$62="No"),0,Settings!$B$62*IF(AND(IF(Settings!$C$62="",$B35,DATE(YEAR($A35),MONTH($A35),MIN(Settings!$C$62,DAY($B35))))&gt;=MAX($A35,Settings!$D$62,Settings!$B$5+1),IF(Settings!$C$62="",$B35,DATE(YEAR($A35),MONTH($A35),MIN(Settings!$C$62,DAY($B35))))&lt;=MIN($C35,IF(Settings!$E$62="",$C35,Settings!$E$62))),1,0))+IF(OR(Settings!$B$63="",Settings!$F$63="No"),0,Settings!$B$63*IF(AND(IF(Settings!$C$63="",$B35,DATE(YEAR($A35),MONTH($A35),MIN(Settings!$C$63,DAY($B35))))&gt;=MAX($A35,Settings!$D$63,Settings!$B$5+1),IF(Settings!$C$63="",$B35,DATE(YEAR($A35),MONTH($A35),MIN(Settings!$C$63,DAY($B35))))&lt;=MIN($C35,IF(Settings!$E$63="",$C35,Settings!$E$63))),1,0))+IF(OR(Settings!$B$64="",Settings!$F$64="No"),0,Settings!$B$64*IF(AND(IF(Settings!$C$64="",$B35,DATE(YEAR($A35),MONTH($A35),MIN(Settings!$C$64,DAY($B35))))&gt;=MAX($A35,Settings!$D$64,Settings!$B$5+1),IF(Settings!$C$64="",$B35,DATE(YEAR($A35),MONTH($A35),MIN(Settings!$C$64,DAY($B35))))&lt;=MIN($C35,IF(Settings!$E$64="",$C35,Settings!$E$64))),1,0))+IF(OR(Settings!$B$65="",Settings!$F$65="No"),0,Settings!$B$65*IF(AND(IF(Settings!$C$65="",$B35,DATE(YEAR($A35),MONTH($A35),MIN(Settings!$C$65,DAY($B35))))&gt;=MAX($A35,Settings!$D$65,Settings!$B$5+1),IF(Settings!$C$65="",$B35,DATE(YEAR($A35),MONTH($A35),MIN(Settings!$C$65,DAY($B35))))&lt;=MIN($C35,IF(Settings!$E$65="",$C35,Settings!$E$65))),1,0)),0))</f>
        <v/>
      </c>
      <c r="AC35">
        <f>$AY35+$AZ35+$BA35+$BB35+$BC35+$BD35</f>
        <v/>
      </c>
      <c r="AD35">
        <f>$AC35</f>
        <v/>
      </c>
      <c r="AE35">
        <f>IF(OR(Settings!$A$19="",$E35="pre"),"",IF(AND('Month-End'!$AF$7&lt;&gt;"",NOT(_xlfn.ISFORMULA('Month-End'!$AF$7))),N('Month-End'!$AF$7),IF(OR($E35="open",$E34="pre"),N(Settings!$C$19),N($AE34))))</f>
        <v/>
      </c>
      <c r="AF35">
        <f>IF(OR(Settings!$A$20="",$E35="pre"),"",IF(AND('Month-End'!$AF$8&lt;&gt;"",NOT(_xlfn.ISFORMULA('Month-End'!$AF$8))),N('Month-End'!$AF$8),IF(OR($E35="open",$E34="pre"),N(Settings!$C$20),N($AF34))))</f>
        <v/>
      </c>
      <c r="AG35">
        <f>IF(OR(Settings!$A$21="",$E35="pre"),"",IF(AND('Month-End'!$AF$9&lt;&gt;"",NOT(_xlfn.ISFORMULA('Month-End'!$AF$9))),N('Month-End'!$AF$9),IF(OR($E35="open",$E34="pre"),N(Settings!$C$21),N($AG34))))</f>
        <v/>
      </c>
      <c r="AH35">
        <f>IF(OR(Settings!$A$22="",$E35="pre"),"",IF(AND('Month-End'!$AF$10&lt;&gt;"",NOT(_xlfn.ISFORMULA('Month-End'!$AF$10))),N('Month-End'!$AF$10),IF(OR($E35="open",$E34="pre"),N(Settings!$C$22),N($AH34))))</f>
        <v/>
      </c>
      <c r="AI35">
        <f>IF(OR(Settings!$A$23="",$E35="pre"),"",IF(AND('Month-End'!$AF$11&lt;&gt;"",NOT(_xlfn.ISFORMULA('Month-End'!$AF$11))),N('Month-End'!$AF$11),IF(OR($E35="open",$E34="pre"),N(Settings!$C$23),N($AI34))))</f>
        <v/>
      </c>
      <c r="AJ35">
        <f>IF(OR(Settings!$A$24="",$E35="pre"),"",IF(AND('Month-End'!$AF$12&lt;&gt;"",NOT(_xlfn.ISFORMULA('Month-End'!$AF$12))),N('Month-End'!$AF$12),IF(OR($E35="open",$E34="pre"),N(Settings!$C$24),N($AJ34))))</f>
        <v/>
      </c>
      <c r="AK35">
        <f>IF(OR(Settings!$A$25="",$E35="pre"),"",IF(AND('Month-End'!$AF$13&lt;&gt;"",NOT(_xlfn.ISFORMULA('Month-End'!$AF$13))),N('Month-End'!$AF$13),IF(OR($E35="open",$E34="pre"),N(Settings!$C$25),N($AK34))))</f>
        <v/>
      </c>
      <c r="AL35">
        <f>IF(OR(Settings!$A$26="",$E35="pre"),"",IF(AND('Month-End'!$AF$14&lt;&gt;"",NOT(_xlfn.ISFORMULA('Month-End'!$AF$14))),N('Month-End'!$AF$14),IF(OR($E35="open",$E34="pre"),N(Settings!$C$26),N($AL34))))</f>
        <v/>
      </c>
      <c r="AM35">
        <f>IF(OR(Settings!$A$27="",$E35="pre"),"",IF(AND('Month-End'!$AF$15&lt;&gt;"",NOT(_xlfn.ISFORMULA('Month-End'!$AF$15))),N('Month-End'!$AF$15),IF(OR($E35="open",$E34="pre"),N(Settings!$C$27),N($AM34))))</f>
        <v/>
      </c>
      <c r="AN35">
        <f>IF(OR(Settings!$A$28="",$E35="pre"),"",IF(AND('Month-End'!$AF$16&lt;&gt;"",NOT(_xlfn.ISFORMULA('Month-End'!$AF$16))),N('Month-End'!$AF$16),IF(OR($E35="open",$E34="pre"),N(Settings!$C$28),N($AN34))))</f>
        <v/>
      </c>
      <c r="AO35">
        <f>IF(OR(Settings!$A$29="",$E35="pre"),"",IF(AND('Month-End'!$AF$17&lt;&gt;"",NOT(_xlfn.ISFORMULA('Month-End'!$AF$17))),N('Month-End'!$AF$17),IF(OR($E35="open",$E34="pre"),N(Settings!$C$29),N($AO34))))</f>
        <v/>
      </c>
      <c r="AP35">
        <f>IF(OR(Settings!$A$30="",$E35="pre"),"",IF(AND('Month-End'!$AF$18&lt;&gt;"",NOT(_xlfn.ISFORMULA('Month-End'!$AF$18))),N('Month-End'!$AF$18),IF(OR($E35="open",$E34="pre"),N(Settings!$C$30),N($AP34))))</f>
        <v/>
      </c>
      <c r="AQ35">
        <f>IF(OR(Settings!$A$31="",$E35="pre"),"",IF(AND('Month-End'!$AF$19&lt;&gt;"",NOT(_xlfn.ISFORMULA('Month-End'!$AF$19))),N('Month-End'!$AF$19),IF(OR($E35="open",$E34="pre"),N(Settings!$C$31),N($AQ34))))</f>
        <v/>
      </c>
      <c r="AR35">
        <f>IF(OR(Settings!$A$32="",$E35="pre"),"",IF(AND('Month-End'!$AF$20&lt;&gt;"",NOT(_xlfn.ISFORMULA('Month-End'!$AF$20))),N('Month-End'!$AF$20),IF(OR($E35="open",$E34="pre"),N(Settings!$C$32),N($AR34))))</f>
        <v/>
      </c>
      <c r="AS35">
        <f>IF(OR(Settings!$A$36="",$E35="pre"),"",IF(AND('Month-End'!$AF$38&lt;&gt;"",NOT(_xlfn.ISFORMULA('Month-End'!$AF$38))),N('Month-End'!$AF$38),IF(OR($E35="open",$E34="pre"),N(Settings!$C$36),N($AS34))+$AY35))</f>
        <v/>
      </c>
      <c r="AT35">
        <f>IF(OR(Settings!$A$37="",$E35="pre"),"",IF(AND('Month-End'!$AF$39&lt;&gt;"",NOT(_xlfn.ISFORMULA('Month-End'!$AF$39))),N('Month-End'!$AF$39),IF(OR($E35="open",$E34="pre"),N(Settings!$C$37),N($AT34))+$AZ35))</f>
        <v/>
      </c>
      <c r="AU35">
        <f>IF(OR(Settings!$A$38="",$E35="pre"),"",IF(AND('Month-End'!$AF$40&lt;&gt;"",NOT(_xlfn.ISFORMULA('Month-End'!$AF$40))),N('Month-End'!$AF$40),IF(OR($E35="open",$E34="pre"),N(Settings!$C$38),N($AU34))+$BA35))</f>
        <v/>
      </c>
      <c r="AV35">
        <f>IF(OR(Settings!$A$39="",$E35="pre"),"",IF(AND('Month-End'!$AF$41&lt;&gt;"",NOT(_xlfn.ISFORMULA('Month-End'!$AF$41))),N('Month-End'!$AF$41),IF(OR($E35="open",$E34="pre"),N(Settings!$C$39),N($AV34))+$BB35))</f>
        <v/>
      </c>
      <c r="AW35">
        <f>IF(OR(Settings!$A$40="",$E35="pre"),"",IF(AND('Month-End'!$AF$42&lt;&gt;"",NOT(_xlfn.ISFORMULA('Month-End'!$AF$42))),N('Month-End'!$AF$42),IF(OR($E35="open",$E34="pre"),N(Settings!$C$40),N($AW34))+$BC35))</f>
        <v/>
      </c>
      <c r="AX35">
        <f>IF(OR(Settings!$A$41="",$E35="pre"),"",IF(AND('Month-End'!$AF$43&lt;&gt;"",NOT(_xlfn.ISFORMULA('Month-End'!$AF$43))),N('Month-End'!$AF$43),IF(OR($E35="open",$E34="pre"),N(Settings!$C$41),N($AX34))+$BD35))</f>
        <v/>
      </c>
      <c r="AY35">
        <f>IF($E35="pre",0,N('Month-End'!$AF$45))</f>
        <v/>
      </c>
      <c r="AZ35">
        <f>IF($E35="pre",0,N('Month-End'!$AF$46))</f>
        <v/>
      </c>
      <c r="BA35">
        <f>IF($E35="pre",0,N('Month-End'!$AF$47))</f>
        <v/>
      </c>
      <c r="BB35">
        <f>IF($E35="pre",0,N('Month-End'!$AF$48))</f>
        <v/>
      </c>
      <c r="BC35">
        <f>IF($E35="pre",0,N('Month-End'!$AF$49))</f>
        <v/>
      </c>
      <c r="BD35">
        <f>IF($E35="pre",0,N('Month-End'!$AF$50))</f>
        <v/>
      </c>
      <c r="BE35">
        <f>IF(OR(Settings!$C$45="",Settings!$D$45=""),0,Settings!$C$45*IF(Settings!$D$45="Weekly",IF(IFERROR(MATCH(Settings!$E$45,$EO$4:$EO$10,0),0)=0,0,IF(MIN($C35,IF(Settings!$G$45="",$C35,Settings!$G$45))&lt;MAX($A35,Settings!$F$45),0,INT((MIN($C35,IF(Settings!$G$45="",$C35,Settings!$G$45))-MAX($A35,Settings!$F$45)-MOD(IFERROR(MATCH(Settings!$E$45,$EO$4:$EO$10,0),0)-WEEKDAY(MAX($A35,Settings!$F$45)),7))/7)+1)),IF(AND(IF(Settings!$E$45="",$B35,DATE(YEAR($A35),MONTH($A35),MIN(Settings!$E$45,DAY($B35))))&gt;=MAX($A35,Settings!$F$45),IF(Settings!$E$45="",$B35,DATE(YEAR($A35),MONTH($A35),MIN(Settings!$E$45,DAY($B35))))&lt;=MIN($C35,IF(Settings!$G$45="",$C35,Settings!$G$45))),1,0)))</f>
        <v/>
      </c>
      <c r="BF35">
        <f>IF(OR(Settings!$C$46="",Settings!$D$46=""),0,Settings!$C$46*IF(Settings!$D$46="Weekly",IF(IFERROR(MATCH(Settings!$E$46,$EO$4:$EO$10,0),0)=0,0,IF(MIN($C35,IF(Settings!$G$46="",$C35,Settings!$G$46))&lt;MAX($A35,Settings!$F$46),0,INT((MIN($C35,IF(Settings!$G$46="",$C35,Settings!$G$46))-MAX($A35,Settings!$F$46)-MOD(IFERROR(MATCH(Settings!$E$46,$EO$4:$EO$10,0),0)-WEEKDAY(MAX($A35,Settings!$F$46)),7))/7)+1)),IF(AND(IF(Settings!$E$46="",$B35,DATE(YEAR($A35),MONTH($A35),MIN(Settings!$E$46,DAY($B35))))&gt;=MAX($A35,Settings!$F$46),IF(Settings!$E$46="",$B35,DATE(YEAR($A35),MONTH($A35),MIN(Settings!$E$46,DAY($B35))))&lt;=MIN($C35,IF(Settings!$G$46="",$C35,Settings!$G$46))),1,0)))</f>
        <v/>
      </c>
      <c r="BG35">
        <f>IF(OR(Settings!$C$47="",Settings!$D$47=""),0,Settings!$C$47*IF(Settings!$D$47="Weekly",IF(IFERROR(MATCH(Settings!$E$47,$EO$4:$EO$10,0),0)=0,0,IF(MIN($C35,IF(Settings!$G$47="",$C35,Settings!$G$47))&lt;MAX($A35,Settings!$F$47),0,INT((MIN($C35,IF(Settings!$G$47="",$C35,Settings!$G$47))-MAX($A35,Settings!$F$47)-MOD(IFERROR(MATCH(Settings!$E$47,$EO$4:$EO$10,0),0)-WEEKDAY(MAX($A35,Settings!$F$47)),7))/7)+1)),IF(AND(IF(Settings!$E$47="",$B35,DATE(YEAR($A35),MONTH($A35),MIN(Settings!$E$47,DAY($B35))))&gt;=MAX($A35,Settings!$F$47),IF(Settings!$E$47="",$B35,DATE(YEAR($A35),MONTH($A35),MIN(Settings!$E$47,DAY($B35))))&lt;=MIN($C35,IF(Settings!$G$47="",$C35,Settings!$G$47))),1,0)))</f>
        <v/>
      </c>
      <c r="BH35">
        <f>IF(OR(Settings!$C$48="",Settings!$D$48=""),0,Settings!$C$48*IF(Settings!$D$48="Weekly",IF(IFERROR(MATCH(Settings!$E$48,$EO$4:$EO$10,0),0)=0,0,IF(MIN($C35,IF(Settings!$G$48="",$C35,Settings!$G$48))&lt;MAX($A35,Settings!$F$48),0,INT((MIN($C35,IF(Settings!$G$48="",$C35,Settings!$G$48))-MAX($A35,Settings!$F$48)-MOD(IFERROR(MATCH(Settings!$E$48,$EO$4:$EO$10,0),0)-WEEKDAY(MAX($A35,Settings!$F$48)),7))/7)+1)),IF(AND(IF(Settings!$E$48="",$B35,DATE(YEAR($A35),MONTH($A35),MIN(Settings!$E$48,DAY($B35))))&gt;=MAX($A35,Settings!$F$48),IF(Settings!$E$48="",$B35,DATE(YEAR($A35),MONTH($A35),MIN(Settings!$E$48,DAY($B35))))&lt;=MIN($C35,IF(Settings!$G$48="",$C35,Settings!$G$48))),1,0)))</f>
        <v/>
      </c>
      <c r="BI35">
        <f>IF(OR(Settings!$C$49="",Settings!$D$49=""),0,Settings!$C$49*IF(Settings!$D$49="Weekly",IF(IFERROR(MATCH(Settings!$E$49,$EO$4:$EO$10,0),0)=0,0,IF(MIN($C35,IF(Settings!$G$49="",$C35,Settings!$G$49))&lt;MAX($A35,Settings!$F$49),0,INT((MIN($C35,IF(Settings!$G$49="",$C35,Settings!$G$49))-MAX($A35,Settings!$F$49)-MOD(IFERROR(MATCH(Settings!$E$49,$EO$4:$EO$10,0),0)-WEEKDAY(MAX($A35,Settings!$F$49)),7))/7)+1)),IF(AND(IF(Settings!$E$49="",$B35,DATE(YEAR($A35),MONTH($A35),MIN(Settings!$E$49,DAY($B35))))&gt;=MAX($A35,Settings!$F$49),IF(Settings!$E$49="",$B35,DATE(YEAR($A35),MONTH($A35),MIN(Settings!$E$49,DAY($B35))))&lt;=MIN($C35,IF(Settings!$G$49="",$C35,Settings!$G$49))),1,0)))</f>
        <v/>
      </c>
      <c r="BJ35">
        <f>IF(OR(Settings!$C$50="",Settings!$D$50=""),0,Settings!$C$50*IF(Settings!$D$50="Weekly",IF(IFERROR(MATCH(Settings!$E$50,$EO$4:$EO$10,0),0)=0,0,IF(MIN($C35,IF(Settings!$G$50="",$C35,Settings!$G$50))&lt;MAX($A35,Settings!$F$50),0,INT((MIN($C35,IF(Settings!$G$50="",$C35,Settings!$G$50))-MAX($A35,Settings!$F$50)-MOD(IFERROR(MATCH(Settings!$E$50,$EO$4:$EO$10,0),0)-WEEKDAY(MAX($A35,Settings!$F$50)),7))/7)+1)),IF(AND(IF(Settings!$E$50="",$B35,DATE(YEAR($A35),MONTH($A35),MIN(Settings!$E$50,DAY($B35))))&gt;=MAX($A35,Settings!$F$50),IF(Settings!$E$50="",$B35,DATE(YEAR($A35),MONTH($A35),MIN(Settings!$E$50,DAY($B35))))&lt;=MIN($C35,IF(Settings!$G$50="",$C35,Settings!$G$50))),1,0)))</f>
        <v/>
      </c>
      <c r="BK35">
        <f>IF(OR(Settings!$C$51="",Settings!$D$51=""),0,Settings!$C$51*IF(Settings!$D$51="Weekly",IF(IFERROR(MATCH(Settings!$E$51,$EO$4:$EO$10,0),0)=0,0,IF(MIN($C35,IF(Settings!$G$51="",$C35,Settings!$G$51))&lt;MAX($A35,Settings!$F$51),0,INT((MIN($C35,IF(Settings!$G$51="",$C35,Settings!$G$51))-MAX($A35,Settings!$F$51)-MOD(IFERROR(MATCH(Settings!$E$51,$EO$4:$EO$10,0),0)-WEEKDAY(MAX($A35,Settings!$F$51)),7))/7)+1)),IF(AND(IF(Settings!$E$51="",$B35,DATE(YEAR($A35),MONTH($A35),MIN(Settings!$E$51,DAY($B35))))&gt;=MAX($A35,Settings!$F$51),IF(Settings!$E$51="",$B35,DATE(YEAR($A35),MONTH($A35),MIN(Settings!$E$51,DAY($B35))))&lt;=MIN($C35,IF(Settings!$G$51="",$C35,Settings!$G$51))),1,0)))</f>
        <v/>
      </c>
      <c r="BL35">
        <f>IF(OR(Settings!$C$52="",Settings!$D$52=""),0,Settings!$C$52*IF(Settings!$D$52="Weekly",IF(IFERROR(MATCH(Settings!$E$52,$EO$4:$EO$10,0),0)=0,0,IF(MIN($C35,IF(Settings!$G$52="",$C35,Settings!$G$52))&lt;MAX($A35,Settings!$F$52),0,INT((MIN($C35,IF(Settings!$G$52="",$C35,Settings!$G$52))-MAX($A35,Settings!$F$52)-MOD(IFERROR(MATCH(Settings!$E$52,$EO$4:$EO$10,0),0)-WEEKDAY(MAX($A35,Settings!$F$52)),7))/7)+1)),IF(AND(IF(Settings!$E$52="",$B35,DATE(YEAR($A35),MONTH($A35),MIN(Settings!$E$52,DAY($B35))))&gt;=MAX($A35,Settings!$F$52),IF(Settings!$E$52="",$B35,DATE(YEAR($A35),MONTH($A35),MIN(Settings!$E$52,DAY($B35))))&lt;=MIN($C35,IF(Settings!$G$52="",$C35,Settings!$G$52))),1,0)))</f>
        <v/>
      </c>
      <c r="BM35">
        <f>IF(OR(Settings!$C$53="",Settings!$D$53=""),0,Settings!$C$53*IF(Settings!$D$53="Weekly",IF(IFERROR(MATCH(Settings!$E$53,$EO$4:$EO$10,0),0)=0,0,IF(MIN($C35,IF(Settings!$G$53="",$C35,Settings!$G$53))&lt;MAX($A35,Settings!$F$53),0,INT((MIN($C35,IF(Settings!$G$53="",$C35,Settings!$G$53))-MAX($A35,Settings!$F$53)-MOD(IFERROR(MATCH(Settings!$E$53,$EO$4:$EO$10,0),0)-WEEKDAY(MAX($A35,Settings!$F$53)),7))/7)+1)),IF(AND(IF(Settings!$E$53="",$B35,DATE(YEAR($A35),MONTH($A35),MIN(Settings!$E$53,DAY($B35))))&gt;=MAX($A35,Settings!$F$53),IF(Settings!$E$53="",$B35,DATE(YEAR($A35),MONTH($A35),MIN(Settings!$E$53,DAY($B35))))&lt;=MIN($C35,IF(Settings!$G$53="",$C35,Settings!$G$53))),1,0)))</f>
        <v/>
      </c>
      <c r="BN35">
        <f>IF(OR(Settings!$C$54="",Settings!$D$54=""),0,Settings!$C$54*IF(Settings!$D$54="Weekly",IF(IFERROR(MATCH(Settings!$E$54,$EO$4:$EO$10,0),0)=0,0,IF(MIN($C35,IF(Settings!$G$54="",$C35,Settings!$G$54))&lt;MAX($A35,Settings!$F$54),0,INT((MIN($C35,IF(Settings!$G$54="",$C35,Settings!$G$54))-MAX($A35,Settings!$F$54)-MOD(IFERROR(MATCH(Settings!$E$54,$EO$4:$EO$10,0),0)-WEEKDAY(MAX($A35,Settings!$F$54)),7))/7)+1)),IF(AND(IF(Settings!$E$54="",$B35,DATE(YEAR($A35),MONTH($A35),MIN(Settings!$E$54,DAY($B35))))&gt;=MAX($A35,Settings!$F$54),IF(Settings!$E$54="",$B35,DATE(YEAR($A35),MONTH($A35),MIN(Settings!$E$54,DAY($B35))))&lt;=MIN($C35,IF(Settings!$G$54="",$C35,Settings!$G$54))),1,0)))</f>
        <v/>
      </c>
      <c r="BO35">
        <f>IF(OR(Settings!$C$55="",Settings!$D$55=""),0,Settings!$C$55*IF(Settings!$D$55="Weekly",IF(IFERROR(MATCH(Settings!$E$55,$EO$4:$EO$10,0),0)=0,0,IF(MIN($C35,IF(Settings!$G$55="",$C35,Settings!$G$55))&lt;MAX($A35,Settings!$F$55),0,INT((MIN($C35,IF(Settings!$G$55="",$C35,Settings!$G$55))-MAX($A35,Settings!$F$55)-MOD(IFERROR(MATCH(Settings!$E$55,$EO$4:$EO$10,0),0)-WEEKDAY(MAX($A35,Settings!$F$55)),7))/7)+1)),IF(AND(IF(Settings!$E$55="",$B35,DATE(YEAR($A35),MONTH($A35),MIN(Settings!$E$55,DAY($B35))))&gt;=MAX($A35,Settings!$F$55),IF(Settings!$E$55="",$B35,DATE(YEAR($A35),MONTH($A35),MIN(Settings!$E$55,DAY($B35))))&lt;=MIN($C35,IF(Settings!$G$55="",$C35,Settings!$G$55))),1,0)))</f>
        <v/>
      </c>
      <c r="BP35">
        <f>IF(OR(Settings!$C$56="",Settings!$D$56=""),0,Settings!$C$56*IF(Settings!$D$56="Weekly",IF(IFERROR(MATCH(Settings!$E$56,$EO$4:$EO$10,0),0)=0,0,IF(MIN($C35,IF(Settings!$G$56="",$C35,Settings!$G$56))&lt;MAX($A35,Settings!$F$56),0,INT((MIN($C35,IF(Settings!$G$56="",$C35,Settings!$G$56))-MAX($A35,Settings!$F$56)-MOD(IFERROR(MATCH(Settings!$E$56,$EO$4:$EO$10,0),0)-WEEKDAY(MAX($A35,Settings!$F$56)),7))/7)+1)),IF(AND(IF(Settings!$E$56="",$B35,DATE(YEAR($A35),MONTH($A35),MIN(Settings!$E$56,DAY($B35))))&gt;=MAX($A35,Settings!$F$56),IF(Settings!$E$56="",$B35,DATE(YEAR($A35),MONTH($A35),MIN(Settings!$E$56,DAY($B35))))&lt;=MIN($C35,IF(Settings!$G$56="",$C35,Settings!$G$56))),1,0)))</f>
        <v/>
      </c>
      <c r="BQ35">
        <f>IF(OR(Settings!$B$14="",$D35=1,$E35="pre",$A35&lt;IF(Settings!$B$15="",0,Settings!$B$15)),0,Settings!$B$14)</f>
        <v/>
      </c>
      <c r="BR35">
        <f>IF(AND('Month-End'!$AF$7&lt;&gt;"",NOT(_xlfn.ISFORMULA('Month-End'!$AF$7))),1,0)</f>
        <v/>
      </c>
      <c r="BS35">
        <f>IF(AND('Month-End'!$AF$8&lt;&gt;"",NOT(_xlfn.ISFORMULA('Month-End'!$AF$8))),1,0)</f>
        <v/>
      </c>
      <c r="BT35">
        <f>IF(AND('Month-End'!$AF$9&lt;&gt;"",NOT(_xlfn.ISFORMULA('Month-End'!$AF$9))),1,0)</f>
        <v/>
      </c>
      <c r="BU35">
        <f>IF(AND('Month-End'!$AF$10&lt;&gt;"",NOT(_xlfn.ISFORMULA('Month-End'!$AF$10))),1,0)</f>
        <v/>
      </c>
      <c r="BV35">
        <f>IF(AND('Month-End'!$AF$11&lt;&gt;"",NOT(_xlfn.ISFORMULA('Month-End'!$AF$11))),1,0)</f>
        <v/>
      </c>
      <c r="BW35">
        <f>IF(AND('Month-End'!$AF$12&lt;&gt;"",NOT(_xlfn.ISFORMULA('Month-End'!$AF$12))),1,0)</f>
        <v/>
      </c>
      <c r="BX35">
        <f>IF(AND('Month-End'!$AF$13&lt;&gt;"",NOT(_xlfn.ISFORMULA('Month-End'!$AF$13))),1,0)</f>
        <v/>
      </c>
      <c r="BY35">
        <f>IF(AND('Month-End'!$AF$14&lt;&gt;"",NOT(_xlfn.ISFORMULA('Month-End'!$AF$14))),1,0)</f>
        <v/>
      </c>
      <c r="BZ35">
        <f>IF(AND('Month-End'!$AF$15&lt;&gt;"",NOT(_xlfn.ISFORMULA('Month-End'!$AF$15))),1,0)</f>
        <v/>
      </c>
      <c r="CA35">
        <f>IF(AND('Month-End'!$AF$16&lt;&gt;"",NOT(_xlfn.ISFORMULA('Month-End'!$AF$16))),1,0)</f>
        <v/>
      </c>
      <c r="CB35">
        <f>IF(AND('Month-End'!$AF$17&lt;&gt;"",NOT(_xlfn.ISFORMULA('Month-End'!$AF$17))),1,0)</f>
        <v/>
      </c>
      <c r="CC35">
        <f>IF(AND('Month-End'!$AF$18&lt;&gt;"",NOT(_xlfn.ISFORMULA('Month-End'!$AF$18))),1,0)</f>
        <v/>
      </c>
      <c r="CD35">
        <f>IF(AND('Month-End'!$AF$19&lt;&gt;"",NOT(_xlfn.ISFORMULA('Month-End'!$AF$19))),1,0)</f>
        <v/>
      </c>
      <c r="CE35">
        <f>IF(AND('Month-End'!$AF$20&lt;&gt;"",NOT(_xlfn.ISFORMULA('Month-End'!$AF$20))),1,0)</f>
        <v/>
      </c>
      <c r="CF35">
        <f>IF(AND('Month-End'!$AF$38&lt;&gt;"",NOT(_xlfn.ISFORMULA('Month-End'!$AF$38))),1,0)</f>
        <v/>
      </c>
      <c r="CG35">
        <f>IF(AND('Month-End'!$AF$39&lt;&gt;"",NOT(_xlfn.ISFORMULA('Month-End'!$AF$39))),1,0)</f>
        <v/>
      </c>
      <c r="CH35">
        <f>IF(AND('Month-End'!$AF$40&lt;&gt;"",NOT(_xlfn.ISFORMULA('Month-End'!$AF$40))),1,0)</f>
        <v/>
      </c>
      <c r="CI35">
        <f>IF(AND('Month-End'!$AF$41&lt;&gt;"",NOT(_xlfn.ISFORMULA('Month-End'!$AF$41))),1,0)</f>
        <v/>
      </c>
      <c r="CJ35">
        <f>IF(AND('Month-End'!$AF$42&lt;&gt;"",NOT(_xlfn.ISFORMULA('Month-End'!$AF$42))),1,0)</f>
        <v/>
      </c>
      <c r="CK35">
        <f>IF(AND('Month-End'!$AF$43&lt;&gt;"",NOT(_xlfn.ISFORMULA('Month-End'!$AF$43))),1,0)</f>
        <v/>
      </c>
      <c r="CL35">
        <f>SUM($CM35:$CZ35)</f>
        <v/>
      </c>
      <c r="CM35">
        <f>IF(AND($E35&lt;&gt;"pre",AND(Settings!$A$19&lt;&gt;"",Settings!$E$19&lt;&gt;"No"),Settings!$F$19="Yes",NOT(AND('Month-End'!$AF$7&lt;&gt;"",NOT(_xlfn.ISFORMULA('Month-End'!$AF$7))))),1,0)</f>
        <v/>
      </c>
      <c r="CN35">
        <f>IF(AND($E35&lt;&gt;"pre",AND(Settings!$A$20&lt;&gt;"",Settings!$E$20&lt;&gt;"No"),Settings!$F$20="Yes",NOT(AND('Month-End'!$AF$8&lt;&gt;"",NOT(_xlfn.ISFORMULA('Month-End'!$AF$8))))),1,0)</f>
        <v/>
      </c>
      <c r="CO35">
        <f>IF(AND($E35&lt;&gt;"pre",AND(Settings!$A$21&lt;&gt;"",Settings!$E$21&lt;&gt;"No"),Settings!$F$21="Yes",NOT(AND('Month-End'!$AF$9&lt;&gt;"",NOT(_xlfn.ISFORMULA('Month-End'!$AF$9))))),1,0)</f>
        <v/>
      </c>
      <c r="CP35">
        <f>IF(AND($E35&lt;&gt;"pre",AND(Settings!$A$22&lt;&gt;"",Settings!$E$22&lt;&gt;"No"),Settings!$F$22="Yes",NOT(AND('Month-End'!$AF$10&lt;&gt;"",NOT(_xlfn.ISFORMULA('Month-End'!$AF$10))))),1,0)</f>
        <v/>
      </c>
      <c r="CQ35">
        <f>IF(AND($E35&lt;&gt;"pre",AND(Settings!$A$23&lt;&gt;"",Settings!$E$23&lt;&gt;"No"),Settings!$F$23="Yes",NOT(AND('Month-End'!$AF$11&lt;&gt;"",NOT(_xlfn.ISFORMULA('Month-End'!$AF$11))))),1,0)</f>
        <v/>
      </c>
      <c r="CR35">
        <f>IF(AND($E35&lt;&gt;"pre",AND(Settings!$A$24&lt;&gt;"",Settings!$E$24&lt;&gt;"No"),Settings!$F$24="Yes",NOT(AND('Month-End'!$AF$12&lt;&gt;"",NOT(_xlfn.ISFORMULA('Month-End'!$AF$12))))),1,0)</f>
        <v/>
      </c>
      <c r="CS35">
        <f>IF(AND($E35&lt;&gt;"pre",AND(Settings!$A$25&lt;&gt;"",Settings!$E$25&lt;&gt;"No"),Settings!$F$25="Yes",NOT(AND('Month-End'!$AF$13&lt;&gt;"",NOT(_xlfn.ISFORMULA('Month-End'!$AF$13))))),1,0)</f>
        <v/>
      </c>
      <c r="CT35">
        <f>IF(AND($E35&lt;&gt;"pre",AND(Settings!$A$26&lt;&gt;"",Settings!$E$26&lt;&gt;"No"),Settings!$F$26="Yes",NOT(AND('Month-End'!$AF$14&lt;&gt;"",NOT(_xlfn.ISFORMULA('Month-End'!$AF$14))))),1,0)</f>
        <v/>
      </c>
      <c r="CU35">
        <f>IF(AND($E35&lt;&gt;"pre",AND(Settings!$A$27&lt;&gt;"",Settings!$E$27&lt;&gt;"No"),Settings!$F$27="Yes",NOT(AND('Month-End'!$AF$15&lt;&gt;"",NOT(_xlfn.ISFORMULA('Month-End'!$AF$15))))),1,0)</f>
        <v/>
      </c>
      <c r="CV35">
        <f>IF(AND($E35&lt;&gt;"pre",AND(Settings!$A$28&lt;&gt;"",Settings!$E$28&lt;&gt;"No"),Settings!$F$28="Yes",NOT(AND('Month-End'!$AF$16&lt;&gt;"",NOT(_xlfn.ISFORMULA('Month-End'!$AF$16))))),1,0)</f>
        <v/>
      </c>
      <c r="CW35">
        <f>IF(AND($E35&lt;&gt;"pre",AND(Settings!$A$29&lt;&gt;"",Settings!$E$29&lt;&gt;"No"),Settings!$F$29="Yes",NOT(AND('Month-End'!$AF$17&lt;&gt;"",NOT(_xlfn.ISFORMULA('Month-End'!$AF$17))))),1,0)</f>
        <v/>
      </c>
      <c r="CX35">
        <f>IF(AND($E35&lt;&gt;"pre",AND(Settings!$A$30&lt;&gt;"",Settings!$E$30&lt;&gt;"No"),Settings!$F$30="Yes",NOT(AND('Month-End'!$AF$18&lt;&gt;"",NOT(_xlfn.ISFORMULA('Month-End'!$AF$18))))),1,0)</f>
        <v/>
      </c>
      <c r="CY35">
        <f>IF(AND($E35&lt;&gt;"pre",AND(Settings!$A$31&lt;&gt;"",Settings!$E$31&lt;&gt;"No"),Settings!$F$31="Yes",NOT(AND('Month-End'!$AF$19&lt;&gt;"",NOT(_xlfn.ISFORMULA('Month-End'!$AF$19))))),1,0)</f>
        <v/>
      </c>
      <c r="CZ35">
        <f>IF(AND($E35&lt;&gt;"pre",AND(Settings!$A$32&lt;&gt;"",Settings!$E$32&lt;&gt;"No"),Settings!$F$32="Yes",NOT(AND('Month-End'!$AF$20&lt;&gt;"",NOT(_xlfn.ISFORMULA('Month-End'!$AF$20))))),1,0)</f>
        <v/>
      </c>
      <c r="DA35">
        <f>IF($DT35=1,IF(OR(Settings!$B$19="Checking",Settings!$B$19="Savings",Settings!$B$19="Cash"),N($AE35),IF(OR(Settings!$B$19="Card",Settings!$B$19="Loan"),-N($AE35),0))+IF(OR(Settings!$B$20="Checking",Settings!$B$20="Savings",Settings!$B$20="Cash"),N($AF35),IF(OR(Settings!$B$20="Card",Settings!$B$20="Loan"),-N($AF35),0))+IF(OR(Settings!$B$21="Checking",Settings!$B$21="Savings",Settings!$B$21="Cash"),N($AG35),IF(OR(Settings!$B$21="Card",Settings!$B$21="Loan"),-N($AG35),0))+IF(OR(Settings!$B$22="Checking",Settings!$B$22="Savings",Settings!$B$22="Cash"),N($AH35),IF(OR(Settings!$B$22="Card",Settings!$B$22="Loan"),-N($AH35),0))+IF(OR(Settings!$B$23="Checking",Settings!$B$23="Savings",Settings!$B$23="Cash"),N($AI35),IF(OR(Settings!$B$23="Card",Settings!$B$23="Loan"),-N($AI35),0))+IF(OR(Settings!$B$24="Checking",Settings!$B$24="Savings",Settings!$B$24="Cash"),N($AJ35),IF(OR(Settings!$B$24="Card",Settings!$B$24="Loan"),-N($AJ35),0))+IF(OR(Settings!$B$25="Checking",Settings!$B$25="Savings",Settings!$B$25="Cash"),N($AK35),IF(OR(Settings!$B$25="Card",Settings!$B$25="Loan"),-N($AK35),0))+IF(OR(Settings!$B$26="Checking",Settings!$B$26="Savings",Settings!$B$26="Cash"),N($AL35),IF(OR(Settings!$B$26="Card",Settings!$B$26="Loan"),-N($AL35),0))+IF(OR(Settings!$B$27="Checking",Settings!$B$27="Savings",Settings!$B$27="Cash"),N($AM35),IF(OR(Settings!$B$27="Card",Settings!$B$27="Loan"),-N($AM35),0))+IF(OR(Settings!$B$28="Checking",Settings!$B$28="Savings",Settings!$B$28="Cash"),N($AN35),IF(OR(Settings!$B$28="Card",Settings!$B$28="Loan"),-N($AN35),0))+IF(OR(Settings!$B$29="Checking",Settings!$B$29="Savings",Settings!$B$29="Cash"),N($AO35),IF(OR(Settings!$B$29="Card",Settings!$B$29="Loan"),-N($AO35),0))+IF(OR(Settings!$B$30="Checking",Settings!$B$30="Savings",Settings!$B$30="Cash"),N($AP35),IF(OR(Settings!$B$30="Card",Settings!$B$30="Loan"),-N($AP35),0))+IF(OR(Settings!$B$31="Checking",Settings!$B$31="Savings",Settings!$B$31="Cash"),N($AQ35),IF(OR(Settings!$B$31="Card",Settings!$B$31="Loan"),-N($AQ35),0))+IF(OR(Settings!$B$32="Checking",Settings!$B$32="Savings",Settings!$B$32="Cash"),N($AR35),IF(OR(Settings!$B$32="Card",Settings!$B$32="Loan"),-N($AR35),0)),"")</f>
        <v/>
      </c>
      <c r="DB35">
        <f>IF($E35="open",$EB$27,IF($E35="post",IF($E34="pre",$EB$27,$DA34),""))</f>
        <v/>
      </c>
      <c r="DC35">
        <f>IF($E35="open",1,IF($E35="post",IF($E34="pre",1,$DT34),0))</f>
        <v/>
      </c>
      <c r="DD35">
        <f>IF(AND($DT35=1,$DC35=1),ROUND($W35-($DA35-$DB35)-$AD35-$AB35,2),"")</f>
        <v/>
      </c>
      <c r="DE35">
        <f>IF('Month-End'!$AF$35="",$BQ35,N('Month-End'!$AF$35))</f>
        <v/>
      </c>
      <c r="DF35">
        <f>N('Month-End'!$AF$36)</f>
        <v/>
      </c>
      <c r="DG35">
        <f>IF($DD35="","",$DD35+$DE35)</f>
        <v/>
      </c>
      <c r="DH35">
        <f>IF($DG35="","",$DG35-$DF35)</f>
        <v/>
      </c>
      <c r="DI35">
        <f>IF(OR($E35="pre",$D35=1),"",N($AS35)+N($AT35)+N($AU35)+N($AV35)+N($AW35)+N($AX35))</f>
        <v/>
      </c>
      <c r="DJ35">
        <f>IF($DT35=1,$DA35+N($DI35),"")</f>
        <v/>
      </c>
      <c r="DK35">
        <f>IF($DD35="","",$W35-$DD35-$AB35)</f>
        <v/>
      </c>
      <c r="DL35">
        <f>IF(AND($E35="post",$DD35&lt;&gt;"",$B35&lt;TODAY()),1,0)</f>
        <v/>
      </c>
      <c r="DM35">
        <f>IF($DL35=1,COUNTIF($DL35:$DL$183,1),0)</f>
        <v/>
      </c>
      <c r="DN35">
        <f>IF($D35=1,"",IF($E35="pre","History only",IF($DT35=1,IF($DD35="","⚠ Previous month missing",IF($DD35&lt;0,"⚠ Check: spending &lt; 0",IF($E35="open","✓ Done (partial)","✓ Done"))),IF($B35&gt;=TODAY(),"In progress","⚠ Needs balances"))))</f>
        <v/>
      </c>
      <c r="DO35">
        <f>YEAR($A35)</f>
        <v/>
      </c>
      <c r="DP35">
        <f>DATE(YEAR($A35),INT((MONTH($A35)-1)/3)*3+1,1)</f>
        <v/>
      </c>
      <c r="DQ35">
        <f>IF(AND($DT35=1,$DD35&lt;&gt;"",$D35=0),ROW(),0)</f>
        <v/>
      </c>
      <c r="DR35">
        <f>IF(AND($E35&lt;&gt;"pre",$B35&lt;TODAY(),$DT35=0),1,0)</f>
        <v/>
      </c>
      <c r="DS35">
        <f>IF($DJ35="",NA(),$DJ35)</f>
        <v/>
      </c>
      <c r="DT35">
        <f>IF(AND($E35&lt;&gt;"pre",$CL35=0,COUNTIFS(Settings!$F$19:$F$32,"Yes",Settings!$A$19:$A$32,"&lt;&gt;",Settings!$E$19:$E$32,"&lt;&gt;No")&gt;0),1,0)</f>
        <v/>
      </c>
      <c r="DU35">
        <f>IF(AND($B35&lt;TODAY(),$S35&gt;0),1,0)</f>
        <v/>
      </c>
      <c r="DV35">
        <f>IF($DU35=1,COUNTIF($DU35:$DU$183,1),0)</f>
        <v/>
      </c>
      <c r="DW35">
        <f>IF(AND(OR(Settings!$B$19="Card",Settings!$B$19="Loan"),AND('Month-End'!$AF$7&lt;&gt;"",NOT(_xlfn.ISFORMULA('Month-End'!$AF$7)))),IF(N('Month-End'!$AF$7)&lt;0,1,0),0)+IF(AND(OR(Settings!$B$20="Card",Settings!$B$20="Loan"),AND('Month-End'!$AF$8&lt;&gt;"",NOT(_xlfn.ISFORMULA('Month-End'!$AF$8)))),IF(N('Month-End'!$AF$8)&lt;0,1,0),0)+IF(AND(OR(Settings!$B$21="Card",Settings!$B$21="Loan"),AND('Month-End'!$AF$9&lt;&gt;"",NOT(_xlfn.ISFORMULA('Month-End'!$AF$9)))),IF(N('Month-End'!$AF$9)&lt;0,1,0),0)+IF(AND(OR(Settings!$B$22="Card",Settings!$B$22="Loan"),AND('Month-End'!$AF$10&lt;&gt;"",NOT(_xlfn.ISFORMULA('Month-End'!$AF$10)))),IF(N('Month-End'!$AF$10)&lt;0,1,0),0)+IF(AND(OR(Settings!$B$23="Card",Settings!$B$23="Loan"),AND('Month-End'!$AF$11&lt;&gt;"",NOT(_xlfn.ISFORMULA('Month-End'!$AF$11)))),IF(N('Month-End'!$AF$11)&lt;0,1,0),0)+IF(AND(OR(Settings!$B$24="Card",Settings!$B$24="Loan"),AND('Month-End'!$AF$12&lt;&gt;"",NOT(_xlfn.ISFORMULA('Month-End'!$AF$12)))),IF(N('Month-End'!$AF$12)&lt;0,1,0),0)+IF(AND(OR(Settings!$B$25="Card",Settings!$B$25="Loan"),AND('Month-End'!$AF$13&lt;&gt;"",NOT(_xlfn.ISFORMULA('Month-End'!$AF$13)))),IF(N('Month-End'!$AF$13)&lt;0,1,0),0)+IF(AND(OR(Settings!$B$26="Card",Settings!$B$26="Loan"),AND('Month-End'!$AF$14&lt;&gt;"",NOT(_xlfn.ISFORMULA('Month-End'!$AF$14)))),IF(N('Month-End'!$AF$14)&lt;0,1,0),0)+IF(AND(OR(Settings!$B$27="Card",Settings!$B$27="Loan"),AND('Month-End'!$AF$15&lt;&gt;"",NOT(_xlfn.ISFORMULA('Month-End'!$AF$15)))),IF(N('Month-End'!$AF$15)&lt;0,1,0),0)+IF(AND(OR(Settings!$B$28="Card",Settings!$B$28="Loan"),AND('Month-End'!$AF$16&lt;&gt;"",NOT(_xlfn.ISFORMULA('Month-End'!$AF$16)))),IF(N('Month-End'!$AF$16)&lt;0,1,0),0)+IF(AND(OR(Settings!$B$29="Card",Settings!$B$29="Loan"),AND('Month-End'!$AF$17&lt;&gt;"",NOT(_xlfn.ISFORMULA('Month-End'!$AF$17)))),IF(N('Month-End'!$AF$17)&lt;0,1,0),0)+IF(AND(OR(Settings!$B$30="Card",Settings!$B$30="Loan"),AND('Month-End'!$AF$18&lt;&gt;"",NOT(_xlfn.ISFORMULA('Month-End'!$AF$18)))),IF(N('Month-End'!$AF$18)&lt;0,1,0),0)+IF(AND(OR(Settings!$B$31="Card",Settings!$B$31="Loan"),AND('Month-End'!$AF$19&lt;&gt;"",NOT(_xlfn.ISFORMULA('Month-End'!$AF$19)))),IF(N('Month-End'!$AF$19)&lt;0,1,0),0)+IF(AND(OR(Settings!$B$32="Card",Settings!$B$32="Loan"),AND('Month-End'!$AF$20&lt;&gt;"",NOT(_xlfn.ISFORMULA('Month-End'!$AF$20)))),IF(N('Month-End'!$AF$20)&lt;0,1,0),0)</f>
        <v/>
      </c>
      <c r="DX35">
        <f>IF(Settings!$B$36="Retirement",$AY35,0)+IF(Settings!$B$37="Retirement",$AZ35,0)+IF(Settings!$B$38="Retirement",$BA35,0)+IF(Settings!$B$39="Retirement",$BB35,0)+IF(Settings!$B$40="Retirement",$BC35,0)+IF(Settings!$B$41="Retirement",$BD35,0)</f>
        <v/>
      </c>
      <c r="EA35" t="inlineStr">
        <is>
          <t>Latest done month label</t>
        </is>
      </c>
      <c r="EB35">
        <f>IF($EB$5=0,"Opening "&amp;TEXT(Settings!$B$5,"m/d/yy"),TEXT(INDEX($A:$A,$EB$5),"mmm yyyy"))</f>
        <v/>
      </c>
      <c r="ET35">
        <f>IF($E35&lt;&gt;"open",0,IF(AND('Month-End'!$AF$22&lt;&gt;"",NOT(_xlfn.ISFORMULA('Month-End'!$AF$22))),0,IF(OR(Settings!$C$45="",Settings!$D$45=""),0,Settings!$C$45*IF(Settings!$D$45="Weekly",IF(IFERROR(MATCH(Settings!$E$45,$EO$4:$EO$10,0),0)=0,0,IF(MIN(Settings!$B$5,IF(Settings!$G$45="",Settings!$B$5,Settings!$G$45))&lt;MAX($A35,Settings!$F$45),0,INT((MIN(Settings!$B$5,IF(Settings!$G$45="",Settings!$B$5,Settings!$G$45))-MAX($A35,Settings!$F$45)-MOD(IFERROR(MATCH(Settings!$E$45,$EO$4:$EO$10,0),0)-WEEKDAY(MAX($A35,Settings!$F$45)),7))/7)+1)),IF(AND(IF(Settings!$E$45="",$B35,DATE(YEAR($A35),MONTH($A35),MIN(Settings!$E$45,DAY($B35))))&gt;=MAX($A35,Settings!$F$45),IF(Settings!$E$45="",$B35,DATE(YEAR($A35),MONTH($A35),MIN(Settings!$E$45,DAY($B35))))&lt;=MIN(Settings!$B$5,IF(Settings!$G$45="",Settings!$B$5,Settings!$G$45))),1,0)))))</f>
        <v/>
      </c>
      <c r="EU35">
        <f>IF($E35&lt;&gt;"open",0,IF(AND('Month-End'!$AF$23&lt;&gt;"",NOT(_xlfn.ISFORMULA('Month-End'!$AF$23))),0,IF(OR(Settings!$C$46="",Settings!$D$46=""),0,Settings!$C$46*IF(Settings!$D$46="Weekly",IF(IFERROR(MATCH(Settings!$E$46,$EO$4:$EO$10,0),0)=0,0,IF(MIN(Settings!$B$5,IF(Settings!$G$46="",Settings!$B$5,Settings!$G$46))&lt;MAX($A35,Settings!$F$46),0,INT((MIN(Settings!$B$5,IF(Settings!$G$46="",Settings!$B$5,Settings!$G$46))-MAX($A35,Settings!$F$46)-MOD(IFERROR(MATCH(Settings!$E$46,$EO$4:$EO$10,0),0)-WEEKDAY(MAX($A35,Settings!$F$46)),7))/7)+1)),IF(AND(IF(Settings!$E$46="",$B35,DATE(YEAR($A35),MONTH($A35),MIN(Settings!$E$46,DAY($B35))))&gt;=MAX($A35,Settings!$F$46),IF(Settings!$E$46="",$B35,DATE(YEAR($A35),MONTH($A35),MIN(Settings!$E$46,DAY($B35))))&lt;=MIN(Settings!$B$5,IF(Settings!$G$46="",Settings!$B$5,Settings!$G$46))),1,0)))))</f>
        <v/>
      </c>
      <c r="EV35">
        <f>IF($E35&lt;&gt;"open",0,IF(AND('Month-End'!$AF$24&lt;&gt;"",NOT(_xlfn.ISFORMULA('Month-End'!$AF$24))),0,IF(OR(Settings!$C$47="",Settings!$D$47=""),0,Settings!$C$47*IF(Settings!$D$47="Weekly",IF(IFERROR(MATCH(Settings!$E$47,$EO$4:$EO$10,0),0)=0,0,IF(MIN(Settings!$B$5,IF(Settings!$G$47="",Settings!$B$5,Settings!$G$47))&lt;MAX($A35,Settings!$F$47),0,INT((MIN(Settings!$B$5,IF(Settings!$G$47="",Settings!$B$5,Settings!$G$47))-MAX($A35,Settings!$F$47)-MOD(IFERROR(MATCH(Settings!$E$47,$EO$4:$EO$10,0),0)-WEEKDAY(MAX($A35,Settings!$F$47)),7))/7)+1)),IF(AND(IF(Settings!$E$47="",$B35,DATE(YEAR($A35),MONTH($A35),MIN(Settings!$E$47,DAY($B35))))&gt;=MAX($A35,Settings!$F$47),IF(Settings!$E$47="",$B35,DATE(YEAR($A35),MONTH($A35),MIN(Settings!$E$47,DAY($B35))))&lt;=MIN(Settings!$B$5,IF(Settings!$G$47="",Settings!$B$5,Settings!$G$47))),1,0)))))</f>
        <v/>
      </c>
      <c r="EW35">
        <f>IF($E35&lt;&gt;"open",0,IF(AND('Month-End'!$AF$25&lt;&gt;"",NOT(_xlfn.ISFORMULA('Month-End'!$AF$25))),0,IF(OR(Settings!$C$48="",Settings!$D$48=""),0,Settings!$C$48*IF(Settings!$D$48="Weekly",IF(IFERROR(MATCH(Settings!$E$48,$EO$4:$EO$10,0),0)=0,0,IF(MIN(Settings!$B$5,IF(Settings!$G$48="",Settings!$B$5,Settings!$G$48))&lt;MAX($A35,Settings!$F$48),0,INT((MIN(Settings!$B$5,IF(Settings!$G$48="",Settings!$B$5,Settings!$G$48))-MAX($A35,Settings!$F$48)-MOD(IFERROR(MATCH(Settings!$E$48,$EO$4:$EO$10,0),0)-WEEKDAY(MAX($A35,Settings!$F$48)),7))/7)+1)),IF(AND(IF(Settings!$E$48="",$B35,DATE(YEAR($A35),MONTH($A35),MIN(Settings!$E$48,DAY($B35))))&gt;=MAX($A35,Settings!$F$48),IF(Settings!$E$48="",$B35,DATE(YEAR($A35),MONTH($A35),MIN(Settings!$E$48,DAY($B35))))&lt;=MIN(Settings!$B$5,IF(Settings!$G$48="",Settings!$B$5,Settings!$G$48))),1,0)))))</f>
        <v/>
      </c>
      <c r="EX35">
        <f>IF($E35&lt;&gt;"open",0,IF(AND('Month-End'!$AF$26&lt;&gt;"",NOT(_xlfn.ISFORMULA('Month-End'!$AF$26))),0,IF(OR(Settings!$C$49="",Settings!$D$49=""),0,Settings!$C$49*IF(Settings!$D$49="Weekly",IF(IFERROR(MATCH(Settings!$E$49,$EO$4:$EO$10,0),0)=0,0,IF(MIN(Settings!$B$5,IF(Settings!$G$49="",Settings!$B$5,Settings!$G$49))&lt;MAX($A35,Settings!$F$49),0,INT((MIN(Settings!$B$5,IF(Settings!$G$49="",Settings!$B$5,Settings!$G$49))-MAX($A35,Settings!$F$49)-MOD(IFERROR(MATCH(Settings!$E$49,$EO$4:$EO$10,0),0)-WEEKDAY(MAX($A35,Settings!$F$49)),7))/7)+1)),IF(AND(IF(Settings!$E$49="",$B35,DATE(YEAR($A35),MONTH($A35),MIN(Settings!$E$49,DAY($B35))))&gt;=MAX($A35,Settings!$F$49),IF(Settings!$E$49="",$B35,DATE(YEAR($A35),MONTH($A35),MIN(Settings!$E$49,DAY($B35))))&lt;=MIN(Settings!$B$5,IF(Settings!$G$49="",Settings!$B$5,Settings!$G$49))),1,0)))))</f>
        <v/>
      </c>
      <c r="EY35">
        <f>IF($E35&lt;&gt;"open",0,IF(AND('Month-End'!$AF$27&lt;&gt;"",NOT(_xlfn.ISFORMULA('Month-End'!$AF$27))),0,IF(OR(Settings!$C$50="",Settings!$D$50=""),0,Settings!$C$50*IF(Settings!$D$50="Weekly",IF(IFERROR(MATCH(Settings!$E$50,$EO$4:$EO$10,0),0)=0,0,IF(MIN(Settings!$B$5,IF(Settings!$G$50="",Settings!$B$5,Settings!$G$50))&lt;MAX($A35,Settings!$F$50),0,INT((MIN(Settings!$B$5,IF(Settings!$G$50="",Settings!$B$5,Settings!$G$50))-MAX($A35,Settings!$F$50)-MOD(IFERROR(MATCH(Settings!$E$50,$EO$4:$EO$10,0),0)-WEEKDAY(MAX($A35,Settings!$F$50)),7))/7)+1)),IF(AND(IF(Settings!$E$50="",$B35,DATE(YEAR($A35),MONTH($A35),MIN(Settings!$E$50,DAY($B35))))&gt;=MAX($A35,Settings!$F$50),IF(Settings!$E$50="",$B35,DATE(YEAR($A35),MONTH($A35),MIN(Settings!$E$50,DAY($B35))))&lt;=MIN(Settings!$B$5,IF(Settings!$G$50="",Settings!$B$5,Settings!$G$50))),1,0)))))</f>
        <v/>
      </c>
      <c r="EZ35">
        <f>IF($E35&lt;&gt;"open",0,IF(AND('Month-End'!$AF$28&lt;&gt;"",NOT(_xlfn.ISFORMULA('Month-End'!$AF$28))),0,IF(OR(Settings!$C$51="",Settings!$D$51=""),0,Settings!$C$51*IF(Settings!$D$51="Weekly",IF(IFERROR(MATCH(Settings!$E$51,$EO$4:$EO$10,0),0)=0,0,IF(MIN(Settings!$B$5,IF(Settings!$G$51="",Settings!$B$5,Settings!$G$51))&lt;MAX($A35,Settings!$F$51),0,INT((MIN(Settings!$B$5,IF(Settings!$G$51="",Settings!$B$5,Settings!$G$51))-MAX($A35,Settings!$F$51)-MOD(IFERROR(MATCH(Settings!$E$51,$EO$4:$EO$10,0),0)-WEEKDAY(MAX($A35,Settings!$F$51)),7))/7)+1)),IF(AND(IF(Settings!$E$51="",$B35,DATE(YEAR($A35),MONTH($A35),MIN(Settings!$E$51,DAY($B35))))&gt;=MAX($A35,Settings!$F$51),IF(Settings!$E$51="",$B35,DATE(YEAR($A35),MONTH($A35),MIN(Settings!$E$51,DAY($B35))))&lt;=MIN(Settings!$B$5,IF(Settings!$G$51="",Settings!$B$5,Settings!$G$51))),1,0)))))</f>
        <v/>
      </c>
      <c r="FA35">
        <f>IF($E35&lt;&gt;"open",0,IF(AND('Month-End'!$AF$29&lt;&gt;"",NOT(_xlfn.ISFORMULA('Month-End'!$AF$29))),0,IF(OR(Settings!$C$52="",Settings!$D$52=""),0,Settings!$C$52*IF(Settings!$D$52="Weekly",IF(IFERROR(MATCH(Settings!$E$52,$EO$4:$EO$10,0),0)=0,0,IF(MIN(Settings!$B$5,IF(Settings!$G$52="",Settings!$B$5,Settings!$G$52))&lt;MAX($A35,Settings!$F$52),0,INT((MIN(Settings!$B$5,IF(Settings!$G$52="",Settings!$B$5,Settings!$G$52))-MAX($A35,Settings!$F$52)-MOD(IFERROR(MATCH(Settings!$E$52,$EO$4:$EO$10,0),0)-WEEKDAY(MAX($A35,Settings!$F$52)),7))/7)+1)),IF(AND(IF(Settings!$E$52="",$B35,DATE(YEAR($A35),MONTH($A35),MIN(Settings!$E$52,DAY($B35))))&gt;=MAX($A35,Settings!$F$52),IF(Settings!$E$52="",$B35,DATE(YEAR($A35),MONTH($A35),MIN(Settings!$E$52,DAY($B35))))&lt;=MIN(Settings!$B$5,IF(Settings!$G$52="",Settings!$B$5,Settings!$G$52))),1,0)))))</f>
        <v/>
      </c>
      <c r="FB35">
        <f>IF($E35&lt;&gt;"open",0,IF(AND('Month-End'!$AF$30&lt;&gt;"",NOT(_xlfn.ISFORMULA('Month-End'!$AF$30))),0,IF(OR(Settings!$C$53="",Settings!$D$53=""),0,Settings!$C$53*IF(Settings!$D$53="Weekly",IF(IFERROR(MATCH(Settings!$E$53,$EO$4:$EO$10,0),0)=0,0,IF(MIN(Settings!$B$5,IF(Settings!$G$53="",Settings!$B$5,Settings!$G$53))&lt;MAX($A35,Settings!$F$53),0,INT((MIN(Settings!$B$5,IF(Settings!$G$53="",Settings!$B$5,Settings!$G$53))-MAX($A35,Settings!$F$53)-MOD(IFERROR(MATCH(Settings!$E$53,$EO$4:$EO$10,0),0)-WEEKDAY(MAX($A35,Settings!$F$53)),7))/7)+1)),IF(AND(IF(Settings!$E$53="",$B35,DATE(YEAR($A35),MONTH($A35),MIN(Settings!$E$53,DAY($B35))))&gt;=MAX($A35,Settings!$F$53),IF(Settings!$E$53="",$B35,DATE(YEAR($A35),MONTH($A35),MIN(Settings!$E$53,DAY($B35))))&lt;=MIN(Settings!$B$5,IF(Settings!$G$53="",Settings!$B$5,Settings!$G$53))),1,0)))))</f>
        <v/>
      </c>
      <c r="FC35">
        <f>IF($E35&lt;&gt;"open",0,IF(AND('Month-End'!$AF$31&lt;&gt;"",NOT(_xlfn.ISFORMULA('Month-End'!$AF$31))),0,IF(OR(Settings!$C$54="",Settings!$D$54=""),0,Settings!$C$54*IF(Settings!$D$54="Weekly",IF(IFERROR(MATCH(Settings!$E$54,$EO$4:$EO$10,0),0)=0,0,IF(MIN(Settings!$B$5,IF(Settings!$G$54="",Settings!$B$5,Settings!$G$54))&lt;MAX($A35,Settings!$F$54),0,INT((MIN(Settings!$B$5,IF(Settings!$G$54="",Settings!$B$5,Settings!$G$54))-MAX($A35,Settings!$F$54)-MOD(IFERROR(MATCH(Settings!$E$54,$EO$4:$EO$10,0),0)-WEEKDAY(MAX($A35,Settings!$F$54)),7))/7)+1)),IF(AND(IF(Settings!$E$54="",$B35,DATE(YEAR($A35),MONTH($A35),MIN(Settings!$E$54,DAY($B35))))&gt;=MAX($A35,Settings!$F$54),IF(Settings!$E$54="",$B35,DATE(YEAR($A35),MONTH($A35),MIN(Settings!$E$54,DAY($B35))))&lt;=MIN(Settings!$B$5,IF(Settings!$G$54="",Settings!$B$5,Settings!$G$54))),1,0)))))</f>
        <v/>
      </c>
      <c r="FD35">
        <f>IF($E35&lt;&gt;"open",0,IF(AND('Month-End'!$AF$32&lt;&gt;"",NOT(_xlfn.ISFORMULA('Month-End'!$AF$32))),0,IF(OR(Settings!$C$55="",Settings!$D$55=""),0,Settings!$C$55*IF(Settings!$D$55="Weekly",IF(IFERROR(MATCH(Settings!$E$55,$EO$4:$EO$10,0),0)=0,0,IF(MIN(Settings!$B$5,IF(Settings!$G$55="",Settings!$B$5,Settings!$G$55))&lt;MAX($A35,Settings!$F$55),0,INT((MIN(Settings!$B$5,IF(Settings!$G$55="",Settings!$B$5,Settings!$G$55))-MAX($A35,Settings!$F$55)-MOD(IFERROR(MATCH(Settings!$E$55,$EO$4:$EO$10,0),0)-WEEKDAY(MAX($A35,Settings!$F$55)),7))/7)+1)),IF(AND(IF(Settings!$E$55="",$B35,DATE(YEAR($A35),MONTH($A35),MIN(Settings!$E$55,DAY($B35))))&gt;=MAX($A35,Settings!$F$55),IF(Settings!$E$55="",$B35,DATE(YEAR($A35),MONTH($A35),MIN(Settings!$E$55,DAY($B35))))&lt;=MIN(Settings!$B$5,IF(Settings!$G$55="",Settings!$B$5,Settings!$G$55))),1,0)))))</f>
        <v/>
      </c>
      <c r="FE35">
        <f>IF($E35&lt;&gt;"open",0,IF(AND('Month-End'!$AF$33&lt;&gt;"",NOT(_xlfn.ISFORMULA('Month-End'!$AF$33))),0,IF(OR(Settings!$C$56="",Settings!$D$56=""),0,Settings!$C$56*IF(Settings!$D$56="Weekly",IF(IFERROR(MATCH(Settings!$E$56,$EO$4:$EO$10,0),0)=0,0,IF(MIN(Settings!$B$5,IF(Settings!$G$56="",Settings!$B$5,Settings!$G$56))&lt;MAX($A35,Settings!$F$56),0,INT((MIN(Settings!$B$5,IF(Settings!$G$56="",Settings!$B$5,Settings!$G$56))-MAX($A35,Settings!$F$56)-MOD(IFERROR(MATCH(Settings!$E$56,$EO$4:$EO$10,0),0)-WEEKDAY(MAX($A35,Settings!$F$56)),7))/7)+1)),IF(AND(IF(Settings!$E$56="",$B35,DATE(YEAR($A35),MONTH($A35),MIN(Settings!$E$56,DAY($B35))))&gt;=MAX($A35,Settings!$F$56),IF(Settings!$E$56="",$B35,DATE(YEAR($A35),MONTH($A35),MIN(Settings!$E$56,DAY($B35))))&lt;=MIN(Settings!$B$5,IF(Settings!$G$56="",Settings!$B$5,Settings!$G$56))),1,0)))))</f>
        <v/>
      </c>
      <c r="FF35">
        <f>IF(Settings!$I$45="Yes",$G35,0)+IF(Settings!$I$46="Yes",$H35,0)+IF(Settings!$I$47="Yes",$I35,0)+IF(Settings!$I$48="Yes",$J35,0)+IF(Settings!$I$49="Yes",$K35,0)+IF(Settings!$I$50="Yes",$L35,0)+IF(Settings!$I$51="Yes",$M35,0)+IF(Settings!$I$52="Yes",$N35,0)+IF(Settings!$I$53="Yes",$O35,0)+IF(Settings!$I$54="Yes",$P35,0)+IF(Settings!$I$55="Yes",$Q35,0)+IF(Settings!$I$56="Yes",$R35,0)</f>
        <v/>
      </c>
      <c r="FG35">
        <f>IF(AND(Settings!$I$45="Yes",Settings!$J$45="No"),$G35,0)+IF(AND(Settings!$I$46="Yes",Settings!$J$46="No"),$H35,0)+IF(AND(Settings!$I$47="Yes",Settings!$J$47="No"),$I35,0)+IF(AND(Settings!$I$48="Yes",Settings!$J$48="No"),$J35,0)+IF(AND(Settings!$I$49="Yes",Settings!$J$49="No"),$K35,0)+IF(AND(Settings!$I$50="Yes",Settings!$J$50="No"),$L35,0)+IF(AND(Settings!$I$51="Yes",Settings!$J$51="No"),$M35,0)+IF(AND(Settings!$I$52="Yes",Settings!$J$52="No"),$N35,0)+IF(AND(Settings!$I$53="Yes",Settings!$J$53="No"),$O35,0)+IF(AND(Settings!$I$54="Yes",Settings!$J$54="No"),$P35,0)+IF(AND(Settings!$I$55="Yes",Settings!$J$55="No"),$Q35,0)+IF(AND(Settings!$I$56="Yes",Settings!$J$56="No"),$R35,0)</f>
        <v/>
      </c>
      <c r="FH35">
        <f>SUMIFS(Giving!$B$7:$B$2006,Giving!$A$7:$A$2006,"&gt;="&amp;$A35,Giving!$A$7:$A$2006,"&lt;="&amp;$B35,Giving!$G$7:$G$2006,"Yes")+IF(OR(OR(Settings!$B$60="",Settings!$F$60="No"),Settings!$H$60&lt;&gt;"Yes"),0,Settings!$B$60*IF(AND(IF(Settings!$C$60="",$B35,DATE(YEAR($A35),MONTH($A35),MIN(Settings!$C$60,DAY($B35))))&gt;=MAX($A35,Settings!$D$60),IF(Settings!$C$60="",$B35,DATE(YEAR($A35),MONTH($A35),MIN(Settings!$C$60,DAY($B35))))&lt;=MIN($C35,IF(Settings!$E$60="",$C35,Settings!$E$60))),1,0))+IF(OR(OR(Settings!$B$61="",Settings!$F$61="No"),Settings!$H$61&lt;&gt;"Yes"),0,Settings!$B$61*IF(AND(IF(Settings!$C$61="",$B35,DATE(YEAR($A35),MONTH($A35),MIN(Settings!$C$61,DAY($B35))))&gt;=MAX($A35,Settings!$D$61),IF(Settings!$C$61="",$B35,DATE(YEAR($A35),MONTH($A35),MIN(Settings!$C$61,DAY($B35))))&lt;=MIN($C35,IF(Settings!$E$61="",$C35,Settings!$E$61))),1,0))+IF(OR(OR(Settings!$B$62="",Settings!$F$62="No"),Settings!$H$62&lt;&gt;"Yes"),0,Settings!$B$62*IF(AND(IF(Settings!$C$62="",$B35,DATE(YEAR($A35),MONTH($A35),MIN(Settings!$C$62,DAY($B35))))&gt;=MAX($A35,Settings!$D$62),IF(Settings!$C$62="",$B35,DATE(YEAR($A35),MONTH($A35),MIN(Settings!$C$62,DAY($B35))))&lt;=MIN($C35,IF(Settings!$E$62="",$C35,Settings!$E$62))),1,0))+IF(OR(OR(Settings!$B$63="",Settings!$F$63="No"),Settings!$H$63&lt;&gt;"Yes"),0,Settings!$B$63*IF(AND(IF(Settings!$C$63="",$B35,DATE(YEAR($A35),MONTH($A35),MIN(Settings!$C$63,DAY($B35))))&gt;=MAX($A35,Settings!$D$63),IF(Settings!$C$63="",$B35,DATE(YEAR($A35),MONTH($A35),MIN(Settings!$C$63,DAY($B35))))&lt;=MIN($C35,IF(Settings!$E$63="",$C35,Settings!$E$63))),1,0))+IF(OR(OR(Settings!$B$64="",Settings!$F$64="No"),Settings!$H$64&lt;&gt;"Yes"),0,Settings!$B$64*IF(AND(IF(Settings!$C$64="",$B35,DATE(YEAR($A35),MONTH($A35),MIN(Settings!$C$64,DAY($B35))))&gt;=MAX($A35,Settings!$D$64),IF(Settings!$C$64="",$B35,DATE(YEAR($A35),MONTH($A35),MIN(Settings!$C$64,DAY($B35))))&lt;=MIN($C35,IF(Settings!$E$64="",$C35,Settings!$E$64))),1,0))+IF(OR(OR(Settings!$B$65="",Settings!$F$65="No"),Settings!$H$65&lt;&gt;"Yes"),0,Settings!$B$65*IF(AND(IF(Settings!$C$65="",$B35,DATE(YEAR($A35),MONTH($A35),MIN(Settings!$C$65,DAY($B35))))&gt;=MAX($A35,Settings!$D$65),IF(Settings!$C$65="",$B35,DATE(YEAR($A35),MONTH($A35),MIN(Settings!$C$65,DAY($B35))))&lt;=MIN($C35,IF(Settings!$E$65="",$C35,Settings!$E$65))),1,0))</f>
        <v/>
      </c>
      <c r="FI35">
        <f>IF($DT35=1,IF(OR(Settings!$B$19="Card",Settings!$B$19="Loan"),N($AE35),0)+IF(OR(Settings!$B$20="Card",Settings!$B$20="Loan"),N($AF35),0)+IF(OR(Settings!$B$21="Card",Settings!$B$21="Loan"),N($AG35),0)+IF(OR(Settings!$B$22="Card",Settings!$B$22="Loan"),N($AH35),0)+IF(OR(Settings!$B$23="Card",Settings!$B$23="Loan"),N($AI35),0)+IF(OR(Settings!$B$24="Card",Settings!$B$24="Loan"),N($AJ35),0)+IF(OR(Settings!$B$25="Card",Settings!$B$25="Loan"),N($AK35),0)+IF(OR(Settings!$B$26="Card",Settings!$B$26="Loan"),N($AL35),0)+IF(OR(Settings!$B$27="Card",Settings!$B$27="Loan"),N($AM35),0)+IF(OR(Settings!$B$28="Card",Settings!$B$28="Loan"),N($AN35),0)+IF(OR(Settings!$B$29="Card",Settings!$B$29="Loan"),N($AO35),0)+IF(OR(Settings!$B$30="Card",Settings!$B$30="Loan"),N($AP35),0)+IF(OR(Settings!$B$31="Card",Settings!$B$31="Loan"),N($AQ35),0)+IF(OR(Settings!$B$32="Card",Settings!$B$32="Loan"),N($AR35),0),"")</f>
        <v/>
      </c>
      <c r="FJ35">
        <f>IF($E35="open",$EB$65,IF($E35="post",IF($E34="pre",$EB$65,$FI34),""))</f>
        <v/>
      </c>
      <c r="FK35">
        <f>IF(AND($DT35=1,$DC35=1),IF(ROUND($FI35-$FJ35,2)&gt;0,1,0),0)</f>
        <v/>
      </c>
      <c r="FL35">
        <f>IF($FK35=1,$FL34+1,0)</f>
        <v/>
      </c>
    </row>
    <row r="36">
      <c r="A36">
        <f>'Month-End'!$AG$4</f>
        <v/>
      </c>
      <c r="B36">
        <f>EOMONTH($A36,0)</f>
        <v/>
      </c>
      <c r="C36">
        <f>MIN($B36,TODAY())</f>
        <v/>
      </c>
      <c r="D36">
        <f>IF($A36&gt;TODAY(),1,0)</f>
        <v/>
      </c>
      <c r="E36">
        <f>IF($B36&lt;=Settings!$B$5,"pre",IF($A36&lt;=Settings!$B$5,"open","post"))</f>
        <v/>
      </c>
      <c r="G36">
        <f>IF('Month-End'!$AG$22="",$BE36,N('Month-End'!$AG$22))</f>
        <v/>
      </c>
      <c r="H36">
        <f>IF('Month-End'!$AG$23="",$BF36,N('Month-End'!$AG$23))</f>
        <v/>
      </c>
      <c r="I36">
        <f>IF('Month-End'!$AG$24="",$BG36,N('Month-End'!$AG$24))</f>
        <v/>
      </c>
      <c r="J36">
        <f>IF('Month-End'!$AG$25="",$BH36,N('Month-End'!$AG$25))</f>
        <v/>
      </c>
      <c r="K36">
        <f>IF('Month-End'!$AG$26="",$BI36,N('Month-End'!$AG$26))</f>
        <v/>
      </c>
      <c r="L36">
        <f>IF('Month-End'!$AG$27="",$BJ36,N('Month-End'!$AG$27))</f>
        <v/>
      </c>
      <c r="M36">
        <f>IF('Month-End'!$AG$28="",$BK36,N('Month-End'!$AG$28))</f>
        <v/>
      </c>
      <c r="N36">
        <f>IF('Month-End'!$AG$29="",$BL36,N('Month-End'!$AG$29))</f>
        <v/>
      </c>
      <c r="O36">
        <f>IF('Month-End'!$AG$30="",$BM36,N('Month-End'!$AG$30))</f>
        <v/>
      </c>
      <c r="P36">
        <f>IF('Month-End'!$AG$31="",$BN36,N('Month-End'!$AG$31))</f>
        <v/>
      </c>
      <c r="Q36">
        <f>IF('Month-End'!$AG$32="",$BO36,N('Month-End'!$AG$32))</f>
        <v/>
      </c>
      <c r="R36">
        <f>IF('Month-End'!$AG$33="",$BP36,N('Month-End'!$AG$33))</f>
        <v/>
      </c>
      <c r="S36">
        <f>$G36+$H36+$I36+$J36+$K36+$L36+$M36+$N36+$O36+$P36+$Q36+$R36</f>
        <v/>
      </c>
      <c r="T36">
        <f>IF($B36&lt;Settings!$B$6,0,IF(Settings!$B$45="Yes",$G36,0)+IF(Settings!$B$46="Yes",$H36,0)+IF(Settings!$B$47="Yes",$I36,0)+IF(Settings!$B$48="Yes",$J36,0)+IF(Settings!$B$49="Yes",$K36,0)+IF(Settings!$B$50="Yes",$L36,0)+IF(Settings!$B$51="Yes",$M36,0)+IF(Settings!$B$52="Yes",$N36,0)+IF(Settings!$B$53="Yes",$O36,0)+IF(Settings!$B$54="Yes",$P36,0)+IF(Settings!$B$55="Yes",$Q36,0)+IF(Settings!$B$56="Yes",$R36,0))</f>
        <v/>
      </c>
      <c r="U36">
        <f>IF(Settings!$B$45="Not Sure",$G36,0)+IF(Settings!$B$46="Not Sure",$H36,0)+IF(Settings!$B$47="Not Sure",$I36,0)+IF(Settings!$B$48="Not Sure",$J36,0)+IF(Settings!$B$49="Not Sure",$K36,0)+IF(Settings!$B$50="Not Sure",$L36,0)+IF(Settings!$B$51="Not Sure",$M36,0)+IF(Settings!$B$52="Not Sure",$N36,0)+IF(Settings!$B$53="Not Sure",$O36,0)+IF(Settings!$B$54="Not Sure",$P36,0)+IF(Settings!$B$55="Not Sure",$Q36,0)+IF(Settings!$B$56="Not Sure",$R36,0)</f>
        <v/>
      </c>
      <c r="V36">
        <f>IF($E36="open",SUM($ET36:$FE36)+N(Settings!$B$13),0)</f>
        <v/>
      </c>
      <c r="W36">
        <f>IF($E36="post",$S36,IF($E36="open",$S36-$V36,0))</f>
        <v/>
      </c>
      <c r="X36">
        <f>SUMIFS(Giving!$B$7:$B$2006,Giving!$A$7:$A$2006,"&gt;="&amp;$A36,Giving!$A$7:$A$2006,"&lt;="&amp;$B36,Giving!$E$7:$E$2006,"&lt;&gt;No")</f>
        <v/>
      </c>
      <c r="Y36">
        <f>SUMIFS(Giving!$B$7:$B$2006,Giving!$A$7:$A$2006,"&gt;="&amp;$A36,Giving!$A$7:$A$2006,"&lt;="&amp;$B36,Giving!$E$7:$E$2006,"No")</f>
        <v/>
      </c>
      <c r="Z36">
        <f>IF(OR(Settings!$B$60="",Settings!$F$60="No"),0,Settings!$B$60*IF(AND(IF(Settings!$C$60="",$B36,DATE(YEAR($A36),MONTH($A36),MIN(Settings!$C$60,DAY($B36))))&gt;=MAX($A36,Settings!$D$60),IF(Settings!$C$60="",$B36,DATE(YEAR($A36),MONTH($A36),MIN(Settings!$C$60,DAY($B36))))&lt;=MIN($C36,IF(Settings!$E$60="",$C36,Settings!$E$60))),1,0))+IF(OR(Settings!$B$61="",Settings!$F$61="No"),0,Settings!$B$61*IF(AND(IF(Settings!$C$61="",$B36,DATE(YEAR($A36),MONTH($A36),MIN(Settings!$C$61,DAY($B36))))&gt;=MAX($A36,Settings!$D$61),IF(Settings!$C$61="",$B36,DATE(YEAR($A36),MONTH($A36),MIN(Settings!$C$61,DAY($B36))))&lt;=MIN($C36,IF(Settings!$E$61="",$C36,Settings!$E$61))),1,0))+IF(OR(Settings!$B$62="",Settings!$F$62="No"),0,Settings!$B$62*IF(AND(IF(Settings!$C$62="",$B36,DATE(YEAR($A36),MONTH($A36),MIN(Settings!$C$62,DAY($B36))))&gt;=MAX($A36,Settings!$D$62),IF(Settings!$C$62="",$B36,DATE(YEAR($A36),MONTH($A36),MIN(Settings!$C$62,DAY($B36))))&lt;=MIN($C36,IF(Settings!$E$62="",$C36,Settings!$E$62))),1,0))+IF(OR(Settings!$B$63="",Settings!$F$63="No"),0,Settings!$B$63*IF(AND(IF(Settings!$C$63="",$B36,DATE(YEAR($A36),MONTH($A36),MIN(Settings!$C$63,DAY($B36))))&gt;=MAX($A36,Settings!$D$63),IF(Settings!$C$63="",$B36,DATE(YEAR($A36),MONTH($A36),MIN(Settings!$C$63,DAY($B36))))&lt;=MIN($C36,IF(Settings!$E$63="",$C36,Settings!$E$63))),1,0))+IF(OR(Settings!$B$64="",Settings!$F$64="No"),0,Settings!$B$64*IF(AND(IF(Settings!$C$64="",$B36,DATE(YEAR($A36),MONTH($A36),MIN(Settings!$C$64,DAY($B36))))&gt;=MAX($A36,Settings!$D$64),IF(Settings!$C$64="",$B36,DATE(YEAR($A36),MONTH($A36),MIN(Settings!$C$64,DAY($B36))))&lt;=MIN($C36,IF(Settings!$E$64="",$C36,Settings!$E$64))),1,0))+IF(OR(Settings!$B$65="",Settings!$F$65="No"),0,Settings!$B$65*IF(AND(IF(Settings!$C$65="",$B36,DATE(YEAR($A36),MONTH($A36),MIN(Settings!$C$65,DAY($B36))))&gt;=MAX($A36,Settings!$D$65),IF(Settings!$C$65="",$B36,DATE(YEAR($A36),MONTH($A36),MIN(Settings!$C$65,DAY($B36))))&lt;=MIN($C36,IF(Settings!$E$65="",$C36,Settings!$E$65))),1,0))</f>
        <v/>
      </c>
      <c r="AA36">
        <f>$X36+$Z36</f>
        <v/>
      </c>
      <c r="AB36">
        <f>IF($E36="post",$AA36,IF($E36="open",SUMIFS(Giving!$B$7:$B$2006,Giving!$A$7:$A$2006,"&gt;"&amp;Settings!$B$5,Giving!$A$7:$A$2006,"&lt;="&amp;$B36,Giving!$E$7:$E$2006,"&lt;&gt;No")+IF(OR(Settings!$B$60="",Settings!$F$60="No"),0,Settings!$B$60*IF(AND(IF(Settings!$C$60="",$B36,DATE(YEAR($A36),MONTH($A36),MIN(Settings!$C$60,DAY($B36))))&gt;=MAX($A36,Settings!$D$60,Settings!$B$5+1),IF(Settings!$C$60="",$B36,DATE(YEAR($A36),MONTH($A36),MIN(Settings!$C$60,DAY($B36))))&lt;=MIN($C36,IF(Settings!$E$60="",$C36,Settings!$E$60))),1,0))+IF(OR(Settings!$B$61="",Settings!$F$61="No"),0,Settings!$B$61*IF(AND(IF(Settings!$C$61="",$B36,DATE(YEAR($A36),MONTH($A36),MIN(Settings!$C$61,DAY($B36))))&gt;=MAX($A36,Settings!$D$61,Settings!$B$5+1),IF(Settings!$C$61="",$B36,DATE(YEAR($A36),MONTH($A36),MIN(Settings!$C$61,DAY($B36))))&lt;=MIN($C36,IF(Settings!$E$61="",$C36,Settings!$E$61))),1,0))+IF(OR(Settings!$B$62="",Settings!$F$62="No"),0,Settings!$B$62*IF(AND(IF(Settings!$C$62="",$B36,DATE(YEAR($A36),MONTH($A36),MIN(Settings!$C$62,DAY($B36))))&gt;=MAX($A36,Settings!$D$62,Settings!$B$5+1),IF(Settings!$C$62="",$B36,DATE(YEAR($A36),MONTH($A36),MIN(Settings!$C$62,DAY($B36))))&lt;=MIN($C36,IF(Settings!$E$62="",$C36,Settings!$E$62))),1,0))+IF(OR(Settings!$B$63="",Settings!$F$63="No"),0,Settings!$B$63*IF(AND(IF(Settings!$C$63="",$B36,DATE(YEAR($A36),MONTH($A36),MIN(Settings!$C$63,DAY($B36))))&gt;=MAX($A36,Settings!$D$63,Settings!$B$5+1),IF(Settings!$C$63="",$B36,DATE(YEAR($A36),MONTH($A36),MIN(Settings!$C$63,DAY($B36))))&lt;=MIN($C36,IF(Settings!$E$63="",$C36,Settings!$E$63))),1,0))+IF(OR(Settings!$B$64="",Settings!$F$64="No"),0,Settings!$B$64*IF(AND(IF(Settings!$C$64="",$B36,DATE(YEAR($A36),MONTH($A36),MIN(Settings!$C$64,DAY($B36))))&gt;=MAX($A36,Settings!$D$64,Settings!$B$5+1),IF(Settings!$C$64="",$B36,DATE(YEAR($A36),MONTH($A36),MIN(Settings!$C$64,DAY($B36))))&lt;=MIN($C36,IF(Settings!$E$64="",$C36,Settings!$E$64))),1,0))+IF(OR(Settings!$B$65="",Settings!$F$65="No"),0,Settings!$B$65*IF(AND(IF(Settings!$C$65="",$B36,DATE(YEAR($A36),MONTH($A36),MIN(Settings!$C$65,DAY($B36))))&gt;=MAX($A36,Settings!$D$65,Settings!$B$5+1),IF(Settings!$C$65="",$B36,DATE(YEAR($A36),MONTH($A36),MIN(Settings!$C$65,DAY($B36))))&lt;=MIN($C36,IF(Settings!$E$65="",$C36,Settings!$E$65))),1,0)),0))</f>
        <v/>
      </c>
      <c r="AC36">
        <f>$AY36+$AZ36+$BA36+$BB36+$BC36+$BD36</f>
        <v/>
      </c>
      <c r="AD36">
        <f>$AC36</f>
        <v/>
      </c>
      <c r="AE36">
        <f>IF(OR(Settings!$A$19="",$E36="pre"),"",IF(AND('Month-End'!$AG$7&lt;&gt;"",NOT(_xlfn.ISFORMULA('Month-End'!$AG$7))),N('Month-End'!$AG$7),IF(OR($E36="open",$E35="pre"),N(Settings!$C$19),N($AE35))))</f>
        <v/>
      </c>
      <c r="AF36">
        <f>IF(OR(Settings!$A$20="",$E36="pre"),"",IF(AND('Month-End'!$AG$8&lt;&gt;"",NOT(_xlfn.ISFORMULA('Month-End'!$AG$8))),N('Month-End'!$AG$8),IF(OR($E36="open",$E35="pre"),N(Settings!$C$20),N($AF35))))</f>
        <v/>
      </c>
      <c r="AG36">
        <f>IF(OR(Settings!$A$21="",$E36="pre"),"",IF(AND('Month-End'!$AG$9&lt;&gt;"",NOT(_xlfn.ISFORMULA('Month-End'!$AG$9))),N('Month-End'!$AG$9),IF(OR($E36="open",$E35="pre"),N(Settings!$C$21),N($AG35))))</f>
        <v/>
      </c>
      <c r="AH36">
        <f>IF(OR(Settings!$A$22="",$E36="pre"),"",IF(AND('Month-End'!$AG$10&lt;&gt;"",NOT(_xlfn.ISFORMULA('Month-End'!$AG$10))),N('Month-End'!$AG$10),IF(OR($E36="open",$E35="pre"),N(Settings!$C$22),N($AH35))))</f>
        <v/>
      </c>
      <c r="AI36">
        <f>IF(OR(Settings!$A$23="",$E36="pre"),"",IF(AND('Month-End'!$AG$11&lt;&gt;"",NOT(_xlfn.ISFORMULA('Month-End'!$AG$11))),N('Month-End'!$AG$11),IF(OR($E36="open",$E35="pre"),N(Settings!$C$23),N($AI35))))</f>
        <v/>
      </c>
      <c r="AJ36">
        <f>IF(OR(Settings!$A$24="",$E36="pre"),"",IF(AND('Month-End'!$AG$12&lt;&gt;"",NOT(_xlfn.ISFORMULA('Month-End'!$AG$12))),N('Month-End'!$AG$12),IF(OR($E36="open",$E35="pre"),N(Settings!$C$24),N($AJ35))))</f>
        <v/>
      </c>
      <c r="AK36">
        <f>IF(OR(Settings!$A$25="",$E36="pre"),"",IF(AND('Month-End'!$AG$13&lt;&gt;"",NOT(_xlfn.ISFORMULA('Month-End'!$AG$13))),N('Month-End'!$AG$13),IF(OR($E36="open",$E35="pre"),N(Settings!$C$25),N($AK35))))</f>
        <v/>
      </c>
      <c r="AL36">
        <f>IF(OR(Settings!$A$26="",$E36="pre"),"",IF(AND('Month-End'!$AG$14&lt;&gt;"",NOT(_xlfn.ISFORMULA('Month-End'!$AG$14))),N('Month-End'!$AG$14),IF(OR($E36="open",$E35="pre"),N(Settings!$C$26),N($AL35))))</f>
        <v/>
      </c>
      <c r="AM36">
        <f>IF(OR(Settings!$A$27="",$E36="pre"),"",IF(AND('Month-End'!$AG$15&lt;&gt;"",NOT(_xlfn.ISFORMULA('Month-End'!$AG$15))),N('Month-End'!$AG$15),IF(OR($E36="open",$E35="pre"),N(Settings!$C$27),N($AM35))))</f>
        <v/>
      </c>
      <c r="AN36">
        <f>IF(OR(Settings!$A$28="",$E36="pre"),"",IF(AND('Month-End'!$AG$16&lt;&gt;"",NOT(_xlfn.ISFORMULA('Month-End'!$AG$16))),N('Month-End'!$AG$16),IF(OR($E36="open",$E35="pre"),N(Settings!$C$28),N($AN35))))</f>
        <v/>
      </c>
      <c r="AO36">
        <f>IF(OR(Settings!$A$29="",$E36="pre"),"",IF(AND('Month-End'!$AG$17&lt;&gt;"",NOT(_xlfn.ISFORMULA('Month-End'!$AG$17))),N('Month-End'!$AG$17),IF(OR($E36="open",$E35="pre"),N(Settings!$C$29),N($AO35))))</f>
        <v/>
      </c>
      <c r="AP36">
        <f>IF(OR(Settings!$A$30="",$E36="pre"),"",IF(AND('Month-End'!$AG$18&lt;&gt;"",NOT(_xlfn.ISFORMULA('Month-End'!$AG$18))),N('Month-End'!$AG$18),IF(OR($E36="open",$E35="pre"),N(Settings!$C$30),N($AP35))))</f>
        <v/>
      </c>
      <c r="AQ36">
        <f>IF(OR(Settings!$A$31="",$E36="pre"),"",IF(AND('Month-End'!$AG$19&lt;&gt;"",NOT(_xlfn.ISFORMULA('Month-End'!$AG$19))),N('Month-End'!$AG$19),IF(OR($E36="open",$E35="pre"),N(Settings!$C$31),N($AQ35))))</f>
        <v/>
      </c>
      <c r="AR36">
        <f>IF(OR(Settings!$A$32="",$E36="pre"),"",IF(AND('Month-End'!$AG$20&lt;&gt;"",NOT(_xlfn.ISFORMULA('Month-End'!$AG$20))),N('Month-End'!$AG$20),IF(OR($E36="open",$E35="pre"),N(Settings!$C$32),N($AR35))))</f>
        <v/>
      </c>
      <c r="AS36">
        <f>IF(OR(Settings!$A$36="",$E36="pre"),"",IF(AND('Month-End'!$AG$38&lt;&gt;"",NOT(_xlfn.ISFORMULA('Month-End'!$AG$38))),N('Month-End'!$AG$38),IF(OR($E36="open",$E35="pre"),N(Settings!$C$36),N($AS35))+$AY36))</f>
        <v/>
      </c>
      <c r="AT36">
        <f>IF(OR(Settings!$A$37="",$E36="pre"),"",IF(AND('Month-End'!$AG$39&lt;&gt;"",NOT(_xlfn.ISFORMULA('Month-End'!$AG$39))),N('Month-End'!$AG$39),IF(OR($E36="open",$E35="pre"),N(Settings!$C$37),N($AT35))+$AZ36))</f>
        <v/>
      </c>
      <c r="AU36">
        <f>IF(OR(Settings!$A$38="",$E36="pre"),"",IF(AND('Month-End'!$AG$40&lt;&gt;"",NOT(_xlfn.ISFORMULA('Month-End'!$AG$40))),N('Month-End'!$AG$40),IF(OR($E36="open",$E35="pre"),N(Settings!$C$38),N($AU35))+$BA36))</f>
        <v/>
      </c>
      <c r="AV36">
        <f>IF(OR(Settings!$A$39="",$E36="pre"),"",IF(AND('Month-End'!$AG$41&lt;&gt;"",NOT(_xlfn.ISFORMULA('Month-End'!$AG$41))),N('Month-End'!$AG$41),IF(OR($E36="open",$E35="pre"),N(Settings!$C$39),N($AV35))+$BB36))</f>
        <v/>
      </c>
      <c r="AW36">
        <f>IF(OR(Settings!$A$40="",$E36="pre"),"",IF(AND('Month-End'!$AG$42&lt;&gt;"",NOT(_xlfn.ISFORMULA('Month-End'!$AG$42))),N('Month-End'!$AG$42),IF(OR($E36="open",$E35="pre"),N(Settings!$C$40),N($AW35))+$BC36))</f>
        <v/>
      </c>
      <c r="AX36">
        <f>IF(OR(Settings!$A$41="",$E36="pre"),"",IF(AND('Month-End'!$AG$43&lt;&gt;"",NOT(_xlfn.ISFORMULA('Month-End'!$AG$43))),N('Month-End'!$AG$43),IF(OR($E36="open",$E35="pre"),N(Settings!$C$41),N($AX35))+$BD36))</f>
        <v/>
      </c>
      <c r="AY36">
        <f>IF($E36="pre",0,N('Month-End'!$AG$45))</f>
        <v/>
      </c>
      <c r="AZ36">
        <f>IF($E36="pre",0,N('Month-End'!$AG$46))</f>
        <v/>
      </c>
      <c r="BA36">
        <f>IF($E36="pre",0,N('Month-End'!$AG$47))</f>
        <v/>
      </c>
      <c r="BB36">
        <f>IF($E36="pre",0,N('Month-End'!$AG$48))</f>
        <v/>
      </c>
      <c r="BC36">
        <f>IF($E36="pre",0,N('Month-End'!$AG$49))</f>
        <v/>
      </c>
      <c r="BD36">
        <f>IF($E36="pre",0,N('Month-End'!$AG$50))</f>
        <v/>
      </c>
      <c r="BE36">
        <f>IF(OR(Settings!$C$45="",Settings!$D$45=""),0,Settings!$C$45*IF(Settings!$D$45="Weekly",IF(IFERROR(MATCH(Settings!$E$45,$EO$4:$EO$10,0),0)=0,0,IF(MIN($C36,IF(Settings!$G$45="",$C36,Settings!$G$45))&lt;MAX($A36,Settings!$F$45),0,INT((MIN($C36,IF(Settings!$G$45="",$C36,Settings!$G$45))-MAX($A36,Settings!$F$45)-MOD(IFERROR(MATCH(Settings!$E$45,$EO$4:$EO$10,0),0)-WEEKDAY(MAX($A36,Settings!$F$45)),7))/7)+1)),IF(AND(IF(Settings!$E$45="",$B36,DATE(YEAR($A36),MONTH($A36),MIN(Settings!$E$45,DAY($B36))))&gt;=MAX($A36,Settings!$F$45),IF(Settings!$E$45="",$B36,DATE(YEAR($A36),MONTH($A36),MIN(Settings!$E$45,DAY($B36))))&lt;=MIN($C36,IF(Settings!$G$45="",$C36,Settings!$G$45))),1,0)))</f>
        <v/>
      </c>
      <c r="BF36">
        <f>IF(OR(Settings!$C$46="",Settings!$D$46=""),0,Settings!$C$46*IF(Settings!$D$46="Weekly",IF(IFERROR(MATCH(Settings!$E$46,$EO$4:$EO$10,0),0)=0,0,IF(MIN($C36,IF(Settings!$G$46="",$C36,Settings!$G$46))&lt;MAX($A36,Settings!$F$46),0,INT((MIN($C36,IF(Settings!$G$46="",$C36,Settings!$G$46))-MAX($A36,Settings!$F$46)-MOD(IFERROR(MATCH(Settings!$E$46,$EO$4:$EO$10,0),0)-WEEKDAY(MAX($A36,Settings!$F$46)),7))/7)+1)),IF(AND(IF(Settings!$E$46="",$B36,DATE(YEAR($A36),MONTH($A36),MIN(Settings!$E$46,DAY($B36))))&gt;=MAX($A36,Settings!$F$46),IF(Settings!$E$46="",$B36,DATE(YEAR($A36),MONTH($A36),MIN(Settings!$E$46,DAY($B36))))&lt;=MIN($C36,IF(Settings!$G$46="",$C36,Settings!$G$46))),1,0)))</f>
        <v/>
      </c>
      <c r="BG36">
        <f>IF(OR(Settings!$C$47="",Settings!$D$47=""),0,Settings!$C$47*IF(Settings!$D$47="Weekly",IF(IFERROR(MATCH(Settings!$E$47,$EO$4:$EO$10,0),0)=0,0,IF(MIN($C36,IF(Settings!$G$47="",$C36,Settings!$G$47))&lt;MAX($A36,Settings!$F$47),0,INT((MIN($C36,IF(Settings!$G$47="",$C36,Settings!$G$47))-MAX($A36,Settings!$F$47)-MOD(IFERROR(MATCH(Settings!$E$47,$EO$4:$EO$10,0),0)-WEEKDAY(MAX($A36,Settings!$F$47)),7))/7)+1)),IF(AND(IF(Settings!$E$47="",$B36,DATE(YEAR($A36),MONTH($A36),MIN(Settings!$E$47,DAY($B36))))&gt;=MAX($A36,Settings!$F$47),IF(Settings!$E$47="",$B36,DATE(YEAR($A36),MONTH($A36),MIN(Settings!$E$47,DAY($B36))))&lt;=MIN($C36,IF(Settings!$G$47="",$C36,Settings!$G$47))),1,0)))</f>
        <v/>
      </c>
      <c r="BH36">
        <f>IF(OR(Settings!$C$48="",Settings!$D$48=""),0,Settings!$C$48*IF(Settings!$D$48="Weekly",IF(IFERROR(MATCH(Settings!$E$48,$EO$4:$EO$10,0),0)=0,0,IF(MIN($C36,IF(Settings!$G$48="",$C36,Settings!$G$48))&lt;MAX($A36,Settings!$F$48),0,INT((MIN($C36,IF(Settings!$G$48="",$C36,Settings!$G$48))-MAX($A36,Settings!$F$48)-MOD(IFERROR(MATCH(Settings!$E$48,$EO$4:$EO$10,0),0)-WEEKDAY(MAX($A36,Settings!$F$48)),7))/7)+1)),IF(AND(IF(Settings!$E$48="",$B36,DATE(YEAR($A36),MONTH($A36),MIN(Settings!$E$48,DAY($B36))))&gt;=MAX($A36,Settings!$F$48),IF(Settings!$E$48="",$B36,DATE(YEAR($A36),MONTH($A36),MIN(Settings!$E$48,DAY($B36))))&lt;=MIN($C36,IF(Settings!$G$48="",$C36,Settings!$G$48))),1,0)))</f>
        <v/>
      </c>
      <c r="BI36">
        <f>IF(OR(Settings!$C$49="",Settings!$D$49=""),0,Settings!$C$49*IF(Settings!$D$49="Weekly",IF(IFERROR(MATCH(Settings!$E$49,$EO$4:$EO$10,0),0)=0,0,IF(MIN($C36,IF(Settings!$G$49="",$C36,Settings!$G$49))&lt;MAX($A36,Settings!$F$49),0,INT((MIN($C36,IF(Settings!$G$49="",$C36,Settings!$G$49))-MAX($A36,Settings!$F$49)-MOD(IFERROR(MATCH(Settings!$E$49,$EO$4:$EO$10,0),0)-WEEKDAY(MAX($A36,Settings!$F$49)),7))/7)+1)),IF(AND(IF(Settings!$E$49="",$B36,DATE(YEAR($A36),MONTH($A36),MIN(Settings!$E$49,DAY($B36))))&gt;=MAX($A36,Settings!$F$49),IF(Settings!$E$49="",$B36,DATE(YEAR($A36),MONTH($A36),MIN(Settings!$E$49,DAY($B36))))&lt;=MIN($C36,IF(Settings!$G$49="",$C36,Settings!$G$49))),1,0)))</f>
        <v/>
      </c>
      <c r="BJ36">
        <f>IF(OR(Settings!$C$50="",Settings!$D$50=""),0,Settings!$C$50*IF(Settings!$D$50="Weekly",IF(IFERROR(MATCH(Settings!$E$50,$EO$4:$EO$10,0),0)=0,0,IF(MIN($C36,IF(Settings!$G$50="",$C36,Settings!$G$50))&lt;MAX($A36,Settings!$F$50),0,INT((MIN($C36,IF(Settings!$G$50="",$C36,Settings!$G$50))-MAX($A36,Settings!$F$50)-MOD(IFERROR(MATCH(Settings!$E$50,$EO$4:$EO$10,0),0)-WEEKDAY(MAX($A36,Settings!$F$50)),7))/7)+1)),IF(AND(IF(Settings!$E$50="",$B36,DATE(YEAR($A36),MONTH($A36),MIN(Settings!$E$50,DAY($B36))))&gt;=MAX($A36,Settings!$F$50),IF(Settings!$E$50="",$B36,DATE(YEAR($A36),MONTH($A36),MIN(Settings!$E$50,DAY($B36))))&lt;=MIN($C36,IF(Settings!$G$50="",$C36,Settings!$G$50))),1,0)))</f>
        <v/>
      </c>
      <c r="BK36">
        <f>IF(OR(Settings!$C$51="",Settings!$D$51=""),0,Settings!$C$51*IF(Settings!$D$51="Weekly",IF(IFERROR(MATCH(Settings!$E$51,$EO$4:$EO$10,0),0)=0,0,IF(MIN($C36,IF(Settings!$G$51="",$C36,Settings!$G$51))&lt;MAX($A36,Settings!$F$51),0,INT((MIN($C36,IF(Settings!$G$51="",$C36,Settings!$G$51))-MAX($A36,Settings!$F$51)-MOD(IFERROR(MATCH(Settings!$E$51,$EO$4:$EO$10,0),0)-WEEKDAY(MAX($A36,Settings!$F$51)),7))/7)+1)),IF(AND(IF(Settings!$E$51="",$B36,DATE(YEAR($A36),MONTH($A36),MIN(Settings!$E$51,DAY($B36))))&gt;=MAX($A36,Settings!$F$51),IF(Settings!$E$51="",$B36,DATE(YEAR($A36),MONTH($A36),MIN(Settings!$E$51,DAY($B36))))&lt;=MIN($C36,IF(Settings!$G$51="",$C36,Settings!$G$51))),1,0)))</f>
        <v/>
      </c>
      <c r="BL36">
        <f>IF(OR(Settings!$C$52="",Settings!$D$52=""),0,Settings!$C$52*IF(Settings!$D$52="Weekly",IF(IFERROR(MATCH(Settings!$E$52,$EO$4:$EO$10,0),0)=0,0,IF(MIN($C36,IF(Settings!$G$52="",$C36,Settings!$G$52))&lt;MAX($A36,Settings!$F$52),0,INT((MIN($C36,IF(Settings!$G$52="",$C36,Settings!$G$52))-MAX($A36,Settings!$F$52)-MOD(IFERROR(MATCH(Settings!$E$52,$EO$4:$EO$10,0),0)-WEEKDAY(MAX($A36,Settings!$F$52)),7))/7)+1)),IF(AND(IF(Settings!$E$52="",$B36,DATE(YEAR($A36),MONTH($A36),MIN(Settings!$E$52,DAY($B36))))&gt;=MAX($A36,Settings!$F$52),IF(Settings!$E$52="",$B36,DATE(YEAR($A36),MONTH($A36),MIN(Settings!$E$52,DAY($B36))))&lt;=MIN($C36,IF(Settings!$G$52="",$C36,Settings!$G$52))),1,0)))</f>
        <v/>
      </c>
      <c r="BM36">
        <f>IF(OR(Settings!$C$53="",Settings!$D$53=""),0,Settings!$C$53*IF(Settings!$D$53="Weekly",IF(IFERROR(MATCH(Settings!$E$53,$EO$4:$EO$10,0),0)=0,0,IF(MIN($C36,IF(Settings!$G$53="",$C36,Settings!$G$53))&lt;MAX($A36,Settings!$F$53),0,INT((MIN($C36,IF(Settings!$G$53="",$C36,Settings!$G$53))-MAX($A36,Settings!$F$53)-MOD(IFERROR(MATCH(Settings!$E$53,$EO$4:$EO$10,0),0)-WEEKDAY(MAX($A36,Settings!$F$53)),7))/7)+1)),IF(AND(IF(Settings!$E$53="",$B36,DATE(YEAR($A36),MONTH($A36),MIN(Settings!$E$53,DAY($B36))))&gt;=MAX($A36,Settings!$F$53),IF(Settings!$E$53="",$B36,DATE(YEAR($A36),MONTH($A36),MIN(Settings!$E$53,DAY($B36))))&lt;=MIN($C36,IF(Settings!$G$53="",$C36,Settings!$G$53))),1,0)))</f>
        <v/>
      </c>
      <c r="BN36">
        <f>IF(OR(Settings!$C$54="",Settings!$D$54=""),0,Settings!$C$54*IF(Settings!$D$54="Weekly",IF(IFERROR(MATCH(Settings!$E$54,$EO$4:$EO$10,0),0)=0,0,IF(MIN($C36,IF(Settings!$G$54="",$C36,Settings!$G$54))&lt;MAX($A36,Settings!$F$54),0,INT((MIN($C36,IF(Settings!$G$54="",$C36,Settings!$G$54))-MAX($A36,Settings!$F$54)-MOD(IFERROR(MATCH(Settings!$E$54,$EO$4:$EO$10,0),0)-WEEKDAY(MAX($A36,Settings!$F$54)),7))/7)+1)),IF(AND(IF(Settings!$E$54="",$B36,DATE(YEAR($A36),MONTH($A36),MIN(Settings!$E$54,DAY($B36))))&gt;=MAX($A36,Settings!$F$54),IF(Settings!$E$54="",$B36,DATE(YEAR($A36),MONTH($A36),MIN(Settings!$E$54,DAY($B36))))&lt;=MIN($C36,IF(Settings!$G$54="",$C36,Settings!$G$54))),1,0)))</f>
        <v/>
      </c>
      <c r="BO36">
        <f>IF(OR(Settings!$C$55="",Settings!$D$55=""),0,Settings!$C$55*IF(Settings!$D$55="Weekly",IF(IFERROR(MATCH(Settings!$E$55,$EO$4:$EO$10,0),0)=0,0,IF(MIN($C36,IF(Settings!$G$55="",$C36,Settings!$G$55))&lt;MAX($A36,Settings!$F$55),0,INT((MIN($C36,IF(Settings!$G$55="",$C36,Settings!$G$55))-MAX($A36,Settings!$F$55)-MOD(IFERROR(MATCH(Settings!$E$55,$EO$4:$EO$10,0),0)-WEEKDAY(MAX($A36,Settings!$F$55)),7))/7)+1)),IF(AND(IF(Settings!$E$55="",$B36,DATE(YEAR($A36),MONTH($A36),MIN(Settings!$E$55,DAY($B36))))&gt;=MAX($A36,Settings!$F$55),IF(Settings!$E$55="",$B36,DATE(YEAR($A36),MONTH($A36),MIN(Settings!$E$55,DAY($B36))))&lt;=MIN($C36,IF(Settings!$G$55="",$C36,Settings!$G$55))),1,0)))</f>
        <v/>
      </c>
      <c r="BP36">
        <f>IF(OR(Settings!$C$56="",Settings!$D$56=""),0,Settings!$C$56*IF(Settings!$D$56="Weekly",IF(IFERROR(MATCH(Settings!$E$56,$EO$4:$EO$10,0),0)=0,0,IF(MIN($C36,IF(Settings!$G$56="",$C36,Settings!$G$56))&lt;MAX($A36,Settings!$F$56),0,INT((MIN($C36,IF(Settings!$G$56="",$C36,Settings!$G$56))-MAX($A36,Settings!$F$56)-MOD(IFERROR(MATCH(Settings!$E$56,$EO$4:$EO$10,0),0)-WEEKDAY(MAX($A36,Settings!$F$56)),7))/7)+1)),IF(AND(IF(Settings!$E$56="",$B36,DATE(YEAR($A36),MONTH($A36),MIN(Settings!$E$56,DAY($B36))))&gt;=MAX($A36,Settings!$F$56),IF(Settings!$E$56="",$B36,DATE(YEAR($A36),MONTH($A36),MIN(Settings!$E$56,DAY($B36))))&lt;=MIN($C36,IF(Settings!$G$56="",$C36,Settings!$G$56))),1,0)))</f>
        <v/>
      </c>
      <c r="BQ36">
        <f>IF(OR(Settings!$B$14="",$D36=1,$E36="pre",$A36&lt;IF(Settings!$B$15="",0,Settings!$B$15)),0,Settings!$B$14)</f>
        <v/>
      </c>
      <c r="BR36">
        <f>IF(AND('Month-End'!$AG$7&lt;&gt;"",NOT(_xlfn.ISFORMULA('Month-End'!$AG$7))),1,0)</f>
        <v/>
      </c>
      <c r="BS36">
        <f>IF(AND('Month-End'!$AG$8&lt;&gt;"",NOT(_xlfn.ISFORMULA('Month-End'!$AG$8))),1,0)</f>
        <v/>
      </c>
      <c r="BT36">
        <f>IF(AND('Month-End'!$AG$9&lt;&gt;"",NOT(_xlfn.ISFORMULA('Month-End'!$AG$9))),1,0)</f>
        <v/>
      </c>
      <c r="BU36">
        <f>IF(AND('Month-End'!$AG$10&lt;&gt;"",NOT(_xlfn.ISFORMULA('Month-End'!$AG$10))),1,0)</f>
        <v/>
      </c>
      <c r="BV36">
        <f>IF(AND('Month-End'!$AG$11&lt;&gt;"",NOT(_xlfn.ISFORMULA('Month-End'!$AG$11))),1,0)</f>
        <v/>
      </c>
      <c r="BW36">
        <f>IF(AND('Month-End'!$AG$12&lt;&gt;"",NOT(_xlfn.ISFORMULA('Month-End'!$AG$12))),1,0)</f>
        <v/>
      </c>
      <c r="BX36">
        <f>IF(AND('Month-End'!$AG$13&lt;&gt;"",NOT(_xlfn.ISFORMULA('Month-End'!$AG$13))),1,0)</f>
        <v/>
      </c>
      <c r="BY36">
        <f>IF(AND('Month-End'!$AG$14&lt;&gt;"",NOT(_xlfn.ISFORMULA('Month-End'!$AG$14))),1,0)</f>
        <v/>
      </c>
      <c r="BZ36">
        <f>IF(AND('Month-End'!$AG$15&lt;&gt;"",NOT(_xlfn.ISFORMULA('Month-End'!$AG$15))),1,0)</f>
        <v/>
      </c>
      <c r="CA36">
        <f>IF(AND('Month-End'!$AG$16&lt;&gt;"",NOT(_xlfn.ISFORMULA('Month-End'!$AG$16))),1,0)</f>
        <v/>
      </c>
      <c r="CB36">
        <f>IF(AND('Month-End'!$AG$17&lt;&gt;"",NOT(_xlfn.ISFORMULA('Month-End'!$AG$17))),1,0)</f>
        <v/>
      </c>
      <c r="CC36">
        <f>IF(AND('Month-End'!$AG$18&lt;&gt;"",NOT(_xlfn.ISFORMULA('Month-End'!$AG$18))),1,0)</f>
        <v/>
      </c>
      <c r="CD36">
        <f>IF(AND('Month-End'!$AG$19&lt;&gt;"",NOT(_xlfn.ISFORMULA('Month-End'!$AG$19))),1,0)</f>
        <v/>
      </c>
      <c r="CE36">
        <f>IF(AND('Month-End'!$AG$20&lt;&gt;"",NOT(_xlfn.ISFORMULA('Month-End'!$AG$20))),1,0)</f>
        <v/>
      </c>
      <c r="CF36">
        <f>IF(AND('Month-End'!$AG$38&lt;&gt;"",NOT(_xlfn.ISFORMULA('Month-End'!$AG$38))),1,0)</f>
        <v/>
      </c>
      <c r="CG36">
        <f>IF(AND('Month-End'!$AG$39&lt;&gt;"",NOT(_xlfn.ISFORMULA('Month-End'!$AG$39))),1,0)</f>
        <v/>
      </c>
      <c r="CH36">
        <f>IF(AND('Month-End'!$AG$40&lt;&gt;"",NOT(_xlfn.ISFORMULA('Month-End'!$AG$40))),1,0)</f>
        <v/>
      </c>
      <c r="CI36">
        <f>IF(AND('Month-End'!$AG$41&lt;&gt;"",NOT(_xlfn.ISFORMULA('Month-End'!$AG$41))),1,0)</f>
        <v/>
      </c>
      <c r="CJ36">
        <f>IF(AND('Month-End'!$AG$42&lt;&gt;"",NOT(_xlfn.ISFORMULA('Month-End'!$AG$42))),1,0)</f>
        <v/>
      </c>
      <c r="CK36">
        <f>IF(AND('Month-End'!$AG$43&lt;&gt;"",NOT(_xlfn.ISFORMULA('Month-End'!$AG$43))),1,0)</f>
        <v/>
      </c>
      <c r="CL36">
        <f>SUM($CM36:$CZ36)</f>
        <v/>
      </c>
      <c r="CM36">
        <f>IF(AND($E36&lt;&gt;"pre",AND(Settings!$A$19&lt;&gt;"",Settings!$E$19&lt;&gt;"No"),Settings!$F$19="Yes",NOT(AND('Month-End'!$AG$7&lt;&gt;"",NOT(_xlfn.ISFORMULA('Month-End'!$AG$7))))),1,0)</f>
        <v/>
      </c>
      <c r="CN36">
        <f>IF(AND($E36&lt;&gt;"pre",AND(Settings!$A$20&lt;&gt;"",Settings!$E$20&lt;&gt;"No"),Settings!$F$20="Yes",NOT(AND('Month-End'!$AG$8&lt;&gt;"",NOT(_xlfn.ISFORMULA('Month-End'!$AG$8))))),1,0)</f>
        <v/>
      </c>
      <c r="CO36">
        <f>IF(AND($E36&lt;&gt;"pre",AND(Settings!$A$21&lt;&gt;"",Settings!$E$21&lt;&gt;"No"),Settings!$F$21="Yes",NOT(AND('Month-End'!$AG$9&lt;&gt;"",NOT(_xlfn.ISFORMULA('Month-End'!$AG$9))))),1,0)</f>
        <v/>
      </c>
      <c r="CP36">
        <f>IF(AND($E36&lt;&gt;"pre",AND(Settings!$A$22&lt;&gt;"",Settings!$E$22&lt;&gt;"No"),Settings!$F$22="Yes",NOT(AND('Month-End'!$AG$10&lt;&gt;"",NOT(_xlfn.ISFORMULA('Month-End'!$AG$10))))),1,0)</f>
        <v/>
      </c>
      <c r="CQ36">
        <f>IF(AND($E36&lt;&gt;"pre",AND(Settings!$A$23&lt;&gt;"",Settings!$E$23&lt;&gt;"No"),Settings!$F$23="Yes",NOT(AND('Month-End'!$AG$11&lt;&gt;"",NOT(_xlfn.ISFORMULA('Month-End'!$AG$11))))),1,0)</f>
        <v/>
      </c>
      <c r="CR36">
        <f>IF(AND($E36&lt;&gt;"pre",AND(Settings!$A$24&lt;&gt;"",Settings!$E$24&lt;&gt;"No"),Settings!$F$24="Yes",NOT(AND('Month-End'!$AG$12&lt;&gt;"",NOT(_xlfn.ISFORMULA('Month-End'!$AG$12))))),1,0)</f>
        <v/>
      </c>
      <c r="CS36">
        <f>IF(AND($E36&lt;&gt;"pre",AND(Settings!$A$25&lt;&gt;"",Settings!$E$25&lt;&gt;"No"),Settings!$F$25="Yes",NOT(AND('Month-End'!$AG$13&lt;&gt;"",NOT(_xlfn.ISFORMULA('Month-End'!$AG$13))))),1,0)</f>
        <v/>
      </c>
      <c r="CT36">
        <f>IF(AND($E36&lt;&gt;"pre",AND(Settings!$A$26&lt;&gt;"",Settings!$E$26&lt;&gt;"No"),Settings!$F$26="Yes",NOT(AND('Month-End'!$AG$14&lt;&gt;"",NOT(_xlfn.ISFORMULA('Month-End'!$AG$14))))),1,0)</f>
        <v/>
      </c>
      <c r="CU36">
        <f>IF(AND($E36&lt;&gt;"pre",AND(Settings!$A$27&lt;&gt;"",Settings!$E$27&lt;&gt;"No"),Settings!$F$27="Yes",NOT(AND('Month-End'!$AG$15&lt;&gt;"",NOT(_xlfn.ISFORMULA('Month-End'!$AG$15))))),1,0)</f>
        <v/>
      </c>
      <c r="CV36">
        <f>IF(AND($E36&lt;&gt;"pre",AND(Settings!$A$28&lt;&gt;"",Settings!$E$28&lt;&gt;"No"),Settings!$F$28="Yes",NOT(AND('Month-End'!$AG$16&lt;&gt;"",NOT(_xlfn.ISFORMULA('Month-End'!$AG$16))))),1,0)</f>
        <v/>
      </c>
      <c r="CW36">
        <f>IF(AND($E36&lt;&gt;"pre",AND(Settings!$A$29&lt;&gt;"",Settings!$E$29&lt;&gt;"No"),Settings!$F$29="Yes",NOT(AND('Month-End'!$AG$17&lt;&gt;"",NOT(_xlfn.ISFORMULA('Month-End'!$AG$17))))),1,0)</f>
        <v/>
      </c>
      <c r="CX36">
        <f>IF(AND($E36&lt;&gt;"pre",AND(Settings!$A$30&lt;&gt;"",Settings!$E$30&lt;&gt;"No"),Settings!$F$30="Yes",NOT(AND('Month-End'!$AG$18&lt;&gt;"",NOT(_xlfn.ISFORMULA('Month-End'!$AG$18))))),1,0)</f>
        <v/>
      </c>
      <c r="CY36">
        <f>IF(AND($E36&lt;&gt;"pre",AND(Settings!$A$31&lt;&gt;"",Settings!$E$31&lt;&gt;"No"),Settings!$F$31="Yes",NOT(AND('Month-End'!$AG$19&lt;&gt;"",NOT(_xlfn.ISFORMULA('Month-End'!$AG$19))))),1,0)</f>
        <v/>
      </c>
      <c r="CZ36">
        <f>IF(AND($E36&lt;&gt;"pre",AND(Settings!$A$32&lt;&gt;"",Settings!$E$32&lt;&gt;"No"),Settings!$F$32="Yes",NOT(AND('Month-End'!$AG$20&lt;&gt;"",NOT(_xlfn.ISFORMULA('Month-End'!$AG$20))))),1,0)</f>
        <v/>
      </c>
      <c r="DA36">
        <f>IF($DT36=1,IF(OR(Settings!$B$19="Checking",Settings!$B$19="Savings",Settings!$B$19="Cash"),N($AE36),IF(OR(Settings!$B$19="Card",Settings!$B$19="Loan"),-N($AE36),0))+IF(OR(Settings!$B$20="Checking",Settings!$B$20="Savings",Settings!$B$20="Cash"),N($AF36),IF(OR(Settings!$B$20="Card",Settings!$B$20="Loan"),-N($AF36),0))+IF(OR(Settings!$B$21="Checking",Settings!$B$21="Savings",Settings!$B$21="Cash"),N($AG36),IF(OR(Settings!$B$21="Card",Settings!$B$21="Loan"),-N($AG36),0))+IF(OR(Settings!$B$22="Checking",Settings!$B$22="Savings",Settings!$B$22="Cash"),N($AH36),IF(OR(Settings!$B$22="Card",Settings!$B$22="Loan"),-N($AH36),0))+IF(OR(Settings!$B$23="Checking",Settings!$B$23="Savings",Settings!$B$23="Cash"),N($AI36),IF(OR(Settings!$B$23="Card",Settings!$B$23="Loan"),-N($AI36),0))+IF(OR(Settings!$B$24="Checking",Settings!$B$24="Savings",Settings!$B$24="Cash"),N($AJ36),IF(OR(Settings!$B$24="Card",Settings!$B$24="Loan"),-N($AJ36),0))+IF(OR(Settings!$B$25="Checking",Settings!$B$25="Savings",Settings!$B$25="Cash"),N($AK36),IF(OR(Settings!$B$25="Card",Settings!$B$25="Loan"),-N($AK36),0))+IF(OR(Settings!$B$26="Checking",Settings!$B$26="Savings",Settings!$B$26="Cash"),N($AL36),IF(OR(Settings!$B$26="Card",Settings!$B$26="Loan"),-N($AL36),0))+IF(OR(Settings!$B$27="Checking",Settings!$B$27="Savings",Settings!$B$27="Cash"),N($AM36),IF(OR(Settings!$B$27="Card",Settings!$B$27="Loan"),-N($AM36),0))+IF(OR(Settings!$B$28="Checking",Settings!$B$28="Savings",Settings!$B$28="Cash"),N($AN36),IF(OR(Settings!$B$28="Card",Settings!$B$28="Loan"),-N($AN36),0))+IF(OR(Settings!$B$29="Checking",Settings!$B$29="Savings",Settings!$B$29="Cash"),N($AO36),IF(OR(Settings!$B$29="Card",Settings!$B$29="Loan"),-N($AO36),0))+IF(OR(Settings!$B$30="Checking",Settings!$B$30="Savings",Settings!$B$30="Cash"),N($AP36),IF(OR(Settings!$B$30="Card",Settings!$B$30="Loan"),-N($AP36),0))+IF(OR(Settings!$B$31="Checking",Settings!$B$31="Savings",Settings!$B$31="Cash"),N($AQ36),IF(OR(Settings!$B$31="Card",Settings!$B$31="Loan"),-N($AQ36),0))+IF(OR(Settings!$B$32="Checking",Settings!$B$32="Savings",Settings!$B$32="Cash"),N($AR36),IF(OR(Settings!$B$32="Card",Settings!$B$32="Loan"),-N($AR36),0)),"")</f>
        <v/>
      </c>
      <c r="DB36">
        <f>IF($E36="open",$EB$27,IF($E36="post",IF($E35="pre",$EB$27,$DA35),""))</f>
        <v/>
      </c>
      <c r="DC36">
        <f>IF($E36="open",1,IF($E36="post",IF($E35="pre",1,$DT35),0))</f>
        <v/>
      </c>
      <c r="DD36">
        <f>IF(AND($DT36=1,$DC36=1),ROUND($W36-($DA36-$DB36)-$AD36-$AB36,2),"")</f>
        <v/>
      </c>
      <c r="DE36">
        <f>IF('Month-End'!$AG$35="",$BQ36,N('Month-End'!$AG$35))</f>
        <v/>
      </c>
      <c r="DF36">
        <f>N('Month-End'!$AG$36)</f>
        <v/>
      </c>
      <c r="DG36">
        <f>IF($DD36="","",$DD36+$DE36)</f>
        <v/>
      </c>
      <c r="DH36">
        <f>IF($DG36="","",$DG36-$DF36)</f>
        <v/>
      </c>
      <c r="DI36">
        <f>IF(OR($E36="pre",$D36=1),"",N($AS36)+N($AT36)+N($AU36)+N($AV36)+N($AW36)+N($AX36))</f>
        <v/>
      </c>
      <c r="DJ36">
        <f>IF($DT36=1,$DA36+N($DI36),"")</f>
        <v/>
      </c>
      <c r="DK36">
        <f>IF($DD36="","",$W36-$DD36-$AB36)</f>
        <v/>
      </c>
      <c r="DL36">
        <f>IF(AND($E36="post",$DD36&lt;&gt;"",$B36&lt;TODAY()),1,0)</f>
        <v/>
      </c>
      <c r="DM36">
        <f>IF($DL36=1,COUNTIF($DL36:$DL$183,1),0)</f>
        <v/>
      </c>
      <c r="DN36">
        <f>IF($D36=1,"",IF($E36="pre","History only",IF($DT36=1,IF($DD36="","⚠ Previous month missing",IF($DD36&lt;0,"⚠ Check: spending &lt; 0",IF($E36="open","✓ Done (partial)","✓ Done"))),IF($B36&gt;=TODAY(),"In progress","⚠ Needs balances"))))</f>
        <v/>
      </c>
      <c r="DO36">
        <f>YEAR($A36)</f>
        <v/>
      </c>
      <c r="DP36">
        <f>DATE(YEAR($A36),INT((MONTH($A36)-1)/3)*3+1,1)</f>
        <v/>
      </c>
      <c r="DQ36">
        <f>IF(AND($DT36=1,$DD36&lt;&gt;"",$D36=0),ROW(),0)</f>
        <v/>
      </c>
      <c r="DR36">
        <f>IF(AND($E36&lt;&gt;"pre",$B36&lt;TODAY(),$DT36=0),1,0)</f>
        <v/>
      </c>
      <c r="DS36">
        <f>IF($DJ36="",NA(),$DJ36)</f>
        <v/>
      </c>
      <c r="DT36">
        <f>IF(AND($E36&lt;&gt;"pre",$CL36=0,COUNTIFS(Settings!$F$19:$F$32,"Yes",Settings!$A$19:$A$32,"&lt;&gt;",Settings!$E$19:$E$32,"&lt;&gt;No")&gt;0),1,0)</f>
        <v/>
      </c>
      <c r="DU36">
        <f>IF(AND($B36&lt;TODAY(),$S36&gt;0),1,0)</f>
        <v/>
      </c>
      <c r="DV36">
        <f>IF($DU36=1,COUNTIF($DU36:$DU$183,1),0)</f>
        <v/>
      </c>
      <c r="DW36">
        <f>IF(AND(OR(Settings!$B$19="Card",Settings!$B$19="Loan"),AND('Month-End'!$AG$7&lt;&gt;"",NOT(_xlfn.ISFORMULA('Month-End'!$AG$7)))),IF(N('Month-End'!$AG$7)&lt;0,1,0),0)+IF(AND(OR(Settings!$B$20="Card",Settings!$B$20="Loan"),AND('Month-End'!$AG$8&lt;&gt;"",NOT(_xlfn.ISFORMULA('Month-End'!$AG$8)))),IF(N('Month-End'!$AG$8)&lt;0,1,0),0)+IF(AND(OR(Settings!$B$21="Card",Settings!$B$21="Loan"),AND('Month-End'!$AG$9&lt;&gt;"",NOT(_xlfn.ISFORMULA('Month-End'!$AG$9)))),IF(N('Month-End'!$AG$9)&lt;0,1,0),0)+IF(AND(OR(Settings!$B$22="Card",Settings!$B$22="Loan"),AND('Month-End'!$AG$10&lt;&gt;"",NOT(_xlfn.ISFORMULA('Month-End'!$AG$10)))),IF(N('Month-End'!$AG$10)&lt;0,1,0),0)+IF(AND(OR(Settings!$B$23="Card",Settings!$B$23="Loan"),AND('Month-End'!$AG$11&lt;&gt;"",NOT(_xlfn.ISFORMULA('Month-End'!$AG$11)))),IF(N('Month-End'!$AG$11)&lt;0,1,0),0)+IF(AND(OR(Settings!$B$24="Card",Settings!$B$24="Loan"),AND('Month-End'!$AG$12&lt;&gt;"",NOT(_xlfn.ISFORMULA('Month-End'!$AG$12)))),IF(N('Month-End'!$AG$12)&lt;0,1,0),0)+IF(AND(OR(Settings!$B$25="Card",Settings!$B$25="Loan"),AND('Month-End'!$AG$13&lt;&gt;"",NOT(_xlfn.ISFORMULA('Month-End'!$AG$13)))),IF(N('Month-End'!$AG$13)&lt;0,1,0),0)+IF(AND(OR(Settings!$B$26="Card",Settings!$B$26="Loan"),AND('Month-End'!$AG$14&lt;&gt;"",NOT(_xlfn.ISFORMULA('Month-End'!$AG$14)))),IF(N('Month-End'!$AG$14)&lt;0,1,0),0)+IF(AND(OR(Settings!$B$27="Card",Settings!$B$27="Loan"),AND('Month-End'!$AG$15&lt;&gt;"",NOT(_xlfn.ISFORMULA('Month-End'!$AG$15)))),IF(N('Month-End'!$AG$15)&lt;0,1,0),0)+IF(AND(OR(Settings!$B$28="Card",Settings!$B$28="Loan"),AND('Month-End'!$AG$16&lt;&gt;"",NOT(_xlfn.ISFORMULA('Month-End'!$AG$16)))),IF(N('Month-End'!$AG$16)&lt;0,1,0),0)+IF(AND(OR(Settings!$B$29="Card",Settings!$B$29="Loan"),AND('Month-End'!$AG$17&lt;&gt;"",NOT(_xlfn.ISFORMULA('Month-End'!$AG$17)))),IF(N('Month-End'!$AG$17)&lt;0,1,0),0)+IF(AND(OR(Settings!$B$30="Card",Settings!$B$30="Loan"),AND('Month-End'!$AG$18&lt;&gt;"",NOT(_xlfn.ISFORMULA('Month-End'!$AG$18)))),IF(N('Month-End'!$AG$18)&lt;0,1,0),0)+IF(AND(OR(Settings!$B$31="Card",Settings!$B$31="Loan"),AND('Month-End'!$AG$19&lt;&gt;"",NOT(_xlfn.ISFORMULA('Month-End'!$AG$19)))),IF(N('Month-End'!$AG$19)&lt;0,1,0),0)+IF(AND(OR(Settings!$B$32="Card",Settings!$B$32="Loan"),AND('Month-End'!$AG$20&lt;&gt;"",NOT(_xlfn.ISFORMULA('Month-End'!$AG$20)))),IF(N('Month-End'!$AG$20)&lt;0,1,0),0)</f>
        <v/>
      </c>
      <c r="DX36">
        <f>IF(Settings!$B$36="Retirement",$AY36,0)+IF(Settings!$B$37="Retirement",$AZ36,0)+IF(Settings!$B$38="Retirement",$BA36,0)+IF(Settings!$B$39="Retirement",$BB36,0)+IF(Settings!$B$40="Retirement",$BC36,0)+IF(Settings!$B$41="Retirement",$BD36,0)</f>
        <v/>
      </c>
      <c r="EA36" t="inlineStr">
        <is>
          <t>Opening net worth</t>
        </is>
      </c>
      <c r="EB36">
        <f>EB27+N(Settings!$C$36)+N(Settings!$C$37)+N(Settings!$C$38)+N(Settings!$C$39)+N(Settings!$C$40)+N(Settings!$C$41)</f>
        <v/>
      </c>
      <c r="ET36">
        <f>IF($E36&lt;&gt;"open",0,IF(AND('Month-End'!$AG$22&lt;&gt;"",NOT(_xlfn.ISFORMULA('Month-End'!$AG$22))),0,IF(OR(Settings!$C$45="",Settings!$D$45=""),0,Settings!$C$45*IF(Settings!$D$45="Weekly",IF(IFERROR(MATCH(Settings!$E$45,$EO$4:$EO$10,0),0)=0,0,IF(MIN(Settings!$B$5,IF(Settings!$G$45="",Settings!$B$5,Settings!$G$45))&lt;MAX($A36,Settings!$F$45),0,INT((MIN(Settings!$B$5,IF(Settings!$G$45="",Settings!$B$5,Settings!$G$45))-MAX($A36,Settings!$F$45)-MOD(IFERROR(MATCH(Settings!$E$45,$EO$4:$EO$10,0),0)-WEEKDAY(MAX($A36,Settings!$F$45)),7))/7)+1)),IF(AND(IF(Settings!$E$45="",$B36,DATE(YEAR($A36),MONTH($A36),MIN(Settings!$E$45,DAY($B36))))&gt;=MAX($A36,Settings!$F$45),IF(Settings!$E$45="",$B36,DATE(YEAR($A36),MONTH($A36),MIN(Settings!$E$45,DAY($B36))))&lt;=MIN(Settings!$B$5,IF(Settings!$G$45="",Settings!$B$5,Settings!$G$45))),1,0)))))</f>
        <v/>
      </c>
      <c r="EU36">
        <f>IF($E36&lt;&gt;"open",0,IF(AND('Month-End'!$AG$23&lt;&gt;"",NOT(_xlfn.ISFORMULA('Month-End'!$AG$23))),0,IF(OR(Settings!$C$46="",Settings!$D$46=""),0,Settings!$C$46*IF(Settings!$D$46="Weekly",IF(IFERROR(MATCH(Settings!$E$46,$EO$4:$EO$10,0),0)=0,0,IF(MIN(Settings!$B$5,IF(Settings!$G$46="",Settings!$B$5,Settings!$G$46))&lt;MAX($A36,Settings!$F$46),0,INT((MIN(Settings!$B$5,IF(Settings!$G$46="",Settings!$B$5,Settings!$G$46))-MAX($A36,Settings!$F$46)-MOD(IFERROR(MATCH(Settings!$E$46,$EO$4:$EO$10,0),0)-WEEKDAY(MAX($A36,Settings!$F$46)),7))/7)+1)),IF(AND(IF(Settings!$E$46="",$B36,DATE(YEAR($A36),MONTH($A36),MIN(Settings!$E$46,DAY($B36))))&gt;=MAX($A36,Settings!$F$46),IF(Settings!$E$46="",$B36,DATE(YEAR($A36),MONTH($A36),MIN(Settings!$E$46,DAY($B36))))&lt;=MIN(Settings!$B$5,IF(Settings!$G$46="",Settings!$B$5,Settings!$G$46))),1,0)))))</f>
        <v/>
      </c>
      <c r="EV36">
        <f>IF($E36&lt;&gt;"open",0,IF(AND('Month-End'!$AG$24&lt;&gt;"",NOT(_xlfn.ISFORMULA('Month-End'!$AG$24))),0,IF(OR(Settings!$C$47="",Settings!$D$47=""),0,Settings!$C$47*IF(Settings!$D$47="Weekly",IF(IFERROR(MATCH(Settings!$E$47,$EO$4:$EO$10,0),0)=0,0,IF(MIN(Settings!$B$5,IF(Settings!$G$47="",Settings!$B$5,Settings!$G$47))&lt;MAX($A36,Settings!$F$47),0,INT((MIN(Settings!$B$5,IF(Settings!$G$47="",Settings!$B$5,Settings!$G$47))-MAX($A36,Settings!$F$47)-MOD(IFERROR(MATCH(Settings!$E$47,$EO$4:$EO$10,0),0)-WEEKDAY(MAX($A36,Settings!$F$47)),7))/7)+1)),IF(AND(IF(Settings!$E$47="",$B36,DATE(YEAR($A36),MONTH($A36),MIN(Settings!$E$47,DAY($B36))))&gt;=MAX($A36,Settings!$F$47),IF(Settings!$E$47="",$B36,DATE(YEAR($A36),MONTH($A36),MIN(Settings!$E$47,DAY($B36))))&lt;=MIN(Settings!$B$5,IF(Settings!$G$47="",Settings!$B$5,Settings!$G$47))),1,0)))))</f>
        <v/>
      </c>
      <c r="EW36">
        <f>IF($E36&lt;&gt;"open",0,IF(AND('Month-End'!$AG$25&lt;&gt;"",NOT(_xlfn.ISFORMULA('Month-End'!$AG$25))),0,IF(OR(Settings!$C$48="",Settings!$D$48=""),0,Settings!$C$48*IF(Settings!$D$48="Weekly",IF(IFERROR(MATCH(Settings!$E$48,$EO$4:$EO$10,0),0)=0,0,IF(MIN(Settings!$B$5,IF(Settings!$G$48="",Settings!$B$5,Settings!$G$48))&lt;MAX($A36,Settings!$F$48),0,INT((MIN(Settings!$B$5,IF(Settings!$G$48="",Settings!$B$5,Settings!$G$48))-MAX($A36,Settings!$F$48)-MOD(IFERROR(MATCH(Settings!$E$48,$EO$4:$EO$10,0),0)-WEEKDAY(MAX($A36,Settings!$F$48)),7))/7)+1)),IF(AND(IF(Settings!$E$48="",$B36,DATE(YEAR($A36),MONTH($A36),MIN(Settings!$E$48,DAY($B36))))&gt;=MAX($A36,Settings!$F$48),IF(Settings!$E$48="",$B36,DATE(YEAR($A36),MONTH($A36),MIN(Settings!$E$48,DAY($B36))))&lt;=MIN(Settings!$B$5,IF(Settings!$G$48="",Settings!$B$5,Settings!$G$48))),1,0)))))</f>
        <v/>
      </c>
      <c r="EX36">
        <f>IF($E36&lt;&gt;"open",0,IF(AND('Month-End'!$AG$26&lt;&gt;"",NOT(_xlfn.ISFORMULA('Month-End'!$AG$26))),0,IF(OR(Settings!$C$49="",Settings!$D$49=""),0,Settings!$C$49*IF(Settings!$D$49="Weekly",IF(IFERROR(MATCH(Settings!$E$49,$EO$4:$EO$10,0),0)=0,0,IF(MIN(Settings!$B$5,IF(Settings!$G$49="",Settings!$B$5,Settings!$G$49))&lt;MAX($A36,Settings!$F$49),0,INT((MIN(Settings!$B$5,IF(Settings!$G$49="",Settings!$B$5,Settings!$G$49))-MAX($A36,Settings!$F$49)-MOD(IFERROR(MATCH(Settings!$E$49,$EO$4:$EO$10,0),0)-WEEKDAY(MAX($A36,Settings!$F$49)),7))/7)+1)),IF(AND(IF(Settings!$E$49="",$B36,DATE(YEAR($A36),MONTH($A36),MIN(Settings!$E$49,DAY($B36))))&gt;=MAX($A36,Settings!$F$49),IF(Settings!$E$49="",$B36,DATE(YEAR($A36),MONTH($A36),MIN(Settings!$E$49,DAY($B36))))&lt;=MIN(Settings!$B$5,IF(Settings!$G$49="",Settings!$B$5,Settings!$G$49))),1,0)))))</f>
        <v/>
      </c>
      <c r="EY36">
        <f>IF($E36&lt;&gt;"open",0,IF(AND('Month-End'!$AG$27&lt;&gt;"",NOT(_xlfn.ISFORMULA('Month-End'!$AG$27))),0,IF(OR(Settings!$C$50="",Settings!$D$50=""),0,Settings!$C$50*IF(Settings!$D$50="Weekly",IF(IFERROR(MATCH(Settings!$E$50,$EO$4:$EO$10,0),0)=0,0,IF(MIN(Settings!$B$5,IF(Settings!$G$50="",Settings!$B$5,Settings!$G$50))&lt;MAX($A36,Settings!$F$50),0,INT((MIN(Settings!$B$5,IF(Settings!$G$50="",Settings!$B$5,Settings!$G$50))-MAX($A36,Settings!$F$50)-MOD(IFERROR(MATCH(Settings!$E$50,$EO$4:$EO$10,0),0)-WEEKDAY(MAX($A36,Settings!$F$50)),7))/7)+1)),IF(AND(IF(Settings!$E$50="",$B36,DATE(YEAR($A36),MONTH($A36),MIN(Settings!$E$50,DAY($B36))))&gt;=MAX($A36,Settings!$F$50),IF(Settings!$E$50="",$B36,DATE(YEAR($A36),MONTH($A36),MIN(Settings!$E$50,DAY($B36))))&lt;=MIN(Settings!$B$5,IF(Settings!$G$50="",Settings!$B$5,Settings!$G$50))),1,0)))))</f>
        <v/>
      </c>
      <c r="EZ36">
        <f>IF($E36&lt;&gt;"open",0,IF(AND('Month-End'!$AG$28&lt;&gt;"",NOT(_xlfn.ISFORMULA('Month-End'!$AG$28))),0,IF(OR(Settings!$C$51="",Settings!$D$51=""),0,Settings!$C$51*IF(Settings!$D$51="Weekly",IF(IFERROR(MATCH(Settings!$E$51,$EO$4:$EO$10,0),0)=0,0,IF(MIN(Settings!$B$5,IF(Settings!$G$51="",Settings!$B$5,Settings!$G$51))&lt;MAX($A36,Settings!$F$51),0,INT((MIN(Settings!$B$5,IF(Settings!$G$51="",Settings!$B$5,Settings!$G$51))-MAX($A36,Settings!$F$51)-MOD(IFERROR(MATCH(Settings!$E$51,$EO$4:$EO$10,0),0)-WEEKDAY(MAX($A36,Settings!$F$51)),7))/7)+1)),IF(AND(IF(Settings!$E$51="",$B36,DATE(YEAR($A36),MONTH($A36),MIN(Settings!$E$51,DAY($B36))))&gt;=MAX($A36,Settings!$F$51),IF(Settings!$E$51="",$B36,DATE(YEAR($A36),MONTH($A36),MIN(Settings!$E$51,DAY($B36))))&lt;=MIN(Settings!$B$5,IF(Settings!$G$51="",Settings!$B$5,Settings!$G$51))),1,0)))))</f>
        <v/>
      </c>
      <c r="FA36">
        <f>IF($E36&lt;&gt;"open",0,IF(AND('Month-End'!$AG$29&lt;&gt;"",NOT(_xlfn.ISFORMULA('Month-End'!$AG$29))),0,IF(OR(Settings!$C$52="",Settings!$D$52=""),0,Settings!$C$52*IF(Settings!$D$52="Weekly",IF(IFERROR(MATCH(Settings!$E$52,$EO$4:$EO$10,0),0)=0,0,IF(MIN(Settings!$B$5,IF(Settings!$G$52="",Settings!$B$5,Settings!$G$52))&lt;MAX($A36,Settings!$F$52),0,INT((MIN(Settings!$B$5,IF(Settings!$G$52="",Settings!$B$5,Settings!$G$52))-MAX($A36,Settings!$F$52)-MOD(IFERROR(MATCH(Settings!$E$52,$EO$4:$EO$10,0),0)-WEEKDAY(MAX($A36,Settings!$F$52)),7))/7)+1)),IF(AND(IF(Settings!$E$52="",$B36,DATE(YEAR($A36),MONTH($A36),MIN(Settings!$E$52,DAY($B36))))&gt;=MAX($A36,Settings!$F$52),IF(Settings!$E$52="",$B36,DATE(YEAR($A36),MONTH($A36),MIN(Settings!$E$52,DAY($B36))))&lt;=MIN(Settings!$B$5,IF(Settings!$G$52="",Settings!$B$5,Settings!$G$52))),1,0)))))</f>
        <v/>
      </c>
      <c r="FB36">
        <f>IF($E36&lt;&gt;"open",0,IF(AND('Month-End'!$AG$30&lt;&gt;"",NOT(_xlfn.ISFORMULA('Month-End'!$AG$30))),0,IF(OR(Settings!$C$53="",Settings!$D$53=""),0,Settings!$C$53*IF(Settings!$D$53="Weekly",IF(IFERROR(MATCH(Settings!$E$53,$EO$4:$EO$10,0),0)=0,0,IF(MIN(Settings!$B$5,IF(Settings!$G$53="",Settings!$B$5,Settings!$G$53))&lt;MAX($A36,Settings!$F$53),0,INT((MIN(Settings!$B$5,IF(Settings!$G$53="",Settings!$B$5,Settings!$G$53))-MAX($A36,Settings!$F$53)-MOD(IFERROR(MATCH(Settings!$E$53,$EO$4:$EO$10,0),0)-WEEKDAY(MAX($A36,Settings!$F$53)),7))/7)+1)),IF(AND(IF(Settings!$E$53="",$B36,DATE(YEAR($A36),MONTH($A36),MIN(Settings!$E$53,DAY($B36))))&gt;=MAX($A36,Settings!$F$53),IF(Settings!$E$53="",$B36,DATE(YEAR($A36),MONTH($A36),MIN(Settings!$E$53,DAY($B36))))&lt;=MIN(Settings!$B$5,IF(Settings!$G$53="",Settings!$B$5,Settings!$G$53))),1,0)))))</f>
        <v/>
      </c>
      <c r="FC36">
        <f>IF($E36&lt;&gt;"open",0,IF(AND('Month-End'!$AG$31&lt;&gt;"",NOT(_xlfn.ISFORMULA('Month-End'!$AG$31))),0,IF(OR(Settings!$C$54="",Settings!$D$54=""),0,Settings!$C$54*IF(Settings!$D$54="Weekly",IF(IFERROR(MATCH(Settings!$E$54,$EO$4:$EO$10,0),0)=0,0,IF(MIN(Settings!$B$5,IF(Settings!$G$54="",Settings!$B$5,Settings!$G$54))&lt;MAX($A36,Settings!$F$54),0,INT((MIN(Settings!$B$5,IF(Settings!$G$54="",Settings!$B$5,Settings!$G$54))-MAX($A36,Settings!$F$54)-MOD(IFERROR(MATCH(Settings!$E$54,$EO$4:$EO$10,0),0)-WEEKDAY(MAX($A36,Settings!$F$54)),7))/7)+1)),IF(AND(IF(Settings!$E$54="",$B36,DATE(YEAR($A36),MONTH($A36),MIN(Settings!$E$54,DAY($B36))))&gt;=MAX($A36,Settings!$F$54),IF(Settings!$E$54="",$B36,DATE(YEAR($A36),MONTH($A36),MIN(Settings!$E$54,DAY($B36))))&lt;=MIN(Settings!$B$5,IF(Settings!$G$54="",Settings!$B$5,Settings!$G$54))),1,0)))))</f>
        <v/>
      </c>
      <c r="FD36">
        <f>IF($E36&lt;&gt;"open",0,IF(AND('Month-End'!$AG$32&lt;&gt;"",NOT(_xlfn.ISFORMULA('Month-End'!$AG$32))),0,IF(OR(Settings!$C$55="",Settings!$D$55=""),0,Settings!$C$55*IF(Settings!$D$55="Weekly",IF(IFERROR(MATCH(Settings!$E$55,$EO$4:$EO$10,0),0)=0,0,IF(MIN(Settings!$B$5,IF(Settings!$G$55="",Settings!$B$5,Settings!$G$55))&lt;MAX($A36,Settings!$F$55),0,INT((MIN(Settings!$B$5,IF(Settings!$G$55="",Settings!$B$5,Settings!$G$55))-MAX($A36,Settings!$F$55)-MOD(IFERROR(MATCH(Settings!$E$55,$EO$4:$EO$10,0),0)-WEEKDAY(MAX($A36,Settings!$F$55)),7))/7)+1)),IF(AND(IF(Settings!$E$55="",$B36,DATE(YEAR($A36),MONTH($A36),MIN(Settings!$E$55,DAY($B36))))&gt;=MAX($A36,Settings!$F$55),IF(Settings!$E$55="",$B36,DATE(YEAR($A36),MONTH($A36),MIN(Settings!$E$55,DAY($B36))))&lt;=MIN(Settings!$B$5,IF(Settings!$G$55="",Settings!$B$5,Settings!$G$55))),1,0)))))</f>
        <v/>
      </c>
      <c r="FE36">
        <f>IF($E36&lt;&gt;"open",0,IF(AND('Month-End'!$AG$33&lt;&gt;"",NOT(_xlfn.ISFORMULA('Month-End'!$AG$33))),0,IF(OR(Settings!$C$56="",Settings!$D$56=""),0,Settings!$C$56*IF(Settings!$D$56="Weekly",IF(IFERROR(MATCH(Settings!$E$56,$EO$4:$EO$10,0),0)=0,0,IF(MIN(Settings!$B$5,IF(Settings!$G$56="",Settings!$B$5,Settings!$G$56))&lt;MAX($A36,Settings!$F$56),0,INT((MIN(Settings!$B$5,IF(Settings!$G$56="",Settings!$B$5,Settings!$G$56))-MAX($A36,Settings!$F$56)-MOD(IFERROR(MATCH(Settings!$E$56,$EO$4:$EO$10,0),0)-WEEKDAY(MAX($A36,Settings!$F$56)),7))/7)+1)),IF(AND(IF(Settings!$E$56="",$B36,DATE(YEAR($A36),MONTH($A36),MIN(Settings!$E$56,DAY($B36))))&gt;=MAX($A36,Settings!$F$56),IF(Settings!$E$56="",$B36,DATE(YEAR($A36),MONTH($A36),MIN(Settings!$E$56,DAY($B36))))&lt;=MIN(Settings!$B$5,IF(Settings!$G$56="",Settings!$B$5,Settings!$G$56))),1,0)))))</f>
        <v/>
      </c>
      <c r="FF36">
        <f>IF(Settings!$I$45="Yes",$G36,0)+IF(Settings!$I$46="Yes",$H36,0)+IF(Settings!$I$47="Yes",$I36,0)+IF(Settings!$I$48="Yes",$J36,0)+IF(Settings!$I$49="Yes",$K36,0)+IF(Settings!$I$50="Yes",$L36,0)+IF(Settings!$I$51="Yes",$M36,0)+IF(Settings!$I$52="Yes",$N36,0)+IF(Settings!$I$53="Yes",$O36,0)+IF(Settings!$I$54="Yes",$P36,0)+IF(Settings!$I$55="Yes",$Q36,0)+IF(Settings!$I$56="Yes",$R36,0)</f>
        <v/>
      </c>
      <c r="FG36">
        <f>IF(AND(Settings!$I$45="Yes",Settings!$J$45="No"),$G36,0)+IF(AND(Settings!$I$46="Yes",Settings!$J$46="No"),$H36,0)+IF(AND(Settings!$I$47="Yes",Settings!$J$47="No"),$I36,0)+IF(AND(Settings!$I$48="Yes",Settings!$J$48="No"),$J36,0)+IF(AND(Settings!$I$49="Yes",Settings!$J$49="No"),$K36,0)+IF(AND(Settings!$I$50="Yes",Settings!$J$50="No"),$L36,0)+IF(AND(Settings!$I$51="Yes",Settings!$J$51="No"),$M36,0)+IF(AND(Settings!$I$52="Yes",Settings!$J$52="No"),$N36,0)+IF(AND(Settings!$I$53="Yes",Settings!$J$53="No"),$O36,0)+IF(AND(Settings!$I$54="Yes",Settings!$J$54="No"),$P36,0)+IF(AND(Settings!$I$55="Yes",Settings!$J$55="No"),$Q36,0)+IF(AND(Settings!$I$56="Yes",Settings!$J$56="No"),$R36,0)</f>
        <v/>
      </c>
      <c r="FH36">
        <f>SUMIFS(Giving!$B$7:$B$2006,Giving!$A$7:$A$2006,"&gt;="&amp;$A36,Giving!$A$7:$A$2006,"&lt;="&amp;$B36,Giving!$G$7:$G$2006,"Yes")+IF(OR(OR(Settings!$B$60="",Settings!$F$60="No"),Settings!$H$60&lt;&gt;"Yes"),0,Settings!$B$60*IF(AND(IF(Settings!$C$60="",$B36,DATE(YEAR($A36),MONTH($A36),MIN(Settings!$C$60,DAY($B36))))&gt;=MAX($A36,Settings!$D$60),IF(Settings!$C$60="",$B36,DATE(YEAR($A36),MONTH($A36),MIN(Settings!$C$60,DAY($B36))))&lt;=MIN($C36,IF(Settings!$E$60="",$C36,Settings!$E$60))),1,0))+IF(OR(OR(Settings!$B$61="",Settings!$F$61="No"),Settings!$H$61&lt;&gt;"Yes"),0,Settings!$B$61*IF(AND(IF(Settings!$C$61="",$B36,DATE(YEAR($A36),MONTH($A36),MIN(Settings!$C$61,DAY($B36))))&gt;=MAX($A36,Settings!$D$61),IF(Settings!$C$61="",$B36,DATE(YEAR($A36),MONTH($A36),MIN(Settings!$C$61,DAY($B36))))&lt;=MIN($C36,IF(Settings!$E$61="",$C36,Settings!$E$61))),1,0))+IF(OR(OR(Settings!$B$62="",Settings!$F$62="No"),Settings!$H$62&lt;&gt;"Yes"),0,Settings!$B$62*IF(AND(IF(Settings!$C$62="",$B36,DATE(YEAR($A36),MONTH($A36),MIN(Settings!$C$62,DAY($B36))))&gt;=MAX($A36,Settings!$D$62),IF(Settings!$C$62="",$B36,DATE(YEAR($A36),MONTH($A36),MIN(Settings!$C$62,DAY($B36))))&lt;=MIN($C36,IF(Settings!$E$62="",$C36,Settings!$E$62))),1,0))+IF(OR(OR(Settings!$B$63="",Settings!$F$63="No"),Settings!$H$63&lt;&gt;"Yes"),0,Settings!$B$63*IF(AND(IF(Settings!$C$63="",$B36,DATE(YEAR($A36),MONTH($A36),MIN(Settings!$C$63,DAY($B36))))&gt;=MAX($A36,Settings!$D$63),IF(Settings!$C$63="",$B36,DATE(YEAR($A36),MONTH($A36),MIN(Settings!$C$63,DAY($B36))))&lt;=MIN($C36,IF(Settings!$E$63="",$C36,Settings!$E$63))),1,0))+IF(OR(OR(Settings!$B$64="",Settings!$F$64="No"),Settings!$H$64&lt;&gt;"Yes"),0,Settings!$B$64*IF(AND(IF(Settings!$C$64="",$B36,DATE(YEAR($A36),MONTH($A36),MIN(Settings!$C$64,DAY($B36))))&gt;=MAX($A36,Settings!$D$64),IF(Settings!$C$64="",$B36,DATE(YEAR($A36),MONTH($A36),MIN(Settings!$C$64,DAY($B36))))&lt;=MIN($C36,IF(Settings!$E$64="",$C36,Settings!$E$64))),1,0))+IF(OR(OR(Settings!$B$65="",Settings!$F$65="No"),Settings!$H$65&lt;&gt;"Yes"),0,Settings!$B$65*IF(AND(IF(Settings!$C$65="",$B36,DATE(YEAR($A36),MONTH($A36),MIN(Settings!$C$65,DAY($B36))))&gt;=MAX($A36,Settings!$D$65),IF(Settings!$C$65="",$B36,DATE(YEAR($A36),MONTH($A36),MIN(Settings!$C$65,DAY($B36))))&lt;=MIN($C36,IF(Settings!$E$65="",$C36,Settings!$E$65))),1,0))</f>
        <v/>
      </c>
      <c r="FI36">
        <f>IF($DT36=1,IF(OR(Settings!$B$19="Card",Settings!$B$19="Loan"),N($AE36),0)+IF(OR(Settings!$B$20="Card",Settings!$B$20="Loan"),N($AF36),0)+IF(OR(Settings!$B$21="Card",Settings!$B$21="Loan"),N($AG36),0)+IF(OR(Settings!$B$22="Card",Settings!$B$22="Loan"),N($AH36),0)+IF(OR(Settings!$B$23="Card",Settings!$B$23="Loan"),N($AI36),0)+IF(OR(Settings!$B$24="Card",Settings!$B$24="Loan"),N($AJ36),0)+IF(OR(Settings!$B$25="Card",Settings!$B$25="Loan"),N($AK36),0)+IF(OR(Settings!$B$26="Card",Settings!$B$26="Loan"),N($AL36),0)+IF(OR(Settings!$B$27="Card",Settings!$B$27="Loan"),N($AM36),0)+IF(OR(Settings!$B$28="Card",Settings!$B$28="Loan"),N($AN36),0)+IF(OR(Settings!$B$29="Card",Settings!$B$29="Loan"),N($AO36),0)+IF(OR(Settings!$B$30="Card",Settings!$B$30="Loan"),N($AP36),0)+IF(OR(Settings!$B$31="Card",Settings!$B$31="Loan"),N($AQ36),0)+IF(OR(Settings!$B$32="Card",Settings!$B$32="Loan"),N($AR36),0),"")</f>
        <v/>
      </c>
      <c r="FJ36">
        <f>IF($E36="open",$EB$65,IF($E36="post",IF($E35="pre",$EB$65,$FI35),""))</f>
        <v/>
      </c>
      <c r="FK36">
        <f>IF(AND($DT36=1,$DC36=1),IF(ROUND($FI36-$FJ36,2)&gt;0,1,0),0)</f>
        <v/>
      </c>
      <c r="FL36">
        <f>IF($FK36=1,$FL35+1,0)</f>
        <v/>
      </c>
    </row>
    <row r="37">
      <c r="A37">
        <f>'Month-End'!$AH$4</f>
        <v/>
      </c>
      <c r="B37">
        <f>EOMONTH($A37,0)</f>
        <v/>
      </c>
      <c r="C37">
        <f>MIN($B37,TODAY())</f>
        <v/>
      </c>
      <c r="D37">
        <f>IF($A37&gt;TODAY(),1,0)</f>
        <v/>
      </c>
      <c r="E37">
        <f>IF($B37&lt;=Settings!$B$5,"pre",IF($A37&lt;=Settings!$B$5,"open","post"))</f>
        <v/>
      </c>
      <c r="G37">
        <f>IF('Month-End'!$AH$22="",$BE37,N('Month-End'!$AH$22))</f>
        <v/>
      </c>
      <c r="H37">
        <f>IF('Month-End'!$AH$23="",$BF37,N('Month-End'!$AH$23))</f>
        <v/>
      </c>
      <c r="I37">
        <f>IF('Month-End'!$AH$24="",$BG37,N('Month-End'!$AH$24))</f>
        <v/>
      </c>
      <c r="J37">
        <f>IF('Month-End'!$AH$25="",$BH37,N('Month-End'!$AH$25))</f>
        <v/>
      </c>
      <c r="K37">
        <f>IF('Month-End'!$AH$26="",$BI37,N('Month-End'!$AH$26))</f>
        <v/>
      </c>
      <c r="L37">
        <f>IF('Month-End'!$AH$27="",$BJ37,N('Month-End'!$AH$27))</f>
        <v/>
      </c>
      <c r="M37">
        <f>IF('Month-End'!$AH$28="",$BK37,N('Month-End'!$AH$28))</f>
        <v/>
      </c>
      <c r="N37">
        <f>IF('Month-End'!$AH$29="",$BL37,N('Month-End'!$AH$29))</f>
        <v/>
      </c>
      <c r="O37">
        <f>IF('Month-End'!$AH$30="",$BM37,N('Month-End'!$AH$30))</f>
        <v/>
      </c>
      <c r="P37">
        <f>IF('Month-End'!$AH$31="",$BN37,N('Month-End'!$AH$31))</f>
        <v/>
      </c>
      <c r="Q37">
        <f>IF('Month-End'!$AH$32="",$BO37,N('Month-End'!$AH$32))</f>
        <v/>
      </c>
      <c r="R37">
        <f>IF('Month-End'!$AH$33="",$BP37,N('Month-End'!$AH$33))</f>
        <v/>
      </c>
      <c r="S37">
        <f>$G37+$H37+$I37+$J37+$K37+$L37+$M37+$N37+$O37+$P37+$Q37+$R37</f>
        <v/>
      </c>
      <c r="T37">
        <f>IF($B37&lt;Settings!$B$6,0,IF(Settings!$B$45="Yes",$G37,0)+IF(Settings!$B$46="Yes",$H37,0)+IF(Settings!$B$47="Yes",$I37,0)+IF(Settings!$B$48="Yes",$J37,0)+IF(Settings!$B$49="Yes",$K37,0)+IF(Settings!$B$50="Yes",$L37,0)+IF(Settings!$B$51="Yes",$M37,0)+IF(Settings!$B$52="Yes",$N37,0)+IF(Settings!$B$53="Yes",$O37,0)+IF(Settings!$B$54="Yes",$P37,0)+IF(Settings!$B$55="Yes",$Q37,0)+IF(Settings!$B$56="Yes",$R37,0))</f>
        <v/>
      </c>
      <c r="U37">
        <f>IF(Settings!$B$45="Not Sure",$G37,0)+IF(Settings!$B$46="Not Sure",$H37,0)+IF(Settings!$B$47="Not Sure",$I37,0)+IF(Settings!$B$48="Not Sure",$J37,0)+IF(Settings!$B$49="Not Sure",$K37,0)+IF(Settings!$B$50="Not Sure",$L37,0)+IF(Settings!$B$51="Not Sure",$M37,0)+IF(Settings!$B$52="Not Sure",$N37,0)+IF(Settings!$B$53="Not Sure",$O37,0)+IF(Settings!$B$54="Not Sure",$P37,0)+IF(Settings!$B$55="Not Sure",$Q37,0)+IF(Settings!$B$56="Not Sure",$R37,0)</f>
        <v/>
      </c>
      <c r="V37">
        <f>IF($E37="open",SUM($ET37:$FE37)+N(Settings!$B$13),0)</f>
        <v/>
      </c>
      <c r="W37">
        <f>IF($E37="post",$S37,IF($E37="open",$S37-$V37,0))</f>
        <v/>
      </c>
      <c r="X37">
        <f>SUMIFS(Giving!$B$7:$B$2006,Giving!$A$7:$A$2006,"&gt;="&amp;$A37,Giving!$A$7:$A$2006,"&lt;="&amp;$B37,Giving!$E$7:$E$2006,"&lt;&gt;No")</f>
        <v/>
      </c>
      <c r="Y37">
        <f>SUMIFS(Giving!$B$7:$B$2006,Giving!$A$7:$A$2006,"&gt;="&amp;$A37,Giving!$A$7:$A$2006,"&lt;="&amp;$B37,Giving!$E$7:$E$2006,"No")</f>
        <v/>
      </c>
      <c r="Z37">
        <f>IF(OR(Settings!$B$60="",Settings!$F$60="No"),0,Settings!$B$60*IF(AND(IF(Settings!$C$60="",$B37,DATE(YEAR($A37),MONTH($A37),MIN(Settings!$C$60,DAY($B37))))&gt;=MAX($A37,Settings!$D$60),IF(Settings!$C$60="",$B37,DATE(YEAR($A37),MONTH($A37),MIN(Settings!$C$60,DAY($B37))))&lt;=MIN($C37,IF(Settings!$E$60="",$C37,Settings!$E$60))),1,0))+IF(OR(Settings!$B$61="",Settings!$F$61="No"),0,Settings!$B$61*IF(AND(IF(Settings!$C$61="",$B37,DATE(YEAR($A37),MONTH($A37),MIN(Settings!$C$61,DAY($B37))))&gt;=MAX($A37,Settings!$D$61),IF(Settings!$C$61="",$B37,DATE(YEAR($A37),MONTH($A37),MIN(Settings!$C$61,DAY($B37))))&lt;=MIN($C37,IF(Settings!$E$61="",$C37,Settings!$E$61))),1,0))+IF(OR(Settings!$B$62="",Settings!$F$62="No"),0,Settings!$B$62*IF(AND(IF(Settings!$C$62="",$B37,DATE(YEAR($A37),MONTH($A37),MIN(Settings!$C$62,DAY($B37))))&gt;=MAX($A37,Settings!$D$62),IF(Settings!$C$62="",$B37,DATE(YEAR($A37),MONTH($A37),MIN(Settings!$C$62,DAY($B37))))&lt;=MIN($C37,IF(Settings!$E$62="",$C37,Settings!$E$62))),1,0))+IF(OR(Settings!$B$63="",Settings!$F$63="No"),0,Settings!$B$63*IF(AND(IF(Settings!$C$63="",$B37,DATE(YEAR($A37),MONTH($A37),MIN(Settings!$C$63,DAY($B37))))&gt;=MAX($A37,Settings!$D$63),IF(Settings!$C$63="",$B37,DATE(YEAR($A37),MONTH($A37),MIN(Settings!$C$63,DAY($B37))))&lt;=MIN($C37,IF(Settings!$E$63="",$C37,Settings!$E$63))),1,0))+IF(OR(Settings!$B$64="",Settings!$F$64="No"),0,Settings!$B$64*IF(AND(IF(Settings!$C$64="",$B37,DATE(YEAR($A37),MONTH($A37),MIN(Settings!$C$64,DAY($B37))))&gt;=MAX($A37,Settings!$D$64),IF(Settings!$C$64="",$B37,DATE(YEAR($A37),MONTH($A37),MIN(Settings!$C$64,DAY($B37))))&lt;=MIN($C37,IF(Settings!$E$64="",$C37,Settings!$E$64))),1,0))+IF(OR(Settings!$B$65="",Settings!$F$65="No"),0,Settings!$B$65*IF(AND(IF(Settings!$C$65="",$B37,DATE(YEAR($A37),MONTH($A37),MIN(Settings!$C$65,DAY($B37))))&gt;=MAX($A37,Settings!$D$65),IF(Settings!$C$65="",$B37,DATE(YEAR($A37),MONTH($A37),MIN(Settings!$C$65,DAY($B37))))&lt;=MIN($C37,IF(Settings!$E$65="",$C37,Settings!$E$65))),1,0))</f>
        <v/>
      </c>
      <c r="AA37">
        <f>$X37+$Z37</f>
        <v/>
      </c>
      <c r="AB37">
        <f>IF($E37="post",$AA37,IF($E37="open",SUMIFS(Giving!$B$7:$B$2006,Giving!$A$7:$A$2006,"&gt;"&amp;Settings!$B$5,Giving!$A$7:$A$2006,"&lt;="&amp;$B37,Giving!$E$7:$E$2006,"&lt;&gt;No")+IF(OR(Settings!$B$60="",Settings!$F$60="No"),0,Settings!$B$60*IF(AND(IF(Settings!$C$60="",$B37,DATE(YEAR($A37),MONTH($A37),MIN(Settings!$C$60,DAY($B37))))&gt;=MAX($A37,Settings!$D$60,Settings!$B$5+1),IF(Settings!$C$60="",$B37,DATE(YEAR($A37),MONTH($A37),MIN(Settings!$C$60,DAY($B37))))&lt;=MIN($C37,IF(Settings!$E$60="",$C37,Settings!$E$60))),1,0))+IF(OR(Settings!$B$61="",Settings!$F$61="No"),0,Settings!$B$61*IF(AND(IF(Settings!$C$61="",$B37,DATE(YEAR($A37),MONTH($A37),MIN(Settings!$C$61,DAY($B37))))&gt;=MAX($A37,Settings!$D$61,Settings!$B$5+1),IF(Settings!$C$61="",$B37,DATE(YEAR($A37),MONTH($A37),MIN(Settings!$C$61,DAY($B37))))&lt;=MIN($C37,IF(Settings!$E$61="",$C37,Settings!$E$61))),1,0))+IF(OR(Settings!$B$62="",Settings!$F$62="No"),0,Settings!$B$62*IF(AND(IF(Settings!$C$62="",$B37,DATE(YEAR($A37),MONTH($A37),MIN(Settings!$C$62,DAY($B37))))&gt;=MAX($A37,Settings!$D$62,Settings!$B$5+1),IF(Settings!$C$62="",$B37,DATE(YEAR($A37),MONTH($A37),MIN(Settings!$C$62,DAY($B37))))&lt;=MIN($C37,IF(Settings!$E$62="",$C37,Settings!$E$62))),1,0))+IF(OR(Settings!$B$63="",Settings!$F$63="No"),0,Settings!$B$63*IF(AND(IF(Settings!$C$63="",$B37,DATE(YEAR($A37),MONTH($A37),MIN(Settings!$C$63,DAY($B37))))&gt;=MAX($A37,Settings!$D$63,Settings!$B$5+1),IF(Settings!$C$63="",$B37,DATE(YEAR($A37),MONTH($A37),MIN(Settings!$C$63,DAY($B37))))&lt;=MIN($C37,IF(Settings!$E$63="",$C37,Settings!$E$63))),1,0))+IF(OR(Settings!$B$64="",Settings!$F$64="No"),0,Settings!$B$64*IF(AND(IF(Settings!$C$64="",$B37,DATE(YEAR($A37),MONTH($A37),MIN(Settings!$C$64,DAY($B37))))&gt;=MAX($A37,Settings!$D$64,Settings!$B$5+1),IF(Settings!$C$64="",$B37,DATE(YEAR($A37),MONTH($A37),MIN(Settings!$C$64,DAY($B37))))&lt;=MIN($C37,IF(Settings!$E$64="",$C37,Settings!$E$64))),1,0))+IF(OR(Settings!$B$65="",Settings!$F$65="No"),0,Settings!$B$65*IF(AND(IF(Settings!$C$65="",$B37,DATE(YEAR($A37),MONTH($A37),MIN(Settings!$C$65,DAY($B37))))&gt;=MAX($A37,Settings!$D$65,Settings!$B$5+1),IF(Settings!$C$65="",$B37,DATE(YEAR($A37),MONTH($A37),MIN(Settings!$C$65,DAY($B37))))&lt;=MIN($C37,IF(Settings!$E$65="",$C37,Settings!$E$65))),1,0)),0))</f>
        <v/>
      </c>
      <c r="AC37">
        <f>$AY37+$AZ37+$BA37+$BB37+$BC37+$BD37</f>
        <v/>
      </c>
      <c r="AD37">
        <f>$AC37</f>
        <v/>
      </c>
      <c r="AE37">
        <f>IF(OR(Settings!$A$19="",$E37="pre"),"",IF(AND('Month-End'!$AH$7&lt;&gt;"",NOT(_xlfn.ISFORMULA('Month-End'!$AH$7))),N('Month-End'!$AH$7),IF(OR($E37="open",$E36="pre"),N(Settings!$C$19),N($AE36))))</f>
        <v/>
      </c>
      <c r="AF37">
        <f>IF(OR(Settings!$A$20="",$E37="pre"),"",IF(AND('Month-End'!$AH$8&lt;&gt;"",NOT(_xlfn.ISFORMULA('Month-End'!$AH$8))),N('Month-End'!$AH$8),IF(OR($E37="open",$E36="pre"),N(Settings!$C$20),N($AF36))))</f>
        <v/>
      </c>
      <c r="AG37">
        <f>IF(OR(Settings!$A$21="",$E37="pre"),"",IF(AND('Month-End'!$AH$9&lt;&gt;"",NOT(_xlfn.ISFORMULA('Month-End'!$AH$9))),N('Month-End'!$AH$9),IF(OR($E37="open",$E36="pre"),N(Settings!$C$21),N($AG36))))</f>
        <v/>
      </c>
      <c r="AH37">
        <f>IF(OR(Settings!$A$22="",$E37="pre"),"",IF(AND('Month-End'!$AH$10&lt;&gt;"",NOT(_xlfn.ISFORMULA('Month-End'!$AH$10))),N('Month-End'!$AH$10),IF(OR($E37="open",$E36="pre"),N(Settings!$C$22),N($AH36))))</f>
        <v/>
      </c>
      <c r="AI37">
        <f>IF(OR(Settings!$A$23="",$E37="pre"),"",IF(AND('Month-End'!$AH$11&lt;&gt;"",NOT(_xlfn.ISFORMULA('Month-End'!$AH$11))),N('Month-End'!$AH$11),IF(OR($E37="open",$E36="pre"),N(Settings!$C$23),N($AI36))))</f>
        <v/>
      </c>
      <c r="AJ37">
        <f>IF(OR(Settings!$A$24="",$E37="pre"),"",IF(AND('Month-End'!$AH$12&lt;&gt;"",NOT(_xlfn.ISFORMULA('Month-End'!$AH$12))),N('Month-End'!$AH$12),IF(OR($E37="open",$E36="pre"),N(Settings!$C$24),N($AJ36))))</f>
        <v/>
      </c>
      <c r="AK37">
        <f>IF(OR(Settings!$A$25="",$E37="pre"),"",IF(AND('Month-End'!$AH$13&lt;&gt;"",NOT(_xlfn.ISFORMULA('Month-End'!$AH$13))),N('Month-End'!$AH$13),IF(OR($E37="open",$E36="pre"),N(Settings!$C$25),N($AK36))))</f>
        <v/>
      </c>
      <c r="AL37">
        <f>IF(OR(Settings!$A$26="",$E37="pre"),"",IF(AND('Month-End'!$AH$14&lt;&gt;"",NOT(_xlfn.ISFORMULA('Month-End'!$AH$14))),N('Month-End'!$AH$14),IF(OR($E37="open",$E36="pre"),N(Settings!$C$26),N($AL36))))</f>
        <v/>
      </c>
      <c r="AM37">
        <f>IF(OR(Settings!$A$27="",$E37="pre"),"",IF(AND('Month-End'!$AH$15&lt;&gt;"",NOT(_xlfn.ISFORMULA('Month-End'!$AH$15))),N('Month-End'!$AH$15),IF(OR($E37="open",$E36="pre"),N(Settings!$C$27),N($AM36))))</f>
        <v/>
      </c>
      <c r="AN37">
        <f>IF(OR(Settings!$A$28="",$E37="pre"),"",IF(AND('Month-End'!$AH$16&lt;&gt;"",NOT(_xlfn.ISFORMULA('Month-End'!$AH$16))),N('Month-End'!$AH$16),IF(OR($E37="open",$E36="pre"),N(Settings!$C$28),N($AN36))))</f>
        <v/>
      </c>
      <c r="AO37">
        <f>IF(OR(Settings!$A$29="",$E37="pre"),"",IF(AND('Month-End'!$AH$17&lt;&gt;"",NOT(_xlfn.ISFORMULA('Month-End'!$AH$17))),N('Month-End'!$AH$17),IF(OR($E37="open",$E36="pre"),N(Settings!$C$29),N($AO36))))</f>
        <v/>
      </c>
      <c r="AP37">
        <f>IF(OR(Settings!$A$30="",$E37="pre"),"",IF(AND('Month-End'!$AH$18&lt;&gt;"",NOT(_xlfn.ISFORMULA('Month-End'!$AH$18))),N('Month-End'!$AH$18),IF(OR($E37="open",$E36="pre"),N(Settings!$C$30),N($AP36))))</f>
        <v/>
      </c>
      <c r="AQ37">
        <f>IF(OR(Settings!$A$31="",$E37="pre"),"",IF(AND('Month-End'!$AH$19&lt;&gt;"",NOT(_xlfn.ISFORMULA('Month-End'!$AH$19))),N('Month-End'!$AH$19),IF(OR($E37="open",$E36="pre"),N(Settings!$C$31),N($AQ36))))</f>
        <v/>
      </c>
      <c r="AR37">
        <f>IF(OR(Settings!$A$32="",$E37="pre"),"",IF(AND('Month-End'!$AH$20&lt;&gt;"",NOT(_xlfn.ISFORMULA('Month-End'!$AH$20))),N('Month-End'!$AH$20),IF(OR($E37="open",$E36="pre"),N(Settings!$C$32),N($AR36))))</f>
        <v/>
      </c>
      <c r="AS37">
        <f>IF(OR(Settings!$A$36="",$E37="pre"),"",IF(AND('Month-End'!$AH$38&lt;&gt;"",NOT(_xlfn.ISFORMULA('Month-End'!$AH$38))),N('Month-End'!$AH$38),IF(OR($E37="open",$E36="pre"),N(Settings!$C$36),N($AS36))+$AY37))</f>
        <v/>
      </c>
      <c r="AT37">
        <f>IF(OR(Settings!$A$37="",$E37="pre"),"",IF(AND('Month-End'!$AH$39&lt;&gt;"",NOT(_xlfn.ISFORMULA('Month-End'!$AH$39))),N('Month-End'!$AH$39),IF(OR($E37="open",$E36="pre"),N(Settings!$C$37),N($AT36))+$AZ37))</f>
        <v/>
      </c>
      <c r="AU37">
        <f>IF(OR(Settings!$A$38="",$E37="pre"),"",IF(AND('Month-End'!$AH$40&lt;&gt;"",NOT(_xlfn.ISFORMULA('Month-End'!$AH$40))),N('Month-End'!$AH$40),IF(OR($E37="open",$E36="pre"),N(Settings!$C$38),N($AU36))+$BA37))</f>
        <v/>
      </c>
      <c r="AV37">
        <f>IF(OR(Settings!$A$39="",$E37="pre"),"",IF(AND('Month-End'!$AH$41&lt;&gt;"",NOT(_xlfn.ISFORMULA('Month-End'!$AH$41))),N('Month-End'!$AH$41),IF(OR($E37="open",$E36="pre"),N(Settings!$C$39),N($AV36))+$BB37))</f>
        <v/>
      </c>
      <c r="AW37">
        <f>IF(OR(Settings!$A$40="",$E37="pre"),"",IF(AND('Month-End'!$AH$42&lt;&gt;"",NOT(_xlfn.ISFORMULA('Month-End'!$AH$42))),N('Month-End'!$AH$42),IF(OR($E37="open",$E36="pre"),N(Settings!$C$40),N($AW36))+$BC37))</f>
        <v/>
      </c>
      <c r="AX37">
        <f>IF(OR(Settings!$A$41="",$E37="pre"),"",IF(AND('Month-End'!$AH$43&lt;&gt;"",NOT(_xlfn.ISFORMULA('Month-End'!$AH$43))),N('Month-End'!$AH$43),IF(OR($E37="open",$E36="pre"),N(Settings!$C$41),N($AX36))+$BD37))</f>
        <v/>
      </c>
      <c r="AY37">
        <f>IF($E37="pre",0,N('Month-End'!$AH$45))</f>
        <v/>
      </c>
      <c r="AZ37">
        <f>IF($E37="pre",0,N('Month-End'!$AH$46))</f>
        <v/>
      </c>
      <c r="BA37">
        <f>IF($E37="pre",0,N('Month-End'!$AH$47))</f>
        <v/>
      </c>
      <c r="BB37">
        <f>IF($E37="pre",0,N('Month-End'!$AH$48))</f>
        <v/>
      </c>
      <c r="BC37">
        <f>IF($E37="pre",0,N('Month-End'!$AH$49))</f>
        <v/>
      </c>
      <c r="BD37">
        <f>IF($E37="pre",0,N('Month-End'!$AH$50))</f>
        <v/>
      </c>
      <c r="BE37">
        <f>IF(OR(Settings!$C$45="",Settings!$D$45=""),0,Settings!$C$45*IF(Settings!$D$45="Weekly",IF(IFERROR(MATCH(Settings!$E$45,$EO$4:$EO$10,0),0)=0,0,IF(MIN($C37,IF(Settings!$G$45="",$C37,Settings!$G$45))&lt;MAX($A37,Settings!$F$45),0,INT((MIN($C37,IF(Settings!$G$45="",$C37,Settings!$G$45))-MAX($A37,Settings!$F$45)-MOD(IFERROR(MATCH(Settings!$E$45,$EO$4:$EO$10,0),0)-WEEKDAY(MAX($A37,Settings!$F$45)),7))/7)+1)),IF(AND(IF(Settings!$E$45="",$B37,DATE(YEAR($A37),MONTH($A37),MIN(Settings!$E$45,DAY($B37))))&gt;=MAX($A37,Settings!$F$45),IF(Settings!$E$45="",$B37,DATE(YEAR($A37),MONTH($A37),MIN(Settings!$E$45,DAY($B37))))&lt;=MIN($C37,IF(Settings!$G$45="",$C37,Settings!$G$45))),1,0)))</f>
        <v/>
      </c>
      <c r="BF37">
        <f>IF(OR(Settings!$C$46="",Settings!$D$46=""),0,Settings!$C$46*IF(Settings!$D$46="Weekly",IF(IFERROR(MATCH(Settings!$E$46,$EO$4:$EO$10,0),0)=0,0,IF(MIN($C37,IF(Settings!$G$46="",$C37,Settings!$G$46))&lt;MAX($A37,Settings!$F$46),0,INT((MIN($C37,IF(Settings!$G$46="",$C37,Settings!$G$46))-MAX($A37,Settings!$F$46)-MOD(IFERROR(MATCH(Settings!$E$46,$EO$4:$EO$10,0),0)-WEEKDAY(MAX($A37,Settings!$F$46)),7))/7)+1)),IF(AND(IF(Settings!$E$46="",$B37,DATE(YEAR($A37),MONTH($A37),MIN(Settings!$E$46,DAY($B37))))&gt;=MAX($A37,Settings!$F$46),IF(Settings!$E$46="",$B37,DATE(YEAR($A37),MONTH($A37),MIN(Settings!$E$46,DAY($B37))))&lt;=MIN($C37,IF(Settings!$G$46="",$C37,Settings!$G$46))),1,0)))</f>
        <v/>
      </c>
      <c r="BG37">
        <f>IF(OR(Settings!$C$47="",Settings!$D$47=""),0,Settings!$C$47*IF(Settings!$D$47="Weekly",IF(IFERROR(MATCH(Settings!$E$47,$EO$4:$EO$10,0),0)=0,0,IF(MIN($C37,IF(Settings!$G$47="",$C37,Settings!$G$47))&lt;MAX($A37,Settings!$F$47),0,INT((MIN($C37,IF(Settings!$G$47="",$C37,Settings!$G$47))-MAX($A37,Settings!$F$47)-MOD(IFERROR(MATCH(Settings!$E$47,$EO$4:$EO$10,0),0)-WEEKDAY(MAX($A37,Settings!$F$47)),7))/7)+1)),IF(AND(IF(Settings!$E$47="",$B37,DATE(YEAR($A37),MONTH($A37),MIN(Settings!$E$47,DAY($B37))))&gt;=MAX($A37,Settings!$F$47),IF(Settings!$E$47="",$B37,DATE(YEAR($A37),MONTH($A37),MIN(Settings!$E$47,DAY($B37))))&lt;=MIN($C37,IF(Settings!$G$47="",$C37,Settings!$G$47))),1,0)))</f>
        <v/>
      </c>
      <c r="BH37">
        <f>IF(OR(Settings!$C$48="",Settings!$D$48=""),0,Settings!$C$48*IF(Settings!$D$48="Weekly",IF(IFERROR(MATCH(Settings!$E$48,$EO$4:$EO$10,0),0)=0,0,IF(MIN($C37,IF(Settings!$G$48="",$C37,Settings!$G$48))&lt;MAX($A37,Settings!$F$48),0,INT((MIN($C37,IF(Settings!$G$48="",$C37,Settings!$G$48))-MAX($A37,Settings!$F$48)-MOD(IFERROR(MATCH(Settings!$E$48,$EO$4:$EO$10,0),0)-WEEKDAY(MAX($A37,Settings!$F$48)),7))/7)+1)),IF(AND(IF(Settings!$E$48="",$B37,DATE(YEAR($A37),MONTH($A37),MIN(Settings!$E$48,DAY($B37))))&gt;=MAX($A37,Settings!$F$48),IF(Settings!$E$48="",$B37,DATE(YEAR($A37),MONTH($A37),MIN(Settings!$E$48,DAY($B37))))&lt;=MIN($C37,IF(Settings!$G$48="",$C37,Settings!$G$48))),1,0)))</f>
        <v/>
      </c>
      <c r="BI37">
        <f>IF(OR(Settings!$C$49="",Settings!$D$49=""),0,Settings!$C$49*IF(Settings!$D$49="Weekly",IF(IFERROR(MATCH(Settings!$E$49,$EO$4:$EO$10,0),0)=0,0,IF(MIN($C37,IF(Settings!$G$49="",$C37,Settings!$G$49))&lt;MAX($A37,Settings!$F$49),0,INT((MIN($C37,IF(Settings!$G$49="",$C37,Settings!$G$49))-MAX($A37,Settings!$F$49)-MOD(IFERROR(MATCH(Settings!$E$49,$EO$4:$EO$10,0),0)-WEEKDAY(MAX($A37,Settings!$F$49)),7))/7)+1)),IF(AND(IF(Settings!$E$49="",$B37,DATE(YEAR($A37),MONTH($A37),MIN(Settings!$E$49,DAY($B37))))&gt;=MAX($A37,Settings!$F$49),IF(Settings!$E$49="",$B37,DATE(YEAR($A37),MONTH($A37),MIN(Settings!$E$49,DAY($B37))))&lt;=MIN($C37,IF(Settings!$G$49="",$C37,Settings!$G$49))),1,0)))</f>
        <v/>
      </c>
      <c r="BJ37">
        <f>IF(OR(Settings!$C$50="",Settings!$D$50=""),0,Settings!$C$50*IF(Settings!$D$50="Weekly",IF(IFERROR(MATCH(Settings!$E$50,$EO$4:$EO$10,0),0)=0,0,IF(MIN($C37,IF(Settings!$G$50="",$C37,Settings!$G$50))&lt;MAX($A37,Settings!$F$50),0,INT((MIN($C37,IF(Settings!$G$50="",$C37,Settings!$G$50))-MAX($A37,Settings!$F$50)-MOD(IFERROR(MATCH(Settings!$E$50,$EO$4:$EO$10,0),0)-WEEKDAY(MAX($A37,Settings!$F$50)),7))/7)+1)),IF(AND(IF(Settings!$E$50="",$B37,DATE(YEAR($A37),MONTH($A37),MIN(Settings!$E$50,DAY($B37))))&gt;=MAX($A37,Settings!$F$50),IF(Settings!$E$50="",$B37,DATE(YEAR($A37),MONTH($A37),MIN(Settings!$E$50,DAY($B37))))&lt;=MIN($C37,IF(Settings!$G$50="",$C37,Settings!$G$50))),1,0)))</f>
        <v/>
      </c>
      <c r="BK37">
        <f>IF(OR(Settings!$C$51="",Settings!$D$51=""),0,Settings!$C$51*IF(Settings!$D$51="Weekly",IF(IFERROR(MATCH(Settings!$E$51,$EO$4:$EO$10,0),0)=0,0,IF(MIN($C37,IF(Settings!$G$51="",$C37,Settings!$G$51))&lt;MAX($A37,Settings!$F$51),0,INT((MIN($C37,IF(Settings!$G$51="",$C37,Settings!$G$51))-MAX($A37,Settings!$F$51)-MOD(IFERROR(MATCH(Settings!$E$51,$EO$4:$EO$10,0),0)-WEEKDAY(MAX($A37,Settings!$F$51)),7))/7)+1)),IF(AND(IF(Settings!$E$51="",$B37,DATE(YEAR($A37),MONTH($A37),MIN(Settings!$E$51,DAY($B37))))&gt;=MAX($A37,Settings!$F$51),IF(Settings!$E$51="",$B37,DATE(YEAR($A37),MONTH($A37),MIN(Settings!$E$51,DAY($B37))))&lt;=MIN($C37,IF(Settings!$G$51="",$C37,Settings!$G$51))),1,0)))</f>
        <v/>
      </c>
      <c r="BL37">
        <f>IF(OR(Settings!$C$52="",Settings!$D$52=""),0,Settings!$C$52*IF(Settings!$D$52="Weekly",IF(IFERROR(MATCH(Settings!$E$52,$EO$4:$EO$10,0),0)=0,0,IF(MIN($C37,IF(Settings!$G$52="",$C37,Settings!$G$52))&lt;MAX($A37,Settings!$F$52),0,INT((MIN($C37,IF(Settings!$G$52="",$C37,Settings!$G$52))-MAX($A37,Settings!$F$52)-MOD(IFERROR(MATCH(Settings!$E$52,$EO$4:$EO$10,0),0)-WEEKDAY(MAX($A37,Settings!$F$52)),7))/7)+1)),IF(AND(IF(Settings!$E$52="",$B37,DATE(YEAR($A37),MONTH($A37),MIN(Settings!$E$52,DAY($B37))))&gt;=MAX($A37,Settings!$F$52),IF(Settings!$E$52="",$B37,DATE(YEAR($A37),MONTH($A37),MIN(Settings!$E$52,DAY($B37))))&lt;=MIN($C37,IF(Settings!$G$52="",$C37,Settings!$G$52))),1,0)))</f>
        <v/>
      </c>
      <c r="BM37">
        <f>IF(OR(Settings!$C$53="",Settings!$D$53=""),0,Settings!$C$53*IF(Settings!$D$53="Weekly",IF(IFERROR(MATCH(Settings!$E$53,$EO$4:$EO$10,0),0)=0,0,IF(MIN($C37,IF(Settings!$G$53="",$C37,Settings!$G$53))&lt;MAX($A37,Settings!$F$53),0,INT((MIN($C37,IF(Settings!$G$53="",$C37,Settings!$G$53))-MAX($A37,Settings!$F$53)-MOD(IFERROR(MATCH(Settings!$E$53,$EO$4:$EO$10,0),0)-WEEKDAY(MAX($A37,Settings!$F$53)),7))/7)+1)),IF(AND(IF(Settings!$E$53="",$B37,DATE(YEAR($A37),MONTH($A37),MIN(Settings!$E$53,DAY($B37))))&gt;=MAX($A37,Settings!$F$53),IF(Settings!$E$53="",$B37,DATE(YEAR($A37),MONTH($A37),MIN(Settings!$E$53,DAY($B37))))&lt;=MIN($C37,IF(Settings!$G$53="",$C37,Settings!$G$53))),1,0)))</f>
        <v/>
      </c>
      <c r="BN37">
        <f>IF(OR(Settings!$C$54="",Settings!$D$54=""),0,Settings!$C$54*IF(Settings!$D$54="Weekly",IF(IFERROR(MATCH(Settings!$E$54,$EO$4:$EO$10,0),0)=0,0,IF(MIN($C37,IF(Settings!$G$54="",$C37,Settings!$G$54))&lt;MAX($A37,Settings!$F$54),0,INT((MIN($C37,IF(Settings!$G$54="",$C37,Settings!$G$54))-MAX($A37,Settings!$F$54)-MOD(IFERROR(MATCH(Settings!$E$54,$EO$4:$EO$10,0),0)-WEEKDAY(MAX($A37,Settings!$F$54)),7))/7)+1)),IF(AND(IF(Settings!$E$54="",$B37,DATE(YEAR($A37),MONTH($A37),MIN(Settings!$E$54,DAY($B37))))&gt;=MAX($A37,Settings!$F$54),IF(Settings!$E$54="",$B37,DATE(YEAR($A37),MONTH($A37),MIN(Settings!$E$54,DAY($B37))))&lt;=MIN($C37,IF(Settings!$G$54="",$C37,Settings!$G$54))),1,0)))</f>
        <v/>
      </c>
      <c r="BO37">
        <f>IF(OR(Settings!$C$55="",Settings!$D$55=""),0,Settings!$C$55*IF(Settings!$D$55="Weekly",IF(IFERROR(MATCH(Settings!$E$55,$EO$4:$EO$10,0),0)=0,0,IF(MIN($C37,IF(Settings!$G$55="",$C37,Settings!$G$55))&lt;MAX($A37,Settings!$F$55),0,INT((MIN($C37,IF(Settings!$G$55="",$C37,Settings!$G$55))-MAX($A37,Settings!$F$55)-MOD(IFERROR(MATCH(Settings!$E$55,$EO$4:$EO$10,0),0)-WEEKDAY(MAX($A37,Settings!$F$55)),7))/7)+1)),IF(AND(IF(Settings!$E$55="",$B37,DATE(YEAR($A37),MONTH($A37),MIN(Settings!$E$55,DAY($B37))))&gt;=MAX($A37,Settings!$F$55),IF(Settings!$E$55="",$B37,DATE(YEAR($A37),MONTH($A37),MIN(Settings!$E$55,DAY($B37))))&lt;=MIN($C37,IF(Settings!$G$55="",$C37,Settings!$G$55))),1,0)))</f>
        <v/>
      </c>
      <c r="BP37">
        <f>IF(OR(Settings!$C$56="",Settings!$D$56=""),0,Settings!$C$56*IF(Settings!$D$56="Weekly",IF(IFERROR(MATCH(Settings!$E$56,$EO$4:$EO$10,0),0)=0,0,IF(MIN($C37,IF(Settings!$G$56="",$C37,Settings!$G$56))&lt;MAX($A37,Settings!$F$56),0,INT((MIN($C37,IF(Settings!$G$56="",$C37,Settings!$G$56))-MAX($A37,Settings!$F$56)-MOD(IFERROR(MATCH(Settings!$E$56,$EO$4:$EO$10,0),0)-WEEKDAY(MAX($A37,Settings!$F$56)),7))/7)+1)),IF(AND(IF(Settings!$E$56="",$B37,DATE(YEAR($A37),MONTH($A37),MIN(Settings!$E$56,DAY($B37))))&gt;=MAX($A37,Settings!$F$56),IF(Settings!$E$56="",$B37,DATE(YEAR($A37),MONTH($A37),MIN(Settings!$E$56,DAY($B37))))&lt;=MIN($C37,IF(Settings!$G$56="",$C37,Settings!$G$56))),1,0)))</f>
        <v/>
      </c>
      <c r="BQ37">
        <f>IF(OR(Settings!$B$14="",$D37=1,$E37="pre",$A37&lt;IF(Settings!$B$15="",0,Settings!$B$15)),0,Settings!$B$14)</f>
        <v/>
      </c>
      <c r="BR37">
        <f>IF(AND('Month-End'!$AH$7&lt;&gt;"",NOT(_xlfn.ISFORMULA('Month-End'!$AH$7))),1,0)</f>
        <v/>
      </c>
      <c r="BS37">
        <f>IF(AND('Month-End'!$AH$8&lt;&gt;"",NOT(_xlfn.ISFORMULA('Month-End'!$AH$8))),1,0)</f>
        <v/>
      </c>
      <c r="BT37">
        <f>IF(AND('Month-End'!$AH$9&lt;&gt;"",NOT(_xlfn.ISFORMULA('Month-End'!$AH$9))),1,0)</f>
        <v/>
      </c>
      <c r="BU37">
        <f>IF(AND('Month-End'!$AH$10&lt;&gt;"",NOT(_xlfn.ISFORMULA('Month-End'!$AH$10))),1,0)</f>
        <v/>
      </c>
      <c r="BV37">
        <f>IF(AND('Month-End'!$AH$11&lt;&gt;"",NOT(_xlfn.ISFORMULA('Month-End'!$AH$11))),1,0)</f>
        <v/>
      </c>
      <c r="BW37">
        <f>IF(AND('Month-End'!$AH$12&lt;&gt;"",NOT(_xlfn.ISFORMULA('Month-End'!$AH$12))),1,0)</f>
        <v/>
      </c>
      <c r="BX37">
        <f>IF(AND('Month-End'!$AH$13&lt;&gt;"",NOT(_xlfn.ISFORMULA('Month-End'!$AH$13))),1,0)</f>
        <v/>
      </c>
      <c r="BY37">
        <f>IF(AND('Month-End'!$AH$14&lt;&gt;"",NOT(_xlfn.ISFORMULA('Month-End'!$AH$14))),1,0)</f>
        <v/>
      </c>
      <c r="BZ37">
        <f>IF(AND('Month-End'!$AH$15&lt;&gt;"",NOT(_xlfn.ISFORMULA('Month-End'!$AH$15))),1,0)</f>
        <v/>
      </c>
      <c r="CA37">
        <f>IF(AND('Month-End'!$AH$16&lt;&gt;"",NOT(_xlfn.ISFORMULA('Month-End'!$AH$16))),1,0)</f>
        <v/>
      </c>
      <c r="CB37">
        <f>IF(AND('Month-End'!$AH$17&lt;&gt;"",NOT(_xlfn.ISFORMULA('Month-End'!$AH$17))),1,0)</f>
        <v/>
      </c>
      <c r="CC37">
        <f>IF(AND('Month-End'!$AH$18&lt;&gt;"",NOT(_xlfn.ISFORMULA('Month-End'!$AH$18))),1,0)</f>
        <v/>
      </c>
      <c r="CD37">
        <f>IF(AND('Month-End'!$AH$19&lt;&gt;"",NOT(_xlfn.ISFORMULA('Month-End'!$AH$19))),1,0)</f>
        <v/>
      </c>
      <c r="CE37">
        <f>IF(AND('Month-End'!$AH$20&lt;&gt;"",NOT(_xlfn.ISFORMULA('Month-End'!$AH$20))),1,0)</f>
        <v/>
      </c>
      <c r="CF37">
        <f>IF(AND('Month-End'!$AH$38&lt;&gt;"",NOT(_xlfn.ISFORMULA('Month-End'!$AH$38))),1,0)</f>
        <v/>
      </c>
      <c r="CG37">
        <f>IF(AND('Month-End'!$AH$39&lt;&gt;"",NOT(_xlfn.ISFORMULA('Month-End'!$AH$39))),1,0)</f>
        <v/>
      </c>
      <c r="CH37">
        <f>IF(AND('Month-End'!$AH$40&lt;&gt;"",NOT(_xlfn.ISFORMULA('Month-End'!$AH$40))),1,0)</f>
        <v/>
      </c>
      <c r="CI37">
        <f>IF(AND('Month-End'!$AH$41&lt;&gt;"",NOT(_xlfn.ISFORMULA('Month-End'!$AH$41))),1,0)</f>
        <v/>
      </c>
      <c r="CJ37">
        <f>IF(AND('Month-End'!$AH$42&lt;&gt;"",NOT(_xlfn.ISFORMULA('Month-End'!$AH$42))),1,0)</f>
        <v/>
      </c>
      <c r="CK37">
        <f>IF(AND('Month-End'!$AH$43&lt;&gt;"",NOT(_xlfn.ISFORMULA('Month-End'!$AH$43))),1,0)</f>
        <v/>
      </c>
      <c r="CL37">
        <f>SUM($CM37:$CZ37)</f>
        <v/>
      </c>
      <c r="CM37">
        <f>IF(AND($E37&lt;&gt;"pre",AND(Settings!$A$19&lt;&gt;"",Settings!$E$19&lt;&gt;"No"),Settings!$F$19="Yes",NOT(AND('Month-End'!$AH$7&lt;&gt;"",NOT(_xlfn.ISFORMULA('Month-End'!$AH$7))))),1,0)</f>
        <v/>
      </c>
      <c r="CN37">
        <f>IF(AND($E37&lt;&gt;"pre",AND(Settings!$A$20&lt;&gt;"",Settings!$E$20&lt;&gt;"No"),Settings!$F$20="Yes",NOT(AND('Month-End'!$AH$8&lt;&gt;"",NOT(_xlfn.ISFORMULA('Month-End'!$AH$8))))),1,0)</f>
        <v/>
      </c>
      <c r="CO37">
        <f>IF(AND($E37&lt;&gt;"pre",AND(Settings!$A$21&lt;&gt;"",Settings!$E$21&lt;&gt;"No"),Settings!$F$21="Yes",NOT(AND('Month-End'!$AH$9&lt;&gt;"",NOT(_xlfn.ISFORMULA('Month-End'!$AH$9))))),1,0)</f>
        <v/>
      </c>
      <c r="CP37">
        <f>IF(AND($E37&lt;&gt;"pre",AND(Settings!$A$22&lt;&gt;"",Settings!$E$22&lt;&gt;"No"),Settings!$F$22="Yes",NOT(AND('Month-End'!$AH$10&lt;&gt;"",NOT(_xlfn.ISFORMULA('Month-End'!$AH$10))))),1,0)</f>
        <v/>
      </c>
      <c r="CQ37">
        <f>IF(AND($E37&lt;&gt;"pre",AND(Settings!$A$23&lt;&gt;"",Settings!$E$23&lt;&gt;"No"),Settings!$F$23="Yes",NOT(AND('Month-End'!$AH$11&lt;&gt;"",NOT(_xlfn.ISFORMULA('Month-End'!$AH$11))))),1,0)</f>
        <v/>
      </c>
      <c r="CR37">
        <f>IF(AND($E37&lt;&gt;"pre",AND(Settings!$A$24&lt;&gt;"",Settings!$E$24&lt;&gt;"No"),Settings!$F$24="Yes",NOT(AND('Month-End'!$AH$12&lt;&gt;"",NOT(_xlfn.ISFORMULA('Month-End'!$AH$12))))),1,0)</f>
        <v/>
      </c>
      <c r="CS37">
        <f>IF(AND($E37&lt;&gt;"pre",AND(Settings!$A$25&lt;&gt;"",Settings!$E$25&lt;&gt;"No"),Settings!$F$25="Yes",NOT(AND('Month-End'!$AH$13&lt;&gt;"",NOT(_xlfn.ISFORMULA('Month-End'!$AH$13))))),1,0)</f>
        <v/>
      </c>
      <c r="CT37">
        <f>IF(AND($E37&lt;&gt;"pre",AND(Settings!$A$26&lt;&gt;"",Settings!$E$26&lt;&gt;"No"),Settings!$F$26="Yes",NOT(AND('Month-End'!$AH$14&lt;&gt;"",NOT(_xlfn.ISFORMULA('Month-End'!$AH$14))))),1,0)</f>
        <v/>
      </c>
      <c r="CU37">
        <f>IF(AND($E37&lt;&gt;"pre",AND(Settings!$A$27&lt;&gt;"",Settings!$E$27&lt;&gt;"No"),Settings!$F$27="Yes",NOT(AND('Month-End'!$AH$15&lt;&gt;"",NOT(_xlfn.ISFORMULA('Month-End'!$AH$15))))),1,0)</f>
        <v/>
      </c>
      <c r="CV37">
        <f>IF(AND($E37&lt;&gt;"pre",AND(Settings!$A$28&lt;&gt;"",Settings!$E$28&lt;&gt;"No"),Settings!$F$28="Yes",NOT(AND('Month-End'!$AH$16&lt;&gt;"",NOT(_xlfn.ISFORMULA('Month-End'!$AH$16))))),1,0)</f>
        <v/>
      </c>
      <c r="CW37">
        <f>IF(AND($E37&lt;&gt;"pre",AND(Settings!$A$29&lt;&gt;"",Settings!$E$29&lt;&gt;"No"),Settings!$F$29="Yes",NOT(AND('Month-End'!$AH$17&lt;&gt;"",NOT(_xlfn.ISFORMULA('Month-End'!$AH$17))))),1,0)</f>
        <v/>
      </c>
      <c r="CX37">
        <f>IF(AND($E37&lt;&gt;"pre",AND(Settings!$A$30&lt;&gt;"",Settings!$E$30&lt;&gt;"No"),Settings!$F$30="Yes",NOT(AND('Month-End'!$AH$18&lt;&gt;"",NOT(_xlfn.ISFORMULA('Month-End'!$AH$18))))),1,0)</f>
        <v/>
      </c>
      <c r="CY37">
        <f>IF(AND($E37&lt;&gt;"pre",AND(Settings!$A$31&lt;&gt;"",Settings!$E$31&lt;&gt;"No"),Settings!$F$31="Yes",NOT(AND('Month-End'!$AH$19&lt;&gt;"",NOT(_xlfn.ISFORMULA('Month-End'!$AH$19))))),1,0)</f>
        <v/>
      </c>
      <c r="CZ37">
        <f>IF(AND($E37&lt;&gt;"pre",AND(Settings!$A$32&lt;&gt;"",Settings!$E$32&lt;&gt;"No"),Settings!$F$32="Yes",NOT(AND('Month-End'!$AH$20&lt;&gt;"",NOT(_xlfn.ISFORMULA('Month-End'!$AH$20))))),1,0)</f>
        <v/>
      </c>
      <c r="DA37">
        <f>IF($DT37=1,IF(OR(Settings!$B$19="Checking",Settings!$B$19="Savings",Settings!$B$19="Cash"),N($AE37),IF(OR(Settings!$B$19="Card",Settings!$B$19="Loan"),-N($AE37),0))+IF(OR(Settings!$B$20="Checking",Settings!$B$20="Savings",Settings!$B$20="Cash"),N($AF37),IF(OR(Settings!$B$20="Card",Settings!$B$20="Loan"),-N($AF37),0))+IF(OR(Settings!$B$21="Checking",Settings!$B$21="Savings",Settings!$B$21="Cash"),N($AG37),IF(OR(Settings!$B$21="Card",Settings!$B$21="Loan"),-N($AG37),0))+IF(OR(Settings!$B$22="Checking",Settings!$B$22="Savings",Settings!$B$22="Cash"),N($AH37),IF(OR(Settings!$B$22="Card",Settings!$B$22="Loan"),-N($AH37),0))+IF(OR(Settings!$B$23="Checking",Settings!$B$23="Savings",Settings!$B$23="Cash"),N($AI37),IF(OR(Settings!$B$23="Card",Settings!$B$23="Loan"),-N($AI37),0))+IF(OR(Settings!$B$24="Checking",Settings!$B$24="Savings",Settings!$B$24="Cash"),N($AJ37),IF(OR(Settings!$B$24="Card",Settings!$B$24="Loan"),-N($AJ37),0))+IF(OR(Settings!$B$25="Checking",Settings!$B$25="Savings",Settings!$B$25="Cash"),N($AK37),IF(OR(Settings!$B$25="Card",Settings!$B$25="Loan"),-N($AK37),0))+IF(OR(Settings!$B$26="Checking",Settings!$B$26="Savings",Settings!$B$26="Cash"),N($AL37),IF(OR(Settings!$B$26="Card",Settings!$B$26="Loan"),-N($AL37),0))+IF(OR(Settings!$B$27="Checking",Settings!$B$27="Savings",Settings!$B$27="Cash"),N($AM37),IF(OR(Settings!$B$27="Card",Settings!$B$27="Loan"),-N($AM37),0))+IF(OR(Settings!$B$28="Checking",Settings!$B$28="Savings",Settings!$B$28="Cash"),N($AN37),IF(OR(Settings!$B$28="Card",Settings!$B$28="Loan"),-N($AN37),0))+IF(OR(Settings!$B$29="Checking",Settings!$B$29="Savings",Settings!$B$29="Cash"),N($AO37),IF(OR(Settings!$B$29="Card",Settings!$B$29="Loan"),-N($AO37),0))+IF(OR(Settings!$B$30="Checking",Settings!$B$30="Savings",Settings!$B$30="Cash"),N($AP37),IF(OR(Settings!$B$30="Card",Settings!$B$30="Loan"),-N($AP37),0))+IF(OR(Settings!$B$31="Checking",Settings!$B$31="Savings",Settings!$B$31="Cash"),N($AQ37),IF(OR(Settings!$B$31="Card",Settings!$B$31="Loan"),-N($AQ37),0))+IF(OR(Settings!$B$32="Checking",Settings!$B$32="Savings",Settings!$B$32="Cash"),N($AR37),IF(OR(Settings!$B$32="Card",Settings!$B$32="Loan"),-N($AR37),0)),"")</f>
        <v/>
      </c>
      <c r="DB37">
        <f>IF($E37="open",$EB$27,IF($E37="post",IF($E36="pre",$EB$27,$DA36),""))</f>
        <v/>
      </c>
      <c r="DC37">
        <f>IF($E37="open",1,IF($E37="post",IF($E36="pre",1,$DT36),0))</f>
        <v/>
      </c>
      <c r="DD37">
        <f>IF(AND($DT37=1,$DC37=1),ROUND($W37-($DA37-$DB37)-$AD37-$AB37,2),"")</f>
        <v/>
      </c>
      <c r="DE37">
        <f>IF('Month-End'!$AH$35="",$BQ37,N('Month-End'!$AH$35))</f>
        <v/>
      </c>
      <c r="DF37">
        <f>N('Month-End'!$AH$36)</f>
        <v/>
      </c>
      <c r="DG37">
        <f>IF($DD37="","",$DD37+$DE37)</f>
        <v/>
      </c>
      <c r="DH37">
        <f>IF($DG37="","",$DG37-$DF37)</f>
        <v/>
      </c>
      <c r="DI37">
        <f>IF(OR($E37="pre",$D37=1),"",N($AS37)+N($AT37)+N($AU37)+N($AV37)+N($AW37)+N($AX37))</f>
        <v/>
      </c>
      <c r="DJ37">
        <f>IF($DT37=1,$DA37+N($DI37),"")</f>
        <v/>
      </c>
      <c r="DK37">
        <f>IF($DD37="","",$W37-$DD37-$AB37)</f>
        <v/>
      </c>
      <c r="DL37">
        <f>IF(AND($E37="post",$DD37&lt;&gt;"",$B37&lt;TODAY()),1,0)</f>
        <v/>
      </c>
      <c r="DM37">
        <f>IF($DL37=1,COUNTIF($DL37:$DL$183,1),0)</f>
        <v/>
      </c>
      <c r="DN37">
        <f>IF($D37=1,"",IF($E37="pre","History only",IF($DT37=1,IF($DD37="","⚠ Previous month missing",IF($DD37&lt;0,"⚠ Check: spending &lt; 0",IF($E37="open","✓ Done (partial)","✓ Done"))),IF($B37&gt;=TODAY(),"In progress","⚠ Needs balances"))))</f>
        <v/>
      </c>
      <c r="DO37">
        <f>YEAR($A37)</f>
        <v/>
      </c>
      <c r="DP37">
        <f>DATE(YEAR($A37),INT((MONTH($A37)-1)/3)*3+1,1)</f>
        <v/>
      </c>
      <c r="DQ37">
        <f>IF(AND($DT37=1,$DD37&lt;&gt;"",$D37=0),ROW(),0)</f>
        <v/>
      </c>
      <c r="DR37">
        <f>IF(AND($E37&lt;&gt;"pre",$B37&lt;TODAY(),$DT37=0),1,0)</f>
        <v/>
      </c>
      <c r="DS37">
        <f>IF($DJ37="",NA(),$DJ37)</f>
        <v/>
      </c>
      <c r="DT37">
        <f>IF(AND($E37&lt;&gt;"pre",$CL37=0,COUNTIFS(Settings!$F$19:$F$32,"Yes",Settings!$A$19:$A$32,"&lt;&gt;",Settings!$E$19:$E$32,"&lt;&gt;No")&gt;0),1,0)</f>
        <v/>
      </c>
      <c r="DU37">
        <f>IF(AND($B37&lt;TODAY(),$S37&gt;0),1,0)</f>
        <v/>
      </c>
      <c r="DV37">
        <f>IF($DU37=1,COUNTIF($DU37:$DU$183,1),0)</f>
        <v/>
      </c>
      <c r="DW37">
        <f>IF(AND(OR(Settings!$B$19="Card",Settings!$B$19="Loan"),AND('Month-End'!$AH$7&lt;&gt;"",NOT(_xlfn.ISFORMULA('Month-End'!$AH$7)))),IF(N('Month-End'!$AH$7)&lt;0,1,0),0)+IF(AND(OR(Settings!$B$20="Card",Settings!$B$20="Loan"),AND('Month-End'!$AH$8&lt;&gt;"",NOT(_xlfn.ISFORMULA('Month-End'!$AH$8)))),IF(N('Month-End'!$AH$8)&lt;0,1,0),0)+IF(AND(OR(Settings!$B$21="Card",Settings!$B$21="Loan"),AND('Month-End'!$AH$9&lt;&gt;"",NOT(_xlfn.ISFORMULA('Month-End'!$AH$9)))),IF(N('Month-End'!$AH$9)&lt;0,1,0),0)+IF(AND(OR(Settings!$B$22="Card",Settings!$B$22="Loan"),AND('Month-End'!$AH$10&lt;&gt;"",NOT(_xlfn.ISFORMULA('Month-End'!$AH$10)))),IF(N('Month-End'!$AH$10)&lt;0,1,0),0)+IF(AND(OR(Settings!$B$23="Card",Settings!$B$23="Loan"),AND('Month-End'!$AH$11&lt;&gt;"",NOT(_xlfn.ISFORMULA('Month-End'!$AH$11)))),IF(N('Month-End'!$AH$11)&lt;0,1,0),0)+IF(AND(OR(Settings!$B$24="Card",Settings!$B$24="Loan"),AND('Month-End'!$AH$12&lt;&gt;"",NOT(_xlfn.ISFORMULA('Month-End'!$AH$12)))),IF(N('Month-End'!$AH$12)&lt;0,1,0),0)+IF(AND(OR(Settings!$B$25="Card",Settings!$B$25="Loan"),AND('Month-End'!$AH$13&lt;&gt;"",NOT(_xlfn.ISFORMULA('Month-End'!$AH$13)))),IF(N('Month-End'!$AH$13)&lt;0,1,0),0)+IF(AND(OR(Settings!$B$26="Card",Settings!$B$26="Loan"),AND('Month-End'!$AH$14&lt;&gt;"",NOT(_xlfn.ISFORMULA('Month-End'!$AH$14)))),IF(N('Month-End'!$AH$14)&lt;0,1,0),0)+IF(AND(OR(Settings!$B$27="Card",Settings!$B$27="Loan"),AND('Month-End'!$AH$15&lt;&gt;"",NOT(_xlfn.ISFORMULA('Month-End'!$AH$15)))),IF(N('Month-End'!$AH$15)&lt;0,1,0),0)+IF(AND(OR(Settings!$B$28="Card",Settings!$B$28="Loan"),AND('Month-End'!$AH$16&lt;&gt;"",NOT(_xlfn.ISFORMULA('Month-End'!$AH$16)))),IF(N('Month-End'!$AH$16)&lt;0,1,0),0)+IF(AND(OR(Settings!$B$29="Card",Settings!$B$29="Loan"),AND('Month-End'!$AH$17&lt;&gt;"",NOT(_xlfn.ISFORMULA('Month-End'!$AH$17)))),IF(N('Month-End'!$AH$17)&lt;0,1,0),0)+IF(AND(OR(Settings!$B$30="Card",Settings!$B$30="Loan"),AND('Month-End'!$AH$18&lt;&gt;"",NOT(_xlfn.ISFORMULA('Month-End'!$AH$18)))),IF(N('Month-End'!$AH$18)&lt;0,1,0),0)+IF(AND(OR(Settings!$B$31="Card",Settings!$B$31="Loan"),AND('Month-End'!$AH$19&lt;&gt;"",NOT(_xlfn.ISFORMULA('Month-End'!$AH$19)))),IF(N('Month-End'!$AH$19)&lt;0,1,0),0)+IF(AND(OR(Settings!$B$32="Card",Settings!$B$32="Loan"),AND('Month-End'!$AH$20&lt;&gt;"",NOT(_xlfn.ISFORMULA('Month-End'!$AH$20)))),IF(N('Month-End'!$AH$20)&lt;0,1,0),0)</f>
        <v/>
      </c>
      <c r="DX37">
        <f>IF(Settings!$B$36="Retirement",$AY37,0)+IF(Settings!$B$37="Retirement",$AZ37,0)+IF(Settings!$B$38="Retirement",$BA37,0)+IF(Settings!$B$39="Retirement",$BB37,0)+IF(Settings!$B$40="Retirement",$BC37,0)+IF(Settings!$B$41="Retirement",$BD37,0)</f>
        <v/>
      </c>
      <c r="EA37" t="inlineStr">
        <is>
          <t>Previous done row</t>
        </is>
      </c>
      <c r="EB37">
        <f>IFERROR(LARGE($DQ$6:$DQ$183,2),0)</f>
        <v/>
      </c>
      <c r="ET37">
        <f>IF($E37&lt;&gt;"open",0,IF(AND('Month-End'!$AH$22&lt;&gt;"",NOT(_xlfn.ISFORMULA('Month-End'!$AH$22))),0,IF(OR(Settings!$C$45="",Settings!$D$45=""),0,Settings!$C$45*IF(Settings!$D$45="Weekly",IF(IFERROR(MATCH(Settings!$E$45,$EO$4:$EO$10,0),0)=0,0,IF(MIN(Settings!$B$5,IF(Settings!$G$45="",Settings!$B$5,Settings!$G$45))&lt;MAX($A37,Settings!$F$45),0,INT((MIN(Settings!$B$5,IF(Settings!$G$45="",Settings!$B$5,Settings!$G$45))-MAX($A37,Settings!$F$45)-MOD(IFERROR(MATCH(Settings!$E$45,$EO$4:$EO$10,0),0)-WEEKDAY(MAX($A37,Settings!$F$45)),7))/7)+1)),IF(AND(IF(Settings!$E$45="",$B37,DATE(YEAR($A37),MONTH($A37),MIN(Settings!$E$45,DAY($B37))))&gt;=MAX($A37,Settings!$F$45),IF(Settings!$E$45="",$B37,DATE(YEAR($A37),MONTH($A37),MIN(Settings!$E$45,DAY($B37))))&lt;=MIN(Settings!$B$5,IF(Settings!$G$45="",Settings!$B$5,Settings!$G$45))),1,0)))))</f>
        <v/>
      </c>
      <c r="EU37">
        <f>IF($E37&lt;&gt;"open",0,IF(AND('Month-End'!$AH$23&lt;&gt;"",NOT(_xlfn.ISFORMULA('Month-End'!$AH$23))),0,IF(OR(Settings!$C$46="",Settings!$D$46=""),0,Settings!$C$46*IF(Settings!$D$46="Weekly",IF(IFERROR(MATCH(Settings!$E$46,$EO$4:$EO$10,0),0)=0,0,IF(MIN(Settings!$B$5,IF(Settings!$G$46="",Settings!$B$5,Settings!$G$46))&lt;MAX($A37,Settings!$F$46),0,INT((MIN(Settings!$B$5,IF(Settings!$G$46="",Settings!$B$5,Settings!$G$46))-MAX($A37,Settings!$F$46)-MOD(IFERROR(MATCH(Settings!$E$46,$EO$4:$EO$10,0),0)-WEEKDAY(MAX($A37,Settings!$F$46)),7))/7)+1)),IF(AND(IF(Settings!$E$46="",$B37,DATE(YEAR($A37),MONTH($A37),MIN(Settings!$E$46,DAY($B37))))&gt;=MAX($A37,Settings!$F$46),IF(Settings!$E$46="",$B37,DATE(YEAR($A37),MONTH($A37),MIN(Settings!$E$46,DAY($B37))))&lt;=MIN(Settings!$B$5,IF(Settings!$G$46="",Settings!$B$5,Settings!$G$46))),1,0)))))</f>
        <v/>
      </c>
      <c r="EV37">
        <f>IF($E37&lt;&gt;"open",0,IF(AND('Month-End'!$AH$24&lt;&gt;"",NOT(_xlfn.ISFORMULA('Month-End'!$AH$24))),0,IF(OR(Settings!$C$47="",Settings!$D$47=""),0,Settings!$C$47*IF(Settings!$D$47="Weekly",IF(IFERROR(MATCH(Settings!$E$47,$EO$4:$EO$10,0),0)=0,0,IF(MIN(Settings!$B$5,IF(Settings!$G$47="",Settings!$B$5,Settings!$G$47))&lt;MAX($A37,Settings!$F$47),0,INT((MIN(Settings!$B$5,IF(Settings!$G$47="",Settings!$B$5,Settings!$G$47))-MAX($A37,Settings!$F$47)-MOD(IFERROR(MATCH(Settings!$E$47,$EO$4:$EO$10,0),0)-WEEKDAY(MAX($A37,Settings!$F$47)),7))/7)+1)),IF(AND(IF(Settings!$E$47="",$B37,DATE(YEAR($A37),MONTH($A37),MIN(Settings!$E$47,DAY($B37))))&gt;=MAX($A37,Settings!$F$47),IF(Settings!$E$47="",$B37,DATE(YEAR($A37),MONTH($A37),MIN(Settings!$E$47,DAY($B37))))&lt;=MIN(Settings!$B$5,IF(Settings!$G$47="",Settings!$B$5,Settings!$G$47))),1,0)))))</f>
        <v/>
      </c>
      <c r="EW37">
        <f>IF($E37&lt;&gt;"open",0,IF(AND('Month-End'!$AH$25&lt;&gt;"",NOT(_xlfn.ISFORMULA('Month-End'!$AH$25))),0,IF(OR(Settings!$C$48="",Settings!$D$48=""),0,Settings!$C$48*IF(Settings!$D$48="Weekly",IF(IFERROR(MATCH(Settings!$E$48,$EO$4:$EO$10,0),0)=0,0,IF(MIN(Settings!$B$5,IF(Settings!$G$48="",Settings!$B$5,Settings!$G$48))&lt;MAX($A37,Settings!$F$48),0,INT((MIN(Settings!$B$5,IF(Settings!$G$48="",Settings!$B$5,Settings!$G$48))-MAX($A37,Settings!$F$48)-MOD(IFERROR(MATCH(Settings!$E$48,$EO$4:$EO$10,0),0)-WEEKDAY(MAX($A37,Settings!$F$48)),7))/7)+1)),IF(AND(IF(Settings!$E$48="",$B37,DATE(YEAR($A37),MONTH($A37),MIN(Settings!$E$48,DAY($B37))))&gt;=MAX($A37,Settings!$F$48),IF(Settings!$E$48="",$B37,DATE(YEAR($A37),MONTH($A37),MIN(Settings!$E$48,DAY($B37))))&lt;=MIN(Settings!$B$5,IF(Settings!$G$48="",Settings!$B$5,Settings!$G$48))),1,0)))))</f>
        <v/>
      </c>
      <c r="EX37">
        <f>IF($E37&lt;&gt;"open",0,IF(AND('Month-End'!$AH$26&lt;&gt;"",NOT(_xlfn.ISFORMULA('Month-End'!$AH$26))),0,IF(OR(Settings!$C$49="",Settings!$D$49=""),0,Settings!$C$49*IF(Settings!$D$49="Weekly",IF(IFERROR(MATCH(Settings!$E$49,$EO$4:$EO$10,0),0)=0,0,IF(MIN(Settings!$B$5,IF(Settings!$G$49="",Settings!$B$5,Settings!$G$49))&lt;MAX($A37,Settings!$F$49),0,INT((MIN(Settings!$B$5,IF(Settings!$G$49="",Settings!$B$5,Settings!$G$49))-MAX($A37,Settings!$F$49)-MOD(IFERROR(MATCH(Settings!$E$49,$EO$4:$EO$10,0),0)-WEEKDAY(MAX($A37,Settings!$F$49)),7))/7)+1)),IF(AND(IF(Settings!$E$49="",$B37,DATE(YEAR($A37),MONTH($A37),MIN(Settings!$E$49,DAY($B37))))&gt;=MAX($A37,Settings!$F$49),IF(Settings!$E$49="",$B37,DATE(YEAR($A37),MONTH($A37),MIN(Settings!$E$49,DAY($B37))))&lt;=MIN(Settings!$B$5,IF(Settings!$G$49="",Settings!$B$5,Settings!$G$49))),1,0)))))</f>
        <v/>
      </c>
      <c r="EY37">
        <f>IF($E37&lt;&gt;"open",0,IF(AND('Month-End'!$AH$27&lt;&gt;"",NOT(_xlfn.ISFORMULA('Month-End'!$AH$27))),0,IF(OR(Settings!$C$50="",Settings!$D$50=""),0,Settings!$C$50*IF(Settings!$D$50="Weekly",IF(IFERROR(MATCH(Settings!$E$50,$EO$4:$EO$10,0),0)=0,0,IF(MIN(Settings!$B$5,IF(Settings!$G$50="",Settings!$B$5,Settings!$G$50))&lt;MAX($A37,Settings!$F$50),0,INT((MIN(Settings!$B$5,IF(Settings!$G$50="",Settings!$B$5,Settings!$G$50))-MAX($A37,Settings!$F$50)-MOD(IFERROR(MATCH(Settings!$E$50,$EO$4:$EO$10,0),0)-WEEKDAY(MAX($A37,Settings!$F$50)),7))/7)+1)),IF(AND(IF(Settings!$E$50="",$B37,DATE(YEAR($A37),MONTH($A37),MIN(Settings!$E$50,DAY($B37))))&gt;=MAX($A37,Settings!$F$50),IF(Settings!$E$50="",$B37,DATE(YEAR($A37),MONTH($A37),MIN(Settings!$E$50,DAY($B37))))&lt;=MIN(Settings!$B$5,IF(Settings!$G$50="",Settings!$B$5,Settings!$G$50))),1,0)))))</f>
        <v/>
      </c>
      <c r="EZ37">
        <f>IF($E37&lt;&gt;"open",0,IF(AND('Month-End'!$AH$28&lt;&gt;"",NOT(_xlfn.ISFORMULA('Month-End'!$AH$28))),0,IF(OR(Settings!$C$51="",Settings!$D$51=""),0,Settings!$C$51*IF(Settings!$D$51="Weekly",IF(IFERROR(MATCH(Settings!$E$51,$EO$4:$EO$10,0),0)=0,0,IF(MIN(Settings!$B$5,IF(Settings!$G$51="",Settings!$B$5,Settings!$G$51))&lt;MAX($A37,Settings!$F$51),0,INT((MIN(Settings!$B$5,IF(Settings!$G$51="",Settings!$B$5,Settings!$G$51))-MAX($A37,Settings!$F$51)-MOD(IFERROR(MATCH(Settings!$E$51,$EO$4:$EO$10,0),0)-WEEKDAY(MAX($A37,Settings!$F$51)),7))/7)+1)),IF(AND(IF(Settings!$E$51="",$B37,DATE(YEAR($A37),MONTH($A37),MIN(Settings!$E$51,DAY($B37))))&gt;=MAX($A37,Settings!$F$51),IF(Settings!$E$51="",$B37,DATE(YEAR($A37),MONTH($A37),MIN(Settings!$E$51,DAY($B37))))&lt;=MIN(Settings!$B$5,IF(Settings!$G$51="",Settings!$B$5,Settings!$G$51))),1,0)))))</f>
        <v/>
      </c>
      <c r="FA37">
        <f>IF($E37&lt;&gt;"open",0,IF(AND('Month-End'!$AH$29&lt;&gt;"",NOT(_xlfn.ISFORMULA('Month-End'!$AH$29))),0,IF(OR(Settings!$C$52="",Settings!$D$52=""),0,Settings!$C$52*IF(Settings!$D$52="Weekly",IF(IFERROR(MATCH(Settings!$E$52,$EO$4:$EO$10,0),0)=0,0,IF(MIN(Settings!$B$5,IF(Settings!$G$52="",Settings!$B$5,Settings!$G$52))&lt;MAX($A37,Settings!$F$52),0,INT((MIN(Settings!$B$5,IF(Settings!$G$52="",Settings!$B$5,Settings!$G$52))-MAX($A37,Settings!$F$52)-MOD(IFERROR(MATCH(Settings!$E$52,$EO$4:$EO$10,0),0)-WEEKDAY(MAX($A37,Settings!$F$52)),7))/7)+1)),IF(AND(IF(Settings!$E$52="",$B37,DATE(YEAR($A37),MONTH($A37),MIN(Settings!$E$52,DAY($B37))))&gt;=MAX($A37,Settings!$F$52),IF(Settings!$E$52="",$B37,DATE(YEAR($A37),MONTH($A37),MIN(Settings!$E$52,DAY($B37))))&lt;=MIN(Settings!$B$5,IF(Settings!$G$52="",Settings!$B$5,Settings!$G$52))),1,0)))))</f>
        <v/>
      </c>
      <c r="FB37">
        <f>IF($E37&lt;&gt;"open",0,IF(AND('Month-End'!$AH$30&lt;&gt;"",NOT(_xlfn.ISFORMULA('Month-End'!$AH$30))),0,IF(OR(Settings!$C$53="",Settings!$D$53=""),0,Settings!$C$53*IF(Settings!$D$53="Weekly",IF(IFERROR(MATCH(Settings!$E$53,$EO$4:$EO$10,0),0)=0,0,IF(MIN(Settings!$B$5,IF(Settings!$G$53="",Settings!$B$5,Settings!$G$53))&lt;MAX($A37,Settings!$F$53),0,INT((MIN(Settings!$B$5,IF(Settings!$G$53="",Settings!$B$5,Settings!$G$53))-MAX($A37,Settings!$F$53)-MOD(IFERROR(MATCH(Settings!$E$53,$EO$4:$EO$10,0),0)-WEEKDAY(MAX($A37,Settings!$F$53)),7))/7)+1)),IF(AND(IF(Settings!$E$53="",$B37,DATE(YEAR($A37),MONTH($A37),MIN(Settings!$E$53,DAY($B37))))&gt;=MAX($A37,Settings!$F$53),IF(Settings!$E$53="",$B37,DATE(YEAR($A37),MONTH($A37),MIN(Settings!$E$53,DAY($B37))))&lt;=MIN(Settings!$B$5,IF(Settings!$G$53="",Settings!$B$5,Settings!$G$53))),1,0)))))</f>
        <v/>
      </c>
      <c r="FC37">
        <f>IF($E37&lt;&gt;"open",0,IF(AND('Month-End'!$AH$31&lt;&gt;"",NOT(_xlfn.ISFORMULA('Month-End'!$AH$31))),0,IF(OR(Settings!$C$54="",Settings!$D$54=""),0,Settings!$C$54*IF(Settings!$D$54="Weekly",IF(IFERROR(MATCH(Settings!$E$54,$EO$4:$EO$10,0),0)=0,0,IF(MIN(Settings!$B$5,IF(Settings!$G$54="",Settings!$B$5,Settings!$G$54))&lt;MAX($A37,Settings!$F$54),0,INT((MIN(Settings!$B$5,IF(Settings!$G$54="",Settings!$B$5,Settings!$G$54))-MAX($A37,Settings!$F$54)-MOD(IFERROR(MATCH(Settings!$E$54,$EO$4:$EO$10,0),0)-WEEKDAY(MAX($A37,Settings!$F$54)),7))/7)+1)),IF(AND(IF(Settings!$E$54="",$B37,DATE(YEAR($A37),MONTH($A37),MIN(Settings!$E$54,DAY($B37))))&gt;=MAX($A37,Settings!$F$54),IF(Settings!$E$54="",$B37,DATE(YEAR($A37),MONTH($A37),MIN(Settings!$E$54,DAY($B37))))&lt;=MIN(Settings!$B$5,IF(Settings!$G$54="",Settings!$B$5,Settings!$G$54))),1,0)))))</f>
        <v/>
      </c>
      <c r="FD37">
        <f>IF($E37&lt;&gt;"open",0,IF(AND('Month-End'!$AH$32&lt;&gt;"",NOT(_xlfn.ISFORMULA('Month-End'!$AH$32))),0,IF(OR(Settings!$C$55="",Settings!$D$55=""),0,Settings!$C$55*IF(Settings!$D$55="Weekly",IF(IFERROR(MATCH(Settings!$E$55,$EO$4:$EO$10,0),0)=0,0,IF(MIN(Settings!$B$5,IF(Settings!$G$55="",Settings!$B$5,Settings!$G$55))&lt;MAX($A37,Settings!$F$55),0,INT((MIN(Settings!$B$5,IF(Settings!$G$55="",Settings!$B$5,Settings!$G$55))-MAX($A37,Settings!$F$55)-MOD(IFERROR(MATCH(Settings!$E$55,$EO$4:$EO$10,0),0)-WEEKDAY(MAX($A37,Settings!$F$55)),7))/7)+1)),IF(AND(IF(Settings!$E$55="",$B37,DATE(YEAR($A37),MONTH($A37),MIN(Settings!$E$55,DAY($B37))))&gt;=MAX($A37,Settings!$F$55),IF(Settings!$E$55="",$B37,DATE(YEAR($A37),MONTH($A37),MIN(Settings!$E$55,DAY($B37))))&lt;=MIN(Settings!$B$5,IF(Settings!$G$55="",Settings!$B$5,Settings!$G$55))),1,0)))))</f>
        <v/>
      </c>
      <c r="FE37">
        <f>IF($E37&lt;&gt;"open",0,IF(AND('Month-End'!$AH$33&lt;&gt;"",NOT(_xlfn.ISFORMULA('Month-End'!$AH$33))),0,IF(OR(Settings!$C$56="",Settings!$D$56=""),0,Settings!$C$56*IF(Settings!$D$56="Weekly",IF(IFERROR(MATCH(Settings!$E$56,$EO$4:$EO$10,0),0)=0,0,IF(MIN(Settings!$B$5,IF(Settings!$G$56="",Settings!$B$5,Settings!$G$56))&lt;MAX($A37,Settings!$F$56),0,INT((MIN(Settings!$B$5,IF(Settings!$G$56="",Settings!$B$5,Settings!$G$56))-MAX($A37,Settings!$F$56)-MOD(IFERROR(MATCH(Settings!$E$56,$EO$4:$EO$10,0),0)-WEEKDAY(MAX($A37,Settings!$F$56)),7))/7)+1)),IF(AND(IF(Settings!$E$56="",$B37,DATE(YEAR($A37),MONTH($A37),MIN(Settings!$E$56,DAY($B37))))&gt;=MAX($A37,Settings!$F$56),IF(Settings!$E$56="",$B37,DATE(YEAR($A37),MONTH($A37),MIN(Settings!$E$56,DAY($B37))))&lt;=MIN(Settings!$B$5,IF(Settings!$G$56="",Settings!$B$5,Settings!$G$56))),1,0)))))</f>
        <v/>
      </c>
      <c r="FF37">
        <f>IF(Settings!$I$45="Yes",$G37,0)+IF(Settings!$I$46="Yes",$H37,0)+IF(Settings!$I$47="Yes",$I37,0)+IF(Settings!$I$48="Yes",$J37,0)+IF(Settings!$I$49="Yes",$K37,0)+IF(Settings!$I$50="Yes",$L37,0)+IF(Settings!$I$51="Yes",$M37,0)+IF(Settings!$I$52="Yes",$N37,0)+IF(Settings!$I$53="Yes",$O37,0)+IF(Settings!$I$54="Yes",$P37,0)+IF(Settings!$I$55="Yes",$Q37,0)+IF(Settings!$I$56="Yes",$R37,0)</f>
        <v/>
      </c>
      <c r="FG37">
        <f>IF(AND(Settings!$I$45="Yes",Settings!$J$45="No"),$G37,0)+IF(AND(Settings!$I$46="Yes",Settings!$J$46="No"),$H37,0)+IF(AND(Settings!$I$47="Yes",Settings!$J$47="No"),$I37,0)+IF(AND(Settings!$I$48="Yes",Settings!$J$48="No"),$J37,0)+IF(AND(Settings!$I$49="Yes",Settings!$J$49="No"),$K37,0)+IF(AND(Settings!$I$50="Yes",Settings!$J$50="No"),$L37,0)+IF(AND(Settings!$I$51="Yes",Settings!$J$51="No"),$M37,0)+IF(AND(Settings!$I$52="Yes",Settings!$J$52="No"),$N37,0)+IF(AND(Settings!$I$53="Yes",Settings!$J$53="No"),$O37,0)+IF(AND(Settings!$I$54="Yes",Settings!$J$54="No"),$P37,0)+IF(AND(Settings!$I$55="Yes",Settings!$J$55="No"),$Q37,0)+IF(AND(Settings!$I$56="Yes",Settings!$J$56="No"),$R37,0)</f>
        <v/>
      </c>
      <c r="FH37">
        <f>SUMIFS(Giving!$B$7:$B$2006,Giving!$A$7:$A$2006,"&gt;="&amp;$A37,Giving!$A$7:$A$2006,"&lt;="&amp;$B37,Giving!$G$7:$G$2006,"Yes")+IF(OR(OR(Settings!$B$60="",Settings!$F$60="No"),Settings!$H$60&lt;&gt;"Yes"),0,Settings!$B$60*IF(AND(IF(Settings!$C$60="",$B37,DATE(YEAR($A37),MONTH($A37),MIN(Settings!$C$60,DAY($B37))))&gt;=MAX($A37,Settings!$D$60),IF(Settings!$C$60="",$B37,DATE(YEAR($A37),MONTH($A37),MIN(Settings!$C$60,DAY($B37))))&lt;=MIN($C37,IF(Settings!$E$60="",$C37,Settings!$E$60))),1,0))+IF(OR(OR(Settings!$B$61="",Settings!$F$61="No"),Settings!$H$61&lt;&gt;"Yes"),0,Settings!$B$61*IF(AND(IF(Settings!$C$61="",$B37,DATE(YEAR($A37),MONTH($A37),MIN(Settings!$C$61,DAY($B37))))&gt;=MAX($A37,Settings!$D$61),IF(Settings!$C$61="",$B37,DATE(YEAR($A37),MONTH($A37),MIN(Settings!$C$61,DAY($B37))))&lt;=MIN($C37,IF(Settings!$E$61="",$C37,Settings!$E$61))),1,0))+IF(OR(OR(Settings!$B$62="",Settings!$F$62="No"),Settings!$H$62&lt;&gt;"Yes"),0,Settings!$B$62*IF(AND(IF(Settings!$C$62="",$B37,DATE(YEAR($A37),MONTH($A37),MIN(Settings!$C$62,DAY($B37))))&gt;=MAX($A37,Settings!$D$62),IF(Settings!$C$62="",$B37,DATE(YEAR($A37),MONTH($A37),MIN(Settings!$C$62,DAY($B37))))&lt;=MIN($C37,IF(Settings!$E$62="",$C37,Settings!$E$62))),1,0))+IF(OR(OR(Settings!$B$63="",Settings!$F$63="No"),Settings!$H$63&lt;&gt;"Yes"),0,Settings!$B$63*IF(AND(IF(Settings!$C$63="",$B37,DATE(YEAR($A37),MONTH($A37),MIN(Settings!$C$63,DAY($B37))))&gt;=MAX($A37,Settings!$D$63),IF(Settings!$C$63="",$B37,DATE(YEAR($A37),MONTH($A37),MIN(Settings!$C$63,DAY($B37))))&lt;=MIN($C37,IF(Settings!$E$63="",$C37,Settings!$E$63))),1,0))+IF(OR(OR(Settings!$B$64="",Settings!$F$64="No"),Settings!$H$64&lt;&gt;"Yes"),0,Settings!$B$64*IF(AND(IF(Settings!$C$64="",$B37,DATE(YEAR($A37),MONTH($A37),MIN(Settings!$C$64,DAY($B37))))&gt;=MAX($A37,Settings!$D$64),IF(Settings!$C$64="",$B37,DATE(YEAR($A37),MONTH($A37),MIN(Settings!$C$64,DAY($B37))))&lt;=MIN($C37,IF(Settings!$E$64="",$C37,Settings!$E$64))),1,0))+IF(OR(OR(Settings!$B$65="",Settings!$F$65="No"),Settings!$H$65&lt;&gt;"Yes"),0,Settings!$B$65*IF(AND(IF(Settings!$C$65="",$B37,DATE(YEAR($A37),MONTH($A37),MIN(Settings!$C$65,DAY($B37))))&gt;=MAX($A37,Settings!$D$65),IF(Settings!$C$65="",$B37,DATE(YEAR($A37),MONTH($A37),MIN(Settings!$C$65,DAY($B37))))&lt;=MIN($C37,IF(Settings!$E$65="",$C37,Settings!$E$65))),1,0))</f>
        <v/>
      </c>
      <c r="FI37">
        <f>IF($DT37=1,IF(OR(Settings!$B$19="Card",Settings!$B$19="Loan"),N($AE37),0)+IF(OR(Settings!$B$20="Card",Settings!$B$20="Loan"),N($AF37),0)+IF(OR(Settings!$B$21="Card",Settings!$B$21="Loan"),N($AG37),0)+IF(OR(Settings!$B$22="Card",Settings!$B$22="Loan"),N($AH37),0)+IF(OR(Settings!$B$23="Card",Settings!$B$23="Loan"),N($AI37),0)+IF(OR(Settings!$B$24="Card",Settings!$B$24="Loan"),N($AJ37),0)+IF(OR(Settings!$B$25="Card",Settings!$B$25="Loan"),N($AK37),0)+IF(OR(Settings!$B$26="Card",Settings!$B$26="Loan"),N($AL37),0)+IF(OR(Settings!$B$27="Card",Settings!$B$27="Loan"),N($AM37),0)+IF(OR(Settings!$B$28="Card",Settings!$B$28="Loan"),N($AN37),0)+IF(OR(Settings!$B$29="Card",Settings!$B$29="Loan"),N($AO37),0)+IF(OR(Settings!$B$30="Card",Settings!$B$30="Loan"),N($AP37),0)+IF(OR(Settings!$B$31="Card",Settings!$B$31="Loan"),N($AQ37),0)+IF(OR(Settings!$B$32="Card",Settings!$B$32="Loan"),N($AR37),0),"")</f>
        <v/>
      </c>
      <c r="FJ37">
        <f>IF($E37="open",$EB$65,IF($E37="post",IF($E36="pre",$EB$65,$FI36),""))</f>
        <v/>
      </c>
      <c r="FK37">
        <f>IF(AND($DT37=1,$DC37=1),IF(ROUND($FI37-$FJ37,2)&gt;0,1,0),0)</f>
        <v/>
      </c>
      <c r="FL37">
        <f>IF($FK37=1,$FL36+1,0)</f>
        <v/>
      </c>
    </row>
    <row r="38">
      <c r="A38">
        <f>'Month-End'!$AI$4</f>
        <v/>
      </c>
      <c r="B38">
        <f>EOMONTH($A38,0)</f>
        <v/>
      </c>
      <c r="C38">
        <f>MIN($B38,TODAY())</f>
        <v/>
      </c>
      <c r="D38">
        <f>IF($A38&gt;TODAY(),1,0)</f>
        <v/>
      </c>
      <c r="E38">
        <f>IF($B38&lt;=Settings!$B$5,"pre",IF($A38&lt;=Settings!$B$5,"open","post"))</f>
        <v/>
      </c>
      <c r="G38">
        <f>IF('Month-End'!$AI$22="",$BE38,N('Month-End'!$AI$22))</f>
        <v/>
      </c>
      <c r="H38">
        <f>IF('Month-End'!$AI$23="",$BF38,N('Month-End'!$AI$23))</f>
        <v/>
      </c>
      <c r="I38">
        <f>IF('Month-End'!$AI$24="",$BG38,N('Month-End'!$AI$24))</f>
        <v/>
      </c>
      <c r="J38">
        <f>IF('Month-End'!$AI$25="",$BH38,N('Month-End'!$AI$25))</f>
        <v/>
      </c>
      <c r="K38">
        <f>IF('Month-End'!$AI$26="",$BI38,N('Month-End'!$AI$26))</f>
        <v/>
      </c>
      <c r="L38">
        <f>IF('Month-End'!$AI$27="",$BJ38,N('Month-End'!$AI$27))</f>
        <v/>
      </c>
      <c r="M38">
        <f>IF('Month-End'!$AI$28="",$BK38,N('Month-End'!$AI$28))</f>
        <v/>
      </c>
      <c r="N38">
        <f>IF('Month-End'!$AI$29="",$BL38,N('Month-End'!$AI$29))</f>
        <v/>
      </c>
      <c r="O38">
        <f>IF('Month-End'!$AI$30="",$BM38,N('Month-End'!$AI$30))</f>
        <v/>
      </c>
      <c r="P38">
        <f>IF('Month-End'!$AI$31="",$BN38,N('Month-End'!$AI$31))</f>
        <v/>
      </c>
      <c r="Q38">
        <f>IF('Month-End'!$AI$32="",$BO38,N('Month-End'!$AI$32))</f>
        <v/>
      </c>
      <c r="R38">
        <f>IF('Month-End'!$AI$33="",$BP38,N('Month-End'!$AI$33))</f>
        <v/>
      </c>
      <c r="S38">
        <f>$G38+$H38+$I38+$J38+$K38+$L38+$M38+$N38+$O38+$P38+$Q38+$R38</f>
        <v/>
      </c>
      <c r="T38">
        <f>IF($B38&lt;Settings!$B$6,0,IF(Settings!$B$45="Yes",$G38,0)+IF(Settings!$B$46="Yes",$H38,0)+IF(Settings!$B$47="Yes",$I38,0)+IF(Settings!$B$48="Yes",$J38,0)+IF(Settings!$B$49="Yes",$K38,0)+IF(Settings!$B$50="Yes",$L38,0)+IF(Settings!$B$51="Yes",$M38,0)+IF(Settings!$B$52="Yes",$N38,0)+IF(Settings!$B$53="Yes",$O38,0)+IF(Settings!$B$54="Yes",$P38,0)+IF(Settings!$B$55="Yes",$Q38,0)+IF(Settings!$B$56="Yes",$R38,0))</f>
        <v/>
      </c>
      <c r="U38">
        <f>IF(Settings!$B$45="Not Sure",$G38,0)+IF(Settings!$B$46="Not Sure",$H38,0)+IF(Settings!$B$47="Not Sure",$I38,0)+IF(Settings!$B$48="Not Sure",$J38,0)+IF(Settings!$B$49="Not Sure",$K38,0)+IF(Settings!$B$50="Not Sure",$L38,0)+IF(Settings!$B$51="Not Sure",$M38,0)+IF(Settings!$B$52="Not Sure",$N38,0)+IF(Settings!$B$53="Not Sure",$O38,0)+IF(Settings!$B$54="Not Sure",$P38,0)+IF(Settings!$B$55="Not Sure",$Q38,0)+IF(Settings!$B$56="Not Sure",$R38,0)</f>
        <v/>
      </c>
      <c r="V38">
        <f>IF($E38="open",SUM($ET38:$FE38)+N(Settings!$B$13),0)</f>
        <v/>
      </c>
      <c r="W38">
        <f>IF($E38="post",$S38,IF($E38="open",$S38-$V38,0))</f>
        <v/>
      </c>
      <c r="X38">
        <f>SUMIFS(Giving!$B$7:$B$2006,Giving!$A$7:$A$2006,"&gt;="&amp;$A38,Giving!$A$7:$A$2006,"&lt;="&amp;$B38,Giving!$E$7:$E$2006,"&lt;&gt;No")</f>
        <v/>
      </c>
      <c r="Y38">
        <f>SUMIFS(Giving!$B$7:$B$2006,Giving!$A$7:$A$2006,"&gt;="&amp;$A38,Giving!$A$7:$A$2006,"&lt;="&amp;$B38,Giving!$E$7:$E$2006,"No")</f>
        <v/>
      </c>
      <c r="Z38">
        <f>IF(OR(Settings!$B$60="",Settings!$F$60="No"),0,Settings!$B$60*IF(AND(IF(Settings!$C$60="",$B38,DATE(YEAR($A38),MONTH($A38),MIN(Settings!$C$60,DAY($B38))))&gt;=MAX($A38,Settings!$D$60),IF(Settings!$C$60="",$B38,DATE(YEAR($A38),MONTH($A38),MIN(Settings!$C$60,DAY($B38))))&lt;=MIN($C38,IF(Settings!$E$60="",$C38,Settings!$E$60))),1,0))+IF(OR(Settings!$B$61="",Settings!$F$61="No"),0,Settings!$B$61*IF(AND(IF(Settings!$C$61="",$B38,DATE(YEAR($A38),MONTH($A38),MIN(Settings!$C$61,DAY($B38))))&gt;=MAX($A38,Settings!$D$61),IF(Settings!$C$61="",$B38,DATE(YEAR($A38),MONTH($A38),MIN(Settings!$C$61,DAY($B38))))&lt;=MIN($C38,IF(Settings!$E$61="",$C38,Settings!$E$61))),1,0))+IF(OR(Settings!$B$62="",Settings!$F$62="No"),0,Settings!$B$62*IF(AND(IF(Settings!$C$62="",$B38,DATE(YEAR($A38),MONTH($A38),MIN(Settings!$C$62,DAY($B38))))&gt;=MAX($A38,Settings!$D$62),IF(Settings!$C$62="",$B38,DATE(YEAR($A38),MONTH($A38),MIN(Settings!$C$62,DAY($B38))))&lt;=MIN($C38,IF(Settings!$E$62="",$C38,Settings!$E$62))),1,0))+IF(OR(Settings!$B$63="",Settings!$F$63="No"),0,Settings!$B$63*IF(AND(IF(Settings!$C$63="",$B38,DATE(YEAR($A38),MONTH($A38),MIN(Settings!$C$63,DAY($B38))))&gt;=MAX($A38,Settings!$D$63),IF(Settings!$C$63="",$B38,DATE(YEAR($A38),MONTH($A38),MIN(Settings!$C$63,DAY($B38))))&lt;=MIN($C38,IF(Settings!$E$63="",$C38,Settings!$E$63))),1,0))+IF(OR(Settings!$B$64="",Settings!$F$64="No"),0,Settings!$B$64*IF(AND(IF(Settings!$C$64="",$B38,DATE(YEAR($A38),MONTH($A38),MIN(Settings!$C$64,DAY($B38))))&gt;=MAX($A38,Settings!$D$64),IF(Settings!$C$64="",$B38,DATE(YEAR($A38),MONTH($A38),MIN(Settings!$C$64,DAY($B38))))&lt;=MIN($C38,IF(Settings!$E$64="",$C38,Settings!$E$64))),1,0))+IF(OR(Settings!$B$65="",Settings!$F$65="No"),0,Settings!$B$65*IF(AND(IF(Settings!$C$65="",$B38,DATE(YEAR($A38),MONTH($A38),MIN(Settings!$C$65,DAY($B38))))&gt;=MAX($A38,Settings!$D$65),IF(Settings!$C$65="",$B38,DATE(YEAR($A38),MONTH($A38),MIN(Settings!$C$65,DAY($B38))))&lt;=MIN($C38,IF(Settings!$E$65="",$C38,Settings!$E$65))),1,0))</f>
        <v/>
      </c>
      <c r="AA38">
        <f>$X38+$Z38</f>
        <v/>
      </c>
      <c r="AB38">
        <f>IF($E38="post",$AA38,IF($E38="open",SUMIFS(Giving!$B$7:$B$2006,Giving!$A$7:$A$2006,"&gt;"&amp;Settings!$B$5,Giving!$A$7:$A$2006,"&lt;="&amp;$B38,Giving!$E$7:$E$2006,"&lt;&gt;No")+IF(OR(Settings!$B$60="",Settings!$F$60="No"),0,Settings!$B$60*IF(AND(IF(Settings!$C$60="",$B38,DATE(YEAR($A38),MONTH($A38),MIN(Settings!$C$60,DAY($B38))))&gt;=MAX($A38,Settings!$D$60,Settings!$B$5+1),IF(Settings!$C$60="",$B38,DATE(YEAR($A38),MONTH($A38),MIN(Settings!$C$60,DAY($B38))))&lt;=MIN($C38,IF(Settings!$E$60="",$C38,Settings!$E$60))),1,0))+IF(OR(Settings!$B$61="",Settings!$F$61="No"),0,Settings!$B$61*IF(AND(IF(Settings!$C$61="",$B38,DATE(YEAR($A38),MONTH($A38),MIN(Settings!$C$61,DAY($B38))))&gt;=MAX($A38,Settings!$D$61,Settings!$B$5+1),IF(Settings!$C$61="",$B38,DATE(YEAR($A38),MONTH($A38),MIN(Settings!$C$61,DAY($B38))))&lt;=MIN($C38,IF(Settings!$E$61="",$C38,Settings!$E$61))),1,0))+IF(OR(Settings!$B$62="",Settings!$F$62="No"),0,Settings!$B$62*IF(AND(IF(Settings!$C$62="",$B38,DATE(YEAR($A38),MONTH($A38),MIN(Settings!$C$62,DAY($B38))))&gt;=MAX($A38,Settings!$D$62,Settings!$B$5+1),IF(Settings!$C$62="",$B38,DATE(YEAR($A38),MONTH($A38),MIN(Settings!$C$62,DAY($B38))))&lt;=MIN($C38,IF(Settings!$E$62="",$C38,Settings!$E$62))),1,0))+IF(OR(Settings!$B$63="",Settings!$F$63="No"),0,Settings!$B$63*IF(AND(IF(Settings!$C$63="",$B38,DATE(YEAR($A38),MONTH($A38),MIN(Settings!$C$63,DAY($B38))))&gt;=MAX($A38,Settings!$D$63,Settings!$B$5+1),IF(Settings!$C$63="",$B38,DATE(YEAR($A38),MONTH($A38),MIN(Settings!$C$63,DAY($B38))))&lt;=MIN($C38,IF(Settings!$E$63="",$C38,Settings!$E$63))),1,0))+IF(OR(Settings!$B$64="",Settings!$F$64="No"),0,Settings!$B$64*IF(AND(IF(Settings!$C$64="",$B38,DATE(YEAR($A38),MONTH($A38),MIN(Settings!$C$64,DAY($B38))))&gt;=MAX($A38,Settings!$D$64,Settings!$B$5+1),IF(Settings!$C$64="",$B38,DATE(YEAR($A38),MONTH($A38),MIN(Settings!$C$64,DAY($B38))))&lt;=MIN($C38,IF(Settings!$E$64="",$C38,Settings!$E$64))),1,0))+IF(OR(Settings!$B$65="",Settings!$F$65="No"),0,Settings!$B$65*IF(AND(IF(Settings!$C$65="",$B38,DATE(YEAR($A38),MONTH($A38),MIN(Settings!$C$65,DAY($B38))))&gt;=MAX($A38,Settings!$D$65,Settings!$B$5+1),IF(Settings!$C$65="",$B38,DATE(YEAR($A38),MONTH($A38),MIN(Settings!$C$65,DAY($B38))))&lt;=MIN($C38,IF(Settings!$E$65="",$C38,Settings!$E$65))),1,0)),0))</f>
        <v/>
      </c>
      <c r="AC38">
        <f>$AY38+$AZ38+$BA38+$BB38+$BC38+$BD38</f>
        <v/>
      </c>
      <c r="AD38">
        <f>$AC38</f>
        <v/>
      </c>
      <c r="AE38">
        <f>IF(OR(Settings!$A$19="",$E38="pre"),"",IF(AND('Month-End'!$AI$7&lt;&gt;"",NOT(_xlfn.ISFORMULA('Month-End'!$AI$7))),N('Month-End'!$AI$7),IF(OR($E38="open",$E37="pre"),N(Settings!$C$19),N($AE37))))</f>
        <v/>
      </c>
      <c r="AF38">
        <f>IF(OR(Settings!$A$20="",$E38="pre"),"",IF(AND('Month-End'!$AI$8&lt;&gt;"",NOT(_xlfn.ISFORMULA('Month-End'!$AI$8))),N('Month-End'!$AI$8),IF(OR($E38="open",$E37="pre"),N(Settings!$C$20),N($AF37))))</f>
        <v/>
      </c>
      <c r="AG38">
        <f>IF(OR(Settings!$A$21="",$E38="pre"),"",IF(AND('Month-End'!$AI$9&lt;&gt;"",NOT(_xlfn.ISFORMULA('Month-End'!$AI$9))),N('Month-End'!$AI$9),IF(OR($E38="open",$E37="pre"),N(Settings!$C$21),N($AG37))))</f>
        <v/>
      </c>
      <c r="AH38">
        <f>IF(OR(Settings!$A$22="",$E38="pre"),"",IF(AND('Month-End'!$AI$10&lt;&gt;"",NOT(_xlfn.ISFORMULA('Month-End'!$AI$10))),N('Month-End'!$AI$10),IF(OR($E38="open",$E37="pre"),N(Settings!$C$22),N($AH37))))</f>
        <v/>
      </c>
      <c r="AI38">
        <f>IF(OR(Settings!$A$23="",$E38="pre"),"",IF(AND('Month-End'!$AI$11&lt;&gt;"",NOT(_xlfn.ISFORMULA('Month-End'!$AI$11))),N('Month-End'!$AI$11),IF(OR($E38="open",$E37="pre"),N(Settings!$C$23),N($AI37))))</f>
        <v/>
      </c>
      <c r="AJ38">
        <f>IF(OR(Settings!$A$24="",$E38="pre"),"",IF(AND('Month-End'!$AI$12&lt;&gt;"",NOT(_xlfn.ISFORMULA('Month-End'!$AI$12))),N('Month-End'!$AI$12),IF(OR($E38="open",$E37="pre"),N(Settings!$C$24),N($AJ37))))</f>
        <v/>
      </c>
      <c r="AK38">
        <f>IF(OR(Settings!$A$25="",$E38="pre"),"",IF(AND('Month-End'!$AI$13&lt;&gt;"",NOT(_xlfn.ISFORMULA('Month-End'!$AI$13))),N('Month-End'!$AI$13),IF(OR($E38="open",$E37="pre"),N(Settings!$C$25),N($AK37))))</f>
        <v/>
      </c>
      <c r="AL38">
        <f>IF(OR(Settings!$A$26="",$E38="pre"),"",IF(AND('Month-End'!$AI$14&lt;&gt;"",NOT(_xlfn.ISFORMULA('Month-End'!$AI$14))),N('Month-End'!$AI$14),IF(OR($E38="open",$E37="pre"),N(Settings!$C$26),N($AL37))))</f>
        <v/>
      </c>
      <c r="AM38">
        <f>IF(OR(Settings!$A$27="",$E38="pre"),"",IF(AND('Month-End'!$AI$15&lt;&gt;"",NOT(_xlfn.ISFORMULA('Month-End'!$AI$15))),N('Month-End'!$AI$15),IF(OR($E38="open",$E37="pre"),N(Settings!$C$27),N($AM37))))</f>
        <v/>
      </c>
      <c r="AN38">
        <f>IF(OR(Settings!$A$28="",$E38="pre"),"",IF(AND('Month-End'!$AI$16&lt;&gt;"",NOT(_xlfn.ISFORMULA('Month-End'!$AI$16))),N('Month-End'!$AI$16),IF(OR($E38="open",$E37="pre"),N(Settings!$C$28),N($AN37))))</f>
        <v/>
      </c>
      <c r="AO38">
        <f>IF(OR(Settings!$A$29="",$E38="pre"),"",IF(AND('Month-End'!$AI$17&lt;&gt;"",NOT(_xlfn.ISFORMULA('Month-End'!$AI$17))),N('Month-End'!$AI$17),IF(OR($E38="open",$E37="pre"),N(Settings!$C$29),N($AO37))))</f>
        <v/>
      </c>
      <c r="AP38">
        <f>IF(OR(Settings!$A$30="",$E38="pre"),"",IF(AND('Month-End'!$AI$18&lt;&gt;"",NOT(_xlfn.ISFORMULA('Month-End'!$AI$18))),N('Month-End'!$AI$18),IF(OR($E38="open",$E37="pre"),N(Settings!$C$30),N($AP37))))</f>
        <v/>
      </c>
      <c r="AQ38">
        <f>IF(OR(Settings!$A$31="",$E38="pre"),"",IF(AND('Month-End'!$AI$19&lt;&gt;"",NOT(_xlfn.ISFORMULA('Month-End'!$AI$19))),N('Month-End'!$AI$19),IF(OR($E38="open",$E37="pre"),N(Settings!$C$31),N($AQ37))))</f>
        <v/>
      </c>
      <c r="AR38">
        <f>IF(OR(Settings!$A$32="",$E38="pre"),"",IF(AND('Month-End'!$AI$20&lt;&gt;"",NOT(_xlfn.ISFORMULA('Month-End'!$AI$20))),N('Month-End'!$AI$20),IF(OR($E38="open",$E37="pre"),N(Settings!$C$32),N($AR37))))</f>
        <v/>
      </c>
      <c r="AS38">
        <f>IF(OR(Settings!$A$36="",$E38="pre"),"",IF(AND('Month-End'!$AI$38&lt;&gt;"",NOT(_xlfn.ISFORMULA('Month-End'!$AI$38))),N('Month-End'!$AI$38),IF(OR($E38="open",$E37="pre"),N(Settings!$C$36),N($AS37))+$AY38))</f>
        <v/>
      </c>
      <c r="AT38">
        <f>IF(OR(Settings!$A$37="",$E38="pre"),"",IF(AND('Month-End'!$AI$39&lt;&gt;"",NOT(_xlfn.ISFORMULA('Month-End'!$AI$39))),N('Month-End'!$AI$39),IF(OR($E38="open",$E37="pre"),N(Settings!$C$37),N($AT37))+$AZ38))</f>
        <v/>
      </c>
      <c r="AU38">
        <f>IF(OR(Settings!$A$38="",$E38="pre"),"",IF(AND('Month-End'!$AI$40&lt;&gt;"",NOT(_xlfn.ISFORMULA('Month-End'!$AI$40))),N('Month-End'!$AI$40),IF(OR($E38="open",$E37="pre"),N(Settings!$C$38),N($AU37))+$BA38))</f>
        <v/>
      </c>
      <c r="AV38">
        <f>IF(OR(Settings!$A$39="",$E38="pre"),"",IF(AND('Month-End'!$AI$41&lt;&gt;"",NOT(_xlfn.ISFORMULA('Month-End'!$AI$41))),N('Month-End'!$AI$41),IF(OR($E38="open",$E37="pre"),N(Settings!$C$39),N($AV37))+$BB38))</f>
        <v/>
      </c>
      <c r="AW38">
        <f>IF(OR(Settings!$A$40="",$E38="pre"),"",IF(AND('Month-End'!$AI$42&lt;&gt;"",NOT(_xlfn.ISFORMULA('Month-End'!$AI$42))),N('Month-End'!$AI$42),IF(OR($E38="open",$E37="pre"),N(Settings!$C$40),N($AW37))+$BC38))</f>
        <v/>
      </c>
      <c r="AX38">
        <f>IF(OR(Settings!$A$41="",$E38="pre"),"",IF(AND('Month-End'!$AI$43&lt;&gt;"",NOT(_xlfn.ISFORMULA('Month-End'!$AI$43))),N('Month-End'!$AI$43),IF(OR($E38="open",$E37="pre"),N(Settings!$C$41),N($AX37))+$BD38))</f>
        <v/>
      </c>
      <c r="AY38">
        <f>IF($E38="pre",0,N('Month-End'!$AI$45))</f>
        <v/>
      </c>
      <c r="AZ38">
        <f>IF($E38="pre",0,N('Month-End'!$AI$46))</f>
        <v/>
      </c>
      <c r="BA38">
        <f>IF($E38="pre",0,N('Month-End'!$AI$47))</f>
        <v/>
      </c>
      <c r="BB38">
        <f>IF($E38="pre",0,N('Month-End'!$AI$48))</f>
        <v/>
      </c>
      <c r="BC38">
        <f>IF($E38="pre",0,N('Month-End'!$AI$49))</f>
        <v/>
      </c>
      <c r="BD38">
        <f>IF($E38="pre",0,N('Month-End'!$AI$50))</f>
        <v/>
      </c>
      <c r="BE38">
        <f>IF(OR(Settings!$C$45="",Settings!$D$45=""),0,Settings!$C$45*IF(Settings!$D$45="Weekly",IF(IFERROR(MATCH(Settings!$E$45,$EO$4:$EO$10,0),0)=0,0,IF(MIN($C38,IF(Settings!$G$45="",$C38,Settings!$G$45))&lt;MAX($A38,Settings!$F$45),0,INT((MIN($C38,IF(Settings!$G$45="",$C38,Settings!$G$45))-MAX($A38,Settings!$F$45)-MOD(IFERROR(MATCH(Settings!$E$45,$EO$4:$EO$10,0),0)-WEEKDAY(MAX($A38,Settings!$F$45)),7))/7)+1)),IF(AND(IF(Settings!$E$45="",$B38,DATE(YEAR($A38),MONTH($A38),MIN(Settings!$E$45,DAY($B38))))&gt;=MAX($A38,Settings!$F$45),IF(Settings!$E$45="",$B38,DATE(YEAR($A38),MONTH($A38),MIN(Settings!$E$45,DAY($B38))))&lt;=MIN($C38,IF(Settings!$G$45="",$C38,Settings!$G$45))),1,0)))</f>
        <v/>
      </c>
      <c r="BF38">
        <f>IF(OR(Settings!$C$46="",Settings!$D$46=""),0,Settings!$C$46*IF(Settings!$D$46="Weekly",IF(IFERROR(MATCH(Settings!$E$46,$EO$4:$EO$10,0),0)=0,0,IF(MIN($C38,IF(Settings!$G$46="",$C38,Settings!$G$46))&lt;MAX($A38,Settings!$F$46),0,INT((MIN($C38,IF(Settings!$G$46="",$C38,Settings!$G$46))-MAX($A38,Settings!$F$46)-MOD(IFERROR(MATCH(Settings!$E$46,$EO$4:$EO$10,0),0)-WEEKDAY(MAX($A38,Settings!$F$46)),7))/7)+1)),IF(AND(IF(Settings!$E$46="",$B38,DATE(YEAR($A38),MONTH($A38),MIN(Settings!$E$46,DAY($B38))))&gt;=MAX($A38,Settings!$F$46),IF(Settings!$E$46="",$B38,DATE(YEAR($A38),MONTH($A38),MIN(Settings!$E$46,DAY($B38))))&lt;=MIN($C38,IF(Settings!$G$46="",$C38,Settings!$G$46))),1,0)))</f>
        <v/>
      </c>
      <c r="BG38">
        <f>IF(OR(Settings!$C$47="",Settings!$D$47=""),0,Settings!$C$47*IF(Settings!$D$47="Weekly",IF(IFERROR(MATCH(Settings!$E$47,$EO$4:$EO$10,0),0)=0,0,IF(MIN($C38,IF(Settings!$G$47="",$C38,Settings!$G$47))&lt;MAX($A38,Settings!$F$47),0,INT((MIN($C38,IF(Settings!$G$47="",$C38,Settings!$G$47))-MAX($A38,Settings!$F$47)-MOD(IFERROR(MATCH(Settings!$E$47,$EO$4:$EO$10,0),0)-WEEKDAY(MAX($A38,Settings!$F$47)),7))/7)+1)),IF(AND(IF(Settings!$E$47="",$B38,DATE(YEAR($A38),MONTH($A38),MIN(Settings!$E$47,DAY($B38))))&gt;=MAX($A38,Settings!$F$47),IF(Settings!$E$47="",$B38,DATE(YEAR($A38),MONTH($A38),MIN(Settings!$E$47,DAY($B38))))&lt;=MIN($C38,IF(Settings!$G$47="",$C38,Settings!$G$47))),1,0)))</f>
        <v/>
      </c>
      <c r="BH38">
        <f>IF(OR(Settings!$C$48="",Settings!$D$48=""),0,Settings!$C$48*IF(Settings!$D$48="Weekly",IF(IFERROR(MATCH(Settings!$E$48,$EO$4:$EO$10,0),0)=0,0,IF(MIN($C38,IF(Settings!$G$48="",$C38,Settings!$G$48))&lt;MAX($A38,Settings!$F$48),0,INT((MIN($C38,IF(Settings!$G$48="",$C38,Settings!$G$48))-MAX($A38,Settings!$F$48)-MOD(IFERROR(MATCH(Settings!$E$48,$EO$4:$EO$10,0),0)-WEEKDAY(MAX($A38,Settings!$F$48)),7))/7)+1)),IF(AND(IF(Settings!$E$48="",$B38,DATE(YEAR($A38),MONTH($A38),MIN(Settings!$E$48,DAY($B38))))&gt;=MAX($A38,Settings!$F$48),IF(Settings!$E$48="",$B38,DATE(YEAR($A38),MONTH($A38),MIN(Settings!$E$48,DAY($B38))))&lt;=MIN($C38,IF(Settings!$G$48="",$C38,Settings!$G$48))),1,0)))</f>
        <v/>
      </c>
      <c r="BI38">
        <f>IF(OR(Settings!$C$49="",Settings!$D$49=""),0,Settings!$C$49*IF(Settings!$D$49="Weekly",IF(IFERROR(MATCH(Settings!$E$49,$EO$4:$EO$10,0),0)=0,0,IF(MIN($C38,IF(Settings!$G$49="",$C38,Settings!$G$49))&lt;MAX($A38,Settings!$F$49),0,INT((MIN($C38,IF(Settings!$G$49="",$C38,Settings!$G$49))-MAX($A38,Settings!$F$49)-MOD(IFERROR(MATCH(Settings!$E$49,$EO$4:$EO$10,0),0)-WEEKDAY(MAX($A38,Settings!$F$49)),7))/7)+1)),IF(AND(IF(Settings!$E$49="",$B38,DATE(YEAR($A38),MONTH($A38),MIN(Settings!$E$49,DAY($B38))))&gt;=MAX($A38,Settings!$F$49),IF(Settings!$E$49="",$B38,DATE(YEAR($A38),MONTH($A38),MIN(Settings!$E$49,DAY($B38))))&lt;=MIN($C38,IF(Settings!$G$49="",$C38,Settings!$G$49))),1,0)))</f>
        <v/>
      </c>
      <c r="BJ38">
        <f>IF(OR(Settings!$C$50="",Settings!$D$50=""),0,Settings!$C$50*IF(Settings!$D$50="Weekly",IF(IFERROR(MATCH(Settings!$E$50,$EO$4:$EO$10,0),0)=0,0,IF(MIN($C38,IF(Settings!$G$50="",$C38,Settings!$G$50))&lt;MAX($A38,Settings!$F$50),0,INT((MIN($C38,IF(Settings!$G$50="",$C38,Settings!$G$50))-MAX($A38,Settings!$F$50)-MOD(IFERROR(MATCH(Settings!$E$50,$EO$4:$EO$10,0),0)-WEEKDAY(MAX($A38,Settings!$F$50)),7))/7)+1)),IF(AND(IF(Settings!$E$50="",$B38,DATE(YEAR($A38),MONTH($A38),MIN(Settings!$E$50,DAY($B38))))&gt;=MAX($A38,Settings!$F$50),IF(Settings!$E$50="",$B38,DATE(YEAR($A38),MONTH($A38),MIN(Settings!$E$50,DAY($B38))))&lt;=MIN($C38,IF(Settings!$G$50="",$C38,Settings!$G$50))),1,0)))</f>
        <v/>
      </c>
      <c r="BK38">
        <f>IF(OR(Settings!$C$51="",Settings!$D$51=""),0,Settings!$C$51*IF(Settings!$D$51="Weekly",IF(IFERROR(MATCH(Settings!$E$51,$EO$4:$EO$10,0),0)=0,0,IF(MIN($C38,IF(Settings!$G$51="",$C38,Settings!$G$51))&lt;MAX($A38,Settings!$F$51),0,INT((MIN($C38,IF(Settings!$G$51="",$C38,Settings!$G$51))-MAX($A38,Settings!$F$51)-MOD(IFERROR(MATCH(Settings!$E$51,$EO$4:$EO$10,0),0)-WEEKDAY(MAX($A38,Settings!$F$51)),7))/7)+1)),IF(AND(IF(Settings!$E$51="",$B38,DATE(YEAR($A38),MONTH($A38),MIN(Settings!$E$51,DAY($B38))))&gt;=MAX($A38,Settings!$F$51),IF(Settings!$E$51="",$B38,DATE(YEAR($A38),MONTH($A38),MIN(Settings!$E$51,DAY($B38))))&lt;=MIN($C38,IF(Settings!$G$51="",$C38,Settings!$G$51))),1,0)))</f>
        <v/>
      </c>
      <c r="BL38">
        <f>IF(OR(Settings!$C$52="",Settings!$D$52=""),0,Settings!$C$52*IF(Settings!$D$52="Weekly",IF(IFERROR(MATCH(Settings!$E$52,$EO$4:$EO$10,0),0)=0,0,IF(MIN($C38,IF(Settings!$G$52="",$C38,Settings!$G$52))&lt;MAX($A38,Settings!$F$52),0,INT((MIN($C38,IF(Settings!$G$52="",$C38,Settings!$G$52))-MAX($A38,Settings!$F$52)-MOD(IFERROR(MATCH(Settings!$E$52,$EO$4:$EO$10,0),0)-WEEKDAY(MAX($A38,Settings!$F$52)),7))/7)+1)),IF(AND(IF(Settings!$E$52="",$B38,DATE(YEAR($A38),MONTH($A38),MIN(Settings!$E$52,DAY($B38))))&gt;=MAX($A38,Settings!$F$52),IF(Settings!$E$52="",$B38,DATE(YEAR($A38),MONTH($A38),MIN(Settings!$E$52,DAY($B38))))&lt;=MIN($C38,IF(Settings!$G$52="",$C38,Settings!$G$52))),1,0)))</f>
        <v/>
      </c>
      <c r="BM38">
        <f>IF(OR(Settings!$C$53="",Settings!$D$53=""),0,Settings!$C$53*IF(Settings!$D$53="Weekly",IF(IFERROR(MATCH(Settings!$E$53,$EO$4:$EO$10,0),0)=0,0,IF(MIN($C38,IF(Settings!$G$53="",$C38,Settings!$G$53))&lt;MAX($A38,Settings!$F$53),0,INT((MIN($C38,IF(Settings!$G$53="",$C38,Settings!$G$53))-MAX($A38,Settings!$F$53)-MOD(IFERROR(MATCH(Settings!$E$53,$EO$4:$EO$10,0),0)-WEEKDAY(MAX($A38,Settings!$F$53)),7))/7)+1)),IF(AND(IF(Settings!$E$53="",$B38,DATE(YEAR($A38),MONTH($A38),MIN(Settings!$E$53,DAY($B38))))&gt;=MAX($A38,Settings!$F$53),IF(Settings!$E$53="",$B38,DATE(YEAR($A38),MONTH($A38),MIN(Settings!$E$53,DAY($B38))))&lt;=MIN($C38,IF(Settings!$G$53="",$C38,Settings!$G$53))),1,0)))</f>
        <v/>
      </c>
      <c r="BN38">
        <f>IF(OR(Settings!$C$54="",Settings!$D$54=""),0,Settings!$C$54*IF(Settings!$D$54="Weekly",IF(IFERROR(MATCH(Settings!$E$54,$EO$4:$EO$10,0),0)=0,0,IF(MIN($C38,IF(Settings!$G$54="",$C38,Settings!$G$54))&lt;MAX($A38,Settings!$F$54),0,INT((MIN($C38,IF(Settings!$G$54="",$C38,Settings!$G$54))-MAX($A38,Settings!$F$54)-MOD(IFERROR(MATCH(Settings!$E$54,$EO$4:$EO$10,0),0)-WEEKDAY(MAX($A38,Settings!$F$54)),7))/7)+1)),IF(AND(IF(Settings!$E$54="",$B38,DATE(YEAR($A38),MONTH($A38),MIN(Settings!$E$54,DAY($B38))))&gt;=MAX($A38,Settings!$F$54),IF(Settings!$E$54="",$B38,DATE(YEAR($A38),MONTH($A38),MIN(Settings!$E$54,DAY($B38))))&lt;=MIN($C38,IF(Settings!$G$54="",$C38,Settings!$G$54))),1,0)))</f>
        <v/>
      </c>
      <c r="BO38">
        <f>IF(OR(Settings!$C$55="",Settings!$D$55=""),0,Settings!$C$55*IF(Settings!$D$55="Weekly",IF(IFERROR(MATCH(Settings!$E$55,$EO$4:$EO$10,0),0)=0,0,IF(MIN($C38,IF(Settings!$G$55="",$C38,Settings!$G$55))&lt;MAX($A38,Settings!$F$55),0,INT((MIN($C38,IF(Settings!$G$55="",$C38,Settings!$G$55))-MAX($A38,Settings!$F$55)-MOD(IFERROR(MATCH(Settings!$E$55,$EO$4:$EO$10,0),0)-WEEKDAY(MAX($A38,Settings!$F$55)),7))/7)+1)),IF(AND(IF(Settings!$E$55="",$B38,DATE(YEAR($A38),MONTH($A38),MIN(Settings!$E$55,DAY($B38))))&gt;=MAX($A38,Settings!$F$55),IF(Settings!$E$55="",$B38,DATE(YEAR($A38),MONTH($A38),MIN(Settings!$E$55,DAY($B38))))&lt;=MIN($C38,IF(Settings!$G$55="",$C38,Settings!$G$55))),1,0)))</f>
        <v/>
      </c>
      <c r="BP38">
        <f>IF(OR(Settings!$C$56="",Settings!$D$56=""),0,Settings!$C$56*IF(Settings!$D$56="Weekly",IF(IFERROR(MATCH(Settings!$E$56,$EO$4:$EO$10,0),0)=0,0,IF(MIN($C38,IF(Settings!$G$56="",$C38,Settings!$G$56))&lt;MAX($A38,Settings!$F$56),0,INT((MIN($C38,IF(Settings!$G$56="",$C38,Settings!$G$56))-MAX($A38,Settings!$F$56)-MOD(IFERROR(MATCH(Settings!$E$56,$EO$4:$EO$10,0),0)-WEEKDAY(MAX($A38,Settings!$F$56)),7))/7)+1)),IF(AND(IF(Settings!$E$56="",$B38,DATE(YEAR($A38),MONTH($A38),MIN(Settings!$E$56,DAY($B38))))&gt;=MAX($A38,Settings!$F$56),IF(Settings!$E$56="",$B38,DATE(YEAR($A38),MONTH($A38),MIN(Settings!$E$56,DAY($B38))))&lt;=MIN($C38,IF(Settings!$G$56="",$C38,Settings!$G$56))),1,0)))</f>
        <v/>
      </c>
      <c r="BQ38">
        <f>IF(OR(Settings!$B$14="",$D38=1,$E38="pre",$A38&lt;IF(Settings!$B$15="",0,Settings!$B$15)),0,Settings!$B$14)</f>
        <v/>
      </c>
      <c r="BR38">
        <f>IF(AND('Month-End'!$AI$7&lt;&gt;"",NOT(_xlfn.ISFORMULA('Month-End'!$AI$7))),1,0)</f>
        <v/>
      </c>
      <c r="BS38">
        <f>IF(AND('Month-End'!$AI$8&lt;&gt;"",NOT(_xlfn.ISFORMULA('Month-End'!$AI$8))),1,0)</f>
        <v/>
      </c>
      <c r="BT38">
        <f>IF(AND('Month-End'!$AI$9&lt;&gt;"",NOT(_xlfn.ISFORMULA('Month-End'!$AI$9))),1,0)</f>
        <v/>
      </c>
      <c r="BU38">
        <f>IF(AND('Month-End'!$AI$10&lt;&gt;"",NOT(_xlfn.ISFORMULA('Month-End'!$AI$10))),1,0)</f>
        <v/>
      </c>
      <c r="BV38">
        <f>IF(AND('Month-End'!$AI$11&lt;&gt;"",NOT(_xlfn.ISFORMULA('Month-End'!$AI$11))),1,0)</f>
        <v/>
      </c>
      <c r="BW38">
        <f>IF(AND('Month-End'!$AI$12&lt;&gt;"",NOT(_xlfn.ISFORMULA('Month-End'!$AI$12))),1,0)</f>
        <v/>
      </c>
      <c r="BX38">
        <f>IF(AND('Month-End'!$AI$13&lt;&gt;"",NOT(_xlfn.ISFORMULA('Month-End'!$AI$13))),1,0)</f>
        <v/>
      </c>
      <c r="BY38">
        <f>IF(AND('Month-End'!$AI$14&lt;&gt;"",NOT(_xlfn.ISFORMULA('Month-End'!$AI$14))),1,0)</f>
        <v/>
      </c>
      <c r="BZ38">
        <f>IF(AND('Month-End'!$AI$15&lt;&gt;"",NOT(_xlfn.ISFORMULA('Month-End'!$AI$15))),1,0)</f>
        <v/>
      </c>
      <c r="CA38">
        <f>IF(AND('Month-End'!$AI$16&lt;&gt;"",NOT(_xlfn.ISFORMULA('Month-End'!$AI$16))),1,0)</f>
        <v/>
      </c>
      <c r="CB38">
        <f>IF(AND('Month-End'!$AI$17&lt;&gt;"",NOT(_xlfn.ISFORMULA('Month-End'!$AI$17))),1,0)</f>
        <v/>
      </c>
      <c r="CC38">
        <f>IF(AND('Month-End'!$AI$18&lt;&gt;"",NOT(_xlfn.ISFORMULA('Month-End'!$AI$18))),1,0)</f>
        <v/>
      </c>
      <c r="CD38">
        <f>IF(AND('Month-End'!$AI$19&lt;&gt;"",NOT(_xlfn.ISFORMULA('Month-End'!$AI$19))),1,0)</f>
        <v/>
      </c>
      <c r="CE38">
        <f>IF(AND('Month-End'!$AI$20&lt;&gt;"",NOT(_xlfn.ISFORMULA('Month-End'!$AI$20))),1,0)</f>
        <v/>
      </c>
      <c r="CF38">
        <f>IF(AND('Month-End'!$AI$38&lt;&gt;"",NOT(_xlfn.ISFORMULA('Month-End'!$AI$38))),1,0)</f>
        <v/>
      </c>
      <c r="CG38">
        <f>IF(AND('Month-End'!$AI$39&lt;&gt;"",NOT(_xlfn.ISFORMULA('Month-End'!$AI$39))),1,0)</f>
        <v/>
      </c>
      <c r="CH38">
        <f>IF(AND('Month-End'!$AI$40&lt;&gt;"",NOT(_xlfn.ISFORMULA('Month-End'!$AI$40))),1,0)</f>
        <v/>
      </c>
      <c r="CI38">
        <f>IF(AND('Month-End'!$AI$41&lt;&gt;"",NOT(_xlfn.ISFORMULA('Month-End'!$AI$41))),1,0)</f>
        <v/>
      </c>
      <c r="CJ38">
        <f>IF(AND('Month-End'!$AI$42&lt;&gt;"",NOT(_xlfn.ISFORMULA('Month-End'!$AI$42))),1,0)</f>
        <v/>
      </c>
      <c r="CK38">
        <f>IF(AND('Month-End'!$AI$43&lt;&gt;"",NOT(_xlfn.ISFORMULA('Month-End'!$AI$43))),1,0)</f>
        <v/>
      </c>
      <c r="CL38">
        <f>SUM($CM38:$CZ38)</f>
        <v/>
      </c>
      <c r="CM38">
        <f>IF(AND($E38&lt;&gt;"pre",AND(Settings!$A$19&lt;&gt;"",Settings!$E$19&lt;&gt;"No"),Settings!$F$19="Yes",NOT(AND('Month-End'!$AI$7&lt;&gt;"",NOT(_xlfn.ISFORMULA('Month-End'!$AI$7))))),1,0)</f>
        <v/>
      </c>
      <c r="CN38">
        <f>IF(AND($E38&lt;&gt;"pre",AND(Settings!$A$20&lt;&gt;"",Settings!$E$20&lt;&gt;"No"),Settings!$F$20="Yes",NOT(AND('Month-End'!$AI$8&lt;&gt;"",NOT(_xlfn.ISFORMULA('Month-End'!$AI$8))))),1,0)</f>
        <v/>
      </c>
      <c r="CO38">
        <f>IF(AND($E38&lt;&gt;"pre",AND(Settings!$A$21&lt;&gt;"",Settings!$E$21&lt;&gt;"No"),Settings!$F$21="Yes",NOT(AND('Month-End'!$AI$9&lt;&gt;"",NOT(_xlfn.ISFORMULA('Month-End'!$AI$9))))),1,0)</f>
        <v/>
      </c>
      <c r="CP38">
        <f>IF(AND($E38&lt;&gt;"pre",AND(Settings!$A$22&lt;&gt;"",Settings!$E$22&lt;&gt;"No"),Settings!$F$22="Yes",NOT(AND('Month-End'!$AI$10&lt;&gt;"",NOT(_xlfn.ISFORMULA('Month-End'!$AI$10))))),1,0)</f>
        <v/>
      </c>
      <c r="CQ38">
        <f>IF(AND($E38&lt;&gt;"pre",AND(Settings!$A$23&lt;&gt;"",Settings!$E$23&lt;&gt;"No"),Settings!$F$23="Yes",NOT(AND('Month-End'!$AI$11&lt;&gt;"",NOT(_xlfn.ISFORMULA('Month-End'!$AI$11))))),1,0)</f>
        <v/>
      </c>
      <c r="CR38">
        <f>IF(AND($E38&lt;&gt;"pre",AND(Settings!$A$24&lt;&gt;"",Settings!$E$24&lt;&gt;"No"),Settings!$F$24="Yes",NOT(AND('Month-End'!$AI$12&lt;&gt;"",NOT(_xlfn.ISFORMULA('Month-End'!$AI$12))))),1,0)</f>
        <v/>
      </c>
      <c r="CS38">
        <f>IF(AND($E38&lt;&gt;"pre",AND(Settings!$A$25&lt;&gt;"",Settings!$E$25&lt;&gt;"No"),Settings!$F$25="Yes",NOT(AND('Month-End'!$AI$13&lt;&gt;"",NOT(_xlfn.ISFORMULA('Month-End'!$AI$13))))),1,0)</f>
        <v/>
      </c>
      <c r="CT38">
        <f>IF(AND($E38&lt;&gt;"pre",AND(Settings!$A$26&lt;&gt;"",Settings!$E$26&lt;&gt;"No"),Settings!$F$26="Yes",NOT(AND('Month-End'!$AI$14&lt;&gt;"",NOT(_xlfn.ISFORMULA('Month-End'!$AI$14))))),1,0)</f>
        <v/>
      </c>
      <c r="CU38">
        <f>IF(AND($E38&lt;&gt;"pre",AND(Settings!$A$27&lt;&gt;"",Settings!$E$27&lt;&gt;"No"),Settings!$F$27="Yes",NOT(AND('Month-End'!$AI$15&lt;&gt;"",NOT(_xlfn.ISFORMULA('Month-End'!$AI$15))))),1,0)</f>
        <v/>
      </c>
      <c r="CV38">
        <f>IF(AND($E38&lt;&gt;"pre",AND(Settings!$A$28&lt;&gt;"",Settings!$E$28&lt;&gt;"No"),Settings!$F$28="Yes",NOT(AND('Month-End'!$AI$16&lt;&gt;"",NOT(_xlfn.ISFORMULA('Month-End'!$AI$16))))),1,0)</f>
        <v/>
      </c>
      <c r="CW38">
        <f>IF(AND($E38&lt;&gt;"pre",AND(Settings!$A$29&lt;&gt;"",Settings!$E$29&lt;&gt;"No"),Settings!$F$29="Yes",NOT(AND('Month-End'!$AI$17&lt;&gt;"",NOT(_xlfn.ISFORMULA('Month-End'!$AI$17))))),1,0)</f>
        <v/>
      </c>
      <c r="CX38">
        <f>IF(AND($E38&lt;&gt;"pre",AND(Settings!$A$30&lt;&gt;"",Settings!$E$30&lt;&gt;"No"),Settings!$F$30="Yes",NOT(AND('Month-End'!$AI$18&lt;&gt;"",NOT(_xlfn.ISFORMULA('Month-End'!$AI$18))))),1,0)</f>
        <v/>
      </c>
      <c r="CY38">
        <f>IF(AND($E38&lt;&gt;"pre",AND(Settings!$A$31&lt;&gt;"",Settings!$E$31&lt;&gt;"No"),Settings!$F$31="Yes",NOT(AND('Month-End'!$AI$19&lt;&gt;"",NOT(_xlfn.ISFORMULA('Month-End'!$AI$19))))),1,0)</f>
        <v/>
      </c>
      <c r="CZ38">
        <f>IF(AND($E38&lt;&gt;"pre",AND(Settings!$A$32&lt;&gt;"",Settings!$E$32&lt;&gt;"No"),Settings!$F$32="Yes",NOT(AND('Month-End'!$AI$20&lt;&gt;"",NOT(_xlfn.ISFORMULA('Month-End'!$AI$20))))),1,0)</f>
        <v/>
      </c>
      <c r="DA38">
        <f>IF($DT38=1,IF(OR(Settings!$B$19="Checking",Settings!$B$19="Savings",Settings!$B$19="Cash"),N($AE38),IF(OR(Settings!$B$19="Card",Settings!$B$19="Loan"),-N($AE38),0))+IF(OR(Settings!$B$20="Checking",Settings!$B$20="Savings",Settings!$B$20="Cash"),N($AF38),IF(OR(Settings!$B$20="Card",Settings!$B$20="Loan"),-N($AF38),0))+IF(OR(Settings!$B$21="Checking",Settings!$B$21="Savings",Settings!$B$21="Cash"),N($AG38),IF(OR(Settings!$B$21="Card",Settings!$B$21="Loan"),-N($AG38),0))+IF(OR(Settings!$B$22="Checking",Settings!$B$22="Savings",Settings!$B$22="Cash"),N($AH38),IF(OR(Settings!$B$22="Card",Settings!$B$22="Loan"),-N($AH38),0))+IF(OR(Settings!$B$23="Checking",Settings!$B$23="Savings",Settings!$B$23="Cash"),N($AI38),IF(OR(Settings!$B$23="Card",Settings!$B$23="Loan"),-N($AI38),0))+IF(OR(Settings!$B$24="Checking",Settings!$B$24="Savings",Settings!$B$24="Cash"),N($AJ38),IF(OR(Settings!$B$24="Card",Settings!$B$24="Loan"),-N($AJ38),0))+IF(OR(Settings!$B$25="Checking",Settings!$B$25="Savings",Settings!$B$25="Cash"),N($AK38),IF(OR(Settings!$B$25="Card",Settings!$B$25="Loan"),-N($AK38),0))+IF(OR(Settings!$B$26="Checking",Settings!$B$26="Savings",Settings!$B$26="Cash"),N($AL38),IF(OR(Settings!$B$26="Card",Settings!$B$26="Loan"),-N($AL38),0))+IF(OR(Settings!$B$27="Checking",Settings!$B$27="Savings",Settings!$B$27="Cash"),N($AM38),IF(OR(Settings!$B$27="Card",Settings!$B$27="Loan"),-N($AM38),0))+IF(OR(Settings!$B$28="Checking",Settings!$B$28="Savings",Settings!$B$28="Cash"),N($AN38),IF(OR(Settings!$B$28="Card",Settings!$B$28="Loan"),-N($AN38),0))+IF(OR(Settings!$B$29="Checking",Settings!$B$29="Savings",Settings!$B$29="Cash"),N($AO38),IF(OR(Settings!$B$29="Card",Settings!$B$29="Loan"),-N($AO38),0))+IF(OR(Settings!$B$30="Checking",Settings!$B$30="Savings",Settings!$B$30="Cash"),N($AP38),IF(OR(Settings!$B$30="Card",Settings!$B$30="Loan"),-N($AP38),0))+IF(OR(Settings!$B$31="Checking",Settings!$B$31="Savings",Settings!$B$31="Cash"),N($AQ38),IF(OR(Settings!$B$31="Card",Settings!$B$31="Loan"),-N($AQ38),0))+IF(OR(Settings!$B$32="Checking",Settings!$B$32="Savings",Settings!$B$32="Cash"),N($AR38),IF(OR(Settings!$B$32="Card",Settings!$B$32="Loan"),-N($AR38),0)),"")</f>
        <v/>
      </c>
      <c r="DB38">
        <f>IF($E38="open",$EB$27,IF($E38="post",IF($E37="pre",$EB$27,$DA37),""))</f>
        <v/>
      </c>
      <c r="DC38">
        <f>IF($E38="open",1,IF($E38="post",IF($E37="pre",1,$DT37),0))</f>
        <v/>
      </c>
      <c r="DD38">
        <f>IF(AND($DT38=1,$DC38=1),ROUND($W38-($DA38-$DB38)-$AD38-$AB38,2),"")</f>
        <v/>
      </c>
      <c r="DE38">
        <f>IF('Month-End'!$AI$35="",$BQ38,N('Month-End'!$AI$35))</f>
        <v/>
      </c>
      <c r="DF38">
        <f>N('Month-End'!$AI$36)</f>
        <v/>
      </c>
      <c r="DG38">
        <f>IF($DD38="","",$DD38+$DE38)</f>
        <v/>
      </c>
      <c r="DH38">
        <f>IF($DG38="","",$DG38-$DF38)</f>
        <v/>
      </c>
      <c r="DI38">
        <f>IF(OR($E38="pre",$D38=1),"",N($AS38)+N($AT38)+N($AU38)+N($AV38)+N($AW38)+N($AX38))</f>
        <v/>
      </c>
      <c r="DJ38">
        <f>IF($DT38=1,$DA38+N($DI38),"")</f>
        <v/>
      </c>
      <c r="DK38">
        <f>IF($DD38="","",$W38-$DD38-$AB38)</f>
        <v/>
      </c>
      <c r="DL38">
        <f>IF(AND($E38="post",$DD38&lt;&gt;"",$B38&lt;TODAY()),1,0)</f>
        <v/>
      </c>
      <c r="DM38">
        <f>IF($DL38=1,COUNTIF($DL38:$DL$183,1),0)</f>
        <v/>
      </c>
      <c r="DN38">
        <f>IF($D38=1,"",IF($E38="pre","History only",IF($DT38=1,IF($DD38="","⚠ Previous month missing",IF($DD38&lt;0,"⚠ Check: spending &lt; 0",IF($E38="open","✓ Done (partial)","✓ Done"))),IF($B38&gt;=TODAY(),"In progress","⚠ Needs balances"))))</f>
        <v/>
      </c>
      <c r="DO38">
        <f>YEAR($A38)</f>
        <v/>
      </c>
      <c r="DP38">
        <f>DATE(YEAR($A38),INT((MONTH($A38)-1)/3)*3+1,1)</f>
        <v/>
      </c>
      <c r="DQ38">
        <f>IF(AND($DT38=1,$DD38&lt;&gt;"",$D38=0),ROW(),0)</f>
        <v/>
      </c>
      <c r="DR38">
        <f>IF(AND($E38&lt;&gt;"pre",$B38&lt;TODAY(),$DT38=0),1,0)</f>
        <v/>
      </c>
      <c r="DS38">
        <f>IF($DJ38="",NA(),$DJ38)</f>
        <v/>
      </c>
      <c r="DT38">
        <f>IF(AND($E38&lt;&gt;"pre",$CL38=0,COUNTIFS(Settings!$F$19:$F$32,"Yes",Settings!$A$19:$A$32,"&lt;&gt;",Settings!$E$19:$E$32,"&lt;&gt;No")&gt;0),1,0)</f>
        <v/>
      </c>
      <c r="DU38">
        <f>IF(AND($B38&lt;TODAY(),$S38&gt;0),1,0)</f>
        <v/>
      </c>
      <c r="DV38">
        <f>IF($DU38=1,COUNTIF($DU38:$DU$183,1),0)</f>
        <v/>
      </c>
      <c r="DW38">
        <f>IF(AND(OR(Settings!$B$19="Card",Settings!$B$19="Loan"),AND('Month-End'!$AI$7&lt;&gt;"",NOT(_xlfn.ISFORMULA('Month-End'!$AI$7)))),IF(N('Month-End'!$AI$7)&lt;0,1,0),0)+IF(AND(OR(Settings!$B$20="Card",Settings!$B$20="Loan"),AND('Month-End'!$AI$8&lt;&gt;"",NOT(_xlfn.ISFORMULA('Month-End'!$AI$8)))),IF(N('Month-End'!$AI$8)&lt;0,1,0),0)+IF(AND(OR(Settings!$B$21="Card",Settings!$B$21="Loan"),AND('Month-End'!$AI$9&lt;&gt;"",NOT(_xlfn.ISFORMULA('Month-End'!$AI$9)))),IF(N('Month-End'!$AI$9)&lt;0,1,0),0)+IF(AND(OR(Settings!$B$22="Card",Settings!$B$22="Loan"),AND('Month-End'!$AI$10&lt;&gt;"",NOT(_xlfn.ISFORMULA('Month-End'!$AI$10)))),IF(N('Month-End'!$AI$10)&lt;0,1,0),0)+IF(AND(OR(Settings!$B$23="Card",Settings!$B$23="Loan"),AND('Month-End'!$AI$11&lt;&gt;"",NOT(_xlfn.ISFORMULA('Month-End'!$AI$11)))),IF(N('Month-End'!$AI$11)&lt;0,1,0),0)+IF(AND(OR(Settings!$B$24="Card",Settings!$B$24="Loan"),AND('Month-End'!$AI$12&lt;&gt;"",NOT(_xlfn.ISFORMULA('Month-End'!$AI$12)))),IF(N('Month-End'!$AI$12)&lt;0,1,0),0)+IF(AND(OR(Settings!$B$25="Card",Settings!$B$25="Loan"),AND('Month-End'!$AI$13&lt;&gt;"",NOT(_xlfn.ISFORMULA('Month-End'!$AI$13)))),IF(N('Month-End'!$AI$13)&lt;0,1,0),0)+IF(AND(OR(Settings!$B$26="Card",Settings!$B$26="Loan"),AND('Month-End'!$AI$14&lt;&gt;"",NOT(_xlfn.ISFORMULA('Month-End'!$AI$14)))),IF(N('Month-End'!$AI$14)&lt;0,1,0),0)+IF(AND(OR(Settings!$B$27="Card",Settings!$B$27="Loan"),AND('Month-End'!$AI$15&lt;&gt;"",NOT(_xlfn.ISFORMULA('Month-End'!$AI$15)))),IF(N('Month-End'!$AI$15)&lt;0,1,0),0)+IF(AND(OR(Settings!$B$28="Card",Settings!$B$28="Loan"),AND('Month-End'!$AI$16&lt;&gt;"",NOT(_xlfn.ISFORMULA('Month-End'!$AI$16)))),IF(N('Month-End'!$AI$16)&lt;0,1,0),0)+IF(AND(OR(Settings!$B$29="Card",Settings!$B$29="Loan"),AND('Month-End'!$AI$17&lt;&gt;"",NOT(_xlfn.ISFORMULA('Month-End'!$AI$17)))),IF(N('Month-End'!$AI$17)&lt;0,1,0),0)+IF(AND(OR(Settings!$B$30="Card",Settings!$B$30="Loan"),AND('Month-End'!$AI$18&lt;&gt;"",NOT(_xlfn.ISFORMULA('Month-End'!$AI$18)))),IF(N('Month-End'!$AI$18)&lt;0,1,0),0)+IF(AND(OR(Settings!$B$31="Card",Settings!$B$31="Loan"),AND('Month-End'!$AI$19&lt;&gt;"",NOT(_xlfn.ISFORMULA('Month-End'!$AI$19)))),IF(N('Month-End'!$AI$19)&lt;0,1,0),0)+IF(AND(OR(Settings!$B$32="Card",Settings!$B$32="Loan"),AND('Month-End'!$AI$20&lt;&gt;"",NOT(_xlfn.ISFORMULA('Month-End'!$AI$20)))),IF(N('Month-End'!$AI$20)&lt;0,1,0),0)</f>
        <v/>
      </c>
      <c r="DX38">
        <f>IF(Settings!$B$36="Retirement",$AY38,0)+IF(Settings!$B$37="Retirement",$AZ38,0)+IF(Settings!$B$38="Retirement",$BA38,0)+IF(Settings!$B$39="Retirement",$BB38,0)+IF(Settings!$B$40="Retirement",$BC38,0)+IF(Settings!$B$41="Retirement",$BD38,0)</f>
        <v/>
      </c>
      <c r="EA38" t="inlineStr">
        <is>
          <t>Net worth change vs previous</t>
        </is>
      </c>
      <c r="EB38">
        <f>IF(EB5=0,"",N(INDEX($DJ:$DJ,EB5))-IF(EB37=0,EB36,N(INDEX($DJ:$DJ,EB37))))</f>
        <v/>
      </c>
      <c r="ET38">
        <f>IF($E38&lt;&gt;"open",0,IF(AND('Month-End'!$AI$22&lt;&gt;"",NOT(_xlfn.ISFORMULA('Month-End'!$AI$22))),0,IF(OR(Settings!$C$45="",Settings!$D$45=""),0,Settings!$C$45*IF(Settings!$D$45="Weekly",IF(IFERROR(MATCH(Settings!$E$45,$EO$4:$EO$10,0),0)=0,0,IF(MIN(Settings!$B$5,IF(Settings!$G$45="",Settings!$B$5,Settings!$G$45))&lt;MAX($A38,Settings!$F$45),0,INT((MIN(Settings!$B$5,IF(Settings!$G$45="",Settings!$B$5,Settings!$G$45))-MAX($A38,Settings!$F$45)-MOD(IFERROR(MATCH(Settings!$E$45,$EO$4:$EO$10,0),0)-WEEKDAY(MAX($A38,Settings!$F$45)),7))/7)+1)),IF(AND(IF(Settings!$E$45="",$B38,DATE(YEAR($A38),MONTH($A38),MIN(Settings!$E$45,DAY($B38))))&gt;=MAX($A38,Settings!$F$45),IF(Settings!$E$45="",$B38,DATE(YEAR($A38),MONTH($A38),MIN(Settings!$E$45,DAY($B38))))&lt;=MIN(Settings!$B$5,IF(Settings!$G$45="",Settings!$B$5,Settings!$G$45))),1,0)))))</f>
        <v/>
      </c>
      <c r="EU38">
        <f>IF($E38&lt;&gt;"open",0,IF(AND('Month-End'!$AI$23&lt;&gt;"",NOT(_xlfn.ISFORMULA('Month-End'!$AI$23))),0,IF(OR(Settings!$C$46="",Settings!$D$46=""),0,Settings!$C$46*IF(Settings!$D$46="Weekly",IF(IFERROR(MATCH(Settings!$E$46,$EO$4:$EO$10,0),0)=0,0,IF(MIN(Settings!$B$5,IF(Settings!$G$46="",Settings!$B$5,Settings!$G$46))&lt;MAX($A38,Settings!$F$46),0,INT((MIN(Settings!$B$5,IF(Settings!$G$46="",Settings!$B$5,Settings!$G$46))-MAX($A38,Settings!$F$46)-MOD(IFERROR(MATCH(Settings!$E$46,$EO$4:$EO$10,0),0)-WEEKDAY(MAX($A38,Settings!$F$46)),7))/7)+1)),IF(AND(IF(Settings!$E$46="",$B38,DATE(YEAR($A38),MONTH($A38),MIN(Settings!$E$46,DAY($B38))))&gt;=MAX($A38,Settings!$F$46),IF(Settings!$E$46="",$B38,DATE(YEAR($A38),MONTH($A38),MIN(Settings!$E$46,DAY($B38))))&lt;=MIN(Settings!$B$5,IF(Settings!$G$46="",Settings!$B$5,Settings!$G$46))),1,0)))))</f>
        <v/>
      </c>
      <c r="EV38">
        <f>IF($E38&lt;&gt;"open",0,IF(AND('Month-End'!$AI$24&lt;&gt;"",NOT(_xlfn.ISFORMULA('Month-End'!$AI$24))),0,IF(OR(Settings!$C$47="",Settings!$D$47=""),0,Settings!$C$47*IF(Settings!$D$47="Weekly",IF(IFERROR(MATCH(Settings!$E$47,$EO$4:$EO$10,0),0)=0,0,IF(MIN(Settings!$B$5,IF(Settings!$G$47="",Settings!$B$5,Settings!$G$47))&lt;MAX($A38,Settings!$F$47),0,INT((MIN(Settings!$B$5,IF(Settings!$G$47="",Settings!$B$5,Settings!$G$47))-MAX($A38,Settings!$F$47)-MOD(IFERROR(MATCH(Settings!$E$47,$EO$4:$EO$10,0),0)-WEEKDAY(MAX($A38,Settings!$F$47)),7))/7)+1)),IF(AND(IF(Settings!$E$47="",$B38,DATE(YEAR($A38),MONTH($A38),MIN(Settings!$E$47,DAY($B38))))&gt;=MAX($A38,Settings!$F$47),IF(Settings!$E$47="",$B38,DATE(YEAR($A38),MONTH($A38),MIN(Settings!$E$47,DAY($B38))))&lt;=MIN(Settings!$B$5,IF(Settings!$G$47="",Settings!$B$5,Settings!$G$47))),1,0)))))</f>
        <v/>
      </c>
      <c r="EW38">
        <f>IF($E38&lt;&gt;"open",0,IF(AND('Month-End'!$AI$25&lt;&gt;"",NOT(_xlfn.ISFORMULA('Month-End'!$AI$25))),0,IF(OR(Settings!$C$48="",Settings!$D$48=""),0,Settings!$C$48*IF(Settings!$D$48="Weekly",IF(IFERROR(MATCH(Settings!$E$48,$EO$4:$EO$10,0),0)=0,0,IF(MIN(Settings!$B$5,IF(Settings!$G$48="",Settings!$B$5,Settings!$G$48))&lt;MAX($A38,Settings!$F$48),0,INT((MIN(Settings!$B$5,IF(Settings!$G$48="",Settings!$B$5,Settings!$G$48))-MAX($A38,Settings!$F$48)-MOD(IFERROR(MATCH(Settings!$E$48,$EO$4:$EO$10,0),0)-WEEKDAY(MAX($A38,Settings!$F$48)),7))/7)+1)),IF(AND(IF(Settings!$E$48="",$B38,DATE(YEAR($A38),MONTH($A38),MIN(Settings!$E$48,DAY($B38))))&gt;=MAX($A38,Settings!$F$48),IF(Settings!$E$48="",$B38,DATE(YEAR($A38),MONTH($A38),MIN(Settings!$E$48,DAY($B38))))&lt;=MIN(Settings!$B$5,IF(Settings!$G$48="",Settings!$B$5,Settings!$G$48))),1,0)))))</f>
        <v/>
      </c>
      <c r="EX38">
        <f>IF($E38&lt;&gt;"open",0,IF(AND('Month-End'!$AI$26&lt;&gt;"",NOT(_xlfn.ISFORMULA('Month-End'!$AI$26))),0,IF(OR(Settings!$C$49="",Settings!$D$49=""),0,Settings!$C$49*IF(Settings!$D$49="Weekly",IF(IFERROR(MATCH(Settings!$E$49,$EO$4:$EO$10,0),0)=0,0,IF(MIN(Settings!$B$5,IF(Settings!$G$49="",Settings!$B$5,Settings!$G$49))&lt;MAX($A38,Settings!$F$49),0,INT((MIN(Settings!$B$5,IF(Settings!$G$49="",Settings!$B$5,Settings!$G$49))-MAX($A38,Settings!$F$49)-MOD(IFERROR(MATCH(Settings!$E$49,$EO$4:$EO$10,0),0)-WEEKDAY(MAX($A38,Settings!$F$49)),7))/7)+1)),IF(AND(IF(Settings!$E$49="",$B38,DATE(YEAR($A38),MONTH($A38),MIN(Settings!$E$49,DAY($B38))))&gt;=MAX($A38,Settings!$F$49),IF(Settings!$E$49="",$B38,DATE(YEAR($A38),MONTH($A38),MIN(Settings!$E$49,DAY($B38))))&lt;=MIN(Settings!$B$5,IF(Settings!$G$49="",Settings!$B$5,Settings!$G$49))),1,0)))))</f>
        <v/>
      </c>
      <c r="EY38">
        <f>IF($E38&lt;&gt;"open",0,IF(AND('Month-End'!$AI$27&lt;&gt;"",NOT(_xlfn.ISFORMULA('Month-End'!$AI$27))),0,IF(OR(Settings!$C$50="",Settings!$D$50=""),0,Settings!$C$50*IF(Settings!$D$50="Weekly",IF(IFERROR(MATCH(Settings!$E$50,$EO$4:$EO$10,0),0)=0,0,IF(MIN(Settings!$B$5,IF(Settings!$G$50="",Settings!$B$5,Settings!$G$50))&lt;MAX($A38,Settings!$F$50),0,INT((MIN(Settings!$B$5,IF(Settings!$G$50="",Settings!$B$5,Settings!$G$50))-MAX($A38,Settings!$F$50)-MOD(IFERROR(MATCH(Settings!$E$50,$EO$4:$EO$10,0),0)-WEEKDAY(MAX($A38,Settings!$F$50)),7))/7)+1)),IF(AND(IF(Settings!$E$50="",$B38,DATE(YEAR($A38),MONTH($A38),MIN(Settings!$E$50,DAY($B38))))&gt;=MAX($A38,Settings!$F$50),IF(Settings!$E$50="",$B38,DATE(YEAR($A38),MONTH($A38),MIN(Settings!$E$50,DAY($B38))))&lt;=MIN(Settings!$B$5,IF(Settings!$G$50="",Settings!$B$5,Settings!$G$50))),1,0)))))</f>
        <v/>
      </c>
      <c r="EZ38">
        <f>IF($E38&lt;&gt;"open",0,IF(AND('Month-End'!$AI$28&lt;&gt;"",NOT(_xlfn.ISFORMULA('Month-End'!$AI$28))),0,IF(OR(Settings!$C$51="",Settings!$D$51=""),0,Settings!$C$51*IF(Settings!$D$51="Weekly",IF(IFERROR(MATCH(Settings!$E$51,$EO$4:$EO$10,0),0)=0,0,IF(MIN(Settings!$B$5,IF(Settings!$G$51="",Settings!$B$5,Settings!$G$51))&lt;MAX($A38,Settings!$F$51),0,INT((MIN(Settings!$B$5,IF(Settings!$G$51="",Settings!$B$5,Settings!$G$51))-MAX($A38,Settings!$F$51)-MOD(IFERROR(MATCH(Settings!$E$51,$EO$4:$EO$10,0),0)-WEEKDAY(MAX($A38,Settings!$F$51)),7))/7)+1)),IF(AND(IF(Settings!$E$51="",$B38,DATE(YEAR($A38),MONTH($A38),MIN(Settings!$E$51,DAY($B38))))&gt;=MAX($A38,Settings!$F$51),IF(Settings!$E$51="",$B38,DATE(YEAR($A38),MONTH($A38),MIN(Settings!$E$51,DAY($B38))))&lt;=MIN(Settings!$B$5,IF(Settings!$G$51="",Settings!$B$5,Settings!$G$51))),1,0)))))</f>
        <v/>
      </c>
      <c r="FA38">
        <f>IF($E38&lt;&gt;"open",0,IF(AND('Month-End'!$AI$29&lt;&gt;"",NOT(_xlfn.ISFORMULA('Month-End'!$AI$29))),0,IF(OR(Settings!$C$52="",Settings!$D$52=""),0,Settings!$C$52*IF(Settings!$D$52="Weekly",IF(IFERROR(MATCH(Settings!$E$52,$EO$4:$EO$10,0),0)=0,0,IF(MIN(Settings!$B$5,IF(Settings!$G$52="",Settings!$B$5,Settings!$G$52))&lt;MAX($A38,Settings!$F$52),0,INT((MIN(Settings!$B$5,IF(Settings!$G$52="",Settings!$B$5,Settings!$G$52))-MAX($A38,Settings!$F$52)-MOD(IFERROR(MATCH(Settings!$E$52,$EO$4:$EO$10,0),0)-WEEKDAY(MAX($A38,Settings!$F$52)),7))/7)+1)),IF(AND(IF(Settings!$E$52="",$B38,DATE(YEAR($A38),MONTH($A38),MIN(Settings!$E$52,DAY($B38))))&gt;=MAX($A38,Settings!$F$52),IF(Settings!$E$52="",$B38,DATE(YEAR($A38),MONTH($A38),MIN(Settings!$E$52,DAY($B38))))&lt;=MIN(Settings!$B$5,IF(Settings!$G$52="",Settings!$B$5,Settings!$G$52))),1,0)))))</f>
        <v/>
      </c>
      <c r="FB38">
        <f>IF($E38&lt;&gt;"open",0,IF(AND('Month-End'!$AI$30&lt;&gt;"",NOT(_xlfn.ISFORMULA('Month-End'!$AI$30))),0,IF(OR(Settings!$C$53="",Settings!$D$53=""),0,Settings!$C$53*IF(Settings!$D$53="Weekly",IF(IFERROR(MATCH(Settings!$E$53,$EO$4:$EO$10,0),0)=0,0,IF(MIN(Settings!$B$5,IF(Settings!$G$53="",Settings!$B$5,Settings!$G$53))&lt;MAX($A38,Settings!$F$53),0,INT((MIN(Settings!$B$5,IF(Settings!$G$53="",Settings!$B$5,Settings!$G$53))-MAX($A38,Settings!$F$53)-MOD(IFERROR(MATCH(Settings!$E$53,$EO$4:$EO$10,0),0)-WEEKDAY(MAX($A38,Settings!$F$53)),7))/7)+1)),IF(AND(IF(Settings!$E$53="",$B38,DATE(YEAR($A38),MONTH($A38),MIN(Settings!$E$53,DAY($B38))))&gt;=MAX($A38,Settings!$F$53),IF(Settings!$E$53="",$B38,DATE(YEAR($A38),MONTH($A38),MIN(Settings!$E$53,DAY($B38))))&lt;=MIN(Settings!$B$5,IF(Settings!$G$53="",Settings!$B$5,Settings!$G$53))),1,0)))))</f>
        <v/>
      </c>
      <c r="FC38">
        <f>IF($E38&lt;&gt;"open",0,IF(AND('Month-End'!$AI$31&lt;&gt;"",NOT(_xlfn.ISFORMULA('Month-End'!$AI$31))),0,IF(OR(Settings!$C$54="",Settings!$D$54=""),0,Settings!$C$54*IF(Settings!$D$54="Weekly",IF(IFERROR(MATCH(Settings!$E$54,$EO$4:$EO$10,0),0)=0,0,IF(MIN(Settings!$B$5,IF(Settings!$G$54="",Settings!$B$5,Settings!$G$54))&lt;MAX($A38,Settings!$F$54),0,INT((MIN(Settings!$B$5,IF(Settings!$G$54="",Settings!$B$5,Settings!$G$54))-MAX($A38,Settings!$F$54)-MOD(IFERROR(MATCH(Settings!$E$54,$EO$4:$EO$10,0),0)-WEEKDAY(MAX($A38,Settings!$F$54)),7))/7)+1)),IF(AND(IF(Settings!$E$54="",$B38,DATE(YEAR($A38),MONTH($A38),MIN(Settings!$E$54,DAY($B38))))&gt;=MAX($A38,Settings!$F$54),IF(Settings!$E$54="",$B38,DATE(YEAR($A38),MONTH($A38),MIN(Settings!$E$54,DAY($B38))))&lt;=MIN(Settings!$B$5,IF(Settings!$G$54="",Settings!$B$5,Settings!$G$54))),1,0)))))</f>
        <v/>
      </c>
      <c r="FD38">
        <f>IF($E38&lt;&gt;"open",0,IF(AND('Month-End'!$AI$32&lt;&gt;"",NOT(_xlfn.ISFORMULA('Month-End'!$AI$32))),0,IF(OR(Settings!$C$55="",Settings!$D$55=""),0,Settings!$C$55*IF(Settings!$D$55="Weekly",IF(IFERROR(MATCH(Settings!$E$55,$EO$4:$EO$10,0),0)=0,0,IF(MIN(Settings!$B$5,IF(Settings!$G$55="",Settings!$B$5,Settings!$G$55))&lt;MAX($A38,Settings!$F$55),0,INT((MIN(Settings!$B$5,IF(Settings!$G$55="",Settings!$B$5,Settings!$G$55))-MAX($A38,Settings!$F$55)-MOD(IFERROR(MATCH(Settings!$E$55,$EO$4:$EO$10,0),0)-WEEKDAY(MAX($A38,Settings!$F$55)),7))/7)+1)),IF(AND(IF(Settings!$E$55="",$B38,DATE(YEAR($A38),MONTH($A38),MIN(Settings!$E$55,DAY($B38))))&gt;=MAX($A38,Settings!$F$55),IF(Settings!$E$55="",$B38,DATE(YEAR($A38),MONTH($A38),MIN(Settings!$E$55,DAY($B38))))&lt;=MIN(Settings!$B$5,IF(Settings!$G$55="",Settings!$B$5,Settings!$G$55))),1,0)))))</f>
        <v/>
      </c>
      <c r="FE38">
        <f>IF($E38&lt;&gt;"open",0,IF(AND('Month-End'!$AI$33&lt;&gt;"",NOT(_xlfn.ISFORMULA('Month-End'!$AI$33))),0,IF(OR(Settings!$C$56="",Settings!$D$56=""),0,Settings!$C$56*IF(Settings!$D$56="Weekly",IF(IFERROR(MATCH(Settings!$E$56,$EO$4:$EO$10,0),0)=0,0,IF(MIN(Settings!$B$5,IF(Settings!$G$56="",Settings!$B$5,Settings!$G$56))&lt;MAX($A38,Settings!$F$56),0,INT((MIN(Settings!$B$5,IF(Settings!$G$56="",Settings!$B$5,Settings!$G$56))-MAX($A38,Settings!$F$56)-MOD(IFERROR(MATCH(Settings!$E$56,$EO$4:$EO$10,0),0)-WEEKDAY(MAX($A38,Settings!$F$56)),7))/7)+1)),IF(AND(IF(Settings!$E$56="",$B38,DATE(YEAR($A38),MONTH($A38),MIN(Settings!$E$56,DAY($B38))))&gt;=MAX($A38,Settings!$F$56),IF(Settings!$E$56="",$B38,DATE(YEAR($A38),MONTH($A38),MIN(Settings!$E$56,DAY($B38))))&lt;=MIN(Settings!$B$5,IF(Settings!$G$56="",Settings!$B$5,Settings!$G$56))),1,0)))))</f>
        <v/>
      </c>
      <c r="FF38">
        <f>IF(Settings!$I$45="Yes",$G38,0)+IF(Settings!$I$46="Yes",$H38,0)+IF(Settings!$I$47="Yes",$I38,0)+IF(Settings!$I$48="Yes",$J38,0)+IF(Settings!$I$49="Yes",$K38,0)+IF(Settings!$I$50="Yes",$L38,0)+IF(Settings!$I$51="Yes",$M38,0)+IF(Settings!$I$52="Yes",$N38,0)+IF(Settings!$I$53="Yes",$O38,0)+IF(Settings!$I$54="Yes",$P38,0)+IF(Settings!$I$55="Yes",$Q38,0)+IF(Settings!$I$56="Yes",$R38,0)</f>
        <v/>
      </c>
      <c r="FG38">
        <f>IF(AND(Settings!$I$45="Yes",Settings!$J$45="No"),$G38,0)+IF(AND(Settings!$I$46="Yes",Settings!$J$46="No"),$H38,0)+IF(AND(Settings!$I$47="Yes",Settings!$J$47="No"),$I38,0)+IF(AND(Settings!$I$48="Yes",Settings!$J$48="No"),$J38,0)+IF(AND(Settings!$I$49="Yes",Settings!$J$49="No"),$K38,0)+IF(AND(Settings!$I$50="Yes",Settings!$J$50="No"),$L38,0)+IF(AND(Settings!$I$51="Yes",Settings!$J$51="No"),$M38,0)+IF(AND(Settings!$I$52="Yes",Settings!$J$52="No"),$N38,0)+IF(AND(Settings!$I$53="Yes",Settings!$J$53="No"),$O38,0)+IF(AND(Settings!$I$54="Yes",Settings!$J$54="No"),$P38,0)+IF(AND(Settings!$I$55="Yes",Settings!$J$55="No"),$Q38,0)+IF(AND(Settings!$I$56="Yes",Settings!$J$56="No"),$R38,0)</f>
        <v/>
      </c>
      <c r="FH38">
        <f>SUMIFS(Giving!$B$7:$B$2006,Giving!$A$7:$A$2006,"&gt;="&amp;$A38,Giving!$A$7:$A$2006,"&lt;="&amp;$B38,Giving!$G$7:$G$2006,"Yes")+IF(OR(OR(Settings!$B$60="",Settings!$F$60="No"),Settings!$H$60&lt;&gt;"Yes"),0,Settings!$B$60*IF(AND(IF(Settings!$C$60="",$B38,DATE(YEAR($A38),MONTH($A38),MIN(Settings!$C$60,DAY($B38))))&gt;=MAX($A38,Settings!$D$60),IF(Settings!$C$60="",$B38,DATE(YEAR($A38),MONTH($A38),MIN(Settings!$C$60,DAY($B38))))&lt;=MIN($C38,IF(Settings!$E$60="",$C38,Settings!$E$60))),1,0))+IF(OR(OR(Settings!$B$61="",Settings!$F$61="No"),Settings!$H$61&lt;&gt;"Yes"),0,Settings!$B$61*IF(AND(IF(Settings!$C$61="",$B38,DATE(YEAR($A38),MONTH($A38),MIN(Settings!$C$61,DAY($B38))))&gt;=MAX($A38,Settings!$D$61),IF(Settings!$C$61="",$B38,DATE(YEAR($A38),MONTH($A38),MIN(Settings!$C$61,DAY($B38))))&lt;=MIN($C38,IF(Settings!$E$61="",$C38,Settings!$E$61))),1,0))+IF(OR(OR(Settings!$B$62="",Settings!$F$62="No"),Settings!$H$62&lt;&gt;"Yes"),0,Settings!$B$62*IF(AND(IF(Settings!$C$62="",$B38,DATE(YEAR($A38),MONTH($A38),MIN(Settings!$C$62,DAY($B38))))&gt;=MAX($A38,Settings!$D$62),IF(Settings!$C$62="",$B38,DATE(YEAR($A38),MONTH($A38),MIN(Settings!$C$62,DAY($B38))))&lt;=MIN($C38,IF(Settings!$E$62="",$C38,Settings!$E$62))),1,0))+IF(OR(OR(Settings!$B$63="",Settings!$F$63="No"),Settings!$H$63&lt;&gt;"Yes"),0,Settings!$B$63*IF(AND(IF(Settings!$C$63="",$B38,DATE(YEAR($A38),MONTH($A38),MIN(Settings!$C$63,DAY($B38))))&gt;=MAX($A38,Settings!$D$63),IF(Settings!$C$63="",$B38,DATE(YEAR($A38),MONTH($A38),MIN(Settings!$C$63,DAY($B38))))&lt;=MIN($C38,IF(Settings!$E$63="",$C38,Settings!$E$63))),1,0))+IF(OR(OR(Settings!$B$64="",Settings!$F$64="No"),Settings!$H$64&lt;&gt;"Yes"),0,Settings!$B$64*IF(AND(IF(Settings!$C$64="",$B38,DATE(YEAR($A38),MONTH($A38),MIN(Settings!$C$64,DAY($B38))))&gt;=MAX($A38,Settings!$D$64),IF(Settings!$C$64="",$B38,DATE(YEAR($A38),MONTH($A38),MIN(Settings!$C$64,DAY($B38))))&lt;=MIN($C38,IF(Settings!$E$64="",$C38,Settings!$E$64))),1,0))+IF(OR(OR(Settings!$B$65="",Settings!$F$65="No"),Settings!$H$65&lt;&gt;"Yes"),0,Settings!$B$65*IF(AND(IF(Settings!$C$65="",$B38,DATE(YEAR($A38),MONTH($A38),MIN(Settings!$C$65,DAY($B38))))&gt;=MAX($A38,Settings!$D$65),IF(Settings!$C$65="",$B38,DATE(YEAR($A38),MONTH($A38),MIN(Settings!$C$65,DAY($B38))))&lt;=MIN($C38,IF(Settings!$E$65="",$C38,Settings!$E$65))),1,0))</f>
        <v/>
      </c>
      <c r="FI38">
        <f>IF($DT38=1,IF(OR(Settings!$B$19="Card",Settings!$B$19="Loan"),N($AE38),0)+IF(OR(Settings!$B$20="Card",Settings!$B$20="Loan"),N($AF38),0)+IF(OR(Settings!$B$21="Card",Settings!$B$21="Loan"),N($AG38),0)+IF(OR(Settings!$B$22="Card",Settings!$B$22="Loan"),N($AH38),0)+IF(OR(Settings!$B$23="Card",Settings!$B$23="Loan"),N($AI38),0)+IF(OR(Settings!$B$24="Card",Settings!$B$24="Loan"),N($AJ38),0)+IF(OR(Settings!$B$25="Card",Settings!$B$25="Loan"),N($AK38),0)+IF(OR(Settings!$B$26="Card",Settings!$B$26="Loan"),N($AL38),0)+IF(OR(Settings!$B$27="Card",Settings!$B$27="Loan"),N($AM38),0)+IF(OR(Settings!$B$28="Card",Settings!$B$28="Loan"),N($AN38),0)+IF(OR(Settings!$B$29="Card",Settings!$B$29="Loan"),N($AO38),0)+IF(OR(Settings!$B$30="Card",Settings!$B$30="Loan"),N($AP38),0)+IF(OR(Settings!$B$31="Card",Settings!$B$31="Loan"),N($AQ38),0)+IF(OR(Settings!$B$32="Card",Settings!$B$32="Loan"),N($AR38),0),"")</f>
        <v/>
      </c>
      <c r="FJ38">
        <f>IF($E38="open",$EB$65,IF($E38="post",IF($E37="pre",$EB$65,$FI37),""))</f>
        <v/>
      </c>
      <c r="FK38">
        <f>IF(AND($DT38=1,$DC38=1),IF(ROUND($FI38-$FJ38,2)&gt;0,1,0),0)</f>
        <v/>
      </c>
      <c r="FL38">
        <f>IF($FK38=1,$FL37+1,0)</f>
        <v/>
      </c>
    </row>
    <row r="39">
      <c r="A39">
        <f>'Month-End'!$AJ$4</f>
        <v/>
      </c>
      <c r="B39">
        <f>EOMONTH($A39,0)</f>
        <v/>
      </c>
      <c r="C39">
        <f>MIN($B39,TODAY())</f>
        <v/>
      </c>
      <c r="D39">
        <f>IF($A39&gt;TODAY(),1,0)</f>
        <v/>
      </c>
      <c r="E39">
        <f>IF($B39&lt;=Settings!$B$5,"pre",IF($A39&lt;=Settings!$B$5,"open","post"))</f>
        <v/>
      </c>
      <c r="G39">
        <f>IF('Month-End'!$AJ$22="",$BE39,N('Month-End'!$AJ$22))</f>
        <v/>
      </c>
      <c r="H39">
        <f>IF('Month-End'!$AJ$23="",$BF39,N('Month-End'!$AJ$23))</f>
        <v/>
      </c>
      <c r="I39">
        <f>IF('Month-End'!$AJ$24="",$BG39,N('Month-End'!$AJ$24))</f>
        <v/>
      </c>
      <c r="J39">
        <f>IF('Month-End'!$AJ$25="",$BH39,N('Month-End'!$AJ$25))</f>
        <v/>
      </c>
      <c r="K39">
        <f>IF('Month-End'!$AJ$26="",$BI39,N('Month-End'!$AJ$26))</f>
        <v/>
      </c>
      <c r="L39">
        <f>IF('Month-End'!$AJ$27="",$BJ39,N('Month-End'!$AJ$27))</f>
        <v/>
      </c>
      <c r="M39">
        <f>IF('Month-End'!$AJ$28="",$BK39,N('Month-End'!$AJ$28))</f>
        <v/>
      </c>
      <c r="N39">
        <f>IF('Month-End'!$AJ$29="",$BL39,N('Month-End'!$AJ$29))</f>
        <v/>
      </c>
      <c r="O39">
        <f>IF('Month-End'!$AJ$30="",$BM39,N('Month-End'!$AJ$30))</f>
        <v/>
      </c>
      <c r="P39">
        <f>IF('Month-End'!$AJ$31="",$BN39,N('Month-End'!$AJ$31))</f>
        <v/>
      </c>
      <c r="Q39">
        <f>IF('Month-End'!$AJ$32="",$BO39,N('Month-End'!$AJ$32))</f>
        <v/>
      </c>
      <c r="R39">
        <f>IF('Month-End'!$AJ$33="",$BP39,N('Month-End'!$AJ$33))</f>
        <v/>
      </c>
      <c r="S39">
        <f>$G39+$H39+$I39+$J39+$K39+$L39+$M39+$N39+$O39+$P39+$Q39+$R39</f>
        <v/>
      </c>
      <c r="T39">
        <f>IF($B39&lt;Settings!$B$6,0,IF(Settings!$B$45="Yes",$G39,0)+IF(Settings!$B$46="Yes",$H39,0)+IF(Settings!$B$47="Yes",$I39,0)+IF(Settings!$B$48="Yes",$J39,0)+IF(Settings!$B$49="Yes",$K39,0)+IF(Settings!$B$50="Yes",$L39,0)+IF(Settings!$B$51="Yes",$M39,0)+IF(Settings!$B$52="Yes",$N39,0)+IF(Settings!$B$53="Yes",$O39,0)+IF(Settings!$B$54="Yes",$P39,0)+IF(Settings!$B$55="Yes",$Q39,0)+IF(Settings!$B$56="Yes",$R39,0))</f>
        <v/>
      </c>
      <c r="U39">
        <f>IF(Settings!$B$45="Not Sure",$G39,0)+IF(Settings!$B$46="Not Sure",$H39,0)+IF(Settings!$B$47="Not Sure",$I39,0)+IF(Settings!$B$48="Not Sure",$J39,0)+IF(Settings!$B$49="Not Sure",$K39,0)+IF(Settings!$B$50="Not Sure",$L39,0)+IF(Settings!$B$51="Not Sure",$M39,0)+IF(Settings!$B$52="Not Sure",$N39,0)+IF(Settings!$B$53="Not Sure",$O39,0)+IF(Settings!$B$54="Not Sure",$P39,0)+IF(Settings!$B$55="Not Sure",$Q39,0)+IF(Settings!$B$56="Not Sure",$R39,0)</f>
        <v/>
      </c>
      <c r="V39">
        <f>IF($E39="open",SUM($ET39:$FE39)+N(Settings!$B$13),0)</f>
        <v/>
      </c>
      <c r="W39">
        <f>IF($E39="post",$S39,IF($E39="open",$S39-$V39,0))</f>
        <v/>
      </c>
      <c r="X39">
        <f>SUMIFS(Giving!$B$7:$B$2006,Giving!$A$7:$A$2006,"&gt;="&amp;$A39,Giving!$A$7:$A$2006,"&lt;="&amp;$B39,Giving!$E$7:$E$2006,"&lt;&gt;No")</f>
        <v/>
      </c>
      <c r="Y39">
        <f>SUMIFS(Giving!$B$7:$B$2006,Giving!$A$7:$A$2006,"&gt;="&amp;$A39,Giving!$A$7:$A$2006,"&lt;="&amp;$B39,Giving!$E$7:$E$2006,"No")</f>
        <v/>
      </c>
      <c r="Z39">
        <f>IF(OR(Settings!$B$60="",Settings!$F$60="No"),0,Settings!$B$60*IF(AND(IF(Settings!$C$60="",$B39,DATE(YEAR($A39),MONTH($A39),MIN(Settings!$C$60,DAY($B39))))&gt;=MAX($A39,Settings!$D$60),IF(Settings!$C$60="",$B39,DATE(YEAR($A39),MONTH($A39),MIN(Settings!$C$60,DAY($B39))))&lt;=MIN($C39,IF(Settings!$E$60="",$C39,Settings!$E$60))),1,0))+IF(OR(Settings!$B$61="",Settings!$F$61="No"),0,Settings!$B$61*IF(AND(IF(Settings!$C$61="",$B39,DATE(YEAR($A39),MONTH($A39),MIN(Settings!$C$61,DAY($B39))))&gt;=MAX($A39,Settings!$D$61),IF(Settings!$C$61="",$B39,DATE(YEAR($A39),MONTH($A39),MIN(Settings!$C$61,DAY($B39))))&lt;=MIN($C39,IF(Settings!$E$61="",$C39,Settings!$E$61))),1,0))+IF(OR(Settings!$B$62="",Settings!$F$62="No"),0,Settings!$B$62*IF(AND(IF(Settings!$C$62="",$B39,DATE(YEAR($A39),MONTH($A39),MIN(Settings!$C$62,DAY($B39))))&gt;=MAX($A39,Settings!$D$62),IF(Settings!$C$62="",$B39,DATE(YEAR($A39),MONTH($A39),MIN(Settings!$C$62,DAY($B39))))&lt;=MIN($C39,IF(Settings!$E$62="",$C39,Settings!$E$62))),1,0))+IF(OR(Settings!$B$63="",Settings!$F$63="No"),0,Settings!$B$63*IF(AND(IF(Settings!$C$63="",$B39,DATE(YEAR($A39),MONTH($A39),MIN(Settings!$C$63,DAY($B39))))&gt;=MAX($A39,Settings!$D$63),IF(Settings!$C$63="",$B39,DATE(YEAR($A39),MONTH($A39),MIN(Settings!$C$63,DAY($B39))))&lt;=MIN($C39,IF(Settings!$E$63="",$C39,Settings!$E$63))),1,0))+IF(OR(Settings!$B$64="",Settings!$F$64="No"),0,Settings!$B$64*IF(AND(IF(Settings!$C$64="",$B39,DATE(YEAR($A39),MONTH($A39),MIN(Settings!$C$64,DAY($B39))))&gt;=MAX($A39,Settings!$D$64),IF(Settings!$C$64="",$B39,DATE(YEAR($A39),MONTH($A39),MIN(Settings!$C$64,DAY($B39))))&lt;=MIN($C39,IF(Settings!$E$64="",$C39,Settings!$E$64))),1,0))+IF(OR(Settings!$B$65="",Settings!$F$65="No"),0,Settings!$B$65*IF(AND(IF(Settings!$C$65="",$B39,DATE(YEAR($A39),MONTH($A39),MIN(Settings!$C$65,DAY($B39))))&gt;=MAX($A39,Settings!$D$65),IF(Settings!$C$65="",$B39,DATE(YEAR($A39),MONTH($A39),MIN(Settings!$C$65,DAY($B39))))&lt;=MIN($C39,IF(Settings!$E$65="",$C39,Settings!$E$65))),1,0))</f>
        <v/>
      </c>
      <c r="AA39">
        <f>$X39+$Z39</f>
        <v/>
      </c>
      <c r="AB39">
        <f>IF($E39="post",$AA39,IF($E39="open",SUMIFS(Giving!$B$7:$B$2006,Giving!$A$7:$A$2006,"&gt;"&amp;Settings!$B$5,Giving!$A$7:$A$2006,"&lt;="&amp;$B39,Giving!$E$7:$E$2006,"&lt;&gt;No")+IF(OR(Settings!$B$60="",Settings!$F$60="No"),0,Settings!$B$60*IF(AND(IF(Settings!$C$60="",$B39,DATE(YEAR($A39),MONTH($A39),MIN(Settings!$C$60,DAY($B39))))&gt;=MAX($A39,Settings!$D$60,Settings!$B$5+1),IF(Settings!$C$60="",$B39,DATE(YEAR($A39),MONTH($A39),MIN(Settings!$C$60,DAY($B39))))&lt;=MIN($C39,IF(Settings!$E$60="",$C39,Settings!$E$60))),1,0))+IF(OR(Settings!$B$61="",Settings!$F$61="No"),0,Settings!$B$61*IF(AND(IF(Settings!$C$61="",$B39,DATE(YEAR($A39),MONTH($A39),MIN(Settings!$C$61,DAY($B39))))&gt;=MAX($A39,Settings!$D$61,Settings!$B$5+1),IF(Settings!$C$61="",$B39,DATE(YEAR($A39),MONTH($A39),MIN(Settings!$C$61,DAY($B39))))&lt;=MIN($C39,IF(Settings!$E$61="",$C39,Settings!$E$61))),1,0))+IF(OR(Settings!$B$62="",Settings!$F$62="No"),0,Settings!$B$62*IF(AND(IF(Settings!$C$62="",$B39,DATE(YEAR($A39),MONTH($A39),MIN(Settings!$C$62,DAY($B39))))&gt;=MAX($A39,Settings!$D$62,Settings!$B$5+1),IF(Settings!$C$62="",$B39,DATE(YEAR($A39),MONTH($A39),MIN(Settings!$C$62,DAY($B39))))&lt;=MIN($C39,IF(Settings!$E$62="",$C39,Settings!$E$62))),1,0))+IF(OR(Settings!$B$63="",Settings!$F$63="No"),0,Settings!$B$63*IF(AND(IF(Settings!$C$63="",$B39,DATE(YEAR($A39),MONTH($A39),MIN(Settings!$C$63,DAY($B39))))&gt;=MAX($A39,Settings!$D$63,Settings!$B$5+1),IF(Settings!$C$63="",$B39,DATE(YEAR($A39),MONTH($A39),MIN(Settings!$C$63,DAY($B39))))&lt;=MIN($C39,IF(Settings!$E$63="",$C39,Settings!$E$63))),1,0))+IF(OR(Settings!$B$64="",Settings!$F$64="No"),0,Settings!$B$64*IF(AND(IF(Settings!$C$64="",$B39,DATE(YEAR($A39),MONTH($A39),MIN(Settings!$C$64,DAY($B39))))&gt;=MAX($A39,Settings!$D$64,Settings!$B$5+1),IF(Settings!$C$64="",$B39,DATE(YEAR($A39),MONTH($A39),MIN(Settings!$C$64,DAY($B39))))&lt;=MIN($C39,IF(Settings!$E$64="",$C39,Settings!$E$64))),1,0))+IF(OR(Settings!$B$65="",Settings!$F$65="No"),0,Settings!$B$65*IF(AND(IF(Settings!$C$65="",$B39,DATE(YEAR($A39),MONTH($A39),MIN(Settings!$C$65,DAY($B39))))&gt;=MAX($A39,Settings!$D$65,Settings!$B$5+1),IF(Settings!$C$65="",$B39,DATE(YEAR($A39),MONTH($A39),MIN(Settings!$C$65,DAY($B39))))&lt;=MIN($C39,IF(Settings!$E$65="",$C39,Settings!$E$65))),1,0)),0))</f>
        <v/>
      </c>
      <c r="AC39">
        <f>$AY39+$AZ39+$BA39+$BB39+$BC39+$BD39</f>
        <v/>
      </c>
      <c r="AD39">
        <f>$AC39</f>
        <v/>
      </c>
      <c r="AE39">
        <f>IF(OR(Settings!$A$19="",$E39="pre"),"",IF(AND('Month-End'!$AJ$7&lt;&gt;"",NOT(_xlfn.ISFORMULA('Month-End'!$AJ$7))),N('Month-End'!$AJ$7),IF(OR($E39="open",$E38="pre"),N(Settings!$C$19),N($AE38))))</f>
        <v/>
      </c>
      <c r="AF39">
        <f>IF(OR(Settings!$A$20="",$E39="pre"),"",IF(AND('Month-End'!$AJ$8&lt;&gt;"",NOT(_xlfn.ISFORMULA('Month-End'!$AJ$8))),N('Month-End'!$AJ$8),IF(OR($E39="open",$E38="pre"),N(Settings!$C$20),N($AF38))))</f>
        <v/>
      </c>
      <c r="AG39">
        <f>IF(OR(Settings!$A$21="",$E39="pre"),"",IF(AND('Month-End'!$AJ$9&lt;&gt;"",NOT(_xlfn.ISFORMULA('Month-End'!$AJ$9))),N('Month-End'!$AJ$9),IF(OR($E39="open",$E38="pre"),N(Settings!$C$21),N($AG38))))</f>
        <v/>
      </c>
      <c r="AH39">
        <f>IF(OR(Settings!$A$22="",$E39="pre"),"",IF(AND('Month-End'!$AJ$10&lt;&gt;"",NOT(_xlfn.ISFORMULA('Month-End'!$AJ$10))),N('Month-End'!$AJ$10),IF(OR($E39="open",$E38="pre"),N(Settings!$C$22),N($AH38))))</f>
        <v/>
      </c>
      <c r="AI39">
        <f>IF(OR(Settings!$A$23="",$E39="pre"),"",IF(AND('Month-End'!$AJ$11&lt;&gt;"",NOT(_xlfn.ISFORMULA('Month-End'!$AJ$11))),N('Month-End'!$AJ$11),IF(OR($E39="open",$E38="pre"),N(Settings!$C$23),N($AI38))))</f>
        <v/>
      </c>
      <c r="AJ39">
        <f>IF(OR(Settings!$A$24="",$E39="pre"),"",IF(AND('Month-End'!$AJ$12&lt;&gt;"",NOT(_xlfn.ISFORMULA('Month-End'!$AJ$12))),N('Month-End'!$AJ$12),IF(OR($E39="open",$E38="pre"),N(Settings!$C$24),N($AJ38))))</f>
        <v/>
      </c>
      <c r="AK39">
        <f>IF(OR(Settings!$A$25="",$E39="pre"),"",IF(AND('Month-End'!$AJ$13&lt;&gt;"",NOT(_xlfn.ISFORMULA('Month-End'!$AJ$13))),N('Month-End'!$AJ$13),IF(OR($E39="open",$E38="pre"),N(Settings!$C$25),N($AK38))))</f>
        <v/>
      </c>
      <c r="AL39">
        <f>IF(OR(Settings!$A$26="",$E39="pre"),"",IF(AND('Month-End'!$AJ$14&lt;&gt;"",NOT(_xlfn.ISFORMULA('Month-End'!$AJ$14))),N('Month-End'!$AJ$14),IF(OR($E39="open",$E38="pre"),N(Settings!$C$26),N($AL38))))</f>
        <v/>
      </c>
      <c r="AM39">
        <f>IF(OR(Settings!$A$27="",$E39="pre"),"",IF(AND('Month-End'!$AJ$15&lt;&gt;"",NOT(_xlfn.ISFORMULA('Month-End'!$AJ$15))),N('Month-End'!$AJ$15),IF(OR($E39="open",$E38="pre"),N(Settings!$C$27),N($AM38))))</f>
        <v/>
      </c>
      <c r="AN39">
        <f>IF(OR(Settings!$A$28="",$E39="pre"),"",IF(AND('Month-End'!$AJ$16&lt;&gt;"",NOT(_xlfn.ISFORMULA('Month-End'!$AJ$16))),N('Month-End'!$AJ$16),IF(OR($E39="open",$E38="pre"),N(Settings!$C$28),N($AN38))))</f>
        <v/>
      </c>
      <c r="AO39">
        <f>IF(OR(Settings!$A$29="",$E39="pre"),"",IF(AND('Month-End'!$AJ$17&lt;&gt;"",NOT(_xlfn.ISFORMULA('Month-End'!$AJ$17))),N('Month-End'!$AJ$17),IF(OR($E39="open",$E38="pre"),N(Settings!$C$29),N($AO38))))</f>
        <v/>
      </c>
      <c r="AP39">
        <f>IF(OR(Settings!$A$30="",$E39="pre"),"",IF(AND('Month-End'!$AJ$18&lt;&gt;"",NOT(_xlfn.ISFORMULA('Month-End'!$AJ$18))),N('Month-End'!$AJ$18),IF(OR($E39="open",$E38="pre"),N(Settings!$C$30),N($AP38))))</f>
        <v/>
      </c>
      <c r="AQ39">
        <f>IF(OR(Settings!$A$31="",$E39="pre"),"",IF(AND('Month-End'!$AJ$19&lt;&gt;"",NOT(_xlfn.ISFORMULA('Month-End'!$AJ$19))),N('Month-End'!$AJ$19),IF(OR($E39="open",$E38="pre"),N(Settings!$C$31),N($AQ38))))</f>
        <v/>
      </c>
      <c r="AR39">
        <f>IF(OR(Settings!$A$32="",$E39="pre"),"",IF(AND('Month-End'!$AJ$20&lt;&gt;"",NOT(_xlfn.ISFORMULA('Month-End'!$AJ$20))),N('Month-End'!$AJ$20),IF(OR($E39="open",$E38="pre"),N(Settings!$C$32),N($AR38))))</f>
        <v/>
      </c>
      <c r="AS39">
        <f>IF(OR(Settings!$A$36="",$E39="pre"),"",IF(AND('Month-End'!$AJ$38&lt;&gt;"",NOT(_xlfn.ISFORMULA('Month-End'!$AJ$38))),N('Month-End'!$AJ$38),IF(OR($E39="open",$E38="pre"),N(Settings!$C$36),N($AS38))+$AY39))</f>
        <v/>
      </c>
      <c r="AT39">
        <f>IF(OR(Settings!$A$37="",$E39="pre"),"",IF(AND('Month-End'!$AJ$39&lt;&gt;"",NOT(_xlfn.ISFORMULA('Month-End'!$AJ$39))),N('Month-End'!$AJ$39),IF(OR($E39="open",$E38="pre"),N(Settings!$C$37),N($AT38))+$AZ39))</f>
        <v/>
      </c>
      <c r="AU39">
        <f>IF(OR(Settings!$A$38="",$E39="pre"),"",IF(AND('Month-End'!$AJ$40&lt;&gt;"",NOT(_xlfn.ISFORMULA('Month-End'!$AJ$40))),N('Month-End'!$AJ$40),IF(OR($E39="open",$E38="pre"),N(Settings!$C$38),N($AU38))+$BA39))</f>
        <v/>
      </c>
      <c r="AV39">
        <f>IF(OR(Settings!$A$39="",$E39="pre"),"",IF(AND('Month-End'!$AJ$41&lt;&gt;"",NOT(_xlfn.ISFORMULA('Month-End'!$AJ$41))),N('Month-End'!$AJ$41),IF(OR($E39="open",$E38="pre"),N(Settings!$C$39),N($AV38))+$BB39))</f>
        <v/>
      </c>
      <c r="AW39">
        <f>IF(OR(Settings!$A$40="",$E39="pre"),"",IF(AND('Month-End'!$AJ$42&lt;&gt;"",NOT(_xlfn.ISFORMULA('Month-End'!$AJ$42))),N('Month-End'!$AJ$42),IF(OR($E39="open",$E38="pre"),N(Settings!$C$40),N($AW38))+$BC39))</f>
        <v/>
      </c>
      <c r="AX39">
        <f>IF(OR(Settings!$A$41="",$E39="pre"),"",IF(AND('Month-End'!$AJ$43&lt;&gt;"",NOT(_xlfn.ISFORMULA('Month-End'!$AJ$43))),N('Month-End'!$AJ$43),IF(OR($E39="open",$E38="pre"),N(Settings!$C$41),N($AX38))+$BD39))</f>
        <v/>
      </c>
      <c r="AY39">
        <f>IF($E39="pre",0,N('Month-End'!$AJ$45))</f>
        <v/>
      </c>
      <c r="AZ39">
        <f>IF($E39="pre",0,N('Month-End'!$AJ$46))</f>
        <v/>
      </c>
      <c r="BA39">
        <f>IF($E39="pre",0,N('Month-End'!$AJ$47))</f>
        <v/>
      </c>
      <c r="BB39">
        <f>IF($E39="pre",0,N('Month-End'!$AJ$48))</f>
        <v/>
      </c>
      <c r="BC39">
        <f>IF($E39="pre",0,N('Month-End'!$AJ$49))</f>
        <v/>
      </c>
      <c r="BD39">
        <f>IF($E39="pre",0,N('Month-End'!$AJ$50))</f>
        <v/>
      </c>
      <c r="BE39">
        <f>IF(OR(Settings!$C$45="",Settings!$D$45=""),0,Settings!$C$45*IF(Settings!$D$45="Weekly",IF(IFERROR(MATCH(Settings!$E$45,$EO$4:$EO$10,0),0)=0,0,IF(MIN($C39,IF(Settings!$G$45="",$C39,Settings!$G$45))&lt;MAX($A39,Settings!$F$45),0,INT((MIN($C39,IF(Settings!$G$45="",$C39,Settings!$G$45))-MAX($A39,Settings!$F$45)-MOD(IFERROR(MATCH(Settings!$E$45,$EO$4:$EO$10,0),0)-WEEKDAY(MAX($A39,Settings!$F$45)),7))/7)+1)),IF(AND(IF(Settings!$E$45="",$B39,DATE(YEAR($A39),MONTH($A39),MIN(Settings!$E$45,DAY($B39))))&gt;=MAX($A39,Settings!$F$45),IF(Settings!$E$45="",$B39,DATE(YEAR($A39),MONTH($A39),MIN(Settings!$E$45,DAY($B39))))&lt;=MIN($C39,IF(Settings!$G$45="",$C39,Settings!$G$45))),1,0)))</f>
        <v/>
      </c>
      <c r="BF39">
        <f>IF(OR(Settings!$C$46="",Settings!$D$46=""),0,Settings!$C$46*IF(Settings!$D$46="Weekly",IF(IFERROR(MATCH(Settings!$E$46,$EO$4:$EO$10,0),0)=0,0,IF(MIN($C39,IF(Settings!$G$46="",$C39,Settings!$G$46))&lt;MAX($A39,Settings!$F$46),0,INT((MIN($C39,IF(Settings!$G$46="",$C39,Settings!$G$46))-MAX($A39,Settings!$F$46)-MOD(IFERROR(MATCH(Settings!$E$46,$EO$4:$EO$10,0),0)-WEEKDAY(MAX($A39,Settings!$F$46)),7))/7)+1)),IF(AND(IF(Settings!$E$46="",$B39,DATE(YEAR($A39),MONTH($A39),MIN(Settings!$E$46,DAY($B39))))&gt;=MAX($A39,Settings!$F$46),IF(Settings!$E$46="",$B39,DATE(YEAR($A39),MONTH($A39),MIN(Settings!$E$46,DAY($B39))))&lt;=MIN($C39,IF(Settings!$G$46="",$C39,Settings!$G$46))),1,0)))</f>
        <v/>
      </c>
      <c r="BG39">
        <f>IF(OR(Settings!$C$47="",Settings!$D$47=""),0,Settings!$C$47*IF(Settings!$D$47="Weekly",IF(IFERROR(MATCH(Settings!$E$47,$EO$4:$EO$10,0),0)=0,0,IF(MIN($C39,IF(Settings!$G$47="",$C39,Settings!$G$47))&lt;MAX($A39,Settings!$F$47),0,INT((MIN($C39,IF(Settings!$G$47="",$C39,Settings!$G$47))-MAX($A39,Settings!$F$47)-MOD(IFERROR(MATCH(Settings!$E$47,$EO$4:$EO$10,0),0)-WEEKDAY(MAX($A39,Settings!$F$47)),7))/7)+1)),IF(AND(IF(Settings!$E$47="",$B39,DATE(YEAR($A39),MONTH($A39),MIN(Settings!$E$47,DAY($B39))))&gt;=MAX($A39,Settings!$F$47),IF(Settings!$E$47="",$B39,DATE(YEAR($A39),MONTH($A39),MIN(Settings!$E$47,DAY($B39))))&lt;=MIN($C39,IF(Settings!$G$47="",$C39,Settings!$G$47))),1,0)))</f>
        <v/>
      </c>
      <c r="BH39">
        <f>IF(OR(Settings!$C$48="",Settings!$D$48=""),0,Settings!$C$48*IF(Settings!$D$48="Weekly",IF(IFERROR(MATCH(Settings!$E$48,$EO$4:$EO$10,0),0)=0,0,IF(MIN($C39,IF(Settings!$G$48="",$C39,Settings!$G$48))&lt;MAX($A39,Settings!$F$48),0,INT((MIN($C39,IF(Settings!$G$48="",$C39,Settings!$G$48))-MAX($A39,Settings!$F$48)-MOD(IFERROR(MATCH(Settings!$E$48,$EO$4:$EO$10,0),0)-WEEKDAY(MAX($A39,Settings!$F$48)),7))/7)+1)),IF(AND(IF(Settings!$E$48="",$B39,DATE(YEAR($A39),MONTH($A39),MIN(Settings!$E$48,DAY($B39))))&gt;=MAX($A39,Settings!$F$48),IF(Settings!$E$48="",$B39,DATE(YEAR($A39),MONTH($A39),MIN(Settings!$E$48,DAY($B39))))&lt;=MIN($C39,IF(Settings!$G$48="",$C39,Settings!$G$48))),1,0)))</f>
        <v/>
      </c>
      <c r="BI39">
        <f>IF(OR(Settings!$C$49="",Settings!$D$49=""),0,Settings!$C$49*IF(Settings!$D$49="Weekly",IF(IFERROR(MATCH(Settings!$E$49,$EO$4:$EO$10,0),0)=0,0,IF(MIN($C39,IF(Settings!$G$49="",$C39,Settings!$G$49))&lt;MAX($A39,Settings!$F$49),0,INT((MIN($C39,IF(Settings!$G$49="",$C39,Settings!$G$49))-MAX($A39,Settings!$F$49)-MOD(IFERROR(MATCH(Settings!$E$49,$EO$4:$EO$10,0),0)-WEEKDAY(MAX($A39,Settings!$F$49)),7))/7)+1)),IF(AND(IF(Settings!$E$49="",$B39,DATE(YEAR($A39),MONTH($A39),MIN(Settings!$E$49,DAY($B39))))&gt;=MAX($A39,Settings!$F$49),IF(Settings!$E$49="",$B39,DATE(YEAR($A39),MONTH($A39),MIN(Settings!$E$49,DAY($B39))))&lt;=MIN($C39,IF(Settings!$G$49="",$C39,Settings!$G$49))),1,0)))</f>
        <v/>
      </c>
      <c r="BJ39">
        <f>IF(OR(Settings!$C$50="",Settings!$D$50=""),0,Settings!$C$50*IF(Settings!$D$50="Weekly",IF(IFERROR(MATCH(Settings!$E$50,$EO$4:$EO$10,0),0)=0,0,IF(MIN($C39,IF(Settings!$G$50="",$C39,Settings!$G$50))&lt;MAX($A39,Settings!$F$50),0,INT((MIN($C39,IF(Settings!$G$50="",$C39,Settings!$G$50))-MAX($A39,Settings!$F$50)-MOD(IFERROR(MATCH(Settings!$E$50,$EO$4:$EO$10,0),0)-WEEKDAY(MAX($A39,Settings!$F$50)),7))/7)+1)),IF(AND(IF(Settings!$E$50="",$B39,DATE(YEAR($A39),MONTH($A39),MIN(Settings!$E$50,DAY($B39))))&gt;=MAX($A39,Settings!$F$50),IF(Settings!$E$50="",$B39,DATE(YEAR($A39),MONTH($A39),MIN(Settings!$E$50,DAY($B39))))&lt;=MIN($C39,IF(Settings!$G$50="",$C39,Settings!$G$50))),1,0)))</f>
        <v/>
      </c>
      <c r="BK39">
        <f>IF(OR(Settings!$C$51="",Settings!$D$51=""),0,Settings!$C$51*IF(Settings!$D$51="Weekly",IF(IFERROR(MATCH(Settings!$E$51,$EO$4:$EO$10,0),0)=0,0,IF(MIN($C39,IF(Settings!$G$51="",$C39,Settings!$G$51))&lt;MAX($A39,Settings!$F$51),0,INT((MIN($C39,IF(Settings!$G$51="",$C39,Settings!$G$51))-MAX($A39,Settings!$F$51)-MOD(IFERROR(MATCH(Settings!$E$51,$EO$4:$EO$10,0),0)-WEEKDAY(MAX($A39,Settings!$F$51)),7))/7)+1)),IF(AND(IF(Settings!$E$51="",$B39,DATE(YEAR($A39),MONTH($A39),MIN(Settings!$E$51,DAY($B39))))&gt;=MAX($A39,Settings!$F$51),IF(Settings!$E$51="",$B39,DATE(YEAR($A39),MONTH($A39),MIN(Settings!$E$51,DAY($B39))))&lt;=MIN($C39,IF(Settings!$G$51="",$C39,Settings!$G$51))),1,0)))</f>
        <v/>
      </c>
      <c r="BL39">
        <f>IF(OR(Settings!$C$52="",Settings!$D$52=""),0,Settings!$C$52*IF(Settings!$D$52="Weekly",IF(IFERROR(MATCH(Settings!$E$52,$EO$4:$EO$10,0),0)=0,0,IF(MIN($C39,IF(Settings!$G$52="",$C39,Settings!$G$52))&lt;MAX($A39,Settings!$F$52),0,INT((MIN($C39,IF(Settings!$G$52="",$C39,Settings!$G$52))-MAX($A39,Settings!$F$52)-MOD(IFERROR(MATCH(Settings!$E$52,$EO$4:$EO$10,0),0)-WEEKDAY(MAX($A39,Settings!$F$52)),7))/7)+1)),IF(AND(IF(Settings!$E$52="",$B39,DATE(YEAR($A39),MONTH($A39),MIN(Settings!$E$52,DAY($B39))))&gt;=MAX($A39,Settings!$F$52),IF(Settings!$E$52="",$B39,DATE(YEAR($A39),MONTH($A39),MIN(Settings!$E$52,DAY($B39))))&lt;=MIN($C39,IF(Settings!$G$52="",$C39,Settings!$G$52))),1,0)))</f>
        <v/>
      </c>
      <c r="BM39">
        <f>IF(OR(Settings!$C$53="",Settings!$D$53=""),0,Settings!$C$53*IF(Settings!$D$53="Weekly",IF(IFERROR(MATCH(Settings!$E$53,$EO$4:$EO$10,0),0)=0,0,IF(MIN($C39,IF(Settings!$G$53="",$C39,Settings!$G$53))&lt;MAX($A39,Settings!$F$53),0,INT((MIN($C39,IF(Settings!$G$53="",$C39,Settings!$G$53))-MAX($A39,Settings!$F$53)-MOD(IFERROR(MATCH(Settings!$E$53,$EO$4:$EO$10,0),0)-WEEKDAY(MAX($A39,Settings!$F$53)),7))/7)+1)),IF(AND(IF(Settings!$E$53="",$B39,DATE(YEAR($A39),MONTH($A39),MIN(Settings!$E$53,DAY($B39))))&gt;=MAX($A39,Settings!$F$53),IF(Settings!$E$53="",$B39,DATE(YEAR($A39),MONTH($A39),MIN(Settings!$E$53,DAY($B39))))&lt;=MIN($C39,IF(Settings!$G$53="",$C39,Settings!$G$53))),1,0)))</f>
        <v/>
      </c>
      <c r="BN39">
        <f>IF(OR(Settings!$C$54="",Settings!$D$54=""),0,Settings!$C$54*IF(Settings!$D$54="Weekly",IF(IFERROR(MATCH(Settings!$E$54,$EO$4:$EO$10,0),0)=0,0,IF(MIN($C39,IF(Settings!$G$54="",$C39,Settings!$G$54))&lt;MAX($A39,Settings!$F$54),0,INT((MIN($C39,IF(Settings!$G$54="",$C39,Settings!$G$54))-MAX($A39,Settings!$F$54)-MOD(IFERROR(MATCH(Settings!$E$54,$EO$4:$EO$10,0),0)-WEEKDAY(MAX($A39,Settings!$F$54)),7))/7)+1)),IF(AND(IF(Settings!$E$54="",$B39,DATE(YEAR($A39),MONTH($A39),MIN(Settings!$E$54,DAY($B39))))&gt;=MAX($A39,Settings!$F$54),IF(Settings!$E$54="",$B39,DATE(YEAR($A39),MONTH($A39),MIN(Settings!$E$54,DAY($B39))))&lt;=MIN($C39,IF(Settings!$G$54="",$C39,Settings!$G$54))),1,0)))</f>
        <v/>
      </c>
      <c r="BO39">
        <f>IF(OR(Settings!$C$55="",Settings!$D$55=""),0,Settings!$C$55*IF(Settings!$D$55="Weekly",IF(IFERROR(MATCH(Settings!$E$55,$EO$4:$EO$10,0),0)=0,0,IF(MIN($C39,IF(Settings!$G$55="",$C39,Settings!$G$55))&lt;MAX($A39,Settings!$F$55),0,INT((MIN($C39,IF(Settings!$G$55="",$C39,Settings!$G$55))-MAX($A39,Settings!$F$55)-MOD(IFERROR(MATCH(Settings!$E$55,$EO$4:$EO$10,0),0)-WEEKDAY(MAX($A39,Settings!$F$55)),7))/7)+1)),IF(AND(IF(Settings!$E$55="",$B39,DATE(YEAR($A39),MONTH($A39),MIN(Settings!$E$55,DAY($B39))))&gt;=MAX($A39,Settings!$F$55),IF(Settings!$E$55="",$B39,DATE(YEAR($A39),MONTH($A39),MIN(Settings!$E$55,DAY($B39))))&lt;=MIN($C39,IF(Settings!$G$55="",$C39,Settings!$G$55))),1,0)))</f>
        <v/>
      </c>
      <c r="BP39">
        <f>IF(OR(Settings!$C$56="",Settings!$D$56=""),0,Settings!$C$56*IF(Settings!$D$56="Weekly",IF(IFERROR(MATCH(Settings!$E$56,$EO$4:$EO$10,0),0)=0,0,IF(MIN($C39,IF(Settings!$G$56="",$C39,Settings!$G$56))&lt;MAX($A39,Settings!$F$56),0,INT((MIN($C39,IF(Settings!$G$56="",$C39,Settings!$G$56))-MAX($A39,Settings!$F$56)-MOD(IFERROR(MATCH(Settings!$E$56,$EO$4:$EO$10,0),0)-WEEKDAY(MAX($A39,Settings!$F$56)),7))/7)+1)),IF(AND(IF(Settings!$E$56="",$B39,DATE(YEAR($A39),MONTH($A39),MIN(Settings!$E$56,DAY($B39))))&gt;=MAX($A39,Settings!$F$56),IF(Settings!$E$56="",$B39,DATE(YEAR($A39),MONTH($A39),MIN(Settings!$E$56,DAY($B39))))&lt;=MIN($C39,IF(Settings!$G$56="",$C39,Settings!$G$56))),1,0)))</f>
        <v/>
      </c>
      <c r="BQ39">
        <f>IF(OR(Settings!$B$14="",$D39=1,$E39="pre",$A39&lt;IF(Settings!$B$15="",0,Settings!$B$15)),0,Settings!$B$14)</f>
        <v/>
      </c>
      <c r="BR39">
        <f>IF(AND('Month-End'!$AJ$7&lt;&gt;"",NOT(_xlfn.ISFORMULA('Month-End'!$AJ$7))),1,0)</f>
        <v/>
      </c>
      <c r="BS39">
        <f>IF(AND('Month-End'!$AJ$8&lt;&gt;"",NOT(_xlfn.ISFORMULA('Month-End'!$AJ$8))),1,0)</f>
        <v/>
      </c>
      <c r="BT39">
        <f>IF(AND('Month-End'!$AJ$9&lt;&gt;"",NOT(_xlfn.ISFORMULA('Month-End'!$AJ$9))),1,0)</f>
        <v/>
      </c>
      <c r="BU39">
        <f>IF(AND('Month-End'!$AJ$10&lt;&gt;"",NOT(_xlfn.ISFORMULA('Month-End'!$AJ$10))),1,0)</f>
        <v/>
      </c>
      <c r="BV39">
        <f>IF(AND('Month-End'!$AJ$11&lt;&gt;"",NOT(_xlfn.ISFORMULA('Month-End'!$AJ$11))),1,0)</f>
        <v/>
      </c>
      <c r="BW39">
        <f>IF(AND('Month-End'!$AJ$12&lt;&gt;"",NOT(_xlfn.ISFORMULA('Month-End'!$AJ$12))),1,0)</f>
        <v/>
      </c>
      <c r="BX39">
        <f>IF(AND('Month-End'!$AJ$13&lt;&gt;"",NOT(_xlfn.ISFORMULA('Month-End'!$AJ$13))),1,0)</f>
        <v/>
      </c>
      <c r="BY39">
        <f>IF(AND('Month-End'!$AJ$14&lt;&gt;"",NOT(_xlfn.ISFORMULA('Month-End'!$AJ$14))),1,0)</f>
        <v/>
      </c>
      <c r="BZ39">
        <f>IF(AND('Month-End'!$AJ$15&lt;&gt;"",NOT(_xlfn.ISFORMULA('Month-End'!$AJ$15))),1,0)</f>
        <v/>
      </c>
      <c r="CA39">
        <f>IF(AND('Month-End'!$AJ$16&lt;&gt;"",NOT(_xlfn.ISFORMULA('Month-End'!$AJ$16))),1,0)</f>
        <v/>
      </c>
      <c r="CB39">
        <f>IF(AND('Month-End'!$AJ$17&lt;&gt;"",NOT(_xlfn.ISFORMULA('Month-End'!$AJ$17))),1,0)</f>
        <v/>
      </c>
      <c r="CC39">
        <f>IF(AND('Month-End'!$AJ$18&lt;&gt;"",NOT(_xlfn.ISFORMULA('Month-End'!$AJ$18))),1,0)</f>
        <v/>
      </c>
      <c r="CD39">
        <f>IF(AND('Month-End'!$AJ$19&lt;&gt;"",NOT(_xlfn.ISFORMULA('Month-End'!$AJ$19))),1,0)</f>
        <v/>
      </c>
      <c r="CE39">
        <f>IF(AND('Month-End'!$AJ$20&lt;&gt;"",NOT(_xlfn.ISFORMULA('Month-End'!$AJ$20))),1,0)</f>
        <v/>
      </c>
      <c r="CF39">
        <f>IF(AND('Month-End'!$AJ$38&lt;&gt;"",NOT(_xlfn.ISFORMULA('Month-End'!$AJ$38))),1,0)</f>
        <v/>
      </c>
      <c r="CG39">
        <f>IF(AND('Month-End'!$AJ$39&lt;&gt;"",NOT(_xlfn.ISFORMULA('Month-End'!$AJ$39))),1,0)</f>
        <v/>
      </c>
      <c r="CH39">
        <f>IF(AND('Month-End'!$AJ$40&lt;&gt;"",NOT(_xlfn.ISFORMULA('Month-End'!$AJ$40))),1,0)</f>
        <v/>
      </c>
      <c r="CI39">
        <f>IF(AND('Month-End'!$AJ$41&lt;&gt;"",NOT(_xlfn.ISFORMULA('Month-End'!$AJ$41))),1,0)</f>
        <v/>
      </c>
      <c r="CJ39">
        <f>IF(AND('Month-End'!$AJ$42&lt;&gt;"",NOT(_xlfn.ISFORMULA('Month-End'!$AJ$42))),1,0)</f>
        <v/>
      </c>
      <c r="CK39">
        <f>IF(AND('Month-End'!$AJ$43&lt;&gt;"",NOT(_xlfn.ISFORMULA('Month-End'!$AJ$43))),1,0)</f>
        <v/>
      </c>
      <c r="CL39">
        <f>SUM($CM39:$CZ39)</f>
        <v/>
      </c>
      <c r="CM39">
        <f>IF(AND($E39&lt;&gt;"pre",AND(Settings!$A$19&lt;&gt;"",Settings!$E$19&lt;&gt;"No"),Settings!$F$19="Yes",NOT(AND('Month-End'!$AJ$7&lt;&gt;"",NOT(_xlfn.ISFORMULA('Month-End'!$AJ$7))))),1,0)</f>
        <v/>
      </c>
      <c r="CN39">
        <f>IF(AND($E39&lt;&gt;"pre",AND(Settings!$A$20&lt;&gt;"",Settings!$E$20&lt;&gt;"No"),Settings!$F$20="Yes",NOT(AND('Month-End'!$AJ$8&lt;&gt;"",NOT(_xlfn.ISFORMULA('Month-End'!$AJ$8))))),1,0)</f>
        <v/>
      </c>
      <c r="CO39">
        <f>IF(AND($E39&lt;&gt;"pre",AND(Settings!$A$21&lt;&gt;"",Settings!$E$21&lt;&gt;"No"),Settings!$F$21="Yes",NOT(AND('Month-End'!$AJ$9&lt;&gt;"",NOT(_xlfn.ISFORMULA('Month-End'!$AJ$9))))),1,0)</f>
        <v/>
      </c>
      <c r="CP39">
        <f>IF(AND($E39&lt;&gt;"pre",AND(Settings!$A$22&lt;&gt;"",Settings!$E$22&lt;&gt;"No"),Settings!$F$22="Yes",NOT(AND('Month-End'!$AJ$10&lt;&gt;"",NOT(_xlfn.ISFORMULA('Month-End'!$AJ$10))))),1,0)</f>
        <v/>
      </c>
      <c r="CQ39">
        <f>IF(AND($E39&lt;&gt;"pre",AND(Settings!$A$23&lt;&gt;"",Settings!$E$23&lt;&gt;"No"),Settings!$F$23="Yes",NOT(AND('Month-End'!$AJ$11&lt;&gt;"",NOT(_xlfn.ISFORMULA('Month-End'!$AJ$11))))),1,0)</f>
        <v/>
      </c>
      <c r="CR39">
        <f>IF(AND($E39&lt;&gt;"pre",AND(Settings!$A$24&lt;&gt;"",Settings!$E$24&lt;&gt;"No"),Settings!$F$24="Yes",NOT(AND('Month-End'!$AJ$12&lt;&gt;"",NOT(_xlfn.ISFORMULA('Month-End'!$AJ$12))))),1,0)</f>
        <v/>
      </c>
      <c r="CS39">
        <f>IF(AND($E39&lt;&gt;"pre",AND(Settings!$A$25&lt;&gt;"",Settings!$E$25&lt;&gt;"No"),Settings!$F$25="Yes",NOT(AND('Month-End'!$AJ$13&lt;&gt;"",NOT(_xlfn.ISFORMULA('Month-End'!$AJ$13))))),1,0)</f>
        <v/>
      </c>
      <c r="CT39">
        <f>IF(AND($E39&lt;&gt;"pre",AND(Settings!$A$26&lt;&gt;"",Settings!$E$26&lt;&gt;"No"),Settings!$F$26="Yes",NOT(AND('Month-End'!$AJ$14&lt;&gt;"",NOT(_xlfn.ISFORMULA('Month-End'!$AJ$14))))),1,0)</f>
        <v/>
      </c>
      <c r="CU39">
        <f>IF(AND($E39&lt;&gt;"pre",AND(Settings!$A$27&lt;&gt;"",Settings!$E$27&lt;&gt;"No"),Settings!$F$27="Yes",NOT(AND('Month-End'!$AJ$15&lt;&gt;"",NOT(_xlfn.ISFORMULA('Month-End'!$AJ$15))))),1,0)</f>
        <v/>
      </c>
      <c r="CV39">
        <f>IF(AND($E39&lt;&gt;"pre",AND(Settings!$A$28&lt;&gt;"",Settings!$E$28&lt;&gt;"No"),Settings!$F$28="Yes",NOT(AND('Month-End'!$AJ$16&lt;&gt;"",NOT(_xlfn.ISFORMULA('Month-End'!$AJ$16))))),1,0)</f>
        <v/>
      </c>
      <c r="CW39">
        <f>IF(AND($E39&lt;&gt;"pre",AND(Settings!$A$29&lt;&gt;"",Settings!$E$29&lt;&gt;"No"),Settings!$F$29="Yes",NOT(AND('Month-End'!$AJ$17&lt;&gt;"",NOT(_xlfn.ISFORMULA('Month-End'!$AJ$17))))),1,0)</f>
        <v/>
      </c>
      <c r="CX39">
        <f>IF(AND($E39&lt;&gt;"pre",AND(Settings!$A$30&lt;&gt;"",Settings!$E$30&lt;&gt;"No"),Settings!$F$30="Yes",NOT(AND('Month-End'!$AJ$18&lt;&gt;"",NOT(_xlfn.ISFORMULA('Month-End'!$AJ$18))))),1,0)</f>
        <v/>
      </c>
      <c r="CY39">
        <f>IF(AND($E39&lt;&gt;"pre",AND(Settings!$A$31&lt;&gt;"",Settings!$E$31&lt;&gt;"No"),Settings!$F$31="Yes",NOT(AND('Month-End'!$AJ$19&lt;&gt;"",NOT(_xlfn.ISFORMULA('Month-End'!$AJ$19))))),1,0)</f>
        <v/>
      </c>
      <c r="CZ39">
        <f>IF(AND($E39&lt;&gt;"pre",AND(Settings!$A$32&lt;&gt;"",Settings!$E$32&lt;&gt;"No"),Settings!$F$32="Yes",NOT(AND('Month-End'!$AJ$20&lt;&gt;"",NOT(_xlfn.ISFORMULA('Month-End'!$AJ$20))))),1,0)</f>
        <v/>
      </c>
      <c r="DA39">
        <f>IF($DT39=1,IF(OR(Settings!$B$19="Checking",Settings!$B$19="Savings",Settings!$B$19="Cash"),N($AE39),IF(OR(Settings!$B$19="Card",Settings!$B$19="Loan"),-N($AE39),0))+IF(OR(Settings!$B$20="Checking",Settings!$B$20="Savings",Settings!$B$20="Cash"),N($AF39),IF(OR(Settings!$B$20="Card",Settings!$B$20="Loan"),-N($AF39),0))+IF(OR(Settings!$B$21="Checking",Settings!$B$21="Savings",Settings!$B$21="Cash"),N($AG39),IF(OR(Settings!$B$21="Card",Settings!$B$21="Loan"),-N($AG39),0))+IF(OR(Settings!$B$22="Checking",Settings!$B$22="Savings",Settings!$B$22="Cash"),N($AH39),IF(OR(Settings!$B$22="Card",Settings!$B$22="Loan"),-N($AH39),0))+IF(OR(Settings!$B$23="Checking",Settings!$B$23="Savings",Settings!$B$23="Cash"),N($AI39),IF(OR(Settings!$B$23="Card",Settings!$B$23="Loan"),-N($AI39),0))+IF(OR(Settings!$B$24="Checking",Settings!$B$24="Savings",Settings!$B$24="Cash"),N($AJ39),IF(OR(Settings!$B$24="Card",Settings!$B$24="Loan"),-N($AJ39),0))+IF(OR(Settings!$B$25="Checking",Settings!$B$25="Savings",Settings!$B$25="Cash"),N($AK39),IF(OR(Settings!$B$25="Card",Settings!$B$25="Loan"),-N($AK39),0))+IF(OR(Settings!$B$26="Checking",Settings!$B$26="Savings",Settings!$B$26="Cash"),N($AL39),IF(OR(Settings!$B$26="Card",Settings!$B$26="Loan"),-N($AL39),0))+IF(OR(Settings!$B$27="Checking",Settings!$B$27="Savings",Settings!$B$27="Cash"),N($AM39),IF(OR(Settings!$B$27="Card",Settings!$B$27="Loan"),-N($AM39),0))+IF(OR(Settings!$B$28="Checking",Settings!$B$28="Savings",Settings!$B$28="Cash"),N($AN39),IF(OR(Settings!$B$28="Card",Settings!$B$28="Loan"),-N($AN39),0))+IF(OR(Settings!$B$29="Checking",Settings!$B$29="Savings",Settings!$B$29="Cash"),N($AO39),IF(OR(Settings!$B$29="Card",Settings!$B$29="Loan"),-N($AO39),0))+IF(OR(Settings!$B$30="Checking",Settings!$B$30="Savings",Settings!$B$30="Cash"),N($AP39),IF(OR(Settings!$B$30="Card",Settings!$B$30="Loan"),-N($AP39),0))+IF(OR(Settings!$B$31="Checking",Settings!$B$31="Savings",Settings!$B$31="Cash"),N($AQ39),IF(OR(Settings!$B$31="Card",Settings!$B$31="Loan"),-N($AQ39),0))+IF(OR(Settings!$B$32="Checking",Settings!$B$32="Savings",Settings!$B$32="Cash"),N($AR39),IF(OR(Settings!$B$32="Card",Settings!$B$32="Loan"),-N($AR39),0)),"")</f>
        <v/>
      </c>
      <c r="DB39">
        <f>IF($E39="open",$EB$27,IF($E39="post",IF($E38="pre",$EB$27,$DA38),""))</f>
        <v/>
      </c>
      <c r="DC39">
        <f>IF($E39="open",1,IF($E39="post",IF($E38="pre",1,$DT38),0))</f>
        <v/>
      </c>
      <c r="DD39">
        <f>IF(AND($DT39=1,$DC39=1),ROUND($W39-($DA39-$DB39)-$AD39-$AB39,2),"")</f>
        <v/>
      </c>
      <c r="DE39">
        <f>IF('Month-End'!$AJ$35="",$BQ39,N('Month-End'!$AJ$35))</f>
        <v/>
      </c>
      <c r="DF39">
        <f>N('Month-End'!$AJ$36)</f>
        <v/>
      </c>
      <c r="DG39">
        <f>IF($DD39="","",$DD39+$DE39)</f>
        <v/>
      </c>
      <c r="DH39">
        <f>IF($DG39="","",$DG39-$DF39)</f>
        <v/>
      </c>
      <c r="DI39">
        <f>IF(OR($E39="pre",$D39=1),"",N($AS39)+N($AT39)+N($AU39)+N($AV39)+N($AW39)+N($AX39))</f>
        <v/>
      </c>
      <c r="DJ39">
        <f>IF($DT39=1,$DA39+N($DI39),"")</f>
        <v/>
      </c>
      <c r="DK39">
        <f>IF($DD39="","",$W39-$DD39-$AB39)</f>
        <v/>
      </c>
      <c r="DL39">
        <f>IF(AND($E39="post",$DD39&lt;&gt;"",$B39&lt;TODAY()),1,0)</f>
        <v/>
      </c>
      <c r="DM39">
        <f>IF($DL39=1,COUNTIF($DL39:$DL$183,1),0)</f>
        <v/>
      </c>
      <c r="DN39">
        <f>IF($D39=1,"",IF($E39="pre","History only",IF($DT39=1,IF($DD39="","⚠ Previous month missing",IF($DD39&lt;0,"⚠ Check: spending &lt; 0",IF($E39="open","✓ Done (partial)","✓ Done"))),IF($B39&gt;=TODAY(),"In progress","⚠ Needs balances"))))</f>
        <v/>
      </c>
      <c r="DO39">
        <f>YEAR($A39)</f>
        <v/>
      </c>
      <c r="DP39">
        <f>DATE(YEAR($A39),INT((MONTH($A39)-1)/3)*3+1,1)</f>
        <v/>
      </c>
      <c r="DQ39">
        <f>IF(AND($DT39=1,$DD39&lt;&gt;"",$D39=0),ROW(),0)</f>
        <v/>
      </c>
      <c r="DR39">
        <f>IF(AND($E39&lt;&gt;"pre",$B39&lt;TODAY(),$DT39=0),1,0)</f>
        <v/>
      </c>
      <c r="DS39">
        <f>IF($DJ39="",NA(),$DJ39)</f>
        <v/>
      </c>
      <c r="DT39">
        <f>IF(AND($E39&lt;&gt;"pre",$CL39=0,COUNTIFS(Settings!$F$19:$F$32,"Yes",Settings!$A$19:$A$32,"&lt;&gt;",Settings!$E$19:$E$32,"&lt;&gt;No")&gt;0),1,0)</f>
        <v/>
      </c>
      <c r="DU39">
        <f>IF(AND($B39&lt;TODAY(),$S39&gt;0),1,0)</f>
        <v/>
      </c>
      <c r="DV39">
        <f>IF($DU39=1,COUNTIF($DU39:$DU$183,1),0)</f>
        <v/>
      </c>
      <c r="DW39">
        <f>IF(AND(OR(Settings!$B$19="Card",Settings!$B$19="Loan"),AND('Month-End'!$AJ$7&lt;&gt;"",NOT(_xlfn.ISFORMULA('Month-End'!$AJ$7)))),IF(N('Month-End'!$AJ$7)&lt;0,1,0),0)+IF(AND(OR(Settings!$B$20="Card",Settings!$B$20="Loan"),AND('Month-End'!$AJ$8&lt;&gt;"",NOT(_xlfn.ISFORMULA('Month-End'!$AJ$8)))),IF(N('Month-End'!$AJ$8)&lt;0,1,0),0)+IF(AND(OR(Settings!$B$21="Card",Settings!$B$21="Loan"),AND('Month-End'!$AJ$9&lt;&gt;"",NOT(_xlfn.ISFORMULA('Month-End'!$AJ$9)))),IF(N('Month-End'!$AJ$9)&lt;0,1,0),0)+IF(AND(OR(Settings!$B$22="Card",Settings!$B$22="Loan"),AND('Month-End'!$AJ$10&lt;&gt;"",NOT(_xlfn.ISFORMULA('Month-End'!$AJ$10)))),IF(N('Month-End'!$AJ$10)&lt;0,1,0),0)+IF(AND(OR(Settings!$B$23="Card",Settings!$B$23="Loan"),AND('Month-End'!$AJ$11&lt;&gt;"",NOT(_xlfn.ISFORMULA('Month-End'!$AJ$11)))),IF(N('Month-End'!$AJ$11)&lt;0,1,0),0)+IF(AND(OR(Settings!$B$24="Card",Settings!$B$24="Loan"),AND('Month-End'!$AJ$12&lt;&gt;"",NOT(_xlfn.ISFORMULA('Month-End'!$AJ$12)))),IF(N('Month-End'!$AJ$12)&lt;0,1,0),0)+IF(AND(OR(Settings!$B$25="Card",Settings!$B$25="Loan"),AND('Month-End'!$AJ$13&lt;&gt;"",NOT(_xlfn.ISFORMULA('Month-End'!$AJ$13)))),IF(N('Month-End'!$AJ$13)&lt;0,1,0),0)+IF(AND(OR(Settings!$B$26="Card",Settings!$B$26="Loan"),AND('Month-End'!$AJ$14&lt;&gt;"",NOT(_xlfn.ISFORMULA('Month-End'!$AJ$14)))),IF(N('Month-End'!$AJ$14)&lt;0,1,0),0)+IF(AND(OR(Settings!$B$27="Card",Settings!$B$27="Loan"),AND('Month-End'!$AJ$15&lt;&gt;"",NOT(_xlfn.ISFORMULA('Month-End'!$AJ$15)))),IF(N('Month-End'!$AJ$15)&lt;0,1,0),0)+IF(AND(OR(Settings!$B$28="Card",Settings!$B$28="Loan"),AND('Month-End'!$AJ$16&lt;&gt;"",NOT(_xlfn.ISFORMULA('Month-End'!$AJ$16)))),IF(N('Month-End'!$AJ$16)&lt;0,1,0),0)+IF(AND(OR(Settings!$B$29="Card",Settings!$B$29="Loan"),AND('Month-End'!$AJ$17&lt;&gt;"",NOT(_xlfn.ISFORMULA('Month-End'!$AJ$17)))),IF(N('Month-End'!$AJ$17)&lt;0,1,0),0)+IF(AND(OR(Settings!$B$30="Card",Settings!$B$30="Loan"),AND('Month-End'!$AJ$18&lt;&gt;"",NOT(_xlfn.ISFORMULA('Month-End'!$AJ$18)))),IF(N('Month-End'!$AJ$18)&lt;0,1,0),0)+IF(AND(OR(Settings!$B$31="Card",Settings!$B$31="Loan"),AND('Month-End'!$AJ$19&lt;&gt;"",NOT(_xlfn.ISFORMULA('Month-End'!$AJ$19)))),IF(N('Month-End'!$AJ$19)&lt;0,1,0),0)+IF(AND(OR(Settings!$B$32="Card",Settings!$B$32="Loan"),AND('Month-End'!$AJ$20&lt;&gt;"",NOT(_xlfn.ISFORMULA('Month-End'!$AJ$20)))),IF(N('Month-End'!$AJ$20)&lt;0,1,0),0)</f>
        <v/>
      </c>
      <c r="DX39">
        <f>IF(Settings!$B$36="Retirement",$AY39,0)+IF(Settings!$B$37="Retirement",$AZ39,0)+IF(Settings!$B$38="Retirement",$BA39,0)+IF(Settings!$B$39="Retirement",$BB39,0)+IF(Settings!$B$40="Retirement",$BC39,0)+IF(Settings!$B$41="Retirement",$BD39,0)</f>
        <v/>
      </c>
      <c r="EA39" t="inlineStr">
        <is>
          <t>Account</t>
        </is>
      </c>
      <c r="EB39" t="inlineStr">
        <is>
          <t>Value now</t>
        </is>
      </c>
      <c r="EC39" t="inlineStr">
        <is>
          <t>Lifetime contributions</t>
        </is>
      </c>
      <c r="ED39" t="inlineStr">
        <is>
          <t>Stale?</t>
        </is>
      </c>
      <c r="ET39">
        <f>IF($E39&lt;&gt;"open",0,IF(AND('Month-End'!$AJ$22&lt;&gt;"",NOT(_xlfn.ISFORMULA('Month-End'!$AJ$22))),0,IF(OR(Settings!$C$45="",Settings!$D$45=""),0,Settings!$C$45*IF(Settings!$D$45="Weekly",IF(IFERROR(MATCH(Settings!$E$45,$EO$4:$EO$10,0),0)=0,0,IF(MIN(Settings!$B$5,IF(Settings!$G$45="",Settings!$B$5,Settings!$G$45))&lt;MAX($A39,Settings!$F$45),0,INT((MIN(Settings!$B$5,IF(Settings!$G$45="",Settings!$B$5,Settings!$G$45))-MAX($A39,Settings!$F$45)-MOD(IFERROR(MATCH(Settings!$E$45,$EO$4:$EO$10,0),0)-WEEKDAY(MAX($A39,Settings!$F$45)),7))/7)+1)),IF(AND(IF(Settings!$E$45="",$B39,DATE(YEAR($A39),MONTH($A39),MIN(Settings!$E$45,DAY($B39))))&gt;=MAX($A39,Settings!$F$45),IF(Settings!$E$45="",$B39,DATE(YEAR($A39),MONTH($A39),MIN(Settings!$E$45,DAY($B39))))&lt;=MIN(Settings!$B$5,IF(Settings!$G$45="",Settings!$B$5,Settings!$G$45))),1,0)))))</f>
        <v/>
      </c>
      <c r="EU39">
        <f>IF($E39&lt;&gt;"open",0,IF(AND('Month-End'!$AJ$23&lt;&gt;"",NOT(_xlfn.ISFORMULA('Month-End'!$AJ$23))),0,IF(OR(Settings!$C$46="",Settings!$D$46=""),0,Settings!$C$46*IF(Settings!$D$46="Weekly",IF(IFERROR(MATCH(Settings!$E$46,$EO$4:$EO$10,0),0)=0,0,IF(MIN(Settings!$B$5,IF(Settings!$G$46="",Settings!$B$5,Settings!$G$46))&lt;MAX($A39,Settings!$F$46),0,INT((MIN(Settings!$B$5,IF(Settings!$G$46="",Settings!$B$5,Settings!$G$46))-MAX($A39,Settings!$F$46)-MOD(IFERROR(MATCH(Settings!$E$46,$EO$4:$EO$10,0),0)-WEEKDAY(MAX($A39,Settings!$F$46)),7))/7)+1)),IF(AND(IF(Settings!$E$46="",$B39,DATE(YEAR($A39),MONTH($A39),MIN(Settings!$E$46,DAY($B39))))&gt;=MAX($A39,Settings!$F$46),IF(Settings!$E$46="",$B39,DATE(YEAR($A39),MONTH($A39),MIN(Settings!$E$46,DAY($B39))))&lt;=MIN(Settings!$B$5,IF(Settings!$G$46="",Settings!$B$5,Settings!$G$46))),1,0)))))</f>
        <v/>
      </c>
      <c r="EV39">
        <f>IF($E39&lt;&gt;"open",0,IF(AND('Month-End'!$AJ$24&lt;&gt;"",NOT(_xlfn.ISFORMULA('Month-End'!$AJ$24))),0,IF(OR(Settings!$C$47="",Settings!$D$47=""),0,Settings!$C$47*IF(Settings!$D$47="Weekly",IF(IFERROR(MATCH(Settings!$E$47,$EO$4:$EO$10,0),0)=0,0,IF(MIN(Settings!$B$5,IF(Settings!$G$47="",Settings!$B$5,Settings!$G$47))&lt;MAX($A39,Settings!$F$47),0,INT((MIN(Settings!$B$5,IF(Settings!$G$47="",Settings!$B$5,Settings!$G$47))-MAX($A39,Settings!$F$47)-MOD(IFERROR(MATCH(Settings!$E$47,$EO$4:$EO$10,0),0)-WEEKDAY(MAX($A39,Settings!$F$47)),7))/7)+1)),IF(AND(IF(Settings!$E$47="",$B39,DATE(YEAR($A39),MONTH($A39),MIN(Settings!$E$47,DAY($B39))))&gt;=MAX($A39,Settings!$F$47),IF(Settings!$E$47="",$B39,DATE(YEAR($A39),MONTH($A39),MIN(Settings!$E$47,DAY($B39))))&lt;=MIN(Settings!$B$5,IF(Settings!$G$47="",Settings!$B$5,Settings!$G$47))),1,0)))))</f>
        <v/>
      </c>
      <c r="EW39">
        <f>IF($E39&lt;&gt;"open",0,IF(AND('Month-End'!$AJ$25&lt;&gt;"",NOT(_xlfn.ISFORMULA('Month-End'!$AJ$25))),0,IF(OR(Settings!$C$48="",Settings!$D$48=""),0,Settings!$C$48*IF(Settings!$D$48="Weekly",IF(IFERROR(MATCH(Settings!$E$48,$EO$4:$EO$10,0),0)=0,0,IF(MIN(Settings!$B$5,IF(Settings!$G$48="",Settings!$B$5,Settings!$G$48))&lt;MAX($A39,Settings!$F$48),0,INT((MIN(Settings!$B$5,IF(Settings!$G$48="",Settings!$B$5,Settings!$G$48))-MAX($A39,Settings!$F$48)-MOD(IFERROR(MATCH(Settings!$E$48,$EO$4:$EO$10,0),0)-WEEKDAY(MAX($A39,Settings!$F$48)),7))/7)+1)),IF(AND(IF(Settings!$E$48="",$B39,DATE(YEAR($A39),MONTH($A39),MIN(Settings!$E$48,DAY($B39))))&gt;=MAX($A39,Settings!$F$48),IF(Settings!$E$48="",$B39,DATE(YEAR($A39),MONTH($A39),MIN(Settings!$E$48,DAY($B39))))&lt;=MIN(Settings!$B$5,IF(Settings!$G$48="",Settings!$B$5,Settings!$G$48))),1,0)))))</f>
        <v/>
      </c>
      <c r="EX39">
        <f>IF($E39&lt;&gt;"open",0,IF(AND('Month-End'!$AJ$26&lt;&gt;"",NOT(_xlfn.ISFORMULA('Month-End'!$AJ$26))),0,IF(OR(Settings!$C$49="",Settings!$D$49=""),0,Settings!$C$49*IF(Settings!$D$49="Weekly",IF(IFERROR(MATCH(Settings!$E$49,$EO$4:$EO$10,0),0)=0,0,IF(MIN(Settings!$B$5,IF(Settings!$G$49="",Settings!$B$5,Settings!$G$49))&lt;MAX($A39,Settings!$F$49),0,INT((MIN(Settings!$B$5,IF(Settings!$G$49="",Settings!$B$5,Settings!$G$49))-MAX($A39,Settings!$F$49)-MOD(IFERROR(MATCH(Settings!$E$49,$EO$4:$EO$10,0),0)-WEEKDAY(MAX($A39,Settings!$F$49)),7))/7)+1)),IF(AND(IF(Settings!$E$49="",$B39,DATE(YEAR($A39),MONTH($A39),MIN(Settings!$E$49,DAY($B39))))&gt;=MAX($A39,Settings!$F$49),IF(Settings!$E$49="",$B39,DATE(YEAR($A39),MONTH($A39),MIN(Settings!$E$49,DAY($B39))))&lt;=MIN(Settings!$B$5,IF(Settings!$G$49="",Settings!$B$5,Settings!$G$49))),1,0)))))</f>
        <v/>
      </c>
      <c r="EY39">
        <f>IF($E39&lt;&gt;"open",0,IF(AND('Month-End'!$AJ$27&lt;&gt;"",NOT(_xlfn.ISFORMULA('Month-End'!$AJ$27))),0,IF(OR(Settings!$C$50="",Settings!$D$50=""),0,Settings!$C$50*IF(Settings!$D$50="Weekly",IF(IFERROR(MATCH(Settings!$E$50,$EO$4:$EO$10,0),0)=0,0,IF(MIN(Settings!$B$5,IF(Settings!$G$50="",Settings!$B$5,Settings!$G$50))&lt;MAX($A39,Settings!$F$50),0,INT((MIN(Settings!$B$5,IF(Settings!$G$50="",Settings!$B$5,Settings!$G$50))-MAX($A39,Settings!$F$50)-MOD(IFERROR(MATCH(Settings!$E$50,$EO$4:$EO$10,0),0)-WEEKDAY(MAX($A39,Settings!$F$50)),7))/7)+1)),IF(AND(IF(Settings!$E$50="",$B39,DATE(YEAR($A39),MONTH($A39),MIN(Settings!$E$50,DAY($B39))))&gt;=MAX($A39,Settings!$F$50),IF(Settings!$E$50="",$B39,DATE(YEAR($A39),MONTH($A39),MIN(Settings!$E$50,DAY($B39))))&lt;=MIN(Settings!$B$5,IF(Settings!$G$50="",Settings!$B$5,Settings!$G$50))),1,0)))))</f>
        <v/>
      </c>
      <c r="EZ39">
        <f>IF($E39&lt;&gt;"open",0,IF(AND('Month-End'!$AJ$28&lt;&gt;"",NOT(_xlfn.ISFORMULA('Month-End'!$AJ$28))),0,IF(OR(Settings!$C$51="",Settings!$D$51=""),0,Settings!$C$51*IF(Settings!$D$51="Weekly",IF(IFERROR(MATCH(Settings!$E$51,$EO$4:$EO$10,0),0)=0,0,IF(MIN(Settings!$B$5,IF(Settings!$G$51="",Settings!$B$5,Settings!$G$51))&lt;MAX($A39,Settings!$F$51),0,INT((MIN(Settings!$B$5,IF(Settings!$G$51="",Settings!$B$5,Settings!$G$51))-MAX($A39,Settings!$F$51)-MOD(IFERROR(MATCH(Settings!$E$51,$EO$4:$EO$10,0),0)-WEEKDAY(MAX($A39,Settings!$F$51)),7))/7)+1)),IF(AND(IF(Settings!$E$51="",$B39,DATE(YEAR($A39),MONTH($A39),MIN(Settings!$E$51,DAY($B39))))&gt;=MAX($A39,Settings!$F$51),IF(Settings!$E$51="",$B39,DATE(YEAR($A39),MONTH($A39),MIN(Settings!$E$51,DAY($B39))))&lt;=MIN(Settings!$B$5,IF(Settings!$G$51="",Settings!$B$5,Settings!$G$51))),1,0)))))</f>
        <v/>
      </c>
      <c r="FA39">
        <f>IF($E39&lt;&gt;"open",0,IF(AND('Month-End'!$AJ$29&lt;&gt;"",NOT(_xlfn.ISFORMULA('Month-End'!$AJ$29))),0,IF(OR(Settings!$C$52="",Settings!$D$52=""),0,Settings!$C$52*IF(Settings!$D$52="Weekly",IF(IFERROR(MATCH(Settings!$E$52,$EO$4:$EO$10,0),0)=0,0,IF(MIN(Settings!$B$5,IF(Settings!$G$52="",Settings!$B$5,Settings!$G$52))&lt;MAX($A39,Settings!$F$52),0,INT((MIN(Settings!$B$5,IF(Settings!$G$52="",Settings!$B$5,Settings!$G$52))-MAX($A39,Settings!$F$52)-MOD(IFERROR(MATCH(Settings!$E$52,$EO$4:$EO$10,0),0)-WEEKDAY(MAX($A39,Settings!$F$52)),7))/7)+1)),IF(AND(IF(Settings!$E$52="",$B39,DATE(YEAR($A39),MONTH($A39),MIN(Settings!$E$52,DAY($B39))))&gt;=MAX($A39,Settings!$F$52),IF(Settings!$E$52="",$B39,DATE(YEAR($A39),MONTH($A39),MIN(Settings!$E$52,DAY($B39))))&lt;=MIN(Settings!$B$5,IF(Settings!$G$52="",Settings!$B$5,Settings!$G$52))),1,0)))))</f>
        <v/>
      </c>
      <c r="FB39">
        <f>IF($E39&lt;&gt;"open",0,IF(AND('Month-End'!$AJ$30&lt;&gt;"",NOT(_xlfn.ISFORMULA('Month-End'!$AJ$30))),0,IF(OR(Settings!$C$53="",Settings!$D$53=""),0,Settings!$C$53*IF(Settings!$D$53="Weekly",IF(IFERROR(MATCH(Settings!$E$53,$EO$4:$EO$10,0),0)=0,0,IF(MIN(Settings!$B$5,IF(Settings!$G$53="",Settings!$B$5,Settings!$G$53))&lt;MAX($A39,Settings!$F$53),0,INT((MIN(Settings!$B$5,IF(Settings!$G$53="",Settings!$B$5,Settings!$G$53))-MAX($A39,Settings!$F$53)-MOD(IFERROR(MATCH(Settings!$E$53,$EO$4:$EO$10,0),0)-WEEKDAY(MAX($A39,Settings!$F$53)),7))/7)+1)),IF(AND(IF(Settings!$E$53="",$B39,DATE(YEAR($A39),MONTH($A39),MIN(Settings!$E$53,DAY($B39))))&gt;=MAX($A39,Settings!$F$53),IF(Settings!$E$53="",$B39,DATE(YEAR($A39),MONTH($A39),MIN(Settings!$E$53,DAY($B39))))&lt;=MIN(Settings!$B$5,IF(Settings!$G$53="",Settings!$B$5,Settings!$G$53))),1,0)))))</f>
        <v/>
      </c>
      <c r="FC39">
        <f>IF($E39&lt;&gt;"open",0,IF(AND('Month-End'!$AJ$31&lt;&gt;"",NOT(_xlfn.ISFORMULA('Month-End'!$AJ$31))),0,IF(OR(Settings!$C$54="",Settings!$D$54=""),0,Settings!$C$54*IF(Settings!$D$54="Weekly",IF(IFERROR(MATCH(Settings!$E$54,$EO$4:$EO$10,0),0)=0,0,IF(MIN(Settings!$B$5,IF(Settings!$G$54="",Settings!$B$5,Settings!$G$54))&lt;MAX($A39,Settings!$F$54),0,INT((MIN(Settings!$B$5,IF(Settings!$G$54="",Settings!$B$5,Settings!$G$54))-MAX($A39,Settings!$F$54)-MOD(IFERROR(MATCH(Settings!$E$54,$EO$4:$EO$10,0),0)-WEEKDAY(MAX($A39,Settings!$F$54)),7))/7)+1)),IF(AND(IF(Settings!$E$54="",$B39,DATE(YEAR($A39),MONTH($A39),MIN(Settings!$E$54,DAY($B39))))&gt;=MAX($A39,Settings!$F$54),IF(Settings!$E$54="",$B39,DATE(YEAR($A39),MONTH($A39),MIN(Settings!$E$54,DAY($B39))))&lt;=MIN(Settings!$B$5,IF(Settings!$G$54="",Settings!$B$5,Settings!$G$54))),1,0)))))</f>
        <v/>
      </c>
      <c r="FD39">
        <f>IF($E39&lt;&gt;"open",0,IF(AND('Month-End'!$AJ$32&lt;&gt;"",NOT(_xlfn.ISFORMULA('Month-End'!$AJ$32))),0,IF(OR(Settings!$C$55="",Settings!$D$55=""),0,Settings!$C$55*IF(Settings!$D$55="Weekly",IF(IFERROR(MATCH(Settings!$E$55,$EO$4:$EO$10,0),0)=0,0,IF(MIN(Settings!$B$5,IF(Settings!$G$55="",Settings!$B$5,Settings!$G$55))&lt;MAX($A39,Settings!$F$55),0,INT((MIN(Settings!$B$5,IF(Settings!$G$55="",Settings!$B$5,Settings!$G$55))-MAX($A39,Settings!$F$55)-MOD(IFERROR(MATCH(Settings!$E$55,$EO$4:$EO$10,0),0)-WEEKDAY(MAX($A39,Settings!$F$55)),7))/7)+1)),IF(AND(IF(Settings!$E$55="",$B39,DATE(YEAR($A39),MONTH($A39),MIN(Settings!$E$55,DAY($B39))))&gt;=MAX($A39,Settings!$F$55),IF(Settings!$E$55="",$B39,DATE(YEAR($A39),MONTH($A39),MIN(Settings!$E$55,DAY($B39))))&lt;=MIN(Settings!$B$5,IF(Settings!$G$55="",Settings!$B$5,Settings!$G$55))),1,0)))))</f>
        <v/>
      </c>
      <c r="FE39">
        <f>IF($E39&lt;&gt;"open",0,IF(AND('Month-End'!$AJ$33&lt;&gt;"",NOT(_xlfn.ISFORMULA('Month-End'!$AJ$33))),0,IF(OR(Settings!$C$56="",Settings!$D$56=""),0,Settings!$C$56*IF(Settings!$D$56="Weekly",IF(IFERROR(MATCH(Settings!$E$56,$EO$4:$EO$10,0),0)=0,0,IF(MIN(Settings!$B$5,IF(Settings!$G$56="",Settings!$B$5,Settings!$G$56))&lt;MAX($A39,Settings!$F$56),0,INT((MIN(Settings!$B$5,IF(Settings!$G$56="",Settings!$B$5,Settings!$G$56))-MAX($A39,Settings!$F$56)-MOD(IFERROR(MATCH(Settings!$E$56,$EO$4:$EO$10,0),0)-WEEKDAY(MAX($A39,Settings!$F$56)),7))/7)+1)),IF(AND(IF(Settings!$E$56="",$B39,DATE(YEAR($A39),MONTH($A39),MIN(Settings!$E$56,DAY($B39))))&gt;=MAX($A39,Settings!$F$56),IF(Settings!$E$56="",$B39,DATE(YEAR($A39),MONTH($A39),MIN(Settings!$E$56,DAY($B39))))&lt;=MIN(Settings!$B$5,IF(Settings!$G$56="",Settings!$B$5,Settings!$G$56))),1,0)))))</f>
        <v/>
      </c>
      <c r="FF39">
        <f>IF(Settings!$I$45="Yes",$G39,0)+IF(Settings!$I$46="Yes",$H39,0)+IF(Settings!$I$47="Yes",$I39,0)+IF(Settings!$I$48="Yes",$J39,0)+IF(Settings!$I$49="Yes",$K39,0)+IF(Settings!$I$50="Yes",$L39,0)+IF(Settings!$I$51="Yes",$M39,0)+IF(Settings!$I$52="Yes",$N39,0)+IF(Settings!$I$53="Yes",$O39,0)+IF(Settings!$I$54="Yes",$P39,0)+IF(Settings!$I$55="Yes",$Q39,0)+IF(Settings!$I$56="Yes",$R39,0)</f>
        <v/>
      </c>
      <c r="FG39">
        <f>IF(AND(Settings!$I$45="Yes",Settings!$J$45="No"),$G39,0)+IF(AND(Settings!$I$46="Yes",Settings!$J$46="No"),$H39,0)+IF(AND(Settings!$I$47="Yes",Settings!$J$47="No"),$I39,0)+IF(AND(Settings!$I$48="Yes",Settings!$J$48="No"),$J39,0)+IF(AND(Settings!$I$49="Yes",Settings!$J$49="No"),$K39,0)+IF(AND(Settings!$I$50="Yes",Settings!$J$50="No"),$L39,0)+IF(AND(Settings!$I$51="Yes",Settings!$J$51="No"),$M39,0)+IF(AND(Settings!$I$52="Yes",Settings!$J$52="No"),$N39,0)+IF(AND(Settings!$I$53="Yes",Settings!$J$53="No"),$O39,0)+IF(AND(Settings!$I$54="Yes",Settings!$J$54="No"),$P39,0)+IF(AND(Settings!$I$55="Yes",Settings!$J$55="No"),$Q39,0)+IF(AND(Settings!$I$56="Yes",Settings!$J$56="No"),$R39,0)</f>
        <v/>
      </c>
      <c r="FH39">
        <f>SUMIFS(Giving!$B$7:$B$2006,Giving!$A$7:$A$2006,"&gt;="&amp;$A39,Giving!$A$7:$A$2006,"&lt;="&amp;$B39,Giving!$G$7:$G$2006,"Yes")+IF(OR(OR(Settings!$B$60="",Settings!$F$60="No"),Settings!$H$60&lt;&gt;"Yes"),0,Settings!$B$60*IF(AND(IF(Settings!$C$60="",$B39,DATE(YEAR($A39),MONTH($A39),MIN(Settings!$C$60,DAY($B39))))&gt;=MAX($A39,Settings!$D$60),IF(Settings!$C$60="",$B39,DATE(YEAR($A39),MONTH($A39),MIN(Settings!$C$60,DAY($B39))))&lt;=MIN($C39,IF(Settings!$E$60="",$C39,Settings!$E$60))),1,0))+IF(OR(OR(Settings!$B$61="",Settings!$F$61="No"),Settings!$H$61&lt;&gt;"Yes"),0,Settings!$B$61*IF(AND(IF(Settings!$C$61="",$B39,DATE(YEAR($A39),MONTH($A39),MIN(Settings!$C$61,DAY($B39))))&gt;=MAX($A39,Settings!$D$61),IF(Settings!$C$61="",$B39,DATE(YEAR($A39),MONTH($A39),MIN(Settings!$C$61,DAY($B39))))&lt;=MIN($C39,IF(Settings!$E$61="",$C39,Settings!$E$61))),1,0))+IF(OR(OR(Settings!$B$62="",Settings!$F$62="No"),Settings!$H$62&lt;&gt;"Yes"),0,Settings!$B$62*IF(AND(IF(Settings!$C$62="",$B39,DATE(YEAR($A39),MONTH($A39),MIN(Settings!$C$62,DAY($B39))))&gt;=MAX($A39,Settings!$D$62),IF(Settings!$C$62="",$B39,DATE(YEAR($A39),MONTH($A39),MIN(Settings!$C$62,DAY($B39))))&lt;=MIN($C39,IF(Settings!$E$62="",$C39,Settings!$E$62))),1,0))+IF(OR(OR(Settings!$B$63="",Settings!$F$63="No"),Settings!$H$63&lt;&gt;"Yes"),0,Settings!$B$63*IF(AND(IF(Settings!$C$63="",$B39,DATE(YEAR($A39),MONTH($A39),MIN(Settings!$C$63,DAY($B39))))&gt;=MAX($A39,Settings!$D$63),IF(Settings!$C$63="",$B39,DATE(YEAR($A39),MONTH($A39),MIN(Settings!$C$63,DAY($B39))))&lt;=MIN($C39,IF(Settings!$E$63="",$C39,Settings!$E$63))),1,0))+IF(OR(OR(Settings!$B$64="",Settings!$F$64="No"),Settings!$H$64&lt;&gt;"Yes"),0,Settings!$B$64*IF(AND(IF(Settings!$C$64="",$B39,DATE(YEAR($A39),MONTH($A39),MIN(Settings!$C$64,DAY($B39))))&gt;=MAX($A39,Settings!$D$64),IF(Settings!$C$64="",$B39,DATE(YEAR($A39),MONTH($A39),MIN(Settings!$C$64,DAY($B39))))&lt;=MIN($C39,IF(Settings!$E$64="",$C39,Settings!$E$64))),1,0))+IF(OR(OR(Settings!$B$65="",Settings!$F$65="No"),Settings!$H$65&lt;&gt;"Yes"),0,Settings!$B$65*IF(AND(IF(Settings!$C$65="",$B39,DATE(YEAR($A39),MONTH($A39),MIN(Settings!$C$65,DAY($B39))))&gt;=MAX($A39,Settings!$D$65),IF(Settings!$C$65="",$B39,DATE(YEAR($A39),MONTH($A39),MIN(Settings!$C$65,DAY($B39))))&lt;=MIN($C39,IF(Settings!$E$65="",$C39,Settings!$E$65))),1,0))</f>
        <v/>
      </c>
      <c r="FI39">
        <f>IF($DT39=1,IF(OR(Settings!$B$19="Card",Settings!$B$19="Loan"),N($AE39),0)+IF(OR(Settings!$B$20="Card",Settings!$B$20="Loan"),N($AF39),0)+IF(OR(Settings!$B$21="Card",Settings!$B$21="Loan"),N($AG39),0)+IF(OR(Settings!$B$22="Card",Settings!$B$22="Loan"),N($AH39),0)+IF(OR(Settings!$B$23="Card",Settings!$B$23="Loan"),N($AI39),0)+IF(OR(Settings!$B$24="Card",Settings!$B$24="Loan"),N($AJ39),0)+IF(OR(Settings!$B$25="Card",Settings!$B$25="Loan"),N($AK39),0)+IF(OR(Settings!$B$26="Card",Settings!$B$26="Loan"),N($AL39),0)+IF(OR(Settings!$B$27="Card",Settings!$B$27="Loan"),N($AM39),0)+IF(OR(Settings!$B$28="Card",Settings!$B$28="Loan"),N($AN39),0)+IF(OR(Settings!$B$29="Card",Settings!$B$29="Loan"),N($AO39),0)+IF(OR(Settings!$B$30="Card",Settings!$B$30="Loan"),N($AP39),0)+IF(OR(Settings!$B$31="Card",Settings!$B$31="Loan"),N($AQ39),0)+IF(OR(Settings!$B$32="Card",Settings!$B$32="Loan"),N($AR39),0),"")</f>
        <v/>
      </c>
      <c r="FJ39">
        <f>IF($E39="open",$EB$65,IF($E39="post",IF($E38="pre",$EB$65,$FI38),""))</f>
        <v/>
      </c>
      <c r="FK39">
        <f>IF(AND($DT39=1,$DC39=1),IF(ROUND($FI39-$FJ39,2)&gt;0,1,0),0)</f>
        <v/>
      </c>
      <c r="FL39">
        <f>IF($FK39=1,$FL38+1,0)</f>
        <v/>
      </c>
    </row>
    <row r="40">
      <c r="A40">
        <f>'Month-End'!$AK$4</f>
        <v/>
      </c>
      <c r="B40">
        <f>EOMONTH($A40,0)</f>
        <v/>
      </c>
      <c r="C40">
        <f>MIN($B40,TODAY())</f>
        <v/>
      </c>
      <c r="D40">
        <f>IF($A40&gt;TODAY(),1,0)</f>
        <v/>
      </c>
      <c r="E40">
        <f>IF($B40&lt;=Settings!$B$5,"pre",IF($A40&lt;=Settings!$B$5,"open","post"))</f>
        <v/>
      </c>
      <c r="G40">
        <f>IF('Month-End'!$AK$22="",$BE40,N('Month-End'!$AK$22))</f>
        <v/>
      </c>
      <c r="H40">
        <f>IF('Month-End'!$AK$23="",$BF40,N('Month-End'!$AK$23))</f>
        <v/>
      </c>
      <c r="I40">
        <f>IF('Month-End'!$AK$24="",$BG40,N('Month-End'!$AK$24))</f>
        <v/>
      </c>
      <c r="J40">
        <f>IF('Month-End'!$AK$25="",$BH40,N('Month-End'!$AK$25))</f>
        <v/>
      </c>
      <c r="K40">
        <f>IF('Month-End'!$AK$26="",$BI40,N('Month-End'!$AK$26))</f>
        <v/>
      </c>
      <c r="L40">
        <f>IF('Month-End'!$AK$27="",$BJ40,N('Month-End'!$AK$27))</f>
        <v/>
      </c>
      <c r="M40">
        <f>IF('Month-End'!$AK$28="",$BK40,N('Month-End'!$AK$28))</f>
        <v/>
      </c>
      <c r="N40">
        <f>IF('Month-End'!$AK$29="",$BL40,N('Month-End'!$AK$29))</f>
        <v/>
      </c>
      <c r="O40">
        <f>IF('Month-End'!$AK$30="",$BM40,N('Month-End'!$AK$30))</f>
        <v/>
      </c>
      <c r="P40">
        <f>IF('Month-End'!$AK$31="",$BN40,N('Month-End'!$AK$31))</f>
        <v/>
      </c>
      <c r="Q40">
        <f>IF('Month-End'!$AK$32="",$BO40,N('Month-End'!$AK$32))</f>
        <v/>
      </c>
      <c r="R40">
        <f>IF('Month-End'!$AK$33="",$BP40,N('Month-End'!$AK$33))</f>
        <v/>
      </c>
      <c r="S40">
        <f>$G40+$H40+$I40+$J40+$K40+$L40+$M40+$N40+$O40+$P40+$Q40+$R40</f>
        <v/>
      </c>
      <c r="T40">
        <f>IF($B40&lt;Settings!$B$6,0,IF(Settings!$B$45="Yes",$G40,0)+IF(Settings!$B$46="Yes",$H40,0)+IF(Settings!$B$47="Yes",$I40,0)+IF(Settings!$B$48="Yes",$J40,0)+IF(Settings!$B$49="Yes",$K40,0)+IF(Settings!$B$50="Yes",$L40,0)+IF(Settings!$B$51="Yes",$M40,0)+IF(Settings!$B$52="Yes",$N40,0)+IF(Settings!$B$53="Yes",$O40,0)+IF(Settings!$B$54="Yes",$P40,0)+IF(Settings!$B$55="Yes",$Q40,0)+IF(Settings!$B$56="Yes",$R40,0))</f>
        <v/>
      </c>
      <c r="U40">
        <f>IF(Settings!$B$45="Not Sure",$G40,0)+IF(Settings!$B$46="Not Sure",$H40,0)+IF(Settings!$B$47="Not Sure",$I40,0)+IF(Settings!$B$48="Not Sure",$J40,0)+IF(Settings!$B$49="Not Sure",$K40,0)+IF(Settings!$B$50="Not Sure",$L40,0)+IF(Settings!$B$51="Not Sure",$M40,0)+IF(Settings!$B$52="Not Sure",$N40,0)+IF(Settings!$B$53="Not Sure",$O40,0)+IF(Settings!$B$54="Not Sure",$P40,0)+IF(Settings!$B$55="Not Sure",$Q40,0)+IF(Settings!$B$56="Not Sure",$R40,0)</f>
        <v/>
      </c>
      <c r="V40">
        <f>IF($E40="open",SUM($ET40:$FE40)+N(Settings!$B$13),0)</f>
        <v/>
      </c>
      <c r="W40">
        <f>IF($E40="post",$S40,IF($E40="open",$S40-$V40,0))</f>
        <v/>
      </c>
      <c r="X40">
        <f>SUMIFS(Giving!$B$7:$B$2006,Giving!$A$7:$A$2006,"&gt;="&amp;$A40,Giving!$A$7:$A$2006,"&lt;="&amp;$B40,Giving!$E$7:$E$2006,"&lt;&gt;No")</f>
        <v/>
      </c>
      <c r="Y40">
        <f>SUMIFS(Giving!$B$7:$B$2006,Giving!$A$7:$A$2006,"&gt;="&amp;$A40,Giving!$A$7:$A$2006,"&lt;="&amp;$B40,Giving!$E$7:$E$2006,"No")</f>
        <v/>
      </c>
      <c r="Z40">
        <f>IF(OR(Settings!$B$60="",Settings!$F$60="No"),0,Settings!$B$60*IF(AND(IF(Settings!$C$60="",$B40,DATE(YEAR($A40),MONTH($A40),MIN(Settings!$C$60,DAY($B40))))&gt;=MAX($A40,Settings!$D$60),IF(Settings!$C$60="",$B40,DATE(YEAR($A40),MONTH($A40),MIN(Settings!$C$60,DAY($B40))))&lt;=MIN($C40,IF(Settings!$E$60="",$C40,Settings!$E$60))),1,0))+IF(OR(Settings!$B$61="",Settings!$F$61="No"),0,Settings!$B$61*IF(AND(IF(Settings!$C$61="",$B40,DATE(YEAR($A40),MONTH($A40),MIN(Settings!$C$61,DAY($B40))))&gt;=MAX($A40,Settings!$D$61),IF(Settings!$C$61="",$B40,DATE(YEAR($A40),MONTH($A40),MIN(Settings!$C$61,DAY($B40))))&lt;=MIN($C40,IF(Settings!$E$61="",$C40,Settings!$E$61))),1,0))+IF(OR(Settings!$B$62="",Settings!$F$62="No"),0,Settings!$B$62*IF(AND(IF(Settings!$C$62="",$B40,DATE(YEAR($A40),MONTH($A40),MIN(Settings!$C$62,DAY($B40))))&gt;=MAX($A40,Settings!$D$62),IF(Settings!$C$62="",$B40,DATE(YEAR($A40),MONTH($A40),MIN(Settings!$C$62,DAY($B40))))&lt;=MIN($C40,IF(Settings!$E$62="",$C40,Settings!$E$62))),1,0))+IF(OR(Settings!$B$63="",Settings!$F$63="No"),0,Settings!$B$63*IF(AND(IF(Settings!$C$63="",$B40,DATE(YEAR($A40),MONTH($A40),MIN(Settings!$C$63,DAY($B40))))&gt;=MAX($A40,Settings!$D$63),IF(Settings!$C$63="",$B40,DATE(YEAR($A40),MONTH($A40),MIN(Settings!$C$63,DAY($B40))))&lt;=MIN($C40,IF(Settings!$E$63="",$C40,Settings!$E$63))),1,0))+IF(OR(Settings!$B$64="",Settings!$F$64="No"),0,Settings!$B$64*IF(AND(IF(Settings!$C$64="",$B40,DATE(YEAR($A40),MONTH($A40),MIN(Settings!$C$64,DAY($B40))))&gt;=MAX($A40,Settings!$D$64),IF(Settings!$C$64="",$B40,DATE(YEAR($A40),MONTH($A40),MIN(Settings!$C$64,DAY($B40))))&lt;=MIN($C40,IF(Settings!$E$64="",$C40,Settings!$E$64))),1,0))+IF(OR(Settings!$B$65="",Settings!$F$65="No"),0,Settings!$B$65*IF(AND(IF(Settings!$C$65="",$B40,DATE(YEAR($A40),MONTH($A40),MIN(Settings!$C$65,DAY($B40))))&gt;=MAX($A40,Settings!$D$65),IF(Settings!$C$65="",$B40,DATE(YEAR($A40),MONTH($A40),MIN(Settings!$C$65,DAY($B40))))&lt;=MIN($C40,IF(Settings!$E$65="",$C40,Settings!$E$65))),1,0))</f>
        <v/>
      </c>
      <c r="AA40">
        <f>$X40+$Z40</f>
        <v/>
      </c>
      <c r="AB40">
        <f>IF($E40="post",$AA40,IF($E40="open",SUMIFS(Giving!$B$7:$B$2006,Giving!$A$7:$A$2006,"&gt;"&amp;Settings!$B$5,Giving!$A$7:$A$2006,"&lt;="&amp;$B40,Giving!$E$7:$E$2006,"&lt;&gt;No")+IF(OR(Settings!$B$60="",Settings!$F$60="No"),0,Settings!$B$60*IF(AND(IF(Settings!$C$60="",$B40,DATE(YEAR($A40),MONTH($A40),MIN(Settings!$C$60,DAY($B40))))&gt;=MAX($A40,Settings!$D$60,Settings!$B$5+1),IF(Settings!$C$60="",$B40,DATE(YEAR($A40),MONTH($A40),MIN(Settings!$C$60,DAY($B40))))&lt;=MIN($C40,IF(Settings!$E$60="",$C40,Settings!$E$60))),1,0))+IF(OR(Settings!$B$61="",Settings!$F$61="No"),0,Settings!$B$61*IF(AND(IF(Settings!$C$61="",$B40,DATE(YEAR($A40),MONTH($A40),MIN(Settings!$C$61,DAY($B40))))&gt;=MAX($A40,Settings!$D$61,Settings!$B$5+1),IF(Settings!$C$61="",$B40,DATE(YEAR($A40),MONTH($A40),MIN(Settings!$C$61,DAY($B40))))&lt;=MIN($C40,IF(Settings!$E$61="",$C40,Settings!$E$61))),1,0))+IF(OR(Settings!$B$62="",Settings!$F$62="No"),0,Settings!$B$62*IF(AND(IF(Settings!$C$62="",$B40,DATE(YEAR($A40),MONTH($A40),MIN(Settings!$C$62,DAY($B40))))&gt;=MAX($A40,Settings!$D$62,Settings!$B$5+1),IF(Settings!$C$62="",$B40,DATE(YEAR($A40),MONTH($A40),MIN(Settings!$C$62,DAY($B40))))&lt;=MIN($C40,IF(Settings!$E$62="",$C40,Settings!$E$62))),1,0))+IF(OR(Settings!$B$63="",Settings!$F$63="No"),0,Settings!$B$63*IF(AND(IF(Settings!$C$63="",$B40,DATE(YEAR($A40),MONTH($A40),MIN(Settings!$C$63,DAY($B40))))&gt;=MAX($A40,Settings!$D$63,Settings!$B$5+1),IF(Settings!$C$63="",$B40,DATE(YEAR($A40),MONTH($A40),MIN(Settings!$C$63,DAY($B40))))&lt;=MIN($C40,IF(Settings!$E$63="",$C40,Settings!$E$63))),1,0))+IF(OR(Settings!$B$64="",Settings!$F$64="No"),0,Settings!$B$64*IF(AND(IF(Settings!$C$64="",$B40,DATE(YEAR($A40),MONTH($A40),MIN(Settings!$C$64,DAY($B40))))&gt;=MAX($A40,Settings!$D$64,Settings!$B$5+1),IF(Settings!$C$64="",$B40,DATE(YEAR($A40),MONTH($A40),MIN(Settings!$C$64,DAY($B40))))&lt;=MIN($C40,IF(Settings!$E$64="",$C40,Settings!$E$64))),1,0))+IF(OR(Settings!$B$65="",Settings!$F$65="No"),0,Settings!$B$65*IF(AND(IF(Settings!$C$65="",$B40,DATE(YEAR($A40),MONTH($A40),MIN(Settings!$C$65,DAY($B40))))&gt;=MAX($A40,Settings!$D$65,Settings!$B$5+1),IF(Settings!$C$65="",$B40,DATE(YEAR($A40),MONTH($A40),MIN(Settings!$C$65,DAY($B40))))&lt;=MIN($C40,IF(Settings!$E$65="",$C40,Settings!$E$65))),1,0)),0))</f>
        <v/>
      </c>
      <c r="AC40">
        <f>$AY40+$AZ40+$BA40+$BB40+$BC40+$BD40</f>
        <v/>
      </c>
      <c r="AD40">
        <f>$AC40</f>
        <v/>
      </c>
      <c r="AE40">
        <f>IF(OR(Settings!$A$19="",$E40="pre"),"",IF(AND('Month-End'!$AK$7&lt;&gt;"",NOT(_xlfn.ISFORMULA('Month-End'!$AK$7))),N('Month-End'!$AK$7),IF(OR($E40="open",$E39="pre"),N(Settings!$C$19),N($AE39))))</f>
        <v/>
      </c>
      <c r="AF40">
        <f>IF(OR(Settings!$A$20="",$E40="pre"),"",IF(AND('Month-End'!$AK$8&lt;&gt;"",NOT(_xlfn.ISFORMULA('Month-End'!$AK$8))),N('Month-End'!$AK$8),IF(OR($E40="open",$E39="pre"),N(Settings!$C$20),N($AF39))))</f>
        <v/>
      </c>
      <c r="AG40">
        <f>IF(OR(Settings!$A$21="",$E40="pre"),"",IF(AND('Month-End'!$AK$9&lt;&gt;"",NOT(_xlfn.ISFORMULA('Month-End'!$AK$9))),N('Month-End'!$AK$9),IF(OR($E40="open",$E39="pre"),N(Settings!$C$21),N($AG39))))</f>
        <v/>
      </c>
      <c r="AH40">
        <f>IF(OR(Settings!$A$22="",$E40="pre"),"",IF(AND('Month-End'!$AK$10&lt;&gt;"",NOT(_xlfn.ISFORMULA('Month-End'!$AK$10))),N('Month-End'!$AK$10),IF(OR($E40="open",$E39="pre"),N(Settings!$C$22),N($AH39))))</f>
        <v/>
      </c>
      <c r="AI40">
        <f>IF(OR(Settings!$A$23="",$E40="pre"),"",IF(AND('Month-End'!$AK$11&lt;&gt;"",NOT(_xlfn.ISFORMULA('Month-End'!$AK$11))),N('Month-End'!$AK$11),IF(OR($E40="open",$E39="pre"),N(Settings!$C$23),N($AI39))))</f>
        <v/>
      </c>
      <c r="AJ40">
        <f>IF(OR(Settings!$A$24="",$E40="pre"),"",IF(AND('Month-End'!$AK$12&lt;&gt;"",NOT(_xlfn.ISFORMULA('Month-End'!$AK$12))),N('Month-End'!$AK$12),IF(OR($E40="open",$E39="pre"),N(Settings!$C$24),N($AJ39))))</f>
        <v/>
      </c>
      <c r="AK40">
        <f>IF(OR(Settings!$A$25="",$E40="pre"),"",IF(AND('Month-End'!$AK$13&lt;&gt;"",NOT(_xlfn.ISFORMULA('Month-End'!$AK$13))),N('Month-End'!$AK$13),IF(OR($E40="open",$E39="pre"),N(Settings!$C$25),N($AK39))))</f>
        <v/>
      </c>
      <c r="AL40">
        <f>IF(OR(Settings!$A$26="",$E40="pre"),"",IF(AND('Month-End'!$AK$14&lt;&gt;"",NOT(_xlfn.ISFORMULA('Month-End'!$AK$14))),N('Month-End'!$AK$14),IF(OR($E40="open",$E39="pre"),N(Settings!$C$26),N($AL39))))</f>
        <v/>
      </c>
      <c r="AM40">
        <f>IF(OR(Settings!$A$27="",$E40="pre"),"",IF(AND('Month-End'!$AK$15&lt;&gt;"",NOT(_xlfn.ISFORMULA('Month-End'!$AK$15))),N('Month-End'!$AK$15),IF(OR($E40="open",$E39="pre"),N(Settings!$C$27),N($AM39))))</f>
        <v/>
      </c>
      <c r="AN40">
        <f>IF(OR(Settings!$A$28="",$E40="pre"),"",IF(AND('Month-End'!$AK$16&lt;&gt;"",NOT(_xlfn.ISFORMULA('Month-End'!$AK$16))),N('Month-End'!$AK$16),IF(OR($E40="open",$E39="pre"),N(Settings!$C$28),N($AN39))))</f>
        <v/>
      </c>
      <c r="AO40">
        <f>IF(OR(Settings!$A$29="",$E40="pre"),"",IF(AND('Month-End'!$AK$17&lt;&gt;"",NOT(_xlfn.ISFORMULA('Month-End'!$AK$17))),N('Month-End'!$AK$17),IF(OR($E40="open",$E39="pre"),N(Settings!$C$29),N($AO39))))</f>
        <v/>
      </c>
      <c r="AP40">
        <f>IF(OR(Settings!$A$30="",$E40="pre"),"",IF(AND('Month-End'!$AK$18&lt;&gt;"",NOT(_xlfn.ISFORMULA('Month-End'!$AK$18))),N('Month-End'!$AK$18),IF(OR($E40="open",$E39="pre"),N(Settings!$C$30),N($AP39))))</f>
        <v/>
      </c>
      <c r="AQ40">
        <f>IF(OR(Settings!$A$31="",$E40="pre"),"",IF(AND('Month-End'!$AK$19&lt;&gt;"",NOT(_xlfn.ISFORMULA('Month-End'!$AK$19))),N('Month-End'!$AK$19),IF(OR($E40="open",$E39="pre"),N(Settings!$C$31),N($AQ39))))</f>
        <v/>
      </c>
      <c r="AR40">
        <f>IF(OR(Settings!$A$32="",$E40="pre"),"",IF(AND('Month-End'!$AK$20&lt;&gt;"",NOT(_xlfn.ISFORMULA('Month-End'!$AK$20))),N('Month-End'!$AK$20),IF(OR($E40="open",$E39="pre"),N(Settings!$C$32),N($AR39))))</f>
        <v/>
      </c>
      <c r="AS40">
        <f>IF(OR(Settings!$A$36="",$E40="pre"),"",IF(AND('Month-End'!$AK$38&lt;&gt;"",NOT(_xlfn.ISFORMULA('Month-End'!$AK$38))),N('Month-End'!$AK$38),IF(OR($E40="open",$E39="pre"),N(Settings!$C$36),N($AS39))+$AY40))</f>
        <v/>
      </c>
      <c r="AT40">
        <f>IF(OR(Settings!$A$37="",$E40="pre"),"",IF(AND('Month-End'!$AK$39&lt;&gt;"",NOT(_xlfn.ISFORMULA('Month-End'!$AK$39))),N('Month-End'!$AK$39),IF(OR($E40="open",$E39="pre"),N(Settings!$C$37),N($AT39))+$AZ40))</f>
        <v/>
      </c>
      <c r="AU40">
        <f>IF(OR(Settings!$A$38="",$E40="pre"),"",IF(AND('Month-End'!$AK$40&lt;&gt;"",NOT(_xlfn.ISFORMULA('Month-End'!$AK$40))),N('Month-End'!$AK$40),IF(OR($E40="open",$E39="pre"),N(Settings!$C$38),N($AU39))+$BA40))</f>
        <v/>
      </c>
      <c r="AV40">
        <f>IF(OR(Settings!$A$39="",$E40="pre"),"",IF(AND('Month-End'!$AK$41&lt;&gt;"",NOT(_xlfn.ISFORMULA('Month-End'!$AK$41))),N('Month-End'!$AK$41),IF(OR($E40="open",$E39="pre"),N(Settings!$C$39),N($AV39))+$BB40))</f>
        <v/>
      </c>
      <c r="AW40">
        <f>IF(OR(Settings!$A$40="",$E40="pre"),"",IF(AND('Month-End'!$AK$42&lt;&gt;"",NOT(_xlfn.ISFORMULA('Month-End'!$AK$42))),N('Month-End'!$AK$42),IF(OR($E40="open",$E39="pre"),N(Settings!$C$40),N($AW39))+$BC40))</f>
        <v/>
      </c>
      <c r="AX40">
        <f>IF(OR(Settings!$A$41="",$E40="pre"),"",IF(AND('Month-End'!$AK$43&lt;&gt;"",NOT(_xlfn.ISFORMULA('Month-End'!$AK$43))),N('Month-End'!$AK$43),IF(OR($E40="open",$E39="pre"),N(Settings!$C$41),N($AX39))+$BD40))</f>
        <v/>
      </c>
      <c r="AY40">
        <f>IF($E40="pre",0,N('Month-End'!$AK$45))</f>
        <v/>
      </c>
      <c r="AZ40">
        <f>IF($E40="pre",0,N('Month-End'!$AK$46))</f>
        <v/>
      </c>
      <c r="BA40">
        <f>IF($E40="pre",0,N('Month-End'!$AK$47))</f>
        <v/>
      </c>
      <c r="BB40">
        <f>IF($E40="pre",0,N('Month-End'!$AK$48))</f>
        <v/>
      </c>
      <c r="BC40">
        <f>IF($E40="pre",0,N('Month-End'!$AK$49))</f>
        <v/>
      </c>
      <c r="BD40">
        <f>IF($E40="pre",0,N('Month-End'!$AK$50))</f>
        <v/>
      </c>
      <c r="BE40">
        <f>IF(OR(Settings!$C$45="",Settings!$D$45=""),0,Settings!$C$45*IF(Settings!$D$45="Weekly",IF(IFERROR(MATCH(Settings!$E$45,$EO$4:$EO$10,0),0)=0,0,IF(MIN($C40,IF(Settings!$G$45="",$C40,Settings!$G$45))&lt;MAX($A40,Settings!$F$45),0,INT((MIN($C40,IF(Settings!$G$45="",$C40,Settings!$G$45))-MAX($A40,Settings!$F$45)-MOD(IFERROR(MATCH(Settings!$E$45,$EO$4:$EO$10,0),0)-WEEKDAY(MAX($A40,Settings!$F$45)),7))/7)+1)),IF(AND(IF(Settings!$E$45="",$B40,DATE(YEAR($A40),MONTH($A40),MIN(Settings!$E$45,DAY($B40))))&gt;=MAX($A40,Settings!$F$45),IF(Settings!$E$45="",$B40,DATE(YEAR($A40),MONTH($A40),MIN(Settings!$E$45,DAY($B40))))&lt;=MIN($C40,IF(Settings!$G$45="",$C40,Settings!$G$45))),1,0)))</f>
        <v/>
      </c>
      <c r="BF40">
        <f>IF(OR(Settings!$C$46="",Settings!$D$46=""),0,Settings!$C$46*IF(Settings!$D$46="Weekly",IF(IFERROR(MATCH(Settings!$E$46,$EO$4:$EO$10,0),0)=0,0,IF(MIN($C40,IF(Settings!$G$46="",$C40,Settings!$G$46))&lt;MAX($A40,Settings!$F$46),0,INT((MIN($C40,IF(Settings!$G$46="",$C40,Settings!$G$46))-MAX($A40,Settings!$F$46)-MOD(IFERROR(MATCH(Settings!$E$46,$EO$4:$EO$10,0),0)-WEEKDAY(MAX($A40,Settings!$F$46)),7))/7)+1)),IF(AND(IF(Settings!$E$46="",$B40,DATE(YEAR($A40),MONTH($A40),MIN(Settings!$E$46,DAY($B40))))&gt;=MAX($A40,Settings!$F$46),IF(Settings!$E$46="",$B40,DATE(YEAR($A40),MONTH($A40),MIN(Settings!$E$46,DAY($B40))))&lt;=MIN($C40,IF(Settings!$G$46="",$C40,Settings!$G$46))),1,0)))</f>
        <v/>
      </c>
      <c r="BG40">
        <f>IF(OR(Settings!$C$47="",Settings!$D$47=""),0,Settings!$C$47*IF(Settings!$D$47="Weekly",IF(IFERROR(MATCH(Settings!$E$47,$EO$4:$EO$10,0),0)=0,0,IF(MIN($C40,IF(Settings!$G$47="",$C40,Settings!$G$47))&lt;MAX($A40,Settings!$F$47),0,INT((MIN($C40,IF(Settings!$G$47="",$C40,Settings!$G$47))-MAX($A40,Settings!$F$47)-MOD(IFERROR(MATCH(Settings!$E$47,$EO$4:$EO$10,0),0)-WEEKDAY(MAX($A40,Settings!$F$47)),7))/7)+1)),IF(AND(IF(Settings!$E$47="",$B40,DATE(YEAR($A40),MONTH($A40),MIN(Settings!$E$47,DAY($B40))))&gt;=MAX($A40,Settings!$F$47),IF(Settings!$E$47="",$B40,DATE(YEAR($A40),MONTH($A40),MIN(Settings!$E$47,DAY($B40))))&lt;=MIN($C40,IF(Settings!$G$47="",$C40,Settings!$G$47))),1,0)))</f>
        <v/>
      </c>
      <c r="BH40">
        <f>IF(OR(Settings!$C$48="",Settings!$D$48=""),0,Settings!$C$48*IF(Settings!$D$48="Weekly",IF(IFERROR(MATCH(Settings!$E$48,$EO$4:$EO$10,0),0)=0,0,IF(MIN($C40,IF(Settings!$G$48="",$C40,Settings!$G$48))&lt;MAX($A40,Settings!$F$48),0,INT((MIN($C40,IF(Settings!$G$48="",$C40,Settings!$G$48))-MAX($A40,Settings!$F$48)-MOD(IFERROR(MATCH(Settings!$E$48,$EO$4:$EO$10,0),0)-WEEKDAY(MAX($A40,Settings!$F$48)),7))/7)+1)),IF(AND(IF(Settings!$E$48="",$B40,DATE(YEAR($A40),MONTH($A40),MIN(Settings!$E$48,DAY($B40))))&gt;=MAX($A40,Settings!$F$48),IF(Settings!$E$48="",$B40,DATE(YEAR($A40),MONTH($A40),MIN(Settings!$E$48,DAY($B40))))&lt;=MIN($C40,IF(Settings!$G$48="",$C40,Settings!$G$48))),1,0)))</f>
        <v/>
      </c>
      <c r="BI40">
        <f>IF(OR(Settings!$C$49="",Settings!$D$49=""),0,Settings!$C$49*IF(Settings!$D$49="Weekly",IF(IFERROR(MATCH(Settings!$E$49,$EO$4:$EO$10,0),0)=0,0,IF(MIN($C40,IF(Settings!$G$49="",$C40,Settings!$G$49))&lt;MAX($A40,Settings!$F$49),0,INT((MIN($C40,IF(Settings!$G$49="",$C40,Settings!$G$49))-MAX($A40,Settings!$F$49)-MOD(IFERROR(MATCH(Settings!$E$49,$EO$4:$EO$10,0),0)-WEEKDAY(MAX($A40,Settings!$F$49)),7))/7)+1)),IF(AND(IF(Settings!$E$49="",$B40,DATE(YEAR($A40),MONTH($A40),MIN(Settings!$E$49,DAY($B40))))&gt;=MAX($A40,Settings!$F$49),IF(Settings!$E$49="",$B40,DATE(YEAR($A40),MONTH($A40),MIN(Settings!$E$49,DAY($B40))))&lt;=MIN($C40,IF(Settings!$G$49="",$C40,Settings!$G$49))),1,0)))</f>
        <v/>
      </c>
      <c r="BJ40">
        <f>IF(OR(Settings!$C$50="",Settings!$D$50=""),0,Settings!$C$50*IF(Settings!$D$50="Weekly",IF(IFERROR(MATCH(Settings!$E$50,$EO$4:$EO$10,0),0)=0,0,IF(MIN($C40,IF(Settings!$G$50="",$C40,Settings!$G$50))&lt;MAX($A40,Settings!$F$50),0,INT((MIN($C40,IF(Settings!$G$50="",$C40,Settings!$G$50))-MAX($A40,Settings!$F$50)-MOD(IFERROR(MATCH(Settings!$E$50,$EO$4:$EO$10,0),0)-WEEKDAY(MAX($A40,Settings!$F$50)),7))/7)+1)),IF(AND(IF(Settings!$E$50="",$B40,DATE(YEAR($A40),MONTH($A40),MIN(Settings!$E$50,DAY($B40))))&gt;=MAX($A40,Settings!$F$50),IF(Settings!$E$50="",$B40,DATE(YEAR($A40),MONTH($A40),MIN(Settings!$E$50,DAY($B40))))&lt;=MIN($C40,IF(Settings!$G$50="",$C40,Settings!$G$50))),1,0)))</f>
        <v/>
      </c>
      <c r="BK40">
        <f>IF(OR(Settings!$C$51="",Settings!$D$51=""),0,Settings!$C$51*IF(Settings!$D$51="Weekly",IF(IFERROR(MATCH(Settings!$E$51,$EO$4:$EO$10,0),0)=0,0,IF(MIN($C40,IF(Settings!$G$51="",$C40,Settings!$G$51))&lt;MAX($A40,Settings!$F$51),0,INT((MIN($C40,IF(Settings!$G$51="",$C40,Settings!$G$51))-MAX($A40,Settings!$F$51)-MOD(IFERROR(MATCH(Settings!$E$51,$EO$4:$EO$10,0),0)-WEEKDAY(MAX($A40,Settings!$F$51)),7))/7)+1)),IF(AND(IF(Settings!$E$51="",$B40,DATE(YEAR($A40),MONTH($A40),MIN(Settings!$E$51,DAY($B40))))&gt;=MAX($A40,Settings!$F$51),IF(Settings!$E$51="",$B40,DATE(YEAR($A40),MONTH($A40),MIN(Settings!$E$51,DAY($B40))))&lt;=MIN($C40,IF(Settings!$G$51="",$C40,Settings!$G$51))),1,0)))</f>
        <v/>
      </c>
      <c r="BL40">
        <f>IF(OR(Settings!$C$52="",Settings!$D$52=""),0,Settings!$C$52*IF(Settings!$D$52="Weekly",IF(IFERROR(MATCH(Settings!$E$52,$EO$4:$EO$10,0),0)=0,0,IF(MIN($C40,IF(Settings!$G$52="",$C40,Settings!$G$52))&lt;MAX($A40,Settings!$F$52),0,INT((MIN($C40,IF(Settings!$G$52="",$C40,Settings!$G$52))-MAX($A40,Settings!$F$52)-MOD(IFERROR(MATCH(Settings!$E$52,$EO$4:$EO$10,0),0)-WEEKDAY(MAX($A40,Settings!$F$52)),7))/7)+1)),IF(AND(IF(Settings!$E$52="",$B40,DATE(YEAR($A40),MONTH($A40),MIN(Settings!$E$52,DAY($B40))))&gt;=MAX($A40,Settings!$F$52),IF(Settings!$E$52="",$B40,DATE(YEAR($A40),MONTH($A40),MIN(Settings!$E$52,DAY($B40))))&lt;=MIN($C40,IF(Settings!$G$52="",$C40,Settings!$G$52))),1,0)))</f>
        <v/>
      </c>
      <c r="BM40">
        <f>IF(OR(Settings!$C$53="",Settings!$D$53=""),0,Settings!$C$53*IF(Settings!$D$53="Weekly",IF(IFERROR(MATCH(Settings!$E$53,$EO$4:$EO$10,0),0)=0,0,IF(MIN($C40,IF(Settings!$G$53="",$C40,Settings!$G$53))&lt;MAX($A40,Settings!$F$53),0,INT((MIN($C40,IF(Settings!$G$53="",$C40,Settings!$G$53))-MAX($A40,Settings!$F$53)-MOD(IFERROR(MATCH(Settings!$E$53,$EO$4:$EO$10,0),0)-WEEKDAY(MAX($A40,Settings!$F$53)),7))/7)+1)),IF(AND(IF(Settings!$E$53="",$B40,DATE(YEAR($A40),MONTH($A40),MIN(Settings!$E$53,DAY($B40))))&gt;=MAX($A40,Settings!$F$53),IF(Settings!$E$53="",$B40,DATE(YEAR($A40),MONTH($A40),MIN(Settings!$E$53,DAY($B40))))&lt;=MIN($C40,IF(Settings!$G$53="",$C40,Settings!$G$53))),1,0)))</f>
        <v/>
      </c>
      <c r="BN40">
        <f>IF(OR(Settings!$C$54="",Settings!$D$54=""),0,Settings!$C$54*IF(Settings!$D$54="Weekly",IF(IFERROR(MATCH(Settings!$E$54,$EO$4:$EO$10,0),0)=0,0,IF(MIN($C40,IF(Settings!$G$54="",$C40,Settings!$G$54))&lt;MAX($A40,Settings!$F$54),0,INT((MIN($C40,IF(Settings!$G$54="",$C40,Settings!$G$54))-MAX($A40,Settings!$F$54)-MOD(IFERROR(MATCH(Settings!$E$54,$EO$4:$EO$10,0),0)-WEEKDAY(MAX($A40,Settings!$F$54)),7))/7)+1)),IF(AND(IF(Settings!$E$54="",$B40,DATE(YEAR($A40),MONTH($A40),MIN(Settings!$E$54,DAY($B40))))&gt;=MAX($A40,Settings!$F$54),IF(Settings!$E$54="",$B40,DATE(YEAR($A40),MONTH($A40),MIN(Settings!$E$54,DAY($B40))))&lt;=MIN($C40,IF(Settings!$G$54="",$C40,Settings!$G$54))),1,0)))</f>
        <v/>
      </c>
      <c r="BO40">
        <f>IF(OR(Settings!$C$55="",Settings!$D$55=""),0,Settings!$C$55*IF(Settings!$D$55="Weekly",IF(IFERROR(MATCH(Settings!$E$55,$EO$4:$EO$10,0),0)=0,0,IF(MIN($C40,IF(Settings!$G$55="",$C40,Settings!$G$55))&lt;MAX($A40,Settings!$F$55),0,INT((MIN($C40,IF(Settings!$G$55="",$C40,Settings!$G$55))-MAX($A40,Settings!$F$55)-MOD(IFERROR(MATCH(Settings!$E$55,$EO$4:$EO$10,0),0)-WEEKDAY(MAX($A40,Settings!$F$55)),7))/7)+1)),IF(AND(IF(Settings!$E$55="",$B40,DATE(YEAR($A40),MONTH($A40),MIN(Settings!$E$55,DAY($B40))))&gt;=MAX($A40,Settings!$F$55),IF(Settings!$E$55="",$B40,DATE(YEAR($A40),MONTH($A40),MIN(Settings!$E$55,DAY($B40))))&lt;=MIN($C40,IF(Settings!$G$55="",$C40,Settings!$G$55))),1,0)))</f>
        <v/>
      </c>
      <c r="BP40">
        <f>IF(OR(Settings!$C$56="",Settings!$D$56=""),0,Settings!$C$56*IF(Settings!$D$56="Weekly",IF(IFERROR(MATCH(Settings!$E$56,$EO$4:$EO$10,0),0)=0,0,IF(MIN($C40,IF(Settings!$G$56="",$C40,Settings!$G$56))&lt;MAX($A40,Settings!$F$56),0,INT((MIN($C40,IF(Settings!$G$56="",$C40,Settings!$G$56))-MAX($A40,Settings!$F$56)-MOD(IFERROR(MATCH(Settings!$E$56,$EO$4:$EO$10,0),0)-WEEKDAY(MAX($A40,Settings!$F$56)),7))/7)+1)),IF(AND(IF(Settings!$E$56="",$B40,DATE(YEAR($A40),MONTH($A40),MIN(Settings!$E$56,DAY($B40))))&gt;=MAX($A40,Settings!$F$56),IF(Settings!$E$56="",$B40,DATE(YEAR($A40),MONTH($A40),MIN(Settings!$E$56,DAY($B40))))&lt;=MIN($C40,IF(Settings!$G$56="",$C40,Settings!$G$56))),1,0)))</f>
        <v/>
      </c>
      <c r="BQ40">
        <f>IF(OR(Settings!$B$14="",$D40=1,$E40="pre",$A40&lt;IF(Settings!$B$15="",0,Settings!$B$15)),0,Settings!$B$14)</f>
        <v/>
      </c>
      <c r="BR40">
        <f>IF(AND('Month-End'!$AK$7&lt;&gt;"",NOT(_xlfn.ISFORMULA('Month-End'!$AK$7))),1,0)</f>
        <v/>
      </c>
      <c r="BS40">
        <f>IF(AND('Month-End'!$AK$8&lt;&gt;"",NOT(_xlfn.ISFORMULA('Month-End'!$AK$8))),1,0)</f>
        <v/>
      </c>
      <c r="BT40">
        <f>IF(AND('Month-End'!$AK$9&lt;&gt;"",NOT(_xlfn.ISFORMULA('Month-End'!$AK$9))),1,0)</f>
        <v/>
      </c>
      <c r="BU40">
        <f>IF(AND('Month-End'!$AK$10&lt;&gt;"",NOT(_xlfn.ISFORMULA('Month-End'!$AK$10))),1,0)</f>
        <v/>
      </c>
      <c r="BV40">
        <f>IF(AND('Month-End'!$AK$11&lt;&gt;"",NOT(_xlfn.ISFORMULA('Month-End'!$AK$11))),1,0)</f>
        <v/>
      </c>
      <c r="BW40">
        <f>IF(AND('Month-End'!$AK$12&lt;&gt;"",NOT(_xlfn.ISFORMULA('Month-End'!$AK$12))),1,0)</f>
        <v/>
      </c>
      <c r="BX40">
        <f>IF(AND('Month-End'!$AK$13&lt;&gt;"",NOT(_xlfn.ISFORMULA('Month-End'!$AK$13))),1,0)</f>
        <v/>
      </c>
      <c r="BY40">
        <f>IF(AND('Month-End'!$AK$14&lt;&gt;"",NOT(_xlfn.ISFORMULA('Month-End'!$AK$14))),1,0)</f>
        <v/>
      </c>
      <c r="BZ40">
        <f>IF(AND('Month-End'!$AK$15&lt;&gt;"",NOT(_xlfn.ISFORMULA('Month-End'!$AK$15))),1,0)</f>
        <v/>
      </c>
      <c r="CA40">
        <f>IF(AND('Month-End'!$AK$16&lt;&gt;"",NOT(_xlfn.ISFORMULA('Month-End'!$AK$16))),1,0)</f>
        <v/>
      </c>
      <c r="CB40">
        <f>IF(AND('Month-End'!$AK$17&lt;&gt;"",NOT(_xlfn.ISFORMULA('Month-End'!$AK$17))),1,0)</f>
        <v/>
      </c>
      <c r="CC40">
        <f>IF(AND('Month-End'!$AK$18&lt;&gt;"",NOT(_xlfn.ISFORMULA('Month-End'!$AK$18))),1,0)</f>
        <v/>
      </c>
      <c r="CD40">
        <f>IF(AND('Month-End'!$AK$19&lt;&gt;"",NOT(_xlfn.ISFORMULA('Month-End'!$AK$19))),1,0)</f>
        <v/>
      </c>
      <c r="CE40">
        <f>IF(AND('Month-End'!$AK$20&lt;&gt;"",NOT(_xlfn.ISFORMULA('Month-End'!$AK$20))),1,0)</f>
        <v/>
      </c>
      <c r="CF40">
        <f>IF(AND('Month-End'!$AK$38&lt;&gt;"",NOT(_xlfn.ISFORMULA('Month-End'!$AK$38))),1,0)</f>
        <v/>
      </c>
      <c r="CG40">
        <f>IF(AND('Month-End'!$AK$39&lt;&gt;"",NOT(_xlfn.ISFORMULA('Month-End'!$AK$39))),1,0)</f>
        <v/>
      </c>
      <c r="CH40">
        <f>IF(AND('Month-End'!$AK$40&lt;&gt;"",NOT(_xlfn.ISFORMULA('Month-End'!$AK$40))),1,0)</f>
        <v/>
      </c>
      <c r="CI40">
        <f>IF(AND('Month-End'!$AK$41&lt;&gt;"",NOT(_xlfn.ISFORMULA('Month-End'!$AK$41))),1,0)</f>
        <v/>
      </c>
      <c r="CJ40">
        <f>IF(AND('Month-End'!$AK$42&lt;&gt;"",NOT(_xlfn.ISFORMULA('Month-End'!$AK$42))),1,0)</f>
        <v/>
      </c>
      <c r="CK40">
        <f>IF(AND('Month-End'!$AK$43&lt;&gt;"",NOT(_xlfn.ISFORMULA('Month-End'!$AK$43))),1,0)</f>
        <v/>
      </c>
      <c r="CL40">
        <f>SUM($CM40:$CZ40)</f>
        <v/>
      </c>
      <c r="CM40">
        <f>IF(AND($E40&lt;&gt;"pre",AND(Settings!$A$19&lt;&gt;"",Settings!$E$19&lt;&gt;"No"),Settings!$F$19="Yes",NOT(AND('Month-End'!$AK$7&lt;&gt;"",NOT(_xlfn.ISFORMULA('Month-End'!$AK$7))))),1,0)</f>
        <v/>
      </c>
      <c r="CN40">
        <f>IF(AND($E40&lt;&gt;"pre",AND(Settings!$A$20&lt;&gt;"",Settings!$E$20&lt;&gt;"No"),Settings!$F$20="Yes",NOT(AND('Month-End'!$AK$8&lt;&gt;"",NOT(_xlfn.ISFORMULA('Month-End'!$AK$8))))),1,0)</f>
        <v/>
      </c>
      <c r="CO40">
        <f>IF(AND($E40&lt;&gt;"pre",AND(Settings!$A$21&lt;&gt;"",Settings!$E$21&lt;&gt;"No"),Settings!$F$21="Yes",NOT(AND('Month-End'!$AK$9&lt;&gt;"",NOT(_xlfn.ISFORMULA('Month-End'!$AK$9))))),1,0)</f>
        <v/>
      </c>
      <c r="CP40">
        <f>IF(AND($E40&lt;&gt;"pre",AND(Settings!$A$22&lt;&gt;"",Settings!$E$22&lt;&gt;"No"),Settings!$F$22="Yes",NOT(AND('Month-End'!$AK$10&lt;&gt;"",NOT(_xlfn.ISFORMULA('Month-End'!$AK$10))))),1,0)</f>
        <v/>
      </c>
      <c r="CQ40">
        <f>IF(AND($E40&lt;&gt;"pre",AND(Settings!$A$23&lt;&gt;"",Settings!$E$23&lt;&gt;"No"),Settings!$F$23="Yes",NOT(AND('Month-End'!$AK$11&lt;&gt;"",NOT(_xlfn.ISFORMULA('Month-End'!$AK$11))))),1,0)</f>
        <v/>
      </c>
      <c r="CR40">
        <f>IF(AND($E40&lt;&gt;"pre",AND(Settings!$A$24&lt;&gt;"",Settings!$E$24&lt;&gt;"No"),Settings!$F$24="Yes",NOT(AND('Month-End'!$AK$12&lt;&gt;"",NOT(_xlfn.ISFORMULA('Month-End'!$AK$12))))),1,0)</f>
        <v/>
      </c>
      <c r="CS40">
        <f>IF(AND($E40&lt;&gt;"pre",AND(Settings!$A$25&lt;&gt;"",Settings!$E$25&lt;&gt;"No"),Settings!$F$25="Yes",NOT(AND('Month-End'!$AK$13&lt;&gt;"",NOT(_xlfn.ISFORMULA('Month-End'!$AK$13))))),1,0)</f>
        <v/>
      </c>
      <c r="CT40">
        <f>IF(AND($E40&lt;&gt;"pre",AND(Settings!$A$26&lt;&gt;"",Settings!$E$26&lt;&gt;"No"),Settings!$F$26="Yes",NOT(AND('Month-End'!$AK$14&lt;&gt;"",NOT(_xlfn.ISFORMULA('Month-End'!$AK$14))))),1,0)</f>
        <v/>
      </c>
      <c r="CU40">
        <f>IF(AND($E40&lt;&gt;"pre",AND(Settings!$A$27&lt;&gt;"",Settings!$E$27&lt;&gt;"No"),Settings!$F$27="Yes",NOT(AND('Month-End'!$AK$15&lt;&gt;"",NOT(_xlfn.ISFORMULA('Month-End'!$AK$15))))),1,0)</f>
        <v/>
      </c>
      <c r="CV40">
        <f>IF(AND($E40&lt;&gt;"pre",AND(Settings!$A$28&lt;&gt;"",Settings!$E$28&lt;&gt;"No"),Settings!$F$28="Yes",NOT(AND('Month-End'!$AK$16&lt;&gt;"",NOT(_xlfn.ISFORMULA('Month-End'!$AK$16))))),1,0)</f>
        <v/>
      </c>
      <c r="CW40">
        <f>IF(AND($E40&lt;&gt;"pre",AND(Settings!$A$29&lt;&gt;"",Settings!$E$29&lt;&gt;"No"),Settings!$F$29="Yes",NOT(AND('Month-End'!$AK$17&lt;&gt;"",NOT(_xlfn.ISFORMULA('Month-End'!$AK$17))))),1,0)</f>
        <v/>
      </c>
      <c r="CX40">
        <f>IF(AND($E40&lt;&gt;"pre",AND(Settings!$A$30&lt;&gt;"",Settings!$E$30&lt;&gt;"No"),Settings!$F$30="Yes",NOT(AND('Month-End'!$AK$18&lt;&gt;"",NOT(_xlfn.ISFORMULA('Month-End'!$AK$18))))),1,0)</f>
        <v/>
      </c>
      <c r="CY40">
        <f>IF(AND($E40&lt;&gt;"pre",AND(Settings!$A$31&lt;&gt;"",Settings!$E$31&lt;&gt;"No"),Settings!$F$31="Yes",NOT(AND('Month-End'!$AK$19&lt;&gt;"",NOT(_xlfn.ISFORMULA('Month-End'!$AK$19))))),1,0)</f>
        <v/>
      </c>
      <c r="CZ40">
        <f>IF(AND($E40&lt;&gt;"pre",AND(Settings!$A$32&lt;&gt;"",Settings!$E$32&lt;&gt;"No"),Settings!$F$32="Yes",NOT(AND('Month-End'!$AK$20&lt;&gt;"",NOT(_xlfn.ISFORMULA('Month-End'!$AK$20))))),1,0)</f>
        <v/>
      </c>
      <c r="DA40">
        <f>IF($DT40=1,IF(OR(Settings!$B$19="Checking",Settings!$B$19="Savings",Settings!$B$19="Cash"),N($AE40),IF(OR(Settings!$B$19="Card",Settings!$B$19="Loan"),-N($AE40),0))+IF(OR(Settings!$B$20="Checking",Settings!$B$20="Savings",Settings!$B$20="Cash"),N($AF40),IF(OR(Settings!$B$20="Card",Settings!$B$20="Loan"),-N($AF40),0))+IF(OR(Settings!$B$21="Checking",Settings!$B$21="Savings",Settings!$B$21="Cash"),N($AG40),IF(OR(Settings!$B$21="Card",Settings!$B$21="Loan"),-N($AG40),0))+IF(OR(Settings!$B$22="Checking",Settings!$B$22="Savings",Settings!$B$22="Cash"),N($AH40),IF(OR(Settings!$B$22="Card",Settings!$B$22="Loan"),-N($AH40),0))+IF(OR(Settings!$B$23="Checking",Settings!$B$23="Savings",Settings!$B$23="Cash"),N($AI40),IF(OR(Settings!$B$23="Card",Settings!$B$23="Loan"),-N($AI40),0))+IF(OR(Settings!$B$24="Checking",Settings!$B$24="Savings",Settings!$B$24="Cash"),N($AJ40),IF(OR(Settings!$B$24="Card",Settings!$B$24="Loan"),-N($AJ40),0))+IF(OR(Settings!$B$25="Checking",Settings!$B$25="Savings",Settings!$B$25="Cash"),N($AK40),IF(OR(Settings!$B$25="Card",Settings!$B$25="Loan"),-N($AK40),0))+IF(OR(Settings!$B$26="Checking",Settings!$B$26="Savings",Settings!$B$26="Cash"),N($AL40),IF(OR(Settings!$B$26="Card",Settings!$B$26="Loan"),-N($AL40),0))+IF(OR(Settings!$B$27="Checking",Settings!$B$27="Savings",Settings!$B$27="Cash"),N($AM40),IF(OR(Settings!$B$27="Card",Settings!$B$27="Loan"),-N($AM40),0))+IF(OR(Settings!$B$28="Checking",Settings!$B$28="Savings",Settings!$B$28="Cash"),N($AN40),IF(OR(Settings!$B$28="Card",Settings!$B$28="Loan"),-N($AN40),0))+IF(OR(Settings!$B$29="Checking",Settings!$B$29="Savings",Settings!$B$29="Cash"),N($AO40),IF(OR(Settings!$B$29="Card",Settings!$B$29="Loan"),-N($AO40),0))+IF(OR(Settings!$B$30="Checking",Settings!$B$30="Savings",Settings!$B$30="Cash"),N($AP40),IF(OR(Settings!$B$30="Card",Settings!$B$30="Loan"),-N($AP40),0))+IF(OR(Settings!$B$31="Checking",Settings!$B$31="Savings",Settings!$B$31="Cash"),N($AQ40),IF(OR(Settings!$B$31="Card",Settings!$B$31="Loan"),-N($AQ40),0))+IF(OR(Settings!$B$32="Checking",Settings!$B$32="Savings",Settings!$B$32="Cash"),N($AR40),IF(OR(Settings!$B$32="Card",Settings!$B$32="Loan"),-N($AR40),0)),"")</f>
        <v/>
      </c>
      <c r="DB40">
        <f>IF($E40="open",$EB$27,IF($E40="post",IF($E39="pre",$EB$27,$DA39),""))</f>
        <v/>
      </c>
      <c r="DC40">
        <f>IF($E40="open",1,IF($E40="post",IF($E39="pre",1,$DT39),0))</f>
        <v/>
      </c>
      <c r="DD40">
        <f>IF(AND($DT40=1,$DC40=1),ROUND($W40-($DA40-$DB40)-$AD40-$AB40,2),"")</f>
        <v/>
      </c>
      <c r="DE40">
        <f>IF('Month-End'!$AK$35="",$BQ40,N('Month-End'!$AK$35))</f>
        <v/>
      </c>
      <c r="DF40">
        <f>N('Month-End'!$AK$36)</f>
        <v/>
      </c>
      <c r="DG40">
        <f>IF($DD40="","",$DD40+$DE40)</f>
        <v/>
      </c>
      <c r="DH40">
        <f>IF($DG40="","",$DG40-$DF40)</f>
        <v/>
      </c>
      <c r="DI40">
        <f>IF(OR($E40="pre",$D40=1),"",N($AS40)+N($AT40)+N($AU40)+N($AV40)+N($AW40)+N($AX40))</f>
        <v/>
      </c>
      <c r="DJ40">
        <f>IF($DT40=1,$DA40+N($DI40),"")</f>
        <v/>
      </c>
      <c r="DK40">
        <f>IF($DD40="","",$W40-$DD40-$AB40)</f>
        <v/>
      </c>
      <c r="DL40">
        <f>IF(AND($E40="post",$DD40&lt;&gt;"",$B40&lt;TODAY()),1,0)</f>
        <v/>
      </c>
      <c r="DM40">
        <f>IF($DL40=1,COUNTIF($DL40:$DL$183,1),0)</f>
        <v/>
      </c>
      <c r="DN40">
        <f>IF($D40=1,"",IF($E40="pre","History only",IF($DT40=1,IF($DD40="","⚠ Previous month missing",IF($DD40&lt;0,"⚠ Check: spending &lt; 0",IF($E40="open","✓ Done (partial)","✓ Done"))),IF($B40&gt;=TODAY(),"In progress","⚠ Needs balances"))))</f>
        <v/>
      </c>
      <c r="DO40">
        <f>YEAR($A40)</f>
        <v/>
      </c>
      <c r="DP40">
        <f>DATE(YEAR($A40),INT((MONTH($A40)-1)/3)*3+1,1)</f>
        <v/>
      </c>
      <c r="DQ40">
        <f>IF(AND($DT40=1,$DD40&lt;&gt;"",$D40=0),ROW(),0)</f>
        <v/>
      </c>
      <c r="DR40">
        <f>IF(AND($E40&lt;&gt;"pre",$B40&lt;TODAY(),$DT40=0),1,0)</f>
        <v/>
      </c>
      <c r="DS40">
        <f>IF($DJ40="",NA(),$DJ40)</f>
        <v/>
      </c>
      <c r="DT40">
        <f>IF(AND($E40&lt;&gt;"pre",$CL40=0,COUNTIFS(Settings!$F$19:$F$32,"Yes",Settings!$A$19:$A$32,"&lt;&gt;",Settings!$E$19:$E$32,"&lt;&gt;No")&gt;0),1,0)</f>
        <v/>
      </c>
      <c r="DU40">
        <f>IF(AND($B40&lt;TODAY(),$S40&gt;0),1,0)</f>
        <v/>
      </c>
      <c r="DV40">
        <f>IF($DU40=1,COUNTIF($DU40:$DU$183,1),0)</f>
        <v/>
      </c>
      <c r="DW40">
        <f>IF(AND(OR(Settings!$B$19="Card",Settings!$B$19="Loan"),AND('Month-End'!$AK$7&lt;&gt;"",NOT(_xlfn.ISFORMULA('Month-End'!$AK$7)))),IF(N('Month-End'!$AK$7)&lt;0,1,0),0)+IF(AND(OR(Settings!$B$20="Card",Settings!$B$20="Loan"),AND('Month-End'!$AK$8&lt;&gt;"",NOT(_xlfn.ISFORMULA('Month-End'!$AK$8)))),IF(N('Month-End'!$AK$8)&lt;0,1,0),0)+IF(AND(OR(Settings!$B$21="Card",Settings!$B$21="Loan"),AND('Month-End'!$AK$9&lt;&gt;"",NOT(_xlfn.ISFORMULA('Month-End'!$AK$9)))),IF(N('Month-End'!$AK$9)&lt;0,1,0),0)+IF(AND(OR(Settings!$B$22="Card",Settings!$B$22="Loan"),AND('Month-End'!$AK$10&lt;&gt;"",NOT(_xlfn.ISFORMULA('Month-End'!$AK$10)))),IF(N('Month-End'!$AK$10)&lt;0,1,0),0)+IF(AND(OR(Settings!$B$23="Card",Settings!$B$23="Loan"),AND('Month-End'!$AK$11&lt;&gt;"",NOT(_xlfn.ISFORMULA('Month-End'!$AK$11)))),IF(N('Month-End'!$AK$11)&lt;0,1,0),0)+IF(AND(OR(Settings!$B$24="Card",Settings!$B$24="Loan"),AND('Month-End'!$AK$12&lt;&gt;"",NOT(_xlfn.ISFORMULA('Month-End'!$AK$12)))),IF(N('Month-End'!$AK$12)&lt;0,1,0),0)+IF(AND(OR(Settings!$B$25="Card",Settings!$B$25="Loan"),AND('Month-End'!$AK$13&lt;&gt;"",NOT(_xlfn.ISFORMULA('Month-End'!$AK$13)))),IF(N('Month-End'!$AK$13)&lt;0,1,0),0)+IF(AND(OR(Settings!$B$26="Card",Settings!$B$26="Loan"),AND('Month-End'!$AK$14&lt;&gt;"",NOT(_xlfn.ISFORMULA('Month-End'!$AK$14)))),IF(N('Month-End'!$AK$14)&lt;0,1,0),0)+IF(AND(OR(Settings!$B$27="Card",Settings!$B$27="Loan"),AND('Month-End'!$AK$15&lt;&gt;"",NOT(_xlfn.ISFORMULA('Month-End'!$AK$15)))),IF(N('Month-End'!$AK$15)&lt;0,1,0),0)+IF(AND(OR(Settings!$B$28="Card",Settings!$B$28="Loan"),AND('Month-End'!$AK$16&lt;&gt;"",NOT(_xlfn.ISFORMULA('Month-End'!$AK$16)))),IF(N('Month-End'!$AK$16)&lt;0,1,0),0)+IF(AND(OR(Settings!$B$29="Card",Settings!$B$29="Loan"),AND('Month-End'!$AK$17&lt;&gt;"",NOT(_xlfn.ISFORMULA('Month-End'!$AK$17)))),IF(N('Month-End'!$AK$17)&lt;0,1,0),0)+IF(AND(OR(Settings!$B$30="Card",Settings!$B$30="Loan"),AND('Month-End'!$AK$18&lt;&gt;"",NOT(_xlfn.ISFORMULA('Month-End'!$AK$18)))),IF(N('Month-End'!$AK$18)&lt;0,1,0),0)+IF(AND(OR(Settings!$B$31="Card",Settings!$B$31="Loan"),AND('Month-End'!$AK$19&lt;&gt;"",NOT(_xlfn.ISFORMULA('Month-End'!$AK$19)))),IF(N('Month-End'!$AK$19)&lt;0,1,0),0)+IF(AND(OR(Settings!$B$32="Card",Settings!$B$32="Loan"),AND('Month-End'!$AK$20&lt;&gt;"",NOT(_xlfn.ISFORMULA('Month-End'!$AK$20)))),IF(N('Month-End'!$AK$20)&lt;0,1,0),0)</f>
        <v/>
      </c>
      <c r="DX40">
        <f>IF(Settings!$B$36="Retirement",$AY40,0)+IF(Settings!$B$37="Retirement",$AZ40,0)+IF(Settings!$B$38="Retirement",$BA40,0)+IF(Settings!$B$39="Retirement",$BB40,0)+IF(Settings!$B$40="Retirement",$BC40,0)+IF(Settings!$B$41="Retirement",$BD40,0)</f>
        <v/>
      </c>
      <c r="EA40">
        <f>IF(Settings!$A$19="","",Settings!$A$19)</f>
        <v/>
      </c>
      <c r="EB40">
        <f>IF(Settings!$A$19="","",IF($EB$5=0,N(Settings!$C$19),N(INDEX($AE:$AE,$EB$5))))</f>
        <v/>
      </c>
      <c r="EC40">
        <f>""</f>
        <v/>
      </c>
      <c r="ED40">
        <f>IF(AND(AND(Settings!$A$19&lt;&gt;"",Settings!$E$19&lt;&gt;"No"),Settings!$B$19="Cash",Settings!$B$5&lt;EDATE(TODAY(),-6),COUNTIFS($BR$6:$BR$183,1,$A$6:$A$183,"&gt;="&amp;EDATE(TODAY(),-6))=0),1,0)</f>
        <v/>
      </c>
      <c r="EI40">
        <f>IF(AND(Settings!$A$19&lt;&gt;"",Settings!$E$19&lt;&gt;"No"),COUNTIFS($EK$40:$EK40,1),"")</f>
        <v/>
      </c>
      <c r="EJ40">
        <f>IF(Settings!$A$19="","",Settings!$B$19)</f>
        <v/>
      </c>
      <c r="EK40">
        <f>IF(AND(Settings!$A$19&lt;&gt;"",Settings!$E$19&lt;&gt;"No"),1,0)</f>
        <v/>
      </c>
      <c r="EL40">
        <f>IF(Settings!$A$19="","",IF(OR(Settings!$B$19="Card",Settings!$B$19="Loan"),-N(EB40),N(EB40)))</f>
        <v/>
      </c>
      <c r="EM40">
        <f>IF(Settings!$A$19="","",IF(Settings!$D$19="Yes","estimate",""))</f>
        <v/>
      </c>
      <c r="ET40">
        <f>IF($E40&lt;&gt;"open",0,IF(AND('Month-End'!$AK$22&lt;&gt;"",NOT(_xlfn.ISFORMULA('Month-End'!$AK$22))),0,IF(OR(Settings!$C$45="",Settings!$D$45=""),0,Settings!$C$45*IF(Settings!$D$45="Weekly",IF(IFERROR(MATCH(Settings!$E$45,$EO$4:$EO$10,0),0)=0,0,IF(MIN(Settings!$B$5,IF(Settings!$G$45="",Settings!$B$5,Settings!$G$45))&lt;MAX($A40,Settings!$F$45),0,INT((MIN(Settings!$B$5,IF(Settings!$G$45="",Settings!$B$5,Settings!$G$45))-MAX($A40,Settings!$F$45)-MOD(IFERROR(MATCH(Settings!$E$45,$EO$4:$EO$10,0),0)-WEEKDAY(MAX($A40,Settings!$F$45)),7))/7)+1)),IF(AND(IF(Settings!$E$45="",$B40,DATE(YEAR($A40),MONTH($A40),MIN(Settings!$E$45,DAY($B40))))&gt;=MAX($A40,Settings!$F$45),IF(Settings!$E$45="",$B40,DATE(YEAR($A40),MONTH($A40),MIN(Settings!$E$45,DAY($B40))))&lt;=MIN(Settings!$B$5,IF(Settings!$G$45="",Settings!$B$5,Settings!$G$45))),1,0)))))</f>
        <v/>
      </c>
      <c r="EU40">
        <f>IF($E40&lt;&gt;"open",0,IF(AND('Month-End'!$AK$23&lt;&gt;"",NOT(_xlfn.ISFORMULA('Month-End'!$AK$23))),0,IF(OR(Settings!$C$46="",Settings!$D$46=""),0,Settings!$C$46*IF(Settings!$D$46="Weekly",IF(IFERROR(MATCH(Settings!$E$46,$EO$4:$EO$10,0),0)=0,0,IF(MIN(Settings!$B$5,IF(Settings!$G$46="",Settings!$B$5,Settings!$G$46))&lt;MAX($A40,Settings!$F$46),0,INT((MIN(Settings!$B$5,IF(Settings!$G$46="",Settings!$B$5,Settings!$G$46))-MAX($A40,Settings!$F$46)-MOD(IFERROR(MATCH(Settings!$E$46,$EO$4:$EO$10,0),0)-WEEKDAY(MAX($A40,Settings!$F$46)),7))/7)+1)),IF(AND(IF(Settings!$E$46="",$B40,DATE(YEAR($A40),MONTH($A40),MIN(Settings!$E$46,DAY($B40))))&gt;=MAX($A40,Settings!$F$46),IF(Settings!$E$46="",$B40,DATE(YEAR($A40),MONTH($A40),MIN(Settings!$E$46,DAY($B40))))&lt;=MIN(Settings!$B$5,IF(Settings!$G$46="",Settings!$B$5,Settings!$G$46))),1,0)))))</f>
        <v/>
      </c>
      <c r="EV40">
        <f>IF($E40&lt;&gt;"open",0,IF(AND('Month-End'!$AK$24&lt;&gt;"",NOT(_xlfn.ISFORMULA('Month-End'!$AK$24))),0,IF(OR(Settings!$C$47="",Settings!$D$47=""),0,Settings!$C$47*IF(Settings!$D$47="Weekly",IF(IFERROR(MATCH(Settings!$E$47,$EO$4:$EO$10,0),0)=0,0,IF(MIN(Settings!$B$5,IF(Settings!$G$47="",Settings!$B$5,Settings!$G$47))&lt;MAX($A40,Settings!$F$47),0,INT((MIN(Settings!$B$5,IF(Settings!$G$47="",Settings!$B$5,Settings!$G$47))-MAX($A40,Settings!$F$47)-MOD(IFERROR(MATCH(Settings!$E$47,$EO$4:$EO$10,0),0)-WEEKDAY(MAX($A40,Settings!$F$47)),7))/7)+1)),IF(AND(IF(Settings!$E$47="",$B40,DATE(YEAR($A40),MONTH($A40),MIN(Settings!$E$47,DAY($B40))))&gt;=MAX($A40,Settings!$F$47),IF(Settings!$E$47="",$B40,DATE(YEAR($A40),MONTH($A40),MIN(Settings!$E$47,DAY($B40))))&lt;=MIN(Settings!$B$5,IF(Settings!$G$47="",Settings!$B$5,Settings!$G$47))),1,0)))))</f>
        <v/>
      </c>
      <c r="EW40">
        <f>IF($E40&lt;&gt;"open",0,IF(AND('Month-End'!$AK$25&lt;&gt;"",NOT(_xlfn.ISFORMULA('Month-End'!$AK$25))),0,IF(OR(Settings!$C$48="",Settings!$D$48=""),0,Settings!$C$48*IF(Settings!$D$48="Weekly",IF(IFERROR(MATCH(Settings!$E$48,$EO$4:$EO$10,0),0)=0,0,IF(MIN(Settings!$B$5,IF(Settings!$G$48="",Settings!$B$5,Settings!$G$48))&lt;MAX($A40,Settings!$F$48),0,INT((MIN(Settings!$B$5,IF(Settings!$G$48="",Settings!$B$5,Settings!$G$48))-MAX($A40,Settings!$F$48)-MOD(IFERROR(MATCH(Settings!$E$48,$EO$4:$EO$10,0),0)-WEEKDAY(MAX($A40,Settings!$F$48)),7))/7)+1)),IF(AND(IF(Settings!$E$48="",$B40,DATE(YEAR($A40),MONTH($A40),MIN(Settings!$E$48,DAY($B40))))&gt;=MAX($A40,Settings!$F$48),IF(Settings!$E$48="",$B40,DATE(YEAR($A40),MONTH($A40),MIN(Settings!$E$48,DAY($B40))))&lt;=MIN(Settings!$B$5,IF(Settings!$G$48="",Settings!$B$5,Settings!$G$48))),1,0)))))</f>
        <v/>
      </c>
      <c r="EX40">
        <f>IF($E40&lt;&gt;"open",0,IF(AND('Month-End'!$AK$26&lt;&gt;"",NOT(_xlfn.ISFORMULA('Month-End'!$AK$26))),0,IF(OR(Settings!$C$49="",Settings!$D$49=""),0,Settings!$C$49*IF(Settings!$D$49="Weekly",IF(IFERROR(MATCH(Settings!$E$49,$EO$4:$EO$10,0),0)=0,0,IF(MIN(Settings!$B$5,IF(Settings!$G$49="",Settings!$B$5,Settings!$G$49))&lt;MAX($A40,Settings!$F$49),0,INT((MIN(Settings!$B$5,IF(Settings!$G$49="",Settings!$B$5,Settings!$G$49))-MAX($A40,Settings!$F$49)-MOD(IFERROR(MATCH(Settings!$E$49,$EO$4:$EO$10,0),0)-WEEKDAY(MAX($A40,Settings!$F$49)),7))/7)+1)),IF(AND(IF(Settings!$E$49="",$B40,DATE(YEAR($A40),MONTH($A40),MIN(Settings!$E$49,DAY($B40))))&gt;=MAX($A40,Settings!$F$49),IF(Settings!$E$49="",$B40,DATE(YEAR($A40),MONTH($A40),MIN(Settings!$E$49,DAY($B40))))&lt;=MIN(Settings!$B$5,IF(Settings!$G$49="",Settings!$B$5,Settings!$G$49))),1,0)))))</f>
        <v/>
      </c>
      <c r="EY40">
        <f>IF($E40&lt;&gt;"open",0,IF(AND('Month-End'!$AK$27&lt;&gt;"",NOT(_xlfn.ISFORMULA('Month-End'!$AK$27))),0,IF(OR(Settings!$C$50="",Settings!$D$50=""),0,Settings!$C$50*IF(Settings!$D$50="Weekly",IF(IFERROR(MATCH(Settings!$E$50,$EO$4:$EO$10,0),0)=0,0,IF(MIN(Settings!$B$5,IF(Settings!$G$50="",Settings!$B$5,Settings!$G$50))&lt;MAX($A40,Settings!$F$50),0,INT((MIN(Settings!$B$5,IF(Settings!$G$50="",Settings!$B$5,Settings!$G$50))-MAX($A40,Settings!$F$50)-MOD(IFERROR(MATCH(Settings!$E$50,$EO$4:$EO$10,0),0)-WEEKDAY(MAX($A40,Settings!$F$50)),7))/7)+1)),IF(AND(IF(Settings!$E$50="",$B40,DATE(YEAR($A40),MONTH($A40),MIN(Settings!$E$50,DAY($B40))))&gt;=MAX($A40,Settings!$F$50),IF(Settings!$E$50="",$B40,DATE(YEAR($A40),MONTH($A40),MIN(Settings!$E$50,DAY($B40))))&lt;=MIN(Settings!$B$5,IF(Settings!$G$50="",Settings!$B$5,Settings!$G$50))),1,0)))))</f>
        <v/>
      </c>
      <c r="EZ40">
        <f>IF($E40&lt;&gt;"open",0,IF(AND('Month-End'!$AK$28&lt;&gt;"",NOT(_xlfn.ISFORMULA('Month-End'!$AK$28))),0,IF(OR(Settings!$C$51="",Settings!$D$51=""),0,Settings!$C$51*IF(Settings!$D$51="Weekly",IF(IFERROR(MATCH(Settings!$E$51,$EO$4:$EO$10,0),0)=0,0,IF(MIN(Settings!$B$5,IF(Settings!$G$51="",Settings!$B$5,Settings!$G$51))&lt;MAX($A40,Settings!$F$51),0,INT((MIN(Settings!$B$5,IF(Settings!$G$51="",Settings!$B$5,Settings!$G$51))-MAX($A40,Settings!$F$51)-MOD(IFERROR(MATCH(Settings!$E$51,$EO$4:$EO$10,0),0)-WEEKDAY(MAX($A40,Settings!$F$51)),7))/7)+1)),IF(AND(IF(Settings!$E$51="",$B40,DATE(YEAR($A40),MONTH($A40),MIN(Settings!$E$51,DAY($B40))))&gt;=MAX($A40,Settings!$F$51),IF(Settings!$E$51="",$B40,DATE(YEAR($A40),MONTH($A40),MIN(Settings!$E$51,DAY($B40))))&lt;=MIN(Settings!$B$5,IF(Settings!$G$51="",Settings!$B$5,Settings!$G$51))),1,0)))))</f>
        <v/>
      </c>
      <c r="FA40">
        <f>IF($E40&lt;&gt;"open",0,IF(AND('Month-End'!$AK$29&lt;&gt;"",NOT(_xlfn.ISFORMULA('Month-End'!$AK$29))),0,IF(OR(Settings!$C$52="",Settings!$D$52=""),0,Settings!$C$52*IF(Settings!$D$52="Weekly",IF(IFERROR(MATCH(Settings!$E$52,$EO$4:$EO$10,0),0)=0,0,IF(MIN(Settings!$B$5,IF(Settings!$G$52="",Settings!$B$5,Settings!$G$52))&lt;MAX($A40,Settings!$F$52),0,INT((MIN(Settings!$B$5,IF(Settings!$G$52="",Settings!$B$5,Settings!$G$52))-MAX($A40,Settings!$F$52)-MOD(IFERROR(MATCH(Settings!$E$52,$EO$4:$EO$10,0),0)-WEEKDAY(MAX($A40,Settings!$F$52)),7))/7)+1)),IF(AND(IF(Settings!$E$52="",$B40,DATE(YEAR($A40),MONTH($A40),MIN(Settings!$E$52,DAY($B40))))&gt;=MAX($A40,Settings!$F$52),IF(Settings!$E$52="",$B40,DATE(YEAR($A40),MONTH($A40),MIN(Settings!$E$52,DAY($B40))))&lt;=MIN(Settings!$B$5,IF(Settings!$G$52="",Settings!$B$5,Settings!$G$52))),1,0)))))</f>
        <v/>
      </c>
      <c r="FB40">
        <f>IF($E40&lt;&gt;"open",0,IF(AND('Month-End'!$AK$30&lt;&gt;"",NOT(_xlfn.ISFORMULA('Month-End'!$AK$30))),0,IF(OR(Settings!$C$53="",Settings!$D$53=""),0,Settings!$C$53*IF(Settings!$D$53="Weekly",IF(IFERROR(MATCH(Settings!$E$53,$EO$4:$EO$10,0),0)=0,0,IF(MIN(Settings!$B$5,IF(Settings!$G$53="",Settings!$B$5,Settings!$G$53))&lt;MAX($A40,Settings!$F$53),0,INT((MIN(Settings!$B$5,IF(Settings!$G$53="",Settings!$B$5,Settings!$G$53))-MAX($A40,Settings!$F$53)-MOD(IFERROR(MATCH(Settings!$E$53,$EO$4:$EO$10,0),0)-WEEKDAY(MAX($A40,Settings!$F$53)),7))/7)+1)),IF(AND(IF(Settings!$E$53="",$B40,DATE(YEAR($A40),MONTH($A40),MIN(Settings!$E$53,DAY($B40))))&gt;=MAX($A40,Settings!$F$53),IF(Settings!$E$53="",$B40,DATE(YEAR($A40),MONTH($A40),MIN(Settings!$E$53,DAY($B40))))&lt;=MIN(Settings!$B$5,IF(Settings!$G$53="",Settings!$B$5,Settings!$G$53))),1,0)))))</f>
        <v/>
      </c>
      <c r="FC40">
        <f>IF($E40&lt;&gt;"open",0,IF(AND('Month-End'!$AK$31&lt;&gt;"",NOT(_xlfn.ISFORMULA('Month-End'!$AK$31))),0,IF(OR(Settings!$C$54="",Settings!$D$54=""),0,Settings!$C$54*IF(Settings!$D$54="Weekly",IF(IFERROR(MATCH(Settings!$E$54,$EO$4:$EO$10,0),0)=0,0,IF(MIN(Settings!$B$5,IF(Settings!$G$54="",Settings!$B$5,Settings!$G$54))&lt;MAX($A40,Settings!$F$54),0,INT((MIN(Settings!$B$5,IF(Settings!$G$54="",Settings!$B$5,Settings!$G$54))-MAX($A40,Settings!$F$54)-MOD(IFERROR(MATCH(Settings!$E$54,$EO$4:$EO$10,0),0)-WEEKDAY(MAX($A40,Settings!$F$54)),7))/7)+1)),IF(AND(IF(Settings!$E$54="",$B40,DATE(YEAR($A40),MONTH($A40),MIN(Settings!$E$54,DAY($B40))))&gt;=MAX($A40,Settings!$F$54),IF(Settings!$E$54="",$B40,DATE(YEAR($A40),MONTH($A40),MIN(Settings!$E$54,DAY($B40))))&lt;=MIN(Settings!$B$5,IF(Settings!$G$54="",Settings!$B$5,Settings!$G$54))),1,0)))))</f>
        <v/>
      </c>
      <c r="FD40">
        <f>IF($E40&lt;&gt;"open",0,IF(AND('Month-End'!$AK$32&lt;&gt;"",NOT(_xlfn.ISFORMULA('Month-End'!$AK$32))),0,IF(OR(Settings!$C$55="",Settings!$D$55=""),0,Settings!$C$55*IF(Settings!$D$55="Weekly",IF(IFERROR(MATCH(Settings!$E$55,$EO$4:$EO$10,0),0)=0,0,IF(MIN(Settings!$B$5,IF(Settings!$G$55="",Settings!$B$5,Settings!$G$55))&lt;MAX($A40,Settings!$F$55),0,INT((MIN(Settings!$B$5,IF(Settings!$G$55="",Settings!$B$5,Settings!$G$55))-MAX($A40,Settings!$F$55)-MOD(IFERROR(MATCH(Settings!$E$55,$EO$4:$EO$10,0),0)-WEEKDAY(MAX($A40,Settings!$F$55)),7))/7)+1)),IF(AND(IF(Settings!$E$55="",$B40,DATE(YEAR($A40),MONTH($A40),MIN(Settings!$E$55,DAY($B40))))&gt;=MAX($A40,Settings!$F$55),IF(Settings!$E$55="",$B40,DATE(YEAR($A40),MONTH($A40),MIN(Settings!$E$55,DAY($B40))))&lt;=MIN(Settings!$B$5,IF(Settings!$G$55="",Settings!$B$5,Settings!$G$55))),1,0)))))</f>
        <v/>
      </c>
      <c r="FE40">
        <f>IF($E40&lt;&gt;"open",0,IF(AND('Month-End'!$AK$33&lt;&gt;"",NOT(_xlfn.ISFORMULA('Month-End'!$AK$33))),0,IF(OR(Settings!$C$56="",Settings!$D$56=""),0,Settings!$C$56*IF(Settings!$D$56="Weekly",IF(IFERROR(MATCH(Settings!$E$56,$EO$4:$EO$10,0),0)=0,0,IF(MIN(Settings!$B$5,IF(Settings!$G$56="",Settings!$B$5,Settings!$G$56))&lt;MAX($A40,Settings!$F$56),0,INT((MIN(Settings!$B$5,IF(Settings!$G$56="",Settings!$B$5,Settings!$G$56))-MAX($A40,Settings!$F$56)-MOD(IFERROR(MATCH(Settings!$E$56,$EO$4:$EO$10,0),0)-WEEKDAY(MAX($A40,Settings!$F$56)),7))/7)+1)),IF(AND(IF(Settings!$E$56="",$B40,DATE(YEAR($A40),MONTH($A40),MIN(Settings!$E$56,DAY($B40))))&gt;=MAX($A40,Settings!$F$56),IF(Settings!$E$56="",$B40,DATE(YEAR($A40),MONTH($A40),MIN(Settings!$E$56,DAY($B40))))&lt;=MIN(Settings!$B$5,IF(Settings!$G$56="",Settings!$B$5,Settings!$G$56))),1,0)))))</f>
        <v/>
      </c>
      <c r="FF40">
        <f>IF(Settings!$I$45="Yes",$G40,0)+IF(Settings!$I$46="Yes",$H40,0)+IF(Settings!$I$47="Yes",$I40,0)+IF(Settings!$I$48="Yes",$J40,0)+IF(Settings!$I$49="Yes",$K40,0)+IF(Settings!$I$50="Yes",$L40,0)+IF(Settings!$I$51="Yes",$M40,0)+IF(Settings!$I$52="Yes",$N40,0)+IF(Settings!$I$53="Yes",$O40,0)+IF(Settings!$I$54="Yes",$P40,0)+IF(Settings!$I$55="Yes",$Q40,0)+IF(Settings!$I$56="Yes",$R40,0)</f>
        <v/>
      </c>
      <c r="FG40">
        <f>IF(AND(Settings!$I$45="Yes",Settings!$J$45="No"),$G40,0)+IF(AND(Settings!$I$46="Yes",Settings!$J$46="No"),$H40,0)+IF(AND(Settings!$I$47="Yes",Settings!$J$47="No"),$I40,0)+IF(AND(Settings!$I$48="Yes",Settings!$J$48="No"),$J40,0)+IF(AND(Settings!$I$49="Yes",Settings!$J$49="No"),$K40,0)+IF(AND(Settings!$I$50="Yes",Settings!$J$50="No"),$L40,0)+IF(AND(Settings!$I$51="Yes",Settings!$J$51="No"),$M40,0)+IF(AND(Settings!$I$52="Yes",Settings!$J$52="No"),$N40,0)+IF(AND(Settings!$I$53="Yes",Settings!$J$53="No"),$O40,0)+IF(AND(Settings!$I$54="Yes",Settings!$J$54="No"),$P40,0)+IF(AND(Settings!$I$55="Yes",Settings!$J$55="No"),$Q40,0)+IF(AND(Settings!$I$56="Yes",Settings!$J$56="No"),$R40,0)</f>
        <v/>
      </c>
      <c r="FH40">
        <f>SUMIFS(Giving!$B$7:$B$2006,Giving!$A$7:$A$2006,"&gt;="&amp;$A40,Giving!$A$7:$A$2006,"&lt;="&amp;$B40,Giving!$G$7:$G$2006,"Yes")+IF(OR(OR(Settings!$B$60="",Settings!$F$60="No"),Settings!$H$60&lt;&gt;"Yes"),0,Settings!$B$60*IF(AND(IF(Settings!$C$60="",$B40,DATE(YEAR($A40),MONTH($A40),MIN(Settings!$C$60,DAY($B40))))&gt;=MAX($A40,Settings!$D$60),IF(Settings!$C$60="",$B40,DATE(YEAR($A40),MONTH($A40),MIN(Settings!$C$60,DAY($B40))))&lt;=MIN($C40,IF(Settings!$E$60="",$C40,Settings!$E$60))),1,0))+IF(OR(OR(Settings!$B$61="",Settings!$F$61="No"),Settings!$H$61&lt;&gt;"Yes"),0,Settings!$B$61*IF(AND(IF(Settings!$C$61="",$B40,DATE(YEAR($A40),MONTH($A40),MIN(Settings!$C$61,DAY($B40))))&gt;=MAX($A40,Settings!$D$61),IF(Settings!$C$61="",$B40,DATE(YEAR($A40),MONTH($A40),MIN(Settings!$C$61,DAY($B40))))&lt;=MIN($C40,IF(Settings!$E$61="",$C40,Settings!$E$61))),1,0))+IF(OR(OR(Settings!$B$62="",Settings!$F$62="No"),Settings!$H$62&lt;&gt;"Yes"),0,Settings!$B$62*IF(AND(IF(Settings!$C$62="",$B40,DATE(YEAR($A40),MONTH($A40),MIN(Settings!$C$62,DAY($B40))))&gt;=MAX($A40,Settings!$D$62),IF(Settings!$C$62="",$B40,DATE(YEAR($A40),MONTH($A40),MIN(Settings!$C$62,DAY($B40))))&lt;=MIN($C40,IF(Settings!$E$62="",$C40,Settings!$E$62))),1,0))+IF(OR(OR(Settings!$B$63="",Settings!$F$63="No"),Settings!$H$63&lt;&gt;"Yes"),0,Settings!$B$63*IF(AND(IF(Settings!$C$63="",$B40,DATE(YEAR($A40),MONTH($A40),MIN(Settings!$C$63,DAY($B40))))&gt;=MAX($A40,Settings!$D$63),IF(Settings!$C$63="",$B40,DATE(YEAR($A40),MONTH($A40),MIN(Settings!$C$63,DAY($B40))))&lt;=MIN($C40,IF(Settings!$E$63="",$C40,Settings!$E$63))),1,0))+IF(OR(OR(Settings!$B$64="",Settings!$F$64="No"),Settings!$H$64&lt;&gt;"Yes"),0,Settings!$B$64*IF(AND(IF(Settings!$C$64="",$B40,DATE(YEAR($A40),MONTH($A40),MIN(Settings!$C$64,DAY($B40))))&gt;=MAX($A40,Settings!$D$64),IF(Settings!$C$64="",$B40,DATE(YEAR($A40),MONTH($A40),MIN(Settings!$C$64,DAY($B40))))&lt;=MIN($C40,IF(Settings!$E$64="",$C40,Settings!$E$64))),1,0))+IF(OR(OR(Settings!$B$65="",Settings!$F$65="No"),Settings!$H$65&lt;&gt;"Yes"),0,Settings!$B$65*IF(AND(IF(Settings!$C$65="",$B40,DATE(YEAR($A40),MONTH($A40),MIN(Settings!$C$65,DAY($B40))))&gt;=MAX($A40,Settings!$D$65),IF(Settings!$C$65="",$B40,DATE(YEAR($A40),MONTH($A40),MIN(Settings!$C$65,DAY($B40))))&lt;=MIN($C40,IF(Settings!$E$65="",$C40,Settings!$E$65))),1,0))</f>
        <v/>
      </c>
      <c r="FI40">
        <f>IF($DT40=1,IF(OR(Settings!$B$19="Card",Settings!$B$19="Loan"),N($AE40),0)+IF(OR(Settings!$B$20="Card",Settings!$B$20="Loan"),N($AF40),0)+IF(OR(Settings!$B$21="Card",Settings!$B$21="Loan"),N($AG40),0)+IF(OR(Settings!$B$22="Card",Settings!$B$22="Loan"),N($AH40),0)+IF(OR(Settings!$B$23="Card",Settings!$B$23="Loan"),N($AI40),0)+IF(OR(Settings!$B$24="Card",Settings!$B$24="Loan"),N($AJ40),0)+IF(OR(Settings!$B$25="Card",Settings!$B$25="Loan"),N($AK40),0)+IF(OR(Settings!$B$26="Card",Settings!$B$26="Loan"),N($AL40),0)+IF(OR(Settings!$B$27="Card",Settings!$B$27="Loan"),N($AM40),0)+IF(OR(Settings!$B$28="Card",Settings!$B$28="Loan"),N($AN40),0)+IF(OR(Settings!$B$29="Card",Settings!$B$29="Loan"),N($AO40),0)+IF(OR(Settings!$B$30="Card",Settings!$B$30="Loan"),N($AP40),0)+IF(OR(Settings!$B$31="Card",Settings!$B$31="Loan"),N($AQ40),0)+IF(OR(Settings!$B$32="Card",Settings!$B$32="Loan"),N($AR40),0),"")</f>
        <v/>
      </c>
      <c r="FJ40">
        <f>IF($E40="open",$EB$65,IF($E40="post",IF($E39="pre",$EB$65,$FI39),""))</f>
        <v/>
      </c>
      <c r="FK40">
        <f>IF(AND($DT40=1,$DC40=1),IF(ROUND($FI40-$FJ40,2)&gt;0,1,0),0)</f>
        <v/>
      </c>
      <c r="FL40">
        <f>IF($FK40=1,$FL39+1,0)</f>
        <v/>
      </c>
    </row>
    <row r="41">
      <c r="A41">
        <f>'Month-End'!$AL$4</f>
        <v/>
      </c>
      <c r="B41">
        <f>EOMONTH($A41,0)</f>
        <v/>
      </c>
      <c r="C41">
        <f>MIN($B41,TODAY())</f>
        <v/>
      </c>
      <c r="D41">
        <f>IF($A41&gt;TODAY(),1,0)</f>
        <v/>
      </c>
      <c r="E41">
        <f>IF($B41&lt;=Settings!$B$5,"pre",IF($A41&lt;=Settings!$B$5,"open","post"))</f>
        <v/>
      </c>
      <c r="G41">
        <f>IF('Month-End'!$AL$22="",$BE41,N('Month-End'!$AL$22))</f>
        <v/>
      </c>
      <c r="H41">
        <f>IF('Month-End'!$AL$23="",$BF41,N('Month-End'!$AL$23))</f>
        <v/>
      </c>
      <c r="I41">
        <f>IF('Month-End'!$AL$24="",$BG41,N('Month-End'!$AL$24))</f>
        <v/>
      </c>
      <c r="J41">
        <f>IF('Month-End'!$AL$25="",$BH41,N('Month-End'!$AL$25))</f>
        <v/>
      </c>
      <c r="K41">
        <f>IF('Month-End'!$AL$26="",$BI41,N('Month-End'!$AL$26))</f>
        <v/>
      </c>
      <c r="L41">
        <f>IF('Month-End'!$AL$27="",$BJ41,N('Month-End'!$AL$27))</f>
        <v/>
      </c>
      <c r="M41">
        <f>IF('Month-End'!$AL$28="",$BK41,N('Month-End'!$AL$28))</f>
        <v/>
      </c>
      <c r="N41">
        <f>IF('Month-End'!$AL$29="",$BL41,N('Month-End'!$AL$29))</f>
        <v/>
      </c>
      <c r="O41">
        <f>IF('Month-End'!$AL$30="",$BM41,N('Month-End'!$AL$30))</f>
        <v/>
      </c>
      <c r="P41">
        <f>IF('Month-End'!$AL$31="",$BN41,N('Month-End'!$AL$31))</f>
        <v/>
      </c>
      <c r="Q41">
        <f>IF('Month-End'!$AL$32="",$BO41,N('Month-End'!$AL$32))</f>
        <v/>
      </c>
      <c r="R41">
        <f>IF('Month-End'!$AL$33="",$BP41,N('Month-End'!$AL$33))</f>
        <v/>
      </c>
      <c r="S41">
        <f>$G41+$H41+$I41+$J41+$K41+$L41+$M41+$N41+$O41+$P41+$Q41+$R41</f>
        <v/>
      </c>
      <c r="T41">
        <f>IF($B41&lt;Settings!$B$6,0,IF(Settings!$B$45="Yes",$G41,0)+IF(Settings!$B$46="Yes",$H41,0)+IF(Settings!$B$47="Yes",$I41,0)+IF(Settings!$B$48="Yes",$J41,0)+IF(Settings!$B$49="Yes",$K41,0)+IF(Settings!$B$50="Yes",$L41,0)+IF(Settings!$B$51="Yes",$M41,0)+IF(Settings!$B$52="Yes",$N41,0)+IF(Settings!$B$53="Yes",$O41,0)+IF(Settings!$B$54="Yes",$P41,0)+IF(Settings!$B$55="Yes",$Q41,0)+IF(Settings!$B$56="Yes",$R41,0))</f>
        <v/>
      </c>
      <c r="U41">
        <f>IF(Settings!$B$45="Not Sure",$G41,0)+IF(Settings!$B$46="Not Sure",$H41,0)+IF(Settings!$B$47="Not Sure",$I41,0)+IF(Settings!$B$48="Not Sure",$J41,0)+IF(Settings!$B$49="Not Sure",$K41,0)+IF(Settings!$B$50="Not Sure",$L41,0)+IF(Settings!$B$51="Not Sure",$M41,0)+IF(Settings!$B$52="Not Sure",$N41,0)+IF(Settings!$B$53="Not Sure",$O41,0)+IF(Settings!$B$54="Not Sure",$P41,0)+IF(Settings!$B$55="Not Sure",$Q41,0)+IF(Settings!$B$56="Not Sure",$R41,0)</f>
        <v/>
      </c>
      <c r="V41">
        <f>IF($E41="open",SUM($ET41:$FE41)+N(Settings!$B$13),0)</f>
        <v/>
      </c>
      <c r="W41">
        <f>IF($E41="post",$S41,IF($E41="open",$S41-$V41,0))</f>
        <v/>
      </c>
      <c r="X41">
        <f>SUMIFS(Giving!$B$7:$B$2006,Giving!$A$7:$A$2006,"&gt;="&amp;$A41,Giving!$A$7:$A$2006,"&lt;="&amp;$B41,Giving!$E$7:$E$2006,"&lt;&gt;No")</f>
        <v/>
      </c>
      <c r="Y41">
        <f>SUMIFS(Giving!$B$7:$B$2006,Giving!$A$7:$A$2006,"&gt;="&amp;$A41,Giving!$A$7:$A$2006,"&lt;="&amp;$B41,Giving!$E$7:$E$2006,"No")</f>
        <v/>
      </c>
      <c r="Z41">
        <f>IF(OR(Settings!$B$60="",Settings!$F$60="No"),0,Settings!$B$60*IF(AND(IF(Settings!$C$60="",$B41,DATE(YEAR($A41),MONTH($A41),MIN(Settings!$C$60,DAY($B41))))&gt;=MAX($A41,Settings!$D$60),IF(Settings!$C$60="",$B41,DATE(YEAR($A41),MONTH($A41),MIN(Settings!$C$60,DAY($B41))))&lt;=MIN($C41,IF(Settings!$E$60="",$C41,Settings!$E$60))),1,0))+IF(OR(Settings!$B$61="",Settings!$F$61="No"),0,Settings!$B$61*IF(AND(IF(Settings!$C$61="",$B41,DATE(YEAR($A41),MONTH($A41),MIN(Settings!$C$61,DAY($B41))))&gt;=MAX($A41,Settings!$D$61),IF(Settings!$C$61="",$B41,DATE(YEAR($A41),MONTH($A41),MIN(Settings!$C$61,DAY($B41))))&lt;=MIN($C41,IF(Settings!$E$61="",$C41,Settings!$E$61))),1,0))+IF(OR(Settings!$B$62="",Settings!$F$62="No"),0,Settings!$B$62*IF(AND(IF(Settings!$C$62="",$B41,DATE(YEAR($A41),MONTH($A41),MIN(Settings!$C$62,DAY($B41))))&gt;=MAX($A41,Settings!$D$62),IF(Settings!$C$62="",$B41,DATE(YEAR($A41),MONTH($A41),MIN(Settings!$C$62,DAY($B41))))&lt;=MIN($C41,IF(Settings!$E$62="",$C41,Settings!$E$62))),1,0))+IF(OR(Settings!$B$63="",Settings!$F$63="No"),0,Settings!$B$63*IF(AND(IF(Settings!$C$63="",$B41,DATE(YEAR($A41),MONTH($A41),MIN(Settings!$C$63,DAY($B41))))&gt;=MAX($A41,Settings!$D$63),IF(Settings!$C$63="",$B41,DATE(YEAR($A41),MONTH($A41),MIN(Settings!$C$63,DAY($B41))))&lt;=MIN($C41,IF(Settings!$E$63="",$C41,Settings!$E$63))),1,0))+IF(OR(Settings!$B$64="",Settings!$F$64="No"),0,Settings!$B$64*IF(AND(IF(Settings!$C$64="",$B41,DATE(YEAR($A41),MONTH($A41),MIN(Settings!$C$64,DAY($B41))))&gt;=MAX($A41,Settings!$D$64),IF(Settings!$C$64="",$B41,DATE(YEAR($A41),MONTH($A41),MIN(Settings!$C$64,DAY($B41))))&lt;=MIN($C41,IF(Settings!$E$64="",$C41,Settings!$E$64))),1,0))+IF(OR(Settings!$B$65="",Settings!$F$65="No"),0,Settings!$B$65*IF(AND(IF(Settings!$C$65="",$B41,DATE(YEAR($A41),MONTH($A41),MIN(Settings!$C$65,DAY($B41))))&gt;=MAX($A41,Settings!$D$65),IF(Settings!$C$65="",$B41,DATE(YEAR($A41),MONTH($A41),MIN(Settings!$C$65,DAY($B41))))&lt;=MIN($C41,IF(Settings!$E$65="",$C41,Settings!$E$65))),1,0))</f>
        <v/>
      </c>
      <c r="AA41">
        <f>$X41+$Z41</f>
        <v/>
      </c>
      <c r="AB41">
        <f>IF($E41="post",$AA41,IF($E41="open",SUMIFS(Giving!$B$7:$B$2006,Giving!$A$7:$A$2006,"&gt;"&amp;Settings!$B$5,Giving!$A$7:$A$2006,"&lt;="&amp;$B41,Giving!$E$7:$E$2006,"&lt;&gt;No")+IF(OR(Settings!$B$60="",Settings!$F$60="No"),0,Settings!$B$60*IF(AND(IF(Settings!$C$60="",$B41,DATE(YEAR($A41),MONTH($A41),MIN(Settings!$C$60,DAY($B41))))&gt;=MAX($A41,Settings!$D$60,Settings!$B$5+1),IF(Settings!$C$60="",$B41,DATE(YEAR($A41),MONTH($A41),MIN(Settings!$C$60,DAY($B41))))&lt;=MIN($C41,IF(Settings!$E$60="",$C41,Settings!$E$60))),1,0))+IF(OR(Settings!$B$61="",Settings!$F$61="No"),0,Settings!$B$61*IF(AND(IF(Settings!$C$61="",$B41,DATE(YEAR($A41),MONTH($A41),MIN(Settings!$C$61,DAY($B41))))&gt;=MAX($A41,Settings!$D$61,Settings!$B$5+1),IF(Settings!$C$61="",$B41,DATE(YEAR($A41),MONTH($A41),MIN(Settings!$C$61,DAY($B41))))&lt;=MIN($C41,IF(Settings!$E$61="",$C41,Settings!$E$61))),1,0))+IF(OR(Settings!$B$62="",Settings!$F$62="No"),0,Settings!$B$62*IF(AND(IF(Settings!$C$62="",$B41,DATE(YEAR($A41),MONTH($A41),MIN(Settings!$C$62,DAY($B41))))&gt;=MAX($A41,Settings!$D$62,Settings!$B$5+1),IF(Settings!$C$62="",$B41,DATE(YEAR($A41),MONTH($A41),MIN(Settings!$C$62,DAY($B41))))&lt;=MIN($C41,IF(Settings!$E$62="",$C41,Settings!$E$62))),1,0))+IF(OR(Settings!$B$63="",Settings!$F$63="No"),0,Settings!$B$63*IF(AND(IF(Settings!$C$63="",$B41,DATE(YEAR($A41),MONTH($A41),MIN(Settings!$C$63,DAY($B41))))&gt;=MAX($A41,Settings!$D$63,Settings!$B$5+1),IF(Settings!$C$63="",$B41,DATE(YEAR($A41),MONTH($A41),MIN(Settings!$C$63,DAY($B41))))&lt;=MIN($C41,IF(Settings!$E$63="",$C41,Settings!$E$63))),1,0))+IF(OR(Settings!$B$64="",Settings!$F$64="No"),0,Settings!$B$64*IF(AND(IF(Settings!$C$64="",$B41,DATE(YEAR($A41),MONTH($A41),MIN(Settings!$C$64,DAY($B41))))&gt;=MAX($A41,Settings!$D$64,Settings!$B$5+1),IF(Settings!$C$64="",$B41,DATE(YEAR($A41),MONTH($A41),MIN(Settings!$C$64,DAY($B41))))&lt;=MIN($C41,IF(Settings!$E$64="",$C41,Settings!$E$64))),1,0))+IF(OR(Settings!$B$65="",Settings!$F$65="No"),0,Settings!$B$65*IF(AND(IF(Settings!$C$65="",$B41,DATE(YEAR($A41),MONTH($A41),MIN(Settings!$C$65,DAY($B41))))&gt;=MAX($A41,Settings!$D$65,Settings!$B$5+1),IF(Settings!$C$65="",$B41,DATE(YEAR($A41),MONTH($A41),MIN(Settings!$C$65,DAY($B41))))&lt;=MIN($C41,IF(Settings!$E$65="",$C41,Settings!$E$65))),1,0)),0))</f>
        <v/>
      </c>
      <c r="AC41">
        <f>$AY41+$AZ41+$BA41+$BB41+$BC41+$BD41</f>
        <v/>
      </c>
      <c r="AD41">
        <f>$AC41</f>
        <v/>
      </c>
      <c r="AE41">
        <f>IF(OR(Settings!$A$19="",$E41="pre"),"",IF(AND('Month-End'!$AL$7&lt;&gt;"",NOT(_xlfn.ISFORMULA('Month-End'!$AL$7))),N('Month-End'!$AL$7),IF(OR($E41="open",$E40="pre"),N(Settings!$C$19),N($AE40))))</f>
        <v/>
      </c>
      <c r="AF41">
        <f>IF(OR(Settings!$A$20="",$E41="pre"),"",IF(AND('Month-End'!$AL$8&lt;&gt;"",NOT(_xlfn.ISFORMULA('Month-End'!$AL$8))),N('Month-End'!$AL$8),IF(OR($E41="open",$E40="pre"),N(Settings!$C$20),N($AF40))))</f>
        <v/>
      </c>
      <c r="AG41">
        <f>IF(OR(Settings!$A$21="",$E41="pre"),"",IF(AND('Month-End'!$AL$9&lt;&gt;"",NOT(_xlfn.ISFORMULA('Month-End'!$AL$9))),N('Month-End'!$AL$9),IF(OR($E41="open",$E40="pre"),N(Settings!$C$21),N($AG40))))</f>
        <v/>
      </c>
      <c r="AH41">
        <f>IF(OR(Settings!$A$22="",$E41="pre"),"",IF(AND('Month-End'!$AL$10&lt;&gt;"",NOT(_xlfn.ISFORMULA('Month-End'!$AL$10))),N('Month-End'!$AL$10),IF(OR($E41="open",$E40="pre"),N(Settings!$C$22),N($AH40))))</f>
        <v/>
      </c>
      <c r="AI41">
        <f>IF(OR(Settings!$A$23="",$E41="pre"),"",IF(AND('Month-End'!$AL$11&lt;&gt;"",NOT(_xlfn.ISFORMULA('Month-End'!$AL$11))),N('Month-End'!$AL$11),IF(OR($E41="open",$E40="pre"),N(Settings!$C$23),N($AI40))))</f>
        <v/>
      </c>
      <c r="AJ41">
        <f>IF(OR(Settings!$A$24="",$E41="pre"),"",IF(AND('Month-End'!$AL$12&lt;&gt;"",NOT(_xlfn.ISFORMULA('Month-End'!$AL$12))),N('Month-End'!$AL$12),IF(OR($E41="open",$E40="pre"),N(Settings!$C$24),N($AJ40))))</f>
        <v/>
      </c>
      <c r="AK41">
        <f>IF(OR(Settings!$A$25="",$E41="pre"),"",IF(AND('Month-End'!$AL$13&lt;&gt;"",NOT(_xlfn.ISFORMULA('Month-End'!$AL$13))),N('Month-End'!$AL$13),IF(OR($E41="open",$E40="pre"),N(Settings!$C$25),N($AK40))))</f>
        <v/>
      </c>
      <c r="AL41">
        <f>IF(OR(Settings!$A$26="",$E41="pre"),"",IF(AND('Month-End'!$AL$14&lt;&gt;"",NOT(_xlfn.ISFORMULA('Month-End'!$AL$14))),N('Month-End'!$AL$14),IF(OR($E41="open",$E40="pre"),N(Settings!$C$26),N($AL40))))</f>
        <v/>
      </c>
      <c r="AM41">
        <f>IF(OR(Settings!$A$27="",$E41="pre"),"",IF(AND('Month-End'!$AL$15&lt;&gt;"",NOT(_xlfn.ISFORMULA('Month-End'!$AL$15))),N('Month-End'!$AL$15),IF(OR($E41="open",$E40="pre"),N(Settings!$C$27),N($AM40))))</f>
        <v/>
      </c>
      <c r="AN41">
        <f>IF(OR(Settings!$A$28="",$E41="pre"),"",IF(AND('Month-End'!$AL$16&lt;&gt;"",NOT(_xlfn.ISFORMULA('Month-End'!$AL$16))),N('Month-End'!$AL$16),IF(OR($E41="open",$E40="pre"),N(Settings!$C$28),N($AN40))))</f>
        <v/>
      </c>
      <c r="AO41">
        <f>IF(OR(Settings!$A$29="",$E41="pre"),"",IF(AND('Month-End'!$AL$17&lt;&gt;"",NOT(_xlfn.ISFORMULA('Month-End'!$AL$17))),N('Month-End'!$AL$17),IF(OR($E41="open",$E40="pre"),N(Settings!$C$29),N($AO40))))</f>
        <v/>
      </c>
      <c r="AP41">
        <f>IF(OR(Settings!$A$30="",$E41="pre"),"",IF(AND('Month-End'!$AL$18&lt;&gt;"",NOT(_xlfn.ISFORMULA('Month-End'!$AL$18))),N('Month-End'!$AL$18),IF(OR($E41="open",$E40="pre"),N(Settings!$C$30),N($AP40))))</f>
        <v/>
      </c>
      <c r="AQ41">
        <f>IF(OR(Settings!$A$31="",$E41="pre"),"",IF(AND('Month-End'!$AL$19&lt;&gt;"",NOT(_xlfn.ISFORMULA('Month-End'!$AL$19))),N('Month-End'!$AL$19),IF(OR($E41="open",$E40="pre"),N(Settings!$C$31),N($AQ40))))</f>
        <v/>
      </c>
      <c r="AR41">
        <f>IF(OR(Settings!$A$32="",$E41="pre"),"",IF(AND('Month-End'!$AL$20&lt;&gt;"",NOT(_xlfn.ISFORMULA('Month-End'!$AL$20))),N('Month-End'!$AL$20),IF(OR($E41="open",$E40="pre"),N(Settings!$C$32),N($AR40))))</f>
        <v/>
      </c>
      <c r="AS41">
        <f>IF(OR(Settings!$A$36="",$E41="pre"),"",IF(AND('Month-End'!$AL$38&lt;&gt;"",NOT(_xlfn.ISFORMULA('Month-End'!$AL$38))),N('Month-End'!$AL$38),IF(OR($E41="open",$E40="pre"),N(Settings!$C$36),N($AS40))+$AY41))</f>
        <v/>
      </c>
      <c r="AT41">
        <f>IF(OR(Settings!$A$37="",$E41="pre"),"",IF(AND('Month-End'!$AL$39&lt;&gt;"",NOT(_xlfn.ISFORMULA('Month-End'!$AL$39))),N('Month-End'!$AL$39),IF(OR($E41="open",$E40="pre"),N(Settings!$C$37),N($AT40))+$AZ41))</f>
        <v/>
      </c>
      <c r="AU41">
        <f>IF(OR(Settings!$A$38="",$E41="pre"),"",IF(AND('Month-End'!$AL$40&lt;&gt;"",NOT(_xlfn.ISFORMULA('Month-End'!$AL$40))),N('Month-End'!$AL$40),IF(OR($E41="open",$E40="pre"),N(Settings!$C$38),N($AU40))+$BA41))</f>
        <v/>
      </c>
      <c r="AV41">
        <f>IF(OR(Settings!$A$39="",$E41="pre"),"",IF(AND('Month-End'!$AL$41&lt;&gt;"",NOT(_xlfn.ISFORMULA('Month-End'!$AL$41))),N('Month-End'!$AL$41),IF(OR($E41="open",$E40="pre"),N(Settings!$C$39),N($AV40))+$BB41))</f>
        <v/>
      </c>
      <c r="AW41">
        <f>IF(OR(Settings!$A$40="",$E41="pre"),"",IF(AND('Month-End'!$AL$42&lt;&gt;"",NOT(_xlfn.ISFORMULA('Month-End'!$AL$42))),N('Month-End'!$AL$42),IF(OR($E41="open",$E40="pre"),N(Settings!$C$40),N($AW40))+$BC41))</f>
        <v/>
      </c>
      <c r="AX41">
        <f>IF(OR(Settings!$A$41="",$E41="pre"),"",IF(AND('Month-End'!$AL$43&lt;&gt;"",NOT(_xlfn.ISFORMULA('Month-End'!$AL$43))),N('Month-End'!$AL$43),IF(OR($E41="open",$E40="pre"),N(Settings!$C$41),N($AX40))+$BD41))</f>
        <v/>
      </c>
      <c r="AY41">
        <f>IF($E41="pre",0,N('Month-End'!$AL$45))</f>
        <v/>
      </c>
      <c r="AZ41">
        <f>IF($E41="pre",0,N('Month-End'!$AL$46))</f>
        <v/>
      </c>
      <c r="BA41">
        <f>IF($E41="pre",0,N('Month-End'!$AL$47))</f>
        <v/>
      </c>
      <c r="BB41">
        <f>IF($E41="pre",0,N('Month-End'!$AL$48))</f>
        <v/>
      </c>
      <c r="BC41">
        <f>IF($E41="pre",0,N('Month-End'!$AL$49))</f>
        <v/>
      </c>
      <c r="BD41">
        <f>IF($E41="pre",0,N('Month-End'!$AL$50))</f>
        <v/>
      </c>
      <c r="BE41">
        <f>IF(OR(Settings!$C$45="",Settings!$D$45=""),0,Settings!$C$45*IF(Settings!$D$45="Weekly",IF(IFERROR(MATCH(Settings!$E$45,$EO$4:$EO$10,0),0)=0,0,IF(MIN($C41,IF(Settings!$G$45="",$C41,Settings!$G$45))&lt;MAX($A41,Settings!$F$45),0,INT((MIN($C41,IF(Settings!$G$45="",$C41,Settings!$G$45))-MAX($A41,Settings!$F$45)-MOD(IFERROR(MATCH(Settings!$E$45,$EO$4:$EO$10,0),0)-WEEKDAY(MAX($A41,Settings!$F$45)),7))/7)+1)),IF(AND(IF(Settings!$E$45="",$B41,DATE(YEAR($A41),MONTH($A41),MIN(Settings!$E$45,DAY($B41))))&gt;=MAX($A41,Settings!$F$45),IF(Settings!$E$45="",$B41,DATE(YEAR($A41),MONTH($A41),MIN(Settings!$E$45,DAY($B41))))&lt;=MIN($C41,IF(Settings!$G$45="",$C41,Settings!$G$45))),1,0)))</f>
        <v/>
      </c>
      <c r="BF41">
        <f>IF(OR(Settings!$C$46="",Settings!$D$46=""),0,Settings!$C$46*IF(Settings!$D$46="Weekly",IF(IFERROR(MATCH(Settings!$E$46,$EO$4:$EO$10,0),0)=0,0,IF(MIN($C41,IF(Settings!$G$46="",$C41,Settings!$G$46))&lt;MAX($A41,Settings!$F$46),0,INT((MIN($C41,IF(Settings!$G$46="",$C41,Settings!$G$46))-MAX($A41,Settings!$F$46)-MOD(IFERROR(MATCH(Settings!$E$46,$EO$4:$EO$10,0),0)-WEEKDAY(MAX($A41,Settings!$F$46)),7))/7)+1)),IF(AND(IF(Settings!$E$46="",$B41,DATE(YEAR($A41),MONTH($A41),MIN(Settings!$E$46,DAY($B41))))&gt;=MAX($A41,Settings!$F$46),IF(Settings!$E$46="",$B41,DATE(YEAR($A41),MONTH($A41),MIN(Settings!$E$46,DAY($B41))))&lt;=MIN($C41,IF(Settings!$G$46="",$C41,Settings!$G$46))),1,0)))</f>
        <v/>
      </c>
      <c r="BG41">
        <f>IF(OR(Settings!$C$47="",Settings!$D$47=""),0,Settings!$C$47*IF(Settings!$D$47="Weekly",IF(IFERROR(MATCH(Settings!$E$47,$EO$4:$EO$10,0),0)=0,0,IF(MIN($C41,IF(Settings!$G$47="",$C41,Settings!$G$47))&lt;MAX($A41,Settings!$F$47),0,INT((MIN($C41,IF(Settings!$G$47="",$C41,Settings!$G$47))-MAX($A41,Settings!$F$47)-MOD(IFERROR(MATCH(Settings!$E$47,$EO$4:$EO$10,0),0)-WEEKDAY(MAX($A41,Settings!$F$47)),7))/7)+1)),IF(AND(IF(Settings!$E$47="",$B41,DATE(YEAR($A41),MONTH($A41),MIN(Settings!$E$47,DAY($B41))))&gt;=MAX($A41,Settings!$F$47),IF(Settings!$E$47="",$B41,DATE(YEAR($A41),MONTH($A41),MIN(Settings!$E$47,DAY($B41))))&lt;=MIN($C41,IF(Settings!$G$47="",$C41,Settings!$G$47))),1,0)))</f>
        <v/>
      </c>
      <c r="BH41">
        <f>IF(OR(Settings!$C$48="",Settings!$D$48=""),0,Settings!$C$48*IF(Settings!$D$48="Weekly",IF(IFERROR(MATCH(Settings!$E$48,$EO$4:$EO$10,0),0)=0,0,IF(MIN($C41,IF(Settings!$G$48="",$C41,Settings!$G$48))&lt;MAX($A41,Settings!$F$48),0,INT((MIN($C41,IF(Settings!$G$48="",$C41,Settings!$G$48))-MAX($A41,Settings!$F$48)-MOD(IFERROR(MATCH(Settings!$E$48,$EO$4:$EO$10,0),0)-WEEKDAY(MAX($A41,Settings!$F$48)),7))/7)+1)),IF(AND(IF(Settings!$E$48="",$B41,DATE(YEAR($A41),MONTH($A41),MIN(Settings!$E$48,DAY($B41))))&gt;=MAX($A41,Settings!$F$48),IF(Settings!$E$48="",$B41,DATE(YEAR($A41),MONTH($A41),MIN(Settings!$E$48,DAY($B41))))&lt;=MIN($C41,IF(Settings!$G$48="",$C41,Settings!$G$48))),1,0)))</f>
        <v/>
      </c>
      <c r="BI41">
        <f>IF(OR(Settings!$C$49="",Settings!$D$49=""),0,Settings!$C$49*IF(Settings!$D$49="Weekly",IF(IFERROR(MATCH(Settings!$E$49,$EO$4:$EO$10,0),0)=0,0,IF(MIN($C41,IF(Settings!$G$49="",$C41,Settings!$G$49))&lt;MAX($A41,Settings!$F$49),0,INT((MIN($C41,IF(Settings!$G$49="",$C41,Settings!$G$49))-MAX($A41,Settings!$F$49)-MOD(IFERROR(MATCH(Settings!$E$49,$EO$4:$EO$10,0),0)-WEEKDAY(MAX($A41,Settings!$F$49)),7))/7)+1)),IF(AND(IF(Settings!$E$49="",$B41,DATE(YEAR($A41),MONTH($A41),MIN(Settings!$E$49,DAY($B41))))&gt;=MAX($A41,Settings!$F$49),IF(Settings!$E$49="",$B41,DATE(YEAR($A41),MONTH($A41),MIN(Settings!$E$49,DAY($B41))))&lt;=MIN($C41,IF(Settings!$G$49="",$C41,Settings!$G$49))),1,0)))</f>
        <v/>
      </c>
      <c r="BJ41">
        <f>IF(OR(Settings!$C$50="",Settings!$D$50=""),0,Settings!$C$50*IF(Settings!$D$50="Weekly",IF(IFERROR(MATCH(Settings!$E$50,$EO$4:$EO$10,0),0)=0,0,IF(MIN($C41,IF(Settings!$G$50="",$C41,Settings!$G$50))&lt;MAX($A41,Settings!$F$50),0,INT((MIN($C41,IF(Settings!$G$50="",$C41,Settings!$G$50))-MAX($A41,Settings!$F$50)-MOD(IFERROR(MATCH(Settings!$E$50,$EO$4:$EO$10,0),0)-WEEKDAY(MAX($A41,Settings!$F$50)),7))/7)+1)),IF(AND(IF(Settings!$E$50="",$B41,DATE(YEAR($A41),MONTH($A41),MIN(Settings!$E$50,DAY($B41))))&gt;=MAX($A41,Settings!$F$50),IF(Settings!$E$50="",$B41,DATE(YEAR($A41),MONTH($A41),MIN(Settings!$E$50,DAY($B41))))&lt;=MIN($C41,IF(Settings!$G$50="",$C41,Settings!$G$50))),1,0)))</f>
        <v/>
      </c>
      <c r="BK41">
        <f>IF(OR(Settings!$C$51="",Settings!$D$51=""),0,Settings!$C$51*IF(Settings!$D$51="Weekly",IF(IFERROR(MATCH(Settings!$E$51,$EO$4:$EO$10,0),0)=0,0,IF(MIN($C41,IF(Settings!$G$51="",$C41,Settings!$G$51))&lt;MAX($A41,Settings!$F$51),0,INT((MIN($C41,IF(Settings!$G$51="",$C41,Settings!$G$51))-MAX($A41,Settings!$F$51)-MOD(IFERROR(MATCH(Settings!$E$51,$EO$4:$EO$10,0),0)-WEEKDAY(MAX($A41,Settings!$F$51)),7))/7)+1)),IF(AND(IF(Settings!$E$51="",$B41,DATE(YEAR($A41),MONTH($A41),MIN(Settings!$E$51,DAY($B41))))&gt;=MAX($A41,Settings!$F$51),IF(Settings!$E$51="",$B41,DATE(YEAR($A41),MONTH($A41),MIN(Settings!$E$51,DAY($B41))))&lt;=MIN($C41,IF(Settings!$G$51="",$C41,Settings!$G$51))),1,0)))</f>
        <v/>
      </c>
      <c r="BL41">
        <f>IF(OR(Settings!$C$52="",Settings!$D$52=""),0,Settings!$C$52*IF(Settings!$D$52="Weekly",IF(IFERROR(MATCH(Settings!$E$52,$EO$4:$EO$10,0),0)=0,0,IF(MIN($C41,IF(Settings!$G$52="",$C41,Settings!$G$52))&lt;MAX($A41,Settings!$F$52),0,INT((MIN($C41,IF(Settings!$G$52="",$C41,Settings!$G$52))-MAX($A41,Settings!$F$52)-MOD(IFERROR(MATCH(Settings!$E$52,$EO$4:$EO$10,0),0)-WEEKDAY(MAX($A41,Settings!$F$52)),7))/7)+1)),IF(AND(IF(Settings!$E$52="",$B41,DATE(YEAR($A41),MONTH($A41),MIN(Settings!$E$52,DAY($B41))))&gt;=MAX($A41,Settings!$F$52),IF(Settings!$E$52="",$B41,DATE(YEAR($A41),MONTH($A41),MIN(Settings!$E$52,DAY($B41))))&lt;=MIN($C41,IF(Settings!$G$52="",$C41,Settings!$G$52))),1,0)))</f>
        <v/>
      </c>
      <c r="BM41">
        <f>IF(OR(Settings!$C$53="",Settings!$D$53=""),0,Settings!$C$53*IF(Settings!$D$53="Weekly",IF(IFERROR(MATCH(Settings!$E$53,$EO$4:$EO$10,0),0)=0,0,IF(MIN($C41,IF(Settings!$G$53="",$C41,Settings!$G$53))&lt;MAX($A41,Settings!$F$53),0,INT((MIN($C41,IF(Settings!$G$53="",$C41,Settings!$G$53))-MAX($A41,Settings!$F$53)-MOD(IFERROR(MATCH(Settings!$E$53,$EO$4:$EO$10,0),0)-WEEKDAY(MAX($A41,Settings!$F$53)),7))/7)+1)),IF(AND(IF(Settings!$E$53="",$B41,DATE(YEAR($A41),MONTH($A41),MIN(Settings!$E$53,DAY($B41))))&gt;=MAX($A41,Settings!$F$53),IF(Settings!$E$53="",$B41,DATE(YEAR($A41),MONTH($A41),MIN(Settings!$E$53,DAY($B41))))&lt;=MIN($C41,IF(Settings!$G$53="",$C41,Settings!$G$53))),1,0)))</f>
        <v/>
      </c>
      <c r="BN41">
        <f>IF(OR(Settings!$C$54="",Settings!$D$54=""),0,Settings!$C$54*IF(Settings!$D$54="Weekly",IF(IFERROR(MATCH(Settings!$E$54,$EO$4:$EO$10,0),0)=0,0,IF(MIN($C41,IF(Settings!$G$54="",$C41,Settings!$G$54))&lt;MAX($A41,Settings!$F$54),0,INT((MIN($C41,IF(Settings!$G$54="",$C41,Settings!$G$54))-MAX($A41,Settings!$F$54)-MOD(IFERROR(MATCH(Settings!$E$54,$EO$4:$EO$10,0),0)-WEEKDAY(MAX($A41,Settings!$F$54)),7))/7)+1)),IF(AND(IF(Settings!$E$54="",$B41,DATE(YEAR($A41),MONTH($A41),MIN(Settings!$E$54,DAY($B41))))&gt;=MAX($A41,Settings!$F$54),IF(Settings!$E$54="",$B41,DATE(YEAR($A41),MONTH($A41),MIN(Settings!$E$54,DAY($B41))))&lt;=MIN($C41,IF(Settings!$G$54="",$C41,Settings!$G$54))),1,0)))</f>
        <v/>
      </c>
      <c r="BO41">
        <f>IF(OR(Settings!$C$55="",Settings!$D$55=""),0,Settings!$C$55*IF(Settings!$D$55="Weekly",IF(IFERROR(MATCH(Settings!$E$55,$EO$4:$EO$10,0),0)=0,0,IF(MIN($C41,IF(Settings!$G$55="",$C41,Settings!$G$55))&lt;MAX($A41,Settings!$F$55),0,INT((MIN($C41,IF(Settings!$G$55="",$C41,Settings!$G$55))-MAX($A41,Settings!$F$55)-MOD(IFERROR(MATCH(Settings!$E$55,$EO$4:$EO$10,0),0)-WEEKDAY(MAX($A41,Settings!$F$55)),7))/7)+1)),IF(AND(IF(Settings!$E$55="",$B41,DATE(YEAR($A41),MONTH($A41),MIN(Settings!$E$55,DAY($B41))))&gt;=MAX($A41,Settings!$F$55),IF(Settings!$E$55="",$B41,DATE(YEAR($A41),MONTH($A41),MIN(Settings!$E$55,DAY($B41))))&lt;=MIN($C41,IF(Settings!$G$55="",$C41,Settings!$G$55))),1,0)))</f>
        <v/>
      </c>
      <c r="BP41">
        <f>IF(OR(Settings!$C$56="",Settings!$D$56=""),0,Settings!$C$56*IF(Settings!$D$56="Weekly",IF(IFERROR(MATCH(Settings!$E$56,$EO$4:$EO$10,0),0)=0,0,IF(MIN($C41,IF(Settings!$G$56="",$C41,Settings!$G$56))&lt;MAX($A41,Settings!$F$56),0,INT((MIN($C41,IF(Settings!$G$56="",$C41,Settings!$G$56))-MAX($A41,Settings!$F$56)-MOD(IFERROR(MATCH(Settings!$E$56,$EO$4:$EO$10,0),0)-WEEKDAY(MAX($A41,Settings!$F$56)),7))/7)+1)),IF(AND(IF(Settings!$E$56="",$B41,DATE(YEAR($A41),MONTH($A41),MIN(Settings!$E$56,DAY($B41))))&gt;=MAX($A41,Settings!$F$56),IF(Settings!$E$56="",$B41,DATE(YEAR($A41),MONTH($A41),MIN(Settings!$E$56,DAY($B41))))&lt;=MIN($C41,IF(Settings!$G$56="",$C41,Settings!$G$56))),1,0)))</f>
        <v/>
      </c>
      <c r="BQ41">
        <f>IF(OR(Settings!$B$14="",$D41=1,$E41="pre",$A41&lt;IF(Settings!$B$15="",0,Settings!$B$15)),0,Settings!$B$14)</f>
        <v/>
      </c>
      <c r="BR41">
        <f>IF(AND('Month-End'!$AL$7&lt;&gt;"",NOT(_xlfn.ISFORMULA('Month-End'!$AL$7))),1,0)</f>
        <v/>
      </c>
      <c r="BS41">
        <f>IF(AND('Month-End'!$AL$8&lt;&gt;"",NOT(_xlfn.ISFORMULA('Month-End'!$AL$8))),1,0)</f>
        <v/>
      </c>
      <c r="BT41">
        <f>IF(AND('Month-End'!$AL$9&lt;&gt;"",NOT(_xlfn.ISFORMULA('Month-End'!$AL$9))),1,0)</f>
        <v/>
      </c>
      <c r="BU41">
        <f>IF(AND('Month-End'!$AL$10&lt;&gt;"",NOT(_xlfn.ISFORMULA('Month-End'!$AL$10))),1,0)</f>
        <v/>
      </c>
      <c r="BV41">
        <f>IF(AND('Month-End'!$AL$11&lt;&gt;"",NOT(_xlfn.ISFORMULA('Month-End'!$AL$11))),1,0)</f>
        <v/>
      </c>
      <c r="BW41">
        <f>IF(AND('Month-End'!$AL$12&lt;&gt;"",NOT(_xlfn.ISFORMULA('Month-End'!$AL$12))),1,0)</f>
        <v/>
      </c>
      <c r="BX41">
        <f>IF(AND('Month-End'!$AL$13&lt;&gt;"",NOT(_xlfn.ISFORMULA('Month-End'!$AL$13))),1,0)</f>
        <v/>
      </c>
      <c r="BY41">
        <f>IF(AND('Month-End'!$AL$14&lt;&gt;"",NOT(_xlfn.ISFORMULA('Month-End'!$AL$14))),1,0)</f>
        <v/>
      </c>
      <c r="BZ41">
        <f>IF(AND('Month-End'!$AL$15&lt;&gt;"",NOT(_xlfn.ISFORMULA('Month-End'!$AL$15))),1,0)</f>
        <v/>
      </c>
      <c r="CA41">
        <f>IF(AND('Month-End'!$AL$16&lt;&gt;"",NOT(_xlfn.ISFORMULA('Month-End'!$AL$16))),1,0)</f>
        <v/>
      </c>
      <c r="CB41">
        <f>IF(AND('Month-End'!$AL$17&lt;&gt;"",NOT(_xlfn.ISFORMULA('Month-End'!$AL$17))),1,0)</f>
        <v/>
      </c>
      <c r="CC41">
        <f>IF(AND('Month-End'!$AL$18&lt;&gt;"",NOT(_xlfn.ISFORMULA('Month-End'!$AL$18))),1,0)</f>
        <v/>
      </c>
      <c r="CD41">
        <f>IF(AND('Month-End'!$AL$19&lt;&gt;"",NOT(_xlfn.ISFORMULA('Month-End'!$AL$19))),1,0)</f>
        <v/>
      </c>
      <c r="CE41">
        <f>IF(AND('Month-End'!$AL$20&lt;&gt;"",NOT(_xlfn.ISFORMULA('Month-End'!$AL$20))),1,0)</f>
        <v/>
      </c>
      <c r="CF41">
        <f>IF(AND('Month-End'!$AL$38&lt;&gt;"",NOT(_xlfn.ISFORMULA('Month-End'!$AL$38))),1,0)</f>
        <v/>
      </c>
      <c r="CG41">
        <f>IF(AND('Month-End'!$AL$39&lt;&gt;"",NOT(_xlfn.ISFORMULA('Month-End'!$AL$39))),1,0)</f>
        <v/>
      </c>
      <c r="CH41">
        <f>IF(AND('Month-End'!$AL$40&lt;&gt;"",NOT(_xlfn.ISFORMULA('Month-End'!$AL$40))),1,0)</f>
        <v/>
      </c>
      <c r="CI41">
        <f>IF(AND('Month-End'!$AL$41&lt;&gt;"",NOT(_xlfn.ISFORMULA('Month-End'!$AL$41))),1,0)</f>
        <v/>
      </c>
      <c r="CJ41">
        <f>IF(AND('Month-End'!$AL$42&lt;&gt;"",NOT(_xlfn.ISFORMULA('Month-End'!$AL$42))),1,0)</f>
        <v/>
      </c>
      <c r="CK41">
        <f>IF(AND('Month-End'!$AL$43&lt;&gt;"",NOT(_xlfn.ISFORMULA('Month-End'!$AL$43))),1,0)</f>
        <v/>
      </c>
      <c r="CL41">
        <f>SUM($CM41:$CZ41)</f>
        <v/>
      </c>
      <c r="CM41">
        <f>IF(AND($E41&lt;&gt;"pre",AND(Settings!$A$19&lt;&gt;"",Settings!$E$19&lt;&gt;"No"),Settings!$F$19="Yes",NOT(AND('Month-End'!$AL$7&lt;&gt;"",NOT(_xlfn.ISFORMULA('Month-End'!$AL$7))))),1,0)</f>
        <v/>
      </c>
      <c r="CN41">
        <f>IF(AND($E41&lt;&gt;"pre",AND(Settings!$A$20&lt;&gt;"",Settings!$E$20&lt;&gt;"No"),Settings!$F$20="Yes",NOT(AND('Month-End'!$AL$8&lt;&gt;"",NOT(_xlfn.ISFORMULA('Month-End'!$AL$8))))),1,0)</f>
        <v/>
      </c>
      <c r="CO41">
        <f>IF(AND($E41&lt;&gt;"pre",AND(Settings!$A$21&lt;&gt;"",Settings!$E$21&lt;&gt;"No"),Settings!$F$21="Yes",NOT(AND('Month-End'!$AL$9&lt;&gt;"",NOT(_xlfn.ISFORMULA('Month-End'!$AL$9))))),1,0)</f>
        <v/>
      </c>
      <c r="CP41">
        <f>IF(AND($E41&lt;&gt;"pre",AND(Settings!$A$22&lt;&gt;"",Settings!$E$22&lt;&gt;"No"),Settings!$F$22="Yes",NOT(AND('Month-End'!$AL$10&lt;&gt;"",NOT(_xlfn.ISFORMULA('Month-End'!$AL$10))))),1,0)</f>
        <v/>
      </c>
      <c r="CQ41">
        <f>IF(AND($E41&lt;&gt;"pre",AND(Settings!$A$23&lt;&gt;"",Settings!$E$23&lt;&gt;"No"),Settings!$F$23="Yes",NOT(AND('Month-End'!$AL$11&lt;&gt;"",NOT(_xlfn.ISFORMULA('Month-End'!$AL$11))))),1,0)</f>
        <v/>
      </c>
      <c r="CR41">
        <f>IF(AND($E41&lt;&gt;"pre",AND(Settings!$A$24&lt;&gt;"",Settings!$E$24&lt;&gt;"No"),Settings!$F$24="Yes",NOT(AND('Month-End'!$AL$12&lt;&gt;"",NOT(_xlfn.ISFORMULA('Month-End'!$AL$12))))),1,0)</f>
        <v/>
      </c>
      <c r="CS41">
        <f>IF(AND($E41&lt;&gt;"pre",AND(Settings!$A$25&lt;&gt;"",Settings!$E$25&lt;&gt;"No"),Settings!$F$25="Yes",NOT(AND('Month-End'!$AL$13&lt;&gt;"",NOT(_xlfn.ISFORMULA('Month-End'!$AL$13))))),1,0)</f>
        <v/>
      </c>
      <c r="CT41">
        <f>IF(AND($E41&lt;&gt;"pre",AND(Settings!$A$26&lt;&gt;"",Settings!$E$26&lt;&gt;"No"),Settings!$F$26="Yes",NOT(AND('Month-End'!$AL$14&lt;&gt;"",NOT(_xlfn.ISFORMULA('Month-End'!$AL$14))))),1,0)</f>
        <v/>
      </c>
      <c r="CU41">
        <f>IF(AND($E41&lt;&gt;"pre",AND(Settings!$A$27&lt;&gt;"",Settings!$E$27&lt;&gt;"No"),Settings!$F$27="Yes",NOT(AND('Month-End'!$AL$15&lt;&gt;"",NOT(_xlfn.ISFORMULA('Month-End'!$AL$15))))),1,0)</f>
        <v/>
      </c>
      <c r="CV41">
        <f>IF(AND($E41&lt;&gt;"pre",AND(Settings!$A$28&lt;&gt;"",Settings!$E$28&lt;&gt;"No"),Settings!$F$28="Yes",NOT(AND('Month-End'!$AL$16&lt;&gt;"",NOT(_xlfn.ISFORMULA('Month-End'!$AL$16))))),1,0)</f>
        <v/>
      </c>
      <c r="CW41">
        <f>IF(AND($E41&lt;&gt;"pre",AND(Settings!$A$29&lt;&gt;"",Settings!$E$29&lt;&gt;"No"),Settings!$F$29="Yes",NOT(AND('Month-End'!$AL$17&lt;&gt;"",NOT(_xlfn.ISFORMULA('Month-End'!$AL$17))))),1,0)</f>
        <v/>
      </c>
      <c r="CX41">
        <f>IF(AND($E41&lt;&gt;"pre",AND(Settings!$A$30&lt;&gt;"",Settings!$E$30&lt;&gt;"No"),Settings!$F$30="Yes",NOT(AND('Month-End'!$AL$18&lt;&gt;"",NOT(_xlfn.ISFORMULA('Month-End'!$AL$18))))),1,0)</f>
        <v/>
      </c>
      <c r="CY41">
        <f>IF(AND($E41&lt;&gt;"pre",AND(Settings!$A$31&lt;&gt;"",Settings!$E$31&lt;&gt;"No"),Settings!$F$31="Yes",NOT(AND('Month-End'!$AL$19&lt;&gt;"",NOT(_xlfn.ISFORMULA('Month-End'!$AL$19))))),1,0)</f>
        <v/>
      </c>
      <c r="CZ41">
        <f>IF(AND($E41&lt;&gt;"pre",AND(Settings!$A$32&lt;&gt;"",Settings!$E$32&lt;&gt;"No"),Settings!$F$32="Yes",NOT(AND('Month-End'!$AL$20&lt;&gt;"",NOT(_xlfn.ISFORMULA('Month-End'!$AL$20))))),1,0)</f>
        <v/>
      </c>
      <c r="DA41">
        <f>IF($DT41=1,IF(OR(Settings!$B$19="Checking",Settings!$B$19="Savings",Settings!$B$19="Cash"),N($AE41),IF(OR(Settings!$B$19="Card",Settings!$B$19="Loan"),-N($AE41),0))+IF(OR(Settings!$B$20="Checking",Settings!$B$20="Savings",Settings!$B$20="Cash"),N($AF41),IF(OR(Settings!$B$20="Card",Settings!$B$20="Loan"),-N($AF41),0))+IF(OR(Settings!$B$21="Checking",Settings!$B$21="Savings",Settings!$B$21="Cash"),N($AG41),IF(OR(Settings!$B$21="Card",Settings!$B$21="Loan"),-N($AG41),0))+IF(OR(Settings!$B$22="Checking",Settings!$B$22="Savings",Settings!$B$22="Cash"),N($AH41),IF(OR(Settings!$B$22="Card",Settings!$B$22="Loan"),-N($AH41),0))+IF(OR(Settings!$B$23="Checking",Settings!$B$23="Savings",Settings!$B$23="Cash"),N($AI41),IF(OR(Settings!$B$23="Card",Settings!$B$23="Loan"),-N($AI41),0))+IF(OR(Settings!$B$24="Checking",Settings!$B$24="Savings",Settings!$B$24="Cash"),N($AJ41),IF(OR(Settings!$B$24="Card",Settings!$B$24="Loan"),-N($AJ41),0))+IF(OR(Settings!$B$25="Checking",Settings!$B$25="Savings",Settings!$B$25="Cash"),N($AK41),IF(OR(Settings!$B$25="Card",Settings!$B$25="Loan"),-N($AK41),0))+IF(OR(Settings!$B$26="Checking",Settings!$B$26="Savings",Settings!$B$26="Cash"),N($AL41),IF(OR(Settings!$B$26="Card",Settings!$B$26="Loan"),-N($AL41),0))+IF(OR(Settings!$B$27="Checking",Settings!$B$27="Savings",Settings!$B$27="Cash"),N($AM41),IF(OR(Settings!$B$27="Card",Settings!$B$27="Loan"),-N($AM41),0))+IF(OR(Settings!$B$28="Checking",Settings!$B$28="Savings",Settings!$B$28="Cash"),N($AN41),IF(OR(Settings!$B$28="Card",Settings!$B$28="Loan"),-N($AN41),0))+IF(OR(Settings!$B$29="Checking",Settings!$B$29="Savings",Settings!$B$29="Cash"),N($AO41),IF(OR(Settings!$B$29="Card",Settings!$B$29="Loan"),-N($AO41),0))+IF(OR(Settings!$B$30="Checking",Settings!$B$30="Savings",Settings!$B$30="Cash"),N($AP41),IF(OR(Settings!$B$30="Card",Settings!$B$30="Loan"),-N($AP41),0))+IF(OR(Settings!$B$31="Checking",Settings!$B$31="Savings",Settings!$B$31="Cash"),N($AQ41),IF(OR(Settings!$B$31="Card",Settings!$B$31="Loan"),-N($AQ41),0))+IF(OR(Settings!$B$32="Checking",Settings!$B$32="Savings",Settings!$B$32="Cash"),N($AR41),IF(OR(Settings!$B$32="Card",Settings!$B$32="Loan"),-N($AR41),0)),"")</f>
        <v/>
      </c>
      <c r="DB41">
        <f>IF($E41="open",$EB$27,IF($E41="post",IF($E40="pre",$EB$27,$DA40),""))</f>
        <v/>
      </c>
      <c r="DC41">
        <f>IF($E41="open",1,IF($E41="post",IF($E40="pre",1,$DT40),0))</f>
        <v/>
      </c>
      <c r="DD41">
        <f>IF(AND($DT41=1,$DC41=1),ROUND($W41-($DA41-$DB41)-$AD41-$AB41,2),"")</f>
        <v/>
      </c>
      <c r="DE41">
        <f>IF('Month-End'!$AL$35="",$BQ41,N('Month-End'!$AL$35))</f>
        <v/>
      </c>
      <c r="DF41">
        <f>N('Month-End'!$AL$36)</f>
        <v/>
      </c>
      <c r="DG41">
        <f>IF($DD41="","",$DD41+$DE41)</f>
        <v/>
      </c>
      <c r="DH41">
        <f>IF($DG41="","",$DG41-$DF41)</f>
        <v/>
      </c>
      <c r="DI41">
        <f>IF(OR($E41="pre",$D41=1),"",N($AS41)+N($AT41)+N($AU41)+N($AV41)+N($AW41)+N($AX41))</f>
        <v/>
      </c>
      <c r="DJ41">
        <f>IF($DT41=1,$DA41+N($DI41),"")</f>
        <v/>
      </c>
      <c r="DK41">
        <f>IF($DD41="","",$W41-$DD41-$AB41)</f>
        <v/>
      </c>
      <c r="DL41">
        <f>IF(AND($E41="post",$DD41&lt;&gt;"",$B41&lt;TODAY()),1,0)</f>
        <v/>
      </c>
      <c r="DM41">
        <f>IF($DL41=1,COUNTIF($DL41:$DL$183,1),0)</f>
        <v/>
      </c>
      <c r="DN41">
        <f>IF($D41=1,"",IF($E41="pre","History only",IF($DT41=1,IF($DD41="","⚠ Previous month missing",IF($DD41&lt;0,"⚠ Check: spending &lt; 0",IF($E41="open","✓ Done (partial)","✓ Done"))),IF($B41&gt;=TODAY(),"In progress","⚠ Needs balances"))))</f>
        <v/>
      </c>
      <c r="DO41">
        <f>YEAR($A41)</f>
        <v/>
      </c>
      <c r="DP41">
        <f>DATE(YEAR($A41),INT((MONTH($A41)-1)/3)*3+1,1)</f>
        <v/>
      </c>
      <c r="DQ41">
        <f>IF(AND($DT41=1,$DD41&lt;&gt;"",$D41=0),ROW(),0)</f>
        <v/>
      </c>
      <c r="DR41">
        <f>IF(AND($E41&lt;&gt;"pre",$B41&lt;TODAY(),$DT41=0),1,0)</f>
        <v/>
      </c>
      <c r="DS41">
        <f>IF($DJ41="",NA(),$DJ41)</f>
        <v/>
      </c>
      <c r="DT41">
        <f>IF(AND($E41&lt;&gt;"pre",$CL41=0,COUNTIFS(Settings!$F$19:$F$32,"Yes",Settings!$A$19:$A$32,"&lt;&gt;",Settings!$E$19:$E$32,"&lt;&gt;No")&gt;0),1,0)</f>
        <v/>
      </c>
      <c r="DU41">
        <f>IF(AND($B41&lt;TODAY(),$S41&gt;0),1,0)</f>
        <v/>
      </c>
      <c r="DV41">
        <f>IF($DU41=1,COUNTIF($DU41:$DU$183,1),0)</f>
        <v/>
      </c>
      <c r="DW41">
        <f>IF(AND(OR(Settings!$B$19="Card",Settings!$B$19="Loan"),AND('Month-End'!$AL$7&lt;&gt;"",NOT(_xlfn.ISFORMULA('Month-End'!$AL$7)))),IF(N('Month-End'!$AL$7)&lt;0,1,0),0)+IF(AND(OR(Settings!$B$20="Card",Settings!$B$20="Loan"),AND('Month-End'!$AL$8&lt;&gt;"",NOT(_xlfn.ISFORMULA('Month-End'!$AL$8)))),IF(N('Month-End'!$AL$8)&lt;0,1,0),0)+IF(AND(OR(Settings!$B$21="Card",Settings!$B$21="Loan"),AND('Month-End'!$AL$9&lt;&gt;"",NOT(_xlfn.ISFORMULA('Month-End'!$AL$9)))),IF(N('Month-End'!$AL$9)&lt;0,1,0),0)+IF(AND(OR(Settings!$B$22="Card",Settings!$B$22="Loan"),AND('Month-End'!$AL$10&lt;&gt;"",NOT(_xlfn.ISFORMULA('Month-End'!$AL$10)))),IF(N('Month-End'!$AL$10)&lt;0,1,0),0)+IF(AND(OR(Settings!$B$23="Card",Settings!$B$23="Loan"),AND('Month-End'!$AL$11&lt;&gt;"",NOT(_xlfn.ISFORMULA('Month-End'!$AL$11)))),IF(N('Month-End'!$AL$11)&lt;0,1,0),0)+IF(AND(OR(Settings!$B$24="Card",Settings!$B$24="Loan"),AND('Month-End'!$AL$12&lt;&gt;"",NOT(_xlfn.ISFORMULA('Month-End'!$AL$12)))),IF(N('Month-End'!$AL$12)&lt;0,1,0),0)+IF(AND(OR(Settings!$B$25="Card",Settings!$B$25="Loan"),AND('Month-End'!$AL$13&lt;&gt;"",NOT(_xlfn.ISFORMULA('Month-End'!$AL$13)))),IF(N('Month-End'!$AL$13)&lt;0,1,0),0)+IF(AND(OR(Settings!$B$26="Card",Settings!$B$26="Loan"),AND('Month-End'!$AL$14&lt;&gt;"",NOT(_xlfn.ISFORMULA('Month-End'!$AL$14)))),IF(N('Month-End'!$AL$14)&lt;0,1,0),0)+IF(AND(OR(Settings!$B$27="Card",Settings!$B$27="Loan"),AND('Month-End'!$AL$15&lt;&gt;"",NOT(_xlfn.ISFORMULA('Month-End'!$AL$15)))),IF(N('Month-End'!$AL$15)&lt;0,1,0),0)+IF(AND(OR(Settings!$B$28="Card",Settings!$B$28="Loan"),AND('Month-End'!$AL$16&lt;&gt;"",NOT(_xlfn.ISFORMULA('Month-End'!$AL$16)))),IF(N('Month-End'!$AL$16)&lt;0,1,0),0)+IF(AND(OR(Settings!$B$29="Card",Settings!$B$29="Loan"),AND('Month-End'!$AL$17&lt;&gt;"",NOT(_xlfn.ISFORMULA('Month-End'!$AL$17)))),IF(N('Month-End'!$AL$17)&lt;0,1,0),0)+IF(AND(OR(Settings!$B$30="Card",Settings!$B$30="Loan"),AND('Month-End'!$AL$18&lt;&gt;"",NOT(_xlfn.ISFORMULA('Month-End'!$AL$18)))),IF(N('Month-End'!$AL$18)&lt;0,1,0),0)+IF(AND(OR(Settings!$B$31="Card",Settings!$B$31="Loan"),AND('Month-End'!$AL$19&lt;&gt;"",NOT(_xlfn.ISFORMULA('Month-End'!$AL$19)))),IF(N('Month-End'!$AL$19)&lt;0,1,0),0)+IF(AND(OR(Settings!$B$32="Card",Settings!$B$32="Loan"),AND('Month-End'!$AL$20&lt;&gt;"",NOT(_xlfn.ISFORMULA('Month-End'!$AL$20)))),IF(N('Month-End'!$AL$20)&lt;0,1,0),0)</f>
        <v/>
      </c>
      <c r="DX41">
        <f>IF(Settings!$B$36="Retirement",$AY41,0)+IF(Settings!$B$37="Retirement",$AZ41,0)+IF(Settings!$B$38="Retirement",$BA41,0)+IF(Settings!$B$39="Retirement",$BB41,0)+IF(Settings!$B$40="Retirement",$BC41,0)+IF(Settings!$B$41="Retirement",$BD41,0)</f>
        <v/>
      </c>
      <c r="EA41">
        <f>IF(Settings!$A$20="","",Settings!$A$20)</f>
        <v/>
      </c>
      <c r="EB41">
        <f>IF(Settings!$A$20="","",IF($EB$5=0,N(Settings!$C$20),N(INDEX($AF:$AF,$EB$5))))</f>
        <v/>
      </c>
      <c r="EC41">
        <f>""</f>
        <v/>
      </c>
      <c r="ED41">
        <f>IF(AND(AND(Settings!$A$20&lt;&gt;"",Settings!$E$20&lt;&gt;"No"),Settings!$B$20="Cash",Settings!$B$5&lt;EDATE(TODAY(),-6),COUNTIFS($BS$6:$BS$183,1,$A$6:$A$183,"&gt;="&amp;EDATE(TODAY(),-6))=0),1,0)</f>
        <v/>
      </c>
      <c r="EI41">
        <f>IF(AND(Settings!$A$20&lt;&gt;"",Settings!$E$20&lt;&gt;"No"),COUNTIFS($EK$40:$EK41,1),"")</f>
        <v/>
      </c>
      <c r="EJ41">
        <f>IF(Settings!$A$20="","",Settings!$B$20)</f>
        <v/>
      </c>
      <c r="EK41">
        <f>IF(AND(Settings!$A$20&lt;&gt;"",Settings!$E$20&lt;&gt;"No"),1,0)</f>
        <v/>
      </c>
      <c r="EL41">
        <f>IF(Settings!$A$20="","",IF(OR(Settings!$B$20="Card",Settings!$B$20="Loan"),-N(EB41),N(EB41)))</f>
        <v/>
      </c>
      <c r="EM41">
        <f>IF(Settings!$A$20="","",IF(Settings!$D$20="Yes","estimate",""))</f>
        <v/>
      </c>
      <c r="ET41">
        <f>IF($E41&lt;&gt;"open",0,IF(AND('Month-End'!$AL$22&lt;&gt;"",NOT(_xlfn.ISFORMULA('Month-End'!$AL$22))),0,IF(OR(Settings!$C$45="",Settings!$D$45=""),0,Settings!$C$45*IF(Settings!$D$45="Weekly",IF(IFERROR(MATCH(Settings!$E$45,$EO$4:$EO$10,0),0)=0,0,IF(MIN(Settings!$B$5,IF(Settings!$G$45="",Settings!$B$5,Settings!$G$45))&lt;MAX($A41,Settings!$F$45),0,INT((MIN(Settings!$B$5,IF(Settings!$G$45="",Settings!$B$5,Settings!$G$45))-MAX($A41,Settings!$F$45)-MOD(IFERROR(MATCH(Settings!$E$45,$EO$4:$EO$10,0),0)-WEEKDAY(MAX($A41,Settings!$F$45)),7))/7)+1)),IF(AND(IF(Settings!$E$45="",$B41,DATE(YEAR($A41),MONTH($A41),MIN(Settings!$E$45,DAY($B41))))&gt;=MAX($A41,Settings!$F$45),IF(Settings!$E$45="",$B41,DATE(YEAR($A41),MONTH($A41),MIN(Settings!$E$45,DAY($B41))))&lt;=MIN(Settings!$B$5,IF(Settings!$G$45="",Settings!$B$5,Settings!$G$45))),1,0)))))</f>
        <v/>
      </c>
      <c r="EU41">
        <f>IF($E41&lt;&gt;"open",0,IF(AND('Month-End'!$AL$23&lt;&gt;"",NOT(_xlfn.ISFORMULA('Month-End'!$AL$23))),0,IF(OR(Settings!$C$46="",Settings!$D$46=""),0,Settings!$C$46*IF(Settings!$D$46="Weekly",IF(IFERROR(MATCH(Settings!$E$46,$EO$4:$EO$10,0),0)=0,0,IF(MIN(Settings!$B$5,IF(Settings!$G$46="",Settings!$B$5,Settings!$G$46))&lt;MAX($A41,Settings!$F$46),0,INT((MIN(Settings!$B$5,IF(Settings!$G$46="",Settings!$B$5,Settings!$G$46))-MAX($A41,Settings!$F$46)-MOD(IFERROR(MATCH(Settings!$E$46,$EO$4:$EO$10,0),0)-WEEKDAY(MAX($A41,Settings!$F$46)),7))/7)+1)),IF(AND(IF(Settings!$E$46="",$B41,DATE(YEAR($A41),MONTH($A41),MIN(Settings!$E$46,DAY($B41))))&gt;=MAX($A41,Settings!$F$46),IF(Settings!$E$46="",$B41,DATE(YEAR($A41),MONTH($A41),MIN(Settings!$E$46,DAY($B41))))&lt;=MIN(Settings!$B$5,IF(Settings!$G$46="",Settings!$B$5,Settings!$G$46))),1,0)))))</f>
        <v/>
      </c>
      <c r="EV41">
        <f>IF($E41&lt;&gt;"open",0,IF(AND('Month-End'!$AL$24&lt;&gt;"",NOT(_xlfn.ISFORMULA('Month-End'!$AL$24))),0,IF(OR(Settings!$C$47="",Settings!$D$47=""),0,Settings!$C$47*IF(Settings!$D$47="Weekly",IF(IFERROR(MATCH(Settings!$E$47,$EO$4:$EO$10,0),0)=0,0,IF(MIN(Settings!$B$5,IF(Settings!$G$47="",Settings!$B$5,Settings!$G$47))&lt;MAX($A41,Settings!$F$47),0,INT((MIN(Settings!$B$5,IF(Settings!$G$47="",Settings!$B$5,Settings!$G$47))-MAX($A41,Settings!$F$47)-MOD(IFERROR(MATCH(Settings!$E$47,$EO$4:$EO$10,0),0)-WEEKDAY(MAX($A41,Settings!$F$47)),7))/7)+1)),IF(AND(IF(Settings!$E$47="",$B41,DATE(YEAR($A41),MONTH($A41),MIN(Settings!$E$47,DAY($B41))))&gt;=MAX($A41,Settings!$F$47),IF(Settings!$E$47="",$B41,DATE(YEAR($A41),MONTH($A41),MIN(Settings!$E$47,DAY($B41))))&lt;=MIN(Settings!$B$5,IF(Settings!$G$47="",Settings!$B$5,Settings!$G$47))),1,0)))))</f>
        <v/>
      </c>
      <c r="EW41">
        <f>IF($E41&lt;&gt;"open",0,IF(AND('Month-End'!$AL$25&lt;&gt;"",NOT(_xlfn.ISFORMULA('Month-End'!$AL$25))),0,IF(OR(Settings!$C$48="",Settings!$D$48=""),0,Settings!$C$48*IF(Settings!$D$48="Weekly",IF(IFERROR(MATCH(Settings!$E$48,$EO$4:$EO$10,0),0)=0,0,IF(MIN(Settings!$B$5,IF(Settings!$G$48="",Settings!$B$5,Settings!$G$48))&lt;MAX($A41,Settings!$F$48),0,INT((MIN(Settings!$B$5,IF(Settings!$G$48="",Settings!$B$5,Settings!$G$48))-MAX($A41,Settings!$F$48)-MOD(IFERROR(MATCH(Settings!$E$48,$EO$4:$EO$10,0),0)-WEEKDAY(MAX($A41,Settings!$F$48)),7))/7)+1)),IF(AND(IF(Settings!$E$48="",$B41,DATE(YEAR($A41),MONTH($A41),MIN(Settings!$E$48,DAY($B41))))&gt;=MAX($A41,Settings!$F$48),IF(Settings!$E$48="",$B41,DATE(YEAR($A41),MONTH($A41),MIN(Settings!$E$48,DAY($B41))))&lt;=MIN(Settings!$B$5,IF(Settings!$G$48="",Settings!$B$5,Settings!$G$48))),1,0)))))</f>
        <v/>
      </c>
      <c r="EX41">
        <f>IF($E41&lt;&gt;"open",0,IF(AND('Month-End'!$AL$26&lt;&gt;"",NOT(_xlfn.ISFORMULA('Month-End'!$AL$26))),0,IF(OR(Settings!$C$49="",Settings!$D$49=""),0,Settings!$C$49*IF(Settings!$D$49="Weekly",IF(IFERROR(MATCH(Settings!$E$49,$EO$4:$EO$10,0),0)=0,0,IF(MIN(Settings!$B$5,IF(Settings!$G$49="",Settings!$B$5,Settings!$G$49))&lt;MAX($A41,Settings!$F$49),0,INT((MIN(Settings!$B$5,IF(Settings!$G$49="",Settings!$B$5,Settings!$G$49))-MAX($A41,Settings!$F$49)-MOD(IFERROR(MATCH(Settings!$E$49,$EO$4:$EO$10,0),0)-WEEKDAY(MAX($A41,Settings!$F$49)),7))/7)+1)),IF(AND(IF(Settings!$E$49="",$B41,DATE(YEAR($A41),MONTH($A41),MIN(Settings!$E$49,DAY($B41))))&gt;=MAX($A41,Settings!$F$49),IF(Settings!$E$49="",$B41,DATE(YEAR($A41),MONTH($A41),MIN(Settings!$E$49,DAY($B41))))&lt;=MIN(Settings!$B$5,IF(Settings!$G$49="",Settings!$B$5,Settings!$G$49))),1,0)))))</f>
        <v/>
      </c>
      <c r="EY41">
        <f>IF($E41&lt;&gt;"open",0,IF(AND('Month-End'!$AL$27&lt;&gt;"",NOT(_xlfn.ISFORMULA('Month-End'!$AL$27))),0,IF(OR(Settings!$C$50="",Settings!$D$50=""),0,Settings!$C$50*IF(Settings!$D$50="Weekly",IF(IFERROR(MATCH(Settings!$E$50,$EO$4:$EO$10,0),0)=0,0,IF(MIN(Settings!$B$5,IF(Settings!$G$50="",Settings!$B$5,Settings!$G$50))&lt;MAX($A41,Settings!$F$50),0,INT((MIN(Settings!$B$5,IF(Settings!$G$50="",Settings!$B$5,Settings!$G$50))-MAX($A41,Settings!$F$50)-MOD(IFERROR(MATCH(Settings!$E$50,$EO$4:$EO$10,0),0)-WEEKDAY(MAX($A41,Settings!$F$50)),7))/7)+1)),IF(AND(IF(Settings!$E$50="",$B41,DATE(YEAR($A41),MONTH($A41),MIN(Settings!$E$50,DAY($B41))))&gt;=MAX($A41,Settings!$F$50),IF(Settings!$E$50="",$B41,DATE(YEAR($A41),MONTH($A41),MIN(Settings!$E$50,DAY($B41))))&lt;=MIN(Settings!$B$5,IF(Settings!$G$50="",Settings!$B$5,Settings!$G$50))),1,0)))))</f>
        <v/>
      </c>
      <c r="EZ41">
        <f>IF($E41&lt;&gt;"open",0,IF(AND('Month-End'!$AL$28&lt;&gt;"",NOT(_xlfn.ISFORMULA('Month-End'!$AL$28))),0,IF(OR(Settings!$C$51="",Settings!$D$51=""),0,Settings!$C$51*IF(Settings!$D$51="Weekly",IF(IFERROR(MATCH(Settings!$E$51,$EO$4:$EO$10,0),0)=0,0,IF(MIN(Settings!$B$5,IF(Settings!$G$51="",Settings!$B$5,Settings!$G$51))&lt;MAX($A41,Settings!$F$51),0,INT((MIN(Settings!$B$5,IF(Settings!$G$51="",Settings!$B$5,Settings!$G$51))-MAX($A41,Settings!$F$51)-MOD(IFERROR(MATCH(Settings!$E$51,$EO$4:$EO$10,0),0)-WEEKDAY(MAX($A41,Settings!$F$51)),7))/7)+1)),IF(AND(IF(Settings!$E$51="",$B41,DATE(YEAR($A41),MONTH($A41),MIN(Settings!$E$51,DAY($B41))))&gt;=MAX($A41,Settings!$F$51),IF(Settings!$E$51="",$B41,DATE(YEAR($A41),MONTH($A41),MIN(Settings!$E$51,DAY($B41))))&lt;=MIN(Settings!$B$5,IF(Settings!$G$51="",Settings!$B$5,Settings!$G$51))),1,0)))))</f>
        <v/>
      </c>
      <c r="FA41">
        <f>IF($E41&lt;&gt;"open",0,IF(AND('Month-End'!$AL$29&lt;&gt;"",NOT(_xlfn.ISFORMULA('Month-End'!$AL$29))),0,IF(OR(Settings!$C$52="",Settings!$D$52=""),0,Settings!$C$52*IF(Settings!$D$52="Weekly",IF(IFERROR(MATCH(Settings!$E$52,$EO$4:$EO$10,0),0)=0,0,IF(MIN(Settings!$B$5,IF(Settings!$G$52="",Settings!$B$5,Settings!$G$52))&lt;MAX($A41,Settings!$F$52),0,INT((MIN(Settings!$B$5,IF(Settings!$G$52="",Settings!$B$5,Settings!$G$52))-MAX($A41,Settings!$F$52)-MOD(IFERROR(MATCH(Settings!$E$52,$EO$4:$EO$10,0),0)-WEEKDAY(MAX($A41,Settings!$F$52)),7))/7)+1)),IF(AND(IF(Settings!$E$52="",$B41,DATE(YEAR($A41),MONTH($A41),MIN(Settings!$E$52,DAY($B41))))&gt;=MAX($A41,Settings!$F$52),IF(Settings!$E$52="",$B41,DATE(YEAR($A41),MONTH($A41),MIN(Settings!$E$52,DAY($B41))))&lt;=MIN(Settings!$B$5,IF(Settings!$G$52="",Settings!$B$5,Settings!$G$52))),1,0)))))</f>
        <v/>
      </c>
      <c r="FB41">
        <f>IF($E41&lt;&gt;"open",0,IF(AND('Month-End'!$AL$30&lt;&gt;"",NOT(_xlfn.ISFORMULA('Month-End'!$AL$30))),0,IF(OR(Settings!$C$53="",Settings!$D$53=""),0,Settings!$C$53*IF(Settings!$D$53="Weekly",IF(IFERROR(MATCH(Settings!$E$53,$EO$4:$EO$10,0),0)=0,0,IF(MIN(Settings!$B$5,IF(Settings!$G$53="",Settings!$B$5,Settings!$G$53))&lt;MAX($A41,Settings!$F$53),0,INT((MIN(Settings!$B$5,IF(Settings!$G$53="",Settings!$B$5,Settings!$G$53))-MAX($A41,Settings!$F$53)-MOD(IFERROR(MATCH(Settings!$E$53,$EO$4:$EO$10,0),0)-WEEKDAY(MAX($A41,Settings!$F$53)),7))/7)+1)),IF(AND(IF(Settings!$E$53="",$B41,DATE(YEAR($A41),MONTH($A41),MIN(Settings!$E$53,DAY($B41))))&gt;=MAX($A41,Settings!$F$53),IF(Settings!$E$53="",$B41,DATE(YEAR($A41),MONTH($A41),MIN(Settings!$E$53,DAY($B41))))&lt;=MIN(Settings!$B$5,IF(Settings!$G$53="",Settings!$B$5,Settings!$G$53))),1,0)))))</f>
        <v/>
      </c>
      <c r="FC41">
        <f>IF($E41&lt;&gt;"open",0,IF(AND('Month-End'!$AL$31&lt;&gt;"",NOT(_xlfn.ISFORMULA('Month-End'!$AL$31))),0,IF(OR(Settings!$C$54="",Settings!$D$54=""),0,Settings!$C$54*IF(Settings!$D$54="Weekly",IF(IFERROR(MATCH(Settings!$E$54,$EO$4:$EO$10,0),0)=0,0,IF(MIN(Settings!$B$5,IF(Settings!$G$54="",Settings!$B$5,Settings!$G$54))&lt;MAX($A41,Settings!$F$54),0,INT((MIN(Settings!$B$5,IF(Settings!$G$54="",Settings!$B$5,Settings!$G$54))-MAX($A41,Settings!$F$54)-MOD(IFERROR(MATCH(Settings!$E$54,$EO$4:$EO$10,0),0)-WEEKDAY(MAX($A41,Settings!$F$54)),7))/7)+1)),IF(AND(IF(Settings!$E$54="",$B41,DATE(YEAR($A41),MONTH($A41),MIN(Settings!$E$54,DAY($B41))))&gt;=MAX($A41,Settings!$F$54),IF(Settings!$E$54="",$B41,DATE(YEAR($A41),MONTH($A41),MIN(Settings!$E$54,DAY($B41))))&lt;=MIN(Settings!$B$5,IF(Settings!$G$54="",Settings!$B$5,Settings!$G$54))),1,0)))))</f>
        <v/>
      </c>
      <c r="FD41">
        <f>IF($E41&lt;&gt;"open",0,IF(AND('Month-End'!$AL$32&lt;&gt;"",NOT(_xlfn.ISFORMULA('Month-End'!$AL$32))),0,IF(OR(Settings!$C$55="",Settings!$D$55=""),0,Settings!$C$55*IF(Settings!$D$55="Weekly",IF(IFERROR(MATCH(Settings!$E$55,$EO$4:$EO$10,0),0)=0,0,IF(MIN(Settings!$B$5,IF(Settings!$G$55="",Settings!$B$5,Settings!$G$55))&lt;MAX($A41,Settings!$F$55),0,INT((MIN(Settings!$B$5,IF(Settings!$G$55="",Settings!$B$5,Settings!$G$55))-MAX($A41,Settings!$F$55)-MOD(IFERROR(MATCH(Settings!$E$55,$EO$4:$EO$10,0),0)-WEEKDAY(MAX($A41,Settings!$F$55)),7))/7)+1)),IF(AND(IF(Settings!$E$55="",$B41,DATE(YEAR($A41),MONTH($A41),MIN(Settings!$E$55,DAY($B41))))&gt;=MAX($A41,Settings!$F$55),IF(Settings!$E$55="",$B41,DATE(YEAR($A41),MONTH($A41),MIN(Settings!$E$55,DAY($B41))))&lt;=MIN(Settings!$B$5,IF(Settings!$G$55="",Settings!$B$5,Settings!$G$55))),1,0)))))</f>
        <v/>
      </c>
      <c r="FE41">
        <f>IF($E41&lt;&gt;"open",0,IF(AND('Month-End'!$AL$33&lt;&gt;"",NOT(_xlfn.ISFORMULA('Month-End'!$AL$33))),0,IF(OR(Settings!$C$56="",Settings!$D$56=""),0,Settings!$C$56*IF(Settings!$D$56="Weekly",IF(IFERROR(MATCH(Settings!$E$56,$EO$4:$EO$10,0),0)=0,0,IF(MIN(Settings!$B$5,IF(Settings!$G$56="",Settings!$B$5,Settings!$G$56))&lt;MAX($A41,Settings!$F$56),0,INT((MIN(Settings!$B$5,IF(Settings!$G$56="",Settings!$B$5,Settings!$G$56))-MAX($A41,Settings!$F$56)-MOD(IFERROR(MATCH(Settings!$E$56,$EO$4:$EO$10,0),0)-WEEKDAY(MAX($A41,Settings!$F$56)),7))/7)+1)),IF(AND(IF(Settings!$E$56="",$B41,DATE(YEAR($A41),MONTH($A41),MIN(Settings!$E$56,DAY($B41))))&gt;=MAX($A41,Settings!$F$56),IF(Settings!$E$56="",$B41,DATE(YEAR($A41),MONTH($A41),MIN(Settings!$E$56,DAY($B41))))&lt;=MIN(Settings!$B$5,IF(Settings!$G$56="",Settings!$B$5,Settings!$G$56))),1,0)))))</f>
        <v/>
      </c>
      <c r="FF41">
        <f>IF(Settings!$I$45="Yes",$G41,0)+IF(Settings!$I$46="Yes",$H41,0)+IF(Settings!$I$47="Yes",$I41,0)+IF(Settings!$I$48="Yes",$J41,0)+IF(Settings!$I$49="Yes",$K41,0)+IF(Settings!$I$50="Yes",$L41,0)+IF(Settings!$I$51="Yes",$M41,0)+IF(Settings!$I$52="Yes",$N41,0)+IF(Settings!$I$53="Yes",$O41,0)+IF(Settings!$I$54="Yes",$P41,0)+IF(Settings!$I$55="Yes",$Q41,0)+IF(Settings!$I$56="Yes",$R41,0)</f>
        <v/>
      </c>
      <c r="FG41">
        <f>IF(AND(Settings!$I$45="Yes",Settings!$J$45="No"),$G41,0)+IF(AND(Settings!$I$46="Yes",Settings!$J$46="No"),$H41,0)+IF(AND(Settings!$I$47="Yes",Settings!$J$47="No"),$I41,0)+IF(AND(Settings!$I$48="Yes",Settings!$J$48="No"),$J41,0)+IF(AND(Settings!$I$49="Yes",Settings!$J$49="No"),$K41,0)+IF(AND(Settings!$I$50="Yes",Settings!$J$50="No"),$L41,0)+IF(AND(Settings!$I$51="Yes",Settings!$J$51="No"),$M41,0)+IF(AND(Settings!$I$52="Yes",Settings!$J$52="No"),$N41,0)+IF(AND(Settings!$I$53="Yes",Settings!$J$53="No"),$O41,0)+IF(AND(Settings!$I$54="Yes",Settings!$J$54="No"),$P41,0)+IF(AND(Settings!$I$55="Yes",Settings!$J$55="No"),$Q41,0)+IF(AND(Settings!$I$56="Yes",Settings!$J$56="No"),$R41,0)</f>
        <v/>
      </c>
      <c r="FH41">
        <f>SUMIFS(Giving!$B$7:$B$2006,Giving!$A$7:$A$2006,"&gt;="&amp;$A41,Giving!$A$7:$A$2006,"&lt;="&amp;$B41,Giving!$G$7:$G$2006,"Yes")+IF(OR(OR(Settings!$B$60="",Settings!$F$60="No"),Settings!$H$60&lt;&gt;"Yes"),0,Settings!$B$60*IF(AND(IF(Settings!$C$60="",$B41,DATE(YEAR($A41),MONTH($A41),MIN(Settings!$C$60,DAY($B41))))&gt;=MAX($A41,Settings!$D$60),IF(Settings!$C$60="",$B41,DATE(YEAR($A41),MONTH($A41),MIN(Settings!$C$60,DAY($B41))))&lt;=MIN($C41,IF(Settings!$E$60="",$C41,Settings!$E$60))),1,0))+IF(OR(OR(Settings!$B$61="",Settings!$F$61="No"),Settings!$H$61&lt;&gt;"Yes"),0,Settings!$B$61*IF(AND(IF(Settings!$C$61="",$B41,DATE(YEAR($A41),MONTH($A41),MIN(Settings!$C$61,DAY($B41))))&gt;=MAX($A41,Settings!$D$61),IF(Settings!$C$61="",$B41,DATE(YEAR($A41),MONTH($A41),MIN(Settings!$C$61,DAY($B41))))&lt;=MIN($C41,IF(Settings!$E$61="",$C41,Settings!$E$61))),1,0))+IF(OR(OR(Settings!$B$62="",Settings!$F$62="No"),Settings!$H$62&lt;&gt;"Yes"),0,Settings!$B$62*IF(AND(IF(Settings!$C$62="",$B41,DATE(YEAR($A41),MONTH($A41),MIN(Settings!$C$62,DAY($B41))))&gt;=MAX($A41,Settings!$D$62),IF(Settings!$C$62="",$B41,DATE(YEAR($A41),MONTH($A41),MIN(Settings!$C$62,DAY($B41))))&lt;=MIN($C41,IF(Settings!$E$62="",$C41,Settings!$E$62))),1,0))+IF(OR(OR(Settings!$B$63="",Settings!$F$63="No"),Settings!$H$63&lt;&gt;"Yes"),0,Settings!$B$63*IF(AND(IF(Settings!$C$63="",$B41,DATE(YEAR($A41),MONTH($A41),MIN(Settings!$C$63,DAY($B41))))&gt;=MAX($A41,Settings!$D$63),IF(Settings!$C$63="",$B41,DATE(YEAR($A41),MONTH($A41),MIN(Settings!$C$63,DAY($B41))))&lt;=MIN($C41,IF(Settings!$E$63="",$C41,Settings!$E$63))),1,0))+IF(OR(OR(Settings!$B$64="",Settings!$F$64="No"),Settings!$H$64&lt;&gt;"Yes"),0,Settings!$B$64*IF(AND(IF(Settings!$C$64="",$B41,DATE(YEAR($A41),MONTH($A41),MIN(Settings!$C$64,DAY($B41))))&gt;=MAX($A41,Settings!$D$64),IF(Settings!$C$64="",$B41,DATE(YEAR($A41),MONTH($A41),MIN(Settings!$C$64,DAY($B41))))&lt;=MIN($C41,IF(Settings!$E$64="",$C41,Settings!$E$64))),1,0))+IF(OR(OR(Settings!$B$65="",Settings!$F$65="No"),Settings!$H$65&lt;&gt;"Yes"),0,Settings!$B$65*IF(AND(IF(Settings!$C$65="",$B41,DATE(YEAR($A41),MONTH($A41),MIN(Settings!$C$65,DAY($B41))))&gt;=MAX($A41,Settings!$D$65),IF(Settings!$C$65="",$B41,DATE(YEAR($A41),MONTH($A41),MIN(Settings!$C$65,DAY($B41))))&lt;=MIN($C41,IF(Settings!$E$65="",$C41,Settings!$E$65))),1,0))</f>
        <v/>
      </c>
      <c r="FI41">
        <f>IF($DT41=1,IF(OR(Settings!$B$19="Card",Settings!$B$19="Loan"),N($AE41),0)+IF(OR(Settings!$B$20="Card",Settings!$B$20="Loan"),N($AF41),0)+IF(OR(Settings!$B$21="Card",Settings!$B$21="Loan"),N($AG41),0)+IF(OR(Settings!$B$22="Card",Settings!$B$22="Loan"),N($AH41),0)+IF(OR(Settings!$B$23="Card",Settings!$B$23="Loan"),N($AI41),0)+IF(OR(Settings!$B$24="Card",Settings!$B$24="Loan"),N($AJ41),0)+IF(OR(Settings!$B$25="Card",Settings!$B$25="Loan"),N($AK41),0)+IF(OR(Settings!$B$26="Card",Settings!$B$26="Loan"),N($AL41),0)+IF(OR(Settings!$B$27="Card",Settings!$B$27="Loan"),N($AM41),0)+IF(OR(Settings!$B$28="Card",Settings!$B$28="Loan"),N($AN41),0)+IF(OR(Settings!$B$29="Card",Settings!$B$29="Loan"),N($AO41),0)+IF(OR(Settings!$B$30="Card",Settings!$B$30="Loan"),N($AP41),0)+IF(OR(Settings!$B$31="Card",Settings!$B$31="Loan"),N($AQ41),0)+IF(OR(Settings!$B$32="Card",Settings!$B$32="Loan"),N($AR41),0),"")</f>
        <v/>
      </c>
      <c r="FJ41">
        <f>IF($E41="open",$EB$65,IF($E41="post",IF($E40="pre",$EB$65,$FI40),""))</f>
        <v/>
      </c>
      <c r="FK41">
        <f>IF(AND($DT41=1,$DC41=1),IF(ROUND($FI41-$FJ41,2)&gt;0,1,0),0)</f>
        <v/>
      </c>
      <c r="FL41">
        <f>IF($FK41=1,$FL40+1,0)</f>
        <v/>
      </c>
    </row>
    <row r="42">
      <c r="A42">
        <f>'Month-End'!$AM$4</f>
        <v/>
      </c>
      <c r="B42">
        <f>EOMONTH($A42,0)</f>
        <v/>
      </c>
      <c r="C42">
        <f>MIN($B42,TODAY())</f>
        <v/>
      </c>
      <c r="D42">
        <f>IF($A42&gt;TODAY(),1,0)</f>
        <v/>
      </c>
      <c r="E42">
        <f>IF($B42&lt;=Settings!$B$5,"pre",IF($A42&lt;=Settings!$B$5,"open","post"))</f>
        <v/>
      </c>
      <c r="G42">
        <f>IF('Month-End'!$AM$22="",$BE42,N('Month-End'!$AM$22))</f>
        <v/>
      </c>
      <c r="H42">
        <f>IF('Month-End'!$AM$23="",$BF42,N('Month-End'!$AM$23))</f>
        <v/>
      </c>
      <c r="I42">
        <f>IF('Month-End'!$AM$24="",$BG42,N('Month-End'!$AM$24))</f>
        <v/>
      </c>
      <c r="J42">
        <f>IF('Month-End'!$AM$25="",$BH42,N('Month-End'!$AM$25))</f>
        <v/>
      </c>
      <c r="K42">
        <f>IF('Month-End'!$AM$26="",$BI42,N('Month-End'!$AM$26))</f>
        <v/>
      </c>
      <c r="L42">
        <f>IF('Month-End'!$AM$27="",$BJ42,N('Month-End'!$AM$27))</f>
        <v/>
      </c>
      <c r="M42">
        <f>IF('Month-End'!$AM$28="",$BK42,N('Month-End'!$AM$28))</f>
        <v/>
      </c>
      <c r="N42">
        <f>IF('Month-End'!$AM$29="",$BL42,N('Month-End'!$AM$29))</f>
        <v/>
      </c>
      <c r="O42">
        <f>IF('Month-End'!$AM$30="",$BM42,N('Month-End'!$AM$30))</f>
        <v/>
      </c>
      <c r="P42">
        <f>IF('Month-End'!$AM$31="",$BN42,N('Month-End'!$AM$31))</f>
        <v/>
      </c>
      <c r="Q42">
        <f>IF('Month-End'!$AM$32="",$BO42,N('Month-End'!$AM$32))</f>
        <v/>
      </c>
      <c r="R42">
        <f>IF('Month-End'!$AM$33="",$BP42,N('Month-End'!$AM$33))</f>
        <v/>
      </c>
      <c r="S42">
        <f>$G42+$H42+$I42+$J42+$K42+$L42+$M42+$N42+$O42+$P42+$Q42+$R42</f>
        <v/>
      </c>
      <c r="T42">
        <f>IF($B42&lt;Settings!$B$6,0,IF(Settings!$B$45="Yes",$G42,0)+IF(Settings!$B$46="Yes",$H42,0)+IF(Settings!$B$47="Yes",$I42,0)+IF(Settings!$B$48="Yes",$J42,0)+IF(Settings!$B$49="Yes",$K42,0)+IF(Settings!$B$50="Yes",$L42,0)+IF(Settings!$B$51="Yes",$M42,0)+IF(Settings!$B$52="Yes",$N42,0)+IF(Settings!$B$53="Yes",$O42,0)+IF(Settings!$B$54="Yes",$P42,0)+IF(Settings!$B$55="Yes",$Q42,0)+IF(Settings!$B$56="Yes",$R42,0))</f>
        <v/>
      </c>
      <c r="U42">
        <f>IF(Settings!$B$45="Not Sure",$G42,0)+IF(Settings!$B$46="Not Sure",$H42,0)+IF(Settings!$B$47="Not Sure",$I42,0)+IF(Settings!$B$48="Not Sure",$J42,0)+IF(Settings!$B$49="Not Sure",$K42,0)+IF(Settings!$B$50="Not Sure",$L42,0)+IF(Settings!$B$51="Not Sure",$M42,0)+IF(Settings!$B$52="Not Sure",$N42,0)+IF(Settings!$B$53="Not Sure",$O42,0)+IF(Settings!$B$54="Not Sure",$P42,0)+IF(Settings!$B$55="Not Sure",$Q42,0)+IF(Settings!$B$56="Not Sure",$R42,0)</f>
        <v/>
      </c>
      <c r="V42">
        <f>IF($E42="open",SUM($ET42:$FE42)+N(Settings!$B$13),0)</f>
        <v/>
      </c>
      <c r="W42">
        <f>IF($E42="post",$S42,IF($E42="open",$S42-$V42,0))</f>
        <v/>
      </c>
      <c r="X42">
        <f>SUMIFS(Giving!$B$7:$B$2006,Giving!$A$7:$A$2006,"&gt;="&amp;$A42,Giving!$A$7:$A$2006,"&lt;="&amp;$B42,Giving!$E$7:$E$2006,"&lt;&gt;No")</f>
        <v/>
      </c>
      <c r="Y42">
        <f>SUMIFS(Giving!$B$7:$B$2006,Giving!$A$7:$A$2006,"&gt;="&amp;$A42,Giving!$A$7:$A$2006,"&lt;="&amp;$B42,Giving!$E$7:$E$2006,"No")</f>
        <v/>
      </c>
      <c r="Z42">
        <f>IF(OR(Settings!$B$60="",Settings!$F$60="No"),0,Settings!$B$60*IF(AND(IF(Settings!$C$60="",$B42,DATE(YEAR($A42),MONTH($A42),MIN(Settings!$C$60,DAY($B42))))&gt;=MAX($A42,Settings!$D$60),IF(Settings!$C$60="",$B42,DATE(YEAR($A42),MONTH($A42),MIN(Settings!$C$60,DAY($B42))))&lt;=MIN($C42,IF(Settings!$E$60="",$C42,Settings!$E$60))),1,0))+IF(OR(Settings!$B$61="",Settings!$F$61="No"),0,Settings!$B$61*IF(AND(IF(Settings!$C$61="",$B42,DATE(YEAR($A42),MONTH($A42),MIN(Settings!$C$61,DAY($B42))))&gt;=MAX($A42,Settings!$D$61),IF(Settings!$C$61="",$B42,DATE(YEAR($A42),MONTH($A42),MIN(Settings!$C$61,DAY($B42))))&lt;=MIN($C42,IF(Settings!$E$61="",$C42,Settings!$E$61))),1,0))+IF(OR(Settings!$B$62="",Settings!$F$62="No"),0,Settings!$B$62*IF(AND(IF(Settings!$C$62="",$B42,DATE(YEAR($A42),MONTH($A42),MIN(Settings!$C$62,DAY($B42))))&gt;=MAX($A42,Settings!$D$62),IF(Settings!$C$62="",$B42,DATE(YEAR($A42),MONTH($A42),MIN(Settings!$C$62,DAY($B42))))&lt;=MIN($C42,IF(Settings!$E$62="",$C42,Settings!$E$62))),1,0))+IF(OR(Settings!$B$63="",Settings!$F$63="No"),0,Settings!$B$63*IF(AND(IF(Settings!$C$63="",$B42,DATE(YEAR($A42),MONTH($A42),MIN(Settings!$C$63,DAY($B42))))&gt;=MAX($A42,Settings!$D$63),IF(Settings!$C$63="",$B42,DATE(YEAR($A42),MONTH($A42),MIN(Settings!$C$63,DAY($B42))))&lt;=MIN($C42,IF(Settings!$E$63="",$C42,Settings!$E$63))),1,0))+IF(OR(Settings!$B$64="",Settings!$F$64="No"),0,Settings!$B$64*IF(AND(IF(Settings!$C$64="",$B42,DATE(YEAR($A42),MONTH($A42),MIN(Settings!$C$64,DAY($B42))))&gt;=MAX($A42,Settings!$D$64),IF(Settings!$C$64="",$B42,DATE(YEAR($A42),MONTH($A42),MIN(Settings!$C$64,DAY($B42))))&lt;=MIN($C42,IF(Settings!$E$64="",$C42,Settings!$E$64))),1,0))+IF(OR(Settings!$B$65="",Settings!$F$65="No"),0,Settings!$B$65*IF(AND(IF(Settings!$C$65="",$B42,DATE(YEAR($A42),MONTH($A42),MIN(Settings!$C$65,DAY($B42))))&gt;=MAX($A42,Settings!$D$65),IF(Settings!$C$65="",$B42,DATE(YEAR($A42),MONTH($A42),MIN(Settings!$C$65,DAY($B42))))&lt;=MIN($C42,IF(Settings!$E$65="",$C42,Settings!$E$65))),1,0))</f>
        <v/>
      </c>
      <c r="AA42">
        <f>$X42+$Z42</f>
        <v/>
      </c>
      <c r="AB42">
        <f>IF($E42="post",$AA42,IF($E42="open",SUMIFS(Giving!$B$7:$B$2006,Giving!$A$7:$A$2006,"&gt;"&amp;Settings!$B$5,Giving!$A$7:$A$2006,"&lt;="&amp;$B42,Giving!$E$7:$E$2006,"&lt;&gt;No")+IF(OR(Settings!$B$60="",Settings!$F$60="No"),0,Settings!$B$60*IF(AND(IF(Settings!$C$60="",$B42,DATE(YEAR($A42),MONTH($A42),MIN(Settings!$C$60,DAY($B42))))&gt;=MAX($A42,Settings!$D$60,Settings!$B$5+1),IF(Settings!$C$60="",$B42,DATE(YEAR($A42),MONTH($A42),MIN(Settings!$C$60,DAY($B42))))&lt;=MIN($C42,IF(Settings!$E$60="",$C42,Settings!$E$60))),1,0))+IF(OR(Settings!$B$61="",Settings!$F$61="No"),0,Settings!$B$61*IF(AND(IF(Settings!$C$61="",$B42,DATE(YEAR($A42),MONTH($A42),MIN(Settings!$C$61,DAY($B42))))&gt;=MAX($A42,Settings!$D$61,Settings!$B$5+1),IF(Settings!$C$61="",$B42,DATE(YEAR($A42),MONTH($A42),MIN(Settings!$C$61,DAY($B42))))&lt;=MIN($C42,IF(Settings!$E$61="",$C42,Settings!$E$61))),1,0))+IF(OR(Settings!$B$62="",Settings!$F$62="No"),0,Settings!$B$62*IF(AND(IF(Settings!$C$62="",$B42,DATE(YEAR($A42),MONTH($A42),MIN(Settings!$C$62,DAY($B42))))&gt;=MAX($A42,Settings!$D$62,Settings!$B$5+1),IF(Settings!$C$62="",$B42,DATE(YEAR($A42),MONTH($A42),MIN(Settings!$C$62,DAY($B42))))&lt;=MIN($C42,IF(Settings!$E$62="",$C42,Settings!$E$62))),1,0))+IF(OR(Settings!$B$63="",Settings!$F$63="No"),0,Settings!$B$63*IF(AND(IF(Settings!$C$63="",$B42,DATE(YEAR($A42),MONTH($A42),MIN(Settings!$C$63,DAY($B42))))&gt;=MAX($A42,Settings!$D$63,Settings!$B$5+1),IF(Settings!$C$63="",$B42,DATE(YEAR($A42),MONTH($A42),MIN(Settings!$C$63,DAY($B42))))&lt;=MIN($C42,IF(Settings!$E$63="",$C42,Settings!$E$63))),1,0))+IF(OR(Settings!$B$64="",Settings!$F$64="No"),0,Settings!$B$64*IF(AND(IF(Settings!$C$64="",$B42,DATE(YEAR($A42),MONTH($A42),MIN(Settings!$C$64,DAY($B42))))&gt;=MAX($A42,Settings!$D$64,Settings!$B$5+1),IF(Settings!$C$64="",$B42,DATE(YEAR($A42),MONTH($A42),MIN(Settings!$C$64,DAY($B42))))&lt;=MIN($C42,IF(Settings!$E$64="",$C42,Settings!$E$64))),1,0))+IF(OR(Settings!$B$65="",Settings!$F$65="No"),0,Settings!$B$65*IF(AND(IF(Settings!$C$65="",$B42,DATE(YEAR($A42),MONTH($A42),MIN(Settings!$C$65,DAY($B42))))&gt;=MAX($A42,Settings!$D$65,Settings!$B$5+1),IF(Settings!$C$65="",$B42,DATE(YEAR($A42),MONTH($A42),MIN(Settings!$C$65,DAY($B42))))&lt;=MIN($C42,IF(Settings!$E$65="",$C42,Settings!$E$65))),1,0)),0))</f>
        <v/>
      </c>
      <c r="AC42">
        <f>$AY42+$AZ42+$BA42+$BB42+$BC42+$BD42</f>
        <v/>
      </c>
      <c r="AD42">
        <f>$AC42</f>
        <v/>
      </c>
      <c r="AE42">
        <f>IF(OR(Settings!$A$19="",$E42="pre"),"",IF(AND('Month-End'!$AM$7&lt;&gt;"",NOT(_xlfn.ISFORMULA('Month-End'!$AM$7))),N('Month-End'!$AM$7),IF(OR($E42="open",$E41="pre"),N(Settings!$C$19),N($AE41))))</f>
        <v/>
      </c>
      <c r="AF42">
        <f>IF(OR(Settings!$A$20="",$E42="pre"),"",IF(AND('Month-End'!$AM$8&lt;&gt;"",NOT(_xlfn.ISFORMULA('Month-End'!$AM$8))),N('Month-End'!$AM$8),IF(OR($E42="open",$E41="pre"),N(Settings!$C$20),N($AF41))))</f>
        <v/>
      </c>
      <c r="AG42">
        <f>IF(OR(Settings!$A$21="",$E42="pre"),"",IF(AND('Month-End'!$AM$9&lt;&gt;"",NOT(_xlfn.ISFORMULA('Month-End'!$AM$9))),N('Month-End'!$AM$9),IF(OR($E42="open",$E41="pre"),N(Settings!$C$21),N($AG41))))</f>
        <v/>
      </c>
      <c r="AH42">
        <f>IF(OR(Settings!$A$22="",$E42="pre"),"",IF(AND('Month-End'!$AM$10&lt;&gt;"",NOT(_xlfn.ISFORMULA('Month-End'!$AM$10))),N('Month-End'!$AM$10),IF(OR($E42="open",$E41="pre"),N(Settings!$C$22),N($AH41))))</f>
        <v/>
      </c>
      <c r="AI42">
        <f>IF(OR(Settings!$A$23="",$E42="pre"),"",IF(AND('Month-End'!$AM$11&lt;&gt;"",NOT(_xlfn.ISFORMULA('Month-End'!$AM$11))),N('Month-End'!$AM$11),IF(OR($E42="open",$E41="pre"),N(Settings!$C$23),N($AI41))))</f>
        <v/>
      </c>
      <c r="AJ42">
        <f>IF(OR(Settings!$A$24="",$E42="pre"),"",IF(AND('Month-End'!$AM$12&lt;&gt;"",NOT(_xlfn.ISFORMULA('Month-End'!$AM$12))),N('Month-End'!$AM$12),IF(OR($E42="open",$E41="pre"),N(Settings!$C$24),N($AJ41))))</f>
        <v/>
      </c>
      <c r="AK42">
        <f>IF(OR(Settings!$A$25="",$E42="pre"),"",IF(AND('Month-End'!$AM$13&lt;&gt;"",NOT(_xlfn.ISFORMULA('Month-End'!$AM$13))),N('Month-End'!$AM$13),IF(OR($E42="open",$E41="pre"),N(Settings!$C$25),N($AK41))))</f>
        <v/>
      </c>
      <c r="AL42">
        <f>IF(OR(Settings!$A$26="",$E42="pre"),"",IF(AND('Month-End'!$AM$14&lt;&gt;"",NOT(_xlfn.ISFORMULA('Month-End'!$AM$14))),N('Month-End'!$AM$14),IF(OR($E42="open",$E41="pre"),N(Settings!$C$26),N($AL41))))</f>
        <v/>
      </c>
      <c r="AM42">
        <f>IF(OR(Settings!$A$27="",$E42="pre"),"",IF(AND('Month-End'!$AM$15&lt;&gt;"",NOT(_xlfn.ISFORMULA('Month-End'!$AM$15))),N('Month-End'!$AM$15),IF(OR($E42="open",$E41="pre"),N(Settings!$C$27),N($AM41))))</f>
        <v/>
      </c>
      <c r="AN42">
        <f>IF(OR(Settings!$A$28="",$E42="pre"),"",IF(AND('Month-End'!$AM$16&lt;&gt;"",NOT(_xlfn.ISFORMULA('Month-End'!$AM$16))),N('Month-End'!$AM$16),IF(OR($E42="open",$E41="pre"),N(Settings!$C$28),N($AN41))))</f>
        <v/>
      </c>
      <c r="AO42">
        <f>IF(OR(Settings!$A$29="",$E42="pre"),"",IF(AND('Month-End'!$AM$17&lt;&gt;"",NOT(_xlfn.ISFORMULA('Month-End'!$AM$17))),N('Month-End'!$AM$17),IF(OR($E42="open",$E41="pre"),N(Settings!$C$29),N($AO41))))</f>
        <v/>
      </c>
      <c r="AP42">
        <f>IF(OR(Settings!$A$30="",$E42="pre"),"",IF(AND('Month-End'!$AM$18&lt;&gt;"",NOT(_xlfn.ISFORMULA('Month-End'!$AM$18))),N('Month-End'!$AM$18),IF(OR($E42="open",$E41="pre"),N(Settings!$C$30),N($AP41))))</f>
        <v/>
      </c>
      <c r="AQ42">
        <f>IF(OR(Settings!$A$31="",$E42="pre"),"",IF(AND('Month-End'!$AM$19&lt;&gt;"",NOT(_xlfn.ISFORMULA('Month-End'!$AM$19))),N('Month-End'!$AM$19),IF(OR($E42="open",$E41="pre"),N(Settings!$C$31),N($AQ41))))</f>
        <v/>
      </c>
      <c r="AR42">
        <f>IF(OR(Settings!$A$32="",$E42="pre"),"",IF(AND('Month-End'!$AM$20&lt;&gt;"",NOT(_xlfn.ISFORMULA('Month-End'!$AM$20))),N('Month-End'!$AM$20),IF(OR($E42="open",$E41="pre"),N(Settings!$C$32),N($AR41))))</f>
        <v/>
      </c>
      <c r="AS42">
        <f>IF(OR(Settings!$A$36="",$E42="pre"),"",IF(AND('Month-End'!$AM$38&lt;&gt;"",NOT(_xlfn.ISFORMULA('Month-End'!$AM$38))),N('Month-End'!$AM$38),IF(OR($E42="open",$E41="pre"),N(Settings!$C$36),N($AS41))+$AY42))</f>
        <v/>
      </c>
      <c r="AT42">
        <f>IF(OR(Settings!$A$37="",$E42="pre"),"",IF(AND('Month-End'!$AM$39&lt;&gt;"",NOT(_xlfn.ISFORMULA('Month-End'!$AM$39))),N('Month-End'!$AM$39),IF(OR($E42="open",$E41="pre"),N(Settings!$C$37),N($AT41))+$AZ42))</f>
        <v/>
      </c>
      <c r="AU42">
        <f>IF(OR(Settings!$A$38="",$E42="pre"),"",IF(AND('Month-End'!$AM$40&lt;&gt;"",NOT(_xlfn.ISFORMULA('Month-End'!$AM$40))),N('Month-End'!$AM$40),IF(OR($E42="open",$E41="pre"),N(Settings!$C$38),N($AU41))+$BA42))</f>
        <v/>
      </c>
      <c r="AV42">
        <f>IF(OR(Settings!$A$39="",$E42="pre"),"",IF(AND('Month-End'!$AM$41&lt;&gt;"",NOT(_xlfn.ISFORMULA('Month-End'!$AM$41))),N('Month-End'!$AM$41),IF(OR($E42="open",$E41="pre"),N(Settings!$C$39),N($AV41))+$BB42))</f>
        <v/>
      </c>
      <c r="AW42">
        <f>IF(OR(Settings!$A$40="",$E42="pre"),"",IF(AND('Month-End'!$AM$42&lt;&gt;"",NOT(_xlfn.ISFORMULA('Month-End'!$AM$42))),N('Month-End'!$AM$42),IF(OR($E42="open",$E41="pre"),N(Settings!$C$40),N($AW41))+$BC42))</f>
        <v/>
      </c>
      <c r="AX42">
        <f>IF(OR(Settings!$A$41="",$E42="pre"),"",IF(AND('Month-End'!$AM$43&lt;&gt;"",NOT(_xlfn.ISFORMULA('Month-End'!$AM$43))),N('Month-End'!$AM$43),IF(OR($E42="open",$E41="pre"),N(Settings!$C$41),N($AX41))+$BD42))</f>
        <v/>
      </c>
      <c r="AY42">
        <f>IF($E42="pre",0,N('Month-End'!$AM$45))</f>
        <v/>
      </c>
      <c r="AZ42">
        <f>IF($E42="pre",0,N('Month-End'!$AM$46))</f>
        <v/>
      </c>
      <c r="BA42">
        <f>IF($E42="pre",0,N('Month-End'!$AM$47))</f>
        <v/>
      </c>
      <c r="BB42">
        <f>IF($E42="pre",0,N('Month-End'!$AM$48))</f>
        <v/>
      </c>
      <c r="BC42">
        <f>IF($E42="pre",0,N('Month-End'!$AM$49))</f>
        <v/>
      </c>
      <c r="BD42">
        <f>IF($E42="pre",0,N('Month-End'!$AM$50))</f>
        <v/>
      </c>
      <c r="BE42">
        <f>IF(OR(Settings!$C$45="",Settings!$D$45=""),0,Settings!$C$45*IF(Settings!$D$45="Weekly",IF(IFERROR(MATCH(Settings!$E$45,$EO$4:$EO$10,0),0)=0,0,IF(MIN($C42,IF(Settings!$G$45="",$C42,Settings!$G$45))&lt;MAX($A42,Settings!$F$45),0,INT((MIN($C42,IF(Settings!$G$45="",$C42,Settings!$G$45))-MAX($A42,Settings!$F$45)-MOD(IFERROR(MATCH(Settings!$E$45,$EO$4:$EO$10,0),0)-WEEKDAY(MAX($A42,Settings!$F$45)),7))/7)+1)),IF(AND(IF(Settings!$E$45="",$B42,DATE(YEAR($A42),MONTH($A42),MIN(Settings!$E$45,DAY($B42))))&gt;=MAX($A42,Settings!$F$45),IF(Settings!$E$45="",$B42,DATE(YEAR($A42),MONTH($A42),MIN(Settings!$E$45,DAY($B42))))&lt;=MIN($C42,IF(Settings!$G$45="",$C42,Settings!$G$45))),1,0)))</f>
        <v/>
      </c>
      <c r="BF42">
        <f>IF(OR(Settings!$C$46="",Settings!$D$46=""),0,Settings!$C$46*IF(Settings!$D$46="Weekly",IF(IFERROR(MATCH(Settings!$E$46,$EO$4:$EO$10,0),0)=0,0,IF(MIN($C42,IF(Settings!$G$46="",$C42,Settings!$G$46))&lt;MAX($A42,Settings!$F$46),0,INT((MIN($C42,IF(Settings!$G$46="",$C42,Settings!$G$46))-MAX($A42,Settings!$F$46)-MOD(IFERROR(MATCH(Settings!$E$46,$EO$4:$EO$10,0),0)-WEEKDAY(MAX($A42,Settings!$F$46)),7))/7)+1)),IF(AND(IF(Settings!$E$46="",$B42,DATE(YEAR($A42),MONTH($A42),MIN(Settings!$E$46,DAY($B42))))&gt;=MAX($A42,Settings!$F$46),IF(Settings!$E$46="",$B42,DATE(YEAR($A42),MONTH($A42),MIN(Settings!$E$46,DAY($B42))))&lt;=MIN($C42,IF(Settings!$G$46="",$C42,Settings!$G$46))),1,0)))</f>
        <v/>
      </c>
      <c r="BG42">
        <f>IF(OR(Settings!$C$47="",Settings!$D$47=""),0,Settings!$C$47*IF(Settings!$D$47="Weekly",IF(IFERROR(MATCH(Settings!$E$47,$EO$4:$EO$10,0),0)=0,0,IF(MIN($C42,IF(Settings!$G$47="",$C42,Settings!$G$47))&lt;MAX($A42,Settings!$F$47),0,INT((MIN($C42,IF(Settings!$G$47="",$C42,Settings!$G$47))-MAX($A42,Settings!$F$47)-MOD(IFERROR(MATCH(Settings!$E$47,$EO$4:$EO$10,0),0)-WEEKDAY(MAX($A42,Settings!$F$47)),7))/7)+1)),IF(AND(IF(Settings!$E$47="",$B42,DATE(YEAR($A42),MONTH($A42),MIN(Settings!$E$47,DAY($B42))))&gt;=MAX($A42,Settings!$F$47),IF(Settings!$E$47="",$B42,DATE(YEAR($A42),MONTH($A42),MIN(Settings!$E$47,DAY($B42))))&lt;=MIN($C42,IF(Settings!$G$47="",$C42,Settings!$G$47))),1,0)))</f>
        <v/>
      </c>
      <c r="BH42">
        <f>IF(OR(Settings!$C$48="",Settings!$D$48=""),0,Settings!$C$48*IF(Settings!$D$48="Weekly",IF(IFERROR(MATCH(Settings!$E$48,$EO$4:$EO$10,0),0)=0,0,IF(MIN($C42,IF(Settings!$G$48="",$C42,Settings!$G$48))&lt;MAX($A42,Settings!$F$48),0,INT((MIN($C42,IF(Settings!$G$48="",$C42,Settings!$G$48))-MAX($A42,Settings!$F$48)-MOD(IFERROR(MATCH(Settings!$E$48,$EO$4:$EO$10,0),0)-WEEKDAY(MAX($A42,Settings!$F$48)),7))/7)+1)),IF(AND(IF(Settings!$E$48="",$B42,DATE(YEAR($A42),MONTH($A42),MIN(Settings!$E$48,DAY($B42))))&gt;=MAX($A42,Settings!$F$48),IF(Settings!$E$48="",$B42,DATE(YEAR($A42),MONTH($A42),MIN(Settings!$E$48,DAY($B42))))&lt;=MIN($C42,IF(Settings!$G$48="",$C42,Settings!$G$48))),1,0)))</f>
        <v/>
      </c>
      <c r="BI42">
        <f>IF(OR(Settings!$C$49="",Settings!$D$49=""),0,Settings!$C$49*IF(Settings!$D$49="Weekly",IF(IFERROR(MATCH(Settings!$E$49,$EO$4:$EO$10,0),0)=0,0,IF(MIN($C42,IF(Settings!$G$49="",$C42,Settings!$G$49))&lt;MAX($A42,Settings!$F$49),0,INT((MIN($C42,IF(Settings!$G$49="",$C42,Settings!$G$49))-MAX($A42,Settings!$F$49)-MOD(IFERROR(MATCH(Settings!$E$49,$EO$4:$EO$10,0),0)-WEEKDAY(MAX($A42,Settings!$F$49)),7))/7)+1)),IF(AND(IF(Settings!$E$49="",$B42,DATE(YEAR($A42),MONTH($A42),MIN(Settings!$E$49,DAY($B42))))&gt;=MAX($A42,Settings!$F$49),IF(Settings!$E$49="",$B42,DATE(YEAR($A42),MONTH($A42),MIN(Settings!$E$49,DAY($B42))))&lt;=MIN($C42,IF(Settings!$G$49="",$C42,Settings!$G$49))),1,0)))</f>
        <v/>
      </c>
      <c r="BJ42">
        <f>IF(OR(Settings!$C$50="",Settings!$D$50=""),0,Settings!$C$50*IF(Settings!$D$50="Weekly",IF(IFERROR(MATCH(Settings!$E$50,$EO$4:$EO$10,0),0)=0,0,IF(MIN($C42,IF(Settings!$G$50="",$C42,Settings!$G$50))&lt;MAX($A42,Settings!$F$50),0,INT((MIN($C42,IF(Settings!$G$50="",$C42,Settings!$G$50))-MAX($A42,Settings!$F$50)-MOD(IFERROR(MATCH(Settings!$E$50,$EO$4:$EO$10,0),0)-WEEKDAY(MAX($A42,Settings!$F$50)),7))/7)+1)),IF(AND(IF(Settings!$E$50="",$B42,DATE(YEAR($A42),MONTH($A42),MIN(Settings!$E$50,DAY($B42))))&gt;=MAX($A42,Settings!$F$50),IF(Settings!$E$50="",$B42,DATE(YEAR($A42),MONTH($A42),MIN(Settings!$E$50,DAY($B42))))&lt;=MIN($C42,IF(Settings!$G$50="",$C42,Settings!$G$50))),1,0)))</f>
        <v/>
      </c>
      <c r="BK42">
        <f>IF(OR(Settings!$C$51="",Settings!$D$51=""),0,Settings!$C$51*IF(Settings!$D$51="Weekly",IF(IFERROR(MATCH(Settings!$E$51,$EO$4:$EO$10,0),0)=0,0,IF(MIN($C42,IF(Settings!$G$51="",$C42,Settings!$G$51))&lt;MAX($A42,Settings!$F$51),0,INT((MIN($C42,IF(Settings!$G$51="",$C42,Settings!$G$51))-MAX($A42,Settings!$F$51)-MOD(IFERROR(MATCH(Settings!$E$51,$EO$4:$EO$10,0),0)-WEEKDAY(MAX($A42,Settings!$F$51)),7))/7)+1)),IF(AND(IF(Settings!$E$51="",$B42,DATE(YEAR($A42),MONTH($A42),MIN(Settings!$E$51,DAY($B42))))&gt;=MAX($A42,Settings!$F$51),IF(Settings!$E$51="",$B42,DATE(YEAR($A42),MONTH($A42),MIN(Settings!$E$51,DAY($B42))))&lt;=MIN($C42,IF(Settings!$G$51="",$C42,Settings!$G$51))),1,0)))</f>
        <v/>
      </c>
      <c r="BL42">
        <f>IF(OR(Settings!$C$52="",Settings!$D$52=""),0,Settings!$C$52*IF(Settings!$D$52="Weekly",IF(IFERROR(MATCH(Settings!$E$52,$EO$4:$EO$10,0),0)=0,0,IF(MIN($C42,IF(Settings!$G$52="",$C42,Settings!$G$52))&lt;MAX($A42,Settings!$F$52),0,INT((MIN($C42,IF(Settings!$G$52="",$C42,Settings!$G$52))-MAX($A42,Settings!$F$52)-MOD(IFERROR(MATCH(Settings!$E$52,$EO$4:$EO$10,0),0)-WEEKDAY(MAX($A42,Settings!$F$52)),7))/7)+1)),IF(AND(IF(Settings!$E$52="",$B42,DATE(YEAR($A42),MONTH($A42),MIN(Settings!$E$52,DAY($B42))))&gt;=MAX($A42,Settings!$F$52),IF(Settings!$E$52="",$B42,DATE(YEAR($A42),MONTH($A42),MIN(Settings!$E$52,DAY($B42))))&lt;=MIN($C42,IF(Settings!$G$52="",$C42,Settings!$G$52))),1,0)))</f>
        <v/>
      </c>
      <c r="BM42">
        <f>IF(OR(Settings!$C$53="",Settings!$D$53=""),0,Settings!$C$53*IF(Settings!$D$53="Weekly",IF(IFERROR(MATCH(Settings!$E$53,$EO$4:$EO$10,0),0)=0,0,IF(MIN($C42,IF(Settings!$G$53="",$C42,Settings!$G$53))&lt;MAX($A42,Settings!$F$53),0,INT((MIN($C42,IF(Settings!$G$53="",$C42,Settings!$G$53))-MAX($A42,Settings!$F$53)-MOD(IFERROR(MATCH(Settings!$E$53,$EO$4:$EO$10,0),0)-WEEKDAY(MAX($A42,Settings!$F$53)),7))/7)+1)),IF(AND(IF(Settings!$E$53="",$B42,DATE(YEAR($A42),MONTH($A42),MIN(Settings!$E$53,DAY($B42))))&gt;=MAX($A42,Settings!$F$53),IF(Settings!$E$53="",$B42,DATE(YEAR($A42),MONTH($A42),MIN(Settings!$E$53,DAY($B42))))&lt;=MIN($C42,IF(Settings!$G$53="",$C42,Settings!$G$53))),1,0)))</f>
        <v/>
      </c>
      <c r="BN42">
        <f>IF(OR(Settings!$C$54="",Settings!$D$54=""),0,Settings!$C$54*IF(Settings!$D$54="Weekly",IF(IFERROR(MATCH(Settings!$E$54,$EO$4:$EO$10,0),0)=0,0,IF(MIN($C42,IF(Settings!$G$54="",$C42,Settings!$G$54))&lt;MAX($A42,Settings!$F$54),0,INT((MIN($C42,IF(Settings!$G$54="",$C42,Settings!$G$54))-MAX($A42,Settings!$F$54)-MOD(IFERROR(MATCH(Settings!$E$54,$EO$4:$EO$10,0),0)-WEEKDAY(MAX($A42,Settings!$F$54)),7))/7)+1)),IF(AND(IF(Settings!$E$54="",$B42,DATE(YEAR($A42),MONTH($A42),MIN(Settings!$E$54,DAY($B42))))&gt;=MAX($A42,Settings!$F$54),IF(Settings!$E$54="",$B42,DATE(YEAR($A42),MONTH($A42),MIN(Settings!$E$54,DAY($B42))))&lt;=MIN($C42,IF(Settings!$G$54="",$C42,Settings!$G$54))),1,0)))</f>
        <v/>
      </c>
      <c r="BO42">
        <f>IF(OR(Settings!$C$55="",Settings!$D$55=""),0,Settings!$C$55*IF(Settings!$D$55="Weekly",IF(IFERROR(MATCH(Settings!$E$55,$EO$4:$EO$10,0),0)=0,0,IF(MIN($C42,IF(Settings!$G$55="",$C42,Settings!$G$55))&lt;MAX($A42,Settings!$F$55),0,INT((MIN($C42,IF(Settings!$G$55="",$C42,Settings!$G$55))-MAX($A42,Settings!$F$55)-MOD(IFERROR(MATCH(Settings!$E$55,$EO$4:$EO$10,0),0)-WEEKDAY(MAX($A42,Settings!$F$55)),7))/7)+1)),IF(AND(IF(Settings!$E$55="",$B42,DATE(YEAR($A42),MONTH($A42),MIN(Settings!$E$55,DAY($B42))))&gt;=MAX($A42,Settings!$F$55),IF(Settings!$E$55="",$B42,DATE(YEAR($A42),MONTH($A42),MIN(Settings!$E$55,DAY($B42))))&lt;=MIN($C42,IF(Settings!$G$55="",$C42,Settings!$G$55))),1,0)))</f>
        <v/>
      </c>
      <c r="BP42">
        <f>IF(OR(Settings!$C$56="",Settings!$D$56=""),0,Settings!$C$56*IF(Settings!$D$56="Weekly",IF(IFERROR(MATCH(Settings!$E$56,$EO$4:$EO$10,0),0)=0,0,IF(MIN($C42,IF(Settings!$G$56="",$C42,Settings!$G$56))&lt;MAX($A42,Settings!$F$56),0,INT((MIN($C42,IF(Settings!$G$56="",$C42,Settings!$G$56))-MAX($A42,Settings!$F$56)-MOD(IFERROR(MATCH(Settings!$E$56,$EO$4:$EO$10,0),0)-WEEKDAY(MAX($A42,Settings!$F$56)),7))/7)+1)),IF(AND(IF(Settings!$E$56="",$B42,DATE(YEAR($A42),MONTH($A42),MIN(Settings!$E$56,DAY($B42))))&gt;=MAX($A42,Settings!$F$56),IF(Settings!$E$56="",$B42,DATE(YEAR($A42),MONTH($A42),MIN(Settings!$E$56,DAY($B42))))&lt;=MIN($C42,IF(Settings!$G$56="",$C42,Settings!$G$56))),1,0)))</f>
        <v/>
      </c>
      <c r="BQ42">
        <f>IF(OR(Settings!$B$14="",$D42=1,$E42="pre",$A42&lt;IF(Settings!$B$15="",0,Settings!$B$15)),0,Settings!$B$14)</f>
        <v/>
      </c>
      <c r="BR42">
        <f>IF(AND('Month-End'!$AM$7&lt;&gt;"",NOT(_xlfn.ISFORMULA('Month-End'!$AM$7))),1,0)</f>
        <v/>
      </c>
      <c r="BS42">
        <f>IF(AND('Month-End'!$AM$8&lt;&gt;"",NOT(_xlfn.ISFORMULA('Month-End'!$AM$8))),1,0)</f>
        <v/>
      </c>
      <c r="BT42">
        <f>IF(AND('Month-End'!$AM$9&lt;&gt;"",NOT(_xlfn.ISFORMULA('Month-End'!$AM$9))),1,0)</f>
        <v/>
      </c>
      <c r="BU42">
        <f>IF(AND('Month-End'!$AM$10&lt;&gt;"",NOT(_xlfn.ISFORMULA('Month-End'!$AM$10))),1,0)</f>
        <v/>
      </c>
      <c r="BV42">
        <f>IF(AND('Month-End'!$AM$11&lt;&gt;"",NOT(_xlfn.ISFORMULA('Month-End'!$AM$11))),1,0)</f>
        <v/>
      </c>
      <c r="BW42">
        <f>IF(AND('Month-End'!$AM$12&lt;&gt;"",NOT(_xlfn.ISFORMULA('Month-End'!$AM$12))),1,0)</f>
        <v/>
      </c>
      <c r="BX42">
        <f>IF(AND('Month-End'!$AM$13&lt;&gt;"",NOT(_xlfn.ISFORMULA('Month-End'!$AM$13))),1,0)</f>
        <v/>
      </c>
      <c r="BY42">
        <f>IF(AND('Month-End'!$AM$14&lt;&gt;"",NOT(_xlfn.ISFORMULA('Month-End'!$AM$14))),1,0)</f>
        <v/>
      </c>
      <c r="BZ42">
        <f>IF(AND('Month-End'!$AM$15&lt;&gt;"",NOT(_xlfn.ISFORMULA('Month-End'!$AM$15))),1,0)</f>
        <v/>
      </c>
      <c r="CA42">
        <f>IF(AND('Month-End'!$AM$16&lt;&gt;"",NOT(_xlfn.ISFORMULA('Month-End'!$AM$16))),1,0)</f>
        <v/>
      </c>
      <c r="CB42">
        <f>IF(AND('Month-End'!$AM$17&lt;&gt;"",NOT(_xlfn.ISFORMULA('Month-End'!$AM$17))),1,0)</f>
        <v/>
      </c>
      <c r="CC42">
        <f>IF(AND('Month-End'!$AM$18&lt;&gt;"",NOT(_xlfn.ISFORMULA('Month-End'!$AM$18))),1,0)</f>
        <v/>
      </c>
      <c r="CD42">
        <f>IF(AND('Month-End'!$AM$19&lt;&gt;"",NOT(_xlfn.ISFORMULA('Month-End'!$AM$19))),1,0)</f>
        <v/>
      </c>
      <c r="CE42">
        <f>IF(AND('Month-End'!$AM$20&lt;&gt;"",NOT(_xlfn.ISFORMULA('Month-End'!$AM$20))),1,0)</f>
        <v/>
      </c>
      <c r="CF42">
        <f>IF(AND('Month-End'!$AM$38&lt;&gt;"",NOT(_xlfn.ISFORMULA('Month-End'!$AM$38))),1,0)</f>
        <v/>
      </c>
      <c r="CG42">
        <f>IF(AND('Month-End'!$AM$39&lt;&gt;"",NOT(_xlfn.ISFORMULA('Month-End'!$AM$39))),1,0)</f>
        <v/>
      </c>
      <c r="CH42">
        <f>IF(AND('Month-End'!$AM$40&lt;&gt;"",NOT(_xlfn.ISFORMULA('Month-End'!$AM$40))),1,0)</f>
        <v/>
      </c>
      <c r="CI42">
        <f>IF(AND('Month-End'!$AM$41&lt;&gt;"",NOT(_xlfn.ISFORMULA('Month-End'!$AM$41))),1,0)</f>
        <v/>
      </c>
      <c r="CJ42">
        <f>IF(AND('Month-End'!$AM$42&lt;&gt;"",NOT(_xlfn.ISFORMULA('Month-End'!$AM$42))),1,0)</f>
        <v/>
      </c>
      <c r="CK42">
        <f>IF(AND('Month-End'!$AM$43&lt;&gt;"",NOT(_xlfn.ISFORMULA('Month-End'!$AM$43))),1,0)</f>
        <v/>
      </c>
      <c r="CL42">
        <f>SUM($CM42:$CZ42)</f>
        <v/>
      </c>
      <c r="CM42">
        <f>IF(AND($E42&lt;&gt;"pre",AND(Settings!$A$19&lt;&gt;"",Settings!$E$19&lt;&gt;"No"),Settings!$F$19="Yes",NOT(AND('Month-End'!$AM$7&lt;&gt;"",NOT(_xlfn.ISFORMULA('Month-End'!$AM$7))))),1,0)</f>
        <v/>
      </c>
      <c r="CN42">
        <f>IF(AND($E42&lt;&gt;"pre",AND(Settings!$A$20&lt;&gt;"",Settings!$E$20&lt;&gt;"No"),Settings!$F$20="Yes",NOT(AND('Month-End'!$AM$8&lt;&gt;"",NOT(_xlfn.ISFORMULA('Month-End'!$AM$8))))),1,0)</f>
        <v/>
      </c>
      <c r="CO42">
        <f>IF(AND($E42&lt;&gt;"pre",AND(Settings!$A$21&lt;&gt;"",Settings!$E$21&lt;&gt;"No"),Settings!$F$21="Yes",NOT(AND('Month-End'!$AM$9&lt;&gt;"",NOT(_xlfn.ISFORMULA('Month-End'!$AM$9))))),1,0)</f>
        <v/>
      </c>
      <c r="CP42">
        <f>IF(AND($E42&lt;&gt;"pre",AND(Settings!$A$22&lt;&gt;"",Settings!$E$22&lt;&gt;"No"),Settings!$F$22="Yes",NOT(AND('Month-End'!$AM$10&lt;&gt;"",NOT(_xlfn.ISFORMULA('Month-End'!$AM$10))))),1,0)</f>
        <v/>
      </c>
      <c r="CQ42">
        <f>IF(AND($E42&lt;&gt;"pre",AND(Settings!$A$23&lt;&gt;"",Settings!$E$23&lt;&gt;"No"),Settings!$F$23="Yes",NOT(AND('Month-End'!$AM$11&lt;&gt;"",NOT(_xlfn.ISFORMULA('Month-End'!$AM$11))))),1,0)</f>
        <v/>
      </c>
      <c r="CR42">
        <f>IF(AND($E42&lt;&gt;"pre",AND(Settings!$A$24&lt;&gt;"",Settings!$E$24&lt;&gt;"No"),Settings!$F$24="Yes",NOT(AND('Month-End'!$AM$12&lt;&gt;"",NOT(_xlfn.ISFORMULA('Month-End'!$AM$12))))),1,0)</f>
        <v/>
      </c>
      <c r="CS42">
        <f>IF(AND($E42&lt;&gt;"pre",AND(Settings!$A$25&lt;&gt;"",Settings!$E$25&lt;&gt;"No"),Settings!$F$25="Yes",NOT(AND('Month-End'!$AM$13&lt;&gt;"",NOT(_xlfn.ISFORMULA('Month-End'!$AM$13))))),1,0)</f>
        <v/>
      </c>
      <c r="CT42">
        <f>IF(AND($E42&lt;&gt;"pre",AND(Settings!$A$26&lt;&gt;"",Settings!$E$26&lt;&gt;"No"),Settings!$F$26="Yes",NOT(AND('Month-End'!$AM$14&lt;&gt;"",NOT(_xlfn.ISFORMULA('Month-End'!$AM$14))))),1,0)</f>
        <v/>
      </c>
      <c r="CU42">
        <f>IF(AND($E42&lt;&gt;"pre",AND(Settings!$A$27&lt;&gt;"",Settings!$E$27&lt;&gt;"No"),Settings!$F$27="Yes",NOT(AND('Month-End'!$AM$15&lt;&gt;"",NOT(_xlfn.ISFORMULA('Month-End'!$AM$15))))),1,0)</f>
        <v/>
      </c>
      <c r="CV42">
        <f>IF(AND($E42&lt;&gt;"pre",AND(Settings!$A$28&lt;&gt;"",Settings!$E$28&lt;&gt;"No"),Settings!$F$28="Yes",NOT(AND('Month-End'!$AM$16&lt;&gt;"",NOT(_xlfn.ISFORMULA('Month-End'!$AM$16))))),1,0)</f>
        <v/>
      </c>
      <c r="CW42">
        <f>IF(AND($E42&lt;&gt;"pre",AND(Settings!$A$29&lt;&gt;"",Settings!$E$29&lt;&gt;"No"),Settings!$F$29="Yes",NOT(AND('Month-End'!$AM$17&lt;&gt;"",NOT(_xlfn.ISFORMULA('Month-End'!$AM$17))))),1,0)</f>
        <v/>
      </c>
      <c r="CX42">
        <f>IF(AND($E42&lt;&gt;"pre",AND(Settings!$A$30&lt;&gt;"",Settings!$E$30&lt;&gt;"No"),Settings!$F$30="Yes",NOT(AND('Month-End'!$AM$18&lt;&gt;"",NOT(_xlfn.ISFORMULA('Month-End'!$AM$18))))),1,0)</f>
        <v/>
      </c>
      <c r="CY42">
        <f>IF(AND($E42&lt;&gt;"pre",AND(Settings!$A$31&lt;&gt;"",Settings!$E$31&lt;&gt;"No"),Settings!$F$31="Yes",NOT(AND('Month-End'!$AM$19&lt;&gt;"",NOT(_xlfn.ISFORMULA('Month-End'!$AM$19))))),1,0)</f>
        <v/>
      </c>
      <c r="CZ42">
        <f>IF(AND($E42&lt;&gt;"pre",AND(Settings!$A$32&lt;&gt;"",Settings!$E$32&lt;&gt;"No"),Settings!$F$32="Yes",NOT(AND('Month-End'!$AM$20&lt;&gt;"",NOT(_xlfn.ISFORMULA('Month-End'!$AM$20))))),1,0)</f>
        <v/>
      </c>
      <c r="DA42">
        <f>IF($DT42=1,IF(OR(Settings!$B$19="Checking",Settings!$B$19="Savings",Settings!$B$19="Cash"),N($AE42),IF(OR(Settings!$B$19="Card",Settings!$B$19="Loan"),-N($AE42),0))+IF(OR(Settings!$B$20="Checking",Settings!$B$20="Savings",Settings!$B$20="Cash"),N($AF42),IF(OR(Settings!$B$20="Card",Settings!$B$20="Loan"),-N($AF42),0))+IF(OR(Settings!$B$21="Checking",Settings!$B$21="Savings",Settings!$B$21="Cash"),N($AG42),IF(OR(Settings!$B$21="Card",Settings!$B$21="Loan"),-N($AG42),0))+IF(OR(Settings!$B$22="Checking",Settings!$B$22="Savings",Settings!$B$22="Cash"),N($AH42),IF(OR(Settings!$B$22="Card",Settings!$B$22="Loan"),-N($AH42),0))+IF(OR(Settings!$B$23="Checking",Settings!$B$23="Savings",Settings!$B$23="Cash"),N($AI42),IF(OR(Settings!$B$23="Card",Settings!$B$23="Loan"),-N($AI42),0))+IF(OR(Settings!$B$24="Checking",Settings!$B$24="Savings",Settings!$B$24="Cash"),N($AJ42),IF(OR(Settings!$B$24="Card",Settings!$B$24="Loan"),-N($AJ42),0))+IF(OR(Settings!$B$25="Checking",Settings!$B$25="Savings",Settings!$B$25="Cash"),N($AK42),IF(OR(Settings!$B$25="Card",Settings!$B$25="Loan"),-N($AK42),0))+IF(OR(Settings!$B$26="Checking",Settings!$B$26="Savings",Settings!$B$26="Cash"),N($AL42),IF(OR(Settings!$B$26="Card",Settings!$B$26="Loan"),-N($AL42),0))+IF(OR(Settings!$B$27="Checking",Settings!$B$27="Savings",Settings!$B$27="Cash"),N($AM42),IF(OR(Settings!$B$27="Card",Settings!$B$27="Loan"),-N($AM42),0))+IF(OR(Settings!$B$28="Checking",Settings!$B$28="Savings",Settings!$B$28="Cash"),N($AN42),IF(OR(Settings!$B$28="Card",Settings!$B$28="Loan"),-N($AN42),0))+IF(OR(Settings!$B$29="Checking",Settings!$B$29="Savings",Settings!$B$29="Cash"),N($AO42),IF(OR(Settings!$B$29="Card",Settings!$B$29="Loan"),-N($AO42),0))+IF(OR(Settings!$B$30="Checking",Settings!$B$30="Savings",Settings!$B$30="Cash"),N($AP42),IF(OR(Settings!$B$30="Card",Settings!$B$30="Loan"),-N($AP42),0))+IF(OR(Settings!$B$31="Checking",Settings!$B$31="Savings",Settings!$B$31="Cash"),N($AQ42),IF(OR(Settings!$B$31="Card",Settings!$B$31="Loan"),-N($AQ42),0))+IF(OR(Settings!$B$32="Checking",Settings!$B$32="Savings",Settings!$B$32="Cash"),N($AR42),IF(OR(Settings!$B$32="Card",Settings!$B$32="Loan"),-N($AR42),0)),"")</f>
        <v/>
      </c>
      <c r="DB42">
        <f>IF($E42="open",$EB$27,IF($E42="post",IF($E41="pre",$EB$27,$DA41),""))</f>
        <v/>
      </c>
      <c r="DC42">
        <f>IF($E42="open",1,IF($E42="post",IF($E41="pre",1,$DT41),0))</f>
        <v/>
      </c>
      <c r="DD42">
        <f>IF(AND($DT42=1,$DC42=1),ROUND($W42-($DA42-$DB42)-$AD42-$AB42,2),"")</f>
        <v/>
      </c>
      <c r="DE42">
        <f>IF('Month-End'!$AM$35="",$BQ42,N('Month-End'!$AM$35))</f>
        <v/>
      </c>
      <c r="DF42">
        <f>N('Month-End'!$AM$36)</f>
        <v/>
      </c>
      <c r="DG42">
        <f>IF($DD42="","",$DD42+$DE42)</f>
        <v/>
      </c>
      <c r="DH42">
        <f>IF($DG42="","",$DG42-$DF42)</f>
        <v/>
      </c>
      <c r="DI42">
        <f>IF(OR($E42="pre",$D42=1),"",N($AS42)+N($AT42)+N($AU42)+N($AV42)+N($AW42)+N($AX42))</f>
        <v/>
      </c>
      <c r="DJ42">
        <f>IF($DT42=1,$DA42+N($DI42),"")</f>
        <v/>
      </c>
      <c r="DK42">
        <f>IF($DD42="","",$W42-$DD42-$AB42)</f>
        <v/>
      </c>
      <c r="DL42">
        <f>IF(AND($E42="post",$DD42&lt;&gt;"",$B42&lt;TODAY()),1,0)</f>
        <v/>
      </c>
      <c r="DM42">
        <f>IF($DL42=1,COUNTIF($DL42:$DL$183,1),0)</f>
        <v/>
      </c>
      <c r="DN42">
        <f>IF($D42=1,"",IF($E42="pre","History only",IF($DT42=1,IF($DD42="","⚠ Previous month missing",IF($DD42&lt;0,"⚠ Check: spending &lt; 0",IF($E42="open","✓ Done (partial)","✓ Done"))),IF($B42&gt;=TODAY(),"In progress","⚠ Needs balances"))))</f>
        <v/>
      </c>
      <c r="DO42">
        <f>YEAR($A42)</f>
        <v/>
      </c>
      <c r="DP42">
        <f>DATE(YEAR($A42),INT((MONTH($A42)-1)/3)*3+1,1)</f>
        <v/>
      </c>
      <c r="DQ42">
        <f>IF(AND($DT42=1,$DD42&lt;&gt;"",$D42=0),ROW(),0)</f>
        <v/>
      </c>
      <c r="DR42">
        <f>IF(AND($E42&lt;&gt;"pre",$B42&lt;TODAY(),$DT42=0),1,0)</f>
        <v/>
      </c>
      <c r="DS42">
        <f>IF($DJ42="",NA(),$DJ42)</f>
        <v/>
      </c>
      <c r="DT42">
        <f>IF(AND($E42&lt;&gt;"pre",$CL42=0,COUNTIFS(Settings!$F$19:$F$32,"Yes",Settings!$A$19:$A$32,"&lt;&gt;",Settings!$E$19:$E$32,"&lt;&gt;No")&gt;0),1,0)</f>
        <v/>
      </c>
      <c r="DU42">
        <f>IF(AND($B42&lt;TODAY(),$S42&gt;0),1,0)</f>
        <v/>
      </c>
      <c r="DV42">
        <f>IF($DU42=1,COUNTIF($DU42:$DU$183,1),0)</f>
        <v/>
      </c>
      <c r="DW42">
        <f>IF(AND(OR(Settings!$B$19="Card",Settings!$B$19="Loan"),AND('Month-End'!$AM$7&lt;&gt;"",NOT(_xlfn.ISFORMULA('Month-End'!$AM$7)))),IF(N('Month-End'!$AM$7)&lt;0,1,0),0)+IF(AND(OR(Settings!$B$20="Card",Settings!$B$20="Loan"),AND('Month-End'!$AM$8&lt;&gt;"",NOT(_xlfn.ISFORMULA('Month-End'!$AM$8)))),IF(N('Month-End'!$AM$8)&lt;0,1,0),0)+IF(AND(OR(Settings!$B$21="Card",Settings!$B$21="Loan"),AND('Month-End'!$AM$9&lt;&gt;"",NOT(_xlfn.ISFORMULA('Month-End'!$AM$9)))),IF(N('Month-End'!$AM$9)&lt;0,1,0),0)+IF(AND(OR(Settings!$B$22="Card",Settings!$B$22="Loan"),AND('Month-End'!$AM$10&lt;&gt;"",NOT(_xlfn.ISFORMULA('Month-End'!$AM$10)))),IF(N('Month-End'!$AM$10)&lt;0,1,0),0)+IF(AND(OR(Settings!$B$23="Card",Settings!$B$23="Loan"),AND('Month-End'!$AM$11&lt;&gt;"",NOT(_xlfn.ISFORMULA('Month-End'!$AM$11)))),IF(N('Month-End'!$AM$11)&lt;0,1,0),0)+IF(AND(OR(Settings!$B$24="Card",Settings!$B$24="Loan"),AND('Month-End'!$AM$12&lt;&gt;"",NOT(_xlfn.ISFORMULA('Month-End'!$AM$12)))),IF(N('Month-End'!$AM$12)&lt;0,1,0),0)+IF(AND(OR(Settings!$B$25="Card",Settings!$B$25="Loan"),AND('Month-End'!$AM$13&lt;&gt;"",NOT(_xlfn.ISFORMULA('Month-End'!$AM$13)))),IF(N('Month-End'!$AM$13)&lt;0,1,0),0)+IF(AND(OR(Settings!$B$26="Card",Settings!$B$26="Loan"),AND('Month-End'!$AM$14&lt;&gt;"",NOT(_xlfn.ISFORMULA('Month-End'!$AM$14)))),IF(N('Month-End'!$AM$14)&lt;0,1,0),0)+IF(AND(OR(Settings!$B$27="Card",Settings!$B$27="Loan"),AND('Month-End'!$AM$15&lt;&gt;"",NOT(_xlfn.ISFORMULA('Month-End'!$AM$15)))),IF(N('Month-End'!$AM$15)&lt;0,1,0),0)+IF(AND(OR(Settings!$B$28="Card",Settings!$B$28="Loan"),AND('Month-End'!$AM$16&lt;&gt;"",NOT(_xlfn.ISFORMULA('Month-End'!$AM$16)))),IF(N('Month-End'!$AM$16)&lt;0,1,0),0)+IF(AND(OR(Settings!$B$29="Card",Settings!$B$29="Loan"),AND('Month-End'!$AM$17&lt;&gt;"",NOT(_xlfn.ISFORMULA('Month-End'!$AM$17)))),IF(N('Month-End'!$AM$17)&lt;0,1,0),0)+IF(AND(OR(Settings!$B$30="Card",Settings!$B$30="Loan"),AND('Month-End'!$AM$18&lt;&gt;"",NOT(_xlfn.ISFORMULA('Month-End'!$AM$18)))),IF(N('Month-End'!$AM$18)&lt;0,1,0),0)+IF(AND(OR(Settings!$B$31="Card",Settings!$B$31="Loan"),AND('Month-End'!$AM$19&lt;&gt;"",NOT(_xlfn.ISFORMULA('Month-End'!$AM$19)))),IF(N('Month-End'!$AM$19)&lt;0,1,0),0)+IF(AND(OR(Settings!$B$32="Card",Settings!$B$32="Loan"),AND('Month-End'!$AM$20&lt;&gt;"",NOT(_xlfn.ISFORMULA('Month-End'!$AM$20)))),IF(N('Month-End'!$AM$20)&lt;0,1,0),0)</f>
        <v/>
      </c>
      <c r="DX42">
        <f>IF(Settings!$B$36="Retirement",$AY42,0)+IF(Settings!$B$37="Retirement",$AZ42,0)+IF(Settings!$B$38="Retirement",$BA42,0)+IF(Settings!$B$39="Retirement",$BB42,0)+IF(Settings!$B$40="Retirement",$BC42,0)+IF(Settings!$B$41="Retirement",$BD42,0)</f>
        <v/>
      </c>
      <c r="EA42">
        <f>IF(Settings!$A$21="","",Settings!$A$21)</f>
        <v/>
      </c>
      <c r="EB42">
        <f>IF(Settings!$A$21="","",IF($EB$5=0,N(Settings!$C$21),N(INDEX($AG:$AG,$EB$5))))</f>
        <v/>
      </c>
      <c r="EC42">
        <f>""</f>
        <v/>
      </c>
      <c r="ED42">
        <f>IF(AND(AND(Settings!$A$21&lt;&gt;"",Settings!$E$21&lt;&gt;"No"),Settings!$B$21="Cash",Settings!$B$5&lt;EDATE(TODAY(),-6),COUNTIFS($BT$6:$BT$183,1,$A$6:$A$183,"&gt;="&amp;EDATE(TODAY(),-6))=0),1,0)</f>
        <v/>
      </c>
      <c r="EI42">
        <f>IF(AND(Settings!$A$21&lt;&gt;"",Settings!$E$21&lt;&gt;"No"),COUNTIFS($EK$40:$EK42,1),"")</f>
        <v/>
      </c>
      <c r="EJ42">
        <f>IF(Settings!$A$21="","",Settings!$B$21)</f>
        <v/>
      </c>
      <c r="EK42">
        <f>IF(AND(Settings!$A$21&lt;&gt;"",Settings!$E$21&lt;&gt;"No"),1,0)</f>
        <v/>
      </c>
      <c r="EL42">
        <f>IF(Settings!$A$21="","",IF(OR(Settings!$B$21="Card",Settings!$B$21="Loan"),-N(EB42),N(EB42)))</f>
        <v/>
      </c>
      <c r="EM42">
        <f>IF(Settings!$A$21="","",IF(Settings!$D$21="Yes","estimate",""))</f>
        <v/>
      </c>
      <c r="ET42">
        <f>IF($E42&lt;&gt;"open",0,IF(AND('Month-End'!$AM$22&lt;&gt;"",NOT(_xlfn.ISFORMULA('Month-End'!$AM$22))),0,IF(OR(Settings!$C$45="",Settings!$D$45=""),0,Settings!$C$45*IF(Settings!$D$45="Weekly",IF(IFERROR(MATCH(Settings!$E$45,$EO$4:$EO$10,0),0)=0,0,IF(MIN(Settings!$B$5,IF(Settings!$G$45="",Settings!$B$5,Settings!$G$45))&lt;MAX($A42,Settings!$F$45),0,INT((MIN(Settings!$B$5,IF(Settings!$G$45="",Settings!$B$5,Settings!$G$45))-MAX($A42,Settings!$F$45)-MOD(IFERROR(MATCH(Settings!$E$45,$EO$4:$EO$10,0),0)-WEEKDAY(MAX($A42,Settings!$F$45)),7))/7)+1)),IF(AND(IF(Settings!$E$45="",$B42,DATE(YEAR($A42),MONTH($A42),MIN(Settings!$E$45,DAY($B42))))&gt;=MAX($A42,Settings!$F$45),IF(Settings!$E$45="",$B42,DATE(YEAR($A42),MONTH($A42),MIN(Settings!$E$45,DAY($B42))))&lt;=MIN(Settings!$B$5,IF(Settings!$G$45="",Settings!$B$5,Settings!$G$45))),1,0)))))</f>
        <v/>
      </c>
      <c r="EU42">
        <f>IF($E42&lt;&gt;"open",0,IF(AND('Month-End'!$AM$23&lt;&gt;"",NOT(_xlfn.ISFORMULA('Month-End'!$AM$23))),0,IF(OR(Settings!$C$46="",Settings!$D$46=""),0,Settings!$C$46*IF(Settings!$D$46="Weekly",IF(IFERROR(MATCH(Settings!$E$46,$EO$4:$EO$10,0),0)=0,0,IF(MIN(Settings!$B$5,IF(Settings!$G$46="",Settings!$B$5,Settings!$G$46))&lt;MAX($A42,Settings!$F$46),0,INT((MIN(Settings!$B$5,IF(Settings!$G$46="",Settings!$B$5,Settings!$G$46))-MAX($A42,Settings!$F$46)-MOD(IFERROR(MATCH(Settings!$E$46,$EO$4:$EO$10,0),0)-WEEKDAY(MAX($A42,Settings!$F$46)),7))/7)+1)),IF(AND(IF(Settings!$E$46="",$B42,DATE(YEAR($A42),MONTH($A42),MIN(Settings!$E$46,DAY($B42))))&gt;=MAX($A42,Settings!$F$46),IF(Settings!$E$46="",$B42,DATE(YEAR($A42),MONTH($A42),MIN(Settings!$E$46,DAY($B42))))&lt;=MIN(Settings!$B$5,IF(Settings!$G$46="",Settings!$B$5,Settings!$G$46))),1,0)))))</f>
        <v/>
      </c>
      <c r="EV42">
        <f>IF($E42&lt;&gt;"open",0,IF(AND('Month-End'!$AM$24&lt;&gt;"",NOT(_xlfn.ISFORMULA('Month-End'!$AM$24))),0,IF(OR(Settings!$C$47="",Settings!$D$47=""),0,Settings!$C$47*IF(Settings!$D$47="Weekly",IF(IFERROR(MATCH(Settings!$E$47,$EO$4:$EO$10,0),0)=0,0,IF(MIN(Settings!$B$5,IF(Settings!$G$47="",Settings!$B$5,Settings!$G$47))&lt;MAX($A42,Settings!$F$47),0,INT((MIN(Settings!$B$5,IF(Settings!$G$47="",Settings!$B$5,Settings!$G$47))-MAX($A42,Settings!$F$47)-MOD(IFERROR(MATCH(Settings!$E$47,$EO$4:$EO$10,0),0)-WEEKDAY(MAX($A42,Settings!$F$47)),7))/7)+1)),IF(AND(IF(Settings!$E$47="",$B42,DATE(YEAR($A42),MONTH($A42),MIN(Settings!$E$47,DAY($B42))))&gt;=MAX($A42,Settings!$F$47),IF(Settings!$E$47="",$B42,DATE(YEAR($A42),MONTH($A42),MIN(Settings!$E$47,DAY($B42))))&lt;=MIN(Settings!$B$5,IF(Settings!$G$47="",Settings!$B$5,Settings!$G$47))),1,0)))))</f>
        <v/>
      </c>
      <c r="EW42">
        <f>IF($E42&lt;&gt;"open",0,IF(AND('Month-End'!$AM$25&lt;&gt;"",NOT(_xlfn.ISFORMULA('Month-End'!$AM$25))),0,IF(OR(Settings!$C$48="",Settings!$D$48=""),0,Settings!$C$48*IF(Settings!$D$48="Weekly",IF(IFERROR(MATCH(Settings!$E$48,$EO$4:$EO$10,0),0)=0,0,IF(MIN(Settings!$B$5,IF(Settings!$G$48="",Settings!$B$5,Settings!$G$48))&lt;MAX($A42,Settings!$F$48),0,INT((MIN(Settings!$B$5,IF(Settings!$G$48="",Settings!$B$5,Settings!$G$48))-MAX($A42,Settings!$F$48)-MOD(IFERROR(MATCH(Settings!$E$48,$EO$4:$EO$10,0),0)-WEEKDAY(MAX($A42,Settings!$F$48)),7))/7)+1)),IF(AND(IF(Settings!$E$48="",$B42,DATE(YEAR($A42),MONTH($A42),MIN(Settings!$E$48,DAY($B42))))&gt;=MAX($A42,Settings!$F$48),IF(Settings!$E$48="",$B42,DATE(YEAR($A42),MONTH($A42),MIN(Settings!$E$48,DAY($B42))))&lt;=MIN(Settings!$B$5,IF(Settings!$G$48="",Settings!$B$5,Settings!$G$48))),1,0)))))</f>
        <v/>
      </c>
      <c r="EX42">
        <f>IF($E42&lt;&gt;"open",0,IF(AND('Month-End'!$AM$26&lt;&gt;"",NOT(_xlfn.ISFORMULA('Month-End'!$AM$26))),0,IF(OR(Settings!$C$49="",Settings!$D$49=""),0,Settings!$C$49*IF(Settings!$D$49="Weekly",IF(IFERROR(MATCH(Settings!$E$49,$EO$4:$EO$10,0),0)=0,0,IF(MIN(Settings!$B$5,IF(Settings!$G$49="",Settings!$B$5,Settings!$G$49))&lt;MAX($A42,Settings!$F$49),0,INT((MIN(Settings!$B$5,IF(Settings!$G$49="",Settings!$B$5,Settings!$G$49))-MAX($A42,Settings!$F$49)-MOD(IFERROR(MATCH(Settings!$E$49,$EO$4:$EO$10,0),0)-WEEKDAY(MAX($A42,Settings!$F$49)),7))/7)+1)),IF(AND(IF(Settings!$E$49="",$B42,DATE(YEAR($A42),MONTH($A42),MIN(Settings!$E$49,DAY($B42))))&gt;=MAX($A42,Settings!$F$49),IF(Settings!$E$49="",$B42,DATE(YEAR($A42),MONTH($A42),MIN(Settings!$E$49,DAY($B42))))&lt;=MIN(Settings!$B$5,IF(Settings!$G$49="",Settings!$B$5,Settings!$G$49))),1,0)))))</f>
        <v/>
      </c>
      <c r="EY42">
        <f>IF($E42&lt;&gt;"open",0,IF(AND('Month-End'!$AM$27&lt;&gt;"",NOT(_xlfn.ISFORMULA('Month-End'!$AM$27))),0,IF(OR(Settings!$C$50="",Settings!$D$50=""),0,Settings!$C$50*IF(Settings!$D$50="Weekly",IF(IFERROR(MATCH(Settings!$E$50,$EO$4:$EO$10,0),0)=0,0,IF(MIN(Settings!$B$5,IF(Settings!$G$50="",Settings!$B$5,Settings!$G$50))&lt;MAX($A42,Settings!$F$50),0,INT((MIN(Settings!$B$5,IF(Settings!$G$50="",Settings!$B$5,Settings!$G$50))-MAX($A42,Settings!$F$50)-MOD(IFERROR(MATCH(Settings!$E$50,$EO$4:$EO$10,0),0)-WEEKDAY(MAX($A42,Settings!$F$50)),7))/7)+1)),IF(AND(IF(Settings!$E$50="",$B42,DATE(YEAR($A42),MONTH($A42),MIN(Settings!$E$50,DAY($B42))))&gt;=MAX($A42,Settings!$F$50),IF(Settings!$E$50="",$B42,DATE(YEAR($A42),MONTH($A42),MIN(Settings!$E$50,DAY($B42))))&lt;=MIN(Settings!$B$5,IF(Settings!$G$50="",Settings!$B$5,Settings!$G$50))),1,0)))))</f>
        <v/>
      </c>
      <c r="EZ42">
        <f>IF($E42&lt;&gt;"open",0,IF(AND('Month-End'!$AM$28&lt;&gt;"",NOT(_xlfn.ISFORMULA('Month-End'!$AM$28))),0,IF(OR(Settings!$C$51="",Settings!$D$51=""),0,Settings!$C$51*IF(Settings!$D$51="Weekly",IF(IFERROR(MATCH(Settings!$E$51,$EO$4:$EO$10,0),0)=0,0,IF(MIN(Settings!$B$5,IF(Settings!$G$51="",Settings!$B$5,Settings!$G$51))&lt;MAX($A42,Settings!$F$51),0,INT((MIN(Settings!$B$5,IF(Settings!$G$51="",Settings!$B$5,Settings!$G$51))-MAX($A42,Settings!$F$51)-MOD(IFERROR(MATCH(Settings!$E$51,$EO$4:$EO$10,0),0)-WEEKDAY(MAX($A42,Settings!$F$51)),7))/7)+1)),IF(AND(IF(Settings!$E$51="",$B42,DATE(YEAR($A42),MONTH($A42),MIN(Settings!$E$51,DAY($B42))))&gt;=MAX($A42,Settings!$F$51),IF(Settings!$E$51="",$B42,DATE(YEAR($A42),MONTH($A42),MIN(Settings!$E$51,DAY($B42))))&lt;=MIN(Settings!$B$5,IF(Settings!$G$51="",Settings!$B$5,Settings!$G$51))),1,0)))))</f>
        <v/>
      </c>
      <c r="FA42">
        <f>IF($E42&lt;&gt;"open",0,IF(AND('Month-End'!$AM$29&lt;&gt;"",NOT(_xlfn.ISFORMULA('Month-End'!$AM$29))),0,IF(OR(Settings!$C$52="",Settings!$D$52=""),0,Settings!$C$52*IF(Settings!$D$52="Weekly",IF(IFERROR(MATCH(Settings!$E$52,$EO$4:$EO$10,0),0)=0,0,IF(MIN(Settings!$B$5,IF(Settings!$G$52="",Settings!$B$5,Settings!$G$52))&lt;MAX($A42,Settings!$F$52),0,INT((MIN(Settings!$B$5,IF(Settings!$G$52="",Settings!$B$5,Settings!$G$52))-MAX($A42,Settings!$F$52)-MOD(IFERROR(MATCH(Settings!$E$52,$EO$4:$EO$10,0),0)-WEEKDAY(MAX($A42,Settings!$F$52)),7))/7)+1)),IF(AND(IF(Settings!$E$52="",$B42,DATE(YEAR($A42),MONTH($A42),MIN(Settings!$E$52,DAY($B42))))&gt;=MAX($A42,Settings!$F$52),IF(Settings!$E$52="",$B42,DATE(YEAR($A42),MONTH($A42),MIN(Settings!$E$52,DAY($B42))))&lt;=MIN(Settings!$B$5,IF(Settings!$G$52="",Settings!$B$5,Settings!$G$52))),1,0)))))</f>
        <v/>
      </c>
      <c r="FB42">
        <f>IF($E42&lt;&gt;"open",0,IF(AND('Month-End'!$AM$30&lt;&gt;"",NOT(_xlfn.ISFORMULA('Month-End'!$AM$30))),0,IF(OR(Settings!$C$53="",Settings!$D$53=""),0,Settings!$C$53*IF(Settings!$D$53="Weekly",IF(IFERROR(MATCH(Settings!$E$53,$EO$4:$EO$10,0),0)=0,0,IF(MIN(Settings!$B$5,IF(Settings!$G$53="",Settings!$B$5,Settings!$G$53))&lt;MAX($A42,Settings!$F$53),0,INT((MIN(Settings!$B$5,IF(Settings!$G$53="",Settings!$B$5,Settings!$G$53))-MAX($A42,Settings!$F$53)-MOD(IFERROR(MATCH(Settings!$E$53,$EO$4:$EO$10,0),0)-WEEKDAY(MAX($A42,Settings!$F$53)),7))/7)+1)),IF(AND(IF(Settings!$E$53="",$B42,DATE(YEAR($A42),MONTH($A42),MIN(Settings!$E$53,DAY($B42))))&gt;=MAX($A42,Settings!$F$53),IF(Settings!$E$53="",$B42,DATE(YEAR($A42),MONTH($A42),MIN(Settings!$E$53,DAY($B42))))&lt;=MIN(Settings!$B$5,IF(Settings!$G$53="",Settings!$B$5,Settings!$G$53))),1,0)))))</f>
        <v/>
      </c>
      <c r="FC42">
        <f>IF($E42&lt;&gt;"open",0,IF(AND('Month-End'!$AM$31&lt;&gt;"",NOT(_xlfn.ISFORMULA('Month-End'!$AM$31))),0,IF(OR(Settings!$C$54="",Settings!$D$54=""),0,Settings!$C$54*IF(Settings!$D$54="Weekly",IF(IFERROR(MATCH(Settings!$E$54,$EO$4:$EO$10,0),0)=0,0,IF(MIN(Settings!$B$5,IF(Settings!$G$54="",Settings!$B$5,Settings!$G$54))&lt;MAX($A42,Settings!$F$54),0,INT((MIN(Settings!$B$5,IF(Settings!$G$54="",Settings!$B$5,Settings!$G$54))-MAX($A42,Settings!$F$54)-MOD(IFERROR(MATCH(Settings!$E$54,$EO$4:$EO$10,0),0)-WEEKDAY(MAX($A42,Settings!$F$54)),7))/7)+1)),IF(AND(IF(Settings!$E$54="",$B42,DATE(YEAR($A42),MONTH($A42),MIN(Settings!$E$54,DAY($B42))))&gt;=MAX($A42,Settings!$F$54),IF(Settings!$E$54="",$B42,DATE(YEAR($A42),MONTH($A42),MIN(Settings!$E$54,DAY($B42))))&lt;=MIN(Settings!$B$5,IF(Settings!$G$54="",Settings!$B$5,Settings!$G$54))),1,0)))))</f>
        <v/>
      </c>
      <c r="FD42">
        <f>IF($E42&lt;&gt;"open",0,IF(AND('Month-End'!$AM$32&lt;&gt;"",NOT(_xlfn.ISFORMULA('Month-End'!$AM$32))),0,IF(OR(Settings!$C$55="",Settings!$D$55=""),0,Settings!$C$55*IF(Settings!$D$55="Weekly",IF(IFERROR(MATCH(Settings!$E$55,$EO$4:$EO$10,0),0)=0,0,IF(MIN(Settings!$B$5,IF(Settings!$G$55="",Settings!$B$5,Settings!$G$55))&lt;MAX($A42,Settings!$F$55),0,INT((MIN(Settings!$B$5,IF(Settings!$G$55="",Settings!$B$5,Settings!$G$55))-MAX($A42,Settings!$F$55)-MOD(IFERROR(MATCH(Settings!$E$55,$EO$4:$EO$10,0),0)-WEEKDAY(MAX($A42,Settings!$F$55)),7))/7)+1)),IF(AND(IF(Settings!$E$55="",$B42,DATE(YEAR($A42),MONTH($A42),MIN(Settings!$E$55,DAY($B42))))&gt;=MAX($A42,Settings!$F$55),IF(Settings!$E$55="",$B42,DATE(YEAR($A42),MONTH($A42),MIN(Settings!$E$55,DAY($B42))))&lt;=MIN(Settings!$B$5,IF(Settings!$G$55="",Settings!$B$5,Settings!$G$55))),1,0)))))</f>
        <v/>
      </c>
      <c r="FE42">
        <f>IF($E42&lt;&gt;"open",0,IF(AND('Month-End'!$AM$33&lt;&gt;"",NOT(_xlfn.ISFORMULA('Month-End'!$AM$33))),0,IF(OR(Settings!$C$56="",Settings!$D$56=""),0,Settings!$C$56*IF(Settings!$D$56="Weekly",IF(IFERROR(MATCH(Settings!$E$56,$EO$4:$EO$10,0),0)=0,0,IF(MIN(Settings!$B$5,IF(Settings!$G$56="",Settings!$B$5,Settings!$G$56))&lt;MAX($A42,Settings!$F$56),0,INT((MIN(Settings!$B$5,IF(Settings!$G$56="",Settings!$B$5,Settings!$G$56))-MAX($A42,Settings!$F$56)-MOD(IFERROR(MATCH(Settings!$E$56,$EO$4:$EO$10,0),0)-WEEKDAY(MAX($A42,Settings!$F$56)),7))/7)+1)),IF(AND(IF(Settings!$E$56="",$B42,DATE(YEAR($A42),MONTH($A42),MIN(Settings!$E$56,DAY($B42))))&gt;=MAX($A42,Settings!$F$56),IF(Settings!$E$56="",$B42,DATE(YEAR($A42),MONTH($A42),MIN(Settings!$E$56,DAY($B42))))&lt;=MIN(Settings!$B$5,IF(Settings!$G$56="",Settings!$B$5,Settings!$G$56))),1,0)))))</f>
        <v/>
      </c>
      <c r="FF42">
        <f>IF(Settings!$I$45="Yes",$G42,0)+IF(Settings!$I$46="Yes",$H42,0)+IF(Settings!$I$47="Yes",$I42,0)+IF(Settings!$I$48="Yes",$J42,0)+IF(Settings!$I$49="Yes",$K42,0)+IF(Settings!$I$50="Yes",$L42,0)+IF(Settings!$I$51="Yes",$M42,0)+IF(Settings!$I$52="Yes",$N42,0)+IF(Settings!$I$53="Yes",$O42,0)+IF(Settings!$I$54="Yes",$P42,0)+IF(Settings!$I$55="Yes",$Q42,0)+IF(Settings!$I$56="Yes",$R42,0)</f>
        <v/>
      </c>
      <c r="FG42">
        <f>IF(AND(Settings!$I$45="Yes",Settings!$J$45="No"),$G42,0)+IF(AND(Settings!$I$46="Yes",Settings!$J$46="No"),$H42,0)+IF(AND(Settings!$I$47="Yes",Settings!$J$47="No"),$I42,0)+IF(AND(Settings!$I$48="Yes",Settings!$J$48="No"),$J42,0)+IF(AND(Settings!$I$49="Yes",Settings!$J$49="No"),$K42,0)+IF(AND(Settings!$I$50="Yes",Settings!$J$50="No"),$L42,0)+IF(AND(Settings!$I$51="Yes",Settings!$J$51="No"),$M42,0)+IF(AND(Settings!$I$52="Yes",Settings!$J$52="No"),$N42,0)+IF(AND(Settings!$I$53="Yes",Settings!$J$53="No"),$O42,0)+IF(AND(Settings!$I$54="Yes",Settings!$J$54="No"),$P42,0)+IF(AND(Settings!$I$55="Yes",Settings!$J$55="No"),$Q42,0)+IF(AND(Settings!$I$56="Yes",Settings!$J$56="No"),$R42,0)</f>
        <v/>
      </c>
      <c r="FH42">
        <f>SUMIFS(Giving!$B$7:$B$2006,Giving!$A$7:$A$2006,"&gt;="&amp;$A42,Giving!$A$7:$A$2006,"&lt;="&amp;$B42,Giving!$G$7:$G$2006,"Yes")+IF(OR(OR(Settings!$B$60="",Settings!$F$60="No"),Settings!$H$60&lt;&gt;"Yes"),0,Settings!$B$60*IF(AND(IF(Settings!$C$60="",$B42,DATE(YEAR($A42),MONTH($A42),MIN(Settings!$C$60,DAY($B42))))&gt;=MAX($A42,Settings!$D$60),IF(Settings!$C$60="",$B42,DATE(YEAR($A42),MONTH($A42),MIN(Settings!$C$60,DAY($B42))))&lt;=MIN($C42,IF(Settings!$E$60="",$C42,Settings!$E$60))),1,0))+IF(OR(OR(Settings!$B$61="",Settings!$F$61="No"),Settings!$H$61&lt;&gt;"Yes"),0,Settings!$B$61*IF(AND(IF(Settings!$C$61="",$B42,DATE(YEAR($A42),MONTH($A42),MIN(Settings!$C$61,DAY($B42))))&gt;=MAX($A42,Settings!$D$61),IF(Settings!$C$61="",$B42,DATE(YEAR($A42),MONTH($A42),MIN(Settings!$C$61,DAY($B42))))&lt;=MIN($C42,IF(Settings!$E$61="",$C42,Settings!$E$61))),1,0))+IF(OR(OR(Settings!$B$62="",Settings!$F$62="No"),Settings!$H$62&lt;&gt;"Yes"),0,Settings!$B$62*IF(AND(IF(Settings!$C$62="",$B42,DATE(YEAR($A42),MONTH($A42),MIN(Settings!$C$62,DAY($B42))))&gt;=MAX($A42,Settings!$D$62),IF(Settings!$C$62="",$B42,DATE(YEAR($A42),MONTH($A42),MIN(Settings!$C$62,DAY($B42))))&lt;=MIN($C42,IF(Settings!$E$62="",$C42,Settings!$E$62))),1,0))+IF(OR(OR(Settings!$B$63="",Settings!$F$63="No"),Settings!$H$63&lt;&gt;"Yes"),0,Settings!$B$63*IF(AND(IF(Settings!$C$63="",$B42,DATE(YEAR($A42),MONTH($A42),MIN(Settings!$C$63,DAY($B42))))&gt;=MAX($A42,Settings!$D$63),IF(Settings!$C$63="",$B42,DATE(YEAR($A42),MONTH($A42),MIN(Settings!$C$63,DAY($B42))))&lt;=MIN($C42,IF(Settings!$E$63="",$C42,Settings!$E$63))),1,0))+IF(OR(OR(Settings!$B$64="",Settings!$F$64="No"),Settings!$H$64&lt;&gt;"Yes"),0,Settings!$B$64*IF(AND(IF(Settings!$C$64="",$B42,DATE(YEAR($A42),MONTH($A42),MIN(Settings!$C$64,DAY($B42))))&gt;=MAX($A42,Settings!$D$64),IF(Settings!$C$64="",$B42,DATE(YEAR($A42),MONTH($A42),MIN(Settings!$C$64,DAY($B42))))&lt;=MIN($C42,IF(Settings!$E$64="",$C42,Settings!$E$64))),1,0))+IF(OR(OR(Settings!$B$65="",Settings!$F$65="No"),Settings!$H$65&lt;&gt;"Yes"),0,Settings!$B$65*IF(AND(IF(Settings!$C$65="",$B42,DATE(YEAR($A42),MONTH($A42),MIN(Settings!$C$65,DAY($B42))))&gt;=MAX($A42,Settings!$D$65),IF(Settings!$C$65="",$B42,DATE(YEAR($A42),MONTH($A42),MIN(Settings!$C$65,DAY($B42))))&lt;=MIN($C42,IF(Settings!$E$65="",$C42,Settings!$E$65))),1,0))</f>
        <v/>
      </c>
      <c r="FI42">
        <f>IF($DT42=1,IF(OR(Settings!$B$19="Card",Settings!$B$19="Loan"),N($AE42),0)+IF(OR(Settings!$B$20="Card",Settings!$B$20="Loan"),N($AF42),0)+IF(OR(Settings!$B$21="Card",Settings!$B$21="Loan"),N($AG42),0)+IF(OR(Settings!$B$22="Card",Settings!$B$22="Loan"),N($AH42),0)+IF(OR(Settings!$B$23="Card",Settings!$B$23="Loan"),N($AI42),0)+IF(OR(Settings!$B$24="Card",Settings!$B$24="Loan"),N($AJ42),0)+IF(OR(Settings!$B$25="Card",Settings!$B$25="Loan"),N($AK42),0)+IF(OR(Settings!$B$26="Card",Settings!$B$26="Loan"),N($AL42),0)+IF(OR(Settings!$B$27="Card",Settings!$B$27="Loan"),N($AM42),0)+IF(OR(Settings!$B$28="Card",Settings!$B$28="Loan"),N($AN42),0)+IF(OR(Settings!$B$29="Card",Settings!$B$29="Loan"),N($AO42),0)+IF(OR(Settings!$B$30="Card",Settings!$B$30="Loan"),N($AP42),0)+IF(OR(Settings!$B$31="Card",Settings!$B$31="Loan"),N($AQ42),0)+IF(OR(Settings!$B$32="Card",Settings!$B$32="Loan"),N($AR42),0),"")</f>
        <v/>
      </c>
      <c r="FJ42">
        <f>IF($E42="open",$EB$65,IF($E42="post",IF($E41="pre",$EB$65,$FI41),""))</f>
        <v/>
      </c>
      <c r="FK42">
        <f>IF(AND($DT42=1,$DC42=1),IF(ROUND($FI42-$FJ42,2)&gt;0,1,0),0)</f>
        <v/>
      </c>
      <c r="FL42">
        <f>IF($FK42=1,$FL41+1,0)</f>
        <v/>
      </c>
    </row>
    <row r="43">
      <c r="A43">
        <f>'Month-End'!$AN$4</f>
        <v/>
      </c>
      <c r="B43">
        <f>EOMONTH($A43,0)</f>
        <v/>
      </c>
      <c r="C43">
        <f>MIN($B43,TODAY())</f>
        <v/>
      </c>
      <c r="D43">
        <f>IF($A43&gt;TODAY(),1,0)</f>
        <v/>
      </c>
      <c r="E43">
        <f>IF($B43&lt;=Settings!$B$5,"pre",IF($A43&lt;=Settings!$B$5,"open","post"))</f>
        <v/>
      </c>
      <c r="G43">
        <f>IF('Month-End'!$AN$22="",$BE43,N('Month-End'!$AN$22))</f>
        <v/>
      </c>
      <c r="H43">
        <f>IF('Month-End'!$AN$23="",$BF43,N('Month-End'!$AN$23))</f>
        <v/>
      </c>
      <c r="I43">
        <f>IF('Month-End'!$AN$24="",$BG43,N('Month-End'!$AN$24))</f>
        <v/>
      </c>
      <c r="J43">
        <f>IF('Month-End'!$AN$25="",$BH43,N('Month-End'!$AN$25))</f>
        <v/>
      </c>
      <c r="K43">
        <f>IF('Month-End'!$AN$26="",$BI43,N('Month-End'!$AN$26))</f>
        <v/>
      </c>
      <c r="L43">
        <f>IF('Month-End'!$AN$27="",$BJ43,N('Month-End'!$AN$27))</f>
        <v/>
      </c>
      <c r="M43">
        <f>IF('Month-End'!$AN$28="",$BK43,N('Month-End'!$AN$28))</f>
        <v/>
      </c>
      <c r="N43">
        <f>IF('Month-End'!$AN$29="",$BL43,N('Month-End'!$AN$29))</f>
        <v/>
      </c>
      <c r="O43">
        <f>IF('Month-End'!$AN$30="",$BM43,N('Month-End'!$AN$30))</f>
        <v/>
      </c>
      <c r="P43">
        <f>IF('Month-End'!$AN$31="",$BN43,N('Month-End'!$AN$31))</f>
        <v/>
      </c>
      <c r="Q43">
        <f>IF('Month-End'!$AN$32="",$BO43,N('Month-End'!$AN$32))</f>
        <v/>
      </c>
      <c r="R43">
        <f>IF('Month-End'!$AN$33="",$BP43,N('Month-End'!$AN$33))</f>
        <v/>
      </c>
      <c r="S43">
        <f>$G43+$H43+$I43+$J43+$K43+$L43+$M43+$N43+$O43+$P43+$Q43+$R43</f>
        <v/>
      </c>
      <c r="T43">
        <f>IF($B43&lt;Settings!$B$6,0,IF(Settings!$B$45="Yes",$G43,0)+IF(Settings!$B$46="Yes",$H43,0)+IF(Settings!$B$47="Yes",$I43,0)+IF(Settings!$B$48="Yes",$J43,0)+IF(Settings!$B$49="Yes",$K43,0)+IF(Settings!$B$50="Yes",$L43,0)+IF(Settings!$B$51="Yes",$M43,0)+IF(Settings!$B$52="Yes",$N43,0)+IF(Settings!$B$53="Yes",$O43,0)+IF(Settings!$B$54="Yes",$P43,0)+IF(Settings!$B$55="Yes",$Q43,0)+IF(Settings!$B$56="Yes",$R43,0))</f>
        <v/>
      </c>
      <c r="U43">
        <f>IF(Settings!$B$45="Not Sure",$G43,0)+IF(Settings!$B$46="Not Sure",$H43,0)+IF(Settings!$B$47="Not Sure",$I43,0)+IF(Settings!$B$48="Not Sure",$J43,0)+IF(Settings!$B$49="Not Sure",$K43,0)+IF(Settings!$B$50="Not Sure",$L43,0)+IF(Settings!$B$51="Not Sure",$M43,0)+IF(Settings!$B$52="Not Sure",$N43,0)+IF(Settings!$B$53="Not Sure",$O43,0)+IF(Settings!$B$54="Not Sure",$P43,0)+IF(Settings!$B$55="Not Sure",$Q43,0)+IF(Settings!$B$56="Not Sure",$R43,0)</f>
        <v/>
      </c>
      <c r="V43">
        <f>IF($E43="open",SUM($ET43:$FE43)+N(Settings!$B$13),0)</f>
        <v/>
      </c>
      <c r="W43">
        <f>IF($E43="post",$S43,IF($E43="open",$S43-$V43,0))</f>
        <v/>
      </c>
      <c r="X43">
        <f>SUMIFS(Giving!$B$7:$B$2006,Giving!$A$7:$A$2006,"&gt;="&amp;$A43,Giving!$A$7:$A$2006,"&lt;="&amp;$B43,Giving!$E$7:$E$2006,"&lt;&gt;No")</f>
        <v/>
      </c>
      <c r="Y43">
        <f>SUMIFS(Giving!$B$7:$B$2006,Giving!$A$7:$A$2006,"&gt;="&amp;$A43,Giving!$A$7:$A$2006,"&lt;="&amp;$B43,Giving!$E$7:$E$2006,"No")</f>
        <v/>
      </c>
      <c r="Z43">
        <f>IF(OR(Settings!$B$60="",Settings!$F$60="No"),0,Settings!$B$60*IF(AND(IF(Settings!$C$60="",$B43,DATE(YEAR($A43),MONTH($A43),MIN(Settings!$C$60,DAY($B43))))&gt;=MAX($A43,Settings!$D$60),IF(Settings!$C$60="",$B43,DATE(YEAR($A43),MONTH($A43),MIN(Settings!$C$60,DAY($B43))))&lt;=MIN($C43,IF(Settings!$E$60="",$C43,Settings!$E$60))),1,0))+IF(OR(Settings!$B$61="",Settings!$F$61="No"),0,Settings!$B$61*IF(AND(IF(Settings!$C$61="",$B43,DATE(YEAR($A43),MONTH($A43),MIN(Settings!$C$61,DAY($B43))))&gt;=MAX($A43,Settings!$D$61),IF(Settings!$C$61="",$B43,DATE(YEAR($A43),MONTH($A43),MIN(Settings!$C$61,DAY($B43))))&lt;=MIN($C43,IF(Settings!$E$61="",$C43,Settings!$E$61))),1,0))+IF(OR(Settings!$B$62="",Settings!$F$62="No"),0,Settings!$B$62*IF(AND(IF(Settings!$C$62="",$B43,DATE(YEAR($A43),MONTH($A43),MIN(Settings!$C$62,DAY($B43))))&gt;=MAX($A43,Settings!$D$62),IF(Settings!$C$62="",$B43,DATE(YEAR($A43),MONTH($A43),MIN(Settings!$C$62,DAY($B43))))&lt;=MIN($C43,IF(Settings!$E$62="",$C43,Settings!$E$62))),1,0))+IF(OR(Settings!$B$63="",Settings!$F$63="No"),0,Settings!$B$63*IF(AND(IF(Settings!$C$63="",$B43,DATE(YEAR($A43),MONTH($A43),MIN(Settings!$C$63,DAY($B43))))&gt;=MAX($A43,Settings!$D$63),IF(Settings!$C$63="",$B43,DATE(YEAR($A43),MONTH($A43),MIN(Settings!$C$63,DAY($B43))))&lt;=MIN($C43,IF(Settings!$E$63="",$C43,Settings!$E$63))),1,0))+IF(OR(Settings!$B$64="",Settings!$F$64="No"),0,Settings!$B$64*IF(AND(IF(Settings!$C$64="",$B43,DATE(YEAR($A43),MONTH($A43),MIN(Settings!$C$64,DAY($B43))))&gt;=MAX($A43,Settings!$D$64),IF(Settings!$C$64="",$B43,DATE(YEAR($A43),MONTH($A43),MIN(Settings!$C$64,DAY($B43))))&lt;=MIN($C43,IF(Settings!$E$64="",$C43,Settings!$E$64))),1,0))+IF(OR(Settings!$B$65="",Settings!$F$65="No"),0,Settings!$B$65*IF(AND(IF(Settings!$C$65="",$B43,DATE(YEAR($A43),MONTH($A43),MIN(Settings!$C$65,DAY($B43))))&gt;=MAX($A43,Settings!$D$65),IF(Settings!$C$65="",$B43,DATE(YEAR($A43),MONTH($A43),MIN(Settings!$C$65,DAY($B43))))&lt;=MIN($C43,IF(Settings!$E$65="",$C43,Settings!$E$65))),1,0))</f>
        <v/>
      </c>
      <c r="AA43">
        <f>$X43+$Z43</f>
        <v/>
      </c>
      <c r="AB43">
        <f>IF($E43="post",$AA43,IF($E43="open",SUMIFS(Giving!$B$7:$B$2006,Giving!$A$7:$A$2006,"&gt;"&amp;Settings!$B$5,Giving!$A$7:$A$2006,"&lt;="&amp;$B43,Giving!$E$7:$E$2006,"&lt;&gt;No")+IF(OR(Settings!$B$60="",Settings!$F$60="No"),0,Settings!$B$60*IF(AND(IF(Settings!$C$60="",$B43,DATE(YEAR($A43),MONTH($A43),MIN(Settings!$C$60,DAY($B43))))&gt;=MAX($A43,Settings!$D$60,Settings!$B$5+1),IF(Settings!$C$60="",$B43,DATE(YEAR($A43),MONTH($A43),MIN(Settings!$C$60,DAY($B43))))&lt;=MIN($C43,IF(Settings!$E$60="",$C43,Settings!$E$60))),1,0))+IF(OR(Settings!$B$61="",Settings!$F$61="No"),0,Settings!$B$61*IF(AND(IF(Settings!$C$61="",$B43,DATE(YEAR($A43),MONTH($A43),MIN(Settings!$C$61,DAY($B43))))&gt;=MAX($A43,Settings!$D$61,Settings!$B$5+1),IF(Settings!$C$61="",$B43,DATE(YEAR($A43),MONTH($A43),MIN(Settings!$C$61,DAY($B43))))&lt;=MIN($C43,IF(Settings!$E$61="",$C43,Settings!$E$61))),1,0))+IF(OR(Settings!$B$62="",Settings!$F$62="No"),0,Settings!$B$62*IF(AND(IF(Settings!$C$62="",$B43,DATE(YEAR($A43),MONTH($A43),MIN(Settings!$C$62,DAY($B43))))&gt;=MAX($A43,Settings!$D$62,Settings!$B$5+1),IF(Settings!$C$62="",$B43,DATE(YEAR($A43),MONTH($A43),MIN(Settings!$C$62,DAY($B43))))&lt;=MIN($C43,IF(Settings!$E$62="",$C43,Settings!$E$62))),1,0))+IF(OR(Settings!$B$63="",Settings!$F$63="No"),0,Settings!$B$63*IF(AND(IF(Settings!$C$63="",$B43,DATE(YEAR($A43),MONTH($A43),MIN(Settings!$C$63,DAY($B43))))&gt;=MAX($A43,Settings!$D$63,Settings!$B$5+1),IF(Settings!$C$63="",$B43,DATE(YEAR($A43),MONTH($A43),MIN(Settings!$C$63,DAY($B43))))&lt;=MIN($C43,IF(Settings!$E$63="",$C43,Settings!$E$63))),1,0))+IF(OR(Settings!$B$64="",Settings!$F$64="No"),0,Settings!$B$64*IF(AND(IF(Settings!$C$64="",$B43,DATE(YEAR($A43),MONTH($A43),MIN(Settings!$C$64,DAY($B43))))&gt;=MAX($A43,Settings!$D$64,Settings!$B$5+1),IF(Settings!$C$64="",$B43,DATE(YEAR($A43),MONTH($A43),MIN(Settings!$C$64,DAY($B43))))&lt;=MIN($C43,IF(Settings!$E$64="",$C43,Settings!$E$64))),1,0))+IF(OR(Settings!$B$65="",Settings!$F$65="No"),0,Settings!$B$65*IF(AND(IF(Settings!$C$65="",$B43,DATE(YEAR($A43),MONTH($A43),MIN(Settings!$C$65,DAY($B43))))&gt;=MAX($A43,Settings!$D$65,Settings!$B$5+1),IF(Settings!$C$65="",$B43,DATE(YEAR($A43),MONTH($A43),MIN(Settings!$C$65,DAY($B43))))&lt;=MIN($C43,IF(Settings!$E$65="",$C43,Settings!$E$65))),1,0)),0))</f>
        <v/>
      </c>
      <c r="AC43">
        <f>$AY43+$AZ43+$BA43+$BB43+$BC43+$BD43</f>
        <v/>
      </c>
      <c r="AD43">
        <f>$AC43</f>
        <v/>
      </c>
      <c r="AE43">
        <f>IF(OR(Settings!$A$19="",$E43="pre"),"",IF(AND('Month-End'!$AN$7&lt;&gt;"",NOT(_xlfn.ISFORMULA('Month-End'!$AN$7))),N('Month-End'!$AN$7),IF(OR($E43="open",$E42="pre"),N(Settings!$C$19),N($AE42))))</f>
        <v/>
      </c>
      <c r="AF43">
        <f>IF(OR(Settings!$A$20="",$E43="pre"),"",IF(AND('Month-End'!$AN$8&lt;&gt;"",NOT(_xlfn.ISFORMULA('Month-End'!$AN$8))),N('Month-End'!$AN$8),IF(OR($E43="open",$E42="pre"),N(Settings!$C$20),N($AF42))))</f>
        <v/>
      </c>
      <c r="AG43">
        <f>IF(OR(Settings!$A$21="",$E43="pre"),"",IF(AND('Month-End'!$AN$9&lt;&gt;"",NOT(_xlfn.ISFORMULA('Month-End'!$AN$9))),N('Month-End'!$AN$9),IF(OR($E43="open",$E42="pre"),N(Settings!$C$21),N($AG42))))</f>
        <v/>
      </c>
      <c r="AH43">
        <f>IF(OR(Settings!$A$22="",$E43="pre"),"",IF(AND('Month-End'!$AN$10&lt;&gt;"",NOT(_xlfn.ISFORMULA('Month-End'!$AN$10))),N('Month-End'!$AN$10),IF(OR($E43="open",$E42="pre"),N(Settings!$C$22),N($AH42))))</f>
        <v/>
      </c>
      <c r="AI43">
        <f>IF(OR(Settings!$A$23="",$E43="pre"),"",IF(AND('Month-End'!$AN$11&lt;&gt;"",NOT(_xlfn.ISFORMULA('Month-End'!$AN$11))),N('Month-End'!$AN$11),IF(OR($E43="open",$E42="pre"),N(Settings!$C$23),N($AI42))))</f>
        <v/>
      </c>
      <c r="AJ43">
        <f>IF(OR(Settings!$A$24="",$E43="pre"),"",IF(AND('Month-End'!$AN$12&lt;&gt;"",NOT(_xlfn.ISFORMULA('Month-End'!$AN$12))),N('Month-End'!$AN$12),IF(OR($E43="open",$E42="pre"),N(Settings!$C$24),N($AJ42))))</f>
        <v/>
      </c>
      <c r="AK43">
        <f>IF(OR(Settings!$A$25="",$E43="pre"),"",IF(AND('Month-End'!$AN$13&lt;&gt;"",NOT(_xlfn.ISFORMULA('Month-End'!$AN$13))),N('Month-End'!$AN$13),IF(OR($E43="open",$E42="pre"),N(Settings!$C$25),N($AK42))))</f>
        <v/>
      </c>
      <c r="AL43">
        <f>IF(OR(Settings!$A$26="",$E43="pre"),"",IF(AND('Month-End'!$AN$14&lt;&gt;"",NOT(_xlfn.ISFORMULA('Month-End'!$AN$14))),N('Month-End'!$AN$14),IF(OR($E43="open",$E42="pre"),N(Settings!$C$26),N($AL42))))</f>
        <v/>
      </c>
      <c r="AM43">
        <f>IF(OR(Settings!$A$27="",$E43="pre"),"",IF(AND('Month-End'!$AN$15&lt;&gt;"",NOT(_xlfn.ISFORMULA('Month-End'!$AN$15))),N('Month-End'!$AN$15),IF(OR($E43="open",$E42="pre"),N(Settings!$C$27),N($AM42))))</f>
        <v/>
      </c>
      <c r="AN43">
        <f>IF(OR(Settings!$A$28="",$E43="pre"),"",IF(AND('Month-End'!$AN$16&lt;&gt;"",NOT(_xlfn.ISFORMULA('Month-End'!$AN$16))),N('Month-End'!$AN$16),IF(OR($E43="open",$E42="pre"),N(Settings!$C$28),N($AN42))))</f>
        <v/>
      </c>
      <c r="AO43">
        <f>IF(OR(Settings!$A$29="",$E43="pre"),"",IF(AND('Month-End'!$AN$17&lt;&gt;"",NOT(_xlfn.ISFORMULA('Month-End'!$AN$17))),N('Month-End'!$AN$17),IF(OR($E43="open",$E42="pre"),N(Settings!$C$29),N($AO42))))</f>
        <v/>
      </c>
      <c r="AP43">
        <f>IF(OR(Settings!$A$30="",$E43="pre"),"",IF(AND('Month-End'!$AN$18&lt;&gt;"",NOT(_xlfn.ISFORMULA('Month-End'!$AN$18))),N('Month-End'!$AN$18),IF(OR($E43="open",$E42="pre"),N(Settings!$C$30),N($AP42))))</f>
        <v/>
      </c>
      <c r="AQ43">
        <f>IF(OR(Settings!$A$31="",$E43="pre"),"",IF(AND('Month-End'!$AN$19&lt;&gt;"",NOT(_xlfn.ISFORMULA('Month-End'!$AN$19))),N('Month-End'!$AN$19),IF(OR($E43="open",$E42="pre"),N(Settings!$C$31),N($AQ42))))</f>
        <v/>
      </c>
      <c r="AR43">
        <f>IF(OR(Settings!$A$32="",$E43="pre"),"",IF(AND('Month-End'!$AN$20&lt;&gt;"",NOT(_xlfn.ISFORMULA('Month-End'!$AN$20))),N('Month-End'!$AN$20),IF(OR($E43="open",$E42="pre"),N(Settings!$C$32),N($AR42))))</f>
        <v/>
      </c>
      <c r="AS43">
        <f>IF(OR(Settings!$A$36="",$E43="pre"),"",IF(AND('Month-End'!$AN$38&lt;&gt;"",NOT(_xlfn.ISFORMULA('Month-End'!$AN$38))),N('Month-End'!$AN$38),IF(OR($E43="open",$E42="pre"),N(Settings!$C$36),N($AS42))+$AY43))</f>
        <v/>
      </c>
      <c r="AT43">
        <f>IF(OR(Settings!$A$37="",$E43="pre"),"",IF(AND('Month-End'!$AN$39&lt;&gt;"",NOT(_xlfn.ISFORMULA('Month-End'!$AN$39))),N('Month-End'!$AN$39),IF(OR($E43="open",$E42="pre"),N(Settings!$C$37),N($AT42))+$AZ43))</f>
        <v/>
      </c>
      <c r="AU43">
        <f>IF(OR(Settings!$A$38="",$E43="pre"),"",IF(AND('Month-End'!$AN$40&lt;&gt;"",NOT(_xlfn.ISFORMULA('Month-End'!$AN$40))),N('Month-End'!$AN$40),IF(OR($E43="open",$E42="pre"),N(Settings!$C$38),N($AU42))+$BA43))</f>
        <v/>
      </c>
      <c r="AV43">
        <f>IF(OR(Settings!$A$39="",$E43="pre"),"",IF(AND('Month-End'!$AN$41&lt;&gt;"",NOT(_xlfn.ISFORMULA('Month-End'!$AN$41))),N('Month-End'!$AN$41),IF(OR($E43="open",$E42="pre"),N(Settings!$C$39),N($AV42))+$BB43))</f>
        <v/>
      </c>
      <c r="AW43">
        <f>IF(OR(Settings!$A$40="",$E43="pre"),"",IF(AND('Month-End'!$AN$42&lt;&gt;"",NOT(_xlfn.ISFORMULA('Month-End'!$AN$42))),N('Month-End'!$AN$42),IF(OR($E43="open",$E42="pre"),N(Settings!$C$40),N($AW42))+$BC43))</f>
        <v/>
      </c>
      <c r="AX43">
        <f>IF(OR(Settings!$A$41="",$E43="pre"),"",IF(AND('Month-End'!$AN$43&lt;&gt;"",NOT(_xlfn.ISFORMULA('Month-End'!$AN$43))),N('Month-End'!$AN$43),IF(OR($E43="open",$E42="pre"),N(Settings!$C$41),N($AX42))+$BD43))</f>
        <v/>
      </c>
      <c r="AY43">
        <f>IF($E43="pre",0,N('Month-End'!$AN$45))</f>
        <v/>
      </c>
      <c r="AZ43">
        <f>IF($E43="pre",0,N('Month-End'!$AN$46))</f>
        <v/>
      </c>
      <c r="BA43">
        <f>IF($E43="pre",0,N('Month-End'!$AN$47))</f>
        <v/>
      </c>
      <c r="BB43">
        <f>IF($E43="pre",0,N('Month-End'!$AN$48))</f>
        <v/>
      </c>
      <c r="BC43">
        <f>IF($E43="pre",0,N('Month-End'!$AN$49))</f>
        <v/>
      </c>
      <c r="BD43">
        <f>IF($E43="pre",0,N('Month-End'!$AN$50))</f>
        <v/>
      </c>
      <c r="BE43">
        <f>IF(OR(Settings!$C$45="",Settings!$D$45=""),0,Settings!$C$45*IF(Settings!$D$45="Weekly",IF(IFERROR(MATCH(Settings!$E$45,$EO$4:$EO$10,0),0)=0,0,IF(MIN($C43,IF(Settings!$G$45="",$C43,Settings!$G$45))&lt;MAX($A43,Settings!$F$45),0,INT((MIN($C43,IF(Settings!$G$45="",$C43,Settings!$G$45))-MAX($A43,Settings!$F$45)-MOD(IFERROR(MATCH(Settings!$E$45,$EO$4:$EO$10,0),0)-WEEKDAY(MAX($A43,Settings!$F$45)),7))/7)+1)),IF(AND(IF(Settings!$E$45="",$B43,DATE(YEAR($A43),MONTH($A43),MIN(Settings!$E$45,DAY($B43))))&gt;=MAX($A43,Settings!$F$45),IF(Settings!$E$45="",$B43,DATE(YEAR($A43),MONTH($A43),MIN(Settings!$E$45,DAY($B43))))&lt;=MIN($C43,IF(Settings!$G$45="",$C43,Settings!$G$45))),1,0)))</f>
        <v/>
      </c>
      <c r="BF43">
        <f>IF(OR(Settings!$C$46="",Settings!$D$46=""),0,Settings!$C$46*IF(Settings!$D$46="Weekly",IF(IFERROR(MATCH(Settings!$E$46,$EO$4:$EO$10,0),0)=0,0,IF(MIN($C43,IF(Settings!$G$46="",$C43,Settings!$G$46))&lt;MAX($A43,Settings!$F$46),0,INT((MIN($C43,IF(Settings!$G$46="",$C43,Settings!$G$46))-MAX($A43,Settings!$F$46)-MOD(IFERROR(MATCH(Settings!$E$46,$EO$4:$EO$10,0),0)-WEEKDAY(MAX($A43,Settings!$F$46)),7))/7)+1)),IF(AND(IF(Settings!$E$46="",$B43,DATE(YEAR($A43),MONTH($A43),MIN(Settings!$E$46,DAY($B43))))&gt;=MAX($A43,Settings!$F$46),IF(Settings!$E$46="",$B43,DATE(YEAR($A43),MONTH($A43),MIN(Settings!$E$46,DAY($B43))))&lt;=MIN($C43,IF(Settings!$G$46="",$C43,Settings!$G$46))),1,0)))</f>
        <v/>
      </c>
      <c r="BG43">
        <f>IF(OR(Settings!$C$47="",Settings!$D$47=""),0,Settings!$C$47*IF(Settings!$D$47="Weekly",IF(IFERROR(MATCH(Settings!$E$47,$EO$4:$EO$10,0),0)=0,0,IF(MIN($C43,IF(Settings!$G$47="",$C43,Settings!$G$47))&lt;MAX($A43,Settings!$F$47),0,INT((MIN($C43,IF(Settings!$G$47="",$C43,Settings!$G$47))-MAX($A43,Settings!$F$47)-MOD(IFERROR(MATCH(Settings!$E$47,$EO$4:$EO$10,0),0)-WEEKDAY(MAX($A43,Settings!$F$47)),7))/7)+1)),IF(AND(IF(Settings!$E$47="",$B43,DATE(YEAR($A43),MONTH($A43),MIN(Settings!$E$47,DAY($B43))))&gt;=MAX($A43,Settings!$F$47),IF(Settings!$E$47="",$B43,DATE(YEAR($A43),MONTH($A43),MIN(Settings!$E$47,DAY($B43))))&lt;=MIN($C43,IF(Settings!$G$47="",$C43,Settings!$G$47))),1,0)))</f>
        <v/>
      </c>
      <c r="BH43">
        <f>IF(OR(Settings!$C$48="",Settings!$D$48=""),0,Settings!$C$48*IF(Settings!$D$48="Weekly",IF(IFERROR(MATCH(Settings!$E$48,$EO$4:$EO$10,0),0)=0,0,IF(MIN($C43,IF(Settings!$G$48="",$C43,Settings!$G$48))&lt;MAX($A43,Settings!$F$48),0,INT((MIN($C43,IF(Settings!$G$48="",$C43,Settings!$G$48))-MAX($A43,Settings!$F$48)-MOD(IFERROR(MATCH(Settings!$E$48,$EO$4:$EO$10,0),0)-WEEKDAY(MAX($A43,Settings!$F$48)),7))/7)+1)),IF(AND(IF(Settings!$E$48="",$B43,DATE(YEAR($A43),MONTH($A43),MIN(Settings!$E$48,DAY($B43))))&gt;=MAX($A43,Settings!$F$48),IF(Settings!$E$48="",$B43,DATE(YEAR($A43),MONTH($A43),MIN(Settings!$E$48,DAY($B43))))&lt;=MIN($C43,IF(Settings!$G$48="",$C43,Settings!$G$48))),1,0)))</f>
        <v/>
      </c>
      <c r="BI43">
        <f>IF(OR(Settings!$C$49="",Settings!$D$49=""),0,Settings!$C$49*IF(Settings!$D$49="Weekly",IF(IFERROR(MATCH(Settings!$E$49,$EO$4:$EO$10,0),0)=0,0,IF(MIN($C43,IF(Settings!$G$49="",$C43,Settings!$G$49))&lt;MAX($A43,Settings!$F$49),0,INT((MIN($C43,IF(Settings!$G$49="",$C43,Settings!$G$49))-MAX($A43,Settings!$F$49)-MOD(IFERROR(MATCH(Settings!$E$49,$EO$4:$EO$10,0),0)-WEEKDAY(MAX($A43,Settings!$F$49)),7))/7)+1)),IF(AND(IF(Settings!$E$49="",$B43,DATE(YEAR($A43),MONTH($A43),MIN(Settings!$E$49,DAY($B43))))&gt;=MAX($A43,Settings!$F$49),IF(Settings!$E$49="",$B43,DATE(YEAR($A43),MONTH($A43),MIN(Settings!$E$49,DAY($B43))))&lt;=MIN($C43,IF(Settings!$G$49="",$C43,Settings!$G$49))),1,0)))</f>
        <v/>
      </c>
      <c r="BJ43">
        <f>IF(OR(Settings!$C$50="",Settings!$D$50=""),0,Settings!$C$50*IF(Settings!$D$50="Weekly",IF(IFERROR(MATCH(Settings!$E$50,$EO$4:$EO$10,0),0)=0,0,IF(MIN($C43,IF(Settings!$G$50="",$C43,Settings!$G$50))&lt;MAX($A43,Settings!$F$50),0,INT((MIN($C43,IF(Settings!$G$50="",$C43,Settings!$G$50))-MAX($A43,Settings!$F$50)-MOD(IFERROR(MATCH(Settings!$E$50,$EO$4:$EO$10,0),0)-WEEKDAY(MAX($A43,Settings!$F$50)),7))/7)+1)),IF(AND(IF(Settings!$E$50="",$B43,DATE(YEAR($A43),MONTH($A43),MIN(Settings!$E$50,DAY($B43))))&gt;=MAX($A43,Settings!$F$50),IF(Settings!$E$50="",$B43,DATE(YEAR($A43),MONTH($A43),MIN(Settings!$E$50,DAY($B43))))&lt;=MIN($C43,IF(Settings!$G$50="",$C43,Settings!$G$50))),1,0)))</f>
        <v/>
      </c>
      <c r="BK43">
        <f>IF(OR(Settings!$C$51="",Settings!$D$51=""),0,Settings!$C$51*IF(Settings!$D$51="Weekly",IF(IFERROR(MATCH(Settings!$E$51,$EO$4:$EO$10,0),0)=0,0,IF(MIN($C43,IF(Settings!$G$51="",$C43,Settings!$G$51))&lt;MAX($A43,Settings!$F$51),0,INT((MIN($C43,IF(Settings!$G$51="",$C43,Settings!$G$51))-MAX($A43,Settings!$F$51)-MOD(IFERROR(MATCH(Settings!$E$51,$EO$4:$EO$10,0),0)-WEEKDAY(MAX($A43,Settings!$F$51)),7))/7)+1)),IF(AND(IF(Settings!$E$51="",$B43,DATE(YEAR($A43),MONTH($A43),MIN(Settings!$E$51,DAY($B43))))&gt;=MAX($A43,Settings!$F$51),IF(Settings!$E$51="",$B43,DATE(YEAR($A43),MONTH($A43),MIN(Settings!$E$51,DAY($B43))))&lt;=MIN($C43,IF(Settings!$G$51="",$C43,Settings!$G$51))),1,0)))</f>
        <v/>
      </c>
      <c r="BL43">
        <f>IF(OR(Settings!$C$52="",Settings!$D$52=""),0,Settings!$C$52*IF(Settings!$D$52="Weekly",IF(IFERROR(MATCH(Settings!$E$52,$EO$4:$EO$10,0),0)=0,0,IF(MIN($C43,IF(Settings!$G$52="",$C43,Settings!$G$52))&lt;MAX($A43,Settings!$F$52),0,INT((MIN($C43,IF(Settings!$G$52="",$C43,Settings!$G$52))-MAX($A43,Settings!$F$52)-MOD(IFERROR(MATCH(Settings!$E$52,$EO$4:$EO$10,0),0)-WEEKDAY(MAX($A43,Settings!$F$52)),7))/7)+1)),IF(AND(IF(Settings!$E$52="",$B43,DATE(YEAR($A43),MONTH($A43),MIN(Settings!$E$52,DAY($B43))))&gt;=MAX($A43,Settings!$F$52),IF(Settings!$E$52="",$B43,DATE(YEAR($A43),MONTH($A43),MIN(Settings!$E$52,DAY($B43))))&lt;=MIN($C43,IF(Settings!$G$52="",$C43,Settings!$G$52))),1,0)))</f>
        <v/>
      </c>
      <c r="BM43">
        <f>IF(OR(Settings!$C$53="",Settings!$D$53=""),0,Settings!$C$53*IF(Settings!$D$53="Weekly",IF(IFERROR(MATCH(Settings!$E$53,$EO$4:$EO$10,0),0)=0,0,IF(MIN($C43,IF(Settings!$G$53="",$C43,Settings!$G$53))&lt;MAX($A43,Settings!$F$53),0,INT((MIN($C43,IF(Settings!$G$53="",$C43,Settings!$G$53))-MAX($A43,Settings!$F$53)-MOD(IFERROR(MATCH(Settings!$E$53,$EO$4:$EO$10,0),0)-WEEKDAY(MAX($A43,Settings!$F$53)),7))/7)+1)),IF(AND(IF(Settings!$E$53="",$B43,DATE(YEAR($A43),MONTH($A43),MIN(Settings!$E$53,DAY($B43))))&gt;=MAX($A43,Settings!$F$53),IF(Settings!$E$53="",$B43,DATE(YEAR($A43),MONTH($A43),MIN(Settings!$E$53,DAY($B43))))&lt;=MIN($C43,IF(Settings!$G$53="",$C43,Settings!$G$53))),1,0)))</f>
        <v/>
      </c>
      <c r="BN43">
        <f>IF(OR(Settings!$C$54="",Settings!$D$54=""),0,Settings!$C$54*IF(Settings!$D$54="Weekly",IF(IFERROR(MATCH(Settings!$E$54,$EO$4:$EO$10,0),0)=0,0,IF(MIN($C43,IF(Settings!$G$54="",$C43,Settings!$G$54))&lt;MAX($A43,Settings!$F$54),0,INT((MIN($C43,IF(Settings!$G$54="",$C43,Settings!$G$54))-MAX($A43,Settings!$F$54)-MOD(IFERROR(MATCH(Settings!$E$54,$EO$4:$EO$10,0),0)-WEEKDAY(MAX($A43,Settings!$F$54)),7))/7)+1)),IF(AND(IF(Settings!$E$54="",$B43,DATE(YEAR($A43),MONTH($A43),MIN(Settings!$E$54,DAY($B43))))&gt;=MAX($A43,Settings!$F$54),IF(Settings!$E$54="",$B43,DATE(YEAR($A43),MONTH($A43),MIN(Settings!$E$54,DAY($B43))))&lt;=MIN($C43,IF(Settings!$G$54="",$C43,Settings!$G$54))),1,0)))</f>
        <v/>
      </c>
      <c r="BO43">
        <f>IF(OR(Settings!$C$55="",Settings!$D$55=""),0,Settings!$C$55*IF(Settings!$D$55="Weekly",IF(IFERROR(MATCH(Settings!$E$55,$EO$4:$EO$10,0),0)=0,0,IF(MIN($C43,IF(Settings!$G$55="",$C43,Settings!$G$55))&lt;MAX($A43,Settings!$F$55),0,INT((MIN($C43,IF(Settings!$G$55="",$C43,Settings!$G$55))-MAX($A43,Settings!$F$55)-MOD(IFERROR(MATCH(Settings!$E$55,$EO$4:$EO$10,0),0)-WEEKDAY(MAX($A43,Settings!$F$55)),7))/7)+1)),IF(AND(IF(Settings!$E$55="",$B43,DATE(YEAR($A43),MONTH($A43),MIN(Settings!$E$55,DAY($B43))))&gt;=MAX($A43,Settings!$F$55),IF(Settings!$E$55="",$B43,DATE(YEAR($A43),MONTH($A43),MIN(Settings!$E$55,DAY($B43))))&lt;=MIN($C43,IF(Settings!$G$55="",$C43,Settings!$G$55))),1,0)))</f>
        <v/>
      </c>
      <c r="BP43">
        <f>IF(OR(Settings!$C$56="",Settings!$D$56=""),0,Settings!$C$56*IF(Settings!$D$56="Weekly",IF(IFERROR(MATCH(Settings!$E$56,$EO$4:$EO$10,0),0)=0,0,IF(MIN($C43,IF(Settings!$G$56="",$C43,Settings!$G$56))&lt;MAX($A43,Settings!$F$56),0,INT((MIN($C43,IF(Settings!$G$56="",$C43,Settings!$G$56))-MAX($A43,Settings!$F$56)-MOD(IFERROR(MATCH(Settings!$E$56,$EO$4:$EO$10,0),0)-WEEKDAY(MAX($A43,Settings!$F$56)),7))/7)+1)),IF(AND(IF(Settings!$E$56="",$B43,DATE(YEAR($A43),MONTH($A43),MIN(Settings!$E$56,DAY($B43))))&gt;=MAX($A43,Settings!$F$56),IF(Settings!$E$56="",$B43,DATE(YEAR($A43),MONTH($A43),MIN(Settings!$E$56,DAY($B43))))&lt;=MIN($C43,IF(Settings!$G$56="",$C43,Settings!$G$56))),1,0)))</f>
        <v/>
      </c>
      <c r="BQ43">
        <f>IF(OR(Settings!$B$14="",$D43=1,$E43="pre",$A43&lt;IF(Settings!$B$15="",0,Settings!$B$15)),0,Settings!$B$14)</f>
        <v/>
      </c>
      <c r="BR43">
        <f>IF(AND('Month-End'!$AN$7&lt;&gt;"",NOT(_xlfn.ISFORMULA('Month-End'!$AN$7))),1,0)</f>
        <v/>
      </c>
      <c r="BS43">
        <f>IF(AND('Month-End'!$AN$8&lt;&gt;"",NOT(_xlfn.ISFORMULA('Month-End'!$AN$8))),1,0)</f>
        <v/>
      </c>
      <c r="BT43">
        <f>IF(AND('Month-End'!$AN$9&lt;&gt;"",NOT(_xlfn.ISFORMULA('Month-End'!$AN$9))),1,0)</f>
        <v/>
      </c>
      <c r="BU43">
        <f>IF(AND('Month-End'!$AN$10&lt;&gt;"",NOT(_xlfn.ISFORMULA('Month-End'!$AN$10))),1,0)</f>
        <v/>
      </c>
      <c r="BV43">
        <f>IF(AND('Month-End'!$AN$11&lt;&gt;"",NOT(_xlfn.ISFORMULA('Month-End'!$AN$11))),1,0)</f>
        <v/>
      </c>
      <c r="BW43">
        <f>IF(AND('Month-End'!$AN$12&lt;&gt;"",NOT(_xlfn.ISFORMULA('Month-End'!$AN$12))),1,0)</f>
        <v/>
      </c>
      <c r="BX43">
        <f>IF(AND('Month-End'!$AN$13&lt;&gt;"",NOT(_xlfn.ISFORMULA('Month-End'!$AN$13))),1,0)</f>
        <v/>
      </c>
      <c r="BY43">
        <f>IF(AND('Month-End'!$AN$14&lt;&gt;"",NOT(_xlfn.ISFORMULA('Month-End'!$AN$14))),1,0)</f>
        <v/>
      </c>
      <c r="BZ43">
        <f>IF(AND('Month-End'!$AN$15&lt;&gt;"",NOT(_xlfn.ISFORMULA('Month-End'!$AN$15))),1,0)</f>
        <v/>
      </c>
      <c r="CA43">
        <f>IF(AND('Month-End'!$AN$16&lt;&gt;"",NOT(_xlfn.ISFORMULA('Month-End'!$AN$16))),1,0)</f>
        <v/>
      </c>
      <c r="CB43">
        <f>IF(AND('Month-End'!$AN$17&lt;&gt;"",NOT(_xlfn.ISFORMULA('Month-End'!$AN$17))),1,0)</f>
        <v/>
      </c>
      <c r="CC43">
        <f>IF(AND('Month-End'!$AN$18&lt;&gt;"",NOT(_xlfn.ISFORMULA('Month-End'!$AN$18))),1,0)</f>
        <v/>
      </c>
      <c r="CD43">
        <f>IF(AND('Month-End'!$AN$19&lt;&gt;"",NOT(_xlfn.ISFORMULA('Month-End'!$AN$19))),1,0)</f>
        <v/>
      </c>
      <c r="CE43">
        <f>IF(AND('Month-End'!$AN$20&lt;&gt;"",NOT(_xlfn.ISFORMULA('Month-End'!$AN$20))),1,0)</f>
        <v/>
      </c>
      <c r="CF43">
        <f>IF(AND('Month-End'!$AN$38&lt;&gt;"",NOT(_xlfn.ISFORMULA('Month-End'!$AN$38))),1,0)</f>
        <v/>
      </c>
      <c r="CG43">
        <f>IF(AND('Month-End'!$AN$39&lt;&gt;"",NOT(_xlfn.ISFORMULA('Month-End'!$AN$39))),1,0)</f>
        <v/>
      </c>
      <c r="CH43">
        <f>IF(AND('Month-End'!$AN$40&lt;&gt;"",NOT(_xlfn.ISFORMULA('Month-End'!$AN$40))),1,0)</f>
        <v/>
      </c>
      <c r="CI43">
        <f>IF(AND('Month-End'!$AN$41&lt;&gt;"",NOT(_xlfn.ISFORMULA('Month-End'!$AN$41))),1,0)</f>
        <v/>
      </c>
      <c r="CJ43">
        <f>IF(AND('Month-End'!$AN$42&lt;&gt;"",NOT(_xlfn.ISFORMULA('Month-End'!$AN$42))),1,0)</f>
        <v/>
      </c>
      <c r="CK43">
        <f>IF(AND('Month-End'!$AN$43&lt;&gt;"",NOT(_xlfn.ISFORMULA('Month-End'!$AN$43))),1,0)</f>
        <v/>
      </c>
      <c r="CL43">
        <f>SUM($CM43:$CZ43)</f>
        <v/>
      </c>
      <c r="CM43">
        <f>IF(AND($E43&lt;&gt;"pre",AND(Settings!$A$19&lt;&gt;"",Settings!$E$19&lt;&gt;"No"),Settings!$F$19="Yes",NOT(AND('Month-End'!$AN$7&lt;&gt;"",NOT(_xlfn.ISFORMULA('Month-End'!$AN$7))))),1,0)</f>
        <v/>
      </c>
      <c r="CN43">
        <f>IF(AND($E43&lt;&gt;"pre",AND(Settings!$A$20&lt;&gt;"",Settings!$E$20&lt;&gt;"No"),Settings!$F$20="Yes",NOT(AND('Month-End'!$AN$8&lt;&gt;"",NOT(_xlfn.ISFORMULA('Month-End'!$AN$8))))),1,0)</f>
        <v/>
      </c>
      <c r="CO43">
        <f>IF(AND($E43&lt;&gt;"pre",AND(Settings!$A$21&lt;&gt;"",Settings!$E$21&lt;&gt;"No"),Settings!$F$21="Yes",NOT(AND('Month-End'!$AN$9&lt;&gt;"",NOT(_xlfn.ISFORMULA('Month-End'!$AN$9))))),1,0)</f>
        <v/>
      </c>
      <c r="CP43">
        <f>IF(AND($E43&lt;&gt;"pre",AND(Settings!$A$22&lt;&gt;"",Settings!$E$22&lt;&gt;"No"),Settings!$F$22="Yes",NOT(AND('Month-End'!$AN$10&lt;&gt;"",NOT(_xlfn.ISFORMULA('Month-End'!$AN$10))))),1,0)</f>
        <v/>
      </c>
      <c r="CQ43">
        <f>IF(AND($E43&lt;&gt;"pre",AND(Settings!$A$23&lt;&gt;"",Settings!$E$23&lt;&gt;"No"),Settings!$F$23="Yes",NOT(AND('Month-End'!$AN$11&lt;&gt;"",NOT(_xlfn.ISFORMULA('Month-End'!$AN$11))))),1,0)</f>
        <v/>
      </c>
      <c r="CR43">
        <f>IF(AND($E43&lt;&gt;"pre",AND(Settings!$A$24&lt;&gt;"",Settings!$E$24&lt;&gt;"No"),Settings!$F$24="Yes",NOT(AND('Month-End'!$AN$12&lt;&gt;"",NOT(_xlfn.ISFORMULA('Month-End'!$AN$12))))),1,0)</f>
        <v/>
      </c>
      <c r="CS43">
        <f>IF(AND($E43&lt;&gt;"pre",AND(Settings!$A$25&lt;&gt;"",Settings!$E$25&lt;&gt;"No"),Settings!$F$25="Yes",NOT(AND('Month-End'!$AN$13&lt;&gt;"",NOT(_xlfn.ISFORMULA('Month-End'!$AN$13))))),1,0)</f>
        <v/>
      </c>
      <c r="CT43">
        <f>IF(AND($E43&lt;&gt;"pre",AND(Settings!$A$26&lt;&gt;"",Settings!$E$26&lt;&gt;"No"),Settings!$F$26="Yes",NOT(AND('Month-End'!$AN$14&lt;&gt;"",NOT(_xlfn.ISFORMULA('Month-End'!$AN$14))))),1,0)</f>
        <v/>
      </c>
      <c r="CU43">
        <f>IF(AND($E43&lt;&gt;"pre",AND(Settings!$A$27&lt;&gt;"",Settings!$E$27&lt;&gt;"No"),Settings!$F$27="Yes",NOT(AND('Month-End'!$AN$15&lt;&gt;"",NOT(_xlfn.ISFORMULA('Month-End'!$AN$15))))),1,0)</f>
        <v/>
      </c>
      <c r="CV43">
        <f>IF(AND($E43&lt;&gt;"pre",AND(Settings!$A$28&lt;&gt;"",Settings!$E$28&lt;&gt;"No"),Settings!$F$28="Yes",NOT(AND('Month-End'!$AN$16&lt;&gt;"",NOT(_xlfn.ISFORMULA('Month-End'!$AN$16))))),1,0)</f>
        <v/>
      </c>
      <c r="CW43">
        <f>IF(AND($E43&lt;&gt;"pre",AND(Settings!$A$29&lt;&gt;"",Settings!$E$29&lt;&gt;"No"),Settings!$F$29="Yes",NOT(AND('Month-End'!$AN$17&lt;&gt;"",NOT(_xlfn.ISFORMULA('Month-End'!$AN$17))))),1,0)</f>
        <v/>
      </c>
      <c r="CX43">
        <f>IF(AND($E43&lt;&gt;"pre",AND(Settings!$A$30&lt;&gt;"",Settings!$E$30&lt;&gt;"No"),Settings!$F$30="Yes",NOT(AND('Month-End'!$AN$18&lt;&gt;"",NOT(_xlfn.ISFORMULA('Month-End'!$AN$18))))),1,0)</f>
        <v/>
      </c>
      <c r="CY43">
        <f>IF(AND($E43&lt;&gt;"pre",AND(Settings!$A$31&lt;&gt;"",Settings!$E$31&lt;&gt;"No"),Settings!$F$31="Yes",NOT(AND('Month-End'!$AN$19&lt;&gt;"",NOT(_xlfn.ISFORMULA('Month-End'!$AN$19))))),1,0)</f>
        <v/>
      </c>
      <c r="CZ43">
        <f>IF(AND($E43&lt;&gt;"pre",AND(Settings!$A$32&lt;&gt;"",Settings!$E$32&lt;&gt;"No"),Settings!$F$32="Yes",NOT(AND('Month-End'!$AN$20&lt;&gt;"",NOT(_xlfn.ISFORMULA('Month-End'!$AN$20))))),1,0)</f>
        <v/>
      </c>
      <c r="DA43">
        <f>IF($DT43=1,IF(OR(Settings!$B$19="Checking",Settings!$B$19="Savings",Settings!$B$19="Cash"),N($AE43),IF(OR(Settings!$B$19="Card",Settings!$B$19="Loan"),-N($AE43),0))+IF(OR(Settings!$B$20="Checking",Settings!$B$20="Savings",Settings!$B$20="Cash"),N($AF43),IF(OR(Settings!$B$20="Card",Settings!$B$20="Loan"),-N($AF43),0))+IF(OR(Settings!$B$21="Checking",Settings!$B$21="Savings",Settings!$B$21="Cash"),N($AG43),IF(OR(Settings!$B$21="Card",Settings!$B$21="Loan"),-N($AG43),0))+IF(OR(Settings!$B$22="Checking",Settings!$B$22="Savings",Settings!$B$22="Cash"),N($AH43),IF(OR(Settings!$B$22="Card",Settings!$B$22="Loan"),-N($AH43),0))+IF(OR(Settings!$B$23="Checking",Settings!$B$23="Savings",Settings!$B$23="Cash"),N($AI43),IF(OR(Settings!$B$23="Card",Settings!$B$23="Loan"),-N($AI43),0))+IF(OR(Settings!$B$24="Checking",Settings!$B$24="Savings",Settings!$B$24="Cash"),N($AJ43),IF(OR(Settings!$B$24="Card",Settings!$B$24="Loan"),-N($AJ43),0))+IF(OR(Settings!$B$25="Checking",Settings!$B$25="Savings",Settings!$B$25="Cash"),N($AK43),IF(OR(Settings!$B$25="Card",Settings!$B$25="Loan"),-N($AK43),0))+IF(OR(Settings!$B$26="Checking",Settings!$B$26="Savings",Settings!$B$26="Cash"),N($AL43),IF(OR(Settings!$B$26="Card",Settings!$B$26="Loan"),-N($AL43),0))+IF(OR(Settings!$B$27="Checking",Settings!$B$27="Savings",Settings!$B$27="Cash"),N($AM43),IF(OR(Settings!$B$27="Card",Settings!$B$27="Loan"),-N($AM43),0))+IF(OR(Settings!$B$28="Checking",Settings!$B$28="Savings",Settings!$B$28="Cash"),N($AN43),IF(OR(Settings!$B$28="Card",Settings!$B$28="Loan"),-N($AN43),0))+IF(OR(Settings!$B$29="Checking",Settings!$B$29="Savings",Settings!$B$29="Cash"),N($AO43),IF(OR(Settings!$B$29="Card",Settings!$B$29="Loan"),-N($AO43),0))+IF(OR(Settings!$B$30="Checking",Settings!$B$30="Savings",Settings!$B$30="Cash"),N($AP43),IF(OR(Settings!$B$30="Card",Settings!$B$30="Loan"),-N($AP43),0))+IF(OR(Settings!$B$31="Checking",Settings!$B$31="Savings",Settings!$B$31="Cash"),N($AQ43),IF(OR(Settings!$B$31="Card",Settings!$B$31="Loan"),-N($AQ43),0))+IF(OR(Settings!$B$32="Checking",Settings!$B$32="Savings",Settings!$B$32="Cash"),N($AR43),IF(OR(Settings!$B$32="Card",Settings!$B$32="Loan"),-N($AR43),0)),"")</f>
        <v/>
      </c>
      <c r="DB43">
        <f>IF($E43="open",$EB$27,IF($E43="post",IF($E42="pre",$EB$27,$DA42),""))</f>
        <v/>
      </c>
      <c r="DC43">
        <f>IF($E43="open",1,IF($E43="post",IF($E42="pre",1,$DT42),0))</f>
        <v/>
      </c>
      <c r="DD43">
        <f>IF(AND($DT43=1,$DC43=1),ROUND($W43-($DA43-$DB43)-$AD43-$AB43,2),"")</f>
        <v/>
      </c>
      <c r="DE43">
        <f>IF('Month-End'!$AN$35="",$BQ43,N('Month-End'!$AN$35))</f>
        <v/>
      </c>
      <c r="DF43">
        <f>N('Month-End'!$AN$36)</f>
        <v/>
      </c>
      <c r="DG43">
        <f>IF($DD43="","",$DD43+$DE43)</f>
        <v/>
      </c>
      <c r="DH43">
        <f>IF($DG43="","",$DG43-$DF43)</f>
        <v/>
      </c>
      <c r="DI43">
        <f>IF(OR($E43="pre",$D43=1),"",N($AS43)+N($AT43)+N($AU43)+N($AV43)+N($AW43)+N($AX43))</f>
        <v/>
      </c>
      <c r="DJ43">
        <f>IF($DT43=1,$DA43+N($DI43),"")</f>
        <v/>
      </c>
      <c r="DK43">
        <f>IF($DD43="","",$W43-$DD43-$AB43)</f>
        <v/>
      </c>
      <c r="DL43">
        <f>IF(AND($E43="post",$DD43&lt;&gt;"",$B43&lt;TODAY()),1,0)</f>
        <v/>
      </c>
      <c r="DM43">
        <f>IF($DL43=1,COUNTIF($DL43:$DL$183,1),0)</f>
        <v/>
      </c>
      <c r="DN43">
        <f>IF($D43=1,"",IF($E43="pre","History only",IF($DT43=1,IF($DD43="","⚠ Previous month missing",IF($DD43&lt;0,"⚠ Check: spending &lt; 0",IF($E43="open","✓ Done (partial)","✓ Done"))),IF($B43&gt;=TODAY(),"In progress","⚠ Needs balances"))))</f>
        <v/>
      </c>
      <c r="DO43">
        <f>YEAR($A43)</f>
        <v/>
      </c>
      <c r="DP43">
        <f>DATE(YEAR($A43),INT((MONTH($A43)-1)/3)*3+1,1)</f>
        <v/>
      </c>
      <c r="DQ43">
        <f>IF(AND($DT43=1,$DD43&lt;&gt;"",$D43=0),ROW(),0)</f>
        <v/>
      </c>
      <c r="DR43">
        <f>IF(AND($E43&lt;&gt;"pre",$B43&lt;TODAY(),$DT43=0),1,0)</f>
        <v/>
      </c>
      <c r="DS43">
        <f>IF($DJ43="",NA(),$DJ43)</f>
        <v/>
      </c>
      <c r="DT43">
        <f>IF(AND($E43&lt;&gt;"pre",$CL43=0,COUNTIFS(Settings!$F$19:$F$32,"Yes",Settings!$A$19:$A$32,"&lt;&gt;",Settings!$E$19:$E$32,"&lt;&gt;No")&gt;0),1,0)</f>
        <v/>
      </c>
      <c r="DU43">
        <f>IF(AND($B43&lt;TODAY(),$S43&gt;0),1,0)</f>
        <v/>
      </c>
      <c r="DV43">
        <f>IF($DU43=1,COUNTIF($DU43:$DU$183,1),0)</f>
        <v/>
      </c>
      <c r="DW43">
        <f>IF(AND(OR(Settings!$B$19="Card",Settings!$B$19="Loan"),AND('Month-End'!$AN$7&lt;&gt;"",NOT(_xlfn.ISFORMULA('Month-End'!$AN$7)))),IF(N('Month-End'!$AN$7)&lt;0,1,0),0)+IF(AND(OR(Settings!$B$20="Card",Settings!$B$20="Loan"),AND('Month-End'!$AN$8&lt;&gt;"",NOT(_xlfn.ISFORMULA('Month-End'!$AN$8)))),IF(N('Month-End'!$AN$8)&lt;0,1,0),0)+IF(AND(OR(Settings!$B$21="Card",Settings!$B$21="Loan"),AND('Month-End'!$AN$9&lt;&gt;"",NOT(_xlfn.ISFORMULA('Month-End'!$AN$9)))),IF(N('Month-End'!$AN$9)&lt;0,1,0),0)+IF(AND(OR(Settings!$B$22="Card",Settings!$B$22="Loan"),AND('Month-End'!$AN$10&lt;&gt;"",NOT(_xlfn.ISFORMULA('Month-End'!$AN$10)))),IF(N('Month-End'!$AN$10)&lt;0,1,0),0)+IF(AND(OR(Settings!$B$23="Card",Settings!$B$23="Loan"),AND('Month-End'!$AN$11&lt;&gt;"",NOT(_xlfn.ISFORMULA('Month-End'!$AN$11)))),IF(N('Month-End'!$AN$11)&lt;0,1,0),0)+IF(AND(OR(Settings!$B$24="Card",Settings!$B$24="Loan"),AND('Month-End'!$AN$12&lt;&gt;"",NOT(_xlfn.ISFORMULA('Month-End'!$AN$12)))),IF(N('Month-End'!$AN$12)&lt;0,1,0),0)+IF(AND(OR(Settings!$B$25="Card",Settings!$B$25="Loan"),AND('Month-End'!$AN$13&lt;&gt;"",NOT(_xlfn.ISFORMULA('Month-End'!$AN$13)))),IF(N('Month-End'!$AN$13)&lt;0,1,0),0)+IF(AND(OR(Settings!$B$26="Card",Settings!$B$26="Loan"),AND('Month-End'!$AN$14&lt;&gt;"",NOT(_xlfn.ISFORMULA('Month-End'!$AN$14)))),IF(N('Month-End'!$AN$14)&lt;0,1,0),0)+IF(AND(OR(Settings!$B$27="Card",Settings!$B$27="Loan"),AND('Month-End'!$AN$15&lt;&gt;"",NOT(_xlfn.ISFORMULA('Month-End'!$AN$15)))),IF(N('Month-End'!$AN$15)&lt;0,1,0),0)+IF(AND(OR(Settings!$B$28="Card",Settings!$B$28="Loan"),AND('Month-End'!$AN$16&lt;&gt;"",NOT(_xlfn.ISFORMULA('Month-End'!$AN$16)))),IF(N('Month-End'!$AN$16)&lt;0,1,0),0)+IF(AND(OR(Settings!$B$29="Card",Settings!$B$29="Loan"),AND('Month-End'!$AN$17&lt;&gt;"",NOT(_xlfn.ISFORMULA('Month-End'!$AN$17)))),IF(N('Month-End'!$AN$17)&lt;0,1,0),0)+IF(AND(OR(Settings!$B$30="Card",Settings!$B$30="Loan"),AND('Month-End'!$AN$18&lt;&gt;"",NOT(_xlfn.ISFORMULA('Month-End'!$AN$18)))),IF(N('Month-End'!$AN$18)&lt;0,1,0),0)+IF(AND(OR(Settings!$B$31="Card",Settings!$B$31="Loan"),AND('Month-End'!$AN$19&lt;&gt;"",NOT(_xlfn.ISFORMULA('Month-End'!$AN$19)))),IF(N('Month-End'!$AN$19)&lt;0,1,0),0)+IF(AND(OR(Settings!$B$32="Card",Settings!$B$32="Loan"),AND('Month-End'!$AN$20&lt;&gt;"",NOT(_xlfn.ISFORMULA('Month-End'!$AN$20)))),IF(N('Month-End'!$AN$20)&lt;0,1,0),0)</f>
        <v/>
      </c>
      <c r="DX43">
        <f>IF(Settings!$B$36="Retirement",$AY43,0)+IF(Settings!$B$37="Retirement",$AZ43,0)+IF(Settings!$B$38="Retirement",$BA43,0)+IF(Settings!$B$39="Retirement",$BB43,0)+IF(Settings!$B$40="Retirement",$BC43,0)+IF(Settings!$B$41="Retirement",$BD43,0)</f>
        <v/>
      </c>
      <c r="EA43">
        <f>IF(Settings!$A$22="","",Settings!$A$22)</f>
        <v/>
      </c>
      <c r="EB43">
        <f>IF(Settings!$A$22="","",IF($EB$5=0,N(Settings!$C$22),N(INDEX($AH:$AH,$EB$5))))</f>
        <v/>
      </c>
      <c r="EC43">
        <f>""</f>
        <v/>
      </c>
      <c r="ED43">
        <f>IF(AND(AND(Settings!$A$22&lt;&gt;"",Settings!$E$22&lt;&gt;"No"),Settings!$B$22="Cash",Settings!$B$5&lt;EDATE(TODAY(),-6),COUNTIFS($BU$6:$BU$183,1,$A$6:$A$183,"&gt;="&amp;EDATE(TODAY(),-6))=0),1,0)</f>
        <v/>
      </c>
      <c r="EI43">
        <f>IF(AND(Settings!$A$22&lt;&gt;"",Settings!$E$22&lt;&gt;"No"),COUNTIFS($EK$40:$EK43,1),"")</f>
        <v/>
      </c>
      <c r="EJ43">
        <f>IF(Settings!$A$22="","",Settings!$B$22)</f>
        <v/>
      </c>
      <c r="EK43">
        <f>IF(AND(Settings!$A$22&lt;&gt;"",Settings!$E$22&lt;&gt;"No"),1,0)</f>
        <v/>
      </c>
      <c r="EL43">
        <f>IF(Settings!$A$22="","",IF(OR(Settings!$B$22="Card",Settings!$B$22="Loan"),-N(EB43),N(EB43)))</f>
        <v/>
      </c>
      <c r="EM43">
        <f>IF(Settings!$A$22="","",IF(Settings!$D$22="Yes","estimate",""))</f>
        <v/>
      </c>
      <c r="ET43">
        <f>IF($E43&lt;&gt;"open",0,IF(AND('Month-End'!$AN$22&lt;&gt;"",NOT(_xlfn.ISFORMULA('Month-End'!$AN$22))),0,IF(OR(Settings!$C$45="",Settings!$D$45=""),0,Settings!$C$45*IF(Settings!$D$45="Weekly",IF(IFERROR(MATCH(Settings!$E$45,$EO$4:$EO$10,0),0)=0,0,IF(MIN(Settings!$B$5,IF(Settings!$G$45="",Settings!$B$5,Settings!$G$45))&lt;MAX($A43,Settings!$F$45),0,INT((MIN(Settings!$B$5,IF(Settings!$G$45="",Settings!$B$5,Settings!$G$45))-MAX($A43,Settings!$F$45)-MOD(IFERROR(MATCH(Settings!$E$45,$EO$4:$EO$10,0),0)-WEEKDAY(MAX($A43,Settings!$F$45)),7))/7)+1)),IF(AND(IF(Settings!$E$45="",$B43,DATE(YEAR($A43),MONTH($A43),MIN(Settings!$E$45,DAY($B43))))&gt;=MAX($A43,Settings!$F$45),IF(Settings!$E$45="",$B43,DATE(YEAR($A43),MONTH($A43),MIN(Settings!$E$45,DAY($B43))))&lt;=MIN(Settings!$B$5,IF(Settings!$G$45="",Settings!$B$5,Settings!$G$45))),1,0)))))</f>
        <v/>
      </c>
      <c r="EU43">
        <f>IF($E43&lt;&gt;"open",0,IF(AND('Month-End'!$AN$23&lt;&gt;"",NOT(_xlfn.ISFORMULA('Month-End'!$AN$23))),0,IF(OR(Settings!$C$46="",Settings!$D$46=""),0,Settings!$C$46*IF(Settings!$D$46="Weekly",IF(IFERROR(MATCH(Settings!$E$46,$EO$4:$EO$10,0),0)=0,0,IF(MIN(Settings!$B$5,IF(Settings!$G$46="",Settings!$B$5,Settings!$G$46))&lt;MAX($A43,Settings!$F$46),0,INT((MIN(Settings!$B$5,IF(Settings!$G$46="",Settings!$B$5,Settings!$G$46))-MAX($A43,Settings!$F$46)-MOD(IFERROR(MATCH(Settings!$E$46,$EO$4:$EO$10,0),0)-WEEKDAY(MAX($A43,Settings!$F$46)),7))/7)+1)),IF(AND(IF(Settings!$E$46="",$B43,DATE(YEAR($A43),MONTH($A43),MIN(Settings!$E$46,DAY($B43))))&gt;=MAX($A43,Settings!$F$46),IF(Settings!$E$46="",$B43,DATE(YEAR($A43),MONTH($A43),MIN(Settings!$E$46,DAY($B43))))&lt;=MIN(Settings!$B$5,IF(Settings!$G$46="",Settings!$B$5,Settings!$G$46))),1,0)))))</f>
        <v/>
      </c>
      <c r="EV43">
        <f>IF($E43&lt;&gt;"open",0,IF(AND('Month-End'!$AN$24&lt;&gt;"",NOT(_xlfn.ISFORMULA('Month-End'!$AN$24))),0,IF(OR(Settings!$C$47="",Settings!$D$47=""),0,Settings!$C$47*IF(Settings!$D$47="Weekly",IF(IFERROR(MATCH(Settings!$E$47,$EO$4:$EO$10,0),0)=0,0,IF(MIN(Settings!$B$5,IF(Settings!$G$47="",Settings!$B$5,Settings!$G$47))&lt;MAX($A43,Settings!$F$47),0,INT((MIN(Settings!$B$5,IF(Settings!$G$47="",Settings!$B$5,Settings!$G$47))-MAX($A43,Settings!$F$47)-MOD(IFERROR(MATCH(Settings!$E$47,$EO$4:$EO$10,0),0)-WEEKDAY(MAX($A43,Settings!$F$47)),7))/7)+1)),IF(AND(IF(Settings!$E$47="",$B43,DATE(YEAR($A43),MONTH($A43),MIN(Settings!$E$47,DAY($B43))))&gt;=MAX($A43,Settings!$F$47),IF(Settings!$E$47="",$B43,DATE(YEAR($A43),MONTH($A43),MIN(Settings!$E$47,DAY($B43))))&lt;=MIN(Settings!$B$5,IF(Settings!$G$47="",Settings!$B$5,Settings!$G$47))),1,0)))))</f>
        <v/>
      </c>
      <c r="EW43">
        <f>IF($E43&lt;&gt;"open",0,IF(AND('Month-End'!$AN$25&lt;&gt;"",NOT(_xlfn.ISFORMULA('Month-End'!$AN$25))),0,IF(OR(Settings!$C$48="",Settings!$D$48=""),0,Settings!$C$48*IF(Settings!$D$48="Weekly",IF(IFERROR(MATCH(Settings!$E$48,$EO$4:$EO$10,0),0)=0,0,IF(MIN(Settings!$B$5,IF(Settings!$G$48="",Settings!$B$5,Settings!$G$48))&lt;MAX($A43,Settings!$F$48),0,INT((MIN(Settings!$B$5,IF(Settings!$G$48="",Settings!$B$5,Settings!$G$48))-MAX($A43,Settings!$F$48)-MOD(IFERROR(MATCH(Settings!$E$48,$EO$4:$EO$10,0),0)-WEEKDAY(MAX($A43,Settings!$F$48)),7))/7)+1)),IF(AND(IF(Settings!$E$48="",$B43,DATE(YEAR($A43),MONTH($A43),MIN(Settings!$E$48,DAY($B43))))&gt;=MAX($A43,Settings!$F$48),IF(Settings!$E$48="",$B43,DATE(YEAR($A43),MONTH($A43),MIN(Settings!$E$48,DAY($B43))))&lt;=MIN(Settings!$B$5,IF(Settings!$G$48="",Settings!$B$5,Settings!$G$48))),1,0)))))</f>
        <v/>
      </c>
      <c r="EX43">
        <f>IF($E43&lt;&gt;"open",0,IF(AND('Month-End'!$AN$26&lt;&gt;"",NOT(_xlfn.ISFORMULA('Month-End'!$AN$26))),0,IF(OR(Settings!$C$49="",Settings!$D$49=""),0,Settings!$C$49*IF(Settings!$D$49="Weekly",IF(IFERROR(MATCH(Settings!$E$49,$EO$4:$EO$10,0),0)=0,0,IF(MIN(Settings!$B$5,IF(Settings!$G$49="",Settings!$B$5,Settings!$G$49))&lt;MAX($A43,Settings!$F$49),0,INT((MIN(Settings!$B$5,IF(Settings!$G$49="",Settings!$B$5,Settings!$G$49))-MAX($A43,Settings!$F$49)-MOD(IFERROR(MATCH(Settings!$E$49,$EO$4:$EO$10,0),0)-WEEKDAY(MAX($A43,Settings!$F$49)),7))/7)+1)),IF(AND(IF(Settings!$E$49="",$B43,DATE(YEAR($A43),MONTH($A43),MIN(Settings!$E$49,DAY($B43))))&gt;=MAX($A43,Settings!$F$49),IF(Settings!$E$49="",$B43,DATE(YEAR($A43),MONTH($A43),MIN(Settings!$E$49,DAY($B43))))&lt;=MIN(Settings!$B$5,IF(Settings!$G$49="",Settings!$B$5,Settings!$G$49))),1,0)))))</f>
        <v/>
      </c>
      <c r="EY43">
        <f>IF($E43&lt;&gt;"open",0,IF(AND('Month-End'!$AN$27&lt;&gt;"",NOT(_xlfn.ISFORMULA('Month-End'!$AN$27))),0,IF(OR(Settings!$C$50="",Settings!$D$50=""),0,Settings!$C$50*IF(Settings!$D$50="Weekly",IF(IFERROR(MATCH(Settings!$E$50,$EO$4:$EO$10,0),0)=0,0,IF(MIN(Settings!$B$5,IF(Settings!$G$50="",Settings!$B$5,Settings!$G$50))&lt;MAX($A43,Settings!$F$50),0,INT((MIN(Settings!$B$5,IF(Settings!$G$50="",Settings!$B$5,Settings!$G$50))-MAX($A43,Settings!$F$50)-MOD(IFERROR(MATCH(Settings!$E$50,$EO$4:$EO$10,0),0)-WEEKDAY(MAX($A43,Settings!$F$50)),7))/7)+1)),IF(AND(IF(Settings!$E$50="",$B43,DATE(YEAR($A43),MONTH($A43),MIN(Settings!$E$50,DAY($B43))))&gt;=MAX($A43,Settings!$F$50),IF(Settings!$E$50="",$B43,DATE(YEAR($A43),MONTH($A43),MIN(Settings!$E$50,DAY($B43))))&lt;=MIN(Settings!$B$5,IF(Settings!$G$50="",Settings!$B$5,Settings!$G$50))),1,0)))))</f>
        <v/>
      </c>
      <c r="EZ43">
        <f>IF($E43&lt;&gt;"open",0,IF(AND('Month-End'!$AN$28&lt;&gt;"",NOT(_xlfn.ISFORMULA('Month-End'!$AN$28))),0,IF(OR(Settings!$C$51="",Settings!$D$51=""),0,Settings!$C$51*IF(Settings!$D$51="Weekly",IF(IFERROR(MATCH(Settings!$E$51,$EO$4:$EO$10,0),0)=0,0,IF(MIN(Settings!$B$5,IF(Settings!$G$51="",Settings!$B$5,Settings!$G$51))&lt;MAX($A43,Settings!$F$51),0,INT((MIN(Settings!$B$5,IF(Settings!$G$51="",Settings!$B$5,Settings!$G$51))-MAX($A43,Settings!$F$51)-MOD(IFERROR(MATCH(Settings!$E$51,$EO$4:$EO$10,0),0)-WEEKDAY(MAX($A43,Settings!$F$51)),7))/7)+1)),IF(AND(IF(Settings!$E$51="",$B43,DATE(YEAR($A43),MONTH($A43),MIN(Settings!$E$51,DAY($B43))))&gt;=MAX($A43,Settings!$F$51),IF(Settings!$E$51="",$B43,DATE(YEAR($A43),MONTH($A43),MIN(Settings!$E$51,DAY($B43))))&lt;=MIN(Settings!$B$5,IF(Settings!$G$51="",Settings!$B$5,Settings!$G$51))),1,0)))))</f>
        <v/>
      </c>
      <c r="FA43">
        <f>IF($E43&lt;&gt;"open",0,IF(AND('Month-End'!$AN$29&lt;&gt;"",NOT(_xlfn.ISFORMULA('Month-End'!$AN$29))),0,IF(OR(Settings!$C$52="",Settings!$D$52=""),0,Settings!$C$52*IF(Settings!$D$52="Weekly",IF(IFERROR(MATCH(Settings!$E$52,$EO$4:$EO$10,0),0)=0,0,IF(MIN(Settings!$B$5,IF(Settings!$G$52="",Settings!$B$5,Settings!$G$52))&lt;MAX($A43,Settings!$F$52),0,INT((MIN(Settings!$B$5,IF(Settings!$G$52="",Settings!$B$5,Settings!$G$52))-MAX($A43,Settings!$F$52)-MOD(IFERROR(MATCH(Settings!$E$52,$EO$4:$EO$10,0),0)-WEEKDAY(MAX($A43,Settings!$F$52)),7))/7)+1)),IF(AND(IF(Settings!$E$52="",$B43,DATE(YEAR($A43),MONTH($A43),MIN(Settings!$E$52,DAY($B43))))&gt;=MAX($A43,Settings!$F$52),IF(Settings!$E$52="",$B43,DATE(YEAR($A43),MONTH($A43),MIN(Settings!$E$52,DAY($B43))))&lt;=MIN(Settings!$B$5,IF(Settings!$G$52="",Settings!$B$5,Settings!$G$52))),1,0)))))</f>
        <v/>
      </c>
      <c r="FB43">
        <f>IF($E43&lt;&gt;"open",0,IF(AND('Month-End'!$AN$30&lt;&gt;"",NOT(_xlfn.ISFORMULA('Month-End'!$AN$30))),0,IF(OR(Settings!$C$53="",Settings!$D$53=""),0,Settings!$C$53*IF(Settings!$D$53="Weekly",IF(IFERROR(MATCH(Settings!$E$53,$EO$4:$EO$10,0),0)=0,0,IF(MIN(Settings!$B$5,IF(Settings!$G$53="",Settings!$B$5,Settings!$G$53))&lt;MAX($A43,Settings!$F$53),0,INT((MIN(Settings!$B$5,IF(Settings!$G$53="",Settings!$B$5,Settings!$G$53))-MAX($A43,Settings!$F$53)-MOD(IFERROR(MATCH(Settings!$E$53,$EO$4:$EO$10,0),0)-WEEKDAY(MAX($A43,Settings!$F$53)),7))/7)+1)),IF(AND(IF(Settings!$E$53="",$B43,DATE(YEAR($A43),MONTH($A43),MIN(Settings!$E$53,DAY($B43))))&gt;=MAX($A43,Settings!$F$53),IF(Settings!$E$53="",$B43,DATE(YEAR($A43),MONTH($A43),MIN(Settings!$E$53,DAY($B43))))&lt;=MIN(Settings!$B$5,IF(Settings!$G$53="",Settings!$B$5,Settings!$G$53))),1,0)))))</f>
        <v/>
      </c>
      <c r="FC43">
        <f>IF($E43&lt;&gt;"open",0,IF(AND('Month-End'!$AN$31&lt;&gt;"",NOT(_xlfn.ISFORMULA('Month-End'!$AN$31))),0,IF(OR(Settings!$C$54="",Settings!$D$54=""),0,Settings!$C$54*IF(Settings!$D$54="Weekly",IF(IFERROR(MATCH(Settings!$E$54,$EO$4:$EO$10,0),0)=0,0,IF(MIN(Settings!$B$5,IF(Settings!$G$54="",Settings!$B$5,Settings!$G$54))&lt;MAX($A43,Settings!$F$54),0,INT((MIN(Settings!$B$5,IF(Settings!$G$54="",Settings!$B$5,Settings!$G$54))-MAX($A43,Settings!$F$54)-MOD(IFERROR(MATCH(Settings!$E$54,$EO$4:$EO$10,0),0)-WEEKDAY(MAX($A43,Settings!$F$54)),7))/7)+1)),IF(AND(IF(Settings!$E$54="",$B43,DATE(YEAR($A43),MONTH($A43),MIN(Settings!$E$54,DAY($B43))))&gt;=MAX($A43,Settings!$F$54),IF(Settings!$E$54="",$B43,DATE(YEAR($A43),MONTH($A43),MIN(Settings!$E$54,DAY($B43))))&lt;=MIN(Settings!$B$5,IF(Settings!$G$54="",Settings!$B$5,Settings!$G$54))),1,0)))))</f>
        <v/>
      </c>
      <c r="FD43">
        <f>IF($E43&lt;&gt;"open",0,IF(AND('Month-End'!$AN$32&lt;&gt;"",NOT(_xlfn.ISFORMULA('Month-End'!$AN$32))),0,IF(OR(Settings!$C$55="",Settings!$D$55=""),0,Settings!$C$55*IF(Settings!$D$55="Weekly",IF(IFERROR(MATCH(Settings!$E$55,$EO$4:$EO$10,0),0)=0,0,IF(MIN(Settings!$B$5,IF(Settings!$G$55="",Settings!$B$5,Settings!$G$55))&lt;MAX($A43,Settings!$F$55),0,INT((MIN(Settings!$B$5,IF(Settings!$G$55="",Settings!$B$5,Settings!$G$55))-MAX($A43,Settings!$F$55)-MOD(IFERROR(MATCH(Settings!$E$55,$EO$4:$EO$10,0),0)-WEEKDAY(MAX($A43,Settings!$F$55)),7))/7)+1)),IF(AND(IF(Settings!$E$55="",$B43,DATE(YEAR($A43),MONTH($A43),MIN(Settings!$E$55,DAY($B43))))&gt;=MAX($A43,Settings!$F$55),IF(Settings!$E$55="",$B43,DATE(YEAR($A43),MONTH($A43),MIN(Settings!$E$55,DAY($B43))))&lt;=MIN(Settings!$B$5,IF(Settings!$G$55="",Settings!$B$5,Settings!$G$55))),1,0)))))</f>
        <v/>
      </c>
      <c r="FE43">
        <f>IF($E43&lt;&gt;"open",0,IF(AND('Month-End'!$AN$33&lt;&gt;"",NOT(_xlfn.ISFORMULA('Month-End'!$AN$33))),0,IF(OR(Settings!$C$56="",Settings!$D$56=""),0,Settings!$C$56*IF(Settings!$D$56="Weekly",IF(IFERROR(MATCH(Settings!$E$56,$EO$4:$EO$10,0),0)=0,0,IF(MIN(Settings!$B$5,IF(Settings!$G$56="",Settings!$B$5,Settings!$G$56))&lt;MAX($A43,Settings!$F$56),0,INT((MIN(Settings!$B$5,IF(Settings!$G$56="",Settings!$B$5,Settings!$G$56))-MAX($A43,Settings!$F$56)-MOD(IFERROR(MATCH(Settings!$E$56,$EO$4:$EO$10,0),0)-WEEKDAY(MAX($A43,Settings!$F$56)),7))/7)+1)),IF(AND(IF(Settings!$E$56="",$B43,DATE(YEAR($A43),MONTH($A43),MIN(Settings!$E$56,DAY($B43))))&gt;=MAX($A43,Settings!$F$56),IF(Settings!$E$56="",$B43,DATE(YEAR($A43),MONTH($A43),MIN(Settings!$E$56,DAY($B43))))&lt;=MIN(Settings!$B$5,IF(Settings!$G$56="",Settings!$B$5,Settings!$G$56))),1,0)))))</f>
        <v/>
      </c>
      <c r="FF43">
        <f>IF(Settings!$I$45="Yes",$G43,0)+IF(Settings!$I$46="Yes",$H43,0)+IF(Settings!$I$47="Yes",$I43,0)+IF(Settings!$I$48="Yes",$J43,0)+IF(Settings!$I$49="Yes",$K43,0)+IF(Settings!$I$50="Yes",$L43,0)+IF(Settings!$I$51="Yes",$M43,0)+IF(Settings!$I$52="Yes",$N43,0)+IF(Settings!$I$53="Yes",$O43,0)+IF(Settings!$I$54="Yes",$P43,0)+IF(Settings!$I$55="Yes",$Q43,0)+IF(Settings!$I$56="Yes",$R43,0)</f>
        <v/>
      </c>
      <c r="FG43">
        <f>IF(AND(Settings!$I$45="Yes",Settings!$J$45="No"),$G43,0)+IF(AND(Settings!$I$46="Yes",Settings!$J$46="No"),$H43,0)+IF(AND(Settings!$I$47="Yes",Settings!$J$47="No"),$I43,0)+IF(AND(Settings!$I$48="Yes",Settings!$J$48="No"),$J43,0)+IF(AND(Settings!$I$49="Yes",Settings!$J$49="No"),$K43,0)+IF(AND(Settings!$I$50="Yes",Settings!$J$50="No"),$L43,0)+IF(AND(Settings!$I$51="Yes",Settings!$J$51="No"),$M43,0)+IF(AND(Settings!$I$52="Yes",Settings!$J$52="No"),$N43,0)+IF(AND(Settings!$I$53="Yes",Settings!$J$53="No"),$O43,0)+IF(AND(Settings!$I$54="Yes",Settings!$J$54="No"),$P43,0)+IF(AND(Settings!$I$55="Yes",Settings!$J$55="No"),$Q43,0)+IF(AND(Settings!$I$56="Yes",Settings!$J$56="No"),$R43,0)</f>
        <v/>
      </c>
      <c r="FH43">
        <f>SUMIFS(Giving!$B$7:$B$2006,Giving!$A$7:$A$2006,"&gt;="&amp;$A43,Giving!$A$7:$A$2006,"&lt;="&amp;$B43,Giving!$G$7:$G$2006,"Yes")+IF(OR(OR(Settings!$B$60="",Settings!$F$60="No"),Settings!$H$60&lt;&gt;"Yes"),0,Settings!$B$60*IF(AND(IF(Settings!$C$60="",$B43,DATE(YEAR($A43),MONTH($A43),MIN(Settings!$C$60,DAY($B43))))&gt;=MAX($A43,Settings!$D$60),IF(Settings!$C$60="",$B43,DATE(YEAR($A43),MONTH($A43),MIN(Settings!$C$60,DAY($B43))))&lt;=MIN($C43,IF(Settings!$E$60="",$C43,Settings!$E$60))),1,0))+IF(OR(OR(Settings!$B$61="",Settings!$F$61="No"),Settings!$H$61&lt;&gt;"Yes"),0,Settings!$B$61*IF(AND(IF(Settings!$C$61="",$B43,DATE(YEAR($A43),MONTH($A43),MIN(Settings!$C$61,DAY($B43))))&gt;=MAX($A43,Settings!$D$61),IF(Settings!$C$61="",$B43,DATE(YEAR($A43),MONTH($A43),MIN(Settings!$C$61,DAY($B43))))&lt;=MIN($C43,IF(Settings!$E$61="",$C43,Settings!$E$61))),1,0))+IF(OR(OR(Settings!$B$62="",Settings!$F$62="No"),Settings!$H$62&lt;&gt;"Yes"),0,Settings!$B$62*IF(AND(IF(Settings!$C$62="",$B43,DATE(YEAR($A43),MONTH($A43),MIN(Settings!$C$62,DAY($B43))))&gt;=MAX($A43,Settings!$D$62),IF(Settings!$C$62="",$B43,DATE(YEAR($A43),MONTH($A43),MIN(Settings!$C$62,DAY($B43))))&lt;=MIN($C43,IF(Settings!$E$62="",$C43,Settings!$E$62))),1,0))+IF(OR(OR(Settings!$B$63="",Settings!$F$63="No"),Settings!$H$63&lt;&gt;"Yes"),0,Settings!$B$63*IF(AND(IF(Settings!$C$63="",$B43,DATE(YEAR($A43),MONTH($A43),MIN(Settings!$C$63,DAY($B43))))&gt;=MAX($A43,Settings!$D$63),IF(Settings!$C$63="",$B43,DATE(YEAR($A43),MONTH($A43),MIN(Settings!$C$63,DAY($B43))))&lt;=MIN($C43,IF(Settings!$E$63="",$C43,Settings!$E$63))),1,0))+IF(OR(OR(Settings!$B$64="",Settings!$F$64="No"),Settings!$H$64&lt;&gt;"Yes"),0,Settings!$B$64*IF(AND(IF(Settings!$C$64="",$B43,DATE(YEAR($A43),MONTH($A43),MIN(Settings!$C$64,DAY($B43))))&gt;=MAX($A43,Settings!$D$64),IF(Settings!$C$64="",$B43,DATE(YEAR($A43),MONTH($A43),MIN(Settings!$C$64,DAY($B43))))&lt;=MIN($C43,IF(Settings!$E$64="",$C43,Settings!$E$64))),1,0))+IF(OR(OR(Settings!$B$65="",Settings!$F$65="No"),Settings!$H$65&lt;&gt;"Yes"),0,Settings!$B$65*IF(AND(IF(Settings!$C$65="",$B43,DATE(YEAR($A43),MONTH($A43),MIN(Settings!$C$65,DAY($B43))))&gt;=MAX($A43,Settings!$D$65),IF(Settings!$C$65="",$B43,DATE(YEAR($A43),MONTH($A43),MIN(Settings!$C$65,DAY($B43))))&lt;=MIN($C43,IF(Settings!$E$65="",$C43,Settings!$E$65))),1,0))</f>
        <v/>
      </c>
      <c r="FI43">
        <f>IF($DT43=1,IF(OR(Settings!$B$19="Card",Settings!$B$19="Loan"),N($AE43),0)+IF(OR(Settings!$B$20="Card",Settings!$B$20="Loan"),N($AF43),0)+IF(OR(Settings!$B$21="Card",Settings!$B$21="Loan"),N($AG43),0)+IF(OR(Settings!$B$22="Card",Settings!$B$22="Loan"),N($AH43),0)+IF(OR(Settings!$B$23="Card",Settings!$B$23="Loan"),N($AI43),0)+IF(OR(Settings!$B$24="Card",Settings!$B$24="Loan"),N($AJ43),0)+IF(OR(Settings!$B$25="Card",Settings!$B$25="Loan"),N($AK43),0)+IF(OR(Settings!$B$26="Card",Settings!$B$26="Loan"),N($AL43),0)+IF(OR(Settings!$B$27="Card",Settings!$B$27="Loan"),N($AM43),0)+IF(OR(Settings!$B$28="Card",Settings!$B$28="Loan"),N($AN43),0)+IF(OR(Settings!$B$29="Card",Settings!$B$29="Loan"),N($AO43),0)+IF(OR(Settings!$B$30="Card",Settings!$B$30="Loan"),N($AP43),0)+IF(OR(Settings!$B$31="Card",Settings!$B$31="Loan"),N($AQ43),0)+IF(OR(Settings!$B$32="Card",Settings!$B$32="Loan"),N($AR43),0),"")</f>
        <v/>
      </c>
      <c r="FJ43">
        <f>IF($E43="open",$EB$65,IF($E43="post",IF($E42="pre",$EB$65,$FI42),""))</f>
        <v/>
      </c>
      <c r="FK43">
        <f>IF(AND($DT43=1,$DC43=1),IF(ROUND($FI43-$FJ43,2)&gt;0,1,0),0)</f>
        <v/>
      </c>
      <c r="FL43">
        <f>IF($FK43=1,$FL42+1,0)</f>
        <v/>
      </c>
    </row>
    <row r="44">
      <c r="A44">
        <f>'Month-End'!$AO$4</f>
        <v/>
      </c>
      <c r="B44">
        <f>EOMONTH($A44,0)</f>
        <v/>
      </c>
      <c r="C44">
        <f>MIN($B44,TODAY())</f>
        <v/>
      </c>
      <c r="D44">
        <f>IF($A44&gt;TODAY(),1,0)</f>
        <v/>
      </c>
      <c r="E44">
        <f>IF($B44&lt;=Settings!$B$5,"pre",IF($A44&lt;=Settings!$B$5,"open","post"))</f>
        <v/>
      </c>
      <c r="G44">
        <f>IF('Month-End'!$AO$22="",$BE44,N('Month-End'!$AO$22))</f>
        <v/>
      </c>
      <c r="H44">
        <f>IF('Month-End'!$AO$23="",$BF44,N('Month-End'!$AO$23))</f>
        <v/>
      </c>
      <c r="I44">
        <f>IF('Month-End'!$AO$24="",$BG44,N('Month-End'!$AO$24))</f>
        <v/>
      </c>
      <c r="J44">
        <f>IF('Month-End'!$AO$25="",$BH44,N('Month-End'!$AO$25))</f>
        <v/>
      </c>
      <c r="K44">
        <f>IF('Month-End'!$AO$26="",$BI44,N('Month-End'!$AO$26))</f>
        <v/>
      </c>
      <c r="L44">
        <f>IF('Month-End'!$AO$27="",$BJ44,N('Month-End'!$AO$27))</f>
        <v/>
      </c>
      <c r="M44">
        <f>IF('Month-End'!$AO$28="",$BK44,N('Month-End'!$AO$28))</f>
        <v/>
      </c>
      <c r="N44">
        <f>IF('Month-End'!$AO$29="",$BL44,N('Month-End'!$AO$29))</f>
        <v/>
      </c>
      <c r="O44">
        <f>IF('Month-End'!$AO$30="",$BM44,N('Month-End'!$AO$30))</f>
        <v/>
      </c>
      <c r="P44">
        <f>IF('Month-End'!$AO$31="",$BN44,N('Month-End'!$AO$31))</f>
        <v/>
      </c>
      <c r="Q44">
        <f>IF('Month-End'!$AO$32="",$BO44,N('Month-End'!$AO$32))</f>
        <v/>
      </c>
      <c r="R44">
        <f>IF('Month-End'!$AO$33="",$BP44,N('Month-End'!$AO$33))</f>
        <v/>
      </c>
      <c r="S44">
        <f>$G44+$H44+$I44+$J44+$K44+$L44+$M44+$N44+$O44+$P44+$Q44+$R44</f>
        <v/>
      </c>
      <c r="T44">
        <f>IF($B44&lt;Settings!$B$6,0,IF(Settings!$B$45="Yes",$G44,0)+IF(Settings!$B$46="Yes",$H44,0)+IF(Settings!$B$47="Yes",$I44,0)+IF(Settings!$B$48="Yes",$J44,0)+IF(Settings!$B$49="Yes",$K44,0)+IF(Settings!$B$50="Yes",$L44,0)+IF(Settings!$B$51="Yes",$M44,0)+IF(Settings!$B$52="Yes",$N44,0)+IF(Settings!$B$53="Yes",$O44,0)+IF(Settings!$B$54="Yes",$P44,0)+IF(Settings!$B$55="Yes",$Q44,0)+IF(Settings!$B$56="Yes",$R44,0))</f>
        <v/>
      </c>
      <c r="U44">
        <f>IF(Settings!$B$45="Not Sure",$G44,0)+IF(Settings!$B$46="Not Sure",$H44,0)+IF(Settings!$B$47="Not Sure",$I44,0)+IF(Settings!$B$48="Not Sure",$J44,0)+IF(Settings!$B$49="Not Sure",$K44,0)+IF(Settings!$B$50="Not Sure",$L44,0)+IF(Settings!$B$51="Not Sure",$M44,0)+IF(Settings!$B$52="Not Sure",$N44,0)+IF(Settings!$B$53="Not Sure",$O44,0)+IF(Settings!$B$54="Not Sure",$P44,0)+IF(Settings!$B$55="Not Sure",$Q44,0)+IF(Settings!$B$56="Not Sure",$R44,0)</f>
        <v/>
      </c>
      <c r="V44">
        <f>IF($E44="open",SUM($ET44:$FE44)+N(Settings!$B$13),0)</f>
        <v/>
      </c>
      <c r="W44">
        <f>IF($E44="post",$S44,IF($E44="open",$S44-$V44,0))</f>
        <v/>
      </c>
      <c r="X44">
        <f>SUMIFS(Giving!$B$7:$B$2006,Giving!$A$7:$A$2006,"&gt;="&amp;$A44,Giving!$A$7:$A$2006,"&lt;="&amp;$B44,Giving!$E$7:$E$2006,"&lt;&gt;No")</f>
        <v/>
      </c>
      <c r="Y44">
        <f>SUMIFS(Giving!$B$7:$B$2006,Giving!$A$7:$A$2006,"&gt;="&amp;$A44,Giving!$A$7:$A$2006,"&lt;="&amp;$B44,Giving!$E$7:$E$2006,"No")</f>
        <v/>
      </c>
      <c r="Z44">
        <f>IF(OR(Settings!$B$60="",Settings!$F$60="No"),0,Settings!$B$60*IF(AND(IF(Settings!$C$60="",$B44,DATE(YEAR($A44),MONTH($A44),MIN(Settings!$C$60,DAY($B44))))&gt;=MAX($A44,Settings!$D$60),IF(Settings!$C$60="",$B44,DATE(YEAR($A44),MONTH($A44),MIN(Settings!$C$60,DAY($B44))))&lt;=MIN($C44,IF(Settings!$E$60="",$C44,Settings!$E$60))),1,0))+IF(OR(Settings!$B$61="",Settings!$F$61="No"),0,Settings!$B$61*IF(AND(IF(Settings!$C$61="",$B44,DATE(YEAR($A44),MONTH($A44),MIN(Settings!$C$61,DAY($B44))))&gt;=MAX($A44,Settings!$D$61),IF(Settings!$C$61="",$B44,DATE(YEAR($A44),MONTH($A44),MIN(Settings!$C$61,DAY($B44))))&lt;=MIN($C44,IF(Settings!$E$61="",$C44,Settings!$E$61))),1,0))+IF(OR(Settings!$B$62="",Settings!$F$62="No"),0,Settings!$B$62*IF(AND(IF(Settings!$C$62="",$B44,DATE(YEAR($A44),MONTH($A44),MIN(Settings!$C$62,DAY($B44))))&gt;=MAX($A44,Settings!$D$62),IF(Settings!$C$62="",$B44,DATE(YEAR($A44),MONTH($A44),MIN(Settings!$C$62,DAY($B44))))&lt;=MIN($C44,IF(Settings!$E$62="",$C44,Settings!$E$62))),1,0))+IF(OR(Settings!$B$63="",Settings!$F$63="No"),0,Settings!$B$63*IF(AND(IF(Settings!$C$63="",$B44,DATE(YEAR($A44),MONTH($A44),MIN(Settings!$C$63,DAY($B44))))&gt;=MAX($A44,Settings!$D$63),IF(Settings!$C$63="",$B44,DATE(YEAR($A44),MONTH($A44),MIN(Settings!$C$63,DAY($B44))))&lt;=MIN($C44,IF(Settings!$E$63="",$C44,Settings!$E$63))),1,0))+IF(OR(Settings!$B$64="",Settings!$F$64="No"),0,Settings!$B$64*IF(AND(IF(Settings!$C$64="",$B44,DATE(YEAR($A44),MONTH($A44),MIN(Settings!$C$64,DAY($B44))))&gt;=MAX($A44,Settings!$D$64),IF(Settings!$C$64="",$B44,DATE(YEAR($A44),MONTH($A44),MIN(Settings!$C$64,DAY($B44))))&lt;=MIN($C44,IF(Settings!$E$64="",$C44,Settings!$E$64))),1,0))+IF(OR(Settings!$B$65="",Settings!$F$65="No"),0,Settings!$B$65*IF(AND(IF(Settings!$C$65="",$B44,DATE(YEAR($A44),MONTH($A44),MIN(Settings!$C$65,DAY($B44))))&gt;=MAX($A44,Settings!$D$65),IF(Settings!$C$65="",$B44,DATE(YEAR($A44),MONTH($A44),MIN(Settings!$C$65,DAY($B44))))&lt;=MIN($C44,IF(Settings!$E$65="",$C44,Settings!$E$65))),1,0))</f>
        <v/>
      </c>
      <c r="AA44">
        <f>$X44+$Z44</f>
        <v/>
      </c>
      <c r="AB44">
        <f>IF($E44="post",$AA44,IF($E44="open",SUMIFS(Giving!$B$7:$B$2006,Giving!$A$7:$A$2006,"&gt;"&amp;Settings!$B$5,Giving!$A$7:$A$2006,"&lt;="&amp;$B44,Giving!$E$7:$E$2006,"&lt;&gt;No")+IF(OR(Settings!$B$60="",Settings!$F$60="No"),0,Settings!$B$60*IF(AND(IF(Settings!$C$60="",$B44,DATE(YEAR($A44),MONTH($A44),MIN(Settings!$C$60,DAY($B44))))&gt;=MAX($A44,Settings!$D$60,Settings!$B$5+1),IF(Settings!$C$60="",$B44,DATE(YEAR($A44),MONTH($A44),MIN(Settings!$C$60,DAY($B44))))&lt;=MIN($C44,IF(Settings!$E$60="",$C44,Settings!$E$60))),1,0))+IF(OR(Settings!$B$61="",Settings!$F$61="No"),0,Settings!$B$61*IF(AND(IF(Settings!$C$61="",$B44,DATE(YEAR($A44),MONTH($A44),MIN(Settings!$C$61,DAY($B44))))&gt;=MAX($A44,Settings!$D$61,Settings!$B$5+1),IF(Settings!$C$61="",$B44,DATE(YEAR($A44),MONTH($A44),MIN(Settings!$C$61,DAY($B44))))&lt;=MIN($C44,IF(Settings!$E$61="",$C44,Settings!$E$61))),1,0))+IF(OR(Settings!$B$62="",Settings!$F$62="No"),0,Settings!$B$62*IF(AND(IF(Settings!$C$62="",$B44,DATE(YEAR($A44),MONTH($A44),MIN(Settings!$C$62,DAY($B44))))&gt;=MAX($A44,Settings!$D$62,Settings!$B$5+1),IF(Settings!$C$62="",$B44,DATE(YEAR($A44),MONTH($A44),MIN(Settings!$C$62,DAY($B44))))&lt;=MIN($C44,IF(Settings!$E$62="",$C44,Settings!$E$62))),1,0))+IF(OR(Settings!$B$63="",Settings!$F$63="No"),0,Settings!$B$63*IF(AND(IF(Settings!$C$63="",$B44,DATE(YEAR($A44),MONTH($A44),MIN(Settings!$C$63,DAY($B44))))&gt;=MAX($A44,Settings!$D$63,Settings!$B$5+1),IF(Settings!$C$63="",$B44,DATE(YEAR($A44),MONTH($A44),MIN(Settings!$C$63,DAY($B44))))&lt;=MIN($C44,IF(Settings!$E$63="",$C44,Settings!$E$63))),1,0))+IF(OR(Settings!$B$64="",Settings!$F$64="No"),0,Settings!$B$64*IF(AND(IF(Settings!$C$64="",$B44,DATE(YEAR($A44),MONTH($A44),MIN(Settings!$C$64,DAY($B44))))&gt;=MAX($A44,Settings!$D$64,Settings!$B$5+1),IF(Settings!$C$64="",$B44,DATE(YEAR($A44),MONTH($A44),MIN(Settings!$C$64,DAY($B44))))&lt;=MIN($C44,IF(Settings!$E$64="",$C44,Settings!$E$64))),1,0))+IF(OR(Settings!$B$65="",Settings!$F$65="No"),0,Settings!$B$65*IF(AND(IF(Settings!$C$65="",$B44,DATE(YEAR($A44),MONTH($A44),MIN(Settings!$C$65,DAY($B44))))&gt;=MAX($A44,Settings!$D$65,Settings!$B$5+1),IF(Settings!$C$65="",$B44,DATE(YEAR($A44),MONTH($A44),MIN(Settings!$C$65,DAY($B44))))&lt;=MIN($C44,IF(Settings!$E$65="",$C44,Settings!$E$65))),1,0)),0))</f>
        <v/>
      </c>
      <c r="AC44">
        <f>$AY44+$AZ44+$BA44+$BB44+$BC44+$BD44</f>
        <v/>
      </c>
      <c r="AD44">
        <f>$AC44</f>
        <v/>
      </c>
      <c r="AE44">
        <f>IF(OR(Settings!$A$19="",$E44="pre"),"",IF(AND('Month-End'!$AO$7&lt;&gt;"",NOT(_xlfn.ISFORMULA('Month-End'!$AO$7))),N('Month-End'!$AO$7),IF(OR($E44="open",$E43="pre"),N(Settings!$C$19),N($AE43))))</f>
        <v/>
      </c>
      <c r="AF44">
        <f>IF(OR(Settings!$A$20="",$E44="pre"),"",IF(AND('Month-End'!$AO$8&lt;&gt;"",NOT(_xlfn.ISFORMULA('Month-End'!$AO$8))),N('Month-End'!$AO$8),IF(OR($E44="open",$E43="pre"),N(Settings!$C$20),N($AF43))))</f>
        <v/>
      </c>
      <c r="AG44">
        <f>IF(OR(Settings!$A$21="",$E44="pre"),"",IF(AND('Month-End'!$AO$9&lt;&gt;"",NOT(_xlfn.ISFORMULA('Month-End'!$AO$9))),N('Month-End'!$AO$9),IF(OR($E44="open",$E43="pre"),N(Settings!$C$21),N($AG43))))</f>
        <v/>
      </c>
      <c r="AH44">
        <f>IF(OR(Settings!$A$22="",$E44="pre"),"",IF(AND('Month-End'!$AO$10&lt;&gt;"",NOT(_xlfn.ISFORMULA('Month-End'!$AO$10))),N('Month-End'!$AO$10),IF(OR($E44="open",$E43="pre"),N(Settings!$C$22),N($AH43))))</f>
        <v/>
      </c>
      <c r="AI44">
        <f>IF(OR(Settings!$A$23="",$E44="pre"),"",IF(AND('Month-End'!$AO$11&lt;&gt;"",NOT(_xlfn.ISFORMULA('Month-End'!$AO$11))),N('Month-End'!$AO$11),IF(OR($E44="open",$E43="pre"),N(Settings!$C$23),N($AI43))))</f>
        <v/>
      </c>
      <c r="AJ44">
        <f>IF(OR(Settings!$A$24="",$E44="pre"),"",IF(AND('Month-End'!$AO$12&lt;&gt;"",NOT(_xlfn.ISFORMULA('Month-End'!$AO$12))),N('Month-End'!$AO$12),IF(OR($E44="open",$E43="pre"),N(Settings!$C$24),N($AJ43))))</f>
        <v/>
      </c>
      <c r="AK44">
        <f>IF(OR(Settings!$A$25="",$E44="pre"),"",IF(AND('Month-End'!$AO$13&lt;&gt;"",NOT(_xlfn.ISFORMULA('Month-End'!$AO$13))),N('Month-End'!$AO$13),IF(OR($E44="open",$E43="pre"),N(Settings!$C$25),N($AK43))))</f>
        <v/>
      </c>
      <c r="AL44">
        <f>IF(OR(Settings!$A$26="",$E44="pre"),"",IF(AND('Month-End'!$AO$14&lt;&gt;"",NOT(_xlfn.ISFORMULA('Month-End'!$AO$14))),N('Month-End'!$AO$14),IF(OR($E44="open",$E43="pre"),N(Settings!$C$26),N($AL43))))</f>
        <v/>
      </c>
      <c r="AM44">
        <f>IF(OR(Settings!$A$27="",$E44="pre"),"",IF(AND('Month-End'!$AO$15&lt;&gt;"",NOT(_xlfn.ISFORMULA('Month-End'!$AO$15))),N('Month-End'!$AO$15),IF(OR($E44="open",$E43="pre"),N(Settings!$C$27),N($AM43))))</f>
        <v/>
      </c>
      <c r="AN44">
        <f>IF(OR(Settings!$A$28="",$E44="pre"),"",IF(AND('Month-End'!$AO$16&lt;&gt;"",NOT(_xlfn.ISFORMULA('Month-End'!$AO$16))),N('Month-End'!$AO$16),IF(OR($E44="open",$E43="pre"),N(Settings!$C$28),N($AN43))))</f>
        <v/>
      </c>
      <c r="AO44">
        <f>IF(OR(Settings!$A$29="",$E44="pre"),"",IF(AND('Month-End'!$AO$17&lt;&gt;"",NOT(_xlfn.ISFORMULA('Month-End'!$AO$17))),N('Month-End'!$AO$17),IF(OR($E44="open",$E43="pre"),N(Settings!$C$29),N($AO43))))</f>
        <v/>
      </c>
      <c r="AP44">
        <f>IF(OR(Settings!$A$30="",$E44="pre"),"",IF(AND('Month-End'!$AO$18&lt;&gt;"",NOT(_xlfn.ISFORMULA('Month-End'!$AO$18))),N('Month-End'!$AO$18),IF(OR($E44="open",$E43="pre"),N(Settings!$C$30),N($AP43))))</f>
        <v/>
      </c>
      <c r="AQ44">
        <f>IF(OR(Settings!$A$31="",$E44="pre"),"",IF(AND('Month-End'!$AO$19&lt;&gt;"",NOT(_xlfn.ISFORMULA('Month-End'!$AO$19))),N('Month-End'!$AO$19),IF(OR($E44="open",$E43="pre"),N(Settings!$C$31),N($AQ43))))</f>
        <v/>
      </c>
      <c r="AR44">
        <f>IF(OR(Settings!$A$32="",$E44="pre"),"",IF(AND('Month-End'!$AO$20&lt;&gt;"",NOT(_xlfn.ISFORMULA('Month-End'!$AO$20))),N('Month-End'!$AO$20),IF(OR($E44="open",$E43="pre"),N(Settings!$C$32),N($AR43))))</f>
        <v/>
      </c>
      <c r="AS44">
        <f>IF(OR(Settings!$A$36="",$E44="pre"),"",IF(AND('Month-End'!$AO$38&lt;&gt;"",NOT(_xlfn.ISFORMULA('Month-End'!$AO$38))),N('Month-End'!$AO$38),IF(OR($E44="open",$E43="pre"),N(Settings!$C$36),N($AS43))+$AY44))</f>
        <v/>
      </c>
      <c r="AT44">
        <f>IF(OR(Settings!$A$37="",$E44="pre"),"",IF(AND('Month-End'!$AO$39&lt;&gt;"",NOT(_xlfn.ISFORMULA('Month-End'!$AO$39))),N('Month-End'!$AO$39),IF(OR($E44="open",$E43="pre"),N(Settings!$C$37),N($AT43))+$AZ44))</f>
        <v/>
      </c>
      <c r="AU44">
        <f>IF(OR(Settings!$A$38="",$E44="pre"),"",IF(AND('Month-End'!$AO$40&lt;&gt;"",NOT(_xlfn.ISFORMULA('Month-End'!$AO$40))),N('Month-End'!$AO$40),IF(OR($E44="open",$E43="pre"),N(Settings!$C$38),N($AU43))+$BA44))</f>
        <v/>
      </c>
      <c r="AV44">
        <f>IF(OR(Settings!$A$39="",$E44="pre"),"",IF(AND('Month-End'!$AO$41&lt;&gt;"",NOT(_xlfn.ISFORMULA('Month-End'!$AO$41))),N('Month-End'!$AO$41),IF(OR($E44="open",$E43="pre"),N(Settings!$C$39),N($AV43))+$BB44))</f>
        <v/>
      </c>
      <c r="AW44">
        <f>IF(OR(Settings!$A$40="",$E44="pre"),"",IF(AND('Month-End'!$AO$42&lt;&gt;"",NOT(_xlfn.ISFORMULA('Month-End'!$AO$42))),N('Month-End'!$AO$42),IF(OR($E44="open",$E43="pre"),N(Settings!$C$40),N($AW43))+$BC44))</f>
        <v/>
      </c>
      <c r="AX44">
        <f>IF(OR(Settings!$A$41="",$E44="pre"),"",IF(AND('Month-End'!$AO$43&lt;&gt;"",NOT(_xlfn.ISFORMULA('Month-End'!$AO$43))),N('Month-End'!$AO$43),IF(OR($E44="open",$E43="pre"),N(Settings!$C$41),N($AX43))+$BD44))</f>
        <v/>
      </c>
      <c r="AY44">
        <f>IF($E44="pre",0,N('Month-End'!$AO$45))</f>
        <v/>
      </c>
      <c r="AZ44">
        <f>IF($E44="pre",0,N('Month-End'!$AO$46))</f>
        <v/>
      </c>
      <c r="BA44">
        <f>IF($E44="pre",0,N('Month-End'!$AO$47))</f>
        <v/>
      </c>
      <c r="BB44">
        <f>IF($E44="pre",0,N('Month-End'!$AO$48))</f>
        <v/>
      </c>
      <c r="BC44">
        <f>IF($E44="pre",0,N('Month-End'!$AO$49))</f>
        <v/>
      </c>
      <c r="BD44">
        <f>IF($E44="pre",0,N('Month-End'!$AO$50))</f>
        <v/>
      </c>
      <c r="BE44">
        <f>IF(OR(Settings!$C$45="",Settings!$D$45=""),0,Settings!$C$45*IF(Settings!$D$45="Weekly",IF(IFERROR(MATCH(Settings!$E$45,$EO$4:$EO$10,0),0)=0,0,IF(MIN($C44,IF(Settings!$G$45="",$C44,Settings!$G$45))&lt;MAX($A44,Settings!$F$45),0,INT((MIN($C44,IF(Settings!$G$45="",$C44,Settings!$G$45))-MAX($A44,Settings!$F$45)-MOD(IFERROR(MATCH(Settings!$E$45,$EO$4:$EO$10,0),0)-WEEKDAY(MAX($A44,Settings!$F$45)),7))/7)+1)),IF(AND(IF(Settings!$E$45="",$B44,DATE(YEAR($A44),MONTH($A44),MIN(Settings!$E$45,DAY($B44))))&gt;=MAX($A44,Settings!$F$45),IF(Settings!$E$45="",$B44,DATE(YEAR($A44),MONTH($A44),MIN(Settings!$E$45,DAY($B44))))&lt;=MIN($C44,IF(Settings!$G$45="",$C44,Settings!$G$45))),1,0)))</f>
        <v/>
      </c>
      <c r="BF44">
        <f>IF(OR(Settings!$C$46="",Settings!$D$46=""),0,Settings!$C$46*IF(Settings!$D$46="Weekly",IF(IFERROR(MATCH(Settings!$E$46,$EO$4:$EO$10,0),0)=0,0,IF(MIN($C44,IF(Settings!$G$46="",$C44,Settings!$G$46))&lt;MAX($A44,Settings!$F$46),0,INT((MIN($C44,IF(Settings!$G$46="",$C44,Settings!$G$46))-MAX($A44,Settings!$F$46)-MOD(IFERROR(MATCH(Settings!$E$46,$EO$4:$EO$10,0),0)-WEEKDAY(MAX($A44,Settings!$F$46)),7))/7)+1)),IF(AND(IF(Settings!$E$46="",$B44,DATE(YEAR($A44),MONTH($A44),MIN(Settings!$E$46,DAY($B44))))&gt;=MAX($A44,Settings!$F$46),IF(Settings!$E$46="",$B44,DATE(YEAR($A44),MONTH($A44),MIN(Settings!$E$46,DAY($B44))))&lt;=MIN($C44,IF(Settings!$G$46="",$C44,Settings!$G$46))),1,0)))</f>
        <v/>
      </c>
      <c r="BG44">
        <f>IF(OR(Settings!$C$47="",Settings!$D$47=""),0,Settings!$C$47*IF(Settings!$D$47="Weekly",IF(IFERROR(MATCH(Settings!$E$47,$EO$4:$EO$10,0),0)=0,0,IF(MIN($C44,IF(Settings!$G$47="",$C44,Settings!$G$47))&lt;MAX($A44,Settings!$F$47),0,INT((MIN($C44,IF(Settings!$G$47="",$C44,Settings!$G$47))-MAX($A44,Settings!$F$47)-MOD(IFERROR(MATCH(Settings!$E$47,$EO$4:$EO$10,0),0)-WEEKDAY(MAX($A44,Settings!$F$47)),7))/7)+1)),IF(AND(IF(Settings!$E$47="",$B44,DATE(YEAR($A44),MONTH($A44),MIN(Settings!$E$47,DAY($B44))))&gt;=MAX($A44,Settings!$F$47),IF(Settings!$E$47="",$B44,DATE(YEAR($A44),MONTH($A44),MIN(Settings!$E$47,DAY($B44))))&lt;=MIN($C44,IF(Settings!$G$47="",$C44,Settings!$G$47))),1,0)))</f>
        <v/>
      </c>
      <c r="BH44">
        <f>IF(OR(Settings!$C$48="",Settings!$D$48=""),0,Settings!$C$48*IF(Settings!$D$48="Weekly",IF(IFERROR(MATCH(Settings!$E$48,$EO$4:$EO$10,0),0)=0,0,IF(MIN($C44,IF(Settings!$G$48="",$C44,Settings!$G$48))&lt;MAX($A44,Settings!$F$48),0,INT((MIN($C44,IF(Settings!$G$48="",$C44,Settings!$G$48))-MAX($A44,Settings!$F$48)-MOD(IFERROR(MATCH(Settings!$E$48,$EO$4:$EO$10,0),0)-WEEKDAY(MAX($A44,Settings!$F$48)),7))/7)+1)),IF(AND(IF(Settings!$E$48="",$B44,DATE(YEAR($A44),MONTH($A44),MIN(Settings!$E$48,DAY($B44))))&gt;=MAX($A44,Settings!$F$48),IF(Settings!$E$48="",$B44,DATE(YEAR($A44),MONTH($A44),MIN(Settings!$E$48,DAY($B44))))&lt;=MIN($C44,IF(Settings!$G$48="",$C44,Settings!$G$48))),1,0)))</f>
        <v/>
      </c>
      <c r="BI44">
        <f>IF(OR(Settings!$C$49="",Settings!$D$49=""),0,Settings!$C$49*IF(Settings!$D$49="Weekly",IF(IFERROR(MATCH(Settings!$E$49,$EO$4:$EO$10,0),0)=0,0,IF(MIN($C44,IF(Settings!$G$49="",$C44,Settings!$G$49))&lt;MAX($A44,Settings!$F$49),0,INT((MIN($C44,IF(Settings!$G$49="",$C44,Settings!$G$49))-MAX($A44,Settings!$F$49)-MOD(IFERROR(MATCH(Settings!$E$49,$EO$4:$EO$10,0),0)-WEEKDAY(MAX($A44,Settings!$F$49)),7))/7)+1)),IF(AND(IF(Settings!$E$49="",$B44,DATE(YEAR($A44),MONTH($A44),MIN(Settings!$E$49,DAY($B44))))&gt;=MAX($A44,Settings!$F$49),IF(Settings!$E$49="",$B44,DATE(YEAR($A44),MONTH($A44),MIN(Settings!$E$49,DAY($B44))))&lt;=MIN($C44,IF(Settings!$G$49="",$C44,Settings!$G$49))),1,0)))</f>
        <v/>
      </c>
      <c r="BJ44">
        <f>IF(OR(Settings!$C$50="",Settings!$D$50=""),0,Settings!$C$50*IF(Settings!$D$50="Weekly",IF(IFERROR(MATCH(Settings!$E$50,$EO$4:$EO$10,0),0)=0,0,IF(MIN($C44,IF(Settings!$G$50="",$C44,Settings!$G$50))&lt;MAX($A44,Settings!$F$50),0,INT((MIN($C44,IF(Settings!$G$50="",$C44,Settings!$G$50))-MAX($A44,Settings!$F$50)-MOD(IFERROR(MATCH(Settings!$E$50,$EO$4:$EO$10,0),0)-WEEKDAY(MAX($A44,Settings!$F$50)),7))/7)+1)),IF(AND(IF(Settings!$E$50="",$B44,DATE(YEAR($A44),MONTH($A44),MIN(Settings!$E$50,DAY($B44))))&gt;=MAX($A44,Settings!$F$50),IF(Settings!$E$50="",$B44,DATE(YEAR($A44),MONTH($A44),MIN(Settings!$E$50,DAY($B44))))&lt;=MIN($C44,IF(Settings!$G$50="",$C44,Settings!$G$50))),1,0)))</f>
        <v/>
      </c>
      <c r="BK44">
        <f>IF(OR(Settings!$C$51="",Settings!$D$51=""),0,Settings!$C$51*IF(Settings!$D$51="Weekly",IF(IFERROR(MATCH(Settings!$E$51,$EO$4:$EO$10,0),0)=0,0,IF(MIN($C44,IF(Settings!$G$51="",$C44,Settings!$G$51))&lt;MAX($A44,Settings!$F$51),0,INT((MIN($C44,IF(Settings!$G$51="",$C44,Settings!$G$51))-MAX($A44,Settings!$F$51)-MOD(IFERROR(MATCH(Settings!$E$51,$EO$4:$EO$10,0),0)-WEEKDAY(MAX($A44,Settings!$F$51)),7))/7)+1)),IF(AND(IF(Settings!$E$51="",$B44,DATE(YEAR($A44),MONTH($A44),MIN(Settings!$E$51,DAY($B44))))&gt;=MAX($A44,Settings!$F$51),IF(Settings!$E$51="",$B44,DATE(YEAR($A44),MONTH($A44),MIN(Settings!$E$51,DAY($B44))))&lt;=MIN($C44,IF(Settings!$G$51="",$C44,Settings!$G$51))),1,0)))</f>
        <v/>
      </c>
      <c r="BL44">
        <f>IF(OR(Settings!$C$52="",Settings!$D$52=""),0,Settings!$C$52*IF(Settings!$D$52="Weekly",IF(IFERROR(MATCH(Settings!$E$52,$EO$4:$EO$10,0),0)=0,0,IF(MIN($C44,IF(Settings!$G$52="",$C44,Settings!$G$52))&lt;MAX($A44,Settings!$F$52),0,INT((MIN($C44,IF(Settings!$G$52="",$C44,Settings!$G$52))-MAX($A44,Settings!$F$52)-MOD(IFERROR(MATCH(Settings!$E$52,$EO$4:$EO$10,0),0)-WEEKDAY(MAX($A44,Settings!$F$52)),7))/7)+1)),IF(AND(IF(Settings!$E$52="",$B44,DATE(YEAR($A44),MONTH($A44),MIN(Settings!$E$52,DAY($B44))))&gt;=MAX($A44,Settings!$F$52),IF(Settings!$E$52="",$B44,DATE(YEAR($A44),MONTH($A44),MIN(Settings!$E$52,DAY($B44))))&lt;=MIN($C44,IF(Settings!$G$52="",$C44,Settings!$G$52))),1,0)))</f>
        <v/>
      </c>
      <c r="BM44">
        <f>IF(OR(Settings!$C$53="",Settings!$D$53=""),0,Settings!$C$53*IF(Settings!$D$53="Weekly",IF(IFERROR(MATCH(Settings!$E$53,$EO$4:$EO$10,0),0)=0,0,IF(MIN($C44,IF(Settings!$G$53="",$C44,Settings!$G$53))&lt;MAX($A44,Settings!$F$53),0,INT((MIN($C44,IF(Settings!$G$53="",$C44,Settings!$G$53))-MAX($A44,Settings!$F$53)-MOD(IFERROR(MATCH(Settings!$E$53,$EO$4:$EO$10,0),0)-WEEKDAY(MAX($A44,Settings!$F$53)),7))/7)+1)),IF(AND(IF(Settings!$E$53="",$B44,DATE(YEAR($A44),MONTH($A44),MIN(Settings!$E$53,DAY($B44))))&gt;=MAX($A44,Settings!$F$53),IF(Settings!$E$53="",$B44,DATE(YEAR($A44),MONTH($A44),MIN(Settings!$E$53,DAY($B44))))&lt;=MIN($C44,IF(Settings!$G$53="",$C44,Settings!$G$53))),1,0)))</f>
        <v/>
      </c>
      <c r="BN44">
        <f>IF(OR(Settings!$C$54="",Settings!$D$54=""),0,Settings!$C$54*IF(Settings!$D$54="Weekly",IF(IFERROR(MATCH(Settings!$E$54,$EO$4:$EO$10,0),0)=0,0,IF(MIN($C44,IF(Settings!$G$54="",$C44,Settings!$G$54))&lt;MAX($A44,Settings!$F$54),0,INT((MIN($C44,IF(Settings!$G$54="",$C44,Settings!$G$54))-MAX($A44,Settings!$F$54)-MOD(IFERROR(MATCH(Settings!$E$54,$EO$4:$EO$10,0),0)-WEEKDAY(MAX($A44,Settings!$F$54)),7))/7)+1)),IF(AND(IF(Settings!$E$54="",$B44,DATE(YEAR($A44),MONTH($A44),MIN(Settings!$E$54,DAY($B44))))&gt;=MAX($A44,Settings!$F$54),IF(Settings!$E$54="",$B44,DATE(YEAR($A44),MONTH($A44),MIN(Settings!$E$54,DAY($B44))))&lt;=MIN($C44,IF(Settings!$G$54="",$C44,Settings!$G$54))),1,0)))</f>
        <v/>
      </c>
      <c r="BO44">
        <f>IF(OR(Settings!$C$55="",Settings!$D$55=""),0,Settings!$C$55*IF(Settings!$D$55="Weekly",IF(IFERROR(MATCH(Settings!$E$55,$EO$4:$EO$10,0),0)=0,0,IF(MIN($C44,IF(Settings!$G$55="",$C44,Settings!$G$55))&lt;MAX($A44,Settings!$F$55),0,INT((MIN($C44,IF(Settings!$G$55="",$C44,Settings!$G$55))-MAX($A44,Settings!$F$55)-MOD(IFERROR(MATCH(Settings!$E$55,$EO$4:$EO$10,0),0)-WEEKDAY(MAX($A44,Settings!$F$55)),7))/7)+1)),IF(AND(IF(Settings!$E$55="",$B44,DATE(YEAR($A44),MONTH($A44),MIN(Settings!$E$55,DAY($B44))))&gt;=MAX($A44,Settings!$F$55),IF(Settings!$E$55="",$B44,DATE(YEAR($A44),MONTH($A44),MIN(Settings!$E$55,DAY($B44))))&lt;=MIN($C44,IF(Settings!$G$55="",$C44,Settings!$G$55))),1,0)))</f>
        <v/>
      </c>
      <c r="BP44">
        <f>IF(OR(Settings!$C$56="",Settings!$D$56=""),0,Settings!$C$56*IF(Settings!$D$56="Weekly",IF(IFERROR(MATCH(Settings!$E$56,$EO$4:$EO$10,0),0)=0,0,IF(MIN($C44,IF(Settings!$G$56="",$C44,Settings!$G$56))&lt;MAX($A44,Settings!$F$56),0,INT((MIN($C44,IF(Settings!$G$56="",$C44,Settings!$G$56))-MAX($A44,Settings!$F$56)-MOD(IFERROR(MATCH(Settings!$E$56,$EO$4:$EO$10,0),0)-WEEKDAY(MAX($A44,Settings!$F$56)),7))/7)+1)),IF(AND(IF(Settings!$E$56="",$B44,DATE(YEAR($A44),MONTH($A44),MIN(Settings!$E$56,DAY($B44))))&gt;=MAX($A44,Settings!$F$56),IF(Settings!$E$56="",$B44,DATE(YEAR($A44),MONTH($A44),MIN(Settings!$E$56,DAY($B44))))&lt;=MIN($C44,IF(Settings!$G$56="",$C44,Settings!$G$56))),1,0)))</f>
        <v/>
      </c>
      <c r="BQ44">
        <f>IF(OR(Settings!$B$14="",$D44=1,$E44="pre",$A44&lt;IF(Settings!$B$15="",0,Settings!$B$15)),0,Settings!$B$14)</f>
        <v/>
      </c>
      <c r="BR44">
        <f>IF(AND('Month-End'!$AO$7&lt;&gt;"",NOT(_xlfn.ISFORMULA('Month-End'!$AO$7))),1,0)</f>
        <v/>
      </c>
      <c r="BS44">
        <f>IF(AND('Month-End'!$AO$8&lt;&gt;"",NOT(_xlfn.ISFORMULA('Month-End'!$AO$8))),1,0)</f>
        <v/>
      </c>
      <c r="BT44">
        <f>IF(AND('Month-End'!$AO$9&lt;&gt;"",NOT(_xlfn.ISFORMULA('Month-End'!$AO$9))),1,0)</f>
        <v/>
      </c>
      <c r="BU44">
        <f>IF(AND('Month-End'!$AO$10&lt;&gt;"",NOT(_xlfn.ISFORMULA('Month-End'!$AO$10))),1,0)</f>
        <v/>
      </c>
      <c r="BV44">
        <f>IF(AND('Month-End'!$AO$11&lt;&gt;"",NOT(_xlfn.ISFORMULA('Month-End'!$AO$11))),1,0)</f>
        <v/>
      </c>
      <c r="BW44">
        <f>IF(AND('Month-End'!$AO$12&lt;&gt;"",NOT(_xlfn.ISFORMULA('Month-End'!$AO$12))),1,0)</f>
        <v/>
      </c>
      <c r="BX44">
        <f>IF(AND('Month-End'!$AO$13&lt;&gt;"",NOT(_xlfn.ISFORMULA('Month-End'!$AO$13))),1,0)</f>
        <v/>
      </c>
      <c r="BY44">
        <f>IF(AND('Month-End'!$AO$14&lt;&gt;"",NOT(_xlfn.ISFORMULA('Month-End'!$AO$14))),1,0)</f>
        <v/>
      </c>
      <c r="BZ44">
        <f>IF(AND('Month-End'!$AO$15&lt;&gt;"",NOT(_xlfn.ISFORMULA('Month-End'!$AO$15))),1,0)</f>
        <v/>
      </c>
      <c r="CA44">
        <f>IF(AND('Month-End'!$AO$16&lt;&gt;"",NOT(_xlfn.ISFORMULA('Month-End'!$AO$16))),1,0)</f>
        <v/>
      </c>
      <c r="CB44">
        <f>IF(AND('Month-End'!$AO$17&lt;&gt;"",NOT(_xlfn.ISFORMULA('Month-End'!$AO$17))),1,0)</f>
        <v/>
      </c>
      <c r="CC44">
        <f>IF(AND('Month-End'!$AO$18&lt;&gt;"",NOT(_xlfn.ISFORMULA('Month-End'!$AO$18))),1,0)</f>
        <v/>
      </c>
      <c r="CD44">
        <f>IF(AND('Month-End'!$AO$19&lt;&gt;"",NOT(_xlfn.ISFORMULA('Month-End'!$AO$19))),1,0)</f>
        <v/>
      </c>
      <c r="CE44">
        <f>IF(AND('Month-End'!$AO$20&lt;&gt;"",NOT(_xlfn.ISFORMULA('Month-End'!$AO$20))),1,0)</f>
        <v/>
      </c>
      <c r="CF44">
        <f>IF(AND('Month-End'!$AO$38&lt;&gt;"",NOT(_xlfn.ISFORMULA('Month-End'!$AO$38))),1,0)</f>
        <v/>
      </c>
      <c r="CG44">
        <f>IF(AND('Month-End'!$AO$39&lt;&gt;"",NOT(_xlfn.ISFORMULA('Month-End'!$AO$39))),1,0)</f>
        <v/>
      </c>
      <c r="CH44">
        <f>IF(AND('Month-End'!$AO$40&lt;&gt;"",NOT(_xlfn.ISFORMULA('Month-End'!$AO$40))),1,0)</f>
        <v/>
      </c>
      <c r="CI44">
        <f>IF(AND('Month-End'!$AO$41&lt;&gt;"",NOT(_xlfn.ISFORMULA('Month-End'!$AO$41))),1,0)</f>
        <v/>
      </c>
      <c r="CJ44">
        <f>IF(AND('Month-End'!$AO$42&lt;&gt;"",NOT(_xlfn.ISFORMULA('Month-End'!$AO$42))),1,0)</f>
        <v/>
      </c>
      <c r="CK44">
        <f>IF(AND('Month-End'!$AO$43&lt;&gt;"",NOT(_xlfn.ISFORMULA('Month-End'!$AO$43))),1,0)</f>
        <v/>
      </c>
      <c r="CL44">
        <f>SUM($CM44:$CZ44)</f>
        <v/>
      </c>
      <c r="CM44">
        <f>IF(AND($E44&lt;&gt;"pre",AND(Settings!$A$19&lt;&gt;"",Settings!$E$19&lt;&gt;"No"),Settings!$F$19="Yes",NOT(AND('Month-End'!$AO$7&lt;&gt;"",NOT(_xlfn.ISFORMULA('Month-End'!$AO$7))))),1,0)</f>
        <v/>
      </c>
      <c r="CN44">
        <f>IF(AND($E44&lt;&gt;"pre",AND(Settings!$A$20&lt;&gt;"",Settings!$E$20&lt;&gt;"No"),Settings!$F$20="Yes",NOT(AND('Month-End'!$AO$8&lt;&gt;"",NOT(_xlfn.ISFORMULA('Month-End'!$AO$8))))),1,0)</f>
        <v/>
      </c>
      <c r="CO44">
        <f>IF(AND($E44&lt;&gt;"pre",AND(Settings!$A$21&lt;&gt;"",Settings!$E$21&lt;&gt;"No"),Settings!$F$21="Yes",NOT(AND('Month-End'!$AO$9&lt;&gt;"",NOT(_xlfn.ISFORMULA('Month-End'!$AO$9))))),1,0)</f>
        <v/>
      </c>
      <c r="CP44">
        <f>IF(AND($E44&lt;&gt;"pre",AND(Settings!$A$22&lt;&gt;"",Settings!$E$22&lt;&gt;"No"),Settings!$F$22="Yes",NOT(AND('Month-End'!$AO$10&lt;&gt;"",NOT(_xlfn.ISFORMULA('Month-End'!$AO$10))))),1,0)</f>
        <v/>
      </c>
      <c r="CQ44">
        <f>IF(AND($E44&lt;&gt;"pre",AND(Settings!$A$23&lt;&gt;"",Settings!$E$23&lt;&gt;"No"),Settings!$F$23="Yes",NOT(AND('Month-End'!$AO$11&lt;&gt;"",NOT(_xlfn.ISFORMULA('Month-End'!$AO$11))))),1,0)</f>
        <v/>
      </c>
      <c r="CR44">
        <f>IF(AND($E44&lt;&gt;"pre",AND(Settings!$A$24&lt;&gt;"",Settings!$E$24&lt;&gt;"No"),Settings!$F$24="Yes",NOT(AND('Month-End'!$AO$12&lt;&gt;"",NOT(_xlfn.ISFORMULA('Month-End'!$AO$12))))),1,0)</f>
        <v/>
      </c>
      <c r="CS44">
        <f>IF(AND($E44&lt;&gt;"pre",AND(Settings!$A$25&lt;&gt;"",Settings!$E$25&lt;&gt;"No"),Settings!$F$25="Yes",NOT(AND('Month-End'!$AO$13&lt;&gt;"",NOT(_xlfn.ISFORMULA('Month-End'!$AO$13))))),1,0)</f>
        <v/>
      </c>
      <c r="CT44">
        <f>IF(AND($E44&lt;&gt;"pre",AND(Settings!$A$26&lt;&gt;"",Settings!$E$26&lt;&gt;"No"),Settings!$F$26="Yes",NOT(AND('Month-End'!$AO$14&lt;&gt;"",NOT(_xlfn.ISFORMULA('Month-End'!$AO$14))))),1,0)</f>
        <v/>
      </c>
      <c r="CU44">
        <f>IF(AND($E44&lt;&gt;"pre",AND(Settings!$A$27&lt;&gt;"",Settings!$E$27&lt;&gt;"No"),Settings!$F$27="Yes",NOT(AND('Month-End'!$AO$15&lt;&gt;"",NOT(_xlfn.ISFORMULA('Month-End'!$AO$15))))),1,0)</f>
        <v/>
      </c>
      <c r="CV44">
        <f>IF(AND($E44&lt;&gt;"pre",AND(Settings!$A$28&lt;&gt;"",Settings!$E$28&lt;&gt;"No"),Settings!$F$28="Yes",NOT(AND('Month-End'!$AO$16&lt;&gt;"",NOT(_xlfn.ISFORMULA('Month-End'!$AO$16))))),1,0)</f>
        <v/>
      </c>
      <c r="CW44">
        <f>IF(AND($E44&lt;&gt;"pre",AND(Settings!$A$29&lt;&gt;"",Settings!$E$29&lt;&gt;"No"),Settings!$F$29="Yes",NOT(AND('Month-End'!$AO$17&lt;&gt;"",NOT(_xlfn.ISFORMULA('Month-End'!$AO$17))))),1,0)</f>
        <v/>
      </c>
      <c r="CX44">
        <f>IF(AND($E44&lt;&gt;"pre",AND(Settings!$A$30&lt;&gt;"",Settings!$E$30&lt;&gt;"No"),Settings!$F$30="Yes",NOT(AND('Month-End'!$AO$18&lt;&gt;"",NOT(_xlfn.ISFORMULA('Month-End'!$AO$18))))),1,0)</f>
        <v/>
      </c>
      <c r="CY44">
        <f>IF(AND($E44&lt;&gt;"pre",AND(Settings!$A$31&lt;&gt;"",Settings!$E$31&lt;&gt;"No"),Settings!$F$31="Yes",NOT(AND('Month-End'!$AO$19&lt;&gt;"",NOT(_xlfn.ISFORMULA('Month-End'!$AO$19))))),1,0)</f>
        <v/>
      </c>
      <c r="CZ44">
        <f>IF(AND($E44&lt;&gt;"pre",AND(Settings!$A$32&lt;&gt;"",Settings!$E$32&lt;&gt;"No"),Settings!$F$32="Yes",NOT(AND('Month-End'!$AO$20&lt;&gt;"",NOT(_xlfn.ISFORMULA('Month-End'!$AO$20))))),1,0)</f>
        <v/>
      </c>
      <c r="DA44">
        <f>IF($DT44=1,IF(OR(Settings!$B$19="Checking",Settings!$B$19="Savings",Settings!$B$19="Cash"),N($AE44),IF(OR(Settings!$B$19="Card",Settings!$B$19="Loan"),-N($AE44),0))+IF(OR(Settings!$B$20="Checking",Settings!$B$20="Savings",Settings!$B$20="Cash"),N($AF44),IF(OR(Settings!$B$20="Card",Settings!$B$20="Loan"),-N($AF44),0))+IF(OR(Settings!$B$21="Checking",Settings!$B$21="Savings",Settings!$B$21="Cash"),N($AG44),IF(OR(Settings!$B$21="Card",Settings!$B$21="Loan"),-N($AG44),0))+IF(OR(Settings!$B$22="Checking",Settings!$B$22="Savings",Settings!$B$22="Cash"),N($AH44),IF(OR(Settings!$B$22="Card",Settings!$B$22="Loan"),-N($AH44),0))+IF(OR(Settings!$B$23="Checking",Settings!$B$23="Savings",Settings!$B$23="Cash"),N($AI44),IF(OR(Settings!$B$23="Card",Settings!$B$23="Loan"),-N($AI44),0))+IF(OR(Settings!$B$24="Checking",Settings!$B$24="Savings",Settings!$B$24="Cash"),N($AJ44),IF(OR(Settings!$B$24="Card",Settings!$B$24="Loan"),-N($AJ44),0))+IF(OR(Settings!$B$25="Checking",Settings!$B$25="Savings",Settings!$B$25="Cash"),N($AK44),IF(OR(Settings!$B$25="Card",Settings!$B$25="Loan"),-N($AK44),0))+IF(OR(Settings!$B$26="Checking",Settings!$B$26="Savings",Settings!$B$26="Cash"),N($AL44),IF(OR(Settings!$B$26="Card",Settings!$B$26="Loan"),-N($AL44),0))+IF(OR(Settings!$B$27="Checking",Settings!$B$27="Savings",Settings!$B$27="Cash"),N($AM44),IF(OR(Settings!$B$27="Card",Settings!$B$27="Loan"),-N($AM44),0))+IF(OR(Settings!$B$28="Checking",Settings!$B$28="Savings",Settings!$B$28="Cash"),N($AN44),IF(OR(Settings!$B$28="Card",Settings!$B$28="Loan"),-N($AN44),0))+IF(OR(Settings!$B$29="Checking",Settings!$B$29="Savings",Settings!$B$29="Cash"),N($AO44),IF(OR(Settings!$B$29="Card",Settings!$B$29="Loan"),-N($AO44),0))+IF(OR(Settings!$B$30="Checking",Settings!$B$30="Savings",Settings!$B$30="Cash"),N($AP44),IF(OR(Settings!$B$30="Card",Settings!$B$30="Loan"),-N($AP44),0))+IF(OR(Settings!$B$31="Checking",Settings!$B$31="Savings",Settings!$B$31="Cash"),N($AQ44),IF(OR(Settings!$B$31="Card",Settings!$B$31="Loan"),-N($AQ44),0))+IF(OR(Settings!$B$32="Checking",Settings!$B$32="Savings",Settings!$B$32="Cash"),N($AR44),IF(OR(Settings!$B$32="Card",Settings!$B$32="Loan"),-N($AR44),0)),"")</f>
        <v/>
      </c>
      <c r="DB44">
        <f>IF($E44="open",$EB$27,IF($E44="post",IF($E43="pre",$EB$27,$DA43),""))</f>
        <v/>
      </c>
      <c r="DC44">
        <f>IF($E44="open",1,IF($E44="post",IF($E43="pre",1,$DT43),0))</f>
        <v/>
      </c>
      <c r="DD44">
        <f>IF(AND($DT44=1,$DC44=1),ROUND($W44-($DA44-$DB44)-$AD44-$AB44,2),"")</f>
        <v/>
      </c>
      <c r="DE44">
        <f>IF('Month-End'!$AO$35="",$BQ44,N('Month-End'!$AO$35))</f>
        <v/>
      </c>
      <c r="DF44">
        <f>N('Month-End'!$AO$36)</f>
        <v/>
      </c>
      <c r="DG44">
        <f>IF($DD44="","",$DD44+$DE44)</f>
        <v/>
      </c>
      <c r="DH44">
        <f>IF($DG44="","",$DG44-$DF44)</f>
        <v/>
      </c>
      <c r="DI44">
        <f>IF(OR($E44="pre",$D44=1),"",N($AS44)+N($AT44)+N($AU44)+N($AV44)+N($AW44)+N($AX44))</f>
        <v/>
      </c>
      <c r="DJ44">
        <f>IF($DT44=1,$DA44+N($DI44),"")</f>
        <v/>
      </c>
      <c r="DK44">
        <f>IF($DD44="","",$W44-$DD44-$AB44)</f>
        <v/>
      </c>
      <c r="DL44">
        <f>IF(AND($E44="post",$DD44&lt;&gt;"",$B44&lt;TODAY()),1,0)</f>
        <v/>
      </c>
      <c r="DM44">
        <f>IF($DL44=1,COUNTIF($DL44:$DL$183,1),0)</f>
        <v/>
      </c>
      <c r="DN44">
        <f>IF($D44=1,"",IF($E44="pre","History only",IF($DT44=1,IF($DD44="","⚠ Previous month missing",IF($DD44&lt;0,"⚠ Check: spending &lt; 0",IF($E44="open","✓ Done (partial)","✓ Done"))),IF($B44&gt;=TODAY(),"In progress","⚠ Needs balances"))))</f>
        <v/>
      </c>
      <c r="DO44">
        <f>YEAR($A44)</f>
        <v/>
      </c>
      <c r="DP44">
        <f>DATE(YEAR($A44),INT((MONTH($A44)-1)/3)*3+1,1)</f>
        <v/>
      </c>
      <c r="DQ44">
        <f>IF(AND($DT44=1,$DD44&lt;&gt;"",$D44=0),ROW(),0)</f>
        <v/>
      </c>
      <c r="DR44">
        <f>IF(AND($E44&lt;&gt;"pre",$B44&lt;TODAY(),$DT44=0),1,0)</f>
        <v/>
      </c>
      <c r="DS44">
        <f>IF($DJ44="",NA(),$DJ44)</f>
        <v/>
      </c>
      <c r="DT44">
        <f>IF(AND($E44&lt;&gt;"pre",$CL44=0,COUNTIFS(Settings!$F$19:$F$32,"Yes",Settings!$A$19:$A$32,"&lt;&gt;",Settings!$E$19:$E$32,"&lt;&gt;No")&gt;0),1,0)</f>
        <v/>
      </c>
      <c r="DU44">
        <f>IF(AND($B44&lt;TODAY(),$S44&gt;0),1,0)</f>
        <v/>
      </c>
      <c r="DV44">
        <f>IF($DU44=1,COUNTIF($DU44:$DU$183,1),0)</f>
        <v/>
      </c>
      <c r="DW44">
        <f>IF(AND(OR(Settings!$B$19="Card",Settings!$B$19="Loan"),AND('Month-End'!$AO$7&lt;&gt;"",NOT(_xlfn.ISFORMULA('Month-End'!$AO$7)))),IF(N('Month-End'!$AO$7)&lt;0,1,0),0)+IF(AND(OR(Settings!$B$20="Card",Settings!$B$20="Loan"),AND('Month-End'!$AO$8&lt;&gt;"",NOT(_xlfn.ISFORMULA('Month-End'!$AO$8)))),IF(N('Month-End'!$AO$8)&lt;0,1,0),0)+IF(AND(OR(Settings!$B$21="Card",Settings!$B$21="Loan"),AND('Month-End'!$AO$9&lt;&gt;"",NOT(_xlfn.ISFORMULA('Month-End'!$AO$9)))),IF(N('Month-End'!$AO$9)&lt;0,1,0),0)+IF(AND(OR(Settings!$B$22="Card",Settings!$B$22="Loan"),AND('Month-End'!$AO$10&lt;&gt;"",NOT(_xlfn.ISFORMULA('Month-End'!$AO$10)))),IF(N('Month-End'!$AO$10)&lt;0,1,0),0)+IF(AND(OR(Settings!$B$23="Card",Settings!$B$23="Loan"),AND('Month-End'!$AO$11&lt;&gt;"",NOT(_xlfn.ISFORMULA('Month-End'!$AO$11)))),IF(N('Month-End'!$AO$11)&lt;0,1,0),0)+IF(AND(OR(Settings!$B$24="Card",Settings!$B$24="Loan"),AND('Month-End'!$AO$12&lt;&gt;"",NOT(_xlfn.ISFORMULA('Month-End'!$AO$12)))),IF(N('Month-End'!$AO$12)&lt;0,1,0),0)+IF(AND(OR(Settings!$B$25="Card",Settings!$B$25="Loan"),AND('Month-End'!$AO$13&lt;&gt;"",NOT(_xlfn.ISFORMULA('Month-End'!$AO$13)))),IF(N('Month-End'!$AO$13)&lt;0,1,0),0)+IF(AND(OR(Settings!$B$26="Card",Settings!$B$26="Loan"),AND('Month-End'!$AO$14&lt;&gt;"",NOT(_xlfn.ISFORMULA('Month-End'!$AO$14)))),IF(N('Month-End'!$AO$14)&lt;0,1,0),0)+IF(AND(OR(Settings!$B$27="Card",Settings!$B$27="Loan"),AND('Month-End'!$AO$15&lt;&gt;"",NOT(_xlfn.ISFORMULA('Month-End'!$AO$15)))),IF(N('Month-End'!$AO$15)&lt;0,1,0),0)+IF(AND(OR(Settings!$B$28="Card",Settings!$B$28="Loan"),AND('Month-End'!$AO$16&lt;&gt;"",NOT(_xlfn.ISFORMULA('Month-End'!$AO$16)))),IF(N('Month-End'!$AO$16)&lt;0,1,0),0)+IF(AND(OR(Settings!$B$29="Card",Settings!$B$29="Loan"),AND('Month-End'!$AO$17&lt;&gt;"",NOT(_xlfn.ISFORMULA('Month-End'!$AO$17)))),IF(N('Month-End'!$AO$17)&lt;0,1,0),0)+IF(AND(OR(Settings!$B$30="Card",Settings!$B$30="Loan"),AND('Month-End'!$AO$18&lt;&gt;"",NOT(_xlfn.ISFORMULA('Month-End'!$AO$18)))),IF(N('Month-End'!$AO$18)&lt;0,1,0),0)+IF(AND(OR(Settings!$B$31="Card",Settings!$B$31="Loan"),AND('Month-End'!$AO$19&lt;&gt;"",NOT(_xlfn.ISFORMULA('Month-End'!$AO$19)))),IF(N('Month-End'!$AO$19)&lt;0,1,0),0)+IF(AND(OR(Settings!$B$32="Card",Settings!$B$32="Loan"),AND('Month-End'!$AO$20&lt;&gt;"",NOT(_xlfn.ISFORMULA('Month-End'!$AO$20)))),IF(N('Month-End'!$AO$20)&lt;0,1,0),0)</f>
        <v/>
      </c>
      <c r="DX44">
        <f>IF(Settings!$B$36="Retirement",$AY44,0)+IF(Settings!$B$37="Retirement",$AZ44,0)+IF(Settings!$B$38="Retirement",$BA44,0)+IF(Settings!$B$39="Retirement",$BB44,0)+IF(Settings!$B$40="Retirement",$BC44,0)+IF(Settings!$B$41="Retirement",$BD44,0)</f>
        <v/>
      </c>
      <c r="EA44">
        <f>IF(Settings!$A$23="","",Settings!$A$23)</f>
        <v/>
      </c>
      <c r="EB44">
        <f>IF(Settings!$A$23="","",IF($EB$5=0,N(Settings!$C$23),N(INDEX($AI:$AI,$EB$5))))</f>
        <v/>
      </c>
      <c r="EC44">
        <f>""</f>
        <v/>
      </c>
      <c r="ED44">
        <f>IF(AND(AND(Settings!$A$23&lt;&gt;"",Settings!$E$23&lt;&gt;"No"),Settings!$B$23="Cash",Settings!$B$5&lt;EDATE(TODAY(),-6),COUNTIFS($BV$6:$BV$183,1,$A$6:$A$183,"&gt;="&amp;EDATE(TODAY(),-6))=0),1,0)</f>
        <v/>
      </c>
      <c r="EI44">
        <f>IF(AND(Settings!$A$23&lt;&gt;"",Settings!$E$23&lt;&gt;"No"),COUNTIFS($EK$40:$EK44,1),"")</f>
        <v/>
      </c>
      <c r="EJ44">
        <f>IF(Settings!$A$23="","",Settings!$B$23)</f>
        <v/>
      </c>
      <c r="EK44">
        <f>IF(AND(Settings!$A$23&lt;&gt;"",Settings!$E$23&lt;&gt;"No"),1,0)</f>
        <v/>
      </c>
      <c r="EL44">
        <f>IF(Settings!$A$23="","",IF(OR(Settings!$B$23="Card",Settings!$B$23="Loan"),-N(EB44),N(EB44)))</f>
        <v/>
      </c>
      <c r="EM44">
        <f>IF(Settings!$A$23="","",IF(Settings!$D$23="Yes","estimate",""))</f>
        <v/>
      </c>
      <c r="ET44">
        <f>IF($E44&lt;&gt;"open",0,IF(AND('Month-End'!$AO$22&lt;&gt;"",NOT(_xlfn.ISFORMULA('Month-End'!$AO$22))),0,IF(OR(Settings!$C$45="",Settings!$D$45=""),0,Settings!$C$45*IF(Settings!$D$45="Weekly",IF(IFERROR(MATCH(Settings!$E$45,$EO$4:$EO$10,0),0)=0,0,IF(MIN(Settings!$B$5,IF(Settings!$G$45="",Settings!$B$5,Settings!$G$45))&lt;MAX($A44,Settings!$F$45),0,INT((MIN(Settings!$B$5,IF(Settings!$G$45="",Settings!$B$5,Settings!$G$45))-MAX($A44,Settings!$F$45)-MOD(IFERROR(MATCH(Settings!$E$45,$EO$4:$EO$10,0),0)-WEEKDAY(MAX($A44,Settings!$F$45)),7))/7)+1)),IF(AND(IF(Settings!$E$45="",$B44,DATE(YEAR($A44),MONTH($A44),MIN(Settings!$E$45,DAY($B44))))&gt;=MAX($A44,Settings!$F$45),IF(Settings!$E$45="",$B44,DATE(YEAR($A44),MONTH($A44),MIN(Settings!$E$45,DAY($B44))))&lt;=MIN(Settings!$B$5,IF(Settings!$G$45="",Settings!$B$5,Settings!$G$45))),1,0)))))</f>
        <v/>
      </c>
      <c r="EU44">
        <f>IF($E44&lt;&gt;"open",0,IF(AND('Month-End'!$AO$23&lt;&gt;"",NOT(_xlfn.ISFORMULA('Month-End'!$AO$23))),0,IF(OR(Settings!$C$46="",Settings!$D$46=""),0,Settings!$C$46*IF(Settings!$D$46="Weekly",IF(IFERROR(MATCH(Settings!$E$46,$EO$4:$EO$10,0),0)=0,0,IF(MIN(Settings!$B$5,IF(Settings!$G$46="",Settings!$B$5,Settings!$G$46))&lt;MAX($A44,Settings!$F$46),0,INT((MIN(Settings!$B$5,IF(Settings!$G$46="",Settings!$B$5,Settings!$G$46))-MAX($A44,Settings!$F$46)-MOD(IFERROR(MATCH(Settings!$E$46,$EO$4:$EO$10,0),0)-WEEKDAY(MAX($A44,Settings!$F$46)),7))/7)+1)),IF(AND(IF(Settings!$E$46="",$B44,DATE(YEAR($A44),MONTH($A44),MIN(Settings!$E$46,DAY($B44))))&gt;=MAX($A44,Settings!$F$46),IF(Settings!$E$46="",$B44,DATE(YEAR($A44),MONTH($A44),MIN(Settings!$E$46,DAY($B44))))&lt;=MIN(Settings!$B$5,IF(Settings!$G$46="",Settings!$B$5,Settings!$G$46))),1,0)))))</f>
        <v/>
      </c>
      <c r="EV44">
        <f>IF($E44&lt;&gt;"open",0,IF(AND('Month-End'!$AO$24&lt;&gt;"",NOT(_xlfn.ISFORMULA('Month-End'!$AO$24))),0,IF(OR(Settings!$C$47="",Settings!$D$47=""),0,Settings!$C$47*IF(Settings!$D$47="Weekly",IF(IFERROR(MATCH(Settings!$E$47,$EO$4:$EO$10,0),0)=0,0,IF(MIN(Settings!$B$5,IF(Settings!$G$47="",Settings!$B$5,Settings!$G$47))&lt;MAX($A44,Settings!$F$47),0,INT((MIN(Settings!$B$5,IF(Settings!$G$47="",Settings!$B$5,Settings!$G$47))-MAX($A44,Settings!$F$47)-MOD(IFERROR(MATCH(Settings!$E$47,$EO$4:$EO$10,0),0)-WEEKDAY(MAX($A44,Settings!$F$47)),7))/7)+1)),IF(AND(IF(Settings!$E$47="",$B44,DATE(YEAR($A44),MONTH($A44),MIN(Settings!$E$47,DAY($B44))))&gt;=MAX($A44,Settings!$F$47),IF(Settings!$E$47="",$B44,DATE(YEAR($A44),MONTH($A44),MIN(Settings!$E$47,DAY($B44))))&lt;=MIN(Settings!$B$5,IF(Settings!$G$47="",Settings!$B$5,Settings!$G$47))),1,0)))))</f>
        <v/>
      </c>
      <c r="EW44">
        <f>IF($E44&lt;&gt;"open",0,IF(AND('Month-End'!$AO$25&lt;&gt;"",NOT(_xlfn.ISFORMULA('Month-End'!$AO$25))),0,IF(OR(Settings!$C$48="",Settings!$D$48=""),0,Settings!$C$48*IF(Settings!$D$48="Weekly",IF(IFERROR(MATCH(Settings!$E$48,$EO$4:$EO$10,0),0)=0,0,IF(MIN(Settings!$B$5,IF(Settings!$G$48="",Settings!$B$5,Settings!$G$48))&lt;MAX($A44,Settings!$F$48),0,INT((MIN(Settings!$B$5,IF(Settings!$G$48="",Settings!$B$5,Settings!$G$48))-MAX($A44,Settings!$F$48)-MOD(IFERROR(MATCH(Settings!$E$48,$EO$4:$EO$10,0),0)-WEEKDAY(MAX($A44,Settings!$F$48)),7))/7)+1)),IF(AND(IF(Settings!$E$48="",$B44,DATE(YEAR($A44),MONTH($A44),MIN(Settings!$E$48,DAY($B44))))&gt;=MAX($A44,Settings!$F$48),IF(Settings!$E$48="",$B44,DATE(YEAR($A44),MONTH($A44),MIN(Settings!$E$48,DAY($B44))))&lt;=MIN(Settings!$B$5,IF(Settings!$G$48="",Settings!$B$5,Settings!$G$48))),1,0)))))</f>
        <v/>
      </c>
      <c r="EX44">
        <f>IF($E44&lt;&gt;"open",0,IF(AND('Month-End'!$AO$26&lt;&gt;"",NOT(_xlfn.ISFORMULA('Month-End'!$AO$26))),0,IF(OR(Settings!$C$49="",Settings!$D$49=""),0,Settings!$C$49*IF(Settings!$D$49="Weekly",IF(IFERROR(MATCH(Settings!$E$49,$EO$4:$EO$10,0),0)=0,0,IF(MIN(Settings!$B$5,IF(Settings!$G$49="",Settings!$B$5,Settings!$G$49))&lt;MAX($A44,Settings!$F$49),0,INT((MIN(Settings!$B$5,IF(Settings!$G$49="",Settings!$B$5,Settings!$G$49))-MAX($A44,Settings!$F$49)-MOD(IFERROR(MATCH(Settings!$E$49,$EO$4:$EO$10,0),0)-WEEKDAY(MAX($A44,Settings!$F$49)),7))/7)+1)),IF(AND(IF(Settings!$E$49="",$B44,DATE(YEAR($A44),MONTH($A44),MIN(Settings!$E$49,DAY($B44))))&gt;=MAX($A44,Settings!$F$49),IF(Settings!$E$49="",$B44,DATE(YEAR($A44),MONTH($A44),MIN(Settings!$E$49,DAY($B44))))&lt;=MIN(Settings!$B$5,IF(Settings!$G$49="",Settings!$B$5,Settings!$G$49))),1,0)))))</f>
        <v/>
      </c>
      <c r="EY44">
        <f>IF($E44&lt;&gt;"open",0,IF(AND('Month-End'!$AO$27&lt;&gt;"",NOT(_xlfn.ISFORMULA('Month-End'!$AO$27))),0,IF(OR(Settings!$C$50="",Settings!$D$50=""),0,Settings!$C$50*IF(Settings!$D$50="Weekly",IF(IFERROR(MATCH(Settings!$E$50,$EO$4:$EO$10,0),0)=0,0,IF(MIN(Settings!$B$5,IF(Settings!$G$50="",Settings!$B$5,Settings!$G$50))&lt;MAX($A44,Settings!$F$50),0,INT((MIN(Settings!$B$5,IF(Settings!$G$50="",Settings!$B$5,Settings!$G$50))-MAX($A44,Settings!$F$50)-MOD(IFERROR(MATCH(Settings!$E$50,$EO$4:$EO$10,0),0)-WEEKDAY(MAX($A44,Settings!$F$50)),7))/7)+1)),IF(AND(IF(Settings!$E$50="",$B44,DATE(YEAR($A44),MONTH($A44),MIN(Settings!$E$50,DAY($B44))))&gt;=MAX($A44,Settings!$F$50),IF(Settings!$E$50="",$B44,DATE(YEAR($A44),MONTH($A44),MIN(Settings!$E$50,DAY($B44))))&lt;=MIN(Settings!$B$5,IF(Settings!$G$50="",Settings!$B$5,Settings!$G$50))),1,0)))))</f>
        <v/>
      </c>
      <c r="EZ44">
        <f>IF($E44&lt;&gt;"open",0,IF(AND('Month-End'!$AO$28&lt;&gt;"",NOT(_xlfn.ISFORMULA('Month-End'!$AO$28))),0,IF(OR(Settings!$C$51="",Settings!$D$51=""),0,Settings!$C$51*IF(Settings!$D$51="Weekly",IF(IFERROR(MATCH(Settings!$E$51,$EO$4:$EO$10,0),0)=0,0,IF(MIN(Settings!$B$5,IF(Settings!$G$51="",Settings!$B$5,Settings!$G$51))&lt;MAX($A44,Settings!$F$51),0,INT((MIN(Settings!$B$5,IF(Settings!$G$51="",Settings!$B$5,Settings!$G$51))-MAX($A44,Settings!$F$51)-MOD(IFERROR(MATCH(Settings!$E$51,$EO$4:$EO$10,0),0)-WEEKDAY(MAX($A44,Settings!$F$51)),7))/7)+1)),IF(AND(IF(Settings!$E$51="",$B44,DATE(YEAR($A44),MONTH($A44),MIN(Settings!$E$51,DAY($B44))))&gt;=MAX($A44,Settings!$F$51),IF(Settings!$E$51="",$B44,DATE(YEAR($A44),MONTH($A44),MIN(Settings!$E$51,DAY($B44))))&lt;=MIN(Settings!$B$5,IF(Settings!$G$51="",Settings!$B$5,Settings!$G$51))),1,0)))))</f>
        <v/>
      </c>
      <c r="FA44">
        <f>IF($E44&lt;&gt;"open",0,IF(AND('Month-End'!$AO$29&lt;&gt;"",NOT(_xlfn.ISFORMULA('Month-End'!$AO$29))),0,IF(OR(Settings!$C$52="",Settings!$D$52=""),0,Settings!$C$52*IF(Settings!$D$52="Weekly",IF(IFERROR(MATCH(Settings!$E$52,$EO$4:$EO$10,0),0)=0,0,IF(MIN(Settings!$B$5,IF(Settings!$G$52="",Settings!$B$5,Settings!$G$52))&lt;MAX($A44,Settings!$F$52),0,INT((MIN(Settings!$B$5,IF(Settings!$G$52="",Settings!$B$5,Settings!$G$52))-MAX($A44,Settings!$F$52)-MOD(IFERROR(MATCH(Settings!$E$52,$EO$4:$EO$10,0),0)-WEEKDAY(MAX($A44,Settings!$F$52)),7))/7)+1)),IF(AND(IF(Settings!$E$52="",$B44,DATE(YEAR($A44),MONTH($A44),MIN(Settings!$E$52,DAY($B44))))&gt;=MAX($A44,Settings!$F$52),IF(Settings!$E$52="",$B44,DATE(YEAR($A44),MONTH($A44),MIN(Settings!$E$52,DAY($B44))))&lt;=MIN(Settings!$B$5,IF(Settings!$G$52="",Settings!$B$5,Settings!$G$52))),1,0)))))</f>
        <v/>
      </c>
      <c r="FB44">
        <f>IF($E44&lt;&gt;"open",0,IF(AND('Month-End'!$AO$30&lt;&gt;"",NOT(_xlfn.ISFORMULA('Month-End'!$AO$30))),0,IF(OR(Settings!$C$53="",Settings!$D$53=""),0,Settings!$C$53*IF(Settings!$D$53="Weekly",IF(IFERROR(MATCH(Settings!$E$53,$EO$4:$EO$10,0),0)=0,0,IF(MIN(Settings!$B$5,IF(Settings!$G$53="",Settings!$B$5,Settings!$G$53))&lt;MAX($A44,Settings!$F$53),0,INT((MIN(Settings!$B$5,IF(Settings!$G$53="",Settings!$B$5,Settings!$G$53))-MAX($A44,Settings!$F$53)-MOD(IFERROR(MATCH(Settings!$E$53,$EO$4:$EO$10,0),0)-WEEKDAY(MAX($A44,Settings!$F$53)),7))/7)+1)),IF(AND(IF(Settings!$E$53="",$B44,DATE(YEAR($A44),MONTH($A44),MIN(Settings!$E$53,DAY($B44))))&gt;=MAX($A44,Settings!$F$53),IF(Settings!$E$53="",$B44,DATE(YEAR($A44),MONTH($A44),MIN(Settings!$E$53,DAY($B44))))&lt;=MIN(Settings!$B$5,IF(Settings!$G$53="",Settings!$B$5,Settings!$G$53))),1,0)))))</f>
        <v/>
      </c>
      <c r="FC44">
        <f>IF($E44&lt;&gt;"open",0,IF(AND('Month-End'!$AO$31&lt;&gt;"",NOT(_xlfn.ISFORMULA('Month-End'!$AO$31))),0,IF(OR(Settings!$C$54="",Settings!$D$54=""),0,Settings!$C$54*IF(Settings!$D$54="Weekly",IF(IFERROR(MATCH(Settings!$E$54,$EO$4:$EO$10,0),0)=0,0,IF(MIN(Settings!$B$5,IF(Settings!$G$54="",Settings!$B$5,Settings!$G$54))&lt;MAX($A44,Settings!$F$54),0,INT((MIN(Settings!$B$5,IF(Settings!$G$54="",Settings!$B$5,Settings!$G$54))-MAX($A44,Settings!$F$54)-MOD(IFERROR(MATCH(Settings!$E$54,$EO$4:$EO$10,0),0)-WEEKDAY(MAX($A44,Settings!$F$54)),7))/7)+1)),IF(AND(IF(Settings!$E$54="",$B44,DATE(YEAR($A44),MONTH($A44),MIN(Settings!$E$54,DAY($B44))))&gt;=MAX($A44,Settings!$F$54),IF(Settings!$E$54="",$B44,DATE(YEAR($A44),MONTH($A44),MIN(Settings!$E$54,DAY($B44))))&lt;=MIN(Settings!$B$5,IF(Settings!$G$54="",Settings!$B$5,Settings!$G$54))),1,0)))))</f>
        <v/>
      </c>
      <c r="FD44">
        <f>IF($E44&lt;&gt;"open",0,IF(AND('Month-End'!$AO$32&lt;&gt;"",NOT(_xlfn.ISFORMULA('Month-End'!$AO$32))),0,IF(OR(Settings!$C$55="",Settings!$D$55=""),0,Settings!$C$55*IF(Settings!$D$55="Weekly",IF(IFERROR(MATCH(Settings!$E$55,$EO$4:$EO$10,0),0)=0,0,IF(MIN(Settings!$B$5,IF(Settings!$G$55="",Settings!$B$5,Settings!$G$55))&lt;MAX($A44,Settings!$F$55),0,INT((MIN(Settings!$B$5,IF(Settings!$G$55="",Settings!$B$5,Settings!$G$55))-MAX($A44,Settings!$F$55)-MOD(IFERROR(MATCH(Settings!$E$55,$EO$4:$EO$10,0),0)-WEEKDAY(MAX($A44,Settings!$F$55)),7))/7)+1)),IF(AND(IF(Settings!$E$55="",$B44,DATE(YEAR($A44),MONTH($A44),MIN(Settings!$E$55,DAY($B44))))&gt;=MAX($A44,Settings!$F$55),IF(Settings!$E$55="",$B44,DATE(YEAR($A44),MONTH($A44),MIN(Settings!$E$55,DAY($B44))))&lt;=MIN(Settings!$B$5,IF(Settings!$G$55="",Settings!$B$5,Settings!$G$55))),1,0)))))</f>
        <v/>
      </c>
      <c r="FE44">
        <f>IF($E44&lt;&gt;"open",0,IF(AND('Month-End'!$AO$33&lt;&gt;"",NOT(_xlfn.ISFORMULA('Month-End'!$AO$33))),0,IF(OR(Settings!$C$56="",Settings!$D$56=""),0,Settings!$C$56*IF(Settings!$D$56="Weekly",IF(IFERROR(MATCH(Settings!$E$56,$EO$4:$EO$10,0),0)=0,0,IF(MIN(Settings!$B$5,IF(Settings!$G$56="",Settings!$B$5,Settings!$G$56))&lt;MAX($A44,Settings!$F$56),0,INT((MIN(Settings!$B$5,IF(Settings!$G$56="",Settings!$B$5,Settings!$G$56))-MAX($A44,Settings!$F$56)-MOD(IFERROR(MATCH(Settings!$E$56,$EO$4:$EO$10,0),0)-WEEKDAY(MAX($A44,Settings!$F$56)),7))/7)+1)),IF(AND(IF(Settings!$E$56="",$B44,DATE(YEAR($A44),MONTH($A44),MIN(Settings!$E$56,DAY($B44))))&gt;=MAX($A44,Settings!$F$56),IF(Settings!$E$56="",$B44,DATE(YEAR($A44),MONTH($A44),MIN(Settings!$E$56,DAY($B44))))&lt;=MIN(Settings!$B$5,IF(Settings!$G$56="",Settings!$B$5,Settings!$G$56))),1,0)))))</f>
        <v/>
      </c>
      <c r="FF44">
        <f>IF(Settings!$I$45="Yes",$G44,0)+IF(Settings!$I$46="Yes",$H44,0)+IF(Settings!$I$47="Yes",$I44,0)+IF(Settings!$I$48="Yes",$J44,0)+IF(Settings!$I$49="Yes",$K44,0)+IF(Settings!$I$50="Yes",$L44,0)+IF(Settings!$I$51="Yes",$M44,0)+IF(Settings!$I$52="Yes",$N44,0)+IF(Settings!$I$53="Yes",$O44,0)+IF(Settings!$I$54="Yes",$P44,0)+IF(Settings!$I$55="Yes",$Q44,0)+IF(Settings!$I$56="Yes",$R44,0)</f>
        <v/>
      </c>
      <c r="FG44">
        <f>IF(AND(Settings!$I$45="Yes",Settings!$J$45="No"),$G44,0)+IF(AND(Settings!$I$46="Yes",Settings!$J$46="No"),$H44,0)+IF(AND(Settings!$I$47="Yes",Settings!$J$47="No"),$I44,0)+IF(AND(Settings!$I$48="Yes",Settings!$J$48="No"),$J44,0)+IF(AND(Settings!$I$49="Yes",Settings!$J$49="No"),$K44,0)+IF(AND(Settings!$I$50="Yes",Settings!$J$50="No"),$L44,0)+IF(AND(Settings!$I$51="Yes",Settings!$J$51="No"),$M44,0)+IF(AND(Settings!$I$52="Yes",Settings!$J$52="No"),$N44,0)+IF(AND(Settings!$I$53="Yes",Settings!$J$53="No"),$O44,0)+IF(AND(Settings!$I$54="Yes",Settings!$J$54="No"),$P44,0)+IF(AND(Settings!$I$55="Yes",Settings!$J$55="No"),$Q44,0)+IF(AND(Settings!$I$56="Yes",Settings!$J$56="No"),$R44,0)</f>
        <v/>
      </c>
      <c r="FH44">
        <f>SUMIFS(Giving!$B$7:$B$2006,Giving!$A$7:$A$2006,"&gt;="&amp;$A44,Giving!$A$7:$A$2006,"&lt;="&amp;$B44,Giving!$G$7:$G$2006,"Yes")+IF(OR(OR(Settings!$B$60="",Settings!$F$60="No"),Settings!$H$60&lt;&gt;"Yes"),0,Settings!$B$60*IF(AND(IF(Settings!$C$60="",$B44,DATE(YEAR($A44),MONTH($A44),MIN(Settings!$C$60,DAY($B44))))&gt;=MAX($A44,Settings!$D$60),IF(Settings!$C$60="",$B44,DATE(YEAR($A44),MONTH($A44),MIN(Settings!$C$60,DAY($B44))))&lt;=MIN($C44,IF(Settings!$E$60="",$C44,Settings!$E$60))),1,0))+IF(OR(OR(Settings!$B$61="",Settings!$F$61="No"),Settings!$H$61&lt;&gt;"Yes"),0,Settings!$B$61*IF(AND(IF(Settings!$C$61="",$B44,DATE(YEAR($A44),MONTH($A44),MIN(Settings!$C$61,DAY($B44))))&gt;=MAX($A44,Settings!$D$61),IF(Settings!$C$61="",$B44,DATE(YEAR($A44),MONTH($A44),MIN(Settings!$C$61,DAY($B44))))&lt;=MIN($C44,IF(Settings!$E$61="",$C44,Settings!$E$61))),1,0))+IF(OR(OR(Settings!$B$62="",Settings!$F$62="No"),Settings!$H$62&lt;&gt;"Yes"),0,Settings!$B$62*IF(AND(IF(Settings!$C$62="",$B44,DATE(YEAR($A44),MONTH($A44),MIN(Settings!$C$62,DAY($B44))))&gt;=MAX($A44,Settings!$D$62),IF(Settings!$C$62="",$B44,DATE(YEAR($A44),MONTH($A44),MIN(Settings!$C$62,DAY($B44))))&lt;=MIN($C44,IF(Settings!$E$62="",$C44,Settings!$E$62))),1,0))+IF(OR(OR(Settings!$B$63="",Settings!$F$63="No"),Settings!$H$63&lt;&gt;"Yes"),0,Settings!$B$63*IF(AND(IF(Settings!$C$63="",$B44,DATE(YEAR($A44),MONTH($A44),MIN(Settings!$C$63,DAY($B44))))&gt;=MAX($A44,Settings!$D$63),IF(Settings!$C$63="",$B44,DATE(YEAR($A44),MONTH($A44),MIN(Settings!$C$63,DAY($B44))))&lt;=MIN($C44,IF(Settings!$E$63="",$C44,Settings!$E$63))),1,0))+IF(OR(OR(Settings!$B$64="",Settings!$F$64="No"),Settings!$H$64&lt;&gt;"Yes"),0,Settings!$B$64*IF(AND(IF(Settings!$C$64="",$B44,DATE(YEAR($A44),MONTH($A44),MIN(Settings!$C$64,DAY($B44))))&gt;=MAX($A44,Settings!$D$64),IF(Settings!$C$64="",$B44,DATE(YEAR($A44),MONTH($A44),MIN(Settings!$C$64,DAY($B44))))&lt;=MIN($C44,IF(Settings!$E$64="",$C44,Settings!$E$64))),1,0))+IF(OR(OR(Settings!$B$65="",Settings!$F$65="No"),Settings!$H$65&lt;&gt;"Yes"),0,Settings!$B$65*IF(AND(IF(Settings!$C$65="",$B44,DATE(YEAR($A44),MONTH($A44),MIN(Settings!$C$65,DAY($B44))))&gt;=MAX($A44,Settings!$D$65),IF(Settings!$C$65="",$B44,DATE(YEAR($A44),MONTH($A44),MIN(Settings!$C$65,DAY($B44))))&lt;=MIN($C44,IF(Settings!$E$65="",$C44,Settings!$E$65))),1,0))</f>
        <v/>
      </c>
      <c r="FI44">
        <f>IF($DT44=1,IF(OR(Settings!$B$19="Card",Settings!$B$19="Loan"),N($AE44),0)+IF(OR(Settings!$B$20="Card",Settings!$B$20="Loan"),N($AF44),0)+IF(OR(Settings!$B$21="Card",Settings!$B$21="Loan"),N($AG44),0)+IF(OR(Settings!$B$22="Card",Settings!$B$22="Loan"),N($AH44),0)+IF(OR(Settings!$B$23="Card",Settings!$B$23="Loan"),N($AI44),0)+IF(OR(Settings!$B$24="Card",Settings!$B$24="Loan"),N($AJ44),0)+IF(OR(Settings!$B$25="Card",Settings!$B$25="Loan"),N($AK44),0)+IF(OR(Settings!$B$26="Card",Settings!$B$26="Loan"),N($AL44),0)+IF(OR(Settings!$B$27="Card",Settings!$B$27="Loan"),N($AM44),0)+IF(OR(Settings!$B$28="Card",Settings!$B$28="Loan"),N($AN44),0)+IF(OR(Settings!$B$29="Card",Settings!$B$29="Loan"),N($AO44),0)+IF(OR(Settings!$B$30="Card",Settings!$B$30="Loan"),N($AP44),0)+IF(OR(Settings!$B$31="Card",Settings!$B$31="Loan"),N($AQ44),0)+IF(OR(Settings!$B$32="Card",Settings!$B$32="Loan"),N($AR44),0),"")</f>
        <v/>
      </c>
      <c r="FJ44">
        <f>IF($E44="open",$EB$65,IF($E44="post",IF($E43="pre",$EB$65,$FI43),""))</f>
        <v/>
      </c>
      <c r="FK44">
        <f>IF(AND($DT44=1,$DC44=1),IF(ROUND($FI44-$FJ44,2)&gt;0,1,0),0)</f>
        <v/>
      </c>
      <c r="FL44">
        <f>IF($FK44=1,$FL43+1,0)</f>
        <v/>
      </c>
    </row>
    <row r="45">
      <c r="A45">
        <f>'Month-End'!$AP$4</f>
        <v/>
      </c>
      <c r="B45">
        <f>EOMONTH($A45,0)</f>
        <v/>
      </c>
      <c r="C45">
        <f>MIN($B45,TODAY())</f>
        <v/>
      </c>
      <c r="D45">
        <f>IF($A45&gt;TODAY(),1,0)</f>
        <v/>
      </c>
      <c r="E45">
        <f>IF($B45&lt;=Settings!$B$5,"pre",IF($A45&lt;=Settings!$B$5,"open","post"))</f>
        <v/>
      </c>
      <c r="G45">
        <f>IF('Month-End'!$AP$22="",$BE45,N('Month-End'!$AP$22))</f>
        <v/>
      </c>
      <c r="H45">
        <f>IF('Month-End'!$AP$23="",$BF45,N('Month-End'!$AP$23))</f>
        <v/>
      </c>
      <c r="I45">
        <f>IF('Month-End'!$AP$24="",$BG45,N('Month-End'!$AP$24))</f>
        <v/>
      </c>
      <c r="J45">
        <f>IF('Month-End'!$AP$25="",$BH45,N('Month-End'!$AP$25))</f>
        <v/>
      </c>
      <c r="K45">
        <f>IF('Month-End'!$AP$26="",$BI45,N('Month-End'!$AP$26))</f>
        <v/>
      </c>
      <c r="L45">
        <f>IF('Month-End'!$AP$27="",$BJ45,N('Month-End'!$AP$27))</f>
        <v/>
      </c>
      <c r="M45">
        <f>IF('Month-End'!$AP$28="",$BK45,N('Month-End'!$AP$28))</f>
        <v/>
      </c>
      <c r="N45">
        <f>IF('Month-End'!$AP$29="",$BL45,N('Month-End'!$AP$29))</f>
        <v/>
      </c>
      <c r="O45">
        <f>IF('Month-End'!$AP$30="",$BM45,N('Month-End'!$AP$30))</f>
        <v/>
      </c>
      <c r="P45">
        <f>IF('Month-End'!$AP$31="",$BN45,N('Month-End'!$AP$31))</f>
        <v/>
      </c>
      <c r="Q45">
        <f>IF('Month-End'!$AP$32="",$BO45,N('Month-End'!$AP$32))</f>
        <v/>
      </c>
      <c r="R45">
        <f>IF('Month-End'!$AP$33="",$BP45,N('Month-End'!$AP$33))</f>
        <v/>
      </c>
      <c r="S45">
        <f>$G45+$H45+$I45+$J45+$K45+$L45+$M45+$N45+$O45+$P45+$Q45+$R45</f>
        <v/>
      </c>
      <c r="T45">
        <f>IF($B45&lt;Settings!$B$6,0,IF(Settings!$B$45="Yes",$G45,0)+IF(Settings!$B$46="Yes",$H45,0)+IF(Settings!$B$47="Yes",$I45,0)+IF(Settings!$B$48="Yes",$J45,0)+IF(Settings!$B$49="Yes",$K45,0)+IF(Settings!$B$50="Yes",$L45,0)+IF(Settings!$B$51="Yes",$M45,0)+IF(Settings!$B$52="Yes",$N45,0)+IF(Settings!$B$53="Yes",$O45,0)+IF(Settings!$B$54="Yes",$P45,0)+IF(Settings!$B$55="Yes",$Q45,0)+IF(Settings!$B$56="Yes",$R45,0))</f>
        <v/>
      </c>
      <c r="U45">
        <f>IF(Settings!$B$45="Not Sure",$G45,0)+IF(Settings!$B$46="Not Sure",$H45,0)+IF(Settings!$B$47="Not Sure",$I45,0)+IF(Settings!$B$48="Not Sure",$J45,0)+IF(Settings!$B$49="Not Sure",$K45,0)+IF(Settings!$B$50="Not Sure",$L45,0)+IF(Settings!$B$51="Not Sure",$M45,0)+IF(Settings!$B$52="Not Sure",$N45,0)+IF(Settings!$B$53="Not Sure",$O45,0)+IF(Settings!$B$54="Not Sure",$P45,0)+IF(Settings!$B$55="Not Sure",$Q45,0)+IF(Settings!$B$56="Not Sure",$R45,0)</f>
        <v/>
      </c>
      <c r="V45">
        <f>IF($E45="open",SUM($ET45:$FE45)+N(Settings!$B$13),0)</f>
        <v/>
      </c>
      <c r="W45">
        <f>IF($E45="post",$S45,IF($E45="open",$S45-$V45,0))</f>
        <v/>
      </c>
      <c r="X45">
        <f>SUMIFS(Giving!$B$7:$B$2006,Giving!$A$7:$A$2006,"&gt;="&amp;$A45,Giving!$A$7:$A$2006,"&lt;="&amp;$B45,Giving!$E$7:$E$2006,"&lt;&gt;No")</f>
        <v/>
      </c>
      <c r="Y45">
        <f>SUMIFS(Giving!$B$7:$B$2006,Giving!$A$7:$A$2006,"&gt;="&amp;$A45,Giving!$A$7:$A$2006,"&lt;="&amp;$B45,Giving!$E$7:$E$2006,"No")</f>
        <v/>
      </c>
      <c r="Z45">
        <f>IF(OR(Settings!$B$60="",Settings!$F$60="No"),0,Settings!$B$60*IF(AND(IF(Settings!$C$60="",$B45,DATE(YEAR($A45),MONTH($A45),MIN(Settings!$C$60,DAY($B45))))&gt;=MAX($A45,Settings!$D$60),IF(Settings!$C$60="",$B45,DATE(YEAR($A45),MONTH($A45),MIN(Settings!$C$60,DAY($B45))))&lt;=MIN($C45,IF(Settings!$E$60="",$C45,Settings!$E$60))),1,0))+IF(OR(Settings!$B$61="",Settings!$F$61="No"),0,Settings!$B$61*IF(AND(IF(Settings!$C$61="",$B45,DATE(YEAR($A45),MONTH($A45),MIN(Settings!$C$61,DAY($B45))))&gt;=MAX($A45,Settings!$D$61),IF(Settings!$C$61="",$B45,DATE(YEAR($A45),MONTH($A45),MIN(Settings!$C$61,DAY($B45))))&lt;=MIN($C45,IF(Settings!$E$61="",$C45,Settings!$E$61))),1,0))+IF(OR(Settings!$B$62="",Settings!$F$62="No"),0,Settings!$B$62*IF(AND(IF(Settings!$C$62="",$B45,DATE(YEAR($A45),MONTH($A45),MIN(Settings!$C$62,DAY($B45))))&gt;=MAX($A45,Settings!$D$62),IF(Settings!$C$62="",$B45,DATE(YEAR($A45),MONTH($A45),MIN(Settings!$C$62,DAY($B45))))&lt;=MIN($C45,IF(Settings!$E$62="",$C45,Settings!$E$62))),1,0))+IF(OR(Settings!$B$63="",Settings!$F$63="No"),0,Settings!$B$63*IF(AND(IF(Settings!$C$63="",$B45,DATE(YEAR($A45),MONTH($A45),MIN(Settings!$C$63,DAY($B45))))&gt;=MAX($A45,Settings!$D$63),IF(Settings!$C$63="",$B45,DATE(YEAR($A45),MONTH($A45),MIN(Settings!$C$63,DAY($B45))))&lt;=MIN($C45,IF(Settings!$E$63="",$C45,Settings!$E$63))),1,0))+IF(OR(Settings!$B$64="",Settings!$F$64="No"),0,Settings!$B$64*IF(AND(IF(Settings!$C$64="",$B45,DATE(YEAR($A45),MONTH($A45),MIN(Settings!$C$64,DAY($B45))))&gt;=MAX($A45,Settings!$D$64),IF(Settings!$C$64="",$B45,DATE(YEAR($A45),MONTH($A45),MIN(Settings!$C$64,DAY($B45))))&lt;=MIN($C45,IF(Settings!$E$64="",$C45,Settings!$E$64))),1,0))+IF(OR(Settings!$B$65="",Settings!$F$65="No"),0,Settings!$B$65*IF(AND(IF(Settings!$C$65="",$B45,DATE(YEAR($A45),MONTH($A45),MIN(Settings!$C$65,DAY($B45))))&gt;=MAX($A45,Settings!$D$65),IF(Settings!$C$65="",$B45,DATE(YEAR($A45),MONTH($A45),MIN(Settings!$C$65,DAY($B45))))&lt;=MIN($C45,IF(Settings!$E$65="",$C45,Settings!$E$65))),1,0))</f>
        <v/>
      </c>
      <c r="AA45">
        <f>$X45+$Z45</f>
        <v/>
      </c>
      <c r="AB45">
        <f>IF($E45="post",$AA45,IF($E45="open",SUMIFS(Giving!$B$7:$B$2006,Giving!$A$7:$A$2006,"&gt;"&amp;Settings!$B$5,Giving!$A$7:$A$2006,"&lt;="&amp;$B45,Giving!$E$7:$E$2006,"&lt;&gt;No")+IF(OR(Settings!$B$60="",Settings!$F$60="No"),0,Settings!$B$60*IF(AND(IF(Settings!$C$60="",$B45,DATE(YEAR($A45),MONTH($A45),MIN(Settings!$C$60,DAY($B45))))&gt;=MAX($A45,Settings!$D$60,Settings!$B$5+1),IF(Settings!$C$60="",$B45,DATE(YEAR($A45),MONTH($A45),MIN(Settings!$C$60,DAY($B45))))&lt;=MIN($C45,IF(Settings!$E$60="",$C45,Settings!$E$60))),1,0))+IF(OR(Settings!$B$61="",Settings!$F$61="No"),0,Settings!$B$61*IF(AND(IF(Settings!$C$61="",$B45,DATE(YEAR($A45),MONTH($A45),MIN(Settings!$C$61,DAY($B45))))&gt;=MAX($A45,Settings!$D$61,Settings!$B$5+1),IF(Settings!$C$61="",$B45,DATE(YEAR($A45),MONTH($A45),MIN(Settings!$C$61,DAY($B45))))&lt;=MIN($C45,IF(Settings!$E$61="",$C45,Settings!$E$61))),1,0))+IF(OR(Settings!$B$62="",Settings!$F$62="No"),0,Settings!$B$62*IF(AND(IF(Settings!$C$62="",$B45,DATE(YEAR($A45),MONTH($A45),MIN(Settings!$C$62,DAY($B45))))&gt;=MAX($A45,Settings!$D$62,Settings!$B$5+1),IF(Settings!$C$62="",$B45,DATE(YEAR($A45),MONTH($A45),MIN(Settings!$C$62,DAY($B45))))&lt;=MIN($C45,IF(Settings!$E$62="",$C45,Settings!$E$62))),1,0))+IF(OR(Settings!$B$63="",Settings!$F$63="No"),0,Settings!$B$63*IF(AND(IF(Settings!$C$63="",$B45,DATE(YEAR($A45),MONTH($A45),MIN(Settings!$C$63,DAY($B45))))&gt;=MAX($A45,Settings!$D$63,Settings!$B$5+1),IF(Settings!$C$63="",$B45,DATE(YEAR($A45),MONTH($A45),MIN(Settings!$C$63,DAY($B45))))&lt;=MIN($C45,IF(Settings!$E$63="",$C45,Settings!$E$63))),1,0))+IF(OR(Settings!$B$64="",Settings!$F$64="No"),0,Settings!$B$64*IF(AND(IF(Settings!$C$64="",$B45,DATE(YEAR($A45),MONTH($A45),MIN(Settings!$C$64,DAY($B45))))&gt;=MAX($A45,Settings!$D$64,Settings!$B$5+1),IF(Settings!$C$64="",$B45,DATE(YEAR($A45),MONTH($A45),MIN(Settings!$C$64,DAY($B45))))&lt;=MIN($C45,IF(Settings!$E$64="",$C45,Settings!$E$64))),1,0))+IF(OR(Settings!$B$65="",Settings!$F$65="No"),0,Settings!$B$65*IF(AND(IF(Settings!$C$65="",$B45,DATE(YEAR($A45),MONTH($A45),MIN(Settings!$C$65,DAY($B45))))&gt;=MAX($A45,Settings!$D$65,Settings!$B$5+1),IF(Settings!$C$65="",$B45,DATE(YEAR($A45),MONTH($A45),MIN(Settings!$C$65,DAY($B45))))&lt;=MIN($C45,IF(Settings!$E$65="",$C45,Settings!$E$65))),1,0)),0))</f>
        <v/>
      </c>
      <c r="AC45">
        <f>$AY45+$AZ45+$BA45+$BB45+$BC45+$BD45</f>
        <v/>
      </c>
      <c r="AD45">
        <f>$AC45</f>
        <v/>
      </c>
      <c r="AE45">
        <f>IF(OR(Settings!$A$19="",$E45="pre"),"",IF(AND('Month-End'!$AP$7&lt;&gt;"",NOT(_xlfn.ISFORMULA('Month-End'!$AP$7))),N('Month-End'!$AP$7),IF(OR($E45="open",$E44="pre"),N(Settings!$C$19),N($AE44))))</f>
        <v/>
      </c>
      <c r="AF45">
        <f>IF(OR(Settings!$A$20="",$E45="pre"),"",IF(AND('Month-End'!$AP$8&lt;&gt;"",NOT(_xlfn.ISFORMULA('Month-End'!$AP$8))),N('Month-End'!$AP$8),IF(OR($E45="open",$E44="pre"),N(Settings!$C$20),N($AF44))))</f>
        <v/>
      </c>
      <c r="AG45">
        <f>IF(OR(Settings!$A$21="",$E45="pre"),"",IF(AND('Month-End'!$AP$9&lt;&gt;"",NOT(_xlfn.ISFORMULA('Month-End'!$AP$9))),N('Month-End'!$AP$9),IF(OR($E45="open",$E44="pre"),N(Settings!$C$21),N($AG44))))</f>
        <v/>
      </c>
      <c r="AH45">
        <f>IF(OR(Settings!$A$22="",$E45="pre"),"",IF(AND('Month-End'!$AP$10&lt;&gt;"",NOT(_xlfn.ISFORMULA('Month-End'!$AP$10))),N('Month-End'!$AP$10),IF(OR($E45="open",$E44="pre"),N(Settings!$C$22),N($AH44))))</f>
        <v/>
      </c>
      <c r="AI45">
        <f>IF(OR(Settings!$A$23="",$E45="pre"),"",IF(AND('Month-End'!$AP$11&lt;&gt;"",NOT(_xlfn.ISFORMULA('Month-End'!$AP$11))),N('Month-End'!$AP$11),IF(OR($E45="open",$E44="pre"),N(Settings!$C$23),N($AI44))))</f>
        <v/>
      </c>
      <c r="AJ45">
        <f>IF(OR(Settings!$A$24="",$E45="pre"),"",IF(AND('Month-End'!$AP$12&lt;&gt;"",NOT(_xlfn.ISFORMULA('Month-End'!$AP$12))),N('Month-End'!$AP$12),IF(OR($E45="open",$E44="pre"),N(Settings!$C$24),N($AJ44))))</f>
        <v/>
      </c>
      <c r="AK45">
        <f>IF(OR(Settings!$A$25="",$E45="pre"),"",IF(AND('Month-End'!$AP$13&lt;&gt;"",NOT(_xlfn.ISFORMULA('Month-End'!$AP$13))),N('Month-End'!$AP$13),IF(OR($E45="open",$E44="pre"),N(Settings!$C$25),N($AK44))))</f>
        <v/>
      </c>
      <c r="AL45">
        <f>IF(OR(Settings!$A$26="",$E45="pre"),"",IF(AND('Month-End'!$AP$14&lt;&gt;"",NOT(_xlfn.ISFORMULA('Month-End'!$AP$14))),N('Month-End'!$AP$14),IF(OR($E45="open",$E44="pre"),N(Settings!$C$26),N($AL44))))</f>
        <v/>
      </c>
      <c r="AM45">
        <f>IF(OR(Settings!$A$27="",$E45="pre"),"",IF(AND('Month-End'!$AP$15&lt;&gt;"",NOT(_xlfn.ISFORMULA('Month-End'!$AP$15))),N('Month-End'!$AP$15),IF(OR($E45="open",$E44="pre"),N(Settings!$C$27),N($AM44))))</f>
        <v/>
      </c>
      <c r="AN45">
        <f>IF(OR(Settings!$A$28="",$E45="pre"),"",IF(AND('Month-End'!$AP$16&lt;&gt;"",NOT(_xlfn.ISFORMULA('Month-End'!$AP$16))),N('Month-End'!$AP$16),IF(OR($E45="open",$E44="pre"),N(Settings!$C$28),N($AN44))))</f>
        <v/>
      </c>
      <c r="AO45">
        <f>IF(OR(Settings!$A$29="",$E45="pre"),"",IF(AND('Month-End'!$AP$17&lt;&gt;"",NOT(_xlfn.ISFORMULA('Month-End'!$AP$17))),N('Month-End'!$AP$17),IF(OR($E45="open",$E44="pre"),N(Settings!$C$29),N($AO44))))</f>
        <v/>
      </c>
      <c r="AP45">
        <f>IF(OR(Settings!$A$30="",$E45="pre"),"",IF(AND('Month-End'!$AP$18&lt;&gt;"",NOT(_xlfn.ISFORMULA('Month-End'!$AP$18))),N('Month-End'!$AP$18),IF(OR($E45="open",$E44="pre"),N(Settings!$C$30),N($AP44))))</f>
        <v/>
      </c>
      <c r="AQ45">
        <f>IF(OR(Settings!$A$31="",$E45="pre"),"",IF(AND('Month-End'!$AP$19&lt;&gt;"",NOT(_xlfn.ISFORMULA('Month-End'!$AP$19))),N('Month-End'!$AP$19),IF(OR($E45="open",$E44="pre"),N(Settings!$C$31),N($AQ44))))</f>
        <v/>
      </c>
      <c r="AR45">
        <f>IF(OR(Settings!$A$32="",$E45="pre"),"",IF(AND('Month-End'!$AP$20&lt;&gt;"",NOT(_xlfn.ISFORMULA('Month-End'!$AP$20))),N('Month-End'!$AP$20),IF(OR($E45="open",$E44="pre"),N(Settings!$C$32),N($AR44))))</f>
        <v/>
      </c>
      <c r="AS45">
        <f>IF(OR(Settings!$A$36="",$E45="pre"),"",IF(AND('Month-End'!$AP$38&lt;&gt;"",NOT(_xlfn.ISFORMULA('Month-End'!$AP$38))),N('Month-End'!$AP$38),IF(OR($E45="open",$E44="pre"),N(Settings!$C$36),N($AS44))+$AY45))</f>
        <v/>
      </c>
      <c r="AT45">
        <f>IF(OR(Settings!$A$37="",$E45="pre"),"",IF(AND('Month-End'!$AP$39&lt;&gt;"",NOT(_xlfn.ISFORMULA('Month-End'!$AP$39))),N('Month-End'!$AP$39),IF(OR($E45="open",$E44="pre"),N(Settings!$C$37),N($AT44))+$AZ45))</f>
        <v/>
      </c>
      <c r="AU45">
        <f>IF(OR(Settings!$A$38="",$E45="pre"),"",IF(AND('Month-End'!$AP$40&lt;&gt;"",NOT(_xlfn.ISFORMULA('Month-End'!$AP$40))),N('Month-End'!$AP$40),IF(OR($E45="open",$E44="pre"),N(Settings!$C$38),N($AU44))+$BA45))</f>
        <v/>
      </c>
      <c r="AV45">
        <f>IF(OR(Settings!$A$39="",$E45="pre"),"",IF(AND('Month-End'!$AP$41&lt;&gt;"",NOT(_xlfn.ISFORMULA('Month-End'!$AP$41))),N('Month-End'!$AP$41),IF(OR($E45="open",$E44="pre"),N(Settings!$C$39),N($AV44))+$BB45))</f>
        <v/>
      </c>
      <c r="AW45">
        <f>IF(OR(Settings!$A$40="",$E45="pre"),"",IF(AND('Month-End'!$AP$42&lt;&gt;"",NOT(_xlfn.ISFORMULA('Month-End'!$AP$42))),N('Month-End'!$AP$42),IF(OR($E45="open",$E44="pre"),N(Settings!$C$40),N($AW44))+$BC45))</f>
        <v/>
      </c>
      <c r="AX45">
        <f>IF(OR(Settings!$A$41="",$E45="pre"),"",IF(AND('Month-End'!$AP$43&lt;&gt;"",NOT(_xlfn.ISFORMULA('Month-End'!$AP$43))),N('Month-End'!$AP$43),IF(OR($E45="open",$E44="pre"),N(Settings!$C$41),N($AX44))+$BD45))</f>
        <v/>
      </c>
      <c r="AY45">
        <f>IF($E45="pre",0,N('Month-End'!$AP$45))</f>
        <v/>
      </c>
      <c r="AZ45">
        <f>IF($E45="pre",0,N('Month-End'!$AP$46))</f>
        <v/>
      </c>
      <c r="BA45">
        <f>IF($E45="pre",0,N('Month-End'!$AP$47))</f>
        <v/>
      </c>
      <c r="BB45">
        <f>IF($E45="pre",0,N('Month-End'!$AP$48))</f>
        <v/>
      </c>
      <c r="BC45">
        <f>IF($E45="pre",0,N('Month-End'!$AP$49))</f>
        <v/>
      </c>
      <c r="BD45">
        <f>IF($E45="pre",0,N('Month-End'!$AP$50))</f>
        <v/>
      </c>
      <c r="BE45">
        <f>IF(OR(Settings!$C$45="",Settings!$D$45=""),0,Settings!$C$45*IF(Settings!$D$45="Weekly",IF(IFERROR(MATCH(Settings!$E$45,$EO$4:$EO$10,0),0)=0,0,IF(MIN($C45,IF(Settings!$G$45="",$C45,Settings!$G$45))&lt;MAX($A45,Settings!$F$45),0,INT((MIN($C45,IF(Settings!$G$45="",$C45,Settings!$G$45))-MAX($A45,Settings!$F$45)-MOD(IFERROR(MATCH(Settings!$E$45,$EO$4:$EO$10,0),0)-WEEKDAY(MAX($A45,Settings!$F$45)),7))/7)+1)),IF(AND(IF(Settings!$E$45="",$B45,DATE(YEAR($A45),MONTH($A45),MIN(Settings!$E$45,DAY($B45))))&gt;=MAX($A45,Settings!$F$45),IF(Settings!$E$45="",$B45,DATE(YEAR($A45),MONTH($A45),MIN(Settings!$E$45,DAY($B45))))&lt;=MIN($C45,IF(Settings!$G$45="",$C45,Settings!$G$45))),1,0)))</f>
        <v/>
      </c>
      <c r="BF45">
        <f>IF(OR(Settings!$C$46="",Settings!$D$46=""),0,Settings!$C$46*IF(Settings!$D$46="Weekly",IF(IFERROR(MATCH(Settings!$E$46,$EO$4:$EO$10,0),0)=0,0,IF(MIN($C45,IF(Settings!$G$46="",$C45,Settings!$G$46))&lt;MAX($A45,Settings!$F$46),0,INT((MIN($C45,IF(Settings!$G$46="",$C45,Settings!$G$46))-MAX($A45,Settings!$F$46)-MOD(IFERROR(MATCH(Settings!$E$46,$EO$4:$EO$10,0),0)-WEEKDAY(MAX($A45,Settings!$F$46)),7))/7)+1)),IF(AND(IF(Settings!$E$46="",$B45,DATE(YEAR($A45),MONTH($A45),MIN(Settings!$E$46,DAY($B45))))&gt;=MAX($A45,Settings!$F$46),IF(Settings!$E$46="",$B45,DATE(YEAR($A45),MONTH($A45),MIN(Settings!$E$46,DAY($B45))))&lt;=MIN($C45,IF(Settings!$G$46="",$C45,Settings!$G$46))),1,0)))</f>
        <v/>
      </c>
      <c r="BG45">
        <f>IF(OR(Settings!$C$47="",Settings!$D$47=""),0,Settings!$C$47*IF(Settings!$D$47="Weekly",IF(IFERROR(MATCH(Settings!$E$47,$EO$4:$EO$10,0),0)=0,0,IF(MIN($C45,IF(Settings!$G$47="",$C45,Settings!$G$47))&lt;MAX($A45,Settings!$F$47),0,INT((MIN($C45,IF(Settings!$G$47="",$C45,Settings!$G$47))-MAX($A45,Settings!$F$47)-MOD(IFERROR(MATCH(Settings!$E$47,$EO$4:$EO$10,0),0)-WEEKDAY(MAX($A45,Settings!$F$47)),7))/7)+1)),IF(AND(IF(Settings!$E$47="",$B45,DATE(YEAR($A45),MONTH($A45),MIN(Settings!$E$47,DAY($B45))))&gt;=MAX($A45,Settings!$F$47),IF(Settings!$E$47="",$B45,DATE(YEAR($A45),MONTH($A45),MIN(Settings!$E$47,DAY($B45))))&lt;=MIN($C45,IF(Settings!$G$47="",$C45,Settings!$G$47))),1,0)))</f>
        <v/>
      </c>
      <c r="BH45">
        <f>IF(OR(Settings!$C$48="",Settings!$D$48=""),0,Settings!$C$48*IF(Settings!$D$48="Weekly",IF(IFERROR(MATCH(Settings!$E$48,$EO$4:$EO$10,0),0)=0,0,IF(MIN($C45,IF(Settings!$G$48="",$C45,Settings!$G$48))&lt;MAX($A45,Settings!$F$48),0,INT((MIN($C45,IF(Settings!$G$48="",$C45,Settings!$G$48))-MAX($A45,Settings!$F$48)-MOD(IFERROR(MATCH(Settings!$E$48,$EO$4:$EO$10,0),0)-WEEKDAY(MAX($A45,Settings!$F$48)),7))/7)+1)),IF(AND(IF(Settings!$E$48="",$B45,DATE(YEAR($A45),MONTH($A45),MIN(Settings!$E$48,DAY($B45))))&gt;=MAX($A45,Settings!$F$48),IF(Settings!$E$48="",$B45,DATE(YEAR($A45),MONTH($A45),MIN(Settings!$E$48,DAY($B45))))&lt;=MIN($C45,IF(Settings!$G$48="",$C45,Settings!$G$48))),1,0)))</f>
        <v/>
      </c>
      <c r="BI45">
        <f>IF(OR(Settings!$C$49="",Settings!$D$49=""),0,Settings!$C$49*IF(Settings!$D$49="Weekly",IF(IFERROR(MATCH(Settings!$E$49,$EO$4:$EO$10,0),0)=0,0,IF(MIN($C45,IF(Settings!$G$49="",$C45,Settings!$G$49))&lt;MAX($A45,Settings!$F$49),0,INT((MIN($C45,IF(Settings!$G$49="",$C45,Settings!$G$49))-MAX($A45,Settings!$F$49)-MOD(IFERROR(MATCH(Settings!$E$49,$EO$4:$EO$10,0),0)-WEEKDAY(MAX($A45,Settings!$F$49)),7))/7)+1)),IF(AND(IF(Settings!$E$49="",$B45,DATE(YEAR($A45),MONTH($A45),MIN(Settings!$E$49,DAY($B45))))&gt;=MAX($A45,Settings!$F$49),IF(Settings!$E$49="",$B45,DATE(YEAR($A45),MONTH($A45),MIN(Settings!$E$49,DAY($B45))))&lt;=MIN($C45,IF(Settings!$G$49="",$C45,Settings!$G$49))),1,0)))</f>
        <v/>
      </c>
      <c r="BJ45">
        <f>IF(OR(Settings!$C$50="",Settings!$D$50=""),0,Settings!$C$50*IF(Settings!$D$50="Weekly",IF(IFERROR(MATCH(Settings!$E$50,$EO$4:$EO$10,0),0)=0,0,IF(MIN($C45,IF(Settings!$G$50="",$C45,Settings!$G$50))&lt;MAX($A45,Settings!$F$50),0,INT((MIN($C45,IF(Settings!$G$50="",$C45,Settings!$G$50))-MAX($A45,Settings!$F$50)-MOD(IFERROR(MATCH(Settings!$E$50,$EO$4:$EO$10,0),0)-WEEKDAY(MAX($A45,Settings!$F$50)),7))/7)+1)),IF(AND(IF(Settings!$E$50="",$B45,DATE(YEAR($A45),MONTH($A45),MIN(Settings!$E$50,DAY($B45))))&gt;=MAX($A45,Settings!$F$50),IF(Settings!$E$50="",$B45,DATE(YEAR($A45),MONTH($A45),MIN(Settings!$E$50,DAY($B45))))&lt;=MIN($C45,IF(Settings!$G$50="",$C45,Settings!$G$50))),1,0)))</f>
        <v/>
      </c>
      <c r="BK45">
        <f>IF(OR(Settings!$C$51="",Settings!$D$51=""),0,Settings!$C$51*IF(Settings!$D$51="Weekly",IF(IFERROR(MATCH(Settings!$E$51,$EO$4:$EO$10,0),0)=0,0,IF(MIN($C45,IF(Settings!$G$51="",$C45,Settings!$G$51))&lt;MAX($A45,Settings!$F$51),0,INT((MIN($C45,IF(Settings!$G$51="",$C45,Settings!$G$51))-MAX($A45,Settings!$F$51)-MOD(IFERROR(MATCH(Settings!$E$51,$EO$4:$EO$10,0),0)-WEEKDAY(MAX($A45,Settings!$F$51)),7))/7)+1)),IF(AND(IF(Settings!$E$51="",$B45,DATE(YEAR($A45),MONTH($A45),MIN(Settings!$E$51,DAY($B45))))&gt;=MAX($A45,Settings!$F$51),IF(Settings!$E$51="",$B45,DATE(YEAR($A45),MONTH($A45),MIN(Settings!$E$51,DAY($B45))))&lt;=MIN($C45,IF(Settings!$G$51="",$C45,Settings!$G$51))),1,0)))</f>
        <v/>
      </c>
      <c r="BL45">
        <f>IF(OR(Settings!$C$52="",Settings!$D$52=""),0,Settings!$C$52*IF(Settings!$D$52="Weekly",IF(IFERROR(MATCH(Settings!$E$52,$EO$4:$EO$10,0),0)=0,0,IF(MIN($C45,IF(Settings!$G$52="",$C45,Settings!$G$52))&lt;MAX($A45,Settings!$F$52),0,INT((MIN($C45,IF(Settings!$G$52="",$C45,Settings!$G$52))-MAX($A45,Settings!$F$52)-MOD(IFERROR(MATCH(Settings!$E$52,$EO$4:$EO$10,0),0)-WEEKDAY(MAX($A45,Settings!$F$52)),7))/7)+1)),IF(AND(IF(Settings!$E$52="",$B45,DATE(YEAR($A45),MONTH($A45),MIN(Settings!$E$52,DAY($B45))))&gt;=MAX($A45,Settings!$F$52),IF(Settings!$E$52="",$B45,DATE(YEAR($A45),MONTH($A45),MIN(Settings!$E$52,DAY($B45))))&lt;=MIN($C45,IF(Settings!$G$52="",$C45,Settings!$G$52))),1,0)))</f>
        <v/>
      </c>
      <c r="BM45">
        <f>IF(OR(Settings!$C$53="",Settings!$D$53=""),0,Settings!$C$53*IF(Settings!$D$53="Weekly",IF(IFERROR(MATCH(Settings!$E$53,$EO$4:$EO$10,0),0)=0,0,IF(MIN($C45,IF(Settings!$G$53="",$C45,Settings!$G$53))&lt;MAX($A45,Settings!$F$53),0,INT((MIN($C45,IF(Settings!$G$53="",$C45,Settings!$G$53))-MAX($A45,Settings!$F$53)-MOD(IFERROR(MATCH(Settings!$E$53,$EO$4:$EO$10,0),0)-WEEKDAY(MAX($A45,Settings!$F$53)),7))/7)+1)),IF(AND(IF(Settings!$E$53="",$B45,DATE(YEAR($A45),MONTH($A45),MIN(Settings!$E$53,DAY($B45))))&gt;=MAX($A45,Settings!$F$53),IF(Settings!$E$53="",$B45,DATE(YEAR($A45),MONTH($A45),MIN(Settings!$E$53,DAY($B45))))&lt;=MIN($C45,IF(Settings!$G$53="",$C45,Settings!$G$53))),1,0)))</f>
        <v/>
      </c>
      <c r="BN45">
        <f>IF(OR(Settings!$C$54="",Settings!$D$54=""),0,Settings!$C$54*IF(Settings!$D$54="Weekly",IF(IFERROR(MATCH(Settings!$E$54,$EO$4:$EO$10,0),0)=0,0,IF(MIN($C45,IF(Settings!$G$54="",$C45,Settings!$G$54))&lt;MAX($A45,Settings!$F$54),0,INT((MIN($C45,IF(Settings!$G$54="",$C45,Settings!$G$54))-MAX($A45,Settings!$F$54)-MOD(IFERROR(MATCH(Settings!$E$54,$EO$4:$EO$10,0),0)-WEEKDAY(MAX($A45,Settings!$F$54)),7))/7)+1)),IF(AND(IF(Settings!$E$54="",$B45,DATE(YEAR($A45),MONTH($A45),MIN(Settings!$E$54,DAY($B45))))&gt;=MAX($A45,Settings!$F$54),IF(Settings!$E$54="",$B45,DATE(YEAR($A45),MONTH($A45),MIN(Settings!$E$54,DAY($B45))))&lt;=MIN($C45,IF(Settings!$G$54="",$C45,Settings!$G$54))),1,0)))</f>
        <v/>
      </c>
      <c r="BO45">
        <f>IF(OR(Settings!$C$55="",Settings!$D$55=""),0,Settings!$C$55*IF(Settings!$D$55="Weekly",IF(IFERROR(MATCH(Settings!$E$55,$EO$4:$EO$10,0),0)=0,0,IF(MIN($C45,IF(Settings!$G$55="",$C45,Settings!$G$55))&lt;MAX($A45,Settings!$F$55),0,INT((MIN($C45,IF(Settings!$G$55="",$C45,Settings!$G$55))-MAX($A45,Settings!$F$55)-MOD(IFERROR(MATCH(Settings!$E$55,$EO$4:$EO$10,0),0)-WEEKDAY(MAX($A45,Settings!$F$55)),7))/7)+1)),IF(AND(IF(Settings!$E$55="",$B45,DATE(YEAR($A45),MONTH($A45),MIN(Settings!$E$55,DAY($B45))))&gt;=MAX($A45,Settings!$F$55),IF(Settings!$E$55="",$B45,DATE(YEAR($A45),MONTH($A45),MIN(Settings!$E$55,DAY($B45))))&lt;=MIN($C45,IF(Settings!$G$55="",$C45,Settings!$G$55))),1,0)))</f>
        <v/>
      </c>
      <c r="BP45">
        <f>IF(OR(Settings!$C$56="",Settings!$D$56=""),0,Settings!$C$56*IF(Settings!$D$56="Weekly",IF(IFERROR(MATCH(Settings!$E$56,$EO$4:$EO$10,0),0)=0,0,IF(MIN($C45,IF(Settings!$G$56="",$C45,Settings!$G$56))&lt;MAX($A45,Settings!$F$56),0,INT((MIN($C45,IF(Settings!$G$56="",$C45,Settings!$G$56))-MAX($A45,Settings!$F$56)-MOD(IFERROR(MATCH(Settings!$E$56,$EO$4:$EO$10,0),0)-WEEKDAY(MAX($A45,Settings!$F$56)),7))/7)+1)),IF(AND(IF(Settings!$E$56="",$B45,DATE(YEAR($A45),MONTH($A45),MIN(Settings!$E$56,DAY($B45))))&gt;=MAX($A45,Settings!$F$56),IF(Settings!$E$56="",$B45,DATE(YEAR($A45),MONTH($A45),MIN(Settings!$E$56,DAY($B45))))&lt;=MIN($C45,IF(Settings!$G$56="",$C45,Settings!$G$56))),1,0)))</f>
        <v/>
      </c>
      <c r="BQ45">
        <f>IF(OR(Settings!$B$14="",$D45=1,$E45="pre",$A45&lt;IF(Settings!$B$15="",0,Settings!$B$15)),0,Settings!$B$14)</f>
        <v/>
      </c>
      <c r="BR45">
        <f>IF(AND('Month-End'!$AP$7&lt;&gt;"",NOT(_xlfn.ISFORMULA('Month-End'!$AP$7))),1,0)</f>
        <v/>
      </c>
      <c r="BS45">
        <f>IF(AND('Month-End'!$AP$8&lt;&gt;"",NOT(_xlfn.ISFORMULA('Month-End'!$AP$8))),1,0)</f>
        <v/>
      </c>
      <c r="BT45">
        <f>IF(AND('Month-End'!$AP$9&lt;&gt;"",NOT(_xlfn.ISFORMULA('Month-End'!$AP$9))),1,0)</f>
        <v/>
      </c>
      <c r="BU45">
        <f>IF(AND('Month-End'!$AP$10&lt;&gt;"",NOT(_xlfn.ISFORMULA('Month-End'!$AP$10))),1,0)</f>
        <v/>
      </c>
      <c r="BV45">
        <f>IF(AND('Month-End'!$AP$11&lt;&gt;"",NOT(_xlfn.ISFORMULA('Month-End'!$AP$11))),1,0)</f>
        <v/>
      </c>
      <c r="BW45">
        <f>IF(AND('Month-End'!$AP$12&lt;&gt;"",NOT(_xlfn.ISFORMULA('Month-End'!$AP$12))),1,0)</f>
        <v/>
      </c>
      <c r="BX45">
        <f>IF(AND('Month-End'!$AP$13&lt;&gt;"",NOT(_xlfn.ISFORMULA('Month-End'!$AP$13))),1,0)</f>
        <v/>
      </c>
      <c r="BY45">
        <f>IF(AND('Month-End'!$AP$14&lt;&gt;"",NOT(_xlfn.ISFORMULA('Month-End'!$AP$14))),1,0)</f>
        <v/>
      </c>
      <c r="BZ45">
        <f>IF(AND('Month-End'!$AP$15&lt;&gt;"",NOT(_xlfn.ISFORMULA('Month-End'!$AP$15))),1,0)</f>
        <v/>
      </c>
      <c r="CA45">
        <f>IF(AND('Month-End'!$AP$16&lt;&gt;"",NOT(_xlfn.ISFORMULA('Month-End'!$AP$16))),1,0)</f>
        <v/>
      </c>
      <c r="CB45">
        <f>IF(AND('Month-End'!$AP$17&lt;&gt;"",NOT(_xlfn.ISFORMULA('Month-End'!$AP$17))),1,0)</f>
        <v/>
      </c>
      <c r="CC45">
        <f>IF(AND('Month-End'!$AP$18&lt;&gt;"",NOT(_xlfn.ISFORMULA('Month-End'!$AP$18))),1,0)</f>
        <v/>
      </c>
      <c r="CD45">
        <f>IF(AND('Month-End'!$AP$19&lt;&gt;"",NOT(_xlfn.ISFORMULA('Month-End'!$AP$19))),1,0)</f>
        <v/>
      </c>
      <c r="CE45">
        <f>IF(AND('Month-End'!$AP$20&lt;&gt;"",NOT(_xlfn.ISFORMULA('Month-End'!$AP$20))),1,0)</f>
        <v/>
      </c>
      <c r="CF45">
        <f>IF(AND('Month-End'!$AP$38&lt;&gt;"",NOT(_xlfn.ISFORMULA('Month-End'!$AP$38))),1,0)</f>
        <v/>
      </c>
      <c r="CG45">
        <f>IF(AND('Month-End'!$AP$39&lt;&gt;"",NOT(_xlfn.ISFORMULA('Month-End'!$AP$39))),1,0)</f>
        <v/>
      </c>
      <c r="CH45">
        <f>IF(AND('Month-End'!$AP$40&lt;&gt;"",NOT(_xlfn.ISFORMULA('Month-End'!$AP$40))),1,0)</f>
        <v/>
      </c>
      <c r="CI45">
        <f>IF(AND('Month-End'!$AP$41&lt;&gt;"",NOT(_xlfn.ISFORMULA('Month-End'!$AP$41))),1,0)</f>
        <v/>
      </c>
      <c r="CJ45">
        <f>IF(AND('Month-End'!$AP$42&lt;&gt;"",NOT(_xlfn.ISFORMULA('Month-End'!$AP$42))),1,0)</f>
        <v/>
      </c>
      <c r="CK45">
        <f>IF(AND('Month-End'!$AP$43&lt;&gt;"",NOT(_xlfn.ISFORMULA('Month-End'!$AP$43))),1,0)</f>
        <v/>
      </c>
      <c r="CL45">
        <f>SUM($CM45:$CZ45)</f>
        <v/>
      </c>
      <c r="CM45">
        <f>IF(AND($E45&lt;&gt;"pre",AND(Settings!$A$19&lt;&gt;"",Settings!$E$19&lt;&gt;"No"),Settings!$F$19="Yes",NOT(AND('Month-End'!$AP$7&lt;&gt;"",NOT(_xlfn.ISFORMULA('Month-End'!$AP$7))))),1,0)</f>
        <v/>
      </c>
      <c r="CN45">
        <f>IF(AND($E45&lt;&gt;"pre",AND(Settings!$A$20&lt;&gt;"",Settings!$E$20&lt;&gt;"No"),Settings!$F$20="Yes",NOT(AND('Month-End'!$AP$8&lt;&gt;"",NOT(_xlfn.ISFORMULA('Month-End'!$AP$8))))),1,0)</f>
        <v/>
      </c>
      <c r="CO45">
        <f>IF(AND($E45&lt;&gt;"pre",AND(Settings!$A$21&lt;&gt;"",Settings!$E$21&lt;&gt;"No"),Settings!$F$21="Yes",NOT(AND('Month-End'!$AP$9&lt;&gt;"",NOT(_xlfn.ISFORMULA('Month-End'!$AP$9))))),1,0)</f>
        <v/>
      </c>
      <c r="CP45">
        <f>IF(AND($E45&lt;&gt;"pre",AND(Settings!$A$22&lt;&gt;"",Settings!$E$22&lt;&gt;"No"),Settings!$F$22="Yes",NOT(AND('Month-End'!$AP$10&lt;&gt;"",NOT(_xlfn.ISFORMULA('Month-End'!$AP$10))))),1,0)</f>
        <v/>
      </c>
      <c r="CQ45">
        <f>IF(AND($E45&lt;&gt;"pre",AND(Settings!$A$23&lt;&gt;"",Settings!$E$23&lt;&gt;"No"),Settings!$F$23="Yes",NOT(AND('Month-End'!$AP$11&lt;&gt;"",NOT(_xlfn.ISFORMULA('Month-End'!$AP$11))))),1,0)</f>
        <v/>
      </c>
      <c r="CR45">
        <f>IF(AND($E45&lt;&gt;"pre",AND(Settings!$A$24&lt;&gt;"",Settings!$E$24&lt;&gt;"No"),Settings!$F$24="Yes",NOT(AND('Month-End'!$AP$12&lt;&gt;"",NOT(_xlfn.ISFORMULA('Month-End'!$AP$12))))),1,0)</f>
        <v/>
      </c>
      <c r="CS45">
        <f>IF(AND($E45&lt;&gt;"pre",AND(Settings!$A$25&lt;&gt;"",Settings!$E$25&lt;&gt;"No"),Settings!$F$25="Yes",NOT(AND('Month-End'!$AP$13&lt;&gt;"",NOT(_xlfn.ISFORMULA('Month-End'!$AP$13))))),1,0)</f>
        <v/>
      </c>
      <c r="CT45">
        <f>IF(AND($E45&lt;&gt;"pre",AND(Settings!$A$26&lt;&gt;"",Settings!$E$26&lt;&gt;"No"),Settings!$F$26="Yes",NOT(AND('Month-End'!$AP$14&lt;&gt;"",NOT(_xlfn.ISFORMULA('Month-End'!$AP$14))))),1,0)</f>
        <v/>
      </c>
      <c r="CU45">
        <f>IF(AND($E45&lt;&gt;"pre",AND(Settings!$A$27&lt;&gt;"",Settings!$E$27&lt;&gt;"No"),Settings!$F$27="Yes",NOT(AND('Month-End'!$AP$15&lt;&gt;"",NOT(_xlfn.ISFORMULA('Month-End'!$AP$15))))),1,0)</f>
        <v/>
      </c>
      <c r="CV45">
        <f>IF(AND($E45&lt;&gt;"pre",AND(Settings!$A$28&lt;&gt;"",Settings!$E$28&lt;&gt;"No"),Settings!$F$28="Yes",NOT(AND('Month-End'!$AP$16&lt;&gt;"",NOT(_xlfn.ISFORMULA('Month-End'!$AP$16))))),1,0)</f>
        <v/>
      </c>
      <c r="CW45">
        <f>IF(AND($E45&lt;&gt;"pre",AND(Settings!$A$29&lt;&gt;"",Settings!$E$29&lt;&gt;"No"),Settings!$F$29="Yes",NOT(AND('Month-End'!$AP$17&lt;&gt;"",NOT(_xlfn.ISFORMULA('Month-End'!$AP$17))))),1,0)</f>
        <v/>
      </c>
      <c r="CX45">
        <f>IF(AND($E45&lt;&gt;"pre",AND(Settings!$A$30&lt;&gt;"",Settings!$E$30&lt;&gt;"No"),Settings!$F$30="Yes",NOT(AND('Month-End'!$AP$18&lt;&gt;"",NOT(_xlfn.ISFORMULA('Month-End'!$AP$18))))),1,0)</f>
        <v/>
      </c>
      <c r="CY45">
        <f>IF(AND($E45&lt;&gt;"pre",AND(Settings!$A$31&lt;&gt;"",Settings!$E$31&lt;&gt;"No"),Settings!$F$31="Yes",NOT(AND('Month-End'!$AP$19&lt;&gt;"",NOT(_xlfn.ISFORMULA('Month-End'!$AP$19))))),1,0)</f>
        <v/>
      </c>
      <c r="CZ45">
        <f>IF(AND($E45&lt;&gt;"pre",AND(Settings!$A$32&lt;&gt;"",Settings!$E$32&lt;&gt;"No"),Settings!$F$32="Yes",NOT(AND('Month-End'!$AP$20&lt;&gt;"",NOT(_xlfn.ISFORMULA('Month-End'!$AP$20))))),1,0)</f>
        <v/>
      </c>
      <c r="DA45">
        <f>IF($DT45=1,IF(OR(Settings!$B$19="Checking",Settings!$B$19="Savings",Settings!$B$19="Cash"),N($AE45),IF(OR(Settings!$B$19="Card",Settings!$B$19="Loan"),-N($AE45),0))+IF(OR(Settings!$B$20="Checking",Settings!$B$20="Savings",Settings!$B$20="Cash"),N($AF45),IF(OR(Settings!$B$20="Card",Settings!$B$20="Loan"),-N($AF45),0))+IF(OR(Settings!$B$21="Checking",Settings!$B$21="Savings",Settings!$B$21="Cash"),N($AG45),IF(OR(Settings!$B$21="Card",Settings!$B$21="Loan"),-N($AG45),0))+IF(OR(Settings!$B$22="Checking",Settings!$B$22="Savings",Settings!$B$22="Cash"),N($AH45),IF(OR(Settings!$B$22="Card",Settings!$B$22="Loan"),-N($AH45),0))+IF(OR(Settings!$B$23="Checking",Settings!$B$23="Savings",Settings!$B$23="Cash"),N($AI45),IF(OR(Settings!$B$23="Card",Settings!$B$23="Loan"),-N($AI45),0))+IF(OR(Settings!$B$24="Checking",Settings!$B$24="Savings",Settings!$B$24="Cash"),N($AJ45),IF(OR(Settings!$B$24="Card",Settings!$B$24="Loan"),-N($AJ45),0))+IF(OR(Settings!$B$25="Checking",Settings!$B$25="Savings",Settings!$B$25="Cash"),N($AK45),IF(OR(Settings!$B$25="Card",Settings!$B$25="Loan"),-N($AK45),0))+IF(OR(Settings!$B$26="Checking",Settings!$B$26="Savings",Settings!$B$26="Cash"),N($AL45),IF(OR(Settings!$B$26="Card",Settings!$B$26="Loan"),-N($AL45),0))+IF(OR(Settings!$B$27="Checking",Settings!$B$27="Savings",Settings!$B$27="Cash"),N($AM45),IF(OR(Settings!$B$27="Card",Settings!$B$27="Loan"),-N($AM45),0))+IF(OR(Settings!$B$28="Checking",Settings!$B$28="Savings",Settings!$B$28="Cash"),N($AN45),IF(OR(Settings!$B$28="Card",Settings!$B$28="Loan"),-N($AN45),0))+IF(OR(Settings!$B$29="Checking",Settings!$B$29="Savings",Settings!$B$29="Cash"),N($AO45),IF(OR(Settings!$B$29="Card",Settings!$B$29="Loan"),-N($AO45),0))+IF(OR(Settings!$B$30="Checking",Settings!$B$30="Savings",Settings!$B$30="Cash"),N($AP45),IF(OR(Settings!$B$30="Card",Settings!$B$30="Loan"),-N($AP45),0))+IF(OR(Settings!$B$31="Checking",Settings!$B$31="Savings",Settings!$B$31="Cash"),N($AQ45),IF(OR(Settings!$B$31="Card",Settings!$B$31="Loan"),-N($AQ45),0))+IF(OR(Settings!$B$32="Checking",Settings!$B$32="Savings",Settings!$B$32="Cash"),N($AR45),IF(OR(Settings!$B$32="Card",Settings!$B$32="Loan"),-N($AR45),0)),"")</f>
        <v/>
      </c>
      <c r="DB45">
        <f>IF($E45="open",$EB$27,IF($E45="post",IF($E44="pre",$EB$27,$DA44),""))</f>
        <v/>
      </c>
      <c r="DC45">
        <f>IF($E45="open",1,IF($E45="post",IF($E44="pre",1,$DT44),0))</f>
        <v/>
      </c>
      <c r="DD45">
        <f>IF(AND($DT45=1,$DC45=1),ROUND($W45-($DA45-$DB45)-$AD45-$AB45,2),"")</f>
        <v/>
      </c>
      <c r="DE45">
        <f>IF('Month-End'!$AP$35="",$BQ45,N('Month-End'!$AP$35))</f>
        <v/>
      </c>
      <c r="DF45">
        <f>N('Month-End'!$AP$36)</f>
        <v/>
      </c>
      <c r="DG45">
        <f>IF($DD45="","",$DD45+$DE45)</f>
        <v/>
      </c>
      <c r="DH45">
        <f>IF($DG45="","",$DG45-$DF45)</f>
        <v/>
      </c>
      <c r="DI45">
        <f>IF(OR($E45="pre",$D45=1),"",N($AS45)+N($AT45)+N($AU45)+N($AV45)+N($AW45)+N($AX45))</f>
        <v/>
      </c>
      <c r="DJ45">
        <f>IF($DT45=1,$DA45+N($DI45),"")</f>
        <v/>
      </c>
      <c r="DK45">
        <f>IF($DD45="","",$W45-$DD45-$AB45)</f>
        <v/>
      </c>
      <c r="DL45">
        <f>IF(AND($E45="post",$DD45&lt;&gt;"",$B45&lt;TODAY()),1,0)</f>
        <v/>
      </c>
      <c r="DM45">
        <f>IF($DL45=1,COUNTIF($DL45:$DL$183,1),0)</f>
        <v/>
      </c>
      <c r="DN45">
        <f>IF($D45=1,"",IF($E45="pre","History only",IF($DT45=1,IF($DD45="","⚠ Previous month missing",IF($DD45&lt;0,"⚠ Check: spending &lt; 0",IF($E45="open","✓ Done (partial)","✓ Done"))),IF($B45&gt;=TODAY(),"In progress","⚠ Needs balances"))))</f>
        <v/>
      </c>
      <c r="DO45">
        <f>YEAR($A45)</f>
        <v/>
      </c>
      <c r="DP45">
        <f>DATE(YEAR($A45),INT((MONTH($A45)-1)/3)*3+1,1)</f>
        <v/>
      </c>
      <c r="DQ45">
        <f>IF(AND($DT45=1,$DD45&lt;&gt;"",$D45=0),ROW(),0)</f>
        <v/>
      </c>
      <c r="DR45">
        <f>IF(AND($E45&lt;&gt;"pre",$B45&lt;TODAY(),$DT45=0),1,0)</f>
        <v/>
      </c>
      <c r="DS45">
        <f>IF($DJ45="",NA(),$DJ45)</f>
        <v/>
      </c>
      <c r="DT45">
        <f>IF(AND($E45&lt;&gt;"pre",$CL45=0,COUNTIFS(Settings!$F$19:$F$32,"Yes",Settings!$A$19:$A$32,"&lt;&gt;",Settings!$E$19:$E$32,"&lt;&gt;No")&gt;0),1,0)</f>
        <v/>
      </c>
      <c r="DU45">
        <f>IF(AND($B45&lt;TODAY(),$S45&gt;0),1,0)</f>
        <v/>
      </c>
      <c r="DV45">
        <f>IF($DU45=1,COUNTIF($DU45:$DU$183,1),0)</f>
        <v/>
      </c>
      <c r="DW45">
        <f>IF(AND(OR(Settings!$B$19="Card",Settings!$B$19="Loan"),AND('Month-End'!$AP$7&lt;&gt;"",NOT(_xlfn.ISFORMULA('Month-End'!$AP$7)))),IF(N('Month-End'!$AP$7)&lt;0,1,0),0)+IF(AND(OR(Settings!$B$20="Card",Settings!$B$20="Loan"),AND('Month-End'!$AP$8&lt;&gt;"",NOT(_xlfn.ISFORMULA('Month-End'!$AP$8)))),IF(N('Month-End'!$AP$8)&lt;0,1,0),0)+IF(AND(OR(Settings!$B$21="Card",Settings!$B$21="Loan"),AND('Month-End'!$AP$9&lt;&gt;"",NOT(_xlfn.ISFORMULA('Month-End'!$AP$9)))),IF(N('Month-End'!$AP$9)&lt;0,1,0),0)+IF(AND(OR(Settings!$B$22="Card",Settings!$B$22="Loan"),AND('Month-End'!$AP$10&lt;&gt;"",NOT(_xlfn.ISFORMULA('Month-End'!$AP$10)))),IF(N('Month-End'!$AP$10)&lt;0,1,0),0)+IF(AND(OR(Settings!$B$23="Card",Settings!$B$23="Loan"),AND('Month-End'!$AP$11&lt;&gt;"",NOT(_xlfn.ISFORMULA('Month-End'!$AP$11)))),IF(N('Month-End'!$AP$11)&lt;0,1,0),0)+IF(AND(OR(Settings!$B$24="Card",Settings!$B$24="Loan"),AND('Month-End'!$AP$12&lt;&gt;"",NOT(_xlfn.ISFORMULA('Month-End'!$AP$12)))),IF(N('Month-End'!$AP$12)&lt;0,1,0),0)+IF(AND(OR(Settings!$B$25="Card",Settings!$B$25="Loan"),AND('Month-End'!$AP$13&lt;&gt;"",NOT(_xlfn.ISFORMULA('Month-End'!$AP$13)))),IF(N('Month-End'!$AP$13)&lt;0,1,0),0)+IF(AND(OR(Settings!$B$26="Card",Settings!$B$26="Loan"),AND('Month-End'!$AP$14&lt;&gt;"",NOT(_xlfn.ISFORMULA('Month-End'!$AP$14)))),IF(N('Month-End'!$AP$14)&lt;0,1,0),0)+IF(AND(OR(Settings!$B$27="Card",Settings!$B$27="Loan"),AND('Month-End'!$AP$15&lt;&gt;"",NOT(_xlfn.ISFORMULA('Month-End'!$AP$15)))),IF(N('Month-End'!$AP$15)&lt;0,1,0),0)+IF(AND(OR(Settings!$B$28="Card",Settings!$B$28="Loan"),AND('Month-End'!$AP$16&lt;&gt;"",NOT(_xlfn.ISFORMULA('Month-End'!$AP$16)))),IF(N('Month-End'!$AP$16)&lt;0,1,0),0)+IF(AND(OR(Settings!$B$29="Card",Settings!$B$29="Loan"),AND('Month-End'!$AP$17&lt;&gt;"",NOT(_xlfn.ISFORMULA('Month-End'!$AP$17)))),IF(N('Month-End'!$AP$17)&lt;0,1,0),0)+IF(AND(OR(Settings!$B$30="Card",Settings!$B$30="Loan"),AND('Month-End'!$AP$18&lt;&gt;"",NOT(_xlfn.ISFORMULA('Month-End'!$AP$18)))),IF(N('Month-End'!$AP$18)&lt;0,1,0),0)+IF(AND(OR(Settings!$B$31="Card",Settings!$B$31="Loan"),AND('Month-End'!$AP$19&lt;&gt;"",NOT(_xlfn.ISFORMULA('Month-End'!$AP$19)))),IF(N('Month-End'!$AP$19)&lt;0,1,0),0)+IF(AND(OR(Settings!$B$32="Card",Settings!$B$32="Loan"),AND('Month-End'!$AP$20&lt;&gt;"",NOT(_xlfn.ISFORMULA('Month-End'!$AP$20)))),IF(N('Month-End'!$AP$20)&lt;0,1,0),0)</f>
        <v/>
      </c>
      <c r="DX45">
        <f>IF(Settings!$B$36="Retirement",$AY45,0)+IF(Settings!$B$37="Retirement",$AZ45,0)+IF(Settings!$B$38="Retirement",$BA45,0)+IF(Settings!$B$39="Retirement",$BB45,0)+IF(Settings!$B$40="Retirement",$BC45,0)+IF(Settings!$B$41="Retirement",$BD45,0)</f>
        <v/>
      </c>
      <c r="EA45">
        <f>IF(Settings!$A$24="","",Settings!$A$24)</f>
        <v/>
      </c>
      <c r="EB45">
        <f>IF(Settings!$A$24="","",IF($EB$5=0,N(Settings!$C$24),N(INDEX($AJ:$AJ,$EB$5))))</f>
        <v/>
      </c>
      <c r="EC45">
        <f>""</f>
        <v/>
      </c>
      <c r="ED45">
        <f>IF(AND(AND(Settings!$A$24&lt;&gt;"",Settings!$E$24&lt;&gt;"No"),Settings!$B$24="Cash",Settings!$B$5&lt;EDATE(TODAY(),-6),COUNTIFS($BW$6:$BW$183,1,$A$6:$A$183,"&gt;="&amp;EDATE(TODAY(),-6))=0),1,0)</f>
        <v/>
      </c>
      <c r="EI45">
        <f>IF(AND(Settings!$A$24&lt;&gt;"",Settings!$E$24&lt;&gt;"No"),COUNTIFS($EK$40:$EK45,1),"")</f>
        <v/>
      </c>
      <c r="EJ45">
        <f>IF(Settings!$A$24="","",Settings!$B$24)</f>
        <v/>
      </c>
      <c r="EK45">
        <f>IF(AND(Settings!$A$24&lt;&gt;"",Settings!$E$24&lt;&gt;"No"),1,0)</f>
        <v/>
      </c>
      <c r="EL45">
        <f>IF(Settings!$A$24="","",IF(OR(Settings!$B$24="Card",Settings!$B$24="Loan"),-N(EB45),N(EB45)))</f>
        <v/>
      </c>
      <c r="EM45">
        <f>IF(Settings!$A$24="","",IF(Settings!$D$24="Yes","estimate",""))</f>
        <v/>
      </c>
      <c r="ET45">
        <f>IF($E45&lt;&gt;"open",0,IF(AND('Month-End'!$AP$22&lt;&gt;"",NOT(_xlfn.ISFORMULA('Month-End'!$AP$22))),0,IF(OR(Settings!$C$45="",Settings!$D$45=""),0,Settings!$C$45*IF(Settings!$D$45="Weekly",IF(IFERROR(MATCH(Settings!$E$45,$EO$4:$EO$10,0),0)=0,0,IF(MIN(Settings!$B$5,IF(Settings!$G$45="",Settings!$B$5,Settings!$G$45))&lt;MAX($A45,Settings!$F$45),0,INT((MIN(Settings!$B$5,IF(Settings!$G$45="",Settings!$B$5,Settings!$G$45))-MAX($A45,Settings!$F$45)-MOD(IFERROR(MATCH(Settings!$E$45,$EO$4:$EO$10,0),0)-WEEKDAY(MAX($A45,Settings!$F$45)),7))/7)+1)),IF(AND(IF(Settings!$E$45="",$B45,DATE(YEAR($A45),MONTH($A45),MIN(Settings!$E$45,DAY($B45))))&gt;=MAX($A45,Settings!$F$45),IF(Settings!$E$45="",$B45,DATE(YEAR($A45),MONTH($A45),MIN(Settings!$E$45,DAY($B45))))&lt;=MIN(Settings!$B$5,IF(Settings!$G$45="",Settings!$B$5,Settings!$G$45))),1,0)))))</f>
        <v/>
      </c>
      <c r="EU45">
        <f>IF($E45&lt;&gt;"open",0,IF(AND('Month-End'!$AP$23&lt;&gt;"",NOT(_xlfn.ISFORMULA('Month-End'!$AP$23))),0,IF(OR(Settings!$C$46="",Settings!$D$46=""),0,Settings!$C$46*IF(Settings!$D$46="Weekly",IF(IFERROR(MATCH(Settings!$E$46,$EO$4:$EO$10,0),0)=0,0,IF(MIN(Settings!$B$5,IF(Settings!$G$46="",Settings!$B$5,Settings!$G$46))&lt;MAX($A45,Settings!$F$46),0,INT((MIN(Settings!$B$5,IF(Settings!$G$46="",Settings!$B$5,Settings!$G$46))-MAX($A45,Settings!$F$46)-MOD(IFERROR(MATCH(Settings!$E$46,$EO$4:$EO$10,0),0)-WEEKDAY(MAX($A45,Settings!$F$46)),7))/7)+1)),IF(AND(IF(Settings!$E$46="",$B45,DATE(YEAR($A45),MONTH($A45),MIN(Settings!$E$46,DAY($B45))))&gt;=MAX($A45,Settings!$F$46),IF(Settings!$E$46="",$B45,DATE(YEAR($A45),MONTH($A45),MIN(Settings!$E$46,DAY($B45))))&lt;=MIN(Settings!$B$5,IF(Settings!$G$46="",Settings!$B$5,Settings!$G$46))),1,0)))))</f>
        <v/>
      </c>
      <c r="EV45">
        <f>IF($E45&lt;&gt;"open",0,IF(AND('Month-End'!$AP$24&lt;&gt;"",NOT(_xlfn.ISFORMULA('Month-End'!$AP$24))),0,IF(OR(Settings!$C$47="",Settings!$D$47=""),0,Settings!$C$47*IF(Settings!$D$47="Weekly",IF(IFERROR(MATCH(Settings!$E$47,$EO$4:$EO$10,0),0)=0,0,IF(MIN(Settings!$B$5,IF(Settings!$G$47="",Settings!$B$5,Settings!$G$47))&lt;MAX($A45,Settings!$F$47),0,INT((MIN(Settings!$B$5,IF(Settings!$G$47="",Settings!$B$5,Settings!$G$47))-MAX($A45,Settings!$F$47)-MOD(IFERROR(MATCH(Settings!$E$47,$EO$4:$EO$10,0),0)-WEEKDAY(MAX($A45,Settings!$F$47)),7))/7)+1)),IF(AND(IF(Settings!$E$47="",$B45,DATE(YEAR($A45),MONTH($A45),MIN(Settings!$E$47,DAY($B45))))&gt;=MAX($A45,Settings!$F$47),IF(Settings!$E$47="",$B45,DATE(YEAR($A45),MONTH($A45),MIN(Settings!$E$47,DAY($B45))))&lt;=MIN(Settings!$B$5,IF(Settings!$G$47="",Settings!$B$5,Settings!$G$47))),1,0)))))</f>
        <v/>
      </c>
      <c r="EW45">
        <f>IF($E45&lt;&gt;"open",0,IF(AND('Month-End'!$AP$25&lt;&gt;"",NOT(_xlfn.ISFORMULA('Month-End'!$AP$25))),0,IF(OR(Settings!$C$48="",Settings!$D$48=""),0,Settings!$C$48*IF(Settings!$D$48="Weekly",IF(IFERROR(MATCH(Settings!$E$48,$EO$4:$EO$10,0),0)=0,0,IF(MIN(Settings!$B$5,IF(Settings!$G$48="",Settings!$B$5,Settings!$G$48))&lt;MAX($A45,Settings!$F$48),0,INT((MIN(Settings!$B$5,IF(Settings!$G$48="",Settings!$B$5,Settings!$G$48))-MAX($A45,Settings!$F$48)-MOD(IFERROR(MATCH(Settings!$E$48,$EO$4:$EO$10,0),0)-WEEKDAY(MAX($A45,Settings!$F$48)),7))/7)+1)),IF(AND(IF(Settings!$E$48="",$B45,DATE(YEAR($A45),MONTH($A45),MIN(Settings!$E$48,DAY($B45))))&gt;=MAX($A45,Settings!$F$48),IF(Settings!$E$48="",$B45,DATE(YEAR($A45),MONTH($A45),MIN(Settings!$E$48,DAY($B45))))&lt;=MIN(Settings!$B$5,IF(Settings!$G$48="",Settings!$B$5,Settings!$G$48))),1,0)))))</f>
        <v/>
      </c>
      <c r="EX45">
        <f>IF($E45&lt;&gt;"open",0,IF(AND('Month-End'!$AP$26&lt;&gt;"",NOT(_xlfn.ISFORMULA('Month-End'!$AP$26))),0,IF(OR(Settings!$C$49="",Settings!$D$49=""),0,Settings!$C$49*IF(Settings!$D$49="Weekly",IF(IFERROR(MATCH(Settings!$E$49,$EO$4:$EO$10,0),0)=0,0,IF(MIN(Settings!$B$5,IF(Settings!$G$49="",Settings!$B$5,Settings!$G$49))&lt;MAX($A45,Settings!$F$49),0,INT((MIN(Settings!$B$5,IF(Settings!$G$49="",Settings!$B$5,Settings!$G$49))-MAX($A45,Settings!$F$49)-MOD(IFERROR(MATCH(Settings!$E$49,$EO$4:$EO$10,0),0)-WEEKDAY(MAX($A45,Settings!$F$49)),7))/7)+1)),IF(AND(IF(Settings!$E$49="",$B45,DATE(YEAR($A45),MONTH($A45),MIN(Settings!$E$49,DAY($B45))))&gt;=MAX($A45,Settings!$F$49),IF(Settings!$E$49="",$B45,DATE(YEAR($A45),MONTH($A45),MIN(Settings!$E$49,DAY($B45))))&lt;=MIN(Settings!$B$5,IF(Settings!$G$49="",Settings!$B$5,Settings!$G$49))),1,0)))))</f>
        <v/>
      </c>
      <c r="EY45">
        <f>IF($E45&lt;&gt;"open",0,IF(AND('Month-End'!$AP$27&lt;&gt;"",NOT(_xlfn.ISFORMULA('Month-End'!$AP$27))),0,IF(OR(Settings!$C$50="",Settings!$D$50=""),0,Settings!$C$50*IF(Settings!$D$50="Weekly",IF(IFERROR(MATCH(Settings!$E$50,$EO$4:$EO$10,0),0)=0,0,IF(MIN(Settings!$B$5,IF(Settings!$G$50="",Settings!$B$5,Settings!$G$50))&lt;MAX($A45,Settings!$F$50),0,INT((MIN(Settings!$B$5,IF(Settings!$G$50="",Settings!$B$5,Settings!$G$50))-MAX($A45,Settings!$F$50)-MOD(IFERROR(MATCH(Settings!$E$50,$EO$4:$EO$10,0),0)-WEEKDAY(MAX($A45,Settings!$F$50)),7))/7)+1)),IF(AND(IF(Settings!$E$50="",$B45,DATE(YEAR($A45),MONTH($A45),MIN(Settings!$E$50,DAY($B45))))&gt;=MAX($A45,Settings!$F$50),IF(Settings!$E$50="",$B45,DATE(YEAR($A45),MONTH($A45),MIN(Settings!$E$50,DAY($B45))))&lt;=MIN(Settings!$B$5,IF(Settings!$G$50="",Settings!$B$5,Settings!$G$50))),1,0)))))</f>
        <v/>
      </c>
      <c r="EZ45">
        <f>IF($E45&lt;&gt;"open",0,IF(AND('Month-End'!$AP$28&lt;&gt;"",NOT(_xlfn.ISFORMULA('Month-End'!$AP$28))),0,IF(OR(Settings!$C$51="",Settings!$D$51=""),0,Settings!$C$51*IF(Settings!$D$51="Weekly",IF(IFERROR(MATCH(Settings!$E$51,$EO$4:$EO$10,0),0)=0,0,IF(MIN(Settings!$B$5,IF(Settings!$G$51="",Settings!$B$5,Settings!$G$51))&lt;MAX($A45,Settings!$F$51),0,INT((MIN(Settings!$B$5,IF(Settings!$G$51="",Settings!$B$5,Settings!$G$51))-MAX($A45,Settings!$F$51)-MOD(IFERROR(MATCH(Settings!$E$51,$EO$4:$EO$10,0),0)-WEEKDAY(MAX($A45,Settings!$F$51)),7))/7)+1)),IF(AND(IF(Settings!$E$51="",$B45,DATE(YEAR($A45),MONTH($A45),MIN(Settings!$E$51,DAY($B45))))&gt;=MAX($A45,Settings!$F$51),IF(Settings!$E$51="",$B45,DATE(YEAR($A45),MONTH($A45),MIN(Settings!$E$51,DAY($B45))))&lt;=MIN(Settings!$B$5,IF(Settings!$G$51="",Settings!$B$5,Settings!$G$51))),1,0)))))</f>
        <v/>
      </c>
      <c r="FA45">
        <f>IF($E45&lt;&gt;"open",0,IF(AND('Month-End'!$AP$29&lt;&gt;"",NOT(_xlfn.ISFORMULA('Month-End'!$AP$29))),0,IF(OR(Settings!$C$52="",Settings!$D$52=""),0,Settings!$C$52*IF(Settings!$D$52="Weekly",IF(IFERROR(MATCH(Settings!$E$52,$EO$4:$EO$10,0),0)=0,0,IF(MIN(Settings!$B$5,IF(Settings!$G$52="",Settings!$B$5,Settings!$G$52))&lt;MAX($A45,Settings!$F$52),0,INT((MIN(Settings!$B$5,IF(Settings!$G$52="",Settings!$B$5,Settings!$G$52))-MAX($A45,Settings!$F$52)-MOD(IFERROR(MATCH(Settings!$E$52,$EO$4:$EO$10,0),0)-WEEKDAY(MAX($A45,Settings!$F$52)),7))/7)+1)),IF(AND(IF(Settings!$E$52="",$B45,DATE(YEAR($A45),MONTH($A45),MIN(Settings!$E$52,DAY($B45))))&gt;=MAX($A45,Settings!$F$52),IF(Settings!$E$52="",$B45,DATE(YEAR($A45),MONTH($A45),MIN(Settings!$E$52,DAY($B45))))&lt;=MIN(Settings!$B$5,IF(Settings!$G$52="",Settings!$B$5,Settings!$G$52))),1,0)))))</f>
        <v/>
      </c>
      <c r="FB45">
        <f>IF($E45&lt;&gt;"open",0,IF(AND('Month-End'!$AP$30&lt;&gt;"",NOT(_xlfn.ISFORMULA('Month-End'!$AP$30))),0,IF(OR(Settings!$C$53="",Settings!$D$53=""),0,Settings!$C$53*IF(Settings!$D$53="Weekly",IF(IFERROR(MATCH(Settings!$E$53,$EO$4:$EO$10,0),0)=0,0,IF(MIN(Settings!$B$5,IF(Settings!$G$53="",Settings!$B$5,Settings!$G$53))&lt;MAX($A45,Settings!$F$53),0,INT((MIN(Settings!$B$5,IF(Settings!$G$53="",Settings!$B$5,Settings!$G$53))-MAX($A45,Settings!$F$53)-MOD(IFERROR(MATCH(Settings!$E$53,$EO$4:$EO$10,0),0)-WEEKDAY(MAX($A45,Settings!$F$53)),7))/7)+1)),IF(AND(IF(Settings!$E$53="",$B45,DATE(YEAR($A45),MONTH($A45),MIN(Settings!$E$53,DAY($B45))))&gt;=MAX($A45,Settings!$F$53),IF(Settings!$E$53="",$B45,DATE(YEAR($A45),MONTH($A45),MIN(Settings!$E$53,DAY($B45))))&lt;=MIN(Settings!$B$5,IF(Settings!$G$53="",Settings!$B$5,Settings!$G$53))),1,0)))))</f>
        <v/>
      </c>
      <c r="FC45">
        <f>IF($E45&lt;&gt;"open",0,IF(AND('Month-End'!$AP$31&lt;&gt;"",NOT(_xlfn.ISFORMULA('Month-End'!$AP$31))),0,IF(OR(Settings!$C$54="",Settings!$D$54=""),0,Settings!$C$54*IF(Settings!$D$54="Weekly",IF(IFERROR(MATCH(Settings!$E$54,$EO$4:$EO$10,0),0)=0,0,IF(MIN(Settings!$B$5,IF(Settings!$G$54="",Settings!$B$5,Settings!$G$54))&lt;MAX($A45,Settings!$F$54),0,INT((MIN(Settings!$B$5,IF(Settings!$G$54="",Settings!$B$5,Settings!$G$54))-MAX($A45,Settings!$F$54)-MOD(IFERROR(MATCH(Settings!$E$54,$EO$4:$EO$10,0),0)-WEEKDAY(MAX($A45,Settings!$F$54)),7))/7)+1)),IF(AND(IF(Settings!$E$54="",$B45,DATE(YEAR($A45),MONTH($A45),MIN(Settings!$E$54,DAY($B45))))&gt;=MAX($A45,Settings!$F$54),IF(Settings!$E$54="",$B45,DATE(YEAR($A45),MONTH($A45),MIN(Settings!$E$54,DAY($B45))))&lt;=MIN(Settings!$B$5,IF(Settings!$G$54="",Settings!$B$5,Settings!$G$54))),1,0)))))</f>
        <v/>
      </c>
      <c r="FD45">
        <f>IF($E45&lt;&gt;"open",0,IF(AND('Month-End'!$AP$32&lt;&gt;"",NOT(_xlfn.ISFORMULA('Month-End'!$AP$32))),0,IF(OR(Settings!$C$55="",Settings!$D$55=""),0,Settings!$C$55*IF(Settings!$D$55="Weekly",IF(IFERROR(MATCH(Settings!$E$55,$EO$4:$EO$10,0),0)=0,0,IF(MIN(Settings!$B$5,IF(Settings!$G$55="",Settings!$B$5,Settings!$G$55))&lt;MAX($A45,Settings!$F$55),0,INT((MIN(Settings!$B$5,IF(Settings!$G$55="",Settings!$B$5,Settings!$G$55))-MAX($A45,Settings!$F$55)-MOD(IFERROR(MATCH(Settings!$E$55,$EO$4:$EO$10,0),0)-WEEKDAY(MAX($A45,Settings!$F$55)),7))/7)+1)),IF(AND(IF(Settings!$E$55="",$B45,DATE(YEAR($A45),MONTH($A45),MIN(Settings!$E$55,DAY($B45))))&gt;=MAX($A45,Settings!$F$55),IF(Settings!$E$55="",$B45,DATE(YEAR($A45),MONTH($A45),MIN(Settings!$E$55,DAY($B45))))&lt;=MIN(Settings!$B$5,IF(Settings!$G$55="",Settings!$B$5,Settings!$G$55))),1,0)))))</f>
        <v/>
      </c>
      <c r="FE45">
        <f>IF($E45&lt;&gt;"open",0,IF(AND('Month-End'!$AP$33&lt;&gt;"",NOT(_xlfn.ISFORMULA('Month-End'!$AP$33))),0,IF(OR(Settings!$C$56="",Settings!$D$56=""),0,Settings!$C$56*IF(Settings!$D$56="Weekly",IF(IFERROR(MATCH(Settings!$E$56,$EO$4:$EO$10,0),0)=0,0,IF(MIN(Settings!$B$5,IF(Settings!$G$56="",Settings!$B$5,Settings!$G$56))&lt;MAX($A45,Settings!$F$56),0,INT((MIN(Settings!$B$5,IF(Settings!$G$56="",Settings!$B$5,Settings!$G$56))-MAX($A45,Settings!$F$56)-MOD(IFERROR(MATCH(Settings!$E$56,$EO$4:$EO$10,0),0)-WEEKDAY(MAX($A45,Settings!$F$56)),7))/7)+1)),IF(AND(IF(Settings!$E$56="",$B45,DATE(YEAR($A45),MONTH($A45),MIN(Settings!$E$56,DAY($B45))))&gt;=MAX($A45,Settings!$F$56),IF(Settings!$E$56="",$B45,DATE(YEAR($A45),MONTH($A45),MIN(Settings!$E$56,DAY($B45))))&lt;=MIN(Settings!$B$5,IF(Settings!$G$56="",Settings!$B$5,Settings!$G$56))),1,0)))))</f>
        <v/>
      </c>
      <c r="FF45">
        <f>IF(Settings!$I$45="Yes",$G45,0)+IF(Settings!$I$46="Yes",$H45,0)+IF(Settings!$I$47="Yes",$I45,0)+IF(Settings!$I$48="Yes",$J45,0)+IF(Settings!$I$49="Yes",$K45,0)+IF(Settings!$I$50="Yes",$L45,0)+IF(Settings!$I$51="Yes",$M45,0)+IF(Settings!$I$52="Yes",$N45,0)+IF(Settings!$I$53="Yes",$O45,0)+IF(Settings!$I$54="Yes",$P45,0)+IF(Settings!$I$55="Yes",$Q45,0)+IF(Settings!$I$56="Yes",$R45,0)</f>
        <v/>
      </c>
      <c r="FG45">
        <f>IF(AND(Settings!$I$45="Yes",Settings!$J$45="No"),$G45,0)+IF(AND(Settings!$I$46="Yes",Settings!$J$46="No"),$H45,0)+IF(AND(Settings!$I$47="Yes",Settings!$J$47="No"),$I45,0)+IF(AND(Settings!$I$48="Yes",Settings!$J$48="No"),$J45,0)+IF(AND(Settings!$I$49="Yes",Settings!$J$49="No"),$K45,0)+IF(AND(Settings!$I$50="Yes",Settings!$J$50="No"),$L45,0)+IF(AND(Settings!$I$51="Yes",Settings!$J$51="No"),$M45,0)+IF(AND(Settings!$I$52="Yes",Settings!$J$52="No"),$N45,0)+IF(AND(Settings!$I$53="Yes",Settings!$J$53="No"),$O45,0)+IF(AND(Settings!$I$54="Yes",Settings!$J$54="No"),$P45,0)+IF(AND(Settings!$I$55="Yes",Settings!$J$55="No"),$Q45,0)+IF(AND(Settings!$I$56="Yes",Settings!$J$56="No"),$R45,0)</f>
        <v/>
      </c>
      <c r="FH45">
        <f>SUMIFS(Giving!$B$7:$B$2006,Giving!$A$7:$A$2006,"&gt;="&amp;$A45,Giving!$A$7:$A$2006,"&lt;="&amp;$B45,Giving!$G$7:$G$2006,"Yes")+IF(OR(OR(Settings!$B$60="",Settings!$F$60="No"),Settings!$H$60&lt;&gt;"Yes"),0,Settings!$B$60*IF(AND(IF(Settings!$C$60="",$B45,DATE(YEAR($A45),MONTH($A45),MIN(Settings!$C$60,DAY($B45))))&gt;=MAX($A45,Settings!$D$60),IF(Settings!$C$60="",$B45,DATE(YEAR($A45),MONTH($A45),MIN(Settings!$C$60,DAY($B45))))&lt;=MIN($C45,IF(Settings!$E$60="",$C45,Settings!$E$60))),1,0))+IF(OR(OR(Settings!$B$61="",Settings!$F$61="No"),Settings!$H$61&lt;&gt;"Yes"),0,Settings!$B$61*IF(AND(IF(Settings!$C$61="",$B45,DATE(YEAR($A45),MONTH($A45),MIN(Settings!$C$61,DAY($B45))))&gt;=MAX($A45,Settings!$D$61),IF(Settings!$C$61="",$B45,DATE(YEAR($A45),MONTH($A45),MIN(Settings!$C$61,DAY($B45))))&lt;=MIN($C45,IF(Settings!$E$61="",$C45,Settings!$E$61))),1,0))+IF(OR(OR(Settings!$B$62="",Settings!$F$62="No"),Settings!$H$62&lt;&gt;"Yes"),0,Settings!$B$62*IF(AND(IF(Settings!$C$62="",$B45,DATE(YEAR($A45),MONTH($A45),MIN(Settings!$C$62,DAY($B45))))&gt;=MAX($A45,Settings!$D$62),IF(Settings!$C$62="",$B45,DATE(YEAR($A45),MONTH($A45),MIN(Settings!$C$62,DAY($B45))))&lt;=MIN($C45,IF(Settings!$E$62="",$C45,Settings!$E$62))),1,0))+IF(OR(OR(Settings!$B$63="",Settings!$F$63="No"),Settings!$H$63&lt;&gt;"Yes"),0,Settings!$B$63*IF(AND(IF(Settings!$C$63="",$B45,DATE(YEAR($A45),MONTH($A45),MIN(Settings!$C$63,DAY($B45))))&gt;=MAX($A45,Settings!$D$63),IF(Settings!$C$63="",$B45,DATE(YEAR($A45),MONTH($A45),MIN(Settings!$C$63,DAY($B45))))&lt;=MIN($C45,IF(Settings!$E$63="",$C45,Settings!$E$63))),1,0))+IF(OR(OR(Settings!$B$64="",Settings!$F$64="No"),Settings!$H$64&lt;&gt;"Yes"),0,Settings!$B$64*IF(AND(IF(Settings!$C$64="",$B45,DATE(YEAR($A45),MONTH($A45),MIN(Settings!$C$64,DAY($B45))))&gt;=MAX($A45,Settings!$D$64),IF(Settings!$C$64="",$B45,DATE(YEAR($A45),MONTH($A45),MIN(Settings!$C$64,DAY($B45))))&lt;=MIN($C45,IF(Settings!$E$64="",$C45,Settings!$E$64))),1,0))+IF(OR(OR(Settings!$B$65="",Settings!$F$65="No"),Settings!$H$65&lt;&gt;"Yes"),0,Settings!$B$65*IF(AND(IF(Settings!$C$65="",$B45,DATE(YEAR($A45),MONTH($A45),MIN(Settings!$C$65,DAY($B45))))&gt;=MAX($A45,Settings!$D$65),IF(Settings!$C$65="",$B45,DATE(YEAR($A45),MONTH($A45),MIN(Settings!$C$65,DAY($B45))))&lt;=MIN($C45,IF(Settings!$E$65="",$C45,Settings!$E$65))),1,0))</f>
        <v/>
      </c>
      <c r="FI45">
        <f>IF($DT45=1,IF(OR(Settings!$B$19="Card",Settings!$B$19="Loan"),N($AE45),0)+IF(OR(Settings!$B$20="Card",Settings!$B$20="Loan"),N($AF45),0)+IF(OR(Settings!$B$21="Card",Settings!$B$21="Loan"),N($AG45),0)+IF(OR(Settings!$B$22="Card",Settings!$B$22="Loan"),N($AH45),0)+IF(OR(Settings!$B$23="Card",Settings!$B$23="Loan"),N($AI45),0)+IF(OR(Settings!$B$24="Card",Settings!$B$24="Loan"),N($AJ45),0)+IF(OR(Settings!$B$25="Card",Settings!$B$25="Loan"),N($AK45),0)+IF(OR(Settings!$B$26="Card",Settings!$B$26="Loan"),N($AL45),0)+IF(OR(Settings!$B$27="Card",Settings!$B$27="Loan"),N($AM45),0)+IF(OR(Settings!$B$28="Card",Settings!$B$28="Loan"),N($AN45),0)+IF(OR(Settings!$B$29="Card",Settings!$B$29="Loan"),N($AO45),0)+IF(OR(Settings!$B$30="Card",Settings!$B$30="Loan"),N($AP45),0)+IF(OR(Settings!$B$31="Card",Settings!$B$31="Loan"),N($AQ45),0)+IF(OR(Settings!$B$32="Card",Settings!$B$32="Loan"),N($AR45),0),"")</f>
        <v/>
      </c>
      <c r="FJ45">
        <f>IF($E45="open",$EB$65,IF($E45="post",IF($E44="pre",$EB$65,$FI44),""))</f>
        <v/>
      </c>
      <c r="FK45">
        <f>IF(AND($DT45=1,$DC45=1),IF(ROUND($FI45-$FJ45,2)&gt;0,1,0),0)</f>
        <v/>
      </c>
      <c r="FL45">
        <f>IF($FK45=1,$FL44+1,0)</f>
        <v/>
      </c>
    </row>
    <row r="46">
      <c r="A46">
        <f>'Month-End'!$AQ$4</f>
        <v/>
      </c>
      <c r="B46">
        <f>EOMONTH($A46,0)</f>
        <v/>
      </c>
      <c r="C46">
        <f>MIN($B46,TODAY())</f>
        <v/>
      </c>
      <c r="D46">
        <f>IF($A46&gt;TODAY(),1,0)</f>
        <v/>
      </c>
      <c r="E46">
        <f>IF($B46&lt;=Settings!$B$5,"pre",IF($A46&lt;=Settings!$B$5,"open","post"))</f>
        <v/>
      </c>
      <c r="G46">
        <f>IF('Month-End'!$AQ$22="",$BE46,N('Month-End'!$AQ$22))</f>
        <v/>
      </c>
      <c r="H46">
        <f>IF('Month-End'!$AQ$23="",$BF46,N('Month-End'!$AQ$23))</f>
        <v/>
      </c>
      <c r="I46">
        <f>IF('Month-End'!$AQ$24="",$BG46,N('Month-End'!$AQ$24))</f>
        <v/>
      </c>
      <c r="J46">
        <f>IF('Month-End'!$AQ$25="",$BH46,N('Month-End'!$AQ$25))</f>
        <v/>
      </c>
      <c r="K46">
        <f>IF('Month-End'!$AQ$26="",$BI46,N('Month-End'!$AQ$26))</f>
        <v/>
      </c>
      <c r="L46">
        <f>IF('Month-End'!$AQ$27="",$BJ46,N('Month-End'!$AQ$27))</f>
        <v/>
      </c>
      <c r="M46">
        <f>IF('Month-End'!$AQ$28="",$BK46,N('Month-End'!$AQ$28))</f>
        <v/>
      </c>
      <c r="N46">
        <f>IF('Month-End'!$AQ$29="",$BL46,N('Month-End'!$AQ$29))</f>
        <v/>
      </c>
      <c r="O46">
        <f>IF('Month-End'!$AQ$30="",$BM46,N('Month-End'!$AQ$30))</f>
        <v/>
      </c>
      <c r="P46">
        <f>IF('Month-End'!$AQ$31="",$BN46,N('Month-End'!$AQ$31))</f>
        <v/>
      </c>
      <c r="Q46">
        <f>IF('Month-End'!$AQ$32="",$BO46,N('Month-End'!$AQ$32))</f>
        <v/>
      </c>
      <c r="R46">
        <f>IF('Month-End'!$AQ$33="",$BP46,N('Month-End'!$AQ$33))</f>
        <v/>
      </c>
      <c r="S46">
        <f>$G46+$H46+$I46+$J46+$K46+$L46+$M46+$N46+$O46+$P46+$Q46+$R46</f>
        <v/>
      </c>
      <c r="T46">
        <f>IF($B46&lt;Settings!$B$6,0,IF(Settings!$B$45="Yes",$G46,0)+IF(Settings!$B$46="Yes",$H46,0)+IF(Settings!$B$47="Yes",$I46,0)+IF(Settings!$B$48="Yes",$J46,0)+IF(Settings!$B$49="Yes",$K46,0)+IF(Settings!$B$50="Yes",$L46,0)+IF(Settings!$B$51="Yes",$M46,0)+IF(Settings!$B$52="Yes",$N46,0)+IF(Settings!$B$53="Yes",$O46,0)+IF(Settings!$B$54="Yes",$P46,0)+IF(Settings!$B$55="Yes",$Q46,0)+IF(Settings!$B$56="Yes",$R46,0))</f>
        <v/>
      </c>
      <c r="U46">
        <f>IF(Settings!$B$45="Not Sure",$G46,0)+IF(Settings!$B$46="Not Sure",$H46,0)+IF(Settings!$B$47="Not Sure",$I46,0)+IF(Settings!$B$48="Not Sure",$J46,0)+IF(Settings!$B$49="Not Sure",$K46,0)+IF(Settings!$B$50="Not Sure",$L46,0)+IF(Settings!$B$51="Not Sure",$M46,0)+IF(Settings!$B$52="Not Sure",$N46,0)+IF(Settings!$B$53="Not Sure",$O46,0)+IF(Settings!$B$54="Not Sure",$P46,0)+IF(Settings!$B$55="Not Sure",$Q46,0)+IF(Settings!$B$56="Not Sure",$R46,0)</f>
        <v/>
      </c>
      <c r="V46">
        <f>IF($E46="open",SUM($ET46:$FE46)+N(Settings!$B$13),0)</f>
        <v/>
      </c>
      <c r="W46">
        <f>IF($E46="post",$S46,IF($E46="open",$S46-$V46,0))</f>
        <v/>
      </c>
      <c r="X46">
        <f>SUMIFS(Giving!$B$7:$B$2006,Giving!$A$7:$A$2006,"&gt;="&amp;$A46,Giving!$A$7:$A$2006,"&lt;="&amp;$B46,Giving!$E$7:$E$2006,"&lt;&gt;No")</f>
        <v/>
      </c>
      <c r="Y46">
        <f>SUMIFS(Giving!$B$7:$B$2006,Giving!$A$7:$A$2006,"&gt;="&amp;$A46,Giving!$A$7:$A$2006,"&lt;="&amp;$B46,Giving!$E$7:$E$2006,"No")</f>
        <v/>
      </c>
      <c r="Z46">
        <f>IF(OR(Settings!$B$60="",Settings!$F$60="No"),0,Settings!$B$60*IF(AND(IF(Settings!$C$60="",$B46,DATE(YEAR($A46),MONTH($A46),MIN(Settings!$C$60,DAY($B46))))&gt;=MAX($A46,Settings!$D$60),IF(Settings!$C$60="",$B46,DATE(YEAR($A46),MONTH($A46),MIN(Settings!$C$60,DAY($B46))))&lt;=MIN($C46,IF(Settings!$E$60="",$C46,Settings!$E$60))),1,0))+IF(OR(Settings!$B$61="",Settings!$F$61="No"),0,Settings!$B$61*IF(AND(IF(Settings!$C$61="",$B46,DATE(YEAR($A46),MONTH($A46),MIN(Settings!$C$61,DAY($B46))))&gt;=MAX($A46,Settings!$D$61),IF(Settings!$C$61="",$B46,DATE(YEAR($A46),MONTH($A46),MIN(Settings!$C$61,DAY($B46))))&lt;=MIN($C46,IF(Settings!$E$61="",$C46,Settings!$E$61))),1,0))+IF(OR(Settings!$B$62="",Settings!$F$62="No"),0,Settings!$B$62*IF(AND(IF(Settings!$C$62="",$B46,DATE(YEAR($A46),MONTH($A46),MIN(Settings!$C$62,DAY($B46))))&gt;=MAX($A46,Settings!$D$62),IF(Settings!$C$62="",$B46,DATE(YEAR($A46),MONTH($A46),MIN(Settings!$C$62,DAY($B46))))&lt;=MIN($C46,IF(Settings!$E$62="",$C46,Settings!$E$62))),1,0))+IF(OR(Settings!$B$63="",Settings!$F$63="No"),0,Settings!$B$63*IF(AND(IF(Settings!$C$63="",$B46,DATE(YEAR($A46),MONTH($A46),MIN(Settings!$C$63,DAY($B46))))&gt;=MAX($A46,Settings!$D$63),IF(Settings!$C$63="",$B46,DATE(YEAR($A46),MONTH($A46),MIN(Settings!$C$63,DAY($B46))))&lt;=MIN($C46,IF(Settings!$E$63="",$C46,Settings!$E$63))),1,0))+IF(OR(Settings!$B$64="",Settings!$F$64="No"),0,Settings!$B$64*IF(AND(IF(Settings!$C$64="",$B46,DATE(YEAR($A46),MONTH($A46),MIN(Settings!$C$64,DAY($B46))))&gt;=MAX($A46,Settings!$D$64),IF(Settings!$C$64="",$B46,DATE(YEAR($A46),MONTH($A46),MIN(Settings!$C$64,DAY($B46))))&lt;=MIN($C46,IF(Settings!$E$64="",$C46,Settings!$E$64))),1,0))+IF(OR(Settings!$B$65="",Settings!$F$65="No"),0,Settings!$B$65*IF(AND(IF(Settings!$C$65="",$B46,DATE(YEAR($A46),MONTH($A46),MIN(Settings!$C$65,DAY($B46))))&gt;=MAX($A46,Settings!$D$65),IF(Settings!$C$65="",$B46,DATE(YEAR($A46),MONTH($A46),MIN(Settings!$C$65,DAY($B46))))&lt;=MIN($C46,IF(Settings!$E$65="",$C46,Settings!$E$65))),1,0))</f>
        <v/>
      </c>
      <c r="AA46">
        <f>$X46+$Z46</f>
        <v/>
      </c>
      <c r="AB46">
        <f>IF($E46="post",$AA46,IF($E46="open",SUMIFS(Giving!$B$7:$B$2006,Giving!$A$7:$A$2006,"&gt;"&amp;Settings!$B$5,Giving!$A$7:$A$2006,"&lt;="&amp;$B46,Giving!$E$7:$E$2006,"&lt;&gt;No")+IF(OR(Settings!$B$60="",Settings!$F$60="No"),0,Settings!$B$60*IF(AND(IF(Settings!$C$60="",$B46,DATE(YEAR($A46),MONTH($A46),MIN(Settings!$C$60,DAY($B46))))&gt;=MAX($A46,Settings!$D$60,Settings!$B$5+1),IF(Settings!$C$60="",$B46,DATE(YEAR($A46),MONTH($A46),MIN(Settings!$C$60,DAY($B46))))&lt;=MIN($C46,IF(Settings!$E$60="",$C46,Settings!$E$60))),1,0))+IF(OR(Settings!$B$61="",Settings!$F$61="No"),0,Settings!$B$61*IF(AND(IF(Settings!$C$61="",$B46,DATE(YEAR($A46),MONTH($A46),MIN(Settings!$C$61,DAY($B46))))&gt;=MAX($A46,Settings!$D$61,Settings!$B$5+1),IF(Settings!$C$61="",$B46,DATE(YEAR($A46),MONTH($A46),MIN(Settings!$C$61,DAY($B46))))&lt;=MIN($C46,IF(Settings!$E$61="",$C46,Settings!$E$61))),1,0))+IF(OR(Settings!$B$62="",Settings!$F$62="No"),0,Settings!$B$62*IF(AND(IF(Settings!$C$62="",$B46,DATE(YEAR($A46),MONTH($A46),MIN(Settings!$C$62,DAY($B46))))&gt;=MAX($A46,Settings!$D$62,Settings!$B$5+1),IF(Settings!$C$62="",$B46,DATE(YEAR($A46),MONTH($A46),MIN(Settings!$C$62,DAY($B46))))&lt;=MIN($C46,IF(Settings!$E$62="",$C46,Settings!$E$62))),1,0))+IF(OR(Settings!$B$63="",Settings!$F$63="No"),0,Settings!$B$63*IF(AND(IF(Settings!$C$63="",$B46,DATE(YEAR($A46),MONTH($A46),MIN(Settings!$C$63,DAY($B46))))&gt;=MAX($A46,Settings!$D$63,Settings!$B$5+1),IF(Settings!$C$63="",$B46,DATE(YEAR($A46),MONTH($A46),MIN(Settings!$C$63,DAY($B46))))&lt;=MIN($C46,IF(Settings!$E$63="",$C46,Settings!$E$63))),1,0))+IF(OR(Settings!$B$64="",Settings!$F$64="No"),0,Settings!$B$64*IF(AND(IF(Settings!$C$64="",$B46,DATE(YEAR($A46),MONTH($A46),MIN(Settings!$C$64,DAY($B46))))&gt;=MAX($A46,Settings!$D$64,Settings!$B$5+1),IF(Settings!$C$64="",$B46,DATE(YEAR($A46),MONTH($A46),MIN(Settings!$C$64,DAY($B46))))&lt;=MIN($C46,IF(Settings!$E$64="",$C46,Settings!$E$64))),1,0))+IF(OR(Settings!$B$65="",Settings!$F$65="No"),0,Settings!$B$65*IF(AND(IF(Settings!$C$65="",$B46,DATE(YEAR($A46),MONTH($A46),MIN(Settings!$C$65,DAY($B46))))&gt;=MAX($A46,Settings!$D$65,Settings!$B$5+1),IF(Settings!$C$65="",$B46,DATE(YEAR($A46),MONTH($A46),MIN(Settings!$C$65,DAY($B46))))&lt;=MIN($C46,IF(Settings!$E$65="",$C46,Settings!$E$65))),1,0)),0))</f>
        <v/>
      </c>
      <c r="AC46">
        <f>$AY46+$AZ46+$BA46+$BB46+$BC46+$BD46</f>
        <v/>
      </c>
      <c r="AD46">
        <f>$AC46</f>
        <v/>
      </c>
      <c r="AE46">
        <f>IF(OR(Settings!$A$19="",$E46="pre"),"",IF(AND('Month-End'!$AQ$7&lt;&gt;"",NOT(_xlfn.ISFORMULA('Month-End'!$AQ$7))),N('Month-End'!$AQ$7),IF(OR($E46="open",$E45="pre"),N(Settings!$C$19),N($AE45))))</f>
        <v/>
      </c>
      <c r="AF46">
        <f>IF(OR(Settings!$A$20="",$E46="pre"),"",IF(AND('Month-End'!$AQ$8&lt;&gt;"",NOT(_xlfn.ISFORMULA('Month-End'!$AQ$8))),N('Month-End'!$AQ$8),IF(OR($E46="open",$E45="pre"),N(Settings!$C$20),N($AF45))))</f>
        <v/>
      </c>
      <c r="AG46">
        <f>IF(OR(Settings!$A$21="",$E46="pre"),"",IF(AND('Month-End'!$AQ$9&lt;&gt;"",NOT(_xlfn.ISFORMULA('Month-End'!$AQ$9))),N('Month-End'!$AQ$9),IF(OR($E46="open",$E45="pre"),N(Settings!$C$21),N($AG45))))</f>
        <v/>
      </c>
      <c r="AH46">
        <f>IF(OR(Settings!$A$22="",$E46="pre"),"",IF(AND('Month-End'!$AQ$10&lt;&gt;"",NOT(_xlfn.ISFORMULA('Month-End'!$AQ$10))),N('Month-End'!$AQ$10),IF(OR($E46="open",$E45="pre"),N(Settings!$C$22),N($AH45))))</f>
        <v/>
      </c>
      <c r="AI46">
        <f>IF(OR(Settings!$A$23="",$E46="pre"),"",IF(AND('Month-End'!$AQ$11&lt;&gt;"",NOT(_xlfn.ISFORMULA('Month-End'!$AQ$11))),N('Month-End'!$AQ$11),IF(OR($E46="open",$E45="pre"),N(Settings!$C$23),N($AI45))))</f>
        <v/>
      </c>
      <c r="AJ46">
        <f>IF(OR(Settings!$A$24="",$E46="pre"),"",IF(AND('Month-End'!$AQ$12&lt;&gt;"",NOT(_xlfn.ISFORMULA('Month-End'!$AQ$12))),N('Month-End'!$AQ$12),IF(OR($E46="open",$E45="pre"),N(Settings!$C$24),N($AJ45))))</f>
        <v/>
      </c>
      <c r="AK46">
        <f>IF(OR(Settings!$A$25="",$E46="pre"),"",IF(AND('Month-End'!$AQ$13&lt;&gt;"",NOT(_xlfn.ISFORMULA('Month-End'!$AQ$13))),N('Month-End'!$AQ$13),IF(OR($E46="open",$E45="pre"),N(Settings!$C$25),N($AK45))))</f>
        <v/>
      </c>
      <c r="AL46">
        <f>IF(OR(Settings!$A$26="",$E46="pre"),"",IF(AND('Month-End'!$AQ$14&lt;&gt;"",NOT(_xlfn.ISFORMULA('Month-End'!$AQ$14))),N('Month-End'!$AQ$14),IF(OR($E46="open",$E45="pre"),N(Settings!$C$26),N($AL45))))</f>
        <v/>
      </c>
      <c r="AM46">
        <f>IF(OR(Settings!$A$27="",$E46="pre"),"",IF(AND('Month-End'!$AQ$15&lt;&gt;"",NOT(_xlfn.ISFORMULA('Month-End'!$AQ$15))),N('Month-End'!$AQ$15),IF(OR($E46="open",$E45="pre"),N(Settings!$C$27),N($AM45))))</f>
        <v/>
      </c>
      <c r="AN46">
        <f>IF(OR(Settings!$A$28="",$E46="pre"),"",IF(AND('Month-End'!$AQ$16&lt;&gt;"",NOT(_xlfn.ISFORMULA('Month-End'!$AQ$16))),N('Month-End'!$AQ$16),IF(OR($E46="open",$E45="pre"),N(Settings!$C$28),N($AN45))))</f>
        <v/>
      </c>
      <c r="AO46">
        <f>IF(OR(Settings!$A$29="",$E46="pre"),"",IF(AND('Month-End'!$AQ$17&lt;&gt;"",NOT(_xlfn.ISFORMULA('Month-End'!$AQ$17))),N('Month-End'!$AQ$17),IF(OR($E46="open",$E45="pre"),N(Settings!$C$29),N($AO45))))</f>
        <v/>
      </c>
      <c r="AP46">
        <f>IF(OR(Settings!$A$30="",$E46="pre"),"",IF(AND('Month-End'!$AQ$18&lt;&gt;"",NOT(_xlfn.ISFORMULA('Month-End'!$AQ$18))),N('Month-End'!$AQ$18),IF(OR($E46="open",$E45="pre"),N(Settings!$C$30),N($AP45))))</f>
        <v/>
      </c>
      <c r="AQ46">
        <f>IF(OR(Settings!$A$31="",$E46="pre"),"",IF(AND('Month-End'!$AQ$19&lt;&gt;"",NOT(_xlfn.ISFORMULA('Month-End'!$AQ$19))),N('Month-End'!$AQ$19),IF(OR($E46="open",$E45="pre"),N(Settings!$C$31),N($AQ45))))</f>
        <v/>
      </c>
      <c r="AR46">
        <f>IF(OR(Settings!$A$32="",$E46="pre"),"",IF(AND('Month-End'!$AQ$20&lt;&gt;"",NOT(_xlfn.ISFORMULA('Month-End'!$AQ$20))),N('Month-End'!$AQ$20),IF(OR($E46="open",$E45="pre"),N(Settings!$C$32),N($AR45))))</f>
        <v/>
      </c>
      <c r="AS46">
        <f>IF(OR(Settings!$A$36="",$E46="pre"),"",IF(AND('Month-End'!$AQ$38&lt;&gt;"",NOT(_xlfn.ISFORMULA('Month-End'!$AQ$38))),N('Month-End'!$AQ$38),IF(OR($E46="open",$E45="pre"),N(Settings!$C$36),N($AS45))+$AY46))</f>
        <v/>
      </c>
      <c r="AT46">
        <f>IF(OR(Settings!$A$37="",$E46="pre"),"",IF(AND('Month-End'!$AQ$39&lt;&gt;"",NOT(_xlfn.ISFORMULA('Month-End'!$AQ$39))),N('Month-End'!$AQ$39),IF(OR($E46="open",$E45="pre"),N(Settings!$C$37),N($AT45))+$AZ46))</f>
        <v/>
      </c>
      <c r="AU46">
        <f>IF(OR(Settings!$A$38="",$E46="pre"),"",IF(AND('Month-End'!$AQ$40&lt;&gt;"",NOT(_xlfn.ISFORMULA('Month-End'!$AQ$40))),N('Month-End'!$AQ$40),IF(OR($E46="open",$E45="pre"),N(Settings!$C$38),N($AU45))+$BA46))</f>
        <v/>
      </c>
      <c r="AV46">
        <f>IF(OR(Settings!$A$39="",$E46="pre"),"",IF(AND('Month-End'!$AQ$41&lt;&gt;"",NOT(_xlfn.ISFORMULA('Month-End'!$AQ$41))),N('Month-End'!$AQ$41),IF(OR($E46="open",$E45="pre"),N(Settings!$C$39),N($AV45))+$BB46))</f>
        <v/>
      </c>
      <c r="AW46">
        <f>IF(OR(Settings!$A$40="",$E46="pre"),"",IF(AND('Month-End'!$AQ$42&lt;&gt;"",NOT(_xlfn.ISFORMULA('Month-End'!$AQ$42))),N('Month-End'!$AQ$42),IF(OR($E46="open",$E45="pre"),N(Settings!$C$40),N($AW45))+$BC46))</f>
        <v/>
      </c>
      <c r="AX46">
        <f>IF(OR(Settings!$A$41="",$E46="pre"),"",IF(AND('Month-End'!$AQ$43&lt;&gt;"",NOT(_xlfn.ISFORMULA('Month-End'!$AQ$43))),N('Month-End'!$AQ$43),IF(OR($E46="open",$E45="pre"),N(Settings!$C$41),N($AX45))+$BD46))</f>
        <v/>
      </c>
      <c r="AY46">
        <f>IF($E46="pre",0,N('Month-End'!$AQ$45))</f>
        <v/>
      </c>
      <c r="AZ46">
        <f>IF($E46="pre",0,N('Month-End'!$AQ$46))</f>
        <v/>
      </c>
      <c r="BA46">
        <f>IF($E46="pre",0,N('Month-End'!$AQ$47))</f>
        <v/>
      </c>
      <c r="BB46">
        <f>IF($E46="pre",0,N('Month-End'!$AQ$48))</f>
        <v/>
      </c>
      <c r="BC46">
        <f>IF($E46="pre",0,N('Month-End'!$AQ$49))</f>
        <v/>
      </c>
      <c r="BD46">
        <f>IF($E46="pre",0,N('Month-End'!$AQ$50))</f>
        <v/>
      </c>
      <c r="BE46">
        <f>IF(OR(Settings!$C$45="",Settings!$D$45=""),0,Settings!$C$45*IF(Settings!$D$45="Weekly",IF(IFERROR(MATCH(Settings!$E$45,$EO$4:$EO$10,0),0)=0,0,IF(MIN($C46,IF(Settings!$G$45="",$C46,Settings!$G$45))&lt;MAX($A46,Settings!$F$45),0,INT((MIN($C46,IF(Settings!$G$45="",$C46,Settings!$G$45))-MAX($A46,Settings!$F$45)-MOD(IFERROR(MATCH(Settings!$E$45,$EO$4:$EO$10,0),0)-WEEKDAY(MAX($A46,Settings!$F$45)),7))/7)+1)),IF(AND(IF(Settings!$E$45="",$B46,DATE(YEAR($A46),MONTH($A46),MIN(Settings!$E$45,DAY($B46))))&gt;=MAX($A46,Settings!$F$45),IF(Settings!$E$45="",$B46,DATE(YEAR($A46),MONTH($A46),MIN(Settings!$E$45,DAY($B46))))&lt;=MIN($C46,IF(Settings!$G$45="",$C46,Settings!$G$45))),1,0)))</f>
        <v/>
      </c>
      <c r="BF46">
        <f>IF(OR(Settings!$C$46="",Settings!$D$46=""),0,Settings!$C$46*IF(Settings!$D$46="Weekly",IF(IFERROR(MATCH(Settings!$E$46,$EO$4:$EO$10,0),0)=0,0,IF(MIN($C46,IF(Settings!$G$46="",$C46,Settings!$G$46))&lt;MAX($A46,Settings!$F$46),0,INT((MIN($C46,IF(Settings!$G$46="",$C46,Settings!$G$46))-MAX($A46,Settings!$F$46)-MOD(IFERROR(MATCH(Settings!$E$46,$EO$4:$EO$10,0),0)-WEEKDAY(MAX($A46,Settings!$F$46)),7))/7)+1)),IF(AND(IF(Settings!$E$46="",$B46,DATE(YEAR($A46),MONTH($A46),MIN(Settings!$E$46,DAY($B46))))&gt;=MAX($A46,Settings!$F$46),IF(Settings!$E$46="",$B46,DATE(YEAR($A46),MONTH($A46),MIN(Settings!$E$46,DAY($B46))))&lt;=MIN($C46,IF(Settings!$G$46="",$C46,Settings!$G$46))),1,0)))</f>
        <v/>
      </c>
      <c r="BG46">
        <f>IF(OR(Settings!$C$47="",Settings!$D$47=""),0,Settings!$C$47*IF(Settings!$D$47="Weekly",IF(IFERROR(MATCH(Settings!$E$47,$EO$4:$EO$10,0),0)=0,0,IF(MIN($C46,IF(Settings!$G$47="",$C46,Settings!$G$47))&lt;MAX($A46,Settings!$F$47),0,INT((MIN($C46,IF(Settings!$G$47="",$C46,Settings!$G$47))-MAX($A46,Settings!$F$47)-MOD(IFERROR(MATCH(Settings!$E$47,$EO$4:$EO$10,0),0)-WEEKDAY(MAX($A46,Settings!$F$47)),7))/7)+1)),IF(AND(IF(Settings!$E$47="",$B46,DATE(YEAR($A46),MONTH($A46),MIN(Settings!$E$47,DAY($B46))))&gt;=MAX($A46,Settings!$F$47),IF(Settings!$E$47="",$B46,DATE(YEAR($A46),MONTH($A46),MIN(Settings!$E$47,DAY($B46))))&lt;=MIN($C46,IF(Settings!$G$47="",$C46,Settings!$G$47))),1,0)))</f>
        <v/>
      </c>
      <c r="BH46">
        <f>IF(OR(Settings!$C$48="",Settings!$D$48=""),0,Settings!$C$48*IF(Settings!$D$48="Weekly",IF(IFERROR(MATCH(Settings!$E$48,$EO$4:$EO$10,0),0)=0,0,IF(MIN($C46,IF(Settings!$G$48="",$C46,Settings!$G$48))&lt;MAX($A46,Settings!$F$48),0,INT((MIN($C46,IF(Settings!$G$48="",$C46,Settings!$G$48))-MAX($A46,Settings!$F$48)-MOD(IFERROR(MATCH(Settings!$E$48,$EO$4:$EO$10,0),0)-WEEKDAY(MAX($A46,Settings!$F$48)),7))/7)+1)),IF(AND(IF(Settings!$E$48="",$B46,DATE(YEAR($A46),MONTH($A46),MIN(Settings!$E$48,DAY($B46))))&gt;=MAX($A46,Settings!$F$48),IF(Settings!$E$48="",$B46,DATE(YEAR($A46),MONTH($A46),MIN(Settings!$E$48,DAY($B46))))&lt;=MIN($C46,IF(Settings!$G$48="",$C46,Settings!$G$48))),1,0)))</f>
        <v/>
      </c>
      <c r="BI46">
        <f>IF(OR(Settings!$C$49="",Settings!$D$49=""),0,Settings!$C$49*IF(Settings!$D$49="Weekly",IF(IFERROR(MATCH(Settings!$E$49,$EO$4:$EO$10,0),0)=0,0,IF(MIN($C46,IF(Settings!$G$49="",$C46,Settings!$G$49))&lt;MAX($A46,Settings!$F$49),0,INT((MIN($C46,IF(Settings!$G$49="",$C46,Settings!$G$49))-MAX($A46,Settings!$F$49)-MOD(IFERROR(MATCH(Settings!$E$49,$EO$4:$EO$10,0),0)-WEEKDAY(MAX($A46,Settings!$F$49)),7))/7)+1)),IF(AND(IF(Settings!$E$49="",$B46,DATE(YEAR($A46),MONTH($A46),MIN(Settings!$E$49,DAY($B46))))&gt;=MAX($A46,Settings!$F$49),IF(Settings!$E$49="",$B46,DATE(YEAR($A46),MONTH($A46),MIN(Settings!$E$49,DAY($B46))))&lt;=MIN($C46,IF(Settings!$G$49="",$C46,Settings!$G$49))),1,0)))</f>
        <v/>
      </c>
      <c r="BJ46">
        <f>IF(OR(Settings!$C$50="",Settings!$D$50=""),0,Settings!$C$50*IF(Settings!$D$50="Weekly",IF(IFERROR(MATCH(Settings!$E$50,$EO$4:$EO$10,0),0)=0,0,IF(MIN($C46,IF(Settings!$G$50="",$C46,Settings!$G$50))&lt;MAX($A46,Settings!$F$50),0,INT((MIN($C46,IF(Settings!$G$50="",$C46,Settings!$G$50))-MAX($A46,Settings!$F$50)-MOD(IFERROR(MATCH(Settings!$E$50,$EO$4:$EO$10,0),0)-WEEKDAY(MAX($A46,Settings!$F$50)),7))/7)+1)),IF(AND(IF(Settings!$E$50="",$B46,DATE(YEAR($A46),MONTH($A46),MIN(Settings!$E$50,DAY($B46))))&gt;=MAX($A46,Settings!$F$50),IF(Settings!$E$50="",$B46,DATE(YEAR($A46),MONTH($A46),MIN(Settings!$E$50,DAY($B46))))&lt;=MIN($C46,IF(Settings!$G$50="",$C46,Settings!$G$50))),1,0)))</f>
        <v/>
      </c>
      <c r="BK46">
        <f>IF(OR(Settings!$C$51="",Settings!$D$51=""),0,Settings!$C$51*IF(Settings!$D$51="Weekly",IF(IFERROR(MATCH(Settings!$E$51,$EO$4:$EO$10,0),0)=0,0,IF(MIN($C46,IF(Settings!$G$51="",$C46,Settings!$G$51))&lt;MAX($A46,Settings!$F$51),0,INT((MIN($C46,IF(Settings!$G$51="",$C46,Settings!$G$51))-MAX($A46,Settings!$F$51)-MOD(IFERROR(MATCH(Settings!$E$51,$EO$4:$EO$10,0),0)-WEEKDAY(MAX($A46,Settings!$F$51)),7))/7)+1)),IF(AND(IF(Settings!$E$51="",$B46,DATE(YEAR($A46),MONTH($A46),MIN(Settings!$E$51,DAY($B46))))&gt;=MAX($A46,Settings!$F$51),IF(Settings!$E$51="",$B46,DATE(YEAR($A46),MONTH($A46),MIN(Settings!$E$51,DAY($B46))))&lt;=MIN($C46,IF(Settings!$G$51="",$C46,Settings!$G$51))),1,0)))</f>
        <v/>
      </c>
      <c r="BL46">
        <f>IF(OR(Settings!$C$52="",Settings!$D$52=""),0,Settings!$C$52*IF(Settings!$D$52="Weekly",IF(IFERROR(MATCH(Settings!$E$52,$EO$4:$EO$10,0),0)=0,0,IF(MIN($C46,IF(Settings!$G$52="",$C46,Settings!$G$52))&lt;MAX($A46,Settings!$F$52),0,INT((MIN($C46,IF(Settings!$G$52="",$C46,Settings!$G$52))-MAX($A46,Settings!$F$52)-MOD(IFERROR(MATCH(Settings!$E$52,$EO$4:$EO$10,0),0)-WEEKDAY(MAX($A46,Settings!$F$52)),7))/7)+1)),IF(AND(IF(Settings!$E$52="",$B46,DATE(YEAR($A46),MONTH($A46),MIN(Settings!$E$52,DAY($B46))))&gt;=MAX($A46,Settings!$F$52),IF(Settings!$E$52="",$B46,DATE(YEAR($A46),MONTH($A46),MIN(Settings!$E$52,DAY($B46))))&lt;=MIN($C46,IF(Settings!$G$52="",$C46,Settings!$G$52))),1,0)))</f>
        <v/>
      </c>
      <c r="BM46">
        <f>IF(OR(Settings!$C$53="",Settings!$D$53=""),0,Settings!$C$53*IF(Settings!$D$53="Weekly",IF(IFERROR(MATCH(Settings!$E$53,$EO$4:$EO$10,0),0)=0,0,IF(MIN($C46,IF(Settings!$G$53="",$C46,Settings!$G$53))&lt;MAX($A46,Settings!$F$53),0,INT((MIN($C46,IF(Settings!$G$53="",$C46,Settings!$G$53))-MAX($A46,Settings!$F$53)-MOD(IFERROR(MATCH(Settings!$E$53,$EO$4:$EO$10,0),0)-WEEKDAY(MAX($A46,Settings!$F$53)),7))/7)+1)),IF(AND(IF(Settings!$E$53="",$B46,DATE(YEAR($A46),MONTH($A46),MIN(Settings!$E$53,DAY($B46))))&gt;=MAX($A46,Settings!$F$53),IF(Settings!$E$53="",$B46,DATE(YEAR($A46),MONTH($A46),MIN(Settings!$E$53,DAY($B46))))&lt;=MIN($C46,IF(Settings!$G$53="",$C46,Settings!$G$53))),1,0)))</f>
        <v/>
      </c>
      <c r="BN46">
        <f>IF(OR(Settings!$C$54="",Settings!$D$54=""),0,Settings!$C$54*IF(Settings!$D$54="Weekly",IF(IFERROR(MATCH(Settings!$E$54,$EO$4:$EO$10,0),0)=0,0,IF(MIN($C46,IF(Settings!$G$54="",$C46,Settings!$G$54))&lt;MAX($A46,Settings!$F$54),0,INT((MIN($C46,IF(Settings!$G$54="",$C46,Settings!$G$54))-MAX($A46,Settings!$F$54)-MOD(IFERROR(MATCH(Settings!$E$54,$EO$4:$EO$10,0),0)-WEEKDAY(MAX($A46,Settings!$F$54)),7))/7)+1)),IF(AND(IF(Settings!$E$54="",$B46,DATE(YEAR($A46),MONTH($A46),MIN(Settings!$E$54,DAY($B46))))&gt;=MAX($A46,Settings!$F$54),IF(Settings!$E$54="",$B46,DATE(YEAR($A46),MONTH($A46),MIN(Settings!$E$54,DAY($B46))))&lt;=MIN($C46,IF(Settings!$G$54="",$C46,Settings!$G$54))),1,0)))</f>
        <v/>
      </c>
      <c r="BO46">
        <f>IF(OR(Settings!$C$55="",Settings!$D$55=""),0,Settings!$C$55*IF(Settings!$D$55="Weekly",IF(IFERROR(MATCH(Settings!$E$55,$EO$4:$EO$10,0),0)=0,0,IF(MIN($C46,IF(Settings!$G$55="",$C46,Settings!$G$55))&lt;MAX($A46,Settings!$F$55),0,INT((MIN($C46,IF(Settings!$G$55="",$C46,Settings!$G$55))-MAX($A46,Settings!$F$55)-MOD(IFERROR(MATCH(Settings!$E$55,$EO$4:$EO$10,0),0)-WEEKDAY(MAX($A46,Settings!$F$55)),7))/7)+1)),IF(AND(IF(Settings!$E$55="",$B46,DATE(YEAR($A46),MONTH($A46),MIN(Settings!$E$55,DAY($B46))))&gt;=MAX($A46,Settings!$F$55),IF(Settings!$E$55="",$B46,DATE(YEAR($A46),MONTH($A46),MIN(Settings!$E$55,DAY($B46))))&lt;=MIN($C46,IF(Settings!$G$55="",$C46,Settings!$G$55))),1,0)))</f>
        <v/>
      </c>
      <c r="BP46">
        <f>IF(OR(Settings!$C$56="",Settings!$D$56=""),0,Settings!$C$56*IF(Settings!$D$56="Weekly",IF(IFERROR(MATCH(Settings!$E$56,$EO$4:$EO$10,0),0)=0,0,IF(MIN($C46,IF(Settings!$G$56="",$C46,Settings!$G$56))&lt;MAX($A46,Settings!$F$56),0,INT((MIN($C46,IF(Settings!$G$56="",$C46,Settings!$G$56))-MAX($A46,Settings!$F$56)-MOD(IFERROR(MATCH(Settings!$E$56,$EO$4:$EO$10,0),0)-WEEKDAY(MAX($A46,Settings!$F$56)),7))/7)+1)),IF(AND(IF(Settings!$E$56="",$B46,DATE(YEAR($A46),MONTH($A46),MIN(Settings!$E$56,DAY($B46))))&gt;=MAX($A46,Settings!$F$56),IF(Settings!$E$56="",$B46,DATE(YEAR($A46),MONTH($A46),MIN(Settings!$E$56,DAY($B46))))&lt;=MIN($C46,IF(Settings!$G$56="",$C46,Settings!$G$56))),1,0)))</f>
        <v/>
      </c>
      <c r="BQ46">
        <f>IF(OR(Settings!$B$14="",$D46=1,$E46="pre",$A46&lt;IF(Settings!$B$15="",0,Settings!$B$15)),0,Settings!$B$14)</f>
        <v/>
      </c>
      <c r="BR46">
        <f>IF(AND('Month-End'!$AQ$7&lt;&gt;"",NOT(_xlfn.ISFORMULA('Month-End'!$AQ$7))),1,0)</f>
        <v/>
      </c>
      <c r="BS46">
        <f>IF(AND('Month-End'!$AQ$8&lt;&gt;"",NOT(_xlfn.ISFORMULA('Month-End'!$AQ$8))),1,0)</f>
        <v/>
      </c>
      <c r="BT46">
        <f>IF(AND('Month-End'!$AQ$9&lt;&gt;"",NOT(_xlfn.ISFORMULA('Month-End'!$AQ$9))),1,0)</f>
        <v/>
      </c>
      <c r="BU46">
        <f>IF(AND('Month-End'!$AQ$10&lt;&gt;"",NOT(_xlfn.ISFORMULA('Month-End'!$AQ$10))),1,0)</f>
        <v/>
      </c>
      <c r="BV46">
        <f>IF(AND('Month-End'!$AQ$11&lt;&gt;"",NOT(_xlfn.ISFORMULA('Month-End'!$AQ$11))),1,0)</f>
        <v/>
      </c>
      <c r="BW46">
        <f>IF(AND('Month-End'!$AQ$12&lt;&gt;"",NOT(_xlfn.ISFORMULA('Month-End'!$AQ$12))),1,0)</f>
        <v/>
      </c>
      <c r="BX46">
        <f>IF(AND('Month-End'!$AQ$13&lt;&gt;"",NOT(_xlfn.ISFORMULA('Month-End'!$AQ$13))),1,0)</f>
        <v/>
      </c>
      <c r="BY46">
        <f>IF(AND('Month-End'!$AQ$14&lt;&gt;"",NOT(_xlfn.ISFORMULA('Month-End'!$AQ$14))),1,0)</f>
        <v/>
      </c>
      <c r="BZ46">
        <f>IF(AND('Month-End'!$AQ$15&lt;&gt;"",NOT(_xlfn.ISFORMULA('Month-End'!$AQ$15))),1,0)</f>
        <v/>
      </c>
      <c r="CA46">
        <f>IF(AND('Month-End'!$AQ$16&lt;&gt;"",NOT(_xlfn.ISFORMULA('Month-End'!$AQ$16))),1,0)</f>
        <v/>
      </c>
      <c r="CB46">
        <f>IF(AND('Month-End'!$AQ$17&lt;&gt;"",NOT(_xlfn.ISFORMULA('Month-End'!$AQ$17))),1,0)</f>
        <v/>
      </c>
      <c r="CC46">
        <f>IF(AND('Month-End'!$AQ$18&lt;&gt;"",NOT(_xlfn.ISFORMULA('Month-End'!$AQ$18))),1,0)</f>
        <v/>
      </c>
      <c r="CD46">
        <f>IF(AND('Month-End'!$AQ$19&lt;&gt;"",NOT(_xlfn.ISFORMULA('Month-End'!$AQ$19))),1,0)</f>
        <v/>
      </c>
      <c r="CE46">
        <f>IF(AND('Month-End'!$AQ$20&lt;&gt;"",NOT(_xlfn.ISFORMULA('Month-End'!$AQ$20))),1,0)</f>
        <v/>
      </c>
      <c r="CF46">
        <f>IF(AND('Month-End'!$AQ$38&lt;&gt;"",NOT(_xlfn.ISFORMULA('Month-End'!$AQ$38))),1,0)</f>
        <v/>
      </c>
      <c r="CG46">
        <f>IF(AND('Month-End'!$AQ$39&lt;&gt;"",NOT(_xlfn.ISFORMULA('Month-End'!$AQ$39))),1,0)</f>
        <v/>
      </c>
      <c r="CH46">
        <f>IF(AND('Month-End'!$AQ$40&lt;&gt;"",NOT(_xlfn.ISFORMULA('Month-End'!$AQ$40))),1,0)</f>
        <v/>
      </c>
      <c r="CI46">
        <f>IF(AND('Month-End'!$AQ$41&lt;&gt;"",NOT(_xlfn.ISFORMULA('Month-End'!$AQ$41))),1,0)</f>
        <v/>
      </c>
      <c r="CJ46">
        <f>IF(AND('Month-End'!$AQ$42&lt;&gt;"",NOT(_xlfn.ISFORMULA('Month-End'!$AQ$42))),1,0)</f>
        <v/>
      </c>
      <c r="CK46">
        <f>IF(AND('Month-End'!$AQ$43&lt;&gt;"",NOT(_xlfn.ISFORMULA('Month-End'!$AQ$43))),1,0)</f>
        <v/>
      </c>
      <c r="CL46">
        <f>SUM($CM46:$CZ46)</f>
        <v/>
      </c>
      <c r="CM46">
        <f>IF(AND($E46&lt;&gt;"pre",AND(Settings!$A$19&lt;&gt;"",Settings!$E$19&lt;&gt;"No"),Settings!$F$19="Yes",NOT(AND('Month-End'!$AQ$7&lt;&gt;"",NOT(_xlfn.ISFORMULA('Month-End'!$AQ$7))))),1,0)</f>
        <v/>
      </c>
      <c r="CN46">
        <f>IF(AND($E46&lt;&gt;"pre",AND(Settings!$A$20&lt;&gt;"",Settings!$E$20&lt;&gt;"No"),Settings!$F$20="Yes",NOT(AND('Month-End'!$AQ$8&lt;&gt;"",NOT(_xlfn.ISFORMULA('Month-End'!$AQ$8))))),1,0)</f>
        <v/>
      </c>
      <c r="CO46">
        <f>IF(AND($E46&lt;&gt;"pre",AND(Settings!$A$21&lt;&gt;"",Settings!$E$21&lt;&gt;"No"),Settings!$F$21="Yes",NOT(AND('Month-End'!$AQ$9&lt;&gt;"",NOT(_xlfn.ISFORMULA('Month-End'!$AQ$9))))),1,0)</f>
        <v/>
      </c>
      <c r="CP46">
        <f>IF(AND($E46&lt;&gt;"pre",AND(Settings!$A$22&lt;&gt;"",Settings!$E$22&lt;&gt;"No"),Settings!$F$22="Yes",NOT(AND('Month-End'!$AQ$10&lt;&gt;"",NOT(_xlfn.ISFORMULA('Month-End'!$AQ$10))))),1,0)</f>
        <v/>
      </c>
      <c r="CQ46">
        <f>IF(AND($E46&lt;&gt;"pre",AND(Settings!$A$23&lt;&gt;"",Settings!$E$23&lt;&gt;"No"),Settings!$F$23="Yes",NOT(AND('Month-End'!$AQ$11&lt;&gt;"",NOT(_xlfn.ISFORMULA('Month-End'!$AQ$11))))),1,0)</f>
        <v/>
      </c>
      <c r="CR46">
        <f>IF(AND($E46&lt;&gt;"pre",AND(Settings!$A$24&lt;&gt;"",Settings!$E$24&lt;&gt;"No"),Settings!$F$24="Yes",NOT(AND('Month-End'!$AQ$12&lt;&gt;"",NOT(_xlfn.ISFORMULA('Month-End'!$AQ$12))))),1,0)</f>
        <v/>
      </c>
      <c r="CS46">
        <f>IF(AND($E46&lt;&gt;"pre",AND(Settings!$A$25&lt;&gt;"",Settings!$E$25&lt;&gt;"No"),Settings!$F$25="Yes",NOT(AND('Month-End'!$AQ$13&lt;&gt;"",NOT(_xlfn.ISFORMULA('Month-End'!$AQ$13))))),1,0)</f>
        <v/>
      </c>
      <c r="CT46">
        <f>IF(AND($E46&lt;&gt;"pre",AND(Settings!$A$26&lt;&gt;"",Settings!$E$26&lt;&gt;"No"),Settings!$F$26="Yes",NOT(AND('Month-End'!$AQ$14&lt;&gt;"",NOT(_xlfn.ISFORMULA('Month-End'!$AQ$14))))),1,0)</f>
        <v/>
      </c>
      <c r="CU46">
        <f>IF(AND($E46&lt;&gt;"pre",AND(Settings!$A$27&lt;&gt;"",Settings!$E$27&lt;&gt;"No"),Settings!$F$27="Yes",NOT(AND('Month-End'!$AQ$15&lt;&gt;"",NOT(_xlfn.ISFORMULA('Month-End'!$AQ$15))))),1,0)</f>
        <v/>
      </c>
      <c r="CV46">
        <f>IF(AND($E46&lt;&gt;"pre",AND(Settings!$A$28&lt;&gt;"",Settings!$E$28&lt;&gt;"No"),Settings!$F$28="Yes",NOT(AND('Month-End'!$AQ$16&lt;&gt;"",NOT(_xlfn.ISFORMULA('Month-End'!$AQ$16))))),1,0)</f>
        <v/>
      </c>
      <c r="CW46">
        <f>IF(AND($E46&lt;&gt;"pre",AND(Settings!$A$29&lt;&gt;"",Settings!$E$29&lt;&gt;"No"),Settings!$F$29="Yes",NOT(AND('Month-End'!$AQ$17&lt;&gt;"",NOT(_xlfn.ISFORMULA('Month-End'!$AQ$17))))),1,0)</f>
        <v/>
      </c>
      <c r="CX46">
        <f>IF(AND($E46&lt;&gt;"pre",AND(Settings!$A$30&lt;&gt;"",Settings!$E$30&lt;&gt;"No"),Settings!$F$30="Yes",NOT(AND('Month-End'!$AQ$18&lt;&gt;"",NOT(_xlfn.ISFORMULA('Month-End'!$AQ$18))))),1,0)</f>
        <v/>
      </c>
      <c r="CY46">
        <f>IF(AND($E46&lt;&gt;"pre",AND(Settings!$A$31&lt;&gt;"",Settings!$E$31&lt;&gt;"No"),Settings!$F$31="Yes",NOT(AND('Month-End'!$AQ$19&lt;&gt;"",NOT(_xlfn.ISFORMULA('Month-End'!$AQ$19))))),1,0)</f>
        <v/>
      </c>
      <c r="CZ46">
        <f>IF(AND($E46&lt;&gt;"pre",AND(Settings!$A$32&lt;&gt;"",Settings!$E$32&lt;&gt;"No"),Settings!$F$32="Yes",NOT(AND('Month-End'!$AQ$20&lt;&gt;"",NOT(_xlfn.ISFORMULA('Month-End'!$AQ$20))))),1,0)</f>
        <v/>
      </c>
      <c r="DA46">
        <f>IF($DT46=1,IF(OR(Settings!$B$19="Checking",Settings!$B$19="Savings",Settings!$B$19="Cash"),N($AE46),IF(OR(Settings!$B$19="Card",Settings!$B$19="Loan"),-N($AE46),0))+IF(OR(Settings!$B$20="Checking",Settings!$B$20="Savings",Settings!$B$20="Cash"),N($AF46),IF(OR(Settings!$B$20="Card",Settings!$B$20="Loan"),-N($AF46),0))+IF(OR(Settings!$B$21="Checking",Settings!$B$21="Savings",Settings!$B$21="Cash"),N($AG46),IF(OR(Settings!$B$21="Card",Settings!$B$21="Loan"),-N($AG46),0))+IF(OR(Settings!$B$22="Checking",Settings!$B$22="Savings",Settings!$B$22="Cash"),N($AH46),IF(OR(Settings!$B$22="Card",Settings!$B$22="Loan"),-N($AH46),0))+IF(OR(Settings!$B$23="Checking",Settings!$B$23="Savings",Settings!$B$23="Cash"),N($AI46),IF(OR(Settings!$B$23="Card",Settings!$B$23="Loan"),-N($AI46),0))+IF(OR(Settings!$B$24="Checking",Settings!$B$24="Savings",Settings!$B$24="Cash"),N($AJ46),IF(OR(Settings!$B$24="Card",Settings!$B$24="Loan"),-N($AJ46),0))+IF(OR(Settings!$B$25="Checking",Settings!$B$25="Savings",Settings!$B$25="Cash"),N($AK46),IF(OR(Settings!$B$25="Card",Settings!$B$25="Loan"),-N($AK46),0))+IF(OR(Settings!$B$26="Checking",Settings!$B$26="Savings",Settings!$B$26="Cash"),N($AL46),IF(OR(Settings!$B$26="Card",Settings!$B$26="Loan"),-N($AL46),0))+IF(OR(Settings!$B$27="Checking",Settings!$B$27="Savings",Settings!$B$27="Cash"),N($AM46),IF(OR(Settings!$B$27="Card",Settings!$B$27="Loan"),-N($AM46),0))+IF(OR(Settings!$B$28="Checking",Settings!$B$28="Savings",Settings!$B$28="Cash"),N($AN46),IF(OR(Settings!$B$28="Card",Settings!$B$28="Loan"),-N($AN46),0))+IF(OR(Settings!$B$29="Checking",Settings!$B$29="Savings",Settings!$B$29="Cash"),N($AO46),IF(OR(Settings!$B$29="Card",Settings!$B$29="Loan"),-N($AO46),0))+IF(OR(Settings!$B$30="Checking",Settings!$B$30="Savings",Settings!$B$30="Cash"),N($AP46),IF(OR(Settings!$B$30="Card",Settings!$B$30="Loan"),-N($AP46),0))+IF(OR(Settings!$B$31="Checking",Settings!$B$31="Savings",Settings!$B$31="Cash"),N($AQ46),IF(OR(Settings!$B$31="Card",Settings!$B$31="Loan"),-N($AQ46),0))+IF(OR(Settings!$B$32="Checking",Settings!$B$32="Savings",Settings!$B$32="Cash"),N($AR46),IF(OR(Settings!$B$32="Card",Settings!$B$32="Loan"),-N($AR46),0)),"")</f>
        <v/>
      </c>
      <c r="DB46">
        <f>IF($E46="open",$EB$27,IF($E46="post",IF($E45="pre",$EB$27,$DA45),""))</f>
        <v/>
      </c>
      <c r="DC46">
        <f>IF($E46="open",1,IF($E46="post",IF($E45="pre",1,$DT45),0))</f>
        <v/>
      </c>
      <c r="DD46">
        <f>IF(AND($DT46=1,$DC46=1),ROUND($W46-($DA46-$DB46)-$AD46-$AB46,2),"")</f>
        <v/>
      </c>
      <c r="DE46">
        <f>IF('Month-End'!$AQ$35="",$BQ46,N('Month-End'!$AQ$35))</f>
        <v/>
      </c>
      <c r="DF46">
        <f>N('Month-End'!$AQ$36)</f>
        <v/>
      </c>
      <c r="DG46">
        <f>IF($DD46="","",$DD46+$DE46)</f>
        <v/>
      </c>
      <c r="DH46">
        <f>IF($DG46="","",$DG46-$DF46)</f>
        <v/>
      </c>
      <c r="DI46">
        <f>IF(OR($E46="pre",$D46=1),"",N($AS46)+N($AT46)+N($AU46)+N($AV46)+N($AW46)+N($AX46))</f>
        <v/>
      </c>
      <c r="DJ46">
        <f>IF($DT46=1,$DA46+N($DI46),"")</f>
        <v/>
      </c>
      <c r="DK46">
        <f>IF($DD46="","",$W46-$DD46-$AB46)</f>
        <v/>
      </c>
      <c r="DL46">
        <f>IF(AND($E46="post",$DD46&lt;&gt;"",$B46&lt;TODAY()),1,0)</f>
        <v/>
      </c>
      <c r="DM46">
        <f>IF($DL46=1,COUNTIF($DL46:$DL$183,1),0)</f>
        <v/>
      </c>
      <c r="DN46">
        <f>IF($D46=1,"",IF($E46="pre","History only",IF($DT46=1,IF($DD46="","⚠ Previous month missing",IF($DD46&lt;0,"⚠ Check: spending &lt; 0",IF($E46="open","✓ Done (partial)","✓ Done"))),IF($B46&gt;=TODAY(),"In progress","⚠ Needs balances"))))</f>
        <v/>
      </c>
      <c r="DO46">
        <f>YEAR($A46)</f>
        <v/>
      </c>
      <c r="DP46">
        <f>DATE(YEAR($A46),INT((MONTH($A46)-1)/3)*3+1,1)</f>
        <v/>
      </c>
      <c r="DQ46">
        <f>IF(AND($DT46=1,$DD46&lt;&gt;"",$D46=0),ROW(),0)</f>
        <v/>
      </c>
      <c r="DR46">
        <f>IF(AND($E46&lt;&gt;"pre",$B46&lt;TODAY(),$DT46=0),1,0)</f>
        <v/>
      </c>
      <c r="DS46">
        <f>IF($DJ46="",NA(),$DJ46)</f>
        <v/>
      </c>
      <c r="DT46">
        <f>IF(AND($E46&lt;&gt;"pre",$CL46=0,COUNTIFS(Settings!$F$19:$F$32,"Yes",Settings!$A$19:$A$32,"&lt;&gt;",Settings!$E$19:$E$32,"&lt;&gt;No")&gt;0),1,0)</f>
        <v/>
      </c>
      <c r="DU46">
        <f>IF(AND($B46&lt;TODAY(),$S46&gt;0),1,0)</f>
        <v/>
      </c>
      <c r="DV46">
        <f>IF($DU46=1,COUNTIF($DU46:$DU$183,1),0)</f>
        <v/>
      </c>
      <c r="DW46">
        <f>IF(AND(OR(Settings!$B$19="Card",Settings!$B$19="Loan"),AND('Month-End'!$AQ$7&lt;&gt;"",NOT(_xlfn.ISFORMULA('Month-End'!$AQ$7)))),IF(N('Month-End'!$AQ$7)&lt;0,1,0),0)+IF(AND(OR(Settings!$B$20="Card",Settings!$B$20="Loan"),AND('Month-End'!$AQ$8&lt;&gt;"",NOT(_xlfn.ISFORMULA('Month-End'!$AQ$8)))),IF(N('Month-End'!$AQ$8)&lt;0,1,0),0)+IF(AND(OR(Settings!$B$21="Card",Settings!$B$21="Loan"),AND('Month-End'!$AQ$9&lt;&gt;"",NOT(_xlfn.ISFORMULA('Month-End'!$AQ$9)))),IF(N('Month-End'!$AQ$9)&lt;0,1,0),0)+IF(AND(OR(Settings!$B$22="Card",Settings!$B$22="Loan"),AND('Month-End'!$AQ$10&lt;&gt;"",NOT(_xlfn.ISFORMULA('Month-End'!$AQ$10)))),IF(N('Month-End'!$AQ$10)&lt;0,1,0),0)+IF(AND(OR(Settings!$B$23="Card",Settings!$B$23="Loan"),AND('Month-End'!$AQ$11&lt;&gt;"",NOT(_xlfn.ISFORMULA('Month-End'!$AQ$11)))),IF(N('Month-End'!$AQ$11)&lt;0,1,0),0)+IF(AND(OR(Settings!$B$24="Card",Settings!$B$24="Loan"),AND('Month-End'!$AQ$12&lt;&gt;"",NOT(_xlfn.ISFORMULA('Month-End'!$AQ$12)))),IF(N('Month-End'!$AQ$12)&lt;0,1,0),0)+IF(AND(OR(Settings!$B$25="Card",Settings!$B$25="Loan"),AND('Month-End'!$AQ$13&lt;&gt;"",NOT(_xlfn.ISFORMULA('Month-End'!$AQ$13)))),IF(N('Month-End'!$AQ$13)&lt;0,1,0),0)+IF(AND(OR(Settings!$B$26="Card",Settings!$B$26="Loan"),AND('Month-End'!$AQ$14&lt;&gt;"",NOT(_xlfn.ISFORMULA('Month-End'!$AQ$14)))),IF(N('Month-End'!$AQ$14)&lt;0,1,0),0)+IF(AND(OR(Settings!$B$27="Card",Settings!$B$27="Loan"),AND('Month-End'!$AQ$15&lt;&gt;"",NOT(_xlfn.ISFORMULA('Month-End'!$AQ$15)))),IF(N('Month-End'!$AQ$15)&lt;0,1,0),0)+IF(AND(OR(Settings!$B$28="Card",Settings!$B$28="Loan"),AND('Month-End'!$AQ$16&lt;&gt;"",NOT(_xlfn.ISFORMULA('Month-End'!$AQ$16)))),IF(N('Month-End'!$AQ$16)&lt;0,1,0),0)+IF(AND(OR(Settings!$B$29="Card",Settings!$B$29="Loan"),AND('Month-End'!$AQ$17&lt;&gt;"",NOT(_xlfn.ISFORMULA('Month-End'!$AQ$17)))),IF(N('Month-End'!$AQ$17)&lt;0,1,0),0)+IF(AND(OR(Settings!$B$30="Card",Settings!$B$30="Loan"),AND('Month-End'!$AQ$18&lt;&gt;"",NOT(_xlfn.ISFORMULA('Month-End'!$AQ$18)))),IF(N('Month-End'!$AQ$18)&lt;0,1,0),0)+IF(AND(OR(Settings!$B$31="Card",Settings!$B$31="Loan"),AND('Month-End'!$AQ$19&lt;&gt;"",NOT(_xlfn.ISFORMULA('Month-End'!$AQ$19)))),IF(N('Month-End'!$AQ$19)&lt;0,1,0),0)+IF(AND(OR(Settings!$B$32="Card",Settings!$B$32="Loan"),AND('Month-End'!$AQ$20&lt;&gt;"",NOT(_xlfn.ISFORMULA('Month-End'!$AQ$20)))),IF(N('Month-End'!$AQ$20)&lt;0,1,0),0)</f>
        <v/>
      </c>
      <c r="DX46">
        <f>IF(Settings!$B$36="Retirement",$AY46,0)+IF(Settings!$B$37="Retirement",$AZ46,0)+IF(Settings!$B$38="Retirement",$BA46,0)+IF(Settings!$B$39="Retirement",$BB46,0)+IF(Settings!$B$40="Retirement",$BC46,0)+IF(Settings!$B$41="Retirement",$BD46,0)</f>
        <v/>
      </c>
      <c r="EA46">
        <f>IF(Settings!$A$25="","",Settings!$A$25)</f>
        <v/>
      </c>
      <c r="EB46">
        <f>IF(Settings!$A$25="","",IF($EB$5=0,N(Settings!$C$25),N(INDEX($AK:$AK,$EB$5))))</f>
        <v/>
      </c>
      <c r="EC46">
        <f>""</f>
        <v/>
      </c>
      <c r="ED46">
        <f>IF(AND(AND(Settings!$A$25&lt;&gt;"",Settings!$E$25&lt;&gt;"No"),Settings!$B$25="Cash",Settings!$B$5&lt;EDATE(TODAY(),-6),COUNTIFS($BX$6:$BX$183,1,$A$6:$A$183,"&gt;="&amp;EDATE(TODAY(),-6))=0),1,0)</f>
        <v/>
      </c>
      <c r="EI46">
        <f>IF(AND(Settings!$A$25&lt;&gt;"",Settings!$E$25&lt;&gt;"No"),COUNTIFS($EK$40:$EK46,1),"")</f>
        <v/>
      </c>
      <c r="EJ46">
        <f>IF(Settings!$A$25="","",Settings!$B$25)</f>
        <v/>
      </c>
      <c r="EK46">
        <f>IF(AND(Settings!$A$25&lt;&gt;"",Settings!$E$25&lt;&gt;"No"),1,0)</f>
        <v/>
      </c>
      <c r="EL46">
        <f>IF(Settings!$A$25="","",IF(OR(Settings!$B$25="Card",Settings!$B$25="Loan"),-N(EB46),N(EB46)))</f>
        <v/>
      </c>
      <c r="EM46">
        <f>IF(Settings!$A$25="","",IF(Settings!$D$25="Yes","estimate",""))</f>
        <v/>
      </c>
      <c r="ET46">
        <f>IF($E46&lt;&gt;"open",0,IF(AND('Month-End'!$AQ$22&lt;&gt;"",NOT(_xlfn.ISFORMULA('Month-End'!$AQ$22))),0,IF(OR(Settings!$C$45="",Settings!$D$45=""),0,Settings!$C$45*IF(Settings!$D$45="Weekly",IF(IFERROR(MATCH(Settings!$E$45,$EO$4:$EO$10,0),0)=0,0,IF(MIN(Settings!$B$5,IF(Settings!$G$45="",Settings!$B$5,Settings!$G$45))&lt;MAX($A46,Settings!$F$45),0,INT((MIN(Settings!$B$5,IF(Settings!$G$45="",Settings!$B$5,Settings!$G$45))-MAX($A46,Settings!$F$45)-MOD(IFERROR(MATCH(Settings!$E$45,$EO$4:$EO$10,0),0)-WEEKDAY(MAX($A46,Settings!$F$45)),7))/7)+1)),IF(AND(IF(Settings!$E$45="",$B46,DATE(YEAR($A46),MONTH($A46),MIN(Settings!$E$45,DAY($B46))))&gt;=MAX($A46,Settings!$F$45),IF(Settings!$E$45="",$B46,DATE(YEAR($A46),MONTH($A46),MIN(Settings!$E$45,DAY($B46))))&lt;=MIN(Settings!$B$5,IF(Settings!$G$45="",Settings!$B$5,Settings!$G$45))),1,0)))))</f>
        <v/>
      </c>
      <c r="EU46">
        <f>IF($E46&lt;&gt;"open",0,IF(AND('Month-End'!$AQ$23&lt;&gt;"",NOT(_xlfn.ISFORMULA('Month-End'!$AQ$23))),0,IF(OR(Settings!$C$46="",Settings!$D$46=""),0,Settings!$C$46*IF(Settings!$D$46="Weekly",IF(IFERROR(MATCH(Settings!$E$46,$EO$4:$EO$10,0),0)=0,0,IF(MIN(Settings!$B$5,IF(Settings!$G$46="",Settings!$B$5,Settings!$G$46))&lt;MAX($A46,Settings!$F$46),0,INT((MIN(Settings!$B$5,IF(Settings!$G$46="",Settings!$B$5,Settings!$G$46))-MAX($A46,Settings!$F$46)-MOD(IFERROR(MATCH(Settings!$E$46,$EO$4:$EO$10,0),0)-WEEKDAY(MAX($A46,Settings!$F$46)),7))/7)+1)),IF(AND(IF(Settings!$E$46="",$B46,DATE(YEAR($A46),MONTH($A46),MIN(Settings!$E$46,DAY($B46))))&gt;=MAX($A46,Settings!$F$46),IF(Settings!$E$46="",$B46,DATE(YEAR($A46),MONTH($A46),MIN(Settings!$E$46,DAY($B46))))&lt;=MIN(Settings!$B$5,IF(Settings!$G$46="",Settings!$B$5,Settings!$G$46))),1,0)))))</f>
        <v/>
      </c>
      <c r="EV46">
        <f>IF($E46&lt;&gt;"open",0,IF(AND('Month-End'!$AQ$24&lt;&gt;"",NOT(_xlfn.ISFORMULA('Month-End'!$AQ$24))),0,IF(OR(Settings!$C$47="",Settings!$D$47=""),0,Settings!$C$47*IF(Settings!$D$47="Weekly",IF(IFERROR(MATCH(Settings!$E$47,$EO$4:$EO$10,0),0)=0,0,IF(MIN(Settings!$B$5,IF(Settings!$G$47="",Settings!$B$5,Settings!$G$47))&lt;MAX($A46,Settings!$F$47),0,INT((MIN(Settings!$B$5,IF(Settings!$G$47="",Settings!$B$5,Settings!$G$47))-MAX($A46,Settings!$F$47)-MOD(IFERROR(MATCH(Settings!$E$47,$EO$4:$EO$10,0),0)-WEEKDAY(MAX($A46,Settings!$F$47)),7))/7)+1)),IF(AND(IF(Settings!$E$47="",$B46,DATE(YEAR($A46),MONTH($A46),MIN(Settings!$E$47,DAY($B46))))&gt;=MAX($A46,Settings!$F$47),IF(Settings!$E$47="",$B46,DATE(YEAR($A46),MONTH($A46),MIN(Settings!$E$47,DAY($B46))))&lt;=MIN(Settings!$B$5,IF(Settings!$G$47="",Settings!$B$5,Settings!$G$47))),1,0)))))</f>
        <v/>
      </c>
      <c r="EW46">
        <f>IF($E46&lt;&gt;"open",0,IF(AND('Month-End'!$AQ$25&lt;&gt;"",NOT(_xlfn.ISFORMULA('Month-End'!$AQ$25))),0,IF(OR(Settings!$C$48="",Settings!$D$48=""),0,Settings!$C$48*IF(Settings!$D$48="Weekly",IF(IFERROR(MATCH(Settings!$E$48,$EO$4:$EO$10,0),0)=0,0,IF(MIN(Settings!$B$5,IF(Settings!$G$48="",Settings!$B$5,Settings!$G$48))&lt;MAX($A46,Settings!$F$48),0,INT((MIN(Settings!$B$5,IF(Settings!$G$48="",Settings!$B$5,Settings!$G$48))-MAX($A46,Settings!$F$48)-MOD(IFERROR(MATCH(Settings!$E$48,$EO$4:$EO$10,0),0)-WEEKDAY(MAX($A46,Settings!$F$48)),7))/7)+1)),IF(AND(IF(Settings!$E$48="",$B46,DATE(YEAR($A46),MONTH($A46),MIN(Settings!$E$48,DAY($B46))))&gt;=MAX($A46,Settings!$F$48),IF(Settings!$E$48="",$B46,DATE(YEAR($A46),MONTH($A46),MIN(Settings!$E$48,DAY($B46))))&lt;=MIN(Settings!$B$5,IF(Settings!$G$48="",Settings!$B$5,Settings!$G$48))),1,0)))))</f>
        <v/>
      </c>
      <c r="EX46">
        <f>IF($E46&lt;&gt;"open",0,IF(AND('Month-End'!$AQ$26&lt;&gt;"",NOT(_xlfn.ISFORMULA('Month-End'!$AQ$26))),0,IF(OR(Settings!$C$49="",Settings!$D$49=""),0,Settings!$C$49*IF(Settings!$D$49="Weekly",IF(IFERROR(MATCH(Settings!$E$49,$EO$4:$EO$10,0),0)=0,0,IF(MIN(Settings!$B$5,IF(Settings!$G$49="",Settings!$B$5,Settings!$G$49))&lt;MAX($A46,Settings!$F$49),0,INT((MIN(Settings!$B$5,IF(Settings!$G$49="",Settings!$B$5,Settings!$G$49))-MAX($A46,Settings!$F$49)-MOD(IFERROR(MATCH(Settings!$E$49,$EO$4:$EO$10,0),0)-WEEKDAY(MAX($A46,Settings!$F$49)),7))/7)+1)),IF(AND(IF(Settings!$E$49="",$B46,DATE(YEAR($A46),MONTH($A46),MIN(Settings!$E$49,DAY($B46))))&gt;=MAX($A46,Settings!$F$49),IF(Settings!$E$49="",$B46,DATE(YEAR($A46),MONTH($A46),MIN(Settings!$E$49,DAY($B46))))&lt;=MIN(Settings!$B$5,IF(Settings!$G$49="",Settings!$B$5,Settings!$G$49))),1,0)))))</f>
        <v/>
      </c>
      <c r="EY46">
        <f>IF($E46&lt;&gt;"open",0,IF(AND('Month-End'!$AQ$27&lt;&gt;"",NOT(_xlfn.ISFORMULA('Month-End'!$AQ$27))),0,IF(OR(Settings!$C$50="",Settings!$D$50=""),0,Settings!$C$50*IF(Settings!$D$50="Weekly",IF(IFERROR(MATCH(Settings!$E$50,$EO$4:$EO$10,0),0)=0,0,IF(MIN(Settings!$B$5,IF(Settings!$G$50="",Settings!$B$5,Settings!$G$50))&lt;MAX($A46,Settings!$F$50),0,INT((MIN(Settings!$B$5,IF(Settings!$G$50="",Settings!$B$5,Settings!$G$50))-MAX($A46,Settings!$F$50)-MOD(IFERROR(MATCH(Settings!$E$50,$EO$4:$EO$10,0),0)-WEEKDAY(MAX($A46,Settings!$F$50)),7))/7)+1)),IF(AND(IF(Settings!$E$50="",$B46,DATE(YEAR($A46),MONTH($A46),MIN(Settings!$E$50,DAY($B46))))&gt;=MAX($A46,Settings!$F$50),IF(Settings!$E$50="",$B46,DATE(YEAR($A46),MONTH($A46),MIN(Settings!$E$50,DAY($B46))))&lt;=MIN(Settings!$B$5,IF(Settings!$G$50="",Settings!$B$5,Settings!$G$50))),1,0)))))</f>
        <v/>
      </c>
      <c r="EZ46">
        <f>IF($E46&lt;&gt;"open",0,IF(AND('Month-End'!$AQ$28&lt;&gt;"",NOT(_xlfn.ISFORMULA('Month-End'!$AQ$28))),0,IF(OR(Settings!$C$51="",Settings!$D$51=""),0,Settings!$C$51*IF(Settings!$D$51="Weekly",IF(IFERROR(MATCH(Settings!$E$51,$EO$4:$EO$10,0),0)=0,0,IF(MIN(Settings!$B$5,IF(Settings!$G$51="",Settings!$B$5,Settings!$G$51))&lt;MAX($A46,Settings!$F$51),0,INT((MIN(Settings!$B$5,IF(Settings!$G$51="",Settings!$B$5,Settings!$G$51))-MAX($A46,Settings!$F$51)-MOD(IFERROR(MATCH(Settings!$E$51,$EO$4:$EO$10,0),0)-WEEKDAY(MAX($A46,Settings!$F$51)),7))/7)+1)),IF(AND(IF(Settings!$E$51="",$B46,DATE(YEAR($A46),MONTH($A46),MIN(Settings!$E$51,DAY($B46))))&gt;=MAX($A46,Settings!$F$51),IF(Settings!$E$51="",$B46,DATE(YEAR($A46),MONTH($A46),MIN(Settings!$E$51,DAY($B46))))&lt;=MIN(Settings!$B$5,IF(Settings!$G$51="",Settings!$B$5,Settings!$G$51))),1,0)))))</f>
        <v/>
      </c>
      <c r="FA46">
        <f>IF($E46&lt;&gt;"open",0,IF(AND('Month-End'!$AQ$29&lt;&gt;"",NOT(_xlfn.ISFORMULA('Month-End'!$AQ$29))),0,IF(OR(Settings!$C$52="",Settings!$D$52=""),0,Settings!$C$52*IF(Settings!$D$52="Weekly",IF(IFERROR(MATCH(Settings!$E$52,$EO$4:$EO$10,0),0)=0,0,IF(MIN(Settings!$B$5,IF(Settings!$G$52="",Settings!$B$5,Settings!$G$52))&lt;MAX($A46,Settings!$F$52),0,INT((MIN(Settings!$B$5,IF(Settings!$G$52="",Settings!$B$5,Settings!$G$52))-MAX($A46,Settings!$F$52)-MOD(IFERROR(MATCH(Settings!$E$52,$EO$4:$EO$10,0),0)-WEEKDAY(MAX($A46,Settings!$F$52)),7))/7)+1)),IF(AND(IF(Settings!$E$52="",$B46,DATE(YEAR($A46),MONTH($A46),MIN(Settings!$E$52,DAY($B46))))&gt;=MAX($A46,Settings!$F$52),IF(Settings!$E$52="",$B46,DATE(YEAR($A46),MONTH($A46),MIN(Settings!$E$52,DAY($B46))))&lt;=MIN(Settings!$B$5,IF(Settings!$G$52="",Settings!$B$5,Settings!$G$52))),1,0)))))</f>
        <v/>
      </c>
      <c r="FB46">
        <f>IF($E46&lt;&gt;"open",0,IF(AND('Month-End'!$AQ$30&lt;&gt;"",NOT(_xlfn.ISFORMULA('Month-End'!$AQ$30))),0,IF(OR(Settings!$C$53="",Settings!$D$53=""),0,Settings!$C$53*IF(Settings!$D$53="Weekly",IF(IFERROR(MATCH(Settings!$E$53,$EO$4:$EO$10,0),0)=0,0,IF(MIN(Settings!$B$5,IF(Settings!$G$53="",Settings!$B$5,Settings!$G$53))&lt;MAX($A46,Settings!$F$53),0,INT((MIN(Settings!$B$5,IF(Settings!$G$53="",Settings!$B$5,Settings!$G$53))-MAX($A46,Settings!$F$53)-MOD(IFERROR(MATCH(Settings!$E$53,$EO$4:$EO$10,0),0)-WEEKDAY(MAX($A46,Settings!$F$53)),7))/7)+1)),IF(AND(IF(Settings!$E$53="",$B46,DATE(YEAR($A46),MONTH($A46),MIN(Settings!$E$53,DAY($B46))))&gt;=MAX($A46,Settings!$F$53),IF(Settings!$E$53="",$B46,DATE(YEAR($A46),MONTH($A46),MIN(Settings!$E$53,DAY($B46))))&lt;=MIN(Settings!$B$5,IF(Settings!$G$53="",Settings!$B$5,Settings!$G$53))),1,0)))))</f>
        <v/>
      </c>
      <c r="FC46">
        <f>IF($E46&lt;&gt;"open",0,IF(AND('Month-End'!$AQ$31&lt;&gt;"",NOT(_xlfn.ISFORMULA('Month-End'!$AQ$31))),0,IF(OR(Settings!$C$54="",Settings!$D$54=""),0,Settings!$C$54*IF(Settings!$D$54="Weekly",IF(IFERROR(MATCH(Settings!$E$54,$EO$4:$EO$10,0),0)=0,0,IF(MIN(Settings!$B$5,IF(Settings!$G$54="",Settings!$B$5,Settings!$G$54))&lt;MAX($A46,Settings!$F$54),0,INT((MIN(Settings!$B$5,IF(Settings!$G$54="",Settings!$B$5,Settings!$G$54))-MAX($A46,Settings!$F$54)-MOD(IFERROR(MATCH(Settings!$E$54,$EO$4:$EO$10,0),0)-WEEKDAY(MAX($A46,Settings!$F$54)),7))/7)+1)),IF(AND(IF(Settings!$E$54="",$B46,DATE(YEAR($A46),MONTH($A46),MIN(Settings!$E$54,DAY($B46))))&gt;=MAX($A46,Settings!$F$54),IF(Settings!$E$54="",$B46,DATE(YEAR($A46),MONTH($A46),MIN(Settings!$E$54,DAY($B46))))&lt;=MIN(Settings!$B$5,IF(Settings!$G$54="",Settings!$B$5,Settings!$G$54))),1,0)))))</f>
        <v/>
      </c>
      <c r="FD46">
        <f>IF($E46&lt;&gt;"open",0,IF(AND('Month-End'!$AQ$32&lt;&gt;"",NOT(_xlfn.ISFORMULA('Month-End'!$AQ$32))),0,IF(OR(Settings!$C$55="",Settings!$D$55=""),0,Settings!$C$55*IF(Settings!$D$55="Weekly",IF(IFERROR(MATCH(Settings!$E$55,$EO$4:$EO$10,0),0)=0,0,IF(MIN(Settings!$B$5,IF(Settings!$G$55="",Settings!$B$5,Settings!$G$55))&lt;MAX($A46,Settings!$F$55),0,INT((MIN(Settings!$B$5,IF(Settings!$G$55="",Settings!$B$5,Settings!$G$55))-MAX($A46,Settings!$F$55)-MOD(IFERROR(MATCH(Settings!$E$55,$EO$4:$EO$10,0),0)-WEEKDAY(MAX($A46,Settings!$F$55)),7))/7)+1)),IF(AND(IF(Settings!$E$55="",$B46,DATE(YEAR($A46),MONTH($A46),MIN(Settings!$E$55,DAY($B46))))&gt;=MAX($A46,Settings!$F$55),IF(Settings!$E$55="",$B46,DATE(YEAR($A46),MONTH($A46),MIN(Settings!$E$55,DAY($B46))))&lt;=MIN(Settings!$B$5,IF(Settings!$G$55="",Settings!$B$5,Settings!$G$55))),1,0)))))</f>
        <v/>
      </c>
      <c r="FE46">
        <f>IF($E46&lt;&gt;"open",0,IF(AND('Month-End'!$AQ$33&lt;&gt;"",NOT(_xlfn.ISFORMULA('Month-End'!$AQ$33))),0,IF(OR(Settings!$C$56="",Settings!$D$56=""),0,Settings!$C$56*IF(Settings!$D$56="Weekly",IF(IFERROR(MATCH(Settings!$E$56,$EO$4:$EO$10,0),0)=0,0,IF(MIN(Settings!$B$5,IF(Settings!$G$56="",Settings!$B$5,Settings!$G$56))&lt;MAX($A46,Settings!$F$56),0,INT((MIN(Settings!$B$5,IF(Settings!$G$56="",Settings!$B$5,Settings!$G$56))-MAX($A46,Settings!$F$56)-MOD(IFERROR(MATCH(Settings!$E$56,$EO$4:$EO$10,0),0)-WEEKDAY(MAX($A46,Settings!$F$56)),7))/7)+1)),IF(AND(IF(Settings!$E$56="",$B46,DATE(YEAR($A46),MONTH($A46),MIN(Settings!$E$56,DAY($B46))))&gt;=MAX($A46,Settings!$F$56),IF(Settings!$E$56="",$B46,DATE(YEAR($A46),MONTH($A46),MIN(Settings!$E$56,DAY($B46))))&lt;=MIN(Settings!$B$5,IF(Settings!$G$56="",Settings!$B$5,Settings!$G$56))),1,0)))))</f>
        <v/>
      </c>
      <c r="FF46">
        <f>IF(Settings!$I$45="Yes",$G46,0)+IF(Settings!$I$46="Yes",$H46,0)+IF(Settings!$I$47="Yes",$I46,0)+IF(Settings!$I$48="Yes",$J46,0)+IF(Settings!$I$49="Yes",$K46,0)+IF(Settings!$I$50="Yes",$L46,0)+IF(Settings!$I$51="Yes",$M46,0)+IF(Settings!$I$52="Yes",$N46,0)+IF(Settings!$I$53="Yes",$O46,0)+IF(Settings!$I$54="Yes",$P46,0)+IF(Settings!$I$55="Yes",$Q46,0)+IF(Settings!$I$56="Yes",$R46,0)</f>
        <v/>
      </c>
      <c r="FG46">
        <f>IF(AND(Settings!$I$45="Yes",Settings!$J$45="No"),$G46,0)+IF(AND(Settings!$I$46="Yes",Settings!$J$46="No"),$H46,0)+IF(AND(Settings!$I$47="Yes",Settings!$J$47="No"),$I46,0)+IF(AND(Settings!$I$48="Yes",Settings!$J$48="No"),$J46,0)+IF(AND(Settings!$I$49="Yes",Settings!$J$49="No"),$K46,0)+IF(AND(Settings!$I$50="Yes",Settings!$J$50="No"),$L46,0)+IF(AND(Settings!$I$51="Yes",Settings!$J$51="No"),$M46,0)+IF(AND(Settings!$I$52="Yes",Settings!$J$52="No"),$N46,0)+IF(AND(Settings!$I$53="Yes",Settings!$J$53="No"),$O46,0)+IF(AND(Settings!$I$54="Yes",Settings!$J$54="No"),$P46,0)+IF(AND(Settings!$I$55="Yes",Settings!$J$55="No"),$Q46,0)+IF(AND(Settings!$I$56="Yes",Settings!$J$56="No"),$R46,0)</f>
        <v/>
      </c>
      <c r="FH46">
        <f>SUMIFS(Giving!$B$7:$B$2006,Giving!$A$7:$A$2006,"&gt;="&amp;$A46,Giving!$A$7:$A$2006,"&lt;="&amp;$B46,Giving!$G$7:$G$2006,"Yes")+IF(OR(OR(Settings!$B$60="",Settings!$F$60="No"),Settings!$H$60&lt;&gt;"Yes"),0,Settings!$B$60*IF(AND(IF(Settings!$C$60="",$B46,DATE(YEAR($A46),MONTH($A46),MIN(Settings!$C$60,DAY($B46))))&gt;=MAX($A46,Settings!$D$60),IF(Settings!$C$60="",$B46,DATE(YEAR($A46),MONTH($A46),MIN(Settings!$C$60,DAY($B46))))&lt;=MIN($C46,IF(Settings!$E$60="",$C46,Settings!$E$60))),1,0))+IF(OR(OR(Settings!$B$61="",Settings!$F$61="No"),Settings!$H$61&lt;&gt;"Yes"),0,Settings!$B$61*IF(AND(IF(Settings!$C$61="",$B46,DATE(YEAR($A46),MONTH($A46),MIN(Settings!$C$61,DAY($B46))))&gt;=MAX($A46,Settings!$D$61),IF(Settings!$C$61="",$B46,DATE(YEAR($A46),MONTH($A46),MIN(Settings!$C$61,DAY($B46))))&lt;=MIN($C46,IF(Settings!$E$61="",$C46,Settings!$E$61))),1,0))+IF(OR(OR(Settings!$B$62="",Settings!$F$62="No"),Settings!$H$62&lt;&gt;"Yes"),0,Settings!$B$62*IF(AND(IF(Settings!$C$62="",$B46,DATE(YEAR($A46),MONTH($A46),MIN(Settings!$C$62,DAY($B46))))&gt;=MAX($A46,Settings!$D$62),IF(Settings!$C$62="",$B46,DATE(YEAR($A46),MONTH($A46),MIN(Settings!$C$62,DAY($B46))))&lt;=MIN($C46,IF(Settings!$E$62="",$C46,Settings!$E$62))),1,0))+IF(OR(OR(Settings!$B$63="",Settings!$F$63="No"),Settings!$H$63&lt;&gt;"Yes"),0,Settings!$B$63*IF(AND(IF(Settings!$C$63="",$B46,DATE(YEAR($A46),MONTH($A46),MIN(Settings!$C$63,DAY($B46))))&gt;=MAX($A46,Settings!$D$63),IF(Settings!$C$63="",$B46,DATE(YEAR($A46),MONTH($A46),MIN(Settings!$C$63,DAY($B46))))&lt;=MIN($C46,IF(Settings!$E$63="",$C46,Settings!$E$63))),1,0))+IF(OR(OR(Settings!$B$64="",Settings!$F$64="No"),Settings!$H$64&lt;&gt;"Yes"),0,Settings!$B$64*IF(AND(IF(Settings!$C$64="",$B46,DATE(YEAR($A46),MONTH($A46),MIN(Settings!$C$64,DAY($B46))))&gt;=MAX($A46,Settings!$D$64),IF(Settings!$C$64="",$B46,DATE(YEAR($A46),MONTH($A46),MIN(Settings!$C$64,DAY($B46))))&lt;=MIN($C46,IF(Settings!$E$64="",$C46,Settings!$E$64))),1,0))+IF(OR(OR(Settings!$B$65="",Settings!$F$65="No"),Settings!$H$65&lt;&gt;"Yes"),0,Settings!$B$65*IF(AND(IF(Settings!$C$65="",$B46,DATE(YEAR($A46),MONTH($A46),MIN(Settings!$C$65,DAY($B46))))&gt;=MAX($A46,Settings!$D$65),IF(Settings!$C$65="",$B46,DATE(YEAR($A46),MONTH($A46),MIN(Settings!$C$65,DAY($B46))))&lt;=MIN($C46,IF(Settings!$E$65="",$C46,Settings!$E$65))),1,0))</f>
        <v/>
      </c>
      <c r="FI46">
        <f>IF($DT46=1,IF(OR(Settings!$B$19="Card",Settings!$B$19="Loan"),N($AE46),0)+IF(OR(Settings!$B$20="Card",Settings!$B$20="Loan"),N($AF46),0)+IF(OR(Settings!$B$21="Card",Settings!$B$21="Loan"),N($AG46),0)+IF(OR(Settings!$B$22="Card",Settings!$B$22="Loan"),N($AH46),0)+IF(OR(Settings!$B$23="Card",Settings!$B$23="Loan"),N($AI46),0)+IF(OR(Settings!$B$24="Card",Settings!$B$24="Loan"),N($AJ46),0)+IF(OR(Settings!$B$25="Card",Settings!$B$25="Loan"),N($AK46),0)+IF(OR(Settings!$B$26="Card",Settings!$B$26="Loan"),N($AL46),0)+IF(OR(Settings!$B$27="Card",Settings!$B$27="Loan"),N($AM46),0)+IF(OR(Settings!$B$28="Card",Settings!$B$28="Loan"),N($AN46),0)+IF(OR(Settings!$B$29="Card",Settings!$B$29="Loan"),N($AO46),0)+IF(OR(Settings!$B$30="Card",Settings!$B$30="Loan"),N($AP46),0)+IF(OR(Settings!$B$31="Card",Settings!$B$31="Loan"),N($AQ46),0)+IF(OR(Settings!$B$32="Card",Settings!$B$32="Loan"),N($AR46),0),"")</f>
        <v/>
      </c>
      <c r="FJ46">
        <f>IF($E46="open",$EB$65,IF($E46="post",IF($E45="pre",$EB$65,$FI45),""))</f>
        <v/>
      </c>
      <c r="FK46">
        <f>IF(AND($DT46=1,$DC46=1),IF(ROUND($FI46-$FJ46,2)&gt;0,1,0),0)</f>
        <v/>
      </c>
      <c r="FL46">
        <f>IF($FK46=1,$FL45+1,0)</f>
        <v/>
      </c>
    </row>
    <row r="47">
      <c r="A47">
        <f>'Month-End'!$AR$4</f>
        <v/>
      </c>
      <c r="B47">
        <f>EOMONTH($A47,0)</f>
        <v/>
      </c>
      <c r="C47">
        <f>MIN($B47,TODAY())</f>
        <v/>
      </c>
      <c r="D47">
        <f>IF($A47&gt;TODAY(),1,0)</f>
        <v/>
      </c>
      <c r="E47">
        <f>IF($B47&lt;=Settings!$B$5,"pre",IF($A47&lt;=Settings!$B$5,"open","post"))</f>
        <v/>
      </c>
      <c r="G47">
        <f>IF('Month-End'!$AR$22="",$BE47,N('Month-End'!$AR$22))</f>
        <v/>
      </c>
      <c r="H47">
        <f>IF('Month-End'!$AR$23="",$BF47,N('Month-End'!$AR$23))</f>
        <v/>
      </c>
      <c r="I47">
        <f>IF('Month-End'!$AR$24="",$BG47,N('Month-End'!$AR$24))</f>
        <v/>
      </c>
      <c r="J47">
        <f>IF('Month-End'!$AR$25="",$BH47,N('Month-End'!$AR$25))</f>
        <v/>
      </c>
      <c r="K47">
        <f>IF('Month-End'!$AR$26="",$BI47,N('Month-End'!$AR$26))</f>
        <v/>
      </c>
      <c r="L47">
        <f>IF('Month-End'!$AR$27="",$BJ47,N('Month-End'!$AR$27))</f>
        <v/>
      </c>
      <c r="M47">
        <f>IF('Month-End'!$AR$28="",$BK47,N('Month-End'!$AR$28))</f>
        <v/>
      </c>
      <c r="N47">
        <f>IF('Month-End'!$AR$29="",$BL47,N('Month-End'!$AR$29))</f>
        <v/>
      </c>
      <c r="O47">
        <f>IF('Month-End'!$AR$30="",$BM47,N('Month-End'!$AR$30))</f>
        <v/>
      </c>
      <c r="P47">
        <f>IF('Month-End'!$AR$31="",$BN47,N('Month-End'!$AR$31))</f>
        <v/>
      </c>
      <c r="Q47">
        <f>IF('Month-End'!$AR$32="",$BO47,N('Month-End'!$AR$32))</f>
        <v/>
      </c>
      <c r="R47">
        <f>IF('Month-End'!$AR$33="",$BP47,N('Month-End'!$AR$33))</f>
        <v/>
      </c>
      <c r="S47">
        <f>$G47+$H47+$I47+$J47+$K47+$L47+$M47+$N47+$O47+$P47+$Q47+$R47</f>
        <v/>
      </c>
      <c r="T47">
        <f>IF($B47&lt;Settings!$B$6,0,IF(Settings!$B$45="Yes",$G47,0)+IF(Settings!$B$46="Yes",$H47,0)+IF(Settings!$B$47="Yes",$I47,0)+IF(Settings!$B$48="Yes",$J47,0)+IF(Settings!$B$49="Yes",$K47,0)+IF(Settings!$B$50="Yes",$L47,0)+IF(Settings!$B$51="Yes",$M47,0)+IF(Settings!$B$52="Yes",$N47,0)+IF(Settings!$B$53="Yes",$O47,0)+IF(Settings!$B$54="Yes",$P47,0)+IF(Settings!$B$55="Yes",$Q47,0)+IF(Settings!$B$56="Yes",$R47,0))</f>
        <v/>
      </c>
      <c r="U47">
        <f>IF(Settings!$B$45="Not Sure",$G47,0)+IF(Settings!$B$46="Not Sure",$H47,0)+IF(Settings!$B$47="Not Sure",$I47,0)+IF(Settings!$B$48="Not Sure",$J47,0)+IF(Settings!$B$49="Not Sure",$K47,0)+IF(Settings!$B$50="Not Sure",$L47,0)+IF(Settings!$B$51="Not Sure",$M47,0)+IF(Settings!$B$52="Not Sure",$N47,0)+IF(Settings!$B$53="Not Sure",$O47,0)+IF(Settings!$B$54="Not Sure",$P47,0)+IF(Settings!$B$55="Not Sure",$Q47,0)+IF(Settings!$B$56="Not Sure",$R47,0)</f>
        <v/>
      </c>
      <c r="V47">
        <f>IF($E47="open",SUM($ET47:$FE47)+N(Settings!$B$13),0)</f>
        <v/>
      </c>
      <c r="W47">
        <f>IF($E47="post",$S47,IF($E47="open",$S47-$V47,0))</f>
        <v/>
      </c>
      <c r="X47">
        <f>SUMIFS(Giving!$B$7:$B$2006,Giving!$A$7:$A$2006,"&gt;="&amp;$A47,Giving!$A$7:$A$2006,"&lt;="&amp;$B47,Giving!$E$7:$E$2006,"&lt;&gt;No")</f>
        <v/>
      </c>
      <c r="Y47">
        <f>SUMIFS(Giving!$B$7:$B$2006,Giving!$A$7:$A$2006,"&gt;="&amp;$A47,Giving!$A$7:$A$2006,"&lt;="&amp;$B47,Giving!$E$7:$E$2006,"No")</f>
        <v/>
      </c>
      <c r="Z47">
        <f>IF(OR(Settings!$B$60="",Settings!$F$60="No"),0,Settings!$B$60*IF(AND(IF(Settings!$C$60="",$B47,DATE(YEAR($A47),MONTH($A47),MIN(Settings!$C$60,DAY($B47))))&gt;=MAX($A47,Settings!$D$60),IF(Settings!$C$60="",$B47,DATE(YEAR($A47),MONTH($A47),MIN(Settings!$C$60,DAY($B47))))&lt;=MIN($C47,IF(Settings!$E$60="",$C47,Settings!$E$60))),1,0))+IF(OR(Settings!$B$61="",Settings!$F$61="No"),0,Settings!$B$61*IF(AND(IF(Settings!$C$61="",$B47,DATE(YEAR($A47),MONTH($A47),MIN(Settings!$C$61,DAY($B47))))&gt;=MAX($A47,Settings!$D$61),IF(Settings!$C$61="",$B47,DATE(YEAR($A47),MONTH($A47),MIN(Settings!$C$61,DAY($B47))))&lt;=MIN($C47,IF(Settings!$E$61="",$C47,Settings!$E$61))),1,0))+IF(OR(Settings!$B$62="",Settings!$F$62="No"),0,Settings!$B$62*IF(AND(IF(Settings!$C$62="",$B47,DATE(YEAR($A47),MONTH($A47),MIN(Settings!$C$62,DAY($B47))))&gt;=MAX($A47,Settings!$D$62),IF(Settings!$C$62="",$B47,DATE(YEAR($A47),MONTH($A47),MIN(Settings!$C$62,DAY($B47))))&lt;=MIN($C47,IF(Settings!$E$62="",$C47,Settings!$E$62))),1,0))+IF(OR(Settings!$B$63="",Settings!$F$63="No"),0,Settings!$B$63*IF(AND(IF(Settings!$C$63="",$B47,DATE(YEAR($A47),MONTH($A47),MIN(Settings!$C$63,DAY($B47))))&gt;=MAX($A47,Settings!$D$63),IF(Settings!$C$63="",$B47,DATE(YEAR($A47),MONTH($A47),MIN(Settings!$C$63,DAY($B47))))&lt;=MIN($C47,IF(Settings!$E$63="",$C47,Settings!$E$63))),1,0))+IF(OR(Settings!$B$64="",Settings!$F$64="No"),0,Settings!$B$64*IF(AND(IF(Settings!$C$64="",$B47,DATE(YEAR($A47),MONTH($A47),MIN(Settings!$C$64,DAY($B47))))&gt;=MAX($A47,Settings!$D$64),IF(Settings!$C$64="",$B47,DATE(YEAR($A47),MONTH($A47),MIN(Settings!$C$64,DAY($B47))))&lt;=MIN($C47,IF(Settings!$E$64="",$C47,Settings!$E$64))),1,0))+IF(OR(Settings!$B$65="",Settings!$F$65="No"),0,Settings!$B$65*IF(AND(IF(Settings!$C$65="",$B47,DATE(YEAR($A47),MONTH($A47),MIN(Settings!$C$65,DAY($B47))))&gt;=MAX($A47,Settings!$D$65),IF(Settings!$C$65="",$B47,DATE(YEAR($A47),MONTH($A47),MIN(Settings!$C$65,DAY($B47))))&lt;=MIN($C47,IF(Settings!$E$65="",$C47,Settings!$E$65))),1,0))</f>
        <v/>
      </c>
      <c r="AA47">
        <f>$X47+$Z47</f>
        <v/>
      </c>
      <c r="AB47">
        <f>IF($E47="post",$AA47,IF($E47="open",SUMIFS(Giving!$B$7:$B$2006,Giving!$A$7:$A$2006,"&gt;"&amp;Settings!$B$5,Giving!$A$7:$A$2006,"&lt;="&amp;$B47,Giving!$E$7:$E$2006,"&lt;&gt;No")+IF(OR(Settings!$B$60="",Settings!$F$60="No"),0,Settings!$B$60*IF(AND(IF(Settings!$C$60="",$B47,DATE(YEAR($A47),MONTH($A47),MIN(Settings!$C$60,DAY($B47))))&gt;=MAX($A47,Settings!$D$60,Settings!$B$5+1),IF(Settings!$C$60="",$B47,DATE(YEAR($A47),MONTH($A47),MIN(Settings!$C$60,DAY($B47))))&lt;=MIN($C47,IF(Settings!$E$60="",$C47,Settings!$E$60))),1,0))+IF(OR(Settings!$B$61="",Settings!$F$61="No"),0,Settings!$B$61*IF(AND(IF(Settings!$C$61="",$B47,DATE(YEAR($A47),MONTH($A47),MIN(Settings!$C$61,DAY($B47))))&gt;=MAX($A47,Settings!$D$61,Settings!$B$5+1),IF(Settings!$C$61="",$B47,DATE(YEAR($A47),MONTH($A47),MIN(Settings!$C$61,DAY($B47))))&lt;=MIN($C47,IF(Settings!$E$61="",$C47,Settings!$E$61))),1,0))+IF(OR(Settings!$B$62="",Settings!$F$62="No"),0,Settings!$B$62*IF(AND(IF(Settings!$C$62="",$B47,DATE(YEAR($A47),MONTH($A47),MIN(Settings!$C$62,DAY($B47))))&gt;=MAX($A47,Settings!$D$62,Settings!$B$5+1),IF(Settings!$C$62="",$B47,DATE(YEAR($A47),MONTH($A47),MIN(Settings!$C$62,DAY($B47))))&lt;=MIN($C47,IF(Settings!$E$62="",$C47,Settings!$E$62))),1,0))+IF(OR(Settings!$B$63="",Settings!$F$63="No"),0,Settings!$B$63*IF(AND(IF(Settings!$C$63="",$B47,DATE(YEAR($A47),MONTH($A47),MIN(Settings!$C$63,DAY($B47))))&gt;=MAX($A47,Settings!$D$63,Settings!$B$5+1),IF(Settings!$C$63="",$B47,DATE(YEAR($A47),MONTH($A47),MIN(Settings!$C$63,DAY($B47))))&lt;=MIN($C47,IF(Settings!$E$63="",$C47,Settings!$E$63))),1,0))+IF(OR(Settings!$B$64="",Settings!$F$64="No"),0,Settings!$B$64*IF(AND(IF(Settings!$C$64="",$B47,DATE(YEAR($A47),MONTH($A47),MIN(Settings!$C$64,DAY($B47))))&gt;=MAX($A47,Settings!$D$64,Settings!$B$5+1),IF(Settings!$C$64="",$B47,DATE(YEAR($A47),MONTH($A47),MIN(Settings!$C$64,DAY($B47))))&lt;=MIN($C47,IF(Settings!$E$64="",$C47,Settings!$E$64))),1,0))+IF(OR(Settings!$B$65="",Settings!$F$65="No"),0,Settings!$B$65*IF(AND(IF(Settings!$C$65="",$B47,DATE(YEAR($A47),MONTH($A47),MIN(Settings!$C$65,DAY($B47))))&gt;=MAX($A47,Settings!$D$65,Settings!$B$5+1),IF(Settings!$C$65="",$B47,DATE(YEAR($A47),MONTH($A47),MIN(Settings!$C$65,DAY($B47))))&lt;=MIN($C47,IF(Settings!$E$65="",$C47,Settings!$E$65))),1,0)),0))</f>
        <v/>
      </c>
      <c r="AC47">
        <f>$AY47+$AZ47+$BA47+$BB47+$BC47+$BD47</f>
        <v/>
      </c>
      <c r="AD47">
        <f>$AC47</f>
        <v/>
      </c>
      <c r="AE47">
        <f>IF(OR(Settings!$A$19="",$E47="pre"),"",IF(AND('Month-End'!$AR$7&lt;&gt;"",NOT(_xlfn.ISFORMULA('Month-End'!$AR$7))),N('Month-End'!$AR$7),IF(OR($E47="open",$E46="pre"),N(Settings!$C$19),N($AE46))))</f>
        <v/>
      </c>
      <c r="AF47">
        <f>IF(OR(Settings!$A$20="",$E47="pre"),"",IF(AND('Month-End'!$AR$8&lt;&gt;"",NOT(_xlfn.ISFORMULA('Month-End'!$AR$8))),N('Month-End'!$AR$8),IF(OR($E47="open",$E46="pre"),N(Settings!$C$20),N($AF46))))</f>
        <v/>
      </c>
      <c r="AG47">
        <f>IF(OR(Settings!$A$21="",$E47="pre"),"",IF(AND('Month-End'!$AR$9&lt;&gt;"",NOT(_xlfn.ISFORMULA('Month-End'!$AR$9))),N('Month-End'!$AR$9),IF(OR($E47="open",$E46="pre"),N(Settings!$C$21),N($AG46))))</f>
        <v/>
      </c>
      <c r="AH47">
        <f>IF(OR(Settings!$A$22="",$E47="pre"),"",IF(AND('Month-End'!$AR$10&lt;&gt;"",NOT(_xlfn.ISFORMULA('Month-End'!$AR$10))),N('Month-End'!$AR$10),IF(OR($E47="open",$E46="pre"),N(Settings!$C$22),N($AH46))))</f>
        <v/>
      </c>
      <c r="AI47">
        <f>IF(OR(Settings!$A$23="",$E47="pre"),"",IF(AND('Month-End'!$AR$11&lt;&gt;"",NOT(_xlfn.ISFORMULA('Month-End'!$AR$11))),N('Month-End'!$AR$11),IF(OR($E47="open",$E46="pre"),N(Settings!$C$23),N($AI46))))</f>
        <v/>
      </c>
      <c r="AJ47">
        <f>IF(OR(Settings!$A$24="",$E47="pre"),"",IF(AND('Month-End'!$AR$12&lt;&gt;"",NOT(_xlfn.ISFORMULA('Month-End'!$AR$12))),N('Month-End'!$AR$12),IF(OR($E47="open",$E46="pre"),N(Settings!$C$24),N($AJ46))))</f>
        <v/>
      </c>
      <c r="AK47">
        <f>IF(OR(Settings!$A$25="",$E47="pre"),"",IF(AND('Month-End'!$AR$13&lt;&gt;"",NOT(_xlfn.ISFORMULA('Month-End'!$AR$13))),N('Month-End'!$AR$13),IF(OR($E47="open",$E46="pre"),N(Settings!$C$25),N($AK46))))</f>
        <v/>
      </c>
      <c r="AL47">
        <f>IF(OR(Settings!$A$26="",$E47="pre"),"",IF(AND('Month-End'!$AR$14&lt;&gt;"",NOT(_xlfn.ISFORMULA('Month-End'!$AR$14))),N('Month-End'!$AR$14),IF(OR($E47="open",$E46="pre"),N(Settings!$C$26),N($AL46))))</f>
        <v/>
      </c>
      <c r="AM47">
        <f>IF(OR(Settings!$A$27="",$E47="pre"),"",IF(AND('Month-End'!$AR$15&lt;&gt;"",NOT(_xlfn.ISFORMULA('Month-End'!$AR$15))),N('Month-End'!$AR$15),IF(OR($E47="open",$E46="pre"),N(Settings!$C$27),N($AM46))))</f>
        <v/>
      </c>
      <c r="AN47">
        <f>IF(OR(Settings!$A$28="",$E47="pre"),"",IF(AND('Month-End'!$AR$16&lt;&gt;"",NOT(_xlfn.ISFORMULA('Month-End'!$AR$16))),N('Month-End'!$AR$16),IF(OR($E47="open",$E46="pre"),N(Settings!$C$28),N($AN46))))</f>
        <v/>
      </c>
      <c r="AO47">
        <f>IF(OR(Settings!$A$29="",$E47="pre"),"",IF(AND('Month-End'!$AR$17&lt;&gt;"",NOT(_xlfn.ISFORMULA('Month-End'!$AR$17))),N('Month-End'!$AR$17),IF(OR($E47="open",$E46="pre"),N(Settings!$C$29),N($AO46))))</f>
        <v/>
      </c>
      <c r="AP47">
        <f>IF(OR(Settings!$A$30="",$E47="pre"),"",IF(AND('Month-End'!$AR$18&lt;&gt;"",NOT(_xlfn.ISFORMULA('Month-End'!$AR$18))),N('Month-End'!$AR$18),IF(OR($E47="open",$E46="pre"),N(Settings!$C$30),N($AP46))))</f>
        <v/>
      </c>
      <c r="AQ47">
        <f>IF(OR(Settings!$A$31="",$E47="pre"),"",IF(AND('Month-End'!$AR$19&lt;&gt;"",NOT(_xlfn.ISFORMULA('Month-End'!$AR$19))),N('Month-End'!$AR$19),IF(OR($E47="open",$E46="pre"),N(Settings!$C$31),N($AQ46))))</f>
        <v/>
      </c>
      <c r="AR47">
        <f>IF(OR(Settings!$A$32="",$E47="pre"),"",IF(AND('Month-End'!$AR$20&lt;&gt;"",NOT(_xlfn.ISFORMULA('Month-End'!$AR$20))),N('Month-End'!$AR$20),IF(OR($E47="open",$E46="pre"),N(Settings!$C$32),N($AR46))))</f>
        <v/>
      </c>
      <c r="AS47">
        <f>IF(OR(Settings!$A$36="",$E47="pre"),"",IF(AND('Month-End'!$AR$38&lt;&gt;"",NOT(_xlfn.ISFORMULA('Month-End'!$AR$38))),N('Month-End'!$AR$38),IF(OR($E47="open",$E46="pre"),N(Settings!$C$36),N($AS46))+$AY47))</f>
        <v/>
      </c>
      <c r="AT47">
        <f>IF(OR(Settings!$A$37="",$E47="pre"),"",IF(AND('Month-End'!$AR$39&lt;&gt;"",NOT(_xlfn.ISFORMULA('Month-End'!$AR$39))),N('Month-End'!$AR$39),IF(OR($E47="open",$E46="pre"),N(Settings!$C$37),N($AT46))+$AZ47))</f>
        <v/>
      </c>
      <c r="AU47">
        <f>IF(OR(Settings!$A$38="",$E47="pre"),"",IF(AND('Month-End'!$AR$40&lt;&gt;"",NOT(_xlfn.ISFORMULA('Month-End'!$AR$40))),N('Month-End'!$AR$40),IF(OR($E47="open",$E46="pre"),N(Settings!$C$38),N($AU46))+$BA47))</f>
        <v/>
      </c>
      <c r="AV47">
        <f>IF(OR(Settings!$A$39="",$E47="pre"),"",IF(AND('Month-End'!$AR$41&lt;&gt;"",NOT(_xlfn.ISFORMULA('Month-End'!$AR$41))),N('Month-End'!$AR$41),IF(OR($E47="open",$E46="pre"),N(Settings!$C$39),N($AV46))+$BB47))</f>
        <v/>
      </c>
      <c r="AW47">
        <f>IF(OR(Settings!$A$40="",$E47="pre"),"",IF(AND('Month-End'!$AR$42&lt;&gt;"",NOT(_xlfn.ISFORMULA('Month-End'!$AR$42))),N('Month-End'!$AR$42),IF(OR($E47="open",$E46="pre"),N(Settings!$C$40),N($AW46))+$BC47))</f>
        <v/>
      </c>
      <c r="AX47">
        <f>IF(OR(Settings!$A$41="",$E47="pre"),"",IF(AND('Month-End'!$AR$43&lt;&gt;"",NOT(_xlfn.ISFORMULA('Month-End'!$AR$43))),N('Month-End'!$AR$43),IF(OR($E47="open",$E46="pre"),N(Settings!$C$41),N($AX46))+$BD47))</f>
        <v/>
      </c>
      <c r="AY47">
        <f>IF($E47="pre",0,N('Month-End'!$AR$45))</f>
        <v/>
      </c>
      <c r="AZ47">
        <f>IF($E47="pre",0,N('Month-End'!$AR$46))</f>
        <v/>
      </c>
      <c r="BA47">
        <f>IF($E47="pre",0,N('Month-End'!$AR$47))</f>
        <v/>
      </c>
      <c r="BB47">
        <f>IF($E47="pre",0,N('Month-End'!$AR$48))</f>
        <v/>
      </c>
      <c r="BC47">
        <f>IF($E47="pre",0,N('Month-End'!$AR$49))</f>
        <v/>
      </c>
      <c r="BD47">
        <f>IF($E47="pre",0,N('Month-End'!$AR$50))</f>
        <v/>
      </c>
      <c r="BE47">
        <f>IF(OR(Settings!$C$45="",Settings!$D$45=""),0,Settings!$C$45*IF(Settings!$D$45="Weekly",IF(IFERROR(MATCH(Settings!$E$45,$EO$4:$EO$10,0),0)=0,0,IF(MIN($C47,IF(Settings!$G$45="",$C47,Settings!$G$45))&lt;MAX($A47,Settings!$F$45),0,INT((MIN($C47,IF(Settings!$G$45="",$C47,Settings!$G$45))-MAX($A47,Settings!$F$45)-MOD(IFERROR(MATCH(Settings!$E$45,$EO$4:$EO$10,0),0)-WEEKDAY(MAX($A47,Settings!$F$45)),7))/7)+1)),IF(AND(IF(Settings!$E$45="",$B47,DATE(YEAR($A47),MONTH($A47),MIN(Settings!$E$45,DAY($B47))))&gt;=MAX($A47,Settings!$F$45),IF(Settings!$E$45="",$B47,DATE(YEAR($A47),MONTH($A47),MIN(Settings!$E$45,DAY($B47))))&lt;=MIN($C47,IF(Settings!$G$45="",$C47,Settings!$G$45))),1,0)))</f>
        <v/>
      </c>
      <c r="BF47">
        <f>IF(OR(Settings!$C$46="",Settings!$D$46=""),0,Settings!$C$46*IF(Settings!$D$46="Weekly",IF(IFERROR(MATCH(Settings!$E$46,$EO$4:$EO$10,0),0)=0,0,IF(MIN($C47,IF(Settings!$G$46="",$C47,Settings!$G$46))&lt;MAX($A47,Settings!$F$46),0,INT((MIN($C47,IF(Settings!$G$46="",$C47,Settings!$G$46))-MAX($A47,Settings!$F$46)-MOD(IFERROR(MATCH(Settings!$E$46,$EO$4:$EO$10,0),0)-WEEKDAY(MAX($A47,Settings!$F$46)),7))/7)+1)),IF(AND(IF(Settings!$E$46="",$B47,DATE(YEAR($A47),MONTH($A47),MIN(Settings!$E$46,DAY($B47))))&gt;=MAX($A47,Settings!$F$46),IF(Settings!$E$46="",$B47,DATE(YEAR($A47),MONTH($A47),MIN(Settings!$E$46,DAY($B47))))&lt;=MIN($C47,IF(Settings!$G$46="",$C47,Settings!$G$46))),1,0)))</f>
        <v/>
      </c>
      <c r="BG47">
        <f>IF(OR(Settings!$C$47="",Settings!$D$47=""),0,Settings!$C$47*IF(Settings!$D$47="Weekly",IF(IFERROR(MATCH(Settings!$E$47,$EO$4:$EO$10,0),0)=0,0,IF(MIN($C47,IF(Settings!$G$47="",$C47,Settings!$G$47))&lt;MAX($A47,Settings!$F$47),0,INT((MIN($C47,IF(Settings!$G$47="",$C47,Settings!$G$47))-MAX($A47,Settings!$F$47)-MOD(IFERROR(MATCH(Settings!$E$47,$EO$4:$EO$10,0),0)-WEEKDAY(MAX($A47,Settings!$F$47)),7))/7)+1)),IF(AND(IF(Settings!$E$47="",$B47,DATE(YEAR($A47),MONTH($A47),MIN(Settings!$E$47,DAY($B47))))&gt;=MAX($A47,Settings!$F$47),IF(Settings!$E$47="",$B47,DATE(YEAR($A47),MONTH($A47),MIN(Settings!$E$47,DAY($B47))))&lt;=MIN($C47,IF(Settings!$G$47="",$C47,Settings!$G$47))),1,0)))</f>
        <v/>
      </c>
      <c r="BH47">
        <f>IF(OR(Settings!$C$48="",Settings!$D$48=""),0,Settings!$C$48*IF(Settings!$D$48="Weekly",IF(IFERROR(MATCH(Settings!$E$48,$EO$4:$EO$10,0),0)=0,0,IF(MIN($C47,IF(Settings!$G$48="",$C47,Settings!$G$48))&lt;MAX($A47,Settings!$F$48),0,INT((MIN($C47,IF(Settings!$G$48="",$C47,Settings!$G$48))-MAX($A47,Settings!$F$48)-MOD(IFERROR(MATCH(Settings!$E$48,$EO$4:$EO$10,0),0)-WEEKDAY(MAX($A47,Settings!$F$48)),7))/7)+1)),IF(AND(IF(Settings!$E$48="",$B47,DATE(YEAR($A47),MONTH($A47),MIN(Settings!$E$48,DAY($B47))))&gt;=MAX($A47,Settings!$F$48),IF(Settings!$E$48="",$B47,DATE(YEAR($A47),MONTH($A47),MIN(Settings!$E$48,DAY($B47))))&lt;=MIN($C47,IF(Settings!$G$48="",$C47,Settings!$G$48))),1,0)))</f>
        <v/>
      </c>
      <c r="BI47">
        <f>IF(OR(Settings!$C$49="",Settings!$D$49=""),0,Settings!$C$49*IF(Settings!$D$49="Weekly",IF(IFERROR(MATCH(Settings!$E$49,$EO$4:$EO$10,0),0)=0,0,IF(MIN($C47,IF(Settings!$G$49="",$C47,Settings!$G$49))&lt;MAX($A47,Settings!$F$49),0,INT((MIN($C47,IF(Settings!$G$49="",$C47,Settings!$G$49))-MAX($A47,Settings!$F$49)-MOD(IFERROR(MATCH(Settings!$E$49,$EO$4:$EO$10,0),0)-WEEKDAY(MAX($A47,Settings!$F$49)),7))/7)+1)),IF(AND(IF(Settings!$E$49="",$B47,DATE(YEAR($A47),MONTH($A47),MIN(Settings!$E$49,DAY($B47))))&gt;=MAX($A47,Settings!$F$49),IF(Settings!$E$49="",$B47,DATE(YEAR($A47),MONTH($A47),MIN(Settings!$E$49,DAY($B47))))&lt;=MIN($C47,IF(Settings!$G$49="",$C47,Settings!$G$49))),1,0)))</f>
        <v/>
      </c>
      <c r="BJ47">
        <f>IF(OR(Settings!$C$50="",Settings!$D$50=""),0,Settings!$C$50*IF(Settings!$D$50="Weekly",IF(IFERROR(MATCH(Settings!$E$50,$EO$4:$EO$10,0),0)=0,0,IF(MIN($C47,IF(Settings!$G$50="",$C47,Settings!$G$50))&lt;MAX($A47,Settings!$F$50),0,INT((MIN($C47,IF(Settings!$G$50="",$C47,Settings!$G$50))-MAX($A47,Settings!$F$50)-MOD(IFERROR(MATCH(Settings!$E$50,$EO$4:$EO$10,0),0)-WEEKDAY(MAX($A47,Settings!$F$50)),7))/7)+1)),IF(AND(IF(Settings!$E$50="",$B47,DATE(YEAR($A47),MONTH($A47),MIN(Settings!$E$50,DAY($B47))))&gt;=MAX($A47,Settings!$F$50),IF(Settings!$E$50="",$B47,DATE(YEAR($A47),MONTH($A47),MIN(Settings!$E$50,DAY($B47))))&lt;=MIN($C47,IF(Settings!$G$50="",$C47,Settings!$G$50))),1,0)))</f>
        <v/>
      </c>
      <c r="BK47">
        <f>IF(OR(Settings!$C$51="",Settings!$D$51=""),0,Settings!$C$51*IF(Settings!$D$51="Weekly",IF(IFERROR(MATCH(Settings!$E$51,$EO$4:$EO$10,0),0)=0,0,IF(MIN($C47,IF(Settings!$G$51="",$C47,Settings!$G$51))&lt;MAX($A47,Settings!$F$51),0,INT((MIN($C47,IF(Settings!$G$51="",$C47,Settings!$G$51))-MAX($A47,Settings!$F$51)-MOD(IFERROR(MATCH(Settings!$E$51,$EO$4:$EO$10,0),0)-WEEKDAY(MAX($A47,Settings!$F$51)),7))/7)+1)),IF(AND(IF(Settings!$E$51="",$B47,DATE(YEAR($A47),MONTH($A47),MIN(Settings!$E$51,DAY($B47))))&gt;=MAX($A47,Settings!$F$51),IF(Settings!$E$51="",$B47,DATE(YEAR($A47),MONTH($A47),MIN(Settings!$E$51,DAY($B47))))&lt;=MIN($C47,IF(Settings!$G$51="",$C47,Settings!$G$51))),1,0)))</f>
        <v/>
      </c>
      <c r="BL47">
        <f>IF(OR(Settings!$C$52="",Settings!$D$52=""),0,Settings!$C$52*IF(Settings!$D$52="Weekly",IF(IFERROR(MATCH(Settings!$E$52,$EO$4:$EO$10,0),0)=0,0,IF(MIN($C47,IF(Settings!$G$52="",$C47,Settings!$G$52))&lt;MAX($A47,Settings!$F$52),0,INT((MIN($C47,IF(Settings!$G$52="",$C47,Settings!$G$52))-MAX($A47,Settings!$F$52)-MOD(IFERROR(MATCH(Settings!$E$52,$EO$4:$EO$10,0),0)-WEEKDAY(MAX($A47,Settings!$F$52)),7))/7)+1)),IF(AND(IF(Settings!$E$52="",$B47,DATE(YEAR($A47),MONTH($A47),MIN(Settings!$E$52,DAY($B47))))&gt;=MAX($A47,Settings!$F$52),IF(Settings!$E$52="",$B47,DATE(YEAR($A47),MONTH($A47),MIN(Settings!$E$52,DAY($B47))))&lt;=MIN($C47,IF(Settings!$G$52="",$C47,Settings!$G$52))),1,0)))</f>
        <v/>
      </c>
      <c r="BM47">
        <f>IF(OR(Settings!$C$53="",Settings!$D$53=""),0,Settings!$C$53*IF(Settings!$D$53="Weekly",IF(IFERROR(MATCH(Settings!$E$53,$EO$4:$EO$10,0),0)=0,0,IF(MIN($C47,IF(Settings!$G$53="",$C47,Settings!$G$53))&lt;MAX($A47,Settings!$F$53),0,INT((MIN($C47,IF(Settings!$G$53="",$C47,Settings!$G$53))-MAX($A47,Settings!$F$53)-MOD(IFERROR(MATCH(Settings!$E$53,$EO$4:$EO$10,0),0)-WEEKDAY(MAX($A47,Settings!$F$53)),7))/7)+1)),IF(AND(IF(Settings!$E$53="",$B47,DATE(YEAR($A47),MONTH($A47),MIN(Settings!$E$53,DAY($B47))))&gt;=MAX($A47,Settings!$F$53),IF(Settings!$E$53="",$B47,DATE(YEAR($A47),MONTH($A47),MIN(Settings!$E$53,DAY($B47))))&lt;=MIN($C47,IF(Settings!$G$53="",$C47,Settings!$G$53))),1,0)))</f>
        <v/>
      </c>
      <c r="BN47">
        <f>IF(OR(Settings!$C$54="",Settings!$D$54=""),0,Settings!$C$54*IF(Settings!$D$54="Weekly",IF(IFERROR(MATCH(Settings!$E$54,$EO$4:$EO$10,0),0)=0,0,IF(MIN($C47,IF(Settings!$G$54="",$C47,Settings!$G$54))&lt;MAX($A47,Settings!$F$54),0,INT((MIN($C47,IF(Settings!$G$54="",$C47,Settings!$G$54))-MAX($A47,Settings!$F$54)-MOD(IFERROR(MATCH(Settings!$E$54,$EO$4:$EO$10,0),0)-WEEKDAY(MAX($A47,Settings!$F$54)),7))/7)+1)),IF(AND(IF(Settings!$E$54="",$B47,DATE(YEAR($A47),MONTH($A47),MIN(Settings!$E$54,DAY($B47))))&gt;=MAX($A47,Settings!$F$54),IF(Settings!$E$54="",$B47,DATE(YEAR($A47),MONTH($A47),MIN(Settings!$E$54,DAY($B47))))&lt;=MIN($C47,IF(Settings!$G$54="",$C47,Settings!$G$54))),1,0)))</f>
        <v/>
      </c>
      <c r="BO47">
        <f>IF(OR(Settings!$C$55="",Settings!$D$55=""),0,Settings!$C$55*IF(Settings!$D$55="Weekly",IF(IFERROR(MATCH(Settings!$E$55,$EO$4:$EO$10,0),0)=0,0,IF(MIN($C47,IF(Settings!$G$55="",$C47,Settings!$G$55))&lt;MAX($A47,Settings!$F$55),0,INT((MIN($C47,IF(Settings!$G$55="",$C47,Settings!$G$55))-MAX($A47,Settings!$F$55)-MOD(IFERROR(MATCH(Settings!$E$55,$EO$4:$EO$10,0),0)-WEEKDAY(MAX($A47,Settings!$F$55)),7))/7)+1)),IF(AND(IF(Settings!$E$55="",$B47,DATE(YEAR($A47),MONTH($A47),MIN(Settings!$E$55,DAY($B47))))&gt;=MAX($A47,Settings!$F$55),IF(Settings!$E$55="",$B47,DATE(YEAR($A47),MONTH($A47),MIN(Settings!$E$55,DAY($B47))))&lt;=MIN($C47,IF(Settings!$G$55="",$C47,Settings!$G$55))),1,0)))</f>
        <v/>
      </c>
      <c r="BP47">
        <f>IF(OR(Settings!$C$56="",Settings!$D$56=""),0,Settings!$C$56*IF(Settings!$D$56="Weekly",IF(IFERROR(MATCH(Settings!$E$56,$EO$4:$EO$10,0),0)=0,0,IF(MIN($C47,IF(Settings!$G$56="",$C47,Settings!$G$56))&lt;MAX($A47,Settings!$F$56),0,INT((MIN($C47,IF(Settings!$G$56="",$C47,Settings!$G$56))-MAX($A47,Settings!$F$56)-MOD(IFERROR(MATCH(Settings!$E$56,$EO$4:$EO$10,0),0)-WEEKDAY(MAX($A47,Settings!$F$56)),7))/7)+1)),IF(AND(IF(Settings!$E$56="",$B47,DATE(YEAR($A47),MONTH($A47),MIN(Settings!$E$56,DAY($B47))))&gt;=MAX($A47,Settings!$F$56),IF(Settings!$E$56="",$B47,DATE(YEAR($A47),MONTH($A47),MIN(Settings!$E$56,DAY($B47))))&lt;=MIN($C47,IF(Settings!$G$56="",$C47,Settings!$G$56))),1,0)))</f>
        <v/>
      </c>
      <c r="BQ47">
        <f>IF(OR(Settings!$B$14="",$D47=1,$E47="pre",$A47&lt;IF(Settings!$B$15="",0,Settings!$B$15)),0,Settings!$B$14)</f>
        <v/>
      </c>
      <c r="BR47">
        <f>IF(AND('Month-End'!$AR$7&lt;&gt;"",NOT(_xlfn.ISFORMULA('Month-End'!$AR$7))),1,0)</f>
        <v/>
      </c>
      <c r="BS47">
        <f>IF(AND('Month-End'!$AR$8&lt;&gt;"",NOT(_xlfn.ISFORMULA('Month-End'!$AR$8))),1,0)</f>
        <v/>
      </c>
      <c r="BT47">
        <f>IF(AND('Month-End'!$AR$9&lt;&gt;"",NOT(_xlfn.ISFORMULA('Month-End'!$AR$9))),1,0)</f>
        <v/>
      </c>
      <c r="BU47">
        <f>IF(AND('Month-End'!$AR$10&lt;&gt;"",NOT(_xlfn.ISFORMULA('Month-End'!$AR$10))),1,0)</f>
        <v/>
      </c>
      <c r="BV47">
        <f>IF(AND('Month-End'!$AR$11&lt;&gt;"",NOT(_xlfn.ISFORMULA('Month-End'!$AR$11))),1,0)</f>
        <v/>
      </c>
      <c r="BW47">
        <f>IF(AND('Month-End'!$AR$12&lt;&gt;"",NOT(_xlfn.ISFORMULA('Month-End'!$AR$12))),1,0)</f>
        <v/>
      </c>
      <c r="BX47">
        <f>IF(AND('Month-End'!$AR$13&lt;&gt;"",NOT(_xlfn.ISFORMULA('Month-End'!$AR$13))),1,0)</f>
        <v/>
      </c>
      <c r="BY47">
        <f>IF(AND('Month-End'!$AR$14&lt;&gt;"",NOT(_xlfn.ISFORMULA('Month-End'!$AR$14))),1,0)</f>
        <v/>
      </c>
      <c r="BZ47">
        <f>IF(AND('Month-End'!$AR$15&lt;&gt;"",NOT(_xlfn.ISFORMULA('Month-End'!$AR$15))),1,0)</f>
        <v/>
      </c>
      <c r="CA47">
        <f>IF(AND('Month-End'!$AR$16&lt;&gt;"",NOT(_xlfn.ISFORMULA('Month-End'!$AR$16))),1,0)</f>
        <v/>
      </c>
      <c r="CB47">
        <f>IF(AND('Month-End'!$AR$17&lt;&gt;"",NOT(_xlfn.ISFORMULA('Month-End'!$AR$17))),1,0)</f>
        <v/>
      </c>
      <c r="CC47">
        <f>IF(AND('Month-End'!$AR$18&lt;&gt;"",NOT(_xlfn.ISFORMULA('Month-End'!$AR$18))),1,0)</f>
        <v/>
      </c>
      <c r="CD47">
        <f>IF(AND('Month-End'!$AR$19&lt;&gt;"",NOT(_xlfn.ISFORMULA('Month-End'!$AR$19))),1,0)</f>
        <v/>
      </c>
      <c r="CE47">
        <f>IF(AND('Month-End'!$AR$20&lt;&gt;"",NOT(_xlfn.ISFORMULA('Month-End'!$AR$20))),1,0)</f>
        <v/>
      </c>
      <c r="CF47">
        <f>IF(AND('Month-End'!$AR$38&lt;&gt;"",NOT(_xlfn.ISFORMULA('Month-End'!$AR$38))),1,0)</f>
        <v/>
      </c>
      <c r="CG47">
        <f>IF(AND('Month-End'!$AR$39&lt;&gt;"",NOT(_xlfn.ISFORMULA('Month-End'!$AR$39))),1,0)</f>
        <v/>
      </c>
      <c r="CH47">
        <f>IF(AND('Month-End'!$AR$40&lt;&gt;"",NOT(_xlfn.ISFORMULA('Month-End'!$AR$40))),1,0)</f>
        <v/>
      </c>
      <c r="CI47">
        <f>IF(AND('Month-End'!$AR$41&lt;&gt;"",NOT(_xlfn.ISFORMULA('Month-End'!$AR$41))),1,0)</f>
        <v/>
      </c>
      <c r="CJ47">
        <f>IF(AND('Month-End'!$AR$42&lt;&gt;"",NOT(_xlfn.ISFORMULA('Month-End'!$AR$42))),1,0)</f>
        <v/>
      </c>
      <c r="CK47">
        <f>IF(AND('Month-End'!$AR$43&lt;&gt;"",NOT(_xlfn.ISFORMULA('Month-End'!$AR$43))),1,0)</f>
        <v/>
      </c>
      <c r="CL47">
        <f>SUM($CM47:$CZ47)</f>
        <v/>
      </c>
      <c r="CM47">
        <f>IF(AND($E47&lt;&gt;"pre",AND(Settings!$A$19&lt;&gt;"",Settings!$E$19&lt;&gt;"No"),Settings!$F$19="Yes",NOT(AND('Month-End'!$AR$7&lt;&gt;"",NOT(_xlfn.ISFORMULA('Month-End'!$AR$7))))),1,0)</f>
        <v/>
      </c>
      <c r="CN47">
        <f>IF(AND($E47&lt;&gt;"pre",AND(Settings!$A$20&lt;&gt;"",Settings!$E$20&lt;&gt;"No"),Settings!$F$20="Yes",NOT(AND('Month-End'!$AR$8&lt;&gt;"",NOT(_xlfn.ISFORMULA('Month-End'!$AR$8))))),1,0)</f>
        <v/>
      </c>
      <c r="CO47">
        <f>IF(AND($E47&lt;&gt;"pre",AND(Settings!$A$21&lt;&gt;"",Settings!$E$21&lt;&gt;"No"),Settings!$F$21="Yes",NOT(AND('Month-End'!$AR$9&lt;&gt;"",NOT(_xlfn.ISFORMULA('Month-End'!$AR$9))))),1,0)</f>
        <v/>
      </c>
      <c r="CP47">
        <f>IF(AND($E47&lt;&gt;"pre",AND(Settings!$A$22&lt;&gt;"",Settings!$E$22&lt;&gt;"No"),Settings!$F$22="Yes",NOT(AND('Month-End'!$AR$10&lt;&gt;"",NOT(_xlfn.ISFORMULA('Month-End'!$AR$10))))),1,0)</f>
        <v/>
      </c>
      <c r="CQ47">
        <f>IF(AND($E47&lt;&gt;"pre",AND(Settings!$A$23&lt;&gt;"",Settings!$E$23&lt;&gt;"No"),Settings!$F$23="Yes",NOT(AND('Month-End'!$AR$11&lt;&gt;"",NOT(_xlfn.ISFORMULA('Month-End'!$AR$11))))),1,0)</f>
        <v/>
      </c>
      <c r="CR47">
        <f>IF(AND($E47&lt;&gt;"pre",AND(Settings!$A$24&lt;&gt;"",Settings!$E$24&lt;&gt;"No"),Settings!$F$24="Yes",NOT(AND('Month-End'!$AR$12&lt;&gt;"",NOT(_xlfn.ISFORMULA('Month-End'!$AR$12))))),1,0)</f>
        <v/>
      </c>
      <c r="CS47">
        <f>IF(AND($E47&lt;&gt;"pre",AND(Settings!$A$25&lt;&gt;"",Settings!$E$25&lt;&gt;"No"),Settings!$F$25="Yes",NOT(AND('Month-End'!$AR$13&lt;&gt;"",NOT(_xlfn.ISFORMULA('Month-End'!$AR$13))))),1,0)</f>
        <v/>
      </c>
      <c r="CT47">
        <f>IF(AND($E47&lt;&gt;"pre",AND(Settings!$A$26&lt;&gt;"",Settings!$E$26&lt;&gt;"No"),Settings!$F$26="Yes",NOT(AND('Month-End'!$AR$14&lt;&gt;"",NOT(_xlfn.ISFORMULA('Month-End'!$AR$14))))),1,0)</f>
        <v/>
      </c>
      <c r="CU47">
        <f>IF(AND($E47&lt;&gt;"pre",AND(Settings!$A$27&lt;&gt;"",Settings!$E$27&lt;&gt;"No"),Settings!$F$27="Yes",NOT(AND('Month-End'!$AR$15&lt;&gt;"",NOT(_xlfn.ISFORMULA('Month-End'!$AR$15))))),1,0)</f>
        <v/>
      </c>
      <c r="CV47">
        <f>IF(AND($E47&lt;&gt;"pre",AND(Settings!$A$28&lt;&gt;"",Settings!$E$28&lt;&gt;"No"),Settings!$F$28="Yes",NOT(AND('Month-End'!$AR$16&lt;&gt;"",NOT(_xlfn.ISFORMULA('Month-End'!$AR$16))))),1,0)</f>
        <v/>
      </c>
      <c r="CW47">
        <f>IF(AND($E47&lt;&gt;"pre",AND(Settings!$A$29&lt;&gt;"",Settings!$E$29&lt;&gt;"No"),Settings!$F$29="Yes",NOT(AND('Month-End'!$AR$17&lt;&gt;"",NOT(_xlfn.ISFORMULA('Month-End'!$AR$17))))),1,0)</f>
        <v/>
      </c>
      <c r="CX47">
        <f>IF(AND($E47&lt;&gt;"pre",AND(Settings!$A$30&lt;&gt;"",Settings!$E$30&lt;&gt;"No"),Settings!$F$30="Yes",NOT(AND('Month-End'!$AR$18&lt;&gt;"",NOT(_xlfn.ISFORMULA('Month-End'!$AR$18))))),1,0)</f>
        <v/>
      </c>
      <c r="CY47">
        <f>IF(AND($E47&lt;&gt;"pre",AND(Settings!$A$31&lt;&gt;"",Settings!$E$31&lt;&gt;"No"),Settings!$F$31="Yes",NOT(AND('Month-End'!$AR$19&lt;&gt;"",NOT(_xlfn.ISFORMULA('Month-End'!$AR$19))))),1,0)</f>
        <v/>
      </c>
      <c r="CZ47">
        <f>IF(AND($E47&lt;&gt;"pre",AND(Settings!$A$32&lt;&gt;"",Settings!$E$32&lt;&gt;"No"),Settings!$F$32="Yes",NOT(AND('Month-End'!$AR$20&lt;&gt;"",NOT(_xlfn.ISFORMULA('Month-End'!$AR$20))))),1,0)</f>
        <v/>
      </c>
      <c r="DA47">
        <f>IF($DT47=1,IF(OR(Settings!$B$19="Checking",Settings!$B$19="Savings",Settings!$B$19="Cash"),N($AE47),IF(OR(Settings!$B$19="Card",Settings!$B$19="Loan"),-N($AE47),0))+IF(OR(Settings!$B$20="Checking",Settings!$B$20="Savings",Settings!$B$20="Cash"),N($AF47),IF(OR(Settings!$B$20="Card",Settings!$B$20="Loan"),-N($AF47),0))+IF(OR(Settings!$B$21="Checking",Settings!$B$21="Savings",Settings!$B$21="Cash"),N($AG47),IF(OR(Settings!$B$21="Card",Settings!$B$21="Loan"),-N($AG47),0))+IF(OR(Settings!$B$22="Checking",Settings!$B$22="Savings",Settings!$B$22="Cash"),N($AH47),IF(OR(Settings!$B$22="Card",Settings!$B$22="Loan"),-N($AH47),0))+IF(OR(Settings!$B$23="Checking",Settings!$B$23="Savings",Settings!$B$23="Cash"),N($AI47),IF(OR(Settings!$B$23="Card",Settings!$B$23="Loan"),-N($AI47),0))+IF(OR(Settings!$B$24="Checking",Settings!$B$24="Savings",Settings!$B$24="Cash"),N($AJ47),IF(OR(Settings!$B$24="Card",Settings!$B$24="Loan"),-N($AJ47),0))+IF(OR(Settings!$B$25="Checking",Settings!$B$25="Savings",Settings!$B$25="Cash"),N($AK47),IF(OR(Settings!$B$25="Card",Settings!$B$25="Loan"),-N($AK47),0))+IF(OR(Settings!$B$26="Checking",Settings!$B$26="Savings",Settings!$B$26="Cash"),N($AL47),IF(OR(Settings!$B$26="Card",Settings!$B$26="Loan"),-N($AL47),0))+IF(OR(Settings!$B$27="Checking",Settings!$B$27="Savings",Settings!$B$27="Cash"),N($AM47),IF(OR(Settings!$B$27="Card",Settings!$B$27="Loan"),-N($AM47),0))+IF(OR(Settings!$B$28="Checking",Settings!$B$28="Savings",Settings!$B$28="Cash"),N($AN47),IF(OR(Settings!$B$28="Card",Settings!$B$28="Loan"),-N($AN47),0))+IF(OR(Settings!$B$29="Checking",Settings!$B$29="Savings",Settings!$B$29="Cash"),N($AO47),IF(OR(Settings!$B$29="Card",Settings!$B$29="Loan"),-N($AO47),0))+IF(OR(Settings!$B$30="Checking",Settings!$B$30="Savings",Settings!$B$30="Cash"),N($AP47),IF(OR(Settings!$B$30="Card",Settings!$B$30="Loan"),-N($AP47),0))+IF(OR(Settings!$B$31="Checking",Settings!$B$31="Savings",Settings!$B$31="Cash"),N($AQ47),IF(OR(Settings!$B$31="Card",Settings!$B$31="Loan"),-N($AQ47),0))+IF(OR(Settings!$B$32="Checking",Settings!$B$32="Savings",Settings!$B$32="Cash"),N($AR47),IF(OR(Settings!$B$32="Card",Settings!$B$32="Loan"),-N($AR47),0)),"")</f>
        <v/>
      </c>
      <c r="DB47">
        <f>IF($E47="open",$EB$27,IF($E47="post",IF($E46="pre",$EB$27,$DA46),""))</f>
        <v/>
      </c>
      <c r="DC47">
        <f>IF($E47="open",1,IF($E47="post",IF($E46="pre",1,$DT46),0))</f>
        <v/>
      </c>
      <c r="DD47">
        <f>IF(AND($DT47=1,$DC47=1),ROUND($W47-($DA47-$DB47)-$AD47-$AB47,2),"")</f>
        <v/>
      </c>
      <c r="DE47">
        <f>IF('Month-End'!$AR$35="",$BQ47,N('Month-End'!$AR$35))</f>
        <v/>
      </c>
      <c r="DF47">
        <f>N('Month-End'!$AR$36)</f>
        <v/>
      </c>
      <c r="DG47">
        <f>IF($DD47="","",$DD47+$DE47)</f>
        <v/>
      </c>
      <c r="DH47">
        <f>IF($DG47="","",$DG47-$DF47)</f>
        <v/>
      </c>
      <c r="DI47">
        <f>IF(OR($E47="pre",$D47=1),"",N($AS47)+N($AT47)+N($AU47)+N($AV47)+N($AW47)+N($AX47))</f>
        <v/>
      </c>
      <c r="DJ47">
        <f>IF($DT47=1,$DA47+N($DI47),"")</f>
        <v/>
      </c>
      <c r="DK47">
        <f>IF($DD47="","",$W47-$DD47-$AB47)</f>
        <v/>
      </c>
      <c r="DL47">
        <f>IF(AND($E47="post",$DD47&lt;&gt;"",$B47&lt;TODAY()),1,0)</f>
        <v/>
      </c>
      <c r="DM47">
        <f>IF($DL47=1,COUNTIF($DL47:$DL$183,1),0)</f>
        <v/>
      </c>
      <c r="DN47">
        <f>IF($D47=1,"",IF($E47="pre","History only",IF($DT47=1,IF($DD47="","⚠ Previous month missing",IF($DD47&lt;0,"⚠ Check: spending &lt; 0",IF($E47="open","✓ Done (partial)","✓ Done"))),IF($B47&gt;=TODAY(),"In progress","⚠ Needs balances"))))</f>
        <v/>
      </c>
      <c r="DO47">
        <f>YEAR($A47)</f>
        <v/>
      </c>
      <c r="DP47">
        <f>DATE(YEAR($A47),INT((MONTH($A47)-1)/3)*3+1,1)</f>
        <v/>
      </c>
      <c r="DQ47">
        <f>IF(AND($DT47=1,$DD47&lt;&gt;"",$D47=0),ROW(),0)</f>
        <v/>
      </c>
      <c r="DR47">
        <f>IF(AND($E47&lt;&gt;"pre",$B47&lt;TODAY(),$DT47=0),1,0)</f>
        <v/>
      </c>
      <c r="DS47">
        <f>IF($DJ47="",NA(),$DJ47)</f>
        <v/>
      </c>
      <c r="DT47">
        <f>IF(AND($E47&lt;&gt;"pre",$CL47=0,COUNTIFS(Settings!$F$19:$F$32,"Yes",Settings!$A$19:$A$32,"&lt;&gt;",Settings!$E$19:$E$32,"&lt;&gt;No")&gt;0),1,0)</f>
        <v/>
      </c>
      <c r="DU47">
        <f>IF(AND($B47&lt;TODAY(),$S47&gt;0),1,0)</f>
        <v/>
      </c>
      <c r="DV47">
        <f>IF($DU47=1,COUNTIF($DU47:$DU$183,1),0)</f>
        <v/>
      </c>
      <c r="DW47">
        <f>IF(AND(OR(Settings!$B$19="Card",Settings!$B$19="Loan"),AND('Month-End'!$AR$7&lt;&gt;"",NOT(_xlfn.ISFORMULA('Month-End'!$AR$7)))),IF(N('Month-End'!$AR$7)&lt;0,1,0),0)+IF(AND(OR(Settings!$B$20="Card",Settings!$B$20="Loan"),AND('Month-End'!$AR$8&lt;&gt;"",NOT(_xlfn.ISFORMULA('Month-End'!$AR$8)))),IF(N('Month-End'!$AR$8)&lt;0,1,0),0)+IF(AND(OR(Settings!$B$21="Card",Settings!$B$21="Loan"),AND('Month-End'!$AR$9&lt;&gt;"",NOT(_xlfn.ISFORMULA('Month-End'!$AR$9)))),IF(N('Month-End'!$AR$9)&lt;0,1,0),0)+IF(AND(OR(Settings!$B$22="Card",Settings!$B$22="Loan"),AND('Month-End'!$AR$10&lt;&gt;"",NOT(_xlfn.ISFORMULA('Month-End'!$AR$10)))),IF(N('Month-End'!$AR$10)&lt;0,1,0),0)+IF(AND(OR(Settings!$B$23="Card",Settings!$B$23="Loan"),AND('Month-End'!$AR$11&lt;&gt;"",NOT(_xlfn.ISFORMULA('Month-End'!$AR$11)))),IF(N('Month-End'!$AR$11)&lt;0,1,0),0)+IF(AND(OR(Settings!$B$24="Card",Settings!$B$24="Loan"),AND('Month-End'!$AR$12&lt;&gt;"",NOT(_xlfn.ISFORMULA('Month-End'!$AR$12)))),IF(N('Month-End'!$AR$12)&lt;0,1,0),0)+IF(AND(OR(Settings!$B$25="Card",Settings!$B$25="Loan"),AND('Month-End'!$AR$13&lt;&gt;"",NOT(_xlfn.ISFORMULA('Month-End'!$AR$13)))),IF(N('Month-End'!$AR$13)&lt;0,1,0),0)+IF(AND(OR(Settings!$B$26="Card",Settings!$B$26="Loan"),AND('Month-End'!$AR$14&lt;&gt;"",NOT(_xlfn.ISFORMULA('Month-End'!$AR$14)))),IF(N('Month-End'!$AR$14)&lt;0,1,0),0)+IF(AND(OR(Settings!$B$27="Card",Settings!$B$27="Loan"),AND('Month-End'!$AR$15&lt;&gt;"",NOT(_xlfn.ISFORMULA('Month-End'!$AR$15)))),IF(N('Month-End'!$AR$15)&lt;0,1,0),0)+IF(AND(OR(Settings!$B$28="Card",Settings!$B$28="Loan"),AND('Month-End'!$AR$16&lt;&gt;"",NOT(_xlfn.ISFORMULA('Month-End'!$AR$16)))),IF(N('Month-End'!$AR$16)&lt;0,1,0),0)+IF(AND(OR(Settings!$B$29="Card",Settings!$B$29="Loan"),AND('Month-End'!$AR$17&lt;&gt;"",NOT(_xlfn.ISFORMULA('Month-End'!$AR$17)))),IF(N('Month-End'!$AR$17)&lt;0,1,0),0)+IF(AND(OR(Settings!$B$30="Card",Settings!$B$30="Loan"),AND('Month-End'!$AR$18&lt;&gt;"",NOT(_xlfn.ISFORMULA('Month-End'!$AR$18)))),IF(N('Month-End'!$AR$18)&lt;0,1,0),0)+IF(AND(OR(Settings!$B$31="Card",Settings!$B$31="Loan"),AND('Month-End'!$AR$19&lt;&gt;"",NOT(_xlfn.ISFORMULA('Month-End'!$AR$19)))),IF(N('Month-End'!$AR$19)&lt;0,1,0),0)+IF(AND(OR(Settings!$B$32="Card",Settings!$B$32="Loan"),AND('Month-End'!$AR$20&lt;&gt;"",NOT(_xlfn.ISFORMULA('Month-End'!$AR$20)))),IF(N('Month-End'!$AR$20)&lt;0,1,0),0)</f>
        <v/>
      </c>
      <c r="DX47">
        <f>IF(Settings!$B$36="Retirement",$AY47,0)+IF(Settings!$B$37="Retirement",$AZ47,0)+IF(Settings!$B$38="Retirement",$BA47,0)+IF(Settings!$B$39="Retirement",$BB47,0)+IF(Settings!$B$40="Retirement",$BC47,0)+IF(Settings!$B$41="Retirement",$BD47,0)</f>
        <v/>
      </c>
      <c r="EA47">
        <f>IF(Settings!$A$26="","",Settings!$A$26)</f>
        <v/>
      </c>
      <c r="EB47">
        <f>IF(Settings!$A$26="","",IF($EB$5=0,N(Settings!$C$26),N(INDEX($AL:$AL,$EB$5))))</f>
        <v/>
      </c>
      <c r="EC47">
        <f>""</f>
        <v/>
      </c>
      <c r="ED47">
        <f>IF(AND(AND(Settings!$A$26&lt;&gt;"",Settings!$E$26&lt;&gt;"No"),Settings!$B$26="Cash",Settings!$B$5&lt;EDATE(TODAY(),-6),COUNTIFS($BY$6:$BY$183,1,$A$6:$A$183,"&gt;="&amp;EDATE(TODAY(),-6))=0),1,0)</f>
        <v/>
      </c>
      <c r="EI47">
        <f>IF(AND(Settings!$A$26&lt;&gt;"",Settings!$E$26&lt;&gt;"No"),COUNTIFS($EK$40:$EK47,1),"")</f>
        <v/>
      </c>
      <c r="EJ47">
        <f>IF(Settings!$A$26="","",Settings!$B$26)</f>
        <v/>
      </c>
      <c r="EK47">
        <f>IF(AND(Settings!$A$26&lt;&gt;"",Settings!$E$26&lt;&gt;"No"),1,0)</f>
        <v/>
      </c>
      <c r="EL47">
        <f>IF(Settings!$A$26="","",IF(OR(Settings!$B$26="Card",Settings!$B$26="Loan"),-N(EB47),N(EB47)))</f>
        <v/>
      </c>
      <c r="EM47">
        <f>IF(Settings!$A$26="","",IF(Settings!$D$26="Yes","estimate",""))</f>
        <v/>
      </c>
      <c r="ET47">
        <f>IF($E47&lt;&gt;"open",0,IF(AND('Month-End'!$AR$22&lt;&gt;"",NOT(_xlfn.ISFORMULA('Month-End'!$AR$22))),0,IF(OR(Settings!$C$45="",Settings!$D$45=""),0,Settings!$C$45*IF(Settings!$D$45="Weekly",IF(IFERROR(MATCH(Settings!$E$45,$EO$4:$EO$10,0),0)=0,0,IF(MIN(Settings!$B$5,IF(Settings!$G$45="",Settings!$B$5,Settings!$G$45))&lt;MAX($A47,Settings!$F$45),0,INT((MIN(Settings!$B$5,IF(Settings!$G$45="",Settings!$B$5,Settings!$G$45))-MAX($A47,Settings!$F$45)-MOD(IFERROR(MATCH(Settings!$E$45,$EO$4:$EO$10,0),0)-WEEKDAY(MAX($A47,Settings!$F$45)),7))/7)+1)),IF(AND(IF(Settings!$E$45="",$B47,DATE(YEAR($A47),MONTH($A47),MIN(Settings!$E$45,DAY($B47))))&gt;=MAX($A47,Settings!$F$45),IF(Settings!$E$45="",$B47,DATE(YEAR($A47),MONTH($A47),MIN(Settings!$E$45,DAY($B47))))&lt;=MIN(Settings!$B$5,IF(Settings!$G$45="",Settings!$B$5,Settings!$G$45))),1,0)))))</f>
        <v/>
      </c>
      <c r="EU47">
        <f>IF($E47&lt;&gt;"open",0,IF(AND('Month-End'!$AR$23&lt;&gt;"",NOT(_xlfn.ISFORMULA('Month-End'!$AR$23))),0,IF(OR(Settings!$C$46="",Settings!$D$46=""),0,Settings!$C$46*IF(Settings!$D$46="Weekly",IF(IFERROR(MATCH(Settings!$E$46,$EO$4:$EO$10,0),0)=0,0,IF(MIN(Settings!$B$5,IF(Settings!$G$46="",Settings!$B$5,Settings!$G$46))&lt;MAX($A47,Settings!$F$46),0,INT((MIN(Settings!$B$5,IF(Settings!$G$46="",Settings!$B$5,Settings!$G$46))-MAX($A47,Settings!$F$46)-MOD(IFERROR(MATCH(Settings!$E$46,$EO$4:$EO$10,0),0)-WEEKDAY(MAX($A47,Settings!$F$46)),7))/7)+1)),IF(AND(IF(Settings!$E$46="",$B47,DATE(YEAR($A47),MONTH($A47),MIN(Settings!$E$46,DAY($B47))))&gt;=MAX($A47,Settings!$F$46),IF(Settings!$E$46="",$B47,DATE(YEAR($A47),MONTH($A47),MIN(Settings!$E$46,DAY($B47))))&lt;=MIN(Settings!$B$5,IF(Settings!$G$46="",Settings!$B$5,Settings!$G$46))),1,0)))))</f>
        <v/>
      </c>
      <c r="EV47">
        <f>IF($E47&lt;&gt;"open",0,IF(AND('Month-End'!$AR$24&lt;&gt;"",NOT(_xlfn.ISFORMULA('Month-End'!$AR$24))),0,IF(OR(Settings!$C$47="",Settings!$D$47=""),0,Settings!$C$47*IF(Settings!$D$47="Weekly",IF(IFERROR(MATCH(Settings!$E$47,$EO$4:$EO$10,0),0)=0,0,IF(MIN(Settings!$B$5,IF(Settings!$G$47="",Settings!$B$5,Settings!$G$47))&lt;MAX($A47,Settings!$F$47),0,INT((MIN(Settings!$B$5,IF(Settings!$G$47="",Settings!$B$5,Settings!$G$47))-MAX($A47,Settings!$F$47)-MOD(IFERROR(MATCH(Settings!$E$47,$EO$4:$EO$10,0),0)-WEEKDAY(MAX($A47,Settings!$F$47)),7))/7)+1)),IF(AND(IF(Settings!$E$47="",$B47,DATE(YEAR($A47),MONTH($A47),MIN(Settings!$E$47,DAY($B47))))&gt;=MAX($A47,Settings!$F$47),IF(Settings!$E$47="",$B47,DATE(YEAR($A47),MONTH($A47),MIN(Settings!$E$47,DAY($B47))))&lt;=MIN(Settings!$B$5,IF(Settings!$G$47="",Settings!$B$5,Settings!$G$47))),1,0)))))</f>
        <v/>
      </c>
      <c r="EW47">
        <f>IF($E47&lt;&gt;"open",0,IF(AND('Month-End'!$AR$25&lt;&gt;"",NOT(_xlfn.ISFORMULA('Month-End'!$AR$25))),0,IF(OR(Settings!$C$48="",Settings!$D$48=""),0,Settings!$C$48*IF(Settings!$D$48="Weekly",IF(IFERROR(MATCH(Settings!$E$48,$EO$4:$EO$10,0),0)=0,0,IF(MIN(Settings!$B$5,IF(Settings!$G$48="",Settings!$B$5,Settings!$G$48))&lt;MAX($A47,Settings!$F$48),0,INT((MIN(Settings!$B$5,IF(Settings!$G$48="",Settings!$B$5,Settings!$G$48))-MAX($A47,Settings!$F$48)-MOD(IFERROR(MATCH(Settings!$E$48,$EO$4:$EO$10,0),0)-WEEKDAY(MAX($A47,Settings!$F$48)),7))/7)+1)),IF(AND(IF(Settings!$E$48="",$B47,DATE(YEAR($A47),MONTH($A47),MIN(Settings!$E$48,DAY($B47))))&gt;=MAX($A47,Settings!$F$48),IF(Settings!$E$48="",$B47,DATE(YEAR($A47),MONTH($A47),MIN(Settings!$E$48,DAY($B47))))&lt;=MIN(Settings!$B$5,IF(Settings!$G$48="",Settings!$B$5,Settings!$G$48))),1,0)))))</f>
        <v/>
      </c>
      <c r="EX47">
        <f>IF($E47&lt;&gt;"open",0,IF(AND('Month-End'!$AR$26&lt;&gt;"",NOT(_xlfn.ISFORMULA('Month-End'!$AR$26))),0,IF(OR(Settings!$C$49="",Settings!$D$49=""),0,Settings!$C$49*IF(Settings!$D$49="Weekly",IF(IFERROR(MATCH(Settings!$E$49,$EO$4:$EO$10,0),0)=0,0,IF(MIN(Settings!$B$5,IF(Settings!$G$49="",Settings!$B$5,Settings!$G$49))&lt;MAX($A47,Settings!$F$49),0,INT((MIN(Settings!$B$5,IF(Settings!$G$49="",Settings!$B$5,Settings!$G$49))-MAX($A47,Settings!$F$49)-MOD(IFERROR(MATCH(Settings!$E$49,$EO$4:$EO$10,0),0)-WEEKDAY(MAX($A47,Settings!$F$49)),7))/7)+1)),IF(AND(IF(Settings!$E$49="",$B47,DATE(YEAR($A47),MONTH($A47),MIN(Settings!$E$49,DAY($B47))))&gt;=MAX($A47,Settings!$F$49),IF(Settings!$E$49="",$B47,DATE(YEAR($A47),MONTH($A47),MIN(Settings!$E$49,DAY($B47))))&lt;=MIN(Settings!$B$5,IF(Settings!$G$49="",Settings!$B$5,Settings!$G$49))),1,0)))))</f>
        <v/>
      </c>
      <c r="EY47">
        <f>IF($E47&lt;&gt;"open",0,IF(AND('Month-End'!$AR$27&lt;&gt;"",NOT(_xlfn.ISFORMULA('Month-End'!$AR$27))),0,IF(OR(Settings!$C$50="",Settings!$D$50=""),0,Settings!$C$50*IF(Settings!$D$50="Weekly",IF(IFERROR(MATCH(Settings!$E$50,$EO$4:$EO$10,0),0)=0,0,IF(MIN(Settings!$B$5,IF(Settings!$G$50="",Settings!$B$5,Settings!$G$50))&lt;MAX($A47,Settings!$F$50),0,INT((MIN(Settings!$B$5,IF(Settings!$G$50="",Settings!$B$5,Settings!$G$50))-MAX($A47,Settings!$F$50)-MOD(IFERROR(MATCH(Settings!$E$50,$EO$4:$EO$10,0),0)-WEEKDAY(MAX($A47,Settings!$F$50)),7))/7)+1)),IF(AND(IF(Settings!$E$50="",$B47,DATE(YEAR($A47),MONTH($A47),MIN(Settings!$E$50,DAY($B47))))&gt;=MAX($A47,Settings!$F$50),IF(Settings!$E$50="",$B47,DATE(YEAR($A47),MONTH($A47),MIN(Settings!$E$50,DAY($B47))))&lt;=MIN(Settings!$B$5,IF(Settings!$G$50="",Settings!$B$5,Settings!$G$50))),1,0)))))</f>
        <v/>
      </c>
      <c r="EZ47">
        <f>IF($E47&lt;&gt;"open",0,IF(AND('Month-End'!$AR$28&lt;&gt;"",NOT(_xlfn.ISFORMULA('Month-End'!$AR$28))),0,IF(OR(Settings!$C$51="",Settings!$D$51=""),0,Settings!$C$51*IF(Settings!$D$51="Weekly",IF(IFERROR(MATCH(Settings!$E$51,$EO$4:$EO$10,0),0)=0,0,IF(MIN(Settings!$B$5,IF(Settings!$G$51="",Settings!$B$5,Settings!$G$51))&lt;MAX($A47,Settings!$F$51),0,INT((MIN(Settings!$B$5,IF(Settings!$G$51="",Settings!$B$5,Settings!$G$51))-MAX($A47,Settings!$F$51)-MOD(IFERROR(MATCH(Settings!$E$51,$EO$4:$EO$10,0),0)-WEEKDAY(MAX($A47,Settings!$F$51)),7))/7)+1)),IF(AND(IF(Settings!$E$51="",$B47,DATE(YEAR($A47),MONTH($A47),MIN(Settings!$E$51,DAY($B47))))&gt;=MAX($A47,Settings!$F$51),IF(Settings!$E$51="",$B47,DATE(YEAR($A47),MONTH($A47),MIN(Settings!$E$51,DAY($B47))))&lt;=MIN(Settings!$B$5,IF(Settings!$G$51="",Settings!$B$5,Settings!$G$51))),1,0)))))</f>
        <v/>
      </c>
      <c r="FA47">
        <f>IF($E47&lt;&gt;"open",0,IF(AND('Month-End'!$AR$29&lt;&gt;"",NOT(_xlfn.ISFORMULA('Month-End'!$AR$29))),0,IF(OR(Settings!$C$52="",Settings!$D$52=""),0,Settings!$C$52*IF(Settings!$D$52="Weekly",IF(IFERROR(MATCH(Settings!$E$52,$EO$4:$EO$10,0),0)=0,0,IF(MIN(Settings!$B$5,IF(Settings!$G$52="",Settings!$B$5,Settings!$G$52))&lt;MAX($A47,Settings!$F$52),0,INT((MIN(Settings!$B$5,IF(Settings!$G$52="",Settings!$B$5,Settings!$G$52))-MAX($A47,Settings!$F$52)-MOD(IFERROR(MATCH(Settings!$E$52,$EO$4:$EO$10,0),0)-WEEKDAY(MAX($A47,Settings!$F$52)),7))/7)+1)),IF(AND(IF(Settings!$E$52="",$B47,DATE(YEAR($A47),MONTH($A47),MIN(Settings!$E$52,DAY($B47))))&gt;=MAX($A47,Settings!$F$52),IF(Settings!$E$52="",$B47,DATE(YEAR($A47),MONTH($A47),MIN(Settings!$E$52,DAY($B47))))&lt;=MIN(Settings!$B$5,IF(Settings!$G$52="",Settings!$B$5,Settings!$G$52))),1,0)))))</f>
        <v/>
      </c>
      <c r="FB47">
        <f>IF($E47&lt;&gt;"open",0,IF(AND('Month-End'!$AR$30&lt;&gt;"",NOT(_xlfn.ISFORMULA('Month-End'!$AR$30))),0,IF(OR(Settings!$C$53="",Settings!$D$53=""),0,Settings!$C$53*IF(Settings!$D$53="Weekly",IF(IFERROR(MATCH(Settings!$E$53,$EO$4:$EO$10,0),0)=0,0,IF(MIN(Settings!$B$5,IF(Settings!$G$53="",Settings!$B$5,Settings!$G$53))&lt;MAX($A47,Settings!$F$53),0,INT((MIN(Settings!$B$5,IF(Settings!$G$53="",Settings!$B$5,Settings!$G$53))-MAX($A47,Settings!$F$53)-MOD(IFERROR(MATCH(Settings!$E$53,$EO$4:$EO$10,0),0)-WEEKDAY(MAX($A47,Settings!$F$53)),7))/7)+1)),IF(AND(IF(Settings!$E$53="",$B47,DATE(YEAR($A47),MONTH($A47),MIN(Settings!$E$53,DAY($B47))))&gt;=MAX($A47,Settings!$F$53),IF(Settings!$E$53="",$B47,DATE(YEAR($A47),MONTH($A47),MIN(Settings!$E$53,DAY($B47))))&lt;=MIN(Settings!$B$5,IF(Settings!$G$53="",Settings!$B$5,Settings!$G$53))),1,0)))))</f>
        <v/>
      </c>
      <c r="FC47">
        <f>IF($E47&lt;&gt;"open",0,IF(AND('Month-End'!$AR$31&lt;&gt;"",NOT(_xlfn.ISFORMULA('Month-End'!$AR$31))),0,IF(OR(Settings!$C$54="",Settings!$D$54=""),0,Settings!$C$54*IF(Settings!$D$54="Weekly",IF(IFERROR(MATCH(Settings!$E$54,$EO$4:$EO$10,0),0)=0,0,IF(MIN(Settings!$B$5,IF(Settings!$G$54="",Settings!$B$5,Settings!$G$54))&lt;MAX($A47,Settings!$F$54),0,INT((MIN(Settings!$B$5,IF(Settings!$G$54="",Settings!$B$5,Settings!$G$54))-MAX($A47,Settings!$F$54)-MOD(IFERROR(MATCH(Settings!$E$54,$EO$4:$EO$10,0),0)-WEEKDAY(MAX($A47,Settings!$F$54)),7))/7)+1)),IF(AND(IF(Settings!$E$54="",$B47,DATE(YEAR($A47),MONTH($A47),MIN(Settings!$E$54,DAY($B47))))&gt;=MAX($A47,Settings!$F$54),IF(Settings!$E$54="",$B47,DATE(YEAR($A47),MONTH($A47),MIN(Settings!$E$54,DAY($B47))))&lt;=MIN(Settings!$B$5,IF(Settings!$G$54="",Settings!$B$5,Settings!$G$54))),1,0)))))</f>
        <v/>
      </c>
      <c r="FD47">
        <f>IF($E47&lt;&gt;"open",0,IF(AND('Month-End'!$AR$32&lt;&gt;"",NOT(_xlfn.ISFORMULA('Month-End'!$AR$32))),0,IF(OR(Settings!$C$55="",Settings!$D$55=""),0,Settings!$C$55*IF(Settings!$D$55="Weekly",IF(IFERROR(MATCH(Settings!$E$55,$EO$4:$EO$10,0),0)=0,0,IF(MIN(Settings!$B$5,IF(Settings!$G$55="",Settings!$B$5,Settings!$G$55))&lt;MAX($A47,Settings!$F$55),0,INT((MIN(Settings!$B$5,IF(Settings!$G$55="",Settings!$B$5,Settings!$G$55))-MAX($A47,Settings!$F$55)-MOD(IFERROR(MATCH(Settings!$E$55,$EO$4:$EO$10,0),0)-WEEKDAY(MAX($A47,Settings!$F$55)),7))/7)+1)),IF(AND(IF(Settings!$E$55="",$B47,DATE(YEAR($A47),MONTH($A47),MIN(Settings!$E$55,DAY($B47))))&gt;=MAX($A47,Settings!$F$55),IF(Settings!$E$55="",$B47,DATE(YEAR($A47),MONTH($A47),MIN(Settings!$E$55,DAY($B47))))&lt;=MIN(Settings!$B$5,IF(Settings!$G$55="",Settings!$B$5,Settings!$G$55))),1,0)))))</f>
        <v/>
      </c>
      <c r="FE47">
        <f>IF($E47&lt;&gt;"open",0,IF(AND('Month-End'!$AR$33&lt;&gt;"",NOT(_xlfn.ISFORMULA('Month-End'!$AR$33))),0,IF(OR(Settings!$C$56="",Settings!$D$56=""),0,Settings!$C$56*IF(Settings!$D$56="Weekly",IF(IFERROR(MATCH(Settings!$E$56,$EO$4:$EO$10,0),0)=0,0,IF(MIN(Settings!$B$5,IF(Settings!$G$56="",Settings!$B$5,Settings!$G$56))&lt;MAX($A47,Settings!$F$56),0,INT((MIN(Settings!$B$5,IF(Settings!$G$56="",Settings!$B$5,Settings!$G$56))-MAX($A47,Settings!$F$56)-MOD(IFERROR(MATCH(Settings!$E$56,$EO$4:$EO$10,0),0)-WEEKDAY(MAX($A47,Settings!$F$56)),7))/7)+1)),IF(AND(IF(Settings!$E$56="",$B47,DATE(YEAR($A47),MONTH($A47),MIN(Settings!$E$56,DAY($B47))))&gt;=MAX($A47,Settings!$F$56),IF(Settings!$E$56="",$B47,DATE(YEAR($A47),MONTH($A47),MIN(Settings!$E$56,DAY($B47))))&lt;=MIN(Settings!$B$5,IF(Settings!$G$56="",Settings!$B$5,Settings!$G$56))),1,0)))))</f>
        <v/>
      </c>
      <c r="FF47">
        <f>IF(Settings!$I$45="Yes",$G47,0)+IF(Settings!$I$46="Yes",$H47,0)+IF(Settings!$I$47="Yes",$I47,0)+IF(Settings!$I$48="Yes",$J47,0)+IF(Settings!$I$49="Yes",$K47,0)+IF(Settings!$I$50="Yes",$L47,0)+IF(Settings!$I$51="Yes",$M47,0)+IF(Settings!$I$52="Yes",$N47,0)+IF(Settings!$I$53="Yes",$O47,0)+IF(Settings!$I$54="Yes",$P47,0)+IF(Settings!$I$55="Yes",$Q47,0)+IF(Settings!$I$56="Yes",$R47,0)</f>
        <v/>
      </c>
      <c r="FG47">
        <f>IF(AND(Settings!$I$45="Yes",Settings!$J$45="No"),$G47,0)+IF(AND(Settings!$I$46="Yes",Settings!$J$46="No"),$H47,0)+IF(AND(Settings!$I$47="Yes",Settings!$J$47="No"),$I47,0)+IF(AND(Settings!$I$48="Yes",Settings!$J$48="No"),$J47,0)+IF(AND(Settings!$I$49="Yes",Settings!$J$49="No"),$K47,0)+IF(AND(Settings!$I$50="Yes",Settings!$J$50="No"),$L47,0)+IF(AND(Settings!$I$51="Yes",Settings!$J$51="No"),$M47,0)+IF(AND(Settings!$I$52="Yes",Settings!$J$52="No"),$N47,0)+IF(AND(Settings!$I$53="Yes",Settings!$J$53="No"),$O47,0)+IF(AND(Settings!$I$54="Yes",Settings!$J$54="No"),$P47,0)+IF(AND(Settings!$I$55="Yes",Settings!$J$55="No"),$Q47,0)+IF(AND(Settings!$I$56="Yes",Settings!$J$56="No"),$R47,0)</f>
        <v/>
      </c>
      <c r="FH47">
        <f>SUMIFS(Giving!$B$7:$B$2006,Giving!$A$7:$A$2006,"&gt;="&amp;$A47,Giving!$A$7:$A$2006,"&lt;="&amp;$B47,Giving!$G$7:$G$2006,"Yes")+IF(OR(OR(Settings!$B$60="",Settings!$F$60="No"),Settings!$H$60&lt;&gt;"Yes"),0,Settings!$B$60*IF(AND(IF(Settings!$C$60="",$B47,DATE(YEAR($A47),MONTH($A47),MIN(Settings!$C$60,DAY($B47))))&gt;=MAX($A47,Settings!$D$60),IF(Settings!$C$60="",$B47,DATE(YEAR($A47),MONTH($A47),MIN(Settings!$C$60,DAY($B47))))&lt;=MIN($C47,IF(Settings!$E$60="",$C47,Settings!$E$60))),1,0))+IF(OR(OR(Settings!$B$61="",Settings!$F$61="No"),Settings!$H$61&lt;&gt;"Yes"),0,Settings!$B$61*IF(AND(IF(Settings!$C$61="",$B47,DATE(YEAR($A47),MONTH($A47),MIN(Settings!$C$61,DAY($B47))))&gt;=MAX($A47,Settings!$D$61),IF(Settings!$C$61="",$B47,DATE(YEAR($A47),MONTH($A47),MIN(Settings!$C$61,DAY($B47))))&lt;=MIN($C47,IF(Settings!$E$61="",$C47,Settings!$E$61))),1,0))+IF(OR(OR(Settings!$B$62="",Settings!$F$62="No"),Settings!$H$62&lt;&gt;"Yes"),0,Settings!$B$62*IF(AND(IF(Settings!$C$62="",$B47,DATE(YEAR($A47),MONTH($A47),MIN(Settings!$C$62,DAY($B47))))&gt;=MAX($A47,Settings!$D$62),IF(Settings!$C$62="",$B47,DATE(YEAR($A47),MONTH($A47),MIN(Settings!$C$62,DAY($B47))))&lt;=MIN($C47,IF(Settings!$E$62="",$C47,Settings!$E$62))),1,0))+IF(OR(OR(Settings!$B$63="",Settings!$F$63="No"),Settings!$H$63&lt;&gt;"Yes"),0,Settings!$B$63*IF(AND(IF(Settings!$C$63="",$B47,DATE(YEAR($A47),MONTH($A47),MIN(Settings!$C$63,DAY($B47))))&gt;=MAX($A47,Settings!$D$63),IF(Settings!$C$63="",$B47,DATE(YEAR($A47),MONTH($A47),MIN(Settings!$C$63,DAY($B47))))&lt;=MIN($C47,IF(Settings!$E$63="",$C47,Settings!$E$63))),1,0))+IF(OR(OR(Settings!$B$64="",Settings!$F$64="No"),Settings!$H$64&lt;&gt;"Yes"),0,Settings!$B$64*IF(AND(IF(Settings!$C$64="",$B47,DATE(YEAR($A47),MONTH($A47),MIN(Settings!$C$64,DAY($B47))))&gt;=MAX($A47,Settings!$D$64),IF(Settings!$C$64="",$B47,DATE(YEAR($A47),MONTH($A47),MIN(Settings!$C$64,DAY($B47))))&lt;=MIN($C47,IF(Settings!$E$64="",$C47,Settings!$E$64))),1,0))+IF(OR(OR(Settings!$B$65="",Settings!$F$65="No"),Settings!$H$65&lt;&gt;"Yes"),0,Settings!$B$65*IF(AND(IF(Settings!$C$65="",$B47,DATE(YEAR($A47),MONTH($A47),MIN(Settings!$C$65,DAY($B47))))&gt;=MAX($A47,Settings!$D$65),IF(Settings!$C$65="",$B47,DATE(YEAR($A47),MONTH($A47),MIN(Settings!$C$65,DAY($B47))))&lt;=MIN($C47,IF(Settings!$E$65="",$C47,Settings!$E$65))),1,0))</f>
        <v/>
      </c>
      <c r="FI47">
        <f>IF($DT47=1,IF(OR(Settings!$B$19="Card",Settings!$B$19="Loan"),N($AE47),0)+IF(OR(Settings!$B$20="Card",Settings!$B$20="Loan"),N($AF47),0)+IF(OR(Settings!$B$21="Card",Settings!$B$21="Loan"),N($AG47),0)+IF(OR(Settings!$B$22="Card",Settings!$B$22="Loan"),N($AH47),0)+IF(OR(Settings!$B$23="Card",Settings!$B$23="Loan"),N($AI47),0)+IF(OR(Settings!$B$24="Card",Settings!$B$24="Loan"),N($AJ47),0)+IF(OR(Settings!$B$25="Card",Settings!$B$25="Loan"),N($AK47),0)+IF(OR(Settings!$B$26="Card",Settings!$B$26="Loan"),N($AL47),0)+IF(OR(Settings!$B$27="Card",Settings!$B$27="Loan"),N($AM47),0)+IF(OR(Settings!$B$28="Card",Settings!$B$28="Loan"),N($AN47),0)+IF(OR(Settings!$B$29="Card",Settings!$B$29="Loan"),N($AO47),0)+IF(OR(Settings!$B$30="Card",Settings!$B$30="Loan"),N($AP47),0)+IF(OR(Settings!$B$31="Card",Settings!$B$31="Loan"),N($AQ47),0)+IF(OR(Settings!$B$32="Card",Settings!$B$32="Loan"),N($AR47),0),"")</f>
        <v/>
      </c>
      <c r="FJ47">
        <f>IF($E47="open",$EB$65,IF($E47="post",IF($E46="pre",$EB$65,$FI46),""))</f>
        <v/>
      </c>
      <c r="FK47">
        <f>IF(AND($DT47=1,$DC47=1),IF(ROUND($FI47-$FJ47,2)&gt;0,1,0),0)</f>
        <v/>
      </c>
      <c r="FL47">
        <f>IF($FK47=1,$FL46+1,0)</f>
        <v/>
      </c>
    </row>
    <row r="48">
      <c r="A48">
        <f>'Month-End'!$AS$4</f>
        <v/>
      </c>
      <c r="B48">
        <f>EOMONTH($A48,0)</f>
        <v/>
      </c>
      <c r="C48">
        <f>MIN($B48,TODAY())</f>
        <v/>
      </c>
      <c r="D48">
        <f>IF($A48&gt;TODAY(),1,0)</f>
        <v/>
      </c>
      <c r="E48">
        <f>IF($B48&lt;=Settings!$B$5,"pre",IF($A48&lt;=Settings!$B$5,"open","post"))</f>
        <v/>
      </c>
      <c r="G48">
        <f>IF('Month-End'!$AS$22="",$BE48,N('Month-End'!$AS$22))</f>
        <v/>
      </c>
      <c r="H48">
        <f>IF('Month-End'!$AS$23="",$BF48,N('Month-End'!$AS$23))</f>
        <v/>
      </c>
      <c r="I48">
        <f>IF('Month-End'!$AS$24="",$BG48,N('Month-End'!$AS$24))</f>
        <v/>
      </c>
      <c r="J48">
        <f>IF('Month-End'!$AS$25="",$BH48,N('Month-End'!$AS$25))</f>
        <v/>
      </c>
      <c r="K48">
        <f>IF('Month-End'!$AS$26="",$BI48,N('Month-End'!$AS$26))</f>
        <v/>
      </c>
      <c r="L48">
        <f>IF('Month-End'!$AS$27="",$BJ48,N('Month-End'!$AS$27))</f>
        <v/>
      </c>
      <c r="M48">
        <f>IF('Month-End'!$AS$28="",$BK48,N('Month-End'!$AS$28))</f>
        <v/>
      </c>
      <c r="N48">
        <f>IF('Month-End'!$AS$29="",$BL48,N('Month-End'!$AS$29))</f>
        <v/>
      </c>
      <c r="O48">
        <f>IF('Month-End'!$AS$30="",$BM48,N('Month-End'!$AS$30))</f>
        <v/>
      </c>
      <c r="P48">
        <f>IF('Month-End'!$AS$31="",$BN48,N('Month-End'!$AS$31))</f>
        <v/>
      </c>
      <c r="Q48">
        <f>IF('Month-End'!$AS$32="",$BO48,N('Month-End'!$AS$32))</f>
        <v/>
      </c>
      <c r="R48">
        <f>IF('Month-End'!$AS$33="",$BP48,N('Month-End'!$AS$33))</f>
        <v/>
      </c>
      <c r="S48">
        <f>$G48+$H48+$I48+$J48+$K48+$L48+$M48+$N48+$O48+$P48+$Q48+$R48</f>
        <v/>
      </c>
      <c r="T48">
        <f>IF($B48&lt;Settings!$B$6,0,IF(Settings!$B$45="Yes",$G48,0)+IF(Settings!$B$46="Yes",$H48,0)+IF(Settings!$B$47="Yes",$I48,0)+IF(Settings!$B$48="Yes",$J48,0)+IF(Settings!$B$49="Yes",$K48,0)+IF(Settings!$B$50="Yes",$L48,0)+IF(Settings!$B$51="Yes",$M48,0)+IF(Settings!$B$52="Yes",$N48,0)+IF(Settings!$B$53="Yes",$O48,0)+IF(Settings!$B$54="Yes",$P48,0)+IF(Settings!$B$55="Yes",$Q48,0)+IF(Settings!$B$56="Yes",$R48,0))</f>
        <v/>
      </c>
      <c r="U48">
        <f>IF(Settings!$B$45="Not Sure",$G48,0)+IF(Settings!$B$46="Not Sure",$H48,0)+IF(Settings!$B$47="Not Sure",$I48,0)+IF(Settings!$B$48="Not Sure",$J48,0)+IF(Settings!$B$49="Not Sure",$K48,0)+IF(Settings!$B$50="Not Sure",$L48,0)+IF(Settings!$B$51="Not Sure",$M48,0)+IF(Settings!$B$52="Not Sure",$N48,0)+IF(Settings!$B$53="Not Sure",$O48,0)+IF(Settings!$B$54="Not Sure",$P48,0)+IF(Settings!$B$55="Not Sure",$Q48,0)+IF(Settings!$B$56="Not Sure",$R48,0)</f>
        <v/>
      </c>
      <c r="V48">
        <f>IF($E48="open",SUM($ET48:$FE48)+N(Settings!$B$13),0)</f>
        <v/>
      </c>
      <c r="W48">
        <f>IF($E48="post",$S48,IF($E48="open",$S48-$V48,0))</f>
        <v/>
      </c>
      <c r="X48">
        <f>SUMIFS(Giving!$B$7:$B$2006,Giving!$A$7:$A$2006,"&gt;="&amp;$A48,Giving!$A$7:$A$2006,"&lt;="&amp;$B48,Giving!$E$7:$E$2006,"&lt;&gt;No")</f>
        <v/>
      </c>
      <c r="Y48">
        <f>SUMIFS(Giving!$B$7:$B$2006,Giving!$A$7:$A$2006,"&gt;="&amp;$A48,Giving!$A$7:$A$2006,"&lt;="&amp;$B48,Giving!$E$7:$E$2006,"No")</f>
        <v/>
      </c>
      <c r="Z48">
        <f>IF(OR(Settings!$B$60="",Settings!$F$60="No"),0,Settings!$B$60*IF(AND(IF(Settings!$C$60="",$B48,DATE(YEAR($A48),MONTH($A48),MIN(Settings!$C$60,DAY($B48))))&gt;=MAX($A48,Settings!$D$60),IF(Settings!$C$60="",$B48,DATE(YEAR($A48),MONTH($A48),MIN(Settings!$C$60,DAY($B48))))&lt;=MIN($C48,IF(Settings!$E$60="",$C48,Settings!$E$60))),1,0))+IF(OR(Settings!$B$61="",Settings!$F$61="No"),0,Settings!$B$61*IF(AND(IF(Settings!$C$61="",$B48,DATE(YEAR($A48),MONTH($A48),MIN(Settings!$C$61,DAY($B48))))&gt;=MAX($A48,Settings!$D$61),IF(Settings!$C$61="",$B48,DATE(YEAR($A48),MONTH($A48),MIN(Settings!$C$61,DAY($B48))))&lt;=MIN($C48,IF(Settings!$E$61="",$C48,Settings!$E$61))),1,0))+IF(OR(Settings!$B$62="",Settings!$F$62="No"),0,Settings!$B$62*IF(AND(IF(Settings!$C$62="",$B48,DATE(YEAR($A48),MONTH($A48),MIN(Settings!$C$62,DAY($B48))))&gt;=MAX($A48,Settings!$D$62),IF(Settings!$C$62="",$B48,DATE(YEAR($A48),MONTH($A48),MIN(Settings!$C$62,DAY($B48))))&lt;=MIN($C48,IF(Settings!$E$62="",$C48,Settings!$E$62))),1,0))+IF(OR(Settings!$B$63="",Settings!$F$63="No"),0,Settings!$B$63*IF(AND(IF(Settings!$C$63="",$B48,DATE(YEAR($A48),MONTH($A48),MIN(Settings!$C$63,DAY($B48))))&gt;=MAX($A48,Settings!$D$63),IF(Settings!$C$63="",$B48,DATE(YEAR($A48),MONTH($A48),MIN(Settings!$C$63,DAY($B48))))&lt;=MIN($C48,IF(Settings!$E$63="",$C48,Settings!$E$63))),1,0))+IF(OR(Settings!$B$64="",Settings!$F$64="No"),0,Settings!$B$64*IF(AND(IF(Settings!$C$64="",$B48,DATE(YEAR($A48),MONTH($A48),MIN(Settings!$C$64,DAY($B48))))&gt;=MAX($A48,Settings!$D$64),IF(Settings!$C$64="",$B48,DATE(YEAR($A48),MONTH($A48),MIN(Settings!$C$64,DAY($B48))))&lt;=MIN($C48,IF(Settings!$E$64="",$C48,Settings!$E$64))),1,0))+IF(OR(Settings!$B$65="",Settings!$F$65="No"),0,Settings!$B$65*IF(AND(IF(Settings!$C$65="",$B48,DATE(YEAR($A48),MONTH($A48),MIN(Settings!$C$65,DAY($B48))))&gt;=MAX($A48,Settings!$D$65),IF(Settings!$C$65="",$B48,DATE(YEAR($A48),MONTH($A48),MIN(Settings!$C$65,DAY($B48))))&lt;=MIN($C48,IF(Settings!$E$65="",$C48,Settings!$E$65))),1,0))</f>
        <v/>
      </c>
      <c r="AA48">
        <f>$X48+$Z48</f>
        <v/>
      </c>
      <c r="AB48">
        <f>IF($E48="post",$AA48,IF($E48="open",SUMIFS(Giving!$B$7:$B$2006,Giving!$A$7:$A$2006,"&gt;"&amp;Settings!$B$5,Giving!$A$7:$A$2006,"&lt;="&amp;$B48,Giving!$E$7:$E$2006,"&lt;&gt;No")+IF(OR(Settings!$B$60="",Settings!$F$60="No"),0,Settings!$B$60*IF(AND(IF(Settings!$C$60="",$B48,DATE(YEAR($A48),MONTH($A48),MIN(Settings!$C$60,DAY($B48))))&gt;=MAX($A48,Settings!$D$60,Settings!$B$5+1),IF(Settings!$C$60="",$B48,DATE(YEAR($A48),MONTH($A48),MIN(Settings!$C$60,DAY($B48))))&lt;=MIN($C48,IF(Settings!$E$60="",$C48,Settings!$E$60))),1,0))+IF(OR(Settings!$B$61="",Settings!$F$61="No"),0,Settings!$B$61*IF(AND(IF(Settings!$C$61="",$B48,DATE(YEAR($A48),MONTH($A48),MIN(Settings!$C$61,DAY($B48))))&gt;=MAX($A48,Settings!$D$61,Settings!$B$5+1),IF(Settings!$C$61="",$B48,DATE(YEAR($A48),MONTH($A48),MIN(Settings!$C$61,DAY($B48))))&lt;=MIN($C48,IF(Settings!$E$61="",$C48,Settings!$E$61))),1,0))+IF(OR(Settings!$B$62="",Settings!$F$62="No"),0,Settings!$B$62*IF(AND(IF(Settings!$C$62="",$B48,DATE(YEAR($A48),MONTH($A48),MIN(Settings!$C$62,DAY($B48))))&gt;=MAX($A48,Settings!$D$62,Settings!$B$5+1),IF(Settings!$C$62="",$B48,DATE(YEAR($A48),MONTH($A48),MIN(Settings!$C$62,DAY($B48))))&lt;=MIN($C48,IF(Settings!$E$62="",$C48,Settings!$E$62))),1,0))+IF(OR(Settings!$B$63="",Settings!$F$63="No"),0,Settings!$B$63*IF(AND(IF(Settings!$C$63="",$B48,DATE(YEAR($A48),MONTH($A48),MIN(Settings!$C$63,DAY($B48))))&gt;=MAX($A48,Settings!$D$63,Settings!$B$5+1),IF(Settings!$C$63="",$B48,DATE(YEAR($A48),MONTH($A48),MIN(Settings!$C$63,DAY($B48))))&lt;=MIN($C48,IF(Settings!$E$63="",$C48,Settings!$E$63))),1,0))+IF(OR(Settings!$B$64="",Settings!$F$64="No"),0,Settings!$B$64*IF(AND(IF(Settings!$C$64="",$B48,DATE(YEAR($A48),MONTH($A48),MIN(Settings!$C$64,DAY($B48))))&gt;=MAX($A48,Settings!$D$64,Settings!$B$5+1),IF(Settings!$C$64="",$B48,DATE(YEAR($A48),MONTH($A48),MIN(Settings!$C$64,DAY($B48))))&lt;=MIN($C48,IF(Settings!$E$64="",$C48,Settings!$E$64))),1,0))+IF(OR(Settings!$B$65="",Settings!$F$65="No"),0,Settings!$B$65*IF(AND(IF(Settings!$C$65="",$B48,DATE(YEAR($A48),MONTH($A48),MIN(Settings!$C$65,DAY($B48))))&gt;=MAX($A48,Settings!$D$65,Settings!$B$5+1),IF(Settings!$C$65="",$B48,DATE(YEAR($A48),MONTH($A48),MIN(Settings!$C$65,DAY($B48))))&lt;=MIN($C48,IF(Settings!$E$65="",$C48,Settings!$E$65))),1,0)),0))</f>
        <v/>
      </c>
      <c r="AC48">
        <f>$AY48+$AZ48+$BA48+$BB48+$BC48+$BD48</f>
        <v/>
      </c>
      <c r="AD48">
        <f>$AC48</f>
        <v/>
      </c>
      <c r="AE48">
        <f>IF(OR(Settings!$A$19="",$E48="pre"),"",IF(AND('Month-End'!$AS$7&lt;&gt;"",NOT(_xlfn.ISFORMULA('Month-End'!$AS$7))),N('Month-End'!$AS$7),IF(OR($E48="open",$E47="pre"),N(Settings!$C$19),N($AE47))))</f>
        <v/>
      </c>
      <c r="AF48">
        <f>IF(OR(Settings!$A$20="",$E48="pre"),"",IF(AND('Month-End'!$AS$8&lt;&gt;"",NOT(_xlfn.ISFORMULA('Month-End'!$AS$8))),N('Month-End'!$AS$8),IF(OR($E48="open",$E47="pre"),N(Settings!$C$20),N($AF47))))</f>
        <v/>
      </c>
      <c r="AG48">
        <f>IF(OR(Settings!$A$21="",$E48="pre"),"",IF(AND('Month-End'!$AS$9&lt;&gt;"",NOT(_xlfn.ISFORMULA('Month-End'!$AS$9))),N('Month-End'!$AS$9),IF(OR($E48="open",$E47="pre"),N(Settings!$C$21),N($AG47))))</f>
        <v/>
      </c>
      <c r="AH48">
        <f>IF(OR(Settings!$A$22="",$E48="pre"),"",IF(AND('Month-End'!$AS$10&lt;&gt;"",NOT(_xlfn.ISFORMULA('Month-End'!$AS$10))),N('Month-End'!$AS$10),IF(OR($E48="open",$E47="pre"),N(Settings!$C$22),N($AH47))))</f>
        <v/>
      </c>
      <c r="AI48">
        <f>IF(OR(Settings!$A$23="",$E48="pre"),"",IF(AND('Month-End'!$AS$11&lt;&gt;"",NOT(_xlfn.ISFORMULA('Month-End'!$AS$11))),N('Month-End'!$AS$11),IF(OR($E48="open",$E47="pre"),N(Settings!$C$23),N($AI47))))</f>
        <v/>
      </c>
      <c r="AJ48">
        <f>IF(OR(Settings!$A$24="",$E48="pre"),"",IF(AND('Month-End'!$AS$12&lt;&gt;"",NOT(_xlfn.ISFORMULA('Month-End'!$AS$12))),N('Month-End'!$AS$12),IF(OR($E48="open",$E47="pre"),N(Settings!$C$24),N($AJ47))))</f>
        <v/>
      </c>
      <c r="AK48">
        <f>IF(OR(Settings!$A$25="",$E48="pre"),"",IF(AND('Month-End'!$AS$13&lt;&gt;"",NOT(_xlfn.ISFORMULA('Month-End'!$AS$13))),N('Month-End'!$AS$13),IF(OR($E48="open",$E47="pre"),N(Settings!$C$25),N($AK47))))</f>
        <v/>
      </c>
      <c r="AL48">
        <f>IF(OR(Settings!$A$26="",$E48="pre"),"",IF(AND('Month-End'!$AS$14&lt;&gt;"",NOT(_xlfn.ISFORMULA('Month-End'!$AS$14))),N('Month-End'!$AS$14),IF(OR($E48="open",$E47="pre"),N(Settings!$C$26),N($AL47))))</f>
        <v/>
      </c>
      <c r="AM48">
        <f>IF(OR(Settings!$A$27="",$E48="pre"),"",IF(AND('Month-End'!$AS$15&lt;&gt;"",NOT(_xlfn.ISFORMULA('Month-End'!$AS$15))),N('Month-End'!$AS$15),IF(OR($E48="open",$E47="pre"),N(Settings!$C$27),N($AM47))))</f>
        <v/>
      </c>
      <c r="AN48">
        <f>IF(OR(Settings!$A$28="",$E48="pre"),"",IF(AND('Month-End'!$AS$16&lt;&gt;"",NOT(_xlfn.ISFORMULA('Month-End'!$AS$16))),N('Month-End'!$AS$16),IF(OR($E48="open",$E47="pre"),N(Settings!$C$28),N($AN47))))</f>
        <v/>
      </c>
      <c r="AO48">
        <f>IF(OR(Settings!$A$29="",$E48="pre"),"",IF(AND('Month-End'!$AS$17&lt;&gt;"",NOT(_xlfn.ISFORMULA('Month-End'!$AS$17))),N('Month-End'!$AS$17),IF(OR($E48="open",$E47="pre"),N(Settings!$C$29),N($AO47))))</f>
        <v/>
      </c>
      <c r="AP48">
        <f>IF(OR(Settings!$A$30="",$E48="pre"),"",IF(AND('Month-End'!$AS$18&lt;&gt;"",NOT(_xlfn.ISFORMULA('Month-End'!$AS$18))),N('Month-End'!$AS$18),IF(OR($E48="open",$E47="pre"),N(Settings!$C$30),N($AP47))))</f>
        <v/>
      </c>
      <c r="AQ48">
        <f>IF(OR(Settings!$A$31="",$E48="pre"),"",IF(AND('Month-End'!$AS$19&lt;&gt;"",NOT(_xlfn.ISFORMULA('Month-End'!$AS$19))),N('Month-End'!$AS$19),IF(OR($E48="open",$E47="pre"),N(Settings!$C$31),N($AQ47))))</f>
        <v/>
      </c>
      <c r="AR48">
        <f>IF(OR(Settings!$A$32="",$E48="pre"),"",IF(AND('Month-End'!$AS$20&lt;&gt;"",NOT(_xlfn.ISFORMULA('Month-End'!$AS$20))),N('Month-End'!$AS$20),IF(OR($E48="open",$E47="pre"),N(Settings!$C$32),N($AR47))))</f>
        <v/>
      </c>
      <c r="AS48">
        <f>IF(OR(Settings!$A$36="",$E48="pre"),"",IF(AND('Month-End'!$AS$38&lt;&gt;"",NOT(_xlfn.ISFORMULA('Month-End'!$AS$38))),N('Month-End'!$AS$38),IF(OR($E48="open",$E47="pre"),N(Settings!$C$36),N($AS47))+$AY48))</f>
        <v/>
      </c>
      <c r="AT48">
        <f>IF(OR(Settings!$A$37="",$E48="pre"),"",IF(AND('Month-End'!$AS$39&lt;&gt;"",NOT(_xlfn.ISFORMULA('Month-End'!$AS$39))),N('Month-End'!$AS$39),IF(OR($E48="open",$E47="pre"),N(Settings!$C$37),N($AT47))+$AZ48))</f>
        <v/>
      </c>
      <c r="AU48">
        <f>IF(OR(Settings!$A$38="",$E48="pre"),"",IF(AND('Month-End'!$AS$40&lt;&gt;"",NOT(_xlfn.ISFORMULA('Month-End'!$AS$40))),N('Month-End'!$AS$40),IF(OR($E48="open",$E47="pre"),N(Settings!$C$38),N($AU47))+$BA48))</f>
        <v/>
      </c>
      <c r="AV48">
        <f>IF(OR(Settings!$A$39="",$E48="pre"),"",IF(AND('Month-End'!$AS$41&lt;&gt;"",NOT(_xlfn.ISFORMULA('Month-End'!$AS$41))),N('Month-End'!$AS$41),IF(OR($E48="open",$E47="pre"),N(Settings!$C$39),N($AV47))+$BB48))</f>
        <v/>
      </c>
      <c r="AW48">
        <f>IF(OR(Settings!$A$40="",$E48="pre"),"",IF(AND('Month-End'!$AS$42&lt;&gt;"",NOT(_xlfn.ISFORMULA('Month-End'!$AS$42))),N('Month-End'!$AS$42),IF(OR($E48="open",$E47="pre"),N(Settings!$C$40),N($AW47))+$BC48))</f>
        <v/>
      </c>
      <c r="AX48">
        <f>IF(OR(Settings!$A$41="",$E48="pre"),"",IF(AND('Month-End'!$AS$43&lt;&gt;"",NOT(_xlfn.ISFORMULA('Month-End'!$AS$43))),N('Month-End'!$AS$43),IF(OR($E48="open",$E47="pre"),N(Settings!$C$41),N($AX47))+$BD48))</f>
        <v/>
      </c>
      <c r="AY48">
        <f>IF($E48="pre",0,N('Month-End'!$AS$45))</f>
        <v/>
      </c>
      <c r="AZ48">
        <f>IF($E48="pre",0,N('Month-End'!$AS$46))</f>
        <v/>
      </c>
      <c r="BA48">
        <f>IF($E48="pre",0,N('Month-End'!$AS$47))</f>
        <v/>
      </c>
      <c r="BB48">
        <f>IF($E48="pre",0,N('Month-End'!$AS$48))</f>
        <v/>
      </c>
      <c r="BC48">
        <f>IF($E48="pre",0,N('Month-End'!$AS$49))</f>
        <v/>
      </c>
      <c r="BD48">
        <f>IF($E48="pre",0,N('Month-End'!$AS$50))</f>
        <v/>
      </c>
      <c r="BE48">
        <f>IF(OR(Settings!$C$45="",Settings!$D$45=""),0,Settings!$C$45*IF(Settings!$D$45="Weekly",IF(IFERROR(MATCH(Settings!$E$45,$EO$4:$EO$10,0),0)=0,0,IF(MIN($C48,IF(Settings!$G$45="",$C48,Settings!$G$45))&lt;MAX($A48,Settings!$F$45),0,INT((MIN($C48,IF(Settings!$G$45="",$C48,Settings!$G$45))-MAX($A48,Settings!$F$45)-MOD(IFERROR(MATCH(Settings!$E$45,$EO$4:$EO$10,0),0)-WEEKDAY(MAX($A48,Settings!$F$45)),7))/7)+1)),IF(AND(IF(Settings!$E$45="",$B48,DATE(YEAR($A48),MONTH($A48),MIN(Settings!$E$45,DAY($B48))))&gt;=MAX($A48,Settings!$F$45),IF(Settings!$E$45="",$B48,DATE(YEAR($A48),MONTH($A48),MIN(Settings!$E$45,DAY($B48))))&lt;=MIN($C48,IF(Settings!$G$45="",$C48,Settings!$G$45))),1,0)))</f>
        <v/>
      </c>
      <c r="BF48">
        <f>IF(OR(Settings!$C$46="",Settings!$D$46=""),0,Settings!$C$46*IF(Settings!$D$46="Weekly",IF(IFERROR(MATCH(Settings!$E$46,$EO$4:$EO$10,0),0)=0,0,IF(MIN($C48,IF(Settings!$G$46="",$C48,Settings!$G$46))&lt;MAX($A48,Settings!$F$46),0,INT((MIN($C48,IF(Settings!$G$46="",$C48,Settings!$G$46))-MAX($A48,Settings!$F$46)-MOD(IFERROR(MATCH(Settings!$E$46,$EO$4:$EO$10,0),0)-WEEKDAY(MAX($A48,Settings!$F$46)),7))/7)+1)),IF(AND(IF(Settings!$E$46="",$B48,DATE(YEAR($A48),MONTH($A48),MIN(Settings!$E$46,DAY($B48))))&gt;=MAX($A48,Settings!$F$46),IF(Settings!$E$46="",$B48,DATE(YEAR($A48),MONTH($A48),MIN(Settings!$E$46,DAY($B48))))&lt;=MIN($C48,IF(Settings!$G$46="",$C48,Settings!$G$46))),1,0)))</f>
        <v/>
      </c>
      <c r="BG48">
        <f>IF(OR(Settings!$C$47="",Settings!$D$47=""),0,Settings!$C$47*IF(Settings!$D$47="Weekly",IF(IFERROR(MATCH(Settings!$E$47,$EO$4:$EO$10,0),0)=0,0,IF(MIN($C48,IF(Settings!$G$47="",$C48,Settings!$G$47))&lt;MAX($A48,Settings!$F$47),0,INT((MIN($C48,IF(Settings!$G$47="",$C48,Settings!$G$47))-MAX($A48,Settings!$F$47)-MOD(IFERROR(MATCH(Settings!$E$47,$EO$4:$EO$10,0),0)-WEEKDAY(MAX($A48,Settings!$F$47)),7))/7)+1)),IF(AND(IF(Settings!$E$47="",$B48,DATE(YEAR($A48),MONTH($A48),MIN(Settings!$E$47,DAY($B48))))&gt;=MAX($A48,Settings!$F$47),IF(Settings!$E$47="",$B48,DATE(YEAR($A48),MONTH($A48),MIN(Settings!$E$47,DAY($B48))))&lt;=MIN($C48,IF(Settings!$G$47="",$C48,Settings!$G$47))),1,0)))</f>
        <v/>
      </c>
      <c r="BH48">
        <f>IF(OR(Settings!$C$48="",Settings!$D$48=""),0,Settings!$C$48*IF(Settings!$D$48="Weekly",IF(IFERROR(MATCH(Settings!$E$48,$EO$4:$EO$10,0),0)=0,0,IF(MIN($C48,IF(Settings!$G$48="",$C48,Settings!$G$48))&lt;MAX($A48,Settings!$F$48),0,INT((MIN($C48,IF(Settings!$G$48="",$C48,Settings!$G$48))-MAX($A48,Settings!$F$48)-MOD(IFERROR(MATCH(Settings!$E$48,$EO$4:$EO$10,0),0)-WEEKDAY(MAX($A48,Settings!$F$48)),7))/7)+1)),IF(AND(IF(Settings!$E$48="",$B48,DATE(YEAR($A48),MONTH($A48),MIN(Settings!$E$48,DAY($B48))))&gt;=MAX($A48,Settings!$F$48),IF(Settings!$E$48="",$B48,DATE(YEAR($A48),MONTH($A48),MIN(Settings!$E$48,DAY($B48))))&lt;=MIN($C48,IF(Settings!$G$48="",$C48,Settings!$G$48))),1,0)))</f>
        <v/>
      </c>
      <c r="BI48">
        <f>IF(OR(Settings!$C$49="",Settings!$D$49=""),0,Settings!$C$49*IF(Settings!$D$49="Weekly",IF(IFERROR(MATCH(Settings!$E$49,$EO$4:$EO$10,0),0)=0,0,IF(MIN($C48,IF(Settings!$G$49="",$C48,Settings!$G$49))&lt;MAX($A48,Settings!$F$49),0,INT((MIN($C48,IF(Settings!$G$49="",$C48,Settings!$G$49))-MAX($A48,Settings!$F$49)-MOD(IFERROR(MATCH(Settings!$E$49,$EO$4:$EO$10,0),0)-WEEKDAY(MAX($A48,Settings!$F$49)),7))/7)+1)),IF(AND(IF(Settings!$E$49="",$B48,DATE(YEAR($A48),MONTH($A48),MIN(Settings!$E$49,DAY($B48))))&gt;=MAX($A48,Settings!$F$49),IF(Settings!$E$49="",$B48,DATE(YEAR($A48),MONTH($A48),MIN(Settings!$E$49,DAY($B48))))&lt;=MIN($C48,IF(Settings!$G$49="",$C48,Settings!$G$49))),1,0)))</f>
        <v/>
      </c>
      <c r="BJ48">
        <f>IF(OR(Settings!$C$50="",Settings!$D$50=""),0,Settings!$C$50*IF(Settings!$D$50="Weekly",IF(IFERROR(MATCH(Settings!$E$50,$EO$4:$EO$10,0),0)=0,0,IF(MIN($C48,IF(Settings!$G$50="",$C48,Settings!$G$50))&lt;MAX($A48,Settings!$F$50),0,INT((MIN($C48,IF(Settings!$G$50="",$C48,Settings!$G$50))-MAX($A48,Settings!$F$50)-MOD(IFERROR(MATCH(Settings!$E$50,$EO$4:$EO$10,0),0)-WEEKDAY(MAX($A48,Settings!$F$50)),7))/7)+1)),IF(AND(IF(Settings!$E$50="",$B48,DATE(YEAR($A48),MONTH($A48),MIN(Settings!$E$50,DAY($B48))))&gt;=MAX($A48,Settings!$F$50),IF(Settings!$E$50="",$B48,DATE(YEAR($A48),MONTH($A48),MIN(Settings!$E$50,DAY($B48))))&lt;=MIN($C48,IF(Settings!$G$50="",$C48,Settings!$G$50))),1,0)))</f>
        <v/>
      </c>
      <c r="BK48">
        <f>IF(OR(Settings!$C$51="",Settings!$D$51=""),0,Settings!$C$51*IF(Settings!$D$51="Weekly",IF(IFERROR(MATCH(Settings!$E$51,$EO$4:$EO$10,0),0)=0,0,IF(MIN($C48,IF(Settings!$G$51="",$C48,Settings!$G$51))&lt;MAX($A48,Settings!$F$51),0,INT((MIN($C48,IF(Settings!$G$51="",$C48,Settings!$G$51))-MAX($A48,Settings!$F$51)-MOD(IFERROR(MATCH(Settings!$E$51,$EO$4:$EO$10,0),0)-WEEKDAY(MAX($A48,Settings!$F$51)),7))/7)+1)),IF(AND(IF(Settings!$E$51="",$B48,DATE(YEAR($A48),MONTH($A48),MIN(Settings!$E$51,DAY($B48))))&gt;=MAX($A48,Settings!$F$51),IF(Settings!$E$51="",$B48,DATE(YEAR($A48),MONTH($A48),MIN(Settings!$E$51,DAY($B48))))&lt;=MIN($C48,IF(Settings!$G$51="",$C48,Settings!$G$51))),1,0)))</f>
        <v/>
      </c>
      <c r="BL48">
        <f>IF(OR(Settings!$C$52="",Settings!$D$52=""),0,Settings!$C$52*IF(Settings!$D$52="Weekly",IF(IFERROR(MATCH(Settings!$E$52,$EO$4:$EO$10,0),0)=0,0,IF(MIN($C48,IF(Settings!$G$52="",$C48,Settings!$G$52))&lt;MAX($A48,Settings!$F$52),0,INT((MIN($C48,IF(Settings!$G$52="",$C48,Settings!$G$52))-MAX($A48,Settings!$F$52)-MOD(IFERROR(MATCH(Settings!$E$52,$EO$4:$EO$10,0),0)-WEEKDAY(MAX($A48,Settings!$F$52)),7))/7)+1)),IF(AND(IF(Settings!$E$52="",$B48,DATE(YEAR($A48),MONTH($A48),MIN(Settings!$E$52,DAY($B48))))&gt;=MAX($A48,Settings!$F$52),IF(Settings!$E$52="",$B48,DATE(YEAR($A48),MONTH($A48),MIN(Settings!$E$52,DAY($B48))))&lt;=MIN($C48,IF(Settings!$G$52="",$C48,Settings!$G$52))),1,0)))</f>
        <v/>
      </c>
      <c r="BM48">
        <f>IF(OR(Settings!$C$53="",Settings!$D$53=""),0,Settings!$C$53*IF(Settings!$D$53="Weekly",IF(IFERROR(MATCH(Settings!$E$53,$EO$4:$EO$10,0),0)=0,0,IF(MIN($C48,IF(Settings!$G$53="",$C48,Settings!$G$53))&lt;MAX($A48,Settings!$F$53),0,INT((MIN($C48,IF(Settings!$G$53="",$C48,Settings!$G$53))-MAX($A48,Settings!$F$53)-MOD(IFERROR(MATCH(Settings!$E$53,$EO$4:$EO$10,0),0)-WEEKDAY(MAX($A48,Settings!$F$53)),7))/7)+1)),IF(AND(IF(Settings!$E$53="",$B48,DATE(YEAR($A48),MONTH($A48),MIN(Settings!$E$53,DAY($B48))))&gt;=MAX($A48,Settings!$F$53),IF(Settings!$E$53="",$B48,DATE(YEAR($A48),MONTH($A48),MIN(Settings!$E$53,DAY($B48))))&lt;=MIN($C48,IF(Settings!$G$53="",$C48,Settings!$G$53))),1,0)))</f>
        <v/>
      </c>
      <c r="BN48">
        <f>IF(OR(Settings!$C$54="",Settings!$D$54=""),0,Settings!$C$54*IF(Settings!$D$54="Weekly",IF(IFERROR(MATCH(Settings!$E$54,$EO$4:$EO$10,0),0)=0,0,IF(MIN($C48,IF(Settings!$G$54="",$C48,Settings!$G$54))&lt;MAX($A48,Settings!$F$54),0,INT((MIN($C48,IF(Settings!$G$54="",$C48,Settings!$G$54))-MAX($A48,Settings!$F$54)-MOD(IFERROR(MATCH(Settings!$E$54,$EO$4:$EO$10,0),0)-WEEKDAY(MAX($A48,Settings!$F$54)),7))/7)+1)),IF(AND(IF(Settings!$E$54="",$B48,DATE(YEAR($A48),MONTH($A48),MIN(Settings!$E$54,DAY($B48))))&gt;=MAX($A48,Settings!$F$54),IF(Settings!$E$54="",$B48,DATE(YEAR($A48),MONTH($A48),MIN(Settings!$E$54,DAY($B48))))&lt;=MIN($C48,IF(Settings!$G$54="",$C48,Settings!$G$54))),1,0)))</f>
        <v/>
      </c>
      <c r="BO48">
        <f>IF(OR(Settings!$C$55="",Settings!$D$55=""),0,Settings!$C$55*IF(Settings!$D$55="Weekly",IF(IFERROR(MATCH(Settings!$E$55,$EO$4:$EO$10,0),0)=0,0,IF(MIN($C48,IF(Settings!$G$55="",$C48,Settings!$G$55))&lt;MAX($A48,Settings!$F$55),0,INT((MIN($C48,IF(Settings!$G$55="",$C48,Settings!$G$55))-MAX($A48,Settings!$F$55)-MOD(IFERROR(MATCH(Settings!$E$55,$EO$4:$EO$10,0),0)-WEEKDAY(MAX($A48,Settings!$F$55)),7))/7)+1)),IF(AND(IF(Settings!$E$55="",$B48,DATE(YEAR($A48),MONTH($A48),MIN(Settings!$E$55,DAY($B48))))&gt;=MAX($A48,Settings!$F$55),IF(Settings!$E$55="",$B48,DATE(YEAR($A48),MONTH($A48),MIN(Settings!$E$55,DAY($B48))))&lt;=MIN($C48,IF(Settings!$G$55="",$C48,Settings!$G$55))),1,0)))</f>
        <v/>
      </c>
      <c r="BP48">
        <f>IF(OR(Settings!$C$56="",Settings!$D$56=""),0,Settings!$C$56*IF(Settings!$D$56="Weekly",IF(IFERROR(MATCH(Settings!$E$56,$EO$4:$EO$10,0),0)=0,0,IF(MIN($C48,IF(Settings!$G$56="",$C48,Settings!$G$56))&lt;MAX($A48,Settings!$F$56),0,INT((MIN($C48,IF(Settings!$G$56="",$C48,Settings!$G$56))-MAX($A48,Settings!$F$56)-MOD(IFERROR(MATCH(Settings!$E$56,$EO$4:$EO$10,0),0)-WEEKDAY(MAX($A48,Settings!$F$56)),7))/7)+1)),IF(AND(IF(Settings!$E$56="",$B48,DATE(YEAR($A48),MONTH($A48),MIN(Settings!$E$56,DAY($B48))))&gt;=MAX($A48,Settings!$F$56),IF(Settings!$E$56="",$B48,DATE(YEAR($A48),MONTH($A48),MIN(Settings!$E$56,DAY($B48))))&lt;=MIN($C48,IF(Settings!$G$56="",$C48,Settings!$G$56))),1,0)))</f>
        <v/>
      </c>
      <c r="BQ48">
        <f>IF(OR(Settings!$B$14="",$D48=1,$E48="pre",$A48&lt;IF(Settings!$B$15="",0,Settings!$B$15)),0,Settings!$B$14)</f>
        <v/>
      </c>
      <c r="BR48">
        <f>IF(AND('Month-End'!$AS$7&lt;&gt;"",NOT(_xlfn.ISFORMULA('Month-End'!$AS$7))),1,0)</f>
        <v/>
      </c>
      <c r="BS48">
        <f>IF(AND('Month-End'!$AS$8&lt;&gt;"",NOT(_xlfn.ISFORMULA('Month-End'!$AS$8))),1,0)</f>
        <v/>
      </c>
      <c r="BT48">
        <f>IF(AND('Month-End'!$AS$9&lt;&gt;"",NOT(_xlfn.ISFORMULA('Month-End'!$AS$9))),1,0)</f>
        <v/>
      </c>
      <c r="BU48">
        <f>IF(AND('Month-End'!$AS$10&lt;&gt;"",NOT(_xlfn.ISFORMULA('Month-End'!$AS$10))),1,0)</f>
        <v/>
      </c>
      <c r="BV48">
        <f>IF(AND('Month-End'!$AS$11&lt;&gt;"",NOT(_xlfn.ISFORMULA('Month-End'!$AS$11))),1,0)</f>
        <v/>
      </c>
      <c r="BW48">
        <f>IF(AND('Month-End'!$AS$12&lt;&gt;"",NOT(_xlfn.ISFORMULA('Month-End'!$AS$12))),1,0)</f>
        <v/>
      </c>
      <c r="BX48">
        <f>IF(AND('Month-End'!$AS$13&lt;&gt;"",NOT(_xlfn.ISFORMULA('Month-End'!$AS$13))),1,0)</f>
        <v/>
      </c>
      <c r="BY48">
        <f>IF(AND('Month-End'!$AS$14&lt;&gt;"",NOT(_xlfn.ISFORMULA('Month-End'!$AS$14))),1,0)</f>
        <v/>
      </c>
      <c r="BZ48">
        <f>IF(AND('Month-End'!$AS$15&lt;&gt;"",NOT(_xlfn.ISFORMULA('Month-End'!$AS$15))),1,0)</f>
        <v/>
      </c>
      <c r="CA48">
        <f>IF(AND('Month-End'!$AS$16&lt;&gt;"",NOT(_xlfn.ISFORMULA('Month-End'!$AS$16))),1,0)</f>
        <v/>
      </c>
      <c r="CB48">
        <f>IF(AND('Month-End'!$AS$17&lt;&gt;"",NOT(_xlfn.ISFORMULA('Month-End'!$AS$17))),1,0)</f>
        <v/>
      </c>
      <c r="CC48">
        <f>IF(AND('Month-End'!$AS$18&lt;&gt;"",NOT(_xlfn.ISFORMULA('Month-End'!$AS$18))),1,0)</f>
        <v/>
      </c>
      <c r="CD48">
        <f>IF(AND('Month-End'!$AS$19&lt;&gt;"",NOT(_xlfn.ISFORMULA('Month-End'!$AS$19))),1,0)</f>
        <v/>
      </c>
      <c r="CE48">
        <f>IF(AND('Month-End'!$AS$20&lt;&gt;"",NOT(_xlfn.ISFORMULA('Month-End'!$AS$20))),1,0)</f>
        <v/>
      </c>
      <c r="CF48">
        <f>IF(AND('Month-End'!$AS$38&lt;&gt;"",NOT(_xlfn.ISFORMULA('Month-End'!$AS$38))),1,0)</f>
        <v/>
      </c>
      <c r="CG48">
        <f>IF(AND('Month-End'!$AS$39&lt;&gt;"",NOT(_xlfn.ISFORMULA('Month-End'!$AS$39))),1,0)</f>
        <v/>
      </c>
      <c r="CH48">
        <f>IF(AND('Month-End'!$AS$40&lt;&gt;"",NOT(_xlfn.ISFORMULA('Month-End'!$AS$40))),1,0)</f>
        <v/>
      </c>
      <c r="CI48">
        <f>IF(AND('Month-End'!$AS$41&lt;&gt;"",NOT(_xlfn.ISFORMULA('Month-End'!$AS$41))),1,0)</f>
        <v/>
      </c>
      <c r="CJ48">
        <f>IF(AND('Month-End'!$AS$42&lt;&gt;"",NOT(_xlfn.ISFORMULA('Month-End'!$AS$42))),1,0)</f>
        <v/>
      </c>
      <c r="CK48">
        <f>IF(AND('Month-End'!$AS$43&lt;&gt;"",NOT(_xlfn.ISFORMULA('Month-End'!$AS$43))),1,0)</f>
        <v/>
      </c>
      <c r="CL48">
        <f>SUM($CM48:$CZ48)</f>
        <v/>
      </c>
      <c r="CM48">
        <f>IF(AND($E48&lt;&gt;"pre",AND(Settings!$A$19&lt;&gt;"",Settings!$E$19&lt;&gt;"No"),Settings!$F$19="Yes",NOT(AND('Month-End'!$AS$7&lt;&gt;"",NOT(_xlfn.ISFORMULA('Month-End'!$AS$7))))),1,0)</f>
        <v/>
      </c>
      <c r="CN48">
        <f>IF(AND($E48&lt;&gt;"pre",AND(Settings!$A$20&lt;&gt;"",Settings!$E$20&lt;&gt;"No"),Settings!$F$20="Yes",NOT(AND('Month-End'!$AS$8&lt;&gt;"",NOT(_xlfn.ISFORMULA('Month-End'!$AS$8))))),1,0)</f>
        <v/>
      </c>
      <c r="CO48">
        <f>IF(AND($E48&lt;&gt;"pre",AND(Settings!$A$21&lt;&gt;"",Settings!$E$21&lt;&gt;"No"),Settings!$F$21="Yes",NOT(AND('Month-End'!$AS$9&lt;&gt;"",NOT(_xlfn.ISFORMULA('Month-End'!$AS$9))))),1,0)</f>
        <v/>
      </c>
      <c r="CP48">
        <f>IF(AND($E48&lt;&gt;"pre",AND(Settings!$A$22&lt;&gt;"",Settings!$E$22&lt;&gt;"No"),Settings!$F$22="Yes",NOT(AND('Month-End'!$AS$10&lt;&gt;"",NOT(_xlfn.ISFORMULA('Month-End'!$AS$10))))),1,0)</f>
        <v/>
      </c>
      <c r="CQ48">
        <f>IF(AND($E48&lt;&gt;"pre",AND(Settings!$A$23&lt;&gt;"",Settings!$E$23&lt;&gt;"No"),Settings!$F$23="Yes",NOT(AND('Month-End'!$AS$11&lt;&gt;"",NOT(_xlfn.ISFORMULA('Month-End'!$AS$11))))),1,0)</f>
        <v/>
      </c>
      <c r="CR48">
        <f>IF(AND($E48&lt;&gt;"pre",AND(Settings!$A$24&lt;&gt;"",Settings!$E$24&lt;&gt;"No"),Settings!$F$24="Yes",NOT(AND('Month-End'!$AS$12&lt;&gt;"",NOT(_xlfn.ISFORMULA('Month-End'!$AS$12))))),1,0)</f>
        <v/>
      </c>
      <c r="CS48">
        <f>IF(AND($E48&lt;&gt;"pre",AND(Settings!$A$25&lt;&gt;"",Settings!$E$25&lt;&gt;"No"),Settings!$F$25="Yes",NOT(AND('Month-End'!$AS$13&lt;&gt;"",NOT(_xlfn.ISFORMULA('Month-End'!$AS$13))))),1,0)</f>
        <v/>
      </c>
      <c r="CT48">
        <f>IF(AND($E48&lt;&gt;"pre",AND(Settings!$A$26&lt;&gt;"",Settings!$E$26&lt;&gt;"No"),Settings!$F$26="Yes",NOT(AND('Month-End'!$AS$14&lt;&gt;"",NOT(_xlfn.ISFORMULA('Month-End'!$AS$14))))),1,0)</f>
        <v/>
      </c>
      <c r="CU48">
        <f>IF(AND($E48&lt;&gt;"pre",AND(Settings!$A$27&lt;&gt;"",Settings!$E$27&lt;&gt;"No"),Settings!$F$27="Yes",NOT(AND('Month-End'!$AS$15&lt;&gt;"",NOT(_xlfn.ISFORMULA('Month-End'!$AS$15))))),1,0)</f>
        <v/>
      </c>
      <c r="CV48">
        <f>IF(AND($E48&lt;&gt;"pre",AND(Settings!$A$28&lt;&gt;"",Settings!$E$28&lt;&gt;"No"),Settings!$F$28="Yes",NOT(AND('Month-End'!$AS$16&lt;&gt;"",NOT(_xlfn.ISFORMULA('Month-End'!$AS$16))))),1,0)</f>
        <v/>
      </c>
      <c r="CW48">
        <f>IF(AND($E48&lt;&gt;"pre",AND(Settings!$A$29&lt;&gt;"",Settings!$E$29&lt;&gt;"No"),Settings!$F$29="Yes",NOT(AND('Month-End'!$AS$17&lt;&gt;"",NOT(_xlfn.ISFORMULA('Month-End'!$AS$17))))),1,0)</f>
        <v/>
      </c>
      <c r="CX48">
        <f>IF(AND($E48&lt;&gt;"pre",AND(Settings!$A$30&lt;&gt;"",Settings!$E$30&lt;&gt;"No"),Settings!$F$30="Yes",NOT(AND('Month-End'!$AS$18&lt;&gt;"",NOT(_xlfn.ISFORMULA('Month-End'!$AS$18))))),1,0)</f>
        <v/>
      </c>
      <c r="CY48">
        <f>IF(AND($E48&lt;&gt;"pre",AND(Settings!$A$31&lt;&gt;"",Settings!$E$31&lt;&gt;"No"),Settings!$F$31="Yes",NOT(AND('Month-End'!$AS$19&lt;&gt;"",NOT(_xlfn.ISFORMULA('Month-End'!$AS$19))))),1,0)</f>
        <v/>
      </c>
      <c r="CZ48">
        <f>IF(AND($E48&lt;&gt;"pre",AND(Settings!$A$32&lt;&gt;"",Settings!$E$32&lt;&gt;"No"),Settings!$F$32="Yes",NOT(AND('Month-End'!$AS$20&lt;&gt;"",NOT(_xlfn.ISFORMULA('Month-End'!$AS$20))))),1,0)</f>
        <v/>
      </c>
      <c r="DA48">
        <f>IF($DT48=1,IF(OR(Settings!$B$19="Checking",Settings!$B$19="Savings",Settings!$B$19="Cash"),N($AE48),IF(OR(Settings!$B$19="Card",Settings!$B$19="Loan"),-N($AE48),0))+IF(OR(Settings!$B$20="Checking",Settings!$B$20="Savings",Settings!$B$20="Cash"),N($AF48),IF(OR(Settings!$B$20="Card",Settings!$B$20="Loan"),-N($AF48),0))+IF(OR(Settings!$B$21="Checking",Settings!$B$21="Savings",Settings!$B$21="Cash"),N($AG48),IF(OR(Settings!$B$21="Card",Settings!$B$21="Loan"),-N($AG48),0))+IF(OR(Settings!$B$22="Checking",Settings!$B$22="Savings",Settings!$B$22="Cash"),N($AH48),IF(OR(Settings!$B$22="Card",Settings!$B$22="Loan"),-N($AH48),0))+IF(OR(Settings!$B$23="Checking",Settings!$B$23="Savings",Settings!$B$23="Cash"),N($AI48),IF(OR(Settings!$B$23="Card",Settings!$B$23="Loan"),-N($AI48),0))+IF(OR(Settings!$B$24="Checking",Settings!$B$24="Savings",Settings!$B$24="Cash"),N($AJ48),IF(OR(Settings!$B$24="Card",Settings!$B$24="Loan"),-N($AJ48),0))+IF(OR(Settings!$B$25="Checking",Settings!$B$25="Savings",Settings!$B$25="Cash"),N($AK48),IF(OR(Settings!$B$25="Card",Settings!$B$25="Loan"),-N($AK48),0))+IF(OR(Settings!$B$26="Checking",Settings!$B$26="Savings",Settings!$B$26="Cash"),N($AL48),IF(OR(Settings!$B$26="Card",Settings!$B$26="Loan"),-N($AL48),0))+IF(OR(Settings!$B$27="Checking",Settings!$B$27="Savings",Settings!$B$27="Cash"),N($AM48),IF(OR(Settings!$B$27="Card",Settings!$B$27="Loan"),-N($AM48),0))+IF(OR(Settings!$B$28="Checking",Settings!$B$28="Savings",Settings!$B$28="Cash"),N($AN48),IF(OR(Settings!$B$28="Card",Settings!$B$28="Loan"),-N($AN48),0))+IF(OR(Settings!$B$29="Checking",Settings!$B$29="Savings",Settings!$B$29="Cash"),N($AO48),IF(OR(Settings!$B$29="Card",Settings!$B$29="Loan"),-N($AO48),0))+IF(OR(Settings!$B$30="Checking",Settings!$B$30="Savings",Settings!$B$30="Cash"),N($AP48),IF(OR(Settings!$B$30="Card",Settings!$B$30="Loan"),-N($AP48),0))+IF(OR(Settings!$B$31="Checking",Settings!$B$31="Savings",Settings!$B$31="Cash"),N($AQ48),IF(OR(Settings!$B$31="Card",Settings!$B$31="Loan"),-N($AQ48),0))+IF(OR(Settings!$B$32="Checking",Settings!$B$32="Savings",Settings!$B$32="Cash"),N($AR48),IF(OR(Settings!$B$32="Card",Settings!$B$32="Loan"),-N($AR48),0)),"")</f>
        <v/>
      </c>
      <c r="DB48">
        <f>IF($E48="open",$EB$27,IF($E48="post",IF($E47="pre",$EB$27,$DA47),""))</f>
        <v/>
      </c>
      <c r="DC48">
        <f>IF($E48="open",1,IF($E48="post",IF($E47="pre",1,$DT47),0))</f>
        <v/>
      </c>
      <c r="DD48">
        <f>IF(AND($DT48=1,$DC48=1),ROUND($W48-($DA48-$DB48)-$AD48-$AB48,2),"")</f>
        <v/>
      </c>
      <c r="DE48">
        <f>IF('Month-End'!$AS$35="",$BQ48,N('Month-End'!$AS$35))</f>
        <v/>
      </c>
      <c r="DF48">
        <f>N('Month-End'!$AS$36)</f>
        <v/>
      </c>
      <c r="DG48">
        <f>IF($DD48="","",$DD48+$DE48)</f>
        <v/>
      </c>
      <c r="DH48">
        <f>IF($DG48="","",$DG48-$DF48)</f>
        <v/>
      </c>
      <c r="DI48">
        <f>IF(OR($E48="pre",$D48=1),"",N($AS48)+N($AT48)+N($AU48)+N($AV48)+N($AW48)+N($AX48))</f>
        <v/>
      </c>
      <c r="DJ48">
        <f>IF($DT48=1,$DA48+N($DI48),"")</f>
        <v/>
      </c>
      <c r="DK48">
        <f>IF($DD48="","",$W48-$DD48-$AB48)</f>
        <v/>
      </c>
      <c r="DL48">
        <f>IF(AND($E48="post",$DD48&lt;&gt;"",$B48&lt;TODAY()),1,0)</f>
        <v/>
      </c>
      <c r="DM48">
        <f>IF($DL48=1,COUNTIF($DL48:$DL$183,1),0)</f>
        <v/>
      </c>
      <c r="DN48">
        <f>IF($D48=1,"",IF($E48="pre","History only",IF($DT48=1,IF($DD48="","⚠ Previous month missing",IF($DD48&lt;0,"⚠ Check: spending &lt; 0",IF($E48="open","✓ Done (partial)","✓ Done"))),IF($B48&gt;=TODAY(),"In progress","⚠ Needs balances"))))</f>
        <v/>
      </c>
      <c r="DO48">
        <f>YEAR($A48)</f>
        <v/>
      </c>
      <c r="DP48">
        <f>DATE(YEAR($A48),INT((MONTH($A48)-1)/3)*3+1,1)</f>
        <v/>
      </c>
      <c r="DQ48">
        <f>IF(AND($DT48=1,$DD48&lt;&gt;"",$D48=0),ROW(),0)</f>
        <v/>
      </c>
      <c r="DR48">
        <f>IF(AND($E48&lt;&gt;"pre",$B48&lt;TODAY(),$DT48=0),1,0)</f>
        <v/>
      </c>
      <c r="DS48">
        <f>IF($DJ48="",NA(),$DJ48)</f>
        <v/>
      </c>
      <c r="DT48">
        <f>IF(AND($E48&lt;&gt;"pre",$CL48=0,COUNTIFS(Settings!$F$19:$F$32,"Yes",Settings!$A$19:$A$32,"&lt;&gt;",Settings!$E$19:$E$32,"&lt;&gt;No")&gt;0),1,0)</f>
        <v/>
      </c>
      <c r="DU48">
        <f>IF(AND($B48&lt;TODAY(),$S48&gt;0),1,0)</f>
        <v/>
      </c>
      <c r="DV48">
        <f>IF($DU48=1,COUNTIF($DU48:$DU$183,1),0)</f>
        <v/>
      </c>
      <c r="DW48">
        <f>IF(AND(OR(Settings!$B$19="Card",Settings!$B$19="Loan"),AND('Month-End'!$AS$7&lt;&gt;"",NOT(_xlfn.ISFORMULA('Month-End'!$AS$7)))),IF(N('Month-End'!$AS$7)&lt;0,1,0),0)+IF(AND(OR(Settings!$B$20="Card",Settings!$B$20="Loan"),AND('Month-End'!$AS$8&lt;&gt;"",NOT(_xlfn.ISFORMULA('Month-End'!$AS$8)))),IF(N('Month-End'!$AS$8)&lt;0,1,0),0)+IF(AND(OR(Settings!$B$21="Card",Settings!$B$21="Loan"),AND('Month-End'!$AS$9&lt;&gt;"",NOT(_xlfn.ISFORMULA('Month-End'!$AS$9)))),IF(N('Month-End'!$AS$9)&lt;0,1,0),0)+IF(AND(OR(Settings!$B$22="Card",Settings!$B$22="Loan"),AND('Month-End'!$AS$10&lt;&gt;"",NOT(_xlfn.ISFORMULA('Month-End'!$AS$10)))),IF(N('Month-End'!$AS$10)&lt;0,1,0),0)+IF(AND(OR(Settings!$B$23="Card",Settings!$B$23="Loan"),AND('Month-End'!$AS$11&lt;&gt;"",NOT(_xlfn.ISFORMULA('Month-End'!$AS$11)))),IF(N('Month-End'!$AS$11)&lt;0,1,0),0)+IF(AND(OR(Settings!$B$24="Card",Settings!$B$24="Loan"),AND('Month-End'!$AS$12&lt;&gt;"",NOT(_xlfn.ISFORMULA('Month-End'!$AS$12)))),IF(N('Month-End'!$AS$12)&lt;0,1,0),0)+IF(AND(OR(Settings!$B$25="Card",Settings!$B$25="Loan"),AND('Month-End'!$AS$13&lt;&gt;"",NOT(_xlfn.ISFORMULA('Month-End'!$AS$13)))),IF(N('Month-End'!$AS$13)&lt;0,1,0),0)+IF(AND(OR(Settings!$B$26="Card",Settings!$B$26="Loan"),AND('Month-End'!$AS$14&lt;&gt;"",NOT(_xlfn.ISFORMULA('Month-End'!$AS$14)))),IF(N('Month-End'!$AS$14)&lt;0,1,0),0)+IF(AND(OR(Settings!$B$27="Card",Settings!$B$27="Loan"),AND('Month-End'!$AS$15&lt;&gt;"",NOT(_xlfn.ISFORMULA('Month-End'!$AS$15)))),IF(N('Month-End'!$AS$15)&lt;0,1,0),0)+IF(AND(OR(Settings!$B$28="Card",Settings!$B$28="Loan"),AND('Month-End'!$AS$16&lt;&gt;"",NOT(_xlfn.ISFORMULA('Month-End'!$AS$16)))),IF(N('Month-End'!$AS$16)&lt;0,1,0),0)+IF(AND(OR(Settings!$B$29="Card",Settings!$B$29="Loan"),AND('Month-End'!$AS$17&lt;&gt;"",NOT(_xlfn.ISFORMULA('Month-End'!$AS$17)))),IF(N('Month-End'!$AS$17)&lt;0,1,0),0)+IF(AND(OR(Settings!$B$30="Card",Settings!$B$30="Loan"),AND('Month-End'!$AS$18&lt;&gt;"",NOT(_xlfn.ISFORMULA('Month-End'!$AS$18)))),IF(N('Month-End'!$AS$18)&lt;0,1,0),0)+IF(AND(OR(Settings!$B$31="Card",Settings!$B$31="Loan"),AND('Month-End'!$AS$19&lt;&gt;"",NOT(_xlfn.ISFORMULA('Month-End'!$AS$19)))),IF(N('Month-End'!$AS$19)&lt;0,1,0),0)+IF(AND(OR(Settings!$B$32="Card",Settings!$B$32="Loan"),AND('Month-End'!$AS$20&lt;&gt;"",NOT(_xlfn.ISFORMULA('Month-End'!$AS$20)))),IF(N('Month-End'!$AS$20)&lt;0,1,0),0)</f>
        <v/>
      </c>
      <c r="DX48">
        <f>IF(Settings!$B$36="Retirement",$AY48,0)+IF(Settings!$B$37="Retirement",$AZ48,0)+IF(Settings!$B$38="Retirement",$BA48,0)+IF(Settings!$B$39="Retirement",$BB48,0)+IF(Settings!$B$40="Retirement",$BC48,0)+IF(Settings!$B$41="Retirement",$BD48,0)</f>
        <v/>
      </c>
      <c r="EA48">
        <f>IF(Settings!$A$27="","",Settings!$A$27)</f>
        <v/>
      </c>
      <c r="EB48">
        <f>IF(Settings!$A$27="","",IF($EB$5=0,N(Settings!$C$27),N(INDEX($AM:$AM,$EB$5))))</f>
        <v/>
      </c>
      <c r="EC48">
        <f>""</f>
        <v/>
      </c>
      <c r="ED48">
        <f>IF(AND(AND(Settings!$A$27&lt;&gt;"",Settings!$E$27&lt;&gt;"No"),Settings!$B$27="Cash",Settings!$B$5&lt;EDATE(TODAY(),-6),COUNTIFS($BZ$6:$BZ$183,1,$A$6:$A$183,"&gt;="&amp;EDATE(TODAY(),-6))=0),1,0)</f>
        <v/>
      </c>
      <c r="EI48">
        <f>IF(AND(Settings!$A$27&lt;&gt;"",Settings!$E$27&lt;&gt;"No"),COUNTIFS($EK$40:$EK48,1),"")</f>
        <v/>
      </c>
      <c r="EJ48">
        <f>IF(Settings!$A$27="","",Settings!$B$27)</f>
        <v/>
      </c>
      <c r="EK48">
        <f>IF(AND(Settings!$A$27&lt;&gt;"",Settings!$E$27&lt;&gt;"No"),1,0)</f>
        <v/>
      </c>
      <c r="EL48">
        <f>IF(Settings!$A$27="","",IF(OR(Settings!$B$27="Card",Settings!$B$27="Loan"),-N(EB48),N(EB48)))</f>
        <v/>
      </c>
      <c r="EM48">
        <f>IF(Settings!$A$27="","",IF(Settings!$D$27="Yes","estimate",""))</f>
        <v/>
      </c>
      <c r="ET48">
        <f>IF($E48&lt;&gt;"open",0,IF(AND('Month-End'!$AS$22&lt;&gt;"",NOT(_xlfn.ISFORMULA('Month-End'!$AS$22))),0,IF(OR(Settings!$C$45="",Settings!$D$45=""),0,Settings!$C$45*IF(Settings!$D$45="Weekly",IF(IFERROR(MATCH(Settings!$E$45,$EO$4:$EO$10,0),0)=0,0,IF(MIN(Settings!$B$5,IF(Settings!$G$45="",Settings!$B$5,Settings!$G$45))&lt;MAX($A48,Settings!$F$45),0,INT((MIN(Settings!$B$5,IF(Settings!$G$45="",Settings!$B$5,Settings!$G$45))-MAX($A48,Settings!$F$45)-MOD(IFERROR(MATCH(Settings!$E$45,$EO$4:$EO$10,0),0)-WEEKDAY(MAX($A48,Settings!$F$45)),7))/7)+1)),IF(AND(IF(Settings!$E$45="",$B48,DATE(YEAR($A48),MONTH($A48),MIN(Settings!$E$45,DAY($B48))))&gt;=MAX($A48,Settings!$F$45),IF(Settings!$E$45="",$B48,DATE(YEAR($A48),MONTH($A48),MIN(Settings!$E$45,DAY($B48))))&lt;=MIN(Settings!$B$5,IF(Settings!$G$45="",Settings!$B$5,Settings!$G$45))),1,0)))))</f>
        <v/>
      </c>
      <c r="EU48">
        <f>IF($E48&lt;&gt;"open",0,IF(AND('Month-End'!$AS$23&lt;&gt;"",NOT(_xlfn.ISFORMULA('Month-End'!$AS$23))),0,IF(OR(Settings!$C$46="",Settings!$D$46=""),0,Settings!$C$46*IF(Settings!$D$46="Weekly",IF(IFERROR(MATCH(Settings!$E$46,$EO$4:$EO$10,0),0)=0,0,IF(MIN(Settings!$B$5,IF(Settings!$G$46="",Settings!$B$5,Settings!$G$46))&lt;MAX($A48,Settings!$F$46),0,INT((MIN(Settings!$B$5,IF(Settings!$G$46="",Settings!$B$5,Settings!$G$46))-MAX($A48,Settings!$F$46)-MOD(IFERROR(MATCH(Settings!$E$46,$EO$4:$EO$10,0),0)-WEEKDAY(MAX($A48,Settings!$F$46)),7))/7)+1)),IF(AND(IF(Settings!$E$46="",$B48,DATE(YEAR($A48),MONTH($A48),MIN(Settings!$E$46,DAY($B48))))&gt;=MAX($A48,Settings!$F$46),IF(Settings!$E$46="",$B48,DATE(YEAR($A48),MONTH($A48),MIN(Settings!$E$46,DAY($B48))))&lt;=MIN(Settings!$B$5,IF(Settings!$G$46="",Settings!$B$5,Settings!$G$46))),1,0)))))</f>
        <v/>
      </c>
      <c r="EV48">
        <f>IF($E48&lt;&gt;"open",0,IF(AND('Month-End'!$AS$24&lt;&gt;"",NOT(_xlfn.ISFORMULA('Month-End'!$AS$24))),0,IF(OR(Settings!$C$47="",Settings!$D$47=""),0,Settings!$C$47*IF(Settings!$D$47="Weekly",IF(IFERROR(MATCH(Settings!$E$47,$EO$4:$EO$10,0),0)=0,0,IF(MIN(Settings!$B$5,IF(Settings!$G$47="",Settings!$B$5,Settings!$G$47))&lt;MAX($A48,Settings!$F$47),0,INT((MIN(Settings!$B$5,IF(Settings!$G$47="",Settings!$B$5,Settings!$G$47))-MAX($A48,Settings!$F$47)-MOD(IFERROR(MATCH(Settings!$E$47,$EO$4:$EO$10,0),0)-WEEKDAY(MAX($A48,Settings!$F$47)),7))/7)+1)),IF(AND(IF(Settings!$E$47="",$B48,DATE(YEAR($A48),MONTH($A48),MIN(Settings!$E$47,DAY($B48))))&gt;=MAX($A48,Settings!$F$47),IF(Settings!$E$47="",$B48,DATE(YEAR($A48),MONTH($A48),MIN(Settings!$E$47,DAY($B48))))&lt;=MIN(Settings!$B$5,IF(Settings!$G$47="",Settings!$B$5,Settings!$G$47))),1,0)))))</f>
        <v/>
      </c>
      <c r="EW48">
        <f>IF($E48&lt;&gt;"open",0,IF(AND('Month-End'!$AS$25&lt;&gt;"",NOT(_xlfn.ISFORMULA('Month-End'!$AS$25))),0,IF(OR(Settings!$C$48="",Settings!$D$48=""),0,Settings!$C$48*IF(Settings!$D$48="Weekly",IF(IFERROR(MATCH(Settings!$E$48,$EO$4:$EO$10,0),0)=0,0,IF(MIN(Settings!$B$5,IF(Settings!$G$48="",Settings!$B$5,Settings!$G$48))&lt;MAX($A48,Settings!$F$48),0,INT((MIN(Settings!$B$5,IF(Settings!$G$48="",Settings!$B$5,Settings!$G$48))-MAX($A48,Settings!$F$48)-MOD(IFERROR(MATCH(Settings!$E$48,$EO$4:$EO$10,0),0)-WEEKDAY(MAX($A48,Settings!$F$48)),7))/7)+1)),IF(AND(IF(Settings!$E$48="",$B48,DATE(YEAR($A48),MONTH($A48),MIN(Settings!$E$48,DAY($B48))))&gt;=MAX($A48,Settings!$F$48),IF(Settings!$E$48="",$B48,DATE(YEAR($A48),MONTH($A48),MIN(Settings!$E$48,DAY($B48))))&lt;=MIN(Settings!$B$5,IF(Settings!$G$48="",Settings!$B$5,Settings!$G$48))),1,0)))))</f>
        <v/>
      </c>
      <c r="EX48">
        <f>IF($E48&lt;&gt;"open",0,IF(AND('Month-End'!$AS$26&lt;&gt;"",NOT(_xlfn.ISFORMULA('Month-End'!$AS$26))),0,IF(OR(Settings!$C$49="",Settings!$D$49=""),0,Settings!$C$49*IF(Settings!$D$49="Weekly",IF(IFERROR(MATCH(Settings!$E$49,$EO$4:$EO$10,0),0)=0,0,IF(MIN(Settings!$B$5,IF(Settings!$G$49="",Settings!$B$5,Settings!$G$49))&lt;MAX($A48,Settings!$F$49),0,INT((MIN(Settings!$B$5,IF(Settings!$G$49="",Settings!$B$5,Settings!$G$49))-MAX($A48,Settings!$F$49)-MOD(IFERROR(MATCH(Settings!$E$49,$EO$4:$EO$10,0),0)-WEEKDAY(MAX($A48,Settings!$F$49)),7))/7)+1)),IF(AND(IF(Settings!$E$49="",$B48,DATE(YEAR($A48),MONTH($A48),MIN(Settings!$E$49,DAY($B48))))&gt;=MAX($A48,Settings!$F$49),IF(Settings!$E$49="",$B48,DATE(YEAR($A48),MONTH($A48),MIN(Settings!$E$49,DAY($B48))))&lt;=MIN(Settings!$B$5,IF(Settings!$G$49="",Settings!$B$5,Settings!$G$49))),1,0)))))</f>
        <v/>
      </c>
      <c r="EY48">
        <f>IF($E48&lt;&gt;"open",0,IF(AND('Month-End'!$AS$27&lt;&gt;"",NOT(_xlfn.ISFORMULA('Month-End'!$AS$27))),0,IF(OR(Settings!$C$50="",Settings!$D$50=""),0,Settings!$C$50*IF(Settings!$D$50="Weekly",IF(IFERROR(MATCH(Settings!$E$50,$EO$4:$EO$10,0),0)=0,0,IF(MIN(Settings!$B$5,IF(Settings!$G$50="",Settings!$B$5,Settings!$G$50))&lt;MAX($A48,Settings!$F$50),0,INT((MIN(Settings!$B$5,IF(Settings!$G$50="",Settings!$B$5,Settings!$G$50))-MAX($A48,Settings!$F$50)-MOD(IFERROR(MATCH(Settings!$E$50,$EO$4:$EO$10,0),0)-WEEKDAY(MAX($A48,Settings!$F$50)),7))/7)+1)),IF(AND(IF(Settings!$E$50="",$B48,DATE(YEAR($A48),MONTH($A48),MIN(Settings!$E$50,DAY($B48))))&gt;=MAX($A48,Settings!$F$50),IF(Settings!$E$50="",$B48,DATE(YEAR($A48),MONTH($A48),MIN(Settings!$E$50,DAY($B48))))&lt;=MIN(Settings!$B$5,IF(Settings!$G$50="",Settings!$B$5,Settings!$G$50))),1,0)))))</f>
        <v/>
      </c>
      <c r="EZ48">
        <f>IF($E48&lt;&gt;"open",0,IF(AND('Month-End'!$AS$28&lt;&gt;"",NOT(_xlfn.ISFORMULA('Month-End'!$AS$28))),0,IF(OR(Settings!$C$51="",Settings!$D$51=""),0,Settings!$C$51*IF(Settings!$D$51="Weekly",IF(IFERROR(MATCH(Settings!$E$51,$EO$4:$EO$10,0),0)=0,0,IF(MIN(Settings!$B$5,IF(Settings!$G$51="",Settings!$B$5,Settings!$G$51))&lt;MAX($A48,Settings!$F$51),0,INT((MIN(Settings!$B$5,IF(Settings!$G$51="",Settings!$B$5,Settings!$G$51))-MAX($A48,Settings!$F$51)-MOD(IFERROR(MATCH(Settings!$E$51,$EO$4:$EO$10,0),0)-WEEKDAY(MAX($A48,Settings!$F$51)),7))/7)+1)),IF(AND(IF(Settings!$E$51="",$B48,DATE(YEAR($A48),MONTH($A48),MIN(Settings!$E$51,DAY($B48))))&gt;=MAX($A48,Settings!$F$51),IF(Settings!$E$51="",$B48,DATE(YEAR($A48),MONTH($A48),MIN(Settings!$E$51,DAY($B48))))&lt;=MIN(Settings!$B$5,IF(Settings!$G$51="",Settings!$B$5,Settings!$G$51))),1,0)))))</f>
        <v/>
      </c>
      <c r="FA48">
        <f>IF($E48&lt;&gt;"open",0,IF(AND('Month-End'!$AS$29&lt;&gt;"",NOT(_xlfn.ISFORMULA('Month-End'!$AS$29))),0,IF(OR(Settings!$C$52="",Settings!$D$52=""),0,Settings!$C$52*IF(Settings!$D$52="Weekly",IF(IFERROR(MATCH(Settings!$E$52,$EO$4:$EO$10,0),0)=0,0,IF(MIN(Settings!$B$5,IF(Settings!$G$52="",Settings!$B$5,Settings!$G$52))&lt;MAX($A48,Settings!$F$52),0,INT((MIN(Settings!$B$5,IF(Settings!$G$52="",Settings!$B$5,Settings!$G$52))-MAX($A48,Settings!$F$52)-MOD(IFERROR(MATCH(Settings!$E$52,$EO$4:$EO$10,0),0)-WEEKDAY(MAX($A48,Settings!$F$52)),7))/7)+1)),IF(AND(IF(Settings!$E$52="",$B48,DATE(YEAR($A48),MONTH($A48),MIN(Settings!$E$52,DAY($B48))))&gt;=MAX($A48,Settings!$F$52),IF(Settings!$E$52="",$B48,DATE(YEAR($A48),MONTH($A48),MIN(Settings!$E$52,DAY($B48))))&lt;=MIN(Settings!$B$5,IF(Settings!$G$52="",Settings!$B$5,Settings!$G$52))),1,0)))))</f>
        <v/>
      </c>
      <c r="FB48">
        <f>IF($E48&lt;&gt;"open",0,IF(AND('Month-End'!$AS$30&lt;&gt;"",NOT(_xlfn.ISFORMULA('Month-End'!$AS$30))),0,IF(OR(Settings!$C$53="",Settings!$D$53=""),0,Settings!$C$53*IF(Settings!$D$53="Weekly",IF(IFERROR(MATCH(Settings!$E$53,$EO$4:$EO$10,0),0)=0,0,IF(MIN(Settings!$B$5,IF(Settings!$G$53="",Settings!$B$5,Settings!$G$53))&lt;MAX($A48,Settings!$F$53),0,INT((MIN(Settings!$B$5,IF(Settings!$G$53="",Settings!$B$5,Settings!$G$53))-MAX($A48,Settings!$F$53)-MOD(IFERROR(MATCH(Settings!$E$53,$EO$4:$EO$10,0),0)-WEEKDAY(MAX($A48,Settings!$F$53)),7))/7)+1)),IF(AND(IF(Settings!$E$53="",$B48,DATE(YEAR($A48),MONTH($A48),MIN(Settings!$E$53,DAY($B48))))&gt;=MAX($A48,Settings!$F$53),IF(Settings!$E$53="",$B48,DATE(YEAR($A48),MONTH($A48),MIN(Settings!$E$53,DAY($B48))))&lt;=MIN(Settings!$B$5,IF(Settings!$G$53="",Settings!$B$5,Settings!$G$53))),1,0)))))</f>
        <v/>
      </c>
      <c r="FC48">
        <f>IF($E48&lt;&gt;"open",0,IF(AND('Month-End'!$AS$31&lt;&gt;"",NOT(_xlfn.ISFORMULA('Month-End'!$AS$31))),0,IF(OR(Settings!$C$54="",Settings!$D$54=""),0,Settings!$C$54*IF(Settings!$D$54="Weekly",IF(IFERROR(MATCH(Settings!$E$54,$EO$4:$EO$10,0),0)=0,0,IF(MIN(Settings!$B$5,IF(Settings!$G$54="",Settings!$B$5,Settings!$G$54))&lt;MAX($A48,Settings!$F$54),0,INT((MIN(Settings!$B$5,IF(Settings!$G$54="",Settings!$B$5,Settings!$G$54))-MAX($A48,Settings!$F$54)-MOD(IFERROR(MATCH(Settings!$E$54,$EO$4:$EO$10,0),0)-WEEKDAY(MAX($A48,Settings!$F$54)),7))/7)+1)),IF(AND(IF(Settings!$E$54="",$B48,DATE(YEAR($A48),MONTH($A48),MIN(Settings!$E$54,DAY($B48))))&gt;=MAX($A48,Settings!$F$54),IF(Settings!$E$54="",$B48,DATE(YEAR($A48),MONTH($A48),MIN(Settings!$E$54,DAY($B48))))&lt;=MIN(Settings!$B$5,IF(Settings!$G$54="",Settings!$B$5,Settings!$G$54))),1,0)))))</f>
        <v/>
      </c>
      <c r="FD48">
        <f>IF($E48&lt;&gt;"open",0,IF(AND('Month-End'!$AS$32&lt;&gt;"",NOT(_xlfn.ISFORMULA('Month-End'!$AS$32))),0,IF(OR(Settings!$C$55="",Settings!$D$55=""),0,Settings!$C$55*IF(Settings!$D$55="Weekly",IF(IFERROR(MATCH(Settings!$E$55,$EO$4:$EO$10,0),0)=0,0,IF(MIN(Settings!$B$5,IF(Settings!$G$55="",Settings!$B$5,Settings!$G$55))&lt;MAX($A48,Settings!$F$55),0,INT((MIN(Settings!$B$5,IF(Settings!$G$55="",Settings!$B$5,Settings!$G$55))-MAX($A48,Settings!$F$55)-MOD(IFERROR(MATCH(Settings!$E$55,$EO$4:$EO$10,0),0)-WEEKDAY(MAX($A48,Settings!$F$55)),7))/7)+1)),IF(AND(IF(Settings!$E$55="",$B48,DATE(YEAR($A48),MONTH($A48),MIN(Settings!$E$55,DAY($B48))))&gt;=MAX($A48,Settings!$F$55),IF(Settings!$E$55="",$B48,DATE(YEAR($A48),MONTH($A48),MIN(Settings!$E$55,DAY($B48))))&lt;=MIN(Settings!$B$5,IF(Settings!$G$55="",Settings!$B$5,Settings!$G$55))),1,0)))))</f>
        <v/>
      </c>
      <c r="FE48">
        <f>IF($E48&lt;&gt;"open",0,IF(AND('Month-End'!$AS$33&lt;&gt;"",NOT(_xlfn.ISFORMULA('Month-End'!$AS$33))),0,IF(OR(Settings!$C$56="",Settings!$D$56=""),0,Settings!$C$56*IF(Settings!$D$56="Weekly",IF(IFERROR(MATCH(Settings!$E$56,$EO$4:$EO$10,0),0)=0,0,IF(MIN(Settings!$B$5,IF(Settings!$G$56="",Settings!$B$5,Settings!$G$56))&lt;MAX($A48,Settings!$F$56),0,INT((MIN(Settings!$B$5,IF(Settings!$G$56="",Settings!$B$5,Settings!$G$56))-MAX($A48,Settings!$F$56)-MOD(IFERROR(MATCH(Settings!$E$56,$EO$4:$EO$10,0),0)-WEEKDAY(MAX($A48,Settings!$F$56)),7))/7)+1)),IF(AND(IF(Settings!$E$56="",$B48,DATE(YEAR($A48),MONTH($A48),MIN(Settings!$E$56,DAY($B48))))&gt;=MAX($A48,Settings!$F$56),IF(Settings!$E$56="",$B48,DATE(YEAR($A48),MONTH($A48),MIN(Settings!$E$56,DAY($B48))))&lt;=MIN(Settings!$B$5,IF(Settings!$G$56="",Settings!$B$5,Settings!$G$56))),1,0)))))</f>
        <v/>
      </c>
      <c r="FF48">
        <f>IF(Settings!$I$45="Yes",$G48,0)+IF(Settings!$I$46="Yes",$H48,0)+IF(Settings!$I$47="Yes",$I48,0)+IF(Settings!$I$48="Yes",$J48,0)+IF(Settings!$I$49="Yes",$K48,0)+IF(Settings!$I$50="Yes",$L48,0)+IF(Settings!$I$51="Yes",$M48,0)+IF(Settings!$I$52="Yes",$N48,0)+IF(Settings!$I$53="Yes",$O48,0)+IF(Settings!$I$54="Yes",$P48,0)+IF(Settings!$I$55="Yes",$Q48,0)+IF(Settings!$I$56="Yes",$R48,0)</f>
        <v/>
      </c>
      <c r="FG48">
        <f>IF(AND(Settings!$I$45="Yes",Settings!$J$45="No"),$G48,0)+IF(AND(Settings!$I$46="Yes",Settings!$J$46="No"),$H48,0)+IF(AND(Settings!$I$47="Yes",Settings!$J$47="No"),$I48,0)+IF(AND(Settings!$I$48="Yes",Settings!$J$48="No"),$J48,0)+IF(AND(Settings!$I$49="Yes",Settings!$J$49="No"),$K48,0)+IF(AND(Settings!$I$50="Yes",Settings!$J$50="No"),$L48,0)+IF(AND(Settings!$I$51="Yes",Settings!$J$51="No"),$M48,0)+IF(AND(Settings!$I$52="Yes",Settings!$J$52="No"),$N48,0)+IF(AND(Settings!$I$53="Yes",Settings!$J$53="No"),$O48,0)+IF(AND(Settings!$I$54="Yes",Settings!$J$54="No"),$P48,0)+IF(AND(Settings!$I$55="Yes",Settings!$J$55="No"),$Q48,0)+IF(AND(Settings!$I$56="Yes",Settings!$J$56="No"),$R48,0)</f>
        <v/>
      </c>
      <c r="FH48">
        <f>SUMIFS(Giving!$B$7:$B$2006,Giving!$A$7:$A$2006,"&gt;="&amp;$A48,Giving!$A$7:$A$2006,"&lt;="&amp;$B48,Giving!$G$7:$G$2006,"Yes")+IF(OR(OR(Settings!$B$60="",Settings!$F$60="No"),Settings!$H$60&lt;&gt;"Yes"),0,Settings!$B$60*IF(AND(IF(Settings!$C$60="",$B48,DATE(YEAR($A48),MONTH($A48),MIN(Settings!$C$60,DAY($B48))))&gt;=MAX($A48,Settings!$D$60),IF(Settings!$C$60="",$B48,DATE(YEAR($A48),MONTH($A48),MIN(Settings!$C$60,DAY($B48))))&lt;=MIN($C48,IF(Settings!$E$60="",$C48,Settings!$E$60))),1,0))+IF(OR(OR(Settings!$B$61="",Settings!$F$61="No"),Settings!$H$61&lt;&gt;"Yes"),0,Settings!$B$61*IF(AND(IF(Settings!$C$61="",$B48,DATE(YEAR($A48),MONTH($A48),MIN(Settings!$C$61,DAY($B48))))&gt;=MAX($A48,Settings!$D$61),IF(Settings!$C$61="",$B48,DATE(YEAR($A48),MONTH($A48),MIN(Settings!$C$61,DAY($B48))))&lt;=MIN($C48,IF(Settings!$E$61="",$C48,Settings!$E$61))),1,0))+IF(OR(OR(Settings!$B$62="",Settings!$F$62="No"),Settings!$H$62&lt;&gt;"Yes"),0,Settings!$B$62*IF(AND(IF(Settings!$C$62="",$B48,DATE(YEAR($A48),MONTH($A48),MIN(Settings!$C$62,DAY($B48))))&gt;=MAX($A48,Settings!$D$62),IF(Settings!$C$62="",$B48,DATE(YEAR($A48),MONTH($A48),MIN(Settings!$C$62,DAY($B48))))&lt;=MIN($C48,IF(Settings!$E$62="",$C48,Settings!$E$62))),1,0))+IF(OR(OR(Settings!$B$63="",Settings!$F$63="No"),Settings!$H$63&lt;&gt;"Yes"),0,Settings!$B$63*IF(AND(IF(Settings!$C$63="",$B48,DATE(YEAR($A48),MONTH($A48),MIN(Settings!$C$63,DAY($B48))))&gt;=MAX($A48,Settings!$D$63),IF(Settings!$C$63="",$B48,DATE(YEAR($A48),MONTH($A48),MIN(Settings!$C$63,DAY($B48))))&lt;=MIN($C48,IF(Settings!$E$63="",$C48,Settings!$E$63))),1,0))+IF(OR(OR(Settings!$B$64="",Settings!$F$64="No"),Settings!$H$64&lt;&gt;"Yes"),0,Settings!$B$64*IF(AND(IF(Settings!$C$64="",$B48,DATE(YEAR($A48),MONTH($A48),MIN(Settings!$C$64,DAY($B48))))&gt;=MAX($A48,Settings!$D$64),IF(Settings!$C$64="",$B48,DATE(YEAR($A48),MONTH($A48),MIN(Settings!$C$64,DAY($B48))))&lt;=MIN($C48,IF(Settings!$E$64="",$C48,Settings!$E$64))),1,0))+IF(OR(OR(Settings!$B$65="",Settings!$F$65="No"),Settings!$H$65&lt;&gt;"Yes"),0,Settings!$B$65*IF(AND(IF(Settings!$C$65="",$B48,DATE(YEAR($A48),MONTH($A48),MIN(Settings!$C$65,DAY($B48))))&gt;=MAX($A48,Settings!$D$65),IF(Settings!$C$65="",$B48,DATE(YEAR($A48),MONTH($A48),MIN(Settings!$C$65,DAY($B48))))&lt;=MIN($C48,IF(Settings!$E$65="",$C48,Settings!$E$65))),1,0))</f>
        <v/>
      </c>
      <c r="FI48">
        <f>IF($DT48=1,IF(OR(Settings!$B$19="Card",Settings!$B$19="Loan"),N($AE48),0)+IF(OR(Settings!$B$20="Card",Settings!$B$20="Loan"),N($AF48),0)+IF(OR(Settings!$B$21="Card",Settings!$B$21="Loan"),N($AG48),0)+IF(OR(Settings!$B$22="Card",Settings!$B$22="Loan"),N($AH48),0)+IF(OR(Settings!$B$23="Card",Settings!$B$23="Loan"),N($AI48),0)+IF(OR(Settings!$B$24="Card",Settings!$B$24="Loan"),N($AJ48),0)+IF(OR(Settings!$B$25="Card",Settings!$B$25="Loan"),N($AK48),0)+IF(OR(Settings!$B$26="Card",Settings!$B$26="Loan"),N($AL48),0)+IF(OR(Settings!$B$27="Card",Settings!$B$27="Loan"),N($AM48),0)+IF(OR(Settings!$B$28="Card",Settings!$B$28="Loan"),N($AN48),0)+IF(OR(Settings!$B$29="Card",Settings!$B$29="Loan"),N($AO48),0)+IF(OR(Settings!$B$30="Card",Settings!$B$30="Loan"),N($AP48),0)+IF(OR(Settings!$B$31="Card",Settings!$B$31="Loan"),N($AQ48),0)+IF(OR(Settings!$B$32="Card",Settings!$B$32="Loan"),N($AR48),0),"")</f>
        <v/>
      </c>
      <c r="FJ48">
        <f>IF($E48="open",$EB$65,IF($E48="post",IF($E47="pre",$EB$65,$FI47),""))</f>
        <v/>
      </c>
      <c r="FK48">
        <f>IF(AND($DT48=1,$DC48=1),IF(ROUND($FI48-$FJ48,2)&gt;0,1,0),0)</f>
        <v/>
      </c>
      <c r="FL48">
        <f>IF($FK48=1,$FL47+1,0)</f>
        <v/>
      </c>
    </row>
    <row r="49">
      <c r="A49">
        <f>'Month-End'!$AT$4</f>
        <v/>
      </c>
      <c r="B49">
        <f>EOMONTH($A49,0)</f>
        <v/>
      </c>
      <c r="C49">
        <f>MIN($B49,TODAY())</f>
        <v/>
      </c>
      <c r="D49">
        <f>IF($A49&gt;TODAY(),1,0)</f>
        <v/>
      </c>
      <c r="E49">
        <f>IF($B49&lt;=Settings!$B$5,"pre",IF($A49&lt;=Settings!$B$5,"open","post"))</f>
        <v/>
      </c>
      <c r="G49">
        <f>IF('Month-End'!$AT$22="",$BE49,N('Month-End'!$AT$22))</f>
        <v/>
      </c>
      <c r="H49">
        <f>IF('Month-End'!$AT$23="",$BF49,N('Month-End'!$AT$23))</f>
        <v/>
      </c>
      <c r="I49">
        <f>IF('Month-End'!$AT$24="",$BG49,N('Month-End'!$AT$24))</f>
        <v/>
      </c>
      <c r="J49">
        <f>IF('Month-End'!$AT$25="",$BH49,N('Month-End'!$AT$25))</f>
        <v/>
      </c>
      <c r="K49">
        <f>IF('Month-End'!$AT$26="",$BI49,N('Month-End'!$AT$26))</f>
        <v/>
      </c>
      <c r="L49">
        <f>IF('Month-End'!$AT$27="",$BJ49,N('Month-End'!$AT$27))</f>
        <v/>
      </c>
      <c r="M49">
        <f>IF('Month-End'!$AT$28="",$BK49,N('Month-End'!$AT$28))</f>
        <v/>
      </c>
      <c r="N49">
        <f>IF('Month-End'!$AT$29="",$BL49,N('Month-End'!$AT$29))</f>
        <v/>
      </c>
      <c r="O49">
        <f>IF('Month-End'!$AT$30="",$BM49,N('Month-End'!$AT$30))</f>
        <v/>
      </c>
      <c r="P49">
        <f>IF('Month-End'!$AT$31="",$BN49,N('Month-End'!$AT$31))</f>
        <v/>
      </c>
      <c r="Q49">
        <f>IF('Month-End'!$AT$32="",$BO49,N('Month-End'!$AT$32))</f>
        <v/>
      </c>
      <c r="R49">
        <f>IF('Month-End'!$AT$33="",$BP49,N('Month-End'!$AT$33))</f>
        <v/>
      </c>
      <c r="S49">
        <f>$G49+$H49+$I49+$J49+$K49+$L49+$M49+$N49+$O49+$P49+$Q49+$R49</f>
        <v/>
      </c>
      <c r="T49">
        <f>IF($B49&lt;Settings!$B$6,0,IF(Settings!$B$45="Yes",$G49,0)+IF(Settings!$B$46="Yes",$H49,0)+IF(Settings!$B$47="Yes",$I49,0)+IF(Settings!$B$48="Yes",$J49,0)+IF(Settings!$B$49="Yes",$K49,0)+IF(Settings!$B$50="Yes",$L49,0)+IF(Settings!$B$51="Yes",$M49,0)+IF(Settings!$B$52="Yes",$N49,0)+IF(Settings!$B$53="Yes",$O49,0)+IF(Settings!$B$54="Yes",$P49,0)+IF(Settings!$B$55="Yes",$Q49,0)+IF(Settings!$B$56="Yes",$R49,0))</f>
        <v/>
      </c>
      <c r="U49">
        <f>IF(Settings!$B$45="Not Sure",$G49,0)+IF(Settings!$B$46="Not Sure",$H49,0)+IF(Settings!$B$47="Not Sure",$I49,0)+IF(Settings!$B$48="Not Sure",$J49,0)+IF(Settings!$B$49="Not Sure",$K49,0)+IF(Settings!$B$50="Not Sure",$L49,0)+IF(Settings!$B$51="Not Sure",$M49,0)+IF(Settings!$B$52="Not Sure",$N49,0)+IF(Settings!$B$53="Not Sure",$O49,0)+IF(Settings!$B$54="Not Sure",$P49,0)+IF(Settings!$B$55="Not Sure",$Q49,0)+IF(Settings!$B$56="Not Sure",$R49,0)</f>
        <v/>
      </c>
      <c r="V49">
        <f>IF($E49="open",SUM($ET49:$FE49)+N(Settings!$B$13),0)</f>
        <v/>
      </c>
      <c r="W49">
        <f>IF($E49="post",$S49,IF($E49="open",$S49-$V49,0))</f>
        <v/>
      </c>
      <c r="X49">
        <f>SUMIFS(Giving!$B$7:$B$2006,Giving!$A$7:$A$2006,"&gt;="&amp;$A49,Giving!$A$7:$A$2006,"&lt;="&amp;$B49,Giving!$E$7:$E$2006,"&lt;&gt;No")</f>
        <v/>
      </c>
      <c r="Y49">
        <f>SUMIFS(Giving!$B$7:$B$2006,Giving!$A$7:$A$2006,"&gt;="&amp;$A49,Giving!$A$7:$A$2006,"&lt;="&amp;$B49,Giving!$E$7:$E$2006,"No")</f>
        <v/>
      </c>
      <c r="Z49">
        <f>IF(OR(Settings!$B$60="",Settings!$F$60="No"),0,Settings!$B$60*IF(AND(IF(Settings!$C$60="",$B49,DATE(YEAR($A49),MONTH($A49),MIN(Settings!$C$60,DAY($B49))))&gt;=MAX($A49,Settings!$D$60),IF(Settings!$C$60="",$B49,DATE(YEAR($A49),MONTH($A49),MIN(Settings!$C$60,DAY($B49))))&lt;=MIN($C49,IF(Settings!$E$60="",$C49,Settings!$E$60))),1,0))+IF(OR(Settings!$B$61="",Settings!$F$61="No"),0,Settings!$B$61*IF(AND(IF(Settings!$C$61="",$B49,DATE(YEAR($A49),MONTH($A49),MIN(Settings!$C$61,DAY($B49))))&gt;=MAX($A49,Settings!$D$61),IF(Settings!$C$61="",$B49,DATE(YEAR($A49),MONTH($A49),MIN(Settings!$C$61,DAY($B49))))&lt;=MIN($C49,IF(Settings!$E$61="",$C49,Settings!$E$61))),1,0))+IF(OR(Settings!$B$62="",Settings!$F$62="No"),0,Settings!$B$62*IF(AND(IF(Settings!$C$62="",$B49,DATE(YEAR($A49),MONTH($A49),MIN(Settings!$C$62,DAY($B49))))&gt;=MAX($A49,Settings!$D$62),IF(Settings!$C$62="",$B49,DATE(YEAR($A49),MONTH($A49),MIN(Settings!$C$62,DAY($B49))))&lt;=MIN($C49,IF(Settings!$E$62="",$C49,Settings!$E$62))),1,0))+IF(OR(Settings!$B$63="",Settings!$F$63="No"),0,Settings!$B$63*IF(AND(IF(Settings!$C$63="",$B49,DATE(YEAR($A49),MONTH($A49),MIN(Settings!$C$63,DAY($B49))))&gt;=MAX($A49,Settings!$D$63),IF(Settings!$C$63="",$B49,DATE(YEAR($A49),MONTH($A49),MIN(Settings!$C$63,DAY($B49))))&lt;=MIN($C49,IF(Settings!$E$63="",$C49,Settings!$E$63))),1,0))+IF(OR(Settings!$B$64="",Settings!$F$64="No"),0,Settings!$B$64*IF(AND(IF(Settings!$C$64="",$B49,DATE(YEAR($A49),MONTH($A49),MIN(Settings!$C$64,DAY($B49))))&gt;=MAX($A49,Settings!$D$64),IF(Settings!$C$64="",$B49,DATE(YEAR($A49),MONTH($A49),MIN(Settings!$C$64,DAY($B49))))&lt;=MIN($C49,IF(Settings!$E$64="",$C49,Settings!$E$64))),1,0))+IF(OR(Settings!$B$65="",Settings!$F$65="No"),0,Settings!$B$65*IF(AND(IF(Settings!$C$65="",$B49,DATE(YEAR($A49),MONTH($A49),MIN(Settings!$C$65,DAY($B49))))&gt;=MAX($A49,Settings!$D$65),IF(Settings!$C$65="",$B49,DATE(YEAR($A49),MONTH($A49),MIN(Settings!$C$65,DAY($B49))))&lt;=MIN($C49,IF(Settings!$E$65="",$C49,Settings!$E$65))),1,0))</f>
        <v/>
      </c>
      <c r="AA49">
        <f>$X49+$Z49</f>
        <v/>
      </c>
      <c r="AB49">
        <f>IF($E49="post",$AA49,IF($E49="open",SUMIFS(Giving!$B$7:$B$2006,Giving!$A$7:$A$2006,"&gt;"&amp;Settings!$B$5,Giving!$A$7:$A$2006,"&lt;="&amp;$B49,Giving!$E$7:$E$2006,"&lt;&gt;No")+IF(OR(Settings!$B$60="",Settings!$F$60="No"),0,Settings!$B$60*IF(AND(IF(Settings!$C$60="",$B49,DATE(YEAR($A49),MONTH($A49),MIN(Settings!$C$60,DAY($B49))))&gt;=MAX($A49,Settings!$D$60,Settings!$B$5+1),IF(Settings!$C$60="",$B49,DATE(YEAR($A49),MONTH($A49),MIN(Settings!$C$60,DAY($B49))))&lt;=MIN($C49,IF(Settings!$E$60="",$C49,Settings!$E$60))),1,0))+IF(OR(Settings!$B$61="",Settings!$F$61="No"),0,Settings!$B$61*IF(AND(IF(Settings!$C$61="",$B49,DATE(YEAR($A49),MONTH($A49),MIN(Settings!$C$61,DAY($B49))))&gt;=MAX($A49,Settings!$D$61,Settings!$B$5+1),IF(Settings!$C$61="",$B49,DATE(YEAR($A49),MONTH($A49),MIN(Settings!$C$61,DAY($B49))))&lt;=MIN($C49,IF(Settings!$E$61="",$C49,Settings!$E$61))),1,0))+IF(OR(Settings!$B$62="",Settings!$F$62="No"),0,Settings!$B$62*IF(AND(IF(Settings!$C$62="",$B49,DATE(YEAR($A49),MONTH($A49),MIN(Settings!$C$62,DAY($B49))))&gt;=MAX($A49,Settings!$D$62,Settings!$B$5+1),IF(Settings!$C$62="",$B49,DATE(YEAR($A49),MONTH($A49),MIN(Settings!$C$62,DAY($B49))))&lt;=MIN($C49,IF(Settings!$E$62="",$C49,Settings!$E$62))),1,0))+IF(OR(Settings!$B$63="",Settings!$F$63="No"),0,Settings!$B$63*IF(AND(IF(Settings!$C$63="",$B49,DATE(YEAR($A49),MONTH($A49),MIN(Settings!$C$63,DAY($B49))))&gt;=MAX($A49,Settings!$D$63,Settings!$B$5+1),IF(Settings!$C$63="",$B49,DATE(YEAR($A49),MONTH($A49),MIN(Settings!$C$63,DAY($B49))))&lt;=MIN($C49,IF(Settings!$E$63="",$C49,Settings!$E$63))),1,0))+IF(OR(Settings!$B$64="",Settings!$F$64="No"),0,Settings!$B$64*IF(AND(IF(Settings!$C$64="",$B49,DATE(YEAR($A49),MONTH($A49),MIN(Settings!$C$64,DAY($B49))))&gt;=MAX($A49,Settings!$D$64,Settings!$B$5+1),IF(Settings!$C$64="",$B49,DATE(YEAR($A49),MONTH($A49),MIN(Settings!$C$64,DAY($B49))))&lt;=MIN($C49,IF(Settings!$E$64="",$C49,Settings!$E$64))),1,0))+IF(OR(Settings!$B$65="",Settings!$F$65="No"),0,Settings!$B$65*IF(AND(IF(Settings!$C$65="",$B49,DATE(YEAR($A49),MONTH($A49),MIN(Settings!$C$65,DAY($B49))))&gt;=MAX($A49,Settings!$D$65,Settings!$B$5+1),IF(Settings!$C$65="",$B49,DATE(YEAR($A49),MONTH($A49),MIN(Settings!$C$65,DAY($B49))))&lt;=MIN($C49,IF(Settings!$E$65="",$C49,Settings!$E$65))),1,0)),0))</f>
        <v/>
      </c>
      <c r="AC49">
        <f>$AY49+$AZ49+$BA49+$BB49+$BC49+$BD49</f>
        <v/>
      </c>
      <c r="AD49">
        <f>$AC49</f>
        <v/>
      </c>
      <c r="AE49">
        <f>IF(OR(Settings!$A$19="",$E49="pre"),"",IF(AND('Month-End'!$AT$7&lt;&gt;"",NOT(_xlfn.ISFORMULA('Month-End'!$AT$7))),N('Month-End'!$AT$7),IF(OR($E49="open",$E48="pre"),N(Settings!$C$19),N($AE48))))</f>
        <v/>
      </c>
      <c r="AF49">
        <f>IF(OR(Settings!$A$20="",$E49="pre"),"",IF(AND('Month-End'!$AT$8&lt;&gt;"",NOT(_xlfn.ISFORMULA('Month-End'!$AT$8))),N('Month-End'!$AT$8),IF(OR($E49="open",$E48="pre"),N(Settings!$C$20),N($AF48))))</f>
        <v/>
      </c>
      <c r="AG49">
        <f>IF(OR(Settings!$A$21="",$E49="pre"),"",IF(AND('Month-End'!$AT$9&lt;&gt;"",NOT(_xlfn.ISFORMULA('Month-End'!$AT$9))),N('Month-End'!$AT$9),IF(OR($E49="open",$E48="pre"),N(Settings!$C$21),N($AG48))))</f>
        <v/>
      </c>
      <c r="AH49">
        <f>IF(OR(Settings!$A$22="",$E49="pre"),"",IF(AND('Month-End'!$AT$10&lt;&gt;"",NOT(_xlfn.ISFORMULA('Month-End'!$AT$10))),N('Month-End'!$AT$10),IF(OR($E49="open",$E48="pre"),N(Settings!$C$22),N($AH48))))</f>
        <v/>
      </c>
      <c r="AI49">
        <f>IF(OR(Settings!$A$23="",$E49="pre"),"",IF(AND('Month-End'!$AT$11&lt;&gt;"",NOT(_xlfn.ISFORMULA('Month-End'!$AT$11))),N('Month-End'!$AT$11),IF(OR($E49="open",$E48="pre"),N(Settings!$C$23),N($AI48))))</f>
        <v/>
      </c>
      <c r="AJ49">
        <f>IF(OR(Settings!$A$24="",$E49="pre"),"",IF(AND('Month-End'!$AT$12&lt;&gt;"",NOT(_xlfn.ISFORMULA('Month-End'!$AT$12))),N('Month-End'!$AT$12),IF(OR($E49="open",$E48="pre"),N(Settings!$C$24),N($AJ48))))</f>
        <v/>
      </c>
      <c r="AK49">
        <f>IF(OR(Settings!$A$25="",$E49="pre"),"",IF(AND('Month-End'!$AT$13&lt;&gt;"",NOT(_xlfn.ISFORMULA('Month-End'!$AT$13))),N('Month-End'!$AT$13),IF(OR($E49="open",$E48="pre"),N(Settings!$C$25),N($AK48))))</f>
        <v/>
      </c>
      <c r="AL49">
        <f>IF(OR(Settings!$A$26="",$E49="pre"),"",IF(AND('Month-End'!$AT$14&lt;&gt;"",NOT(_xlfn.ISFORMULA('Month-End'!$AT$14))),N('Month-End'!$AT$14),IF(OR($E49="open",$E48="pre"),N(Settings!$C$26),N($AL48))))</f>
        <v/>
      </c>
      <c r="AM49">
        <f>IF(OR(Settings!$A$27="",$E49="pre"),"",IF(AND('Month-End'!$AT$15&lt;&gt;"",NOT(_xlfn.ISFORMULA('Month-End'!$AT$15))),N('Month-End'!$AT$15),IF(OR($E49="open",$E48="pre"),N(Settings!$C$27),N($AM48))))</f>
        <v/>
      </c>
      <c r="AN49">
        <f>IF(OR(Settings!$A$28="",$E49="pre"),"",IF(AND('Month-End'!$AT$16&lt;&gt;"",NOT(_xlfn.ISFORMULA('Month-End'!$AT$16))),N('Month-End'!$AT$16),IF(OR($E49="open",$E48="pre"),N(Settings!$C$28),N($AN48))))</f>
        <v/>
      </c>
      <c r="AO49">
        <f>IF(OR(Settings!$A$29="",$E49="pre"),"",IF(AND('Month-End'!$AT$17&lt;&gt;"",NOT(_xlfn.ISFORMULA('Month-End'!$AT$17))),N('Month-End'!$AT$17),IF(OR($E49="open",$E48="pre"),N(Settings!$C$29),N($AO48))))</f>
        <v/>
      </c>
      <c r="AP49">
        <f>IF(OR(Settings!$A$30="",$E49="pre"),"",IF(AND('Month-End'!$AT$18&lt;&gt;"",NOT(_xlfn.ISFORMULA('Month-End'!$AT$18))),N('Month-End'!$AT$18),IF(OR($E49="open",$E48="pre"),N(Settings!$C$30),N($AP48))))</f>
        <v/>
      </c>
      <c r="AQ49">
        <f>IF(OR(Settings!$A$31="",$E49="pre"),"",IF(AND('Month-End'!$AT$19&lt;&gt;"",NOT(_xlfn.ISFORMULA('Month-End'!$AT$19))),N('Month-End'!$AT$19),IF(OR($E49="open",$E48="pre"),N(Settings!$C$31),N($AQ48))))</f>
        <v/>
      </c>
      <c r="AR49">
        <f>IF(OR(Settings!$A$32="",$E49="pre"),"",IF(AND('Month-End'!$AT$20&lt;&gt;"",NOT(_xlfn.ISFORMULA('Month-End'!$AT$20))),N('Month-End'!$AT$20),IF(OR($E49="open",$E48="pre"),N(Settings!$C$32),N($AR48))))</f>
        <v/>
      </c>
      <c r="AS49">
        <f>IF(OR(Settings!$A$36="",$E49="pre"),"",IF(AND('Month-End'!$AT$38&lt;&gt;"",NOT(_xlfn.ISFORMULA('Month-End'!$AT$38))),N('Month-End'!$AT$38),IF(OR($E49="open",$E48="pre"),N(Settings!$C$36),N($AS48))+$AY49))</f>
        <v/>
      </c>
      <c r="AT49">
        <f>IF(OR(Settings!$A$37="",$E49="pre"),"",IF(AND('Month-End'!$AT$39&lt;&gt;"",NOT(_xlfn.ISFORMULA('Month-End'!$AT$39))),N('Month-End'!$AT$39),IF(OR($E49="open",$E48="pre"),N(Settings!$C$37),N($AT48))+$AZ49))</f>
        <v/>
      </c>
      <c r="AU49">
        <f>IF(OR(Settings!$A$38="",$E49="pre"),"",IF(AND('Month-End'!$AT$40&lt;&gt;"",NOT(_xlfn.ISFORMULA('Month-End'!$AT$40))),N('Month-End'!$AT$40),IF(OR($E49="open",$E48="pre"),N(Settings!$C$38),N($AU48))+$BA49))</f>
        <v/>
      </c>
      <c r="AV49">
        <f>IF(OR(Settings!$A$39="",$E49="pre"),"",IF(AND('Month-End'!$AT$41&lt;&gt;"",NOT(_xlfn.ISFORMULA('Month-End'!$AT$41))),N('Month-End'!$AT$41),IF(OR($E49="open",$E48="pre"),N(Settings!$C$39),N($AV48))+$BB49))</f>
        <v/>
      </c>
      <c r="AW49">
        <f>IF(OR(Settings!$A$40="",$E49="pre"),"",IF(AND('Month-End'!$AT$42&lt;&gt;"",NOT(_xlfn.ISFORMULA('Month-End'!$AT$42))),N('Month-End'!$AT$42),IF(OR($E49="open",$E48="pre"),N(Settings!$C$40),N($AW48))+$BC49))</f>
        <v/>
      </c>
      <c r="AX49">
        <f>IF(OR(Settings!$A$41="",$E49="pre"),"",IF(AND('Month-End'!$AT$43&lt;&gt;"",NOT(_xlfn.ISFORMULA('Month-End'!$AT$43))),N('Month-End'!$AT$43),IF(OR($E49="open",$E48="pre"),N(Settings!$C$41),N($AX48))+$BD49))</f>
        <v/>
      </c>
      <c r="AY49">
        <f>IF($E49="pre",0,N('Month-End'!$AT$45))</f>
        <v/>
      </c>
      <c r="AZ49">
        <f>IF($E49="pre",0,N('Month-End'!$AT$46))</f>
        <v/>
      </c>
      <c r="BA49">
        <f>IF($E49="pre",0,N('Month-End'!$AT$47))</f>
        <v/>
      </c>
      <c r="BB49">
        <f>IF($E49="pre",0,N('Month-End'!$AT$48))</f>
        <v/>
      </c>
      <c r="BC49">
        <f>IF($E49="pre",0,N('Month-End'!$AT$49))</f>
        <v/>
      </c>
      <c r="BD49">
        <f>IF($E49="pre",0,N('Month-End'!$AT$50))</f>
        <v/>
      </c>
      <c r="BE49">
        <f>IF(OR(Settings!$C$45="",Settings!$D$45=""),0,Settings!$C$45*IF(Settings!$D$45="Weekly",IF(IFERROR(MATCH(Settings!$E$45,$EO$4:$EO$10,0),0)=0,0,IF(MIN($C49,IF(Settings!$G$45="",$C49,Settings!$G$45))&lt;MAX($A49,Settings!$F$45),0,INT((MIN($C49,IF(Settings!$G$45="",$C49,Settings!$G$45))-MAX($A49,Settings!$F$45)-MOD(IFERROR(MATCH(Settings!$E$45,$EO$4:$EO$10,0),0)-WEEKDAY(MAX($A49,Settings!$F$45)),7))/7)+1)),IF(AND(IF(Settings!$E$45="",$B49,DATE(YEAR($A49),MONTH($A49),MIN(Settings!$E$45,DAY($B49))))&gt;=MAX($A49,Settings!$F$45),IF(Settings!$E$45="",$B49,DATE(YEAR($A49),MONTH($A49),MIN(Settings!$E$45,DAY($B49))))&lt;=MIN($C49,IF(Settings!$G$45="",$C49,Settings!$G$45))),1,0)))</f>
        <v/>
      </c>
      <c r="BF49">
        <f>IF(OR(Settings!$C$46="",Settings!$D$46=""),0,Settings!$C$46*IF(Settings!$D$46="Weekly",IF(IFERROR(MATCH(Settings!$E$46,$EO$4:$EO$10,0),0)=0,0,IF(MIN($C49,IF(Settings!$G$46="",$C49,Settings!$G$46))&lt;MAX($A49,Settings!$F$46),0,INT((MIN($C49,IF(Settings!$G$46="",$C49,Settings!$G$46))-MAX($A49,Settings!$F$46)-MOD(IFERROR(MATCH(Settings!$E$46,$EO$4:$EO$10,0),0)-WEEKDAY(MAX($A49,Settings!$F$46)),7))/7)+1)),IF(AND(IF(Settings!$E$46="",$B49,DATE(YEAR($A49),MONTH($A49),MIN(Settings!$E$46,DAY($B49))))&gt;=MAX($A49,Settings!$F$46),IF(Settings!$E$46="",$B49,DATE(YEAR($A49),MONTH($A49),MIN(Settings!$E$46,DAY($B49))))&lt;=MIN($C49,IF(Settings!$G$46="",$C49,Settings!$G$46))),1,0)))</f>
        <v/>
      </c>
      <c r="BG49">
        <f>IF(OR(Settings!$C$47="",Settings!$D$47=""),0,Settings!$C$47*IF(Settings!$D$47="Weekly",IF(IFERROR(MATCH(Settings!$E$47,$EO$4:$EO$10,0),0)=0,0,IF(MIN($C49,IF(Settings!$G$47="",$C49,Settings!$G$47))&lt;MAX($A49,Settings!$F$47),0,INT((MIN($C49,IF(Settings!$G$47="",$C49,Settings!$G$47))-MAX($A49,Settings!$F$47)-MOD(IFERROR(MATCH(Settings!$E$47,$EO$4:$EO$10,0),0)-WEEKDAY(MAX($A49,Settings!$F$47)),7))/7)+1)),IF(AND(IF(Settings!$E$47="",$B49,DATE(YEAR($A49),MONTH($A49),MIN(Settings!$E$47,DAY($B49))))&gt;=MAX($A49,Settings!$F$47),IF(Settings!$E$47="",$B49,DATE(YEAR($A49),MONTH($A49),MIN(Settings!$E$47,DAY($B49))))&lt;=MIN($C49,IF(Settings!$G$47="",$C49,Settings!$G$47))),1,0)))</f>
        <v/>
      </c>
      <c r="BH49">
        <f>IF(OR(Settings!$C$48="",Settings!$D$48=""),0,Settings!$C$48*IF(Settings!$D$48="Weekly",IF(IFERROR(MATCH(Settings!$E$48,$EO$4:$EO$10,0),0)=0,0,IF(MIN($C49,IF(Settings!$G$48="",$C49,Settings!$G$48))&lt;MAX($A49,Settings!$F$48),0,INT((MIN($C49,IF(Settings!$G$48="",$C49,Settings!$G$48))-MAX($A49,Settings!$F$48)-MOD(IFERROR(MATCH(Settings!$E$48,$EO$4:$EO$10,0),0)-WEEKDAY(MAX($A49,Settings!$F$48)),7))/7)+1)),IF(AND(IF(Settings!$E$48="",$B49,DATE(YEAR($A49),MONTH($A49),MIN(Settings!$E$48,DAY($B49))))&gt;=MAX($A49,Settings!$F$48),IF(Settings!$E$48="",$B49,DATE(YEAR($A49),MONTH($A49),MIN(Settings!$E$48,DAY($B49))))&lt;=MIN($C49,IF(Settings!$G$48="",$C49,Settings!$G$48))),1,0)))</f>
        <v/>
      </c>
      <c r="BI49">
        <f>IF(OR(Settings!$C$49="",Settings!$D$49=""),0,Settings!$C$49*IF(Settings!$D$49="Weekly",IF(IFERROR(MATCH(Settings!$E$49,$EO$4:$EO$10,0),0)=0,0,IF(MIN($C49,IF(Settings!$G$49="",$C49,Settings!$G$49))&lt;MAX($A49,Settings!$F$49),0,INT((MIN($C49,IF(Settings!$G$49="",$C49,Settings!$G$49))-MAX($A49,Settings!$F$49)-MOD(IFERROR(MATCH(Settings!$E$49,$EO$4:$EO$10,0),0)-WEEKDAY(MAX($A49,Settings!$F$49)),7))/7)+1)),IF(AND(IF(Settings!$E$49="",$B49,DATE(YEAR($A49),MONTH($A49),MIN(Settings!$E$49,DAY($B49))))&gt;=MAX($A49,Settings!$F$49),IF(Settings!$E$49="",$B49,DATE(YEAR($A49),MONTH($A49),MIN(Settings!$E$49,DAY($B49))))&lt;=MIN($C49,IF(Settings!$G$49="",$C49,Settings!$G$49))),1,0)))</f>
        <v/>
      </c>
      <c r="BJ49">
        <f>IF(OR(Settings!$C$50="",Settings!$D$50=""),0,Settings!$C$50*IF(Settings!$D$50="Weekly",IF(IFERROR(MATCH(Settings!$E$50,$EO$4:$EO$10,0),0)=0,0,IF(MIN($C49,IF(Settings!$G$50="",$C49,Settings!$G$50))&lt;MAX($A49,Settings!$F$50),0,INT((MIN($C49,IF(Settings!$G$50="",$C49,Settings!$G$50))-MAX($A49,Settings!$F$50)-MOD(IFERROR(MATCH(Settings!$E$50,$EO$4:$EO$10,0),0)-WEEKDAY(MAX($A49,Settings!$F$50)),7))/7)+1)),IF(AND(IF(Settings!$E$50="",$B49,DATE(YEAR($A49),MONTH($A49),MIN(Settings!$E$50,DAY($B49))))&gt;=MAX($A49,Settings!$F$50),IF(Settings!$E$50="",$B49,DATE(YEAR($A49),MONTH($A49),MIN(Settings!$E$50,DAY($B49))))&lt;=MIN($C49,IF(Settings!$G$50="",$C49,Settings!$G$50))),1,0)))</f>
        <v/>
      </c>
      <c r="BK49">
        <f>IF(OR(Settings!$C$51="",Settings!$D$51=""),0,Settings!$C$51*IF(Settings!$D$51="Weekly",IF(IFERROR(MATCH(Settings!$E$51,$EO$4:$EO$10,0),0)=0,0,IF(MIN($C49,IF(Settings!$G$51="",$C49,Settings!$G$51))&lt;MAX($A49,Settings!$F$51),0,INT((MIN($C49,IF(Settings!$G$51="",$C49,Settings!$G$51))-MAX($A49,Settings!$F$51)-MOD(IFERROR(MATCH(Settings!$E$51,$EO$4:$EO$10,0),0)-WEEKDAY(MAX($A49,Settings!$F$51)),7))/7)+1)),IF(AND(IF(Settings!$E$51="",$B49,DATE(YEAR($A49),MONTH($A49),MIN(Settings!$E$51,DAY($B49))))&gt;=MAX($A49,Settings!$F$51),IF(Settings!$E$51="",$B49,DATE(YEAR($A49),MONTH($A49),MIN(Settings!$E$51,DAY($B49))))&lt;=MIN($C49,IF(Settings!$G$51="",$C49,Settings!$G$51))),1,0)))</f>
        <v/>
      </c>
      <c r="BL49">
        <f>IF(OR(Settings!$C$52="",Settings!$D$52=""),0,Settings!$C$52*IF(Settings!$D$52="Weekly",IF(IFERROR(MATCH(Settings!$E$52,$EO$4:$EO$10,0),0)=0,0,IF(MIN($C49,IF(Settings!$G$52="",$C49,Settings!$G$52))&lt;MAX($A49,Settings!$F$52),0,INT((MIN($C49,IF(Settings!$G$52="",$C49,Settings!$G$52))-MAX($A49,Settings!$F$52)-MOD(IFERROR(MATCH(Settings!$E$52,$EO$4:$EO$10,0),0)-WEEKDAY(MAX($A49,Settings!$F$52)),7))/7)+1)),IF(AND(IF(Settings!$E$52="",$B49,DATE(YEAR($A49),MONTH($A49),MIN(Settings!$E$52,DAY($B49))))&gt;=MAX($A49,Settings!$F$52),IF(Settings!$E$52="",$B49,DATE(YEAR($A49),MONTH($A49),MIN(Settings!$E$52,DAY($B49))))&lt;=MIN($C49,IF(Settings!$G$52="",$C49,Settings!$G$52))),1,0)))</f>
        <v/>
      </c>
      <c r="BM49">
        <f>IF(OR(Settings!$C$53="",Settings!$D$53=""),0,Settings!$C$53*IF(Settings!$D$53="Weekly",IF(IFERROR(MATCH(Settings!$E$53,$EO$4:$EO$10,0),0)=0,0,IF(MIN($C49,IF(Settings!$G$53="",$C49,Settings!$G$53))&lt;MAX($A49,Settings!$F$53),0,INT((MIN($C49,IF(Settings!$G$53="",$C49,Settings!$G$53))-MAX($A49,Settings!$F$53)-MOD(IFERROR(MATCH(Settings!$E$53,$EO$4:$EO$10,0),0)-WEEKDAY(MAX($A49,Settings!$F$53)),7))/7)+1)),IF(AND(IF(Settings!$E$53="",$B49,DATE(YEAR($A49),MONTH($A49),MIN(Settings!$E$53,DAY($B49))))&gt;=MAX($A49,Settings!$F$53),IF(Settings!$E$53="",$B49,DATE(YEAR($A49),MONTH($A49),MIN(Settings!$E$53,DAY($B49))))&lt;=MIN($C49,IF(Settings!$G$53="",$C49,Settings!$G$53))),1,0)))</f>
        <v/>
      </c>
      <c r="BN49">
        <f>IF(OR(Settings!$C$54="",Settings!$D$54=""),0,Settings!$C$54*IF(Settings!$D$54="Weekly",IF(IFERROR(MATCH(Settings!$E$54,$EO$4:$EO$10,0),0)=0,0,IF(MIN($C49,IF(Settings!$G$54="",$C49,Settings!$G$54))&lt;MAX($A49,Settings!$F$54),0,INT((MIN($C49,IF(Settings!$G$54="",$C49,Settings!$G$54))-MAX($A49,Settings!$F$54)-MOD(IFERROR(MATCH(Settings!$E$54,$EO$4:$EO$10,0),0)-WEEKDAY(MAX($A49,Settings!$F$54)),7))/7)+1)),IF(AND(IF(Settings!$E$54="",$B49,DATE(YEAR($A49),MONTH($A49),MIN(Settings!$E$54,DAY($B49))))&gt;=MAX($A49,Settings!$F$54),IF(Settings!$E$54="",$B49,DATE(YEAR($A49),MONTH($A49),MIN(Settings!$E$54,DAY($B49))))&lt;=MIN($C49,IF(Settings!$G$54="",$C49,Settings!$G$54))),1,0)))</f>
        <v/>
      </c>
      <c r="BO49">
        <f>IF(OR(Settings!$C$55="",Settings!$D$55=""),0,Settings!$C$55*IF(Settings!$D$55="Weekly",IF(IFERROR(MATCH(Settings!$E$55,$EO$4:$EO$10,0),0)=0,0,IF(MIN($C49,IF(Settings!$G$55="",$C49,Settings!$G$55))&lt;MAX($A49,Settings!$F$55),0,INT((MIN($C49,IF(Settings!$G$55="",$C49,Settings!$G$55))-MAX($A49,Settings!$F$55)-MOD(IFERROR(MATCH(Settings!$E$55,$EO$4:$EO$10,0),0)-WEEKDAY(MAX($A49,Settings!$F$55)),7))/7)+1)),IF(AND(IF(Settings!$E$55="",$B49,DATE(YEAR($A49),MONTH($A49),MIN(Settings!$E$55,DAY($B49))))&gt;=MAX($A49,Settings!$F$55),IF(Settings!$E$55="",$B49,DATE(YEAR($A49),MONTH($A49),MIN(Settings!$E$55,DAY($B49))))&lt;=MIN($C49,IF(Settings!$G$55="",$C49,Settings!$G$55))),1,0)))</f>
        <v/>
      </c>
      <c r="BP49">
        <f>IF(OR(Settings!$C$56="",Settings!$D$56=""),0,Settings!$C$56*IF(Settings!$D$56="Weekly",IF(IFERROR(MATCH(Settings!$E$56,$EO$4:$EO$10,0),0)=0,0,IF(MIN($C49,IF(Settings!$G$56="",$C49,Settings!$G$56))&lt;MAX($A49,Settings!$F$56),0,INT((MIN($C49,IF(Settings!$G$56="",$C49,Settings!$G$56))-MAX($A49,Settings!$F$56)-MOD(IFERROR(MATCH(Settings!$E$56,$EO$4:$EO$10,0),0)-WEEKDAY(MAX($A49,Settings!$F$56)),7))/7)+1)),IF(AND(IF(Settings!$E$56="",$B49,DATE(YEAR($A49),MONTH($A49),MIN(Settings!$E$56,DAY($B49))))&gt;=MAX($A49,Settings!$F$56),IF(Settings!$E$56="",$B49,DATE(YEAR($A49),MONTH($A49),MIN(Settings!$E$56,DAY($B49))))&lt;=MIN($C49,IF(Settings!$G$56="",$C49,Settings!$G$56))),1,0)))</f>
        <v/>
      </c>
      <c r="BQ49">
        <f>IF(OR(Settings!$B$14="",$D49=1,$E49="pre",$A49&lt;IF(Settings!$B$15="",0,Settings!$B$15)),0,Settings!$B$14)</f>
        <v/>
      </c>
      <c r="BR49">
        <f>IF(AND('Month-End'!$AT$7&lt;&gt;"",NOT(_xlfn.ISFORMULA('Month-End'!$AT$7))),1,0)</f>
        <v/>
      </c>
      <c r="BS49">
        <f>IF(AND('Month-End'!$AT$8&lt;&gt;"",NOT(_xlfn.ISFORMULA('Month-End'!$AT$8))),1,0)</f>
        <v/>
      </c>
      <c r="BT49">
        <f>IF(AND('Month-End'!$AT$9&lt;&gt;"",NOT(_xlfn.ISFORMULA('Month-End'!$AT$9))),1,0)</f>
        <v/>
      </c>
      <c r="BU49">
        <f>IF(AND('Month-End'!$AT$10&lt;&gt;"",NOT(_xlfn.ISFORMULA('Month-End'!$AT$10))),1,0)</f>
        <v/>
      </c>
      <c r="BV49">
        <f>IF(AND('Month-End'!$AT$11&lt;&gt;"",NOT(_xlfn.ISFORMULA('Month-End'!$AT$11))),1,0)</f>
        <v/>
      </c>
      <c r="BW49">
        <f>IF(AND('Month-End'!$AT$12&lt;&gt;"",NOT(_xlfn.ISFORMULA('Month-End'!$AT$12))),1,0)</f>
        <v/>
      </c>
      <c r="BX49">
        <f>IF(AND('Month-End'!$AT$13&lt;&gt;"",NOT(_xlfn.ISFORMULA('Month-End'!$AT$13))),1,0)</f>
        <v/>
      </c>
      <c r="BY49">
        <f>IF(AND('Month-End'!$AT$14&lt;&gt;"",NOT(_xlfn.ISFORMULA('Month-End'!$AT$14))),1,0)</f>
        <v/>
      </c>
      <c r="BZ49">
        <f>IF(AND('Month-End'!$AT$15&lt;&gt;"",NOT(_xlfn.ISFORMULA('Month-End'!$AT$15))),1,0)</f>
        <v/>
      </c>
      <c r="CA49">
        <f>IF(AND('Month-End'!$AT$16&lt;&gt;"",NOT(_xlfn.ISFORMULA('Month-End'!$AT$16))),1,0)</f>
        <v/>
      </c>
      <c r="CB49">
        <f>IF(AND('Month-End'!$AT$17&lt;&gt;"",NOT(_xlfn.ISFORMULA('Month-End'!$AT$17))),1,0)</f>
        <v/>
      </c>
      <c r="CC49">
        <f>IF(AND('Month-End'!$AT$18&lt;&gt;"",NOT(_xlfn.ISFORMULA('Month-End'!$AT$18))),1,0)</f>
        <v/>
      </c>
      <c r="CD49">
        <f>IF(AND('Month-End'!$AT$19&lt;&gt;"",NOT(_xlfn.ISFORMULA('Month-End'!$AT$19))),1,0)</f>
        <v/>
      </c>
      <c r="CE49">
        <f>IF(AND('Month-End'!$AT$20&lt;&gt;"",NOT(_xlfn.ISFORMULA('Month-End'!$AT$20))),1,0)</f>
        <v/>
      </c>
      <c r="CF49">
        <f>IF(AND('Month-End'!$AT$38&lt;&gt;"",NOT(_xlfn.ISFORMULA('Month-End'!$AT$38))),1,0)</f>
        <v/>
      </c>
      <c r="CG49">
        <f>IF(AND('Month-End'!$AT$39&lt;&gt;"",NOT(_xlfn.ISFORMULA('Month-End'!$AT$39))),1,0)</f>
        <v/>
      </c>
      <c r="CH49">
        <f>IF(AND('Month-End'!$AT$40&lt;&gt;"",NOT(_xlfn.ISFORMULA('Month-End'!$AT$40))),1,0)</f>
        <v/>
      </c>
      <c r="CI49">
        <f>IF(AND('Month-End'!$AT$41&lt;&gt;"",NOT(_xlfn.ISFORMULA('Month-End'!$AT$41))),1,0)</f>
        <v/>
      </c>
      <c r="CJ49">
        <f>IF(AND('Month-End'!$AT$42&lt;&gt;"",NOT(_xlfn.ISFORMULA('Month-End'!$AT$42))),1,0)</f>
        <v/>
      </c>
      <c r="CK49">
        <f>IF(AND('Month-End'!$AT$43&lt;&gt;"",NOT(_xlfn.ISFORMULA('Month-End'!$AT$43))),1,0)</f>
        <v/>
      </c>
      <c r="CL49">
        <f>SUM($CM49:$CZ49)</f>
        <v/>
      </c>
      <c r="CM49">
        <f>IF(AND($E49&lt;&gt;"pre",AND(Settings!$A$19&lt;&gt;"",Settings!$E$19&lt;&gt;"No"),Settings!$F$19="Yes",NOT(AND('Month-End'!$AT$7&lt;&gt;"",NOT(_xlfn.ISFORMULA('Month-End'!$AT$7))))),1,0)</f>
        <v/>
      </c>
      <c r="CN49">
        <f>IF(AND($E49&lt;&gt;"pre",AND(Settings!$A$20&lt;&gt;"",Settings!$E$20&lt;&gt;"No"),Settings!$F$20="Yes",NOT(AND('Month-End'!$AT$8&lt;&gt;"",NOT(_xlfn.ISFORMULA('Month-End'!$AT$8))))),1,0)</f>
        <v/>
      </c>
      <c r="CO49">
        <f>IF(AND($E49&lt;&gt;"pre",AND(Settings!$A$21&lt;&gt;"",Settings!$E$21&lt;&gt;"No"),Settings!$F$21="Yes",NOT(AND('Month-End'!$AT$9&lt;&gt;"",NOT(_xlfn.ISFORMULA('Month-End'!$AT$9))))),1,0)</f>
        <v/>
      </c>
      <c r="CP49">
        <f>IF(AND($E49&lt;&gt;"pre",AND(Settings!$A$22&lt;&gt;"",Settings!$E$22&lt;&gt;"No"),Settings!$F$22="Yes",NOT(AND('Month-End'!$AT$10&lt;&gt;"",NOT(_xlfn.ISFORMULA('Month-End'!$AT$10))))),1,0)</f>
        <v/>
      </c>
      <c r="CQ49">
        <f>IF(AND($E49&lt;&gt;"pre",AND(Settings!$A$23&lt;&gt;"",Settings!$E$23&lt;&gt;"No"),Settings!$F$23="Yes",NOT(AND('Month-End'!$AT$11&lt;&gt;"",NOT(_xlfn.ISFORMULA('Month-End'!$AT$11))))),1,0)</f>
        <v/>
      </c>
      <c r="CR49">
        <f>IF(AND($E49&lt;&gt;"pre",AND(Settings!$A$24&lt;&gt;"",Settings!$E$24&lt;&gt;"No"),Settings!$F$24="Yes",NOT(AND('Month-End'!$AT$12&lt;&gt;"",NOT(_xlfn.ISFORMULA('Month-End'!$AT$12))))),1,0)</f>
        <v/>
      </c>
      <c r="CS49">
        <f>IF(AND($E49&lt;&gt;"pre",AND(Settings!$A$25&lt;&gt;"",Settings!$E$25&lt;&gt;"No"),Settings!$F$25="Yes",NOT(AND('Month-End'!$AT$13&lt;&gt;"",NOT(_xlfn.ISFORMULA('Month-End'!$AT$13))))),1,0)</f>
        <v/>
      </c>
      <c r="CT49">
        <f>IF(AND($E49&lt;&gt;"pre",AND(Settings!$A$26&lt;&gt;"",Settings!$E$26&lt;&gt;"No"),Settings!$F$26="Yes",NOT(AND('Month-End'!$AT$14&lt;&gt;"",NOT(_xlfn.ISFORMULA('Month-End'!$AT$14))))),1,0)</f>
        <v/>
      </c>
      <c r="CU49">
        <f>IF(AND($E49&lt;&gt;"pre",AND(Settings!$A$27&lt;&gt;"",Settings!$E$27&lt;&gt;"No"),Settings!$F$27="Yes",NOT(AND('Month-End'!$AT$15&lt;&gt;"",NOT(_xlfn.ISFORMULA('Month-End'!$AT$15))))),1,0)</f>
        <v/>
      </c>
      <c r="CV49">
        <f>IF(AND($E49&lt;&gt;"pre",AND(Settings!$A$28&lt;&gt;"",Settings!$E$28&lt;&gt;"No"),Settings!$F$28="Yes",NOT(AND('Month-End'!$AT$16&lt;&gt;"",NOT(_xlfn.ISFORMULA('Month-End'!$AT$16))))),1,0)</f>
        <v/>
      </c>
      <c r="CW49">
        <f>IF(AND($E49&lt;&gt;"pre",AND(Settings!$A$29&lt;&gt;"",Settings!$E$29&lt;&gt;"No"),Settings!$F$29="Yes",NOT(AND('Month-End'!$AT$17&lt;&gt;"",NOT(_xlfn.ISFORMULA('Month-End'!$AT$17))))),1,0)</f>
        <v/>
      </c>
      <c r="CX49">
        <f>IF(AND($E49&lt;&gt;"pre",AND(Settings!$A$30&lt;&gt;"",Settings!$E$30&lt;&gt;"No"),Settings!$F$30="Yes",NOT(AND('Month-End'!$AT$18&lt;&gt;"",NOT(_xlfn.ISFORMULA('Month-End'!$AT$18))))),1,0)</f>
        <v/>
      </c>
      <c r="CY49">
        <f>IF(AND($E49&lt;&gt;"pre",AND(Settings!$A$31&lt;&gt;"",Settings!$E$31&lt;&gt;"No"),Settings!$F$31="Yes",NOT(AND('Month-End'!$AT$19&lt;&gt;"",NOT(_xlfn.ISFORMULA('Month-End'!$AT$19))))),1,0)</f>
        <v/>
      </c>
      <c r="CZ49">
        <f>IF(AND($E49&lt;&gt;"pre",AND(Settings!$A$32&lt;&gt;"",Settings!$E$32&lt;&gt;"No"),Settings!$F$32="Yes",NOT(AND('Month-End'!$AT$20&lt;&gt;"",NOT(_xlfn.ISFORMULA('Month-End'!$AT$20))))),1,0)</f>
        <v/>
      </c>
      <c r="DA49">
        <f>IF($DT49=1,IF(OR(Settings!$B$19="Checking",Settings!$B$19="Savings",Settings!$B$19="Cash"),N($AE49),IF(OR(Settings!$B$19="Card",Settings!$B$19="Loan"),-N($AE49),0))+IF(OR(Settings!$B$20="Checking",Settings!$B$20="Savings",Settings!$B$20="Cash"),N($AF49),IF(OR(Settings!$B$20="Card",Settings!$B$20="Loan"),-N($AF49),0))+IF(OR(Settings!$B$21="Checking",Settings!$B$21="Savings",Settings!$B$21="Cash"),N($AG49),IF(OR(Settings!$B$21="Card",Settings!$B$21="Loan"),-N($AG49),0))+IF(OR(Settings!$B$22="Checking",Settings!$B$22="Savings",Settings!$B$22="Cash"),N($AH49),IF(OR(Settings!$B$22="Card",Settings!$B$22="Loan"),-N($AH49),0))+IF(OR(Settings!$B$23="Checking",Settings!$B$23="Savings",Settings!$B$23="Cash"),N($AI49),IF(OR(Settings!$B$23="Card",Settings!$B$23="Loan"),-N($AI49),0))+IF(OR(Settings!$B$24="Checking",Settings!$B$24="Savings",Settings!$B$24="Cash"),N($AJ49),IF(OR(Settings!$B$24="Card",Settings!$B$24="Loan"),-N($AJ49),0))+IF(OR(Settings!$B$25="Checking",Settings!$B$25="Savings",Settings!$B$25="Cash"),N($AK49),IF(OR(Settings!$B$25="Card",Settings!$B$25="Loan"),-N($AK49),0))+IF(OR(Settings!$B$26="Checking",Settings!$B$26="Savings",Settings!$B$26="Cash"),N($AL49),IF(OR(Settings!$B$26="Card",Settings!$B$26="Loan"),-N($AL49),0))+IF(OR(Settings!$B$27="Checking",Settings!$B$27="Savings",Settings!$B$27="Cash"),N($AM49),IF(OR(Settings!$B$27="Card",Settings!$B$27="Loan"),-N($AM49),0))+IF(OR(Settings!$B$28="Checking",Settings!$B$28="Savings",Settings!$B$28="Cash"),N($AN49),IF(OR(Settings!$B$28="Card",Settings!$B$28="Loan"),-N($AN49),0))+IF(OR(Settings!$B$29="Checking",Settings!$B$29="Savings",Settings!$B$29="Cash"),N($AO49),IF(OR(Settings!$B$29="Card",Settings!$B$29="Loan"),-N($AO49),0))+IF(OR(Settings!$B$30="Checking",Settings!$B$30="Savings",Settings!$B$30="Cash"),N($AP49),IF(OR(Settings!$B$30="Card",Settings!$B$30="Loan"),-N($AP49),0))+IF(OR(Settings!$B$31="Checking",Settings!$B$31="Savings",Settings!$B$31="Cash"),N($AQ49),IF(OR(Settings!$B$31="Card",Settings!$B$31="Loan"),-N($AQ49),0))+IF(OR(Settings!$B$32="Checking",Settings!$B$32="Savings",Settings!$B$32="Cash"),N($AR49),IF(OR(Settings!$B$32="Card",Settings!$B$32="Loan"),-N($AR49),0)),"")</f>
        <v/>
      </c>
      <c r="DB49">
        <f>IF($E49="open",$EB$27,IF($E49="post",IF($E48="pre",$EB$27,$DA48),""))</f>
        <v/>
      </c>
      <c r="DC49">
        <f>IF($E49="open",1,IF($E49="post",IF($E48="pre",1,$DT48),0))</f>
        <v/>
      </c>
      <c r="DD49">
        <f>IF(AND($DT49=1,$DC49=1),ROUND($W49-($DA49-$DB49)-$AD49-$AB49,2),"")</f>
        <v/>
      </c>
      <c r="DE49">
        <f>IF('Month-End'!$AT$35="",$BQ49,N('Month-End'!$AT$35))</f>
        <v/>
      </c>
      <c r="DF49">
        <f>N('Month-End'!$AT$36)</f>
        <v/>
      </c>
      <c r="DG49">
        <f>IF($DD49="","",$DD49+$DE49)</f>
        <v/>
      </c>
      <c r="DH49">
        <f>IF($DG49="","",$DG49-$DF49)</f>
        <v/>
      </c>
      <c r="DI49">
        <f>IF(OR($E49="pre",$D49=1),"",N($AS49)+N($AT49)+N($AU49)+N($AV49)+N($AW49)+N($AX49))</f>
        <v/>
      </c>
      <c r="DJ49">
        <f>IF($DT49=1,$DA49+N($DI49),"")</f>
        <v/>
      </c>
      <c r="DK49">
        <f>IF($DD49="","",$W49-$DD49-$AB49)</f>
        <v/>
      </c>
      <c r="DL49">
        <f>IF(AND($E49="post",$DD49&lt;&gt;"",$B49&lt;TODAY()),1,0)</f>
        <v/>
      </c>
      <c r="DM49">
        <f>IF($DL49=1,COUNTIF($DL49:$DL$183,1),0)</f>
        <v/>
      </c>
      <c r="DN49">
        <f>IF($D49=1,"",IF($E49="pre","History only",IF($DT49=1,IF($DD49="","⚠ Previous month missing",IF($DD49&lt;0,"⚠ Check: spending &lt; 0",IF($E49="open","✓ Done (partial)","✓ Done"))),IF($B49&gt;=TODAY(),"In progress","⚠ Needs balances"))))</f>
        <v/>
      </c>
      <c r="DO49">
        <f>YEAR($A49)</f>
        <v/>
      </c>
      <c r="DP49">
        <f>DATE(YEAR($A49),INT((MONTH($A49)-1)/3)*3+1,1)</f>
        <v/>
      </c>
      <c r="DQ49">
        <f>IF(AND($DT49=1,$DD49&lt;&gt;"",$D49=0),ROW(),0)</f>
        <v/>
      </c>
      <c r="DR49">
        <f>IF(AND($E49&lt;&gt;"pre",$B49&lt;TODAY(),$DT49=0),1,0)</f>
        <v/>
      </c>
      <c r="DS49">
        <f>IF($DJ49="",NA(),$DJ49)</f>
        <v/>
      </c>
      <c r="DT49">
        <f>IF(AND($E49&lt;&gt;"pre",$CL49=0,COUNTIFS(Settings!$F$19:$F$32,"Yes",Settings!$A$19:$A$32,"&lt;&gt;",Settings!$E$19:$E$32,"&lt;&gt;No")&gt;0),1,0)</f>
        <v/>
      </c>
      <c r="DU49">
        <f>IF(AND($B49&lt;TODAY(),$S49&gt;0),1,0)</f>
        <v/>
      </c>
      <c r="DV49">
        <f>IF($DU49=1,COUNTIF($DU49:$DU$183,1),0)</f>
        <v/>
      </c>
      <c r="DW49">
        <f>IF(AND(OR(Settings!$B$19="Card",Settings!$B$19="Loan"),AND('Month-End'!$AT$7&lt;&gt;"",NOT(_xlfn.ISFORMULA('Month-End'!$AT$7)))),IF(N('Month-End'!$AT$7)&lt;0,1,0),0)+IF(AND(OR(Settings!$B$20="Card",Settings!$B$20="Loan"),AND('Month-End'!$AT$8&lt;&gt;"",NOT(_xlfn.ISFORMULA('Month-End'!$AT$8)))),IF(N('Month-End'!$AT$8)&lt;0,1,0),0)+IF(AND(OR(Settings!$B$21="Card",Settings!$B$21="Loan"),AND('Month-End'!$AT$9&lt;&gt;"",NOT(_xlfn.ISFORMULA('Month-End'!$AT$9)))),IF(N('Month-End'!$AT$9)&lt;0,1,0),0)+IF(AND(OR(Settings!$B$22="Card",Settings!$B$22="Loan"),AND('Month-End'!$AT$10&lt;&gt;"",NOT(_xlfn.ISFORMULA('Month-End'!$AT$10)))),IF(N('Month-End'!$AT$10)&lt;0,1,0),0)+IF(AND(OR(Settings!$B$23="Card",Settings!$B$23="Loan"),AND('Month-End'!$AT$11&lt;&gt;"",NOT(_xlfn.ISFORMULA('Month-End'!$AT$11)))),IF(N('Month-End'!$AT$11)&lt;0,1,0),0)+IF(AND(OR(Settings!$B$24="Card",Settings!$B$24="Loan"),AND('Month-End'!$AT$12&lt;&gt;"",NOT(_xlfn.ISFORMULA('Month-End'!$AT$12)))),IF(N('Month-End'!$AT$12)&lt;0,1,0),0)+IF(AND(OR(Settings!$B$25="Card",Settings!$B$25="Loan"),AND('Month-End'!$AT$13&lt;&gt;"",NOT(_xlfn.ISFORMULA('Month-End'!$AT$13)))),IF(N('Month-End'!$AT$13)&lt;0,1,0),0)+IF(AND(OR(Settings!$B$26="Card",Settings!$B$26="Loan"),AND('Month-End'!$AT$14&lt;&gt;"",NOT(_xlfn.ISFORMULA('Month-End'!$AT$14)))),IF(N('Month-End'!$AT$14)&lt;0,1,0),0)+IF(AND(OR(Settings!$B$27="Card",Settings!$B$27="Loan"),AND('Month-End'!$AT$15&lt;&gt;"",NOT(_xlfn.ISFORMULA('Month-End'!$AT$15)))),IF(N('Month-End'!$AT$15)&lt;0,1,0),0)+IF(AND(OR(Settings!$B$28="Card",Settings!$B$28="Loan"),AND('Month-End'!$AT$16&lt;&gt;"",NOT(_xlfn.ISFORMULA('Month-End'!$AT$16)))),IF(N('Month-End'!$AT$16)&lt;0,1,0),0)+IF(AND(OR(Settings!$B$29="Card",Settings!$B$29="Loan"),AND('Month-End'!$AT$17&lt;&gt;"",NOT(_xlfn.ISFORMULA('Month-End'!$AT$17)))),IF(N('Month-End'!$AT$17)&lt;0,1,0),0)+IF(AND(OR(Settings!$B$30="Card",Settings!$B$30="Loan"),AND('Month-End'!$AT$18&lt;&gt;"",NOT(_xlfn.ISFORMULA('Month-End'!$AT$18)))),IF(N('Month-End'!$AT$18)&lt;0,1,0),0)+IF(AND(OR(Settings!$B$31="Card",Settings!$B$31="Loan"),AND('Month-End'!$AT$19&lt;&gt;"",NOT(_xlfn.ISFORMULA('Month-End'!$AT$19)))),IF(N('Month-End'!$AT$19)&lt;0,1,0),0)+IF(AND(OR(Settings!$B$32="Card",Settings!$B$32="Loan"),AND('Month-End'!$AT$20&lt;&gt;"",NOT(_xlfn.ISFORMULA('Month-End'!$AT$20)))),IF(N('Month-End'!$AT$20)&lt;0,1,0),0)</f>
        <v/>
      </c>
      <c r="DX49">
        <f>IF(Settings!$B$36="Retirement",$AY49,0)+IF(Settings!$B$37="Retirement",$AZ49,0)+IF(Settings!$B$38="Retirement",$BA49,0)+IF(Settings!$B$39="Retirement",$BB49,0)+IF(Settings!$B$40="Retirement",$BC49,0)+IF(Settings!$B$41="Retirement",$BD49,0)</f>
        <v/>
      </c>
      <c r="EA49">
        <f>IF(Settings!$A$28="","",Settings!$A$28)</f>
        <v/>
      </c>
      <c r="EB49">
        <f>IF(Settings!$A$28="","",IF($EB$5=0,N(Settings!$C$28),N(INDEX($AN:$AN,$EB$5))))</f>
        <v/>
      </c>
      <c r="EC49">
        <f>""</f>
        <v/>
      </c>
      <c r="ED49">
        <f>IF(AND(AND(Settings!$A$28&lt;&gt;"",Settings!$E$28&lt;&gt;"No"),Settings!$B$28="Cash",Settings!$B$5&lt;EDATE(TODAY(),-6),COUNTIFS($CA$6:$CA$183,1,$A$6:$A$183,"&gt;="&amp;EDATE(TODAY(),-6))=0),1,0)</f>
        <v/>
      </c>
      <c r="EI49">
        <f>IF(AND(Settings!$A$28&lt;&gt;"",Settings!$E$28&lt;&gt;"No"),COUNTIFS($EK$40:$EK49,1),"")</f>
        <v/>
      </c>
      <c r="EJ49">
        <f>IF(Settings!$A$28="","",Settings!$B$28)</f>
        <v/>
      </c>
      <c r="EK49">
        <f>IF(AND(Settings!$A$28&lt;&gt;"",Settings!$E$28&lt;&gt;"No"),1,0)</f>
        <v/>
      </c>
      <c r="EL49">
        <f>IF(Settings!$A$28="","",IF(OR(Settings!$B$28="Card",Settings!$B$28="Loan"),-N(EB49),N(EB49)))</f>
        <v/>
      </c>
      <c r="EM49">
        <f>IF(Settings!$A$28="","",IF(Settings!$D$28="Yes","estimate",""))</f>
        <v/>
      </c>
      <c r="ET49">
        <f>IF($E49&lt;&gt;"open",0,IF(AND('Month-End'!$AT$22&lt;&gt;"",NOT(_xlfn.ISFORMULA('Month-End'!$AT$22))),0,IF(OR(Settings!$C$45="",Settings!$D$45=""),0,Settings!$C$45*IF(Settings!$D$45="Weekly",IF(IFERROR(MATCH(Settings!$E$45,$EO$4:$EO$10,0),0)=0,0,IF(MIN(Settings!$B$5,IF(Settings!$G$45="",Settings!$B$5,Settings!$G$45))&lt;MAX($A49,Settings!$F$45),0,INT((MIN(Settings!$B$5,IF(Settings!$G$45="",Settings!$B$5,Settings!$G$45))-MAX($A49,Settings!$F$45)-MOD(IFERROR(MATCH(Settings!$E$45,$EO$4:$EO$10,0),0)-WEEKDAY(MAX($A49,Settings!$F$45)),7))/7)+1)),IF(AND(IF(Settings!$E$45="",$B49,DATE(YEAR($A49),MONTH($A49),MIN(Settings!$E$45,DAY($B49))))&gt;=MAX($A49,Settings!$F$45),IF(Settings!$E$45="",$B49,DATE(YEAR($A49),MONTH($A49),MIN(Settings!$E$45,DAY($B49))))&lt;=MIN(Settings!$B$5,IF(Settings!$G$45="",Settings!$B$5,Settings!$G$45))),1,0)))))</f>
        <v/>
      </c>
      <c r="EU49">
        <f>IF($E49&lt;&gt;"open",0,IF(AND('Month-End'!$AT$23&lt;&gt;"",NOT(_xlfn.ISFORMULA('Month-End'!$AT$23))),0,IF(OR(Settings!$C$46="",Settings!$D$46=""),0,Settings!$C$46*IF(Settings!$D$46="Weekly",IF(IFERROR(MATCH(Settings!$E$46,$EO$4:$EO$10,0),0)=0,0,IF(MIN(Settings!$B$5,IF(Settings!$G$46="",Settings!$B$5,Settings!$G$46))&lt;MAX($A49,Settings!$F$46),0,INT((MIN(Settings!$B$5,IF(Settings!$G$46="",Settings!$B$5,Settings!$G$46))-MAX($A49,Settings!$F$46)-MOD(IFERROR(MATCH(Settings!$E$46,$EO$4:$EO$10,0),0)-WEEKDAY(MAX($A49,Settings!$F$46)),7))/7)+1)),IF(AND(IF(Settings!$E$46="",$B49,DATE(YEAR($A49),MONTH($A49),MIN(Settings!$E$46,DAY($B49))))&gt;=MAX($A49,Settings!$F$46),IF(Settings!$E$46="",$B49,DATE(YEAR($A49),MONTH($A49),MIN(Settings!$E$46,DAY($B49))))&lt;=MIN(Settings!$B$5,IF(Settings!$G$46="",Settings!$B$5,Settings!$G$46))),1,0)))))</f>
        <v/>
      </c>
      <c r="EV49">
        <f>IF($E49&lt;&gt;"open",0,IF(AND('Month-End'!$AT$24&lt;&gt;"",NOT(_xlfn.ISFORMULA('Month-End'!$AT$24))),0,IF(OR(Settings!$C$47="",Settings!$D$47=""),0,Settings!$C$47*IF(Settings!$D$47="Weekly",IF(IFERROR(MATCH(Settings!$E$47,$EO$4:$EO$10,0),0)=0,0,IF(MIN(Settings!$B$5,IF(Settings!$G$47="",Settings!$B$5,Settings!$G$47))&lt;MAX($A49,Settings!$F$47),0,INT((MIN(Settings!$B$5,IF(Settings!$G$47="",Settings!$B$5,Settings!$G$47))-MAX($A49,Settings!$F$47)-MOD(IFERROR(MATCH(Settings!$E$47,$EO$4:$EO$10,0),0)-WEEKDAY(MAX($A49,Settings!$F$47)),7))/7)+1)),IF(AND(IF(Settings!$E$47="",$B49,DATE(YEAR($A49),MONTH($A49),MIN(Settings!$E$47,DAY($B49))))&gt;=MAX($A49,Settings!$F$47),IF(Settings!$E$47="",$B49,DATE(YEAR($A49),MONTH($A49),MIN(Settings!$E$47,DAY($B49))))&lt;=MIN(Settings!$B$5,IF(Settings!$G$47="",Settings!$B$5,Settings!$G$47))),1,0)))))</f>
        <v/>
      </c>
      <c r="EW49">
        <f>IF($E49&lt;&gt;"open",0,IF(AND('Month-End'!$AT$25&lt;&gt;"",NOT(_xlfn.ISFORMULA('Month-End'!$AT$25))),0,IF(OR(Settings!$C$48="",Settings!$D$48=""),0,Settings!$C$48*IF(Settings!$D$48="Weekly",IF(IFERROR(MATCH(Settings!$E$48,$EO$4:$EO$10,0),0)=0,0,IF(MIN(Settings!$B$5,IF(Settings!$G$48="",Settings!$B$5,Settings!$G$48))&lt;MAX($A49,Settings!$F$48),0,INT((MIN(Settings!$B$5,IF(Settings!$G$48="",Settings!$B$5,Settings!$G$48))-MAX($A49,Settings!$F$48)-MOD(IFERROR(MATCH(Settings!$E$48,$EO$4:$EO$10,0),0)-WEEKDAY(MAX($A49,Settings!$F$48)),7))/7)+1)),IF(AND(IF(Settings!$E$48="",$B49,DATE(YEAR($A49),MONTH($A49),MIN(Settings!$E$48,DAY($B49))))&gt;=MAX($A49,Settings!$F$48),IF(Settings!$E$48="",$B49,DATE(YEAR($A49),MONTH($A49),MIN(Settings!$E$48,DAY($B49))))&lt;=MIN(Settings!$B$5,IF(Settings!$G$48="",Settings!$B$5,Settings!$G$48))),1,0)))))</f>
        <v/>
      </c>
      <c r="EX49">
        <f>IF($E49&lt;&gt;"open",0,IF(AND('Month-End'!$AT$26&lt;&gt;"",NOT(_xlfn.ISFORMULA('Month-End'!$AT$26))),0,IF(OR(Settings!$C$49="",Settings!$D$49=""),0,Settings!$C$49*IF(Settings!$D$49="Weekly",IF(IFERROR(MATCH(Settings!$E$49,$EO$4:$EO$10,0),0)=0,0,IF(MIN(Settings!$B$5,IF(Settings!$G$49="",Settings!$B$5,Settings!$G$49))&lt;MAX($A49,Settings!$F$49),0,INT((MIN(Settings!$B$5,IF(Settings!$G$49="",Settings!$B$5,Settings!$G$49))-MAX($A49,Settings!$F$49)-MOD(IFERROR(MATCH(Settings!$E$49,$EO$4:$EO$10,0),0)-WEEKDAY(MAX($A49,Settings!$F$49)),7))/7)+1)),IF(AND(IF(Settings!$E$49="",$B49,DATE(YEAR($A49),MONTH($A49),MIN(Settings!$E$49,DAY($B49))))&gt;=MAX($A49,Settings!$F$49),IF(Settings!$E$49="",$B49,DATE(YEAR($A49),MONTH($A49),MIN(Settings!$E$49,DAY($B49))))&lt;=MIN(Settings!$B$5,IF(Settings!$G$49="",Settings!$B$5,Settings!$G$49))),1,0)))))</f>
        <v/>
      </c>
      <c r="EY49">
        <f>IF($E49&lt;&gt;"open",0,IF(AND('Month-End'!$AT$27&lt;&gt;"",NOT(_xlfn.ISFORMULA('Month-End'!$AT$27))),0,IF(OR(Settings!$C$50="",Settings!$D$50=""),0,Settings!$C$50*IF(Settings!$D$50="Weekly",IF(IFERROR(MATCH(Settings!$E$50,$EO$4:$EO$10,0),0)=0,0,IF(MIN(Settings!$B$5,IF(Settings!$G$50="",Settings!$B$5,Settings!$G$50))&lt;MAX($A49,Settings!$F$50),0,INT((MIN(Settings!$B$5,IF(Settings!$G$50="",Settings!$B$5,Settings!$G$50))-MAX($A49,Settings!$F$50)-MOD(IFERROR(MATCH(Settings!$E$50,$EO$4:$EO$10,0),0)-WEEKDAY(MAX($A49,Settings!$F$50)),7))/7)+1)),IF(AND(IF(Settings!$E$50="",$B49,DATE(YEAR($A49),MONTH($A49),MIN(Settings!$E$50,DAY($B49))))&gt;=MAX($A49,Settings!$F$50),IF(Settings!$E$50="",$B49,DATE(YEAR($A49),MONTH($A49),MIN(Settings!$E$50,DAY($B49))))&lt;=MIN(Settings!$B$5,IF(Settings!$G$50="",Settings!$B$5,Settings!$G$50))),1,0)))))</f>
        <v/>
      </c>
      <c r="EZ49">
        <f>IF($E49&lt;&gt;"open",0,IF(AND('Month-End'!$AT$28&lt;&gt;"",NOT(_xlfn.ISFORMULA('Month-End'!$AT$28))),0,IF(OR(Settings!$C$51="",Settings!$D$51=""),0,Settings!$C$51*IF(Settings!$D$51="Weekly",IF(IFERROR(MATCH(Settings!$E$51,$EO$4:$EO$10,0),0)=0,0,IF(MIN(Settings!$B$5,IF(Settings!$G$51="",Settings!$B$5,Settings!$G$51))&lt;MAX($A49,Settings!$F$51),0,INT((MIN(Settings!$B$5,IF(Settings!$G$51="",Settings!$B$5,Settings!$G$51))-MAX($A49,Settings!$F$51)-MOD(IFERROR(MATCH(Settings!$E$51,$EO$4:$EO$10,0),0)-WEEKDAY(MAX($A49,Settings!$F$51)),7))/7)+1)),IF(AND(IF(Settings!$E$51="",$B49,DATE(YEAR($A49),MONTH($A49),MIN(Settings!$E$51,DAY($B49))))&gt;=MAX($A49,Settings!$F$51),IF(Settings!$E$51="",$B49,DATE(YEAR($A49),MONTH($A49),MIN(Settings!$E$51,DAY($B49))))&lt;=MIN(Settings!$B$5,IF(Settings!$G$51="",Settings!$B$5,Settings!$G$51))),1,0)))))</f>
        <v/>
      </c>
      <c r="FA49">
        <f>IF($E49&lt;&gt;"open",0,IF(AND('Month-End'!$AT$29&lt;&gt;"",NOT(_xlfn.ISFORMULA('Month-End'!$AT$29))),0,IF(OR(Settings!$C$52="",Settings!$D$52=""),0,Settings!$C$52*IF(Settings!$D$52="Weekly",IF(IFERROR(MATCH(Settings!$E$52,$EO$4:$EO$10,0),0)=0,0,IF(MIN(Settings!$B$5,IF(Settings!$G$52="",Settings!$B$5,Settings!$G$52))&lt;MAX($A49,Settings!$F$52),0,INT((MIN(Settings!$B$5,IF(Settings!$G$52="",Settings!$B$5,Settings!$G$52))-MAX($A49,Settings!$F$52)-MOD(IFERROR(MATCH(Settings!$E$52,$EO$4:$EO$10,0),0)-WEEKDAY(MAX($A49,Settings!$F$52)),7))/7)+1)),IF(AND(IF(Settings!$E$52="",$B49,DATE(YEAR($A49),MONTH($A49),MIN(Settings!$E$52,DAY($B49))))&gt;=MAX($A49,Settings!$F$52),IF(Settings!$E$52="",$B49,DATE(YEAR($A49),MONTH($A49),MIN(Settings!$E$52,DAY($B49))))&lt;=MIN(Settings!$B$5,IF(Settings!$G$52="",Settings!$B$5,Settings!$G$52))),1,0)))))</f>
        <v/>
      </c>
      <c r="FB49">
        <f>IF($E49&lt;&gt;"open",0,IF(AND('Month-End'!$AT$30&lt;&gt;"",NOT(_xlfn.ISFORMULA('Month-End'!$AT$30))),0,IF(OR(Settings!$C$53="",Settings!$D$53=""),0,Settings!$C$53*IF(Settings!$D$53="Weekly",IF(IFERROR(MATCH(Settings!$E$53,$EO$4:$EO$10,0),0)=0,0,IF(MIN(Settings!$B$5,IF(Settings!$G$53="",Settings!$B$5,Settings!$G$53))&lt;MAX($A49,Settings!$F$53),0,INT((MIN(Settings!$B$5,IF(Settings!$G$53="",Settings!$B$5,Settings!$G$53))-MAX($A49,Settings!$F$53)-MOD(IFERROR(MATCH(Settings!$E$53,$EO$4:$EO$10,0),0)-WEEKDAY(MAX($A49,Settings!$F$53)),7))/7)+1)),IF(AND(IF(Settings!$E$53="",$B49,DATE(YEAR($A49),MONTH($A49),MIN(Settings!$E$53,DAY($B49))))&gt;=MAX($A49,Settings!$F$53),IF(Settings!$E$53="",$B49,DATE(YEAR($A49),MONTH($A49),MIN(Settings!$E$53,DAY($B49))))&lt;=MIN(Settings!$B$5,IF(Settings!$G$53="",Settings!$B$5,Settings!$G$53))),1,0)))))</f>
        <v/>
      </c>
      <c r="FC49">
        <f>IF($E49&lt;&gt;"open",0,IF(AND('Month-End'!$AT$31&lt;&gt;"",NOT(_xlfn.ISFORMULA('Month-End'!$AT$31))),0,IF(OR(Settings!$C$54="",Settings!$D$54=""),0,Settings!$C$54*IF(Settings!$D$54="Weekly",IF(IFERROR(MATCH(Settings!$E$54,$EO$4:$EO$10,0),0)=0,0,IF(MIN(Settings!$B$5,IF(Settings!$G$54="",Settings!$B$5,Settings!$G$54))&lt;MAX($A49,Settings!$F$54),0,INT((MIN(Settings!$B$5,IF(Settings!$G$54="",Settings!$B$5,Settings!$G$54))-MAX($A49,Settings!$F$54)-MOD(IFERROR(MATCH(Settings!$E$54,$EO$4:$EO$10,0),0)-WEEKDAY(MAX($A49,Settings!$F$54)),7))/7)+1)),IF(AND(IF(Settings!$E$54="",$B49,DATE(YEAR($A49),MONTH($A49),MIN(Settings!$E$54,DAY($B49))))&gt;=MAX($A49,Settings!$F$54),IF(Settings!$E$54="",$B49,DATE(YEAR($A49),MONTH($A49),MIN(Settings!$E$54,DAY($B49))))&lt;=MIN(Settings!$B$5,IF(Settings!$G$54="",Settings!$B$5,Settings!$G$54))),1,0)))))</f>
        <v/>
      </c>
      <c r="FD49">
        <f>IF($E49&lt;&gt;"open",0,IF(AND('Month-End'!$AT$32&lt;&gt;"",NOT(_xlfn.ISFORMULA('Month-End'!$AT$32))),0,IF(OR(Settings!$C$55="",Settings!$D$55=""),0,Settings!$C$55*IF(Settings!$D$55="Weekly",IF(IFERROR(MATCH(Settings!$E$55,$EO$4:$EO$10,0),0)=0,0,IF(MIN(Settings!$B$5,IF(Settings!$G$55="",Settings!$B$5,Settings!$G$55))&lt;MAX($A49,Settings!$F$55),0,INT((MIN(Settings!$B$5,IF(Settings!$G$55="",Settings!$B$5,Settings!$G$55))-MAX($A49,Settings!$F$55)-MOD(IFERROR(MATCH(Settings!$E$55,$EO$4:$EO$10,0),0)-WEEKDAY(MAX($A49,Settings!$F$55)),7))/7)+1)),IF(AND(IF(Settings!$E$55="",$B49,DATE(YEAR($A49),MONTH($A49),MIN(Settings!$E$55,DAY($B49))))&gt;=MAX($A49,Settings!$F$55),IF(Settings!$E$55="",$B49,DATE(YEAR($A49),MONTH($A49),MIN(Settings!$E$55,DAY($B49))))&lt;=MIN(Settings!$B$5,IF(Settings!$G$55="",Settings!$B$5,Settings!$G$55))),1,0)))))</f>
        <v/>
      </c>
      <c r="FE49">
        <f>IF($E49&lt;&gt;"open",0,IF(AND('Month-End'!$AT$33&lt;&gt;"",NOT(_xlfn.ISFORMULA('Month-End'!$AT$33))),0,IF(OR(Settings!$C$56="",Settings!$D$56=""),0,Settings!$C$56*IF(Settings!$D$56="Weekly",IF(IFERROR(MATCH(Settings!$E$56,$EO$4:$EO$10,0),0)=0,0,IF(MIN(Settings!$B$5,IF(Settings!$G$56="",Settings!$B$5,Settings!$G$56))&lt;MAX($A49,Settings!$F$56),0,INT((MIN(Settings!$B$5,IF(Settings!$G$56="",Settings!$B$5,Settings!$G$56))-MAX($A49,Settings!$F$56)-MOD(IFERROR(MATCH(Settings!$E$56,$EO$4:$EO$10,0),0)-WEEKDAY(MAX($A49,Settings!$F$56)),7))/7)+1)),IF(AND(IF(Settings!$E$56="",$B49,DATE(YEAR($A49),MONTH($A49),MIN(Settings!$E$56,DAY($B49))))&gt;=MAX($A49,Settings!$F$56),IF(Settings!$E$56="",$B49,DATE(YEAR($A49),MONTH($A49),MIN(Settings!$E$56,DAY($B49))))&lt;=MIN(Settings!$B$5,IF(Settings!$G$56="",Settings!$B$5,Settings!$G$56))),1,0)))))</f>
        <v/>
      </c>
      <c r="FF49">
        <f>IF(Settings!$I$45="Yes",$G49,0)+IF(Settings!$I$46="Yes",$H49,0)+IF(Settings!$I$47="Yes",$I49,0)+IF(Settings!$I$48="Yes",$J49,0)+IF(Settings!$I$49="Yes",$K49,0)+IF(Settings!$I$50="Yes",$L49,0)+IF(Settings!$I$51="Yes",$M49,0)+IF(Settings!$I$52="Yes",$N49,0)+IF(Settings!$I$53="Yes",$O49,0)+IF(Settings!$I$54="Yes",$P49,0)+IF(Settings!$I$55="Yes",$Q49,0)+IF(Settings!$I$56="Yes",$R49,0)</f>
        <v/>
      </c>
      <c r="FG49">
        <f>IF(AND(Settings!$I$45="Yes",Settings!$J$45="No"),$G49,0)+IF(AND(Settings!$I$46="Yes",Settings!$J$46="No"),$H49,0)+IF(AND(Settings!$I$47="Yes",Settings!$J$47="No"),$I49,0)+IF(AND(Settings!$I$48="Yes",Settings!$J$48="No"),$J49,0)+IF(AND(Settings!$I$49="Yes",Settings!$J$49="No"),$K49,0)+IF(AND(Settings!$I$50="Yes",Settings!$J$50="No"),$L49,0)+IF(AND(Settings!$I$51="Yes",Settings!$J$51="No"),$M49,0)+IF(AND(Settings!$I$52="Yes",Settings!$J$52="No"),$N49,0)+IF(AND(Settings!$I$53="Yes",Settings!$J$53="No"),$O49,0)+IF(AND(Settings!$I$54="Yes",Settings!$J$54="No"),$P49,0)+IF(AND(Settings!$I$55="Yes",Settings!$J$55="No"),$Q49,0)+IF(AND(Settings!$I$56="Yes",Settings!$J$56="No"),$R49,0)</f>
        <v/>
      </c>
      <c r="FH49">
        <f>SUMIFS(Giving!$B$7:$B$2006,Giving!$A$7:$A$2006,"&gt;="&amp;$A49,Giving!$A$7:$A$2006,"&lt;="&amp;$B49,Giving!$G$7:$G$2006,"Yes")+IF(OR(OR(Settings!$B$60="",Settings!$F$60="No"),Settings!$H$60&lt;&gt;"Yes"),0,Settings!$B$60*IF(AND(IF(Settings!$C$60="",$B49,DATE(YEAR($A49),MONTH($A49),MIN(Settings!$C$60,DAY($B49))))&gt;=MAX($A49,Settings!$D$60),IF(Settings!$C$60="",$B49,DATE(YEAR($A49),MONTH($A49),MIN(Settings!$C$60,DAY($B49))))&lt;=MIN($C49,IF(Settings!$E$60="",$C49,Settings!$E$60))),1,0))+IF(OR(OR(Settings!$B$61="",Settings!$F$61="No"),Settings!$H$61&lt;&gt;"Yes"),0,Settings!$B$61*IF(AND(IF(Settings!$C$61="",$B49,DATE(YEAR($A49),MONTH($A49),MIN(Settings!$C$61,DAY($B49))))&gt;=MAX($A49,Settings!$D$61),IF(Settings!$C$61="",$B49,DATE(YEAR($A49),MONTH($A49),MIN(Settings!$C$61,DAY($B49))))&lt;=MIN($C49,IF(Settings!$E$61="",$C49,Settings!$E$61))),1,0))+IF(OR(OR(Settings!$B$62="",Settings!$F$62="No"),Settings!$H$62&lt;&gt;"Yes"),0,Settings!$B$62*IF(AND(IF(Settings!$C$62="",$B49,DATE(YEAR($A49),MONTH($A49),MIN(Settings!$C$62,DAY($B49))))&gt;=MAX($A49,Settings!$D$62),IF(Settings!$C$62="",$B49,DATE(YEAR($A49),MONTH($A49),MIN(Settings!$C$62,DAY($B49))))&lt;=MIN($C49,IF(Settings!$E$62="",$C49,Settings!$E$62))),1,0))+IF(OR(OR(Settings!$B$63="",Settings!$F$63="No"),Settings!$H$63&lt;&gt;"Yes"),0,Settings!$B$63*IF(AND(IF(Settings!$C$63="",$B49,DATE(YEAR($A49),MONTH($A49),MIN(Settings!$C$63,DAY($B49))))&gt;=MAX($A49,Settings!$D$63),IF(Settings!$C$63="",$B49,DATE(YEAR($A49),MONTH($A49),MIN(Settings!$C$63,DAY($B49))))&lt;=MIN($C49,IF(Settings!$E$63="",$C49,Settings!$E$63))),1,0))+IF(OR(OR(Settings!$B$64="",Settings!$F$64="No"),Settings!$H$64&lt;&gt;"Yes"),0,Settings!$B$64*IF(AND(IF(Settings!$C$64="",$B49,DATE(YEAR($A49),MONTH($A49),MIN(Settings!$C$64,DAY($B49))))&gt;=MAX($A49,Settings!$D$64),IF(Settings!$C$64="",$B49,DATE(YEAR($A49),MONTH($A49),MIN(Settings!$C$64,DAY($B49))))&lt;=MIN($C49,IF(Settings!$E$64="",$C49,Settings!$E$64))),1,0))+IF(OR(OR(Settings!$B$65="",Settings!$F$65="No"),Settings!$H$65&lt;&gt;"Yes"),0,Settings!$B$65*IF(AND(IF(Settings!$C$65="",$B49,DATE(YEAR($A49),MONTH($A49),MIN(Settings!$C$65,DAY($B49))))&gt;=MAX($A49,Settings!$D$65),IF(Settings!$C$65="",$B49,DATE(YEAR($A49),MONTH($A49),MIN(Settings!$C$65,DAY($B49))))&lt;=MIN($C49,IF(Settings!$E$65="",$C49,Settings!$E$65))),1,0))</f>
        <v/>
      </c>
      <c r="FI49">
        <f>IF($DT49=1,IF(OR(Settings!$B$19="Card",Settings!$B$19="Loan"),N($AE49),0)+IF(OR(Settings!$B$20="Card",Settings!$B$20="Loan"),N($AF49),0)+IF(OR(Settings!$B$21="Card",Settings!$B$21="Loan"),N($AG49),0)+IF(OR(Settings!$B$22="Card",Settings!$B$22="Loan"),N($AH49),0)+IF(OR(Settings!$B$23="Card",Settings!$B$23="Loan"),N($AI49),0)+IF(OR(Settings!$B$24="Card",Settings!$B$24="Loan"),N($AJ49),0)+IF(OR(Settings!$B$25="Card",Settings!$B$25="Loan"),N($AK49),0)+IF(OR(Settings!$B$26="Card",Settings!$B$26="Loan"),N($AL49),0)+IF(OR(Settings!$B$27="Card",Settings!$B$27="Loan"),N($AM49),0)+IF(OR(Settings!$B$28="Card",Settings!$B$28="Loan"),N($AN49),0)+IF(OR(Settings!$B$29="Card",Settings!$B$29="Loan"),N($AO49),0)+IF(OR(Settings!$B$30="Card",Settings!$B$30="Loan"),N($AP49),0)+IF(OR(Settings!$B$31="Card",Settings!$B$31="Loan"),N($AQ49),0)+IF(OR(Settings!$B$32="Card",Settings!$B$32="Loan"),N($AR49),0),"")</f>
        <v/>
      </c>
      <c r="FJ49">
        <f>IF($E49="open",$EB$65,IF($E49="post",IF($E48="pre",$EB$65,$FI48),""))</f>
        <v/>
      </c>
      <c r="FK49">
        <f>IF(AND($DT49=1,$DC49=1),IF(ROUND($FI49-$FJ49,2)&gt;0,1,0),0)</f>
        <v/>
      </c>
      <c r="FL49">
        <f>IF($FK49=1,$FL48+1,0)</f>
        <v/>
      </c>
    </row>
    <row r="50">
      <c r="A50">
        <f>'Month-End'!$AU$4</f>
        <v/>
      </c>
      <c r="B50">
        <f>EOMONTH($A50,0)</f>
        <v/>
      </c>
      <c r="C50">
        <f>MIN($B50,TODAY())</f>
        <v/>
      </c>
      <c r="D50">
        <f>IF($A50&gt;TODAY(),1,0)</f>
        <v/>
      </c>
      <c r="E50">
        <f>IF($B50&lt;=Settings!$B$5,"pre",IF($A50&lt;=Settings!$B$5,"open","post"))</f>
        <v/>
      </c>
      <c r="G50">
        <f>IF('Month-End'!$AU$22="",$BE50,N('Month-End'!$AU$22))</f>
        <v/>
      </c>
      <c r="H50">
        <f>IF('Month-End'!$AU$23="",$BF50,N('Month-End'!$AU$23))</f>
        <v/>
      </c>
      <c r="I50">
        <f>IF('Month-End'!$AU$24="",$BG50,N('Month-End'!$AU$24))</f>
        <v/>
      </c>
      <c r="J50">
        <f>IF('Month-End'!$AU$25="",$BH50,N('Month-End'!$AU$25))</f>
        <v/>
      </c>
      <c r="K50">
        <f>IF('Month-End'!$AU$26="",$BI50,N('Month-End'!$AU$26))</f>
        <v/>
      </c>
      <c r="L50">
        <f>IF('Month-End'!$AU$27="",$BJ50,N('Month-End'!$AU$27))</f>
        <v/>
      </c>
      <c r="M50">
        <f>IF('Month-End'!$AU$28="",$BK50,N('Month-End'!$AU$28))</f>
        <v/>
      </c>
      <c r="N50">
        <f>IF('Month-End'!$AU$29="",$BL50,N('Month-End'!$AU$29))</f>
        <v/>
      </c>
      <c r="O50">
        <f>IF('Month-End'!$AU$30="",$BM50,N('Month-End'!$AU$30))</f>
        <v/>
      </c>
      <c r="P50">
        <f>IF('Month-End'!$AU$31="",$BN50,N('Month-End'!$AU$31))</f>
        <v/>
      </c>
      <c r="Q50">
        <f>IF('Month-End'!$AU$32="",$BO50,N('Month-End'!$AU$32))</f>
        <v/>
      </c>
      <c r="R50">
        <f>IF('Month-End'!$AU$33="",$BP50,N('Month-End'!$AU$33))</f>
        <v/>
      </c>
      <c r="S50">
        <f>$G50+$H50+$I50+$J50+$K50+$L50+$M50+$N50+$O50+$P50+$Q50+$R50</f>
        <v/>
      </c>
      <c r="T50">
        <f>IF($B50&lt;Settings!$B$6,0,IF(Settings!$B$45="Yes",$G50,0)+IF(Settings!$B$46="Yes",$H50,0)+IF(Settings!$B$47="Yes",$I50,0)+IF(Settings!$B$48="Yes",$J50,0)+IF(Settings!$B$49="Yes",$K50,0)+IF(Settings!$B$50="Yes",$L50,0)+IF(Settings!$B$51="Yes",$M50,0)+IF(Settings!$B$52="Yes",$N50,0)+IF(Settings!$B$53="Yes",$O50,0)+IF(Settings!$B$54="Yes",$P50,0)+IF(Settings!$B$55="Yes",$Q50,0)+IF(Settings!$B$56="Yes",$R50,0))</f>
        <v/>
      </c>
      <c r="U50">
        <f>IF(Settings!$B$45="Not Sure",$G50,0)+IF(Settings!$B$46="Not Sure",$H50,0)+IF(Settings!$B$47="Not Sure",$I50,0)+IF(Settings!$B$48="Not Sure",$J50,0)+IF(Settings!$B$49="Not Sure",$K50,0)+IF(Settings!$B$50="Not Sure",$L50,0)+IF(Settings!$B$51="Not Sure",$M50,0)+IF(Settings!$B$52="Not Sure",$N50,0)+IF(Settings!$B$53="Not Sure",$O50,0)+IF(Settings!$B$54="Not Sure",$P50,0)+IF(Settings!$B$55="Not Sure",$Q50,0)+IF(Settings!$B$56="Not Sure",$R50,0)</f>
        <v/>
      </c>
      <c r="V50">
        <f>IF($E50="open",SUM($ET50:$FE50)+N(Settings!$B$13),0)</f>
        <v/>
      </c>
      <c r="W50">
        <f>IF($E50="post",$S50,IF($E50="open",$S50-$V50,0))</f>
        <v/>
      </c>
      <c r="X50">
        <f>SUMIFS(Giving!$B$7:$B$2006,Giving!$A$7:$A$2006,"&gt;="&amp;$A50,Giving!$A$7:$A$2006,"&lt;="&amp;$B50,Giving!$E$7:$E$2006,"&lt;&gt;No")</f>
        <v/>
      </c>
      <c r="Y50">
        <f>SUMIFS(Giving!$B$7:$B$2006,Giving!$A$7:$A$2006,"&gt;="&amp;$A50,Giving!$A$7:$A$2006,"&lt;="&amp;$B50,Giving!$E$7:$E$2006,"No")</f>
        <v/>
      </c>
      <c r="Z50">
        <f>IF(OR(Settings!$B$60="",Settings!$F$60="No"),0,Settings!$B$60*IF(AND(IF(Settings!$C$60="",$B50,DATE(YEAR($A50),MONTH($A50),MIN(Settings!$C$60,DAY($B50))))&gt;=MAX($A50,Settings!$D$60),IF(Settings!$C$60="",$B50,DATE(YEAR($A50),MONTH($A50),MIN(Settings!$C$60,DAY($B50))))&lt;=MIN($C50,IF(Settings!$E$60="",$C50,Settings!$E$60))),1,0))+IF(OR(Settings!$B$61="",Settings!$F$61="No"),0,Settings!$B$61*IF(AND(IF(Settings!$C$61="",$B50,DATE(YEAR($A50),MONTH($A50),MIN(Settings!$C$61,DAY($B50))))&gt;=MAX($A50,Settings!$D$61),IF(Settings!$C$61="",$B50,DATE(YEAR($A50),MONTH($A50),MIN(Settings!$C$61,DAY($B50))))&lt;=MIN($C50,IF(Settings!$E$61="",$C50,Settings!$E$61))),1,0))+IF(OR(Settings!$B$62="",Settings!$F$62="No"),0,Settings!$B$62*IF(AND(IF(Settings!$C$62="",$B50,DATE(YEAR($A50),MONTH($A50),MIN(Settings!$C$62,DAY($B50))))&gt;=MAX($A50,Settings!$D$62),IF(Settings!$C$62="",$B50,DATE(YEAR($A50),MONTH($A50),MIN(Settings!$C$62,DAY($B50))))&lt;=MIN($C50,IF(Settings!$E$62="",$C50,Settings!$E$62))),1,0))+IF(OR(Settings!$B$63="",Settings!$F$63="No"),0,Settings!$B$63*IF(AND(IF(Settings!$C$63="",$B50,DATE(YEAR($A50),MONTH($A50),MIN(Settings!$C$63,DAY($B50))))&gt;=MAX($A50,Settings!$D$63),IF(Settings!$C$63="",$B50,DATE(YEAR($A50),MONTH($A50),MIN(Settings!$C$63,DAY($B50))))&lt;=MIN($C50,IF(Settings!$E$63="",$C50,Settings!$E$63))),1,0))+IF(OR(Settings!$B$64="",Settings!$F$64="No"),0,Settings!$B$64*IF(AND(IF(Settings!$C$64="",$B50,DATE(YEAR($A50),MONTH($A50),MIN(Settings!$C$64,DAY($B50))))&gt;=MAX($A50,Settings!$D$64),IF(Settings!$C$64="",$B50,DATE(YEAR($A50),MONTH($A50),MIN(Settings!$C$64,DAY($B50))))&lt;=MIN($C50,IF(Settings!$E$64="",$C50,Settings!$E$64))),1,0))+IF(OR(Settings!$B$65="",Settings!$F$65="No"),0,Settings!$B$65*IF(AND(IF(Settings!$C$65="",$B50,DATE(YEAR($A50),MONTH($A50),MIN(Settings!$C$65,DAY($B50))))&gt;=MAX($A50,Settings!$D$65),IF(Settings!$C$65="",$B50,DATE(YEAR($A50),MONTH($A50),MIN(Settings!$C$65,DAY($B50))))&lt;=MIN($C50,IF(Settings!$E$65="",$C50,Settings!$E$65))),1,0))</f>
        <v/>
      </c>
      <c r="AA50">
        <f>$X50+$Z50</f>
        <v/>
      </c>
      <c r="AB50">
        <f>IF($E50="post",$AA50,IF($E50="open",SUMIFS(Giving!$B$7:$B$2006,Giving!$A$7:$A$2006,"&gt;"&amp;Settings!$B$5,Giving!$A$7:$A$2006,"&lt;="&amp;$B50,Giving!$E$7:$E$2006,"&lt;&gt;No")+IF(OR(Settings!$B$60="",Settings!$F$60="No"),0,Settings!$B$60*IF(AND(IF(Settings!$C$60="",$B50,DATE(YEAR($A50),MONTH($A50),MIN(Settings!$C$60,DAY($B50))))&gt;=MAX($A50,Settings!$D$60,Settings!$B$5+1),IF(Settings!$C$60="",$B50,DATE(YEAR($A50),MONTH($A50),MIN(Settings!$C$60,DAY($B50))))&lt;=MIN($C50,IF(Settings!$E$60="",$C50,Settings!$E$60))),1,0))+IF(OR(Settings!$B$61="",Settings!$F$61="No"),0,Settings!$B$61*IF(AND(IF(Settings!$C$61="",$B50,DATE(YEAR($A50),MONTH($A50),MIN(Settings!$C$61,DAY($B50))))&gt;=MAX($A50,Settings!$D$61,Settings!$B$5+1),IF(Settings!$C$61="",$B50,DATE(YEAR($A50),MONTH($A50),MIN(Settings!$C$61,DAY($B50))))&lt;=MIN($C50,IF(Settings!$E$61="",$C50,Settings!$E$61))),1,0))+IF(OR(Settings!$B$62="",Settings!$F$62="No"),0,Settings!$B$62*IF(AND(IF(Settings!$C$62="",$B50,DATE(YEAR($A50),MONTH($A50),MIN(Settings!$C$62,DAY($B50))))&gt;=MAX($A50,Settings!$D$62,Settings!$B$5+1),IF(Settings!$C$62="",$B50,DATE(YEAR($A50),MONTH($A50),MIN(Settings!$C$62,DAY($B50))))&lt;=MIN($C50,IF(Settings!$E$62="",$C50,Settings!$E$62))),1,0))+IF(OR(Settings!$B$63="",Settings!$F$63="No"),0,Settings!$B$63*IF(AND(IF(Settings!$C$63="",$B50,DATE(YEAR($A50),MONTH($A50),MIN(Settings!$C$63,DAY($B50))))&gt;=MAX($A50,Settings!$D$63,Settings!$B$5+1),IF(Settings!$C$63="",$B50,DATE(YEAR($A50),MONTH($A50),MIN(Settings!$C$63,DAY($B50))))&lt;=MIN($C50,IF(Settings!$E$63="",$C50,Settings!$E$63))),1,0))+IF(OR(Settings!$B$64="",Settings!$F$64="No"),0,Settings!$B$64*IF(AND(IF(Settings!$C$64="",$B50,DATE(YEAR($A50),MONTH($A50),MIN(Settings!$C$64,DAY($B50))))&gt;=MAX($A50,Settings!$D$64,Settings!$B$5+1),IF(Settings!$C$64="",$B50,DATE(YEAR($A50),MONTH($A50),MIN(Settings!$C$64,DAY($B50))))&lt;=MIN($C50,IF(Settings!$E$64="",$C50,Settings!$E$64))),1,0))+IF(OR(Settings!$B$65="",Settings!$F$65="No"),0,Settings!$B$65*IF(AND(IF(Settings!$C$65="",$B50,DATE(YEAR($A50),MONTH($A50),MIN(Settings!$C$65,DAY($B50))))&gt;=MAX($A50,Settings!$D$65,Settings!$B$5+1),IF(Settings!$C$65="",$B50,DATE(YEAR($A50),MONTH($A50),MIN(Settings!$C$65,DAY($B50))))&lt;=MIN($C50,IF(Settings!$E$65="",$C50,Settings!$E$65))),1,0)),0))</f>
        <v/>
      </c>
      <c r="AC50">
        <f>$AY50+$AZ50+$BA50+$BB50+$BC50+$BD50</f>
        <v/>
      </c>
      <c r="AD50">
        <f>$AC50</f>
        <v/>
      </c>
      <c r="AE50">
        <f>IF(OR(Settings!$A$19="",$E50="pre"),"",IF(AND('Month-End'!$AU$7&lt;&gt;"",NOT(_xlfn.ISFORMULA('Month-End'!$AU$7))),N('Month-End'!$AU$7),IF(OR($E50="open",$E49="pre"),N(Settings!$C$19),N($AE49))))</f>
        <v/>
      </c>
      <c r="AF50">
        <f>IF(OR(Settings!$A$20="",$E50="pre"),"",IF(AND('Month-End'!$AU$8&lt;&gt;"",NOT(_xlfn.ISFORMULA('Month-End'!$AU$8))),N('Month-End'!$AU$8),IF(OR($E50="open",$E49="pre"),N(Settings!$C$20),N($AF49))))</f>
        <v/>
      </c>
      <c r="AG50">
        <f>IF(OR(Settings!$A$21="",$E50="pre"),"",IF(AND('Month-End'!$AU$9&lt;&gt;"",NOT(_xlfn.ISFORMULA('Month-End'!$AU$9))),N('Month-End'!$AU$9),IF(OR($E50="open",$E49="pre"),N(Settings!$C$21),N($AG49))))</f>
        <v/>
      </c>
      <c r="AH50">
        <f>IF(OR(Settings!$A$22="",$E50="pre"),"",IF(AND('Month-End'!$AU$10&lt;&gt;"",NOT(_xlfn.ISFORMULA('Month-End'!$AU$10))),N('Month-End'!$AU$10),IF(OR($E50="open",$E49="pre"),N(Settings!$C$22),N($AH49))))</f>
        <v/>
      </c>
      <c r="AI50">
        <f>IF(OR(Settings!$A$23="",$E50="pre"),"",IF(AND('Month-End'!$AU$11&lt;&gt;"",NOT(_xlfn.ISFORMULA('Month-End'!$AU$11))),N('Month-End'!$AU$11),IF(OR($E50="open",$E49="pre"),N(Settings!$C$23),N($AI49))))</f>
        <v/>
      </c>
      <c r="AJ50">
        <f>IF(OR(Settings!$A$24="",$E50="pre"),"",IF(AND('Month-End'!$AU$12&lt;&gt;"",NOT(_xlfn.ISFORMULA('Month-End'!$AU$12))),N('Month-End'!$AU$12),IF(OR($E50="open",$E49="pre"),N(Settings!$C$24),N($AJ49))))</f>
        <v/>
      </c>
      <c r="AK50">
        <f>IF(OR(Settings!$A$25="",$E50="pre"),"",IF(AND('Month-End'!$AU$13&lt;&gt;"",NOT(_xlfn.ISFORMULA('Month-End'!$AU$13))),N('Month-End'!$AU$13),IF(OR($E50="open",$E49="pre"),N(Settings!$C$25),N($AK49))))</f>
        <v/>
      </c>
      <c r="AL50">
        <f>IF(OR(Settings!$A$26="",$E50="pre"),"",IF(AND('Month-End'!$AU$14&lt;&gt;"",NOT(_xlfn.ISFORMULA('Month-End'!$AU$14))),N('Month-End'!$AU$14),IF(OR($E50="open",$E49="pre"),N(Settings!$C$26),N($AL49))))</f>
        <v/>
      </c>
      <c r="AM50">
        <f>IF(OR(Settings!$A$27="",$E50="pre"),"",IF(AND('Month-End'!$AU$15&lt;&gt;"",NOT(_xlfn.ISFORMULA('Month-End'!$AU$15))),N('Month-End'!$AU$15),IF(OR($E50="open",$E49="pre"),N(Settings!$C$27),N($AM49))))</f>
        <v/>
      </c>
      <c r="AN50">
        <f>IF(OR(Settings!$A$28="",$E50="pre"),"",IF(AND('Month-End'!$AU$16&lt;&gt;"",NOT(_xlfn.ISFORMULA('Month-End'!$AU$16))),N('Month-End'!$AU$16),IF(OR($E50="open",$E49="pre"),N(Settings!$C$28),N($AN49))))</f>
        <v/>
      </c>
      <c r="AO50">
        <f>IF(OR(Settings!$A$29="",$E50="pre"),"",IF(AND('Month-End'!$AU$17&lt;&gt;"",NOT(_xlfn.ISFORMULA('Month-End'!$AU$17))),N('Month-End'!$AU$17),IF(OR($E50="open",$E49="pre"),N(Settings!$C$29),N($AO49))))</f>
        <v/>
      </c>
      <c r="AP50">
        <f>IF(OR(Settings!$A$30="",$E50="pre"),"",IF(AND('Month-End'!$AU$18&lt;&gt;"",NOT(_xlfn.ISFORMULA('Month-End'!$AU$18))),N('Month-End'!$AU$18),IF(OR($E50="open",$E49="pre"),N(Settings!$C$30),N($AP49))))</f>
        <v/>
      </c>
      <c r="AQ50">
        <f>IF(OR(Settings!$A$31="",$E50="pre"),"",IF(AND('Month-End'!$AU$19&lt;&gt;"",NOT(_xlfn.ISFORMULA('Month-End'!$AU$19))),N('Month-End'!$AU$19),IF(OR($E50="open",$E49="pre"),N(Settings!$C$31),N($AQ49))))</f>
        <v/>
      </c>
      <c r="AR50">
        <f>IF(OR(Settings!$A$32="",$E50="pre"),"",IF(AND('Month-End'!$AU$20&lt;&gt;"",NOT(_xlfn.ISFORMULA('Month-End'!$AU$20))),N('Month-End'!$AU$20),IF(OR($E50="open",$E49="pre"),N(Settings!$C$32),N($AR49))))</f>
        <v/>
      </c>
      <c r="AS50">
        <f>IF(OR(Settings!$A$36="",$E50="pre"),"",IF(AND('Month-End'!$AU$38&lt;&gt;"",NOT(_xlfn.ISFORMULA('Month-End'!$AU$38))),N('Month-End'!$AU$38),IF(OR($E50="open",$E49="pre"),N(Settings!$C$36),N($AS49))+$AY50))</f>
        <v/>
      </c>
      <c r="AT50">
        <f>IF(OR(Settings!$A$37="",$E50="pre"),"",IF(AND('Month-End'!$AU$39&lt;&gt;"",NOT(_xlfn.ISFORMULA('Month-End'!$AU$39))),N('Month-End'!$AU$39),IF(OR($E50="open",$E49="pre"),N(Settings!$C$37),N($AT49))+$AZ50))</f>
        <v/>
      </c>
      <c r="AU50">
        <f>IF(OR(Settings!$A$38="",$E50="pre"),"",IF(AND('Month-End'!$AU$40&lt;&gt;"",NOT(_xlfn.ISFORMULA('Month-End'!$AU$40))),N('Month-End'!$AU$40),IF(OR($E50="open",$E49="pre"),N(Settings!$C$38),N($AU49))+$BA50))</f>
        <v/>
      </c>
      <c r="AV50">
        <f>IF(OR(Settings!$A$39="",$E50="pre"),"",IF(AND('Month-End'!$AU$41&lt;&gt;"",NOT(_xlfn.ISFORMULA('Month-End'!$AU$41))),N('Month-End'!$AU$41),IF(OR($E50="open",$E49="pre"),N(Settings!$C$39),N($AV49))+$BB50))</f>
        <v/>
      </c>
      <c r="AW50">
        <f>IF(OR(Settings!$A$40="",$E50="pre"),"",IF(AND('Month-End'!$AU$42&lt;&gt;"",NOT(_xlfn.ISFORMULA('Month-End'!$AU$42))),N('Month-End'!$AU$42),IF(OR($E50="open",$E49="pre"),N(Settings!$C$40),N($AW49))+$BC50))</f>
        <v/>
      </c>
      <c r="AX50">
        <f>IF(OR(Settings!$A$41="",$E50="pre"),"",IF(AND('Month-End'!$AU$43&lt;&gt;"",NOT(_xlfn.ISFORMULA('Month-End'!$AU$43))),N('Month-End'!$AU$43),IF(OR($E50="open",$E49="pre"),N(Settings!$C$41),N($AX49))+$BD50))</f>
        <v/>
      </c>
      <c r="AY50">
        <f>IF($E50="pre",0,N('Month-End'!$AU$45))</f>
        <v/>
      </c>
      <c r="AZ50">
        <f>IF($E50="pre",0,N('Month-End'!$AU$46))</f>
        <v/>
      </c>
      <c r="BA50">
        <f>IF($E50="pre",0,N('Month-End'!$AU$47))</f>
        <v/>
      </c>
      <c r="BB50">
        <f>IF($E50="pre",0,N('Month-End'!$AU$48))</f>
        <v/>
      </c>
      <c r="BC50">
        <f>IF($E50="pre",0,N('Month-End'!$AU$49))</f>
        <v/>
      </c>
      <c r="BD50">
        <f>IF($E50="pre",0,N('Month-End'!$AU$50))</f>
        <v/>
      </c>
      <c r="BE50">
        <f>IF(OR(Settings!$C$45="",Settings!$D$45=""),0,Settings!$C$45*IF(Settings!$D$45="Weekly",IF(IFERROR(MATCH(Settings!$E$45,$EO$4:$EO$10,0),0)=0,0,IF(MIN($C50,IF(Settings!$G$45="",$C50,Settings!$G$45))&lt;MAX($A50,Settings!$F$45),0,INT((MIN($C50,IF(Settings!$G$45="",$C50,Settings!$G$45))-MAX($A50,Settings!$F$45)-MOD(IFERROR(MATCH(Settings!$E$45,$EO$4:$EO$10,0),0)-WEEKDAY(MAX($A50,Settings!$F$45)),7))/7)+1)),IF(AND(IF(Settings!$E$45="",$B50,DATE(YEAR($A50),MONTH($A50),MIN(Settings!$E$45,DAY($B50))))&gt;=MAX($A50,Settings!$F$45),IF(Settings!$E$45="",$B50,DATE(YEAR($A50),MONTH($A50),MIN(Settings!$E$45,DAY($B50))))&lt;=MIN($C50,IF(Settings!$G$45="",$C50,Settings!$G$45))),1,0)))</f>
        <v/>
      </c>
      <c r="BF50">
        <f>IF(OR(Settings!$C$46="",Settings!$D$46=""),0,Settings!$C$46*IF(Settings!$D$46="Weekly",IF(IFERROR(MATCH(Settings!$E$46,$EO$4:$EO$10,0),0)=0,0,IF(MIN($C50,IF(Settings!$G$46="",$C50,Settings!$G$46))&lt;MAX($A50,Settings!$F$46),0,INT((MIN($C50,IF(Settings!$G$46="",$C50,Settings!$G$46))-MAX($A50,Settings!$F$46)-MOD(IFERROR(MATCH(Settings!$E$46,$EO$4:$EO$10,0),0)-WEEKDAY(MAX($A50,Settings!$F$46)),7))/7)+1)),IF(AND(IF(Settings!$E$46="",$B50,DATE(YEAR($A50),MONTH($A50),MIN(Settings!$E$46,DAY($B50))))&gt;=MAX($A50,Settings!$F$46),IF(Settings!$E$46="",$B50,DATE(YEAR($A50),MONTH($A50),MIN(Settings!$E$46,DAY($B50))))&lt;=MIN($C50,IF(Settings!$G$46="",$C50,Settings!$G$46))),1,0)))</f>
        <v/>
      </c>
      <c r="BG50">
        <f>IF(OR(Settings!$C$47="",Settings!$D$47=""),0,Settings!$C$47*IF(Settings!$D$47="Weekly",IF(IFERROR(MATCH(Settings!$E$47,$EO$4:$EO$10,0),0)=0,0,IF(MIN($C50,IF(Settings!$G$47="",$C50,Settings!$G$47))&lt;MAX($A50,Settings!$F$47),0,INT((MIN($C50,IF(Settings!$G$47="",$C50,Settings!$G$47))-MAX($A50,Settings!$F$47)-MOD(IFERROR(MATCH(Settings!$E$47,$EO$4:$EO$10,0),0)-WEEKDAY(MAX($A50,Settings!$F$47)),7))/7)+1)),IF(AND(IF(Settings!$E$47="",$B50,DATE(YEAR($A50),MONTH($A50),MIN(Settings!$E$47,DAY($B50))))&gt;=MAX($A50,Settings!$F$47),IF(Settings!$E$47="",$B50,DATE(YEAR($A50),MONTH($A50),MIN(Settings!$E$47,DAY($B50))))&lt;=MIN($C50,IF(Settings!$G$47="",$C50,Settings!$G$47))),1,0)))</f>
        <v/>
      </c>
      <c r="BH50">
        <f>IF(OR(Settings!$C$48="",Settings!$D$48=""),0,Settings!$C$48*IF(Settings!$D$48="Weekly",IF(IFERROR(MATCH(Settings!$E$48,$EO$4:$EO$10,0),0)=0,0,IF(MIN($C50,IF(Settings!$G$48="",$C50,Settings!$G$48))&lt;MAX($A50,Settings!$F$48),0,INT((MIN($C50,IF(Settings!$G$48="",$C50,Settings!$G$48))-MAX($A50,Settings!$F$48)-MOD(IFERROR(MATCH(Settings!$E$48,$EO$4:$EO$10,0),0)-WEEKDAY(MAX($A50,Settings!$F$48)),7))/7)+1)),IF(AND(IF(Settings!$E$48="",$B50,DATE(YEAR($A50),MONTH($A50),MIN(Settings!$E$48,DAY($B50))))&gt;=MAX($A50,Settings!$F$48),IF(Settings!$E$48="",$B50,DATE(YEAR($A50),MONTH($A50),MIN(Settings!$E$48,DAY($B50))))&lt;=MIN($C50,IF(Settings!$G$48="",$C50,Settings!$G$48))),1,0)))</f>
        <v/>
      </c>
      <c r="BI50">
        <f>IF(OR(Settings!$C$49="",Settings!$D$49=""),0,Settings!$C$49*IF(Settings!$D$49="Weekly",IF(IFERROR(MATCH(Settings!$E$49,$EO$4:$EO$10,0),0)=0,0,IF(MIN($C50,IF(Settings!$G$49="",$C50,Settings!$G$49))&lt;MAX($A50,Settings!$F$49),0,INT((MIN($C50,IF(Settings!$G$49="",$C50,Settings!$G$49))-MAX($A50,Settings!$F$49)-MOD(IFERROR(MATCH(Settings!$E$49,$EO$4:$EO$10,0),0)-WEEKDAY(MAX($A50,Settings!$F$49)),7))/7)+1)),IF(AND(IF(Settings!$E$49="",$B50,DATE(YEAR($A50),MONTH($A50),MIN(Settings!$E$49,DAY($B50))))&gt;=MAX($A50,Settings!$F$49),IF(Settings!$E$49="",$B50,DATE(YEAR($A50),MONTH($A50),MIN(Settings!$E$49,DAY($B50))))&lt;=MIN($C50,IF(Settings!$G$49="",$C50,Settings!$G$49))),1,0)))</f>
        <v/>
      </c>
      <c r="BJ50">
        <f>IF(OR(Settings!$C$50="",Settings!$D$50=""),0,Settings!$C$50*IF(Settings!$D$50="Weekly",IF(IFERROR(MATCH(Settings!$E$50,$EO$4:$EO$10,0),0)=0,0,IF(MIN($C50,IF(Settings!$G$50="",$C50,Settings!$G$50))&lt;MAX($A50,Settings!$F$50),0,INT((MIN($C50,IF(Settings!$G$50="",$C50,Settings!$G$50))-MAX($A50,Settings!$F$50)-MOD(IFERROR(MATCH(Settings!$E$50,$EO$4:$EO$10,0),0)-WEEKDAY(MAX($A50,Settings!$F$50)),7))/7)+1)),IF(AND(IF(Settings!$E$50="",$B50,DATE(YEAR($A50),MONTH($A50),MIN(Settings!$E$50,DAY($B50))))&gt;=MAX($A50,Settings!$F$50),IF(Settings!$E$50="",$B50,DATE(YEAR($A50),MONTH($A50),MIN(Settings!$E$50,DAY($B50))))&lt;=MIN($C50,IF(Settings!$G$50="",$C50,Settings!$G$50))),1,0)))</f>
        <v/>
      </c>
      <c r="BK50">
        <f>IF(OR(Settings!$C$51="",Settings!$D$51=""),0,Settings!$C$51*IF(Settings!$D$51="Weekly",IF(IFERROR(MATCH(Settings!$E$51,$EO$4:$EO$10,0),0)=0,0,IF(MIN($C50,IF(Settings!$G$51="",$C50,Settings!$G$51))&lt;MAX($A50,Settings!$F$51),0,INT((MIN($C50,IF(Settings!$G$51="",$C50,Settings!$G$51))-MAX($A50,Settings!$F$51)-MOD(IFERROR(MATCH(Settings!$E$51,$EO$4:$EO$10,0),0)-WEEKDAY(MAX($A50,Settings!$F$51)),7))/7)+1)),IF(AND(IF(Settings!$E$51="",$B50,DATE(YEAR($A50),MONTH($A50),MIN(Settings!$E$51,DAY($B50))))&gt;=MAX($A50,Settings!$F$51),IF(Settings!$E$51="",$B50,DATE(YEAR($A50),MONTH($A50),MIN(Settings!$E$51,DAY($B50))))&lt;=MIN($C50,IF(Settings!$G$51="",$C50,Settings!$G$51))),1,0)))</f>
        <v/>
      </c>
      <c r="BL50">
        <f>IF(OR(Settings!$C$52="",Settings!$D$52=""),0,Settings!$C$52*IF(Settings!$D$52="Weekly",IF(IFERROR(MATCH(Settings!$E$52,$EO$4:$EO$10,0),0)=0,0,IF(MIN($C50,IF(Settings!$G$52="",$C50,Settings!$G$52))&lt;MAX($A50,Settings!$F$52),0,INT((MIN($C50,IF(Settings!$G$52="",$C50,Settings!$G$52))-MAX($A50,Settings!$F$52)-MOD(IFERROR(MATCH(Settings!$E$52,$EO$4:$EO$10,0),0)-WEEKDAY(MAX($A50,Settings!$F$52)),7))/7)+1)),IF(AND(IF(Settings!$E$52="",$B50,DATE(YEAR($A50),MONTH($A50),MIN(Settings!$E$52,DAY($B50))))&gt;=MAX($A50,Settings!$F$52),IF(Settings!$E$52="",$B50,DATE(YEAR($A50),MONTH($A50),MIN(Settings!$E$52,DAY($B50))))&lt;=MIN($C50,IF(Settings!$G$52="",$C50,Settings!$G$52))),1,0)))</f>
        <v/>
      </c>
      <c r="BM50">
        <f>IF(OR(Settings!$C$53="",Settings!$D$53=""),0,Settings!$C$53*IF(Settings!$D$53="Weekly",IF(IFERROR(MATCH(Settings!$E$53,$EO$4:$EO$10,0),0)=0,0,IF(MIN($C50,IF(Settings!$G$53="",$C50,Settings!$G$53))&lt;MAX($A50,Settings!$F$53),0,INT((MIN($C50,IF(Settings!$G$53="",$C50,Settings!$G$53))-MAX($A50,Settings!$F$53)-MOD(IFERROR(MATCH(Settings!$E$53,$EO$4:$EO$10,0),0)-WEEKDAY(MAX($A50,Settings!$F$53)),7))/7)+1)),IF(AND(IF(Settings!$E$53="",$B50,DATE(YEAR($A50),MONTH($A50),MIN(Settings!$E$53,DAY($B50))))&gt;=MAX($A50,Settings!$F$53),IF(Settings!$E$53="",$B50,DATE(YEAR($A50),MONTH($A50),MIN(Settings!$E$53,DAY($B50))))&lt;=MIN($C50,IF(Settings!$G$53="",$C50,Settings!$G$53))),1,0)))</f>
        <v/>
      </c>
      <c r="BN50">
        <f>IF(OR(Settings!$C$54="",Settings!$D$54=""),0,Settings!$C$54*IF(Settings!$D$54="Weekly",IF(IFERROR(MATCH(Settings!$E$54,$EO$4:$EO$10,0),0)=0,0,IF(MIN($C50,IF(Settings!$G$54="",$C50,Settings!$G$54))&lt;MAX($A50,Settings!$F$54),0,INT((MIN($C50,IF(Settings!$G$54="",$C50,Settings!$G$54))-MAX($A50,Settings!$F$54)-MOD(IFERROR(MATCH(Settings!$E$54,$EO$4:$EO$10,0),0)-WEEKDAY(MAX($A50,Settings!$F$54)),7))/7)+1)),IF(AND(IF(Settings!$E$54="",$B50,DATE(YEAR($A50),MONTH($A50),MIN(Settings!$E$54,DAY($B50))))&gt;=MAX($A50,Settings!$F$54),IF(Settings!$E$54="",$B50,DATE(YEAR($A50),MONTH($A50),MIN(Settings!$E$54,DAY($B50))))&lt;=MIN($C50,IF(Settings!$G$54="",$C50,Settings!$G$54))),1,0)))</f>
        <v/>
      </c>
      <c r="BO50">
        <f>IF(OR(Settings!$C$55="",Settings!$D$55=""),0,Settings!$C$55*IF(Settings!$D$55="Weekly",IF(IFERROR(MATCH(Settings!$E$55,$EO$4:$EO$10,0),0)=0,0,IF(MIN($C50,IF(Settings!$G$55="",$C50,Settings!$G$55))&lt;MAX($A50,Settings!$F$55),0,INT((MIN($C50,IF(Settings!$G$55="",$C50,Settings!$G$55))-MAX($A50,Settings!$F$55)-MOD(IFERROR(MATCH(Settings!$E$55,$EO$4:$EO$10,0),0)-WEEKDAY(MAX($A50,Settings!$F$55)),7))/7)+1)),IF(AND(IF(Settings!$E$55="",$B50,DATE(YEAR($A50),MONTH($A50),MIN(Settings!$E$55,DAY($B50))))&gt;=MAX($A50,Settings!$F$55),IF(Settings!$E$55="",$B50,DATE(YEAR($A50),MONTH($A50),MIN(Settings!$E$55,DAY($B50))))&lt;=MIN($C50,IF(Settings!$G$55="",$C50,Settings!$G$55))),1,0)))</f>
        <v/>
      </c>
      <c r="BP50">
        <f>IF(OR(Settings!$C$56="",Settings!$D$56=""),0,Settings!$C$56*IF(Settings!$D$56="Weekly",IF(IFERROR(MATCH(Settings!$E$56,$EO$4:$EO$10,0),0)=0,0,IF(MIN($C50,IF(Settings!$G$56="",$C50,Settings!$G$56))&lt;MAX($A50,Settings!$F$56),0,INT((MIN($C50,IF(Settings!$G$56="",$C50,Settings!$G$56))-MAX($A50,Settings!$F$56)-MOD(IFERROR(MATCH(Settings!$E$56,$EO$4:$EO$10,0),0)-WEEKDAY(MAX($A50,Settings!$F$56)),7))/7)+1)),IF(AND(IF(Settings!$E$56="",$B50,DATE(YEAR($A50),MONTH($A50),MIN(Settings!$E$56,DAY($B50))))&gt;=MAX($A50,Settings!$F$56),IF(Settings!$E$56="",$B50,DATE(YEAR($A50),MONTH($A50),MIN(Settings!$E$56,DAY($B50))))&lt;=MIN($C50,IF(Settings!$G$56="",$C50,Settings!$G$56))),1,0)))</f>
        <v/>
      </c>
      <c r="BQ50">
        <f>IF(OR(Settings!$B$14="",$D50=1,$E50="pre",$A50&lt;IF(Settings!$B$15="",0,Settings!$B$15)),0,Settings!$B$14)</f>
        <v/>
      </c>
      <c r="BR50">
        <f>IF(AND('Month-End'!$AU$7&lt;&gt;"",NOT(_xlfn.ISFORMULA('Month-End'!$AU$7))),1,0)</f>
        <v/>
      </c>
      <c r="BS50">
        <f>IF(AND('Month-End'!$AU$8&lt;&gt;"",NOT(_xlfn.ISFORMULA('Month-End'!$AU$8))),1,0)</f>
        <v/>
      </c>
      <c r="BT50">
        <f>IF(AND('Month-End'!$AU$9&lt;&gt;"",NOT(_xlfn.ISFORMULA('Month-End'!$AU$9))),1,0)</f>
        <v/>
      </c>
      <c r="BU50">
        <f>IF(AND('Month-End'!$AU$10&lt;&gt;"",NOT(_xlfn.ISFORMULA('Month-End'!$AU$10))),1,0)</f>
        <v/>
      </c>
      <c r="BV50">
        <f>IF(AND('Month-End'!$AU$11&lt;&gt;"",NOT(_xlfn.ISFORMULA('Month-End'!$AU$11))),1,0)</f>
        <v/>
      </c>
      <c r="BW50">
        <f>IF(AND('Month-End'!$AU$12&lt;&gt;"",NOT(_xlfn.ISFORMULA('Month-End'!$AU$12))),1,0)</f>
        <v/>
      </c>
      <c r="BX50">
        <f>IF(AND('Month-End'!$AU$13&lt;&gt;"",NOT(_xlfn.ISFORMULA('Month-End'!$AU$13))),1,0)</f>
        <v/>
      </c>
      <c r="BY50">
        <f>IF(AND('Month-End'!$AU$14&lt;&gt;"",NOT(_xlfn.ISFORMULA('Month-End'!$AU$14))),1,0)</f>
        <v/>
      </c>
      <c r="BZ50">
        <f>IF(AND('Month-End'!$AU$15&lt;&gt;"",NOT(_xlfn.ISFORMULA('Month-End'!$AU$15))),1,0)</f>
        <v/>
      </c>
      <c r="CA50">
        <f>IF(AND('Month-End'!$AU$16&lt;&gt;"",NOT(_xlfn.ISFORMULA('Month-End'!$AU$16))),1,0)</f>
        <v/>
      </c>
      <c r="CB50">
        <f>IF(AND('Month-End'!$AU$17&lt;&gt;"",NOT(_xlfn.ISFORMULA('Month-End'!$AU$17))),1,0)</f>
        <v/>
      </c>
      <c r="CC50">
        <f>IF(AND('Month-End'!$AU$18&lt;&gt;"",NOT(_xlfn.ISFORMULA('Month-End'!$AU$18))),1,0)</f>
        <v/>
      </c>
      <c r="CD50">
        <f>IF(AND('Month-End'!$AU$19&lt;&gt;"",NOT(_xlfn.ISFORMULA('Month-End'!$AU$19))),1,0)</f>
        <v/>
      </c>
      <c r="CE50">
        <f>IF(AND('Month-End'!$AU$20&lt;&gt;"",NOT(_xlfn.ISFORMULA('Month-End'!$AU$20))),1,0)</f>
        <v/>
      </c>
      <c r="CF50">
        <f>IF(AND('Month-End'!$AU$38&lt;&gt;"",NOT(_xlfn.ISFORMULA('Month-End'!$AU$38))),1,0)</f>
        <v/>
      </c>
      <c r="CG50">
        <f>IF(AND('Month-End'!$AU$39&lt;&gt;"",NOT(_xlfn.ISFORMULA('Month-End'!$AU$39))),1,0)</f>
        <v/>
      </c>
      <c r="CH50">
        <f>IF(AND('Month-End'!$AU$40&lt;&gt;"",NOT(_xlfn.ISFORMULA('Month-End'!$AU$40))),1,0)</f>
        <v/>
      </c>
      <c r="CI50">
        <f>IF(AND('Month-End'!$AU$41&lt;&gt;"",NOT(_xlfn.ISFORMULA('Month-End'!$AU$41))),1,0)</f>
        <v/>
      </c>
      <c r="CJ50">
        <f>IF(AND('Month-End'!$AU$42&lt;&gt;"",NOT(_xlfn.ISFORMULA('Month-End'!$AU$42))),1,0)</f>
        <v/>
      </c>
      <c r="CK50">
        <f>IF(AND('Month-End'!$AU$43&lt;&gt;"",NOT(_xlfn.ISFORMULA('Month-End'!$AU$43))),1,0)</f>
        <v/>
      </c>
      <c r="CL50">
        <f>SUM($CM50:$CZ50)</f>
        <v/>
      </c>
      <c r="CM50">
        <f>IF(AND($E50&lt;&gt;"pre",AND(Settings!$A$19&lt;&gt;"",Settings!$E$19&lt;&gt;"No"),Settings!$F$19="Yes",NOT(AND('Month-End'!$AU$7&lt;&gt;"",NOT(_xlfn.ISFORMULA('Month-End'!$AU$7))))),1,0)</f>
        <v/>
      </c>
      <c r="CN50">
        <f>IF(AND($E50&lt;&gt;"pre",AND(Settings!$A$20&lt;&gt;"",Settings!$E$20&lt;&gt;"No"),Settings!$F$20="Yes",NOT(AND('Month-End'!$AU$8&lt;&gt;"",NOT(_xlfn.ISFORMULA('Month-End'!$AU$8))))),1,0)</f>
        <v/>
      </c>
      <c r="CO50">
        <f>IF(AND($E50&lt;&gt;"pre",AND(Settings!$A$21&lt;&gt;"",Settings!$E$21&lt;&gt;"No"),Settings!$F$21="Yes",NOT(AND('Month-End'!$AU$9&lt;&gt;"",NOT(_xlfn.ISFORMULA('Month-End'!$AU$9))))),1,0)</f>
        <v/>
      </c>
      <c r="CP50">
        <f>IF(AND($E50&lt;&gt;"pre",AND(Settings!$A$22&lt;&gt;"",Settings!$E$22&lt;&gt;"No"),Settings!$F$22="Yes",NOT(AND('Month-End'!$AU$10&lt;&gt;"",NOT(_xlfn.ISFORMULA('Month-End'!$AU$10))))),1,0)</f>
        <v/>
      </c>
      <c r="CQ50">
        <f>IF(AND($E50&lt;&gt;"pre",AND(Settings!$A$23&lt;&gt;"",Settings!$E$23&lt;&gt;"No"),Settings!$F$23="Yes",NOT(AND('Month-End'!$AU$11&lt;&gt;"",NOT(_xlfn.ISFORMULA('Month-End'!$AU$11))))),1,0)</f>
        <v/>
      </c>
      <c r="CR50">
        <f>IF(AND($E50&lt;&gt;"pre",AND(Settings!$A$24&lt;&gt;"",Settings!$E$24&lt;&gt;"No"),Settings!$F$24="Yes",NOT(AND('Month-End'!$AU$12&lt;&gt;"",NOT(_xlfn.ISFORMULA('Month-End'!$AU$12))))),1,0)</f>
        <v/>
      </c>
      <c r="CS50">
        <f>IF(AND($E50&lt;&gt;"pre",AND(Settings!$A$25&lt;&gt;"",Settings!$E$25&lt;&gt;"No"),Settings!$F$25="Yes",NOT(AND('Month-End'!$AU$13&lt;&gt;"",NOT(_xlfn.ISFORMULA('Month-End'!$AU$13))))),1,0)</f>
        <v/>
      </c>
      <c r="CT50">
        <f>IF(AND($E50&lt;&gt;"pre",AND(Settings!$A$26&lt;&gt;"",Settings!$E$26&lt;&gt;"No"),Settings!$F$26="Yes",NOT(AND('Month-End'!$AU$14&lt;&gt;"",NOT(_xlfn.ISFORMULA('Month-End'!$AU$14))))),1,0)</f>
        <v/>
      </c>
      <c r="CU50">
        <f>IF(AND($E50&lt;&gt;"pre",AND(Settings!$A$27&lt;&gt;"",Settings!$E$27&lt;&gt;"No"),Settings!$F$27="Yes",NOT(AND('Month-End'!$AU$15&lt;&gt;"",NOT(_xlfn.ISFORMULA('Month-End'!$AU$15))))),1,0)</f>
        <v/>
      </c>
      <c r="CV50">
        <f>IF(AND($E50&lt;&gt;"pre",AND(Settings!$A$28&lt;&gt;"",Settings!$E$28&lt;&gt;"No"),Settings!$F$28="Yes",NOT(AND('Month-End'!$AU$16&lt;&gt;"",NOT(_xlfn.ISFORMULA('Month-End'!$AU$16))))),1,0)</f>
        <v/>
      </c>
      <c r="CW50">
        <f>IF(AND($E50&lt;&gt;"pre",AND(Settings!$A$29&lt;&gt;"",Settings!$E$29&lt;&gt;"No"),Settings!$F$29="Yes",NOT(AND('Month-End'!$AU$17&lt;&gt;"",NOT(_xlfn.ISFORMULA('Month-End'!$AU$17))))),1,0)</f>
        <v/>
      </c>
      <c r="CX50">
        <f>IF(AND($E50&lt;&gt;"pre",AND(Settings!$A$30&lt;&gt;"",Settings!$E$30&lt;&gt;"No"),Settings!$F$30="Yes",NOT(AND('Month-End'!$AU$18&lt;&gt;"",NOT(_xlfn.ISFORMULA('Month-End'!$AU$18))))),1,0)</f>
        <v/>
      </c>
      <c r="CY50">
        <f>IF(AND($E50&lt;&gt;"pre",AND(Settings!$A$31&lt;&gt;"",Settings!$E$31&lt;&gt;"No"),Settings!$F$31="Yes",NOT(AND('Month-End'!$AU$19&lt;&gt;"",NOT(_xlfn.ISFORMULA('Month-End'!$AU$19))))),1,0)</f>
        <v/>
      </c>
      <c r="CZ50">
        <f>IF(AND($E50&lt;&gt;"pre",AND(Settings!$A$32&lt;&gt;"",Settings!$E$32&lt;&gt;"No"),Settings!$F$32="Yes",NOT(AND('Month-End'!$AU$20&lt;&gt;"",NOT(_xlfn.ISFORMULA('Month-End'!$AU$20))))),1,0)</f>
        <v/>
      </c>
      <c r="DA50">
        <f>IF($DT50=1,IF(OR(Settings!$B$19="Checking",Settings!$B$19="Savings",Settings!$B$19="Cash"),N($AE50),IF(OR(Settings!$B$19="Card",Settings!$B$19="Loan"),-N($AE50),0))+IF(OR(Settings!$B$20="Checking",Settings!$B$20="Savings",Settings!$B$20="Cash"),N($AF50),IF(OR(Settings!$B$20="Card",Settings!$B$20="Loan"),-N($AF50),0))+IF(OR(Settings!$B$21="Checking",Settings!$B$21="Savings",Settings!$B$21="Cash"),N($AG50),IF(OR(Settings!$B$21="Card",Settings!$B$21="Loan"),-N($AG50),0))+IF(OR(Settings!$B$22="Checking",Settings!$B$22="Savings",Settings!$B$22="Cash"),N($AH50),IF(OR(Settings!$B$22="Card",Settings!$B$22="Loan"),-N($AH50),0))+IF(OR(Settings!$B$23="Checking",Settings!$B$23="Savings",Settings!$B$23="Cash"),N($AI50),IF(OR(Settings!$B$23="Card",Settings!$B$23="Loan"),-N($AI50),0))+IF(OR(Settings!$B$24="Checking",Settings!$B$24="Savings",Settings!$B$24="Cash"),N($AJ50),IF(OR(Settings!$B$24="Card",Settings!$B$24="Loan"),-N($AJ50),0))+IF(OR(Settings!$B$25="Checking",Settings!$B$25="Savings",Settings!$B$25="Cash"),N($AK50),IF(OR(Settings!$B$25="Card",Settings!$B$25="Loan"),-N($AK50),0))+IF(OR(Settings!$B$26="Checking",Settings!$B$26="Savings",Settings!$B$26="Cash"),N($AL50),IF(OR(Settings!$B$26="Card",Settings!$B$26="Loan"),-N($AL50),0))+IF(OR(Settings!$B$27="Checking",Settings!$B$27="Savings",Settings!$B$27="Cash"),N($AM50),IF(OR(Settings!$B$27="Card",Settings!$B$27="Loan"),-N($AM50),0))+IF(OR(Settings!$B$28="Checking",Settings!$B$28="Savings",Settings!$B$28="Cash"),N($AN50),IF(OR(Settings!$B$28="Card",Settings!$B$28="Loan"),-N($AN50),0))+IF(OR(Settings!$B$29="Checking",Settings!$B$29="Savings",Settings!$B$29="Cash"),N($AO50),IF(OR(Settings!$B$29="Card",Settings!$B$29="Loan"),-N($AO50),0))+IF(OR(Settings!$B$30="Checking",Settings!$B$30="Savings",Settings!$B$30="Cash"),N($AP50),IF(OR(Settings!$B$30="Card",Settings!$B$30="Loan"),-N($AP50),0))+IF(OR(Settings!$B$31="Checking",Settings!$B$31="Savings",Settings!$B$31="Cash"),N($AQ50),IF(OR(Settings!$B$31="Card",Settings!$B$31="Loan"),-N($AQ50),0))+IF(OR(Settings!$B$32="Checking",Settings!$B$32="Savings",Settings!$B$32="Cash"),N($AR50),IF(OR(Settings!$B$32="Card",Settings!$B$32="Loan"),-N($AR50),0)),"")</f>
        <v/>
      </c>
      <c r="DB50">
        <f>IF($E50="open",$EB$27,IF($E50="post",IF($E49="pre",$EB$27,$DA49),""))</f>
        <v/>
      </c>
      <c r="DC50">
        <f>IF($E50="open",1,IF($E50="post",IF($E49="pre",1,$DT49),0))</f>
        <v/>
      </c>
      <c r="DD50">
        <f>IF(AND($DT50=1,$DC50=1),ROUND($W50-($DA50-$DB50)-$AD50-$AB50,2),"")</f>
        <v/>
      </c>
      <c r="DE50">
        <f>IF('Month-End'!$AU$35="",$BQ50,N('Month-End'!$AU$35))</f>
        <v/>
      </c>
      <c r="DF50">
        <f>N('Month-End'!$AU$36)</f>
        <v/>
      </c>
      <c r="DG50">
        <f>IF($DD50="","",$DD50+$DE50)</f>
        <v/>
      </c>
      <c r="DH50">
        <f>IF($DG50="","",$DG50-$DF50)</f>
        <v/>
      </c>
      <c r="DI50">
        <f>IF(OR($E50="pre",$D50=1),"",N($AS50)+N($AT50)+N($AU50)+N($AV50)+N($AW50)+N($AX50))</f>
        <v/>
      </c>
      <c r="DJ50">
        <f>IF($DT50=1,$DA50+N($DI50),"")</f>
        <v/>
      </c>
      <c r="DK50">
        <f>IF($DD50="","",$W50-$DD50-$AB50)</f>
        <v/>
      </c>
      <c r="DL50">
        <f>IF(AND($E50="post",$DD50&lt;&gt;"",$B50&lt;TODAY()),1,0)</f>
        <v/>
      </c>
      <c r="DM50">
        <f>IF($DL50=1,COUNTIF($DL50:$DL$183,1),0)</f>
        <v/>
      </c>
      <c r="DN50">
        <f>IF($D50=1,"",IF($E50="pre","History only",IF($DT50=1,IF($DD50="","⚠ Previous month missing",IF($DD50&lt;0,"⚠ Check: spending &lt; 0",IF($E50="open","✓ Done (partial)","✓ Done"))),IF($B50&gt;=TODAY(),"In progress","⚠ Needs balances"))))</f>
        <v/>
      </c>
      <c r="DO50">
        <f>YEAR($A50)</f>
        <v/>
      </c>
      <c r="DP50">
        <f>DATE(YEAR($A50),INT((MONTH($A50)-1)/3)*3+1,1)</f>
        <v/>
      </c>
      <c r="DQ50">
        <f>IF(AND($DT50=1,$DD50&lt;&gt;"",$D50=0),ROW(),0)</f>
        <v/>
      </c>
      <c r="DR50">
        <f>IF(AND($E50&lt;&gt;"pre",$B50&lt;TODAY(),$DT50=0),1,0)</f>
        <v/>
      </c>
      <c r="DS50">
        <f>IF($DJ50="",NA(),$DJ50)</f>
        <v/>
      </c>
      <c r="DT50">
        <f>IF(AND($E50&lt;&gt;"pre",$CL50=0,COUNTIFS(Settings!$F$19:$F$32,"Yes",Settings!$A$19:$A$32,"&lt;&gt;",Settings!$E$19:$E$32,"&lt;&gt;No")&gt;0),1,0)</f>
        <v/>
      </c>
      <c r="DU50">
        <f>IF(AND($B50&lt;TODAY(),$S50&gt;0),1,0)</f>
        <v/>
      </c>
      <c r="DV50">
        <f>IF($DU50=1,COUNTIF($DU50:$DU$183,1),0)</f>
        <v/>
      </c>
      <c r="DW50">
        <f>IF(AND(OR(Settings!$B$19="Card",Settings!$B$19="Loan"),AND('Month-End'!$AU$7&lt;&gt;"",NOT(_xlfn.ISFORMULA('Month-End'!$AU$7)))),IF(N('Month-End'!$AU$7)&lt;0,1,0),0)+IF(AND(OR(Settings!$B$20="Card",Settings!$B$20="Loan"),AND('Month-End'!$AU$8&lt;&gt;"",NOT(_xlfn.ISFORMULA('Month-End'!$AU$8)))),IF(N('Month-End'!$AU$8)&lt;0,1,0),0)+IF(AND(OR(Settings!$B$21="Card",Settings!$B$21="Loan"),AND('Month-End'!$AU$9&lt;&gt;"",NOT(_xlfn.ISFORMULA('Month-End'!$AU$9)))),IF(N('Month-End'!$AU$9)&lt;0,1,0),0)+IF(AND(OR(Settings!$B$22="Card",Settings!$B$22="Loan"),AND('Month-End'!$AU$10&lt;&gt;"",NOT(_xlfn.ISFORMULA('Month-End'!$AU$10)))),IF(N('Month-End'!$AU$10)&lt;0,1,0),0)+IF(AND(OR(Settings!$B$23="Card",Settings!$B$23="Loan"),AND('Month-End'!$AU$11&lt;&gt;"",NOT(_xlfn.ISFORMULA('Month-End'!$AU$11)))),IF(N('Month-End'!$AU$11)&lt;0,1,0),0)+IF(AND(OR(Settings!$B$24="Card",Settings!$B$24="Loan"),AND('Month-End'!$AU$12&lt;&gt;"",NOT(_xlfn.ISFORMULA('Month-End'!$AU$12)))),IF(N('Month-End'!$AU$12)&lt;0,1,0),0)+IF(AND(OR(Settings!$B$25="Card",Settings!$B$25="Loan"),AND('Month-End'!$AU$13&lt;&gt;"",NOT(_xlfn.ISFORMULA('Month-End'!$AU$13)))),IF(N('Month-End'!$AU$13)&lt;0,1,0),0)+IF(AND(OR(Settings!$B$26="Card",Settings!$B$26="Loan"),AND('Month-End'!$AU$14&lt;&gt;"",NOT(_xlfn.ISFORMULA('Month-End'!$AU$14)))),IF(N('Month-End'!$AU$14)&lt;0,1,0),0)+IF(AND(OR(Settings!$B$27="Card",Settings!$B$27="Loan"),AND('Month-End'!$AU$15&lt;&gt;"",NOT(_xlfn.ISFORMULA('Month-End'!$AU$15)))),IF(N('Month-End'!$AU$15)&lt;0,1,0),0)+IF(AND(OR(Settings!$B$28="Card",Settings!$B$28="Loan"),AND('Month-End'!$AU$16&lt;&gt;"",NOT(_xlfn.ISFORMULA('Month-End'!$AU$16)))),IF(N('Month-End'!$AU$16)&lt;0,1,0),0)+IF(AND(OR(Settings!$B$29="Card",Settings!$B$29="Loan"),AND('Month-End'!$AU$17&lt;&gt;"",NOT(_xlfn.ISFORMULA('Month-End'!$AU$17)))),IF(N('Month-End'!$AU$17)&lt;0,1,0),0)+IF(AND(OR(Settings!$B$30="Card",Settings!$B$30="Loan"),AND('Month-End'!$AU$18&lt;&gt;"",NOT(_xlfn.ISFORMULA('Month-End'!$AU$18)))),IF(N('Month-End'!$AU$18)&lt;0,1,0),0)+IF(AND(OR(Settings!$B$31="Card",Settings!$B$31="Loan"),AND('Month-End'!$AU$19&lt;&gt;"",NOT(_xlfn.ISFORMULA('Month-End'!$AU$19)))),IF(N('Month-End'!$AU$19)&lt;0,1,0),0)+IF(AND(OR(Settings!$B$32="Card",Settings!$B$32="Loan"),AND('Month-End'!$AU$20&lt;&gt;"",NOT(_xlfn.ISFORMULA('Month-End'!$AU$20)))),IF(N('Month-End'!$AU$20)&lt;0,1,0),0)</f>
        <v/>
      </c>
      <c r="DX50">
        <f>IF(Settings!$B$36="Retirement",$AY50,0)+IF(Settings!$B$37="Retirement",$AZ50,0)+IF(Settings!$B$38="Retirement",$BA50,0)+IF(Settings!$B$39="Retirement",$BB50,0)+IF(Settings!$B$40="Retirement",$BC50,0)+IF(Settings!$B$41="Retirement",$BD50,0)</f>
        <v/>
      </c>
      <c r="EA50">
        <f>IF(Settings!$A$29="","",Settings!$A$29)</f>
        <v/>
      </c>
      <c r="EB50">
        <f>IF(Settings!$A$29="","",IF($EB$5=0,N(Settings!$C$29),N(INDEX($AO:$AO,$EB$5))))</f>
        <v/>
      </c>
      <c r="EC50">
        <f>""</f>
        <v/>
      </c>
      <c r="ED50">
        <f>IF(AND(AND(Settings!$A$29&lt;&gt;"",Settings!$E$29&lt;&gt;"No"),Settings!$B$29="Cash",Settings!$B$5&lt;EDATE(TODAY(),-6),COUNTIFS($CB$6:$CB$183,1,$A$6:$A$183,"&gt;="&amp;EDATE(TODAY(),-6))=0),1,0)</f>
        <v/>
      </c>
      <c r="EI50">
        <f>IF(AND(Settings!$A$29&lt;&gt;"",Settings!$E$29&lt;&gt;"No"),COUNTIFS($EK$40:$EK50,1),"")</f>
        <v/>
      </c>
      <c r="EJ50">
        <f>IF(Settings!$A$29="","",Settings!$B$29)</f>
        <v/>
      </c>
      <c r="EK50">
        <f>IF(AND(Settings!$A$29&lt;&gt;"",Settings!$E$29&lt;&gt;"No"),1,0)</f>
        <v/>
      </c>
      <c r="EL50">
        <f>IF(Settings!$A$29="","",IF(OR(Settings!$B$29="Card",Settings!$B$29="Loan"),-N(EB50),N(EB50)))</f>
        <v/>
      </c>
      <c r="EM50">
        <f>IF(Settings!$A$29="","",IF(Settings!$D$29="Yes","estimate",""))</f>
        <v/>
      </c>
      <c r="ET50">
        <f>IF($E50&lt;&gt;"open",0,IF(AND('Month-End'!$AU$22&lt;&gt;"",NOT(_xlfn.ISFORMULA('Month-End'!$AU$22))),0,IF(OR(Settings!$C$45="",Settings!$D$45=""),0,Settings!$C$45*IF(Settings!$D$45="Weekly",IF(IFERROR(MATCH(Settings!$E$45,$EO$4:$EO$10,0),0)=0,0,IF(MIN(Settings!$B$5,IF(Settings!$G$45="",Settings!$B$5,Settings!$G$45))&lt;MAX($A50,Settings!$F$45),0,INT((MIN(Settings!$B$5,IF(Settings!$G$45="",Settings!$B$5,Settings!$G$45))-MAX($A50,Settings!$F$45)-MOD(IFERROR(MATCH(Settings!$E$45,$EO$4:$EO$10,0),0)-WEEKDAY(MAX($A50,Settings!$F$45)),7))/7)+1)),IF(AND(IF(Settings!$E$45="",$B50,DATE(YEAR($A50),MONTH($A50),MIN(Settings!$E$45,DAY($B50))))&gt;=MAX($A50,Settings!$F$45),IF(Settings!$E$45="",$B50,DATE(YEAR($A50),MONTH($A50),MIN(Settings!$E$45,DAY($B50))))&lt;=MIN(Settings!$B$5,IF(Settings!$G$45="",Settings!$B$5,Settings!$G$45))),1,0)))))</f>
        <v/>
      </c>
      <c r="EU50">
        <f>IF($E50&lt;&gt;"open",0,IF(AND('Month-End'!$AU$23&lt;&gt;"",NOT(_xlfn.ISFORMULA('Month-End'!$AU$23))),0,IF(OR(Settings!$C$46="",Settings!$D$46=""),0,Settings!$C$46*IF(Settings!$D$46="Weekly",IF(IFERROR(MATCH(Settings!$E$46,$EO$4:$EO$10,0),0)=0,0,IF(MIN(Settings!$B$5,IF(Settings!$G$46="",Settings!$B$5,Settings!$G$46))&lt;MAX($A50,Settings!$F$46),0,INT((MIN(Settings!$B$5,IF(Settings!$G$46="",Settings!$B$5,Settings!$G$46))-MAX($A50,Settings!$F$46)-MOD(IFERROR(MATCH(Settings!$E$46,$EO$4:$EO$10,0),0)-WEEKDAY(MAX($A50,Settings!$F$46)),7))/7)+1)),IF(AND(IF(Settings!$E$46="",$B50,DATE(YEAR($A50),MONTH($A50),MIN(Settings!$E$46,DAY($B50))))&gt;=MAX($A50,Settings!$F$46),IF(Settings!$E$46="",$B50,DATE(YEAR($A50),MONTH($A50),MIN(Settings!$E$46,DAY($B50))))&lt;=MIN(Settings!$B$5,IF(Settings!$G$46="",Settings!$B$5,Settings!$G$46))),1,0)))))</f>
        <v/>
      </c>
      <c r="EV50">
        <f>IF($E50&lt;&gt;"open",0,IF(AND('Month-End'!$AU$24&lt;&gt;"",NOT(_xlfn.ISFORMULA('Month-End'!$AU$24))),0,IF(OR(Settings!$C$47="",Settings!$D$47=""),0,Settings!$C$47*IF(Settings!$D$47="Weekly",IF(IFERROR(MATCH(Settings!$E$47,$EO$4:$EO$10,0),0)=0,0,IF(MIN(Settings!$B$5,IF(Settings!$G$47="",Settings!$B$5,Settings!$G$47))&lt;MAX($A50,Settings!$F$47),0,INT((MIN(Settings!$B$5,IF(Settings!$G$47="",Settings!$B$5,Settings!$G$47))-MAX($A50,Settings!$F$47)-MOD(IFERROR(MATCH(Settings!$E$47,$EO$4:$EO$10,0),0)-WEEKDAY(MAX($A50,Settings!$F$47)),7))/7)+1)),IF(AND(IF(Settings!$E$47="",$B50,DATE(YEAR($A50),MONTH($A50),MIN(Settings!$E$47,DAY($B50))))&gt;=MAX($A50,Settings!$F$47),IF(Settings!$E$47="",$B50,DATE(YEAR($A50),MONTH($A50),MIN(Settings!$E$47,DAY($B50))))&lt;=MIN(Settings!$B$5,IF(Settings!$G$47="",Settings!$B$5,Settings!$G$47))),1,0)))))</f>
        <v/>
      </c>
      <c r="EW50">
        <f>IF($E50&lt;&gt;"open",0,IF(AND('Month-End'!$AU$25&lt;&gt;"",NOT(_xlfn.ISFORMULA('Month-End'!$AU$25))),0,IF(OR(Settings!$C$48="",Settings!$D$48=""),0,Settings!$C$48*IF(Settings!$D$48="Weekly",IF(IFERROR(MATCH(Settings!$E$48,$EO$4:$EO$10,0),0)=0,0,IF(MIN(Settings!$B$5,IF(Settings!$G$48="",Settings!$B$5,Settings!$G$48))&lt;MAX($A50,Settings!$F$48),0,INT((MIN(Settings!$B$5,IF(Settings!$G$48="",Settings!$B$5,Settings!$G$48))-MAX($A50,Settings!$F$48)-MOD(IFERROR(MATCH(Settings!$E$48,$EO$4:$EO$10,0),0)-WEEKDAY(MAX($A50,Settings!$F$48)),7))/7)+1)),IF(AND(IF(Settings!$E$48="",$B50,DATE(YEAR($A50),MONTH($A50),MIN(Settings!$E$48,DAY($B50))))&gt;=MAX($A50,Settings!$F$48),IF(Settings!$E$48="",$B50,DATE(YEAR($A50),MONTH($A50),MIN(Settings!$E$48,DAY($B50))))&lt;=MIN(Settings!$B$5,IF(Settings!$G$48="",Settings!$B$5,Settings!$G$48))),1,0)))))</f>
        <v/>
      </c>
      <c r="EX50">
        <f>IF($E50&lt;&gt;"open",0,IF(AND('Month-End'!$AU$26&lt;&gt;"",NOT(_xlfn.ISFORMULA('Month-End'!$AU$26))),0,IF(OR(Settings!$C$49="",Settings!$D$49=""),0,Settings!$C$49*IF(Settings!$D$49="Weekly",IF(IFERROR(MATCH(Settings!$E$49,$EO$4:$EO$10,0),0)=0,0,IF(MIN(Settings!$B$5,IF(Settings!$G$49="",Settings!$B$5,Settings!$G$49))&lt;MAX($A50,Settings!$F$49),0,INT((MIN(Settings!$B$5,IF(Settings!$G$49="",Settings!$B$5,Settings!$G$49))-MAX($A50,Settings!$F$49)-MOD(IFERROR(MATCH(Settings!$E$49,$EO$4:$EO$10,0),0)-WEEKDAY(MAX($A50,Settings!$F$49)),7))/7)+1)),IF(AND(IF(Settings!$E$49="",$B50,DATE(YEAR($A50),MONTH($A50),MIN(Settings!$E$49,DAY($B50))))&gt;=MAX($A50,Settings!$F$49),IF(Settings!$E$49="",$B50,DATE(YEAR($A50),MONTH($A50),MIN(Settings!$E$49,DAY($B50))))&lt;=MIN(Settings!$B$5,IF(Settings!$G$49="",Settings!$B$5,Settings!$G$49))),1,0)))))</f>
        <v/>
      </c>
      <c r="EY50">
        <f>IF($E50&lt;&gt;"open",0,IF(AND('Month-End'!$AU$27&lt;&gt;"",NOT(_xlfn.ISFORMULA('Month-End'!$AU$27))),0,IF(OR(Settings!$C$50="",Settings!$D$50=""),0,Settings!$C$50*IF(Settings!$D$50="Weekly",IF(IFERROR(MATCH(Settings!$E$50,$EO$4:$EO$10,0),0)=0,0,IF(MIN(Settings!$B$5,IF(Settings!$G$50="",Settings!$B$5,Settings!$G$50))&lt;MAX($A50,Settings!$F$50),0,INT((MIN(Settings!$B$5,IF(Settings!$G$50="",Settings!$B$5,Settings!$G$50))-MAX($A50,Settings!$F$50)-MOD(IFERROR(MATCH(Settings!$E$50,$EO$4:$EO$10,0),0)-WEEKDAY(MAX($A50,Settings!$F$50)),7))/7)+1)),IF(AND(IF(Settings!$E$50="",$B50,DATE(YEAR($A50),MONTH($A50),MIN(Settings!$E$50,DAY($B50))))&gt;=MAX($A50,Settings!$F$50),IF(Settings!$E$50="",$B50,DATE(YEAR($A50),MONTH($A50),MIN(Settings!$E$50,DAY($B50))))&lt;=MIN(Settings!$B$5,IF(Settings!$G$50="",Settings!$B$5,Settings!$G$50))),1,0)))))</f>
        <v/>
      </c>
      <c r="EZ50">
        <f>IF($E50&lt;&gt;"open",0,IF(AND('Month-End'!$AU$28&lt;&gt;"",NOT(_xlfn.ISFORMULA('Month-End'!$AU$28))),0,IF(OR(Settings!$C$51="",Settings!$D$51=""),0,Settings!$C$51*IF(Settings!$D$51="Weekly",IF(IFERROR(MATCH(Settings!$E$51,$EO$4:$EO$10,0),0)=0,0,IF(MIN(Settings!$B$5,IF(Settings!$G$51="",Settings!$B$5,Settings!$G$51))&lt;MAX($A50,Settings!$F$51),0,INT((MIN(Settings!$B$5,IF(Settings!$G$51="",Settings!$B$5,Settings!$G$51))-MAX($A50,Settings!$F$51)-MOD(IFERROR(MATCH(Settings!$E$51,$EO$4:$EO$10,0),0)-WEEKDAY(MAX($A50,Settings!$F$51)),7))/7)+1)),IF(AND(IF(Settings!$E$51="",$B50,DATE(YEAR($A50),MONTH($A50),MIN(Settings!$E$51,DAY($B50))))&gt;=MAX($A50,Settings!$F$51),IF(Settings!$E$51="",$B50,DATE(YEAR($A50),MONTH($A50),MIN(Settings!$E$51,DAY($B50))))&lt;=MIN(Settings!$B$5,IF(Settings!$G$51="",Settings!$B$5,Settings!$G$51))),1,0)))))</f>
        <v/>
      </c>
      <c r="FA50">
        <f>IF($E50&lt;&gt;"open",0,IF(AND('Month-End'!$AU$29&lt;&gt;"",NOT(_xlfn.ISFORMULA('Month-End'!$AU$29))),0,IF(OR(Settings!$C$52="",Settings!$D$52=""),0,Settings!$C$52*IF(Settings!$D$52="Weekly",IF(IFERROR(MATCH(Settings!$E$52,$EO$4:$EO$10,0),0)=0,0,IF(MIN(Settings!$B$5,IF(Settings!$G$52="",Settings!$B$5,Settings!$G$52))&lt;MAX($A50,Settings!$F$52),0,INT((MIN(Settings!$B$5,IF(Settings!$G$52="",Settings!$B$5,Settings!$G$52))-MAX($A50,Settings!$F$52)-MOD(IFERROR(MATCH(Settings!$E$52,$EO$4:$EO$10,0),0)-WEEKDAY(MAX($A50,Settings!$F$52)),7))/7)+1)),IF(AND(IF(Settings!$E$52="",$B50,DATE(YEAR($A50),MONTH($A50),MIN(Settings!$E$52,DAY($B50))))&gt;=MAX($A50,Settings!$F$52),IF(Settings!$E$52="",$B50,DATE(YEAR($A50),MONTH($A50),MIN(Settings!$E$52,DAY($B50))))&lt;=MIN(Settings!$B$5,IF(Settings!$G$52="",Settings!$B$5,Settings!$G$52))),1,0)))))</f>
        <v/>
      </c>
      <c r="FB50">
        <f>IF($E50&lt;&gt;"open",0,IF(AND('Month-End'!$AU$30&lt;&gt;"",NOT(_xlfn.ISFORMULA('Month-End'!$AU$30))),0,IF(OR(Settings!$C$53="",Settings!$D$53=""),0,Settings!$C$53*IF(Settings!$D$53="Weekly",IF(IFERROR(MATCH(Settings!$E$53,$EO$4:$EO$10,0),0)=0,0,IF(MIN(Settings!$B$5,IF(Settings!$G$53="",Settings!$B$5,Settings!$G$53))&lt;MAX($A50,Settings!$F$53),0,INT((MIN(Settings!$B$5,IF(Settings!$G$53="",Settings!$B$5,Settings!$G$53))-MAX($A50,Settings!$F$53)-MOD(IFERROR(MATCH(Settings!$E$53,$EO$4:$EO$10,0),0)-WEEKDAY(MAX($A50,Settings!$F$53)),7))/7)+1)),IF(AND(IF(Settings!$E$53="",$B50,DATE(YEAR($A50),MONTH($A50),MIN(Settings!$E$53,DAY($B50))))&gt;=MAX($A50,Settings!$F$53),IF(Settings!$E$53="",$B50,DATE(YEAR($A50),MONTH($A50),MIN(Settings!$E$53,DAY($B50))))&lt;=MIN(Settings!$B$5,IF(Settings!$G$53="",Settings!$B$5,Settings!$G$53))),1,0)))))</f>
        <v/>
      </c>
      <c r="FC50">
        <f>IF($E50&lt;&gt;"open",0,IF(AND('Month-End'!$AU$31&lt;&gt;"",NOT(_xlfn.ISFORMULA('Month-End'!$AU$31))),0,IF(OR(Settings!$C$54="",Settings!$D$54=""),0,Settings!$C$54*IF(Settings!$D$54="Weekly",IF(IFERROR(MATCH(Settings!$E$54,$EO$4:$EO$10,0),0)=0,0,IF(MIN(Settings!$B$5,IF(Settings!$G$54="",Settings!$B$5,Settings!$G$54))&lt;MAX($A50,Settings!$F$54),0,INT((MIN(Settings!$B$5,IF(Settings!$G$54="",Settings!$B$5,Settings!$G$54))-MAX($A50,Settings!$F$54)-MOD(IFERROR(MATCH(Settings!$E$54,$EO$4:$EO$10,0),0)-WEEKDAY(MAX($A50,Settings!$F$54)),7))/7)+1)),IF(AND(IF(Settings!$E$54="",$B50,DATE(YEAR($A50),MONTH($A50),MIN(Settings!$E$54,DAY($B50))))&gt;=MAX($A50,Settings!$F$54),IF(Settings!$E$54="",$B50,DATE(YEAR($A50),MONTH($A50),MIN(Settings!$E$54,DAY($B50))))&lt;=MIN(Settings!$B$5,IF(Settings!$G$54="",Settings!$B$5,Settings!$G$54))),1,0)))))</f>
        <v/>
      </c>
      <c r="FD50">
        <f>IF($E50&lt;&gt;"open",0,IF(AND('Month-End'!$AU$32&lt;&gt;"",NOT(_xlfn.ISFORMULA('Month-End'!$AU$32))),0,IF(OR(Settings!$C$55="",Settings!$D$55=""),0,Settings!$C$55*IF(Settings!$D$55="Weekly",IF(IFERROR(MATCH(Settings!$E$55,$EO$4:$EO$10,0),0)=0,0,IF(MIN(Settings!$B$5,IF(Settings!$G$55="",Settings!$B$5,Settings!$G$55))&lt;MAX($A50,Settings!$F$55),0,INT((MIN(Settings!$B$5,IF(Settings!$G$55="",Settings!$B$5,Settings!$G$55))-MAX($A50,Settings!$F$55)-MOD(IFERROR(MATCH(Settings!$E$55,$EO$4:$EO$10,0),0)-WEEKDAY(MAX($A50,Settings!$F$55)),7))/7)+1)),IF(AND(IF(Settings!$E$55="",$B50,DATE(YEAR($A50),MONTH($A50),MIN(Settings!$E$55,DAY($B50))))&gt;=MAX($A50,Settings!$F$55),IF(Settings!$E$55="",$B50,DATE(YEAR($A50),MONTH($A50),MIN(Settings!$E$55,DAY($B50))))&lt;=MIN(Settings!$B$5,IF(Settings!$G$55="",Settings!$B$5,Settings!$G$55))),1,0)))))</f>
        <v/>
      </c>
      <c r="FE50">
        <f>IF($E50&lt;&gt;"open",0,IF(AND('Month-End'!$AU$33&lt;&gt;"",NOT(_xlfn.ISFORMULA('Month-End'!$AU$33))),0,IF(OR(Settings!$C$56="",Settings!$D$56=""),0,Settings!$C$56*IF(Settings!$D$56="Weekly",IF(IFERROR(MATCH(Settings!$E$56,$EO$4:$EO$10,0),0)=0,0,IF(MIN(Settings!$B$5,IF(Settings!$G$56="",Settings!$B$5,Settings!$G$56))&lt;MAX($A50,Settings!$F$56),0,INT((MIN(Settings!$B$5,IF(Settings!$G$56="",Settings!$B$5,Settings!$G$56))-MAX($A50,Settings!$F$56)-MOD(IFERROR(MATCH(Settings!$E$56,$EO$4:$EO$10,0),0)-WEEKDAY(MAX($A50,Settings!$F$56)),7))/7)+1)),IF(AND(IF(Settings!$E$56="",$B50,DATE(YEAR($A50),MONTH($A50),MIN(Settings!$E$56,DAY($B50))))&gt;=MAX($A50,Settings!$F$56),IF(Settings!$E$56="",$B50,DATE(YEAR($A50),MONTH($A50),MIN(Settings!$E$56,DAY($B50))))&lt;=MIN(Settings!$B$5,IF(Settings!$G$56="",Settings!$B$5,Settings!$G$56))),1,0)))))</f>
        <v/>
      </c>
      <c r="FF50">
        <f>IF(Settings!$I$45="Yes",$G50,0)+IF(Settings!$I$46="Yes",$H50,0)+IF(Settings!$I$47="Yes",$I50,0)+IF(Settings!$I$48="Yes",$J50,0)+IF(Settings!$I$49="Yes",$K50,0)+IF(Settings!$I$50="Yes",$L50,0)+IF(Settings!$I$51="Yes",$M50,0)+IF(Settings!$I$52="Yes",$N50,0)+IF(Settings!$I$53="Yes",$O50,0)+IF(Settings!$I$54="Yes",$P50,0)+IF(Settings!$I$55="Yes",$Q50,0)+IF(Settings!$I$56="Yes",$R50,0)</f>
        <v/>
      </c>
      <c r="FG50">
        <f>IF(AND(Settings!$I$45="Yes",Settings!$J$45="No"),$G50,0)+IF(AND(Settings!$I$46="Yes",Settings!$J$46="No"),$H50,0)+IF(AND(Settings!$I$47="Yes",Settings!$J$47="No"),$I50,0)+IF(AND(Settings!$I$48="Yes",Settings!$J$48="No"),$J50,0)+IF(AND(Settings!$I$49="Yes",Settings!$J$49="No"),$K50,0)+IF(AND(Settings!$I$50="Yes",Settings!$J$50="No"),$L50,0)+IF(AND(Settings!$I$51="Yes",Settings!$J$51="No"),$M50,0)+IF(AND(Settings!$I$52="Yes",Settings!$J$52="No"),$N50,0)+IF(AND(Settings!$I$53="Yes",Settings!$J$53="No"),$O50,0)+IF(AND(Settings!$I$54="Yes",Settings!$J$54="No"),$P50,0)+IF(AND(Settings!$I$55="Yes",Settings!$J$55="No"),$Q50,0)+IF(AND(Settings!$I$56="Yes",Settings!$J$56="No"),$R50,0)</f>
        <v/>
      </c>
      <c r="FH50">
        <f>SUMIFS(Giving!$B$7:$B$2006,Giving!$A$7:$A$2006,"&gt;="&amp;$A50,Giving!$A$7:$A$2006,"&lt;="&amp;$B50,Giving!$G$7:$G$2006,"Yes")+IF(OR(OR(Settings!$B$60="",Settings!$F$60="No"),Settings!$H$60&lt;&gt;"Yes"),0,Settings!$B$60*IF(AND(IF(Settings!$C$60="",$B50,DATE(YEAR($A50),MONTH($A50),MIN(Settings!$C$60,DAY($B50))))&gt;=MAX($A50,Settings!$D$60),IF(Settings!$C$60="",$B50,DATE(YEAR($A50),MONTH($A50),MIN(Settings!$C$60,DAY($B50))))&lt;=MIN($C50,IF(Settings!$E$60="",$C50,Settings!$E$60))),1,0))+IF(OR(OR(Settings!$B$61="",Settings!$F$61="No"),Settings!$H$61&lt;&gt;"Yes"),0,Settings!$B$61*IF(AND(IF(Settings!$C$61="",$B50,DATE(YEAR($A50),MONTH($A50),MIN(Settings!$C$61,DAY($B50))))&gt;=MAX($A50,Settings!$D$61),IF(Settings!$C$61="",$B50,DATE(YEAR($A50),MONTH($A50),MIN(Settings!$C$61,DAY($B50))))&lt;=MIN($C50,IF(Settings!$E$61="",$C50,Settings!$E$61))),1,0))+IF(OR(OR(Settings!$B$62="",Settings!$F$62="No"),Settings!$H$62&lt;&gt;"Yes"),0,Settings!$B$62*IF(AND(IF(Settings!$C$62="",$B50,DATE(YEAR($A50),MONTH($A50),MIN(Settings!$C$62,DAY($B50))))&gt;=MAX($A50,Settings!$D$62),IF(Settings!$C$62="",$B50,DATE(YEAR($A50),MONTH($A50),MIN(Settings!$C$62,DAY($B50))))&lt;=MIN($C50,IF(Settings!$E$62="",$C50,Settings!$E$62))),1,0))+IF(OR(OR(Settings!$B$63="",Settings!$F$63="No"),Settings!$H$63&lt;&gt;"Yes"),0,Settings!$B$63*IF(AND(IF(Settings!$C$63="",$B50,DATE(YEAR($A50),MONTH($A50),MIN(Settings!$C$63,DAY($B50))))&gt;=MAX($A50,Settings!$D$63),IF(Settings!$C$63="",$B50,DATE(YEAR($A50),MONTH($A50),MIN(Settings!$C$63,DAY($B50))))&lt;=MIN($C50,IF(Settings!$E$63="",$C50,Settings!$E$63))),1,0))+IF(OR(OR(Settings!$B$64="",Settings!$F$64="No"),Settings!$H$64&lt;&gt;"Yes"),0,Settings!$B$64*IF(AND(IF(Settings!$C$64="",$B50,DATE(YEAR($A50),MONTH($A50),MIN(Settings!$C$64,DAY($B50))))&gt;=MAX($A50,Settings!$D$64),IF(Settings!$C$64="",$B50,DATE(YEAR($A50),MONTH($A50),MIN(Settings!$C$64,DAY($B50))))&lt;=MIN($C50,IF(Settings!$E$64="",$C50,Settings!$E$64))),1,0))+IF(OR(OR(Settings!$B$65="",Settings!$F$65="No"),Settings!$H$65&lt;&gt;"Yes"),0,Settings!$B$65*IF(AND(IF(Settings!$C$65="",$B50,DATE(YEAR($A50),MONTH($A50),MIN(Settings!$C$65,DAY($B50))))&gt;=MAX($A50,Settings!$D$65),IF(Settings!$C$65="",$B50,DATE(YEAR($A50),MONTH($A50),MIN(Settings!$C$65,DAY($B50))))&lt;=MIN($C50,IF(Settings!$E$65="",$C50,Settings!$E$65))),1,0))</f>
        <v/>
      </c>
      <c r="FI50">
        <f>IF($DT50=1,IF(OR(Settings!$B$19="Card",Settings!$B$19="Loan"),N($AE50),0)+IF(OR(Settings!$B$20="Card",Settings!$B$20="Loan"),N($AF50),0)+IF(OR(Settings!$B$21="Card",Settings!$B$21="Loan"),N($AG50),0)+IF(OR(Settings!$B$22="Card",Settings!$B$22="Loan"),N($AH50),0)+IF(OR(Settings!$B$23="Card",Settings!$B$23="Loan"),N($AI50),0)+IF(OR(Settings!$B$24="Card",Settings!$B$24="Loan"),N($AJ50),0)+IF(OR(Settings!$B$25="Card",Settings!$B$25="Loan"),N($AK50),0)+IF(OR(Settings!$B$26="Card",Settings!$B$26="Loan"),N($AL50),0)+IF(OR(Settings!$B$27="Card",Settings!$B$27="Loan"),N($AM50),0)+IF(OR(Settings!$B$28="Card",Settings!$B$28="Loan"),N($AN50),0)+IF(OR(Settings!$B$29="Card",Settings!$B$29="Loan"),N($AO50),0)+IF(OR(Settings!$B$30="Card",Settings!$B$30="Loan"),N($AP50),0)+IF(OR(Settings!$B$31="Card",Settings!$B$31="Loan"),N($AQ50),0)+IF(OR(Settings!$B$32="Card",Settings!$B$32="Loan"),N($AR50),0),"")</f>
        <v/>
      </c>
      <c r="FJ50">
        <f>IF($E50="open",$EB$65,IF($E50="post",IF($E49="pre",$EB$65,$FI49),""))</f>
        <v/>
      </c>
      <c r="FK50">
        <f>IF(AND($DT50=1,$DC50=1),IF(ROUND($FI50-$FJ50,2)&gt;0,1,0),0)</f>
        <v/>
      </c>
      <c r="FL50">
        <f>IF($FK50=1,$FL49+1,0)</f>
        <v/>
      </c>
    </row>
    <row r="51">
      <c r="A51">
        <f>'Month-End'!$AV$4</f>
        <v/>
      </c>
      <c r="B51">
        <f>EOMONTH($A51,0)</f>
        <v/>
      </c>
      <c r="C51">
        <f>MIN($B51,TODAY())</f>
        <v/>
      </c>
      <c r="D51">
        <f>IF($A51&gt;TODAY(),1,0)</f>
        <v/>
      </c>
      <c r="E51">
        <f>IF($B51&lt;=Settings!$B$5,"pre",IF($A51&lt;=Settings!$B$5,"open","post"))</f>
        <v/>
      </c>
      <c r="G51">
        <f>IF('Month-End'!$AV$22="",$BE51,N('Month-End'!$AV$22))</f>
        <v/>
      </c>
      <c r="H51">
        <f>IF('Month-End'!$AV$23="",$BF51,N('Month-End'!$AV$23))</f>
        <v/>
      </c>
      <c r="I51">
        <f>IF('Month-End'!$AV$24="",$BG51,N('Month-End'!$AV$24))</f>
        <v/>
      </c>
      <c r="J51">
        <f>IF('Month-End'!$AV$25="",$BH51,N('Month-End'!$AV$25))</f>
        <v/>
      </c>
      <c r="K51">
        <f>IF('Month-End'!$AV$26="",$BI51,N('Month-End'!$AV$26))</f>
        <v/>
      </c>
      <c r="L51">
        <f>IF('Month-End'!$AV$27="",$BJ51,N('Month-End'!$AV$27))</f>
        <v/>
      </c>
      <c r="M51">
        <f>IF('Month-End'!$AV$28="",$BK51,N('Month-End'!$AV$28))</f>
        <v/>
      </c>
      <c r="N51">
        <f>IF('Month-End'!$AV$29="",$BL51,N('Month-End'!$AV$29))</f>
        <v/>
      </c>
      <c r="O51">
        <f>IF('Month-End'!$AV$30="",$BM51,N('Month-End'!$AV$30))</f>
        <v/>
      </c>
      <c r="P51">
        <f>IF('Month-End'!$AV$31="",$BN51,N('Month-End'!$AV$31))</f>
        <v/>
      </c>
      <c r="Q51">
        <f>IF('Month-End'!$AV$32="",$BO51,N('Month-End'!$AV$32))</f>
        <v/>
      </c>
      <c r="R51">
        <f>IF('Month-End'!$AV$33="",$BP51,N('Month-End'!$AV$33))</f>
        <v/>
      </c>
      <c r="S51">
        <f>$G51+$H51+$I51+$J51+$K51+$L51+$M51+$N51+$O51+$P51+$Q51+$R51</f>
        <v/>
      </c>
      <c r="T51">
        <f>IF($B51&lt;Settings!$B$6,0,IF(Settings!$B$45="Yes",$G51,0)+IF(Settings!$B$46="Yes",$H51,0)+IF(Settings!$B$47="Yes",$I51,0)+IF(Settings!$B$48="Yes",$J51,0)+IF(Settings!$B$49="Yes",$K51,0)+IF(Settings!$B$50="Yes",$L51,0)+IF(Settings!$B$51="Yes",$M51,0)+IF(Settings!$B$52="Yes",$N51,0)+IF(Settings!$B$53="Yes",$O51,0)+IF(Settings!$B$54="Yes",$P51,0)+IF(Settings!$B$55="Yes",$Q51,0)+IF(Settings!$B$56="Yes",$R51,0))</f>
        <v/>
      </c>
      <c r="U51">
        <f>IF(Settings!$B$45="Not Sure",$G51,0)+IF(Settings!$B$46="Not Sure",$H51,0)+IF(Settings!$B$47="Not Sure",$I51,0)+IF(Settings!$B$48="Not Sure",$J51,0)+IF(Settings!$B$49="Not Sure",$K51,0)+IF(Settings!$B$50="Not Sure",$L51,0)+IF(Settings!$B$51="Not Sure",$M51,0)+IF(Settings!$B$52="Not Sure",$N51,0)+IF(Settings!$B$53="Not Sure",$O51,0)+IF(Settings!$B$54="Not Sure",$P51,0)+IF(Settings!$B$55="Not Sure",$Q51,0)+IF(Settings!$B$56="Not Sure",$R51,0)</f>
        <v/>
      </c>
      <c r="V51">
        <f>IF($E51="open",SUM($ET51:$FE51)+N(Settings!$B$13),0)</f>
        <v/>
      </c>
      <c r="W51">
        <f>IF($E51="post",$S51,IF($E51="open",$S51-$V51,0))</f>
        <v/>
      </c>
      <c r="X51">
        <f>SUMIFS(Giving!$B$7:$B$2006,Giving!$A$7:$A$2006,"&gt;="&amp;$A51,Giving!$A$7:$A$2006,"&lt;="&amp;$B51,Giving!$E$7:$E$2006,"&lt;&gt;No")</f>
        <v/>
      </c>
      <c r="Y51">
        <f>SUMIFS(Giving!$B$7:$B$2006,Giving!$A$7:$A$2006,"&gt;="&amp;$A51,Giving!$A$7:$A$2006,"&lt;="&amp;$B51,Giving!$E$7:$E$2006,"No")</f>
        <v/>
      </c>
      <c r="Z51">
        <f>IF(OR(Settings!$B$60="",Settings!$F$60="No"),0,Settings!$B$60*IF(AND(IF(Settings!$C$60="",$B51,DATE(YEAR($A51),MONTH($A51),MIN(Settings!$C$60,DAY($B51))))&gt;=MAX($A51,Settings!$D$60),IF(Settings!$C$60="",$B51,DATE(YEAR($A51),MONTH($A51),MIN(Settings!$C$60,DAY($B51))))&lt;=MIN($C51,IF(Settings!$E$60="",$C51,Settings!$E$60))),1,0))+IF(OR(Settings!$B$61="",Settings!$F$61="No"),0,Settings!$B$61*IF(AND(IF(Settings!$C$61="",$B51,DATE(YEAR($A51),MONTH($A51),MIN(Settings!$C$61,DAY($B51))))&gt;=MAX($A51,Settings!$D$61),IF(Settings!$C$61="",$B51,DATE(YEAR($A51),MONTH($A51),MIN(Settings!$C$61,DAY($B51))))&lt;=MIN($C51,IF(Settings!$E$61="",$C51,Settings!$E$61))),1,0))+IF(OR(Settings!$B$62="",Settings!$F$62="No"),0,Settings!$B$62*IF(AND(IF(Settings!$C$62="",$B51,DATE(YEAR($A51),MONTH($A51),MIN(Settings!$C$62,DAY($B51))))&gt;=MAX($A51,Settings!$D$62),IF(Settings!$C$62="",$B51,DATE(YEAR($A51),MONTH($A51),MIN(Settings!$C$62,DAY($B51))))&lt;=MIN($C51,IF(Settings!$E$62="",$C51,Settings!$E$62))),1,0))+IF(OR(Settings!$B$63="",Settings!$F$63="No"),0,Settings!$B$63*IF(AND(IF(Settings!$C$63="",$B51,DATE(YEAR($A51),MONTH($A51),MIN(Settings!$C$63,DAY($B51))))&gt;=MAX($A51,Settings!$D$63),IF(Settings!$C$63="",$B51,DATE(YEAR($A51),MONTH($A51),MIN(Settings!$C$63,DAY($B51))))&lt;=MIN($C51,IF(Settings!$E$63="",$C51,Settings!$E$63))),1,0))+IF(OR(Settings!$B$64="",Settings!$F$64="No"),0,Settings!$B$64*IF(AND(IF(Settings!$C$64="",$B51,DATE(YEAR($A51),MONTH($A51),MIN(Settings!$C$64,DAY($B51))))&gt;=MAX($A51,Settings!$D$64),IF(Settings!$C$64="",$B51,DATE(YEAR($A51),MONTH($A51),MIN(Settings!$C$64,DAY($B51))))&lt;=MIN($C51,IF(Settings!$E$64="",$C51,Settings!$E$64))),1,0))+IF(OR(Settings!$B$65="",Settings!$F$65="No"),0,Settings!$B$65*IF(AND(IF(Settings!$C$65="",$B51,DATE(YEAR($A51),MONTH($A51),MIN(Settings!$C$65,DAY($B51))))&gt;=MAX($A51,Settings!$D$65),IF(Settings!$C$65="",$B51,DATE(YEAR($A51),MONTH($A51),MIN(Settings!$C$65,DAY($B51))))&lt;=MIN($C51,IF(Settings!$E$65="",$C51,Settings!$E$65))),1,0))</f>
        <v/>
      </c>
      <c r="AA51">
        <f>$X51+$Z51</f>
        <v/>
      </c>
      <c r="AB51">
        <f>IF($E51="post",$AA51,IF($E51="open",SUMIFS(Giving!$B$7:$B$2006,Giving!$A$7:$A$2006,"&gt;"&amp;Settings!$B$5,Giving!$A$7:$A$2006,"&lt;="&amp;$B51,Giving!$E$7:$E$2006,"&lt;&gt;No")+IF(OR(Settings!$B$60="",Settings!$F$60="No"),0,Settings!$B$60*IF(AND(IF(Settings!$C$60="",$B51,DATE(YEAR($A51),MONTH($A51),MIN(Settings!$C$60,DAY($B51))))&gt;=MAX($A51,Settings!$D$60,Settings!$B$5+1),IF(Settings!$C$60="",$B51,DATE(YEAR($A51),MONTH($A51),MIN(Settings!$C$60,DAY($B51))))&lt;=MIN($C51,IF(Settings!$E$60="",$C51,Settings!$E$60))),1,0))+IF(OR(Settings!$B$61="",Settings!$F$61="No"),0,Settings!$B$61*IF(AND(IF(Settings!$C$61="",$B51,DATE(YEAR($A51),MONTH($A51),MIN(Settings!$C$61,DAY($B51))))&gt;=MAX($A51,Settings!$D$61,Settings!$B$5+1),IF(Settings!$C$61="",$B51,DATE(YEAR($A51),MONTH($A51),MIN(Settings!$C$61,DAY($B51))))&lt;=MIN($C51,IF(Settings!$E$61="",$C51,Settings!$E$61))),1,0))+IF(OR(Settings!$B$62="",Settings!$F$62="No"),0,Settings!$B$62*IF(AND(IF(Settings!$C$62="",$B51,DATE(YEAR($A51),MONTH($A51),MIN(Settings!$C$62,DAY($B51))))&gt;=MAX($A51,Settings!$D$62,Settings!$B$5+1),IF(Settings!$C$62="",$B51,DATE(YEAR($A51),MONTH($A51),MIN(Settings!$C$62,DAY($B51))))&lt;=MIN($C51,IF(Settings!$E$62="",$C51,Settings!$E$62))),1,0))+IF(OR(Settings!$B$63="",Settings!$F$63="No"),0,Settings!$B$63*IF(AND(IF(Settings!$C$63="",$B51,DATE(YEAR($A51),MONTH($A51),MIN(Settings!$C$63,DAY($B51))))&gt;=MAX($A51,Settings!$D$63,Settings!$B$5+1),IF(Settings!$C$63="",$B51,DATE(YEAR($A51),MONTH($A51),MIN(Settings!$C$63,DAY($B51))))&lt;=MIN($C51,IF(Settings!$E$63="",$C51,Settings!$E$63))),1,0))+IF(OR(Settings!$B$64="",Settings!$F$64="No"),0,Settings!$B$64*IF(AND(IF(Settings!$C$64="",$B51,DATE(YEAR($A51),MONTH($A51),MIN(Settings!$C$64,DAY($B51))))&gt;=MAX($A51,Settings!$D$64,Settings!$B$5+1),IF(Settings!$C$64="",$B51,DATE(YEAR($A51),MONTH($A51),MIN(Settings!$C$64,DAY($B51))))&lt;=MIN($C51,IF(Settings!$E$64="",$C51,Settings!$E$64))),1,0))+IF(OR(Settings!$B$65="",Settings!$F$65="No"),0,Settings!$B$65*IF(AND(IF(Settings!$C$65="",$B51,DATE(YEAR($A51),MONTH($A51),MIN(Settings!$C$65,DAY($B51))))&gt;=MAX($A51,Settings!$D$65,Settings!$B$5+1),IF(Settings!$C$65="",$B51,DATE(YEAR($A51),MONTH($A51),MIN(Settings!$C$65,DAY($B51))))&lt;=MIN($C51,IF(Settings!$E$65="",$C51,Settings!$E$65))),1,0)),0))</f>
        <v/>
      </c>
      <c r="AC51">
        <f>$AY51+$AZ51+$BA51+$BB51+$BC51+$BD51</f>
        <v/>
      </c>
      <c r="AD51">
        <f>$AC51</f>
        <v/>
      </c>
      <c r="AE51">
        <f>IF(OR(Settings!$A$19="",$E51="pre"),"",IF(AND('Month-End'!$AV$7&lt;&gt;"",NOT(_xlfn.ISFORMULA('Month-End'!$AV$7))),N('Month-End'!$AV$7),IF(OR($E51="open",$E50="pre"),N(Settings!$C$19),N($AE50))))</f>
        <v/>
      </c>
      <c r="AF51">
        <f>IF(OR(Settings!$A$20="",$E51="pre"),"",IF(AND('Month-End'!$AV$8&lt;&gt;"",NOT(_xlfn.ISFORMULA('Month-End'!$AV$8))),N('Month-End'!$AV$8),IF(OR($E51="open",$E50="pre"),N(Settings!$C$20),N($AF50))))</f>
        <v/>
      </c>
      <c r="AG51">
        <f>IF(OR(Settings!$A$21="",$E51="pre"),"",IF(AND('Month-End'!$AV$9&lt;&gt;"",NOT(_xlfn.ISFORMULA('Month-End'!$AV$9))),N('Month-End'!$AV$9),IF(OR($E51="open",$E50="pre"),N(Settings!$C$21),N($AG50))))</f>
        <v/>
      </c>
      <c r="AH51">
        <f>IF(OR(Settings!$A$22="",$E51="pre"),"",IF(AND('Month-End'!$AV$10&lt;&gt;"",NOT(_xlfn.ISFORMULA('Month-End'!$AV$10))),N('Month-End'!$AV$10),IF(OR($E51="open",$E50="pre"),N(Settings!$C$22),N($AH50))))</f>
        <v/>
      </c>
      <c r="AI51">
        <f>IF(OR(Settings!$A$23="",$E51="pre"),"",IF(AND('Month-End'!$AV$11&lt;&gt;"",NOT(_xlfn.ISFORMULA('Month-End'!$AV$11))),N('Month-End'!$AV$11),IF(OR($E51="open",$E50="pre"),N(Settings!$C$23),N($AI50))))</f>
        <v/>
      </c>
      <c r="AJ51">
        <f>IF(OR(Settings!$A$24="",$E51="pre"),"",IF(AND('Month-End'!$AV$12&lt;&gt;"",NOT(_xlfn.ISFORMULA('Month-End'!$AV$12))),N('Month-End'!$AV$12),IF(OR($E51="open",$E50="pre"),N(Settings!$C$24),N($AJ50))))</f>
        <v/>
      </c>
      <c r="AK51">
        <f>IF(OR(Settings!$A$25="",$E51="pre"),"",IF(AND('Month-End'!$AV$13&lt;&gt;"",NOT(_xlfn.ISFORMULA('Month-End'!$AV$13))),N('Month-End'!$AV$13),IF(OR($E51="open",$E50="pre"),N(Settings!$C$25),N($AK50))))</f>
        <v/>
      </c>
      <c r="AL51">
        <f>IF(OR(Settings!$A$26="",$E51="pre"),"",IF(AND('Month-End'!$AV$14&lt;&gt;"",NOT(_xlfn.ISFORMULA('Month-End'!$AV$14))),N('Month-End'!$AV$14),IF(OR($E51="open",$E50="pre"),N(Settings!$C$26),N($AL50))))</f>
        <v/>
      </c>
      <c r="AM51">
        <f>IF(OR(Settings!$A$27="",$E51="pre"),"",IF(AND('Month-End'!$AV$15&lt;&gt;"",NOT(_xlfn.ISFORMULA('Month-End'!$AV$15))),N('Month-End'!$AV$15),IF(OR($E51="open",$E50="pre"),N(Settings!$C$27),N($AM50))))</f>
        <v/>
      </c>
      <c r="AN51">
        <f>IF(OR(Settings!$A$28="",$E51="pre"),"",IF(AND('Month-End'!$AV$16&lt;&gt;"",NOT(_xlfn.ISFORMULA('Month-End'!$AV$16))),N('Month-End'!$AV$16),IF(OR($E51="open",$E50="pre"),N(Settings!$C$28),N($AN50))))</f>
        <v/>
      </c>
      <c r="AO51">
        <f>IF(OR(Settings!$A$29="",$E51="pre"),"",IF(AND('Month-End'!$AV$17&lt;&gt;"",NOT(_xlfn.ISFORMULA('Month-End'!$AV$17))),N('Month-End'!$AV$17),IF(OR($E51="open",$E50="pre"),N(Settings!$C$29),N($AO50))))</f>
        <v/>
      </c>
      <c r="AP51">
        <f>IF(OR(Settings!$A$30="",$E51="pre"),"",IF(AND('Month-End'!$AV$18&lt;&gt;"",NOT(_xlfn.ISFORMULA('Month-End'!$AV$18))),N('Month-End'!$AV$18),IF(OR($E51="open",$E50="pre"),N(Settings!$C$30),N($AP50))))</f>
        <v/>
      </c>
      <c r="AQ51">
        <f>IF(OR(Settings!$A$31="",$E51="pre"),"",IF(AND('Month-End'!$AV$19&lt;&gt;"",NOT(_xlfn.ISFORMULA('Month-End'!$AV$19))),N('Month-End'!$AV$19),IF(OR($E51="open",$E50="pre"),N(Settings!$C$31),N($AQ50))))</f>
        <v/>
      </c>
      <c r="AR51">
        <f>IF(OR(Settings!$A$32="",$E51="pre"),"",IF(AND('Month-End'!$AV$20&lt;&gt;"",NOT(_xlfn.ISFORMULA('Month-End'!$AV$20))),N('Month-End'!$AV$20),IF(OR($E51="open",$E50="pre"),N(Settings!$C$32),N($AR50))))</f>
        <v/>
      </c>
      <c r="AS51">
        <f>IF(OR(Settings!$A$36="",$E51="pre"),"",IF(AND('Month-End'!$AV$38&lt;&gt;"",NOT(_xlfn.ISFORMULA('Month-End'!$AV$38))),N('Month-End'!$AV$38),IF(OR($E51="open",$E50="pre"),N(Settings!$C$36),N($AS50))+$AY51))</f>
        <v/>
      </c>
      <c r="AT51">
        <f>IF(OR(Settings!$A$37="",$E51="pre"),"",IF(AND('Month-End'!$AV$39&lt;&gt;"",NOT(_xlfn.ISFORMULA('Month-End'!$AV$39))),N('Month-End'!$AV$39),IF(OR($E51="open",$E50="pre"),N(Settings!$C$37),N($AT50))+$AZ51))</f>
        <v/>
      </c>
      <c r="AU51">
        <f>IF(OR(Settings!$A$38="",$E51="pre"),"",IF(AND('Month-End'!$AV$40&lt;&gt;"",NOT(_xlfn.ISFORMULA('Month-End'!$AV$40))),N('Month-End'!$AV$40),IF(OR($E51="open",$E50="pre"),N(Settings!$C$38),N($AU50))+$BA51))</f>
        <v/>
      </c>
      <c r="AV51">
        <f>IF(OR(Settings!$A$39="",$E51="pre"),"",IF(AND('Month-End'!$AV$41&lt;&gt;"",NOT(_xlfn.ISFORMULA('Month-End'!$AV$41))),N('Month-End'!$AV$41),IF(OR($E51="open",$E50="pre"),N(Settings!$C$39),N($AV50))+$BB51))</f>
        <v/>
      </c>
      <c r="AW51">
        <f>IF(OR(Settings!$A$40="",$E51="pre"),"",IF(AND('Month-End'!$AV$42&lt;&gt;"",NOT(_xlfn.ISFORMULA('Month-End'!$AV$42))),N('Month-End'!$AV$42),IF(OR($E51="open",$E50="pre"),N(Settings!$C$40),N($AW50))+$BC51))</f>
        <v/>
      </c>
      <c r="AX51">
        <f>IF(OR(Settings!$A$41="",$E51="pre"),"",IF(AND('Month-End'!$AV$43&lt;&gt;"",NOT(_xlfn.ISFORMULA('Month-End'!$AV$43))),N('Month-End'!$AV$43),IF(OR($E51="open",$E50="pre"),N(Settings!$C$41),N($AX50))+$BD51))</f>
        <v/>
      </c>
      <c r="AY51">
        <f>IF($E51="pre",0,N('Month-End'!$AV$45))</f>
        <v/>
      </c>
      <c r="AZ51">
        <f>IF($E51="pre",0,N('Month-End'!$AV$46))</f>
        <v/>
      </c>
      <c r="BA51">
        <f>IF($E51="pre",0,N('Month-End'!$AV$47))</f>
        <v/>
      </c>
      <c r="BB51">
        <f>IF($E51="pre",0,N('Month-End'!$AV$48))</f>
        <v/>
      </c>
      <c r="BC51">
        <f>IF($E51="pre",0,N('Month-End'!$AV$49))</f>
        <v/>
      </c>
      <c r="BD51">
        <f>IF($E51="pre",0,N('Month-End'!$AV$50))</f>
        <v/>
      </c>
      <c r="BE51">
        <f>IF(OR(Settings!$C$45="",Settings!$D$45=""),0,Settings!$C$45*IF(Settings!$D$45="Weekly",IF(IFERROR(MATCH(Settings!$E$45,$EO$4:$EO$10,0),0)=0,0,IF(MIN($C51,IF(Settings!$G$45="",$C51,Settings!$G$45))&lt;MAX($A51,Settings!$F$45),0,INT((MIN($C51,IF(Settings!$G$45="",$C51,Settings!$G$45))-MAX($A51,Settings!$F$45)-MOD(IFERROR(MATCH(Settings!$E$45,$EO$4:$EO$10,0),0)-WEEKDAY(MAX($A51,Settings!$F$45)),7))/7)+1)),IF(AND(IF(Settings!$E$45="",$B51,DATE(YEAR($A51),MONTH($A51),MIN(Settings!$E$45,DAY($B51))))&gt;=MAX($A51,Settings!$F$45),IF(Settings!$E$45="",$B51,DATE(YEAR($A51),MONTH($A51),MIN(Settings!$E$45,DAY($B51))))&lt;=MIN($C51,IF(Settings!$G$45="",$C51,Settings!$G$45))),1,0)))</f>
        <v/>
      </c>
      <c r="BF51">
        <f>IF(OR(Settings!$C$46="",Settings!$D$46=""),0,Settings!$C$46*IF(Settings!$D$46="Weekly",IF(IFERROR(MATCH(Settings!$E$46,$EO$4:$EO$10,0),0)=0,0,IF(MIN($C51,IF(Settings!$G$46="",$C51,Settings!$G$46))&lt;MAX($A51,Settings!$F$46),0,INT((MIN($C51,IF(Settings!$G$46="",$C51,Settings!$G$46))-MAX($A51,Settings!$F$46)-MOD(IFERROR(MATCH(Settings!$E$46,$EO$4:$EO$10,0),0)-WEEKDAY(MAX($A51,Settings!$F$46)),7))/7)+1)),IF(AND(IF(Settings!$E$46="",$B51,DATE(YEAR($A51),MONTH($A51),MIN(Settings!$E$46,DAY($B51))))&gt;=MAX($A51,Settings!$F$46),IF(Settings!$E$46="",$B51,DATE(YEAR($A51),MONTH($A51),MIN(Settings!$E$46,DAY($B51))))&lt;=MIN($C51,IF(Settings!$G$46="",$C51,Settings!$G$46))),1,0)))</f>
        <v/>
      </c>
      <c r="BG51">
        <f>IF(OR(Settings!$C$47="",Settings!$D$47=""),0,Settings!$C$47*IF(Settings!$D$47="Weekly",IF(IFERROR(MATCH(Settings!$E$47,$EO$4:$EO$10,0),0)=0,0,IF(MIN($C51,IF(Settings!$G$47="",$C51,Settings!$G$47))&lt;MAX($A51,Settings!$F$47),0,INT((MIN($C51,IF(Settings!$G$47="",$C51,Settings!$G$47))-MAX($A51,Settings!$F$47)-MOD(IFERROR(MATCH(Settings!$E$47,$EO$4:$EO$10,0),0)-WEEKDAY(MAX($A51,Settings!$F$47)),7))/7)+1)),IF(AND(IF(Settings!$E$47="",$B51,DATE(YEAR($A51),MONTH($A51),MIN(Settings!$E$47,DAY($B51))))&gt;=MAX($A51,Settings!$F$47),IF(Settings!$E$47="",$B51,DATE(YEAR($A51),MONTH($A51),MIN(Settings!$E$47,DAY($B51))))&lt;=MIN($C51,IF(Settings!$G$47="",$C51,Settings!$G$47))),1,0)))</f>
        <v/>
      </c>
      <c r="BH51">
        <f>IF(OR(Settings!$C$48="",Settings!$D$48=""),0,Settings!$C$48*IF(Settings!$D$48="Weekly",IF(IFERROR(MATCH(Settings!$E$48,$EO$4:$EO$10,0),0)=0,0,IF(MIN($C51,IF(Settings!$G$48="",$C51,Settings!$G$48))&lt;MAX($A51,Settings!$F$48),0,INT((MIN($C51,IF(Settings!$G$48="",$C51,Settings!$G$48))-MAX($A51,Settings!$F$48)-MOD(IFERROR(MATCH(Settings!$E$48,$EO$4:$EO$10,0),0)-WEEKDAY(MAX($A51,Settings!$F$48)),7))/7)+1)),IF(AND(IF(Settings!$E$48="",$B51,DATE(YEAR($A51),MONTH($A51),MIN(Settings!$E$48,DAY($B51))))&gt;=MAX($A51,Settings!$F$48),IF(Settings!$E$48="",$B51,DATE(YEAR($A51),MONTH($A51),MIN(Settings!$E$48,DAY($B51))))&lt;=MIN($C51,IF(Settings!$G$48="",$C51,Settings!$G$48))),1,0)))</f>
        <v/>
      </c>
      <c r="BI51">
        <f>IF(OR(Settings!$C$49="",Settings!$D$49=""),0,Settings!$C$49*IF(Settings!$D$49="Weekly",IF(IFERROR(MATCH(Settings!$E$49,$EO$4:$EO$10,0),0)=0,0,IF(MIN($C51,IF(Settings!$G$49="",$C51,Settings!$G$49))&lt;MAX($A51,Settings!$F$49),0,INT((MIN($C51,IF(Settings!$G$49="",$C51,Settings!$G$49))-MAX($A51,Settings!$F$49)-MOD(IFERROR(MATCH(Settings!$E$49,$EO$4:$EO$10,0),0)-WEEKDAY(MAX($A51,Settings!$F$49)),7))/7)+1)),IF(AND(IF(Settings!$E$49="",$B51,DATE(YEAR($A51),MONTH($A51),MIN(Settings!$E$49,DAY($B51))))&gt;=MAX($A51,Settings!$F$49),IF(Settings!$E$49="",$B51,DATE(YEAR($A51),MONTH($A51),MIN(Settings!$E$49,DAY($B51))))&lt;=MIN($C51,IF(Settings!$G$49="",$C51,Settings!$G$49))),1,0)))</f>
        <v/>
      </c>
      <c r="BJ51">
        <f>IF(OR(Settings!$C$50="",Settings!$D$50=""),0,Settings!$C$50*IF(Settings!$D$50="Weekly",IF(IFERROR(MATCH(Settings!$E$50,$EO$4:$EO$10,0),0)=0,0,IF(MIN($C51,IF(Settings!$G$50="",$C51,Settings!$G$50))&lt;MAX($A51,Settings!$F$50),0,INT((MIN($C51,IF(Settings!$G$50="",$C51,Settings!$G$50))-MAX($A51,Settings!$F$50)-MOD(IFERROR(MATCH(Settings!$E$50,$EO$4:$EO$10,0),0)-WEEKDAY(MAX($A51,Settings!$F$50)),7))/7)+1)),IF(AND(IF(Settings!$E$50="",$B51,DATE(YEAR($A51),MONTH($A51),MIN(Settings!$E$50,DAY($B51))))&gt;=MAX($A51,Settings!$F$50),IF(Settings!$E$50="",$B51,DATE(YEAR($A51),MONTH($A51),MIN(Settings!$E$50,DAY($B51))))&lt;=MIN($C51,IF(Settings!$G$50="",$C51,Settings!$G$50))),1,0)))</f>
        <v/>
      </c>
      <c r="BK51">
        <f>IF(OR(Settings!$C$51="",Settings!$D$51=""),0,Settings!$C$51*IF(Settings!$D$51="Weekly",IF(IFERROR(MATCH(Settings!$E$51,$EO$4:$EO$10,0),0)=0,0,IF(MIN($C51,IF(Settings!$G$51="",$C51,Settings!$G$51))&lt;MAX($A51,Settings!$F$51),0,INT((MIN($C51,IF(Settings!$G$51="",$C51,Settings!$G$51))-MAX($A51,Settings!$F$51)-MOD(IFERROR(MATCH(Settings!$E$51,$EO$4:$EO$10,0),0)-WEEKDAY(MAX($A51,Settings!$F$51)),7))/7)+1)),IF(AND(IF(Settings!$E$51="",$B51,DATE(YEAR($A51),MONTH($A51),MIN(Settings!$E$51,DAY($B51))))&gt;=MAX($A51,Settings!$F$51),IF(Settings!$E$51="",$B51,DATE(YEAR($A51),MONTH($A51),MIN(Settings!$E$51,DAY($B51))))&lt;=MIN($C51,IF(Settings!$G$51="",$C51,Settings!$G$51))),1,0)))</f>
        <v/>
      </c>
      <c r="BL51">
        <f>IF(OR(Settings!$C$52="",Settings!$D$52=""),0,Settings!$C$52*IF(Settings!$D$52="Weekly",IF(IFERROR(MATCH(Settings!$E$52,$EO$4:$EO$10,0),0)=0,0,IF(MIN($C51,IF(Settings!$G$52="",$C51,Settings!$G$52))&lt;MAX($A51,Settings!$F$52),0,INT((MIN($C51,IF(Settings!$G$52="",$C51,Settings!$G$52))-MAX($A51,Settings!$F$52)-MOD(IFERROR(MATCH(Settings!$E$52,$EO$4:$EO$10,0),0)-WEEKDAY(MAX($A51,Settings!$F$52)),7))/7)+1)),IF(AND(IF(Settings!$E$52="",$B51,DATE(YEAR($A51),MONTH($A51),MIN(Settings!$E$52,DAY($B51))))&gt;=MAX($A51,Settings!$F$52),IF(Settings!$E$52="",$B51,DATE(YEAR($A51),MONTH($A51),MIN(Settings!$E$52,DAY($B51))))&lt;=MIN($C51,IF(Settings!$G$52="",$C51,Settings!$G$52))),1,0)))</f>
        <v/>
      </c>
      <c r="BM51">
        <f>IF(OR(Settings!$C$53="",Settings!$D$53=""),0,Settings!$C$53*IF(Settings!$D$53="Weekly",IF(IFERROR(MATCH(Settings!$E$53,$EO$4:$EO$10,0),0)=0,0,IF(MIN($C51,IF(Settings!$G$53="",$C51,Settings!$G$53))&lt;MAX($A51,Settings!$F$53),0,INT((MIN($C51,IF(Settings!$G$53="",$C51,Settings!$G$53))-MAX($A51,Settings!$F$53)-MOD(IFERROR(MATCH(Settings!$E$53,$EO$4:$EO$10,0),0)-WEEKDAY(MAX($A51,Settings!$F$53)),7))/7)+1)),IF(AND(IF(Settings!$E$53="",$B51,DATE(YEAR($A51),MONTH($A51),MIN(Settings!$E$53,DAY($B51))))&gt;=MAX($A51,Settings!$F$53),IF(Settings!$E$53="",$B51,DATE(YEAR($A51),MONTH($A51),MIN(Settings!$E$53,DAY($B51))))&lt;=MIN($C51,IF(Settings!$G$53="",$C51,Settings!$G$53))),1,0)))</f>
        <v/>
      </c>
      <c r="BN51">
        <f>IF(OR(Settings!$C$54="",Settings!$D$54=""),0,Settings!$C$54*IF(Settings!$D$54="Weekly",IF(IFERROR(MATCH(Settings!$E$54,$EO$4:$EO$10,0),0)=0,0,IF(MIN($C51,IF(Settings!$G$54="",$C51,Settings!$G$54))&lt;MAX($A51,Settings!$F$54),0,INT((MIN($C51,IF(Settings!$G$54="",$C51,Settings!$G$54))-MAX($A51,Settings!$F$54)-MOD(IFERROR(MATCH(Settings!$E$54,$EO$4:$EO$10,0),0)-WEEKDAY(MAX($A51,Settings!$F$54)),7))/7)+1)),IF(AND(IF(Settings!$E$54="",$B51,DATE(YEAR($A51),MONTH($A51),MIN(Settings!$E$54,DAY($B51))))&gt;=MAX($A51,Settings!$F$54),IF(Settings!$E$54="",$B51,DATE(YEAR($A51),MONTH($A51),MIN(Settings!$E$54,DAY($B51))))&lt;=MIN($C51,IF(Settings!$G$54="",$C51,Settings!$G$54))),1,0)))</f>
        <v/>
      </c>
      <c r="BO51">
        <f>IF(OR(Settings!$C$55="",Settings!$D$55=""),0,Settings!$C$55*IF(Settings!$D$55="Weekly",IF(IFERROR(MATCH(Settings!$E$55,$EO$4:$EO$10,0),0)=0,0,IF(MIN($C51,IF(Settings!$G$55="",$C51,Settings!$G$55))&lt;MAX($A51,Settings!$F$55),0,INT((MIN($C51,IF(Settings!$G$55="",$C51,Settings!$G$55))-MAX($A51,Settings!$F$55)-MOD(IFERROR(MATCH(Settings!$E$55,$EO$4:$EO$10,0),0)-WEEKDAY(MAX($A51,Settings!$F$55)),7))/7)+1)),IF(AND(IF(Settings!$E$55="",$B51,DATE(YEAR($A51),MONTH($A51),MIN(Settings!$E$55,DAY($B51))))&gt;=MAX($A51,Settings!$F$55),IF(Settings!$E$55="",$B51,DATE(YEAR($A51),MONTH($A51),MIN(Settings!$E$55,DAY($B51))))&lt;=MIN($C51,IF(Settings!$G$55="",$C51,Settings!$G$55))),1,0)))</f>
        <v/>
      </c>
      <c r="BP51">
        <f>IF(OR(Settings!$C$56="",Settings!$D$56=""),0,Settings!$C$56*IF(Settings!$D$56="Weekly",IF(IFERROR(MATCH(Settings!$E$56,$EO$4:$EO$10,0),0)=0,0,IF(MIN($C51,IF(Settings!$G$56="",$C51,Settings!$G$56))&lt;MAX($A51,Settings!$F$56),0,INT((MIN($C51,IF(Settings!$G$56="",$C51,Settings!$G$56))-MAX($A51,Settings!$F$56)-MOD(IFERROR(MATCH(Settings!$E$56,$EO$4:$EO$10,0),0)-WEEKDAY(MAX($A51,Settings!$F$56)),7))/7)+1)),IF(AND(IF(Settings!$E$56="",$B51,DATE(YEAR($A51),MONTH($A51),MIN(Settings!$E$56,DAY($B51))))&gt;=MAX($A51,Settings!$F$56),IF(Settings!$E$56="",$B51,DATE(YEAR($A51),MONTH($A51),MIN(Settings!$E$56,DAY($B51))))&lt;=MIN($C51,IF(Settings!$G$56="",$C51,Settings!$G$56))),1,0)))</f>
        <v/>
      </c>
      <c r="BQ51">
        <f>IF(OR(Settings!$B$14="",$D51=1,$E51="pre",$A51&lt;IF(Settings!$B$15="",0,Settings!$B$15)),0,Settings!$B$14)</f>
        <v/>
      </c>
      <c r="BR51">
        <f>IF(AND('Month-End'!$AV$7&lt;&gt;"",NOT(_xlfn.ISFORMULA('Month-End'!$AV$7))),1,0)</f>
        <v/>
      </c>
      <c r="BS51">
        <f>IF(AND('Month-End'!$AV$8&lt;&gt;"",NOT(_xlfn.ISFORMULA('Month-End'!$AV$8))),1,0)</f>
        <v/>
      </c>
      <c r="BT51">
        <f>IF(AND('Month-End'!$AV$9&lt;&gt;"",NOT(_xlfn.ISFORMULA('Month-End'!$AV$9))),1,0)</f>
        <v/>
      </c>
      <c r="BU51">
        <f>IF(AND('Month-End'!$AV$10&lt;&gt;"",NOT(_xlfn.ISFORMULA('Month-End'!$AV$10))),1,0)</f>
        <v/>
      </c>
      <c r="BV51">
        <f>IF(AND('Month-End'!$AV$11&lt;&gt;"",NOT(_xlfn.ISFORMULA('Month-End'!$AV$11))),1,0)</f>
        <v/>
      </c>
      <c r="BW51">
        <f>IF(AND('Month-End'!$AV$12&lt;&gt;"",NOT(_xlfn.ISFORMULA('Month-End'!$AV$12))),1,0)</f>
        <v/>
      </c>
      <c r="BX51">
        <f>IF(AND('Month-End'!$AV$13&lt;&gt;"",NOT(_xlfn.ISFORMULA('Month-End'!$AV$13))),1,0)</f>
        <v/>
      </c>
      <c r="BY51">
        <f>IF(AND('Month-End'!$AV$14&lt;&gt;"",NOT(_xlfn.ISFORMULA('Month-End'!$AV$14))),1,0)</f>
        <v/>
      </c>
      <c r="BZ51">
        <f>IF(AND('Month-End'!$AV$15&lt;&gt;"",NOT(_xlfn.ISFORMULA('Month-End'!$AV$15))),1,0)</f>
        <v/>
      </c>
      <c r="CA51">
        <f>IF(AND('Month-End'!$AV$16&lt;&gt;"",NOT(_xlfn.ISFORMULA('Month-End'!$AV$16))),1,0)</f>
        <v/>
      </c>
      <c r="CB51">
        <f>IF(AND('Month-End'!$AV$17&lt;&gt;"",NOT(_xlfn.ISFORMULA('Month-End'!$AV$17))),1,0)</f>
        <v/>
      </c>
      <c r="CC51">
        <f>IF(AND('Month-End'!$AV$18&lt;&gt;"",NOT(_xlfn.ISFORMULA('Month-End'!$AV$18))),1,0)</f>
        <v/>
      </c>
      <c r="CD51">
        <f>IF(AND('Month-End'!$AV$19&lt;&gt;"",NOT(_xlfn.ISFORMULA('Month-End'!$AV$19))),1,0)</f>
        <v/>
      </c>
      <c r="CE51">
        <f>IF(AND('Month-End'!$AV$20&lt;&gt;"",NOT(_xlfn.ISFORMULA('Month-End'!$AV$20))),1,0)</f>
        <v/>
      </c>
      <c r="CF51">
        <f>IF(AND('Month-End'!$AV$38&lt;&gt;"",NOT(_xlfn.ISFORMULA('Month-End'!$AV$38))),1,0)</f>
        <v/>
      </c>
      <c r="CG51">
        <f>IF(AND('Month-End'!$AV$39&lt;&gt;"",NOT(_xlfn.ISFORMULA('Month-End'!$AV$39))),1,0)</f>
        <v/>
      </c>
      <c r="CH51">
        <f>IF(AND('Month-End'!$AV$40&lt;&gt;"",NOT(_xlfn.ISFORMULA('Month-End'!$AV$40))),1,0)</f>
        <v/>
      </c>
      <c r="CI51">
        <f>IF(AND('Month-End'!$AV$41&lt;&gt;"",NOT(_xlfn.ISFORMULA('Month-End'!$AV$41))),1,0)</f>
        <v/>
      </c>
      <c r="CJ51">
        <f>IF(AND('Month-End'!$AV$42&lt;&gt;"",NOT(_xlfn.ISFORMULA('Month-End'!$AV$42))),1,0)</f>
        <v/>
      </c>
      <c r="CK51">
        <f>IF(AND('Month-End'!$AV$43&lt;&gt;"",NOT(_xlfn.ISFORMULA('Month-End'!$AV$43))),1,0)</f>
        <v/>
      </c>
      <c r="CL51">
        <f>SUM($CM51:$CZ51)</f>
        <v/>
      </c>
      <c r="CM51">
        <f>IF(AND($E51&lt;&gt;"pre",AND(Settings!$A$19&lt;&gt;"",Settings!$E$19&lt;&gt;"No"),Settings!$F$19="Yes",NOT(AND('Month-End'!$AV$7&lt;&gt;"",NOT(_xlfn.ISFORMULA('Month-End'!$AV$7))))),1,0)</f>
        <v/>
      </c>
      <c r="CN51">
        <f>IF(AND($E51&lt;&gt;"pre",AND(Settings!$A$20&lt;&gt;"",Settings!$E$20&lt;&gt;"No"),Settings!$F$20="Yes",NOT(AND('Month-End'!$AV$8&lt;&gt;"",NOT(_xlfn.ISFORMULA('Month-End'!$AV$8))))),1,0)</f>
        <v/>
      </c>
      <c r="CO51">
        <f>IF(AND($E51&lt;&gt;"pre",AND(Settings!$A$21&lt;&gt;"",Settings!$E$21&lt;&gt;"No"),Settings!$F$21="Yes",NOT(AND('Month-End'!$AV$9&lt;&gt;"",NOT(_xlfn.ISFORMULA('Month-End'!$AV$9))))),1,0)</f>
        <v/>
      </c>
      <c r="CP51">
        <f>IF(AND($E51&lt;&gt;"pre",AND(Settings!$A$22&lt;&gt;"",Settings!$E$22&lt;&gt;"No"),Settings!$F$22="Yes",NOT(AND('Month-End'!$AV$10&lt;&gt;"",NOT(_xlfn.ISFORMULA('Month-End'!$AV$10))))),1,0)</f>
        <v/>
      </c>
      <c r="CQ51">
        <f>IF(AND($E51&lt;&gt;"pre",AND(Settings!$A$23&lt;&gt;"",Settings!$E$23&lt;&gt;"No"),Settings!$F$23="Yes",NOT(AND('Month-End'!$AV$11&lt;&gt;"",NOT(_xlfn.ISFORMULA('Month-End'!$AV$11))))),1,0)</f>
        <v/>
      </c>
      <c r="CR51">
        <f>IF(AND($E51&lt;&gt;"pre",AND(Settings!$A$24&lt;&gt;"",Settings!$E$24&lt;&gt;"No"),Settings!$F$24="Yes",NOT(AND('Month-End'!$AV$12&lt;&gt;"",NOT(_xlfn.ISFORMULA('Month-End'!$AV$12))))),1,0)</f>
        <v/>
      </c>
      <c r="CS51">
        <f>IF(AND($E51&lt;&gt;"pre",AND(Settings!$A$25&lt;&gt;"",Settings!$E$25&lt;&gt;"No"),Settings!$F$25="Yes",NOT(AND('Month-End'!$AV$13&lt;&gt;"",NOT(_xlfn.ISFORMULA('Month-End'!$AV$13))))),1,0)</f>
        <v/>
      </c>
      <c r="CT51">
        <f>IF(AND($E51&lt;&gt;"pre",AND(Settings!$A$26&lt;&gt;"",Settings!$E$26&lt;&gt;"No"),Settings!$F$26="Yes",NOT(AND('Month-End'!$AV$14&lt;&gt;"",NOT(_xlfn.ISFORMULA('Month-End'!$AV$14))))),1,0)</f>
        <v/>
      </c>
      <c r="CU51">
        <f>IF(AND($E51&lt;&gt;"pre",AND(Settings!$A$27&lt;&gt;"",Settings!$E$27&lt;&gt;"No"),Settings!$F$27="Yes",NOT(AND('Month-End'!$AV$15&lt;&gt;"",NOT(_xlfn.ISFORMULA('Month-End'!$AV$15))))),1,0)</f>
        <v/>
      </c>
      <c r="CV51">
        <f>IF(AND($E51&lt;&gt;"pre",AND(Settings!$A$28&lt;&gt;"",Settings!$E$28&lt;&gt;"No"),Settings!$F$28="Yes",NOT(AND('Month-End'!$AV$16&lt;&gt;"",NOT(_xlfn.ISFORMULA('Month-End'!$AV$16))))),1,0)</f>
        <v/>
      </c>
      <c r="CW51">
        <f>IF(AND($E51&lt;&gt;"pre",AND(Settings!$A$29&lt;&gt;"",Settings!$E$29&lt;&gt;"No"),Settings!$F$29="Yes",NOT(AND('Month-End'!$AV$17&lt;&gt;"",NOT(_xlfn.ISFORMULA('Month-End'!$AV$17))))),1,0)</f>
        <v/>
      </c>
      <c r="CX51">
        <f>IF(AND($E51&lt;&gt;"pre",AND(Settings!$A$30&lt;&gt;"",Settings!$E$30&lt;&gt;"No"),Settings!$F$30="Yes",NOT(AND('Month-End'!$AV$18&lt;&gt;"",NOT(_xlfn.ISFORMULA('Month-End'!$AV$18))))),1,0)</f>
        <v/>
      </c>
      <c r="CY51">
        <f>IF(AND($E51&lt;&gt;"pre",AND(Settings!$A$31&lt;&gt;"",Settings!$E$31&lt;&gt;"No"),Settings!$F$31="Yes",NOT(AND('Month-End'!$AV$19&lt;&gt;"",NOT(_xlfn.ISFORMULA('Month-End'!$AV$19))))),1,0)</f>
        <v/>
      </c>
      <c r="CZ51">
        <f>IF(AND($E51&lt;&gt;"pre",AND(Settings!$A$32&lt;&gt;"",Settings!$E$32&lt;&gt;"No"),Settings!$F$32="Yes",NOT(AND('Month-End'!$AV$20&lt;&gt;"",NOT(_xlfn.ISFORMULA('Month-End'!$AV$20))))),1,0)</f>
        <v/>
      </c>
      <c r="DA51">
        <f>IF($DT51=1,IF(OR(Settings!$B$19="Checking",Settings!$B$19="Savings",Settings!$B$19="Cash"),N($AE51),IF(OR(Settings!$B$19="Card",Settings!$B$19="Loan"),-N($AE51),0))+IF(OR(Settings!$B$20="Checking",Settings!$B$20="Savings",Settings!$B$20="Cash"),N($AF51),IF(OR(Settings!$B$20="Card",Settings!$B$20="Loan"),-N($AF51),0))+IF(OR(Settings!$B$21="Checking",Settings!$B$21="Savings",Settings!$B$21="Cash"),N($AG51),IF(OR(Settings!$B$21="Card",Settings!$B$21="Loan"),-N($AG51),0))+IF(OR(Settings!$B$22="Checking",Settings!$B$22="Savings",Settings!$B$22="Cash"),N($AH51),IF(OR(Settings!$B$22="Card",Settings!$B$22="Loan"),-N($AH51),0))+IF(OR(Settings!$B$23="Checking",Settings!$B$23="Savings",Settings!$B$23="Cash"),N($AI51),IF(OR(Settings!$B$23="Card",Settings!$B$23="Loan"),-N($AI51),0))+IF(OR(Settings!$B$24="Checking",Settings!$B$24="Savings",Settings!$B$24="Cash"),N($AJ51),IF(OR(Settings!$B$24="Card",Settings!$B$24="Loan"),-N($AJ51),0))+IF(OR(Settings!$B$25="Checking",Settings!$B$25="Savings",Settings!$B$25="Cash"),N($AK51),IF(OR(Settings!$B$25="Card",Settings!$B$25="Loan"),-N($AK51),0))+IF(OR(Settings!$B$26="Checking",Settings!$B$26="Savings",Settings!$B$26="Cash"),N($AL51),IF(OR(Settings!$B$26="Card",Settings!$B$26="Loan"),-N($AL51),0))+IF(OR(Settings!$B$27="Checking",Settings!$B$27="Savings",Settings!$B$27="Cash"),N($AM51),IF(OR(Settings!$B$27="Card",Settings!$B$27="Loan"),-N($AM51),0))+IF(OR(Settings!$B$28="Checking",Settings!$B$28="Savings",Settings!$B$28="Cash"),N($AN51),IF(OR(Settings!$B$28="Card",Settings!$B$28="Loan"),-N($AN51),0))+IF(OR(Settings!$B$29="Checking",Settings!$B$29="Savings",Settings!$B$29="Cash"),N($AO51),IF(OR(Settings!$B$29="Card",Settings!$B$29="Loan"),-N($AO51),0))+IF(OR(Settings!$B$30="Checking",Settings!$B$30="Savings",Settings!$B$30="Cash"),N($AP51),IF(OR(Settings!$B$30="Card",Settings!$B$30="Loan"),-N($AP51),0))+IF(OR(Settings!$B$31="Checking",Settings!$B$31="Savings",Settings!$B$31="Cash"),N($AQ51),IF(OR(Settings!$B$31="Card",Settings!$B$31="Loan"),-N($AQ51),0))+IF(OR(Settings!$B$32="Checking",Settings!$B$32="Savings",Settings!$B$32="Cash"),N($AR51),IF(OR(Settings!$B$32="Card",Settings!$B$32="Loan"),-N($AR51),0)),"")</f>
        <v/>
      </c>
      <c r="DB51">
        <f>IF($E51="open",$EB$27,IF($E51="post",IF($E50="pre",$EB$27,$DA50),""))</f>
        <v/>
      </c>
      <c r="DC51">
        <f>IF($E51="open",1,IF($E51="post",IF($E50="pre",1,$DT50),0))</f>
        <v/>
      </c>
      <c r="DD51">
        <f>IF(AND($DT51=1,$DC51=1),ROUND($W51-($DA51-$DB51)-$AD51-$AB51,2),"")</f>
        <v/>
      </c>
      <c r="DE51">
        <f>IF('Month-End'!$AV$35="",$BQ51,N('Month-End'!$AV$35))</f>
        <v/>
      </c>
      <c r="DF51">
        <f>N('Month-End'!$AV$36)</f>
        <v/>
      </c>
      <c r="DG51">
        <f>IF($DD51="","",$DD51+$DE51)</f>
        <v/>
      </c>
      <c r="DH51">
        <f>IF($DG51="","",$DG51-$DF51)</f>
        <v/>
      </c>
      <c r="DI51">
        <f>IF(OR($E51="pre",$D51=1),"",N($AS51)+N($AT51)+N($AU51)+N($AV51)+N($AW51)+N($AX51))</f>
        <v/>
      </c>
      <c r="DJ51">
        <f>IF($DT51=1,$DA51+N($DI51),"")</f>
        <v/>
      </c>
      <c r="DK51">
        <f>IF($DD51="","",$W51-$DD51-$AB51)</f>
        <v/>
      </c>
      <c r="DL51">
        <f>IF(AND($E51="post",$DD51&lt;&gt;"",$B51&lt;TODAY()),1,0)</f>
        <v/>
      </c>
      <c r="DM51">
        <f>IF($DL51=1,COUNTIF($DL51:$DL$183,1),0)</f>
        <v/>
      </c>
      <c r="DN51">
        <f>IF($D51=1,"",IF($E51="pre","History only",IF($DT51=1,IF($DD51="","⚠ Previous month missing",IF($DD51&lt;0,"⚠ Check: spending &lt; 0",IF($E51="open","✓ Done (partial)","✓ Done"))),IF($B51&gt;=TODAY(),"In progress","⚠ Needs balances"))))</f>
        <v/>
      </c>
      <c r="DO51">
        <f>YEAR($A51)</f>
        <v/>
      </c>
      <c r="DP51">
        <f>DATE(YEAR($A51),INT((MONTH($A51)-1)/3)*3+1,1)</f>
        <v/>
      </c>
      <c r="DQ51">
        <f>IF(AND($DT51=1,$DD51&lt;&gt;"",$D51=0),ROW(),0)</f>
        <v/>
      </c>
      <c r="DR51">
        <f>IF(AND($E51&lt;&gt;"pre",$B51&lt;TODAY(),$DT51=0),1,0)</f>
        <v/>
      </c>
      <c r="DS51">
        <f>IF($DJ51="",NA(),$DJ51)</f>
        <v/>
      </c>
      <c r="DT51">
        <f>IF(AND($E51&lt;&gt;"pre",$CL51=0,COUNTIFS(Settings!$F$19:$F$32,"Yes",Settings!$A$19:$A$32,"&lt;&gt;",Settings!$E$19:$E$32,"&lt;&gt;No")&gt;0),1,0)</f>
        <v/>
      </c>
      <c r="DU51">
        <f>IF(AND($B51&lt;TODAY(),$S51&gt;0),1,0)</f>
        <v/>
      </c>
      <c r="DV51">
        <f>IF($DU51=1,COUNTIF($DU51:$DU$183,1),0)</f>
        <v/>
      </c>
      <c r="DW51">
        <f>IF(AND(OR(Settings!$B$19="Card",Settings!$B$19="Loan"),AND('Month-End'!$AV$7&lt;&gt;"",NOT(_xlfn.ISFORMULA('Month-End'!$AV$7)))),IF(N('Month-End'!$AV$7)&lt;0,1,0),0)+IF(AND(OR(Settings!$B$20="Card",Settings!$B$20="Loan"),AND('Month-End'!$AV$8&lt;&gt;"",NOT(_xlfn.ISFORMULA('Month-End'!$AV$8)))),IF(N('Month-End'!$AV$8)&lt;0,1,0),0)+IF(AND(OR(Settings!$B$21="Card",Settings!$B$21="Loan"),AND('Month-End'!$AV$9&lt;&gt;"",NOT(_xlfn.ISFORMULA('Month-End'!$AV$9)))),IF(N('Month-End'!$AV$9)&lt;0,1,0),0)+IF(AND(OR(Settings!$B$22="Card",Settings!$B$22="Loan"),AND('Month-End'!$AV$10&lt;&gt;"",NOT(_xlfn.ISFORMULA('Month-End'!$AV$10)))),IF(N('Month-End'!$AV$10)&lt;0,1,0),0)+IF(AND(OR(Settings!$B$23="Card",Settings!$B$23="Loan"),AND('Month-End'!$AV$11&lt;&gt;"",NOT(_xlfn.ISFORMULA('Month-End'!$AV$11)))),IF(N('Month-End'!$AV$11)&lt;0,1,0),0)+IF(AND(OR(Settings!$B$24="Card",Settings!$B$24="Loan"),AND('Month-End'!$AV$12&lt;&gt;"",NOT(_xlfn.ISFORMULA('Month-End'!$AV$12)))),IF(N('Month-End'!$AV$12)&lt;0,1,0),0)+IF(AND(OR(Settings!$B$25="Card",Settings!$B$25="Loan"),AND('Month-End'!$AV$13&lt;&gt;"",NOT(_xlfn.ISFORMULA('Month-End'!$AV$13)))),IF(N('Month-End'!$AV$13)&lt;0,1,0),0)+IF(AND(OR(Settings!$B$26="Card",Settings!$B$26="Loan"),AND('Month-End'!$AV$14&lt;&gt;"",NOT(_xlfn.ISFORMULA('Month-End'!$AV$14)))),IF(N('Month-End'!$AV$14)&lt;0,1,0),0)+IF(AND(OR(Settings!$B$27="Card",Settings!$B$27="Loan"),AND('Month-End'!$AV$15&lt;&gt;"",NOT(_xlfn.ISFORMULA('Month-End'!$AV$15)))),IF(N('Month-End'!$AV$15)&lt;0,1,0),0)+IF(AND(OR(Settings!$B$28="Card",Settings!$B$28="Loan"),AND('Month-End'!$AV$16&lt;&gt;"",NOT(_xlfn.ISFORMULA('Month-End'!$AV$16)))),IF(N('Month-End'!$AV$16)&lt;0,1,0),0)+IF(AND(OR(Settings!$B$29="Card",Settings!$B$29="Loan"),AND('Month-End'!$AV$17&lt;&gt;"",NOT(_xlfn.ISFORMULA('Month-End'!$AV$17)))),IF(N('Month-End'!$AV$17)&lt;0,1,0),0)+IF(AND(OR(Settings!$B$30="Card",Settings!$B$30="Loan"),AND('Month-End'!$AV$18&lt;&gt;"",NOT(_xlfn.ISFORMULA('Month-End'!$AV$18)))),IF(N('Month-End'!$AV$18)&lt;0,1,0),0)+IF(AND(OR(Settings!$B$31="Card",Settings!$B$31="Loan"),AND('Month-End'!$AV$19&lt;&gt;"",NOT(_xlfn.ISFORMULA('Month-End'!$AV$19)))),IF(N('Month-End'!$AV$19)&lt;0,1,0),0)+IF(AND(OR(Settings!$B$32="Card",Settings!$B$32="Loan"),AND('Month-End'!$AV$20&lt;&gt;"",NOT(_xlfn.ISFORMULA('Month-End'!$AV$20)))),IF(N('Month-End'!$AV$20)&lt;0,1,0),0)</f>
        <v/>
      </c>
      <c r="DX51">
        <f>IF(Settings!$B$36="Retirement",$AY51,0)+IF(Settings!$B$37="Retirement",$AZ51,0)+IF(Settings!$B$38="Retirement",$BA51,0)+IF(Settings!$B$39="Retirement",$BB51,0)+IF(Settings!$B$40="Retirement",$BC51,0)+IF(Settings!$B$41="Retirement",$BD51,0)</f>
        <v/>
      </c>
      <c r="EA51">
        <f>IF(Settings!$A$30="","",Settings!$A$30)</f>
        <v/>
      </c>
      <c r="EB51">
        <f>IF(Settings!$A$30="","",IF($EB$5=0,N(Settings!$C$30),N(INDEX($AP:$AP,$EB$5))))</f>
        <v/>
      </c>
      <c r="EC51">
        <f>""</f>
        <v/>
      </c>
      <c r="ED51">
        <f>IF(AND(AND(Settings!$A$30&lt;&gt;"",Settings!$E$30&lt;&gt;"No"),Settings!$B$30="Cash",Settings!$B$5&lt;EDATE(TODAY(),-6),COUNTIFS($CC$6:$CC$183,1,$A$6:$A$183,"&gt;="&amp;EDATE(TODAY(),-6))=0),1,0)</f>
        <v/>
      </c>
      <c r="EI51">
        <f>IF(AND(Settings!$A$30&lt;&gt;"",Settings!$E$30&lt;&gt;"No"),COUNTIFS($EK$40:$EK51,1),"")</f>
        <v/>
      </c>
      <c r="EJ51">
        <f>IF(Settings!$A$30="","",Settings!$B$30)</f>
        <v/>
      </c>
      <c r="EK51">
        <f>IF(AND(Settings!$A$30&lt;&gt;"",Settings!$E$30&lt;&gt;"No"),1,0)</f>
        <v/>
      </c>
      <c r="EL51">
        <f>IF(Settings!$A$30="","",IF(OR(Settings!$B$30="Card",Settings!$B$30="Loan"),-N(EB51),N(EB51)))</f>
        <v/>
      </c>
      <c r="EM51">
        <f>IF(Settings!$A$30="","",IF(Settings!$D$30="Yes","estimate",""))</f>
        <v/>
      </c>
      <c r="ET51">
        <f>IF($E51&lt;&gt;"open",0,IF(AND('Month-End'!$AV$22&lt;&gt;"",NOT(_xlfn.ISFORMULA('Month-End'!$AV$22))),0,IF(OR(Settings!$C$45="",Settings!$D$45=""),0,Settings!$C$45*IF(Settings!$D$45="Weekly",IF(IFERROR(MATCH(Settings!$E$45,$EO$4:$EO$10,0),0)=0,0,IF(MIN(Settings!$B$5,IF(Settings!$G$45="",Settings!$B$5,Settings!$G$45))&lt;MAX($A51,Settings!$F$45),0,INT((MIN(Settings!$B$5,IF(Settings!$G$45="",Settings!$B$5,Settings!$G$45))-MAX($A51,Settings!$F$45)-MOD(IFERROR(MATCH(Settings!$E$45,$EO$4:$EO$10,0),0)-WEEKDAY(MAX($A51,Settings!$F$45)),7))/7)+1)),IF(AND(IF(Settings!$E$45="",$B51,DATE(YEAR($A51),MONTH($A51),MIN(Settings!$E$45,DAY($B51))))&gt;=MAX($A51,Settings!$F$45),IF(Settings!$E$45="",$B51,DATE(YEAR($A51),MONTH($A51),MIN(Settings!$E$45,DAY($B51))))&lt;=MIN(Settings!$B$5,IF(Settings!$G$45="",Settings!$B$5,Settings!$G$45))),1,0)))))</f>
        <v/>
      </c>
      <c r="EU51">
        <f>IF($E51&lt;&gt;"open",0,IF(AND('Month-End'!$AV$23&lt;&gt;"",NOT(_xlfn.ISFORMULA('Month-End'!$AV$23))),0,IF(OR(Settings!$C$46="",Settings!$D$46=""),0,Settings!$C$46*IF(Settings!$D$46="Weekly",IF(IFERROR(MATCH(Settings!$E$46,$EO$4:$EO$10,0),0)=0,0,IF(MIN(Settings!$B$5,IF(Settings!$G$46="",Settings!$B$5,Settings!$G$46))&lt;MAX($A51,Settings!$F$46),0,INT((MIN(Settings!$B$5,IF(Settings!$G$46="",Settings!$B$5,Settings!$G$46))-MAX($A51,Settings!$F$46)-MOD(IFERROR(MATCH(Settings!$E$46,$EO$4:$EO$10,0),0)-WEEKDAY(MAX($A51,Settings!$F$46)),7))/7)+1)),IF(AND(IF(Settings!$E$46="",$B51,DATE(YEAR($A51),MONTH($A51),MIN(Settings!$E$46,DAY($B51))))&gt;=MAX($A51,Settings!$F$46),IF(Settings!$E$46="",$B51,DATE(YEAR($A51),MONTH($A51),MIN(Settings!$E$46,DAY($B51))))&lt;=MIN(Settings!$B$5,IF(Settings!$G$46="",Settings!$B$5,Settings!$G$46))),1,0)))))</f>
        <v/>
      </c>
      <c r="EV51">
        <f>IF($E51&lt;&gt;"open",0,IF(AND('Month-End'!$AV$24&lt;&gt;"",NOT(_xlfn.ISFORMULA('Month-End'!$AV$24))),0,IF(OR(Settings!$C$47="",Settings!$D$47=""),0,Settings!$C$47*IF(Settings!$D$47="Weekly",IF(IFERROR(MATCH(Settings!$E$47,$EO$4:$EO$10,0),0)=0,0,IF(MIN(Settings!$B$5,IF(Settings!$G$47="",Settings!$B$5,Settings!$G$47))&lt;MAX($A51,Settings!$F$47),0,INT((MIN(Settings!$B$5,IF(Settings!$G$47="",Settings!$B$5,Settings!$G$47))-MAX($A51,Settings!$F$47)-MOD(IFERROR(MATCH(Settings!$E$47,$EO$4:$EO$10,0),0)-WEEKDAY(MAX($A51,Settings!$F$47)),7))/7)+1)),IF(AND(IF(Settings!$E$47="",$B51,DATE(YEAR($A51),MONTH($A51),MIN(Settings!$E$47,DAY($B51))))&gt;=MAX($A51,Settings!$F$47),IF(Settings!$E$47="",$B51,DATE(YEAR($A51),MONTH($A51),MIN(Settings!$E$47,DAY($B51))))&lt;=MIN(Settings!$B$5,IF(Settings!$G$47="",Settings!$B$5,Settings!$G$47))),1,0)))))</f>
        <v/>
      </c>
      <c r="EW51">
        <f>IF($E51&lt;&gt;"open",0,IF(AND('Month-End'!$AV$25&lt;&gt;"",NOT(_xlfn.ISFORMULA('Month-End'!$AV$25))),0,IF(OR(Settings!$C$48="",Settings!$D$48=""),0,Settings!$C$48*IF(Settings!$D$48="Weekly",IF(IFERROR(MATCH(Settings!$E$48,$EO$4:$EO$10,0),0)=0,0,IF(MIN(Settings!$B$5,IF(Settings!$G$48="",Settings!$B$5,Settings!$G$48))&lt;MAX($A51,Settings!$F$48),0,INT((MIN(Settings!$B$5,IF(Settings!$G$48="",Settings!$B$5,Settings!$G$48))-MAX($A51,Settings!$F$48)-MOD(IFERROR(MATCH(Settings!$E$48,$EO$4:$EO$10,0),0)-WEEKDAY(MAX($A51,Settings!$F$48)),7))/7)+1)),IF(AND(IF(Settings!$E$48="",$B51,DATE(YEAR($A51),MONTH($A51),MIN(Settings!$E$48,DAY($B51))))&gt;=MAX($A51,Settings!$F$48),IF(Settings!$E$48="",$B51,DATE(YEAR($A51),MONTH($A51),MIN(Settings!$E$48,DAY($B51))))&lt;=MIN(Settings!$B$5,IF(Settings!$G$48="",Settings!$B$5,Settings!$G$48))),1,0)))))</f>
        <v/>
      </c>
      <c r="EX51">
        <f>IF($E51&lt;&gt;"open",0,IF(AND('Month-End'!$AV$26&lt;&gt;"",NOT(_xlfn.ISFORMULA('Month-End'!$AV$26))),0,IF(OR(Settings!$C$49="",Settings!$D$49=""),0,Settings!$C$49*IF(Settings!$D$49="Weekly",IF(IFERROR(MATCH(Settings!$E$49,$EO$4:$EO$10,0),0)=0,0,IF(MIN(Settings!$B$5,IF(Settings!$G$49="",Settings!$B$5,Settings!$G$49))&lt;MAX($A51,Settings!$F$49),0,INT((MIN(Settings!$B$5,IF(Settings!$G$49="",Settings!$B$5,Settings!$G$49))-MAX($A51,Settings!$F$49)-MOD(IFERROR(MATCH(Settings!$E$49,$EO$4:$EO$10,0),0)-WEEKDAY(MAX($A51,Settings!$F$49)),7))/7)+1)),IF(AND(IF(Settings!$E$49="",$B51,DATE(YEAR($A51),MONTH($A51),MIN(Settings!$E$49,DAY($B51))))&gt;=MAX($A51,Settings!$F$49),IF(Settings!$E$49="",$B51,DATE(YEAR($A51),MONTH($A51),MIN(Settings!$E$49,DAY($B51))))&lt;=MIN(Settings!$B$5,IF(Settings!$G$49="",Settings!$B$5,Settings!$G$49))),1,0)))))</f>
        <v/>
      </c>
      <c r="EY51">
        <f>IF($E51&lt;&gt;"open",0,IF(AND('Month-End'!$AV$27&lt;&gt;"",NOT(_xlfn.ISFORMULA('Month-End'!$AV$27))),0,IF(OR(Settings!$C$50="",Settings!$D$50=""),0,Settings!$C$50*IF(Settings!$D$50="Weekly",IF(IFERROR(MATCH(Settings!$E$50,$EO$4:$EO$10,0),0)=0,0,IF(MIN(Settings!$B$5,IF(Settings!$G$50="",Settings!$B$5,Settings!$G$50))&lt;MAX($A51,Settings!$F$50),0,INT((MIN(Settings!$B$5,IF(Settings!$G$50="",Settings!$B$5,Settings!$G$50))-MAX($A51,Settings!$F$50)-MOD(IFERROR(MATCH(Settings!$E$50,$EO$4:$EO$10,0),0)-WEEKDAY(MAX($A51,Settings!$F$50)),7))/7)+1)),IF(AND(IF(Settings!$E$50="",$B51,DATE(YEAR($A51),MONTH($A51),MIN(Settings!$E$50,DAY($B51))))&gt;=MAX($A51,Settings!$F$50),IF(Settings!$E$50="",$B51,DATE(YEAR($A51),MONTH($A51),MIN(Settings!$E$50,DAY($B51))))&lt;=MIN(Settings!$B$5,IF(Settings!$G$50="",Settings!$B$5,Settings!$G$50))),1,0)))))</f>
        <v/>
      </c>
      <c r="EZ51">
        <f>IF($E51&lt;&gt;"open",0,IF(AND('Month-End'!$AV$28&lt;&gt;"",NOT(_xlfn.ISFORMULA('Month-End'!$AV$28))),0,IF(OR(Settings!$C$51="",Settings!$D$51=""),0,Settings!$C$51*IF(Settings!$D$51="Weekly",IF(IFERROR(MATCH(Settings!$E$51,$EO$4:$EO$10,0),0)=0,0,IF(MIN(Settings!$B$5,IF(Settings!$G$51="",Settings!$B$5,Settings!$G$51))&lt;MAX($A51,Settings!$F$51),0,INT((MIN(Settings!$B$5,IF(Settings!$G$51="",Settings!$B$5,Settings!$G$51))-MAX($A51,Settings!$F$51)-MOD(IFERROR(MATCH(Settings!$E$51,$EO$4:$EO$10,0),0)-WEEKDAY(MAX($A51,Settings!$F$51)),7))/7)+1)),IF(AND(IF(Settings!$E$51="",$B51,DATE(YEAR($A51),MONTH($A51),MIN(Settings!$E$51,DAY($B51))))&gt;=MAX($A51,Settings!$F$51),IF(Settings!$E$51="",$B51,DATE(YEAR($A51),MONTH($A51),MIN(Settings!$E$51,DAY($B51))))&lt;=MIN(Settings!$B$5,IF(Settings!$G$51="",Settings!$B$5,Settings!$G$51))),1,0)))))</f>
        <v/>
      </c>
      <c r="FA51">
        <f>IF($E51&lt;&gt;"open",0,IF(AND('Month-End'!$AV$29&lt;&gt;"",NOT(_xlfn.ISFORMULA('Month-End'!$AV$29))),0,IF(OR(Settings!$C$52="",Settings!$D$52=""),0,Settings!$C$52*IF(Settings!$D$52="Weekly",IF(IFERROR(MATCH(Settings!$E$52,$EO$4:$EO$10,0),0)=0,0,IF(MIN(Settings!$B$5,IF(Settings!$G$52="",Settings!$B$5,Settings!$G$52))&lt;MAX($A51,Settings!$F$52),0,INT((MIN(Settings!$B$5,IF(Settings!$G$52="",Settings!$B$5,Settings!$G$52))-MAX($A51,Settings!$F$52)-MOD(IFERROR(MATCH(Settings!$E$52,$EO$4:$EO$10,0),0)-WEEKDAY(MAX($A51,Settings!$F$52)),7))/7)+1)),IF(AND(IF(Settings!$E$52="",$B51,DATE(YEAR($A51),MONTH($A51),MIN(Settings!$E$52,DAY($B51))))&gt;=MAX($A51,Settings!$F$52),IF(Settings!$E$52="",$B51,DATE(YEAR($A51),MONTH($A51),MIN(Settings!$E$52,DAY($B51))))&lt;=MIN(Settings!$B$5,IF(Settings!$G$52="",Settings!$B$5,Settings!$G$52))),1,0)))))</f>
        <v/>
      </c>
      <c r="FB51">
        <f>IF($E51&lt;&gt;"open",0,IF(AND('Month-End'!$AV$30&lt;&gt;"",NOT(_xlfn.ISFORMULA('Month-End'!$AV$30))),0,IF(OR(Settings!$C$53="",Settings!$D$53=""),0,Settings!$C$53*IF(Settings!$D$53="Weekly",IF(IFERROR(MATCH(Settings!$E$53,$EO$4:$EO$10,0),0)=0,0,IF(MIN(Settings!$B$5,IF(Settings!$G$53="",Settings!$B$5,Settings!$G$53))&lt;MAX($A51,Settings!$F$53),0,INT((MIN(Settings!$B$5,IF(Settings!$G$53="",Settings!$B$5,Settings!$G$53))-MAX($A51,Settings!$F$53)-MOD(IFERROR(MATCH(Settings!$E$53,$EO$4:$EO$10,0),0)-WEEKDAY(MAX($A51,Settings!$F$53)),7))/7)+1)),IF(AND(IF(Settings!$E$53="",$B51,DATE(YEAR($A51),MONTH($A51),MIN(Settings!$E$53,DAY($B51))))&gt;=MAX($A51,Settings!$F$53),IF(Settings!$E$53="",$B51,DATE(YEAR($A51),MONTH($A51),MIN(Settings!$E$53,DAY($B51))))&lt;=MIN(Settings!$B$5,IF(Settings!$G$53="",Settings!$B$5,Settings!$G$53))),1,0)))))</f>
        <v/>
      </c>
      <c r="FC51">
        <f>IF($E51&lt;&gt;"open",0,IF(AND('Month-End'!$AV$31&lt;&gt;"",NOT(_xlfn.ISFORMULA('Month-End'!$AV$31))),0,IF(OR(Settings!$C$54="",Settings!$D$54=""),0,Settings!$C$54*IF(Settings!$D$54="Weekly",IF(IFERROR(MATCH(Settings!$E$54,$EO$4:$EO$10,0),0)=0,0,IF(MIN(Settings!$B$5,IF(Settings!$G$54="",Settings!$B$5,Settings!$G$54))&lt;MAX($A51,Settings!$F$54),0,INT((MIN(Settings!$B$5,IF(Settings!$G$54="",Settings!$B$5,Settings!$G$54))-MAX($A51,Settings!$F$54)-MOD(IFERROR(MATCH(Settings!$E$54,$EO$4:$EO$10,0),0)-WEEKDAY(MAX($A51,Settings!$F$54)),7))/7)+1)),IF(AND(IF(Settings!$E$54="",$B51,DATE(YEAR($A51),MONTH($A51),MIN(Settings!$E$54,DAY($B51))))&gt;=MAX($A51,Settings!$F$54),IF(Settings!$E$54="",$B51,DATE(YEAR($A51),MONTH($A51),MIN(Settings!$E$54,DAY($B51))))&lt;=MIN(Settings!$B$5,IF(Settings!$G$54="",Settings!$B$5,Settings!$G$54))),1,0)))))</f>
        <v/>
      </c>
      <c r="FD51">
        <f>IF($E51&lt;&gt;"open",0,IF(AND('Month-End'!$AV$32&lt;&gt;"",NOT(_xlfn.ISFORMULA('Month-End'!$AV$32))),0,IF(OR(Settings!$C$55="",Settings!$D$55=""),0,Settings!$C$55*IF(Settings!$D$55="Weekly",IF(IFERROR(MATCH(Settings!$E$55,$EO$4:$EO$10,0),0)=0,0,IF(MIN(Settings!$B$5,IF(Settings!$G$55="",Settings!$B$5,Settings!$G$55))&lt;MAX($A51,Settings!$F$55),0,INT((MIN(Settings!$B$5,IF(Settings!$G$55="",Settings!$B$5,Settings!$G$55))-MAX($A51,Settings!$F$55)-MOD(IFERROR(MATCH(Settings!$E$55,$EO$4:$EO$10,0),0)-WEEKDAY(MAX($A51,Settings!$F$55)),7))/7)+1)),IF(AND(IF(Settings!$E$55="",$B51,DATE(YEAR($A51),MONTH($A51),MIN(Settings!$E$55,DAY($B51))))&gt;=MAX($A51,Settings!$F$55),IF(Settings!$E$55="",$B51,DATE(YEAR($A51),MONTH($A51),MIN(Settings!$E$55,DAY($B51))))&lt;=MIN(Settings!$B$5,IF(Settings!$G$55="",Settings!$B$5,Settings!$G$55))),1,0)))))</f>
        <v/>
      </c>
      <c r="FE51">
        <f>IF($E51&lt;&gt;"open",0,IF(AND('Month-End'!$AV$33&lt;&gt;"",NOT(_xlfn.ISFORMULA('Month-End'!$AV$33))),0,IF(OR(Settings!$C$56="",Settings!$D$56=""),0,Settings!$C$56*IF(Settings!$D$56="Weekly",IF(IFERROR(MATCH(Settings!$E$56,$EO$4:$EO$10,0),0)=0,0,IF(MIN(Settings!$B$5,IF(Settings!$G$56="",Settings!$B$5,Settings!$G$56))&lt;MAX($A51,Settings!$F$56),0,INT((MIN(Settings!$B$5,IF(Settings!$G$56="",Settings!$B$5,Settings!$G$56))-MAX($A51,Settings!$F$56)-MOD(IFERROR(MATCH(Settings!$E$56,$EO$4:$EO$10,0),0)-WEEKDAY(MAX($A51,Settings!$F$56)),7))/7)+1)),IF(AND(IF(Settings!$E$56="",$B51,DATE(YEAR($A51),MONTH($A51),MIN(Settings!$E$56,DAY($B51))))&gt;=MAX($A51,Settings!$F$56),IF(Settings!$E$56="",$B51,DATE(YEAR($A51),MONTH($A51),MIN(Settings!$E$56,DAY($B51))))&lt;=MIN(Settings!$B$5,IF(Settings!$G$56="",Settings!$B$5,Settings!$G$56))),1,0)))))</f>
        <v/>
      </c>
      <c r="FF51">
        <f>IF(Settings!$I$45="Yes",$G51,0)+IF(Settings!$I$46="Yes",$H51,0)+IF(Settings!$I$47="Yes",$I51,0)+IF(Settings!$I$48="Yes",$J51,0)+IF(Settings!$I$49="Yes",$K51,0)+IF(Settings!$I$50="Yes",$L51,0)+IF(Settings!$I$51="Yes",$M51,0)+IF(Settings!$I$52="Yes",$N51,0)+IF(Settings!$I$53="Yes",$O51,0)+IF(Settings!$I$54="Yes",$P51,0)+IF(Settings!$I$55="Yes",$Q51,0)+IF(Settings!$I$56="Yes",$R51,0)</f>
        <v/>
      </c>
      <c r="FG51">
        <f>IF(AND(Settings!$I$45="Yes",Settings!$J$45="No"),$G51,0)+IF(AND(Settings!$I$46="Yes",Settings!$J$46="No"),$H51,0)+IF(AND(Settings!$I$47="Yes",Settings!$J$47="No"),$I51,0)+IF(AND(Settings!$I$48="Yes",Settings!$J$48="No"),$J51,0)+IF(AND(Settings!$I$49="Yes",Settings!$J$49="No"),$K51,0)+IF(AND(Settings!$I$50="Yes",Settings!$J$50="No"),$L51,0)+IF(AND(Settings!$I$51="Yes",Settings!$J$51="No"),$M51,0)+IF(AND(Settings!$I$52="Yes",Settings!$J$52="No"),$N51,0)+IF(AND(Settings!$I$53="Yes",Settings!$J$53="No"),$O51,0)+IF(AND(Settings!$I$54="Yes",Settings!$J$54="No"),$P51,0)+IF(AND(Settings!$I$55="Yes",Settings!$J$55="No"),$Q51,0)+IF(AND(Settings!$I$56="Yes",Settings!$J$56="No"),$R51,0)</f>
        <v/>
      </c>
      <c r="FH51">
        <f>SUMIFS(Giving!$B$7:$B$2006,Giving!$A$7:$A$2006,"&gt;="&amp;$A51,Giving!$A$7:$A$2006,"&lt;="&amp;$B51,Giving!$G$7:$G$2006,"Yes")+IF(OR(OR(Settings!$B$60="",Settings!$F$60="No"),Settings!$H$60&lt;&gt;"Yes"),0,Settings!$B$60*IF(AND(IF(Settings!$C$60="",$B51,DATE(YEAR($A51),MONTH($A51),MIN(Settings!$C$60,DAY($B51))))&gt;=MAX($A51,Settings!$D$60),IF(Settings!$C$60="",$B51,DATE(YEAR($A51),MONTH($A51),MIN(Settings!$C$60,DAY($B51))))&lt;=MIN($C51,IF(Settings!$E$60="",$C51,Settings!$E$60))),1,0))+IF(OR(OR(Settings!$B$61="",Settings!$F$61="No"),Settings!$H$61&lt;&gt;"Yes"),0,Settings!$B$61*IF(AND(IF(Settings!$C$61="",$B51,DATE(YEAR($A51),MONTH($A51),MIN(Settings!$C$61,DAY($B51))))&gt;=MAX($A51,Settings!$D$61),IF(Settings!$C$61="",$B51,DATE(YEAR($A51),MONTH($A51),MIN(Settings!$C$61,DAY($B51))))&lt;=MIN($C51,IF(Settings!$E$61="",$C51,Settings!$E$61))),1,0))+IF(OR(OR(Settings!$B$62="",Settings!$F$62="No"),Settings!$H$62&lt;&gt;"Yes"),0,Settings!$B$62*IF(AND(IF(Settings!$C$62="",$B51,DATE(YEAR($A51),MONTH($A51),MIN(Settings!$C$62,DAY($B51))))&gt;=MAX($A51,Settings!$D$62),IF(Settings!$C$62="",$B51,DATE(YEAR($A51),MONTH($A51),MIN(Settings!$C$62,DAY($B51))))&lt;=MIN($C51,IF(Settings!$E$62="",$C51,Settings!$E$62))),1,0))+IF(OR(OR(Settings!$B$63="",Settings!$F$63="No"),Settings!$H$63&lt;&gt;"Yes"),0,Settings!$B$63*IF(AND(IF(Settings!$C$63="",$B51,DATE(YEAR($A51),MONTH($A51),MIN(Settings!$C$63,DAY($B51))))&gt;=MAX($A51,Settings!$D$63),IF(Settings!$C$63="",$B51,DATE(YEAR($A51),MONTH($A51),MIN(Settings!$C$63,DAY($B51))))&lt;=MIN($C51,IF(Settings!$E$63="",$C51,Settings!$E$63))),1,0))+IF(OR(OR(Settings!$B$64="",Settings!$F$64="No"),Settings!$H$64&lt;&gt;"Yes"),0,Settings!$B$64*IF(AND(IF(Settings!$C$64="",$B51,DATE(YEAR($A51),MONTH($A51),MIN(Settings!$C$64,DAY($B51))))&gt;=MAX($A51,Settings!$D$64),IF(Settings!$C$64="",$B51,DATE(YEAR($A51),MONTH($A51),MIN(Settings!$C$64,DAY($B51))))&lt;=MIN($C51,IF(Settings!$E$64="",$C51,Settings!$E$64))),1,0))+IF(OR(OR(Settings!$B$65="",Settings!$F$65="No"),Settings!$H$65&lt;&gt;"Yes"),0,Settings!$B$65*IF(AND(IF(Settings!$C$65="",$B51,DATE(YEAR($A51),MONTH($A51),MIN(Settings!$C$65,DAY($B51))))&gt;=MAX($A51,Settings!$D$65),IF(Settings!$C$65="",$B51,DATE(YEAR($A51),MONTH($A51),MIN(Settings!$C$65,DAY($B51))))&lt;=MIN($C51,IF(Settings!$E$65="",$C51,Settings!$E$65))),1,0))</f>
        <v/>
      </c>
      <c r="FI51">
        <f>IF($DT51=1,IF(OR(Settings!$B$19="Card",Settings!$B$19="Loan"),N($AE51),0)+IF(OR(Settings!$B$20="Card",Settings!$B$20="Loan"),N($AF51),0)+IF(OR(Settings!$B$21="Card",Settings!$B$21="Loan"),N($AG51),0)+IF(OR(Settings!$B$22="Card",Settings!$B$22="Loan"),N($AH51),0)+IF(OR(Settings!$B$23="Card",Settings!$B$23="Loan"),N($AI51),0)+IF(OR(Settings!$B$24="Card",Settings!$B$24="Loan"),N($AJ51),0)+IF(OR(Settings!$B$25="Card",Settings!$B$25="Loan"),N($AK51),0)+IF(OR(Settings!$B$26="Card",Settings!$B$26="Loan"),N($AL51),0)+IF(OR(Settings!$B$27="Card",Settings!$B$27="Loan"),N($AM51),0)+IF(OR(Settings!$B$28="Card",Settings!$B$28="Loan"),N($AN51),0)+IF(OR(Settings!$B$29="Card",Settings!$B$29="Loan"),N($AO51),0)+IF(OR(Settings!$B$30="Card",Settings!$B$30="Loan"),N($AP51),0)+IF(OR(Settings!$B$31="Card",Settings!$B$31="Loan"),N($AQ51),0)+IF(OR(Settings!$B$32="Card",Settings!$B$32="Loan"),N($AR51),0),"")</f>
        <v/>
      </c>
      <c r="FJ51">
        <f>IF($E51="open",$EB$65,IF($E51="post",IF($E50="pre",$EB$65,$FI50),""))</f>
        <v/>
      </c>
      <c r="FK51">
        <f>IF(AND($DT51=1,$DC51=1),IF(ROUND($FI51-$FJ51,2)&gt;0,1,0),0)</f>
        <v/>
      </c>
      <c r="FL51">
        <f>IF($FK51=1,$FL50+1,0)</f>
        <v/>
      </c>
    </row>
    <row r="52">
      <c r="A52">
        <f>'Month-End'!$AW$4</f>
        <v/>
      </c>
      <c r="B52">
        <f>EOMONTH($A52,0)</f>
        <v/>
      </c>
      <c r="C52">
        <f>MIN($B52,TODAY())</f>
        <v/>
      </c>
      <c r="D52">
        <f>IF($A52&gt;TODAY(),1,0)</f>
        <v/>
      </c>
      <c r="E52">
        <f>IF($B52&lt;=Settings!$B$5,"pre",IF($A52&lt;=Settings!$B$5,"open","post"))</f>
        <v/>
      </c>
      <c r="G52">
        <f>IF('Month-End'!$AW$22="",$BE52,N('Month-End'!$AW$22))</f>
        <v/>
      </c>
      <c r="H52">
        <f>IF('Month-End'!$AW$23="",$BF52,N('Month-End'!$AW$23))</f>
        <v/>
      </c>
      <c r="I52">
        <f>IF('Month-End'!$AW$24="",$BG52,N('Month-End'!$AW$24))</f>
        <v/>
      </c>
      <c r="J52">
        <f>IF('Month-End'!$AW$25="",$BH52,N('Month-End'!$AW$25))</f>
        <v/>
      </c>
      <c r="K52">
        <f>IF('Month-End'!$AW$26="",$BI52,N('Month-End'!$AW$26))</f>
        <v/>
      </c>
      <c r="L52">
        <f>IF('Month-End'!$AW$27="",$BJ52,N('Month-End'!$AW$27))</f>
        <v/>
      </c>
      <c r="M52">
        <f>IF('Month-End'!$AW$28="",$BK52,N('Month-End'!$AW$28))</f>
        <v/>
      </c>
      <c r="N52">
        <f>IF('Month-End'!$AW$29="",$BL52,N('Month-End'!$AW$29))</f>
        <v/>
      </c>
      <c r="O52">
        <f>IF('Month-End'!$AW$30="",$BM52,N('Month-End'!$AW$30))</f>
        <v/>
      </c>
      <c r="P52">
        <f>IF('Month-End'!$AW$31="",$BN52,N('Month-End'!$AW$31))</f>
        <v/>
      </c>
      <c r="Q52">
        <f>IF('Month-End'!$AW$32="",$BO52,N('Month-End'!$AW$32))</f>
        <v/>
      </c>
      <c r="R52">
        <f>IF('Month-End'!$AW$33="",$BP52,N('Month-End'!$AW$33))</f>
        <v/>
      </c>
      <c r="S52">
        <f>$G52+$H52+$I52+$J52+$K52+$L52+$M52+$N52+$O52+$P52+$Q52+$R52</f>
        <v/>
      </c>
      <c r="T52">
        <f>IF($B52&lt;Settings!$B$6,0,IF(Settings!$B$45="Yes",$G52,0)+IF(Settings!$B$46="Yes",$H52,0)+IF(Settings!$B$47="Yes",$I52,0)+IF(Settings!$B$48="Yes",$J52,0)+IF(Settings!$B$49="Yes",$K52,0)+IF(Settings!$B$50="Yes",$L52,0)+IF(Settings!$B$51="Yes",$M52,0)+IF(Settings!$B$52="Yes",$N52,0)+IF(Settings!$B$53="Yes",$O52,0)+IF(Settings!$B$54="Yes",$P52,0)+IF(Settings!$B$55="Yes",$Q52,0)+IF(Settings!$B$56="Yes",$R52,0))</f>
        <v/>
      </c>
      <c r="U52">
        <f>IF(Settings!$B$45="Not Sure",$G52,0)+IF(Settings!$B$46="Not Sure",$H52,0)+IF(Settings!$B$47="Not Sure",$I52,0)+IF(Settings!$B$48="Not Sure",$J52,0)+IF(Settings!$B$49="Not Sure",$K52,0)+IF(Settings!$B$50="Not Sure",$L52,0)+IF(Settings!$B$51="Not Sure",$M52,0)+IF(Settings!$B$52="Not Sure",$N52,0)+IF(Settings!$B$53="Not Sure",$O52,0)+IF(Settings!$B$54="Not Sure",$P52,0)+IF(Settings!$B$55="Not Sure",$Q52,0)+IF(Settings!$B$56="Not Sure",$R52,0)</f>
        <v/>
      </c>
      <c r="V52">
        <f>IF($E52="open",SUM($ET52:$FE52)+N(Settings!$B$13),0)</f>
        <v/>
      </c>
      <c r="W52">
        <f>IF($E52="post",$S52,IF($E52="open",$S52-$V52,0))</f>
        <v/>
      </c>
      <c r="X52">
        <f>SUMIFS(Giving!$B$7:$B$2006,Giving!$A$7:$A$2006,"&gt;="&amp;$A52,Giving!$A$7:$A$2006,"&lt;="&amp;$B52,Giving!$E$7:$E$2006,"&lt;&gt;No")</f>
        <v/>
      </c>
      <c r="Y52">
        <f>SUMIFS(Giving!$B$7:$B$2006,Giving!$A$7:$A$2006,"&gt;="&amp;$A52,Giving!$A$7:$A$2006,"&lt;="&amp;$B52,Giving!$E$7:$E$2006,"No")</f>
        <v/>
      </c>
      <c r="Z52">
        <f>IF(OR(Settings!$B$60="",Settings!$F$60="No"),0,Settings!$B$60*IF(AND(IF(Settings!$C$60="",$B52,DATE(YEAR($A52),MONTH($A52),MIN(Settings!$C$60,DAY($B52))))&gt;=MAX($A52,Settings!$D$60),IF(Settings!$C$60="",$B52,DATE(YEAR($A52),MONTH($A52),MIN(Settings!$C$60,DAY($B52))))&lt;=MIN($C52,IF(Settings!$E$60="",$C52,Settings!$E$60))),1,0))+IF(OR(Settings!$B$61="",Settings!$F$61="No"),0,Settings!$B$61*IF(AND(IF(Settings!$C$61="",$B52,DATE(YEAR($A52),MONTH($A52),MIN(Settings!$C$61,DAY($B52))))&gt;=MAX($A52,Settings!$D$61),IF(Settings!$C$61="",$B52,DATE(YEAR($A52),MONTH($A52),MIN(Settings!$C$61,DAY($B52))))&lt;=MIN($C52,IF(Settings!$E$61="",$C52,Settings!$E$61))),1,0))+IF(OR(Settings!$B$62="",Settings!$F$62="No"),0,Settings!$B$62*IF(AND(IF(Settings!$C$62="",$B52,DATE(YEAR($A52),MONTH($A52),MIN(Settings!$C$62,DAY($B52))))&gt;=MAX($A52,Settings!$D$62),IF(Settings!$C$62="",$B52,DATE(YEAR($A52),MONTH($A52),MIN(Settings!$C$62,DAY($B52))))&lt;=MIN($C52,IF(Settings!$E$62="",$C52,Settings!$E$62))),1,0))+IF(OR(Settings!$B$63="",Settings!$F$63="No"),0,Settings!$B$63*IF(AND(IF(Settings!$C$63="",$B52,DATE(YEAR($A52),MONTH($A52),MIN(Settings!$C$63,DAY($B52))))&gt;=MAX($A52,Settings!$D$63),IF(Settings!$C$63="",$B52,DATE(YEAR($A52),MONTH($A52),MIN(Settings!$C$63,DAY($B52))))&lt;=MIN($C52,IF(Settings!$E$63="",$C52,Settings!$E$63))),1,0))+IF(OR(Settings!$B$64="",Settings!$F$64="No"),0,Settings!$B$64*IF(AND(IF(Settings!$C$64="",$B52,DATE(YEAR($A52),MONTH($A52),MIN(Settings!$C$64,DAY($B52))))&gt;=MAX($A52,Settings!$D$64),IF(Settings!$C$64="",$B52,DATE(YEAR($A52),MONTH($A52),MIN(Settings!$C$64,DAY($B52))))&lt;=MIN($C52,IF(Settings!$E$64="",$C52,Settings!$E$64))),1,0))+IF(OR(Settings!$B$65="",Settings!$F$65="No"),0,Settings!$B$65*IF(AND(IF(Settings!$C$65="",$B52,DATE(YEAR($A52),MONTH($A52),MIN(Settings!$C$65,DAY($B52))))&gt;=MAX($A52,Settings!$D$65),IF(Settings!$C$65="",$B52,DATE(YEAR($A52),MONTH($A52),MIN(Settings!$C$65,DAY($B52))))&lt;=MIN($C52,IF(Settings!$E$65="",$C52,Settings!$E$65))),1,0))</f>
        <v/>
      </c>
      <c r="AA52">
        <f>$X52+$Z52</f>
        <v/>
      </c>
      <c r="AB52">
        <f>IF($E52="post",$AA52,IF($E52="open",SUMIFS(Giving!$B$7:$B$2006,Giving!$A$7:$A$2006,"&gt;"&amp;Settings!$B$5,Giving!$A$7:$A$2006,"&lt;="&amp;$B52,Giving!$E$7:$E$2006,"&lt;&gt;No")+IF(OR(Settings!$B$60="",Settings!$F$60="No"),0,Settings!$B$60*IF(AND(IF(Settings!$C$60="",$B52,DATE(YEAR($A52),MONTH($A52),MIN(Settings!$C$60,DAY($B52))))&gt;=MAX($A52,Settings!$D$60,Settings!$B$5+1),IF(Settings!$C$60="",$B52,DATE(YEAR($A52),MONTH($A52),MIN(Settings!$C$60,DAY($B52))))&lt;=MIN($C52,IF(Settings!$E$60="",$C52,Settings!$E$60))),1,0))+IF(OR(Settings!$B$61="",Settings!$F$61="No"),0,Settings!$B$61*IF(AND(IF(Settings!$C$61="",$B52,DATE(YEAR($A52),MONTH($A52),MIN(Settings!$C$61,DAY($B52))))&gt;=MAX($A52,Settings!$D$61,Settings!$B$5+1),IF(Settings!$C$61="",$B52,DATE(YEAR($A52),MONTH($A52),MIN(Settings!$C$61,DAY($B52))))&lt;=MIN($C52,IF(Settings!$E$61="",$C52,Settings!$E$61))),1,0))+IF(OR(Settings!$B$62="",Settings!$F$62="No"),0,Settings!$B$62*IF(AND(IF(Settings!$C$62="",$B52,DATE(YEAR($A52),MONTH($A52),MIN(Settings!$C$62,DAY($B52))))&gt;=MAX($A52,Settings!$D$62,Settings!$B$5+1),IF(Settings!$C$62="",$B52,DATE(YEAR($A52),MONTH($A52),MIN(Settings!$C$62,DAY($B52))))&lt;=MIN($C52,IF(Settings!$E$62="",$C52,Settings!$E$62))),1,0))+IF(OR(Settings!$B$63="",Settings!$F$63="No"),0,Settings!$B$63*IF(AND(IF(Settings!$C$63="",$B52,DATE(YEAR($A52),MONTH($A52),MIN(Settings!$C$63,DAY($B52))))&gt;=MAX($A52,Settings!$D$63,Settings!$B$5+1),IF(Settings!$C$63="",$B52,DATE(YEAR($A52),MONTH($A52),MIN(Settings!$C$63,DAY($B52))))&lt;=MIN($C52,IF(Settings!$E$63="",$C52,Settings!$E$63))),1,0))+IF(OR(Settings!$B$64="",Settings!$F$64="No"),0,Settings!$B$64*IF(AND(IF(Settings!$C$64="",$B52,DATE(YEAR($A52),MONTH($A52),MIN(Settings!$C$64,DAY($B52))))&gt;=MAX($A52,Settings!$D$64,Settings!$B$5+1),IF(Settings!$C$64="",$B52,DATE(YEAR($A52),MONTH($A52),MIN(Settings!$C$64,DAY($B52))))&lt;=MIN($C52,IF(Settings!$E$64="",$C52,Settings!$E$64))),1,0))+IF(OR(Settings!$B$65="",Settings!$F$65="No"),0,Settings!$B$65*IF(AND(IF(Settings!$C$65="",$B52,DATE(YEAR($A52),MONTH($A52),MIN(Settings!$C$65,DAY($B52))))&gt;=MAX($A52,Settings!$D$65,Settings!$B$5+1),IF(Settings!$C$65="",$B52,DATE(YEAR($A52),MONTH($A52),MIN(Settings!$C$65,DAY($B52))))&lt;=MIN($C52,IF(Settings!$E$65="",$C52,Settings!$E$65))),1,0)),0))</f>
        <v/>
      </c>
      <c r="AC52">
        <f>$AY52+$AZ52+$BA52+$BB52+$BC52+$BD52</f>
        <v/>
      </c>
      <c r="AD52">
        <f>$AC52</f>
        <v/>
      </c>
      <c r="AE52">
        <f>IF(OR(Settings!$A$19="",$E52="pre"),"",IF(AND('Month-End'!$AW$7&lt;&gt;"",NOT(_xlfn.ISFORMULA('Month-End'!$AW$7))),N('Month-End'!$AW$7),IF(OR($E52="open",$E51="pre"),N(Settings!$C$19),N($AE51))))</f>
        <v/>
      </c>
      <c r="AF52">
        <f>IF(OR(Settings!$A$20="",$E52="pre"),"",IF(AND('Month-End'!$AW$8&lt;&gt;"",NOT(_xlfn.ISFORMULA('Month-End'!$AW$8))),N('Month-End'!$AW$8),IF(OR($E52="open",$E51="pre"),N(Settings!$C$20),N($AF51))))</f>
        <v/>
      </c>
      <c r="AG52">
        <f>IF(OR(Settings!$A$21="",$E52="pre"),"",IF(AND('Month-End'!$AW$9&lt;&gt;"",NOT(_xlfn.ISFORMULA('Month-End'!$AW$9))),N('Month-End'!$AW$9),IF(OR($E52="open",$E51="pre"),N(Settings!$C$21),N($AG51))))</f>
        <v/>
      </c>
      <c r="AH52">
        <f>IF(OR(Settings!$A$22="",$E52="pre"),"",IF(AND('Month-End'!$AW$10&lt;&gt;"",NOT(_xlfn.ISFORMULA('Month-End'!$AW$10))),N('Month-End'!$AW$10),IF(OR($E52="open",$E51="pre"),N(Settings!$C$22),N($AH51))))</f>
        <v/>
      </c>
      <c r="AI52">
        <f>IF(OR(Settings!$A$23="",$E52="pre"),"",IF(AND('Month-End'!$AW$11&lt;&gt;"",NOT(_xlfn.ISFORMULA('Month-End'!$AW$11))),N('Month-End'!$AW$11),IF(OR($E52="open",$E51="pre"),N(Settings!$C$23),N($AI51))))</f>
        <v/>
      </c>
      <c r="AJ52">
        <f>IF(OR(Settings!$A$24="",$E52="pre"),"",IF(AND('Month-End'!$AW$12&lt;&gt;"",NOT(_xlfn.ISFORMULA('Month-End'!$AW$12))),N('Month-End'!$AW$12),IF(OR($E52="open",$E51="pre"),N(Settings!$C$24),N($AJ51))))</f>
        <v/>
      </c>
      <c r="AK52">
        <f>IF(OR(Settings!$A$25="",$E52="pre"),"",IF(AND('Month-End'!$AW$13&lt;&gt;"",NOT(_xlfn.ISFORMULA('Month-End'!$AW$13))),N('Month-End'!$AW$13),IF(OR($E52="open",$E51="pre"),N(Settings!$C$25),N($AK51))))</f>
        <v/>
      </c>
      <c r="AL52">
        <f>IF(OR(Settings!$A$26="",$E52="pre"),"",IF(AND('Month-End'!$AW$14&lt;&gt;"",NOT(_xlfn.ISFORMULA('Month-End'!$AW$14))),N('Month-End'!$AW$14),IF(OR($E52="open",$E51="pre"),N(Settings!$C$26),N($AL51))))</f>
        <v/>
      </c>
      <c r="AM52">
        <f>IF(OR(Settings!$A$27="",$E52="pre"),"",IF(AND('Month-End'!$AW$15&lt;&gt;"",NOT(_xlfn.ISFORMULA('Month-End'!$AW$15))),N('Month-End'!$AW$15),IF(OR($E52="open",$E51="pre"),N(Settings!$C$27),N($AM51))))</f>
        <v/>
      </c>
      <c r="AN52">
        <f>IF(OR(Settings!$A$28="",$E52="pre"),"",IF(AND('Month-End'!$AW$16&lt;&gt;"",NOT(_xlfn.ISFORMULA('Month-End'!$AW$16))),N('Month-End'!$AW$16),IF(OR($E52="open",$E51="pre"),N(Settings!$C$28),N($AN51))))</f>
        <v/>
      </c>
      <c r="AO52">
        <f>IF(OR(Settings!$A$29="",$E52="pre"),"",IF(AND('Month-End'!$AW$17&lt;&gt;"",NOT(_xlfn.ISFORMULA('Month-End'!$AW$17))),N('Month-End'!$AW$17),IF(OR($E52="open",$E51="pre"),N(Settings!$C$29),N($AO51))))</f>
        <v/>
      </c>
      <c r="AP52">
        <f>IF(OR(Settings!$A$30="",$E52="pre"),"",IF(AND('Month-End'!$AW$18&lt;&gt;"",NOT(_xlfn.ISFORMULA('Month-End'!$AW$18))),N('Month-End'!$AW$18),IF(OR($E52="open",$E51="pre"),N(Settings!$C$30),N($AP51))))</f>
        <v/>
      </c>
      <c r="AQ52">
        <f>IF(OR(Settings!$A$31="",$E52="pre"),"",IF(AND('Month-End'!$AW$19&lt;&gt;"",NOT(_xlfn.ISFORMULA('Month-End'!$AW$19))),N('Month-End'!$AW$19),IF(OR($E52="open",$E51="pre"),N(Settings!$C$31),N($AQ51))))</f>
        <v/>
      </c>
      <c r="AR52">
        <f>IF(OR(Settings!$A$32="",$E52="pre"),"",IF(AND('Month-End'!$AW$20&lt;&gt;"",NOT(_xlfn.ISFORMULA('Month-End'!$AW$20))),N('Month-End'!$AW$20),IF(OR($E52="open",$E51="pre"),N(Settings!$C$32),N($AR51))))</f>
        <v/>
      </c>
      <c r="AS52">
        <f>IF(OR(Settings!$A$36="",$E52="pre"),"",IF(AND('Month-End'!$AW$38&lt;&gt;"",NOT(_xlfn.ISFORMULA('Month-End'!$AW$38))),N('Month-End'!$AW$38),IF(OR($E52="open",$E51="pre"),N(Settings!$C$36),N($AS51))+$AY52))</f>
        <v/>
      </c>
      <c r="AT52">
        <f>IF(OR(Settings!$A$37="",$E52="pre"),"",IF(AND('Month-End'!$AW$39&lt;&gt;"",NOT(_xlfn.ISFORMULA('Month-End'!$AW$39))),N('Month-End'!$AW$39),IF(OR($E52="open",$E51="pre"),N(Settings!$C$37),N($AT51))+$AZ52))</f>
        <v/>
      </c>
      <c r="AU52">
        <f>IF(OR(Settings!$A$38="",$E52="pre"),"",IF(AND('Month-End'!$AW$40&lt;&gt;"",NOT(_xlfn.ISFORMULA('Month-End'!$AW$40))),N('Month-End'!$AW$40),IF(OR($E52="open",$E51="pre"),N(Settings!$C$38),N($AU51))+$BA52))</f>
        <v/>
      </c>
      <c r="AV52">
        <f>IF(OR(Settings!$A$39="",$E52="pre"),"",IF(AND('Month-End'!$AW$41&lt;&gt;"",NOT(_xlfn.ISFORMULA('Month-End'!$AW$41))),N('Month-End'!$AW$41),IF(OR($E52="open",$E51="pre"),N(Settings!$C$39),N($AV51))+$BB52))</f>
        <v/>
      </c>
      <c r="AW52">
        <f>IF(OR(Settings!$A$40="",$E52="pre"),"",IF(AND('Month-End'!$AW$42&lt;&gt;"",NOT(_xlfn.ISFORMULA('Month-End'!$AW$42))),N('Month-End'!$AW$42),IF(OR($E52="open",$E51="pre"),N(Settings!$C$40),N($AW51))+$BC52))</f>
        <v/>
      </c>
      <c r="AX52">
        <f>IF(OR(Settings!$A$41="",$E52="pre"),"",IF(AND('Month-End'!$AW$43&lt;&gt;"",NOT(_xlfn.ISFORMULA('Month-End'!$AW$43))),N('Month-End'!$AW$43),IF(OR($E52="open",$E51="pre"),N(Settings!$C$41),N($AX51))+$BD52))</f>
        <v/>
      </c>
      <c r="AY52">
        <f>IF($E52="pre",0,N('Month-End'!$AW$45))</f>
        <v/>
      </c>
      <c r="AZ52">
        <f>IF($E52="pre",0,N('Month-End'!$AW$46))</f>
        <v/>
      </c>
      <c r="BA52">
        <f>IF($E52="pre",0,N('Month-End'!$AW$47))</f>
        <v/>
      </c>
      <c r="BB52">
        <f>IF($E52="pre",0,N('Month-End'!$AW$48))</f>
        <v/>
      </c>
      <c r="BC52">
        <f>IF($E52="pre",0,N('Month-End'!$AW$49))</f>
        <v/>
      </c>
      <c r="BD52">
        <f>IF($E52="pre",0,N('Month-End'!$AW$50))</f>
        <v/>
      </c>
      <c r="BE52">
        <f>IF(OR(Settings!$C$45="",Settings!$D$45=""),0,Settings!$C$45*IF(Settings!$D$45="Weekly",IF(IFERROR(MATCH(Settings!$E$45,$EO$4:$EO$10,0),0)=0,0,IF(MIN($C52,IF(Settings!$G$45="",$C52,Settings!$G$45))&lt;MAX($A52,Settings!$F$45),0,INT((MIN($C52,IF(Settings!$G$45="",$C52,Settings!$G$45))-MAX($A52,Settings!$F$45)-MOD(IFERROR(MATCH(Settings!$E$45,$EO$4:$EO$10,0),0)-WEEKDAY(MAX($A52,Settings!$F$45)),7))/7)+1)),IF(AND(IF(Settings!$E$45="",$B52,DATE(YEAR($A52),MONTH($A52),MIN(Settings!$E$45,DAY($B52))))&gt;=MAX($A52,Settings!$F$45),IF(Settings!$E$45="",$B52,DATE(YEAR($A52),MONTH($A52),MIN(Settings!$E$45,DAY($B52))))&lt;=MIN($C52,IF(Settings!$G$45="",$C52,Settings!$G$45))),1,0)))</f>
        <v/>
      </c>
      <c r="BF52">
        <f>IF(OR(Settings!$C$46="",Settings!$D$46=""),0,Settings!$C$46*IF(Settings!$D$46="Weekly",IF(IFERROR(MATCH(Settings!$E$46,$EO$4:$EO$10,0),0)=0,0,IF(MIN($C52,IF(Settings!$G$46="",$C52,Settings!$G$46))&lt;MAX($A52,Settings!$F$46),0,INT((MIN($C52,IF(Settings!$G$46="",$C52,Settings!$G$46))-MAX($A52,Settings!$F$46)-MOD(IFERROR(MATCH(Settings!$E$46,$EO$4:$EO$10,0),0)-WEEKDAY(MAX($A52,Settings!$F$46)),7))/7)+1)),IF(AND(IF(Settings!$E$46="",$B52,DATE(YEAR($A52),MONTH($A52),MIN(Settings!$E$46,DAY($B52))))&gt;=MAX($A52,Settings!$F$46),IF(Settings!$E$46="",$B52,DATE(YEAR($A52),MONTH($A52),MIN(Settings!$E$46,DAY($B52))))&lt;=MIN($C52,IF(Settings!$G$46="",$C52,Settings!$G$46))),1,0)))</f>
        <v/>
      </c>
      <c r="BG52">
        <f>IF(OR(Settings!$C$47="",Settings!$D$47=""),0,Settings!$C$47*IF(Settings!$D$47="Weekly",IF(IFERROR(MATCH(Settings!$E$47,$EO$4:$EO$10,0),0)=0,0,IF(MIN($C52,IF(Settings!$G$47="",$C52,Settings!$G$47))&lt;MAX($A52,Settings!$F$47),0,INT((MIN($C52,IF(Settings!$G$47="",$C52,Settings!$G$47))-MAX($A52,Settings!$F$47)-MOD(IFERROR(MATCH(Settings!$E$47,$EO$4:$EO$10,0),0)-WEEKDAY(MAX($A52,Settings!$F$47)),7))/7)+1)),IF(AND(IF(Settings!$E$47="",$B52,DATE(YEAR($A52),MONTH($A52),MIN(Settings!$E$47,DAY($B52))))&gt;=MAX($A52,Settings!$F$47),IF(Settings!$E$47="",$B52,DATE(YEAR($A52),MONTH($A52),MIN(Settings!$E$47,DAY($B52))))&lt;=MIN($C52,IF(Settings!$G$47="",$C52,Settings!$G$47))),1,0)))</f>
        <v/>
      </c>
      <c r="BH52">
        <f>IF(OR(Settings!$C$48="",Settings!$D$48=""),0,Settings!$C$48*IF(Settings!$D$48="Weekly",IF(IFERROR(MATCH(Settings!$E$48,$EO$4:$EO$10,0),0)=0,0,IF(MIN($C52,IF(Settings!$G$48="",$C52,Settings!$G$48))&lt;MAX($A52,Settings!$F$48),0,INT((MIN($C52,IF(Settings!$G$48="",$C52,Settings!$G$48))-MAX($A52,Settings!$F$48)-MOD(IFERROR(MATCH(Settings!$E$48,$EO$4:$EO$10,0),0)-WEEKDAY(MAX($A52,Settings!$F$48)),7))/7)+1)),IF(AND(IF(Settings!$E$48="",$B52,DATE(YEAR($A52),MONTH($A52),MIN(Settings!$E$48,DAY($B52))))&gt;=MAX($A52,Settings!$F$48),IF(Settings!$E$48="",$B52,DATE(YEAR($A52),MONTH($A52),MIN(Settings!$E$48,DAY($B52))))&lt;=MIN($C52,IF(Settings!$G$48="",$C52,Settings!$G$48))),1,0)))</f>
        <v/>
      </c>
      <c r="BI52">
        <f>IF(OR(Settings!$C$49="",Settings!$D$49=""),0,Settings!$C$49*IF(Settings!$D$49="Weekly",IF(IFERROR(MATCH(Settings!$E$49,$EO$4:$EO$10,0),0)=0,0,IF(MIN($C52,IF(Settings!$G$49="",$C52,Settings!$G$49))&lt;MAX($A52,Settings!$F$49),0,INT((MIN($C52,IF(Settings!$G$49="",$C52,Settings!$G$49))-MAX($A52,Settings!$F$49)-MOD(IFERROR(MATCH(Settings!$E$49,$EO$4:$EO$10,0),0)-WEEKDAY(MAX($A52,Settings!$F$49)),7))/7)+1)),IF(AND(IF(Settings!$E$49="",$B52,DATE(YEAR($A52),MONTH($A52),MIN(Settings!$E$49,DAY($B52))))&gt;=MAX($A52,Settings!$F$49),IF(Settings!$E$49="",$B52,DATE(YEAR($A52),MONTH($A52),MIN(Settings!$E$49,DAY($B52))))&lt;=MIN($C52,IF(Settings!$G$49="",$C52,Settings!$G$49))),1,0)))</f>
        <v/>
      </c>
      <c r="BJ52">
        <f>IF(OR(Settings!$C$50="",Settings!$D$50=""),0,Settings!$C$50*IF(Settings!$D$50="Weekly",IF(IFERROR(MATCH(Settings!$E$50,$EO$4:$EO$10,0),0)=0,0,IF(MIN($C52,IF(Settings!$G$50="",$C52,Settings!$G$50))&lt;MAX($A52,Settings!$F$50),0,INT((MIN($C52,IF(Settings!$G$50="",$C52,Settings!$G$50))-MAX($A52,Settings!$F$50)-MOD(IFERROR(MATCH(Settings!$E$50,$EO$4:$EO$10,0),0)-WEEKDAY(MAX($A52,Settings!$F$50)),7))/7)+1)),IF(AND(IF(Settings!$E$50="",$B52,DATE(YEAR($A52),MONTH($A52),MIN(Settings!$E$50,DAY($B52))))&gt;=MAX($A52,Settings!$F$50),IF(Settings!$E$50="",$B52,DATE(YEAR($A52),MONTH($A52),MIN(Settings!$E$50,DAY($B52))))&lt;=MIN($C52,IF(Settings!$G$50="",$C52,Settings!$G$50))),1,0)))</f>
        <v/>
      </c>
      <c r="BK52">
        <f>IF(OR(Settings!$C$51="",Settings!$D$51=""),0,Settings!$C$51*IF(Settings!$D$51="Weekly",IF(IFERROR(MATCH(Settings!$E$51,$EO$4:$EO$10,0),0)=0,0,IF(MIN($C52,IF(Settings!$G$51="",$C52,Settings!$G$51))&lt;MAX($A52,Settings!$F$51),0,INT((MIN($C52,IF(Settings!$G$51="",$C52,Settings!$G$51))-MAX($A52,Settings!$F$51)-MOD(IFERROR(MATCH(Settings!$E$51,$EO$4:$EO$10,0),0)-WEEKDAY(MAX($A52,Settings!$F$51)),7))/7)+1)),IF(AND(IF(Settings!$E$51="",$B52,DATE(YEAR($A52),MONTH($A52),MIN(Settings!$E$51,DAY($B52))))&gt;=MAX($A52,Settings!$F$51),IF(Settings!$E$51="",$B52,DATE(YEAR($A52),MONTH($A52),MIN(Settings!$E$51,DAY($B52))))&lt;=MIN($C52,IF(Settings!$G$51="",$C52,Settings!$G$51))),1,0)))</f>
        <v/>
      </c>
      <c r="BL52">
        <f>IF(OR(Settings!$C$52="",Settings!$D$52=""),0,Settings!$C$52*IF(Settings!$D$52="Weekly",IF(IFERROR(MATCH(Settings!$E$52,$EO$4:$EO$10,0),0)=0,0,IF(MIN($C52,IF(Settings!$G$52="",$C52,Settings!$G$52))&lt;MAX($A52,Settings!$F$52),0,INT((MIN($C52,IF(Settings!$G$52="",$C52,Settings!$G$52))-MAX($A52,Settings!$F$52)-MOD(IFERROR(MATCH(Settings!$E$52,$EO$4:$EO$10,0),0)-WEEKDAY(MAX($A52,Settings!$F$52)),7))/7)+1)),IF(AND(IF(Settings!$E$52="",$B52,DATE(YEAR($A52),MONTH($A52),MIN(Settings!$E$52,DAY($B52))))&gt;=MAX($A52,Settings!$F$52),IF(Settings!$E$52="",$B52,DATE(YEAR($A52),MONTH($A52),MIN(Settings!$E$52,DAY($B52))))&lt;=MIN($C52,IF(Settings!$G$52="",$C52,Settings!$G$52))),1,0)))</f>
        <v/>
      </c>
      <c r="BM52">
        <f>IF(OR(Settings!$C$53="",Settings!$D$53=""),0,Settings!$C$53*IF(Settings!$D$53="Weekly",IF(IFERROR(MATCH(Settings!$E$53,$EO$4:$EO$10,0),0)=0,0,IF(MIN($C52,IF(Settings!$G$53="",$C52,Settings!$G$53))&lt;MAX($A52,Settings!$F$53),0,INT((MIN($C52,IF(Settings!$G$53="",$C52,Settings!$G$53))-MAX($A52,Settings!$F$53)-MOD(IFERROR(MATCH(Settings!$E$53,$EO$4:$EO$10,0),0)-WEEKDAY(MAX($A52,Settings!$F$53)),7))/7)+1)),IF(AND(IF(Settings!$E$53="",$B52,DATE(YEAR($A52),MONTH($A52),MIN(Settings!$E$53,DAY($B52))))&gt;=MAX($A52,Settings!$F$53),IF(Settings!$E$53="",$B52,DATE(YEAR($A52),MONTH($A52),MIN(Settings!$E$53,DAY($B52))))&lt;=MIN($C52,IF(Settings!$G$53="",$C52,Settings!$G$53))),1,0)))</f>
        <v/>
      </c>
      <c r="BN52">
        <f>IF(OR(Settings!$C$54="",Settings!$D$54=""),0,Settings!$C$54*IF(Settings!$D$54="Weekly",IF(IFERROR(MATCH(Settings!$E$54,$EO$4:$EO$10,0),0)=0,0,IF(MIN($C52,IF(Settings!$G$54="",$C52,Settings!$G$54))&lt;MAX($A52,Settings!$F$54),0,INT((MIN($C52,IF(Settings!$G$54="",$C52,Settings!$G$54))-MAX($A52,Settings!$F$54)-MOD(IFERROR(MATCH(Settings!$E$54,$EO$4:$EO$10,0),0)-WEEKDAY(MAX($A52,Settings!$F$54)),7))/7)+1)),IF(AND(IF(Settings!$E$54="",$B52,DATE(YEAR($A52),MONTH($A52),MIN(Settings!$E$54,DAY($B52))))&gt;=MAX($A52,Settings!$F$54),IF(Settings!$E$54="",$B52,DATE(YEAR($A52),MONTH($A52),MIN(Settings!$E$54,DAY($B52))))&lt;=MIN($C52,IF(Settings!$G$54="",$C52,Settings!$G$54))),1,0)))</f>
        <v/>
      </c>
      <c r="BO52">
        <f>IF(OR(Settings!$C$55="",Settings!$D$55=""),0,Settings!$C$55*IF(Settings!$D$55="Weekly",IF(IFERROR(MATCH(Settings!$E$55,$EO$4:$EO$10,0),0)=0,0,IF(MIN($C52,IF(Settings!$G$55="",$C52,Settings!$G$55))&lt;MAX($A52,Settings!$F$55),0,INT((MIN($C52,IF(Settings!$G$55="",$C52,Settings!$G$55))-MAX($A52,Settings!$F$55)-MOD(IFERROR(MATCH(Settings!$E$55,$EO$4:$EO$10,0),0)-WEEKDAY(MAX($A52,Settings!$F$55)),7))/7)+1)),IF(AND(IF(Settings!$E$55="",$B52,DATE(YEAR($A52),MONTH($A52),MIN(Settings!$E$55,DAY($B52))))&gt;=MAX($A52,Settings!$F$55),IF(Settings!$E$55="",$B52,DATE(YEAR($A52),MONTH($A52),MIN(Settings!$E$55,DAY($B52))))&lt;=MIN($C52,IF(Settings!$G$55="",$C52,Settings!$G$55))),1,0)))</f>
        <v/>
      </c>
      <c r="BP52">
        <f>IF(OR(Settings!$C$56="",Settings!$D$56=""),0,Settings!$C$56*IF(Settings!$D$56="Weekly",IF(IFERROR(MATCH(Settings!$E$56,$EO$4:$EO$10,0),0)=0,0,IF(MIN($C52,IF(Settings!$G$56="",$C52,Settings!$G$56))&lt;MAX($A52,Settings!$F$56),0,INT((MIN($C52,IF(Settings!$G$56="",$C52,Settings!$G$56))-MAX($A52,Settings!$F$56)-MOD(IFERROR(MATCH(Settings!$E$56,$EO$4:$EO$10,0),0)-WEEKDAY(MAX($A52,Settings!$F$56)),7))/7)+1)),IF(AND(IF(Settings!$E$56="",$B52,DATE(YEAR($A52),MONTH($A52),MIN(Settings!$E$56,DAY($B52))))&gt;=MAX($A52,Settings!$F$56),IF(Settings!$E$56="",$B52,DATE(YEAR($A52),MONTH($A52),MIN(Settings!$E$56,DAY($B52))))&lt;=MIN($C52,IF(Settings!$G$56="",$C52,Settings!$G$56))),1,0)))</f>
        <v/>
      </c>
      <c r="BQ52">
        <f>IF(OR(Settings!$B$14="",$D52=1,$E52="pre",$A52&lt;IF(Settings!$B$15="",0,Settings!$B$15)),0,Settings!$B$14)</f>
        <v/>
      </c>
      <c r="BR52">
        <f>IF(AND('Month-End'!$AW$7&lt;&gt;"",NOT(_xlfn.ISFORMULA('Month-End'!$AW$7))),1,0)</f>
        <v/>
      </c>
      <c r="BS52">
        <f>IF(AND('Month-End'!$AW$8&lt;&gt;"",NOT(_xlfn.ISFORMULA('Month-End'!$AW$8))),1,0)</f>
        <v/>
      </c>
      <c r="BT52">
        <f>IF(AND('Month-End'!$AW$9&lt;&gt;"",NOT(_xlfn.ISFORMULA('Month-End'!$AW$9))),1,0)</f>
        <v/>
      </c>
      <c r="BU52">
        <f>IF(AND('Month-End'!$AW$10&lt;&gt;"",NOT(_xlfn.ISFORMULA('Month-End'!$AW$10))),1,0)</f>
        <v/>
      </c>
      <c r="BV52">
        <f>IF(AND('Month-End'!$AW$11&lt;&gt;"",NOT(_xlfn.ISFORMULA('Month-End'!$AW$11))),1,0)</f>
        <v/>
      </c>
      <c r="BW52">
        <f>IF(AND('Month-End'!$AW$12&lt;&gt;"",NOT(_xlfn.ISFORMULA('Month-End'!$AW$12))),1,0)</f>
        <v/>
      </c>
      <c r="BX52">
        <f>IF(AND('Month-End'!$AW$13&lt;&gt;"",NOT(_xlfn.ISFORMULA('Month-End'!$AW$13))),1,0)</f>
        <v/>
      </c>
      <c r="BY52">
        <f>IF(AND('Month-End'!$AW$14&lt;&gt;"",NOT(_xlfn.ISFORMULA('Month-End'!$AW$14))),1,0)</f>
        <v/>
      </c>
      <c r="BZ52">
        <f>IF(AND('Month-End'!$AW$15&lt;&gt;"",NOT(_xlfn.ISFORMULA('Month-End'!$AW$15))),1,0)</f>
        <v/>
      </c>
      <c r="CA52">
        <f>IF(AND('Month-End'!$AW$16&lt;&gt;"",NOT(_xlfn.ISFORMULA('Month-End'!$AW$16))),1,0)</f>
        <v/>
      </c>
      <c r="CB52">
        <f>IF(AND('Month-End'!$AW$17&lt;&gt;"",NOT(_xlfn.ISFORMULA('Month-End'!$AW$17))),1,0)</f>
        <v/>
      </c>
      <c r="CC52">
        <f>IF(AND('Month-End'!$AW$18&lt;&gt;"",NOT(_xlfn.ISFORMULA('Month-End'!$AW$18))),1,0)</f>
        <v/>
      </c>
      <c r="CD52">
        <f>IF(AND('Month-End'!$AW$19&lt;&gt;"",NOT(_xlfn.ISFORMULA('Month-End'!$AW$19))),1,0)</f>
        <v/>
      </c>
      <c r="CE52">
        <f>IF(AND('Month-End'!$AW$20&lt;&gt;"",NOT(_xlfn.ISFORMULA('Month-End'!$AW$20))),1,0)</f>
        <v/>
      </c>
      <c r="CF52">
        <f>IF(AND('Month-End'!$AW$38&lt;&gt;"",NOT(_xlfn.ISFORMULA('Month-End'!$AW$38))),1,0)</f>
        <v/>
      </c>
      <c r="CG52">
        <f>IF(AND('Month-End'!$AW$39&lt;&gt;"",NOT(_xlfn.ISFORMULA('Month-End'!$AW$39))),1,0)</f>
        <v/>
      </c>
      <c r="CH52">
        <f>IF(AND('Month-End'!$AW$40&lt;&gt;"",NOT(_xlfn.ISFORMULA('Month-End'!$AW$40))),1,0)</f>
        <v/>
      </c>
      <c r="CI52">
        <f>IF(AND('Month-End'!$AW$41&lt;&gt;"",NOT(_xlfn.ISFORMULA('Month-End'!$AW$41))),1,0)</f>
        <v/>
      </c>
      <c r="CJ52">
        <f>IF(AND('Month-End'!$AW$42&lt;&gt;"",NOT(_xlfn.ISFORMULA('Month-End'!$AW$42))),1,0)</f>
        <v/>
      </c>
      <c r="CK52">
        <f>IF(AND('Month-End'!$AW$43&lt;&gt;"",NOT(_xlfn.ISFORMULA('Month-End'!$AW$43))),1,0)</f>
        <v/>
      </c>
      <c r="CL52">
        <f>SUM($CM52:$CZ52)</f>
        <v/>
      </c>
      <c r="CM52">
        <f>IF(AND($E52&lt;&gt;"pre",AND(Settings!$A$19&lt;&gt;"",Settings!$E$19&lt;&gt;"No"),Settings!$F$19="Yes",NOT(AND('Month-End'!$AW$7&lt;&gt;"",NOT(_xlfn.ISFORMULA('Month-End'!$AW$7))))),1,0)</f>
        <v/>
      </c>
      <c r="CN52">
        <f>IF(AND($E52&lt;&gt;"pre",AND(Settings!$A$20&lt;&gt;"",Settings!$E$20&lt;&gt;"No"),Settings!$F$20="Yes",NOT(AND('Month-End'!$AW$8&lt;&gt;"",NOT(_xlfn.ISFORMULA('Month-End'!$AW$8))))),1,0)</f>
        <v/>
      </c>
      <c r="CO52">
        <f>IF(AND($E52&lt;&gt;"pre",AND(Settings!$A$21&lt;&gt;"",Settings!$E$21&lt;&gt;"No"),Settings!$F$21="Yes",NOT(AND('Month-End'!$AW$9&lt;&gt;"",NOT(_xlfn.ISFORMULA('Month-End'!$AW$9))))),1,0)</f>
        <v/>
      </c>
      <c r="CP52">
        <f>IF(AND($E52&lt;&gt;"pre",AND(Settings!$A$22&lt;&gt;"",Settings!$E$22&lt;&gt;"No"),Settings!$F$22="Yes",NOT(AND('Month-End'!$AW$10&lt;&gt;"",NOT(_xlfn.ISFORMULA('Month-End'!$AW$10))))),1,0)</f>
        <v/>
      </c>
      <c r="CQ52">
        <f>IF(AND($E52&lt;&gt;"pre",AND(Settings!$A$23&lt;&gt;"",Settings!$E$23&lt;&gt;"No"),Settings!$F$23="Yes",NOT(AND('Month-End'!$AW$11&lt;&gt;"",NOT(_xlfn.ISFORMULA('Month-End'!$AW$11))))),1,0)</f>
        <v/>
      </c>
      <c r="CR52">
        <f>IF(AND($E52&lt;&gt;"pre",AND(Settings!$A$24&lt;&gt;"",Settings!$E$24&lt;&gt;"No"),Settings!$F$24="Yes",NOT(AND('Month-End'!$AW$12&lt;&gt;"",NOT(_xlfn.ISFORMULA('Month-End'!$AW$12))))),1,0)</f>
        <v/>
      </c>
      <c r="CS52">
        <f>IF(AND($E52&lt;&gt;"pre",AND(Settings!$A$25&lt;&gt;"",Settings!$E$25&lt;&gt;"No"),Settings!$F$25="Yes",NOT(AND('Month-End'!$AW$13&lt;&gt;"",NOT(_xlfn.ISFORMULA('Month-End'!$AW$13))))),1,0)</f>
        <v/>
      </c>
      <c r="CT52">
        <f>IF(AND($E52&lt;&gt;"pre",AND(Settings!$A$26&lt;&gt;"",Settings!$E$26&lt;&gt;"No"),Settings!$F$26="Yes",NOT(AND('Month-End'!$AW$14&lt;&gt;"",NOT(_xlfn.ISFORMULA('Month-End'!$AW$14))))),1,0)</f>
        <v/>
      </c>
      <c r="CU52">
        <f>IF(AND($E52&lt;&gt;"pre",AND(Settings!$A$27&lt;&gt;"",Settings!$E$27&lt;&gt;"No"),Settings!$F$27="Yes",NOT(AND('Month-End'!$AW$15&lt;&gt;"",NOT(_xlfn.ISFORMULA('Month-End'!$AW$15))))),1,0)</f>
        <v/>
      </c>
      <c r="CV52">
        <f>IF(AND($E52&lt;&gt;"pre",AND(Settings!$A$28&lt;&gt;"",Settings!$E$28&lt;&gt;"No"),Settings!$F$28="Yes",NOT(AND('Month-End'!$AW$16&lt;&gt;"",NOT(_xlfn.ISFORMULA('Month-End'!$AW$16))))),1,0)</f>
        <v/>
      </c>
      <c r="CW52">
        <f>IF(AND($E52&lt;&gt;"pre",AND(Settings!$A$29&lt;&gt;"",Settings!$E$29&lt;&gt;"No"),Settings!$F$29="Yes",NOT(AND('Month-End'!$AW$17&lt;&gt;"",NOT(_xlfn.ISFORMULA('Month-End'!$AW$17))))),1,0)</f>
        <v/>
      </c>
      <c r="CX52">
        <f>IF(AND($E52&lt;&gt;"pre",AND(Settings!$A$30&lt;&gt;"",Settings!$E$30&lt;&gt;"No"),Settings!$F$30="Yes",NOT(AND('Month-End'!$AW$18&lt;&gt;"",NOT(_xlfn.ISFORMULA('Month-End'!$AW$18))))),1,0)</f>
        <v/>
      </c>
      <c r="CY52">
        <f>IF(AND($E52&lt;&gt;"pre",AND(Settings!$A$31&lt;&gt;"",Settings!$E$31&lt;&gt;"No"),Settings!$F$31="Yes",NOT(AND('Month-End'!$AW$19&lt;&gt;"",NOT(_xlfn.ISFORMULA('Month-End'!$AW$19))))),1,0)</f>
        <v/>
      </c>
      <c r="CZ52">
        <f>IF(AND($E52&lt;&gt;"pre",AND(Settings!$A$32&lt;&gt;"",Settings!$E$32&lt;&gt;"No"),Settings!$F$32="Yes",NOT(AND('Month-End'!$AW$20&lt;&gt;"",NOT(_xlfn.ISFORMULA('Month-End'!$AW$20))))),1,0)</f>
        <v/>
      </c>
      <c r="DA52">
        <f>IF($DT52=1,IF(OR(Settings!$B$19="Checking",Settings!$B$19="Savings",Settings!$B$19="Cash"),N($AE52),IF(OR(Settings!$B$19="Card",Settings!$B$19="Loan"),-N($AE52),0))+IF(OR(Settings!$B$20="Checking",Settings!$B$20="Savings",Settings!$B$20="Cash"),N($AF52),IF(OR(Settings!$B$20="Card",Settings!$B$20="Loan"),-N($AF52),0))+IF(OR(Settings!$B$21="Checking",Settings!$B$21="Savings",Settings!$B$21="Cash"),N($AG52),IF(OR(Settings!$B$21="Card",Settings!$B$21="Loan"),-N($AG52),0))+IF(OR(Settings!$B$22="Checking",Settings!$B$22="Savings",Settings!$B$22="Cash"),N($AH52),IF(OR(Settings!$B$22="Card",Settings!$B$22="Loan"),-N($AH52),0))+IF(OR(Settings!$B$23="Checking",Settings!$B$23="Savings",Settings!$B$23="Cash"),N($AI52),IF(OR(Settings!$B$23="Card",Settings!$B$23="Loan"),-N($AI52),0))+IF(OR(Settings!$B$24="Checking",Settings!$B$24="Savings",Settings!$B$24="Cash"),N($AJ52),IF(OR(Settings!$B$24="Card",Settings!$B$24="Loan"),-N($AJ52),0))+IF(OR(Settings!$B$25="Checking",Settings!$B$25="Savings",Settings!$B$25="Cash"),N($AK52),IF(OR(Settings!$B$25="Card",Settings!$B$25="Loan"),-N($AK52),0))+IF(OR(Settings!$B$26="Checking",Settings!$B$26="Savings",Settings!$B$26="Cash"),N($AL52),IF(OR(Settings!$B$26="Card",Settings!$B$26="Loan"),-N($AL52),0))+IF(OR(Settings!$B$27="Checking",Settings!$B$27="Savings",Settings!$B$27="Cash"),N($AM52),IF(OR(Settings!$B$27="Card",Settings!$B$27="Loan"),-N($AM52),0))+IF(OR(Settings!$B$28="Checking",Settings!$B$28="Savings",Settings!$B$28="Cash"),N($AN52),IF(OR(Settings!$B$28="Card",Settings!$B$28="Loan"),-N($AN52),0))+IF(OR(Settings!$B$29="Checking",Settings!$B$29="Savings",Settings!$B$29="Cash"),N($AO52),IF(OR(Settings!$B$29="Card",Settings!$B$29="Loan"),-N($AO52),0))+IF(OR(Settings!$B$30="Checking",Settings!$B$30="Savings",Settings!$B$30="Cash"),N($AP52),IF(OR(Settings!$B$30="Card",Settings!$B$30="Loan"),-N($AP52),0))+IF(OR(Settings!$B$31="Checking",Settings!$B$31="Savings",Settings!$B$31="Cash"),N($AQ52),IF(OR(Settings!$B$31="Card",Settings!$B$31="Loan"),-N($AQ52),0))+IF(OR(Settings!$B$32="Checking",Settings!$B$32="Savings",Settings!$B$32="Cash"),N($AR52),IF(OR(Settings!$B$32="Card",Settings!$B$32="Loan"),-N($AR52),0)),"")</f>
        <v/>
      </c>
      <c r="DB52">
        <f>IF($E52="open",$EB$27,IF($E52="post",IF($E51="pre",$EB$27,$DA51),""))</f>
        <v/>
      </c>
      <c r="DC52">
        <f>IF($E52="open",1,IF($E52="post",IF($E51="pre",1,$DT51),0))</f>
        <v/>
      </c>
      <c r="DD52">
        <f>IF(AND($DT52=1,$DC52=1),ROUND($W52-($DA52-$DB52)-$AD52-$AB52,2),"")</f>
        <v/>
      </c>
      <c r="DE52">
        <f>IF('Month-End'!$AW$35="",$BQ52,N('Month-End'!$AW$35))</f>
        <v/>
      </c>
      <c r="DF52">
        <f>N('Month-End'!$AW$36)</f>
        <v/>
      </c>
      <c r="DG52">
        <f>IF($DD52="","",$DD52+$DE52)</f>
        <v/>
      </c>
      <c r="DH52">
        <f>IF($DG52="","",$DG52-$DF52)</f>
        <v/>
      </c>
      <c r="DI52">
        <f>IF(OR($E52="pre",$D52=1),"",N($AS52)+N($AT52)+N($AU52)+N($AV52)+N($AW52)+N($AX52))</f>
        <v/>
      </c>
      <c r="DJ52">
        <f>IF($DT52=1,$DA52+N($DI52),"")</f>
        <v/>
      </c>
      <c r="DK52">
        <f>IF($DD52="","",$W52-$DD52-$AB52)</f>
        <v/>
      </c>
      <c r="DL52">
        <f>IF(AND($E52="post",$DD52&lt;&gt;"",$B52&lt;TODAY()),1,0)</f>
        <v/>
      </c>
      <c r="DM52">
        <f>IF($DL52=1,COUNTIF($DL52:$DL$183,1),0)</f>
        <v/>
      </c>
      <c r="DN52">
        <f>IF($D52=1,"",IF($E52="pre","History only",IF($DT52=1,IF($DD52="","⚠ Previous month missing",IF($DD52&lt;0,"⚠ Check: spending &lt; 0",IF($E52="open","✓ Done (partial)","✓ Done"))),IF($B52&gt;=TODAY(),"In progress","⚠ Needs balances"))))</f>
        <v/>
      </c>
      <c r="DO52">
        <f>YEAR($A52)</f>
        <v/>
      </c>
      <c r="DP52">
        <f>DATE(YEAR($A52),INT((MONTH($A52)-1)/3)*3+1,1)</f>
        <v/>
      </c>
      <c r="DQ52">
        <f>IF(AND($DT52=1,$DD52&lt;&gt;"",$D52=0),ROW(),0)</f>
        <v/>
      </c>
      <c r="DR52">
        <f>IF(AND($E52&lt;&gt;"pre",$B52&lt;TODAY(),$DT52=0),1,0)</f>
        <v/>
      </c>
      <c r="DS52">
        <f>IF($DJ52="",NA(),$DJ52)</f>
        <v/>
      </c>
      <c r="DT52">
        <f>IF(AND($E52&lt;&gt;"pre",$CL52=0,COUNTIFS(Settings!$F$19:$F$32,"Yes",Settings!$A$19:$A$32,"&lt;&gt;",Settings!$E$19:$E$32,"&lt;&gt;No")&gt;0),1,0)</f>
        <v/>
      </c>
      <c r="DU52">
        <f>IF(AND($B52&lt;TODAY(),$S52&gt;0),1,0)</f>
        <v/>
      </c>
      <c r="DV52">
        <f>IF($DU52=1,COUNTIF($DU52:$DU$183,1),0)</f>
        <v/>
      </c>
      <c r="DW52">
        <f>IF(AND(OR(Settings!$B$19="Card",Settings!$B$19="Loan"),AND('Month-End'!$AW$7&lt;&gt;"",NOT(_xlfn.ISFORMULA('Month-End'!$AW$7)))),IF(N('Month-End'!$AW$7)&lt;0,1,0),0)+IF(AND(OR(Settings!$B$20="Card",Settings!$B$20="Loan"),AND('Month-End'!$AW$8&lt;&gt;"",NOT(_xlfn.ISFORMULA('Month-End'!$AW$8)))),IF(N('Month-End'!$AW$8)&lt;0,1,0),0)+IF(AND(OR(Settings!$B$21="Card",Settings!$B$21="Loan"),AND('Month-End'!$AW$9&lt;&gt;"",NOT(_xlfn.ISFORMULA('Month-End'!$AW$9)))),IF(N('Month-End'!$AW$9)&lt;0,1,0),0)+IF(AND(OR(Settings!$B$22="Card",Settings!$B$22="Loan"),AND('Month-End'!$AW$10&lt;&gt;"",NOT(_xlfn.ISFORMULA('Month-End'!$AW$10)))),IF(N('Month-End'!$AW$10)&lt;0,1,0),0)+IF(AND(OR(Settings!$B$23="Card",Settings!$B$23="Loan"),AND('Month-End'!$AW$11&lt;&gt;"",NOT(_xlfn.ISFORMULA('Month-End'!$AW$11)))),IF(N('Month-End'!$AW$11)&lt;0,1,0),0)+IF(AND(OR(Settings!$B$24="Card",Settings!$B$24="Loan"),AND('Month-End'!$AW$12&lt;&gt;"",NOT(_xlfn.ISFORMULA('Month-End'!$AW$12)))),IF(N('Month-End'!$AW$12)&lt;0,1,0),0)+IF(AND(OR(Settings!$B$25="Card",Settings!$B$25="Loan"),AND('Month-End'!$AW$13&lt;&gt;"",NOT(_xlfn.ISFORMULA('Month-End'!$AW$13)))),IF(N('Month-End'!$AW$13)&lt;0,1,0),0)+IF(AND(OR(Settings!$B$26="Card",Settings!$B$26="Loan"),AND('Month-End'!$AW$14&lt;&gt;"",NOT(_xlfn.ISFORMULA('Month-End'!$AW$14)))),IF(N('Month-End'!$AW$14)&lt;0,1,0),0)+IF(AND(OR(Settings!$B$27="Card",Settings!$B$27="Loan"),AND('Month-End'!$AW$15&lt;&gt;"",NOT(_xlfn.ISFORMULA('Month-End'!$AW$15)))),IF(N('Month-End'!$AW$15)&lt;0,1,0),0)+IF(AND(OR(Settings!$B$28="Card",Settings!$B$28="Loan"),AND('Month-End'!$AW$16&lt;&gt;"",NOT(_xlfn.ISFORMULA('Month-End'!$AW$16)))),IF(N('Month-End'!$AW$16)&lt;0,1,0),0)+IF(AND(OR(Settings!$B$29="Card",Settings!$B$29="Loan"),AND('Month-End'!$AW$17&lt;&gt;"",NOT(_xlfn.ISFORMULA('Month-End'!$AW$17)))),IF(N('Month-End'!$AW$17)&lt;0,1,0),0)+IF(AND(OR(Settings!$B$30="Card",Settings!$B$30="Loan"),AND('Month-End'!$AW$18&lt;&gt;"",NOT(_xlfn.ISFORMULA('Month-End'!$AW$18)))),IF(N('Month-End'!$AW$18)&lt;0,1,0),0)+IF(AND(OR(Settings!$B$31="Card",Settings!$B$31="Loan"),AND('Month-End'!$AW$19&lt;&gt;"",NOT(_xlfn.ISFORMULA('Month-End'!$AW$19)))),IF(N('Month-End'!$AW$19)&lt;0,1,0),0)+IF(AND(OR(Settings!$B$32="Card",Settings!$B$32="Loan"),AND('Month-End'!$AW$20&lt;&gt;"",NOT(_xlfn.ISFORMULA('Month-End'!$AW$20)))),IF(N('Month-End'!$AW$20)&lt;0,1,0),0)</f>
        <v/>
      </c>
      <c r="DX52">
        <f>IF(Settings!$B$36="Retirement",$AY52,0)+IF(Settings!$B$37="Retirement",$AZ52,0)+IF(Settings!$B$38="Retirement",$BA52,0)+IF(Settings!$B$39="Retirement",$BB52,0)+IF(Settings!$B$40="Retirement",$BC52,0)+IF(Settings!$B$41="Retirement",$BD52,0)</f>
        <v/>
      </c>
      <c r="EA52">
        <f>IF(Settings!$A$31="","",Settings!$A$31)</f>
        <v/>
      </c>
      <c r="EB52">
        <f>IF(Settings!$A$31="","",IF($EB$5=0,N(Settings!$C$31),N(INDEX($AQ:$AQ,$EB$5))))</f>
        <v/>
      </c>
      <c r="EC52">
        <f>""</f>
        <v/>
      </c>
      <c r="ED52">
        <f>IF(AND(AND(Settings!$A$31&lt;&gt;"",Settings!$E$31&lt;&gt;"No"),Settings!$B$31="Cash",Settings!$B$5&lt;EDATE(TODAY(),-6),COUNTIFS($CD$6:$CD$183,1,$A$6:$A$183,"&gt;="&amp;EDATE(TODAY(),-6))=0),1,0)</f>
        <v/>
      </c>
      <c r="EI52">
        <f>IF(AND(Settings!$A$31&lt;&gt;"",Settings!$E$31&lt;&gt;"No"),COUNTIFS($EK$40:$EK52,1),"")</f>
        <v/>
      </c>
      <c r="EJ52">
        <f>IF(Settings!$A$31="","",Settings!$B$31)</f>
        <v/>
      </c>
      <c r="EK52">
        <f>IF(AND(Settings!$A$31&lt;&gt;"",Settings!$E$31&lt;&gt;"No"),1,0)</f>
        <v/>
      </c>
      <c r="EL52">
        <f>IF(Settings!$A$31="","",IF(OR(Settings!$B$31="Card",Settings!$B$31="Loan"),-N(EB52),N(EB52)))</f>
        <v/>
      </c>
      <c r="EM52">
        <f>IF(Settings!$A$31="","",IF(Settings!$D$31="Yes","estimate",""))</f>
        <v/>
      </c>
      <c r="ET52">
        <f>IF($E52&lt;&gt;"open",0,IF(AND('Month-End'!$AW$22&lt;&gt;"",NOT(_xlfn.ISFORMULA('Month-End'!$AW$22))),0,IF(OR(Settings!$C$45="",Settings!$D$45=""),0,Settings!$C$45*IF(Settings!$D$45="Weekly",IF(IFERROR(MATCH(Settings!$E$45,$EO$4:$EO$10,0),0)=0,0,IF(MIN(Settings!$B$5,IF(Settings!$G$45="",Settings!$B$5,Settings!$G$45))&lt;MAX($A52,Settings!$F$45),0,INT((MIN(Settings!$B$5,IF(Settings!$G$45="",Settings!$B$5,Settings!$G$45))-MAX($A52,Settings!$F$45)-MOD(IFERROR(MATCH(Settings!$E$45,$EO$4:$EO$10,0),0)-WEEKDAY(MAX($A52,Settings!$F$45)),7))/7)+1)),IF(AND(IF(Settings!$E$45="",$B52,DATE(YEAR($A52),MONTH($A52),MIN(Settings!$E$45,DAY($B52))))&gt;=MAX($A52,Settings!$F$45),IF(Settings!$E$45="",$B52,DATE(YEAR($A52),MONTH($A52),MIN(Settings!$E$45,DAY($B52))))&lt;=MIN(Settings!$B$5,IF(Settings!$G$45="",Settings!$B$5,Settings!$G$45))),1,0)))))</f>
        <v/>
      </c>
      <c r="EU52">
        <f>IF($E52&lt;&gt;"open",0,IF(AND('Month-End'!$AW$23&lt;&gt;"",NOT(_xlfn.ISFORMULA('Month-End'!$AW$23))),0,IF(OR(Settings!$C$46="",Settings!$D$46=""),0,Settings!$C$46*IF(Settings!$D$46="Weekly",IF(IFERROR(MATCH(Settings!$E$46,$EO$4:$EO$10,0),0)=0,0,IF(MIN(Settings!$B$5,IF(Settings!$G$46="",Settings!$B$5,Settings!$G$46))&lt;MAX($A52,Settings!$F$46),0,INT((MIN(Settings!$B$5,IF(Settings!$G$46="",Settings!$B$5,Settings!$G$46))-MAX($A52,Settings!$F$46)-MOD(IFERROR(MATCH(Settings!$E$46,$EO$4:$EO$10,0),0)-WEEKDAY(MAX($A52,Settings!$F$46)),7))/7)+1)),IF(AND(IF(Settings!$E$46="",$B52,DATE(YEAR($A52),MONTH($A52),MIN(Settings!$E$46,DAY($B52))))&gt;=MAX($A52,Settings!$F$46),IF(Settings!$E$46="",$B52,DATE(YEAR($A52),MONTH($A52),MIN(Settings!$E$46,DAY($B52))))&lt;=MIN(Settings!$B$5,IF(Settings!$G$46="",Settings!$B$5,Settings!$G$46))),1,0)))))</f>
        <v/>
      </c>
      <c r="EV52">
        <f>IF($E52&lt;&gt;"open",0,IF(AND('Month-End'!$AW$24&lt;&gt;"",NOT(_xlfn.ISFORMULA('Month-End'!$AW$24))),0,IF(OR(Settings!$C$47="",Settings!$D$47=""),0,Settings!$C$47*IF(Settings!$D$47="Weekly",IF(IFERROR(MATCH(Settings!$E$47,$EO$4:$EO$10,0),0)=0,0,IF(MIN(Settings!$B$5,IF(Settings!$G$47="",Settings!$B$5,Settings!$G$47))&lt;MAX($A52,Settings!$F$47),0,INT((MIN(Settings!$B$5,IF(Settings!$G$47="",Settings!$B$5,Settings!$G$47))-MAX($A52,Settings!$F$47)-MOD(IFERROR(MATCH(Settings!$E$47,$EO$4:$EO$10,0),0)-WEEKDAY(MAX($A52,Settings!$F$47)),7))/7)+1)),IF(AND(IF(Settings!$E$47="",$B52,DATE(YEAR($A52),MONTH($A52),MIN(Settings!$E$47,DAY($B52))))&gt;=MAX($A52,Settings!$F$47),IF(Settings!$E$47="",$B52,DATE(YEAR($A52),MONTH($A52),MIN(Settings!$E$47,DAY($B52))))&lt;=MIN(Settings!$B$5,IF(Settings!$G$47="",Settings!$B$5,Settings!$G$47))),1,0)))))</f>
        <v/>
      </c>
      <c r="EW52">
        <f>IF($E52&lt;&gt;"open",0,IF(AND('Month-End'!$AW$25&lt;&gt;"",NOT(_xlfn.ISFORMULA('Month-End'!$AW$25))),0,IF(OR(Settings!$C$48="",Settings!$D$48=""),0,Settings!$C$48*IF(Settings!$D$48="Weekly",IF(IFERROR(MATCH(Settings!$E$48,$EO$4:$EO$10,0),0)=0,0,IF(MIN(Settings!$B$5,IF(Settings!$G$48="",Settings!$B$5,Settings!$G$48))&lt;MAX($A52,Settings!$F$48),0,INT((MIN(Settings!$B$5,IF(Settings!$G$48="",Settings!$B$5,Settings!$G$48))-MAX($A52,Settings!$F$48)-MOD(IFERROR(MATCH(Settings!$E$48,$EO$4:$EO$10,0),0)-WEEKDAY(MAX($A52,Settings!$F$48)),7))/7)+1)),IF(AND(IF(Settings!$E$48="",$B52,DATE(YEAR($A52),MONTH($A52),MIN(Settings!$E$48,DAY($B52))))&gt;=MAX($A52,Settings!$F$48),IF(Settings!$E$48="",$B52,DATE(YEAR($A52),MONTH($A52),MIN(Settings!$E$48,DAY($B52))))&lt;=MIN(Settings!$B$5,IF(Settings!$G$48="",Settings!$B$5,Settings!$G$48))),1,0)))))</f>
        <v/>
      </c>
      <c r="EX52">
        <f>IF($E52&lt;&gt;"open",0,IF(AND('Month-End'!$AW$26&lt;&gt;"",NOT(_xlfn.ISFORMULA('Month-End'!$AW$26))),0,IF(OR(Settings!$C$49="",Settings!$D$49=""),0,Settings!$C$49*IF(Settings!$D$49="Weekly",IF(IFERROR(MATCH(Settings!$E$49,$EO$4:$EO$10,0),0)=0,0,IF(MIN(Settings!$B$5,IF(Settings!$G$49="",Settings!$B$5,Settings!$G$49))&lt;MAX($A52,Settings!$F$49),0,INT((MIN(Settings!$B$5,IF(Settings!$G$49="",Settings!$B$5,Settings!$G$49))-MAX($A52,Settings!$F$49)-MOD(IFERROR(MATCH(Settings!$E$49,$EO$4:$EO$10,0),0)-WEEKDAY(MAX($A52,Settings!$F$49)),7))/7)+1)),IF(AND(IF(Settings!$E$49="",$B52,DATE(YEAR($A52),MONTH($A52),MIN(Settings!$E$49,DAY($B52))))&gt;=MAX($A52,Settings!$F$49),IF(Settings!$E$49="",$B52,DATE(YEAR($A52),MONTH($A52),MIN(Settings!$E$49,DAY($B52))))&lt;=MIN(Settings!$B$5,IF(Settings!$G$49="",Settings!$B$5,Settings!$G$49))),1,0)))))</f>
        <v/>
      </c>
      <c r="EY52">
        <f>IF($E52&lt;&gt;"open",0,IF(AND('Month-End'!$AW$27&lt;&gt;"",NOT(_xlfn.ISFORMULA('Month-End'!$AW$27))),0,IF(OR(Settings!$C$50="",Settings!$D$50=""),0,Settings!$C$50*IF(Settings!$D$50="Weekly",IF(IFERROR(MATCH(Settings!$E$50,$EO$4:$EO$10,0),0)=0,0,IF(MIN(Settings!$B$5,IF(Settings!$G$50="",Settings!$B$5,Settings!$G$50))&lt;MAX($A52,Settings!$F$50),0,INT((MIN(Settings!$B$5,IF(Settings!$G$50="",Settings!$B$5,Settings!$G$50))-MAX($A52,Settings!$F$50)-MOD(IFERROR(MATCH(Settings!$E$50,$EO$4:$EO$10,0),0)-WEEKDAY(MAX($A52,Settings!$F$50)),7))/7)+1)),IF(AND(IF(Settings!$E$50="",$B52,DATE(YEAR($A52),MONTH($A52),MIN(Settings!$E$50,DAY($B52))))&gt;=MAX($A52,Settings!$F$50),IF(Settings!$E$50="",$B52,DATE(YEAR($A52),MONTH($A52),MIN(Settings!$E$50,DAY($B52))))&lt;=MIN(Settings!$B$5,IF(Settings!$G$50="",Settings!$B$5,Settings!$G$50))),1,0)))))</f>
        <v/>
      </c>
      <c r="EZ52">
        <f>IF($E52&lt;&gt;"open",0,IF(AND('Month-End'!$AW$28&lt;&gt;"",NOT(_xlfn.ISFORMULA('Month-End'!$AW$28))),0,IF(OR(Settings!$C$51="",Settings!$D$51=""),0,Settings!$C$51*IF(Settings!$D$51="Weekly",IF(IFERROR(MATCH(Settings!$E$51,$EO$4:$EO$10,0),0)=0,0,IF(MIN(Settings!$B$5,IF(Settings!$G$51="",Settings!$B$5,Settings!$G$51))&lt;MAX($A52,Settings!$F$51),0,INT((MIN(Settings!$B$5,IF(Settings!$G$51="",Settings!$B$5,Settings!$G$51))-MAX($A52,Settings!$F$51)-MOD(IFERROR(MATCH(Settings!$E$51,$EO$4:$EO$10,0),0)-WEEKDAY(MAX($A52,Settings!$F$51)),7))/7)+1)),IF(AND(IF(Settings!$E$51="",$B52,DATE(YEAR($A52),MONTH($A52),MIN(Settings!$E$51,DAY($B52))))&gt;=MAX($A52,Settings!$F$51),IF(Settings!$E$51="",$B52,DATE(YEAR($A52),MONTH($A52),MIN(Settings!$E$51,DAY($B52))))&lt;=MIN(Settings!$B$5,IF(Settings!$G$51="",Settings!$B$5,Settings!$G$51))),1,0)))))</f>
        <v/>
      </c>
      <c r="FA52">
        <f>IF($E52&lt;&gt;"open",0,IF(AND('Month-End'!$AW$29&lt;&gt;"",NOT(_xlfn.ISFORMULA('Month-End'!$AW$29))),0,IF(OR(Settings!$C$52="",Settings!$D$52=""),0,Settings!$C$52*IF(Settings!$D$52="Weekly",IF(IFERROR(MATCH(Settings!$E$52,$EO$4:$EO$10,0),0)=0,0,IF(MIN(Settings!$B$5,IF(Settings!$G$52="",Settings!$B$5,Settings!$G$52))&lt;MAX($A52,Settings!$F$52),0,INT((MIN(Settings!$B$5,IF(Settings!$G$52="",Settings!$B$5,Settings!$G$52))-MAX($A52,Settings!$F$52)-MOD(IFERROR(MATCH(Settings!$E$52,$EO$4:$EO$10,0),0)-WEEKDAY(MAX($A52,Settings!$F$52)),7))/7)+1)),IF(AND(IF(Settings!$E$52="",$B52,DATE(YEAR($A52),MONTH($A52),MIN(Settings!$E$52,DAY($B52))))&gt;=MAX($A52,Settings!$F$52),IF(Settings!$E$52="",$B52,DATE(YEAR($A52),MONTH($A52),MIN(Settings!$E$52,DAY($B52))))&lt;=MIN(Settings!$B$5,IF(Settings!$G$52="",Settings!$B$5,Settings!$G$52))),1,0)))))</f>
        <v/>
      </c>
      <c r="FB52">
        <f>IF($E52&lt;&gt;"open",0,IF(AND('Month-End'!$AW$30&lt;&gt;"",NOT(_xlfn.ISFORMULA('Month-End'!$AW$30))),0,IF(OR(Settings!$C$53="",Settings!$D$53=""),0,Settings!$C$53*IF(Settings!$D$53="Weekly",IF(IFERROR(MATCH(Settings!$E$53,$EO$4:$EO$10,0),0)=0,0,IF(MIN(Settings!$B$5,IF(Settings!$G$53="",Settings!$B$5,Settings!$G$53))&lt;MAX($A52,Settings!$F$53),0,INT((MIN(Settings!$B$5,IF(Settings!$G$53="",Settings!$B$5,Settings!$G$53))-MAX($A52,Settings!$F$53)-MOD(IFERROR(MATCH(Settings!$E$53,$EO$4:$EO$10,0),0)-WEEKDAY(MAX($A52,Settings!$F$53)),7))/7)+1)),IF(AND(IF(Settings!$E$53="",$B52,DATE(YEAR($A52),MONTH($A52),MIN(Settings!$E$53,DAY($B52))))&gt;=MAX($A52,Settings!$F$53),IF(Settings!$E$53="",$B52,DATE(YEAR($A52),MONTH($A52),MIN(Settings!$E$53,DAY($B52))))&lt;=MIN(Settings!$B$5,IF(Settings!$G$53="",Settings!$B$5,Settings!$G$53))),1,0)))))</f>
        <v/>
      </c>
      <c r="FC52">
        <f>IF($E52&lt;&gt;"open",0,IF(AND('Month-End'!$AW$31&lt;&gt;"",NOT(_xlfn.ISFORMULA('Month-End'!$AW$31))),0,IF(OR(Settings!$C$54="",Settings!$D$54=""),0,Settings!$C$54*IF(Settings!$D$54="Weekly",IF(IFERROR(MATCH(Settings!$E$54,$EO$4:$EO$10,0),0)=0,0,IF(MIN(Settings!$B$5,IF(Settings!$G$54="",Settings!$B$5,Settings!$G$54))&lt;MAX($A52,Settings!$F$54),0,INT((MIN(Settings!$B$5,IF(Settings!$G$54="",Settings!$B$5,Settings!$G$54))-MAX($A52,Settings!$F$54)-MOD(IFERROR(MATCH(Settings!$E$54,$EO$4:$EO$10,0),0)-WEEKDAY(MAX($A52,Settings!$F$54)),7))/7)+1)),IF(AND(IF(Settings!$E$54="",$B52,DATE(YEAR($A52),MONTH($A52),MIN(Settings!$E$54,DAY($B52))))&gt;=MAX($A52,Settings!$F$54),IF(Settings!$E$54="",$B52,DATE(YEAR($A52),MONTH($A52),MIN(Settings!$E$54,DAY($B52))))&lt;=MIN(Settings!$B$5,IF(Settings!$G$54="",Settings!$B$5,Settings!$G$54))),1,0)))))</f>
        <v/>
      </c>
      <c r="FD52">
        <f>IF($E52&lt;&gt;"open",0,IF(AND('Month-End'!$AW$32&lt;&gt;"",NOT(_xlfn.ISFORMULA('Month-End'!$AW$32))),0,IF(OR(Settings!$C$55="",Settings!$D$55=""),0,Settings!$C$55*IF(Settings!$D$55="Weekly",IF(IFERROR(MATCH(Settings!$E$55,$EO$4:$EO$10,0),0)=0,0,IF(MIN(Settings!$B$5,IF(Settings!$G$55="",Settings!$B$5,Settings!$G$55))&lt;MAX($A52,Settings!$F$55),0,INT((MIN(Settings!$B$5,IF(Settings!$G$55="",Settings!$B$5,Settings!$G$55))-MAX($A52,Settings!$F$55)-MOD(IFERROR(MATCH(Settings!$E$55,$EO$4:$EO$10,0),0)-WEEKDAY(MAX($A52,Settings!$F$55)),7))/7)+1)),IF(AND(IF(Settings!$E$55="",$B52,DATE(YEAR($A52),MONTH($A52),MIN(Settings!$E$55,DAY($B52))))&gt;=MAX($A52,Settings!$F$55),IF(Settings!$E$55="",$B52,DATE(YEAR($A52),MONTH($A52),MIN(Settings!$E$55,DAY($B52))))&lt;=MIN(Settings!$B$5,IF(Settings!$G$55="",Settings!$B$5,Settings!$G$55))),1,0)))))</f>
        <v/>
      </c>
      <c r="FE52">
        <f>IF($E52&lt;&gt;"open",0,IF(AND('Month-End'!$AW$33&lt;&gt;"",NOT(_xlfn.ISFORMULA('Month-End'!$AW$33))),0,IF(OR(Settings!$C$56="",Settings!$D$56=""),0,Settings!$C$56*IF(Settings!$D$56="Weekly",IF(IFERROR(MATCH(Settings!$E$56,$EO$4:$EO$10,0),0)=0,0,IF(MIN(Settings!$B$5,IF(Settings!$G$56="",Settings!$B$5,Settings!$G$56))&lt;MAX($A52,Settings!$F$56),0,INT((MIN(Settings!$B$5,IF(Settings!$G$56="",Settings!$B$5,Settings!$G$56))-MAX($A52,Settings!$F$56)-MOD(IFERROR(MATCH(Settings!$E$56,$EO$4:$EO$10,0),0)-WEEKDAY(MAX($A52,Settings!$F$56)),7))/7)+1)),IF(AND(IF(Settings!$E$56="",$B52,DATE(YEAR($A52),MONTH($A52),MIN(Settings!$E$56,DAY($B52))))&gt;=MAX($A52,Settings!$F$56),IF(Settings!$E$56="",$B52,DATE(YEAR($A52),MONTH($A52),MIN(Settings!$E$56,DAY($B52))))&lt;=MIN(Settings!$B$5,IF(Settings!$G$56="",Settings!$B$5,Settings!$G$56))),1,0)))))</f>
        <v/>
      </c>
      <c r="FF52">
        <f>IF(Settings!$I$45="Yes",$G52,0)+IF(Settings!$I$46="Yes",$H52,0)+IF(Settings!$I$47="Yes",$I52,0)+IF(Settings!$I$48="Yes",$J52,0)+IF(Settings!$I$49="Yes",$K52,0)+IF(Settings!$I$50="Yes",$L52,0)+IF(Settings!$I$51="Yes",$M52,0)+IF(Settings!$I$52="Yes",$N52,0)+IF(Settings!$I$53="Yes",$O52,0)+IF(Settings!$I$54="Yes",$P52,0)+IF(Settings!$I$55="Yes",$Q52,0)+IF(Settings!$I$56="Yes",$R52,0)</f>
        <v/>
      </c>
      <c r="FG52">
        <f>IF(AND(Settings!$I$45="Yes",Settings!$J$45="No"),$G52,0)+IF(AND(Settings!$I$46="Yes",Settings!$J$46="No"),$H52,0)+IF(AND(Settings!$I$47="Yes",Settings!$J$47="No"),$I52,0)+IF(AND(Settings!$I$48="Yes",Settings!$J$48="No"),$J52,0)+IF(AND(Settings!$I$49="Yes",Settings!$J$49="No"),$K52,0)+IF(AND(Settings!$I$50="Yes",Settings!$J$50="No"),$L52,0)+IF(AND(Settings!$I$51="Yes",Settings!$J$51="No"),$M52,0)+IF(AND(Settings!$I$52="Yes",Settings!$J$52="No"),$N52,0)+IF(AND(Settings!$I$53="Yes",Settings!$J$53="No"),$O52,0)+IF(AND(Settings!$I$54="Yes",Settings!$J$54="No"),$P52,0)+IF(AND(Settings!$I$55="Yes",Settings!$J$55="No"),$Q52,0)+IF(AND(Settings!$I$56="Yes",Settings!$J$56="No"),$R52,0)</f>
        <v/>
      </c>
      <c r="FH52">
        <f>SUMIFS(Giving!$B$7:$B$2006,Giving!$A$7:$A$2006,"&gt;="&amp;$A52,Giving!$A$7:$A$2006,"&lt;="&amp;$B52,Giving!$G$7:$G$2006,"Yes")+IF(OR(OR(Settings!$B$60="",Settings!$F$60="No"),Settings!$H$60&lt;&gt;"Yes"),0,Settings!$B$60*IF(AND(IF(Settings!$C$60="",$B52,DATE(YEAR($A52),MONTH($A52),MIN(Settings!$C$60,DAY($B52))))&gt;=MAX($A52,Settings!$D$60),IF(Settings!$C$60="",$B52,DATE(YEAR($A52),MONTH($A52),MIN(Settings!$C$60,DAY($B52))))&lt;=MIN($C52,IF(Settings!$E$60="",$C52,Settings!$E$60))),1,0))+IF(OR(OR(Settings!$B$61="",Settings!$F$61="No"),Settings!$H$61&lt;&gt;"Yes"),0,Settings!$B$61*IF(AND(IF(Settings!$C$61="",$B52,DATE(YEAR($A52),MONTH($A52),MIN(Settings!$C$61,DAY($B52))))&gt;=MAX($A52,Settings!$D$61),IF(Settings!$C$61="",$B52,DATE(YEAR($A52),MONTH($A52),MIN(Settings!$C$61,DAY($B52))))&lt;=MIN($C52,IF(Settings!$E$61="",$C52,Settings!$E$61))),1,0))+IF(OR(OR(Settings!$B$62="",Settings!$F$62="No"),Settings!$H$62&lt;&gt;"Yes"),0,Settings!$B$62*IF(AND(IF(Settings!$C$62="",$B52,DATE(YEAR($A52),MONTH($A52),MIN(Settings!$C$62,DAY($B52))))&gt;=MAX($A52,Settings!$D$62),IF(Settings!$C$62="",$B52,DATE(YEAR($A52),MONTH($A52),MIN(Settings!$C$62,DAY($B52))))&lt;=MIN($C52,IF(Settings!$E$62="",$C52,Settings!$E$62))),1,0))+IF(OR(OR(Settings!$B$63="",Settings!$F$63="No"),Settings!$H$63&lt;&gt;"Yes"),0,Settings!$B$63*IF(AND(IF(Settings!$C$63="",$B52,DATE(YEAR($A52),MONTH($A52),MIN(Settings!$C$63,DAY($B52))))&gt;=MAX($A52,Settings!$D$63),IF(Settings!$C$63="",$B52,DATE(YEAR($A52),MONTH($A52),MIN(Settings!$C$63,DAY($B52))))&lt;=MIN($C52,IF(Settings!$E$63="",$C52,Settings!$E$63))),1,0))+IF(OR(OR(Settings!$B$64="",Settings!$F$64="No"),Settings!$H$64&lt;&gt;"Yes"),0,Settings!$B$64*IF(AND(IF(Settings!$C$64="",$B52,DATE(YEAR($A52),MONTH($A52),MIN(Settings!$C$64,DAY($B52))))&gt;=MAX($A52,Settings!$D$64),IF(Settings!$C$64="",$B52,DATE(YEAR($A52),MONTH($A52),MIN(Settings!$C$64,DAY($B52))))&lt;=MIN($C52,IF(Settings!$E$64="",$C52,Settings!$E$64))),1,0))+IF(OR(OR(Settings!$B$65="",Settings!$F$65="No"),Settings!$H$65&lt;&gt;"Yes"),0,Settings!$B$65*IF(AND(IF(Settings!$C$65="",$B52,DATE(YEAR($A52),MONTH($A52),MIN(Settings!$C$65,DAY($B52))))&gt;=MAX($A52,Settings!$D$65),IF(Settings!$C$65="",$B52,DATE(YEAR($A52),MONTH($A52),MIN(Settings!$C$65,DAY($B52))))&lt;=MIN($C52,IF(Settings!$E$65="",$C52,Settings!$E$65))),1,0))</f>
        <v/>
      </c>
      <c r="FI52">
        <f>IF($DT52=1,IF(OR(Settings!$B$19="Card",Settings!$B$19="Loan"),N($AE52),0)+IF(OR(Settings!$B$20="Card",Settings!$B$20="Loan"),N($AF52),0)+IF(OR(Settings!$B$21="Card",Settings!$B$21="Loan"),N($AG52),0)+IF(OR(Settings!$B$22="Card",Settings!$B$22="Loan"),N($AH52),0)+IF(OR(Settings!$B$23="Card",Settings!$B$23="Loan"),N($AI52),0)+IF(OR(Settings!$B$24="Card",Settings!$B$24="Loan"),N($AJ52),0)+IF(OR(Settings!$B$25="Card",Settings!$B$25="Loan"),N($AK52),0)+IF(OR(Settings!$B$26="Card",Settings!$B$26="Loan"),N($AL52),0)+IF(OR(Settings!$B$27="Card",Settings!$B$27="Loan"),N($AM52),0)+IF(OR(Settings!$B$28="Card",Settings!$B$28="Loan"),N($AN52),0)+IF(OR(Settings!$B$29="Card",Settings!$B$29="Loan"),N($AO52),0)+IF(OR(Settings!$B$30="Card",Settings!$B$30="Loan"),N($AP52),0)+IF(OR(Settings!$B$31="Card",Settings!$B$31="Loan"),N($AQ52),0)+IF(OR(Settings!$B$32="Card",Settings!$B$32="Loan"),N($AR52),0),"")</f>
        <v/>
      </c>
      <c r="FJ52">
        <f>IF($E52="open",$EB$65,IF($E52="post",IF($E51="pre",$EB$65,$FI51),""))</f>
        <v/>
      </c>
      <c r="FK52">
        <f>IF(AND($DT52=1,$DC52=1),IF(ROUND($FI52-$FJ52,2)&gt;0,1,0),0)</f>
        <v/>
      </c>
      <c r="FL52">
        <f>IF($FK52=1,$FL51+1,0)</f>
        <v/>
      </c>
    </row>
    <row r="53">
      <c r="A53">
        <f>'Month-End'!$AX$4</f>
        <v/>
      </c>
      <c r="B53">
        <f>EOMONTH($A53,0)</f>
        <v/>
      </c>
      <c r="C53">
        <f>MIN($B53,TODAY())</f>
        <v/>
      </c>
      <c r="D53">
        <f>IF($A53&gt;TODAY(),1,0)</f>
        <v/>
      </c>
      <c r="E53">
        <f>IF($B53&lt;=Settings!$B$5,"pre",IF($A53&lt;=Settings!$B$5,"open","post"))</f>
        <v/>
      </c>
      <c r="G53">
        <f>IF('Month-End'!$AX$22="",$BE53,N('Month-End'!$AX$22))</f>
        <v/>
      </c>
      <c r="H53">
        <f>IF('Month-End'!$AX$23="",$BF53,N('Month-End'!$AX$23))</f>
        <v/>
      </c>
      <c r="I53">
        <f>IF('Month-End'!$AX$24="",$BG53,N('Month-End'!$AX$24))</f>
        <v/>
      </c>
      <c r="J53">
        <f>IF('Month-End'!$AX$25="",$BH53,N('Month-End'!$AX$25))</f>
        <v/>
      </c>
      <c r="K53">
        <f>IF('Month-End'!$AX$26="",$BI53,N('Month-End'!$AX$26))</f>
        <v/>
      </c>
      <c r="L53">
        <f>IF('Month-End'!$AX$27="",$BJ53,N('Month-End'!$AX$27))</f>
        <v/>
      </c>
      <c r="M53">
        <f>IF('Month-End'!$AX$28="",$BK53,N('Month-End'!$AX$28))</f>
        <v/>
      </c>
      <c r="N53">
        <f>IF('Month-End'!$AX$29="",$BL53,N('Month-End'!$AX$29))</f>
        <v/>
      </c>
      <c r="O53">
        <f>IF('Month-End'!$AX$30="",$BM53,N('Month-End'!$AX$30))</f>
        <v/>
      </c>
      <c r="P53">
        <f>IF('Month-End'!$AX$31="",$BN53,N('Month-End'!$AX$31))</f>
        <v/>
      </c>
      <c r="Q53">
        <f>IF('Month-End'!$AX$32="",$BO53,N('Month-End'!$AX$32))</f>
        <v/>
      </c>
      <c r="R53">
        <f>IF('Month-End'!$AX$33="",$BP53,N('Month-End'!$AX$33))</f>
        <v/>
      </c>
      <c r="S53">
        <f>$G53+$H53+$I53+$J53+$K53+$L53+$M53+$N53+$O53+$P53+$Q53+$R53</f>
        <v/>
      </c>
      <c r="T53">
        <f>IF($B53&lt;Settings!$B$6,0,IF(Settings!$B$45="Yes",$G53,0)+IF(Settings!$B$46="Yes",$H53,0)+IF(Settings!$B$47="Yes",$I53,0)+IF(Settings!$B$48="Yes",$J53,0)+IF(Settings!$B$49="Yes",$K53,0)+IF(Settings!$B$50="Yes",$L53,0)+IF(Settings!$B$51="Yes",$M53,0)+IF(Settings!$B$52="Yes",$N53,0)+IF(Settings!$B$53="Yes",$O53,0)+IF(Settings!$B$54="Yes",$P53,0)+IF(Settings!$B$55="Yes",$Q53,0)+IF(Settings!$B$56="Yes",$R53,0))</f>
        <v/>
      </c>
      <c r="U53">
        <f>IF(Settings!$B$45="Not Sure",$G53,0)+IF(Settings!$B$46="Not Sure",$H53,0)+IF(Settings!$B$47="Not Sure",$I53,0)+IF(Settings!$B$48="Not Sure",$J53,0)+IF(Settings!$B$49="Not Sure",$K53,0)+IF(Settings!$B$50="Not Sure",$L53,0)+IF(Settings!$B$51="Not Sure",$M53,0)+IF(Settings!$B$52="Not Sure",$N53,0)+IF(Settings!$B$53="Not Sure",$O53,0)+IF(Settings!$B$54="Not Sure",$P53,0)+IF(Settings!$B$55="Not Sure",$Q53,0)+IF(Settings!$B$56="Not Sure",$R53,0)</f>
        <v/>
      </c>
      <c r="V53">
        <f>IF($E53="open",SUM($ET53:$FE53)+N(Settings!$B$13),0)</f>
        <v/>
      </c>
      <c r="W53">
        <f>IF($E53="post",$S53,IF($E53="open",$S53-$V53,0))</f>
        <v/>
      </c>
      <c r="X53">
        <f>SUMIFS(Giving!$B$7:$B$2006,Giving!$A$7:$A$2006,"&gt;="&amp;$A53,Giving!$A$7:$A$2006,"&lt;="&amp;$B53,Giving!$E$7:$E$2006,"&lt;&gt;No")</f>
        <v/>
      </c>
      <c r="Y53">
        <f>SUMIFS(Giving!$B$7:$B$2006,Giving!$A$7:$A$2006,"&gt;="&amp;$A53,Giving!$A$7:$A$2006,"&lt;="&amp;$B53,Giving!$E$7:$E$2006,"No")</f>
        <v/>
      </c>
      <c r="Z53">
        <f>IF(OR(Settings!$B$60="",Settings!$F$60="No"),0,Settings!$B$60*IF(AND(IF(Settings!$C$60="",$B53,DATE(YEAR($A53),MONTH($A53),MIN(Settings!$C$60,DAY($B53))))&gt;=MAX($A53,Settings!$D$60),IF(Settings!$C$60="",$B53,DATE(YEAR($A53),MONTH($A53),MIN(Settings!$C$60,DAY($B53))))&lt;=MIN($C53,IF(Settings!$E$60="",$C53,Settings!$E$60))),1,0))+IF(OR(Settings!$B$61="",Settings!$F$61="No"),0,Settings!$B$61*IF(AND(IF(Settings!$C$61="",$B53,DATE(YEAR($A53),MONTH($A53),MIN(Settings!$C$61,DAY($B53))))&gt;=MAX($A53,Settings!$D$61),IF(Settings!$C$61="",$B53,DATE(YEAR($A53),MONTH($A53),MIN(Settings!$C$61,DAY($B53))))&lt;=MIN($C53,IF(Settings!$E$61="",$C53,Settings!$E$61))),1,0))+IF(OR(Settings!$B$62="",Settings!$F$62="No"),0,Settings!$B$62*IF(AND(IF(Settings!$C$62="",$B53,DATE(YEAR($A53),MONTH($A53),MIN(Settings!$C$62,DAY($B53))))&gt;=MAX($A53,Settings!$D$62),IF(Settings!$C$62="",$B53,DATE(YEAR($A53),MONTH($A53),MIN(Settings!$C$62,DAY($B53))))&lt;=MIN($C53,IF(Settings!$E$62="",$C53,Settings!$E$62))),1,0))+IF(OR(Settings!$B$63="",Settings!$F$63="No"),0,Settings!$B$63*IF(AND(IF(Settings!$C$63="",$B53,DATE(YEAR($A53),MONTH($A53),MIN(Settings!$C$63,DAY($B53))))&gt;=MAX($A53,Settings!$D$63),IF(Settings!$C$63="",$B53,DATE(YEAR($A53),MONTH($A53),MIN(Settings!$C$63,DAY($B53))))&lt;=MIN($C53,IF(Settings!$E$63="",$C53,Settings!$E$63))),1,0))+IF(OR(Settings!$B$64="",Settings!$F$64="No"),0,Settings!$B$64*IF(AND(IF(Settings!$C$64="",$B53,DATE(YEAR($A53),MONTH($A53),MIN(Settings!$C$64,DAY($B53))))&gt;=MAX($A53,Settings!$D$64),IF(Settings!$C$64="",$B53,DATE(YEAR($A53),MONTH($A53),MIN(Settings!$C$64,DAY($B53))))&lt;=MIN($C53,IF(Settings!$E$64="",$C53,Settings!$E$64))),1,0))+IF(OR(Settings!$B$65="",Settings!$F$65="No"),0,Settings!$B$65*IF(AND(IF(Settings!$C$65="",$B53,DATE(YEAR($A53),MONTH($A53),MIN(Settings!$C$65,DAY($B53))))&gt;=MAX($A53,Settings!$D$65),IF(Settings!$C$65="",$B53,DATE(YEAR($A53),MONTH($A53),MIN(Settings!$C$65,DAY($B53))))&lt;=MIN($C53,IF(Settings!$E$65="",$C53,Settings!$E$65))),1,0))</f>
        <v/>
      </c>
      <c r="AA53">
        <f>$X53+$Z53</f>
        <v/>
      </c>
      <c r="AB53">
        <f>IF($E53="post",$AA53,IF($E53="open",SUMIFS(Giving!$B$7:$B$2006,Giving!$A$7:$A$2006,"&gt;"&amp;Settings!$B$5,Giving!$A$7:$A$2006,"&lt;="&amp;$B53,Giving!$E$7:$E$2006,"&lt;&gt;No")+IF(OR(Settings!$B$60="",Settings!$F$60="No"),0,Settings!$B$60*IF(AND(IF(Settings!$C$60="",$B53,DATE(YEAR($A53),MONTH($A53),MIN(Settings!$C$60,DAY($B53))))&gt;=MAX($A53,Settings!$D$60,Settings!$B$5+1),IF(Settings!$C$60="",$B53,DATE(YEAR($A53),MONTH($A53),MIN(Settings!$C$60,DAY($B53))))&lt;=MIN($C53,IF(Settings!$E$60="",$C53,Settings!$E$60))),1,0))+IF(OR(Settings!$B$61="",Settings!$F$61="No"),0,Settings!$B$61*IF(AND(IF(Settings!$C$61="",$B53,DATE(YEAR($A53),MONTH($A53),MIN(Settings!$C$61,DAY($B53))))&gt;=MAX($A53,Settings!$D$61,Settings!$B$5+1),IF(Settings!$C$61="",$B53,DATE(YEAR($A53),MONTH($A53),MIN(Settings!$C$61,DAY($B53))))&lt;=MIN($C53,IF(Settings!$E$61="",$C53,Settings!$E$61))),1,0))+IF(OR(Settings!$B$62="",Settings!$F$62="No"),0,Settings!$B$62*IF(AND(IF(Settings!$C$62="",$B53,DATE(YEAR($A53),MONTH($A53),MIN(Settings!$C$62,DAY($B53))))&gt;=MAX($A53,Settings!$D$62,Settings!$B$5+1),IF(Settings!$C$62="",$B53,DATE(YEAR($A53),MONTH($A53),MIN(Settings!$C$62,DAY($B53))))&lt;=MIN($C53,IF(Settings!$E$62="",$C53,Settings!$E$62))),1,0))+IF(OR(Settings!$B$63="",Settings!$F$63="No"),0,Settings!$B$63*IF(AND(IF(Settings!$C$63="",$B53,DATE(YEAR($A53),MONTH($A53),MIN(Settings!$C$63,DAY($B53))))&gt;=MAX($A53,Settings!$D$63,Settings!$B$5+1),IF(Settings!$C$63="",$B53,DATE(YEAR($A53),MONTH($A53),MIN(Settings!$C$63,DAY($B53))))&lt;=MIN($C53,IF(Settings!$E$63="",$C53,Settings!$E$63))),1,0))+IF(OR(Settings!$B$64="",Settings!$F$64="No"),0,Settings!$B$64*IF(AND(IF(Settings!$C$64="",$B53,DATE(YEAR($A53),MONTH($A53),MIN(Settings!$C$64,DAY($B53))))&gt;=MAX($A53,Settings!$D$64,Settings!$B$5+1),IF(Settings!$C$64="",$B53,DATE(YEAR($A53),MONTH($A53),MIN(Settings!$C$64,DAY($B53))))&lt;=MIN($C53,IF(Settings!$E$64="",$C53,Settings!$E$64))),1,0))+IF(OR(Settings!$B$65="",Settings!$F$65="No"),0,Settings!$B$65*IF(AND(IF(Settings!$C$65="",$B53,DATE(YEAR($A53),MONTH($A53),MIN(Settings!$C$65,DAY($B53))))&gt;=MAX($A53,Settings!$D$65,Settings!$B$5+1),IF(Settings!$C$65="",$B53,DATE(YEAR($A53),MONTH($A53),MIN(Settings!$C$65,DAY($B53))))&lt;=MIN($C53,IF(Settings!$E$65="",$C53,Settings!$E$65))),1,0)),0))</f>
        <v/>
      </c>
      <c r="AC53">
        <f>$AY53+$AZ53+$BA53+$BB53+$BC53+$BD53</f>
        <v/>
      </c>
      <c r="AD53">
        <f>$AC53</f>
        <v/>
      </c>
      <c r="AE53">
        <f>IF(OR(Settings!$A$19="",$E53="pre"),"",IF(AND('Month-End'!$AX$7&lt;&gt;"",NOT(_xlfn.ISFORMULA('Month-End'!$AX$7))),N('Month-End'!$AX$7),IF(OR($E53="open",$E52="pre"),N(Settings!$C$19),N($AE52))))</f>
        <v/>
      </c>
      <c r="AF53">
        <f>IF(OR(Settings!$A$20="",$E53="pre"),"",IF(AND('Month-End'!$AX$8&lt;&gt;"",NOT(_xlfn.ISFORMULA('Month-End'!$AX$8))),N('Month-End'!$AX$8),IF(OR($E53="open",$E52="pre"),N(Settings!$C$20),N($AF52))))</f>
        <v/>
      </c>
      <c r="AG53">
        <f>IF(OR(Settings!$A$21="",$E53="pre"),"",IF(AND('Month-End'!$AX$9&lt;&gt;"",NOT(_xlfn.ISFORMULA('Month-End'!$AX$9))),N('Month-End'!$AX$9),IF(OR($E53="open",$E52="pre"),N(Settings!$C$21),N($AG52))))</f>
        <v/>
      </c>
      <c r="AH53">
        <f>IF(OR(Settings!$A$22="",$E53="pre"),"",IF(AND('Month-End'!$AX$10&lt;&gt;"",NOT(_xlfn.ISFORMULA('Month-End'!$AX$10))),N('Month-End'!$AX$10),IF(OR($E53="open",$E52="pre"),N(Settings!$C$22),N($AH52))))</f>
        <v/>
      </c>
      <c r="AI53">
        <f>IF(OR(Settings!$A$23="",$E53="pre"),"",IF(AND('Month-End'!$AX$11&lt;&gt;"",NOT(_xlfn.ISFORMULA('Month-End'!$AX$11))),N('Month-End'!$AX$11),IF(OR($E53="open",$E52="pre"),N(Settings!$C$23),N($AI52))))</f>
        <v/>
      </c>
      <c r="AJ53">
        <f>IF(OR(Settings!$A$24="",$E53="pre"),"",IF(AND('Month-End'!$AX$12&lt;&gt;"",NOT(_xlfn.ISFORMULA('Month-End'!$AX$12))),N('Month-End'!$AX$12),IF(OR($E53="open",$E52="pre"),N(Settings!$C$24),N($AJ52))))</f>
        <v/>
      </c>
      <c r="AK53">
        <f>IF(OR(Settings!$A$25="",$E53="pre"),"",IF(AND('Month-End'!$AX$13&lt;&gt;"",NOT(_xlfn.ISFORMULA('Month-End'!$AX$13))),N('Month-End'!$AX$13),IF(OR($E53="open",$E52="pre"),N(Settings!$C$25),N($AK52))))</f>
        <v/>
      </c>
      <c r="AL53">
        <f>IF(OR(Settings!$A$26="",$E53="pre"),"",IF(AND('Month-End'!$AX$14&lt;&gt;"",NOT(_xlfn.ISFORMULA('Month-End'!$AX$14))),N('Month-End'!$AX$14),IF(OR($E53="open",$E52="pre"),N(Settings!$C$26),N($AL52))))</f>
        <v/>
      </c>
      <c r="AM53">
        <f>IF(OR(Settings!$A$27="",$E53="pre"),"",IF(AND('Month-End'!$AX$15&lt;&gt;"",NOT(_xlfn.ISFORMULA('Month-End'!$AX$15))),N('Month-End'!$AX$15),IF(OR($E53="open",$E52="pre"),N(Settings!$C$27),N($AM52))))</f>
        <v/>
      </c>
      <c r="AN53">
        <f>IF(OR(Settings!$A$28="",$E53="pre"),"",IF(AND('Month-End'!$AX$16&lt;&gt;"",NOT(_xlfn.ISFORMULA('Month-End'!$AX$16))),N('Month-End'!$AX$16),IF(OR($E53="open",$E52="pre"),N(Settings!$C$28),N($AN52))))</f>
        <v/>
      </c>
      <c r="AO53">
        <f>IF(OR(Settings!$A$29="",$E53="pre"),"",IF(AND('Month-End'!$AX$17&lt;&gt;"",NOT(_xlfn.ISFORMULA('Month-End'!$AX$17))),N('Month-End'!$AX$17),IF(OR($E53="open",$E52="pre"),N(Settings!$C$29),N($AO52))))</f>
        <v/>
      </c>
      <c r="AP53">
        <f>IF(OR(Settings!$A$30="",$E53="pre"),"",IF(AND('Month-End'!$AX$18&lt;&gt;"",NOT(_xlfn.ISFORMULA('Month-End'!$AX$18))),N('Month-End'!$AX$18),IF(OR($E53="open",$E52="pre"),N(Settings!$C$30),N($AP52))))</f>
        <v/>
      </c>
      <c r="AQ53">
        <f>IF(OR(Settings!$A$31="",$E53="pre"),"",IF(AND('Month-End'!$AX$19&lt;&gt;"",NOT(_xlfn.ISFORMULA('Month-End'!$AX$19))),N('Month-End'!$AX$19),IF(OR($E53="open",$E52="pre"),N(Settings!$C$31),N($AQ52))))</f>
        <v/>
      </c>
      <c r="AR53">
        <f>IF(OR(Settings!$A$32="",$E53="pre"),"",IF(AND('Month-End'!$AX$20&lt;&gt;"",NOT(_xlfn.ISFORMULA('Month-End'!$AX$20))),N('Month-End'!$AX$20),IF(OR($E53="open",$E52="pre"),N(Settings!$C$32),N($AR52))))</f>
        <v/>
      </c>
      <c r="AS53">
        <f>IF(OR(Settings!$A$36="",$E53="pre"),"",IF(AND('Month-End'!$AX$38&lt;&gt;"",NOT(_xlfn.ISFORMULA('Month-End'!$AX$38))),N('Month-End'!$AX$38),IF(OR($E53="open",$E52="pre"),N(Settings!$C$36),N($AS52))+$AY53))</f>
        <v/>
      </c>
      <c r="AT53">
        <f>IF(OR(Settings!$A$37="",$E53="pre"),"",IF(AND('Month-End'!$AX$39&lt;&gt;"",NOT(_xlfn.ISFORMULA('Month-End'!$AX$39))),N('Month-End'!$AX$39),IF(OR($E53="open",$E52="pre"),N(Settings!$C$37),N($AT52))+$AZ53))</f>
        <v/>
      </c>
      <c r="AU53">
        <f>IF(OR(Settings!$A$38="",$E53="pre"),"",IF(AND('Month-End'!$AX$40&lt;&gt;"",NOT(_xlfn.ISFORMULA('Month-End'!$AX$40))),N('Month-End'!$AX$40),IF(OR($E53="open",$E52="pre"),N(Settings!$C$38),N($AU52))+$BA53))</f>
        <v/>
      </c>
      <c r="AV53">
        <f>IF(OR(Settings!$A$39="",$E53="pre"),"",IF(AND('Month-End'!$AX$41&lt;&gt;"",NOT(_xlfn.ISFORMULA('Month-End'!$AX$41))),N('Month-End'!$AX$41),IF(OR($E53="open",$E52="pre"),N(Settings!$C$39),N($AV52))+$BB53))</f>
        <v/>
      </c>
      <c r="AW53">
        <f>IF(OR(Settings!$A$40="",$E53="pre"),"",IF(AND('Month-End'!$AX$42&lt;&gt;"",NOT(_xlfn.ISFORMULA('Month-End'!$AX$42))),N('Month-End'!$AX$42),IF(OR($E53="open",$E52="pre"),N(Settings!$C$40),N($AW52))+$BC53))</f>
        <v/>
      </c>
      <c r="AX53">
        <f>IF(OR(Settings!$A$41="",$E53="pre"),"",IF(AND('Month-End'!$AX$43&lt;&gt;"",NOT(_xlfn.ISFORMULA('Month-End'!$AX$43))),N('Month-End'!$AX$43),IF(OR($E53="open",$E52="pre"),N(Settings!$C$41),N($AX52))+$BD53))</f>
        <v/>
      </c>
      <c r="AY53">
        <f>IF($E53="pre",0,N('Month-End'!$AX$45))</f>
        <v/>
      </c>
      <c r="AZ53">
        <f>IF($E53="pre",0,N('Month-End'!$AX$46))</f>
        <v/>
      </c>
      <c r="BA53">
        <f>IF($E53="pre",0,N('Month-End'!$AX$47))</f>
        <v/>
      </c>
      <c r="BB53">
        <f>IF($E53="pre",0,N('Month-End'!$AX$48))</f>
        <v/>
      </c>
      <c r="BC53">
        <f>IF($E53="pre",0,N('Month-End'!$AX$49))</f>
        <v/>
      </c>
      <c r="BD53">
        <f>IF($E53="pre",0,N('Month-End'!$AX$50))</f>
        <v/>
      </c>
      <c r="BE53">
        <f>IF(OR(Settings!$C$45="",Settings!$D$45=""),0,Settings!$C$45*IF(Settings!$D$45="Weekly",IF(IFERROR(MATCH(Settings!$E$45,$EO$4:$EO$10,0),0)=0,0,IF(MIN($C53,IF(Settings!$G$45="",$C53,Settings!$G$45))&lt;MAX($A53,Settings!$F$45),0,INT((MIN($C53,IF(Settings!$G$45="",$C53,Settings!$G$45))-MAX($A53,Settings!$F$45)-MOD(IFERROR(MATCH(Settings!$E$45,$EO$4:$EO$10,0),0)-WEEKDAY(MAX($A53,Settings!$F$45)),7))/7)+1)),IF(AND(IF(Settings!$E$45="",$B53,DATE(YEAR($A53),MONTH($A53),MIN(Settings!$E$45,DAY($B53))))&gt;=MAX($A53,Settings!$F$45),IF(Settings!$E$45="",$B53,DATE(YEAR($A53),MONTH($A53),MIN(Settings!$E$45,DAY($B53))))&lt;=MIN($C53,IF(Settings!$G$45="",$C53,Settings!$G$45))),1,0)))</f>
        <v/>
      </c>
      <c r="BF53">
        <f>IF(OR(Settings!$C$46="",Settings!$D$46=""),0,Settings!$C$46*IF(Settings!$D$46="Weekly",IF(IFERROR(MATCH(Settings!$E$46,$EO$4:$EO$10,0),0)=0,0,IF(MIN($C53,IF(Settings!$G$46="",$C53,Settings!$G$46))&lt;MAX($A53,Settings!$F$46),0,INT((MIN($C53,IF(Settings!$G$46="",$C53,Settings!$G$46))-MAX($A53,Settings!$F$46)-MOD(IFERROR(MATCH(Settings!$E$46,$EO$4:$EO$10,0),0)-WEEKDAY(MAX($A53,Settings!$F$46)),7))/7)+1)),IF(AND(IF(Settings!$E$46="",$B53,DATE(YEAR($A53),MONTH($A53),MIN(Settings!$E$46,DAY($B53))))&gt;=MAX($A53,Settings!$F$46),IF(Settings!$E$46="",$B53,DATE(YEAR($A53),MONTH($A53),MIN(Settings!$E$46,DAY($B53))))&lt;=MIN($C53,IF(Settings!$G$46="",$C53,Settings!$G$46))),1,0)))</f>
        <v/>
      </c>
      <c r="BG53">
        <f>IF(OR(Settings!$C$47="",Settings!$D$47=""),0,Settings!$C$47*IF(Settings!$D$47="Weekly",IF(IFERROR(MATCH(Settings!$E$47,$EO$4:$EO$10,0),0)=0,0,IF(MIN($C53,IF(Settings!$G$47="",$C53,Settings!$G$47))&lt;MAX($A53,Settings!$F$47),0,INT((MIN($C53,IF(Settings!$G$47="",$C53,Settings!$G$47))-MAX($A53,Settings!$F$47)-MOD(IFERROR(MATCH(Settings!$E$47,$EO$4:$EO$10,0),0)-WEEKDAY(MAX($A53,Settings!$F$47)),7))/7)+1)),IF(AND(IF(Settings!$E$47="",$B53,DATE(YEAR($A53),MONTH($A53),MIN(Settings!$E$47,DAY($B53))))&gt;=MAX($A53,Settings!$F$47),IF(Settings!$E$47="",$B53,DATE(YEAR($A53),MONTH($A53),MIN(Settings!$E$47,DAY($B53))))&lt;=MIN($C53,IF(Settings!$G$47="",$C53,Settings!$G$47))),1,0)))</f>
        <v/>
      </c>
      <c r="BH53">
        <f>IF(OR(Settings!$C$48="",Settings!$D$48=""),0,Settings!$C$48*IF(Settings!$D$48="Weekly",IF(IFERROR(MATCH(Settings!$E$48,$EO$4:$EO$10,0),0)=0,0,IF(MIN($C53,IF(Settings!$G$48="",$C53,Settings!$G$48))&lt;MAX($A53,Settings!$F$48),0,INT((MIN($C53,IF(Settings!$G$48="",$C53,Settings!$G$48))-MAX($A53,Settings!$F$48)-MOD(IFERROR(MATCH(Settings!$E$48,$EO$4:$EO$10,0),0)-WEEKDAY(MAX($A53,Settings!$F$48)),7))/7)+1)),IF(AND(IF(Settings!$E$48="",$B53,DATE(YEAR($A53),MONTH($A53),MIN(Settings!$E$48,DAY($B53))))&gt;=MAX($A53,Settings!$F$48),IF(Settings!$E$48="",$B53,DATE(YEAR($A53),MONTH($A53),MIN(Settings!$E$48,DAY($B53))))&lt;=MIN($C53,IF(Settings!$G$48="",$C53,Settings!$G$48))),1,0)))</f>
        <v/>
      </c>
      <c r="BI53">
        <f>IF(OR(Settings!$C$49="",Settings!$D$49=""),0,Settings!$C$49*IF(Settings!$D$49="Weekly",IF(IFERROR(MATCH(Settings!$E$49,$EO$4:$EO$10,0),0)=0,0,IF(MIN($C53,IF(Settings!$G$49="",$C53,Settings!$G$49))&lt;MAX($A53,Settings!$F$49),0,INT((MIN($C53,IF(Settings!$G$49="",$C53,Settings!$G$49))-MAX($A53,Settings!$F$49)-MOD(IFERROR(MATCH(Settings!$E$49,$EO$4:$EO$10,0),0)-WEEKDAY(MAX($A53,Settings!$F$49)),7))/7)+1)),IF(AND(IF(Settings!$E$49="",$B53,DATE(YEAR($A53),MONTH($A53),MIN(Settings!$E$49,DAY($B53))))&gt;=MAX($A53,Settings!$F$49),IF(Settings!$E$49="",$B53,DATE(YEAR($A53),MONTH($A53),MIN(Settings!$E$49,DAY($B53))))&lt;=MIN($C53,IF(Settings!$G$49="",$C53,Settings!$G$49))),1,0)))</f>
        <v/>
      </c>
      <c r="BJ53">
        <f>IF(OR(Settings!$C$50="",Settings!$D$50=""),0,Settings!$C$50*IF(Settings!$D$50="Weekly",IF(IFERROR(MATCH(Settings!$E$50,$EO$4:$EO$10,0),0)=0,0,IF(MIN($C53,IF(Settings!$G$50="",$C53,Settings!$G$50))&lt;MAX($A53,Settings!$F$50),0,INT((MIN($C53,IF(Settings!$G$50="",$C53,Settings!$G$50))-MAX($A53,Settings!$F$50)-MOD(IFERROR(MATCH(Settings!$E$50,$EO$4:$EO$10,0),0)-WEEKDAY(MAX($A53,Settings!$F$50)),7))/7)+1)),IF(AND(IF(Settings!$E$50="",$B53,DATE(YEAR($A53),MONTH($A53),MIN(Settings!$E$50,DAY($B53))))&gt;=MAX($A53,Settings!$F$50),IF(Settings!$E$50="",$B53,DATE(YEAR($A53),MONTH($A53),MIN(Settings!$E$50,DAY($B53))))&lt;=MIN($C53,IF(Settings!$G$50="",$C53,Settings!$G$50))),1,0)))</f>
        <v/>
      </c>
      <c r="BK53">
        <f>IF(OR(Settings!$C$51="",Settings!$D$51=""),0,Settings!$C$51*IF(Settings!$D$51="Weekly",IF(IFERROR(MATCH(Settings!$E$51,$EO$4:$EO$10,0),0)=0,0,IF(MIN($C53,IF(Settings!$G$51="",$C53,Settings!$G$51))&lt;MAX($A53,Settings!$F$51),0,INT((MIN($C53,IF(Settings!$G$51="",$C53,Settings!$G$51))-MAX($A53,Settings!$F$51)-MOD(IFERROR(MATCH(Settings!$E$51,$EO$4:$EO$10,0),0)-WEEKDAY(MAX($A53,Settings!$F$51)),7))/7)+1)),IF(AND(IF(Settings!$E$51="",$B53,DATE(YEAR($A53),MONTH($A53),MIN(Settings!$E$51,DAY($B53))))&gt;=MAX($A53,Settings!$F$51),IF(Settings!$E$51="",$B53,DATE(YEAR($A53),MONTH($A53),MIN(Settings!$E$51,DAY($B53))))&lt;=MIN($C53,IF(Settings!$G$51="",$C53,Settings!$G$51))),1,0)))</f>
        <v/>
      </c>
      <c r="BL53">
        <f>IF(OR(Settings!$C$52="",Settings!$D$52=""),0,Settings!$C$52*IF(Settings!$D$52="Weekly",IF(IFERROR(MATCH(Settings!$E$52,$EO$4:$EO$10,0),0)=0,0,IF(MIN($C53,IF(Settings!$G$52="",$C53,Settings!$G$52))&lt;MAX($A53,Settings!$F$52),0,INT((MIN($C53,IF(Settings!$G$52="",$C53,Settings!$G$52))-MAX($A53,Settings!$F$52)-MOD(IFERROR(MATCH(Settings!$E$52,$EO$4:$EO$10,0),0)-WEEKDAY(MAX($A53,Settings!$F$52)),7))/7)+1)),IF(AND(IF(Settings!$E$52="",$B53,DATE(YEAR($A53),MONTH($A53),MIN(Settings!$E$52,DAY($B53))))&gt;=MAX($A53,Settings!$F$52),IF(Settings!$E$52="",$B53,DATE(YEAR($A53),MONTH($A53),MIN(Settings!$E$52,DAY($B53))))&lt;=MIN($C53,IF(Settings!$G$52="",$C53,Settings!$G$52))),1,0)))</f>
        <v/>
      </c>
      <c r="BM53">
        <f>IF(OR(Settings!$C$53="",Settings!$D$53=""),0,Settings!$C$53*IF(Settings!$D$53="Weekly",IF(IFERROR(MATCH(Settings!$E$53,$EO$4:$EO$10,0),0)=0,0,IF(MIN($C53,IF(Settings!$G$53="",$C53,Settings!$G$53))&lt;MAX($A53,Settings!$F$53),0,INT((MIN($C53,IF(Settings!$G$53="",$C53,Settings!$G$53))-MAX($A53,Settings!$F$53)-MOD(IFERROR(MATCH(Settings!$E$53,$EO$4:$EO$10,0),0)-WEEKDAY(MAX($A53,Settings!$F$53)),7))/7)+1)),IF(AND(IF(Settings!$E$53="",$B53,DATE(YEAR($A53),MONTH($A53),MIN(Settings!$E$53,DAY($B53))))&gt;=MAX($A53,Settings!$F$53),IF(Settings!$E$53="",$B53,DATE(YEAR($A53),MONTH($A53),MIN(Settings!$E$53,DAY($B53))))&lt;=MIN($C53,IF(Settings!$G$53="",$C53,Settings!$G$53))),1,0)))</f>
        <v/>
      </c>
      <c r="BN53">
        <f>IF(OR(Settings!$C$54="",Settings!$D$54=""),0,Settings!$C$54*IF(Settings!$D$54="Weekly",IF(IFERROR(MATCH(Settings!$E$54,$EO$4:$EO$10,0),0)=0,0,IF(MIN($C53,IF(Settings!$G$54="",$C53,Settings!$G$54))&lt;MAX($A53,Settings!$F$54),0,INT((MIN($C53,IF(Settings!$G$54="",$C53,Settings!$G$54))-MAX($A53,Settings!$F$54)-MOD(IFERROR(MATCH(Settings!$E$54,$EO$4:$EO$10,0),0)-WEEKDAY(MAX($A53,Settings!$F$54)),7))/7)+1)),IF(AND(IF(Settings!$E$54="",$B53,DATE(YEAR($A53),MONTH($A53),MIN(Settings!$E$54,DAY($B53))))&gt;=MAX($A53,Settings!$F$54),IF(Settings!$E$54="",$B53,DATE(YEAR($A53),MONTH($A53),MIN(Settings!$E$54,DAY($B53))))&lt;=MIN($C53,IF(Settings!$G$54="",$C53,Settings!$G$54))),1,0)))</f>
        <v/>
      </c>
      <c r="BO53">
        <f>IF(OR(Settings!$C$55="",Settings!$D$55=""),0,Settings!$C$55*IF(Settings!$D$55="Weekly",IF(IFERROR(MATCH(Settings!$E$55,$EO$4:$EO$10,0),0)=0,0,IF(MIN($C53,IF(Settings!$G$55="",$C53,Settings!$G$55))&lt;MAX($A53,Settings!$F$55),0,INT((MIN($C53,IF(Settings!$G$55="",$C53,Settings!$G$55))-MAX($A53,Settings!$F$55)-MOD(IFERROR(MATCH(Settings!$E$55,$EO$4:$EO$10,0),0)-WEEKDAY(MAX($A53,Settings!$F$55)),7))/7)+1)),IF(AND(IF(Settings!$E$55="",$B53,DATE(YEAR($A53),MONTH($A53),MIN(Settings!$E$55,DAY($B53))))&gt;=MAX($A53,Settings!$F$55),IF(Settings!$E$55="",$B53,DATE(YEAR($A53),MONTH($A53),MIN(Settings!$E$55,DAY($B53))))&lt;=MIN($C53,IF(Settings!$G$55="",$C53,Settings!$G$55))),1,0)))</f>
        <v/>
      </c>
      <c r="BP53">
        <f>IF(OR(Settings!$C$56="",Settings!$D$56=""),0,Settings!$C$56*IF(Settings!$D$56="Weekly",IF(IFERROR(MATCH(Settings!$E$56,$EO$4:$EO$10,0),0)=0,0,IF(MIN($C53,IF(Settings!$G$56="",$C53,Settings!$G$56))&lt;MAX($A53,Settings!$F$56),0,INT((MIN($C53,IF(Settings!$G$56="",$C53,Settings!$G$56))-MAX($A53,Settings!$F$56)-MOD(IFERROR(MATCH(Settings!$E$56,$EO$4:$EO$10,0),0)-WEEKDAY(MAX($A53,Settings!$F$56)),7))/7)+1)),IF(AND(IF(Settings!$E$56="",$B53,DATE(YEAR($A53),MONTH($A53),MIN(Settings!$E$56,DAY($B53))))&gt;=MAX($A53,Settings!$F$56),IF(Settings!$E$56="",$B53,DATE(YEAR($A53),MONTH($A53),MIN(Settings!$E$56,DAY($B53))))&lt;=MIN($C53,IF(Settings!$G$56="",$C53,Settings!$G$56))),1,0)))</f>
        <v/>
      </c>
      <c r="BQ53">
        <f>IF(OR(Settings!$B$14="",$D53=1,$E53="pre",$A53&lt;IF(Settings!$B$15="",0,Settings!$B$15)),0,Settings!$B$14)</f>
        <v/>
      </c>
      <c r="BR53">
        <f>IF(AND('Month-End'!$AX$7&lt;&gt;"",NOT(_xlfn.ISFORMULA('Month-End'!$AX$7))),1,0)</f>
        <v/>
      </c>
      <c r="BS53">
        <f>IF(AND('Month-End'!$AX$8&lt;&gt;"",NOT(_xlfn.ISFORMULA('Month-End'!$AX$8))),1,0)</f>
        <v/>
      </c>
      <c r="BT53">
        <f>IF(AND('Month-End'!$AX$9&lt;&gt;"",NOT(_xlfn.ISFORMULA('Month-End'!$AX$9))),1,0)</f>
        <v/>
      </c>
      <c r="BU53">
        <f>IF(AND('Month-End'!$AX$10&lt;&gt;"",NOT(_xlfn.ISFORMULA('Month-End'!$AX$10))),1,0)</f>
        <v/>
      </c>
      <c r="BV53">
        <f>IF(AND('Month-End'!$AX$11&lt;&gt;"",NOT(_xlfn.ISFORMULA('Month-End'!$AX$11))),1,0)</f>
        <v/>
      </c>
      <c r="BW53">
        <f>IF(AND('Month-End'!$AX$12&lt;&gt;"",NOT(_xlfn.ISFORMULA('Month-End'!$AX$12))),1,0)</f>
        <v/>
      </c>
      <c r="BX53">
        <f>IF(AND('Month-End'!$AX$13&lt;&gt;"",NOT(_xlfn.ISFORMULA('Month-End'!$AX$13))),1,0)</f>
        <v/>
      </c>
      <c r="BY53">
        <f>IF(AND('Month-End'!$AX$14&lt;&gt;"",NOT(_xlfn.ISFORMULA('Month-End'!$AX$14))),1,0)</f>
        <v/>
      </c>
      <c r="BZ53">
        <f>IF(AND('Month-End'!$AX$15&lt;&gt;"",NOT(_xlfn.ISFORMULA('Month-End'!$AX$15))),1,0)</f>
        <v/>
      </c>
      <c r="CA53">
        <f>IF(AND('Month-End'!$AX$16&lt;&gt;"",NOT(_xlfn.ISFORMULA('Month-End'!$AX$16))),1,0)</f>
        <v/>
      </c>
      <c r="CB53">
        <f>IF(AND('Month-End'!$AX$17&lt;&gt;"",NOT(_xlfn.ISFORMULA('Month-End'!$AX$17))),1,0)</f>
        <v/>
      </c>
      <c r="CC53">
        <f>IF(AND('Month-End'!$AX$18&lt;&gt;"",NOT(_xlfn.ISFORMULA('Month-End'!$AX$18))),1,0)</f>
        <v/>
      </c>
      <c r="CD53">
        <f>IF(AND('Month-End'!$AX$19&lt;&gt;"",NOT(_xlfn.ISFORMULA('Month-End'!$AX$19))),1,0)</f>
        <v/>
      </c>
      <c r="CE53">
        <f>IF(AND('Month-End'!$AX$20&lt;&gt;"",NOT(_xlfn.ISFORMULA('Month-End'!$AX$20))),1,0)</f>
        <v/>
      </c>
      <c r="CF53">
        <f>IF(AND('Month-End'!$AX$38&lt;&gt;"",NOT(_xlfn.ISFORMULA('Month-End'!$AX$38))),1,0)</f>
        <v/>
      </c>
      <c r="CG53">
        <f>IF(AND('Month-End'!$AX$39&lt;&gt;"",NOT(_xlfn.ISFORMULA('Month-End'!$AX$39))),1,0)</f>
        <v/>
      </c>
      <c r="CH53">
        <f>IF(AND('Month-End'!$AX$40&lt;&gt;"",NOT(_xlfn.ISFORMULA('Month-End'!$AX$40))),1,0)</f>
        <v/>
      </c>
      <c r="CI53">
        <f>IF(AND('Month-End'!$AX$41&lt;&gt;"",NOT(_xlfn.ISFORMULA('Month-End'!$AX$41))),1,0)</f>
        <v/>
      </c>
      <c r="CJ53">
        <f>IF(AND('Month-End'!$AX$42&lt;&gt;"",NOT(_xlfn.ISFORMULA('Month-End'!$AX$42))),1,0)</f>
        <v/>
      </c>
      <c r="CK53">
        <f>IF(AND('Month-End'!$AX$43&lt;&gt;"",NOT(_xlfn.ISFORMULA('Month-End'!$AX$43))),1,0)</f>
        <v/>
      </c>
      <c r="CL53">
        <f>SUM($CM53:$CZ53)</f>
        <v/>
      </c>
      <c r="CM53">
        <f>IF(AND($E53&lt;&gt;"pre",AND(Settings!$A$19&lt;&gt;"",Settings!$E$19&lt;&gt;"No"),Settings!$F$19="Yes",NOT(AND('Month-End'!$AX$7&lt;&gt;"",NOT(_xlfn.ISFORMULA('Month-End'!$AX$7))))),1,0)</f>
        <v/>
      </c>
      <c r="CN53">
        <f>IF(AND($E53&lt;&gt;"pre",AND(Settings!$A$20&lt;&gt;"",Settings!$E$20&lt;&gt;"No"),Settings!$F$20="Yes",NOT(AND('Month-End'!$AX$8&lt;&gt;"",NOT(_xlfn.ISFORMULA('Month-End'!$AX$8))))),1,0)</f>
        <v/>
      </c>
      <c r="CO53">
        <f>IF(AND($E53&lt;&gt;"pre",AND(Settings!$A$21&lt;&gt;"",Settings!$E$21&lt;&gt;"No"),Settings!$F$21="Yes",NOT(AND('Month-End'!$AX$9&lt;&gt;"",NOT(_xlfn.ISFORMULA('Month-End'!$AX$9))))),1,0)</f>
        <v/>
      </c>
      <c r="CP53">
        <f>IF(AND($E53&lt;&gt;"pre",AND(Settings!$A$22&lt;&gt;"",Settings!$E$22&lt;&gt;"No"),Settings!$F$22="Yes",NOT(AND('Month-End'!$AX$10&lt;&gt;"",NOT(_xlfn.ISFORMULA('Month-End'!$AX$10))))),1,0)</f>
        <v/>
      </c>
      <c r="CQ53">
        <f>IF(AND($E53&lt;&gt;"pre",AND(Settings!$A$23&lt;&gt;"",Settings!$E$23&lt;&gt;"No"),Settings!$F$23="Yes",NOT(AND('Month-End'!$AX$11&lt;&gt;"",NOT(_xlfn.ISFORMULA('Month-End'!$AX$11))))),1,0)</f>
        <v/>
      </c>
      <c r="CR53">
        <f>IF(AND($E53&lt;&gt;"pre",AND(Settings!$A$24&lt;&gt;"",Settings!$E$24&lt;&gt;"No"),Settings!$F$24="Yes",NOT(AND('Month-End'!$AX$12&lt;&gt;"",NOT(_xlfn.ISFORMULA('Month-End'!$AX$12))))),1,0)</f>
        <v/>
      </c>
      <c r="CS53">
        <f>IF(AND($E53&lt;&gt;"pre",AND(Settings!$A$25&lt;&gt;"",Settings!$E$25&lt;&gt;"No"),Settings!$F$25="Yes",NOT(AND('Month-End'!$AX$13&lt;&gt;"",NOT(_xlfn.ISFORMULA('Month-End'!$AX$13))))),1,0)</f>
        <v/>
      </c>
      <c r="CT53">
        <f>IF(AND($E53&lt;&gt;"pre",AND(Settings!$A$26&lt;&gt;"",Settings!$E$26&lt;&gt;"No"),Settings!$F$26="Yes",NOT(AND('Month-End'!$AX$14&lt;&gt;"",NOT(_xlfn.ISFORMULA('Month-End'!$AX$14))))),1,0)</f>
        <v/>
      </c>
      <c r="CU53">
        <f>IF(AND($E53&lt;&gt;"pre",AND(Settings!$A$27&lt;&gt;"",Settings!$E$27&lt;&gt;"No"),Settings!$F$27="Yes",NOT(AND('Month-End'!$AX$15&lt;&gt;"",NOT(_xlfn.ISFORMULA('Month-End'!$AX$15))))),1,0)</f>
        <v/>
      </c>
      <c r="CV53">
        <f>IF(AND($E53&lt;&gt;"pre",AND(Settings!$A$28&lt;&gt;"",Settings!$E$28&lt;&gt;"No"),Settings!$F$28="Yes",NOT(AND('Month-End'!$AX$16&lt;&gt;"",NOT(_xlfn.ISFORMULA('Month-End'!$AX$16))))),1,0)</f>
        <v/>
      </c>
      <c r="CW53">
        <f>IF(AND($E53&lt;&gt;"pre",AND(Settings!$A$29&lt;&gt;"",Settings!$E$29&lt;&gt;"No"),Settings!$F$29="Yes",NOT(AND('Month-End'!$AX$17&lt;&gt;"",NOT(_xlfn.ISFORMULA('Month-End'!$AX$17))))),1,0)</f>
        <v/>
      </c>
      <c r="CX53">
        <f>IF(AND($E53&lt;&gt;"pre",AND(Settings!$A$30&lt;&gt;"",Settings!$E$30&lt;&gt;"No"),Settings!$F$30="Yes",NOT(AND('Month-End'!$AX$18&lt;&gt;"",NOT(_xlfn.ISFORMULA('Month-End'!$AX$18))))),1,0)</f>
        <v/>
      </c>
      <c r="CY53">
        <f>IF(AND($E53&lt;&gt;"pre",AND(Settings!$A$31&lt;&gt;"",Settings!$E$31&lt;&gt;"No"),Settings!$F$31="Yes",NOT(AND('Month-End'!$AX$19&lt;&gt;"",NOT(_xlfn.ISFORMULA('Month-End'!$AX$19))))),1,0)</f>
        <v/>
      </c>
      <c r="CZ53">
        <f>IF(AND($E53&lt;&gt;"pre",AND(Settings!$A$32&lt;&gt;"",Settings!$E$32&lt;&gt;"No"),Settings!$F$32="Yes",NOT(AND('Month-End'!$AX$20&lt;&gt;"",NOT(_xlfn.ISFORMULA('Month-End'!$AX$20))))),1,0)</f>
        <v/>
      </c>
      <c r="DA53">
        <f>IF($DT53=1,IF(OR(Settings!$B$19="Checking",Settings!$B$19="Savings",Settings!$B$19="Cash"),N($AE53),IF(OR(Settings!$B$19="Card",Settings!$B$19="Loan"),-N($AE53),0))+IF(OR(Settings!$B$20="Checking",Settings!$B$20="Savings",Settings!$B$20="Cash"),N($AF53),IF(OR(Settings!$B$20="Card",Settings!$B$20="Loan"),-N($AF53),0))+IF(OR(Settings!$B$21="Checking",Settings!$B$21="Savings",Settings!$B$21="Cash"),N($AG53),IF(OR(Settings!$B$21="Card",Settings!$B$21="Loan"),-N($AG53),0))+IF(OR(Settings!$B$22="Checking",Settings!$B$22="Savings",Settings!$B$22="Cash"),N($AH53),IF(OR(Settings!$B$22="Card",Settings!$B$22="Loan"),-N($AH53),0))+IF(OR(Settings!$B$23="Checking",Settings!$B$23="Savings",Settings!$B$23="Cash"),N($AI53),IF(OR(Settings!$B$23="Card",Settings!$B$23="Loan"),-N($AI53),0))+IF(OR(Settings!$B$24="Checking",Settings!$B$24="Savings",Settings!$B$24="Cash"),N($AJ53),IF(OR(Settings!$B$24="Card",Settings!$B$24="Loan"),-N($AJ53),0))+IF(OR(Settings!$B$25="Checking",Settings!$B$25="Savings",Settings!$B$25="Cash"),N($AK53),IF(OR(Settings!$B$25="Card",Settings!$B$25="Loan"),-N($AK53),0))+IF(OR(Settings!$B$26="Checking",Settings!$B$26="Savings",Settings!$B$26="Cash"),N($AL53),IF(OR(Settings!$B$26="Card",Settings!$B$26="Loan"),-N($AL53),0))+IF(OR(Settings!$B$27="Checking",Settings!$B$27="Savings",Settings!$B$27="Cash"),N($AM53),IF(OR(Settings!$B$27="Card",Settings!$B$27="Loan"),-N($AM53),0))+IF(OR(Settings!$B$28="Checking",Settings!$B$28="Savings",Settings!$B$28="Cash"),N($AN53),IF(OR(Settings!$B$28="Card",Settings!$B$28="Loan"),-N($AN53),0))+IF(OR(Settings!$B$29="Checking",Settings!$B$29="Savings",Settings!$B$29="Cash"),N($AO53),IF(OR(Settings!$B$29="Card",Settings!$B$29="Loan"),-N($AO53),0))+IF(OR(Settings!$B$30="Checking",Settings!$B$30="Savings",Settings!$B$30="Cash"),N($AP53),IF(OR(Settings!$B$30="Card",Settings!$B$30="Loan"),-N($AP53),0))+IF(OR(Settings!$B$31="Checking",Settings!$B$31="Savings",Settings!$B$31="Cash"),N($AQ53),IF(OR(Settings!$B$31="Card",Settings!$B$31="Loan"),-N($AQ53),0))+IF(OR(Settings!$B$32="Checking",Settings!$B$32="Savings",Settings!$B$32="Cash"),N($AR53),IF(OR(Settings!$B$32="Card",Settings!$B$32="Loan"),-N($AR53),0)),"")</f>
        <v/>
      </c>
      <c r="DB53">
        <f>IF($E53="open",$EB$27,IF($E53="post",IF($E52="pre",$EB$27,$DA52),""))</f>
        <v/>
      </c>
      <c r="DC53">
        <f>IF($E53="open",1,IF($E53="post",IF($E52="pre",1,$DT52),0))</f>
        <v/>
      </c>
      <c r="DD53">
        <f>IF(AND($DT53=1,$DC53=1),ROUND($W53-($DA53-$DB53)-$AD53-$AB53,2),"")</f>
        <v/>
      </c>
      <c r="DE53">
        <f>IF('Month-End'!$AX$35="",$BQ53,N('Month-End'!$AX$35))</f>
        <v/>
      </c>
      <c r="DF53">
        <f>N('Month-End'!$AX$36)</f>
        <v/>
      </c>
      <c r="DG53">
        <f>IF($DD53="","",$DD53+$DE53)</f>
        <v/>
      </c>
      <c r="DH53">
        <f>IF($DG53="","",$DG53-$DF53)</f>
        <v/>
      </c>
      <c r="DI53">
        <f>IF(OR($E53="pre",$D53=1),"",N($AS53)+N($AT53)+N($AU53)+N($AV53)+N($AW53)+N($AX53))</f>
        <v/>
      </c>
      <c r="DJ53">
        <f>IF($DT53=1,$DA53+N($DI53),"")</f>
        <v/>
      </c>
      <c r="DK53">
        <f>IF($DD53="","",$W53-$DD53-$AB53)</f>
        <v/>
      </c>
      <c r="DL53">
        <f>IF(AND($E53="post",$DD53&lt;&gt;"",$B53&lt;TODAY()),1,0)</f>
        <v/>
      </c>
      <c r="DM53">
        <f>IF($DL53=1,COUNTIF($DL53:$DL$183,1),0)</f>
        <v/>
      </c>
      <c r="DN53">
        <f>IF($D53=1,"",IF($E53="pre","History only",IF($DT53=1,IF($DD53="","⚠ Previous month missing",IF($DD53&lt;0,"⚠ Check: spending &lt; 0",IF($E53="open","✓ Done (partial)","✓ Done"))),IF($B53&gt;=TODAY(),"In progress","⚠ Needs balances"))))</f>
        <v/>
      </c>
      <c r="DO53">
        <f>YEAR($A53)</f>
        <v/>
      </c>
      <c r="DP53">
        <f>DATE(YEAR($A53),INT((MONTH($A53)-1)/3)*3+1,1)</f>
        <v/>
      </c>
      <c r="DQ53">
        <f>IF(AND($DT53=1,$DD53&lt;&gt;"",$D53=0),ROW(),0)</f>
        <v/>
      </c>
      <c r="DR53">
        <f>IF(AND($E53&lt;&gt;"pre",$B53&lt;TODAY(),$DT53=0),1,0)</f>
        <v/>
      </c>
      <c r="DS53">
        <f>IF($DJ53="",NA(),$DJ53)</f>
        <v/>
      </c>
      <c r="DT53">
        <f>IF(AND($E53&lt;&gt;"pre",$CL53=0,COUNTIFS(Settings!$F$19:$F$32,"Yes",Settings!$A$19:$A$32,"&lt;&gt;",Settings!$E$19:$E$32,"&lt;&gt;No")&gt;0),1,0)</f>
        <v/>
      </c>
      <c r="DU53">
        <f>IF(AND($B53&lt;TODAY(),$S53&gt;0),1,0)</f>
        <v/>
      </c>
      <c r="DV53">
        <f>IF($DU53=1,COUNTIF($DU53:$DU$183,1),0)</f>
        <v/>
      </c>
      <c r="DW53">
        <f>IF(AND(OR(Settings!$B$19="Card",Settings!$B$19="Loan"),AND('Month-End'!$AX$7&lt;&gt;"",NOT(_xlfn.ISFORMULA('Month-End'!$AX$7)))),IF(N('Month-End'!$AX$7)&lt;0,1,0),0)+IF(AND(OR(Settings!$B$20="Card",Settings!$B$20="Loan"),AND('Month-End'!$AX$8&lt;&gt;"",NOT(_xlfn.ISFORMULA('Month-End'!$AX$8)))),IF(N('Month-End'!$AX$8)&lt;0,1,0),0)+IF(AND(OR(Settings!$B$21="Card",Settings!$B$21="Loan"),AND('Month-End'!$AX$9&lt;&gt;"",NOT(_xlfn.ISFORMULA('Month-End'!$AX$9)))),IF(N('Month-End'!$AX$9)&lt;0,1,0),0)+IF(AND(OR(Settings!$B$22="Card",Settings!$B$22="Loan"),AND('Month-End'!$AX$10&lt;&gt;"",NOT(_xlfn.ISFORMULA('Month-End'!$AX$10)))),IF(N('Month-End'!$AX$10)&lt;0,1,0),0)+IF(AND(OR(Settings!$B$23="Card",Settings!$B$23="Loan"),AND('Month-End'!$AX$11&lt;&gt;"",NOT(_xlfn.ISFORMULA('Month-End'!$AX$11)))),IF(N('Month-End'!$AX$11)&lt;0,1,0),0)+IF(AND(OR(Settings!$B$24="Card",Settings!$B$24="Loan"),AND('Month-End'!$AX$12&lt;&gt;"",NOT(_xlfn.ISFORMULA('Month-End'!$AX$12)))),IF(N('Month-End'!$AX$12)&lt;0,1,0),0)+IF(AND(OR(Settings!$B$25="Card",Settings!$B$25="Loan"),AND('Month-End'!$AX$13&lt;&gt;"",NOT(_xlfn.ISFORMULA('Month-End'!$AX$13)))),IF(N('Month-End'!$AX$13)&lt;0,1,0),0)+IF(AND(OR(Settings!$B$26="Card",Settings!$B$26="Loan"),AND('Month-End'!$AX$14&lt;&gt;"",NOT(_xlfn.ISFORMULA('Month-End'!$AX$14)))),IF(N('Month-End'!$AX$14)&lt;0,1,0),0)+IF(AND(OR(Settings!$B$27="Card",Settings!$B$27="Loan"),AND('Month-End'!$AX$15&lt;&gt;"",NOT(_xlfn.ISFORMULA('Month-End'!$AX$15)))),IF(N('Month-End'!$AX$15)&lt;0,1,0),0)+IF(AND(OR(Settings!$B$28="Card",Settings!$B$28="Loan"),AND('Month-End'!$AX$16&lt;&gt;"",NOT(_xlfn.ISFORMULA('Month-End'!$AX$16)))),IF(N('Month-End'!$AX$16)&lt;0,1,0),0)+IF(AND(OR(Settings!$B$29="Card",Settings!$B$29="Loan"),AND('Month-End'!$AX$17&lt;&gt;"",NOT(_xlfn.ISFORMULA('Month-End'!$AX$17)))),IF(N('Month-End'!$AX$17)&lt;0,1,0),0)+IF(AND(OR(Settings!$B$30="Card",Settings!$B$30="Loan"),AND('Month-End'!$AX$18&lt;&gt;"",NOT(_xlfn.ISFORMULA('Month-End'!$AX$18)))),IF(N('Month-End'!$AX$18)&lt;0,1,0),0)+IF(AND(OR(Settings!$B$31="Card",Settings!$B$31="Loan"),AND('Month-End'!$AX$19&lt;&gt;"",NOT(_xlfn.ISFORMULA('Month-End'!$AX$19)))),IF(N('Month-End'!$AX$19)&lt;0,1,0),0)+IF(AND(OR(Settings!$B$32="Card",Settings!$B$32="Loan"),AND('Month-End'!$AX$20&lt;&gt;"",NOT(_xlfn.ISFORMULA('Month-End'!$AX$20)))),IF(N('Month-End'!$AX$20)&lt;0,1,0),0)</f>
        <v/>
      </c>
      <c r="DX53">
        <f>IF(Settings!$B$36="Retirement",$AY53,0)+IF(Settings!$B$37="Retirement",$AZ53,0)+IF(Settings!$B$38="Retirement",$BA53,0)+IF(Settings!$B$39="Retirement",$BB53,0)+IF(Settings!$B$40="Retirement",$BC53,0)+IF(Settings!$B$41="Retirement",$BD53,0)</f>
        <v/>
      </c>
      <c r="EA53">
        <f>IF(Settings!$A$32="","",Settings!$A$32)</f>
        <v/>
      </c>
      <c r="EB53">
        <f>IF(Settings!$A$32="","",IF($EB$5=0,N(Settings!$C$32),N(INDEX($AR:$AR,$EB$5))))</f>
        <v/>
      </c>
      <c r="EC53">
        <f>""</f>
        <v/>
      </c>
      <c r="ED53">
        <f>IF(AND(AND(Settings!$A$32&lt;&gt;"",Settings!$E$32&lt;&gt;"No"),Settings!$B$32="Cash",Settings!$B$5&lt;EDATE(TODAY(),-6),COUNTIFS($CE$6:$CE$183,1,$A$6:$A$183,"&gt;="&amp;EDATE(TODAY(),-6))=0),1,0)</f>
        <v/>
      </c>
      <c r="EI53">
        <f>IF(AND(Settings!$A$32&lt;&gt;"",Settings!$E$32&lt;&gt;"No"),COUNTIFS($EK$40:$EK53,1),"")</f>
        <v/>
      </c>
      <c r="EJ53">
        <f>IF(Settings!$A$32="","",Settings!$B$32)</f>
        <v/>
      </c>
      <c r="EK53">
        <f>IF(AND(Settings!$A$32&lt;&gt;"",Settings!$E$32&lt;&gt;"No"),1,0)</f>
        <v/>
      </c>
      <c r="EL53">
        <f>IF(Settings!$A$32="","",IF(OR(Settings!$B$32="Card",Settings!$B$32="Loan"),-N(EB53),N(EB53)))</f>
        <v/>
      </c>
      <c r="EM53">
        <f>IF(Settings!$A$32="","",IF(Settings!$D$32="Yes","estimate",""))</f>
        <v/>
      </c>
      <c r="ET53">
        <f>IF($E53&lt;&gt;"open",0,IF(AND('Month-End'!$AX$22&lt;&gt;"",NOT(_xlfn.ISFORMULA('Month-End'!$AX$22))),0,IF(OR(Settings!$C$45="",Settings!$D$45=""),0,Settings!$C$45*IF(Settings!$D$45="Weekly",IF(IFERROR(MATCH(Settings!$E$45,$EO$4:$EO$10,0),0)=0,0,IF(MIN(Settings!$B$5,IF(Settings!$G$45="",Settings!$B$5,Settings!$G$45))&lt;MAX($A53,Settings!$F$45),0,INT((MIN(Settings!$B$5,IF(Settings!$G$45="",Settings!$B$5,Settings!$G$45))-MAX($A53,Settings!$F$45)-MOD(IFERROR(MATCH(Settings!$E$45,$EO$4:$EO$10,0),0)-WEEKDAY(MAX($A53,Settings!$F$45)),7))/7)+1)),IF(AND(IF(Settings!$E$45="",$B53,DATE(YEAR($A53),MONTH($A53),MIN(Settings!$E$45,DAY($B53))))&gt;=MAX($A53,Settings!$F$45),IF(Settings!$E$45="",$B53,DATE(YEAR($A53),MONTH($A53),MIN(Settings!$E$45,DAY($B53))))&lt;=MIN(Settings!$B$5,IF(Settings!$G$45="",Settings!$B$5,Settings!$G$45))),1,0)))))</f>
        <v/>
      </c>
      <c r="EU53">
        <f>IF($E53&lt;&gt;"open",0,IF(AND('Month-End'!$AX$23&lt;&gt;"",NOT(_xlfn.ISFORMULA('Month-End'!$AX$23))),0,IF(OR(Settings!$C$46="",Settings!$D$46=""),0,Settings!$C$46*IF(Settings!$D$46="Weekly",IF(IFERROR(MATCH(Settings!$E$46,$EO$4:$EO$10,0),0)=0,0,IF(MIN(Settings!$B$5,IF(Settings!$G$46="",Settings!$B$5,Settings!$G$46))&lt;MAX($A53,Settings!$F$46),0,INT((MIN(Settings!$B$5,IF(Settings!$G$46="",Settings!$B$5,Settings!$G$46))-MAX($A53,Settings!$F$46)-MOD(IFERROR(MATCH(Settings!$E$46,$EO$4:$EO$10,0),0)-WEEKDAY(MAX($A53,Settings!$F$46)),7))/7)+1)),IF(AND(IF(Settings!$E$46="",$B53,DATE(YEAR($A53),MONTH($A53),MIN(Settings!$E$46,DAY($B53))))&gt;=MAX($A53,Settings!$F$46),IF(Settings!$E$46="",$B53,DATE(YEAR($A53),MONTH($A53),MIN(Settings!$E$46,DAY($B53))))&lt;=MIN(Settings!$B$5,IF(Settings!$G$46="",Settings!$B$5,Settings!$G$46))),1,0)))))</f>
        <v/>
      </c>
      <c r="EV53">
        <f>IF($E53&lt;&gt;"open",0,IF(AND('Month-End'!$AX$24&lt;&gt;"",NOT(_xlfn.ISFORMULA('Month-End'!$AX$24))),0,IF(OR(Settings!$C$47="",Settings!$D$47=""),0,Settings!$C$47*IF(Settings!$D$47="Weekly",IF(IFERROR(MATCH(Settings!$E$47,$EO$4:$EO$10,0),0)=0,0,IF(MIN(Settings!$B$5,IF(Settings!$G$47="",Settings!$B$5,Settings!$G$47))&lt;MAX($A53,Settings!$F$47),0,INT((MIN(Settings!$B$5,IF(Settings!$G$47="",Settings!$B$5,Settings!$G$47))-MAX($A53,Settings!$F$47)-MOD(IFERROR(MATCH(Settings!$E$47,$EO$4:$EO$10,0),0)-WEEKDAY(MAX($A53,Settings!$F$47)),7))/7)+1)),IF(AND(IF(Settings!$E$47="",$B53,DATE(YEAR($A53),MONTH($A53),MIN(Settings!$E$47,DAY($B53))))&gt;=MAX($A53,Settings!$F$47),IF(Settings!$E$47="",$B53,DATE(YEAR($A53),MONTH($A53),MIN(Settings!$E$47,DAY($B53))))&lt;=MIN(Settings!$B$5,IF(Settings!$G$47="",Settings!$B$5,Settings!$G$47))),1,0)))))</f>
        <v/>
      </c>
      <c r="EW53">
        <f>IF($E53&lt;&gt;"open",0,IF(AND('Month-End'!$AX$25&lt;&gt;"",NOT(_xlfn.ISFORMULA('Month-End'!$AX$25))),0,IF(OR(Settings!$C$48="",Settings!$D$48=""),0,Settings!$C$48*IF(Settings!$D$48="Weekly",IF(IFERROR(MATCH(Settings!$E$48,$EO$4:$EO$10,0),0)=0,0,IF(MIN(Settings!$B$5,IF(Settings!$G$48="",Settings!$B$5,Settings!$G$48))&lt;MAX($A53,Settings!$F$48),0,INT((MIN(Settings!$B$5,IF(Settings!$G$48="",Settings!$B$5,Settings!$G$48))-MAX($A53,Settings!$F$48)-MOD(IFERROR(MATCH(Settings!$E$48,$EO$4:$EO$10,0),0)-WEEKDAY(MAX($A53,Settings!$F$48)),7))/7)+1)),IF(AND(IF(Settings!$E$48="",$B53,DATE(YEAR($A53),MONTH($A53),MIN(Settings!$E$48,DAY($B53))))&gt;=MAX($A53,Settings!$F$48),IF(Settings!$E$48="",$B53,DATE(YEAR($A53),MONTH($A53),MIN(Settings!$E$48,DAY($B53))))&lt;=MIN(Settings!$B$5,IF(Settings!$G$48="",Settings!$B$5,Settings!$G$48))),1,0)))))</f>
        <v/>
      </c>
      <c r="EX53">
        <f>IF($E53&lt;&gt;"open",0,IF(AND('Month-End'!$AX$26&lt;&gt;"",NOT(_xlfn.ISFORMULA('Month-End'!$AX$26))),0,IF(OR(Settings!$C$49="",Settings!$D$49=""),0,Settings!$C$49*IF(Settings!$D$49="Weekly",IF(IFERROR(MATCH(Settings!$E$49,$EO$4:$EO$10,0),0)=0,0,IF(MIN(Settings!$B$5,IF(Settings!$G$49="",Settings!$B$5,Settings!$G$49))&lt;MAX($A53,Settings!$F$49),0,INT((MIN(Settings!$B$5,IF(Settings!$G$49="",Settings!$B$5,Settings!$G$49))-MAX($A53,Settings!$F$49)-MOD(IFERROR(MATCH(Settings!$E$49,$EO$4:$EO$10,0),0)-WEEKDAY(MAX($A53,Settings!$F$49)),7))/7)+1)),IF(AND(IF(Settings!$E$49="",$B53,DATE(YEAR($A53),MONTH($A53),MIN(Settings!$E$49,DAY($B53))))&gt;=MAX($A53,Settings!$F$49),IF(Settings!$E$49="",$B53,DATE(YEAR($A53),MONTH($A53),MIN(Settings!$E$49,DAY($B53))))&lt;=MIN(Settings!$B$5,IF(Settings!$G$49="",Settings!$B$5,Settings!$G$49))),1,0)))))</f>
        <v/>
      </c>
      <c r="EY53">
        <f>IF($E53&lt;&gt;"open",0,IF(AND('Month-End'!$AX$27&lt;&gt;"",NOT(_xlfn.ISFORMULA('Month-End'!$AX$27))),0,IF(OR(Settings!$C$50="",Settings!$D$50=""),0,Settings!$C$50*IF(Settings!$D$50="Weekly",IF(IFERROR(MATCH(Settings!$E$50,$EO$4:$EO$10,0),0)=0,0,IF(MIN(Settings!$B$5,IF(Settings!$G$50="",Settings!$B$5,Settings!$G$50))&lt;MAX($A53,Settings!$F$50),0,INT((MIN(Settings!$B$5,IF(Settings!$G$50="",Settings!$B$5,Settings!$G$50))-MAX($A53,Settings!$F$50)-MOD(IFERROR(MATCH(Settings!$E$50,$EO$4:$EO$10,0),0)-WEEKDAY(MAX($A53,Settings!$F$50)),7))/7)+1)),IF(AND(IF(Settings!$E$50="",$B53,DATE(YEAR($A53),MONTH($A53),MIN(Settings!$E$50,DAY($B53))))&gt;=MAX($A53,Settings!$F$50),IF(Settings!$E$50="",$B53,DATE(YEAR($A53),MONTH($A53),MIN(Settings!$E$50,DAY($B53))))&lt;=MIN(Settings!$B$5,IF(Settings!$G$50="",Settings!$B$5,Settings!$G$50))),1,0)))))</f>
        <v/>
      </c>
      <c r="EZ53">
        <f>IF($E53&lt;&gt;"open",0,IF(AND('Month-End'!$AX$28&lt;&gt;"",NOT(_xlfn.ISFORMULA('Month-End'!$AX$28))),0,IF(OR(Settings!$C$51="",Settings!$D$51=""),0,Settings!$C$51*IF(Settings!$D$51="Weekly",IF(IFERROR(MATCH(Settings!$E$51,$EO$4:$EO$10,0),0)=0,0,IF(MIN(Settings!$B$5,IF(Settings!$G$51="",Settings!$B$5,Settings!$G$51))&lt;MAX($A53,Settings!$F$51),0,INT((MIN(Settings!$B$5,IF(Settings!$G$51="",Settings!$B$5,Settings!$G$51))-MAX($A53,Settings!$F$51)-MOD(IFERROR(MATCH(Settings!$E$51,$EO$4:$EO$10,0),0)-WEEKDAY(MAX($A53,Settings!$F$51)),7))/7)+1)),IF(AND(IF(Settings!$E$51="",$B53,DATE(YEAR($A53),MONTH($A53),MIN(Settings!$E$51,DAY($B53))))&gt;=MAX($A53,Settings!$F$51),IF(Settings!$E$51="",$B53,DATE(YEAR($A53),MONTH($A53),MIN(Settings!$E$51,DAY($B53))))&lt;=MIN(Settings!$B$5,IF(Settings!$G$51="",Settings!$B$5,Settings!$G$51))),1,0)))))</f>
        <v/>
      </c>
      <c r="FA53">
        <f>IF($E53&lt;&gt;"open",0,IF(AND('Month-End'!$AX$29&lt;&gt;"",NOT(_xlfn.ISFORMULA('Month-End'!$AX$29))),0,IF(OR(Settings!$C$52="",Settings!$D$52=""),0,Settings!$C$52*IF(Settings!$D$52="Weekly",IF(IFERROR(MATCH(Settings!$E$52,$EO$4:$EO$10,0),0)=0,0,IF(MIN(Settings!$B$5,IF(Settings!$G$52="",Settings!$B$5,Settings!$G$52))&lt;MAX($A53,Settings!$F$52),0,INT((MIN(Settings!$B$5,IF(Settings!$G$52="",Settings!$B$5,Settings!$G$52))-MAX($A53,Settings!$F$52)-MOD(IFERROR(MATCH(Settings!$E$52,$EO$4:$EO$10,0),0)-WEEKDAY(MAX($A53,Settings!$F$52)),7))/7)+1)),IF(AND(IF(Settings!$E$52="",$B53,DATE(YEAR($A53),MONTH($A53),MIN(Settings!$E$52,DAY($B53))))&gt;=MAX($A53,Settings!$F$52),IF(Settings!$E$52="",$B53,DATE(YEAR($A53),MONTH($A53),MIN(Settings!$E$52,DAY($B53))))&lt;=MIN(Settings!$B$5,IF(Settings!$G$52="",Settings!$B$5,Settings!$G$52))),1,0)))))</f>
        <v/>
      </c>
      <c r="FB53">
        <f>IF($E53&lt;&gt;"open",0,IF(AND('Month-End'!$AX$30&lt;&gt;"",NOT(_xlfn.ISFORMULA('Month-End'!$AX$30))),0,IF(OR(Settings!$C$53="",Settings!$D$53=""),0,Settings!$C$53*IF(Settings!$D$53="Weekly",IF(IFERROR(MATCH(Settings!$E$53,$EO$4:$EO$10,0),0)=0,0,IF(MIN(Settings!$B$5,IF(Settings!$G$53="",Settings!$B$5,Settings!$G$53))&lt;MAX($A53,Settings!$F$53),0,INT((MIN(Settings!$B$5,IF(Settings!$G$53="",Settings!$B$5,Settings!$G$53))-MAX($A53,Settings!$F$53)-MOD(IFERROR(MATCH(Settings!$E$53,$EO$4:$EO$10,0),0)-WEEKDAY(MAX($A53,Settings!$F$53)),7))/7)+1)),IF(AND(IF(Settings!$E$53="",$B53,DATE(YEAR($A53),MONTH($A53),MIN(Settings!$E$53,DAY($B53))))&gt;=MAX($A53,Settings!$F$53),IF(Settings!$E$53="",$B53,DATE(YEAR($A53),MONTH($A53),MIN(Settings!$E$53,DAY($B53))))&lt;=MIN(Settings!$B$5,IF(Settings!$G$53="",Settings!$B$5,Settings!$G$53))),1,0)))))</f>
        <v/>
      </c>
      <c r="FC53">
        <f>IF($E53&lt;&gt;"open",0,IF(AND('Month-End'!$AX$31&lt;&gt;"",NOT(_xlfn.ISFORMULA('Month-End'!$AX$31))),0,IF(OR(Settings!$C$54="",Settings!$D$54=""),0,Settings!$C$54*IF(Settings!$D$54="Weekly",IF(IFERROR(MATCH(Settings!$E$54,$EO$4:$EO$10,0),0)=0,0,IF(MIN(Settings!$B$5,IF(Settings!$G$54="",Settings!$B$5,Settings!$G$54))&lt;MAX($A53,Settings!$F$54),0,INT((MIN(Settings!$B$5,IF(Settings!$G$54="",Settings!$B$5,Settings!$G$54))-MAX($A53,Settings!$F$54)-MOD(IFERROR(MATCH(Settings!$E$54,$EO$4:$EO$10,0),0)-WEEKDAY(MAX($A53,Settings!$F$54)),7))/7)+1)),IF(AND(IF(Settings!$E$54="",$B53,DATE(YEAR($A53),MONTH($A53),MIN(Settings!$E$54,DAY($B53))))&gt;=MAX($A53,Settings!$F$54),IF(Settings!$E$54="",$B53,DATE(YEAR($A53),MONTH($A53),MIN(Settings!$E$54,DAY($B53))))&lt;=MIN(Settings!$B$5,IF(Settings!$G$54="",Settings!$B$5,Settings!$G$54))),1,0)))))</f>
        <v/>
      </c>
      <c r="FD53">
        <f>IF($E53&lt;&gt;"open",0,IF(AND('Month-End'!$AX$32&lt;&gt;"",NOT(_xlfn.ISFORMULA('Month-End'!$AX$32))),0,IF(OR(Settings!$C$55="",Settings!$D$55=""),0,Settings!$C$55*IF(Settings!$D$55="Weekly",IF(IFERROR(MATCH(Settings!$E$55,$EO$4:$EO$10,0),0)=0,0,IF(MIN(Settings!$B$5,IF(Settings!$G$55="",Settings!$B$5,Settings!$G$55))&lt;MAX($A53,Settings!$F$55),0,INT((MIN(Settings!$B$5,IF(Settings!$G$55="",Settings!$B$5,Settings!$G$55))-MAX($A53,Settings!$F$55)-MOD(IFERROR(MATCH(Settings!$E$55,$EO$4:$EO$10,0),0)-WEEKDAY(MAX($A53,Settings!$F$55)),7))/7)+1)),IF(AND(IF(Settings!$E$55="",$B53,DATE(YEAR($A53),MONTH($A53),MIN(Settings!$E$55,DAY($B53))))&gt;=MAX($A53,Settings!$F$55),IF(Settings!$E$55="",$B53,DATE(YEAR($A53),MONTH($A53),MIN(Settings!$E$55,DAY($B53))))&lt;=MIN(Settings!$B$5,IF(Settings!$G$55="",Settings!$B$5,Settings!$G$55))),1,0)))))</f>
        <v/>
      </c>
      <c r="FE53">
        <f>IF($E53&lt;&gt;"open",0,IF(AND('Month-End'!$AX$33&lt;&gt;"",NOT(_xlfn.ISFORMULA('Month-End'!$AX$33))),0,IF(OR(Settings!$C$56="",Settings!$D$56=""),0,Settings!$C$56*IF(Settings!$D$56="Weekly",IF(IFERROR(MATCH(Settings!$E$56,$EO$4:$EO$10,0),0)=0,0,IF(MIN(Settings!$B$5,IF(Settings!$G$56="",Settings!$B$5,Settings!$G$56))&lt;MAX($A53,Settings!$F$56),0,INT((MIN(Settings!$B$5,IF(Settings!$G$56="",Settings!$B$5,Settings!$G$56))-MAX($A53,Settings!$F$56)-MOD(IFERROR(MATCH(Settings!$E$56,$EO$4:$EO$10,0),0)-WEEKDAY(MAX($A53,Settings!$F$56)),7))/7)+1)),IF(AND(IF(Settings!$E$56="",$B53,DATE(YEAR($A53),MONTH($A53),MIN(Settings!$E$56,DAY($B53))))&gt;=MAX($A53,Settings!$F$56),IF(Settings!$E$56="",$B53,DATE(YEAR($A53),MONTH($A53),MIN(Settings!$E$56,DAY($B53))))&lt;=MIN(Settings!$B$5,IF(Settings!$G$56="",Settings!$B$5,Settings!$G$56))),1,0)))))</f>
        <v/>
      </c>
      <c r="FF53">
        <f>IF(Settings!$I$45="Yes",$G53,0)+IF(Settings!$I$46="Yes",$H53,0)+IF(Settings!$I$47="Yes",$I53,0)+IF(Settings!$I$48="Yes",$J53,0)+IF(Settings!$I$49="Yes",$K53,0)+IF(Settings!$I$50="Yes",$L53,0)+IF(Settings!$I$51="Yes",$M53,0)+IF(Settings!$I$52="Yes",$N53,0)+IF(Settings!$I$53="Yes",$O53,0)+IF(Settings!$I$54="Yes",$P53,0)+IF(Settings!$I$55="Yes",$Q53,0)+IF(Settings!$I$56="Yes",$R53,0)</f>
        <v/>
      </c>
      <c r="FG53">
        <f>IF(AND(Settings!$I$45="Yes",Settings!$J$45="No"),$G53,0)+IF(AND(Settings!$I$46="Yes",Settings!$J$46="No"),$H53,0)+IF(AND(Settings!$I$47="Yes",Settings!$J$47="No"),$I53,0)+IF(AND(Settings!$I$48="Yes",Settings!$J$48="No"),$J53,0)+IF(AND(Settings!$I$49="Yes",Settings!$J$49="No"),$K53,0)+IF(AND(Settings!$I$50="Yes",Settings!$J$50="No"),$L53,0)+IF(AND(Settings!$I$51="Yes",Settings!$J$51="No"),$M53,0)+IF(AND(Settings!$I$52="Yes",Settings!$J$52="No"),$N53,0)+IF(AND(Settings!$I$53="Yes",Settings!$J$53="No"),$O53,0)+IF(AND(Settings!$I$54="Yes",Settings!$J$54="No"),$P53,0)+IF(AND(Settings!$I$55="Yes",Settings!$J$55="No"),$Q53,0)+IF(AND(Settings!$I$56="Yes",Settings!$J$56="No"),$R53,0)</f>
        <v/>
      </c>
      <c r="FH53">
        <f>SUMIFS(Giving!$B$7:$B$2006,Giving!$A$7:$A$2006,"&gt;="&amp;$A53,Giving!$A$7:$A$2006,"&lt;="&amp;$B53,Giving!$G$7:$G$2006,"Yes")+IF(OR(OR(Settings!$B$60="",Settings!$F$60="No"),Settings!$H$60&lt;&gt;"Yes"),0,Settings!$B$60*IF(AND(IF(Settings!$C$60="",$B53,DATE(YEAR($A53),MONTH($A53),MIN(Settings!$C$60,DAY($B53))))&gt;=MAX($A53,Settings!$D$60),IF(Settings!$C$60="",$B53,DATE(YEAR($A53),MONTH($A53),MIN(Settings!$C$60,DAY($B53))))&lt;=MIN($C53,IF(Settings!$E$60="",$C53,Settings!$E$60))),1,0))+IF(OR(OR(Settings!$B$61="",Settings!$F$61="No"),Settings!$H$61&lt;&gt;"Yes"),0,Settings!$B$61*IF(AND(IF(Settings!$C$61="",$B53,DATE(YEAR($A53),MONTH($A53),MIN(Settings!$C$61,DAY($B53))))&gt;=MAX($A53,Settings!$D$61),IF(Settings!$C$61="",$B53,DATE(YEAR($A53),MONTH($A53),MIN(Settings!$C$61,DAY($B53))))&lt;=MIN($C53,IF(Settings!$E$61="",$C53,Settings!$E$61))),1,0))+IF(OR(OR(Settings!$B$62="",Settings!$F$62="No"),Settings!$H$62&lt;&gt;"Yes"),0,Settings!$B$62*IF(AND(IF(Settings!$C$62="",$B53,DATE(YEAR($A53),MONTH($A53),MIN(Settings!$C$62,DAY($B53))))&gt;=MAX($A53,Settings!$D$62),IF(Settings!$C$62="",$B53,DATE(YEAR($A53),MONTH($A53),MIN(Settings!$C$62,DAY($B53))))&lt;=MIN($C53,IF(Settings!$E$62="",$C53,Settings!$E$62))),1,0))+IF(OR(OR(Settings!$B$63="",Settings!$F$63="No"),Settings!$H$63&lt;&gt;"Yes"),0,Settings!$B$63*IF(AND(IF(Settings!$C$63="",$B53,DATE(YEAR($A53),MONTH($A53),MIN(Settings!$C$63,DAY($B53))))&gt;=MAX($A53,Settings!$D$63),IF(Settings!$C$63="",$B53,DATE(YEAR($A53),MONTH($A53),MIN(Settings!$C$63,DAY($B53))))&lt;=MIN($C53,IF(Settings!$E$63="",$C53,Settings!$E$63))),1,0))+IF(OR(OR(Settings!$B$64="",Settings!$F$64="No"),Settings!$H$64&lt;&gt;"Yes"),0,Settings!$B$64*IF(AND(IF(Settings!$C$64="",$B53,DATE(YEAR($A53),MONTH($A53),MIN(Settings!$C$64,DAY($B53))))&gt;=MAX($A53,Settings!$D$64),IF(Settings!$C$64="",$B53,DATE(YEAR($A53),MONTH($A53),MIN(Settings!$C$64,DAY($B53))))&lt;=MIN($C53,IF(Settings!$E$64="",$C53,Settings!$E$64))),1,0))+IF(OR(OR(Settings!$B$65="",Settings!$F$65="No"),Settings!$H$65&lt;&gt;"Yes"),0,Settings!$B$65*IF(AND(IF(Settings!$C$65="",$B53,DATE(YEAR($A53),MONTH($A53),MIN(Settings!$C$65,DAY($B53))))&gt;=MAX($A53,Settings!$D$65),IF(Settings!$C$65="",$B53,DATE(YEAR($A53),MONTH($A53),MIN(Settings!$C$65,DAY($B53))))&lt;=MIN($C53,IF(Settings!$E$65="",$C53,Settings!$E$65))),1,0))</f>
        <v/>
      </c>
      <c r="FI53">
        <f>IF($DT53=1,IF(OR(Settings!$B$19="Card",Settings!$B$19="Loan"),N($AE53),0)+IF(OR(Settings!$B$20="Card",Settings!$B$20="Loan"),N($AF53),0)+IF(OR(Settings!$B$21="Card",Settings!$B$21="Loan"),N($AG53),0)+IF(OR(Settings!$B$22="Card",Settings!$B$22="Loan"),N($AH53),0)+IF(OR(Settings!$B$23="Card",Settings!$B$23="Loan"),N($AI53),0)+IF(OR(Settings!$B$24="Card",Settings!$B$24="Loan"),N($AJ53),0)+IF(OR(Settings!$B$25="Card",Settings!$B$25="Loan"),N($AK53),0)+IF(OR(Settings!$B$26="Card",Settings!$B$26="Loan"),N($AL53),0)+IF(OR(Settings!$B$27="Card",Settings!$B$27="Loan"),N($AM53),0)+IF(OR(Settings!$B$28="Card",Settings!$B$28="Loan"),N($AN53),0)+IF(OR(Settings!$B$29="Card",Settings!$B$29="Loan"),N($AO53),0)+IF(OR(Settings!$B$30="Card",Settings!$B$30="Loan"),N($AP53),0)+IF(OR(Settings!$B$31="Card",Settings!$B$31="Loan"),N($AQ53),0)+IF(OR(Settings!$B$32="Card",Settings!$B$32="Loan"),N($AR53),0),"")</f>
        <v/>
      </c>
      <c r="FJ53">
        <f>IF($E53="open",$EB$65,IF($E53="post",IF($E52="pre",$EB$65,$FI52),""))</f>
        <v/>
      </c>
      <c r="FK53">
        <f>IF(AND($DT53=1,$DC53=1),IF(ROUND($FI53-$FJ53,2)&gt;0,1,0),0)</f>
        <v/>
      </c>
      <c r="FL53">
        <f>IF($FK53=1,$FL52+1,0)</f>
        <v/>
      </c>
    </row>
    <row r="54">
      <c r="A54">
        <f>'Month-End'!$AY$4</f>
        <v/>
      </c>
      <c r="B54">
        <f>EOMONTH($A54,0)</f>
        <v/>
      </c>
      <c r="C54">
        <f>MIN($B54,TODAY())</f>
        <v/>
      </c>
      <c r="D54">
        <f>IF($A54&gt;TODAY(),1,0)</f>
        <v/>
      </c>
      <c r="E54">
        <f>IF($B54&lt;=Settings!$B$5,"pre",IF($A54&lt;=Settings!$B$5,"open","post"))</f>
        <v/>
      </c>
      <c r="G54">
        <f>IF('Month-End'!$AY$22="",$BE54,N('Month-End'!$AY$22))</f>
        <v/>
      </c>
      <c r="H54">
        <f>IF('Month-End'!$AY$23="",$BF54,N('Month-End'!$AY$23))</f>
        <v/>
      </c>
      <c r="I54">
        <f>IF('Month-End'!$AY$24="",$BG54,N('Month-End'!$AY$24))</f>
        <v/>
      </c>
      <c r="J54">
        <f>IF('Month-End'!$AY$25="",$BH54,N('Month-End'!$AY$25))</f>
        <v/>
      </c>
      <c r="K54">
        <f>IF('Month-End'!$AY$26="",$BI54,N('Month-End'!$AY$26))</f>
        <v/>
      </c>
      <c r="L54">
        <f>IF('Month-End'!$AY$27="",$BJ54,N('Month-End'!$AY$27))</f>
        <v/>
      </c>
      <c r="M54">
        <f>IF('Month-End'!$AY$28="",$BK54,N('Month-End'!$AY$28))</f>
        <v/>
      </c>
      <c r="N54">
        <f>IF('Month-End'!$AY$29="",$BL54,N('Month-End'!$AY$29))</f>
        <v/>
      </c>
      <c r="O54">
        <f>IF('Month-End'!$AY$30="",$BM54,N('Month-End'!$AY$30))</f>
        <v/>
      </c>
      <c r="P54">
        <f>IF('Month-End'!$AY$31="",$BN54,N('Month-End'!$AY$31))</f>
        <v/>
      </c>
      <c r="Q54">
        <f>IF('Month-End'!$AY$32="",$BO54,N('Month-End'!$AY$32))</f>
        <v/>
      </c>
      <c r="R54">
        <f>IF('Month-End'!$AY$33="",$BP54,N('Month-End'!$AY$33))</f>
        <v/>
      </c>
      <c r="S54">
        <f>$G54+$H54+$I54+$J54+$K54+$L54+$M54+$N54+$O54+$P54+$Q54+$R54</f>
        <v/>
      </c>
      <c r="T54">
        <f>IF($B54&lt;Settings!$B$6,0,IF(Settings!$B$45="Yes",$G54,0)+IF(Settings!$B$46="Yes",$H54,0)+IF(Settings!$B$47="Yes",$I54,0)+IF(Settings!$B$48="Yes",$J54,0)+IF(Settings!$B$49="Yes",$K54,0)+IF(Settings!$B$50="Yes",$L54,0)+IF(Settings!$B$51="Yes",$M54,0)+IF(Settings!$B$52="Yes",$N54,0)+IF(Settings!$B$53="Yes",$O54,0)+IF(Settings!$B$54="Yes",$P54,0)+IF(Settings!$B$55="Yes",$Q54,0)+IF(Settings!$B$56="Yes",$R54,0))</f>
        <v/>
      </c>
      <c r="U54">
        <f>IF(Settings!$B$45="Not Sure",$G54,0)+IF(Settings!$B$46="Not Sure",$H54,0)+IF(Settings!$B$47="Not Sure",$I54,0)+IF(Settings!$B$48="Not Sure",$J54,0)+IF(Settings!$B$49="Not Sure",$K54,0)+IF(Settings!$B$50="Not Sure",$L54,0)+IF(Settings!$B$51="Not Sure",$M54,0)+IF(Settings!$B$52="Not Sure",$N54,0)+IF(Settings!$B$53="Not Sure",$O54,0)+IF(Settings!$B$54="Not Sure",$P54,0)+IF(Settings!$B$55="Not Sure",$Q54,0)+IF(Settings!$B$56="Not Sure",$R54,0)</f>
        <v/>
      </c>
      <c r="V54">
        <f>IF($E54="open",SUM($ET54:$FE54)+N(Settings!$B$13),0)</f>
        <v/>
      </c>
      <c r="W54">
        <f>IF($E54="post",$S54,IF($E54="open",$S54-$V54,0))</f>
        <v/>
      </c>
      <c r="X54">
        <f>SUMIFS(Giving!$B$7:$B$2006,Giving!$A$7:$A$2006,"&gt;="&amp;$A54,Giving!$A$7:$A$2006,"&lt;="&amp;$B54,Giving!$E$7:$E$2006,"&lt;&gt;No")</f>
        <v/>
      </c>
      <c r="Y54">
        <f>SUMIFS(Giving!$B$7:$B$2006,Giving!$A$7:$A$2006,"&gt;="&amp;$A54,Giving!$A$7:$A$2006,"&lt;="&amp;$B54,Giving!$E$7:$E$2006,"No")</f>
        <v/>
      </c>
      <c r="Z54">
        <f>IF(OR(Settings!$B$60="",Settings!$F$60="No"),0,Settings!$B$60*IF(AND(IF(Settings!$C$60="",$B54,DATE(YEAR($A54),MONTH($A54),MIN(Settings!$C$60,DAY($B54))))&gt;=MAX($A54,Settings!$D$60),IF(Settings!$C$60="",$B54,DATE(YEAR($A54),MONTH($A54),MIN(Settings!$C$60,DAY($B54))))&lt;=MIN($C54,IF(Settings!$E$60="",$C54,Settings!$E$60))),1,0))+IF(OR(Settings!$B$61="",Settings!$F$61="No"),0,Settings!$B$61*IF(AND(IF(Settings!$C$61="",$B54,DATE(YEAR($A54),MONTH($A54),MIN(Settings!$C$61,DAY($B54))))&gt;=MAX($A54,Settings!$D$61),IF(Settings!$C$61="",$B54,DATE(YEAR($A54),MONTH($A54),MIN(Settings!$C$61,DAY($B54))))&lt;=MIN($C54,IF(Settings!$E$61="",$C54,Settings!$E$61))),1,0))+IF(OR(Settings!$B$62="",Settings!$F$62="No"),0,Settings!$B$62*IF(AND(IF(Settings!$C$62="",$B54,DATE(YEAR($A54),MONTH($A54),MIN(Settings!$C$62,DAY($B54))))&gt;=MAX($A54,Settings!$D$62),IF(Settings!$C$62="",$B54,DATE(YEAR($A54),MONTH($A54),MIN(Settings!$C$62,DAY($B54))))&lt;=MIN($C54,IF(Settings!$E$62="",$C54,Settings!$E$62))),1,0))+IF(OR(Settings!$B$63="",Settings!$F$63="No"),0,Settings!$B$63*IF(AND(IF(Settings!$C$63="",$B54,DATE(YEAR($A54),MONTH($A54),MIN(Settings!$C$63,DAY($B54))))&gt;=MAX($A54,Settings!$D$63),IF(Settings!$C$63="",$B54,DATE(YEAR($A54),MONTH($A54),MIN(Settings!$C$63,DAY($B54))))&lt;=MIN($C54,IF(Settings!$E$63="",$C54,Settings!$E$63))),1,0))+IF(OR(Settings!$B$64="",Settings!$F$64="No"),0,Settings!$B$64*IF(AND(IF(Settings!$C$64="",$B54,DATE(YEAR($A54),MONTH($A54),MIN(Settings!$C$64,DAY($B54))))&gt;=MAX($A54,Settings!$D$64),IF(Settings!$C$64="",$B54,DATE(YEAR($A54),MONTH($A54),MIN(Settings!$C$64,DAY($B54))))&lt;=MIN($C54,IF(Settings!$E$64="",$C54,Settings!$E$64))),1,0))+IF(OR(Settings!$B$65="",Settings!$F$65="No"),0,Settings!$B$65*IF(AND(IF(Settings!$C$65="",$B54,DATE(YEAR($A54),MONTH($A54),MIN(Settings!$C$65,DAY($B54))))&gt;=MAX($A54,Settings!$D$65),IF(Settings!$C$65="",$B54,DATE(YEAR($A54),MONTH($A54),MIN(Settings!$C$65,DAY($B54))))&lt;=MIN($C54,IF(Settings!$E$65="",$C54,Settings!$E$65))),1,0))</f>
        <v/>
      </c>
      <c r="AA54">
        <f>$X54+$Z54</f>
        <v/>
      </c>
      <c r="AB54">
        <f>IF($E54="post",$AA54,IF($E54="open",SUMIFS(Giving!$B$7:$B$2006,Giving!$A$7:$A$2006,"&gt;"&amp;Settings!$B$5,Giving!$A$7:$A$2006,"&lt;="&amp;$B54,Giving!$E$7:$E$2006,"&lt;&gt;No")+IF(OR(Settings!$B$60="",Settings!$F$60="No"),0,Settings!$B$60*IF(AND(IF(Settings!$C$60="",$B54,DATE(YEAR($A54),MONTH($A54),MIN(Settings!$C$60,DAY($B54))))&gt;=MAX($A54,Settings!$D$60,Settings!$B$5+1),IF(Settings!$C$60="",$B54,DATE(YEAR($A54),MONTH($A54),MIN(Settings!$C$60,DAY($B54))))&lt;=MIN($C54,IF(Settings!$E$60="",$C54,Settings!$E$60))),1,0))+IF(OR(Settings!$B$61="",Settings!$F$61="No"),0,Settings!$B$61*IF(AND(IF(Settings!$C$61="",$B54,DATE(YEAR($A54),MONTH($A54),MIN(Settings!$C$61,DAY($B54))))&gt;=MAX($A54,Settings!$D$61,Settings!$B$5+1),IF(Settings!$C$61="",$B54,DATE(YEAR($A54),MONTH($A54),MIN(Settings!$C$61,DAY($B54))))&lt;=MIN($C54,IF(Settings!$E$61="",$C54,Settings!$E$61))),1,0))+IF(OR(Settings!$B$62="",Settings!$F$62="No"),0,Settings!$B$62*IF(AND(IF(Settings!$C$62="",$B54,DATE(YEAR($A54),MONTH($A54),MIN(Settings!$C$62,DAY($B54))))&gt;=MAX($A54,Settings!$D$62,Settings!$B$5+1),IF(Settings!$C$62="",$B54,DATE(YEAR($A54),MONTH($A54),MIN(Settings!$C$62,DAY($B54))))&lt;=MIN($C54,IF(Settings!$E$62="",$C54,Settings!$E$62))),1,0))+IF(OR(Settings!$B$63="",Settings!$F$63="No"),0,Settings!$B$63*IF(AND(IF(Settings!$C$63="",$B54,DATE(YEAR($A54),MONTH($A54),MIN(Settings!$C$63,DAY($B54))))&gt;=MAX($A54,Settings!$D$63,Settings!$B$5+1),IF(Settings!$C$63="",$B54,DATE(YEAR($A54),MONTH($A54),MIN(Settings!$C$63,DAY($B54))))&lt;=MIN($C54,IF(Settings!$E$63="",$C54,Settings!$E$63))),1,0))+IF(OR(Settings!$B$64="",Settings!$F$64="No"),0,Settings!$B$64*IF(AND(IF(Settings!$C$64="",$B54,DATE(YEAR($A54),MONTH($A54),MIN(Settings!$C$64,DAY($B54))))&gt;=MAX($A54,Settings!$D$64,Settings!$B$5+1),IF(Settings!$C$64="",$B54,DATE(YEAR($A54),MONTH($A54),MIN(Settings!$C$64,DAY($B54))))&lt;=MIN($C54,IF(Settings!$E$64="",$C54,Settings!$E$64))),1,0))+IF(OR(Settings!$B$65="",Settings!$F$65="No"),0,Settings!$B$65*IF(AND(IF(Settings!$C$65="",$B54,DATE(YEAR($A54),MONTH($A54),MIN(Settings!$C$65,DAY($B54))))&gt;=MAX($A54,Settings!$D$65,Settings!$B$5+1),IF(Settings!$C$65="",$B54,DATE(YEAR($A54),MONTH($A54),MIN(Settings!$C$65,DAY($B54))))&lt;=MIN($C54,IF(Settings!$E$65="",$C54,Settings!$E$65))),1,0)),0))</f>
        <v/>
      </c>
      <c r="AC54">
        <f>$AY54+$AZ54+$BA54+$BB54+$BC54+$BD54</f>
        <v/>
      </c>
      <c r="AD54">
        <f>$AC54</f>
        <v/>
      </c>
      <c r="AE54">
        <f>IF(OR(Settings!$A$19="",$E54="pre"),"",IF(AND('Month-End'!$AY$7&lt;&gt;"",NOT(_xlfn.ISFORMULA('Month-End'!$AY$7))),N('Month-End'!$AY$7),IF(OR($E54="open",$E53="pre"),N(Settings!$C$19),N($AE53))))</f>
        <v/>
      </c>
      <c r="AF54">
        <f>IF(OR(Settings!$A$20="",$E54="pre"),"",IF(AND('Month-End'!$AY$8&lt;&gt;"",NOT(_xlfn.ISFORMULA('Month-End'!$AY$8))),N('Month-End'!$AY$8),IF(OR($E54="open",$E53="pre"),N(Settings!$C$20),N($AF53))))</f>
        <v/>
      </c>
      <c r="AG54">
        <f>IF(OR(Settings!$A$21="",$E54="pre"),"",IF(AND('Month-End'!$AY$9&lt;&gt;"",NOT(_xlfn.ISFORMULA('Month-End'!$AY$9))),N('Month-End'!$AY$9),IF(OR($E54="open",$E53="pre"),N(Settings!$C$21),N($AG53))))</f>
        <v/>
      </c>
      <c r="AH54">
        <f>IF(OR(Settings!$A$22="",$E54="pre"),"",IF(AND('Month-End'!$AY$10&lt;&gt;"",NOT(_xlfn.ISFORMULA('Month-End'!$AY$10))),N('Month-End'!$AY$10),IF(OR($E54="open",$E53="pre"),N(Settings!$C$22),N($AH53))))</f>
        <v/>
      </c>
      <c r="AI54">
        <f>IF(OR(Settings!$A$23="",$E54="pre"),"",IF(AND('Month-End'!$AY$11&lt;&gt;"",NOT(_xlfn.ISFORMULA('Month-End'!$AY$11))),N('Month-End'!$AY$11),IF(OR($E54="open",$E53="pre"),N(Settings!$C$23),N($AI53))))</f>
        <v/>
      </c>
      <c r="AJ54">
        <f>IF(OR(Settings!$A$24="",$E54="pre"),"",IF(AND('Month-End'!$AY$12&lt;&gt;"",NOT(_xlfn.ISFORMULA('Month-End'!$AY$12))),N('Month-End'!$AY$12),IF(OR($E54="open",$E53="pre"),N(Settings!$C$24),N($AJ53))))</f>
        <v/>
      </c>
      <c r="AK54">
        <f>IF(OR(Settings!$A$25="",$E54="pre"),"",IF(AND('Month-End'!$AY$13&lt;&gt;"",NOT(_xlfn.ISFORMULA('Month-End'!$AY$13))),N('Month-End'!$AY$13),IF(OR($E54="open",$E53="pre"),N(Settings!$C$25),N($AK53))))</f>
        <v/>
      </c>
      <c r="AL54">
        <f>IF(OR(Settings!$A$26="",$E54="pre"),"",IF(AND('Month-End'!$AY$14&lt;&gt;"",NOT(_xlfn.ISFORMULA('Month-End'!$AY$14))),N('Month-End'!$AY$14),IF(OR($E54="open",$E53="pre"),N(Settings!$C$26),N($AL53))))</f>
        <v/>
      </c>
      <c r="AM54">
        <f>IF(OR(Settings!$A$27="",$E54="pre"),"",IF(AND('Month-End'!$AY$15&lt;&gt;"",NOT(_xlfn.ISFORMULA('Month-End'!$AY$15))),N('Month-End'!$AY$15),IF(OR($E54="open",$E53="pre"),N(Settings!$C$27),N($AM53))))</f>
        <v/>
      </c>
      <c r="AN54">
        <f>IF(OR(Settings!$A$28="",$E54="pre"),"",IF(AND('Month-End'!$AY$16&lt;&gt;"",NOT(_xlfn.ISFORMULA('Month-End'!$AY$16))),N('Month-End'!$AY$16),IF(OR($E54="open",$E53="pre"),N(Settings!$C$28),N($AN53))))</f>
        <v/>
      </c>
      <c r="AO54">
        <f>IF(OR(Settings!$A$29="",$E54="pre"),"",IF(AND('Month-End'!$AY$17&lt;&gt;"",NOT(_xlfn.ISFORMULA('Month-End'!$AY$17))),N('Month-End'!$AY$17),IF(OR($E54="open",$E53="pre"),N(Settings!$C$29),N($AO53))))</f>
        <v/>
      </c>
      <c r="AP54">
        <f>IF(OR(Settings!$A$30="",$E54="pre"),"",IF(AND('Month-End'!$AY$18&lt;&gt;"",NOT(_xlfn.ISFORMULA('Month-End'!$AY$18))),N('Month-End'!$AY$18),IF(OR($E54="open",$E53="pre"),N(Settings!$C$30),N($AP53))))</f>
        <v/>
      </c>
      <c r="AQ54">
        <f>IF(OR(Settings!$A$31="",$E54="pre"),"",IF(AND('Month-End'!$AY$19&lt;&gt;"",NOT(_xlfn.ISFORMULA('Month-End'!$AY$19))),N('Month-End'!$AY$19),IF(OR($E54="open",$E53="pre"),N(Settings!$C$31),N($AQ53))))</f>
        <v/>
      </c>
      <c r="AR54">
        <f>IF(OR(Settings!$A$32="",$E54="pre"),"",IF(AND('Month-End'!$AY$20&lt;&gt;"",NOT(_xlfn.ISFORMULA('Month-End'!$AY$20))),N('Month-End'!$AY$20),IF(OR($E54="open",$E53="pre"),N(Settings!$C$32),N($AR53))))</f>
        <v/>
      </c>
      <c r="AS54">
        <f>IF(OR(Settings!$A$36="",$E54="pre"),"",IF(AND('Month-End'!$AY$38&lt;&gt;"",NOT(_xlfn.ISFORMULA('Month-End'!$AY$38))),N('Month-End'!$AY$38),IF(OR($E54="open",$E53="pre"),N(Settings!$C$36),N($AS53))+$AY54))</f>
        <v/>
      </c>
      <c r="AT54">
        <f>IF(OR(Settings!$A$37="",$E54="pre"),"",IF(AND('Month-End'!$AY$39&lt;&gt;"",NOT(_xlfn.ISFORMULA('Month-End'!$AY$39))),N('Month-End'!$AY$39),IF(OR($E54="open",$E53="pre"),N(Settings!$C$37),N($AT53))+$AZ54))</f>
        <v/>
      </c>
      <c r="AU54">
        <f>IF(OR(Settings!$A$38="",$E54="pre"),"",IF(AND('Month-End'!$AY$40&lt;&gt;"",NOT(_xlfn.ISFORMULA('Month-End'!$AY$40))),N('Month-End'!$AY$40),IF(OR($E54="open",$E53="pre"),N(Settings!$C$38),N($AU53))+$BA54))</f>
        <v/>
      </c>
      <c r="AV54">
        <f>IF(OR(Settings!$A$39="",$E54="pre"),"",IF(AND('Month-End'!$AY$41&lt;&gt;"",NOT(_xlfn.ISFORMULA('Month-End'!$AY$41))),N('Month-End'!$AY$41),IF(OR($E54="open",$E53="pre"),N(Settings!$C$39),N($AV53))+$BB54))</f>
        <v/>
      </c>
      <c r="AW54">
        <f>IF(OR(Settings!$A$40="",$E54="pre"),"",IF(AND('Month-End'!$AY$42&lt;&gt;"",NOT(_xlfn.ISFORMULA('Month-End'!$AY$42))),N('Month-End'!$AY$42),IF(OR($E54="open",$E53="pre"),N(Settings!$C$40),N($AW53))+$BC54))</f>
        <v/>
      </c>
      <c r="AX54">
        <f>IF(OR(Settings!$A$41="",$E54="pre"),"",IF(AND('Month-End'!$AY$43&lt;&gt;"",NOT(_xlfn.ISFORMULA('Month-End'!$AY$43))),N('Month-End'!$AY$43),IF(OR($E54="open",$E53="pre"),N(Settings!$C$41),N($AX53))+$BD54))</f>
        <v/>
      </c>
      <c r="AY54">
        <f>IF($E54="pre",0,N('Month-End'!$AY$45))</f>
        <v/>
      </c>
      <c r="AZ54">
        <f>IF($E54="pre",0,N('Month-End'!$AY$46))</f>
        <v/>
      </c>
      <c r="BA54">
        <f>IF($E54="pre",0,N('Month-End'!$AY$47))</f>
        <v/>
      </c>
      <c r="BB54">
        <f>IF($E54="pre",0,N('Month-End'!$AY$48))</f>
        <v/>
      </c>
      <c r="BC54">
        <f>IF($E54="pre",0,N('Month-End'!$AY$49))</f>
        <v/>
      </c>
      <c r="BD54">
        <f>IF($E54="pre",0,N('Month-End'!$AY$50))</f>
        <v/>
      </c>
      <c r="BE54">
        <f>IF(OR(Settings!$C$45="",Settings!$D$45=""),0,Settings!$C$45*IF(Settings!$D$45="Weekly",IF(IFERROR(MATCH(Settings!$E$45,$EO$4:$EO$10,0),0)=0,0,IF(MIN($C54,IF(Settings!$G$45="",$C54,Settings!$G$45))&lt;MAX($A54,Settings!$F$45),0,INT((MIN($C54,IF(Settings!$G$45="",$C54,Settings!$G$45))-MAX($A54,Settings!$F$45)-MOD(IFERROR(MATCH(Settings!$E$45,$EO$4:$EO$10,0),0)-WEEKDAY(MAX($A54,Settings!$F$45)),7))/7)+1)),IF(AND(IF(Settings!$E$45="",$B54,DATE(YEAR($A54),MONTH($A54),MIN(Settings!$E$45,DAY($B54))))&gt;=MAX($A54,Settings!$F$45),IF(Settings!$E$45="",$B54,DATE(YEAR($A54),MONTH($A54),MIN(Settings!$E$45,DAY($B54))))&lt;=MIN($C54,IF(Settings!$G$45="",$C54,Settings!$G$45))),1,0)))</f>
        <v/>
      </c>
      <c r="BF54">
        <f>IF(OR(Settings!$C$46="",Settings!$D$46=""),0,Settings!$C$46*IF(Settings!$D$46="Weekly",IF(IFERROR(MATCH(Settings!$E$46,$EO$4:$EO$10,0),0)=0,0,IF(MIN($C54,IF(Settings!$G$46="",$C54,Settings!$G$46))&lt;MAX($A54,Settings!$F$46),0,INT((MIN($C54,IF(Settings!$G$46="",$C54,Settings!$G$46))-MAX($A54,Settings!$F$46)-MOD(IFERROR(MATCH(Settings!$E$46,$EO$4:$EO$10,0),0)-WEEKDAY(MAX($A54,Settings!$F$46)),7))/7)+1)),IF(AND(IF(Settings!$E$46="",$B54,DATE(YEAR($A54),MONTH($A54),MIN(Settings!$E$46,DAY($B54))))&gt;=MAX($A54,Settings!$F$46),IF(Settings!$E$46="",$B54,DATE(YEAR($A54),MONTH($A54),MIN(Settings!$E$46,DAY($B54))))&lt;=MIN($C54,IF(Settings!$G$46="",$C54,Settings!$G$46))),1,0)))</f>
        <v/>
      </c>
      <c r="BG54">
        <f>IF(OR(Settings!$C$47="",Settings!$D$47=""),0,Settings!$C$47*IF(Settings!$D$47="Weekly",IF(IFERROR(MATCH(Settings!$E$47,$EO$4:$EO$10,0),0)=0,0,IF(MIN($C54,IF(Settings!$G$47="",$C54,Settings!$G$47))&lt;MAX($A54,Settings!$F$47),0,INT((MIN($C54,IF(Settings!$G$47="",$C54,Settings!$G$47))-MAX($A54,Settings!$F$47)-MOD(IFERROR(MATCH(Settings!$E$47,$EO$4:$EO$10,0),0)-WEEKDAY(MAX($A54,Settings!$F$47)),7))/7)+1)),IF(AND(IF(Settings!$E$47="",$B54,DATE(YEAR($A54),MONTH($A54),MIN(Settings!$E$47,DAY($B54))))&gt;=MAX($A54,Settings!$F$47),IF(Settings!$E$47="",$B54,DATE(YEAR($A54),MONTH($A54),MIN(Settings!$E$47,DAY($B54))))&lt;=MIN($C54,IF(Settings!$G$47="",$C54,Settings!$G$47))),1,0)))</f>
        <v/>
      </c>
      <c r="BH54">
        <f>IF(OR(Settings!$C$48="",Settings!$D$48=""),0,Settings!$C$48*IF(Settings!$D$48="Weekly",IF(IFERROR(MATCH(Settings!$E$48,$EO$4:$EO$10,0),0)=0,0,IF(MIN($C54,IF(Settings!$G$48="",$C54,Settings!$G$48))&lt;MAX($A54,Settings!$F$48),0,INT((MIN($C54,IF(Settings!$G$48="",$C54,Settings!$G$48))-MAX($A54,Settings!$F$48)-MOD(IFERROR(MATCH(Settings!$E$48,$EO$4:$EO$10,0),0)-WEEKDAY(MAX($A54,Settings!$F$48)),7))/7)+1)),IF(AND(IF(Settings!$E$48="",$B54,DATE(YEAR($A54),MONTH($A54),MIN(Settings!$E$48,DAY($B54))))&gt;=MAX($A54,Settings!$F$48),IF(Settings!$E$48="",$B54,DATE(YEAR($A54),MONTH($A54),MIN(Settings!$E$48,DAY($B54))))&lt;=MIN($C54,IF(Settings!$G$48="",$C54,Settings!$G$48))),1,0)))</f>
        <v/>
      </c>
      <c r="BI54">
        <f>IF(OR(Settings!$C$49="",Settings!$D$49=""),0,Settings!$C$49*IF(Settings!$D$49="Weekly",IF(IFERROR(MATCH(Settings!$E$49,$EO$4:$EO$10,0),0)=0,0,IF(MIN($C54,IF(Settings!$G$49="",$C54,Settings!$G$49))&lt;MAX($A54,Settings!$F$49),0,INT((MIN($C54,IF(Settings!$G$49="",$C54,Settings!$G$49))-MAX($A54,Settings!$F$49)-MOD(IFERROR(MATCH(Settings!$E$49,$EO$4:$EO$10,0),0)-WEEKDAY(MAX($A54,Settings!$F$49)),7))/7)+1)),IF(AND(IF(Settings!$E$49="",$B54,DATE(YEAR($A54),MONTH($A54),MIN(Settings!$E$49,DAY($B54))))&gt;=MAX($A54,Settings!$F$49),IF(Settings!$E$49="",$B54,DATE(YEAR($A54),MONTH($A54),MIN(Settings!$E$49,DAY($B54))))&lt;=MIN($C54,IF(Settings!$G$49="",$C54,Settings!$G$49))),1,0)))</f>
        <v/>
      </c>
      <c r="BJ54">
        <f>IF(OR(Settings!$C$50="",Settings!$D$50=""),0,Settings!$C$50*IF(Settings!$D$50="Weekly",IF(IFERROR(MATCH(Settings!$E$50,$EO$4:$EO$10,0),0)=0,0,IF(MIN($C54,IF(Settings!$G$50="",$C54,Settings!$G$50))&lt;MAX($A54,Settings!$F$50),0,INT((MIN($C54,IF(Settings!$G$50="",$C54,Settings!$G$50))-MAX($A54,Settings!$F$50)-MOD(IFERROR(MATCH(Settings!$E$50,$EO$4:$EO$10,0),0)-WEEKDAY(MAX($A54,Settings!$F$50)),7))/7)+1)),IF(AND(IF(Settings!$E$50="",$B54,DATE(YEAR($A54),MONTH($A54),MIN(Settings!$E$50,DAY($B54))))&gt;=MAX($A54,Settings!$F$50),IF(Settings!$E$50="",$B54,DATE(YEAR($A54),MONTH($A54),MIN(Settings!$E$50,DAY($B54))))&lt;=MIN($C54,IF(Settings!$G$50="",$C54,Settings!$G$50))),1,0)))</f>
        <v/>
      </c>
      <c r="BK54">
        <f>IF(OR(Settings!$C$51="",Settings!$D$51=""),0,Settings!$C$51*IF(Settings!$D$51="Weekly",IF(IFERROR(MATCH(Settings!$E$51,$EO$4:$EO$10,0),0)=0,0,IF(MIN($C54,IF(Settings!$G$51="",$C54,Settings!$G$51))&lt;MAX($A54,Settings!$F$51),0,INT((MIN($C54,IF(Settings!$G$51="",$C54,Settings!$G$51))-MAX($A54,Settings!$F$51)-MOD(IFERROR(MATCH(Settings!$E$51,$EO$4:$EO$10,0),0)-WEEKDAY(MAX($A54,Settings!$F$51)),7))/7)+1)),IF(AND(IF(Settings!$E$51="",$B54,DATE(YEAR($A54),MONTH($A54),MIN(Settings!$E$51,DAY($B54))))&gt;=MAX($A54,Settings!$F$51),IF(Settings!$E$51="",$B54,DATE(YEAR($A54),MONTH($A54),MIN(Settings!$E$51,DAY($B54))))&lt;=MIN($C54,IF(Settings!$G$51="",$C54,Settings!$G$51))),1,0)))</f>
        <v/>
      </c>
      <c r="BL54">
        <f>IF(OR(Settings!$C$52="",Settings!$D$52=""),0,Settings!$C$52*IF(Settings!$D$52="Weekly",IF(IFERROR(MATCH(Settings!$E$52,$EO$4:$EO$10,0),0)=0,0,IF(MIN($C54,IF(Settings!$G$52="",$C54,Settings!$G$52))&lt;MAX($A54,Settings!$F$52),0,INT((MIN($C54,IF(Settings!$G$52="",$C54,Settings!$G$52))-MAX($A54,Settings!$F$52)-MOD(IFERROR(MATCH(Settings!$E$52,$EO$4:$EO$10,0),0)-WEEKDAY(MAX($A54,Settings!$F$52)),7))/7)+1)),IF(AND(IF(Settings!$E$52="",$B54,DATE(YEAR($A54),MONTH($A54),MIN(Settings!$E$52,DAY($B54))))&gt;=MAX($A54,Settings!$F$52),IF(Settings!$E$52="",$B54,DATE(YEAR($A54),MONTH($A54),MIN(Settings!$E$52,DAY($B54))))&lt;=MIN($C54,IF(Settings!$G$52="",$C54,Settings!$G$52))),1,0)))</f>
        <v/>
      </c>
      <c r="BM54">
        <f>IF(OR(Settings!$C$53="",Settings!$D$53=""),0,Settings!$C$53*IF(Settings!$D$53="Weekly",IF(IFERROR(MATCH(Settings!$E$53,$EO$4:$EO$10,0),0)=0,0,IF(MIN($C54,IF(Settings!$G$53="",$C54,Settings!$G$53))&lt;MAX($A54,Settings!$F$53),0,INT((MIN($C54,IF(Settings!$G$53="",$C54,Settings!$G$53))-MAX($A54,Settings!$F$53)-MOD(IFERROR(MATCH(Settings!$E$53,$EO$4:$EO$10,0),0)-WEEKDAY(MAX($A54,Settings!$F$53)),7))/7)+1)),IF(AND(IF(Settings!$E$53="",$B54,DATE(YEAR($A54),MONTH($A54),MIN(Settings!$E$53,DAY($B54))))&gt;=MAX($A54,Settings!$F$53),IF(Settings!$E$53="",$B54,DATE(YEAR($A54),MONTH($A54),MIN(Settings!$E$53,DAY($B54))))&lt;=MIN($C54,IF(Settings!$G$53="",$C54,Settings!$G$53))),1,0)))</f>
        <v/>
      </c>
      <c r="BN54">
        <f>IF(OR(Settings!$C$54="",Settings!$D$54=""),0,Settings!$C$54*IF(Settings!$D$54="Weekly",IF(IFERROR(MATCH(Settings!$E$54,$EO$4:$EO$10,0),0)=0,0,IF(MIN($C54,IF(Settings!$G$54="",$C54,Settings!$G$54))&lt;MAX($A54,Settings!$F$54),0,INT((MIN($C54,IF(Settings!$G$54="",$C54,Settings!$G$54))-MAX($A54,Settings!$F$54)-MOD(IFERROR(MATCH(Settings!$E$54,$EO$4:$EO$10,0),0)-WEEKDAY(MAX($A54,Settings!$F$54)),7))/7)+1)),IF(AND(IF(Settings!$E$54="",$B54,DATE(YEAR($A54),MONTH($A54),MIN(Settings!$E$54,DAY($B54))))&gt;=MAX($A54,Settings!$F$54),IF(Settings!$E$54="",$B54,DATE(YEAR($A54),MONTH($A54),MIN(Settings!$E$54,DAY($B54))))&lt;=MIN($C54,IF(Settings!$G$54="",$C54,Settings!$G$54))),1,0)))</f>
        <v/>
      </c>
      <c r="BO54">
        <f>IF(OR(Settings!$C$55="",Settings!$D$55=""),0,Settings!$C$55*IF(Settings!$D$55="Weekly",IF(IFERROR(MATCH(Settings!$E$55,$EO$4:$EO$10,0),0)=0,0,IF(MIN($C54,IF(Settings!$G$55="",$C54,Settings!$G$55))&lt;MAX($A54,Settings!$F$55),0,INT((MIN($C54,IF(Settings!$G$55="",$C54,Settings!$G$55))-MAX($A54,Settings!$F$55)-MOD(IFERROR(MATCH(Settings!$E$55,$EO$4:$EO$10,0),0)-WEEKDAY(MAX($A54,Settings!$F$55)),7))/7)+1)),IF(AND(IF(Settings!$E$55="",$B54,DATE(YEAR($A54),MONTH($A54),MIN(Settings!$E$55,DAY($B54))))&gt;=MAX($A54,Settings!$F$55),IF(Settings!$E$55="",$B54,DATE(YEAR($A54),MONTH($A54),MIN(Settings!$E$55,DAY($B54))))&lt;=MIN($C54,IF(Settings!$G$55="",$C54,Settings!$G$55))),1,0)))</f>
        <v/>
      </c>
      <c r="BP54">
        <f>IF(OR(Settings!$C$56="",Settings!$D$56=""),0,Settings!$C$56*IF(Settings!$D$56="Weekly",IF(IFERROR(MATCH(Settings!$E$56,$EO$4:$EO$10,0),0)=0,0,IF(MIN($C54,IF(Settings!$G$56="",$C54,Settings!$G$56))&lt;MAX($A54,Settings!$F$56),0,INT((MIN($C54,IF(Settings!$G$56="",$C54,Settings!$G$56))-MAX($A54,Settings!$F$56)-MOD(IFERROR(MATCH(Settings!$E$56,$EO$4:$EO$10,0),0)-WEEKDAY(MAX($A54,Settings!$F$56)),7))/7)+1)),IF(AND(IF(Settings!$E$56="",$B54,DATE(YEAR($A54),MONTH($A54),MIN(Settings!$E$56,DAY($B54))))&gt;=MAX($A54,Settings!$F$56),IF(Settings!$E$56="",$B54,DATE(YEAR($A54),MONTH($A54),MIN(Settings!$E$56,DAY($B54))))&lt;=MIN($C54,IF(Settings!$G$56="",$C54,Settings!$G$56))),1,0)))</f>
        <v/>
      </c>
      <c r="BQ54">
        <f>IF(OR(Settings!$B$14="",$D54=1,$E54="pre",$A54&lt;IF(Settings!$B$15="",0,Settings!$B$15)),0,Settings!$B$14)</f>
        <v/>
      </c>
      <c r="BR54">
        <f>IF(AND('Month-End'!$AY$7&lt;&gt;"",NOT(_xlfn.ISFORMULA('Month-End'!$AY$7))),1,0)</f>
        <v/>
      </c>
      <c r="BS54">
        <f>IF(AND('Month-End'!$AY$8&lt;&gt;"",NOT(_xlfn.ISFORMULA('Month-End'!$AY$8))),1,0)</f>
        <v/>
      </c>
      <c r="BT54">
        <f>IF(AND('Month-End'!$AY$9&lt;&gt;"",NOT(_xlfn.ISFORMULA('Month-End'!$AY$9))),1,0)</f>
        <v/>
      </c>
      <c r="BU54">
        <f>IF(AND('Month-End'!$AY$10&lt;&gt;"",NOT(_xlfn.ISFORMULA('Month-End'!$AY$10))),1,0)</f>
        <v/>
      </c>
      <c r="BV54">
        <f>IF(AND('Month-End'!$AY$11&lt;&gt;"",NOT(_xlfn.ISFORMULA('Month-End'!$AY$11))),1,0)</f>
        <v/>
      </c>
      <c r="BW54">
        <f>IF(AND('Month-End'!$AY$12&lt;&gt;"",NOT(_xlfn.ISFORMULA('Month-End'!$AY$12))),1,0)</f>
        <v/>
      </c>
      <c r="BX54">
        <f>IF(AND('Month-End'!$AY$13&lt;&gt;"",NOT(_xlfn.ISFORMULA('Month-End'!$AY$13))),1,0)</f>
        <v/>
      </c>
      <c r="BY54">
        <f>IF(AND('Month-End'!$AY$14&lt;&gt;"",NOT(_xlfn.ISFORMULA('Month-End'!$AY$14))),1,0)</f>
        <v/>
      </c>
      <c r="BZ54">
        <f>IF(AND('Month-End'!$AY$15&lt;&gt;"",NOT(_xlfn.ISFORMULA('Month-End'!$AY$15))),1,0)</f>
        <v/>
      </c>
      <c r="CA54">
        <f>IF(AND('Month-End'!$AY$16&lt;&gt;"",NOT(_xlfn.ISFORMULA('Month-End'!$AY$16))),1,0)</f>
        <v/>
      </c>
      <c r="CB54">
        <f>IF(AND('Month-End'!$AY$17&lt;&gt;"",NOT(_xlfn.ISFORMULA('Month-End'!$AY$17))),1,0)</f>
        <v/>
      </c>
      <c r="CC54">
        <f>IF(AND('Month-End'!$AY$18&lt;&gt;"",NOT(_xlfn.ISFORMULA('Month-End'!$AY$18))),1,0)</f>
        <v/>
      </c>
      <c r="CD54">
        <f>IF(AND('Month-End'!$AY$19&lt;&gt;"",NOT(_xlfn.ISFORMULA('Month-End'!$AY$19))),1,0)</f>
        <v/>
      </c>
      <c r="CE54">
        <f>IF(AND('Month-End'!$AY$20&lt;&gt;"",NOT(_xlfn.ISFORMULA('Month-End'!$AY$20))),1,0)</f>
        <v/>
      </c>
      <c r="CF54">
        <f>IF(AND('Month-End'!$AY$38&lt;&gt;"",NOT(_xlfn.ISFORMULA('Month-End'!$AY$38))),1,0)</f>
        <v/>
      </c>
      <c r="CG54">
        <f>IF(AND('Month-End'!$AY$39&lt;&gt;"",NOT(_xlfn.ISFORMULA('Month-End'!$AY$39))),1,0)</f>
        <v/>
      </c>
      <c r="CH54">
        <f>IF(AND('Month-End'!$AY$40&lt;&gt;"",NOT(_xlfn.ISFORMULA('Month-End'!$AY$40))),1,0)</f>
        <v/>
      </c>
      <c r="CI54">
        <f>IF(AND('Month-End'!$AY$41&lt;&gt;"",NOT(_xlfn.ISFORMULA('Month-End'!$AY$41))),1,0)</f>
        <v/>
      </c>
      <c r="CJ54">
        <f>IF(AND('Month-End'!$AY$42&lt;&gt;"",NOT(_xlfn.ISFORMULA('Month-End'!$AY$42))),1,0)</f>
        <v/>
      </c>
      <c r="CK54">
        <f>IF(AND('Month-End'!$AY$43&lt;&gt;"",NOT(_xlfn.ISFORMULA('Month-End'!$AY$43))),1,0)</f>
        <v/>
      </c>
      <c r="CL54">
        <f>SUM($CM54:$CZ54)</f>
        <v/>
      </c>
      <c r="CM54">
        <f>IF(AND($E54&lt;&gt;"pre",AND(Settings!$A$19&lt;&gt;"",Settings!$E$19&lt;&gt;"No"),Settings!$F$19="Yes",NOT(AND('Month-End'!$AY$7&lt;&gt;"",NOT(_xlfn.ISFORMULA('Month-End'!$AY$7))))),1,0)</f>
        <v/>
      </c>
      <c r="CN54">
        <f>IF(AND($E54&lt;&gt;"pre",AND(Settings!$A$20&lt;&gt;"",Settings!$E$20&lt;&gt;"No"),Settings!$F$20="Yes",NOT(AND('Month-End'!$AY$8&lt;&gt;"",NOT(_xlfn.ISFORMULA('Month-End'!$AY$8))))),1,0)</f>
        <v/>
      </c>
      <c r="CO54">
        <f>IF(AND($E54&lt;&gt;"pre",AND(Settings!$A$21&lt;&gt;"",Settings!$E$21&lt;&gt;"No"),Settings!$F$21="Yes",NOT(AND('Month-End'!$AY$9&lt;&gt;"",NOT(_xlfn.ISFORMULA('Month-End'!$AY$9))))),1,0)</f>
        <v/>
      </c>
      <c r="CP54">
        <f>IF(AND($E54&lt;&gt;"pre",AND(Settings!$A$22&lt;&gt;"",Settings!$E$22&lt;&gt;"No"),Settings!$F$22="Yes",NOT(AND('Month-End'!$AY$10&lt;&gt;"",NOT(_xlfn.ISFORMULA('Month-End'!$AY$10))))),1,0)</f>
        <v/>
      </c>
      <c r="CQ54">
        <f>IF(AND($E54&lt;&gt;"pre",AND(Settings!$A$23&lt;&gt;"",Settings!$E$23&lt;&gt;"No"),Settings!$F$23="Yes",NOT(AND('Month-End'!$AY$11&lt;&gt;"",NOT(_xlfn.ISFORMULA('Month-End'!$AY$11))))),1,0)</f>
        <v/>
      </c>
      <c r="CR54">
        <f>IF(AND($E54&lt;&gt;"pre",AND(Settings!$A$24&lt;&gt;"",Settings!$E$24&lt;&gt;"No"),Settings!$F$24="Yes",NOT(AND('Month-End'!$AY$12&lt;&gt;"",NOT(_xlfn.ISFORMULA('Month-End'!$AY$12))))),1,0)</f>
        <v/>
      </c>
      <c r="CS54">
        <f>IF(AND($E54&lt;&gt;"pre",AND(Settings!$A$25&lt;&gt;"",Settings!$E$25&lt;&gt;"No"),Settings!$F$25="Yes",NOT(AND('Month-End'!$AY$13&lt;&gt;"",NOT(_xlfn.ISFORMULA('Month-End'!$AY$13))))),1,0)</f>
        <v/>
      </c>
      <c r="CT54">
        <f>IF(AND($E54&lt;&gt;"pre",AND(Settings!$A$26&lt;&gt;"",Settings!$E$26&lt;&gt;"No"),Settings!$F$26="Yes",NOT(AND('Month-End'!$AY$14&lt;&gt;"",NOT(_xlfn.ISFORMULA('Month-End'!$AY$14))))),1,0)</f>
        <v/>
      </c>
      <c r="CU54">
        <f>IF(AND($E54&lt;&gt;"pre",AND(Settings!$A$27&lt;&gt;"",Settings!$E$27&lt;&gt;"No"),Settings!$F$27="Yes",NOT(AND('Month-End'!$AY$15&lt;&gt;"",NOT(_xlfn.ISFORMULA('Month-End'!$AY$15))))),1,0)</f>
        <v/>
      </c>
      <c r="CV54">
        <f>IF(AND($E54&lt;&gt;"pre",AND(Settings!$A$28&lt;&gt;"",Settings!$E$28&lt;&gt;"No"),Settings!$F$28="Yes",NOT(AND('Month-End'!$AY$16&lt;&gt;"",NOT(_xlfn.ISFORMULA('Month-End'!$AY$16))))),1,0)</f>
        <v/>
      </c>
      <c r="CW54">
        <f>IF(AND($E54&lt;&gt;"pre",AND(Settings!$A$29&lt;&gt;"",Settings!$E$29&lt;&gt;"No"),Settings!$F$29="Yes",NOT(AND('Month-End'!$AY$17&lt;&gt;"",NOT(_xlfn.ISFORMULA('Month-End'!$AY$17))))),1,0)</f>
        <v/>
      </c>
      <c r="CX54">
        <f>IF(AND($E54&lt;&gt;"pre",AND(Settings!$A$30&lt;&gt;"",Settings!$E$30&lt;&gt;"No"),Settings!$F$30="Yes",NOT(AND('Month-End'!$AY$18&lt;&gt;"",NOT(_xlfn.ISFORMULA('Month-End'!$AY$18))))),1,0)</f>
        <v/>
      </c>
      <c r="CY54">
        <f>IF(AND($E54&lt;&gt;"pre",AND(Settings!$A$31&lt;&gt;"",Settings!$E$31&lt;&gt;"No"),Settings!$F$31="Yes",NOT(AND('Month-End'!$AY$19&lt;&gt;"",NOT(_xlfn.ISFORMULA('Month-End'!$AY$19))))),1,0)</f>
        <v/>
      </c>
      <c r="CZ54">
        <f>IF(AND($E54&lt;&gt;"pre",AND(Settings!$A$32&lt;&gt;"",Settings!$E$32&lt;&gt;"No"),Settings!$F$32="Yes",NOT(AND('Month-End'!$AY$20&lt;&gt;"",NOT(_xlfn.ISFORMULA('Month-End'!$AY$20))))),1,0)</f>
        <v/>
      </c>
      <c r="DA54">
        <f>IF($DT54=1,IF(OR(Settings!$B$19="Checking",Settings!$B$19="Savings",Settings!$B$19="Cash"),N($AE54),IF(OR(Settings!$B$19="Card",Settings!$B$19="Loan"),-N($AE54),0))+IF(OR(Settings!$B$20="Checking",Settings!$B$20="Savings",Settings!$B$20="Cash"),N($AF54),IF(OR(Settings!$B$20="Card",Settings!$B$20="Loan"),-N($AF54),0))+IF(OR(Settings!$B$21="Checking",Settings!$B$21="Savings",Settings!$B$21="Cash"),N($AG54),IF(OR(Settings!$B$21="Card",Settings!$B$21="Loan"),-N($AG54),0))+IF(OR(Settings!$B$22="Checking",Settings!$B$22="Savings",Settings!$B$22="Cash"),N($AH54),IF(OR(Settings!$B$22="Card",Settings!$B$22="Loan"),-N($AH54),0))+IF(OR(Settings!$B$23="Checking",Settings!$B$23="Savings",Settings!$B$23="Cash"),N($AI54),IF(OR(Settings!$B$23="Card",Settings!$B$23="Loan"),-N($AI54),0))+IF(OR(Settings!$B$24="Checking",Settings!$B$24="Savings",Settings!$B$24="Cash"),N($AJ54),IF(OR(Settings!$B$24="Card",Settings!$B$24="Loan"),-N($AJ54),0))+IF(OR(Settings!$B$25="Checking",Settings!$B$25="Savings",Settings!$B$25="Cash"),N($AK54),IF(OR(Settings!$B$25="Card",Settings!$B$25="Loan"),-N($AK54),0))+IF(OR(Settings!$B$26="Checking",Settings!$B$26="Savings",Settings!$B$26="Cash"),N($AL54),IF(OR(Settings!$B$26="Card",Settings!$B$26="Loan"),-N($AL54),0))+IF(OR(Settings!$B$27="Checking",Settings!$B$27="Savings",Settings!$B$27="Cash"),N($AM54),IF(OR(Settings!$B$27="Card",Settings!$B$27="Loan"),-N($AM54),0))+IF(OR(Settings!$B$28="Checking",Settings!$B$28="Savings",Settings!$B$28="Cash"),N($AN54),IF(OR(Settings!$B$28="Card",Settings!$B$28="Loan"),-N($AN54),0))+IF(OR(Settings!$B$29="Checking",Settings!$B$29="Savings",Settings!$B$29="Cash"),N($AO54),IF(OR(Settings!$B$29="Card",Settings!$B$29="Loan"),-N($AO54),0))+IF(OR(Settings!$B$30="Checking",Settings!$B$30="Savings",Settings!$B$30="Cash"),N($AP54),IF(OR(Settings!$B$30="Card",Settings!$B$30="Loan"),-N($AP54),0))+IF(OR(Settings!$B$31="Checking",Settings!$B$31="Savings",Settings!$B$31="Cash"),N($AQ54),IF(OR(Settings!$B$31="Card",Settings!$B$31="Loan"),-N($AQ54),0))+IF(OR(Settings!$B$32="Checking",Settings!$B$32="Savings",Settings!$B$32="Cash"),N($AR54),IF(OR(Settings!$B$32="Card",Settings!$B$32="Loan"),-N($AR54),0)),"")</f>
        <v/>
      </c>
      <c r="DB54">
        <f>IF($E54="open",$EB$27,IF($E54="post",IF($E53="pre",$EB$27,$DA53),""))</f>
        <v/>
      </c>
      <c r="DC54">
        <f>IF($E54="open",1,IF($E54="post",IF($E53="pre",1,$DT53),0))</f>
        <v/>
      </c>
      <c r="DD54">
        <f>IF(AND($DT54=1,$DC54=1),ROUND($W54-($DA54-$DB54)-$AD54-$AB54,2),"")</f>
        <v/>
      </c>
      <c r="DE54">
        <f>IF('Month-End'!$AY$35="",$BQ54,N('Month-End'!$AY$35))</f>
        <v/>
      </c>
      <c r="DF54">
        <f>N('Month-End'!$AY$36)</f>
        <v/>
      </c>
      <c r="DG54">
        <f>IF($DD54="","",$DD54+$DE54)</f>
        <v/>
      </c>
      <c r="DH54">
        <f>IF($DG54="","",$DG54-$DF54)</f>
        <v/>
      </c>
      <c r="DI54">
        <f>IF(OR($E54="pre",$D54=1),"",N($AS54)+N($AT54)+N($AU54)+N($AV54)+N($AW54)+N($AX54))</f>
        <v/>
      </c>
      <c r="DJ54">
        <f>IF($DT54=1,$DA54+N($DI54),"")</f>
        <v/>
      </c>
      <c r="DK54">
        <f>IF($DD54="","",$W54-$DD54-$AB54)</f>
        <v/>
      </c>
      <c r="DL54">
        <f>IF(AND($E54="post",$DD54&lt;&gt;"",$B54&lt;TODAY()),1,0)</f>
        <v/>
      </c>
      <c r="DM54">
        <f>IF($DL54=1,COUNTIF($DL54:$DL$183,1),0)</f>
        <v/>
      </c>
      <c r="DN54">
        <f>IF($D54=1,"",IF($E54="pre","History only",IF($DT54=1,IF($DD54="","⚠ Previous month missing",IF($DD54&lt;0,"⚠ Check: spending &lt; 0",IF($E54="open","✓ Done (partial)","✓ Done"))),IF($B54&gt;=TODAY(),"In progress","⚠ Needs balances"))))</f>
        <v/>
      </c>
      <c r="DO54">
        <f>YEAR($A54)</f>
        <v/>
      </c>
      <c r="DP54">
        <f>DATE(YEAR($A54),INT((MONTH($A54)-1)/3)*3+1,1)</f>
        <v/>
      </c>
      <c r="DQ54">
        <f>IF(AND($DT54=1,$DD54&lt;&gt;"",$D54=0),ROW(),0)</f>
        <v/>
      </c>
      <c r="DR54">
        <f>IF(AND($E54&lt;&gt;"pre",$B54&lt;TODAY(),$DT54=0),1,0)</f>
        <v/>
      </c>
      <c r="DS54">
        <f>IF($DJ54="",NA(),$DJ54)</f>
        <v/>
      </c>
      <c r="DT54">
        <f>IF(AND($E54&lt;&gt;"pre",$CL54=0,COUNTIFS(Settings!$F$19:$F$32,"Yes",Settings!$A$19:$A$32,"&lt;&gt;",Settings!$E$19:$E$32,"&lt;&gt;No")&gt;0),1,0)</f>
        <v/>
      </c>
      <c r="DU54">
        <f>IF(AND($B54&lt;TODAY(),$S54&gt;0),1,0)</f>
        <v/>
      </c>
      <c r="DV54">
        <f>IF($DU54=1,COUNTIF($DU54:$DU$183,1),0)</f>
        <v/>
      </c>
      <c r="DW54">
        <f>IF(AND(OR(Settings!$B$19="Card",Settings!$B$19="Loan"),AND('Month-End'!$AY$7&lt;&gt;"",NOT(_xlfn.ISFORMULA('Month-End'!$AY$7)))),IF(N('Month-End'!$AY$7)&lt;0,1,0),0)+IF(AND(OR(Settings!$B$20="Card",Settings!$B$20="Loan"),AND('Month-End'!$AY$8&lt;&gt;"",NOT(_xlfn.ISFORMULA('Month-End'!$AY$8)))),IF(N('Month-End'!$AY$8)&lt;0,1,0),0)+IF(AND(OR(Settings!$B$21="Card",Settings!$B$21="Loan"),AND('Month-End'!$AY$9&lt;&gt;"",NOT(_xlfn.ISFORMULA('Month-End'!$AY$9)))),IF(N('Month-End'!$AY$9)&lt;0,1,0),0)+IF(AND(OR(Settings!$B$22="Card",Settings!$B$22="Loan"),AND('Month-End'!$AY$10&lt;&gt;"",NOT(_xlfn.ISFORMULA('Month-End'!$AY$10)))),IF(N('Month-End'!$AY$10)&lt;0,1,0),0)+IF(AND(OR(Settings!$B$23="Card",Settings!$B$23="Loan"),AND('Month-End'!$AY$11&lt;&gt;"",NOT(_xlfn.ISFORMULA('Month-End'!$AY$11)))),IF(N('Month-End'!$AY$11)&lt;0,1,0),0)+IF(AND(OR(Settings!$B$24="Card",Settings!$B$24="Loan"),AND('Month-End'!$AY$12&lt;&gt;"",NOT(_xlfn.ISFORMULA('Month-End'!$AY$12)))),IF(N('Month-End'!$AY$12)&lt;0,1,0),0)+IF(AND(OR(Settings!$B$25="Card",Settings!$B$25="Loan"),AND('Month-End'!$AY$13&lt;&gt;"",NOT(_xlfn.ISFORMULA('Month-End'!$AY$13)))),IF(N('Month-End'!$AY$13)&lt;0,1,0),0)+IF(AND(OR(Settings!$B$26="Card",Settings!$B$26="Loan"),AND('Month-End'!$AY$14&lt;&gt;"",NOT(_xlfn.ISFORMULA('Month-End'!$AY$14)))),IF(N('Month-End'!$AY$14)&lt;0,1,0),0)+IF(AND(OR(Settings!$B$27="Card",Settings!$B$27="Loan"),AND('Month-End'!$AY$15&lt;&gt;"",NOT(_xlfn.ISFORMULA('Month-End'!$AY$15)))),IF(N('Month-End'!$AY$15)&lt;0,1,0),0)+IF(AND(OR(Settings!$B$28="Card",Settings!$B$28="Loan"),AND('Month-End'!$AY$16&lt;&gt;"",NOT(_xlfn.ISFORMULA('Month-End'!$AY$16)))),IF(N('Month-End'!$AY$16)&lt;0,1,0),0)+IF(AND(OR(Settings!$B$29="Card",Settings!$B$29="Loan"),AND('Month-End'!$AY$17&lt;&gt;"",NOT(_xlfn.ISFORMULA('Month-End'!$AY$17)))),IF(N('Month-End'!$AY$17)&lt;0,1,0),0)+IF(AND(OR(Settings!$B$30="Card",Settings!$B$30="Loan"),AND('Month-End'!$AY$18&lt;&gt;"",NOT(_xlfn.ISFORMULA('Month-End'!$AY$18)))),IF(N('Month-End'!$AY$18)&lt;0,1,0),0)+IF(AND(OR(Settings!$B$31="Card",Settings!$B$31="Loan"),AND('Month-End'!$AY$19&lt;&gt;"",NOT(_xlfn.ISFORMULA('Month-End'!$AY$19)))),IF(N('Month-End'!$AY$19)&lt;0,1,0),0)+IF(AND(OR(Settings!$B$32="Card",Settings!$B$32="Loan"),AND('Month-End'!$AY$20&lt;&gt;"",NOT(_xlfn.ISFORMULA('Month-End'!$AY$20)))),IF(N('Month-End'!$AY$20)&lt;0,1,0),0)</f>
        <v/>
      </c>
      <c r="DX54">
        <f>IF(Settings!$B$36="Retirement",$AY54,0)+IF(Settings!$B$37="Retirement",$AZ54,0)+IF(Settings!$B$38="Retirement",$BA54,0)+IF(Settings!$B$39="Retirement",$BB54,0)+IF(Settings!$B$40="Retirement",$BC54,0)+IF(Settings!$B$41="Retirement",$BD54,0)</f>
        <v/>
      </c>
      <c r="EA54">
        <f>IF(Settings!$A$36="","",Settings!$A$36)</f>
        <v/>
      </c>
      <c r="EB54">
        <f>IF(Settings!$A$36="","",IF($EB$5=0,N(Settings!$C$36),N(INDEX($AS:$AS,$EB$5))))</f>
        <v/>
      </c>
      <c r="EC54">
        <f>IF(Settings!$A$36="","",N(Settings!$D$36)+SUMIFS($AY$6:$AY$183,$D$6:$D$183,0))</f>
        <v/>
      </c>
      <c r="ED54">
        <f>IF(AND(AND(Settings!$A$36&lt;&gt;"",Settings!$G$36&lt;&gt;"No"),TRUE,Settings!$B$5&lt;EDATE(TODAY(),-6),COUNTIFS($CF$6:$CF$183,1,$A$6:$A$183,"&gt;="&amp;EDATE(TODAY(),-6))=0),1,0)</f>
        <v/>
      </c>
      <c r="EI54">
        <f>IF(AND(Settings!$A$36&lt;&gt;"",Settings!$G$36&lt;&gt;"No"),COUNTIFS($EK$40:$EK54,1),"")</f>
        <v/>
      </c>
      <c r="EJ54">
        <f>IF(Settings!$A$36="","",Settings!$B$36)</f>
        <v/>
      </c>
      <c r="EK54">
        <f>IF(AND(Settings!$A$36&lt;&gt;"",Settings!$G$36&lt;&gt;"No"),1,0)</f>
        <v/>
      </c>
      <c r="EL54">
        <f>IF(Settings!$A$36="","",IF(OR(Settings!$B$36="Card",Settings!$B$36="Loan"),-N(EB54),N(EB54)))</f>
        <v/>
      </c>
      <c r="EM54">
        <f>IF(Settings!$A$36="","",IF(Settings!$F$36="Yes","estimate",""))</f>
        <v/>
      </c>
      <c r="ET54">
        <f>IF($E54&lt;&gt;"open",0,IF(AND('Month-End'!$AY$22&lt;&gt;"",NOT(_xlfn.ISFORMULA('Month-End'!$AY$22))),0,IF(OR(Settings!$C$45="",Settings!$D$45=""),0,Settings!$C$45*IF(Settings!$D$45="Weekly",IF(IFERROR(MATCH(Settings!$E$45,$EO$4:$EO$10,0),0)=0,0,IF(MIN(Settings!$B$5,IF(Settings!$G$45="",Settings!$B$5,Settings!$G$45))&lt;MAX($A54,Settings!$F$45),0,INT((MIN(Settings!$B$5,IF(Settings!$G$45="",Settings!$B$5,Settings!$G$45))-MAX($A54,Settings!$F$45)-MOD(IFERROR(MATCH(Settings!$E$45,$EO$4:$EO$10,0),0)-WEEKDAY(MAX($A54,Settings!$F$45)),7))/7)+1)),IF(AND(IF(Settings!$E$45="",$B54,DATE(YEAR($A54),MONTH($A54),MIN(Settings!$E$45,DAY($B54))))&gt;=MAX($A54,Settings!$F$45),IF(Settings!$E$45="",$B54,DATE(YEAR($A54),MONTH($A54),MIN(Settings!$E$45,DAY($B54))))&lt;=MIN(Settings!$B$5,IF(Settings!$G$45="",Settings!$B$5,Settings!$G$45))),1,0)))))</f>
        <v/>
      </c>
      <c r="EU54">
        <f>IF($E54&lt;&gt;"open",0,IF(AND('Month-End'!$AY$23&lt;&gt;"",NOT(_xlfn.ISFORMULA('Month-End'!$AY$23))),0,IF(OR(Settings!$C$46="",Settings!$D$46=""),0,Settings!$C$46*IF(Settings!$D$46="Weekly",IF(IFERROR(MATCH(Settings!$E$46,$EO$4:$EO$10,0),0)=0,0,IF(MIN(Settings!$B$5,IF(Settings!$G$46="",Settings!$B$5,Settings!$G$46))&lt;MAX($A54,Settings!$F$46),0,INT((MIN(Settings!$B$5,IF(Settings!$G$46="",Settings!$B$5,Settings!$G$46))-MAX($A54,Settings!$F$46)-MOD(IFERROR(MATCH(Settings!$E$46,$EO$4:$EO$10,0),0)-WEEKDAY(MAX($A54,Settings!$F$46)),7))/7)+1)),IF(AND(IF(Settings!$E$46="",$B54,DATE(YEAR($A54),MONTH($A54),MIN(Settings!$E$46,DAY($B54))))&gt;=MAX($A54,Settings!$F$46),IF(Settings!$E$46="",$B54,DATE(YEAR($A54),MONTH($A54),MIN(Settings!$E$46,DAY($B54))))&lt;=MIN(Settings!$B$5,IF(Settings!$G$46="",Settings!$B$5,Settings!$G$46))),1,0)))))</f>
        <v/>
      </c>
      <c r="EV54">
        <f>IF($E54&lt;&gt;"open",0,IF(AND('Month-End'!$AY$24&lt;&gt;"",NOT(_xlfn.ISFORMULA('Month-End'!$AY$24))),0,IF(OR(Settings!$C$47="",Settings!$D$47=""),0,Settings!$C$47*IF(Settings!$D$47="Weekly",IF(IFERROR(MATCH(Settings!$E$47,$EO$4:$EO$10,0),0)=0,0,IF(MIN(Settings!$B$5,IF(Settings!$G$47="",Settings!$B$5,Settings!$G$47))&lt;MAX($A54,Settings!$F$47),0,INT((MIN(Settings!$B$5,IF(Settings!$G$47="",Settings!$B$5,Settings!$G$47))-MAX($A54,Settings!$F$47)-MOD(IFERROR(MATCH(Settings!$E$47,$EO$4:$EO$10,0),0)-WEEKDAY(MAX($A54,Settings!$F$47)),7))/7)+1)),IF(AND(IF(Settings!$E$47="",$B54,DATE(YEAR($A54),MONTH($A54),MIN(Settings!$E$47,DAY($B54))))&gt;=MAX($A54,Settings!$F$47),IF(Settings!$E$47="",$B54,DATE(YEAR($A54),MONTH($A54),MIN(Settings!$E$47,DAY($B54))))&lt;=MIN(Settings!$B$5,IF(Settings!$G$47="",Settings!$B$5,Settings!$G$47))),1,0)))))</f>
        <v/>
      </c>
      <c r="EW54">
        <f>IF($E54&lt;&gt;"open",0,IF(AND('Month-End'!$AY$25&lt;&gt;"",NOT(_xlfn.ISFORMULA('Month-End'!$AY$25))),0,IF(OR(Settings!$C$48="",Settings!$D$48=""),0,Settings!$C$48*IF(Settings!$D$48="Weekly",IF(IFERROR(MATCH(Settings!$E$48,$EO$4:$EO$10,0),0)=0,0,IF(MIN(Settings!$B$5,IF(Settings!$G$48="",Settings!$B$5,Settings!$G$48))&lt;MAX($A54,Settings!$F$48),0,INT((MIN(Settings!$B$5,IF(Settings!$G$48="",Settings!$B$5,Settings!$G$48))-MAX($A54,Settings!$F$48)-MOD(IFERROR(MATCH(Settings!$E$48,$EO$4:$EO$10,0),0)-WEEKDAY(MAX($A54,Settings!$F$48)),7))/7)+1)),IF(AND(IF(Settings!$E$48="",$B54,DATE(YEAR($A54),MONTH($A54),MIN(Settings!$E$48,DAY($B54))))&gt;=MAX($A54,Settings!$F$48),IF(Settings!$E$48="",$B54,DATE(YEAR($A54),MONTH($A54),MIN(Settings!$E$48,DAY($B54))))&lt;=MIN(Settings!$B$5,IF(Settings!$G$48="",Settings!$B$5,Settings!$G$48))),1,0)))))</f>
        <v/>
      </c>
      <c r="EX54">
        <f>IF($E54&lt;&gt;"open",0,IF(AND('Month-End'!$AY$26&lt;&gt;"",NOT(_xlfn.ISFORMULA('Month-End'!$AY$26))),0,IF(OR(Settings!$C$49="",Settings!$D$49=""),0,Settings!$C$49*IF(Settings!$D$49="Weekly",IF(IFERROR(MATCH(Settings!$E$49,$EO$4:$EO$10,0),0)=0,0,IF(MIN(Settings!$B$5,IF(Settings!$G$49="",Settings!$B$5,Settings!$G$49))&lt;MAX($A54,Settings!$F$49),0,INT((MIN(Settings!$B$5,IF(Settings!$G$49="",Settings!$B$5,Settings!$G$49))-MAX($A54,Settings!$F$49)-MOD(IFERROR(MATCH(Settings!$E$49,$EO$4:$EO$10,0),0)-WEEKDAY(MAX($A54,Settings!$F$49)),7))/7)+1)),IF(AND(IF(Settings!$E$49="",$B54,DATE(YEAR($A54),MONTH($A54),MIN(Settings!$E$49,DAY($B54))))&gt;=MAX($A54,Settings!$F$49),IF(Settings!$E$49="",$B54,DATE(YEAR($A54),MONTH($A54),MIN(Settings!$E$49,DAY($B54))))&lt;=MIN(Settings!$B$5,IF(Settings!$G$49="",Settings!$B$5,Settings!$G$49))),1,0)))))</f>
        <v/>
      </c>
      <c r="EY54">
        <f>IF($E54&lt;&gt;"open",0,IF(AND('Month-End'!$AY$27&lt;&gt;"",NOT(_xlfn.ISFORMULA('Month-End'!$AY$27))),0,IF(OR(Settings!$C$50="",Settings!$D$50=""),0,Settings!$C$50*IF(Settings!$D$50="Weekly",IF(IFERROR(MATCH(Settings!$E$50,$EO$4:$EO$10,0),0)=0,0,IF(MIN(Settings!$B$5,IF(Settings!$G$50="",Settings!$B$5,Settings!$G$50))&lt;MAX($A54,Settings!$F$50),0,INT((MIN(Settings!$B$5,IF(Settings!$G$50="",Settings!$B$5,Settings!$G$50))-MAX($A54,Settings!$F$50)-MOD(IFERROR(MATCH(Settings!$E$50,$EO$4:$EO$10,0),0)-WEEKDAY(MAX($A54,Settings!$F$50)),7))/7)+1)),IF(AND(IF(Settings!$E$50="",$B54,DATE(YEAR($A54),MONTH($A54),MIN(Settings!$E$50,DAY($B54))))&gt;=MAX($A54,Settings!$F$50),IF(Settings!$E$50="",$B54,DATE(YEAR($A54),MONTH($A54),MIN(Settings!$E$50,DAY($B54))))&lt;=MIN(Settings!$B$5,IF(Settings!$G$50="",Settings!$B$5,Settings!$G$50))),1,0)))))</f>
        <v/>
      </c>
      <c r="EZ54">
        <f>IF($E54&lt;&gt;"open",0,IF(AND('Month-End'!$AY$28&lt;&gt;"",NOT(_xlfn.ISFORMULA('Month-End'!$AY$28))),0,IF(OR(Settings!$C$51="",Settings!$D$51=""),0,Settings!$C$51*IF(Settings!$D$51="Weekly",IF(IFERROR(MATCH(Settings!$E$51,$EO$4:$EO$10,0),0)=0,0,IF(MIN(Settings!$B$5,IF(Settings!$G$51="",Settings!$B$5,Settings!$G$51))&lt;MAX($A54,Settings!$F$51),0,INT((MIN(Settings!$B$5,IF(Settings!$G$51="",Settings!$B$5,Settings!$G$51))-MAX($A54,Settings!$F$51)-MOD(IFERROR(MATCH(Settings!$E$51,$EO$4:$EO$10,0),0)-WEEKDAY(MAX($A54,Settings!$F$51)),7))/7)+1)),IF(AND(IF(Settings!$E$51="",$B54,DATE(YEAR($A54),MONTH($A54),MIN(Settings!$E$51,DAY($B54))))&gt;=MAX($A54,Settings!$F$51),IF(Settings!$E$51="",$B54,DATE(YEAR($A54),MONTH($A54),MIN(Settings!$E$51,DAY($B54))))&lt;=MIN(Settings!$B$5,IF(Settings!$G$51="",Settings!$B$5,Settings!$G$51))),1,0)))))</f>
        <v/>
      </c>
      <c r="FA54">
        <f>IF($E54&lt;&gt;"open",0,IF(AND('Month-End'!$AY$29&lt;&gt;"",NOT(_xlfn.ISFORMULA('Month-End'!$AY$29))),0,IF(OR(Settings!$C$52="",Settings!$D$52=""),0,Settings!$C$52*IF(Settings!$D$52="Weekly",IF(IFERROR(MATCH(Settings!$E$52,$EO$4:$EO$10,0),0)=0,0,IF(MIN(Settings!$B$5,IF(Settings!$G$52="",Settings!$B$5,Settings!$G$52))&lt;MAX($A54,Settings!$F$52),0,INT((MIN(Settings!$B$5,IF(Settings!$G$52="",Settings!$B$5,Settings!$G$52))-MAX($A54,Settings!$F$52)-MOD(IFERROR(MATCH(Settings!$E$52,$EO$4:$EO$10,0),0)-WEEKDAY(MAX($A54,Settings!$F$52)),7))/7)+1)),IF(AND(IF(Settings!$E$52="",$B54,DATE(YEAR($A54),MONTH($A54),MIN(Settings!$E$52,DAY($B54))))&gt;=MAX($A54,Settings!$F$52),IF(Settings!$E$52="",$B54,DATE(YEAR($A54),MONTH($A54),MIN(Settings!$E$52,DAY($B54))))&lt;=MIN(Settings!$B$5,IF(Settings!$G$52="",Settings!$B$5,Settings!$G$52))),1,0)))))</f>
        <v/>
      </c>
      <c r="FB54">
        <f>IF($E54&lt;&gt;"open",0,IF(AND('Month-End'!$AY$30&lt;&gt;"",NOT(_xlfn.ISFORMULA('Month-End'!$AY$30))),0,IF(OR(Settings!$C$53="",Settings!$D$53=""),0,Settings!$C$53*IF(Settings!$D$53="Weekly",IF(IFERROR(MATCH(Settings!$E$53,$EO$4:$EO$10,0),0)=0,0,IF(MIN(Settings!$B$5,IF(Settings!$G$53="",Settings!$B$5,Settings!$G$53))&lt;MAX($A54,Settings!$F$53),0,INT((MIN(Settings!$B$5,IF(Settings!$G$53="",Settings!$B$5,Settings!$G$53))-MAX($A54,Settings!$F$53)-MOD(IFERROR(MATCH(Settings!$E$53,$EO$4:$EO$10,0),0)-WEEKDAY(MAX($A54,Settings!$F$53)),7))/7)+1)),IF(AND(IF(Settings!$E$53="",$B54,DATE(YEAR($A54),MONTH($A54),MIN(Settings!$E$53,DAY($B54))))&gt;=MAX($A54,Settings!$F$53),IF(Settings!$E$53="",$B54,DATE(YEAR($A54),MONTH($A54),MIN(Settings!$E$53,DAY($B54))))&lt;=MIN(Settings!$B$5,IF(Settings!$G$53="",Settings!$B$5,Settings!$G$53))),1,0)))))</f>
        <v/>
      </c>
      <c r="FC54">
        <f>IF($E54&lt;&gt;"open",0,IF(AND('Month-End'!$AY$31&lt;&gt;"",NOT(_xlfn.ISFORMULA('Month-End'!$AY$31))),0,IF(OR(Settings!$C$54="",Settings!$D$54=""),0,Settings!$C$54*IF(Settings!$D$54="Weekly",IF(IFERROR(MATCH(Settings!$E$54,$EO$4:$EO$10,0),0)=0,0,IF(MIN(Settings!$B$5,IF(Settings!$G$54="",Settings!$B$5,Settings!$G$54))&lt;MAX($A54,Settings!$F$54),0,INT((MIN(Settings!$B$5,IF(Settings!$G$54="",Settings!$B$5,Settings!$G$54))-MAX($A54,Settings!$F$54)-MOD(IFERROR(MATCH(Settings!$E$54,$EO$4:$EO$10,0),0)-WEEKDAY(MAX($A54,Settings!$F$54)),7))/7)+1)),IF(AND(IF(Settings!$E$54="",$B54,DATE(YEAR($A54),MONTH($A54),MIN(Settings!$E$54,DAY($B54))))&gt;=MAX($A54,Settings!$F$54),IF(Settings!$E$54="",$B54,DATE(YEAR($A54),MONTH($A54),MIN(Settings!$E$54,DAY($B54))))&lt;=MIN(Settings!$B$5,IF(Settings!$G$54="",Settings!$B$5,Settings!$G$54))),1,0)))))</f>
        <v/>
      </c>
      <c r="FD54">
        <f>IF($E54&lt;&gt;"open",0,IF(AND('Month-End'!$AY$32&lt;&gt;"",NOT(_xlfn.ISFORMULA('Month-End'!$AY$32))),0,IF(OR(Settings!$C$55="",Settings!$D$55=""),0,Settings!$C$55*IF(Settings!$D$55="Weekly",IF(IFERROR(MATCH(Settings!$E$55,$EO$4:$EO$10,0),0)=0,0,IF(MIN(Settings!$B$5,IF(Settings!$G$55="",Settings!$B$5,Settings!$G$55))&lt;MAX($A54,Settings!$F$55),0,INT((MIN(Settings!$B$5,IF(Settings!$G$55="",Settings!$B$5,Settings!$G$55))-MAX($A54,Settings!$F$55)-MOD(IFERROR(MATCH(Settings!$E$55,$EO$4:$EO$10,0),0)-WEEKDAY(MAX($A54,Settings!$F$55)),7))/7)+1)),IF(AND(IF(Settings!$E$55="",$B54,DATE(YEAR($A54),MONTH($A54),MIN(Settings!$E$55,DAY($B54))))&gt;=MAX($A54,Settings!$F$55),IF(Settings!$E$55="",$B54,DATE(YEAR($A54),MONTH($A54),MIN(Settings!$E$55,DAY($B54))))&lt;=MIN(Settings!$B$5,IF(Settings!$G$55="",Settings!$B$5,Settings!$G$55))),1,0)))))</f>
        <v/>
      </c>
      <c r="FE54">
        <f>IF($E54&lt;&gt;"open",0,IF(AND('Month-End'!$AY$33&lt;&gt;"",NOT(_xlfn.ISFORMULA('Month-End'!$AY$33))),0,IF(OR(Settings!$C$56="",Settings!$D$56=""),0,Settings!$C$56*IF(Settings!$D$56="Weekly",IF(IFERROR(MATCH(Settings!$E$56,$EO$4:$EO$10,0),0)=0,0,IF(MIN(Settings!$B$5,IF(Settings!$G$56="",Settings!$B$5,Settings!$G$56))&lt;MAX($A54,Settings!$F$56),0,INT((MIN(Settings!$B$5,IF(Settings!$G$56="",Settings!$B$5,Settings!$G$56))-MAX($A54,Settings!$F$56)-MOD(IFERROR(MATCH(Settings!$E$56,$EO$4:$EO$10,0),0)-WEEKDAY(MAX($A54,Settings!$F$56)),7))/7)+1)),IF(AND(IF(Settings!$E$56="",$B54,DATE(YEAR($A54),MONTH($A54),MIN(Settings!$E$56,DAY($B54))))&gt;=MAX($A54,Settings!$F$56),IF(Settings!$E$56="",$B54,DATE(YEAR($A54),MONTH($A54),MIN(Settings!$E$56,DAY($B54))))&lt;=MIN(Settings!$B$5,IF(Settings!$G$56="",Settings!$B$5,Settings!$G$56))),1,0)))))</f>
        <v/>
      </c>
      <c r="FF54">
        <f>IF(Settings!$I$45="Yes",$G54,0)+IF(Settings!$I$46="Yes",$H54,0)+IF(Settings!$I$47="Yes",$I54,0)+IF(Settings!$I$48="Yes",$J54,0)+IF(Settings!$I$49="Yes",$K54,0)+IF(Settings!$I$50="Yes",$L54,0)+IF(Settings!$I$51="Yes",$M54,0)+IF(Settings!$I$52="Yes",$N54,0)+IF(Settings!$I$53="Yes",$O54,0)+IF(Settings!$I$54="Yes",$P54,0)+IF(Settings!$I$55="Yes",$Q54,0)+IF(Settings!$I$56="Yes",$R54,0)</f>
        <v/>
      </c>
      <c r="FG54">
        <f>IF(AND(Settings!$I$45="Yes",Settings!$J$45="No"),$G54,0)+IF(AND(Settings!$I$46="Yes",Settings!$J$46="No"),$H54,0)+IF(AND(Settings!$I$47="Yes",Settings!$J$47="No"),$I54,0)+IF(AND(Settings!$I$48="Yes",Settings!$J$48="No"),$J54,0)+IF(AND(Settings!$I$49="Yes",Settings!$J$49="No"),$K54,0)+IF(AND(Settings!$I$50="Yes",Settings!$J$50="No"),$L54,0)+IF(AND(Settings!$I$51="Yes",Settings!$J$51="No"),$M54,0)+IF(AND(Settings!$I$52="Yes",Settings!$J$52="No"),$N54,0)+IF(AND(Settings!$I$53="Yes",Settings!$J$53="No"),$O54,0)+IF(AND(Settings!$I$54="Yes",Settings!$J$54="No"),$P54,0)+IF(AND(Settings!$I$55="Yes",Settings!$J$55="No"),$Q54,0)+IF(AND(Settings!$I$56="Yes",Settings!$J$56="No"),$R54,0)</f>
        <v/>
      </c>
      <c r="FH54">
        <f>SUMIFS(Giving!$B$7:$B$2006,Giving!$A$7:$A$2006,"&gt;="&amp;$A54,Giving!$A$7:$A$2006,"&lt;="&amp;$B54,Giving!$G$7:$G$2006,"Yes")+IF(OR(OR(Settings!$B$60="",Settings!$F$60="No"),Settings!$H$60&lt;&gt;"Yes"),0,Settings!$B$60*IF(AND(IF(Settings!$C$60="",$B54,DATE(YEAR($A54),MONTH($A54),MIN(Settings!$C$60,DAY($B54))))&gt;=MAX($A54,Settings!$D$60),IF(Settings!$C$60="",$B54,DATE(YEAR($A54),MONTH($A54),MIN(Settings!$C$60,DAY($B54))))&lt;=MIN($C54,IF(Settings!$E$60="",$C54,Settings!$E$60))),1,0))+IF(OR(OR(Settings!$B$61="",Settings!$F$61="No"),Settings!$H$61&lt;&gt;"Yes"),0,Settings!$B$61*IF(AND(IF(Settings!$C$61="",$B54,DATE(YEAR($A54),MONTH($A54),MIN(Settings!$C$61,DAY($B54))))&gt;=MAX($A54,Settings!$D$61),IF(Settings!$C$61="",$B54,DATE(YEAR($A54),MONTH($A54),MIN(Settings!$C$61,DAY($B54))))&lt;=MIN($C54,IF(Settings!$E$61="",$C54,Settings!$E$61))),1,0))+IF(OR(OR(Settings!$B$62="",Settings!$F$62="No"),Settings!$H$62&lt;&gt;"Yes"),0,Settings!$B$62*IF(AND(IF(Settings!$C$62="",$B54,DATE(YEAR($A54),MONTH($A54),MIN(Settings!$C$62,DAY($B54))))&gt;=MAX($A54,Settings!$D$62),IF(Settings!$C$62="",$B54,DATE(YEAR($A54),MONTH($A54),MIN(Settings!$C$62,DAY($B54))))&lt;=MIN($C54,IF(Settings!$E$62="",$C54,Settings!$E$62))),1,0))+IF(OR(OR(Settings!$B$63="",Settings!$F$63="No"),Settings!$H$63&lt;&gt;"Yes"),0,Settings!$B$63*IF(AND(IF(Settings!$C$63="",$B54,DATE(YEAR($A54),MONTH($A54),MIN(Settings!$C$63,DAY($B54))))&gt;=MAX($A54,Settings!$D$63),IF(Settings!$C$63="",$B54,DATE(YEAR($A54),MONTH($A54),MIN(Settings!$C$63,DAY($B54))))&lt;=MIN($C54,IF(Settings!$E$63="",$C54,Settings!$E$63))),1,0))+IF(OR(OR(Settings!$B$64="",Settings!$F$64="No"),Settings!$H$64&lt;&gt;"Yes"),0,Settings!$B$64*IF(AND(IF(Settings!$C$64="",$B54,DATE(YEAR($A54),MONTH($A54),MIN(Settings!$C$64,DAY($B54))))&gt;=MAX($A54,Settings!$D$64),IF(Settings!$C$64="",$B54,DATE(YEAR($A54),MONTH($A54),MIN(Settings!$C$64,DAY($B54))))&lt;=MIN($C54,IF(Settings!$E$64="",$C54,Settings!$E$64))),1,0))+IF(OR(OR(Settings!$B$65="",Settings!$F$65="No"),Settings!$H$65&lt;&gt;"Yes"),0,Settings!$B$65*IF(AND(IF(Settings!$C$65="",$B54,DATE(YEAR($A54),MONTH($A54),MIN(Settings!$C$65,DAY($B54))))&gt;=MAX($A54,Settings!$D$65),IF(Settings!$C$65="",$B54,DATE(YEAR($A54),MONTH($A54),MIN(Settings!$C$65,DAY($B54))))&lt;=MIN($C54,IF(Settings!$E$65="",$C54,Settings!$E$65))),1,0))</f>
        <v/>
      </c>
      <c r="FI54">
        <f>IF($DT54=1,IF(OR(Settings!$B$19="Card",Settings!$B$19="Loan"),N($AE54),0)+IF(OR(Settings!$B$20="Card",Settings!$B$20="Loan"),N($AF54),0)+IF(OR(Settings!$B$21="Card",Settings!$B$21="Loan"),N($AG54),0)+IF(OR(Settings!$B$22="Card",Settings!$B$22="Loan"),N($AH54),0)+IF(OR(Settings!$B$23="Card",Settings!$B$23="Loan"),N($AI54),0)+IF(OR(Settings!$B$24="Card",Settings!$B$24="Loan"),N($AJ54),0)+IF(OR(Settings!$B$25="Card",Settings!$B$25="Loan"),N($AK54),0)+IF(OR(Settings!$B$26="Card",Settings!$B$26="Loan"),N($AL54),0)+IF(OR(Settings!$B$27="Card",Settings!$B$27="Loan"),N($AM54),0)+IF(OR(Settings!$B$28="Card",Settings!$B$28="Loan"),N($AN54),0)+IF(OR(Settings!$B$29="Card",Settings!$B$29="Loan"),N($AO54),0)+IF(OR(Settings!$B$30="Card",Settings!$B$30="Loan"),N($AP54),0)+IF(OR(Settings!$B$31="Card",Settings!$B$31="Loan"),N($AQ54),0)+IF(OR(Settings!$B$32="Card",Settings!$B$32="Loan"),N($AR54),0),"")</f>
        <v/>
      </c>
      <c r="FJ54">
        <f>IF($E54="open",$EB$65,IF($E54="post",IF($E53="pre",$EB$65,$FI53),""))</f>
        <v/>
      </c>
      <c r="FK54">
        <f>IF(AND($DT54=1,$DC54=1),IF(ROUND($FI54-$FJ54,2)&gt;0,1,0),0)</f>
        <v/>
      </c>
      <c r="FL54">
        <f>IF($FK54=1,$FL53+1,0)</f>
        <v/>
      </c>
    </row>
    <row r="55">
      <c r="A55">
        <f>'Month-End'!$AZ$4</f>
        <v/>
      </c>
      <c r="B55">
        <f>EOMONTH($A55,0)</f>
        <v/>
      </c>
      <c r="C55">
        <f>MIN($B55,TODAY())</f>
        <v/>
      </c>
      <c r="D55">
        <f>IF($A55&gt;TODAY(),1,0)</f>
        <v/>
      </c>
      <c r="E55">
        <f>IF($B55&lt;=Settings!$B$5,"pre",IF($A55&lt;=Settings!$B$5,"open","post"))</f>
        <v/>
      </c>
      <c r="G55">
        <f>IF('Month-End'!$AZ$22="",$BE55,N('Month-End'!$AZ$22))</f>
        <v/>
      </c>
      <c r="H55">
        <f>IF('Month-End'!$AZ$23="",$BF55,N('Month-End'!$AZ$23))</f>
        <v/>
      </c>
      <c r="I55">
        <f>IF('Month-End'!$AZ$24="",$BG55,N('Month-End'!$AZ$24))</f>
        <v/>
      </c>
      <c r="J55">
        <f>IF('Month-End'!$AZ$25="",$BH55,N('Month-End'!$AZ$25))</f>
        <v/>
      </c>
      <c r="K55">
        <f>IF('Month-End'!$AZ$26="",$BI55,N('Month-End'!$AZ$26))</f>
        <v/>
      </c>
      <c r="L55">
        <f>IF('Month-End'!$AZ$27="",$BJ55,N('Month-End'!$AZ$27))</f>
        <v/>
      </c>
      <c r="M55">
        <f>IF('Month-End'!$AZ$28="",$BK55,N('Month-End'!$AZ$28))</f>
        <v/>
      </c>
      <c r="N55">
        <f>IF('Month-End'!$AZ$29="",$BL55,N('Month-End'!$AZ$29))</f>
        <v/>
      </c>
      <c r="O55">
        <f>IF('Month-End'!$AZ$30="",$BM55,N('Month-End'!$AZ$30))</f>
        <v/>
      </c>
      <c r="P55">
        <f>IF('Month-End'!$AZ$31="",$BN55,N('Month-End'!$AZ$31))</f>
        <v/>
      </c>
      <c r="Q55">
        <f>IF('Month-End'!$AZ$32="",$BO55,N('Month-End'!$AZ$32))</f>
        <v/>
      </c>
      <c r="R55">
        <f>IF('Month-End'!$AZ$33="",$BP55,N('Month-End'!$AZ$33))</f>
        <v/>
      </c>
      <c r="S55">
        <f>$G55+$H55+$I55+$J55+$K55+$L55+$M55+$N55+$O55+$P55+$Q55+$R55</f>
        <v/>
      </c>
      <c r="T55">
        <f>IF($B55&lt;Settings!$B$6,0,IF(Settings!$B$45="Yes",$G55,0)+IF(Settings!$B$46="Yes",$H55,0)+IF(Settings!$B$47="Yes",$I55,0)+IF(Settings!$B$48="Yes",$J55,0)+IF(Settings!$B$49="Yes",$K55,0)+IF(Settings!$B$50="Yes",$L55,0)+IF(Settings!$B$51="Yes",$M55,0)+IF(Settings!$B$52="Yes",$N55,0)+IF(Settings!$B$53="Yes",$O55,0)+IF(Settings!$B$54="Yes",$P55,0)+IF(Settings!$B$55="Yes",$Q55,0)+IF(Settings!$B$56="Yes",$R55,0))</f>
        <v/>
      </c>
      <c r="U55">
        <f>IF(Settings!$B$45="Not Sure",$G55,0)+IF(Settings!$B$46="Not Sure",$H55,0)+IF(Settings!$B$47="Not Sure",$I55,0)+IF(Settings!$B$48="Not Sure",$J55,0)+IF(Settings!$B$49="Not Sure",$K55,0)+IF(Settings!$B$50="Not Sure",$L55,0)+IF(Settings!$B$51="Not Sure",$M55,0)+IF(Settings!$B$52="Not Sure",$N55,0)+IF(Settings!$B$53="Not Sure",$O55,0)+IF(Settings!$B$54="Not Sure",$P55,0)+IF(Settings!$B$55="Not Sure",$Q55,0)+IF(Settings!$B$56="Not Sure",$R55,0)</f>
        <v/>
      </c>
      <c r="V55">
        <f>IF($E55="open",SUM($ET55:$FE55)+N(Settings!$B$13),0)</f>
        <v/>
      </c>
      <c r="W55">
        <f>IF($E55="post",$S55,IF($E55="open",$S55-$V55,0))</f>
        <v/>
      </c>
      <c r="X55">
        <f>SUMIFS(Giving!$B$7:$B$2006,Giving!$A$7:$A$2006,"&gt;="&amp;$A55,Giving!$A$7:$A$2006,"&lt;="&amp;$B55,Giving!$E$7:$E$2006,"&lt;&gt;No")</f>
        <v/>
      </c>
      <c r="Y55">
        <f>SUMIFS(Giving!$B$7:$B$2006,Giving!$A$7:$A$2006,"&gt;="&amp;$A55,Giving!$A$7:$A$2006,"&lt;="&amp;$B55,Giving!$E$7:$E$2006,"No")</f>
        <v/>
      </c>
      <c r="Z55">
        <f>IF(OR(Settings!$B$60="",Settings!$F$60="No"),0,Settings!$B$60*IF(AND(IF(Settings!$C$60="",$B55,DATE(YEAR($A55),MONTH($A55),MIN(Settings!$C$60,DAY($B55))))&gt;=MAX($A55,Settings!$D$60),IF(Settings!$C$60="",$B55,DATE(YEAR($A55),MONTH($A55),MIN(Settings!$C$60,DAY($B55))))&lt;=MIN($C55,IF(Settings!$E$60="",$C55,Settings!$E$60))),1,0))+IF(OR(Settings!$B$61="",Settings!$F$61="No"),0,Settings!$B$61*IF(AND(IF(Settings!$C$61="",$B55,DATE(YEAR($A55),MONTH($A55),MIN(Settings!$C$61,DAY($B55))))&gt;=MAX($A55,Settings!$D$61),IF(Settings!$C$61="",$B55,DATE(YEAR($A55),MONTH($A55),MIN(Settings!$C$61,DAY($B55))))&lt;=MIN($C55,IF(Settings!$E$61="",$C55,Settings!$E$61))),1,0))+IF(OR(Settings!$B$62="",Settings!$F$62="No"),0,Settings!$B$62*IF(AND(IF(Settings!$C$62="",$B55,DATE(YEAR($A55),MONTH($A55),MIN(Settings!$C$62,DAY($B55))))&gt;=MAX($A55,Settings!$D$62),IF(Settings!$C$62="",$B55,DATE(YEAR($A55),MONTH($A55),MIN(Settings!$C$62,DAY($B55))))&lt;=MIN($C55,IF(Settings!$E$62="",$C55,Settings!$E$62))),1,0))+IF(OR(Settings!$B$63="",Settings!$F$63="No"),0,Settings!$B$63*IF(AND(IF(Settings!$C$63="",$B55,DATE(YEAR($A55),MONTH($A55),MIN(Settings!$C$63,DAY($B55))))&gt;=MAX($A55,Settings!$D$63),IF(Settings!$C$63="",$B55,DATE(YEAR($A55),MONTH($A55),MIN(Settings!$C$63,DAY($B55))))&lt;=MIN($C55,IF(Settings!$E$63="",$C55,Settings!$E$63))),1,0))+IF(OR(Settings!$B$64="",Settings!$F$64="No"),0,Settings!$B$64*IF(AND(IF(Settings!$C$64="",$B55,DATE(YEAR($A55),MONTH($A55),MIN(Settings!$C$64,DAY($B55))))&gt;=MAX($A55,Settings!$D$64),IF(Settings!$C$64="",$B55,DATE(YEAR($A55),MONTH($A55),MIN(Settings!$C$64,DAY($B55))))&lt;=MIN($C55,IF(Settings!$E$64="",$C55,Settings!$E$64))),1,0))+IF(OR(Settings!$B$65="",Settings!$F$65="No"),0,Settings!$B$65*IF(AND(IF(Settings!$C$65="",$B55,DATE(YEAR($A55),MONTH($A55),MIN(Settings!$C$65,DAY($B55))))&gt;=MAX($A55,Settings!$D$65),IF(Settings!$C$65="",$B55,DATE(YEAR($A55),MONTH($A55),MIN(Settings!$C$65,DAY($B55))))&lt;=MIN($C55,IF(Settings!$E$65="",$C55,Settings!$E$65))),1,0))</f>
        <v/>
      </c>
      <c r="AA55">
        <f>$X55+$Z55</f>
        <v/>
      </c>
      <c r="AB55">
        <f>IF($E55="post",$AA55,IF($E55="open",SUMIFS(Giving!$B$7:$B$2006,Giving!$A$7:$A$2006,"&gt;"&amp;Settings!$B$5,Giving!$A$7:$A$2006,"&lt;="&amp;$B55,Giving!$E$7:$E$2006,"&lt;&gt;No")+IF(OR(Settings!$B$60="",Settings!$F$60="No"),0,Settings!$B$60*IF(AND(IF(Settings!$C$60="",$B55,DATE(YEAR($A55),MONTH($A55),MIN(Settings!$C$60,DAY($B55))))&gt;=MAX($A55,Settings!$D$60,Settings!$B$5+1),IF(Settings!$C$60="",$B55,DATE(YEAR($A55),MONTH($A55),MIN(Settings!$C$60,DAY($B55))))&lt;=MIN($C55,IF(Settings!$E$60="",$C55,Settings!$E$60))),1,0))+IF(OR(Settings!$B$61="",Settings!$F$61="No"),0,Settings!$B$61*IF(AND(IF(Settings!$C$61="",$B55,DATE(YEAR($A55),MONTH($A55),MIN(Settings!$C$61,DAY($B55))))&gt;=MAX($A55,Settings!$D$61,Settings!$B$5+1),IF(Settings!$C$61="",$B55,DATE(YEAR($A55),MONTH($A55),MIN(Settings!$C$61,DAY($B55))))&lt;=MIN($C55,IF(Settings!$E$61="",$C55,Settings!$E$61))),1,0))+IF(OR(Settings!$B$62="",Settings!$F$62="No"),0,Settings!$B$62*IF(AND(IF(Settings!$C$62="",$B55,DATE(YEAR($A55),MONTH($A55),MIN(Settings!$C$62,DAY($B55))))&gt;=MAX($A55,Settings!$D$62,Settings!$B$5+1),IF(Settings!$C$62="",$B55,DATE(YEAR($A55),MONTH($A55),MIN(Settings!$C$62,DAY($B55))))&lt;=MIN($C55,IF(Settings!$E$62="",$C55,Settings!$E$62))),1,0))+IF(OR(Settings!$B$63="",Settings!$F$63="No"),0,Settings!$B$63*IF(AND(IF(Settings!$C$63="",$B55,DATE(YEAR($A55),MONTH($A55),MIN(Settings!$C$63,DAY($B55))))&gt;=MAX($A55,Settings!$D$63,Settings!$B$5+1),IF(Settings!$C$63="",$B55,DATE(YEAR($A55),MONTH($A55),MIN(Settings!$C$63,DAY($B55))))&lt;=MIN($C55,IF(Settings!$E$63="",$C55,Settings!$E$63))),1,0))+IF(OR(Settings!$B$64="",Settings!$F$64="No"),0,Settings!$B$64*IF(AND(IF(Settings!$C$64="",$B55,DATE(YEAR($A55),MONTH($A55),MIN(Settings!$C$64,DAY($B55))))&gt;=MAX($A55,Settings!$D$64,Settings!$B$5+1),IF(Settings!$C$64="",$B55,DATE(YEAR($A55),MONTH($A55),MIN(Settings!$C$64,DAY($B55))))&lt;=MIN($C55,IF(Settings!$E$64="",$C55,Settings!$E$64))),1,0))+IF(OR(Settings!$B$65="",Settings!$F$65="No"),0,Settings!$B$65*IF(AND(IF(Settings!$C$65="",$B55,DATE(YEAR($A55),MONTH($A55),MIN(Settings!$C$65,DAY($B55))))&gt;=MAX($A55,Settings!$D$65,Settings!$B$5+1),IF(Settings!$C$65="",$B55,DATE(YEAR($A55),MONTH($A55),MIN(Settings!$C$65,DAY($B55))))&lt;=MIN($C55,IF(Settings!$E$65="",$C55,Settings!$E$65))),1,0)),0))</f>
        <v/>
      </c>
      <c r="AC55">
        <f>$AY55+$AZ55+$BA55+$BB55+$BC55+$BD55</f>
        <v/>
      </c>
      <c r="AD55">
        <f>$AC55</f>
        <v/>
      </c>
      <c r="AE55">
        <f>IF(OR(Settings!$A$19="",$E55="pre"),"",IF(AND('Month-End'!$AZ$7&lt;&gt;"",NOT(_xlfn.ISFORMULA('Month-End'!$AZ$7))),N('Month-End'!$AZ$7),IF(OR($E55="open",$E54="pre"),N(Settings!$C$19),N($AE54))))</f>
        <v/>
      </c>
      <c r="AF55">
        <f>IF(OR(Settings!$A$20="",$E55="pre"),"",IF(AND('Month-End'!$AZ$8&lt;&gt;"",NOT(_xlfn.ISFORMULA('Month-End'!$AZ$8))),N('Month-End'!$AZ$8),IF(OR($E55="open",$E54="pre"),N(Settings!$C$20),N($AF54))))</f>
        <v/>
      </c>
      <c r="AG55">
        <f>IF(OR(Settings!$A$21="",$E55="pre"),"",IF(AND('Month-End'!$AZ$9&lt;&gt;"",NOT(_xlfn.ISFORMULA('Month-End'!$AZ$9))),N('Month-End'!$AZ$9),IF(OR($E55="open",$E54="pre"),N(Settings!$C$21),N($AG54))))</f>
        <v/>
      </c>
      <c r="AH55">
        <f>IF(OR(Settings!$A$22="",$E55="pre"),"",IF(AND('Month-End'!$AZ$10&lt;&gt;"",NOT(_xlfn.ISFORMULA('Month-End'!$AZ$10))),N('Month-End'!$AZ$10),IF(OR($E55="open",$E54="pre"),N(Settings!$C$22),N($AH54))))</f>
        <v/>
      </c>
      <c r="AI55">
        <f>IF(OR(Settings!$A$23="",$E55="pre"),"",IF(AND('Month-End'!$AZ$11&lt;&gt;"",NOT(_xlfn.ISFORMULA('Month-End'!$AZ$11))),N('Month-End'!$AZ$11),IF(OR($E55="open",$E54="pre"),N(Settings!$C$23),N($AI54))))</f>
        <v/>
      </c>
      <c r="AJ55">
        <f>IF(OR(Settings!$A$24="",$E55="pre"),"",IF(AND('Month-End'!$AZ$12&lt;&gt;"",NOT(_xlfn.ISFORMULA('Month-End'!$AZ$12))),N('Month-End'!$AZ$12),IF(OR($E55="open",$E54="pre"),N(Settings!$C$24),N($AJ54))))</f>
        <v/>
      </c>
      <c r="AK55">
        <f>IF(OR(Settings!$A$25="",$E55="pre"),"",IF(AND('Month-End'!$AZ$13&lt;&gt;"",NOT(_xlfn.ISFORMULA('Month-End'!$AZ$13))),N('Month-End'!$AZ$13),IF(OR($E55="open",$E54="pre"),N(Settings!$C$25),N($AK54))))</f>
        <v/>
      </c>
      <c r="AL55">
        <f>IF(OR(Settings!$A$26="",$E55="pre"),"",IF(AND('Month-End'!$AZ$14&lt;&gt;"",NOT(_xlfn.ISFORMULA('Month-End'!$AZ$14))),N('Month-End'!$AZ$14),IF(OR($E55="open",$E54="pre"),N(Settings!$C$26),N($AL54))))</f>
        <v/>
      </c>
      <c r="AM55">
        <f>IF(OR(Settings!$A$27="",$E55="pre"),"",IF(AND('Month-End'!$AZ$15&lt;&gt;"",NOT(_xlfn.ISFORMULA('Month-End'!$AZ$15))),N('Month-End'!$AZ$15),IF(OR($E55="open",$E54="pre"),N(Settings!$C$27),N($AM54))))</f>
        <v/>
      </c>
      <c r="AN55">
        <f>IF(OR(Settings!$A$28="",$E55="pre"),"",IF(AND('Month-End'!$AZ$16&lt;&gt;"",NOT(_xlfn.ISFORMULA('Month-End'!$AZ$16))),N('Month-End'!$AZ$16),IF(OR($E55="open",$E54="pre"),N(Settings!$C$28),N($AN54))))</f>
        <v/>
      </c>
      <c r="AO55">
        <f>IF(OR(Settings!$A$29="",$E55="pre"),"",IF(AND('Month-End'!$AZ$17&lt;&gt;"",NOT(_xlfn.ISFORMULA('Month-End'!$AZ$17))),N('Month-End'!$AZ$17),IF(OR($E55="open",$E54="pre"),N(Settings!$C$29),N($AO54))))</f>
        <v/>
      </c>
      <c r="AP55">
        <f>IF(OR(Settings!$A$30="",$E55="pre"),"",IF(AND('Month-End'!$AZ$18&lt;&gt;"",NOT(_xlfn.ISFORMULA('Month-End'!$AZ$18))),N('Month-End'!$AZ$18),IF(OR($E55="open",$E54="pre"),N(Settings!$C$30),N($AP54))))</f>
        <v/>
      </c>
      <c r="AQ55">
        <f>IF(OR(Settings!$A$31="",$E55="pre"),"",IF(AND('Month-End'!$AZ$19&lt;&gt;"",NOT(_xlfn.ISFORMULA('Month-End'!$AZ$19))),N('Month-End'!$AZ$19),IF(OR($E55="open",$E54="pre"),N(Settings!$C$31),N($AQ54))))</f>
        <v/>
      </c>
      <c r="AR55">
        <f>IF(OR(Settings!$A$32="",$E55="pre"),"",IF(AND('Month-End'!$AZ$20&lt;&gt;"",NOT(_xlfn.ISFORMULA('Month-End'!$AZ$20))),N('Month-End'!$AZ$20),IF(OR($E55="open",$E54="pre"),N(Settings!$C$32),N($AR54))))</f>
        <v/>
      </c>
      <c r="AS55">
        <f>IF(OR(Settings!$A$36="",$E55="pre"),"",IF(AND('Month-End'!$AZ$38&lt;&gt;"",NOT(_xlfn.ISFORMULA('Month-End'!$AZ$38))),N('Month-End'!$AZ$38),IF(OR($E55="open",$E54="pre"),N(Settings!$C$36),N($AS54))+$AY55))</f>
        <v/>
      </c>
      <c r="AT55">
        <f>IF(OR(Settings!$A$37="",$E55="pre"),"",IF(AND('Month-End'!$AZ$39&lt;&gt;"",NOT(_xlfn.ISFORMULA('Month-End'!$AZ$39))),N('Month-End'!$AZ$39),IF(OR($E55="open",$E54="pre"),N(Settings!$C$37),N($AT54))+$AZ55))</f>
        <v/>
      </c>
      <c r="AU55">
        <f>IF(OR(Settings!$A$38="",$E55="pre"),"",IF(AND('Month-End'!$AZ$40&lt;&gt;"",NOT(_xlfn.ISFORMULA('Month-End'!$AZ$40))),N('Month-End'!$AZ$40),IF(OR($E55="open",$E54="pre"),N(Settings!$C$38),N($AU54))+$BA55))</f>
        <v/>
      </c>
      <c r="AV55">
        <f>IF(OR(Settings!$A$39="",$E55="pre"),"",IF(AND('Month-End'!$AZ$41&lt;&gt;"",NOT(_xlfn.ISFORMULA('Month-End'!$AZ$41))),N('Month-End'!$AZ$41),IF(OR($E55="open",$E54="pre"),N(Settings!$C$39),N($AV54))+$BB55))</f>
        <v/>
      </c>
      <c r="AW55">
        <f>IF(OR(Settings!$A$40="",$E55="pre"),"",IF(AND('Month-End'!$AZ$42&lt;&gt;"",NOT(_xlfn.ISFORMULA('Month-End'!$AZ$42))),N('Month-End'!$AZ$42),IF(OR($E55="open",$E54="pre"),N(Settings!$C$40),N($AW54))+$BC55))</f>
        <v/>
      </c>
      <c r="AX55">
        <f>IF(OR(Settings!$A$41="",$E55="pre"),"",IF(AND('Month-End'!$AZ$43&lt;&gt;"",NOT(_xlfn.ISFORMULA('Month-End'!$AZ$43))),N('Month-End'!$AZ$43),IF(OR($E55="open",$E54="pre"),N(Settings!$C$41),N($AX54))+$BD55))</f>
        <v/>
      </c>
      <c r="AY55">
        <f>IF($E55="pre",0,N('Month-End'!$AZ$45))</f>
        <v/>
      </c>
      <c r="AZ55">
        <f>IF($E55="pre",0,N('Month-End'!$AZ$46))</f>
        <v/>
      </c>
      <c r="BA55">
        <f>IF($E55="pre",0,N('Month-End'!$AZ$47))</f>
        <v/>
      </c>
      <c r="BB55">
        <f>IF($E55="pre",0,N('Month-End'!$AZ$48))</f>
        <v/>
      </c>
      <c r="BC55">
        <f>IF($E55="pre",0,N('Month-End'!$AZ$49))</f>
        <v/>
      </c>
      <c r="BD55">
        <f>IF($E55="pre",0,N('Month-End'!$AZ$50))</f>
        <v/>
      </c>
      <c r="BE55">
        <f>IF(OR(Settings!$C$45="",Settings!$D$45=""),0,Settings!$C$45*IF(Settings!$D$45="Weekly",IF(IFERROR(MATCH(Settings!$E$45,$EO$4:$EO$10,0),0)=0,0,IF(MIN($C55,IF(Settings!$G$45="",$C55,Settings!$G$45))&lt;MAX($A55,Settings!$F$45),0,INT((MIN($C55,IF(Settings!$G$45="",$C55,Settings!$G$45))-MAX($A55,Settings!$F$45)-MOD(IFERROR(MATCH(Settings!$E$45,$EO$4:$EO$10,0),0)-WEEKDAY(MAX($A55,Settings!$F$45)),7))/7)+1)),IF(AND(IF(Settings!$E$45="",$B55,DATE(YEAR($A55),MONTH($A55),MIN(Settings!$E$45,DAY($B55))))&gt;=MAX($A55,Settings!$F$45),IF(Settings!$E$45="",$B55,DATE(YEAR($A55),MONTH($A55),MIN(Settings!$E$45,DAY($B55))))&lt;=MIN($C55,IF(Settings!$G$45="",$C55,Settings!$G$45))),1,0)))</f>
        <v/>
      </c>
      <c r="BF55">
        <f>IF(OR(Settings!$C$46="",Settings!$D$46=""),0,Settings!$C$46*IF(Settings!$D$46="Weekly",IF(IFERROR(MATCH(Settings!$E$46,$EO$4:$EO$10,0),0)=0,0,IF(MIN($C55,IF(Settings!$G$46="",$C55,Settings!$G$46))&lt;MAX($A55,Settings!$F$46),0,INT((MIN($C55,IF(Settings!$G$46="",$C55,Settings!$G$46))-MAX($A55,Settings!$F$46)-MOD(IFERROR(MATCH(Settings!$E$46,$EO$4:$EO$10,0),0)-WEEKDAY(MAX($A55,Settings!$F$46)),7))/7)+1)),IF(AND(IF(Settings!$E$46="",$B55,DATE(YEAR($A55),MONTH($A55),MIN(Settings!$E$46,DAY($B55))))&gt;=MAX($A55,Settings!$F$46),IF(Settings!$E$46="",$B55,DATE(YEAR($A55),MONTH($A55),MIN(Settings!$E$46,DAY($B55))))&lt;=MIN($C55,IF(Settings!$G$46="",$C55,Settings!$G$46))),1,0)))</f>
        <v/>
      </c>
      <c r="BG55">
        <f>IF(OR(Settings!$C$47="",Settings!$D$47=""),0,Settings!$C$47*IF(Settings!$D$47="Weekly",IF(IFERROR(MATCH(Settings!$E$47,$EO$4:$EO$10,0),0)=0,0,IF(MIN($C55,IF(Settings!$G$47="",$C55,Settings!$G$47))&lt;MAX($A55,Settings!$F$47),0,INT((MIN($C55,IF(Settings!$G$47="",$C55,Settings!$G$47))-MAX($A55,Settings!$F$47)-MOD(IFERROR(MATCH(Settings!$E$47,$EO$4:$EO$10,0),0)-WEEKDAY(MAX($A55,Settings!$F$47)),7))/7)+1)),IF(AND(IF(Settings!$E$47="",$B55,DATE(YEAR($A55),MONTH($A55),MIN(Settings!$E$47,DAY($B55))))&gt;=MAX($A55,Settings!$F$47),IF(Settings!$E$47="",$B55,DATE(YEAR($A55),MONTH($A55),MIN(Settings!$E$47,DAY($B55))))&lt;=MIN($C55,IF(Settings!$G$47="",$C55,Settings!$G$47))),1,0)))</f>
        <v/>
      </c>
      <c r="BH55">
        <f>IF(OR(Settings!$C$48="",Settings!$D$48=""),0,Settings!$C$48*IF(Settings!$D$48="Weekly",IF(IFERROR(MATCH(Settings!$E$48,$EO$4:$EO$10,0),0)=0,0,IF(MIN($C55,IF(Settings!$G$48="",$C55,Settings!$G$48))&lt;MAX($A55,Settings!$F$48),0,INT((MIN($C55,IF(Settings!$G$48="",$C55,Settings!$G$48))-MAX($A55,Settings!$F$48)-MOD(IFERROR(MATCH(Settings!$E$48,$EO$4:$EO$10,0),0)-WEEKDAY(MAX($A55,Settings!$F$48)),7))/7)+1)),IF(AND(IF(Settings!$E$48="",$B55,DATE(YEAR($A55),MONTH($A55),MIN(Settings!$E$48,DAY($B55))))&gt;=MAX($A55,Settings!$F$48),IF(Settings!$E$48="",$B55,DATE(YEAR($A55),MONTH($A55),MIN(Settings!$E$48,DAY($B55))))&lt;=MIN($C55,IF(Settings!$G$48="",$C55,Settings!$G$48))),1,0)))</f>
        <v/>
      </c>
      <c r="BI55">
        <f>IF(OR(Settings!$C$49="",Settings!$D$49=""),0,Settings!$C$49*IF(Settings!$D$49="Weekly",IF(IFERROR(MATCH(Settings!$E$49,$EO$4:$EO$10,0),0)=0,0,IF(MIN($C55,IF(Settings!$G$49="",$C55,Settings!$G$49))&lt;MAX($A55,Settings!$F$49),0,INT((MIN($C55,IF(Settings!$G$49="",$C55,Settings!$G$49))-MAX($A55,Settings!$F$49)-MOD(IFERROR(MATCH(Settings!$E$49,$EO$4:$EO$10,0),0)-WEEKDAY(MAX($A55,Settings!$F$49)),7))/7)+1)),IF(AND(IF(Settings!$E$49="",$B55,DATE(YEAR($A55),MONTH($A55),MIN(Settings!$E$49,DAY($B55))))&gt;=MAX($A55,Settings!$F$49),IF(Settings!$E$49="",$B55,DATE(YEAR($A55),MONTH($A55),MIN(Settings!$E$49,DAY($B55))))&lt;=MIN($C55,IF(Settings!$G$49="",$C55,Settings!$G$49))),1,0)))</f>
        <v/>
      </c>
      <c r="BJ55">
        <f>IF(OR(Settings!$C$50="",Settings!$D$50=""),0,Settings!$C$50*IF(Settings!$D$50="Weekly",IF(IFERROR(MATCH(Settings!$E$50,$EO$4:$EO$10,0),0)=0,0,IF(MIN($C55,IF(Settings!$G$50="",$C55,Settings!$G$50))&lt;MAX($A55,Settings!$F$50),0,INT((MIN($C55,IF(Settings!$G$50="",$C55,Settings!$G$50))-MAX($A55,Settings!$F$50)-MOD(IFERROR(MATCH(Settings!$E$50,$EO$4:$EO$10,0),0)-WEEKDAY(MAX($A55,Settings!$F$50)),7))/7)+1)),IF(AND(IF(Settings!$E$50="",$B55,DATE(YEAR($A55),MONTH($A55),MIN(Settings!$E$50,DAY($B55))))&gt;=MAX($A55,Settings!$F$50),IF(Settings!$E$50="",$B55,DATE(YEAR($A55),MONTH($A55),MIN(Settings!$E$50,DAY($B55))))&lt;=MIN($C55,IF(Settings!$G$50="",$C55,Settings!$G$50))),1,0)))</f>
        <v/>
      </c>
      <c r="BK55">
        <f>IF(OR(Settings!$C$51="",Settings!$D$51=""),0,Settings!$C$51*IF(Settings!$D$51="Weekly",IF(IFERROR(MATCH(Settings!$E$51,$EO$4:$EO$10,0),0)=0,0,IF(MIN($C55,IF(Settings!$G$51="",$C55,Settings!$G$51))&lt;MAX($A55,Settings!$F$51),0,INT((MIN($C55,IF(Settings!$G$51="",$C55,Settings!$G$51))-MAX($A55,Settings!$F$51)-MOD(IFERROR(MATCH(Settings!$E$51,$EO$4:$EO$10,0),0)-WEEKDAY(MAX($A55,Settings!$F$51)),7))/7)+1)),IF(AND(IF(Settings!$E$51="",$B55,DATE(YEAR($A55),MONTH($A55),MIN(Settings!$E$51,DAY($B55))))&gt;=MAX($A55,Settings!$F$51),IF(Settings!$E$51="",$B55,DATE(YEAR($A55),MONTH($A55),MIN(Settings!$E$51,DAY($B55))))&lt;=MIN($C55,IF(Settings!$G$51="",$C55,Settings!$G$51))),1,0)))</f>
        <v/>
      </c>
      <c r="BL55">
        <f>IF(OR(Settings!$C$52="",Settings!$D$52=""),0,Settings!$C$52*IF(Settings!$D$52="Weekly",IF(IFERROR(MATCH(Settings!$E$52,$EO$4:$EO$10,0),0)=0,0,IF(MIN($C55,IF(Settings!$G$52="",$C55,Settings!$G$52))&lt;MAX($A55,Settings!$F$52),0,INT((MIN($C55,IF(Settings!$G$52="",$C55,Settings!$G$52))-MAX($A55,Settings!$F$52)-MOD(IFERROR(MATCH(Settings!$E$52,$EO$4:$EO$10,0),0)-WEEKDAY(MAX($A55,Settings!$F$52)),7))/7)+1)),IF(AND(IF(Settings!$E$52="",$B55,DATE(YEAR($A55),MONTH($A55),MIN(Settings!$E$52,DAY($B55))))&gt;=MAX($A55,Settings!$F$52),IF(Settings!$E$52="",$B55,DATE(YEAR($A55),MONTH($A55),MIN(Settings!$E$52,DAY($B55))))&lt;=MIN($C55,IF(Settings!$G$52="",$C55,Settings!$G$52))),1,0)))</f>
        <v/>
      </c>
      <c r="BM55">
        <f>IF(OR(Settings!$C$53="",Settings!$D$53=""),0,Settings!$C$53*IF(Settings!$D$53="Weekly",IF(IFERROR(MATCH(Settings!$E$53,$EO$4:$EO$10,0),0)=0,0,IF(MIN($C55,IF(Settings!$G$53="",$C55,Settings!$G$53))&lt;MAX($A55,Settings!$F$53),0,INT((MIN($C55,IF(Settings!$G$53="",$C55,Settings!$G$53))-MAX($A55,Settings!$F$53)-MOD(IFERROR(MATCH(Settings!$E$53,$EO$4:$EO$10,0),0)-WEEKDAY(MAX($A55,Settings!$F$53)),7))/7)+1)),IF(AND(IF(Settings!$E$53="",$B55,DATE(YEAR($A55),MONTH($A55),MIN(Settings!$E$53,DAY($B55))))&gt;=MAX($A55,Settings!$F$53),IF(Settings!$E$53="",$B55,DATE(YEAR($A55),MONTH($A55),MIN(Settings!$E$53,DAY($B55))))&lt;=MIN($C55,IF(Settings!$G$53="",$C55,Settings!$G$53))),1,0)))</f>
        <v/>
      </c>
      <c r="BN55">
        <f>IF(OR(Settings!$C$54="",Settings!$D$54=""),0,Settings!$C$54*IF(Settings!$D$54="Weekly",IF(IFERROR(MATCH(Settings!$E$54,$EO$4:$EO$10,0),0)=0,0,IF(MIN($C55,IF(Settings!$G$54="",$C55,Settings!$G$54))&lt;MAX($A55,Settings!$F$54),0,INT((MIN($C55,IF(Settings!$G$54="",$C55,Settings!$G$54))-MAX($A55,Settings!$F$54)-MOD(IFERROR(MATCH(Settings!$E$54,$EO$4:$EO$10,0),0)-WEEKDAY(MAX($A55,Settings!$F$54)),7))/7)+1)),IF(AND(IF(Settings!$E$54="",$B55,DATE(YEAR($A55),MONTH($A55),MIN(Settings!$E$54,DAY($B55))))&gt;=MAX($A55,Settings!$F$54),IF(Settings!$E$54="",$B55,DATE(YEAR($A55),MONTH($A55),MIN(Settings!$E$54,DAY($B55))))&lt;=MIN($C55,IF(Settings!$G$54="",$C55,Settings!$G$54))),1,0)))</f>
        <v/>
      </c>
      <c r="BO55">
        <f>IF(OR(Settings!$C$55="",Settings!$D$55=""),0,Settings!$C$55*IF(Settings!$D$55="Weekly",IF(IFERROR(MATCH(Settings!$E$55,$EO$4:$EO$10,0),0)=0,0,IF(MIN($C55,IF(Settings!$G$55="",$C55,Settings!$G$55))&lt;MAX($A55,Settings!$F$55),0,INT((MIN($C55,IF(Settings!$G$55="",$C55,Settings!$G$55))-MAX($A55,Settings!$F$55)-MOD(IFERROR(MATCH(Settings!$E$55,$EO$4:$EO$10,0),0)-WEEKDAY(MAX($A55,Settings!$F$55)),7))/7)+1)),IF(AND(IF(Settings!$E$55="",$B55,DATE(YEAR($A55),MONTH($A55),MIN(Settings!$E$55,DAY($B55))))&gt;=MAX($A55,Settings!$F$55),IF(Settings!$E$55="",$B55,DATE(YEAR($A55),MONTH($A55),MIN(Settings!$E$55,DAY($B55))))&lt;=MIN($C55,IF(Settings!$G$55="",$C55,Settings!$G$55))),1,0)))</f>
        <v/>
      </c>
      <c r="BP55">
        <f>IF(OR(Settings!$C$56="",Settings!$D$56=""),0,Settings!$C$56*IF(Settings!$D$56="Weekly",IF(IFERROR(MATCH(Settings!$E$56,$EO$4:$EO$10,0),0)=0,0,IF(MIN($C55,IF(Settings!$G$56="",$C55,Settings!$G$56))&lt;MAX($A55,Settings!$F$56),0,INT((MIN($C55,IF(Settings!$G$56="",$C55,Settings!$G$56))-MAX($A55,Settings!$F$56)-MOD(IFERROR(MATCH(Settings!$E$56,$EO$4:$EO$10,0),0)-WEEKDAY(MAX($A55,Settings!$F$56)),7))/7)+1)),IF(AND(IF(Settings!$E$56="",$B55,DATE(YEAR($A55),MONTH($A55),MIN(Settings!$E$56,DAY($B55))))&gt;=MAX($A55,Settings!$F$56),IF(Settings!$E$56="",$B55,DATE(YEAR($A55),MONTH($A55),MIN(Settings!$E$56,DAY($B55))))&lt;=MIN($C55,IF(Settings!$G$56="",$C55,Settings!$G$56))),1,0)))</f>
        <v/>
      </c>
      <c r="BQ55">
        <f>IF(OR(Settings!$B$14="",$D55=1,$E55="pre",$A55&lt;IF(Settings!$B$15="",0,Settings!$B$15)),0,Settings!$B$14)</f>
        <v/>
      </c>
      <c r="BR55">
        <f>IF(AND('Month-End'!$AZ$7&lt;&gt;"",NOT(_xlfn.ISFORMULA('Month-End'!$AZ$7))),1,0)</f>
        <v/>
      </c>
      <c r="BS55">
        <f>IF(AND('Month-End'!$AZ$8&lt;&gt;"",NOT(_xlfn.ISFORMULA('Month-End'!$AZ$8))),1,0)</f>
        <v/>
      </c>
      <c r="BT55">
        <f>IF(AND('Month-End'!$AZ$9&lt;&gt;"",NOT(_xlfn.ISFORMULA('Month-End'!$AZ$9))),1,0)</f>
        <v/>
      </c>
      <c r="BU55">
        <f>IF(AND('Month-End'!$AZ$10&lt;&gt;"",NOT(_xlfn.ISFORMULA('Month-End'!$AZ$10))),1,0)</f>
        <v/>
      </c>
      <c r="BV55">
        <f>IF(AND('Month-End'!$AZ$11&lt;&gt;"",NOT(_xlfn.ISFORMULA('Month-End'!$AZ$11))),1,0)</f>
        <v/>
      </c>
      <c r="BW55">
        <f>IF(AND('Month-End'!$AZ$12&lt;&gt;"",NOT(_xlfn.ISFORMULA('Month-End'!$AZ$12))),1,0)</f>
        <v/>
      </c>
      <c r="BX55">
        <f>IF(AND('Month-End'!$AZ$13&lt;&gt;"",NOT(_xlfn.ISFORMULA('Month-End'!$AZ$13))),1,0)</f>
        <v/>
      </c>
      <c r="BY55">
        <f>IF(AND('Month-End'!$AZ$14&lt;&gt;"",NOT(_xlfn.ISFORMULA('Month-End'!$AZ$14))),1,0)</f>
        <v/>
      </c>
      <c r="BZ55">
        <f>IF(AND('Month-End'!$AZ$15&lt;&gt;"",NOT(_xlfn.ISFORMULA('Month-End'!$AZ$15))),1,0)</f>
        <v/>
      </c>
      <c r="CA55">
        <f>IF(AND('Month-End'!$AZ$16&lt;&gt;"",NOT(_xlfn.ISFORMULA('Month-End'!$AZ$16))),1,0)</f>
        <v/>
      </c>
      <c r="CB55">
        <f>IF(AND('Month-End'!$AZ$17&lt;&gt;"",NOT(_xlfn.ISFORMULA('Month-End'!$AZ$17))),1,0)</f>
        <v/>
      </c>
      <c r="CC55">
        <f>IF(AND('Month-End'!$AZ$18&lt;&gt;"",NOT(_xlfn.ISFORMULA('Month-End'!$AZ$18))),1,0)</f>
        <v/>
      </c>
      <c r="CD55">
        <f>IF(AND('Month-End'!$AZ$19&lt;&gt;"",NOT(_xlfn.ISFORMULA('Month-End'!$AZ$19))),1,0)</f>
        <v/>
      </c>
      <c r="CE55">
        <f>IF(AND('Month-End'!$AZ$20&lt;&gt;"",NOT(_xlfn.ISFORMULA('Month-End'!$AZ$20))),1,0)</f>
        <v/>
      </c>
      <c r="CF55">
        <f>IF(AND('Month-End'!$AZ$38&lt;&gt;"",NOT(_xlfn.ISFORMULA('Month-End'!$AZ$38))),1,0)</f>
        <v/>
      </c>
      <c r="CG55">
        <f>IF(AND('Month-End'!$AZ$39&lt;&gt;"",NOT(_xlfn.ISFORMULA('Month-End'!$AZ$39))),1,0)</f>
        <v/>
      </c>
      <c r="CH55">
        <f>IF(AND('Month-End'!$AZ$40&lt;&gt;"",NOT(_xlfn.ISFORMULA('Month-End'!$AZ$40))),1,0)</f>
        <v/>
      </c>
      <c r="CI55">
        <f>IF(AND('Month-End'!$AZ$41&lt;&gt;"",NOT(_xlfn.ISFORMULA('Month-End'!$AZ$41))),1,0)</f>
        <v/>
      </c>
      <c r="CJ55">
        <f>IF(AND('Month-End'!$AZ$42&lt;&gt;"",NOT(_xlfn.ISFORMULA('Month-End'!$AZ$42))),1,0)</f>
        <v/>
      </c>
      <c r="CK55">
        <f>IF(AND('Month-End'!$AZ$43&lt;&gt;"",NOT(_xlfn.ISFORMULA('Month-End'!$AZ$43))),1,0)</f>
        <v/>
      </c>
      <c r="CL55">
        <f>SUM($CM55:$CZ55)</f>
        <v/>
      </c>
      <c r="CM55">
        <f>IF(AND($E55&lt;&gt;"pre",AND(Settings!$A$19&lt;&gt;"",Settings!$E$19&lt;&gt;"No"),Settings!$F$19="Yes",NOT(AND('Month-End'!$AZ$7&lt;&gt;"",NOT(_xlfn.ISFORMULA('Month-End'!$AZ$7))))),1,0)</f>
        <v/>
      </c>
      <c r="CN55">
        <f>IF(AND($E55&lt;&gt;"pre",AND(Settings!$A$20&lt;&gt;"",Settings!$E$20&lt;&gt;"No"),Settings!$F$20="Yes",NOT(AND('Month-End'!$AZ$8&lt;&gt;"",NOT(_xlfn.ISFORMULA('Month-End'!$AZ$8))))),1,0)</f>
        <v/>
      </c>
      <c r="CO55">
        <f>IF(AND($E55&lt;&gt;"pre",AND(Settings!$A$21&lt;&gt;"",Settings!$E$21&lt;&gt;"No"),Settings!$F$21="Yes",NOT(AND('Month-End'!$AZ$9&lt;&gt;"",NOT(_xlfn.ISFORMULA('Month-End'!$AZ$9))))),1,0)</f>
        <v/>
      </c>
      <c r="CP55">
        <f>IF(AND($E55&lt;&gt;"pre",AND(Settings!$A$22&lt;&gt;"",Settings!$E$22&lt;&gt;"No"),Settings!$F$22="Yes",NOT(AND('Month-End'!$AZ$10&lt;&gt;"",NOT(_xlfn.ISFORMULA('Month-End'!$AZ$10))))),1,0)</f>
        <v/>
      </c>
      <c r="CQ55">
        <f>IF(AND($E55&lt;&gt;"pre",AND(Settings!$A$23&lt;&gt;"",Settings!$E$23&lt;&gt;"No"),Settings!$F$23="Yes",NOT(AND('Month-End'!$AZ$11&lt;&gt;"",NOT(_xlfn.ISFORMULA('Month-End'!$AZ$11))))),1,0)</f>
        <v/>
      </c>
      <c r="CR55">
        <f>IF(AND($E55&lt;&gt;"pre",AND(Settings!$A$24&lt;&gt;"",Settings!$E$24&lt;&gt;"No"),Settings!$F$24="Yes",NOT(AND('Month-End'!$AZ$12&lt;&gt;"",NOT(_xlfn.ISFORMULA('Month-End'!$AZ$12))))),1,0)</f>
        <v/>
      </c>
      <c r="CS55">
        <f>IF(AND($E55&lt;&gt;"pre",AND(Settings!$A$25&lt;&gt;"",Settings!$E$25&lt;&gt;"No"),Settings!$F$25="Yes",NOT(AND('Month-End'!$AZ$13&lt;&gt;"",NOT(_xlfn.ISFORMULA('Month-End'!$AZ$13))))),1,0)</f>
        <v/>
      </c>
      <c r="CT55">
        <f>IF(AND($E55&lt;&gt;"pre",AND(Settings!$A$26&lt;&gt;"",Settings!$E$26&lt;&gt;"No"),Settings!$F$26="Yes",NOT(AND('Month-End'!$AZ$14&lt;&gt;"",NOT(_xlfn.ISFORMULA('Month-End'!$AZ$14))))),1,0)</f>
        <v/>
      </c>
      <c r="CU55">
        <f>IF(AND($E55&lt;&gt;"pre",AND(Settings!$A$27&lt;&gt;"",Settings!$E$27&lt;&gt;"No"),Settings!$F$27="Yes",NOT(AND('Month-End'!$AZ$15&lt;&gt;"",NOT(_xlfn.ISFORMULA('Month-End'!$AZ$15))))),1,0)</f>
        <v/>
      </c>
      <c r="CV55">
        <f>IF(AND($E55&lt;&gt;"pre",AND(Settings!$A$28&lt;&gt;"",Settings!$E$28&lt;&gt;"No"),Settings!$F$28="Yes",NOT(AND('Month-End'!$AZ$16&lt;&gt;"",NOT(_xlfn.ISFORMULA('Month-End'!$AZ$16))))),1,0)</f>
        <v/>
      </c>
      <c r="CW55">
        <f>IF(AND($E55&lt;&gt;"pre",AND(Settings!$A$29&lt;&gt;"",Settings!$E$29&lt;&gt;"No"),Settings!$F$29="Yes",NOT(AND('Month-End'!$AZ$17&lt;&gt;"",NOT(_xlfn.ISFORMULA('Month-End'!$AZ$17))))),1,0)</f>
        <v/>
      </c>
      <c r="CX55">
        <f>IF(AND($E55&lt;&gt;"pre",AND(Settings!$A$30&lt;&gt;"",Settings!$E$30&lt;&gt;"No"),Settings!$F$30="Yes",NOT(AND('Month-End'!$AZ$18&lt;&gt;"",NOT(_xlfn.ISFORMULA('Month-End'!$AZ$18))))),1,0)</f>
        <v/>
      </c>
      <c r="CY55">
        <f>IF(AND($E55&lt;&gt;"pre",AND(Settings!$A$31&lt;&gt;"",Settings!$E$31&lt;&gt;"No"),Settings!$F$31="Yes",NOT(AND('Month-End'!$AZ$19&lt;&gt;"",NOT(_xlfn.ISFORMULA('Month-End'!$AZ$19))))),1,0)</f>
        <v/>
      </c>
      <c r="CZ55">
        <f>IF(AND($E55&lt;&gt;"pre",AND(Settings!$A$32&lt;&gt;"",Settings!$E$32&lt;&gt;"No"),Settings!$F$32="Yes",NOT(AND('Month-End'!$AZ$20&lt;&gt;"",NOT(_xlfn.ISFORMULA('Month-End'!$AZ$20))))),1,0)</f>
        <v/>
      </c>
      <c r="DA55">
        <f>IF($DT55=1,IF(OR(Settings!$B$19="Checking",Settings!$B$19="Savings",Settings!$B$19="Cash"),N($AE55),IF(OR(Settings!$B$19="Card",Settings!$B$19="Loan"),-N($AE55),0))+IF(OR(Settings!$B$20="Checking",Settings!$B$20="Savings",Settings!$B$20="Cash"),N($AF55),IF(OR(Settings!$B$20="Card",Settings!$B$20="Loan"),-N($AF55),0))+IF(OR(Settings!$B$21="Checking",Settings!$B$21="Savings",Settings!$B$21="Cash"),N($AG55),IF(OR(Settings!$B$21="Card",Settings!$B$21="Loan"),-N($AG55),0))+IF(OR(Settings!$B$22="Checking",Settings!$B$22="Savings",Settings!$B$22="Cash"),N($AH55),IF(OR(Settings!$B$22="Card",Settings!$B$22="Loan"),-N($AH55),0))+IF(OR(Settings!$B$23="Checking",Settings!$B$23="Savings",Settings!$B$23="Cash"),N($AI55),IF(OR(Settings!$B$23="Card",Settings!$B$23="Loan"),-N($AI55),0))+IF(OR(Settings!$B$24="Checking",Settings!$B$24="Savings",Settings!$B$24="Cash"),N($AJ55),IF(OR(Settings!$B$24="Card",Settings!$B$24="Loan"),-N($AJ55),0))+IF(OR(Settings!$B$25="Checking",Settings!$B$25="Savings",Settings!$B$25="Cash"),N($AK55),IF(OR(Settings!$B$25="Card",Settings!$B$25="Loan"),-N($AK55),0))+IF(OR(Settings!$B$26="Checking",Settings!$B$26="Savings",Settings!$B$26="Cash"),N($AL55),IF(OR(Settings!$B$26="Card",Settings!$B$26="Loan"),-N($AL55),0))+IF(OR(Settings!$B$27="Checking",Settings!$B$27="Savings",Settings!$B$27="Cash"),N($AM55),IF(OR(Settings!$B$27="Card",Settings!$B$27="Loan"),-N($AM55),0))+IF(OR(Settings!$B$28="Checking",Settings!$B$28="Savings",Settings!$B$28="Cash"),N($AN55),IF(OR(Settings!$B$28="Card",Settings!$B$28="Loan"),-N($AN55),0))+IF(OR(Settings!$B$29="Checking",Settings!$B$29="Savings",Settings!$B$29="Cash"),N($AO55),IF(OR(Settings!$B$29="Card",Settings!$B$29="Loan"),-N($AO55),0))+IF(OR(Settings!$B$30="Checking",Settings!$B$30="Savings",Settings!$B$30="Cash"),N($AP55),IF(OR(Settings!$B$30="Card",Settings!$B$30="Loan"),-N($AP55),0))+IF(OR(Settings!$B$31="Checking",Settings!$B$31="Savings",Settings!$B$31="Cash"),N($AQ55),IF(OR(Settings!$B$31="Card",Settings!$B$31="Loan"),-N($AQ55),0))+IF(OR(Settings!$B$32="Checking",Settings!$B$32="Savings",Settings!$B$32="Cash"),N($AR55),IF(OR(Settings!$B$32="Card",Settings!$B$32="Loan"),-N($AR55),0)),"")</f>
        <v/>
      </c>
      <c r="DB55">
        <f>IF($E55="open",$EB$27,IF($E55="post",IF($E54="pre",$EB$27,$DA54),""))</f>
        <v/>
      </c>
      <c r="DC55">
        <f>IF($E55="open",1,IF($E55="post",IF($E54="pre",1,$DT54),0))</f>
        <v/>
      </c>
      <c r="DD55">
        <f>IF(AND($DT55=1,$DC55=1),ROUND($W55-($DA55-$DB55)-$AD55-$AB55,2),"")</f>
        <v/>
      </c>
      <c r="DE55">
        <f>IF('Month-End'!$AZ$35="",$BQ55,N('Month-End'!$AZ$35))</f>
        <v/>
      </c>
      <c r="DF55">
        <f>N('Month-End'!$AZ$36)</f>
        <v/>
      </c>
      <c r="DG55">
        <f>IF($DD55="","",$DD55+$DE55)</f>
        <v/>
      </c>
      <c r="DH55">
        <f>IF($DG55="","",$DG55-$DF55)</f>
        <v/>
      </c>
      <c r="DI55">
        <f>IF(OR($E55="pre",$D55=1),"",N($AS55)+N($AT55)+N($AU55)+N($AV55)+N($AW55)+N($AX55))</f>
        <v/>
      </c>
      <c r="DJ55">
        <f>IF($DT55=1,$DA55+N($DI55),"")</f>
        <v/>
      </c>
      <c r="DK55">
        <f>IF($DD55="","",$W55-$DD55-$AB55)</f>
        <v/>
      </c>
      <c r="DL55">
        <f>IF(AND($E55="post",$DD55&lt;&gt;"",$B55&lt;TODAY()),1,0)</f>
        <v/>
      </c>
      <c r="DM55">
        <f>IF($DL55=1,COUNTIF($DL55:$DL$183,1),0)</f>
        <v/>
      </c>
      <c r="DN55">
        <f>IF($D55=1,"",IF($E55="pre","History only",IF($DT55=1,IF($DD55="","⚠ Previous month missing",IF($DD55&lt;0,"⚠ Check: spending &lt; 0",IF($E55="open","✓ Done (partial)","✓ Done"))),IF($B55&gt;=TODAY(),"In progress","⚠ Needs balances"))))</f>
        <v/>
      </c>
      <c r="DO55">
        <f>YEAR($A55)</f>
        <v/>
      </c>
      <c r="DP55">
        <f>DATE(YEAR($A55),INT((MONTH($A55)-1)/3)*3+1,1)</f>
        <v/>
      </c>
      <c r="DQ55">
        <f>IF(AND($DT55=1,$DD55&lt;&gt;"",$D55=0),ROW(),0)</f>
        <v/>
      </c>
      <c r="DR55">
        <f>IF(AND($E55&lt;&gt;"pre",$B55&lt;TODAY(),$DT55=0),1,0)</f>
        <v/>
      </c>
      <c r="DS55">
        <f>IF($DJ55="",NA(),$DJ55)</f>
        <v/>
      </c>
      <c r="DT55">
        <f>IF(AND($E55&lt;&gt;"pre",$CL55=0,COUNTIFS(Settings!$F$19:$F$32,"Yes",Settings!$A$19:$A$32,"&lt;&gt;",Settings!$E$19:$E$32,"&lt;&gt;No")&gt;0),1,0)</f>
        <v/>
      </c>
      <c r="DU55">
        <f>IF(AND($B55&lt;TODAY(),$S55&gt;0),1,0)</f>
        <v/>
      </c>
      <c r="DV55">
        <f>IF($DU55=1,COUNTIF($DU55:$DU$183,1),0)</f>
        <v/>
      </c>
      <c r="DW55">
        <f>IF(AND(OR(Settings!$B$19="Card",Settings!$B$19="Loan"),AND('Month-End'!$AZ$7&lt;&gt;"",NOT(_xlfn.ISFORMULA('Month-End'!$AZ$7)))),IF(N('Month-End'!$AZ$7)&lt;0,1,0),0)+IF(AND(OR(Settings!$B$20="Card",Settings!$B$20="Loan"),AND('Month-End'!$AZ$8&lt;&gt;"",NOT(_xlfn.ISFORMULA('Month-End'!$AZ$8)))),IF(N('Month-End'!$AZ$8)&lt;0,1,0),0)+IF(AND(OR(Settings!$B$21="Card",Settings!$B$21="Loan"),AND('Month-End'!$AZ$9&lt;&gt;"",NOT(_xlfn.ISFORMULA('Month-End'!$AZ$9)))),IF(N('Month-End'!$AZ$9)&lt;0,1,0),0)+IF(AND(OR(Settings!$B$22="Card",Settings!$B$22="Loan"),AND('Month-End'!$AZ$10&lt;&gt;"",NOT(_xlfn.ISFORMULA('Month-End'!$AZ$10)))),IF(N('Month-End'!$AZ$10)&lt;0,1,0),0)+IF(AND(OR(Settings!$B$23="Card",Settings!$B$23="Loan"),AND('Month-End'!$AZ$11&lt;&gt;"",NOT(_xlfn.ISFORMULA('Month-End'!$AZ$11)))),IF(N('Month-End'!$AZ$11)&lt;0,1,0),0)+IF(AND(OR(Settings!$B$24="Card",Settings!$B$24="Loan"),AND('Month-End'!$AZ$12&lt;&gt;"",NOT(_xlfn.ISFORMULA('Month-End'!$AZ$12)))),IF(N('Month-End'!$AZ$12)&lt;0,1,0),0)+IF(AND(OR(Settings!$B$25="Card",Settings!$B$25="Loan"),AND('Month-End'!$AZ$13&lt;&gt;"",NOT(_xlfn.ISFORMULA('Month-End'!$AZ$13)))),IF(N('Month-End'!$AZ$13)&lt;0,1,0),0)+IF(AND(OR(Settings!$B$26="Card",Settings!$B$26="Loan"),AND('Month-End'!$AZ$14&lt;&gt;"",NOT(_xlfn.ISFORMULA('Month-End'!$AZ$14)))),IF(N('Month-End'!$AZ$14)&lt;0,1,0),0)+IF(AND(OR(Settings!$B$27="Card",Settings!$B$27="Loan"),AND('Month-End'!$AZ$15&lt;&gt;"",NOT(_xlfn.ISFORMULA('Month-End'!$AZ$15)))),IF(N('Month-End'!$AZ$15)&lt;0,1,0),0)+IF(AND(OR(Settings!$B$28="Card",Settings!$B$28="Loan"),AND('Month-End'!$AZ$16&lt;&gt;"",NOT(_xlfn.ISFORMULA('Month-End'!$AZ$16)))),IF(N('Month-End'!$AZ$16)&lt;0,1,0),0)+IF(AND(OR(Settings!$B$29="Card",Settings!$B$29="Loan"),AND('Month-End'!$AZ$17&lt;&gt;"",NOT(_xlfn.ISFORMULA('Month-End'!$AZ$17)))),IF(N('Month-End'!$AZ$17)&lt;0,1,0),0)+IF(AND(OR(Settings!$B$30="Card",Settings!$B$30="Loan"),AND('Month-End'!$AZ$18&lt;&gt;"",NOT(_xlfn.ISFORMULA('Month-End'!$AZ$18)))),IF(N('Month-End'!$AZ$18)&lt;0,1,0),0)+IF(AND(OR(Settings!$B$31="Card",Settings!$B$31="Loan"),AND('Month-End'!$AZ$19&lt;&gt;"",NOT(_xlfn.ISFORMULA('Month-End'!$AZ$19)))),IF(N('Month-End'!$AZ$19)&lt;0,1,0),0)+IF(AND(OR(Settings!$B$32="Card",Settings!$B$32="Loan"),AND('Month-End'!$AZ$20&lt;&gt;"",NOT(_xlfn.ISFORMULA('Month-End'!$AZ$20)))),IF(N('Month-End'!$AZ$20)&lt;0,1,0),0)</f>
        <v/>
      </c>
      <c r="DX55">
        <f>IF(Settings!$B$36="Retirement",$AY55,0)+IF(Settings!$B$37="Retirement",$AZ55,0)+IF(Settings!$B$38="Retirement",$BA55,0)+IF(Settings!$B$39="Retirement",$BB55,0)+IF(Settings!$B$40="Retirement",$BC55,0)+IF(Settings!$B$41="Retirement",$BD55,0)</f>
        <v/>
      </c>
      <c r="EA55">
        <f>IF(Settings!$A$37="","",Settings!$A$37)</f>
        <v/>
      </c>
      <c r="EB55">
        <f>IF(Settings!$A$37="","",IF($EB$5=0,N(Settings!$C$37),N(INDEX($AT:$AT,$EB$5))))</f>
        <v/>
      </c>
      <c r="EC55">
        <f>IF(Settings!$A$37="","",N(Settings!$D$37)+SUMIFS($AZ$6:$AZ$183,$D$6:$D$183,0))</f>
        <v/>
      </c>
      <c r="ED55">
        <f>IF(AND(AND(Settings!$A$37&lt;&gt;"",Settings!$G$37&lt;&gt;"No"),TRUE,Settings!$B$5&lt;EDATE(TODAY(),-6),COUNTIFS($CG$6:$CG$183,1,$A$6:$A$183,"&gt;="&amp;EDATE(TODAY(),-6))=0),1,0)</f>
        <v/>
      </c>
      <c r="EI55">
        <f>IF(AND(Settings!$A$37&lt;&gt;"",Settings!$G$37&lt;&gt;"No"),COUNTIFS($EK$40:$EK55,1),"")</f>
        <v/>
      </c>
      <c r="EJ55">
        <f>IF(Settings!$A$37="","",Settings!$B$37)</f>
        <v/>
      </c>
      <c r="EK55">
        <f>IF(AND(Settings!$A$37&lt;&gt;"",Settings!$G$37&lt;&gt;"No"),1,0)</f>
        <v/>
      </c>
      <c r="EL55">
        <f>IF(Settings!$A$37="","",IF(OR(Settings!$B$37="Card",Settings!$B$37="Loan"),-N(EB55),N(EB55)))</f>
        <v/>
      </c>
      <c r="EM55">
        <f>IF(Settings!$A$37="","",IF(Settings!$F$37="Yes","estimate",""))</f>
        <v/>
      </c>
      <c r="ET55">
        <f>IF($E55&lt;&gt;"open",0,IF(AND('Month-End'!$AZ$22&lt;&gt;"",NOT(_xlfn.ISFORMULA('Month-End'!$AZ$22))),0,IF(OR(Settings!$C$45="",Settings!$D$45=""),0,Settings!$C$45*IF(Settings!$D$45="Weekly",IF(IFERROR(MATCH(Settings!$E$45,$EO$4:$EO$10,0),0)=0,0,IF(MIN(Settings!$B$5,IF(Settings!$G$45="",Settings!$B$5,Settings!$G$45))&lt;MAX($A55,Settings!$F$45),0,INT((MIN(Settings!$B$5,IF(Settings!$G$45="",Settings!$B$5,Settings!$G$45))-MAX($A55,Settings!$F$45)-MOD(IFERROR(MATCH(Settings!$E$45,$EO$4:$EO$10,0),0)-WEEKDAY(MAX($A55,Settings!$F$45)),7))/7)+1)),IF(AND(IF(Settings!$E$45="",$B55,DATE(YEAR($A55),MONTH($A55),MIN(Settings!$E$45,DAY($B55))))&gt;=MAX($A55,Settings!$F$45),IF(Settings!$E$45="",$B55,DATE(YEAR($A55),MONTH($A55),MIN(Settings!$E$45,DAY($B55))))&lt;=MIN(Settings!$B$5,IF(Settings!$G$45="",Settings!$B$5,Settings!$G$45))),1,0)))))</f>
        <v/>
      </c>
      <c r="EU55">
        <f>IF($E55&lt;&gt;"open",0,IF(AND('Month-End'!$AZ$23&lt;&gt;"",NOT(_xlfn.ISFORMULA('Month-End'!$AZ$23))),0,IF(OR(Settings!$C$46="",Settings!$D$46=""),0,Settings!$C$46*IF(Settings!$D$46="Weekly",IF(IFERROR(MATCH(Settings!$E$46,$EO$4:$EO$10,0),0)=0,0,IF(MIN(Settings!$B$5,IF(Settings!$G$46="",Settings!$B$5,Settings!$G$46))&lt;MAX($A55,Settings!$F$46),0,INT((MIN(Settings!$B$5,IF(Settings!$G$46="",Settings!$B$5,Settings!$G$46))-MAX($A55,Settings!$F$46)-MOD(IFERROR(MATCH(Settings!$E$46,$EO$4:$EO$10,0),0)-WEEKDAY(MAX($A55,Settings!$F$46)),7))/7)+1)),IF(AND(IF(Settings!$E$46="",$B55,DATE(YEAR($A55),MONTH($A55),MIN(Settings!$E$46,DAY($B55))))&gt;=MAX($A55,Settings!$F$46),IF(Settings!$E$46="",$B55,DATE(YEAR($A55),MONTH($A55),MIN(Settings!$E$46,DAY($B55))))&lt;=MIN(Settings!$B$5,IF(Settings!$G$46="",Settings!$B$5,Settings!$G$46))),1,0)))))</f>
        <v/>
      </c>
      <c r="EV55">
        <f>IF($E55&lt;&gt;"open",0,IF(AND('Month-End'!$AZ$24&lt;&gt;"",NOT(_xlfn.ISFORMULA('Month-End'!$AZ$24))),0,IF(OR(Settings!$C$47="",Settings!$D$47=""),0,Settings!$C$47*IF(Settings!$D$47="Weekly",IF(IFERROR(MATCH(Settings!$E$47,$EO$4:$EO$10,0),0)=0,0,IF(MIN(Settings!$B$5,IF(Settings!$G$47="",Settings!$B$5,Settings!$G$47))&lt;MAX($A55,Settings!$F$47),0,INT((MIN(Settings!$B$5,IF(Settings!$G$47="",Settings!$B$5,Settings!$G$47))-MAX($A55,Settings!$F$47)-MOD(IFERROR(MATCH(Settings!$E$47,$EO$4:$EO$10,0),0)-WEEKDAY(MAX($A55,Settings!$F$47)),7))/7)+1)),IF(AND(IF(Settings!$E$47="",$B55,DATE(YEAR($A55),MONTH($A55),MIN(Settings!$E$47,DAY($B55))))&gt;=MAX($A55,Settings!$F$47),IF(Settings!$E$47="",$B55,DATE(YEAR($A55),MONTH($A55),MIN(Settings!$E$47,DAY($B55))))&lt;=MIN(Settings!$B$5,IF(Settings!$G$47="",Settings!$B$5,Settings!$G$47))),1,0)))))</f>
        <v/>
      </c>
      <c r="EW55">
        <f>IF($E55&lt;&gt;"open",0,IF(AND('Month-End'!$AZ$25&lt;&gt;"",NOT(_xlfn.ISFORMULA('Month-End'!$AZ$25))),0,IF(OR(Settings!$C$48="",Settings!$D$48=""),0,Settings!$C$48*IF(Settings!$D$48="Weekly",IF(IFERROR(MATCH(Settings!$E$48,$EO$4:$EO$10,0),0)=0,0,IF(MIN(Settings!$B$5,IF(Settings!$G$48="",Settings!$B$5,Settings!$G$48))&lt;MAX($A55,Settings!$F$48),0,INT((MIN(Settings!$B$5,IF(Settings!$G$48="",Settings!$B$5,Settings!$G$48))-MAX($A55,Settings!$F$48)-MOD(IFERROR(MATCH(Settings!$E$48,$EO$4:$EO$10,0),0)-WEEKDAY(MAX($A55,Settings!$F$48)),7))/7)+1)),IF(AND(IF(Settings!$E$48="",$B55,DATE(YEAR($A55),MONTH($A55),MIN(Settings!$E$48,DAY($B55))))&gt;=MAX($A55,Settings!$F$48),IF(Settings!$E$48="",$B55,DATE(YEAR($A55),MONTH($A55),MIN(Settings!$E$48,DAY($B55))))&lt;=MIN(Settings!$B$5,IF(Settings!$G$48="",Settings!$B$5,Settings!$G$48))),1,0)))))</f>
        <v/>
      </c>
      <c r="EX55">
        <f>IF($E55&lt;&gt;"open",0,IF(AND('Month-End'!$AZ$26&lt;&gt;"",NOT(_xlfn.ISFORMULA('Month-End'!$AZ$26))),0,IF(OR(Settings!$C$49="",Settings!$D$49=""),0,Settings!$C$49*IF(Settings!$D$49="Weekly",IF(IFERROR(MATCH(Settings!$E$49,$EO$4:$EO$10,0),0)=0,0,IF(MIN(Settings!$B$5,IF(Settings!$G$49="",Settings!$B$5,Settings!$G$49))&lt;MAX($A55,Settings!$F$49),0,INT((MIN(Settings!$B$5,IF(Settings!$G$49="",Settings!$B$5,Settings!$G$49))-MAX($A55,Settings!$F$49)-MOD(IFERROR(MATCH(Settings!$E$49,$EO$4:$EO$10,0),0)-WEEKDAY(MAX($A55,Settings!$F$49)),7))/7)+1)),IF(AND(IF(Settings!$E$49="",$B55,DATE(YEAR($A55),MONTH($A55),MIN(Settings!$E$49,DAY($B55))))&gt;=MAX($A55,Settings!$F$49),IF(Settings!$E$49="",$B55,DATE(YEAR($A55),MONTH($A55),MIN(Settings!$E$49,DAY($B55))))&lt;=MIN(Settings!$B$5,IF(Settings!$G$49="",Settings!$B$5,Settings!$G$49))),1,0)))))</f>
        <v/>
      </c>
      <c r="EY55">
        <f>IF($E55&lt;&gt;"open",0,IF(AND('Month-End'!$AZ$27&lt;&gt;"",NOT(_xlfn.ISFORMULA('Month-End'!$AZ$27))),0,IF(OR(Settings!$C$50="",Settings!$D$50=""),0,Settings!$C$50*IF(Settings!$D$50="Weekly",IF(IFERROR(MATCH(Settings!$E$50,$EO$4:$EO$10,0),0)=0,0,IF(MIN(Settings!$B$5,IF(Settings!$G$50="",Settings!$B$5,Settings!$G$50))&lt;MAX($A55,Settings!$F$50),0,INT((MIN(Settings!$B$5,IF(Settings!$G$50="",Settings!$B$5,Settings!$G$50))-MAX($A55,Settings!$F$50)-MOD(IFERROR(MATCH(Settings!$E$50,$EO$4:$EO$10,0),0)-WEEKDAY(MAX($A55,Settings!$F$50)),7))/7)+1)),IF(AND(IF(Settings!$E$50="",$B55,DATE(YEAR($A55),MONTH($A55),MIN(Settings!$E$50,DAY($B55))))&gt;=MAX($A55,Settings!$F$50),IF(Settings!$E$50="",$B55,DATE(YEAR($A55),MONTH($A55),MIN(Settings!$E$50,DAY($B55))))&lt;=MIN(Settings!$B$5,IF(Settings!$G$50="",Settings!$B$5,Settings!$G$50))),1,0)))))</f>
        <v/>
      </c>
      <c r="EZ55">
        <f>IF($E55&lt;&gt;"open",0,IF(AND('Month-End'!$AZ$28&lt;&gt;"",NOT(_xlfn.ISFORMULA('Month-End'!$AZ$28))),0,IF(OR(Settings!$C$51="",Settings!$D$51=""),0,Settings!$C$51*IF(Settings!$D$51="Weekly",IF(IFERROR(MATCH(Settings!$E$51,$EO$4:$EO$10,0),0)=0,0,IF(MIN(Settings!$B$5,IF(Settings!$G$51="",Settings!$B$5,Settings!$G$51))&lt;MAX($A55,Settings!$F$51),0,INT((MIN(Settings!$B$5,IF(Settings!$G$51="",Settings!$B$5,Settings!$G$51))-MAX($A55,Settings!$F$51)-MOD(IFERROR(MATCH(Settings!$E$51,$EO$4:$EO$10,0),0)-WEEKDAY(MAX($A55,Settings!$F$51)),7))/7)+1)),IF(AND(IF(Settings!$E$51="",$B55,DATE(YEAR($A55),MONTH($A55),MIN(Settings!$E$51,DAY($B55))))&gt;=MAX($A55,Settings!$F$51),IF(Settings!$E$51="",$B55,DATE(YEAR($A55),MONTH($A55),MIN(Settings!$E$51,DAY($B55))))&lt;=MIN(Settings!$B$5,IF(Settings!$G$51="",Settings!$B$5,Settings!$G$51))),1,0)))))</f>
        <v/>
      </c>
      <c r="FA55">
        <f>IF($E55&lt;&gt;"open",0,IF(AND('Month-End'!$AZ$29&lt;&gt;"",NOT(_xlfn.ISFORMULA('Month-End'!$AZ$29))),0,IF(OR(Settings!$C$52="",Settings!$D$52=""),0,Settings!$C$52*IF(Settings!$D$52="Weekly",IF(IFERROR(MATCH(Settings!$E$52,$EO$4:$EO$10,0),0)=0,0,IF(MIN(Settings!$B$5,IF(Settings!$G$52="",Settings!$B$5,Settings!$G$52))&lt;MAX($A55,Settings!$F$52),0,INT((MIN(Settings!$B$5,IF(Settings!$G$52="",Settings!$B$5,Settings!$G$52))-MAX($A55,Settings!$F$52)-MOD(IFERROR(MATCH(Settings!$E$52,$EO$4:$EO$10,0),0)-WEEKDAY(MAX($A55,Settings!$F$52)),7))/7)+1)),IF(AND(IF(Settings!$E$52="",$B55,DATE(YEAR($A55),MONTH($A55),MIN(Settings!$E$52,DAY($B55))))&gt;=MAX($A55,Settings!$F$52),IF(Settings!$E$52="",$B55,DATE(YEAR($A55),MONTH($A55),MIN(Settings!$E$52,DAY($B55))))&lt;=MIN(Settings!$B$5,IF(Settings!$G$52="",Settings!$B$5,Settings!$G$52))),1,0)))))</f>
        <v/>
      </c>
      <c r="FB55">
        <f>IF($E55&lt;&gt;"open",0,IF(AND('Month-End'!$AZ$30&lt;&gt;"",NOT(_xlfn.ISFORMULA('Month-End'!$AZ$30))),0,IF(OR(Settings!$C$53="",Settings!$D$53=""),0,Settings!$C$53*IF(Settings!$D$53="Weekly",IF(IFERROR(MATCH(Settings!$E$53,$EO$4:$EO$10,0),0)=0,0,IF(MIN(Settings!$B$5,IF(Settings!$G$53="",Settings!$B$5,Settings!$G$53))&lt;MAX($A55,Settings!$F$53),0,INT((MIN(Settings!$B$5,IF(Settings!$G$53="",Settings!$B$5,Settings!$G$53))-MAX($A55,Settings!$F$53)-MOD(IFERROR(MATCH(Settings!$E$53,$EO$4:$EO$10,0),0)-WEEKDAY(MAX($A55,Settings!$F$53)),7))/7)+1)),IF(AND(IF(Settings!$E$53="",$B55,DATE(YEAR($A55),MONTH($A55),MIN(Settings!$E$53,DAY($B55))))&gt;=MAX($A55,Settings!$F$53),IF(Settings!$E$53="",$B55,DATE(YEAR($A55),MONTH($A55),MIN(Settings!$E$53,DAY($B55))))&lt;=MIN(Settings!$B$5,IF(Settings!$G$53="",Settings!$B$5,Settings!$G$53))),1,0)))))</f>
        <v/>
      </c>
      <c r="FC55">
        <f>IF($E55&lt;&gt;"open",0,IF(AND('Month-End'!$AZ$31&lt;&gt;"",NOT(_xlfn.ISFORMULA('Month-End'!$AZ$31))),0,IF(OR(Settings!$C$54="",Settings!$D$54=""),0,Settings!$C$54*IF(Settings!$D$54="Weekly",IF(IFERROR(MATCH(Settings!$E$54,$EO$4:$EO$10,0),0)=0,0,IF(MIN(Settings!$B$5,IF(Settings!$G$54="",Settings!$B$5,Settings!$G$54))&lt;MAX($A55,Settings!$F$54),0,INT((MIN(Settings!$B$5,IF(Settings!$G$54="",Settings!$B$5,Settings!$G$54))-MAX($A55,Settings!$F$54)-MOD(IFERROR(MATCH(Settings!$E$54,$EO$4:$EO$10,0),0)-WEEKDAY(MAX($A55,Settings!$F$54)),7))/7)+1)),IF(AND(IF(Settings!$E$54="",$B55,DATE(YEAR($A55),MONTH($A55),MIN(Settings!$E$54,DAY($B55))))&gt;=MAX($A55,Settings!$F$54),IF(Settings!$E$54="",$B55,DATE(YEAR($A55),MONTH($A55),MIN(Settings!$E$54,DAY($B55))))&lt;=MIN(Settings!$B$5,IF(Settings!$G$54="",Settings!$B$5,Settings!$G$54))),1,0)))))</f>
        <v/>
      </c>
      <c r="FD55">
        <f>IF($E55&lt;&gt;"open",0,IF(AND('Month-End'!$AZ$32&lt;&gt;"",NOT(_xlfn.ISFORMULA('Month-End'!$AZ$32))),0,IF(OR(Settings!$C$55="",Settings!$D$55=""),0,Settings!$C$55*IF(Settings!$D$55="Weekly",IF(IFERROR(MATCH(Settings!$E$55,$EO$4:$EO$10,0),0)=0,0,IF(MIN(Settings!$B$5,IF(Settings!$G$55="",Settings!$B$5,Settings!$G$55))&lt;MAX($A55,Settings!$F$55),0,INT((MIN(Settings!$B$5,IF(Settings!$G$55="",Settings!$B$5,Settings!$G$55))-MAX($A55,Settings!$F$55)-MOD(IFERROR(MATCH(Settings!$E$55,$EO$4:$EO$10,0),0)-WEEKDAY(MAX($A55,Settings!$F$55)),7))/7)+1)),IF(AND(IF(Settings!$E$55="",$B55,DATE(YEAR($A55),MONTH($A55),MIN(Settings!$E$55,DAY($B55))))&gt;=MAX($A55,Settings!$F$55),IF(Settings!$E$55="",$B55,DATE(YEAR($A55),MONTH($A55),MIN(Settings!$E$55,DAY($B55))))&lt;=MIN(Settings!$B$5,IF(Settings!$G$55="",Settings!$B$5,Settings!$G$55))),1,0)))))</f>
        <v/>
      </c>
      <c r="FE55">
        <f>IF($E55&lt;&gt;"open",0,IF(AND('Month-End'!$AZ$33&lt;&gt;"",NOT(_xlfn.ISFORMULA('Month-End'!$AZ$33))),0,IF(OR(Settings!$C$56="",Settings!$D$56=""),0,Settings!$C$56*IF(Settings!$D$56="Weekly",IF(IFERROR(MATCH(Settings!$E$56,$EO$4:$EO$10,0),0)=0,0,IF(MIN(Settings!$B$5,IF(Settings!$G$56="",Settings!$B$5,Settings!$G$56))&lt;MAX($A55,Settings!$F$56),0,INT((MIN(Settings!$B$5,IF(Settings!$G$56="",Settings!$B$5,Settings!$G$56))-MAX($A55,Settings!$F$56)-MOD(IFERROR(MATCH(Settings!$E$56,$EO$4:$EO$10,0),0)-WEEKDAY(MAX($A55,Settings!$F$56)),7))/7)+1)),IF(AND(IF(Settings!$E$56="",$B55,DATE(YEAR($A55),MONTH($A55),MIN(Settings!$E$56,DAY($B55))))&gt;=MAX($A55,Settings!$F$56),IF(Settings!$E$56="",$B55,DATE(YEAR($A55),MONTH($A55),MIN(Settings!$E$56,DAY($B55))))&lt;=MIN(Settings!$B$5,IF(Settings!$G$56="",Settings!$B$5,Settings!$G$56))),1,0)))))</f>
        <v/>
      </c>
      <c r="FF55">
        <f>IF(Settings!$I$45="Yes",$G55,0)+IF(Settings!$I$46="Yes",$H55,0)+IF(Settings!$I$47="Yes",$I55,0)+IF(Settings!$I$48="Yes",$J55,0)+IF(Settings!$I$49="Yes",$K55,0)+IF(Settings!$I$50="Yes",$L55,0)+IF(Settings!$I$51="Yes",$M55,0)+IF(Settings!$I$52="Yes",$N55,0)+IF(Settings!$I$53="Yes",$O55,0)+IF(Settings!$I$54="Yes",$P55,0)+IF(Settings!$I$55="Yes",$Q55,0)+IF(Settings!$I$56="Yes",$R55,0)</f>
        <v/>
      </c>
      <c r="FG55">
        <f>IF(AND(Settings!$I$45="Yes",Settings!$J$45="No"),$G55,0)+IF(AND(Settings!$I$46="Yes",Settings!$J$46="No"),$H55,0)+IF(AND(Settings!$I$47="Yes",Settings!$J$47="No"),$I55,0)+IF(AND(Settings!$I$48="Yes",Settings!$J$48="No"),$J55,0)+IF(AND(Settings!$I$49="Yes",Settings!$J$49="No"),$K55,0)+IF(AND(Settings!$I$50="Yes",Settings!$J$50="No"),$L55,0)+IF(AND(Settings!$I$51="Yes",Settings!$J$51="No"),$M55,0)+IF(AND(Settings!$I$52="Yes",Settings!$J$52="No"),$N55,0)+IF(AND(Settings!$I$53="Yes",Settings!$J$53="No"),$O55,0)+IF(AND(Settings!$I$54="Yes",Settings!$J$54="No"),$P55,0)+IF(AND(Settings!$I$55="Yes",Settings!$J$55="No"),$Q55,0)+IF(AND(Settings!$I$56="Yes",Settings!$J$56="No"),$R55,0)</f>
        <v/>
      </c>
      <c r="FH55">
        <f>SUMIFS(Giving!$B$7:$B$2006,Giving!$A$7:$A$2006,"&gt;="&amp;$A55,Giving!$A$7:$A$2006,"&lt;="&amp;$B55,Giving!$G$7:$G$2006,"Yes")+IF(OR(OR(Settings!$B$60="",Settings!$F$60="No"),Settings!$H$60&lt;&gt;"Yes"),0,Settings!$B$60*IF(AND(IF(Settings!$C$60="",$B55,DATE(YEAR($A55),MONTH($A55),MIN(Settings!$C$60,DAY($B55))))&gt;=MAX($A55,Settings!$D$60),IF(Settings!$C$60="",$B55,DATE(YEAR($A55),MONTH($A55),MIN(Settings!$C$60,DAY($B55))))&lt;=MIN($C55,IF(Settings!$E$60="",$C55,Settings!$E$60))),1,0))+IF(OR(OR(Settings!$B$61="",Settings!$F$61="No"),Settings!$H$61&lt;&gt;"Yes"),0,Settings!$B$61*IF(AND(IF(Settings!$C$61="",$B55,DATE(YEAR($A55),MONTH($A55),MIN(Settings!$C$61,DAY($B55))))&gt;=MAX($A55,Settings!$D$61),IF(Settings!$C$61="",$B55,DATE(YEAR($A55),MONTH($A55),MIN(Settings!$C$61,DAY($B55))))&lt;=MIN($C55,IF(Settings!$E$61="",$C55,Settings!$E$61))),1,0))+IF(OR(OR(Settings!$B$62="",Settings!$F$62="No"),Settings!$H$62&lt;&gt;"Yes"),0,Settings!$B$62*IF(AND(IF(Settings!$C$62="",$B55,DATE(YEAR($A55),MONTH($A55),MIN(Settings!$C$62,DAY($B55))))&gt;=MAX($A55,Settings!$D$62),IF(Settings!$C$62="",$B55,DATE(YEAR($A55),MONTH($A55),MIN(Settings!$C$62,DAY($B55))))&lt;=MIN($C55,IF(Settings!$E$62="",$C55,Settings!$E$62))),1,0))+IF(OR(OR(Settings!$B$63="",Settings!$F$63="No"),Settings!$H$63&lt;&gt;"Yes"),0,Settings!$B$63*IF(AND(IF(Settings!$C$63="",$B55,DATE(YEAR($A55),MONTH($A55),MIN(Settings!$C$63,DAY($B55))))&gt;=MAX($A55,Settings!$D$63),IF(Settings!$C$63="",$B55,DATE(YEAR($A55),MONTH($A55),MIN(Settings!$C$63,DAY($B55))))&lt;=MIN($C55,IF(Settings!$E$63="",$C55,Settings!$E$63))),1,0))+IF(OR(OR(Settings!$B$64="",Settings!$F$64="No"),Settings!$H$64&lt;&gt;"Yes"),0,Settings!$B$64*IF(AND(IF(Settings!$C$64="",$B55,DATE(YEAR($A55),MONTH($A55),MIN(Settings!$C$64,DAY($B55))))&gt;=MAX($A55,Settings!$D$64),IF(Settings!$C$64="",$B55,DATE(YEAR($A55),MONTH($A55),MIN(Settings!$C$64,DAY($B55))))&lt;=MIN($C55,IF(Settings!$E$64="",$C55,Settings!$E$64))),1,0))+IF(OR(OR(Settings!$B$65="",Settings!$F$65="No"),Settings!$H$65&lt;&gt;"Yes"),0,Settings!$B$65*IF(AND(IF(Settings!$C$65="",$B55,DATE(YEAR($A55),MONTH($A55),MIN(Settings!$C$65,DAY($B55))))&gt;=MAX($A55,Settings!$D$65),IF(Settings!$C$65="",$B55,DATE(YEAR($A55),MONTH($A55),MIN(Settings!$C$65,DAY($B55))))&lt;=MIN($C55,IF(Settings!$E$65="",$C55,Settings!$E$65))),1,0))</f>
        <v/>
      </c>
      <c r="FI55">
        <f>IF($DT55=1,IF(OR(Settings!$B$19="Card",Settings!$B$19="Loan"),N($AE55),0)+IF(OR(Settings!$B$20="Card",Settings!$B$20="Loan"),N($AF55),0)+IF(OR(Settings!$B$21="Card",Settings!$B$21="Loan"),N($AG55),0)+IF(OR(Settings!$B$22="Card",Settings!$B$22="Loan"),N($AH55),0)+IF(OR(Settings!$B$23="Card",Settings!$B$23="Loan"),N($AI55),0)+IF(OR(Settings!$B$24="Card",Settings!$B$24="Loan"),N($AJ55),0)+IF(OR(Settings!$B$25="Card",Settings!$B$25="Loan"),N($AK55),0)+IF(OR(Settings!$B$26="Card",Settings!$B$26="Loan"),N($AL55),0)+IF(OR(Settings!$B$27="Card",Settings!$B$27="Loan"),N($AM55),0)+IF(OR(Settings!$B$28="Card",Settings!$B$28="Loan"),N($AN55),0)+IF(OR(Settings!$B$29="Card",Settings!$B$29="Loan"),N($AO55),0)+IF(OR(Settings!$B$30="Card",Settings!$B$30="Loan"),N($AP55),0)+IF(OR(Settings!$B$31="Card",Settings!$B$31="Loan"),N($AQ55),0)+IF(OR(Settings!$B$32="Card",Settings!$B$32="Loan"),N($AR55),0),"")</f>
        <v/>
      </c>
      <c r="FJ55">
        <f>IF($E55="open",$EB$65,IF($E55="post",IF($E54="pre",$EB$65,$FI54),""))</f>
        <v/>
      </c>
      <c r="FK55">
        <f>IF(AND($DT55=1,$DC55=1),IF(ROUND($FI55-$FJ55,2)&gt;0,1,0),0)</f>
        <v/>
      </c>
      <c r="FL55">
        <f>IF($FK55=1,$FL54+1,0)</f>
        <v/>
      </c>
    </row>
    <row r="56">
      <c r="A56">
        <f>'Month-End'!$BA$4</f>
        <v/>
      </c>
      <c r="B56">
        <f>EOMONTH($A56,0)</f>
        <v/>
      </c>
      <c r="C56">
        <f>MIN($B56,TODAY())</f>
        <v/>
      </c>
      <c r="D56">
        <f>IF($A56&gt;TODAY(),1,0)</f>
        <v/>
      </c>
      <c r="E56">
        <f>IF($B56&lt;=Settings!$B$5,"pre",IF($A56&lt;=Settings!$B$5,"open","post"))</f>
        <v/>
      </c>
      <c r="G56">
        <f>IF('Month-End'!$BA$22="",$BE56,N('Month-End'!$BA$22))</f>
        <v/>
      </c>
      <c r="H56">
        <f>IF('Month-End'!$BA$23="",$BF56,N('Month-End'!$BA$23))</f>
        <v/>
      </c>
      <c r="I56">
        <f>IF('Month-End'!$BA$24="",$BG56,N('Month-End'!$BA$24))</f>
        <v/>
      </c>
      <c r="J56">
        <f>IF('Month-End'!$BA$25="",$BH56,N('Month-End'!$BA$25))</f>
        <v/>
      </c>
      <c r="K56">
        <f>IF('Month-End'!$BA$26="",$BI56,N('Month-End'!$BA$26))</f>
        <v/>
      </c>
      <c r="L56">
        <f>IF('Month-End'!$BA$27="",$BJ56,N('Month-End'!$BA$27))</f>
        <v/>
      </c>
      <c r="M56">
        <f>IF('Month-End'!$BA$28="",$BK56,N('Month-End'!$BA$28))</f>
        <v/>
      </c>
      <c r="N56">
        <f>IF('Month-End'!$BA$29="",$BL56,N('Month-End'!$BA$29))</f>
        <v/>
      </c>
      <c r="O56">
        <f>IF('Month-End'!$BA$30="",$BM56,N('Month-End'!$BA$30))</f>
        <v/>
      </c>
      <c r="P56">
        <f>IF('Month-End'!$BA$31="",$BN56,N('Month-End'!$BA$31))</f>
        <v/>
      </c>
      <c r="Q56">
        <f>IF('Month-End'!$BA$32="",$BO56,N('Month-End'!$BA$32))</f>
        <v/>
      </c>
      <c r="R56">
        <f>IF('Month-End'!$BA$33="",$BP56,N('Month-End'!$BA$33))</f>
        <v/>
      </c>
      <c r="S56">
        <f>$G56+$H56+$I56+$J56+$K56+$L56+$M56+$N56+$O56+$P56+$Q56+$R56</f>
        <v/>
      </c>
      <c r="T56">
        <f>IF($B56&lt;Settings!$B$6,0,IF(Settings!$B$45="Yes",$G56,0)+IF(Settings!$B$46="Yes",$H56,0)+IF(Settings!$B$47="Yes",$I56,0)+IF(Settings!$B$48="Yes",$J56,0)+IF(Settings!$B$49="Yes",$K56,0)+IF(Settings!$B$50="Yes",$L56,0)+IF(Settings!$B$51="Yes",$M56,0)+IF(Settings!$B$52="Yes",$N56,0)+IF(Settings!$B$53="Yes",$O56,0)+IF(Settings!$B$54="Yes",$P56,0)+IF(Settings!$B$55="Yes",$Q56,0)+IF(Settings!$B$56="Yes",$R56,0))</f>
        <v/>
      </c>
      <c r="U56">
        <f>IF(Settings!$B$45="Not Sure",$G56,0)+IF(Settings!$B$46="Not Sure",$H56,0)+IF(Settings!$B$47="Not Sure",$I56,0)+IF(Settings!$B$48="Not Sure",$J56,0)+IF(Settings!$B$49="Not Sure",$K56,0)+IF(Settings!$B$50="Not Sure",$L56,0)+IF(Settings!$B$51="Not Sure",$M56,0)+IF(Settings!$B$52="Not Sure",$N56,0)+IF(Settings!$B$53="Not Sure",$O56,0)+IF(Settings!$B$54="Not Sure",$P56,0)+IF(Settings!$B$55="Not Sure",$Q56,0)+IF(Settings!$B$56="Not Sure",$R56,0)</f>
        <v/>
      </c>
      <c r="V56">
        <f>IF($E56="open",SUM($ET56:$FE56)+N(Settings!$B$13),0)</f>
        <v/>
      </c>
      <c r="W56">
        <f>IF($E56="post",$S56,IF($E56="open",$S56-$V56,0))</f>
        <v/>
      </c>
      <c r="X56">
        <f>SUMIFS(Giving!$B$7:$B$2006,Giving!$A$7:$A$2006,"&gt;="&amp;$A56,Giving!$A$7:$A$2006,"&lt;="&amp;$B56,Giving!$E$7:$E$2006,"&lt;&gt;No")</f>
        <v/>
      </c>
      <c r="Y56">
        <f>SUMIFS(Giving!$B$7:$B$2006,Giving!$A$7:$A$2006,"&gt;="&amp;$A56,Giving!$A$7:$A$2006,"&lt;="&amp;$B56,Giving!$E$7:$E$2006,"No")</f>
        <v/>
      </c>
      <c r="Z56">
        <f>IF(OR(Settings!$B$60="",Settings!$F$60="No"),0,Settings!$B$60*IF(AND(IF(Settings!$C$60="",$B56,DATE(YEAR($A56),MONTH($A56),MIN(Settings!$C$60,DAY($B56))))&gt;=MAX($A56,Settings!$D$60),IF(Settings!$C$60="",$B56,DATE(YEAR($A56),MONTH($A56),MIN(Settings!$C$60,DAY($B56))))&lt;=MIN($C56,IF(Settings!$E$60="",$C56,Settings!$E$60))),1,0))+IF(OR(Settings!$B$61="",Settings!$F$61="No"),0,Settings!$B$61*IF(AND(IF(Settings!$C$61="",$B56,DATE(YEAR($A56),MONTH($A56),MIN(Settings!$C$61,DAY($B56))))&gt;=MAX($A56,Settings!$D$61),IF(Settings!$C$61="",$B56,DATE(YEAR($A56),MONTH($A56),MIN(Settings!$C$61,DAY($B56))))&lt;=MIN($C56,IF(Settings!$E$61="",$C56,Settings!$E$61))),1,0))+IF(OR(Settings!$B$62="",Settings!$F$62="No"),0,Settings!$B$62*IF(AND(IF(Settings!$C$62="",$B56,DATE(YEAR($A56),MONTH($A56),MIN(Settings!$C$62,DAY($B56))))&gt;=MAX($A56,Settings!$D$62),IF(Settings!$C$62="",$B56,DATE(YEAR($A56),MONTH($A56),MIN(Settings!$C$62,DAY($B56))))&lt;=MIN($C56,IF(Settings!$E$62="",$C56,Settings!$E$62))),1,0))+IF(OR(Settings!$B$63="",Settings!$F$63="No"),0,Settings!$B$63*IF(AND(IF(Settings!$C$63="",$B56,DATE(YEAR($A56),MONTH($A56),MIN(Settings!$C$63,DAY($B56))))&gt;=MAX($A56,Settings!$D$63),IF(Settings!$C$63="",$B56,DATE(YEAR($A56),MONTH($A56),MIN(Settings!$C$63,DAY($B56))))&lt;=MIN($C56,IF(Settings!$E$63="",$C56,Settings!$E$63))),1,0))+IF(OR(Settings!$B$64="",Settings!$F$64="No"),0,Settings!$B$64*IF(AND(IF(Settings!$C$64="",$B56,DATE(YEAR($A56),MONTH($A56),MIN(Settings!$C$64,DAY($B56))))&gt;=MAX($A56,Settings!$D$64),IF(Settings!$C$64="",$B56,DATE(YEAR($A56),MONTH($A56),MIN(Settings!$C$64,DAY($B56))))&lt;=MIN($C56,IF(Settings!$E$64="",$C56,Settings!$E$64))),1,0))+IF(OR(Settings!$B$65="",Settings!$F$65="No"),0,Settings!$B$65*IF(AND(IF(Settings!$C$65="",$B56,DATE(YEAR($A56),MONTH($A56),MIN(Settings!$C$65,DAY($B56))))&gt;=MAX($A56,Settings!$D$65),IF(Settings!$C$65="",$B56,DATE(YEAR($A56),MONTH($A56),MIN(Settings!$C$65,DAY($B56))))&lt;=MIN($C56,IF(Settings!$E$65="",$C56,Settings!$E$65))),1,0))</f>
        <v/>
      </c>
      <c r="AA56">
        <f>$X56+$Z56</f>
        <v/>
      </c>
      <c r="AB56">
        <f>IF($E56="post",$AA56,IF($E56="open",SUMIFS(Giving!$B$7:$B$2006,Giving!$A$7:$A$2006,"&gt;"&amp;Settings!$B$5,Giving!$A$7:$A$2006,"&lt;="&amp;$B56,Giving!$E$7:$E$2006,"&lt;&gt;No")+IF(OR(Settings!$B$60="",Settings!$F$60="No"),0,Settings!$B$60*IF(AND(IF(Settings!$C$60="",$B56,DATE(YEAR($A56),MONTH($A56),MIN(Settings!$C$60,DAY($B56))))&gt;=MAX($A56,Settings!$D$60,Settings!$B$5+1),IF(Settings!$C$60="",$B56,DATE(YEAR($A56),MONTH($A56),MIN(Settings!$C$60,DAY($B56))))&lt;=MIN($C56,IF(Settings!$E$60="",$C56,Settings!$E$60))),1,0))+IF(OR(Settings!$B$61="",Settings!$F$61="No"),0,Settings!$B$61*IF(AND(IF(Settings!$C$61="",$B56,DATE(YEAR($A56),MONTH($A56),MIN(Settings!$C$61,DAY($B56))))&gt;=MAX($A56,Settings!$D$61,Settings!$B$5+1),IF(Settings!$C$61="",$B56,DATE(YEAR($A56),MONTH($A56),MIN(Settings!$C$61,DAY($B56))))&lt;=MIN($C56,IF(Settings!$E$61="",$C56,Settings!$E$61))),1,0))+IF(OR(Settings!$B$62="",Settings!$F$62="No"),0,Settings!$B$62*IF(AND(IF(Settings!$C$62="",$B56,DATE(YEAR($A56),MONTH($A56),MIN(Settings!$C$62,DAY($B56))))&gt;=MAX($A56,Settings!$D$62,Settings!$B$5+1),IF(Settings!$C$62="",$B56,DATE(YEAR($A56),MONTH($A56),MIN(Settings!$C$62,DAY($B56))))&lt;=MIN($C56,IF(Settings!$E$62="",$C56,Settings!$E$62))),1,0))+IF(OR(Settings!$B$63="",Settings!$F$63="No"),0,Settings!$B$63*IF(AND(IF(Settings!$C$63="",$B56,DATE(YEAR($A56),MONTH($A56),MIN(Settings!$C$63,DAY($B56))))&gt;=MAX($A56,Settings!$D$63,Settings!$B$5+1),IF(Settings!$C$63="",$B56,DATE(YEAR($A56),MONTH($A56),MIN(Settings!$C$63,DAY($B56))))&lt;=MIN($C56,IF(Settings!$E$63="",$C56,Settings!$E$63))),1,0))+IF(OR(Settings!$B$64="",Settings!$F$64="No"),0,Settings!$B$64*IF(AND(IF(Settings!$C$64="",$B56,DATE(YEAR($A56),MONTH($A56),MIN(Settings!$C$64,DAY($B56))))&gt;=MAX($A56,Settings!$D$64,Settings!$B$5+1),IF(Settings!$C$64="",$B56,DATE(YEAR($A56),MONTH($A56),MIN(Settings!$C$64,DAY($B56))))&lt;=MIN($C56,IF(Settings!$E$64="",$C56,Settings!$E$64))),1,0))+IF(OR(Settings!$B$65="",Settings!$F$65="No"),0,Settings!$B$65*IF(AND(IF(Settings!$C$65="",$B56,DATE(YEAR($A56),MONTH($A56),MIN(Settings!$C$65,DAY($B56))))&gt;=MAX($A56,Settings!$D$65,Settings!$B$5+1),IF(Settings!$C$65="",$B56,DATE(YEAR($A56),MONTH($A56),MIN(Settings!$C$65,DAY($B56))))&lt;=MIN($C56,IF(Settings!$E$65="",$C56,Settings!$E$65))),1,0)),0))</f>
        <v/>
      </c>
      <c r="AC56">
        <f>$AY56+$AZ56+$BA56+$BB56+$BC56+$BD56</f>
        <v/>
      </c>
      <c r="AD56">
        <f>$AC56</f>
        <v/>
      </c>
      <c r="AE56">
        <f>IF(OR(Settings!$A$19="",$E56="pre"),"",IF(AND('Month-End'!$BA$7&lt;&gt;"",NOT(_xlfn.ISFORMULA('Month-End'!$BA$7))),N('Month-End'!$BA$7),IF(OR($E56="open",$E55="pre"),N(Settings!$C$19),N($AE55))))</f>
        <v/>
      </c>
      <c r="AF56">
        <f>IF(OR(Settings!$A$20="",$E56="pre"),"",IF(AND('Month-End'!$BA$8&lt;&gt;"",NOT(_xlfn.ISFORMULA('Month-End'!$BA$8))),N('Month-End'!$BA$8),IF(OR($E56="open",$E55="pre"),N(Settings!$C$20),N($AF55))))</f>
        <v/>
      </c>
      <c r="AG56">
        <f>IF(OR(Settings!$A$21="",$E56="pre"),"",IF(AND('Month-End'!$BA$9&lt;&gt;"",NOT(_xlfn.ISFORMULA('Month-End'!$BA$9))),N('Month-End'!$BA$9),IF(OR($E56="open",$E55="pre"),N(Settings!$C$21),N($AG55))))</f>
        <v/>
      </c>
      <c r="AH56">
        <f>IF(OR(Settings!$A$22="",$E56="pre"),"",IF(AND('Month-End'!$BA$10&lt;&gt;"",NOT(_xlfn.ISFORMULA('Month-End'!$BA$10))),N('Month-End'!$BA$10),IF(OR($E56="open",$E55="pre"),N(Settings!$C$22),N($AH55))))</f>
        <v/>
      </c>
      <c r="AI56">
        <f>IF(OR(Settings!$A$23="",$E56="pre"),"",IF(AND('Month-End'!$BA$11&lt;&gt;"",NOT(_xlfn.ISFORMULA('Month-End'!$BA$11))),N('Month-End'!$BA$11),IF(OR($E56="open",$E55="pre"),N(Settings!$C$23),N($AI55))))</f>
        <v/>
      </c>
      <c r="AJ56">
        <f>IF(OR(Settings!$A$24="",$E56="pre"),"",IF(AND('Month-End'!$BA$12&lt;&gt;"",NOT(_xlfn.ISFORMULA('Month-End'!$BA$12))),N('Month-End'!$BA$12),IF(OR($E56="open",$E55="pre"),N(Settings!$C$24),N($AJ55))))</f>
        <v/>
      </c>
      <c r="AK56">
        <f>IF(OR(Settings!$A$25="",$E56="pre"),"",IF(AND('Month-End'!$BA$13&lt;&gt;"",NOT(_xlfn.ISFORMULA('Month-End'!$BA$13))),N('Month-End'!$BA$13),IF(OR($E56="open",$E55="pre"),N(Settings!$C$25),N($AK55))))</f>
        <v/>
      </c>
      <c r="AL56">
        <f>IF(OR(Settings!$A$26="",$E56="pre"),"",IF(AND('Month-End'!$BA$14&lt;&gt;"",NOT(_xlfn.ISFORMULA('Month-End'!$BA$14))),N('Month-End'!$BA$14),IF(OR($E56="open",$E55="pre"),N(Settings!$C$26),N($AL55))))</f>
        <v/>
      </c>
      <c r="AM56">
        <f>IF(OR(Settings!$A$27="",$E56="pre"),"",IF(AND('Month-End'!$BA$15&lt;&gt;"",NOT(_xlfn.ISFORMULA('Month-End'!$BA$15))),N('Month-End'!$BA$15),IF(OR($E56="open",$E55="pre"),N(Settings!$C$27),N($AM55))))</f>
        <v/>
      </c>
      <c r="AN56">
        <f>IF(OR(Settings!$A$28="",$E56="pre"),"",IF(AND('Month-End'!$BA$16&lt;&gt;"",NOT(_xlfn.ISFORMULA('Month-End'!$BA$16))),N('Month-End'!$BA$16),IF(OR($E56="open",$E55="pre"),N(Settings!$C$28),N($AN55))))</f>
        <v/>
      </c>
      <c r="AO56">
        <f>IF(OR(Settings!$A$29="",$E56="pre"),"",IF(AND('Month-End'!$BA$17&lt;&gt;"",NOT(_xlfn.ISFORMULA('Month-End'!$BA$17))),N('Month-End'!$BA$17),IF(OR($E56="open",$E55="pre"),N(Settings!$C$29),N($AO55))))</f>
        <v/>
      </c>
      <c r="AP56">
        <f>IF(OR(Settings!$A$30="",$E56="pre"),"",IF(AND('Month-End'!$BA$18&lt;&gt;"",NOT(_xlfn.ISFORMULA('Month-End'!$BA$18))),N('Month-End'!$BA$18),IF(OR($E56="open",$E55="pre"),N(Settings!$C$30),N($AP55))))</f>
        <v/>
      </c>
      <c r="AQ56">
        <f>IF(OR(Settings!$A$31="",$E56="pre"),"",IF(AND('Month-End'!$BA$19&lt;&gt;"",NOT(_xlfn.ISFORMULA('Month-End'!$BA$19))),N('Month-End'!$BA$19),IF(OR($E56="open",$E55="pre"),N(Settings!$C$31),N($AQ55))))</f>
        <v/>
      </c>
      <c r="AR56">
        <f>IF(OR(Settings!$A$32="",$E56="pre"),"",IF(AND('Month-End'!$BA$20&lt;&gt;"",NOT(_xlfn.ISFORMULA('Month-End'!$BA$20))),N('Month-End'!$BA$20),IF(OR($E56="open",$E55="pre"),N(Settings!$C$32),N($AR55))))</f>
        <v/>
      </c>
      <c r="AS56">
        <f>IF(OR(Settings!$A$36="",$E56="pre"),"",IF(AND('Month-End'!$BA$38&lt;&gt;"",NOT(_xlfn.ISFORMULA('Month-End'!$BA$38))),N('Month-End'!$BA$38),IF(OR($E56="open",$E55="pre"),N(Settings!$C$36),N($AS55))+$AY56))</f>
        <v/>
      </c>
      <c r="AT56">
        <f>IF(OR(Settings!$A$37="",$E56="pre"),"",IF(AND('Month-End'!$BA$39&lt;&gt;"",NOT(_xlfn.ISFORMULA('Month-End'!$BA$39))),N('Month-End'!$BA$39),IF(OR($E56="open",$E55="pre"),N(Settings!$C$37),N($AT55))+$AZ56))</f>
        <v/>
      </c>
      <c r="AU56">
        <f>IF(OR(Settings!$A$38="",$E56="pre"),"",IF(AND('Month-End'!$BA$40&lt;&gt;"",NOT(_xlfn.ISFORMULA('Month-End'!$BA$40))),N('Month-End'!$BA$40),IF(OR($E56="open",$E55="pre"),N(Settings!$C$38),N($AU55))+$BA56))</f>
        <v/>
      </c>
      <c r="AV56">
        <f>IF(OR(Settings!$A$39="",$E56="pre"),"",IF(AND('Month-End'!$BA$41&lt;&gt;"",NOT(_xlfn.ISFORMULA('Month-End'!$BA$41))),N('Month-End'!$BA$41),IF(OR($E56="open",$E55="pre"),N(Settings!$C$39),N($AV55))+$BB56))</f>
        <v/>
      </c>
      <c r="AW56">
        <f>IF(OR(Settings!$A$40="",$E56="pre"),"",IF(AND('Month-End'!$BA$42&lt;&gt;"",NOT(_xlfn.ISFORMULA('Month-End'!$BA$42))),N('Month-End'!$BA$42),IF(OR($E56="open",$E55="pre"),N(Settings!$C$40),N($AW55))+$BC56))</f>
        <v/>
      </c>
      <c r="AX56">
        <f>IF(OR(Settings!$A$41="",$E56="pre"),"",IF(AND('Month-End'!$BA$43&lt;&gt;"",NOT(_xlfn.ISFORMULA('Month-End'!$BA$43))),N('Month-End'!$BA$43),IF(OR($E56="open",$E55="pre"),N(Settings!$C$41),N($AX55))+$BD56))</f>
        <v/>
      </c>
      <c r="AY56">
        <f>IF($E56="pre",0,N('Month-End'!$BA$45))</f>
        <v/>
      </c>
      <c r="AZ56">
        <f>IF($E56="pre",0,N('Month-End'!$BA$46))</f>
        <v/>
      </c>
      <c r="BA56">
        <f>IF($E56="pre",0,N('Month-End'!$BA$47))</f>
        <v/>
      </c>
      <c r="BB56">
        <f>IF($E56="pre",0,N('Month-End'!$BA$48))</f>
        <v/>
      </c>
      <c r="BC56">
        <f>IF($E56="pre",0,N('Month-End'!$BA$49))</f>
        <v/>
      </c>
      <c r="BD56">
        <f>IF($E56="pre",0,N('Month-End'!$BA$50))</f>
        <v/>
      </c>
      <c r="BE56">
        <f>IF(OR(Settings!$C$45="",Settings!$D$45=""),0,Settings!$C$45*IF(Settings!$D$45="Weekly",IF(IFERROR(MATCH(Settings!$E$45,$EO$4:$EO$10,0),0)=0,0,IF(MIN($C56,IF(Settings!$G$45="",$C56,Settings!$G$45))&lt;MAX($A56,Settings!$F$45),0,INT((MIN($C56,IF(Settings!$G$45="",$C56,Settings!$G$45))-MAX($A56,Settings!$F$45)-MOD(IFERROR(MATCH(Settings!$E$45,$EO$4:$EO$10,0),0)-WEEKDAY(MAX($A56,Settings!$F$45)),7))/7)+1)),IF(AND(IF(Settings!$E$45="",$B56,DATE(YEAR($A56),MONTH($A56),MIN(Settings!$E$45,DAY($B56))))&gt;=MAX($A56,Settings!$F$45),IF(Settings!$E$45="",$B56,DATE(YEAR($A56),MONTH($A56),MIN(Settings!$E$45,DAY($B56))))&lt;=MIN($C56,IF(Settings!$G$45="",$C56,Settings!$G$45))),1,0)))</f>
        <v/>
      </c>
      <c r="BF56">
        <f>IF(OR(Settings!$C$46="",Settings!$D$46=""),0,Settings!$C$46*IF(Settings!$D$46="Weekly",IF(IFERROR(MATCH(Settings!$E$46,$EO$4:$EO$10,0),0)=0,0,IF(MIN($C56,IF(Settings!$G$46="",$C56,Settings!$G$46))&lt;MAX($A56,Settings!$F$46),0,INT((MIN($C56,IF(Settings!$G$46="",$C56,Settings!$G$46))-MAX($A56,Settings!$F$46)-MOD(IFERROR(MATCH(Settings!$E$46,$EO$4:$EO$10,0),0)-WEEKDAY(MAX($A56,Settings!$F$46)),7))/7)+1)),IF(AND(IF(Settings!$E$46="",$B56,DATE(YEAR($A56),MONTH($A56),MIN(Settings!$E$46,DAY($B56))))&gt;=MAX($A56,Settings!$F$46),IF(Settings!$E$46="",$B56,DATE(YEAR($A56),MONTH($A56),MIN(Settings!$E$46,DAY($B56))))&lt;=MIN($C56,IF(Settings!$G$46="",$C56,Settings!$G$46))),1,0)))</f>
        <v/>
      </c>
      <c r="BG56">
        <f>IF(OR(Settings!$C$47="",Settings!$D$47=""),0,Settings!$C$47*IF(Settings!$D$47="Weekly",IF(IFERROR(MATCH(Settings!$E$47,$EO$4:$EO$10,0),0)=0,0,IF(MIN($C56,IF(Settings!$G$47="",$C56,Settings!$G$47))&lt;MAX($A56,Settings!$F$47),0,INT((MIN($C56,IF(Settings!$G$47="",$C56,Settings!$G$47))-MAX($A56,Settings!$F$47)-MOD(IFERROR(MATCH(Settings!$E$47,$EO$4:$EO$10,0),0)-WEEKDAY(MAX($A56,Settings!$F$47)),7))/7)+1)),IF(AND(IF(Settings!$E$47="",$B56,DATE(YEAR($A56),MONTH($A56),MIN(Settings!$E$47,DAY($B56))))&gt;=MAX($A56,Settings!$F$47),IF(Settings!$E$47="",$B56,DATE(YEAR($A56),MONTH($A56),MIN(Settings!$E$47,DAY($B56))))&lt;=MIN($C56,IF(Settings!$G$47="",$C56,Settings!$G$47))),1,0)))</f>
        <v/>
      </c>
      <c r="BH56">
        <f>IF(OR(Settings!$C$48="",Settings!$D$48=""),0,Settings!$C$48*IF(Settings!$D$48="Weekly",IF(IFERROR(MATCH(Settings!$E$48,$EO$4:$EO$10,0),0)=0,0,IF(MIN($C56,IF(Settings!$G$48="",$C56,Settings!$G$48))&lt;MAX($A56,Settings!$F$48),0,INT((MIN($C56,IF(Settings!$G$48="",$C56,Settings!$G$48))-MAX($A56,Settings!$F$48)-MOD(IFERROR(MATCH(Settings!$E$48,$EO$4:$EO$10,0),0)-WEEKDAY(MAX($A56,Settings!$F$48)),7))/7)+1)),IF(AND(IF(Settings!$E$48="",$B56,DATE(YEAR($A56),MONTH($A56),MIN(Settings!$E$48,DAY($B56))))&gt;=MAX($A56,Settings!$F$48),IF(Settings!$E$48="",$B56,DATE(YEAR($A56),MONTH($A56),MIN(Settings!$E$48,DAY($B56))))&lt;=MIN($C56,IF(Settings!$G$48="",$C56,Settings!$G$48))),1,0)))</f>
        <v/>
      </c>
      <c r="BI56">
        <f>IF(OR(Settings!$C$49="",Settings!$D$49=""),0,Settings!$C$49*IF(Settings!$D$49="Weekly",IF(IFERROR(MATCH(Settings!$E$49,$EO$4:$EO$10,0),0)=0,0,IF(MIN($C56,IF(Settings!$G$49="",$C56,Settings!$G$49))&lt;MAX($A56,Settings!$F$49),0,INT((MIN($C56,IF(Settings!$G$49="",$C56,Settings!$G$49))-MAX($A56,Settings!$F$49)-MOD(IFERROR(MATCH(Settings!$E$49,$EO$4:$EO$10,0),0)-WEEKDAY(MAX($A56,Settings!$F$49)),7))/7)+1)),IF(AND(IF(Settings!$E$49="",$B56,DATE(YEAR($A56),MONTH($A56),MIN(Settings!$E$49,DAY($B56))))&gt;=MAX($A56,Settings!$F$49),IF(Settings!$E$49="",$B56,DATE(YEAR($A56),MONTH($A56),MIN(Settings!$E$49,DAY($B56))))&lt;=MIN($C56,IF(Settings!$G$49="",$C56,Settings!$G$49))),1,0)))</f>
        <v/>
      </c>
      <c r="BJ56">
        <f>IF(OR(Settings!$C$50="",Settings!$D$50=""),0,Settings!$C$50*IF(Settings!$D$50="Weekly",IF(IFERROR(MATCH(Settings!$E$50,$EO$4:$EO$10,0),0)=0,0,IF(MIN($C56,IF(Settings!$G$50="",$C56,Settings!$G$50))&lt;MAX($A56,Settings!$F$50),0,INT((MIN($C56,IF(Settings!$G$50="",$C56,Settings!$G$50))-MAX($A56,Settings!$F$50)-MOD(IFERROR(MATCH(Settings!$E$50,$EO$4:$EO$10,0),0)-WEEKDAY(MAX($A56,Settings!$F$50)),7))/7)+1)),IF(AND(IF(Settings!$E$50="",$B56,DATE(YEAR($A56),MONTH($A56),MIN(Settings!$E$50,DAY($B56))))&gt;=MAX($A56,Settings!$F$50),IF(Settings!$E$50="",$B56,DATE(YEAR($A56),MONTH($A56),MIN(Settings!$E$50,DAY($B56))))&lt;=MIN($C56,IF(Settings!$G$50="",$C56,Settings!$G$50))),1,0)))</f>
        <v/>
      </c>
      <c r="BK56">
        <f>IF(OR(Settings!$C$51="",Settings!$D$51=""),0,Settings!$C$51*IF(Settings!$D$51="Weekly",IF(IFERROR(MATCH(Settings!$E$51,$EO$4:$EO$10,0),0)=0,0,IF(MIN($C56,IF(Settings!$G$51="",$C56,Settings!$G$51))&lt;MAX($A56,Settings!$F$51),0,INT((MIN($C56,IF(Settings!$G$51="",$C56,Settings!$G$51))-MAX($A56,Settings!$F$51)-MOD(IFERROR(MATCH(Settings!$E$51,$EO$4:$EO$10,0),0)-WEEKDAY(MAX($A56,Settings!$F$51)),7))/7)+1)),IF(AND(IF(Settings!$E$51="",$B56,DATE(YEAR($A56),MONTH($A56),MIN(Settings!$E$51,DAY($B56))))&gt;=MAX($A56,Settings!$F$51),IF(Settings!$E$51="",$B56,DATE(YEAR($A56),MONTH($A56),MIN(Settings!$E$51,DAY($B56))))&lt;=MIN($C56,IF(Settings!$G$51="",$C56,Settings!$G$51))),1,0)))</f>
        <v/>
      </c>
      <c r="BL56">
        <f>IF(OR(Settings!$C$52="",Settings!$D$52=""),0,Settings!$C$52*IF(Settings!$D$52="Weekly",IF(IFERROR(MATCH(Settings!$E$52,$EO$4:$EO$10,0),0)=0,0,IF(MIN($C56,IF(Settings!$G$52="",$C56,Settings!$G$52))&lt;MAX($A56,Settings!$F$52),0,INT((MIN($C56,IF(Settings!$G$52="",$C56,Settings!$G$52))-MAX($A56,Settings!$F$52)-MOD(IFERROR(MATCH(Settings!$E$52,$EO$4:$EO$10,0),0)-WEEKDAY(MAX($A56,Settings!$F$52)),7))/7)+1)),IF(AND(IF(Settings!$E$52="",$B56,DATE(YEAR($A56),MONTH($A56),MIN(Settings!$E$52,DAY($B56))))&gt;=MAX($A56,Settings!$F$52),IF(Settings!$E$52="",$B56,DATE(YEAR($A56),MONTH($A56),MIN(Settings!$E$52,DAY($B56))))&lt;=MIN($C56,IF(Settings!$G$52="",$C56,Settings!$G$52))),1,0)))</f>
        <v/>
      </c>
      <c r="BM56">
        <f>IF(OR(Settings!$C$53="",Settings!$D$53=""),0,Settings!$C$53*IF(Settings!$D$53="Weekly",IF(IFERROR(MATCH(Settings!$E$53,$EO$4:$EO$10,0),0)=0,0,IF(MIN($C56,IF(Settings!$G$53="",$C56,Settings!$G$53))&lt;MAX($A56,Settings!$F$53),0,INT((MIN($C56,IF(Settings!$G$53="",$C56,Settings!$G$53))-MAX($A56,Settings!$F$53)-MOD(IFERROR(MATCH(Settings!$E$53,$EO$4:$EO$10,0),0)-WEEKDAY(MAX($A56,Settings!$F$53)),7))/7)+1)),IF(AND(IF(Settings!$E$53="",$B56,DATE(YEAR($A56),MONTH($A56),MIN(Settings!$E$53,DAY($B56))))&gt;=MAX($A56,Settings!$F$53),IF(Settings!$E$53="",$B56,DATE(YEAR($A56),MONTH($A56),MIN(Settings!$E$53,DAY($B56))))&lt;=MIN($C56,IF(Settings!$G$53="",$C56,Settings!$G$53))),1,0)))</f>
        <v/>
      </c>
      <c r="BN56">
        <f>IF(OR(Settings!$C$54="",Settings!$D$54=""),0,Settings!$C$54*IF(Settings!$D$54="Weekly",IF(IFERROR(MATCH(Settings!$E$54,$EO$4:$EO$10,0),0)=0,0,IF(MIN($C56,IF(Settings!$G$54="",$C56,Settings!$G$54))&lt;MAX($A56,Settings!$F$54),0,INT((MIN($C56,IF(Settings!$G$54="",$C56,Settings!$G$54))-MAX($A56,Settings!$F$54)-MOD(IFERROR(MATCH(Settings!$E$54,$EO$4:$EO$10,0),0)-WEEKDAY(MAX($A56,Settings!$F$54)),7))/7)+1)),IF(AND(IF(Settings!$E$54="",$B56,DATE(YEAR($A56),MONTH($A56),MIN(Settings!$E$54,DAY($B56))))&gt;=MAX($A56,Settings!$F$54),IF(Settings!$E$54="",$B56,DATE(YEAR($A56),MONTH($A56),MIN(Settings!$E$54,DAY($B56))))&lt;=MIN($C56,IF(Settings!$G$54="",$C56,Settings!$G$54))),1,0)))</f>
        <v/>
      </c>
      <c r="BO56">
        <f>IF(OR(Settings!$C$55="",Settings!$D$55=""),0,Settings!$C$55*IF(Settings!$D$55="Weekly",IF(IFERROR(MATCH(Settings!$E$55,$EO$4:$EO$10,0),0)=0,0,IF(MIN($C56,IF(Settings!$G$55="",$C56,Settings!$G$55))&lt;MAX($A56,Settings!$F$55),0,INT((MIN($C56,IF(Settings!$G$55="",$C56,Settings!$G$55))-MAX($A56,Settings!$F$55)-MOD(IFERROR(MATCH(Settings!$E$55,$EO$4:$EO$10,0),0)-WEEKDAY(MAX($A56,Settings!$F$55)),7))/7)+1)),IF(AND(IF(Settings!$E$55="",$B56,DATE(YEAR($A56),MONTH($A56),MIN(Settings!$E$55,DAY($B56))))&gt;=MAX($A56,Settings!$F$55),IF(Settings!$E$55="",$B56,DATE(YEAR($A56),MONTH($A56),MIN(Settings!$E$55,DAY($B56))))&lt;=MIN($C56,IF(Settings!$G$55="",$C56,Settings!$G$55))),1,0)))</f>
        <v/>
      </c>
      <c r="BP56">
        <f>IF(OR(Settings!$C$56="",Settings!$D$56=""),0,Settings!$C$56*IF(Settings!$D$56="Weekly",IF(IFERROR(MATCH(Settings!$E$56,$EO$4:$EO$10,0),0)=0,0,IF(MIN($C56,IF(Settings!$G$56="",$C56,Settings!$G$56))&lt;MAX($A56,Settings!$F$56),0,INT((MIN($C56,IF(Settings!$G$56="",$C56,Settings!$G$56))-MAX($A56,Settings!$F$56)-MOD(IFERROR(MATCH(Settings!$E$56,$EO$4:$EO$10,0),0)-WEEKDAY(MAX($A56,Settings!$F$56)),7))/7)+1)),IF(AND(IF(Settings!$E$56="",$B56,DATE(YEAR($A56),MONTH($A56),MIN(Settings!$E$56,DAY($B56))))&gt;=MAX($A56,Settings!$F$56),IF(Settings!$E$56="",$B56,DATE(YEAR($A56),MONTH($A56),MIN(Settings!$E$56,DAY($B56))))&lt;=MIN($C56,IF(Settings!$G$56="",$C56,Settings!$G$56))),1,0)))</f>
        <v/>
      </c>
      <c r="BQ56">
        <f>IF(OR(Settings!$B$14="",$D56=1,$E56="pre",$A56&lt;IF(Settings!$B$15="",0,Settings!$B$15)),0,Settings!$B$14)</f>
        <v/>
      </c>
      <c r="BR56">
        <f>IF(AND('Month-End'!$BA$7&lt;&gt;"",NOT(_xlfn.ISFORMULA('Month-End'!$BA$7))),1,0)</f>
        <v/>
      </c>
      <c r="BS56">
        <f>IF(AND('Month-End'!$BA$8&lt;&gt;"",NOT(_xlfn.ISFORMULA('Month-End'!$BA$8))),1,0)</f>
        <v/>
      </c>
      <c r="BT56">
        <f>IF(AND('Month-End'!$BA$9&lt;&gt;"",NOT(_xlfn.ISFORMULA('Month-End'!$BA$9))),1,0)</f>
        <v/>
      </c>
      <c r="BU56">
        <f>IF(AND('Month-End'!$BA$10&lt;&gt;"",NOT(_xlfn.ISFORMULA('Month-End'!$BA$10))),1,0)</f>
        <v/>
      </c>
      <c r="BV56">
        <f>IF(AND('Month-End'!$BA$11&lt;&gt;"",NOT(_xlfn.ISFORMULA('Month-End'!$BA$11))),1,0)</f>
        <v/>
      </c>
      <c r="BW56">
        <f>IF(AND('Month-End'!$BA$12&lt;&gt;"",NOT(_xlfn.ISFORMULA('Month-End'!$BA$12))),1,0)</f>
        <v/>
      </c>
      <c r="BX56">
        <f>IF(AND('Month-End'!$BA$13&lt;&gt;"",NOT(_xlfn.ISFORMULA('Month-End'!$BA$13))),1,0)</f>
        <v/>
      </c>
      <c r="BY56">
        <f>IF(AND('Month-End'!$BA$14&lt;&gt;"",NOT(_xlfn.ISFORMULA('Month-End'!$BA$14))),1,0)</f>
        <v/>
      </c>
      <c r="BZ56">
        <f>IF(AND('Month-End'!$BA$15&lt;&gt;"",NOT(_xlfn.ISFORMULA('Month-End'!$BA$15))),1,0)</f>
        <v/>
      </c>
      <c r="CA56">
        <f>IF(AND('Month-End'!$BA$16&lt;&gt;"",NOT(_xlfn.ISFORMULA('Month-End'!$BA$16))),1,0)</f>
        <v/>
      </c>
      <c r="CB56">
        <f>IF(AND('Month-End'!$BA$17&lt;&gt;"",NOT(_xlfn.ISFORMULA('Month-End'!$BA$17))),1,0)</f>
        <v/>
      </c>
      <c r="CC56">
        <f>IF(AND('Month-End'!$BA$18&lt;&gt;"",NOT(_xlfn.ISFORMULA('Month-End'!$BA$18))),1,0)</f>
        <v/>
      </c>
      <c r="CD56">
        <f>IF(AND('Month-End'!$BA$19&lt;&gt;"",NOT(_xlfn.ISFORMULA('Month-End'!$BA$19))),1,0)</f>
        <v/>
      </c>
      <c r="CE56">
        <f>IF(AND('Month-End'!$BA$20&lt;&gt;"",NOT(_xlfn.ISFORMULA('Month-End'!$BA$20))),1,0)</f>
        <v/>
      </c>
      <c r="CF56">
        <f>IF(AND('Month-End'!$BA$38&lt;&gt;"",NOT(_xlfn.ISFORMULA('Month-End'!$BA$38))),1,0)</f>
        <v/>
      </c>
      <c r="CG56">
        <f>IF(AND('Month-End'!$BA$39&lt;&gt;"",NOT(_xlfn.ISFORMULA('Month-End'!$BA$39))),1,0)</f>
        <v/>
      </c>
      <c r="CH56">
        <f>IF(AND('Month-End'!$BA$40&lt;&gt;"",NOT(_xlfn.ISFORMULA('Month-End'!$BA$40))),1,0)</f>
        <v/>
      </c>
      <c r="CI56">
        <f>IF(AND('Month-End'!$BA$41&lt;&gt;"",NOT(_xlfn.ISFORMULA('Month-End'!$BA$41))),1,0)</f>
        <v/>
      </c>
      <c r="CJ56">
        <f>IF(AND('Month-End'!$BA$42&lt;&gt;"",NOT(_xlfn.ISFORMULA('Month-End'!$BA$42))),1,0)</f>
        <v/>
      </c>
      <c r="CK56">
        <f>IF(AND('Month-End'!$BA$43&lt;&gt;"",NOT(_xlfn.ISFORMULA('Month-End'!$BA$43))),1,0)</f>
        <v/>
      </c>
      <c r="CL56">
        <f>SUM($CM56:$CZ56)</f>
        <v/>
      </c>
      <c r="CM56">
        <f>IF(AND($E56&lt;&gt;"pre",AND(Settings!$A$19&lt;&gt;"",Settings!$E$19&lt;&gt;"No"),Settings!$F$19="Yes",NOT(AND('Month-End'!$BA$7&lt;&gt;"",NOT(_xlfn.ISFORMULA('Month-End'!$BA$7))))),1,0)</f>
        <v/>
      </c>
      <c r="CN56">
        <f>IF(AND($E56&lt;&gt;"pre",AND(Settings!$A$20&lt;&gt;"",Settings!$E$20&lt;&gt;"No"),Settings!$F$20="Yes",NOT(AND('Month-End'!$BA$8&lt;&gt;"",NOT(_xlfn.ISFORMULA('Month-End'!$BA$8))))),1,0)</f>
        <v/>
      </c>
      <c r="CO56">
        <f>IF(AND($E56&lt;&gt;"pre",AND(Settings!$A$21&lt;&gt;"",Settings!$E$21&lt;&gt;"No"),Settings!$F$21="Yes",NOT(AND('Month-End'!$BA$9&lt;&gt;"",NOT(_xlfn.ISFORMULA('Month-End'!$BA$9))))),1,0)</f>
        <v/>
      </c>
      <c r="CP56">
        <f>IF(AND($E56&lt;&gt;"pre",AND(Settings!$A$22&lt;&gt;"",Settings!$E$22&lt;&gt;"No"),Settings!$F$22="Yes",NOT(AND('Month-End'!$BA$10&lt;&gt;"",NOT(_xlfn.ISFORMULA('Month-End'!$BA$10))))),1,0)</f>
        <v/>
      </c>
      <c r="CQ56">
        <f>IF(AND($E56&lt;&gt;"pre",AND(Settings!$A$23&lt;&gt;"",Settings!$E$23&lt;&gt;"No"),Settings!$F$23="Yes",NOT(AND('Month-End'!$BA$11&lt;&gt;"",NOT(_xlfn.ISFORMULA('Month-End'!$BA$11))))),1,0)</f>
        <v/>
      </c>
      <c r="CR56">
        <f>IF(AND($E56&lt;&gt;"pre",AND(Settings!$A$24&lt;&gt;"",Settings!$E$24&lt;&gt;"No"),Settings!$F$24="Yes",NOT(AND('Month-End'!$BA$12&lt;&gt;"",NOT(_xlfn.ISFORMULA('Month-End'!$BA$12))))),1,0)</f>
        <v/>
      </c>
      <c r="CS56">
        <f>IF(AND($E56&lt;&gt;"pre",AND(Settings!$A$25&lt;&gt;"",Settings!$E$25&lt;&gt;"No"),Settings!$F$25="Yes",NOT(AND('Month-End'!$BA$13&lt;&gt;"",NOT(_xlfn.ISFORMULA('Month-End'!$BA$13))))),1,0)</f>
        <v/>
      </c>
      <c r="CT56">
        <f>IF(AND($E56&lt;&gt;"pre",AND(Settings!$A$26&lt;&gt;"",Settings!$E$26&lt;&gt;"No"),Settings!$F$26="Yes",NOT(AND('Month-End'!$BA$14&lt;&gt;"",NOT(_xlfn.ISFORMULA('Month-End'!$BA$14))))),1,0)</f>
        <v/>
      </c>
      <c r="CU56">
        <f>IF(AND($E56&lt;&gt;"pre",AND(Settings!$A$27&lt;&gt;"",Settings!$E$27&lt;&gt;"No"),Settings!$F$27="Yes",NOT(AND('Month-End'!$BA$15&lt;&gt;"",NOT(_xlfn.ISFORMULA('Month-End'!$BA$15))))),1,0)</f>
        <v/>
      </c>
      <c r="CV56">
        <f>IF(AND($E56&lt;&gt;"pre",AND(Settings!$A$28&lt;&gt;"",Settings!$E$28&lt;&gt;"No"),Settings!$F$28="Yes",NOT(AND('Month-End'!$BA$16&lt;&gt;"",NOT(_xlfn.ISFORMULA('Month-End'!$BA$16))))),1,0)</f>
        <v/>
      </c>
      <c r="CW56">
        <f>IF(AND($E56&lt;&gt;"pre",AND(Settings!$A$29&lt;&gt;"",Settings!$E$29&lt;&gt;"No"),Settings!$F$29="Yes",NOT(AND('Month-End'!$BA$17&lt;&gt;"",NOT(_xlfn.ISFORMULA('Month-End'!$BA$17))))),1,0)</f>
        <v/>
      </c>
      <c r="CX56">
        <f>IF(AND($E56&lt;&gt;"pre",AND(Settings!$A$30&lt;&gt;"",Settings!$E$30&lt;&gt;"No"),Settings!$F$30="Yes",NOT(AND('Month-End'!$BA$18&lt;&gt;"",NOT(_xlfn.ISFORMULA('Month-End'!$BA$18))))),1,0)</f>
        <v/>
      </c>
      <c r="CY56">
        <f>IF(AND($E56&lt;&gt;"pre",AND(Settings!$A$31&lt;&gt;"",Settings!$E$31&lt;&gt;"No"),Settings!$F$31="Yes",NOT(AND('Month-End'!$BA$19&lt;&gt;"",NOT(_xlfn.ISFORMULA('Month-End'!$BA$19))))),1,0)</f>
        <v/>
      </c>
      <c r="CZ56">
        <f>IF(AND($E56&lt;&gt;"pre",AND(Settings!$A$32&lt;&gt;"",Settings!$E$32&lt;&gt;"No"),Settings!$F$32="Yes",NOT(AND('Month-End'!$BA$20&lt;&gt;"",NOT(_xlfn.ISFORMULA('Month-End'!$BA$20))))),1,0)</f>
        <v/>
      </c>
      <c r="DA56">
        <f>IF($DT56=1,IF(OR(Settings!$B$19="Checking",Settings!$B$19="Savings",Settings!$B$19="Cash"),N($AE56),IF(OR(Settings!$B$19="Card",Settings!$B$19="Loan"),-N($AE56),0))+IF(OR(Settings!$B$20="Checking",Settings!$B$20="Savings",Settings!$B$20="Cash"),N($AF56),IF(OR(Settings!$B$20="Card",Settings!$B$20="Loan"),-N($AF56),0))+IF(OR(Settings!$B$21="Checking",Settings!$B$21="Savings",Settings!$B$21="Cash"),N($AG56),IF(OR(Settings!$B$21="Card",Settings!$B$21="Loan"),-N($AG56),0))+IF(OR(Settings!$B$22="Checking",Settings!$B$22="Savings",Settings!$B$22="Cash"),N($AH56),IF(OR(Settings!$B$22="Card",Settings!$B$22="Loan"),-N($AH56),0))+IF(OR(Settings!$B$23="Checking",Settings!$B$23="Savings",Settings!$B$23="Cash"),N($AI56),IF(OR(Settings!$B$23="Card",Settings!$B$23="Loan"),-N($AI56),0))+IF(OR(Settings!$B$24="Checking",Settings!$B$24="Savings",Settings!$B$24="Cash"),N($AJ56),IF(OR(Settings!$B$24="Card",Settings!$B$24="Loan"),-N($AJ56),0))+IF(OR(Settings!$B$25="Checking",Settings!$B$25="Savings",Settings!$B$25="Cash"),N($AK56),IF(OR(Settings!$B$25="Card",Settings!$B$25="Loan"),-N($AK56),0))+IF(OR(Settings!$B$26="Checking",Settings!$B$26="Savings",Settings!$B$26="Cash"),N($AL56),IF(OR(Settings!$B$26="Card",Settings!$B$26="Loan"),-N($AL56),0))+IF(OR(Settings!$B$27="Checking",Settings!$B$27="Savings",Settings!$B$27="Cash"),N($AM56),IF(OR(Settings!$B$27="Card",Settings!$B$27="Loan"),-N($AM56),0))+IF(OR(Settings!$B$28="Checking",Settings!$B$28="Savings",Settings!$B$28="Cash"),N($AN56),IF(OR(Settings!$B$28="Card",Settings!$B$28="Loan"),-N($AN56),0))+IF(OR(Settings!$B$29="Checking",Settings!$B$29="Savings",Settings!$B$29="Cash"),N($AO56),IF(OR(Settings!$B$29="Card",Settings!$B$29="Loan"),-N($AO56),0))+IF(OR(Settings!$B$30="Checking",Settings!$B$30="Savings",Settings!$B$30="Cash"),N($AP56),IF(OR(Settings!$B$30="Card",Settings!$B$30="Loan"),-N($AP56),0))+IF(OR(Settings!$B$31="Checking",Settings!$B$31="Savings",Settings!$B$31="Cash"),N($AQ56),IF(OR(Settings!$B$31="Card",Settings!$B$31="Loan"),-N($AQ56),0))+IF(OR(Settings!$B$32="Checking",Settings!$B$32="Savings",Settings!$B$32="Cash"),N($AR56),IF(OR(Settings!$B$32="Card",Settings!$B$32="Loan"),-N($AR56),0)),"")</f>
        <v/>
      </c>
      <c r="DB56">
        <f>IF($E56="open",$EB$27,IF($E56="post",IF($E55="pre",$EB$27,$DA55),""))</f>
        <v/>
      </c>
      <c r="DC56">
        <f>IF($E56="open",1,IF($E56="post",IF($E55="pre",1,$DT55),0))</f>
        <v/>
      </c>
      <c r="DD56">
        <f>IF(AND($DT56=1,$DC56=1),ROUND($W56-($DA56-$DB56)-$AD56-$AB56,2),"")</f>
        <v/>
      </c>
      <c r="DE56">
        <f>IF('Month-End'!$BA$35="",$BQ56,N('Month-End'!$BA$35))</f>
        <v/>
      </c>
      <c r="DF56">
        <f>N('Month-End'!$BA$36)</f>
        <v/>
      </c>
      <c r="DG56">
        <f>IF($DD56="","",$DD56+$DE56)</f>
        <v/>
      </c>
      <c r="DH56">
        <f>IF($DG56="","",$DG56-$DF56)</f>
        <v/>
      </c>
      <c r="DI56">
        <f>IF(OR($E56="pre",$D56=1),"",N($AS56)+N($AT56)+N($AU56)+N($AV56)+N($AW56)+N($AX56))</f>
        <v/>
      </c>
      <c r="DJ56">
        <f>IF($DT56=1,$DA56+N($DI56),"")</f>
        <v/>
      </c>
      <c r="DK56">
        <f>IF($DD56="","",$W56-$DD56-$AB56)</f>
        <v/>
      </c>
      <c r="DL56">
        <f>IF(AND($E56="post",$DD56&lt;&gt;"",$B56&lt;TODAY()),1,0)</f>
        <v/>
      </c>
      <c r="DM56">
        <f>IF($DL56=1,COUNTIF($DL56:$DL$183,1),0)</f>
        <v/>
      </c>
      <c r="DN56">
        <f>IF($D56=1,"",IF($E56="pre","History only",IF($DT56=1,IF($DD56="","⚠ Previous month missing",IF($DD56&lt;0,"⚠ Check: spending &lt; 0",IF($E56="open","✓ Done (partial)","✓ Done"))),IF($B56&gt;=TODAY(),"In progress","⚠ Needs balances"))))</f>
        <v/>
      </c>
      <c r="DO56">
        <f>YEAR($A56)</f>
        <v/>
      </c>
      <c r="DP56">
        <f>DATE(YEAR($A56),INT((MONTH($A56)-1)/3)*3+1,1)</f>
        <v/>
      </c>
      <c r="DQ56">
        <f>IF(AND($DT56=1,$DD56&lt;&gt;"",$D56=0),ROW(),0)</f>
        <v/>
      </c>
      <c r="DR56">
        <f>IF(AND($E56&lt;&gt;"pre",$B56&lt;TODAY(),$DT56=0),1,0)</f>
        <v/>
      </c>
      <c r="DS56">
        <f>IF($DJ56="",NA(),$DJ56)</f>
        <v/>
      </c>
      <c r="DT56">
        <f>IF(AND($E56&lt;&gt;"pre",$CL56=0,COUNTIFS(Settings!$F$19:$F$32,"Yes",Settings!$A$19:$A$32,"&lt;&gt;",Settings!$E$19:$E$32,"&lt;&gt;No")&gt;0),1,0)</f>
        <v/>
      </c>
      <c r="DU56">
        <f>IF(AND($B56&lt;TODAY(),$S56&gt;0),1,0)</f>
        <v/>
      </c>
      <c r="DV56">
        <f>IF($DU56=1,COUNTIF($DU56:$DU$183,1),0)</f>
        <v/>
      </c>
      <c r="DW56">
        <f>IF(AND(OR(Settings!$B$19="Card",Settings!$B$19="Loan"),AND('Month-End'!$BA$7&lt;&gt;"",NOT(_xlfn.ISFORMULA('Month-End'!$BA$7)))),IF(N('Month-End'!$BA$7)&lt;0,1,0),0)+IF(AND(OR(Settings!$B$20="Card",Settings!$B$20="Loan"),AND('Month-End'!$BA$8&lt;&gt;"",NOT(_xlfn.ISFORMULA('Month-End'!$BA$8)))),IF(N('Month-End'!$BA$8)&lt;0,1,0),0)+IF(AND(OR(Settings!$B$21="Card",Settings!$B$21="Loan"),AND('Month-End'!$BA$9&lt;&gt;"",NOT(_xlfn.ISFORMULA('Month-End'!$BA$9)))),IF(N('Month-End'!$BA$9)&lt;0,1,0),0)+IF(AND(OR(Settings!$B$22="Card",Settings!$B$22="Loan"),AND('Month-End'!$BA$10&lt;&gt;"",NOT(_xlfn.ISFORMULA('Month-End'!$BA$10)))),IF(N('Month-End'!$BA$10)&lt;0,1,0),0)+IF(AND(OR(Settings!$B$23="Card",Settings!$B$23="Loan"),AND('Month-End'!$BA$11&lt;&gt;"",NOT(_xlfn.ISFORMULA('Month-End'!$BA$11)))),IF(N('Month-End'!$BA$11)&lt;0,1,0),0)+IF(AND(OR(Settings!$B$24="Card",Settings!$B$24="Loan"),AND('Month-End'!$BA$12&lt;&gt;"",NOT(_xlfn.ISFORMULA('Month-End'!$BA$12)))),IF(N('Month-End'!$BA$12)&lt;0,1,0),0)+IF(AND(OR(Settings!$B$25="Card",Settings!$B$25="Loan"),AND('Month-End'!$BA$13&lt;&gt;"",NOT(_xlfn.ISFORMULA('Month-End'!$BA$13)))),IF(N('Month-End'!$BA$13)&lt;0,1,0),0)+IF(AND(OR(Settings!$B$26="Card",Settings!$B$26="Loan"),AND('Month-End'!$BA$14&lt;&gt;"",NOT(_xlfn.ISFORMULA('Month-End'!$BA$14)))),IF(N('Month-End'!$BA$14)&lt;0,1,0),0)+IF(AND(OR(Settings!$B$27="Card",Settings!$B$27="Loan"),AND('Month-End'!$BA$15&lt;&gt;"",NOT(_xlfn.ISFORMULA('Month-End'!$BA$15)))),IF(N('Month-End'!$BA$15)&lt;0,1,0),0)+IF(AND(OR(Settings!$B$28="Card",Settings!$B$28="Loan"),AND('Month-End'!$BA$16&lt;&gt;"",NOT(_xlfn.ISFORMULA('Month-End'!$BA$16)))),IF(N('Month-End'!$BA$16)&lt;0,1,0),0)+IF(AND(OR(Settings!$B$29="Card",Settings!$B$29="Loan"),AND('Month-End'!$BA$17&lt;&gt;"",NOT(_xlfn.ISFORMULA('Month-End'!$BA$17)))),IF(N('Month-End'!$BA$17)&lt;0,1,0),0)+IF(AND(OR(Settings!$B$30="Card",Settings!$B$30="Loan"),AND('Month-End'!$BA$18&lt;&gt;"",NOT(_xlfn.ISFORMULA('Month-End'!$BA$18)))),IF(N('Month-End'!$BA$18)&lt;0,1,0),0)+IF(AND(OR(Settings!$B$31="Card",Settings!$B$31="Loan"),AND('Month-End'!$BA$19&lt;&gt;"",NOT(_xlfn.ISFORMULA('Month-End'!$BA$19)))),IF(N('Month-End'!$BA$19)&lt;0,1,0),0)+IF(AND(OR(Settings!$B$32="Card",Settings!$B$32="Loan"),AND('Month-End'!$BA$20&lt;&gt;"",NOT(_xlfn.ISFORMULA('Month-End'!$BA$20)))),IF(N('Month-End'!$BA$20)&lt;0,1,0),0)</f>
        <v/>
      </c>
      <c r="DX56">
        <f>IF(Settings!$B$36="Retirement",$AY56,0)+IF(Settings!$B$37="Retirement",$AZ56,0)+IF(Settings!$B$38="Retirement",$BA56,0)+IF(Settings!$B$39="Retirement",$BB56,0)+IF(Settings!$B$40="Retirement",$BC56,0)+IF(Settings!$B$41="Retirement",$BD56,0)</f>
        <v/>
      </c>
      <c r="EA56">
        <f>IF(Settings!$A$38="","",Settings!$A$38)</f>
        <v/>
      </c>
      <c r="EB56">
        <f>IF(Settings!$A$38="","",IF($EB$5=0,N(Settings!$C$38),N(INDEX($AU:$AU,$EB$5))))</f>
        <v/>
      </c>
      <c r="EC56">
        <f>IF(Settings!$A$38="","",N(Settings!$D$38)+SUMIFS($BA$6:$BA$183,$D$6:$D$183,0))</f>
        <v/>
      </c>
      <c r="ED56">
        <f>IF(AND(AND(Settings!$A$38&lt;&gt;"",Settings!$G$38&lt;&gt;"No"),TRUE,Settings!$B$5&lt;EDATE(TODAY(),-6),COUNTIFS($CH$6:$CH$183,1,$A$6:$A$183,"&gt;="&amp;EDATE(TODAY(),-6))=0),1,0)</f>
        <v/>
      </c>
      <c r="EI56">
        <f>IF(AND(Settings!$A$38&lt;&gt;"",Settings!$G$38&lt;&gt;"No"),COUNTIFS($EK$40:$EK56,1),"")</f>
        <v/>
      </c>
      <c r="EJ56">
        <f>IF(Settings!$A$38="","",Settings!$B$38)</f>
        <v/>
      </c>
      <c r="EK56">
        <f>IF(AND(Settings!$A$38&lt;&gt;"",Settings!$G$38&lt;&gt;"No"),1,0)</f>
        <v/>
      </c>
      <c r="EL56">
        <f>IF(Settings!$A$38="","",IF(OR(Settings!$B$38="Card",Settings!$B$38="Loan"),-N(EB56),N(EB56)))</f>
        <v/>
      </c>
      <c r="EM56">
        <f>IF(Settings!$A$38="","",IF(Settings!$F$38="Yes","estimate",""))</f>
        <v/>
      </c>
      <c r="ET56">
        <f>IF($E56&lt;&gt;"open",0,IF(AND('Month-End'!$BA$22&lt;&gt;"",NOT(_xlfn.ISFORMULA('Month-End'!$BA$22))),0,IF(OR(Settings!$C$45="",Settings!$D$45=""),0,Settings!$C$45*IF(Settings!$D$45="Weekly",IF(IFERROR(MATCH(Settings!$E$45,$EO$4:$EO$10,0),0)=0,0,IF(MIN(Settings!$B$5,IF(Settings!$G$45="",Settings!$B$5,Settings!$G$45))&lt;MAX($A56,Settings!$F$45),0,INT((MIN(Settings!$B$5,IF(Settings!$G$45="",Settings!$B$5,Settings!$G$45))-MAX($A56,Settings!$F$45)-MOD(IFERROR(MATCH(Settings!$E$45,$EO$4:$EO$10,0),0)-WEEKDAY(MAX($A56,Settings!$F$45)),7))/7)+1)),IF(AND(IF(Settings!$E$45="",$B56,DATE(YEAR($A56),MONTH($A56),MIN(Settings!$E$45,DAY($B56))))&gt;=MAX($A56,Settings!$F$45),IF(Settings!$E$45="",$B56,DATE(YEAR($A56),MONTH($A56),MIN(Settings!$E$45,DAY($B56))))&lt;=MIN(Settings!$B$5,IF(Settings!$G$45="",Settings!$B$5,Settings!$G$45))),1,0)))))</f>
        <v/>
      </c>
      <c r="EU56">
        <f>IF($E56&lt;&gt;"open",0,IF(AND('Month-End'!$BA$23&lt;&gt;"",NOT(_xlfn.ISFORMULA('Month-End'!$BA$23))),0,IF(OR(Settings!$C$46="",Settings!$D$46=""),0,Settings!$C$46*IF(Settings!$D$46="Weekly",IF(IFERROR(MATCH(Settings!$E$46,$EO$4:$EO$10,0),0)=0,0,IF(MIN(Settings!$B$5,IF(Settings!$G$46="",Settings!$B$5,Settings!$G$46))&lt;MAX($A56,Settings!$F$46),0,INT((MIN(Settings!$B$5,IF(Settings!$G$46="",Settings!$B$5,Settings!$G$46))-MAX($A56,Settings!$F$46)-MOD(IFERROR(MATCH(Settings!$E$46,$EO$4:$EO$10,0),0)-WEEKDAY(MAX($A56,Settings!$F$46)),7))/7)+1)),IF(AND(IF(Settings!$E$46="",$B56,DATE(YEAR($A56),MONTH($A56),MIN(Settings!$E$46,DAY($B56))))&gt;=MAX($A56,Settings!$F$46),IF(Settings!$E$46="",$B56,DATE(YEAR($A56),MONTH($A56),MIN(Settings!$E$46,DAY($B56))))&lt;=MIN(Settings!$B$5,IF(Settings!$G$46="",Settings!$B$5,Settings!$G$46))),1,0)))))</f>
        <v/>
      </c>
      <c r="EV56">
        <f>IF($E56&lt;&gt;"open",0,IF(AND('Month-End'!$BA$24&lt;&gt;"",NOT(_xlfn.ISFORMULA('Month-End'!$BA$24))),0,IF(OR(Settings!$C$47="",Settings!$D$47=""),0,Settings!$C$47*IF(Settings!$D$47="Weekly",IF(IFERROR(MATCH(Settings!$E$47,$EO$4:$EO$10,0),0)=0,0,IF(MIN(Settings!$B$5,IF(Settings!$G$47="",Settings!$B$5,Settings!$G$47))&lt;MAX($A56,Settings!$F$47),0,INT((MIN(Settings!$B$5,IF(Settings!$G$47="",Settings!$B$5,Settings!$G$47))-MAX($A56,Settings!$F$47)-MOD(IFERROR(MATCH(Settings!$E$47,$EO$4:$EO$10,0),0)-WEEKDAY(MAX($A56,Settings!$F$47)),7))/7)+1)),IF(AND(IF(Settings!$E$47="",$B56,DATE(YEAR($A56),MONTH($A56),MIN(Settings!$E$47,DAY($B56))))&gt;=MAX($A56,Settings!$F$47),IF(Settings!$E$47="",$B56,DATE(YEAR($A56),MONTH($A56),MIN(Settings!$E$47,DAY($B56))))&lt;=MIN(Settings!$B$5,IF(Settings!$G$47="",Settings!$B$5,Settings!$G$47))),1,0)))))</f>
        <v/>
      </c>
      <c r="EW56">
        <f>IF($E56&lt;&gt;"open",0,IF(AND('Month-End'!$BA$25&lt;&gt;"",NOT(_xlfn.ISFORMULA('Month-End'!$BA$25))),0,IF(OR(Settings!$C$48="",Settings!$D$48=""),0,Settings!$C$48*IF(Settings!$D$48="Weekly",IF(IFERROR(MATCH(Settings!$E$48,$EO$4:$EO$10,0),0)=0,0,IF(MIN(Settings!$B$5,IF(Settings!$G$48="",Settings!$B$5,Settings!$G$48))&lt;MAX($A56,Settings!$F$48),0,INT((MIN(Settings!$B$5,IF(Settings!$G$48="",Settings!$B$5,Settings!$G$48))-MAX($A56,Settings!$F$48)-MOD(IFERROR(MATCH(Settings!$E$48,$EO$4:$EO$10,0),0)-WEEKDAY(MAX($A56,Settings!$F$48)),7))/7)+1)),IF(AND(IF(Settings!$E$48="",$B56,DATE(YEAR($A56),MONTH($A56),MIN(Settings!$E$48,DAY($B56))))&gt;=MAX($A56,Settings!$F$48),IF(Settings!$E$48="",$B56,DATE(YEAR($A56),MONTH($A56),MIN(Settings!$E$48,DAY($B56))))&lt;=MIN(Settings!$B$5,IF(Settings!$G$48="",Settings!$B$5,Settings!$G$48))),1,0)))))</f>
        <v/>
      </c>
      <c r="EX56">
        <f>IF($E56&lt;&gt;"open",0,IF(AND('Month-End'!$BA$26&lt;&gt;"",NOT(_xlfn.ISFORMULA('Month-End'!$BA$26))),0,IF(OR(Settings!$C$49="",Settings!$D$49=""),0,Settings!$C$49*IF(Settings!$D$49="Weekly",IF(IFERROR(MATCH(Settings!$E$49,$EO$4:$EO$10,0),0)=0,0,IF(MIN(Settings!$B$5,IF(Settings!$G$49="",Settings!$B$5,Settings!$G$49))&lt;MAX($A56,Settings!$F$49),0,INT((MIN(Settings!$B$5,IF(Settings!$G$49="",Settings!$B$5,Settings!$G$49))-MAX($A56,Settings!$F$49)-MOD(IFERROR(MATCH(Settings!$E$49,$EO$4:$EO$10,0),0)-WEEKDAY(MAX($A56,Settings!$F$49)),7))/7)+1)),IF(AND(IF(Settings!$E$49="",$B56,DATE(YEAR($A56),MONTH($A56),MIN(Settings!$E$49,DAY($B56))))&gt;=MAX($A56,Settings!$F$49),IF(Settings!$E$49="",$B56,DATE(YEAR($A56),MONTH($A56),MIN(Settings!$E$49,DAY($B56))))&lt;=MIN(Settings!$B$5,IF(Settings!$G$49="",Settings!$B$5,Settings!$G$49))),1,0)))))</f>
        <v/>
      </c>
      <c r="EY56">
        <f>IF($E56&lt;&gt;"open",0,IF(AND('Month-End'!$BA$27&lt;&gt;"",NOT(_xlfn.ISFORMULA('Month-End'!$BA$27))),0,IF(OR(Settings!$C$50="",Settings!$D$50=""),0,Settings!$C$50*IF(Settings!$D$50="Weekly",IF(IFERROR(MATCH(Settings!$E$50,$EO$4:$EO$10,0),0)=0,0,IF(MIN(Settings!$B$5,IF(Settings!$G$50="",Settings!$B$5,Settings!$G$50))&lt;MAX($A56,Settings!$F$50),0,INT((MIN(Settings!$B$5,IF(Settings!$G$50="",Settings!$B$5,Settings!$G$50))-MAX($A56,Settings!$F$50)-MOD(IFERROR(MATCH(Settings!$E$50,$EO$4:$EO$10,0),0)-WEEKDAY(MAX($A56,Settings!$F$50)),7))/7)+1)),IF(AND(IF(Settings!$E$50="",$B56,DATE(YEAR($A56),MONTH($A56),MIN(Settings!$E$50,DAY($B56))))&gt;=MAX($A56,Settings!$F$50),IF(Settings!$E$50="",$B56,DATE(YEAR($A56),MONTH($A56),MIN(Settings!$E$50,DAY($B56))))&lt;=MIN(Settings!$B$5,IF(Settings!$G$50="",Settings!$B$5,Settings!$G$50))),1,0)))))</f>
        <v/>
      </c>
      <c r="EZ56">
        <f>IF($E56&lt;&gt;"open",0,IF(AND('Month-End'!$BA$28&lt;&gt;"",NOT(_xlfn.ISFORMULA('Month-End'!$BA$28))),0,IF(OR(Settings!$C$51="",Settings!$D$51=""),0,Settings!$C$51*IF(Settings!$D$51="Weekly",IF(IFERROR(MATCH(Settings!$E$51,$EO$4:$EO$10,0),0)=0,0,IF(MIN(Settings!$B$5,IF(Settings!$G$51="",Settings!$B$5,Settings!$G$51))&lt;MAX($A56,Settings!$F$51),0,INT((MIN(Settings!$B$5,IF(Settings!$G$51="",Settings!$B$5,Settings!$G$51))-MAX($A56,Settings!$F$51)-MOD(IFERROR(MATCH(Settings!$E$51,$EO$4:$EO$10,0),0)-WEEKDAY(MAX($A56,Settings!$F$51)),7))/7)+1)),IF(AND(IF(Settings!$E$51="",$B56,DATE(YEAR($A56),MONTH($A56),MIN(Settings!$E$51,DAY($B56))))&gt;=MAX($A56,Settings!$F$51),IF(Settings!$E$51="",$B56,DATE(YEAR($A56),MONTH($A56),MIN(Settings!$E$51,DAY($B56))))&lt;=MIN(Settings!$B$5,IF(Settings!$G$51="",Settings!$B$5,Settings!$G$51))),1,0)))))</f>
        <v/>
      </c>
      <c r="FA56">
        <f>IF($E56&lt;&gt;"open",0,IF(AND('Month-End'!$BA$29&lt;&gt;"",NOT(_xlfn.ISFORMULA('Month-End'!$BA$29))),0,IF(OR(Settings!$C$52="",Settings!$D$52=""),0,Settings!$C$52*IF(Settings!$D$52="Weekly",IF(IFERROR(MATCH(Settings!$E$52,$EO$4:$EO$10,0),0)=0,0,IF(MIN(Settings!$B$5,IF(Settings!$G$52="",Settings!$B$5,Settings!$G$52))&lt;MAX($A56,Settings!$F$52),0,INT((MIN(Settings!$B$5,IF(Settings!$G$52="",Settings!$B$5,Settings!$G$52))-MAX($A56,Settings!$F$52)-MOD(IFERROR(MATCH(Settings!$E$52,$EO$4:$EO$10,0),0)-WEEKDAY(MAX($A56,Settings!$F$52)),7))/7)+1)),IF(AND(IF(Settings!$E$52="",$B56,DATE(YEAR($A56),MONTH($A56),MIN(Settings!$E$52,DAY($B56))))&gt;=MAX($A56,Settings!$F$52),IF(Settings!$E$52="",$B56,DATE(YEAR($A56),MONTH($A56),MIN(Settings!$E$52,DAY($B56))))&lt;=MIN(Settings!$B$5,IF(Settings!$G$52="",Settings!$B$5,Settings!$G$52))),1,0)))))</f>
        <v/>
      </c>
      <c r="FB56">
        <f>IF($E56&lt;&gt;"open",0,IF(AND('Month-End'!$BA$30&lt;&gt;"",NOT(_xlfn.ISFORMULA('Month-End'!$BA$30))),0,IF(OR(Settings!$C$53="",Settings!$D$53=""),0,Settings!$C$53*IF(Settings!$D$53="Weekly",IF(IFERROR(MATCH(Settings!$E$53,$EO$4:$EO$10,0),0)=0,0,IF(MIN(Settings!$B$5,IF(Settings!$G$53="",Settings!$B$5,Settings!$G$53))&lt;MAX($A56,Settings!$F$53),0,INT((MIN(Settings!$B$5,IF(Settings!$G$53="",Settings!$B$5,Settings!$G$53))-MAX($A56,Settings!$F$53)-MOD(IFERROR(MATCH(Settings!$E$53,$EO$4:$EO$10,0),0)-WEEKDAY(MAX($A56,Settings!$F$53)),7))/7)+1)),IF(AND(IF(Settings!$E$53="",$B56,DATE(YEAR($A56),MONTH($A56),MIN(Settings!$E$53,DAY($B56))))&gt;=MAX($A56,Settings!$F$53),IF(Settings!$E$53="",$B56,DATE(YEAR($A56),MONTH($A56),MIN(Settings!$E$53,DAY($B56))))&lt;=MIN(Settings!$B$5,IF(Settings!$G$53="",Settings!$B$5,Settings!$G$53))),1,0)))))</f>
        <v/>
      </c>
      <c r="FC56">
        <f>IF($E56&lt;&gt;"open",0,IF(AND('Month-End'!$BA$31&lt;&gt;"",NOT(_xlfn.ISFORMULA('Month-End'!$BA$31))),0,IF(OR(Settings!$C$54="",Settings!$D$54=""),0,Settings!$C$54*IF(Settings!$D$54="Weekly",IF(IFERROR(MATCH(Settings!$E$54,$EO$4:$EO$10,0),0)=0,0,IF(MIN(Settings!$B$5,IF(Settings!$G$54="",Settings!$B$5,Settings!$G$54))&lt;MAX($A56,Settings!$F$54),0,INT((MIN(Settings!$B$5,IF(Settings!$G$54="",Settings!$B$5,Settings!$G$54))-MAX($A56,Settings!$F$54)-MOD(IFERROR(MATCH(Settings!$E$54,$EO$4:$EO$10,0),0)-WEEKDAY(MAX($A56,Settings!$F$54)),7))/7)+1)),IF(AND(IF(Settings!$E$54="",$B56,DATE(YEAR($A56),MONTH($A56),MIN(Settings!$E$54,DAY($B56))))&gt;=MAX($A56,Settings!$F$54),IF(Settings!$E$54="",$B56,DATE(YEAR($A56),MONTH($A56),MIN(Settings!$E$54,DAY($B56))))&lt;=MIN(Settings!$B$5,IF(Settings!$G$54="",Settings!$B$5,Settings!$G$54))),1,0)))))</f>
        <v/>
      </c>
      <c r="FD56">
        <f>IF($E56&lt;&gt;"open",0,IF(AND('Month-End'!$BA$32&lt;&gt;"",NOT(_xlfn.ISFORMULA('Month-End'!$BA$32))),0,IF(OR(Settings!$C$55="",Settings!$D$55=""),0,Settings!$C$55*IF(Settings!$D$55="Weekly",IF(IFERROR(MATCH(Settings!$E$55,$EO$4:$EO$10,0),0)=0,0,IF(MIN(Settings!$B$5,IF(Settings!$G$55="",Settings!$B$5,Settings!$G$55))&lt;MAX($A56,Settings!$F$55),0,INT((MIN(Settings!$B$5,IF(Settings!$G$55="",Settings!$B$5,Settings!$G$55))-MAX($A56,Settings!$F$55)-MOD(IFERROR(MATCH(Settings!$E$55,$EO$4:$EO$10,0),0)-WEEKDAY(MAX($A56,Settings!$F$55)),7))/7)+1)),IF(AND(IF(Settings!$E$55="",$B56,DATE(YEAR($A56),MONTH($A56),MIN(Settings!$E$55,DAY($B56))))&gt;=MAX($A56,Settings!$F$55),IF(Settings!$E$55="",$B56,DATE(YEAR($A56),MONTH($A56),MIN(Settings!$E$55,DAY($B56))))&lt;=MIN(Settings!$B$5,IF(Settings!$G$55="",Settings!$B$5,Settings!$G$55))),1,0)))))</f>
        <v/>
      </c>
      <c r="FE56">
        <f>IF($E56&lt;&gt;"open",0,IF(AND('Month-End'!$BA$33&lt;&gt;"",NOT(_xlfn.ISFORMULA('Month-End'!$BA$33))),0,IF(OR(Settings!$C$56="",Settings!$D$56=""),0,Settings!$C$56*IF(Settings!$D$56="Weekly",IF(IFERROR(MATCH(Settings!$E$56,$EO$4:$EO$10,0),0)=0,0,IF(MIN(Settings!$B$5,IF(Settings!$G$56="",Settings!$B$5,Settings!$G$56))&lt;MAX($A56,Settings!$F$56),0,INT((MIN(Settings!$B$5,IF(Settings!$G$56="",Settings!$B$5,Settings!$G$56))-MAX($A56,Settings!$F$56)-MOD(IFERROR(MATCH(Settings!$E$56,$EO$4:$EO$10,0),0)-WEEKDAY(MAX($A56,Settings!$F$56)),7))/7)+1)),IF(AND(IF(Settings!$E$56="",$B56,DATE(YEAR($A56),MONTH($A56),MIN(Settings!$E$56,DAY($B56))))&gt;=MAX($A56,Settings!$F$56),IF(Settings!$E$56="",$B56,DATE(YEAR($A56),MONTH($A56),MIN(Settings!$E$56,DAY($B56))))&lt;=MIN(Settings!$B$5,IF(Settings!$G$56="",Settings!$B$5,Settings!$G$56))),1,0)))))</f>
        <v/>
      </c>
      <c r="FF56">
        <f>IF(Settings!$I$45="Yes",$G56,0)+IF(Settings!$I$46="Yes",$H56,0)+IF(Settings!$I$47="Yes",$I56,0)+IF(Settings!$I$48="Yes",$J56,0)+IF(Settings!$I$49="Yes",$K56,0)+IF(Settings!$I$50="Yes",$L56,0)+IF(Settings!$I$51="Yes",$M56,0)+IF(Settings!$I$52="Yes",$N56,0)+IF(Settings!$I$53="Yes",$O56,0)+IF(Settings!$I$54="Yes",$P56,0)+IF(Settings!$I$55="Yes",$Q56,0)+IF(Settings!$I$56="Yes",$R56,0)</f>
        <v/>
      </c>
      <c r="FG56">
        <f>IF(AND(Settings!$I$45="Yes",Settings!$J$45="No"),$G56,0)+IF(AND(Settings!$I$46="Yes",Settings!$J$46="No"),$H56,0)+IF(AND(Settings!$I$47="Yes",Settings!$J$47="No"),$I56,0)+IF(AND(Settings!$I$48="Yes",Settings!$J$48="No"),$J56,0)+IF(AND(Settings!$I$49="Yes",Settings!$J$49="No"),$K56,0)+IF(AND(Settings!$I$50="Yes",Settings!$J$50="No"),$L56,0)+IF(AND(Settings!$I$51="Yes",Settings!$J$51="No"),$M56,0)+IF(AND(Settings!$I$52="Yes",Settings!$J$52="No"),$N56,0)+IF(AND(Settings!$I$53="Yes",Settings!$J$53="No"),$O56,0)+IF(AND(Settings!$I$54="Yes",Settings!$J$54="No"),$P56,0)+IF(AND(Settings!$I$55="Yes",Settings!$J$55="No"),$Q56,0)+IF(AND(Settings!$I$56="Yes",Settings!$J$56="No"),$R56,0)</f>
        <v/>
      </c>
      <c r="FH56">
        <f>SUMIFS(Giving!$B$7:$B$2006,Giving!$A$7:$A$2006,"&gt;="&amp;$A56,Giving!$A$7:$A$2006,"&lt;="&amp;$B56,Giving!$G$7:$G$2006,"Yes")+IF(OR(OR(Settings!$B$60="",Settings!$F$60="No"),Settings!$H$60&lt;&gt;"Yes"),0,Settings!$B$60*IF(AND(IF(Settings!$C$60="",$B56,DATE(YEAR($A56),MONTH($A56),MIN(Settings!$C$60,DAY($B56))))&gt;=MAX($A56,Settings!$D$60),IF(Settings!$C$60="",$B56,DATE(YEAR($A56),MONTH($A56),MIN(Settings!$C$60,DAY($B56))))&lt;=MIN($C56,IF(Settings!$E$60="",$C56,Settings!$E$60))),1,0))+IF(OR(OR(Settings!$B$61="",Settings!$F$61="No"),Settings!$H$61&lt;&gt;"Yes"),0,Settings!$B$61*IF(AND(IF(Settings!$C$61="",$B56,DATE(YEAR($A56),MONTH($A56),MIN(Settings!$C$61,DAY($B56))))&gt;=MAX($A56,Settings!$D$61),IF(Settings!$C$61="",$B56,DATE(YEAR($A56),MONTH($A56),MIN(Settings!$C$61,DAY($B56))))&lt;=MIN($C56,IF(Settings!$E$61="",$C56,Settings!$E$61))),1,0))+IF(OR(OR(Settings!$B$62="",Settings!$F$62="No"),Settings!$H$62&lt;&gt;"Yes"),0,Settings!$B$62*IF(AND(IF(Settings!$C$62="",$B56,DATE(YEAR($A56),MONTH($A56),MIN(Settings!$C$62,DAY($B56))))&gt;=MAX($A56,Settings!$D$62),IF(Settings!$C$62="",$B56,DATE(YEAR($A56),MONTH($A56),MIN(Settings!$C$62,DAY($B56))))&lt;=MIN($C56,IF(Settings!$E$62="",$C56,Settings!$E$62))),1,0))+IF(OR(OR(Settings!$B$63="",Settings!$F$63="No"),Settings!$H$63&lt;&gt;"Yes"),0,Settings!$B$63*IF(AND(IF(Settings!$C$63="",$B56,DATE(YEAR($A56),MONTH($A56),MIN(Settings!$C$63,DAY($B56))))&gt;=MAX($A56,Settings!$D$63),IF(Settings!$C$63="",$B56,DATE(YEAR($A56),MONTH($A56),MIN(Settings!$C$63,DAY($B56))))&lt;=MIN($C56,IF(Settings!$E$63="",$C56,Settings!$E$63))),1,0))+IF(OR(OR(Settings!$B$64="",Settings!$F$64="No"),Settings!$H$64&lt;&gt;"Yes"),0,Settings!$B$64*IF(AND(IF(Settings!$C$64="",$B56,DATE(YEAR($A56),MONTH($A56),MIN(Settings!$C$64,DAY($B56))))&gt;=MAX($A56,Settings!$D$64),IF(Settings!$C$64="",$B56,DATE(YEAR($A56),MONTH($A56),MIN(Settings!$C$64,DAY($B56))))&lt;=MIN($C56,IF(Settings!$E$64="",$C56,Settings!$E$64))),1,0))+IF(OR(OR(Settings!$B$65="",Settings!$F$65="No"),Settings!$H$65&lt;&gt;"Yes"),0,Settings!$B$65*IF(AND(IF(Settings!$C$65="",$B56,DATE(YEAR($A56),MONTH($A56),MIN(Settings!$C$65,DAY($B56))))&gt;=MAX($A56,Settings!$D$65),IF(Settings!$C$65="",$B56,DATE(YEAR($A56),MONTH($A56),MIN(Settings!$C$65,DAY($B56))))&lt;=MIN($C56,IF(Settings!$E$65="",$C56,Settings!$E$65))),1,0))</f>
        <v/>
      </c>
      <c r="FI56">
        <f>IF($DT56=1,IF(OR(Settings!$B$19="Card",Settings!$B$19="Loan"),N($AE56),0)+IF(OR(Settings!$B$20="Card",Settings!$B$20="Loan"),N($AF56),0)+IF(OR(Settings!$B$21="Card",Settings!$B$21="Loan"),N($AG56),0)+IF(OR(Settings!$B$22="Card",Settings!$B$22="Loan"),N($AH56),0)+IF(OR(Settings!$B$23="Card",Settings!$B$23="Loan"),N($AI56),0)+IF(OR(Settings!$B$24="Card",Settings!$B$24="Loan"),N($AJ56),0)+IF(OR(Settings!$B$25="Card",Settings!$B$25="Loan"),N($AK56),0)+IF(OR(Settings!$B$26="Card",Settings!$B$26="Loan"),N($AL56),0)+IF(OR(Settings!$B$27="Card",Settings!$B$27="Loan"),N($AM56),0)+IF(OR(Settings!$B$28="Card",Settings!$B$28="Loan"),N($AN56),0)+IF(OR(Settings!$B$29="Card",Settings!$B$29="Loan"),N($AO56),0)+IF(OR(Settings!$B$30="Card",Settings!$B$30="Loan"),N($AP56),0)+IF(OR(Settings!$B$31="Card",Settings!$B$31="Loan"),N($AQ56),0)+IF(OR(Settings!$B$32="Card",Settings!$B$32="Loan"),N($AR56),0),"")</f>
        <v/>
      </c>
      <c r="FJ56">
        <f>IF($E56="open",$EB$65,IF($E56="post",IF($E55="pre",$EB$65,$FI55),""))</f>
        <v/>
      </c>
      <c r="FK56">
        <f>IF(AND($DT56=1,$DC56=1),IF(ROUND($FI56-$FJ56,2)&gt;0,1,0),0)</f>
        <v/>
      </c>
      <c r="FL56">
        <f>IF($FK56=1,$FL55+1,0)</f>
        <v/>
      </c>
    </row>
    <row r="57">
      <c r="A57">
        <f>'Month-End'!$BB$4</f>
        <v/>
      </c>
      <c r="B57">
        <f>EOMONTH($A57,0)</f>
        <v/>
      </c>
      <c r="C57">
        <f>MIN($B57,TODAY())</f>
        <v/>
      </c>
      <c r="D57">
        <f>IF($A57&gt;TODAY(),1,0)</f>
        <v/>
      </c>
      <c r="E57">
        <f>IF($B57&lt;=Settings!$B$5,"pre",IF($A57&lt;=Settings!$B$5,"open","post"))</f>
        <v/>
      </c>
      <c r="G57">
        <f>IF('Month-End'!$BB$22="",$BE57,N('Month-End'!$BB$22))</f>
        <v/>
      </c>
      <c r="H57">
        <f>IF('Month-End'!$BB$23="",$BF57,N('Month-End'!$BB$23))</f>
        <v/>
      </c>
      <c r="I57">
        <f>IF('Month-End'!$BB$24="",$BG57,N('Month-End'!$BB$24))</f>
        <v/>
      </c>
      <c r="J57">
        <f>IF('Month-End'!$BB$25="",$BH57,N('Month-End'!$BB$25))</f>
        <v/>
      </c>
      <c r="K57">
        <f>IF('Month-End'!$BB$26="",$BI57,N('Month-End'!$BB$26))</f>
        <v/>
      </c>
      <c r="L57">
        <f>IF('Month-End'!$BB$27="",$BJ57,N('Month-End'!$BB$27))</f>
        <v/>
      </c>
      <c r="M57">
        <f>IF('Month-End'!$BB$28="",$BK57,N('Month-End'!$BB$28))</f>
        <v/>
      </c>
      <c r="N57">
        <f>IF('Month-End'!$BB$29="",$BL57,N('Month-End'!$BB$29))</f>
        <v/>
      </c>
      <c r="O57">
        <f>IF('Month-End'!$BB$30="",$BM57,N('Month-End'!$BB$30))</f>
        <v/>
      </c>
      <c r="P57">
        <f>IF('Month-End'!$BB$31="",$BN57,N('Month-End'!$BB$31))</f>
        <v/>
      </c>
      <c r="Q57">
        <f>IF('Month-End'!$BB$32="",$BO57,N('Month-End'!$BB$32))</f>
        <v/>
      </c>
      <c r="R57">
        <f>IF('Month-End'!$BB$33="",$BP57,N('Month-End'!$BB$33))</f>
        <v/>
      </c>
      <c r="S57">
        <f>$G57+$H57+$I57+$J57+$K57+$L57+$M57+$N57+$O57+$P57+$Q57+$R57</f>
        <v/>
      </c>
      <c r="T57">
        <f>IF($B57&lt;Settings!$B$6,0,IF(Settings!$B$45="Yes",$G57,0)+IF(Settings!$B$46="Yes",$H57,0)+IF(Settings!$B$47="Yes",$I57,0)+IF(Settings!$B$48="Yes",$J57,0)+IF(Settings!$B$49="Yes",$K57,0)+IF(Settings!$B$50="Yes",$L57,0)+IF(Settings!$B$51="Yes",$M57,0)+IF(Settings!$B$52="Yes",$N57,0)+IF(Settings!$B$53="Yes",$O57,0)+IF(Settings!$B$54="Yes",$P57,0)+IF(Settings!$B$55="Yes",$Q57,0)+IF(Settings!$B$56="Yes",$R57,0))</f>
        <v/>
      </c>
      <c r="U57">
        <f>IF(Settings!$B$45="Not Sure",$G57,0)+IF(Settings!$B$46="Not Sure",$H57,0)+IF(Settings!$B$47="Not Sure",$I57,0)+IF(Settings!$B$48="Not Sure",$J57,0)+IF(Settings!$B$49="Not Sure",$K57,0)+IF(Settings!$B$50="Not Sure",$L57,0)+IF(Settings!$B$51="Not Sure",$M57,0)+IF(Settings!$B$52="Not Sure",$N57,0)+IF(Settings!$B$53="Not Sure",$O57,0)+IF(Settings!$B$54="Not Sure",$P57,0)+IF(Settings!$B$55="Not Sure",$Q57,0)+IF(Settings!$B$56="Not Sure",$R57,0)</f>
        <v/>
      </c>
      <c r="V57">
        <f>IF($E57="open",SUM($ET57:$FE57)+N(Settings!$B$13),0)</f>
        <v/>
      </c>
      <c r="W57">
        <f>IF($E57="post",$S57,IF($E57="open",$S57-$V57,0))</f>
        <v/>
      </c>
      <c r="X57">
        <f>SUMIFS(Giving!$B$7:$B$2006,Giving!$A$7:$A$2006,"&gt;="&amp;$A57,Giving!$A$7:$A$2006,"&lt;="&amp;$B57,Giving!$E$7:$E$2006,"&lt;&gt;No")</f>
        <v/>
      </c>
      <c r="Y57">
        <f>SUMIFS(Giving!$B$7:$B$2006,Giving!$A$7:$A$2006,"&gt;="&amp;$A57,Giving!$A$7:$A$2006,"&lt;="&amp;$B57,Giving!$E$7:$E$2006,"No")</f>
        <v/>
      </c>
      <c r="Z57">
        <f>IF(OR(Settings!$B$60="",Settings!$F$60="No"),0,Settings!$B$60*IF(AND(IF(Settings!$C$60="",$B57,DATE(YEAR($A57),MONTH($A57),MIN(Settings!$C$60,DAY($B57))))&gt;=MAX($A57,Settings!$D$60),IF(Settings!$C$60="",$B57,DATE(YEAR($A57),MONTH($A57),MIN(Settings!$C$60,DAY($B57))))&lt;=MIN($C57,IF(Settings!$E$60="",$C57,Settings!$E$60))),1,0))+IF(OR(Settings!$B$61="",Settings!$F$61="No"),0,Settings!$B$61*IF(AND(IF(Settings!$C$61="",$B57,DATE(YEAR($A57),MONTH($A57),MIN(Settings!$C$61,DAY($B57))))&gt;=MAX($A57,Settings!$D$61),IF(Settings!$C$61="",$B57,DATE(YEAR($A57),MONTH($A57),MIN(Settings!$C$61,DAY($B57))))&lt;=MIN($C57,IF(Settings!$E$61="",$C57,Settings!$E$61))),1,0))+IF(OR(Settings!$B$62="",Settings!$F$62="No"),0,Settings!$B$62*IF(AND(IF(Settings!$C$62="",$B57,DATE(YEAR($A57),MONTH($A57),MIN(Settings!$C$62,DAY($B57))))&gt;=MAX($A57,Settings!$D$62),IF(Settings!$C$62="",$B57,DATE(YEAR($A57),MONTH($A57),MIN(Settings!$C$62,DAY($B57))))&lt;=MIN($C57,IF(Settings!$E$62="",$C57,Settings!$E$62))),1,0))+IF(OR(Settings!$B$63="",Settings!$F$63="No"),0,Settings!$B$63*IF(AND(IF(Settings!$C$63="",$B57,DATE(YEAR($A57),MONTH($A57),MIN(Settings!$C$63,DAY($B57))))&gt;=MAX($A57,Settings!$D$63),IF(Settings!$C$63="",$B57,DATE(YEAR($A57),MONTH($A57),MIN(Settings!$C$63,DAY($B57))))&lt;=MIN($C57,IF(Settings!$E$63="",$C57,Settings!$E$63))),1,0))+IF(OR(Settings!$B$64="",Settings!$F$64="No"),0,Settings!$B$64*IF(AND(IF(Settings!$C$64="",$B57,DATE(YEAR($A57),MONTH($A57),MIN(Settings!$C$64,DAY($B57))))&gt;=MAX($A57,Settings!$D$64),IF(Settings!$C$64="",$B57,DATE(YEAR($A57),MONTH($A57),MIN(Settings!$C$64,DAY($B57))))&lt;=MIN($C57,IF(Settings!$E$64="",$C57,Settings!$E$64))),1,0))+IF(OR(Settings!$B$65="",Settings!$F$65="No"),0,Settings!$B$65*IF(AND(IF(Settings!$C$65="",$B57,DATE(YEAR($A57),MONTH($A57),MIN(Settings!$C$65,DAY($B57))))&gt;=MAX($A57,Settings!$D$65),IF(Settings!$C$65="",$B57,DATE(YEAR($A57),MONTH($A57),MIN(Settings!$C$65,DAY($B57))))&lt;=MIN($C57,IF(Settings!$E$65="",$C57,Settings!$E$65))),1,0))</f>
        <v/>
      </c>
      <c r="AA57">
        <f>$X57+$Z57</f>
        <v/>
      </c>
      <c r="AB57">
        <f>IF($E57="post",$AA57,IF($E57="open",SUMIFS(Giving!$B$7:$B$2006,Giving!$A$7:$A$2006,"&gt;"&amp;Settings!$B$5,Giving!$A$7:$A$2006,"&lt;="&amp;$B57,Giving!$E$7:$E$2006,"&lt;&gt;No")+IF(OR(Settings!$B$60="",Settings!$F$60="No"),0,Settings!$B$60*IF(AND(IF(Settings!$C$60="",$B57,DATE(YEAR($A57),MONTH($A57),MIN(Settings!$C$60,DAY($B57))))&gt;=MAX($A57,Settings!$D$60,Settings!$B$5+1),IF(Settings!$C$60="",$B57,DATE(YEAR($A57),MONTH($A57),MIN(Settings!$C$60,DAY($B57))))&lt;=MIN($C57,IF(Settings!$E$60="",$C57,Settings!$E$60))),1,0))+IF(OR(Settings!$B$61="",Settings!$F$61="No"),0,Settings!$B$61*IF(AND(IF(Settings!$C$61="",$B57,DATE(YEAR($A57),MONTH($A57),MIN(Settings!$C$61,DAY($B57))))&gt;=MAX($A57,Settings!$D$61,Settings!$B$5+1),IF(Settings!$C$61="",$B57,DATE(YEAR($A57),MONTH($A57),MIN(Settings!$C$61,DAY($B57))))&lt;=MIN($C57,IF(Settings!$E$61="",$C57,Settings!$E$61))),1,0))+IF(OR(Settings!$B$62="",Settings!$F$62="No"),0,Settings!$B$62*IF(AND(IF(Settings!$C$62="",$B57,DATE(YEAR($A57),MONTH($A57),MIN(Settings!$C$62,DAY($B57))))&gt;=MAX($A57,Settings!$D$62,Settings!$B$5+1),IF(Settings!$C$62="",$B57,DATE(YEAR($A57),MONTH($A57),MIN(Settings!$C$62,DAY($B57))))&lt;=MIN($C57,IF(Settings!$E$62="",$C57,Settings!$E$62))),1,0))+IF(OR(Settings!$B$63="",Settings!$F$63="No"),0,Settings!$B$63*IF(AND(IF(Settings!$C$63="",$B57,DATE(YEAR($A57),MONTH($A57),MIN(Settings!$C$63,DAY($B57))))&gt;=MAX($A57,Settings!$D$63,Settings!$B$5+1),IF(Settings!$C$63="",$B57,DATE(YEAR($A57),MONTH($A57),MIN(Settings!$C$63,DAY($B57))))&lt;=MIN($C57,IF(Settings!$E$63="",$C57,Settings!$E$63))),1,0))+IF(OR(Settings!$B$64="",Settings!$F$64="No"),0,Settings!$B$64*IF(AND(IF(Settings!$C$64="",$B57,DATE(YEAR($A57),MONTH($A57),MIN(Settings!$C$64,DAY($B57))))&gt;=MAX($A57,Settings!$D$64,Settings!$B$5+1),IF(Settings!$C$64="",$B57,DATE(YEAR($A57),MONTH($A57),MIN(Settings!$C$64,DAY($B57))))&lt;=MIN($C57,IF(Settings!$E$64="",$C57,Settings!$E$64))),1,0))+IF(OR(Settings!$B$65="",Settings!$F$65="No"),0,Settings!$B$65*IF(AND(IF(Settings!$C$65="",$B57,DATE(YEAR($A57),MONTH($A57),MIN(Settings!$C$65,DAY($B57))))&gt;=MAX($A57,Settings!$D$65,Settings!$B$5+1),IF(Settings!$C$65="",$B57,DATE(YEAR($A57),MONTH($A57),MIN(Settings!$C$65,DAY($B57))))&lt;=MIN($C57,IF(Settings!$E$65="",$C57,Settings!$E$65))),1,0)),0))</f>
        <v/>
      </c>
      <c r="AC57">
        <f>$AY57+$AZ57+$BA57+$BB57+$BC57+$BD57</f>
        <v/>
      </c>
      <c r="AD57">
        <f>$AC57</f>
        <v/>
      </c>
      <c r="AE57">
        <f>IF(OR(Settings!$A$19="",$E57="pre"),"",IF(AND('Month-End'!$BB$7&lt;&gt;"",NOT(_xlfn.ISFORMULA('Month-End'!$BB$7))),N('Month-End'!$BB$7),IF(OR($E57="open",$E56="pre"),N(Settings!$C$19),N($AE56))))</f>
        <v/>
      </c>
      <c r="AF57">
        <f>IF(OR(Settings!$A$20="",$E57="pre"),"",IF(AND('Month-End'!$BB$8&lt;&gt;"",NOT(_xlfn.ISFORMULA('Month-End'!$BB$8))),N('Month-End'!$BB$8),IF(OR($E57="open",$E56="pre"),N(Settings!$C$20),N($AF56))))</f>
        <v/>
      </c>
      <c r="AG57">
        <f>IF(OR(Settings!$A$21="",$E57="pre"),"",IF(AND('Month-End'!$BB$9&lt;&gt;"",NOT(_xlfn.ISFORMULA('Month-End'!$BB$9))),N('Month-End'!$BB$9),IF(OR($E57="open",$E56="pre"),N(Settings!$C$21),N($AG56))))</f>
        <v/>
      </c>
      <c r="AH57">
        <f>IF(OR(Settings!$A$22="",$E57="pre"),"",IF(AND('Month-End'!$BB$10&lt;&gt;"",NOT(_xlfn.ISFORMULA('Month-End'!$BB$10))),N('Month-End'!$BB$10),IF(OR($E57="open",$E56="pre"),N(Settings!$C$22),N($AH56))))</f>
        <v/>
      </c>
      <c r="AI57">
        <f>IF(OR(Settings!$A$23="",$E57="pre"),"",IF(AND('Month-End'!$BB$11&lt;&gt;"",NOT(_xlfn.ISFORMULA('Month-End'!$BB$11))),N('Month-End'!$BB$11),IF(OR($E57="open",$E56="pre"),N(Settings!$C$23),N($AI56))))</f>
        <v/>
      </c>
      <c r="AJ57">
        <f>IF(OR(Settings!$A$24="",$E57="pre"),"",IF(AND('Month-End'!$BB$12&lt;&gt;"",NOT(_xlfn.ISFORMULA('Month-End'!$BB$12))),N('Month-End'!$BB$12),IF(OR($E57="open",$E56="pre"),N(Settings!$C$24),N($AJ56))))</f>
        <v/>
      </c>
      <c r="AK57">
        <f>IF(OR(Settings!$A$25="",$E57="pre"),"",IF(AND('Month-End'!$BB$13&lt;&gt;"",NOT(_xlfn.ISFORMULA('Month-End'!$BB$13))),N('Month-End'!$BB$13),IF(OR($E57="open",$E56="pre"),N(Settings!$C$25),N($AK56))))</f>
        <v/>
      </c>
      <c r="AL57">
        <f>IF(OR(Settings!$A$26="",$E57="pre"),"",IF(AND('Month-End'!$BB$14&lt;&gt;"",NOT(_xlfn.ISFORMULA('Month-End'!$BB$14))),N('Month-End'!$BB$14),IF(OR($E57="open",$E56="pre"),N(Settings!$C$26),N($AL56))))</f>
        <v/>
      </c>
      <c r="AM57">
        <f>IF(OR(Settings!$A$27="",$E57="pre"),"",IF(AND('Month-End'!$BB$15&lt;&gt;"",NOT(_xlfn.ISFORMULA('Month-End'!$BB$15))),N('Month-End'!$BB$15),IF(OR($E57="open",$E56="pre"),N(Settings!$C$27),N($AM56))))</f>
        <v/>
      </c>
      <c r="AN57">
        <f>IF(OR(Settings!$A$28="",$E57="pre"),"",IF(AND('Month-End'!$BB$16&lt;&gt;"",NOT(_xlfn.ISFORMULA('Month-End'!$BB$16))),N('Month-End'!$BB$16),IF(OR($E57="open",$E56="pre"),N(Settings!$C$28),N($AN56))))</f>
        <v/>
      </c>
      <c r="AO57">
        <f>IF(OR(Settings!$A$29="",$E57="pre"),"",IF(AND('Month-End'!$BB$17&lt;&gt;"",NOT(_xlfn.ISFORMULA('Month-End'!$BB$17))),N('Month-End'!$BB$17),IF(OR($E57="open",$E56="pre"),N(Settings!$C$29),N($AO56))))</f>
        <v/>
      </c>
      <c r="AP57">
        <f>IF(OR(Settings!$A$30="",$E57="pre"),"",IF(AND('Month-End'!$BB$18&lt;&gt;"",NOT(_xlfn.ISFORMULA('Month-End'!$BB$18))),N('Month-End'!$BB$18),IF(OR($E57="open",$E56="pre"),N(Settings!$C$30),N($AP56))))</f>
        <v/>
      </c>
      <c r="AQ57">
        <f>IF(OR(Settings!$A$31="",$E57="pre"),"",IF(AND('Month-End'!$BB$19&lt;&gt;"",NOT(_xlfn.ISFORMULA('Month-End'!$BB$19))),N('Month-End'!$BB$19),IF(OR($E57="open",$E56="pre"),N(Settings!$C$31),N($AQ56))))</f>
        <v/>
      </c>
      <c r="AR57">
        <f>IF(OR(Settings!$A$32="",$E57="pre"),"",IF(AND('Month-End'!$BB$20&lt;&gt;"",NOT(_xlfn.ISFORMULA('Month-End'!$BB$20))),N('Month-End'!$BB$20),IF(OR($E57="open",$E56="pre"),N(Settings!$C$32),N($AR56))))</f>
        <v/>
      </c>
      <c r="AS57">
        <f>IF(OR(Settings!$A$36="",$E57="pre"),"",IF(AND('Month-End'!$BB$38&lt;&gt;"",NOT(_xlfn.ISFORMULA('Month-End'!$BB$38))),N('Month-End'!$BB$38),IF(OR($E57="open",$E56="pre"),N(Settings!$C$36),N($AS56))+$AY57))</f>
        <v/>
      </c>
      <c r="AT57">
        <f>IF(OR(Settings!$A$37="",$E57="pre"),"",IF(AND('Month-End'!$BB$39&lt;&gt;"",NOT(_xlfn.ISFORMULA('Month-End'!$BB$39))),N('Month-End'!$BB$39),IF(OR($E57="open",$E56="pre"),N(Settings!$C$37),N($AT56))+$AZ57))</f>
        <v/>
      </c>
      <c r="AU57">
        <f>IF(OR(Settings!$A$38="",$E57="pre"),"",IF(AND('Month-End'!$BB$40&lt;&gt;"",NOT(_xlfn.ISFORMULA('Month-End'!$BB$40))),N('Month-End'!$BB$40),IF(OR($E57="open",$E56="pre"),N(Settings!$C$38),N($AU56))+$BA57))</f>
        <v/>
      </c>
      <c r="AV57">
        <f>IF(OR(Settings!$A$39="",$E57="pre"),"",IF(AND('Month-End'!$BB$41&lt;&gt;"",NOT(_xlfn.ISFORMULA('Month-End'!$BB$41))),N('Month-End'!$BB$41),IF(OR($E57="open",$E56="pre"),N(Settings!$C$39),N($AV56))+$BB57))</f>
        <v/>
      </c>
      <c r="AW57">
        <f>IF(OR(Settings!$A$40="",$E57="pre"),"",IF(AND('Month-End'!$BB$42&lt;&gt;"",NOT(_xlfn.ISFORMULA('Month-End'!$BB$42))),N('Month-End'!$BB$42),IF(OR($E57="open",$E56="pre"),N(Settings!$C$40),N($AW56))+$BC57))</f>
        <v/>
      </c>
      <c r="AX57">
        <f>IF(OR(Settings!$A$41="",$E57="pre"),"",IF(AND('Month-End'!$BB$43&lt;&gt;"",NOT(_xlfn.ISFORMULA('Month-End'!$BB$43))),N('Month-End'!$BB$43),IF(OR($E57="open",$E56="pre"),N(Settings!$C$41),N($AX56))+$BD57))</f>
        <v/>
      </c>
      <c r="AY57">
        <f>IF($E57="pre",0,N('Month-End'!$BB$45))</f>
        <v/>
      </c>
      <c r="AZ57">
        <f>IF($E57="pre",0,N('Month-End'!$BB$46))</f>
        <v/>
      </c>
      <c r="BA57">
        <f>IF($E57="pre",0,N('Month-End'!$BB$47))</f>
        <v/>
      </c>
      <c r="BB57">
        <f>IF($E57="pre",0,N('Month-End'!$BB$48))</f>
        <v/>
      </c>
      <c r="BC57">
        <f>IF($E57="pre",0,N('Month-End'!$BB$49))</f>
        <v/>
      </c>
      <c r="BD57">
        <f>IF($E57="pre",0,N('Month-End'!$BB$50))</f>
        <v/>
      </c>
      <c r="BE57">
        <f>IF(OR(Settings!$C$45="",Settings!$D$45=""),0,Settings!$C$45*IF(Settings!$D$45="Weekly",IF(IFERROR(MATCH(Settings!$E$45,$EO$4:$EO$10,0),0)=0,0,IF(MIN($C57,IF(Settings!$G$45="",$C57,Settings!$G$45))&lt;MAX($A57,Settings!$F$45),0,INT((MIN($C57,IF(Settings!$G$45="",$C57,Settings!$G$45))-MAX($A57,Settings!$F$45)-MOD(IFERROR(MATCH(Settings!$E$45,$EO$4:$EO$10,0),0)-WEEKDAY(MAX($A57,Settings!$F$45)),7))/7)+1)),IF(AND(IF(Settings!$E$45="",$B57,DATE(YEAR($A57),MONTH($A57),MIN(Settings!$E$45,DAY($B57))))&gt;=MAX($A57,Settings!$F$45),IF(Settings!$E$45="",$B57,DATE(YEAR($A57),MONTH($A57),MIN(Settings!$E$45,DAY($B57))))&lt;=MIN($C57,IF(Settings!$G$45="",$C57,Settings!$G$45))),1,0)))</f>
        <v/>
      </c>
      <c r="BF57">
        <f>IF(OR(Settings!$C$46="",Settings!$D$46=""),0,Settings!$C$46*IF(Settings!$D$46="Weekly",IF(IFERROR(MATCH(Settings!$E$46,$EO$4:$EO$10,0),0)=0,0,IF(MIN($C57,IF(Settings!$G$46="",$C57,Settings!$G$46))&lt;MAX($A57,Settings!$F$46),0,INT((MIN($C57,IF(Settings!$G$46="",$C57,Settings!$G$46))-MAX($A57,Settings!$F$46)-MOD(IFERROR(MATCH(Settings!$E$46,$EO$4:$EO$10,0),0)-WEEKDAY(MAX($A57,Settings!$F$46)),7))/7)+1)),IF(AND(IF(Settings!$E$46="",$B57,DATE(YEAR($A57),MONTH($A57),MIN(Settings!$E$46,DAY($B57))))&gt;=MAX($A57,Settings!$F$46),IF(Settings!$E$46="",$B57,DATE(YEAR($A57),MONTH($A57),MIN(Settings!$E$46,DAY($B57))))&lt;=MIN($C57,IF(Settings!$G$46="",$C57,Settings!$G$46))),1,0)))</f>
        <v/>
      </c>
      <c r="BG57">
        <f>IF(OR(Settings!$C$47="",Settings!$D$47=""),0,Settings!$C$47*IF(Settings!$D$47="Weekly",IF(IFERROR(MATCH(Settings!$E$47,$EO$4:$EO$10,0),0)=0,0,IF(MIN($C57,IF(Settings!$G$47="",$C57,Settings!$G$47))&lt;MAX($A57,Settings!$F$47),0,INT((MIN($C57,IF(Settings!$G$47="",$C57,Settings!$G$47))-MAX($A57,Settings!$F$47)-MOD(IFERROR(MATCH(Settings!$E$47,$EO$4:$EO$10,0),0)-WEEKDAY(MAX($A57,Settings!$F$47)),7))/7)+1)),IF(AND(IF(Settings!$E$47="",$B57,DATE(YEAR($A57),MONTH($A57),MIN(Settings!$E$47,DAY($B57))))&gt;=MAX($A57,Settings!$F$47),IF(Settings!$E$47="",$B57,DATE(YEAR($A57),MONTH($A57),MIN(Settings!$E$47,DAY($B57))))&lt;=MIN($C57,IF(Settings!$G$47="",$C57,Settings!$G$47))),1,0)))</f>
        <v/>
      </c>
      <c r="BH57">
        <f>IF(OR(Settings!$C$48="",Settings!$D$48=""),0,Settings!$C$48*IF(Settings!$D$48="Weekly",IF(IFERROR(MATCH(Settings!$E$48,$EO$4:$EO$10,0),0)=0,0,IF(MIN($C57,IF(Settings!$G$48="",$C57,Settings!$G$48))&lt;MAX($A57,Settings!$F$48),0,INT((MIN($C57,IF(Settings!$G$48="",$C57,Settings!$G$48))-MAX($A57,Settings!$F$48)-MOD(IFERROR(MATCH(Settings!$E$48,$EO$4:$EO$10,0),0)-WEEKDAY(MAX($A57,Settings!$F$48)),7))/7)+1)),IF(AND(IF(Settings!$E$48="",$B57,DATE(YEAR($A57),MONTH($A57),MIN(Settings!$E$48,DAY($B57))))&gt;=MAX($A57,Settings!$F$48),IF(Settings!$E$48="",$B57,DATE(YEAR($A57),MONTH($A57),MIN(Settings!$E$48,DAY($B57))))&lt;=MIN($C57,IF(Settings!$G$48="",$C57,Settings!$G$48))),1,0)))</f>
        <v/>
      </c>
      <c r="BI57">
        <f>IF(OR(Settings!$C$49="",Settings!$D$49=""),0,Settings!$C$49*IF(Settings!$D$49="Weekly",IF(IFERROR(MATCH(Settings!$E$49,$EO$4:$EO$10,0),0)=0,0,IF(MIN($C57,IF(Settings!$G$49="",$C57,Settings!$G$49))&lt;MAX($A57,Settings!$F$49),0,INT((MIN($C57,IF(Settings!$G$49="",$C57,Settings!$G$49))-MAX($A57,Settings!$F$49)-MOD(IFERROR(MATCH(Settings!$E$49,$EO$4:$EO$10,0),0)-WEEKDAY(MAX($A57,Settings!$F$49)),7))/7)+1)),IF(AND(IF(Settings!$E$49="",$B57,DATE(YEAR($A57),MONTH($A57),MIN(Settings!$E$49,DAY($B57))))&gt;=MAX($A57,Settings!$F$49),IF(Settings!$E$49="",$B57,DATE(YEAR($A57),MONTH($A57),MIN(Settings!$E$49,DAY($B57))))&lt;=MIN($C57,IF(Settings!$G$49="",$C57,Settings!$G$49))),1,0)))</f>
        <v/>
      </c>
      <c r="BJ57">
        <f>IF(OR(Settings!$C$50="",Settings!$D$50=""),0,Settings!$C$50*IF(Settings!$D$50="Weekly",IF(IFERROR(MATCH(Settings!$E$50,$EO$4:$EO$10,0),0)=0,0,IF(MIN($C57,IF(Settings!$G$50="",$C57,Settings!$G$50))&lt;MAX($A57,Settings!$F$50),0,INT((MIN($C57,IF(Settings!$G$50="",$C57,Settings!$G$50))-MAX($A57,Settings!$F$50)-MOD(IFERROR(MATCH(Settings!$E$50,$EO$4:$EO$10,0),0)-WEEKDAY(MAX($A57,Settings!$F$50)),7))/7)+1)),IF(AND(IF(Settings!$E$50="",$B57,DATE(YEAR($A57),MONTH($A57),MIN(Settings!$E$50,DAY($B57))))&gt;=MAX($A57,Settings!$F$50),IF(Settings!$E$50="",$B57,DATE(YEAR($A57),MONTH($A57),MIN(Settings!$E$50,DAY($B57))))&lt;=MIN($C57,IF(Settings!$G$50="",$C57,Settings!$G$50))),1,0)))</f>
        <v/>
      </c>
      <c r="BK57">
        <f>IF(OR(Settings!$C$51="",Settings!$D$51=""),0,Settings!$C$51*IF(Settings!$D$51="Weekly",IF(IFERROR(MATCH(Settings!$E$51,$EO$4:$EO$10,0),0)=0,0,IF(MIN($C57,IF(Settings!$G$51="",$C57,Settings!$G$51))&lt;MAX($A57,Settings!$F$51),0,INT((MIN($C57,IF(Settings!$G$51="",$C57,Settings!$G$51))-MAX($A57,Settings!$F$51)-MOD(IFERROR(MATCH(Settings!$E$51,$EO$4:$EO$10,0),0)-WEEKDAY(MAX($A57,Settings!$F$51)),7))/7)+1)),IF(AND(IF(Settings!$E$51="",$B57,DATE(YEAR($A57),MONTH($A57),MIN(Settings!$E$51,DAY($B57))))&gt;=MAX($A57,Settings!$F$51),IF(Settings!$E$51="",$B57,DATE(YEAR($A57),MONTH($A57),MIN(Settings!$E$51,DAY($B57))))&lt;=MIN($C57,IF(Settings!$G$51="",$C57,Settings!$G$51))),1,0)))</f>
        <v/>
      </c>
      <c r="BL57">
        <f>IF(OR(Settings!$C$52="",Settings!$D$52=""),0,Settings!$C$52*IF(Settings!$D$52="Weekly",IF(IFERROR(MATCH(Settings!$E$52,$EO$4:$EO$10,0),0)=0,0,IF(MIN($C57,IF(Settings!$G$52="",$C57,Settings!$G$52))&lt;MAX($A57,Settings!$F$52),0,INT((MIN($C57,IF(Settings!$G$52="",$C57,Settings!$G$52))-MAX($A57,Settings!$F$52)-MOD(IFERROR(MATCH(Settings!$E$52,$EO$4:$EO$10,0),0)-WEEKDAY(MAX($A57,Settings!$F$52)),7))/7)+1)),IF(AND(IF(Settings!$E$52="",$B57,DATE(YEAR($A57),MONTH($A57),MIN(Settings!$E$52,DAY($B57))))&gt;=MAX($A57,Settings!$F$52),IF(Settings!$E$52="",$B57,DATE(YEAR($A57),MONTH($A57),MIN(Settings!$E$52,DAY($B57))))&lt;=MIN($C57,IF(Settings!$G$52="",$C57,Settings!$G$52))),1,0)))</f>
        <v/>
      </c>
      <c r="BM57">
        <f>IF(OR(Settings!$C$53="",Settings!$D$53=""),0,Settings!$C$53*IF(Settings!$D$53="Weekly",IF(IFERROR(MATCH(Settings!$E$53,$EO$4:$EO$10,0),0)=0,0,IF(MIN($C57,IF(Settings!$G$53="",$C57,Settings!$G$53))&lt;MAX($A57,Settings!$F$53),0,INT((MIN($C57,IF(Settings!$G$53="",$C57,Settings!$G$53))-MAX($A57,Settings!$F$53)-MOD(IFERROR(MATCH(Settings!$E$53,$EO$4:$EO$10,0),0)-WEEKDAY(MAX($A57,Settings!$F$53)),7))/7)+1)),IF(AND(IF(Settings!$E$53="",$B57,DATE(YEAR($A57),MONTH($A57),MIN(Settings!$E$53,DAY($B57))))&gt;=MAX($A57,Settings!$F$53),IF(Settings!$E$53="",$B57,DATE(YEAR($A57),MONTH($A57),MIN(Settings!$E$53,DAY($B57))))&lt;=MIN($C57,IF(Settings!$G$53="",$C57,Settings!$G$53))),1,0)))</f>
        <v/>
      </c>
      <c r="BN57">
        <f>IF(OR(Settings!$C$54="",Settings!$D$54=""),0,Settings!$C$54*IF(Settings!$D$54="Weekly",IF(IFERROR(MATCH(Settings!$E$54,$EO$4:$EO$10,0),0)=0,0,IF(MIN($C57,IF(Settings!$G$54="",$C57,Settings!$G$54))&lt;MAX($A57,Settings!$F$54),0,INT((MIN($C57,IF(Settings!$G$54="",$C57,Settings!$G$54))-MAX($A57,Settings!$F$54)-MOD(IFERROR(MATCH(Settings!$E$54,$EO$4:$EO$10,0),0)-WEEKDAY(MAX($A57,Settings!$F$54)),7))/7)+1)),IF(AND(IF(Settings!$E$54="",$B57,DATE(YEAR($A57),MONTH($A57),MIN(Settings!$E$54,DAY($B57))))&gt;=MAX($A57,Settings!$F$54),IF(Settings!$E$54="",$B57,DATE(YEAR($A57),MONTH($A57),MIN(Settings!$E$54,DAY($B57))))&lt;=MIN($C57,IF(Settings!$G$54="",$C57,Settings!$G$54))),1,0)))</f>
        <v/>
      </c>
      <c r="BO57">
        <f>IF(OR(Settings!$C$55="",Settings!$D$55=""),0,Settings!$C$55*IF(Settings!$D$55="Weekly",IF(IFERROR(MATCH(Settings!$E$55,$EO$4:$EO$10,0),0)=0,0,IF(MIN($C57,IF(Settings!$G$55="",$C57,Settings!$G$55))&lt;MAX($A57,Settings!$F$55),0,INT((MIN($C57,IF(Settings!$G$55="",$C57,Settings!$G$55))-MAX($A57,Settings!$F$55)-MOD(IFERROR(MATCH(Settings!$E$55,$EO$4:$EO$10,0),0)-WEEKDAY(MAX($A57,Settings!$F$55)),7))/7)+1)),IF(AND(IF(Settings!$E$55="",$B57,DATE(YEAR($A57),MONTH($A57),MIN(Settings!$E$55,DAY($B57))))&gt;=MAX($A57,Settings!$F$55),IF(Settings!$E$55="",$B57,DATE(YEAR($A57),MONTH($A57),MIN(Settings!$E$55,DAY($B57))))&lt;=MIN($C57,IF(Settings!$G$55="",$C57,Settings!$G$55))),1,0)))</f>
        <v/>
      </c>
      <c r="BP57">
        <f>IF(OR(Settings!$C$56="",Settings!$D$56=""),0,Settings!$C$56*IF(Settings!$D$56="Weekly",IF(IFERROR(MATCH(Settings!$E$56,$EO$4:$EO$10,0),0)=0,0,IF(MIN($C57,IF(Settings!$G$56="",$C57,Settings!$G$56))&lt;MAX($A57,Settings!$F$56),0,INT((MIN($C57,IF(Settings!$G$56="",$C57,Settings!$G$56))-MAX($A57,Settings!$F$56)-MOD(IFERROR(MATCH(Settings!$E$56,$EO$4:$EO$10,0),0)-WEEKDAY(MAX($A57,Settings!$F$56)),7))/7)+1)),IF(AND(IF(Settings!$E$56="",$B57,DATE(YEAR($A57),MONTH($A57),MIN(Settings!$E$56,DAY($B57))))&gt;=MAX($A57,Settings!$F$56),IF(Settings!$E$56="",$B57,DATE(YEAR($A57),MONTH($A57),MIN(Settings!$E$56,DAY($B57))))&lt;=MIN($C57,IF(Settings!$G$56="",$C57,Settings!$G$56))),1,0)))</f>
        <v/>
      </c>
      <c r="BQ57">
        <f>IF(OR(Settings!$B$14="",$D57=1,$E57="pre",$A57&lt;IF(Settings!$B$15="",0,Settings!$B$15)),0,Settings!$B$14)</f>
        <v/>
      </c>
      <c r="BR57">
        <f>IF(AND('Month-End'!$BB$7&lt;&gt;"",NOT(_xlfn.ISFORMULA('Month-End'!$BB$7))),1,0)</f>
        <v/>
      </c>
      <c r="BS57">
        <f>IF(AND('Month-End'!$BB$8&lt;&gt;"",NOT(_xlfn.ISFORMULA('Month-End'!$BB$8))),1,0)</f>
        <v/>
      </c>
      <c r="BT57">
        <f>IF(AND('Month-End'!$BB$9&lt;&gt;"",NOT(_xlfn.ISFORMULA('Month-End'!$BB$9))),1,0)</f>
        <v/>
      </c>
      <c r="BU57">
        <f>IF(AND('Month-End'!$BB$10&lt;&gt;"",NOT(_xlfn.ISFORMULA('Month-End'!$BB$10))),1,0)</f>
        <v/>
      </c>
      <c r="BV57">
        <f>IF(AND('Month-End'!$BB$11&lt;&gt;"",NOT(_xlfn.ISFORMULA('Month-End'!$BB$11))),1,0)</f>
        <v/>
      </c>
      <c r="BW57">
        <f>IF(AND('Month-End'!$BB$12&lt;&gt;"",NOT(_xlfn.ISFORMULA('Month-End'!$BB$12))),1,0)</f>
        <v/>
      </c>
      <c r="BX57">
        <f>IF(AND('Month-End'!$BB$13&lt;&gt;"",NOT(_xlfn.ISFORMULA('Month-End'!$BB$13))),1,0)</f>
        <v/>
      </c>
      <c r="BY57">
        <f>IF(AND('Month-End'!$BB$14&lt;&gt;"",NOT(_xlfn.ISFORMULA('Month-End'!$BB$14))),1,0)</f>
        <v/>
      </c>
      <c r="BZ57">
        <f>IF(AND('Month-End'!$BB$15&lt;&gt;"",NOT(_xlfn.ISFORMULA('Month-End'!$BB$15))),1,0)</f>
        <v/>
      </c>
      <c r="CA57">
        <f>IF(AND('Month-End'!$BB$16&lt;&gt;"",NOT(_xlfn.ISFORMULA('Month-End'!$BB$16))),1,0)</f>
        <v/>
      </c>
      <c r="CB57">
        <f>IF(AND('Month-End'!$BB$17&lt;&gt;"",NOT(_xlfn.ISFORMULA('Month-End'!$BB$17))),1,0)</f>
        <v/>
      </c>
      <c r="CC57">
        <f>IF(AND('Month-End'!$BB$18&lt;&gt;"",NOT(_xlfn.ISFORMULA('Month-End'!$BB$18))),1,0)</f>
        <v/>
      </c>
      <c r="CD57">
        <f>IF(AND('Month-End'!$BB$19&lt;&gt;"",NOT(_xlfn.ISFORMULA('Month-End'!$BB$19))),1,0)</f>
        <v/>
      </c>
      <c r="CE57">
        <f>IF(AND('Month-End'!$BB$20&lt;&gt;"",NOT(_xlfn.ISFORMULA('Month-End'!$BB$20))),1,0)</f>
        <v/>
      </c>
      <c r="CF57">
        <f>IF(AND('Month-End'!$BB$38&lt;&gt;"",NOT(_xlfn.ISFORMULA('Month-End'!$BB$38))),1,0)</f>
        <v/>
      </c>
      <c r="CG57">
        <f>IF(AND('Month-End'!$BB$39&lt;&gt;"",NOT(_xlfn.ISFORMULA('Month-End'!$BB$39))),1,0)</f>
        <v/>
      </c>
      <c r="CH57">
        <f>IF(AND('Month-End'!$BB$40&lt;&gt;"",NOT(_xlfn.ISFORMULA('Month-End'!$BB$40))),1,0)</f>
        <v/>
      </c>
      <c r="CI57">
        <f>IF(AND('Month-End'!$BB$41&lt;&gt;"",NOT(_xlfn.ISFORMULA('Month-End'!$BB$41))),1,0)</f>
        <v/>
      </c>
      <c r="CJ57">
        <f>IF(AND('Month-End'!$BB$42&lt;&gt;"",NOT(_xlfn.ISFORMULA('Month-End'!$BB$42))),1,0)</f>
        <v/>
      </c>
      <c r="CK57">
        <f>IF(AND('Month-End'!$BB$43&lt;&gt;"",NOT(_xlfn.ISFORMULA('Month-End'!$BB$43))),1,0)</f>
        <v/>
      </c>
      <c r="CL57">
        <f>SUM($CM57:$CZ57)</f>
        <v/>
      </c>
      <c r="CM57">
        <f>IF(AND($E57&lt;&gt;"pre",AND(Settings!$A$19&lt;&gt;"",Settings!$E$19&lt;&gt;"No"),Settings!$F$19="Yes",NOT(AND('Month-End'!$BB$7&lt;&gt;"",NOT(_xlfn.ISFORMULA('Month-End'!$BB$7))))),1,0)</f>
        <v/>
      </c>
      <c r="CN57">
        <f>IF(AND($E57&lt;&gt;"pre",AND(Settings!$A$20&lt;&gt;"",Settings!$E$20&lt;&gt;"No"),Settings!$F$20="Yes",NOT(AND('Month-End'!$BB$8&lt;&gt;"",NOT(_xlfn.ISFORMULA('Month-End'!$BB$8))))),1,0)</f>
        <v/>
      </c>
      <c r="CO57">
        <f>IF(AND($E57&lt;&gt;"pre",AND(Settings!$A$21&lt;&gt;"",Settings!$E$21&lt;&gt;"No"),Settings!$F$21="Yes",NOT(AND('Month-End'!$BB$9&lt;&gt;"",NOT(_xlfn.ISFORMULA('Month-End'!$BB$9))))),1,0)</f>
        <v/>
      </c>
      <c r="CP57">
        <f>IF(AND($E57&lt;&gt;"pre",AND(Settings!$A$22&lt;&gt;"",Settings!$E$22&lt;&gt;"No"),Settings!$F$22="Yes",NOT(AND('Month-End'!$BB$10&lt;&gt;"",NOT(_xlfn.ISFORMULA('Month-End'!$BB$10))))),1,0)</f>
        <v/>
      </c>
      <c r="CQ57">
        <f>IF(AND($E57&lt;&gt;"pre",AND(Settings!$A$23&lt;&gt;"",Settings!$E$23&lt;&gt;"No"),Settings!$F$23="Yes",NOT(AND('Month-End'!$BB$11&lt;&gt;"",NOT(_xlfn.ISFORMULA('Month-End'!$BB$11))))),1,0)</f>
        <v/>
      </c>
      <c r="CR57">
        <f>IF(AND($E57&lt;&gt;"pre",AND(Settings!$A$24&lt;&gt;"",Settings!$E$24&lt;&gt;"No"),Settings!$F$24="Yes",NOT(AND('Month-End'!$BB$12&lt;&gt;"",NOT(_xlfn.ISFORMULA('Month-End'!$BB$12))))),1,0)</f>
        <v/>
      </c>
      <c r="CS57">
        <f>IF(AND($E57&lt;&gt;"pre",AND(Settings!$A$25&lt;&gt;"",Settings!$E$25&lt;&gt;"No"),Settings!$F$25="Yes",NOT(AND('Month-End'!$BB$13&lt;&gt;"",NOT(_xlfn.ISFORMULA('Month-End'!$BB$13))))),1,0)</f>
        <v/>
      </c>
      <c r="CT57">
        <f>IF(AND($E57&lt;&gt;"pre",AND(Settings!$A$26&lt;&gt;"",Settings!$E$26&lt;&gt;"No"),Settings!$F$26="Yes",NOT(AND('Month-End'!$BB$14&lt;&gt;"",NOT(_xlfn.ISFORMULA('Month-End'!$BB$14))))),1,0)</f>
        <v/>
      </c>
      <c r="CU57">
        <f>IF(AND($E57&lt;&gt;"pre",AND(Settings!$A$27&lt;&gt;"",Settings!$E$27&lt;&gt;"No"),Settings!$F$27="Yes",NOT(AND('Month-End'!$BB$15&lt;&gt;"",NOT(_xlfn.ISFORMULA('Month-End'!$BB$15))))),1,0)</f>
        <v/>
      </c>
      <c r="CV57">
        <f>IF(AND($E57&lt;&gt;"pre",AND(Settings!$A$28&lt;&gt;"",Settings!$E$28&lt;&gt;"No"),Settings!$F$28="Yes",NOT(AND('Month-End'!$BB$16&lt;&gt;"",NOT(_xlfn.ISFORMULA('Month-End'!$BB$16))))),1,0)</f>
        <v/>
      </c>
      <c r="CW57">
        <f>IF(AND($E57&lt;&gt;"pre",AND(Settings!$A$29&lt;&gt;"",Settings!$E$29&lt;&gt;"No"),Settings!$F$29="Yes",NOT(AND('Month-End'!$BB$17&lt;&gt;"",NOT(_xlfn.ISFORMULA('Month-End'!$BB$17))))),1,0)</f>
        <v/>
      </c>
      <c r="CX57">
        <f>IF(AND($E57&lt;&gt;"pre",AND(Settings!$A$30&lt;&gt;"",Settings!$E$30&lt;&gt;"No"),Settings!$F$30="Yes",NOT(AND('Month-End'!$BB$18&lt;&gt;"",NOT(_xlfn.ISFORMULA('Month-End'!$BB$18))))),1,0)</f>
        <v/>
      </c>
      <c r="CY57">
        <f>IF(AND($E57&lt;&gt;"pre",AND(Settings!$A$31&lt;&gt;"",Settings!$E$31&lt;&gt;"No"),Settings!$F$31="Yes",NOT(AND('Month-End'!$BB$19&lt;&gt;"",NOT(_xlfn.ISFORMULA('Month-End'!$BB$19))))),1,0)</f>
        <v/>
      </c>
      <c r="CZ57">
        <f>IF(AND($E57&lt;&gt;"pre",AND(Settings!$A$32&lt;&gt;"",Settings!$E$32&lt;&gt;"No"),Settings!$F$32="Yes",NOT(AND('Month-End'!$BB$20&lt;&gt;"",NOT(_xlfn.ISFORMULA('Month-End'!$BB$20))))),1,0)</f>
        <v/>
      </c>
      <c r="DA57">
        <f>IF($DT57=1,IF(OR(Settings!$B$19="Checking",Settings!$B$19="Savings",Settings!$B$19="Cash"),N($AE57),IF(OR(Settings!$B$19="Card",Settings!$B$19="Loan"),-N($AE57),0))+IF(OR(Settings!$B$20="Checking",Settings!$B$20="Savings",Settings!$B$20="Cash"),N($AF57),IF(OR(Settings!$B$20="Card",Settings!$B$20="Loan"),-N($AF57),0))+IF(OR(Settings!$B$21="Checking",Settings!$B$21="Savings",Settings!$B$21="Cash"),N($AG57),IF(OR(Settings!$B$21="Card",Settings!$B$21="Loan"),-N($AG57),0))+IF(OR(Settings!$B$22="Checking",Settings!$B$22="Savings",Settings!$B$22="Cash"),N($AH57),IF(OR(Settings!$B$22="Card",Settings!$B$22="Loan"),-N($AH57),0))+IF(OR(Settings!$B$23="Checking",Settings!$B$23="Savings",Settings!$B$23="Cash"),N($AI57),IF(OR(Settings!$B$23="Card",Settings!$B$23="Loan"),-N($AI57),0))+IF(OR(Settings!$B$24="Checking",Settings!$B$24="Savings",Settings!$B$24="Cash"),N($AJ57),IF(OR(Settings!$B$24="Card",Settings!$B$24="Loan"),-N($AJ57),0))+IF(OR(Settings!$B$25="Checking",Settings!$B$25="Savings",Settings!$B$25="Cash"),N($AK57),IF(OR(Settings!$B$25="Card",Settings!$B$25="Loan"),-N($AK57),0))+IF(OR(Settings!$B$26="Checking",Settings!$B$26="Savings",Settings!$B$26="Cash"),N($AL57),IF(OR(Settings!$B$26="Card",Settings!$B$26="Loan"),-N($AL57),0))+IF(OR(Settings!$B$27="Checking",Settings!$B$27="Savings",Settings!$B$27="Cash"),N($AM57),IF(OR(Settings!$B$27="Card",Settings!$B$27="Loan"),-N($AM57),0))+IF(OR(Settings!$B$28="Checking",Settings!$B$28="Savings",Settings!$B$28="Cash"),N($AN57),IF(OR(Settings!$B$28="Card",Settings!$B$28="Loan"),-N($AN57),0))+IF(OR(Settings!$B$29="Checking",Settings!$B$29="Savings",Settings!$B$29="Cash"),N($AO57),IF(OR(Settings!$B$29="Card",Settings!$B$29="Loan"),-N($AO57),0))+IF(OR(Settings!$B$30="Checking",Settings!$B$30="Savings",Settings!$B$30="Cash"),N($AP57),IF(OR(Settings!$B$30="Card",Settings!$B$30="Loan"),-N($AP57),0))+IF(OR(Settings!$B$31="Checking",Settings!$B$31="Savings",Settings!$B$31="Cash"),N($AQ57),IF(OR(Settings!$B$31="Card",Settings!$B$31="Loan"),-N($AQ57),0))+IF(OR(Settings!$B$32="Checking",Settings!$B$32="Savings",Settings!$B$32="Cash"),N($AR57),IF(OR(Settings!$B$32="Card",Settings!$B$32="Loan"),-N($AR57),0)),"")</f>
        <v/>
      </c>
      <c r="DB57">
        <f>IF($E57="open",$EB$27,IF($E57="post",IF($E56="pre",$EB$27,$DA56),""))</f>
        <v/>
      </c>
      <c r="DC57">
        <f>IF($E57="open",1,IF($E57="post",IF($E56="pre",1,$DT56),0))</f>
        <v/>
      </c>
      <c r="DD57">
        <f>IF(AND($DT57=1,$DC57=1),ROUND($W57-($DA57-$DB57)-$AD57-$AB57,2),"")</f>
        <v/>
      </c>
      <c r="DE57">
        <f>IF('Month-End'!$BB$35="",$BQ57,N('Month-End'!$BB$35))</f>
        <v/>
      </c>
      <c r="DF57">
        <f>N('Month-End'!$BB$36)</f>
        <v/>
      </c>
      <c r="DG57">
        <f>IF($DD57="","",$DD57+$DE57)</f>
        <v/>
      </c>
      <c r="DH57">
        <f>IF($DG57="","",$DG57-$DF57)</f>
        <v/>
      </c>
      <c r="DI57">
        <f>IF(OR($E57="pre",$D57=1),"",N($AS57)+N($AT57)+N($AU57)+N($AV57)+N($AW57)+N($AX57))</f>
        <v/>
      </c>
      <c r="DJ57">
        <f>IF($DT57=1,$DA57+N($DI57),"")</f>
        <v/>
      </c>
      <c r="DK57">
        <f>IF($DD57="","",$W57-$DD57-$AB57)</f>
        <v/>
      </c>
      <c r="DL57">
        <f>IF(AND($E57="post",$DD57&lt;&gt;"",$B57&lt;TODAY()),1,0)</f>
        <v/>
      </c>
      <c r="DM57">
        <f>IF($DL57=1,COUNTIF($DL57:$DL$183,1),0)</f>
        <v/>
      </c>
      <c r="DN57">
        <f>IF($D57=1,"",IF($E57="pre","History only",IF($DT57=1,IF($DD57="","⚠ Previous month missing",IF($DD57&lt;0,"⚠ Check: spending &lt; 0",IF($E57="open","✓ Done (partial)","✓ Done"))),IF($B57&gt;=TODAY(),"In progress","⚠ Needs balances"))))</f>
        <v/>
      </c>
      <c r="DO57">
        <f>YEAR($A57)</f>
        <v/>
      </c>
      <c r="DP57">
        <f>DATE(YEAR($A57),INT((MONTH($A57)-1)/3)*3+1,1)</f>
        <v/>
      </c>
      <c r="DQ57">
        <f>IF(AND($DT57=1,$DD57&lt;&gt;"",$D57=0),ROW(),0)</f>
        <v/>
      </c>
      <c r="DR57">
        <f>IF(AND($E57&lt;&gt;"pre",$B57&lt;TODAY(),$DT57=0),1,0)</f>
        <v/>
      </c>
      <c r="DS57">
        <f>IF($DJ57="",NA(),$DJ57)</f>
        <v/>
      </c>
      <c r="DT57">
        <f>IF(AND($E57&lt;&gt;"pre",$CL57=0,COUNTIFS(Settings!$F$19:$F$32,"Yes",Settings!$A$19:$A$32,"&lt;&gt;",Settings!$E$19:$E$32,"&lt;&gt;No")&gt;0),1,0)</f>
        <v/>
      </c>
      <c r="DU57">
        <f>IF(AND($B57&lt;TODAY(),$S57&gt;0),1,0)</f>
        <v/>
      </c>
      <c r="DV57">
        <f>IF($DU57=1,COUNTIF($DU57:$DU$183,1),0)</f>
        <v/>
      </c>
      <c r="DW57">
        <f>IF(AND(OR(Settings!$B$19="Card",Settings!$B$19="Loan"),AND('Month-End'!$BB$7&lt;&gt;"",NOT(_xlfn.ISFORMULA('Month-End'!$BB$7)))),IF(N('Month-End'!$BB$7)&lt;0,1,0),0)+IF(AND(OR(Settings!$B$20="Card",Settings!$B$20="Loan"),AND('Month-End'!$BB$8&lt;&gt;"",NOT(_xlfn.ISFORMULA('Month-End'!$BB$8)))),IF(N('Month-End'!$BB$8)&lt;0,1,0),0)+IF(AND(OR(Settings!$B$21="Card",Settings!$B$21="Loan"),AND('Month-End'!$BB$9&lt;&gt;"",NOT(_xlfn.ISFORMULA('Month-End'!$BB$9)))),IF(N('Month-End'!$BB$9)&lt;0,1,0),0)+IF(AND(OR(Settings!$B$22="Card",Settings!$B$22="Loan"),AND('Month-End'!$BB$10&lt;&gt;"",NOT(_xlfn.ISFORMULA('Month-End'!$BB$10)))),IF(N('Month-End'!$BB$10)&lt;0,1,0),0)+IF(AND(OR(Settings!$B$23="Card",Settings!$B$23="Loan"),AND('Month-End'!$BB$11&lt;&gt;"",NOT(_xlfn.ISFORMULA('Month-End'!$BB$11)))),IF(N('Month-End'!$BB$11)&lt;0,1,0),0)+IF(AND(OR(Settings!$B$24="Card",Settings!$B$24="Loan"),AND('Month-End'!$BB$12&lt;&gt;"",NOT(_xlfn.ISFORMULA('Month-End'!$BB$12)))),IF(N('Month-End'!$BB$12)&lt;0,1,0),0)+IF(AND(OR(Settings!$B$25="Card",Settings!$B$25="Loan"),AND('Month-End'!$BB$13&lt;&gt;"",NOT(_xlfn.ISFORMULA('Month-End'!$BB$13)))),IF(N('Month-End'!$BB$13)&lt;0,1,0),0)+IF(AND(OR(Settings!$B$26="Card",Settings!$B$26="Loan"),AND('Month-End'!$BB$14&lt;&gt;"",NOT(_xlfn.ISFORMULA('Month-End'!$BB$14)))),IF(N('Month-End'!$BB$14)&lt;0,1,0),0)+IF(AND(OR(Settings!$B$27="Card",Settings!$B$27="Loan"),AND('Month-End'!$BB$15&lt;&gt;"",NOT(_xlfn.ISFORMULA('Month-End'!$BB$15)))),IF(N('Month-End'!$BB$15)&lt;0,1,0),0)+IF(AND(OR(Settings!$B$28="Card",Settings!$B$28="Loan"),AND('Month-End'!$BB$16&lt;&gt;"",NOT(_xlfn.ISFORMULA('Month-End'!$BB$16)))),IF(N('Month-End'!$BB$16)&lt;0,1,0),0)+IF(AND(OR(Settings!$B$29="Card",Settings!$B$29="Loan"),AND('Month-End'!$BB$17&lt;&gt;"",NOT(_xlfn.ISFORMULA('Month-End'!$BB$17)))),IF(N('Month-End'!$BB$17)&lt;0,1,0),0)+IF(AND(OR(Settings!$B$30="Card",Settings!$B$30="Loan"),AND('Month-End'!$BB$18&lt;&gt;"",NOT(_xlfn.ISFORMULA('Month-End'!$BB$18)))),IF(N('Month-End'!$BB$18)&lt;0,1,0),0)+IF(AND(OR(Settings!$B$31="Card",Settings!$B$31="Loan"),AND('Month-End'!$BB$19&lt;&gt;"",NOT(_xlfn.ISFORMULA('Month-End'!$BB$19)))),IF(N('Month-End'!$BB$19)&lt;0,1,0),0)+IF(AND(OR(Settings!$B$32="Card",Settings!$B$32="Loan"),AND('Month-End'!$BB$20&lt;&gt;"",NOT(_xlfn.ISFORMULA('Month-End'!$BB$20)))),IF(N('Month-End'!$BB$20)&lt;0,1,0),0)</f>
        <v/>
      </c>
      <c r="DX57">
        <f>IF(Settings!$B$36="Retirement",$AY57,0)+IF(Settings!$B$37="Retirement",$AZ57,0)+IF(Settings!$B$38="Retirement",$BA57,0)+IF(Settings!$B$39="Retirement",$BB57,0)+IF(Settings!$B$40="Retirement",$BC57,0)+IF(Settings!$B$41="Retirement",$BD57,0)</f>
        <v/>
      </c>
      <c r="EA57">
        <f>IF(Settings!$A$39="","",Settings!$A$39)</f>
        <v/>
      </c>
      <c r="EB57">
        <f>IF(Settings!$A$39="","",IF($EB$5=0,N(Settings!$C$39),N(INDEX($AV:$AV,$EB$5))))</f>
        <v/>
      </c>
      <c r="EC57">
        <f>IF(Settings!$A$39="","",N(Settings!$D$39)+SUMIFS($BB$6:$BB$183,$D$6:$D$183,0))</f>
        <v/>
      </c>
      <c r="ED57">
        <f>IF(AND(AND(Settings!$A$39&lt;&gt;"",Settings!$G$39&lt;&gt;"No"),TRUE,Settings!$B$5&lt;EDATE(TODAY(),-6),COUNTIFS($CI$6:$CI$183,1,$A$6:$A$183,"&gt;="&amp;EDATE(TODAY(),-6))=0),1,0)</f>
        <v/>
      </c>
      <c r="EI57">
        <f>IF(AND(Settings!$A$39&lt;&gt;"",Settings!$G$39&lt;&gt;"No"),COUNTIFS($EK$40:$EK57,1),"")</f>
        <v/>
      </c>
      <c r="EJ57">
        <f>IF(Settings!$A$39="","",Settings!$B$39)</f>
        <v/>
      </c>
      <c r="EK57">
        <f>IF(AND(Settings!$A$39&lt;&gt;"",Settings!$G$39&lt;&gt;"No"),1,0)</f>
        <v/>
      </c>
      <c r="EL57">
        <f>IF(Settings!$A$39="","",IF(OR(Settings!$B$39="Card",Settings!$B$39="Loan"),-N(EB57),N(EB57)))</f>
        <v/>
      </c>
      <c r="EM57">
        <f>IF(Settings!$A$39="","",IF(Settings!$F$39="Yes","estimate",""))</f>
        <v/>
      </c>
      <c r="ET57">
        <f>IF($E57&lt;&gt;"open",0,IF(AND('Month-End'!$BB$22&lt;&gt;"",NOT(_xlfn.ISFORMULA('Month-End'!$BB$22))),0,IF(OR(Settings!$C$45="",Settings!$D$45=""),0,Settings!$C$45*IF(Settings!$D$45="Weekly",IF(IFERROR(MATCH(Settings!$E$45,$EO$4:$EO$10,0),0)=0,0,IF(MIN(Settings!$B$5,IF(Settings!$G$45="",Settings!$B$5,Settings!$G$45))&lt;MAX($A57,Settings!$F$45),0,INT((MIN(Settings!$B$5,IF(Settings!$G$45="",Settings!$B$5,Settings!$G$45))-MAX($A57,Settings!$F$45)-MOD(IFERROR(MATCH(Settings!$E$45,$EO$4:$EO$10,0),0)-WEEKDAY(MAX($A57,Settings!$F$45)),7))/7)+1)),IF(AND(IF(Settings!$E$45="",$B57,DATE(YEAR($A57),MONTH($A57),MIN(Settings!$E$45,DAY($B57))))&gt;=MAX($A57,Settings!$F$45),IF(Settings!$E$45="",$B57,DATE(YEAR($A57),MONTH($A57),MIN(Settings!$E$45,DAY($B57))))&lt;=MIN(Settings!$B$5,IF(Settings!$G$45="",Settings!$B$5,Settings!$G$45))),1,0)))))</f>
        <v/>
      </c>
      <c r="EU57">
        <f>IF($E57&lt;&gt;"open",0,IF(AND('Month-End'!$BB$23&lt;&gt;"",NOT(_xlfn.ISFORMULA('Month-End'!$BB$23))),0,IF(OR(Settings!$C$46="",Settings!$D$46=""),0,Settings!$C$46*IF(Settings!$D$46="Weekly",IF(IFERROR(MATCH(Settings!$E$46,$EO$4:$EO$10,0),0)=0,0,IF(MIN(Settings!$B$5,IF(Settings!$G$46="",Settings!$B$5,Settings!$G$46))&lt;MAX($A57,Settings!$F$46),0,INT((MIN(Settings!$B$5,IF(Settings!$G$46="",Settings!$B$5,Settings!$G$46))-MAX($A57,Settings!$F$46)-MOD(IFERROR(MATCH(Settings!$E$46,$EO$4:$EO$10,0),0)-WEEKDAY(MAX($A57,Settings!$F$46)),7))/7)+1)),IF(AND(IF(Settings!$E$46="",$B57,DATE(YEAR($A57),MONTH($A57),MIN(Settings!$E$46,DAY($B57))))&gt;=MAX($A57,Settings!$F$46),IF(Settings!$E$46="",$B57,DATE(YEAR($A57),MONTH($A57),MIN(Settings!$E$46,DAY($B57))))&lt;=MIN(Settings!$B$5,IF(Settings!$G$46="",Settings!$B$5,Settings!$G$46))),1,0)))))</f>
        <v/>
      </c>
      <c r="EV57">
        <f>IF($E57&lt;&gt;"open",0,IF(AND('Month-End'!$BB$24&lt;&gt;"",NOT(_xlfn.ISFORMULA('Month-End'!$BB$24))),0,IF(OR(Settings!$C$47="",Settings!$D$47=""),0,Settings!$C$47*IF(Settings!$D$47="Weekly",IF(IFERROR(MATCH(Settings!$E$47,$EO$4:$EO$10,0),0)=0,0,IF(MIN(Settings!$B$5,IF(Settings!$G$47="",Settings!$B$5,Settings!$G$47))&lt;MAX($A57,Settings!$F$47),0,INT((MIN(Settings!$B$5,IF(Settings!$G$47="",Settings!$B$5,Settings!$G$47))-MAX($A57,Settings!$F$47)-MOD(IFERROR(MATCH(Settings!$E$47,$EO$4:$EO$10,0),0)-WEEKDAY(MAX($A57,Settings!$F$47)),7))/7)+1)),IF(AND(IF(Settings!$E$47="",$B57,DATE(YEAR($A57),MONTH($A57),MIN(Settings!$E$47,DAY($B57))))&gt;=MAX($A57,Settings!$F$47),IF(Settings!$E$47="",$B57,DATE(YEAR($A57),MONTH($A57),MIN(Settings!$E$47,DAY($B57))))&lt;=MIN(Settings!$B$5,IF(Settings!$G$47="",Settings!$B$5,Settings!$G$47))),1,0)))))</f>
        <v/>
      </c>
      <c r="EW57">
        <f>IF($E57&lt;&gt;"open",0,IF(AND('Month-End'!$BB$25&lt;&gt;"",NOT(_xlfn.ISFORMULA('Month-End'!$BB$25))),0,IF(OR(Settings!$C$48="",Settings!$D$48=""),0,Settings!$C$48*IF(Settings!$D$48="Weekly",IF(IFERROR(MATCH(Settings!$E$48,$EO$4:$EO$10,0),0)=0,0,IF(MIN(Settings!$B$5,IF(Settings!$G$48="",Settings!$B$5,Settings!$G$48))&lt;MAX($A57,Settings!$F$48),0,INT((MIN(Settings!$B$5,IF(Settings!$G$48="",Settings!$B$5,Settings!$G$48))-MAX($A57,Settings!$F$48)-MOD(IFERROR(MATCH(Settings!$E$48,$EO$4:$EO$10,0),0)-WEEKDAY(MAX($A57,Settings!$F$48)),7))/7)+1)),IF(AND(IF(Settings!$E$48="",$B57,DATE(YEAR($A57),MONTH($A57),MIN(Settings!$E$48,DAY($B57))))&gt;=MAX($A57,Settings!$F$48),IF(Settings!$E$48="",$B57,DATE(YEAR($A57),MONTH($A57),MIN(Settings!$E$48,DAY($B57))))&lt;=MIN(Settings!$B$5,IF(Settings!$G$48="",Settings!$B$5,Settings!$G$48))),1,0)))))</f>
        <v/>
      </c>
      <c r="EX57">
        <f>IF($E57&lt;&gt;"open",0,IF(AND('Month-End'!$BB$26&lt;&gt;"",NOT(_xlfn.ISFORMULA('Month-End'!$BB$26))),0,IF(OR(Settings!$C$49="",Settings!$D$49=""),0,Settings!$C$49*IF(Settings!$D$49="Weekly",IF(IFERROR(MATCH(Settings!$E$49,$EO$4:$EO$10,0),0)=0,0,IF(MIN(Settings!$B$5,IF(Settings!$G$49="",Settings!$B$5,Settings!$G$49))&lt;MAX($A57,Settings!$F$49),0,INT((MIN(Settings!$B$5,IF(Settings!$G$49="",Settings!$B$5,Settings!$G$49))-MAX($A57,Settings!$F$49)-MOD(IFERROR(MATCH(Settings!$E$49,$EO$4:$EO$10,0),0)-WEEKDAY(MAX($A57,Settings!$F$49)),7))/7)+1)),IF(AND(IF(Settings!$E$49="",$B57,DATE(YEAR($A57),MONTH($A57),MIN(Settings!$E$49,DAY($B57))))&gt;=MAX($A57,Settings!$F$49),IF(Settings!$E$49="",$B57,DATE(YEAR($A57),MONTH($A57),MIN(Settings!$E$49,DAY($B57))))&lt;=MIN(Settings!$B$5,IF(Settings!$G$49="",Settings!$B$5,Settings!$G$49))),1,0)))))</f>
        <v/>
      </c>
      <c r="EY57">
        <f>IF($E57&lt;&gt;"open",0,IF(AND('Month-End'!$BB$27&lt;&gt;"",NOT(_xlfn.ISFORMULA('Month-End'!$BB$27))),0,IF(OR(Settings!$C$50="",Settings!$D$50=""),0,Settings!$C$50*IF(Settings!$D$50="Weekly",IF(IFERROR(MATCH(Settings!$E$50,$EO$4:$EO$10,0),0)=0,0,IF(MIN(Settings!$B$5,IF(Settings!$G$50="",Settings!$B$5,Settings!$G$50))&lt;MAX($A57,Settings!$F$50),0,INT((MIN(Settings!$B$5,IF(Settings!$G$50="",Settings!$B$5,Settings!$G$50))-MAX($A57,Settings!$F$50)-MOD(IFERROR(MATCH(Settings!$E$50,$EO$4:$EO$10,0),0)-WEEKDAY(MAX($A57,Settings!$F$50)),7))/7)+1)),IF(AND(IF(Settings!$E$50="",$B57,DATE(YEAR($A57),MONTH($A57),MIN(Settings!$E$50,DAY($B57))))&gt;=MAX($A57,Settings!$F$50),IF(Settings!$E$50="",$B57,DATE(YEAR($A57),MONTH($A57),MIN(Settings!$E$50,DAY($B57))))&lt;=MIN(Settings!$B$5,IF(Settings!$G$50="",Settings!$B$5,Settings!$G$50))),1,0)))))</f>
        <v/>
      </c>
      <c r="EZ57">
        <f>IF($E57&lt;&gt;"open",0,IF(AND('Month-End'!$BB$28&lt;&gt;"",NOT(_xlfn.ISFORMULA('Month-End'!$BB$28))),0,IF(OR(Settings!$C$51="",Settings!$D$51=""),0,Settings!$C$51*IF(Settings!$D$51="Weekly",IF(IFERROR(MATCH(Settings!$E$51,$EO$4:$EO$10,0),0)=0,0,IF(MIN(Settings!$B$5,IF(Settings!$G$51="",Settings!$B$5,Settings!$G$51))&lt;MAX($A57,Settings!$F$51),0,INT((MIN(Settings!$B$5,IF(Settings!$G$51="",Settings!$B$5,Settings!$G$51))-MAX($A57,Settings!$F$51)-MOD(IFERROR(MATCH(Settings!$E$51,$EO$4:$EO$10,0),0)-WEEKDAY(MAX($A57,Settings!$F$51)),7))/7)+1)),IF(AND(IF(Settings!$E$51="",$B57,DATE(YEAR($A57),MONTH($A57),MIN(Settings!$E$51,DAY($B57))))&gt;=MAX($A57,Settings!$F$51),IF(Settings!$E$51="",$B57,DATE(YEAR($A57),MONTH($A57),MIN(Settings!$E$51,DAY($B57))))&lt;=MIN(Settings!$B$5,IF(Settings!$G$51="",Settings!$B$5,Settings!$G$51))),1,0)))))</f>
        <v/>
      </c>
      <c r="FA57">
        <f>IF($E57&lt;&gt;"open",0,IF(AND('Month-End'!$BB$29&lt;&gt;"",NOT(_xlfn.ISFORMULA('Month-End'!$BB$29))),0,IF(OR(Settings!$C$52="",Settings!$D$52=""),0,Settings!$C$52*IF(Settings!$D$52="Weekly",IF(IFERROR(MATCH(Settings!$E$52,$EO$4:$EO$10,0),0)=0,0,IF(MIN(Settings!$B$5,IF(Settings!$G$52="",Settings!$B$5,Settings!$G$52))&lt;MAX($A57,Settings!$F$52),0,INT((MIN(Settings!$B$5,IF(Settings!$G$52="",Settings!$B$5,Settings!$G$52))-MAX($A57,Settings!$F$52)-MOD(IFERROR(MATCH(Settings!$E$52,$EO$4:$EO$10,0),0)-WEEKDAY(MAX($A57,Settings!$F$52)),7))/7)+1)),IF(AND(IF(Settings!$E$52="",$B57,DATE(YEAR($A57),MONTH($A57),MIN(Settings!$E$52,DAY($B57))))&gt;=MAX($A57,Settings!$F$52),IF(Settings!$E$52="",$B57,DATE(YEAR($A57),MONTH($A57),MIN(Settings!$E$52,DAY($B57))))&lt;=MIN(Settings!$B$5,IF(Settings!$G$52="",Settings!$B$5,Settings!$G$52))),1,0)))))</f>
        <v/>
      </c>
      <c r="FB57">
        <f>IF($E57&lt;&gt;"open",0,IF(AND('Month-End'!$BB$30&lt;&gt;"",NOT(_xlfn.ISFORMULA('Month-End'!$BB$30))),0,IF(OR(Settings!$C$53="",Settings!$D$53=""),0,Settings!$C$53*IF(Settings!$D$53="Weekly",IF(IFERROR(MATCH(Settings!$E$53,$EO$4:$EO$10,0),0)=0,0,IF(MIN(Settings!$B$5,IF(Settings!$G$53="",Settings!$B$5,Settings!$G$53))&lt;MAX($A57,Settings!$F$53),0,INT((MIN(Settings!$B$5,IF(Settings!$G$53="",Settings!$B$5,Settings!$G$53))-MAX($A57,Settings!$F$53)-MOD(IFERROR(MATCH(Settings!$E$53,$EO$4:$EO$10,0),0)-WEEKDAY(MAX($A57,Settings!$F$53)),7))/7)+1)),IF(AND(IF(Settings!$E$53="",$B57,DATE(YEAR($A57),MONTH($A57),MIN(Settings!$E$53,DAY($B57))))&gt;=MAX($A57,Settings!$F$53),IF(Settings!$E$53="",$B57,DATE(YEAR($A57),MONTH($A57),MIN(Settings!$E$53,DAY($B57))))&lt;=MIN(Settings!$B$5,IF(Settings!$G$53="",Settings!$B$5,Settings!$G$53))),1,0)))))</f>
        <v/>
      </c>
      <c r="FC57">
        <f>IF($E57&lt;&gt;"open",0,IF(AND('Month-End'!$BB$31&lt;&gt;"",NOT(_xlfn.ISFORMULA('Month-End'!$BB$31))),0,IF(OR(Settings!$C$54="",Settings!$D$54=""),0,Settings!$C$54*IF(Settings!$D$54="Weekly",IF(IFERROR(MATCH(Settings!$E$54,$EO$4:$EO$10,0),0)=0,0,IF(MIN(Settings!$B$5,IF(Settings!$G$54="",Settings!$B$5,Settings!$G$54))&lt;MAX($A57,Settings!$F$54),0,INT((MIN(Settings!$B$5,IF(Settings!$G$54="",Settings!$B$5,Settings!$G$54))-MAX($A57,Settings!$F$54)-MOD(IFERROR(MATCH(Settings!$E$54,$EO$4:$EO$10,0),0)-WEEKDAY(MAX($A57,Settings!$F$54)),7))/7)+1)),IF(AND(IF(Settings!$E$54="",$B57,DATE(YEAR($A57),MONTH($A57),MIN(Settings!$E$54,DAY($B57))))&gt;=MAX($A57,Settings!$F$54),IF(Settings!$E$54="",$B57,DATE(YEAR($A57),MONTH($A57),MIN(Settings!$E$54,DAY($B57))))&lt;=MIN(Settings!$B$5,IF(Settings!$G$54="",Settings!$B$5,Settings!$G$54))),1,0)))))</f>
        <v/>
      </c>
      <c r="FD57">
        <f>IF($E57&lt;&gt;"open",0,IF(AND('Month-End'!$BB$32&lt;&gt;"",NOT(_xlfn.ISFORMULA('Month-End'!$BB$32))),0,IF(OR(Settings!$C$55="",Settings!$D$55=""),0,Settings!$C$55*IF(Settings!$D$55="Weekly",IF(IFERROR(MATCH(Settings!$E$55,$EO$4:$EO$10,0),0)=0,0,IF(MIN(Settings!$B$5,IF(Settings!$G$55="",Settings!$B$5,Settings!$G$55))&lt;MAX($A57,Settings!$F$55),0,INT((MIN(Settings!$B$5,IF(Settings!$G$55="",Settings!$B$5,Settings!$G$55))-MAX($A57,Settings!$F$55)-MOD(IFERROR(MATCH(Settings!$E$55,$EO$4:$EO$10,0),0)-WEEKDAY(MAX($A57,Settings!$F$55)),7))/7)+1)),IF(AND(IF(Settings!$E$55="",$B57,DATE(YEAR($A57),MONTH($A57),MIN(Settings!$E$55,DAY($B57))))&gt;=MAX($A57,Settings!$F$55),IF(Settings!$E$55="",$B57,DATE(YEAR($A57),MONTH($A57),MIN(Settings!$E$55,DAY($B57))))&lt;=MIN(Settings!$B$5,IF(Settings!$G$55="",Settings!$B$5,Settings!$G$55))),1,0)))))</f>
        <v/>
      </c>
      <c r="FE57">
        <f>IF($E57&lt;&gt;"open",0,IF(AND('Month-End'!$BB$33&lt;&gt;"",NOT(_xlfn.ISFORMULA('Month-End'!$BB$33))),0,IF(OR(Settings!$C$56="",Settings!$D$56=""),0,Settings!$C$56*IF(Settings!$D$56="Weekly",IF(IFERROR(MATCH(Settings!$E$56,$EO$4:$EO$10,0),0)=0,0,IF(MIN(Settings!$B$5,IF(Settings!$G$56="",Settings!$B$5,Settings!$G$56))&lt;MAX($A57,Settings!$F$56),0,INT((MIN(Settings!$B$5,IF(Settings!$G$56="",Settings!$B$5,Settings!$G$56))-MAX($A57,Settings!$F$56)-MOD(IFERROR(MATCH(Settings!$E$56,$EO$4:$EO$10,0),0)-WEEKDAY(MAX($A57,Settings!$F$56)),7))/7)+1)),IF(AND(IF(Settings!$E$56="",$B57,DATE(YEAR($A57),MONTH($A57),MIN(Settings!$E$56,DAY($B57))))&gt;=MAX($A57,Settings!$F$56),IF(Settings!$E$56="",$B57,DATE(YEAR($A57),MONTH($A57),MIN(Settings!$E$56,DAY($B57))))&lt;=MIN(Settings!$B$5,IF(Settings!$G$56="",Settings!$B$5,Settings!$G$56))),1,0)))))</f>
        <v/>
      </c>
      <c r="FF57">
        <f>IF(Settings!$I$45="Yes",$G57,0)+IF(Settings!$I$46="Yes",$H57,0)+IF(Settings!$I$47="Yes",$I57,0)+IF(Settings!$I$48="Yes",$J57,0)+IF(Settings!$I$49="Yes",$K57,0)+IF(Settings!$I$50="Yes",$L57,0)+IF(Settings!$I$51="Yes",$M57,0)+IF(Settings!$I$52="Yes",$N57,0)+IF(Settings!$I$53="Yes",$O57,0)+IF(Settings!$I$54="Yes",$P57,0)+IF(Settings!$I$55="Yes",$Q57,0)+IF(Settings!$I$56="Yes",$R57,0)</f>
        <v/>
      </c>
      <c r="FG57">
        <f>IF(AND(Settings!$I$45="Yes",Settings!$J$45="No"),$G57,0)+IF(AND(Settings!$I$46="Yes",Settings!$J$46="No"),$H57,0)+IF(AND(Settings!$I$47="Yes",Settings!$J$47="No"),$I57,0)+IF(AND(Settings!$I$48="Yes",Settings!$J$48="No"),$J57,0)+IF(AND(Settings!$I$49="Yes",Settings!$J$49="No"),$K57,0)+IF(AND(Settings!$I$50="Yes",Settings!$J$50="No"),$L57,0)+IF(AND(Settings!$I$51="Yes",Settings!$J$51="No"),$M57,0)+IF(AND(Settings!$I$52="Yes",Settings!$J$52="No"),$N57,0)+IF(AND(Settings!$I$53="Yes",Settings!$J$53="No"),$O57,0)+IF(AND(Settings!$I$54="Yes",Settings!$J$54="No"),$P57,0)+IF(AND(Settings!$I$55="Yes",Settings!$J$55="No"),$Q57,0)+IF(AND(Settings!$I$56="Yes",Settings!$J$56="No"),$R57,0)</f>
        <v/>
      </c>
      <c r="FH57">
        <f>SUMIFS(Giving!$B$7:$B$2006,Giving!$A$7:$A$2006,"&gt;="&amp;$A57,Giving!$A$7:$A$2006,"&lt;="&amp;$B57,Giving!$G$7:$G$2006,"Yes")+IF(OR(OR(Settings!$B$60="",Settings!$F$60="No"),Settings!$H$60&lt;&gt;"Yes"),0,Settings!$B$60*IF(AND(IF(Settings!$C$60="",$B57,DATE(YEAR($A57),MONTH($A57),MIN(Settings!$C$60,DAY($B57))))&gt;=MAX($A57,Settings!$D$60),IF(Settings!$C$60="",$B57,DATE(YEAR($A57),MONTH($A57),MIN(Settings!$C$60,DAY($B57))))&lt;=MIN($C57,IF(Settings!$E$60="",$C57,Settings!$E$60))),1,0))+IF(OR(OR(Settings!$B$61="",Settings!$F$61="No"),Settings!$H$61&lt;&gt;"Yes"),0,Settings!$B$61*IF(AND(IF(Settings!$C$61="",$B57,DATE(YEAR($A57),MONTH($A57),MIN(Settings!$C$61,DAY($B57))))&gt;=MAX($A57,Settings!$D$61),IF(Settings!$C$61="",$B57,DATE(YEAR($A57),MONTH($A57),MIN(Settings!$C$61,DAY($B57))))&lt;=MIN($C57,IF(Settings!$E$61="",$C57,Settings!$E$61))),1,0))+IF(OR(OR(Settings!$B$62="",Settings!$F$62="No"),Settings!$H$62&lt;&gt;"Yes"),0,Settings!$B$62*IF(AND(IF(Settings!$C$62="",$B57,DATE(YEAR($A57),MONTH($A57),MIN(Settings!$C$62,DAY($B57))))&gt;=MAX($A57,Settings!$D$62),IF(Settings!$C$62="",$B57,DATE(YEAR($A57),MONTH($A57),MIN(Settings!$C$62,DAY($B57))))&lt;=MIN($C57,IF(Settings!$E$62="",$C57,Settings!$E$62))),1,0))+IF(OR(OR(Settings!$B$63="",Settings!$F$63="No"),Settings!$H$63&lt;&gt;"Yes"),0,Settings!$B$63*IF(AND(IF(Settings!$C$63="",$B57,DATE(YEAR($A57),MONTH($A57),MIN(Settings!$C$63,DAY($B57))))&gt;=MAX($A57,Settings!$D$63),IF(Settings!$C$63="",$B57,DATE(YEAR($A57),MONTH($A57),MIN(Settings!$C$63,DAY($B57))))&lt;=MIN($C57,IF(Settings!$E$63="",$C57,Settings!$E$63))),1,0))+IF(OR(OR(Settings!$B$64="",Settings!$F$64="No"),Settings!$H$64&lt;&gt;"Yes"),0,Settings!$B$64*IF(AND(IF(Settings!$C$64="",$B57,DATE(YEAR($A57),MONTH($A57),MIN(Settings!$C$64,DAY($B57))))&gt;=MAX($A57,Settings!$D$64),IF(Settings!$C$64="",$B57,DATE(YEAR($A57),MONTH($A57),MIN(Settings!$C$64,DAY($B57))))&lt;=MIN($C57,IF(Settings!$E$64="",$C57,Settings!$E$64))),1,0))+IF(OR(OR(Settings!$B$65="",Settings!$F$65="No"),Settings!$H$65&lt;&gt;"Yes"),0,Settings!$B$65*IF(AND(IF(Settings!$C$65="",$B57,DATE(YEAR($A57),MONTH($A57),MIN(Settings!$C$65,DAY($B57))))&gt;=MAX($A57,Settings!$D$65),IF(Settings!$C$65="",$B57,DATE(YEAR($A57),MONTH($A57),MIN(Settings!$C$65,DAY($B57))))&lt;=MIN($C57,IF(Settings!$E$65="",$C57,Settings!$E$65))),1,0))</f>
        <v/>
      </c>
      <c r="FI57">
        <f>IF($DT57=1,IF(OR(Settings!$B$19="Card",Settings!$B$19="Loan"),N($AE57),0)+IF(OR(Settings!$B$20="Card",Settings!$B$20="Loan"),N($AF57),0)+IF(OR(Settings!$B$21="Card",Settings!$B$21="Loan"),N($AG57),0)+IF(OR(Settings!$B$22="Card",Settings!$B$22="Loan"),N($AH57),0)+IF(OR(Settings!$B$23="Card",Settings!$B$23="Loan"),N($AI57),0)+IF(OR(Settings!$B$24="Card",Settings!$B$24="Loan"),N($AJ57),0)+IF(OR(Settings!$B$25="Card",Settings!$B$25="Loan"),N($AK57),0)+IF(OR(Settings!$B$26="Card",Settings!$B$26="Loan"),N($AL57),0)+IF(OR(Settings!$B$27="Card",Settings!$B$27="Loan"),N($AM57),0)+IF(OR(Settings!$B$28="Card",Settings!$B$28="Loan"),N($AN57),0)+IF(OR(Settings!$B$29="Card",Settings!$B$29="Loan"),N($AO57),0)+IF(OR(Settings!$B$30="Card",Settings!$B$30="Loan"),N($AP57),0)+IF(OR(Settings!$B$31="Card",Settings!$B$31="Loan"),N($AQ57),0)+IF(OR(Settings!$B$32="Card",Settings!$B$32="Loan"),N($AR57),0),"")</f>
        <v/>
      </c>
      <c r="FJ57">
        <f>IF($E57="open",$EB$65,IF($E57="post",IF($E56="pre",$EB$65,$FI56),""))</f>
        <v/>
      </c>
      <c r="FK57">
        <f>IF(AND($DT57=1,$DC57=1),IF(ROUND($FI57-$FJ57,2)&gt;0,1,0),0)</f>
        <v/>
      </c>
      <c r="FL57">
        <f>IF($FK57=1,$FL56+1,0)</f>
        <v/>
      </c>
    </row>
    <row r="58">
      <c r="A58">
        <f>'Month-End'!$BC$4</f>
        <v/>
      </c>
      <c r="B58">
        <f>EOMONTH($A58,0)</f>
        <v/>
      </c>
      <c r="C58">
        <f>MIN($B58,TODAY())</f>
        <v/>
      </c>
      <c r="D58">
        <f>IF($A58&gt;TODAY(),1,0)</f>
        <v/>
      </c>
      <c r="E58">
        <f>IF($B58&lt;=Settings!$B$5,"pre",IF($A58&lt;=Settings!$B$5,"open","post"))</f>
        <v/>
      </c>
      <c r="G58">
        <f>IF('Month-End'!$BC$22="",$BE58,N('Month-End'!$BC$22))</f>
        <v/>
      </c>
      <c r="H58">
        <f>IF('Month-End'!$BC$23="",$BF58,N('Month-End'!$BC$23))</f>
        <v/>
      </c>
      <c r="I58">
        <f>IF('Month-End'!$BC$24="",$BG58,N('Month-End'!$BC$24))</f>
        <v/>
      </c>
      <c r="J58">
        <f>IF('Month-End'!$BC$25="",$BH58,N('Month-End'!$BC$25))</f>
        <v/>
      </c>
      <c r="K58">
        <f>IF('Month-End'!$BC$26="",$BI58,N('Month-End'!$BC$26))</f>
        <v/>
      </c>
      <c r="L58">
        <f>IF('Month-End'!$BC$27="",$BJ58,N('Month-End'!$BC$27))</f>
        <v/>
      </c>
      <c r="M58">
        <f>IF('Month-End'!$BC$28="",$BK58,N('Month-End'!$BC$28))</f>
        <v/>
      </c>
      <c r="N58">
        <f>IF('Month-End'!$BC$29="",$BL58,N('Month-End'!$BC$29))</f>
        <v/>
      </c>
      <c r="O58">
        <f>IF('Month-End'!$BC$30="",$BM58,N('Month-End'!$BC$30))</f>
        <v/>
      </c>
      <c r="P58">
        <f>IF('Month-End'!$BC$31="",$BN58,N('Month-End'!$BC$31))</f>
        <v/>
      </c>
      <c r="Q58">
        <f>IF('Month-End'!$BC$32="",$BO58,N('Month-End'!$BC$32))</f>
        <v/>
      </c>
      <c r="R58">
        <f>IF('Month-End'!$BC$33="",$BP58,N('Month-End'!$BC$33))</f>
        <v/>
      </c>
      <c r="S58">
        <f>$G58+$H58+$I58+$J58+$K58+$L58+$M58+$N58+$O58+$P58+$Q58+$R58</f>
        <v/>
      </c>
      <c r="T58">
        <f>IF($B58&lt;Settings!$B$6,0,IF(Settings!$B$45="Yes",$G58,0)+IF(Settings!$B$46="Yes",$H58,0)+IF(Settings!$B$47="Yes",$I58,0)+IF(Settings!$B$48="Yes",$J58,0)+IF(Settings!$B$49="Yes",$K58,0)+IF(Settings!$B$50="Yes",$L58,0)+IF(Settings!$B$51="Yes",$M58,0)+IF(Settings!$B$52="Yes",$N58,0)+IF(Settings!$B$53="Yes",$O58,0)+IF(Settings!$B$54="Yes",$P58,0)+IF(Settings!$B$55="Yes",$Q58,0)+IF(Settings!$B$56="Yes",$R58,0))</f>
        <v/>
      </c>
      <c r="U58">
        <f>IF(Settings!$B$45="Not Sure",$G58,0)+IF(Settings!$B$46="Not Sure",$H58,0)+IF(Settings!$B$47="Not Sure",$I58,0)+IF(Settings!$B$48="Not Sure",$J58,0)+IF(Settings!$B$49="Not Sure",$K58,0)+IF(Settings!$B$50="Not Sure",$L58,0)+IF(Settings!$B$51="Not Sure",$M58,0)+IF(Settings!$B$52="Not Sure",$N58,0)+IF(Settings!$B$53="Not Sure",$O58,0)+IF(Settings!$B$54="Not Sure",$P58,0)+IF(Settings!$B$55="Not Sure",$Q58,0)+IF(Settings!$B$56="Not Sure",$R58,0)</f>
        <v/>
      </c>
      <c r="V58">
        <f>IF($E58="open",SUM($ET58:$FE58)+N(Settings!$B$13),0)</f>
        <v/>
      </c>
      <c r="W58">
        <f>IF($E58="post",$S58,IF($E58="open",$S58-$V58,0))</f>
        <v/>
      </c>
      <c r="X58">
        <f>SUMIFS(Giving!$B$7:$B$2006,Giving!$A$7:$A$2006,"&gt;="&amp;$A58,Giving!$A$7:$A$2006,"&lt;="&amp;$B58,Giving!$E$7:$E$2006,"&lt;&gt;No")</f>
        <v/>
      </c>
      <c r="Y58">
        <f>SUMIFS(Giving!$B$7:$B$2006,Giving!$A$7:$A$2006,"&gt;="&amp;$A58,Giving!$A$7:$A$2006,"&lt;="&amp;$B58,Giving!$E$7:$E$2006,"No")</f>
        <v/>
      </c>
      <c r="Z58">
        <f>IF(OR(Settings!$B$60="",Settings!$F$60="No"),0,Settings!$B$60*IF(AND(IF(Settings!$C$60="",$B58,DATE(YEAR($A58),MONTH($A58),MIN(Settings!$C$60,DAY($B58))))&gt;=MAX($A58,Settings!$D$60),IF(Settings!$C$60="",$B58,DATE(YEAR($A58),MONTH($A58),MIN(Settings!$C$60,DAY($B58))))&lt;=MIN($C58,IF(Settings!$E$60="",$C58,Settings!$E$60))),1,0))+IF(OR(Settings!$B$61="",Settings!$F$61="No"),0,Settings!$B$61*IF(AND(IF(Settings!$C$61="",$B58,DATE(YEAR($A58),MONTH($A58),MIN(Settings!$C$61,DAY($B58))))&gt;=MAX($A58,Settings!$D$61),IF(Settings!$C$61="",$B58,DATE(YEAR($A58),MONTH($A58),MIN(Settings!$C$61,DAY($B58))))&lt;=MIN($C58,IF(Settings!$E$61="",$C58,Settings!$E$61))),1,0))+IF(OR(Settings!$B$62="",Settings!$F$62="No"),0,Settings!$B$62*IF(AND(IF(Settings!$C$62="",$B58,DATE(YEAR($A58),MONTH($A58),MIN(Settings!$C$62,DAY($B58))))&gt;=MAX($A58,Settings!$D$62),IF(Settings!$C$62="",$B58,DATE(YEAR($A58),MONTH($A58),MIN(Settings!$C$62,DAY($B58))))&lt;=MIN($C58,IF(Settings!$E$62="",$C58,Settings!$E$62))),1,0))+IF(OR(Settings!$B$63="",Settings!$F$63="No"),0,Settings!$B$63*IF(AND(IF(Settings!$C$63="",$B58,DATE(YEAR($A58),MONTH($A58),MIN(Settings!$C$63,DAY($B58))))&gt;=MAX($A58,Settings!$D$63),IF(Settings!$C$63="",$B58,DATE(YEAR($A58),MONTH($A58),MIN(Settings!$C$63,DAY($B58))))&lt;=MIN($C58,IF(Settings!$E$63="",$C58,Settings!$E$63))),1,0))+IF(OR(Settings!$B$64="",Settings!$F$64="No"),0,Settings!$B$64*IF(AND(IF(Settings!$C$64="",$B58,DATE(YEAR($A58),MONTH($A58),MIN(Settings!$C$64,DAY($B58))))&gt;=MAX($A58,Settings!$D$64),IF(Settings!$C$64="",$B58,DATE(YEAR($A58),MONTH($A58),MIN(Settings!$C$64,DAY($B58))))&lt;=MIN($C58,IF(Settings!$E$64="",$C58,Settings!$E$64))),1,0))+IF(OR(Settings!$B$65="",Settings!$F$65="No"),0,Settings!$B$65*IF(AND(IF(Settings!$C$65="",$B58,DATE(YEAR($A58),MONTH($A58),MIN(Settings!$C$65,DAY($B58))))&gt;=MAX($A58,Settings!$D$65),IF(Settings!$C$65="",$B58,DATE(YEAR($A58),MONTH($A58),MIN(Settings!$C$65,DAY($B58))))&lt;=MIN($C58,IF(Settings!$E$65="",$C58,Settings!$E$65))),1,0))</f>
        <v/>
      </c>
      <c r="AA58">
        <f>$X58+$Z58</f>
        <v/>
      </c>
      <c r="AB58">
        <f>IF($E58="post",$AA58,IF($E58="open",SUMIFS(Giving!$B$7:$B$2006,Giving!$A$7:$A$2006,"&gt;"&amp;Settings!$B$5,Giving!$A$7:$A$2006,"&lt;="&amp;$B58,Giving!$E$7:$E$2006,"&lt;&gt;No")+IF(OR(Settings!$B$60="",Settings!$F$60="No"),0,Settings!$B$60*IF(AND(IF(Settings!$C$60="",$B58,DATE(YEAR($A58),MONTH($A58),MIN(Settings!$C$60,DAY($B58))))&gt;=MAX($A58,Settings!$D$60,Settings!$B$5+1),IF(Settings!$C$60="",$B58,DATE(YEAR($A58),MONTH($A58),MIN(Settings!$C$60,DAY($B58))))&lt;=MIN($C58,IF(Settings!$E$60="",$C58,Settings!$E$60))),1,0))+IF(OR(Settings!$B$61="",Settings!$F$61="No"),0,Settings!$B$61*IF(AND(IF(Settings!$C$61="",$B58,DATE(YEAR($A58),MONTH($A58),MIN(Settings!$C$61,DAY($B58))))&gt;=MAX($A58,Settings!$D$61,Settings!$B$5+1),IF(Settings!$C$61="",$B58,DATE(YEAR($A58),MONTH($A58),MIN(Settings!$C$61,DAY($B58))))&lt;=MIN($C58,IF(Settings!$E$61="",$C58,Settings!$E$61))),1,0))+IF(OR(Settings!$B$62="",Settings!$F$62="No"),0,Settings!$B$62*IF(AND(IF(Settings!$C$62="",$B58,DATE(YEAR($A58),MONTH($A58),MIN(Settings!$C$62,DAY($B58))))&gt;=MAX($A58,Settings!$D$62,Settings!$B$5+1),IF(Settings!$C$62="",$B58,DATE(YEAR($A58),MONTH($A58),MIN(Settings!$C$62,DAY($B58))))&lt;=MIN($C58,IF(Settings!$E$62="",$C58,Settings!$E$62))),1,0))+IF(OR(Settings!$B$63="",Settings!$F$63="No"),0,Settings!$B$63*IF(AND(IF(Settings!$C$63="",$B58,DATE(YEAR($A58),MONTH($A58),MIN(Settings!$C$63,DAY($B58))))&gt;=MAX($A58,Settings!$D$63,Settings!$B$5+1),IF(Settings!$C$63="",$B58,DATE(YEAR($A58),MONTH($A58),MIN(Settings!$C$63,DAY($B58))))&lt;=MIN($C58,IF(Settings!$E$63="",$C58,Settings!$E$63))),1,0))+IF(OR(Settings!$B$64="",Settings!$F$64="No"),0,Settings!$B$64*IF(AND(IF(Settings!$C$64="",$B58,DATE(YEAR($A58),MONTH($A58),MIN(Settings!$C$64,DAY($B58))))&gt;=MAX($A58,Settings!$D$64,Settings!$B$5+1),IF(Settings!$C$64="",$B58,DATE(YEAR($A58),MONTH($A58),MIN(Settings!$C$64,DAY($B58))))&lt;=MIN($C58,IF(Settings!$E$64="",$C58,Settings!$E$64))),1,0))+IF(OR(Settings!$B$65="",Settings!$F$65="No"),0,Settings!$B$65*IF(AND(IF(Settings!$C$65="",$B58,DATE(YEAR($A58),MONTH($A58),MIN(Settings!$C$65,DAY($B58))))&gt;=MAX($A58,Settings!$D$65,Settings!$B$5+1),IF(Settings!$C$65="",$B58,DATE(YEAR($A58),MONTH($A58),MIN(Settings!$C$65,DAY($B58))))&lt;=MIN($C58,IF(Settings!$E$65="",$C58,Settings!$E$65))),1,0)),0))</f>
        <v/>
      </c>
      <c r="AC58">
        <f>$AY58+$AZ58+$BA58+$BB58+$BC58+$BD58</f>
        <v/>
      </c>
      <c r="AD58">
        <f>$AC58</f>
        <v/>
      </c>
      <c r="AE58">
        <f>IF(OR(Settings!$A$19="",$E58="pre"),"",IF(AND('Month-End'!$BC$7&lt;&gt;"",NOT(_xlfn.ISFORMULA('Month-End'!$BC$7))),N('Month-End'!$BC$7),IF(OR($E58="open",$E57="pre"),N(Settings!$C$19),N($AE57))))</f>
        <v/>
      </c>
      <c r="AF58">
        <f>IF(OR(Settings!$A$20="",$E58="pre"),"",IF(AND('Month-End'!$BC$8&lt;&gt;"",NOT(_xlfn.ISFORMULA('Month-End'!$BC$8))),N('Month-End'!$BC$8),IF(OR($E58="open",$E57="pre"),N(Settings!$C$20),N($AF57))))</f>
        <v/>
      </c>
      <c r="AG58">
        <f>IF(OR(Settings!$A$21="",$E58="pre"),"",IF(AND('Month-End'!$BC$9&lt;&gt;"",NOT(_xlfn.ISFORMULA('Month-End'!$BC$9))),N('Month-End'!$BC$9),IF(OR($E58="open",$E57="pre"),N(Settings!$C$21),N($AG57))))</f>
        <v/>
      </c>
      <c r="AH58">
        <f>IF(OR(Settings!$A$22="",$E58="pre"),"",IF(AND('Month-End'!$BC$10&lt;&gt;"",NOT(_xlfn.ISFORMULA('Month-End'!$BC$10))),N('Month-End'!$BC$10),IF(OR($E58="open",$E57="pre"),N(Settings!$C$22),N($AH57))))</f>
        <v/>
      </c>
      <c r="AI58">
        <f>IF(OR(Settings!$A$23="",$E58="pre"),"",IF(AND('Month-End'!$BC$11&lt;&gt;"",NOT(_xlfn.ISFORMULA('Month-End'!$BC$11))),N('Month-End'!$BC$11),IF(OR($E58="open",$E57="pre"),N(Settings!$C$23),N($AI57))))</f>
        <v/>
      </c>
      <c r="AJ58">
        <f>IF(OR(Settings!$A$24="",$E58="pre"),"",IF(AND('Month-End'!$BC$12&lt;&gt;"",NOT(_xlfn.ISFORMULA('Month-End'!$BC$12))),N('Month-End'!$BC$12),IF(OR($E58="open",$E57="pre"),N(Settings!$C$24),N($AJ57))))</f>
        <v/>
      </c>
      <c r="AK58">
        <f>IF(OR(Settings!$A$25="",$E58="pre"),"",IF(AND('Month-End'!$BC$13&lt;&gt;"",NOT(_xlfn.ISFORMULA('Month-End'!$BC$13))),N('Month-End'!$BC$13),IF(OR($E58="open",$E57="pre"),N(Settings!$C$25),N($AK57))))</f>
        <v/>
      </c>
      <c r="AL58">
        <f>IF(OR(Settings!$A$26="",$E58="pre"),"",IF(AND('Month-End'!$BC$14&lt;&gt;"",NOT(_xlfn.ISFORMULA('Month-End'!$BC$14))),N('Month-End'!$BC$14),IF(OR($E58="open",$E57="pre"),N(Settings!$C$26),N($AL57))))</f>
        <v/>
      </c>
      <c r="AM58">
        <f>IF(OR(Settings!$A$27="",$E58="pre"),"",IF(AND('Month-End'!$BC$15&lt;&gt;"",NOT(_xlfn.ISFORMULA('Month-End'!$BC$15))),N('Month-End'!$BC$15),IF(OR($E58="open",$E57="pre"),N(Settings!$C$27),N($AM57))))</f>
        <v/>
      </c>
      <c r="AN58">
        <f>IF(OR(Settings!$A$28="",$E58="pre"),"",IF(AND('Month-End'!$BC$16&lt;&gt;"",NOT(_xlfn.ISFORMULA('Month-End'!$BC$16))),N('Month-End'!$BC$16),IF(OR($E58="open",$E57="pre"),N(Settings!$C$28),N($AN57))))</f>
        <v/>
      </c>
      <c r="AO58">
        <f>IF(OR(Settings!$A$29="",$E58="pre"),"",IF(AND('Month-End'!$BC$17&lt;&gt;"",NOT(_xlfn.ISFORMULA('Month-End'!$BC$17))),N('Month-End'!$BC$17),IF(OR($E58="open",$E57="pre"),N(Settings!$C$29),N($AO57))))</f>
        <v/>
      </c>
      <c r="AP58">
        <f>IF(OR(Settings!$A$30="",$E58="pre"),"",IF(AND('Month-End'!$BC$18&lt;&gt;"",NOT(_xlfn.ISFORMULA('Month-End'!$BC$18))),N('Month-End'!$BC$18),IF(OR($E58="open",$E57="pre"),N(Settings!$C$30),N($AP57))))</f>
        <v/>
      </c>
      <c r="AQ58">
        <f>IF(OR(Settings!$A$31="",$E58="pre"),"",IF(AND('Month-End'!$BC$19&lt;&gt;"",NOT(_xlfn.ISFORMULA('Month-End'!$BC$19))),N('Month-End'!$BC$19),IF(OR($E58="open",$E57="pre"),N(Settings!$C$31),N($AQ57))))</f>
        <v/>
      </c>
      <c r="AR58">
        <f>IF(OR(Settings!$A$32="",$E58="pre"),"",IF(AND('Month-End'!$BC$20&lt;&gt;"",NOT(_xlfn.ISFORMULA('Month-End'!$BC$20))),N('Month-End'!$BC$20),IF(OR($E58="open",$E57="pre"),N(Settings!$C$32),N($AR57))))</f>
        <v/>
      </c>
      <c r="AS58">
        <f>IF(OR(Settings!$A$36="",$E58="pre"),"",IF(AND('Month-End'!$BC$38&lt;&gt;"",NOT(_xlfn.ISFORMULA('Month-End'!$BC$38))),N('Month-End'!$BC$38),IF(OR($E58="open",$E57="pre"),N(Settings!$C$36),N($AS57))+$AY58))</f>
        <v/>
      </c>
      <c r="AT58">
        <f>IF(OR(Settings!$A$37="",$E58="pre"),"",IF(AND('Month-End'!$BC$39&lt;&gt;"",NOT(_xlfn.ISFORMULA('Month-End'!$BC$39))),N('Month-End'!$BC$39),IF(OR($E58="open",$E57="pre"),N(Settings!$C$37),N($AT57))+$AZ58))</f>
        <v/>
      </c>
      <c r="AU58">
        <f>IF(OR(Settings!$A$38="",$E58="pre"),"",IF(AND('Month-End'!$BC$40&lt;&gt;"",NOT(_xlfn.ISFORMULA('Month-End'!$BC$40))),N('Month-End'!$BC$40),IF(OR($E58="open",$E57="pre"),N(Settings!$C$38),N($AU57))+$BA58))</f>
        <v/>
      </c>
      <c r="AV58">
        <f>IF(OR(Settings!$A$39="",$E58="pre"),"",IF(AND('Month-End'!$BC$41&lt;&gt;"",NOT(_xlfn.ISFORMULA('Month-End'!$BC$41))),N('Month-End'!$BC$41),IF(OR($E58="open",$E57="pre"),N(Settings!$C$39),N($AV57))+$BB58))</f>
        <v/>
      </c>
      <c r="AW58">
        <f>IF(OR(Settings!$A$40="",$E58="pre"),"",IF(AND('Month-End'!$BC$42&lt;&gt;"",NOT(_xlfn.ISFORMULA('Month-End'!$BC$42))),N('Month-End'!$BC$42),IF(OR($E58="open",$E57="pre"),N(Settings!$C$40),N($AW57))+$BC58))</f>
        <v/>
      </c>
      <c r="AX58">
        <f>IF(OR(Settings!$A$41="",$E58="pre"),"",IF(AND('Month-End'!$BC$43&lt;&gt;"",NOT(_xlfn.ISFORMULA('Month-End'!$BC$43))),N('Month-End'!$BC$43),IF(OR($E58="open",$E57="pre"),N(Settings!$C$41),N($AX57))+$BD58))</f>
        <v/>
      </c>
      <c r="AY58">
        <f>IF($E58="pre",0,N('Month-End'!$BC$45))</f>
        <v/>
      </c>
      <c r="AZ58">
        <f>IF($E58="pre",0,N('Month-End'!$BC$46))</f>
        <v/>
      </c>
      <c r="BA58">
        <f>IF($E58="pre",0,N('Month-End'!$BC$47))</f>
        <v/>
      </c>
      <c r="BB58">
        <f>IF($E58="pre",0,N('Month-End'!$BC$48))</f>
        <v/>
      </c>
      <c r="BC58">
        <f>IF($E58="pre",0,N('Month-End'!$BC$49))</f>
        <v/>
      </c>
      <c r="BD58">
        <f>IF($E58="pre",0,N('Month-End'!$BC$50))</f>
        <v/>
      </c>
      <c r="BE58">
        <f>IF(OR(Settings!$C$45="",Settings!$D$45=""),0,Settings!$C$45*IF(Settings!$D$45="Weekly",IF(IFERROR(MATCH(Settings!$E$45,$EO$4:$EO$10,0),0)=0,0,IF(MIN($C58,IF(Settings!$G$45="",$C58,Settings!$G$45))&lt;MAX($A58,Settings!$F$45),0,INT((MIN($C58,IF(Settings!$G$45="",$C58,Settings!$G$45))-MAX($A58,Settings!$F$45)-MOD(IFERROR(MATCH(Settings!$E$45,$EO$4:$EO$10,0),0)-WEEKDAY(MAX($A58,Settings!$F$45)),7))/7)+1)),IF(AND(IF(Settings!$E$45="",$B58,DATE(YEAR($A58),MONTH($A58),MIN(Settings!$E$45,DAY($B58))))&gt;=MAX($A58,Settings!$F$45),IF(Settings!$E$45="",$B58,DATE(YEAR($A58),MONTH($A58),MIN(Settings!$E$45,DAY($B58))))&lt;=MIN($C58,IF(Settings!$G$45="",$C58,Settings!$G$45))),1,0)))</f>
        <v/>
      </c>
      <c r="BF58">
        <f>IF(OR(Settings!$C$46="",Settings!$D$46=""),0,Settings!$C$46*IF(Settings!$D$46="Weekly",IF(IFERROR(MATCH(Settings!$E$46,$EO$4:$EO$10,0),0)=0,0,IF(MIN($C58,IF(Settings!$G$46="",$C58,Settings!$G$46))&lt;MAX($A58,Settings!$F$46),0,INT((MIN($C58,IF(Settings!$G$46="",$C58,Settings!$G$46))-MAX($A58,Settings!$F$46)-MOD(IFERROR(MATCH(Settings!$E$46,$EO$4:$EO$10,0),0)-WEEKDAY(MAX($A58,Settings!$F$46)),7))/7)+1)),IF(AND(IF(Settings!$E$46="",$B58,DATE(YEAR($A58),MONTH($A58),MIN(Settings!$E$46,DAY($B58))))&gt;=MAX($A58,Settings!$F$46),IF(Settings!$E$46="",$B58,DATE(YEAR($A58),MONTH($A58),MIN(Settings!$E$46,DAY($B58))))&lt;=MIN($C58,IF(Settings!$G$46="",$C58,Settings!$G$46))),1,0)))</f>
        <v/>
      </c>
      <c r="BG58">
        <f>IF(OR(Settings!$C$47="",Settings!$D$47=""),0,Settings!$C$47*IF(Settings!$D$47="Weekly",IF(IFERROR(MATCH(Settings!$E$47,$EO$4:$EO$10,0),0)=0,0,IF(MIN($C58,IF(Settings!$G$47="",$C58,Settings!$G$47))&lt;MAX($A58,Settings!$F$47),0,INT((MIN($C58,IF(Settings!$G$47="",$C58,Settings!$G$47))-MAX($A58,Settings!$F$47)-MOD(IFERROR(MATCH(Settings!$E$47,$EO$4:$EO$10,0),0)-WEEKDAY(MAX($A58,Settings!$F$47)),7))/7)+1)),IF(AND(IF(Settings!$E$47="",$B58,DATE(YEAR($A58),MONTH($A58),MIN(Settings!$E$47,DAY($B58))))&gt;=MAX($A58,Settings!$F$47),IF(Settings!$E$47="",$B58,DATE(YEAR($A58),MONTH($A58),MIN(Settings!$E$47,DAY($B58))))&lt;=MIN($C58,IF(Settings!$G$47="",$C58,Settings!$G$47))),1,0)))</f>
        <v/>
      </c>
      <c r="BH58">
        <f>IF(OR(Settings!$C$48="",Settings!$D$48=""),0,Settings!$C$48*IF(Settings!$D$48="Weekly",IF(IFERROR(MATCH(Settings!$E$48,$EO$4:$EO$10,0),0)=0,0,IF(MIN($C58,IF(Settings!$G$48="",$C58,Settings!$G$48))&lt;MAX($A58,Settings!$F$48),0,INT((MIN($C58,IF(Settings!$G$48="",$C58,Settings!$G$48))-MAX($A58,Settings!$F$48)-MOD(IFERROR(MATCH(Settings!$E$48,$EO$4:$EO$10,0),0)-WEEKDAY(MAX($A58,Settings!$F$48)),7))/7)+1)),IF(AND(IF(Settings!$E$48="",$B58,DATE(YEAR($A58),MONTH($A58),MIN(Settings!$E$48,DAY($B58))))&gt;=MAX($A58,Settings!$F$48),IF(Settings!$E$48="",$B58,DATE(YEAR($A58),MONTH($A58),MIN(Settings!$E$48,DAY($B58))))&lt;=MIN($C58,IF(Settings!$G$48="",$C58,Settings!$G$48))),1,0)))</f>
        <v/>
      </c>
      <c r="BI58">
        <f>IF(OR(Settings!$C$49="",Settings!$D$49=""),0,Settings!$C$49*IF(Settings!$D$49="Weekly",IF(IFERROR(MATCH(Settings!$E$49,$EO$4:$EO$10,0),0)=0,0,IF(MIN($C58,IF(Settings!$G$49="",$C58,Settings!$G$49))&lt;MAX($A58,Settings!$F$49),0,INT((MIN($C58,IF(Settings!$G$49="",$C58,Settings!$G$49))-MAX($A58,Settings!$F$49)-MOD(IFERROR(MATCH(Settings!$E$49,$EO$4:$EO$10,0),0)-WEEKDAY(MAX($A58,Settings!$F$49)),7))/7)+1)),IF(AND(IF(Settings!$E$49="",$B58,DATE(YEAR($A58),MONTH($A58),MIN(Settings!$E$49,DAY($B58))))&gt;=MAX($A58,Settings!$F$49),IF(Settings!$E$49="",$B58,DATE(YEAR($A58),MONTH($A58),MIN(Settings!$E$49,DAY($B58))))&lt;=MIN($C58,IF(Settings!$G$49="",$C58,Settings!$G$49))),1,0)))</f>
        <v/>
      </c>
      <c r="BJ58">
        <f>IF(OR(Settings!$C$50="",Settings!$D$50=""),0,Settings!$C$50*IF(Settings!$D$50="Weekly",IF(IFERROR(MATCH(Settings!$E$50,$EO$4:$EO$10,0),0)=0,0,IF(MIN($C58,IF(Settings!$G$50="",$C58,Settings!$G$50))&lt;MAX($A58,Settings!$F$50),0,INT((MIN($C58,IF(Settings!$G$50="",$C58,Settings!$G$50))-MAX($A58,Settings!$F$50)-MOD(IFERROR(MATCH(Settings!$E$50,$EO$4:$EO$10,0),0)-WEEKDAY(MAX($A58,Settings!$F$50)),7))/7)+1)),IF(AND(IF(Settings!$E$50="",$B58,DATE(YEAR($A58),MONTH($A58),MIN(Settings!$E$50,DAY($B58))))&gt;=MAX($A58,Settings!$F$50),IF(Settings!$E$50="",$B58,DATE(YEAR($A58),MONTH($A58),MIN(Settings!$E$50,DAY($B58))))&lt;=MIN($C58,IF(Settings!$G$50="",$C58,Settings!$G$50))),1,0)))</f>
        <v/>
      </c>
      <c r="BK58">
        <f>IF(OR(Settings!$C$51="",Settings!$D$51=""),0,Settings!$C$51*IF(Settings!$D$51="Weekly",IF(IFERROR(MATCH(Settings!$E$51,$EO$4:$EO$10,0),0)=0,0,IF(MIN($C58,IF(Settings!$G$51="",$C58,Settings!$G$51))&lt;MAX($A58,Settings!$F$51),0,INT((MIN($C58,IF(Settings!$G$51="",$C58,Settings!$G$51))-MAX($A58,Settings!$F$51)-MOD(IFERROR(MATCH(Settings!$E$51,$EO$4:$EO$10,0),0)-WEEKDAY(MAX($A58,Settings!$F$51)),7))/7)+1)),IF(AND(IF(Settings!$E$51="",$B58,DATE(YEAR($A58),MONTH($A58),MIN(Settings!$E$51,DAY($B58))))&gt;=MAX($A58,Settings!$F$51),IF(Settings!$E$51="",$B58,DATE(YEAR($A58),MONTH($A58),MIN(Settings!$E$51,DAY($B58))))&lt;=MIN($C58,IF(Settings!$G$51="",$C58,Settings!$G$51))),1,0)))</f>
        <v/>
      </c>
      <c r="BL58">
        <f>IF(OR(Settings!$C$52="",Settings!$D$52=""),0,Settings!$C$52*IF(Settings!$D$52="Weekly",IF(IFERROR(MATCH(Settings!$E$52,$EO$4:$EO$10,0),0)=0,0,IF(MIN($C58,IF(Settings!$G$52="",$C58,Settings!$G$52))&lt;MAX($A58,Settings!$F$52),0,INT((MIN($C58,IF(Settings!$G$52="",$C58,Settings!$G$52))-MAX($A58,Settings!$F$52)-MOD(IFERROR(MATCH(Settings!$E$52,$EO$4:$EO$10,0),0)-WEEKDAY(MAX($A58,Settings!$F$52)),7))/7)+1)),IF(AND(IF(Settings!$E$52="",$B58,DATE(YEAR($A58),MONTH($A58),MIN(Settings!$E$52,DAY($B58))))&gt;=MAX($A58,Settings!$F$52),IF(Settings!$E$52="",$B58,DATE(YEAR($A58),MONTH($A58),MIN(Settings!$E$52,DAY($B58))))&lt;=MIN($C58,IF(Settings!$G$52="",$C58,Settings!$G$52))),1,0)))</f>
        <v/>
      </c>
      <c r="BM58">
        <f>IF(OR(Settings!$C$53="",Settings!$D$53=""),0,Settings!$C$53*IF(Settings!$D$53="Weekly",IF(IFERROR(MATCH(Settings!$E$53,$EO$4:$EO$10,0),0)=0,0,IF(MIN($C58,IF(Settings!$G$53="",$C58,Settings!$G$53))&lt;MAX($A58,Settings!$F$53),0,INT((MIN($C58,IF(Settings!$G$53="",$C58,Settings!$G$53))-MAX($A58,Settings!$F$53)-MOD(IFERROR(MATCH(Settings!$E$53,$EO$4:$EO$10,0),0)-WEEKDAY(MAX($A58,Settings!$F$53)),7))/7)+1)),IF(AND(IF(Settings!$E$53="",$B58,DATE(YEAR($A58),MONTH($A58),MIN(Settings!$E$53,DAY($B58))))&gt;=MAX($A58,Settings!$F$53),IF(Settings!$E$53="",$B58,DATE(YEAR($A58),MONTH($A58),MIN(Settings!$E$53,DAY($B58))))&lt;=MIN($C58,IF(Settings!$G$53="",$C58,Settings!$G$53))),1,0)))</f>
        <v/>
      </c>
      <c r="BN58">
        <f>IF(OR(Settings!$C$54="",Settings!$D$54=""),0,Settings!$C$54*IF(Settings!$D$54="Weekly",IF(IFERROR(MATCH(Settings!$E$54,$EO$4:$EO$10,0),0)=0,0,IF(MIN($C58,IF(Settings!$G$54="",$C58,Settings!$G$54))&lt;MAX($A58,Settings!$F$54),0,INT((MIN($C58,IF(Settings!$G$54="",$C58,Settings!$G$54))-MAX($A58,Settings!$F$54)-MOD(IFERROR(MATCH(Settings!$E$54,$EO$4:$EO$10,0),0)-WEEKDAY(MAX($A58,Settings!$F$54)),7))/7)+1)),IF(AND(IF(Settings!$E$54="",$B58,DATE(YEAR($A58),MONTH($A58),MIN(Settings!$E$54,DAY($B58))))&gt;=MAX($A58,Settings!$F$54),IF(Settings!$E$54="",$B58,DATE(YEAR($A58),MONTH($A58),MIN(Settings!$E$54,DAY($B58))))&lt;=MIN($C58,IF(Settings!$G$54="",$C58,Settings!$G$54))),1,0)))</f>
        <v/>
      </c>
      <c r="BO58">
        <f>IF(OR(Settings!$C$55="",Settings!$D$55=""),0,Settings!$C$55*IF(Settings!$D$55="Weekly",IF(IFERROR(MATCH(Settings!$E$55,$EO$4:$EO$10,0),0)=0,0,IF(MIN($C58,IF(Settings!$G$55="",$C58,Settings!$G$55))&lt;MAX($A58,Settings!$F$55),0,INT((MIN($C58,IF(Settings!$G$55="",$C58,Settings!$G$55))-MAX($A58,Settings!$F$55)-MOD(IFERROR(MATCH(Settings!$E$55,$EO$4:$EO$10,0),0)-WEEKDAY(MAX($A58,Settings!$F$55)),7))/7)+1)),IF(AND(IF(Settings!$E$55="",$B58,DATE(YEAR($A58),MONTH($A58),MIN(Settings!$E$55,DAY($B58))))&gt;=MAX($A58,Settings!$F$55),IF(Settings!$E$55="",$B58,DATE(YEAR($A58),MONTH($A58),MIN(Settings!$E$55,DAY($B58))))&lt;=MIN($C58,IF(Settings!$G$55="",$C58,Settings!$G$55))),1,0)))</f>
        <v/>
      </c>
      <c r="BP58">
        <f>IF(OR(Settings!$C$56="",Settings!$D$56=""),0,Settings!$C$56*IF(Settings!$D$56="Weekly",IF(IFERROR(MATCH(Settings!$E$56,$EO$4:$EO$10,0),0)=0,0,IF(MIN($C58,IF(Settings!$G$56="",$C58,Settings!$G$56))&lt;MAX($A58,Settings!$F$56),0,INT((MIN($C58,IF(Settings!$G$56="",$C58,Settings!$G$56))-MAX($A58,Settings!$F$56)-MOD(IFERROR(MATCH(Settings!$E$56,$EO$4:$EO$10,0),0)-WEEKDAY(MAX($A58,Settings!$F$56)),7))/7)+1)),IF(AND(IF(Settings!$E$56="",$B58,DATE(YEAR($A58),MONTH($A58),MIN(Settings!$E$56,DAY($B58))))&gt;=MAX($A58,Settings!$F$56),IF(Settings!$E$56="",$B58,DATE(YEAR($A58),MONTH($A58),MIN(Settings!$E$56,DAY($B58))))&lt;=MIN($C58,IF(Settings!$G$56="",$C58,Settings!$G$56))),1,0)))</f>
        <v/>
      </c>
      <c r="BQ58">
        <f>IF(OR(Settings!$B$14="",$D58=1,$E58="pre",$A58&lt;IF(Settings!$B$15="",0,Settings!$B$15)),0,Settings!$B$14)</f>
        <v/>
      </c>
      <c r="BR58">
        <f>IF(AND('Month-End'!$BC$7&lt;&gt;"",NOT(_xlfn.ISFORMULA('Month-End'!$BC$7))),1,0)</f>
        <v/>
      </c>
      <c r="BS58">
        <f>IF(AND('Month-End'!$BC$8&lt;&gt;"",NOT(_xlfn.ISFORMULA('Month-End'!$BC$8))),1,0)</f>
        <v/>
      </c>
      <c r="BT58">
        <f>IF(AND('Month-End'!$BC$9&lt;&gt;"",NOT(_xlfn.ISFORMULA('Month-End'!$BC$9))),1,0)</f>
        <v/>
      </c>
      <c r="BU58">
        <f>IF(AND('Month-End'!$BC$10&lt;&gt;"",NOT(_xlfn.ISFORMULA('Month-End'!$BC$10))),1,0)</f>
        <v/>
      </c>
      <c r="BV58">
        <f>IF(AND('Month-End'!$BC$11&lt;&gt;"",NOT(_xlfn.ISFORMULA('Month-End'!$BC$11))),1,0)</f>
        <v/>
      </c>
      <c r="BW58">
        <f>IF(AND('Month-End'!$BC$12&lt;&gt;"",NOT(_xlfn.ISFORMULA('Month-End'!$BC$12))),1,0)</f>
        <v/>
      </c>
      <c r="BX58">
        <f>IF(AND('Month-End'!$BC$13&lt;&gt;"",NOT(_xlfn.ISFORMULA('Month-End'!$BC$13))),1,0)</f>
        <v/>
      </c>
      <c r="BY58">
        <f>IF(AND('Month-End'!$BC$14&lt;&gt;"",NOT(_xlfn.ISFORMULA('Month-End'!$BC$14))),1,0)</f>
        <v/>
      </c>
      <c r="BZ58">
        <f>IF(AND('Month-End'!$BC$15&lt;&gt;"",NOT(_xlfn.ISFORMULA('Month-End'!$BC$15))),1,0)</f>
        <v/>
      </c>
      <c r="CA58">
        <f>IF(AND('Month-End'!$BC$16&lt;&gt;"",NOT(_xlfn.ISFORMULA('Month-End'!$BC$16))),1,0)</f>
        <v/>
      </c>
      <c r="CB58">
        <f>IF(AND('Month-End'!$BC$17&lt;&gt;"",NOT(_xlfn.ISFORMULA('Month-End'!$BC$17))),1,0)</f>
        <v/>
      </c>
      <c r="CC58">
        <f>IF(AND('Month-End'!$BC$18&lt;&gt;"",NOT(_xlfn.ISFORMULA('Month-End'!$BC$18))),1,0)</f>
        <v/>
      </c>
      <c r="CD58">
        <f>IF(AND('Month-End'!$BC$19&lt;&gt;"",NOT(_xlfn.ISFORMULA('Month-End'!$BC$19))),1,0)</f>
        <v/>
      </c>
      <c r="CE58">
        <f>IF(AND('Month-End'!$BC$20&lt;&gt;"",NOT(_xlfn.ISFORMULA('Month-End'!$BC$20))),1,0)</f>
        <v/>
      </c>
      <c r="CF58">
        <f>IF(AND('Month-End'!$BC$38&lt;&gt;"",NOT(_xlfn.ISFORMULA('Month-End'!$BC$38))),1,0)</f>
        <v/>
      </c>
      <c r="CG58">
        <f>IF(AND('Month-End'!$BC$39&lt;&gt;"",NOT(_xlfn.ISFORMULA('Month-End'!$BC$39))),1,0)</f>
        <v/>
      </c>
      <c r="CH58">
        <f>IF(AND('Month-End'!$BC$40&lt;&gt;"",NOT(_xlfn.ISFORMULA('Month-End'!$BC$40))),1,0)</f>
        <v/>
      </c>
      <c r="CI58">
        <f>IF(AND('Month-End'!$BC$41&lt;&gt;"",NOT(_xlfn.ISFORMULA('Month-End'!$BC$41))),1,0)</f>
        <v/>
      </c>
      <c r="CJ58">
        <f>IF(AND('Month-End'!$BC$42&lt;&gt;"",NOT(_xlfn.ISFORMULA('Month-End'!$BC$42))),1,0)</f>
        <v/>
      </c>
      <c r="CK58">
        <f>IF(AND('Month-End'!$BC$43&lt;&gt;"",NOT(_xlfn.ISFORMULA('Month-End'!$BC$43))),1,0)</f>
        <v/>
      </c>
      <c r="CL58">
        <f>SUM($CM58:$CZ58)</f>
        <v/>
      </c>
      <c r="CM58">
        <f>IF(AND($E58&lt;&gt;"pre",AND(Settings!$A$19&lt;&gt;"",Settings!$E$19&lt;&gt;"No"),Settings!$F$19="Yes",NOT(AND('Month-End'!$BC$7&lt;&gt;"",NOT(_xlfn.ISFORMULA('Month-End'!$BC$7))))),1,0)</f>
        <v/>
      </c>
      <c r="CN58">
        <f>IF(AND($E58&lt;&gt;"pre",AND(Settings!$A$20&lt;&gt;"",Settings!$E$20&lt;&gt;"No"),Settings!$F$20="Yes",NOT(AND('Month-End'!$BC$8&lt;&gt;"",NOT(_xlfn.ISFORMULA('Month-End'!$BC$8))))),1,0)</f>
        <v/>
      </c>
      <c r="CO58">
        <f>IF(AND($E58&lt;&gt;"pre",AND(Settings!$A$21&lt;&gt;"",Settings!$E$21&lt;&gt;"No"),Settings!$F$21="Yes",NOT(AND('Month-End'!$BC$9&lt;&gt;"",NOT(_xlfn.ISFORMULA('Month-End'!$BC$9))))),1,0)</f>
        <v/>
      </c>
      <c r="CP58">
        <f>IF(AND($E58&lt;&gt;"pre",AND(Settings!$A$22&lt;&gt;"",Settings!$E$22&lt;&gt;"No"),Settings!$F$22="Yes",NOT(AND('Month-End'!$BC$10&lt;&gt;"",NOT(_xlfn.ISFORMULA('Month-End'!$BC$10))))),1,0)</f>
        <v/>
      </c>
      <c r="CQ58">
        <f>IF(AND($E58&lt;&gt;"pre",AND(Settings!$A$23&lt;&gt;"",Settings!$E$23&lt;&gt;"No"),Settings!$F$23="Yes",NOT(AND('Month-End'!$BC$11&lt;&gt;"",NOT(_xlfn.ISFORMULA('Month-End'!$BC$11))))),1,0)</f>
        <v/>
      </c>
      <c r="CR58">
        <f>IF(AND($E58&lt;&gt;"pre",AND(Settings!$A$24&lt;&gt;"",Settings!$E$24&lt;&gt;"No"),Settings!$F$24="Yes",NOT(AND('Month-End'!$BC$12&lt;&gt;"",NOT(_xlfn.ISFORMULA('Month-End'!$BC$12))))),1,0)</f>
        <v/>
      </c>
      <c r="CS58">
        <f>IF(AND($E58&lt;&gt;"pre",AND(Settings!$A$25&lt;&gt;"",Settings!$E$25&lt;&gt;"No"),Settings!$F$25="Yes",NOT(AND('Month-End'!$BC$13&lt;&gt;"",NOT(_xlfn.ISFORMULA('Month-End'!$BC$13))))),1,0)</f>
        <v/>
      </c>
      <c r="CT58">
        <f>IF(AND($E58&lt;&gt;"pre",AND(Settings!$A$26&lt;&gt;"",Settings!$E$26&lt;&gt;"No"),Settings!$F$26="Yes",NOT(AND('Month-End'!$BC$14&lt;&gt;"",NOT(_xlfn.ISFORMULA('Month-End'!$BC$14))))),1,0)</f>
        <v/>
      </c>
      <c r="CU58">
        <f>IF(AND($E58&lt;&gt;"pre",AND(Settings!$A$27&lt;&gt;"",Settings!$E$27&lt;&gt;"No"),Settings!$F$27="Yes",NOT(AND('Month-End'!$BC$15&lt;&gt;"",NOT(_xlfn.ISFORMULA('Month-End'!$BC$15))))),1,0)</f>
        <v/>
      </c>
      <c r="CV58">
        <f>IF(AND($E58&lt;&gt;"pre",AND(Settings!$A$28&lt;&gt;"",Settings!$E$28&lt;&gt;"No"),Settings!$F$28="Yes",NOT(AND('Month-End'!$BC$16&lt;&gt;"",NOT(_xlfn.ISFORMULA('Month-End'!$BC$16))))),1,0)</f>
        <v/>
      </c>
      <c r="CW58">
        <f>IF(AND($E58&lt;&gt;"pre",AND(Settings!$A$29&lt;&gt;"",Settings!$E$29&lt;&gt;"No"),Settings!$F$29="Yes",NOT(AND('Month-End'!$BC$17&lt;&gt;"",NOT(_xlfn.ISFORMULA('Month-End'!$BC$17))))),1,0)</f>
        <v/>
      </c>
      <c r="CX58">
        <f>IF(AND($E58&lt;&gt;"pre",AND(Settings!$A$30&lt;&gt;"",Settings!$E$30&lt;&gt;"No"),Settings!$F$30="Yes",NOT(AND('Month-End'!$BC$18&lt;&gt;"",NOT(_xlfn.ISFORMULA('Month-End'!$BC$18))))),1,0)</f>
        <v/>
      </c>
      <c r="CY58">
        <f>IF(AND($E58&lt;&gt;"pre",AND(Settings!$A$31&lt;&gt;"",Settings!$E$31&lt;&gt;"No"),Settings!$F$31="Yes",NOT(AND('Month-End'!$BC$19&lt;&gt;"",NOT(_xlfn.ISFORMULA('Month-End'!$BC$19))))),1,0)</f>
        <v/>
      </c>
      <c r="CZ58">
        <f>IF(AND($E58&lt;&gt;"pre",AND(Settings!$A$32&lt;&gt;"",Settings!$E$32&lt;&gt;"No"),Settings!$F$32="Yes",NOT(AND('Month-End'!$BC$20&lt;&gt;"",NOT(_xlfn.ISFORMULA('Month-End'!$BC$20))))),1,0)</f>
        <v/>
      </c>
      <c r="DA58">
        <f>IF($DT58=1,IF(OR(Settings!$B$19="Checking",Settings!$B$19="Savings",Settings!$B$19="Cash"),N($AE58),IF(OR(Settings!$B$19="Card",Settings!$B$19="Loan"),-N($AE58),0))+IF(OR(Settings!$B$20="Checking",Settings!$B$20="Savings",Settings!$B$20="Cash"),N($AF58),IF(OR(Settings!$B$20="Card",Settings!$B$20="Loan"),-N($AF58),0))+IF(OR(Settings!$B$21="Checking",Settings!$B$21="Savings",Settings!$B$21="Cash"),N($AG58),IF(OR(Settings!$B$21="Card",Settings!$B$21="Loan"),-N($AG58),0))+IF(OR(Settings!$B$22="Checking",Settings!$B$22="Savings",Settings!$B$22="Cash"),N($AH58),IF(OR(Settings!$B$22="Card",Settings!$B$22="Loan"),-N($AH58),0))+IF(OR(Settings!$B$23="Checking",Settings!$B$23="Savings",Settings!$B$23="Cash"),N($AI58),IF(OR(Settings!$B$23="Card",Settings!$B$23="Loan"),-N($AI58),0))+IF(OR(Settings!$B$24="Checking",Settings!$B$24="Savings",Settings!$B$24="Cash"),N($AJ58),IF(OR(Settings!$B$24="Card",Settings!$B$24="Loan"),-N($AJ58),0))+IF(OR(Settings!$B$25="Checking",Settings!$B$25="Savings",Settings!$B$25="Cash"),N($AK58),IF(OR(Settings!$B$25="Card",Settings!$B$25="Loan"),-N($AK58),0))+IF(OR(Settings!$B$26="Checking",Settings!$B$26="Savings",Settings!$B$26="Cash"),N($AL58),IF(OR(Settings!$B$26="Card",Settings!$B$26="Loan"),-N($AL58),0))+IF(OR(Settings!$B$27="Checking",Settings!$B$27="Savings",Settings!$B$27="Cash"),N($AM58),IF(OR(Settings!$B$27="Card",Settings!$B$27="Loan"),-N($AM58),0))+IF(OR(Settings!$B$28="Checking",Settings!$B$28="Savings",Settings!$B$28="Cash"),N($AN58),IF(OR(Settings!$B$28="Card",Settings!$B$28="Loan"),-N($AN58),0))+IF(OR(Settings!$B$29="Checking",Settings!$B$29="Savings",Settings!$B$29="Cash"),N($AO58),IF(OR(Settings!$B$29="Card",Settings!$B$29="Loan"),-N($AO58),0))+IF(OR(Settings!$B$30="Checking",Settings!$B$30="Savings",Settings!$B$30="Cash"),N($AP58),IF(OR(Settings!$B$30="Card",Settings!$B$30="Loan"),-N($AP58),0))+IF(OR(Settings!$B$31="Checking",Settings!$B$31="Savings",Settings!$B$31="Cash"),N($AQ58),IF(OR(Settings!$B$31="Card",Settings!$B$31="Loan"),-N($AQ58),0))+IF(OR(Settings!$B$32="Checking",Settings!$B$32="Savings",Settings!$B$32="Cash"),N($AR58),IF(OR(Settings!$B$32="Card",Settings!$B$32="Loan"),-N($AR58),0)),"")</f>
        <v/>
      </c>
      <c r="DB58">
        <f>IF($E58="open",$EB$27,IF($E58="post",IF($E57="pre",$EB$27,$DA57),""))</f>
        <v/>
      </c>
      <c r="DC58">
        <f>IF($E58="open",1,IF($E58="post",IF($E57="pre",1,$DT57),0))</f>
        <v/>
      </c>
      <c r="DD58">
        <f>IF(AND($DT58=1,$DC58=1),ROUND($W58-($DA58-$DB58)-$AD58-$AB58,2),"")</f>
        <v/>
      </c>
      <c r="DE58">
        <f>IF('Month-End'!$BC$35="",$BQ58,N('Month-End'!$BC$35))</f>
        <v/>
      </c>
      <c r="DF58">
        <f>N('Month-End'!$BC$36)</f>
        <v/>
      </c>
      <c r="DG58">
        <f>IF($DD58="","",$DD58+$DE58)</f>
        <v/>
      </c>
      <c r="DH58">
        <f>IF($DG58="","",$DG58-$DF58)</f>
        <v/>
      </c>
      <c r="DI58">
        <f>IF(OR($E58="pre",$D58=1),"",N($AS58)+N($AT58)+N($AU58)+N($AV58)+N($AW58)+N($AX58))</f>
        <v/>
      </c>
      <c r="DJ58">
        <f>IF($DT58=1,$DA58+N($DI58),"")</f>
        <v/>
      </c>
      <c r="DK58">
        <f>IF($DD58="","",$W58-$DD58-$AB58)</f>
        <v/>
      </c>
      <c r="DL58">
        <f>IF(AND($E58="post",$DD58&lt;&gt;"",$B58&lt;TODAY()),1,0)</f>
        <v/>
      </c>
      <c r="DM58">
        <f>IF($DL58=1,COUNTIF($DL58:$DL$183,1),0)</f>
        <v/>
      </c>
      <c r="DN58">
        <f>IF($D58=1,"",IF($E58="pre","History only",IF($DT58=1,IF($DD58="","⚠ Previous month missing",IF($DD58&lt;0,"⚠ Check: spending &lt; 0",IF($E58="open","✓ Done (partial)","✓ Done"))),IF($B58&gt;=TODAY(),"In progress","⚠ Needs balances"))))</f>
        <v/>
      </c>
      <c r="DO58">
        <f>YEAR($A58)</f>
        <v/>
      </c>
      <c r="DP58">
        <f>DATE(YEAR($A58),INT((MONTH($A58)-1)/3)*3+1,1)</f>
        <v/>
      </c>
      <c r="DQ58">
        <f>IF(AND($DT58=1,$DD58&lt;&gt;"",$D58=0),ROW(),0)</f>
        <v/>
      </c>
      <c r="DR58">
        <f>IF(AND($E58&lt;&gt;"pre",$B58&lt;TODAY(),$DT58=0),1,0)</f>
        <v/>
      </c>
      <c r="DS58">
        <f>IF($DJ58="",NA(),$DJ58)</f>
        <v/>
      </c>
      <c r="DT58">
        <f>IF(AND($E58&lt;&gt;"pre",$CL58=0,COUNTIFS(Settings!$F$19:$F$32,"Yes",Settings!$A$19:$A$32,"&lt;&gt;",Settings!$E$19:$E$32,"&lt;&gt;No")&gt;0),1,0)</f>
        <v/>
      </c>
      <c r="DU58">
        <f>IF(AND($B58&lt;TODAY(),$S58&gt;0),1,0)</f>
        <v/>
      </c>
      <c r="DV58">
        <f>IF($DU58=1,COUNTIF($DU58:$DU$183,1),0)</f>
        <v/>
      </c>
      <c r="DW58">
        <f>IF(AND(OR(Settings!$B$19="Card",Settings!$B$19="Loan"),AND('Month-End'!$BC$7&lt;&gt;"",NOT(_xlfn.ISFORMULA('Month-End'!$BC$7)))),IF(N('Month-End'!$BC$7)&lt;0,1,0),0)+IF(AND(OR(Settings!$B$20="Card",Settings!$B$20="Loan"),AND('Month-End'!$BC$8&lt;&gt;"",NOT(_xlfn.ISFORMULA('Month-End'!$BC$8)))),IF(N('Month-End'!$BC$8)&lt;0,1,0),0)+IF(AND(OR(Settings!$B$21="Card",Settings!$B$21="Loan"),AND('Month-End'!$BC$9&lt;&gt;"",NOT(_xlfn.ISFORMULA('Month-End'!$BC$9)))),IF(N('Month-End'!$BC$9)&lt;0,1,0),0)+IF(AND(OR(Settings!$B$22="Card",Settings!$B$22="Loan"),AND('Month-End'!$BC$10&lt;&gt;"",NOT(_xlfn.ISFORMULA('Month-End'!$BC$10)))),IF(N('Month-End'!$BC$10)&lt;0,1,0),0)+IF(AND(OR(Settings!$B$23="Card",Settings!$B$23="Loan"),AND('Month-End'!$BC$11&lt;&gt;"",NOT(_xlfn.ISFORMULA('Month-End'!$BC$11)))),IF(N('Month-End'!$BC$11)&lt;0,1,0),0)+IF(AND(OR(Settings!$B$24="Card",Settings!$B$24="Loan"),AND('Month-End'!$BC$12&lt;&gt;"",NOT(_xlfn.ISFORMULA('Month-End'!$BC$12)))),IF(N('Month-End'!$BC$12)&lt;0,1,0),0)+IF(AND(OR(Settings!$B$25="Card",Settings!$B$25="Loan"),AND('Month-End'!$BC$13&lt;&gt;"",NOT(_xlfn.ISFORMULA('Month-End'!$BC$13)))),IF(N('Month-End'!$BC$13)&lt;0,1,0),0)+IF(AND(OR(Settings!$B$26="Card",Settings!$B$26="Loan"),AND('Month-End'!$BC$14&lt;&gt;"",NOT(_xlfn.ISFORMULA('Month-End'!$BC$14)))),IF(N('Month-End'!$BC$14)&lt;0,1,0),0)+IF(AND(OR(Settings!$B$27="Card",Settings!$B$27="Loan"),AND('Month-End'!$BC$15&lt;&gt;"",NOT(_xlfn.ISFORMULA('Month-End'!$BC$15)))),IF(N('Month-End'!$BC$15)&lt;0,1,0),0)+IF(AND(OR(Settings!$B$28="Card",Settings!$B$28="Loan"),AND('Month-End'!$BC$16&lt;&gt;"",NOT(_xlfn.ISFORMULA('Month-End'!$BC$16)))),IF(N('Month-End'!$BC$16)&lt;0,1,0),0)+IF(AND(OR(Settings!$B$29="Card",Settings!$B$29="Loan"),AND('Month-End'!$BC$17&lt;&gt;"",NOT(_xlfn.ISFORMULA('Month-End'!$BC$17)))),IF(N('Month-End'!$BC$17)&lt;0,1,0),0)+IF(AND(OR(Settings!$B$30="Card",Settings!$B$30="Loan"),AND('Month-End'!$BC$18&lt;&gt;"",NOT(_xlfn.ISFORMULA('Month-End'!$BC$18)))),IF(N('Month-End'!$BC$18)&lt;0,1,0),0)+IF(AND(OR(Settings!$B$31="Card",Settings!$B$31="Loan"),AND('Month-End'!$BC$19&lt;&gt;"",NOT(_xlfn.ISFORMULA('Month-End'!$BC$19)))),IF(N('Month-End'!$BC$19)&lt;0,1,0),0)+IF(AND(OR(Settings!$B$32="Card",Settings!$B$32="Loan"),AND('Month-End'!$BC$20&lt;&gt;"",NOT(_xlfn.ISFORMULA('Month-End'!$BC$20)))),IF(N('Month-End'!$BC$20)&lt;0,1,0),0)</f>
        <v/>
      </c>
      <c r="DX58">
        <f>IF(Settings!$B$36="Retirement",$AY58,0)+IF(Settings!$B$37="Retirement",$AZ58,0)+IF(Settings!$B$38="Retirement",$BA58,0)+IF(Settings!$B$39="Retirement",$BB58,0)+IF(Settings!$B$40="Retirement",$BC58,0)+IF(Settings!$B$41="Retirement",$BD58,0)</f>
        <v/>
      </c>
      <c r="EA58">
        <f>IF(Settings!$A$40="","",Settings!$A$40)</f>
        <v/>
      </c>
      <c r="EB58">
        <f>IF(Settings!$A$40="","",IF($EB$5=0,N(Settings!$C$40),N(INDEX($AW:$AW,$EB$5))))</f>
        <v/>
      </c>
      <c r="EC58">
        <f>IF(Settings!$A$40="","",N(Settings!$D$40)+SUMIFS($BC$6:$BC$183,$D$6:$D$183,0))</f>
        <v/>
      </c>
      <c r="ED58">
        <f>IF(AND(AND(Settings!$A$40&lt;&gt;"",Settings!$G$40&lt;&gt;"No"),TRUE,Settings!$B$5&lt;EDATE(TODAY(),-6),COUNTIFS($CJ$6:$CJ$183,1,$A$6:$A$183,"&gt;="&amp;EDATE(TODAY(),-6))=0),1,0)</f>
        <v/>
      </c>
      <c r="EI58">
        <f>IF(AND(Settings!$A$40&lt;&gt;"",Settings!$G$40&lt;&gt;"No"),COUNTIFS($EK$40:$EK58,1),"")</f>
        <v/>
      </c>
      <c r="EJ58">
        <f>IF(Settings!$A$40="","",Settings!$B$40)</f>
        <v/>
      </c>
      <c r="EK58">
        <f>IF(AND(Settings!$A$40&lt;&gt;"",Settings!$G$40&lt;&gt;"No"),1,0)</f>
        <v/>
      </c>
      <c r="EL58">
        <f>IF(Settings!$A$40="","",IF(OR(Settings!$B$40="Card",Settings!$B$40="Loan"),-N(EB58),N(EB58)))</f>
        <v/>
      </c>
      <c r="EM58">
        <f>IF(Settings!$A$40="","",IF(Settings!$F$40="Yes","estimate",""))</f>
        <v/>
      </c>
      <c r="ET58">
        <f>IF($E58&lt;&gt;"open",0,IF(AND('Month-End'!$BC$22&lt;&gt;"",NOT(_xlfn.ISFORMULA('Month-End'!$BC$22))),0,IF(OR(Settings!$C$45="",Settings!$D$45=""),0,Settings!$C$45*IF(Settings!$D$45="Weekly",IF(IFERROR(MATCH(Settings!$E$45,$EO$4:$EO$10,0),0)=0,0,IF(MIN(Settings!$B$5,IF(Settings!$G$45="",Settings!$B$5,Settings!$G$45))&lt;MAX($A58,Settings!$F$45),0,INT((MIN(Settings!$B$5,IF(Settings!$G$45="",Settings!$B$5,Settings!$G$45))-MAX($A58,Settings!$F$45)-MOD(IFERROR(MATCH(Settings!$E$45,$EO$4:$EO$10,0),0)-WEEKDAY(MAX($A58,Settings!$F$45)),7))/7)+1)),IF(AND(IF(Settings!$E$45="",$B58,DATE(YEAR($A58),MONTH($A58),MIN(Settings!$E$45,DAY($B58))))&gt;=MAX($A58,Settings!$F$45),IF(Settings!$E$45="",$B58,DATE(YEAR($A58),MONTH($A58),MIN(Settings!$E$45,DAY($B58))))&lt;=MIN(Settings!$B$5,IF(Settings!$G$45="",Settings!$B$5,Settings!$G$45))),1,0)))))</f>
        <v/>
      </c>
      <c r="EU58">
        <f>IF($E58&lt;&gt;"open",0,IF(AND('Month-End'!$BC$23&lt;&gt;"",NOT(_xlfn.ISFORMULA('Month-End'!$BC$23))),0,IF(OR(Settings!$C$46="",Settings!$D$46=""),0,Settings!$C$46*IF(Settings!$D$46="Weekly",IF(IFERROR(MATCH(Settings!$E$46,$EO$4:$EO$10,0),0)=0,0,IF(MIN(Settings!$B$5,IF(Settings!$G$46="",Settings!$B$5,Settings!$G$46))&lt;MAX($A58,Settings!$F$46),0,INT((MIN(Settings!$B$5,IF(Settings!$G$46="",Settings!$B$5,Settings!$G$46))-MAX($A58,Settings!$F$46)-MOD(IFERROR(MATCH(Settings!$E$46,$EO$4:$EO$10,0),0)-WEEKDAY(MAX($A58,Settings!$F$46)),7))/7)+1)),IF(AND(IF(Settings!$E$46="",$B58,DATE(YEAR($A58),MONTH($A58),MIN(Settings!$E$46,DAY($B58))))&gt;=MAX($A58,Settings!$F$46),IF(Settings!$E$46="",$B58,DATE(YEAR($A58),MONTH($A58),MIN(Settings!$E$46,DAY($B58))))&lt;=MIN(Settings!$B$5,IF(Settings!$G$46="",Settings!$B$5,Settings!$G$46))),1,0)))))</f>
        <v/>
      </c>
      <c r="EV58">
        <f>IF($E58&lt;&gt;"open",0,IF(AND('Month-End'!$BC$24&lt;&gt;"",NOT(_xlfn.ISFORMULA('Month-End'!$BC$24))),0,IF(OR(Settings!$C$47="",Settings!$D$47=""),0,Settings!$C$47*IF(Settings!$D$47="Weekly",IF(IFERROR(MATCH(Settings!$E$47,$EO$4:$EO$10,0),0)=0,0,IF(MIN(Settings!$B$5,IF(Settings!$G$47="",Settings!$B$5,Settings!$G$47))&lt;MAX($A58,Settings!$F$47),0,INT((MIN(Settings!$B$5,IF(Settings!$G$47="",Settings!$B$5,Settings!$G$47))-MAX($A58,Settings!$F$47)-MOD(IFERROR(MATCH(Settings!$E$47,$EO$4:$EO$10,0),0)-WEEKDAY(MAX($A58,Settings!$F$47)),7))/7)+1)),IF(AND(IF(Settings!$E$47="",$B58,DATE(YEAR($A58),MONTH($A58),MIN(Settings!$E$47,DAY($B58))))&gt;=MAX($A58,Settings!$F$47),IF(Settings!$E$47="",$B58,DATE(YEAR($A58),MONTH($A58),MIN(Settings!$E$47,DAY($B58))))&lt;=MIN(Settings!$B$5,IF(Settings!$G$47="",Settings!$B$5,Settings!$G$47))),1,0)))))</f>
        <v/>
      </c>
      <c r="EW58">
        <f>IF($E58&lt;&gt;"open",0,IF(AND('Month-End'!$BC$25&lt;&gt;"",NOT(_xlfn.ISFORMULA('Month-End'!$BC$25))),0,IF(OR(Settings!$C$48="",Settings!$D$48=""),0,Settings!$C$48*IF(Settings!$D$48="Weekly",IF(IFERROR(MATCH(Settings!$E$48,$EO$4:$EO$10,0),0)=0,0,IF(MIN(Settings!$B$5,IF(Settings!$G$48="",Settings!$B$5,Settings!$G$48))&lt;MAX($A58,Settings!$F$48),0,INT((MIN(Settings!$B$5,IF(Settings!$G$48="",Settings!$B$5,Settings!$G$48))-MAX($A58,Settings!$F$48)-MOD(IFERROR(MATCH(Settings!$E$48,$EO$4:$EO$10,0),0)-WEEKDAY(MAX($A58,Settings!$F$48)),7))/7)+1)),IF(AND(IF(Settings!$E$48="",$B58,DATE(YEAR($A58),MONTH($A58),MIN(Settings!$E$48,DAY($B58))))&gt;=MAX($A58,Settings!$F$48),IF(Settings!$E$48="",$B58,DATE(YEAR($A58),MONTH($A58),MIN(Settings!$E$48,DAY($B58))))&lt;=MIN(Settings!$B$5,IF(Settings!$G$48="",Settings!$B$5,Settings!$G$48))),1,0)))))</f>
        <v/>
      </c>
      <c r="EX58">
        <f>IF($E58&lt;&gt;"open",0,IF(AND('Month-End'!$BC$26&lt;&gt;"",NOT(_xlfn.ISFORMULA('Month-End'!$BC$26))),0,IF(OR(Settings!$C$49="",Settings!$D$49=""),0,Settings!$C$49*IF(Settings!$D$49="Weekly",IF(IFERROR(MATCH(Settings!$E$49,$EO$4:$EO$10,0),0)=0,0,IF(MIN(Settings!$B$5,IF(Settings!$G$49="",Settings!$B$5,Settings!$G$49))&lt;MAX($A58,Settings!$F$49),0,INT((MIN(Settings!$B$5,IF(Settings!$G$49="",Settings!$B$5,Settings!$G$49))-MAX($A58,Settings!$F$49)-MOD(IFERROR(MATCH(Settings!$E$49,$EO$4:$EO$10,0),0)-WEEKDAY(MAX($A58,Settings!$F$49)),7))/7)+1)),IF(AND(IF(Settings!$E$49="",$B58,DATE(YEAR($A58),MONTH($A58),MIN(Settings!$E$49,DAY($B58))))&gt;=MAX($A58,Settings!$F$49),IF(Settings!$E$49="",$B58,DATE(YEAR($A58),MONTH($A58),MIN(Settings!$E$49,DAY($B58))))&lt;=MIN(Settings!$B$5,IF(Settings!$G$49="",Settings!$B$5,Settings!$G$49))),1,0)))))</f>
        <v/>
      </c>
      <c r="EY58">
        <f>IF($E58&lt;&gt;"open",0,IF(AND('Month-End'!$BC$27&lt;&gt;"",NOT(_xlfn.ISFORMULA('Month-End'!$BC$27))),0,IF(OR(Settings!$C$50="",Settings!$D$50=""),0,Settings!$C$50*IF(Settings!$D$50="Weekly",IF(IFERROR(MATCH(Settings!$E$50,$EO$4:$EO$10,0),0)=0,0,IF(MIN(Settings!$B$5,IF(Settings!$G$50="",Settings!$B$5,Settings!$G$50))&lt;MAX($A58,Settings!$F$50),0,INT((MIN(Settings!$B$5,IF(Settings!$G$50="",Settings!$B$5,Settings!$G$50))-MAX($A58,Settings!$F$50)-MOD(IFERROR(MATCH(Settings!$E$50,$EO$4:$EO$10,0),0)-WEEKDAY(MAX($A58,Settings!$F$50)),7))/7)+1)),IF(AND(IF(Settings!$E$50="",$B58,DATE(YEAR($A58),MONTH($A58),MIN(Settings!$E$50,DAY($B58))))&gt;=MAX($A58,Settings!$F$50),IF(Settings!$E$50="",$B58,DATE(YEAR($A58),MONTH($A58),MIN(Settings!$E$50,DAY($B58))))&lt;=MIN(Settings!$B$5,IF(Settings!$G$50="",Settings!$B$5,Settings!$G$50))),1,0)))))</f>
        <v/>
      </c>
      <c r="EZ58">
        <f>IF($E58&lt;&gt;"open",0,IF(AND('Month-End'!$BC$28&lt;&gt;"",NOT(_xlfn.ISFORMULA('Month-End'!$BC$28))),0,IF(OR(Settings!$C$51="",Settings!$D$51=""),0,Settings!$C$51*IF(Settings!$D$51="Weekly",IF(IFERROR(MATCH(Settings!$E$51,$EO$4:$EO$10,0),0)=0,0,IF(MIN(Settings!$B$5,IF(Settings!$G$51="",Settings!$B$5,Settings!$G$51))&lt;MAX($A58,Settings!$F$51),0,INT((MIN(Settings!$B$5,IF(Settings!$G$51="",Settings!$B$5,Settings!$G$51))-MAX($A58,Settings!$F$51)-MOD(IFERROR(MATCH(Settings!$E$51,$EO$4:$EO$10,0),0)-WEEKDAY(MAX($A58,Settings!$F$51)),7))/7)+1)),IF(AND(IF(Settings!$E$51="",$B58,DATE(YEAR($A58),MONTH($A58),MIN(Settings!$E$51,DAY($B58))))&gt;=MAX($A58,Settings!$F$51),IF(Settings!$E$51="",$B58,DATE(YEAR($A58),MONTH($A58),MIN(Settings!$E$51,DAY($B58))))&lt;=MIN(Settings!$B$5,IF(Settings!$G$51="",Settings!$B$5,Settings!$G$51))),1,0)))))</f>
        <v/>
      </c>
      <c r="FA58">
        <f>IF($E58&lt;&gt;"open",0,IF(AND('Month-End'!$BC$29&lt;&gt;"",NOT(_xlfn.ISFORMULA('Month-End'!$BC$29))),0,IF(OR(Settings!$C$52="",Settings!$D$52=""),0,Settings!$C$52*IF(Settings!$D$52="Weekly",IF(IFERROR(MATCH(Settings!$E$52,$EO$4:$EO$10,0),0)=0,0,IF(MIN(Settings!$B$5,IF(Settings!$G$52="",Settings!$B$5,Settings!$G$52))&lt;MAX($A58,Settings!$F$52),0,INT((MIN(Settings!$B$5,IF(Settings!$G$52="",Settings!$B$5,Settings!$G$52))-MAX($A58,Settings!$F$52)-MOD(IFERROR(MATCH(Settings!$E$52,$EO$4:$EO$10,0),0)-WEEKDAY(MAX($A58,Settings!$F$52)),7))/7)+1)),IF(AND(IF(Settings!$E$52="",$B58,DATE(YEAR($A58),MONTH($A58),MIN(Settings!$E$52,DAY($B58))))&gt;=MAX($A58,Settings!$F$52),IF(Settings!$E$52="",$B58,DATE(YEAR($A58),MONTH($A58),MIN(Settings!$E$52,DAY($B58))))&lt;=MIN(Settings!$B$5,IF(Settings!$G$52="",Settings!$B$5,Settings!$G$52))),1,0)))))</f>
        <v/>
      </c>
      <c r="FB58">
        <f>IF($E58&lt;&gt;"open",0,IF(AND('Month-End'!$BC$30&lt;&gt;"",NOT(_xlfn.ISFORMULA('Month-End'!$BC$30))),0,IF(OR(Settings!$C$53="",Settings!$D$53=""),0,Settings!$C$53*IF(Settings!$D$53="Weekly",IF(IFERROR(MATCH(Settings!$E$53,$EO$4:$EO$10,0),0)=0,0,IF(MIN(Settings!$B$5,IF(Settings!$G$53="",Settings!$B$5,Settings!$G$53))&lt;MAX($A58,Settings!$F$53),0,INT((MIN(Settings!$B$5,IF(Settings!$G$53="",Settings!$B$5,Settings!$G$53))-MAX($A58,Settings!$F$53)-MOD(IFERROR(MATCH(Settings!$E$53,$EO$4:$EO$10,0),0)-WEEKDAY(MAX($A58,Settings!$F$53)),7))/7)+1)),IF(AND(IF(Settings!$E$53="",$B58,DATE(YEAR($A58),MONTH($A58),MIN(Settings!$E$53,DAY($B58))))&gt;=MAX($A58,Settings!$F$53),IF(Settings!$E$53="",$B58,DATE(YEAR($A58),MONTH($A58),MIN(Settings!$E$53,DAY($B58))))&lt;=MIN(Settings!$B$5,IF(Settings!$G$53="",Settings!$B$5,Settings!$G$53))),1,0)))))</f>
        <v/>
      </c>
      <c r="FC58">
        <f>IF($E58&lt;&gt;"open",0,IF(AND('Month-End'!$BC$31&lt;&gt;"",NOT(_xlfn.ISFORMULA('Month-End'!$BC$31))),0,IF(OR(Settings!$C$54="",Settings!$D$54=""),0,Settings!$C$54*IF(Settings!$D$54="Weekly",IF(IFERROR(MATCH(Settings!$E$54,$EO$4:$EO$10,0),0)=0,0,IF(MIN(Settings!$B$5,IF(Settings!$G$54="",Settings!$B$5,Settings!$G$54))&lt;MAX($A58,Settings!$F$54),0,INT((MIN(Settings!$B$5,IF(Settings!$G$54="",Settings!$B$5,Settings!$G$54))-MAX($A58,Settings!$F$54)-MOD(IFERROR(MATCH(Settings!$E$54,$EO$4:$EO$10,0),0)-WEEKDAY(MAX($A58,Settings!$F$54)),7))/7)+1)),IF(AND(IF(Settings!$E$54="",$B58,DATE(YEAR($A58),MONTH($A58),MIN(Settings!$E$54,DAY($B58))))&gt;=MAX($A58,Settings!$F$54),IF(Settings!$E$54="",$B58,DATE(YEAR($A58),MONTH($A58),MIN(Settings!$E$54,DAY($B58))))&lt;=MIN(Settings!$B$5,IF(Settings!$G$54="",Settings!$B$5,Settings!$G$54))),1,0)))))</f>
        <v/>
      </c>
      <c r="FD58">
        <f>IF($E58&lt;&gt;"open",0,IF(AND('Month-End'!$BC$32&lt;&gt;"",NOT(_xlfn.ISFORMULA('Month-End'!$BC$32))),0,IF(OR(Settings!$C$55="",Settings!$D$55=""),0,Settings!$C$55*IF(Settings!$D$55="Weekly",IF(IFERROR(MATCH(Settings!$E$55,$EO$4:$EO$10,0),0)=0,0,IF(MIN(Settings!$B$5,IF(Settings!$G$55="",Settings!$B$5,Settings!$G$55))&lt;MAX($A58,Settings!$F$55),0,INT((MIN(Settings!$B$5,IF(Settings!$G$55="",Settings!$B$5,Settings!$G$55))-MAX($A58,Settings!$F$55)-MOD(IFERROR(MATCH(Settings!$E$55,$EO$4:$EO$10,0),0)-WEEKDAY(MAX($A58,Settings!$F$55)),7))/7)+1)),IF(AND(IF(Settings!$E$55="",$B58,DATE(YEAR($A58),MONTH($A58),MIN(Settings!$E$55,DAY($B58))))&gt;=MAX($A58,Settings!$F$55),IF(Settings!$E$55="",$B58,DATE(YEAR($A58),MONTH($A58),MIN(Settings!$E$55,DAY($B58))))&lt;=MIN(Settings!$B$5,IF(Settings!$G$55="",Settings!$B$5,Settings!$G$55))),1,0)))))</f>
        <v/>
      </c>
      <c r="FE58">
        <f>IF($E58&lt;&gt;"open",0,IF(AND('Month-End'!$BC$33&lt;&gt;"",NOT(_xlfn.ISFORMULA('Month-End'!$BC$33))),0,IF(OR(Settings!$C$56="",Settings!$D$56=""),0,Settings!$C$56*IF(Settings!$D$56="Weekly",IF(IFERROR(MATCH(Settings!$E$56,$EO$4:$EO$10,0),0)=0,0,IF(MIN(Settings!$B$5,IF(Settings!$G$56="",Settings!$B$5,Settings!$G$56))&lt;MAX($A58,Settings!$F$56),0,INT((MIN(Settings!$B$5,IF(Settings!$G$56="",Settings!$B$5,Settings!$G$56))-MAX($A58,Settings!$F$56)-MOD(IFERROR(MATCH(Settings!$E$56,$EO$4:$EO$10,0),0)-WEEKDAY(MAX($A58,Settings!$F$56)),7))/7)+1)),IF(AND(IF(Settings!$E$56="",$B58,DATE(YEAR($A58),MONTH($A58),MIN(Settings!$E$56,DAY($B58))))&gt;=MAX($A58,Settings!$F$56),IF(Settings!$E$56="",$B58,DATE(YEAR($A58),MONTH($A58),MIN(Settings!$E$56,DAY($B58))))&lt;=MIN(Settings!$B$5,IF(Settings!$G$56="",Settings!$B$5,Settings!$G$56))),1,0)))))</f>
        <v/>
      </c>
      <c r="FF58">
        <f>IF(Settings!$I$45="Yes",$G58,0)+IF(Settings!$I$46="Yes",$H58,0)+IF(Settings!$I$47="Yes",$I58,0)+IF(Settings!$I$48="Yes",$J58,0)+IF(Settings!$I$49="Yes",$K58,0)+IF(Settings!$I$50="Yes",$L58,0)+IF(Settings!$I$51="Yes",$M58,0)+IF(Settings!$I$52="Yes",$N58,0)+IF(Settings!$I$53="Yes",$O58,0)+IF(Settings!$I$54="Yes",$P58,0)+IF(Settings!$I$55="Yes",$Q58,0)+IF(Settings!$I$56="Yes",$R58,0)</f>
        <v/>
      </c>
      <c r="FG58">
        <f>IF(AND(Settings!$I$45="Yes",Settings!$J$45="No"),$G58,0)+IF(AND(Settings!$I$46="Yes",Settings!$J$46="No"),$H58,0)+IF(AND(Settings!$I$47="Yes",Settings!$J$47="No"),$I58,0)+IF(AND(Settings!$I$48="Yes",Settings!$J$48="No"),$J58,0)+IF(AND(Settings!$I$49="Yes",Settings!$J$49="No"),$K58,0)+IF(AND(Settings!$I$50="Yes",Settings!$J$50="No"),$L58,0)+IF(AND(Settings!$I$51="Yes",Settings!$J$51="No"),$M58,0)+IF(AND(Settings!$I$52="Yes",Settings!$J$52="No"),$N58,0)+IF(AND(Settings!$I$53="Yes",Settings!$J$53="No"),$O58,0)+IF(AND(Settings!$I$54="Yes",Settings!$J$54="No"),$P58,0)+IF(AND(Settings!$I$55="Yes",Settings!$J$55="No"),$Q58,0)+IF(AND(Settings!$I$56="Yes",Settings!$J$56="No"),$R58,0)</f>
        <v/>
      </c>
      <c r="FH58">
        <f>SUMIFS(Giving!$B$7:$B$2006,Giving!$A$7:$A$2006,"&gt;="&amp;$A58,Giving!$A$7:$A$2006,"&lt;="&amp;$B58,Giving!$G$7:$G$2006,"Yes")+IF(OR(OR(Settings!$B$60="",Settings!$F$60="No"),Settings!$H$60&lt;&gt;"Yes"),0,Settings!$B$60*IF(AND(IF(Settings!$C$60="",$B58,DATE(YEAR($A58),MONTH($A58),MIN(Settings!$C$60,DAY($B58))))&gt;=MAX($A58,Settings!$D$60),IF(Settings!$C$60="",$B58,DATE(YEAR($A58),MONTH($A58),MIN(Settings!$C$60,DAY($B58))))&lt;=MIN($C58,IF(Settings!$E$60="",$C58,Settings!$E$60))),1,0))+IF(OR(OR(Settings!$B$61="",Settings!$F$61="No"),Settings!$H$61&lt;&gt;"Yes"),0,Settings!$B$61*IF(AND(IF(Settings!$C$61="",$B58,DATE(YEAR($A58),MONTH($A58),MIN(Settings!$C$61,DAY($B58))))&gt;=MAX($A58,Settings!$D$61),IF(Settings!$C$61="",$B58,DATE(YEAR($A58),MONTH($A58),MIN(Settings!$C$61,DAY($B58))))&lt;=MIN($C58,IF(Settings!$E$61="",$C58,Settings!$E$61))),1,0))+IF(OR(OR(Settings!$B$62="",Settings!$F$62="No"),Settings!$H$62&lt;&gt;"Yes"),0,Settings!$B$62*IF(AND(IF(Settings!$C$62="",$B58,DATE(YEAR($A58),MONTH($A58),MIN(Settings!$C$62,DAY($B58))))&gt;=MAX($A58,Settings!$D$62),IF(Settings!$C$62="",$B58,DATE(YEAR($A58),MONTH($A58),MIN(Settings!$C$62,DAY($B58))))&lt;=MIN($C58,IF(Settings!$E$62="",$C58,Settings!$E$62))),1,0))+IF(OR(OR(Settings!$B$63="",Settings!$F$63="No"),Settings!$H$63&lt;&gt;"Yes"),0,Settings!$B$63*IF(AND(IF(Settings!$C$63="",$B58,DATE(YEAR($A58),MONTH($A58),MIN(Settings!$C$63,DAY($B58))))&gt;=MAX($A58,Settings!$D$63),IF(Settings!$C$63="",$B58,DATE(YEAR($A58),MONTH($A58),MIN(Settings!$C$63,DAY($B58))))&lt;=MIN($C58,IF(Settings!$E$63="",$C58,Settings!$E$63))),1,0))+IF(OR(OR(Settings!$B$64="",Settings!$F$64="No"),Settings!$H$64&lt;&gt;"Yes"),0,Settings!$B$64*IF(AND(IF(Settings!$C$64="",$B58,DATE(YEAR($A58),MONTH($A58),MIN(Settings!$C$64,DAY($B58))))&gt;=MAX($A58,Settings!$D$64),IF(Settings!$C$64="",$B58,DATE(YEAR($A58),MONTH($A58),MIN(Settings!$C$64,DAY($B58))))&lt;=MIN($C58,IF(Settings!$E$64="",$C58,Settings!$E$64))),1,0))+IF(OR(OR(Settings!$B$65="",Settings!$F$65="No"),Settings!$H$65&lt;&gt;"Yes"),0,Settings!$B$65*IF(AND(IF(Settings!$C$65="",$B58,DATE(YEAR($A58),MONTH($A58),MIN(Settings!$C$65,DAY($B58))))&gt;=MAX($A58,Settings!$D$65),IF(Settings!$C$65="",$B58,DATE(YEAR($A58),MONTH($A58),MIN(Settings!$C$65,DAY($B58))))&lt;=MIN($C58,IF(Settings!$E$65="",$C58,Settings!$E$65))),1,0))</f>
        <v/>
      </c>
      <c r="FI58">
        <f>IF($DT58=1,IF(OR(Settings!$B$19="Card",Settings!$B$19="Loan"),N($AE58),0)+IF(OR(Settings!$B$20="Card",Settings!$B$20="Loan"),N($AF58),0)+IF(OR(Settings!$B$21="Card",Settings!$B$21="Loan"),N($AG58),0)+IF(OR(Settings!$B$22="Card",Settings!$B$22="Loan"),N($AH58),0)+IF(OR(Settings!$B$23="Card",Settings!$B$23="Loan"),N($AI58),0)+IF(OR(Settings!$B$24="Card",Settings!$B$24="Loan"),N($AJ58),0)+IF(OR(Settings!$B$25="Card",Settings!$B$25="Loan"),N($AK58),0)+IF(OR(Settings!$B$26="Card",Settings!$B$26="Loan"),N($AL58),0)+IF(OR(Settings!$B$27="Card",Settings!$B$27="Loan"),N($AM58),0)+IF(OR(Settings!$B$28="Card",Settings!$B$28="Loan"),N($AN58),0)+IF(OR(Settings!$B$29="Card",Settings!$B$29="Loan"),N($AO58),0)+IF(OR(Settings!$B$30="Card",Settings!$B$30="Loan"),N($AP58),0)+IF(OR(Settings!$B$31="Card",Settings!$B$31="Loan"),N($AQ58),0)+IF(OR(Settings!$B$32="Card",Settings!$B$32="Loan"),N($AR58),0),"")</f>
        <v/>
      </c>
      <c r="FJ58">
        <f>IF($E58="open",$EB$65,IF($E58="post",IF($E57="pre",$EB$65,$FI57),""))</f>
        <v/>
      </c>
      <c r="FK58">
        <f>IF(AND($DT58=1,$DC58=1),IF(ROUND($FI58-$FJ58,2)&gt;0,1,0),0)</f>
        <v/>
      </c>
      <c r="FL58">
        <f>IF($FK58=1,$FL57+1,0)</f>
        <v/>
      </c>
    </row>
    <row r="59">
      <c r="A59">
        <f>'Month-End'!$BD$4</f>
        <v/>
      </c>
      <c r="B59">
        <f>EOMONTH($A59,0)</f>
        <v/>
      </c>
      <c r="C59">
        <f>MIN($B59,TODAY())</f>
        <v/>
      </c>
      <c r="D59">
        <f>IF($A59&gt;TODAY(),1,0)</f>
        <v/>
      </c>
      <c r="E59">
        <f>IF($B59&lt;=Settings!$B$5,"pre",IF($A59&lt;=Settings!$B$5,"open","post"))</f>
        <v/>
      </c>
      <c r="G59">
        <f>IF('Month-End'!$BD$22="",$BE59,N('Month-End'!$BD$22))</f>
        <v/>
      </c>
      <c r="H59">
        <f>IF('Month-End'!$BD$23="",$BF59,N('Month-End'!$BD$23))</f>
        <v/>
      </c>
      <c r="I59">
        <f>IF('Month-End'!$BD$24="",$BG59,N('Month-End'!$BD$24))</f>
        <v/>
      </c>
      <c r="J59">
        <f>IF('Month-End'!$BD$25="",$BH59,N('Month-End'!$BD$25))</f>
        <v/>
      </c>
      <c r="K59">
        <f>IF('Month-End'!$BD$26="",$BI59,N('Month-End'!$BD$26))</f>
        <v/>
      </c>
      <c r="L59">
        <f>IF('Month-End'!$BD$27="",$BJ59,N('Month-End'!$BD$27))</f>
        <v/>
      </c>
      <c r="M59">
        <f>IF('Month-End'!$BD$28="",$BK59,N('Month-End'!$BD$28))</f>
        <v/>
      </c>
      <c r="N59">
        <f>IF('Month-End'!$BD$29="",$BL59,N('Month-End'!$BD$29))</f>
        <v/>
      </c>
      <c r="O59">
        <f>IF('Month-End'!$BD$30="",$BM59,N('Month-End'!$BD$30))</f>
        <v/>
      </c>
      <c r="P59">
        <f>IF('Month-End'!$BD$31="",$BN59,N('Month-End'!$BD$31))</f>
        <v/>
      </c>
      <c r="Q59">
        <f>IF('Month-End'!$BD$32="",$BO59,N('Month-End'!$BD$32))</f>
        <v/>
      </c>
      <c r="R59">
        <f>IF('Month-End'!$BD$33="",$BP59,N('Month-End'!$BD$33))</f>
        <v/>
      </c>
      <c r="S59">
        <f>$G59+$H59+$I59+$J59+$K59+$L59+$M59+$N59+$O59+$P59+$Q59+$R59</f>
        <v/>
      </c>
      <c r="T59">
        <f>IF($B59&lt;Settings!$B$6,0,IF(Settings!$B$45="Yes",$G59,0)+IF(Settings!$B$46="Yes",$H59,0)+IF(Settings!$B$47="Yes",$I59,0)+IF(Settings!$B$48="Yes",$J59,0)+IF(Settings!$B$49="Yes",$K59,0)+IF(Settings!$B$50="Yes",$L59,0)+IF(Settings!$B$51="Yes",$M59,0)+IF(Settings!$B$52="Yes",$N59,0)+IF(Settings!$B$53="Yes",$O59,0)+IF(Settings!$B$54="Yes",$P59,0)+IF(Settings!$B$55="Yes",$Q59,0)+IF(Settings!$B$56="Yes",$R59,0))</f>
        <v/>
      </c>
      <c r="U59">
        <f>IF(Settings!$B$45="Not Sure",$G59,0)+IF(Settings!$B$46="Not Sure",$H59,0)+IF(Settings!$B$47="Not Sure",$I59,0)+IF(Settings!$B$48="Not Sure",$J59,0)+IF(Settings!$B$49="Not Sure",$K59,0)+IF(Settings!$B$50="Not Sure",$L59,0)+IF(Settings!$B$51="Not Sure",$M59,0)+IF(Settings!$B$52="Not Sure",$N59,0)+IF(Settings!$B$53="Not Sure",$O59,0)+IF(Settings!$B$54="Not Sure",$P59,0)+IF(Settings!$B$55="Not Sure",$Q59,0)+IF(Settings!$B$56="Not Sure",$R59,0)</f>
        <v/>
      </c>
      <c r="V59">
        <f>IF($E59="open",SUM($ET59:$FE59)+N(Settings!$B$13),0)</f>
        <v/>
      </c>
      <c r="W59">
        <f>IF($E59="post",$S59,IF($E59="open",$S59-$V59,0))</f>
        <v/>
      </c>
      <c r="X59">
        <f>SUMIFS(Giving!$B$7:$B$2006,Giving!$A$7:$A$2006,"&gt;="&amp;$A59,Giving!$A$7:$A$2006,"&lt;="&amp;$B59,Giving!$E$7:$E$2006,"&lt;&gt;No")</f>
        <v/>
      </c>
      <c r="Y59">
        <f>SUMIFS(Giving!$B$7:$B$2006,Giving!$A$7:$A$2006,"&gt;="&amp;$A59,Giving!$A$7:$A$2006,"&lt;="&amp;$B59,Giving!$E$7:$E$2006,"No")</f>
        <v/>
      </c>
      <c r="Z59">
        <f>IF(OR(Settings!$B$60="",Settings!$F$60="No"),0,Settings!$B$60*IF(AND(IF(Settings!$C$60="",$B59,DATE(YEAR($A59),MONTH($A59),MIN(Settings!$C$60,DAY($B59))))&gt;=MAX($A59,Settings!$D$60),IF(Settings!$C$60="",$B59,DATE(YEAR($A59),MONTH($A59),MIN(Settings!$C$60,DAY($B59))))&lt;=MIN($C59,IF(Settings!$E$60="",$C59,Settings!$E$60))),1,0))+IF(OR(Settings!$B$61="",Settings!$F$61="No"),0,Settings!$B$61*IF(AND(IF(Settings!$C$61="",$B59,DATE(YEAR($A59),MONTH($A59),MIN(Settings!$C$61,DAY($B59))))&gt;=MAX($A59,Settings!$D$61),IF(Settings!$C$61="",$B59,DATE(YEAR($A59),MONTH($A59),MIN(Settings!$C$61,DAY($B59))))&lt;=MIN($C59,IF(Settings!$E$61="",$C59,Settings!$E$61))),1,0))+IF(OR(Settings!$B$62="",Settings!$F$62="No"),0,Settings!$B$62*IF(AND(IF(Settings!$C$62="",$B59,DATE(YEAR($A59),MONTH($A59),MIN(Settings!$C$62,DAY($B59))))&gt;=MAX($A59,Settings!$D$62),IF(Settings!$C$62="",$B59,DATE(YEAR($A59),MONTH($A59),MIN(Settings!$C$62,DAY($B59))))&lt;=MIN($C59,IF(Settings!$E$62="",$C59,Settings!$E$62))),1,0))+IF(OR(Settings!$B$63="",Settings!$F$63="No"),0,Settings!$B$63*IF(AND(IF(Settings!$C$63="",$B59,DATE(YEAR($A59),MONTH($A59),MIN(Settings!$C$63,DAY($B59))))&gt;=MAX($A59,Settings!$D$63),IF(Settings!$C$63="",$B59,DATE(YEAR($A59),MONTH($A59),MIN(Settings!$C$63,DAY($B59))))&lt;=MIN($C59,IF(Settings!$E$63="",$C59,Settings!$E$63))),1,0))+IF(OR(Settings!$B$64="",Settings!$F$64="No"),0,Settings!$B$64*IF(AND(IF(Settings!$C$64="",$B59,DATE(YEAR($A59),MONTH($A59),MIN(Settings!$C$64,DAY($B59))))&gt;=MAX($A59,Settings!$D$64),IF(Settings!$C$64="",$B59,DATE(YEAR($A59),MONTH($A59),MIN(Settings!$C$64,DAY($B59))))&lt;=MIN($C59,IF(Settings!$E$64="",$C59,Settings!$E$64))),1,0))+IF(OR(Settings!$B$65="",Settings!$F$65="No"),0,Settings!$B$65*IF(AND(IF(Settings!$C$65="",$B59,DATE(YEAR($A59),MONTH($A59),MIN(Settings!$C$65,DAY($B59))))&gt;=MAX($A59,Settings!$D$65),IF(Settings!$C$65="",$B59,DATE(YEAR($A59),MONTH($A59),MIN(Settings!$C$65,DAY($B59))))&lt;=MIN($C59,IF(Settings!$E$65="",$C59,Settings!$E$65))),1,0))</f>
        <v/>
      </c>
      <c r="AA59">
        <f>$X59+$Z59</f>
        <v/>
      </c>
      <c r="AB59">
        <f>IF($E59="post",$AA59,IF($E59="open",SUMIFS(Giving!$B$7:$B$2006,Giving!$A$7:$A$2006,"&gt;"&amp;Settings!$B$5,Giving!$A$7:$A$2006,"&lt;="&amp;$B59,Giving!$E$7:$E$2006,"&lt;&gt;No")+IF(OR(Settings!$B$60="",Settings!$F$60="No"),0,Settings!$B$60*IF(AND(IF(Settings!$C$60="",$B59,DATE(YEAR($A59),MONTH($A59),MIN(Settings!$C$60,DAY($B59))))&gt;=MAX($A59,Settings!$D$60,Settings!$B$5+1),IF(Settings!$C$60="",$B59,DATE(YEAR($A59),MONTH($A59),MIN(Settings!$C$60,DAY($B59))))&lt;=MIN($C59,IF(Settings!$E$60="",$C59,Settings!$E$60))),1,0))+IF(OR(Settings!$B$61="",Settings!$F$61="No"),0,Settings!$B$61*IF(AND(IF(Settings!$C$61="",$B59,DATE(YEAR($A59),MONTH($A59),MIN(Settings!$C$61,DAY($B59))))&gt;=MAX($A59,Settings!$D$61,Settings!$B$5+1),IF(Settings!$C$61="",$B59,DATE(YEAR($A59),MONTH($A59),MIN(Settings!$C$61,DAY($B59))))&lt;=MIN($C59,IF(Settings!$E$61="",$C59,Settings!$E$61))),1,0))+IF(OR(Settings!$B$62="",Settings!$F$62="No"),0,Settings!$B$62*IF(AND(IF(Settings!$C$62="",$B59,DATE(YEAR($A59),MONTH($A59),MIN(Settings!$C$62,DAY($B59))))&gt;=MAX($A59,Settings!$D$62,Settings!$B$5+1),IF(Settings!$C$62="",$B59,DATE(YEAR($A59),MONTH($A59),MIN(Settings!$C$62,DAY($B59))))&lt;=MIN($C59,IF(Settings!$E$62="",$C59,Settings!$E$62))),1,0))+IF(OR(Settings!$B$63="",Settings!$F$63="No"),0,Settings!$B$63*IF(AND(IF(Settings!$C$63="",$B59,DATE(YEAR($A59),MONTH($A59),MIN(Settings!$C$63,DAY($B59))))&gt;=MAX($A59,Settings!$D$63,Settings!$B$5+1),IF(Settings!$C$63="",$B59,DATE(YEAR($A59),MONTH($A59),MIN(Settings!$C$63,DAY($B59))))&lt;=MIN($C59,IF(Settings!$E$63="",$C59,Settings!$E$63))),1,0))+IF(OR(Settings!$B$64="",Settings!$F$64="No"),0,Settings!$B$64*IF(AND(IF(Settings!$C$64="",$B59,DATE(YEAR($A59),MONTH($A59),MIN(Settings!$C$64,DAY($B59))))&gt;=MAX($A59,Settings!$D$64,Settings!$B$5+1),IF(Settings!$C$64="",$B59,DATE(YEAR($A59),MONTH($A59),MIN(Settings!$C$64,DAY($B59))))&lt;=MIN($C59,IF(Settings!$E$64="",$C59,Settings!$E$64))),1,0))+IF(OR(Settings!$B$65="",Settings!$F$65="No"),0,Settings!$B$65*IF(AND(IF(Settings!$C$65="",$B59,DATE(YEAR($A59),MONTH($A59),MIN(Settings!$C$65,DAY($B59))))&gt;=MAX($A59,Settings!$D$65,Settings!$B$5+1),IF(Settings!$C$65="",$B59,DATE(YEAR($A59),MONTH($A59),MIN(Settings!$C$65,DAY($B59))))&lt;=MIN($C59,IF(Settings!$E$65="",$C59,Settings!$E$65))),1,0)),0))</f>
        <v/>
      </c>
      <c r="AC59">
        <f>$AY59+$AZ59+$BA59+$BB59+$BC59+$BD59</f>
        <v/>
      </c>
      <c r="AD59">
        <f>$AC59</f>
        <v/>
      </c>
      <c r="AE59">
        <f>IF(OR(Settings!$A$19="",$E59="pre"),"",IF(AND('Month-End'!$BD$7&lt;&gt;"",NOT(_xlfn.ISFORMULA('Month-End'!$BD$7))),N('Month-End'!$BD$7),IF(OR($E59="open",$E58="pre"),N(Settings!$C$19),N($AE58))))</f>
        <v/>
      </c>
      <c r="AF59">
        <f>IF(OR(Settings!$A$20="",$E59="pre"),"",IF(AND('Month-End'!$BD$8&lt;&gt;"",NOT(_xlfn.ISFORMULA('Month-End'!$BD$8))),N('Month-End'!$BD$8),IF(OR($E59="open",$E58="pre"),N(Settings!$C$20),N($AF58))))</f>
        <v/>
      </c>
      <c r="AG59">
        <f>IF(OR(Settings!$A$21="",$E59="pre"),"",IF(AND('Month-End'!$BD$9&lt;&gt;"",NOT(_xlfn.ISFORMULA('Month-End'!$BD$9))),N('Month-End'!$BD$9),IF(OR($E59="open",$E58="pre"),N(Settings!$C$21),N($AG58))))</f>
        <v/>
      </c>
      <c r="AH59">
        <f>IF(OR(Settings!$A$22="",$E59="pre"),"",IF(AND('Month-End'!$BD$10&lt;&gt;"",NOT(_xlfn.ISFORMULA('Month-End'!$BD$10))),N('Month-End'!$BD$10),IF(OR($E59="open",$E58="pre"),N(Settings!$C$22),N($AH58))))</f>
        <v/>
      </c>
      <c r="AI59">
        <f>IF(OR(Settings!$A$23="",$E59="pre"),"",IF(AND('Month-End'!$BD$11&lt;&gt;"",NOT(_xlfn.ISFORMULA('Month-End'!$BD$11))),N('Month-End'!$BD$11),IF(OR($E59="open",$E58="pre"),N(Settings!$C$23),N($AI58))))</f>
        <v/>
      </c>
      <c r="AJ59">
        <f>IF(OR(Settings!$A$24="",$E59="pre"),"",IF(AND('Month-End'!$BD$12&lt;&gt;"",NOT(_xlfn.ISFORMULA('Month-End'!$BD$12))),N('Month-End'!$BD$12),IF(OR($E59="open",$E58="pre"),N(Settings!$C$24),N($AJ58))))</f>
        <v/>
      </c>
      <c r="AK59">
        <f>IF(OR(Settings!$A$25="",$E59="pre"),"",IF(AND('Month-End'!$BD$13&lt;&gt;"",NOT(_xlfn.ISFORMULA('Month-End'!$BD$13))),N('Month-End'!$BD$13),IF(OR($E59="open",$E58="pre"),N(Settings!$C$25),N($AK58))))</f>
        <v/>
      </c>
      <c r="AL59">
        <f>IF(OR(Settings!$A$26="",$E59="pre"),"",IF(AND('Month-End'!$BD$14&lt;&gt;"",NOT(_xlfn.ISFORMULA('Month-End'!$BD$14))),N('Month-End'!$BD$14),IF(OR($E59="open",$E58="pre"),N(Settings!$C$26),N($AL58))))</f>
        <v/>
      </c>
      <c r="AM59">
        <f>IF(OR(Settings!$A$27="",$E59="pre"),"",IF(AND('Month-End'!$BD$15&lt;&gt;"",NOT(_xlfn.ISFORMULA('Month-End'!$BD$15))),N('Month-End'!$BD$15),IF(OR($E59="open",$E58="pre"),N(Settings!$C$27),N($AM58))))</f>
        <v/>
      </c>
      <c r="AN59">
        <f>IF(OR(Settings!$A$28="",$E59="pre"),"",IF(AND('Month-End'!$BD$16&lt;&gt;"",NOT(_xlfn.ISFORMULA('Month-End'!$BD$16))),N('Month-End'!$BD$16),IF(OR($E59="open",$E58="pre"),N(Settings!$C$28),N($AN58))))</f>
        <v/>
      </c>
      <c r="AO59">
        <f>IF(OR(Settings!$A$29="",$E59="pre"),"",IF(AND('Month-End'!$BD$17&lt;&gt;"",NOT(_xlfn.ISFORMULA('Month-End'!$BD$17))),N('Month-End'!$BD$17),IF(OR($E59="open",$E58="pre"),N(Settings!$C$29),N($AO58))))</f>
        <v/>
      </c>
      <c r="AP59">
        <f>IF(OR(Settings!$A$30="",$E59="pre"),"",IF(AND('Month-End'!$BD$18&lt;&gt;"",NOT(_xlfn.ISFORMULA('Month-End'!$BD$18))),N('Month-End'!$BD$18),IF(OR($E59="open",$E58="pre"),N(Settings!$C$30),N($AP58))))</f>
        <v/>
      </c>
      <c r="AQ59">
        <f>IF(OR(Settings!$A$31="",$E59="pre"),"",IF(AND('Month-End'!$BD$19&lt;&gt;"",NOT(_xlfn.ISFORMULA('Month-End'!$BD$19))),N('Month-End'!$BD$19),IF(OR($E59="open",$E58="pre"),N(Settings!$C$31),N($AQ58))))</f>
        <v/>
      </c>
      <c r="AR59">
        <f>IF(OR(Settings!$A$32="",$E59="pre"),"",IF(AND('Month-End'!$BD$20&lt;&gt;"",NOT(_xlfn.ISFORMULA('Month-End'!$BD$20))),N('Month-End'!$BD$20),IF(OR($E59="open",$E58="pre"),N(Settings!$C$32),N($AR58))))</f>
        <v/>
      </c>
      <c r="AS59">
        <f>IF(OR(Settings!$A$36="",$E59="pre"),"",IF(AND('Month-End'!$BD$38&lt;&gt;"",NOT(_xlfn.ISFORMULA('Month-End'!$BD$38))),N('Month-End'!$BD$38),IF(OR($E59="open",$E58="pre"),N(Settings!$C$36),N($AS58))+$AY59))</f>
        <v/>
      </c>
      <c r="AT59">
        <f>IF(OR(Settings!$A$37="",$E59="pre"),"",IF(AND('Month-End'!$BD$39&lt;&gt;"",NOT(_xlfn.ISFORMULA('Month-End'!$BD$39))),N('Month-End'!$BD$39),IF(OR($E59="open",$E58="pre"),N(Settings!$C$37),N($AT58))+$AZ59))</f>
        <v/>
      </c>
      <c r="AU59">
        <f>IF(OR(Settings!$A$38="",$E59="pre"),"",IF(AND('Month-End'!$BD$40&lt;&gt;"",NOT(_xlfn.ISFORMULA('Month-End'!$BD$40))),N('Month-End'!$BD$40),IF(OR($E59="open",$E58="pre"),N(Settings!$C$38),N($AU58))+$BA59))</f>
        <v/>
      </c>
      <c r="AV59">
        <f>IF(OR(Settings!$A$39="",$E59="pre"),"",IF(AND('Month-End'!$BD$41&lt;&gt;"",NOT(_xlfn.ISFORMULA('Month-End'!$BD$41))),N('Month-End'!$BD$41),IF(OR($E59="open",$E58="pre"),N(Settings!$C$39),N($AV58))+$BB59))</f>
        <v/>
      </c>
      <c r="AW59">
        <f>IF(OR(Settings!$A$40="",$E59="pre"),"",IF(AND('Month-End'!$BD$42&lt;&gt;"",NOT(_xlfn.ISFORMULA('Month-End'!$BD$42))),N('Month-End'!$BD$42),IF(OR($E59="open",$E58="pre"),N(Settings!$C$40),N($AW58))+$BC59))</f>
        <v/>
      </c>
      <c r="AX59">
        <f>IF(OR(Settings!$A$41="",$E59="pre"),"",IF(AND('Month-End'!$BD$43&lt;&gt;"",NOT(_xlfn.ISFORMULA('Month-End'!$BD$43))),N('Month-End'!$BD$43),IF(OR($E59="open",$E58="pre"),N(Settings!$C$41),N($AX58))+$BD59))</f>
        <v/>
      </c>
      <c r="AY59">
        <f>IF($E59="pre",0,N('Month-End'!$BD$45))</f>
        <v/>
      </c>
      <c r="AZ59">
        <f>IF($E59="pre",0,N('Month-End'!$BD$46))</f>
        <v/>
      </c>
      <c r="BA59">
        <f>IF($E59="pre",0,N('Month-End'!$BD$47))</f>
        <v/>
      </c>
      <c r="BB59">
        <f>IF($E59="pre",0,N('Month-End'!$BD$48))</f>
        <v/>
      </c>
      <c r="BC59">
        <f>IF($E59="pre",0,N('Month-End'!$BD$49))</f>
        <v/>
      </c>
      <c r="BD59">
        <f>IF($E59="pre",0,N('Month-End'!$BD$50))</f>
        <v/>
      </c>
      <c r="BE59">
        <f>IF(OR(Settings!$C$45="",Settings!$D$45=""),0,Settings!$C$45*IF(Settings!$D$45="Weekly",IF(IFERROR(MATCH(Settings!$E$45,$EO$4:$EO$10,0),0)=0,0,IF(MIN($C59,IF(Settings!$G$45="",$C59,Settings!$G$45))&lt;MAX($A59,Settings!$F$45),0,INT((MIN($C59,IF(Settings!$G$45="",$C59,Settings!$G$45))-MAX($A59,Settings!$F$45)-MOD(IFERROR(MATCH(Settings!$E$45,$EO$4:$EO$10,0),0)-WEEKDAY(MAX($A59,Settings!$F$45)),7))/7)+1)),IF(AND(IF(Settings!$E$45="",$B59,DATE(YEAR($A59),MONTH($A59),MIN(Settings!$E$45,DAY($B59))))&gt;=MAX($A59,Settings!$F$45),IF(Settings!$E$45="",$B59,DATE(YEAR($A59),MONTH($A59),MIN(Settings!$E$45,DAY($B59))))&lt;=MIN($C59,IF(Settings!$G$45="",$C59,Settings!$G$45))),1,0)))</f>
        <v/>
      </c>
      <c r="BF59">
        <f>IF(OR(Settings!$C$46="",Settings!$D$46=""),0,Settings!$C$46*IF(Settings!$D$46="Weekly",IF(IFERROR(MATCH(Settings!$E$46,$EO$4:$EO$10,0),0)=0,0,IF(MIN($C59,IF(Settings!$G$46="",$C59,Settings!$G$46))&lt;MAX($A59,Settings!$F$46),0,INT((MIN($C59,IF(Settings!$G$46="",$C59,Settings!$G$46))-MAX($A59,Settings!$F$46)-MOD(IFERROR(MATCH(Settings!$E$46,$EO$4:$EO$10,0),0)-WEEKDAY(MAX($A59,Settings!$F$46)),7))/7)+1)),IF(AND(IF(Settings!$E$46="",$B59,DATE(YEAR($A59),MONTH($A59),MIN(Settings!$E$46,DAY($B59))))&gt;=MAX($A59,Settings!$F$46),IF(Settings!$E$46="",$B59,DATE(YEAR($A59),MONTH($A59),MIN(Settings!$E$46,DAY($B59))))&lt;=MIN($C59,IF(Settings!$G$46="",$C59,Settings!$G$46))),1,0)))</f>
        <v/>
      </c>
      <c r="BG59">
        <f>IF(OR(Settings!$C$47="",Settings!$D$47=""),0,Settings!$C$47*IF(Settings!$D$47="Weekly",IF(IFERROR(MATCH(Settings!$E$47,$EO$4:$EO$10,0),0)=0,0,IF(MIN($C59,IF(Settings!$G$47="",$C59,Settings!$G$47))&lt;MAX($A59,Settings!$F$47),0,INT((MIN($C59,IF(Settings!$G$47="",$C59,Settings!$G$47))-MAX($A59,Settings!$F$47)-MOD(IFERROR(MATCH(Settings!$E$47,$EO$4:$EO$10,0),0)-WEEKDAY(MAX($A59,Settings!$F$47)),7))/7)+1)),IF(AND(IF(Settings!$E$47="",$B59,DATE(YEAR($A59),MONTH($A59),MIN(Settings!$E$47,DAY($B59))))&gt;=MAX($A59,Settings!$F$47),IF(Settings!$E$47="",$B59,DATE(YEAR($A59),MONTH($A59),MIN(Settings!$E$47,DAY($B59))))&lt;=MIN($C59,IF(Settings!$G$47="",$C59,Settings!$G$47))),1,0)))</f>
        <v/>
      </c>
      <c r="BH59">
        <f>IF(OR(Settings!$C$48="",Settings!$D$48=""),0,Settings!$C$48*IF(Settings!$D$48="Weekly",IF(IFERROR(MATCH(Settings!$E$48,$EO$4:$EO$10,0),0)=0,0,IF(MIN($C59,IF(Settings!$G$48="",$C59,Settings!$G$48))&lt;MAX($A59,Settings!$F$48),0,INT((MIN($C59,IF(Settings!$G$48="",$C59,Settings!$G$48))-MAX($A59,Settings!$F$48)-MOD(IFERROR(MATCH(Settings!$E$48,$EO$4:$EO$10,0),0)-WEEKDAY(MAX($A59,Settings!$F$48)),7))/7)+1)),IF(AND(IF(Settings!$E$48="",$B59,DATE(YEAR($A59),MONTH($A59),MIN(Settings!$E$48,DAY($B59))))&gt;=MAX($A59,Settings!$F$48),IF(Settings!$E$48="",$B59,DATE(YEAR($A59),MONTH($A59),MIN(Settings!$E$48,DAY($B59))))&lt;=MIN($C59,IF(Settings!$G$48="",$C59,Settings!$G$48))),1,0)))</f>
        <v/>
      </c>
      <c r="BI59">
        <f>IF(OR(Settings!$C$49="",Settings!$D$49=""),0,Settings!$C$49*IF(Settings!$D$49="Weekly",IF(IFERROR(MATCH(Settings!$E$49,$EO$4:$EO$10,0),0)=0,0,IF(MIN($C59,IF(Settings!$G$49="",$C59,Settings!$G$49))&lt;MAX($A59,Settings!$F$49),0,INT((MIN($C59,IF(Settings!$G$49="",$C59,Settings!$G$49))-MAX($A59,Settings!$F$49)-MOD(IFERROR(MATCH(Settings!$E$49,$EO$4:$EO$10,0),0)-WEEKDAY(MAX($A59,Settings!$F$49)),7))/7)+1)),IF(AND(IF(Settings!$E$49="",$B59,DATE(YEAR($A59),MONTH($A59),MIN(Settings!$E$49,DAY($B59))))&gt;=MAX($A59,Settings!$F$49),IF(Settings!$E$49="",$B59,DATE(YEAR($A59),MONTH($A59),MIN(Settings!$E$49,DAY($B59))))&lt;=MIN($C59,IF(Settings!$G$49="",$C59,Settings!$G$49))),1,0)))</f>
        <v/>
      </c>
      <c r="BJ59">
        <f>IF(OR(Settings!$C$50="",Settings!$D$50=""),0,Settings!$C$50*IF(Settings!$D$50="Weekly",IF(IFERROR(MATCH(Settings!$E$50,$EO$4:$EO$10,0),0)=0,0,IF(MIN($C59,IF(Settings!$G$50="",$C59,Settings!$G$50))&lt;MAX($A59,Settings!$F$50),0,INT((MIN($C59,IF(Settings!$G$50="",$C59,Settings!$G$50))-MAX($A59,Settings!$F$50)-MOD(IFERROR(MATCH(Settings!$E$50,$EO$4:$EO$10,0),0)-WEEKDAY(MAX($A59,Settings!$F$50)),7))/7)+1)),IF(AND(IF(Settings!$E$50="",$B59,DATE(YEAR($A59),MONTH($A59),MIN(Settings!$E$50,DAY($B59))))&gt;=MAX($A59,Settings!$F$50),IF(Settings!$E$50="",$B59,DATE(YEAR($A59),MONTH($A59),MIN(Settings!$E$50,DAY($B59))))&lt;=MIN($C59,IF(Settings!$G$50="",$C59,Settings!$G$50))),1,0)))</f>
        <v/>
      </c>
      <c r="BK59">
        <f>IF(OR(Settings!$C$51="",Settings!$D$51=""),0,Settings!$C$51*IF(Settings!$D$51="Weekly",IF(IFERROR(MATCH(Settings!$E$51,$EO$4:$EO$10,0),0)=0,0,IF(MIN($C59,IF(Settings!$G$51="",$C59,Settings!$G$51))&lt;MAX($A59,Settings!$F$51),0,INT((MIN($C59,IF(Settings!$G$51="",$C59,Settings!$G$51))-MAX($A59,Settings!$F$51)-MOD(IFERROR(MATCH(Settings!$E$51,$EO$4:$EO$10,0),0)-WEEKDAY(MAX($A59,Settings!$F$51)),7))/7)+1)),IF(AND(IF(Settings!$E$51="",$B59,DATE(YEAR($A59),MONTH($A59),MIN(Settings!$E$51,DAY($B59))))&gt;=MAX($A59,Settings!$F$51),IF(Settings!$E$51="",$B59,DATE(YEAR($A59),MONTH($A59),MIN(Settings!$E$51,DAY($B59))))&lt;=MIN($C59,IF(Settings!$G$51="",$C59,Settings!$G$51))),1,0)))</f>
        <v/>
      </c>
      <c r="BL59">
        <f>IF(OR(Settings!$C$52="",Settings!$D$52=""),0,Settings!$C$52*IF(Settings!$D$52="Weekly",IF(IFERROR(MATCH(Settings!$E$52,$EO$4:$EO$10,0),0)=0,0,IF(MIN($C59,IF(Settings!$G$52="",$C59,Settings!$G$52))&lt;MAX($A59,Settings!$F$52),0,INT((MIN($C59,IF(Settings!$G$52="",$C59,Settings!$G$52))-MAX($A59,Settings!$F$52)-MOD(IFERROR(MATCH(Settings!$E$52,$EO$4:$EO$10,0),0)-WEEKDAY(MAX($A59,Settings!$F$52)),7))/7)+1)),IF(AND(IF(Settings!$E$52="",$B59,DATE(YEAR($A59),MONTH($A59),MIN(Settings!$E$52,DAY($B59))))&gt;=MAX($A59,Settings!$F$52),IF(Settings!$E$52="",$B59,DATE(YEAR($A59),MONTH($A59),MIN(Settings!$E$52,DAY($B59))))&lt;=MIN($C59,IF(Settings!$G$52="",$C59,Settings!$G$52))),1,0)))</f>
        <v/>
      </c>
      <c r="BM59">
        <f>IF(OR(Settings!$C$53="",Settings!$D$53=""),0,Settings!$C$53*IF(Settings!$D$53="Weekly",IF(IFERROR(MATCH(Settings!$E$53,$EO$4:$EO$10,0),0)=0,0,IF(MIN($C59,IF(Settings!$G$53="",$C59,Settings!$G$53))&lt;MAX($A59,Settings!$F$53),0,INT((MIN($C59,IF(Settings!$G$53="",$C59,Settings!$G$53))-MAX($A59,Settings!$F$53)-MOD(IFERROR(MATCH(Settings!$E$53,$EO$4:$EO$10,0),0)-WEEKDAY(MAX($A59,Settings!$F$53)),7))/7)+1)),IF(AND(IF(Settings!$E$53="",$B59,DATE(YEAR($A59),MONTH($A59),MIN(Settings!$E$53,DAY($B59))))&gt;=MAX($A59,Settings!$F$53),IF(Settings!$E$53="",$B59,DATE(YEAR($A59),MONTH($A59),MIN(Settings!$E$53,DAY($B59))))&lt;=MIN($C59,IF(Settings!$G$53="",$C59,Settings!$G$53))),1,0)))</f>
        <v/>
      </c>
      <c r="BN59">
        <f>IF(OR(Settings!$C$54="",Settings!$D$54=""),0,Settings!$C$54*IF(Settings!$D$54="Weekly",IF(IFERROR(MATCH(Settings!$E$54,$EO$4:$EO$10,0),0)=0,0,IF(MIN($C59,IF(Settings!$G$54="",$C59,Settings!$G$54))&lt;MAX($A59,Settings!$F$54),0,INT((MIN($C59,IF(Settings!$G$54="",$C59,Settings!$G$54))-MAX($A59,Settings!$F$54)-MOD(IFERROR(MATCH(Settings!$E$54,$EO$4:$EO$10,0),0)-WEEKDAY(MAX($A59,Settings!$F$54)),7))/7)+1)),IF(AND(IF(Settings!$E$54="",$B59,DATE(YEAR($A59),MONTH($A59),MIN(Settings!$E$54,DAY($B59))))&gt;=MAX($A59,Settings!$F$54),IF(Settings!$E$54="",$B59,DATE(YEAR($A59),MONTH($A59),MIN(Settings!$E$54,DAY($B59))))&lt;=MIN($C59,IF(Settings!$G$54="",$C59,Settings!$G$54))),1,0)))</f>
        <v/>
      </c>
      <c r="BO59">
        <f>IF(OR(Settings!$C$55="",Settings!$D$55=""),0,Settings!$C$55*IF(Settings!$D$55="Weekly",IF(IFERROR(MATCH(Settings!$E$55,$EO$4:$EO$10,0),0)=0,0,IF(MIN($C59,IF(Settings!$G$55="",$C59,Settings!$G$55))&lt;MAX($A59,Settings!$F$55),0,INT((MIN($C59,IF(Settings!$G$55="",$C59,Settings!$G$55))-MAX($A59,Settings!$F$55)-MOD(IFERROR(MATCH(Settings!$E$55,$EO$4:$EO$10,0),0)-WEEKDAY(MAX($A59,Settings!$F$55)),7))/7)+1)),IF(AND(IF(Settings!$E$55="",$B59,DATE(YEAR($A59),MONTH($A59),MIN(Settings!$E$55,DAY($B59))))&gt;=MAX($A59,Settings!$F$55),IF(Settings!$E$55="",$B59,DATE(YEAR($A59),MONTH($A59),MIN(Settings!$E$55,DAY($B59))))&lt;=MIN($C59,IF(Settings!$G$55="",$C59,Settings!$G$55))),1,0)))</f>
        <v/>
      </c>
      <c r="BP59">
        <f>IF(OR(Settings!$C$56="",Settings!$D$56=""),0,Settings!$C$56*IF(Settings!$D$56="Weekly",IF(IFERROR(MATCH(Settings!$E$56,$EO$4:$EO$10,0),0)=0,0,IF(MIN($C59,IF(Settings!$G$56="",$C59,Settings!$G$56))&lt;MAX($A59,Settings!$F$56),0,INT((MIN($C59,IF(Settings!$G$56="",$C59,Settings!$G$56))-MAX($A59,Settings!$F$56)-MOD(IFERROR(MATCH(Settings!$E$56,$EO$4:$EO$10,0),0)-WEEKDAY(MAX($A59,Settings!$F$56)),7))/7)+1)),IF(AND(IF(Settings!$E$56="",$B59,DATE(YEAR($A59),MONTH($A59),MIN(Settings!$E$56,DAY($B59))))&gt;=MAX($A59,Settings!$F$56),IF(Settings!$E$56="",$B59,DATE(YEAR($A59),MONTH($A59),MIN(Settings!$E$56,DAY($B59))))&lt;=MIN($C59,IF(Settings!$G$56="",$C59,Settings!$G$56))),1,0)))</f>
        <v/>
      </c>
      <c r="BQ59">
        <f>IF(OR(Settings!$B$14="",$D59=1,$E59="pre",$A59&lt;IF(Settings!$B$15="",0,Settings!$B$15)),0,Settings!$B$14)</f>
        <v/>
      </c>
      <c r="BR59">
        <f>IF(AND('Month-End'!$BD$7&lt;&gt;"",NOT(_xlfn.ISFORMULA('Month-End'!$BD$7))),1,0)</f>
        <v/>
      </c>
      <c r="BS59">
        <f>IF(AND('Month-End'!$BD$8&lt;&gt;"",NOT(_xlfn.ISFORMULA('Month-End'!$BD$8))),1,0)</f>
        <v/>
      </c>
      <c r="BT59">
        <f>IF(AND('Month-End'!$BD$9&lt;&gt;"",NOT(_xlfn.ISFORMULA('Month-End'!$BD$9))),1,0)</f>
        <v/>
      </c>
      <c r="BU59">
        <f>IF(AND('Month-End'!$BD$10&lt;&gt;"",NOT(_xlfn.ISFORMULA('Month-End'!$BD$10))),1,0)</f>
        <v/>
      </c>
      <c r="BV59">
        <f>IF(AND('Month-End'!$BD$11&lt;&gt;"",NOT(_xlfn.ISFORMULA('Month-End'!$BD$11))),1,0)</f>
        <v/>
      </c>
      <c r="BW59">
        <f>IF(AND('Month-End'!$BD$12&lt;&gt;"",NOT(_xlfn.ISFORMULA('Month-End'!$BD$12))),1,0)</f>
        <v/>
      </c>
      <c r="BX59">
        <f>IF(AND('Month-End'!$BD$13&lt;&gt;"",NOT(_xlfn.ISFORMULA('Month-End'!$BD$13))),1,0)</f>
        <v/>
      </c>
      <c r="BY59">
        <f>IF(AND('Month-End'!$BD$14&lt;&gt;"",NOT(_xlfn.ISFORMULA('Month-End'!$BD$14))),1,0)</f>
        <v/>
      </c>
      <c r="BZ59">
        <f>IF(AND('Month-End'!$BD$15&lt;&gt;"",NOT(_xlfn.ISFORMULA('Month-End'!$BD$15))),1,0)</f>
        <v/>
      </c>
      <c r="CA59">
        <f>IF(AND('Month-End'!$BD$16&lt;&gt;"",NOT(_xlfn.ISFORMULA('Month-End'!$BD$16))),1,0)</f>
        <v/>
      </c>
      <c r="CB59">
        <f>IF(AND('Month-End'!$BD$17&lt;&gt;"",NOT(_xlfn.ISFORMULA('Month-End'!$BD$17))),1,0)</f>
        <v/>
      </c>
      <c r="CC59">
        <f>IF(AND('Month-End'!$BD$18&lt;&gt;"",NOT(_xlfn.ISFORMULA('Month-End'!$BD$18))),1,0)</f>
        <v/>
      </c>
      <c r="CD59">
        <f>IF(AND('Month-End'!$BD$19&lt;&gt;"",NOT(_xlfn.ISFORMULA('Month-End'!$BD$19))),1,0)</f>
        <v/>
      </c>
      <c r="CE59">
        <f>IF(AND('Month-End'!$BD$20&lt;&gt;"",NOT(_xlfn.ISFORMULA('Month-End'!$BD$20))),1,0)</f>
        <v/>
      </c>
      <c r="CF59">
        <f>IF(AND('Month-End'!$BD$38&lt;&gt;"",NOT(_xlfn.ISFORMULA('Month-End'!$BD$38))),1,0)</f>
        <v/>
      </c>
      <c r="CG59">
        <f>IF(AND('Month-End'!$BD$39&lt;&gt;"",NOT(_xlfn.ISFORMULA('Month-End'!$BD$39))),1,0)</f>
        <v/>
      </c>
      <c r="CH59">
        <f>IF(AND('Month-End'!$BD$40&lt;&gt;"",NOT(_xlfn.ISFORMULA('Month-End'!$BD$40))),1,0)</f>
        <v/>
      </c>
      <c r="CI59">
        <f>IF(AND('Month-End'!$BD$41&lt;&gt;"",NOT(_xlfn.ISFORMULA('Month-End'!$BD$41))),1,0)</f>
        <v/>
      </c>
      <c r="CJ59">
        <f>IF(AND('Month-End'!$BD$42&lt;&gt;"",NOT(_xlfn.ISFORMULA('Month-End'!$BD$42))),1,0)</f>
        <v/>
      </c>
      <c r="CK59">
        <f>IF(AND('Month-End'!$BD$43&lt;&gt;"",NOT(_xlfn.ISFORMULA('Month-End'!$BD$43))),1,0)</f>
        <v/>
      </c>
      <c r="CL59">
        <f>SUM($CM59:$CZ59)</f>
        <v/>
      </c>
      <c r="CM59">
        <f>IF(AND($E59&lt;&gt;"pre",AND(Settings!$A$19&lt;&gt;"",Settings!$E$19&lt;&gt;"No"),Settings!$F$19="Yes",NOT(AND('Month-End'!$BD$7&lt;&gt;"",NOT(_xlfn.ISFORMULA('Month-End'!$BD$7))))),1,0)</f>
        <v/>
      </c>
      <c r="CN59">
        <f>IF(AND($E59&lt;&gt;"pre",AND(Settings!$A$20&lt;&gt;"",Settings!$E$20&lt;&gt;"No"),Settings!$F$20="Yes",NOT(AND('Month-End'!$BD$8&lt;&gt;"",NOT(_xlfn.ISFORMULA('Month-End'!$BD$8))))),1,0)</f>
        <v/>
      </c>
      <c r="CO59">
        <f>IF(AND($E59&lt;&gt;"pre",AND(Settings!$A$21&lt;&gt;"",Settings!$E$21&lt;&gt;"No"),Settings!$F$21="Yes",NOT(AND('Month-End'!$BD$9&lt;&gt;"",NOT(_xlfn.ISFORMULA('Month-End'!$BD$9))))),1,0)</f>
        <v/>
      </c>
      <c r="CP59">
        <f>IF(AND($E59&lt;&gt;"pre",AND(Settings!$A$22&lt;&gt;"",Settings!$E$22&lt;&gt;"No"),Settings!$F$22="Yes",NOT(AND('Month-End'!$BD$10&lt;&gt;"",NOT(_xlfn.ISFORMULA('Month-End'!$BD$10))))),1,0)</f>
        <v/>
      </c>
      <c r="CQ59">
        <f>IF(AND($E59&lt;&gt;"pre",AND(Settings!$A$23&lt;&gt;"",Settings!$E$23&lt;&gt;"No"),Settings!$F$23="Yes",NOT(AND('Month-End'!$BD$11&lt;&gt;"",NOT(_xlfn.ISFORMULA('Month-End'!$BD$11))))),1,0)</f>
        <v/>
      </c>
      <c r="CR59">
        <f>IF(AND($E59&lt;&gt;"pre",AND(Settings!$A$24&lt;&gt;"",Settings!$E$24&lt;&gt;"No"),Settings!$F$24="Yes",NOT(AND('Month-End'!$BD$12&lt;&gt;"",NOT(_xlfn.ISFORMULA('Month-End'!$BD$12))))),1,0)</f>
        <v/>
      </c>
      <c r="CS59">
        <f>IF(AND($E59&lt;&gt;"pre",AND(Settings!$A$25&lt;&gt;"",Settings!$E$25&lt;&gt;"No"),Settings!$F$25="Yes",NOT(AND('Month-End'!$BD$13&lt;&gt;"",NOT(_xlfn.ISFORMULA('Month-End'!$BD$13))))),1,0)</f>
        <v/>
      </c>
      <c r="CT59">
        <f>IF(AND($E59&lt;&gt;"pre",AND(Settings!$A$26&lt;&gt;"",Settings!$E$26&lt;&gt;"No"),Settings!$F$26="Yes",NOT(AND('Month-End'!$BD$14&lt;&gt;"",NOT(_xlfn.ISFORMULA('Month-End'!$BD$14))))),1,0)</f>
        <v/>
      </c>
      <c r="CU59">
        <f>IF(AND($E59&lt;&gt;"pre",AND(Settings!$A$27&lt;&gt;"",Settings!$E$27&lt;&gt;"No"),Settings!$F$27="Yes",NOT(AND('Month-End'!$BD$15&lt;&gt;"",NOT(_xlfn.ISFORMULA('Month-End'!$BD$15))))),1,0)</f>
        <v/>
      </c>
      <c r="CV59">
        <f>IF(AND($E59&lt;&gt;"pre",AND(Settings!$A$28&lt;&gt;"",Settings!$E$28&lt;&gt;"No"),Settings!$F$28="Yes",NOT(AND('Month-End'!$BD$16&lt;&gt;"",NOT(_xlfn.ISFORMULA('Month-End'!$BD$16))))),1,0)</f>
        <v/>
      </c>
      <c r="CW59">
        <f>IF(AND($E59&lt;&gt;"pre",AND(Settings!$A$29&lt;&gt;"",Settings!$E$29&lt;&gt;"No"),Settings!$F$29="Yes",NOT(AND('Month-End'!$BD$17&lt;&gt;"",NOT(_xlfn.ISFORMULA('Month-End'!$BD$17))))),1,0)</f>
        <v/>
      </c>
      <c r="CX59">
        <f>IF(AND($E59&lt;&gt;"pre",AND(Settings!$A$30&lt;&gt;"",Settings!$E$30&lt;&gt;"No"),Settings!$F$30="Yes",NOT(AND('Month-End'!$BD$18&lt;&gt;"",NOT(_xlfn.ISFORMULA('Month-End'!$BD$18))))),1,0)</f>
        <v/>
      </c>
      <c r="CY59">
        <f>IF(AND($E59&lt;&gt;"pre",AND(Settings!$A$31&lt;&gt;"",Settings!$E$31&lt;&gt;"No"),Settings!$F$31="Yes",NOT(AND('Month-End'!$BD$19&lt;&gt;"",NOT(_xlfn.ISFORMULA('Month-End'!$BD$19))))),1,0)</f>
        <v/>
      </c>
      <c r="CZ59">
        <f>IF(AND($E59&lt;&gt;"pre",AND(Settings!$A$32&lt;&gt;"",Settings!$E$32&lt;&gt;"No"),Settings!$F$32="Yes",NOT(AND('Month-End'!$BD$20&lt;&gt;"",NOT(_xlfn.ISFORMULA('Month-End'!$BD$20))))),1,0)</f>
        <v/>
      </c>
      <c r="DA59">
        <f>IF($DT59=1,IF(OR(Settings!$B$19="Checking",Settings!$B$19="Savings",Settings!$B$19="Cash"),N($AE59),IF(OR(Settings!$B$19="Card",Settings!$B$19="Loan"),-N($AE59),0))+IF(OR(Settings!$B$20="Checking",Settings!$B$20="Savings",Settings!$B$20="Cash"),N($AF59),IF(OR(Settings!$B$20="Card",Settings!$B$20="Loan"),-N($AF59),0))+IF(OR(Settings!$B$21="Checking",Settings!$B$21="Savings",Settings!$B$21="Cash"),N($AG59),IF(OR(Settings!$B$21="Card",Settings!$B$21="Loan"),-N($AG59),0))+IF(OR(Settings!$B$22="Checking",Settings!$B$22="Savings",Settings!$B$22="Cash"),N($AH59),IF(OR(Settings!$B$22="Card",Settings!$B$22="Loan"),-N($AH59),0))+IF(OR(Settings!$B$23="Checking",Settings!$B$23="Savings",Settings!$B$23="Cash"),N($AI59),IF(OR(Settings!$B$23="Card",Settings!$B$23="Loan"),-N($AI59),0))+IF(OR(Settings!$B$24="Checking",Settings!$B$24="Savings",Settings!$B$24="Cash"),N($AJ59),IF(OR(Settings!$B$24="Card",Settings!$B$24="Loan"),-N($AJ59),0))+IF(OR(Settings!$B$25="Checking",Settings!$B$25="Savings",Settings!$B$25="Cash"),N($AK59),IF(OR(Settings!$B$25="Card",Settings!$B$25="Loan"),-N($AK59),0))+IF(OR(Settings!$B$26="Checking",Settings!$B$26="Savings",Settings!$B$26="Cash"),N($AL59),IF(OR(Settings!$B$26="Card",Settings!$B$26="Loan"),-N($AL59),0))+IF(OR(Settings!$B$27="Checking",Settings!$B$27="Savings",Settings!$B$27="Cash"),N($AM59),IF(OR(Settings!$B$27="Card",Settings!$B$27="Loan"),-N($AM59),0))+IF(OR(Settings!$B$28="Checking",Settings!$B$28="Savings",Settings!$B$28="Cash"),N($AN59),IF(OR(Settings!$B$28="Card",Settings!$B$28="Loan"),-N($AN59),0))+IF(OR(Settings!$B$29="Checking",Settings!$B$29="Savings",Settings!$B$29="Cash"),N($AO59),IF(OR(Settings!$B$29="Card",Settings!$B$29="Loan"),-N($AO59),0))+IF(OR(Settings!$B$30="Checking",Settings!$B$30="Savings",Settings!$B$30="Cash"),N($AP59),IF(OR(Settings!$B$30="Card",Settings!$B$30="Loan"),-N($AP59),0))+IF(OR(Settings!$B$31="Checking",Settings!$B$31="Savings",Settings!$B$31="Cash"),N($AQ59),IF(OR(Settings!$B$31="Card",Settings!$B$31="Loan"),-N($AQ59),0))+IF(OR(Settings!$B$32="Checking",Settings!$B$32="Savings",Settings!$B$32="Cash"),N($AR59),IF(OR(Settings!$B$32="Card",Settings!$B$32="Loan"),-N($AR59),0)),"")</f>
        <v/>
      </c>
      <c r="DB59">
        <f>IF($E59="open",$EB$27,IF($E59="post",IF($E58="pre",$EB$27,$DA58),""))</f>
        <v/>
      </c>
      <c r="DC59">
        <f>IF($E59="open",1,IF($E59="post",IF($E58="pre",1,$DT58),0))</f>
        <v/>
      </c>
      <c r="DD59">
        <f>IF(AND($DT59=1,$DC59=1),ROUND($W59-($DA59-$DB59)-$AD59-$AB59,2),"")</f>
        <v/>
      </c>
      <c r="DE59">
        <f>IF('Month-End'!$BD$35="",$BQ59,N('Month-End'!$BD$35))</f>
        <v/>
      </c>
      <c r="DF59">
        <f>N('Month-End'!$BD$36)</f>
        <v/>
      </c>
      <c r="DG59">
        <f>IF($DD59="","",$DD59+$DE59)</f>
        <v/>
      </c>
      <c r="DH59">
        <f>IF($DG59="","",$DG59-$DF59)</f>
        <v/>
      </c>
      <c r="DI59">
        <f>IF(OR($E59="pre",$D59=1),"",N($AS59)+N($AT59)+N($AU59)+N($AV59)+N($AW59)+N($AX59))</f>
        <v/>
      </c>
      <c r="DJ59">
        <f>IF($DT59=1,$DA59+N($DI59),"")</f>
        <v/>
      </c>
      <c r="DK59">
        <f>IF($DD59="","",$W59-$DD59-$AB59)</f>
        <v/>
      </c>
      <c r="DL59">
        <f>IF(AND($E59="post",$DD59&lt;&gt;"",$B59&lt;TODAY()),1,0)</f>
        <v/>
      </c>
      <c r="DM59">
        <f>IF($DL59=1,COUNTIF($DL59:$DL$183,1),0)</f>
        <v/>
      </c>
      <c r="DN59">
        <f>IF($D59=1,"",IF($E59="pre","History only",IF($DT59=1,IF($DD59="","⚠ Previous month missing",IF($DD59&lt;0,"⚠ Check: spending &lt; 0",IF($E59="open","✓ Done (partial)","✓ Done"))),IF($B59&gt;=TODAY(),"In progress","⚠ Needs balances"))))</f>
        <v/>
      </c>
      <c r="DO59">
        <f>YEAR($A59)</f>
        <v/>
      </c>
      <c r="DP59">
        <f>DATE(YEAR($A59),INT((MONTH($A59)-1)/3)*3+1,1)</f>
        <v/>
      </c>
      <c r="DQ59">
        <f>IF(AND($DT59=1,$DD59&lt;&gt;"",$D59=0),ROW(),0)</f>
        <v/>
      </c>
      <c r="DR59">
        <f>IF(AND($E59&lt;&gt;"pre",$B59&lt;TODAY(),$DT59=0),1,0)</f>
        <v/>
      </c>
      <c r="DS59">
        <f>IF($DJ59="",NA(),$DJ59)</f>
        <v/>
      </c>
      <c r="DT59">
        <f>IF(AND($E59&lt;&gt;"pre",$CL59=0,COUNTIFS(Settings!$F$19:$F$32,"Yes",Settings!$A$19:$A$32,"&lt;&gt;",Settings!$E$19:$E$32,"&lt;&gt;No")&gt;0),1,0)</f>
        <v/>
      </c>
      <c r="DU59">
        <f>IF(AND($B59&lt;TODAY(),$S59&gt;0),1,0)</f>
        <v/>
      </c>
      <c r="DV59">
        <f>IF($DU59=1,COUNTIF($DU59:$DU$183,1),0)</f>
        <v/>
      </c>
      <c r="DW59">
        <f>IF(AND(OR(Settings!$B$19="Card",Settings!$B$19="Loan"),AND('Month-End'!$BD$7&lt;&gt;"",NOT(_xlfn.ISFORMULA('Month-End'!$BD$7)))),IF(N('Month-End'!$BD$7)&lt;0,1,0),0)+IF(AND(OR(Settings!$B$20="Card",Settings!$B$20="Loan"),AND('Month-End'!$BD$8&lt;&gt;"",NOT(_xlfn.ISFORMULA('Month-End'!$BD$8)))),IF(N('Month-End'!$BD$8)&lt;0,1,0),0)+IF(AND(OR(Settings!$B$21="Card",Settings!$B$21="Loan"),AND('Month-End'!$BD$9&lt;&gt;"",NOT(_xlfn.ISFORMULA('Month-End'!$BD$9)))),IF(N('Month-End'!$BD$9)&lt;0,1,0),0)+IF(AND(OR(Settings!$B$22="Card",Settings!$B$22="Loan"),AND('Month-End'!$BD$10&lt;&gt;"",NOT(_xlfn.ISFORMULA('Month-End'!$BD$10)))),IF(N('Month-End'!$BD$10)&lt;0,1,0),0)+IF(AND(OR(Settings!$B$23="Card",Settings!$B$23="Loan"),AND('Month-End'!$BD$11&lt;&gt;"",NOT(_xlfn.ISFORMULA('Month-End'!$BD$11)))),IF(N('Month-End'!$BD$11)&lt;0,1,0),0)+IF(AND(OR(Settings!$B$24="Card",Settings!$B$24="Loan"),AND('Month-End'!$BD$12&lt;&gt;"",NOT(_xlfn.ISFORMULA('Month-End'!$BD$12)))),IF(N('Month-End'!$BD$12)&lt;0,1,0),0)+IF(AND(OR(Settings!$B$25="Card",Settings!$B$25="Loan"),AND('Month-End'!$BD$13&lt;&gt;"",NOT(_xlfn.ISFORMULA('Month-End'!$BD$13)))),IF(N('Month-End'!$BD$13)&lt;0,1,0),0)+IF(AND(OR(Settings!$B$26="Card",Settings!$B$26="Loan"),AND('Month-End'!$BD$14&lt;&gt;"",NOT(_xlfn.ISFORMULA('Month-End'!$BD$14)))),IF(N('Month-End'!$BD$14)&lt;0,1,0),0)+IF(AND(OR(Settings!$B$27="Card",Settings!$B$27="Loan"),AND('Month-End'!$BD$15&lt;&gt;"",NOT(_xlfn.ISFORMULA('Month-End'!$BD$15)))),IF(N('Month-End'!$BD$15)&lt;0,1,0),0)+IF(AND(OR(Settings!$B$28="Card",Settings!$B$28="Loan"),AND('Month-End'!$BD$16&lt;&gt;"",NOT(_xlfn.ISFORMULA('Month-End'!$BD$16)))),IF(N('Month-End'!$BD$16)&lt;0,1,0),0)+IF(AND(OR(Settings!$B$29="Card",Settings!$B$29="Loan"),AND('Month-End'!$BD$17&lt;&gt;"",NOT(_xlfn.ISFORMULA('Month-End'!$BD$17)))),IF(N('Month-End'!$BD$17)&lt;0,1,0),0)+IF(AND(OR(Settings!$B$30="Card",Settings!$B$30="Loan"),AND('Month-End'!$BD$18&lt;&gt;"",NOT(_xlfn.ISFORMULA('Month-End'!$BD$18)))),IF(N('Month-End'!$BD$18)&lt;0,1,0),0)+IF(AND(OR(Settings!$B$31="Card",Settings!$B$31="Loan"),AND('Month-End'!$BD$19&lt;&gt;"",NOT(_xlfn.ISFORMULA('Month-End'!$BD$19)))),IF(N('Month-End'!$BD$19)&lt;0,1,0),0)+IF(AND(OR(Settings!$B$32="Card",Settings!$B$32="Loan"),AND('Month-End'!$BD$20&lt;&gt;"",NOT(_xlfn.ISFORMULA('Month-End'!$BD$20)))),IF(N('Month-End'!$BD$20)&lt;0,1,0),0)</f>
        <v/>
      </c>
      <c r="DX59">
        <f>IF(Settings!$B$36="Retirement",$AY59,0)+IF(Settings!$B$37="Retirement",$AZ59,0)+IF(Settings!$B$38="Retirement",$BA59,0)+IF(Settings!$B$39="Retirement",$BB59,0)+IF(Settings!$B$40="Retirement",$BC59,0)+IF(Settings!$B$41="Retirement",$BD59,0)</f>
        <v/>
      </c>
      <c r="EA59">
        <f>IF(Settings!$A$41="","",Settings!$A$41)</f>
        <v/>
      </c>
      <c r="EB59">
        <f>IF(Settings!$A$41="","",IF($EB$5=0,N(Settings!$C$41),N(INDEX($AX:$AX,$EB$5))))</f>
        <v/>
      </c>
      <c r="EC59">
        <f>IF(Settings!$A$41="","",N(Settings!$D$41)+SUMIFS($BD$6:$BD$183,$D$6:$D$183,0))</f>
        <v/>
      </c>
      <c r="ED59">
        <f>IF(AND(AND(Settings!$A$41&lt;&gt;"",Settings!$G$41&lt;&gt;"No"),TRUE,Settings!$B$5&lt;EDATE(TODAY(),-6),COUNTIFS($CK$6:$CK$183,1,$A$6:$A$183,"&gt;="&amp;EDATE(TODAY(),-6))=0),1,0)</f>
        <v/>
      </c>
      <c r="EI59">
        <f>IF(AND(Settings!$A$41&lt;&gt;"",Settings!$G$41&lt;&gt;"No"),COUNTIFS($EK$40:$EK59,1),"")</f>
        <v/>
      </c>
      <c r="EJ59">
        <f>IF(Settings!$A$41="","",Settings!$B$41)</f>
        <v/>
      </c>
      <c r="EK59">
        <f>IF(AND(Settings!$A$41&lt;&gt;"",Settings!$G$41&lt;&gt;"No"),1,0)</f>
        <v/>
      </c>
      <c r="EL59">
        <f>IF(Settings!$A$41="","",IF(OR(Settings!$B$41="Card",Settings!$B$41="Loan"),-N(EB59),N(EB59)))</f>
        <v/>
      </c>
      <c r="EM59">
        <f>IF(Settings!$A$41="","",IF(Settings!$F$41="Yes","estimate",""))</f>
        <v/>
      </c>
      <c r="ET59">
        <f>IF($E59&lt;&gt;"open",0,IF(AND('Month-End'!$BD$22&lt;&gt;"",NOT(_xlfn.ISFORMULA('Month-End'!$BD$22))),0,IF(OR(Settings!$C$45="",Settings!$D$45=""),0,Settings!$C$45*IF(Settings!$D$45="Weekly",IF(IFERROR(MATCH(Settings!$E$45,$EO$4:$EO$10,0),0)=0,0,IF(MIN(Settings!$B$5,IF(Settings!$G$45="",Settings!$B$5,Settings!$G$45))&lt;MAX($A59,Settings!$F$45),0,INT((MIN(Settings!$B$5,IF(Settings!$G$45="",Settings!$B$5,Settings!$G$45))-MAX($A59,Settings!$F$45)-MOD(IFERROR(MATCH(Settings!$E$45,$EO$4:$EO$10,0),0)-WEEKDAY(MAX($A59,Settings!$F$45)),7))/7)+1)),IF(AND(IF(Settings!$E$45="",$B59,DATE(YEAR($A59),MONTH($A59),MIN(Settings!$E$45,DAY($B59))))&gt;=MAX($A59,Settings!$F$45),IF(Settings!$E$45="",$B59,DATE(YEAR($A59),MONTH($A59),MIN(Settings!$E$45,DAY($B59))))&lt;=MIN(Settings!$B$5,IF(Settings!$G$45="",Settings!$B$5,Settings!$G$45))),1,0)))))</f>
        <v/>
      </c>
      <c r="EU59">
        <f>IF($E59&lt;&gt;"open",0,IF(AND('Month-End'!$BD$23&lt;&gt;"",NOT(_xlfn.ISFORMULA('Month-End'!$BD$23))),0,IF(OR(Settings!$C$46="",Settings!$D$46=""),0,Settings!$C$46*IF(Settings!$D$46="Weekly",IF(IFERROR(MATCH(Settings!$E$46,$EO$4:$EO$10,0),0)=0,0,IF(MIN(Settings!$B$5,IF(Settings!$G$46="",Settings!$B$5,Settings!$G$46))&lt;MAX($A59,Settings!$F$46),0,INT((MIN(Settings!$B$5,IF(Settings!$G$46="",Settings!$B$5,Settings!$G$46))-MAX($A59,Settings!$F$46)-MOD(IFERROR(MATCH(Settings!$E$46,$EO$4:$EO$10,0),0)-WEEKDAY(MAX($A59,Settings!$F$46)),7))/7)+1)),IF(AND(IF(Settings!$E$46="",$B59,DATE(YEAR($A59),MONTH($A59),MIN(Settings!$E$46,DAY($B59))))&gt;=MAX($A59,Settings!$F$46),IF(Settings!$E$46="",$B59,DATE(YEAR($A59),MONTH($A59),MIN(Settings!$E$46,DAY($B59))))&lt;=MIN(Settings!$B$5,IF(Settings!$G$46="",Settings!$B$5,Settings!$G$46))),1,0)))))</f>
        <v/>
      </c>
      <c r="EV59">
        <f>IF($E59&lt;&gt;"open",0,IF(AND('Month-End'!$BD$24&lt;&gt;"",NOT(_xlfn.ISFORMULA('Month-End'!$BD$24))),0,IF(OR(Settings!$C$47="",Settings!$D$47=""),0,Settings!$C$47*IF(Settings!$D$47="Weekly",IF(IFERROR(MATCH(Settings!$E$47,$EO$4:$EO$10,0),0)=0,0,IF(MIN(Settings!$B$5,IF(Settings!$G$47="",Settings!$B$5,Settings!$G$47))&lt;MAX($A59,Settings!$F$47),0,INT((MIN(Settings!$B$5,IF(Settings!$G$47="",Settings!$B$5,Settings!$G$47))-MAX($A59,Settings!$F$47)-MOD(IFERROR(MATCH(Settings!$E$47,$EO$4:$EO$10,0),0)-WEEKDAY(MAX($A59,Settings!$F$47)),7))/7)+1)),IF(AND(IF(Settings!$E$47="",$B59,DATE(YEAR($A59),MONTH($A59),MIN(Settings!$E$47,DAY($B59))))&gt;=MAX($A59,Settings!$F$47),IF(Settings!$E$47="",$B59,DATE(YEAR($A59),MONTH($A59),MIN(Settings!$E$47,DAY($B59))))&lt;=MIN(Settings!$B$5,IF(Settings!$G$47="",Settings!$B$5,Settings!$G$47))),1,0)))))</f>
        <v/>
      </c>
      <c r="EW59">
        <f>IF($E59&lt;&gt;"open",0,IF(AND('Month-End'!$BD$25&lt;&gt;"",NOT(_xlfn.ISFORMULA('Month-End'!$BD$25))),0,IF(OR(Settings!$C$48="",Settings!$D$48=""),0,Settings!$C$48*IF(Settings!$D$48="Weekly",IF(IFERROR(MATCH(Settings!$E$48,$EO$4:$EO$10,0),0)=0,0,IF(MIN(Settings!$B$5,IF(Settings!$G$48="",Settings!$B$5,Settings!$G$48))&lt;MAX($A59,Settings!$F$48),0,INT((MIN(Settings!$B$5,IF(Settings!$G$48="",Settings!$B$5,Settings!$G$48))-MAX($A59,Settings!$F$48)-MOD(IFERROR(MATCH(Settings!$E$48,$EO$4:$EO$10,0),0)-WEEKDAY(MAX($A59,Settings!$F$48)),7))/7)+1)),IF(AND(IF(Settings!$E$48="",$B59,DATE(YEAR($A59),MONTH($A59),MIN(Settings!$E$48,DAY($B59))))&gt;=MAX($A59,Settings!$F$48),IF(Settings!$E$48="",$B59,DATE(YEAR($A59),MONTH($A59),MIN(Settings!$E$48,DAY($B59))))&lt;=MIN(Settings!$B$5,IF(Settings!$G$48="",Settings!$B$5,Settings!$G$48))),1,0)))))</f>
        <v/>
      </c>
      <c r="EX59">
        <f>IF($E59&lt;&gt;"open",0,IF(AND('Month-End'!$BD$26&lt;&gt;"",NOT(_xlfn.ISFORMULA('Month-End'!$BD$26))),0,IF(OR(Settings!$C$49="",Settings!$D$49=""),0,Settings!$C$49*IF(Settings!$D$49="Weekly",IF(IFERROR(MATCH(Settings!$E$49,$EO$4:$EO$10,0),0)=0,0,IF(MIN(Settings!$B$5,IF(Settings!$G$49="",Settings!$B$5,Settings!$G$49))&lt;MAX($A59,Settings!$F$49),0,INT((MIN(Settings!$B$5,IF(Settings!$G$49="",Settings!$B$5,Settings!$G$49))-MAX($A59,Settings!$F$49)-MOD(IFERROR(MATCH(Settings!$E$49,$EO$4:$EO$10,0),0)-WEEKDAY(MAX($A59,Settings!$F$49)),7))/7)+1)),IF(AND(IF(Settings!$E$49="",$B59,DATE(YEAR($A59),MONTH($A59),MIN(Settings!$E$49,DAY($B59))))&gt;=MAX($A59,Settings!$F$49),IF(Settings!$E$49="",$B59,DATE(YEAR($A59),MONTH($A59),MIN(Settings!$E$49,DAY($B59))))&lt;=MIN(Settings!$B$5,IF(Settings!$G$49="",Settings!$B$5,Settings!$G$49))),1,0)))))</f>
        <v/>
      </c>
      <c r="EY59">
        <f>IF($E59&lt;&gt;"open",0,IF(AND('Month-End'!$BD$27&lt;&gt;"",NOT(_xlfn.ISFORMULA('Month-End'!$BD$27))),0,IF(OR(Settings!$C$50="",Settings!$D$50=""),0,Settings!$C$50*IF(Settings!$D$50="Weekly",IF(IFERROR(MATCH(Settings!$E$50,$EO$4:$EO$10,0),0)=0,0,IF(MIN(Settings!$B$5,IF(Settings!$G$50="",Settings!$B$5,Settings!$G$50))&lt;MAX($A59,Settings!$F$50),0,INT((MIN(Settings!$B$5,IF(Settings!$G$50="",Settings!$B$5,Settings!$G$50))-MAX($A59,Settings!$F$50)-MOD(IFERROR(MATCH(Settings!$E$50,$EO$4:$EO$10,0),0)-WEEKDAY(MAX($A59,Settings!$F$50)),7))/7)+1)),IF(AND(IF(Settings!$E$50="",$B59,DATE(YEAR($A59),MONTH($A59),MIN(Settings!$E$50,DAY($B59))))&gt;=MAX($A59,Settings!$F$50),IF(Settings!$E$50="",$B59,DATE(YEAR($A59),MONTH($A59),MIN(Settings!$E$50,DAY($B59))))&lt;=MIN(Settings!$B$5,IF(Settings!$G$50="",Settings!$B$5,Settings!$G$50))),1,0)))))</f>
        <v/>
      </c>
      <c r="EZ59">
        <f>IF($E59&lt;&gt;"open",0,IF(AND('Month-End'!$BD$28&lt;&gt;"",NOT(_xlfn.ISFORMULA('Month-End'!$BD$28))),0,IF(OR(Settings!$C$51="",Settings!$D$51=""),0,Settings!$C$51*IF(Settings!$D$51="Weekly",IF(IFERROR(MATCH(Settings!$E$51,$EO$4:$EO$10,0),0)=0,0,IF(MIN(Settings!$B$5,IF(Settings!$G$51="",Settings!$B$5,Settings!$G$51))&lt;MAX($A59,Settings!$F$51),0,INT((MIN(Settings!$B$5,IF(Settings!$G$51="",Settings!$B$5,Settings!$G$51))-MAX($A59,Settings!$F$51)-MOD(IFERROR(MATCH(Settings!$E$51,$EO$4:$EO$10,0),0)-WEEKDAY(MAX($A59,Settings!$F$51)),7))/7)+1)),IF(AND(IF(Settings!$E$51="",$B59,DATE(YEAR($A59),MONTH($A59),MIN(Settings!$E$51,DAY($B59))))&gt;=MAX($A59,Settings!$F$51),IF(Settings!$E$51="",$B59,DATE(YEAR($A59),MONTH($A59),MIN(Settings!$E$51,DAY($B59))))&lt;=MIN(Settings!$B$5,IF(Settings!$G$51="",Settings!$B$5,Settings!$G$51))),1,0)))))</f>
        <v/>
      </c>
      <c r="FA59">
        <f>IF($E59&lt;&gt;"open",0,IF(AND('Month-End'!$BD$29&lt;&gt;"",NOT(_xlfn.ISFORMULA('Month-End'!$BD$29))),0,IF(OR(Settings!$C$52="",Settings!$D$52=""),0,Settings!$C$52*IF(Settings!$D$52="Weekly",IF(IFERROR(MATCH(Settings!$E$52,$EO$4:$EO$10,0),0)=0,0,IF(MIN(Settings!$B$5,IF(Settings!$G$52="",Settings!$B$5,Settings!$G$52))&lt;MAX($A59,Settings!$F$52),0,INT((MIN(Settings!$B$5,IF(Settings!$G$52="",Settings!$B$5,Settings!$G$52))-MAX($A59,Settings!$F$52)-MOD(IFERROR(MATCH(Settings!$E$52,$EO$4:$EO$10,0),0)-WEEKDAY(MAX($A59,Settings!$F$52)),7))/7)+1)),IF(AND(IF(Settings!$E$52="",$B59,DATE(YEAR($A59),MONTH($A59),MIN(Settings!$E$52,DAY($B59))))&gt;=MAX($A59,Settings!$F$52),IF(Settings!$E$52="",$B59,DATE(YEAR($A59),MONTH($A59),MIN(Settings!$E$52,DAY($B59))))&lt;=MIN(Settings!$B$5,IF(Settings!$G$52="",Settings!$B$5,Settings!$G$52))),1,0)))))</f>
        <v/>
      </c>
      <c r="FB59">
        <f>IF($E59&lt;&gt;"open",0,IF(AND('Month-End'!$BD$30&lt;&gt;"",NOT(_xlfn.ISFORMULA('Month-End'!$BD$30))),0,IF(OR(Settings!$C$53="",Settings!$D$53=""),0,Settings!$C$53*IF(Settings!$D$53="Weekly",IF(IFERROR(MATCH(Settings!$E$53,$EO$4:$EO$10,0),0)=0,0,IF(MIN(Settings!$B$5,IF(Settings!$G$53="",Settings!$B$5,Settings!$G$53))&lt;MAX($A59,Settings!$F$53),0,INT((MIN(Settings!$B$5,IF(Settings!$G$53="",Settings!$B$5,Settings!$G$53))-MAX($A59,Settings!$F$53)-MOD(IFERROR(MATCH(Settings!$E$53,$EO$4:$EO$10,0),0)-WEEKDAY(MAX($A59,Settings!$F$53)),7))/7)+1)),IF(AND(IF(Settings!$E$53="",$B59,DATE(YEAR($A59),MONTH($A59),MIN(Settings!$E$53,DAY($B59))))&gt;=MAX($A59,Settings!$F$53),IF(Settings!$E$53="",$B59,DATE(YEAR($A59),MONTH($A59),MIN(Settings!$E$53,DAY($B59))))&lt;=MIN(Settings!$B$5,IF(Settings!$G$53="",Settings!$B$5,Settings!$G$53))),1,0)))))</f>
        <v/>
      </c>
      <c r="FC59">
        <f>IF($E59&lt;&gt;"open",0,IF(AND('Month-End'!$BD$31&lt;&gt;"",NOT(_xlfn.ISFORMULA('Month-End'!$BD$31))),0,IF(OR(Settings!$C$54="",Settings!$D$54=""),0,Settings!$C$54*IF(Settings!$D$54="Weekly",IF(IFERROR(MATCH(Settings!$E$54,$EO$4:$EO$10,0),0)=0,0,IF(MIN(Settings!$B$5,IF(Settings!$G$54="",Settings!$B$5,Settings!$G$54))&lt;MAX($A59,Settings!$F$54),0,INT((MIN(Settings!$B$5,IF(Settings!$G$54="",Settings!$B$5,Settings!$G$54))-MAX($A59,Settings!$F$54)-MOD(IFERROR(MATCH(Settings!$E$54,$EO$4:$EO$10,0),0)-WEEKDAY(MAX($A59,Settings!$F$54)),7))/7)+1)),IF(AND(IF(Settings!$E$54="",$B59,DATE(YEAR($A59),MONTH($A59),MIN(Settings!$E$54,DAY($B59))))&gt;=MAX($A59,Settings!$F$54),IF(Settings!$E$54="",$B59,DATE(YEAR($A59),MONTH($A59),MIN(Settings!$E$54,DAY($B59))))&lt;=MIN(Settings!$B$5,IF(Settings!$G$54="",Settings!$B$5,Settings!$G$54))),1,0)))))</f>
        <v/>
      </c>
      <c r="FD59">
        <f>IF($E59&lt;&gt;"open",0,IF(AND('Month-End'!$BD$32&lt;&gt;"",NOT(_xlfn.ISFORMULA('Month-End'!$BD$32))),0,IF(OR(Settings!$C$55="",Settings!$D$55=""),0,Settings!$C$55*IF(Settings!$D$55="Weekly",IF(IFERROR(MATCH(Settings!$E$55,$EO$4:$EO$10,0),0)=0,0,IF(MIN(Settings!$B$5,IF(Settings!$G$55="",Settings!$B$5,Settings!$G$55))&lt;MAX($A59,Settings!$F$55),0,INT((MIN(Settings!$B$5,IF(Settings!$G$55="",Settings!$B$5,Settings!$G$55))-MAX($A59,Settings!$F$55)-MOD(IFERROR(MATCH(Settings!$E$55,$EO$4:$EO$10,0),0)-WEEKDAY(MAX($A59,Settings!$F$55)),7))/7)+1)),IF(AND(IF(Settings!$E$55="",$B59,DATE(YEAR($A59),MONTH($A59),MIN(Settings!$E$55,DAY($B59))))&gt;=MAX($A59,Settings!$F$55),IF(Settings!$E$55="",$B59,DATE(YEAR($A59),MONTH($A59),MIN(Settings!$E$55,DAY($B59))))&lt;=MIN(Settings!$B$5,IF(Settings!$G$55="",Settings!$B$5,Settings!$G$55))),1,0)))))</f>
        <v/>
      </c>
      <c r="FE59">
        <f>IF($E59&lt;&gt;"open",0,IF(AND('Month-End'!$BD$33&lt;&gt;"",NOT(_xlfn.ISFORMULA('Month-End'!$BD$33))),0,IF(OR(Settings!$C$56="",Settings!$D$56=""),0,Settings!$C$56*IF(Settings!$D$56="Weekly",IF(IFERROR(MATCH(Settings!$E$56,$EO$4:$EO$10,0),0)=0,0,IF(MIN(Settings!$B$5,IF(Settings!$G$56="",Settings!$B$5,Settings!$G$56))&lt;MAX($A59,Settings!$F$56),0,INT((MIN(Settings!$B$5,IF(Settings!$G$56="",Settings!$B$5,Settings!$G$56))-MAX($A59,Settings!$F$56)-MOD(IFERROR(MATCH(Settings!$E$56,$EO$4:$EO$10,0),0)-WEEKDAY(MAX($A59,Settings!$F$56)),7))/7)+1)),IF(AND(IF(Settings!$E$56="",$B59,DATE(YEAR($A59),MONTH($A59),MIN(Settings!$E$56,DAY($B59))))&gt;=MAX($A59,Settings!$F$56),IF(Settings!$E$56="",$B59,DATE(YEAR($A59),MONTH($A59),MIN(Settings!$E$56,DAY($B59))))&lt;=MIN(Settings!$B$5,IF(Settings!$G$56="",Settings!$B$5,Settings!$G$56))),1,0)))))</f>
        <v/>
      </c>
      <c r="FF59">
        <f>IF(Settings!$I$45="Yes",$G59,0)+IF(Settings!$I$46="Yes",$H59,0)+IF(Settings!$I$47="Yes",$I59,0)+IF(Settings!$I$48="Yes",$J59,0)+IF(Settings!$I$49="Yes",$K59,0)+IF(Settings!$I$50="Yes",$L59,0)+IF(Settings!$I$51="Yes",$M59,0)+IF(Settings!$I$52="Yes",$N59,0)+IF(Settings!$I$53="Yes",$O59,0)+IF(Settings!$I$54="Yes",$P59,0)+IF(Settings!$I$55="Yes",$Q59,0)+IF(Settings!$I$56="Yes",$R59,0)</f>
        <v/>
      </c>
      <c r="FG59">
        <f>IF(AND(Settings!$I$45="Yes",Settings!$J$45="No"),$G59,0)+IF(AND(Settings!$I$46="Yes",Settings!$J$46="No"),$H59,0)+IF(AND(Settings!$I$47="Yes",Settings!$J$47="No"),$I59,0)+IF(AND(Settings!$I$48="Yes",Settings!$J$48="No"),$J59,0)+IF(AND(Settings!$I$49="Yes",Settings!$J$49="No"),$K59,0)+IF(AND(Settings!$I$50="Yes",Settings!$J$50="No"),$L59,0)+IF(AND(Settings!$I$51="Yes",Settings!$J$51="No"),$M59,0)+IF(AND(Settings!$I$52="Yes",Settings!$J$52="No"),$N59,0)+IF(AND(Settings!$I$53="Yes",Settings!$J$53="No"),$O59,0)+IF(AND(Settings!$I$54="Yes",Settings!$J$54="No"),$P59,0)+IF(AND(Settings!$I$55="Yes",Settings!$J$55="No"),$Q59,0)+IF(AND(Settings!$I$56="Yes",Settings!$J$56="No"),$R59,0)</f>
        <v/>
      </c>
      <c r="FH59">
        <f>SUMIFS(Giving!$B$7:$B$2006,Giving!$A$7:$A$2006,"&gt;="&amp;$A59,Giving!$A$7:$A$2006,"&lt;="&amp;$B59,Giving!$G$7:$G$2006,"Yes")+IF(OR(OR(Settings!$B$60="",Settings!$F$60="No"),Settings!$H$60&lt;&gt;"Yes"),0,Settings!$B$60*IF(AND(IF(Settings!$C$60="",$B59,DATE(YEAR($A59),MONTH($A59),MIN(Settings!$C$60,DAY($B59))))&gt;=MAX($A59,Settings!$D$60),IF(Settings!$C$60="",$B59,DATE(YEAR($A59),MONTH($A59),MIN(Settings!$C$60,DAY($B59))))&lt;=MIN($C59,IF(Settings!$E$60="",$C59,Settings!$E$60))),1,0))+IF(OR(OR(Settings!$B$61="",Settings!$F$61="No"),Settings!$H$61&lt;&gt;"Yes"),0,Settings!$B$61*IF(AND(IF(Settings!$C$61="",$B59,DATE(YEAR($A59),MONTH($A59),MIN(Settings!$C$61,DAY($B59))))&gt;=MAX($A59,Settings!$D$61),IF(Settings!$C$61="",$B59,DATE(YEAR($A59),MONTH($A59),MIN(Settings!$C$61,DAY($B59))))&lt;=MIN($C59,IF(Settings!$E$61="",$C59,Settings!$E$61))),1,0))+IF(OR(OR(Settings!$B$62="",Settings!$F$62="No"),Settings!$H$62&lt;&gt;"Yes"),0,Settings!$B$62*IF(AND(IF(Settings!$C$62="",$B59,DATE(YEAR($A59),MONTH($A59),MIN(Settings!$C$62,DAY($B59))))&gt;=MAX($A59,Settings!$D$62),IF(Settings!$C$62="",$B59,DATE(YEAR($A59),MONTH($A59),MIN(Settings!$C$62,DAY($B59))))&lt;=MIN($C59,IF(Settings!$E$62="",$C59,Settings!$E$62))),1,0))+IF(OR(OR(Settings!$B$63="",Settings!$F$63="No"),Settings!$H$63&lt;&gt;"Yes"),0,Settings!$B$63*IF(AND(IF(Settings!$C$63="",$B59,DATE(YEAR($A59),MONTH($A59),MIN(Settings!$C$63,DAY($B59))))&gt;=MAX($A59,Settings!$D$63),IF(Settings!$C$63="",$B59,DATE(YEAR($A59),MONTH($A59),MIN(Settings!$C$63,DAY($B59))))&lt;=MIN($C59,IF(Settings!$E$63="",$C59,Settings!$E$63))),1,0))+IF(OR(OR(Settings!$B$64="",Settings!$F$64="No"),Settings!$H$64&lt;&gt;"Yes"),0,Settings!$B$64*IF(AND(IF(Settings!$C$64="",$B59,DATE(YEAR($A59),MONTH($A59),MIN(Settings!$C$64,DAY($B59))))&gt;=MAX($A59,Settings!$D$64),IF(Settings!$C$64="",$B59,DATE(YEAR($A59),MONTH($A59),MIN(Settings!$C$64,DAY($B59))))&lt;=MIN($C59,IF(Settings!$E$64="",$C59,Settings!$E$64))),1,0))+IF(OR(OR(Settings!$B$65="",Settings!$F$65="No"),Settings!$H$65&lt;&gt;"Yes"),0,Settings!$B$65*IF(AND(IF(Settings!$C$65="",$B59,DATE(YEAR($A59),MONTH($A59),MIN(Settings!$C$65,DAY($B59))))&gt;=MAX($A59,Settings!$D$65),IF(Settings!$C$65="",$B59,DATE(YEAR($A59),MONTH($A59),MIN(Settings!$C$65,DAY($B59))))&lt;=MIN($C59,IF(Settings!$E$65="",$C59,Settings!$E$65))),1,0))</f>
        <v/>
      </c>
      <c r="FI59">
        <f>IF($DT59=1,IF(OR(Settings!$B$19="Card",Settings!$B$19="Loan"),N($AE59),0)+IF(OR(Settings!$B$20="Card",Settings!$B$20="Loan"),N($AF59),0)+IF(OR(Settings!$B$21="Card",Settings!$B$21="Loan"),N($AG59),0)+IF(OR(Settings!$B$22="Card",Settings!$B$22="Loan"),N($AH59),0)+IF(OR(Settings!$B$23="Card",Settings!$B$23="Loan"),N($AI59),0)+IF(OR(Settings!$B$24="Card",Settings!$B$24="Loan"),N($AJ59),0)+IF(OR(Settings!$B$25="Card",Settings!$B$25="Loan"),N($AK59),0)+IF(OR(Settings!$B$26="Card",Settings!$B$26="Loan"),N($AL59),0)+IF(OR(Settings!$B$27="Card",Settings!$B$27="Loan"),N($AM59),0)+IF(OR(Settings!$B$28="Card",Settings!$B$28="Loan"),N($AN59),0)+IF(OR(Settings!$B$29="Card",Settings!$B$29="Loan"),N($AO59),0)+IF(OR(Settings!$B$30="Card",Settings!$B$30="Loan"),N($AP59),0)+IF(OR(Settings!$B$31="Card",Settings!$B$31="Loan"),N($AQ59),0)+IF(OR(Settings!$B$32="Card",Settings!$B$32="Loan"),N($AR59),0),"")</f>
        <v/>
      </c>
      <c r="FJ59">
        <f>IF($E59="open",$EB$65,IF($E59="post",IF($E58="pre",$EB$65,$FI58),""))</f>
        <v/>
      </c>
      <c r="FK59">
        <f>IF(AND($DT59=1,$DC59=1),IF(ROUND($FI59-$FJ59,2)&gt;0,1,0),0)</f>
        <v/>
      </c>
      <c r="FL59">
        <f>IF($FK59=1,$FL58+1,0)</f>
        <v/>
      </c>
    </row>
    <row r="60">
      <c r="A60">
        <f>'Month-End'!$BE$4</f>
        <v/>
      </c>
      <c r="B60">
        <f>EOMONTH($A60,0)</f>
        <v/>
      </c>
      <c r="C60">
        <f>MIN($B60,TODAY())</f>
        <v/>
      </c>
      <c r="D60">
        <f>IF($A60&gt;TODAY(),1,0)</f>
        <v/>
      </c>
      <c r="E60">
        <f>IF($B60&lt;=Settings!$B$5,"pre",IF($A60&lt;=Settings!$B$5,"open","post"))</f>
        <v/>
      </c>
      <c r="G60">
        <f>IF('Month-End'!$BE$22="",$BE60,N('Month-End'!$BE$22))</f>
        <v/>
      </c>
      <c r="H60">
        <f>IF('Month-End'!$BE$23="",$BF60,N('Month-End'!$BE$23))</f>
        <v/>
      </c>
      <c r="I60">
        <f>IF('Month-End'!$BE$24="",$BG60,N('Month-End'!$BE$24))</f>
        <v/>
      </c>
      <c r="J60">
        <f>IF('Month-End'!$BE$25="",$BH60,N('Month-End'!$BE$25))</f>
        <v/>
      </c>
      <c r="K60">
        <f>IF('Month-End'!$BE$26="",$BI60,N('Month-End'!$BE$26))</f>
        <v/>
      </c>
      <c r="L60">
        <f>IF('Month-End'!$BE$27="",$BJ60,N('Month-End'!$BE$27))</f>
        <v/>
      </c>
      <c r="M60">
        <f>IF('Month-End'!$BE$28="",$BK60,N('Month-End'!$BE$28))</f>
        <v/>
      </c>
      <c r="N60">
        <f>IF('Month-End'!$BE$29="",$BL60,N('Month-End'!$BE$29))</f>
        <v/>
      </c>
      <c r="O60">
        <f>IF('Month-End'!$BE$30="",$BM60,N('Month-End'!$BE$30))</f>
        <v/>
      </c>
      <c r="P60">
        <f>IF('Month-End'!$BE$31="",$BN60,N('Month-End'!$BE$31))</f>
        <v/>
      </c>
      <c r="Q60">
        <f>IF('Month-End'!$BE$32="",$BO60,N('Month-End'!$BE$32))</f>
        <v/>
      </c>
      <c r="R60">
        <f>IF('Month-End'!$BE$33="",$BP60,N('Month-End'!$BE$33))</f>
        <v/>
      </c>
      <c r="S60">
        <f>$G60+$H60+$I60+$J60+$K60+$L60+$M60+$N60+$O60+$P60+$Q60+$R60</f>
        <v/>
      </c>
      <c r="T60">
        <f>IF($B60&lt;Settings!$B$6,0,IF(Settings!$B$45="Yes",$G60,0)+IF(Settings!$B$46="Yes",$H60,0)+IF(Settings!$B$47="Yes",$I60,0)+IF(Settings!$B$48="Yes",$J60,0)+IF(Settings!$B$49="Yes",$K60,0)+IF(Settings!$B$50="Yes",$L60,0)+IF(Settings!$B$51="Yes",$M60,0)+IF(Settings!$B$52="Yes",$N60,0)+IF(Settings!$B$53="Yes",$O60,0)+IF(Settings!$B$54="Yes",$P60,0)+IF(Settings!$B$55="Yes",$Q60,0)+IF(Settings!$B$56="Yes",$R60,0))</f>
        <v/>
      </c>
      <c r="U60">
        <f>IF(Settings!$B$45="Not Sure",$G60,0)+IF(Settings!$B$46="Not Sure",$H60,0)+IF(Settings!$B$47="Not Sure",$I60,0)+IF(Settings!$B$48="Not Sure",$J60,0)+IF(Settings!$B$49="Not Sure",$K60,0)+IF(Settings!$B$50="Not Sure",$L60,0)+IF(Settings!$B$51="Not Sure",$M60,0)+IF(Settings!$B$52="Not Sure",$N60,0)+IF(Settings!$B$53="Not Sure",$O60,0)+IF(Settings!$B$54="Not Sure",$P60,0)+IF(Settings!$B$55="Not Sure",$Q60,0)+IF(Settings!$B$56="Not Sure",$R60,0)</f>
        <v/>
      </c>
      <c r="V60">
        <f>IF($E60="open",SUM($ET60:$FE60)+N(Settings!$B$13),0)</f>
        <v/>
      </c>
      <c r="W60">
        <f>IF($E60="post",$S60,IF($E60="open",$S60-$V60,0))</f>
        <v/>
      </c>
      <c r="X60">
        <f>SUMIFS(Giving!$B$7:$B$2006,Giving!$A$7:$A$2006,"&gt;="&amp;$A60,Giving!$A$7:$A$2006,"&lt;="&amp;$B60,Giving!$E$7:$E$2006,"&lt;&gt;No")</f>
        <v/>
      </c>
      <c r="Y60">
        <f>SUMIFS(Giving!$B$7:$B$2006,Giving!$A$7:$A$2006,"&gt;="&amp;$A60,Giving!$A$7:$A$2006,"&lt;="&amp;$B60,Giving!$E$7:$E$2006,"No")</f>
        <v/>
      </c>
      <c r="Z60">
        <f>IF(OR(Settings!$B$60="",Settings!$F$60="No"),0,Settings!$B$60*IF(AND(IF(Settings!$C$60="",$B60,DATE(YEAR($A60),MONTH($A60),MIN(Settings!$C$60,DAY($B60))))&gt;=MAX($A60,Settings!$D$60),IF(Settings!$C$60="",$B60,DATE(YEAR($A60),MONTH($A60),MIN(Settings!$C$60,DAY($B60))))&lt;=MIN($C60,IF(Settings!$E$60="",$C60,Settings!$E$60))),1,0))+IF(OR(Settings!$B$61="",Settings!$F$61="No"),0,Settings!$B$61*IF(AND(IF(Settings!$C$61="",$B60,DATE(YEAR($A60),MONTH($A60),MIN(Settings!$C$61,DAY($B60))))&gt;=MAX($A60,Settings!$D$61),IF(Settings!$C$61="",$B60,DATE(YEAR($A60),MONTH($A60),MIN(Settings!$C$61,DAY($B60))))&lt;=MIN($C60,IF(Settings!$E$61="",$C60,Settings!$E$61))),1,0))+IF(OR(Settings!$B$62="",Settings!$F$62="No"),0,Settings!$B$62*IF(AND(IF(Settings!$C$62="",$B60,DATE(YEAR($A60),MONTH($A60),MIN(Settings!$C$62,DAY($B60))))&gt;=MAX($A60,Settings!$D$62),IF(Settings!$C$62="",$B60,DATE(YEAR($A60),MONTH($A60),MIN(Settings!$C$62,DAY($B60))))&lt;=MIN($C60,IF(Settings!$E$62="",$C60,Settings!$E$62))),1,0))+IF(OR(Settings!$B$63="",Settings!$F$63="No"),0,Settings!$B$63*IF(AND(IF(Settings!$C$63="",$B60,DATE(YEAR($A60),MONTH($A60),MIN(Settings!$C$63,DAY($B60))))&gt;=MAX($A60,Settings!$D$63),IF(Settings!$C$63="",$B60,DATE(YEAR($A60),MONTH($A60),MIN(Settings!$C$63,DAY($B60))))&lt;=MIN($C60,IF(Settings!$E$63="",$C60,Settings!$E$63))),1,0))+IF(OR(Settings!$B$64="",Settings!$F$64="No"),0,Settings!$B$64*IF(AND(IF(Settings!$C$64="",$B60,DATE(YEAR($A60),MONTH($A60),MIN(Settings!$C$64,DAY($B60))))&gt;=MAX($A60,Settings!$D$64),IF(Settings!$C$64="",$B60,DATE(YEAR($A60),MONTH($A60),MIN(Settings!$C$64,DAY($B60))))&lt;=MIN($C60,IF(Settings!$E$64="",$C60,Settings!$E$64))),1,0))+IF(OR(Settings!$B$65="",Settings!$F$65="No"),0,Settings!$B$65*IF(AND(IF(Settings!$C$65="",$B60,DATE(YEAR($A60),MONTH($A60),MIN(Settings!$C$65,DAY($B60))))&gt;=MAX($A60,Settings!$D$65),IF(Settings!$C$65="",$B60,DATE(YEAR($A60),MONTH($A60),MIN(Settings!$C$65,DAY($B60))))&lt;=MIN($C60,IF(Settings!$E$65="",$C60,Settings!$E$65))),1,0))</f>
        <v/>
      </c>
      <c r="AA60">
        <f>$X60+$Z60</f>
        <v/>
      </c>
      <c r="AB60">
        <f>IF($E60="post",$AA60,IF($E60="open",SUMIFS(Giving!$B$7:$B$2006,Giving!$A$7:$A$2006,"&gt;"&amp;Settings!$B$5,Giving!$A$7:$A$2006,"&lt;="&amp;$B60,Giving!$E$7:$E$2006,"&lt;&gt;No")+IF(OR(Settings!$B$60="",Settings!$F$60="No"),0,Settings!$B$60*IF(AND(IF(Settings!$C$60="",$B60,DATE(YEAR($A60),MONTH($A60),MIN(Settings!$C$60,DAY($B60))))&gt;=MAX($A60,Settings!$D$60,Settings!$B$5+1),IF(Settings!$C$60="",$B60,DATE(YEAR($A60),MONTH($A60),MIN(Settings!$C$60,DAY($B60))))&lt;=MIN($C60,IF(Settings!$E$60="",$C60,Settings!$E$60))),1,0))+IF(OR(Settings!$B$61="",Settings!$F$61="No"),0,Settings!$B$61*IF(AND(IF(Settings!$C$61="",$B60,DATE(YEAR($A60),MONTH($A60),MIN(Settings!$C$61,DAY($B60))))&gt;=MAX($A60,Settings!$D$61,Settings!$B$5+1),IF(Settings!$C$61="",$B60,DATE(YEAR($A60),MONTH($A60),MIN(Settings!$C$61,DAY($B60))))&lt;=MIN($C60,IF(Settings!$E$61="",$C60,Settings!$E$61))),1,0))+IF(OR(Settings!$B$62="",Settings!$F$62="No"),0,Settings!$B$62*IF(AND(IF(Settings!$C$62="",$B60,DATE(YEAR($A60),MONTH($A60),MIN(Settings!$C$62,DAY($B60))))&gt;=MAX($A60,Settings!$D$62,Settings!$B$5+1),IF(Settings!$C$62="",$B60,DATE(YEAR($A60),MONTH($A60),MIN(Settings!$C$62,DAY($B60))))&lt;=MIN($C60,IF(Settings!$E$62="",$C60,Settings!$E$62))),1,0))+IF(OR(Settings!$B$63="",Settings!$F$63="No"),0,Settings!$B$63*IF(AND(IF(Settings!$C$63="",$B60,DATE(YEAR($A60),MONTH($A60),MIN(Settings!$C$63,DAY($B60))))&gt;=MAX($A60,Settings!$D$63,Settings!$B$5+1),IF(Settings!$C$63="",$B60,DATE(YEAR($A60),MONTH($A60),MIN(Settings!$C$63,DAY($B60))))&lt;=MIN($C60,IF(Settings!$E$63="",$C60,Settings!$E$63))),1,0))+IF(OR(Settings!$B$64="",Settings!$F$64="No"),0,Settings!$B$64*IF(AND(IF(Settings!$C$64="",$B60,DATE(YEAR($A60),MONTH($A60),MIN(Settings!$C$64,DAY($B60))))&gt;=MAX($A60,Settings!$D$64,Settings!$B$5+1),IF(Settings!$C$64="",$B60,DATE(YEAR($A60),MONTH($A60),MIN(Settings!$C$64,DAY($B60))))&lt;=MIN($C60,IF(Settings!$E$64="",$C60,Settings!$E$64))),1,0))+IF(OR(Settings!$B$65="",Settings!$F$65="No"),0,Settings!$B$65*IF(AND(IF(Settings!$C$65="",$B60,DATE(YEAR($A60),MONTH($A60),MIN(Settings!$C$65,DAY($B60))))&gt;=MAX($A60,Settings!$D$65,Settings!$B$5+1),IF(Settings!$C$65="",$B60,DATE(YEAR($A60),MONTH($A60),MIN(Settings!$C$65,DAY($B60))))&lt;=MIN($C60,IF(Settings!$E$65="",$C60,Settings!$E$65))),1,0)),0))</f>
        <v/>
      </c>
      <c r="AC60">
        <f>$AY60+$AZ60+$BA60+$BB60+$BC60+$BD60</f>
        <v/>
      </c>
      <c r="AD60">
        <f>$AC60</f>
        <v/>
      </c>
      <c r="AE60">
        <f>IF(OR(Settings!$A$19="",$E60="pre"),"",IF(AND('Month-End'!$BE$7&lt;&gt;"",NOT(_xlfn.ISFORMULA('Month-End'!$BE$7))),N('Month-End'!$BE$7),IF(OR($E60="open",$E59="pre"),N(Settings!$C$19),N($AE59))))</f>
        <v/>
      </c>
      <c r="AF60">
        <f>IF(OR(Settings!$A$20="",$E60="pre"),"",IF(AND('Month-End'!$BE$8&lt;&gt;"",NOT(_xlfn.ISFORMULA('Month-End'!$BE$8))),N('Month-End'!$BE$8),IF(OR($E60="open",$E59="pre"),N(Settings!$C$20),N($AF59))))</f>
        <v/>
      </c>
      <c r="AG60">
        <f>IF(OR(Settings!$A$21="",$E60="pre"),"",IF(AND('Month-End'!$BE$9&lt;&gt;"",NOT(_xlfn.ISFORMULA('Month-End'!$BE$9))),N('Month-End'!$BE$9),IF(OR($E60="open",$E59="pre"),N(Settings!$C$21),N($AG59))))</f>
        <v/>
      </c>
      <c r="AH60">
        <f>IF(OR(Settings!$A$22="",$E60="pre"),"",IF(AND('Month-End'!$BE$10&lt;&gt;"",NOT(_xlfn.ISFORMULA('Month-End'!$BE$10))),N('Month-End'!$BE$10),IF(OR($E60="open",$E59="pre"),N(Settings!$C$22),N($AH59))))</f>
        <v/>
      </c>
      <c r="AI60">
        <f>IF(OR(Settings!$A$23="",$E60="pre"),"",IF(AND('Month-End'!$BE$11&lt;&gt;"",NOT(_xlfn.ISFORMULA('Month-End'!$BE$11))),N('Month-End'!$BE$11),IF(OR($E60="open",$E59="pre"),N(Settings!$C$23),N($AI59))))</f>
        <v/>
      </c>
      <c r="AJ60">
        <f>IF(OR(Settings!$A$24="",$E60="pre"),"",IF(AND('Month-End'!$BE$12&lt;&gt;"",NOT(_xlfn.ISFORMULA('Month-End'!$BE$12))),N('Month-End'!$BE$12),IF(OR($E60="open",$E59="pre"),N(Settings!$C$24),N($AJ59))))</f>
        <v/>
      </c>
      <c r="AK60">
        <f>IF(OR(Settings!$A$25="",$E60="pre"),"",IF(AND('Month-End'!$BE$13&lt;&gt;"",NOT(_xlfn.ISFORMULA('Month-End'!$BE$13))),N('Month-End'!$BE$13),IF(OR($E60="open",$E59="pre"),N(Settings!$C$25),N($AK59))))</f>
        <v/>
      </c>
      <c r="AL60">
        <f>IF(OR(Settings!$A$26="",$E60="pre"),"",IF(AND('Month-End'!$BE$14&lt;&gt;"",NOT(_xlfn.ISFORMULA('Month-End'!$BE$14))),N('Month-End'!$BE$14),IF(OR($E60="open",$E59="pre"),N(Settings!$C$26),N($AL59))))</f>
        <v/>
      </c>
      <c r="AM60">
        <f>IF(OR(Settings!$A$27="",$E60="pre"),"",IF(AND('Month-End'!$BE$15&lt;&gt;"",NOT(_xlfn.ISFORMULA('Month-End'!$BE$15))),N('Month-End'!$BE$15),IF(OR($E60="open",$E59="pre"),N(Settings!$C$27),N($AM59))))</f>
        <v/>
      </c>
      <c r="AN60">
        <f>IF(OR(Settings!$A$28="",$E60="pre"),"",IF(AND('Month-End'!$BE$16&lt;&gt;"",NOT(_xlfn.ISFORMULA('Month-End'!$BE$16))),N('Month-End'!$BE$16),IF(OR($E60="open",$E59="pre"),N(Settings!$C$28),N($AN59))))</f>
        <v/>
      </c>
      <c r="AO60">
        <f>IF(OR(Settings!$A$29="",$E60="pre"),"",IF(AND('Month-End'!$BE$17&lt;&gt;"",NOT(_xlfn.ISFORMULA('Month-End'!$BE$17))),N('Month-End'!$BE$17),IF(OR($E60="open",$E59="pre"),N(Settings!$C$29),N($AO59))))</f>
        <v/>
      </c>
      <c r="AP60">
        <f>IF(OR(Settings!$A$30="",$E60="pre"),"",IF(AND('Month-End'!$BE$18&lt;&gt;"",NOT(_xlfn.ISFORMULA('Month-End'!$BE$18))),N('Month-End'!$BE$18),IF(OR($E60="open",$E59="pre"),N(Settings!$C$30),N($AP59))))</f>
        <v/>
      </c>
      <c r="AQ60">
        <f>IF(OR(Settings!$A$31="",$E60="pre"),"",IF(AND('Month-End'!$BE$19&lt;&gt;"",NOT(_xlfn.ISFORMULA('Month-End'!$BE$19))),N('Month-End'!$BE$19),IF(OR($E60="open",$E59="pre"),N(Settings!$C$31),N($AQ59))))</f>
        <v/>
      </c>
      <c r="AR60">
        <f>IF(OR(Settings!$A$32="",$E60="pre"),"",IF(AND('Month-End'!$BE$20&lt;&gt;"",NOT(_xlfn.ISFORMULA('Month-End'!$BE$20))),N('Month-End'!$BE$20),IF(OR($E60="open",$E59="pre"),N(Settings!$C$32),N($AR59))))</f>
        <v/>
      </c>
      <c r="AS60">
        <f>IF(OR(Settings!$A$36="",$E60="pre"),"",IF(AND('Month-End'!$BE$38&lt;&gt;"",NOT(_xlfn.ISFORMULA('Month-End'!$BE$38))),N('Month-End'!$BE$38),IF(OR($E60="open",$E59="pre"),N(Settings!$C$36),N($AS59))+$AY60))</f>
        <v/>
      </c>
      <c r="AT60">
        <f>IF(OR(Settings!$A$37="",$E60="pre"),"",IF(AND('Month-End'!$BE$39&lt;&gt;"",NOT(_xlfn.ISFORMULA('Month-End'!$BE$39))),N('Month-End'!$BE$39),IF(OR($E60="open",$E59="pre"),N(Settings!$C$37),N($AT59))+$AZ60))</f>
        <v/>
      </c>
      <c r="AU60">
        <f>IF(OR(Settings!$A$38="",$E60="pre"),"",IF(AND('Month-End'!$BE$40&lt;&gt;"",NOT(_xlfn.ISFORMULA('Month-End'!$BE$40))),N('Month-End'!$BE$40),IF(OR($E60="open",$E59="pre"),N(Settings!$C$38),N($AU59))+$BA60))</f>
        <v/>
      </c>
      <c r="AV60">
        <f>IF(OR(Settings!$A$39="",$E60="pre"),"",IF(AND('Month-End'!$BE$41&lt;&gt;"",NOT(_xlfn.ISFORMULA('Month-End'!$BE$41))),N('Month-End'!$BE$41),IF(OR($E60="open",$E59="pre"),N(Settings!$C$39),N($AV59))+$BB60))</f>
        <v/>
      </c>
      <c r="AW60">
        <f>IF(OR(Settings!$A$40="",$E60="pre"),"",IF(AND('Month-End'!$BE$42&lt;&gt;"",NOT(_xlfn.ISFORMULA('Month-End'!$BE$42))),N('Month-End'!$BE$42),IF(OR($E60="open",$E59="pre"),N(Settings!$C$40),N($AW59))+$BC60))</f>
        <v/>
      </c>
      <c r="AX60">
        <f>IF(OR(Settings!$A$41="",$E60="pre"),"",IF(AND('Month-End'!$BE$43&lt;&gt;"",NOT(_xlfn.ISFORMULA('Month-End'!$BE$43))),N('Month-End'!$BE$43),IF(OR($E60="open",$E59="pre"),N(Settings!$C$41),N($AX59))+$BD60))</f>
        <v/>
      </c>
      <c r="AY60">
        <f>IF($E60="pre",0,N('Month-End'!$BE$45))</f>
        <v/>
      </c>
      <c r="AZ60">
        <f>IF($E60="pre",0,N('Month-End'!$BE$46))</f>
        <v/>
      </c>
      <c r="BA60">
        <f>IF($E60="pre",0,N('Month-End'!$BE$47))</f>
        <v/>
      </c>
      <c r="BB60">
        <f>IF($E60="pre",0,N('Month-End'!$BE$48))</f>
        <v/>
      </c>
      <c r="BC60">
        <f>IF($E60="pre",0,N('Month-End'!$BE$49))</f>
        <v/>
      </c>
      <c r="BD60">
        <f>IF($E60="pre",0,N('Month-End'!$BE$50))</f>
        <v/>
      </c>
      <c r="BE60">
        <f>IF(OR(Settings!$C$45="",Settings!$D$45=""),0,Settings!$C$45*IF(Settings!$D$45="Weekly",IF(IFERROR(MATCH(Settings!$E$45,$EO$4:$EO$10,0),0)=0,0,IF(MIN($C60,IF(Settings!$G$45="",$C60,Settings!$G$45))&lt;MAX($A60,Settings!$F$45),0,INT((MIN($C60,IF(Settings!$G$45="",$C60,Settings!$G$45))-MAX($A60,Settings!$F$45)-MOD(IFERROR(MATCH(Settings!$E$45,$EO$4:$EO$10,0),0)-WEEKDAY(MAX($A60,Settings!$F$45)),7))/7)+1)),IF(AND(IF(Settings!$E$45="",$B60,DATE(YEAR($A60),MONTH($A60),MIN(Settings!$E$45,DAY($B60))))&gt;=MAX($A60,Settings!$F$45),IF(Settings!$E$45="",$B60,DATE(YEAR($A60),MONTH($A60),MIN(Settings!$E$45,DAY($B60))))&lt;=MIN($C60,IF(Settings!$G$45="",$C60,Settings!$G$45))),1,0)))</f>
        <v/>
      </c>
      <c r="BF60">
        <f>IF(OR(Settings!$C$46="",Settings!$D$46=""),0,Settings!$C$46*IF(Settings!$D$46="Weekly",IF(IFERROR(MATCH(Settings!$E$46,$EO$4:$EO$10,0),0)=0,0,IF(MIN($C60,IF(Settings!$G$46="",$C60,Settings!$G$46))&lt;MAX($A60,Settings!$F$46),0,INT((MIN($C60,IF(Settings!$G$46="",$C60,Settings!$G$46))-MAX($A60,Settings!$F$46)-MOD(IFERROR(MATCH(Settings!$E$46,$EO$4:$EO$10,0),0)-WEEKDAY(MAX($A60,Settings!$F$46)),7))/7)+1)),IF(AND(IF(Settings!$E$46="",$B60,DATE(YEAR($A60),MONTH($A60),MIN(Settings!$E$46,DAY($B60))))&gt;=MAX($A60,Settings!$F$46),IF(Settings!$E$46="",$B60,DATE(YEAR($A60),MONTH($A60),MIN(Settings!$E$46,DAY($B60))))&lt;=MIN($C60,IF(Settings!$G$46="",$C60,Settings!$G$46))),1,0)))</f>
        <v/>
      </c>
      <c r="BG60">
        <f>IF(OR(Settings!$C$47="",Settings!$D$47=""),0,Settings!$C$47*IF(Settings!$D$47="Weekly",IF(IFERROR(MATCH(Settings!$E$47,$EO$4:$EO$10,0),0)=0,0,IF(MIN($C60,IF(Settings!$G$47="",$C60,Settings!$G$47))&lt;MAX($A60,Settings!$F$47),0,INT((MIN($C60,IF(Settings!$G$47="",$C60,Settings!$G$47))-MAX($A60,Settings!$F$47)-MOD(IFERROR(MATCH(Settings!$E$47,$EO$4:$EO$10,0),0)-WEEKDAY(MAX($A60,Settings!$F$47)),7))/7)+1)),IF(AND(IF(Settings!$E$47="",$B60,DATE(YEAR($A60),MONTH($A60),MIN(Settings!$E$47,DAY($B60))))&gt;=MAX($A60,Settings!$F$47),IF(Settings!$E$47="",$B60,DATE(YEAR($A60),MONTH($A60),MIN(Settings!$E$47,DAY($B60))))&lt;=MIN($C60,IF(Settings!$G$47="",$C60,Settings!$G$47))),1,0)))</f>
        <v/>
      </c>
      <c r="BH60">
        <f>IF(OR(Settings!$C$48="",Settings!$D$48=""),0,Settings!$C$48*IF(Settings!$D$48="Weekly",IF(IFERROR(MATCH(Settings!$E$48,$EO$4:$EO$10,0),0)=0,0,IF(MIN($C60,IF(Settings!$G$48="",$C60,Settings!$G$48))&lt;MAX($A60,Settings!$F$48),0,INT((MIN($C60,IF(Settings!$G$48="",$C60,Settings!$G$48))-MAX($A60,Settings!$F$48)-MOD(IFERROR(MATCH(Settings!$E$48,$EO$4:$EO$10,0),0)-WEEKDAY(MAX($A60,Settings!$F$48)),7))/7)+1)),IF(AND(IF(Settings!$E$48="",$B60,DATE(YEAR($A60),MONTH($A60),MIN(Settings!$E$48,DAY($B60))))&gt;=MAX($A60,Settings!$F$48),IF(Settings!$E$48="",$B60,DATE(YEAR($A60),MONTH($A60),MIN(Settings!$E$48,DAY($B60))))&lt;=MIN($C60,IF(Settings!$G$48="",$C60,Settings!$G$48))),1,0)))</f>
        <v/>
      </c>
      <c r="BI60">
        <f>IF(OR(Settings!$C$49="",Settings!$D$49=""),0,Settings!$C$49*IF(Settings!$D$49="Weekly",IF(IFERROR(MATCH(Settings!$E$49,$EO$4:$EO$10,0),0)=0,0,IF(MIN($C60,IF(Settings!$G$49="",$C60,Settings!$G$49))&lt;MAX($A60,Settings!$F$49),0,INT((MIN($C60,IF(Settings!$G$49="",$C60,Settings!$G$49))-MAX($A60,Settings!$F$49)-MOD(IFERROR(MATCH(Settings!$E$49,$EO$4:$EO$10,0),0)-WEEKDAY(MAX($A60,Settings!$F$49)),7))/7)+1)),IF(AND(IF(Settings!$E$49="",$B60,DATE(YEAR($A60),MONTH($A60),MIN(Settings!$E$49,DAY($B60))))&gt;=MAX($A60,Settings!$F$49),IF(Settings!$E$49="",$B60,DATE(YEAR($A60),MONTH($A60),MIN(Settings!$E$49,DAY($B60))))&lt;=MIN($C60,IF(Settings!$G$49="",$C60,Settings!$G$49))),1,0)))</f>
        <v/>
      </c>
      <c r="BJ60">
        <f>IF(OR(Settings!$C$50="",Settings!$D$50=""),0,Settings!$C$50*IF(Settings!$D$50="Weekly",IF(IFERROR(MATCH(Settings!$E$50,$EO$4:$EO$10,0),0)=0,0,IF(MIN($C60,IF(Settings!$G$50="",$C60,Settings!$G$50))&lt;MAX($A60,Settings!$F$50),0,INT((MIN($C60,IF(Settings!$G$50="",$C60,Settings!$G$50))-MAX($A60,Settings!$F$50)-MOD(IFERROR(MATCH(Settings!$E$50,$EO$4:$EO$10,0),0)-WEEKDAY(MAX($A60,Settings!$F$50)),7))/7)+1)),IF(AND(IF(Settings!$E$50="",$B60,DATE(YEAR($A60),MONTH($A60),MIN(Settings!$E$50,DAY($B60))))&gt;=MAX($A60,Settings!$F$50),IF(Settings!$E$50="",$B60,DATE(YEAR($A60),MONTH($A60),MIN(Settings!$E$50,DAY($B60))))&lt;=MIN($C60,IF(Settings!$G$50="",$C60,Settings!$G$50))),1,0)))</f>
        <v/>
      </c>
      <c r="BK60">
        <f>IF(OR(Settings!$C$51="",Settings!$D$51=""),0,Settings!$C$51*IF(Settings!$D$51="Weekly",IF(IFERROR(MATCH(Settings!$E$51,$EO$4:$EO$10,0),0)=0,0,IF(MIN($C60,IF(Settings!$G$51="",$C60,Settings!$G$51))&lt;MAX($A60,Settings!$F$51),0,INT((MIN($C60,IF(Settings!$G$51="",$C60,Settings!$G$51))-MAX($A60,Settings!$F$51)-MOD(IFERROR(MATCH(Settings!$E$51,$EO$4:$EO$10,0),0)-WEEKDAY(MAX($A60,Settings!$F$51)),7))/7)+1)),IF(AND(IF(Settings!$E$51="",$B60,DATE(YEAR($A60),MONTH($A60),MIN(Settings!$E$51,DAY($B60))))&gt;=MAX($A60,Settings!$F$51),IF(Settings!$E$51="",$B60,DATE(YEAR($A60),MONTH($A60),MIN(Settings!$E$51,DAY($B60))))&lt;=MIN($C60,IF(Settings!$G$51="",$C60,Settings!$G$51))),1,0)))</f>
        <v/>
      </c>
      <c r="BL60">
        <f>IF(OR(Settings!$C$52="",Settings!$D$52=""),0,Settings!$C$52*IF(Settings!$D$52="Weekly",IF(IFERROR(MATCH(Settings!$E$52,$EO$4:$EO$10,0),0)=0,0,IF(MIN($C60,IF(Settings!$G$52="",$C60,Settings!$G$52))&lt;MAX($A60,Settings!$F$52),0,INT((MIN($C60,IF(Settings!$G$52="",$C60,Settings!$G$52))-MAX($A60,Settings!$F$52)-MOD(IFERROR(MATCH(Settings!$E$52,$EO$4:$EO$10,0),0)-WEEKDAY(MAX($A60,Settings!$F$52)),7))/7)+1)),IF(AND(IF(Settings!$E$52="",$B60,DATE(YEAR($A60),MONTH($A60),MIN(Settings!$E$52,DAY($B60))))&gt;=MAX($A60,Settings!$F$52),IF(Settings!$E$52="",$B60,DATE(YEAR($A60),MONTH($A60),MIN(Settings!$E$52,DAY($B60))))&lt;=MIN($C60,IF(Settings!$G$52="",$C60,Settings!$G$52))),1,0)))</f>
        <v/>
      </c>
      <c r="BM60">
        <f>IF(OR(Settings!$C$53="",Settings!$D$53=""),0,Settings!$C$53*IF(Settings!$D$53="Weekly",IF(IFERROR(MATCH(Settings!$E$53,$EO$4:$EO$10,0),0)=0,0,IF(MIN($C60,IF(Settings!$G$53="",$C60,Settings!$G$53))&lt;MAX($A60,Settings!$F$53),0,INT((MIN($C60,IF(Settings!$G$53="",$C60,Settings!$G$53))-MAX($A60,Settings!$F$53)-MOD(IFERROR(MATCH(Settings!$E$53,$EO$4:$EO$10,0),0)-WEEKDAY(MAX($A60,Settings!$F$53)),7))/7)+1)),IF(AND(IF(Settings!$E$53="",$B60,DATE(YEAR($A60),MONTH($A60),MIN(Settings!$E$53,DAY($B60))))&gt;=MAX($A60,Settings!$F$53),IF(Settings!$E$53="",$B60,DATE(YEAR($A60),MONTH($A60),MIN(Settings!$E$53,DAY($B60))))&lt;=MIN($C60,IF(Settings!$G$53="",$C60,Settings!$G$53))),1,0)))</f>
        <v/>
      </c>
      <c r="BN60">
        <f>IF(OR(Settings!$C$54="",Settings!$D$54=""),0,Settings!$C$54*IF(Settings!$D$54="Weekly",IF(IFERROR(MATCH(Settings!$E$54,$EO$4:$EO$10,0),0)=0,0,IF(MIN($C60,IF(Settings!$G$54="",$C60,Settings!$G$54))&lt;MAX($A60,Settings!$F$54),0,INT((MIN($C60,IF(Settings!$G$54="",$C60,Settings!$G$54))-MAX($A60,Settings!$F$54)-MOD(IFERROR(MATCH(Settings!$E$54,$EO$4:$EO$10,0),0)-WEEKDAY(MAX($A60,Settings!$F$54)),7))/7)+1)),IF(AND(IF(Settings!$E$54="",$B60,DATE(YEAR($A60),MONTH($A60),MIN(Settings!$E$54,DAY($B60))))&gt;=MAX($A60,Settings!$F$54),IF(Settings!$E$54="",$B60,DATE(YEAR($A60),MONTH($A60),MIN(Settings!$E$54,DAY($B60))))&lt;=MIN($C60,IF(Settings!$G$54="",$C60,Settings!$G$54))),1,0)))</f>
        <v/>
      </c>
      <c r="BO60">
        <f>IF(OR(Settings!$C$55="",Settings!$D$55=""),0,Settings!$C$55*IF(Settings!$D$55="Weekly",IF(IFERROR(MATCH(Settings!$E$55,$EO$4:$EO$10,0),0)=0,0,IF(MIN($C60,IF(Settings!$G$55="",$C60,Settings!$G$55))&lt;MAX($A60,Settings!$F$55),0,INT((MIN($C60,IF(Settings!$G$55="",$C60,Settings!$G$55))-MAX($A60,Settings!$F$55)-MOD(IFERROR(MATCH(Settings!$E$55,$EO$4:$EO$10,0),0)-WEEKDAY(MAX($A60,Settings!$F$55)),7))/7)+1)),IF(AND(IF(Settings!$E$55="",$B60,DATE(YEAR($A60),MONTH($A60),MIN(Settings!$E$55,DAY($B60))))&gt;=MAX($A60,Settings!$F$55),IF(Settings!$E$55="",$B60,DATE(YEAR($A60),MONTH($A60),MIN(Settings!$E$55,DAY($B60))))&lt;=MIN($C60,IF(Settings!$G$55="",$C60,Settings!$G$55))),1,0)))</f>
        <v/>
      </c>
      <c r="BP60">
        <f>IF(OR(Settings!$C$56="",Settings!$D$56=""),0,Settings!$C$56*IF(Settings!$D$56="Weekly",IF(IFERROR(MATCH(Settings!$E$56,$EO$4:$EO$10,0),0)=0,0,IF(MIN($C60,IF(Settings!$G$56="",$C60,Settings!$G$56))&lt;MAX($A60,Settings!$F$56),0,INT((MIN($C60,IF(Settings!$G$56="",$C60,Settings!$G$56))-MAX($A60,Settings!$F$56)-MOD(IFERROR(MATCH(Settings!$E$56,$EO$4:$EO$10,0),0)-WEEKDAY(MAX($A60,Settings!$F$56)),7))/7)+1)),IF(AND(IF(Settings!$E$56="",$B60,DATE(YEAR($A60),MONTH($A60),MIN(Settings!$E$56,DAY($B60))))&gt;=MAX($A60,Settings!$F$56),IF(Settings!$E$56="",$B60,DATE(YEAR($A60),MONTH($A60),MIN(Settings!$E$56,DAY($B60))))&lt;=MIN($C60,IF(Settings!$G$56="",$C60,Settings!$G$56))),1,0)))</f>
        <v/>
      </c>
      <c r="BQ60">
        <f>IF(OR(Settings!$B$14="",$D60=1,$E60="pre",$A60&lt;IF(Settings!$B$15="",0,Settings!$B$15)),0,Settings!$B$14)</f>
        <v/>
      </c>
      <c r="BR60">
        <f>IF(AND('Month-End'!$BE$7&lt;&gt;"",NOT(_xlfn.ISFORMULA('Month-End'!$BE$7))),1,0)</f>
        <v/>
      </c>
      <c r="BS60">
        <f>IF(AND('Month-End'!$BE$8&lt;&gt;"",NOT(_xlfn.ISFORMULA('Month-End'!$BE$8))),1,0)</f>
        <v/>
      </c>
      <c r="BT60">
        <f>IF(AND('Month-End'!$BE$9&lt;&gt;"",NOT(_xlfn.ISFORMULA('Month-End'!$BE$9))),1,0)</f>
        <v/>
      </c>
      <c r="BU60">
        <f>IF(AND('Month-End'!$BE$10&lt;&gt;"",NOT(_xlfn.ISFORMULA('Month-End'!$BE$10))),1,0)</f>
        <v/>
      </c>
      <c r="BV60">
        <f>IF(AND('Month-End'!$BE$11&lt;&gt;"",NOT(_xlfn.ISFORMULA('Month-End'!$BE$11))),1,0)</f>
        <v/>
      </c>
      <c r="BW60">
        <f>IF(AND('Month-End'!$BE$12&lt;&gt;"",NOT(_xlfn.ISFORMULA('Month-End'!$BE$12))),1,0)</f>
        <v/>
      </c>
      <c r="BX60">
        <f>IF(AND('Month-End'!$BE$13&lt;&gt;"",NOT(_xlfn.ISFORMULA('Month-End'!$BE$13))),1,0)</f>
        <v/>
      </c>
      <c r="BY60">
        <f>IF(AND('Month-End'!$BE$14&lt;&gt;"",NOT(_xlfn.ISFORMULA('Month-End'!$BE$14))),1,0)</f>
        <v/>
      </c>
      <c r="BZ60">
        <f>IF(AND('Month-End'!$BE$15&lt;&gt;"",NOT(_xlfn.ISFORMULA('Month-End'!$BE$15))),1,0)</f>
        <v/>
      </c>
      <c r="CA60">
        <f>IF(AND('Month-End'!$BE$16&lt;&gt;"",NOT(_xlfn.ISFORMULA('Month-End'!$BE$16))),1,0)</f>
        <v/>
      </c>
      <c r="CB60">
        <f>IF(AND('Month-End'!$BE$17&lt;&gt;"",NOT(_xlfn.ISFORMULA('Month-End'!$BE$17))),1,0)</f>
        <v/>
      </c>
      <c r="CC60">
        <f>IF(AND('Month-End'!$BE$18&lt;&gt;"",NOT(_xlfn.ISFORMULA('Month-End'!$BE$18))),1,0)</f>
        <v/>
      </c>
      <c r="CD60">
        <f>IF(AND('Month-End'!$BE$19&lt;&gt;"",NOT(_xlfn.ISFORMULA('Month-End'!$BE$19))),1,0)</f>
        <v/>
      </c>
      <c r="CE60">
        <f>IF(AND('Month-End'!$BE$20&lt;&gt;"",NOT(_xlfn.ISFORMULA('Month-End'!$BE$20))),1,0)</f>
        <v/>
      </c>
      <c r="CF60">
        <f>IF(AND('Month-End'!$BE$38&lt;&gt;"",NOT(_xlfn.ISFORMULA('Month-End'!$BE$38))),1,0)</f>
        <v/>
      </c>
      <c r="CG60">
        <f>IF(AND('Month-End'!$BE$39&lt;&gt;"",NOT(_xlfn.ISFORMULA('Month-End'!$BE$39))),1,0)</f>
        <v/>
      </c>
      <c r="CH60">
        <f>IF(AND('Month-End'!$BE$40&lt;&gt;"",NOT(_xlfn.ISFORMULA('Month-End'!$BE$40))),1,0)</f>
        <v/>
      </c>
      <c r="CI60">
        <f>IF(AND('Month-End'!$BE$41&lt;&gt;"",NOT(_xlfn.ISFORMULA('Month-End'!$BE$41))),1,0)</f>
        <v/>
      </c>
      <c r="CJ60">
        <f>IF(AND('Month-End'!$BE$42&lt;&gt;"",NOT(_xlfn.ISFORMULA('Month-End'!$BE$42))),1,0)</f>
        <v/>
      </c>
      <c r="CK60">
        <f>IF(AND('Month-End'!$BE$43&lt;&gt;"",NOT(_xlfn.ISFORMULA('Month-End'!$BE$43))),1,0)</f>
        <v/>
      </c>
      <c r="CL60">
        <f>SUM($CM60:$CZ60)</f>
        <v/>
      </c>
      <c r="CM60">
        <f>IF(AND($E60&lt;&gt;"pre",AND(Settings!$A$19&lt;&gt;"",Settings!$E$19&lt;&gt;"No"),Settings!$F$19="Yes",NOT(AND('Month-End'!$BE$7&lt;&gt;"",NOT(_xlfn.ISFORMULA('Month-End'!$BE$7))))),1,0)</f>
        <v/>
      </c>
      <c r="CN60">
        <f>IF(AND($E60&lt;&gt;"pre",AND(Settings!$A$20&lt;&gt;"",Settings!$E$20&lt;&gt;"No"),Settings!$F$20="Yes",NOT(AND('Month-End'!$BE$8&lt;&gt;"",NOT(_xlfn.ISFORMULA('Month-End'!$BE$8))))),1,0)</f>
        <v/>
      </c>
      <c r="CO60">
        <f>IF(AND($E60&lt;&gt;"pre",AND(Settings!$A$21&lt;&gt;"",Settings!$E$21&lt;&gt;"No"),Settings!$F$21="Yes",NOT(AND('Month-End'!$BE$9&lt;&gt;"",NOT(_xlfn.ISFORMULA('Month-End'!$BE$9))))),1,0)</f>
        <v/>
      </c>
      <c r="CP60">
        <f>IF(AND($E60&lt;&gt;"pre",AND(Settings!$A$22&lt;&gt;"",Settings!$E$22&lt;&gt;"No"),Settings!$F$22="Yes",NOT(AND('Month-End'!$BE$10&lt;&gt;"",NOT(_xlfn.ISFORMULA('Month-End'!$BE$10))))),1,0)</f>
        <v/>
      </c>
      <c r="CQ60">
        <f>IF(AND($E60&lt;&gt;"pre",AND(Settings!$A$23&lt;&gt;"",Settings!$E$23&lt;&gt;"No"),Settings!$F$23="Yes",NOT(AND('Month-End'!$BE$11&lt;&gt;"",NOT(_xlfn.ISFORMULA('Month-End'!$BE$11))))),1,0)</f>
        <v/>
      </c>
      <c r="CR60">
        <f>IF(AND($E60&lt;&gt;"pre",AND(Settings!$A$24&lt;&gt;"",Settings!$E$24&lt;&gt;"No"),Settings!$F$24="Yes",NOT(AND('Month-End'!$BE$12&lt;&gt;"",NOT(_xlfn.ISFORMULA('Month-End'!$BE$12))))),1,0)</f>
        <v/>
      </c>
      <c r="CS60">
        <f>IF(AND($E60&lt;&gt;"pre",AND(Settings!$A$25&lt;&gt;"",Settings!$E$25&lt;&gt;"No"),Settings!$F$25="Yes",NOT(AND('Month-End'!$BE$13&lt;&gt;"",NOT(_xlfn.ISFORMULA('Month-End'!$BE$13))))),1,0)</f>
        <v/>
      </c>
      <c r="CT60">
        <f>IF(AND($E60&lt;&gt;"pre",AND(Settings!$A$26&lt;&gt;"",Settings!$E$26&lt;&gt;"No"),Settings!$F$26="Yes",NOT(AND('Month-End'!$BE$14&lt;&gt;"",NOT(_xlfn.ISFORMULA('Month-End'!$BE$14))))),1,0)</f>
        <v/>
      </c>
      <c r="CU60">
        <f>IF(AND($E60&lt;&gt;"pre",AND(Settings!$A$27&lt;&gt;"",Settings!$E$27&lt;&gt;"No"),Settings!$F$27="Yes",NOT(AND('Month-End'!$BE$15&lt;&gt;"",NOT(_xlfn.ISFORMULA('Month-End'!$BE$15))))),1,0)</f>
        <v/>
      </c>
      <c r="CV60">
        <f>IF(AND($E60&lt;&gt;"pre",AND(Settings!$A$28&lt;&gt;"",Settings!$E$28&lt;&gt;"No"),Settings!$F$28="Yes",NOT(AND('Month-End'!$BE$16&lt;&gt;"",NOT(_xlfn.ISFORMULA('Month-End'!$BE$16))))),1,0)</f>
        <v/>
      </c>
      <c r="CW60">
        <f>IF(AND($E60&lt;&gt;"pre",AND(Settings!$A$29&lt;&gt;"",Settings!$E$29&lt;&gt;"No"),Settings!$F$29="Yes",NOT(AND('Month-End'!$BE$17&lt;&gt;"",NOT(_xlfn.ISFORMULA('Month-End'!$BE$17))))),1,0)</f>
        <v/>
      </c>
      <c r="CX60">
        <f>IF(AND($E60&lt;&gt;"pre",AND(Settings!$A$30&lt;&gt;"",Settings!$E$30&lt;&gt;"No"),Settings!$F$30="Yes",NOT(AND('Month-End'!$BE$18&lt;&gt;"",NOT(_xlfn.ISFORMULA('Month-End'!$BE$18))))),1,0)</f>
        <v/>
      </c>
      <c r="CY60">
        <f>IF(AND($E60&lt;&gt;"pre",AND(Settings!$A$31&lt;&gt;"",Settings!$E$31&lt;&gt;"No"),Settings!$F$31="Yes",NOT(AND('Month-End'!$BE$19&lt;&gt;"",NOT(_xlfn.ISFORMULA('Month-End'!$BE$19))))),1,0)</f>
        <v/>
      </c>
      <c r="CZ60">
        <f>IF(AND($E60&lt;&gt;"pre",AND(Settings!$A$32&lt;&gt;"",Settings!$E$32&lt;&gt;"No"),Settings!$F$32="Yes",NOT(AND('Month-End'!$BE$20&lt;&gt;"",NOT(_xlfn.ISFORMULA('Month-End'!$BE$20))))),1,0)</f>
        <v/>
      </c>
      <c r="DA60">
        <f>IF($DT60=1,IF(OR(Settings!$B$19="Checking",Settings!$B$19="Savings",Settings!$B$19="Cash"),N($AE60),IF(OR(Settings!$B$19="Card",Settings!$B$19="Loan"),-N($AE60),0))+IF(OR(Settings!$B$20="Checking",Settings!$B$20="Savings",Settings!$B$20="Cash"),N($AF60),IF(OR(Settings!$B$20="Card",Settings!$B$20="Loan"),-N($AF60),0))+IF(OR(Settings!$B$21="Checking",Settings!$B$21="Savings",Settings!$B$21="Cash"),N($AG60),IF(OR(Settings!$B$21="Card",Settings!$B$21="Loan"),-N($AG60),0))+IF(OR(Settings!$B$22="Checking",Settings!$B$22="Savings",Settings!$B$22="Cash"),N($AH60),IF(OR(Settings!$B$22="Card",Settings!$B$22="Loan"),-N($AH60),0))+IF(OR(Settings!$B$23="Checking",Settings!$B$23="Savings",Settings!$B$23="Cash"),N($AI60),IF(OR(Settings!$B$23="Card",Settings!$B$23="Loan"),-N($AI60),0))+IF(OR(Settings!$B$24="Checking",Settings!$B$24="Savings",Settings!$B$24="Cash"),N($AJ60),IF(OR(Settings!$B$24="Card",Settings!$B$24="Loan"),-N($AJ60),0))+IF(OR(Settings!$B$25="Checking",Settings!$B$25="Savings",Settings!$B$25="Cash"),N($AK60),IF(OR(Settings!$B$25="Card",Settings!$B$25="Loan"),-N($AK60),0))+IF(OR(Settings!$B$26="Checking",Settings!$B$26="Savings",Settings!$B$26="Cash"),N($AL60),IF(OR(Settings!$B$26="Card",Settings!$B$26="Loan"),-N($AL60),0))+IF(OR(Settings!$B$27="Checking",Settings!$B$27="Savings",Settings!$B$27="Cash"),N($AM60),IF(OR(Settings!$B$27="Card",Settings!$B$27="Loan"),-N($AM60),0))+IF(OR(Settings!$B$28="Checking",Settings!$B$28="Savings",Settings!$B$28="Cash"),N($AN60),IF(OR(Settings!$B$28="Card",Settings!$B$28="Loan"),-N($AN60),0))+IF(OR(Settings!$B$29="Checking",Settings!$B$29="Savings",Settings!$B$29="Cash"),N($AO60),IF(OR(Settings!$B$29="Card",Settings!$B$29="Loan"),-N($AO60),0))+IF(OR(Settings!$B$30="Checking",Settings!$B$30="Savings",Settings!$B$30="Cash"),N($AP60),IF(OR(Settings!$B$30="Card",Settings!$B$30="Loan"),-N($AP60),0))+IF(OR(Settings!$B$31="Checking",Settings!$B$31="Savings",Settings!$B$31="Cash"),N($AQ60),IF(OR(Settings!$B$31="Card",Settings!$B$31="Loan"),-N($AQ60),0))+IF(OR(Settings!$B$32="Checking",Settings!$B$32="Savings",Settings!$B$32="Cash"),N($AR60),IF(OR(Settings!$B$32="Card",Settings!$B$32="Loan"),-N($AR60),0)),"")</f>
        <v/>
      </c>
      <c r="DB60">
        <f>IF($E60="open",$EB$27,IF($E60="post",IF($E59="pre",$EB$27,$DA59),""))</f>
        <v/>
      </c>
      <c r="DC60">
        <f>IF($E60="open",1,IF($E60="post",IF($E59="pre",1,$DT59),0))</f>
        <v/>
      </c>
      <c r="DD60">
        <f>IF(AND($DT60=1,$DC60=1),ROUND($W60-($DA60-$DB60)-$AD60-$AB60,2),"")</f>
        <v/>
      </c>
      <c r="DE60">
        <f>IF('Month-End'!$BE$35="",$BQ60,N('Month-End'!$BE$35))</f>
        <v/>
      </c>
      <c r="DF60">
        <f>N('Month-End'!$BE$36)</f>
        <v/>
      </c>
      <c r="DG60">
        <f>IF($DD60="","",$DD60+$DE60)</f>
        <v/>
      </c>
      <c r="DH60">
        <f>IF($DG60="","",$DG60-$DF60)</f>
        <v/>
      </c>
      <c r="DI60">
        <f>IF(OR($E60="pre",$D60=1),"",N($AS60)+N($AT60)+N($AU60)+N($AV60)+N($AW60)+N($AX60))</f>
        <v/>
      </c>
      <c r="DJ60">
        <f>IF($DT60=1,$DA60+N($DI60),"")</f>
        <v/>
      </c>
      <c r="DK60">
        <f>IF($DD60="","",$W60-$DD60-$AB60)</f>
        <v/>
      </c>
      <c r="DL60">
        <f>IF(AND($E60="post",$DD60&lt;&gt;"",$B60&lt;TODAY()),1,0)</f>
        <v/>
      </c>
      <c r="DM60">
        <f>IF($DL60=1,COUNTIF($DL60:$DL$183,1),0)</f>
        <v/>
      </c>
      <c r="DN60">
        <f>IF($D60=1,"",IF($E60="pre","History only",IF($DT60=1,IF($DD60="","⚠ Previous month missing",IF($DD60&lt;0,"⚠ Check: spending &lt; 0",IF($E60="open","✓ Done (partial)","✓ Done"))),IF($B60&gt;=TODAY(),"In progress","⚠ Needs balances"))))</f>
        <v/>
      </c>
      <c r="DO60">
        <f>YEAR($A60)</f>
        <v/>
      </c>
      <c r="DP60">
        <f>DATE(YEAR($A60),INT((MONTH($A60)-1)/3)*3+1,1)</f>
        <v/>
      </c>
      <c r="DQ60">
        <f>IF(AND($DT60=1,$DD60&lt;&gt;"",$D60=0),ROW(),0)</f>
        <v/>
      </c>
      <c r="DR60">
        <f>IF(AND($E60&lt;&gt;"pre",$B60&lt;TODAY(),$DT60=0),1,0)</f>
        <v/>
      </c>
      <c r="DS60">
        <f>IF($DJ60="",NA(),$DJ60)</f>
        <v/>
      </c>
      <c r="DT60">
        <f>IF(AND($E60&lt;&gt;"pre",$CL60=0,COUNTIFS(Settings!$F$19:$F$32,"Yes",Settings!$A$19:$A$32,"&lt;&gt;",Settings!$E$19:$E$32,"&lt;&gt;No")&gt;0),1,0)</f>
        <v/>
      </c>
      <c r="DU60">
        <f>IF(AND($B60&lt;TODAY(),$S60&gt;0),1,0)</f>
        <v/>
      </c>
      <c r="DV60">
        <f>IF($DU60=1,COUNTIF($DU60:$DU$183,1),0)</f>
        <v/>
      </c>
      <c r="DW60">
        <f>IF(AND(OR(Settings!$B$19="Card",Settings!$B$19="Loan"),AND('Month-End'!$BE$7&lt;&gt;"",NOT(_xlfn.ISFORMULA('Month-End'!$BE$7)))),IF(N('Month-End'!$BE$7)&lt;0,1,0),0)+IF(AND(OR(Settings!$B$20="Card",Settings!$B$20="Loan"),AND('Month-End'!$BE$8&lt;&gt;"",NOT(_xlfn.ISFORMULA('Month-End'!$BE$8)))),IF(N('Month-End'!$BE$8)&lt;0,1,0),0)+IF(AND(OR(Settings!$B$21="Card",Settings!$B$21="Loan"),AND('Month-End'!$BE$9&lt;&gt;"",NOT(_xlfn.ISFORMULA('Month-End'!$BE$9)))),IF(N('Month-End'!$BE$9)&lt;0,1,0),0)+IF(AND(OR(Settings!$B$22="Card",Settings!$B$22="Loan"),AND('Month-End'!$BE$10&lt;&gt;"",NOT(_xlfn.ISFORMULA('Month-End'!$BE$10)))),IF(N('Month-End'!$BE$10)&lt;0,1,0),0)+IF(AND(OR(Settings!$B$23="Card",Settings!$B$23="Loan"),AND('Month-End'!$BE$11&lt;&gt;"",NOT(_xlfn.ISFORMULA('Month-End'!$BE$11)))),IF(N('Month-End'!$BE$11)&lt;0,1,0),0)+IF(AND(OR(Settings!$B$24="Card",Settings!$B$24="Loan"),AND('Month-End'!$BE$12&lt;&gt;"",NOT(_xlfn.ISFORMULA('Month-End'!$BE$12)))),IF(N('Month-End'!$BE$12)&lt;0,1,0),0)+IF(AND(OR(Settings!$B$25="Card",Settings!$B$25="Loan"),AND('Month-End'!$BE$13&lt;&gt;"",NOT(_xlfn.ISFORMULA('Month-End'!$BE$13)))),IF(N('Month-End'!$BE$13)&lt;0,1,0),0)+IF(AND(OR(Settings!$B$26="Card",Settings!$B$26="Loan"),AND('Month-End'!$BE$14&lt;&gt;"",NOT(_xlfn.ISFORMULA('Month-End'!$BE$14)))),IF(N('Month-End'!$BE$14)&lt;0,1,0),0)+IF(AND(OR(Settings!$B$27="Card",Settings!$B$27="Loan"),AND('Month-End'!$BE$15&lt;&gt;"",NOT(_xlfn.ISFORMULA('Month-End'!$BE$15)))),IF(N('Month-End'!$BE$15)&lt;0,1,0),0)+IF(AND(OR(Settings!$B$28="Card",Settings!$B$28="Loan"),AND('Month-End'!$BE$16&lt;&gt;"",NOT(_xlfn.ISFORMULA('Month-End'!$BE$16)))),IF(N('Month-End'!$BE$16)&lt;0,1,0),0)+IF(AND(OR(Settings!$B$29="Card",Settings!$B$29="Loan"),AND('Month-End'!$BE$17&lt;&gt;"",NOT(_xlfn.ISFORMULA('Month-End'!$BE$17)))),IF(N('Month-End'!$BE$17)&lt;0,1,0),0)+IF(AND(OR(Settings!$B$30="Card",Settings!$B$30="Loan"),AND('Month-End'!$BE$18&lt;&gt;"",NOT(_xlfn.ISFORMULA('Month-End'!$BE$18)))),IF(N('Month-End'!$BE$18)&lt;0,1,0),0)+IF(AND(OR(Settings!$B$31="Card",Settings!$B$31="Loan"),AND('Month-End'!$BE$19&lt;&gt;"",NOT(_xlfn.ISFORMULA('Month-End'!$BE$19)))),IF(N('Month-End'!$BE$19)&lt;0,1,0),0)+IF(AND(OR(Settings!$B$32="Card",Settings!$B$32="Loan"),AND('Month-End'!$BE$20&lt;&gt;"",NOT(_xlfn.ISFORMULA('Month-End'!$BE$20)))),IF(N('Month-End'!$BE$20)&lt;0,1,0),0)</f>
        <v/>
      </c>
      <c r="DX60">
        <f>IF(Settings!$B$36="Retirement",$AY60,0)+IF(Settings!$B$37="Retirement",$AZ60,0)+IF(Settings!$B$38="Retirement",$BA60,0)+IF(Settings!$B$39="Retirement",$BB60,0)+IF(Settings!$B$40="Retirement",$BC60,0)+IF(Settings!$B$41="Retirement",$BD60,0)</f>
        <v/>
      </c>
      <c r="ET60">
        <f>IF($E60&lt;&gt;"open",0,IF(AND('Month-End'!$BE$22&lt;&gt;"",NOT(_xlfn.ISFORMULA('Month-End'!$BE$22))),0,IF(OR(Settings!$C$45="",Settings!$D$45=""),0,Settings!$C$45*IF(Settings!$D$45="Weekly",IF(IFERROR(MATCH(Settings!$E$45,$EO$4:$EO$10,0),0)=0,0,IF(MIN(Settings!$B$5,IF(Settings!$G$45="",Settings!$B$5,Settings!$G$45))&lt;MAX($A60,Settings!$F$45),0,INT((MIN(Settings!$B$5,IF(Settings!$G$45="",Settings!$B$5,Settings!$G$45))-MAX($A60,Settings!$F$45)-MOD(IFERROR(MATCH(Settings!$E$45,$EO$4:$EO$10,0),0)-WEEKDAY(MAX($A60,Settings!$F$45)),7))/7)+1)),IF(AND(IF(Settings!$E$45="",$B60,DATE(YEAR($A60),MONTH($A60),MIN(Settings!$E$45,DAY($B60))))&gt;=MAX($A60,Settings!$F$45),IF(Settings!$E$45="",$B60,DATE(YEAR($A60),MONTH($A60),MIN(Settings!$E$45,DAY($B60))))&lt;=MIN(Settings!$B$5,IF(Settings!$G$45="",Settings!$B$5,Settings!$G$45))),1,0)))))</f>
        <v/>
      </c>
      <c r="EU60">
        <f>IF($E60&lt;&gt;"open",0,IF(AND('Month-End'!$BE$23&lt;&gt;"",NOT(_xlfn.ISFORMULA('Month-End'!$BE$23))),0,IF(OR(Settings!$C$46="",Settings!$D$46=""),0,Settings!$C$46*IF(Settings!$D$46="Weekly",IF(IFERROR(MATCH(Settings!$E$46,$EO$4:$EO$10,0),0)=0,0,IF(MIN(Settings!$B$5,IF(Settings!$G$46="",Settings!$B$5,Settings!$G$46))&lt;MAX($A60,Settings!$F$46),0,INT((MIN(Settings!$B$5,IF(Settings!$G$46="",Settings!$B$5,Settings!$G$46))-MAX($A60,Settings!$F$46)-MOD(IFERROR(MATCH(Settings!$E$46,$EO$4:$EO$10,0),0)-WEEKDAY(MAX($A60,Settings!$F$46)),7))/7)+1)),IF(AND(IF(Settings!$E$46="",$B60,DATE(YEAR($A60),MONTH($A60),MIN(Settings!$E$46,DAY($B60))))&gt;=MAX($A60,Settings!$F$46),IF(Settings!$E$46="",$B60,DATE(YEAR($A60),MONTH($A60),MIN(Settings!$E$46,DAY($B60))))&lt;=MIN(Settings!$B$5,IF(Settings!$G$46="",Settings!$B$5,Settings!$G$46))),1,0)))))</f>
        <v/>
      </c>
      <c r="EV60">
        <f>IF($E60&lt;&gt;"open",0,IF(AND('Month-End'!$BE$24&lt;&gt;"",NOT(_xlfn.ISFORMULA('Month-End'!$BE$24))),0,IF(OR(Settings!$C$47="",Settings!$D$47=""),0,Settings!$C$47*IF(Settings!$D$47="Weekly",IF(IFERROR(MATCH(Settings!$E$47,$EO$4:$EO$10,0),0)=0,0,IF(MIN(Settings!$B$5,IF(Settings!$G$47="",Settings!$B$5,Settings!$G$47))&lt;MAX($A60,Settings!$F$47),0,INT((MIN(Settings!$B$5,IF(Settings!$G$47="",Settings!$B$5,Settings!$G$47))-MAX($A60,Settings!$F$47)-MOD(IFERROR(MATCH(Settings!$E$47,$EO$4:$EO$10,0),0)-WEEKDAY(MAX($A60,Settings!$F$47)),7))/7)+1)),IF(AND(IF(Settings!$E$47="",$B60,DATE(YEAR($A60),MONTH($A60),MIN(Settings!$E$47,DAY($B60))))&gt;=MAX($A60,Settings!$F$47),IF(Settings!$E$47="",$B60,DATE(YEAR($A60),MONTH($A60),MIN(Settings!$E$47,DAY($B60))))&lt;=MIN(Settings!$B$5,IF(Settings!$G$47="",Settings!$B$5,Settings!$G$47))),1,0)))))</f>
        <v/>
      </c>
      <c r="EW60">
        <f>IF($E60&lt;&gt;"open",0,IF(AND('Month-End'!$BE$25&lt;&gt;"",NOT(_xlfn.ISFORMULA('Month-End'!$BE$25))),0,IF(OR(Settings!$C$48="",Settings!$D$48=""),0,Settings!$C$48*IF(Settings!$D$48="Weekly",IF(IFERROR(MATCH(Settings!$E$48,$EO$4:$EO$10,0),0)=0,0,IF(MIN(Settings!$B$5,IF(Settings!$G$48="",Settings!$B$5,Settings!$G$48))&lt;MAX($A60,Settings!$F$48),0,INT((MIN(Settings!$B$5,IF(Settings!$G$48="",Settings!$B$5,Settings!$G$48))-MAX($A60,Settings!$F$48)-MOD(IFERROR(MATCH(Settings!$E$48,$EO$4:$EO$10,0),0)-WEEKDAY(MAX($A60,Settings!$F$48)),7))/7)+1)),IF(AND(IF(Settings!$E$48="",$B60,DATE(YEAR($A60),MONTH($A60),MIN(Settings!$E$48,DAY($B60))))&gt;=MAX($A60,Settings!$F$48),IF(Settings!$E$48="",$B60,DATE(YEAR($A60),MONTH($A60),MIN(Settings!$E$48,DAY($B60))))&lt;=MIN(Settings!$B$5,IF(Settings!$G$48="",Settings!$B$5,Settings!$G$48))),1,0)))))</f>
        <v/>
      </c>
      <c r="EX60">
        <f>IF($E60&lt;&gt;"open",0,IF(AND('Month-End'!$BE$26&lt;&gt;"",NOT(_xlfn.ISFORMULA('Month-End'!$BE$26))),0,IF(OR(Settings!$C$49="",Settings!$D$49=""),0,Settings!$C$49*IF(Settings!$D$49="Weekly",IF(IFERROR(MATCH(Settings!$E$49,$EO$4:$EO$10,0),0)=0,0,IF(MIN(Settings!$B$5,IF(Settings!$G$49="",Settings!$B$5,Settings!$G$49))&lt;MAX($A60,Settings!$F$49),0,INT((MIN(Settings!$B$5,IF(Settings!$G$49="",Settings!$B$5,Settings!$G$49))-MAX($A60,Settings!$F$49)-MOD(IFERROR(MATCH(Settings!$E$49,$EO$4:$EO$10,0),0)-WEEKDAY(MAX($A60,Settings!$F$49)),7))/7)+1)),IF(AND(IF(Settings!$E$49="",$B60,DATE(YEAR($A60),MONTH($A60),MIN(Settings!$E$49,DAY($B60))))&gt;=MAX($A60,Settings!$F$49),IF(Settings!$E$49="",$B60,DATE(YEAR($A60),MONTH($A60),MIN(Settings!$E$49,DAY($B60))))&lt;=MIN(Settings!$B$5,IF(Settings!$G$49="",Settings!$B$5,Settings!$G$49))),1,0)))))</f>
        <v/>
      </c>
      <c r="EY60">
        <f>IF($E60&lt;&gt;"open",0,IF(AND('Month-End'!$BE$27&lt;&gt;"",NOT(_xlfn.ISFORMULA('Month-End'!$BE$27))),0,IF(OR(Settings!$C$50="",Settings!$D$50=""),0,Settings!$C$50*IF(Settings!$D$50="Weekly",IF(IFERROR(MATCH(Settings!$E$50,$EO$4:$EO$10,0),0)=0,0,IF(MIN(Settings!$B$5,IF(Settings!$G$50="",Settings!$B$5,Settings!$G$50))&lt;MAX($A60,Settings!$F$50),0,INT((MIN(Settings!$B$5,IF(Settings!$G$50="",Settings!$B$5,Settings!$G$50))-MAX($A60,Settings!$F$50)-MOD(IFERROR(MATCH(Settings!$E$50,$EO$4:$EO$10,0),0)-WEEKDAY(MAX($A60,Settings!$F$50)),7))/7)+1)),IF(AND(IF(Settings!$E$50="",$B60,DATE(YEAR($A60),MONTH($A60),MIN(Settings!$E$50,DAY($B60))))&gt;=MAX($A60,Settings!$F$50),IF(Settings!$E$50="",$B60,DATE(YEAR($A60),MONTH($A60),MIN(Settings!$E$50,DAY($B60))))&lt;=MIN(Settings!$B$5,IF(Settings!$G$50="",Settings!$B$5,Settings!$G$50))),1,0)))))</f>
        <v/>
      </c>
      <c r="EZ60">
        <f>IF($E60&lt;&gt;"open",0,IF(AND('Month-End'!$BE$28&lt;&gt;"",NOT(_xlfn.ISFORMULA('Month-End'!$BE$28))),0,IF(OR(Settings!$C$51="",Settings!$D$51=""),0,Settings!$C$51*IF(Settings!$D$51="Weekly",IF(IFERROR(MATCH(Settings!$E$51,$EO$4:$EO$10,0),0)=0,0,IF(MIN(Settings!$B$5,IF(Settings!$G$51="",Settings!$B$5,Settings!$G$51))&lt;MAX($A60,Settings!$F$51),0,INT((MIN(Settings!$B$5,IF(Settings!$G$51="",Settings!$B$5,Settings!$G$51))-MAX($A60,Settings!$F$51)-MOD(IFERROR(MATCH(Settings!$E$51,$EO$4:$EO$10,0),0)-WEEKDAY(MAX($A60,Settings!$F$51)),7))/7)+1)),IF(AND(IF(Settings!$E$51="",$B60,DATE(YEAR($A60),MONTH($A60),MIN(Settings!$E$51,DAY($B60))))&gt;=MAX($A60,Settings!$F$51),IF(Settings!$E$51="",$B60,DATE(YEAR($A60),MONTH($A60),MIN(Settings!$E$51,DAY($B60))))&lt;=MIN(Settings!$B$5,IF(Settings!$G$51="",Settings!$B$5,Settings!$G$51))),1,0)))))</f>
        <v/>
      </c>
      <c r="FA60">
        <f>IF($E60&lt;&gt;"open",0,IF(AND('Month-End'!$BE$29&lt;&gt;"",NOT(_xlfn.ISFORMULA('Month-End'!$BE$29))),0,IF(OR(Settings!$C$52="",Settings!$D$52=""),0,Settings!$C$52*IF(Settings!$D$52="Weekly",IF(IFERROR(MATCH(Settings!$E$52,$EO$4:$EO$10,0),0)=0,0,IF(MIN(Settings!$B$5,IF(Settings!$G$52="",Settings!$B$5,Settings!$G$52))&lt;MAX($A60,Settings!$F$52),0,INT((MIN(Settings!$B$5,IF(Settings!$G$52="",Settings!$B$5,Settings!$G$52))-MAX($A60,Settings!$F$52)-MOD(IFERROR(MATCH(Settings!$E$52,$EO$4:$EO$10,0),0)-WEEKDAY(MAX($A60,Settings!$F$52)),7))/7)+1)),IF(AND(IF(Settings!$E$52="",$B60,DATE(YEAR($A60),MONTH($A60),MIN(Settings!$E$52,DAY($B60))))&gt;=MAX($A60,Settings!$F$52),IF(Settings!$E$52="",$B60,DATE(YEAR($A60),MONTH($A60),MIN(Settings!$E$52,DAY($B60))))&lt;=MIN(Settings!$B$5,IF(Settings!$G$52="",Settings!$B$5,Settings!$G$52))),1,0)))))</f>
        <v/>
      </c>
      <c r="FB60">
        <f>IF($E60&lt;&gt;"open",0,IF(AND('Month-End'!$BE$30&lt;&gt;"",NOT(_xlfn.ISFORMULA('Month-End'!$BE$30))),0,IF(OR(Settings!$C$53="",Settings!$D$53=""),0,Settings!$C$53*IF(Settings!$D$53="Weekly",IF(IFERROR(MATCH(Settings!$E$53,$EO$4:$EO$10,0),0)=0,0,IF(MIN(Settings!$B$5,IF(Settings!$G$53="",Settings!$B$5,Settings!$G$53))&lt;MAX($A60,Settings!$F$53),0,INT((MIN(Settings!$B$5,IF(Settings!$G$53="",Settings!$B$5,Settings!$G$53))-MAX($A60,Settings!$F$53)-MOD(IFERROR(MATCH(Settings!$E$53,$EO$4:$EO$10,0),0)-WEEKDAY(MAX($A60,Settings!$F$53)),7))/7)+1)),IF(AND(IF(Settings!$E$53="",$B60,DATE(YEAR($A60),MONTH($A60),MIN(Settings!$E$53,DAY($B60))))&gt;=MAX($A60,Settings!$F$53),IF(Settings!$E$53="",$B60,DATE(YEAR($A60),MONTH($A60),MIN(Settings!$E$53,DAY($B60))))&lt;=MIN(Settings!$B$5,IF(Settings!$G$53="",Settings!$B$5,Settings!$G$53))),1,0)))))</f>
        <v/>
      </c>
      <c r="FC60">
        <f>IF($E60&lt;&gt;"open",0,IF(AND('Month-End'!$BE$31&lt;&gt;"",NOT(_xlfn.ISFORMULA('Month-End'!$BE$31))),0,IF(OR(Settings!$C$54="",Settings!$D$54=""),0,Settings!$C$54*IF(Settings!$D$54="Weekly",IF(IFERROR(MATCH(Settings!$E$54,$EO$4:$EO$10,0),0)=0,0,IF(MIN(Settings!$B$5,IF(Settings!$G$54="",Settings!$B$5,Settings!$G$54))&lt;MAX($A60,Settings!$F$54),0,INT((MIN(Settings!$B$5,IF(Settings!$G$54="",Settings!$B$5,Settings!$G$54))-MAX($A60,Settings!$F$54)-MOD(IFERROR(MATCH(Settings!$E$54,$EO$4:$EO$10,0),0)-WEEKDAY(MAX($A60,Settings!$F$54)),7))/7)+1)),IF(AND(IF(Settings!$E$54="",$B60,DATE(YEAR($A60),MONTH($A60),MIN(Settings!$E$54,DAY($B60))))&gt;=MAX($A60,Settings!$F$54),IF(Settings!$E$54="",$B60,DATE(YEAR($A60),MONTH($A60),MIN(Settings!$E$54,DAY($B60))))&lt;=MIN(Settings!$B$5,IF(Settings!$G$54="",Settings!$B$5,Settings!$G$54))),1,0)))))</f>
        <v/>
      </c>
      <c r="FD60">
        <f>IF($E60&lt;&gt;"open",0,IF(AND('Month-End'!$BE$32&lt;&gt;"",NOT(_xlfn.ISFORMULA('Month-End'!$BE$32))),0,IF(OR(Settings!$C$55="",Settings!$D$55=""),0,Settings!$C$55*IF(Settings!$D$55="Weekly",IF(IFERROR(MATCH(Settings!$E$55,$EO$4:$EO$10,0),0)=0,0,IF(MIN(Settings!$B$5,IF(Settings!$G$55="",Settings!$B$5,Settings!$G$55))&lt;MAX($A60,Settings!$F$55),0,INT((MIN(Settings!$B$5,IF(Settings!$G$55="",Settings!$B$5,Settings!$G$55))-MAX($A60,Settings!$F$55)-MOD(IFERROR(MATCH(Settings!$E$55,$EO$4:$EO$10,0),0)-WEEKDAY(MAX($A60,Settings!$F$55)),7))/7)+1)),IF(AND(IF(Settings!$E$55="",$B60,DATE(YEAR($A60),MONTH($A60),MIN(Settings!$E$55,DAY($B60))))&gt;=MAX($A60,Settings!$F$55),IF(Settings!$E$55="",$B60,DATE(YEAR($A60),MONTH($A60),MIN(Settings!$E$55,DAY($B60))))&lt;=MIN(Settings!$B$5,IF(Settings!$G$55="",Settings!$B$5,Settings!$G$55))),1,0)))))</f>
        <v/>
      </c>
      <c r="FE60">
        <f>IF($E60&lt;&gt;"open",0,IF(AND('Month-End'!$BE$33&lt;&gt;"",NOT(_xlfn.ISFORMULA('Month-End'!$BE$33))),0,IF(OR(Settings!$C$56="",Settings!$D$56=""),0,Settings!$C$56*IF(Settings!$D$56="Weekly",IF(IFERROR(MATCH(Settings!$E$56,$EO$4:$EO$10,0),0)=0,0,IF(MIN(Settings!$B$5,IF(Settings!$G$56="",Settings!$B$5,Settings!$G$56))&lt;MAX($A60,Settings!$F$56),0,INT((MIN(Settings!$B$5,IF(Settings!$G$56="",Settings!$B$5,Settings!$G$56))-MAX($A60,Settings!$F$56)-MOD(IFERROR(MATCH(Settings!$E$56,$EO$4:$EO$10,0),0)-WEEKDAY(MAX($A60,Settings!$F$56)),7))/7)+1)),IF(AND(IF(Settings!$E$56="",$B60,DATE(YEAR($A60),MONTH($A60),MIN(Settings!$E$56,DAY($B60))))&gt;=MAX($A60,Settings!$F$56),IF(Settings!$E$56="",$B60,DATE(YEAR($A60),MONTH($A60),MIN(Settings!$E$56,DAY($B60))))&lt;=MIN(Settings!$B$5,IF(Settings!$G$56="",Settings!$B$5,Settings!$G$56))),1,0)))))</f>
        <v/>
      </c>
      <c r="FF60">
        <f>IF(Settings!$I$45="Yes",$G60,0)+IF(Settings!$I$46="Yes",$H60,0)+IF(Settings!$I$47="Yes",$I60,0)+IF(Settings!$I$48="Yes",$J60,0)+IF(Settings!$I$49="Yes",$K60,0)+IF(Settings!$I$50="Yes",$L60,0)+IF(Settings!$I$51="Yes",$M60,0)+IF(Settings!$I$52="Yes",$N60,0)+IF(Settings!$I$53="Yes",$O60,0)+IF(Settings!$I$54="Yes",$P60,0)+IF(Settings!$I$55="Yes",$Q60,0)+IF(Settings!$I$56="Yes",$R60,0)</f>
        <v/>
      </c>
      <c r="FG60">
        <f>IF(AND(Settings!$I$45="Yes",Settings!$J$45="No"),$G60,0)+IF(AND(Settings!$I$46="Yes",Settings!$J$46="No"),$H60,0)+IF(AND(Settings!$I$47="Yes",Settings!$J$47="No"),$I60,0)+IF(AND(Settings!$I$48="Yes",Settings!$J$48="No"),$J60,0)+IF(AND(Settings!$I$49="Yes",Settings!$J$49="No"),$K60,0)+IF(AND(Settings!$I$50="Yes",Settings!$J$50="No"),$L60,0)+IF(AND(Settings!$I$51="Yes",Settings!$J$51="No"),$M60,0)+IF(AND(Settings!$I$52="Yes",Settings!$J$52="No"),$N60,0)+IF(AND(Settings!$I$53="Yes",Settings!$J$53="No"),$O60,0)+IF(AND(Settings!$I$54="Yes",Settings!$J$54="No"),$P60,0)+IF(AND(Settings!$I$55="Yes",Settings!$J$55="No"),$Q60,0)+IF(AND(Settings!$I$56="Yes",Settings!$J$56="No"),$R60,0)</f>
        <v/>
      </c>
      <c r="FH60">
        <f>SUMIFS(Giving!$B$7:$B$2006,Giving!$A$7:$A$2006,"&gt;="&amp;$A60,Giving!$A$7:$A$2006,"&lt;="&amp;$B60,Giving!$G$7:$G$2006,"Yes")+IF(OR(OR(Settings!$B$60="",Settings!$F$60="No"),Settings!$H$60&lt;&gt;"Yes"),0,Settings!$B$60*IF(AND(IF(Settings!$C$60="",$B60,DATE(YEAR($A60),MONTH($A60),MIN(Settings!$C$60,DAY($B60))))&gt;=MAX($A60,Settings!$D$60),IF(Settings!$C$60="",$B60,DATE(YEAR($A60),MONTH($A60),MIN(Settings!$C$60,DAY($B60))))&lt;=MIN($C60,IF(Settings!$E$60="",$C60,Settings!$E$60))),1,0))+IF(OR(OR(Settings!$B$61="",Settings!$F$61="No"),Settings!$H$61&lt;&gt;"Yes"),0,Settings!$B$61*IF(AND(IF(Settings!$C$61="",$B60,DATE(YEAR($A60),MONTH($A60),MIN(Settings!$C$61,DAY($B60))))&gt;=MAX($A60,Settings!$D$61),IF(Settings!$C$61="",$B60,DATE(YEAR($A60),MONTH($A60),MIN(Settings!$C$61,DAY($B60))))&lt;=MIN($C60,IF(Settings!$E$61="",$C60,Settings!$E$61))),1,0))+IF(OR(OR(Settings!$B$62="",Settings!$F$62="No"),Settings!$H$62&lt;&gt;"Yes"),0,Settings!$B$62*IF(AND(IF(Settings!$C$62="",$B60,DATE(YEAR($A60),MONTH($A60),MIN(Settings!$C$62,DAY($B60))))&gt;=MAX($A60,Settings!$D$62),IF(Settings!$C$62="",$B60,DATE(YEAR($A60),MONTH($A60),MIN(Settings!$C$62,DAY($B60))))&lt;=MIN($C60,IF(Settings!$E$62="",$C60,Settings!$E$62))),1,0))+IF(OR(OR(Settings!$B$63="",Settings!$F$63="No"),Settings!$H$63&lt;&gt;"Yes"),0,Settings!$B$63*IF(AND(IF(Settings!$C$63="",$B60,DATE(YEAR($A60),MONTH($A60),MIN(Settings!$C$63,DAY($B60))))&gt;=MAX($A60,Settings!$D$63),IF(Settings!$C$63="",$B60,DATE(YEAR($A60),MONTH($A60),MIN(Settings!$C$63,DAY($B60))))&lt;=MIN($C60,IF(Settings!$E$63="",$C60,Settings!$E$63))),1,0))+IF(OR(OR(Settings!$B$64="",Settings!$F$64="No"),Settings!$H$64&lt;&gt;"Yes"),0,Settings!$B$64*IF(AND(IF(Settings!$C$64="",$B60,DATE(YEAR($A60),MONTH($A60),MIN(Settings!$C$64,DAY($B60))))&gt;=MAX($A60,Settings!$D$64),IF(Settings!$C$64="",$B60,DATE(YEAR($A60),MONTH($A60),MIN(Settings!$C$64,DAY($B60))))&lt;=MIN($C60,IF(Settings!$E$64="",$C60,Settings!$E$64))),1,0))+IF(OR(OR(Settings!$B$65="",Settings!$F$65="No"),Settings!$H$65&lt;&gt;"Yes"),0,Settings!$B$65*IF(AND(IF(Settings!$C$65="",$B60,DATE(YEAR($A60),MONTH($A60),MIN(Settings!$C$65,DAY($B60))))&gt;=MAX($A60,Settings!$D$65),IF(Settings!$C$65="",$B60,DATE(YEAR($A60),MONTH($A60),MIN(Settings!$C$65,DAY($B60))))&lt;=MIN($C60,IF(Settings!$E$65="",$C60,Settings!$E$65))),1,0))</f>
        <v/>
      </c>
      <c r="FI60">
        <f>IF($DT60=1,IF(OR(Settings!$B$19="Card",Settings!$B$19="Loan"),N($AE60),0)+IF(OR(Settings!$B$20="Card",Settings!$B$20="Loan"),N($AF60),0)+IF(OR(Settings!$B$21="Card",Settings!$B$21="Loan"),N($AG60),0)+IF(OR(Settings!$B$22="Card",Settings!$B$22="Loan"),N($AH60),0)+IF(OR(Settings!$B$23="Card",Settings!$B$23="Loan"),N($AI60),0)+IF(OR(Settings!$B$24="Card",Settings!$B$24="Loan"),N($AJ60),0)+IF(OR(Settings!$B$25="Card",Settings!$B$25="Loan"),N($AK60),0)+IF(OR(Settings!$B$26="Card",Settings!$B$26="Loan"),N($AL60),0)+IF(OR(Settings!$B$27="Card",Settings!$B$27="Loan"),N($AM60),0)+IF(OR(Settings!$B$28="Card",Settings!$B$28="Loan"),N($AN60),0)+IF(OR(Settings!$B$29="Card",Settings!$B$29="Loan"),N($AO60),0)+IF(OR(Settings!$B$30="Card",Settings!$B$30="Loan"),N($AP60),0)+IF(OR(Settings!$B$31="Card",Settings!$B$31="Loan"),N($AQ60),0)+IF(OR(Settings!$B$32="Card",Settings!$B$32="Loan"),N($AR60),0),"")</f>
        <v/>
      </c>
      <c r="FJ60">
        <f>IF($E60="open",$EB$65,IF($E60="post",IF($E59="pre",$EB$65,$FI59),""))</f>
        <v/>
      </c>
      <c r="FK60">
        <f>IF(AND($DT60=1,$DC60=1),IF(ROUND($FI60-$FJ60,2)&gt;0,1,0),0)</f>
        <v/>
      </c>
      <c r="FL60">
        <f>IF($FK60=1,$FL59+1,0)</f>
        <v/>
      </c>
    </row>
    <row r="61">
      <c r="A61">
        <f>'Month-End'!$BF$4</f>
        <v/>
      </c>
      <c r="B61">
        <f>EOMONTH($A61,0)</f>
        <v/>
      </c>
      <c r="C61">
        <f>MIN($B61,TODAY())</f>
        <v/>
      </c>
      <c r="D61">
        <f>IF($A61&gt;TODAY(),1,0)</f>
        <v/>
      </c>
      <c r="E61">
        <f>IF($B61&lt;=Settings!$B$5,"pre",IF($A61&lt;=Settings!$B$5,"open","post"))</f>
        <v/>
      </c>
      <c r="G61">
        <f>IF('Month-End'!$BF$22="",$BE61,N('Month-End'!$BF$22))</f>
        <v/>
      </c>
      <c r="H61">
        <f>IF('Month-End'!$BF$23="",$BF61,N('Month-End'!$BF$23))</f>
        <v/>
      </c>
      <c r="I61">
        <f>IF('Month-End'!$BF$24="",$BG61,N('Month-End'!$BF$24))</f>
        <v/>
      </c>
      <c r="J61">
        <f>IF('Month-End'!$BF$25="",$BH61,N('Month-End'!$BF$25))</f>
        <v/>
      </c>
      <c r="K61">
        <f>IF('Month-End'!$BF$26="",$BI61,N('Month-End'!$BF$26))</f>
        <v/>
      </c>
      <c r="L61">
        <f>IF('Month-End'!$BF$27="",$BJ61,N('Month-End'!$BF$27))</f>
        <v/>
      </c>
      <c r="M61">
        <f>IF('Month-End'!$BF$28="",$BK61,N('Month-End'!$BF$28))</f>
        <v/>
      </c>
      <c r="N61">
        <f>IF('Month-End'!$BF$29="",$BL61,N('Month-End'!$BF$29))</f>
        <v/>
      </c>
      <c r="O61">
        <f>IF('Month-End'!$BF$30="",$BM61,N('Month-End'!$BF$30))</f>
        <v/>
      </c>
      <c r="P61">
        <f>IF('Month-End'!$BF$31="",$BN61,N('Month-End'!$BF$31))</f>
        <v/>
      </c>
      <c r="Q61">
        <f>IF('Month-End'!$BF$32="",$BO61,N('Month-End'!$BF$32))</f>
        <v/>
      </c>
      <c r="R61">
        <f>IF('Month-End'!$BF$33="",$BP61,N('Month-End'!$BF$33))</f>
        <v/>
      </c>
      <c r="S61">
        <f>$G61+$H61+$I61+$J61+$K61+$L61+$M61+$N61+$O61+$P61+$Q61+$R61</f>
        <v/>
      </c>
      <c r="T61">
        <f>IF($B61&lt;Settings!$B$6,0,IF(Settings!$B$45="Yes",$G61,0)+IF(Settings!$B$46="Yes",$H61,0)+IF(Settings!$B$47="Yes",$I61,0)+IF(Settings!$B$48="Yes",$J61,0)+IF(Settings!$B$49="Yes",$K61,0)+IF(Settings!$B$50="Yes",$L61,0)+IF(Settings!$B$51="Yes",$M61,0)+IF(Settings!$B$52="Yes",$N61,0)+IF(Settings!$B$53="Yes",$O61,0)+IF(Settings!$B$54="Yes",$P61,0)+IF(Settings!$B$55="Yes",$Q61,0)+IF(Settings!$B$56="Yes",$R61,0))</f>
        <v/>
      </c>
      <c r="U61">
        <f>IF(Settings!$B$45="Not Sure",$G61,0)+IF(Settings!$B$46="Not Sure",$H61,0)+IF(Settings!$B$47="Not Sure",$I61,0)+IF(Settings!$B$48="Not Sure",$J61,0)+IF(Settings!$B$49="Not Sure",$K61,0)+IF(Settings!$B$50="Not Sure",$L61,0)+IF(Settings!$B$51="Not Sure",$M61,0)+IF(Settings!$B$52="Not Sure",$N61,0)+IF(Settings!$B$53="Not Sure",$O61,0)+IF(Settings!$B$54="Not Sure",$P61,0)+IF(Settings!$B$55="Not Sure",$Q61,0)+IF(Settings!$B$56="Not Sure",$R61,0)</f>
        <v/>
      </c>
      <c r="V61">
        <f>IF($E61="open",SUM($ET61:$FE61)+N(Settings!$B$13),0)</f>
        <v/>
      </c>
      <c r="W61">
        <f>IF($E61="post",$S61,IF($E61="open",$S61-$V61,0))</f>
        <v/>
      </c>
      <c r="X61">
        <f>SUMIFS(Giving!$B$7:$B$2006,Giving!$A$7:$A$2006,"&gt;="&amp;$A61,Giving!$A$7:$A$2006,"&lt;="&amp;$B61,Giving!$E$7:$E$2006,"&lt;&gt;No")</f>
        <v/>
      </c>
      <c r="Y61">
        <f>SUMIFS(Giving!$B$7:$B$2006,Giving!$A$7:$A$2006,"&gt;="&amp;$A61,Giving!$A$7:$A$2006,"&lt;="&amp;$B61,Giving!$E$7:$E$2006,"No")</f>
        <v/>
      </c>
      <c r="Z61">
        <f>IF(OR(Settings!$B$60="",Settings!$F$60="No"),0,Settings!$B$60*IF(AND(IF(Settings!$C$60="",$B61,DATE(YEAR($A61),MONTH($A61),MIN(Settings!$C$60,DAY($B61))))&gt;=MAX($A61,Settings!$D$60),IF(Settings!$C$60="",$B61,DATE(YEAR($A61),MONTH($A61),MIN(Settings!$C$60,DAY($B61))))&lt;=MIN($C61,IF(Settings!$E$60="",$C61,Settings!$E$60))),1,0))+IF(OR(Settings!$B$61="",Settings!$F$61="No"),0,Settings!$B$61*IF(AND(IF(Settings!$C$61="",$B61,DATE(YEAR($A61),MONTH($A61),MIN(Settings!$C$61,DAY($B61))))&gt;=MAX($A61,Settings!$D$61),IF(Settings!$C$61="",$B61,DATE(YEAR($A61),MONTH($A61),MIN(Settings!$C$61,DAY($B61))))&lt;=MIN($C61,IF(Settings!$E$61="",$C61,Settings!$E$61))),1,0))+IF(OR(Settings!$B$62="",Settings!$F$62="No"),0,Settings!$B$62*IF(AND(IF(Settings!$C$62="",$B61,DATE(YEAR($A61),MONTH($A61),MIN(Settings!$C$62,DAY($B61))))&gt;=MAX($A61,Settings!$D$62),IF(Settings!$C$62="",$B61,DATE(YEAR($A61),MONTH($A61),MIN(Settings!$C$62,DAY($B61))))&lt;=MIN($C61,IF(Settings!$E$62="",$C61,Settings!$E$62))),1,0))+IF(OR(Settings!$B$63="",Settings!$F$63="No"),0,Settings!$B$63*IF(AND(IF(Settings!$C$63="",$B61,DATE(YEAR($A61),MONTH($A61),MIN(Settings!$C$63,DAY($B61))))&gt;=MAX($A61,Settings!$D$63),IF(Settings!$C$63="",$B61,DATE(YEAR($A61),MONTH($A61),MIN(Settings!$C$63,DAY($B61))))&lt;=MIN($C61,IF(Settings!$E$63="",$C61,Settings!$E$63))),1,0))+IF(OR(Settings!$B$64="",Settings!$F$64="No"),0,Settings!$B$64*IF(AND(IF(Settings!$C$64="",$B61,DATE(YEAR($A61),MONTH($A61),MIN(Settings!$C$64,DAY($B61))))&gt;=MAX($A61,Settings!$D$64),IF(Settings!$C$64="",$B61,DATE(YEAR($A61),MONTH($A61),MIN(Settings!$C$64,DAY($B61))))&lt;=MIN($C61,IF(Settings!$E$64="",$C61,Settings!$E$64))),1,0))+IF(OR(Settings!$B$65="",Settings!$F$65="No"),0,Settings!$B$65*IF(AND(IF(Settings!$C$65="",$B61,DATE(YEAR($A61),MONTH($A61),MIN(Settings!$C$65,DAY($B61))))&gt;=MAX($A61,Settings!$D$65),IF(Settings!$C$65="",$B61,DATE(YEAR($A61),MONTH($A61),MIN(Settings!$C$65,DAY($B61))))&lt;=MIN($C61,IF(Settings!$E$65="",$C61,Settings!$E$65))),1,0))</f>
        <v/>
      </c>
      <c r="AA61">
        <f>$X61+$Z61</f>
        <v/>
      </c>
      <c r="AB61">
        <f>IF($E61="post",$AA61,IF($E61="open",SUMIFS(Giving!$B$7:$B$2006,Giving!$A$7:$A$2006,"&gt;"&amp;Settings!$B$5,Giving!$A$7:$A$2006,"&lt;="&amp;$B61,Giving!$E$7:$E$2006,"&lt;&gt;No")+IF(OR(Settings!$B$60="",Settings!$F$60="No"),0,Settings!$B$60*IF(AND(IF(Settings!$C$60="",$B61,DATE(YEAR($A61),MONTH($A61),MIN(Settings!$C$60,DAY($B61))))&gt;=MAX($A61,Settings!$D$60,Settings!$B$5+1),IF(Settings!$C$60="",$B61,DATE(YEAR($A61),MONTH($A61),MIN(Settings!$C$60,DAY($B61))))&lt;=MIN($C61,IF(Settings!$E$60="",$C61,Settings!$E$60))),1,0))+IF(OR(Settings!$B$61="",Settings!$F$61="No"),0,Settings!$B$61*IF(AND(IF(Settings!$C$61="",$B61,DATE(YEAR($A61),MONTH($A61),MIN(Settings!$C$61,DAY($B61))))&gt;=MAX($A61,Settings!$D$61,Settings!$B$5+1),IF(Settings!$C$61="",$B61,DATE(YEAR($A61),MONTH($A61),MIN(Settings!$C$61,DAY($B61))))&lt;=MIN($C61,IF(Settings!$E$61="",$C61,Settings!$E$61))),1,0))+IF(OR(Settings!$B$62="",Settings!$F$62="No"),0,Settings!$B$62*IF(AND(IF(Settings!$C$62="",$B61,DATE(YEAR($A61),MONTH($A61),MIN(Settings!$C$62,DAY($B61))))&gt;=MAX($A61,Settings!$D$62,Settings!$B$5+1),IF(Settings!$C$62="",$B61,DATE(YEAR($A61),MONTH($A61),MIN(Settings!$C$62,DAY($B61))))&lt;=MIN($C61,IF(Settings!$E$62="",$C61,Settings!$E$62))),1,0))+IF(OR(Settings!$B$63="",Settings!$F$63="No"),0,Settings!$B$63*IF(AND(IF(Settings!$C$63="",$B61,DATE(YEAR($A61),MONTH($A61),MIN(Settings!$C$63,DAY($B61))))&gt;=MAX($A61,Settings!$D$63,Settings!$B$5+1),IF(Settings!$C$63="",$B61,DATE(YEAR($A61),MONTH($A61),MIN(Settings!$C$63,DAY($B61))))&lt;=MIN($C61,IF(Settings!$E$63="",$C61,Settings!$E$63))),1,0))+IF(OR(Settings!$B$64="",Settings!$F$64="No"),0,Settings!$B$64*IF(AND(IF(Settings!$C$64="",$B61,DATE(YEAR($A61),MONTH($A61),MIN(Settings!$C$64,DAY($B61))))&gt;=MAX($A61,Settings!$D$64,Settings!$B$5+1),IF(Settings!$C$64="",$B61,DATE(YEAR($A61),MONTH($A61),MIN(Settings!$C$64,DAY($B61))))&lt;=MIN($C61,IF(Settings!$E$64="",$C61,Settings!$E$64))),1,0))+IF(OR(Settings!$B$65="",Settings!$F$65="No"),0,Settings!$B$65*IF(AND(IF(Settings!$C$65="",$B61,DATE(YEAR($A61),MONTH($A61),MIN(Settings!$C$65,DAY($B61))))&gt;=MAX($A61,Settings!$D$65,Settings!$B$5+1),IF(Settings!$C$65="",$B61,DATE(YEAR($A61),MONTH($A61),MIN(Settings!$C$65,DAY($B61))))&lt;=MIN($C61,IF(Settings!$E$65="",$C61,Settings!$E$65))),1,0)),0))</f>
        <v/>
      </c>
      <c r="AC61">
        <f>$AY61+$AZ61+$BA61+$BB61+$BC61+$BD61</f>
        <v/>
      </c>
      <c r="AD61">
        <f>$AC61</f>
        <v/>
      </c>
      <c r="AE61">
        <f>IF(OR(Settings!$A$19="",$E61="pre"),"",IF(AND('Month-End'!$BF$7&lt;&gt;"",NOT(_xlfn.ISFORMULA('Month-End'!$BF$7))),N('Month-End'!$BF$7),IF(OR($E61="open",$E60="pre"),N(Settings!$C$19),N($AE60))))</f>
        <v/>
      </c>
      <c r="AF61">
        <f>IF(OR(Settings!$A$20="",$E61="pre"),"",IF(AND('Month-End'!$BF$8&lt;&gt;"",NOT(_xlfn.ISFORMULA('Month-End'!$BF$8))),N('Month-End'!$BF$8),IF(OR($E61="open",$E60="pre"),N(Settings!$C$20),N($AF60))))</f>
        <v/>
      </c>
      <c r="AG61">
        <f>IF(OR(Settings!$A$21="",$E61="pre"),"",IF(AND('Month-End'!$BF$9&lt;&gt;"",NOT(_xlfn.ISFORMULA('Month-End'!$BF$9))),N('Month-End'!$BF$9),IF(OR($E61="open",$E60="pre"),N(Settings!$C$21),N($AG60))))</f>
        <v/>
      </c>
      <c r="AH61">
        <f>IF(OR(Settings!$A$22="",$E61="pre"),"",IF(AND('Month-End'!$BF$10&lt;&gt;"",NOT(_xlfn.ISFORMULA('Month-End'!$BF$10))),N('Month-End'!$BF$10),IF(OR($E61="open",$E60="pre"),N(Settings!$C$22),N($AH60))))</f>
        <v/>
      </c>
      <c r="AI61">
        <f>IF(OR(Settings!$A$23="",$E61="pre"),"",IF(AND('Month-End'!$BF$11&lt;&gt;"",NOT(_xlfn.ISFORMULA('Month-End'!$BF$11))),N('Month-End'!$BF$11),IF(OR($E61="open",$E60="pre"),N(Settings!$C$23),N($AI60))))</f>
        <v/>
      </c>
      <c r="AJ61">
        <f>IF(OR(Settings!$A$24="",$E61="pre"),"",IF(AND('Month-End'!$BF$12&lt;&gt;"",NOT(_xlfn.ISFORMULA('Month-End'!$BF$12))),N('Month-End'!$BF$12),IF(OR($E61="open",$E60="pre"),N(Settings!$C$24),N($AJ60))))</f>
        <v/>
      </c>
      <c r="AK61">
        <f>IF(OR(Settings!$A$25="",$E61="pre"),"",IF(AND('Month-End'!$BF$13&lt;&gt;"",NOT(_xlfn.ISFORMULA('Month-End'!$BF$13))),N('Month-End'!$BF$13),IF(OR($E61="open",$E60="pre"),N(Settings!$C$25),N($AK60))))</f>
        <v/>
      </c>
      <c r="AL61">
        <f>IF(OR(Settings!$A$26="",$E61="pre"),"",IF(AND('Month-End'!$BF$14&lt;&gt;"",NOT(_xlfn.ISFORMULA('Month-End'!$BF$14))),N('Month-End'!$BF$14),IF(OR($E61="open",$E60="pre"),N(Settings!$C$26),N($AL60))))</f>
        <v/>
      </c>
      <c r="AM61">
        <f>IF(OR(Settings!$A$27="",$E61="pre"),"",IF(AND('Month-End'!$BF$15&lt;&gt;"",NOT(_xlfn.ISFORMULA('Month-End'!$BF$15))),N('Month-End'!$BF$15),IF(OR($E61="open",$E60="pre"),N(Settings!$C$27),N($AM60))))</f>
        <v/>
      </c>
      <c r="AN61">
        <f>IF(OR(Settings!$A$28="",$E61="pre"),"",IF(AND('Month-End'!$BF$16&lt;&gt;"",NOT(_xlfn.ISFORMULA('Month-End'!$BF$16))),N('Month-End'!$BF$16),IF(OR($E61="open",$E60="pre"),N(Settings!$C$28),N($AN60))))</f>
        <v/>
      </c>
      <c r="AO61">
        <f>IF(OR(Settings!$A$29="",$E61="pre"),"",IF(AND('Month-End'!$BF$17&lt;&gt;"",NOT(_xlfn.ISFORMULA('Month-End'!$BF$17))),N('Month-End'!$BF$17),IF(OR($E61="open",$E60="pre"),N(Settings!$C$29),N($AO60))))</f>
        <v/>
      </c>
      <c r="AP61">
        <f>IF(OR(Settings!$A$30="",$E61="pre"),"",IF(AND('Month-End'!$BF$18&lt;&gt;"",NOT(_xlfn.ISFORMULA('Month-End'!$BF$18))),N('Month-End'!$BF$18),IF(OR($E61="open",$E60="pre"),N(Settings!$C$30),N($AP60))))</f>
        <v/>
      </c>
      <c r="AQ61">
        <f>IF(OR(Settings!$A$31="",$E61="pre"),"",IF(AND('Month-End'!$BF$19&lt;&gt;"",NOT(_xlfn.ISFORMULA('Month-End'!$BF$19))),N('Month-End'!$BF$19),IF(OR($E61="open",$E60="pre"),N(Settings!$C$31),N($AQ60))))</f>
        <v/>
      </c>
      <c r="AR61">
        <f>IF(OR(Settings!$A$32="",$E61="pre"),"",IF(AND('Month-End'!$BF$20&lt;&gt;"",NOT(_xlfn.ISFORMULA('Month-End'!$BF$20))),N('Month-End'!$BF$20),IF(OR($E61="open",$E60="pre"),N(Settings!$C$32),N($AR60))))</f>
        <v/>
      </c>
      <c r="AS61">
        <f>IF(OR(Settings!$A$36="",$E61="pre"),"",IF(AND('Month-End'!$BF$38&lt;&gt;"",NOT(_xlfn.ISFORMULA('Month-End'!$BF$38))),N('Month-End'!$BF$38),IF(OR($E61="open",$E60="pre"),N(Settings!$C$36),N($AS60))+$AY61))</f>
        <v/>
      </c>
      <c r="AT61">
        <f>IF(OR(Settings!$A$37="",$E61="pre"),"",IF(AND('Month-End'!$BF$39&lt;&gt;"",NOT(_xlfn.ISFORMULA('Month-End'!$BF$39))),N('Month-End'!$BF$39),IF(OR($E61="open",$E60="pre"),N(Settings!$C$37),N($AT60))+$AZ61))</f>
        <v/>
      </c>
      <c r="AU61">
        <f>IF(OR(Settings!$A$38="",$E61="pre"),"",IF(AND('Month-End'!$BF$40&lt;&gt;"",NOT(_xlfn.ISFORMULA('Month-End'!$BF$40))),N('Month-End'!$BF$40),IF(OR($E61="open",$E60="pre"),N(Settings!$C$38),N($AU60))+$BA61))</f>
        <v/>
      </c>
      <c r="AV61">
        <f>IF(OR(Settings!$A$39="",$E61="pre"),"",IF(AND('Month-End'!$BF$41&lt;&gt;"",NOT(_xlfn.ISFORMULA('Month-End'!$BF$41))),N('Month-End'!$BF$41),IF(OR($E61="open",$E60="pre"),N(Settings!$C$39),N($AV60))+$BB61))</f>
        <v/>
      </c>
      <c r="AW61">
        <f>IF(OR(Settings!$A$40="",$E61="pre"),"",IF(AND('Month-End'!$BF$42&lt;&gt;"",NOT(_xlfn.ISFORMULA('Month-End'!$BF$42))),N('Month-End'!$BF$42),IF(OR($E61="open",$E60="pre"),N(Settings!$C$40),N($AW60))+$BC61))</f>
        <v/>
      </c>
      <c r="AX61">
        <f>IF(OR(Settings!$A$41="",$E61="pre"),"",IF(AND('Month-End'!$BF$43&lt;&gt;"",NOT(_xlfn.ISFORMULA('Month-End'!$BF$43))),N('Month-End'!$BF$43),IF(OR($E61="open",$E60="pre"),N(Settings!$C$41),N($AX60))+$BD61))</f>
        <v/>
      </c>
      <c r="AY61">
        <f>IF($E61="pre",0,N('Month-End'!$BF$45))</f>
        <v/>
      </c>
      <c r="AZ61">
        <f>IF($E61="pre",0,N('Month-End'!$BF$46))</f>
        <v/>
      </c>
      <c r="BA61">
        <f>IF($E61="pre",0,N('Month-End'!$BF$47))</f>
        <v/>
      </c>
      <c r="BB61">
        <f>IF($E61="pre",0,N('Month-End'!$BF$48))</f>
        <v/>
      </c>
      <c r="BC61">
        <f>IF($E61="pre",0,N('Month-End'!$BF$49))</f>
        <v/>
      </c>
      <c r="BD61">
        <f>IF($E61="pre",0,N('Month-End'!$BF$50))</f>
        <v/>
      </c>
      <c r="BE61">
        <f>IF(OR(Settings!$C$45="",Settings!$D$45=""),0,Settings!$C$45*IF(Settings!$D$45="Weekly",IF(IFERROR(MATCH(Settings!$E$45,$EO$4:$EO$10,0),0)=0,0,IF(MIN($C61,IF(Settings!$G$45="",$C61,Settings!$G$45))&lt;MAX($A61,Settings!$F$45),0,INT((MIN($C61,IF(Settings!$G$45="",$C61,Settings!$G$45))-MAX($A61,Settings!$F$45)-MOD(IFERROR(MATCH(Settings!$E$45,$EO$4:$EO$10,0),0)-WEEKDAY(MAX($A61,Settings!$F$45)),7))/7)+1)),IF(AND(IF(Settings!$E$45="",$B61,DATE(YEAR($A61),MONTH($A61),MIN(Settings!$E$45,DAY($B61))))&gt;=MAX($A61,Settings!$F$45),IF(Settings!$E$45="",$B61,DATE(YEAR($A61),MONTH($A61),MIN(Settings!$E$45,DAY($B61))))&lt;=MIN($C61,IF(Settings!$G$45="",$C61,Settings!$G$45))),1,0)))</f>
        <v/>
      </c>
      <c r="BF61">
        <f>IF(OR(Settings!$C$46="",Settings!$D$46=""),0,Settings!$C$46*IF(Settings!$D$46="Weekly",IF(IFERROR(MATCH(Settings!$E$46,$EO$4:$EO$10,0),0)=0,0,IF(MIN($C61,IF(Settings!$G$46="",$C61,Settings!$G$46))&lt;MAX($A61,Settings!$F$46),0,INT((MIN($C61,IF(Settings!$G$46="",$C61,Settings!$G$46))-MAX($A61,Settings!$F$46)-MOD(IFERROR(MATCH(Settings!$E$46,$EO$4:$EO$10,0),0)-WEEKDAY(MAX($A61,Settings!$F$46)),7))/7)+1)),IF(AND(IF(Settings!$E$46="",$B61,DATE(YEAR($A61),MONTH($A61),MIN(Settings!$E$46,DAY($B61))))&gt;=MAX($A61,Settings!$F$46),IF(Settings!$E$46="",$B61,DATE(YEAR($A61),MONTH($A61),MIN(Settings!$E$46,DAY($B61))))&lt;=MIN($C61,IF(Settings!$G$46="",$C61,Settings!$G$46))),1,0)))</f>
        <v/>
      </c>
      <c r="BG61">
        <f>IF(OR(Settings!$C$47="",Settings!$D$47=""),0,Settings!$C$47*IF(Settings!$D$47="Weekly",IF(IFERROR(MATCH(Settings!$E$47,$EO$4:$EO$10,0),0)=0,0,IF(MIN($C61,IF(Settings!$G$47="",$C61,Settings!$G$47))&lt;MAX($A61,Settings!$F$47),0,INT((MIN($C61,IF(Settings!$G$47="",$C61,Settings!$G$47))-MAX($A61,Settings!$F$47)-MOD(IFERROR(MATCH(Settings!$E$47,$EO$4:$EO$10,0),0)-WEEKDAY(MAX($A61,Settings!$F$47)),7))/7)+1)),IF(AND(IF(Settings!$E$47="",$B61,DATE(YEAR($A61),MONTH($A61),MIN(Settings!$E$47,DAY($B61))))&gt;=MAX($A61,Settings!$F$47),IF(Settings!$E$47="",$B61,DATE(YEAR($A61),MONTH($A61),MIN(Settings!$E$47,DAY($B61))))&lt;=MIN($C61,IF(Settings!$G$47="",$C61,Settings!$G$47))),1,0)))</f>
        <v/>
      </c>
      <c r="BH61">
        <f>IF(OR(Settings!$C$48="",Settings!$D$48=""),0,Settings!$C$48*IF(Settings!$D$48="Weekly",IF(IFERROR(MATCH(Settings!$E$48,$EO$4:$EO$10,0),0)=0,0,IF(MIN($C61,IF(Settings!$G$48="",$C61,Settings!$G$48))&lt;MAX($A61,Settings!$F$48),0,INT((MIN($C61,IF(Settings!$G$48="",$C61,Settings!$G$48))-MAX($A61,Settings!$F$48)-MOD(IFERROR(MATCH(Settings!$E$48,$EO$4:$EO$10,0),0)-WEEKDAY(MAX($A61,Settings!$F$48)),7))/7)+1)),IF(AND(IF(Settings!$E$48="",$B61,DATE(YEAR($A61),MONTH($A61),MIN(Settings!$E$48,DAY($B61))))&gt;=MAX($A61,Settings!$F$48),IF(Settings!$E$48="",$B61,DATE(YEAR($A61),MONTH($A61),MIN(Settings!$E$48,DAY($B61))))&lt;=MIN($C61,IF(Settings!$G$48="",$C61,Settings!$G$48))),1,0)))</f>
        <v/>
      </c>
      <c r="BI61">
        <f>IF(OR(Settings!$C$49="",Settings!$D$49=""),0,Settings!$C$49*IF(Settings!$D$49="Weekly",IF(IFERROR(MATCH(Settings!$E$49,$EO$4:$EO$10,0),0)=0,0,IF(MIN($C61,IF(Settings!$G$49="",$C61,Settings!$G$49))&lt;MAX($A61,Settings!$F$49),0,INT((MIN($C61,IF(Settings!$G$49="",$C61,Settings!$G$49))-MAX($A61,Settings!$F$49)-MOD(IFERROR(MATCH(Settings!$E$49,$EO$4:$EO$10,0),0)-WEEKDAY(MAX($A61,Settings!$F$49)),7))/7)+1)),IF(AND(IF(Settings!$E$49="",$B61,DATE(YEAR($A61),MONTH($A61),MIN(Settings!$E$49,DAY($B61))))&gt;=MAX($A61,Settings!$F$49),IF(Settings!$E$49="",$B61,DATE(YEAR($A61),MONTH($A61),MIN(Settings!$E$49,DAY($B61))))&lt;=MIN($C61,IF(Settings!$G$49="",$C61,Settings!$G$49))),1,0)))</f>
        <v/>
      </c>
      <c r="BJ61">
        <f>IF(OR(Settings!$C$50="",Settings!$D$50=""),0,Settings!$C$50*IF(Settings!$D$50="Weekly",IF(IFERROR(MATCH(Settings!$E$50,$EO$4:$EO$10,0),0)=0,0,IF(MIN($C61,IF(Settings!$G$50="",$C61,Settings!$G$50))&lt;MAX($A61,Settings!$F$50),0,INT((MIN($C61,IF(Settings!$G$50="",$C61,Settings!$G$50))-MAX($A61,Settings!$F$50)-MOD(IFERROR(MATCH(Settings!$E$50,$EO$4:$EO$10,0),0)-WEEKDAY(MAX($A61,Settings!$F$50)),7))/7)+1)),IF(AND(IF(Settings!$E$50="",$B61,DATE(YEAR($A61),MONTH($A61),MIN(Settings!$E$50,DAY($B61))))&gt;=MAX($A61,Settings!$F$50),IF(Settings!$E$50="",$B61,DATE(YEAR($A61),MONTH($A61),MIN(Settings!$E$50,DAY($B61))))&lt;=MIN($C61,IF(Settings!$G$50="",$C61,Settings!$G$50))),1,0)))</f>
        <v/>
      </c>
      <c r="BK61">
        <f>IF(OR(Settings!$C$51="",Settings!$D$51=""),0,Settings!$C$51*IF(Settings!$D$51="Weekly",IF(IFERROR(MATCH(Settings!$E$51,$EO$4:$EO$10,0),0)=0,0,IF(MIN($C61,IF(Settings!$G$51="",$C61,Settings!$G$51))&lt;MAX($A61,Settings!$F$51),0,INT((MIN($C61,IF(Settings!$G$51="",$C61,Settings!$G$51))-MAX($A61,Settings!$F$51)-MOD(IFERROR(MATCH(Settings!$E$51,$EO$4:$EO$10,0),0)-WEEKDAY(MAX($A61,Settings!$F$51)),7))/7)+1)),IF(AND(IF(Settings!$E$51="",$B61,DATE(YEAR($A61),MONTH($A61),MIN(Settings!$E$51,DAY($B61))))&gt;=MAX($A61,Settings!$F$51),IF(Settings!$E$51="",$B61,DATE(YEAR($A61),MONTH($A61),MIN(Settings!$E$51,DAY($B61))))&lt;=MIN($C61,IF(Settings!$G$51="",$C61,Settings!$G$51))),1,0)))</f>
        <v/>
      </c>
      <c r="BL61">
        <f>IF(OR(Settings!$C$52="",Settings!$D$52=""),0,Settings!$C$52*IF(Settings!$D$52="Weekly",IF(IFERROR(MATCH(Settings!$E$52,$EO$4:$EO$10,0),0)=0,0,IF(MIN($C61,IF(Settings!$G$52="",$C61,Settings!$G$52))&lt;MAX($A61,Settings!$F$52),0,INT((MIN($C61,IF(Settings!$G$52="",$C61,Settings!$G$52))-MAX($A61,Settings!$F$52)-MOD(IFERROR(MATCH(Settings!$E$52,$EO$4:$EO$10,0),0)-WEEKDAY(MAX($A61,Settings!$F$52)),7))/7)+1)),IF(AND(IF(Settings!$E$52="",$B61,DATE(YEAR($A61),MONTH($A61),MIN(Settings!$E$52,DAY($B61))))&gt;=MAX($A61,Settings!$F$52),IF(Settings!$E$52="",$B61,DATE(YEAR($A61),MONTH($A61),MIN(Settings!$E$52,DAY($B61))))&lt;=MIN($C61,IF(Settings!$G$52="",$C61,Settings!$G$52))),1,0)))</f>
        <v/>
      </c>
      <c r="BM61">
        <f>IF(OR(Settings!$C$53="",Settings!$D$53=""),0,Settings!$C$53*IF(Settings!$D$53="Weekly",IF(IFERROR(MATCH(Settings!$E$53,$EO$4:$EO$10,0),0)=0,0,IF(MIN($C61,IF(Settings!$G$53="",$C61,Settings!$G$53))&lt;MAX($A61,Settings!$F$53),0,INT((MIN($C61,IF(Settings!$G$53="",$C61,Settings!$G$53))-MAX($A61,Settings!$F$53)-MOD(IFERROR(MATCH(Settings!$E$53,$EO$4:$EO$10,0),0)-WEEKDAY(MAX($A61,Settings!$F$53)),7))/7)+1)),IF(AND(IF(Settings!$E$53="",$B61,DATE(YEAR($A61),MONTH($A61),MIN(Settings!$E$53,DAY($B61))))&gt;=MAX($A61,Settings!$F$53),IF(Settings!$E$53="",$B61,DATE(YEAR($A61),MONTH($A61),MIN(Settings!$E$53,DAY($B61))))&lt;=MIN($C61,IF(Settings!$G$53="",$C61,Settings!$G$53))),1,0)))</f>
        <v/>
      </c>
      <c r="BN61">
        <f>IF(OR(Settings!$C$54="",Settings!$D$54=""),0,Settings!$C$54*IF(Settings!$D$54="Weekly",IF(IFERROR(MATCH(Settings!$E$54,$EO$4:$EO$10,0),0)=0,0,IF(MIN($C61,IF(Settings!$G$54="",$C61,Settings!$G$54))&lt;MAX($A61,Settings!$F$54),0,INT((MIN($C61,IF(Settings!$G$54="",$C61,Settings!$G$54))-MAX($A61,Settings!$F$54)-MOD(IFERROR(MATCH(Settings!$E$54,$EO$4:$EO$10,0),0)-WEEKDAY(MAX($A61,Settings!$F$54)),7))/7)+1)),IF(AND(IF(Settings!$E$54="",$B61,DATE(YEAR($A61),MONTH($A61),MIN(Settings!$E$54,DAY($B61))))&gt;=MAX($A61,Settings!$F$54),IF(Settings!$E$54="",$B61,DATE(YEAR($A61),MONTH($A61),MIN(Settings!$E$54,DAY($B61))))&lt;=MIN($C61,IF(Settings!$G$54="",$C61,Settings!$G$54))),1,0)))</f>
        <v/>
      </c>
      <c r="BO61">
        <f>IF(OR(Settings!$C$55="",Settings!$D$55=""),0,Settings!$C$55*IF(Settings!$D$55="Weekly",IF(IFERROR(MATCH(Settings!$E$55,$EO$4:$EO$10,0),0)=0,0,IF(MIN($C61,IF(Settings!$G$55="",$C61,Settings!$G$55))&lt;MAX($A61,Settings!$F$55),0,INT((MIN($C61,IF(Settings!$G$55="",$C61,Settings!$G$55))-MAX($A61,Settings!$F$55)-MOD(IFERROR(MATCH(Settings!$E$55,$EO$4:$EO$10,0),0)-WEEKDAY(MAX($A61,Settings!$F$55)),7))/7)+1)),IF(AND(IF(Settings!$E$55="",$B61,DATE(YEAR($A61),MONTH($A61),MIN(Settings!$E$55,DAY($B61))))&gt;=MAX($A61,Settings!$F$55),IF(Settings!$E$55="",$B61,DATE(YEAR($A61),MONTH($A61),MIN(Settings!$E$55,DAY($B61))))&lt;=MIN($C61,IF(Settings!$G$55="",$C61,Settings!$G$55))),1,0)))</f>
        <v/>
      </c>
      <c r="BP61">
        <f>IF(OR(Settings!$C$56="",Settings!$D$56=""),0,Settings!$C$56*IF(Settings!$D$56="Weekly",IF(IFERROR(MATCH(Settings!$E$56,$EO$4:$EO$10,0),0)=0,0,IF(MIN($C61,IF(Settings!$G$56="",$C61,Settings!$G$56))&lt;MAX($A61,Settings!$F$56),0,INT((MIN($C61,IF(Settings!$G$56="",$C61,Settings!$G$56))-MAX($A61,Settings!$F$56)-MOD(IFERROR(MATCH(Settings!$E$56,$EO$4:$EO$10,0),0)-WEEKDAY(MAX($A61,Settings!$F$56)),7))/7)+1)),IF(AND(IF(Settings!$E$56="",$B61,DATE(YEAR($A61),MONTH($A61),MIN(Settings!$E$56,DAY($B61))))&gt;=MAX($A61,Settings!$F$56),IF(Settings!$E$56="",$B61,DATE(YEAR($A61),MONTH($A61),MIN(Settings!$E$56,DAY($B61))))&lt;=MIN($C61,IF(Settings!$G$56="",$C61,Settings!$G$56))),1,0)))</f>
        <v/>
      </c>
      <c r="BQ61">
        <f>IF(OR(Settings!$B$14="",$D61=1,$E61="pre",$A61&lt;IF(Settings!$B$15="",0,Settings!$B$15)),0,Settings!$B$14)</f>
        <v/>
      </c>
      <c r="BR61">
        <f>IF(AND('Month-End'!$BF$7&lt;&gt;"",NOT(_xlfn.ISFORMULA('Month-End'!$BF$7))),1,0)</f>
        <v/>
      </c>
      <c r="BS61">
        <f>IF(AND('Month-End'!$BF$8&lt;&gt;"",NOT(_xlfn.ISFORMULA('Month-End'!$BF$8))),1,0)</f>
        <v/>
      </c>
      <c r="BT61">
        <f>IF(AND('Month-End'!$BF$9&lt;&gt;"",NOT(_xlfn.ISFORMULA('Month-End'!$BF$9))),1,0)</f>
        <v/>
      </c>
      <c r="BU61">
        <f>IF(AND('Month-End'!$BF$10&lt;&gt;"",NOT(_xlfn.ISFORMULA('Month-End'!$BF$10))),1,0)</f>
        <v/>
      </c>
      <c r="BV61">
        <f>IF(AND('Month-End'!$BF$11&lt;&gt;"",NOT(_xlfn.ISFORMULA('Month-End'!$BF$11))),1,0)</f>
        <v/>
      </c>
      <c r="BW61">
        <f>IF(AND('Month-End'!$BF$12&lt;&gt;"",NOT(_xlfn.ISFORMULA('Month-End'!$BF$12))),1,0)</f>
        <v/>
      </c>
      <c r="BX61">
        <f>IF(AND('Month-End'!$BF$13&lt;&gt;"",NOT(_xlfn.ISFORMULA('Month-End'!$BF$13))),1,0)</f>
        <v/>
      </c>
      <c r="BY61">
        <f>IF(AND('Month-End'!$BF$14&lt;&gt;"",NOT(_xlfn.ISFORMULA('Month-End'!$BF$14))),1,0)</f>
        <v/>
      </c>
      <c r="BZ61">
        <f>IF(AND('Month-End'!$BF$15&lt;&gt;"",NOT(_xlfn.ISFORMULA('Month-End'!$BF$15))),1,0)</f>
        <v/>
      </c>
      <c r="CA61">
        <f>IF(AND('Month-End'!$BF$16&lt;&gt;"",NOT(_xlfn.ISFORMULA('Month-End'!$BF$16))),1,0)</f>
        <v/>
      </c>
      <c r="CB61">
        <f>IF(AND('Month-End'!$BF$17&lt;&gt;"",NOT(_xlfn.ISFORMULA('Month-End'!$BF$17))),1,0)</f>
        <v/>
      </c>
      <c r="CC61">
        <f>IF(AND('Month-End'!$BF$18&lt;&gt;"",NOT(_xlfn.ISFORMULA('Month-End'!$BF$18))),1,0)</f>
        <v/>
      </c>
      <c r="CD61">
        <f>IF(AND('Month-End'!$BF$19&lt;&gt;"",NOT(_xlfn.ISFORMULA('Month-End'!$BF$19))),1,0)</f>
        <v/>
      </c>
      <c r="CE61">
        <f>IF(AND('Month-End'!$BF$20&lt;&gt;"",NOT(_xlfn.ISFORMULA('Month-End'!$BF$20))),1,0)</f>
        <v/>
      </c>
      <c r="CF61">
        <f>IF(AND('Month-End'!$BF$38&lt;&gt;"",NOT(_xlfn.ISFORMULA('Month-End'!$BF$38))),1,0)</f>
        <v/>
      </c>
      <c r="CG61">
        <f>IF(AND('Month-End'!$BF$39&lt;&gt;"",NOT(_xlfn.ISFORMULA('Month-End'!$BF$39))),1,0)</f>
        <v/>
      </c>
      <c r="CH61">
        <f>IF(AND('Month-End'!$BF$40&lt;&gt;"",NOT(_xlfn.ISFORMULA('Month-End'!$BF$40))),1,0)</f>
        <v/>
      </c>
      <c r="CI61">
        <f>IF(AND('Month-End'!$BF$41&lt;&gt;"",NOT(_xlfn.ISFORMULA('Month-End'!$BF$41))),1,0)</f>
        <v/>
      </c>
      <c r="CJ61">
        <f>IF(AND('Month-End'!$BF$42&lt;&gt;"",NOT(_xlfn.ISFORMULA('Month-End'!$BF$42))),1,0)</f>
        <v/>
      </c>
      <c r="CK61">
        <f>IF(AND('Month-End'!$BF$43&lt;&gt;"",NOT(_xlfn.ISFORMULA('Month-End'!$BF$43))),1,0)</f>
        <v/>
      </c>
      <c r="CL61">
        <f>SUM($CM61:$CZ61)</f>
        <v/>
      </c>
      <c r="CM61">
        <f>IF(AND($E61&lt;&gt;"pre",AND(Settings!$A$19&lt;&gt;"",Settings!$E$19&lt;&gt;"No"),Settings!$F$19="Yes",NOT(AND('Month-End'!$BF$7&lt;&gt;"",NOT(_xlfn.ISFORMULA('Month-End'!$BF$7))))),1,0)</f>
        <v/>
      </c>
      <c r="CN61">
        <f>IF(AND($E61&lt;&gt;"pre",AND(Settings!$A$20&lt;&gt;"",Settings!$E$20&lt;&gt;"No"),Settings!$F$20="Yes",NOT(AND('Month-End'!$BF$8&lt;&gt;"",NOT(_xlfn.ISFORMULA('Month-End'!$BF$8))))),1,0)</f>
        <v/>
      </c>
      <c r="CO61">
        <f>IF(AND($E61&lt;&gt;"pre",AND(Settings!$A$21&lt;&gt;"",Settings!$E$21&lt;&gt;"No"),Settings!$F$21="Yes",NOT(AND('Month-End'!$BF$9&lt;&gt;"",NOT(_xlfn.ISFORMULA('Month-End'!$BF$9))))),1,0)</f>
        <v/>
      </c>
      <c r="CP61">
        <f>IF(AND($E61&lt;&gt;"pre",AND(Settings!$A$22&lt;&gt;"",Settings!$E$22&lt;&gt;"No"),Settings!$F$22="Yes",NOT(AND('Month-End'!$BF$10&lt;&gt;"",NOT(_xlfn.ISFORMULA('Month-End'!$BF$10))))),1,0)</f>
        <v/>
      </c>
      <c r="CQ61">
        <f>IF(AND($E61&lt;&gt;"pre",AND(Settings!$A$23&lt;&gt;"",Settings!$E$23&lt;&gt;"No"),Settings!$F$23="Yes",NOT(AND('Month-End'!$BF$11&lt;&gt;"",NOT(_xlfn.ISFORMULA('Month-End'!$BF$11))))),1,0)</f>
        <v/>
      </c>
      <c r="CR61">
        <f>IF(AND($E61&lt;&gt;"pre",AND(Settings!$A$24&lt;&gt;"",Settings!$E$24&lt;&gt;"No"),Settings!$F$24="Yes",NOT(AND('Month-End'!$BF$12&lt;&gt;"",NOT(_xlfn.ISFORMULA('Month-End'!$BF$12))))),1,0)</f>
        <v/>
      </c>
      <c r="CS61">
        <f>IF(AND($E61&lt;&gt;"pre",AND(Settings!$A$25&lt;&gt;"",Settings!$E$25&lt;&gt;"No"),Settings!$F$25="Yes",NOT(AND('Month-End'!$BF$13&lt;&gt;"",NOT(_xlfn.ISFORMULA('Month-End'!$BF$13))))),1,0)</f>
        <v/>
      </c>
      <c r="CT61">
        <f>IF(AND($E61&lt;&gt;"pre",AND(Settings!$A$26&lt;&gt;"",Settings!$E$26&lt;&gt;"No"),Settings!$F$26="Yes",NOT(AND('Month-End'!$BF$14&lt;&gt;"",NOT(_xlfn.ISFORMULA('Month-End'!$BF$14))))),1,0)</f>
        <v/>
      </c>
      <c r="CU61">
        <f>IF(AND($E61&lt;&gt;"pre",AND(Settings!$A$27&lt;&gt;"",Settings!$E$27&lt;&gt;"No"),Settings!$F$27="Yes",NOT(AND('Month-End'!$BF$15&lt;&gt;"",NOT(_xlfn.ISFORMULA('Month-End'!$BF$15))))),1,0)</f>
        <v/>
      </c>
      <c r="CV61">
        <f>IF(AND($E61&lt;&gt;"pre",AND(Settings!$A$28&lt;&gt;"",Settings!$E$28&lt;&gt;"No"),Settings!$F$28="Yes",NOT(AND('Month-End'!$BF$16&lt;&gt;"",NOT(_xlfn.ISFORMULA('Month-End'!$BF$16))))),1,0)</f>
        <v/>
      </c>
      <c r="CW61">
        <f>IF(AND($E61&lt;&gt;"pre",AND(Settings!$A$29&lt;&gt;"",Settings!$E$29&lt;&gt;"No"),Settings!$F$29="Yes",NOT(AND('Month-End'!$BF$17&lt;&gt;"",NOT(_xlfn.ISFORMULA('Month-End'!$BF$17))))),1,0)</f>
        <v/>
      </c>
      <c r="CX61">
        <f>IF(AND($E61&lt;&gt;"pre",AND(Settings!$A$30&lt;&gt;"",Settings!$E$30&lt;&gt;"No"),Settings!$F$30="Yes",NOT(AND('Month-End'!$BF$18&lt;&gt;"",NOT(_xlfn.ISFORMULA('Month-End'!$BF$18))))),1,0)</f>
        <v/>
      </c>
      <c r="CY61">
        <f>IF(AND($E61&lt;&gt;"pre",AND(Settings!$A$31&lt;&gt;"",Settings!$E$31&lt;&gt;"No"),Settings!$F$31="Yes",NOT(AND('Month-End'!$BF$19&lt;&gt;"",NOT(_xlfn.ISFORMULA('Month-End'!$BF$19))))),1,0)</f>
        <v/>
      </c>
      <c r="CZ61">
        <f>IF(AND($E61&lt;&gt;"pre",AND(Settings!$A$32&lt;&gt;"",Settings!$E$32&lt;&gt;"No"),Settings!$F$32="Yes",NOT(AND('Month-End'!$BF$20&lt;&gt;"",NOT(_xlfn.ISFORMULA('Month-End'!$BF$20))))),1,0)</f>
        <v/>
      </c>
      <c r="DA61">
        <f>IF($DT61=1,IF(OR(Settings!$B$19="Checking",Settings!$B$19="Savings",Settings!$B$19="Cash"),N($AE61),IF(OR(Settings!$B$19="Card",Settings!$B$19="Loan"),-N($AE61),0))+IF(OR(Settings!$B$20="Checking",Settings!$B$20="Savings",Settings!$B$20="Cash"),N($AF61),IF(OR(Settings!$B$20="Card",Settings!$B$20="Loan"),-N($AF61),0))+IF(OR(Settings!$B$21="Checking",Settings!$B$21="Savings",Settings!$B$21="Cash"),N($AG61),IF(OR(Settings!$B$21="Card",Settings!$B$21="Loan"),-N($AG61),0))+IF(OR(Settings!$B$22="Checking",Settings!$B$22="Savings",Settings!$B$22="Cash"),N($AH61),IF(OR(Settings!$B$22="Card",Settings!$B$22="Loan"),-N($AH61),0))+IF(OR(Settings!$B$23="Checking",Settings!$B$23="Savings",Settings!$B$23="Cash"),N($AI61),IF(OR(Settings!$B$23="Card",Settings!$B$23="Loan"),-N($AI61),0))+IF(OR(Settings!$B$24="Checking",Settings!$B$24="Savings",Settings!$B$24="Cash"),N($AJ61),IF(OR(Settings!$B$24="Card",Settings!$B$24="Loan"),-N($AJ61),0))+IF(OR(Settings!$B$25="Checking",Settings!$B$25="Savings",Settings!$B$25="Cash"),N($AK61),IF(OR(Settings!$B$25="Card",Settings!$B$25="Loan"),-N($AK61),0))+IF(OR(Settings!$B$26="Checking",Settings!$B$26="Savings",Settings!$B$26="Cash"),N($AL61),IF(OR(Settings!$B$26="Card",Settings!$B$26="Loan"),-N($AL61),0))+IF(OR(Settings!$B$27="Checking",Settings!$B$27="Savings",Settings!$B$27="Cash"),N($AM61),IF(OR(Settings!$B$27="Card",Settings!$B$27="Loan"),-N($AM61),0))+IF(OR(Settings!$B$28="Checking",Settings!$B$28="Savings",Settings!$B$28="Cash"),N($AN61),IF(OR(Settings!$B$28="Card",Settings!$B$28="Loan"),-N($AN61),0))+IF(OR(Settings!$B$29="Checking",Settings!$B$29="Savings",Settings!$B$29="Cash"),N($AO61),IF(OR(Settings!$B$29="Card",Settings!$B$29="Loan"),-N($AO61),0))+IF(OR(Settings!$B$30="Checking",Settings!$B$30="Savings",Settings!$B$30="Cash"),N($AP61),IF(OR(Settings!$B$30="Card",Settings!$B$30="Loan"),-N($AP61),0))+IF(OR(Settings!$B$31="Checking",Settings!$B$31="Savings",Settings!$B$31="Cash"),N($AQ61),IF(OR(Settings!$B$31="Card",Settings!$B$31="Loan"),-N($AQ61),0))+IF(OR(Settings!$B$32="Checking",Settings!$B$32="Savings",Settings!$B$32="Cash"),N($AR61),IF(OR(Settings!$B$32="Card",Settings!$B$32="Loan"),-N($AR61),0)),"")</f>
        <v/>
      </c>
      <c r="DB61">
        <f>IF($E61="open",$EB$27,IF($E61="post",IF($E60="pre",$EB$27,$DA60),""))</f>
        <v/>
      </c>
      <c r="DC61">
        <f>IF($E61="open",1,IF($E61="post",IF($E60="pre",1,$DT60),0))</f>
        <v/>
      </c>
      <c r="DD61">
        <f>IF(AND($DT61=1,$DC61=1),ROUND($W61-($DA61-$DB61)-$AD61-$AB61,2),"")</f>
        <v/>
      </c>
      <c r="DE61">
        <f>IF('Month-End'!$BF$35="",$BQ61,N('Month-End'!$BF$35))</f>
        <v/>
      </c>
      <c r="DF61">
        <f>N('Month-End'!$BF$36)</f>
        <v/>
      </c>
      <c r="DG61">
        <f>IF($DD61="","",$DD61+$DE61)</f>
        <v/>
      </c>
      <c r="DH61">
        <f>IF($DG61="","",$DG61-$DF61)</f>
        <v/>
      </c>
      <c r="DI61">
        <f>IF(OR($E61="pre",$D61=1),"",N($AS61)+N($AT61)+N($AU61)+N($AV61)+N($AW61)+N($AX61))</f>
        <v/>
      </c>
      <c r="DJ61">
        <f>IF($DT61=1,$DA61+N($DI61),"")</f>
        <v/>
      </c>
      <c r="DK61">
        <f>IF($DD61="","",$W61-$DD61-$AB61)</f>
        <v/>
      </c>
      <c r="DL61">
        <f>IF(AND($E61="post",$DD61&lt;&gt;"",$B61&lt;TODAY()),1,0)</f>
        <v/>
      </c>
      <c r="DM61">
        <f>IF($DL61=1,COUNTIF($DL61:$DL$183,1),0)</f>
        <v/>
      </c>
      <c r="DN61">
        <f>IF($D61=1,"",IF($E61="pre","History only",IF($DT61=1,IF($DD61="","⚠ Previous month missing",IF($DD61&lt;0,"⚠ Check: spending &lt; 0",IF($E61="open","✓ Done (partial)","✓ Done"))),IF($B61&gt;=TODAY(),"In progress","⚠ Needs balances"))))</f>
        <v/>
      </c>
      <c r="DO61">
        <f>YEAR($A61)</f>
        <v/>
      </c>
      <c r="DP61">
        <f>DATE(YEAR($A61),INT((MONTH($A61)-1)/3)*3+1,1)</f>
        <v/>
      </c>
      <c r="DQ61">
        <f>IF(AND($DT61=1,$DD61&lt;&gt;"",$D61=0),ROW(),0)</f>
        <v/>
      </c>
      <c r="DR61">
        <f>IF(AND($E61&lt;&gt;"pre",$B61&lt;TODAY(),$DT61=0),1,0)</f>
        <v/>
      </c>
      <c r="DS61">
        <f>IF($DJ61="",NA(),$DJ61)</f>
        <v/>
      </c>
      <c r="DT61">
        <f>IF(AND($E61&lt;&gt;"pre",$CL61=0,COUNTIFS(Settings!$F$19:$F$32,"Yes",Settings!$A$19:$A$32,"&lt;&gt;",Settings!$E$19:$E$32,"&lt;&gt;No")&gt;0),1,0)</f>
        <v/>
      </c>
      <c r="DU61">
        <f>IF(AND($B61&lt;TODAY(),$S61&gt;0),1,0)</f>
        <v/>
      </c>
      <c r="DV61">
        <f>IF($DU61=1,COUNTIF($DU61:$DU$183,1),0)</f>
        <v/>
      </c>
      <c r="DW61">
        <f>IF(AND(OR(Settings!$B$19="Card",Settings!$B$19="Loan"),AND('Month-End'!$BF$7&lt;&gt;"",NOT(_xlfn.ISFORMULA('Month-End'!$BF$7)))),IF(N('Month-End'!$BF$7)&lt;0,1,0),0)+IF(AND(OR(Settings!$B$20="Card",Settings!$B$20="Loan"),AND('Month-End'!$BF$8&lt;&gt;"",NOT(_xlfn.ISFORMULA('Month-End'!$BF$8)))),IF(N('Month-End'!$BF$8)&lt;0,1,0),0)+IF(AND(OR(Settings!$B$21="Card",Settings!$B$21="Loan"),AND('Month-End'!$BF$9&lt;&gt;"",NOT(_xlfn.ISFORMULA('Month-End'!$BF$9)))),IF(N('Month-End'!$BF$9)&lt;0,1,0),0)+IF(AND(OR(Settings!$B$22="Card",Settings!$B$22="Loan"),AND('Month-End'!$BF$10&lt;&gt;"",NOT(_xlfn.ISFORMULA('Month-End'!$BF$10)))),IF(N('Month-End'!$BF$10)&lt;0,1,0),0)+IF(AND(OR(Settings!$B$23="Card",Settings!$B$23="Loan"),AND('Month-End'!$BF$11&lt;&gt;"",NOT(_xlfn.ISFORMULA('Month-End'!$BF$11)))),IF(N('Month-End'!$BF$11)&lt;0,1,0),0)+IF(AND(OR(Settings!$B$24="Card",Settings!$B$24="Loan"),AND('Month-End'!$BF$12&lt;&gt;"",NOT(_xlfn.ISFORMULA('Month-End'!$BF$12)))),IF(N('Month-End'!$BF$12)&lt;0,1,0),0)+IF(AND(OR(Settings!$B$25="Card",Settings!$B$25="Loan"),AND('Month-End'!$BF$13&lt;&gt;"",NOT(_xlfn.ISFORMULA('Month-End'!$BF$13)))),IF(N('Month-End'!$BF$13)&lt;0,1,0),0)+IF(AND(OR(Settings!$B$26="Card",Settings!$B$26="Loan"),AND('Month-End'!$BF$14&lt;&gt;"",NOT(_xlfn.ISFORMULA('Month-End'!$BF$14)))),IF(N('Month-End'!$BF$14)&lt;0,1,0),0)+IF(AND(OR(Settings!$B$27="Card",Settings!$B$27="Loan"),AND('Month-End'!$BF$15&lt;&gt;"",NOT(_xlfn.ISFORMULA('Month-End'!$BF$15)))),IF(N('Month-End'!$BF$15)&lt;0,1,0),0)+IF(AND(OR(Settings!$B$28="Card",Settings!$B$28="Loan"),AND('Month-End'!$BF$16&lt;&gt;"",NOT(_xlfn.ISFORMULA('Month-End'!$BF$16)))),IF(N('Month-End'!$BF$16)&lt;0,1,0),0)+IF(AND(OR(Settings!$B$29="Card",Settings!$B$29="Loan"),AND('Month-End'!$BF$17&lt;&gt;"",NOT(_xlfn.ISFORMULA('Month-End'!$BF$17)))),IF(N('Month-End'!$BF$17)&lt;0,1,0),0)+IF(AND(OR(Settings!$B$30="Card",Settings!$B$30="Loan"),AND('Month-End'!$BF$18&lt;&gt;"",NOT(_xlfn.ISFORMULA('Month-End'!$BF$18)))),IF(N('Month-End'!$BF$18)&lt;0,1,0),0)+IF(AND(OR(Settings!$B$31="Card",Settings!$B$31="Loan"),AND('Month-End'!$BF$19&lt;&gt;"",NOT(_xlfn.ISFORMULA('Month-End'!$BF$19)))),IF(N('Month-End'!$BF$19)&lt;0,1,0),0)+IF(AND(OR(Settings!$B$32="Card",Settings!$B$32="Loan"),AND('Month-End'!$BF$20&lt;&gt;"",NOT(_xlfn.ISFORMULA('Month-End'!$BF$20)))),IF(N('Month-End'!$BF$20)&lt;0,1,0),0)</f>
        <v/>
      </c>
      <c r="DX61">
        <f>IF(Settings!$B$36="Retirement",$AY61,0)+IF(Settings!$B$37="Retirement",$AZ61,0)+IF(Settings!$B$38="Retirement",$BA61,0)+IF(Settings!$B$39="Retirement",$BB61,0)+IF(Settings!$B$40="Retirement",$BC61,0)+IF(Settings!$B$41="Retirement",$BD61,0)</f>
        <v/>
      </c>
      <c r="EA61" t="inlineStr">
        <is>
          <t>Tax metric</t>
        </is>
      </c>
      <c r="EB61" t="inlineStr">
        <is>
          <t>Value</t>
        </is>
      </c>
      <c r="ET61">
        <f>IF($E61&lt;&gt;"open",0,IF(AND('Month-End'!$BF$22&lt;&gt;"",NOT(_xlfn.ISFORMULA('Month-End'!$BF$22))),0,IF(OR(Settings!$C$45="",Settings!$D$45=""),0,Settings!$C$45*IF(Settings!$D$45="Weekly",IF(IFERROR(MATCH(Settings!$E$45,$EO$4:$EO$10,0),0)=0,0,IF(MIN(Settings!$B$5,IF(Settings!$G$45="",Settings!$B$5,Settings!$G$45))&lt;MAX($A61,Settings!$F$45),0,INT((MIN(Settings!$B$5,IF(Settings!$G$45="",Settings!$B$5,Settings!$G$45))-MAX($A61,Settings!$F$45)-MOD(IFERROR(MATCH(Settings!$E$45,$EO$4:$EO$10,0),0)-WEEKDAY(MAX($A61,Settings!$F$45)),7))/7)+1)),IF(AND(IF(Settings!$E$45="",$B61,DATE(YEAR($A61),MONTH($A61),MIN(Settings!$E$45,DAY($B61))))&gt;=MAX($A61,Settings!$F$45),IF(Settings!$E$45="",$B61,DATE(YEAR($A61),MONTH($A61),MIN(Settings!$E$45,DAY($B61))))&lt;=MIN(Settings!$B$5,IF(Settings!$G$45="",Settings!$B$5,Settings!$G$45))),1,0)))))</f>
        <v/>
      </c>
      <c r="EU61">
        <f>IF($E61&lt;&gt;"open",0,IF(AND('Month-End'!$BF$23&lt;&gt;"",NOT(_xlfn.ISFORMULA('Month-End'!$BF$23))),0,IF(OR(Settings!$C$46="",Settings!$D$46=""),0,Settings!$C$46*IF(Settings!$D$46="Weekly",IF(IFERROR(MATCH(Settings!$E$46,$EO$4:$EO$10,0),0)=0,0,IF(MIN(Settings!$B$5,IF(Settings!$G$46="",Settings!$B$5,Settings!$G$46))&lt;MAX($A61,Settings!$F$46),0,INT((MIN(Settings!$B$5,IF(Settings!$G$46="",Settings!$B$5,Settings!$G$46))-MAX($A61,Settings!$F$46)-MOD(IFERROR(MATCH(Settings!$E$46,$EO$4:$EO$10,0),0)-WEEKDAY(MAX($A61,Settings!$F$46)),7))/7)+1)),IF(AND(IF(Settings!$E$46="",$B61,DATE(YEAR($A61),MONTH($A61),MIN(Settings!$E$46,DAY($B61))))&gt;=MAX($A61,Settings!$F$46),IF(Settings!$E$46="",$B61,DATE(YEAR($A61),MONTH($A61),MIN(Settings!$E$46,DAY($B61))))&lt;=MIN(Settings!$B$5,IF(Settings!$G$46="",Settings!$B$5,Settings!$G$46))),1,0)))))</f>
        <v/>
      </c>
      <c r="EV61">
        <f>IF($E61&lt;&gt;"open",0,IF(AND('Month-End'!$BF$24&lt;&gt;"",NOT(_xlfn.ISFORMULA('Month-End'!$BF$24))),0,IF(OR(Settings!$C$47="",Settings!$D$47=""),0,Settings!$C$47*IF(Settings!$D$47="Weekly",IF(IFERROR(MATCH(Settings!$E$47,$EO$4:$EO$10,0),0)=0,0,IF(MIN(Settings!$B$5,IF(Settings!$G$47="",Settings!$B$5,Settings!$G$47))&lt;MAX($A61,Settings!$F$47),0,INT((MIN(Settings!$B$5,IF(Settings!$G$47="",Settings!$B$5,Settings!$G$47))-MAX($A61,Settings!$F$47)-MOD(IFERROR(MATCH(Settings!$E$47,$EO$4:$EO$10,0),0)-WEEKDAY(MAX($A61,Settings!$F$47)),7))/7)+1)),IF(AND(IF(Settings!$E$47="",$B61,DATE(YEAR($A61),MONTH($A61),MIN(Settings!$E$47,DAY($B61))))&gt;=MAX($A61,Settings!$F$47),IF(Settings!$E$47="",$B61,DATE(YEAR($A61),MONTH($A61),MIN(Settings!$E$47,DAY($B61))))&lt;=MIN(Settings!$B$5,IF(Settings!$G$47="",Settings!$B$5,Settings!$G$47))),1,0)))))</f>
        <v/>
      </c>
      <c r="EW61">
        <f>IF($E61&lt;&gt;"open",0,IF(AND('Month-End'!$BF$25&lt;&gt;"",NOT(_xlfn.ISFORMULA('Month-End'!$BF$25))),0,IF(OR(Settings!$C$48="",Settings!$D$48=""),0,Settings!$C$48*IF(Settings!$D$48="Weekly",IF(IFERROR(MATCH(Settings!$E$48,$EO$4:$EO$10,0),0)=0,0,IF(MIN(Settings!$B$5,IF(Settings!$G$48="",Settings!$B$5,Settings!$G$48))&lt;MAX($A61,Settings!$F$48),0,INT((MIN(Settings!$B$5,IF(Settings!$G$48="",Settings!$B$5,Settings!$G$48))-MAX($A61,Settings!$F$48)-MOD(IFERROR(MATCH(Settings!$E$48,$EO$4:$EO$10,0),0)-WEEKDAY(MAX($A61,Settings!$F$48)),7))/7)+1)),IF(AND(IF(Settings!$E$48="",$B61,DATE(YEAR($A61),MONTH($A61),MIN(Settings!$E$48,DAY($B61))))&gt;=MAX($A61,Settings!$F$48),IF(Settings!$E$48="",$B61,DATE(YEAR($A61),MONTH($A61),MIN(Settings!$E$48,DAY($B61))))&lt;=MIN(Settings!$B$5,IF(Settings!$G$48="",Settings!$B$5,Settings!$G$48))),1,0)))))</f>
        <v/>
      </c>
      <c r="EX61">
        <f>IF($E61&lt;&gt;"open",0,IF(AND('Month-End'!$BF$26&lt;&gt;"",NOT(_xlfn.ISFORMULA('Month-End'!$BF$26))),0,IF(OR(Settings!$C$49="",Settings!$D$49=""),0,Settings!$C$49*IF(Settings!$D$49="Weekly",IF(IFERROR(MATCH(Settings!$E$49,$EO$4:$EO$10,0),0)=0,0,IF(MIN(Settings!$B$5,IF(Settings!$G$49="",Settings!$B$5,Settings!$G$49))&lt;MAX($A61,Settings!$F$49),0,INT((MIN(Settings!$B$5,IF(Settings!$G$49="",Settings!$B$5,Settings!$G$49))-MAX($A61,Settings!$F$49)-MOD(IFERROR(MATCH(Settings!$E$49,$EO$4:$EO$10,0),0)-WEEKDAY(MAX($A61,Settings!$F$49)),7))/7)+1)),IF(AND(IF(Settings!$E$49="",$B61,DATE(YEAR($A61),MONTH($A61),MIN(Settings!$E$49,DAY($B61))))&gt;=MAX($A61,Settings!$F$49),IF(Settings!$E$49="",$B61,DATE(YEAR($A61),MONTH($A61),MIN(Settings!$E$49,DAY($B61))))&lt;=MIN(Settings!$B$5,IF(Settings!$G$49="",Settings!$B$5,Settings!$G$49))),1,0)))))</f>
        <v/>
      </c>
      <c r="EY61">
        <f>IF($E61&lt;&gt;"open",0,IF(AND('Month-End'!$BF$27&lt;&gt;"",NOT(_xlfn.ISFORMULA('Month-End'!$BF$27))),0,IF(OR(Settings!$C$50="",Settings!$D$50=""),0,Settings!$C$50*IF(Settings!$D$50="Weekly",IF(IFERROR(MATCH(Settings!$E$50,$EO$4:$EO$10,0),0)=0,0,IF(MIN(Settings!$B$5,IF(Settings!$G$50="",Settings!$B$5,Settings!$G$50))&lt;MAX($A61,Settings!$F$50),0,INT((MIN(Settings!$B$5,IF(Settings!$G$50="",Settings!$B$5,Settings!$G$50))-MAX($A61,Settings!$F$50)-MOD(IFERROR(MATCH(Settings!$E$50,$EO$4:$EO$10,0),0)-WEEKDAY(MAX($A61,Settings!$F$50)),7))/7)+1)),IF(AND(IF(Settings!$E$50="",$B61,DATE(YEAR($A61),MONTH($A61),MIN(Settings!$E$50,DAY($B61))))&gt;=MAX($A61,Settings!$F$50),IF(Settings!$E$50="",$B61,DATE(YEAR($A61),MONTH($A61),MIN(Settings!$E$50,DAY($B61))))&lt;=MIN(Settings!$B$5,IF(Settings!$G$50="",Settings!$B$5,Settings!$G$50))),1,0)))))</f>
        <v/>
      </c>
      <c r="EZ61">
        <f>IF($E61&lt;&gt;"open",0,IF(AND('Month-End'!$BF$28&lt;&gt;"",NOT(_xlfn.ISFORMULA('Month-End'!$BF$28))),0,IF(OR(Settings!$C$51="",Settings!$D$51=""),0,Settings!$C$51*IF(Settings!$D$51="Weekly",IF(IFERROR(MATCH(Settings!$E$51,$EO$4:$EO$10,0),0)=0,0,IF(MIN(Settings!$B$5,IF(Settings!$G$51="",Settings!$B$5,Settings!$G$51))&lt;MAX($A61,Settings!$F$51),0,INT((MIN(Settings!$B$5,IF(Settings!$G$51="",Settings!$B$5,Settings!$G$51))-MAX($A61,Settings!$F$51)-MOD(IFERROR(MATCH(Settings!$E$51,$EO$4:$EO$10,0),0)-WEEKDAY(MAX($A61,Settings!$F$51)),7))/7)+1)),IF(AND(IF(Settings!$E$51="",$B61,DATE(YEAR($A61),MONTH($A61),MIN(Settings!$E$51,DAY($B61))))&gt;=MAX($A61,Settings!$F$51),IF(Settings!$E$51="",$B61,DATE(YEAR($A61),MONTH($A61),MIN(Settings!$E$51,DAY($B61))))&lt;=MIN(Settings!$B$5,IF(Settings!$G$51="",Settings!$B$5,Settings!$G$51))),1,0)))))</f>
        <v/>
      </c>
      <c r="FA61">
        <f>IF($E61&lt;&gt;"open",0,IF(AND('Month-End'!$BF$29&lt;&gt;"",NOT(_xlfn.ISFORMULA('Month-End'!$BF$29))),0,IF(OR(Settings!$C$52="",Settings!$D$52=""),0,Settings!$C$52*IF(Settings!$D$52="Weekly",IF(IFERROR(MATCH(Settings!$E$52,$EO$4:$EO$10,0),0)=0,0,IF(MIN(Settings!$B$5,IF(Settings!$G$52="",Settings!$B$5,Settings!$G$52))&lt;MAX($A61,Settings!$F$52),0,INT((MIN(Settings!$B$5,IF(Settings!$G$52="",Settings!$B$5,Settings!$G$52))-MAX($A61,Settings!$F$52)-MOD(IFERROR(MATCH(Settings!$E$52,$EO$4:$EO$10,0),0)-WEEKDAY(MAX($A61,Settings!$F$52)),7))/7)+1)),IF(AND(IF(Settings!$E$52="",$B61,DATE(YEAR($A61),MONTH($A61),MIN(Settings!$E$52,DAY($B61))))&gt;=MAX($A61,Settings!$F$52),IF(Settings!$E$52="",$B61,DATE(YEAR($A61),MONTH($A61),MIN(Settings!$E$52,DAY($B61))))&lt;=MIN(Settings!$B$5,IF(Settings!$G$52="",Settings!$B$5,Settings!$G$52))),1,0)))))</f>
        <v/>
      </c>
      <c r="FB61">
        <f>IF($E61&lt;&gt;"open",0,IF(AND('Month-End'!$BF$30&lt;&gt;"",NOT(_xlfn.ISFORMULA('Month-End'!$BF$30))),0,IF(OR(Settings!$C$53="",Settings!$D$53=""),0,Settings!$C$53*IF(Settings!$D$53="Weekly",IF(IFERROR(MATCH(Settings!$E$53,$EO$4:$EO$10,0),0)=0,0,IF(MIN(Settings!$B$5,IF(Settings!$G$53="",Settings!$B$5,Settings!$G$53))&lt;MAX($A61,Settings!$F$53),0,INT((MIN(Settings!$B$5,IF(Settings!$G$53="",Settings!$B$5,Settings!$G$53))-MAX($A61,Settings!$F$53)-MOD(IFERROR(MATCH(Settings!$E$53,$EO$4:$EO$10,0),0)-WEEKDAY(MAX($A61,Settings!$F$53)),7))/7)+1)),IF(AND(IF(Settings!$E$53="",$B61,DATE(YEAR($A61),MONTH($A61),MIN(Settings!$E$53,DAY($B61))))&gt;=MAX($A61,Settings!$F$53),IF(Settings!$E$53="",$B61,DATE(YEAR($A61),MONTH($A61),MIN(Settings!$E$53,DAY($B61))))&lt;=MIN(Settings!$B$5,IF(Settings!$G$53="",Settings!$B$5,Settings!$G$53))),1,0)))))</f>
        <v/>
      </c>
      <c r="FC61">
        <f>IF($E61&lt;&gt;"open",0,IF(AND('Month-End'!$BF$31&lt;&gt;"",NOT(_xlfn.ISFORMULA('Month-End'!$BF$31))),0,IF(OR(Settings!$C$54="",Settings!$D$54=""),0,Settings!$C$54*IF(Settings!$D$54="Weekly",IF(IFERROR(MATCH(Settings!$E$54,$EO$4:$EO$10,0),0)=0,0,IF(MIN(Settings!$B$5,IF(Settings!$G$54="",Settings!$B$5,Settings!$G$54))&lt;MAX($A61,Settings!$F$54),0,INT((MIN(Settings!$B$5,IF(Settings!$G$54="",Settings!$B$5,Settings!$G$54))-MAX($A61,Settings!$F$54)-MOD(IFERROR(MATCH(Settings!$E$54,$EO$4:$EO$10,0),0)-WEEKDAY(MAX($A61,Settings!$F$54)),7))/7)+1)),IF(AND(IF(Settings!$E$54="",$B61,DATE(YEAR($A61),MONTH($A61),MIN(Settings!$E$54,DAY($B61))))&gt;=MAX($A61,Settings!$F$54),IF(Settings!$E$54="",$B61,DATE(YEAR($A61),MONTH($A61),MIN(Settings!$E$54,DAY($B61))))&lt;=MIN(Settings!$B$5,IF(Settings!$G$54="",Settings!$B$5,Settings!$G$54))),1,0)))))</f>
        <v/>
      </c>
      <c r="FD61">
        <f>IF($E61&lt;&gt;"open",0,IF(AND('Month-End'!$BF$32&lt;&gt;"",NOT(_xlfn.ISFORMULA('Month-End'!$BF$32))),0,IF(OR(Settings!$C$55="",Settings!$D$55=""),0,Settings!$C$55*IF(Settings!$D$55="Weekly",IF(IFERROR(MATCH(Settings!$E$55,$EO$4:$EO$10,0),0)=0,0,IF(MIN(Settings!$B$5,IF(Settings!$G$55="",Settings!$B$5,Settings!$G$55))&lt;MAX($A61,Settings!$F$55),0,INT((MIN(Settings!$B$5,IF(Settings!$G$55="",Settings!$B$5,Settings!$G$55))-MAX($A61,Settings!$F$55)-MOD(IFERROR(MATCH(Settings!$E$55,$EO$4:$EO$10,0),0)-WEEKDAY(MAX($A61,Settings!$F$55)),7))/7)+1)),IF(AND(IF(Settings!$E$55="",$B61,DATE(YEAR($A61),MONTH($A61),MIN(Settings!$E$55,DAY($B61))))&gt;=MAX($A61,Settings!$F$55),IF(Settings!$E$55="",$B61,DATE(YEAR($A61),MONTH($A61),MIN(Settings!$E$55,DAY($B61))))&lt;=MIN(Settings!$B$5,IF(Settings!$G$55="",Settings!$B$5,Settings!$G$55))),1,0)))))</f>
        <v/>
      </c>
      <c r="FE61">
        <f>IF($E61&lt;&gt;"open",0,IF(AND('Month-End'!$BF$33&lt;&gt;"",NOT(_xlfn.ISFORMULA('Month-End'!$BF$33))),0,IF(OR(Settings!$C$56="",Settings!$D$56=""),0,Settings!$C$56*IF(Settings!$D$56="Weekly",IF(IFERROR(MATCH(Settings!$E$56,$EO$4:$EO$10,0),0)=0,0,IF(MIN(Settings!$B$5,IF(Settings!$G$56="",Settings!$B$5,Settings!$G$56))&lt;MAX($A61,Settings!$F$56),0,INT((MIN(Settings!$B$5,IF(Settings!$G$56="",Settings!$B$5,Settings!$G$56))-MAX($A61,Settings!$F$56)-MOD(IFERROR(MATCH(Settings!$E$56,$EO$4:$EO$10,0),0)-WEEKDAY(MAX($A61,Settings!$F$56)),7))/7)+1)),IF(AND(IF(Settings!$E$56="",$B61,DATE(YEAR($A61),MONTH($A61),MIN(Settings!$E$56,DAY($B61))))&gt;=MAX($A61,Settings!$F$56),IF(Settings!$E$56="",$B61,DATE(YEAR($A61),MONTH($A61),MIN(Settings!$E$56,DAY($B61))))&lt;=MIN(Settings!$B$5,IF(Settings!$G$56="",Settings!$B$5,Settings!$G$56))),1,0)))))</f>
        <v/>
      </c>
      <c r="FF61">
        <f>IF(Settings!$I$45="Yes",$G61,0)+IF(Settings!$I$46="Yes",$H61,0)+IF(Settings!$I$47="Yes",$I61,0)+IF(Settings!$I$48="Yes",$J61,0)+IF(Settings!$I$49="Yes",$K61,0)+IF(Settings!$I$50="Yes",$L61,0)+IF(Settings!$I$51="Yes",$M61,0)+IF(Settings!$I$52="Yes",$N61,0)+IF(Settings!$I$53="Yes",$O61,0)+IF(Settings!$I$54="Yes",$P61,0)+IF(Settings!$I$55="Yes",$Q61,0)+IF(Settings!$I$56="Yes",$R61,0)</f>
        <v/>
      </c>
      <c r="FG61">
        <f>IF(AND(Settings!$I$45="Yes",Settings!$J$45="No"),$G61,0)+IF(AND(Settings!$I$46="Yes",Settings!$J$46="No"),$H61,0)+IF(AND(Settings!$I$47="Yes",Settings!$J$47="No"),$I61,0)+IF(AND(Settings!$I$48="Yes",Settings!$J$48="No"),$J61,0)+IF(AND(Settings!$I$49="Yes",Settings!$J$49="No"),$K61,0)+IF(AND(Settings!$I$50="Yes",Settings!$J$50="No"),$L61,0)+IF(AND(Settings!$I$51="Yes",Settings!$J$51="No"),$M61,0)+IF(AND(Settings!$I$52="Yes",Settings!$J$52="No"),$N61,0)+IF(AND(Settings!$I$53="Yes",Settings!$J$53="No"),$O61,0)+IF(AND(Settings!$I$54="Yes",Settings!$J$54="No"),$P61,0)+IF(AND(Settings!$I$55="Yes",Settings!$J$55="No"),$Q61,0)+IF(AND(Settings!$I$56="Yes",Settings!$J$56="No"),$R61,0)</f>
        <v/>
      </c>
      <c r="FH61">
        <f>SUMIFS(Giving!$B$7:$B$2006,Giving!$A$7:$A$2006,"&gt;="&amp;$A61,Giving!$A$7:$A$2006,"&lt;="&amp;$B61,Giving!$G$7:$G$2006,"Yes")+IF(OR(OR(Settings!$B$60="",Settings!$F$60="No"),Settings!$H$60&lt;&gt;"Yes"),0,Settings!$B$60*IF(AND(IF(Settings!$C$60="",$B61,DATE(YEAR($A61),MONTH($A61),MIN(Settings!$C$60,DAY($B61))))&gt;=MAX($A61,Settings!$D$60),IF(Settings!$C$60="",$B61,DATE(YEAR($A61),MONTH($A61),MIN(Settings!$C$60,DAY($B61))))&lt;=MIN($C61,IF(Settings!$E$60="",$C61,Settings!$E$60))),1,0))+IF(OR(OR(Settings!$B$61="",Settings!$F$61="No"),Settings!$H$61&lt;&gt;"Yes"),0,Settings!$B$61*IF(AND(IF(Settings!$C$61="",$B61,DATE(YEAR($A61),MONTH($A61),MIN(Settings!$C$61,DAY($B61))))&gt;=MAX($A61,Settings!$D$61),IF(Settings!$C$61="",$B61,DATE(YEAR($A61),MONTH($A61),MIN(Settings!$C$61,DAY($B61))))&lt;=MIN($C61,IF(Settings!$E$61="",$C61,Settings!$E$61))),1,0))+IF(OR(OR(Settings!$B$62="",Settings!$F$62="No"),Settings!$H$62&lt;&gt;"Yes"),0,Settings!$B$62*IF(AND(IF(Settings!$C$62="",$B61,DATE(YEAR($A61),MONTH($A61),MIN(Settings!$C$62,DAY($B61))))&gt;=MAX($A61,Settings!$D$62),IF(Settings!$C$62="",$B61,DATE(YEAR($A61),MONTH($A61),MIN(Settings!$C$62,DAY($B61))))&lt;=MIN($C61,IF(Settings!$E$62="",$C61,Settings!$E$62))),1,0))+IF(OR(OR(Settings!$B$63="",Settings!$F$63="No"),Settings!$H$63&lt;&gt;"Yes"),0,Settings!$B$63*IF(AND(IF(Settings!$C$63="",$B61,DATE(YEAR($A61),MONTH($A61),MIN(Settings!$C$63,DAY($B61))))&gt;=MAX($A61,Settings!$D$63),IF(Settings!$C$63="",$B61,DATE(YEAR($A61),MONTH($A61),MIN(Settings!$C$63,DAY($B61))))&lt;=MIN($C61,IF(Settings!$E$63="",$C61,Settings!$E$63))),1,0))+IF(OR(OR(Settings!$B$64="",Settings!$F$64="No"),Settings!$H$64&lt;&gt;"Yes"),0,Settings!$B$64*IF(AND(IF(Settings!$C$64="",$B61,DATE(YEAR($A61),MONTH($A61),MIN(Settings!$C$64,DAY($B61))))&gt;=MAX($A61,Settings!$D$64),IF(Settings!$C$64="",$B61,DATE(YEAR($A61),MONTH($A61),MIN(Settings!$C$64,DAY($B61))))&lt;=MIN($C61,IF(Settings!$E$64="",$C61,Settings!$E$64))),1,0))+IF(OR(OR(Settings!$B$65="",Settings!$F$65="No"),Settings!$H$65&lt;&gt;"Yes"),0,Settings!$B$65*IF(AND(IF(Settings!$C$65="",$B61,DATE(YEAR($A61),MONTH($A61),MIN(Settings!$C$65,DAY($B61))))&gt;=MAX($A61,Settings!$D$65),IF(Settings!$C$65="",$B61,DATE(YEAR($A61),MONTH($A61),MIN(Settings!$C$65,DAY($B61))))&lt;=MIN($C61,IF(Settings!$E$65="",$C61,Settings!$E$65))),1,0))</f>
        <v/>
      </c>
      <c r="FI61">
        <f>IF($DT61=1,IF(OR(Settings!$B$19="Card",Settings!$B$19="Loan"),N($AE61),0)+IF(OR(Settings!$B$20="Card",Settings!$B$20="Loan"),N($AF61),0)+IF(OR(Settings!$B$21="Card",Settings!$B$21="Loan"),N($AG61),0)+IF(OR(Settings!$B$22="Card",Settings!$B$22="Loan"),N($AH61),0)+IF(OR(Settings!$B$23="Card",Settings!$B$23="Loan"),N($AI61),0)+IF(OR(Settings!$B$24="Card",Settings!$B$24="Loan"),N($AJ61),0)+IF(OR(Settings!$B$25="Card",Settings!$B$25="Loan"),N($AK61),0)+IF(OR(Settings!$B$26="Card",Settings!$B$26="Loan"),N($AL61),0)+IF(OR(Settings!$B$27="Card",Settings!$B$27="Loan"),N($AM61),0)+IF(OR(Settings!$B$28="Card",Settings!$B$28="Loan"),N($AN61),0)+IF(OR(Settings!$B$29="Card",Settings!$B$29="Loan"),N($AO61),0)+IF(OR(Settings!$B$30="Card",Settings!$B$30="Loan"),N($AP61),0)+IF(OR(Settings!$B$31="Card",Settings!$B$31="Loan"),N($AQ61),0)+IF(OR(Settings!$B$32="Card",Settings!$B$32="Loan"),N($AR61),0),"")</f>
        <v/>
      </c>
      <c r="FJ61">
        <f>IF($E61="open",$EB$65,IF($E61="post",IF($E60="pre",$EB$65,$FI60),""))</f>
        <v/>
      </c>
      <c r="FK61">
        <f>IF(AND($DT61=1,$DC61=1),IF(ROUND($FI61-$FJ61,2)&gt;0,1,0),0)</f>
        <v/>
      </c>
      <c r="FL61">
        <f>IF($FK61=1,$FL60+1,0)</f>
        <v/>
      </c>
    </row>
    <row r="62">
      <c r="A62">
        <f>'Month-End'!$BG$4</f>
        <v/>
      </c>
      <c r="B62">
        <f>EOMONTH($A62,0)</f>
        <v/>
      </c>
      <c r="C62">
        <f>MIN($B62,TODAY())</f>
        <v/>
      </c>
      <c r="D62">
        <f>IF($A62&gt;TODAY(),1,0)</f>
        <v/>
      </c>
      <c r="E62">
        <f>IF($B62&lt;=Settings!$B$5,"pre",IF($A62&lt;=Settings!$B$5,"open","post"))</f>
        <v/>
      </c>
      <c r="G62">
        <f>IF('Month-End'!$BG$22="",$BE62,N('Month-End'!$BG$22))</f>
        <v/>
      </c>
      <c r="H62">
        <f>IF('Month-End'!$BG$23="",$BF62,N('Month-End'!$BG$23))</f>
        <v/>
      </c>
      <c r="I62">
        <f>IF('Month-End'!$BG$24="",$BG62,N('Month-End'!$BG$24))</f>
        <v/>
      </c>
      <c r="J62">
        <f>IF('Month-End'!$BG$25="",$BH62,N('Month-End'!$BG$25))</f>
        <v/>
      </c>
      <c r="K62">
        <f>IF('Month-End'!$BG$26="",$BI62,N('Month-End'!$BG$26))</f>
        <v/>
      </c>
      <c r="L62">
        <f>IF('Month-End'!$BG$27="",$BJ62,N('Month-End'!$BG$27))</f>
        <v/>
      </c>
      <c r="M62">
        <f>IF('Month-End'!$BG$28="",$BK62,N('Month-End'!$BG$28))</f>
        <v/>
      </c>
      <c r="N62">
        <f>IF('Month-End'!$BG$29="",$BL62,N('Month-End'!$BG$29))</f>
        <v/>
      </c>
      <c r="O62">
        <f>IF('Month-End'!$BG$30="",$BM62,N('Month-End'!$BG$30))</f>
        <v/>
      </c>
      <c r="P62">
        <f>IF('Month-End'!$BG$31="",$BN62,N('Month-End'!$BG$31))</f>
        <v/>
      </c>
      <c r="Q62">
        <f>IF('Month-End'!$BG$32="",$BO62,N('Month-End'!$BG$32))</f>
        <v/>
      </c>
      <c r="R62">
        <f>IF('Month-End'!$BG$33="",$BP62,N('Month-End'!$BG$33))</f>
        <v/>
      </c>
      <c r="S62">
        <f>$G62+$H62+$I62+$J62+$K62+$L62+$M62+$N62+$O62+$P62+$Q62+$R62</f>
        <v/>
      </c>
      <c r="T62">
        <f>IF($B62&lt;Settings!$B$6,0,IF(Settings!$B$45="Yes",$G62,0)+IF(Settings!$B$46="Yes",$H62,0)+IF(Settings!$B$47="Yes",$I62,0)+IF(Settings!$B$48="Yes",$J62,0)+IF(Settings!$B$49="Yes",$K62,0)+IF(Settings!$B$50="Yes",$L62,0)+IF(Settings!$B$51="Yes",$M62,0)+IF(Settings!$B$52="Yes",$N62,0)+IF(Settings!$B$53="Yes",$O62,0)+IF(Settings!$B$54="Yes",$P62,0)+IF(Settings!$B$55="Yes",$Q62,0)+IF(Settings!$B$56="Yes",$R62,0))</f>
        <v/>
      </c>
      <c r="U62">
        <f>IF(Settings!$B$45="Not Sure",$G62,0)+IF(Settings!$B$46="Not Sure",$H62,0)+IF(Settings!$B$47="Not Sure",$I62,0)+IF(Settings!$B$48="Not Sure",$J62,0)+IF(Settings!$B$49="Not Sure",$K62,0)+IF(Settings!$B$50="Not Sure",$L62,0)+IF(Settings!$B$51="Not Sure",$M62,0)+IF(Settings!$B$52="Not Sure",$N62,0)+IF(Settings!$B$53="Not Sure",$O62,0)+IF(Settings!$B$54="Not Sure",$P62,0)+IF(Settings!$B$55="Not Sure",$Q62,0)+IF(Settings!$B$56="Not Sure",$R62,0)</f>
        <v/>
      </c>
      <c r="V62">
        <f>IF($E62="open",SUM($ET62:$FE62)+N(Settings!$B$13),0)</f>
        <v/>
      </c>
      <c r="W62">
        <f>IF($E62="post",$S62,IF($E62="open",$S62-$V62,0))</f>
        <v/>
      </c>
      <c r="X62">
        <f>SUMIFS(Giving!$B$7:$B$2006,Giving!$A$7:$A$2006,"&gt;="&amp;$A62,Giving!$A$7:$A$2006,"&lt;="&amp;$B62,Giving!$E$7:$E$2006,"&lt;&gt;No")</f>
        <v/>
      </c>
      <c r="Y62">
        <f>SUMIFS(Giving!$B$7:$B$2006,Giving!$A$7:$A$2006,"&gt;="&amp;$A62,Giving!$A$7:$A$2006,"&lt;="&amp;$B62,Giving!$E$7:$E$2006,"No")</f>
        <v/>
      </c>
      <c r="Z62">
        <f>IF(OR(Settings!$B$60="",Settings!$F$60="No"),0,Settings!$B$60*IF(AND(IF(Settings!$C$60="",$B62,DATE(YEAR($A62),MONTH($A62),MIN(Settings!$C$60,DAY($B62))))&gt;=MAX($A62,Settings!$D$60),IF(Settings!$C$60="",$B62,DATE(YEAR($A62),MONTH($A62),MIN(Settings!$C$60,DAY($B62))))&lt;=MIN($C62,IF(Settings!$E$60="",$C62,Settings!$E$60))),1,0))+IF(OR(Settings!$B$61="",Settings!$F$61="No"),0,Settings!$B$61*IF(AND(IF(Settings!$C$61="",$B62,DATE(YEAR($A62),MONTH($A62),MIN(Settings!$C$61,DAY($B62))))&gt;=MAX($A62,Settings!$D$61),IF(Settings!$C$61="",$B62,DATE(YEAR($A62),MONTH($A62),MIN(Settings!$C$61,DAY($B62))))&lt;=MIN($C62,IF(Settings!$E$61="",$C62,Settings!$E$61))),1,0))+IF(OR(Settings!$B$62="",Settings!$F$62="No"),0,Settings!$B$62*IF(AND(IF(Settings!$C$62="",$B62,DATE(YEAR($A62),MONTH($A62),MIN(Settings!$C$62,DAY($B62))))&gt;=MAX($A62,Settings!$D$62),IF(Settings!$C$62="",$B62,DATE(YEAR($A62),MONTH($A62),MIN(Settings!$C$62,DAY($B62))))&lt;=MIN($C62,IF(Settings!$E$62="",$C62,Settings!$E$62))),1,0))+IF(OR(Settings!$B$63="",Settings!$F$63="No"),0,Settings!$B$63*IF(AND(IF(Settings!$C$63="",$B62,DATE(YEAR($A62),MONTH($A62),MIN(Settings!$C$63,DAY($B62))))&gt;=MAX($A62,Settings!$D$63),IF(Settings!$C$63="",$B62,DATE(YEAR($A62),MONTH($A62),MIN(Settings!$C$63,DAY($B62))))&lt;=MIN($C62,IF(Settings!$E$63="",$C62,Settings!$E$63))),1,0))+IF(OR(Settings!$B$64="",Settings!$F$64="No"),0,Settings!$B$64*IF(AND(IF(Settings!$C$64="",$B62,DATE(YEAR($A62),MONTH($A62),MIN(Settings!$C$64,DAY($B62))))&gt;=MAX($A62,Settings!$D$64),IF(Settings!$C$64="",$B62,DATE(YEAR($A62),MONTH($A62),MIN(Settings!$C$64,DAY($B62))))&lt;=MIN($C62,IF(Settings!$E$64="",$C62,Settings!$E$64))),1,0))+IF(OR(Settings!$B$65="",Settings!$F$65="No"),0,Settings!$B$65*IF(AND(IF(Settings!$C$65="",$B62,DATE(YEAR($A62),MONTH($A62),MIN(Settings!$C$65,DAY($B62))))&gt;=MAX($A62,Settings!$D$65),IF(Settings!$C$65="",$B62,DATE(YEAR($A62),MONTH($A62),MIN(Settings!$C$65,DAY($B62))))&lt;=MIN($C62,IF(Settings!$E$65="",$C62,Settings!$E$65))),1,0))</f>
        <v/>
      </c>
      <c r="AA62">
        <f>$X62+$Z62</f>
        <v/>
      </c>
      <c r="AB62">
        <f>IF($E62="post",$AA62,IF($E62="open",SUMIFS(Giving!$B$7:$B$2006,Giving!$A$7:$A$2006,"&gt;"&amp;Settings!$B$5,Giving!$A$7:$A$2006,"&lt;="&amp;$B62,Giving!$E$7:$E$2006,"&lt;&gt;No")+IF(OR(Settings!$B$60="",Settings!$F$60="No"),0,Settings!$B$60*IF(AND(IF(Settings!$C$60="",$B62,DATE(YEAR($A62),MONTH($A62),MIN(Settings!$C$60,DAY($B62))))&gt;=MAX($A62,Settings!$D$60,Settings!$B$5+1),IF(Settings!$C$60="",$B62,DATE(YEAR($A62),MONTH($A62),MIN(Settings!$C$60,DAY($B62))))&lt;=MIN($C62,IF(Settings!$E$60="",$C62,Settings!$E$60))),1,0))+IF(OR(Settings!$B$61="",Settings!$F$61="No"),0,Settings!$B$61*IF(AND(IF(Settings!$C$61="",$B62,DATE(YEAR($A62),MONTH($A62),MIN(Settings!$C$61,DAY($B62))))&gt;=MAX($A62,Settings!$D$61,Settings!$B$5+1),IF(Settings!$C$61="",$B62,DATE(YEAR($A62),MONTH($A62),MIN(Settings!$C$61,DAY($B62))))&lt;=MIN($C62,IF(Settings!$E$61="",$C62,Settings!$E$61))),1,0))+IF(OR(Settings!$B$62="",Settings!$F$62="No"),0,Settings!$B$62*IF(AND(IF(Settings!$C$62="",$B62,DATE(YEAR($A62),MONTH($A62),MIN(Settings!$C$62,DAY($B62))))&gt;=MAX($A62,Settings!$D$62,Settings!$B$5+1),IF(Settings!$C$62="",$B62,DATE(YEAR($A62),MONTH($A62),MIN(Settings!$C$62,DAY($B62))))&lt;=MIN($C62,IF(Settings!$E$62="",$C62,Settings!$E$62))),1,0))+IF(OR(Settings!$B$63="",Settings!$F$63="No"),0,Settings!$B$63*IF(AND(IF(Settings!$C$63="",$B62,DATE(YEAR($A62),MONTH($A62),MIN(Settings!$C$63,DAY($B62))))&gt;=MAX($A62,Settings!$D$63,Settings!$B$5+1),IF(Settings!$C$63="",$B62,DATE(YEAR($A62),MONTH($A62),MIN(Settings!$C$63,DAY($B62))))&lt;=MIN($C62,IF(Settings!$E$63="",$C62,Settings!$E$63))),1,0))+IF(OR(Settings!$B$64="",Settings!$F$64="No"),0,Settings!$B$64*IF(AND(IF(Settings!$C$64="",$B62,DATE(YEAR($A62),MONTH($A62),MIN(Settings!$C$64,DAY($B62))))&gt;=MAX($A62,Settings!$D$64,Settings!$B$5+1),IF(Settings!$C$64="",$B62,DATE(YEAR($A62),MONTH($A62),MIN(Settings!$C$64,DAY($B62))))&lt;=MIN($C62,IF(Settings!$E$64="",$C62,Settings!$E$64))),1,0))+IF(OR(Settings!$B$65="",Settings!$F$65="No"),0,Settings!$B$65*IF(AND(IF(Settings!$C$65="",$B62,DATE(YEAR($A62),MONTH($A62),MIN(Settings!$C$65,DAY($B62))))&gt;=MAX($A62,Settings!$D$65,Settings!$B$5+1),IF(Settings!$C$65="",$B62,DATE(YEAR($A62),MONTH($A62),MIN(Settings!$C$65,DAY($B62))))&lt;=MIN($C62,IF(Settings!$E$65="",$C62,Settings!$E$65))),1,0)),0))</f>
        <v/>
      </c>
      <c r="AC62">
        <f>$AY62+$AZ62+$BA62+$BB62+$BC62+$BD62</f>
        <v/>
      </c>
      <c r="AD62">
        <f>$AC62</f>
        <v/>
      </c>
      <c r="AE62">
        <f>IF(OR(Settings!$A$19="",$E62="pre"),"",IF(AND('Month-End'!$BG$7&lt;&gt;"",NOT(_xlfn.ISFORMULA('Month-End'!$BG$7))),N('Month-End'!$BG$7),IF(OR($E62="open",$E61="pre"),N(Settings!$C$19),N($AE61))))</f>
        <v/>
      </c>
      <c r="AF62">
        <f>IF(OR(Settings!$A$20="",$E62="pre"),"",IF(AND('Month-End'!$BG$8&lt;&gt;"",NOT(_xlfn.ISFORMULA('Month-End'!$BG$8))),N('Month-End'!$BG$8),IF(OR($E62="open",$E61="pre"),N(Settings!$C$20),N($AF61))))</f>
        <v/>
      </c>
      <c r="AG62">
        <f>IF(OR(Settings!$A$21="",$E62="pre"),"",IF(AND('Month-End'!$BG$9&lt;&gt;"",NOT(_xlfn.ISFORMULA('Month-End'!$BG$9))),N('Month-End'!$BG$9),IF(OR($E62="open",$E61="pre"),N(Settings!$C$21),N($AG61))))</f>
        <v/>
      </c>
      <c r="AH62">
        <f>IF(OR(Settings!$A$22="",$E62="pre"),"",IF(AND('Month-End'!$BG$10&lt;&gt;"",NOT(_xlfn.ISFORMULA('Month-End'!$BG$10))),N('Month-End'!$BG$10),IF(OR($E62="open",$E61="pre"),N(Settings!$C$22),N($AH61))))</f>
        <v/>
      </c>
      <c r="AI62">
        <f>IF(OR(Settings!$A$23="",$E62="pre"),"",IF(AND('Month-End'!$BG$11&lt;&gt;"",NOT(_xlfn.ISFORMULA('Month-End'!$BG$11))),N('Month-End'!$BG$11),IF(OR($E62="open",$E61="pre"),N(Settings!$C$23),N($AI61))))</f>
        <v/>
      </c>
      <c r="AJ62">
        <f>IF(OR(Settings!$A$24="",$E62="pre"),"",IF(AND('Month-End'!$BG$12&lt;&gt;"",NOT(_xlfn.ISFORMULA('Month-End'!$BG$12))),N('Month-End'!$BG$12),IF(OR($E62="open",$E61="pre"),N(Settings!$C$24),N($AJ61))))</f>
        <v/>
      </c>
      <c r="AK62">
        <f>IF(OR(Settings!$A$25="",$E62="pre"),"",IF(AND('Month-End'!$BG$13&lt;&gt;"",NOT(_xlfn.ISFORMULA('Month-End'!$BG$13))),N('Month-End'!$BG$13),IF(OR($E62="open",$E61="pre"),N(Settings!$C$25),N($AK61))))</f>
        <v/>
      </c>
      <c r="AL62">
        <f>IF(OR(Settings!$A$26="",$E62="pre"),"",IF(AND('Month-End'!$BG$14&lt;&gt;"",NOT(_xlfn.ISFORMULA('Month-End'!$BG$14))),N('Month-End'!$BG$14),IF(OR($E62="open",$E61="pre"),N(Settings!$C$26),N($AL61))))</f>
        <v/>
      </c>
      <c r="AM62">
        <f>IF(OR(Settings!$A$27="",$E62="pre"),"",IF(AND('Month-End'!$BG$15&lt;&gt;"",NOT(_xlfn.ISFORMULA('Month-End'!$BG$15))),N('Month-End'!$BG$15),IF(OR($E62="open",$E61="pre"),N(Settings!$C$27),N($AM61))))</f>
        <v/>
      </c>
      <c r="AN62">
        <f>IF(OR(Settings!$A$28="",$E62="pre"),"",IF(AND('Month-End'!$BG$16&lt;&gt;"",NOT(_xlfn.ISFORMULA('Month-End'!$BG$16))),N('Month-End'!$BG$16),IF(OR($E62="open",$E61="pre"),N(Settings!$C$28),N($AN61))))</f>
        <v/>
      </c>
      <c r="AO62">
        <f>IF(OR(Settings!$A$29="",$E62="pre"),"",IF(AND('Month-End'!$BG$17&lt;&gt;"",NOT(_xlfn.ISFORMULA('Month-End'!$BG$17))),N('Month-End'!$BG$17),IF(OR($E62="open",$E61="pre"),N(Settings!$C$29),N($AO61))))</f>
        <v/>
      </c>
      <c r="AP62">
        <f>IF(OR(Settings!$A$30="",$E62="pre"),"",IF(AND('Month-End'!$BG$18&lt;&gt;"",NOT(_xlfn.ISFORMULA('Month-End'!$BG$18))),N('Month-End'!$BG$18),IF(OR($E62="open",$E61="pre"),N(Settings!$C$30),N($AP61))))</f>
        <v/>
      </c>
      <c r="AQ62">
        <f>IF(OR(Settings!$A$31="",$E62="pre"),"",IF(AND('Month-End'!$BG$19&lt;&gt;"",NOT(_xlfn.ISFORMULA('Month-End'!$BG$19))),N('Month-End'!$BG$19),IF(OR($E62="open",$E61="pre"),N(Settings!$C$31),N($AQ61))))</f>
        <v/>
      </c>
      <c r="AR62">
        <f>IF(OR(Settings!$A$32="",$E62="pre"),"",IF(AND('Month-End'!$BG$20&lt;&gt;"",NOT(_xlfn.ISFORMULA('Month-End'!$BG$20))),N('Month-End'!$BG$20),IF(OR($E62="open",$E61="pre"),N(Settings!$C$32),N($AR61))))</f>
        <v/>
      </c>
      <c r="AS62">
        <f>IF(OR(Settings!$A$36="",$E62="pre"),"",IF(AND('Month-End'!$BG$38&lt;&gt;"",NOT(_xlfn.ISFORMULA('Month-End'!$BG$38))),N('Month-End'!$BG$38),IF(OR($E62="open",$E61="pre"),N(Settings!$C$36),N($AS61))+$AY62))</f>
        <v/>
      </c>
      <c r="AT62">
        <f>IF(OR(Settings!$A$37="",$E62="pre"),"",IF(AND('Month-End'!$BG$39&lt;&gt;"",NOT(_xlfn.ISFORMULA('Month-End'!$BG$39))),N('Month-End'!$BG$39),IF(OR($E62="open",$E61="pre"),N(Settings!$C$37),N($AT61))+$AZ62))</f>
        <v/>
      </c>
      <c r="AU62">
        <f>IF(OR(Settings!$A$38="",$E62="pre"),"",IF(AND('Month-End'!$BG$40&lt;&gt;"",NOT(_xlfn.ISFORMULA('Month-End'!$BG$40))),N('Month-End'!$BG$40),IF(OR($E62="open",$E61="pre"),N(Settings!$C$38),N($AU61))+$BA62))</f>
        <v/>
      </c>
      <c r="AV62">
        <f>IF(OR(Settings!$A$39="",$E62="pre"),"",IF(AND('Month-End'!$BG$41&lt;&gt;"",NOT(_xlfn.ISFORMULA('Month-End'!$BG$41))),N('Month-End'!$BG$41),IF(OR($E62="open",$E61="pre"),N(Settings!$C$39),N($AV61))+$BB62))</f>
        <v/>
      </c>
      <c r="AW62">
        <f>IF(OR(Settings!$A$40="",$E62="pre"),"",IF(AND('Month-End'!$BG$42&lt;&gt;"",NOT(_xlfn.ISFORMULA('Month-End'!$BG$42))),N('Month-End'!$BG$42),IF(OR($E62="open",$E61="pre"),N(Settings!$C$40),N($AW61))+$BC62))</f>
        <v/>
      </c>
      <c r="AX62">
        <f>IF(OR(Settings!$A$41="",$E62="pre"),"",IF(AND('Month-End'!$BG$43&lt;&gt;"",NOT(_xlfn.ISFORMULA('Month-End'!$BG$43))),N('Month-End'!$BG$43),IF(OR($E62="open",$E61="pre"),N(Settings!$C$41),N($AX61))+$BD62))</f>
        <v/>
      </c>
      <c r="AY62">
        <f>IF($E62="pre",0,N('Month-End'!$BG$45))</f>
        <v/>
      </c>
      <c r="AZ62">
        <f>IF($E62="pre",0,N('Month-End'!$BG$46))</f>
        <v/>
      </c>
      <c r="BA62">
        <f>IF($E62="pre",0,N('Month-End'!$BG$47))</f>
        <v/>
      </c>
      <c r="BB62">
        <f>IF($E62="pre",0,N('Month-End'!$BG$48))</f>
        <v/>
      </c>
      <c r="BC62">
        <f>IF($E62="pre",0,N('Month-End'!$BG$49))</f>
        <v/>
      </c>
      <c r="BD62">
        <f>IF($E62="pre",0,N('Month-End'!$BG$50))</f>
        <v/>
      </c>
      <c r="BE62">
        <f>IF(OR(Settings!$C$45="",Settings!$D$45=""),0,Settings!$C$45*IF(Settings!$D$45="Weekly",IF(IFERROR(MATCH(Settings!$E$45,$EO$4:$EO$10,0),0)=0,0,IF(MIN($C62,IF(Settings!$G$45="",$C62,Settings!$G$45))&lt;MAX($A62,Settings!$F$45),0,INT((MIN($C62,IF(Settings!$G$45="",$C62,Settings!$G$45))-MAX($A62,Settings!$F$45)-MOD(IFERROR(MATCH(Settings!$E$45,$EO$4:$EO$10,0),0)-WEEKDAY(MAX($A62,Settings!$F$45)),7))/7)+1)),IF(AND(IF(Settings!$E$45="",$B62,DATE(YEAR($A62),MONTH($A62),MIN(Settings!$E$45,DAY($B62))))&gt;=MAX($A62,Settings!$F$45),IF(Settings!$E$45="",$B62,DATE(YEAR($A62),MONTH($A62),MIN(Settings!$E$45,DAY($B62))))&lt;=MIN($C62,IF(Settings!$G$45="",$C62,Settings!$G$45))),1,0)))</f>
        <v/>
      </c>
      <c r="BF62">
        <f>IF(OR(Settings!$C$46="",Settings!$D$46=""),0,Settings!$C$46*IF(Settings!$D$46="Weekly",IF(IFERROR(MATCH(Settings!$E$46,$EO$4:$EO$10,0),0)=0,0,IF(MIN($C62,IF(Settings!$G$46="",$C62,Settings!$G$46))&lt;MAX($A62,Settings!$F$46),0,INT((MIN($C62,IF(Settings!$G$46="",$C62,Settings!$G$46))-MAX($A62,Settings!$F$46)-MOD(IFERROR(MATCH(Settings!$E$46,$EO$4:$EO$10,0),0)-WEEKDAY(MAX($A62,Settings!$F$46)),7))/7)+1)),IF(AND(IF(Settings!$E$46="",$B62,DATE(YEAR($A62),MONTH($A62),MIN(Settings!$E$46,DAY($B62))))&gt;=MAX($A62,Settings!$F$46),IF(Settings!$E$46="",$B62,DATE(YEAR($A62),MONTH($A62),MIN(Settings!$E$46,DAY($B62))))&lt;=MIN($C62,IF(Settings!$G$46="",$C62,Settings!$G$46))),1,0)))</f>
        <v/>
      </c>
      <c r="BG62">
        <f>IF(OR(Settings!$C$47="",Settings!$D$47=""),0,Settings!$C$47*IF(Settings!$D$47="Weekly",IF(IFERROR(MATCH(Settings!$E$47,$EO$4:$EO$10,0),0)=0,0,IF(MIN($C62,IF(Settings!$G$47="",$C62,Settings!$G$47))&lt;MAX($A62,Settings!$F$47),0,INT((MIN($C62,IF(Settings!$G$47="",$C62,Settings!$G$47))-MAX($A62,Settings!$F$47)-MOD(IFERROR(MATCH(Settings!$E$47,$EO$4:$EO$10,0),0)-WEEKDAY(MAX($A62,Settings!$F$47)),7))/7)+1)),IF(AND(IF(Settings!$E$47="",$B62,DATE(YEAR($A62),MONTH($A62),MIN(Settings!$E$47,DAY($B62))))&gt;=MAX($A62,Settings!$F$47),IF(Settings!$E$47="",$B62,DATE(YEAR($A62),MONTH($A62),MIN(Settings!$E$47,DAY($B62))))&lt;=MIN($C62,IF(Settings!$G$47="",$C62,Settings!$G$47))),1,0)))</f>
        <v/>
      </c>
      <c r="BH62">
        <f>IF(OR(Settings!$C$48="",Settings!$D$48=""),0,Settings!$C$48*IF(Settings!$D$48="Weekly",IF(IFERROR(MATCH(Settings!$E$48,$EO$4:$EO$10,0),0)=0,0,IF(MIN($C62,IF(Settings!$G$48="",$C62,Settings!$G$48))&lt;MAX($A62,Settings!$F$48),0,INT((MIN($C62,IF(Settings!$G$48="",$C62,Settings!$G$48))-MAX($A62,Settings!$F$48)-MOD(IFERROR(MATCH(Settings!$E$48,$EO$4:$EO$10,0),0)-WEEKDAY(MAX($A62,Settings!$F$48)),7))/7)+1)),IF(AND(IF(Settings!$E$48="",$B62,DATE(YEAR($A62),MONTH($A62),MIN(Settings!$E$48,DAY($B62))))&gt;=MAX($A62,Settings!$F$48),IF(Settings!$E$48="",$B62,DATE(YEAR($A62),MONTH($A62),MIN(Settings!$E$48,DAY($B62))))&lt;=MIN($C62,IF(Settings!$G$48="",$C62,Settings!$G$48))),1,0)))</f>
        <v/>
      </c>
      <c r="BI62">
        <f>IF(OR(Settings!$C$49="",Settings!$D$49=""),0,Settings!$C$49*IF(Settings!$D$49="Weekly",IF(IFERROR(MATCH(Settings!$E$49,$EO$4:$EO$10,0),0)=0,0,IF(MIN($C62,IF(Settings!$G$49="",$C62,Settings!$G$49))&lt;MAX($A62,Settings!$F$49),0,INT((MIN($C62,IF(Settings!$G$49="",$C62,Settings!$G$49))-MAX($A62,Settings!$F$49)-MOD(IFERROR(MATCH(Settings!$E$49,$EO$4:$EO$10,0),0)-WEEKDAY(MAX($A62,Settings!$F$49)),7))/7)+1)),IF(AND(IF(Settings!$E$49="",$B62,DATE(YEAR($A62),MONTH($A62),MIN(Settings!$E$49,DAY($B62))))&gt;=MAX($A62,Settings!$F$49),IF(Settings!$E$49="",$B62,DATE(YEAR($A62),MONTH($A62),MIN(Settings!$E$49,DAY($B62))))&lt;=MIN($C62,IF(Settings!$G$49="",$C62,Settings!$G$49))),1,0)))</f>
        <v/>
      </c>
      <c r="BJ62">
        <f>IF(OR(Settings!$C$50="",Settings!$D$50=""),0,Settings!$C$50*IF(Settings!$D$50="Weekly",IF(IFERROR(MATCH(Settings!$E$50,$EO$4:$EO$10,0),0)=0,0,IF(MIN($C62,IF(Settings!$G$50="",$C62,Settings!$G$50))&lt;MAX($A62,Settings!$F$50),0,INT((MIN($C62,IF(Settings!$G$50="",$C62,Settings!$G$50))-MAX($A62,Settings!$F$50)-MOD(IFERROR(MATCH(Settings!$E$50,$EO$4:$EO$10,0),0)-WEEKDAY(MAX($A62,Settings!$F$50)),7))/7)+1)),IF(AND(IF(Settings!$E$50="",$B62,DATE(YEAR($A62),MONTH($A62),MIN(Settings!$E$50,DAY($B62))))&gt;=MAX($A62,Settings!$F$50),IF(Settings!$E$50="",$B62,DATE(YEAR($A62),MONTH($A62),MIN(Settings!$E$50,DAY($B62))))&lt;=MIN($C62,IF(Settings!$G$50="",$C62,Settings!$G$50))),1,0)))</f>
        <v/>
      </c>
      <c r="BK62">
        <f>IF(OR(Settings!$C$51="",Settings!$D$51=""),0,Settings!$C$51*IF(Settings!$D$51="Weekly",IF(IFERROR(MATCH(Settings!$E$51,$EO$4:$EO$10,0),0)=0,0,IF(MIN($C62,IF(Settings!$G$51="",$C62,Settings!$G$51))&lt;MAX($A62,Settings!$F$51),0,INT((MIN($C62,IF(Settings!$G$51="",$C62,Settings!$G$51))-MAX($A62,Settings!$F$51)-MOD(IFERROR(MATCH(Settings!$E$51,$EO$4:$EO$10,0),0)-WEEKDAY(MAX($A62,Settings!$F$51)),7))/7)+1)),IF(AND(IF(Settings!$E$51="",$B62,DATE(YEAR($A62),MONTH($A62),MIN(Settings!$E$51,DAY($B62))))&gt;=MAX($A62,Settings!$F$51),IF(Settings!$E$51="",$B62,DATE(YEAR($A62),MONTH($A62),MIN(Settings!$E$51,DAY($B62))))&lt;=MIN($C62,IF(Settings!$G$51="",$C62,Settings!$G$51))),1,0)))</f>
        <v/>
      </c>
      <c r="BL62">
        <f>IF(OR(Settings!$C$52="",Settings!$D$52=""),0,Settings!$C$52*IF(Settings!$D$52="Weekly",IF(IFERROR(MATCH(Settings!$E$52,$EO$4:$EO$10,0),0)=0,0,IF(MIN($C62,IF(Settings!$G$52="",$C62,Settings!$G$52))&lt;MAX($A62,Settings!$F$52),0,INT((MIN($C62,IF(Settings!$G$52="",$C62,Settings!$G$52))-MAX($A62,Settings!$F$52)-MOD(IFERROR(MATCH(Settings!$E$52,$EO$4:$EO$10,0),0)-WEEKDAY(MAX($A62,Settings!$F$52)),7))/7)+1)),IF(AND(IF(Settings!$E$52="",$B62,DATE(YEAR($A62),MONTH($A62),MIN(Settings!$E$52,DAY($B62))))&gt;=MAX($A62,Settings!$F$52),IF(Settings!$E$52="",$B62,DATE(YEAR($A62),MONTH($A62),MIN(Settings!$E$52,DAY($B62))))&lt;=MIN($C62,IF(Settings!$G$52="",$C62,Settings!$G$52))),1,0)))</f>
        <v/>
      </c>
      <c r="BM62">
        <f>IF(OR(Settings!$C$53="",Settings!$D$53=""),0,Settings!$C$53*IF(Settings!$D$53="Weekly",IF(IFERROR(MATCH(Settings!$E$53,$EO$4:$EO$10,0),0)=0,0,IF(MIN($C62,IF(Settings!$G$53="",$C62,Settings!$G$53))&lt;MAX($A62,Settings!$F$53),0,INT((MIN($C62,IF(Settings!$G$53="",$C62,Settings!$G$53))-MAX($A62,Settings!$F$53)-MOD(IFERROR(MATCH(Settings!$E$53,$EO$4:$EO$10,0),0)-WEEKDAY(MAX($A62,Settings!$F$53)),7))/7)+1)),IF(AND(IF(Settings!$E$53="",$B62,DATE(YEAR($A62),MONTH($A62),MIN(Settings!$E$53,DAY($B62))))&gt;=MAX($A62,Settings!$F$53),IF(Settings!$E$53="",$B62,DATE(YEAR($A62),MONTH($A62),MIN(Settings!$E$53,DAY($B62))))&lt;=MIN($C62,IF(Settings!$G$53="",$C62,Settings!$G$53))),1,0)))</f>
        <v/>
      </c>
      <c r="BN62">
        <f>IF(OR(Settings!$C$54="",Settings!$D$54=""),0,Settings!$C$54*IF(Settings!$D$54="Weekly",IF(IFERROR(MATCH(Settings!$E$54,$EO$4:$EO$10,0),0)=0,0,IF(MIN($C62,IF(Settings!$G$54="",$C62,Settings!$G$54))&lt;MAX($A62,Settings!$F$54),0,INT((MIN($C62,IF(Settings!$G$54="",$C62,Settings!$G$54))-MAX($A62,Settings!$F$54)-MOD(IFERROR(MATCH(Settings!$E$54,$EO$4:$EO$10,0),0)-WEEKDAY(MAX($A62,Settings!$F$54)),7))/7)+1)),IF(AND(IF(Settings!$E$54="",$B62,DATE(YEAR($A62),MONTH($A62),MIN(Settings!$E$54,DAY($B62))))&gt;=MAX($A62,Settings!$F$54),IF(Settings!$E$54="",$B62,DATE(YEAR($A62),MONTH($A62),MIN(Settings!$E$54,DAY($B62))))&lt;=MIN($C62,IF(Settings!$G$54="",$C62,Settings!$G$54))),1,0)))</f>
        <v/>
      </c>
      <c r="BO62">
        <f>IF(OR(Settings!$C$55="",Settings!$D$55=""),0,Settings!$C$55*IF(Settings!$D$55="Weekly",IF(IFERROR(MATCH(Settings!$E$55,$EO$4:$EO$10,0),0)=0,0,IF(MIN($C62,IF(Settings!$G$55="",$C62,Settings!$G$55))&lt;MAX($A62,Settings!$F$55),0,INT((MIN($C62,IF(Settings!$G$55="",$C62,Settings!$G$55))-MAX($A62,Settings!$F$55)-MOD(IFERROR(MATCH(Settings!$E$55,$EO$4:$EO$10,0),0)-WEEKDAY(MAX($A62,Settings!$F$55)),7))/7)+1)),IF(AND(IF(Settings!$E$55="",$B62,DATE(YEAR($A62),MONTH($A62),MIN(Settings!$E$55,DAY($B62))))&gt;=MAX($A62,Settings!$F$55),IF(Settings!$E$55="",$B62,DATE(YEAR($A62),MONTH($A62),MIN(Settings!$E$55,DAY($B62))))&lt;=MIN($C62,IF(Settings!$G$55="",$C62,Settings!$G$55))),1,0)))</f>
        <v/>
      </c>
      <c r="BP62">
        <f>IF(OR(Settings!$C$56="",Settings!$D$56=""),0,Settings!$C$56*IF(Settings!$D$56="Weekly",IF(IFERROR(MATCH(Settings!$E$56,$EO$4:$EO$10,0),0)=0,0,IF(MIN($C62,IF(Settings!$G$56="",$C62,Settings!$G$56))&lt;MAX($A62,Settings!$F$56),0,INT((MIN($C62,IF(Settings!$G$56="",$C62,Settings!$G$56))-MAX($A62,Settings!$F$56)-MOD(IFERROR(MATCH(Settings!$E$56,$EO$4:$EO$10,0),0)-WEEKDAY(MAX($A62,Settings!$F$56)),7))/7)+1)),IF(AND(IF(Settings!$E$56="",$B62,DATE(YEAR($A62),MONTH($A62),MIN(Settings!$E$56,DAY($B62))))&gt;=MAX($A62,Settings!$F$56),IF(Settings!$E$56="",$B62,DATE(YEAR($A62),MONTH($A62),MIN(Settings!$E$56,DAY($B62))))&lt;=MIN($C62,IF(Settings!$G$56="",$C62,Settings!$G$56))),1,0)))</f>
        <v/>
      </c>
      <c r="BQ62">
        <f>IF(OR(Settings!$B$14="",$D62=1,$E62="pre",$A62&lt;IF(Settings!$B$15="",0,Settings!$B$15)),0,Settings!$B$14)</f>
        <v/>
      </c>
      <c r="BR62">
        <f>IF(AND('Month-End'!$BG$7&lt;&gt;"",NOT(_xlfn.ISFORMULA('Month-End'!$BG$7))),1,0)</f>
        <v/>
      </c>
      <c r="BS62">
        <f>IF(AND('Month-End'!$BG$8&lt;&gt;"",NOT(_xlfn.ISFORMULA('Month-End'!$BG$8))),1,0)</f>
        <v/>
      </c>
      <c r="BT62">
        <f>IF(AND('Month-End'!$BG$9&lt;&gt;"",NOT(_xlfn.ISFORMULA('Month-End'!$BG$9))),1,0)</f>
        <v/>
      </c>
      <c r="BU62">
        <f>IF(AND('Month-End'!$BG$10&lt;&gt;"",NOT(_xlfn.ISFORMULA('Month-End'!$BG$10))),1,0)</f>
        <v/>
      </c>
      <c r="BV62">
        <f>IF(AND('Month-End'!$BG$11&lt;&gt;"",NOT(_xlfn.ISFORMULA('Month-End'!$BG$11))),1,0)</f>
        <v/>
      </c>
      <c r="BW62">
        <f>IF(AND('Month-End'!$BG$12&lt;&gt;"",NOT(_xlfn.ISFORMULA('Month-End'!$BG$12))),1,0)</f>
        <v/>
      </c>
      <c r="BX62">
        <f>IF(AND('Month-End'!$BG$13&lt;&gt;"",NOT(_xlfn.ISFORMULA('Month-End'!$BG$13))),1,0)</f>
        <v/>
      </c>
      <c r="BY62">
        <f>IF(AND('Month-End'!$BG$14&lt;&gt;"",NOT(_xlfn.ISFORMULA('Month-End'!$BG$14))),1,0)</f>
        <v/>
      </c>
      <c r="BZ62">
        <f>IF(AND('Month-End'!$BG$15&lt;&gt;"",NOT(_xlfn.ISFORMULA('Month-End'!$BG$15))),1,0)</f>
        <v/>
      </c>
      <c r="CA62">
        <f>IF(AND('Month-End'!$BG$16&lt;&gt;"",NOT(_xlfn.ISFORMULA('Month-End'!$BG$16))),1,0)</f>
        <v/>
      </c>
      <c r="CB62">
        <f>IF(AND('Month-End'!$BG$17&lt;&gt;"",NOT(_xlfn.ISFORMULA('Month-End'!$BG$17))),1,0)</f>
        <v/>
      </c>
      <c r="CC62">
        <f>IF(AND('Month-End'!$BG$18&lt;&gt;"",NOT(_xlfn.ISFORMULA('Month-End'!$BG$18))),1,0)</f>
        <v/>
      </c>
      <c r="CD62">
        <f>IF(AND('Month-End'!$BG$19&lt;&gt;"",NOT(_xlfn.ISFORMULA('Month-End'!$BG$19))),1,0)</f>
        <v/>
      </c>
      <c r="CE62">
        <f>IF(AND('Month-End'!$BG$20&lt;&gt;"",NOT(_xlfn.ISFORMULA('Month-End'!$BG$20))),1,0)</f>
        <v/>
      </c>
      <c r="CF62">
        <f>IF(AND('Month-End'!$BG$38&lt;&gt;"",NOT(_xlfn.ISFORMULA('Month-End'!$BG$38))),1,0)</f>
        <v/>
      </c>
      <c r="CG62">
        <f>IF(AND('Month-End'!$BG$39&lt;&gt;"",NOT(_xlfn.ISFORMULA('Month-End'!$BG$39))),1,0)</f>
        <v/>
      </c>
      <c r="CH62">
        <f>IF(AND('Month-End'!$BG$40&lt;&gt;"",NOT(_xlfn.ISFORMULA('Month-End'!$BG$40))),1,0)</f>
        <v/>
      </c>
      <c r="CI62">
        <f>IF(AND('Month-End'!$BG$41&lt;&gt;"",NOT(_xlfn.ISFORMULA('Month-End'!$BG$41))),1,0)</f>
        <v/>
      </c>
      <c r="CJ62">
        <f>IF(AND('Month-End'!$BG$42&lt;&gt;"",NOT(_xlfn.ISFORMULA('Month-End'!$BG$42))),1,0)</f>
        <v/>
      </c>
      <c r="CK62">
        <f>IF(AND('Month-End'!$BG$43&lt;&gt;"",NOT(_xlfn.ISFORMULA('Month-End'!$BG$43))),1,0)</f>
        <v/>
      </c>
      <c r="CL62">
        <f>SUM($CM62:$CZ62)</f>
        <v/>
      </c>
      <c r="CM62">
        <f>IF(AND($E62&lt;&gt;"pre",AND(Settings!$A$19&lt;&gt;"",Settings!$E$19&lt;&gt;"No"),Settings!$F$19="Yes",NOT(AND('Month-End'!$BG$7&lt;&gt;"",NOT(_xlfn.ISFORMULA('Month-End'!$BG$7))))),1,0)</f>
        <v/>
      </c>
      <c r="CN62">
        <f>IF(AND($E62&lt;&gt;"pre",AND(Settings!$A$20&lt;&gt;"",Settings!$E$20&lt;&gt;"No"),Settings!$F$20="Yes",NOT(AND('Month-End'!$BG$8&lt;&gt;"",NOT(_xlfn.ISFORMULA('Month-End'!$BG$8))))),1,0)</f>
        <v/>
      </c>
      <c r="CO62">
        <f>IF(AND($E62&lt;&gt;"pre",AND(Settings!$A$21&lt;&gt;"",Settings!$E$21&lt;&gt;"No"),Settings!$F$21="Yes",NOT(AND('Month-End'!$BG$9&lt;&gt;"",NOT(_xlfn.ISFORMULA('Month-End'!$BG$9))))),1,0)</f>
        <v/>
      </c>
      <c r="CP62">
        <f>IF(AND($E62&lt;&gt;"pre",AND(Settings!$A$22&lt;&gt;"",Settings!$E$22&lt;&gt;"No"),Settings!$F$22="Yes",NOT(AND('Month-End'!$BG$10&lt;&gt;"",NOT(_xlfn.ISFORMULA('Month-End'!$BG$10))))),1,0)</f>
        <v/>
      </c>
      <c r="CQ62">
        <f>IF(AND($E62&lt;&gt;"pre",AND(Settings!$A$23&lt;&gt;"",Settings!$E$23&lt;&gt;"No"),Settings!$F$23="Yes",NOT(AND('Month-End'!$BG$11&lt;&gt;"",NOT(_xlfn.ISFORMULA('Month-End'!$BG$11))))),1,0)</f>
        <v/>
      </c>
      <c r="CR62">
        <f>IF(AND($E62&lt;&gt;"pre",AND(Settings!$A$24&lt;&gt;"",Settings!$E$24&lt;&gt;"No"),Settings!$F$24="Yes",NOT(AND('Month-End'!$BG$12&lt;&gt;"",NOT(_xlfn.ISFORMULA('Month-End'!$BG$12))))),1,0)</f>
        <v/>
      </c>
      <c r="CS62">
        <f>IF(AND($E62&lt;&gt;"pre",AND(Settings!$A$25&lt;&gt;"",Settings!$E$25&lt;&gt;"No"),Settings!$F$25="Yes",NOT(AND('Month-End'!$BG$13&lt;&gt;"",NOT(_xlfn.ISFORMULA('Month-End'!$BG$13))))),1,0)</f>
        <v/>
      </c>
      <c r="CT62">
        <f>IF(AND($E62&lt;&gt;"pre",AND(Settings!$A$26&lt;&gt;"",Settings!$E$26&lt;&gt;"No"),Settings!$F$26="Yes",NOT(AND('Month-End'!$BG$14&lt;&gt;"",NOT(_xlfn.ISFORMULA('Month-End'!$BG$14))))),1,0)</f>
        <v/>
      </c>
      <c r="CU62">
        <f>IF(AND($E62&lt;&gt;"pre",AND(Settings!$A$27&lt;&gt;"",Settings!$E$27&lt;&gt;"No"),Settings!$F$27="Yes",NOT(AND('Month-End'!$BG$15&lt;&gt;"",NOT(_xlfn.ISFORMULA('Month-End'!$BG$15))))),1,0)</f>
        <v/>
      </c>
      <c r="CV62">
        <f>IF(AND($E62&lt;&gt;"pre",AND(Settings!$A$28&lt;&gt;"",Settings!$E$28&lt;&gt;"No"),Settings!$F$28="Yes",NOT(AND('Month-End'!$BG$16&lt;&gt;"",NOT(_xlfn.ISFORMULA('Month-End'!$BG$16))))),1,0)</f>
        <v/>
      </c>
      <c r="CW62">
        <f>IF(AND($E62&lt;&gt;"pre",AND(Settings!$A$29&lt;&gt;"",Settings!$E$29&lt;&gt;"No"),Settings!$F$29="Yes",NOT(AND('Month-End'!$BG$17&lt;&gt;"",NOT(_xlfn.ISFORMULA('Month-End'!$BG$17))))),1,0)</f>
        <v/>
      </c>
      <c r="CX62">
        <f>IF(AND($E62&lt;&gt;"pre",AND(Settings!$A$30&lt;&gt;"",Settings!$E$30&lt;&gt;"No"),Settings!$F$30="Yes",NOT(AND('Month-End'!$BG$18&lt;&gt;"",NOT(_xlfn.ISFORMULA('Month-End'!$BG$18))))),1,0)</f>
        <v/>
      </c>
      <c r="CY62">
        <f>IF(AND($E62&lt;&gt;"pre",AND(Settings!$A$31&lt;&gt;"",Settings!$E$31&lt;&gt;"No"),Settings!$F$31="Yes",NOT(AND('Month-End'!$BG$19&lt;&gt;"",NOT(_xlfn.ISFORMULA('Month-End'!$BG$19))))),1,0)</f>
        <v/>
      </c>
      <c r="CZ62">
        <f>IF(AND($E62&lt;&gt;"pre",AND(Settings!$A$32&lt;&gt;"",Settings!$E$32&lt;&gt;"No"),Settings!$F$32="Yes",NOT(AND('Month-End'!$BG$20&lt;&gt;"",NOT(_xlfn.ISFORMULA('Month-End'!$BG$20))))),1,0)</f>
        <v/>
      </c>
      <c r="DA62">
        <f>IF($DT62=1,IF(OR(Settings!$B$19="Checking",Settings!$B$19="Savings",Settings!$B$19="Cash"),N($AE62),IF(OR(Settings!$B$19="Card",Settings!$B$19="Loan"),-N($AE62),0))+IF(OR(Settings!$B$20="Checking",Settings!$B$20="Savings",Settings!$B$20="Cash"),N($AF62),IF(OR(Settings!$B$20="Card",Settings!$B$20="Loan"),-N($AF62),0))+IF(OR(Settings!$B$21="Checking",Settings!$B$21="Savings",Settings!$B$21="Cash"),N($AG62),IF(OR(Settings!$B$21="Card",Settings!$B$21="Loan"),-N($AG62),0))+IF(OR(Settings!$B$22="Checking",Settings!$B$22="Savings",Settings!$B$22="Cash"),N($AH62),IF(OR(Settings!$B$22="Card",Settings!$B$22="Loan"),-N($AH62),0))+IF(OR(Settings!$B$23="Checking",Settings!$B$23="Savings",Settings!$B$23="Cash"),N($AI62),IF(OR(Settings!$B$23="Card",Settings!$B$23="Loan"),-N($AI62),0))+IF(OR(Settings!$B$24="Checking",Settings!$B$24="Savings",Settings!$B$24="Cash"),N($AJ62),IF(OR(Settings!$B$24="Card",Settings!$B$24="Loan"),-N($AJ62),0))+IF(OR(Settings!$B$25="Checking",Settings!$B$25="Savings",Settings!$B$25="Cash"),N($AK62),IF(OR(Settings!$B$25="Card",Settings!$B$25="Loan"),-N($AK62),0))+IF(OR(Settings!$B$26="Checking",Settings!$B$26="Savings",Settings!$B$26="Cash"),N($AL62),IF(OR(Settings!$B$26="Card",Settings!$B$26="Loan"),-N($AL62),0))+IF(OR(Settings!$B$27="Checking",Settings!$B$27="Savings",Settings!$B$27="Cash"),N($AM62),IF(OR(Settings!$B$27="Card",Settings!$B$27="Loan"),-N($AM62),0))+IF(OR(Settings!$B$28="Checking",Settings!$B$28="Savings",Settings!$B$28="Cash"),N($AN62),IF(OR(Settings!$B$28="Card",Settings!$B$28="Loan"),-N($AN62),0))+IF(OR(Settings!$B$29="Checking",Settings!$B$29="Savings",Settings!$B$29="Cash"),N($AO62),IF(OR(Settings!$B$29="Card",Settings!$B$29="Loan"),-N($AO62),0))+IF(OR(Settings!$B$30="Checking",Settings!$B$30="Savings",Settings!$B$30="Cash"),N($AP62),IF(OR(Settings!$B$30="Card",Settings!$B$30="Loan"),-N($AP62),0))+IF(OR(Settings!$B$31="Checking",Settings!$B$31="Savings",Settings!$B$31="Cash"),N($AQ62),IF(OR(Settings!$B$31="Card",Settings!$B$31="Loan"),-N($AQ62),0))+IF(OR(Settings!$B$32="Checking",Settings!$B$32="Savings",Settings!$B$32="Cash"),N($AR62),IF(OR(Settings!$B$32="Card",Settings!$B$32="Loan"),-N($AR62),0)),"")</f>
        <v/>
      </c>
      <c r="DB62">
        <f>IF($E62="open",$EB$27,IF($E62="post",IF($E61="pre",$EB$27,$DA61),""))</f>
        <v/>
      </c>
      <c r="DC62">
        <f>IF($E62="open",1,IF($E62="post",IF($E61="pre",1,$DT61),0))</f>
        <v/>
      </c>
      <c r="DD62">
        <f>IF(AND($DT62=1,$DC62=1),ROUND($W62-($DA62-$DB62)-$AD62-$AB62,2),"")</f>
        <v/>
      </c>
      <c r="DE62">
        <f>IF('Month-End'!$BG$35="",$BQ62,N('Month-End'!$BG$35))</f>
        <v/>
      </c>
      <c r="DF62">
        <f>N('Month-End'!$BG$36)</f>
        <v/>
      </c>
      <c r="DG62">
        <f>IF($DD62="","",$DD62+$DE62)</f>
        <v/>
      </c>
      <c r="DH62">
        <f>IF($DG62="","",$DG62-$DF62)</f>
        <v/>
      </c>
      <c r="DI62">
        <f>IF(OR($E62="pre",$D62=1),"",N($AS62)+N($AT62)+N($AU62)+N($AV62)+N($AW62)+N($AX62))</f>
        <v/>
      </c>
      <c r="DJ62">
        <f>IF($DT62=1,$DA62+N($DI62),"")</f>
        <v/>
      </c>
      <c r="DK62">
        <f>IF($DD62="","",$W62-$DD62-$AB62)</f>
        <v/>
      </c>
      <c r="DL62">
        <f>IF(AND($E62="post",$DD62&lt;&gt;"",$B62&lt;TODAY()),1,0)</f>
        <v/>
      </c>
      <c r="DM62">
        <f>IF($DL62=1,COUNTIF($DL62:$DL$183,1),0)</f>
        <v/>
      </c>
      <c r="DN62">
        <f>IF($D62=1,"",IF($E62="pre","History only",IF($DT62=1,IF($DD62="","⚠ Previous month missing",IF($DD62&lt;0,"⚠ Check: spending &lt; 0",IF($E62="open","✓ Done (partial)","✓ Done"))),IF($B62&gt;=TODAY(),"In progress","⚠ Needs balances"))))</f>
        <v/>
      </c>
      <c r="DO62">
        <f>YEAR($A62)</f>
        <v/>
      </c>
      <c r="DP62">
        <f>DATE(YEAR($A62),INT((MONTH($A62)-1)/3)*3+1,1)</f>
        <v/>
      </c>
      <c r="DQ62">
        <f>IF(AND($DT62=1,$DD62&lt;&gt;"",$D62=0),ROW(),0)</f>
        <v/>
      </c>
      <c r="DR62">
        <f>IF(AND($E62&lt;&gt;"pre",$B62&lt;TODAY(),$DT62=0),1,0)</f>
        <v/>
      </c>
      <c r="DS62">
        <f>IF($DJ62="",NA(),$DJ62)</f>
        <v/>
      </c>
      <c r="DT62">
        <f>IF(AND($E62&lt;&gt;"pre",$CL62=0,COUNTIFS(Settings!$F$19:$F$32,"Yes",Settings!$A$19:$A$32,"&lt;&gt;",Settings!$E$19:$E$32,"&lt;&gt;No")&gt;0),1,0)</f>
        <v/>
      </c>
      <c r="DU62">
        <f>IF(AND($B62&lt;TODAY(),$S62&gt;0),1,0)</f>
        <v/>
      </c>
      <c r="DV62">
        <f>IF($DU62=1,COUNTIF($DU62:$DU$183,1),0)</f>
        <v/>
      </c>
      <c r="DW62">
        <f>IF(AND(OR(Settings!$B$19="Card",Settings!$B$19="Loan"),AND('Month-End'!$BG$7&lt;&gt;"",NOT(_xlfn.ISFORMULA('Month-End'!$BG$7)))),IF(N('Month-End'!$BG$7)&lt;0,1,0),0)+IF(AND(OR(Settings!$B$20="Card",Settings!$B$20="Loan"),AND('Month-End'!$BG$8&lt;&gt;"",NOT(_xlfn.ISFORMULA('Month-End'!$BG$8)))),IF(N('Month-End'!$BG$8)&lt;0,1,0),0)+IF(AND(OR(Settings!$B$21="Card",Settings!$B$21="Loan"),AND('Month-End'!$BG$9&lt;&gt;"",NOT(_xlfn.ISFORMULA('Month-End'!$BG$9)))),IF(N('Month-End'!$BG$9)&lt;0,1,0),0)+IF(AND(OR(Settings!$B$22="Card",Settings!$B$22="Loan"),AND('Month-End'!$BG$10&lt;&gt;"",NOT(_xlfn.ISFORMULA('Month-End'!$BG$10)))),IF(N('Month-End'!$BG$10)&lt;0,1,0),0)+IF(AND(OR(Settings!$B$23="Card",Settings!$B$23="Loan"),AND('Month-End'!$BG$11&lt;&gt;"",NOT(_xlfn.ISFORMULA('Month-End'!$BG$11)))),IF(N('Month-End'!$BG$11)&lt;0,1,0),0)+IF(AND(OR(Settings!$B$24="Card",Settings!$B$24="Loan"),AND('Month-End'!$BG$12&lt;&gt;"",NOT(_xlfn.ISFORMULA('Month-End'!$BG$12)))),IF(N('Month-End'!$BG$12)&lt;0,1,0),0)+IF(AND(OR(Settings!$B$25="Card",Settings!$B$25="Loan"),AND('Month-End'!$BG$13&lt;&gt;"",NOT(_xlfn.ISFORMULA('Month-End'!$BG$13)))),IF(N('Month-End'!$BG$13)&lt;0,1,0),0)+IF(AND(OR(Settings!$B$26="Card",Settings!$B$26="Loan"),AND('Month-End'!$BG$14&lt;&gt;"",NOT(_xlfn.ISFORMULA('Month-End'!$BG$14)))),IF(N('Month-End'!$BG$14)&lt;0,1,0),0)+IF(AND(OR(Settings!$B$27="Card",Settings!$B$27="Loan"),AND('Month-End'!$BG$15&lt;&gt;"",NOT(_xlfn.ISFORMULA('Month-End'!$BG$15)))),IF(N('Month-End'!$BG$15)&lt;0,1,0),0)+IF(AND(OR(Settings!$B$28="Card",Settings!$B$28="Loan"),AND('Month-End'!$BG$16&lt;&gt;"",NOT(_xlfn.ISFORMULA('Month-End'!$BG$16)))),IF(N('Month-End'!$BG$16)&lt;0,1,0),0)+IF(AND(OR(Settings!$B$29="Card",Settings!$B$29="Loan"),AND('Month-End'!$BG$17&lt;&gt;"",NOT(_xlfn.ISFORMULA('Month-End'!$BG$17)))),IF(N('Month-End'!$BG$17)&lt;0,1,0),0)+IF(AND(OR(Settings!$B$30="Card",Settings!$B$30="Loan"),AND('Month-End'!$BG$18&lt;&gt;"",NOT(_xlfn.ISFORMULA('Month-End'!$BG$18)))),IF(N('Month-End'!$BG$18)&lt;0,1,0),0)+IF(AND(OR(Settings!$B$31="Card",Settings!$B$31="Loan"),AND('Month-End'!$BG$19&lt;&gt;"",NOT(_xlfn.ISFORMULA('Month-End'!$BG$19)))),IF(N('Month-End'!$BG$19)&lt;0,1,0),0)+IF(AND(OR(Settings!$B$32="Card",Settings!$B$32="Loan"),AND('Month-End'!$BG$20&lt;&gt;"",NOT(_xlfn.ISFORMULA('Month-End'!$BG$20)))),IF(N('Month-End'!$BG$20)&lt;0,1,0),0)</f>
        <v/>
      </c>
      <c r="DX62">
        <f>IF(Settings!$B$36="Retirement",$AY62,0)+IF(Settings!$B$37="Retirement",$AZ62,0)+IF(Settings!$B$38="Retirement",$BA62,0)+IF(Settings!$B$39="Retirement",$BB62,0)+IF(Settings!$B$40="Retirement",$BC62,0)+IF(Settings!$B$41="Retirement",$BD62,0)</f>
        <v/>
      </c>
      <c r="EA62" t="inlineStr">
        <is>
          <t>Taxable Income Received This Year</t>
        </is>
      </c>
      <c r="EB62">
        <f>SUMIFS($FF$6:$FF$183,$DO$6:$DO$183,YEAR(TODAY()))</f>
        <v/>
      </c>
      <c r="ET62">
        <f>IF($E62&lt;&gt;"open",0,IF(AND('Month-End'!$BG$22&lt;&gt;"",NOT(_xlfn.ISFORMULA('Month-End'!$BG$22))),0,IF(OR(Settings!$C$45="",Settings!$D$45=""),0,Settings!$C$45*IF(Settings!$D$45="Weekly",IF(IFERROR(MATCH(Settings!$E$45,$EO$4:$EO$10,0),0)=0,0,IF(MIN(Settings!$B$5,IF(Settings!$G$45="",Settings!$B$5,Settings!$G$45))&lt;MAX($A62,Settings!$F$45),0,INT((MIN(Settings!$B$5,IF(Settings!$G$45="",Settings!$B$5,Settings!$G$45))-MAX($A62,Settings!$F$45)-MOD(IFERROR(MATCH(Settings!$E$45,$EO$4:$EO$10,0),0)-WEEKDAY(MAX($A62,Settings!$F$45)),7))/7)+1)),IF(AND(IF(Settings!$E$45="",$B62,DATE(YEAR($A62),MONTH($A62),MIN(Settings!$E$45,DAY($B62))))&gt;=MAX($A62,Settings!$F$45),IF(Settings!$E$45="",$B62,DATE(YEAR($A62),MONTH($A62),MIN(Settings!$E$45,DAY($B62))))&lt;=MIN(Settings!$B$5,IF(Settings!$G$45="",Settings!$B$5,Settings!$G$45))),1,0)))))</f>
        <v/>
      </c>
      <c r="EU62">
        <f>IF($E62&lt;&gt;"open",0,IF(AND('Month-End'!$BG$23&lt;&gt;"",NOT(_xlfn.ISFORMULA('Month-End'!$BG$23))),0,IF(OR(Settings!$C$46="",Settings!$D$46=""),0,Settings!$C$46*IF(Settings!$D$46="Weekly",IF(IFERROR(MATCH(Settings!$E$46,$EO$4:$EO$10,0),0)=0,0,IF(MIN(Settings!$B$5,IF(Settings!$G$46="",Settings!$B$5,Settings!$G$46))&lt;MAX($A62,Settings!$F$46),0,INT((MIN(Settings!$B$5,IF(Settings!$G$46="",Settings!$B$5,Settings!$G$46))-MAX($A62,Settings!$F$46)-MOD(IFERROR(MATCH(Settings!$E$46,$EO$4:$EO$10,0),0)-WEEKDAY(MAX($A62,Settings!$F$46)),7))/7)+1)),IF(AND(IF(Settings!$E$46="",$B62,DATE(YEAR($A62),MONTH($A62),MIN(Settings!$E$46,DAY($B62))))&gt;=MAX($A62,Settings!$F$46),IF(Settings!$E$46="",$B62,DATE(YEAR($A62),MONTH($A62),MIN(Settings!$E$46,DAY($B62))))&lt;=MIN(Settings!$B$5,IF(Settings!$G$46="",Settings!$B$5,Settings!$G$46))),1,0)))))</f>
        <v/>
      </c>
      <c r="EV62">
        <f>IF($E62&lt;&gt;"open",0,IF(AND('Month-End'!$BG$24&lt;&gt;"",NOT(_xlfn.ISFORMULA('Month-End'!$BG$24))),0,IF(OR(Settings!$C$47="",Settings!$D$47=""),0,Settings!$C$47*IF(Settings!$D$47="Weekly",IF(IFERROR(MATCH(Settings!$E$47,$EO$4:$EO$10,0),0)=0,0,IF(MIN(Settings!$B$5,IF(Settings!$G$47="",Settings!$B$5,Settings!$G$47))&lt;MAX($A62,Settings!$F$47),0,INT((MIN(Settings!$B$5,IF(Settings!$G$47="",Settings!$B$5,Settings!$G$47))-MAX($A62,Settings!$F$47)-MOD(IFERROR(MATCH(Settings!$E$47,$EO$4:$EO$10,0),0)-WEEKDAY(MAX($A62,Settings!$F$47)),7))/7)+1)),IF(AND(IF(Settings!$E$47="",$B62,DATE(YEAR($A62),MONTH($A62),MIN(Settings!$E$47,DAY($B62))))&gt;=MAX($A62,Settings!$F$47),IF(Settings!$E$47="",$B62,DATE(YEAR($A62),MONTH($A62),MIN(Settings!$E$47,DAY($B62))))&lt;=MIN(Settings!$B$5,IF(Settings!$G$47="",Settings!$B$5,Settings!$G$47))),1,0)))))</f>
        <v/>
      </c>
      <c r="EW62">
        <f>IF($E62&lt;&gt;"open",0,IF(AND('Month-End'!$BG$25&lt;&gt;"",NOT(_xlfn.ISFORMULA('Month-End'!$BG$25))),0,IF(OR(Settings!$C$48="",Settings!$D$48=""),0,Settings!$C$48*IF(Settings!$D$48="Weekly",IF(IFERROR(MATCH(Settings!$E$48,$EO$4:$EO$10,0),0)=0,0,IF(MIN(Settings!$B$5,IF(Settings!$G$48="",Settings!$B$5,Settings!$G$48))&lt;MAX($A62,Settings!$F$48),0,INT((MIN(Settings!$B$5,IF(Settings!$G$48="",Settings!$B$5,Settings!$G$48))-MAX($A62,Settings!$F$48)-MOD(IFERROR(MATCH(Settings!$E$48,$EO$4:$EO$10,0),0)-WEEKDAY(MAX($A62,Settings!$F$48)),7))/7)+1)),IF(AND(IF(Settings!$E$48="",$B62,DATE(YEAR($A62),MONTH($A62),MIN(Settings!$E$48,DAY($B62))))&gt;=MAX($A62,Settings!$F$48),IF(Settings!$E$48="",$B62,DATE(YEAR($A62),MONTH($A62),MIN(Settings!$E$48,DAY($B62))))&lt;=MIN(Settings!$B$5,IF(Settings!$G$48="",Settings!$B$5,Settings!$G$48))),1,0)))))</f>
        <v/>
      </c>
      <c r="EX62">
        <f>IF($E62&lt;&gt;"open",0,IF(AND('Month-End'!$BG$26&lt;&gt;"",NOT(_xlfn.ISFORMULA('Month-End'!$BG$26))),0,IF(OR(Settings!$C$49="",Settings!$D$49=""),0,Settings!$C$49*IF(Settings!$D$49="Weekly",IF(IFERROR(MATCH(Settings!$E$49,$EO$4:$EO$10,0),0)=0,0,IF(MIN(Settings!$B$5,IF(Settings!$G$49="",Settings!$B$5,Settings!$G$49))&lt;MAX($A62,Settings!$F$49),0,INT((MIN(Settings!$B$5,IF(Settings!$G$49="",Settings!$B$5,Settings!$G$49))-MAX($A62,Settings!$F$49)-MOD(IFERROR(MATCH(Settings!$E$49,$EO$4:$EO$10,0),0)-WEEKDAY(MAX($A62,Settings!$F$49)),7))/7)+1)),IF(AND(IF(Settings!$E$49="",$B62,DATE(YEAR($A62),MONTH($A62),MIN(Settings!$E$49,DAY($B62))))&gt;=MAX($A62,Settings!$F$49),IF(Settings!$E$49="",$B62,DATE(YEAR($A62),MONTH($A62),MIN(Settings!$E$49,DAY($B62))))&lt;=MIN(Settings!$B$5,IF(Settings!$G$49="",Settings!$B$5,Settings!$G$49))),1,0)))))</f>
        <v/>
      </c>
      <c r="EY62">
        <f>IF($E62&lt;&gt;"open",0,IF(AND('Month-End'!$BG$27&lt;&gt;"",NOT(_xlfn.ISFORMULA('Month-End'!$BG$27))),0,IF(OR(Settings!$C$50="",Settings!$D$50=""),0,Settings!$C$50*IF(Settings!$D$50="Weekly",IF(IFERROR(MATCH(Settings!$E$50,$EO$4:$EO$10,0),0)=0,0,IF(MIN(Settings!$B$5,IF(Settings!$G$50="",Settings!$B$5,Settings!$G$50))&lt;MAX($A62,Settings!$F$50),0,INT((MIN(Settings!$B$5,IF(Settings!$G$50="",Settings!$B$5,Settings!$G$50))-MAX($A62,Settings!$F$50)-MOD(IFERROR(MATCH(Settings!$E$50,$EO$4:$EO$10,0),0)-WEEKDAY(MAX($A62,Settings!$F$50)),7))/7)+1)),IF(AND(IF(Settings!$E$50="",$B62,DATE(YEAR($A62),MONTH($A62),MIN(Settings!$E$50,DAY($B62))))&gt;=MAX($A62,Settings!$F$50),IF(Settings!$E$50="",$B62,DATE(YEAR($A62),MONTH($A62),MIN(Settings!$E$50,DAY($B62))))&lt;=MIN(Settings!$B$5,IF(Settings!$G$50="",Settings!$B$5,Settings!$G$50))),1,0)))))</f>
        <v/>
      </c>
      <c r="EZ62">
        <f>IF($E62&lt;&gt;"open",0,IF(AND('Month-End'!$BG$28&lt;&gt;"",NOT(_xlfn.ISFORMULA('Month-End'!$BG$28))),0,IF(OR(Settings!$C$51="",Settings!$D$51=""),0,Settings!$C$51*IF(Settings!$D$51="Weekly",IF(IFERROR(MATCH(Settings!$E$51,$EO$4:$EO$10,0),0)=0,0,IF(MIN(Settings!$B$5,IF(Settings!$G$51="",Settings!$B$5,Settings!$G$51))&lt;MAX($A62,Settings!$F$51),0,INT((MIN(Settings!$B$5,IF(Settings!$G$51="",Settings!$B$5,Settings!$G$51))-MAX($A62,Settings!$F$51)-MOD(IFERROR(MATCH(Settings!$E$51,$EO$4:$EO$10,0),0)-WEEKDAY(MAX($A62,Settings!$F$51)),7))/7)+1)),IF(AND(IF(Settings!$E$51="",$B62,DATE(YEAR($A62),MONTH($A62),MIN(Settings!$E$51,DAY($B62))))&gt;=MAX($A62,Settings!$F$51),IF(Settings!$E$51="",$B62,DATE(YEAR($A62),MONTH($A62),MIN(Settings!$E$51,DAY($B62))))&lt;=MIN(Settings!$B$5,IF(Settings!$G$51="",Settings!$B$5,Settings!$G$51))),1,0)))))</f>
        <v/>
      </c>
      <c r="FA62">
        <f>IF($E62&lt;&gt;"open",0,IF(AND('Month-End'!$BG$29&lt;&gt;"",NOT(_xlfn.ISFORMULA('Month-End'!$BG$29))),0,IF(OR(Settings!$C$52="",Settings!$D$52=""),0,Settings!$C$52*IF(Settings!$D$52="Weekly",IF(IFERROR(MATCH(Settings!$E$52,$EO$4:$EO$10,0),0)=0,0,IF(MIN(Settings!$B$5,IF(Settings!$G$52="",Settings!$B$5,Settings!$G$52))&lt;MAX($A62,Settings!$F$52),0,INT((MIN(Settings!$B$5,IF(Settings!$G$52="",Settings!$B$5,Settings!$G$52))-MAX($A62,Settings!$F$52)-MOD(IFERROR(MATCH(Settings!$E$52,$EO$4:$EO$10,0),0)-WEEKDAY(MAX($A62,Settings!$F$52)),7))/7)+1)),IF(AND(IF(Settings!$E$52="",$B62,DATE(YEAR($A62),MONTH($A62),MIN(Settings!$E$52,DAY($B62))))&gt;=MAX($A62,Settings!$F$52),IF(Settings!$E$52="",$B62,DATE(YEAR($A62),MONTH($A62),MIN(Settings!$E$52,DAY($B62))))&lt;=MIN(Settings!$B$5,IF(Settings!$G$52="",Settings!$B$5,Settings!$G$52))),1,0)))))</f>
        <v/>
      </c>
      <c r="FB62">
        <f>IF($E62&lt;&gt;"open",0,IF(AND('Month-End'!$BG$30&lt;&gt;"",NOT(_xlfn.ISFORMULA('Month-End'!$BG$30))),0,IF(OR(Settings!$C$53="",Settings!$D$53=""),0,Settings!$C$53*IF(Settings!$D$53="Weekly",IF(IFERROR(MATCH(Settings!$E$53,$EO$4:$EO$10,0),0)=0,0,IF(MIN(Settings!$B$5,IF(Settings!$G$53="",Settings!$B$5,Settings!$G$53))&lt;MAX($A62,Settings!$F$53),0,INT((MIN(Settings!$B$5,IF(Settings!$G$53="",Settings!$B$5,Settings!$G$53))-MAX($A62,Settings!$F$53)-MOD(IFERROR(MATCH(Settings!$E$53,$EO$4:$EO$10,0),0)-WEEKDAY(MAX($A62,Settings!$F$53)),7))/7)+1)),IF(AND(IF(Settings!$E$53="",$B62,DATE(YEAR($A62),MONTH($A62),MIN(Settings!$E$53,DAY($B62))))&gt;=MAX($A62,Settings!$F$53),IF(Settings!$E$53="",$B62,DATE(YEAR($A62),MONTH($A62),MIN(Settings!$E$53,DAY($B62))))&lt;=MIN(Settings!$B$5,IF(Settings!$G$53="",Settings!$B$5,Settings!$G$53))),1,0)))))</f>
        <v/>
      </c>
      <c r="FC62">
        <f>IF($E62&lt;&gt;"open",0,IF(AND('Month-End'!$BG$31&lt;&gt;"",NOT(_xlfn.ISFORMULA('Month-End'!$BG$31))),0,IF(OR(Settings!$C$54="",Settings!$D$54=""),0,Settings!$C$54*IF(Settings!$D$54="Weekly",IF(IFERROR(MATCH(Settings!$E$54,$EO$4:$EO$10,0),0)=0,0,IF(MIN(Settings!$B$5,IF(Settings!$G$54="",Settings!$B$5,Settings!$G$54))&lt;MAX($A62,Settings!$F$54),0,INT((MIN(Settings!$B$5,IF(Settings!$G$54="",Settings!$B$5,Settings!$G$54))-MAX($A62,Settings!$F$54)-MOD(IFERROR(MATCH(Settings!$E$54,$EO$4:$EO$10,0),0)-WEEKDAY(MAX($A62,Settings!$F$54)),7))/7)+1)),IF(AND(IF(Settings!$E$54="",$B62,DATE(YEAR($A62),MONTH($A62),MIN(Settings!$E$54,DAY($B62))))&gt;=MAX($A62,Settings!$F$54),IF(Settings!$E$54="",$B62,DATE(YEAR($A62),MONTH($A62),MIN(Settings!$E$54,DAY($B62))))&lt;=MIN(Settings!$B$5,IF(Settings!$G$54="",Settings!$B$5,Settings!$G$54))),1,0)))))</f>
        <v/>
      </c>
      <c r="FD62">
        <f>IF($E62&lt;&gt;"open",0,IF(AND('Month-End'!$BG$32&lt;&gt;"",NOT(_xlfn.ISFORMULA('Month-End'!$BG$32))),0,IF(OR(Settings!$C$55="",Settings!$D$55=""),0,Settings!$C$55*IF(Settings!$D$55="Weekly",IF(IFERROR(MATCH(Settings!$E$55,$EO$4:$EO$10,0),0)=0,0,IF(MIN(Settings!$B$5,IF(Settings!$G$55="",Settings!$B$5,Settings!$G$55))&lt;MAX($A62,Settings!$F$55),0,INT((MIN(Settings!$B$5,IF(Settings!$G$55="",Settings!$B$5,Settings!$G$55))-MAX($A62,Settings!$F$55)-MOD(IFERROR(MATCH(Settings!$E$55,$EO$4:$EO$10,0),0)-WEEKDAY(MAX($A62,Settings!$F$55)),7))/7)+1)),IF(AND(IF(Settings!$E$55="",$B62,DATE(YEAR($A62),MONTH($A62),MIN(Settings!$E$55,DAY($B62))))&gt;=MAX($A62,Settings!$F$55),IF(Settings!$E$55="",$B62,DATE(YEAR($A62),MONTH($A62),MIN(Settings!$E$55,DAY($B62))))&lt;=MIN(Settings!$B$5,IF(Settings!$G$55="",Settings!$B$5,Settings!$G$55))),1,0)))))</f>
        <v/>
      </c>
      <c r="FE62">
        <f>IF($E62&lt;&gt;"open",0,IF(AND('Month-End'!$BG$33&lt;&gt;"",NOT(_xlfn.ISFORMULA('Month-End'!$BG$33))),0,IF(OR(Settings!$C$56="",Settings!$D$56=""),0,Settings!$C$56*IF(Settings!$D$56="Weekly",IF(IFERROR(MATCH(Settings!$E$56,$EO$4:$EO$10,0),0)=0,0,IF(MIN(Settings!$B$5,IF(Settings!$G$56="",Settings!$B$5,Settings!$G$56))&lt;MAX($A62,Settings!$F$56),0,INT((MIN(Settings!$B$5,IF(Settings!$G$56="",Settings!$B$5,Settings!$G$56))-MAX($A62,Settings!$F$56)-MOD(IFERROR(MATCH(Settings!$E$56,$EO$4:$EO$10,0),0)-WEEKDAY(MAX($A62,Settings!$F$56)),7))/7)+1)),IF(AND(IF(Settings!$E$56="",$B62,DATE(YEAR($A62),MONTH($A62),MIN(Settings!$E$56,DAY($B62))))&gt;=MAX($A62,Settings!$F$56),IF(Settings!$E$56="",$B62,DATE(YEAR($A62),MONTH($A62),MIN(Settings!$E$56,DAY($B62))))&lt;=MIN(Settings!$B$5,IF(Settings!$G$56="",Settings!$B$5,Settings!$G$56))),1,0)))))</f>
        <v/>
      </c>
      <c r="FF62">
        <f>IF(Settings!$I$45="Yes",$G62,0)+IF(Settings!$I$46="Yes",$H62,0)+IF(Settings!$I$47="Yes",$I62,0)+IF(Settings!$I$48="Yes",$J62,0)+IF(Settings!$I$49="Yes",$K62,0)+IF(Settings!$I$50="Yes",$L62,0)+IF(Settings!$I$51="Yes",$M62,0)+IF(Settings!$I$52="Yes",$N62,0)+IF(Settings!$I$53="Yes",$O62,0)+IF(Settings!$I$54="Yes",$P62,0)+IF(Settings!$I$55="Yes",$Q62,0)+IF(Settings!$I$56="Yes",$R62,0)</f>
        <v/>
      </c>
      <c r="FG62">
        <f>IF(AND(Settings!$I$45="Yes",Settings!$J$45="No"),$G62,0)+IF(AND(Settings!$I$46="Yes",Settings!$J$46="No"),$H62,0)+IF(AND(Settings!$I$47="Yes",Settings!$J$47="No"),$I62,0)+IF(AND(Settings!$I$48="Yes",Settings!$J$48="No"),$J62,0)+IF(AND(Settings!$I$49="Yes",Settings!$J$49="No"),$K62,0)+IF(AND(Settings!$I$50="Yes",Settings!$J$50="No"),$L62,0)+IF(AND(Settings!$I$51="Yes",Settings!$J$51="No"),$M62,0)+IF(AND(Settings!$I$52="Yes",Settings!$J$52="No"),$N62,0)+IF(AND(Settings!$I$53="Yes",Settings!$J$53="No"),$O62,0)+IF(AND(Settings!$I$54="Yes",Settings!$J$54="No"),$P62,0)+IF(AND(Settings!$I$55="Yes",Settings!$J$55="No"),$Q62,0)+IF(AND(Settings!$I$56="Yes",Settings!$J$56="No"),$R62,0)</f>
        <v/>
      </c>
      <c r="FH62">
        <f>SUMIFS(Giving!$B$7:$B$2006,Giving!$A$7:$A$2006,"&gt;="&amp;$A62,Giving!$A$7:$A$2006,"&lt;="&amp;$B62,Giving!$G$7:$G$2006,"Yes")+IF(OR(OR(Settings!$B$60="",Settings!$F$60="No"),Settings!$H$60&lt;&gt;"Yes"),0,Settings!$B$60*IF(AND(IF(Settings!$C$60="",$B62,DATE(YEAR($A62),MONTH($A62),MIN(Settings!$C$60,DAY($B62))))&gt;=MAX($A62,Settings!$D$60),IF(Settings!$C$60="",$B62,DATE(YEAR($A62),MONTH($A62),MIN(Settings!$C$60,DAY($B62))))&lt;=MIN($C62,IF(Settings!$E$60="",$C62,Settings!$E$60))),1,0))+IF(OR(OR(Settings!$B$61="",Settings!$F$61="No"),Settings!$H$61&lt;&gt;"Yes"),0,Settings!$B$61*IF(AND(IF(Settings!$C$61="",$B62,DATE(YEAR($A62),MONTH($A62),MIN(Settings!$C$61,DAY($B62))))&gt;=MAX($A62,Settings!$D$61),IF(Settings!$C$61="",$B62,DATE(YEAR($A62),MONTH($A62),MIN(Settings!$C$61,DAY($B62))))&lt;=MIN($C62,IF(Settings!$E$61="",$C62,Settings!$E$61))),1,0))+IF(OR(OR(Settings!$B$62="",Settings!$F$62="No"),Settings!$H$62&lt;&gt;"Yes"),0,Settings!$B$62*IF(AND(IF(Settings!$C$62="",$B62,DATE(YEAR($A62),MONTH($A62),MIN(Settings!$C$62,DAY($B62))))&gt;=MAX($A62,Settings!$D$62),IF(Settings!$C$62="",$B62,DATE(YEAR($A62),MONTH($A62),MIN(Settings!$C$62,DAY($B62))))&lt;=MIN($C62,IF(Settings!$E$62="",$C62,Settings!$E$62))),1,0))+IF(OR(OR(Settings!$B$63="",Settings!$F$63="No"),Settings!$H$63&lt;&gt;"Yes"),0,Settings!$B$63*IF(AND(IF(Settings!$C$63="",$B62,DATE(YEAR($A62),MONTH($A62),MIN(Settings!$C$63,DAY($B62))))&gt;=MAX($A62,Settings!$D$63),IF(Settings!$C$63="",$B62,DATE(YEAR($A62),MONTH($A62),MIN(Settings!$C$63,DAY($B62))))&lt;=MIN($C62,IF(Settings!$E$63="",$C62,Settings!$E$63))),1,0))+IF(OR(OR(Settings!$B$64="",Settings!$F$64="No"),Settings!$H$64&lt;&gt;"Yes"),0,Settings!$B$64*IF(AND(IF(Settings!$C$64="",$B62,DATE(YEAR($A62),MONTH($A62),MIN(Settings!$C$64,DAY($B62))))&gt;=MAX($A62,Settings!$D$64),IF(Settings!$C$64="",$B62,DATE(YEAR($A62),MONTH($A62),MIN(Settings!$C$64,DAY($B62))))&lt;=MIN($C62,IF(Settings!$E$64="",$C62,Settings!$E$64))),1,0))+IF(OR(OR(Settings!$B$65="",Settings!$F$65="No"),Settings!$H$65&lt;&gt;"Yes"),0,Settings!$B$65*IF(AND(IF(Settings!$C$65="",$B62,DATE(YEAR($A62),MONTH($A62),MIN(Settings!$C$65,DAY($B62))))&gt;=MAX($A62,Settings!$D$65),IF(Settings!$C$65="",$B62,DATE(YEAR($A62),MONTH($A62),MIN(Settings!$C$65,DAY($B62))))&lt;=MIN($C62,IF(Settings!$E$65="",$C62,Settings!$E$65))),1,0))</f>
        <v/>
      </c>
      <c r="FI62">
        <f>IF($DT62=1,IF(OR(Settings!$B$19="Card",Settings!$B$19="Loan"),N($AE62),0)+IF(OR(Settings!$B$20="Card",Settings!$B$20="Loan"),N($AF62),0)+IF(OR(Settings!$B$21="Card",Settings!$B$21="Loan"),N($AG62),0)+IF(OR(Settings!$B$22="Card",Settings!$B$22="Loan"),N($AH62),0)+IF(OR(Settings!$B$23="Card",Settings!$B$23="Loan"),N($AI62),0)+IF(OR(Settings!$B$24="Card",Settings!$B$24="Loan"),N($AJ62),0)+IF(OR(Settings!$B$25="Card",Settings!$B$25="Loan"),N($AK62),0)+IF(OR(Settings!$B$26="Card",Settings!$B$26="Loan"),N($AL62),0)+IF(OR(Settings!$B$27="Card",Settings!$B$27="Loan"),N($AM62),0)+IF(OR(Settings!$B$28="Card",Settings!$B$28="Loan"),N($AN62),0)+IF(OR(Settings!$B$29="Card",Settings!$B$29="Loan"),N($AO62),0)+IF(OR(Settings!$B$30="Card",Settings!$B$30="Loan"),N($AP62),0)+IF(OR(Settings!$B$31="Card",Settings!$B$31="Loan"),N($AQ62),0)+IF(OR(Settings!$B$32="Card",Settings!$B$32="Loan"),N($AR62),0),"")</f>
        <v/>
      </c>
      <c r="FJ62">
        <f>IF($E62="open",$EB$65,IF($E62="post",IF($E61="pre",$EB$65,$FI61),""))</f>
        <v/>
      </c>
      <c r="FK62">
        <f>IF(AND($DT62=1,$DC62=1),IF(ROUND($FI62-$FJ62,2)&gt;0,1,0),0)</f>
        <v/>
      </c>
      <c r="FL62">
        <f>IF($FK62=1,$FL61+1,0)</f>
        <v/>
      </c>
    </row>
    <row r="63">
      <c r="A63">
        <f>'Month-End'!$BH$4</f>
        <v/>
      </c>
      <c r="B63">
        <f>EOMONTH($A63,0)</f>
        <v/>
      </c>
      <c r="C63">
        <f>MIN($B63,TODAY())</f>
        <v/>
      </c>
      <c r="D63">
        <f>IF($A63&gt;TODAY(),1,0)</f>
        <v/>
      </c>
      <c r="E63">
        <f>IF($B63&lt;=Settings!$B$5,"pre",IF($A63&lt;=Settings!$B$5,"open","post"))</f>
        <v/>
      </c>
      <c r="G63">
        <f>IF('Month-End'!$BH$22="",$BE63,N('Month-End'!$BH$22))</f>
        <v/>
      </c>
      <c r="H63">
        <f>IF('Month-End'!$BH$23="",$BF63,N('Month-End'!$BH$23))</f>
        <v/>
      </c>
      <c r="I63">
        <f>IF('Month-End'!$BH$24="",$BG63,N('Month-End'!$BH$24))</f>
        <v/>
      </c>
      <c r="J63">
        <f>IF('Month-End'!$BH$25="",$BH63,N('Month-End'!$BH$25))</f>
        <v/>
      </c>
      <c r="K63">
        <f>IF('Month-End'!$BH$26="",$BI63,N('Month-End'!$BH$26))</f>
        <v/>
      </c>
      <c r="L63">
        <f>IF('Month-End'!$BH$27="",$BJ63,N('Month-End'!$BH$27))</f>
        <v/>
      </c>
      <c r="M63">
        <f>IF('Month-End'!$BH$28="",$BK63,N('Month-End'!$BH$28))</f>
        <v/>
      </c>
      <c r="N63">
        <f>IF('Month-End'!$BH$29="",$BL63,N('Month-End'!$BH$29))</f>
        <v/>
      </c>
      <c r="O63">
        <f>IF('Month-End'!$BH$30="",$BM63,N('Month-End'!$BH$30))</f>
        <v/>
      </c>
      <c r="P63">
        <f>IF('Month-End'!$BH$31="",$BN63,N('Month-End'!$BH$31))</f>
        <v/>
      </c>
      <c r="Q63">
        <f>IF('Month-End'!$BH$32="",$BO63,N('Month-End'!$BH$32))</f>
        <v/>
      </c>
      <c r="R63">
        <f>IF('Month-End'!$BH$33="",$BP63,N('Month-End'!$BH$33))</f>
        <v/>
      </c>
      <c r="S63">
        <f>$G63+$H63+$I63+$J63+$K63+$L63+$M63+$N63+$O63+$P63+$Q63+$R63</f>
        <v/>
      </c>
      <c r="T63">
        <f>IF($B63&lt;Settings!$B$6,0,IF(Settings!$B$45="Yes",$G63,0)+IF(Settings!$B$46="Yes",$H63,0)+IF(Settings!$B$47="Yes",$I63,0)+IF(Settings!$B$48="Yes",$J63,0)+IF(Settings!$B$49="Yes",$K63,0)+IF(Settings!$B$50="Yes",$L63,0)+IF(Settings!$B$51="Yes",$M63,0)+IF(Settings!$B$52="Yes",$N63,0)+IF(Settings!$B$53="Yes",$O63,0)+IF(Settings!$B$54="Yes",$P63,0)+IF(Settings!$B$55="Yes",$Q63,0)+IF(Settings!$B$56="Yes",$R63,0))</f>
        <v/>
      </c>
      <c r="U63">
        <f>IF(Settings!$B$45="Not Sure",$G63,0)+IF(Settings!$B$46="Not Sure",$H63,0)+IF(Settings!$B$47="Not Sure",$I63,0)+IF(Settings!$B$48="Not Sure",$J63,0)+IF(Settings!$B$49="Not Sure",$K63,0)+IF(Settings!$B$50="Not Sure",$L63,0)+IF(Settings!$B$51="Not Sure",$M63,0)+IF(Settings!$B$52="Not Sure",$N63,0)+IF(Settings!$B$53="Not Sure",$O63,0)+IF(Settings!$B$54="Not Sure",$P63,0)+IF(Settings!$B$55="Not Sure",$Q63,0)+IF(Settings!$B$56="Not Sure",$R63,0)</f>
        <v/>
      </c>
      <c r="V63">
        <f>IF($E63="open",SUM($ET63:$FE63)+N(Settings!$B$13),0)</f>
        <v/>
      </c>
      <c r="W63">
        <f>IF($E63="post",$S63,IF($E63="open",$S63-$V63,0))</f>
        <v/>
      </c>
      <c r="X63">
        <f>SUMIFS(Giving!$B$7:$B$2006,Giving!$A$7:$A$2006,"&gt;="&amp;$A63,Giving!$A$7:$A$2006,"&lt;="&amp;$B63,Giving!$E$7:$E$2006,"&lt;&gt;No")</f>
        <v/>
      </c>
      <c r="Y63">
        <f>SUMIFS(Giving!$B$7:$B$2006,Giving!$A$7:$A$2006,"&gt;="&amp;$A63,Giving!$A$7:$A$2006,"&lt;="&amp;$B63,Giving!$E$7:$E$2006,"No")</f>
        <v/>
      </c>
      <c r="Z63">
        <f>IF(OR(Settings!$B$60="",Settings!$F$60="No"),0,Settings!$B$60*IF(AND(IF(Settings!$C$60="",$B63,DATE(YEAR($A63),MONTH($A63),MIN(Settings!$C$60,DAY($B63))))&gt;=MAX($A63,Settings!$D$60),IF(Settings!$C$60="",$B63,DATE(YEAR($A63),MONTH($A63),MIN(Settings!$C$60,DAY($B63))))&lt;=MIN($C63,IF(Settings!$E$60="",$C63,Settings!$E$60))),1,0))+IF(OR(Settings!$B$61="",Settings!$F$61="No"),0,Settings!$B$61*IF(AND(IF(Settings!$C$61="",$B63,DATE(YEAR($A63),MONTH($A63),MIN(Settings!$C$61,DAY($B63))))&gt;=MAX($A63,Settings!$D$61),IF(Settings!$C$61="",$B63,DATE(YEAR($A63),MONTH($A63),MIN(Settings!$C$61,DAY($B63))))&lt;=MIN($C63,IF(Settings!$E$61="",$C63,Settings!$E$61))),1,0))+IF(OR(Settings!$B$62="",Settings!$F$62="No"),0,Settings!$B$62*IF(AND(IF(Settings!$C$62="",$B63,DATE(YEAR($A63),MONTH($A63),MIN(Settings!$C$62,DAY($B63))))&gt;=MAX($A63,Settings!$D$62),IF(Settings!$C$62="",$B63,DATE(YEAR($A63),MONTH($A63),MIN(Settings!$C$62,DAY($B63))))&lt;=MIN($C63,IF(Settings!$E$62="",$C63,Settings!$E$62))),1,0))+IF(OR(Settings!$B$63="",Settings!$F$63="No"),0,Settings!$B$63*IF(AND(IF(Settings!$C$63="",$B63,DATE(YEAR($A63),MONTH($A63),MIN(Settings!$C$63,DAY($B63))))&gt;=MAX($A63,Settings!$D$63),IF(Settings!$C$63="",$B63,DATE(YEAR($A63),MONTH($A63),MIN(Settings!$C$63,DAY($B63))))&lt;=MIN($C63,IF(Settings!$E$63="",$C63,Settings!$E$63))),1,0))+IF(OR(Settings!$B$64="",Settings!$F$64="No"),0,Settings!$B$64*IF(AND(IF(Settings!$C$64="",$B63,DATE(YEAR($A63),MONTH($A63),MIN(Settings!$C$64,DAY($B63))))&gt;=MAX($A63,Settings!$D$64),IF(Settings!$C$64="",$B63,DATE(YEAR($A63),MONTH($A63),MIN(Settings!$C$64,DAY($B63))))&lt;=MIN($C63,IF(Settings!$E$64="",$C63,Settings!$E$64))),1,0))+IF(OR(Settings!$B$65="",Settings!$F$65="No"),0,Settings!$B$65*IF(AND(IF(Settings!$C$65="",$B63,DATE(YEAR($A63),MONTH($A63),MIN(Settings!$C$65,DAY($B63))))&gt;=MAX($A63,Settings!$D$65),IF(Settings!$C$65="",$B63,DATE(YEAR($A63),MONTH($A63),MIN(Settings!$C$65,DAY($B63))))&lt;=MIN($C63,IF(Settings!$E$65="",$C63,Settings!$E$65))),1,0))</f>
        <v/>
      </c>
      <c r="AA63">
        <f>$X63+$Z63</f>
        <v/>
      </c>
      <c r="AB63">
        <f>IF($E63="post",$AA63,IF($E63="open",SUMIFS(Giving!$B$7:$B$2006,Giving!$A$7:$A$2006,"&gt;"&amp;Settings!$B$5,Giving!$A$7:$A$2006,"&lt;="&amp;$B63,Giving!$E$7:$E$2006,"&lt;&gt;No")+IF(OR(Settings!$B$60="",Settings!$F$60="No"),0,Settings!$B$60*IF(AND(IF(Settings!$C$60="",$B63,DATE(YEAR($A63),MONTH($A63),MIN(Settings!$C$60,DAY($B63))))&gt;=MAX($A63,Settings!$D$60,Settings!$B$5+1),IF(Settings!$C$60="",$B63,DATE(YEAR($A63),MONTH($A63),MIN(Settings!$C$60,DAY($B63))))&lt;=MIN($C63,IF(Settings!$E$60="",$C63,Settings!$E$60))),1,0))+IF(OR(Settings!$B$61="",Settings!$F$61="No"),0,Settings!$B$61*IF(AND(IF(Settings!$C$61="",$B63,DATE(YEAR($A63),MONTH($A63),MIN(Settings!$C$61,DAY($B63))))&gt;=MAX($A63,Settings!$D$61,Settings!$B$5+1),IF(Settings!$C$61="",$B63,DATE(YEAR($A63),MONTH($A63),MIN(Settings!$C$61,DAY($B63))))&lt;=MIN($C63,IF(Settings!$E$61="",$C63,Settings!$E$61))),1,0))+IF(OR(Settings!$B$62="",Settings!$F$62="No"),0,Settings!$B$62*IF(AND(IF(Settings!$C$62="",$B63,DATE(YEAR($A63),MONTH($A63),MIN(Settings!$C$62,DAY($B63))))&gt;=MAX($A63,Settings!$D$62,Settings!$B$5+1),IF(Settings!$C$62="",$B63,DATE(YEAR($A63),MONTH($A63),MIN(Settings!$C$62,DAY($B63))))&lt;=MIN($C63,IF(Settings!$E$62="",$C63,Settings!$E$62))),1,0))+IF(OR(Settings!$B$63="",Settings!$F$63="No"),0,Settings!$B$63*IF(AND(IF(Settings!$C$63="",$B63,DATE(YEAR($A63),MONTH($A63),MIN(Settings!$C$63,DAY($B63))))&gt;=MAX($A63,Settings!$D$63,Settings!$B$5+1),IF(Settings!$C$63="",$B63,DATE(YEAR($A63),MONTH($A63),MIN(Settings!$C$63,DAY($B63))))&lt;=MIN($C63,IF(Settings!$E$63="",$C63,Settings!$E$63))),1,0))+IF(OR(Settings!$B$64="",Settings!$F$64="No"),0,Settings!$B$64*IF(AND(IF(Settings!$C$64="",$B63,DATE(YEAR($A63),MONTH($A63),MIN(Settings!$C$64,DAY($B63))))&gt;=MAX($A63,Settings!$D$64,Settings!$B$5+1),IF(Settings!$C$64="",$B63,DATE(YEAR($A63),MONTH($A63),MIN(Settings!$C$64,DAY($B63))))&lt;=MIN($C63,IF(Settings!$E$64="",$C63,Settings!$E$64))),1,0))+IF(OR(Settings!$B$65="",Settings!$F$65="No"),0,Settings!$B$65*IF(AND(IF(Settings!$C$65="",$B63,DATE(YEAR($A63),MONTH($A63),MIN(Settings!$C$65,DAY($B63))))&gt;=MAX($A63,Settings!$D$65,Settings!$B$5+1),IF(Settings!$C$65="",$B63,DATE(YEAR($A63),MONTH($A63),MIN(Settings!$C$65,DAY($B63))))&lt;=MIN($C63,IF(Settings!$E$65="",$C63,Settings!$E$65))),1,0)),0))</f>
        <v/>
      </c>
      <c r="AC63">
        <f>$AY63+$AZ63+$BA63+$BB63+$BC63+$BD63</f>
        <v/>
      </c>
      <c r="AD63">
        <f>$AC63</f>
        <v/>
      </c>
      <c r="AE63">
        <f>IF(OR(Settings!$A$19="",$E63="pre"),"",IF(AND('Month-End'!$BH$7&lt;&gt;"",NOT(_xlfn.ISFORMULA('Month-End'!$BH$7))),N('Month-End'!$BH$7),IF(OR($E63="open",$E62="pre"),N(Settings!$C$19),N($AE62))))</f>
        <v/>
      </c>
      <c r="AF63">
        <f>IF(OR(Settings!$A$20="",$E63="pre"),"",IF(AND('Month-End'!$BH$8&lt;&gt;"",NOT(_xlfn.ISFORMULA('Month-End'!$BH$8))),N('Month-End'!$BH$8),IF(OR($E63="open",$E62="pre"),N(Settings!$C$20),N($AF62))))</f>
        <v/>
      </c>
      <c r="AG63">
        <f>IF(OR(Settings!$A$21="",$E63="pre"),"",IF(AND('Month-End'!$BH$9&lt;&gt;"",NOT(_xlfn.ISFORMULA('Month-End'!$BH$9))),N('Month-End'!$BH$9),IF(OR($E63="open",$E62="pre"),N(Settings!$C$21),N($AG62))))</f>
        <v/>
      </c>
      <c r="AH63">
        <f>IF(OR(Settings!$A$22="",$E63="pre"),"",IF(AND('Month-End'!$BH$10&lt;&gt;"",NOT(_xlfn.ISFORMULA('Month-End'!$BH$10))),N('Month-End'!$BH$10),IF(OR($E63="open",$E62="pre"),N(Settings!$C$22),N($AH62))))</f>
        <v/>
      </c>
      <c r="AI63">
        <f>IF(OR(Settings!$A$23="",$E63="pre"),"",IF(AND('Month-End'!$BH$11&lt;&gt;"",NOT(_xlfn.ISFORMULA('Month-End'!$BH$11))),N('Month-End'!$BH$11),IF(OR($E63="open",$E62="pre"),N(Settings!$C$23),N($AI62))))</f>
        <v/>
      </c>
      <c r="AJ63">
        <f>IF(OR(Settings!$A$24="",$E63="pre"),"",IF(AND('Month-End'!$BH$12&lt;&gt;"",NOT(_xlfn.ISFORMULA('Month-End'!$BH$12))),N('Month-End'!$BH$12),IF(OR($E63="open",$E62="pre"),N(Settings!$C$24),N($AJ62))))</f>
        <v/>
      </c>
      <c r="AK63">
        <f>IF(OR(Settings!$A$25="",$E63="pre"),"",IF(AND('Month-End'!$BH$13&lt;&gt;"",NOT(_xlfn.ISFORMULA('Month-End'!$BH$13))),N('Month-End'!$BH$13),IF(OR($E63="open",$E62="pre"),N(Settings!$C$25),N($AK62))))</f>
        <v/>
      </c>
      <c r="AL63">
        <f>IF(OR(Settings!$A$26="",$E63="pre"),"",IF(AND('Month-End'!$BH$14&lt;&gt;"",NOT(_xlfn.ISFORMULA('Month-End'!$BH$14))),N('Month-End'!$BH$14),IF(OR($E63="open",$E62="pre"),N(Settings!$C$26),N($AL62))))</f>
        <v/>
      </c>
      <c r="AM63">
        <f>IF(OR(Settings!$A$27="",$E63="pre"),"",IF(AND('Month-End'!$BH$15&lt;&gt;"",NOT(_xlfn.ISFORMULA('Month-End'!$BH$15))),N('Month-End'!$BH$15),IF(OR($E63="open",$E62="pre"),N(Settings!$C$27),N($AM62))))</f>
        <v/>
      </c>
      <c r="AN63">
        <f>IF(OR(Settings!$A$28="",$E63="pre"),"",IF(AND('Month-End'!$BH$16&lt;&gt;"",NOT(_xlfn.ISFORMULA('Month-End'!$BH$16))),N('Month-End'!$BH$16),IF(OR($E63="open",$E62="pre"),N(Settings!$C$28),N($AN62))))</f>
        <v/>
      </c>
      <c r="AO63">
        <f>IF(OR(Settings!$A$29="",$E63="pre"),"",IF(AND('Month-End'!$BH$17&lt;&gt;"",NOT(_xlfn.ISFORMULA('Month-End'!$BH$17))),N('Month-End'!$BH$17),IF(OR($E63="open",$E62="pre"),N(Settings!$C$29),N($AO62))))</f>
        <v/>
      </c>
      <c r="AP63">
        <f>IF(OR(Settings!$A$30="",$E63="pre"),"",IF(AND('Month-End'!$BH$18&lt;&gt;"",NOT(_xlfn.ISFORMULA('Month-End'!$BH$18))),N('Month-End'!$BH$18),IF(OR($E63="open",$E62="pre"),N(Settings!$C$30),N($AP62))))</f>
        <v/>
      </c>
      <c r="AQ63">
        <f>IF(OR(Settings!$A$31="",$E63="pre"),"",IF(AND('Month-End'!$BH$19&lt;&gt;"",NOT(_xlfn.ISFORMULA('Month-End'!$BH$19))),N('Month-End'!$BH$19),IF(OR($E63="open",$E62="pre"),N(Settings!$C$31),N($AQ62))))</f>
        <v/>
      </c>
      <c r="AR63">
        <f>IF(OR(Settings!$A$32="",$E63="pre"),"",IF(AND('Month-End'!$BH$20&lt;&gt;"",NOT(_xlfn.ISFORMULA('Month-End'!$BH$20))),N('Month-End'!$BH$20),IF(OR($E63="open",$E62="pre"),N(Settings!$C$32),N($AR62))))</f>
        <v/>
      </c>
      <c r="AS63">
        <f>IF(OR(Settings!$A$36="",$E63="pre"),"",IF(AND('Month-End'!$BH$38&lt;&gt;"",NOT(_xlfn.ISFORMULA('Month-End'!$BH$38))),N('Month-End'!$BH$38),IF(OR($E63="open",$E62="pre"),N(Settings!$C$36),N($AS62))+$AY63))</f>
        <v/>
      </c>
      <c r="AT63">
        <f>IF(OR(Settings!$A$37="",$E63="pre"),"",IF(AND('Month-End'!$BH$39&lt;&gt;"",NOT(_xlfn.ISFORMULA('Month-End'!$BH$39))),N('Month-End'!$BH$39),IF(OR($E63="open",$E62="pre"),N(Settings!$C$37),N($AT62))+$AZ63))</f>
        <v/>
      </c>
      <c r="AU63">
        <f>IF(OR(Settings!$A$38="",$E63="pre"),"",IF(AND('Month-End'!$BH$40&lt;&gt;"",NOT(_xlfn.ISFORMULA('Month-End'!$BH$40))),N('Month-End'!$BH$40),IF(OR($E63="open",$E62="pre"),N(Settings!$C$38),N($AU62))+$BA63))</f>
        <v/>
      </c>
      <c r="AV63">
        <f>IF(OR(Settings!$A$39="",$E63="pre"),"",IF(AND('Month-End'!$BH$41&lt;&gt;"",NOT(_xlfn.ISFORMULA('Month-End'!$BH$41))),N('Month-End'!$BH$41),IF(OR($E63="open",$E62="pre"),N(Settings!$C$39),N($AV62))+$BB63))</f>
        <v/>
      </c>
      <c r="AW63">
        <f>IF(OR(Settings!$A$40="",$E63="pre"),"",IF(AND('Month-End'!$BH$42&lt;&gt;"",NOT(_xlfn.ISFORMULA('Month-End'!$BH$42))),N('Month-End'!$BH$42),IF(OR($E63="open",$E62="pre"),N(Settings!$C$40),N($AW62))+$BC63))</f>
        <v/>
      </c>
      <c r="AX63">
        <f>IF(OR(Settings!$A$41="",$E63="pre"),"",IF(AND('Month-End'!$BH$43&lt;&gt;"",NOT(_xlfn.ISFORMULA('Month-End'!$BH$43))),N('Month-End'!$BH$43),IF(OR($E63="open",$E62="pre"),N(Settings!$C$41),N($AX62))+$BD63))</f>
        <v/>
      </c>
      <c r="AY63">
        <f>IF($E63="pre",0,N('Month-End'!$BH$45))</f>
        <v/>
      </c>
      <c r="AZ63">
        <f>IF($E63="pre",0,N('Month-End'!$BH$46))</f>
        <v/>
      </c>
      <c r="BA63">
        <f>IF($E63="pre",0,N('Month-End'!$BH$47))</f>
        <v/>
      </c>
      <c r="BB63">
        <f>IF($E63="pre",0,N('Month-End'!$BH$48))</f>
        <v/>
      </c>
      <c r="BC63">
        <f>IF($E63="pre",0,N('Month-End'!$BH$49))</f>
        <v/>
      </c>
      <c r="BD63">
        <f>IF($E63="pre",0,N('Month-End'!$BH$50))</f>
        <v/>
      </c>
      <c r="BE63">
        <f>IF(OR(Settings!$C$45="",Settings!$D$45=""),0,Settings!$C$45*IF(Settings!$D$45="Weekly",IF(IFERROR(MATCH(Settings!$E$45,$EO$4:$EO$10,0),0)=0,0,IF(MIN($C63,IF(Settings!$G$45="",$C63,Settings!$G$45))&lt;MAX($A63,Settings!$F$45),0,INT((MIN($C63,IF(Settings!$G$45="",$C63,Settings!$G$45))-MAX($A63,Settings!$F$45)-MOD(IFERROR(MATCH(Settings!$E$45,$EO$4:$EO$10,0),0)-WEEKDAY(MAX($A63,Settings!$F$45)),7))/7)+1)),IF(AND(IF(Settings!$E$45="",$B63,DATE(YEAR($A63),MONTH($A63),MIN(Settings!$E$45,DAY($B63))))&gt;=MAX($A63,Settings!$F$45),IF(Settings!$E$45="",$B63,DATE(YEAR($A63),MONTH($A63),MIN(Settings!$E$45,DAY($B63))))&lt;=MIN($C63,IF(Settings!$G$45="",$C63,Settings!$G$45))),1,0)))</f>
        <v/>
      </c>
      <c r="BF63">
        <f>IF(OR(Settings!$C$46="",Settings!$D$46=""),0,Settings!$C$46*IF(Settings!$D$46="Weekly",IF(IFERROR(MATCH(Settings!$E$46,$EO$4:$EO$10,0),0)=0,0,IF(MIN($C63,IF(Settings!$G$46="",$C63,Settings!$G$46))&lt;MAX($A63,Settings!$F$46),0,INT((MIN($C63,IF(Settings!$G$46="",$C63,Settings!$G$46))-MAX($A63,Settings!$F$46)-MOD(IFERROR(MATCH(Settings!$E$46,$EO$4:$EO$10,0),0)-WEEKDAY(MAX($A63,Settings!$F$46)),7))/7)+1)),IF(AND(IF(Settings!$E$46="",$B63,DATE(YEAR($A63),MONTH($A63),MIN(Settings!$E$46,DAY($B63))))&gt;=MAX($A63,Settings!$F$46),IF(Settings!$E$46="",$B63,DATE(YEAR($A63),MONTH($A63),MIN(Settings!$E$46,DAY($B63))))&lt;=MIN($C63,IF(Settings!$G$46="",$C63,Settings!$G$46))),1,0)))</f>
        <v/>
      </c>
      <c r="BG63">
        <f>IF(OR(Settings!$C$47="",Settings!$D$47=""),0,Settings!$C$47*IF(Settings!$D$47="Weekly",IF(IFERROR(MATCH(Settings!$E$47,$EO$4:$EO$10,0),0)=0,0,IF(MIN($C63,IF(Settings!$G$47="",$C63,Settings!$G$47))&lt;MAX($A63,Settings!$F$47),0,INT((MIN($C63,IF(Settings!$G$47="",$C63,Settings!$G$47))-MAX($A63,Settings!$F$47)-MOD(IFERROR(MATCH(Settings!$E$47,$EO$4:$EO$10,0),0)-WEEKDAY(MAX($A63,Settings!$F$47)),7))/7)+1)),IF(AND(IF(Settings!$E$47="",$B63,DATE(YEAR($A63),MONTH($A63),MIN(Settings!$E$47,DAY($B63))))&gt;=MAX($A63,Settings!$F$47),IF(Settings!$E$47="",$B63,DATE(YEAR($A63),MONTH($A63),MIN(Settings!$E$47,DAY($B63))))&lt;=MIN($C63,IF(Settings!$G$47="",$C63,Settings!$G$47))),1,0)))</f>
        <v/>
      </c>
      <c r="BH63">
        <f>IF(OR(Settings!$C$48="",Settings!$D$48=""),0,Settings!$C$48*IF(Settings!$D$48="Weekly",IF(IFERROR(MATCH(Settings!$E$48,$EO$4:$EO$10,0),0)=0,0,IF(MIN($C63,IF(Settings!$G$48="",$C63,Settings!$G$48))&lt;MAX($A63,Settings!$F$48),0,INT((MIN($C63,IF(Settings!$G$48="",$C63,Settings!$G$48))-MAX($A63,Settings!$F$48)-MOD(IFERROR(MATCH(Settings!$E$48,$EO$4:$EO$10,0),0)-WEEKDAY(MAX($A63,Settings!$F$48)),7))/7)+1)),IF(AND(IF(Settings!$E$48="",$B63,DATE(YEAR($A63),MONTH($A63),MIN(Settings!$E$48,DAY($B63))))&gt;=MAX($A63,Settings!$F$48),IF(Settings!$E$48="",$B63,DATE(YEAR($A63),MONTH($A63),MIN(Settings!$E$48,DAY($B63))))&lt;=MIN($C63,IF(Settings!$G$48="",$C63,Settings!$G$48))),1,0)))</f>
        <v/>
      </c>
      <c r="BI63">
        <f>IF(OR(Settings!$C$49="",Settings!$D$49=""),0,Settings!$C$49*IF(Settings!$D$49="Weekly",IF(IFERROR(MATCH(Settings!$E$49,$EO$4:$EO$10,0),0)=0,0,IF(MIN($C63,IF(Settings!$G$49="",$C63,Settings!$G$49))&lt;MAX($A63,Settings!$F$49),0,INT((MIN($C63,IF(Settings!$G$49="",$C63,Settings!$G$49))-MAX($A63,Settings!$F$49)-MOD(IFERROR(MATCH(Settings!$E$49,$EO$4:$EO$10,0),0)-WEEKDAY(MAX($A63,Settings!$F$49)),7))/7)+1)),IF(AND(IF(Settings!$E$49="",$B63,DATE(YEAR($A63),MONTH($A63),MIN(Settings!$E$49,DAY($B63))))&gt;=MAX($A63,Settings!$F$49),IF(Settings!$E$49="",$B63,DATE(YEAR($A63),MONTH($A63),MIN(Settings!$E$49,DAY($B63))))&lt;=MIN($C63,IF(Settings!$G$49="",$C63,Settings!$G$49))),1,0)))</f>
        <v/>
      </c>
      <c r="BJ63">
        <f>IF(OR(Settings!$C$50="",Settings!$D$50=""),0,Settings!$C$50*IF(Settings!$D$50="Weekly",IF(IFERROR(MATCH(Settings!$E$50,$EO$4:$EO$10,0),0)=0,0,IF(MIN($C63,IF(Settings!$G$50="",$C63,Settings!$G$50))&lt;MAX($A63,Settings!$F$50),0,INT((MIN($C63,IF(Settings!$G$50="",$C63,Settings!$G$50))-MAX($A63,Settings!$F$50)-MOD(IFERROR(MATCH(Settings!$E$50,$EO$4:$EO$10,0),0)-WEEKDAY(MAX($A63,Settings!$F$50)),7))/7)+1)),IF(AND(IF(Settings!$E$50="",$B63,DATE(YEAR($A63),MONTH($A63),MIN(Settings!$E$50,DAY($B63))))&gt;=MAX($A63,Settings!$F$50),IF(Settings!$E$50="",$B63,DATE(YEAR($A63),MONTH($A63),MIN(Settings!$E$50,DAY($B63))))&lt;=MIN($C63,IF(Settings!$G$50="",$C63,Settings!$G$50))),1,0)))</f>
        <v/>
      </c>
      <c r="BK63">
        <f>IF(OR(Settings!$C$51="",Settings!$D$51=""),0,Settings!$C$51*IF(Settings!$D$51="Weekly",IF(IFERROR(MATCH(Settings!$E$51,$EO$4:$EO$10,0),0)=0,0,IF(MIN($C63,IF(Settings!$G$51="",$C63,Settings!$G$51))&lt;MAX($A63,Settings!$F$51),0,INT((MIN($C63,IF(Settings!$G$51="",$C63,Settings!$G$51))-MAX($A63,Settings!$F$51)-MOD(IFERROR(MATCH(Settings!$E$51,$EO$4:$EO$10,0),0)-WEEKDAY(MAX($A63,Settings!$F$51)),7))/7)+1)),IF(AND(IF(Settings!$E$51="",$B63,DATE(YEAR($A63),MONTH($A63),MIN(Settings!$E$51,DAY($B63))))&gt;=MAX($A63,Settings!$F$51),IF(Settings!$E$51="",$B63,DATE(YEAR($A63),MONTH($A63),MIN(Settings!$E$51,DAY($B63))))&lt;=MIN($C63,IF(Settings!$G$51="",$C63,Settings!$G$51))),1,0)))</f>
        <v/>
      </c>
      <c r="BL63">
        <f>IF(OR(Settings!$C$52="",Settings!$D$52=""),0,Settings!$C$52*IF(Settings!$D$52="Weekly",IF(IFERROR(MATCH(Settings!$E$52,$EO$4:$EO$10,0),0)=0,0,IF(MIN($C63,IF(Settings!$G$52="",$C63,Settings!$G$52))&lt;MAX($A63,Settings!$F$52),0,INT((MIN($C63,IF(Settings!$G$52="",$C63,Settings!$G$52))-MAX($A63,Settings!$F$52)-MOD(IFERROR(MATCH(Settings!$E$52,$EO$4:$EO$10,0),0)-WEEKDAY(MAX($A63,Settings!$F$52)),7))/7)+1)),IF(AND(IF(Settings!$E$52="",$B63,DATE(YEAR($A63),MONTH($A63),MIN(Settings!$E$52,DAY($B63))))&gt;=MAX($A63,Settings!$F$52),IF(Settings!$E$52="",$B63,DATE(YEAR($A63),MONTH($A63),MIN(Settings!$E$52,DAY($B63))))&lt;=MIN($C63,IF(Settings!$G$52="",$C63,Settings!$G$52))),1,0)))</f>
        <v/>
      </c>
      <c r="BM63">
        <f>IF(OR(Settings!$C$53="",Settings!$D$53=""),0,Settings!$C$53*IF(Settings!$D$53="Weekly",IF(IFERROR(MATCH(Settings!$E$53,$EO$4:$EO$10,0),0)=0,0,IF(MIN($C63,IF(Settings!$G$53="",$C63,Settings!$G$53))&lt;MAX($A63,Settings!$F$53),0,INT((MIN($C63,IF(Settings!$G$53="",$C63,Settings!$G$53))-MAX($A63,Settings!$F$53)-MOD(IFERROR(MATCH(Settings!$E$53,$EO$4:$EO$10,0),0)-WEEKDAY(MAX($A63,Settings!$F$53)),7))/7)+1)),IF(AND(IF(Settings!$E$53="",$B63,DATE(YEAR($A63),MONTH($A63),MIN(Settings!$E$53,DAY($B63))))&gt;=MAX($A63,Settings!$F$53),IF(Settings!$E$53="",$B63,DATE(YEAR($A63),MONTH($A63),MIN(Settings!$E$53,DAY($B63))))&lt;=MIN($C63,IF(Settings!$G$53="",$C63,Settings!$G$53))),1,0)))</f>
        <v/>
      </c>
      <c r="BN63">
        <f>IF(OR(Settings!$C$54="",Settings!$D$54=""),0,Settings!$C$54*IF(Settings!$D$54="Weekly",IF(IFERROR(MATCH(Settings!$E$54,$EO$4:$EO$10,0),0)=0,0,IF(MIN($C63,IF(Settings!$G$54="",$C63,Settings!$G$54))&lt;MAX($A63,Settings!$F$54),0,INT((MIN($C63,IF(Settings!$G$54="",$C63,Settings!$G$54))-MAX($A63,Settings!$F$54)-MOD(IFERROR(MATCH(Settings!$E$54,$EO$4:$EO$10,0),0)-WEEKDAY(MAX($A63,Settings!$F$54)),7))/7)+1)),IF(AND(IF(Settings!$E$54="",$B63,DATE(YEAR($A63),MONTH($A63),MIN(Settings!$E$54,DAY($B63))))&gt;=MAX($A63,Settings!$F$54),IF(Settings!$E$54="",$B63,DATE(YEAR($A63),MONTH($A63),MIN(Settings!$E$54,DAY($B63))))&lt;=MIN($C63,IF(Settings!$G$54="",$C63,Settings!$G$54))),1,0)))</f>
        <v/>
      </c>
      <c r="BO63">
        <f>IF(OR(Settings!$C$55="",Settings!$D$55=""),0,Settings!$C$55*IF(Settings!$D$55="Weekly",IF(IFERROR(MATCH(Settings!$E$55,$EO$4:$EO$10,0),0)=0,0,IF(MIN($C63,IF(Settings!$G$55="",$C63,Settings!$G$55))&lt;MAX($A63,Settings!$F$55),0,INT((MIN($C63,IF(Settings!$G$55="",$C63,Settings!$G$55))-MAX($A63,Settings!$F$55)-MOD(IFERROR(MATCH(Settings!$E$55,$EO$4:$EO$10,0),0)-WEEKDAY(MAX($A63,Settings!$F$55)),7))/7)+1)),IF(AND(IF(Settings!$E$55="",$B63,DATE(YEAR($A63),MONTH($A63),MIN(Settings!$E$55,DAY($B63))))&gt;=MAX($A63,Settings!$F$55),IF(Settings!$E$55="",$B63,DATE(YEAR($A63),MONTH($A63),MIN(Settings!$E$55,DAY($B63))))&lt;=MIN($C63,IF(Settings!$G$55="",$C63,Settings!$G$55))),1,0)))</f>
        <v/>
      </c>
      <c r="BP63">
        <f>IF(OR(Settings!$C$56="",Settings!$D$56=""),0,Settings!$C$56*IF(Settings!$D$56="Weekly",IF(IFERROR(MATCH(Settings!$E$56,$EO$4:$EO$10,0),0)=0,0,IF(MIN($C63,IF(Settings!$G$56="",$C63,Settings!$G$56))&lt;MAX($A63,Settings!$F$56),0,INT((MIN($C63,IF(Settings!$G$56="",$C63,Settings!$G$56))-MAX($A63,Settings!$F$56)-MOD(IFERROR(MATCH(Settings!$E$56,$EO$4:$EO$10,0),0)-WEEKDAY(MAX($A63,Settings!$F$56)),7))/7)+1)),IF(AND(IF(Settings!$E$56="",$B63,DATE(YEAR($A63),MONTH($A63),MIN(Settings!$E$56,DAY($B63))))&gt;=MAX($A63,Settings!$F$56),IF(Settings!$E$56="",$B63,DATE(YEAR($A63),MONTH($A63),MIN(Settings!$E$56,DAY($B63))))&lt;=MIN($C63,IF(Settings!$G$56="",$C63,Settings!$G$56))),1,0)))</f>
        <v/>
      </c>
      <c r="BQ63">
        <f>IF(OR(Settings!$B$14="",$D63=1,$E63="pre",$A63&lt;IF(Settings!$B$15="",0,Settings!$B$15)),0,Settings!$B$14)</f>
        <v/>
      </c>
      <c r="BR63">
        <f>IF(AND('Month-End'!$BH$7&lt;&gt;"",NOT(_xlfn.ISFORMULA('Month-End'!$BH$7))),1,0)</f>
        <v/>
      </c>
      <c r="BS63">
        <f>IF(AND('Month-End'!$BH$8&lt;&gt;"",NOT(_xlfn.ISFORMULA('Month-End'!$BH$8))),1,0)</f>
        <v/>
      </c>
      <c r="BT63">
        <f>IF(AND('Month-End'!$BH$9&lt;&gt;"",NOT(_xlfn.ISFORMULA('Month-End'!$BH$9))),1,0)</f>
        <v/>
      </c>
      <c r="BU63">
        <f>IF(AND('Month-End'!$BH$10&lt;&gt;"",NOT(_xlfn.ISFORMULA('Month-End'!$BH$10))),1,0)</f>
        <v/>
      </c>
      <c r="BV63">
        <f>IF(AND('Month-End'!$BH$11&lt;&gt;"",NOT(_xlfn.ISFORMULA('Month-End'!$BH$11))),1,0)</f>
        <v/>
      </c>
      <c r="BW63">
        <f>IF(AND('Month-End'!$BH$12&lt;&gt;"",NOT(_xlfn.ISFORMULA('Month-End'!$BH$12))),1,0)</f>
        <v/>
      </c>
      <c r="BX63">
        <f>IF(AND('Month-End'!$BH$13&lt;&gt;"",NOT(_xlfn.ISFORMULA('Month-End'!$BH$13))),1,0)</f>
        <v/>
      </c>
      <c r="BY63">
        <f>IF(AND('Month-End'!$BH$14&lt;&gt;"",NOT(_xlfn.ISFORMULA('Month-End'!$BH$14))),1,0)</f>
        <v/>
      </c>
      <c r="BZ63">
        <f>IF(AND('Month-End'!$BH$15&lt;&gt;"",NOT(_xlfn.ISFORMULA('Month-End'!$BH$15))),1,0)</f>
        <v/>
      </c>
      <c r="CA63">
        <f>IF(AND('Month-End'!$BH$16&lt;&gt;"",NOT(_xlfn.ISFORMULA('Month-End'!$BH$16))),1,0)</f>
        <v/>
      </c>
      <c r="CB63">
        <f>IF(AND('Month-End'!$BH$17&lt;&gt;"",NOT(_xlfn.ISFORMULA('Month-End'!$BH$17))),1,0)</f>
        <v/>
      </c>
      <c r="CC63">
        <f>IF(AND('Month-End'!$BH$18&lt;&gt;"",NOT(_xlfn.ISFORMULA('Month-End'!$BH$18))),1,0)</f>
        <v/>
      </c>
      <c r="CD63">
        <f>IF(AND('Month-End'!$BH$19&lt;&gt;"",NOT(_xlfn.ISFORMULA('Month-End'!$BH$19))),1,0)</f>
        <v/>
      </c>
      <c r="CE63">
        <f>IF(AND('Month-End'!$BH$20&lt;&gt;"",NOT(_xlfn.ISFORMULA('Month-End'!$BH$20))),1,0)</f>
        <v/>
      </c>
      <c r="CF63">
        <f>IF(AND('Month-End'!$BH$38&lt;&gt;"",NOT(_xlfn.ISFORMULA('Month-End'!$BH$38))),1,0)</f>
        <v/>
      </c>
      <c r="CG63">
        <f>IF(AND('Month-End'!$BH$39&lt;&gt;"",NOT(_xlfn.ISFORMULA('Month-End'!$BH$39))),1,0)</f>
        <v/>
      </c>
      <c r="CH63">
        <f>IF(AND('Month-End'!$BH$40&lt;&gt;"",NOT(_xlfn.ISFORMULA('Month-End'!$BH$40))),1,0)</f>
        <v/>
      </c>
      <c r="CI63">
        <f>IF(AND('Month-End'!$BH$41&lt;&gt;"",NOT(_xlfn.ISFORMULA('Month-End'!$BH$41))),1,0)</f>
        <v/>
      </c>
      <c r="CJ63">
        <f>IF(AND('Month-End'!$BH$42&lt;&gt;"",NOT(_xlfn.ISFORMULA('Month-End'!$BH$42))),1,0)</f>
        <v/>
      </c>
      <c r="CK63">
        <f>IF(AND('Month-End'!$BH$43&lt;&gt;"",NOT(_xlfn.ISFORMULA('Month-End'!$BH$43))),1,0)</f>
        <v/>
      </c>
      <c r="CL63">
        <f>SUM($CM63:$CZ63)</f>
        <v/>
      </c>
      <c r="CM63">
        <f>IF(AND($E63&lt;&gt;"pre",AND(Settings!$A$19&lt;&gt;"",Settings!$E$19&lt;&gt;"No"),Settings!$F$19="Yes",NOT(AND('Month-End'!$BH$7&lt;&gt;"",NOT(_xlfn.ISFORMULA('Month-End'!$BH$7))))),1,0)</f>
        <v/>
      </c>
      <c r="CN63">
        <f>IF(AND($E63&lt;&gt;"pre",AND(Settings!$A$20&lt;&gt;"",Settings!$E$20&lt;&gt;"No"),Settings!$F$20="Yes",NOT(AND('Month-End'!$BH$8&lt;&gt;"",NOT(_xlfn.ISFORMULA('Month-End'!$BH$8))))),1,0)</f>
        <v/>
      </c>
      <c r="CO63">
        <f>IF(AND($E63&lt;&gt;"pre",AND(Settings!$A$21&lt;&gt;"",Settings!$E$21&lt;&gt;"No"),Settings!$F$21="Yes",NOT(AND('Month-End'!$BH$9&lt;&gt;"",NOT(_xlfn.ISFORMULA('Month-End'!$BH$9))))),1,0)</f>
        <v/>
      </c>
      <c r="CP63">
        <f>IF(AND($E63&lt;&gt;"pre",AND(Settings!$A$22&lt;&gt;"",Settings!$E$22&lt;&gt;"No"),Settings!$F$22="Yes",NOT(AND('Month-End'!$BH$10&lt;&gt;"",NOT(_xlfn.ISFORMULA('Month-End'!$BH$10))))),1,0)</f>
        <v/>
      </c>
      <c r="CQ63">
        <f>IF(AND($E63&lt;&gt;"pre",AND(Settings!$A$23&lt;&gt;"",Settings!$E$23&lt;&gt;"No"),Settings!$F$23="Yes",NOT(AND('Month-End'!$BH$11&lt;&gt;"",NOT(_xlfn.ISFORMULA('Month-End'!$BH$11))))),1,0)</f>
        <v/>
      </c>
      <c r="CR63">
        <f>IF(AND($E63&lt;&gt;"pre",AND(Settings!$A$24&lt;&gt;"",Settings!$E$24&lt;&gt;"No"),Settings!$F$24="Yes",NOT(AND('Month-End'!$BH$12&lt;&gt;"",NOT(_xlfn.ISFORMULA('Month-End'!$BH$12))))),1,0)</f>
        <v/>
      </c>
      <c r="CS63">
        <f>IF(AND($E63&lt;&gt;"pre",AND(Settings!$A$25&lt;&gt;"",Settings!$E$25&lt;&gt;"No"),Settings!$F$25="Yes",NOT(AND('Month-End'!$BH$13&lt;&gt;"",NOT(_xlfn.ISFORMULA('Month-End'!$BH$13))))),1,0)</f>
        <v/>
      </c>
      <c r="CT63">
        <f>IF(AND($E63&lt;&gt;"pre",AND(Settings!$A$26&lt;&gt;"",Settings!$E$26&lt;&gt;"No"),Settings!$F$26="Yes",NOT(AND('Month-End'!$BH$14&lt;&gt;"",NOT(_xlfn.ISFORMULA('Month-End'!$BH$14))))),1,0)</f>
        <v/>
      </c>
      <c r="CU63">
        <f>IF(AND($E63&lt;&gt;"pre",AND(Settings!$A$27&lt;&gt;"",Settings!$E$27&lt;&gt;"No"),Settings!$F$27="Yes",NOT(AND('Month-End'!$BH$15&lt;&gt;"",NOT(_xlfn.ISFORMULA('Month-End'!$BH$15))))),1,0)</f>
        <v/>
      </c>
      <c r="CV63">
        <f>IF(AND($E63&lt;&gt;"pre",AND(Settings!$A$28&lt;&gt;"",Settings!$E$28&lt;&gt;"No"),Settings!$F$28="Yes",NOT(AND('Month-End'!$BH$16&lt;&gt;"",NOT(_xlfn.ISFORMULA('Month-End'!$BH$16))))),1,0)</f>
        <v/>
      </c>
      <c r="CW63">
        <f>IF(AND($E63&lt;&gt;"pre",AND(Settings!$A$29&lt;&gt;"",Settings!$E$29&lt;&gt;"No"),Settings!$F$29="Yes",NOT(AND('Month-End'!$BH$17&lt;&gt;"",NOT(_xlfn.ISFORMULA('Month-End'!$BH$17))))),1,0)</f>
        <v/>
      </c>
      <c r="CX63">
        <f>IF(AND($E63&lt;&gt;"pre",AND(Settings!$A$30&lt;&gt;"",Settings!$E$30&lt;&gt;"No"),Settings!$F$30="Yes",NOT(AND('Month-End'!$BH$18&lt;&gt;"",NOT(_xlfn.ISFORMULA('Month-End'!$BH$18))))),1,0)</f>
        <v/>
      </c>
      <c r="CY63">
        <f>IF(AND($E63&lt;&gt;"pre",AND(Settings!$A$31&lt;&gt;"",Settings!$E$31&lt;&gt;"No"),Settings!$F$31="Yes",NOT(AND('Month-End'!$BH$19&lt;&gt;"",NOT(_xlfn.ISFORMULA('Month-End'!$BH$19))))),1,0)</f>
        <v/>
      </c>
      <c r="CZ63">
        <f>IF(AND($E63&lt;&gt;"pre",AND(Settings!$A$32&lt;&gt;"",Settings!$E$32&lt;&gt;"No"),Settings!$F$32="Yes",NOT(AND('Month-End'!$BH$20&lt;&gt;"",NOT(_xlfn.ISFORMULA('Month-End'!$BH$20))))),1,0)</f>
        <v/>
      </c>
      <c r="DA63">
        <f>IF($DT63=1,IF(OR(Settings!$B$19="Checking",Settings!$B$19="Savings",Settings!$B$19="Cash"),N($AE63),IF(OR(Settings!$B$19="Card",Settings!$B$19="Loan"),-N($AE63),0))+IF(OR(Settings!$B$20="Checking",Settings!$B$20="Savings",Settings!$B$20="Cash"),N($AF63),IF(OR(Settings!$B$20="Card",Settings!$B$20="Loan"),-N($AF63),0))+IF(OR(Settings!$B$21="Checking",Settings!$B$21="Savings",Settings!$B$21="Cash"),N($AG63),IF(OR(Settings!$B$21="Card",Settings!$B$21="Loan"),-N($AG63),0))+IF(OR(Settings!$B$22="Checking",Settings!$B$22="Savings",Settings!$B$22="Cash"),N($AH63),IF(OR(Settings!$B$22="Card",Settings!$B$22="Loan"),-N($AH63),0))+IF(OR(Settings!$B$23="Checking",Settings!$B$23="Savings",Settings!$B$23="Cash"),N($AI63),IF(OR(Settings!$B$23="Card",Settings!$B$23="Loan"),-N($AI63),0))+IF(OR(Settings!$B$24="Checking",Settings!$B$24="Savings",Settings!$B$24="Cash"),N($AJ63),IF(OR(Settings!$B$24="Card",Settings!$B$24="Loan"),-N($AJ63),0))+IF(OR(Settings!$B$25="Checking",Settings!$B$25="Savings",Settings!$B$25="Cash"),N($AK63),IF(OR(Settings!$B$25="Card",Settings!$B$25="Loan"),-N($AK63),0))+IF(OR(Settings!$B$26="Checking",Settings!$B$26="Savings",Settings!$B$26="Cash"),N($AL63),IF(OR(Settings!$B$26="Card",Settings!$B$26="Loan"),-N($AL63),0))+IF(OR(Settings!$B$27="Checking",Settings!$B$27="Savings",Settings!$B$27="Cash"),N($AM63),IF(OR(Settings!$B$27="Card",Settings!$B$27="Loan"),-N($AM63),0))+IF(OR(Settings!$B$28="Checking",Settings!$B$28="Savings",Settings!$B$28="Cash"),N($AN63),IF(OR(Settings!$B$28="Card",Settings!$B$28="Loan"),-N($AN63),0))+IF(OR(Settings!$B$29="Checking",Settings!$B$29="Savings",Settings!$B$29="Cash"),N($AO63),IF(OR(Settings!$B$29="Card",Settings!$B$29="Loan"),-N($AO63),0))+IF(OR(Settings!$B$30="Checking",Settings!$B$30="Savings",Settings!$B$30="Cash"),N($AP63),IF(OR(Settings!$B$30="Card",Settings!$B$30="Loan"),-N($AP63),0))+IF(OR(Settings!$B$31="Checking",Settings!$B$31="Savings",Settings!$B$31="Cash"),N($AQ63),IF(OR(Settings!$B$31="Card",Settings!$B$31="Loan"),-N($AQ63),0))+IF(OR(Settings!$B$32="Checking",Settings!$B$32="Savings",Settings!$B$32="Cash"),N($AR63),IF(OR(Settings!$B$32="Card",Settings!$B$32="Loan"),-N($AR63),0)),"")</f>
        <v/>
      </c>
      <c r="DB63">
        <f>IF($E63="open",$EB$27,IF($E63="post",IF($E62="pre",$EB$27,$DA62),""))</f>
        <v/>
      </c>
      <c r="DC63">
        <f>IF($E63="open",1,IF($E63="post",IF($E62="pre",1,$DT62),0))</f>
        <v/>
      </c>
      <c r="DD63">
        <f>IF(AND($DT63=1,$DC63=1),ROUND($W63-($DA63-$DB63)-$AD63-$AB63,2),"")</f>
        <v/>
      </c>
      <c r="DE63">
        <f>IF('Month-End'!$BH$35="",$BQ63,N('Month-End'!$BH$35))</f>
        <v/>
      </c>
      <c r="DF63">
        <f>N('Month-End'!$BH$36)</f>
        <v/>
      </c>
      <c r="DG63">
        <f>IF($DD63="","",$DD63+$DE63)</f>
        <v/>
      </c>
      <c r="DH63">
        <f>IF($DG63="","",$DG63-$DF63)</f>
        <v/>
      </c>
      <c r="DI63">
        <f>IF(OR($E63="pre",$D63=1),"",N($AS63)+N($AT63)+N($AU63)+N($AV63)+N($AW63)+N($AX63))</f>
        <v/>
      </c>
      <c r="DJ63">
        <f>IF($DT63=1,$DA63+N($DI63),"")</f>
        <v/>
      </c>
      <c r="DK63">
        <f>IF($DD63="","",$W63-$DD63-$AB63)</f>
        <v/>
      </c>
      <c r="DL63">
        <f>IF(AND($E63="post",$DD63&lt;&gt;"",$B63&lt;TODAY()),1,0)</f>
        <v/>
      </c>
      <c r="DM63">
        <f>IF($DL63=1,COUNTIF($DL63:$DL$183,1),0)</f>
        <v/>
      </c>
      <c r="DN63">
        <f>IF($D63=1,"",IF($E63="pre","History only",IF($DT63=1,IF($DD63="","⚠ Previous month missing",IF($DD63&lt;0,"⚠ Check: spending &lt; 0",IF($E63="open","✓ Done (partial)","✓ Done"))),IF($B63&gt;=TODAY(),"In progress","⚠ Needs balances"))))</f>
        <v/>
      </c>
      <c r="DO63">
        <f>YEAR($A63)</f>
        <v/>
      </c>
      <c r="DP63">
        <f>DATE(YEAR($A63),INT((MONTH($A63)-1)/3)*3+1,1)</f>
        <v/>
      </c>
      <c r="DQ63">
        <f>IF(AND($DT63=1,$DD63&lt;&gt;"",$D63=0),ROW(),0)</f>
        <v/>
      </c>
      <c r="DR63">
        <f>IF(AND($E63&lt;&gt;"pre",$B63&lt;TODAY(),$DT63=0),1,0)</f>
        <v/>
      </c>
      <c r="DS63">
        <f>IF($DJ63="",NA(),$DJ63)</f>
        <v/>
      </c>
      <c r="DT63">
        <f>IF(AND($E63&lt;&gt;"pre",$CL63=0,COUNTIFS(Settings!$F$19:$F$32,"Yes",Settings!$A$19:$A$32,"&lt;&gt;",Settings!$E$19:$E$32,"&lt;&gt;No")&gt;0),1,0)</f>
        <v/>
      </c>
      <c r="DU63">
        <f>IF(AND($B63&lt;TODAY(),$S63&gt;0),1,0)</f>
        <v/>
      </c>
      <c r="DV63">
        <f>IF($DU63=1,COUNTIF($DU63:$DU$183,1),0)</f>
        <v/>
      </c>
      <c r="DW63">
        <f>IF(AND(OR(Settings!$B$19="Card",Settings!$B$19="Loan"),AND('Month-End'!$BH$7&lt;&gt;"",NOT(_xlfn.ISFORMULA('Month-End'!$BH$7)))),IF(N('Month-End'!$BH$7)&lt;0,1,0),0)+IF(AND(OR(Settings!$B$20="Card",Settings!$B$20="Loan"),AND('Month-End'!$BH$8&lt;&gt;"",NOT(_xlfn.ISFORMULA('Month-End'!$BH$8)))),IF(N('Month-End'!$BH$8)&lt;0,1,0),0)+IF(AND(OR(Settings!$B$21="Card",Settings!$B$21="Loan"),AND('Month-End'!$BH$9&lt;&gt;"",NOT(_xlfn.ISFORMULA('Month-End'!$BH$9)))),IF(N('Month-End'!$BH$9)&lt;0,1,0),0)+IF(AND(OR(Settings!$B$22="Card",Settings!$B$22="Loan"),AND('Month-End'!$BH$10&lt;&gt;"",NOT(_xlfn.ISFORMULA('Month-End'!$BH$10)))),IF(N('Month-End'!$BH$10)&lt;0,1,0),0)+IF(AND(OR(Settings!$B$23="Card",Settings!$B$23="Loan"),AND('Month-End'!$BH$11&lt;&gt;"",NOT(_xlfn.ISFORMULA('Month-End'!$BH$11)))),IF(N('Month-End'!$BH$11)&lt;0,1,0),0)+IF(AND(OR(Settings!$B$24="Card",Settings!$B$24="Loan"),AND('Month-End'!$BH$12&lt;&gt;"",NOT(_xlfn.ISFORMULA('Month-End'!$BH$12)))),IF(N('Month-End'!$BH$12)&lt;0,1,0),0)+IF(AND(OR(Settings!$B$25="Card",Settings!$B$25="Loan"),AND('Month-End'!$BH$13&lt;&gt;"",NOT(_xlfn.ISFORMULA('Month-End'!$BH$13)))),IF(N('Month-End'!$BH$13)&lt;0,1,0),0)+IF(AND(OR(Settings!$B$26="Card",Settings!$B$26="Loan"),AND('Month-End'!$BH$14&lt;&gt;"",NOT(_xlfn.ISFORMULA('Month-End'!$BH$14)))),IF(N('Month-End'!$BH$14)&lt;0,1,0),0)+IF(AND(OR(Settings!$B$27="Card",Settings!$B$27="Loan"),AND('Month-End'!$BH$15&lt;&gt;"",NOT(_xlfn.ISFORMULA('Month-End'!$BH$15)))),IF(N('Month-End'!$BH$15)&lt;0,1,0),0)+IF(AND(OR(Settings!$B$28="Card",Settings!$B$28="Loan"),AND('Month-End'!$BH$16&lt;&gt;"",NOT(_xlfn.ISFORMULA('Month-End'!$BH$16)))),IF(N('Month-End'!$BH$16)&lt;0,1,0),0)+IF(AND(OR(Settings!$B$29="Card",Settings!$B$29="Loan"),AND('Month-End'!$BH$17&lt;&gt;"",NOT(_xlfn.ISFORMULA('Month-End'!$BH$17)))),IF(N('Month-End'!$BH$17)&lt;0,1,0),0)+IF(AND(OR(Settings!$B$30="Card",Settings!$B$30="Loan"),AND('Month-End'!$BH$18&lt;&gt;"",NOT(_xlfn.ISFORMULA('Month-End'!$BH$18)))),IF(N('Month-End'!$BH$18)&lt;0,1,0),0)+IF(AND(OR(Settings!$B$31="Card",Settings!$B$31="Loan"),AND('Month-End'!$BH$19&lt;&gt;"",NOT(_xlfn.ISFORMULA('Month-End'!$BH$19)))),IF(N('Month-End'!$BH$19)&lt;0,1,0),0)+IF(AND(OR(Settings!$B$32="Card",Settings!$B$32="Loan"),AND('Month-End'!$BH$20&lt;&gt;"",NOT(_xlfn.ISFORMULA('Month-End'!$BH$20)))),IF(N('Month-End'!$BH$20)&lt;0,1,0),0)</f>
        <v/>
      </c>
      <c r="DX63">
        <f>IF(Settings!$B$36="Retirement",$AY63,0)+IF(Settings!$B$37="Retirement",$AZ63,0)+IF(Settings!$B$38="Retirement",$BA63,0)+IF(Settings!$B$39="Retirement",$BB63,0)+IF(Settings!$B$40="Retirement",$BC63,0)+IF(Settings!$B$41="Retirement",$BD63,0)</f>
        <v/>
      </c>
      <c r="EA63" t="inlineStr">
        <is>
          <t>…of Which No Tax Withheld</t>
        </is>
      </c>
      <c r="EB63">
        <f>SUMIFS($FG$6:$FG$183,$DO$6:$DO$183,YEAR(TODAY()))</f>
        <v/>
      </c>
      <c r="ET63">
        <f>IF($E63&lt;&gt;"open",0,IF(AND('Month-End'!$BH$22&lt;&gt;"",NOT(_xlfn.ISFORMULA('Month-End'!$BH$22))),0,IF(OR(Settings!$C$45="",Settings!$D$45=""),0,Settings!$C$45*IF(Settings!$D$45="Weekly",IF(IFERROR(MATCH(Settings!$E$45,$EO$4:$EO$10,0),0)=0,0,IF(MIN(Settings!$B$5,IF(Settings!$G$45="",Settings!$B$5,Settings!$G$45))&lt;MAX($A63,Settings!$F$45),0,INT((MIN(Settings!$B$5,IF(Settings!$G$45="",Settings!$B$5,Settings!$G$45))-MAX($A63,Settings!$F$45)-MOD(IFERROR(MATCH(Settings!$E$45,$EO$4:$EO$10,0),0)-WEEKDAY(MAX($A63,Settings!$F$45)),7))/7)+1)),IF(AND(IF(Settings!$E$45="",$B63,DATE(YEAR($A63),MONTH($A63),MIN(Settings!$E$45,DAY($B63))))&gt;=MAX($A63,Settings!$F$45),IF(Settings!$E$45="",$B63,DATE(YEAR($A63),MONTH($A63),MIN(Settings!$E$45,DAY($B63))))&lt;=MIN(Settings!$B$5,IF(Settings!$G$45="",Settings!$B$5,Settings!$G$45))),1,0)))))</f>
        <v/>
      </c>
      <c r="EU63">
        <f>IF($E63&lt;&gt;"open",0,IF(AND('Month-End'!$BH$23&lt;&gt;"",NOT(_xlfn.ISFORMULA('Month-End'!$BH$23))),0,IF(OR(Settings!$C$46="",Settings!$D$46=""),0,Settings!$C$46*IF(Settings!$D$46="Weekly",IF(IFERROR(MATCH(Settings!$E$46,$EO$4:$EO$10,0),0)=0,0,IF(MIN(Settings!$B$5,IF(Settings!$G$46="",Settings!$B$5,Settings!$G$46))&lt;MAX($A63,Settings!$F$46),0,INT((MIN(Settings!$B$5,IF(Settings!$G$46="",Settings!$B$5,Settings!$G$46))-MAX($A63,Settings!$F$46)-MOD(IFERROR(MATCH(Settings!$E$46,$EO$4:$EO$10,0),0)-WEEKDAY(MAX($A63,Settings!$F$46)),7))/7)+1)),IF(AND(IF(Settings!$E$46="",$B63,DATE(YEAR($A63),MONTH($A63),MIN(Settings!$E$46,DAY($B63))))&gt;=MAX($A63,Settings!$F$46),IF(Settings!$E$46="",$B63,DATE(YEAR($A63),MONTH($A63),MIN(Settings!$E$46,DAY($B63))))&lt;=MIN(Settings!$B$5,IF(Settings!$G$46="",Settings!$B$5,Settings!$G$46))),1,0)))))</f>
        <v/>
      </c>
      <c r="EV63">
        <f>IF($E63&lt;&gt;"open",0,IF(AND('Month-End'!$BH$24&lt;&gt;"",NOT(_xlfn.ISFORMULA('Month-End'!$BH$24))),0,IF(OR(Settings!$C$47="",Settings!$D$47=""),0,Settings!$C$47*IF(Settings!$D$47="Weekly",IF(IFERROR(MATCH(Settings!$E$47,$EO$4:$EO$10,0),0)=0,0,IF(MIN(Settings!$B$5,IF(Settings!$G$47="",Settings!$B$5,Settings!$G$47))&lt;MAX($A63,Settings!$F$47),0,INT((MIN(Settings!$B$5,IF(Settings!$G$47="",Settings!$B$5,Settings!$G$47))-MAX($A63,Settings!$F$47)-MOD(IFERROR(MATCH(Settings!$E$47,$EO$4:$EO$10,0),0)-WEEKDAY(MAX($A63,Settings!$F$47)),7))/7)+1)),IF(AND(IF(Settings!$E$47="",$B63,DATE(YEAR($A63),MONTH($A63),MIN(Settings!$E$47,DAY($B63))))&gt;=MAX($A63,Settings!$F$47),IF(Settings!$E$47="",$B63,DATE(YEAR($A63),MONTH($A63),MIN(Settings!$E$47,DAY($B63))))&lt;=MIN(Settings!$B$5,IF(Settings!$G$47="",Settings!$B$5,Settings!$G$47))),1,0)))))</f>
        <v/>
      </c>
      <c r="EW63">
        <f>IF($E63&lt;&gt;"open",0,IF(AND('Month-End'!$BH$25&lt;&gt;"",NOT(_xlfn.ISFORMULA('Month-End'!$BH$25))),0,IF(OR(Settings!$C$48="",Settings!$D$48=""),0,Settings!$C$48*IF(Settings!$D$48="Weekly",IF(IFERROR(MATCH(Settings!$E$48,$EO$4:$EO$10,0),0)=0,0,IF(MIN(Settings!$B$5,IF(Settings!$G$48="",Settings!$B$5,Settings!$G$48))&lt;MAX($A63,Settings!$F$48),0,INT((MIN(Settings!$B$5,IF(Settings!$G$48="",Settings!$B$5,Settings!$G$48))-MAX($A63,Settings!$F$48)-MOD(IFERROR(MATCH(Settings!$E$48,$EO$4:$EO$10,0),0)-WEEKDAY(MAX($A63,Settings!$F$48)),7))/7)+1)),IF(AND(IF(Settings!$E$48="",$B63,DATE(YEAR($A63),MONTH($A63),MIN(Settings!$E$48,DAY($B63))))&gt;=MAX($A63,Settings!$F$48),IF(Settings!$E$48="",$B63,DATE(YEAR($A63),MONTH($A63),MIN(Settings!$E$48,DAY($B63))))&lt;=MIN(Settings!$B$5,IF(Settings!$G$48="",Settings!$B$5,Settings!$G$48))),1,0)))))</f>
        <v/>
      </c>
      <c r="EX63">
        <f>IF($E63&lt;&gt;"open",0,IF(AND('Month-End'!$BH$26&lt;&gt;"",NOT(_xlfn.ISFORMULA('Month-End'!$BH$26))),0,IF(OR(Settings!$C$49="",Settings!$D$49=""),0,Settings!$C$49*IF(Settings!$D$49="Weekly",IF(IFERROR(MATCH(Settings!$E$49,$EO$4:$EO$10,0),0)=0,0,IF(MIN(Settings!$B$5,IF(Settings!$G$49="",Settings!$B$5,Settings!$G$49))&lt;MAX($A63,Settings!$F$49),0,INT((MIN(Settings!$B$5,IF(Settings!$G$49="",Settings!$B$5,Settings!$G$49))-MAX($A63,Settings!$F$49)-MOD(IFERROR(MATCH(Settings!$E$49,$EO$4:$EO$10,0),0)-WEEKDAY(MAX($A63,Settings!$F$49)),7))/7)+1)),IF(AND(IF(Settings!$E$49="",$B63,DATE(YEAR($A63),MONTH($A63),MIN(Settings!$E$49,DAY($B63))))&gt;=MAX($A63,Settings!$F$49),IF(Settings!$E$49="",$B63,DATE(YEAR($A63),MONTH($A63),MIN(Settings!$E$49,DAY($B63))))&lt;=MIN(Settings!$B$5,IF(Settings!$G$49="",Settings!$B$5,Settings!$G$49))),1,0)))))</f>
        <v/>
      </c>
      <c r="EY63">
        <f>IF($E63&lt;&gt;"open",0,IF(AND('Month-End'!$BH$27&lt;&gt;"",NOT(_xlfn.ISFORMULA('Month-End'!$BH$27))),0,IF(OR(Settings!$C$50="",Settings!$D$50=""),0,Settings!$C$50*IF(Settings!$D$50="Weekly",IF(IFERROR(MATCH(Settings!$E$50,$EO$4:$EO$10,0),0)=0,0,IF(MIN(Settings!$B$5,IF(Settings!$G$50="",Settings!$B$5,Settings!$G$50))&lt;MAX($A63,Settings!$F$50),0,INT((MIN(Settings!$B$5,IF(Settings!$G$50="",Settings!$B$5,Settings!$G$50))-MAX($A63,Settings!$F$50)-MOD(IFERROR(MATCH(Settings!$E$50,$EO$4:$EO$10,0),0)-WEEKDAY(MAX($A63,Settings!$F$50)),7))/7)+1)),IF(AND(IF(Settings!$E$50="",$B63,DATE(YEAR($A63),MONTH($A63),MIN(Settings!$E$50,DAY($B63))))&gt;=MAX($A63,Settings!$F$50),IF(Settings!$E$50="",$B63,DATE(YEAR($A63),MONTH($A63),MIN(Settings!$E$50,DAY($B63))))&lt;=MIN(Settings!$B$5,IF(Settings!$G$50="",Settings!$B$5,Settings!$G$50))),1,0)))))</f>
        <v/>
      </c>
      <c r="EZ63">
        <f>IF($E63&lt;&gt;"open",0,IF(AND('Month-End'!$BH$28&lt;&gt;"",NOT(_xlfn.ISFORMULA('Month-End'!$BH$28))),0,IF(OR(Settings!$C$51="",Settings!$D$51=""),0,Settings!$C$51*IF(Settings!$D$51="Weekly",IF(IFERROR(MATCH(Settings!$E$51,$EO$4:$EO$10,0),0)=0,0,IF(MIN(Settings!$B$5,IF(Settings!$G$51="",Settings!$B$5,Settings!$G$51))&lt;MAX($A63,Settings!$F$51),0,INT((MIN(Settings!$B$5,IF(Settings!$G$51="",Settings!$B$5,Settings!$G$51))-MAX($A63,Settings!$F$51)-MOD(IFERROR(MATCH(Settings!$E$51,$EO$4:$EO$10,0),0)-WEEKDAY(MAX($A63,Settings!$F$51)),7))/7)+1)),IF(AND(IF(Settings!$E$51="",$B63,DATE(YEAR($A63),MONTH($A63),MIN(Settings!$E$51,DAY($B63))))&gt;=MAX($A63,Settings!$F$51),IF(Settings!$E$51="",$B63,DATE(YEAR($A63),MONTH($A63),MIN(Settings!$E$51,DAY($B63))))&lt;=MIN(Settings!$B$5,IF(Settings!$G$51="",Settings!$B$5,Settings!$G$51))),1,0)))))</f>
        <v/>
      </c>
      <c r="FA63">
        <f>IF($E63&lt;&gt;"open",0,IF(AND('Month-End'!$BH$29&lt;&gt;"",NOT(_xlfn.ISFORMULA('Month-End'!$BH$29))),0,IF(OR(Settings!$C$52="",Settings!$D$52=""),0,Settings!$C$52*IF(Settings!$D$52="Weekly",IF(IFERROR(MATCH(Settings!$E$52,$EO$4:$EO$10,0),0)=0,0,IF(MIN(Settings!$B$5,IF(Settings!$G$52="",Settings!$B$5,Settings!$G$52))&lt;MAX($A63,Settings!$F$52),0,INT((MIN(Settings!$B$5,IF(Settings!$G$52="",Settings!$B$5,Settings!$G$52))-MAX($A63,Settings!$F$52)-MOD(IFERROR(MATCH(Settings!$E$52,$EO$4:$EO$10,0),0)-WEEKDAY(MAX($A63,Settings!$F$52)),7))/7)+1)),IF(AND(IF(Settings!$E$52="",$B63,DATE(YEAR($A63),MONTH($A63),MIN(Settings!$E$52,DAY($B63))))&gt;=MAX($A63,Settings!$F$52),IF(Settings!$E$52="",$B63,DATE(YEAR($A63),MONTH($A63),MIN(Settings!$E$52,DAY($B63))))&lt;=MIN(Settings!$B$5,IF(Settings!$G$52="",Settings!$B$5,Settings!$G$52))),1,0)))))</f>
        <v/>
      </c>
      <c r="FB63">
        <f>IF($E63&lt;&gt;"open",0,IF(AND('Month-End'!$BH$30&lt;&gt;"",NOT(_xlfn.ISFORMULA('Month-End'!$BH$30))),0,IF(OR(Settings!$C$53="",Settings!$D$53=""),0,Settings!$C$53*IF(Settings!$D$53="Weekly",IF(IFERROR(MATCH(Settings!$E$53,$EO$4:$EO$10,0),0)=0,0,IF(MIN(Settings!$B$5,IF(Settings!$G$53="",Settings!$B$5,Settings!$G$53))&lt;MAX($A63,Settings!$F$53),0,INT((MIN(Settings!$B$5,IF(Settings!$G$53="",Settings!$B$5,Settings!$G$53))-MAX($A63,Settings!$F$53)-MOD(IFERROR(MATCH(Settings!$E$53,$EO$4:$EO$10,0),0)-WEEKDAY(MAX($A63,Settings!$F$53)),7))/7)+1)),IF(AND(IF(Settings!$E$53="",$B63,DATE(YEAR($A63),MONTH($A63),MIN(Settings!$E$53,DAY($B63))))&gt;=MAX($A63,Settings!$F$53),IF(Settings!$E$53="",$B63,DATE(YEAR($A63),MONTH($A63),MIN(Settings!$E$53,DAY($B63))))&lt;=MIN(Settings!$B$5,IF(Settings!$G$53="",Settings!$B$5,Settings!$G$53))),1,0)))))</f>
        <v/>
      </c>
      <c r="FC63">
        <f>IF($E63&lt;&gt;"open",0,IF(AND('Month-End'!$BH$31&lt;&gt;"",NOT(_xlfn.ISFORMULA('Month-End'!$BH$31))),0,IF(OR(Settings!$C$54="",Settings!$D$54=""),0,Settings!$C$54*IF(Settings!$D$54="Weekly",IF(IFERROR(MATCH(Settings!$E$54,$EO$4:$EO$10,0),0)=0,0,IF(MIN(Settings!$B$5,IF(Settings!$G$54="",Settings!$B$5,Settings!$G$54))&lt;MAX($A63,Settings!$F$54),0,INT((MIN(Settings!$B$5,IF(Settings!$G$54="",Settings!$B$5,Settings!$G$54))-MAX($A63,Settings!$F$54)-MOD(IFERROR(MATCH(Settings!$E$54,$EO$4:$EO$10,0),0)-WEEKDAY(MAX($A63,Settings!$F$54)),7))/7)+1)),IF(AND(IF(Settings!$E$54="",$B63,DATE(YEAR($A63),MONTH($A63),MIN(Settings!$E$54,DAY($B63))))&gt;=MAX($A63,Settings!$F$54),IF(Settings!$E$54="",$B63,DATE(YEAR($A63),MONTH($A63),MIN(Settings!$E$54,DAY($B63))))&lt;=MIN(Settings!$B$5,IF(Settings!$G$54="",Settings!$B$5,Settings!$G$54))),1,0)))))</f>
        <v/>
      </c>
      <c r="FD63">
        <f>IF($E63&lt;&gt;"open",0,IF(AND('Month-End'!$BH$32&lt;&gt;"",NOT(_xlfn.ISFORMULA('Month-End'!$BH$32))),0,IF(OR(Settings!$C$55="",Settings!$D$55=""),0,Settings!$C$55*IF(Settings!$D$55="Weekly",IF(IFERROR(MATCH(Settings!$E$55,$EO$4:$EO$10,0),0)=0,0,IF(MIN(Settings!$B$5,IF(Settings!$G$55="",Settings!$B$5,Settings!$G$55))&lt;MAX($A63,Settings!$F$55),0,INT((MIN(Settings!$B$5,IF(Settings!$G$55="",Settings!$B$5,Settings!$G$55))-MAX($A63,Settings!$F$55)-MOD(IFERROR(MATCH(Settings!$E$55,$EO$4:$EO$10,0),0)-WEEKDAY(MAX($A63,Settings!$F$55)),7))/7)+1)),IF(AND(IF(Settings!$E$55="",$B63,DATE(YEAR($A63),MONTH($A63),MIN(Settings!$E$55,DAY($B63))))&gt;=MAX($A63,Settings!$F$55),IF(Settings!$E$55="",$B63,DATE(YEAR($A63),MONTH($A63),MIN(Settings!$E$55,DAY($B63))))&lt;=MIN(Settings!$B$5,IF(Settings!$G$55="",Settings!$B$5,Settings!$G$55))),1,0)))))</f>
        <v/>
      </c>
      <c r="FE63">
        <f>IF($E63&lt;&gt;"open",0,IF(AND('Month-End'!$BH$33&lt;&gt;"",NOT(_xlfn.ISFORMULA('Month-End'!$BH$33))),0,IF(OR(Settings!$C$56="",Settings!$D$56=""),0,Settings!$C$56*IF(Settings!$D$56="Weekly",IF(IFERROR(MATCH(Settings!$E$56,$EO$4:$EO$10,0),0)=0,0,IF(MIN(Settings!$B$5,IF(Settings!$G$56="",Settings!$B$5,Settings!$G$56))&lt;MAX($A63,Settings!$F$56),0,INT((MIN(Settings!$B$5,IF(Settings!$G$56="",Settings!$B$5,Settings!$G$56))-MAX($A63,Settings!$F$56)-MOD(IFERROR(MATCH(Settings!$E$56,$EO$4:$EO$10,0),0)-WEEKDAY(MAX($A63,Settings!$F$56)),7))/7)+1)),IF(AND(IF(Settings!$E$56="",$B63,DATE(YEAR($A63),MONTH($A63),MIN(Settings!$E$56,DAY($B63))))&gt;=MAX($A63,Settings!$F$56),IF(Settings!$E$56="",$B63,DATE(YEAR($A63),MONTH($A63),MIN(Settings!$E$56,DAY($B63))))&lt;=MIN(Settings!$B$5,IF(Settings!$G$56="",Settings!$B$5,Settings!$G$56))),1,0)))))</f>
        <v/>
      </c>
      <c r="FF63">
        <f>IF(Settings!$I$45="Yes",$G63,0)+IF(Settings!$I$46="Yes",$H63,0)+IF(Settings!$I$47="Yes",$I63,0)+IF(Settings!$I$48="Yes",$J63,0)+IF(Settings!$I$49="Yes",$K63,0)+IF(Settings!$I$50="Yes",$L63,0)+IF(Settings!$I$51="Yes",$M63,0)+IF(Settings!$I$52="Yes",$N63,0)+IF(Settings!$I$53="Yes",$O63,0)+IF(Settings!$I$54="Yes",$P63,0)+IF(Settings!$I$55="Yes",$Q63,0)+IF(Settings!$I$56="Yes",$R63,0)</f>
        <v/>
      </c>
      <c r="FG63">
        <f>IF(AND(Settings!$I$45="Yes",Settings!$J$45="No"),$G63,0)+IF(AND(Settings!$I$46="Yes",Settings!$J$46="No"),$H63,0)+IF(AND(Settings!$I$47="Yes",Settings!$J$47="No"),$I63,0)+IF(AND(Settings!$I$48="Yes",Settings!$J$48="No"),$J63,0)+IF(AND(Settings!$I$49="Yes",Settings!$J$49="No"),$K63,0)+IF(AND(Settings!$I$50="Yes",Settings!$J$50="No"),$L63,0)+IF(AND(Settings!$I$51="Yes",Settings!$J$51="No"),$M63,0)+IF(AND(Settings!$I$52="Yes",Settings!$J$52="No"),$N63,0)+IF(AND(Settings!$I$53="Yes",Settings!$J$53="No"),$O63,0)+IF(AND(Settings!$I$54="Yes",Settings!$J$54="No"),$P63,0)+IF(AND(Settings!$I$55="Yes",Settings!$J$55="No"),$Q63,0)+IF(AND(Settings!$I$56="Yes",Settings!$J$56="No"),$R63,0)</f>
        <v/>
      </c>
      <c r="FH63">
        <f>SUMIFS(Giving!$B$7:$B$2006,Giving!$A$7:$A$2006,"&gt;="&amp;$A63,Giving!$A$7:$A$2006,"&lt;="&amp;$B63,Giving!$G$7:$G$2006,"Yes")+IF(OR(OR(Settings!$B$60="",Settings!$F$60="No"),Settings!$H$60&lt;&gt;"Yes"),0,Settings!$B$60*IF(AND(IF(Settings!$C$60="",$B63,DATE(YEAR($A63),MONTH($A63),MIN(Settings!$C$60,DAY($B63))))&gt;=MAX($A63,Settings!$D$60),IF(Settings!$C$60="",$B63,DATE(YEAR($A63),MONTH($A63),MIN(Settings!$C$60,DAY($B63))))&lt;=MIN($C63,IF(Settings!$E$60="",$C63,Settings!$E$60))),1,0))+IF(OR(OR(Settings!$B$61="",Settings!$F$61="No"),Settings!$H$61&lt;&gt;"Yes"),0,Settings!$B$61*IF(AND(IF(Settings!$C$61="",$B63,DATE(YEAR($A63),MONTH($A63),MIN(Settings!$C$61,DAY($B63))))&gt;=MAX($A63,Settings!$D$61),IF(Settings!$C$61="",$B63,DATE(YEAR($A63),MONTH($A63),MIN(Settings!$C$61,DAY($B63))))&lt;=MIN($C63,IF(Settings!$E$61="",$C63,Settings!$E$61))),1,0))+IF(OR(OR(Settings!$B$62="",Settings!$F$62="No"),Settings!$H$62&lt;&gt;"Yes"),0,Settings!$B$62*IF(AND(IF(Settings!$C$62="",$B63,DATE(YEAR($A63),MONTH($A63),MIN(Settings!$C$62,DAY($B63))))&gt;=MAX($A63,Settings!$D$62),IF(Settings!$C$62="",$B63,DATE(YEAR($A63),MONTH($A63),MIN(Settings!$C$62,DAY($B63))))&lt;=MIN($C63,IF(Settings!$E$62="",$C63,Settings!$E$62))),1,0))+IF(OR(OR(Settings!$B$63="",Settings!$F$63="No"),Settings!$H$63&lt;&gt;"Yes"),0,Settings!$B$63*IF(AND(IF(Settings!$C$63="",$B63,DATE(YEAR($A63),MONTH($A63),MIN(Settings!$C$63,DAY($B63))))&gt;=MAX($A63,Settings!$D$63),IF(Settings!$C$63="",$B63,DATE(YEAR($A63),MONTH($A63),MIN(Settings!$C$63,DAY($B63))))&lt;=MIN($C63,IF(Settings!$E$63="",$C63,Settings!$E$63))),1,0))+IF(OR(OR(Settings!$B$64="",Settings!$F$64="No"),Settings!$H$64&lt;&gt;"Yes"),0,Settings!$B$64*IF(AND(IF(Settings!$C$64="",$B63,DATE(YEAR($A63),MONTH($A63),MIN(Settings!$C$64,DAY($B63))))&gt;=MAX($A63,Settings!$D$64),IF(Settings!$C$64="",$B63,DATE(YEAR($A63),MONTH($A63),MIN(Settings!$C$64,DAY($B63))))&lt;=MIN($C63,IF(Settings!$E$64="",$C63,Settings!$E$64))),1,0))+IF(OR(OR(Settings!$B$65="",Settings!$F$65="No"),Settings!$H$65&lt;&gt;"Yes"),0,Settings!$B$65*IF(AND(IF(Settings!$C$65="",$B63,DATE(YEAR($A63),MONTH($A63),MIN(Settings!$C$65,DAY($B63))))&gt;=MAX($A63,Settings!$D$65),IF(Settings!$C$65="",$B63,DATE(YEAR($A63),MONTH($A63),MIN(Settings!$C$65,DAY($B63))))&lt;=MIN($C63,IF(Settings!$E$65="",$C63,Settings!$E$65))),1,0))</f>
        <v/>
      </c>
      <c r="FI63">
        <f>IF($DT63=1,IF(OR(Settings!$B$19="Card",Settings!$B$19="Loan"),N($AE63),0)+IF(OR(Settings!$B$20="Card",Settings!$B$20="Loan"),N($AF63),0)+IF(OR(Settings!$B$21="Card",Settings!$B$21="Loan"),N($AG63),0)+IF(OR(Settings!$B$22="Card",Settings!$B$22="Loan"),N($AH63),0)+IF(OR(Settings!$B$23="Card",Settings!$B$23="Loan"),N($AI63),0)+IF(OR(Settings!$B$24="Card",Settings!$B$24="Loan"),N($AJ63),0)+IF(OR(Settings!$B$25="Card",Settings!$B$25="Loan"),N($AK63),0)+IF(OR(Settings!$B$26="Card",Settings!$B$26="Loan"),N($AL63),0)+IF(OR(Settings!$B$27="Card",Settings!$B$27="Loan"),N($AM63),0)+IF(OR(Settings!$B$28="Card",Settings!$B$28="Loan"),N($AN63),0)+IF(OR(Settings!$B$29="Card",Settings!$B$29="Loan"),N($AO63),0)+IF(OR(Settings!$B$30="Card",Settings!$B$30="Loan"),N($AP63),0)+IF(OR(Settings!$B$31="Card",Settings!$B$31="Loan"),N($AQ63),0)+IF(OR(Settings!$B$32="Card",Settings!$B$32="Loan"),N($AR63),0),"")</f>
        <v/>
      </c>
      <c r="FJ63">
        <f>IF($E63="open",$EB$65,IF($E63="post",IF($E62="pre",$EB$65,$FI62),""))</f>
        <v/>
      </c>
      <c r="FK63">
        <f>IF(AND($DT63=1,$DC63=1),IF(ROUND($FI63-$FJ63,2)&gt;0,1,0),0)</f>
        <v/>
      </c>
      <c r="FL63">
        <f>IF($FK63=1,$FL62+1,0)</f>
        <v/>
      </c>
    </row>
    <row r="64">
      <c r="A64">
        <f>'Month-End'!$BI$4</f>
        <v/>
      </c>
      <c r="B64">
        <f>EOMONTH($A64,0)</f>
        <v/>
      </c>
      <c r="C64">
        <f>MIN($B64,TODAY())</f>
        <v/>
      </c>
      <c r="D64">
        <f>IF($A64&gt;TODAY(),1,0)</f>
        <v/>
      </c>
      <c r="E64">
        <f>IF($B64&lt;=Settings!$B$5,"pre",IF($A64&lt;=Settings!$B$5,"open","post"))</f>
        <v/>
      </c>
      <c r="G64">
        <f>IF('Month-End'!$BI$22="",$BE64,N('Month-End'!$BI$22))</f>
        <v/>
      </c>
      <c r="H64">
        <f>IF('Month-End'!$BI$23="",$BF64,N('Month-End'!$BI$23))</f>
        <v/>
      </c>
      <c r="I64">
        <f>IF('Month-End'!$BI$24="",$BG64,N('Month-End'!$BI$24))</f>
        <v/>
      </c>
      <c r="J64">
        <f>IF('Month-End'!$BI$25="",$BH64,N('Month-End'!$BI$25))</f>
        <v/>
      </c>
      <c r="K64">
        <f>IF('Month-End'!$BI$26="",$BI64,N('Month-End'!$BI$26))</f>
        <v/>
      </c>
      <c r="L64">
        <f>IF('Month-End'!$BI$27="",$BJ64,N('Month-End'!$BI$27))</f>
        <v/>
      </c>
      <c r="M64">
        <f>IF('Month-End'!$BI$28="",$BK64,N('Month-End'!$BI$28))</f>
        <v/>
      </c>
      <c r="N64">
        <f>IF('Month-End'!$BI$29="",$BL64,N('Month-End'!$BI$29))</f>
        <v/>
      </c>
      <c r="O64">
        <f>IF('Month-End'!$BI$30="",$BM64,N('Month-End'!$BI$30))</f>
        <v/>
      </c>
      <c r="P64">
        <f>IF('Month-End'!$BI$31="",$BN64,N('Month-End'!$BI$31))</f>
        <v/>
      </c>
      <c r="Q64">
        <f>IF('Month-End'!$BI$32="",$BO64,N('Month-End'!$BI$32))</f>
        <v/>
      </c>
      <c r="R64">
        <f>IF('Month-End'!$BI$33="",$BP64,N('Month-End'!$BI$33))</f>
        <v/>
      </c>
      <c r="S64">
        <f>$G64+$H64+$I64+$J64+$K64+$L64+$M64+$N64+$O64+$P64+$Q64+$R64</f>
        <v/>
      </c>
      <c r="T64">
        <f>IF($B64&lt;Settings!$B$6,0,IF(Settings!$B$45="Yes",$G64,0)+IF(Settings!$B$46="Yes",$H64,0)+IF(Settings!$B$47="Yes",$I64,0)+IF(Settings!$B$48="Yes",$J64,0)+IF(Settings!$B$49="Yes",$K64,0)+IF(Settings!$B$50="Yes",$L64,0)+IF(Settings!$B$51="Yes",$M64,0)+IF(Settings!$B$52="Yes",$N64,0)+IF(Settings!$B$53="Yes",$O64,0)+IF(Settings!$B$54="Yes",$P64,0)+IF(Settings!$B$55="Yes",$Q64,0)+IF(Settings!$B$56="Yes",$R64,0))</f>
        <v/>
      </c>
      <c r="U64">
        <f>IF(Settings!$B$45="Not Sure",$G64,0)+IF(Settings!$B$46="Not Sure",$H64,0)+IF(Settings!$B$47="Not Sure",$I64,0)+IF(Settings!$B$48="Not Sure",$J64,0)+IF(Settings!$B$49="Not Sure",$K64,0)+IF(Settings!$B$50="Not Sure",$L64,0)+IF(Settings!$B$51="Not Sure",$M64,0)+IF(Settings!$B$52="Not Sure",$N64,0)+IF(Settings!$B$53="Not Sure",$O64,0)+IF(Settings!$B$54="Not Sure",$P64,0)+IF(Settings!$B$55="Not Sure",$Q64,0)+IF(Settings!$B$56="Not Sure",$R64,0)</f>
        <v/>
      </c>
      <c r="V64">
        <f>IF($E64="open",SUM($ET64:$FE64)+N(Settings!$B$13),0)</f>
        <v/>
      </c>
      <c r="W64">
        <f>IF($E64="post",$S64,IF($E64="open",$S64-$V64,0))</f>
        <v/>
      </c>
      <c r="X64">
        <f>SUMIFS(Giving!$B$7:$B$2006,Giving!$A$7:$A$2006,"&gt;="&amp;$A64,Giving!$A$7:$A$2006,"&lt;="&amp;$B64,Giving!$E$7:$E$2006,"&lt;&gt;No")</f>
        <v/>
      </c>
      <c r="Y64">
        <f>SUMIFS(Giving!$B$7:$B$2006,Giving!$A$7:$A$2006,"&gt;="&amp;$A64,Giving!$A$7:$A$2006,"&lt;="&amp;$B64,Giving!$E$7:$E$2006,"No")</f>
        <v/>
      </c>
      <c r="Z64">
        <f>IF(OR(Settings!$B$60="",Settings!$F$60="No"),0,Settings!$B$60*IF(AND(IF(Settings!$C$60="",$B64,DATE(YEAR($A64),MONTH($A64),MIN(Settings!$C$60,DAY($B64))))&gt;=MAX($A64,Settings!$D$60),IF(Settings!$C$60="",$B64,DATE(YEAR($A64),MONTH($A64),MIN(Settings!$C$60,DAY($B64))))&lt;=MIN($C64,IF(Settings!$E$60="",$C64,Settings!$E$60))),1,0))+IF(OR(Settings!$B$61="",Settings!$F$61="No"),0,Settings!$B$61*IF(AND(IF(Settings!$C$61="",$B64,DATE(YEAR($A64),MONTH($A64),MIN(Settings!$C$61,DAY($B64))))&gt;=MAX($A64,Settings!$D$61),IF(Settings!$C$61="",$B64,DATE(YEAR($A64),MONTH($A64),MIN(Settings!$C$61,DAY($B64))))&lt;=MIN($C64,IF(Settings!$E$61="",$C64,Settings!$E$61))),1,0))+IF(OR(Settings!$B$62="",Settings!$F$62="No"),0,Settings!$B$62*IF(AND(IF(Settings!$C$62="",$B64,DATE(YEAR($A64),MONTH($A64),MIN(Settings!$C$62,DAY($B64))))&gt;=MAX($A64,Settings!$D$62),IF(Settings!$C$62="",$B64,DATE(YEAR($A64),MONTH($A64),MIN(Settings!$C$62,DAY($B64))))&lt;=MIN($C64,IF(Settings!$E$62="",$C64,Settings!$E$62))),1,0))+IF(OR(Settings!$B$63="",Settings!$F$63="No"),0,Settings!$B$63*IF(AND(IF(Settings!$C$63="",$B64,DATE(YEAR($A64),MONTH($A64),MIN(Settings!$C$63,DAY($B64))))&gt;=MAX($A64,Settings!$D$63),IF(Settings!$C$63="",$B64,DATE(YEAR($A64),MONTH($A64),MIN(Settings!$C$63,DAY($B64))))&lt;=MIN($C64,IF(Settings!$E$63="",$C64,Settings!$E$63))),1,0))+IF(OR(Settings!$B$64="",Settings!$F$64="No"),0,Settings!$B$64*IF(AND(IF(Settings!$C$64="",$B64,DATE(YEAR($A64),MONTH($A64),MIN(Settings!$C$64,DAY($B64))))&gt;=MAX($A64,Settings!$D$64),IF(Settings!$C$64="",$B64,DATE(YEAR($A64),MONTH($A64),MIN(Settings!$C$64,DAY($B64))))&lt;=MIN($C64,IF(Settings!$E$64="",$C64,Settings!$E$64))),1,0))+IF(OR(Settings!$B$65="",Settings!$F$65="No"),0,Settings!$B$65*IF(AND(IF(Settings!$C$65="",$B64,DATE(YEAR($A64),MONTH($A64),MIN(Settings!$C$65,DAY($B64))))&gt;=MAX($A64,Settings!$D$65),IF(Settings!$C$65="",$B64,DATE(YEAR($A64),MONTH($A64),MIN(Settings!$C$65,DAY($B64))))&lt;=MIN($C64,IF(Settings!$E$65="",$C64,Settings!$E$65))),1,0))</f>
        <v/>
      </c>
      <c r="AA64">
        <f>$X64+$Z64</f>
        <v/>
      </c>
      <c r="AB64">
        <f>IF($E64="post",$AA64,IF($E64="open",SUMIFS(Giving!$B$7:$B$2006,Giving!$A$7:$A$2006,"&gt;"&amp;Settings!$B$5,Giving!$A$7:$A$2006,"&lt;="&amp;$B64,Giving!$E$7:$E$2006,"&lt;&gt;No")+IF(OR(Settings!$B$60="",Settings!$F$60="No"),0,Settings!$B$60*IF(AND(IF(Settings!$C$60="",$B64,DATE(YEAR($A64),MONTH($A64),MIN(Settings!$C$60,DAY($B64))))&gt;=MAX($A64,Settings!$D$60,Settings!$B$5+1),IF(Settings!$C$60="",$B64,DATE(YEAR($A64),MONTH($A64),MIN(Settings!$C$60,DAY($B64))))&lt;=MIN($C64,IF(Settings!$E$60="",$C64,Settings!$E$60))),1,0))+IF(OR(Settings!$B$61="",Settings!$F$61="No"),0,Settings!$B$61*IF(AND(IF(Settings!$C$61="",$B64,DATE(YEAR($A64),MONTH($A64),MIN(Settings!$C$61,DAY($B64))))&gt;=MAX($A64,Settings!$D$61,Settings!$B$5+1),IF(Settings!$C$61="",$B64,DATE(YEAR($A64),MONTH($A64),MIN(Settings!$C$61,DAY($B64))))&lt;=MIN($C64,IF(Settings!$E$61="",$C64,Settings!$E$61))),1,0))+IF(OR(Settings!$B$62="",Settings!$F$62="No"),0,Settings!$B$62*IF(AND(IF(Settings!$C$62="",$B64,DATE(YEAR($A64),MONTH($A64),MIN(Settings!$C$62,DAY($B64))))&gt;=MAX($A64,Settings!$D$62,Settings!$B$5+1),IF(Settings!$C$62="",$B64,DATE(YEAR($A64),MONTH($A64),MIN(Settings!$C$62,DAY($B64))))&lt;=MIN($C64,IF(Settings!$E$62="",$C64,Settings!$E$62))),1,0))+IF(OR(Settings!$B$63="",Settings!$F$63="No"),0,Settings!$B$63*IF(AND(IF(Settings!$C$63="",$B64,DATE(YEAR($A64),MONTH($A64),MIN(Settings!$C$63,DAY($B64))))&gt;=MAX($A64,Settings!$D$63,Settings!$B$5+1),IF(Settings!$C$63="",$B64,DATE(YEAR($A64),MONTH($A64),MIN(Settings!$C$63,DAY($B64))))&lt;=MIN($C64,IF(Settings!$E$63="",$C64,Settings!$E$63))),1,0))+IF(OR(Settings!$B$64="",Settings!$F$64="No"),0,Settings!$B$64*IF(AND(IF(Settings!$C$64="",$B64,DATE(YEAR($A64),MONTH($A64),MIN(Settings!$C$64,DAY($B64))))&gt;=MAX($A64,Settings!$D$64,Settings!$B$5+1),IF(Settings!$C$64="",$B64,DATE(YEAR($A64),MONTH($A64),MIN(Settings!$C$64,DAY($B64))))&lt;=MIN($C64,IF(Settings!$E$64="",$C64,Settings!$E$64))),1,0))+IF(OR(Settings!$B$65="",Settings!$F$65="No"),0,Settings!$B$65*IF(AND(IF(Settings!$C$65="",$B64,DATE(YEAR($A64),MONTH($A64),MIN(Settings!$C$65,DAY($B64))))&gt;=MAX($A64,Settings!$D$65,Settings!$B$5+1),IF(Settings!$C$65="",$B64,DATE(YEAR($A64),MONTH($A64),MIN(Settings!$C$65,DAY($B64))))&lt;=MIN($C64,IF(Settings!$E$65="",$C64,Settings!$E$65))),1,0)),0))</f>
        <v/>
      </c>
      <c r="AC64">
        <f>$AY64+$AZ64+$BA64+$BB64+$BC64+$BD64</f>
        <v/>
      </c>
      <c r="AD64">
        <f>$AC64</f>
        <v/>
      </c>
      <c r="AE64">
        <f>IF(OR(Settings!$A$19="",$E64="pre"),"",IF(AND('Month-End'!$BI$7&lt;&gt;"",NOT(_xlfn.ISFORMULA('Month-End'!$BI$7))),N('Month-End'!$BI$7),IF(OR($E64="open",$E63="pre"),N(Settings!$C$19),N($AE63))))</f>
        <v/>
      </c>
      <c r="AF64">
        <f>IF(OR(Settings!$A$20="",$E64="pre"),"",IF(AND('Month-End'!$BI$8&lt;&gt;"",NOT(_xlfn.ISFORMULA('Month-End'!$BI$8))),N('Month-End'!$BI$8),IF(OR($E64="open",$E63="pre"),N(Settings!$C$20),N($AF63))))</f>
        <v/>
      </c>
      <c r="AG64">
        <f>IF(OR(Settings!$A$21="",$E64="pre"),"",IF(AND('Month-End'!$BI$9&lt;&gt;"",NOT(_xlfn.ISFORMULA('Month-End'!$BI$9))),N('Month-End'!$BI$9),IF(OR($E64="open",$E63="pre"),N(Settings!$C$21),N($AG63))))</f>
        <v/>
      </c>
      <c r="AH64">
        <f>IF(OR(Settings!$A$22="",$E64="pre"),"",IF(AND('Month-End'!$BI$10&lt;&gt;"",NOT(_xlfn.ISFORMULA('Month-End'!$BI$10))),N('Month-End'!$BI$10),IF(OR($E64="open",$E63="pre"),N(Settings!$C$22),N($AH63))))</f>
        <v/>
      </c>
      <c r="AI64">
        <f>IF(OR(Settings!$A$23="",$E64="pre"),"",IF(AND('Month-End'!$BI$11&lt;&gt;"",NOT(_xlfn.ISFORMULA('Month-End'!$BI$11))),N('Month-End'!$BI$11),IF(OR($E64="open",$E63="pre"),N(Settings!$C$23),N($AI63))))</f>
        <v/>
      </c>
      <c r="AJ64">
        <f>IF(OR(Settings!$A$24="",$E64="pre"),"",IF(AND('Month-End'!$BI$12&lt;&gt;"",NOT(_xlfn.ISFORMULA('Month-End'!$BI$12))),N('Month-End'!$BI$12),IF(OR($E64="open",$E63="pre"),N(Settings!$C$24),N($AJ63))))</f>
        <v/>
      </c>
      <c r="AK64">
        <f>IF(OR(Settings!$A$25="",$E64="pre"),"",IF(AND('Month-End'!$BI$13&lt;&gt;"",NOT(_xlfn.ISFORMULA('Month-End'!$BI$13))),N('Month-End'!$BI$13),IF(OR($E64="open",$E63="pre"),N(Settings!$C$25),N($AK63))))</f>
        <v/>
      </c>
      <c r="AL64">
        <f>IF(OR(Settings!$A$26="",$E64="pre"),"",IF(AND('Month-End'!$BI$14&lt;&gt;"",NOT(_xlfn.ISFORMULA('Month-End'!$BI$14))),N('Month-End'!$BI$14),IF(OR($E64="open",$E63="pre"),N(Settings!$C$26),N($AL63))))</f>
        <v/>
      </c>
      <c r="AM64">
        <f>IF(OR(Settings!$A$27="",$E64="pre"),"",IF(AND('Month-End'!$BI$15&lt;&gt;"",NOT(_xlfn.ISFORMULA('Month-End'!$BI$15))),N('Month-End'!$BI$15),IF(OR($E64="open",$E63="pre"),N(Settings!$C$27),N($AM63))))</f>
        <v/>
      </c>
      <c r="AN64">
        <f>IF(OR(Settings!$A$28="",$E64="pre"),"",IF(AND('Month-End'!$BI$16&lt;&gt;"",NOT(_xlfn.ISFORMULA('Month-End'!$BI$16))),N('Month-End'!$BI$16),IF(OR($E64="open",$E63="pre"),N(Settings!$C$28),N($AN63))))</f>
        <v/>
      </c>
      <c r="AO64">
        <f>IF(OR(Settings!$A$29="",$E64="pre"),"",IF(AND('Month-End'!$BI$17&lt;&gt;"",NOT(_xlfn.ISFORMULA('Month-End'!$BI$17))),N('Month-End'!$BI$17),IF(OR($E64="open",$E63="pre"),N(Settings!$C$29),N($AO63))))</f>
        <v/>
      </c>
      <c r="AP64">
        <f>IF(OR(Settings!$A$30="",$E64="pre"),"",IF(AND('Month-End'!$BI$18&lt;&gt;"",NOT(_xlfn.ISFORMULA('Month-End'!$BI$18))),N('Month-End'!$BI$18),IF(OR($E64="open",$E63="pre"),N(Settings!$C$30),N($AP63))))</f>
        <v/>
      </c>
      <c r="AQ64">
        <f>IF(OR(Settings!$A$31="",$E64="pre"),"",IF(AND('Month-End'!$BI$19&lt;&gt;"",NOT(_xlfn.ISFORMULA('Month-End'!$BI$19))),N('Month-End'!$BI$19),IF(OR($E64="open",$E63="pre"),N(Settings!$C$31),N($AQ63))))</f>
        <v/>
      </c>
      <c r="AR64">
        <f>IF(OR(Settings!$A$32="",$E64="pre"),"",IF(AND('Month-End'!$BI$20&lt;&gt;"",NOT(_xlfn.ISFORMULA('Month-End'!$BI$20))),N('Month-End'!$BI$20),IF(OR($E64="open",$E63="pre"),N(Settings!$C$32),N($AR63))))</f>
        <v/>
      </c>
      <c r="AS64">
        <f>IF(OR(Settings!$A$36="",$E64="pre"),"",IF(AND('Month-End'!$BI$38&lt;&gt;"",NOT(_xlfn.ISFORMULA('Month-End'!$BI$38))),N('Month-End'!$BI$38),IF(OR($E64="open",$E63="pre"),N(Settings!$C$36),N($AS63))+$AY64))</f>
        <v/>
      </c>
      <c r="AT64">
        <f>IF(OR(Settings!$A$37="",$E64="pre"),"",IF(AND('Month-End'!$BI$39&lt;&gt;"",NOT(_xlfn.ISFORMULA('Month-End'!$BI$39))),N('Month-End'!$BI$39),IF(OR($E64="open",$E63="pre"),N(Settings!$C$37),N($AT63))+$AZ64))</f>
        <v/>
      </c>
      <c r="AU64">
        <f>IF(OR(Settings!$A$38="",$E64="pre"),"",IF(AND('Month-End'!$BI$40&lt;&gt;"",NOT(_xlfn.ISFORMULA('Month-End'!$BI$40))),N('Month-End'!$BI$40),IF(OR($E64="open",$E63="pre"),N(Settings!$C$38),N($AU63))+$BA64))</f>
        <v/>
      </c>
      <c r="AV64">
        <f>IF(OR(Settings!$A$39="",$E64="pre"),"",IF(AND('Month-End'!$BI$41&lt;&gt;"",NOT(_xlfn.ISFORMULA('Month-End'!$BI$41))),N('Month-End'!$BI$41),IF(OR($E64="open",$E63="pre"),N(Settings!$C$39),N($AV63))+$BB64))</f>
        <v/>
      </c>
      <c r="AW64">
        <f>IF(OR(Settings!$A$40="",$E64="pre"),"",IF(AND('Month-End'!$BI$42&lt;&gt;"",NOT(_xlfn.ISFORMULA('Month-End'!$BI$42))),N('Month-End'!$BI$42),IF(OR($E64="open",$E63="pre"),N(Settings!$C$40),N($AW63))+$BC64))</f>
        <v/>
      </c>
      <c r="AX64">
        <f>IF(OR(Settings!$A$41="",$E64="pre"),"",IF(AND('Month-End'!$BI$43&lt;&gt;"",NOT(_xlfn.ISFORMULA('Month-End'!$BI$43))),N('Month-End'!$BI$43),IF(OR($E64="open",$E63="pre"),N(Settings!$C$41),N($AX63))+$BD64))</f>
        <v/>
      </c>
      <c r="AY64">
        <f>IF($E64="pre",0,N('Month-End'!$BI$45))</f>
        <v/>
      </c>
      <c r="AZ64">
        <f>IF($E64="pre",0,N('Month-End'!$BI$46))</f>
        <v/>
      </c>
      <c r="BA64">
        <f>IF($E64="pre",0,N('Month-End'!$BI$47))</f>
        <v/>
      </c>
      <c r="BB64">
        <f>IF($E64="pre",0,N('Month-End'!$BI$48))</f>
        <v/>
      </c>
      <c r="BC64">
        <f>IF($E64="pre",0,N('Month-End'!$BI$49))</f>
        <v/>
      </c>
      <c r="BD64">
        <f>IF($E64="pre",0,N('Month-End'!$BI$50))</f>
        <v/>
      </c>
      <c r="BE64">
        <f>IF(OR(Settings!$C$45="",Settings!$D$45=""),0,Settings!$C$45*IF(Settings!$D$45="Weekly",IF(IFERROR(MATCH(Settings!$E$45,$EO$4:$EO$10,0),0)=0,0,IF(MIN($C64,IF(Settings!$G$45="",$C64,Settings!$G$45))&lt;MAX($A64,Settings!$F$45),0,INT((MIN($C64,IF(Settings!$G$45="",$C64,Settings!$G$45))-MAX($A64,Settings!$F$45)-MOD(IFERROR(MATCH(Settings!$E$45,$EO$4:$EO$10,0),0)-WEEKDAY(MAX($A64,Settings!$F$45)),7))/7)+1)),IF(AND(IF(Settings!$E$45="",$B64,DATE(YEAR($A64),MONTH($A64),MIN(Settings!$E$45,DAY($B64))))&gt;=MAX($A64,Settings!$F$45),IF(Settings!$E$45="",$B64,DATE(YEAR($A64),MONTH($A64),MIN(Settings!$E$45,DAY($B64))))&lt;=MIN($C64,IF(Settings!$G$45="",$C64,Settings!$G$45))),1,0)))</f>
        <v/>
      </c>
      <c r="BF64">
        <f>IF(OR(Settings!$C$46="",Settings!$D$46=""),0,Settings!$C$46*IF(Settings!$D$46="Weekly",IF(IFERROR(MATCH(Settings!$E$46,$EO$4:$EO$10,0),0)=0,0,IF(MIN($C64,IF(Settings!$G$46="",$C64,Settings!$G$46))&lt;MAX($A64,Settings!$F$46),0,INT((MIN($C64,IF(Settings!$G$46="",$C64,Settings!$G$46))-MAX($A64,Settings!$F$46)-MOD(IFERROR(MATCH(Settings!$E$46,$EO$4:$EO$10,0),0)-WEEKDAY(MAX($A64,Settings!$F$46)),7))/7)+1)),IF(AND(IF(Settings!$E$46="",$B64,DATE(YEAR($A64),MONTH($A64),MIN(Settings!$E$46,DAY($B64))))&gt;=MAX($A64,Settings!$F$46),IF(Settings!$E$46="",$B64,DATE(YEAR($A64),MONTH($A64),MIN(Settings!$E$46,DAY($B64))))&lt;=MIN($C64,IF(Settings!$G$46="",$C64,Settings!$G$46))),1,0)))</f>
        <v/>
      </c>
      <c r="BG64">
        <f>IF(OR(Settings!$C$47="",Settings!$D$47=""),0,Settings!$C$47*IF(Settings!$D$47="Weekly",IF(IFERROR(MATCH(Settings!$E$47,$EO$4:$EO$10,0),0)=0,0,IF(MIN($C64,IF(Settings!$G$47="",$C64,Settings!$G$47))&lt;MAX($A64,Settings!$F$47),0,INT((MIN($C64,IF(Settings!$G$47="",$C64,Settings!$G$47))-MAX($A64,Settings!$F$47)-MOD(IFERROR(MATCH(Settings!$E$47,$EO$4:$EO$10,0),0)-WEEKDAY(MAX($A64,Settings!$F$47)),7))/7)+1)),IF(AND(IF(Settings!$E$47="",$B64,DATE(YEAR($A64),MONTH($A64),MIN(Settings!$E$47,DAY($B64))))&gt;=MAX($A64,Settings!$F$47),IF(Settings!$E$47="",$B64,DATE(YEAR($A64),MONTH($A64),MIN(Settings!$E$47,DAY($B64))))&lt;=MIN($C64,IF(Settings!$G$47="",$C64,Settings!$G$47))),1,0)))</f>
        <v/>
      </c>
      <c r="BH64">
        <f>IF(OR(Settings!$C$48="",Settings!$D$48=""),0,Settings!$C$48*IF(Settings!$D$48="Weekly",IF(IFERROR(MATCH(Settings!$E$48,$EO$4:$EO$10,0),0)=0,0,IF(MIN($C64,IF(Settings!$G$48="",$C64,Settings!$G$48))&lt;MAX($A64,Settings!$F$48),0,INT((MIN($C64,IF(Settings!$G$48="",$C64,Settings!$G$48))-MAX($A64,Settings!$F$48)-MOD(IFERROR(MATCH(Settings!$E$48,$EO$4:$EO$10,0),0)-WEEKDAY(MAX($A64,Settings!$F$48)),7))/7)+1)),IF(AND(IF(Settings!$E$48="",$B64,DATE(YEAR($A64),MONTH($A64),MIN(Settings!$E$48,DAY($B64))))&gt;=MAX($A64,Settings!$F$48),IF(Settings!$E$48="",$B64,DATE(YEAR($A64),MONTH($A64),MIN(Settings!$E$48,DAY($B64))))&lt;=MIN($C64,IF(Settings!$G$48="",$C64,Settings!$G$48))),1,0)))</f>
        <v/>
      </c>
      <c r="BI64">
        <f>IF(OR(Settings!$C$49="",Settings!$D$49=""),0,Settings!$C$49*IF(Settings!$D$49="Weekly",IF(IFERROR(MATCH(Settings!$E$49,$EO$4:$EO$10,0),0)=0,0,IF(MIN($C64,IF(Settings!$G$49="",$C64,Settings!$G$49))&lt;MAX($A64,Settings!$F$49),0,INT((MIN($C64,IF(Settings!$G$49="",$C64,Settings!$G$49))-MAX($A64,Settings!$F$49)-MOD(IFERROR(MATCH(Settings!$E$49,$EO$4:$EO$10,0),0)-WEEKDAY(MAX($A64,Settings!$F$49)),7))/7)+1)),IF(AND(IF(Settings!$E$49="",$B64,DATE(YEAR($A64),MONTH($A64),MIN(Settings!$E$49,DAY($B64))))&gt;=MAX($A64,Settings!$F$49),IF(Settings!$E$49="",$B64,DATE(YEAR($A64),MONTH($A64),MIN(Settings!$E$49,DAY($B64))))&lt;=MIN($C64,IF(Settings!$G$49="",$C64,Settings!$G$49))),1,0)))</f>
        <v/>
      </c>
      <c r="BJ64">
        <f>IF(OR(Settings!$C$50="",Settings!$D$50=""),0,Settings!$C$50*IF(Settings!$D$50="Weekly",IF(IFERROR(MATCH(Settings!$E$50,$EO$4:$EO$10,0),0)=0,0,IF(MIN($C64,IF(Settings!$G$50="",$C64,Settings!$G$50))&lt;MAX($A64,Settings!$F$50),0,INT((MIN($C64,IF(Settings!$G$50="",$C64,Settings!$G$50))-MAX($A64,Settings!$F$50)-MOD(IFERROR(MATCH(Settings!$E$50,$EO$4:$EO$10,0),0)-WEEKDAY(MAX($A64,Settings!$F$50)),7))/7)+1)),IF(AND(IF(Settings!$E$50="",$B64,DATE(YEAR($A64),MONTH($A64),MIN(Settings!$E$50,DAY($B64))))&gt;=MAX($A64,Settings!$F$50),IF(Settings!$E$50="",$B64,DATE(YEAR($A64),MONTH($A64),MIN(Settings!$E$50,DAY($B64))))&lt;=MIN($C64,IF(Settings!$G$50="",$C64,Settings!$G$50))),1,0)))</f>
        <v/>
      </c>
      <c r="BK64">
        <f>IF(OR(Settings!$C$51="",Settings!$D$51=""),0,Settings!$C$51*IF(Settings!$D$51="Weekly",IF(IFERROR(MATCH(Settings!$E$51,$EO$4:$EO$10,0),0)=0,0,IF(MIN($C64,IF(Settings!$G$51="",$C64,Settings!$G$51))&lt;MAX($A64,Settings!$F$51),0,INT((MIN($C64,IF(Settings!$G$51="",$C64,Settings!$G$51))-MAX($A64,Settings!$F$51)-MOD(IFERROR(MATCH(Settings!$E$51,$EO$4:$EO$10,0),0)-WEEKDAY(MAX($A64,Settings!$F$51)),7))/7)+1)),IF(AND(IF(Settings!$E$51="",$B64,DATE(YEAR($A64),MONTH($A64),MIN(Settings!$E$51,DAY($B64))))&gt;=MAX($A64,Settings!$F$51),IF(Settings!$E$51="",$B64,DATE(YEAR($A64),MONTH($A64),MIN(Settings!$E$51,DAY($B64))))&lt;=MIN($C64,IF(Settings!$G$51="",$C64,Settings!$G$51))),1,0)))</f>
        <v/>
      </c>
      <c r="BL64">
        <f>IF(OR(Settings!$C$52="",Settings!$D$52=""),0,Settings!$C$52*IF(Settings!$D$52="Weekly",IF(IFERROR(MATCH(Settings!$E$52,$EO$4:$EO$10,0),0)=0,0,IF(MIN($C64,IF(Settings!$G$52="",$C64,Settings!$G$52))&lt;MAX($A64,Settings!$F$52),0,INT((MIN($C64,IF(Settings!$G$52="",$C64,Settings!$G$52))-MAX($A64,Settings!$F$52)-MOD(IFERROR(MATCH(Settings!$E$52,$EO$4:$EO$10,0),0)-WEEKDAY(MAX($A64,Settings!$F$52)),7))/7)+1)),IF(AND(IF(Settings!$E$52="",$B64,DATE(YEAR($A64),MONTH($A64),MIN(Settings!$E$52,DAY($B64))))&gt;=MAX($A64,Settings!$F$52),IF(Settings!$E$52="",$B64,DATE(YEAR($A64),MONTH($A64),MIN(Settings!$E$52,DAY($B64))))&lt;=MIN($C64,IF(Settings!$G$52="",$C64,Settings!$G$52))),1,0)))</f>
        <v/>
      </c>
      <c r="BM64">
        <f>IF(OR(Settings!$C$53="",Settings!$D$53=""),0,Settings!$C$53*IF(Settings!$D$53="Weekly",IF(IFERROR(MATCH(Settings!$E$53,$EO$4:$EO$10,0),0)=0,0,IF(MIN($C64,IF(Settings!$G$53="",$C64,Settings!$G$53))&lt;MAX($A64,Settings!$F$53),0,INT((MIN($C64,IF(Settings!$G$53="",$C64,Settings!$G$53))-MAX($A64,Settings!$F$53)-MOD(IFERROR(MATCH(Settings!$E$53,$EO$4:$EO$10,0),0)-WEEKDAY(MAX($A64,Settings!$F$53)),7))/7)+1)),IF(AND(IF(Settings!$E$53="",$B64,DATE(YEAR($A64),MONTH($A64),MIN(Settings!$E$53,DAY($B64))))&gt;=MAX($A64,Settings!$F$53),IF(Settings!$E$53="",$B64,DATE(YEAR($A64),MONTH($A64),MIN(Settings!$E$53,DAY($B64))))&lt;=MIN($C64,IF(Settings!$G$53="",$C64,Settings!$G$53))),1,0)))</f>
        <v/>
      </c>
      <c r="BN64">
        <f>IF(OR(Settings!$C$54="",Settings!$D$54=""),0,Settings!$C$54*IF(Settings!$D$54="Weekly",IF(IFERROR(MATCH(Settings!$E$54,$EO$4:$EO$10,0),0)=0,0,IF(MIN($C64,IF(Settings!$G$54="",$C64,Settings!$G$54))&lt;MAX($A64,Settings!$F$54),0,INT((MIN($C64,IF(Settings!$G$54="",$C64,Settings!$G$54))-MAX($A64,Settings!$F$54)-MOD(IFERROR(MATCH(Settings!$E$54,$EO$4:$EO$10,0),0)-WEEKDAY(MAX($A64,Settings!$F$54)),7))/7)+1)),IF(AND(IF(Settings!$E$54="",$B64,DATE(YEAR($A64),MONTH($A64),MIN(Settings!$E$54,DAY($B64))))&gt;=MAX($A64,Settings!$F$54),IF(Settings!$E$54="",$B64,DATE(YEAR($A64),MONTH($A64),MIN(Settings!$E$54,DAY($B64))))&lt;=MIN($C64,IF(Settings!$G$54="",$C64,Settings!$G$54))),1,0)))</f>
        <v/>
      </c>
      <c r="BO64">
        <f>IF(OR(Settings!$C$55="",Settings!$D$55=""),0,Settings!$C$55*IF(Settings!$D$55="Weekly",IF(IFERROR(MATCH(Settings!$E$55,$EO$4:$EO$10,0),0)=0,0,IF(MIN($C64,IF(Settings!$G$55="",$C64,Settings!$G$55))&lt;MAX($A64,Settings!$F$55),0,INT((MIN($C64,IF(Settings!$G$55="",$C64,Settings!$G$55))-MAX($A64,Settings!$F$55)-MOD(IFERROR(MATCH(Settings!$E$55,$EO$4:$EO$10,0),0)-WEEKDAY(MAX($A64,Settings!$F$55)),7))/7)+1)),IF(AND(IF(Settings!$E$55="",$B64,DATE(YEAR($A64),MONTH($A64),MIN(Settings!$E$55,DAY($B64))))&gt;=MAX($A64,Settings!$F$55),IF(Settings!$E$55="",$B64,DATE(YEAR($A64),MONTH($A64),MIN(Settings!$E$55,DAY($B64))))&lt;=MIN($C64,IF(Settings!$G$55="",$C64,Settings!$G$55))),1,0)))</f>
        <v/>
      </c>
      <c r="BP64">
        <f>IF(OR(Settings!$C$56="",Settings!$D$56=""),0,Settings!$C$56*IF(Settings!$D$56="Weekly",IF(IFERROR(MATCH(Settings!$E$56,$EO$4:$EO$10,0),0)=0,0,IF(MIN($C64,IF(Settings!$G$56="",$C64,Settings!$G$56))&lt;MAX($A64,Settings!$F$56),0,INT((MIN($C64,IF(Settings!$G$56="",$C64,Settings!$G$56))-MAX($A64,Settings!$F$56)-MOD(IFERROR(MATCH(Settings!$E$56,$EO$4:$EO$10,0),0)-WEEKDAY(MAX($A64,Settings!$F$56)),7))/7)+1)),IF(AND(IF(Settings!$E$56="",$B64,DATE(YEAR($A64),MONTH($A64),MIN(Settings!$E$56,DAY($B64))))&gt;=MAX($A64,Settings!$F$56),IF(Settings!$E$56="",$B64,DATE(YEAR($A64),MONTH($A64),MIN(Settings!$E$56,DAY($B64))))&lt;=MIN($C64,IF(Settings!$G$56="",$C64,Settings!$G$56))),1,0)))</f>
        <v/>
      </c>
      <c r="BQ64">
        <f>IF(OR(Settings!$B$14="",$D64=1,$E64="pre",$A64&lt;IF(Settings!$B$15="",0,Settings!$B$15)),0,Settings!$B$14)</f>
        <v/>
      </c>
      <c r="BR64">
        <f>IF(AND('Month-End'!$BI$7&lt;&gt;"",NOT(_xlfn.ISFORMULA('Month-End'!$BI$7))),1,0)</f>
        <v/>
      </c>
      <c r="BS64">
        <f>IF(AND('Month-End'!$BI$8&lt;&gt;"",NOT(_xlfn.ISFORMULA('Month-End'!$BI$8))),1,0)</f>
        <v/>
      </c>
      <c r="BT64">
        <f>IF(AND('Month-End'!$BI$9&lt;&gt;"",NOT(_xlfn.ISFORMULA('Month-End'!$BI$9))),1,0)</f>
        <v/>
      </c>
      <c r="BU64">
        <f>IF(AND('Month-End'!$BI$10&lt;&gt;"",NOT(_xlfn.ISFORMULA('Month-End'!$BI$10))),1,0)</f>
        <v/>
      </c>
      <c r="BV64">
        <f>IF(AND('Month-End'!$BI$11&lt;&gt;"",NOT(_xlfn.ISFORMULA('Month-End'!$BI$11))),1,0)</f>
        <v/>
      </c>
      <c r="BW64">
        <f>IF(AND('Month-End'!$BI$12&lt;&gt;"",NOT(_xlfn.ISFORMULA('Month-End'!$BI$12))),1,0)</f>
        <v/>
      </c>
      <c r="BX64">
        <f>IF(AND('Month-End'!$BI$13&lt;&gt;"",NOT(_xlfn.ISFORMULA('Month-End'!$BI$13))),1,0)</f>
        <v/>
      </c>
      <c r="BY64">
        <f>IF(AND('Month-End'!$BI$14&lt;&gt;"",NOT(_xlfn.ISFORMULA('Month-End'!$BI$14))),1,0)</f>
        <v/>
      </c>
      <c r="BZ64">
        <f>IF(AND('Month-End'!$BI$15&lt;&gt;"",NOT(_xlfn.ISFORMULA('Month-End'!$BI$15))),1,0)</f>
        <v/>
      </c>
      <c r="CA64">
        <f>IF(AND('Month-End'!$BI$16&lt;&gt;"",NOT(_xlfn.ISFORMULA('Month-End'!$BI$16))),1,0)</f>
        <v/>
      </c>
      <c r="CB64">
        <f>IF(AND('Month-End'!$BI$17&lt;&gt;"",NOT(_xlfn.ISFORMULA('Month-End'!$BI$17))),1,0)</f>
        <v/>
      </c>
      <c r="CC64">
        <f>IF(AND('Month-End'!$BI$18&lt;&gt;"",NOT(_xlfn.ISFORMULA('Month-End'!$BI$18))),1,0)</f>
        <v/>
      </c>
      <c r="CD64">
        <f>IF(AND('Month-End'!$BI$19&lt;&gt;"",NOT(_xlfn.ISFORMULA('Month-End'!$BI$19))),1,0)</f>
        <v/>
      </c>
      <c r="CE64">
        <f>IF(AND('Month-End'!$BI$20&lt;&gt;"",NOT(_xlfn.ISFORMULA('Month-End'!$BI$20))),1,0)</f>
        <v/>
      </c>
      <c r="CF64">
        <f>IF(AND('Month-End'!$BI$38&lt;&gt;"",NOT(_xlfn.ISFORMULA('Month-End'!$BI$38))),1,0)</f>
        <v/>
      </c>
      <c r="CG64">
        <f>IF(AND('Month-End'!$BI$39&lt;&gt;"",NOT(_xlfn.ISFORMULA('Month-End'!$BI$39))),1,0)</f>
        <v/>
      </c>
      <c r="CH64">
        <f>IF(AND('Month-End'!$BI$40&lt;&gt;"",NOT(_xlfn.ISFORMULA('Month-End'!$BI$40))),1,0)</f>
        <v/>
      </c>
      <c r="CI64">
        <f>IF(AND('Month-End'!$BI$41&lt;&gt;"",NOT(_xlfn.ISFORMULA('Month-End'!$BI$41))),1,0)</f>
        <v/>
      </c>
      <c r="CJ64">
        <f>IF(AND('Month-End'!$BI$42&lt;&gt;"",NOT(_xlfn.ISFORMULA('Month-End'!$BI$42))),1,0)</f>
        <v/>
      </c>
      <c r="CK64">
        <f>IF(AND('Month-End'!$BI$43&lt;&gt;"",NOT(_xlfn.ISFORMULA('Month-End'!$BI$43))),1,0)</f>
        <v/>
      </c>
      <c r="CL64">
        <f>SUM($CM64:$CZ64)</f>
        <v/>
      </c>
      <c r="CM64">
        <f>IF(AND($E64&lt;&gt;"pre",AND(Settings!$A$19&lt;&gt;"",Settings!$E$19&lt;&gt;"No"),Settings!$F$19="Yes",NOT(AND('Month-End'!$BI$7&lt;&gt;"",NOT(_xlfn.ISFORMULA('Month-End'!$BI$7))))),1,0)</f>
        <v/>
      </c>
      <c r="CN64">
        <f>IF(AND($E64&lt;&gt;"pre",AND(Settings!$A$20&lt;&gt;"",Settings!$E$20&lt;&gt;"No"),Settings!$F$20="Yes",NOT(AND('Month-End'!$BI$8&lt;&gt;"",NOT(_xlfn.ISFORMULA('Month-End'!$BI$8))))),1,0)</f>
        <v/>
      </c>
      <c r="CO64">
        <f>IF(AND($E64&lt;&gt;"pre",AND(Settings!$A$21&lt;&gt;"",Settings!$E$21&lt;&gt;"No"),Settings!$F$21="Yes",NOT(AND('Month-End'!$BI$9&lt;&gt;"",NOT(_xlfn.ISFORMULA('Month-End'!$BI$9))))),1,0)</f>
        <v/>
      </c>
      <c r="CP64">
        <f>IF(AND($E64&lt;&gt;"pre",AND(Settings!$A$22&lt;&gt;"",Settings!$E$22&lt;&gt;"No"),Settings!$F$22="Yes",NOT(AND('Month-End'!$BI$10&lt;&gt;"",NOT(_xlfn.ISFORMULA('Month-End'!$BI$10))))),1,0)</f>
        <v/>
      </c>
      <c r="CQ64">
        <f>IF(AND($E64&lt;&gt;"pre",AND(Settings!$A$23&lt;&gt;"",Settings!$E$23&lt;&gt;"No"),Settings!$F$23="Yes",NOT(AND('Month-End'!$BI$11&lt;&gt;"",NOT(_xlfn.ISFORMULA('Month-End'!$BI$11))))),1,0)</f>
        <v/>
      </c>
      <c r="CR64">
        <f>IF(AND($E64&lt;&gt;"pre",AND(Settings!$A$24&lt;&gt;"",Settings!$E$24&lt;&gt;"No"),Settings!$F$24="Yes",NOT(AND('Month-End'!$BI$12&lt;&gt;"",NOT(_xlfn.ISFORMULA('Month-End'!$BI$12))))),1,0)</f>
        <v/>
      </c>
      <c r="CS64">
        <f>IF(AND($E64&lt;&gt;"pre",AND(Settings!$A$25&lt;&gt;"",Settings!$E$25&lt;&gt;"No"),Settings!$F$25="Yes",NOT(AND('Month-End'!$BI$13&lt;&gt;"",NOT(_xlfn.ISFORMULA('Month-End'!$BI$13))))),1,0)</f>
        <v/>
      </c>
      <c r="CT64">
        <f>IF(AND($E64&lt;&gt;"pre",AND(Settings!$A$26&lt;&gt;"",Settings!$E$26&lt;&gt;"No"),Settings!$F$26="Yes",NOT(AND('Month-End'!$BI$14&lt;&gt;"",NOT(_xlfn.ISFORMULA('Month-End'!$BI$14))))),1,0)</f>
        <v/>
      </c>
      <c r="CU64">
        <f>IF(AND($E64&lt;&gt;"pre",AND(Settings!$A$27&lt;&gt;"",Settings!$E$27&lt;&gt;"No"),Settings!$F$27="Yes",NOT(AND('Month-End'!$BI$15&lt;&gt;"",NOT(_xlfn.ISFORMULA('Month-End'!$BI$15))))),1,0)</f>
        <v/>
      </c>
      <c r="CV64">
        <f>IF(AND($E64&lt;&gt;"pre",AND(Settings!$A$28&lt;&gt;"",Settings!$E$28&lt;&gt;"No"),Settings!$F$28="Yes",NOT(AND('Month-End'!$BI$16&lt;&gt;"",NOT(_xlfn.ISFORMULA('Month-End'!$BI$16))))),1,0)</f>
        <v/>
      </c>
      <c r="CW64">
        <f>IF(AND($E64&lt;&gt;"pre",AND(Settings!$A$29&lt;&gt;"",Settings!$E$29&lt;&gt;"No"),Settings!$F$29="Yes",NOT(AND('Month-End'!$BI$17&lt;&gt;"",NOT(_xlfn.ISFORMULA('Month-End'!$BI$17))))),1,0)</f>
        <v/>
      </c>
      <c r="CX64">
        <f>IF(AND($E64&lt;&gt;"pre",AND(Settings!$A$30&lt;&gt;"",Settings!$E$30&lt;&gt;"No"),Settings!$F$30="Yes",NOT(AND('Month-End'!$BI$18&lt;&gt;"",NOT(_xlfn.ISFORMULA('Month-End'!$BI$18))))),1,0)</f>
        <v/>
      </c>
      <c r="CY64">
        <f>IF(AND($E64&lt;&gt;"pre",AND(Settings!$A$31&lt;&gt;"",Settings!$E$31&lt;&gt;"No"),Settings!$F$31="Yes",NOT(AND('Month-End'!$BI$19&lt;&gt;"",NOT(_xlfn.ISFORMULA('Month-End'!$BI$19))))),1,0)</f>
        <v/>
      </c>
      <c r="CZ64">
        <f>IF(AND($E64&lt;&gt;"pre",AND(Settings!$A$32&lt;&gt;"",Settings!$E$32&lt;&gt;"No"),Settings!$F$32="Yes",NOT(AND('Month-End'!$BI$20&lt;&gt;"",NOT(_xlfn.ISFORMULA('Month-End'!$BI$20))))),1,0)</f>
        <v/>
      </c>
      <c r="DA64">
        <f>IF($DT64=1,IF(OR(Settings!$B$19="Checking",Settings!$B$19="Savings",Settings!$B$19="Cash"),N($AE64),IF(OR(Settings!$B$19="Card",Settings!$B$19="Loan"),-N($AE64),0))+IF(OR(Settings!$B$20="Checking",Settings!$B$20="Savings",Settings!$B$20="Cash"),N($AF64),IF(OR(Settings!$B$20="Card",Settings!$B$20="Loan"),-N($AF64),0))+IF(OR(Settings!$B$21="Checking",Settings!$B$21="Savings",Settings!$B$21="Cash"),N($AG64),IF(OR(Settings!$B$21="Card",Settings!$B$21="Loan"),-N($AG64),0))+IF(OR(Settings!$B$22="Checking",Settings!$B$22="Savings",Settings!$B$22="Cash"),N($AH64),IF(OR(Settings!$B$22="Card",Settings!$B$22="Loan"),-N($AH64),0))+IF(OR(Settings!$B$23="Checking",Settings!$B$23="Savings",Settings!$B$23="Cash"),N($AI64),IF(OR(Settings!$B$23="Card",Settings!$B$23="Loan"),-N($AI64),0))+IF(OR(Settings!$B$24="Checking",Settings!$B$24="Savings",Settings!$B$24="Cash"),N($AJ64),IF(OR(Settings!$B$24="Card",Settings!$B$24="Loan"),-N($AJ64),0))+IF(OR(Settings!$B$25="Checking",Settings!$B$25="Savings",Settings!$B$25="Cash"),N($AK64),IF(OR(Settings!$B$25="Card",Settings!$B$25="Loan"),-N($AK64),0))+IF(OR(Settings!$B$26="Checking",Settings!$B$26="Savings",Settings!$B$26="Cash"),N($AL64),IF(OR(Settings!$B$26="Card",Settings!$B$26="Loan"),-N($AL64),0))+IF(OR(Settings!$B$27="Checking",Settings!$B$27="Savings",Settings!$B$27="Cash"),N($AM64),IF(OR(Settings!$B$27="Card",Settings!$B$27="Loan"),-N($AM64),0))+IF(OR(Settings!$B$28="Checking",Settings!$B$28="Savings",Settings!$B$28="Cash"),N($AN64),IF(OR(Settings!$B$28="Card",Settings!$B$28="Loan"),-N($AN64),0))+IF(OR(Settings!$B$29="Checking",Settings!$B$29="Savings",Settings!$B$29="Cash"),N($AO64),IF(OR(Settings!$B$29="Card",Settings!$B$29="Loan"),-N($AO64),0))+IF(OR(Settings!$B$30="Checking",Settings!$B$30="Savings",Settings!$B$30="Cash"),N($AP64),IF(OR(Settings!$B$30="Card",Settings!$B$30="Loan"),-N($AP64),0))+IF(OR(Settings!$B$31="Checking",Settings!$B$31="Savings",Settings!$B$31="Cash"),N($AQ64),IF(OR(Settings!$B$31="Card",Settings!$B$31="Loan"),-N($AQ64),0))+IF(OR(Settings!$B$32="Checking",Settings!$B$32="Savings",Settings!$B$32="Cash"),N($AR64),IF(OR(Settings!$B$32="Card",Settings!$B$32="Loan"),-N($AR64),0)),"")</f>
        <v/>
      </c>
      <c r="DB64">
        <f>IF($E64="open",$EB$27,IF($E64="post",IF($E63="pre",$EB$27,$DA63),""))</f>
        <v/>
      </c>
      <c r="DC64">
        <f>IF($E64="open",1,IF($E64="post",IF($E63="pre",1,$DT63),0))</f>
        <v/>
      </c>
      <c r="DD64">
        <f>IF(AND($DT64=1,$DC64=1),ROUND($W64-($DA64-$DB64)-$AD64-$AB64,2),"")</f>
        <v/>
      </c>
      <c r="DE64">
        <f>IF('Month-End'!$BI$35="",$BQ64,N('Month-End'!$BI$35))</f>
        <v/>
      </c>
      <c r="DF64">
        <f>N('Month-End'!$BI$36)</f>
        <v/>
      </c>
      <c r="DG64">
        <f>IF($DD64="","",$DD64+$DE64)</f>
        <v/>
      </c>
      <c r="DH64">
        <f>IF($DG64="","",$DG64-$DF64)</f>
        <v/>
      </c>
      <c r="DI64">
        <f>IF(OR($E64="pre",$D64=1),"",N($AS64)+N($AT64)+N($AU64)+N($AV64)+N($AW64)+N($AX64))</f>
        <v/>
      </c>
      <c r="DJ64">
        <f>IF($DT64=1,$DA64+N($DI64),"")</f>
        <v/>
      </c>
      <c r="DK64">
        <f>IF($DD64="","",$W64-$DD64-$AB64)</f>
        <v/>
      </c>
      <c r="DL64">
        <f>IF(AND($E64="post",$DD64&lt;&gt;"",$B64&lt;TODAY()),1,0)</f>
        <v/>
      </c>
      <c r="DM64">
        <f>IF($DL64=1,COUNTIF($DL64:$DL$183,1),0)</f>
        <v/>
      </c>
      <c r="DN64">
        <f>IF($D64=1,"",IF($E64="pre","History only",IF($DT64=1,IF($DD64="","⚠ Previous month missing",IF($DD64&lt;0,"⚠ Check: spending &lt; 0",IF($E64="open","✓ Done (partial)","✓ Done"))),IF($B64&gt;=TODAY(),"In progress","⚠ Needs balances"))))</f>
        <v/>
      </c>
      <c r="DO64">
        <f>YEAR($A64)</f>
        <v/>
      </c>
      <c r="DP64">
        <f>DATE(YEAR($A64),INT((MONTH($A64)-1)/3)*3+1,1)</f>
        <v/>
      </c>
      <c r="DQ64">
        <f>IF(AND($DT64=1,$DD64&lt;&gt;"",$D64=0),ROW(),0)</f>
        <v/>
      </c>
      <c r="DR64">
        <f>IF(AND($E64&lt;&gt;"pre",$B64&lt;TODAY(),$DT64=0),1,0)</f>
        <v/>
      </c>
      <c r="DS64">
        <f>IF($DJ64="",NA(),$DJ64)</f>
        <v/>
      </c>
      <c r="DT64">
        <f>IF(AND($E64&lt;&gt;"pre",$CL64=0,COUNTIFS(Settings!$F$19:$F$32,"Yes",Settings!$A$19:$A$32,"&lt;&gt;",Settings!$E$19:$E$32,"&lt;&gt;No")&gt;0),1,0)</f>
        <v/>
      </c>
      <c r="DU64">
        <f>IF(AND($B64&lt;TODAY(),$S64&gt;0),1,0)</f>
        <v/>
      </c>
      <c r="DV64">
        <f>IF($DU64=1,COUNTIF($DU64:$DU$183,1),0)</f>
        <v/>
      </c>
      <c r="DW64">
        <f>IF(AND(OR(Settings!$B$19="Card",Settings!$B$19="Loan"),AND('Month-End'!$BI$7&lt;&gt;"",NOT(_xlfn.ISFORMULA('Month-End'!$BI$7)))),IF(N('Month-End'!$BI$7)&lt;0,1,0),0)+IF(AND(OR(Settings!$B$20="Card",Settings!$B$20="Loan"),AND('Month-End'!$BI$8&lt;&gt;"",NOT(_xlfn.ISFORMULA('Month-End'!$BI$8)))),IF(N('Month-End'!$BI$8)&lt;0,1,0),0)+IF(AND(OR(Settings!$B$21="Card",Settings!$B$21="Loan"),AND('Month-End'!$BI$9&lt;&gt;"",NOT(_xlfn.ISFORMULA('Month-End'!$BI$9)))),IF(N('Month-End'!$BI$9)&lt;0,1,0),0)+IF(AND(OR(Settings!$B$22="Card",Settings!$B$22="Loan"),AND('Month-End'!$BI$10&lt;&gt;"",NOT(_xlfn.ISFORMULA('Month-End'!$BI$10)))),IF(N('Month-End'!$BI$10)&lt;0,1,0),0)+IF(AND(OR(Settings!$B$23="Card",Settings!$B$23="Loan"),AND('Month-End'!$BI$11&lt;&gt;"",NOT(_xlfn.ISFORMULA('Month-End'!$BI$11)))),IF(N('Month-End'!$BI$11)&lt;0,1,0),0)+IF(AND(OR(Settings!$B$24="Card",Settings!$B$24="Loan"),AND('Month-End'!$BI$12&lt;&gt;"",NOT(_xlfn.ISFORMULA('Month-End'!$BI$12)))),IF(N('Month-End'!$BI$12)&lt;0,1,0),0)+IF(AND(OR(Settings!$B$25="Card",Settings!$B$25="Loan"),AND('Month-End'!$BI$13&lt;&gt;"",NOT(_xlfn.ISFORMULA('Month-End'!$BI$13)))),IF(N('Month-End'!$BI$13)&lt;0,1,0),0)+IF(AND(OR(Settings!$B$26="Card",Settings!$B$26="Loan"),AND('Month-End'!$BI$14&lt;&gt;"",NOT(_xlfn.ISFORMULA('Month-End'!$BI$14)))),IF(N('Month-End'!$BI$14)&lt;0,1,0),0)+IF(AND(OR(Settings!$B$27="Card",Settings!$B$27="Loan"),AND('Month-End'!$BI$15&lt;&gt;"",NOT(_xlfn.ISFORMULA('Month-End'!$BI$15)))),IF(N('Month-End'!$BI$15)&lt;0,1,0),0)+IF(AND(OR(Settings!$B$28="Card",Settings!$B$28="Loan"),AND('Month-End'!$BI$16&lt;&gt;"",NOT(_xlfn.ISFORMULA('Month-End'!$BI$16)))),IF(N('Month-End'!$BI$16)&lt;0,1,0),0)+IF(AND(OR(Settings!$B$29="Card",Settings!$B$29="Loan"),AND('Month-End'!$BI$17&lt;&gt;"",NOT(_xlfn.ISFORMULA('Month-End'!$BI$17)))),IF(N('Month-End'!$BI$17)&lt;0,1,0),0)+IF(AND(OR(Settings!$B$30="Card",Settings!$B$30="Loan"),AND('Month-End'!$BI$18&lt;&gt;"",NOT(_xlfn.ISFORMULA('Month-End'!$BI$18)))),IF(N('Month-End'!$BI$18)&lt;0,1,0),0)+IF(AND(OR(Settings!$B$31="Card",Settings!$B$31="Loan"),AND('Month-End'!$BI$19&lt;&gt;"",NOT(_xlfn.ISFORMULA('Month-End'!$BI$19)))),IF(N('Month-End'!$BI$19)&lt;0,1,0),0)+IF(AND(OR(Settings!$B$32="Card",Settings!$B$32="Loan"),AND('Month-End'!$BI$20&lt;&gt;"",NOT(_xlfn.ISFORMULA('Month-End'!$BI$20)))),IF(N('Month-End'!$BI$20)&lt;0,1,0),0)</f>
        <v/>
      </c>
      <c r="DX64">
        <f>IF(Settings!$B$36="Retirement",$AY64,0)+IF(Settings!$B$37="Retirement",$AZ64,0)+IF(Settings!$B$38="Retirement",$BA64,0)+IF(Settings!$B$39="Retirement",$BB64,0)+IF(Settings!$B$40="Retirement",$BC64,0)+IF(Settings!$B$41="Retirement",$BD64,0)</f>
        <v/>
      </c>
      <c r="EA64" t="inlineStr">
        <is>
          <t>Tax-Deductible Giving This Year</t>
        </is>
      </c>
      <c r="EB64">
        <f>SUMIFS($FH$6:$FH$183,$DO$6:$DO$183,YEAR(TODAY()))</f>
        <v/>
      </c>
      <c r="ET64">
        <f>IF($E64&lt;&gt;"open",0,IF(AND('Month-End'!$BI$22&lt;&gt;"",NOT(_xlfn.ISFORMULA('Month-End'!$BI$22))),0,IF(OR(Settings!$C$45="",Settings!$D$45=""),0,Settings!$C$45*IF(Settings!$D$45="Weekly",IF(IFERROR(MATCH(Settings!$E$45,$EO$4:$EO$10,0),0)=0,0,IF(MIN(Settings!$B$5,IF(Settings!$G$45="",Settings!$B$5,Settings!$G$45))&lt;MAX($A64,Settings!$F$45),0,INT((MIN(Settings!$B$5,IF(Settings!$G$45="",Settings!$B$5,Settings!$G$45))-MAX($A64,Settings!$F$45)-MOD(IFERROR(MATCH(Settings!$E$45,$EO$4:$EO$10,0),0)-WEEKDAY(MAX($A64,Settings!$F$45)),7))/7)+1)),IF(AND(IF(Settings!$E$45="",$B64,DATE(YEAR($A64),MONTH($A64),MIN(Settings!$E$45,DAY($B64))))&gt;=MAX($A64,Settings!$F$45),IF(Settings!$E$45="",$B64,DATE(YEAR($A64),MONTH($A64),MIN(Settings!$E$45,DAY($B64))))&lt;=MIN(Settings!$B$5,IF(Settings!$G$45="",Settings!$B$5,Settings!$G$45))),1,0)))))</f>
        <v/>
      </c>
      <c r="EU64">
        <f>IF($E64&lt;&gt;"open",0,IF(AND('Month-End'!$BI$23&lt;&gt;"",NOT(_xlfn.ISFORMULA('Month-End'!$BI$23))),0,IF(OR(Settings!$C$46="",Settings!$D$46=""),0,Settings!$C$46*IF(Settings!$D$46="Weekly",IF(IFERROR(MATCH(Settings!$E$46,$EO$4:$EO$10,0),0)=0,0,IF(MIN(Settings!$B$5,IF(Settings!$G$46="",Settings!$B$5,Settings!$G$46))&lt;MAX($A64,Settings!$F$46),0,INT((MIN(Settings!$B$5,IF(Settings!$G$46="",Settings!$B$5,Settings!$G$46))-MAX($A64,Settings!$F$46)-MOD(IFERROR(MATCH(Settings!$E$46,$EO$4:$EO$10,0),0)-WEEKDAY(MAX($A64,Settings!$F$46)),7))/7)+1)),IF(AND(IF(Settings!$E$46="",$B64,DATE(YEAR($A64),MONTH($A64),MIN(Settings!$E$46,DAY($B64))))&gt;=MAX($A64,Settings!$F$46),IF(Settings!$E$46="",$B64,DATE(YEAR($A64),MONTH($A64),MIN(Settings!$E$46,DAY($B64))))&lt;=MIN(Settings!$B$5,IF(Settings!$G$46="",Settings!$B$5,Settings!$G$46))),1,0)))))</f>
        <v/>
      </c>
      <c r="EV64">
        <f>IF($E64&lt;&gt;"open",0,IF(AND('Month-End'!$BI$24&lt;&gt;"",NOT(_xlfn.ISFORMULA('Month-End'!$BI$24))),0,IF(OR(Settings!$C$47="",Settings!$D$47=""),0,Settings!$C$47*IF(Settings!$D$47="Weekly",IF(IFERROR(MATCH(Settings!$E$47,$EO$4:$EO$10,0),0)=0,0,IF(MIN(Settings!$B$5,IF(Settings!$G$47="",Settings!$B$5,Settings!$G$47))&lt;MAX($A64,Settings!$F$47),0,INT((MIN(Settings!$B$5,IF(Settings!$G$47="",Settings!$B$5,Settings!$G$47))-MAX($A64,Settings!$F$47)-MOD(IFERROR(MATCH(Settings!$E$47,$EO$4:$EO$10,0),0)-WEEKDAY(MAX($A64,Settings!$F$47)),7))/7)+1)),IF(AND(IF(Settings!$E$47="",$B64,DATE(YEAR($A64),MONTH($A64),MIN(Settings!$E$47,DAY($B64))))&gt;=MAX($A64,Settings!$F$47),IF(Settings!$E$47="",$B64,DATE(YEAR($A64),MONTH($A64),MIN(Settings!$E$47,DAY($B64))))&lt;=MIN(Settings!$B$5,IF(Settings!$G$47="",Settings!$B$5,Settings!$G$47))),1,0)))))</f>
        <v/>
      </c>
      <c r="EW64">
        <f>IF($E64&lt;&gt;"open",0,IF(AND('Month-End'!$BI$25&lt;&gt;"",NOT(_xlfn.ISFORMULA('Month-End'!$BI$25))),0,IF(OR(Settings!$C$48="",Settings!$D$48=""),0,Settings!$C$48*IF(Settings!$D$48="Weekly",IF(IFERROR(MATCH(Settings!$E$48,$EO$4:$EO$10,0),0)=0,0,IF(MIN(Settings!$B$5,IF(Settings!$G$48="",Settings!$B$5,Settings!$G$48))&lt;MAX($A64,Settings!$F$48),0,INT((MIN(Settings!$B$5,IF(Settings!$G$48="",Settings!$B$5,Settings!$G$48))-MAX($A64,Settings!$F$48)-MOD(IFERROR(MATCH(Settings!$E$48,$EO$4:$EO$10,0),0)-WEEKDAY(MAX($A64,Settings!$F$48)),7))/7)+1)),IF(AND(IF(Settings!$E$48="",$B64,DATE(YEAR($A64),MONTH($A64),MIN(Settings!$E$48,DAY($B64))))&gt;=MAX($A64,Settings!$F$48),IF(Settings!$E$48="",$B64,DATE(YEAR($A64),MONTH($A64),MIN(Settings!$E$48,DAY($B64))))&lt;=MIN(Settings!$B$5,IF(Settings!$G$48="",Settings!$B$5,Settings!$G$48))),1,0)))))</f>
        <v/>
      </c>
      <c r="EX64">
        <f>IF($E64&lt;&gt;"open",0,IF(AND('Month-End'!$BI$26&lt;&gt;"",NOT(_xlfn.ISFORMULA('Month-End'!$BI$26))),0,IF(OR(Settings!$C$49="",Settings!$D$49=""),0,Settings!$C$49*IF(Settings!$D$49="Weekly",IF(IFERROR(MATCH(Settings!$E$49,$EO$4:$EO$10,0),0)=0,0,IF(MIN(Settings!$B$5,IF(Settings!$G$49="",Settings!$B$5,Settings!$G$49))&lt;MAX($A64,Settings!$F$49),0,INT((MIN(Settings!$B$5,IF(Settings!$G$49="",Settings!$B$5,Settings!$G$49))-MAX($A64,Settings!$F$49)-MOD(IFERROR(MATCH(Settings!$E$49,$EO$4:$EO$10,0),0)-WEEKDAY(MAX($A64,Settings!$F$49)),7))/7)+1)),IF(AND(IF(Settings!$E$49="",$B64,DATE(YEAR($A64),MONTH($A64),MIN(Settings!$E$49,DAY($B64))))&gt;=MAX($A64,Settings!$F$49),IF(Settings!$E$49="",$B64,DATE(YEAR($A64),MONTH($A64),MIN(Settings!$E$49,DAY($B64))))&lt;=MIN(Settings!$B$5,IF(Settings!$G$49="",Settings!$B$5,Settings!$G$49))),1,0)))))</f>
        <v/>
      </c>
      <c r="EY64">
        <f>IF($E64&lt;&gt;"open",0,IF(AND('Month-End'!$BI$27&lt;&gt;"",NOT(_xlfn.ISFORMULA('Month-End'!$BI$27))),0,IF(OR(Settings!$C$50="",Settings!$D$50=""),0,Settings!$C$50*IF(Settings!$D$50="Weekly",IF(IFERROR(MATCH(Settings!$E$50,$EO$4:$EO$10,0),0)=0,0,IF(MIN(Settings!$B$5,IF(Settings!$G$50="",Settings!$B$5,Settings!$G$50))&lt;MAX($A64,Settings!$F$50),0,INT((MIN(Settings!$B$5,IF(Settings!$G$50="",Settings!$B$5,Settings!$G$50))-MAX($A64,Settings!$F$50)-MOD(IFERROR(MATCH(Settings!$E$50,$EO$4:$EO$10,0),0)-WEEKDAY(MAX($A64,Settings!$F$50)),7))/7)+1)),IF(AND(IF(Settings!$E$50="",$B64,DATE(YEAR($A64),MONTH($A64),MIN(Settings!$E$50,DAY($B64))))&gt;=MAX($A64,Settings!$F$50),IF(Settings!$E$50="",$B64,DATE(YEAR($A64),MONTH($A64),MIN(Settings!$E$50,DAY($B64))))&lt;=MIN(Settings!$B$5,IF(Settings!$G$50="",Settings!$B$5,Settings!$G$50))),1,0)))))</f>
        <v/>
      </c>
      <c r="EZ64">
        <f>IF($E64&lt;&gt;"open",0,IF(AND('Month-End'!$BI$28&lt;&gt;"",NOT(_xlfn.ISFORMULA('Month-End'!$BI$28))),0,IF(OR(Settings!$C$51="",Settings!$D$51=""),0,Settings!$C$51*IF(Settings!$D$51="Weekly",IF(IFERROR(MATCH(Settings!$E$51,$EO$4:$EO$10,0),0)=0,0,IF(MIN(Settings!$B$5,IF(Settings!$G$51="",Settings!$B$5,Settings!$G$51))&lt;MAX($A64,Settings!$F$51),0,INT((MIN(Settings!$B$5,IF(Settings!$G$51="",Settings!$B$5,Settings!$G$51))-MAX($A64,Settings!$F$51)-MOD(IFERROR(MATCH(Settings!$E$51,$EO$4:$EO$10,0),0)-WEEKDAY(MAX($A64,Settings!$F$51)),7))/7)+1)),IF(AND(IF(Settings!$E$51="",$B64,DATE(YEAR($A64),MONTH($A64),MIN(Settings!$E$51,DAY($B64))))&gt;=MAX($A64,Settings!$F$51),IF(Settings!$E$51="",$B64,DATE(YEAR($A64),MONTH($A64),MIN(Settings!$E$51,DAY($B64))))&lt;=MIN(Settings!$B$5,IF(Settings!$G$51="",Settings!$B$5,Settings!$G$51))),1,0)))))</f>
        <v/>
      </c>
      <c r="FA64">
        <f>IF($E64&lt;&gt;"open",0,IF(AND('Month-End'!$BI$29&lt;&gt;"",NOT(_xlfn.ISFORMULA('Month-End'!$BI$29))),0,IF(OR(Settings!$C$52="",Settings!$D$52=""),0,Settings!$C$52*IF(Settings!$D$52="Weekly",IF(IFERROR(MATCH(Settings!$E$52,$EO$4:$EO$10,0),0)=0,0,IF(MIN(Settings!$B$5,IF(Settings!$G$52="",Settings!$B$5,Settings!$G$52))&lt;MAX($A64,Settings!$F$52),0,INT((MIN(Settings!$B$5,IF(Settings!$G$52="",Settings!$B$5,Settings!$G$52))-MAX($A64,Settings!$F$52)-MOD(IFERROR(MATCH(Settings!$E$52,$EO$4:$EO$10,0),0)-WEEKDAY(MAX($A64,Settings!$F$52)),7))/7)+1)),IF(AND(IF(Settings!$E$52="",$B64,DATE(YEAR($A64),MONTH($A64),MIN(Settings!$E$52,DAY($B64))))&gt;=MAX($A64,Settings!$F$52),IF(Settings!$E$52="",$B64,DATE(YEAR($A64),MONTH($A64),MIN(Settings!$E$52,DAY($B64))))&lt;=MIN(Settings!$B$5,IF(Settings!$G$52="",Settings!$B$5,Settings!$G$52))),1,0)))))</f>
        <v/>
      </c>
      <c r="FB64">
        <f>IF($E64&lt;&gt;"open",0,IF(AND('Month-End'!$BI$30&lt;&gt;"",NOT(_xlfn.ISFORMULA('Month-End'!$BI$30))),0,IF(OR(Settings!$C$53="",Settings!$D$53=""),0,Settings!$C$53*IF(Settings!$D$53="Weekly",IF(IFERROR(MATCH(Settings!$E$53,$EO$4:$EO$10,0),0)=0,0,IF(MIN(Settings!$B$5,IF(Settings!$G$53="",Settings!$B$5,Settings!$G$53))&lt;MAX($A64,Settings!$F$53),0,INT((MIN(Settings!$B$5,IF(Settings!$G$53="",Settings!$B$5,Settings!$G$53))-MAX($A64,Settings!$F$53)-MOD(IFERROR(MATCH(Settings!$E$53,$EO$4:$EO$10,0),0)-WEEKDAY(MAX($A64,Settings!$F$53)),7))/7)+1)),IF(AND(IF(Settings!$E$53="",$B64,DATE(YEAR($A64),MONTH($A64),MIN(Settings!$E$53,DAY($B64))))&gt;=MAX($A64,Settings!$F$53),IF(Settings!$E$53="",$B64,DATE(YEAR($A64),MONTH($A64),MIN(Settings!$E$53,DAY($B64))))&lt;=MIN(Settings!$B$5,IF(Settings!$G$53="",Settings!$B$5,Settings!$G$53))),1,0)))))</f>
        <v/>
      </c>
      <c r="FC64">
        <f>IF($E64&lt;&gt;"open",0,IF(AND('Month-End'!$BI$31&lt;&gt;"",NOT(_xlfn.ISFORMULA('Month-End'!$BI$31))),0,IF(OR(Settings!$C$54="",Settings!$D$54=""),0,Settings!$C$54*IF(Settings!$D$54="Weekly",IF(IFERROR(MATCH(Settings!$E$54,$EO$4:$EO$10,0),0)=0,0,IF(MIN(Settings!$B$5,IF(Settings!$G$54="",Settings!$B$5,Settings!$G$54))&lt;MAX($A64,Settings!$F$54),0,INT((MIN(Settings!$B$5,IF(Settings!$G$54="",Settings!$B$5,Settings!$G$54))-MAX($A64,Settings!$F$54)-MOD(IFERROR(MATCH(Settings!$E$54,$EO$4:$EO$10,0),0)-WEEKDAY(MAX($A64,Settings!$F$54)),7))/7)+1)),IF(AND(IF(Settings!$E$54="",$B64,DATE(YEAR($A64),MONTH($A64),MIN(Settings!$E$54,DAY($B64))))&gt;=MAX($A64,Settings!$F$54),IF(Settings!$E$54="",$B64,DATE(YEAR($A64),MONTH($A64),MIN(Settings!$E$54,DAY($B64))))&lt;=MIN(Settings!$B$5,IF(Settings!$G$54="",Settings!$B$5,Settings!$G$54))),1,0)))))</f>
        <v/>
      </c>
      <c r="FD64">
        <f>IF($E64&lt;&gt;"open",0,IF(AND('Month-End'!$BI$32&lt;&gt;"",NOT(_xlfn.ISFORMULA('Month-End'!$BI$32))),0,IF(OR(Settings!$C$55="",Settings!$D$55=""),0,Settings!$C$55*IF(Settings!$D$55="Weekly",IF(IFERROR(MATCH(Settings!$E$55,$EO$4:$EO$10,0),0)=0,0,IF(MIN(Settings!$B$5,IF(Settings!$G$55="",Settings!$B$5,Settings!$G$55))&lt;MAX($A64,Settings!$F$55),0,INT((MIN(Settings!$B$5,IF(Settings!$G$55="",Settings!$B$5,Settings!$G$55))-MAX($A64,Settings!$F$55)-MOD(IFERROR(MATCH(Settings!$E$55,$EO$4:$EO$10,0),0)-WEEKDAY(MAX($A64,Settings!$F$55)),7))/7)+1)),IF(AND(IF(Settings!$E$55="",$B64,DATE(YEAR($A64),MONTH($A64),MIN(Settings!$E$55,DAY($B64))))&gt;=MAX($A64,Settings!$F$55),IF(Settings!$E$55="",$B64,DATE(YEAR($A64),MONTH($A64),MIN(Settings!$E$55,DAY($B64))))&lt;=MIN(Settings!$B$5,IF(Settings!$G$55="",Settings!$B$5,Settings!$G$55))),1,0)))))</f>
        <v/>
      </c>
      <c r="FE64">
        <f>IF($E64&lt;&gt;"open",0,IF(AND('Month-End'!$BI$33&lt;&gt;"",NOT(_xlfn.ISFORMULA('Month-End'!$BI$33))),0,IF(OR(Settings!$C$56="",Settings!$D$56=""),0,Settings!$C$56*IF(Settings!$D$56="Weekly",IF(IFERROR(MATCH(Settings!$E$56,$EO$4:$EO$10,0),0)=0,0,IF(MIN(Settings!$B$5,IF(Settings!$G$56="",Settings!$B$5,Settings!$G$56))&lt;MAX($A64,Settings!$F$56),0,INT((MIN(Settings!$B$5,IF(Settings!$G$56="",Settings!$B$5,Settings!$G$56))-MAX($A64,Settings!$F$56)-MOD(IFERROR(MATCH(Settings!$E$56,$EO$4:$EO$10,0),0)-WEEKDAY(MAX($A64,Settings!$F$56)),7))/7)+1)),IF(AND(IF(Settings!$E$56="",$B64,DATE(YEAR($A64),MONTH($A64),MIN(Settings!$E$56,DAY($B64))))&gt;=MAX($A64,Settings!$F$56),IF(Settings!$E$56="",$B64,DATE(YEAR($A64),MONTH($A64),MIN(Settings!$E$56,DAY($B64))))&lt;=MIN(Settings!$B$5,IF(Settings!$G$56="",Settings!$B$5,Settings!$G$56))),1,0)))))</f>
        <v/>
      </c>
      <c r="FF64">
        <f>IF(Settings!$I$45="Yes",$G64,0)+IF(Settings!$I$46="Yes",$H64,0)+IF(Settings!$I$47="Yes",$I64,0)+IF(Settings!$I$48="Yes",$J64,0)+IF(Settings!$I$49="Yes",$K64,0)+IF(Settings!$I$50="Yes",$L64,0)+IF(Settings!$I$51="Yes",$M64,0)+IF(Settings!$I$52="Yes",$N64,0)+IF(Settings!$I$53="Yes",$O64,0)+IF(Settings!$I$54="Yes",$P64,0)+IF(Settings!$I$55="Yes",$Q64,0)+IF(Settings!$I$56="Yes",$R64,0)</f>
        <v/>
      </c>
      <c r="FG64">
        <f>IF(AND(Settings!$I$45="Yes",Settings!$J$45="No"),$G64,0)+IF(AND(Settings!$I$46="Yes",Settings!$J$46="No"),$H64,0)+IF(AND(Settings!$I$47="Yes",Settings!$J$47="No"),$I64,0)+IF(AND(Settings!$I$48="Yes",Settings!$J$48="No"),$J64,0)+IF(AND(Settings!$I$49="Yes",Settings!$J$49="No"),$K64,0)+IF(AND(Settings!$I$50="Yes",Settings!$J$50="No"),$L64,0)+IF(AND(Settings!$I$51="Yes",Settings!$J$51="No"),$M64,0)+IF(AND(Settings!$I$52="Yes",Settings!$J$52="No"),$N64,0)+IF(AND(Settings!$I$53="Yes",Settings!$J$53="No"),$O64,0)+IF(AND(Settings!$I$54="Yes",Settings!$J$54="No"),$P64,0)+IF(AND(Settings!$I$55="Yes",Settings!$J$55="No"),$Q64,0)+IF(AND(Settings!$I$56="Yes",Settings!$J$56="No"),$R64,0)</f>
        <v/>
      </c>
      <c r="FH64">
        <f>SUMIFS(Giving!$B$7:$B$2006,Giving!$A$7:$A$2006,"&gt;="&amp;$A64,Giving!$A$7:$A$2006,"&lt;="&amp;$B64,Giving!$G$7:$G$2006,"Yes")+IF(OR(OR(Settings!$B$60="",Settings!$F$60="No"),Settings!$H$60&lt;&gt;"Yes"),0,Settings!$B$60*IF(AND(IF(Settings!$C$60="",$B64,DATE(YEAR($A64),MONTH($A64),MIN(Settings!$C$60,DAY($B64))))&gt;=MAX($A64,Settings!$D$60),IF(Settings!$C$60="",$B64,DATE(YEAR($A64),MONTH($A64),MIN(Settings!$C$60,DAY($B64))))&lt;=MIN($C64,IF(Settings!$E$60="",$C64,Settings!$E$60))),1,0))+IF(OR(OR(Settings!$B$61="",Settings!$F$61="No"),Settings!$H$61&lt;&gt;"Yes"),0,Settings!$B$61*IF(AND(IF(Settings!$C$61="",$B64,DATE(YEAR($A64),MONTH($A64),MIN(Settings!$C$61,DAY($B64))))&gt;=MAX($A64,Settings!$D$61),IF(Settings!$C$61="",$B64,DATE(YEAR($A64),MONTH($A64),MIN(Settings!$C$61,DAY($B64))))&lt;=MIN($C64,IF(Settings!$E$61="",$C64,Settings!$E$61))),1,0))+IF(OR(OR(Settings!$B$62="",Settings!$F$62="No"),Settings!$H$62&lt;&gt;"Yes"),0,Settings!$B$62*IF(AND(IF(Settings!$C$62="",$B64,DATE(YEAR($A64),MONTH($A64),MIN(Settings!$C$62,DAY($B64))))&gt;=MAX($A64,Settings!$D$62),IF(Settings!$C$62="",$B64,DATE(YEAR($A64),MONTH($A64),MIN(Settings!$C$62,DAY($B64))))&lt;=MIN($C64,IF(Settings!$E$62="",$C64,Settings!$E$62))),1,0))+IF(OR(OR(Settings!$B$63="",Settings!$F$63="No"),Settings!$H$63&lt;&gt;"Yes"),0,Settings!$B$63*IF(AND(IF(Settings!$C$63="",$B64,DATE(YEAR($A64),MONTH($A64),MIN(Settings!$C$63,DAY($B64))))&gt;=MAX($A64,Settings!$D$63),IF(Settings!$C$63="",$B64,DATE(YEAR($A64),MONTH($A64),MIN(Settings!$C$63,DAY($B64))))&lt;=MIN($C64,IF(Settings!$E$63="",$C64,Settings!$E$63))),1,0))+IF(OR(OR(Settings!$B$64="",Settings!$F$64="No"),Settings!$H$64&lt;&gt;"Yes"),0,Settings!$B$64*IF(AND(IF(Settings!$C$64="",$B64,DATE(YEAR($A64),MONTH($A64),MIN(Settings!$C$64,DAY($B64))))&gt;=MAX($A64,Settings!$D$64),IF(Settings!$C$64="",$B64,DATE(YEAR($A64),MONTH($A64),MIN(Settings!$C$64,DAY($B64))))&lt;=MIN($C64,IF(Settings!$E$64="",$C64,Settings!$E$64))),1,0))+IF(OR(OR(Settings!$B$65="",Settings!$F$65="No"),Settings!$H$65&lt;&gt;"Yes"),0,Settings!$B$65*IF(AND(IF(Settings!$C$65="",$B64,DATE(YEAR($A64),MONTH($A64),MIN(Settings!$C$65,DAY($B64))))&gt;=MAX($A64,Settings!$D$65),IF(Settings!$C$65="",$B64,DATE(YEAR($A64),MONTH($A64),MIN(Settings!$C$65,DAY($B64))))&lt;=MIN($C64,IF(Settings!$E$65="",$C64,Settings!$E$65))),1,0))</f>
        <v/>
      </c>
      <c r="FI64">
        <f>IF($DT64=1,IF(OR(Settings!$B$19="Card",Settings!$B$19="Loan"),N($AE64),0)+IF(OR(Settings!$B$20="Card",Settings!$B$20="Loan"),N($AF64),0)+IF(OR(Settings!$B$21="Card",Settings!$B$21="Loan"),N($AG64),0)+IF(OR(Settings!$B$22="Card",Settings!$B$22="Loan"),N($AH64),0)+IF(OR(Settings!$B$23="Card",Settings!$B$23="Loan"),N($AI64),0)+IF(OR(Settings!$B$24="Card",Settings!$B$24="Loan"),N($AJ64),0)+IF(OR(Settings!$B$25="Card",Settings!$B$25="Loan"),N($AK64),0)+IF(OR(Settings!$B$26="Card",Settings!$B$26="Loan"),N($AL64),0)+IF(OR(Settings!$B$27="Card",Settings!$B$27="Loan"),N($AM64),0)+IF(OR(Settings!$B$28="Card",Settings!$B$28="Loan"),N($AN64),0)+IF(OR(Settings!$B$29="Card",Settings!$B$29="Loan"),N($AO64),0)+IF(OR(Settings!$B$30="Card",Settings!$B$30="Loan"),N($AP64),0)+IF(OR(Settings!$B$31="Card",Settings!$B$31="Loan"),N($AQ64),0)+IF(OR(Settings!$B$32="Card",Settings!$B$32="Loan"),N($AR64),0),"")</f>
        <v/>
      </c>
      <c r="FJ64">
        <f>IF($E64="open",$EB$65,IF($E64="post",IF($E63="pre",$EB$65,$FI63),""))</f>
        <v/>
      </c>
      <c r="FK64">
        <f>IF(AND($DT64=1,$DC64=1),IF(ROUND($FI64-$FJ64,2)&gt;0,1,0),0)</f>
        <v/>
      </c>
      <c r="FL64">
        <f>IF($FK64=1,$FL63+1,0)</f>
        <v/>
      </c>
    </row>
    <row r="65">
      <c r="A65">
        <f>'Month-End'!$BJ$4</f>
        <v/>
      </c>
      <c r="B65">
        <f>EOMONTH($A65,0)</f>
        <v/>
      </c>
      <c r="C65">
        <f>MIN($B65,TODAY())</f>
        <v/>
      </c>
      <c r="D65">
        <f>IF($A65&gt;TODAY(),1,0)</f>
        <v/>
      </c>
      <c r="E65">
        <f>IF($B65&lt;=Settings!$B$5,"pre",IF($A65&lt;=Settings!$B$5,"open","post"))</f>
        <v/>
      </c>
      <c r="G65">
        <f>IF('Month-End'!$BJ$22="",$BE65,N('Month-End'!$BJ$22))</f>
        <v/>
      </c>
      <c r="H65">
        <f>IF('Month-End'!$BJ$23="",$BF65,N('Month-End'!$BJ$23))</f>
        <v/>
      </c>
      <c r="I65">
        <f>IF('Month-End'!$BJ$24="",$BG65,N('Month-End'!$BJ$24))</f>
        <v/>
      </c>
      <c r="J65">
        <f>IF('Month-End'!$BJ$25="",$BH65,N('Month-End'!$BJ$25))</f>
        <v/>
      </c>
      <c r="K65">
        <f>IF('Month-End'!$BJ$26="",$BI65,N('Month-End'!$BJ$26))</f>
        <v/>
      </c>
      <c r="L65">
        <f>IF('Month-End'!$BJ$27="",$BJ65,N('Month-End'!$BJ$27))</f>
        <v/>
      </c>
      <c r="M65">
        <f>IF('Month-End'!$BJ$28="",$BK65,N('Month-End'!$BJ$28))</f>
        <v/>
      </c>
      <c r="N65">
        <f>IF('Month-End'!$BJ$29="",$BL65,N('Month-End'!$BJ$29))</f>
        <v/>
      </c>
      <c r="O65">
        <f>IF('Month-End'!$BJ$30="",$BM65,N('Month-End'!$BJ$30))</f>
        <v/>
      </c>
      <c r="P65">
        <f>IF('Month-End'!$BJ$31="",$BN65,N('Month-End'!$BJ$31))</f>
        <v/>
      </c>
      <c r="Q65">
        <f>IF('Month-End'!$BJ$32="",$BO65,N('Month-End'!$BJ$32))</f>
        <v/>
      </c>
      <c r="R65">
        <f>IF('Month-End'!$BJ$33="",$BP65,N('Month-End'!$BJ$33))</f>
        <v/>
      </c>
      <c r="S65">
        <f>$G65+$H65+$I65+$J65+$K65+$L65+$M65+$N65+$O65+$P65+$Q65+$R65</f>
        <v/>
      </c>
      <c r="T65">
        <f>IF($B65&lt;Settings!$B$6,0,IF(Settings!$B$45="Yes",$G65,0)+IF(Settings!$B$46="Yes",$H65,0)+IF(Settings!$B$47="Yes",$I65,0)+IF(Settings!$B$48="Yes",$J65,0)+IF(Settings!$B$49="Yes",$K65,0)+IF(Settings!$B$50="Yes",$L65,0)+IF(Settings!$B$51="Yes",$M65,0)+IF(Settings!$B$52="Yes",$N65,0)+IF(Settings!$B$53="Yes",$O65,0)+IF(Settings!$B$54="Yes",$P65,0)+IF(Settings!$B$55="Yes",$Q65,0)+IF(Settings!$B$56="Yes",$R65,0))</f>
        <v/>
      </c>
      <c r="U65">
        <f>IF(Settings!$B$45="Not Sure",$G65,0)+IF(Settings!$B$46="Not Sure",$H65,0)+IF(Settings!$B$47="Not Sure",$I65,0)+IF(Settings!$B$48="Not Sure",$J65,0)+IF(Settings!$B$49="Not Sure",$K65,0)+IF(Settings!$B$50="Not Sure",$L65,0)+IF(Settings!$B$51="Not Sure",$M65,0)+IF(Settings!$B$52="Not Sure",$N65,0)+IF(Settings!$B$53="Not Sure",$O65,0)+IF(Settings!$B$54="Not Sure",$P65,0)+IF(Settings!$B$55="Not Sure",$Q65,0)+IF(Settings!$B$56="Not Sure",$R65,0)</f>
        <v/>
      </c>
      <c r="V65">
        <f>IF($E65="open",SUM($ET65:$FE65)+N(Settings!$B$13),0)</f>
        <v/>
      </c>
      <c r="W65">
        <f>IF($E65="post",$S65,IF($E65="open",$S65-$V65,0))</f>
        <v/>
      </c>
      <c r="X65">
        <f>SUMIFS(Giving!$B$7:$B$2006,Giving!$A$7:$A$2006,"&gt;="&amp;$A65,Giving!$A$7:$A$2006,"&lt;="&amp;$B65,Giving!$E$7:$E$2006,"&lt;&gt;No")</f>
        <v/>
      </c>
      <c r="Y65">
        <f>SUMIFS(Giving!$B$7:$B$2006,Giving!$A$7:$A$2006,"&gt;="&amp;$A65,Giving!$A$7:$A$2006,"&lt;="&amp;$B65,Giving!$E$7:$E$2006,"No")</f>
        <v/>
      </c>
      <c r="Z65">
        <f>IF(OR(Settings!$B$60="",Settings!$F$60="No"),0,Settings!$B$60*IF(AND(IF(Settings!$C$60="",$B65,DATE(YEAR($A65),MONTH($A65),MIN(Settings!$C$60,DAY($B65))))&gt;=MAX($A65,Settings!$D$60),IF(Settings!$C$60="",$B65,DATE(YEAR($A65),MONTH($A65),MIN(Settings!$C$60,DAY($B65))))&lt;=MIN($C65,IF(Settings!$E$60="",$C65,Settings!$E$60))),1,0))+IF(OR(Settings!$B$61="",Settings!$F$61="No"),0,Settings!$B$61*IF(AND(IF(Settings!$C$61="",$B65,DATE(YEAR($A65),MONTH($A65),MIN(Settings!$C$61,DAY($B65))))&gt;=MAX($A65,Settings!$D$61),IF(Settings!$C$61="",$B65,DATE(YEAR($A65),MONTH($A65),MIN(Settings!$C$61,DAY($B65))))&lt;=MIN($C65,IF(Settings!$E$61="",$C65,Settings!$E$61))),1,0))+IF(OR(Settings!$B$62="",Settings!$F$62="No"),0,Settings!$B$62*IF(AND(IF(Settings!$C$62="",$B65,DATE(YEAR($A65),MONTH($A65),MIN(Settings!$C$62,DAY($B65))))&gt;=MAX($A65,Settings!$D$62),IF(Settings!$C$62="",$B65,DATE(YEAR($A65),MONTH($A65),MIN(Settings!$C$62,DAY($B65))))&lt;=MIN($C65,IF(Settings!$E$62="",$C65,Settings!$E$62))),1,0))+IF(OR(Settings!$B$63="",Settings!$F$63="No"),0,Settings!$B$63*IF(AND(IF(Settings!$C$63="",$B65,DATE(YEAR($A65),MONTH($A65),MIN(Settings!$C$63,DAY($B65))))&gt;=MAX($A65,Settings!$D$63),IF(Settings!$C$63="",$B65,DATE(YEAR($A65),MONTH($A65),MIN(Settings!$C$63,DAY($B65))))&lt;=MIN($C65,IF(Settings!$E$63="",$C65,Settings!$E$63))),1,0))+IF(OR(Settings!$B$64="",Settings!$F$64="No"),0,Settings!$B$64*IF(AND(IF(Settings!$C$64="",$B65,DATE(YEAR($A65),MONTH($A65),MIN(Settings!$C$64,DAY($B65))))&gt;=MAX($A65,Settings!$D$64),IF(Settings!$C$64="",$B65,DATE(YEAR($A65),MONTH($A65),MIN(Settings!$C$64,DAY($B65))))&lt;=MIN($C65,IF(Settings!$E$64="",$C65,Settings!$E$64))),1,0))+IF(OR(Settings!$B$65="",Settings!$F$65="No"),0,Settings!$B$65*IF(AND(IF(Settings!$C$65="",$B65,DATE(YEAR($A65),MONTH($A65),MIN(Settings!$C$65,DAY($B65))))&gt;=MAX($A65,Settings!$D$65),IF(Settings!$C$65="",$B65,DATE(YEAR($A65),MONTH($A65),MIN(Settings!$C$65,DAY($B65))))&lt;=MIN($C65,IF(Settings!$E$65="",$C65,Settings!$E$65))),1,0))</f>
        <v/>
      </c>
      <c r="AA65">
        <f>$X65+$Z65</f>
        <v/>
      </c>
      <c r="AB65">
        <f>IF($E65="post",$AA65,IF($E65="open",SUMIFS(Giving!$B$7:$B$2006,Giving!$A$7:$A$2006,"&gt;"&amp;Settings!$B$5,Giving!$A$7:$A$2006,"&lt;="&amp;$B65,Giving!$E$7:$E$2006,"&lt;&gt;No")+IF(OR(Settings!$B$60="",Settings!$F$60="No"),0,Settings!$B$60*IF(AND(IF(Settings!$C$60="",$B65,DATE(YEAR($A65),MONTH($A65),MIN(Settings!$C$60,DAY($B65))))&gt;=MAX($A65,Settings!$D$60,Settings!$B$5+1),IF(Settings!$C$60="",$B65,DATE(YEAR($A65),MONTH($A65),MIN(Settings!$C$60,DAY($B65))))&lt;=MIN($C65,IF(Settings!$E$60="",$C65,Settings!$E$60))),1,0))+IF(OR(Settings!$B$61="",Settings!$F$61="No"),0,Settings!$B$61*IF(AND(IF(Settings!$C$61="",$B65,DATE(YEAR($A65),MONTH($A65),MIN(Settings!$C$61,DAY($B65))))&gt;=MAX($A65,Settings!$D$61,Settings!$B$5+1),IF(Settings!$C$61="",$B65,DATE(YEAR($A65),MONTH($A65),MIN(Settings!$C$61,DAY($B65))))&lt;=MIN($C65,IF(Settings!$E$61="",$C65,Settings!$E$61))),1,0))+IF(OR(Settings!$B$62="",Settings!$F$62="No"),0,Settings!$B$62*IF(AND(IF(Settings!$C$62="",$B65,DATE(YEAR($A65),MONTH($A65),MIN(Settings!$C$62,DAY($B65))))&gt;=MAX($A65,Settings!$D$62,Settings!$B$5+1),IF(Settings!$C$62="",$B65,DATE(YEAR($A65),MONTH($A65),MIN(Settings!$C$62,DAY($B65))))&lt;=MIN($C65,IF(Settings!$E$62="",$C65,Settings!$E$62))),1,0))+IF(OR(Settings!$B$63="",Settings!$F$63="No"),0,Settings!$B$63*IF(AND(IF(Settings!$C$63="",$B65,DATE(YEAR($A65),MONTH($A65),MIN(Settings!$C$63,DAY($B65))))&gt;=MAX($A65,Settings!$D$63,Settings!$B$5+1),IF(Settings!$C$63="",$B65,DATE(YEAR($A65),MONTH($A65),MIN(Settings!$C$63,DAY($B65))))&lt;=MIN($C65,IF(Settings!$E$63="",$C65,Settings!$E$63))),1,0))+IF(OR(Settings!$B$64="",Settings!$F$64="No"),0,Settings!$B$64*IF(AND(IF(Settings!$C$64="",$B65,DATE(YEAR($A65),MONTH($A65),MIN(Settings!$C$64,DAY($B65))))&gt;=MAX($A65,Settings!$D$64,Settings!$B$5+1),IF(Settings!$C$64="",$B65,DATE(YEAR($A65),MONTH($A65),MIN(Settings!$C$64,DAY($B65))))&lt;=MIN($C65,IF(Settings!$E$64="",$C65,Settings!$E$64))),1,0))+IF(OR(Settings!$B$65="",Settings!$F$65="No"),0,Settings!$B$65*IF(AND(IF(Settings!$C$65="",$B65,DATE(YEAR($A65),MONTH($A65),MIN(Settings!$C$65,DAY($B65))))&gt;=MAX($A65,Settings!$D$65,Settings!$B$5+1),IF(Settings!$C$65="",$B65,DATE(YEAR($A65),MONTH($A65),MIN(Settings!$C$65,DAY($B65))))&lt;=MIN($C65,IF(Settings!$E$65="",$C65,Settings!$E$65))),1,0)),0))</f>
        <v/>
      </c>
      <c r="AC65">
        <f>$AY65+$AZ65+$BA65+$BB65+$BC65+$BD65</f>
        <v/>
      </c>
      <c r="AD65">
        <f>$AC65</f>
        <v/>
      </c>
      <c r="AE65">
        <f>IF(OR(Settings!$A$19="",$E65="pre"),"",IF(AND('Month-End'!$BJ$7&lt;&gt;"",NOT(_xlfn.ISFORMULA('Month-End'!$BJ$7))),N('Month-End'!$BJ$7),IF(OR($E65="open",$E64="pre"),N(Settings!$C$19),N($AE64))))</f>
        <v/>
      </c>
      <c r="AF65">
        <f>IF(OR(Settings!$A$20="",$E65="pre"),"",IF(AND('Month-End'!$BJ$8&lt;&gt;"",NOT(_xlfn.ISFORMULA('Month-End'!$BJ$8))),N('Month-End'!$BJ$8),IF(OR($E65="open",$E64="pre"),N(Settings!$C$20),N($AF64))))</f>
        <v/>
      </c>
      <c r="AG65">
        <f>IF(OR(Settings!$A$21="",$E65="pre"),"",IF(AND('Month-End'!$BJ$9&lt;&gt;"",NOT(_xlfn.ISFORMULA('Month-End'!$BJ$9))),N('Month-End'!$BJ$9),IF(OR($E65="open",$E64="pre"),N(Settings!$C$21),N($AG64))))</f>
        <v/>
      </c>
      <c r="AH65">
        <f>IF(OR(Settings!$A$22="",$E65="pre"),"",IF(AND('Month-End'!$BJ$10&lt;&gt;"",NOT(_xlfn.ISFORMULA('Month-End'!$BJ$10))),N('Month-End'!$BJ$10),IF(OR($E65="open",$E64="pre"),N(Settings!$C$22),N($AH64))))</f>
        <v/>
      </c>
      <c r="AI65">
        <f>IF(OR(Settings!$A$23="",$E65="pre"),"",IF(AND('Month-End'!$BJ$11&lt;&gt;"",NOT(_xlfn.ISFORMULA('Month-End'!$BJ$11))),N('Month-End'!$BJ$11),IF(OR($E65="open",$E64="pre"),N(Settings!$C$23),N($AI64))))</f>
        <v/>
      </c>
      <c r="AJ65">
        <f>IF(OR(Settings!$A$24="",$E65="pre"),"",IF(AND('Month-End'!$BJ$12&lt;&gt;"",NOT(_xlfn.ISFORMULA('Month-End'!$BJ$12))),N('Month-End'!$BJ$12),IF(OR($E65="open",$E64="pre"),N(Settings!$C$24),N($AJ64))))</f>
        <v/>
      </c>
      <c r="AK65">
        <f>IF(OR(Settings!$A$25="",$E65="pre"),"",IF(AND('Month-End'!$BJ$13&lt;&gt;"",NOT(_xlfn.ISFORMULA('Month-End'!$BJ$13))),N('Month-End'!$BJ$13),IF(OR($E65="open",$E64="pre"),N(Settings!$C$25),N($AK64))))</f>
        <v/>
      </c>
      <c r="AL65">
        <f>IF(OR(Settings!$A$26="",$E65="pre"),"",IF(AND('Month-End'!$BJ$14&lt;&gt;"",NOT(_xlfn.ISFORMULA('Month-End'!$BJ$14))),N('Month-End'!$BJ$14),IF(OR($E65="open",$E64="pre"),N(Settings!$C$26),N($AL64))))</f>
        <v/>
      </c>
      <c r="AM65">
        <f>IF(OR(Settings!$A$27="",$E65="pre"),"",IF(AND('Month-End'!$BJ$15&lt;&gt;"",NOT(_xlfn.ISFORMULA('Month-End'!$BJ$15))),N('Month-End'!$BJ$15),IF(OR($E65="open",$E64="pre"),N(Settings!$C$27),N($AM64))))</f>
        <v/>
      </c>
      <c r="AN65">
        <f>IF(OR(Settings!$A$28="",$E65="pre"),"",IF(AND('Month-End'!$BJ$16&lt;&gt;"",NOT(_xlfn.ISFORMULA('Month-End'!$BJ$16))),N('Month-End'!$BJ$16),IF(OR($E65="open",$E64="pre"),N(Settings!$C$28),N($AN64))))</f>
        <v/>
      </c>
      <c r="AO65">
        <f>IF(OR(Settings!$A$29="",$E65="pre"),"",IF(AND('Month-End'!$BJ$17&lt;&gt;"",NOT(_xlfn.ISFORMULA('Month-End'!$BJ$17))),N('Month-End'!$BJ$17),IF(OR($E65="open",$E64="pre"),N(Settings!$C$29),N($AO64))))</f>
        <v/>
      </c>
      <c r="AP65">
        <f>IF(OR(Settings!$A$30="",$E65="pre"),"",IF(AND('Month-End'!$BJ$18&lt;&gt;"",NOT(_xlfn.ISFORMULA('Month-End'!$BJ$18))),N('Month-End'!$BJ$18),IF(OR($E65="open",$E64="pre"),N(Settings!$C$30),N($AP64))))</f>
        <v/>
      </c>
      <c r="AQ65">
        <f>IF(OR(Settings!$A$31="",$E65="pre"),"",IF(AND('Month-End'!$BJ$19&lt;&gt;"",NOT(_xlfn.ISFORMULA('Month-End'!$BJ$19))),N('Month-End'!$BJ$19),IF(OR($E65="open",$E64="pre"),N(Settings!$C$31),N($AQ64))))</f>
        <v/>
      </c>
      <c r="AR65">
        <f>IF(OR(Settings!$A$32="",$E65="pre"),"",IF(AND('Month-End'!$BJ$20&lt;&gt;"",NOT(_xlfn.ISFORMULA('Month-End'!$BJ$20))),N('Month-End'!$BJ$20),IF(OR($E65="open",$E64="pre"),N(Settings!$C$32),N($AR64))))</f>
        <v/>
      </c>
      <c r="AS65">
        <f>IF(OR(Settings!$A$36="",$E65="pre"),"",IF(AND('Month-End'!$BJ$38&lt;&gt;"",NOT(_xlfn.ISFORMULA('Month-End'!$BJ$38))),N('Month-End'!$BJ$38),IF(OR($E65="open",$E64="pre"),N(Settings!$C$36),N($AS64))+$AY65))</f>
        <v/>
      </c>
      <c r="AT65">
        <f>IF(OR(Settings!$A$37="",$E65="pre"),"",IF(AND('Month-End'!$BJ$39&lt;&gt;"",NOT(_xlfn.ISFORMULA('Month-End'!$BJ$39))),N('Month-End'!$BJ$39),IF(OR($E65="open",$E64="pre"),N(Settings!$C$37),N($AT64))+$AZ65))</f>
        <v/>
      </c>
      <c r="AU65">
        <f>IF(OR(Settings!$A$38="",$E65="pre"),"",IF(AND('Month-End'!$BJ$40&lt;&gt;"",NOT(_xlfn.ISFORMULA('Month-End'!$BJ$40))),N('Month-End'!$BJ$40),IF(OR($E65="open",$E64="pre"),N(Settings!$C$38),N($AU64))+$BA65))</f>
        <v/>
      </c>
      <c r="AV65">
        <f>IF(OR(Settings!$A$39="",$E65="pre"),"",IF(AND('Month-End'!$BJ$41&lt;&gt;"",NOT(_xlfn.ISFORMULA('Month-End'!$BJ$41))),N('Month-End'!$BJ$41),IF(OR($E65="open",$E64="pre"),N(Settings!$C$39),N($AV64))+$BB65))</f>
        <v/>
      </c>
      <c r="AW65">
        <f>IF(OR(Settings!$A$40="",$E65="pre"),"",IF(AND('Month-End'!$BJ$42&lt;&gt;"",NOT(_xlfn.ISFORMULA('Month-End'!$BJ$42))),N('Month-End'!$BJ$42),IF(OR($E65="open",$E64="pre"),N(Settings!$C$40),N($AW64))+$BC65))</f>
        <v/>
      </c>
      <c r="AX65">
        <f>IF(OR(Settings!$A$41="",$E65="pre"),"",IF(AND('Month-End'!$BJ$43&lt;&gt;"",NOT(_xlfn.ISFORMULA('Month-End'!$BJ$43))),N('Month-End'!$BJ$43),IF(OR($E65="open",$E64="pre"),N(Settings!$C$41),N($AX64))+$BD65))</f>
        <v/>
      </c>
      <c r="AY65">
        <f>IF($E65="pre",0,N('Month-End'!$BJ$45))</f>
        <v/>
      </c>
      <c r="AZ65">
        <f>IF($E65="pre",0,N('Month-End'!$BJ$46))</f>
        <v/>
      </c>
      <c r="BA65">
        <f>IF($E65="pre",0,N('Month-End'!$BJ$47))</f>
        <v/>
      </c>
      <c r="BB65">
        <f>IF($E65="pre",0,N('Month-End'!$BJ$48))</f>
        <v/>
      </c>
      <c r="BC65">
        <f>IF($E65="pre",0,N('Month-End'!$BJ$49))</f>
        <v/>
      </c>
      <c r="BD65">
        <f>IF($E65="pre",0,N('Month-End'!$BJ$50))</f>
        <v/>
      </c>
      <c r="BE65">
        <f>IF(OR(Settings!$C$45="",Settings!$D$45=""),0,Settings!$C$45*IF(Settings!$D$45="Weekly",IF(IFERROR(MATCH(Settings!$E$45,$EO$4:$EO$10,0),0)=0,0,IF(MIN($C65,IF(Settings!$G$45="",$C65,Settings!$G$45))&lt;MAX($A65,Settings!$F$45),0,INT((MIN($C65,IF(Settings!$G$45="",$C65,Settings!$G$45))-MAX($A65,Settings!$F$45)-MOD(IFERROR(MATCH(Settings!$E$45,$EO$4:$EO$10,0),0)-WEEKDAY(MAX($A65,Settings!$F$45)),7))/7)+1)),IF(AND(IF(Settings!$E$45="",$B65,DATE(YEAR($A65),MONTH($A65),MIN(Settings!$E$45,DAY($B65))))&gt;=MAX($A65,Settings!$F$45),IF(Settings!$E$45="",$B65,DATE(YEAR($A65),MONTH($A65),MIN(Settings!$E$45,DAY($B65))))&lt;=MIN($C65,IF(Settings!$G$45="",$C65,Settings!$G$45))),1,0)))</f>
        <v/>
      </c>
      <c r="BF65">
        <f>IF(OR(Settings!$C$46="",Settings!$D$46=""),0,Settings!$C$46*IF(Settings!$D$46="Weekly",IF(IFERROR(MATCH(Settings!$E$46,$EO$4:$EO$10,0),0)=0,0,IF(MIN($C65,IF(Settings!$G$46="",$C65,Settings!$G$46))&lt;MAX($A65,Settings!$F$46),0,INT((MIN($C65,IF(Settings!$G$46="",$C65,Settings!$G$46))-MAX($A65,Settings!$F$46)-MOD(IFERROR(MATCH(Settings!$E$46,$EO$4:$EO$10,0),0)-WEEKDAY(MAX($A65,Settings!$F$46)),7))/7)+1)),IF(AND(IF(Settings!$E$46="",$B65,DATE(YEAR($A65),MONTH($A65),MIN(Settings!$E$46,DAY($B65))))&gt;=MAX($A65,Settings!$F$46),IF(Settings!$E$46="",$B65,DATE(YEAR($A65),MONTH($A65),MIN(Settings!$E$46,DAY($B65))))&lt;=MIN($C65,IF(Settings!$G$46="",$C65,Settings!$G$46))),1,0)))</f>
        <v/>
      </c>
      <c r="BG65">
        <f>IF(OR(Settings!$C$47="",Settings!$D$47=""),0,Settings!$C$47*IF(Settings!$D$47="Weekly",IF(IFERROR(MATCH(Settings!$E$47,$EO$4:$EO$10,0),0)=0,0,IF(MIN($C65,IF(Settings!$G$47="",$C65,Settings!$G$47))&lt;MAX($A65,Settings!$F$47),0,INT((MIN($C65,IF(Settings!$G$47="",$C65,Settings!$G$47))-MAX($A65,Settings!$F$47)-MOD(IFERROR(MATCH(Settings!$E$47,$EO$4:$EO$10,0),0)-WEEKDAY(MAX($A65,Settings!$F$47)),7))/7)+1)),IF(AND(IF(Settings!$E$47="",$B65,DATE(YEAR($A65),MONTH($A65),MIN(Settings!$E$47,DAY($B65))))&gt;=MAX($A65,Settings!$F$47),IF(Settings!$E$47="",$B65,DATE(YEAR($A65),MONTH($A65),MIN(Settings!$E$47,DAY($B65))))&lt;=MIN($C65,IF(Settings!$G$47="",$C65,Settings!$G$47))),1,0)))</f>
        <v/>
      </c>
      <c r="BH65">
        <f>IF(OR(Settings!$C$48="",Settings!$D$48=""),0,Settings!$C$48*IF(Settings!$D$48="Weekly",IF(IFERROR(MATCH(Settings!$E$48,$EO$4:$EO$10,0),0)=0,0,IF(MIN($C65,IF(Settings!$G$48="",$C65,Settings!$G$48))&lt;MAX($A65,Settings!$F$48),0,INT((MIN($C65,IF(Settings!$G$48="",$C65,Settings!$G$48))-MAX($A65,Settings!$F$48)-MOD(IFERROR(MATCH(Settings!$E$48,$EO$4:$EO$10,0),0)-WEEKDAY(MAX($A65,Settings!$F$48)),7))/7)+1)),IF(AND(IF(Settings!$E$48="",$B65,DATE(YEAR($A65),MONTH($A65),MIN(Settings!$E$48,DAY($B65))))&gt;=MAX($A65,Settings!$F$48),IF(Settings!$E$48="",$B65,DATE(YEAR($A65),MONTH($A65),MIN(Settings!$E$48,DAY($B65))))&lt;=MIN($C65,IF(Settings!$G$48="",$C65,Settings!$G$48))),1,0)))</f>
        <v/>
      </c>
      <c r="BI65">
        <f>IF(OR(Settings!$C$49="",Settings!$D$49=""),0,Settings!$C$49*IF(Settings!$D$49="Weekly",IF(IFERROR(MATCH(Settings!$E$49,$EO$4:$EO$10,0),0)=0,0,IF(MIN($C65,IF(Settings!$G$49="",$C65,Settings!$G$49))&lt;MAX($A65,Settings!$F$49),0,INT((MIN($C65,IF(Settings!$G$49="",$C65,Settings!$G$49))-MAX($A65,Settings!$F$49)-MOD(IFERROR(MATCH(Settings!$E$49,$EO$4:$EO$10,0),0)-WEEKDAY(MAX($A65,Settings!$F$49)),7))/7)+1)),IF(AND(IF(Settings!$E$49="",$B65,DATE(YEAR($A65),MONTH($A65),MIN(Settings!$E$49,DAY($B65))))&gt;=MAX($A65,Settings!$F$49),IF(Settings!$E$49="",$B65,DATE(YEAR($A65),MONTH($A65),MIN(Settings!$E$49,DAY($B65))))&lt;=MIN($C65,IF(Settings!$G$49="",$C65,Settings!$G$49))),1,0)))</f>
        <v/>
      </c>
      <c r="BJ65">
        <f>IF(OR(Settings!$C$50="",Settings!$D$50=""),0,Settings!$C$50*IF(Settings!$D$50="Weekly",IF(IFERROR(MATCH(Settings!$E$50,$EO$4:$EO$10,0),0)=0,0,IF(MIN($C65,IF(Settings!$G$50="",$C65,Settings!$G$50))&lt;MAX($A65,Settings!$F$50),0,INT((MIN($C65,IF(Settings!$G$50="",$C65,Settings!$G$50))-MAX($A65,Settings!$F$50)-MOD(IFERROR(MATCH(Settings!$E$50,$EO$4:$EO$10,0),0)-WEEKDAY(MAX($A65,Settings!$F$50)),7))/7)+1)),IF(AND(IF(Settings!$E$50="",$B65,DATE(YEAR($A65),MONTH($A65),MIN(Settings!$E$50,DAY($B65))))&gt;=MAX($A65,Settings!$F$50),IF(Settings!$E$50="",$B65,DATE(YEAR($A65),MONTH($A65),MIN(Settings!$E$50,DAY($B65))))&lt;=MIN($C65,IF(Settings!$G$50="",$C65,Settings!$G$50))),1,0)))</f>
        <v/>
      </c>
      <c r="BK65">
        <f>IF(OR(Settings!$C$51="",Settings!$D$51=""),0,Settings!$C$51*IF(Settings!$D$51="Weekly",IF(IFERROR(MATCH(Settings!$E$51,$EO$4:$EO$10,0),0)=0,0,IF(MIN($C65,IF(Settings!$G$51="",$C65,Settings!$G$51))&lt;MAX($A65,Settings!$F$51),0,INT((MIN($C65,IF(Settings!$G$51="",$C65,Settings!$G$51))-MAX($A65,Settings!$F$51)-MOD(IFERROR(MATCH(Settings!$E$51,$EO$4:$EO$10,0),0)-WEEKDAY(MAX($A65,Settings!$F$51)),7))/7)+1)),IF(AND(IF(Settings!$E$51="",$B65,DATE(YEAR($A65),MONTH($A65),MIN(Settings!$E$51,DAY($B65))))&gt;=MAX($A65,Settings!$F$51),IF(Settings!$E$51="",$B65,DATE(YEAR($A65),MONTH($A65),MIN(Settings!$E$51,DAY($B65))))&lt;=MIN($C65,IF(Settings!$G$51="",$C65,Settings!$G$51))),1,0)))</f>
        <v/>
      </c>
      <c r="BL65">
        <f>IF(OR(Settings!$C$52="",Settings!$D$52=""),0,Settings!$C$52*IF(Settings!$D$52="Weekly",IF(IFERROR(MATCH(Settings!$E$52,$EO$4:$EO$10,0),0)=0,0,IF(MIN($C65,IF(Settings!$G$52="",$C65,Settings!$G$52))&lt;MAX($A65,Settings!$F$52),0,INT((MIN($C65,IF(Settings!$G$52="",$C65,Settings!$G$52))-MAX($A65,Settings!$F$52)-MOD(IFERROR(MATCH(Settings!$E$52,$EO$4:$EO$10,0),0)-WEEKDAY(MAX($A65,Settings!$F$52)),7))/7)+1)),IF(AND(IF(Settings!$E$52="",$B65,DATE(YEAR($A65),MONTH($A65),MIN(Settings!$E$52,DAY($B65))))&gt;=MAX($A65,Settings!$F$52),IF(Settings!$E$52="",$B65,DATE(YEAR($A65),MONTH($A65),MIN(Settings!$E$52,DAY($B65))))&lt;=MIN($C65,IF(Settings!$G$52="",$C65,Settings!$G$52))),1,0)))</f>
        <v/>
      </c>
      <c r="BM65">
        <f>IF(OR(Settings!$C$53="",Settings!$D$53=""),0,Settings!$C$53*IF(Settings!$D$53="Weekly",IF(IFERROR(MATCH(Settings!$E$53,$EO$4:$EO$10,0),0)=0,0,IF(MIN($C65,IF(Settings!$G$53="",$C65,Settings!$G$53))&lt;MAX($A65,Settings!$F$53),0,INT((MIN($C65,IF(Settings!$G$53="",$C65,Settings!$G$53))-MAX($A65,Settings!$F$53)-MOD(IFERROR(MATCH(Settings!$E$53,$EO$4:$EO$10,0),0)-WEEKDAY(MAX($A65,Settings!$F$53)),7))/7)+1)),IF(AND(IF(Settings!$E$53="",$B65,DATE(YEAR($A65),MONTH($A65),MIN(Settings!$E$53,DAY($B65))))&gt;=MAX($A65,Settings!$F$53),IF(Settings!$E$53="",$B65,DATE(YEAR($A65),MONTH($A65),MIN(Settings!$E$53,DAY($B65))))&lt;=MIN($C65,IF(Settings!$G$53="",$C65,Settings!$G$53))),1,0)))</f>
        <v/>
      </c>
      <c r="BN65">
        <f>IF(OR(Settings!$C$54="",Settings!$D$54=""),0,Settings!$C$54*IF(Settings!$D$54="Weekly",IF(IFERROR(MATCH(Settings!$E$54,$EO$4:$EO$10,0),0)=0,0,IF(MIN($C65,IF(Settings!$G$54="",$C65,Settings!$G$54))&lt;MAX($A65,Settings!$F$54),0,INT((MIN($C65,IF(Settings!$G$54="",$C65,Settings!$G$54))-MAX($A65,Settings!$F$54)-MOD(IFERROR(MATCH(Settings!$E$54,$EO$4:$EO$10,0),0)-WEEKDAY(MAX($A65,Settings!$F$54)),7))/7)+1)),IF(AND(IF(Settings!$E$54="",$B65,DATE(YEAR($A65),MONTH($A65),MIN(Settings!$E$54,DAY($B65))))&gt;=MAX($A65,Settings!$F$54),IF(Settings!$E$54="",$B65,DATE(YEAR($A65),MONTH($A65),MIN(Settings!$E$54,DAY($B65))))&lt;=MIN($C65,IF(Settings!$G$54="",$C65,Settings!$G$54))),1,0)))</f>
        <v/>
      </c>
      <c r="BO65">
        <f>IF(OR(Settings!$C$55="",Settings!$D$55=""),0,Settings!$C$55*IF(Settings!$D$55="Weekly",IF(IFERROR(MATCH(Settings!$E$55,$EO$4:$EO$10,0),0)=0,0,IF(MIN($C65,IF(Settings!$G$55="",$C65,Settings!$G$55))&lt;MAX($A65,Settings!$F$55),0,INT((MIN($C65,IF(Settings!$G$55="",$C65,Settings!$G$55))-MAX($A65,Settings!$F$55)-MOD(IFERROR(MATCH(Settings!$E$55,$EO$4:$EO$10,0),0)-WEEKDAY(MAX($A65,Settings!$F$55)),7))/7)+1)),IF(AND(IF(Settings!$E$55="",$B65,DATE(YEAR($A65),MONTH($A65),MIN(Settings!$E$55,DAY($B65))))&gt;=MAX($A65,Settings!$F$55),IF(Settings!$E$55="",$B65,DATE(YEAR($A65),MONTH($A65),MIN(Settings!$E$55,DAY($B65))))&lt;=MIN($C65,IF(Settings!$G$55="",$C65,Settings!$G$55))),1,0)))</f>
        <v/>
      </c>
      <c r="BP65">
        <f>IF(OR(Settings!$C$56="",Settings!$D$56=""),0,Settings!$C$56*IF(Settings!$D$56="Weekly",IF(IFERROR(MATCH(Settings!$E$56,$EO$4:$EO$10,0),0)=0,0,IF(MIN($C65,IF(Settings!$G$56="",$C65,Settings!$G$56))&lt;MAX($A65,Settings!$F$56),0,INT((MIN($C65,IF(Settings!$G$56="",$C65,Settings!$G$56))-MAX($A65,Settings!$F$56)-MOD(IFERROR(MATCH(Settings!$E$56,$EO$4:$EO$10,0),0)-WEEKDAY(MAX($A65,Settings!$F$56)),7))/7)+1)),IF(AND(IF(Settings!$E$56="",$B65,DATE(YEAR($A65),MONTH($A65),MIN(Settings!$E$56,DAY($B65))))&gt;=MAX($A65,Settings!$F$56),IF(Settings!$E$56="",$B65,DATE(YEAR($A65),MONTH($A65),MIN(Settings!$E$56,DAY($B65))))&lt;=MIN($C65,IF(Settings!$G$56="",$C65,Settings!$G$56))),1,0)))</f>
        <v/>
      </c>
      <c r="BQ65">
        <f>IF(OR(Settings!$B$14="",$D65=1,$E65="pre",$A65&lt;IF(Settings!$B$15="",0,Settings!$B$15)),0,Settings!$B$14)</f>
        <v/>
      </c>
      <c r="BR65">
        <f>IF(AND('Month-End'!$BJ$7&lt;&gt;"",NOT(_xlfn.ISFORMULA('Month-End'!$BJ$7))),1,0)</f>
        <v/>
      </c>
      <c r="BS65">
        <f>IF(AND('Month-End'!$BJ$8&lt;&gt;"",NOT(_xlfn.ISFORMULA('Month-End'!$BJ$8))),1,0)</f>
        <v/>
      </c>
      <c r="BT65">
        <f>IF(AND('Month-End'!$BJ$9&lt;&gt;"",NOT(_xlfn.ISFORMULA('Month-End'!$BJ$9))),1,0)</f>
        <v/>
      </c>
      <c r="BU65">
        <f>IF(AND('Month-End'!$BJ$10&lt;&gt;"",NOT(_xlfn.ISFORMULA('Month-End'!$BJ$10))),1,0)</f>
        <v/>
      </c>
      <c r="BV65">
        <f>IF(AND('Month-End'!$BJ$11&lt;&gt;"",NOT(_xlfn.ISFORMULA('Month-End'!$BJ$11))),1,0)</f>
        <v/>
      </c>
      <c r="BW65">
        <f>IF(AND('Month-End'!$BJ$12&lt;&gt;"",NOT(_xlfn.ISFORMULA('Month-End'!$BJ$12))),1,0)</f>
        <v/>
      </c>
      <c r="BX65">
        <f>IF(AND('Month-End'!$BJ$13&lt;&gt;"",NOT(_xlfn.ISFORMULA('Month-End'!$BJ$13))),1,0)</f>
        <v/>
      </c>
      <c r="BY65">
        <f>IF(AND('Month-End'!$BJ$14&lt;&gt;"",NOT(_xlfn.ISFORMULA('Month-End'!$BJ$14))),1,0)</f>
        <v/>
      </c>
      <c r="BZ65">
        <f>IF(AND('Month-End'!$BJ$15&lt;&gt;"",NOT(_xlfn.ISFORMULA('Month-End'!$BJ$15))),1,0)</f>
        <v/>
      </c>
      <c r="CA65">
        <f>IF(AND('Month-End'!$BJ$16&lt;&gt;"",NOT(_xlfn.ISFORMULA('Month-End'!$BJ$16))),1,0)</f>
        <v/>
      </c>
      <c r="CB65">
        <f>IF(AND('Month-End'!$BJ$17&lt;&gt;"",NOT(_xlfn.ISFORMULA('Month-End'!$BJ$17))),1,0)</f>
        <v/>
      </c>
      <c r="CC65">
        <f>IF(AND('Month-End'!$BJ$18&lt;&gt;"",NOT(_xlfn.ISFORMULA('Month-End'!$BJ$18))),1,0)</f>
        <v/>
      </c>
      <c r="CD65">
        <f>IF(AND('Month-End'!$BJ$19&lt;&gt;"",NOT(_xlfn.ISFORMULA('Month-End'!$BJ$19))),1,0)</f>
        <v/>
      </c>
      <c r="CE65">
        <f>IF(AND('Month-End'!$BJ$20&lt;&gt;"",NOT(_xlfn.ISFORMULA('Month-End'!$BJ$20))),1,0)</f>
        <v/>
      </c>
      <c r="CF65">
        <f>IF(AND('Month-End'!$BJ$38&lt;&gt;"",NOT(_xlfn.ISFORMULA('Month-End'!$BJ$38))),1,0)</f>
        <v/>
      </c>
      <c r="CG65">
        <f>IF(AND('Month-End'!$BJ$39&lt;&gt;"",NOT(_xlfn.ISFORMULA('Month-End'!$BJ$39))),1,0)</f>
        <v/>
      </c>
      <c r="CH65">
        <f>IF(AND('Month-End'!$BJ$40&lt;&gt;"",NOT(_xlfn.ISFORMULA('Month-End'!$BJ$40))),1,0)</f>
        <v/>
      </c>
      <c r="CI65">
        <f>IF(AND('Month-End'!$BJ$41&lt;&gt;"",NOT(_xlfn.ISFORMULA('Month-End'!$BJ$41))),1,0)</f>
        <v/>
      </c>
      <c r="CJ65">
        <f>IF(AND('Month-End'!$BJ$42&lt;&gt;"",NOT(_xlfn.ISFORMULA('Month-End'!$BJ$42))),1,0)</f>
        <v/>
      </c>
      <c r="CK65">
        <f>IF(AND('Month-End'!$BJ$43&lt;&gt;"",NOT(_xlfn.ISFORMULA('Month-End'!$BJ$43))),1,0)</f>
        <v/>
      </c>
      <c r="CL65">
        <f>SUM($CM65:$CZ65)</f>
        <v/>
      </c>
      <c r="CM65">
        <f>IF(AND($E65&lt;&gt;"pre",AND(Settings!$A$19&lt;&gt;"",Settings!$E$19&lt;&gt;"No"),Settings!$F$19="Yes",NOT(AND('Month-End'!$BJ$7&lt;&gt;"",NOT(_xlfn.ISFORMULA('Month-End'!$BJ$7))))),1,0)</f>
        <v/>
      </c>
      <c r="CN65">
        <f>IF(AND($E65&lt;&gt;"pre",AND(Settings!$A$20&lt;&gt;"",Settings!$E$20&lt;&gt;"No"),Settings!$F$20="Yes",NOT(AND('Month-End'!$BJ$8&lt;&gt;"",NOT(_xlfn.ISFORMULA('Month-End'!$BJ$8))))),1,0)</f>
        <v/>
      </c>
      <c r="CO65">
        <f>IF(AND($E65&lt;&gt;"pre",AND(Settings!$A$21&lt;&gt;"",Settings!$E$21&lt;&gt;"No"),Settings!$F$21="Yes",NOT(AND('Month-End'!$BJ$9&lt;&gt;"",NOT(_xlfn.ISFORMULA('Month-End'!$BJ$9))))),1,0)</f>
        <v/>
      </c>
      <c r="CP65">
        <f>IF(AND($E65&lt;&gt;"pre",AND(Settings!$A$22&lt;&gt;"",Settings!$E$22&lt;&gt;"No"),Settings!$F$22="Yes",NOT(AND('Month-End'!$BJ$10&lt;&gt;"",NOT(_xlfn.ISFORMULA('Month-End'!$BJ$10))))),1,0)</f>
        <v/>
      </c>
      <c r="CQ65">
        <f>IF(AND($E65&lt;&gt;"pre",AND(Settings!$A$23&lt;&gt;"",Settings!$E$23&lt;&gt;"No"),Settings!$F$23="Yes",NOT(AND('Month-End'!$BJ$11&lt;&gt;"",NOT(_xlfn.ISFORMULA('Month-End'!$BJ$11))))),1,0)</f>
        <v/>
      </c>
      <c r="CR65">
        <f>IF(AND($E65&lt;&gt;"pre",AND(Settings!$A$24&lt;&gt;"",Settings!$E$24&lt;&gt;"No"),Settings!$F$24="Yes",NOT(AND('Month-End'!$BJ$12&lt;&gt;"",NOT(_xlfn.ISFORMULA('Month-End'!$BJ$12))))),1,0)</f>
        <v/>
      </c>
      <c r="CS65">
        <f>IF(AND($E65&lt;&gt;"pre",AND(Settings!$A$25&lt;&gt;"",Settings!$E$25&lt;&gt;"No"),Settings!$F$25="Yes",NOT(AND('Month-End'!$BJ$13&lt;&gt;"",NOT(_xlfn.ISFORMULA('Month-End'!$BJ$13))))),1,0)</f>
        <v/>
      </c>
      <c r="CT65">
        <f>IF(AND($E65&lt;&gt;"pre",AND(Settings!$A$26&lt;&gt;"",Settings!$E$26&lt;&gt;"No"),Settings!$F$26="Yes",NOT(AND('Month-End'!$BJ$14&lt;&gt;"",NOT(_xlfn.ISFORMULA('Month-End'!$BJ$14))))),1,0)</f>
        <v/>
      </c>
      <c r="CU65">
        <f>IF(AND($E65&lt;&gt;"pre",AND(Settings!$A$27&lt;&gt;"",Settings!$E$27&lt;&gt;"No"),Settings!$F$27="Yes",NOT(AND('Month-End'!$BJ$15&lt;&gt;"",NOT(_xlfn.ISFORMULA('Month-End'!$BJ$15))))),1,0)</f>
        <v/>
      </c>
      <c r="CV65">
        <f>IF(AND($E65&lt;&gt;"pre",AND(Settings!$A$28&lt;&gt;"",Settings!$E$28&lt;&gt;"No"),Settings!$F$28="Yes",NOT(AND('Month-End'!$BJ$16&lt;&gt;"",NOT(_xlfn.ISFORMULA('Month-End'!$BJ$16))))),1,0)</f>
        <v/>
      </c>
      <c r="CW65">
        <f>IF(AND($E65&lt;&gt;"pre",AND(Settings!$A$29&lt;&gt;"",Settings!$E$29&lt;&gt;"No"),Settings!$F$29="Yes",NOT(AND('Month-End'!$BJ$17&lt;&gt;"",NOT(_xlfn.ISFORMULA('Month-End'!$BJ$17))))),1,0)</f>
        <v/>
      </c>
      <c r="CX65">
        <f>IF(AND($E65&lt;&gt;"pre",AND(Settings!$A$30&lt;&gt;"",Settings!$E$30&lt;&gt;"No"),Settings!$F$30="Yes",NOT(AND('Month-End'!$BJ$18&lt;&gt;"",NOT(_xlfn.ISFORMULA('Month-End'!$BJ$18))))),1,0)</f>
        <v/>
      </c>
      <c r="CY65">
        <f>IF(AND($E65&lt;&gt;"pre",AND(Settings!$A$31&lt;&gt;"",Settings!$E$31&lt;&gt;"No"),Settings!$F$31="Yes",NOT(AND('Month-End'!$BJ$19&lt;&gt;"",NOT(_xlfn.ISFORMULA('Month-End'!$BJ$19))))),1,0)</f>
        <v/>
      </c>
      <c r="CZ65">
        <f>IF(AND($E65&lt;&gt;"pre",AND(Settings!$A$32&lt;&gt;"",Settings!$E$32&lt;&gt;"No"),Settings!$F$32="Yes",NOT(AND('Month-End'!$BJ$20&lt;&gt;"",NOT(_xlfn.ISFORMULA('Month-End'!$BJ$20))))),1,0)</f>
        <v/>
      </c>
      <c r="DA65">
        <f>IF($DT65=1,IF(OR(Settings!$B$19="Checking",Settings!$B$19="Savings",Settings!$B$19="Cash"),N($AE65),IF(OR(Settings!$B$19="Card",Settings!$B$19="Loan"),-N($AE65),0))+IF(OR(Settings!$B$20="Checking",Settings!$B$20="Savings",Settings!$B$20="Cash"),N($AF65),IF(OR(Settings!$B$20="Card",Settings!$B$20="Loan"),-N($AF65),0))+IF(OR(Settings!$B$21="Checking",Settings!$B$21="Savings",Settings!$B$21="Cash"),N($AG65),IF(OR(Settings!$B$21="Card",Settings!$B$21="Loan"),-N($AG65),0))+IF(OR(Settings!$B$22="Checking",Settings!$B$22="Savings",Settings!$B$22="Cash"),N($AH65),IF(OR(Settings!$B$22="Card",Settings!$B$22="Loan"),-N($AH65),0))+IF(OR(Settings!$B$23="Checking",Settings!$B$23="Savings",Settings!$B$23="Cash"),N($AI65),IF(OR(Settings!$B$23="Card",Settings!$B$23="Loan"),-N($AI65),0))+IF(OR(Settings!$B$24="Checking",Settings!$B$24="Savings",Settings!$B$24="Cash"),N($AJ65),IF(OR(Settings!$B$24="Card",Settings!$B$24="Loan"),-N($AJ65),0))+IF(OR(Settings!$B$25="Checking",Settings!$B$25="Savings",Settings!$B$25="Cash"),N($AK65),IF(OR(Settings!$B$25="Card",Settings!$B$25="Loan"),-N($AK65),0))+IF(OR(Settings!$B$26="Checking",Settings!$B$26="Savings",Settings!$B$26="Cash"),N($AL65),IF(OR(Settings!$B$26="Card",Settings!$B$26="Loan"),-N($AL65),0))+IF(OR(Settings!$B$27="Checking",Settings!$B$27="Savings",Settings!$B$27="Cash"),N($AM65),IF(OR(Settings!$B$27="Card",Settings!$B$27="Loan"),-N($AM65),0))+IF(OR(Settings!$B$28="Checking",Settings!$B$28="Savings",Settings!$B$28="Cash"),N($AN65),IF(OR(Settings!$B$28="Card",Settings!$B$28="Loan"),-N($AN65),0))+IF(OR(Settings!$B$29="Checking",Settings!$B$29="Savings",Settings!$B$29="Cash"),N($AO65),IF(OR(Settings!$B$29="Card",Settings!$B$29="Loan"),-N($AO65),0))+IF(OR(Settings!$B$30="Checking",Settings!$B$30="Savings",Settings!$B$30="Cash"),N($AP65),IF(OR(Settings!$B$30="Card",Settings!$B$30="Loan"),-N($AP65),0))+IF(OR(Settings!$B$31="Checking",Settings!$B$31="Savings",Settings!$B$31="Cash"),N($AQ65),IF(OR(Settings!$B$31="Card",Settings!$B$31="Loan"),-N($AQ65),0))+IF(OR(Settings!$B$32="Checking",Settings!$B$32="Savings",Settings!$B$32="Cash"),N($AR65),IF(OR(Settings!$B$32="Card",Settings!$B$32="Loan"),-N($AR65),0)),"")</f>
        <v/>
      </c>
      <c r="DB65">
        <f>IF($E65="open",$EB$27,IF($E65="post",IF($E64="pre",$EB$27,$DA64),""))</f>
        <v/>
      </c>
      <c r="DC65">
        <f>IF($E65="open",1,IF($E65="post",IF($E64="pre",1,$DT64),0))</f>
        <v/>
      </c>
      <c r="DD65">
        <f>IF(AND($DT65=1,$DC65=1),ROUND($W65-($DA65-$DB65)-$AD65-$AB65,2),"")</f>
        <v/>
      </c>
      <c r="DE65">
        <f>IF('Month-End'!$BJ$35="",$BQ65,N('Month-End'!$BJ$35))</f>
        <v/>
      </c>
      <c r="DF65">
        <f>N('Month-End'!$BJ$36)</f>
        <v/>
      </c>
      <c r="DG65">
        <f>IF($DD65="","",$DD65+$DE65)</f>
        <v/>
      </c>
      <c r="DH65">
        <f>IF($DG65="","",$DG65-$DF65)</f>
        <v/>
      </c>
      <c r="DI65">
        <f>IF(OR($E65="pre",$D65=1),"",N($AS65)+N($AT65)+N($AU65)+N($AV65)+N($AW65)+N($AX65))</f>
        <v/>
      </c>
      <c r="DJ65">
        <f>IF($DT65=1,$DA65+N($DI65),"")</f>
        <v/>
      </c>
      <c r="DK65">
        <f>IF($DD65="","",$W65-$DD65-$AB65)</f>
        <v/>
      </c>
      <c r="DL65">
        <f>IF(AND($E65="post",$DD65&lt;&gt;"",$B65&lt;TODAY()),1,0)</f>
        <v/>
      </c>
      <c r="DM65">
        <f>IF($DL65=1,COUNTIF($DL65:$DL$183,1),0)</f>
        <v/>
      </c>
      <c r="DN65">
        <f>IF($D65=1,"",IF($E65="pre","History only",IF($DT65=1,IF($DD65="","⚠ Previous month missing",IF($DD65&lt;0,"⚠ Check: spending &lt; 0",IF($E65="open","✓ Done (partial)","✓ Done"))),IF($B65&gt;=TODAY(),"In progress","⚠ Needs balances"))))</f>
        <v/>
      </c>
      <c r="DO65">
        <f>YEAR($A65)</f>
        <v/>
      </c>
      <c r="DP65">
        <f>DATE(YEAR($A65),INT((MONTH($A65)-1)/3)*3+1,1)</f>
        <v/>
      </c>
      <c r="DQ65">
        <f>IF(AND($DT65=1,$DD65&lt;&gt;"",$D65=0),ROW(),0)</f>
        <v/>
      </c>
      <c r="DR65">
        <f>IF(AND($E65&lt;&gt;"pre",$B65&lt;TODAY(),$DT65=0),1,0)</f>
        <v/>
      </c>
      <c r="DS65">
        <f>IF($DJ65="",NA(),$DJ65)</f>
        <v/>
      </c>
      <c r="DT65">
        <f>IF(AND($E65&lt;&gt;"pre",$CL65=0,COUNTIFS(Settings!$F$19:$F$32,"Yes",Settings!$A$19:$A$32,"&lt;&gt;",Settings!$E$19:$E$32,"&lt;&gt;No")&gt;0),1,0)</f>
        <v/>
      </c>
      <c r="DU65">
        <f>IF(AND($B65&lt;TODAY(),$S65&gt;0),1,0)</f>
        <v/>
      </c>
      <c r="DV65">
        <f>IF($DU65=1,COUNTIF($DU65:$DU$183,1),0)</f>
        <v/>
      </c>
      <c r="DW65">
        <f>IF(AND(OR(Settings!$B$19="Card",Settings!$B$19="Loan"),AND('Month-End'!$BJ$7&lt;&gt;"",NOT(_xlfn.ISFORMULA('Month-End'!$BJ$7)))),IF(N('Month-End'!$BJ$7)&lt;0,1,0),0)+IF(AND(OR(Settings!$B$20="Card",Settings!$B$20="Loan"),AND('Month-End'!$BJ$8&lt;&gt;"",NOT(_xlfn.ISFORMULA('Month-End'!$BJ$8)))),IF(N('Month-End'!$BJ$8)&lt;0,1,0),0)+IF(AND(OR(Settings!$B$21="Card",Settings!$B$21="Loan"),AND('Month-End'!$BJ$9&lt;&gt;"",NOT(_xlfn.ISFORMULA('Month-End'!$BJ$9)))),IF(N('Month-End'!$BJ$9)&lt;0,1,0),0)+IF(AND(OR(Settings!$B$22="Card",Settings!$B$22="Loan"),AND('Month-End'!$BJ$10&lt;&gt;"",NOT(_xlfn.ISFORMULA('Month-End'!$BJ$10)))),IF(N('Month-End'!$BJ$10)&lt;0,1,0),0)+IF(AND(OR(Settings!$B$23="Card",Settings!$B$23="Loan"),AND('Month-End'!$BJ$11&lt;&gt;"",NOT(_xlfn.ISFORMULA('Month-End'!$BJ$11)))),IF(N('Month-End'!$BJ$11)&lt;0,1,0),0)+IF(AND(OR(Settings!$B$24="Card",Settings!$B$24="Loan"),AND('Month-End'!$BJ$12&lt;&gt;"",NOT(_xlfn.ISFORMULA('Month-End'!$BJ$12)))),IF(N('Month-End'!$BJ$12)&lt;0,1,0),0)+IF(AND(OR(Settings!$B$25="Card",Settings!$B$25="Loan"),AND('Month-End'!$BJ$13&lt;&gt;"",NOT(_xlfn.ISFORMULA('Month-End'!$BJ$13)))),IF(N('Month-End'!$BJ$13)&lt;0,1,0),0)+IF(AND(OR(Settings!$B$26="Card",Settings!$B$26="Loan"),AND('Month-End'!$BJ$14&lt;&gt;"",NOT(_xlfn.ISFORMULA('Month-End'!$BJ$14)))),IF(N('Month-End'!$BJ$14)&lt;0,1,0),0)+IF(AND(OR(Settings!$B$27="Card",Settings!$B$27="Loan"),AND('Month-End'!$BJ$15&lt;&gt;"",NOT(_xlfn.ISFORMULA('Month-End'!$BJ$15)))),IF(N('Month-End'!$BJ$15)&lt;0,1,0),0)+IF(AND(OR(Settings!$B$28="Card",Settings!$B$28="Loan"),AND('Month-End'!$BJ$16&lt;&gt;"",NOT(_xlfn.ISFORMULA('Month-End'!$BJ$16)))),IF(N('Month-End'!$BJ$16)&lt;0,1,0),0)+IF(AND(OR(Settings!$B$29="Card",Settings!$B$29="Loan"),AND('Month-End'!$BJ$17&lt;&gt;"",NOT(_xlfn.ISFORMULA('Month-End'!$BJ$17)))),IF(N('Month-End'!$BJ$17)&lt;0,1,0),0)+IF(AND(OR(Settings!$B$30="Card",Settings!$B$30="Loan"),AND('Month-End'!$BJ$18&lt;&gt;"",NOT(_xlfn.ISFORMULA('Month-End'!$BJ$18)))),IF(N('Month-End'!$BJ$18)&lt;0,1,0),0)+IF(AND(OR(Settings!$B$31="Card",Settings!$B$31="Loan"),AND('Month-End'!$BJ$19&lt;&gt;"",NOT(_xlfn.ISFORMULA('Month-End'!$BJ$19)))),IF(N('Month-End'!$BJ$19)&lt;0,1,0),0)+IF(AND(OR(Settings!$B$32="Card",Settings!$B$32="Loan"),AND('Month-End'!$BJ$20&lt;&gt;"",NOT(_xlfn.ISFORMULA('Month-End'!$BJ$20)))),IF(N('Month-End'!$BJ$20)&lt;0,1,0),0)</f>
        <v/>
      </c>
      <c r="DX65">
        <f>IF(Settings!$B$36="Retirement",$AY65,0)+IF(Settings!$B$37="Retirement",$AZ65,0)+IF(Settings!$B$38="Retirement",$BA65,0)+IF(Settings!$B$39="Retirement",$BB65,0)+IF(Settings!$B$40="Retirement",$BC65,0)+IF(Settings!$B$41="Retirement",$BD65,0)</f>
        <v/>
      </c>
      <c r="EA65" t="inlineStr">
        <is>
          <t>Opening card &amp; loan balances</t>
        </is>
      </c>
      <c r="EB65">
        <f>SUMIF(Settings!$B$19:$B$32,"Card",Settings!$C$19:$C$32)+SUMIF(Settings!$B$19:$B$32,"Loan",Settings!$C$19:$C$32)</f>
        <v/>
      </c>
      <c r="ET65">
        <f>IF($E65&lt;&gt;"open",0,IF(AND('Month-End'!$BJ$22&lt;&gt;"",NOT(_xlfn.ISFORMULA('Month-End'!$BJ$22))),0,IF(OR(Settings!$C$45="",Settings!$D$45=""),0,Settings!$C$45*IF(Settings!$D$45="Weekly",IF(IFERROR(MATCH(Settings!$E$45,$EO$4:$EO$10,0),0)=0,0,IF(MIN(Settings!$B$5,IF(Settings!$G$45="",Settings!$B$5,Settings!$G$45))&lt;MAX($A65,Settings!$F$45),0,INT((MIN(Settings!$B$5,IF(Settings!$G$45="",Settings!$B$5,Settings!$G$45))-MAX($A65,Settings!$F$45)-MOD(IFERROR(MATCH(Settings!$E$45,$EO$4:$EO$10,0),0)-WEEKDAY(MAX($A65,Settings!$F$45)),7))/7)+1)),IF(AND(IF(Settings!$E$45="",$B65,DATE(YEAR($A65),MONTH($A65),MIN(Settings!$E$45,DAY($B65))))&gt;=MAX($A65,Settings!$F$45),IF(Settings!$E$45="",$B65,DATE(YEAR($A65),MONTH($A65),MIN(Settings!$E$45,DAY($B65))))&lt;=MIN(Settings!$B$5,IF(Settings!$G$45="",Settings!$B$5,Settings!$G$45))),1,0)))))</f>
        <v/>
      </c>
      <c r="EU65">
        <f>IF($E65&lt;&gt;"open",0,IF(AND('Month-End'!$BJ$23&lt;&gt;"",NOT(_xlfn.ISFORMULA('Month-End'!$BJ$23))),0,IF(OR(Settings!$C$46="",Settings!$D$46=""),0,Settings!$C$46*IF(Settings!$D$46="Weekly",IF(IFERROR(MATCH(Settings!$E$46,$EO$4:$EO$10,0),0)=0,0,IF(MIN(Settings!$B$5,IF(Settings!$G$46="",Settings!$B$5,Settings!$G$46))&lt;MAX($A65,Settings!$F$46),0,INT((MIN(Settings!$B$5,IF(Settings!$G$46="",Settings!$B$5,Settings!$G$46))-MAX($A65,Settings!$F$46)-MOD(IFERROR(MATCH(Settings!$E$46,$EO$4:$EO$10,0),0)-WEEKDAY(MAX($A65,Settings!$F$46)),7))/7)+1)),IF(AND(IF(Settings!$E$46="",$B65,DATE(YEAR($A65),MONTH($A65),MIN(Settings!$E$46,DAY($B65))))&gt;=MAX($A65,Settings!$F$46),IF(Settings!$E$46="",$B65,DATE(YEAR($A65),MONTH($A65),MIN(Settings!$E$46,DAY($B65))))&lt;=MIN(Settings!$B$5,IF(Settings!$G$46="",Settings!$B$5,Settings!$G$46))),1,0)))))</f>
        <v/>
      </c>
      <c r="EV65">
        <f>IF($E65&lt;&gt;"open",0,IF(AND('Month-End'!$BJ$24&lt;&gt;"",NOT(_xlfn.ISFORMULA('Month-End'!$BJ$24))),0,IF(OR(Settings!$C$47="",Settings!$D$47=""),0,Settings!$C$47*IF(Settings!$D$47="Weekly",IF(IFERROR(MATCH(Settings!$E$47,$EO$4:$EO$10,0),0)=0,0,IF(MIN(Settings!$B$5,IF(Settings!$G$47="",Settings!$B$5,Settings!$G$47))&lt;MAX($A65,Settings!$F$47),0,INT((MIN(Settings!$B$5,IF(Settings!$G$47="",Settings!$B$5,Settings!$G$47))-MAX($A65,Settings!$F$47)-MOD(IFERROR(MATCH(Settings!$E$47,$EO$4:$EO$10,0),0)-WEEKDAY(MAX($A65,Settings!$F$47)),7))/7)+1)),IF(AND(IF(Settings!$E$47="",$B65,DATE(YEAR($A65),MONTH($A65),MIN(Settings!$E$47,DAY($B65))))&gt;=MAX($A65,Settings!$F$47),IF(Settings!$E$47="",$B65,DATE(YEAR($A65),MONTH($A65),MIN(Settings!$E$47,DAY($B65))))&lt;=MIN(Settings!$B$5,IF(Settings!$G$47="",Settings!$B$5,Settings!$G$47))),1,0)))))</f>
        <v/>
      </c>
      <c r="EW65">
        <f>IF($E65&lt;&gt;"open",0,IF(AND('Month-End'!$BJ$25&lt;&gt;"",NOT(_xlfn.ISFORMULA('Month-End'!$BJ$25))),0,IF(OR(Settings!$C$48="",Settings!$D$48=""),0,Settings!$C$48*IF(Settings!$D$48="Weekly",IF(IFERROR(MATCH(Settings!$E$48,$EO$4:$EO$10,0),0)=0,0,IF(MIN(Settings!$B$5,IF(Settings!$G$48="",Settings!$B$5,Settings!$G$48))&lt;MAX($A65,Settings!$F$48),0,INT((MIN(Settings!$B$5,IF(Settings!$G$48="",Settings!$B$5,Settings!$G$48))-MAX($A65,Settings!$F$48)-MOD(IFERROR(MATCH(Settings!$E$48,$EO$4:$EO$10,0),0)-WEEKDAY(MAX($A65,Settings!$F$48)),7))/7)+1)),IF(AND(IF(Settings!$E$48="",$B65,DATE(YEAR($A65),MONTH($A65),MIN(Settings!$E$48,DAY($B65))))&gt;=MAX($A65,Settings!$F$48),IF(Settings!$E$48="",$B65,DATE(YEAR($A65),MONTH($A65),MIN(Settings!$E$48,DAY($B65))))&lt;=MIN(Settings!$B$5,IF(Settings!$G$48="",Settings!$B$5,Settings!$G$48))),1,0)))))</f>
        <v/>
      </c>
      <c r="EX65">
        <f>IF($E65&lt;&gt;"open",0,IF(AND('Month-End'!$BJ$26&lt;&gt;"",NOT(_xlfn.ISFORMULA('Month-End'!$BJ$26))),0,IF(OR(Settings!$C$49="",Settings!$D$49=""),0,Settings!$C$49*IF(Settings!$D$49="Weekly",IF(IFERROR(MATCH(Settings!$E$49,$EO$4:$EO$10,0),0)=0,0,IF(MIN(Settings!$B$5,IF(Settings!$G$49="",Settings!$B$5,Settings!$G$49))&lt;MAX($A65,Settings!$F$49),0,INT((MIN(Settings!$B$5,IF(Settings!$G$49="",Settings!$B$5,Settings!$G$49))-MAX($A65,Settings!$F$49)-MOD(IFERROR(MATCH(Settings!$E$49,$EO$4:$EO$10,0),0)-WEEKDAY(MAX($A65,Settings!$F$49)),7))/7)+1)),IF(AND(IF(Settings!$E$49="",$B65,DATE(YEAR($A65),MONTH($A65),MIN(Settings!$E$49,DAY($B65))))&gt;=MAX($A65,Settings!$F$49),IF(Settings!$E$49="",$B65,DATE(YEAR($A65),MONTH($A65),MIN(Settings!$E$49,DAY($B65))))&lt;=MIN(Settings!$B$5,IF(Settings!$G$49="",Settings!$B$5,Settings!$G$49))),1,0)))))</f>
        <v/>
      </c>
      <c r="EY65">
        <f>IF($E65&lt;&gt;"open",0,IF(AND('Month-End'!$BJ$27&lt;&gt;"",NOT(_xlfn.ISFORMULA('Month-End'!$BJ$27))),0,IF(OR(Settings!$C$50="",Settings!$D$50=""),0,Settings!$C$50*IF(Settings!$D$50="Weekly",IF(IFERROR(MATCH(Settings!$E$50,$EO$4:$EO$10,0),0)=0,0,IF(MIN(Settings!$B$5,IF(Settings!$G$50="",Settings!$B$5,Settings!$G$50))&lt;MAX($A65,Settings!$F$50),0,INT((MIN(Settings!$B$5,IF(Settings!$G$50="",Settings!$B$5,Settings!$G$50))-MAX($A65,Settings!$F$50)-MOD(IFERROR(MATCH(Settings!$E$50,$EO$4:$EO$10,0),0)-WEEKDAY(MAX($A65,Settings!$F$50)),7))/7)+1)),IF(AND(IF(Settings!$E$50="",$B65,DATE(YEAR($A65),MONTH($A65),MIN(Settings!$E$50,DAY($B65))))&gt;=MAX($A65,Settings!$F$50),IF(Settings!$E$50="",$B65,DATE(YEAR($A65),MONTH($A65),MIN(Settings!$E$50,DAY($B65))))&lt;=MIN(Settings!$B$5,IF(Settings!$G$50="",Settings!$B$5,Settings!$G$50))),1,0)))))</f>
        <v/>
      </c>
      <c r="EZ65">
        <f>IF($E65&lt;&gt;"open",0,IF(AND('Month-End'!$BJ$28&lt;&gt;"",NOT(_xlfn.ISFORMULA('Month-End'!$BJ$28))),0,IF(OR(Settings!$C$51="",Settings!$D$51=""),0,Settings!$C$51*IF(Settings!$D$51="Weekly",IF(IFERROR(MATCH(Settings!$E$51,$EO$4:$EO$10,0),0)=0,0,IF(MIN(Settings!$B$5,IF(Settings!$G$51="",Settings!$B$5,Settings!$G$51))&lt;MAX($A65,Settings!$F$51),0,INT((MIN(Settings!$B$5,IF(Settings!$G$51="",Settings!$B$5,Settings!$G$51))-MAX($A65,Settings!$F$51)-MOD(IFERROR(MATCH(Settings!$E$51,$EO$4:$EO$10,0),0)-WEEKDAY(MAX($A65,Settings!$F$51)),7))/7)+1)),IF(AND(IF(Settings!$E$51="",$B65,DATE(YEAR($A65),MONTH($A65),MIN(Settings!$E$51,DAY($B65))))&gt;=MAX($A65,Settings!$F$51),IF(Settings!$E$51="",$B65,DATE(YEAR($A65),MONTH($A65),MIN(Settings!$E$51,DAY($B65))))&lt;=MIN(Settings!$B$5,IF(Settings!$G$51="",Settings!$B$5,Settings!$G$51))),1,0)))))</f>
        <v/>
      </c>
      <c r="FA65">
        <f>IF($E65&lt;&gt;"open",0,IF(AND('Month-End'!$BJ$29&lt;&gt;"",NOT(_xlfn.ISFORMULA('Month-End'!$BJ$29))),0,IF(OR(Settings!$C$52="",Settings!$D$52=""),0,Settings!$C$52*IF(Settings!$D$52="Weekly",IF(IFERROR(MATCH(Settings!$E$52,$EO$4:$EO$10,0),0)=0,0,IF(MIN(Settings!$B$5,IF(Settings!$G$52="",Settings!$B$5,Settings!$G$52))&lt;MAX($A65,Settings!$F$52),0,INT((MIN(Settings!$B$5,IF(Settings!$G$52="",Settings!$B$5,Settings!$G$52))-MAX($A65,Settings!$F$52)-MOD(IFERROR(MATCH(Settings!$E$52,$EO$4:$EO$10,0),0)-WEEKDAY(MAX($A65,Settings!$F$52)),7))/7)+1)),IF(AND(IF(Settings!$E$52="",$B65,DATE(YEAR($A65),MONTH($A65),MIN(Settings!$E$52,DAY($B65))))&gt;=MAX($A65,Settings!$F$52),IF(Settings!$E$52="",$B65,DATE(YEAR($A65),MONTH($A65),MIN(Settings!$E$52,DAY($B65))))&lt;=MIN(Settings!$B$5,IF(Settings!$G$52="",Settings!$B$5,Settings!$G$52))),1,0)))))</f>
        <v/>
      </c>
      <c r="FB65">
        <f>IF($E65&lt;&gt;"open",0,IF(AND('Month-End'!$BJ$30&lt;&gt;"",NOT(_xlfn.ISFORMULA('Month-End'!$BJ$30))),0,IF(OR(Settings!$C$53="",Settings!$D$53=""),0,Settings!$C$53*IF(Settings!$D$53="Weekly",IF(IFERROR(MATCH(Settings!$E$53,$EO$4:$EO$10,0),0)=0,0,IF(MIN(Settings!$B$5,IF(Settings!$G$53="",Settings!$B$5,Settings!$G$53))&lt;MAX($A65,Settings!$F$53),0,INT((MIN(Settings!$B$5,IF(Settings!$G$53="",Settings!$B$5,Settings!$G$53))-MAX($A65,Settings!$F$53)-MOD(IFERROR(MATCH(Settings!$E$53,$EO$4:$EO$10,0),0)-WEEKDAY(MAX($A65,Settings!$F$53)),7))/7)+1)),IF(AND(IF(Settings!$E$53="",$B65,DATE(YEAR($A65),MONTH($A65),MIN(Settings!$E$53,DAY($B65))))&gt;=MAX($A65,Settings!$F$53),IF(Settings!$E$53="",$B65,DATE(YEAR($A65),MONTH($A65),MIN(Settings!$E$53,DAY($B65))))&lt;=MIN(Settings!$B$5,IF(Settings!$G$53="",Settings!$B$5,Settings!$G$53))),1,0)))))</f>
        <v/>
      </c>
      <c r="FC65">
        <f>IF($E65&lt;&gt;"open",0,IF(AND('Month-End'!$BJ$31&lt;&gt;"",NOT(_xlfn.ISFORMULA('Month-End'!$BJ$31))),0,IF(OR(Settings!$C$54="",Settings!$D$54=""),0,Settings!$C$54*IF(Settings!$D$54="Weekly",IF(IFERROR(MATCH(Settings!$E$54,$EO$4:$EO$10,0),0)=0,0,IF(MIN(Settings!$B$5,IF(Settings!$G$54="",Settings!$B$5,Settings!$G$54))&lt;MAX($A65,Settings!$F$54),0,INT((MIN(Settings!$B$5,IF(Settings!$G$54="",Settings!$B$5,Settings!$G$54))-MAX($A65,Settings!$F$54)-MOD(IFERROR(MATCH(Settings!$E$54,$EO$4:$EO$10,0),0)-WEEKDAY(MAX($A65,Settings!$F$54)),7))/7)+1)),IF(AND(IF(Settings!$E$54="",$B65,DATE(YEAR($A65),MONTH($A65),MIN(Settings!$E$54,DAY($B65))))&gt;=MAX($A65,Settings!$F$54),IF(Settings!$E$54="",$B65,DATE(YEAR($A65),MONTH($A65),MIN(Settings!$E$54,DAY($B65))))&lt;=MIN(Settings!$B$5,IF(Settings!$G$54="",Settings!$B$5,Settings!$G$54))),1,0)))))</f>
        <v/>
      </c>
      <c r="FD65">
        <f>IF($E65&lt;&gt;"open",0,IF(AND('Month-End'!$BJ$32&lt;&gt;"",NOT(_xlfn.ISFORMULA('Month-End'!$BJ$32))),0,IF(OR(Settings!$C$55="",Settings!$D$55=""),0,Settings!$C$55*IF(Settings!$D$55="Weekly",IF(IFERROR(MATCH(Settings!$E$55,$EO$4:$EO$10,0),0)=0,0,IF(MIN(Settings!$B$5,IF(Settings!$G$55="",Settings!$B$5,Settings!$G$55))&lt;MAX($A65,Settings!$F$55),0,INT((MIN(Settings!$B$5,IF(Settings!$G$55="",Settings!$B$5,Settings!$G$55))-MAX($A65,Settings!$F$55)-MOD(IFERROR(MATCH(Settings!$E$55,$EO$4:$EO$10,0),0)-WEEKDAY(MAX($A65,Settings!$F$55)),7))/7)+1)),IF(AND(IF(Settings!$E$55="",$B65,DATE(YEAR($A65),MONTH($A65),MIN(Settings!$E$55,DAY($B65))))&gt;=MAX($A65,Settings!$F$55),IF(Settings!$E$55="",$B65,DATE(YEAR($A65),MONTH($A65),MIN(Settings!$E$55,DAY($B65))))&lt;=MIN(Settings!$B$5,IF(Settings!$G$55="",Settings!$B$5,Settings!$G$55))),1,0)))))</f>
        <v/>
      </c>
      <c r="FE65">
        <f>IF($E65&lt;&gt;"open",0,IF(AND('Month-End'!$BJ$33&lt;&gt;"",NOT(_xlfn.ISFORMULA('Month-End'!$BJ$33))),0,IF(OR(Settings!$C$56="",Settings!$D$56=""),0,Settings!$C$56*IF(Settings!$D$56="Weekly",IF(IFERROR(MATCH(Settings!$E$56,$EO$4:$EO$10,0),0)=0,0,IF(MIN(Settings!$B$5,IF(Settings!$G$56="",Settings!$B$5,Settings!$G$56))&lt;MAX($A65,Settings!$F$56),0,INT((MIN(Settings!$B$5,IF(Settings!$G$56="",Settings!$B$5,Settings!$G$56))-MAX($A65,Settings!$F$56)-MOD(IFERROR(MATCH(Settings!$E$56,$EO$4:$EO$10,0),0)-WEEKDAY(MAX($A65,Settings!$F$56)),7))/7)+1)),IF(AND(IF(Settings!$E$56="",$B65,DATE(YEAR($A65),MONTH($A65),MIN(Settings!$E$56,DAY($B65))))&gt;=MAX($A65,Settings!$F$56),IF(Settings!$E$56="",$B65,DATE(YEAR($A65),MONTH($A65),MIN(Settings!$E$56,DAY($B65))))&lt;=MIN(Settings!$B$5,IF(Settings!$G$56="",Settings!$B$5,Settings!$G$56))),1,0)))))</f>
        <v/>
      </c>
      <c r="FF65">
        <f>IF(Settings!$I$45="Yes",$G65,0)+IF(Settings!$I$46="Yes",$H65,0)+IF(Settings!$I$47="Yes",$I65,0)+IF(Settings!$I$48="Yes",$J65,0)+IF(Settings!$I$49="Yes",$K65,0)+IF(Settings!$I$50="Yes",$L65,0)+IF(Settings!$I$51="Yes",$M65,0)+IF(Settings!$I$52="Yes",$N65,0)+IF(Settings!$I$53="Yes",$O65,0)+IF(Settings!$I$54="Yes",$P65,0)+IF(Settings!$I$55="Yes",$Q65,0)+IF(Settings!$I$56="Yes",$R65,0)</f>
        <v/>
      </c>
      <c r="FG65">
        <f>IF(AND(Settings!$I$45="Yes",Settings!$J$45="No"),$G65,0)+IF(AND(Settings!$I$46="Yes",Settings!$J$46="No"),$H65,0)+IF(AND(Settings!$I$47="Yes",Settings!$J$47="No"),$I65,0)+IF(AND(Settings!$I$48="Yes",Settings!$J$48="No"),$J65,0)+IF(AND(Settings!$I$49="Yes",Settings!$J$49="No"),$K65,0)+IF(AND(Settings!$I$50="Yes",Settings!$J$50="No"),$L65,0)+IF(AND(Settings!$I$51="Yes",Settings!$J$51="No"),$M65,0)+IF(AND(Settings!$I$52="Yes",Settings!$J$52="No"),$N65,0)+IF(AND(Settings!$I$53="Yes",Settings!$J$53="No"),$O65,0)+IF(AND(Settings!$I$54="Yes",Settings!$J$54="No"),$P65,0)+IF(AND(Settings!$I$55="Yes",Settings!$J$55="No"),$Q65,0)+IF(AND(Settings!$I$56="Yes",Settings!$J$56="No"),$R65,0)</f>
        <v/>
      </c>
      <c r="FH65">
        <f>SUMIFS(Giving!$B$7:$B$2006,Giving!$A$7:$A$2006,"&gt;="&amp;$A65,Giving!$A$7:$A$2006,"&lt;="&amp;$B65,Giving!$G$7:$G$2006,"Yes")+IF(OR(OR(Settings!$B$60="",Settings!$F$60="No"),Settings!$H$60&lt;&gt;"Yes"),0,Settings!$B$60*IF(AND(IF(Settings!$C$60="",$B65,DATE(YEAR($A65),MONTH($A65),MIN(Settings!$C$60,DAY($B65))))&gt;=MAX($A65,Settings!$D$60),IF(Settings!$C$60="",$B65,DATE(YEAR($A65),MONTH($A65),MIN(Settings!$C$60,DAY($B65))))&lt;=MIN($C65,IF(Settings!$E$60="",$C65,Settings!$E$60))),1,0))+IF(OR(OR(Settings!$B$61="",Settings!$F$61="No"),Settings!$H$61&lt;&gt;"Yes"),0,Settings!$B$61*IF(AND(IF(Settings!$C$61="",$B65,DATE(YEAR($A65),MONTH($A65),MIN(Settings!$C$61,DAY($B65))))&gt;=MAX($A65,Settings!$D$61),IF(Settings!$C$61="",$B65,DATE(YEAR($A65),MONTH($A65),MIN(Settings!$C$61,DAY($B65))))&lt;=MIN($C65,IF(Settings!$E$61="",$C65,Settings!$E$61))),1,0))+IF(OR(OR(Settings!$B$62="",Settings!$F$62="No"),Settings!$H$62&lt;&gt;"Yes"),0,Settings!$B$62*IF(AND(IF(Settings!$C$62="",$B65,DATE(YEAR($A65),MONTH($A65),MIN(Settings!$C$62,DAY($B65))))&gt;=MAX($A65,Settings!$D$62),IF(Settings!$C$62="",$B65,DATE(YEAR($A65),MONTH($A65),MIN(Settings!$C$62,DAY($B65))))&lt;=MIN($C65,IF(Settings!$E$62="",$C65,Settings!$E$62))),1,0))+IF(OR(OR(Settings!$B$63="",Settings!$F$63="No"),Settings!$H$63&lt;&gt;"Yes"),0,Settings!$B$63*IF(AND(IF(Settings!$C$63="",$B65,DATE(YEAR($A65),MONTH($A65),MIN(Settings!$C$63,DAY($B65))))&gt;=MAX($A65,Settings!$D$63),IF(Settings!$C$63="",$B65,DATE(YEAR($A65),MONTH($A65),MIN(Settings!$C$63,DAY($B65))))&lt;=MIN($C65,IF(Settings!$E$63="",$C65,Settings!$E$63))),1,0))+IF(OR(OR(Settings!$B$64="",Settings!$F$64="No"),Settings!$H$64&lt;&gt;"Yes"),0,Settings!$B$64*IF(AND(IF(Settings!$C$64="",$B65,DATE(YEAR($A65),MONTH($A65),MIN(Settings!$C$64,DAY($B65))))&gt;=MAX($A65,Settings!$D$64),IF(Settings!$C$64="",$B65,DATE(YEAR($A65),MONTH($A65),MIN(Settings!$C$64,DAY($B65))))&lt;=MIN($C65,IF(Settings!$E$64="",$C65,Settings!$E$64))),1,0))+IF(OR(OR(Settings!$B$65="",Settings!$F$65="No"),Settings!$H$65&lt;&gt;"Yes"),0,Settings!$B$65*IF(AND(IF(Settings!$C$65="",$B65,DATE(YEAR($A65),MONTH($A65),MIN(Settings!$C$65,DAY($B65))))&gt;=MAX($A65,Settings!$D$65),IF(Settings!$C$65="",$B65,DATE(YEAR($A65),MONTH($A65),MIN(Settings!$C$65,DAY($B65))))&lt;=MIN($C65,IF(Settings!$E$65="",$C65,Settings!$E$65))),1,0))</f>
        <v/>
      </c>
      <c r="FI65">
        <f>IF($DT65=1,IF(OR(Settings!$B$19="Card",Settings!$B$19="Loan"),N($AE65),0)+IF(OR(Settings!$B$20="Card",Settings!$B$20="Loan"),N($AF65),0)+IF(OR(Settings!$B$21="Card",Settings!$B$21="Loan"),N($AG65),0)+IF(OR(Settings!$B$22="Card",Settings!$B$22="Loan"),N($AH65),0)+IF(OR(Settings!$B$23="Card",Settings!$B$23="Loan"),N($AI65),0)+IF(OR(Settings!$B$24="Card",Settings!$B$24="Loan"),N($AJ65),0)+IF(OR(Settings!$B$25="Card",Settings!$B$25="Loan"),N($AK65),0)+IF(OR(Settings!$B$26="Card",Settings!$B$26="Loan"),N($AL65),0)+IF(OR(Settings!$B$27="Card",Settings!$B$27="Loan"),N($AM65),0)+IF(OR(Settings!$B$28="Card",Settings!$B$28="Loan"),N($AN65),0)+IF(OR(Settings!$B$29="Card",Settings!$B$29="Loan"),N($AO65),0)+IF(OR(Settings!$B$30="Card",Settings!$B$30="Loan"),N($AP65),0)+IF(OR(Settings!$B$31="Card",Settings!$B$31="Loan"),N($AQ65),0)+IF(OR(Settings!$B$32="Card",Settings!$B$32="Loan"),N($AR65),0),"")</f>
        <v/>
      </c>
      <c r="FJ65">
        <f>IF($E65="open",$EB$65,IF($E65="post",IF($E64="pre",$EB$65,$FI64),""))</f>
        <v/>
      </c>
      <c r="FK65">
        <f>IF(AND($DT65=1,$DC65=1),IF(ROUND($FI65-$FJ65,2)&gt;0,1,0),0)</f>
        <v/>
      </c>
      <c r="FL65">
        <f>IF($FK65=1,$FL64+1,0)</f>
        <v/>
      </c>
    </row>
    <row r="66">
      <c r="A66">
        <f>'Month-End'!$BK$4</f>
        <v/>
      </c>
      <c r="B66">
        <f>EOMONTH($A66,0)</f>
        <v/>
      </c>
      <c r="C66">
        <f>MIN($B66,TODAY())</f>
        <v/>
      </c>
      <c r="D66">
        <f>IF($A66&gt;TODAY(),1,0)</f>
        <v/>
      </c>
      <c r="E66">
        <f>IF($B66&lt;=Settings!$B$5,"pre",IF($A66&lt;=Settings!$B$5,"open","post"))</f>
        <v/>
      </c>
      <c r="G66">
        <f>IF('Month-End'!$BK$22="",$BE66,N('Month-End'!$BK$22))</f>
        <v/>
      </c>
      <c r="H66">
        <f>IF('Month-End'!$BK$23="",$BF66,N('Month-End'!$BK$23))</f>
        <v/>
      </c>
      <c r="I66">
        <f>IF('Month-End'!$BK$24="",$BG66,N('Month-End'!$BK$24))</f>
        <v/>
      </c>
      <c r="J66">
        <f>IF('Month-End'!$BK$25="",$BH66,N('Month-End'!$BK$25))</f>
        <v/>
      </c>
      <c r="K66">
        <f>IF('Month-End'!$BK$26="",$BI66,N('Month-End'!$BK$26))</f>
        <v/>
      </c>
      <c r="L66">
        <f>IF('Month-End'!$BK$27="",$BJ66,N('Month-End'!$BK$27))</f>
        <v/>
      </c>
      <c r="M66">
        <f>IF('Month-End'!$BK$28="",$BK66,N('Month-End'!$BK$28))</f>
        <v/>
      </c>
      <c r="N66">
        <f>IF('Month-End'!$BK$29="",$BL66,N('Month-End'!$BK$29))</f>
        <v/>
      </c>
      <c r="O66">
        <f>IF('Month-End'!$BK$30="",$BM66,N('Month-End'!$BK$30))</f>
        <v/>
      </c>
      <c r="P66">
        <f>IF('Month-End'!$BK$31="",$BN66,N('Month-End'!$BK$31))</f>
        <v/>
      </c>
      <c r="Q66">
        <f>IF('Month-End'!$BK$32="",$BO66,N('Month-End'!$BK$32))</f>
        <v/>
      </c>
      <c r="R66">
        <f>IF('Month-End'!$BK$33="",$BP66,N('Month-End'!$BK$33))</f>
        <v/>
      </c>
      <c r="S66">
        <f>$G66+$H66+$I66+$J66+$K66+$L66+$M66+$N66+$O66+$P66+$Q66+$R66</f>
        <v/>
      </c>
      <c r="T66">
        <f>IF($B66&lt;Settings!$B$6,0,IF(Settings!$B$45="Yes",$G66,0)+IF(Settings!$B$46="Yes",$H66,0)+IF(Settings!$B$47="Yes",$I66,0)+IF(Settings!$B$48="Yes",$J66,0)+IF(Settings!$B$49="Yes",$K66,0)+IF(Settings!$B$50="Yes",$L66,0)+IF(Settings!$B$51="Yes",$M66,0)+IF(Settings!$B$52="Yes",$N66,0)+IF(Settings!$B$53="Yes",$O66,0)+IF(Settings!$B$54="Yes",$P66,0)+IF(Settings!$B$55="Yes",$Q66,0)+IF(Settings!$B$56="Yes",$R66,0))</f>
        <v/>
      </c>
      <c r="U66">
        <f>IF(Settings!$B$45="Not Sure",$G66,0)+IF(Settings!$B$46="Not Sure",$H66,0)+IF(Settings!$B$47="Not Sure",$I66,0)+IF(Settings!$B$48="Not Sure",$J66,0)+IF(Settings!$B$49="Not Sure",$K66,0)+IF(Settings!$B$50="Not Sure",$L66,0)+IF(Settings!$B$51="Not Sure",$M66,0)+IF(Settings!$B$52="Not Sure",$N66,0)+IF(Settings!$B$53="Not Sure",$O66,0)+IF(Settings!$B$54="Not Sure",$P66,0)+IF(Settings!$B$55="Not Sure",$Q66,0)+IF(Settings!$B$56="Not Sure",$R66,0)</f>
        <v/>
      </c>
      <c r="V66">
        <f>IF($E66="open",SUM($ET66:$FE66)+N(Settings!$B$13),0)</f>
        <v/>
      </c>
      <c r="W66">
        <f>IF($E66="post",$S66,IF($E66="open",$S66-$V66,0))</f>
        <v/>
      </c>
      <c r="X66">
        <f>SUMIFS(Giving!$B$7:$B$2006,Giving!$A$7:$A$2006,"&gt;="&amp;$A66,Giving!$A$7:$A$2006,"&lt;="&amp;$B66,Giving!$E$7:$E$2006,"&lt;&gt;No")</f>
        <v/>
      </c>
      <c r="Y66">
        <f>SUMIFS(Giving!$B$7:$B$2006,Giving!$A$7:$A$2006,"&gt;="&amp;$A66,Giving!$A$7:$A$2006,"&lt;="&amp;$B66,Giving!$E$7:$E$2006,"No")</f>
        <v/>
      </c>
      <c r="Z66">
        <f>IF(OR(Settings!$B$60="",Settings!$F$60="No"),0,Settings!$B$60*IF(AND(IF(Settings!$C$60="",$B66,DATE(YEAR($A66),MONTH($A66),MIN(Settings!$C$60,DAY($B66))))&gt;=MAX($A66,Settings!$D$60),IF(Settings!$C$60="",$B66,DATE(YEAR($A66),MONTH($A66),MIN(Settings!$C$60,DAY($B66))))&lt;=MIN($C66,IF(Settings!$E$60="",$C66,Settings!$E$60))),1,0))+IF(OR(Settings!$B$61="",Settings!$F$61="No"),0,Settings!$B$61*IF(AND(IF(Settings!$C$61="",$B66,DATE(YEAR($A66),MONTH($A66),MIN(Settings!$C$61,DAY($B66))))&gt;=MAX($A66,Settings!$D$61),IF(Settings!$C$61="",$B66,DATE(YEAR($A66),MONTH($A66),MIN(Settings!$C$61,DAY($B66))))&lt;=MIN($C66,IF(Settings!$E$61="",$C66,Settings!$E$61))),1,0))+IF(OR(Settings!$B$62="",Settings!$F$62="No"),0,Settings!$B$62*IF(AND(IF(Settings!$C$62="",$B66,DATE(YEAR($A66),MONTH($A66),MIN(Settings!$C$62,DAY($B66))))&gt;=MAX($A66,Settings!$D$62),IF(Settings!$C$62="",$B66,DATE(YEAR($A66),MONTH($A66),MIN(Settings!$C$62,DAY($B66))))&lt;=MIN($C66,IF(Settings!$E$62="",$C66,Settings!$E$62))),1,0))+IF(OR(Settings!$B$63="",Settings!$F$63="No"),0,Settings!$B$63*IF(AND(IF(Settings!$C$63="",$B66,DATE(YEAR($A66),MONTH($A66),MIN(Settings!$C$63,DAY($B66))))&gt;=MAX($A66,Settings!$D$63),IF(Settings!$C$63="",$B66,DATE(YEAR($A66),MONTH($A66),MIN(Settings!$C$63,DAY($B66))))&lt;=MIN($C66,IF(Settings!$E$63="",$C66,Settings!$E$63))),1,0))+IF(OR(Settings!$B$64="",Settings!$F$64="No"),0,Settings!$B$64*IF(AND(IF(Settings!$C$64="",$B66,DATE(YEAR($A66),MONTH($A66),MIN(Settings!$C$64,DAY($B66))))&gt;=MAX($A66,Settings!$D$64),IF(Settings!$C$64="",$B66,DATE(YEAR($A66),MONTH($A66),MIN(Settings!$C$64,DAY($B66))))&lt;=MIN($C66,IF(Settings!$E$64="",$C66,Settings!$E$64))),1,0))+IF(OR(Settings!$B$65="",Settings!$F$65="No"),0,Settings!$B$65*IF(AND(IF(Settings!$C$65="",$B66,DATE(YEAR($A66),MONTH($A66),MIN(Settings!$C$65,DAY($B66))))&gt;=MAX($A66,Settings!$D$65),IF(Settings!$C$65="",$B66,DATE(YEAR($A66),MONTH($A66),MIN(Settings!$C$65,DAY($B66))))&lt;=MIN($C66,IF(Settings!$E$65="",$C66,Settings!$E$65))),1,0))</f>
        <v/>
      </c>
      <c r="AA66">
        <f>$X66+$Z66</f>
        <v/>
      </c>
      <c r="AB66">
        <f>IF($E66="post",$AA66,IF($E66="open",SUMIFS(Giving!$B$7:$B$2006,Giving!$A$7:$A$2006,"&gt;"&amp;Settings!$B$5,Giving!$A$7:$A$2006,"&lt;="&amp;$B66,Giving!$E$7:$E$2006,"&lt;&gt;No")+IF(OR(Settings!$B$60="",Settings!$F$60="No"),0,Settings!$B$60*IF(AND(IF(Settings!$C$60="",$B66,DATE(YEAR($A66),MONTH($A66),MIN(Settings!$C$60,DAY($B66))))&gt;=MAX($A66,Settings!$D$60,Settings!$B$5+1),IF(Settings!$C$60="",$B66,DATE(YEAR($A66),MONTH($A66),MIN(Settings!$C$60,DAY($B66))))&lt;=MIN($C66,IF(Settings!$E$60="",$C66,Settings!$E$60))),1,0))+IF(OR(Settings!$B$61="",Settings!$F$61="No"),0,Settings!$B$61*IF(AND(IF(Settings!$C$61="",$B66,DATE(YEAR($A66),MONTH($A66),MIN(Settings!$C$61,DAY($B66))))&gt;=MAX($A66,Settings!$D$61,Settings!$B$5+1),IF(Settings!$C$61="",$B66,DATE(YEAR($A66),MONTH($A66),MIN(Settings!$C$61,DAY($B66))))&lt;=MIN($C66,IF(Settings!$E$61="",$C66,Settings!$E$61))),1,0))+IF(OR(Settings!$B$62="",Settings!$F$62="No"),0,Settings!$B$62*IF(AND(IF(Settings!$C$62="",$B66,DATE(YEAR($A66),MONTH($A66),MIN(Settings!$C$62,DAY($B66))))&gt;=MAX($A66,Settings!$D$62,Settings!$B$5+1),IF(Settings!$C$62="",$B66,DATE(YEAR($A66),MONTH($A66),MIN(Settings!$C$62,DAY($B66))))&lt;=MIN($C66,IF(Settings!$E$62="",$C66,Settings!$E$62))),1,0))+IF(OR(Settings!$B$63="",Settings!$F$63="No"),0,Settings!$B$63*IF(AND(IF(Settings!$C$63="",$B66,DATE(YEAR($A66),MONTH($A66),MIN(Settings!$C$63,DAY($B66))))&gt;=MAX($A66,Settings!$D$63,Settings!$B$5+1),IF(Settings!$C$63="",$B66,DATE(YEAR($A66),MONTH($A66),MIN(Settings!$C$63,DAY($B66))))&lt;=MIN($C66,IF(Settings!$E$63="",$C66,Settings!$E$63))),1,0))+IF(OR(Settings!$B$64="",Settings!$F$64="No"),0,Settings!$B$64*IF(AND(IF(Settings!$C$64="",$B66,DATE(YEAR($A66),MONTH($A66),MIN(Settings!$C$64,DAY($B66))))&gt;=MAX($A66,Settings!$D$64,Settings!$B$5+1),IF(Settings!$C$64="",$B66,DATE(YEAR($A66),MONTH($A66),MIN(Settings!$C$64,DAY($B66))))&lt;=MIN($C66,IF(Settings!$E$64="",$C66,Settings!$E$64))),1,0))+IF(OR(Settings!$B$65="",Settings!$F$65="No"),0,Settings!$B$65*IF(AND(IF(Settings!$C$65="",$B66,DATE(YEAR($A66),MONTH($A66),MIN(Settings!$C$65,DAY($B66))))&gt;=MAX($A66,Settings!$D$65,Settings!$B$5+1),IF(Settings!$C$65="",$B66,DATE(YEAR($A66),MONTH($A66),MIN(Settings!$C$65,DAY($B66))))&lt;=MIN($C66,IF(Settings!$E$65="",$C66,Settings!$E$65))),1,0)),0))</f>
        <v/>
      </c>
      <c r="AC66">
        <f>$AY66+$AZ66+$BA66+$BB66+$BC66+$BD66</f>
        <v/>
      </c>
      <c r="AD66">
        <f>$AC66</f>
        <v/>
      </c>
      <c r="AE66">
        <f>IF(OR(Settings!$A$19="",$E66="pre"),"",IF(AND('Month-End'!$BK$7&lt;&gt;"",NOT(_xlfn.ISFORMULA('Month-End'!$BK$7))),N('Month-End'!$BK$7),IF(OR($E66="open",$E65="pre"),N(Settings!$C$19),N($AE65))))</f>
        <v/>
      </c>
      <c r="AF66">
        <f>IF(OR(Settings!$A$20="",$E66="pre"),"",IF(AND('Month-End'!$BK$8&lt;&gt;"",NOT(_xlfn.ISFORMULA('Month-End'!$BK$8))),N('Month-End'!$BK$8),IF(OR($E66="open",$E65="pre"),N(Settings!$C$20),N($AF65))))</f>
        <v/>
      </c>
      <c r="AG66">
        <f>IF(OR(Settings!$A$21="",$E66="pre"),"",IF(AND('Month-End'!$BK$9&lt;&gt;"",NOT(_xlfn.ISFORMULA('Month-End'!$BK$9))),N('Month-End'!$BK$9),IF(OR($E66="open",$E65="pre"),N(Settings!$C$21),N($AG65))))</f>
        <v/>
      </c>
      <c r="AH66">
        <f>IF(OR(Settings!$A$22="",$E66="pre"),"",IF(AND('Month-End'!$BK$10&lt;&gt;"",NOT(_xlfn.ISFORMULA('Month-End'!$BK$10))),N('Month-End'!$BK$10),IF(OR($E66="open",$E65="pre"),N(Settings!$C$22),N($AH65))))</f>
        <v/>
      </c>
      <c r="AI66">
        <f>IF(OR(Settings!$A$23="",$E66="pre"),"",IF(AND('Month-End'!$BK$11&lt;&gt;"",NOT(_xlfn.ISFORMULA('Month-End'!$BK$11))),N('Month-End'!$BK$11),IF(OR($E66="open",$E65="pre"),N(Settings!$C$23),N($AI65))))</f>
        <v/>
      </c>
      <c r="AJ66">
        <f>IF(OR(Settings!$A$24="",$E66="pre"),"",IF(AND('Month-End'!$BK$12&lt;&gt;"",NOT(_xlfn.ISFORMULA('Month-End'!$BK$12))),N('Month-End'!$BK$12),IF(OR($E66="open",$E65="pre"),N(Settings!$C$24),N($AJ65))))</f>
        <v/>
      </c>
      <c r="AK66">
        <f>IF(OR(Settings!$A$25="",$E66="pre"),"",IF(AND('Month-End'!$BK$13&lt;&gt;"",NOT(_xlfn.ISFORMULA('Month-End'!$BK$13))),N('Month-End'!$BK$13),IF(OR($E66="open",$E65="pre"),N(Settings!$C$25),N($AK65))))</f>
        <v/>
      </c>
      <c r="AL66">
        <f>IF(OR(Settings!$A$26="",$E66="pre"),"",IF(AND('Month-End'!$BK$14&lt;&gt;"",NOT(_xlfn.ISFORMULA('Month-End'!$BK$14))),N('Month-End'!$BK$14),IF(OR($E66="open",$E65="pre"),N(Settings!$C$26),N($AL65))))</f>
        <v/>
      </c>
      <c r="AM66">
        <f>IF(OR(Settings!$A$27="",$E66="pre"),"",IF(AND('Month-End'!$BK$15&lt;&gt;"",NOT(_xlfn.ISFORMULA('Month-End'!$BK$15))),N('Month-End'!$BK$15),IF(OR($E66="open",$E65="pre"),N(Settings!$C$27),N($AM65))))</f>
        <v/>
      </c>
      <c r="AN66">
        <f>IF(OR(Settings!$A$28="",$E66="pre"),"",IF(AND('Month-End'!$BK$16&lt;&gt;"",NOT(_xlfn.ISFORMULA('Month-End'!$BK$16))),N('Month-End'!$BK$16),IF(OR($E66="open",$E65="pre"),N(Settings!$C$28),N($AN65))))</f>
        <v/>
      </c>
      <c r="AO66">
        <f>IF(OR(Settings!$A$29="",$E66="pre"),"",IF(AND('Month-End'!$BK$17&lt;&gt;"",NOT(_xlfn.ISFORMULA('Month-End'!$BK$17))),N('Month-End'!$BK$17),IF(OR($E66="open",$E65="pre"),N(Settings!$C$29),N($AO65))))</f>
        <v/>
      </c>
      <c r="AP66">
        <f>IF(OR(Settings!$A$30="",$E66="pre"),"",IF(AND('Month-End'!$BK$18&lt;&gt;"",NOT(_xlfn.ISFORMULA('Month-End'!$BK$18))),N('Month-End'!$BK$18),IF(OR($E66="open",$E65="pre"),N(Settings!$C$30),N($AP65))))</f>
        <v/>
      </c>
      <c r="AQ66">
        <f>IF(OR(Settings!$A$31="",$E66="pre"),"",IF(AND('Month-End'!$BK$19&lt;&gt;"",NOT(_xlfn.ISFORMULA('Month-End'!$BK$19))),N('Month-End'!$BK$19),IF(OR($E66="open",$E65="pre"),N(Settings!$C$31),N($AQ65))))</f>
        <v/>
      </c>
      <c r="AR66">
        <f>IF(OR(Settings!$A$32="",$E66="pre"),"",IF(AND('Month-End'!$BK$20&lt;&gt;"",NOT(_xlfn.ISFORMULA('Month-End'!$BK$20))),N('Month-End'!$BK$20),IF(OR($E66="open",$E65="pre"),N(Settings!$C$32),N($AR65))))</f>
        <v/>
      </c>
      <c r="AS66">
        <f>IF(OR(Settings!$A$36="",$E66="pre"),"",IF(AND('Month-End'!$BK$38&lt;&gt;"",NOT(_xlfn.ISFORMULA('Month-End'!$BK$38))),N('Month-End'!$BK$38),IF(OR($E66="open",$E65="pre"),N(Settings!$C$36),N($AS65))+$AY66))</f>
        <v/>
      </c>
      <c r="AT66">
        <f>IF(OR(Settings!$A$37="",$E66="pre"),"",IF(AND('Month-End'!$BK$39&lt;&gt;"",NOT(_xlfn.ISFORMULA('Month-End'!$BK$39))),N('Month-End'!$BK$39),IF(OR($E66="open",$E65="pre"),N(Settings!$C$37),N($AT65))+$AZ66))</f>
        <v/>
      </c>
      <c r="AU66">
        <f>IF(OR(Settings!$A$38="",$E66="pre"),"",IF(AND('Month-End'!$BK$40&lt;&gt;"",NOT(_xlfn.ISFORMULA('Month-End'!$BK$40))),N('Month-End'!$BK$40),IF(OR($E66="open",$E65="pre"),N(Settings!$C$38),N($AU65))+$BA66))</f>
        <v/>
      </c>
      <c r="AV66">
        <f>IF(OR(Settings!$A$39="",$E66="pre"),"",IF(AND('Month-End'!$BK$41&lt;&gt;"",NOT(_xlfn.ISFORMULA('Month-End'!$BK$41))),N('Month-End'!$BK$41),IF(OR($E66="open",$E65="pre"),N(Settings!$C$39),N($AV65))+$BB66))</f>
        <v/>
      </c>
      <c r="AW66">
        <f>IF(OR(Settings!$A$40="",$E66="pre"),"",IF(AND('Month-End'!$BK$42&lt;&gt;"",NOT(_xlfn.ISFORMULA('Month-End'!$BK$42))),N('Month-End'!$BK$42),IF(OR($E66="open",$E65="pre"),N(Settings!$C$40),N($AW65))+$BC66))</f>
        <v/>
      </c>
      <c r="AX66">
        <f>IF(OR(Settings!$A$41="",$E66="pre"),"",IF(AND('Month-End'!$BK$43&lt;&gt;"",NOT(_xlfn.ISFORMULA('Month-End'!$BK$43))),N('Month-End'!$BK$43),IF(OR($E66="open",$E65="pre"),N(Settings!$C$41),N($AX65))+$BD66))</f>
        <v/>
      </c>
      <c r="AY66">
        <f>IF($E66="pre",0,N('Month-End'!$BK$45))</f>
        <v/>
      </c>
      <c r="AZ66">
        <f>IF($E66="pre",0,N('Month-End'!$BK$46))</f>
        <v/>
      </c>
      <c r="BA66">
        <f>IF($E66="pre",0,N('Month-End'!$BK$47))</f>
        <v/>
      </c>
      <c r="BB66">
        <f>IF($E66="pre",0,N('Month-End'!$BK$48))</f>
        <v/>
      </c>
      <c r="BC66">
        <f>IF($E66="pre",0,N('Month-End'!$BK$49))</f>
        <v/>
      </c>
      <c r="BD66">
        <f>IF($E66="pre",0,N('Month-End'!$BK$50))</f>
        <v/>
      </c>
      <c r="BE66">
        <f>IF(OR(Settings!$C$45="",Settings!$D$45=""),0,Settings!$C$45*IF(Settings!$D$45="Weekly",IF(IFERROR(MATCH(Settings!$E$45,$EO$4:$EO$10,0),0)=0,0,IF(MIN($C66,IF(Settings!$G$45="",$C66,Settings!$G$45))&lt;MAX($A66,Settings!$F$45),0,INT((MIN($C66,IF(Settings!$G$45="",$C66,Settings!$G$45))-MAX($A66,Settings!$F$45)-MOD(IFERROR(MATCH(Settings!$E$45,$EO$4:$EO$10,0),0)-WEEKDAY(MAX($A66,Settings!$F$45)),7))/7)+1)),IF(AND(IF(Settings!$E$45="",$B66,DATE(YEAR($A66),MONTH($A66),MIN(Settings!$E$45,DAY($B66))))&gt;=MAX($A66,Settings!$F$45),IF(Settings!$E$45="",$B66,DATE(YEAR($A66),MONTH($A66),MIN(Settings!$E$45,DAY($B66))))&lt;=MIN($C66,IF(Settings!$G$45="",$C66,Settings!$G$45))),1,0)))</f>
        <v/>
      </c>
      <c r="BF66">
        <f>IF(OR(Settings!$C$46="",Settings!$D$46=""),0,Settings!$C$46*IF(Settings!$D$46="Weekly",IF(IFERROR(MATCH(Settings!$E$46,$EO$4:$EO$10,0),0)=0,0,IF(MIN($C66,IF(Settings!$G$46="",$C66,Settings!$G$46))&lt;MAX($A66,Settings!$F$46),0,INT((MIN($C66,IF(Settings!$G$46="",$C66,Settings!$G$46))-MAX($A66,Settings!$F$46)-MOD(IFERROR(MATCH(Settings!$E$46,$EO$4:$EO$10,0),0)-WEEKDAY(MAX($A66,Settings!$F$46)),7))/7)+1)),IF(AND(IF(Settings!$E$46="",$B66,DATE(YEAR($A66),MONTH($A66),MIN(Settings!$E$46,DAY($B66))))&gt;=MAX($A66,Settings!$F$46),IF(Settings!$E$46="",$B66,DATE(YEAR($A66),MONTH($A66),MIN(Settings!$E$46,DAY($B66))))&lt;=MIN($C66,IF(Settings!$G$46="",$C66,Settings!$G$46))),1,0)))</f>
        <v/>
      </c>
      <c r="BG66">
        <f>IF(OR(Settings!$C$47="",Settings!$D$47=""),0,Settings!$C$47*IF(Settings!$D$47="Weekly",IF(IFERROR(MATCH(Settings!$E$47,$EO$4:$EO$10,0),0)=0,0,IF(MIN($C66,IF(Settings!$G$47="",$C66,Settings!$G$47))&lt;MAX($A66,Settings!$F$47),0,INT((MIN($C66,IF(Settings!$G$47="",$C66,Settings!$G$47))-MAX($A66,Settings!$F$47)-MOD(IFERROR(MATCH(Settings!$E$47,$EO$4:$EO$10,0),0)-WEEKDAY(MAX($A66,Settings!$F$47)),7))/7)+1)),IF(AND(IF(Settings!$E$47="",$B66,DATE(YEAR($A66),MONTH($A66),MIN(Settings!$E$47,DAY($B66))))&gt;=MAX($A66,Settings!$F$47),IF(Settings!$E$47="",$B66,DATE(YEAR($A66),MONTH($A66),MIN(Settings!$E$47,DAY($B66))))&lt;=MIN($C66,IF(Settings!$G$47="",$C66,Settings!$G$47))),1,0)))</f>
        <v/>
      </c>
      <c r="BH66">
        <f>IF(OR(Settings!$C$48="",Settings!$D$48=""),0,Settings!$C$48*IF(Settings!$D$48="Weekly",IF(IFERROR(MATCH(Settings!$E$48,$EO$4:$EO$10,0),0)=0,0,IF(MIN($C66,IF(Settings!$G$48="",$C66,Settings!$G$48))&lt;MAX($A66,Settings!$F$48),0,INT((MIN($C66,IF(Settings!$G$48="",$C66,Settings!$G$48))-MAX($A66,Settings!$F$48)-MOD(IFERROR(MATCH(Settings!$E$48,$EO$4:$EO$10,0),0)-WEEKDAY(MAX($A66,Settings!$F$48)),7))/7)+1)),IF(AND(IF(Settings!$E$48="",$B66,DATE(YEAR($A66),MONTH($A66),MIN(Settings!$E$48,DAY($B66))))&gt;=MAX($A66,Settings!$F$48),IF(Settings!$E$48="",$B66,DATE(YEAR($A66),MONTH($A66),MIN(Settings!$E$48,DAY($B66))))&lt;=MIN($C66,IF(Settings!$G$48="",$C66,Settings!$G$48))),1,0)))</f>
        <v/>
      </c>
      <c r="BI66">
        <f>IF(OR(Settings!$C$49="",Settings!$D$49=""),0,Settings!$C$49*IF(Settings!$D$49="Weekly",IF(IFERROR(MATCH(Settings!$E$49,$EO$4:$EO$10,0),0)=0,0,IF(MIN($C66,IF(Settings!$G$49="",$C66,Settings!$G$49))&lt;MAX($A66,Settings!$F$49),0,INT((MIN($C66,IF(Settings!$G$49="",$C66,Settings!$G$49))-MAX($A66,Settings!$F$49)-MOD(IFERROR(MATCH(Settings!$E$49,$EO$4:$EO$10,0),0)-WEEKDAY(MAX($A66,Settings!$F$49)),7))/7)+1)),IF(AND(IF(Settings!$E$49="",$B66,DATE(YEAR($A66),MONTH($A66),MIN(Settings!$E$49,DAY($B66))))&gt;=MAX($A66,Settings!$F$49),IF(Settings!$E$49="",$B66,DATE(YEAR($A66),MONTH($A66),MIN(Settings!$E$49,DAY($B66))))&lt;=MIN($C66,IF(Settings!$G$49="",$C66,Settings!$G$49))),1,0)))</f>
        <v/>
      </c>
      <c r="BJ66">
        <f>IF(OR(Settings!$C$50="",Settings!$D$50=""),0,Settings!$C$50*IF(Settings!$D$50="Weekly",IF(IFERROR(MATCH(Settings!$E$50,$EO$4:$EO$10,0),0)=0,0,IF(MIN($C66,IF(Settings!$G$50="",$C66,Settings!$G$50))&lt;MAX($A66,Settings!$F$50),0,INT((MIN($C66,IF(Settings!$G$50="",$C66,Settings!$G$50))-MAX($A66,Settings!$F$50)-MOD(IFERROR(MATCH(Settings!$E$50,$EO$4:$EO$10,0),0)-WEEKDAY(MAX($A66,Settings!$F$50)),7))/7)+1)),IF(AND(IF(Settings!$E$50="",$B66,DATE(YEAR($A66),MONTH($A66),MIN(Settings!$E$50,DAY($B66))))&gt;=MAX($A66,Settings!$F$50),IF(Settings!$E$50="",$B66,DATE(YEAR($A66),MONTH($A66),MIN(Settings!$E$50,DAY($B66))))&lt;=MIN($C66,IF(Settings!$G$50="",$C66,Settings!$G$50))),1,0)))</f>
        <v/>
      </c>
      <c r="BK66">
        <f>IF(OR(Settings!$C$51="",Settings!$D$51=""),0,Settings!$C$51*IF(Settings!$D$51="Weekly",IF(IFERROR(MATCH(Settings!$E$51,$EO$4:$EO$10,0),0)=0,0,IF(MIN($C66,IF(Settings!$G$51="",$C66,Settings!$G$51))&lt;MAX($A66,Settings!$F$51),0,INT((MIN($C66,IF(Settings!$G$51="",$C66,Settings!$G$51))-MAX($A66,Settings!$F$51)-MOD(IFERROR(MATCH(Settings!$E$51,$EO$4:$EO$10,0),0)-WEEKDAY(MAX($A66,Settings!$F$51)),7))/7)+1)),IF(AND(IF(Settings!$E$51="",$B66,DATE(YEAR($A66),MONTH($A66),MIN(Settings!$E$51,DAY($B66))))&gt;=MAX($A66,Settings!$F$51),IF(Settings!$E$51="",$B66,DATE(YEAR($A66),MONTH($A66),MIN(Settings!$E$51,DAY($B66))))&lt;=MIN($C66,IF(Settings!$G$51="",$C66,Settings!$G$51))),1,0)))</f>
        <v/>
      </c>
      <c r="BL66">
        <f>IF(OR(Settings!$C$52="",Settings!$D$52=""),0,Settings!$C$52*IF(Settings!$D$52="Weekly",IF(IFERROR(MATCH(Settings!$E$52,$EO$4:$EO$10,0),0)=0,0,IF(MIN($C66,IF(Settings!$G$52="",$C66,Settings!$G$52))&lt;MAX($A66,Settings!$F$52),0,INT((MIN($C66,IF(Settings!$G$52="",$C66,Settings!$G$52))-MAX($A66,Settings!$F$52)-MOD(IFERROR(MATCH(Settings!$E$52,$EO$4:$EO$10,0),0)-WEEKDAY(MAX($A66,Settings!$F$52)),7))/7)+1)),IF(AND(IF(Settings!$E$52="",$B66,DATE(YEAR($A66),MONTH($A66),MIN(Settings!$E$52,DAY($B66))))&gt;=MAX($A66,Settings!$F$52),IF(Settings!$E$52="",$B66,DATE(YEAR($A66),MONTH($A66),MIN(Settings!$E$52,DAY($B66))))&lt;=MIN($C66,IF(Settings!$G$52="",$C66,Settings!$G$52))),1,0)))</f>
        <v/>
      </c>
      <c r="BM66">
        <f>IF(OR(Settings!$C$53="",Settings!$D$53=""),0,Settings!$C$53*IF(Settings!$D$53="Weekly",IF(IFERROR(MATCH(Settings!$E$53,$EO$4:$EO$10,0),0)=0,0,IF(MIN($C66,IF(Settings!$G$53="",$C66,Settings!$G$53))&lt;MAX($A66,Settings!$F$53),0,INT((MIN($C66,IF(Settings!$G$53="",$C66,Settings!$G$53))-MAX($A66,Settings!$F$53)-MOD(IFERROR(MATCH(Settings!$E$53,$EO$4:$EO$10,0),0)-WEEKDAY(MAX($A66,Settings!$F$53)),7))/7)+1)),IF(AND(IF(Settings!$E$53="",$B66,DATE(YEAR($A66),MONTH($A66),MIN(Settings!$E$53,DAY($B66))))&gt;=MAX($A66,Settings!$F$53),IF(Settings!$E$53="",$B66,DATE(YEAR($A66),MONTH($A66),MIN(Settings!$E$53,DAY($B66))))&lt;=MIN($C66,IF(Settings!$G$53="",$C66,Settings!$G$53))),1,0)))</f>
        <v/>
      </c>
      <c r="BN66">
        <f>IF(OR(Settings!$C$54="",Settings!$D$54=""),0,Settings!$C$54*IF(Settings!$D$54="Weekly",IF(IFERROR(MATCH(Settings!$E$54,$EO$4:$EO$10,0),0)=0,0,IF(MIN($C66,IF(Settings!$G$54="",$C66,Settings!$G$54))&lt;MAX($A66,Settings!$F$54),0,INT((MIN($C66,IF(Settings!$G$54="",$C66,Settings!$G$54))-MAX($A66,Settings!$F$54)-MOD(IFERROR(MATCH(Settings!$E$54,$EO$4:$EO$10,0),0)-WEEKDAY(MAX($A66,Settings!$F$54)),7))/7)+1)),IF(AND(IF(Settings!$E$54="",$B66,DATE(YEAR($A66),MONTH($A66),MIN(Settings!$E$54,DAY($B66))))&gt;=MAX($A66,Settings!$F$54),IF(Settings!$E$54="",$B66,DATE(YEAR($A66),MONTH($A66),MIN(Settings!$E$54,DAY($B66))))&lt;=MIN($C66,IF(Settings!$G$54="",$C66,Settings!$G$54))),1,0)))</f>
        <v/>
      </c>
      <c r="BO66">
        <f>IF(OR(Settings!$C$55="",Settings!$D$55=""),0,Settings!$C$55*IF(Settings!$D$55="Weekly",IF(IFERROR(MATCH(Settings!$E$55,$EO$4:$EO$10,0),0)=0,0,IF(MIN($C66,IF(Settings!$G$55="",$C66,Settings!$G$55))&lt;MAX($A66,Settings!$F$55),0,INT((MIN($C66,IF(Settings!$G$55="",$C66,Settings!$G$55))-MAX($A66,Settings!$F$55)-MOD(IFERROR(MATCH(Settings!$E$55,$EO$4:$EO$10,0),0)-WEEKDAY(MAX($A66,Settings!$F$55)),7))/7)+1)),IF(AND(IF(Settings!$E$55="",$B66,DATE(YEAR($A66),MONTH($A66),MIN(Settings!$E$55,DAY($B66))))&gt;=MAX($A66,Settings!$F$55),IF(Settings!$E$55="",$B66,DATE(YEAR($A66),MONTH($A66),MIN(Settings!$E$55,DAY($B66))))&lt;=MIN($C66,IF(Settings!$G$55="",$C66,Settings!$G$55))),1,0)))</f>
        <v/>
      </c>
      <c r="BP66">
        <f>IF(OR(Settings!$C$56="",Settings!$D$56=""),0,Settings!$C$56*IF(Settings!$D$56="Weekly",IF(IFERROR(MATCH(Settings!$E$56,$EO$4:$EO$10,0),0)=0,0,IF(MIN($C66,IF(Settings!$G$56="",$C66,Settings!$G$56))&lt;MAX($A66,Settings!$F$56),0,INT((MIN($C66,IF(Settings!$G$56="",$C66,Settings!$G$56))-MAX($A66,Settings!$F$56)-MOD(IFERROR(MATCH(Settings!$E$56,$EO$4:$EO$10,0),0)-WEEKDAY(MAX($A66,Settings!$F$56)),7))/7)+1)),IF(AND(IF(Settings!$E$56="",$B66,DATE(YEAR($A66),MONTH($A66),MIN(Settings!$E$56,DAY($B66))))&gt;=MAX($A66,Settings!$F$56),IF(Settings!$E$56="",$B66,DATE(YEAR($A66),MONTH($A66),MIN(Settings!$E$56,DAY($B66))))&lt;=MIN($C66,IF(Settings!$G$56="",$C66,Settings!$G$56))),1,0)))</f>
        <v/>
      </c>
      <c r="BQ66">
        <f>IF(OR(Settings!$B$14="",$D66=1,$E66="pre",$A66&lt;IF(Settings!$B$15="",0,Settings!$B$15)),0,Settings!$B$14)</f>
        <v/>
      </c>
      <c r="BR66">
        <f>IF(AND('Month-End'!$BK$7&lt;&gt;"",NOT(_xlfn.ISFORMULA('Month-End'!$BK$7))),1,0)</f>
        <v/>
      </c>
      <c r="BS66">
        <f>IF(AND('Month-End'!$BK$8&lt;&gt;"",NOT(_xlfn.ISFORMULA('Month-End'!$BK$8))),1,0)</f>
        <v/>
      </c>
      <c r="BT66">
        <f>IF(AND('Month-End'!$BK$9&lt;&gt;"",NOT(_xlfn.ISFORMULA('Month-End'!$BK$9))),1,0)</f>
        <v/>
      </c>
      <c r="BU66">
        <f>IF(AND('Month-End'!$BK$10&lt;&gt;"",NOT(_xlfn.ISFORMULA('Month-End'!$BK$10))),1,0)</f>
        <v/>
      </c>
      <c r="BV66">
        <f>IF(AND('Month-End'!$BK$11&lt;&gt;"",NOT(_xlfn.ISFORMULA('Month-End'!$BK$11))),1,0)</f>
        <v/>
      </c>
      <c r="BW66">
        <f>IF(AND('Month-End'!$BK$12&lt;&gt;"",NOT(_xlfn.ISFORMULA('Month-End'!$BK$12))),1,0)</f>
        <v/>
      </c>
      <c r="BX66">
        <f>IF(AND('Month-End'!$BK$13&lt;&gt;"",NOT(_xlfn.ISFORMULA('Month-End'!$BK$13))),1,0)</f>
        <v/>
      </c>
      <c r="BY66">
        <f>IF(AND('Month-End'!$BK$14&lt;&gt;"",NOT(_xlfn.ISFORMULA('Month-End'!$BK$14))),1,0)</f>
        <v/>
      </c>
      <c r="BZ66">
        <f>IF(AND('Month-End'!$BK$15&lt;&gt;"",NOT(_xlfn.ISFORMULA('Month-End'!$BK$15))),1,0)</f>
        <v/>
      </c>
      <c r="CA66">
        <f>IF(AND('Month-End'!$BK$16&lt;&gt;"",NOT(_xlfn.ISFORMULA('Month-End'!$BK$16))),1,0)</f>
        <v/>
      </c>
      <c r="CB66">
        <f>IF(AND('Month-End'!$BK$17&lt;&gt;"",NOT(_xlfn.ISFORMULA('Month-End'!$BK$17))),1,0)</f>
        <v/>
      </c>
      <c r="CC66">
        <f>IF(AND('Month-End'!$BK$18&lt;&gt;"",NOT(_xlfn.ISFORMULA('Month-End'!$BK$18))),1,0)</f>
        <v/>
      </c>
      <c r="CD66">
        <f>IF(AND('Month-End'!$BK$19&lt;&gt;"",NOT(_xlfn.ISFORMULA('Month-End'!$BK$19))),1,0)</f>
        <v/>
      </c>
      <c r="CE66">
        <f>IF(AND('Month-End'!$BK$20&lt;&gt;"",NOT(_xlfn.ISFORMULA('Month-End'!$BK$20))),1,0)</f>
        <v/>
      </c>
      <c r="CF66">
        <f>IF(AND('Month-End'!$BK$38&lt;&gt;"",NOT(_xlfn.ISFORMULA('Month-End'!$BK$38))),1,0)</f>
        <v/>
      </c>
      <c r="CG66">
        <f>IF(AND('Month-End'!$BK$39&lt;&gt;"",NOT(_xlfn.ISFORMULA('Month-End'!$BK$39))),1,0)</f>
        <v/>
      </c>
      <c r="CH66">
        <f>IF(AND('Month-End'!$BK$40&lt;&gt;"",NOT(_xlfn.ISFORMULA('Month-End'!$BK$40))),1,0)</f>
        <v/>
      </c>
      <c r="CI66">
        <f>IF(AND('Month-End'!$BK$41&lt;&gt;"",NOT(_xlfn.ISFORMULA('Month-End'!$BK$41))),1,0)</f>
        <v/>
      </c>
      <c r="CJ66">
        <f>IF(AND('Month-End'!$BK$42&lt;&gt;"",NOT(_xlfn.ISFORMULA('Month-End'!$BK$42))),1,0)</f>
        <v/>
      </c>
      <c r="CK66">
        <f>IF(AND('Month-End'!$BK$43&lt;&gt;"",NOT(_xlfn.ISFORMULA('Month-End'!$BK$43))),1,0)</f>
        <v/>
      </c>
      <c r="CL66">
        <f>SUM($CM66:$CZ66)</f>
        <v/>
      </c>
      <c r="CM66">
        <f>IF(AND($E66&lt;&gt;"pre",AND(Settings!$A$19&lt;&gt;"",Settings!$E$19&lt;&gt;"No"),Settings!$F$19="Yes",NOT(AND('Month-End'!$BK$7&lt;&gt;"",NOT(_xlfn.ISFORMULA('Month-End'!$BK$7))))),1,0)</f>
        <v/>
      </c>
      <c r="CN66">
        <f>IF(AND($E66&lt;&gt;"pre",AND(Settings!$A$20&lt;&gt;"",Settings!$E$20&lt;&gt;"No"),Settings!$F$20="Yes",NOT(AND('Month-End'!$BK$8&lt;&gt;"",NOT(_xlfn.ISFORMULA('Month-End'!$BK$8))))),1,0)</f>
        <v/>
      </c>
      <c r="CO66">
        <f>IF(AND($E66&lt;&gt;"pre",AND(Settings!$A$21&lt;&gt;"",Settings!$E$21&lt;&gt;"No"),Settings!$F$21="Yes",NOT(AND('Month-End'!$BK$9&lt;&gt;"",NOT(_xlfn.ISFORMULA('Month-End'!$BK$9))))),1,0)</f>
        <v/>
      </c>
      <c r="CP66">
        <f>IF(AND($E66&lt;&gt;"pre",AND(Settings!$A$22&lt;&gt;"",Settings!$E$22&lt;&gt;"No"),Settings!$F$22="Yes",NOT(AND('Month-End'!$BK$10&lt;&gt;"",NOT(_xlfn.ISFORMULA('Month-End'!$BK$10))))),1,0)</f>
        <v/>
      </c>
      <c r="CQ66">
        <f>IF(AND($E66&lt;&gt;"pre",AND(Settings!$A$23&lt;&gt;"",Settings!$E$23&lt;&gt;"No"),Settings!$F$23="Yes",NOT(AND('Month-End'!$BK$11&lt;&gt;"",NOT(_xlfn.ISFORMULA('Month-End'!$BK$11))))),1,0)</f>
        <v/>
      </c>
      <c r="CR66">
        <f>IF(AND($E66&lt;&gt;"pre",AND(Settings!$A$24&lt;&gt;"",Settings!$E$24&lt;&gt;"No"),Settings!$F$24="Yes",NOT(AND('Month-End'!$BK$12&lt;&gt;"",NOT(_xlfn.ISFORMULA('Month-End'!$BK$12))))),1,0)</f>
        <v/>
      </c>
      <c r="CS66">
        <f>IF(AND($E66&lt;&gt;"pre",AND(Settings!$A$25&lt;&gt;"",Settings!$E$25&lt;&gt;"No"),Settings!$F$25="Yes",NOT(AND('Month-End'!$BK$13&lt;&gt;"",NOT(_xlfn.ISFORMULA('Month-End'!$BK$13))))),1,0)</f>
        <v/>
      </c>
      <c r="CT66">
        <f>IF(AND($E66&lt;&gt;"pre",AND(Settings!$A$26&lt;&gt;"",Settings!$E$26&lt;&gt;"No"),Settings!$F$26="Yes",NOT(AND('Month-End'!$BK$14&lt;&gt;"",NOT(_xlfn.ISFORMULA('Month-End'!$BK$14))))),1,0)</f>
        <v/>
      </c>
      <c r="CU66">
        <f>IF(AND($E66&lt;&gt;"pre",AND(Settings!$A$27&lt;&gt;"",Settings!$E$27&lt;&gt;"No"),Settings!$F$27="Yes",NOT(AND('Month-End'!$BK$15&lt;&gt;"",NOT(_xlfn.ISFORMULA('Month-End'!$BK$15))))),1,0)</f>
        <v/>
      </c>
      <c r="CV66">
        <f>IF(AND($E66&lt;&gt;"pre",AND(Settings!$A$28&lt;&gt;"",Settings!$E$28&lt;&gt;"No"),Settings!$F$28="Yes",NOT(AND('Month-End'!$BK$16&lt;&gt;"",NOT(_xlfn.ISFORMULA('Month-End'!$BK$16))))),1,0)</f>
        <v/>
      </c>
      <c r="CW66">
        <f>IF(AND($E66&lt;&gt;"pre",AND(Settings!$A$29&lt;&gt;"",Settings!$E$29&lt;&gt;"No"),Settings!$F$29="Yes",NOT(AND('Month-End'!$BK$17&lt;&gt;"",NOT(_xlfn.ISFORMULA('Month-End'!$BK$17))))),1,0)</f>
        <v/>
      </c>
      <c r="CX66">
        <f>IF(AND($E66&lt;&gt;"pre",AND(Settings!$A$30&lt;&gt;"",Settings!$E$30&lt;&gt;"No"),Settings!$F$30="Yes",NOT(AND('Month-End'!$BK$18&lt;&gt;"",NOT(_xlfn.ISFORMULA('Month-End'!$BK$18))))),1,0)</f>
        <v/>
      </c>
      <c r="CY66">
        <f>IF(AND($E66&lt;&gt;"pre",AND(Settings!$A$31&lt;&gt;"",Settings!$E$31&lt;&gt;"No"),Settings!$F$31="Yes",NOT(AND('Month-End'!$BK$19&lt;&gt;"",NOT(_xlfn.ISFORMULA('Month-End'!$BK$19))))),1,0)</f>
        <v/>
      </c>
      <c r="CZ66">
        <f>IF(AND($E66&lt;&gt;"pre",AND(Settings!$A$32&lt;&gt;"",Settings!$E$32&lt;&gt;"No"),Settings!$F$32="Yes",NOT(AND('Month-End'!$BK$20&lt;&gt;"",NOT(_xlfn.ISFORMULA('Month-End'!$BK$20))))),1,0)</f>
        <v/>
      </c>
      <c r="DA66">
        <f>IF($DT66=1,IF(OR(Settings!$B$19="Checking",Settings!$B$19="Savings",Settings!$B$19="Cash"),N($AE66),IF(OR(Settings!$B$19="Card",Settings!$B$19="Loan"),-N($AE66),0))+IF(OR(Settings!$B$20="Checking",Settings!$B$20="Savings",Settings!$B$20="Cash"),N($AF66),IF(OR(Settings!$B$20="Card",Settings!$B$20="Loan"),-N($AF66),0))+IF(OR(Settings!$B$21="Checking",Settings!$B$21="Savings",Settings!$B$21="Cash"),N($AG66),IF(OR(Settings!$B$21="Card",Settings!$B$21="Loan"),-N($AG66),0))+IF(OR(Settings!$B$22="Checking",Settings!$B$22="Savings",Settings!$B$22="Cash"),N($AH66),IF(OR(Settings!$B$22="Card",Settings!$B$22="Loan"),-N($AH66),0))+IF(OR(Settings!$B$23="Checking",Settings!$B$23="Savings",Settings!$B$23="Cash"),N($AI66),IF(OR(Settings!$B$23="Card",Settings!$B$23="Loan"),-N($AI66),0))+IF(OR(Settings!$B$24="Checking",Settings!$B$24="Savings",Settings!$B$24="Cash"),N($AJ66),IF(OR(Settings!$B$24="Card",Settings!$B$24="Loan"),-N($AJ66),0))+IF(OR(Settings!$B$25="Checking",Settings!$B$25="Savings",Settings!$B$25="Cash"),N($AK66),IF(OR(Settings!$B$25="Card",Settings!$B$25="Loan"),-N($AK66),0))+IF(OR(Settings!$B$26="Checking",Settings!$B$26="Savings",Settings!$B$26="Cash"),N($AL66),IF(OR(Settings!$B$26="Card",Settings!$B$26="Loan"),-N($AL66),0))+IF(OR(Settings!$B$27="Checking",Settings!$B$27="Savings",Settings!$B$27="Cash"),N($AM66),IF(OR(Settings!$B$27="Card",Settings!$B$27="Loan"),-N($AM66),0))+IF(OR(Settings!$B$28="Checking",Settings!$B$28="Savings",Settings!$B$28="Cash"),N($AN66),IF(OR(Settings!$B$28="Card",Settings!$B$28="Loan"),-N($AN66),0))+IF(OR(Settings!$B$29="Checking",Settings!$B$29="Savings",Settings!$B$29="Cash"),N($AO66),IF(OR(Settings!$B$29="Card",Settings!$B$29="Loan"),-N($AO66),0))+IF(OR(Settings!$B$30="Checking",Settings!$B$30="Savings",Settings!$B$30="Cash"),N($AP66),IF(OR(Settings!$B$30="Card",Settings!$B$30="Loan"),-N($AP66),0))+IF(OR(Settings!$B$31="Checking",Settings!$B$31="Savings",Settings!$B$31="Cash"),N($AQ66),IF(OR(Settings!$B$31="Card",Settings!$B$31="Loan"),-N($AQ66),0))+IF(OR(Settings!$B$32="Checking",Settings!$B$32="Savings",Settings!$B$32="Cash"),N($AR66),IF(OR(Settings!$B$32="Card",Settings!$B$32="Loan"),-N($AR66),0)),"")</f>
        <v/>
      </c>
      <c r="DB66">
        <f>IF($E66="open",$EB$27,IF($E66="post",IF($E65="pre",$EB$27,$DA65),""))</f>
        <v/>
      </c>
      <c r="DC66">
        <f>IF($E66="open",1,IF($E66="post",IF($E65="pre",1,$DT65),0))</f>
        <v/>
      </c>
      <c r="DD66">
        <f>IF(AND($DT66=1,$DC66=1),ROUND($W66-($DA66-$DB66)-$AD66-$AB66,2),"")</f>
        <v/>
      </c>
      <c r="DE66">
        <f>IF('Month-End'!$BK$35="",$BQ66,N('Month-End'!$BK$35))</f>
        <v/>
      </c>
      <c r="DF66">
        <f>N('Month-End'!$BK$36)</f>
        <v/>
      </c>
      <c r="DG66">
        <f>IF($DD66="","",$DD66+$DE66)</f>
        <v/>
      </c>
      <c r="DH66">
        <f>IF($DG66="","",$DG66-$DF66)</f>
        <v/>
      </c>
      <c r="DI66">
        <f>IF(OR($E66="pre",$D66=1),"",N($AS66)+N($AT66)+N($AU66)+N($AV66)+N($AW66)+N($AX66))</f>
        <v/>
      </c>
      <c r="DJ66">
        <f>IF($DT66=1,$DA66+N($DI66),"")</f>
        <v/>
      </c>
      <c r="DK66">
        <f>IF($DD66="","",$W66-$DD66-$AB66)</f>
        <v/>
      </c>
      <c r="DL66">
        <f>IF(AND($E66="post",$DD66&lt;&gt;"",$B66&lt;TODAY()),1,0)</f>
        <v/>
      </c>
      <c r="DM66">
        <f>IF($DL66=1,COUNTIF($DL66:$DL$183,1),0)</f>
        <v/>
      </c>
      <c r="DN66">
        <f>IF($D66=1,"",IF($E66="pre","History only",IF($DT66=1,IF($DD66="","⚠ Previous month missing",IF($DD66&lt;0,"⚠ Check: spending &lt; 0",IF($E66="open","✓ Done (partial)","✓ Done"))),IF($B66&gt;=TODAY(),"In progress","⚠ Needs balances"))))</f>
        <v/>
      </c>
      <c r="DO66">
        <f>YEAR($A66)</f>
        <v/>
      </c>
      <c r="DP66">
        <f>DATE(YEAR($A66),INT((MONTH($A66)-1)/3)*3+1,1)</f>
        <v/>
      </c>
      <c r="DQ66">
        <f>IF(AND($DT66=1,$DD66&lt;&gt;"",$D66=0),ROW(),0)</f>
        <v/>
      </c>
      <c r="DR66">
        <f>IF(AND($E66&lt;&gt;"pre",$B66&lt;TODAY(),$DT66=0),1,0)</f>
        <v/>
      </c>
      <c r="DS66">
        <f>IF($DJ66="",NA(),$DJ66)</f>
        <v/>
      </c>
      <c r="DT66">
        <f>IF(AND($E66&lt;&gt;"pre",$CL66=0,COUNTIFS(Settings!$F$19:$F$32,"Yes",Settings!$A$19:$A$32,"&lt;&gt;",Settings!$E$19:$E$32,"&lt;&gt;No")&gt;0),1,0)</f>
        <v/>
      </c>
      <c r="DU66">
        <f>IF(AND($B66&lt;TODAY(),$S66&gt;0),1,0)</f>
        <v/>
      </c>
      <c r="DV66">
        <f>IF($DU66=1,COUNTIF($DU66:$DU$183,1),0)</f>
        <v/>
      </c>
      <c r="DW66">
        <f>IF(AND(OR(Settings!$B$19="Card",Settings!$B$19="Loan"),AND('Month-End'!$BK$7&lt;&gt;"",NOT(_xlfn.ISFORMULA('Month-End'!$BK$7)))),IF(N('Month-End'!$BK$7)&lt;0,1,0),0)+IF(AND(OR(Settings!$B$20="Card",Settings!$B$20="Loan"),AND('Month-End'!$BK$8&lt;&gt;"",NOT(_xlfn.ISFORMULA('Month-End'!$BK$8)))),IF(N('Month-End'!$BK$8)&lt;0,1,0),0)+IF(AND(OR(Settings!$B$21="Card",Settings!$B$21="Loan"),AND('Month-End'!$BK$9&lt;&gt;"",NOT(_xlfn.ISFORMULA('Month-End'!$BK$9)))),IF(N('Month-End'!$BK$9)&lt;0,1,0),0)+IF(AND(OR(Settings!$B$22="Card",Settings!$B$22="Loan"),AND('Month-End'!$BK$10&lt;&gt;"",NOT(_xlfn.ISFORMULA('Month-End'!$BK$10)))),IF(N('Month-End'!$BK$10)&lt;0,1,0),0)+IF(AND(OR(Settings!$B$23="Card",Settings!$B$23="Loan"),AND('Month-End'!$BK$11&lt;&gt;"",NOT(_xlfn.ISFORMULA('Month-End'!$BK$11)))),IF(N('Month-End'!$BK$11)&lt;0,1,0),0)+IF(AND(OR(Settings!$B$24="Card",Settings!$B$24="Loan"),AND('Month-End'!$BK$12&lt;&gt;"",NOT(_xlfn.ISFORMULA('Month-End'!$BK$12)))),IF(N('Month-End'!$BK$12)&lt;0,1,0),0)+IF(AND(OR(Settings!$B$25="Card",Settings!$B$25="Loan"),AND('Month-End'!$BK$13&lt;&gt;"",NOT(_xlfn.ISFORMULA('Month-End'!$BK$13)))),IF(N('Month-End'!$BK$13)&lt;0,1,0),0)+IF(AND(OR(Settings!$B$26="Card",Settings!$B$26="Loan"),AND('Month-End'!$BK$14&lt;&gt;"",NOT(_xlfn.ISFORMULA('Month-End'!$BK$14)))),IF(N('Month-End'!$BK$14)&lt;0,1,0),0)+IF(AND(OR(Settings!$B$27="Card",Settings!$B$27="Loan"),AND('Month-End'!$BK$15&lt;&gt;"",NOT(_xlfn.ISFORMULA('Month-End'!$BK$15)))),IF(N('Month-End'!$BK$15)&lt;0,1,0),0)+IF(AND(OR(Settings!$B$28="Card",Settings!$B$28="Loan"),AND('Month-End'!$BK$16&lt;&gt;"",NOT(_xlfn.ISFORMULA('Month-End'!$BK$16)))),IF(N('Month-End'!$BK$16)&lt;0,1,0),0)+IF(AND(OR(Settings!$B$29="Card",Settings!$B$29="Loan"),AND('Month-End'!$BK$17&lt;&gt;"",NOT(_xlfn.ISFORMULA('Month-End'!$BK$17)))),IF(N('Month-End'!$BK$17)&lt;0,1,0),0)+IF(AND(OR(Settings!$B$30="Card",Settings!$B$30="Loan"),AND('Month-End'!$BK$18&lt;&gt;"",NOT(_xlfn.ISFORMULA('Month-End'!$BK$18)))),IF(N('Month-End'!$BK$18)&lt;0,1,0),0)+IF(AND(OR(Settings!$B$31="Card",Settings!$B$31="Loan"),AND('Month-End'!$BK$19&lt;&gt;"",NOT(_xlfn.ISFORMULA('Month-End'!$BK$19)))),IF(N('Month-End'!$BK$19)&lt;0,1,0),0)+IF(AND(OR(Settings!$B$32="Card",Settings!$B$32="Loan"),AND('Month-End'!$BK$20&lt;&gt;"",NOT(_xlfn.ISFORMULA('Month-End'!$BK$20)))),IF(N('Month-End'!$BK$20)&lt;0,1,0),0)</f>
        <v/>
      </c>
      <c r="DX66">
        <f>IF(Settings!$B$36="Retirement",$AY66,0)+IF(Settings!$B$37="Retirement",$AZ66,0)+IF(Settings!$B$38="Retirement",$BA66,0)+IF(Settings!$B$39="Retirement",$BB66,0)+IF(Settings!$B$40="Retirement",$BC66,0)+IF(Settings!$B$41="Retirement",$BD66,0)</f>
        <v/>
      </c>
      <c r="EA66" t="inlineStr">
        <is>
          <t>Card &amp; loan balances at the previous done month (opening if none)</t>
        </is>
      </c>
      <c r="EB66">
        <f>IF(EB37=0,EB65,N(INDEX($FI:$FI,EB37)))</f>
        <v/>
      </c>
      <c r="ET66">
        <f>IF($E66&lt;&gt;"open",0,IF(AND('Month-End'!$BK$22&lt;&gt;"",NOT(_xlfn.ISFORMULA('Month-End'!$BK$22))),0,IF(OR(Settings!$C$45="",Settings!$D$45=""),0,Settings!$C$45*IF(Settings!$D$45="Weekly",IF(IFERROR(MATCH(Settings!$E$45,$EO$4:$EO$10,0),0)=0,0,IF(MIN(Settings!$B$5,IF(Settings!$G$45="",Settings!$B$5,Settings!$G$45))&lt;MAX($A66,Settings!$F$45),0,INT((MIN(Settings!$B$5,IF(Settings!$G$45="",Settings!$B$5,Settings!$G$45))-MAX($A66,Settings!$F$45)-MOD(IFERROR(MATCH(Settings!$E$45,$EO$4:$EO$10,0),0)-WEEKDAY(MAX($A66,Settings!$F$45)),7))/7)+1)),IF(AND(IF(Settings!$E$45="",$B66,DATE(YEAR($A66),MONTH($A66),MIN(Settings!$E$45,DAY($B66))))&gt;=MAX($A66,Settings!$F$45),IF(Settings!$E$45="",$B66,DATE(YEAR($A66),MONTH($A66),MIN(Settings!$E$45,DAY($B66))))&lt;=MIN(Settings!$B$5,IF(Settings!$G$45="",Settings!$B$5,Settings!$G$45))),1,0)))))</f>
        <v/>
      </c>
      <c r="EU66">
        <f>IF($E66&lt;&gt;"open",0,IF(AND('Month-End'!$BK$23&lt;&gt;"",NOT(_xlfn.ISFORMULA('Month-End'!$BK$23))),0,IF(OR(Settings!$C$46="",Settings!$D$46=""),0,Settings!$C$46*IF(Settings!$D$46="Weekly",IF(IFERROR(MATCH(Settings!$E$46,$EO$4:$EO$10,0),0)=0,0,IF(MIN(Settings!$B$5,IF(Settings!$G$46="",Settings!$B$5,Settings!$G$46))&lt;MAX($A66,Settings!$F$46),0,INT((MIN(Settings!$B$5,IF(Settings!$G$46="",Settings!$B$5,Settings!$G$46))-MAX($A66,Settings!$F$46)-MOD(IFERROR(MATCH(Settings!$E$46,$EO$4:$EO$10,0),0)-WEEKDAY(MAX($A66,Settings!$F$46)),7))/7)+1)),IF(AND(IF(Settings!$E$46="",$B66,DATE(YEAR($A66),MONTH($A66),MIN(Settings!$E$46,DAY($B66))))&gt;=MAX($A66,Settings!$F$46),IF(Settings!$E$46="",$B66,DATE(YEAR($A66),MONTH($A66),MIN(Settings!$E$46,DAY($B66))))&lt;=MIN(Settings!$B$5,IF(Settings!$G$46="",Settings!$B$5,Settings!$G$46))),1,0)))))</f>
        <v/>
      </c>
      <c r="EV66">
        <f>IF($E66&lt;&gt;"open",0,IF(AND('Month-End'!$BK$24&lt;&gt;"",NOT(_xlfn.ISFORMULA('Month-End'!$BK$24))),0,IF(OR(Settings!$C$47="",Settings!$D$47=""),0,Settings!$C$47*IF(Settings!$D$47="Weekly",IF(IFERROR(MATCH(Settings!$E$47,$EO$4:$EO$10,0),0)=0,0,IF(MIN(Settings!$B$5,IF(Settings!$G$47="",Settings!$B$5,Settings!$G$47))&lt;MAX($A66,Settings!$F$47),0,INT((MIN(Settings!$B$5,IF(Settings!$G$47="",Settings!$B$5,Settings!$G$47))-MAX($A66,Settings!$F$47)-MOD(IFERROR(MATCH(Settings!$E$47,$EO$4:$EO$10,0),0)-WEEKDAY(MAX($A66,Settings!$F$47)),7))/7)+1)),IF(AND(IF(Settings!$E$47="",$B66,DATE(YEAR($A66),MONTH($A66),MIN(Settings!$E$47,DAY($B66))))&gt;=MAX($A66,Settings!$F$47),IF(Settings!$E$47="",$B66,DATE(YEAR($A66),MONTH($A66),MIN(Settings!$E$47,DAY($B66))))&lt;=MIN(Settings!$B$5,IF(Settings!$G$47="",Settings!$B$5,Settings!$G$47))),1,0)))))</f>
        <v/>
      </c>
      <c r="EW66">
        <f>IF($E66&lt;&gt;"open",0,IF(AND('Month-End'!$BK$25&lt;&gt;"",NOT(_xlfn.ISFORMULA('Month-End'!$BK$25))),0,IF(OR(Settings!$C$48="",Settings!$D$48=""),0,Settings!$C$48*IF(Settings!$D$48="Weekly",IF(IFERROR(MATCH(Settings!$E$48,$EO$4:$EO$10,0),0)=0,0,IF(MIN(Settings!$B$5,IF(Settings!$G$48="",Settings!$B$5,Settings!$G$48))&lt;MAX($A66,Settings!$F$48),0,INT((MIN(Settings!$B$5,IF(Settings!$G$48="",Settings!$B$5,Settings!$G$48))-MAX($A66,Settings!$F$48)-MOD(IFERROR(MATCH(Settings!$E$48,$EO$4:$EO$10,0),0)-WEEKDAY(MAX($A66,Settings!$F$48)),7))/7)+1)),IF(AND(IF(Settings!$E$48="",$B66,DATE(YEAR($A66),MONTH($A66),MIN(Settings!$E$48,DAY($B66))))&gt;=MAX($A66,Settings!$F$48),IF(Settings!$E$48="",$B66,DATE(YEAR($A66),MONTH($A66),MIN(Settings!$E$48,DAY($B66))))&lt;=MIN(Settings!$B$5,IF(Settings!$G$48="",Settings!$B$5,Settings!$G$48))),1,0)))))</f>
        <v/>
      </c>
      <c r="EX66">
        <f>IF($E66&lt;&gt;"open",0,IF(AND('Month-End'!$BK$26&lt;&gt;"",NOT(_xlfn.ISFORMULA('Month-End'!$BK$26))),0,IF(OR(Settings!$C$49="",Settings!$D$49=""),0,Settings!$C$49*IF(Settings!$D$49="Weekly",IF(IFERROR(MATCH(Settings!$E$49,$EO$4:$EO$10,0),0)=0,0,IF(MIN(Settings!$B$5,IF(Settings!$G$49="",Settings!$B$5,Settings!$G$49))&lt;MAX($A66,Settings!$F$49),0,INT((MIN(Settings!$B$5,IF(Settings!$G$49="",Settings!$B$5,Settings!$G$49))-MAX($A66,Settings!$F$49)-MOD(IFERROR(MATCH(Settings!$E$49,$EO$4:$EO$10,0),0)-WEEKDAY(MAX($A66,Settings!$F$49)),7))/7)+1)),IF(AND(IF(Settings!$E$49="",$B66,DATE(YEAR($A66),MONTH($A66),MIN(Settings!$E$49,DAY($B66))))&gt;=MAX($A66,Settings!$F$49),IF(Settings!$E$49="",$B66,DATE(YEAR($A66),MONTH($A66),MIN(Settings!$E$49,DAY($B66))))&lt;=MIN(Settings!$B$5,IF(Settings!$G$49="",Settings!$B$5,Settings!$G$49))),1,0)))))</f>
        <v/>
      </c>
      <c r="EY66">
        <f>IF($E66&lt;&gt;"open",0,IF(AND('Month-End'!$BK$27&lt;&gt;"",NOT(_xlfn.ISFORMULA('Month-End'!$BK$27))),0,IF(OR(Settings!$C$50="",Settings!$D$50=""),0,Settings!$C$50*IF(Settings!$D$50="Weekly",IF(IFERROR(MATCH(Settings!$E$50,$EO$4:$EO$10,0),0)=0,0,IF(MIN(Settings!$B$5,IF(Settings!$G$50="",Settings!$B$5,Settings!$G$50))&lt;MAX($A66,Settings!$F$50),0,INT((MIN(Settings!$B$5,IF(Settings!$G$50="",Settings!$B$5,Settings!$G$50))-MAX($A66,Settings!$F$50)-MOD(IFERROR(MATCH(Settings!$E$50,$EO$4:$EO$10,0),0)-WEEKDAY(MAX($A66,Settings!$F$50)),7))/7)+1)),IF(AND(IF(Settings!$E$50="",$B66,DATE(YEAR($A66),MONTH($A66),MIN(Settings!$E$50,DAY($B66))))&gt;=MAX($A66,Settings!$F$50),IF(Settings!$E$50="",$B66,DATE(YEAR($A66),MONTH($A66),MIN(Settings!$E$50,DAY($B66))))&lt;=MIN(Settings!$B$5,IF(Settings!$G$50="",Settings!$B$5,Settings!$G$50))),1,0)))))</f>
        <v/>
      </c>
      <c r="EZ66">
        <f>IF($E66&lt;&gt;"open",0,IF(AND('Month-End'!$BK$28&lt;&gt;"",NOT(_xlfn.ISFORMULA('Month-End'!$BK$28))),0,IF(OR(Settings!$C$51="",Settings!$D$51=""),0,Settings!$C$51*IF(Settings!$D$51="Weekly",IF(IFERROR(MATCH(Settings!$E$51,$EO$4:$EO$10,0),0)=0,0,IF(MIN(Settings!$B$5,IF(Settings!$G$51="",Settings!$B$5,Settings!$G$51))&lt;MAX($A66,Settings!$F$51),0,INT((MIN(Settings!$B$5,IF(Settings!$G$51="",Settings!$B$5,Settings!$G$51))-MAX($A66,Settings!$F$51)-MOD(IFERROR(MATCH(Settings!$E$51,$EO$4:$EO$10,0),0)-WEEKDAY(MAX($A66,Settings!$F$51)),7))/7)+1)),IF(AND(IF(Settings!$E$51="",$B66,DATE(YEAR($A66),MONTH($A66),MIN(Settings!$E$51,DAY($B66))))&gt;=MAX($A66,Settings!$F$51),IF(Settings!$E$51="",$B66,DATE(YEAR($A66),MONTH($A66),MIN(Settings!$E$51,DAY($B66))))&lt;=MIN(Settings!$B$5,IF(Settings!$G$51="",Settings!$B$5,Settings!$G$51))),1,0)))))</f>
        <v/>
      </c>
      <c r="FA66">
        <f>IF($E66&lt;&gt;"open",0,IF(AND('Month-End'!$BK$29&lt;&gt;"",NOT(_xlfn.ISFORMULA('Month-End'!$BK$29))),0,IF(OR(Settings!$C$52="",Settings!$D$52=""),0,Settings!$C$52*IF(Settings!$D$52="Weekly",IF(IFERROR(MATCH(Settings!$E$52,$EO$4:$EO$10,0),0)=0,0,IF(MIN(Settings!$B$5,IF(Settings!$G$52="",Settings!$B$5,Settings!$G$52))&lt;MAX($A66,Settings!$F$52),0,INT((MIN(Settings!$B$5,IF(Settings!$G$52="",Settings!$B$5,Settings!$G$52))-MAX($A66,Settings!$F$52)-MOD(IFERROR(MATCH(Settings!$E$52,$EO$4:$EO$10,0),0)-WEEKDAY(MAX($A66,Settings!$F$52)),7))/7)+1)),IF(AND(IF(Settings!$E$52="",$B66,DATE(YEAR($A66),MONTH($A66),MIN(Settings!$E$52,DAY($B66))))&gt;=MAX($A66,Settings!$F$52),IF(Settings!$E$52="",$B66,DATE(YEAR($A66),MONTH($A66),MIN(Settings!$E$52,DAY($B66))))&lt;=MIN(Settings!$B$5,IF(Settings!$G$52="",Settings!$B$5,Settings!$G$52))),1,0)))))</f>
        <v/>
      </c>
      <c r="FB66">
        <f>IF($E66&lt;&gt;"open",0,IF(AND('Month-End'!$BK$30&lt;&gt;"",NOT(_xlfn.ISFORMULA('Month-End'!$BK$30))),0,IF(OR(Settings!$C$53="",Settings!$D$53=""),0,Settings!$C$53*IF(Settings!$D$53="Weekly",IF(IFERROR(MATCH(Settings!$E$53,$EO$4:$EO$10,0),0)=0,0,IF(MIN(Settings!$B$5,IF(Settings!$G$53="",Settings!$B$5,Settings!$G$53))&lt;MAX($A66,Settings!$F$53),0,INT((MIN(Settings!$B$5,IF(Settings!$G$53="",Settings!$B$5,Settings!$G$53))-MAX($A66,Settings!$F$53)-MOD(IFERROR(MATCH(Settings!$E$53,$EO$4:$EO$10,0),0)-WEEKDAY(MAX($A66,Settings!$F$53)),7))/7)+1)),IF(AND(IF(Settings!$E$53="",$B66,DATE(YEAR($A66),MONTH($A66),MIN(Settings!$E$53,DAY($B66))))&gt;=MAX($A66,Settings!$F$53),IF(Settings!$E$53="",$B66,DATE(YEAR($A66),MONTH($A66),MIN(Settings!$E$53,DAY($B66))))&lt;=MIN(Settings!$B$5,IF(Settings!$G$53="",Settings!$B$5,Settings!$G$53))),1,0)))))</f>
        <v/>
      </c>
      <c r="FC66">
        <f>IF($E66&lt;&gt;"open",0,IF(AND('Month-End'!$BK$31&lt;&gt;"",NOT(_xlfn.ISFORMULA('Month-End'!$BK$31))),0,IF(OR(Settings!$C$54="",Settings!$D$54=""),0,Settings!$C$54*IF(Settings!$D$54="Weekly",IF(IFERROR(MATCH(Settings!$E$54,$EO$4:$EO$10,0),0)=0,0,IF(MIN(Settings!$B$5,IF(Settings!$G$54="",Settings!$B$5,Settings!$G$54))&lt;MAX($A66,Settings!$F$54),0,INT((MIN(Settings!$B$5,IF(Settings!$G$54="",Settings!$B$5,Settings!$G$54))-MAX($A66,Settings!$F$54)-MOD(IFERROR(MATCH(Settings!$E$54,$EO$4:$EO$10,0),0)-WEEKDAY(MAX($A66,Settings!$F$54)),7))/7)+1)),IF(AND(IF(Settings!$E$54="",$B66,DATE(YEAR($A66),MONTH($A66),MIN(Settings!$E$54,DAY($B66))))&gt;=MAX($A66,Settings!$F$54),IF(Settings!$E$54="",$B66,DATE(YEAR($A66),MONTH($A66),MIN(Settings!$E$54,DAY($B66))))&lt;=MIN(Settings!$B$5,IF(Settings!$G$54="",Settings!$B$5,Settings!$G$54))),1,0)))))</f>
        <v/>
      </c>
      <c r="FD66">
        <f>IF($E66&lt;&gt;"open",0,IF(AND('Month-End'!$BK$32&lt;&gt;"",NOT(_xlfn.ISFORMULA('Month-End'!$BK$32))),0,IF(OR(Settings!$C$55="",Settings!$D$55=""),0,Settings!$C$55*IF(Settings!$D$55="Weekly",IF(IFERROR(MATCH(Settings!$E$55,$EO$4:$EO$10,0),0)=0,0,IF(MIN(Settings!$B$5,IF(Settings!$G$55="",Settings!$B$5,Settings!$G$55))&lt;MAX($A66,Settings!$F$55),0,INT((MIN(Settings!$B$5,IF(Settings!$G$55="",Settings!$B$5,Settings!$G$55))-MAX($A66,Settings!$F$55)-MOD(IFERROR(MATCH(Settings!$E$55,$EO$4:$EO$10,0),0)-WEEKDAY(MAX($A66,Settings!$F$55)),7))/7)+1)),IF(AND(IF(Settings!$E$55="",$B66,DATE(YEAR($A66),MONTH($A66),MIN(Settings!$E$55,DAY($B66))))&gt;=MAX($A66,Settings!$F$55),IF(Settings!$E$55="",$B66,DATE(YEAR($A66),MONTH($A66),MIN(Settings!$E$55,DAY($B66))))&lt;=MIN(Settings!$B$5,IF(Settings!$G$55="",Settings!$B$5,Settings!$G$55))),1,0)))))</f>
        <v/>
      </c>
      <c r="FE66">
        <f>IF($E66&lt;&gt;"open",0,IF(AND('Month-End'!$BK$33&lt;&gt;"",NOT(_xlfn.ISFORMULA('Month-End'!$BK$33))),0,IF(OR(Settings!$C$56="",Settings!$D$56=""),0,Settings!$C$56*IF(Settings!$D$56="Weekly",IF(IFERROR(MATCH(Settings!$E$56,$EO$4:$EO$10,0),0)=0,0,IF(MIN(Settings!$B$5,IF(Settings!$G$56="",Settings!$B$5,Settings!$G$56))&lt;MAX($A66,Settings!$F$56),0,INT((MIN(Settings!$B$5,IF(Settings!$G$56="",Settings!$B$5,Settings!$G$56))-MAX($A66,Settings!$F$56)-MOD(IFERROR(MATCH(Settings!$E$56,$EO$4:$EO$10,0),0)-WEEKDAY(MAX($A66,Settings!$F$56)),7))/7)+1)),IF(AND(IF(Settings!$E$56="",$B66,DATE(YEAR($A66),MONTH($A66),MIN(Settings!$E$56,DAY($B66))))&gt;=MAX($A66,Settings!$F$56),IF(Settings!$E$56="",$B66,DATE(YEAR($A66),MONTH($A66),MIN(Settings!$E$56,DAY($B66))))&lt;=MIN(Settings!$B$5,IF(Settings!$G$56="",Settings!$B$5,Settings!$G$56))),1,0)))))</f>
        <v/>
      </c>
      <c r="FF66">
        <f>IF(Settings!$I$45="Yes",$G66,0)+IF(Settings!$I$46="Yes",$H66,0)+IF(Settings!$I$47="Yes",$I66,0)+IF(Settings!$I$48="Yes",$J66,0)+IF(Settings!$I$49="Yes",$K66,0)+IF(Settings!$I$50="Yes",$L66,0)+IF(Settings!$I$51="Yes",$M66,0)+IF(Settings!$I$52="Yes",$N66,0)+IF(Settings!$I$53="Yes",$O66,0)+IF(Settings!$I$54="Yes",$P66,0)+IF(Settings!$I$55="Yes",$Q66,0)+IF(Settings!$I$56="Yes",$R66,0)</f>
        <v/>
      </c>
      <c r="FG66">
        <f>IF(AND(Settings!$I$45="Yes",Settings!$J$45="No"),$G66,0)+IF(AND(Settings!$I$46="Yes",Settings!$J$46="No"),$H66,0)+IF(AND(Settings!$I$47="Yes",Settings!$J$47="No"),$I66,0)+IF(AND(Settings!$I$48="Yes",Settings!$J$48="No"),$J66,0)+IF(AND(Settings!$I$49="Yes",Settings!$J$49="No"),$K66,0)+IF(AND(Settings!$I$50="Yes",Settings!$J$50="No"),$L66,0)+IF(AND(Settings!$I$51="Yes",Settings!$J$51="No"),$M66,0)+IF(AND(Settings!$I$52="Yes",Settings!$J$52="No"),$N66,0)+IF(AND(Settings!$I$53="Yes",Settings!$J$53="No"),$O66,0)+IF(AND(Settings!$I$54="Yes",Settings!$J$54="No"),$P66,0)+IF(AND(Settings!$I$55="Yes",Settings!$J$55="No"),$Q66,0)+IF(AND(Settings!$I$56="Yes",Settings!$J$56="No"),$R66,0)</f>
        <v/>
      </c>
      <c r="FH66">
        <f>SUMIFS(Giving!$B$7:$B$2006,Giving!$A$7:$A$2006,"&gt;="&amp;$A66,Giving!$A$7:$A$2006,"&lt;="&amp;$B66,Giving!$G$7:$G$2006,"Yes")+IF(OR(OR(Settings!$B$60="",Settings!$F$60="No"),Settings!$H$60&lt;&gt;"Yes"),0,Settings!$B$60*IF(AND(IF(Settings!$C$60="",$B66,DATE(YEAR($A66),MONTH($A66),MIN(Settings!$C$60,DAY($B66))))&gt;=MAX($A66,Settings!$D$60),IF(Settings!$C$60="",$B66,DATE(YEAR($A66),MONTH($A66),MIN(Settings!$C$60,DAY($B66))))&lt;=MIN($C66,IF(Settings!$E$60="",$C66,Settings!$E$60))),1,0))+IF(OR(OR(Settings!$B$61="",Settings!$F$61="No"),Settings!$H$61&lt;&gt;"Yes"),0,Settings!$B$61*IF(AND(IF(Settings!$C$61="",$B66,DATE(YEAR($A66),MONTH($A66),MIN(Settings!$C$61,DAY($B66))))&gt;=MAX($A66,Settings!$D$61),IF(Settings!$C$61="",$B66,DATE(YEAR($A66),MONTH($A66),MIN(Settings!$C$61,DAY($B66))))&lt;=MIN($C66,IF(Settings!$E$61="",$C66,Settings!$E$61))),1,0))+IF(OR(OR(Settings!$B$62="",Settings!$F$62="No"),Settings!$H$62&lt;&gt;"Yes"),0,Settings!$B$62*IF(AND(IF(Settings!$C$62="",$B66,DATE(YEAR($A66),MONTH($A66),MIN(Settings!$C$62,DAY($B66))))&gt;=MAX($A66,Settings!$D$62),IF(Settings!$C$62="",$B66,DATE(YEAR($A66),MONTH($A66),MIN(Settings!$C$62,DAY($B66))))&lt;=MIN($C66,IF(Settings!$E$62="",$C66,Settings!$E$62))),1,0))+IF(OR(OR(Settings!$B$63="",Settings!$F$63="No"),Settings!$H$63&lt;&gt;"Yes"),0,Settings!$B$63*IF(AND(IF(Settings!$C$63="",$B66,DATE(YEAR($A66),MONTH($A66),MIN(Settings!$C$63,DAY($B66))))&gt;=MAX($A66,Settings!$D$63),IF(Settings!$C$63="",$B66,DATE(YEAR($A66),MONTH($A66),MIN(Settings!$C$63,DAY($B66))))&lt;=MIN($C66,IF(Settings!$E$63="",$C66,Settings!$E$63))),1,0))+IF(OR(OR(Settings!$B$64="",Settings!$F$64="No"),Settings!$H$64&lt;&gt;"Yes"),0,Settings!$B$64*IF(AND(IF(Settings!$C$64="",$B66,DATE(YEAR($A66),MONTH($A66),MIN(Settings!$C$64,DAY($B66))))&gt;=MAX($A66,Settings!$D$64),IF(Settings!$C$64="",$B66,DATE(YEAR($A66),MONTH($A66),MIN(Settings!$C$64,DAY($B66))))&lt;=MIN($C66,IF(Settings!$E$64="",$C66,Settings!$E$64))),1,0))+IF(OR(OR(Settings!$B$65="",Settings!$F$65="No"),Settings!$H$65&lt;&gt;"Yes"),0,Settings!$B$65*IF(AND(IF(Settings!$C$65="",$B66,DATE(YEAR($A66),MONTH($A66),MIN(Settings!$C$65,DAY($B66))))&gt;=MAX($A66,Settings!$D$65),IF(Settings!$C$65="",$B66,DATE(YEAR($A66),MONTH($A66),MIN(Settings!$C$65,DAY($B66))))&lt;=MIN($C66,IF(Settings!$E$65="",$C66,Settings!$E$65))),1,0))</f>
        <v/>
      </c>
      <c r="FI66">
        <f>IF($DT66=1,IF(OR(Settings!$B$19="Card",Settings!$B$19="Loan"),N($AE66),0)+IF(OR(Settings!$B$20="Card",Settings!$B$20="Loan"),N($AF66),0)+IF(OR(Settings!$B$21="Card",Settings!$B$21="Loan"),N($AG66),0)+IF(OR(Settings!$B$22="Card",Settings!$B$22="Loan"),N($AH66),0)+IF(OR(Settings!$B$23="Card",Settings!$B$23="Loan"),N($AI66),0)+IF(OR(Settings!$B$24="Card",Settings!$B$24="Loan"),N($AJ66),0)+IF(OR(Settings!$B$25="Card",Settings!$B$25="Loan"),N($AK66),0)+IF(OR(Settings!$B$26="Card",Settings!$B$26="Loan"),N($AL66),0)+IF(OR(Settings!$B$27="Card",Settings!$B$27="Loan"),N($AM66),0)+IF(OR(Settings!$B$28="Card",Settings!$B$28="Loan"),N($AN66),0)+IF(OR(Settings!$B$29="Card",Settings!$B$29="Loan"),N($AO66),0)+IF(OR(Settings!$B$30="Card",Settings!$B$30="Loan"),N($AP66),0)+IF(OR(Settings!$B$31="Card",Settings!$B$31="Loan"),N($AQ66),0)+IF(OR(Settings!$B$32="Card",Settings!$B$32="Loan"),N($AR66),0),"")</f>
        <v/>
      </c>
      <c r="FJ66">
        <f>IF($E66="open",$EB$65,IF($E66="post",IF($E65="pre",$EB$65,$FI65),""))</f>
        <v/>
      </c>
      <c r="FK66">
        <f>IF(AND($DT66=1,$DC66=1),IF(ROUND($FI66-$FJ66,2)&gt;0,1,0),0)</f>
        <v/>
      </c>
      <c r="FL66">
        <f>IF($FK66=1,$FL65+1,0)</f>
        <v/>
      </c>
    </row>
    <row r="67">
      <c r="A67">
        <f>'Month-End'!$BL$4</f>
        <v/>
      </c>
      <c r="B67">
        <f>EOMONTH($A67,0)</f>
        <v/>
      </c>
      <c r="C67">
        <f>MIN($B67,TODAY())</f>
        <v/>
      </c>
      <c r="D67">
        <f>IF($A67&gt;TODAY(),1,0)</f>
        <v/>
      </c>
      <c r="E67">
        <f>IF($B67&lt;=Settings!$B$5,"pre",IF($A67&lt;=Settings!$B$5,"open","post"))</f>
        <v/>
      </c>
      <c r="G67">
        <f>IF('Month-End'!$BL$22="",$BE67,N('Month-End'!$BL$22))</f>
        <v/>
      </c>
      <c r="H67">
        <f>IF('Month-End'!$BL$23="",$BF67,N('Month-End'!$BL$23))</f>
        <v/>
      </c>
      <c r="I67">
        <f>IF('Month-End'!$BL$24="",$BG67,N('Month-End'!$BL$24))</f>
        <v/>
      </c>
      <c r="J67">
        <f>IF('Month-End'!$BL$25="",$BH67,N('Month-End'!$BL$25))</f>
        <v/>
      </c>
      <c r="K67">
        <f>IF('Month-End'!$BL$26="",$BI67,N('Month-End'!$BL$26))</f>
        <v/>
      </c>
      <c r="L67">
        <f>IF('Month-End'!$BL$27="",$BJ67,N('Month-End'!$BL$27))</f>
        <v/>
      </c>
      <c r="M67">
        <f>IF('Month-End'!$BL$28="",$BK67,N('Month-End'!$BL$28))</f>
        <v/>
      </c>
      <c r="N67">
        <f>IF('Month-End'!$BL$29="",$BL67,N('Month-End'!$BL$29))</f>
        <v/>
      </c>
      <c r="O67">
        <f>IF('Month-End'!$BL$30="",$BM67,N('Month-End'!$BL$30))</f>
        <v/>
      </c>
      <c r="P67">
        <f>IF('Month-End'!$BL$31="",$BN67,N('Month-End'!$BL$31))</f>
        <v/>
      </c>
      <c r="Q67">
        <f>IF('Month-End'!$BL$32="",$BO67,N('Month-End'!$BL$32))</f>
        <v/>
      </c>
      <c r="R67">
        <f>IF('Month-End'!$BL$33="",$BP67,N('Month-End'!$BL$33))</f>
        <v/>
      </c>
      <c r="S67">
        <f>$G67+$H67+$I67+$J67+$K67+$L67+$M67+$N67+$O67+$P67+$Q67+$R67</f>
        <v/>
      </c>
      <c r="T67">
        <f>IF($B67&lt;Settings!$B$6,0,IF(Settings!$B$45="Yes",$G67,0)+IF(Settings!$B$46="Yes",$H67,0)+IF(Settings!$B$47="Yes",$I67,0)+IF(Settings!$B$48="Yes",$J67,0)+IF(Settings!$B$49="Yes",$K67,0)+IF(Settings!$B$50="Yes",$L67,0)+IF(Settings!$B$51="Yes",$M67,0)+IF(Settings!$B$52="Yes",$N67,0)+IF(Settings!$B$53="Yes",$O67,0)+IF(Settings!$B$54="Yes",$P67,0)+IF(Settings!$B$55="Yes",$Q67,0)+IF(Settings!$B$56="Yes",$R67,0))</f>
        <v/>
      </c>
      <c r="U67">
        <f>IF(Settings!$B$45="Not Sure",$G67,0)+IF(Settings!$B$46="Not Sure",$H67,0)+IF(Settings!$B$47="Not Sure",$I67,0)+IF(Settings!$B$48="Not Sure",$J67,0)+IF(Settings!$B$49="Not Sure",$K67,0)+IF(Settings!$B$50="Not Sure",$L67,0)+IF(Settings!$B$51="Not Sure",$M67,0)+IF(Settings!$B$52="Not Sure",$N67,0)+IF(Settings!$B$53="Not Sure",$O67,0)+IF(Settings!$B$54="Not Sure",$P67,0)+IF(Settings!$B$55="Not Sure",$Q67,0)+IF(Settings!$B$56="Not Sure",$R67,0)</f>
        <v/>
      </c>
      <c r="V67">
        <f>IF($E67="open",SUM($ET67:$FE67)+N(Settings!$B$13),0)</f>
        <v/>
      </c>
      <c r="W67">
        <f>IF($E67="post",$S67,IF($E67="open",$S67-$V67,0))</f>
        <v/>
      </c>
      <c r="X67">
        <f>SUMIFS(Giving!$B$7:$B$2006,Giving!$A$7:$A$2006,"&gt;="&amp;$A67,Giving!$A$7:$A$2006,"&lt;="&amp;$B67,Giving!$E$7:$E$2006,"&lt;&gt;No")</f>
        <v/>
      </c>
      <c r="Y67">
        <f>SUMIFS(Giving!$B$7:$B$2006,Giving!$A$7:$A$2006,"&gt;="&amp;$A67,Giving!$A$7:$A$2006,"&lt;="&amp;$B67,Giving!$E$7:$E$2006,"No")</f>
        <v/>
      </c>
      <c r="Z67">
        <f>IF(OR(Settings!$B$60="",Settings!$F$60="No"),0,Settings!$B$60*IF(AND(IF(Settings!$C$60="",$B67,DATE(YEAR($A67),MONTH($A67),MIN(Settings!$C$60,DAY($B67))))&gt;=MAX($A67,Settings!$D$60),IF(Settings!$C$60="",$B67,DATE(YEAR($A67),MONTH($A67),MIN(Settings!$C$60,DAY($B67))))&lt;=MIN($C67,IF(Settings!$E$60="",$C67,Settings!$E$60))),1,0))+IF(OR(Settings!$B$61="",Settings!$F$61="No"),0,Settings!$B$61*IF(AND(IF(Settings!$C$61="",$B67,DATE(YEAR($A67),MONTH($A67),MIN(Settings!$C$61,DAY($B67))))&gt;=MAX($A67,Settings!$D$61),IF(Settings!$C$61="",$B67,DATE(YEAR($A67),MONTH($A67),MIN(Settings!$C$61,DAY($B67))))&lt;=MIN($C67,IF(Settings!$E$61="",$C67,Settings!$E$61))),1,0))+IF(OR(Settings!$B$62="",Settings!$F$62="No"),0,Settings!$B$62*IF(AND(IF(Settings!$C$62="",$B67,DATE(YEAR($A67),MONTH($A67),MIN(Settings!$C$62,DAY($B67))))&gt;=MAX($A67,Settings!$D$62),IF(Settings!$C$62="",$B67,DATE(YEAR($A67),MONTH($A67),MIN(Settings!$C$62,DAY($B67))))&lt;=MIN($C67,IF(Settings!$E$62="",$C67,Settings!$E$62))),1,0))+IF(OR(Settings!$B$63="",Settings!$F$63="No"),0,Settings!$B$63*IF(AND(IF(Settings!$C$63="",$B67,DATE(YEAR($A67),MONTH($A67),MIN(Settings!$C$63,DAY($B67))))&gt;=MAX($A67,Settings!$D$63),IF(Settings!$C$63="",$B67,DATE(YEAR($A67),MONTH($A67),MIN(Settings!$C$63,DAY($B67))))&lt;=MIN($C67,IF(Settings!$E$63="",$C67,Settings!$E$63))),1,0))+IF(OR(Settings!$B$64="",Settings!$F$64="No"),0,Settings!$B$64*IF(AND(IF(Settings!$C$64="",$B67,DATE(YEAR($A67),MONTH($A67),MIN(Settings!$C$64,DAY($B67))))&gt;=MAX($A67,Settings!$D$64),IF(Settings!$C$64="",$B67,DATE(YEAR($A67),MONTH($A67),MIN(Settings!$C$64,DAY($B67))))&lt;=MIN($C67,IF(Settings!$E$64="",$C67,Settings!$E$64))),1,0))+IF(OR(Settings!$B$65="",Settings!$F$65="No"),0,Settings!$B$65*IF(AND(IF(Settings!$C$65="",$B67,DATE(YEAR($A67),MONTH($A67),MIN(Settings!$C$65,DAY($B67))))&gt;=MAX($A67,Settings!$D$65),IF(Settings!$C$65="",$B67,DATE(YEAR($A67),MONTH($A67),MIN(Settings!$C$65,DAY($B67))))&lt;=MIN($C67,IF(Settings!$E$65="",$C67,Settings!$E$65))),1,0))</f>
        <v/>
      </c>
      <c r="AA67">
        <f>$X67+$Z67</f>
        <v/>
      </c>
      <c r="AB67">
        <f>IF($E67="post",$AA67,IF($E67="open",SUMIFS(Giving!$B$7:$B$2006,Giving!$A$7:$A$2006,"&gt;"&amp;Settings!$B$5,Giving!$A$7:$A$2006,"&lt;="&amp;$B67,Giving!$E$7:$E$2006,"&lt;&gt;No")+IF(OR(Settings!$B$60="",Settings!$F$60="No"),0,Settings!$B$60*IF(AND(IF(Settings!$C$60="",$B67,DATE(YEAR($A67),MONTH($A67),MIN(Settings!$C$60,DAY($B67))))&gt;=MAX($A67,Settings!$D$60,Settings!$B$5+1),IF(Settings!$C$60="",$B67,DATE(YEAR($A67),MONTH($A67),MIN(Settings!$C$60,DAY($B67))))&lt;=MIN($C67,IF(Settings!$E$60="",$C67,Settings!$E$60))),1,0))+IF(OR(Settings!$B$61="",Settings!$F$61="No"),0,Settings!$B$61*IF(AND(IF(Settings!$C$61="",$B67,DATE(YEAR($A67),MONTH($A67),MIN(Settings!$C$61,DAY($B67))))&gt;=MAX($A67,Settings!$D$61,Settings!$B$5+1),IF(Settings!$C$61="",$B67,DATE(YEAR($A67),MONTH($A67),MIN(Settings!$C$61,DAY($B67))))&lt;=MIN($C67,IF(Settings!$E$61="",$C67,Settings!$E$61))),1,0))+IF(OR(Settings!$B$62="",Settings!$F$62="No"),0,Settings!$B$62*IF(AND(IF(Settings!$C$62="",$B67,DATE(YEAR($A67),MONTH($A67),MIN(Settings!$C$62,DAY($B67))))&gt;=MAX($A67,Settings!$D$62,Settings!$B$5+1),IF(Settings!$C$62="",$B67,DATE(YEAR($A67),MONTH($A67),MIN(Settings!$C$62,DAY($B67))))&lt;=MIN($C67,IF(Settings!$E$62="",$C67,Settings!$E$62))),1,0))+IF(OR(Settings!$B$63="",Settings!$F$63="No"),0,Settings!$B$63*IF(AND(IF(Settings!$C$63="",$B67,DATE(YEAR($A67),MONTH($A67),MIN(Settings!$C$63,DAY($B67))))&gt;=MAX($A67,Settings!$D$63,Settings!$B$5+1),IF(Settings!$C$63="",$B67,DATE(YEAR($A67),MONTH($A67),MIN(Settings!$C$63,DAY($B67))))&lt;=MIN($C67,IF(Settings!$E$63="",$C67,Settings!$E$63))),1,0))+IF(OR(Settings!$B$64="",Settings!$F$64="No"),0,Settings!$B$64*IF(AND(IF(Settings!$C$64="",$B67,DATE(YEAR($A67),MONTH($A67),MIN(Settings!$C$64,DAY($B67))))&gt;=MAX($A67,Settings!$D$64,Settings!$B$5+1),IF(Settings!$C$64="",$B67,DATE(YEAR($A67),MONTH($A67),MIN(Settings!$C$64,DAY($B67))))&lt;=MIN($C67,IF(Settings!$E$64="",$C67,Settings!$E$64))),1,0))+IF(OR(Settings!$B$65="",Settings!$F$65="No"),0,Settings!$B$65*IF(AND(IF(Settings!$C$65="",$B67,DATE(YEAR($A67),MONTH($A67),MIN(Settings!$C$65,DAY($B67))))&gt;=MAX($A67,Settings!$D$65,Settings!$B$5+1),IF(Settings!$C$65="",$B67,DATE(YEAR($A67),MONTH($A67),MIN(Settings!$C$65,DAY($B67))))&lt;=MIN($C67,IF(Settings!$E$65="",$C67,Settings!$E$65))),1,0)),0))</f>
        <v/>
      </c>
      <c r="AC67">
        <f>$AY67+$AZ67+$BA67+$BB67+$BC67+$BD67</f>
        <v/>
      </c>
      <c r="AD67">
        <f>$AC67</f>
        <v/>
      </c>
      <c r="AE67">
        <f>IF(OR(Settings!$A$19="",$E67="pre"),"",IF(AND('Month-End'!$BL$7&lt;&gt;"",NOT(_xlfn.ISFORMULA('Month-End'!$BL$7))),N('Month-End'!$BL$7),IF(OR($E67="open",$E66="pre"),N(Settings!$C$19),N($AE66))))</f>
        <v/>
      </c>
      <c r="AF67">
        <f>IF(OR(Settings!$A$20="",$E67="pre"),"",IF(AND('Month-End'!$BL$8&lt;&gt;"",NOT(_xlfn.ISFORMULA('Month-End'!$BL$8))),N('Month-End'!$BL$8),IF(OR($E67="open",$E66="pre"),N(Settings!$C$20),N($AF66))))</f>
        <v/>
      </c>
      <c r="AG67">
        <f>IF(OR(Settings!$A$21="",$E67="pre"),"",IF(AND('Month-End'!$BL$9&lt;&gt;"",NOT(_xlfn.ISFORMULA('Month-End'!$BL$9))),N('Month-End'!$BL$9),IF(OR($E67="open",$E66="pre"),N(Settings!$C$21),N($AG66))))</f>
        <v/>
      </c>
      <c r="AH67">
        <f>IF(OR(Settings!$A$22="",$E67="pre"),"",IF(AND('Month-End'!$BL$10&lt;&gt;"",NOT(_xlfn.ISFORMULA('Month-End'!$BL$10))),N('Month-End'!$BL$10),IF(OR($E67="open",$E66="pre"),N(Settings!$C$22),N($AH66))))</f>
        <v/>
      </c>
      <c r="AI67">
        <f>IF(OR(Settings!$A$23="",$E67="pre"),"",IF(AND('Month-End'!$BL$11&lt;&gt;"",NOT(_xlfn.ISFORMULA('Month-End'!$BL$11))),N('Month-End'!$BL$11),IF(OR($E67="open",$E66="pre"),N(Settings!$C$23),N($AI66))))</f>
        <v/>
      </c>
      <c r="AJ67">
        <f>IF(OR(Settings!$A$24="",$E67="pre"),"",IF(AND('Month-End'!$BL$12&lt;&gt;"",NOT(_xlfn.ISFORMULA('Month-End'!$BL$12))),N('Month-End'!$BL$12),IF(OR($E67="open",$E66="pre"),N(Settings!$C$24),N($AJ66))))</f>
        <v/>
      </c>
      <c r="AK67">
        <f>IF(OR(Settings!$A$25="",$E67="pre"),"",IF(AND('Month-End'!$BL$13&lt;&gt;"",NOT(_xlfn.ISFORMULA('Month-End'!$BL$13))),N('Month-End'!$BL$13),IF(OR($E67="open",$E66="pre"),N(Settings!$C$25),N($AK66))))</f>
        <v/>
      </c>
      <c r="AL67">
        <f>IF(OR(Settings!$A$26="",$E67="pre"),"",IF(AND('Month-End'!$BL$14&lt;&gt;"",NOT(_xlfn.ISFORMULA('Month-End'!$BL$14))),N('Month-End'!$BL$14),IF(OR($E67="open",$E66="pre"),N(Settings!$C$26),N($AL66))))</f>
        <v/>
      </c>
      <c r="AM67">
        <f>IF(OR(Settings!$A$27="",$E67="pre"),"",IF(AND('Month-End'!$BL$15&lt;&gt;"",NOT(_xlfn.ISFORMULA('Month-End'!$BL$15))),N('Month-End'!$BL$15),IF(OR($E67="open",$E66="pre"),N(Settings!$C$27),N($AM66))))</f>
        <v/>
      </c>
      <c r="AN67">
        <f>IF(OR(Settings!$A$28="",$E67="pre"),"",IF(AND('Month-End'!$BL$16&lt;&gt;"",NOT(_xlfn.ISFORMULA('Month-End'!$BL$16))),N('Month-End'!$BL$16),IF(OR($E67="open",$E66="pre"),N(Settings!$C$28),N($AN66))))</f>
        <v/>
      </c>
      <c r="AO67">
        <f>IF(OR(Settings!$A$29="",$E67="pre"),"",IF(AND('Month-End'!$BL$17&lt;&gt;"",NOT(_xlfn.ISFORMULA('Month-End'!$BL$17))),N('Month-End'!$BL$17),IF(OR($E67="open",$E66="pre"),N(Settings!$C$29),N($AO66))))</f>
        <v/>
      </c>
      <c r="AP67">
        <f>IF(OR(Settings!$A$30="",$E67="pre"),"",IF(AND('Month-End'!$BL$18&lt;&gt;"",NOT(_xlfn.ISFORMULA('Month-End'!$BL$18))),N('Month-End'!$BL$18),IF(OR($E67="open",$E66="pre"),N(Settings!$C$30),N($AP66))))</f>
        <v/>
      </c>
      <c r="AQ67">
        <f>IF(OR(Settings!$A$31="",$E67="pre"),"",IF(AND('Month-End'!$BL$19&lt;&gt;"",NOT(_xlfn.ISFORMULA('Month-End'!$BL$19))),N('Month-End'!$BL$19),IF(OR($E67="open",$E66="pre"),N(Settings!$C$31),N($AQ66))))</f>
        <v/>
      </c>
      <c r="AR67">
        <f>IF(OR(Settings!$A$32="",$E67="pre"),"",IF(AND('Month-End'!$BL$20&lt;&gt;"",NOT(_xlfn.ISFORMULA('Month-End'!$BL$20))),N('Month-End'!$BL$20),IF(OR($E67="open",$E66="pre"),N(Settings!$C$32),N($AR66))))</f>
        <v/>
      </c>
      <c r="AS67">
        <f>IF(OR(Settings!$A$36="",$E67="pre"),"",IF(AND('Month-End'!$BL$38&lt;&gt;"",NOT(_xlfn.ISFORMULA('Month-End'!$BL$38))),N('Month-End'!$BL$38),IF(OR($E67="open",$E66="pre"),N(Settings!$C$36),N($AS66))+$AY67))</f>
        <v/>
      </c>
      <c r="AT67">
        <f>IF(OR(Settings!$A$37="",$E67="pre"),"",IF(AND('Month-End'!$BL$39&lt;&gt;"",NOT(_xlfn.ISFORMULA('Month-End'!$BL$39))),N('Month-End'!$BL$39),IF(OR($E67="open",$E66="pre"),N(Settings!$C$37),N($AT66))+$AZ67))</f>
        <v/>
      </c>
      <c r="AU67">
        <f>IF(OR(Settings!$A$38="",$E67="pre"),"",IF(AND('Month-End'!$BL$40&lt;&gt;"",NOT(_xlfn.ISFORMULA('Month-End'!$BL$40))),N('Month-End'!$BL$40),IF(OR($E67="open",$E66="pre"),N(Settings!$C$38),N($AU66))+$BA67))</f>
        <v/>
      </c>
      <c r="AV67">
        <f>IF(OR(Settings!$A$39="",$E67="pre"),"",IF(AND('Month-End'!$BL$41&lt;&gt;"",NOT(_xlfn.ISFORMULA('Month-End'!$BL$41))),N('Month-End'!$BL$41),IF(OR($E67="open",$E66="pre"),N(Settings!$C$39),N($AV66))+$BB67))</f>
        <v/>
      </c>
      <c r="AW67">
        <f>IF(OR(Settings!$A$40="",$E67="pre"),"",IF(AND('Month-End'!$BL$42&lt;&gt;"",NOT(_xlfn.ISFORMULA('Month-End'!$BL$42))),N('Month-End'!$BL$42),IF(OR($E67="open",$E66="pre"),N(Settings!$C$40),N($AW66))+$BC67))</f>
        <v/>
      </c>
      <c r="AX67">
        <f>IF(OR(Settings!$A$41="",$E67="pre"),"",IF(AND('Month-End'!$BL$43&lt;&gt;"",NOT(_xlfn.ISFORMULA('Month-End'!$BL$43))),N('Month-End'!$BL$43),IF(OR($E67="open",$E66="pre"),N(Settings!$C$41),N($AX66))+$BD67))</f>
        <v/>
      </c>
      <c r="AY67">
        <f>IF($E67="pre",0,N('Month-End'!$BL$45))</f>
        <v/>
      </c>
      <c r="AZ67">
        <f>IF($E67="pre",0,N('Month-End'!$BL$46))</f>
        <v/>
      </c>
      <c r="BA67">
        <f>IF($E67="pre",0,N('Month-End'!$BL$47))</f>
        <v/>
      </c>
      <c r="BB67">
        <f>IF($E67="pre",0,N('Month-End'!$BL$48))</f>
        <v/>
      </c>
      <c r="BC67">
        <f>IF($E67="pre",0,N('Month-End'!$BL$49))</f>
        <v/>
      </c>
      <c r="BD67">
        <f>IF($E67="pre",0,N('Month-End'!$BL$50))</f>
        <v/>
      </c>
      <c r="BE67">
        <f>IF(OR(Settings!$C$45="",Settings!$D$45=""),0,Settings!$C$45*IF(Settings!$D$45="Weekly",IF(IFERROR(MATCH(Settings!$E$45,$EO$4:$EO$10,0),0)=0,0,IF(MIN($C67,IF(Settings!$G$45="",$C67,Settings!$G$45))&lt;MAX($A67,Settings!$F$45),0,INT((MIN($C67,IF(Settings!$G$45="",$C67,Settings!$G$45))-MAX($A67,Settings!$F$45)-MOD(IFERROR(MATCH(Settings!$E$45,$EO$4:$EO$10,0),0)-WEEKDAY(MAX($A67,Settings!$F$45)),7))/7)+1)),IF(AND(IF(Settings!$E$45="",$B67,DATE(YEAR($A67),MONTH($A67),MIN(Settings!$E$45,DAY($B67))))&gt;=MAX($A67,Settings!$F$45),IF(Settings!$E$45="",$B67,DATE(YEAR($A67),MONTH($A67),MIN(Settings!$E$45,DAY($B67))))&lt;=MIN($C67,IF(Settings!$G$45="",$C67,Settings!$G$45))),1,0)))</f>
        <v/>
      </c>
      <c r="BF67">
        <f>IF(OR(Settings!$C$46="",Settings!$D$46=""),0,Settings!$C$46*IF(Settings!$D$46="Weekly",IF(IFERROR(MATCH(Settings!$E$46,$EO$4:$EO$10,0),0)=0,0,IF(MIN($C67,IF(Settings!$G$46="",$C67,Settings!$G$46))&lt;MAX($A67,Settings!$F$46),0,INT((MIN($C67,IF(Settings!$G$46="",$C67,Settings!$G$46))-MAX($A67,Settings!$F$46)-MOD(IFERROR(MATCH(Settings!$E$46,$EO$4:$EO$10,0),0)-WEEKDAY(MAX($A67,Settings!$F$46)),7))/7)+1)),IF(AND(IF(Settings!$E$46="",$B67,DATE(YEAR($A67),MONTH($A67),MIN(Settings!$E$46,DAY($B67))))&gt;=MAX($A67,Settings!$F$46),IF(Settings!$E$46="",$B67,DATE(YEAR($A67),MONTH($A67),MIN(Settings!$E$46,DAY($B67))))&lt;=MIN($C67,IF(Settings!$G$46="",$C67,Settings!$G$46))),1,0)))</f>
        <v/>
      </c>
      <c r="BG67">
        <f>IF(OR(Settings!$C$47="",Settings!$D$47=""),0,Settings!$C$47*IF(Settings!$D$47="Weekly",IF(IFERROR(MATCH(Settings!$E$47,$EO$4:$EO$10,0),0)=0,0,IF(MIN($C67,IF(Settings!$G$47="",$C67,Settings!$G$47))&lt;MAX($A67,Settings!$F$47),0,INT((MIN($C67,IF(Settings!$G$47="",$C67,Settings!$G$47))-MAX($A67,Settings!$F$47)-MOD(IFERROR(MATCH(Settings!$E$47,$EO$4:$EO$10,0),0)-WEEKDAY(MAX($A67,Settings!$F$47)),7))/7)+1)),IF(AND(IF(Settings!$E$47="",$B67,DATE(YEAR($A67),MONTH($A67),MIN(Settings!$E$47,DAY($B67))))&gt;=MAX($A67,Settings!$F$47),IF(Settings!$E$47="",$B67,DATE(YEAR($A67),MONTH($A67),MIN(Settings!$E$47,DAY($B67))))&lt;=MIN($C67,IF(Settings!$G$47="",$C67,Settings!$G$47))),1,0)))</f>
        <v/>
      </c>
      <c r="BH67">
        <f>IF(OR(Settings!$C$48="",Settings!$D$48=""),0,Settings!$C$48*IF(Settings!$D$48="Weekly",IF(IFERROR(MATCH(Settings!$E$48,$EO$4:$EO$10,0),0)=0,0,IF(MIN($C67,IF(Settings!$G$48="",$C67,Settings!$G$48))&lt;MAX($A67,Settings!$F$48),0,INT((MIN($C67,IF(Settings!$G$48="",$C67,Settings!$G$48))-MAX($A67,Settings!$F$48)-MOD(IFERROR(MATCH(Settings!$E$48,$EO$4:$EO$10,0),0)-WEEKDAY(MAX($A67,Settings!$F$48)),7))/7)+1)),IF(AND(IF(Settings!$E$48="",$B67,DATE(YEAR($A67),MONTH($A67),MIN(Settings!$E$48,DAY($B67))))&gt;=MAX($A67,Settings!$F$48),IF(Settings!$E$48="",$B67,DATE(YEAR($A67),MONTH($A67),MIN(Settings!$E$48,DAY($B67))))&lt;=MIN($C67,IF(Settings!$G$48="",$C67,Settings!$G$48))),1,0)))</f>
        <v/>
      </c>
      <c r="BI67">
        <f>IF(OR(Settings!$C$49="",Settings!$D$49=""),0,Settings!$C$49*IF(Settings!$D$49="Weekly",IF(IFERROR(MATCH(Settings!$E$49,$EO$4:$EO$10,0),0)=0,0,IF(MIN($C67,IF(Settings!$G$49="",$C67,Settings!$G$49))&lt;MAX($A67,Settings!$F$49),0,INT((MIN($C67,IF(Settings!$G$49="",$C67,Settings!$G$49))-MAX($A67,Settings!$F$49)-MOD(IFERROR(MATCH(Settings!$E$49,$EO$4:$EO$10,0),0)-WEEKDAY(MAX($A67,Settings!$F$49)),7))/7)+1)),IF(AND(IF(Settings!$E$49="",$B67,DATE(YEAR($A67),MONTH($A67),MIN(Settings!$E$49,DAY($B67))))&gt;=MAX($A67,Settings!$F$49),IF(Settings!$E$49="",$B67,DATE(YEAR($A67),MONTH($A67),MIN(Settings!$E$49,DAY($B67))))&lt;=MIN($C67,IF(Settings!$G$49="",$C67,Settings!$G$49))),1,0)))</f>
        <v/>
      </c>
      <c r="BJ67">
        <f>IF(OR(Settings!$C$50="",Settings!$D$50=""),0,Settings!$C$50*IF(Settings!$D$50="Weekly",IF(IFERROR(MATCH(Settings!$E$50,$EO$4:$EO$10,0),0)=0,0,IF(MIN($C67,IF(Settings!$G$50="",$C67,Settings!$G$50))&lt;MAX($A67,Settings!$F$50),0,INT((MIN($C67,IF(Settings!$G$50="",$C67,Settings!$G$50))-MAX($A67,Settings!$F$50)-MOD(IFERROR(MATCH(Settings!$E$50,$EO$4:$EO$10,0),0)-WEEKDAY(MAX($A67,Settings!$F$50)),7))/7)+1)),IF(AND(IF(Settings!$E$50="",$B67,DATE(YEAR($A67),MONTH($A67),MIN(Settings!$E$50,DAY($B67))))&gt;=MAX($A67,Settings!$F$50),IF(Settings!$E$50="",$B67,DATE(YEAR($A67),MONTH($A67),MIN(Settings!$E$50,DAY($B67))))&lt;=MIN($C67,IF(Settings!$G$50="",$C67,Settings!$G$50))),1,0)))</f>
        <v/>
      </c>
      <c r="BK67">
        <f>IF(OR(Settings!$C$51="",Settings!$D$51=""),0,Settings!$C$51*IF(Settings!$D$51="Weekly",IF(IFERROR(MATCH(Settings!$E$51,$EO$4:$EO$10,0),0)=0,0,IF(MIN($C67,IF(Settings!$G$51="",$C67,Settings!$G$51))&lt;MAX($A67,Settings!$F$51),0,INT((MIN($C67,IF(Settings!$G$51="",$C67,Settings!$G$51))-MAX($A67,Settings!$F$51)-MOD(IFERROR(MATCH(Settings!$E$51,$EO$4:$EO$10,0),0)-WEEKDAY(MAX($A67,Settings!$F$51)),7))/7)+1)),IF(AND(IF(Settings!$E$51="",$B67,DATE(YEAR($A67),MONTH($A67),MIN(Settings!$E$51,DAY($B67))))&gt;=MAX($A67,Settings!$F$51),IF(Settings!$E$51="",$B67,DATE(YEAR($A67),MONTH($A67),MIN(Settings!$E$51,DAY($B67))))&lt;=MIN($C67,IF(Settings!$G$51="",$C67,Settings!$G$51))),1,0)))</f>
        <v/>
      </c>
      <c r="BL67">
        <f>IF(OR(Settings!$C$52="",Settings!$D$52=""),0,Settings!$C$52*IF(Settings!$D$52="Weekly",IF(IFERROR(MATCH(Settings!$E$52,$EO$4:$EO$10,0),0)=0,0,IF(MIN($C67,IF(Settings!$G$52="",$C67,Settings!$G$52))&lt;MAX($A67,Settings!$F$52),0,INT((MIN($C67,IF(Settings!$G$52="",$C67,Settings!$G$52))-MAX($A67,Settings!$F$52)-MOD(IFERROR(MATCH(Settings!$E$52,$EO$4:$EO$10,0),0)-WEEKDAY(MAX($A67,Settings!$F$52)),7))/7)+1)),IF(AND(IF(Settings!$E$52="",$B67,DATE(YEAR($A67),MONTH($A67),MIN(Settings!$E$52,DAY($B67))))&gt;=MAX($A67,Settings!$F$52),IF(Settings!$E$52="",$B67,DATE(YEAR($A67),MONTH($A67),MIN(Settings!$E$52,DAY($B67))))&lt;=MIN($C67,IF(Settings!$G$52="",$C67,Settings!$G$52))),1,0)))</f>
        <v/>
      </c>
      <c r="BM67">
        <f>IF(OR(Settings!$C$53="",Settings!$D$53=""),0,Settings!$C$53*IF(Settings!$D$53="Weekly",IF(IFERROR(MATCH(Settings!$E$53,$EO$4:$EO$10,0),0)=0,0,IF(MIN($C67,IF(Settings!$G$53="",$C67,Settings!$G$53))&lt;MAX($A67,Settings!$F$53),0,INT((MIN($C67,IF(Settings!$G$53="",$C67,Settings!$G$53))-MAX($A67,Settings!$F$53)-MOD(IFERROR(MATCH(Settings!$E$53,$EO$4:$EO$10,0),0)-WEEKDAY(MAX($A67,Settings!$F$53)),7))/7)+1)),IF(AND(IF(Settings!$E$53="",$B67,DATE(YEAR($A67),MONTH($A67),MIN(Settings!$E$53,DAY($B67))))&gt;=MAX($A67,Settings!$F$53),IF(Settings!$E$53="",$B67,DATE(YEAR($A67),MONTH($A67),MIN(Settings!$E$53,DAY($B67))))&lt;=MIN($C67,IF(Settings!$G$53="",$C67,Settings!$G$53))),1,0)))</f>
        <v/>
      </c>
      <c r="BN67">
        <f>IF(OR(Settings!$C$54="",Settings!$D$54=""),0,Settings!$C$54*IF(Settings!$D$54="Weekly",IF(IFERROR(MATCH(Settings!$E$54,$EO$4:$EO$10,0),0)=0,0,IF(MIN($C67,IF(Settings!$G$54="",$C67,Settings!$G$54))&lt;MAX($A67,Settings!$F$54),0,INT((MIN($C67,IF(Settings!$G$54="",$C67,Settings!$G$54))-MAX($A67,Settings!$F$54)-MOD(IFERROR(MATCH(Settings!$E$54,$EO$4:$EO$10,0),0)-WEEKDAY(MAX($A67,Settings!$F$54)),7))/7)+1)),IF(AND(IF(Settings!$E$54="",$B67,DATE(YEAR($A67),MONTH($A67),MIN(Settings!$E$54,DAY($B67))))&gt;=MAX($A67,Settings!$F$54),IF(Settings!$E$54="",$B67,DATE(YEAR($A67),MONTH($A67),MIN(Settings!$E$54,DAY($B67))))&lt;=MIN($C67,IF(Settings!$G$54="",$C67,Settings!$G$54))),1,0)))</f>
        <v/>
      </c>
      <c r="BO67">
        <f>IF(OR(Settings!$C$55="",Settings!$D$55=""),0,Settings!$C$55*IF(Settings!$D$55="Weekly",IF(IFERROR(MATCH(Settings!$E$55,$EO$4:$EO$10,0),0)=0,0,IF(MIN($C67,IF(Settings!$G$55="",$C67,Settings!$G$55))&lt;MAX($A67,Settings!$F$55),0,INT((MIN($C67,IF(Settings!$G$55="",$C67,Settings!$G$55))-MAX($A67,Settings!$F$55)-MOD(IFERROR(MATCH(Settings!$E$55,$EO$4:$EO$10,0),0)-WEEKDAY(MAX($A67,Settings!$F$55)),7))/7)+1)),IF(AND(IF(Settings!$E$55="",$B67,DATE(YEAR($A67),MONTH($A67),MIN(Settings!$E$55,DAY($B67))))&gt;=MAX($A67,Settings!$F$55),IF(Settings!$E$55="",$B67,DATE(YEAR($A67),MONTH($A67),MIN(Settings!$E$55,DAY($B67))))&lt;=MIN($C67,IF(Settings!$G$55="",$C67,Settings!$G$55))),1,0)))</f>
        <v/>
      </c>
      <c r="BP67">
        <f>IF(OR(Settings!$C$56="",Settings!$D$56=""),0,Settings!$C$56*IF(Settings!$D$56="Weekly",IF(IFERROR(MATCH(Settings!$E$56,$EO$4:$EO$10,0),0)=0,0,IF(MIN($C67,IF(Settings!$G$56="",$C67,Settings!$G$56))&lt;MAX($A67,Settings!$F$56),0,INT((MIN($C67,IF(Settings!$G$56="",$C67,Settings!$G$56))-MAX($A67,Settings!$F$56)-MOD(IFERROR(MATCH(Settings!$E$56,$EO$4:$EO$10,0),0)-WEEKDAY(MAX($A67,Settings!$F$56)),7))/7)+1)),IF(AND(IF(Settings!$E$56="",$B67,DATE(YEAR($A67),MONTH($A67),MIN(Settings!$E$56,DAY($B67))))&gt;=MAX($A67,Settings!$F$56),IF(Settings!$E$56="",$B67,DATE(YEAR($A67),MONTH($A67),MIN(Settings!$E$56,DAY($B67))))&lt;=MIN($C67,IF(Settings!$G$56="",$C67,Settings!$G$56))),1,0)))</f>
        <v/>
      </c>
      <c r="BQ67">
        <f>IF(OR(Settings!$B$14="",$D67=1,$E67="pre",$A67&lt;IF(Settings!$B$15="",0,Settings!$B$15)),0,Settings!$B$14)</f>
        <v/>
      </c>
      <c r="BR67">
        <f>IF(AND('Month-End'!$BL$7&lt;&gt;"",NOT(_xlfn.ISFORMULA('Month-End'!$BL$7))),1,0)</f>
        <v/>
      </c>
      <c r="BS67">
        <f>IF(AND('Month-End'!$BL$8&lt;&gt;"",NOT(_xlfn.ISFORMULA('Month-End'!$BL$8))),1,0)</f>
        <v/>
      </c>
      <c r="BT67">
        <f>IF(AND('Month-End'!$BL$9&lt;&gt;"",NOT(_xlfn.ISFORMULA('Month-End'!$BL$9))),1,0)</f>
        <v/>
      </c>
      <c r="BU67">
        <f>IF(AND('Month-End'!$BL$10&lt;&gt;"",NOT(_xlfn.ISFORMULA('Month-End'!$BL$10))),1,0)</f>
        <v/>
      </c>
      <c r="BV67">
        <f>IF(AND('Month-End'!$BL$11&lt;&gt;"",NOT(_xlfn.ISFORMULA('Month-End'!$BL$11))),1,0)</f>
        <v/>
      </c>
      <c r="BW67">
        <f>IF(AND('Month-End'!$BL$12&lt;&gt;"",NOT(_xlfn.ISFORMULA('Month-End'!$BL$12))),1,0)</f>
        <v/>
      </c>
      <c r="BX67">
        <f>IF(AND('Month-End'!$BL$13&lt;&gt;"",NOT(_xlfn.ISFORMULA('Month-End'!$BL$13))),1,0)</f>
        <v/>
      </c>
      <c r="BY67">
        <f>IF(AND('Month-End'!$BL$14&lt;&gt;"",NOT(_xlfn.ISFORMULA('Month-End'!$BL$14))),1,0)</f>
        <v/>
      </c>
      <c r="BZ67">
        <f>IF(AND('Month-End'!$BL$15&lt;&gt;"",NOT(_xlfn.ISFORMULA('Month-End'!$BL$15))),1,0)</f>
        <v/>
      </c>
      <c r="CA67">
        <f>IF(AND('Month-End'!$BL$16&lt;&gt;"",NOT(_xlfn.ISFORMULA('Month-End'!$BL$16))),1,0)</f>
        <v/>
      </c>
      <c r="CB67">
        <f>IF(AND('Month-End'!$BL$17&lt;&gt;"",NOT(_xlfn.ISFORMULA('Month-End'!$BL$17))),1,0)</f>
        <v/>
      </c>
      <c r="CC67">
        <f>IF(AND('Month-End'!$BL$18&lt;&gt;"",NOT(_xlfn.ISFORMULA('Month-End'!$BL$18))),1,0)</f>
        <v/>
      </c>
      <c r="CD67">
        <f>IF(AND('Month-End'!$BL$19&lt;&gt;"",NOT(_xlfn.ISFORMULA('Month-End'!$BL$19))),1,0)</f>
        <v/>
      </c>
      <c r="CE67">
        <f>IF(AND('Month-End'!$BL$20&lt;&gt;"",NOT(_xlfn.ISFORMULA('Month-End'!$BL$20))),1,0)</f>
        <v/>
      </c>
      <c r="CF67">
        <f>IF(AND('Month-End'!$BL$38&lt;&gt;"",NOT(_xlfn.ISFORMULA('Month-End'!$BL$38))),1,0)</f>
        <v/>
      </c>
      <c r="CG67">
        <f>IF(AND('Month-End'!$BL$39&lt;&gt;"",NOT(_xlfn.ISFORMULA('Month-End'!$BL$39))),1,0)</f>
        <v/>
      </c>
      <c r="CH67">
        <f>IF(AND('Month-End'!$BL$40&lt;&gt;"",NOT(_xlfn.ISFORMULA('Month-End'!$BL$40))),1,0)</f>
        <v/>
      </c>
      <c r="CI67">
        <f>IF(AND('Month-End'!$BL$41&lt;&gt;"",NOT(_xlfn.ISFORMULA('Month-End'!$BL$41))),1,0)</f>
        <v/>
      </c>
      <c r="CJ67">
        <f>IF(AND('Month-End'!$BL$42&lt;&gt;"",NOT(_xlfn.ISFORMULA('Month-End'!$BL$42))),1,0)</f>
        <v/>
      </c>
      <c r="CK67">
        <f>IF(AND('Month-End'!$BL$43&lt;&gt;"",NOT(_xlfn.ISFORMULA('Month-End'!$BL$43))),1,0)</f>
        <v/>
      </c>
      <c r="CL67">
        <f>SUM($CM67:$CZ67)</f>
        <v/>
      </c>
      <c r="CM67">
        <f>IF(AND($E67&lt;&gt;"pre",AND(Settings!$A$19&lt;&gt;"",Settings!$E$19&lt;&gt;"No"),Settings!$F$19="Yes",NOT(AND('Month-End'!$BL$7&lt;&gt;"",NOT(_xlfn.ISFORMULA('Month-End'!$BL$7))))),1,0)</f>
        <v/>
      </c>
      <c r="CN67">
        <f>IF(AND($E67&lt;&gt;"pre",AND(Settings!$A$20&lt;&gt;"",Settings!$E$20&lt;&gt;"No"),Settings!$F$20="Yes",NOT(AND('Month-End'!$BL$8&lt;&gt;"",NOT(_xlfn.ISFORMULA('Month-End'!$BL$8))))),1,0)</f>
        <v/>
      </c>
      <c r="CO67">
        <f>IF(AND($E67&lt;&gt;"pre",AND(Settings!$A$21&lt;&gt;"",Settings!$E$21&lt;&gt;"No"),Settings!$F$21="Yes",NOT(AND('Month-End'!$BL$9&lt;&gt;"",NOT(_xlfn.ISFORMULA('Month-End'!$BL$9))))),1,0)</f>
        <v/>
      </c>
      <c r="CP67">
        <f>IF(AND($E67&lt;&gt;"pre",AND(Settings!$A$22&lt;&gt;"",Settings!$E$22&lt;&gt;"No"),Settings!$F$22="Yes",NOT(AND('Month-End'!$BL$10&lt;&gt;"",NOT(_xlfn.ISFORMULA('Month-End'!$BL$10))))),1,0)</f>
        <v/>
      </c>
      <c r="CQ67">
        <f>IF(AND($E67&lt;&gt;"pre",AND(Settings!$A$23&lt;&gt;"",Settings!$E$23&lt;&gt;"No"),Settings!$F$23="Yes",NOT(AND('Month-End'!$BL$11&lt;&gt;"",NOT(_xlfn.ISFORMULA('Month-End'!$BL$11))))),1,0)</f>
        <v/>
      </c>
      <c r="CR67">
        <f>IF(AND($E67&lt;&gt;"pre",AND(Settings!$A$24&lt;&gt;"",Settings!$E$24&lt;&gt;"No"),Settings!$F$24="Yes",NOT(AND('Month-End'!$BL$12&lt;&gt;"",NOT(_xlfn.ISFORMULA('Month-End'!$BL$12))))),1,0)</f>
        <v/>
      </c>
      <c r="CS67">
        <f>IF(AND($E67&lt;&gt;"pre",AND(Settings!$A$25&lt;&gt;"",Settings!$E$25&lt;&gt;"No"),Settings!$F$25="Yes",NOT(AND('Month-End'!$BL$13&lt;&gt;"",NOT(_xlfn.ISFORMULA('Month-End'!$BL$13))))),1,0)</f>
        <v/>
      </c>
      <c r="CT67">
        <f>IF(AND($E67&lt;&gt;"pre",AND(Settings!$A$26&lt;&gt;"",Settings!$E$26&lt;&gt;"No"),Settings!$F$26="Yes",NOT(AND('Month-End'!$BL$14&lt;&gt;"",NOT(_xlfn.ISFORMULA('Month-End'!$BL$14))))),1,0)</f>
        <v/>
      </c>
      <c r="CU67">
        <f>IF(AND($E67&lt;&gt;"pre",AND(Settings!$A$27&lt;&gt;"",Settings!$E$27&lt;&gt;"No"),Settings!$F$27="Yes",NOT(AND('Month-End'!$BL$15&lt;&gt;"",NOT(_xlfn.ISFORMULA('Month-End'!$BL$15))))),1,0)</f>
        <v/>
      </c>
      <c r="CV67">
        <f>IF(AND($E67&lt;&gt;"pre",AND(Settings!$A$28&lt;&gt;"",Settings!$E$28&lt;&gt;"No"),Settings!$F$28="Yes",NOT(AND('Month-End'!$BL$16&lt;&gt;"",NOT(_xlfn.ISFORMULA('Month-End'!$BL$16))))),1,0)</f>
        <v/>
      </c>
      <c r="CW67">
        <f>IF(AND($E67&lt;&gt;"pre",AND(Settings!$A$29&lt;&gt;"",Settings!$E$29&lt;&gt;"No"),Settings!$F$29="Yes",NOT(AND('Month-End'!$BL$17&lt;&gt;"",NOT(_xlfn.ISFORMULA('Month-End'!$BL$17))))),1,0)</f>
        <v/>
      </c>
      <c r="CX67">
        <f>IF(AND($E67&lt;&gt;"pre",AND(Settings!$A$30&lt;&gt;"",Settings!$E$30&lt;&gt;"No"),Settings!$F$30="Yes",NOT(AND('Month-End'!$BL$18&lt;&gt;"",NOT(_xlfn.ISFORMULA('Month-End'!$BL$18))))),1,0)</f>
        <v/>
      </c>
      <c r="CY67">
        <f>IF(AND($E67&lt;&gt;"pre",AND(Settings!$A$31&lt;&gt;"",Settings!$E$31&lt;&gt;"No"),Settings!$F$31="Yes",NOT(AND('Month-End'!$BL$19&lt;&gt;"",NOT(_xlfn.ISFORMULA('Month-End'!$BL$19))))),1,0)</f>
        <v/>
      </c>
      <c r="CZ67">
        <f>IF(AND($E67&lt;&gt;"pre",AND(Settings!$A$32&lt;&gt;"",Settings!$E$32&lt;&gt;"No"),Settings!$F$32="Yes",NOT(AND('Month-End'!$BL$20&lt;&gt;"",NOT(_xlfn.ISFORMULA('Month-End'!$BL$20))))),1,0)</f>
        <v/>
      </c>
      <c r="DA67">
        <f>IF($DT67=1,IF(OR(Settings!$B$19="Checking",Settings!$B$19="Savings",Settings!$B$19="Cash"),N($AE67),IF(OR(Settings!$B$19="Card",Settings!$B$19="Loan"),-N($AE67),0))+IF(OR(Settings!$B$20="Checking",Settings!$B$20="Savings",Settings!$B$20="Cash"),N($AF67),IF(OR(Settings!$B$20="Card",Settings!$B$20="Loan"),-N($AF67),0))+IF(OR(Settings!$B$21="Checking",Settings!$B$21="Savings",Settings!$B$21="Cash"),N($AG67),IF(OR(Settings!$B$21="Card",Settings!$B$21="Loan"),-N($AG67),0))+IF(OR(Settings!$B$22="Checking",Settings!$B$22="Savings",Settings!$B$22="Cash"),N($AH67),IF(OR(Settings!$B$22="Card",Settings!$B$22="Loan"),-N($AH67),0))+IF(OR(Settings!$B$23="Checking",Settings!$B$23="Savings",Settings!$B$23="Cash"),N($AI67),IF(OR(Settings!$B$23="Card",Settings!$B$23="Loan"),-N($AI67),0))+IF(OR(Settings!$B$24="Checking",Settings!$B$24="Savings",Settings!$B$24="Cash"),N($AJ67),IF(OR(Settings!$B$24="Card",Settings!$B$24="Loan"),-N($AJ67),0))+IF(OR(Settings!$B$25="Checking",Settings!$B$25="Savings",Settings!$B$25="Cash"),N($AK67),IF(OR(Settings!$B$25="Card",Settings!$B$25="Loan"),-N($AK67),0))+IF(OR(Settings!$B$26="Checking",Settings!$B$26="Savings",Settings!$B$26="Cash"),N($AL67),IF(OR(Settings!$B$26="Card",Settings!$B$26="Loan"),-N($AL67),0))+IF(OR(Settings!$B$27="Checking",Settings!$B$27="Savings",Settings!$B$27="Cash"),N($AM67),IF(OR(Settings!$B$27="Card",Settings!$B$27="Loan"),-N($AM67),0))+IF(OR(Settings!$B$28="Checking",Settings!$B$28="Savings",Settings!$B$28="Cash"),N($AN67),IF(OR(Settings!$B$28="Card",Settings!$B$28="Loan"),-N($AN67),0))+IF(OR(Settings!$B$29="Checking",Settings!$B$29="Savings",Settings!$B$29="Cash"),N($AO67),IF(OR(Settings!$B$29="Card",Settings!$B$29="Loan"),-N($AO67),0))+IF(OR(Settings!$B$30="Checking",Settings!$B$30="Savings",Settings!$B$30="Cash"),N($AP67),IF(OR(Settings!$B$30="Card",Settings!$B$30="Loan"),-N($AP67),0))+IF(OR(Settings!$B$31="Checking",Settings!$B$31="Savings",Settings!$B$31="Cash"),N($AQ67),IF(OR(Settings!$B$31="Card",Settings!$B$31="Loan"),-N($AQ67),0))+IF(OR(Settings!$B$32="Checking",Settings!$B$32="Savings",Settings!$B$32="Cash"),N($AR67),IF(OR(Settings!$B$32="Card",Settings!$B$32="Loan"),-N($AR67),0)),"")</f>
        <v/>
      </c>
      <c r="DB67">
        <f>IF($E67="open",$EB$27,IF($E67="post",IF($E66="pre",$EB$27,$DA66),""))</f>
        <v/>
      </c>
      <c r="DC67">
        <f>IF($E67="open",1,IF($E67="post",IF($E66="pre",1,$DT66),0))</f>
        <v/>
      </c>
      <c r="DD67">
        <f>IF(AND($DT67=1,$DC67=1),ROUND($W67-($DA67-$DB67)-$AD67-$AB67,2),"")</f>
        <v/>
      </c>
      <c r="DE67">
        <f>IF('Month-End'!$BL$35="",$BQ67,N('Month-End'!$BL$35))</f>
        <v/>
      </c>
      <c r="DF67">
        <f>N('Month-End'!$BL$36)</f>
        <v/>
      </c>
      <c r="DG67">
        <f>IF($DD67="","",$DD67+$DE67)</f>
        <v/>
      </c>
      <c r="DH67">
        <f>IF($DG67="","",$DG67-$DF67)</f>
        <v/>
      </c>
      <c r="DI67">
        <f>IF(OR($E67="pre",$D67=1),"",N($AS67)+N($AT67)+N($AU67)+N($AV67)+N($AW67)+N($AX67))</f>
        <v/>
      </c>
      <c r="DJ67">
        <f>IF($DT67=1,$DA67+N($DI67),"")</f>
        <v/>
      </c>
      <c r="DK67">
        <f>IF($DD67="","",$W67-$DD67-$AB67)</f>
        <v/>
      </c>
      <c r="DL67">
        <f>IF(AND($E67="post",$DD67&lt;&gt;"",$B67&lt;TODAY()),1,0)</f>
        <v/>
      </c>
      <c r="DM67">
        <f>IF($DL67=1,COUNTIF($DL67:$DL$183,1),0)</f>
        <v/>
      </c>
      <c r="DN67">
        <f>IF($D67=1,"",IF($E67="pre","History only",IF($DT67=1,IF($DD67="","⚠ Previous month missing",IF($DD67&lt;0,"⚠ Check: spending &lt; 0",IF($E67="open","✓ Done (partial)","✓ Done"))),IF($B67&gt;=TODAY(),"In progress","⚠ Needs balances"))))</f>
        <v/>
      </c>
      <c r="DO67">
        <f>YEAR($A67)</f>
        <v/>
      </c>
      <c r="DP67">
        <f>DATE(YEAR($A67),INT((MONTH($A67)-1)/3)*3+1,1)</f>
        <v/>
      </c>
      <c r="DQ67">
        <f>IF(AND($DT67=1,$DD67&lt;&gt;"",$D67=0),ROW(),0)</f>
        <v/>
      </c>
      <c r="DR67">
        <f>IF(AND($E67&lt;&gt;"pre",$B67&lt;TODAY(),$DT67=0),1,0)</f>
        <v/>
      </c>
      <c r="DS67">
        <f>IF($DJ67="",NA(),$DJ67)</f>
        <v/>
      </c>
      <c r="DT67">
        <f>IF(AND($E67&lt;&gt;"pre",$CL67=0,COUNTIFS(Settings!$F$19:$F$32,"Yes",Settings!$A$19:$A$32,"&lt;&gt;",Settings!$E$19:$E$32,"&lt;&gt;No")&gt;0),1,0)</f>
        <v/>
      </c>
      <c r="DU67">
        <f>IF(AND($B67&lt;TODAY(),$S67&gt;0),1,0)</f>
        <v/>
      </c>
      <c r="DV67">
        <f>IF($DU67=1,COUNTIF($DU67:$DU$183,1),0)</f>
        <v/>
      </c>
      <c r="DW67">
        <f>IF(AND(OR(Settings!$B$19="Card",Settings!$B$19="Loan"),AND('Month-End'!$BL$7&lt;&gt;"",NOT(_xlfn.ISFORMULA('Month-End'!$BL$7)))),IF(N('Month-End'!$BL$7)&lt;0,1,0),0)+IF(AND(OR(Settings!$B$20="Card",Settings!$B$20="Loan"),AND('Month-End'!$BL$8&lt;&gt;"",NOT(_xlfn.ISFORMULA('Month-End'!$BL$8)))),IF(N('Month-End'!$BL$8)&lt;0,1,0),0)+IF(AND(OR(Settings!$B$21="Card",Settings!$B$21="Loan"),AND('Month-End'!$BL$9&lt;&gt;"",NOT(_xlfn.ISFORMULA('Month-End'!$BL$9)))),IF(N('Month-End'!$BL$9)&lt;0,1,0),0)+IF(AND(OR(Settings!$B$22="Card",Settings!$B$22="Loan"),AND('Month-End'!$BL$10&lt;&gt;"",NOT(_xlfn.ISFORMULA('Month-End'!$BL$10)))),IF(N('Month-End'!$BL$10)&lt;0,1,0),0)+IF(AND(OR(Settings!$B$23="Card",Settings!$B$23="Loan"),AND('Month-End'!$BL$11&lt;&gt;"",NOT(_xlfn.ISFORMULA('Month-End'!$BL$11)))),IF(N('Month-End'!$BL$11)&lt;0,1,0),0)+IF(AND(OR(Settings!$B$24="Card",Settings!$B$24="Loan"),AND('Month-End'!$BL$12&lt;&gt;"",NOT(_xlfn.ISFORMULA('Month-End'!$BL$12)))),IF(N('Month-End'!$BL$12)&lt;0,1,0),0)+IF(AND(OR(Settings!$B$25="Card",Settings!$B$25="Loan"),AND('Month-End'!$BL$13&lt;&gt;"",NOT(_xlfn.ISFORMULA('Month-End'!$BL$13)))),IF(N('Month-End'!$BL$13)&lt;0,1,0),0)+IF(AND(OR(Settings!$B$26="Card",Settings!$B$26="Loan"),AND('Month-End'!$BL$14&lt;&gt;"",NOT(_xlfn.ISFORMULA('Month-End'!$BL$14)))),IF(N('Month-End'!$BL$14)&lt;0,1,0),0)+IF(AND(OR(Settings!$B$27="Card",Settings!$B$27="Loan"),AND('Month-End'!$BL$15&lt;&gt;"",NOT(_xlfn.ISFORMULA('Month-End'!$BL$15)))),IF(N('Month-End'!$BL$15)&lt;0,1,0),0)+IF(AND(OR(Settings!$B$28="Card",Settings!$B$28="Loan"),AND('Month-End'!$BL$16&lt;&gt;"",NOT(_xlfn.ISFORMULA('Month-End'!$BL$16)))),IF(N('Month-End'!$BL$16)&lt;0,1,0),0)+IF(AND(OR(Settings!$B$29="Card",Settings!$B$29="Loan"),AND('Month-End'!$BL$17&lt;&gt;"",NOT(_xlfn.ISFORMULA('Month-End'!$BL$17)))),IF(N('Month-End'!$BL$17)&lt;0,1,0),0)+IF(AND(OR(Settings!$B$30="Card",Settings!$B$30="Loan"),AND('Month-End'!$BL$18&lt;&gt;"",NOT(_xlfn.ISFORMULA('Month-End'!$BL$18)))),IF(N('Month-End'!$BL$18)&lt;0,1,0),0)+IF(AND(OR(Settings!$B$31="Card",Settings!$B$31="Loan"),AND('Month-End'!$BL$19&lt;&gt;"",NOT(_xlfn.ISFORMULA('Month-End'!$BL$19)))),IF(N('Month-End'!$BL$19)&lt;0,1,0),0)+IF(AND(OR(Settings!$B$32="Card",Settings!$B$32="Loan"),AND('Month-End'!$BL$20&lt;&gt;"",NOT(_xlfn.ISFORMULA('Month-End'!$BL$20)))),IF(N('Month-End'!$BL$20)&lt;0,1,0),0)</f>
        <v/>
      </c>
      <c r="DX67">
        <f>IF(Settings!$B$36="Retirement",$AY67,0)+IF(Settings!$B$37="Retirement",$AZ67,0)+IF(Settings!$B$38="Retirement",$BA67,0)+IF(Settings!$B$39="Retirement",$BB67,0)+IF(Settings!$B$40="Retirement",$BC67,0)+IF(Settings!$B$41="Retirement",$BD67,0)</f>
        <v/>
      </c>
      <c r="EA67" t="inlineStr">
        <is>
          <t>Card &amp; loan change vs previous</t>
        </is>
      </c>
      <c r="EB67">
        <f>IF(EB5=0,"",ROUND(EB11-EB66,2))</f>
        <v/>
      </c>
      <c r="ET67">
        <f>IF($E67&lt;&gt;"open",0,IF(AND('Month-End'!$BL$22&lt;&gt;"",NOT(_xlfn.ISFORMULA('Month-End'!$BL$22))),0,IF(OR(Settings!$C$45="",Settings!$D$45=""),0,Settings!$C$45*IF(Settings!$D$45="Weekly",IF(IFERROR(MATCH(Settings!$E$45,$EO$4:$EO$10,0),0)=0,0,IF(MIN(Settings!$B$5,IF(Settings!$G$45="",Settings!$B$5,Settings!$G$45))&lt;MAX($A67,Settings!$F$45),0,INT((MIN(Settings!$B$5,IF(Settings!$G$45="",Settings!$B$5,Settings!$G$45))-MAX($A67,Settings!$F$45)-MOD(IFERROR(MATCH(Settings!$E$45,$EO$4:$EO$10,0),0)-WEEKDAY(MAX($A67,Settings!$F$45)),7))/7)+1)),IF(AND(IF(Settings!$E$45="",$B67,DATE(YEAR($A67),MONTH($A67),MIN(Settings!$E$45,DAY($B67))))&gt;=MAX($A67,Settings!$F$45),IF(Settings!$E$45="",$B67,DATE(YEAR($A67),MONTH($A67),MIN(Settings!$E$45,DAY($B67))))&lt;=MIN(Settings!$B$5,IF(Settings!$G$45="",Settings!$B$5,Settings!$G$45))),1,0)))))</f>
        <v/>
      </c>
      <c r="EU67">
        <f>IF($E67&lt;&gt;"open",0,IF(AND('Month-End'!$BL$23&lt;&gt;"",NOT(_xlfn.ISFORMULA('Month-End'!$BL$23))),0,IF(OR(Settings!$C$46="",Settings!$D$46=""),0,Settings!$C$46*IF(Settings!$D$46="Weekly",IF(IFERROR(MATCH(Settings!$E$46,$EO$4:$EO$10,0),0)=0,0,IF(MIN(Settings!$B$5,IF(Settings!$G$46="",Settings!$B$5,Settings!$G$46))&lt;MAX($A67,Settings!$F$46),0,INT((MIN(Settings!$B$5,IF(Settings!$G$46="",Settings!$B$5,Settings!$G$46))-MAX($A67,Settings!$F$46)-MOD(IFERROR(MATCH(Settings!$E$46,$EO$4:$EO$10,0),0)-WEEKDAY(MAX($A67,Settings!$F$46)),7))/7)+1)),IF(AND(IF(Settings!$E$46="",$B67,DATE(YEAR($A67),MONTH($A67),MIN(Settings!$E$46,DAY($B67))))&gt;=MAX($A67,Settings!$F$46),IF(Settings!$E$46="",$B67,DATE(YEAR($A67),MONTH($A67),MIN(Settings!$E$46,DAY($B67))))&lt;=MIN(Settings!$B$5,IF(Settings!$G$46="",Settings!$B$5,Settings!$G$46))),1,0)))))</f>
        <v/>
      </c>
      <c r="EV67">
        <f>IF($E67&lt;&gt;"open",0,IF(AND('Month-End'!$BL$24&lt;&gt;"",NOT(_xlfn.ISFORMULA('Month-End'!$BL$24))),0,IF(OR(Settings!$C$47="",Settings!$D$47=""),0,Settings!$C$47*IF(Settings!$D$47="Weekly",IF(IFERROR(MATCH(Settings!$E$47,$EO$4:$EO$10,0),0)=0,0,IF(MIN(Settings!$B$5,IF(Settings!$G$47="",Settings!$B$5,Settings!$G$47))&lt;MAX($A67,Settings!$F$47),0,INT((MIN(Settings!$B$5,IF(Settings!$G$47="",Settings!$B$5,Settings!$G$47))-MAX($A67,Settings!$F$47)-MOD(IFERROR(MATCH(Settings!$E$47,$EO$4:$EO$10,0),0)-WEEKDAY(MAX($A67,Settings!$F$47)),7))/7)+1)),IF(AND(IF(Settings!$E$47="",$B67,DATE(YEAR($A67),MONTH($A67),MIN(Settings!$E$47,DAY($B67))))&gt;=MAX($A67,Settings!$F$47),IF(Settings!$E$47="",$B67,DATE(YEAR($A67),MONTH($A67),MIN(Settings!$E$47,DAY($B67))))&lt;=MIN(Settings!$B$5,IF(Settings!$G$47="",Settings!$B$5,Settings!$G$47))),1,0)))))</f>
        <v/>
      </c>
      <c r="EW67">
        <f>IF($E67&lt;&gt;"open",0,IF(AND('Month-End'!$BL$25&lt;&gt;"",NOT(_xlfn.ISFORMULA('Month-End'!$BL$25))),0,IF(OR(Settings!$C$48="",Settings!$D$48=""),0,Settings!$C$48*IF(Settings!$D$48="Weekly",IF(IFERROR(MATCH(Settings!$E$48,$EO$4:$EO$10,0),0)=0,0,IF(MIN(Settings!$B$5,IF(Settings!$G$48="",Settings!$B$5,Settings!$G$48))&lt;MAX($A67,Settings!$F$48),0,INT((MIN(Settings!$B$5,IF(Settings!$G$48="",Settings!$B$5,Settings!$G$48))-MAX($A67,Settings!$F$48)-MOD(IFERROR(MATCH(Settings!$E$48,$EO$4:$EO$10,0),0)-WEEKDAY(MAX($A67,Settings!$F$48)),7))/7)+1)),IF(AND(IF(Settings!$E$48="",$B67,DATE(YEAR($A67),MONTH($A67),MIN(Settings!$E$48,DAY($B67))))&gt;=MAX($A67,Settings!$F$48),IF(Settings!$E$48="",$B67,DATE(YEAR($A67),MONTH($A67),MIN(Settings!$E$48,DAY($B67))))&lt;=MIN(Settings!$B$5,IF(Settings!$G$48="",Settings!$B$5,Settings!$G$48))),1,0)))))</f>
        <v/>
      </c>
      <c r="EX67">
        <f>IF($E67&lt;&gt;"open",0,IF(AND('Month-End'!$BL$26&lt;&gt;"",NOT(_xlfn.ISFORMULA('Month-End'!$BL$26))),0,IF(OR(Settings!$C$49="",Settings!$D$49=""),0,Settings!$C$49*IF(Settings!$D$49="Weekly",IF(IFERROR(MATCH(Settings!$E$49,$EO$4:$EO$10,0),0)=0,0,IF(MIN(Settings!$B$5,IF(Settings!$G$49="",Settings!$B$5,Settings!$G$49))&lt;MAX($A67,Settings!$F$49),0,INT((MIN(Settings!$B$5,IF(Settings!$G$49="",Settings!$B$5,Settings!$G$49))-MAX($A67,Settings!$F$49)-MOD(IFERROR(MATCH(Settings!$E$49,$EO$4:$EO$10,0),0)-WEEKDAY(MAX($A67,Settings!$F$49)),7))/7)+1)),IF(AND(IF(Settings!$E$49="",$B67,DATE(YEAR($A67),MONTH($A67),MIN(Settings!$E$49,DAY($B67))))&gt;=MAX($A67,Settings!$F$49),IF(Settings!$E$49="",$B67,DATE(YEAR($A67),MONTH($A67),MIN(Settings!$E$49,DAY($B67))))&lt;=MIN(Settings!$B$5,IF(Settings!$G$49="",Settings!$B$5,Settings!$G$49))),1,0)))))</f>
        <v/>
      </c>
      <c r="EY67">
        <f>IF($E67&lt;&gt;"open",0,IF(AND('Month-End'!$BL$27&lt;&gt;"",NOT(_xlfn.ISFORMULA('Month-End'!$BL$27))),0,IF(OR(Settings!$C$50="",Settings!$D$50=""),0,Settings!$C$50*IF(Settings!$D$50="Weekly",IF(IFERROR(MATCH(Settings!$E$50,$EO$4:$EO$10,0),0)=0,0,IF(MIN(Settings!$B$5,IF(Settings!$G$50="",Settings!$B$5,Settings!$G$50))&lt;MAX($A67,Settings!$F$50),0,INT((MIN(Settings!$B$5,IF(Settings!$G$50="",Settings!$B$5,Settings!$G$50))-MAX($A67,Settings!$F$50)-MOD(IFERROR(MATCH(Settings!$E$50,$EO$4:$EO$10,0),0)-WEEKDAY(MAX($A67,Settings!$F$50)),7))/7)+1)),IF(AND(IF(Settings!$E$50="",$B67,DATE(YEAR($A67),MONTH($A67),MIN(Settings!$E$50,DAY($B67))))&gt;=MAX($A67,Settings!$F$50),IF(Settings!$E$50="",$B67,DATE(YEAR($A67),MONTH($A67),MIN(Settings!$E$50,DAY($B67))))&lt;=MIN(Settings!$B$5,IF(Settings!$G$50="",Settings!$B$5,Settings!$G$50))),1,0)))))</f>
        <v/>
      </c>
      <c r="EZ67">
        <f>IF($E67&lt;&gt;"open",0,IF(AND('Month-End'!$BL$28&lt;&gt;"",NOT(_xlfn.ISFORMULA('Month-End'!$BL$28))),0,IF(OR(Settings!$C$51="",Settings!$D$51=""),0,Settings!$C$51*IF(Settings!$D$51="Weekly",IF(IFERROR(MATCH(Settings!$E$51,$EO$4:$EO$10,0),0)=0,0,IF(MIN(Settings!$B$5,IF(Settings!$G$51="",Settings!$B$5,Settings!$G$51))&lt;MAX($A67,Settings!$F$51),0,INT((MIN(Settings!$B$5,IF(Settings!$G$51="",Settings!$B$5,Settings!$G$51))-MAX($A67,Settings!$F$51)-MOD(IFERROR(MATCH(Settings!$E$51,$EO$4:$EO$10,0),0)-WEEKDAY(MAX($A67,Settings!$F$51)),7))/7)+1)),IF(AND(IF(Settings!$E$51="",$B67,DATE(YEAR($A67),MONTH($A67),MIN(Settings!$E$51,DAY($B67))))&gt;=MAX($A67,Settings!$F$51),IF(Settings!$E$51="",$B67,DATE(YEAR($A67),MONTH($A67),MIN(Settings!$E$51,DAY($B67))))&lt;=MIN(Settings!$B$5,IF(Settings!$G$51="",Settings!$B$5,Settings!$G$51))),1,0)))))</f>
        <v/>
      </c>
      <c r="FA67">
        <f>IF($E67&lt;&gt;"open",0,IF(AND('Month-End'!$BL$29&lt;&gt;"",NOT(_xlfn.ISFORMULA('Month-End'!$BL$29))),0,IF(OR(Settings!$C$52="",Settings!$D$52=""),0,Settings!$C$52*IF(Settings!$D$52="Weekly",IF(IFERROR(MATCH(Settings!$E$52,$EO$4:$EO$10,0),0)=0,0,IF(MIN(Settings!$B$5,IF(Settings!$G$52="",Settings!$B$5,Settings!$G$52))&lt;MAX($A67,Settings!$F$52),0,INT((MIN(Settings!$B$5,IF(Settings!$G$52="",Settings!$B$5,Settings!$G$52))-MAX($A67,Settings!$F$52)-MOD(IFERROR(MATCH(Settings!$E$52,$EO$4:$EO$10,0),0)-WEEKDAY(MAX($A67,Settings!$F$52)),7))/7)+1)),IF(AND(IF(Settings!$E$52="",$B67,DATE(YEAR($A67),MONTH($A67),MIN(Settings!$E$52,DAY($B67))))&gt;=MAX($A67,Settings!$F$52),IF(Settings!$E$52="",$B67,DATE(YEAR($A67),MONTH($A67),MIN(Settings!$E$52,DAY($B67))))&lt;=MIN(Settings!$B$5,IF(Settings!$G$52="",Settings!$B$5,Settings!$G$52))),1,0)))))</f>
        <v/>
      </c>
      <c r="FB67">
        <f>IF($E67&lt;&gt;"open",0,IF(AND('Month-End'!$BL$30&lt;&gt;"",NOT(_xlfn.ISFORMULA('Month-End'!$BL$30))),0,IF(OR(Settings!$C$53="",Settings!$D$53=""),0,Settings!$C$53*IF(Settings!$D$53="Weekly",IF(IFERROR(MATCH(Settings!$E$53,$EO$4:$EO$10,0),0)=0,0,IF(MIN(Settings!$B$5,IF(Settings!$G$53="",Settings!$B$5,Settings!$G$53))&lt;MAX($A67,Settings!$F$53),0,INT((MIN(Settings!$B$5,IF(Settings!$G$53="",Settings!$B$5,Settings!$G$53))-MAX($A67,Settings!$F$53)-MOD(IFERROR(MATCH(Settings!$E$53,$EO$4:$EO$10,0),0)-WEEKDAY(MAX($A67,Settings!$F$53)),7))/7)+1)),IF(AND(IF(Settings!$E$53="",$B67,DATE(YEAR($A67),MONTH($A67),MIN(Settings!$E$53,DAY($B67))))&gt;=MAX($A67,Settings!$F$53),IF(Settings!$E$53="",$B67,DATE(YEAR($A67),MONTH($A67),MIN(Settings!$E$53,DAY($B67))))&lt;=MIN(Settings!$B$5,IF(Settings!$G$53="",Settings!$B$5,Settings!$G$53))),1,0)))))</f>
        <v/>
      </c>
      <c r="FC67">
        <f>IF($E67&lt;&gt;"open",0,IF(AND('Month-End'!$BL$31&lt;&gt;"",NOT(_xlfn.ISFORMULA('Month-End'!$BL$31))),0,IF(OR(Settings!$C$54="",Settings!$D$54=""),0,Settings!$C$54*IF(Settings!$D$54="Weekly",IF(IFERROR(MATCH(Settings!$E$54,$EO$4:$EO$10,0),0)=0,0,IF(MIN(Settings!$B$5,IF(Settings!$G$54="",Settings!$B$5,Settings!$G$54))&lt;MAX($A67,Settings!$F$54),0,INT((MIN(Settings!$B$5,IF(Settings!$G$54="",Settings!$B$5,Settings!$G$54))-MAX($A67,Settings!$F$54)-MOD(IFERROR(MATCH(Settings!$E$54,$EO$4:$EO$10,0),0)-WEEKDAY(MAX($A67,Settings!$F$54)),7))/7)+1)),IF(AND(IF(Settings!$E$54="",$B67,DATE(YEAR($A67),MONTH($A67),MIN(Settings!$E$54,DAY($B67))))&gt;=MAX($A67,Settings!$F$54),IF(Settings!$E$54="",$B67,DATE(YEAR($A67),MONTH($A67),MIN(Settings!$E$54,DAY($B67))))&lt;=MIN(Settings!$B$5,IF(Settings!$G$54="",Settings!$B$5,Settings!$G$54))),1,0)))))</f>
        <v/>
      </c>
      <c r="FD67">
        <f>IF($E67&lt;&gt;"open",0,IF(AND('Month-End'!$BL$32&lt;&gt;"",NOT(_xlfn.ISFORMULA('Month-End'!$BL$32))),0,IF(OR(Settings!$C$55="",Settings!$D$55=""),0,Settings!$C$55*IF(Settings!$D$55="Weekly",IF(IFERROR(MATCH(Settings!$E$55,$EO$4:$EO$10,0),0)=0,0,IF(MIN(Settings!$B$5,IF(Settings!$G$55="",Settings!$B$5,Settings!$G$55))&lt;MAX($A67,Settings!$F$55),0,INT((MIN(Settings!$B$5,IF(Settings!$G$55="",Settings!$B$5,Settings!$G$55))-MAX($A67,Settings!$F$55)-MOD(IFERROR(MATCH(Settings!$E$55,$EO$4:$EO$10,0),0)-WEEKDAY(MAX($A67,Settings!$F$55)),7))/7)+1)),IF(AND(IF(Settings!$E$55="",$B67,DATE(YEAR($A67),MONTH($A67),MIN(Settings!$E$55,DAY($B67))))&gt;=MAX($A67,Settings!$F$55),IF(Settings!$E$55="",$B67,DATE(YEAR($A67),MONTH($A67),MIN(Settings!$E$55,DAY($B67))))&lt;=MIN(Settings!$B$5,IF(Settings!$G$55="",Settings!$B$5,Settings!$G$55))),1,0)))))</f>
        <v/>
      </c>
      <c r="FE67">
        <f>IF($E67&lt;&gt;"open",0,IF(AND('Month-End'!$BL$33&lt;&gt;"",NOT(_xlfn.ISFORMULA('Month-End'!$BL$33))),0,IF(OR(Settings!$C$56="",Settings!$D$56=""),0,Settings!$C$56*IF(Settings!$D$56="Weekly",IF(IFERROR(MATCH(Settings!$E$56,$EO$4:$EO$10,0),0)=0,0,IF(MIN(Settings!$B$5,IF(Settings!$G$56="",Settings!$B$5,Settings!$G$56))&lt;MAX($A67,Settings!$F$56),0,INT((MIN(Settings!$B$5,IF(Settings!$G$56="",Settings!$B$5,Settings!$G$56))-MAX($A67,Settings!$F$56)-MOD(IFERROR(MATCH(Settings!$E$56,$EO$4:$EO$10,0),0)-WEEKDAY(MAX($A67,Settings!$F$56)),7))/7)+1)),IF(AND(IF(Settings!$E$56="",$B67,DATE(YEAR($A67),MONTH($A67),MIN(Settings!$E$56,DAY($B67))))&gt;=MAX($A67,Settings!$F$56),IF(Settings!$E$56="",$B67,DATE(YEAR($A67),MONTH($A67),MIN(Settings!$E$56,DAY($B67))))&lt;=MIN(Settings!$B$5,IF(Settings!$G$56="",Settings!$B$5,Settings!$G$56))),1,0)))))</f>
        <v/>
      </c>
      <c r="FF67">
        <f>IF(Settings!$I$45="Yes",$G67,0)+IF(Settings!$I$46="Yes",$H67,0)+IF(Settings!$I$47="Yes",$I67,0)+IF(Settings!$I$48="Yes",$J67,0)+IF(Settings!$I$49="Yes",$K67,0)+IF(Settings!$I$50="Yes",$L67,0)+IF(Settings!$I$51="Yes",$M67,0)+IF(Settings!$I$52="Yes",$N67,0)+IF(Settings!$I$53="Yes",$O67,0)+IF(Settings!$I$54="Yes",$P67,0)+IF(Settings!$I$55="Yes",$Q67,0)+IF(Settings!$I$56="Yes",$R67,0)</f>
        <v/>
      </c>
      <c r="FG67">
        <f>IF(AND(Settings!$I$45="Yes",Settings!$J$45="No"),$G67,0)+IF(AND(Settings!$I$46="Yes",Settings!$J$46="No"),$H67,0)+IF(AND(Settings!$I$47="Yes",Settings!$J$47="No"),$I67,0)+IF(AND(Settings!$I$48="Yes",Settings!$J$48="No"),$J67,0)+IF(AND(Settings!$I$49="Yes",Settings!$J$49="No"),$K67,0)+IF(AND(Settings!$I$50="Yes",Settings!$J$50="No"),$L67,0)+IF(AND(Settings!$I$51="Yes",Settings!$J$51="No"),$M67,0)+IF(AND(Settings!$I$52="Yes",Settings!$J$52="No"),$N67,0)+IF(AND(Settings!$I$53="Yes",Settings!$J$53="No"),$O67,0)+IF(AND(Settings!$I$54="Yes",Settings!$J$54="No"),$P67,0)+IF(AND(Settings!$I$55="Yes",Settings!$J$55="No"),$Q67,0)+IF(AND(Settings!$I$56="Yes",Settings!$J$56="No"),$R67,0)</f>
        <v/>
      </c>
      <c r="FH67">
        <f>SUMIFS(Giving!$B$7:$B$2006,Giving!$A$7:$A$2006,"&gt;="&amp;$A67,Giving!$A$7:$A$2006,"&lt;="&amp;$B67,Giving!$G$7:$G$2006,"Yes")+IF(OR(OR(Settings!$B$60="",Settings!$F$60="No"),Settings!$H$60&lt;&gt;"Yes"),0,Settings!$B$60*IF(AND(IF(Settings!$C$60="",$B67,DATE(YEAR($A67),MONTH($A67),MIN(Settings!$C$60,DAY($B67))))&gt;=MAX($A67,Settings!$D$60),IF(Settings!$C$60="",$B67,DATE(YEAR($A67),MONTH($A67),MIN(Settings!$C$60,DAY($B67))))&lt;=MIN($C67,IF(Settings!$E$60="",$C67,Settings!$E$60))),1,0))+IF(OR(OR(Settings!$B$61="",Settings!$F$61="No"),Settings!$H$61&lt;&gt;"Yes"),0,Settings!$B$61*IF(AND(IF(Settings!$C$61="",$B67,DATE(YEAR($A67),MONTH($A67),MIN(Settings!$C$61,DAY($B67))))&gt;=MAX($A67,Settings!$D$61),IF(Settings!$C$61="",$B67,DATE(YEAR($A67),MONTH($A67),MIN(Settings!$C$61,DAY($B67))))&lt;=MIN($C67,IF(Settings!$E$61="",$C67,Settings!$E$61))),1,0))+IF(OR(OR(Settings!$B$62="",Settings!$F$62="No"),Settings!$H$62&lt;&gt;"Yes"),0,Settings!$B$62*IF(AND(IF(Settings!$C$62="",$B67,DATE(YEAR($A67),MONTH($A67),MIN(Settings!$C$62,DAY($B67))))&gt;=MAX($A67,Settings!$D$62),IF(Settings!$C$62="",$B67,DATE(YEAR($A67),MONTH($A67),MIN(Settings!$C$62,DAY($B67))))&lt;=MIN($C67,IF(Settings!$E$62="",$C67,Settings!$E$62))),1,0))+IF(OR(OR(Settings!$B$63="",Settings!$F$63="No"),Settings!$H$63&lt;&gt;"Yes"),0,Settings!$B$63*IF(AND(IF(Settings!$C$63="",$B67,DATE(YEAR($A67),MONTH($A67),MIN(Settings!$C$63,DAY($B67))))&gt;=MAX($A67,Settings!$D$63),IF(Settings!$C$63="",$B67,DATE(YEAR($A67),MONTH($A67),MIN(Settings!$C$63,DAY($B67))))&lt;=MIN($C67,IF(Settings!$E$63="",$C67,Settings!$E$63))),1,0))+IF(OR(OR(Settings!$B$64="",Settings!$F$64="No"),Settings!$H$64&lt;&gt;"Yes"),0,Settings!$B$64*IF(AND(IF(Settings!$C$64="",$B67,DATE(YEAR($A67),MONTH($A67),MIN(Settings!$C$64,DAY($B67))))&gt;=MAX($A67,Settings!$D$64),IF(Settings!$C$64="",$B67,DATE(YEAR($A67),MONTH($A67),MIN(Settings!$C$64,DAY($B67))))&lt;=MIN($C67,IF(Settings!$E$64="",$C67,Settings!$E$64))),1,0))+IF(OR(OR(Settings!$B$65="",Settings!$F$65="No"),Settings!$H$65&lt;&gt;"Yes"),0,Settings!$B$65*IF(AND(IF(Settings!$C$65="",$B67,DATE(YEAR($A67),MONTH($A67),MIN(Settings!$C$65,DAY($B67))))&gt;=MAX($A67,Settings!$D$65),IF(Settings!$C$65="",$B67,DATE(YEAR($A67),MONTH($A67),MIN(Settings!$C$65,DAY($B67))))&lt;=MIN($C67,IF(Settings!$E$65="",$C67,Settings!$E$65))),1,0))</f>
        <v/>
      </c>
      <c r="FI67">
        <f>IF($DT67=1,IF(OR(Settings!$B$19="Card",Settings!$B$19="Loan"),N($AE67),0)+IF(OR(Settings!$B$20="Card",Settings!$B$20="Loan"),N($AF67),0)+IF(OR(Settings!$B$21="Card",Settings!$B$21="Loan"),N($AG67),0)+IF(OR(Settings!$B$22="Card",Settings!$B$22="Loan"),N($AH67),0)+IF(OR(Settings!$B$23="Card",Settings!$B$23="Loan"),N($AI67),0)+IF(OR(Settings!$B$24="Card",Settings!$B$24="Loan"),N($AJ67),0)+IF(OR(Settings!$B$25="Card",Settings!$B$25="Loan"),N($AK67),0)+IF(OR(Settings!$B$26="Card",Settings!$B$26="Loan"),N($AL67),0)+IF(OR(Settings!$B$27="Card",Settings!$B$27="Loan"),N($AM67),0)+IF(OR(Settings!$B$28="Card",Settings!$B$28="Loan"),N($AN67),0)+IF(OR(Settings!$B$29="Card",Settings!$B$29="Loan"),N($AO67),0)+IF(OR(Settings!$B$30="Card",Settings!$B$30="Loan"),N($AP67),0)+IF(OR(Settings!$B$31="Card",Settings!$B$31="Loan"),N($AQ67),0)+IF(OR(Settings!$B$32="Card",Settings!$B$32="Loan"),N($AR67),0),"")</f>
        <v/>
      </c>
      <c r="FJ67">
        <f>IF($E67="open",$EB$65,IF($E67="post",IF($E66="pre",$EB$65,$FI66),""))</f>
        <v/>
      </c>
      <c r="FK67">
        <f>IF(AND($DT67=1,$DC67=1),IF(ROUND($FI67-$FJ67,2)&gt;0,1,0),0)</f>
        <v/>
      </c>
      <c r="FL67">
        <f>IF($FK67=1,$FL66+1,0)</f>
        <v/>
      </c>
    </row>
    <row r="68">
      <c r="A68">
        <f>'Month-End'!$BM$4</f>
        <v/>
      </c>
      <c r="B68">
        <f>EOMONTH($A68,0)</f>
        <v/>
      </c>
      <c r="C68">
        <f>MIN($B68,TODAY())</f>
        <v/>
      </c>
      <c r="D68">
        <f>IF($A68&gt;TODAY(),1,0)</f>
        <v/>
      </c>
      <c r="E68">
        <f>IF($B68&lt;=Settings!$B$5,"pre",IF($A68&lt;=Settings!$B$5,"open","post"))</f>
        <v/>
      </c>
      <c r="G68">
        <f>IF('Month-End'!$BM$22="",$BE68,N('Month-End'!$BM$22))</f>
        <v/>
      </c>
      <c r="H68">
        <f>IF('Month-End'!$BM$23="",$BF68,N('Month-End'!$BM$23))</f>
        <v/>
      </c>
      <c r="I68">
        <f>IF('Month-End'!$BM$24="",$BG68,N('Month-End'!$BM$24))</f>
        <v/>
      </c>
      <c r="J68">
        <f>IF('Month-End'!$BM$25="",$BH68,N('Month-End'!$BM$25))</f>
        <v/>
      </c>
      <c r="K68">
        <f>IF('Month-End'!$BM$26="",$BI68,N('Month-End'!$BM$26))</f>
        <v/>
      </c>
      <c r="L68">
        <f>IF('Month-End'!$BM$27="",$BJ68,N('Month-End'!$BM$27))</f>
        <v/>
      </c>
      <c r="M68">
        <f>IF('Month-End'!$BM$28="",$BK68,N('Month-End'!$BM$28))</f>
        <v/>
      </c>
      <c r="N68">
        <f>IF('Month-End'!$BM$29="",$BL68,N('Month-End'!$BM$29))</f>
        <v/>
      </c>
      <c r="O68">
        <f>IF('Month-End'!$BM$30="",$BM68,N('Month-End'!$BM$30))</f>
        <v/>
      </c>
      <c r="P68">
        <f>IF('Month-End'!$BM$31="",$BN68,N('Month-End'!$BM$31))</f>
        <v/>
      </c>
      <c r="Q68">
        <f>IF('Month-End'!$BM$32="",$BO68,N('Month-End'!$BM$32))</f>
        <v/>
      </c>
      <c r="R68">
        <f>IF('Month-End'!$BM$33="",$BP68,N('Month-End'!$BM$33))</f>
        <v/>
      </c>
      <c r="S68">
        <f>$G68+$H68+$I68+$J68+$K68+$L68+$M68+$N68+$O68+$P68+$Q68+$R68</f>
        <v/>
      </c>
      <c r="T68">
        <f>IF($B68&lt;Settings!$B$6,0,IF(Settings!$B$45="Yes",$G68,0)+IF(Settings!$B$46="Yes",$H68,0)+IF(Settings!$B$47="Yes",$I68,0)+IF(Settings!$B$48="Yes",$J68,0)+IF(Settings!$B$49="Yes",$K68,0)+IF(Settings!$B$50="Yes",$L68,0)+IF(Settings!$B$51="Yes",$M68,0)+IF(Settings!$B$52="Yes",$N68,0)+IF(Settings!$B$53="Yes",$O68,0)+IF(Settings!$B$54="Yes",$P68,0)+IF(Settings!$B$55="Yes",$Q68,0)+IF(Settings!$B$56="Yes",$R68,0))</f>
        <v/>
      </c>
      <c r="U68">
        <f>IF(Settings!$B$45="Not Sure",$G68,0)+IF(Settings!$B$46="Not Sure",$H68,0)+IF(Settings!$B$47="Not Sure",$I68,0)+IF(Settings!$B$48="Not Sure",$J68,0)+IF(Settings!$B$49="Not Sure",$K68,0)+IF(Settings!$B$50="Not Sure",$L68,0)+IF(Settings!$B$51="Not Sure",$M68,0)+IF(Settings!$B$52="Not Sure",$N68,0)+IF(Settings!$B$53="Not Sure",$O68,0)+IF(Settings!$B$54="Not Sure",$P68,0)+IF(Settings!$B$55="Not Sure",$Q68,0)+IF(Settings!$B$56="Not Sure",$R68,0)</f>
        <v/>
      </c>
      <c r="V68">
        <f>IF($E68="open",SUM($ET68:$FE68)+N(Settings!$B$13),0)</f>
        <v/>
      </c>
      <c r="W68">
        <f>IF($E68="post",$S68,IF($E68="open",$S68-$V68,0))</f>
        <v/>
      </c>
      <c r="X68">
        <f>SUMIFS(Giving!$B$7:$B$2006,Giving!$A$7:$A$2006,"&gt;="&amp;$A68,Giving!$A$7:$A$2006,"&lt;="&amp;$B68,Giving!$E$7:$E$2006,"&lt;&gt;No")</f>
        <v/>
      </c>
      <c r="Y68">
        <f>SUMIFS(Giving!$B$7:$B$2006,Giving!$A$7:$A$2006,"&gt;="&amp;$A68,Giving!$A$7:$A$2006,"&lt;="&amp;$B68,Giving!$E$7:$E$2006,"No")</f>
        <v/>
      </c>
      <c r="Z68">
        <f>IF(OR(Settings!$B$60="",Settings!$F$60="No"),0,Settings!$B$60*IF(AND(IF(Settings!$C$60="",$B68,DATE(YEAR($A68),MONTH($A68),MIN(Settings!$C$60,DAY($B68))))&gt;=MAX($A68,Settings!$D$60),IF(Settings!$C$60="",$B68,DATE(YEAR($A68),MONTH($A68),MIN(Settings!$C$60,DAY($B68))))&lt;=MIN($C68,IF(Settings!$E$60="",$C68,Settings!$E$60))),1,0))+IF(OR(Settings!$B$61="",Settings!$F$61="No"),0,Settings!$B$61*IF(AND(IF(Settings!$C$61="",$B68,DATE(YEAR($A68),MONTH($A68),MIN(Settings!$C$61,DAY($B68))))&gt;=MAX($A68,Settings!$D$61),IF(Settings!$C$61="",$B68,DATE(YEAR($A68),MONTH($A68),MIN(Settings!$C$61,DAY($B68))))&lt;=MIN($C68,IF(Settings!$E$61="",$C68,Settings!$E$61))),1,0))+IF(OR(Settings!$B$62="",Settings!$F$62="No"),0,Settings!$B$62*IF(AND(IF(Settings!$C$62="",$B68,DATE(YEAR($A68),MONTH($A68),MIN(Settings!$C$62,DAY($B68))))&gt;=MAX($A68,Settings!$D$62),IF(Settings!$C$62="",$B68,DATE(YEAR($A68),MONTH($A68),MIN(Settings!$C$62,DAY($B68))))&lt;=MIN($C68,IF(Settings!$E$62="",$C68,Settings!$E$62))),1,0))+IF(OR(Settings!$B$63="",Settings!$F$63="No"),0,Settings!$B$63*IF(AND(IF(Settings!$C$63="",$B68,DATE(YEAR($A68),MONTH($A68),MIN(Settings!$C$63,DAY($B68))))&gt;=MAX($A68,Settings!$D$63),IF(Settings!$C$63="",$B68,DATE(YEAR($A68),MONTH($A68),MIN(Settings!$C$63,DAY($B68))))&lt;=MIN($C68,IF(Settings!$E$63="",$C68,Settings!$E$63))),1,0))+IF(OR(Settings!$B$64="",Settings!$F$64="No"),0,Settings!$B$64*IF(AND(IF(Settings!$C$64="",$B68,DATE(YEAR($A68),MONTH($A68),MIN(Settings!$C$64,DAY($B68))))&gt;=MAX($A68,Settings!$D$64),IF(Settings!$C$64="",$B68,DATE(YEAR($A68),MONTH($A68),MIN(Settings!$C$64,DAY($B68))))&lt;=MIN($C68,IF(Settings!$E$64="",$C68,Settings!$E$64))),1,0))+IF(OR(Settings!$B$65="",Settings!$F$65="No"),0,Settings!$B$65*IF(AND(IF(Settings!$C$65="",$B68,DATE(YEAR($A68),MONTH($A68),MIN(Settings!$C$65,DAY($B68))))&gt;=MAX($A68,Settings!$D$65),IF(Settings!$C$65="",$B68,DATE(YEAR($A68),MONTH($A68),MIN(Settings!$C$65,DAY($B68))))&lt;=MIN($C68,IF(Settings!$E$65="",$C68,Settings!$E$65))),1,0))</f>
        <v/>
      </c>
      <c r="AA68">
        <f>$X68+$Z68</f>
        <v/>
      </c>
      <c r="AB68">
        <f>IF($E68="post",$AA68,IF($E68="open",SUMIFS(Giving!$B$7:$B$2006,Giving!$A$7:$A$2006,"&gt;"&amp;Settings!$B$5,Giving!$A$7:$A$2006,"&lt;="&amp;$B68,Giving!$E$7:$E$2006,"&lt;&gt;No")+IF(OR(Settings!$B$60="",Settings!$F$60="No"),0,Settings!$B$60*IF(AND(IF(Settings!$C$60="",$B68,DATE(YEAR($A68),MONTH($A68),MIN(Settings!$C$60,DAY($B68))))&gt;=MAX($A68,Settings!$D$60,Settings!$B$5+1),IF(Settings!$C$60="",$B68,DATE(YEAR($A68),MONTH($A68),MIN(Settings!$C$60,DAY($B68))))&lt;=MIN($C68,IF(Settings!$E$60="",$C68,Settings!$E$60))),1,0))+IF(OR(Settings!$B$61="",Settings!$F$61="No"),0,Settings!$B$61*IF(AND(IF(Settings!$C$61="",$B68,DATE(YEAR($A68),MONTH($A68),MIN(Settings!$C$61,DAY($B68))))&gt;=MAX($A68,Settings!$D$61,Settings!$B$5+1),IF(Settings!$C$61="",$B68,DATE(YEAR($A68),MONTH($A68),MIN(Settings!$C$61,DAY($B68))))&lt;=MIN($C68,IF(Settings!$E$61="",$C68,Settings!$E$61))),1,0))+IF(OR(Settings!$B$62="",Settings!$F$62="No"),0,Settings!$B$62*IF(AND(IF(Settings!$C$62="",$B68,DATE(YEAR($A68),MONTH($A68),MIN(Settings!$C$62,DAY($B68))))&gt;=MAX($A68,Settings!$D$62,Settings!$B$5+1),IF(Settings!$C$62="",$B68,DATE(YEAR($A68),MONTH($A68),MIN(Settings!$C$62,DAY($B68))))&lt;=MIN($C68,IF(Settings!$E$62="",$C68,Settings!$E$62))),1,0))+IF(OR(Settings!$B$63="",Settings!$F$63="No"),0,Settings!$B$63*IF(AND(IF(Settings!$C$63="",$B68,DATE(YEAR($A68),MONTH($A68),MIN(Settings!$C$63,DAY($B68))))&gt;=MAX($A68,Settings!$D$63,Settings!$B$5+1),IF(Settings!$C$63="",$B68,DATE(YEAR($A68),MONTH($A68),MIN(Settings!$C$63,DAY($B68))))&lt;=MIN($C68,IF(Settings!$E$63="",$C68,Settings!$E$63))),1,0))+IF(OR(Settings!$B$64="",Settings!$F$64="No"),0,Settings!$B$64*IF(AND(IF(Settings!$C$64="",$B68,DATE(YEAR($A68),MONTH($A68),MIN(Settings!$C$64,DAY($B68))))&gt;=MAX($A68,Settings!$D$64,Settings!$B$5+1),IF(Settings!$C$64="",$B68,DATE(YEAR($A68),MONTH($A68),MIN(Settings!$C$64,DAY($B68))))&lt;=MIN($C68,IF(Settings!$E$64="",$C68,Settings!$E$64))),1,0))+IF(OR(Settings!$B$65="",Settings!$F$65="No"),0,Settings!$B$65*IF(AND(IF(Settings!$C$65="",$B68,DATE(YEAR($A68),MONTH($A68),MIN(Settings!$C$65,DAY($B68))))&gt;=MAX($A68,Settings!$D$65,Settings!$B$5+1),IF(Settings!$C$65="",$B68,DATE(YEAR($A68),MONTH($A68),MIN(Settings!$C$65,DAY($B68))))&lt;=MIN($C68,IF(Settings!$E$65="",$C68,Settings!$E$65))),1,0)),0))</f>
        <v/>
      </c>
      <c r="AC68">
        <f>$AY68+$AZ68+$BA68+$BB68+$BC68+$BD68</f>
        <v/>
      </c>
      <c r="AD68">
        <f>$AC68</f>
        <v/>
      </c>
      <c r="AE68">
        <f>IF(OR(Settings!$A$19="",$E68="pre"),"",IF(AND('Month-End'!$BM$7&lt;&gt;"",NOT(_xlfn.ISFORMULA('Month-End'!$BM$7))),N('Month-End'!$BM$7),IF(OR($E68="open",$E67="pre"),N(Settings!$C$19),N($AE67))))</f>
        <v/>
      </c>
      <c r="AF68">
        <f>IF(OR(Settings!$A$20="",$E68="pre"),"",IF(AND('Month-End'!$BM$8&lt;&gt;"",NOT(_xlfn.ISFORMULA('Month-End'!$BM$8))),N('Month-End'!$BM$8),IF(OR($E68="open",$E67="pre"),N(Settings!$C$20),N($AF67))))</f>
        <v/>
      </c>
      <c r="AG68">
        <f>IF(OR(Settings!$A$21="",$E68="pre"),"",IF(AND('Month-End'!$BM$9&lt;&gt;"",NOT(_xlfn.ISFORMULA('Month-End'!$BM$9))),N('Month-End'!$BM$9),IF(OR($E68="open",$E67="pre"),N(Settings!$C$21),N($AG67))))</f>
        <v/>
      </c>
      <c r="AH68">
        <f>IF(OR(Settings!$A$22="",$E68="pre"),"",IF(AND('Month-End'!$BM$10&lt;&gt;"",NOT(_xlfn.ISFORMULA('Month-End'!$BM$10))),N('Month-End'!$BM$10),IF(OR($E68="open",$E67="pre"),N(Settings!$C$22),N($AH67))))</f>
        <v/>
      </c>
      <c r="AI68">
        <f>IF(OR(Settings!$A$23="",$E68="pre"),"",IF(AND('Month-End'!$BM$11&lt;&gt;"",NOT(_xlfn.ISFORMULA('Month-End'!$BM$11))),N('Month-End'!$BM$11),IF(OR($E68="open",$E67="pre"),N(Settings!$C$23),N($AI67))))</f>
        <v/>
      </c>
      <c r="AJ68">
        <f>IF(OR(Settings!$A$24="",$E68="pre"),"",IF(AND('Month-End'!$BM$12&lt;&gt;"",NOT(_xlfn.ISFORMULA('Month-End'!$BM$12))),N('Month-End'!$BM$12),IF(OR($E68="open",$E67="pre"),N(Settings!$C$24),N($AJ67))))</f>
        <v/>
      </c>
      <c r="AK68">
        <f>IF(OR(Settings!$A$25="",$E68="pre"),"",IF(AND('Month-End'!$BM$13&lt;&gt;"",NOT(_xlfn.ISFORMULA('Month-End'!$BM$13))),N('Month-End'!$BM$13),IF(OR($E68="open",$E67="pre"),N(Settings!$C$25),N($AK67))))</f>
        <v/>
      </c>
      <c r="AL68">
        <f>IF(OR(Settings!$A$26="",$E68="pre"),"",IF(AND('Month-End'!$BM$14&lt;&gt;"",NOT(_xlfn.ISFORMULA('Month-End'!$BM$14))),N('Month-End'!$BM$14),IF(OR($E68="open",$E67="pre"),N(Settings!$C$26),N($AL67))))</f>
        <v/>
      </c>
      <c r="AM68">
        <f>IF(OR(Settings!$A$27="",$E68="pre"),"",IF(AND('Month-End'!$BM$15&lt;&gt;"",NOT(_xlfn.ISFORMULA('Month-End'!$BM$15))),N('Month-End'!$BM$15),IF(OR($E68="open",$E67="pre"),N(Settings!$C$27),N($AM67))))</f>
        <v/>
      </c>
      <c r="AN68">
        <f>IF(OR(Settings!$A$28="",$E68="pre"),"",IF(AND('Month-End'!$BM$16&lt;&gt;"",NOT(_xlfn.ISFORMULA('Month-End'!$BM$16))),N('Month-End'!$BM$16),IF(OR($E68="open",$E67="pre"),N(Settings!$C$28),N($AN67))))</f>
        <v/>
      </c>
      <c r="AO68">
        <f>IF(OR(Settings!$A$29="",$E68="pre"),"",IF(AND('Month-End'!$BM$17&lt;&gt;"",NOT(_xlfn.ISFORMULA('Month-End'!$BM$17))),N('Month-End'!$BM$17),IF(OR($E68="open",$E67="pre"),N(Settings!$C$29),N($AO67))))</f>
        <v/>
      </c>
      <c r="AP68">
        <f>IF(OR(Settings!$A$30="",$E68="pre"),"",IF(AND('Month-End'!$BM$18&lt;&gt;"",NOT(_xlfn.ISFORMULA('Month-End'!$BM$18))),N('Month-End'!$BM$18),IF(OR($E68="open",$E67="pre"),N(Settings!$C$30),N($AP67))))</f>
        <v/>
      </c>
      <c r="AQ68">
        <f>IF(OR(Settings!$A$31="",$E68="pre"),"",IF(AND('Month-End'!$BM$19&lt;&gt;"",NOT(_xlfn.ISFORMULA('Month-End'!$BM$19))),N('Month-End'!$BM$19),IF(OR($E68="open",$E67="pre"),N(Settings!$C$31),N($AQ67))))</f>
        <v/>
      </c>
      <c r="AR68">
        <f>IF(OR(Settings!$A$32="",$E68="pre"),"",IF(AND('Month-End'!$BM$20&lt;&gt;"",NOT(_xlfn.ISFORMULA('Month-End'!$BM$20))),N('Month-End'!$BM$20),IF(OR($E68="open",$E67="pre"),N(Settings!$C$32),N($AR67))))</f>
        <v/>
      </c>
      <c r="AS68">
        <f>IF(OR(Settings!$A$36="",$E68="pre"),"",IF(AND('Month-End'!$BM$38&lt;&gt;"",NOT(_xlfn.ISFORMULA('Month-End'!$BM$38))),N('Month-End'!$BM$38),IF(OR($E68="open",$E67="pre"),N(Settings!$C$36),N($AS67))+$AY68))</f>
        <v/>
      </c>
      <c r="AT68">
        <f>IF(OR(Settings!$A$37="",$E68="pre"),"",IF(AND('Month-End'!$BM$39&lt;&gt;"",NOT(_xlfn.ISFORMULA('Month-End'!$BM$39))),N('Month-End'!$BM$39),IF(OR($E68="open",$E67="pre"),N(Settings!$C$37),N($AT67))+$AZ68))</f>
        <v/>
      </c>
      <c r="AU68">
        <f>IF(OR(Settings!$A$38="",$E68="pre"),"",IF(AND('Month-End'!$BM$40&lt;&gt;"",NOT(_xlfn.ISFORMULA('Month-End'!$BM$40))),N('Month-End'!$BM$40),IF(OR($E68="open",$E67="pre"),N(Settings!$C$38),N($AU67))+$BA68))</f>
        <v/>
      </c>
      <c r="AV68">
        <f>IF(OR(Settings!$A$39="",$E68="pre"),"",IF(AND('Month-End'!$BM$41&lt;&gt;"",NOT(_xlfn.ISFORMULA('Month-End'!$BM$41))),N('Month-End'!$BM$41),IF(OR($E68="open",$E67="pre"),N(Settings!$C$39),N($AV67))+$BB68))</f>
        <v/>
      </c>
      <c r="AW68">
        <f>IF(OR(Settings!$A$40="",$E68="pre"),"",IF(AND('Month-End'!$BM$42&lt;&gt;"",NOT(_xlfn.ISFORMULA('Month-End'!$BM$42))),N('Month-End'!$BM$42),IF(OR($E68="open",$E67="pre"),N(Settings!$C$40),N($AW67))+$BC68))</f>
        <v/>
      </c>
      <c r="AX68">
        <f>IF(OR(Settings!$A$41="",$E68="pre"),"",IF(AND('Month-End'!$BM$43&lt;&gt;"",NOT(_xlfn.ISFORMULA('Month-End'!$BM$43))),N('Month-End'!$BM$43),IF(OR($E68="open",$E67="pre"),N(Settings!$C$41),N($AX67))+$BD68))</f>
        <v/>
      </c>
      <c r="AY68">
        <f>IF($E68="pre",0,N('Month-End'!$BM$45))</f>
        <v/>
      </c>
      <c r="AZ68">
        <f>IF($E68="pre",0,N('Month-End'!$BM$46))</f>
        <v/>
      </c>
      <c r="BA68">
        <f>IF($E68="pre",0,N('Month-End'!$BM$47))</f>
        <v/>
      </c>
      <c r="BB68">
        <f>IF($E68="pre",0,N('Month-End'!$BM$48))</f>
        <v/>
      </c>
      <c r="BC68">
        <f>IF($E68="pre",0,N('Month-End'!$BM$49))</f>
        <v/>
      </c>
      <c r="BD68">
        <f>IF($E68="pre",0,N('Month-End'!$BM$50))</f>
        <v/>
      </c>
      <c r="BE68">
        <f>IF(OR(Settings!$C$45="",Settings!$D$45=""),0,Settings!$C$45*IF(Settings!$D$45="Weekly",IF(IFERROR(MATCH(Settings!$E$45,$EO$4:$EO$10,0),0)=0,0,IF(MIN($C68,IF(Settings!$G$45="",$C68,Settings!$G$45))&lt;MAX($A68,Settings!$F$45),0,INT((MIN($C68,IF(Settings!$G$45="",$C68,Settings!$G$45))-MAX($A68,Settings!$F$45)-MOD(IFERROR(MATCH(Settings!$E$45,$EO$4:$EO$10,0),0)-WEEKDAY(MAX($A68,Settings!$F$45)),7))/7)+1)),IF(AND(IF(Settings!$E$45="",$B68,DATE(YEAR($A68),MONTH($A68),MIN(Settings!$E$45,DAY($B68))))&gt;=MAX($A68,Settings!$F$45),IF(Settings!$E$45="",$B68,DATE(YEAR($A68),MONTH($A68),MIN(Settings!$E$45,DAY($B68))))&lt;=MIN($C68,IF(Settings!$G$45="",$C68,Settings!$G$45))),1,0)))</f>
        <v/>
      </c>
      <c r="BF68">
        <f>IF(OR(Settings!$C$46="",Settings!$D$46=""),0,Settings!$C$46*IF(Settings!$D$46="Weekly",IF(IFERROR(MATCH(Settings!$E$46,$EO$4:$EO$10,0),0)=0,0,IF(MIN($C68,IF(Settings!$G$46="",$C68,Settings!$G$46))&lt;MAX($A68,Settings!$F$46),0,INT((MIN($C68,IF(Settings!$G$46="",$C68,Settings!$G$46))-MAX($A68,Settings!$F$46)-MOD(IFERROR(MATCH(Settings!$E$46,$EO$4:$EO$10,0),0)-WEEKDAY(MAX($A68,Settings!$F$46)),7))/7)+1)),IF(AND(IF(Settings!$E$46="",$B68,DATE(YEAR($A68),MONTH($A68),MIN(Settings!$E$46,DAY($B68))))&gt;=MAX($A68,Settings!$F$46),IF(Settings!$E$46="",$B68,DATE(YEAR($A68),MONTH($A68),MIN(Settings!$E$46,DAY($B68))))&lt;=MIN($C68,IF(Settings!$G$46="",$C68,Settings!$G$46))),1,0)))</f>
        <v/>
      </c>
      <c r="BG68">
        <f>IF(OR(Settings!$C$47="",Settings!$D$47=""),0,Settings!$C$47*IF(Settings!$D$47="Weekly",IF(IFERROR(MATCH(Settings!$E$47,$EO$4:$EO$10,0),0)=0,0,IF(MIN($C68,IF(Settings!$G$47="",$C68,Settings!$G$47))&lt;MAX($A68,Settings!$F$47),0,INT((MIN($C68,IF(Settings!$G$47="",$C68,Settings!$G$47))-MAX($A68,Settings!$F$47)-MOD(IFERROR(MATCH(Settings!$E$47,$EO$4:$EO$10,0),0)-WEEKDAY(MAX($A68,Settings!$F$47)),7))/7)+1)),IF(AND(IF(Settings!$E$47="",$B68,DATE(YEAR($A68),MONTH($A68),MIN(Settings!$E$47,DAY($B68))))&gt;=MAX($A68,Settings!$F$47),IF(Settings!$E$47="",$B68,DATE(YEAR($A68),MONTH($A68),MIN(Settings!$E$47,DAY($B68))))&lt;=MIN($C68,IF(Settings!$G$47="",$C68,Settings!$G$47))),1,0)))</f>
        <v/>
      </c>
      <c r="BH68">
        <f>IF(OR(Settings!$C$48="",Settings!$D$48=""),0,Settings!$C$48*IF(Settings!$D$48="Weekly",IF(IFERROR(MATCH(Settings!$E$48,$EO$4:$EO$10,0),0)=0,0,IF(MIN($C68,IF(Settings!$G$48="",$C68,Settings!$G$48))&lt;MAX($A68,Settings!$F$48),0,INT((MIN($C68,IF(Settings!$G$48="",$C68,Settings!$G$48))-MAX($A68,Settings!$F$48)-MOD(IFERROR(MATCH(Settings!$E$48,$EO$4:$EO$10,0),0)-WEEKDAY(MAX($A68,Settings!$F$48)),7))/7)+1)),IF(AND(IF(Settings!$E$48="",$B68,DATE(YEAR($A68),MONTH($A68),MIN(Settings!$E$48,DAY($B68))))&gt;=MAX($A68,Settings!$F$48),IF(Settings!$E$48="",$B68,DATE(YEAR($A68),MONTH($A68),MIN(Settings!$E$48,DAY($B68))))&lt;=MIN($C68,IF(Settings!$G$48="",$C68,Settings!$G$48))),1,0)))</f>
        <v/>
      </c>
      <c r="BI68">
        <f>IF(OR(Settings!$C$49="",Settings!$D$49=""),0,Settings!$C$49*IF(Settings!$D$49="Weekly",IF(IFERROR(MATCH(Settings!$E$49,$EO$4:$EO$10,0),0)=0,0,IF(MIN($C68,IF(Settings!$G$49="",$C68,Settings!$G$49))&lt;MAX($A68,Settings!$F$49),0,INT((MIN($C68,IF(Settings!$G$49="",$C68,Settings!$G$49))-MAX($A68,Settings!$F$49)-MOD(IFERROR(MATCH(Settings!$E$49,$EO$4:$EO$10,0),0)-WEEKDAY(MAX($A68,Settings!$F$49)),7))/7)+1)),IF(AND(IF(Settings!$E$49="",$B68,DATE(YEAR($A68),MONTH($A68),MIN(Settings!$E$49,DAY($B68))))&gt;=MAX($A68,Settings!$F$49),IF(Settings!$E$49="",$B68,DATE(YEAR($A68),MONTH($A68),MIN(Settings!$E$49,DAY($B68))))&lt;=MIN($C68,IF(Settings!$G$49="",$C68,Settings!$G$49))),1,0)))</f>
        <v/>
      </c>
      <c r="BJ68">
        <f>IF(OR(Settings!$C$50="",Settings!$D$50=""),0,Settings!$C$50*IF(Settings!$D$50="Weekly",IF(IFERROR(MATCH(Settings!$E$50,$EO$4:$EO$10,0),0)=0,0,IF(MIN($C68,IF(Settings!$G$50="",$C68,Settings!$G$50))&lt;MAX($A68,Settings!$F$50),0,INT((MIN($C68,IF(Settings!$G$50="",$C68,Settings!$G$50))-MAX($A68,Settings!$F$50)-MOD(IFERROR(MATCH(Settings!$E$50,$EO$4:$EO$10,0),0)-WEEKDAY(MAX($A68,Settings!$F$50)),7))/7)+1)),IF(AND(IF(Settings!$E$50="",$B68,DATE(YEAR($A68),MONTH($A68),MIN(Settings!$E$50,DAY($B68))))&gt;=MAX($A68,Settings!$F$50),IF(Settings!$E$50="",$B68,DATE(YEAR($A68),MONTH($A68),MIN(Settings!$E$50,DAY($B68))))&lt;=MIN($C68,IF(Settings!$G$50="",$C68,Settings!$G$50))),1,0)))</f>
        <v/>
      </c>
      <c r="BK68">
        <f>IF(OR(Settings!$C$51="",Settings!$D$51=""),0,Settings!$C$51*IF(Settings!$D$51="Weekly",IF(IFERROR(MATCH(Settings!$E$51,$EO$4:$EO$10,0),0)=0,0,IF(MIN($C68,IF(Settings!$G$51="",$C68,Settings!$G$51))&lt;MAX($A68,Settings!$F$51),0,INT((MIN($C68,IF(Settings!$G$51="",$C68,Settings!$G$51))-MAX($A68,Settings!$F$51)-MOD(IFERROR(MATCH(Settings!$E$51,$EO$4:$EO$10,0),0)-WEEKDAY(MAX($A68,Settings!$F$51)),7))/7)+1)),IF(AND(IF(Settings!$E$51="",$B68,DATE(YEAR($A68),MONTH($A68),MIN(Settings!$E$51,DAY($B68))))&gt;=MAX($A68,Settings!$F$51),IF(Settings!$E$51="",$B68,DATE(YEAR($A68),MONTH($A68),MIN(Settings!$E$51,DAY($B68))))&lt;=MIN($C68,IF(Settings!$G$51="",$C68,Settings!$G$51))),1,0)))</f>
        <v/>
      </c>
      <c r="BL68">
        <f>IF(OR(Settings!$C$52="",Settings!$D$52=""),0,Settings!$C$52*IF(Settings!$D$52="Weekly",IF(IFERROR(MATCH(Settings!$E$52,$EO$4:$EO$10,0),0)=0,0,IF(MIN($C68,IF(Settings!$G$52="",$C68,Settings!$G$52))&lt;MAX($A68,Settings!$F$52),0,INT((MIN($C68,IF(Settings!$G$52="",$C68,Settings!$G$52))-MAX($A68,Settings!$F$52)-MOD(IFERROR(MATCH(Settings!$E$52,$EO$4:$EO$10,0),0)-WEEKDAY(MAX($A68,Settings!$F$52)),7))/7)+1)),IF(AND(IF(Settings!$E$52="",$B68,DATE(YEAR($A68),MONTH($A68),MIN(Settings!$E$52,DAY($B68))))&gt;=MAX($A68,Settings!$F$52),IF(Settings!$E$52="",$B68,DATE(YEAR($A68),MONTH($A68),MIN(Settings!$E$52,DAY($B68))))&lt;=MIN($C68,IF(Settings!$G$52="",$C68,Settings!$G$52))),1,0)))</f>
        <v/>
      </c>
      <c r="BM68">
        <f>IF(OR(Settings!$C$53="",Settings!$D$53=""),0,Settings!$C$53*IF(Settings!$D$53="Weekly",IF(IFERROR(MATCH(Settings!$E$53,$EO$4:$EO$10,0),0)=0,0,IF(MIN($C68,IF(Settings!$G$53="",$C68,Settings!$G$53))&lt;MAX($A68,Settings!$F$53),0,INT((MIN($C68,IF(Settings!$G$53="",$C68,Settings!$G$53))-MAX($A68,Settings!$F$53)-MOD(IFERROR(MATCH(Settings!$E$53,$EO$4:$EO$10,0),0)-WEEKDAY(MAX($A68,Settings!$F$53)),7))/7)+1)),IF(AND(IF(Settings!$E$53="",$B68,DATE(YEAR($A68),MONTH($A68),MIN(Settings!$E$53,DAY($B68))))&gt;=MAX($A68,Settings!$F$53),IF(Settings!$E$53="",$B68,DATE(YEAR($A68),MONTH($A68),MIN(Settings!$E$53,DAY($B68))))&lt;=MIN($C68,IF(Settings!$G$53="",$C68,Settings!$G$53))),1,0)))</f>
        <v/>
      </c>
      <c r="BN68">
        <f>IF(OR(Settings!$C$54="",Settings!$D$54=""),0,Settings!$C$54*IF(Settings!$D$54="Weekly",IF(IFERROR(MATCH(Settings!$E$54,$EO$4:$EO$10,0),0)=0,0,IF(MIN($C68,IF(Settings!$G$54="",$C68,Settings!$G$54))&lt;MAX($A68,Settings!$F$54),0,INT((MIN($C68,IF(Settings!$G$54="",$C68,Settings!$G$54))-MAX($A68,Settings!$F$54)-MOD(IFERROR(MATCH(Settings!$E$54,$EO$4:$EO$10,0),0)-WEEKDAY(MAX($A68,Settings!$F$54)),7))/7)+1)),IF(AND(IF(Settings!$E$54="",$B68,DATE(YEAR($A68),MONTH($A68),MIN(Settings!$E$54,DAY($B68))))&gt;=MAX($A68,Settings!$F$54),IF(Settings!$E$54="",$B68,DATE(YEAR($A68),MONTH($A68),MIN(Settings!$E$54,DAY($B68))))&lt;=MIN($C68,IF(Settings!$G$54="",$C68,Settings!$G$54))),1,0)))</f>
        <v/>
      </c>
      <c r="BO68">
        <f>IF(OR(Settings!$C$55="",Settings!$D$55=""),0,Settings!$C$55*IF(Settings!$D$55="Weekly",IF(IFERROR(MATCH(Settings!$E$55,$EO$4:$EO$10,0),0)=0,0,IF(MIN($C68,IF(Settings!$G$55="",$C68,Settings!$G$55))&lt;MAX($A68,Settings!$F$55),0,INT((MIN($C68,IF(Settings!$G$55="",$C68,Settings!$G$55))-MAX($A68,Settings!$F$55)-MOD(IFERROR(MATCH(Settings!$E$55,$EO$4:$EO$10,0),0)-WEEKDAY(MAX($A68,Settings!$F$55)),7))/7)+1)),IF(AND(IF(Settings!$E$55="",$B68,DATE(YEAR($A68),MONTH($A68),MIN(Settings!$E$55,DAY($B68))))&gt;=MAX($A68,Settings!$F$55),IF(Settings!$E$55="",$B68,DATE(YEAR($A68),MONTH($A68),MIN(Settings!$E$55,DAY($B68))))&lt;=MIN($C68,IF(Settings!$G$55="",$C68,Settings!$G$55))),1,0)))</f>
        <v/>
      </c>
      <c r="BP68">
        <f>IF(OR(Settings!$C$56="",Settings!$D$56=""),0,Settings!$C$56*IF(Settings!$D$56="Weekly",IF(IFERROR(MATCH(Settings!$E$56,$EO$4:$EO$10,0),0)=0,0,IF(MIN($C68,IF(Settings!$G$56="",$C68,Settings!$G$56))&lt;MAX($A68,Settings!$F$56),0,INT((MIN($C68,IF(Settings!$G$56="",$C68,Settings!$G$56))-MAX($A68,Settings!$F$56)-MOD(IFERROR(MATCH(Settings!$E$56,$EO$4:$EO$10,0),0)-WEEKDAY(MAX($A68,Settings!$F$56)),7))/7)+1)),IF(AND(IF(Settings!$E$56="",$B68,DATE(YEAR($A68),MONTH($A68),MIN(Settings!$E$56,DAY($B68))))&gt;=MAX($A68,Settings!$F$56),IF(Settings!$E$56="",$B68,DATE(YEAR($A68),MONTH($A68),MIN(Settings!$E$56,DAY($B68))))&lt;=MIN($C68,IF(Settings!$G$56="",$C68,Settings!$G$56))),1,0)))</f>
        <v/>
      </c>
      <c r="BQ68">
        <f>IF(OR(Settings!$B$14="",$D68=1,$E68="pre",$A68&lt;IF(Settings!$B$15="",0,Settings!$B$15)),0,Settings!$B$14)</f>
        <v/>
      </c>
      <c r="BR68">
        <f>IF(AND('Month-End'!$BM$7&lt;&gt;"",NOT(_xlfn.ISFORMULA('Month-End'!$BM$7))),1,0)</f>
        <v/>
      </c>
      <c r="BS68">
        <f>IF(AND('Month-End'!$BM$8&lt;&gt;"",NOT(_xlfn.ISFORMULA('Month-End'!$BM$8))),1,0)</f>
        <v/>
      </c>
      <c r="BT68">
        <f>IF(AND('Month-End'!$BM$9&lt;&gt;"",NOT(_xlfn.ISFORMULA('Month-End'!$BM$9))),1,0)</f>
        <v/>
      </c>
      <c r="BU68">
        <f>IF(AND('Month-End'!$BM$10&lt;&gt;"",NOT(_xlfn.ISFORMULA('Month-End'!$BM$10))),1,0)</f>
        <v/>
      </c>
      <c r="BV68">
        <f>IF(AND('Month-End'!$BM$11&lt;&gt;"",NOT(_xlfn.ISFORMULA('Month-End'!$BM$11))),1,0)</f>
        <v/>
      </c>
      <c r="BW68">
        <f>IF(AND('Month-End'!$BM$12&lt;&gt;"",NOT(_xlfn.ISFORMULA('Month-End'!$BM$12))),1,0)</f>
        <v/>
      </c>
      <c r="BX68">
        <f>IF(AND('Month-End'!$BM$13&lt;&gt;"",NOT(_xlfn.ISFORMULA('Month-End'!$BM$13))),1,0)</f>
        <v/>
      </c>
      <c r="BY68">
        <f>IF(AND('Month-End'!$BM$14&lt;&gt;"",NOT(_xlfn.ISFORMULA('Month-End'!$BM$14))),1,0)</f>
        <v/>
      </c>
      <c r="BZ68">
        <f>IF(AND('Month-End'!$BM$15&lt;&gt;"",NOT(_xlfn.ISFORMULA('Month-End'!$BM$15))),1,0)</f>
        <v/>
      </c>
      <c r="CA68">
        <f>IF(AND('Month-End'!$BM$16&lt;&gt;"",NOT(_xlfn.ISFORMULA('Month-End'!$BM$16))),1,0)</f>
        <v/>
      </c>
      <c r="CB68">
        <f>IF(AND('Month-End'!$BM$17&lt;&gt;"",NOT(_xlfn.ISFORMULA('Month-End'!$BM$17))),1,0)</f>
        <v/>
      </c>
      <c r="CC68">
        <f>IF(AND('Month-End'!$BM$18&lt;&gt;"",NOT(_xlfn.ISFORMULA('Month-End'!$BM$18))),1,0)</f>
        <v/>
      </c>
      <c r="CD68">
        <f>IF(AND('Month-End'!$BM$19&lt;&gt;"",NOT(_xlfn.ISFORMULA('Month-End'!$BM$19))),1,0)</f>
        <v/>
      </c>
      <c r="CE68">
        <f>IF(AND('Month-End'!$BM$20&lt;&gt;"",NOT(_xlfn.ISFORMULA('Month-End'!$BM$20))),1,0)</f>
        <v/>
      </c>
      <c r="CF68">
        <f>IF(AND('Month-End'!$BM$38&lt;&gt;"",NOT(_xlfn.ISFORMULA('Month-End'!$BM$38))),1,0)</f>
        <v/>
      </c>
      <c r="CG68">
        <f>IF(AND('Month-End'!$BM$39&lt;&gt;"",NOT(_xlfn.ISFORMULA('Month-End'!$BM$39))),1,0)</f>
        <v/>
      </c>
      <c r="CH68">
        <f>IF(AND('Month-End'!$BM$40&lt;&gt;"",NOT(_xlfn.ISFORMULA('Month-End'!$BM$40))),1,0)</f>
        <v/>
      </c>
      <c r="CI68">
        <f>IF(AND('Month-End'!$BM$41&lt;&gt;"",NOT(_xlfn.ISFORMULA('Month-End'!$BM$41))),1,0)</f>
        <v/>
      </c>
      <c r="CJ68">
        <f>IF(AND('Month-End'!$BM$42&lt;&gt;"",NOT(_xlfn.ISFORMULA('Month-End'!$BM$42))),1,0)</f>
        <v/>
      </c>
      <c r="CK68">
        <f>IF(AND('Month-End'!$BM$43&lt;&gt;"",NOT(_xlfn.ISFORMULA('Month-End'!$BM$43))),1,0)</f>
        <v/>
      </c>
      <c r="CL68">
        <f>SUM($CM68:$CZ68)</f>
        <v/>
      </c>
      <c r="CM68">
        <f>IF(AND($E68&lt;&gt;"pre",AND(Settings!$A$19&lt;&gt;"",Settings!$E$19&lt;&gt;"No"),Settings!$F$19="Yes",NOT(AND('Month-End'!$BM$7&lt;&gt;"",NOT(_xlfn.ISFORMULA('Month-End'!$BM$7))))),1,0)</f>
        <v/>
      </c>
      <c r="CN68">
        <f>IF(AND($E68&lt;&gt;"pre",AND(Settings!$A$20&lt;&gt;"",Settings!$E$20&lt;&gt;"No"),Settings!$F$20="Yes",NOT(AND('Month-End'!$BM$8&lt;&gt;"",NOT(_xlfn.ISFORMULA('Month-End'!$BM$8))))),1,0)</f>
        <v/>
      </c>
      <c r="CO68">
        <f>IF(AND($E68&lt;&gt;"pre",AND(Settings!$A$21&lt;&gt;"",Settings!$E$21&lt;&gt;"No"),Settings!$F$21="Yes",NOT(AND('Month-End'!$BM$9&lt;&gt;"",NOT(_xlfn.ISFORMULA('Month-End'!$BM$9))))),1,0)</f>
        <v/>
      </c>
      <c r="CP68">
        <f>IF(AND($E68&lt;&gt;"pre",AND(Settings!$A$22&lt;&gt;"",Settings!$E$22&lt;&gt;"No"),Settings!$F$22="Yes",NOT(AND('Month-End'!$BM$10&lt;&gt;"",NOT(_xlfn.ISFORMULA('Month-End'!$BM$10))))),1,0)</f>
        <v/>
      </c>
      <c r="CQ68">
        <f>IF(AND($E68&lt;&gt;"pre",AND(Settings!$A$23&lt;&gt;"",Settings!$E$23&lt;&gt;"No"),Settings!$F$23="Yes",NOT(AND('Month-End'!$BM$11&lt;&gt;"",NOT(_xlfn.ISFORMULA('Month-End'!$BM$11))))),1,0)</f>
        <v/>
      </c>
      <c r="CR68">
        <f>IF(AND($E68&lt;&gt;"pre",AND(Settings!$A$24&lt;&gt;"",Settings!$E$24&lt;&gt;"No"),Settings!$F$24="Yes",NOT(AND('Month-End'!$BM$12&lt;&gt;"",NOT(_xlfn.ISFORMULA('Month-End'!$BM$12))))),1,0)</f>
        <v/>
      </c>
      <c r="CS68">
        <f>IF(AND($E68&lt;&gt;"pre",AND(Settings!$A$25&lt;&gt;"",Settings!$E$25&lt;&gt;"No"),Settings!$F$25="Yes",NOT(AND('Month-End'!$BM$13&lt;&gt;"",NOT(_xlfn.ISFORMULA('Month-End'!$BM$13))))),1,0)</f>
        <v/>
      </c>
      <c r="CT68">
        <f>IF(AND($E68&lt;&gt;"pre",AND(Settings!$A$26&lt;&gt;"",Settings!$E$26&lt;&gt;"No"),Settings!$F$26="Yes",NOT(AND('Month-End'!$BM$14&lt;&gt;"",NOT(_xlfn.ISFORMULA('Month-End'!$BM$14))))),1,0)</f>
        <v/>
      </c>
      <c r="CU68">
        <f>IF(AND($E68&lt;&gt;"pre",AND(Settings!$A$27&lt;&gt;"",Settings!$E$27&lt;&gt;"No"),Settings!$F$27="Yes",NOT(AND('Month-End'!$BM$15&lt;&gt;"",NOT(_xlfn.ISFORMULA('Month-End'!$BM$15))))),1,0)</f>
        <v/>
      </c>
      <c r="CV68">
        <f>IF(AND($E68&lt;&gt;"pre",AND(Settings!$A$28&lt;&gt;"",Settings!$E$28&lt;&gt;"No"),Settings!$F$28="Yes",NOT(AND('Month-End'!$BM$16&lt;&gt;"",NOT(_xlfn.ISFORMULA('Month-End'!$BM$16))))),1,0)</f>
        <v/>
      </c>
      <c r="CW68">
        <f>IF(AND($E68&lt;&gt;"pre",AND(Settings!$A$29&lt;&gt;"",Settings!$E$29&lt;&gt;"No"),Settings!$F$29="Yes",NOT(AND('Month-End'!$BM$17&lt;&gt;"",NOT(_xlfn.ISFORMULA('Month-End'!$BM$17))))),1,0)</f>
        <v/>
      </c>
      <c r="CX68">
        <f>IF(AND($E68&lt;&gt;"pre",AND(Settings!$A$30&lt;&gt;"",Settings!$E$30&lt;&gt;"No"),Settings!$F$30="Yes",NOT(AND('Month-End'!$BM$18&lt;&gt;"",NOT(_xlfn.ISFORMULA('Month-End'!$BM$18))))),1,0)</f>
        <v/>
      </c>
      <c r="CY68">
        <f>IF(AND($E68&lt;&gt;"pre",AND(Settings!$A$31&lt;&gt;"",Settings!$E$31&lt;&gt;"No"),Settings!$F$31="Yes",NOT(AND('Month-End'!$BM$19&lt;&gt;"",NOT(_xlfn.ISFORMULA('Month-End'!$BM$19))))),1,0)</f>
        <v/>
      </c>
      <c r="CZ68">
        <f>IF(AND($E68&lt;&gt;"pre",AND(Settings!$A$32&lt;&gt;"",Settings!$E$32&lt;&gt;"No"),Settings!$F$32="Yes",NOT(AND('Month-End'!$BM$20&lt;&gt;"",NOT(_xlfn.ISFORMULA('Month-End'!$BM$20))))),1,0)</f>
        <v/>
      </c>
      <c r="DA68">
        <f>IF($DT68=1,IF(OR(Settings!$B$19="Checking",Settings!$B$19="Savings",Settings!$B$19="Cash"),N($AE68),IF(OR(Settings!$B$19="Card",Settings!$B$19="Loan"),-N($AE68),0))+IF(OR(Settings!$B$20="Checking",Settings!$B$20="Savings",Settings!$B$20="Cash"),N($AF68),IF(OR(Settings!$B$20="Card",Settings!$B$20="Loan"),-N($AF68),0))+IF(OR(Settings!$B$21="Checking",Settings!$B$21="Savings",Settings!$B$21="Cash"),N($AG68),IF(OR(Settings!$B$21="Card",Settings!$B$21="Loan"),-N($AG68),0))+IF(OR(Settings!$B$22="Checking",Settings!$B$22="Savings",Settings!$B$22="Cash"),N($AH68),IF(OR(Settings!$B$22="Card",Settings!$B$22="Loan"),-N($AH68),0))+IF(OR(Settings!$B$23="Checking",Settings!$B$23="Savings",Settings!$B$23="Cash"),N($AI68),IF(OR(Settings!$B$23="Card",Settings!$B$23="Loan"),-N($AI68),0))+IF(OR(Settings!$B$24="Checking",Settings!$B$24="Savings",Settings!$B$24="Cash"),N($AJ68),IF(OR(Settings!$B$24="Card",Settings!$B$24="Loan"),-N($AJ68),0))+IF(OR(Settings!$B$25="Checking",Settings!$B$25="Savings",Settings!$B$25="Cash"),N($AK68),IF(OR(Settings!$B$25="Card",Settings!$B$25="Loan"),-N($AK68),0))+IF(OR(Settings!$B$26="Checking",Settings!$B$26="Savings",Settings!$B$26="Cash"),N($AL68),IF(OR(Settings!$B$26="Card",Settings!$B$26="Loan"),-N($AL68),0))+IF(OR(Settings!$B$27="Checking",Settings!$B$27="Savings",Settings!$B$27="Cash"),N($AM68),IF(OR(Settings!$B$27="Card",Settings!$B$27="Loan"),-N($AM68),0))+IF(OR(Settings!$B$28="Checking",Settings!$B$28="Savings",Settings!$B$28="Cash"),N($AN68),IF(OR(Settings!$B$28="Card",Settings!$B$28="Loan"),-N($AN68),0))+IF(OR(Settings!$B$29="Checking",Settings!$B$29="Savings",Settings!$B$29="Cash"),N($AO68),IF(OR(Settings!$B$29="Card",Settings!$B$29="Loan"),-N($AO68),0))+IF(OR(Settings!$B$30="Checking",Settings!$B$30="Savings",Settings!$B$30="Cash"),N($AP68),IF(OR(Settings!$B$30="Card",Settings!$B$30="Loan"),-N($AP68),0))+IF(OR(Settings!$B$31="Checking",Settings!$B$31="Savings",Settings!$B$31="Cash"),N($AQ68),IF(OR(Settings!$B$31="Card",Settings!$B$31="Loan"),-N($AQ68),0))+IF(OR(Settings!$B$32="Checking",Settings!$B$32="Savings",Settings!$B$32="Cash"),N($AR68),IF(OR(Settings!$B$32="Card",Settings!$B$32="Loan"),-N($AR68),0)),"")</f>
        <v/>
      </c>
      <c r="DB68">
        <f>IF($E68="open",$EB$27,IF($E68="post",IF($E67="pre",$EB$27,$DA67),""))</f>
        <v/>
      </c>
      <c r="DC68">
        <f>IF($E68="open",1,IF($E68="post",IF($E67="pre",1,$DT67),0))</f>
        <v/>
      </c>
      <c r="DD68">
        <f>IF(AND($DT68=1,$DC68=1),ROUND($W68-($DA68-$DB68)-$AD68-$AB68,2),"")</f>
        <v/>
      </c>
      <c r="DE68">
        <f>IF('Month-End'!$BM$35="",$BQ68,N('Month-End'!$BM$35))</f>
        <v/>
      </c>
      <c r="DF68">
        <f>N('Month-End'!$BM$36)</f>
        <v/>
      </c>
      <c r="DG68">
        <f>IF($DD68="","",$DD68+$DE68)</f>
        <v/>
      </c>
      <c r="DH68">
        <f>IF($DG68="","",$DG68-$DF68)</f>
        <v/>
      </c>
      <c r="DI68">
        <f>IF(OR($E68="pre",$D68=1),"",N($AS68)+N($AT68)+N($AU68)+N($AV68)+N($AW68)+N($AX68))</f>
        <v/>
      </c>
      <c r="DJ68">
        <f>IF($DT68=1,$DA68+N($DI68),"")</f>
        <v/>
      </c>
      <c r="DK68">
        <f>IF($DD68="","",$W68-$DD68-$AB68)</f>
        <v/>
      </c>
      <c r="DL68">
        <f>IF(AND($E68="post",$DD68&lt;&gt;"",$B68&lt;TODAY()),1,0)</f>
        <v/>
      </c>
      <c r="DM68">
        <f>IF($DL68=1,COUNTIF($DL68:$DL$183,1),0)</f>
        <v/>
      </c>
      <c r="DN68">
        <f>IF($D68=1,"",IF($E68="pre","History only",IF($DT68=1,IF($DD68="","⚠ Previous month missing",IF($DD68&lt;0,"⚠ Check: spending &lt; 0",IF($E68="open","✓ Done (partial)","✓ Done"))),IF($B68&gt;=TODAY(),"In progress","⚠ Needs balances"))))</f>
        <v/>
      </c>
      <c r="DO68">
        <f>YEAR($A68)</f>
        <v/>
      </c>
      <c r="DP68">
        <f>DATE(YEAR($A68),INT((MONTH($A68)-1)/3)*3+1,1)</f>
        <v/>
      </c>
      <c r="DQ68">
        <f>IF(AND($DT68=1,$DD68&lt;&gt;"",$D68=0),ROW(),0)</f>
        <v/>
      </c>
      <c r="DR68">
        <f>IF(AND($E68&lt;&gt;"pre",$B68&lt;TODAY(),$DT68=0),1,0)</f>
        <v/>
      </c>
      <c r="DS68">
        <f>IF($DJ68="",NA(),$DJ68)</f>
        <v/>
      </c>
      <c r="DT68">
        <f>IF(AND($E68&lt;&gt;"pre",$CL68=0,COUNTIFS(Settings!$F$19:$F$32,"Yes",Settings!$A$19:$A$32,"&lt;&gt;",Settings!$E$19:$E$32,"&lt;&gt;No")&gt;0),1,0)</f>
        <v/>
      </c>
      <c r="DU68">
        <f>IF(AND($B68&lt;TODAY(),$S68&gt;0),1,0)</f>
        <v/>
      </c>
      <c r="DV68">
        <f>IF($DU68=1,COUNTIF($DU68:$DU$183,1),0)</f>
        <v/>
      </c>
      <c r="DW68">
        <f>IF(AND(OR(Settings!$B$19="Card",Settings!$B$19="Loan"),AND('Month-End'!$BM$7&lt;&gt;"",NOT(_xlfn.ISFORMULA('Month-End'!$BM$7)))),IF(N('Month-End'!$BM$7)&lt;0,1,0),0)+IF(AND(OR(Settings!$B$20="Card",Settings!$B$20="Loan"),AND('Month-End'!$BM$8&lt;&gt;"",NOT(_xlfn.ISFORMULA('Month-End'!$BM$8)))),IF(N('Month-End'!$BM$8)&lt;0,1,0),0)+IF(AND(OR(Settings!$B$21="Card",Settings!$B$21="Loan"),AND('Month-End'!$BM$9&lt;&gt;"",NOT(_xlfn.ISFORMULA('Month-End'!$BM$9)))),IF(N('Month-End'!$BM$9)&lt;0,1,0),0)+IF(AND(OR(Settings!$B$22="Card",Settings!$B$22="Loan"),AND('Month-End'!$BM$10&lt;&gt;"",NOT(_xlfn.ISFORMULA('Month-End'!$BM$10)))),IF(N('Month-End'!$BM$10)&lt;0,1,0),0)+IF(AND(OR(Settings!$B$23="Card",Settings!$B$23="Loan"),AND('Month-End'!$BM$11&lt;&gt;"",NOT(_xlfn.ISFORMULA('Month-End'!$BM$11)))),IF(N('Month-End'!$BM$11)&lt;0,1,0),0)+IF(AND(OR(Settings!$B$24="Card",Settings!$B$24="Loan"),AND('Month-End'!$BM$12&lt;&gt;"",NOT(_xlfn.ISFORMULA('Month-End'!$BM$12)))),IF(N('Month-End'!$BM$12)&lt;0,1,0),0)+IF(AND(OR(Settings!$B$25="Card",Settings!$B$25="Loan"),AND('Month-End'!$BM$13&lt;&gt;"",NOT(_xlfn.ISFORMULA('Month-End'!$BM$13)))),IF(N('Month-End'!$BM$13)&lt;0,1,0),0)+IF(AND(OR(Settings!$B$26="Card",Settings!$B$26="Loan"),AND('Month-End'!$BM$14&lt;&gt;"",NOT(_xlfn.ISFORMULA('Month-End'!$BM$14)))),IF(N('Month-End'!$BM$14)&lt;0,1,0),0)+IF(AND(OR(Settings!$B$27="Card",Settings!$B$27="Loan"),AND('Month-End'!$BM$15&lt;&gt;"",NOT(_xlfn.ISFORMULA('Month-End'!$BM$15)))),IF(N('Month-End'!$BM$15)&lt;0,1,0),0)+IF(AND(OR(Settings!$B$28="Card",Settings!$B$28="Loan"),AND('Month-End'!$BM$16&lt;&gt;"",NOT(_xlfn.ISFORMULA('Month-End'!$BM$16)))),IF(N('Month-End'!$BM$16)&lt;0,1,0),0)+IF(AND(OR(Settings!$B$29="Card",Settings!$B$29="Loan"),AND('Month-End'!$BM$17&lt;&gt;"",NOT(_xlfn.ISFORMULA('Month-End'!$BM$17)))),IF(N('Month-End'!$BM$17)&lt;0,1,0),0)+IF(AND(OR(Settings!$B$30="Card",Settings!$B$30="Loan"),AND('Month-End'!$BM$18&lt;&gt;"",NOT(_xlfn.ISFORMULA('Month-End'!$BM$18)))),IF(N('Month-End'!$BM$18)&lt;0,1,0),0)+IF(AND(OR(Settings!$B$31="Card",Settings!$B$31="Loan"),AND('Month-End'!$BM$19&lt;&gt;"",NOT(_xlfn.ISFORMULA('Month-End'!$BM$19)))),IF(N('Month-End'!$BM$19)&lt;0,1,0),0)+IF(AND(OR(Settings!$B$32="Card",Settings!$B$32="Loan"),AND('Month-End'!$BM$20&lt;&gt;"",NOT(_xlfn.ISFORMULA('Month-End'!$BM$20)))),IF(N('Month-End'!$BM$20)&lt;0,1,0),0)</f>
        <v/>
      </c>
      <c r="DX68">
        <f>IF(Settings!$B$36="Retirement",$AY68,0)+IF(Settings!$B$37="Retirement",$AZ68,0)+IF(Settings!$B$38="Retirement",$BA68,0)+IF(Settings!$B$39="Retirement",$BB68,0)+IF(Settings!$B$40="Retirement",$BC68,0)+IF(Settings!$B$41="Retirement",$BD68,0)</f>
        <v/>
      </c>
      <c r="ET68">
        <f>IF($E68&lt;&gt;"open",0,IF(AND('Month-End'!$BM$22&lt;&gt;"",NOT(_xlfn.ISFORMULA('Month-End'!$BM$22))),0,IF(OR(Settings!$C$45="",Settings!$D$45=""),0,Settings!$C$45*IF(Settings!$D$45="Weekly",IF(IFERROR(MATCH(Settings!$E$45,$EO$4:$EO$10,0),0)=0,0,IF(MIN(Settings!$B$5,IF(Settings!$G$45="",Settings!$B$5,Settings!$G$45))&lt;MAX($A68,Settings!$F$45),0,INT((MIN(Settings!$B$5,IF(Settings!$G$45="",Settings!$B$5,Settings!$G$45))-MAX($A68,Settings!$F$45)-MOD(IFERROR(MATCH(Settings!$E$45,$EO$4:$EO$10,0),0)-WEEKDAY(MAX($A68,Settings!$F$45)),7))/7)+1)),IF(AND(IF(Settings!$E$45="",$B68,DATE(YEAR($A68),MONTH($A68),MIN(Settings!$E$45,DAY($B68))))&gt;=MAX($A68,Settings!$F$45),IF(Settings!$E$45="",$B68,DATE(YEAR($A68),MONTH($A68),MIN(Settings!$E$45,DAY($B68))))&lt;=MIN(Settings!$B$5,IF(Settings!$G$45="",Settings!$B$5,Settings!$G$45))),1,0)))))</f>
        <v/>
      </c>
      <c r="EU68">
        <f>IF($E68&lt;&gt;"open",0,IF(AND('Month-End'!$BM$23&lt;&gt;"",NOT(_xlfn.ISFORMULA('Month-End'!$BM$23))),0,IF(OR(Settings!$C$46="",Settings!$D$46=""),0,Settings!$C$46*IF(Settings!$D$46="Weekly",IF(IFERROR(MATCH(Settings!$E$46,$EO$4:$EO$10,0),0)=0,0,IF(MIN(Settings!$B$5,IF(Settings!$G$46="",Settings!$B$5,Settings!$G$46))&lt;MAX($A68,Settings!$F$46),0,INT((MIN(Settings!$B$5,IF(Settings!$G$46="",Settings!$B$5,Settings!$G$46))-MAX($A68,Settings!$F$46)-MOD(IFERROR(MATCH(Settings!$E$46,$EO$4:$EO$10,0),0)-WEEKDAY(MAX($A68,Settings!$F$46)),7))/7)+1)),IF(AND(IF(Settings!$E$46="",$B68,DATE(YEAR($A68),MONTH($A68),MIN(Settings!$E$46,DAY($B68))))&gt;=MAX($A68,Settings!$F$46),IF(Settings!$E$46="",$B68,DATE(YEAR($A68),MONTH($A68),MIN(Settings!$E$46,DAY($B68))))&lt;=MIN(Settings!$B$5,IF(Settings!$G$46="",Settings!$B$5,Settings!$G$46))),1,0)))))</f>
        <v/>
      </c>
      <c r="EV68">
        <f>IF($E68&lt;&gt;"open",0,IF(AND('Month-End'!$BM$24&lt;&gt;"",NOT(_xlfn.ISFORMULA('Month-End'!$BM$24))),0,IF(OR(Settings!$C$47="",Settings!$D$47=""),0,Settings!$C$47*IF(Settings!$D$47="Weekly",IF(IFERROR(MATCH(Settings!$E$47,$EO$4:$EO$10,0),0)=0,0,IF(MIN(Settings!$B$5,IF(Settings!$G$47="",Settings!$B$5,Settings!$G$47))&lt;MAX($A68,Settings!$F$47),0,INT((MIN(Settings!$B$5,IF(Settings!$G$47="",Settings!$B$5,Settings!$G$47))-MAX($A68,Settings!$F$47)-MOD(IFERROR(MATCH(Settings!$E$47,$EO$4:$EO$10,0),0)-WEEKDAY(MAX($A68,Settings!$F$47)),7))/7)+1)),IF(AND(IF(Settings!$E$47="",$B68,DATE(YEAR($A68),MONTH($A68),MIN(Settings!$E$47,DAY($B68))))&gt;=MAX($A68,Settings!$F$47),IF(Settings!$E$47="",$B68,DATE(YEAR($A68),MONTH($A68),MIN(Settings!$E$47,DAY($B68))))&lt;=MIN(Settings!$B$5,IF(Settings!$G$47="",Settings!$B$5,Settings!$G$47))),1,0)))))</f>
        <v/>
      </c>
      <c r="EW68">
        <f>IF($E68&lt;&gt;"open",0,IF(AND('Month-End'!$BM$25&lt;&gt;"",NOT(_xlfn.ISFORMULA('Month-End'!$BM$25))),0,IF(OR(Settings!$C$48="",Settings!$D$48=""),0,Settings!$C$48*IF(Settings!$D$48="Weekly",IF(IFERROR(MATCH(Settings!$E$48,$EO$4:$EO$10,0),0)=0,0,IF(MIN(Settings!$B$5,IF(Settings!$G$48="",Settings!$B$5,Settings!$G$48))&lt;MAX($A68,Settings!$F$48),0,INT((MIN(Settings!$B$5,IF(Settings!$G$48="",Settings!$B$5,Settings!$G$48))-MAX($A68,Settings!$F$48)-MOD(IFERROR(MATCH(Settings!$E$48,$EO$4:$EO$10,0),0)-WEEKDAY(MAX($A68,Settings!$F$48)),7))/7)+1)),IF(AND(IF(Settings!$E$48="",$B68,DATE(YEAR($A68),MONTH($A68),MIN(Settings!$E$48,DAY($B68))))&gt;=MAX($A68,Settings!$F$48),IF(Settings!$E$48="",$B68,DATE(YEAR($A68),MONTH($A68),MIN(Settings!$E$48,DAY($B68))))&lt;=MIN(Settings!$B$5,IF(Settings!$G$48="",Settings!$B$5,Settings!$G$48))),1,0)))))</f>
        <v/>
      </c>
      <c r="EX68">
        <f>IF($E68&lt;&gt;"open",0,IF(AND('Month-End'!$BM$26&lt;&gt;"",NOT(_xlfn.ISFORMULA('Month-End'!$BM$26))),0,IF(OR(Settings!$C$49="",Settings!$D$49=""),0,Settings!$C$49*IF(Settings!$D$49="Weekly",IF(IFERROR(MATCH(Settings!$E$49,$EO$4:$EO$10,0),0)=0,0,IF(MIN(Settings!$B$5,IF(Settings!$G$49="",Settings!$B$5,Settings!$G$49))&lt;MAX($A68,Settings!$F$49),0,INT((MIN(Settings!$B$5,IF(Settings!$G$49="",Settings!$B$5,Settings!$G$49))-MAX($A68,Settings!$F$49)-MOD(IFERROR(MATCH(Settings!$E$49,$EO$4:$EO$10,0),0)-WEEKDAY(MAX($A68,Settings!$F$49)),7))/7)+1)),IF(AND(IF(Settings!$E$49="",$B68,DATE(YEAR($A68),MONTH($A68),MIN(Settings!$E$49,DAY($B68))))&gt;=MAX($A68,Settings!$F$49),IF(Settings!$E$49="",$B68,DATE(YEAR($A68),MONTH($A68),MIN(Settings!$E$49,DAY($B68))))&lt;=MIN(Settings!$B$5,IF(Settings!$G$49="",Settings!$B$5,Settings!$G$49))),1,0)))))</f>
        <v/>
      </c>
      <c r="EY68">
        <f>IF($E68&lt;&gt;"open",0,IF(AND('Month-End'!$BM$27&lt;&gt;"",NOT(_xlfn.ISFORMULA('Month-End'!$BM$27))),0,IF(OR(Settings!$C$50="",Settings!$D$50=""),0,Settings!$C$50*IF(Settings!$D$50="Weekly",IF(IFERROR(MATCH(Settings!$E$50,$EO$4:$EO$10,0),0)=0,0,IF(MIN(Settings!$B$5,IF(Settings!$G$50="",Settings!$B$5,Settings!$G$50))&lt;MAX($A68,Settings!$F$50),0,INT((MIN(Settings!$B$5,IF(Settings!$G$50="",Settings!$B$5,Settings!$G$50))-MAX($A68,Settings!$F$50)-MOD(IFERROR(MATCH(Settings!$E$50,$EO$4:$EO$10,0),0)-WEEKDAY(MAX($A68,Settings!$F$50)),7))/7)+1)),IF(AND(IF(Settings!$E$50="",$B68,DATE(YEAR($A68),MONTH($A68),MIN(Settings!$E$50,DAY($B68))))&gt;=MAX($A68,Settings!$F$50),IF(Settings!$E$50="",$B68,DATE(YEAR($A68),MONTH($A68),MIN(Settings!$E$50,DAY($B68))))&lt;=MIN(Settings!$B$5,IF(Settings!$G$50="",Settings!$B$5,Settings!$G$50))),1,0)))))</f>
        <v/>
      </c>
      <c r="EZ68">
        <f>IF($E68&lt;&gt;"open",0,IF(AND('Month-End'!$BM$28&lt;&gt;"",NOT(_xlfn.ISFORMULA('Month-End'!$BM$28))),0,IF(OR(Settings!$C$51="",Settings!$D$51=""),0,Settings!$C$51*IF(Settings!$D$51="Weekly",IF(IFERROR(MATCH(Settings!$E$51,$EO$4:$EO$10,0),0)=0,0,IF(MIN(Settings!$B$5,IF(Settings!$G$51="",Settings!$B$5,Settings!$G$51))&lt;MAX($A68,Settings!$F$51),0,INT((MIN(Settings!$B$5,IF(Settings!$G$51="",Settings!$B$5,Settings!$G$51))-MAX($A68,Settings!$F$51)-MOD(IFERROR(MATCH(Settings!$E$51,$EO$4:$EO$10,0),0)-WEEKDAY(MAX($A68,Settings!$F$51)),7))/7)+1)),IF(AND(IF(Settings!$E$51="",$B68,DATE(YEAR($A68),MONTH($A68),MIN(Settings!$E$51,DAY($B68))))&gt;=MAX($A68,Settings!$F$51),IF(Settings!$E$51="",$B68,DATE(YEAR($A68),MONTH($A68),MIN(Settings!$E$51,DAY($B68))))&lt;=MIN(Settings!$B$5,IF(Settings!$G$51="",Settings!$B$5,Settings!$G$51))),1,0)))))</f>
        <v/>
      </c>
      <c r="FA68">
        <f>IF($E68&lt;&gt;"open",0,IF(AND('Month-End'!$BM$29&lt;&gt;"",NOT(_xlfn.ISFORMULA('Month-End'!$BM$29))),0,IF(OR(Settings!$C$52="",Settings!$D$52=""),0,Settings!$C$52*IF(Settings!$D$52="Weekly",IF(IFERROR(MATCH(Settings!$E$52,$EO$4:$EO$10,0),0)=0,0,IF(MIN(Settings!$B$5,IF(Settings!$G$52="",Settings!$B$5,Settings!$G$52))&lt;MAX($A68,Settings!$F$52),0,INT((MIN(Settings!$B$5,IF(Settings!$G$52="",Settings!$B$5,Settings!$G$52))-MAX($A68,Settings!$F$52)-MOD(IFERROR(MATCH(Settings!$E$52,$EO$4:$EO$10,0),0)-WEEKDAY(MAX($A68,Settings!$F$52)),7))/7)+1)),IF(AND(IF(Settings!$E$52="",$B68,DATE(YEAR($A68),MONTH($A68),MIN(Settings!$E$52,DAY($B68))))&gt;=MAX($A68,Settings!$F$52),IF(Settings!$E$52="",$B68,DATE(YEAR($A68),MONTH($A68),MIN(Settings!$E$52,DAY($B68))))&lt;=MIN(Settings!$B$5,IF(Settings!$G$52="",Settings!$B$5,Settings!$G$52))),1,0)))))</f>
        <v/>
      </c>
      <c r="FB68">
        <f>IF($E68&lt;&gt;"open",0,IF(AND('Month-End'!$BM$30&lt;&gt;"",NOT(_xlfn.ISFORMULA('Month-End'!$BM$30))),0,IF(OR(Settings!$C$53="",Settings!$D$53=""),0,Settings!$C$53*IF(Settings!$D$53="Weekly",IF(IFERROR(MATCH(Settings!$E$53,$EO$4:$EO$10,0),0)=0,0,IF(MIN(Settings!$B$5,IF(Settings!$G$53="",Settings!$B$5,Settings!$G$53))&lt;MAX($A68,Settings!$F$53),0,INT((MIN(Settings!$B$5,IF(Settings!$G$53="",Settings!$B$5,Settings!$G$53))-MAX($A68,Settings!$F$53)-MOD(IFERROR(MATCH(Settings!$E$53,$EO$4:$EO$10,0),0)-WEEKDAY(MAX($A68,Settings!$F$53)),7))/7)+1)),IF(AND(IF(Settings!$E$53="",$B68,DATE(YEAR($A68),MONTH($A68),MIN(Settings!$E$53,DAY($B68))))&gt;=MAX($A68,Settings!$F$53),IF(Settings!$E$53="",$B68,DATE(YEAR($A68),MONTH($A68),MIN(Settings!$E$53,DAY($B68))))&lt;=MIN(Settings!$B$5,IF(Settings!$G$53="",Settings!$B$5,Settings!$G$53))),1,0)))))</f>
        <v/>
      </c>
      <c r="FC68">
        <f>IF($E68&lt;&gt;"open",0,IF(AND('Month-End'!$BM$31&lt;&gt;"",NOT(_xlfn.ISFORMULA('Month-End'!$BM$31))),0,IF(OR(Settings!$C$54="",Settings!$D$54=""),0,Settings!$C$54*IF(Settings!$D$54="Weekly",IF(IFERROR(MATCH(Settings!$E$54,$EO$4:$EO$10,0),0)=0,0,IF(MIN(Settings!$B$5,IF(Settings!$G$54="",Settings!$B$5,Settings!$G$54))&lt;MAX($A68,Settings!$F$54),0,INT((MIN(Settings!$B$5,IF(Settings!$G$54="",Settings!$B$5,Settings!$G$54))-MAX($A68,Settings!$F$54)-MOD(IFERROR(MATCH(Settings!$E$54,$EO$4:$EO$10,0),0)-WEEKDAY(MAX($A68,Settings!$F$54)),7))/7)+1)),IF(AND(IF(Settings!$E$54="",$B68,DATE(YEAR($A68),MONTH($A68),MIN(Settings!$E$54,DAY($B68))))&gt;=MAX($A68,Settings!$F$54),IF(Settings!$E$54="",$B68,DATE(YEAR($A68),MONTH($A68),MIN(Settings!$E$54,DAY($B68))))&lt;=MIN(Settings!$B$5,IF(Settings!$G$54="",Settings!$B$5,Settings!$G$54))),1,0)))))</f>
        <v/>
      </c>
      <c r="FD68">
        <f>IF($E68&lt;&gt;"open",0,IF(AND('Month-End'!$BM$32&lt;&gt;"",NOT(_xlfn.ISFORMULA('Month-End'!$BM$32))),0,IF(OR(Settings!$C$55="",Settings!$D$55=""),0,Settings!$C$55*IF(Settings!$D$55="Weekly",IF(IFERROR(MATCH(Settings!$E$55,$EO$4:$EO$10,0),0)=0,0,IF(MIN(Settings!$B$5,IF(Settings!$G$55="",Settings!$B$5,Settings!$G$55))&lt;MAX($A68,Settings!$F$55),0,INT((MIN(Settings!$B$5,IF(Settings!$G$55="",Settings!$B$5,Settings!$G$55))-MAX($A68,Settings!$F$55)-MOD(IFERROR(MATCH(Settings!$E$55,$EO$4:$EO$10,0),0)-WEEKDAY(MAX($A68,Settings!$F$55)),7))/7)+1)),IF(AND(IF(Settings!$E$55="",$B68,DATE(YEAR($A68),MONTH($A68),MIN(Settings!$E$55,DAY($B68))))&gt;=MAX($A68,Settings!$F$55),IF(Settings!$E$55="",$B68,DATE(YEAR($A68),MONTH($A68),MIN(Settings!$E$55,DAY($B68))))&lt;=MIN(Settings!$B$5,IF(Settings!$G$55="",Settings!$B$5,Settings!$G$55))),1,0)))))</f>
        <v/>
      </c>
      <c r="FE68">
        <f>IF($E68&lt;&gt;"open",0,IF(AND('Month-End'!$BM$33&lt;&gt;"",NOT(_xlfn.ISFORMULA('Month-End'!$BM$33))),0,IF(OR(Settings!$C$56="",Settings!$D$56=""),0,Settings!$C$56*IF(Settings!$D$56="Weekly",IF(IFERROR(MATCH(Settings!$E$56,$EO$4:$EO$10,0),0)=0,0,IF(MIN(Settings!$B$5,IF(Settings!$G$56="",Settings!$B$5,Settings!$G$56))&lt;MAX($A68,Settings!$F$56),0,INT((MIN(Settings!$B$5,IF(Settings!$G$56="",Settings!$B$5,Settings!$G$56))-MAX($A68,Settings!$F$56)-MOD(IFERROR(MATCH(Settings!$E$56,$EO$4:$EO$10,0),0)-WEEKDAY(MAX($A68,Settings!$F$56)),7))/7)+1)),IF(AND(IF(Settings!$E$56="",$B68,DATE(YEAR($A68),MONTH($A68),MIN(Settings!$E$56,DAY($B68))))&gt;=MAX($A68,Settings!$F$56),IF(Settings!$E$56="",$B68,DATE(YEAR($A68),MONTH($A68),MIN(Settings!$E$56,DAY($B68))))&lt;=MIN(Settings!$B$5,IF(Settings!$G$56="",Settings!$B$5,Settings!$G$56))),1,0)))))</f>
        <v/>
      </c>
      <c r="FF68">
        <f>IF(Settings!$I$45="Yes",$G68,0)+IF(Settings!$I$46="Yes",$H68,0)+IF(Settings!$I$47="Yes",$I68,0)+IF(Settings!$I$48="Yes",$J68,0)+IF(Settings!$I$49="Yes",$K68,0)+IF(Settings!$I$50="Yes",$L68,0)+IF(Settings!$I$51="Yes",$M68,0)+IF(Settings!$I$52="Yes",$N68,0)+IF(Settings!$I$53="Yes",$O68,0)+IF(Settings!$I$54="Yes",$P68,0)+IF(Settings!$I$55="Yes",$Q68,0)+IF(Settings!$I$56="Yes",$R68,0)</f>
        <v/>
      </c>
      <c r="FG68">
        <f>IF(AND(Settings!$I$45="Yes",Settings!$J$45="No"),$G68,0)+IF(AND(Settings!$I$46="Yes",Settings!$J$46="No"),$H68,0)+IF(AND(Settings!$I$47="Yes",Settings!$J$47="No"),$I68,0)+IF(AND(Settings!$I$48="Yes",Settings!$J$48="No"),$J68,0)+IF(AND(Settings!$I$49="Yes",Settings!$J$49="No"),$K68,0)+IF(AND(Settings!$I$50="Yes",Settings!$J$50="No"),$L68,0)+IF(AND(Settings!$I$51="Yes",Settings!$J$51="No"),$M68,0)+IF(AND(Settings!$I$52="Yes",Settings!$J$52="No"),$N68,0)+IF(AND(Settings!$I$53="Yes",Settings!$J$53="No"),$O68,0)+IF(AND(Settings!$I$54="Yes",Settings!$J$54="No"),$P68,0)+IF(AND(Settings!$I$55="Yes",Settings!$J$55="No"),$Q68,0)+IF(AND(Settings!$I$56="Yes",Settings!$J$56="No"),$R68,0)</f>
        <v/>
      </c>
      <c r="FH68">
        <f>SUMIFS(Giving!$B$7:$B$2006,Giving!$A$7:$A$2006,"&gt;="&amp;$A68,Giving!$A$7:$A$2006,"&lt;="&amp;$B68,Giving!$G$7:$G$2006,"Yes")+IF(OR(OR(Settings!$B$60="",Settings!$F$60="No"),Settings!$H$60&lt;&gt;"Yes"),0,Settings!$B$60*IF(AND(IF(Settings!$C$60="",$B68,DATE(YEAR($A68),MONTH($A68),MIN(Settings!$C$60,DAY($B68))))&gt;=MAX($A68,Settings!$D$60),IF(Settings!$C$60="",$B68,DATE(YEAR($A68),MONTH($A68),MIN(Settings!$C$60,DAY($B68))))&lt;=MIN($C68,IF(Settings!$E$60="",$C68,Settings!$E$60))),1,0))+IF(OR(OR(Settings!$B$61="",Settings!$F$61="No"),Settings!$H$61&lt;&gt;"Yes"),0,Settings!$B$61*IF(AND(IF(Settings!$C$61="",$B68,DATE(YEAR($A68),MONTH($A68),MIN(Settings!$C$61,DAY($B68))))&gt;=MAX($A68,Settings!$D$61),IF(Settings!$C$61="",$B68,DATE(YEAR($A68),MONTH($A68),MIN(Settings!$C$61,DAY($B68))))&lt;=MIN($C68,IF(Settings!$E$61="",$C68,Settings!$E$61))),1,0))+IF(OR(OR(Settings!$B$62="",Settings!$F$62="No"),Settings!$H$62&lt;&gt;"Yes"),0,Settings!$B$62*IF(AND(IF(Settings!$C$62="",$B68,DATE(YEAR($A68),MONTH($A68),MIN(Settings!$C$62,DAY($B68))))&gt;=MAX($A68,Settings!$D$62),IF(Settings!$C$62="",$B68,DATE(YEAR($A68),MONTH($A68),MIN(Settings!$C$62,DAY($B68))))&lt;=MIN($C68,IF(Settings!$E$62="",$C68,Settings!$E$62))),1,0))+IF(OR(OR(Settings!$B$63="",Settings!$F$63="No"),Settings!$H$63&lt;&gt;"Yes"),0,Settings!$B$63*IF(AND(IF(Settings!$C$63="",$B68,DATE(YEAR($A68),MONTH($A68),MIN(Settings!$C$63,DAY($B68))))&gt;=MAX($A68,Settings!$D$63),IF(Settings!$C$63="",$B68,DATE(YEAR($A68),MONTH($A68),MIN(Settings!$C$63,DAY($B68))))&lt;=MIN($C68,IF(Settings!$E$63="",$C68,Settings!$E$63))),1,0))+IF(OR(OR(Settings!$B$64="",Settings!$F$64="No"),Settings!$H$64&lt;&gt;"Yes"),0,Settings!$B$64*IF(AND(IF(Settings!$C$64="",$B68,DATE(YEAR($A68),MONTH($A68),MIN(Settings!$C$64,DAY($B68))))&gt;=MAX($A68,Settings!$D$64),IF(Settings!$C$64="",$B68,DATE(YEAR($A68),MONTH($A68),MIN(Settings!$C$64,DAY($B68))))&lt;=MIN($C68,IF(Settings!$E$64="",$C68,Settings!$E$64))),1,0))+IF(OR(OR(Settings!$B$65="",Settings!$F$65="No"),Settings!$H$65&lt;&gt;"Yes"),0,Settings!$B$65*IF(AND(IF(Settings!$C$65="",$B68,DATE(YEAR($A68),MONTH($A68),MIN(Settings!$C$65,DAY($B68))))&gt;=MAX($A68,Settings!$D$65),IF(Settings!$C$65="",$B68,DATE(YEAR($A68),MONTH($A68),MIN(Settings!$C$65,DAY($B68))))&lt;=MIN($C68,IF(Settings!$E$65="",$C68,Settings!$E$65))),1,0))</f>
        <v/>
      </c>
      <c r="FI68">
        <f>IF($DT68=1,IF(OR(Settings!$B$19="Card",Settings!$B$19="Loan"),N($AE68),0)+IF(OR(Settings!$B$20="Card",Settings!$B$20="Loan"),N($AF68),0)+IF(OR(Settings!$B$21="Card",Settings!$B$21="Loan"),N($AG68),0)+IF(OR(Settings!$B$22="Card",Settings!$B$22="Loan"),N($AH68),0)+IF(OR(Settings!$B$23="Card",Settings!$B$23="Loan"),N($AI68),0)+IF(OR(Settings!$B$24="Card",Settings!$B$24="Loan"),N($AJ68),0)+IF(OR(Settings!$B$25="Card",Settings!$B$25="Loan"),N($AK68),0)+IF(OR(Settings!$B$26="Card",Settings!$B$26="Loan"),N($AL68),0)+IF(OR(Settings!$B$27="Card",Settings!$B$27="Loan"),N($AM68),0)+IF(OR(Settings!$B$28="Card",Settings!$B$28="Loan"),N($AN68),0)+IF(OR(Settings!$B$29="Card",Settings!$B$29="Loan"),N($AO68),0)+IF(OR(Settings!$B$30="Card",Settings!$B$30="Loan"),N($AP68),0)+IF(OR(Settings!$B$31="Card",Settings!$B$31="Loan"),N($AQ68),0)+IF(OR(Settings!$B$32="Card",Settings!$B$32="Loan"),N($AR68),0),"")</f>
        <v/>
      </c>
      <c r="FJ68">
        <f>IF($E68="open",$EB$65,IF($E68="post",IF($E67="pre",$EB$65,$FI67),""))</f>
        <v/>
      </c>
      <c r="FK68">
        <f>IF(AND($DT68=1,$DC68=1),IF(ROUND($FI68-$FJ68,2)&gt;0,1,0),0)</f>
        <v/>
      </c>
      <c r="FL68">
        <f>IF($FK68=1,$FL67+1,0)</f>
        <v/>
      </c>
    </row>
    <row r="69">
      <c r="A69">
        <f>'Month-End'!$BN$4</f>
        <v/>
      </c>
      <c r="B69">
        <f>EOMONTH($A69,0)</f>
        <v/>
      </c>
      <c r="C69">
        <f>MIN($B69,TODAY())</f>
        <v/>
      </c>
      <c r="D69">
        <f>IF($A69&gt;TODAY(),1,0)</f>
        <v/>
      </c>
      <c r="E69">
        <f>IF($B69&lt;=Settings!$B$5,"pre",IF($A69&lt;=Settings!$B$5,"open","post"))</f>
        <v/>
      </c>
      <c r="G69">
        <f>IF('Month-End'!$BN$22="",$BE69,N('Month-End'!$BN$22))</f>
        <v/>
      </c>
      <c r="H69">
        <f>IF('Month-End'!$BN$23="",$BF69,N('Month-End'!$BN$23))</f>
        <v/>
      </c>
      <c r="I69">
        <f>IF('Month-End'!$BN$24="",$BG69,N('Month-End'!$BN$24))</f>
        <v/>
      </c>
      <c r="J69">
        <f>IF('Month-End'!$BN$25="",$BH69,N('Month-End'!$BN$25))</f>
        <v/>
      </c>
      <c r="K69">
        <f>IF('Month-End'!$BN$26="",$BI69,N('Month-End'!$BN$26))</f>
        <v/>
      </c>
      <c r="L69">
        <f>IF('Month-End'!$BN$27="",$BJ69,N('Month-End'!$BN$27))</f>
        <v/>
      </c>
      <c r="M69">
        <f>IF('Month-End'!$BN$28="",$BK69,N('Month-End'!$BN$28))</f>
        <v/>
      </c>
      <c r="N69">
        <f>IF('Month-End'!$BN$29="",$BL69,N('Month-End'!$BN$29))</f>
        <v/>
      </c>
      <c r="O69">
        <f>IF('Month-End'!$BN$30="",$BM69,N('Month-End'!$BN$30))</f>
        <v/>
      </c>
      <c r="P69">
        <f>IF('Month-End'!$BN$31="",$BN69,N('Month-End'!$BN$31))</f>
        <v/>
      </c>
      <c r="Q69">
        <f>IF('Month-End'!$BN$32="",$BO69,N('Month-End'!$BN$32))</f>
        <v/>
      </c>
      <c r="R69">
        <f>IF('Month-End'!$BN$33="",$BP69,N('Month-End'!$BN$33))</f>
        <v/>
      </c>
      <c r="S69">
        <f>$G69+$H69+$I69+$J69+$K69+$L69+$M69+$N69+$O69+$P69+$Q69+$R69</f>
        <v/>
      </c>
      <c r="T69">
        <f>IF($B69&lt;Settings!$B$6,0,IF(Settings!$B$45="Yes",$G69,0)+IF(Settings!$B$46="Yes",$H69,0)+IF(Settings!$B$47="Yes",$I69,0)+IF(Settings!$B$48="Yes",$J69,0)+IF(Settings!$B$49="Yes",$K69,0)+IF(Settings!$B$50="Yes",$L69,0)+IF(Settings!$B$51="Yes",$M69,0)+IF(Settings!$B$52="Yes",$N69,0)+IF(Settings!$B$53="Yes",$O69,0)+IF(Settings!$B$54="Yes",$P69,0)+IF(Settings!$B$55="Yes",$Q69,0)+IF(Settings!$B$56="Yes",$R69,0))</f>
        <v/>
      </c>
      <c r="U69">
        <f>IF(Settings!$B$45="Not Sure",$G69,0)+IF(Settings!$B$46="Not Sure",$H69,0)+IF(Settings!$B$47="Not Sure",$I69,0)+IF(Settings!$B$48="Not Sure",$J69,0)+IF(Settings!$B$49="Not Sure",$K69,0)+IF(Settings!$B$50="Not Sure",$L69,0)+IF(Settings!$B$51="Not Sure",$M69,0)+IF(Settings!$B$52="Not Sure",$N69,0)+IF(Settings!$B$53="Not Sure",$O69,0)+IF(Settings!$B$54="Not Sure",$P69,0)+IF(Settings!$B$55="Not Sure",$Q69,0)+IF(Settings!$B$56="Not Sure",$R69,0)</f>
        <v/>
      </c>
      <c r="V69">
        <f>IF($E69="open",SUM($ET69:$FE69)+N(Settings!$B$13),0)</f>
        <v/>
      </c>
      <c r="W69">
        <f>IF($E69="post",$S69,IF($E69="open",$S69-$V69,0))</f>
        <v/>
      </c>
      <c r="X69">
        <f>SUMIFS(Giving!$B$7:$B$2006,Giving!$A$7:$A$2006,"&gt;="&amp;$A69,Giving!$A$7:$A$2006,"&lt;="&amp;$B69,Giving!$E$7:$E$2006,"&lt;&gt;No")</f>
        <v/>
      </c>
      <c r="Y69">
        <f>SUMIFS(Giving!$B$7:$B$2006,Giving!$A$7:$A$2006,"&gt;="&amp;$A69,Giving!$A$7:$A$2006,"&lt;="&amp;$B69,Giving!$E$7:$E$2006,"No")</f>
        <v/>
      </c>
      <c r="Z69">
        <f>IF(OR(Settings!$B$60="",Settings!$F$60="No"),0,Settings!$B$60*IF(AND(IF(Settings!$C$60="",$B69,DATE(YEAR($A69),MONTH($A69),MIN(Settings!$C$60,DAY($B69))))&gt;=MAX($A69,Settings!$D$60),IF(Settings!$C$60="",$B69,DATE(YEAR($A69),MONTH($A69),MIN(Settings!$C$60,DAY($B69))))&lt;=MIN($C69,IF(Settings!$E$60="",$C69,Settings!$E$60))),1,0))+IF(OR(Settings!$B$61="",Settings!$F$61="No"),0,Settings!$B$61*IF(AND(IF(Settings!$C$61="",$B69,DATE(YEAR($A69),MONTH($A69),MIN(Settings!$C$61,DAY($B69))))&gt;=MAX($A69,Settings!$D$61),IF(Settings!$C$61="",$B69,DATE(YEAR($A69),MONTH($A69),MIN(Settings!$C$61,DAY($B69))))&lt;=MIN($C69,IF(Settings!$E$61="",$C69,Settings!$E$61))),1,0))+IF(OR(Settings!$B$62="",Settings!$F$62="No"),0,Settings!$B$62*IF(AND(IF(Settings!$C$62="",$B69,DATE(YEAR($A69),MONTH($A69),MIN(Settings!$C$62,DAY($B69))))&gt;=MAX($A69,Settings!$D$62),IF(Settings!$C$62="",$B69,DATE(YEAR($A69),MONTH($A69),MIN(Settings!$C$62,DAY($B69))))&lt;=MIN($C69,IF(Settings!$E$62="",$C69,Settings!$E$62))),1,0))+IF(OR(Settings!$B$63="",Settings!$F$63="No"),0,Settings!$B$63*IF(AND(IF(Settings!$C$63="",$B69,DATE(YEAR($A69),MONTH($A69),MIN(Settings!$C$63,DAY($B69))))&gt;=MAX($A69,Settings!$D$63),IF(Settings!$C$63="",$B69,DATE(YEAR($A69),MONTH($A69),MIN(Settings!$C$63,DAY($B69))))&lt;=MIN($C69,IF(Settings!$E$63="",$C69,Settings!$E$63))),1,0))+IF(OR(Settings!$B$64="",Settings!$F$64="No"),0,Settings!$B$64*IF(AND(IF(Settings!$C$64="",$B69,DATE(YEAR($A69),MONTH($A69),MIN(Settings!$C$64,DAY($B69))))&gt;=MAX($A69,Settings!$D$64),IF(Settings!$C$64="",$B69,DATE(YEAR($A69),MONTH($A69),MIN(Settings!$C$64,DAY($B69))))&lt;=MIN($C69,IF(Settings!$E$64="",$C69,Settings!$E$64))),1,0))+IF(OR(Settings!$B$65="",Settings!$F$65="No"),0,Settings!$B$65*IF(AND(IF(Settings!$C$65="",$B69,DATE(YEAR($A69),MONTH($A69),MIN(Settings!$C$65,DAY($B69))))&gt;=MAX($A69,Settings!$D$65),IF(Settings!$C$65="",$B69,DATE(YEAR($A69),MONTH($A69),MIN(Settings!$C$65,DAY($B69))))&lt;=MIN($C69,IF(Settings!$E$65="",$C69,Settings!$E$65))),1,0))</f>
        <v/>
      </c>
      <c r="AA69">
        <f>$X69+$Z69</f>
        <v/>
      </c>
      <c r="AB69">
        <f>IF($E69="post",$AA69,IF($E69="open",SUMIFS(Giving!$B$7:$B$2006,Giving!$A$7:$A$2006,"&gt;"&amp;Settings!$B$5,Giving!$A$7:$A$2006,"&lt;="&amp;$B69,Giving!$E$7:$E$2006,"&lt;&gt;No")+IF(OR(Settings!$B$60="",Settings!$F$60="No"),0,Settings!$B$60*IF(AND(IF(Settings!$C$60="",$B69,DATE(YEAR($A69),MONTH($A69),MIN(Settings!$C$60,DAY($B69))))&gt;=MAX($A69,Settings!$D$60,Settings!$B$5+1),IF(Settings!$C$60="",$B69,DATE(YEAR($A69),MONTH($A69),MIN(Settings!$C$60,DAY($B69))))&lt;=MIN($C69,IF(Settings!$E$60="",$C69,Settings!$E$60))),1,0))+IF(OR(Settings!$B$61="",Settings!$F$61="No"),0,Settings!$B$61*IF(AND(IF(Settings!$C$61="",$B69,DATE(YEAR($A69),MONTH($A69),MIN(Settings!$C$61,DAY($B69))))&gt;=MAX($A69,Settings!$D$61,Settings!$B$5+1),IF(Settings!$C$61="",$B69,DATE(YEAR($A69),MONTH($A69),MIN(Settings!$C$61,DAY($B69))))&lt;=MIN($C69,IF(Settings!$E$61="",$C69,Settings!$E$61))),1,0))+IF(OR(Settings!$B$62="",Settings!$F$62="No"),0,Settings!$B$62*IF(AND(IF(Settings!$C$62="",$B69,DATE(YEAR($A69),MONTH($A69),MIN(Settings!$C$62,DAY($B69))))&gt;=MAX($A69,Settings!$D$62,Settings!$B$5+1),IF(Settings!$C$62="",$B69,DATE(YEAR($A69),MONTH($A69),MIN(Settings!$C$62,DAY($B69))))&lt;=MIN($C69,IF(Settings!$E$62="",$C69,Settings!$E$62))),1,0))+IF(OR(Settings!$B$63="",Settings!$F$63="No"),0,Settings!$B$63*IF(AND(IF(Settings!$C$63="",$B69,DATE(YEAR($A69),MONTH($A69),MIN(Settings!$C$63,DAY($B69))))&gt;=MAX($A69,Settings!$D$63,Settings!$B$5+1),IF(Settings!$C$63="",$B69,DATE(YEAR($A69),MONTH($A69),MIN(Settings!$C$63,DAY($B69))))&lt;=MIN($C69,IF(Settings!$E$63="",$C69,Settings!$E$63))),1,0))+IF(OR(Settings!$B$64="",Settings!$F$64="No"),0,Settings!$B$64*IF(AND(IF(Settings!$C$64="",$B69,DATE(YEAR($A69),MONTH($A69),MIN(Settings!$C$64,DAY($B69))))&gt;=MAX($A69,Settings!$D$64,Settings!$B$5+1),IF(Settings!$C$64="",$B69,DATE(YEAR($A69),MONTH($A69),MIN(Settings!$C$64,DAY($B69))))&lt;=MIN($C69,IF(Settings!$E$64="",$C69,Settings!$E$64))),1,0))+IF(OR(Settings!$B$65="",Settings!$F$65="No"),0,Settings!$B$65*IF(AND(IF(Settings!$C$65="",$B69,DATE(YEAR($A69),MONTH($A69),MIN(Settings!$C$65,DAY($B69))))&gt;=MAX($A69,Settings!$D$65,Settings!$B$5+1),IF(Settings!$C$65="",$B69,DATE(YEAR($A69),MONTH($A69),MIN(Settings!$C$65,DAY($B69))))&lt;=MIN($C69,IF(Settings!$E$65="",$C69,Settings!$E$65))),1,0)),0))</f>
        <v/>
      </c>
      <c r="AC69">
        <f>$AY69+$AZ69+$BA69+$BB69+$BC69+$BD69</f>
        <v/>
      </c>
      <c r="AD69">
        <f>$AC69</f>
        <v/>
      </c>
      <c r="AE69">
        <f>IF(OR(Settings!$A$19="",$E69="pre"),"",IF(AND('Month-End'!$BN$7&lt;&gt;"",NOT(_xlfn.ISFORMULA('Month-End'!$BN$7))),N('Month-End'!$BN$7),IF(OR($E69="open",$E68="pre"),N(Settings!$C$19),N($AE68))))</f>
        <v/>
      </c>
      <c r="AF69">
        <f>IF(OR(Settings!$A$20="",$E69="pre"),"",IF(AND('Month-End'!$BN$8&lt;&gt;"",NOT(_xlfn.ISFORMULA('Month-End'!$BN$8))),N('Month-End'!$BN$8),IF(OR($E69="open",$E68="pre"),N(Settings!$C$20),N($AF68))))</f>
        <v/>
      </c>
      <c r="AG69">
        <f>IF(OR(Settings!$A$21="",$E69="pre"),"",IF(AND('Month-End'!$BN$9&lt;&gt;"",NOT(_xlfn.ISFORMULA('Month-End'!$BN$9))),N('Month-End'!$BN$9),IF(OR($E69="open",$E68="pre"),N(Settings!$C$21),N($AG68))))</f>
        <v/>
      </c>
      <c r="AH69">
        <f>IF(OR(Settings!$A$22="",$E69="pre"),"",IF(AND('Month-End'!$BN$10&lt;&gt;"",NOT(_xlfn.ISFORMULA('Month-End'!$BN$10))),N('Month-End'!$BN$10),IF(OR($E69="open",$E68="pre"),N(Settings!$C$22),N($AH68))))</f>
        <v/>
      </c>
      <c r="AI69">
        <f>IF(OR(Settings!$A$23="",$E69="pre"),"",IF(AND('Month-End'!$BN$11&lt;&gt;"",NOT(_xlfn.ISFORMULA('Month-End'!$BN$11))),N('Month-End'!$BN$11),IF(OR($E69="open",$E68="pre"),N(Settings!$C$23),N($AI68))))</f>
        <v/>
      </c>
      <c r="AJ69">
        <f>IF(OR(Settings!$A$24="",$E69="pre"),"",IF(AND('Month-End'!$BN$12&lt;&gt;"",NOT(_xlfn.ISFORMULA('Month-End'!$BN$12))),N('Month-End'!$BN$12),IF(OR($E69="open",$E68="pre"),N(Settings!$C$24),N($AJ68))))</f>
        <v/>
      </c>
      <c r="AK69">
        <f>IF(OR(Settings!$A$25="",$E69="pre"),"",IF(AND('Month-End'!$BN$13&lt;&gt;"",NOT(_xlfn.ISFORMULA('Month-End'!$BN$13))),N('Month-End'!$BN$13),IF(OR($E69="open",$E68="pre"),N(Settings!$C$25),N($AK68))))</f>
        <v/>
      </c>
      <c r="AL69">
        <f>IF(OR(Settings!$A$26="",$E69="pre"),"",IF(AND('Month-End'!$BN$14&lt;&gt;"",NOT(_xlfn.ISFORMULA('Month-End'!$BN$14))),N('Month-End'!$BN$14),IF(OR($E69="open",$E68="pre"),N(Settings!$C$26),N($AL68))))</f>
        <v/>
      </c>
      <c r="AM69">
        <f>IF(OR(Settings!$A$27="",$E69="pre"),"",IF(AND('Month-End'!$BN$15&lt;&gt;"",NOT(_xlfn.ISFORMULA('Month-End'!$BN$15))),N('Month-End'!$BN$15),IF(OR($E69="open",$E68="pre"),N(Settings!$C$27),N($AM68))))</f>
        <v/>
      </c>
      <c r="AN69">
        <f>IF(OR(Settings!$A$28="",$E69="pre"),"",IF(AND('Month-End'!$BN$16&lt;&gt;"",NOT(_xlfn.ISFORMULA('Month-End'!$BN$16))),N('Month-End'!$BN$16),IF(OR($E69="open",$E68="pre"),N(Settings!$C$28),N($AN68))))</f>
        <v/>
      </c>
      <c r="AO69">
        <f>IF(OR(Settings!$A$29="",$E69="pre"),"",IF(AND('Month-End'!$BN$17&lt;&gt;"",NOT(_xlfn.ISFORMULA('Month-End'!$BN$17))),N('Month-End'!$BN$17),IF(OR($E69="open",$E68="pre"),N(Settings!$C$29),N($AO68))))</f>
        <v/>
      </c>
      <c r="AP69">
        <f>IF(OR(Settings!$A$30="",$E69="pre"),"",IF(AND('Month-End'!$BN$18&lt;&gt;"",NOT(_xlfn.ISFORMULA('Month-End'!$BN$18))),N('Month-End'!$BN$18),IF(OR($E69="open",$E68="pre"),N(Settings!$C$30),N($AP68))))</f>
        <v/>
      </c>
      <c r="AQ69">
        <f>IF(OR(Settings!$A$31="",$E69="pre"),"",IF(AND('Month-End'!$BN$19&lt;&gt;"",NOT(_xlfn.ISFORMULA('Month-End'!$BN$19))),N('Month-End'!$BN$19),IF(OR($E69="open",$E68="pre"),N(Settings!$C$31),N($AQ68))))</f>
        <v/>
      </c>
      <c r="AR69">
        <f>IF(OR(Settings!$A$32="",$E69="pre"),"",IF(AND('Month-End'!$BN$20&lt;&gt;"",NOT(_xlfn.ISFORMULA('Month-End'!$BN$20))),N('Month-End'!$BN$20),IF(OR($E69="open",$E68="pre"),N(Settings!$C$32),N($AR68))))</f>
        <v/>
      </c>
      <c r="AS69">
        <f>IF(OR(Settings!$A$36="",$E69="pre"),"",IF(AND('Month-End'!$BN$38&lt;&gt;"",NOT(_xlfn.ISFORMULA('Month-End'!$BN$38))),N('Month-End'!$BN$38),IF(OR($E69="open",$E68="pre"),N(Settings!$C$36),N($AS68))+$AY69))</f>
        <v/>
      </c>
      <c r="AT69">
        <f>IF(OR(Settings!$A$37="",$E69="pre"),"",IF(AND('Month-End'!$BN$39&lt;&gt;"",NOT(_xlfn.ISFORMULA('Month-End'!$BN$39))),N('Month-End'!$BN$39),IF(OR($E69="open",$E68="pre"),N(Settings!$C$37),N($AT68))+$AZ69))</f>
        <v/>
      </c>
      <c r="AU69">
        <f>IF(OR(Settings!$A$38="",$E69="pre"),"",IF(AND('Month-End'!$BN$40&lt;&gt;"",NOT(_xlfn.ISFORMULA('Month-End'!$BN$40))),N('Month-End'!$BN$40),IF(OR($E69="open",$E68="pre"),N(Settings!$C$38),N($AU68))+$BA69))</f>
        <v/>
      </c>
      <c r="AV69">
        <f>IF(OR(Settings!$A$39="",$E69="pre"),"",IF(AND('Month-End'!$BN$41&lt;&gt;"",NOT(_xlfn.ISFORMULA('Month-End'!$BN$41))),N('Month-End'!$BN$41),IF(OR($E69="open",$E68="pre"),N(Settings!$C$39),N($AV68))+$BB69))</f>
        <v/>
      </c>
      <c r="AW69">
        <f>IF(OR(Settings!$A$40="",$E69="pre"),"",IF(AND('Month-End'!$BN$42&lt;&gt;"",NOT(_xlfn.ISFORMULA('Month-End'!$BN$42))),N('Month-End'!$BN$42),IF(OR($E69="open",$E68="pre"),N(Settings!$C$40),N($AW68))+$BC69))</f>
        <v/>
      </c>
      <c r="AX69">
        <f>IF(OR(Settings!$A$41="",$E69="pre"),"",IF(AND('Month-End'!$BN$43&lt;&gt;"",NOT(_xlfn.ISFORMULA('Month-End'!$BN$43))),N('Month-End'!$BN$43),IF(OR($E69="open",$E68="pre"),N(Settings!$C$41),N($AX68))+$BD69))</f>
        <v/>
      </c>
      <c r="AY69">
        <f>IF($E69="pre",0,N('Month-End'!$BN$45))</f>
        <v/>
      </c>
      <c r="AZ69">
        <f>IF($E69="pre",0,N('Month-End'!$BN$46))</f>
        <v/>
      </c>
      <c r="BA69">
        <f>IF($E69="pre",0,N('Month-End'!$BN$47))</f>
        <v/>
      </c>
      <c r="BB69">
        <f>IF($E69="pre",0,N('Month-End'!$BN$48))</f>
        <v/>
      </c>
      <c r="BC69">
        <f>IF($E69="pre",0,N('Month-End'!$BN$49))</f>
        <v/>
      </c>
      <c r="BD69">
        <f>IF($E69="pre",0,N('Month-End'!$BN$50))</f>
        <v/>
      </c>
      <c r="BE69">
        <f>IF(OR(Settings!$C$45="",Settings!$D$45=""),0,Settings!$C$45*IF(Settings!$D$45="Weekly",IF(IFERROR(MATCH(Settings!$E$45,$EO$4:$EO$10,0),0)=0,0,IF(MIN($C69,IF(Settings!$G$45="",$C69,Settings!$G$45))&lt;MAX($A69,Settings!$F$45),0,INT((MIN($C69,IF(Settings!$G$45="",$C69,Settings!$G$45))-MAX($A69,Settings!$F$45)-MOD(IFERROR(MATCH(Settings!$E$45,$EO$4:$EO$10,0),0)-WEEKDAY(MAX($A69,Settings!$F$45)),7))/7)+1)),IF(AND(IF(Settings!$E$45="",$B69,DATE(YEAR($A69),MONTH($A69),MIN(Settings!$E$45,DAY($B69))))&gt;=MAX($A69,Settings!$F$45),IF(Settings!$E$45="",$B69,DATE(YEAR($A69),MONTH($A69),MIN(Settings!$E$45,DAY($B69))))&lt;=MIN($C69,IF(Settings!$G$45="",$C69,Settings!$G$45))),1,0)))</f>
        <v/>
      </c>
      <c r="BF69">
        <f>IF(OR(Settings!$C$46="",Settings!$D$46=""),0,Settings!$C$46*IF(Settings!$D$46="Weekly",IF(IFERROR(MATCH(Settings!$E$46,$EO$4:$EO$10,0),0)=0,0,IF(MIN($C69,IF(Settings!$G$46="",$C69,Settings!$G$46))&lt;MAX($A69,Settings!$F$46),0,INT((MIN($C69,IF(Settings!$G$46="",$C69,Settings!$G$46))-MAX($A69,Settings!$F$46)-MOD(IFERROR(MATCH(Settings!$E$46,$EO$4:$EO$10,0),0)-WEEKDAY(MAX($A69,Settings!$F$46)),7))/7)+1)),IF(AND(IF(Settings!$E$46="",$B69,DATE(YEAR($A69),MONTH($A69),MIN(Settings!$E$46,DAY($B69))))&gt;=MAX($A69,Settings!$F$46),IF(Settings!$E$46="",$B69,DATE(YEAR($A69),MONTH($A69),MIN(Settings!$E$46,DAY($B69))))&lt;=MIN($C69,IF(Settings!$G$46="",$C69,Settings!$G$46))),1,0)))</f>
        <v/>
      </c>
      <c r="BG69">
        <f>IF(OR(Settings!$C$47="",Settings!$D$47=""),0,Settings!$C$47*IF(Settings!$D$47="Weekly",IF(IFERROR(MATCH(Settings!$E$47,$EO$4:$EO$10,0),0)=0,0,IF(MIN($C69,IF(Settings!$G$47="",$C69,Settings!$G$47))&lt;MAX($A69,Settings!$F$47),0,INT((MIN($C69,IF(Settings!$G$47="",$C69,Settings!$G$47))-MAX($A69,Settings!$F$47)-MOD(IFERROR(MATCH(Settings!$E$47,$EO$4:$EO$10,0),0)-WEEKDAY(MAX($A69,Settings!$F$47)),7))/7)+1)),IF(AND(IF(Settings!$E$47="",$B69,DATE(YEAR($A69),MONTH($A69),MIN(Settings!$E$47,DAY($B69))))&gt;=MAX($A69,Settings!$F$47),IF(Settings!$E$47="",$B69,DATE(YEAR($A69),MONTH($A69),MIN(Settings!$E$47,DAY($B69))))&lt;=MIN($C69,IF(Settings!$G$47="",$C69,Settings!$G$47))),1,0)))</f>
        <v/>
      </c>
      <c r="BH69">
        <f>IF(OR(Settings!$C$48="",Settings!$D$48=""),0,Settings!$C$48*IF(Settings!$D$48="Weekly",IF(IFERROR(MATCH(Settings!$E$48,$EO$4:$EO$10,0),0)=0,0,IF(MIN($C69,IF(Settings!$G$48="",$C69,Settings!$G$48))&lt;MAX($A69,Settings!$F$48),0,INT((MIN($C69,IF(Settings!$G$48="",$C69,Settings!$G$48))-MAX($A69,Settings!$F$48)-MOD(IFERROR(MATCH(Settings!$E$48,$EO$4:$EO$10,0),0)-WEEKDAY(MAX($A69,Settings!$F$48)),7))/7)+1)),IF(AND(IF(Settings!$E$48="",$B69,DATE(YEAR($A69),MONTH($A69),MIN(Settings!$E$48,DAY($B69))))&gt;=MAX($A69,Settings!$F$48),IF(Settings!$E$48="",$B69,DATE(YEAR($A69),MONTH($A69),MIN(Settings!$E$48,DAY($B69))))&lt;=MIN($C69,IF(Settings!$G$48="",$C69,Settings!$G$48))),1,0)))</f>
        <v/>
      </c>
      <c r="BI69">
        <f>IF(OR(Settings!$C$49="",Settings!$D$49=""),0,Settings!$C$49*IF(Settings!$D$49="Weekly",IF(IFERROR(MATCH(Settings!$E$49,$EO$4:$EO$10,0),0)=0,0,IF(MIN($C69,IF(Settings!$G$49="",$C69,Settings!$G$49))&lt;MAX($A69,Settings!$F$49),0,INT((MIN($C69,IF(Settings!$G$49="",$C69,Settings!$G$49))-MAX($A69,Settings!$F$49)-MOD(IFERROR(MATCH(Settings!$E$49,$EO$4:$EO$10,0),0)-WEEKDAY(MAX($A69,Settings!$F$49)),7))/7)+1)),IF(AND(IF(Settings!$E$49="",$B69,DATE(YEAR($A69),MONTH($A69),MIN(Settings!$E$49,DAY($B69))))&gt;=MAX($A69,Settings!$F$49),IF(Settings!$E$49="",$B69,DATE(YEAR($A69),MONTH($A69),MIN(Settings!$E$49,DAY($B69))))&lt;=MIN($C69,IF(Settings!$G$49="",$C69,Settings!$G$49))),1,0)))</f>
        <v/>
      </c>
      <c r="BJ69">
        <f>IF(OR(Settings!$C$50="",Settings!$D$50=""),0,Settings!$C$50*IF(Settings!$D$50="Weekly",IF(IFERROR(MATCH(Settings!$E$50,$EO$4:$EO$10,0),0)=0,0,IF(MIN($C69,IF(Settings!$G$50="",$C69,Settings!$G$50))&lt;MAX($A69,Settings!$F$50),0,INT((MIN($C69,IF(Settings!$G$50="",$C69,Settings!$G$50))-MAX($A69,Settings!$F$50)-MOD(IFERROR(MATCH(Settings!$E$50,$EO$4:$EO$10,0),0)-WEEKDAY(MAX($A69,Settings!$F$50)),7))/7)+1)),IF(AND(IF(Settings!$E$50="",$B69,DATE(YEAR($A69),MONTH($A69),MIN(Settings!$E$50,DAY($B69))))&gt;=MAX($A69,Settings!$F$50),IF(Settings!$E$50="",$B69,DATE(YEAR($A69),MONTH($A69),MIN(Settings!$E$50,DAY($B69))))&lt;=MIN($C69,IF(Settings!$G$50="",$C69,Settings!$G$50))),1,0)))</f>
        <v/>
      </c>
      <c r="BK69">
        <f>IF(OR(Settings!$C$51="",Settings!$D$51=""),0,Settings!$C$51*IF(Settings!$D$51="Weekly",IF(IFERROR(MATCH(Settings!$E$51,$EO$4:$EO$10,0),0)=0,0,IF(MIN($C69,IF(Settings!$G$51="",$C69,Settings!$G$51))&lt;MAX($A69,Settings!$F$51),0,INT((MIN($C69,IF(Settings!$G$51="",$C69,Settings!$G$51))-MAX($A69,Settings!$F$51)-MOD(IFERROR(MATCH(Settings!$E$51,$EO$4:$EO$10,0),0)-WEEKDAY(MAX($A69,Settings!$F$51)),7))/7)+1)),IF(AND(IF(Settings!$E$51="",$B69,DATE(YEAR($A69),MONTH($A69),MIN(Settings!$E$51,DAY($B69))))&gt;=MAX($A69,Settings!$F$51),IF(Settings!$E$51="",$B69,DATE(YEAR($A69),MONTH($A69),MIN(Settings!$E$51,DAY($B69))))&lt;=MIN($C69,IF(Settings!$G$51="",$C69,Settings!$G$51))),1,0)))</f>
        <v/>
      </c>
      <c r="BL69">
        <f>IF(OR(Settings!$C$52="",Settings!$D$52=""),0,Settings!$C$52*IF(Settings!$D$52="Weekly",IF(IFERROR(MATCH(Settings!$E$52,$EO$4:$EO$10,0),0)=0,0,IF(MIN($C69,IF(Settings!$G$52="",$C69,Settings!$G$52))&lt;MAX($A69,Settings!$F$52),0,INT((MIN($C69,IF(Settings!$G$52="",$C69,Settings!$G$52))-MAX($A69,Settings!$F$52)-MOD(IFERROR(MATCH(Settings!$E$52,$EO$4:$EO$10,0),0)-WEEKDAY(MAX($A69,Settings!$F$52)),7))/7)+1)),IF(AND(IF(Settings!$E$52="",$B69,DATE(YEAR($A69),MONTH($A69),MIN(Settings!$E$52,DAY($B69))))&gt;=MAX($A69,Settings!$F$52),IF(Settings!$E$52="",$B69,DATE(YEAR($A69),MONTH($A69),MIN(Settings!$E$52,DAY($B69))))&lt;=MIN($C69,IF(Settings!$G$52="",$C69,Settings!$G$52))),1,0)))</f>
        <v/>
      </c>
      <c r="BM69">
        <f>IF(OR(Settings!$C$53="",Settings!$D$53=""),0,Settings!$C$53*IF(Settings!$D$53="Weekly",IF(IFERROR(MATCH(Settings!$E$53,$EO$4:$EO$10,0),0)=0,0,IF(MIN($C69,IF(Settings!$G$53="",$C69,Settings!$G$53))&lt;MAX($A69,Settings!$F$53),0,INT((MIN($C69,IF(Settings!$G$53="",$C69,Settings!$G$53))-MAX($A69,Settings!$F$53)-MOD(IFERROR(MATCH(Settings!$E$53,$EO$4:$EO$10,0),0)-WEEKDAY(MAX($A69,Settings!$F$53)),7))/7)+1)),IF(AND(IF(Settings!$E$53="",$B69,DATE(YEAR($A69),MONTH($A69),MIN(Settings!$E$53,DAY($B69))))&gt;=MAX($A69,Settings!$F$53),IF(Settings!$E$53="",$B69,DATE(YEAR($A69),MONTH($A69),MIN(Settings!$E$53,DAY($B69))))&lt;=MIN($C69,IF(Settings!$G$53="",$C69,Settings!$G$53))),1,0)))</f>
        <v/>
      </c>
      <c r="BN69">
        <f>IF(OR(Settings!$C$54="",Settings!$D$54=""),0,Settings!$C$54*IF(Settings!$D$54="Weekly",IF(IFERROR(MATCH(Settings!$E$54,$EO$4:$EO$10,0),0)=0,0,IF(MIN($C69,IF(Settings!$G$54="",$C69,Settings!$G$54))&lt;MAX($A69,Settings!$F$54),0,INT((MIN($C69,IF(Settings!$G$54="",$C69,Settings!$G$54))-MAX($A69,Settings!$F$54)-MOD(IFERROR(MATCH(Settings!$E$54,$EO$4:$EO$10,0),0)-WEEKDAY(MAX($A69,Settings!$F$54)),7))/7)+1)),IF(AND(IF(Settings!$E$54="",$B69,DATE(YEAR($A69),MONTH($A69),MIN(Settings!$E$54,DAY($B69))))&gt;=MAX($A69,Settings!$F$54),IF(Settings!$E$54="",$B69,DATE(YEAR($A69),MONTH($A69),MIN(Settings!$E$54,DAY($B69))))&lt;=MIN($C69,IF(Settings!$G$54="",$C69,Settings!$G$54))),1,0)))</f>
        <v/>
      </c>
      <c r="BO69">
        <f>IF(OR(Settings!$C$55="",Settings!$D$55=""),0,Settings!$C$55*IF(Settings!$D$55="Weekly",IF(IFERROR(MATCH(Settings!$E$55,$EO$4:$EO$10,0),0)=0,0,IF(MIN($C69,IF(Settings!$G$55="",$C69,Settings!$G$55))&lt;MAX($A69,Settings!$F$55),0,INT((MIN($C69,IF(Settings!$G$55="",$C69,Settings!$G$55))-MAX($A69,Settings!$F$55)-MOD(IFERROR(MATCH(Settings!$E$55,$EO$4:$EO$10,0),0)-WEEKDAY(MAX($A69,Settings!$F$55)),7))/7)+1)),IF(AND(IF(Settings!$E$55="",$B69,DATE(YEAR($A69),MONTH($A69),MIN(Settings!$E$55,DAY($B69))))&gt;=MAX($A69,Settings!$F$55),IF(Settings!$E$55="",$B69,DATE(YEAR($A69),MONTH($A69),MIN(Settings!$E$55,DAY($B69))))&lt;=MIN($C69,IF(Settings!$G$55="",$C69,Settings!$G$55))),1,0)))</f>
        <v/>
      </c>
      <c r="BP69">
        <f>IF(OR(Settings!$C$56="",Settings!$D$56=""),0,Settings!$C$56*IF(Settings!$D$56="Weekly",IF(IFERROR(MATCH(Settings!$E$56,$EO$4:$EO$10,0),0)=0,0,IF(MIN($C69,IF(Settings!$G$56="",$C69,Settings!$G$56))&lt;MAX($A69,Settings!$F$56),0,INT((MIN($C69,IF(Settings!$G$56="",$C69,Settings!$G$56))-MAX($A69,Settings!$F$56)-MOD(IFERROR(MATCH(Settings!$E$56,$EO$4:$EO$10,0),0)-WEEKDAY(MAX($A69,Settings!$F$56)),7))/7)+1)),IF(AND(IF(Settings!$E$56="",$B69,DATE(YEAR($A69),MONTH($A69),MIN(Settings!$E$56,DAY($B69))))&gt;=MAX($A69,Settings!$F$56),IF(Settings!$E$56="",$B69,DATE(YEAR($A69),MONTH($A69),MIN(Settings!$E$56,DAY($B69))))&lt;=MIN($C69,IF(Settings!$G$56="",$C69,Settings!$G$56))),1,0)))</f>
        <v/>
      </c>
      <c r="BQ69">
        <f>IF(OR(Settings!$B$14="",$D69=1,$E69="pre",$A69&lt;IF(Settings!$B$15="",0,Settings!$B$15)),0,Settings!$B$14)</f>
        <v/>
      </c>
      <c r="BR69">
        <f>IF(AND('Month-End'!$BN$7&lt;&gt;"",NOT(_xlfn.ISFORMULA('Month-End'!$BN$7))),1,0)</f>
        <v/>
      </c>
      <c r="BS69">
        <f>IF(AND('Month-End'!$BN$8&lt;&gt;"",NOT(_xlfn.ISFORMULA('Month-End'!$BN$8))),1,0)</f>
        <v/>
      </c>
      <c r="BT69">
        <f>IF(AND('Month-End'!$BN$9&lt;&gt;"",NOT(_xlfn.ISFORMULA('Month-End'!$BN$9))),1,0)</f>
        <v/>
      </c>
      <c r="BU69">
        <f>IF(AND('Month-End'!$BN$10&lt;&gt;"",NOT(_xlfn.ISFORMULA('Month-End'!$BN$10))),1,0)</f>
        <v/>
      </c>
      <c r="BV69">
        <f>IF(AND('Month-End'!$BN$11&lt;&gt;"",NOT(_xlfn.ISFORMULA('Month-End'!$BN$11))),1,0)</f>
        <v/>
      </c>
      <c r="BW69">
        <f>IF(AND('Month-End'!$BN$12&lt;&gt;"",NOT(_xlfn.ISFORMULA('Month-End'!$BN$12))),1,0)</f>
        <v/>
      </c>
      <c r="BX69">
        <f>IF(AND('Month-End'!$BN$13&lt;&gt;"",NOT(_xlfn.ISFORMULA('Month-End'!$BN$13))),1,0)</f>
        <v/>
      </c>
      <c r="BY69">
        <f>IF(AND('Month-End'!$BN$14&lt;&gt;"",NOT(_xlfn.ISFORMULA('Month-End'!$BN$14))),1,0)</f>
        <v/>
      </c>
      <c r="BZ69">
        <f>IF(AND('Month-End'!$BN$15&lt;&gt;"",NOT(_xlfn.ISFORMULA('Month-End'!$BN$15))),1,0)</f>
        <v/>
      </c>
      <c r="CA69">
        <f>IF(AND('Month-End'!$BN$16&lt;&gt;"",NOT(_xlfn.ISFORMULA('Month-End'!$BN$16))),1,0)</f>
        <v/>
      </c>
      <c r="CB69">
        <f>IF(AND('Month-End'!$BN$17&lt;&gt;"",NOT(_xlfn.ISFORMULA('Month-End'!$BN$17))),1,0)</f>
        <v/>
      </c>
      <c r="CC69">
        <f>IF(AND('Month-End'!$BN$18&lt;&gt;"",NOT(_xlfn.ISFORMULA('Month-End'!$BN$18))),1,0)</f>
        <v/>
      </c>
      <c r="CD69">
        <f>IF(AND('Month-End'!$BN$19&lt;&gt;"",NOT(_xlfn.ISFORMULA('Month-End'!$BN$19))),1,0)</f>
        <v/>
      </c>
      <c r="CE69">
        <f>IF(AND('Month-End'!$BN$20&lt;&gt;"",NOT(_xlfn.ISFORMULA('Month-End'!$BN$20))),1,0)</f>
        <v/>
      </c>
      <c r="CF69">
        <f>IF(AND('Month-End'!$BN$38&lt;&gt;"",NOT(_xlfn.ISFORMULA('Month-End'!$BN$38))),1,0)</f>
        <v/>
      </c>
      <c r="CG69">
        <f>IF(AND('Month-End'!$BN$39&lt;&gt;"",NOT(_xlfn.ISFORMULA('Month-End'!$BN$39))),1,0)</f>
        <v/>
      </c>
      <c r="CH69">
        <f>IF(AND('Month-End'!$BN$40&lt;&gt;"",NOT(_xlfn.ISFORMULA('Month-End'!$BN$40))),1,0)</f>
        <v/>
      </c>
      <c r="CI69">
        <f>IF(AND('Month-End'!$BN$41&lt;&gt;"",NOT(_xlfn.ISFORMULA('Month-End'!$BN$41))),1,0)</f>
        <v/>
      </c>
      <c r="CJ69">
        <f>IF(AND('Month-End'!$BN$42&lt;&gt;"",NOT(_xlfn.ISFORMULA('Month-End'!$BN$42))),1,0)</f>
        <v/>
      </c>
      <c r="CK69">
        <f>IF(AND('Month-End'!$BN$43&lt;&gt;"",NOT(_xlfn.ISFORMULA('Month-End'!$BN$43))),1,0)</f>
        <v/>
      </c>
      <c r="CL69">
        <f>SUM($CM69:$CZ69)</f>
        <v/>
      </c>
      <c r="CM69">
        <f>IF(AND($E69&lt;&gt;"pre",AND(Settings!$A$19&lt;&gt;"",Settings!$E$19&lt;&gt;"No"),Settings!$F$19="Yes",NOT(AND('Month-End'!$BN$7&lt;&gt;"",NOT(_xlfn.ISFORMULA('Month-End'!$BN$7))))),1,0)</f>
        <v/>
      </c>
      <c r="CN69">
        <f>IF(AND($E69&lt;&gt;"pre",AND(Settings!$A$20&lt;&gt;"",Settings!$E$20&lt;&gt;"No"),Settings!$F$20="Yes",NOT(AND('Month-End'!$BN$8&lt;&gt;"",NOT(_xlfn.ISFORMULA('Month-End'!$BN$8))))),1,0)</f>
        <v/>
      </c>
      <c r="CO69">
        <f>IF(AND($E69&lt;&gt;"pre",AND(Settings!$A$21&lt;&gt;"",Settings!$E$21&lt;&gt;"No"),Settings!$F$21="Yes",NOT(AND('Month-End'!$BN$9&lt;&gt;"",NOT(_xlfn.ISFORMULA('Month-End'!$BN$9))))),1,0)</f>
        <v/>
      </c>
      <c r="CP69">
        <f>IF(AND($E69&lt;&gt;"pre",AND(Settings!$A$22&lt;&gt;"",Settings!$E$22&lt;&gt;"No"),Settings!$F$22="Yes",NOT(AND('Month-End'!$BN$10&lt;&gt;"",NOT(_xlfn.ISFORMULA('Month-End'!$BN$10))))),1,0)</f>
        <v/>
      </c>
      <c r="CQ69">
        <f>IF(AND($E69&lt;&gt;"pre",AND(Settings!$A$23&lt;&gt;"",Settings!$E$23&lt;&gt;"No"),Settings!$F$23="Yes",NOT(AND('Month-End'!$BN$11&lt;&gt;"",NOT(_xlfn.ISFORMULA('Month-End'!$BN$11))))),1,0)</f>
        <v/>
      </c>
      <c r="CR69">
        <f>IF(AND($E69&lt;&gt;"pre",AND(Settings!$A$24&lt;&gt;"",Settings!$E$24&lt;&gt;"No"),Settings!$F$24="Yes",NOT(AND('Month-End'!$BN$12&lt;&gt;"",NOT(_xlfn.ISFORMULA('Month-End'!$BN$12))))),1,0)</f>
        <v/>
      </c>
      <c r="CS69">
        <f>IF(AND($E69&lt;&gt;"pre",AND(Settings!$A$25&lt;&gt;"",Settings!$E$25&lt;&gt;"No"),Settings!$F$25="Yes",NOT(AND('Month-End'!$BN$13&lt;&gt;"",NOT(_xlfn.ISFORMULA('Month-End'!$BN$13))))),1,0)</f>
        <v/>
      </c>
      <c r="CT69">
        <f>IF(AND($E69&lt;&gt;"pre",AND(Settings!$A$26&lt;&gt;"",Settings!$E$26&lt;&gt;"No"),Settings!$F$26="Yes",NOT(AND('Month-End'!$BN$14&lt;&gt;"",NOT(_xlfn.ISFORMULA('Month-End'!$BN$14))))),1,0)</f>
        <v/>
      </c>
      <c r="CU69">
        <f>IF(AND($E69&lt;&gt;"pre",AND(Settings!$A$27&lt;&gt;"",Settings!$E$27&lt;&gt;"No"),Settings!$F$27="Yes",NOT(AND('Month-End'!$BN$15&lt;&gt;"",NOT(_xlfn.ISFORMULA('Month-End'!$BN$15))))),1,0)</f>
        <v/>
      </c>
      <c r="CV69">
        <f>IF(AND($E69&lt;&gt;"pre",AND(Settings!$A$28&lt;&gt;"",Settings!$E$28&lt;&gt;"No"),Settings!$F$28="Yes",NOT(AND('Month-End'!$BN$16&lt;&gt;"",NOT(_xlfn.ISFORMULA('Month-End'!$BN$16))))),1,0)</f>
        <v/>
      </c>
      <c r="CW69">
        <f>IF(AND($E69&lt;&gt;"pre",AND(Settings!$A$29&lt;&gt;"",Settings!$E$29&lt;&gt;"No"),Settings!$F$29="Yes",NOT(AND('Month-End'!$BN$17&lt;&gt;"",NOT(_xlfn.ISFORMULA('Month-End'!$BN$17))))),1,0)</f>
        <v/>
      </c>
      <c r="CX69">
        <f>IF(AND($E69&lt;&gt;"pre",AND(Settings!$A$30&lt;&gt;"",Settings!$E$30&lt;&gt;"No"),Settings!$F$30="Yes",NOT(AND('Month-End'!$BN$18&lt;&gt;"",NOT(_xlfn.ISFORMULA('Month-End'!$BN$18))))),1,0)</f>
        <v/>
      </c>
      <c r="CY69">
        <f>IF(AND($E69&lt;&gt;"pre",AND(Settings!$A$31&lt;&gt;"",Settings!$E$31&lt;&gt;"No"),Settings!$F$31="Yes",NOT(AND('Month-End'!$BN$19&lt;&gt;"",NOT(_xlfn.ISFORMULA('Month-End'!$BN$19))))),1,0)</f>
        <v/>
      </c>
      <c r="CZ69">
        <f>IF(AND($E69&lt;&gt;"pre",AND(Settings!$A$32&lt;&gt;"",Settings!$E$32&lt;&gt;"No"),Settings!$F$32="Yes",NOT(AND('Month-End'!$BN$20&lt;&gt;"",NOT(_xlfn.ISFORMULA('Month-End'!$BN$20))))),1,0)</f>
        <v/>
      </c>
      <c r="DA69">
        <f>IF($DT69=1,IF(OR(Settings!$B$19="Checking",Settings!$B$19="Savings",Settings!$B$19="Cash"),N($AE69),IF(OR(Settings!$B$19="Card",Settings!$B$19="Loan"),-N($AE69),0))+IF(OR(Settings!$B$20="Checking",Settings!$B$20="Savings",Settings!$B$20="Cash"),N($AF69),IF(OR(Settings!$B$20="Card",Settings!$B$20="Loan"),-N($AF69),0))+IF(OR(Settings!$B$21="Checking",Settings!$B$21="Savings",Settings!$B$21="Cash"),N($AG69),IF(OR(Settings!$B$21="Card",Settings!$B$21="Loan"),-N($AG69),0))+IF(OR(Settings!$B$22="Checking",Settings!$B$22="Savings",Settings!$B$22="Cash"),N($AH69),IF(OR(Settings!$B$22="Card",Settings!$B$22="Loan"),-N($AH69),0))+IF(OR(Settings!$B$23="Checking",Settings!$B$23="Savings",Settings!$B$23="Cash"),N($AI69),IF(OR(Settings!$B$23="Card",Settings!$B$23="Loan"),-N($AI69),0))+IF(OR(Settings!$B$24="Checking",Settings!$B$24="Savings",Settings!$B$24="Cash"),N($AJ69),IF(OR(Settings!$B$24="Card",Settings!$B$24="Loan"),-N($AJ69),0))+IF(OR(Settings!$B$25="Checking",Settings!$B$25="Savings",Settings!$B$25="Cash"),N($AK69),IF(OR(Settings!$B$25="Card",Settings!$B$25="Loan"),-N($AK69),0))+IF(OR(Settings!$B$26="Checking",Settings!$B$26="Savings",Settings!$B$26="Cash"),N($AL69),IF(OR(Settings!$B$26="Card",Settings!$B$26="Loan"),-N($AL69),0))+IF(OR(Settings!$B$27="Checking",Settings!$B$27="Savings",Settings!$B$27="Cash"),N($AM69),IF(OR(Settings!$B$27="Card",Settings!$B$27="Loan"),-N($AM69),0))+IF(OR(Settings!$B$28="Checking",Settings!$B$28="Savings",Settings!$B$28="Cash"),N($AN69),IF(OR(Settings!$B$28="Card",Settings!$B$28="Loan"),-N($AN69),0))+IF(OR(Settings!$B$29="Checking",Settings!$B$29="Savings",Settings!$B$29="Cash"),N($AO69),IF(OR(Settings!$B$29="Card",Settings!$B$29="Loan"),-N($AO69),0))+IF(OR(Settings!$B$30="Checking",Settings!$B$30="Savings",Settings!$B$30="Cash"),N($AP69),IF(OR(Settings!$B$30="Card",Settings!$B$30="Loan"),-N($AP69),0))+IF(OR(Settings!$B$31="Checking",Settings!$B$31="Savings",Settings!$B$31="Cash"),N($AQ69),IF(OR(Settings!$B$31="Card",Settings!$B$31="Loan"),-N($AQ69),0))+IF(OR(Settings!$B$32="Checking",Settings!$B$32="Savings",Settings!$B$32="Cash"),N($AR69),IF(OR(Settings!$B$32="Card",Settings!$B$32="Loan"),-N($AR69),0)),"")</f>
        <v/>
      </c>
      <c r="DB69">
        <f>IF($E69="open",$EB$27,IF($E69="post",IF($E68="pre",$EB$27,$DA68),""))</f>
        <v/>
      </c>
      <c r="DC69">
        <f>IF($E69="open",1,IF($E69="post",IF($E68="pre",1,$DT68),0))</f>
        <v/>
      </c>
      <c r="DD69">
        <f>IF(AND($DT69=1,$DC69=1),ROUND($W69-($DA69-$DB69)-$AD69-$AB69,2),"")</f>
        <v/>
      </c>
      <c r="DE69">
        <f>IF('Month-End'!$BN$35="",$BQ69,N('Month-End'!$BN$35))</f>
        <v/>
      </c>
      <c r="DF69">
        <f>N('Month-End'!$BN$36)</f>
        <v/>
      </c>
      <c r="DG69">
        <f>IF($DD69="","",$DD69+$DE69)</f>
        <v/>
      </c>
      <c r="DH69">
        <f>IF($DG69="","",$DG69-$DF69)</f>
        <v/>
      </c>
      <c r="DI69">
        <f>IF(OR($E69="pre",$D69=1),"",N($AS69)+N($AT69)+N($AU69)+N($AV69)+N($AW69)+N($AX69))</f>
        <v/>
      </c>
      <c r="DJ69">
        <f>IF($DT69=1,$DA69+N($DI69),"")</f>
        <v/>
      </c>
      <c r="DK69">
        <f>IF($DD69="","",$W69-$DD69-$AB69)</f>
        <v/>
      </c>
      <c r="DL69">
        <f>IF(AND($E69="post",$DD69&lt;&gt;"",$B69&lt;TODAY()),1,0)</f>
        <v/>
      </c>
      <c r="DM69">
        <f>IF($DL69=1,COUNTIF($DL69:$DL$183,1),0)</f>
        <v/>
      </c>
      <c r="DN69">
        <f>IF($D69=1,"",IF($E69="pre","History only",IF($DT69=1,IF($DD69="","⚠ Previous month missing",IF($DD69&lt;0,"⚠ Check: spending &lt; 0",IF($E69="open","✓ Done (partial)","✓ Done"))),IF($B69&gt;=TODAY(),"In progress","⚠ Needs balances"))))</f>
        <v/>
      </c>
      <c r="DO69">
        <f>YEAR($A69)</f>
        <v/>
      </c>
      <c r="DP69">
        <f>DATE(YEAR($A69),INT((MONTH($A69)-1)/3)*3+1,1)</f>
        <v/>
      </c>
      <c r="DQ69">
        <f>IF(AND($DT69=1,$DD69&lt;&gt;"",$D69=0),ROW(),0)</f>
        <v/>
      </c>
      <c r="DR69">
        <f>IF(AND($E69&lt;&gt;"pre",$B69&lt;TODAY(),$DT69=0),1,0)</f>
        <v/>
      </c>
      <c r="DS69">
        <f>IF($DJ69="",NA(),$DJ69)</f>
        <v/>
      </c>
      <c r="DT69">
        <f>IF(AND($E69&lt;&gt;"pre",$CL69=0,COUNTIFS(Settings!$F$19:$F$32,"Yes",Settings!$A$19:$A$32,"&lt;&gt;",Settings!$E$19:$E$32,"&lt;&gt;No")&gt;0),1,0)</f>
        <v/>
      </c>
      <c r="DU69">
        <f>IF(AND($B69&lt;TODAY(),$S69&gt;0),1,0)</f>
        <v/>
      </c>
      <c r="DV69">
        <f>IF($DU69=1,COUNTIF($DU69:$DU$183,1),0)</f>
        <v/>
      </c>
      <c r="DW69">
        <f>IF(AND(OR(Settings!$B$19="Card",Settings!$B$19="Loan"),AND('Month-End'!$BN$7&lt;&gt;"",NOT(_xlfn.ISFORMULA('Month-End'!$BN$7)))),IF(N('Month-End'!$BN$7)&lt;0,1,0),0)+IF(AND(OR(Settings!$B$20="Card",Settings!$B$20="Loan"),AND('Month-End'!$BN$8&lt;&gt;"",NOT(_xlfn.ISFORMULA('Month-End'!$BN$8)))),IF(N('Month-End'!$BN$8)&lt;0,1,0),0)+IF(AND(OR(Settings!$B$21="Card",Settings!$B$21="Loan"),AND('Month-End'!$BN$9&lt;&gt;"",NOT(_xlfn.ISFORMULA('Month-End'!$BN$9)))),IF(N('Month-End'!$BN$9)&lt;0,1,0),0)+IF(AND(OR(Settings!$B$22="Card",Settings!$B$22="Loan"),AND('Month-End'!$BN$10&lt;&gt;"",NOT(_xlfn.ISFORMULA('Month-End'!$BN$10)))),IF(N('Month-End'!$BN$10)&lt;0,1,0),0)+IF(AND(OR(Settings!$B$23="Card",Settings!$B$23="Loan"),AND('Month-End'!$BN$11&lt;&gt;"",NOT(_xlfn.ISFORMULA('Month-End'!$BN$11)))),IF(N('Month-End'!$BN$11)&lt;0,1,0),0)+IF(AND(OR(Settings!$B$24="Card",Settings!$B$24="Loan"),AND('Month-End'!$BN$12&lt;&gt;"",NOT(_xlfn.ISFORMULA('Month-End'!$BN$12)))),IF(N('Month-End'!$BN$12)&lt;0,1,0),0)+IF(AND(OR(Settings!$B$25="Card",Settings!$B$25="Loan"),AND('Month-End'!$BN$13&lt;&gt;"",NOT(_xlfn.ISFORMULA('Month-End'!$BN$13)))),IF(N('Month-End'!$BN$13)&lt;0,1,0),0)+IF(AND(OR(Settings!$B$26="Card",Settings!$B$26="Loan"),AND('Month-End'!$BN$14&lt;&gt;"",NOT(_xlfn.ISFORMULA('Month-End'!$BN$14)))),IF(N('Month-End'!$BN$14)&lt;0,1,0),0)+IF(AND(OR(Settings!$B$27="Card",Settings!$B$27="Loan"),AND('Month-End'!$BN$15&lt;&gt;"",NOT(_xlfn.ISFORMULA('Month-End'!$BN$15)))),IF(N('Month-End'!$BN$15)&lt;0,1,0),0)+IF(AND(OR(Settings!$B$28="Card",Settings!$B$28="Loan"),AND('Month-End'!$BN$16&lt;&gt;"",NOT(_xlfn.ISFORMULA('Month-End'!$BN$16)))),IF(N('Month-End'!$BN$16)&lt;0,1,0),0)+IF(AND(OR(Settings!$B$29="Card",Settings!$B$29="Loan"),AND('Month-End'!$BN$17&lt;&gt;"",NOT(_xlfn.ISFORMULA('Month-End'!$BN$17)))),IF(N('Month-End'!$BN$17)&lt;0,1,0),0)+IF(AND(OR(Settings!$B$30="Card",Settings!$B$30="Loan"),AND('Month-End'!$BN$18&lt;&gt;"",NOT(_xlfn.ISFORMULA('Month-End'!$BN$18)))),IF(N('Month-End'!$BN$18)&lt;0,1,0),0)+IF(AND(OR(Settings!$B$31="Card",Settings!$B$31="Loan"),AND('Month-End'!$BN$19&lt;&gt;"",NOT(_xlfn.ISFORMULA('Month-End'!$BN$19)))),IF(N('Month-End'!$BN$19)&lt;0,1,0),0)+IF(AND(OR(Settings!$B$32="Card",Settings!$B$32="Loan"),AND('Month-End'!$BN$20&lt;&gt;"",NOT(_xlfn.ISFORMULA('Month-End'!$BN$20)))),IF(N('Month-End'!$BN$20)&lt;0,1,0),0)</f>
        <v/>
      </c>
      <c r="DX69">
        <f>IF(Settings!$B$36="Retirement",$AY69,0)+IF(Settings!$B$37="Retirement",$AZ69,0)+IF(Settings!$B$38="Retirement",$BA69,0)+IF(Settings!$B$39="Retirement",$BB69,0)+IF(Settings!$B$40="Retirement",$BC69,0)+IF(Settings!$B$41="Retirement",$BD69,0)</f>
        <v/>
      </c>
      <c r="ET69">
        <f>IF($E69&lt;&gt;"open",0,IF(AND('Month-End'!$BN$22&lt;&gt;"",NOT(_xlfn.ISFORMULA('Month-End'!$BN$22))),0,IF(OR(Settings!$C$45="",Settings!$D$45=""),0,Settings!$C$45*IF(Settings!$D$45="Weekly",IF(IFERROR(MATCH(Settings!$E$45,$EO$4:$EO$10,0),0)=0,0,IF(MIN(Settings!$B$5,IF(Settings!$G$45="",Settings!$B$5,Settings!$G$45))&lt;MAX($A69,Settings!$F$45),0,INT((MIN(Settings!$B$5,IF(Settings!$G$45="",Settings!$B$5,Settings!$G$45))-MAX($A69,Settings!$F$45)-MOD(IFERROR(MATCH(Settings!$E$45,$EO$4:$EO$10,0),0)-WEEKDAY(MAX($A69,Settings!$F$45)),7))/7)+1)),IF(AND(IF(Settings!$E$45="",$B69,DATE(YEAR($A69),MONTH($A69),MIN(Settings!$E$45,DAY($B69))))&gt;=MAX($A69,Settings!$F$45),IF(Settings!$E$45="",$B69,DATE(YEAR($A69),MONTH($A69),MIN(Settings!$E$45,DAY($B69))))&lt;=MIN(Settings!$B$5,IF(Settings!$G$45="",Settings!$B$5,Settings!$G$45))),1,0)))))</f>
        <v/>
      </c>
      <c r="EU69">
        <f>IF($E69&lt;&gt;"open",0,IF(AND('Month-End'!$BN$23&lt;&gt;"",NOT(_xlfn.ISFORMULA('Month-End'!$BN$23))),0,IF(OR(Settings!$C$46="",Settings!$D$46=""),0,Settings!$C$46*IF(Settings!$D$46="Weekly",IF(IFERROR(MATCH(Settings!$E$46,$EO$4:$EO$10,0),0)=0,0,IF(MIN(Settings!$B$5,IF(Settings!$G$46="",Settings!$B$5,Settings!$G$46))&lt;MAX($A69,Settings!$F$46),0,INT((MIN(Settings!$B$5,IF(Settings!$G$46="",Settings!$B$5,Settings!$G$46))-MAX($A69,Settings!$F$46)-MOD(IFERROR(MATCH(Settings!$E$46,$EO$4:$EO$10,0),0)-WEEKDAY(MAX($A69,Settings!$F$46)),7))/7)+1)),IF(AND(IF(Settings!$E$46="",$B69,DATE(YEAR($A69),MONTH($A69),MIN(Settings!$E$46,DAY($B69))))&gt;=MAX($A69,Settings!$F$46),IF(Settings!$E$46="",$B69,DATE(YEAR($A69),MONTH($A69),MIN(Settings!$E$46,DAY($B69))))&lt;=MIN(Settings!$B$5,IF(Settings!$G$46="",Settings!$B$5,Settings!$G$46))),1,0)))))</f>
        <v/>
      </c>
      <c r="EV69">
        <f>IF($E69&lt;&gt;"open",0,IF(AND('Month-End'!$BN$24&lt;&gt;"",NOT(_xlfn.ISFORMULA('Month-End'!$BN$24))),0,IF(OR(Settings!$C$47="",Settings!$D$47=""),0,Settings!$C$47*IF(Settings!$D$47="Weekly",IF(IFERROR(MATCH(Settings!$E$47,$EO$4:$EO$10,0),0)=0,0,IF(MIN(Settings!$B$5,IF(Settings!$G$47="",Settings!$B$5,Settings!$G$47))&lt;MAX($A69,Settings!$F$47),0,INT((MIN(Settings!$B$5,IF(Settings!$G$47="",Settings!$B$5,Settings!$G$47))-MAX($A69,Settings!$F$47)-MOD(IFERROR(MATCH(Settings!$E$47,$EO$4:$EO$10,0),0)-WEEKDAY(MAX($A69,Settings!$F$47)),7))/7)+1)),IF(AND(IF(Settings!$E$47="",$B69,DATE(YEAR($A69),MONTH($A69),MIN(Settings!$E$47,DAY($B69))))&gt;=MAX($A69,Settings!$F$47),IF(Settings!$E$47="",$B69,DATE(YEAR($A69),MONTH($A69),MIN(Settings!$E$47,DAY($B69))))&lt;=MIN(Settings!$B$5,IF(Settings!$G$47="",Settings!$B$5,Settings!$G$47))),1,0)))))</f>
        <v/>
      </c>
      <c r="EW69">
        <f>IF($E69&lt;&gt;"open",0,IF(AND('Month-End'!$BN$25&lt;&gt;"",NOT(_xlfn.ISFORMULA('Month-End'!$BN$25))),0,IF(OR(Settings!$C$48="",Settings!$D$48=""),0,Settings!$C$48*IF(Settings!$D$48="Weekly",IF(IFERROR(MATCH(Settings!$E$48,$EO$4:$EO$10,0),0)=0,0,IF(MIN(Settings!$B$5,IF(Settings!$G$48="",Settings!$B$5,Settings!$G$48))&lt;MAX($A69,Settings!$F$48),0,INT((MIN(Settings!$B$5,IF(Settings!$G$48="",Settings!$B$5,Settings!$G$48))-MAX($A69,Settings!$F$48)-MOD(IFERROR(MATCH(Settings!$E$48,$EO$4:$EO$10,0),0)-WEEKDAY(MAX($A69,Settings!$F$48)),7))/7)+1)),IF(AND(IF(Settings!$E$48="",$B69,DATE(YEAR($A69),MONTH($A69),MIN(Settings!$E$48,DAY($B69))))&gt;=MAX($A69,Settings!$F$48),IF(Settings!$E$48="",$B69,DATE(YEAR($A69),MONTH($A69),MIN(Settings!$E$48,DAY($B69))))&lt;=MIN(Settings!$B$5,IF(Settings!$G$48="",Settings!$B$5,Settings!$G$48))),1,0)))))</f>
        <v/>
      </c>
      <c r="EX69">
        <f>IF($E69&lt;&gt;"open",0,IF(AND('Month-End'!$BN$26&lt;&gt;"",NOT(_xlfn.ISFORMULA('Month-End'!$BN$26))),0,IF(OR(Settings!$C$49="",Settings!$D$49=""),0,Settings!$C$49*IF(Settings!$D$49="Weekly",IF(IFERROR(MATCH(Settings!$E$49,$EO$4:$EO$10,0),0)=0,0,IF(MIN(Settings!$B$5,IF(Settings!$G$49="",Settings!$B$5,Settings!$G$49))&lt;MAX($A69,Settings!$F$49),0,INT((MIN(Settings!$B$5,IF(Settings!$G$49="",Settings!$B$5,Settings!$G$49))-MAX($A69,Settings!$F$49)-MOD(IFERROR(MATCH(Settings!$E$49,$EO$4:$EO$10,0),0)-WEEKDAY(MAX($A69,Settings!$F$49)),7))/7)+1)),IF(AND(IF(Settings!$E$49="",$B69,DATE(YEAR($A69),MONTH($A69),MIN(Settings!$E$49,DAY($B69))))&gt;=MAX($A69,Settings!$F$49),IF(Settings!$E$49="",$B69,DATE(YEAR($A69),MONTH($A69),MIN(Settings!$E$49,DAY($B69))))&lt;=MIN(Settings!$B$5,IF(Settings!$G$49="",Settings!$B$5,Settings!$G$49))),1,0)))))</f>
        <v/>
      </c>
      <c r="EY69">
        <f>IF($E69&lt;&gt;"open",0,IF(AND('Month-End'!$BN$27&lt;&gt;"",NOT(_xlfn.ISFORMULA('Month-End'!$BN$27))),0,IF(OR(Settings!$C$50="",Settings!$D$50=""),0,Settings!$C$50*IF(Settings!$D$50="Weekly",IF(IFERROR(MATCH(Settings!$E$50,$EO$4:$EO$10,0),0)=0,0,IF(MIN(Settings!$B$5,IF(Settings!$G$50="",Settings!$B$5,Settings!$G$50))&lt;MAX($A69,Settings!$F$50),0,INT((MIN(Settings!$B$5,IF(Settings!$G$50="",Settings!$B$5,Settings!$G$50))-MAX($A69,Settings!$F$50)-MOD(IFERROR(MATCH(Settings!$E$50,$EO$4:$EO$10,0),0)-WEEKDAY(MAX($A69,Settings!$F$50)),7))/7)+1)),IF(AND(IF(Settings!$E$50="",$B69,DATE(YEAR($A69),MONTH($A69),MIN(Settings!$E$50,DAY($B69))))&gt;=MAX($A69,Settings!$F$50),IF(Settings!$E$50="",$B69,DATE(YEAR($A69),MONTH($A69),MIN(Settings!$E$50,DAY($B69))))&lt;=MIN(Settings!$B$5,IF(Settings!$G$50="",Settings!$B$5,Settings!$G$50))),1,0)))))</f>
        <v/>
      </c>
      <c r="EZ69">
        <f>IF($E69&lt;&gt;"open",0,IF(AND('Month-End'!$BN$28&lt;&gt;"",NOT(_xlfn.ISFORMULA('Month-End'!$BN$28))),0,IF(OR(Settings!$C$51="",Settings!$D$51=""),0,Settings!$C$51*IF(Settings!$D$51="Weekly",IF(IFERROR(MATCH(Settings!$E$51,$EO$4:$EO$10,0),0)=0,0,IF(MIN(Settings!$B$5,IF(Settings!$G$51="",Settings!$B$5,Settings!$G$51))&lt;MAX($A69,Settings!$F$51),0,INT((MIN(Settings!$B$5,IF(Settings!$G$51="",Settings!$B$5,Settings!$G$51))-MAX($A69,Settings!$F$51)-MOD(IFERROR(MATCH(Settings!$E$51,$EO$4:$EO$10,0),0)-WEEKDAY(MAX($A69,Settings!$F$51)),7))/7)+1)),IF(AND(IF(Settings!$E$51="",$B69,DATE(YEAR($A69),MONTH($A69),MIN(Settings!$E$51,DAY($B69))))&gt;=MAX($A69,Settings!$F$51),IF(Settings!$E$51="",$B69,DATE(YEAR($A69),MONTH($A69),MIN(Settings!$E$51,DAY($B69))))&lt;=MIN(Settings!$B$5,IF(Settings!$G$51="",Settings!$B$5,Settings!$G$51))),1,0)))))</f>
        <v/>
      </c>
      <c r="FA69">
        <f>IF($E69&lt;&gt;"open",0,IF(AND('Month-End'!$BN$29&lt;&gt;"",NOT(_xlfn.ISFORMULA('Month-End'!$BN$29))),0,IF(OR(Settings!$C$52="",Settings!$D$52=""),0,Settings!$C$52*IF(Settings!$D$52="Weekly",IF(IFERROR(MATCH(Settings!$E$52,$EO$4:$EO$10,0),0)=0,0,IF(MIN(Settings!$B$5,IF(Settings!$G$52="",Settings!$B$5,Settings!$G$52))&lt;MAX($A69,Settings!$F$52),0,INT((MIN(Settings!$B$5,IF(Settings!$G$52="",Settings!$B$5,Settings!$G$52))-MAX($A69,Settings!$F$52)-MOD(IFERROR(MATCH(Settings!$E$52,$EO$4:$EO$10,0),0)-WEEKDAY(MAX($A69,Settings!$F$52)),7))/7)+1)),IF(AND(IF(Settings!$E$52="",$B69,DATE(YEAR($A69),MONTH($A69),MIN(Settings!$E$52,DAY($B69))))&gt;=MAX($A69,Settings!$F$52),IF(Settings!$E$52="",$B69,DATE(YEAR($A69),MONTH($A69),MIN(Settings!$E$52,DAY($B69))))&lt;=MIN(Settings!$B$5,IF(Settings!$G$52="",Settings!$B$5,Settings!$G$52))),1,0)))))</f>
        <v/>
      </c>
      <c r="FB69">
        <f>IF($E69&lt;&gt;"open",0,IF(AND('Month-End'!$BN$30&lt;&gt;"",NOT(_xlfn.ISFORMULA('Month-End'!$BN$30))),0,IF(OR(Settings!$C$53="",Settings!$D$53=""),0,Settings!$C$53*IF(Settings!$D$53="Weekly",IF(IFERROR(MATCH(Settings!$E$53,$EO$4:$EO$10,0),0)=0,0,IF(MIN(Settings!$B$5,IF(Settings!$G$53="",Settings!$B$5,Settings!$G$53))&lt;MAX($A69,Settings!$F$53),0,INT((MIN(Settings!$B$5,IF(Settings!$G$53="",Settings!$B$5,Settings!$G$53))-MAX($A69,Settings!$F$53)-MOD(IFERROR(MATCH(Settings!$E$53,$EO$4:$EO$10,0),0)-WEEKDAY(MAX($A69,Settings!$F$53)),7))/7)+1)),IF(AND(IF(Settings!$E$53="",$B69,DATE(YEAR($A69),MONTH($A69),MIN(Settings!$E$53,DAY($B69))))&gt;=MAX($A69,Settings!$F$53),IF(Settings!$E$53="",$B69,DATE(YEAR($A69),MONTH($A69),MIN(Settings!$E$53,DAY($B69))))&lt;=MIN(Settings!$B$5,IF(Settings!$G$53="",Settings!$B$5,Settings!$G$53))),1,0)))))</f>
        <v/>
      </c>
      <c r="FC69">
        <f>IF($E69&lt;&gt;"open",0,IF(AND('Month-End'!$BN$31&lt;&gt;"",NOT(_xlfn.ISFORMULA('Month-End'!$BN$31))),0,IF(OR(Settings!$C$54="",Settings!$D$54=""),0,Settings!$C$54*IF(Settings!$D$54="Weekly",IF(IFERROR(MATCH(Settings!$E$54,$EO$4:$EO$10,0),0)=0,0,IF(MIN(Settings!$B$5,IF(Settings!$G$54="",Settings!$B$5,Settings!$G$54))&lt;MAX($A69,Settings!$F$54),0,INT((MIN(Settings!$B$5,IF(Settings!$G$54="",Settings!$B$5,Settings!$G$54))-MAX($A69,Settings!$F$54)-MOD(IFERROR(MATCH(Settings!$E$54,$EO$4:$EO$10,0),0)-WEEKDAY(MAX($A69,Settings!$F$54)),7))/7)+1)),IF(AND(IF(Settings!$E$54="",$B69,DATE(YEAR($A69),MONTH($A69),MIN(Settings!$E$54,DAY($B69))))&gt;=MAX($A69,Settings!$F$54),IF(Settings!$E$54="",$B69,DATE(YEAR($A69),MONTH($A69),MIN(Settings!$E$54,DAY($B69))))&lt;=MIN(Settings!$B$5,IF(Settings!$G$54="",Settings!$B$5,Settings!$G$54))),1,0)))))</f>
        <v/>
      </c>
      <c r="FD69">
        <f>IF($E69&lt;&gt;"open",0,IF(AND('Month-End'!$BN$32&lt;&gt;"",NOT(_xlfn.ISFORMULA('Month-End'!$BN$32))),0,IF(OR(Settings!$C$55="",Settings!$D$55=""),0,Settings!$C$55*IF(Settings!$D$55="Weekly",IF(IFERROR(MATCH(Settings!$E$55,$EO$4:$EO$10,0),0)=0,0,IF(MIN(Settings!$B$5,IF(Settings!$G$55="",Settings!$B$5,Settings!$G$55))&lt;MAX($A69,Settings!$F$55),0,INT((MIN(Settings!$B$5,IF(Settings!$G$55="",Settings!$B$5,Settings!$G$55))-MAX($A69,Settings!$F$55)-MOD(IFERROR(MATCH(Settings!$E$55,$EO$4:$EO$10,0),0)-WEEKDAY(MAX($A69,Settings!$F$55)),7))/7)+1)),IF(AND(IF(Settings!$E$55="",$B69,DATE(YEAR($A69),MONTH($A69),MIN(Settings!$E$55,DAY($B69))))&gt;=MAX($A69,Settings!$F$55),IF(Settings!$E$55="",$B69,DATE(YEAR($A69),MONTH($A69),MIN(Settings!$E$55,DAY($B69))))&lt;=MIN(Settings!$B$5,IF(Settings!$G$55="",Settings!$B$5,Settings!$G$55))),1,0)))))</f>
        <v/>
      </c>
      <c r="FE69">
        <f>IF($E69&lt;&gt;"open",0,IF(AND('Month-End'!$BN$33&lt;&gt;"",NOT(_xlfn.ISFORMULA('Month-End'!$BN$33))),0,IF(OR(Settings!$C$56="",Settings!$D$56=""),0,Settings!$C$56*IF(Settings!$D$56="Weekly",IF(IFERROR(MATCH(Settings!$E$56,$EO$4:$EO$10,0),0)=0,0,IF(MIN(Settings!$B$5,IF(Settings!$G$56="",Settings!$B$5,Settings!$G$56))&lt;MAX($A69,Settings!$F$56),0,INT((MIN(Settings!$B$5,IF(Settings!$G$56="",Settings!$B$5,Settings!$G$56))-MAX($A69,Settings!$F$56)-MOD(IFERROR(MATCH(Settings!$E$56,$EO$4:$EO$10,0),0)-WEEKDAY(MAX($A69,Settings!$F$56)),7))/7)+1)),IF(AND(IF(Settings!$E$56="",$B69,DATE(YEAR($A69),MONTH($A69),MIN(Settings!$E$56,DAY($B69))))&gt;=MAX($A69,Settings!$F$56),IF(Settings!$E$56="",$B69,DATE(YEAR($A69),MONTH($A69),MIN(Settings!$E$56,DAY($B69))))&lt;=MIN(Settings!$B$5,IF(Settings!$G$56="",Settings!$B$5,Settings!$G$56))),1,0)))))</f>
        <v/>
      </c>
      <c r="FF69">
        <f>IF(Settings!$I$45="Yes",$G69,0)+IF(Settings!$I$46="Yes",$H69,0)+IF(Settings!$I$47="Yes",$I69,0)+IF(Settings!$I$48="Yes",$J69,0)+IF(Settings!$I$49="Yes",$K69,0)+IF(Settings!$I$50="Yes",$L69,0)+IF(Settings!$I$51="Yes",$M69,0)+IF(Settings!$I$52="Yes",$N69,0)+IF(Settings!$I$53="Yes",$O69,0)+IF(Settings!$I$54="Yes",$P69,0)+IF(Settings!$I$55="Yes",$Q69,0)+IF(Settings!$I$56="Yes",$R69,0)</f>
        <v/>
      </c>
      <c r="FG69">
        <f>IF(AND(Settings!$I$45="Yes",Settings!$J$45="No"),$G69,0)+IF(AND(Settings!$I$46="Yes",Settings!$J$46="No"),$H69,0)+IF(AND(Settings!$I$47="Yes",Settings!$J$47="No"),$I69,0)+IF(AND(Settings!$I$48="Yes",Settings!$J$48="No"),$J69,0)+IF(AND(Settings!$I$49="Yes",Settings!$J$49="No"),$K69,0)+IF(AND(Settings!$I$50="Yes",Settings!$J$50="No"),$L69,0)+IF(AND(Settings!$I$51="Yes",Settings!$J$51="No"),$M69,0)+IF(AND(Settings!$I$52="Yes",Settings!$J$52="No"),$N69,0)+IF(AND(Settings!$I$53="Yes",Settings!$J$53="No"),$O69,0)+IF(AND(Settings!$I$54="Yes",Settings!$J$54="No"),$P69,0)+IF(AND(Settings!$I$55="Yes",Settings!$J$55="No"),$Q69,0)+IF(AND(Settings!$I$56="Yes",Settings!$J$56="No"),$R69,0)</f>
        <v/>
      </c>
      <c r="FH69">
        <f>SUMIFS(Giving!$B$7:$B$2006,Giving!$A$7:$A$2006,"&gt;="&amp;$A69,Giving!$A$7:$A$2006,"&lt;="&amp;$B69,Giving!$G$7:$G$2006,"Yes")+IF(OR(OR(Settings!$B$60="",Settings!$F$60="No"),Settings!$H$60&lt;&gt;"Yes"),0,Settings!$B$60*IF(AND(IF(Settings!$C$60="",$B69,DATE(YEAR($A69),MONTH($A69),MIN(Settings!$C$60,DAY($B69))))&gt;=MAX($A69,Settings!$D$60),IF(Settings!$C$60="",$B69,DATE(YEAR($A69),MONTH($A69),MIN(Settings!$C$60,DAY($B69))))&lt;=MIN($C69,IF(Settings!$E$60="",$C69,Settings!$E$60))),1,0))+IF(OR(OR(Settings!$B$61="",Settings!$F$61="No"),Settings!$H$61&lt;&gt;"Yes"),0,Settings!$B$61*IF(AND(IF(Settings!$C$61="",$B69,DATE(YEAR($A69),MONTH($A69),MIN(Settings!$C$61,DAY($B69))))&gt;=MAX($A69,Settings!$D$61),IF(Settings!$C$61="",$B69,DATE(YEAR($A69),MONTH($A69),MIN(Settings!$C$61,DAY($B69))))&lt;=MIN($C69,IF(Settings!$E$61="",$C69,Settings!$E$61))),1,0))+IF(OR(OR(Settings!$B$62="",Settings!$F$62="No"),Settings!$H$62&lt;&gt;"Yes"),0,Settings!$B$62*IF(AND(IF(Settings!$C$62="",$B69,DATE(YEAR($A69),MONTH($A69),MIN(Settings!$C$62,DAY($B69))))&gt;=MAX($A69,Settings!$D$62),IF(Settings!$C$62="",$B69,DATE(YEAR($A69),MONTH($A69),MIN(Settings!$C$62,DAY($B69))))&lt;=MIN($C69,IF(Settings!$E$62="",$C69,Settings!$E$62))),1,0))+IF(OR(OR(Settings!$B$63="",Settings!$F$63="No"),Settings!$H$63&lt;&gt;"Yes"),0,Settings!$B$63*IF(AND(IF(Settings!$C$63="",$B69,DATE(YEAR($A69),MONTH($A69),MIN(Settings!$C$63,DAY($B69))))&gt;=MAX($A69,Settings!$D$63),IF(Settings!$C$63="",$B69,DATE(YEAR($A69),MONTH($A69),MIN(Settings!$C$63,DAY($B69))))&lt;=MIN($C69,IF(Settings!$E$63="",$C69,Settings!$E$63))),1,0))+IF(OR(OR(Settings!$B$64="",Settings!$F$64="No"),Settings!$H$64&lt;&gt;"Yes"),0,Settings!$B$64*IF(AND(IF(Settings!$C$64="",$B69,DATE(YEAR($A69),MONTH($A69),MIN(Settings!$C$64,DAY($B69))))&gt;=MAX($A69,Settings!$D$64),IF(Settings!$C$64="",$B69,DATE(YEAR($A69),MONTH($A69),MIN(Settings!$C$64,DAY($B69))))&lt;=MIN($C69,IF(Settings!$E$64="",$C69,Settings!$E$64))),1,0))+IF(OR(OR(Settings!$B$65="",Settings!$F$65="No"),Settings!$H$65&lt;&gt;"Yes"),0,Settings!$B$65*IF(AND(IF(Settings!$C$65="",$B69,DATE(YEAR($A69),MONTH($A69),MIN(Settings!$C$65,DAY($B69))))&gt;=MAX($A69,Settings!$D$65),IF(Settings!$C$65="",$B69,DATE(YEAR($A69),MONTH($A69),MIN(Settings!$C$65,DAY($B69))))&lt;=MIN($C69,IF(Settings!$E$65="",$C69,Settings!$E$65))),1,0))</f>
        <v/>
      </c>
      <c r="FI69">
        <f>IF($DT69=1,IF(OR(Settings!$B$19="Card",Settings!$B$19="Loan"),N($AE69),0)+IF(OR(Settings!$B$20="Card",Settings!$B$20="Loan"),N($AF69),0)+IF(OR(Settings!$B$21="Card",Settings!$B$21="Loan"),N($AG69),0)+IF(OR(Settings!$B$22="Card",Settings!$B$22="Loan"),N($AH69),0)+IF(OR(Settings!$B$23="Card",Settings!$B$23="Loan"),N($AI69),0)+IF(OR(Settings!$B$24="Card",Settings!$B$24="Loan"),N($AJ69),0)+IF(OR(Settings!$B$25="Card",Settings!$B$25="Loan"),N($AK69),0)+IF(OR(Settings!$B$26="Card",Settings!$B$26="Loan"),N($AL69),0)+IF(OR(Settings!$B$27="Card",Settings!$B$27="Loan"),N($AM69),0)+IF(OR(Settings!$B$28="Card",Settings!$B$28="Loan"),N($AN69),0)+IF(OR(Settings!$B$29="Card",Settings!$B$29="Loan"),N($AO69),0)+IF(OR(Settings!$B$30="Card",Settings!$B$30="Loan"),N($AP69),0)+IF(OR(Settings!$B$31="Card",Settings!$B$31="Loan"),N($AQ69),0)+IF(OR(Settings!$B$32="Card",Settings!$B$32="Loan"),N($AR69),0),"")</f>
        <v/>
      </c>
      <c r="FJ69">
        <f>IF($E69="open",$EB$65,IF($E69="post",IF($E68="pre",$EB$65,$FI68),""))</f>
        <v/>
      </c>
      <c r="FK69">
        <f>IF(AND($DT69=1,$DC69=1),IF(ROUND($FI69-$FJ69,2)&gt;0,1,0),0)</f>
        <v/>
      </c>
      <c r="FL69">
        <f>IF($FK69=1,$FL68+1,0)</f>
        <v/>
      </c>
    </row>
    <row r="70">
      <c r="A70">
        <f>'Month-End'!$BO$4</f>
        <v/>
      </c>
      <c r="B70">
        <f>EOMONTH($A70,0)</f>
        <v/>
      </c>
      <c r="C70">
        <f>MIN($B70,TODAY())</f>
        <v/>
      </c>
      <c r="D70">
        <f>IF($A70&gt;TODAY(),1,0)</f>
        <v/>
      </c>
      <c r="E70">
        <f>IF($B70&lt;=Settings!$B$5,"pre",IF($A70&lt;=Settings!$B$5,"open","post"))</f>
        <v/>
      </c>
      <c r="G70">
        <f>IF('Month-End'!$BO$22="",$BE70,N('Month-End'!$BO$22))</f>
        <v/>
      </c>
      <c r="H70">
        <f>IF('Month-End'!$BO$23="",$BF70,N('Month-End'!$BO$23))</f>
        <v/>
      </c>
      <c r="I70">
        <f>IF('Month-End'!$BO$24="",$BG70,N('Month-End'!$BO$24))</f>
        <v/>
      </c>
      <c r="J70">
        <f>IF('Month-End'!$BO$25="",$BH70,N('Month-End'!$BO$25))</f>
        <v/>
      </c>
      <c r="K70">
        <f>IF('Month-End'!$BO$26="",$BI70,N('Month-End'!$BO$26))</f>
        <v/>
      </c>
      <c r="L70">
        <f>IF('Month-End'!$BO$27="",$BJ70,N('Month-End'!$BO$27))</f>
        <v/>
      </c>
      <c r="M70">
        <f>IF('Month-End'!$BO$28="",$BK70,N('Month-End'!$BO$28))</f>
        <v/>
      </c>
      <c r="N70">
        <f>IF('Month-End'!$BO$29="",$BL70,N('Month-End'!$BO$29))</f>
        <v/>
      </c>
      <c r="O70">
        <f>IF('Month-End'!$BO$30="",$BM70,N('Month-End'!$BO$30))</f>
        <v/>
      </c>
      <c r="P70">
        <f>IF('Month-End'!$BO$31="",$BN70,N('Month-End'!$BO$31))</f>
        <v/>
      </c>
      <c r="Q70">
        <f>IF('Month-End'!$BO$32="",$BO70,N('Month-End'!$BO$32))</f>
        <v/>
      </c>
      <c r="R70">
        <f>IF('Month-End'!$BO$33="",$BP70,N('Month-End'!$BO$33))</f>
        <v/>
      </c>
      <c r="S70">
        <f>$G70+$H70+$I70+$J70+$K70+$L70+$M70+$N70+$O70+$P70+$Q70+$R70</f>
        <v/>
      </c>
      <c r="T70">
        <f>IF($B70&lt;Settings!$B$6,0,IF(Settings!$B$45="Yes",$G70,0)+IF(Settings!$B$46="Yes",$H70,0)+IF(Settings!$B$47="Yes",$I70,0)+IF(Settings!$B$48="Yes",$J70,0)+IF(Settings!$B$49="Yes",$K70,0)+IF(Settings!$B$50="Yes",$L70,0)+IF(Settings!$B$51="Yes",$M70,0)+IF(Settings!$B$52="Yes",$N70,0)+IF(Settings!$B$53="Yes",$O70,0)+IF(Settings!$B$54="Yes",$P70,0)+IF(Settings!$B$55="Yes",$Q70,0)+IF(Settings!$B$56="Yes",$R70,0))</f>
        <v/>
      </c>
      <c r="U70">
        <f>IF(Settings!$B$45="Not Sure",$G70,0)+IF(Settings!$B$46="Not Sure",$H70,0)+IF(Settings!$B$47="Not Sure",$I70,0)+IF(Settings!$B$48="Not Sure",$J70,0)+IF(Settings!$B$49="Not Sure",$K70,0)+IF(Settings!$B$50="Not Sure",$L70,0)+IF(Settings!$B$51="Not Sure",$M70,0)+IF(Settings!$B$52="Not Sure",$N70,0)+IF(Settings!$B$53="Not Sure",$O70,0)+IF(Settings!$B$54="Not Sure",$P70,0)+IF(Settings!$B$55="Not Sure",$Q70,0)+IF(Settings!$B$56="Not Sure",$R70,0)</f>
        <v/>
      </c>
      <c r="V70">
        <f>IF($E70="open",SUM($ET70:$FE70)+N(Settings!$B$13),0)</f>
        <v/>
      </c>
      <c r="W70">
        <f>IF($E70="post",$S70,IF($E70="open",$S70-$V70,0))</f>
        <v/>
      </c>
      <c r="X70">
        <f>SUMIFS(Giving!$B$7:$B$2006,Giving!$A$7:$A$2006,"&gt;="&amp;$A70,Giving!$A$7:$A$2006,"&lt;="&amp;$B70,Giving!$E$7:$E$2006,"&lt;&gt;No")</f>
        <v/>
      </c>
      <c r="Y70">
        <f>SUMIFS(Giving!$B$7:$B$2006,Giving!$A$7:$A$2006,"&gt;="&amp;$A70,Giving!$A$7:$A$2006,"&lt;="&amp;$B70,Giving!$E$7:$E$2006,"No")</f>
        <v/>
      </c>
      <c r="Z70">
        <f>IF(OR(Settings!$B$60="",Settings!$F$60="No"),0,Settings!$B$60*IF(AND(IF(Settings!$C$60="",$B70,DATE(YEAR($A70),MONTH($A70),MIN(Settings!$C$60,DAY($B70))))&gt;=MAX($A70,Settings!$D$60),IF(Settings!$C$60="",$B70,DATE(YEAR($A70),MONTH($A70),MIN(Settings!$C$60,DAY($B70))))&lt;=MIN($C70,IF(Settings!$E$60="",$C70,Settings!$E$60))),1,0))+IF(OR(Settings!$B$61="",Settings!$F$61="No"),0,Settings!$B$61*IF(AND(IF(Settings!$C$61="",$B70,DATE(YEAR($A70),MONTH($A70),MIN(Settings!$C$61,DAY($B70))))&gt;=MAX($A70,Settings!$D$61),IF(Settings!$C$61="",$B70,DATE(YEAR($A70),MONTH($A70),MIN(Settings!$C$61,DAY($B70))))&lt;=MIN($C70,IF(Settings!$E$61="",$C70,Settings!$E$61))),1,0))+IF(OR(Settings!$B$62="",Settings!$F$62="No"),0,Settings!$B$62*IF(AND(IF(Settings!$C$62="",$B70,DATE(YEAR($A70),MONTH($A70),MIN(Settings!$C$62,DAY($B70))))&gt;=MAX($A70,Settings!$D$62),IF(Settings!$C$62="",$B70,DATE(YEAR($A70),MONTH($A70),MIN(Settings!$C$62,DAY($B70))))&lt;=MIN($C70,IF(Settings!$E$62="",$C70,Settings!$E$62))),1,0))+IF(OR(Settings!$B$63="",Settings!$F$63="No"),0,Settings!$B$63*IF(AND(IF(Settings!$C$63="",$B70,DATE(YEAR($A70),MONTH($A70),MIN(Settings!$C$63,DAY($B70))))&gt;=MAX($A70,Settings!$D$63),IF(Settings!$C$63="",$B70,DATE(YEAR($A70),MONTH($A70),MIN(Settings!$C$63,DAY($B70))))&lt;=MIN($C70,IF(Settings!$E$63="",$C70,Settings!$E$63))),1,0))+IF(OR(Settings!$B$64="",Settings!$F$64="No"),0,Settings!$B$64*IF(AND(IF(Settings!$C$64="",$B70,DATE(YEAR($A70),MONTH($A70),MIN(Settings!$C$64,DAY($B70))))&gt;=MAX($A70,Settings!$D$64),IF(Settings!$C$64="",$B70,DATE(YEAR($A70),MONTH($A70),MIN(Settings!$C$64,DAY($B70))))&lt;=MIN($C70,IF(Settings!$E$64="",$C70,Settings!$E$64))),1,0))+IF(OR(Settings!$B$65="",Settings!$F$65="No"),0,Settings!$B$65*IF(AND(IF(Settings!$C$65="",$B70,DATE(YEAR($A70),MONTH($A70),MIN(Settings!$C$65,DAY($B70))))&gt;=MAX($A70,Settings!$D$65),IF(Settings!$C$65="",$B70,DATE(YEAR($A70),MONTH($A70),MIN(Settings!$C$65,DAY($B70))))&lt;=MIN($C70,IF(Settings!$E$65="",$C70,Settings!$E$65))),1,0))</f>
        <v/>
      </c>
      <c r="AA70">
        <f>$X70+$Z70</f>
        <v/>
      </c>
      <c r="AB70">
        <f>IF($E70="post",$AA70,IF($E70="open",SUMIFS(Giving!$B$7:$B$2006,Giving!$A$7:$A$2006,"&gt;"&amp;Settings!$B$5,Giving!$A$7:$A$2006,"&lt;="&amp;$B70,Giving!$E$7:$E$2006,"&lt;&gt;No")+IF(OR(Settings!$B$60="",Settings!$F$60="No"),0,Settings!$B$60*IF(AND(IF(Settings!$C$60="",$B70,DATE(YEAR($A70),MONTH($A70),MIN(Settings!$C$60,DAY($B70))))&gt;=MAX($A70,Settings!$D$60,Settings!$B$5+1),IF(Settings!$C$60="",$B70,DATE(YEAR($A70),MONTH($A70),MIN(Settings!$C$60,DAY($B70))))&lt;=MIN($C70,IF(Settings!$E$60="",$C70,Settings!$E$60))),1,0))+IF(OR(Settings!$B$61="",Settings!$F$61="No"),0,Settings!$B$61*IF(AND(IF(Settings!$C$61="",$B70,DATE(YEAR($A70),MONTH($A70),MIN(Settings!$C$61,DAY($B70))))&gt;=MAX($A70,Settings!$D$61,Settings!$B$5+1),IF(Settings!$C$61="",$B70,DATE(YEAR($A70),MONTH($A70),MIN(Settings!$C$61,DAY($B70))))&lt;=MIN($C70,IF(Settings!$E$61="",$C70,Settings!$E$61))),1,0))+IF(OR(Settings!$B$62="",Settings!$F$62="No"),0,Settings!$B$62*IF(AND(IF(Settings!$C$62="",$B70,DATE(YEAR($A70),MONTH($A70),MIN(Settings!$C$62,DAY($B70))))&gt;=MAX($A70,Settings!$D$62,Settings!$B$5+1),IF(Settings!$C$62="",$B70,DATE(YEAR($A70),MONTH($A70),MIN(Settings!$C$62,DAY($B70))))&lt;=MIN($C70,IF(Settings!$E$62="",$C70,Settings!$E$62))),1,0))+IF(OR(Settings!$B$63="",Settings!$F$63="No"),0,Settings!$B$63*IF(AND(IF(Settings!$C$63="",$B70,DATE(YEAR($A70),MONTH($A70),MIN(Settings!$C$63,DAY($B70))))&gt;=MAX($A70,Settings!$D$63,Settings!$B$5+1),IF(Settings!$C$63="",$B70,DATE(YEAR($A70),MONTH($A70),MIN(Settings!$C$63,DAY($B70))))&lt;=MIN($C70,IF(Settings!$E$63="",$C70,Settings!$E$63))),1,0))+IF(OR(Settings!$B$64="",Settings!$F$64="No"),0,Settings!$B$64*IF(AND(IF(Settings!$C$64="",$B70,DATE(YEAR($A70),MONTH($A70),MIN(Settings!$C$64,DAY($B70))))&gt;=MAX($A70,Settings!$D$64,Settings!$B$5+1),IF(Settings!$C$64="",$B70,DATE(YEAR($A70),MONTH($A70),MIN(Settings!$C$64,DAY($B70))))&lt;=MIN($C70,IF(Settings!$E$64="",$C70,Settings!$E$64))),1,0))+IF(OR(Settings!$B$65="",Settings!$F$65="No"),0,Settings!$B$65*IF(AND(IF(Settings!$C$65="",$B70,DATE(YEAR($A70),MONTH($A70),MIN(Settings!$C$65,DAY($B70))))&gt;=MAX($A70,Settings!$D$65,Settings!$B$5+1),IF(Settings!$C$65="",$B70,DATE(YEAR($A70),MONTH($A70),MIN(Settings!$C$65,DAY($B70))))&lt;=MIN($C70,IF(Settings!$E$65="",$C70,Settings!$E$65))),1,0)),0))</f>
        <v/>
      </c>
      <c r="AC70">
        <f>$AY70+$AZ70+$BA70+$BB70+$BC70+$BD70</f>
        <v/>
      </c>
      <c r="AD70">
        <f>$AC70</f>
        <v/>
      </c>
      <c r="AE70">
        <f>IF(OR(Settings!$A$19="",$E70="pre"),"",IF(AND('Month-End'!$BO$7&lt;&gt;"",NOT(_xlfn.ISFORMULA('Month-End'!$BO$7))),N('Month-End'!$BO$7),IF(OR($E70="open",$E69="pre"),N(Settings!$C$19),N($AE69))))</f>
        <v/>
      </c>
      <c r="AF70">
        <f>IF(OR(Settings!$A$20="",$E70="pre"),"",IF(AND('Month-End'!$BO$8&lt;&gt;"",NOT(_xlfn.ISFORMULA('Month-End'!$BO$8))),N('Month-End'!$BO$8),IF(OR($E70="open",$E69="pre"),N(Settings!$C$20),N($AF69))))</f>
        <v/>
      </c>
      <c r="AG70">
        <f>IF(OR(Settings!$A$21="",$E70="pre"),"",IF(AND('Month-End'!$BO$9&lt;&gt;"",NOT(_xlfn.ISFORMULA('Month-End'!$BO$9))),N('Month-End'!$BO$9),IF(OR($E70="open",$E69="pre"),N(Settings!$C$21),N($AG69))))</f>
        <v/>
      </c>
      <c r="AH70">
        <f>IF(OR(Settings!$A$22="",$E70="pre"),"",IF(AND('Month-End'!$BO$10&lt;&gt;"",NOT(_xlfn.ISFORMULA('Month-End'!$BO$10))),N('Month-End'!$BO$10),IF(OR($E70="open",$E69="pre"),N(Settings!$C$22),N($AH69))))</f>
        <v/>
      </c>
      <c r="AI70">
        <f>IF(OR(Settings!$A$23="",$E70="pre"),"",IF(AND('Month-End'!$BO$11&lt;&gt;"",NOT(_xlfn.ISFORMULA('Month-End'!$BO$11))),N('Month-End'!$BO$11),IF(OR($E70="open",$E69="pre"),N(Settings!$C$23),N($AI69))))</f>
        <v/>
      </c>
      <c r="AJ70">
        <f>IF(OR(Settings!$A$24="",$E70="pre"),"",IF(AND('Month-End'!$BO$12&lt;&gt;"",NOT(_xlfn.ISFORMULA('Month-End'!$BO$12))),N('Month-End'!$BO$12),IF(OR($E70="open",$E69="pre"),N(Settings!$C$24),N($AJ69))))</f>
        <v/>
      </c>
      <c r="AK70">
        <f>IF(OR(Settings!$A$25="",$E70="pre"),"",IF(AND('Month-End'!$BO$13&lt;&gt;"",NOT(_xlfn.ISFORMULA('Month-End'!$BO$13))),N('Month-End'!$BO$13),IF(OR($E70="open",$E69="pre"),N(Settings!$C$25),N($AK69))))</f>
        <v/>
      </c>
      <c r="AL70">
        <f>IF(OR(Settings!$A$26="",$E70="pre"),"",IF(AND('Month-End'!$BO$14&lt;&gt;"",NOT(_xlfn.ISFORMULA('Month-End'!$BO$14))),N('Month-End'!$BO$14),IF(OR($E70="open",$E69="pre"),N(Settings!$C$26),N($AL69))))</f>
        <v/>
      </c>
      <c r="AM70">
        <f>IF(OR(Settings!$A$27="",$E70="pre"),"",IF(AND('Month-End'!$BO$15&lt;&gt;"",NOT(_xlfn.ISFORMULA('Month-End'!$BO$15))),N('Month-End'!$BO$15),IF(OR($E70="open",$E69="pre"),N(Settings!$C$27),N($AM69))))</f>
        <v/>
      </c>
      <c r="AN70">
        <f>IF(OR(Settings!$A$28="",$E70="pre"),"",IF(AND('Month-End'!$BO$16&lt;&gt;"",NOT(_xlfn.ISFORMULA('Month-End'!$BO$16))),N('Month-End'!$BO$16),IF(OR($E70="open",$E69="pre"),N(Settings!$C$28),N($AN69))))</f>
        <v/>
      </c>
      <c r="AO70">
        <f>IF(OR(Settings!$A$29="",$E70="pre"),"",IF(AND('Month-End'!$BO$17&lt;&gt;"",NOT(_xlfn.ISFORMULA('Month-End'!$BO$17))),N('Month-End'!$BO$17),IF(OR($E70="open",$E69="pre"),N(Settings!$C$29),N($AO69))))</f>
        <v/>
      </c>
      <c r="AP70">
        <f>IF(OR(Settings!$A$30="",$E70="pre"),"",IF(AND('Month-End'!$BO$18&lt;&gt;"",NOT(_xlfn.ISFORMULA('Month-End'!$BO$18))),N('Month-End'!$BO$18),IF(OR($E70="open",$E69="pre"),N(Settings!$C$30),N($AP69))))</f>
        <v/>
      </c>
      <c r="AQ70">
        <f>IF(OR(Settings!$A$31="",$E70="pre"),"",IF(AND('Month-End'!$BO$19&lt;&gt;"",NOT(_xlfn.ISFORMULA('Month-End'!$BO$19))),N('Month-End'!$BO$19),IF(OR($E70="open",$E69="pre"),N(Settings!$C$31),N($AQ69))))</f>
        <v/>
      </c>
      <c r="AR70">
        <f>IF(OR(Settings!$A$32="",$E70="pre"),"",IF(AND('Month-End'!$BO$20&lt;&gt;"",NOT(_xlfn.ISFORMULA('Month-End'!$BO$20))),N('Month-End'!$BO$20),IF(OR($E70="open",$E69="pre"),N(Settings!$C$32),N($AR69))))</f>
        <v/>
      </c>
      <c r="AS70">
        <f>IF(OR(Settings!$A$36="",$E70="pre"),"",IF(AND('Month-End'!$BO$38&lt;&gt;"",NOT(_xlfn.ISFORMULA('Month-End'!$BO$38))),N('Month-End'!$BO$38),IF(OR($E70="open",$E69="pre"),N(Settings!$C$36),N($AS69))+$AY70))</f>
        <v/>
      </c>
      <c r="AT70">
        <f>IF(OR(Settings!$A$37="",$E70="pre"),"",IF(AND('Month-End'!$BO$39&lt;&gt;"",NOT(_xlfn.ISFORMULA('Month-End'!$BO$39))),N('Month-End'!$BO$39),IF(OR($E70="open",$E69="pre"),N(Settings!$C$37),N($AT69))+$AZ70))</f>
        <v/>
      </c>
      <c r="AU70">
        <f>IF(OR(Settings!$A$38="",$E70="pre"),"",IF(AND('Month-End'!$BO$40&lt;&gt;"",NOT(_xlfn.ISFORMULA('Month-End'!$BO$40))),N('Month-End'!$BO$40),IF(OR($E70="open",$E69="pre"),N(Settings!$C$38),N($AU69))+$BA70))</f>
        <v/>
      </c>
      <c r="AV70">
        <f>IF(OR(Settings!$A$39="",$E70="pre"),"",IF(AND('Month-End'!$BO$41&lt;&gt;"",NOT(_xlfn.ISFORMULA('Month-End'!$BO$41))),N('Month-End'!$BO$41),IF(OR($E70="open",$E69="pre"),N(Settings!$C$39),N($AV69))+$BB70))</f>
        <v/>
      </c>
      <c r="AW70">
        <f>IF(OR(Settings!$A$40="",$E70="pre"),"",IF(AND('Month-End'!$BO$42&lt;&gt;"",NOT(_xlfn.ISFORMULA('Month-End'!$BO$42))),N('Month-End'!$BO$42),IF(OR($E70="open",$E69="pre"),N(Settings!$C$40),N($AW69))+$BC70))</f>
        <v/>
      </c>
      <c r="AX70">
        <f>IF(OR(Settings!$A$41="",$E70="pre"),"",IF(AND('Month-End'!$BO$43&lt;&gt;"",NOT(_xlfn.ISFORMULA('Month-End'!$BO$43))),N('Month-End'!$BO$43),IF(OR($E70="open",$E69="pre"),N(Settings!$C$41),N($AX69))+$BD70))</f>
        <v/>
      </c>
      <c r="AY70">
        <f>IF($E70="pre",0,N('Month-End'!$BO$45))</f>
        <v/>
      </c>
      <c r="AZ70">
        <f>IF($E70="pre",0,N('Month-End'!$BO$46))</f>
        <v/>
      </c>
      <c r="BA70">
        <f>IF($E70="pre",0,N('Month-End'!$BO$47))</f>
        <v/>
      </c>
      <c r="BB70">
        <f>IF($E70="pre",0,N('Month-End'!$BO$48))</f>
        <v/>
      </c>
      <c r="BC70">
        <f>IF($E70="pre",0,N('Month-End'!$BO$49))</f>
        <v/>
      </c>
      <c r="BD70">
        <f>IF($E70="pre",0,N('Month-End'!$BO$50))</f>
        <v/>
      </c>
      <c r="BE70">
        <f>IF(OR(Settings!$C$45="",Settings!$D$45=""),0,Settings!$C$45*IF(Settings!$D$45="Weekly",IF(IFERROR(MATCH(Settings!$E$45,$EO$4:$EO$10,0),0)=0,0,IF(MIN($C70,IF(Settings!$G$45="",$C70,Settings!$G$45))&lt;MAX($A70,Settings!$F$45),0,INT((MIN($C70,IF(Settings!$G$45="",$C70,Settings!$G$45))-MAX($A70,Settings!$F$45)-MOD(IFERROR(MATCH(Settings!$E$45,$EO$4:$EO$10,0),0)-WEEKDAY(MAX($A70,Settings!$F$45)),7))/7)+1)),IF(AND(IF(Settings!$E$45="",$B70,DATE(YEAR($A70),MONTH($A70),MIN(Settings!$E$45,DAY($B70))))&gt;=MAX($A70,Settings!$F$45),IF(Settings!$E$45="",$B70,DATE(YEAR($A70),MONTH($A70),MIN(Settings!$E$45,DAY($B70))))&lt;=MIN($C70,IF(Settings!$G$45="",$C70,Settings!$G$45))),1,0)))</f>
        <v/>
      </c>
      <c r="BF70">
        <f>IF(OR(Settings!$C$46="",Settings!$D$46=""),0,Settings!$C$46*IF(Settings!$D$46="Weekly",IF(IFERROR(MATCH(Settings!$E$46,$EO$4:$EO$10,0),0)=0,0,IF(MIN($C70,IF(Settings!$G$46="",$C70,Settings!$G$46))&lt;MAX($A70,Settings!$F$46),0,INT((MIN($C70,IF(Settings!$G$46="",$C70,Settings!$G$46))-MAX($A70,Settings!$F$46)-MOD(IFERROR(MATCH(Settings!$E$46,$EO$4:$EO$10,0),0)-WEEKDAY(MAX($A70,Settings!$F$46)),7))/7)+1)),IF(AND(IF(Settings!$E$46="",$B70,DATE(YEAR($A70),MONTH($A70),MIN(Settings!$E$46,DAY($B70))))&gt;=MAX($A70,Settings!$F$46),IF(Settings!$E$46="",$B70,DATE(YEAR($A70),MONTH($A70),MIN(Settings!$E$46,DAY($B70))))&lt;=MIN($C70,IF(Settings!$G$46="",$C70,Settings!$G$46))),1,0)))</f>
        <v/>
      </c>
      <c r="BG70">
        <f>IF(OR(Settings!$C$47="",Settings!$D$47=""),0,Settings!$C$47*IF(Settings!$D$47="Weekly",IF(IFERROR(MATCH(Settings!$E$47,$EO$4:$EO$10,0),0)=0,0,IF(MIN($C70,IF(Settings!$G$47="",$C70,Settings!$G$47))&lt;MAX($A70,Settings!$F$47),0,INT((MIN($C70,IF(Settings!$G$47="",$C70,Settings!$G$47))-MAX($A70,Settings!$F$47)-MOD(IFERROR(MATCH(Settings!$E$47,$EO$4:$EO$10,0),0)-WEEKDAY(MAX($A70,Settings!$F$47)),7))/7)+1)),IF(AND(IF(Settings!$E$47="",$B70,DATE(YEAR($A70),MONTH($A70),MIN(Settings!$E$47,DAY($B70))))&gt;=MAX($A70,Settings!$F$47),IF(Settings!$E$47="",$B70,DATE(YEAR($A70),MONTH($A70),MIN(Settings!$E$47,DAY($B70))))&lt;=MIN($C70,IF(Settings!$G$47="",$C70,Settings!$G$47))),1,0)))</f>
        <v/>
      </c>
      <c r="BH70">
        <f>IF(OR(Settings!$C$48="",Settings!$D$48=""),0,Settings!$C$48*IF(Settings!$D$48="Weekly",IF(IFERROR(MATCH(Settings!$E$48,$EO$4:$EO$10,0),0)=0,0,IF(MIN($C70,IF(Settings!$G$48="",$C70,Settings!$G$48))&lt;MAX($A70,Settings!$F$48),0,INT((MIN($C70,IF(Settings!$G$48="",$C70,Settings!$G$48))-MAX($A70,Settings!$F$48)-MOD(IFERROR(MATCH(Settings!$E$48,$EO$4:$EO$10,0),0)-WEEKDAY(MAX($A70,Settings!$F$48)),7))/7)+1)),IF(AND(IF(Settings!$E$48="",$B70,DATE(YEAR($A70),MONTH($A70),MIN(Settings!$E$48,DAY($B70))))&gt;=MAX($A70,Settings!$F$48),IF(Settings!$E$48="",$B70,DATE(YEAR($A70),MONTH($A70),MIN(Settings!$E$48,DAY($B70))))&lt;=MIN($C70,IF(Settings!$G$48="",$C70,Settings!$G$48))),1,0)))</f>
        <v/>
      </c>
      <c r="BI70">
        <f>IF(OR(Settings!$C$49="",Settings!$D$49=""),0,Settings!$C$49*IF(Settings!$D$49="Weekly",IF(IFERROR(MATCH(Settings!$E$49,$EO$4:$EO$10,0),0)=0,0,IF(MIN($C70,IF(Settings!$G$49="",$C70,Settings!$G$49))&lt;MAX($A70,Settings!$F$49),0,INT((MIN($C70,IF(Settings!$G$49="",$C70,Settings!$G$49))-MAX($A70,Settings!$F$49)-MOD(IFERROR(MATCH(Settings!$E$49,$EO$4:$EO$10,0),0)-WEEKDAY(MAX($A70,Settings!$F$49)),7))/7)+1)),IF(AND(IF(Settings!$E$49="",$B70,DATE(YEAR($A70),MONTH($A70),MIN(Settings!$E$49,DAY($B70))))&gt;=MAX($A70,Settings!$F$49),IF(Settings!$E$49="",$B70,DATE(YEAR($A70),MONTH($A70),MIN(Settings!$E$49,DAY($B70))))&lt;=MIN($C70,IF(Settings!$G$49="",$C70,Settings!$G$49))),1,0)))</f>
        <v/>
      </c>
      <c r="BJ70">
        <f>IF(OR(Settings!$C$50="",Settings!$D$50=""),0,Settings!$C$50*IF(Settings!$D$50="Weekly",IF(IFERROR(MATCH(Settings!$E$50,$EO$4:$EO$10,0),0)=0,0,IF(MIN($C70,IF(Settings!$G$50="",$C70,Settings!$G$50))&lt;MAX($A70,Settings!$F$50),0,INT((MIN($C70,IF(Settings!$G$50="",$C70,Settings!$G$50))-MAX($A70,Settings!$F$50)-MOD(IFERROR(MATCH(Settings!$E$50,$EO$4:$EO$10,0),0)-WEEKDAY(MAX($A70,Settings!$F$50)),7))/7)+1)),IF(AND(IF(Settings!$E$50="",$B70,DATE(YEAR($A70),MONTH($A70),MIN(Settings!$E$50,DAY($B70))))&gt;=MAX($A70,Settings!$F$50),IF(Settings!$E$50="",$B70,DATE(YEAR($A70),MONTH($A70),MIN(Settings!$E$50,DAY($B70))))&lt;=MIN($C70,IF(Settings!$G$50="",$C70,Settings!$G$50))),1,0)))</f>
        <v/>
      </c>
      <c r="BK70">
        <f>IF(OR(Settings!$C$51="",Settings!$D$51=""),0,Settings!$C$51*IF(Settings!$D$51="Weekly",IF(IFERROR(MATCH(Settings!$E$51,$EO$4:$EO$10,0),0)=0,0,IF(MIN($C70,IF(Settings!$G$51="",$C70,Settings!$G$51))&lt;MAX($A70,Settings!$F$51),0,INT((MIN($C70,IF(Settings!$G$51="",$C70,Settings!$G$51))-MAX($A70,Settings!$F$51)-MOD(IFERROR(MATCH(Settings!$E$51,$EO$4:$EO$10,0),0)-WEEKDAY(MAX($A70,Settings!$F$51)),7))/7)+1)),IF(AND(IF(Settings!$E$51="",$B70,DATE(YEAR($A70),MONTH($A70),MIN(Settings!$E$51,DAY($B70))))&gt;=MAX($A70,Settings!$F$51),IF(Settings!$E$51="",$B70,DATE(YEAR($A70),MONTH($A70),MIN(Settings!$E$51,DAY($B70))))&lt;=MIN($C70,IF(Settings!$G$51="",$C70,Settings!$G$51))),1,0)))</f>
        <v/>
      </c>
      <c r="BL70">
        <f>IF(OR(Settings!$C$52="",Settings!$D$52=""),0,Settings!$C$52*IF(Settings!$D$52="Weekly",IF(IFERROR(MATCH(Settings!$E$52,$EO$4:$EO$10,0),0)=0,0,IF(MIN($C70,IF(Settings!$G$52="",$C70,Settings!$G$52))&lt;MAX($A70,Settings!$F$52),0,INT((MIN($C70,IF(Settings!$G$52="",$C70,Settings!$G$52))-MAX($A70,Settings!$F$52)-MOD(IFERROR(MATCH(Settings!$E$52,$EO$4:$EO$10,0),0)-WEEKDAY(MAX($A70,Settings!$F$52)),7))/7)+1)),IF(AND(IF(Settings!$E$52="",$B70,DATE(YEAR($A70),MONTH($A70),MIN(Settings!$E$52,DAY($B70))))&gt;=MAX($A70,Settings!$F$52),IF(Settings!$E$52="",$B70,DATE(YEAR($A70),MONTH($A70),MIN(Settings!$E$52,DAY($B70))))&lt;=MIN($C70,IF(Settings!$G$52="",$C70,Settings!$G$52))),1,0)))</f>
        <v/>
      </c>
      <c r="BM70">
        <f>IF(OR(Settings!$C$53="",Settings!$D$53=""),0,Settings!$C$53*IF(Settings!$D$53="Weekly",IF(IFERROR(MATCH(Settings!$E$53,$EO$4:$EO$10,0),0)=0,0,IF(MIN($C70,IF(Settings!$G$53="",$C70,Settings!$G$53))&lt;MAX($A70,Settings!$F$53),0,INT((MIN($C70,IF(Settings!$G$53="",$C70,Settings!$G$53))-MAX($A70,Settings!$F$53)-MOD(IFERROR(MATCH(Settings!$E$53,$EO$4:$EO$10,0),0)-WEEKDAY(MAX($A70,Settings!$F$53)),7))/7)+1)),IF(AND(IF(Settings!$E$53="",$B70,DATE(YEAR($A70),MONTH($A70),MIN(Settings!$E$53,DAY($B70))))&gt;=MAX($A70,Settings!$F$53),IF(Settings!$E$53="",$B70,DATE(YEAR($A70),MONTH($A70),MIN(Settings!$E$53,DAY($B70))))&lt;=MIN($C70,IF(Settings!$G$53="",$C70,Settings!$G$53))),1,0)))</f>
        <v/>
      </c>
      <c r="BN70">
        <f>IF(OR(Settings!$C$54="",Settings!$D$54=""),0,Settings!$C$54*IF(Settings!$D$54="Weekly",IF(IFERROR(MATCH(Settings!$E$54,$EO$4:$EO$10,0),0)=0,0,IF(MIN($C70,IF(Settings!$G$54="",$C70,Settings!$G$54))&lt;MAX($A70,Settings!$F$54),0,INT((MIN($C70,IF(Settings!$G$54="",$C70,Settings!$G$54))-MAX($A70,Settings!$F$54)-MOD(IFERROR(MATCH(Settings!$E$54,$EO$4:$EO$10,0),0)-WEEKDAY(MAX($A70,Settings!$F$54)),7))/7)+1)),IF(AND(IF(Settings!$E$54="",$B70,DATE(YEAR($A70),MONTH($A70),MIN(Settings!$E$54,DAY($B70))))&gt;=MAX($A70,Settings!$F$54),IF(Settings!$E$54="",$B70,DATE(YEAR($A70),MONTH($A70),MIN(Settings!$E$54,DAY($B70))))&lt;=MIN($C70,IF(Settings!$G$54="",$C70,Settings!$G$54))),1,0)))</f>
        <v/>
      </c>
      <c r="BO70">
        <f>IF(OR(Settings!$C$55="",Settings!$D$55=""),0,Settings!$C$55*IF(Settings!$D$55="Weekly",IF(IFERROR(MATCH(Settings!$E$55,$EO$4:$EO$10,0),0)=0,0,IF(MIN($C70,IF(Settings!$G$55="",$C70,Settings!$G$55))&lt;MAX($A70,Settings!$F$55),0,INT((MIN($C70,IF(Settings!$G$55="",$C70,Settings!$G$55))-MAX($A70,Settings!$F$55)-MOD(IFERROR(MATCH(Settings!$E$55,$EO$4:$EO$10,0),0)-WEEKDAY(MAX($A70,Settings!$F$55)),7))/7)+1)),IF(AND(IF(Settings!$E$55="",$B70,DATE(YEAR($A70),MONTH($A70),MIN(Settings!$E$55,DAY($B70))))&gt;=MAX($A70,Settings!$F$55),IF(Settings!$E$55="",$B70,DATE(YEAR($A70),MONTH($A70),MIN(Settings!$E$55,DAY($B70))))&lt;=MIN($C70,IF(Settings!$G$55="",$C70,Settings!$G$55))),1,0)))</f>
        <v/>
      </c>
      <c r="BP70">
        <f>IF(OR(Settings!$C$56="",Settings!$D$56=""),0,Settings!$C$56*IF(Settings!$D$56="Weekly",IF(IFERROR(MATCH(Settings!$E$56,$EO$4:$EO$10,0),0)=0,0,IF(MIN($C70,IF(Settings!$G$56="",$C70,Settings!$G$56))&lt;MAX($A70,Settings!$F$56),0,INT((MIN($C70,IF(Settings!$G$56="",$C70,Settings!$G$56))-MAX($A70,Settings!$F$56)-MOD(IFERROR(MATCH(Settings!$E$56,$EO$4:$EO$10,0),0)-WEEKDAY(MAX($A70,Settings!$F$56)),7))/7)+1)),IF(AND(IF(Settings!$E$56="",$B70,DATE(YEAR($A70),MONTH($A70),MIN(Settings!$E$56,DAY($B70))))&gt;=MAX($A70,Settings!$F$56),IF(Settings!$E$56="",$B70,DATE(YEAR($A70),MONTH($A70),MIN(Settings!$E$56,DAY($B70))))&lt;=MIN($C70,IF(Settings!$G$56="",$C70,Settings!$G$56))),1,0)))</f>
        <v/>
      </c>
      <c r="BQ70">
        <f>IF(OR(Settings!$B$14="",$D70=1,$E70="pre",$A70&lt;IF(Settings!$B$15="",0,Settings!$B$15)),0,Settings!$B$14)</f>
        <v/>
      </c>
      <c r="BR70">
        <f>IF(AND('Month-End'!$BO$7&lt;&gt;"",NOT(_xlfn.ISFORMULA('Month-End'!$BO$7))),1,0)</f>
        <v/>
      </c>
      <c r="BS70">
        <f>IF(AND('Month-End'!$BO$8&lt;&gt;"",NOT(_xlfn.ISFORMULA('Month-End'!$BO$8))),1,0)</f>
        <v/>
      </c>
      <c r="BT70">
        <f>IF(AND('Month-End'!$BO$9&lt;&gt;"",NOT(_xlfn.ISFORMULA('Month-End'!$BO$9))),1,0)</f>
        <v/>
      </c>
      <c r="BU70">
        <f>IF(AND('Month-End'!$BO$10&lt;&gt;"",NOT(_xlfn.ISFORMULA('Month-End'!$BO$10))),1,0)</f>
        <v/>
      </c>
      <c r="BV70">
        <f>IF(AND('Month-End'!$BO$11&lt;&gt;"",NOT(_xlfn.ISFORMULA('Month-End'!$BO$11))),1,0)</f>
        <v/>
      </c>
      <c r="BW70">
        <f>IF(AND('Month-End'!$BO$12&lt;&gt;"",NOT(_xlfn.ISFORMULA('Month-End'!$BO$12))),1,0)</f>
        <v/>
      </c>
      <c r="BX70">
        <f>IF(AND('Month-End'!$BO$13&lt;&gt;"",NOT(_xlfn.ISFORMULA('Month-End'!$BO$13))),1,0)</f>
        <v/>
      </c>
      <c r="BY70">
        <f>IF(AND('Month-End'!$BO$14&lt;&gt;"",NOT(_xlfn.ISFORMULA('Month-End'!$BO$14))),1,0)</f>
        <v/>
      </c>
      <c r="BZ70">
        <f>IF(AND('Month-End'!$BO$15&lt;&gt;"",NOT(_xlfn.ISFORMULA('Month-End'!$BO$15))),1,0)</f>
        <v/>
      </c>
      <c r="CA70">
        <f>IF(AND('Month-End'!$BO$16&lt;&gt;"",NOT(_xlfn.ISFORMULA('Month-End'!$BO$16))),1,0)</f>
        <v/>
      </c>
      <c r="CB70">
        <f>IF(AND('Month-End'!$BO$17&lt;&gt;"",NOT(_xlfn.ISFORMULA('Month-End'!$BO$17))),1,0)</f>
        <v/>
      </c>
      <c r="CC70">
        <f>IF(AND('Month-End'!$BO$18&lt;&gt;"",NOT(_xlfn.ISFORMULA('Month-End'!$BO$18))),1,0)</f>
        <v/>
      </c>
      <c r="CD70">
        <f>IF(AND('Month-End'!$BO$19&lt;&gt;"",NOT(_xlfn.ISFORMULA('Month-End'!$BO$19))),1,0)</f>
        <v/>
      </c>
      <c r="CE70">
        <f>IF(AND('Month-End'!$BO$20&lt;&gt;"",NOT(_xlfn.ISFORMULA('Month-End'!$BO$20))),1,0)</f>
        <v/>
      </c>
      <c r="CF70">
        <f>IF(AND('Month-End'!$BO$38&lt;&gt;"",NOT(_xlfn.ISFORMULA('Month-End'!$BO$38))),1,0)</f>
        <v/>
      </c>
      <c r="CG70">
        <f>IF(AND('Month-End'!$BO$39&lt;&gt;"",NOT(_xlfn.ISFORMULA('Month-End'!$BO$39))),1,0)</f>
        <v/>
      </c>
      <c r="CH70">
        <f>IF(AND('Month-End'!$BO$40&lt;&gt;"",NOT(_xlfn.ISFORMULA('Month-End'!$BO$40))),1,0)</f>
        <v/>
      </c>
      <c r="CI70">
        <f>IF(AND('Month-End'!$BO$41&lt;&gt;"",NOT(_xlfn.ISFORMULA('Month-End'!$BO$41))),1,0)</f>
        <v/>
      </c>
      <c r="CJ70">
        <f>IF(AND('Month-End'!$BO$42&lt;&gt;"",NOT(_xlfn.ISFORMULA('Month-End'!$BO$42))),1,0)</f>
        <v/>
      </c>
      <c r="CK70">
        <f>IF(AND('Month-End'!$BO$43&lt;&gt;"",NOT(_xlfn.ISFORMULA('Month-End'!$BO$43))),1,0)</f>
        <v/>
      </c>
      <c r="CL70">
        <f>SUM($CM70:$CZ70)</f>
        <v/>
      </c>
      <c r="CM70">
        <f>IF(AND($E70&lt;&gt;"pre",AND(Settings!$A$19&lt;&gt;"",Settings!$E$19&lt;&gt;"No"),Settings!$F$19="Yes",NOT(AND('Month-End'!$BO$7&lt;&gt;"",NOT(_xlfn.ISFORMULA('Month-End'!$BO$7))))),1,0)</f>
        <v/>
      </c>
      <c r="CN70">
        <f>IF(AND($E70&lt;&gt;"pre",AND(Settings!$A$20&lt;&gt;"",Settings!$E$20&lt;&gt;"No"),Settings!$F$20="Yes",NOT(AND('Month-End'!$BO$8&lt;&gt;"",NOT(_xlfn.ISFORMULA('Month-End'!$BO$8))))),1,0)</f>
        <v/>
      </c>
      <c r="CO70">
        <f>IF(AND($E70&lt;&gt;"pre",AND(Settings!$A$21&lt;&gt;"",Settings!$E$21&lt;&gt;"No"),Settings!$F$21="Yes",NOT(AND('Month-End'!$BO$9&lt;&gt;"",NOT(_xlfn.ISFORMULA('Month-End'!$BO$9))))),1,0)</f>
        <v/>
      </c>
      <c r="CP70">
        <f>IF(AND($E70&lt;&gt;"pre",AND(Settings!$A$22&lt;&gt;"",Settings!$E$22&lt;&gt;"No"),Settings!$F$22="Yes",NOT(AND('Month-End'!$BO$10&lt;&gt;"",NOT(_xlfn.ISFORMULA('Month-End'!$BO$10))))),1,0)</f>
        <v/>
      </c>
      <c r="CQ70">
        <f>IF(AND($E70&lt;&gt;"pre",AND(Settings!$A$23&lt;&gt;"",Settings!$E$23&lt;&gt;"No"),Settings!$F$23="Yes",NOT(AND('Month-End'!$BO$11&lt;&gt;"",NOT(_xlfn.ISFORMULA('Month-End'!$BO$11))))),1,0)</f>
        <v/>
      </c>
      <c r="CR70">
        <f>IF(AND($E70&lt;&gt;"pre",AND(Settings!$A$24&lt;&gt;"",Settings!$E$24&lt;&gt;"No"),Settings!$F$24="Yes",NOT(AND('Month-End'!$BO$12&lt;&gt;"",NOT(_xlfn.ISFORMULA('Month-End'!$BO$12))))),1,0)</f>
        <v/>
      </c>
      <c r="CS70">
        <f>IF(AND($E70&lt;&gt;"pre",AND(Settings!$A$25&lt;&gt;"",Settings!$E$25&lt;&gt;"No"),Settings!$F$25="Yes",NOT(AND('Month-End'!$BO$13&lt;&gt;"",NOT(_xlfn.ISFORMULA('Month-End'!$BO$13))))),1,0)</f>
        <v/>
      </c>
      <c r="CT70">
        <f>IF(AND($E70&lt;&gt;"pre",AND(Settings!$A$26&lt;&gt;"",Settings!$E$26&lt;&gt;"No"),Settings!$F$26="Yes",NOT(AND('Month-End'!$BO$14&lt;&gt;"",NOT(_xlfn.ISFORMULA('Month-End'!$BO$14))))),1,0)</f>
        <v/>
      </c>
      <c r="CU70">
        <f>IF(AND($E70&lt;&gt;"pre",AND(Settings!$A$27&lt;&gt;"",Settings!$E$27&lt;&gt;"No"),Settings!$F$27="Yes",NOT(AND('Month-End'!$BO$15&lt;&gt;"",NOT(_xlfn.ISFORMULA('Month-End'!$BO$15))))),1,0)</f>
        <v/>
      </c>
      <c r="CV70">
        <f>IF(AND($E70&lt;&gt;"pre",AND(Settings!$A$28&lt;&gt;"",Settings!$E$28&lt;&gt;"No"),Settings!$F$28="Yes",NOT(AND('Month-End'!$BO$16&lt;&gt;"",NOT(_xlfn.ISFORMULA('Month-End'!$BO$16))))),1,0)</f>
        <v/>
      </c>
      <c r="CW70">
        <f>IF(AND($E70&lt;&gt;"pre",AND(Settings!$A$29&lt;&gt;"",Settings!$E$29&lt;&gt;"No"),Settings!$F$29="Yes",NOT(AND('Month-End'!$BO$17&lt;&gt;"",NOT(_xlfn.ISFORMULA('Month-End'!$BO$17))))),1,0)</f>
        <v/>
      </c>
      <c r="CX70">
        <f>IF(AND($E70&lt;&gt;"pre",AND(Settings!$A$30&lt;&gt;"",Settings!$E$30&lt;&gt;"No"),Settings!$F$30="Yes",NOT(AND('Month-End'!$BO$18&lt;&gt;"",NOT(_xlfn.ISFORMULA('Month-End'!$BO$18))))),1,0)</f>
        <v/>
      </c>
      <c r="CY70">
        <f>IF(AND($E70&lt;&gt;"pre",AND(Settings!$A$31&lt;&gt;"",Settings!$E$31&lt;&gt;"No"),Settings!$F$31="Yes",NOT(AND('Month-End'!$BO$19&lt;&gt;"",NOT(_xlfn.ISFORMULA('Month-End'!$BO$19))))),1,0)</f>
        <v/>
      </c>
      <c r="CZ70">
        <f>IF(AND($E70&lt;&gt;"pre",AND(Settings!$A$32&lt;&gt;"",Settings!$E$32&lt;&gt;"No"),Settings!$F$32="Yes",NOT(AND('Month-End'!$BO$20&lt;&gt;"",NOT(_xlfn.ISFORMULA('Month-End'!$BO$20))))),1,0)</f>
        <v/>
      </c>
      <c r="DA70">
        <f>IF($DT70=1,IF(OR(Settings!$B$19="Checking",Settings!$B$19="Savings",Settings!$B$19="Cash"),N($AE70),IF(OR(Settings!$B$19="Card",Settings!$B$19="Loan"),-N($AE70),0))+IF(OR(Settings!$B$20="Checking",Settings!$B$20="Savings",Settings!$B$20="Cash"),N($AF70),IF(OR(Settings!$B$20="Card",Settings!$B$20="Loan"),-N($AF70),0))+IF(OR(Settings!$B$21="Checking",Settings!$B$21="Savings",Settings!$B$21="Cash"),N($AG70),IF(OR(Settings!$B$21="Card",Settings!$B$21="Loan"),-N($AG70),0))+IF(OR(Settings!$B$22="Checking",Settings!$B$22="Savings",Settings!$B$22="Cash"),N($AH70),IF(OR(Settings!$B$22="Card",Settings!$B$22="Loan"),-N($AH70),0))+IF(OR(Settings!$B$23="Checking",Settings!$B$23="Savings",Settings!$B$23="Cash"),N($AI70),IF(OR(Settings!$B$23="Card",Settings!$B$23="Loan"),-N($AI70),0))+IF(OR(Settings!$B$24="Checking",Settings!$B$24="Savings",Settings!$B$24="Cash"),N($AJ70),IF(OR(Settings!$B$24="Card",Settings!$B$24="Loan"),-N($AJ70),0))+IF(OR(Settings!$B$25="Checking",Settings!$B$25="Savings",Settings!$B$25="Cash"),N($AK70),IF(OR(Settings!$B$25="Card",Settings!$B$25="Loan"),-N($AK70),0))+IF(OR(Settings!$B$26="Checking",Settings!$B$26="Savings",Settings!$B$26="Cash"),N($AL70),IF(OR(Settings!$B$26="Card",Settings!$B$26="Loan"),-N($AL70),0))+IF(OR(Settings!$B$27="Checking",Settings!$B$27="Savings",Settings!$B$27="Cash"),N($AM70),IF(OR(Settings!$B$27="Card",Settings!$B$27="Loan"),-N($AM70),0))+IF(OR(Settings!$B$28="Checking",Settings!$B$28="Savings",Settings!$B$28="Cash"),N($AN70),IF(OR(Settings!$B$28="Card",Settings!$B$28="Loan"),-N($AN70),0))+IF(OR(Settings!$B$29="Checking",Settings!$B$29="Savings",Settings!$B$29="Cash"),N($AO70),IF(OR(Settings!$B$29="Card",Settings!$B$29="Loan"),-N($AO70),0))+IF(OR(Settings!$B$30="Checking",Settings!$B$30="Savings",Settings!$B$30="Cash"),N($AP70),IF(OR(Settings!$B$30="Card",Settings!$B$30="Loan"),-N($AP70),0))+IF(OR(Settings!$B$31="Checking",Settings!$B$31="Savings",Settings!$B$31="Cash"),N($AQ70),IF(OR(Settings!$B$31="Card",Settings!$B$31="Loan"),-N($AQ70),0))+IF(OR(Settings!$B$32="Checking",Settings!$B$32="Savings",Settings!$B$32="Cash"),N($AR70),IF(OR(Settings!$B$32="Card",Settings!$B$32="Loan"),-N($AR70),0)),"")</f>
        <v/>
      </c>
      <c r="DB70">
        <f>IF($E70="open",$EB$27,IF($E70="post",IF($E69="pre",$EB$27,$DA69),""))</f>
        <v/>
      </c>
      <c r="DC70">
        <f>IF($E70="open",1,IF($E70="post",IF($E69="pre",1,$DT69),0))</f>
        <v/>
      </c>
      <c r="DD70">
        <f>IF(AND($DT70=1,$DC70=1),ROUND($W70-($DA70-$DB70)-$AD70-$AB70,2),"")</f>
        <v/>
      </c>
      <c r="DE70">
        <f>IF('Month-End'!$BO$35="",$BQ70,N('Month-End'!$BO$35))</f>
        <v/>
      </c>
      <c r="DF70">
        <f>N('Month-End'!$BO$36)</f>
        <v/>
      </c>
      <c r="DG70">
        <f>IF($DD70="","",$DD70+$DE70)</f>
        <v/>
      </c>
      <c r="DH70">
        <f>IF($DG70="","",$DG70-$DF70)</f>
        <v/>
      </c>
      <c r="DI70">
        <f>IF(OR($E70="pre",$D70=1),"",N($AS70)+N($AT70)+N($AU70)+N($AV70)+N($AW70)+N($AX70))</f>
        <v/>
      </c>
      <c r="DJ70">
        <f>IF($DT70=1,$DA70+N($DI70),"")</f>
        <v/>
      </c>
      <c r="DK70">
        <f>IF($DD70="","",$W70-$DD70-$AB70)</f>
        <v/>
      </c>
      <c r="DL70">
        <f>IF(AND($E70="post",$DD70&lt;&gt;"",$B70&lt;TODAY()),1,0)</f>
        <v/>
      </c>
      <c r="DM70">
        <f>IF($DL70=1,COUNTIF($DL70:$DL$183,1),0)</f>
        <v/>
      </c>
      <c r="DN70">
        <f>IF($D70=1,"",IF($E70="pre","History only",IF($DT70=1,IF($DD70="","⚠ Previous month missing",IF($DD70&lt;0,"⚠ Check: spending &lt; 0",IF($E70="open","✓ Done (partial)","✓ Done"))),IF($B70&gt;=TODAY(),"In progress","⚠ Needs balances"))))</f>
        <v/>
      </c>
      <c r="DO70">
        <f>YEAR($A70)</f>
        <v/>
      </c>
      <c r="DP70">
        <f>DATE(YEAR($A70),INT((MONTH($A70)-1)/3)*3+1,1)</f>
        <v/>
      </c>
      <c r="DQ70">
        <f>IF(AND($DT70=1,$DD70&lt;&gt;"",$D70=0),ROW(),0)</f>
        <v/>
      </c>
      <c r="DR70">
        <f>IF(AND($E70&lt;&gt;"pre",$B70&lt;TODAY(),$DT70=0),1,0)</f>
        <v/>
      </c>
      <c r="DS70">
        <f>IF($DJ70="",NA(),$DJ70)</f>
        <v/>
      </c>
      <c r="DT70">
        <f>IF(AND($E70&lt;&gt;"pre",$CL70=0,COUNTIFS(Settings!$F$19:$F$32,"Yes",Settings!$A$19:$A$32,"&lt;&gt;",Settings!$E$19:$E$32,"&lt;&gt;No")&gt;0),1,0)</f>
        <v/>
      </c>
      <c r="DU70">
        <f>IF(AND($B70&lt;TODAY(),$S70&gt;0),1,0)</f>
        <v/>
      </c>
      <c r="DV70">
        <f>IF($DU70=1,COUNTIF($DU70:$DU$183,1),0)</f>
        <v/>
      </c>
      <c r="DW70">
        <f>IF(AND(OR(Settings!$B$19="Card",Settings!$B$19="Loan"),AND('Month-End'!$BO$7&lt;&gt;"",NOT(_xlfn.ISFORMULA('Month-End'!$BO$7)))),IF(N('Month-End'!$BO$7)&lt;0,1,0),0)+IF(AND(OR(Settings!$B$20="Card",Settings!$B$20="Loan"),AND('Month-End'!$BO$8&lt;&gt;"",NOT(_xlfn.ISFORMULA('Month-End'!$BO$8)))),IF(N('Month-End'!$BO$8)&lt;0,1,0),0)+IF(AND(OR(Settings!$B$21="Card",Settings!$B$21="Loan"),AND('Month-End'!$BO$9&lt;&gt;"",NOT(_xlfn.ISFORMULA('Month-End'!$BO$9)))),IF(N('Month-End'!$BO$9)&lt;0,1,0),0)+IF(AND(OR(Settings!$B$22="Card",Settings!$B$22="Loan"),AND('Month-End'!$BO$10&lt;&gt;"",NOT(_xlfn.ISFORMULA('Month-End'!$BO$10)))),IF(N('Month-End'!$BO$10)&lt;0,1,0),0)+IF(AND(OR(Settings!$B$23="Card",Settings!$B$23="Loan"),AND('Month-End'!$BO$11&lt;&gt;"",NOT(_xlfn.ISFORMULA('Month-End'!$BO$11)))),IF(N('Month-End'!$BO$11)&lt;0,1,0),0)+IF(AND(OR(Settings!$B$24="Card",Settings!$B$24="Loan"),AND('Month-End'!$BO$12&lt;&gt;"",NOT(_xlfn.ISFORMULA('Month-End'!$BO$12)))),IF(N('Month-End'!$BO$12)&lt;0,1,0),0)+IF(AND(OR(Settings!$B$25="Card",Settings!$B$25="Loan"),AND('Month-End'!$BO$13&lt;&gt;"",NOT(_xlfn.ISFORMULA('Month-End'!$BO$13)))),IF(N('Month-End'!$BO$13)&lt;0,1,0),0)+IF(AND(OR(Settings!$B$26="Card",Settings!$B$26="Loan"),AND('Month-End'!$BO$14&lt;&gt;"",NOT(_xlfn.ISFORMULA('Month-End'!$BO$14)))),IF(N('Month-End'!$BO$14)&lt;0,1,0),0)+IF(AND(OR(Settings!$B$27="Card",Settings!$B$27="Loan"),AND('Month-End'!$BO$15&lt;&gt;"",NOT(_xlfn.ISFORMULA('Month-End'!$BO$15)))),IF(N('Month-End'!$BO$15)&lt;0,1,0),0)+IF(AND(OR(Settings!$B$28="Card",Settings!$B$28="Loan"),AND('Month-End'!$BO$16&lt;&gt;"",NOT(_xlfn.ISFORMULA('Month-End'!$BO$16)))),IF(N('Month-End'!$BO$16)&lt;0,1,0),0)+IF(AND(OR(Settings!$B$29="Card",Settings!$B$29="Loan"),AND('Month-End'!$BO$17&lt;&gt;"",NOT(_xlfn.ISFORMULA('Month-End'!$BO$17)))),IF(N('Month-End'!$BO$17)&lt;0,1,0),0)+IF(AND(OR(Settings!$B$30="Card",Settings!$B$30="Loan"),AND('Month-End'!$BO$18&lt;&gt;"",NOT(_xlfn.ISFORMULA('Month-End'!$BO$18)))),IF(N('Month-End'!$BO$18)&lt;0,1,0),0)+IF(AND(OR(Settings!$B$31="Card",Settings!$B$31="Loan"),AND('Month-End'!$BO$19&lt;&gt;"",NOT(_xlfn.ISFORMULA('Month-End'!$BO$19)))),IF(N('Month-End'!$BO$19)&lt;0,1,0),0)+IF(AND(OR(Settings!$B$32="Card",Settings!$B$32="Loan"),AND('Month-End'!$BO$20&lt;&gt;"",NOT(_xlfn.ISFORMULA('Month-End'!$BO$20)))),IF(N('Month-End'!$BO$20)&lt;0,1,0),0)</f>
        <v/>
      </c>
      <c r="DX70">
        <f>IF(Settings!$B$36="Retirement",$AY70,0)+IF(Settings!$B$37="Retirement",$AZ70,0)+IF(Settings!$B$38="Retirement",$BA70,0)+IF(Settings!$B$39="Retirement",$BB70,0)+IF(Settings!$B$40="Retirement",$BC70,0)+IF(Settings!$B$41="Retirement",$BD70,0)</f>
        <v/>
      </c>
      <c r="EA70">
        <f>IF(Settings!$A$69="","",Settings!$A$69)</f>
        <v/>
      </c>
      <c r="EB70">
        <f>IF(Settings!$D$69="",0,IF(Settings!$D$69="Specific Account",IFERROR(INDEX($EB$40:$EB$59,MATCH(Settings!$F$69,$EA$40:$EA$59,0)),0),IFERROR(INDEX($EB$6:$EB$26,MATCH(Settings!$D$69,$EA$6:$EA$26,0)),0)))</f>
        <v/>
      </c>
      <c r="EC70">
        <f>IF(Settings!$A$69="","",IF(Settings!$B$69="Tithe Balance",$EB$23,IF(Settings!$E$69="Specific Account",IFERROR(INDEX($EB$40:$EB$59,MATCH(Settings!$F$69,$EA$40:$EA$59,0)),0),IFERROR(INDEX($EB$6:$EB$26,MATCH(Settings!$E$69,$EA$6:$EA$26,0)),0))))</f>
        <v/>
      </c>
      <c r="ED70">
        <f>IF(Settings!$A$69="","",IF(Settings!$B$69="Percentage",EB70*N(Settings!$C$69)/100,IF(Settings!$B$69="Multiple",EB70*N(Settings!$C$69),IF(Settings!$B$69="Tithe Balance",$EB$22,N(Settings!$C$69)))))</f>
        <v/>
      </c>
      <c r="EE70">
        <f>IF(Settings!$A$69="","",IF(Settings!$B$69="Pay Down To",MAX(0,EC70-ED70),MAX(0,ED70-EC70)))</f>
        <v/>
      </c>
      <c r="EF70">
        <f>IF(Settings!$A$69="","",IF(Settings!$B$69="Pay Down To",IF(EC70&lt;=ED70,"Met","Above target"),IF(EC70&gt;=ED70-0.005,"Met","Remaining")))</f>
        <v/>
      </c>
      <c r="EG70">
        <f>IF(Settings!$A$69="","",IF(Settings!$B$69="Pay Down To",IF(EC70&lt;=0,1,MIN(1,ED70/EC70)),IF(ED70&lt;=0,1,EC70/ED70)))</f>
        <v/>
      </c>
      <c r="EH70">
        <f>IF(OR(Settings!$A$69="",EE70&lt;=0),"",IF(Settings!$B$69="Save By Date",IF(Settings!$G$69="","Set a target date","Need "&amp;TEXT(EE70/MAX(1,(YEAR(Settings!$G$69)-YEAR(TODAY()))*12+MONTH(Settings!$G$69)-MONTH(TODAY())+1),"$#,##0")&amp;"/mo to "&amp;TEXT(Settings!$G$69,"mmm yyyy")),IF(Settings!$B$69="Annual Contribution","Need "&amp;TEXT(EE70/MAX(1,12-MONTH(TODAY())+1),"$#,##0")&amp;"/mo rest of year",IF(Settings!$B$69="Tithe Balance","This quarter",""))))</f>
        <v/>
      </c>
      <c r="ET70">
        <f>IF($E70&lt;&gt;"open",0,IF(AND('Month-End'!$BO$22&lt;&gt;"",NOT(_xlfn.ISFORMULA('Month-End'!$BO$22))),0,IF(OR(Settings!$C$45="",Settings!$D$45=""),0,Settings!$C$45*IF(Settings!$D$45="Weekly",IF(IFERROR(MATCH(Settings!$E$45,$EO$4:$EO$10,0),0)=0,0,IF(MIN(Settings!$B$5,IF(Settings!$G$45="",Settings!$B$5,Settings!$G$45))&lt;MAX($A70,Settings!$F$45),0,INT((MIN(Settings!$B$5,IF(Settings!$G$45="",Settings!$B$5,Settings!$G$45))-MAX($A70,Settings!$F$45)-MOD(IFERROR(MATCH(Settings!$E$45,$EO$4:$EO$10,0),0)-WEEKDAY(MAX($A70,Settings!$F$45)),7))/7)+1)),IF(AND(IF(Settings!$E$45="",$B70,DATE(YEAR($A70),MONTH($A70),MIN(Settings!$E$45,DAY($B70))))&gt;=MAX($A70,Settings!$F$45),IF(Settings!$E$45="",$B70,DATE(YEAR($A70),MONTH($A70),MIN(Settings!$E$45,DAY($B70))))&lt;=MIN(Settings!$B$5,IF(Settings!$G$45="",Settings!$B$5,Settings!$G$45))),1,0)))))</f>
        <v/>
      </c>
      <c r="EU70">
        <f>IF($E70&lt;&gt;"open",0,IF(AND('Month-End'!$BO$23&lt;&gt;"",NOT(_xlfn.ISFORMULA('Month-End'!$BO$23))),0,IF(OR(Settings!$C$46="",Settings!$D$46=""),0,Settings!$C$46*IF(Settings!$D$46="Weekly",IF(IFERROR(MATCH(Settings!$E$46,$EO$4:$EO$10,0),0)=0,0,IF(MIN(Settings!$B$5,IF(Settings!$G$46="",Settings!$B$5,Settings!$G$46))&lt;MAX($A70,Settings!$F$46),0,INT((MIN(Settings!$B$5,IF(Settings!$G$46="",Settings!$B$5,Settings!$G$46))-MAX($A70,Settings!$F$46)-MOD(IFERROR(MATCH(Settings!$E$46,$EO$4:$EO$10,0),0)-WEEKDAY(MAX($A70,Settings!$F$46)),7))/7)+1)),IF(AND(IF(Settings!$E$46="",$B70,DATE(YEAR($A70),MONTH($A70),MIN(Settings!$E$46,DAY($B70))))&gt;=MAX($A70,Settings!$F$46),IF(Settings!$E$46="",$B70,DATE(YEAR($A70),MONTH($A70),MIN(Settings!$E$46,DAY($B70))))&lt;=MIN(Settings!$B$5,IF(Settings!$G$46="",Settings!$B$5,Settings!$G$46))),1,0)))))</f>
        <v/>
      </c>
      <c r="EV70">
        <f>IF($E70&lt;&gt;"open",0,IF(AND('Month-End'!$BO$24&lt;&gt;"",NOT(_xlfn.ISFORMULA('Month-End'!$BO$24))),0,IF(OR(Settings!$C$47="",Settings!$D$47=""),0,Settings!$C$47*IF(Settings!$D$47="Weekly",IF(IFERROR(MATCH(Settings!$E$47,$EO$4:$EO$10,0),0)=0,0,IF(MIN(Settings!$B$5,IF(Settings!$G$47="",Settings!$B$5,Settings!$G$47))&lt;MAX($A70,Settings!$F$47),0,INT((MIN(Settings!$B$5,IF(Settings!$G$47="",Settings!$B$5,Settings!$G$47))-MAX($A70,Settings!$F$47)-MOD(IFERROR(MATCH(Settings!$E$47,$EO$4:$EO$10,0),0)-WEEKDAY(MAX($A70,Settings!$F$47)),7))/7)+1)),IF(AND(IF(Settings!$E$47="",$B70,DATE(YEAR($A70),MONTH($A70),MIN(Settings!$E$47,DAY($B70))))&gt;=MAX($A70,Settings!$F$47),IF(Settings!$E$47="",$B70,DATE(YEAR($A70),MONTH($A70),MIN(Settings!$E$47,DAY($B70))))&lt;=MIN(Settings!$B$5,IF(Settings!$G$47="",Settings!$B$5,Settings!$G$47))),1,0)))))</f>
        <v/>
      </c>
      <c r="EW70">
        <f>IF($E70&lt;&gt;"open",0,IF(AND('Month-End'!$BO$25&lt;&gt;"",NOT(_xlfn.ISFORMULA('Month-End'!$BO$25))),0,IF(OR(Settings!$C$48="",Settings!$D$48=""),0,Settings!$C$48*IF(Settings!$D$48="Weekly",IF(IFERROR(MATCH(Settings!$E$48,$EO$4:$EO$10,0),0)=0,0,IF(MIN(Settings!$B$5,IF(Settings!$G$48="",Settings!$B$5,Settings!$G$48))&lt;MAX($A70,Settings!$F$48),0,INT((MIN(Settings!$B$5,IF(Settings!$G$48="",Settings!$B$5,Settings!$G$48))-MAX($A70,Settings!$F$48)-MOD(IFERROR(MATCH(Settings!$E$48,$EO$4:$EO$10,0),0)-WEEKDAY(MAX($A70,Settings!$F$48)),7))/7)+1)),IF(AND(IF(Settings!$E$48="",$B70,DATE(YEAR($A70),MONTH($A70),MIN(Settings!$E$48,DAY($B70))))&gt;=MAX($A70,Settings!$F$48),IF(Settings!$E$48="",$B70,DATE(YEAR($A70),MONTH($A70),MIN(Settings!$E$48,DAY($B70))))&lt;=MIN(Settings!$B$5,IF(Settings!$G$48="",Settings!$B$5,Settings!$G$48))),1,0)))))</f>
        <v/>
      </c>
      <c r="EX70">
        <f>IF($E70&lt;&gt;"open",0,IF(AND('Month-End'!$BO$26&lt;&gt;"",NOT(_xlfn.ISFORMULA('Month-End'!$BO$26))),0,IF(OR(Settings!$C$49="",Settings!$D$49=""),0,Settings!$C$49*IF(Settings!$D$49="Weekly",IF(IFERROR(MATCH(Settings!$E$49,$EO$4:$EO$10,0),0)=0,0,IF(MIN(Settings!$B$5,IF(Settings!$G$49="",Settings!$B$5,Settings!$G$49))&lt;MAX($A70,Settings!$F$49),0,INT((MIN(Settings!$B$5,IF(Settings!$G$49="",Settings!$B$5,Settings!$G$49))-MAX($A70,Settings!$F$49)-MOD(IFERROR(MATCH(Settings!$E$49,$EO$4:$EO$10,0),0)-WEEKDAY(MAX($A70,Settings!$F$49)),7))/7)+1)),IF(AND(IF(Settings!$E$49="",$B70,DATE(YEAR($A70),MONTH($A70),MIN(Settings!$E$49,DAY($B70))))&gt;=MAX($A70,Settings!$F$49),IF(Settings!$E$49="",$B70,DATE(YEAR($A70),MONTH($A70),MIN(Settings!$E$49,DAY($B70))))&lt;=MIN(Settings!$B$5,IF(Settings!$G$49="",Settings!$B$5,Settings!$G$49))),1,0)))))</f>
        <v/>
      </c>
      <c r="EY70">
        <f>IF($E70&lt;&gt;"open",0,IF(AND('Month-End'!$BO$27&lt;&gt;"",NOT(_xlfn.ISFORMULA('Month-End'!$BO$27))),0,IF(OR(Settings!$C$50="",Settings!$D$50=""),0,Settings!$C$50*IF(Settings!$D$50="Weekly",IF(IFERROR(MATCH(Settings!$E$50,$EO$4:$EO$10,0),0)=0,0,IF(MIN(Settings!$B$5,IF(Settings!$G$50="",Settings!$B$5,Settings!$G$50))&lt;MAX($A70,Settings!$F$50),0,INT((MIN(Settings!$B$5,IF(Settings!$G$50="",Settings!$B$5,Settings!$G$50))-MAX($A70,Settings!$F$50)-MOD(IFERROR(MATCH(Settings!$E$50,$EO$4:$EO$10,0),0)-WEEKDAY(MAX($A70,Settings!$F$50)),7))/7)+1)),IF(AND(IF(Settings!$E$50="",$B70,DATE(YEAR($A70),MONTH($A70),MIN(Settings!$E$50,DAY($B70))))&gt;=MAX($A70,Settings!$F$50),IF(Settings!$E$50="",$B70,DATE(YEAR($A70),MONTH($A70),MIN(Settings!$E$50,DAY($B70))))&lt;=MIN(Settings!$B$5,IF(Settings!$G$50="",Settings!$B$5,Settings!$G$50))),1,0)))))</f>
        <v/>
      </c>
      <c r="EZ70">
        <f>IF($E70&lt;&gt;"open",0,IF(AND('Month-End'!$BO$28&lt;&gt;"",NOT(_xlfn.ISFORMULA('Month-End'!$BO$28))),0,IF(OR(Settings!$C$51="",Settings!$D$51=""),0,Settings!$C$51*IF(Settings!$D$51="Weekly",IF(IFERROR(MATCH(Settings!$E$51,$EO$4:$EO$10,0),0)=0,0,IF(MIN(Settings!$B$5,IF(Settings!$G$51="",Settings!$B$5,Settings!$G$51))&lt;MAX($A70,Settings!$F$51),0,INT((MIN(Settings!$B$5,IF(Settings!$G$51="",Settings!$B$5,Settings!$G$51))-MAX($A70,Settings!$F$51)-MOD(IFERROR(MATCH(Settings!$E$51,$EO$4:$EO$10,0),0)-WEEKDAY(MAX($A70,Settings!$F$51)),7))/7)+1)),IF(AND(IF(Settings!$E$51="",$B70,DATE(YEAR($A70),MONTH($A70),MIN(Settings!$E$51,DAY($B70))))&gt;=MAX($A70,Settings!$F$51),IF(Settings!$E$51="",$B70,DATE(YEAR($A70),MONTH($A70),MIN(Settings!$E$51,DAY($B70))))&lt;=MIN(Settings!$B$5,IF(Settings!$G$51="",Settings!$B$5,Settings!$G$51))),1,0)))))</f>
        <v/>
      </c>
      <c r="FA70">
        <f>IF($E70&lt;&gt;"open",0,IF(AND('Month-End'!$BO$29&lt;&gt;"",NOT(_xlfn.ISFORMULA('Month-End'!$BO$29))),0,IF(OR(Settings!$C$52="",Settings!$D$52=""),0,Settings!$C$52*IF(Settings!$D$52="Weekly",IF(IFERROR(MATCH(Settings!$E$52,$EO$4:$EO$10,0),0)=0,0,IF(MIN(Settings!$B$5,IF(Settings!$G$52="",Settings!$B$5,Settings!$G$52))&lt;MAX($A70,Settings!$F$52),0,INT((MIN(Settings!$B$5,IF(Settings!$G$52="",Settings!$B$5,Settings!$G$52))-MAX($A70,Settings!$F$52)-MOD(IFERROR(MATCH(Settings!$E$52,$EO$4:$EO$10,0),0)-WEEKDAY(MAX($A70,Settings!$F$52)),7))/7)+1)),IF(AND(IF(Settings!$E$52="",$B70,DATE(YEAR($A70),MONTH($A70),MIN(Settings!$E$52,DAY($B70))))&gt;=MAX($A70,Settings!$F$52),IF(Settings!$E$52="",$B70,DATE(YEAR($A70),MONTH($A70),MIN(Settings!$E$52,DAY($B70))))&lt;=MIN(Settings!$B$5,IF(Settings!$G$52="",Settings!$B$5,Settings!$G$52))),1,0)))))</f>
        <v/>
      </c>
      <c r="FB70">
        <f>IF($E70&lt;&gt;"open",0,IF(AND('Month-End'!$BO$30&lt;&gt;"",NOT(_xlfn.ISFORMULA('Month-End'!$BO$30))),0,IF(OR(Settings!$C$53="",Settings!$D$53=""),0,Settings!$C$53*IF(Settings!$D$53="Weekly",IF(IFERROR(MATCH(Settings!$E$53,$EO$4:$EO$10,0),0)=0,0,IF(MIN(Settings!$B$5,IF(Settings!$G$53="",Settings!$B$5,Settings!$G$53))&lt;MAX($A70,Settings!$F$53),0,INT((MIN(Settings!$B$5,IF(Settings!$G$53="",Settings!$B$5,Settings!$G$53))-MAX($A70,Settings!$F$53)-MOD(IFERROR(MATCH(Settings!$E$53,$EO$4:$EO$10,0),0)-WEEKDAY(MAX($A70,Settings!$F$53)),7))/7)+1)),IF(AND(IF(Settings!$E$53="",$B70,DATE(YEAR($A70),MONTH($A70),MIN(Settings!$E$53,DAY($B70))))&gt;=MAX($A70,Settings!$F$53),IF(Settings!$E$53="",$B70,DATE(YEAR($A70),MONTH($A70),MIN(Settings!$E$53,DAY($B70))))&lt;=MIN(Settings!$B$5,IF(Settings!$G$53="",Settings!$B$5,Settings!$G$53))),1,0)))))</f>
        <v/>
      </c>
      <c r="FC70">
        <f>IF($E70&lt;&gt;"open",0,IF(AND('Month-End'!$BO$31&lt;&gt;"",NOT(_xlfn.ISFORMULA('Month-End'!$BO$31))),0,IF(OR(Settings!$C$54="",Settings!$D$54=""),0,Settings!$C$54*IF(Settings!$D$54="Weekly",IF(IFERROR(MATCH(Settings!$E$54,$EO$4:$EO$10,0),0)=0,0,IF(MIN(Settings!$B$5,IF(Settings!$G$54="",Settings!$B$5,Settings!$G$54))&lt;MAX($A70,Settings!$F$54),0,INT((MIN(Settings!$B$5,IF(Settings!$G$54="",Settings!$B$5,Settings!$G$54))-MAX($A70,Settings!$F$54)-MOD(IFERROR(MATCH(Settings!$E$54,$EO$4:$EO$10,0),0)-WEEKDAY(MAX($A70,Settings!$F$54)),7))/7)+1)),IF(AND(IF(Settings!$E$54="",$B70,DATE(YEAR($A70),MONTH($A70),MIN(Settings!$E$54,DAY($B70))))&gt;=MAX($A70,Settings!$F$54),IF(Settings!$E$54="",$B70,DATE(YEAR($A70),MONTH($A70),MIN(Settings!$E$54,DAY($B70))))&lt;=MIN(Settings!$B$5,IF(Settings!$G$54="",Settings!$B$5,Settings!$G$54))),1,0)))))</f>
        <v/>
      </c>
      <c r="FD70">
        <f>IF($E70&lt;&gt;"open",0,IF(AND('Month-End'!$BO$32&lt;&gt;"",NOT(_xlfn.ISFORMULA('Month-End'!$BO$32))),0,IF(OR(Settings!$C$55="",Settings!$D$55=""),0,Settings!$C$55*IF(Settings!$D$55="Weekly",IF(IFERROR(MATCH(Settings!$E$55,$EO$4:$EO$10,0),0)=0,0,IF(MIN(Settings!$B$5,IF(Settings!$G$55="",Settings!$B$5,Settings!$G$55))&lt;MAX($A70,Settings!$F$55),0,INT((MIN(Settings!$B$5,IF(Settings!$G$55="",Settings!$B$5,Settings!$G$55))-MAX($A70,Settings!$F$55)-MOD(IFERROR(MATCH(Settings!$E$55,$EO$4:$EO$10,0),0)-WEEKDAY(MAX($A70,Settings!$F$55)),7))/7)+1)),IF(AND(IF(Settings!$E$55="",$B70,DATE(YEAR($A70),MONTH($A70),MIN(Settings!$E$55,DAY($B70))))&gt;=MAX($A70,Settings!$F$55),IF(Settings!$E$55="",$B70,DATE(YEAR($A70),MONTH($A70),MIN(Settings!$E$55,DAY($B70))))&lt;=MIN(Settings!$B$5,IF(Settings!$G$55="",Settings!$B$5,Settings!$G$55))),1,0)))))</f>
        <v/>
      </c>
      <c r="FE70">
        <f>IF($E70&lt;&gt;"open",0,IF(AND('Month-End'!$BO$33&lt;&gt;"",NOT(_xlfn.ISFORMULA('Month-End'!$BO$33))),0,IF(OR(Settings!$C$56="",Settings!$D$56=""),0,Settings!$C$56*IF(Settings!$D$56="Weekly",IF(IFERROR(MATCH(Settings!$E$56,$EO$4:$EO$10,0),0)=0,0,IF(MIN(Settings!$B$5,IF(Settings!$G$56="",Settings!$B$5,Settings!$G$56))&lt;MAX($A70,Settings!$F$56),0,INT((MIN(Settings!$B$5,IF(Settings!$G$56="",Settings!$B$5,Settings!$G$56))-MAX($A70,Settings!$F$56)-MOD(IFERROR(MATCH(Settings!$E$56,$EO$4:$EO$10,0),0)-WEEKDAY(MAX($A70,Settings!$F$56)),7))/7)+1)),IF(AND(IF(Settings!$E$56="",$B70,DATE(YEAR($A70),MONTH($A70),MIN(Settings!$E$56,DAY($B70))))&gt;=MAX($A70,Settings!$F$56),IF(Settings!$E$56="",$B70,DATE(YEAR($A70),MONTH($A70),MIN(Settings!$E$56,DAY($B70))))&lt;=MIN(Settings!$B$5,IF(Settings!$G$56="",Settings!$B$5,Settings!$G$56))),1,0)))))</f>
        <v/>
      </c>
      <c r="FF70">
        <f>IF(Settings!$I$45="Yes",$G70,0)+IF(Settings!$I$46="Yes",$H70,0)+IF(Settings!$I$47="Yes",$I70,0)+IF(Settings!$I$48="Yes",$J70,0)+IF(Settings!$I$49="Yes",$K70,0)+IF(Settings!$I$50="Yes",$L70,0)+IF(Settings!$I$51="Yes",$M70,0)+IF(Settings!$I$52="Yes",$N70,0)+IF(Settings!$I$53="Yes",$O70,0)+IF(Settings!$I$54="Yes",$P70,0)+IF(Settings!$I$55="Yes",$Q70,0)+IF(Settings!$I$56="Yes",$R70,0)</f>
        <v/>
      </c>
      <c r="FG70">
        <f>IF(AND(Settings!$I$45="Yes",Settings!$J$45="No"),$G70,0)+IF(AND(Settings!$I$46="Yes",Settings!$J$46="No"),$H70,0)+IF(AND(Settings!$I$47="Yes",Settings!$J$47="No"),$I70,0)+IF(AND(Settings!$I$48="Yes",Settings!$J$48="No"),$J70,0)+IF(AND(Settings!$I$49="Yes",Settings!$J$49="No"),$K70,0)+IF(AND(Settings!$I$50="Yes",Settings!$J$50="No"),$L70,0)+IF(AND(Settings!$I$51="Yes",Settings!$J$51="No"),$M70,0)+IF(AND(Settings!$I$52="Yes",Settings!$J$52="No"),$N70,0)+IF(AND(Settings!$I$53="Yes",Settings!$J$53="No"),$O70,0)+IF(AND(Settings!$I$54="Yes",Settings!$J$54="No"),$P70,0)+IF(AND(Settings!$I$55="Yes",Settings!$J$55="No"),$Q70,0)+IF(AND(Settings!$I$56="Yes",Settings!$J$56="No"),$R70,0)</f>
        <v/>
      </c>
      <c r="FH70">
        <f>SUMIFS(Giving!$B$7:$B$2006,Giving!$A$7:$A$2006,"&gt;="&amp;$A70,Giving!$A$7:$A$2006,"&lt;="&amp;$B70,Giving!$G$7:$G$2006,"Yes")+IF(OR(OR(Settings!$B$60="",Settings!$F$60="No"),Settings!$H$60&lt;&gt;"Yes"),0,Settings!$B$60*IF(AND(IF(Settings!$C$60="",$B70,DATE(YEAR($A70),MONTH($A70),MIN(Settings!$C$60,DAY($B70))))&gt;=MAX($A70,Settings!$D$60),IF(Settings!$C$60="",$B70,DATE(YEAR($A70),MONTH($A70),MIN(Settings!$C$60,DAY($B70))))&lt;=MIN($C70,IF(Settings!$E$60="",$C70,Settings!$E$60))),1,0))+IF(OR(OR(Settings!$B$61="",Settings!$F$61="No"),Settings!$H$61&lt;&gt;"Yes"),0,Settings!$B$61*IF(AND(IF(Settings!$C$61="",$B70,DATE(YEAR($A70),MONTH($A70),MIN(Settings!$C$61,DAY($B70))))&gt;=MAX($A70,Settings!$D$61),IF(Settings!$C$61="",$B70,DATE(YEAR($A70),MONTH($A70),MIN(Settings!$C$61,DAY($B70))))&lt;=MIN($C70,IF(Settings!$E$61="",$C70,Settings!$E$61))),1,0))+IF(OR(OR(Settings!$B$62="",Settings!$F$62="No"),Settings!$H$62&lt;&gt;"Yes"),0,Settings!$B$62*IF(AND(IF(Settings!$C$62="",$B70,DATE(YEAR($A70),MONTH($A70),MIN(Settings!$C$62,DAY($B70))))&gt;=MAX($A70,Settings!$D$62),IF(Settings!$C$62="",$B70,DATE(YEAR($A70),MONTH($A70),MIN(Settings!$C$62,DAY($B70))))&lt;=MIN($C70,IF(Settings!$E$62="",$C70,Settings!$E$62))),1,0))+IF(OR(OR(Settings!$B$63="",Settings!$F$63="No"),Settings!$H$63&lt;&gt;"Yes"),0,Settings!$B$63*IF(AND(IF(Settings!$C$63="",$B70,DATE(YEAR($A70),MONTH($A70),MIN(Settings!$C$63,DAY($B70))))&gt;=MAX($A70,Settings!$D$63),IF(Settings!$C$63="",$B70,DATE(YEAR($A70),MONTH($A70),MIN(Settings!$C$63,DAY($B70))))&lt;=MIN($C70,IF(Settings!$E$63="",$C70,Settings!$E$63))),1,0))+IF(OR(OR(Settings!$B$64="",Settings!$F$64="No"),Settings!$H$64&lt;&gt;"Yes"),0,Settings!$B$64*IF(AND(IF(Settings!$C$64="",$B70,DATE(YEAR($A70),MONTH($A70),MIN(Settings!$C$64,DAY($B70))))&gt;=MAX($A70,Settings!$D$64),IF(Settings!$C$64="",$B70,DATE(YEAR($A70),MONTH($A70),MIN(Settings!$C$64,DAY($B70))))&lt;=MIN($C70,IF(Settings!$E$64="",$C70,Settings!$E$64))),1,0))+IF(OR(OR(Settings!$B$65="",Settings!$F$65="No"),Settings!$H$65&lt;&gt;"Yes"),0,Settings!$B$65*IF(AND(IF(Settings!$C$65="",$B70,DATE(YEAR($A70),MONTH($A70),MIN(Settings!$C$65,DAY($B70))))&gt;=MAX($A70,Settings!$D$65),IF(Settings!$C$65="",$B70,DATE(YEAR($A70),MONTH($A70),MIN(Settings!$C$65,DAY($B70))))&lt;=MIN($C70,IF(Settings!$E$65="",$C70,Settings!$E$65))),1,0))</f>
        <v/>
      </c>
      <c r="FI70">
        <f>IF($DT70=1,IF(OR(Settings!$B$19="Card",Settings!$B$19="Loan"),N($AE70),0)+IF(OR(Settings!$B$20="Card",Settings!$B$20="Loan"),N($AF70),0)+IF(OR(Settings!$B$21="Card",Settings!$B$21="Loan"),N($AG70),0)+IF(OR(Settings!$B$22="Card",Settings!$B$22="Loan"),N($AH70),0)+IF(OR(Settings!$B$23="Card",Settings!$B$23="Loan"),N($AI70),0)+IF(OR(Settings!$B$24="Card",Settings!$B$24="Loan"),N($AJ70),0)+IF(OR(Settings!$B$25="Card",Settings!$B$25="Loan"),N($AK70),0)+IF(OR(Settings!$B$26="Card",Settings!$B$26="Loan"),N($AL70),0)+IF(OR(Settings!$B$27="Card",Settings!$B$27="Loan"),N($AM70),0)+IF(OR(Settings!$B$28="Card",Settings!$B$28="Loan"),N($AN70),0)+IF(OR(Settings!$B$29="Card",Settings!$B$29="Loan"),N($AO70),0)+IF(OR(Settings!$B$30="Card",Settings!$B$30="Loan"),N($AP70),0)+IF(OR(Settings!$B$31="Card",Settings!$B$31="Loan"),N($AQ70),0)+IF(OR(Settings!$B$32="Card",Settings!$B$32="Loan"),N($AR70),0),"")</f>
        <v/>
      </c>
      <c r="FJ70">
        <f>IF($E70="open",$EB$65,IF($E70="post",IF($E69="pre",$EB$65,$FI69),""))</f>
        <v/>
      </c>
      <c r="FK70">
        <f>IF(AND($DT70=1,$DC70=1),IF(ROUND($FI70-$FJ70,2)&gt;0,1,0),0)</f>
        <v/>
      </c>
      <c r="FL70">
        <f>IF($FK70=1,$FL69+1,0)</f>
        <v/>
      </c>
    </row>
    <row r="71">
      <c r="A71">
        <f>'Month-End'!$BP$4</f>
        <v/>
      </c>
      <c r="B71">
        <f>EOMONTH($A71,0)</f>
        <v/>
      </c>
      <c r="C71">
        <f>MIN($B71,TODAY())</f>
        <v/>
      </c>
      <c r="D71">
        <f>IF($A71&gt;TODAY(),1,0)</f>
        <v/>
      </c>
      <c r="E71">
        <f>IF($B71&lt;=Settings!$B$5,"pre",IF($A71&lt;=Settings!$B$5,"open","post"))</f>
        <v/>
      </c>
      <c r="G71">
        <f>IF('Month-End'!$BP$22="",$BE71,N('Month-End'!$BP$22))</f>
        <v/>
      </c>
      <c r="H71">
        <f>IF('Month-End'!$BP$23="",$BF71,N('Month-End'!$BP$23))</f>
        <v/>
      </c>
      <c r="I71">
        <f>IF('Month-End'!$BP$24="",$BG71,N('Month-End'!$BP$24))</f>
        <v/>
      </c>
      <c r="J71">
        <f>IF('Month-End'!$BP$25="",$BH71,N('Month-End'!$BP$25))</f>
        <v/>
      </c>
      <c r="K71">
        <f>IF('Month-End'!$BP$26="",$BI71,N('Month-End'!$BP$26))</f>
        <v/>
      </c>
      <c r="L71">
        <f>IF('Month-End'!$BP$27="",$BJ71,N('Month-End'!$BP$27))</f>
        <v/>
      </c>
      <c r="M71">
        <f>IF('Month-End'!$BP$28="",$BK71,N('Month-End'!$BP$28))</f>
        <v/>
      </c>
      <c r="N71">
        <f>IF('Month-End'!$BP$29="",$BL71,N('Month-End'!$BP$29))</f>
        <v/>
      </c>
      <c r="O71">
        <f>IF('Month-End'!$BP$30="",$BM71,N('Month-End'!$BP$30))</f>
        <v/>
      </c>
      <c r="P71">
        <f>IF('Month-End'!$BP$31="",$BN71,N('Month-End'!$BP$31))</f>
        <v/>
      </c>
      <c r="Q71">
        <f>IF('Month-End'!$BP$32="",$BO71,N('Month-End'!$BP$32))</f>
        <v/>
      </c>
      <c r="R71">
        <f>IF('Month-End'!$BP$33="",$BP71,N('Month-End'!$BP$33))</f>
        <v/>
      </c>
      <c r="S71">
        <f>$G71+$H71+$I71+$J71+$K71+$L71+$M71+$N71+$O71+$P71+$Q71+$R71</f>
        <v/>
      </c>
      <c r="T71">
        <f>IF($B71&lt;Settings!$B$6,0,IF(Settings!$B$45="Yes",$G71,0)+IF(Settings!$B$46="Yes",$H71,0)+IF(Settings!$B$47="Yes",$I71,0)+IF(Settings!$B$48="Yes",$J71,0)+IF(Settings!$B$49="Yes",$K71,0)+IF(Settings!$B$50="Yes",$L71,0)+IF(Settings!$B$51="Yes",$M71,0)+IF(Settings!$B$52="Yes",$N71,0)+IF(Settings!$B$53="Yes",$O71,0)+IF(Settings!$B$54="Yes",$P71,0)+IF(Settings!$B$55="Yes",$Q71,0)+IF(Settings!$B$56="Yes",$R71,0))</f>
        <v/>
      </c>
      <c r="U71">
        <f>IF(Settings!$B$45="Not Sure",$G71,0)+IF(Settings!$B$46="Not Sure",$H71,0)+IF(Settings!$B$47="Not Sure",$I71,0)+IF(Settings!$B$48="Not Sure",$J71,0)+IF(Settings!$B$49="Not Sure",$K71,0)+IF(Settings!$B$50="Not Sure",$L71,0)+IF(Settings!$B$51="Not Sure",$M71,0)+IF(Settings!$B$52="Not Sure",$N71,0)+IF(Settings!$B$53="Not Sure",$O71,0)+IF(Settings!$B$54="Not Sure",$P71,0)+IF(Settings!$B$55="Not Sure",$Q71,0)+IF(Settings!$B$56="Not Sure",$R71,0)</f>
        <v/>
      </c>
      <c r="V71">
        <f>IF($E71="open",SUM($ET71:$FE71)+N(Settings!$B$13),0)</f>
        <v/>
      </c>
      <c r="W71">
        <f>IF($E71="post",$S71,IF($E71="open",$S71-$V71,0))</f>
        <v/>
      </c>
      <c r="X71">
        <f>SUMIFS(Giving!$B$7:$B$2006,Giving!$A$7:$A$2006,"&gt;="&amp;$A71,Giving!$A$7:$A$2006,"&lt;="&amp;$B71,Giving!$E$7:$E$2006,"&lt;&gt;No")</f>
        <v/>
      </c>
      <c r="Y71">
        <f>SUMIFS(Giving!$B$7:$B$2006,Giving!$A$7:$A$2006,"&gt;="&amp;$A71,Giving!$A$7:$A$2006,"&lt;="&amp;$B71,Giving!$E$7:$E$2006,"No")</f>
        <v/>
      </c>
      <c r="Z71">
        <f>IF(OR(Settings!$B$60="",Settings!$F$60="No"),0,Settings!$B$60*IF(AND(IF(Settings!$C$60="",$B71,DATE(YEAR($A71),MONTH($A71),MIN(Settings!$C$60,DAY($B71))))&gt;=MAX($A71,Settings!$D$60),IF(Settings!$C$60="",$B71,DATE(YEAR($A71),MONTH($A71),MIN(Settings!$C$60,DAY($B71))))&lt;=MIN($C71,IF(Settings!$E$60="",$C71,Settings!$E$60))),1,0))+IF(OR(Settings!$B$61="",Settings!$F$61="No"),0,Settings!$B$61*IF(AND(IF(Settings!$C$61="",$B71,DATE(YEAR($A71),MONTH($A71),MIN(Settings!$C$61,DAY($B71))))&gt;=MAX($A71,Settings!$D$61),IF(Settings!$C$61="",$B71,DATE(YEAR($A71),MONTH($A71),MIN(Settings!$C$61,DAY($B71))))&lt;=MIN($C71,IF(Settings!$E$61="",$C71,Settings!$E$61))),1,0))+IF(OR(Settings!$B$62="",Settings!$F$62="No"),0,Settings!$B$62*IF(AND(IF(Settings!$C$62="",$B71,DATE(YEAR($A71),MONTH($A71),MIN(Settings!$C$62,DAY($B71))))&gt;=MAX($A71,Settings!$D$62),IF(Settings!$C$62="",$B71,DATE(YEAR($A71),MONTH($A71),MIN(Settings!$C$62,DAY($B71))))&lt;=MIN($C71,IF(Settings!$E$62="",$C71,Settings!$E$62))),1,0))+IF(OR(Settings!$B$63="",Settings!$F$63="No"),0,Settings!$B$63*IF(AND(IF(Settings!$C$63="",$B71,DATE(YEAR($A71),MONTH($A71),MIN(Settings!$C$63,DAY($B71))))&gt;=MAX($A71,Settings!$D$63),IF(Settings!$C$63="",$B71,DATE(YEAR($A71),MONTH($A71),MIN(Settings!$C$63,DAY($B71))))&lt;=MIN($C71,IF(Settings!$E$63="",$C71,Settings!$E$63))),1,0))+IF(OR(Settings!$B$64="",Settings!$F$64="No"),0,Settings!$B$64*IF(AND(IF(Settings!$C$64="",$B71,DATE(YEAR($A71),MONTH($A71),MIN(Settings!$C$64,DAY($B71))))&gt;=MAX($A71,Settings!$D$64),IF(Settings!$C$64="",$B71,DATE(YEAR($A71),MONTH($A71),MIN(Settings!$C$64,DAY($B71))))&lt;=MIN($C71,IF(Settings!$E$64="",$C71,Settings!$E$64))),1,0))+IF(OR(Settings!$B$65="",Settings!$F$65="No"),0,Settings!$B$65*IF(AND(IF(Settings!$C$65="",$B71,DATE(YEAR($A71),MONTH($A71),MIN(Settings!$C$65,DAY($B71))))&gt;=MAX($A71,Settings!$D$65),IF(Settings!$C$65="",$B71,DATE(YEAR($A71),MONTH($A71),MIN(Settings!$C$65,DAY($B71))))&lt;=MIN($C71,IF(Settings!$E$65="",$C71,Settings!$E$65))),1,0))</f>
        <v/>
      </c>
      <c r="AA71">
        <f>$X71+$Z71</f>
        <v/>
      </c>
      <c r="AB71">
        <f>IF($E71="post",$AA71,IF($E71="open",SUMIFS(Giving!$B$7:$B$2006,Giving!$A$7:$A$2006,"&gt;"&amp;Settings!$B$5,Giving!$A$7:$A$2006,"&lt;="&amp;$B71,Giving!$E$7:$E$2006,"&lt;&gt;No")+IF(OR(Settings!$B$60="",Settings!$F$60="No"),0,Settings!$B$60*IF(AND(IF(Settings!$C$60="",$B71,DATE(YEAR($A71),MONTH($A71),MIN(Settings!$C$60,DAY($B71))))&gt;=MAX($A71,Settings!$D$60,Settings!$B$5+1),IF(Settings!$C$60="",$B71,DATE(YEAR($A71),MONTH($A71),MIN(Settings!$C$60,DAY($B71))))&lt;=MIN($C71,IF(Settings!$E$60="",$C71,Settings!$E$60))),1,0))+IF(OR(Settings!$B$61="",Settings!$F$61="No"),0,Settings!$B$61*IF(AND(IF(Settings!$C$61="",$B71,DATE(YEAR($A71),MONTH($A71),MIN(Settings!$C$61,DAY($B71))))&gt;=MAX($A71,Settings!$D$61,Settings!$B$5+1),IF(Settings!$C$61="",$B71,DATE(YEAR($A71),MONTH($A71),MIN(Settings!$C$61,DAY($B71))))&lt;=MIN($C71,IF(Settings!$E$61="",$C71,Settings!$E$61))),1,0))+IF(OR(Settings!$B$62="",Settings!$F$62="No"),0,Settings!$B$62*IF(AND(IF(Settings!$C$62="",$B71,DATE(YEAR($A71),MONTH($A71),MIN(Settings!$C$62,DAY($B71))))&gt;=MAX($A71,Settings!$D$62,Settings!$B$5+1),IF(Settings!$C$62="",$B71,DATE(YEAR($A71),MONTH($A71),MIN(Settings!$C$62,DAY($B71))))&lt;=MIN($C71,IF(Settings!$E$62="",$C71,Settings!$E$62))),1,0))+IF(OR(Settings!$B$63="",Settings!$F$63="No"),0,Settings!$B$63*IF(AND(IF(Settings!$C$63="",$B71,DATE(YEAR($A71),MONTH($A71),MIN(Settings!$C$63,DAY($B71))))&gt;=MAX($A71,Settings!$D$63,Settings!$B$5+1),IF(Settings!$C$63="",$B71,DATE(YEAR($A71),MONTH($A71),MIN(Settings!$C$63,DAY($B71))))&lt;=MIN($C71,IF(Settings!$E$63="",$C71,Settings!$E$63))),1,0))+IF(OR(Settings!$B$64="",Settings!$F$64="No"),0,Settings!$B$64*IF(AND(IF(Settings!$C$64="",$B71,DATE(YEAR($A71),MONTH($A71),MIN(Settings!$C$64,DAY($B71))))&gt;=MAX($A71,Settings!$D$64,Settings!$B$5+1),IF(Settings!$C$64="",$B71,DATE(YEAR($A71),MONTH($A71),MIN(Settings!$C$64,DAY($B71))))&lt;=MIN($C71,IF(Settings!$E$64="",$C71,Settings!$E$64))),1,0))+IF(OR(Settings!$B$65="",Settings!$F$65="No"),0,Settings!$B$65*IF(AND(IF(Settings!$C$65="",$B71,DATE(YEAR($A71),MONTH($A71),MIN(Settings!$C$65,DAY($B71))))&gt;=MAX($A71,Settings!$D$65,Settings!$B$5+1),IF(Settings!$C$65="",$B71,DATE(YEAR($A71),MONTH($A71),MIN(Settings!$C$65,DAY($B71))))&lt;=MIN($C71,IF(Settings!$E$65="",$C71,Settings!$E$65))),1,0)),0))</f>
        <v/>
      </c>
      <c r="AC71">
        <f>$AY71+$AZ71+$BA71+$BB71+$BC71+$BD71</f>
        <v/>
      </c>
      <c r="AD71">
        <f>$AC71</f>
        <v/>
      </c>
      <c r="AE71">
        <f>IF(OR(Settings!$A$19="",$E71="pre"),"",IF(AND('Month-End'!$BP$7&lt;&gt;"",NOT(_xlfn.ISFORMULA('Month-End'!$BP$7))),N('Month-End'!$BP$7),IF(OR($E71="open",$E70="pre"),N(Settings!$C$19),N($AE70))))</f>
        <v/>
      </c>
      <c r="AF71">
        <f>IF(OR(Settings!$A$20="",$E71="pre"),"",IF(AND('Month-End'!$BP$8&lt;&gt;"",NOT(_xlfn.ISFORMULA('Month-End'!$BP$8))),N('Month-End'!$BP$8),IF(OR($E71="open",$E70="pre"),N(Settings!$C$20),N($AF70))))</f>
        <v/>
      </c>
      <c r="AG71">
        <f>IF(OR(Settings!$A$21="",$E71="pre"),"",IF(AND('Month-End'!$BP$9&lt;&gt;"",NOT(_xlfn.ISFORMULA('Month-End'!$BP$9))),N('Month-End'!$BP$9),IF(OR($E71="open",$E70="pre"),N(Settings!$C$21),N($AG70))))</f>
        <v/>
      </c>
      <c r="AH71">
        <f>IF(OR(Settings!$A$22="",$E71="pre"),"",IF(AND('Month-End'!$BP$10&lt;&gt;"",NOT(_xlfn.ISFORMULA('Month-End'!$BP$10))),N('Month-End'!$BP$10),IF(OR($E71="open",$E70="pre"),N(Settings!$C$22),N($AH70))))</f>
        <v/>
      </c>
      <c r="AI71">
        <f>IF(OR(Settings!$A$23="",$E71="pre"),"",IF(AND('Month-End'!$BP$11&lt;&gt;"",NOT(_xlfn.ISFORMULA('Month-End'!$BP$11))),N('Month-End'!$BP$11),IF(OR($E71="open",$E70="pre"),N(Settings!$C$23),N($AI70))))</f>
        <v/>
      </c>
      <c r="AJ71">
        <f>IF(OR(Settings!$A$24="",$E71="pre"),"",IF(AND('Month-End'!$BP$12&lt;&gt;"",NOT(_xlfn.ISFORMULA('Month-End'!$BP$12))),N('Month-End'!$BP$12),IF(OR($E71="open",$E70="pre"),N(Settings!$C$24),N($AJ70))))</f>
        <v/>
      </c>
      <c r="AK71">
        <f>IF(OR(Settings!$A$25="",$E71="pre"),"",IF(AND('Month-End'!$BP$13&lt;&gt;"",NOT(_xlfn.ISFORMULA('Month-End'!$BP$13))),N('Month-End'!$BP$13),IF(OR($E71="open",$E70="pre"),N(Settings!$C$25),N($AK70))))</f>
        <v/>
      </c>
      <c r="AL71">
        <f>IF(OR(Settings!$A$26="",$E71="pre"),"",IF(AND('Month-End'!$BP$14&lt;&gt;"",NOT(_xlfn.ISFORMULA('Month-End'!$BP$14))),N('Month-End'!$BP$14),IF(OR($E71="open",$E70="pre"),N(Settings!$C$26),N($AL70))))</f>
        <v/>
      </c>
      <c r="AM71">
        <f>IF(OR(Settings!$A$27="",$E71="pre"),"",IF(AND('Month-End'!$BP$15&lt;&gt;"",NOT(_xlfn.ISFORMULA('Month-End'!$BP$15))),N('Month-End'!$BP$15),IF(OR($E71="open",$E70="pre"),N(Settings!$C$27),N($AM70))))</f>
        <v/>
      </c>
      <c r="AN71">
        <f>IF(OR(Settings!$A$28="",$E71="pre"),"",IF(AND('Month-End'!$BP$16&lt;&gt;"",NOT(_xlfn.ISFORMULA('Month-End'!$BP$16))),N('Month-End'!$BP$16),IF(OR($E71="open",$E70="pre"),N(Settings!$C$28),N($AN70))))</f>
        <v/>
      </c>
      <c r="AO71">
        <f>IF(OR(Settings!$A$29="",$E71="pre"),"",IF(AND('Month-End'!$BP$17&lt;&gt;"",NOT(_xlfn.ISFORMULA('Month-End'!$BP$17))),N('Month-End'!$BP$17),IF(OR($E71="open",$E70="pre"),N(Settings!$C$29),N($AO70))))</f>
        <v/>
      </c>
      <c r="AP71">
        <f>IF(OR(Settings!$A$30="",$E71="pre"),"",IF(AND('Month-End'!$BP$18&lt;&gt;"",NOT(_xlfn.ISFORMULA('Month-End'!$BP$18))),N('Month-End'!$BP$18),IF(OR($E71="open",$E70="pre"),N(Settings!$C$30),N($AP70))))</f>
        <v/>
      </c>
      <c r="AQ71">
        <f>IF(OR(Settings!$A$31="",$E71="pre"),"",IF(AND('Month-End'!$BP$19&lt;&gt;"",NOT(_xlfn.ISFORMULA('Month-End'!$BP$19))),N('Month-End'!$BP$19),IF(OR($E71="open",$E70="pre"),N(Settings!$C$31),N($AQ70))))</f>
        <v/>
      </c>
      <c r="AR71">
        <f>IF(OR(Settings!$A$32="",$E71="pre"),"",IF(AND('Month-End'!$BP$20&lt;&gt;"",NOT(_xlfn.ISFORMULA('Month-End'!$BP$20))),N('Month-End'!$BP$20),IF(OR($E71="open",$E70="pre"),N(Settings!$C$32),N($AR70))))</f>
        <v/>
      </c>
      <c r="AS71">
        <f>IF(OR(Settings!$A$36="",$E71="pre"),"",IF(AND('Month-End'!$BP$38&lt;&gt;"",NOT(_xlfn.ISFORMULA('Month-End'!$BP$38))),N('Month-End'!$BP$38),IF(OR($E71="open",$E70="pre"),N(Settings!$C$36),N($AS70))+$AY71))</f>
        <v/>
      </c>
      <c r="AT71">
        <f>IF(OR(Settings!$A$37="",$E71="pre"),"",IF(AND('Month-End'!$BP$39&lt;&gt;"",NOT(_xlfn.ISFORMULA('Month-End'!$BP$39))),N('Month-End'!$BP$39),IF(OR($E71="open",$E70="pre"),N(Settings!$C$37),N($AT70))+$AZ71))</f>
        <v/>
      </c>
      <c r="AU71">
        <f>IF(OR(Settings!$A$38="",$E71="pre"),"",IF(AND('Month-End'!$BP$40&lt;&gt;"",NOT(_xlfn.ISFORMULA('Month-End'!$BP$40))),N('Month-End'!$BP$40),IF(OR($E71="open",$E70="pre"),N(Settings!$C$38),N($AU70))+$BA71))</f>
        <v/>
      </c>
      <c r="AV71">
        <f>IF(OR(Settings!$A$39="",$E71="pre"),"",IF(AND('Month-End'!$BP$41&lt;&gt;"",NOT(_xlfn.ISFORMULA('Month-End'!$BP$41))),N('Month-End'!$BP$41),IF(OR($E71="open",$E70="pre"),N(Settings!$C$39),N($AV70))+$BB71))</f>
        <v/>
      </c>
      <c r="AW71">
        <f>IF(OR(Settings!$A$40="",$E71="pre"),"",IF(AND('Month-End'!$BP$42&lt;&gt;"",NOT(_xlfn.ISFORMULA('Month-End'!$BP$42))),N('Month-End'!$BP$42),IF(OR($E71="open",$E70="pre"),N(Settings!$C$40),N($AW70))+$BC71))</f>
        <v/>
      </c>
      <c r="AX71">
        <f>IF(OR(Settings!$A$41="",$E71="pre"),"",IF(AND('Month-End'!$BP$43&lt;&gt;"",NOT(_xlfn.ISFORMULA('Month-End'!$BP$43))),N('Month-End'!$BP$43),IF(OR($E71="open",$E70="pre"),N(Settings!$C$41),N($AX70))+$BD71))</f>
        <v/>
      </c>
      <c r="AY71">
        <f>IF($E71="pre",0,N('Month-End'!$BP$45))</f>
        <v/>
      </c>
      <c r="AZ71">
        <f>IF($E71="pre",0,N('Month-End'!$BP$46))</f>
        <v/>
      </c>
      <c r="BA71">
        <f>IF($E71="pre",0,N('Month-End'!$BP$47))</f>
        <v/>
      </c>
      <c r="BB71">
        <f>IF($E71="pre",0,N('Month-End'!$BP$48))</f>
        <v/>
      </c>
      <c r="BC71">
        <f>IF($E71="pre",0,N('Month-End'!$BP$49))</f>
        <v/>
      </c>
      <c r="BD71">
        <f>IF($E71="pre",0,N('Month-End'!$BP$50))</f>
        <v/>
      </c>
      <c r="BE71">
        <f>IF(OR(Settings!$C$45="",Settings!$D$45=""),0,Settings!$C$45*IF(Settings!$D$45="Weekly",IF(IFERROR(MATCH(Settings!$E$45,$EO$4:$EO$10,0),0)=0,0,IF(MIN($C71,IF(Settings!$G$45="",$C71,Settings!$G$45))&lt;MAX($A71,Settings!$F$45),0,INT((MIN($C71,IF(Settings!$G$45="",$C71,Settings!$G$45))-MAX($A71,Settings!$F$45)-MOD(IFERROR(MATCH(Settings!$E$45,$EO$4:$EO$10,0),0)-WEEKDAY(MAX($A71,Settings!$F$45)),7))/7)+1)),IF(AND(IF(Settings!$E$45="",$B71,DATE(YEAR($A71),MONTH($A71),MIN(Settings!$E$45,DAY($B71))))&gt;=MAX($A71,Settings!$F$45),IF(Settings!$E$45="",$B71,DATE(YEAR($A71),MONTH($A71),MIN(Settings!$E$45,DAY($B71))))&lt;=MIN($C71,IF(Settings!$G$45="",$C71,Settings!$G$45))),1,0)))</f>
        <v/>
      </c>
      <c r="BF71">
        <f>IF(OR(Settings!$C$46="",Settings!$D$46=""),0,Settings!$C$46*IF(Settings!$D$46="Weekly",IF(IFERROR(MATCH(Settings!$E$46,$EO$4:$EO$10,0),0)=0,0,IF(MIN($C71,IF(Settings!$G$46="",$C71,Settings!$G$46))&lt;MAX($A71,Settings!$F$46),0,INT((MIN($C71,IF(Settings!$G$46="",$C71,Settings!$G$46))-MAX($A71,Settings!$F$46)-MOD(IFERROR(MATCH(Settings!$E$46,$EO$4:$EO$10,0),0)-WEEKDAY(MAX($A71,Settings!$F$46)),7))/7)+1)),IF(AND(IF(Settings!$E$46="",$B71,DATE(YEAR($A71),MONTH($A71),MIN(Settings!$E$46,DAY($B71))))&gt;=MAX($A71,Settings!$F$46),IF(Settings!$E$46="",$B71,DATE(YEAR($A71),MONTH($A71),MIN(Settings!$E$46,DAY($B71))))&lt;=MIN($C71,IF(Settings!$G$46="",$C71,Settings!$G$46))),1,0)))</f>
        <v/>
      </c>
      <c r="BG71">
        <f>IF(OR(Settings!$C$47="",Settings!$D$47=""),0,Settings!$C$47*IF(Settings!$D$47="Weekly",IF(IFERROR(MATCH(Settings!$E$47,$EO$4:$EO$10,0),0)=0,0,IF(MIN($C71,IF(Settings!$G$47="",$C71,Settings!$G$47))&lt;MAX($A71,Settings!$F$47),0,INT((MIN($C71,IF(Settings!$G$47="",$C71,Settings!$G$47))-MAX($A71,Settings!$F$47)-MOD(IFERROR(MATCH(Settings!$E$47,$EO$4:$EO$10,0),0)-WEEKDAY(MAX($A71,Settings!$F$47)),7))/7)+1)),IF(AND(IF(Settings!$E$47="",$B71,DATE(YEAR($A71),MONTH($A71),MIN(Settings!$E$47,DAY($B71))))&gt;=MAX($A71,Settings!$F$47),IF(Settings!$E$47="",$B71,DATE(YEAR($A71),MONTH($A71),MIN(Settings!$E$47,DAY($B71))))&lt;=MIN($C71,IF(Settings!$G$47="",$C71,Settings!$G$47))),1,0)))</f>
        <v/>
      </c>
      <c r="BH71">
        <f>IF(OR(Settings!$C$48="",Settings!$D$48=""),0,Settings!$C$48*IF(Settings!$D$48="Weekly",IF(IFERROR(MATCH(Settings!$E$48,$EO$4:$EO$10,0),0)=0,0,IF(MIN($C71,IF(Settings!$G$48="",$C71,Settings!$G$48))&lt;MAX($A71,Settings!$F$48),0,INT((MIN($C71,IF(Settings!$G$48="",$C71,Settings!$G$48))-MAX($A71,Settings!$F$48)-MOD(IFERROR(MATCH(Settings!$E$48,$EO$4:$EO$10,0),0)-WEEKDAY(MAX($A71,Settings!$F$48)),7))/7)+1)),IF(AND(IF(Settings!$E$48="",$B71,DATE(YEAR($A71),MONTH($A71),MIN(Settings!$E$48,DAY($B71))))&gt;=MAX($A71,Settings!$F$48),IF(Settings!$E$48="",$B71,DATE(YEAR($A71),MONTH($A71),MIN(Settings!$E$48,DAY($B71))))&lt;=MIN($C71,IF(Settings!$G$48="",$C71,Settings!$G$48))),1,0)))</f>
        <v/>
      </c>
      <c r="BI71">
        <f>IF(OR(Settings!$C$49="",Settings!$D$49=""),0,Settings!$C$49*IF(Settings!$D$49="Weekly",IF(IFERROR(MATCH(Settings!$E$49,$EO$4:$EO$10,0),0)=0,0,IF(MIN($C71,IF(Settings!$G$49="",$C71,Settings!$G$49))&lt;MAX($A71,Settings!$F$49),0,INT((MIN($C71,IF(Settings!$G$49="",$C71,Settings!$G$49))-MAX($A71,Settings!$F$49)-MOD(IFERROR(MATCH(Settings!$E$49,$EO$4:$EO$10,0),0)-WEEKDAY(MAX($A71,Settings!$F$49)),7))/7)+1)),IF(AND(IF(Settings!$E$49="",$B71,DATE(YEAR($A71),MONTH($A71),MIN(Settings!$E$49,DAY($B71))))&gt;=MAX($A71,Settings!$F$49),IF(Settings!$E$49="",$B71,DATE(YEAR($A71),MONTH($A71),MIN(Settings!$E$49,DAY($B71))))&lt;=MIN($C71,IF(Settings!$G$49="",$C71,Settings!$G$49))),1,0)))</f>
        <v/>
      </c>
      <c r="BJ71">
        <f>IF(OR(Settings!$C$50="",Settings!$D$50=""),0,Settings!$C$50*IF(Settings!$D$50="Weekly",IF(IFERROR(MATCH(Settings!$E$50,$EO$4:$EO$10,0),0)=0,0,IF(MIN($C71,IF(Settings!$G$50="",$C71,Settings!$G$50))&lt;MAX($A71,Settings!$F$50),0,INT((MIN($C71,IF(Settings!$G$50="",$C71,Settings!$G$50))-MAX($A71,Settings!$F$50)-MOD(IFERROR(MATCH(Settings!$E$50,$EO$4:$EO$10,0),0)-WEEKDAY(MAX($A71,Settings!$F$50)),7))/7)+1)),IF(AND(IF(Settings!$E$50="",$B71,DATE(YEAR($A71),MONTH($A71),MIN(Settings!$E$50,DAY($B71))))&gt;=MAX($A71,Settings!$F$50),IF(Settings!$E$50="",$B71,DATE(YEAR($A71),MONTH($A71),MIN(Settings!$E$50,DAY($B71))))&lt;=MIN($C71,IF(Settings!$G$50="",$C71,Settings!$G$50))),1,0)))</f>
        <v/>
      </c>
      <c r="BK71">
        <f>IF(OR(Settings!$C$51="",Settings!$D$51=""),0,Settings!$C$51*IF(Settings!$D$51="Weekly",IF(IFERROR(MATCH(Settings!$E$51,$EO$4:$EO$10,0),0)=0,0,IF(MIN($C71,IF(Settings!$G$51="",$C71,Settings!$G$51))&lt;MAX($A71,Settings!$F$51),0,INT((MIN($C71,IF(Settings!$G$51="",$C71,Settings!$G$51))-MAX($A71,Settings!$F$51)-MOD(IFERROR(MATCH(Settings!$E$51,$EO$4:$EO$10,0),0)-WEEKDAY(MAX($A71,Settings!$F$51)),7))/7)+1)),IF(AND(IF(Settings!$E$51="",$B71,DATE(YEAR($A71),MONTH($A71),MIN(Settings!$E$51,DAY($B71))))&gt;=MAX($A71,Settings!$F$51),IF(Settings!$E$51="",$B71,DATE(YEAR($A71),MONTH($A71),MIN(Settings!$E$51,DAY($B71))))&lt;=MIN($C71,IF(Settings!$G$51="",$C71,Settings!$G$51))),1,0)))</f>
        <v/>
      </c>
      <c r="BL71">
        <f>IF(OR(Settings!$C$52="",Settings!$D$52=""),0,Settings!$C$52*IF(Settings!$D$52="Weekly",IF(IFERROR(MATCH(Settings!$E$52,$EO$4:$EO$10,0),0)=0,0,IF(MIN($C71,IF(Settings!$G$52="",$C71,Settings!$G$52))&lt;MAX($A71,Settings!$F$52),0,INT((MIN($C71,IF(Settings!$G$52="",$C71,Settings!$G$52))-MAX($A71,Settings!$F$52)-MOD(IFERROR(MATCH(Settings!$E$52,$EO$4:$EO$10,0),0)-WEEKDAY(MAX($A71,Settings!$F$52)),7))/7)+1)),IF(AND(IF(Settings!$E$52="",$B71,DATE(YEAR($A71),MONTH($A71),MIN(Settings!$E$52,DAY($B71))))&gt;=MAX($A71,Settings!$F$52),IF(Settings!$E$52="",$B71,DATE(YEAR($A71),MONTH($A71),MIN(Settings!$E$52,DAY($B71))))&lt;=MIN($C71,IF(Settings!$G$52="",$C71,Settings!$G$52))),1,0)))</f>
        <v/>
      </c>
      <c r="BM71">
        <f>IF(OR(Settings!$C$53="",Settings!$D$53=""),0,Settings!$C$53*IF(Settings!$D$53="Weekly",IF(IFERROR(MATCH(Settings!$E$53,$EO$4:$EO$10,0),0)=0,0,IF(MIN($C71,IF(Settings!$G$53="",$C71,Settings!$G$53))&lt;MAX($A71,Settings!$F$53),0,INT((MIN($C71,IF(Settings!$G$53="",$C71,Settings!$G$53))-MAX($A71,Settings!$F$53)-MOD(IFERROR(MATCH(Settings!$E$53,$EO$4:$EO$10,0),0)-WEEKDAY(MAX($A71,Settings!$F$53)),7))/7)+1)),IF(AND(IF(Settings!$E$53="",$B71,DATE(YEAR($A71),MONTH($A71),MIN(Settings!$E$53,DAY($B71))))&gt;=MAX($A71,Settings!$F$53),IF(Settings!$E$53="",$B71,DATE(YEAR($A71),MONTH($A71),MIN(Settings!$E$53,DAY($B71))))&lt;=MIN($C71,IF(Settings!$G$53="",$C71,Settings!$G$53))),1,0)))</f>
        <v/>
      </c>
      <c r="BN71">
        <f>IF(OR(Settings!$C$54="",Settings!$D$54=""),0,Settings!$C$54*IF(Settings!$D$54="Weekly",IF(IFERROR(MATCH(Settings!$E$54,$EO$4:$EO$10,0),0)=0,0,IF(MIN($C71,IF(Settings!$G$54="",$C71,Settings!$G$54))&lt;MAX($A71,Settings!$F$54),0,INT((MIN($C71,IF(Settings!$G$54="",$C71,Settings!$G$54))-MAX($A71,Settings!$F$54)-MOD(IFERROR(MATCH(Settings!$E$54,$EO$4:$EO$10,0),0)-WEEKDAY(MAX($A71,Settings!$F$54)),7))/7)+1)),IF(AND(IF(Settings!$E$54="",$B71,DATE(YEAR($A71),MONTH($A71),MIN(Settings!$E$54,DAY($B71))))&gt;=MAX($A71,Settings!$F$54),IF(Settings!$E$54="",$B71,DATE(YEAR($A71),MONTH($A71),MIN(Settings!$E$54,DAY($B71))))&lt;=MIN($C71,IF(Settings!$G$54="",$C71,Settings!$G$54))),1,0)))</f>
        <v/>
      </c>
      <c r="BO71">
        <f>IF(OR(Settings!$C$55="",Settings!$D$55=""),0,Settings!$C$55*IF(Settings!$D$55="Weekly",IF(IFERROR(MATCH(Settings!$E$55,$EO$4:$EO$10,0),0)=0,0,IF(MIN($C71,IF(Settings!$G$55="",$C71,Settings!$G$55))&lt;MAX($A71,Settings!$F$55),0,INT((MIN($C71,IF(Settings!$G$55="",$C71,Settings!$G$55))-MAX($A71,Settings!$F$55)-MOD(IFERROR(MATCH(Settings!$E$55,$EO$4:$EO$10,0),0)-WEEKDAY(MAX($A71,Settings!$F$55)),7))/7)+1)),IF(AND(IF(Settings!$E$55="",$B71,DATE(YEAR($A71),MONTH($A71),MIN(Settings!$E$55,DAY($B71))))&gt;=MAX($A71,Settings!$F$55),IF(Settings!$E$55="",$B71,DATE(YEAR($A71),MONTH($A71),MIN(Settings!$E$55,DAY($B71))))&lt;=MIN($C71,IF(Settings!$G$55="",$C71,Settings!$G$55))),1,0)))</f>
        <v/>
      </c>
      <c r="BP71">
        <f>IF(OR(Settings!$C$56="",Settings!$D$56=""),0,Settings!$C$56*IF(Settings!$D$56="Weekly",IF(IFERROR(MATCH(Settings!$E$56,$EO$4:$EO$10,0),0)=0,0,IF(MIN($C71,IF(Settings!$G$56="",$C71,Settings!$G$56))&lt;MAX($A71,Settings!$F$56),0,INT((MIN($C71,IF(Settings!$G$56="",$C71,Settings!$G$56))-MAX($A71,Settings!$F$56)-MOD(IFERROR(MATCH(Settings!$E$56,$EO$4:$EO$10,0),0)-WEEKDAY(MAX($A71,Settings!$F$56)),7))/7)+1)),IF(AND(IF(Settings!$E$56="",$B71,DATE(YEAR($A71),MONTH($A71),MIN(Settings!$E$56,DAY($B71))))&gt;=MAX($A71,Settings!$F$56),IF(Settings!$E$56="",$B71,DATE(YEAR($A71),MONTH($A71),MIN(Settings!$E$56,DAY($B71))))&lt;=MIN($C71,IF(Settings!$G$56="",$C71,Settings!$G$56))),1,0)))</f>
        <v/>
      </c>
      <c r="BQ71">
        <f>IF(OR(Settings!$B$14="",$D71=1,$E71="pre",$A71&lt;IF(Settings!$B$15="",0,Settings!$B$15)),0,Settings!$B$14)</f>
        <v/>
      </c>
      <c r="BR71">
        <f>IF(AND('Month-End'!$BP$7&lt;&gt;"",NOT(_xlfn.ISFORMULA('Month-End'!$BP$7))),1,0)</f>
        <v/>
      </c>
      <c r="BS71">
        <f>IF(AND('Month-End'!$BP$8&lt;&gt;"",NOT(_xlfn.ISFORMULA('Month-End'!$BP$8))),1,0)</f>
        <v/>
      </c>
      <c r="BT71">
        <f>IF(AND('Month-End'!$BP$9&lt;&gt;"",NOT(_xlfn.ISFORMULA('Month-End'!$BP$9))),1,0)</f>
        <v/>
      </c>
      <c r="BU71">
        <f>IF(AND('Month-End'!$BP$10&lt;&gt;"",NOT(_xlfn.ISFORMULA('Month-End'!$BP$10))),1,0)</f>
        <v/>
      </c>
      <c r="BV71">
        <f>IF(AND('Month-End'!$BP$11&lt;&gt;"",NOT(_xlfn.ISFORMULA('Month-End'!$BP$11))),1,0)</f>
        <v/>
      </c>
      <c r="BW71">
        <f>IF(AND('Month-End'!$BP$12&lt;&gt;"",NOT(_xlfn.ISFORMULA('Month-End'!$BP$12))),1,0)</f>
        <v/>
      </c>
      <c r="BX71">
        <f>IF(AND('Month-End'!$BP$13&lt;&gt;"",NOT(_xlfn.ISFORMULA('Month-End'!$BP$13))),1,0)</f>
        <v/>
      </c>
      <c r="BY71">
        <f>IF(AND('Month-End'!$BP$14&lt;&gt;"",NOT(_xlfn.ISFORMULA('Month-End'!$BP$14))),1,0)</f>
        <v/>
      </c>
      <c r="BZ71">
        <f>IF(AND('Month-End'!$BP$15&lt;&gt;"",NOT(_xlfn.ISFORMULA('Month-End'!$BP$15))),1,0)</f>
        <v/>
      </c>
      <c r="CA71">
        <f>IF(AND('Month-End'!$BP$16&lt;&gt;"",NOT(_xlfn.ISFORMULA('Month-End'!$BP$16))),1,0)</f>
        <v/>
      </c>
      <c r="CB71">
        <f>IF(AND('Month-End'!$BP$17&lt;&gt;"",NOT(_xlfn.ISFORMULA('Month-End'!$BP$17))),1,0)</f>
        <v/>
      </c>
      <c r="CC71">
        <f>IF(AND('Month-End'!$BP$18&lt;&gt;"",NOT(_xlfn.ISFORMULA('Month-End'!$BP$18))),1,0)</f>
        <v/>
      </c>
      <c r="CD71">
        <f>IF(AND('Month-End'!$BP$19&lt;&gt;"",NOT(_xlfn.ISFORMULA('Month-End'!$BP$19))),1,0)</f>
        <v/>
      </c>
      <c r="CE71">
        <f>IF(AND('Month-End'!$BP$20&lt;&gt;"",NOT(_xlfn.ISFORMULA('Month-End'!$BP$20))),1,0)</f>
        <v/>
      </c>
      <c r="CF71">
        <f>IF(AND('Month-End'!$BP$38&lt;&gt;"",NOT(_xlfn.ISFORMULA('Month-End'!$BP$38))),1,0)</f>
        <v/>
      </c>
      <c r="CG71">
        <f>IF(AND('Month-End'!$BP$39&lt;&gt;"",NOT(_xlfn.ISFORMULA('Month-End'!$BP$39))),1,0)</f>
        <v/>
      </c>
      <c r="CH71">
        <f>IF(AND('Month-End'!$BP$40&lt;&gt;"",NOT(_xlfn.ISFORMULA('Month-End'!$BP$40))),1,0)</f>
        <v/>
      </c>
      <c r="CI71">
        <f>IF(AND('Month-End'!$BP$41&lt;&gt;"",NOT(_xlfn.ISFORMULA('Month-End'!$BP$41))),1,0)</f>
        <v/>
      </c>
      <c r="CJ71">
        <f>IF(AND('Month-End'!$BP$42&lt;&gt;"",NOT(_xlfn.ISFORMULA('Month-End'!$BP$42))),1,0)</f>
        <v/>
      </c>
      <c r="CK71">
        <f>IF(AND('Month-End'!$BP$43&lt;&gt;"",NOT(_xlfn.ISFORMULA('Month-End'!$BP$43))),1,0)</f>
        <v/>
      </c>
      <c r="CL71">
        <f>SUM($CM71:$CZ71)</f>
        <v/>
      </c>
      <c r="CM71">
        <f>IF(AND($E71&lt;&gt;"pre",AND(Settings!$A$19&lt;&gt;"",Settings!$E$19&lt;&gt;"No"),Settings!$F$19="Yes",NOT(AND('Month-End'!$BP$7&lt;&gt;"",NOT(_xlfn.ISFORMULA('Month-End'!$BP$7))))),1,0)</f>
        <v/>
      </c>
      <c r="CN71">
        <f>IF(AND($E71&lt;&gt;"pre",AND(Settings!$A$20&lt;&gt;"",Settings!$E$20&lt;&gt;"No"),Settings!$F$20="Yes",NOT(AND('Month-End'!$BP$8&lt;&gt;"",NOT(_xlfn.ISFORMULA('Month-End'!$BP$8))))),1,0)</f>
        <v/>
      </c>
      <c r="CO71">
        <f>IF(AND($E71&lt;&gt;"pre",AND(Settings!$A$21&lt;&gt;"",Settings!$E$21&lt;&gt;"No"),Settings!$F$21="Yes",NOT(AND('Month-End'!$BP$9&lt;&gt;"",NOT(_xlfn.ISFORMULA('Month-End'!$BP$9))))),1,0)</f>
        <v/>
      </c>
      <c r="CP71">
        <f>IF(AND($E71&lt;&gt;"pre",AND(Settings!$A$22&lt;&gt;"",Settings!$E$22&lt;&gt;"No"),Settings!$F$22="Yes",NOT(AND('Month-End'!$BP$10&lt;&gt;"",NOT(_xlfn.ISFORMULA('Month-End'!$BP$10))))),1,0)</f>
        <v/>
      </c>
      <c r="CQ71">
        <f>IF(AND($E71&lt;&gt;"pre",AND(Settings!$A$23&lt;&gt;"",Settings!$E$23&lt;&gt;"No"),Settings!$F$23="Yes",NOT(AND('Month-End'!$BP$11&lt;&gt;"",NOT(_xlfn.ISFORMULA('Month-End'!$BP$11))))),1,0)</f>
        <v/>
      </c>
      <c r="CR71">
        <f>IF(AND($E71&lt;&gt;"pre",AND(Settings!$A$24&lt;&gt;"",Settings!$E$24&lt;&gt;"No"),Settings!$F$24="Yes",NOT(AND('Month-End'!$BP$12&lt;&gt;"",NOT(_xlfn.ISFORMULA('Month-End'!$BP$12))))),1,0)</f>
        <v/>
      </c>
      <c r="CS71">
        <f>IF(AND($E71&lt;&gt;"pre",AND(Settings!$A$25&lt;&gt;"",Settings!$E$25&lt;&gt;"No"),Settings!$F$25="Yes",NOT(AND('Month-End'!$BP$13&lt;&gt;"",NOT(_xlfn.ISFORMULA('Month-End'!$BP$13))))),1,0)</f>
        <v/>
      </c>
      <c r="CT71">
        <f>IF(AND($E71&lt;&gt;"pre",AND(Settings!$A$26&lt;&gt;"",Settings!$E$26&lt;&gt;"No"),Settings!$F$26="Yes",NOT(AND('Month-End'!$BP$14&lt;&gt;"",NOT(_xlfn.ISFORMULA('Month-End'!$BP$14))))),1,0)</f>
        <v/>
      </c>
      <c r="CU71">
        <f>IF(AND($E71&lt;&gt;"pre",AND(Settings!$A$27&lt;&gt;"",Settings!$E$27&lt;&gt;"No"),Settings!$F$27="Yes",NOT(AND('Month-End'!$BP$15&lt;&gt;"",NOT(_xlfn.ISFORMULA('Month-End'!$BP$15))))),1,0)</f>
        <v/>
      </c>
      <c r="CV71">
        <f>IF(AND($E71&lt;&gt;"pre",AND(Settings!$A$28&lt;&gt;"",Settings!$E$28&lt;&gt;"No"),Settings!$F$28="Yes",NOT(AND('Month-End'!$BP$16&lt;&gt;"",NOT(_xlfn.ISFORMULA('Month-End'!$BP$16))))),1,0)</f>
        <v/>
      </c>
      <c r="CW71">
        <f>IF(AND($E71&lt;&gt;"pre",AND(Settings!$A$29&lt;&gt;"",Settings!$E$29&lt;&gt;"No"),Settings!$F$29="Yes",NOT(AND('Month-End'!$BP$17&lt;&gt;"",NOT(_xlfn.ISFORMULA('Month-End'!$BP$17))))),1,0)</f>
        <v/>
      </c>
      <c r="CX71">
        <f>IF(AND($E71&lt;&gt;"pre",AND(Settings!$A$30&lt;&gt;"",Settings!$E$30&lt;&gt;"No"),Settings!$F$30="Yes",NOT(AND('Month-End'!$BP$18&lt;&gt;"",NOT(_xlfn.ISFORMULA('Month-End'!$BP$18))))),1,0)</f>
        <v/>
      </c>
      <c r="CY71">
        <f>IF(AND($E71&lt;&gt;"pre",AND(Settings!$A$31&lt;&gt;"",Settings!$E$31&lt;&gt;"No"),Settings!$F$31="Yes",NOT(AND('Month-End'!$BP$19&lt;&gt;"",NOT(_xlfn.ISFORMULA('Month-End'!$BP$19))))),1,0)</f>
        <v/>
      </c>
      <c r="CZ71">
        <f>IF(AND($E71&lt;&gt;"pre",AND(Settings!$A$32&lt;&gt;"",Settings!$E$32&lt;&gt;"No"),Settings!$F$32="Yes",NOT(AND('Month-End'!$BP$20&lt;&gt;"",NOT(_xlfn.ISFORMULA('Month-End'!$BP$20))))),1,0)</f>
        <v/>
      </c>
      <c r="DA71">
        <f>IF($DT71=1,IF(OR(Settings!$B$19="Checking",Settings!$B$19="Savings",Settings!$B$19="Cash"),N($AE71),IF(OR(Settings!$B$19="Card",Settings!$B$19="Loan"),-N($AE71),0))+IF(OR(Settings!$B$20="Checking",Settings!$B$20="Savings",Settings!$B$20="Cash"),N($AF71),IF(OR(Settings!$B$20="Card",Settings!$B$20="Loan"),-N($AF71),0))+IF(OR(Settings!$B$21="Checking",Settings!$B$21="Savings",Settings!$B$21="Cash"),N($AG71),IF(OR(Settings!$B$21="Card",Settings!$B$21="Loan"),-N($AG71),0))+IF(OR(Settings!$B$22="Checking",Settings!$B$22="Savings",Settings!$B$22="Cash"),N($AH71),IF(OR(Settings!$B$22="Card",Settings!$B$22="Loan"),-N($AH71),0))+IF(OR(Settings!$B$23="Checking",Settings!$B$23="Savings",Settings!$B$23="Cash"),N($AI71),IF(OR(Settings!$B$23="Card",Settings!$B$23="Loan"),-N($AI71),0))+IF(OR(Settings!$B$24="Checking",Settings!$B$24="Savings",Settings!$B$24="Cash"),N($AJ71),IF(OR(Settings!$B$24="Card",Settings!$B$24="Loan"),-N($AJ71),0))+IF(OR(Settings!$B$25="Checking",Settings!$B$25="Savings",Settings!$B$25="Cash"),N($AK71),IF(OR(Settings!$B$25="Card",Settings!$B$25="Loan"),-N($AK71),0))+IF(OR(Settings!$B$26="Checking",Settings!$B$26="Savings",Settings!$B$26="Cash"),N($AL71),IF(OR(Settings!$B$26="Card",Settings!$B$26="Loan"),-N($AL71),0))+IF(OR(Settings!$B$27="Checking",Settings!$B$27="Savings",Settings!$B$27="Cash"),N($AM71),IF(OR(Settings!$B$27="Card",Settings!$B$27="Loan"),-N($AM71),0))+IF(OR(Settings!$B$28="Checking",Settings!$B$28="Savings",Settings!$B$28="Cash"),N($AN71),IF(OR(Settings!$B$28="Card",Settings!$B$28="Loan"),-N($AN71),0))+IF(OR(Settings!$B$29="Checking",Settings!$B$29="Savings",Settings!$B$29="Cash"),N($AO71),IF(OR(Settings!$B$29="Card",Settings!$B$29="Loan"),-N($AO71),0))+IF(OR(Settings!$B$30="Checking",Settings!$B$30="Savings",Settings!$B$30="Cash"),N($AP71),IF(OR(Settings!$B$30="Card",Settings!$B$30="Loan"),-N($AP71),0))+IF(OR(Settings!$B$31="Checking",Settings!$B$31="Savings",Settings!$B$31="Cash"),N($AQ71),IF(OR(Settings!$B$31="Card",Settings!$B$31="Loan"),-N($AQ71),0))+IF(OR(Settings!$B$32="Checking",Settings!$B$32="Savings",Settings!$B$32="Cash"),N($AR71),IF(OR(Settings!$B$32="Card",Settings!$B$32="Loan"),-N($AR71),0)),"")</f>
        <v/>
      </c>
      <c r="DB71">
        <f>IF($E71="open",$EB$27,IF($E71="post",IF($E70="pre",$EB$27,$DA70),""))</f>
        <v/>
      </c>
      <c r="DC71">
        <f>IF($E71="open",1,IF($E71="post",IF($E70="pre",1,$DT70),0))</f>
        <v/>
      </c>
      <c r="DD71">
        <f>IF(AND($DT71=1,$DC71=1),ROUND($W71-($DA71-$DB71)-$AD71-$AB71,2),"")</f>
        <v/>
      </c>
      <c r="DE71">
        <f>IF('Month-End'!$BP$35="",$BQ71,N('Month-End'!$BP$35))</f>
        <v/>
      </c>
      <c r="DF71">
        <f>N('Month-End'!$BP$36)</f>
        <v/>
      </c>
      <c r="DG71">
        <f>IF($DD71="","",$DD71+$DE71)</f>
        <v/>
      </c>
      <c r="DH71">
        <f>IF($DG71="","",$DG71-$DF71)</f>
        <v/>
      </c>
      <c r="DI71">
        <f>IF(OR($E71="pre",$D71=1),"",N($AS71)+N($AT71)+N($AU71)+N($AV71)+N($AW71)+N($AX71))</f>
        <v/>
      </c>
      <c r="DJ71">
        <f>IF($DT71=1,$DA71+N($DI71),"")</f>
        <v/>
      </c>
      <c r="DK71">
        <f>IF($DD71="","",$W71-$DD71-$AB71)</f>
        <v/>
      </c>
      <c r="DL71">
        <f>IF(AND($E71="post",$DD71&lt;&gt;"",$B71&lt;TODAY()),1,0)</f>
        <v/>
      </c>
      <c r="DM71">
        <f>IF($DL71=1,COUNTIF($DL71:$DL$183,1),0)</f>
        <v/>
      </c>
      <c r="DN71">
        <f>IF($D71=1,"",IF($E71="pre","History only",IF($DT71=1,IF($DD71="","⚠ Previous month missing",IF($DD71&lt;0,"⚠ Check: spending &lt; 0",IF($E71="open","✓ Done (partial)","✓ Done"))),IF($B71&gt;=TODAY(),"In progress","⚠ Needs balances"))))</f>
        <v/>
      </c>
      <c r="DO71">
        <f>YEAR($A71)</f>
        <v/>
      </c>
      <c r="DP71">
        <f>DATE(YEAR($A71),INT((MONTH($A71)-1)/3)*3+1,1)</f>
        <v/>
      </c>
      <c r="DQ71">
        <f>IF(AND($DT71=1,$DD71&lt;&gt;"",$D71=0),ROW(),0)</f>
        <v/>
      </c>
      <c r="DR71">
        <f>IF(AND($E71&lt;&gt;"pre",$B71&lt;TODAY(),$DT71=0),1,0)</f>
        <v/>
      </c>
      <c r="DS71">
        <f>IF($DJ71="",NA(),$DJ71)</f>
        <v/>
      </c>
      <c r="DT71">
        <f>IF(AND($E71&lt;&gt;"pre",$CL71=0,COUNTIFS(Settings!$F$19:$F$32,"Yes",Settings!$A$19:$A$32,"&lt;&gt;",Settings!$E$19:$E$32,"&lt;&gt;No")&gt;0),1,0)</f>
        <v/>
      </c>
      <c r="DU71">
        <f>IF(AND($B71&lt;TODAY(),$S71&gt;0),1,0)</f>
        <v/>
      </c>
      <c r="DV71">
        <f>IF($DU71=1,COUNTIF($DU71:$DU$183,1),0)</f>
        <v/>
      </c>
      <c r="DW71">
        <f>IF(AND(OR(Settings!$B$19="Card",Settings!$B$19="Loan"),AND('Month-End'!$BP$7&lt;&gt;"",NOT(_xlfn.ISFORMULA('Month-End'!$BP$7)))),IF(N('Month-End'!$BP$7)&lt;0,1,0),0)+IF(AND(OR(Settings!$B$20="Card",Settings!$B$20="Loan"),AND('Month-End'!$BP$8&lt;&gt;"",NOT(_xlfn.ISFORMULA('Month-End'!$BP$8)))),IF(N('Month-End'!$BP$8)&lt;0,1,0),0)+IF(AND(OR(Settings!$B$21="Card",Settings!$B$21="Loan"),AND('Month-End'!$BP$9&lt;&gt;"",NOT(_xlfn.ISFORMULA('Month-End'!$BP$9)))),IF(N('Month-End'!$BP$9)&lt;0,1,0),0)+IF(AND(OR(Settings!$B$22="Card",Settings!$B$22="Loan"),AND('Month-End'!$BP$10&lt;&gt;"",NOT(_xlfn.ISFORMULA('Month-End'!$BP$10)))),IF(N('Month-End'!$BP$10)&lt;0,1,0),0)+IF(AND(OR(Settings!$B$23="Card",Settings!$B$23="Loan"),AND('Month-End'!$BP$11&lt;&gt;"",NOT(_xlfn.ISFORMULA('Month-End'!$BP$11)))),IF(N('Month-End'!$BP$11)&lt;0,1,0),0)+IF(AND(OR(Settings!$B$24="Card",Settings!$B$24="Loan"),AND('Month-End'!$BP$12&lt;&gt;"",NOT(_xlfn.ISFORMULA('Month-End'!$BP$12)))),IF(N('Month-End'!$BP$12)&lt;0,1,0),0)+IF(AND(OR(Settings!$B$25="Card",Settings!$B$25="Loan"),AND('Month-End'!$BP$13&lt;&gt;"",NOT(_xlfn.ISFORMULA('Month-End'!$BP$13)))),IF(N('Month-End'!$BP$13)&lt;0,1,0),0)+IF(AND(OR(Settings!$B$26="Card",Settings!$B$26="Loan"),AND('Month-End'!$BP$14&lt;&gt;"",NOT(_xlfn.ISFORMULA('Month-End'!$BP$14)))),IF(N('Month-End'!$BP$14)&lt;0,1,0),0)+IF(AND(OR(Settings!$B$27="Card",Settings!$B$27="Loan"),AND('Month-End'!$BP$15&lt;&gt;"",NOT(_xlfn.ISFORMULA('Month-End'!$BP$15)))),IF(N('Month-End'!$BP$15)&lt;0,1,0),0)+IF(AND(OR(Settings!$B$28="Card",Settings!$B$28="Loan"),AND('Month-End'!$BP$16&lt;&gt;"",NOT(_xlfn.ISFORMULA('Month-End'!$BP$16)))),IF(N('Month-End'!$BP$16)&lt;0,1,0),0)+IF(AND(OR(Settings!$B$29="Card",Settings!$B$29="Loan"),AND('Month-End'!$BP$17&lt;&gt;"",NOT(_xlfn.ISFORMULA('Month-End'!$BP$17)))),IF(N('Month-End'!$BP$17)&lt;0,1,0),0)+IF(AND(OR(Settings!$B$30="Card",Settings!$B$30="Loan"),AND('Month-End'!$BP$18&lt;&gt;"",NOT(_xlfn.ISFORMULA('Month-End'!$BP$18)))),IF(N('Month-End'!$BP$18)&lt;0,1,0),0)+IF(AND(OR(Settings!$B$31="Card",Settings!$B$31="Loan"),AND('Month-End'!$BP$19&lt;&gt;"",NOT(_xlfn.ISFORMULA('Month-End'!$BP$19)))),IF(N('Month-End'!$BP$19)&lt;0,1,0),0)+IF(AND(OR(Settings!$B$32="Card",Settings!$B$32="Loan"),AND('Month-End'!$BP$20&lt;&gt;"",NOT(_xlfn.ISFORMULA('Month-End'!$BP$20)))),IF(N('Month-End'!$BP$20)&lt;0,1,0),0)</f>
        <v/>
      </c>
      <c r="DX71">
        <f>IF(Settings!$B$36="Retirement",$AY71,0)+IF(Settings!$B$37="Retirement",$AZ71,0)+IF(Settings!$B$38="Retirement",$BA71,0)+IF(Settings!$B$39="Retirement",$BB71,0)+IF(Settings!$B$40="Retirement",$BC71,0)+IF(Settings!$B$41="Retirement",$BD71,0)</f>
        <v/>
      </c>
      <c r="EA71">
        <f>IF(Settings!$A$70="","",Settings!$A$70)</f>
        <v/>
      </c>
      <c r="EB71">
        <f>IF(Settings!$D$70="",0,IF(Settings!$D$70="Specific Account",IFERROR(INDEX($EB$40:$EB$59,MATCH(Settings!$F$70,$EA$40:$EA$59,0)),0),IFERROR(INDEX($EB$6:$EB$26,MATCH(Settings!$D$70,$EA$6:$EA$26,0)),0)))</f>
        <v/>
      </c>
      <c r="EC71">
        <f>IF(Settings!$A$70="","",IF(Settings!$B$70="Tithe Balance",$EB$23,IF(Settings!$E$70="Specific Account",IFERROR(INDEX($EB$40:$EB$59,MATCH(Settings!$F$70,$EA$40:$EA$59,0)),0),IFERROR(INDEX($EB$6:$EB$26,MATCH(Settings!$E$70,$EA$6:$EA$26,0)),0))))</f>
        <v/>
      </c>
      <c r="ED71">
        <f>IF(Settings!$A$70="","",IF(Settings!$B$70="Percentage",EB71*N(Settings!$C$70)/100,IF(Settings!$B$70="Multiple",EB71*N(Settings!$C$70),IF(Settings!$B$70="Tithe Balance",$EB$22,N(Settings!$C$70)))))</f>
        <v/>
      </c>
      <c r="EE71">
        <f>IF(Settings!$A$70="","",IF(Settings!$B$70="Pay Down To",MAX(0,EC71-ED71),MAX(0,ED71-EC71)))</f>
        <v/>
      </c>
      <c r="EF71">
        <f>IF(Settings!$A$70="","",IF(Settings!$B$70="Pay Down To",IF(EC71&lt;=ED71,"Met","Above target"),IF(EC71&gt;=ED71-0.005,"Met","Remaining")))</f>
        <v/>
      </c>
      <c r="EG71">
        <f>IF(Settings!$A$70="","",IF(Settings!$B$70="Pay Down To",IF(EC71&lt;=0,1,MIN(1,ED71/EC71)),IF(ED71&lt;=0,1,EC71/ED71)))</f>
        <v/>
      </c>
      <c r="EH71">
        <f>IF(OR(Settings!$A$70="",EE71&lt;=0),"",IF(Settings!$B$70="Save By Date",IF(Settings!$G$70="","Set a target date","Need "&amp;TEXT(EE71/MAX(1,(YEAR(Settings!$G$70)-YEAR(TODAY()))*12+MONTH(Settings!$G$70)-MONTH(TODAY())+1),"$#,##0")&amp;"/mo to "&amp;TEXT(Settings!$G$70,"mmm yyyy")),IF(Settings!$B$70="Annual Contribution","Need "&amp;TEXT(EE71/MAX(1,12-MONTH(TODAY())+1),"$#,##0")&amp;"/mo rest of year",IF(Settings!$B$70="Tithe Balance","This quarter",""))))</f>
        <v/>
      </c>
      <c r="ET71">
        <f>IF($E71&lt;&gt;"open",0,IF(AND('Month-End'!$BP$22&lt;&gt;"",NOT(_xlfn.ISFORMULA('Month-End'!$BP$22))),0,IF(OR(Settings!$C$45="",Settings!$D$45=""),0,Settings!$C$45*IF(Settings!$D$45="Weekly",IF(IFERROR(MATCH(Settings!$E$45,$EO$4:$EO$10,0),0)=0,0,IF(MIN(Settings!$B$5,IF(Settings!$G$45="",Settings!$B$5,Settings!$G$45))&lt;MAX($A71,Settings!$F$45),0,INT((MIN(Settings!$B$5,IF(Settings!$G$45="",Settings!$B$5,Settings!$G$45))-MAX($A71,Settings!$F$45)-MOD(IFERROR(MATCH(Settings!$E$45,$EO$4:$EO$10,0),0)-WEEKDAY(MAX($A71,Settings!$F$45)),7))/7)+1)),IF(AND(IF(Settings!$E$45="",$B71,DATE(YEAR($A71),MONTH($A71),MIN(Settings!$E$45,DAY($B71))))&gt;=MAX($A71,Settings!$F$45),IF(Settings!$E$45="",$B71,DATE(YEAR($A71),MONTH($A71),MIN(Settings!$E$45,DAY($B71))))&lt;=MIN(Settings!$B$5,IF(Settings!$G$45="",Settings!$B$5,Settings!$G$45))),1,0)))))</f>
        <v/>
      </c>
      <c r="EU71">
        <f>IF($E71&lt;&gt;"open",0,IF(AND('Month-End'!$BP$23&lt;&gt;"",NOT(_xlfn.ISFORMULA('Month-End'!$BP$23))),0,IF(OR(Settings!$C$46="",Settings!$D$46=""),0,Settings!$C$46*IF(Settings!$D$46="Weekly",IF(IFERROR(MATCH(Settings!$E$46,$EO$4:$EO$10,0),0)=0,0,IF(MIN(Settings!$B$5,IF(Settings!$G$46="",Settings!$B$5,Settings!$G$46))&lt;MAX($A71,Settings!$F$46),0,INT((MIN(Settings!$B$5,IF(Settings!$G$46="",Settings!$B$5,Settings!$G$46))-MAX($A71,Settings!$F$46)-MOD(IFERROR(MATCH(Settings!$E$46,$EO$4:$EO$10,0),0)-WEEKDAY(MAX($A71,Settings!$F$46)),7))/7)+1)),IF(AND(IF(Settings!$E$46="",$B71,DATE(YEAR($A71),MONTH($A71),MIN(Settings!$E$46,DAY($B71))))&gt;=MAX($A71,Settings!$F$46),IF(Settings!$E$46="",$B71,DATE(YEAR($A71),MONTH($A71),MIN(Settings!$E$46,DAY($B71))))&lt;=MIN(Settings!$B$5,IF(Settings!$G$46="",Settings!$B$5,Settings!$G$46))),1,0)))))</f>
        <v/>
      </c>
      <c r="EV71">
        <f>IF($E71&lt;&gt;"open",0,IF(AND('Month-End'!$BP$24&lt;&gt;"",NOT(_xlfn.ISFORMULA('Month-End'!$BP$24))),0,IF(OR(Settings!$C$47="",Settings!$D$47=""),0,Settings!$C$47*IF(Settings!$D$47="Weekly",IF(IFERROR(MATCH(Settings!$E$47,$EO$4:$EO$10,0),0)=0,0,IF(MIN(Settings!$B$5,IF(Settings!$G$47="",Settings!$B$5,Settings!$G$47))&lt;MAX($A71,Settings!$F$47),0,INT((MIN(Settings!$B$5,IF(Settings!$G$47="",Settings!$B$5,Settings!$G$47))-MAX($A71,Settings!$F$47)-MOD(IFERROR(MATCH(Settings!$E$47,$EO$4:$EO$10,0),0)-WEEKDAY(MAX($A71,Settings!$F$47)),7))/7)+1)),IF(AND(IF(Settings!$E$47="",$B71,DATE(YEAR($A71),MONTH($A71),MIN(Settings!$E$47,DAY($B71))))&gt;=MAX($A71,Settings!$F$47),IF(Settings!$E$47="",$B71,DATE(YEAR($A71),MONTH($A71),MIN(Settings!$E$47,DAY($B71))))&lt;=MIN(Settings!$B$5,IF(Settings!$G$47="",Settings!$B$5,Settings!$G$47))),1,0)))))</f>
        <v/>
      </c>
      <c r="EW71">
        <f>IF($E71&lt;&gt;"open",0,IF(AND('Month-End'!$BP$25&lt;&gt;"",NOT(_xlfn.ISFORMULA('Month-End'!$BP$25))),0,IF(OR(Settings!$C$48="",Settings!$D$48=""),0,Settings!$C$48*IF(Settings!$D$48="Weekly",IF(IFERROR(MATCH(Settings!$E$48,$EO$4:$EO$10,0),0)=0,0,IF(MIN(Settings!$B$5,IF(Settings!$G$48="",Settings!$B$5,Settings!$G$48))&lt;MAX($A71,Settings!$F$48),0,INT((MIN(Settings!$B$5,IF(Settings!$G$48="",Settings!$B$5,Settings!$G$48))-MAX($A71,Settings!$F$48)-MOD(IFERROR(MATCH(Settings!$E$48,$EO$4:$EO$10,0),0)-WEEKDAY(MAX($A71,Settings!$F$48)),7))/7)+1)),IF(AND(IF(Settings!$E$48="",$B71,DATE(YEAR($A71),MONTH($A71),MIN(Settings!$E$48,DAY($B71))))&gt;=MAX($A71,Settings!$F$48),IF(Settings!$E$48="",$B71,DATE(YEAR($A71),MONTH($A71),MIN(Settings!$E$48,DAY($B71))))&lt;=MIN(Settings!$B$5,IF(Settings!$G$48="",Settings!$B$5,Settings!$G$48))),1,0)))))</f>
        <v/>
      </c>
      <c r="EX71">
        <f>IF($E71&lt;&gt;"open",0,IF(AND('Month-End'!$BP$26&lt;&gt;"",NOT(_xlfn.ISFORMULA('Month-End'!$BP$26))),0,IF(OR(Settings!$C$49="",Settings!$D$49=""),0,Settings!$C$49*IF(Settings!$D$49="Weekly",IF(IFERROR(MATCH(Settings!$E$49,$EO$4:$EO$10,0),0)=0,0,IF(MIN(Settings!$B$5,IF(Settings!$G$49="",Settings!$B$5,Settings!$G$49))&lt;MAX($A71,Settings!$F$49),0,INT((MIN(Settings!$B$5,IF(Settings!$G$49="",Settings!$B$5,Settings!$G$49))-MAX($A71,Settings!$F$49)-MOD(IFERROR(MATCH(Settings!$E$49,$EO$4:$EO$10,0),0)-WEEKDAY(MAX($A71,Settings!$F$49)),7))/7)+1)),IF(AND(IF(Settings!$E$49="",$B71,DATE(YEAR($A71),MONTH($A71),MIN(Settings!$E$49,DAY($B71))))&gt;=MAX($A71,Settings!$F$49),IF(Settings!$E$49="",$B71,DATE(YEAR($A71),MONTH($A71),MIN(Settings!$E$49,DAY($B71))))&lt;=MIN(Settings!$B$5,IF(Settings!$G$49="",Settings!$B$5,Settings!$G$49))),1,0)))))</f>
        <v/>
      </c>
      <c r="EY71">
        <f>IF($E71&lt;&gt;"open",0,IF(AND('Month-End'!$BP$27&lt;&gt;"",NOT(_xlfn.ISFORMULA('Month-End'!$BP$27))),0,IF(OR(Settings!$C$50="",Settings!$D$50=""),0,Settings!$C$50*IF(Settings!$D$50="Weekly",IF(IFERROR(MATCH(Settings!$E$50,$EO$4:$EO$10,0),0)=0,0,IF(MIN(Settings!$B$5,IF(Settings!$G$50="",Settings!$B$5,Settings!$G$50))&lt;MAX($A71,Settings!$F$50),0,INT((MIN(Settings!$B$5,IF(Settings!$G$50="",Settings!$B$5,Settings!$G$50))-MAX($A71,Settings!$F$50)-MOD(IFERROR(MATCH(Settings!$E$50,$EO$4:$EO$10,0),0)-WEEKDAY(MAX($A71,Settings!$F$50)),7))/7)+1)),IF(AND(IF(Settings!$E$50="",$B71,DATE(YEAR($A71),MONTH($A71),MIN(Settings!$E$50,DAY($B71))))&gt;=MAX($A71,Settings!$F$50),IF(Settings!$E$50="",$B71,DATE(YEAR($A71),MONTH($A71),MIN(Settings!$E$50,DAY($B71))))&lt;=MIN(Settings!$B$5,IF(Settings!$G$50="",Settings!$B$5,Settings!$G$50))),1,0)))))</f>
        <v/>
      </c>
      <c r="EZ71">
        <f>IF($E71&lt;&gt;"open",0,IF(AND('Month-End'!$BP$28&lt;&gt;"",NOT(_xlfn.ISFORMULA('Month-End'!$BP$28))),0,IF(OR(Settings!$C$51="",Settings!$D$51=""),0,Settings!$C$51*IF(Settings!$D$51="Weekly",IF(IFERROR(MATCH(Settings!$E$51,$EO$4:$EO$10,0),0)=0,0,IF(MIN(Settings!$B$5,IF(Settings!$G$51="",Settings!$B$5,Settings!$G$51))&lt;MAX($A71,Settings!$F$51),0,INT((MIN(Settings!$B$5,IF(Settings!$G$51="",Settings!$B$5,Settings!$G$51))-MAX($A71,Settings!$F$51)-MOD(IFERROR(MATCH(Settings!$E$51,$EO$4:$EO$10,0),0)-WEEKDAY(MAX($A71,Settings!$F$51)),7))/7)+1)),IF(AND(IF(Settings!$E$51="",$B71,DATE(YEAR($A71),MONTH($A71),MIN(Settings!$E$51,DAY($B71))))&gt;=MAX($A71,Settings!$F$51),IF(Settings!$E$51="",$B71,DATE(YEAR($A71),MONTH($A71),MIN(Settings!$E$51,DAY($B71))))&lt;=MIN(Settings!$B$5,IF(Settings!$G$51="",Settings!$B$5,Settings!$G$51))),1,0)))))</f>
        <v/>
      </c>
      <c r="FA71">
        <f>IF($E71&lt;&gt;"open",0,IF(AND('Month-End'!$BP$29&lt;&gt;"",NOT(_xlfn.ISFORMULA('Month-End'!$BP$29))),0,IF(OR(Settings!$C$52="",Settings!$D$52=""),0,Settings!$C$52*IF(Settings!$D$52="Weekly",IF(IFERROR(MATCH(Settings!$E$52,$EO$4:$EO$10,0),0)=0,0,IF(MIN(Settings!$B$5,IF(Settings!$G$52="",Settings!$B$5,Settings!$G$52))&lt;MAX($A71,Settings!$F$52),0,INT((MIN(Settings!$B$5,IF(Settings!$G$52="",Settings!$B$5,Settings!$G$52))-MAX($A71,Settings!$F$52)-MOD(IFERROR(MATCH(Settings!$E$52,$EO$4:$EO$10,0),0)-WEEKDAY(MAX($A71,Settings!$F$52)),7))/7)+1)),IF(AND(IF(Settings!$E$52="",$B71,DATE(YEAR($A71),MONTH($A71),MIN(Settings!$E$52,DAY($B71))))&gt;=MAX($A71,Settings!$F$52),IF(Settings!$E$52="",$B71,DATE(YEAR($A71),MONTH($A71),MIN(Settings!$E$52,DAY($B71))))&lt;=MIN(Settings!$B$5,IF(Settings!$G$52="",Settings!$B$5,Settings!$G$52))),1,0)))))</f>
        <v/>
      </c>
      <c r="FB71">
        <f>IF($E71&lt;&gt;"open",0,IF(AND('Month-End'!$BP$30&lt;&gt;"",NOT(_xlfn.ISFORMULA('Month-End'!$BP$30))),0,IF(OR(Settings!$C$53="",Settings!$D$53=""),0,Settings!$C$53*IF(Settings!$D$53="Weekly",IF(IFERROR(MATCH(Settings!$E$53,$EO$4:$EO$10,0),0)=0,0,IF(MIN(Settings!$B$5,IF(Settings!$G$53="",Settings!$B$5,Settings!$G$53))&lt;MAX($A71,Settings!$F$53),0,INT((MIN(Settings!$B$5,IF(Settings!$G$53="",Settings!$B$5,Settings!$G$53))-MAX($A71,Settings!$F$53)-MOD(IFERROR(MATCH(Settings!$E$53,$EO$4:$EO$10,0),0)-WEEKDAY(MAX($A71,Settings!$F$53)),7))/7)+1)),IF(AND(IF(Settings!$E$53="",$B71,DATE(YEAR($A71),MONTH($A71),MIN(Settings!$E$53,DAY($B71))))&gt;=MAX($A71,Settings!$F$53),IF(Settings!$E$53="",$B71,DATE(YEAR($A71),MONTH($A71),MIN(Settings!$E$53,DAY($B71))))&lt;=MIN(Settings!$B$5,IF(Settings!$G$53="",Settings!$B$5,Settings!$G$53))),1,0)))))</f>
        <v/>
      </c>
      <c r="FC71">
        <f>IF($E71&lt;&gt;"open",0,IF(AND('Month-End'!$BP$31&lt;&gt;"",NOT(_xlfn.ISFORMULA('Month-End'!$BP$31))),0,IF(OR(Settings!$C$54="",Settings!$D$54=""),0,Settings!$C$54*IF(Settings!$D$54="Weekly",IF(IFERROR(MATCH(Settings!$E$54,$EO$4:$EO$10,0),0)=0,0,IF(MIN(Settings!$B$5,IF(Settings!$G$54="",Settings!$B$5,Settings!$G$54))&lt;MAX($A71,Settings!$F$54),0,INT((MIN(Settings!$B$5,IF(Settings!$G$54="",Settings!$B$5,Settings!$G$54))-MAX($A71,Settings!$F$54)-MOD(IFERROR(MATCH(Settings!$E$54,$EO$4:$EO$10,0),0)-WEEKDAY(MAX($A71,Settings!$F$54)),7))/7)+1)),IF(AND(IF(Settings!$E$54="",$B71,DATE(YEAR($A71),MONTH($A71),MIN(Settings!$E$54,DAY($B71))))&gt;=MAX($A71,Settings!$F$54),IF(Settings!$E$54="",$B71,DATE(YEAR($A71),MONTH($A71),MIN(Settings!$E$54,DAY($B71))))&lt;=MIN(Settings!$B$5,IF(Settings!$G$54="",Settings!$B$5,Settings!$G$54))),1,0)))))</f>
        <v/>
      </c>
      <c r="FD71">
        <f>IF($E71&lt;&gt;"open",0,IF(AND('Month-End'!$BP$32&lt;&gt;"",NOT(_xlfn.ISFORMULA('Month-End'!$BP$32))),0,IF(OR(Settings!$C$55="",Settings!$D$55=""),0,Settings!$C$55*IF(Settings!$D$55="Weekly",IF(IFERROR(MATCH(Settings!$E$55,$EO$4:$EO$10,0),0)=0,0,IF(MIN(Settings!$B$5,IF(Settings!$G$55="",Settings!$B$5,Settings!$G$55))&lt;MAX($A71,Settings!$F$55),0,INT((MIN(Settings!$B$5,IF(Settings!$G$55="",Settings!$B$5,Settings!$G$55))-MAX($A71,Settings!$F$55)-MOD(IFERROR(MATCH(Settings!$E$55,$EO$4:$EO$10,0),0)-WEEKDAY(MAX($A71,Settings!$F$55)),7))/7)+1)),IF(AND(IF(Settings!$E$55="",$B71,DATE(YEAR($A71),MONTH($A71),MIN(Settings!$E$55,DAY($B71))))&gt;=MAX($A71,Settings!$F$55),IF(Settings!$E$55="",$B71,DATE(YEAR($A71),MONTH($A71),MIN(Settings!$E$55,DAY($B71))))&lt;=MIN(Settings!$B$5,IF(Settings!$G$55="",Settings!$B$5,Settings!$G$55))),1,0)))))</f>
        <v/>
      </c>
      <c r="FE71">
        <f>IF($E71&lt;&gt;"open",0,IF(AND('Month-End'!$BP$33&lt;&gt;"",NOT(_xlfn.ISFORMULA('Month-End'!$BP$33))),0,IF(OR(Settings!$C$56="",Settings!$D$56=""),0,Settings!$C$56*IF(Settings!$D$56="Weekly",IF(IFERROR(MATCH(Settings!$E$56,$EO$4:$EO$10,0),0)=0,0,IF(MIN(Settings!$B$5,IF(Settings!$G$56="",Settings!$B$5,Settings!$G$56))&lt;MAX($A71,Settings!$F$56),0,INT((MIN(Settings!$B$5,IF(Settings!$G$56="",Settings!$B$5,Settings!$G$56))-MAX($A71,Settings!$F$56)-MOD(IFERROR(MATCH(Settings!$E$56,$EO$4:$EO$10,0),0)-WEEKDAY(MAX($A71,Settings!$F$56)),7))/7)+1)),IF(AND(IF(Settings!$E$56="",$B71,DATE(YEAR($A71),MONTH($A71),MIN(Settings!$E$56,DAY($B71))))&gt;=MAX($A71,Settings!$F$56),IF(Settings!$E$56="",$B71,DATE(YEAR($A71),MONTH($A71),MIN(Settings!$E$56,DAY($B71))))&lt;=MIN(Settings!$B$5,IF(Settings!$G$56="",Settings!$B$5,Settings!$G$56))),1,0)))))</f>
        <v/>
      </c>
      <c r="FF71">
        <f>IF(Settings!$I$45="Yes",$G71,0)+IF(Settings!$I$46="Yes",$H71,0)+IF(Settings!$I$47="Yes",$I71,0)+IF(Settings!$I$48="Yes",$J71,0)+IF(Settings!$I$49="Yes",$K71,0)+IF(Settings!$I$50="Yes",$L71,0)+IF(Settings!$I$51="Yes",$M71,0)+IF(Settings!$I$52="Yes",$N71,0)+IF(Settings!$I$53="Yes",$O71,0)+IF(Settings!$I$54="Yes",$P71,0)+IF(Settings!$I$55="Yes",$Q71,0)+IF(Settings!$I$56="Yes",$R71,0)</f>
        <v/>
      </c>
      <c r="FG71">
        <f>IF(AND(Settings!$I$45="Yes",Settings!$J$45="No"),$G71,0)+IF(AND(Settings!$I$46="Yes",Settings!$J$46="No"),$H71,0)+IF(AND(Settings!$I$47="Yes",Settings!$J$47="No"),$I71,0)+IF(AND(Settings!$I$48="Yes",Settings!$J$48="No"),$J71,0)+IF(AND(Settings!$I$49="Yes",Settings!$J$49="No"),$K71,0)+IF(AND(Settings!$I$50="Yes",Settings!$J$50="No"),$L71,0)+IF(AND(Settings!$I$51="Yes",Settings!$J$51="No"),$M71,0)+IF(AND(Settings!$I$52="Yes",Settings!$J$52="No"),$N71,0)+IF(AND(Settings!$I$53="Yes",Settings!$J$53="No"),$O71,0)+IF(AND(Settings!$I$54="Yes",Settings!$J$54="No"),$P71,0)+IF(AND(Settings!$I$55="Yes",Settings!$J$55="No"),$Q71,0)+IF(AND(Settings!$I$56="Yes",Settings!$J$56="No"),$R71,0)</f>
        <v/>
      </c>
      <c r="FH71">
        <f>SUMIFS(Giving!$B$7:$B$2006,Giving!$A$7:$A$2006,"&gt;="&amp;$A71,Giving!$A$7:$A$2006,"&lt;="&amp;$B71,Giving!$G$7:$G$2006,"Yes")+IF(OR(OR(Settings!$B$60="",Settings!$F$60="No"),Settings!$H$60&lt;&gt;"Yes"),0,Settings!$B$60*IF(AND(IF(Settings!$C$60="",$B71,DATE(YEAR($A71),MONTH($A71),MIN(Settings!$C$60,DAY($B71))))&gt;=MAX($A71,Settings!$D$60),IF(Settings!$C$60="",$B71,DATE(YEAR($A71),MONTH($A71),MIN(Settings!$C$60,DAY($B71))))&lt;=MIN($C71,IF(Settings!$E$60="",$C71,Settings!$E$60))),1,0))+IF(OR(OR(Settings!$B$61="",Settings!$F$61="No"),Settings!$H$61&lt;&gt;"Yes"),0,Settings!$B$61*IF(AND(IF(Settings!$C$61="",$B71,DATE(YEAR($A71),MONTH($A71),MIN(Settings!$C$61,DAY($B71))))&gt;=MAX($A71,Settings!$D$61),IF(Settings!$C$61="",$B71,DATE(YEAR($A71),MONTH($A71),MIN(Settings!$C$61,DAY($B71))))&lt;=MIN($C71,IF(Settings!$E$61="",$C71,Settings!$E$61))),1,0))+IF(OR(OR(Settings!$B$62="",Settings!$F$62="No"),Settings!$H$62&lt;&gt;"Yes"),0,Settings!$B$62*IF(AND(IF(Settings!$C$62="",$B71,DATE(YEAR($A71),MONTH($A71),MIN(Settings!$C$62,DAY($B71))))&gt;=MAX($A71,Settings!$D$62),IF(Settings!$C$62="",$B71,DATE(YEAR($A71),MONTH($A71),MIN(Settings!$C$62,DAY($B71))))&lt;=MIN($C71,IF(Settings!$E$62="",$C71,Settings!$E$62))),1,0))+IF(OR(OR(Settings!$B$63="",Settings!$F$63="No"),Settings!$H$63&lt;&gt;"Yes"),0,Settings!$B$63*IF(AND(IF(Settings!$C$63="",$B71,DATE(YEAR($A71),MONTH($A71),MIN(Settings!$C$63,DAY($B71))))&gt;=MAX($A71,Settings!$D$63),IF(Settings!$C$63="",$B71,DATE(YEAR($A71),MONTH($A71),MIN(Settings!$C$63,DAY($B71))))&lt;=MIN($C71,IF(Settings!$E$63="",$C71,Settings!$E$63))),1,0))+IF(OR(OR(Settings!$B$64="",Settings!$F$64="No"),Settings!$H$64&lt;&gt;"Yes"),0,Settings!$B$64*IF(AND(IF(Settings!$C$64="",$B71,DATE(YEAR($A71),MONTH($A71),MIN(Settings!$C$64,DAY($B71))))&gt;=MAX($A71,Settings!$D$64),IF(Settings!$C$64="",$B71,DATE(YEAR($A71),MONTH($A71),MIN(Settings!$C$64,DAY($B71))))&lt;=MIN($C71,IF(Settings!$E$64="",$C71,Settings!$E$64))),1,0))+IF(OR(OR(Settings!$B$65="",Settings!$F$65="No"),Settings!$H$65&lt;&gt;"Yes"),0,Settings!$B$65*IF(AND(IF(Settings!$C$65="",$B71,DATE(YEAR($A71),MONTH($A71),MIN(Settings!$C$65,DAY($B71))))&gt;=MAX($A71,Settings!$D$65),IF(Settings!$C$65="",$B71,DATE(YEAR($A71),MONTH($A71),MIN(Settings!$C$65,DAY($B71))))&lt;=MIN($C71,IF(Settings!$E$65="",$C71,Settings!$E$65))),1,0))</f>
        <v/>
      </c>
      <c r="FI71">
        <f>IF($DT71=1,IF(OR(Settings!$B$19="Card",Settings!$B$19="Loan"),N($AE71),0)+IF(OR(Settings!$B$20="Card",Settings!$B$20="Loan"),N($AF71),0)+IF(OR(Settings!$B$21="Card",Settings!$B$21="Loan"),N($AG71),0)+IF(OR(Settings!$B$22="Card",Settings!$B$22="Loan"),N($AH71),0)+IF(OR(Settings!$B$23="Card",Settings!$B$23="Loan"),N($AI71),0)+IF(OR(Settings!$B$24="Card",Settings!$B$24="Loan"),N($AJ71),0)+IF(OR(Settings!$B$25="Card",Settings!$B$25="Loan"),N($AK71),0)+IF(OR(Settings!$B$26="Card",Settings!$B$26="Loan"),N($AL71),0)+IF(OR(Settings!$B$27="Card",Settings!$B$27="Loan"),N($AM71),0)+IF(OR(Settings!$B$28="Card",Settings!$B$28="Loan"),N($AN71),0)+IF(OR(Settings!$B$29="Card",Settings!$B$29="Loan"),N($AO71),0)+IF(OR(Settings!$B$30="Card",Settings!$B$30="Loan"),N($AP71),0)+IF(OR(Settings!$B$31="Card",Settings!$B$31="Loan"),N($AQ71),0)+IF(OR(Settings!$B$32="Card",Settings!$B$32="Loan"),N($AR71),0),"")</f>
        <v/>
      </c>
      <c r="FJ71">
        <f>IF($E71="open",$EB$65,IF($E71="post",IF($E70="pre",$EB$65,$FI70),""))</f>
        <v/>
      </c>
      <c r="FK71">
        <f>IF(AND($DT71=1,$DC71=1),IF(ROUND($FI71-$FJ71,2)&gt;0,1,0),0)</f>
        <v/>
      </c>
      <c r="FL71">
        <f>IF($FK71=1,$FL70+1,0)</f>
        <v/>
      </c>
    </row>
    <row r="72">
      <c r="A72">
        <f>'Month-End'!$BQ$4</f>
        <v/>
      </c>
      <c r="B72">
        <f>EOMONTH($A72,0)</f>
        <v/>
      </c>
      <c r="C72">
        <f>MIN($B72,TODAY())</f>
        <v/>
      </c>
      <c r="D72">
        <f>IF($A72&gt;TODAY(),1,0)</f>
        <v/>
      </c>
      <c r="E72">
        <f>IF($B72&lt;=Settings!$B$5,"pre",IF($A72&lt;=Settings!$B$5,"open","post"))</f>
        <v/>
      </c>
      <c r="G72">
        <f>IF('Month-End'!$BQ$22="",$BE72,N('Month-End'!$BQ$22))</f>
        <v/>
      </c>
      <c r="H72">
        <f>IF('Month-End'!$BQ$23="",$BF72,N('Month-End'!$BQ$23))</f>
        <v/>
      </c>
      <c r="I72">
        <f>IF('Month-End'!$BQ$24="",$BG72,N('Month-End'!$BQ$24))</f>
        <v/>
      </c>
      <c r="J72">
        <f>IF('Month-End'!$BQ$25="",$BH72,N('Month-End'!$BQ$25))</f>
        <v/>
      </c>
      <c r="K72">
        <f>IF('Month-End'!$BQ$26="",$BI72,N('Month-End'!$BQ$26))</f>
        <v/>
      </c>
      <c r="L72">
        <f>IF('Month-End'!$BQ$27="",$BJ72,N('Month-End'!$BQ$27))</f>
        <v/>
      </c>
      <c r="M72">
        <f>IF('Month-End'!$BQ$28="",$BK72,N('Month-End'!$BQ$28))</f>
        <v/>
      </c>
      <c r="N72">
        <f>IF('Month-End'!$BQ$29="",$BL72,N('Month-End'!$BQ$29))</f>
        <v/>
      </c>
      <c r="O72">
        <f>IF('Month-End'!$BQ$30="",$BM72,N('Month-End'!$BQ$30))</f>
        <v/>
      </c>
      <c r="P72">
        <f>IF('Month-End'!$BQ$31="",$BN72,N('Month-End'!$BQ$31))</f>
        <v/>
      </c>
      <c r="Q72">
        <f>IF('Month-End'!$BQ$32="",$BO72,N('Month-End'!$BQ$32))</f>
        <v/>
      </c>
      <c r="R72">
        <f>IF('Month-End'!$BQ$33="",$BP72,N('Month-End'!$BQ$33))</f>
        <v/>
      </c>
      <c r="S72">
        <f>$G72+$H72+$I72+$J72+$K72+$L72+$M72+$N72+$O72+$P72+$Q72+$R72</f>
        <v/>
      </c>
      <c r="T72">
        <f>IF($B72&lt;Settings!$B$6,0,IF(Settings!$B$45="Yes",$G72,0)+IF(Settings!$B$46="Yes",$H72,0)+IF(Settings!$B$47="Yes",$I72,0)+IF(Settings!$B$48="Yes",$J72,0)+IF(Settings!$B$49="Yes",$K72,0)+IF(Settings!$B$50="Yes",$L72,0)+IF(Settings!$B$51="Yes",$M72,0)+IF(Settings!$B$52="Yes",$N72,0)+IF(Settings!$B$53="Yes",$O72,0)+IF(Settings!$B$54="Yes",$P72,0)+IF(Settings!$B$55="Yes",$Q72,0)+IF(Settings!$B$56="Yes",$R72,0))</f>
        <v/>
      </c>
      <c r="U72">
        <f>IF(Settings!$B$45="Not Sure",$G72,0)+IF(Settings!$B$46="Not Sure",$H72,0)+IF(Settings!$B$47="Not Sure",$I72,0)+IF(Settings!$B$48="Not Sure",$J72,0)+IF(Settings!$B$49="Not Sure",$K72,0)+IF(Settings!$B$50="Not Sure",$L72,0)+IF(Settings!$B$51="Not Sure",$M72,0)+IF(Settings!$B$52="Not Sure",$N72,0)+IF(Settings!$B$53="Not Sure",$O72,0)+IF(Settings!$B$54="Not Sure",$P72,0)+IF(Settings!$B$55="Not Sure",$Q72,0)+IF(Settings!$B$56="Not Sure",$R72,0)</f>
        <v/>
      </c>
      <c r="V72">
        <f>IF($E72="open",SUM($ET72:$FE72)+N(Settings!$B$13),0)</f>
        <v/>
      </c>
      <c r="W72">
        <f>IF($E72="post",$S72,IF($E72="open",$S72-$V72,0))</f>
        <v/>
      </c>
      <c r="X72">
        <f>SUMIFS(Giving!$B$7:$B$2006,Giving!$A$7:$A$2006,"&gt;="&amp;$A72,Giving!$A$7:$A$2006,"&lt;="&amp;$B72,Giving!$E$7:$E$2006,"&lt;&gt;No")</f>
        <v/>
      </c>
      <c r="Y72">
        <f>SUMIFS(Giving!$B$7:$B$2006,Giving!$A$7:$A$2006,"&gt;="&amp;$A72,Giving!$A$7:$A$2006,"&lt;="&amp;$B72,Giving!$E$7:$E$2006,"No")</f>
        <v/>
      </c>
      <c r="Z72">
        <f>IF(OR(Settings!$B$60="",Settings!$F$60="No"),0,Settings!$B$60*IF(AND(IF(Settings!$C$60="",$B72,DATE(YEAR($A72),MONTH($A72),MIN(Settings!$C$60,DAY($B72))))&gt;=MAX($A72,Settings!$D$60),IF(Settings!$C$60="",$B72,DATE(YEAR($A72),MONTH($A72),MIN(Settings!$C$60,DAY($B72))))&lt;=MIN($C72,IF(Settings!$E$60="",$C72,Settings!$E$60))),1,0))+IF(OR(Settings!$B$61="",Settings!$F$61="No"),0,Settings!$B$61*IF(AND(IF(Settings!$C$61="",$B72,DATE(YEAR($A72),MONTH($A72),MIN(Settings!$C$61,DAY($B72))))&gt;=MAX($A72,Settings!$D$61),IF(Settings!$C$61="",$B72,DATE(YEAR($A72),MONTH($A72),MIN(Settings!$C$61,DAY($B72))))&lt;=MIN($C72,IF(Settings!$E$61="",$C72,Settings!$E$61))),1,0))+IF(OR(Settings!$B$62="",Settings!$F$62="No"),0,Settings!$B$62*IF(AND(IF(Settings!$C$62="",$B72,DATE(YEAR($A72),MONTH($A72),MIN(Settings!$C$62,DAY($B72))))&gt;=MAX($A72,Settings!$D$62),IF(Settings!$C$62="",$B72,DATE(YEAR($A72),MONTH($A72),MIN(Settings!$C$62,DAY($B72))))&lt;=MIN($C72,IF(Settings!$E$62="",$C72,Settings!$E$62))),1,0))+IF(OR(Settings!$B$63="",Settings!$F$63="No"),0,Settings!$B$63*IF(AND(IF(Settings!$C$63="",$B72,DATE(YEAR($A72),MONTH($A72),MIN(Settings!$C$63,DAY($B72))))&gt;=MAX($A72,Settings!$D$63),IF(Settings!$C$63="",$B72,DATE(YEAR($A72),MONTH($A72),MIN(Settings!$C$63,DAY($B72))))&lt;=MIN($C72,IF(Settings!$E$63="",$C72,Settings!$E$63))),1,0))+IF(OR(Settings!$B$64="",Settings!$F$64="No"),0,Settings!$B$64*IF(AND(IF(Settings!$C$64="",$B72,DATE(YEAR($A72),MONTH($A72),MIN(Settings!$C$64,DAY($B72))))&gt;=MAX($A72,Settings!$D$64),IF(Settings!$C$64="",$B72,DATE(YEAR($A72),MONTH($A72),MIN(Settings!$C$64,DAY($B72))))&lt;=MIN($C72,IF(Settings!$E$64="",$C72,Settings!$E$64))),1,0))+IF(OR(Settings!$B$65="",Settings!$F$65="No"),0,Settings!$B$65*IF(AND(IF(Settings!$C$65="",$B72,DATE(YEAR($A72),MONTH($A72),MIN(Settings!$C$65,DAY($B72))))&gt;=MAX($A72,Settings!$D$65),IF(Settings!$C$65="",$B72,DATE(YEAR($A72),MONTH($A72),MIN(Settings!$C$65,DAY($B72))))&lt;=MIN($C72,IF(Settings!$E$65="",$C72,Settings!$E$65))),1,0))</f>
        <v/>
      </c>
      <c r="AA72">
        <f>$X72+$Z72</f>
        <v/>
      </c>
      <c r="AB72">
        <f>IF($E72="post",$AA72,IF($E72="open",SUMIFS(Giving!$B$7:$B$2006,Giving!$A$7:$A$2006,"&gt;"&amp;Settings!$B$5,Giving!$A$7:$A$2006,"&lt;="&amp;$B72,Giving!$E$7:$E$2006,"&lt;&gt;No")+IF(OR(Settings!$B$60="",Settings!$F$60="No"),0,Settings!$B$60*IF(AND(IF(Settings!$C$60="",$B72,DATE(YEAR($A72),MONTH($A72),MIN(Settings!$C$60,DAY($B72))))&gt;=MAX($A72,Settings!$D$60,Settings!$B$5+1),IF(Settings!$C$60="",$B72,DATE(YEAR($A72),MONTH($A72),MIN(Settings!$C$60,DAY($B72))))&lt;=MIN($C72,IF(Settings!$E$60="",$C72,Settings!$E$60))),1,0))+IF(OR(Settings!$B$61="",Settings!$F$61="No"),0,Settings!$B$61*IF(AND(IF(Settings!$C$61="",$B72,DATE(YEAR($A72),MONTH($A72),MIN(Settings!$C$61,DAY($B72))))&gt;=MAX($A72,Settings!$D$61,Settings!$B$5+1),IF(Settings!$C$61="",$B72,DATE(YEAR($A72),MONTH($A72),MIN(Settings!$C$61,DAY($B72))))&lt;=MIN($C72,IF(Settings!$E$61="",$C72,Settings!$E$61))),1,0))+IF(OR(Settings!$B$62="",Settings!$F$62="No"),0,Settings!$B$62*IF(AND(IF(Settings!$C$62="",$B72,DATE(YEAR($A72),MONTH($A72),MIN(Settings!$C$62,DAY($B72))))&gt;=MAX($A72,Settings!$D$62,Settings!$B$5+1),IF(Settings!$C$62="",$B72,DATE(YEAR($A72),MONTH($A72),MIN(Settings!$C$62,DAY($B72))))&lt;=MIN($C72,IF(Settings!$E$62="",$C72,Settings!$E$62))),1,0))+IF(OR(Settings!$B$63="",Settings!$F$63="No"),0,Settings!$B$63*IF(AND(IF(Settings!$C$63="",$B72,DATE(YEAR($A72),MONTH($A72),MIN(Settings!$C$63,DAY($B72))))&gt;=MAX($A72,Settings!$D$63,Settings!$B$5+1),IF(Settings!$C$63="",$B72,DATE(YEAR($A72),MONTH($A72),MIN(Settings!$C$63,DAY($B72))))&lt;=MIN($C72,IF(Settings!$E$63="",$C72,Settings!$E$63))),1,0))+IF(OR(Settings!$B$64="",Settings!$F$64="No"),0,Settings!$B$64*IF(AND(IF(Settings!$C$64="",$B72,DATE(YEAR($A72),MONTH($A72),MIN(Settings!$C$64,DAY($B72))))&gt;=MAX($A72,Settings!$D$64,Settings!$B$5+1),IF(Settings!$C$64="",$B72,DATE(YEAR($A72),MONTH($A72),MIN(Settings!$C$64,DAY($B72))))&lt;=MIN($C72,IF(Settings!$E$64="",$C72,Settings!$E$64))),1,0))+IF(OR(Settings!$B$65="",Settings!$F$65="No"),0,Settings!$B$65*IF(AND(IF(Settings!$C$65="",$B72,DATE(YEAR($A72),MONTH($A72),MIN(Settings!$C$65,DAY($B72))))&gt;=MAX($A72,Settings!$D$65,Settings!$B$5+1),IF(Settings!$C$65="",$B72,DATE(YEAR($A72),MONTH($A72),MIN(Settings!$C$65,DAY($B72))))&lt;=MIN($C72,IF(Settings!$E$65="",$C72,Settings!$E$65))),1,0)),0))</f>
        <v/>
      </c>
      <c r="AC72">
        <f>$AY72+$AZ72+$BA72+$BB72+$BC72+$BD72</f>
        <v/>
      </c>
      <c r="AD72">
        <f>$AC72</f>
        <v/>
      </c>
      <c r="AE72">
        <f>IF(OR(Settings!$A$19="",$E72="pre"),"",IF(AND('Month-End'!$BQ$7&lt;&gt;"",NOT(_xlfn.ISFORMULA('Month-End'!$BQ$7))),N('Month-End'!$BQ$7),IF(OR($E72="open",$E71="pre"),N(Settings!$C$19),N($AE71))))</f>
        <v/>
      </c>
      <c r="AF72">
        <f>IF(OR(Settings!$A$20="",$E72="pre"),"",IF(AND('Month-End'!$BQ$8&lt;&gt;"",NOT(_xlfn.ISFORMULA('Month-End'!$BQ$8))),N('Month-End'!$BQ$8),IF(OR($E72="open",$E71="pre"),N(Settings!$C$20),N($AF71))))</f>
        <v/>
      </c>
      <c r="AG72">
        <f>IF(OR(Settings!$A$21="",$E72="pre"),"",IF(AND('Month-End'!$BQ$9&lt;&gt;"",NOT(_xlfn.ISFORMULA('Month-End'!$BQ$9))),N('Month-End'!$BQ$9),IF(OR($E72="open",$E71="pre"),N(Settings!$C$21),N($AG71))))</f>
        <v/>
      </c>
      <c r="AH72">
        <f>IF(OR(Settings!$A$22="",$E72="pre"),"",IF(AND('Month-End'!$BQ$10&lt;&gt;"",NOT(_xlfn.ISFORMULA('Month-End'!$BQ$10))),N('Month-End'!$BQ$10),IF(OR($E72="open",$E71="pre"),N(Settings!$C$22),N($AH71))))</f>
        <v/>
      </c>
      <c r="AI72">
        <f>IF(OR(Settings!$A$23="",$E72="pre"),"",IF(AND('Month-End'!$BQ$11&lt;&gt;"",NOT(_xlfn.ISFORMULA('Month-End'!$BQ$11))),N('Month-End'!$BQ$11),IF(OR($E72="open",$E71="pre"),N(Settings!$C$23),N($AI71))))</f>
        <v/>
      </c>
      <c r="AJ72">
        <f>IF(OR(Settings!$A$24="",$E72="pre"),"",IF(AND('Month-End'!$BQ$12&lt;&gt;"",NOT(_xlfn.ISFORMULA('Month-End'!$BQ$12))),N('Month-End'!$BQ$12),IF(OR($E72="open",$E71="pre"),N(Settings!$C$24),N($AJ71))))</f>
        <v/>
      </c>
      <c r="AK72">
        <f>IF(OR(Settings!$A$25="",$E72="pre"),"",IF(AND('Month-End'!$BQ$13&lt;&gt;"",NOT(_xlfn.ISFORMULA('Month-End'!$BQ$13))),N('Month-End'!$BQ$13),IF(OR($E72="open",$E71="pre"),N(Settings!$C$25),N($AK71))))</f>
        <v/>
      </c>
      <c r="AL72">
        <f>IF(OR(Settings!$A$26="",$E72="pre"),"",IF(AND('Month-End'!$BQ$14&lt;&gt;"",NOT(_xlfn.ISFORMULA('Month-End'!$BQ$14))),N('Month-End'!$BQ$14),IF(OR($E72="open",$E71="pre"),N(Settings!$C$26),N($AL71))))</f>
        <v/>
      </c>
      <c r="AM72">
        <f>IF(OR(Settings!$A$27="",$E72="pre"),"",IF(AND('Month-End'!$BQ$15&lt;&gt;"",NOT(_xlfn.ISFORMULA('Month-End'!$BQ$15))),N('Month-End'!$BQ$15),IF(OR($E72="open",$E71="pre"),N(Settings!$C$27),N($AM71))))</f>
        <v/>
      </c>
      <c r="AN72">
        <f>IF(OR(Settings!$A$28="",$E72="pre"),"",IF(AND('Month-End'!$BQ$16&lt;&gt;"",NOT(_xlfn.ISFORMULA('Month-End'!$BQ$16))),N('Month-End'!$BQ$16),IF(OR($E72="open",$E71="pre"),N(Settings!$C$28),N($AN71))))</f>
        <v/>
      </c>
      <c r="AO72">
        <f>IF(OR(Settings!$A$29="",$E72="pre"),"",IF(AND('Month-End'!$BQ$17&lt;&gt;"",NOT(_xlfn.ISFORMULA('Month-End'!$BQ$17))),N('Month-End'!$BQ$17),IF(OR($E72="open",$E71="pre"),N(Settings!$C$29),N($AO71))))</f>
        <v/>
      </c>
      <c r="AP72">
        <f>IF(OR(Settings!$A$30="",$E72="pre"),"",IF(AND('Month-End'!$BQ$18&lt;&gt;"",NOT(_xlfn.ISFORMULA('Month-End'!$BQ$18))),N('Month-End'!$BQ$18),IF(OR($E72="open",$E71="pre"),N(Settings!$C$30),N($AP71))))</f>
        <v/>
      </c>
      <c r="AQ72">
        <f>IF(OR(Settings!$A$31="",$E72="pre"),"",IF(AND('Month-End'!$BQ$19&lt;&gt;"",NOT(_xlfn.ISFORMULA('Month-End'!$BQ$19))),N('Month-End'!$BQ$19),IF(OR($E72="open",$E71="pre"),N(Settings!$C$31),N($AQ71))))</f>
        <v/>
      </c>
      <c r="AR72">
        <f>IF(OR(Settings!$A$32="",$E72="pre"),"",IF(AND('Month-End'!$BQ$20&lt;&gt;"",NOT(_xlfn.ISFORMULA('Month-End'!$BQ$20))),N('Month-End'!$BQ$20),IF(OR($E72="open",$E71="pre"),N(Settings!$C$32),N($AR71))))</f>
        <v/>
      </c>
      <c r="AS72">
        <f>IF(OR(Settings!$A$36="",$E72="pre"),"",IF(AND('Month-End'!$BQ$38&lt;&gt;"",NOT(_xlfn.ISFORMULA('Month-End'!$BQ$38))),N('Month-End'!$BQ$38),IF(OR($E72="open",$E71="pre"),N(Settings!$C$36),N($AS71))+$AY72))</f>
        <v/>
      </c>
      <c r="AT72">
        <f>IF(OR(Settings!$A$37="",$E72="pre"),"",IF(AND('Month-End'!$BQ$39&lt;&gt;"",NOT(_xlfn.ISFORMULA('Month-End'!$BQ$39))),N('Month-End'!$BQ$39),IF(OR($E72="open",$E71="pre"),N(Settings!$C$37),N($AT71))+$AZ72))</f>
        <v/>
      </c>
      <c r="AU72">
        <f>IF(OR(Settings!$A$38="",$E72="pre"),"",IF(AND('Month-End'!$BQ$40&lt;&gt;"",NOT(_xlfn.ISFORMULA('Month-End'!$BQ$40))),N('Month-End'!$BQ$40),IF(OR($E72="open",$E71="pre"),N(Settings!$C$38),N($AU71))+$BA72))</f>
        <v/>
      </c>
      <c r="AV72">
        <f>IF(OR(Settings!$A$39="",$E72="pre"),"",IF(AND('Month-End'!$BQ$41&lt;&gt;"",NOT(_xlfn.ISFORMULA('Month-End'!$BQ$41))),N('Month-End'!$BQ$41),IF(OR($E72="open",$E71="pre"),N(Settings!$C$39),N($AV71))+$BB72))</f>
        <v/>
      </c>
      <c r="AW72">
        <f>IF(OR(Settings!$A$40="",$E72="pre"),"",IF(AND('Month-End'!$BQ$42&lt;&gt;"",NOT(_xlfn.ISFORMULA('Month-End'!$BQ$42))),N('Month-End'!$BQ$42),IF(OR($E72="open",$E71="pre"),N(Settings!$C$40),N($AW71))+$BC72))</f>
        <v/>
      </c>
      <c r="AX72">
        <f>IF(OR(Settings!$A$41="",$E72="pre"),"",IF(AND('Month-End'!$BQ$43&lt;&gt;"",NOT(_xlfn.ISFORMULA('Month-End'!$BQ$43))),N('Month-End'!$BQ$43),IF(OR($E72="open",$E71="pre"),N(Settings!$C$41),N($AX71))+$BD72))</f>
        <v/>
      </c>
      <c r="AY72">
        <f>IF($E72="pre",0,N('Month-End'!$BQ$45))</f>
        <v/>
      </c>
      <c r="AZ72">
        <f>IF($E72="pre",0,N('Month-End'!$BQ$46))</f>
        <v/>
      </c>
      <c r="BA72">
        <f>IF($E72="pre",0,N('Month-End'!$BQ$47))</f>
        <v/>
      </c>
      <c r="BB72">
        <f>IF($E72="pre",0,N('Month-End'!$BQ$48))</f>
        <v/>
      </c>
      <c r="BC72">
        <f>IF($E72="pre",0,N('Month-End'!$BQ$49))</f>
        <v/>
      </c>
      <c r="BD72">
        <f>IF($E72="pre",0,N('Month-End'!$BQ$50))</f>
        <v/>
      </c>
      <c r="BE72">
        <f>IF(OR(Settings!$C$45="",Settings!$D$45=""),0,Settings!$C$45*IF(Settings!$D$45="Weekly",IF(IFERROR(MATCH(Settings!$E$45,$EO$4:$EO$10,0),0)=0,0,IF(MIN($C72,IF(Settings!$G$45="",$C72,Settings!$G$45))&lt;MAX($A72,Settings!$F$45),0,INT((MIN($C72,IF(Settings!$G$45="",$C72,Settings!$G$45))-MAX($A72,Settings!$F$45)-MOD(IFERROR(MATCH(Settings!$E$45,$EO$4:$EO$10,0),0)-WEEKDAY(MAX($A72,Settings!$F$45)),7))/7)+1)),IF(AND(IF(Settings!$E$45="",$B72,DATE(YEAR($A72),MONTH($A72),MIN(Settings!$E$45,DAY($B72))))&gt;=MAX($A72,Settings!$F$45),IF(Settings!$E$45="",$B72,DATE(YEAR($A72),MONTH($A72),MIN(Settings!$E$45,DAY($B72))))&lt;=MIN($C72,IF(Settings!$G$45="",$C72,Settings!$G$45))),1,0)))</f>
        <v/>
      </c>
      <c r="BF72">
        <f>IF(OR(Settings!$C$46="",Settings!$D$46=""),0,Settings!$C$46*IF(Settings!$D$46="Weekly",IF(IFERROR(MATCH(Settings!$E$46,$EO$4:$EO$10,0),0)=0,0,IF(MIN($C72,IF(Settings!$G$46="",$C72,Settings!$G$46))&lt;MAX($A72,Settings!$F$46),0,INT((MIN($C72,IF(Settings!$G$46="",$C72,Settings!$G$46))-MAX($A72,Settings!$F$46)-MOD(IFERROR(MATCH(Settings!$E$46,$EO$4:$EO$10,0),0)-WEEKDAY(MAX($A72,Settings!$F$46)),7))/7)+1)),IF(AND(IF(Settings!$E$46="",$B72,DATE(YEAR($A72),MONTH($A72),MIN(Settings!$E$46,DAY($B72))))&gt;=MAX($A72,Settings!$F$46),IF(Settings!$E$46="",$B72,DATE(YEAR($A72),MONTH($A72),MIN(Settings!$E$46,DAY($B72))))&lt;=MIN($C72,IF(Settings!$G$46="",$C72,Settings!$G$46))),1,0)))</f>
        <v/>
      </c>
      <c r="BG72">
        <f>IF(OR(Settings!$C$47="",Settings!$D$47=""),0,Settings!$C$47*IF(Settings!$D$47="Weekly",IF(IFERROR(MATCH(Settings!$E$47,$EO$4:$EO$10,0),0)=0,0,IF(MIN($C72,IF(Settings!$G$47="",$C72,Settings!$G$47))&lt;MAX($A72,Settings!$F$47),0,INT((MIN($C72,IF(Settings!$G$47="",$C72,Settings!$G$47))-MAX($A72,Settings!$F$47)-MOD(IFERROR(MATCH(Settings!$E$47,$EO$4:$EO$10,0),0)-WEEKDAY(MAX($A72,Settings!$F$47)),7))/7)+1)),IF(AND(IF(Settings!$E$47="",$B72,DATE(YEAR($A72),MONTH($A72),MIN(Settings!$E$47,DAY($B72))))&gt;=MAX($A72,Settings!$F$47),IF(Settings!$E$47="",$B72,DATE(YEAR($A72),MONTH($A72),MIN(Settings!$E$47,DAY($B72))))&lt;=MIN($C72,IF(Settings!$G$47="",$C72,Settings!$G$47))),1,0)))</f>
        <v/>
      </c>
      <c r="BH72">
        <f>IF(OR(Settings!$C$48="",Settings!$D$48=""),0,Settings!$C$48*IF(Settings!$D$48="Weekly",IF(IFERROR(MATCH(Settings!$E$48,$EO$4:$EO$10,0),0)=0,0,IF(MIN($C72,IF(Settings!$G$48="",$C72,Settings!$G$48))&lt;MAX($A72,Settings!$F$48),0,INT((MIN($C72,IF(Settings!$G$48="",$C72,Settings!$G$48))-MAX($A72,Settings!$F$48)-MOD(IFERROR(MATCH(Settings!$E$48,$EO$4:$EO$10,0),0)-WEEKDAY(MAX($A72,Settings!$F$48)),7))/7)+1)),IF(AND(IF(Settings!$E$48="",$B72,DATE(YEAR($A72),MONTH($A72),MIN(Settings!$E$48,DAY($B72))))&gt;=MAX($A72,Settings!$F$48),IF(Settings!$E$48="",$B72,DATE(YEAR($A72),MONTH($A72),MIN(Settings!$E$48,DAY($B72))))&lt;=MIN($C72,IF(Settings!$G$48="",$C72,Settings!$G$48))),1,0)))</f>
        <v/>
      </c>
      <c r="BI72">
        <f>IF(OR(Settings!$C$49="",Settings!$D$49=""),0,Settings!$C$49*IF(Settings!$D$49="Weekly",IF(IFERROR(MATCH(Settings!$E$49,$EO$4:$EO$10,0),0)=0,0,IF(MIN($C72,IF(Settings!$G$49="",$C72,Settings!$G$49))&lt;MAX($A72,Settings!$F$49),0,INT((MIN($C72,IF(Settings!$G$49="",$C72,Settings!$G$49))-MAX($A72,Settings!$F$49)-MOD(IFERROR(MATCH(Settings!$E$49,$EO$4:$EO$10,0),0)-WEEKDAY(MAX($A72,Settings!$F$49)),7))/7)+1)),IF(AND(IF(Settings!$E$49="",$B72,DATE(YEAR($A72),MONTH($A72),MIN(Settings!$E$49,DAY($B72))))&gt;=MAX($A72,Settings!$F$49),IF(Settings!$E$49="",$B72,DATE(YEAR($A72),MONTH($A72),MIN(Settings!$E$49,DAY($B72))))&lt;=MIN($C72,IF(Settings!$G$49="",$C72,Settings!$G$49))),1,0)))</f>
        <v/>
      </c>
      <c r="BJ72">
        <f>IF(OR(Settings!$C$50="",Settings!$D$50=""),0,Settings!$C$50*IF(Settings!$D$50="Weekly",IF(IFERROR(MATCH(Settings!$E$50,$EO$4:$EO$10,0),0)=0,0,IF(MIN($C72,IF(Settings!$G$50="",$C72,Settings!$G$50))&lt;MAX($A72,Settings!$F$50),0,INT((MIN($C72,IF(Settings!$G$50="",$C72,Settings!$G$50))-MAX($A72,Settings!$F$50)-MOD(IFERROR(MATCH(Settings!$E$50,$EO$4:$EO$10,0),0)-WEEKDAY(MAX($A72,Settings!$F$50)),7))/7)+1)),IF(AND(IF(Settings!$E$50="",$B72,DATE(YEAR($A72),MONTH($A72),MIN(Settings!$E$50,DAY($B72))))&gt;=MAX($A72,Settings!$F$50),IF(Settings!$E$50="",$B72,DATE(YEAR($A72),MONTH($A72),MIN(Settings!$E$50,DAY($B72))))&lt;=MIN($C72,IF(Settings!$G$50="",$C72,Settings!$G$50))),1,0)))</f>
        <v/>
      </c>
      <c r="BK72">
        <f>IF(OR(Settings!$C$51="",Settings!$D$51=""),0,Settings!$C$51*IF(Settings!$D$51="Weekly",IF(IFERROR(MATCH(Settings!$E$51,$EO$4:$EO$10,0),0)=0,0,IF(MIN($C72,IF(Settings!$G$51="",$C72,Settings!$G$51))&lt;MAX($A72,Settings!$F$51),0,INT((MIN($C72,IF(Settings!$G$51="",$C72,Settings!$G$51))-MAX($A72,Settings!$F$51)-MOD(IFERROR(MATCH(Settings!$E$51,$EO$4:$EO$10,0),0)-WEEKDAY(MAX($A72,Settings!$F$51)),7))/7)+1)),IF(AND(IF(Settings!$E$51="",$B72,DATE(YEAR($A72),MONTH($A72),MIN(Settings!$E$51,DAY($B72))))&gt;=MAX($A72,Settings!$F$51),IF(Settings!$E$51="",$B72,DATE(YEAR($A72),MONTH($A72),MIN(Settings!$E$51,DAY($B72))))&lt;=MIN($C72,IF(Settings!$G$51="",$C72,Settings!$G$51))),1,0)))</f>
        <v/>
      </c>
      <c r="BL72">
        <f>IF(OR(Settings!$C$52="",Settings!$D$52=""),0,Settings!$C$52*IF(Settings!$D$52="Weekly",IF(IFERROR(MATCH(Settings!$E$52,$EO$4:$EO$10,0),0)=0,0,IF(MIN($C72,IF(Settings!$G$52="",$C72,Settings!$G$52))&lt;MAX($A72,Settings!$F$52),0,INT((MIN($C72,IF(Settings!$G$52="",$C72,Settings!$G$52))-MAX($A72,Settings!$F$52)-MOD(IFERROR(MATCH(Settings!$E$52,$EO$4:$EO$10,0),0)-WEEKDAY(MAX($A72,Settings!$F$52)),7))/7)+1)),IF(AND(IF(Settings!$E$52="",$B72,DATE(YEAR($A72),MONTH($A72),MIN(Settings!$E$52,DAY($B72))))&gt;=MAX($A72,Settings!$F$52),IF(Settings!$E$52="",$B72,DATE(YEAR($A72),MONTH($A72),MIN(Settings!$E$52,DAY($B72))))&lt;=MIN($C72,IF(Settings!$G$52="",$C72,Settings!$G$52))),1,0)))</f>
        <v/>
      </c>
      <c r="BM72">
        <f>IF(OR(Settings!$C$53="",Settings!$D$53=""),0,Settings!$C$53*IF(Settings!$D$53="Weekly",IF(IFERROR(MATCH(Settings!$E$53,$EO$4:$EO$10,0),0)=0,0,IF(MIN($C72,IF(Settings!$G$53="",$C72,Settings!$G$53))&lt;MAX($A72,Settings!$F$53),0,INT((MIN($C72,IF(Settings!$G$53="",$C72,Settings!$G$53))-MAX($A72,Settings!$F$53)-MOD(IFERROR(MATCH(Settings!$E$53,$EO$4:$EO$10,0),0)-WEEKDAY(MAX($A72,Settings!$F$53)),7))/7)+1)),IF(AND(IF(Settings!$E$53="",$B72,DATE(YEAR($A72),MONTH($A72),MIN(Settings!$E$53,DAY($B72))))&gt;=MAX($A72,Settings!$F$53),IF(Settings!$E$53="",$B72,DATE(YEAR($A72),MONTH($A72),MIN(Settings!$E$53,DAY($B72))))&lt;=MIN($C72,IF(Settings!$G$53="",$C72,Settings!$G$53))),1,0)))</f>
        <v/>
      </c>
      <c r="BN72">
        <f>IF(OR(Settings!$C$54="",Settings!$D$54=""),0,Settings!$C$54*IF(Settings!$D$54="Weekly",IF(IFERROR(MATCH(Settings!$E$54,$EO$4:$EO$10,0),0)=0,0,IF(MIN($C72,IF(Settings!$G$54="",$C72,Settings!$G$54))&lt;MAX($A72,Settings!$F$54),0,INT((MIN($C72,IF(Settings!$G$54="",$C72,Settings!$G$54))-MAX($A72,Settings!$F$54)-MOD(IFERROR(MATCH(Settings!$E$54,$EO$4:$EO$10,0),0)-WEEKDAY(MAX($A72,Settings!$F$54)),7))/7)+1)),IF(AND(IF(Settings!$E$54="",$B72,DATE(YEAR($A72),MONTH($A72),MIN(Settings!$E$54,DAY($B72))))&gt;=MAX($A72,Settings!$F$54),IF(Settings!$E$54="",$B72,DATE(YEAR($A72),MONTH($A72),MIN(Settings!$E$54,DAY($B72))))&lt;=MIN($C72,IF(Settings!$G$54="",$C72,Settings!$G$54))),1,0)))</f>
        <v/>
      </c>
      <c r="BO72">
        <f>IF(OR(Settings!$C$55="",Settings!$D$55=""),0,Settings!$C$55*IF(Settings!$D$55="Weekly",IF(IFERROR(MATCH(Settings!$E$55,$EO$4:$EO$10,0),0)=0,0,IF(MIN($C72,IF(Settings!$G$55="",$C72,Settings!$G$55))&lt;MAX($A72,Settings!$F$55),0,INT((MIN($C72,IF(Settings!$G$55="",$C72,Settings!$G$55))-MAX($A72,Settings!$F$55)-MOD(IFERROR(MATCH(Settings!$E$55,$EO$4:$EO$10,0),0)-WEEKDAY(MAX($A72,Settings!$F$55)),7))/7)+1)),IF(AND(IF(Settings!$E$55="",$B72,DATE(YEAR($A72),MONTH($A72),MIN(Settings!$E$55,DAY($B72))))&gt;=MAX($A72,Settings!$F$55),IF(Settings!$E$55="",$B72,DATE(YEAR($A72),MONTH($A72),MIN(Settings!$E$55,DAY($B72))))&lt;=MIN($C72,IF(Settings!$G$55="",$C72,Settings!$G$55))),1,0)))</f>
        <v/>
      </c>
      <c r="BP72">
        <f>IF(OR(Settings!$C$56="",Settings!$D$56=""),0,Settings!$C$56*IF(Settings!$D$56="Weekly",IF(IFERROR(MATCH(Settings!$E$56,$EO$4:$EO$10,0),0)=0,0,IF(MIN($C72,IF(Settings!$G$56="",$C72,Settings!$G$56))&lt;MAX($A72,Settings!$F$56),0,INT((MIN($C72,IF(Settings!$G$56="",$C72,Settings!$G$56))-MAX($A72,Settings!$F$56)-MOD(IFERROR(MATCH(Settings!$E$56,$EO$4:$EO$10,0),0)-WEEKDAY(MAX($A72,Settings!$F$56)),7))/7)+1)),IF(AND(IF(Settings!$E$56="",$B72,DATE(YEAR($A72),MONTH($A72),MIN(Settings!$E$56,DAY($B72))))&gt;=MAX($A72,Settings!$F$56),IF(Settings!$E$56="",$B72,DATE(YEAR($A72),MONTH($A72),MIN(Settings!$E$56,DAY($B72))))&lt;=MIN($C72,IF(Settings!$G$56="",$C72,Settings!$G$56))),1,0)))</f>
        <v/>
      </c>
      <c r="BQ72">
        <f>IF(OR(Settings!$B$14="",$D72=1,$E72="pre",$A72&lt;IF(Settings!$B$15="",0,Settings!$B$15)),0,Settings!$B$14)</f>
        <v/>
      </c>
      <c r="BR72">
        <f>IF(AND('Month-End'!$BQ$7&lt;&gt;"",NOT(_xlfn.ISFORMULA('Month-End'!$BQ$7))),1,0)</f>
        <v/>
      </c>
      <c r="BS72">
        <f>IF(AND('Month-End'!$BQ$8&lt;&gt;"",NOT(_xlfn.ISFORMULA('Month-End'!$BQ$8))),1,0)</f>
        <v/>
      </c>
      <c r="BT72">
        <f>IF(AND('Month-End'!$BQ$9&lt;&gt;"",NOT(_xlfn.ISFORMULA('Month-End'!$BQ$9))),1,0)</f>
        <v/>
      </c>
      <c r="BU72">
        <f>IF(AND('Month-End'!$BQ$10&lt;&gt;"",NOT(_xlfn.ISFORMULA('Month-End'!$BQ$10))),1,0)</f>
        <v/>
      </c>
      <c r="BV72">
        <f>IF(AND('Month-End'!$BQ$11&lt;&gt;"",NOT(_xlfn.ISFORMULA('Month-End'!$BQ$11))),1,0)</f>
        <v/>
      </c>
      <c r="BW72">
        <f>IF(AND('Month-End'!$BQ$12&lt;&gt;"",NOT(_xlfn.ISFORMULA('Month-End'!$BQ$12))),1,0)</f>
        <v/>
      </c>
      <c r="BX72">
        <f>IF(AND('Month-End'!$BQ$13&lt;&gt;"",NOT(_xlfn.ISFORMULA('Month-End'!$BQ$13))),1,0)</f>
        <v/>
      </c>
      <c r="BY72">
        <f>IF(AND('Month-End'!$BQ$14&lt;&gt;"",NOT(_xlfn.ISFORMULA('Month-End'!$BQ$14))),1,0)</f>
        <v/>
      </c>
      <c r="BZ72">
        <f>IF(AND('Month-End'!$BQ$15&lt;&gt;"",NOT(_xlfn.ISFORMULA('Month-End'!$BQ$15))),1,0)</f>
        <v/>
      </c>
      <c r="CA72">
        <f>IF(AND('Month-End'!$BQ$16&lt;&gt;"",NOT(_xlfn.ISFORMULA('Month-End'!$BQ$16))),1,0)</f>
        <v/>
      </c>
      <c r="CB72">
        <f>IF(AND('Month-End'!$BQ$17&lt;&gt;"",NOT(_xlfn.ISFORMULA('Month-End'!$BQ$17))),1,0)</f>
        <v/>
      </c>
      <c r="CC72">
        <f>IF(AND('Month-End'!$BQ$18&lt;&gt;"",NOT(_xlfn.ISFORMULA('Month-End'!$BQ$18))),1,0)</f>
        <v/>
      </c>
      <c r="CD72">
        <f>IF(AND('Month-End'!$BQ$19&lt;&gt;"",NOT(_xlfn.ISFORMULA('Month-End'!$BQ$19))),1,0)</f>
        <v/>
      </c>
      <c r="CE72">
        <f>IF(AND('Month-End'!$BQ$20&lt;&gt;"",NOT(_xlfn.ISFORMULA('Month-End'!$BQ$20))),1,0)</f>
        <v/>
      </c>
      <c r="CF72">
        <f>IF(AND('Month-End'!$BQ$38&lt;&gt;"",NOT(_xlfn.ISFORMULA('Month-End'!$BQ$38))),1,0)</f>
        <v/>
      </c>
      <c r="CG72">
        <f>IF(AND('Month-End'!$BQ$39&lt;&gt;"",NOT(_xlfn.ISFORMULA('Month-End'!$BQ$39))),1,0)</f>
        <v/>
      </c>
      <c r="CH72">
        <f>IF(AND('Month-End'!$BQ$40&lt;&gt;"",NOT(_xlfn.ISFORMULA('Month-End'!$BQ$40))),1,0)</f>
        <v/>
      </c>
      <c r="CI72">
        <f>IF(AND('Month-End'!$BQ$41&lt;&gt;"",NOT(_xlfn.ISFORMULA('Month-End'!$BQ$41))),1,0)</f>
        <v/>
      </c>
      <c r="CJ72">
        <f>IF(AND('Month-End'!$BQ$42&lt;&gt;"",NOT(_xlfn.ISFORMULA('Month-End'!$BQ$42))),1,0)</f>
        <v/>
      </c>
      <c r="CK72">
        <f>IF(AND('Month-End'!$BQ$43&lt;&gt;"",NOT(_xlfn.ISFORMULA('Month-End'!$BQ$43))),1,0)</f>
        <v/>
      </c>
      <c r="CL72">
        <f>SUM($CM72:$CZ72)</f>
        <v/>
      </c>
      <c r="CM72">
        <f>IF(AND($E72&lt;&gt;"pre",AND(Settings!$A$19&lt;&gt;"",Settings!$E$19&lt;&gt;"No"),Settings!$F$19="Yes",NOT(AND('Month-End'!$BQ$7&lt;&gt;"",NOT(_xlfn.ISFORMULA('Month-End'!$BQ$7))))),1,0)</f>
        <v/>
      </c>
      <c r="CN72">
        <f>IF(AND($E72&lt;&gt;"pre",AND(Settings!$A$20&lt;&gt;"",Settings!$E$20&lt;&gt;"No"),Settings!$F$20="Yes",NOT(AND('Month-End'!$BQ$8&lt;&gt;"",NOT(_xlfn.ISFORMULA('Month-End'!$BQ$8))))),1,0)</f>
        <v/>
      </c>
      <c r="CO72">
        <f>IF(AND($E72&lt;&gt;"pre",AND(Settings!$A$21&lt;&gt;"",Settings!$E$21&lt;&gt;"No"),Settings!$F$21="Yes",NOT(AND('Month-End'!$BQ$9&lt;&gt;"",NOT(_xlfn.ISFORMULA('Month-End'!$BQ$9))))),1,0)</f>
        <v/>
      </c>
      <c r="CP72">
        <f>IF(AND($E72&lt;&gt;"pre",AND(Settings!$A$22&lt;&gt;"",Settings!$E$22&lt;&gt;"No"),Settings!$F$22="Yes",NOT(AND('Month-End'!$BQ$10&lt;&gt;"",NOT(_xlfn.ISFORMULA('Month-End'!$BQ$10))))),1,0)</f>
        <v/>
      </c>
      <c r="CQ72">
        <f>IF(AND($E72&lt;&gt;"pre",AND(Settings!$A$23&lt;&gt;"",Settings!$E$23&lt;&gt;"No"),Settings!$F$23="Yes",NOT(AND('Month-End'!$BQ$11&lt;&gt;"",NOT(_xlfn.ISFORMULA('Month-End'!$BQ$11))))),1,0)</f>
        <v/>
      </c>
      <c r="CR72">
        <f>IF(AND($E72&lt;&gt;"pre",AND(Settings!$A$24&lt;&gt;"",Settings!$E$24&lt;&gt;"No"),Settings!$F$24="Yes",NOT(AND('Month-End'!$BQ$12&lt;&gt;"",NOT(_xlfn.ISFORMULA('Month-End'!$BQ$12))))),1,0)</f>
        <v/>
      </c>
      <c r="CS72">
        <f>IF(AND($E72&lt;&gt;"pre",AND(Settings!$A$25&lt;&gt;"",Settings!$E$25&lt;&gt;"No"),Settings!$F$25="Yes",NOT(AND('Month-End'!$BQ$13&lt;&gt;"",NOT(_xlfn.ISFORMULA('Month-End'!$BQ$13))))),1,0)</f>
        <v/>
      </c>
      <c r="CT72">
        <f>IF(AND($E72&lt;&gt;"pre",AND(Settings!$A$26&lt;&gt;"",Settings!$E$26&lt;&gt;"No"),Settings!$F$26="Yes",NOT(AND('Month-End'!$BQ$14&lt;&gt;"",NOT(_xlfn.ISFORMULA('Month-End'!$BQ$14))))),1,0)</f>
        <v/>
      </c>
      <c r="CU72">
        <f>IF(AND($E72&lt;&gt;"pre",AND(Settings!$A$27&lt;&gt;"",Settings!$E$27&lt;&gt;"No"),Settings!$F$27="Yes",NOT(AND('Month-End'!$BQ$15&lt;&gt;"",NOT(_xlfn.ISFORMULA('Month-End'!$BQ$15))))),1,0)</f>
        <v/>
      </c>
      <c r="CV72">
        <f>IF(AND($E72&lt;&gt;"pre",AND(Settings!$A$28&lt;&gt;"",Settings!$E$28&lt;&gt;"No"),Settings!$F$28="Yes",NOT(AND('Month-End'!$BQ$16&lt;&gt;"",NOT(_xlfn.ISFORMULA('Month-End'!$BQ$16))))),1,0)</f>
        <v/>
      </c>
      <c r="CW72">
        <f>IF(AND($E72&lt;&gt;"pre",AND(Settings!$A$29&lt;&gt;"",Settings!$E$29&lt;&gt;"No"),Settings!$F$29="Yes",NOT(AND('Month-End'!$BQ$17&lt;&gt;"",NOT(_xlfn.ISFORMULA('Month-End'!$BQ$17))))),1,0)</f>
        <v/>
      </c>
      <c r="CX72">
        <f>IF(AND($E72&lt;&gt;"pre",AND(Settings!$A$30&lt;&gt;"",Settings!$E$30&lt;&gt;"No"),Settings!$F$30="Yes",NOT(AND('Month-End'!$BQ$18&lt;&gt;"",NOT(_xlfn.ISFORMULA('Month-End'!$BQ$18))))),1,0)</f>
        <v/>
      </c>
      <c r="CY72">
        <f>IF(AND($E72&lt;&gt;"pre",AND(Settings!$A$31&lt;&gt;"",Settings!$E$31&lt;&gt;"No"),Settings!$F$31="Yes",NOT(AND('Month-End'!$BQ$19&lt;&gt;"",NOT(_xlfn.ISFORMULA('Month-End'!$BQ$19))))),1,0)</f>
        <v/>
      </c>
      <c r="CZ72">
        <f>IF(AND($E72&lt;&gt;"pre",AND(Settings!$A$32&lt;&gt;"",Settings!$E$32&lt;&gt;"No"),Settings!$F$32="Yes",NOT(AND('Month-End'!$BQ$20&lt;&gt;"",NOT(_xlfn.ISFORMULA('Month-End'!$BQ$20))))),1,0)</f>
        <v/>
      </c>
      <c r="DA72">
        <f>IF($DT72=1,IF(OR(Settings!$B$19="Checking",Settings!$B$19="Savings",Settings!$B$19="Cash"),N($AE72),IF(OR(Settings!$B$19="Card",Settings!$B$19="Loan"),-N($AE72),0))+IF(OR(Settings!$B$20="Checking",Settings!$B$20="Savings",Settings!$B$20="Cash"),N($AF72),IF(OR(Settings!$B$20="Card",Settings!$B$20="Loan"),-N($AF72),0))+IF(OR(Settings!$B$21="Checking",Settings!$B$21="Savings",Settings!$B$21="Cash"),N($AG72),IF(OR(Settings!$B$21="Card",Settings!$B$21="Loan"),-N($AG72),0))+IF(OR(Settings!$B$22="Checking",Settings!$B$22="Savings",Settings!$B$22="Cash"),N($AH72),IF(OR(Settings!$B$22="Card",Settings!$B$22="Loan"),-N($AH72),0))+IF(OR(Settings!$B$23="Checking",Settings!$B$23="Savings",Settings!$B$23="Cash"),N($AI72),IF(OR(Settings!$B$23="Card",Settings!$B$23="Loan"),-N($AI72),0))+IF(OR(Settings!$B$24="Checking",Settings!$B$24="Savings",Settings!$B$24="Cash"),N($AJ72),IF(OR(Settings!$B$24="Card",Settings!$B$24="Loan"),-N($AJ72),0))+IF(OR(Settings!$B$25="Checking",Settings!$B$25="Savings",Settings!$B$25="Cash"),N($AK72),IF(OR(Settings!$B$25="Card",Settings!$B$25="Loan"),-N($AK72),0))+IF(OR(Settings!$B$26="Checking",Settings!$B$26="Savings",Settings!$B$26="Cash"),N($AL72),IF(OR(Settings!$B$26="Card",Settings!$B$26="Loan"),-N($AL72),0))+IF(OR(Settings!$B$27="Checking",Settings!$B$27="Savings",Settings!$B$27="Cash"),N($AM72),IF(OR(Settings!$B$27="Card",Settings!$B$27="Loan"),-N($AM72),0))+IF(OR(Settings!$B$28="Checking",Settings!$B$28="Savings",Settings!$B$28="Cash"),N($AN72),IF(OR(Settings!$B$28="Card",Settings!$B$28="Loan"),-N($AN72),0))+IF(OR(Settings!$B$29="Checking",Settings!$B$29="Savings",Settings!$B$29="Cash"),N($AO72),IF(OR(Settings!$B$29="Card",Settings!$B$29="Loan"),-N($AO72),0))+IF(OR(Settings!$B$30="Checking",Settings!$B$30="Savings",Settings!$B$30="Cash"),N($AP72),IF(OR(Settings!$B$30="Card",Settings!$B$30="Loan"),-N($AP72),0))+IF(OR(Settings!$B$31="Checking",Settings!$B$31="Savings",Settings!$B$31="Cash"),N($AQ72),IF(OR(Settings!$B$31="Card",Settings!$B$31="Loan"),-N($AQ72),0))+IF(OR(Settings!$B$32="Checking",Settings!$B$32="Savings",Settings!$B$32="Cash"),N($AR72),IF(OR(Settings!$B$32="Card",Settings!$B$32="Loan"),-N($AR72),0)),"")</f>
        <v/>
      </c>
      <c r="DB72">
        <f>IF($E72="open",$EB$27,IF($E72="post",IF($E71="pre",$EB$27,$DA71),""))</f>
        <v/>
      </c>
      <c r="DC72">
        <f>IF($E72="open",1,IF($E72="post",IF($E71="pre",1,$DT71),0))</f>
        <v/>
      </c>
      <c r="DD72">
        <f>IF(AND($DT72=1,$DC72=1),ROUND($W72-($DA72-$DB72)-$AD72-$AB72,2),"")</f>
        <v/>
      </c>
      <c r="DE72">
        <f>IF('Month-End'!$BQ$35="",$BQ72,N('Month-End'!$BQ$35))</f>
        <v/>
      </c>
      <c r="DF72">
        <f>N('Month-End'!$BQ$36)</f>
        <v/>
      </c>
      <c r="DG72">
        <f>IF($DD72="","",$DD72+$DE72)</f>
        <v/>
      </c>
      <c r="DH72">
        <f>IF($DG72="","",$DG72-$DF72)</f>
        <v/>
      </c>
      <c r="DI72">
        <f>IF(OR($E72="pre",$D72=1),"",N($AS72)+N($AT72)+N($AU72)+N($AV72)+N($AW72)+N($AX72))</f>
        <v/>
      </c>
      <c r="DJ72">
        <f>IF($DT72=1,$DA72+N($DI72),"")</f>
        <v/>
      </c>
      <c r="DK72">
        <f>IF($DD72="","",$W72-$DD72-$AB72)</f>
        <v/>
      </c>
      <c r="DL72">
        <f>IF(AND($E72="post",$DD72&lt;&gt;"",$B72&lt;TODAY()),1,0)</f>
        <v/>
      </c>
      <c r="DM72">
        <f>IF($DL72=1,COUNTIF($DL72:$DL$183,1),0)</f>
        <v/>
      </c>
      <c r="DN72">
        <f>IF($D72=1,"",IF($E72="pre","History only",IF($DT72=1,IF($DD72="","⚠ Previous month missing",IF($DD72&lt;0,"⚠ Check: spending &lt; 0",IF($E72="open","✓ Done (partial)","✓ Done"))),IF($B72&gt;=TODAY(),"In progress","⚠ Needs balances"))))</f>
        <v/>
      </c>
      <c r="DO72">
        <f>YEAR($A72)</f>
        <v/>
      </c>
      <c r="DP72">
        <f>DATE(YEAR($A72),INT((MONTH($A72)-1)/3)*3+1,1)</f>
        <v/>
      </c>
      <c r="DQ72">
        <f>IF(AND($DT72=1,$DD72&lt;&gt;"",$D72=0),ROW(),0)</f>
        <v/>
      </c>
      <c r="DR72">
        <f>IF(AND($E72&lt;&gt;"pre",$B72&lt;TODAY(),$DT72=0),1,0)</f>
        <v/>
      </c>
      <c r="DS72">
        <f>IF($DJ72="",NA(),$DJ72)</f>
        <v/>
      </c>
      <c r="DT72">
        <f>IF(AND($E72&lt;&gt;"pre",$CL72=0,COUNTIFS(Settings!$F$19:$F$32,"Yes",Settings!$A$19:$A$32,"&lt;&gt;",Settings!$E$19:$E$32,"&lt;&gt;No")&gt;0),1,0)</f>
        <v/>
      </c>
      <c r="DU72">
        <f>IF(AND($B72&lt;TODAY(),$S72&gt;0),1,0)</f>
        <v/>
      </c>
      <c r="DV72">
        <f>IF($DU72=1,COUNTIF($DU72:$DU$183,1),0)</f>
        <v/>
      </c>
      <c r="DW72">
        <f>IF(AND(OR(Settings!$B$19="Card",Settings!$B$19="Loan"),AND('Month-End'!$BQ$7&lt;&gt;"",NOT(_xlfn.ISFORMULA('Month-End'!$BQ$7)))),IF(N('Month-End'!$BQ$7)&lt;0,1,0),0)+IF(AND(OR(Settings!$B$20="Card",Settings!$B$20="Loan"),AND('Month-End'!$BQ$8&lt;&gt;"",NOT(_xlfn.ISFORMULA('Month-End'!$BQ$8)))),IF(N('Month-End'!$BQ$8)&lt;0,1,0),0)+IF(AND(OR(Settings!$B$21="Card",Settings!$B$21="Loan"),AND('Month-End'!$BQ$9&lt;&gt;"",NOT(_xlfn.ISFORMULA('Month-End'!$BQ$9)))),IF(N('Month-End'!$BQ$9)&lt;0,1,0),0)+IF(AND(OR(Settings!$B$22="Card",Settings!$B$22="Loan"),AND('Month-End'!$BQ$10&lt;&gt;"",NOT(_xlfn.ISFORMULA('Month-End'!$BQ$10)))),IF(N('Month-End'!$BQ$10)&lt;0,1,0),0)+IF(AND(OR(Settings!$B$23="Card",Settings!$B$23="Loan"),AND('Month-End'!$BQ$11&lt;&gt;"",NOT(_xlfn.ISFORMULA('Month-End'!$BQ$11)))),IF(N('Month-End'!$BQ$11)&lt;0,1,0),0)+IF(AND(OR(Settings!$B$24="Card",Settings!$B$24="Loan"),AND('Month-End'!$BQ$12&lt;&gt;"",NOT(_xlfn.ISFORMULA('Month-End'!$BQ$12)))),IF(N('Month-End'!$BQ$12)&lt;0,1,0),0)+IF(AND(OR(Settings!$B$25="Card",Settings!$B$25="Loan"),AND('Month-End'!$BQ$13&lt;&gt;"",NOT(_xlfn.ISFORMULA('Month-End'!$BQ$13)))),IF(N('Month-End'!$BQ$13)&lt;0,1,0),0)+IF(AND(OR(Settings!$B$26="Card",Settings!$B$26="Loan"),AND('Month-End'!$BQ$14&lt;&gt;"",NOT(_xlfn.ISFORMULA('Month-End'!$BQ$14)))),IF(N('Month-End'!$BQ$14)&lt;0,1,0),0)+IF(AND(OR(Settings!$B$27="Card",Settings!$B$27="Loan"),AND('Month-End'!$BQ$15&lt;&gt;"",NOT(_xlfn.ISFORMULA('Month-End'!$BQ$15)))),IF(N('Month-End'!$BQ$15)&lt;0,1,0),0)+IF(AND(OR(Settings!$B$28="Card",Settings!$B$28="Loan"),AND('Month-End'!$BQ$16&lt;&gt;"",NOT(_xlfn.ISFORMULA('Month-End'!$BQ$16)))),IF(N('Month-End'!$BQ$16)&lt;0,1,0),0)+IF(AND(OR(Settings!$B$29="Card",Settings!$B$29="Loan"),AND('Month-End'!$BQ$17&lt;&gt;"",NOT(_xlfn.ISFORMULA('Month-End'!$BQ$17)))),IF(N('Month-End'!$BQ$17)&lt;0,1,0),0)+IF(AND(OR(Settings!$B$30="Card",Settings!$B$30="Loan"),AND('Month-End'!$BQ$18&lt;&gt;"",NOT(_xlfn.ISFORMULA('Month-End'!$BQ$18)))),IF(N('Month-End'!$BQ$18)&lt;0,1,0),0)+IF(AND(OR(Settings!$B$31="Card",Settings!$B$31="Loan"),AND('Month-End'!$BQ$19&lt;&gt;"",NOT(_xlfn.ISFORMULA('Month-End'!$BQ$19)))),IF(N('Month-End'!$BQ$19)&lt;0,1,0),0)+IF(AND(OR(Settings!$B$32="Card",Settings!$B$32="Loan"),AND('Month-End'!$BQ$20&lt;&gt;"",NOT(_xlfn.ISFORMULA('Month-End'!$BQ$20)))),IF(N('Month-End'!$BQ$20)&lt;0,1,0),0)</f>
        <v/>
      </c>
      <c r="DX72">
        <f>IF(Settings!$B$36="Retirement",$AY72,0)+IF(Settings!$B$37="Retirement",$AZ72,0)+IF(Settings!$B$38="Retirement",$BA72,0)+IF(Settings!$B$39="Retirement",$BB72,0)+IF(Settings!$B$40="Retirement",$BC72,0)+IF(Settings!$B$41="Retirement",$BD72,0)</f>
        <v/>
      </c>
      <c r="EA72">
        <f>IF(Settings!$A$71="","",Settings!$A$71)</f>
        <v/>
      </c>
      <c r="EB72">
        <f>IF(Settings!$D$71="",0,IF(Settings!$D$71="Specific Account",IFERROR(INDEX($EB$40:$EB$59,MATCH(Settings!$F$71,$EA$40:$EA$59,0)),0),IFERROR(INDEX($EB$6:$EB$26,MATCH(Settings!$D$71,$EA$6:$EA$26,0)),0)))</f>
        <v/>
      </c>
      <c r="EC72">
        <f>IF(Settings!$A$71="","",IF(Settings!$B$71="Tithe Balance",$EB$23,IF(Settings!$E$71="Specific Account",IFERROR(INDEX($EB$40:$EB$59,MATCH(Settings!$F$71,$EA$40:$EA$59,0)),0),IFERROR(INDEX($EB$6:$EB$26,MATCH(Settings!$E$71,$EA$6:$EA$26,0)),0))))</f>
        <v/>
      </c>
      <c r="ED72">
        <f>IF(Settings!$A$71="","",IF(Settings!$B$71="Percentage",EB72*N(Settings!$C$71)/100,IF(Settings!$B$71="Multiple",EB72*N(Settings!$C$71),IF(Settings!$B$71="Tithe Balance",$EB$22,N(Settings!$C$71)))))</f>
        <v/>
      </c>
      <c r="EE72">
        <f>IF(Settings!$A$71="","",IF(Settings!$B$71="Pay Down To",MAX(0,EC72-ED72),MAX(0,ED72-EC72)))</f>
        <v/>
      </c>
      <c r="EF72">
        <f>IF(Settings!$A$71="","",IF(Settings!$B$71="Pay Down To",IF(EC72&lt;=ED72,"Met","Above target"),IF(EC72&gt;=ED72-0.005,"Met","Remaining")))</f>
        <v/>
      </c>
      <c r="EG72">
        <f>IF(Settings!$A$71="","",IF(Settings!$B$71="Pay Down To",IF(EC72&lt;=0,1,MIN(1,ED72/EC72)),IF(ED72&lt;=0,1,EC72/ED72)))</f>
        <v/>
      </c>
      <c r="EH72">
        <f>IF(OR(Settings!$A$71="",EE72&lt;=0),"",IF(Settings!$B$71="Save By Date",IF(Settings!$G$71="","Set a target date","Need "&amp;TEXT(EE72/MAX(1,(YEAR(Settings!$G$71)-YEAR(TODAY()))*12+MONTH(Settings!$G$71)-MONTH(TODAY())+1),"$#,##0")&amp;"/mo to "&amp;TEXT(Settings!$G$71,"mmm yyyy")),IF(Settings!$B$71="Annual Contribution","Need "&amp;TEXT(EE72/MAX(1,12-MONTH(TODAY())+1),"$#,##0")&amp;"/mo rest of year",IF(Settings!$B$71="Tithe Balance","This quarter",""))))</f>
        <v/>
      </c>
      <c r="ET72">
        <f>IF($E72&lt;&gt;"open",0,IF(AND('Month-End'!$BQ$22&lt;&gt;"",NOT(_xlfn.ISFORMULA('Month-End'!$BQ$22))),0,IF(OR(Settings!$C$45="",Settings!$D$45=""),0,Settings!$C$45*IF(Settings!$D$45="Weekly",IF(IFERROR(MATCH(Settings!$E$45,$EO$4:$EO$10,0),0)=0,0,IF(MIN(Settings!$B$5,IF(Settings!$G$45="",Settings!$B$5,Settings!$G$45))&lt;MAX($A72,Settings!$F$45),0,INT((MIN(Settings!$B$5,IF(Settings!$G$45="",Settings!$B$5,Settings!$G$45))-MAX($A72,Settings!$F$45)-MOD(IFERROR(MATCH(Settings!$E$45,$EO$4:$EO$10,0),0)-WEEKDAY(MAX($A72,Settings!$F$45)),7))/7)+1)),IF(AND(IF(Settings!$E$45="",$B72,DATE(YEAR($A72),MONTH($A72),MIN(Settings!$E$45,DAY($B72))))&gt;=MAX($A72,Settings!$F$45),IF(Settings!$E$45="",$B72,DATE(YEAR($A72),MONTH($A72),MIN(Settings!$E$45,DAY($B72))))&lt;=MIN(Settings!$B$5,IF(Settings!$G$45="",Settings!$B$5,Settings!$G$45))),1,0)))))</f>
        <v/>
      </c>
      <c r="EU72">
        <f>IF($E72&lt;&gt;"open",0,IF(AND('Month-End'!$BQ$23&lt;&gt;"",NOT(_xlfn.ISFORMULA('Month-End'!$BQ$23))),0,IF(OR(Settings!$C$46="",Settings!$D$46=""),0,Settings!$C$46*IF(Settings!$D$46="Weekly",IF(IFERROR(MATCH(Settings!$E$46,$EO$4:$EO$10,0),0)=0,0,IF(MIN(Settings!$B$5,IF(Settings!$G$46="",Settings!$B$5,Settings!$G$46))&lt;MAX($A72,Settings!$F$46),0,INT((MIN(Settings!$B$5,IF(Settings!$G$46="",Settings!$B$5,Settings!$G$46))-MAX($A72,Settings!$F$46)-MOD(IFERROR(MATCH(Settings!$E$46,$EO$4:$EO$10,0),0)-WEEKDAY(MAX($A72,Settings!$F$46)),7))/7)+1)),IF(AND(IF(Settings!$E$46="",$B72,DATE(YEAR($A72),MONTH($A72),MIN(Settings!$E$46,DAY($B72))))&gt;=MAX($A72,Settings!$F$46),IF(Settings!$E$46="",$B72,DATE(YEAR($A72),MONTH($A72),MIN(Settings!$E$46,DAY($B72))))&lt;=MIN(Settings!$B$5,IF(Settings!$G$46="",Settings!$B$5,Settings!$G$46))),1,0)))))</f>
        <v/>
      </c>
      <c r="EV72">
        <f>IF($E72&lt;&gt;"open",0,IF(AND('Month-End'!$BQ$24&lt;&gt;"",NOT(_xlfn.ISFORMULA('Month-End'!$BQ$24))),0,IF(OR(Settings!$C$47="",Settings!$D$47=""),0,Settings!$C$47*IF(Settings!$D$47="Weekly",IF(IFERROR(MATCH(Settings!$E$47,$EO$4:$EO$10,0),0)=0,0,IF(MIN(Settings!$B$5,IF(Settings!$G$47="",Settings!$B$5,Settings!$G$47))&lt;MAX($A72,Settings!$F$47),0,INT((MIN(Settings!$B$5,IF(Settings!$G$47="",Settings!$B$5,Settings!$G$47))-MAX($A72,Settings!$F$47)-MOD(IFERROR(MATCH(Settings!$E$47,$EO$4:$EO$10,0),0)-WEEKDAY(MAX($A72,Settings!$F$47)),7))/7)+1)),IF(AND(IF(Settings!$E$47="",$B72,DATE(YEAR($A72),MONTH($A72),MIN(Settings!$E$47,DAY($B72))))&gt;=MAX($A72,Settings!$F$47),IF(Settings!$E$47="",$B72,DATE(YEAR($A72),MONTH($A72),MIN(Settings!$E$47,DAY($B72))))&lt;=MIN(Settings!$B$5,IF(Settings!$G$47="",Settings!$B$5,Settings!$G$47))),1,0)))))</f>
        <v/>
      </c>
      <c r="EW72">
        <f>IF($E72&lt;&gt;"open",0,IF(AND('Month-End'!$BQ$25&lt;&gt;"",NOT(_xlfn.ISFORMULA('Month-End'!$BQ$25))),0,IF(OR(Settings!$C$48="",Settings!$D$48=""),0,Settings!$C$48*IF(Settings!$D$48="Weekly",IF(IFERROR(MATCH(Settings!$E$48,$EO$4:$EO$10,0),0)=0,0,IF(MIN(Settings!$B$5,IF(Settings!$G$48="",Settings!$B$5,Settings!$G$48))&lt;MAX($A72,Settings!$F$48),0,INT((MIN(Settings!$B$5,IF(Settings!$G$48="",Settings!$B$5,Settings!$G$48))-MAX($A72,Settings!$F$48)-MOD(IFERROR(MATCH(Settings!$E$48,$EO$4:$EO$10,0),0)-WEEKDAY(MAX($A72,Settings!$F$48)),7))/7)+1)),IF(AND(IF(Settings!$E$48="",$B72,DATE(YEAR($A72),MONTH($A72),MIN(Settings!$E$48,DAY($B72))))&gt;=MAX($A72,Settings!$F$48),IF(Settings!$E$48="",$B72,DATE(YEAR($A72),MONTH($A72),MIN(Settings!$E$48,DAY($B72))))&lt;=MIN(Settings!$B$5,IF(Settings!$G$48="",Settings!$B$5,Settings!$G$48))),1,0)))))</f>
        <v/>
      </c>
      <c r="EX72">
        <f>IF($E72&lt;&gt;"open",0,IF(AND('Month-End'!$BQ$26&lt;&gt;"",NOT(_xlfn.ISFORMULA('Month-End'!$BQ$26))),0,IF(OR(Settings!$C$49="",Settings!$D$49=""),0,Settings!$C$49*IF(Settings!$D$49="Weekly",IF(IFERROR(MATCH(Settings!$E$49,$EO$4:$EO$10,0),0)=0,0,IF(MIN(Settings!$B$5,IF(Settings!$G$49="",Settings!$B$5,Settings!$G$49))&lt;MAX($A72,Settings!$F$49),0,INT((MIN(Settings!$B$5,IF(Settings!$G$49="",Settings!$B$5,Settings!$G$49))-MAX($A72,Settings!$F$49)-MOD(IFERROR(MATCH(Settings!$E$49,$EO$4:$EO$10,0),0)-WEEKDAY(MAX($A72,Settings!$F$49)),7))/7)+1)),IF(AND(IF(Settings!$E$49="",$B72,DATE(YEAR($A72),MONTH($A72),MIN(Settings!$E$49,DAY($B72))))&gt;=MAX($A72,Settings!$F$49),IF(Settings!$E$49="",$B72,DATE(YEAR($A72),MONTH($A72),MIN(Settings!$E$49,DAY($B72))))&lt;=MIN(Settings!$B$5,IF(Settings!$G$49="",Settings!$B$5,Settings!$G$49))),1,0)))))</f>
        <v/>
      </c>
      <c r="EY72">
        <f>IF($E72&lt;&gt;"open",0,IF(AND('Month-End'!$BQ$27&lt;&gt;"",NOT(_xlfn.ISFORMULA('Month-End'!$BQ$27))),0,IF(OR(Settings!$C$50="",Settings!$D$50=""),0,Settings!$C$50*IF(Settings!$D$50="Weekly",IF(IFERROR(MATCH(Settings!$E$50,$EO$4:$EO$10,0),0)=0,0,IF(MIN(Settings!$B$5,IF(Settings!$G$50="",Settings!$B$5,Settings!$G$50))&lt;MAX($A72,Settings!$F$50),0,INT((MIN(Settings!$B$5,IF(Settings!$G$50="",Settings!$B$5,Settings!$G$50))-MAX($A72,Settings!$F$50)-MOD(IFERROR(MATCH(Settings!$E$50,$EO$4:$EO$10,0),0)-WEEKDAY(MAX($A72,Settings!$F$50)),7))/7)+1)),IF(AND(IF(Settings!$E$50="",$B72,DATE(YEAR($A72),MONTH($A72),MIN(Settings!$E$50,DAY($B72))))&gt;=MAX($A72,Settings!$F$50),IF(Settings!$E$50="",$B72,DATE(YEAR($A72),MONTH($A72),MIN(Settings!$E$50,DAY($B72))))&lt;=MIN(Settings!$B$5,IF(Settings!$G$50="",Settings!$B$5,Settings!$G$50))),1,0)))))</f>
        <v/>
      </c>
      <c r="EZ72">
        <f>IF($E72&lt;&gt;"open",0,IF(AND('Month-End'!$BQ$28&lt;&gt;"",NOT(_xlfn.ISFORMULA('Month-End'!$BQ$28))),0,IF(OR(Settings!$C$51="",Settings!$D$51=""),0,Settings!$C$51*IF(Settings!$D$51="Weekly",IF(IFERROR(MATCH(Settings!$E$51,$EO$4:$EO$10,0),0)=0,0,IF(MIN(Settings!$B$5,IF(Settings!$G$51="",Settings!$B$5,Settings!$G$51))&lt;MAX($A72,Settings!$F$51),0,INT((MIN(Settings!$B$5,IF(Settings!$G$51="",Settings!$B$5,Settings!$G$51))-MAX($A72,Settings!$F$51)-MOD(IFERROR(MATCH(Settings!$E$51,$EO$4:$EO$10,0),0)-WEEKDAY(MAX($A72,Settings!$F$51)),7))/7)+1)),IF(AND(IF(Settings!$E$51="",$B72,DATE(YEAR($A72),MONTH($A72),MIN(Settings!$E$51,DAY($B72))))&gt;=MAX($A72,Settings!$F$51),IF(Settings!$E$51="",$B72,DATE(YEAR($A72),MONTH($A72),MIN(Settings!$E$51,DAY($B72))))&lt;=MIN(Settings!$B$5,IF(Settings!$G$51="",Settings!$B$5,Settings!$G$51))),1,0)))))</f>
        <v/>
      </c>
      <c r="FA72">
        <f>IF($E72&lt;&gt;"open",0,IF(AND('Month-End'!$BQ$29&lt;&gt;"",NOT(_xlfn.ISFORMULA('Month-End'!$BQ$29))),0,IF(OR(Settings!$C$52="",Settings!$D$52=""),0,Settings!$C$52*IF(Settings!$D$52="Weekly",IF(IFERROR(MATCH(Settings!$E$52,$EO$4:$EO$10,0),0)=0,0,IF(MIN(Settings!$B$5,IF(Settings!$G$52="",Settings!$B$5,Settings!$G$52))&lt;MAX($A72,Settings!$F$52),0,INT((MIN(Settings!$B$5,IF(Settings!$G$52="",Settings!$B$5,Settings!$G$52))-MAX($A72,Settings!$F$52)-MOD(IFERROR(MATCH(Settings!$E$52,$EO$4:$EO$10,0),0)-WEEKDAY(MAX($A72,Settings!$F$52)),7))/7)+1)),IF(AND(IF(Settings!$E$52="",$B72,DATE(YEAR($A72),MONTH($A72),MIN(Settings!$E$52,DAY($B72))))&gt;=MAX($A72,Settings!$F$52),IF(Settings!$E$52="",$B72,DATE(YEAR($A72),MONTH($A72),MIN(Settings!$E$52,DAY($B72))))&lt;=MIN(Settings!$B$5,IF(Settings!$G$52="",Settings!$B$5,Settings!$G$52))),1,0)))))</f>
        <v/>
      </c>
      <c r="FB72">
        <f>IF($E72&lt;&gt;"open",0,IF(AND('Month-End'!$BQ$30&lt;&gt;"",NOT(_xlfn.ISFORMULA('Month-End'!$BQ$30))),0,IF(OR(Settings!$C$53="",Settings!$D$53=""),0,Settings!$C$53*IF(Settings!$D$53="Weekly",IF(IFERROR(MATCH(Settings!$E$53,$EO$4:$EO$10,0),0)=0,0,IF(MIN(Settings!$B$5,IF(Settings!$G$53="",Settings!$B$5,Settings!$G$53))&lt;MAX($A72,Settings!$F$53),0,INT((MIN(Settings!$B$5,IF(Settings!$G$53="",Settings!$B$5,Settings!$G$53))-MAX($A72,Settings!$F$53)-MOD(IFERROR(MATCH(Settings!$E$53,$EO$4:$EO$10,0),0)-WEEKDAY(MAX($A72,Settings!$F$53)),7))/7)+1)),IF(AND(IF(Settings!$E$53="",$B72,DATE(YEAR($A72),MONTH($A72),MIN(Settings!$E$53,DAY($B72))))&gt;=MAX($A72,Settings!$F$53),IF(Settings!$E$53="",$B72,DATE(YEAR($A72),MONTH($A72),MIN(Settings!$E$53,DAY($B72))))&lt;=MIN(Settings!$B$5,IF(Settings!$G$53="",Settings!$B$5,Settings!$G$53))),1,0)))))</f>
        <v/>
      </c>
      <c r="FC72">
        <f>IF($E72&lt;&gt;"open",0,IF(AND('Month-End'!$BQ$31&lt;&gt;"",NOT(_xlfn.ISFORMULA('Month-End'!$BQ$31))),0,IF(OR(Settings!$C$54="",Settings!$D$54=""),0,Settings!$C$54*IF(Settings!$D$54="Weekly",IF(IFERROR(MATCH(Settings!$E$54,$EO$4:$EO$10,0),0)=0,0,IF(MIN(Settings!$B$5,IF(Settings!$G$54="",Settings!$B$5,Settings!$G$54))&lt;MAX($A72,Settings!$F$54),0,INT((MIN(Settings!$B$5,IF(Settings!$G$54="",Settings!$B$5,Settings!$G$54))-MAX($A72,Settings!$F$54)-MOD(IFERROR(MATCH(Settings!$E$54,$EO$4:$EO$10,0),0)-WEEKDAY(MAX($A72,Settings!$F$54)),7))/7)+1)),IF(AND(IF(Settings!$E$54="",$B72,DATE(YEAR($A72),MONTH($A72),MIN(Settings!$E$54,DAY($B72))))&gt;=MAX($A72,Settings!$F$54),IF(Settings!$E$54="",$B72,DATE(YEAR($A72),MONTH($A72),MIN(Settings!$E$54,DAY($B72))))&lt;=MIN(Settings!$B$5,IF(Settings!$G$54="",Settings!$B$5,Settings!$G$54))),1,0)))))</f>
        <v/>
      </c>
      <c r="FD72">
        <f>IF($E72&lt;&gt;"open",0,IF(AND('Month-End'!$BQ$32&lt;&gt;"",NOT(_xlfn.ISFORMULA('Month-End'!$BQ$32))),0,IF(OR(Settings!$C$55="",Settings!$D$55=""),0,Settings!$C$55*IF(Settings!$D$55="Weekly",IF(IFERROR(MATCH(Settings!$E$55,$EO$4:$EO$10,0),0)=0,0,IF(MIN(Settings!$B$5,IF(Settings!$G$55="",Settings!$B$5,Settings!$G$55))&lt;MAX($A72,Settings!$F$55),0,INT((MIN(Settings!$B$5,IF(Settings!$G$55="",Settings!$B$5,Settings!$G$55))-MAX($A72,Settings!$F$55)-MOD(IFERROR(MATCH(Settings!$E$55,$EO$4:$EO$10,0),0)-WEEKDAY(MAX($A72,Settings!$F$55)),7))/7)+1)),IF(AND(IF(Settings!$E$55="",$B72,DATE(YEAR($A72),MONTH($A72),MIN(Settings!$E$55,DAY($B72))))&gt;=MAX($A72,Settings!$F$55),IF(Settings!$E$55="",$B72,DATE(YEAR($A72),MONTH($A72),MIN(Settings!$E$55,DAY($B72))))&lt;=MIN(Settings!$B$5,IF(Settings!$G$55="",Settings!$B$5,Settings!$G$55))),1,0)))))</f>
        <v/>
      </c>
      <c r="FE72">
        <f>IF($E72&lt;&gt;"open",0,IF(AND('Month-End'!$BQ$33&lt;&gt;"",NOT(_xlfn.ISFORMULA('Month-End'!$BQ$33))),0,IF(OR(Settings!$C$56="",Settings!$D$56=""),0,Settings!$C$56*IF(Settings!$D$56="Weekly",IF(IFERROR(MATCH(Settings!$E$56,$EO$4:$EO$10,0),0)=0,0,IF(MIN(Settings!$B$5,IF(Settings!$G$56="",Settings!$B$5,Settings!$G$56))&lt;MAX($A72,Settings!$F$56),0,INT((MIN(Settings!$B$5,IF(Settings!$G$56="",Settings!$B$5,Settings!$G$56))-MAX($A72,Settings!$F$56)-MOD(IFERROR(MATCH(Settings!$E$56,$EO$4:$EO$10,0),0)-WEEKDAY(MAX($A72,Settings!$F$56)),7))/7)+1)),IF(AND(IF(Settings!$E$56="",$B72,DATE(YEAR($A72),MONTH($A72),MIN(Settings!$E$56,DAY($B72))))&gt;=MAX($A72,Settings!$F$56),IF(Settings!$E$56="",$B72,DATE(YEAR($A72),MONTH($A72),MIN(Settings!$E$56,DAY($B72))))&lt;=MIN(Settings!$B$5,IF(Settings!$G$56="",Settings!$B$5,Settings!$G$56))),1,0)))))</f>
        <v/>
      </c>
      <c r="FF72">
        <f>IF(Settings!$I$45="Yes",$G72,0)+IF(Settings!$I$46="Yes",$H72,0)+IF(Settings!$I$47="Yes",$I72,0)+IF(Settings!$I$48="Yes",$J72,0)+IF(Settings!$I$49="Yes",$K72,0)+IF(Settings!$I$50="Yes",$L72,0)+IF(Settings!$I$51="Yes",$M72,0)+IF(Settings!$I$52="Yes",$N72,0)+IF(Settings!$I$53="Yes",$O72,0)+IF(Settings!$I$54="Yes",$P72,0)+IF(Settings!$I$55="Yes",$Q72,0)+IF(Settings!$I$56="Yes",$R72,0)</f>
        <v/>
      </c>
      <c r="FG72">
        <f>IF(AND(Settings!$I$45="Yes",Settings!$J$45="No"),$G72,0)+IF(AND(Settings!$I$46="Yes",Settings!$J$46="No"),$H72,0)+IF(AND(Settings!$I$47="Yes",Settings!$J$47="No"),$I72,0)+IF(AND(Settings!$I$48="Yes",Settings!$J$48="No"),$J72,0)+IF(AND(Settings!$I$49="Yes",Settings!$J$49="No"),$K72,0)+IF(AND(Settings!$I$50="Yes",Settings!$J$50="No"),$L72,0)+IF(AND(Settings!$I$51="Yes",Settings!$J$51="No"),$M72,0)+IF(AND(Settings!$I$52="Yes",Settings!$J$52="No"),$N72,0)+IF(AND(Settings!$I$53="Yes",Settings!$J$53="No"),$O72,0)+IF(AND(Settings!$I$54="Yes",Settings!$J$54="No"),$P72,0)+IF(AND(Settings!$I$55="Yes",Settings!$J$55="No"),$Q72,0)+IF(AND(Settings!$I$56="Yes",Settings!$J$56="No"),$R72,0)</f>
        <v/>
      </c>
      <c r="FH72">
        <f>SUMIFS(Giving!$B$7:$B$2006,Giving!$A$7:$A$2006,"&gt;="&amp;$A72,Giving!$A$7:$A$2006,"&lt;="&amp;$B72,Giving!$G$7:$G$2006,"Yes")+IF(OR(OR(Settings!$B$60="",Settings!$F$60="No"),Settings!$H$60&lt;&gt;"Yes"),0,Settings!$B$60*IF(AND(IF(Settings!$C$60="",$B72,DATE(YEAR($A72),MONTH($A72),MIN(Settings!$C$60,DAY($B72))))&gt;=MAX($A72,Settings!$D$60),IF(Settings!$C$60="",$B72,DATE(YEAR($A72),MONTH($A72),MIN(Settings!$C$60,DAY($B72))))&lt;=MIN($C72,IF(Settings!$E$60="",$C72,Settings!$E$60))),1,0))+IF(OR(OR(Settings!$B$61="",Settings!$F$61="No"),Settings!$H$61&lt;&gt;"Yes"),0,Settings!$B$61*IF(AND(IF(Settings!$C$61="",$B72,DATE(YEAR($A72),MONTH($A72),MIN(Settings!$C$61,DAY($B72))))&gt;=MAX($A72,Settings!$D$61),IF(Settings!$C$61="",$B72,DATE(YEAR($A72),MONTH($A72),MIN(Settings!$C$61,DAY($B72))))&lt;=MIN($C72,IF(Settings!$E$61="",$C72,Settings!$E$61))),1,0))+IF(OR(OR(Settings!$B$62="",Settings!$F$62="No"),Settings!$H$62&lt;&gt;"Yes"),0,Settings!$B$62*IF(AND(IF(Settings!$C$62="",$B72,DATE(YEAR($A72),MONTH($A72),MIN(Settings!$C$62,DAY($B72))))&gt;=MAX($A72,Settings!$D$62),IF(Settings!$C$62="",$B72,DATE(YEAR($A72),MONTH($A72),MIN(Settings!$C$62,DAY($B72))))&lt;=MIN($C72,IF(Settings!$E$62="",$C72,Settings!$E$62))),1,0))+IF(OR(OR(Settings!$B$63="",Settings!$F$63="No"),Settings!$H$63&lt;&gt;"Yes"),0,Settings!$B$63*IF(AND(IF(Settings!$C$63="",$B72,DATE(YEAR($A72),MONTH($A72),MIN(Settings!$C$63,DAY($B72))))&gt;=MAX($A72,Settings!$D$63),IF(Settings!$C$63="",$B72,DATE(YEAR($A72),MONTH($A72),MIN(Settings!$C$63,DAY($B72))))&lt;=MIN($C72,IF(Settings!$E$63="",$C72,Settings!$E$63))),1,0))+IF(OR(OR(Settings!$B$64="",Settings!$F$64="No"),Settings!$H$64&lt;&gt;"Yes"),0,Settings!$B$64*IF(AND(IF(Settings!$C$64="",$B72,DATE(YEAR($A72),MONTH($A72),MIN(Settings!$C$64,DAY($B72))))&gt;=MAX($A72,Settings!$D$64),IF(Settings!$C$64="",$B72,DATE(YEAR($A72),MONTH($A72),MIN(Settings!$C$64,DAY($B72))))&lt;=MIN($C72,IF(Settings!$E$64="",$C72,Settings!$E$64))),1,0))+IF(OR(OR(Settings!$B$65="",Settings!$F$65="No"),Settings!$H$65&lt;&gt;"Yes"),0,Settings!$B$65*IF(AND(IF(Settings!$C$65="",$B72,DATE(YEAR($A72),MONTH($A72),MIN(Settings!$C$65,DAY($B72))))&gt;=MAX($A72,Settings!$D$65),IF(Settings!$C$65="",$B72,DATE(YEAR($A72),MONTH($A72),MIN(Settings!$C$65,DAY($B72))))&lt;=MIN($C72,IF(Settings!$E$65="",$C72,Settings!$E$65))),1,0))</f>
        <v/>
      </c>
      <c r="FI72">
        <f>IF($DT72=1,IF(OR(Settings!$B$19="Card",Settings!$B$19="Loan"),N($AE72),0)+IF(OR(Settings!$B$20="Card",Settings!$B$20="Loan"),N($AF72),0)+IF(OR(Settings!$B$21="Card",Settings!$B$21="Loan"),N($AG72),0)+IF(OR(Settings!$B$22="Card",Settings!$B$22="Loan"),N($AH72),0)+IF(OR(Settings!$B$23="Card",Settings!$B$23="Loan"),N($AI72),0)+IF(OR(Settings!$B$24="Card",Settings!$B$24="Loan"),N($AJ72),0)+IF(OR(Settings!$B$25="Card",Settings!$B$25="Loan"),N($AK72),0)+IF(OR(Settings!$B$26="Card",Settings!$B$26="Loan"),N($AL72),0)+IF(OR(Settings!$B$27="Card",Settings!$B$27="Loan"),N($AM72),0)+IF(OR(Settings!$B$28="Card",Settings!$B$28="Loan"),N($AN72),0)+IF(OR(Settings!$B$29="Card",Settings!$B$29="Loan"),N($AO72),0)+IF(OR(Settings!$B$30="Card",Settings!$B$30="Loan"),N($AP72),0)+IF(OR(Settings!$B$31="Card",Settings!$B$31="Loan"),N($AQ72),0)+IF(OR(Settings!$B$32="Card",Settings!$B$32="Loan"),N($AR72),0),"")</f>
        <v/>
      </c>
      <c r="FJ72">
        <f>IF($E72="open",$EB$65,IF($E72="post",IF($E71="pre",$EB$65,$FI71),""))</f>
        <v/>
      </c>
      <c r="FK72">
        <f>IF(AND($DT72=1,$DC72=1),IF(ROUND($FI72-$FJ72,2)&gt;0,1,0),0)</f>
        <v/>
      </c>
      <c r="FL72">
        <f>IF($FK72=1,$FL71+1,0)</f>
        <v/>
      </c>
    </row>
    <row r="73">
      <c r="A73">
        <f>'Month-End'!$BR$4</f>
        <v/>
      </c>
      <c r="B73">
        <f>EOMONTH($A73,0)</f>
        <v/>
      </c>
      <c r="C73">
        <f>MIN($B73,TODAY())</f>
        <v/>
      </c>
      <c r="D73">
        <f>IF($A73&gt;TODAY(),1,0)</f>
        <v/>
      </c>
      <c r="E73">
        <f>IF($B73&lt;=Settings!$B$5,"pre",IF($A73&lt;=Settings!$B$5,"open","post"))</f>
        <v/>
      </c>
      <c r="G73">
        <f>IF('Month-End'!$BR$22="",$BE73,N('Month-End'!$BR$22))</f>
        <v/>
      </c>
      <c r="H73">
        <f>IF('Month-End'!$BR$23="",$BF73,N('Month-End'!$BR$23))</f>
        <v/>
      </c>
      <c r="I73">
        <f>IF('Month-End'!$BR$24="",$BG73,N('Month-End'!$BR$24))</f>
        <v/>
      </c>
      <c r="J73">
        <f>IF('Month-End'!$BR$25="",$BH73,N('Month-End'!$BR$25))</f>
        <v/>
      </c>
      <c r="K73">
        <f>IF('Month-End'!$BR$26="",$BI73,N('Month-End'!$BR$26))</f>
        <v/>
      </c>
      <c r="L73">
        <f>IF('Month-End'!$BR$27="",$BJ73,N('Month-End'!$BR$27))</f>
        <v/>
      </c>
      <c r="M73">
        <f>IF('Month-End'!$BR$28="",$BK73,N('Month-End'!$BR$28))</f>
        <v/>
      </c>
      <c r="N73">
        <f>IF('Month-End'!$BR$29="",$BL73,N('Month-End'!$BR$29))</f>
        <v/>
      </c>
      <c r="O73">
        <f>IF('Month-End'!$BR$30="",$BM73,N('Month-End'!$BR$30))</f>
        <v/>
      </c>
      <c r="P73">
        <f>IF('Month-End'!$BR$31="",$BN73,N('Month-End'!$BR$31))</f>
        <v/>
      </c>
      <c r="Q73">
        <f>IF('Month-End'!$BR$32="",$BO73,N('Month-End'!$BR$32))</f>
        <v/>
      </c>
      <c r="R73">
        <f>IF('Month-End'!$BR$33="",$BP73,N('Month-End'!$BR$33))</f>
        <v/>
      </c>
      <c r="S73">
        <f>$G73+$H73+$I73+$J73+$K73+$L73+$M73+$N73+$O73+$P73+$Q73+$R73</f>
        <v/>
      </c>
      <c r="T73">
        <f>IF($B73&lt;Settings!$B$6,0,IF(Settings!$B$45="Yes",$G73,0)+IF(Settings!$B$46="Yes",$H73,0)+IF(Settings!$B$47="Yes",$I73,0)+IF(Settings!$B$48="Yes",$J73,0)+IF(Settings!$B$49="Yes",$K73,0)+IF(Settings!$B$50="Yes",$L73,0)+IF(Settings!$B$51="Yes",$M73,0)+IF(Settings!$B$52="Yes",$N73,0)+IF(Settings!$B$53="Yes",$O73,0)+IF(Settings!$B$54="Yes",$P73,0)+IF(Settings!$B$55="Yes",$Q73,0)+IF(Settings!$B$56="Yes",$R73,0))</f>
        <v/>
      </c>
      <c r="U73">
        <f>IF(Settings!$B$45="Not Sure",$G73,0)+IF(Settings!$B$46="Not Sure",$H73,0)+IF(Settings!$B$47="Not Sure",$I73,0)+IF(Settings!$B$48="Not Sure",$J73,0)+IF(Settings!$B$49="Not Sure",$K73,0)+IF(Settings!$B$50="Not Sure",$L73,0)+IF(Settings!$B$51="Not Sure",$M73,0)+IF(Settings!$B$52="Not Sure",$N73,0)+IF(Settings!$B$53="Not Sure",$O73,0)+IF(Settings!$B$54="Not Sure",$P73,0)+IF(Settings!$B$55="Not Sure",$Q73,0)+IF(Settings!$B$56="Not Sure",$R73,0)</f>
        <v/>
      </c>
      <c r="V73">
        <f>IF($E73="open",SUM($ET73:$FE73)+N(Settings!$B$13),0)</f>
        <v/>
      </c>
      <c r="W73">
        <f>IF($E73="post",$S73,IF($E73="open",$S73-$V73,0))</f>
        <v/>
      </c>
      <c r="X73">
        <f>SUMIFS(Giving!$B$7:$B$2006,Giving!$A$7:$A$2006,"&gt;="&amp;$A73,Giving!$A$7:$A$2006,"&lt;="&amp;$B73,Giving!$E$7:$E$2006,"&lt;&gt;No")</f>
        <v/>
      </c>
      <c r="Y73">
        <f>SUMIFS(Giving!$B$7:$B$2006,Giving!$A$7:$A$2006,"&gt;="&amp;$A73,Giving!$A$7:$A$2006,"&lt;="&amp;$B73,Giving!$E$7:$E$2006,"No")</f>
        <v/>
      </c>
      <c r="Z73">
        <f>IF(OR(Settings!$B$60="",Settings!$F$60="No"),0,Settings!$B$60*IF(AND(IF(Settings!$C$60="",$B73,DATE(YEAR($A73),MONTH($A73),MIN(Settings!$C$60,DAY($B73))))&gt;=MAX($A73,Settings!$D$60),IF(Settings!$C$60="",$B73,DATE(YEAR($A73),MONTH($A73),MIN(Settings!$C$60,DAY($B73))))&lt;=MIN($C73,IF(Settings!$E$60="",$C73,Settings!$E$60))),1,0))+IF(OR(Settings!$B$61="",Settings!$F$61="No"),0,Settings!$B$61*IF(AND(IF(Settings!$C$61="",$B73,DATE(YEAR($A73),MONTH($A73),MIN(Settings!$C$61,DAY($B73))))&gt;=MAX($A73,Settings!$D$61),IF(Settings!$C$61="",$B73,DATE(YEAR($A73),MONTH($A73),MIN(Settings!$C$61,DAY($B73))))&lt;=MIN($C73,IF(Settings!$E$61="",$C73,Settings!$E$61))),1,0))+IF(OR(Settings!$B$62="",Settings!$F$62="No"),0,Settings!$B$62*IF(AND(IF(Settings!$C$62="",$B73,DATE(YEAR($A73),MONTH($A73),MIN(Settings!$C$62,DAY($B73))))&gt;=MAX($A73,Settings!$D$62),IF(Settings!$C$62="",$B73,DATE(YEAR($A73),MONTH($A73),MIN(Settings!$C$62,DAY($B73))))&lt;=MIN($C73,IF(Settings!$E$62="",$C73,Settings!$E$62))),1,0))+IF(OR(Settings!$B$63="",Settings!$F$63="No"),0,Settings!$B$63*IF(AND(IF(Settings!$C$63="",$B73,DATE(YEAR($A73),MONTH($A73),MIN(Settings!$C$63,DAY($B73))))&gt;=MAX($A73,Settings!$D$63),IF(Settings!$C$63="",$B73,DATE(YEAR($A73),MONTH($A73),MIN(Settings!$C$63,DAY($B73))))&lt;=MIN($C73,IF(Settings!$E$63="",$C73,Settings!$E$63))),1,0))+IF(OR(Settings!$B$64="",Settings!$F$64="No"),0,Settings!$B$64*IF(AND(IF(Settings!$C$64="",$B73,DATE(YEAR($A73),MONTH($A73),MIN(Settings!$C$64,DAY($B73))))&gt;=MAX($A73,Settings!$D$64),IF(Settings!$C$64="",$B73,DATE(YEAR($A73),MONTH($A73),MIN(Settings!$C$64,DAY($B73))))&lt;=MIN($C73,IF(Settings!$E$64="",$C73,Settings!$E$64))),1,0))+IF(OR(Settings!$B$65="",Settings!$F$65="No"),0,Settings!$B$65*IF(AND(IF(Settings!$C$65="",$B73,DATE(YEAR($A73),MONTH($A73),MIN(Settings!$C$65,DAY($B73))))&gt;=MAX($A73,Settings!$D$65),IF(Settings!$C$65="",$B73,DATE(YEAR($A73),MONTH($A73),MIN(Settings!$C$65,DAY($B73))))&lt;=MIN($C73,IF(Settings!$E$65="",$C73,Settings!$E$65))),1,0))</f>
        <v/>
      </c>
      <c r="AA73">
        <f>$X73+$Z73</f>
        <v/>
      </c>
      <c r="AB73">
        <f>IF($E73="post",$AA73,IF($E73="open",SUMIFS(Giving!$B$7:$B$2006,Giving!$A$7:$A$2006,"&gt;"&amp;Settings!$B$5,Giving!$A$7:$A$2006,"&lt;="&amp;$B73,Giving!$E$7:$E$2006,"&lt;&gt;No")+IF(OR(Settings!$B$60="",Settings!$F$60="No"),0,Settings!$B$60*IF(AND(IF(Settings!$C$60="",$B73,DATE(YEAR($A73),MONTH($A73),MIN(Settings!$C$60,DAY($B73))))&gt;=MAX($A73,Settings!$D$60,Settings!$B$5+1),IF(Settings!$C$60="",$B73,DATE(YEAR($A73),MONTH($A73),MIN(Settings!$C$60,DAY($B73))))&lt;=MIN($C73,IF(Settings!$E$60="",$C73,Settings!$E$60))),1,0))+IF(OR(Settings!$B$61="",Settings!$F$61="No"),0,Settings!$B$61*IF(AND(IF(Settings!$C$61="",$B73,DATE(YEAR($A73),MONTH($A73),MIN(Settings!$C$61,DAY($B73))))&gt;=MAX($A73,Settings!$D$61,Settings!$B$5+1),IF(Settings!$C$61="",$B73,DATE(YEAR($A73),MONTH($A73),MIN(Settings!$C$61,DAY($B73))))&lt;=MIN($C73,IF(Settings!$E$61="",$C73,Settings!$E$61))),1,0))+IF(OR(Settings!$B$62="",Settings!$F$62="No"),0,Settings!$B$62*IF(AND(IF(Settings!$C$62="",$B73,DATE(YEAR($A73),MONTH($A73),MIN(Settings!$C$62,DAY($B73))))&gt;=MAX($A73,Settings!$D$62,Settings!$B$5+1),IF(Settings!$C$62="",$B73,DATE(YEAR($A73),MONTH($A73),MIN(Settings!$C$62,DAY($B73))))&lt;=MIN($C73,IF(Settings!$E$62="",$C73,Settings!$E$62))),1,0))+IF(OR(Settings!$B$63="",Settings!$F$63="No"),0,Settings!$B$63*IF(AND(IF(Settings!$C$63="",$B73,DATE(YEAR($A73),MONTH($A73),MIN(Settings!$C$63,DAY($B73))))&gt;=MAX($A73,Settings!$D$63,Settings!$B$5+1),IF(Settings!$C$63="",$B73,DATE(YEAR($A73),MONTH($A73),MIN(Settings!$C$63,DAY($B73))))&lt;=MIN($C73,IF(Settings!$E$63="",$C73,Settings!$E$63))),1,0))+IF(OR(Settings!$B$64="",Settings!$F$64="No"),0,Settings!$B$64*IF(AND(IF(Settings!$C$64="",$B73,DATE(YEAR($A73),MONTH($A73),MIN(Settings!$C$64,DAY($B73))))&gt;=MAX($A73,Settings!$D$64,Settings!$B$5+1),IF(Settings!$C$64="",$B73,DATE(YEAR($A73),MONTH($A73),MIN(Settings!$C$64,DAY($B73))))&lt;=MIN($C73,IF(Settings!$E$64="",$C73,Settings!$E$64))),1,0))+IF(OR(Settings!$B$65="",Settings!$F$65="No"),0,Settings!$B$65*IF(AND(IF(Settings!$C$65="",$B73,DATE(YEAR($A73),MONTH($A73),MIN(Settings!$C$65,DAY($B73))))&gt;=MAX($A73,Settings!$D$65,Settings!$B$5+1),IF(Settings!$C$65="",$B73,DATE(YEAR($A73),MONTH($A73),MIN(Settings!$C$65,DAY($B73))))&lt;=MIN($C73,IF(Settings!$E$65="",$C73,Settings!$E$65))),1,0)),0))</f>
        <v/>
      </c>
      <c r="AC73">
        <f>$AY73+$AZ73+$BA73+$BB73+$BC73+$BD73</f>
        <v/>
      </c>
      <c r="AD73">
        <f>$AC73</f>
        <v/>
      </c>
      <c r="AE73">
        <f>IF(OR(Settings!$A$19="",$E73="pre"),"",IF(AND('Month-End'!$BR$7&lt;&gt;"",NOT(_xlfn.ISFORMULA('Month-End'!$BR$7))),N('Month-End'!$BR$7),IF(OR($E73="open",$E72="pre"),N(Settings!$C$19),N($AE72))))</f>
        <v/>
      </c>
      <c r="AF73">
        <f>IF(OR(Settings!$A$20="",$E73="pre"),"",IF(AND('Month-End'!$BR$8&lt;&gt;"",NOT(_xlfn.ISFORMULA('Month-End'!$BR$8))),N('Month-End'!$BR$8),IF(OR($E73="open",$E72="pre"),N(Settings!$C$20),N($AF72))))</f>
        <v/>
      </c>
      <c r="AG73">
        <f>IF(OR(Settings!$A$21="",$E73="pre"),"",IF(AND('Month-End'!$BR$9&lt;&gt;"",NOT(_xlfn.ISFORMULA('Month-End'!$BR$9))),N('Month-End'!$BR$9),IF(OR($E73="open",$E72="pre"),N(Settings!$C$21),N($AG72))))</f>
        <v/>
      </c>
      <c r="AH73">
        <f>IF(OR(Settings!$A$22="",$E73="pre"),"",IF(AND('Month-End'!$BR$10&lt;&gt;"",NOT(_xlfn.ISFORMULA('Month-End'!$BR$10))),N('Month-End'!$BR$10),IF(OR($E73="open",$E72="pre"),N(Settings!$C$22),N($AH72))))</f>
        <v/>
      </c>
      <c r="AI73">
        <f>IF(OR(Settings!$A$23="",$E73="pre"),"",IF(AND('Month-End'!$BR$11&lt;&gt;"",NOT(_xlfn.ISFORMULA('Month-End'!$BR$11))),N('Month-End'!$BR$11),IF(OR($E73="open",$E72="pre"),N(Settings!$C$23),N($AI72))))</f>
        <v/>
      </c>
      <c r="AJ73">
        <f>IF(OR(Settings!$A$24="",$E73="pre"),"",IF(AND('Month-End'!$BR$12&lt;&gt;"",NOT(_xlfn.ISFORMULA('Month-End'!$BR$12))),N('Month-End'!$BR$12),IF(OR($E73="open",$E72="pre"),N(Settings!$C$24),N($AJ72))))</f>
        <v/>
      </c>
      <c r="AK73">
        <f>IF(OR(Settings!$A$25="",$E73="pre"),"",IF(AND('Month-End'!$BR$13&lt;&gt;"",NOT(_xlfn.ISFORMULA('Month-End'!$BR$13))),N('Month-End'!$BR$13),IF(OR($E73="open",$E72="pre"),N(Settings!$C$25),N($AK72))))</f>
        <v/>
      </c>
      <c r="AL73">
        <f>IF(OR(Settings!$A$26="",$E73="pre"),"",IF(AND('Month-End'!$BR$14&lt;&gt;"",NOT(_xlfn.ISFORMULA('Month-End'!$BR$14))),N('Month-End'!$BR$14),IF(OR($E73="open",$E72="pre"),N(Settings!$C$26),N($AL72))))</f>
        <v/>
      </c>
      <c r="AM73">
        <f>IF(OR(Settings!$A$27="",$E73="pre"),"",IF(AND('Month-End'!$BR$15&lt;&gt;"",NOT(_xlfn.ISFORMULA('Month-End'!$BR$15))),N('Month-End'!$BR$15),IF(OR($E73="open",$E72="pre"),N(Settings!$C$27),N($AM72))))</f>
        <v/>
      </c>
      <c r="AN73">
        <f>IF(OR(Settings!$A$28="",$E73="pre"),"",IF(AND('Month-End'!$BR$16&lt;&gt;"",NOT(_xlfn.ISFORMULA('Month-End'!$BR$16))),N('Month-End'!$BR$16),IF(OR($E73="open",$E72="pre"),N(Settings!$C$28),N($AN72))))</f>
        <v/>
      </c>
      <c r="AO73">
        <f>IF(OR(Settings!$A$29="",$E73="pre"),"",IF(AND('Month-End'!$BR$17&lt;&gt;"",NOT(_xlfn.ISFORMULA('Month-End'!$BR$17))),N('Month-End'!$BR$17),IF(OR($E73="open",$E72="pre"),N(Settings!$C$29),N($AO72))))</f>
        <v/>
      </c>
      <c r="AP73">
        <f>IF(OR(Settings!$A$30="",$E73="pre"),"",IF(AND('Month-End'!$BR$18&lt;&gt;"",NOT(_xlfn.ISFORMULA('Month-End'!$BR$18))),N('Month-End'!$BR$18),IF(OR($E73="open",$E72="pre"),N(Settings!$C$30),N($AP72))))</f>
        <v/>
      </c>
      <c r="AQ73">
        <f>IF(OR(Settings!$A$31="",$E73="pre"),"",IF(AND('Month-End'!$BR$19&lt;&gt;"",NOT(_xlfn.ISFORMULA('Month-End'!$BR$19))),N('Month-End'!$BR$19),IF(OR($E73="open",$E72="pre"),N(Settings!$C$31),N($AQ72))))</f>
        <v/>
      </c>
      <c r="AR73">
        <f>IF(OR(Settings!$A$32="",$E73="pre"),"",IF(AND('Month-End'!$BR$20&lt;&gt;"",NOT(_xlfn.ISFORMULA('Month-End'!$BR$20))),N('Month-End'!$BR$20),IF(OR($E73="open",$E72="pre"),N(Settings!$C$32),N($AR72))))</f>
        <v/>
      </c>
      <c r="AS73">
        <f>IF(OR(Settings!$A$36="",$E73="pre"),"",IF(AND('Month-End'!$BR$38&lt;&gt;"",NOT(_xlfn.ISFORMULA('Month-End'!$BR$38))),N('Month-End'!$BR$38),IF(OR($E73="open",$E72="pre"),N(Settings!$C$36),N($AS72))+$AY73))</f>
        <v/>
      </c>
      <c r="AT73">
        <f>IF(OR(Settings!$A$37="",$E73="pre"),"",IF(AND('Month-End'!$BR$39&lt;&gt;"",NOT(_xlfn.ISFORMULA('Month-End'!$BR$39))),N('Month-End'!$BR$39),IF(OR($E73="open",$E72="pre"),N(Settings!$C$37),N($AT72))+$AZ73))</f>
        <v/>
      </c>
      <c r="AU73">
        <f>IF(OR(Settings!$A$38="",$E73="pre"),"",IF(AND('Month-End'!$BR$40&lt;&gt;"",NOT(_xlfn.ISFORMULA('Month-End'!$BR$40))),N('Month-End'!$BR$40),IF(OR($E73="open",$E72="pre"),N(Settings!$C$38),N($AU72))+$BA73))</f>
        <v/>
      </c>
      <c r="AV73">
        <f>IF(OR(Settings!$A$39="",$E73="pre"),"",IF(AND('Month-End'!$BR$41&lt;&gt;"",NOT(_xlfn.ISFORMULA('Month-End'!$BR$41))),N('Month-End'!$BR$41),IF(OR($E73="open",$E72="pre"),N(Settings!$C$39),N($AV72))+$BB73))</f>
        <v/>
      </c>
      <c r="AW73">
        <f>IF(OR(Settings!$A$40="",$E73="pre"),"",IF(AND('Month-End'!$BR$42&lt;&gt;"",NOT(_xlfn.ISFORMULA('Month-End'!$BR$42))),N('Month-End'!$BR$42),IF(OR($E73="open",$E72="pre"),N(Settings!$C$40),N($AW72))+$BC73))</f>
        <v/>
      </c>
      <c r="AX73">
        <f>IF(OR(Settings!$A$41="",$E73="pre"),"",IF(AND('Month-End'!$BR$43&lt;&gt;"",NOT(_xlfn.ISFORMULA('Month-End'!$BR$43))),N('Month-End'!$BR$43),IF(OR($E73="open",$E72="pre"),N(Settings!$C$41),N($AX72))+$BD73))</f>
        <v/>
      </c>
      <c r="AY73">
        <f>IF($E73="pre",0,N('Month-End'!$BR$45))</f>
        <v/>
      </c>
      <c r="AZ73">
        <f>IF($E73="pre",0,N('Month-End'!$BR$46))</f>
        <v/>
      </c>
      <c r="BA73">
        <f>IF($E73="pre",0,N('Month-End'!$BR$47))</f>
        <v/>
      </c>
      <c r="BB73">
        <f>IF($E73="pre",0,N('Month-End'!$BR$48))</f>
        <v/>
      </c>
      <c r="BC73">
        <f>IF($E73="pre",0,N('Month-End'!$BR$49))</f>
        <v/>
      </c>
      <c r="BD73">
        <f>IF($E73="pre",0,N('Month-End'!$BR$50))</f>
        <v/>
      </c>
      <c r="BE73">
        <f>IF(OR(Settings!$C$45="",Settings!$D$45=""),0,Settings!$C$45*IF(Settings!$D$45="Weekly",IF(IFERROR(MATCH(Settings!$E$45,$EO$4:$EO$10,0),0)=0,0,IF(MIN($C73,IF(Settings!$G$45="",$C73,Settings!$G$45))&lt;MAX($A73,Settings!$F$45),0,INT((MIN($C73,IF(Settings!$G$45="",$C73,Settings!$G$45))-MAX($A73,Settings!$F$45)-MOD(IFERROR(MATCH(Settings!$E$45,$EO$4:$EO$10,0),0)-WEEKDAY(MAX($A73,Settings!$F$45)),7))/7)+1)),IF(AND(IF(Settings!$E$45="",$B73,DATE(YEAR($A73),MONTH($A73),MIN(Settings!$E$45,DAY($B73))))&gt;=MAX($A73,Settings!$F$45),IF(Settings!$E$45="",$B73,DATE(YEAR($A73),MONTH($A73),MIN(Settings!$E$45,DAY($B73))))&lt;=MIN($C73,IF(Settings!$G$45="",$C73,Settings!$G$45))),1,0)))</f>
        <v/>
      </c>
      <c r="BF73">
        <f>IF(OR(Settings!$C$46="",Settings!$D$46=""),0,Settings!$C$46*IF(Settings!$D$46="Weekly",IF(IFERROR(MATCH(Settings!$E$46,$EO$4:$EO$10,0),0)=0,0,IF(MIN($C73,IF(Settings!$G$46="",$C73,Settings!$G$46))&lt;MAX($A73,Settings!$F$46),0,INT((MIN($C73,IF(Settings!$G$46="",$C73,Settings!$G$46))-MAX($A73,Settings!$F$46)-MOD(IFERROR(MATCH(Settings!$E$46,$EO$4:$EO$10,0),0)-WEEKDAY(MAX($A73,Settings!$F$46)),7))/7)+1)),IF(AND(IF(Settings!$E$46="",$B73,DATE(YEAR($A73),MONTH($A73),MIN(Settings!$E$46,DAY($B73))))&gt;=MAX($A73,Settings!$F$46),IF(Settings!$E$46="",$B73,DATE(YEAR($A73),MONTH($A73),MIN(Settings!$E$46,DAY($B73))))&lt;=MIN($C73,IF(Settings!$G$46="",$C73,Settings!$G$46))),1,0)))</f>
        <v/>
      </c>
      <c r="BG73">
        <f>IF(OR(Settings!$C$47="",Settings!$D$47=""),0,Settings!$C$47*IF(Settings!$D$47="Weekly",IF(IFERROR(MATCH(Settings!$E$47,$EO$4:$EO$10,0),0)=0,0,IF(MIN($C73,IF(Settings!$G$47="",$C73,Settings!$G$47))&lt;MAX($A73,Settings!$F$47),0,INT((MIN($C73,IF(Settings!$G$47="",$C73,Settings!$G$47))-MAX($A73,Settings!$F$47)-MOD(IFERROR(MATCH(Settings!$E$47,$EO$4:$EO$10,0),0)-WEEKDAY(MAX($A73,Settings!$F$47)),7))/7)+1)),IF(AND(IF(Settings!$E$47="",$B73,DATE(YEAR($A73),MONTH($A73),MIN(Settings!$E$47,DAY($B73))))&gt;=MAX($A73,Settings!$F$47),IF(Settings!$E$47="",$B73,DATE(YEAR($A73),MONTH($A73),MIN(Settings!$E$47,DAY($B73))))&lt;=MIN($C73,IF(Settings!$G$47="",$C73,Settings!$G$47))),1,0)))</f>
        <v/>
      </c>
      <c r="BH73">
        <f>IF(OR(Settings!$C$48="",Settings!$D$48=""),0,Settings!$C$48*IF(Settings!$D$48="Weekly",IF(IFERROR(MATCH(Settings!$E$48,$EO$4:$EO$10,0),0)=0,0,IF(MIN($C73,IF(Settings!$G$48="",$C73,Settings!$G$48))&lt;MAX($A73,Settings!$F$48),0,INT((MIN($C73,IF(Settings!$G$48="",$C73,Settings!$G$48))-MAX($A73,Settings!$F$48)-MOD(IFERROR(MATCH(Settings!$E$48,$EO$4:$EO$10,0),0)-WEEKDAY(MAX($A73,Settings!$F$48)),7))/7)+1)),IF(AND(IF(Settings!$E$48="",$B73,DATE(YEAR($A73),MONTH($A73),MIN(Settings!$E$48,DAY($B73))))&gt;=MAX($A73,Settings!$F$48),IF(Settings!$E$48="",$B73,DATE(YEAR($A73),MONTH($A73),MIN(Settings!$E$48,DAY($B73))))&lt;=MIN($C73,IF(Settings!$G$48="",$C73,Settings!$G$48))),1,0)))</f>
        <v/>
      </c>
      <c r="BI73">
        <f>IF(OR(Settings!$C$49="",Settings!$D$49=""),0,Settings!$C$49*IF(Settings!$D$49="Weekly",IF(IFERROR(MATCH(Settings!$E$49,$EO$4:$EO$10,0),0)=0,0,IF(MIN($C73,IF(Settings!$G$49="",$C73,Settings!$G$49))&lt;MAX($A73,Settings!$F$49),0,INT((MIN($C73,IF(Settings!$G$49="",$C73,Settings!$G$49))-MAX($A73,Settings!$F$49)-MOD(IFERROR(MATCH(Settings!$E$49,$EO$4:$EO$10,0),0)-WEEKDAY(MAX($A73,Settings!$F$49)),7))/7)+1)),IF(AND(IF(Settings!$E$49="",$B73,DATE(YEAR($A73),MONTH($A73),MIN(Settings!$E$49,DAY($B73))))&gt;=MAX($A73,Settings!$F$49),IF(Settings!$E$49="",$B73,DATE(YEAR($A73),MONTH($A73),MIN(Settings!$E$49,DAY($B73))))&lt;=MIN($C73,IF(Settings!$G$49="",$C73,Settings!$G$49))),1,0)))</f>
        <v/>
      </c>
      <c r="BJ73">
        <f>IF(OR(Settings!$C$50="",Settings!$D$50=""),0,Settings!$C$50*IF(Settings!$D$50="Weekly",IF(IFERROR(MATCH(Settings!$E$50,$EO$4:$EO$10,0),0)=0,0,IF(MIN($C73,IF(Settings!$G$50="",$C73,Settings!$G$50))&lt;MAX($A73,Settings!$F$50),0,INT((MIN($C73,IF(Settings!$G$50="",$C73,Settings!$G$50))-MAX($A73,Settings!$F$50)-MOD(IFERROR(MATCH(Settings!$E$50,$EO$4:$EO$10,0),0)-WEEKDAY(MAX($A73,Settings!$F$50)),7))/7)+1)),IF(AND(IF(Settings!$E$50="",$B73,DATE(YEAR($A73),MONTH($A73),MIN(Settings!$E$50,DAY($B73))))&gt;=MAX($A73,Settings!$F$50),IF(Settings!$E$50="",$B73,DATE(YEAR($A73),MONTH($A73),MIN(Settings!$E$50,DAY($B73))))&lt;=MIN($C73,IF(Settings!$G$50="",$C73,Settings!$G$50))),1,0)))</f>
        <v/>
      </c>
      <c r="BK73">
        <f>IF(OR(Settings!$C$51="",Settings!$D$51=""),0,Settings!$C$51*IF(Settings!$D$51="Weekly",IF(IFERROR(MATCH(Settings!$E$51,$EO$4:$EO$10,0),0)=0,0,IF(MIN($C73,IF(Settings!$G$51="",$C73,Settings!$G$51))&lt;MAX($A73,Settings!$F$51),0,INT((MIN($C73,IF(Settings!$G$51="",$C73,Settings!$G$51))-MAX($A73,Settings!$F$51)-MOD(IFERROR(MATCH(Settings!$E$51,$EO$4:$EO$10,0),0)-WEEKDAY(MAX($A73,Settings!$F$51)),7))/7)+1)),IF(AND(IF(Settings!$E$51="",$B73,DATE(YEAR($A73),MONTH($A73),MIN(Settings!$E$51,DAY($B73))))&gt;=MAX($A73,Settings!$F$51),IF(Settings!$E$51="",$B73,DATE(YEAR($A73),MONTH($A73),MIN(Settings!$E$51,DAY($B73))))&lt;=MIN($C73,IF(Settings!$G$51="",$C73,Settings!$G$51))),1,0)))</f>
        <v/>
      </c>
      <c r="BL73">
        <f>IF(OR(Settings!$C$52="",Settings!$D$52=""),0,Settings!$C$52*IF(Settings!$D$52="Weekly",IF(IFERROR(MATCH(Settings!$E$52,$EO$4:$EO$10,0),0)=0,0,IF(MIN($C73,IF(Settings!$G$52="",$C73,Settings!$G$52))&lt;MAX($A73,Settings!$F$52),0,INT((MIN($C73,IF(Settings!$G$52="",$C73,Settings!$G$52))-MAX($A73,Settings!$F$52)-MOD(IFERROR(MATCH(Settings!$E$52,$EO$4:$EO$10,0),0)-WEEKDAY(MAX($A73,Settings!$F$52)),7))/7)+1)),IF(AND(IF(Settings!$E$52="",$B73,DATE(YEAR($A73),MONTH($A73),MIN(Settings!$E$52,DAY($B73))))&gt;=MAX($A73,Settings!$F$52),IF(Settings!$E$52="",$B73,DATE(YEAR($A73),MONTH($A73),MIN(Settings!$E$52,DAY($B73))))&lt;=MIN($C73,IF(Settings!$G$52="",$C73,Settings!$G$52))),1,0)))</f>
        <v/>
      </c>
      <c r="BM73">
        <f>IF(OR(Settings!$C$53="",Settings!$D$53=""),0,Settings!$C$53*IF(Settings!$D$53="Weekly",IF(IFERROR(MATCH(Settings!$E$53,$EO$4:$EO$10,0),0)=0,0,IF(MIN($C73,IF(Settings!$G$53="",$C73,Settings!$G$53))&lt;MAX($A73,Settings!$F$53),0,INT((MIN($C73,IF(Settings!$G$53="",$C73,Settings!$G$53))-MAX($A73,Settings!$F$53)-MOD(IFERROR(MATCH(Settings!$E$53,$EO$4:$EO$10,0),0)-WEEKDAY(MAX($A73,Settings!$F$53)),7))/7)+1)),IF(AND(IF(Settings!$E$53="",$B73,DATE(YEAR($A73),MONTH($A73),MIN(Settings!$E$53,DAY($B73))))&gt;=MAX($A73,Settings!$F$53),IF(Settings!$E$53="",$B73,DATE(YEAR($A73),MONTH($A73),MIN(Settings!$E$53,DAY($B73))))&lt;=MIN($C73,IF(Settings!$G$53="",$C73,Settings!$G$53))),1,0)))</f>
        <v/>
      </c>
      <c r="BN73">
        <f>IF(OR(Settings!$C$54="",Settings!$D$54=""),0,Settings!$C$54*IF(Settings!$D$54="Weekly",IF(IFERROR(MATCH(Settings!$E$54,$EO$4:$EO$10,0),0)=0,0,IF(MIN($C73,IF(Settings!$G$54="",$C73,Settings!$G$54))&lt;MAX($A73,Settings!$F$54),0,INT((MIN($C73,IF(Settings!$G$54="",$C73,Settings!$G$54))-MAX($A73,Settings!$F$54)-MOD(IFERROR(MATCH(Settings!$E$54,$EO$4:$EO$10,0),0)-WEEKDAY(MAX($A73,Settings!$F$54)),7))/7)+1)),IF(AND(IF(Settings!$E$54="",$B73,DATE(YEAR($A73),MONTH($A73),MIN(Settings!$E$54,DAY($B73))))&gt;=MAX($A73,Settings!$F$54),IF(Settings!$E$54="",$B73,DATE(YEAR($A73),MONTH($A73),MIN(Settings!$E$54,DAY($B73))))&lt;=MIN($C73,IF(Settings!$G$54="",$C73,Settings!$G$54))),1,0)))</f>
        <v/>
      </c>
      <c r="BO73">
        <f>IF(OR(Settings!$C$55="",Settings!$D$55=""),0,Settings!$C$55*IF(Settings!$D$55="Weekly",IF(IFERROR(MATCH(Settings!$E$55,$EO$4:$EO$10,0),0)=0,0,IF(MIN($C73,IF(Settings!$G$55="",$C73,Settings!$G$55))&lt;MAX($A73,Settings!$F$55),0,INT((MIN($C73,IF(Settings!$G$55="",$C73,Settings!$G$55))-MAX($A73,Settings!$F$55)-MOD(IFERROR(MATCH(Settings!$E$55,$EO$4:$EO$10,0),0)-WEEKDAY(MAX($A73,Settings!$F$55)),7))/7)+1)),IF(AND(IF(Settings!$E$55="",$B73,DATE(YEAR($A73),MONTH($A73),MIN(Settings!$E$55,DAY($B73))))&gt;=MAX($A73,Settings!$F$55),IF(Settings!$E$55="",$B73,DATE(YEAR($A73),MONTH($A73),MIN(Settings!$E$55,DAY($B73))))&lt;=MIN($C73,IF(Settings!$G$55="",$C73,Settings!$G$55))),1,0)))</f>
        <v/>
      </c>
      <c r="BP73">
        <f>IF(OR(Settings!$C$56="",Settings!$D$56=""),0,Settings!$C$56*IF(Settings!$D$56="Weekly",IF(IFERROR(MATCH(Settings!$E$56,$EO$4:$EO$10,0),0)=0,0,IF(MIN($C73,IF(Settings!$G$56="",$C73,Settings!$G$56))&lt;MAX($A73,Settings!$F$56),0,INT((MIN($C73,IF(Settings!$G$56="",$C73,Settings!$G$56))-MAX($A73,Settings!$F$56)-MOD(IFERROR(MATCH(Settings!$E$56,$EO$4:$EO$10,0),0)-WEEKDAY(MAX($A73,Settings!$F$56)),7))/7)+1)),IF(AND(IF(Settings!$E$56="",$B73,DATE(YEAR($A73),MONTH($A73),MIN(Settings!$E$56,DAY($B73))))&gt;=MAX($A73,Settings!$F$56),IF(Settings!$E$56="",$B73,DATE(YEAR($A73),MONTH($A73),MIN(Settings!$E$56,DAY($B73))))&lt;=MIN($C73,IF(Settings!$G$56="",$C73,Settings!$G$56))),1,0)))</f>
        <v/>
      </c>
      <c r="BQ73">
        <f>IF(OR(Settings!$B$14="",$D73=1,$E73="pre",$A73&lt;IF(Settings!$B$15="",0,Settings!$B$15)),0,Settings!$B$14)</f>
        <v/>
      </c>
      <c r="BR73">
        <f>IF(AND('Month-End'!$BR$7&lt;&gt;"",NOT(_xlfn.ISFORMULA('Month-End'!$BR$7))),1,0)</f>
        <v/>
      </c>
      <c r="BS73">
        <f>IF(AND('Month-End'!$BR$8&lt;&gt;"",NOT(_xlfn.ISFORMULA('Month-End'!$BR$8))),1,0)</f>
        <v/>
      </c>
      <c r="BT73">
        <f>IF(AND('Month-End'!$BR$9&lt;&gt;"",NOT(_xlfn.ISFORMULA('Month-End'!$BR$9))),1,0)</f>
        <v/>
      </c>
      <c r="BU73">
        <f>IF(AND('Month-End'!$BR$10&lt;&gt;"",NOT(_xlfn.ISFORMULA('Month-End'!$BR$10))),1,0)</f>
        <v/>
      </c>
      <c r="BV73">
        <f>IF(AND('Month-End'!$BR$11&lt;&gt;"",NOT(_xlfn.ISFORMULA('Month-End'!$BR$11))),1,0)</f>
        <v/>
      </c>
      <c r="BW73">
        <f>IF(AND('Month-End'!$BR$12&lt;&gt;"",NOT(_xlfn.ISFORMULA('Month-End'!$BR$12))),1,0)</f>
        <v/>
      </c>
      <c r="BX73">
        <f>IF(AND('Month-End'!$BR$13&lt;&gt;"",NOT(_xlfn.ISFORMULA('Month-End'!$BR$13))),1,0)</f>
        <v/>
      </c>
      <c r="BY73">
        <f>IF(AND('Month-End'!$BR$14&lt;&gt;"",NOT(_xlfn.ISFORMULA('Month-End'!$BR$14))),1,0)</f>
        <v/>
      </c>
      <c r="BZ73">
        <f>IF(AND('Month-End'!$BR$15&lt;&gt;"",NOT(_xlfn.ISFORMULA('Month-End'!$BR$15))),1,0)</f>
        <v/>
      </c>
      <c r="CA73">
        <f>IF(AND('Month-End'!$BR$16&lt;&gt;"",NOT(_xlfn.ISFORMULA('Month-End'!$BR$16))),1,0)</f>
        <v/>
      </c>
      <c r="CB73">
        <f>IF(AND('Month-End'!$BR$17&lt;&gt;"",NOT(_xlfn.ISFORMULA('Month-End'!$BR$17))),1,0)</f>
        <v/>
      </c>
      <c r="CC73">
        <f>IF(AND('Month-End'!$BR$18&lt;&gt;"",NOT(_xlfn.ISFORMULA('Month-End'!$BR$18))),1,0)</f>
        <v/>
      </c>
      <c r="CD73">
        <f>IF(AND('Month-End'!$BR$19&lt;&gt;"",NOT(_xlfn.ISFORMULA('Month-End'!$BR$19))),1,0)</f>
        <v/>
      </c>
      <c r="CE73">
        <f>IF(AND('Month-End'!$BR$20&lt;&gt;"",NOT(_xlfn.ISFORMULA('Month-End'!$BR$20))),1,0)</f>
        <v/>
      </c>
      <c r="CF73">
        <f>IF(AND('Month-End'!$BR$38&lt;&gt;"",NOT(_xlfn.ISFORMULA('Month-End'!$BR$38))),1,0)</f>
        <v/>
      </c>
      <c r="CG73">
        <f>IF(AND('Month-End'!$BR$39&lt;&gt;"",NOT(_xlfn.ISFORMULA('Month-End'!$BR$39))),1,0)</f>
        <v/>
      </c>
      <c r="CH73">
        <f>IF(AND('Month-End'!$BR$40&lt;&gt;"",NOT(_xlfn.ISFORMULA('Month-End'!$BR$40))),1,0)</f>
        <v/>
      </c>
      <c r="CI73">
        <f>IF(AND('Month-End'!$BR$41&lt;&gt;"",NOT(_xlfn.ISFORMULA('Month-End'!$BR$41))),1,0)</f>
        <v/>
      </c>
      <c r="CJ73">
        <f>IF(AND('Month-End'!$BR$42&lt;&gt;"",NOT(_xlfn.ISFORMULA('Month-End'!$BR$42))),1,0)</f>
        <v/>
      </c>
      <c r="CK73">
        <f>IF(AND('Month-End'!$BR$43&lt;&gt;"",NOT(_xlfn.ISFORMULA('Month-End'!$BR$43))),1,0)</f>
        <v/>
      </c>
      <c r="CL73">
        <f>SUM($CM73:$CZ73)</f>
        <v/>
      </c>
      <c r="CM73">
        <f>IF(AND($E73&lt;&gt;"pre",AND(Settings!$A$19&lt;&gt;"",Settings!$E$19&lt;&gt;"No"),Settings!$F$19="Yes",NOT(AND('Month-End'!$BR$7&lt;&gt;"",NOT(_xlfn.ISFORMULA('Month-End'!$BR$7))))),1,0)</f>
        <v/>
      </c>
      <c r="CN73">
        <f>IF(AND($E73&lt;&gt;"pre",AND(Settings!$A$20&lt;&gt;"",Settings!$E$20&lt;&gt;"No"),Settings!$F$20="Yes",NOT(AND('Month-End'!$BR$8&lt;&gt;"",NOT(_xlfn.ISFORMULA('Month-End'!$BR$8))))),1,0)</f>
        <v/>
      </c>
      <c r="CO73">
        <f>IF(AND($E73&lt;&gt;"pre",AND(Settings!$A$21&lt;&gt;"",Settings!$E$21&lt;&gt;"No"),Settings!$F$21="Yes",NOT(AND('Month-End'!$BR$9&lt;&gt;"",NOT(_xlfn.ISFORMULA('Month-End'!$BR$9))))),1,0)</f>
        <v/>
      </c>
      <c r="CP73">
        <f>IF(AND($E73&lt;&gt;"pre",AND(Settings!$A$22&lt;&gt;"",Settings!$E$22&lt;&gt;"No"),Settings!$F$22="Yes",NOT(AND('Month-End'!$BR$10&lt;&gt;"",NOT(_xlfn.ISFORMULA('Month-End'!$BR$10))))),1,0)</f>
        <v/>
      </c>
      <c r="CQ73">
        <f>IF(AND($E73&lt;&gt;"pre",AND(Settings!$A$23&lt;&gt;"",Settings!$E$23&lt;&gt;"No"),Settings!$F$23="Yes",NOT(AND('Month-End'!$BR$11&lt;&gt;"",NOT(_xlfn.ISFORMULA('Month-End'!$BR$11))))),1,0)</f>
        <v/>
      </c>
      <c r="CR73">
        <f>IF(AND($E73&lt;&gt;"pre",AND(Settings!$A$24&lt;&gt;"",Settings!$E$24&lt;&gt;"No"),Settings!$F$24="Yes",NOT(AND('Month-End'!$BR$12&lt;&gt;"",NOT(_xlfn.ISFORMULA('Month-End'!$BR$12))))),1,0)</f>
        <v/>
      </c>
      <c r="CS73">
        <f>IF(AND($E73&lt;&gt;"pre",AND(Settings!$A$25&lt;&gt;"",Settings!$E$25&lt;&gt;"No"),Settings!$F$25="Yes",NOT(AND('Month-End'!$BR$13&lt;&gt;"",NOT(_xlfn.ISFORMULA('Month-End'!$BR$13))))),1,0)</f>
        <v/>
      </c>
      <c r="CT73">
        <f>IF(AND($E73&lt;&gt;"pre",AND(Settings!$A$26&lt;&gt;"",Settings!$E$26&lt;&gt;"No"),Settings!$F$26="Yes",NOT(AND('Month-End'!$BR$14&lt;&gt;"",NOT(_xlfn.ISFORMULA('Month-End'!$BR$14))))),1,0)</f>
        <v/>
      </c>
      <c r="CU73">
        <f>IF(AND($E73&lt;&gt;"pre",AND(Settings!$A$27&lt;&gt;"",Settings!$E$27&lt;&gt;"No"),Settings!$F$27="Yes",NOT(AND('Month-End'!$BR$15&lt;&gt;"",NOT(_xlfn.ISFORMULA('Month-End'!$BR$15))))),1,0)</f>
        <v/>
      </c>
      <c r="CV73">
        <f>IF(AND($E73&lt;&gt;"pre",AND(Settings!$A$28&lt;&gt;"",Settings!$E$28&lt;&gt;"No"),Settings!$F$28="Yes",NOT(AND('Month-End'!$BR$16&lt;&gt;"",NOT(_xlfn.ISFORMULA('Month-End'!$BR$16))))),1,0)</f>
        <v/>
      </c>
      <c r="CW73">
        <f>IF(AND($E73&lt;&gt;"pre",AND(Settings!$A$29&lt;&gt;"",Settings!$E$29&lt;&gt;"No"),Settings!$F$29="Yes",NOT(AND('Month-End'!$BR$17&lt;&gt;"",NOT(_xlfn.ISFORMULA('Month-End'!$BR$17))))),1,0)</f>
        <v/>
      </c>
      <c r="CX73">
        <f>IF(AND($E73&lt;&gt;"pre",AND(Settings!$A$30&lt;&gt;"",Settings!$E$30&lt;&gt;"No"),Settings!$F$30="Yes",NOT(AND('Month-End'!$BR$18&lt;&gt;"",NOT(_xlfn.ISFORMULA('Month-End'!$BR$18))))),1,0)</f>
        <v/>
      </c>
      <c r="CY73">
        <f>IF(AND($E73&lt;&gt;"pre",AND(Settings!$A$31&lt;&gt;"",Settings!$E$31&lt;&gt;"No"),Settings!$F$31="Yes",NOT(AND('Month-End'!$BR$19&lt;&gt;"",NOT(_xlfn.ISFORMULA('Month-End'!$BR$19))))),1,0)</f>
        <v/>
      </c>
      <c r="CZ73">
        <f>IF(AND($E73&lt;&gt;"pre",AND(Settings!$A$32&lt;&gt;"",Settings!$E$32&lt;&gt;"No"),Settings!$F$32="Yes",NOT(AND('Month-End'!$BR$20&lt;&gt;"",NOT(_xlfn.ISFORMULA('Month-End'!$BR$20))))),1,0)</f>
        <v/>
      </c>
      <c r="DA73">
        <f>IF($DT73=1,IF(OR(Settings!$B$19="Checking",Settings!$B$19="Savings",Settings!$B$19="Cash"),N($AE73),IF(OR(Settings!$B$19="Card",Settings!$B$19="Loan"),-N($AE73),0))+IF(OR(Settings!$B$20="Checking",Settings!$B$20="Savings",Settings!$B$20="Cash"),N($AF73),IF(OR(Settings!$B$20="Card",Settings!$B$20="Loan"),-N($AF73),0))+IF(OR(Settings!$B$21="Checking",Settings!$B$21="Savings",Settings!$B$21="Cash"),N($AG73),IF(OR(Settings!$B$21="Card",Settings!$B$21="Loan"),-N($AG73),0))+IF(OR(Settings!$B$22="Checking",Settings!$B$22="Savings",Settings!$B$22="Cash"),N($AH73),IF(OR(Settings!$B$22="Card",Settings!$B$22="Loan"),-N($AH73),0))+IF(OR(Settings!$B$23="Checking",Settings!$B$23="Savings",Settings!$B$23="Cash"),N($AI73),IF(OR(Settings!$B$23="Card",Settings!$B$23="Loan"),-N($AI73),0))+IF(OR(Settings!$B$24="Checking",Settings!$B$24="Savings",Settings!$B$24="Cash"),N($AJ73),IF(OR(Settings!$B$24="Card",Settings!$B$24="Loan"),-N($AJ73),0))+IF(OR(Settings!$B$25="Checking",Settings!$B$25="Savings",Settings!$B$25="Cash"),N($AK73),IF(OR(Settings!$B$25="Card",Settings!$B$25="Loan"),-N($AK73),0))+IF(OR(Settings!$B$26="Checking",Settings!$B$26="Savings",Settings!$B$26="Cash"),N($AL73),IF(OR(Settings!$B$26="Card",Settings!$B$26="Loan"),-N($AL73),0))+IF(OR(Settings!$B$27="Checking",Settings!$B$27="Savings",Settings!$B$27="Cash"),N($AM73),IF(OR(Settings!$B$27="Card",Settings!$B$27="Loan"),-N($AM73),0))+IF(OR(Settings!$B$28="Checking",Settings!$B$28="Savings",Settings!$B$28="Cash"),N($AN73),IF(OR(Settings!$B$28="Card",Settings!$B$28="Loan"),-N($AN73),0))+IF(OR(Settings!$B$29="Checking",Settings!$B$29="Savings",Settings!$B$29="Cash"),N($AO73),IF(OR(Settings!$B$29="Card",Settings!$B$29="Loan"),-N($AO73),0))+IF(OR(Settings!$B$30="Checking",Settings!$B$30="Savings",Settings!$B$30="Cash"),N($AP73),IF(OR(Settings!$B$30="Card",Settings!$B$30="Loan"),-N($AP73),0))+IF(OR(Settings!$B$31="Checking",Settings!$B$31="Savings",Settings!$B$31="Cash"),N($AQ73),IF(OR(Settings!$B$31="Card",Settings!$B$31="Loan"),-N($AQ73),0))+IF(OR(Settings!$B$32="Checking",Settings!$B$32="Savings",Settings!$B$32="Cash"),N($AR73),IF(OR(Settings!$B$32="Card",Settings!$B$32="Loan"),-N($AR73),0)),"")</f>
        <v/>
      </c>
      <c r="DB73">
        <f>IF($E73="open",$EB$27,IF($E73="post",IF($E72="pre",$EB$27,$DA72),""))</f>
        <v/>
      </c>
      <c r="DC73">
        <f>IF($E73="open",1,IF($E73="post",IF($E72="pre",1,$DT72),0))</f>
        <v/>
      </c>
      <c r="DD73">
        <f>IF(AND($DT73=1,$DC73=1),ROUND($W73-($DA73-$DB73)-$AD73-$AB73,2),"")</f>
        <v/>
      </c>
      <c r="DE73">
        <f>IF('Month-End'!$BR$35="",$BQ73,N('Month-End'!$BR$35))</f>
        <v/>
      </c>
      <c r="DF73">
        <f>N('Month-End'!$BR$36)</f>
        <v/>
      </c>
      <c r="DG73">
        <f>IF($DD73="","",$DD73+$DE73)</f>
        <v/>
      </c>
      <c r="DH73">
        <f>IF($DG73="","",$DG73-$DF73)</f>
        <v/>
      </c>
      <c r="DI73">
        <f>IF(OR($E73="pre",$D73=1),"",N($AS73)+N($AT73)+N($AU73)+N($AV73)+N($AW73)+N($AX73))</f>
        <v/>
      </c>
      <c r="DJ73">
        <f>IF($DT73=1,$DA73+N($DI73),"")</f>
        <v/>
      </c>
      <c r="DK73">
        <f>IF($DD73="","",$W73-$DD73-$AB73)</f>
        <v/>
      </c>
      <c r="DL73">
        <f>IF(AND($E73="post",$DD73&lt;&gt;"",$B73&lt;TODAY()),1,0)</f>
        <v/>
      </c>
      <c r="DM73">
        <f>IF($DL73=1,COUNTIF($DL73:$DL$183,1),0)</f>
        <v/>
      </c>
      <c r="DN73">
        <f>IF($D73=1,"",IF($E73="pre","History only",IF($DT73=1,IF($DD73="","⚠ Previous month missing",IF($DD73&lt;0,"⚠ Check: spending &lt; 0",IF($E73="open","✓ Done (partial)","✓ Done"))),IF($B73&gt;=TODAY(),"In progress","⚠ Needs balances"))))</f>
        <v/>
      </c>
      <c r="DO73">
        <f>YEAR($A73)</f>
        <v/>
      </c>
      <c r="DP73">
        <f>DATE(YEAR($A73),INT((MONTH($A73)-1)/3)*3+1,1)</f>
        <v/>
      </c>
      <c r="DQ73">
        <f>IF(AND($DT73=1,$DD73&lt;&gt;"",$D73=0),ROW(),0)</f>
        <v/>
      </c>
      <c r="DR73">
        <f>IF(AND($E73&lt;&gt;"pre",$B73&lt;TODAY(),$DT73=0),1,0)</f>
        <v/>
      </c>
      <c r="DS73">
        <f>IF($DJ73="",NA(),$DJ73)</f>
        <v/>
      </c>
      <c r="DT73">
        <f>IF(AND($E73&lt;&gt;"pre",$CL73=0,COUNTIFS(Settings!$F$19:$F$32,"Yes",Settings!$A$19:$A$32,"&lt;&gt;",Settings!$E$19:$E$32,"&lt;&gt;No")&gt;0),1,0)</f>
        <v/>
      </c>
      <c r="DU73">
        <f>IF(AND($B73&lt;TODAY(),$S73&gt;0),1,0)</f>
        <v/>
      </c>
      <c r="DV73">
        <f>IF($DU73=1,COUNTIF($DU73:$DU$183,1),0)</f>
        <v/>
      </c>
      <c r="DW73">
        <f>IF(AND(OR(Settings!$B$19="Card",Settings!$B$19="Loan"),AND('Month-End'!$BR$7&lt;&gt;"",NOT(_xlfn.ISFORMULA('Month-End'!$BR$7)))),IF(N('Month-End'!$BR$7)&lt;0,1,0),0)+IF(AND(OR(Settings!$B$20="Card",Settings!$B$20="Loan"),AND('Month-End'!$BR$8&lt;&gt;"",NOT(_xlfn.ISFORMULA('Month-End'!$BR$8)))),IF(N('Month-End'!$BR$8)&lt;0,1,0),0)+IF(AND(OR(Settings!$B$21="Card",Settings!$B$21="Loan"),AND('Month-End'!$BR$9&lt;&gt;"",NOT(_xlfn.ISFORMULA('Month-End'!$BR$9)))),IF(N('Month-End'!$BR$9)&lt;0,1,0),0)+IF(AND(OR(Settings!$B$22="Card",Settings!$B$22="Loan"),AND('Month-End'!$BR$10&lt;&gt;"",NOT(_xlfn.ISFORMULA('Month-End'!$BR$10)))),IF(N('Month-End'!$BR$10)&lt;0,1,0),0)+IF(AND(OR(Settings!$B$23="Card",Settings!$B$23="Loan"),AND('Month-End'!$BR$11&lt;&gt;"",NOT(_xlfn.ISFORMULA('Month-End'!$BR$11)))),IF(N('Month-End'!$BR$11)&lt;0,1,0),0)+IF(AND(OR(Settings!$B$24="Card",Settings!$B$24="Loan"),AND('Month-End'!$BR$12&lt;&gt;"",NOT(_xlfn.ISFORMULA('Month-End'!$BR$12)))),IF(N('Month-End'!$BR$12)&lt;0,1,0),0)+IF(AND(OR(Settings!$B$25="Card",Settings!$B$25="Loan"),AND('Month-End'!$BR$13&lt;&gt;"",NOT(_xlfn.ISFORMULA('Month-End'!$BR$13)))),IF(N('Month-End'!$BR$13)&lt;0,1,0),0)+IF(AND(OR(Settings!$B$26="Card",Settings!$B$26="Loan"),AND('Month-End'!$BR$14&lt;&gt;"",NOT(_xlfn.ISFORMULA('Month-End'!$BR$14)))),IF(N('Month-End'!$BR$14)&lt;0,1,0),0)+IF(AND(OR(Settings!$B$27="Card",Settings!$B$27="Loan"),AND('Month-End'!$BR$15&lt;&gt;"",NOT(_xlfn.ISFORMULA('Month-End'!$BR$15)))),IF(N('Month-End'!$BR$15)&lt;0,1,0),0)+IF(AND(OR(Settings!$B$28="Card",Settings!$B$28="Loan"),AND('Month-End'!$BR$16&lt;&gt;"",NOT(_xlfn.ISFORMULA('Month-End'!$BR$16)))),IF(N('Month-End'!$BR$16)&lt;0,1,0),0)+IF(AND(OR(Settings!$B$29="Card",Settings!$B$29="Loan"),AND('Month-End'!$BR$17&lt;&gt;"",NOT(_xlfn.ISFORMULA('Month-End'!$BR$17)))),IF(N('Month-End'!$BR$17)&lt;0,1,0),0)+IF(AND(OR(Settings!$B$30="Card",Settings!$B$30="Loan"),AND('Month-End'!$BR$18&lt;&gt;"",NOT(_xlfn.ISFORMULA('Month-End'!$BR$18)))),IF(N('Month-End'!$BR$18)&lt;0,1,0),0)+IF(AND(OR(Settings!$B$31="Card",Settings!$B$31="Loan"),AND('Month-End'!$BR$19&lt;&gt;"",NOT(_xlfn.ISFORMULA('Month-End'!$BR$19)))),IF(N('Month-End'!$BR$19)&lt;0,1,0),0)+IF(AND(OR(Settings!$B$32="Card",Settings!$B$32="Loan"),AND('Month-End'!$BR$20&lt;&gt;"",NOT(_xlfn.ISFORMULA('Month-End'!$BR$20)))),IF(N('Month-End'!$BR$20)&lt;0,1,0),0)</f>
        <v/>
      </c>
      <c r="DX73">
        <f>IF(Settings!$B$36="Retirement",$AY73,0)+IF(Settings!$B$37="Retirement",$AZ73,0)+IF(Settings!$B$38="Retirement",$BA73,0)+IF(Settings!$B$39="Retirement",$BB73,0)+IF(Settings!$B$40="Retirement",$BC73,0)+IF(Settings!$B$41="Retirement",$BD73,0)</f>
        <v/>
      </c>
      <c r="EA73">
        <f>IF(Settings!$A$72="","",Settings!$A$72)</f>
        <v/>
      </c>
      <c r="EB73">
        <f>IF(Settings!$D$72="",0,IF(Settings!$D$72="Specific Account",IFERROR(INDEX($EB$40:$EB$59,MATCH(Settings!$F$72,$EA$40:$EA$59,0)),0),IFERROR(INDEX($EB$6:$EB$26,MATCH(Settings!$D$72,$EA$6:$EA$26,0)),0)))</f>
        <v/>
      </c>
      <c r="EC73">
        <f>IF(Settings!$A$72="","",IF(Settings!$B$72="Tithe Balance",$EB$23,IF(Settings!$E$72="Specific Account",IFERROR(INDEX($EB$40:$EB$59,MATCH(Settings!$F$72,$EA$40:$EA$59,0)),0),IFERROR(INDEX($EB$6:$EB$26,MATCH(Settings!$E$72,$EA$6:$EA$26,0)),0))))</f>
        <v/>
      </c>
      <c r="ED73">
        <f>IF(Settings!$A$72="","",IF(Settings!$B$72="Percentage",EB73*N(Settings!$C$72)/100,IF(Settings!$B$72="Multiple",EB73*N(Settings!$C$72),IF(Settings!$B$72="Tithe Balance",$EB$22,N(Settings!$C$72)))))</f>
        <v/>
      </c>
      <c r="EE73">
        <f>IF(Settings!$A$72="","",IF(Settings!$B$72="Pay Down To",MAX(0,EC73-ED73),MAX(0,ED73-EC73)))</f>
        <v/>
      </c>
      <c r="EF73">
        <f>IF(Settings!$A$72="","",IF(Settings!$B$72="Pay Down To",IF(EC73&lt;=ED73,"Met","Above target"),IF(EC73&gt;=ED73-0.005,"Met","Remaining")))</f>
        <v/>
      </c>
      <c r="EG73">
        <f>IF(Settings!$A$72="","",IF(Settings!$B$72="Pay Down To",IF(EC73&lt;=0,1,MIN(1,ED73/EC73)),IF(ED73&lt;=0,1,EC73/ED73)))</f>
        <v/>
      </c>
      <c r="EH73">
        <f>IF(OR(Settings!$A$72="",EE73&lt;=0),"",IF(Settings!$B$72="Save By Date",IF(Settings!$G$72="","Set a target date","Need "&amp;TEXT(EE73/MAX(1,(YEAR(Settings!$G$72)-YEAR(TODAY()))*12+MONTH(Settings!$G$72)-MONTH(TODAY())+1),"$#,##0")&amp;"/mo to "&amp;TEXT(Settings!$G$72,"mmm yyyy")),IF(Settings!$B$72="Annual Contribution","Need "&amp;TEXT(EE73/MAX(1,12-MONTH(TODAY())+1),"$#,##0")&amp;"/mo rest of year",IF(Settings!$B$72="Tithe Balance","This quarter",""))))</f>
        <v/>
      </c>
      <c r="ET73">
        <f>IF($E73&lt;&gt;"open",0,IF(AND('Month-End'!$BR$22&lt;&gt;"",NOT(_xlfn.ISFORMULA('Month-End'!$BR$22))),0,IF(OR(Settings!$C$45="",Settings!$D$45=""),0,Settings!$C$45*IF(Settings!$D$45="Weekly",IF(IFERROR(MATCH(Settings!$E$45,$EO$4:$EO$10,0),0)=0,0,IF(MIN(Settings!$B$5,IF(Settings!$G$45="",Settings!$B$5,Settings!$G$45))&lt;MAX($A73,Settings!$F$45),0,INT((MIN(Settings!$B$5,IF(Settings!$G$45="",Settings!$B$5,Settings!$G$45))-MAX($A73,Settings!$F$45)-MOD(IFERROR(MATCH(Settings!$E$45,$EO$4:$EO$10,0),0)-WEEKDAY(MAX($A73,Settings!$F$45)),7))/7)+1)),IF(AND(IF(Settings!$E$45="",$B73,DATE(YEAR($A73),MONTH($A73),MIN(Settings!$E$45,DAY($B73))))&gt;=MAX($A73,Settings!$F$45),IF(Settings!$E$45="",$B73,DATE(YEAR($A73),MONTH($A73),MIN(Settings!$E$45,DAY($B73))))&lt;=MIN(Settings!$B$5,IF(Settings!$G$45="",Settings!$B$5,Settings!$G$45))),1,0)))))</f>
        <v/>
      </c>
      <c r="EU73">
        <f>IF($E73&lt;&gt;"open",0,IF(AND('Month-End'!$BR$23&lt;&gt;"",NOT(_xlfn.ISFORMULA('Month-End'!$BR$23))),0,IF(OR(Settings!$C$46="",Settings!$D$46=""),0,Settings!$C$46*IF(Settings!$D$46="Weekly",IF(IFERROR(MATCH(Settings!$E$46,$EO$4:$EO$10,0),0)=0,0,IF(MIN(Settings!$B$5,IF(Settings!$G$46="",Settings!$B$5,Settings!$G$46))&lt;MAX($A73,Settings!$F$46),0,INT((MIN(Settings!$B$5,IF(Settings!$G$46="",Settings!$B$5,Settings!$G$46))-MAX($A73,Settings!$F$46)-MOD(IFERROR(MATCH(Settings!$E$46,$EO$4:$EO$10,0),0)-WEEKDAY(MAX($A73,Settings!$F$46)),7))/7)+1)),IF(AND(IF(Settings!$E$46="",$B73,DATE(YEAR($A73),MONTH($A73),MIN(Settings!$E$46,DAY($B73))))&gt;=MAX($A73,Settings!$F$46),IF(Settings!$E$46="",$B73,DATE(YEAR($A73),MONTH($A73),MIN(Settings!$E$46,DAY($B73))))&lt;=MIN(Settings!$B$5,IF(Settings!$G$46="",Settings!$B$5,Settings!$G$46))),1,0)))))</f>
        <v/>
      </c>
      <c r="EV73">
        <f>IF($E73&lt;&gt;"open",0,IF(AND('Month-End'!$BR$24&lt;&gt;"",NOT(_xlfn.ISFORMULA('Month-End'!$BR$24))),0,IF(OR(Settings!$C$47="",Settings!$D$47=""),0,Settings!$C$47*IF(Settings!$D$47="Weekly",IF(IFERROR(MATCH(Settings!$E$47,$EO$4:$EO$10,0),0)=0,0,IF(MIN(Settings!$B$5,IF(Settings!$G$47="",Settings!$B$5,Settings!$G$47))&lt;MAX($A73,Settings!$F$47),0,INT((MIN(Settings!$B$5,IF(Settings!$G$47="",Settings!$B$5,Settings!$G$47))-MAX($A73,Settings!$F$47)-MOD(IFERROR(MATCH(Settings!$E$47,$EO$4:$EO$10,0),0)-WEEKDAY(MAX($A73,Settings!$F$47)),7))/7)+1)),IF(AND(IF(Settings!$E$47="",$B73,DATE(YEAR($A73),MONTH($A73),MIN(Settings!$E$47,DAY($B73))))&gt;=MAX($A73,Settings!$F$47),IF(Settings!$E$47="",$B73,DATE(YEAR($A73),MONTH($A73),MIN(Settings!$E$47,DAY($B73))))&lt;=MIN(Settings!$B$5,IF(Settings!$G$47="",Settings!$B$5,Settings!$G$47))),1,0)))))</f>
        <v/>
      </c>
      <c r="EW73">
        <f>IF($E73&lt;&gt;"open",0,IF(AND('Month-End'!$BR$25&lt;&gt;"",NOT(_xlfn.ISFORMULA('Month-End'!$BR$25))),0,IF(OR(Settings!$C$48="",Settings!$D$48=""),0,Settings!$C$48*IF(Settings!$D$48="Weekly",IF(IFERROR(MATCH(Settings!$E$48,$EO$4:$EO$10,0),0)=0,0,IF(MIN(Settings!$B$5,IF(Settings!$G$48="",Settings!$B$5,Settings!$G$48))&lt;MAX($A73,Settings!$F$48),0,INT((MIN(Settings!$B$5,IF(Settings!$G$48="",Settings!$B$5,Settings!$G$48))-MAX($A73,Settings!$F$48)-MOD(IFERROR(MATCH(Settings!$E$48,$EO$4:$EO$10,0),0)-WEEKDAY(MAX($A73,Settings!$F$48)),7))/7)+1)),IF(AND(IF(Settings!$E$48="",$B73,DATE(YEAR($A73),MONTH($A73),MIN(Settings!$E$48,DAY($B73))))&gt;=MAX($A73,Settings!$F$48),IF(Settings!$E$48="",$B73,DATE(YEAR($A73),MONTH($A73),MIN(Settings!$E$48,DAY($B73))))&lt;=MIN(Settings!$B$5,IF(Settings!$G$48="",Settings!$B$5,Settings!$G$48))),1,0)))))</f>
        <v/>
      </c>
      <c r="EX73">
        <f>IF($E73&lt;&gt;"open",0,IF(AND('Month-End'!$BR$26&lt;&gt;"",NOT(_xlfn.ISFORMULA('Month-End'!$BR$26))),0,IF(OR(Settings!$C$49="",Settings!$D$49=""),0,Settings!$C$49*IF(Settings!$D$49="Weekly",IF(IFERROR(MATCH(Settings!$E$49,$EO$4:$EO$10,0),0)=0,0,IF(MIN(Settings!$B$5,IF(Settings!$G$49="",Settings!$B$5,Settings!$G$49))&lt;MAX($A73,Settings!$F$49),0,INT((MIN(Settings!$B$5,IF(Settings!$G$49="",Settings!$B$5,Settings!$G$49))-MAX($A73,Settings!$F$49)-MOD(IFERROR(MATCH(Settings!$E$49,$EO$4:$EO$10,0),0)-WEEKDAY(MAX($A73,Settings!$F$49)),7))/7)+1)),IF(AND(IF(Settings!$E$49="",$B73,DATE(YEAR($A73),MONTH($A73),MIN(Settings!$E$49,DAY($B73))))&gt;=MAX($A73,Settings!$F$49),IF(Settings!$E$49="",$B73,DATE(YEAR($A73),MONTH($A73),MIN(Settings!$E$49,DAY($B73))))&lt;=MIN(Settings!$B$5,IF(Settings!$G$49="",Settings!$B$5,Settings!$G$49))),1,0)))))</f>
        <v/>
      </c>
      <c r="EY73">
        <f>IF($E73&lt;&gt;"open",0,IF(AND('Month-End'!$BR$27&lt;&gt;"",NOT(_xlfn.ISFORMULA('Month-End'!$BR$27))),0,IF(OR(Settings!$C$50="",Settings!$D$50=""),0,Settings!$C$50*IF(Settings!$D$50="Weekly",IF(IFERROR(MATCH(Settings!$E$50,$EO$4:$EO$10,0),0)=0,0,IF(MIN(Settings!$B$5,IF(Settings!$G$50="",Settings!$B$5,Settings!$G$50))&lt;MAX($A73,Settings!$F$50),0,INT((MIN(Settings!$B$5,IF(Settings!$G$50="",Settings!$B$5,Settings!$G$50))-MAX($A73,Settings!$F$50)-MOD(IFERROR(MATCH(Settings!$E$50,$EO$4:$EO$10,0),0)-WEEKDAY(MAX($A73,Settings!$F$50)),7))/7)+1)),IF(AND(IF(Settings!$E$50="",$B73,DATE(YEAR($A73),MONTH($A73),MIN(Settings!$E$50,DAY($B73))))&gt;=MAX($A73,Settings!$F$50),IF(Settings!$E$50="",$B73,DATE(YEAR($A73),MONTH($A73),MIN(Settings!$E$50,DAY($B73))))&lt;=MIN(Settings!$B$5,IF(Settings!$G$50="",Settings!$B$5,Settings!$G$50))),1,0)))))</f>
        <v/>
      </c>
      <c r="EZ73">
        <f>IF($E73&lt;&gt;"open",0,IF(AND('Month-End'!$BR$28&lt;&gt;"",NOT(_xlfn.ISFORMULA('Month-End'!$BR$28))),0,IF(OR(Settings!$C$51="",Settings!$D$51=""),0,Settings!$C$51*IF(Settings!$D$51="Weekly",IF(IFERROR(MATCH(Settings!$E$51,$EO$4:$EO$10,0),0)=0,0,IF(MIN(Settings!$B$5,IF(Settings!$G$51="",Settings!$B$5,Settings!$G$51))&lt;MAX($A73,Settings!$F$51),0,INT((MIN(Settings!$B$5,IF(Settings!$G$51="",Settings!$B$5,Settings!$G$51))-MAX($A73,Settings!$F$51)-MOD(IFERROR(MATCH(Settings!$E$51,$EO$4:$EO$10,0),0)-WEEKDAY(MAX($A73,Settings!$F$51)),7))/7)+1)),IF(AND(IF(Settings!$E$51="",$B73,DATE(YEAR($A73),MONTH($A73),MIN(Settings!$E$51,DAY($B73))))&gt;=MAX($A73,Settings!$F$51),IF(Settings!$E$51="",$B73,DATE(YEAR($A73),MONTH($A73),MIN(Settings!$E$51,DAY($B73))))&lt;=MIN(Settings!$B$5,IF(Settings!$G$51="",Settings!$B$5,Settings!$G$51))),1,0)))))</f>
        <v/>
      </c>
      <c r="FA73">
        <f>IF($E73&lt;&gt;"open",0,IF(AND('Month-End'!$BR$29&lt;&gt;"",NOT(_xlfn.ISFORMULA('Month-End'!$BR$29))),0,IF(OR(Settings!$C$52="",Settings!$D$52=""),0,Settings!$C$52*IF(Settings!$D$52="Weekly",IF(IFERROR(MATCH(Settings!$E$52,$EO$4:$EO$10,0),0)=0,0,IF(MIN(Settings!$B$5,IF(Settings!$G$52="",Settings!$B$5,Settings!$G$52))&lt;MAX($A73,Settings!$F$52),0,INT((MIN(Settings!$B$5,IF(Settings!$G$52="",Settings!$B$5,Settings!$G$52))-MAX($A73,Settings!$F$52)-MOD(IFERROR(MATCH(Settings!$E$52,$EO$4:$EO$10,0),0)-WEEKDAY(MAX($A73,Settings!$F$52)),7))/7)+1)),IF(AND(IF(Settings!$E$52="",$B73,DATE(YEAR($A73),MONTH($A73),MIN(Settings!$E$52,DAY($B73))))&gt;=MAX($A73,Settings!$F$52),IF(Settings!$E$52="",$B73,DATE(YEAR($A73),MONTH($A73),MIN(Settings!$E$52,DAY($B73))))&lt;=MIN(Settings!$B$5,IF(Settings!$G$52="",Settings!$B$5,Settings!$G$52))),1,0)))))</f>
        <v/>
      </c>
      <c r="FB73">
        <f>IF($E73&lt;&gt;"open",0,IF(AND('Month-End'!$BR$30&lt;&gt;"",NOT(_xlfn.ISFORMULA('Month-End'!$BR$30))),0,IF(OR(Settings!$C$53="",Settings!$D$53=""),0,Settings!$C$53*IF(Settings!$D$53="Weekly",IF(IFERROR(MATCH(Settings!$E$53,$EO$4:$EO$10,0),0)=0,0,IF(MIN(Settings!$B$5,IF(Settings!$G$53="",Settings!$B$5,Settings!$G$53))&lt;MAX($A73,Settings!$F$53),0,INT((MIN(Settings!$B$5,IF(Settings!$G$53="",Settings!$B$5,Settings!$G$53))-MAX($A73,Settings!$F$53)-MOD(IFERROR(MATCH(Settings!$E$53,$EO$4:$EO$10,0),0)-WEEKDAY(MAX($A73,Settings!$F$53)),7))/7)+1)),IF(AND(IF(Settings!$E$53="",$B73,DATE(YEAR($A73),MONTH($A73),MIN(Settings!$E$53,DAY($B73))))&gt;=MAX($A73,Settings!$F$53),IF(Settings!$E$53="",$B73,DATE(YEAR($A73),MONTH($A73),MIN(Settings!$E$53,DAY($B73))))&lt;=MIN(Settings!$B$5,IF(Settings!$G$53="",Settings!$B$5,Settings!$G$53))),1,0)))))</f>
        <v/>
      </c>
      <c r="FC73">
        <f>IF($E73&lt;&gt;"open",0,IF(AND('Month-End'!$BR$31&lt;&gt;"",NOT(_xlfn.ISFORMULA('Month-End'!$BR$31))),0,IF(OR(Settings!$C$54="",Settings!$D$54=""),0,Settings!$C$54*IF(Settings!$D$54="Weekly",IF(IFERROR(MATCH(Settings!$E$54,$EO$4:$EO$10,0),0)=0,0,IF(MIN(Settings!$B$5,IF(Settings!$G$54="",Settings!$B$5,Settings!$G$54))&lt;MAX($A73,Settings!$F$54),0,INT((MIN(Settings!$B$5,IF(Settings!$G$54="",Settings!$B$5,Settings!$G$54))-MAX($A73,Settings!$F$54)-MOD(IFERROR(MATCH(Settings!$E$54,$EO$4:$EO$10,0),0)-WEEKDAY(MAX($A73,Settings!$F$54)),7))/7)+1)),IF(AND(IF(Settings!$E$54="",$B73,DATE(YEAR($A73),MONTH($A73),MIN(Settings!$E$54,DAY($B73))))&gt;=MAX($A73,Settings!$F$54),IF(Settings!$E$54="",$B73,DATE(YEAR($A73),MONTH($A73),MIN(Settings!$E$54,DAY($B73))))&lt;=MIN(Settings!$B$5,IF(Settings!$G$54="",Settings!$B$5,Settings!$G$54))),1,0)))))</f>
        <v/>
      </c>
      <c r="FD73">
        <f>IF($E73&lt;&gt;"open",0,IF(AND('Month-End'!$BR$32&lt;&gt;"",NOT(_xlfn.ISFORMULA('Month-End'!$BR$32))),0,IF(OR(Settings!$C$55="",Settings!$D$55=""),0,Settings!$C$55*IF(Settings!$D$55="Weekly",IF(IFERROR(MATCH(Settings!$E$55,$EO$4:$EO$10,0),0)=0,0,IF(MIN(Settings!$B$5,IF(Settings!$G$55="",Settings!$B$5,Settings!$G$55))&lt;MAX($A73,Settings!$F$55),0,INT((MIN(Settings!$B$5,IF(Settings!$G$55="",Settings!$B$5,Settings!$G$55))-MAX($A73,Settings!$F$55)-MOD(IFERROR(MATCH(Settings!$E$55,$EO$4:$EO$10,0),0)-WEEKDAY(MAX($A73,Settings!$F$55)),7))/7)+1)),IF(AND(IF(Settings!$E$55="",$B73,DATE(YEAR($A73),MONTH($A73),MIN(Settings!$E$55,DAY($B73))))&gt;=MAX($A73,Settings!$F$55),IF(Settings!$E$55="",$B73,DATE(YEAR($A73),MONTH($A73),MIN(Settings!$E$55,DAY($B73))))&lt;=MIN(Settings!$B$5,IF(Settings!$G$55="",Settings!$B$5,Settings!$G$55))),1,0)))))</f>
        <v/>
      </c>
      <c r="FE73">
        <f>IF($E73&lt;&gt;"open",0,IF(AND('Month-End'!$BR$33&lt;&gt;"",NOT(_xlfn.ISFORMULA('Month-End'!$BR$33))),0,IF(OR(Settings!$C$56="",Settings!$D$56=""),0,Settings!$C$56*IF(Settings!$D$56="Weekly",IF(IFERROR(MATCH(Settings!$E$56,$EO$4:$EO$10,0),0)=0,0,IF(MIN(Settings!$B$5,IF(Settings!$G$56="",Settings!$B$5,Settings!$G$56))&lt;MAX($A73,Settings!$F$56),0,INT((MIN(Settings!$B$5,IF(Settings!$G$56="",Settings!$B$5,Settings!$G$56))-MAX($A73,Settings!$F$56)-MOD(IFERROR(MATCH(Settings!$E$56,$EO$4:$EO$10,0),0)-WEEKDAY(MAX($A73,Settings!$F$56)),7))/7)+1)),IF(AND(IF(Settings!$E$56="",$B73,DATE(YEAR($A73),MONTH($A73),MIN(Settings!$E$56,DAY($B73))))&gt;=MAX($A73,Settings!$F$56),IF(Settings!$E$56="",$B73,DATE(YEAR($A73),MONTH($A73),MIN(Settings!$E$56,DAY($B73))))&lt;=MIN(Settings!$B$5,IF(Settings!$G$56="",Settings!$B$5,Settings!$G$56))),1,0)))))</f>
        <v/>
      </c>
      <c r="FF73">
        <f>IF(Settings!$I$45="Yes",$G73,0)+IF(Settings!$I$46="Yes",$H73,0)+IF(Settings!$I$47="Yes",$I73,0)+IF(Settings!$I$48="Yes",$J73,0)+IF(Settings!$I$49="Yes",$K73,0)+IF(Settings!$I$50="Yes",$L73,0)+IF(Settings!$I$51="Yes",$M73,0)+IF(Settings!$I$52="Yes",$N73,0)+IF(Settings!$I$53="Yes",$O73,0)+IF(Settings!$I$54="Yes",$P73,0)+IF(Settings!$I$55="Yes",$Q73,0)+IF(Settings!$I$56="Yes",$R73,0)</f>
        <v/>
      </c>
      <c r="FG73">
        <f>IF(AND(Settings!$I$45="Yes",Settings!$J$45="No"),$G73,0)+IF(AND(Settings!$I$46="Yes",Settings!$J$46="No"),$H73,0)+IF(AND(Settings!$I$47="Yes",Settings!$J$47="No"),$I73,0)+IF(AND(Settings!$I$48="Yes",Settings!$J$48="No"),$J73,0)+IF(AND(Settings!$I$49="Yes",Settings!$J$49="No"),$K73,0)+IF(AND(Settings!$I$50="Yes",Settings!$J$50="No"),$L73,0)+IF(AND(Settings!$I$51="Yes",Settings!$J$51="No"),$M73,0)+IF(AND(Settings!$I$52="Yes",Settings!$J$52="No"),$N73,0)+IF(AND(Settings!$I$53="Yes",Settings!$J$53="No"),$O73,0)+IF(AND(Settings!$I$54="Yes",Settings!$J$54="No"),$P73,0)+IF(AND(Settings!$I$55="Yes",Settings!$J$55="No"),$Q73,0)+IF(AND(Settings!$I$56="Yes",Settings!$J$56="No"),$R73,0)</f>
        <v/>
      </c>
      <c r="FH73">
        <f>SUMIFS(Giving!$B$7:$B$2006,Giving!$A$7:$A$2006,"&gt;="&amp;$A73,Giving!$A$7:$A$2006,"&lt;="&amp;$B73,Giving!$G$7:$G$2006,"Yes")+IF(OR(OR(Settings!$B$60="",Settings!$F$60="No"),Settings!$H$60&lt;&gt;"Yes"),0,Settings!$B$60*IF(AND(IF(Settings!$C$60="",$B73,DATE(YEAR($A73),MONTH($A73),MIN(Settings!$C$60,DAY($B73))))&gt;=MAX($A73,Settings!$D$60),IF(Settings!$C$60="",$B73,DATE(YEAR($A73),MONTH($A73),MIN(Settings!$C$60,DAY($B73))))&lt;=MIN($C73,IF(Settings!$E$60="",$C73,Settings!$E$60))),1,0))+IF(OR(OR(Settings!$B$61="",Settings!$F$61="No"),Settings!$H$61&lt;&gt;"Yes"),0,Settings!$B$61*IF(AND(IF(Settings!$C$61="",$B73,DATE(YEAR($A73),MONTH($A73),MIN(Settings!$C$61,DAY($B73))))&gt;=MAX($A73,Settings!$D$61),IF(Settings!$C$61="",$B73,DATE(YEAR($A73),MONTH($A73),MIN(Settings!$C$61,DAY($B73))))&lt;=MIN($C73,IF(Settings!$E$61="",$C73,Settings!$E$61))),1,0))+IF(OR(OR(Settings!$B$62="",Settings!$F$62="No"),Settings!$H$62&lt;&gt;"Yes"),0,Settings!$B$62*IF(AND(IF(Settings!$C$62="",$B73,DATE(YEAR($A73),MONTH($A73),MIN(Settings!$C$62,DAY($B73))))&gt;=MAX($A73,Settings!$D$62),IF(Settings!$C$62="",$B73,DATE(YEAR($A73),MONTH($A73),MIN(Settings!$C$62,DAY($B73))))&lt;=MIN($C73,IF(Settings!$E$62="",$C73,Settings!$E$62))),1,0))+IF(OR(OR(Settings!$B$63="",Settings!$F$63="No"),Settings!$H$63&lt;&gt;"Yes"),0,Settings!$B$63*IF(AND(IF(Settings!$C$63="",$B73,DATE(YEAR($A73),MONTH($A73),MIN(Settings!$C$63,DAY($B73))))&gt;=MAX($A73,Settings!$D$63),IF(Settings!$C$63="",$B73,DATE(YEAR($A73),MONTH($A73),MIN(Settings!$C$63,DAY($B73))))&lt;=MIN($C73,IF(Settings!$E$63="",$C73,Settings!$E$63))),1,0))+IF(OR(OR(Settings!$B$64="",Settings!$F$64="No"),Settings!$H$64&lt;&gt;"Yes"),0,Settings!$B$64*IF(AND(IF(Settings!$C$64="",$B73,DATE(YEAR($A73),MONTH($A73),MIN(Settings!$C$64,DAY($B73))))&gt;=MAX($A73,Settings!$D$64),IF(Settings!$C$64="",$B73,DATE(YEAR($A73),MONTH($A73),MIN(Settings!$C$64,DAY($B73))))&lt;=MIN($C73,IF(Settings!$E$64="",$C73,Settings!$E$64))),1,0))+IF(OR(OR(Settings!$B$65="",Settings!$F$65="No"),Settings!$H$65&lt;&gt;"Yes"),0,Settings!$B$65*IF(AND(IF(Settings!$C$65="",$B73,DATE(YEAR($A73),MONTH($A73),MIN(Settings!$C$65,DAY($B73))))&gt;=MAX($A73,Settings!$D$65),IF(Settings!$C$65="",$B73,DATE(YEAR($A73),MONTH($A73),MIN(Settings!$C$65,DAY($B73))))&lt;=MIN($C73,IF(Settings!$E$65="",$C73,Settings!$E$65))),1,0))</f>
        <v/>
      </c>
      <c r="FI73">
        <f>IF($DT73=1,IF(OR(Settings!$B$19="Card",Settings!$B$19="Loan"),N($AE73),0)+IF(OR(Settings!$B$20="Card",Settings!$B$20="Loan"),N($AF73),0)+IF(OR(Settings!$B$21="Card",Settings!$B$21="Loan"),N($AG73),0)+IF(OR(Settings!$B$22="Card",Settings!$B$22="Loan"),N($AH73),0)+IF(OR(Settings!$B$23="Card",Settings!$B$23="Loan"),N($AI73),0)+IF(OR(Settings!$B$24="Card",Settings!$B$24="Loan"),N($AJ73),0)+IF(OR(Settings!$B$25="Card",Settings!$B$25="Loan"),N($AK73),0)+IF(OR(Settings!$B$26="Card",Settings!$B$26="Loan"),N($AL73),0)+IF(OR(Settings!$B$27="Card",Settings!$B$27="Loan"),N($AM73),0)+IF(OR(Settings!$B$28="Card",Settings!$B$28="Loan"),N($AN73),0)+IF(OR(Settings!$B$29="Card",Settings!$B$29="Loan"),N($AO73),0)+IF(OR(Settings!$B$30="Card",Settings!$B$30="Loan"),N($AP73),0)+IF(OR(Settings!$B$31="Card",Settings!$B$31="Loan"),N($AQ73),0)+IF(OR(Settings!$B$32="Card",Settings!$B$32="Loan"),N($AR73),0),"")</f>
        <v/>
      </c>
      <c r="FJ73">
        <f>IF($E73="open",$EB$65,IF($E73="post",IF($E72="pre",$EB$65,$FI72),""))</f>
        <v/>
      </c>
      <c r="FK73">
        <f>IF(AND($DT73=1,$DC73=1),IF(ROUND($FI73-$FJ73,2)&gt;0,1,0),0)</f>
        <v/>
      </c>
      <c r="FL73">
        <f>IF($FK73=1,$FL72+1,0)</f>
        <v/>
      </c>
    </row>
    <row r="74">
      <c r="A74">
        <f>'Month-End'!$BS$4</f>
        <v/>
      </c>
      <c r="B74">
        <f>EOMONTH($A74,0)</f>
        <v/>
      </c>
      <c r="C74">
        <f>MIN($B74,TODAY())</f>
        <v/>
      </c>
      <c r="D74">
        <f>IF($A74&gt;TODAY(),1,0)</f>
        <v/>
      </c>
      <c r="E74">
        <f>IF($B74&lt;=Settings!$B$5,"pre",IF($A74&lt;=Settings!$B$5,"open","post"))</f>
        <v/>
      </c>
      <c r="G74">
        <f>IF('Month-End'!$BS$22="",$BE74,N('Month-End'!$BS$22))</f>
        <v/>
      </c>
      <c r="H74">
        <f>IF('Month-End'!$BS$23="",$BF74,N('Month-End'!$BS$23))</f>
        <v/>
      </c>
      <c r="I74">
        <f>IF('Month-End'!$BS$24="",$BG74,N('Month-End'!$BS$24))</f>
        <v/>
      </c>
      <c r="J74">
        <f>IF('Month-End'!$BS$25="",$BH74,N('Month-End'!$BS$25))</f>
        <v/>
      </c>
      <c r="K74">
        <f>IF('Month-End'!$BS$26="",$BI74,N('Month-End'!$BS$26))</f>
        <v/>
      </c>
      <c r="L74">
        <f>IF('Month-End'!$BS$27="",$BJ74,N('Month-End'!$BS$27))</f>
        <v/>
      </c>
      <c r="M74">
        <f>IF('Month-End'!$BS$28="",$BK74,N('Month-End'!$BS$28))</f>
        <v/>
      </c>
      <c r="N74">
        <f>IF('Month-End'!$BS$29="",$BL74,N('Month-End'!$BS$29))</f>
        <v/>
      </c>
      <c r="O74">
        <f>IF('Month-End'!$BS$30="",$BM74,N('Month-End'!$BS$30))</f>
        <v/>
      </c>
      <c r="P74">
        <f>IF('Month-End'!$BS$31="",$BN74,N('Month-End'!$BS$31))</f>
        <v/>
      </c>
      <c r="Q74">
        <f>IF('Month-End'!$BS$32="",$BO74,N('Month-End'!$BS$32))</f>
        <v/>
      </c>
      <c r="R74">
        <f>IF('Month-End'!$BS$33="",$BP74,N('Month-End'!$BS$33))</f>
        <v/>
      </c>
      <c r="S74">
        <f>$G74+$H74+$I74+$J74+$K74+$L74+$M74+$N74+$O74+$P74+$Q74+$R74</f>
        <v/>
      </c>
      <c r="T74">
        <f>IF($B74&lt;Settings!$B$6,0,IF(Settings!$B$45="Yes",$G74,0)+IF(Settings!$B$46="Yes",$H74,0)+IF(Settings!$B$47="Yes",$I74,0)+IF(Settings!$B$48="Yes",$J74,0)+IF(Settings!$B$49="Yes",$K74,0)+IF(Settings!$B$50="Yes",$L74,0)+IF(Settings!$B$51="Yes",$M74,0)+IF(Settings!$B$52="Yes",$N74,0)+IF(Settings!$B$53="Yes",$O74,0)+IF(Settings!$B$54="Yes",$P74,0)+IF(Settings!$B$55="Yes",$Q74,0)+IF(Settings!$B$56="Yes",$R74,0))</f>
        <v/>
      </c>
      <c r="U74">
        <f>IF(Settings!$B$45="Not Sure",$G74,0)+IF(Settings!$B$46="Not Sure",$H74,0)+IF(Settings!$B$47="Not Sure",$I74,0)+IF(Settings!$B$48="Not Sure",$J74,0)+IF(Settings!$B$49="Not Sure",$K74,0)+IF(Settings!$B$50="Not Sure",$L74,0)+IF(Settings!$B$51="Not Sure",$M74,0)+IF(Settings!$B$52="Not Sure",$N74,0)+IF(Settings!$B$53="Not Sure",$O74,0)+IF(Settings!$B$54="Not Sure",$P74,0)+IF(Settings!$B$55="Not Sure",$Q74,0)+IF(Settings!$B$56="Not Sure",$R74,0)</f>
        <v/>
      </c>
      <c r="V74">
        <f>IF($E74="open",SUM($ET74:$FE74)+N(Settings!$B$13),0)</f>
        <v/>
      </c>
      <c r="W74">
        <f>IF($E74="post",$S74,IF($E74="open",$S74-$V74,0))</f>
        <v/>
      </c>
      <c r="X74">
        <f>SUMIFS(Giving!$B$7:$B$2006,Giving!$A$7:$A$2006,"&gt;="&amp;$A74,Giving!$A$7:$A$2006,"&lt;="&amp;$B74,Giving!$E$7:$E$2006,"&lt;&gt;No")</f>
        <v/>
      </c>
      <c r="Y74">
        <f>SUMIFS(Giving!$B$7:$B$2006,Giving!$A$7:$A$2006,"&gt;="&amp;$A74,Giving!$A$7:$A$2006,"&lt;="&amp;$B74,Giving!$E$7:$E$2006,"No")</f>
        <v/>
      </c>
      <c r="Z74">
        <f>IF(OR(Settings!$B$60="",Settings!$F$60="No"),0,Settings!$B$60*IF(AND(IF(Settings!$C$60="",$B74,DATE(YEAR($A74),MONTH($A74),MIN(Settings!$C$60,DAY($B74))))&gt;=MAX($A74,Settings!$D$60),IF(Settings!$C$60="",$B74,DATE(YEAR($A74),MONTH($A74),MIN(Settings!$C$60,DAY($B74))))&lt;=MIN($C74,IF(Settings!$E$60="",$C74,Settings!$E$60))),1,0))+IF(OR(Settings!$B$61="",Settings!$F$61="No"),0,Settings!$B$61*IF(AND(IF(Settings!$C$61="",$B74,DATE(YEAR($A74),MONTH($A74),MIN(Settings!$C$61,DAY($B74))))&gt;=MAX($A74,Settings!$D$61),IF(Settings!$C$61="",$B74,DATE(YEAR($A74),MONTH($A74),MIN(Settings!$C$61,DAY($B74))))&lt;=MIN($C74,IF(Settings!$E$61="",$C74,Settings!$E$61))),1,0))+IF(OR(Settings!$B$62="",Settings!$F$62="No"),0,Settings!$B$62*IF(AND(IF(Settings!$C$62="",$B74,DATE(YEAR($A74),MONTH($A74),MIN(Settings!$C$62,DAY($B74))))&gt;=MAX($A74,Settings!$D$62),IF(Settings!$C$62="",$B74,DATE(YEAR($A74),MONTH($A74),MIN(Settings!$C$62,DAY($B74))))&lt;=MIN($C74,IF(Settings!$E$62="",$C74,Settings!$E$62))),1,0))+IF(OR(Settings!$B$63="",Settings!$F$63="No"),0,Settings!$B$63*IF(AND(IF(Settings!$C$63="",$B74,DATE(YEAR($A74),MONTH($A74),MIN(Settings!$C$63,DAY($B74))))&gt;=MAX($A74,Settings!$D$63),IF(Settings!$C$63="",$B74,DATE(YEAR($A74),MONTH($A74),MIN(Settings!$C$63,DAY($B74))))&lt;=MIN($C74,IF(Settings!$E$63="",$C74,Settings!$E$63))),1,0))+IF(OR(Settings!$B$64="",Settings!$F$64="No"),0,Settings!$B$64*IF(AND(IF(Settings!$C$64="",$B74,DATE(YEAR($A74),MONTH($A74),MIN(Settings!$C$64,DAY($B74))))&gt;=MAX($A74,Settings!$D$64),IF(Settings!$C$64="",$B74,DATE(YEAR($A74),MONTH($A74),MIN(Settings!$C$64,DAY($B74))))&lt;=MIN($C74,IF(Settings!$E$64="",$C74,Settings!$E$64))),1,0))+IF(OR(Settings!$B$65="",Settings!$F$65="No"),0,Settings!$B$65*IF(AND(IF(Settings!$C$65="",$B74,DATE(YEAR($A74),MONTH($A74),MIN(Settings!$C$65,DAY($B74))))&gt;=MAX($A74,Settings!$D$65),IF(Settings!$C$65="",$B74,DATE(YEAR($A74),MONTH($A74),MIN(Settings!$C$65,DAY($B74))))&lt;=MIN($C74,IF(Settings!$E$65="",$C74,Settings!$E$65))),1,0))</f>
        <v/>
      </c>
      <c r="AA74">
        <f>$X74+$Z74</f>
        <v/>
      </c>
      <c r="AB74">
        <f>IF($E74="post",$AA74,IF($E74="open",SUMIFS(Giving!$B$7:$B$2006,Giving!$A$7:$A$2006,"&gt;"&amp;Settings!$B$5,Giving!$A$7:$A$2006,"&lt;="&amp;$B74,Giving!$E$7:$E$2006,"&lt;&gt;No")+IF(OR(Settings!$B$60="",Settings!$F$60="No"),0,Settings!$B$60*IF(AND(IF(Settings!$C$60="",$B74,DATE(YEAR($A74),MONTH($A74),MIN(Settings!$C$60,DAY($B74))))&gt;=MAX($A74,Settings!$D$60,Settings!$B$5+1),IF(Settings!$C$60="",$B74,DATE(YEAR($A74),MONTH($A74),MIN(Settings!$C$60,DAY($B74))))&lt;=MIN($C74,IF(Settings!$E$60="",$C74,Settings!$E$60))),1,0))+IF(OR(Settings!$B$61="",Settings!$F$61="No"),0,Settings!$B$61*IF(AND(IF(Settings!$C$61="",$B74,DATE(YEAR($A74),MONTH($A74),MIN(Settings!$C$61,DAY($B74))))&gt;=MAX($A74,Settings!$D$61,Settings!$B$5+1),IF(Settings!$C$61="",$B74,DATE(YEAR($A74),MONTH($A74),MIN(Settings!$C$61,DAY($B74))))&lt;=MIN($C74,IF(Settings!$E$61="",$C74,Settings!$E$61))),1,0))+IF(OR(Settings!$B$62="",Settings!$F$62="No"),0,Settings!$B$62*IF(AND(IF(Settings!$C$62="",$B74,DATE(YEAR($A74),MONTH($A74),MIN(Settings!$C$62,DAY($B74))))&gt;=MAX($A74,Settings!$D$62,Settings!$B$5+1),IF(Settings!$C$62="",$B74,DATE(YEAR($A74),MONTH($A74),MIN(Settings!$C$62,DAY($B74))))&lt;=MIN($C74,IF(Settings!$E$62="",$C74,Settings!$E$62))),1,0))+IF(OR(Settings!$B$63="",Settings!$F$63="No"),0,Settings!$B$63*IF(AND(IF(Settings!$C$63="",$B74,DATE(YEAR($A74),MONTH($A74),MIN(Settings!$C$63,DAY($B74))))&gt;=MAX($A74,Settings!$D$63,Settings!$B$5+1),IF(Settings!$C$63="",$B74,DATE(YEAR($A74),MONTH($A74),MIN(Settings!$C$63,DAY($B74))))&lt;=MIN($C74,IF(Settings!$E$63="",$C74,Settings!$E$63))),1,0))+IF(OR(Settings!$B$64="",Settings!$F$64="No"),0,Settings!$B$64*IF(AND(IF(Settings!$C$64="",$B74,DATE(YEAR($A74),MONTH($A74),MIN(Settings!$C$64,DAY($B74))))&gt;=MAX($A74,Settings!$D$64,Settings!$B$5+1),IF(Settings!$C$64="",$B74,DATE(YEAR($A74),MONTH($A74),MIN(Settings!$C$64,DAY($B74))))&lt;=MIN($C74,IF(Settings!$E$64="",$C74,Settings!$E$64))),1,0))+IF(OR(Settings!$B$65="",Settings!$F$65="No"),0,Settings!$B$65*IF(AND(IF(Settings!$C$65="",$B74,DATE(YEAR($A74),MONTH($A74),MIN(Settings!$C$65,DAY($B74))))&gt;=MAX($A74,Settings!$D$65,Settings!$B$5+1),IF(Settings!$C$65="",$B74,DATE(YEAR($A74),MONTH($A74),MIN(Settings!$C$65,DAY($B74))))&lt;=MIN($C74,IF(Settings!$E$65="",$C74,Settings!$E$65))),1,0)),0))</f>
        <v/>
      </c>
      <c r="AC74">
        <f>$AY74+$AZ74+$BA74+$BB74+$BC74+$BD74</f>
        <v/>
      </c>
      <c r="AD74">
        <f>$AC74</f>
        <v/>
      </c>
      <c r="AE74">
        <f>IF(OR(Settings!$A$19="",$E74="pre"),"",IF(AND('Month-End'!$BS$7&lt;&gt;"",NOT(_xlfn.ISFORMULA('Month-End'!$BS$7))),N('Month-End'!$BS$7),IF(OR($E74="open",$E73="pre"),N(Settings!$C$19),N($AE73))))</f>
        <v/>
      </c>
      <c r="AF74">
        <f>IF(OR(Settings!$A$20="",$E74="pre"),"",IF(AND('Month-End'!$BS$8&lt;&gt;"",NOT(_xlfn.ISFORMULA('Month-End'!$BS$8))),N('Month-End'!$BS$8),IF(OR($E74="open",$E73="pre"),N(Settings!$C$20),N($AF73))))</f>
        <v/>
      </c>
      <c r="AG74">
        <f>IF(OR(Settings!$A$21="",$E74="pre"),"",IF(AND('Month-End'!$BS$9&lt;&gt;"",NOT(_xlfn.ISFORMULA('Month-End'!$BS$9))),N('Month-End'!$BS$9),IF(OR($E74="open",$E73="pre"),N(Settings!$C$21),N($AG73))))</f>
        <v/>
      </c>
      <c r="AH74">
        <f>IF(OR(Settings!$A$22="",$E74="pre"),"",IF(AND('Month-End'!$BS$10&lt;&gt;"",NOT(_xlfn.ISFORMULA('Month-End'!$BS$10))),N('Month-End'!$BS$10),IF(OR($E74="open",$E73="pre"),N(Settings!$C$22),N($AH73))))</f>
        <v/>
      </c>
      <c r="AI74">
        <f>IF(OR(Settings!$A$23="",$E74="pre"),"",IF(AND('Month-End'!$BS$11&lt;&gt;"",NOT(_xlfn.ISFORMULA('Month-End'!$BS$11))),N('Month-End'!$BS$11),IF(OR($E74="open",$E73="pre"),N(Settings!$C$23),N($AI73))))</f>
        <v/>
      </c>
      <c r="AJ74">
        <f>IF(OR(Settings!$A$24="",$E74="pre"),"",IF(AND('Month-End'!$BS$12&lt;&gt;"",NOT(_xlfn.ISFORMULA('Month-End'!$BS$12))),N('Month-End'!$BS$12),IF(OR($E74="open",$E73="pre"),N(Settings!$C$24),N($AJ73))))</f>
        <v/>
      </c>
      <c r="AK74">
        <f>IF(OR(Settings!$A$25="",$E74="pre"),"",IF(AND('Month-End'!$BS$13&lt;&gt;"",NOT(_xlfn.ISFORMULA('Month-End'!$BS$13))),N('Month-End'!$BS$13),IF(OR($E74="open",$E73="pre"),N(Settings!$C$25),N($AK73))))</f>
        <v/>
      </c>
      <c r="AL74">
        <f>IF(OR(Settings!$A$26="",$E74="pre"),"",IF(AND('Month-End'!$BS$14&lt;&gt;"",NOT(_xlfn.ISFORMULA('Month-End'!$BS$14))),N('Month-End'!$BS$14),IF(OR($E74="open",$E73="pre"),N(Settings!$C$26),N($AL73))))</f>
        <v/>
      </c>
      <c r="AM74">
        <f>IF(OR(Settings!$A$27="",$E74="pre"),"",IF(AND('Month-End'!$BS$15&lt;&gt;"",NOT(_xlfn.ISFORMULA('Month-End'!$BS$15))),N('Month-End'!$BS$15),IF(OR($E74="open",$E73="pre"),N(Settings!$C$27),N($AM73))))</f>
        <v/>
      </c>
      <c r="AN74">
        <f>IF(OR(Settings!$A$28="",$E74="pre"),"",IF(AND('Month-End'!$BS$16&lt;&gt;"",NOT(_xlfn.ISFORMULA('Month-End'!$BS$16))),N('Month-End'!$BS$16),IF(OR($E74="open",$E73="pre"),N(Settings!$C$28),N($AN73))))</f>
        <v/>
      </c>
      <c r="AO74">
        <f>IF(OR(Settings!$A$29="",$E74="pre"),"",IF(AND('Month-End'!$BS$17&lt;&gt;"",NOT(_xlfn.ISFORMULA('Month-End'!$BS$17))),N('Month-End'!$BS$17),IF(OR($E74="open",$E73="pre"),N(Settings!$C$29),N($AO73))))</f>
        <v/>
      </c>
      <c r="AP74">
        <f>IF(OR(Settings!$A$30="",$E74="pre"),"",IF(AND('Month-End'!$BS$18&lt;&gt;"",NOT(_xlfn.ISFORMULA('Month-End'!$BS$18))),N('Month-End'!$BS$18),IF(OR($E74="open",$E73="pre"),N(Settings!$C$30),N($AP73))))</f>
        <v/>
      </c>
      <c r="AQ74">
        <f>IF(OR(Settings!$A$31="",$E74="pre"),"",IF(AND('Month-End'!$BS$19&lt;&gt;"",NOT(_xlfn.ISFORMULA('Month-End'!$BS$19))),N('Month-End'!$BS$19),IF(OR($E74="open",$E73="pre"),N(Settings!$C$31),N($AQ73))))</f>
        <v/>
      </c>
      <c r="AR74">
        <f>IF(OR(Settings!$A$32="",$E74="pre"),"",IF(AND('Month-End'!$BS$20&lt;&gt;"",NOT(_xlfn.ISFORMULA('Month-End'!$BS$20))),N('Month-End'!$BS$20),IF(OR($E74="open",$E73="pre"),N(Settings!$C$32),N($AR73))))</f>
        <v/>
      </c>
      <c r="AS74">
        <f>IF(OR(Settings!$A$36="",$E74="pre"),"",IF(AND('Month-End'!$BS$38&lt;&gt;"",NOT(_xlfn.ISFORMULA('Month-End'!$BS$38))),N('Month-End'!$BS$38),IF(OR($E74="open",$E73="pre"),N(Settings!$C$36),N($AS73))+$AY74))</f>
        <v/>
      </c>
      <c r="AT74">
        <f>IF(OR(Settings!$A$37="",$E74="pre"),"",IF(AND('Month-End'!$BS$39&lt;&gt;"",NOT(_xlfn.ISFORMULA('Month-End'!$BS$39))),N('Month-End'!$BS$39),IF(OR($E74="open",$E73="pre"),N(Settings!$C$37),N($AT73))+$AZ74))</f>
        <v/>
      </c>
      <c r="AU74">
        <f>IF(OR(Settings!$A$38="",$E74="pre"),"",IF(AND('Month-End'!$BS$40&lt;&gt;"",NOT(_xlfn.ISFORMULA('Month-End'!$BS$40))),N('Month-End'!$BS$40),IF(OR($E74="open",$E73="pre"),N(Settings!$C$38),N($AU73))+$BA74))</f>
        <v/>
      </c>
      <c r="AV74">
        <f>IF(OR(Settings!$A$39="",$E74="pre"),"",IF(AND('Month-End'!$BS$41&lt;&gt;"",NOT(_xlfn.ISFORMULA('Month-End'!$BS$41))),N('Month-End'!$BS$41),IF(OR($E74="open",$E73="pre"),N(Settings!$C$39),N($AV73))+$BB74))</f>
        <v/>
      </c>
      <c r="AW74">
        <f>IF(OR(Settings!$A$40="",$E74="pre"),"",IF(AND('Month-End'!$BS$42&lt;&gt;"",NOT(_xlfn.ISFORMULA('Month-End'!$BS$42))),N('Month-End'!$BS$42),IF(OR($E74="open",$E73="pre"),N(Settings!$C$40),N($AW73))+$BC74))</f>
        <v/>
      </c>
      <c r="AX74">
        <f>IF(OR(Settings!$A$41="",$E74="pre"),"",IF(AND('Month-End'!$BS$43&lt;&gt;"",NOT(_xlfn.ISFORMULA('Month-End'!$BS$43))),N('Month-End'!$BS$43),IF(OR($E74="open",$E73="pre"),N(Settings!$C$41),N($AX73))+$BD74))</f>
        <v/>
      </c>
      <c r="AY74">
        <f>IF($E74="pre",0,N('Month-End'!$BS$45))</f>
        <v/>
      </c>
      <c r="AZ74">
        <f>IF($E74="pre",0,N('Month-End'!$BS$46))</f>
        <v/>
      </c>
      <c r="BA74">
        <f>IF($E74="pre",0,N('Month-End'!$BS$47))</f>
        <v/>
      </c>
      <c r="BB74">
        <f>IF($E74="pre",0,N('Month-End'!$BS$48))</f>
        <v/>
      </c>
      <c r="BC74">
        <f>IF($E74="pre",0,N('Month-End'!$BS$49))</f>
        <v/>
      </c>
      <c r="BD74">
        <f>IF($E74="pre",0,N('Month-End'!$BS$50))</f>
        <v/>
      </c>
      <c r="BE74">
        <f>IF(OR(Settings!$C$45="",Settings!$D$45=""),0,Settings!$C$45*IF(Settings!$D$45="Weekly",IF(IFERROR(MATCH(Settings!$E$45,$EO$4:$EO$10,0),0)=0,0,IF(MIN($C74,IF(Settings!$G$45="",$C74,Settings!$G$45))&lt;MAX($A74,Settings!$F$45),0,INT((MIN($C74,IF(Settings!$G$45="",$C74,Settings!$G$45))-MAX($A74,Settings!$F$45)-MOD(IFERROR(MATCH(Settings!$E$45,$EO$4:$EO$10,0),0)-WEEKDAY(MAX($A74,Settings!$F$45)),7))/7)+1)),IF(AND(IF(Settings!$E$45="",$B74,DATE(YEAR($A74),MONTH($A74),MIN(Settings!$E$45,DAY($B74))))&gt;=MAX($A74,Settings!$F$45),IF(Settings!$E$45="",$B74,DATE(YEAR($A74),MONTH($A74),MIN(Settings!$E$45,DAY($B74))))&lt;=MIN($C74,IF(Settings!$G$45="",$C74,Settings!$G$45))),1,0)))</f>
        <v/>
      </c>
      <c r="BF74">
        <f>IF(OR(Settings!$C$46="",Settings!$D$46=""),0,Settings!$C$46*IF(Settings!$D$46="Weekly",IF(IFERROR(MATCH(Settings!$E$46,$EO$4:$EO$10,0),0)=0,0,IF(MIN($C74,IF(Settings!$G$46="",$C74,Settings!$G$46))&lt;MAX($A74,Settings!$F$46),0,INT((MIN($C74,IF(Settings!$G$46="",$C74,Settings!$G$46))-MAX($A74,Settings!$F$46)-MOD(IFERROR(MATCH(Settings!$E$46,$EO$4:$EO$10,0),0)-WEEKDAY(MAX($A74,Settings!$F$46)),7))/7)+1)),IF(AND(IF(Settings!$E$46="",$B74,DATE(YEAR($A74),MONTH($A74),MIN(Settings!$E$46,DAY($B74))))&gt;=MAX($A74,Settings!$F$46),IF(Settings!$E$46="",$B74,DATE(YEAR($A74),MONTH($A74),MIN(Settings!$E$46,DAY($B74))))&lt;=MIN($C74,IF(Settings!$G$46="",$C74,Settings!$G$46))),1,0)))</f>
        <v/>
      </c>
      <c r="BG74">
        <f>IF(OR(Settings!$C$47="",Settings!$D$47=""),0,Settings!$C$47*IF(Settings!$D$47="Weekly",IF(IFERROR(MATCH(Settings!$E$47,$EO$4:$EO$10,0),0)=0,0,IF(MIN($C74,IF(Settings!$G$47="",$C74,Settings!$G$47))&lt;MAX($A74,Settings!$F$47),0,INT((MIN($C74,IF(Settings!$G$47="",$C74,Settings!$G$47))-MAX($A74,Settings!$F$47)-MOD(IFERROR(MATCH(Settings!$E$47,$EO$4:$EO$10,0),0)-WEEKDAY(MAX($A74,Settings!$F$47)),7))/7)+1)),IF(AND(IF(Settings!$E$47="",$B74,DATE(YEAR($A74),MONTH($A74),MIN(Settings!$E$47,DAY($B74))))&gt;=MAX($A74,Settings!$F$47),IF(Settings!$E$47="",$B74,DATE(YEAR($A74),MONTH($A74),MIN(Settings!$E$47,DAY($B74))))&lt;=MIN($C74,IF(Settings!$G$47="",$C74,Settings!$G$47))),1,0)))</f>
        <v/>
      </c>
      <c r="BH74">
        <f>IF(OR(Settings!$C$48="",Settings!$D$48=""),0,Settings!$C$48*IF(Settings!$D$48="Weekly",IF(IFERROR(MATCH(Settings!$E$48,$EO$4:$EO$10,0),0)=0,0,IF(MIN($C74,IF(Settings!$G$48="",$C74,Settings!$G$48))&lt;MAX($A74,Settings!$F$48),0,INT((MIN($C74,IF(Settings!$G$48="",$C74,Settings!$G$48))-MAX($A74,Settings!$F$48)-MOD(IFERROR(MATCH(Settings!$E$48,$EO$4:$EO$10,0),0)-WEEKDAY(MAX($A74,Settings!$F$48)),7))/7)+1)),IF(AND(IF(Settings!$E$48="",$B74,DATE(YEAR($A74),MONTH($A74),MIN(Settings!$E$48,DAY($B74))))&gt;=MAX($A74,Settings!$F$48),IF(Settings!$E$48="",$B74,DATE(YEAR($A74),MONTH($A74),MIN(Settings!$E$48,DAY($B74))))&lt;=MIN($C74,IF(Settings!$G$48="",$C74,Settings!$G$48))),1,0)))</f>
        <v/>
      </c>
      <c r="BI74">
        <f>IF(OR(Settings!$C$49="",Settings!$D$49=""),0,Settings!$C$49*IF(Settings!$D$49="Weekly",IF(IFERROR(MATCH(Settings!$E$49,$EO$4:$EO$10,0),0)=0,0,IF(MIN($C74,IF(Settings!$G$49="",$C74,Settings!$G$49))&lt;MAX($A74,Settings!$F$49),0,INT((MIN($C74,IF(Settings!$G$49="",$C74,Settings!$G$49))-MAX($A74,Settings!$F$49)-MOD(IFERROR(MATCH(Settings!$E$49,$EO$4:$EO$10,0),0)-WEEKDAY(MAX($A74,Settings!$F$49)),7))/7)+1)),IF(AND(IF(Settings!$E$49="",$B74,DATE(YEAR($A74),MONTH($A74),MIN(Settings!$E$49,DAY($B74))))&gt;=MAX($A74,Settings!$F$49),IF(Settings!$E$49="",$B74,DATE(YEAR($A74),MONTH($A74),MIN(Settings!$E$49,DAY($B74))))&lt;=MIN($C74,IF(Settings!$G$49="",$C74,Settings!$G$49))),1,0)))</f>
        <v/>
      </c>
      <c r="BJ74">
        <f>IF(OR(Settings!$C$50="",Settings!$D$50=""),0,Settings!$C$50*IF(Settings!$D$50="Weekly",IF(IFERROR(MATCH(Settings!$E$50,$EO$4:$EO$10,0),0)=0,0,IF(MIN($C74,IF(Settings!$G$50="",$C74,Settings!$G$50))&lt;MAX($A74,Settings!$F$50),0,INT((MIN($C74,IF(Settings!$G$50="",$C74,Settings!$G$50))-MAX($A74,Settings!$F$50)-MOD(IFERROR(MATCH(Settings!$E$50,$EO$4:$EO$10,0),0)-WEEKDAY(MAX($A74,Settings!$F$50)),7))/7)+1)),IF(AND(IF(Settings!$E$50="",$B74,DATE(YEAR($A74),MONTH($A74),MIN(Settings!$E$50,DAY($B74))))&gt;=MAX($A74,Settings!$F$50),IF(Settings!$E$50="",$B74,DATE(YEAR($A74),MONTH($A74),MIN(Settings!$E$50,DAY($B74))))&lt;=MIN($C74,IF(Settings!$G$50="",$C74,Settings!$G$50))),1,0)))</f>
        <v/>
      </c>
      <c r="BK74">
        <f>IF(OR(Settings!$C$51="",Settings!$D$51=""),0,Settings!$C$51*IF(Settings!$D$51="Weekly",IF(IFERROR(MATCH(Settings!$E$51,$EO$4:$EO$10,0),0)=0,0,IF(MIN($C74,IF(Settings!$G$51="",$C74,Settings!$G$51))&lt;MAX($A74,Settings!$F$51),0,INT((MIN($C74,IF(Settings!$G$51="",$C74,Settings!$G$51))-MAX($A74,Settings!$F$51)-MOD(IFERROR(MATCH(Settings!$E$51,$EO$4:$EO$10,0),0)-WEEKDAY(MAX($A74,Settings!$F$51)),7))/7)+1)),IF(AND(IF(Settings!$E$51="",$B74,DATE(YEAR($A74),MONTH($A74),MIN(Settings!$E$51,DAY($B74))))&gt;=MAX($A74,Settings!$F$51),IF(Settings!$E$51="",$B74,DATE(YEAR($A74),MONTH($A74),MIN(Settings!$E$51,DAY($B74))))&lt;=MIN($C74,IF(Settings!$G$51="",$C74,Settings!$G$51))),1,0)))</f>
        <v/>
      </c>
      <c r="BL74">
        <f>IF(OR(Settings!$C$52="",Settings!$D$52=""),0,Settings!$C$52*IF(Settings!$D$52="Weekly",IF(IFERROR(MATCH(Settings!$E$52,$EO$4:$EO$10,0),0)=0,0,IF(MIN($C74,IF(Settings!$G$52="",$C74,Settings!$G$52))&lt;MAX($A74,Settings!$F$52),0,INT((MIN($C74,IF(Settings!$G$52="",$C74,Settings!$G$52))-MAX($A74,Settings!$F$52)-MOD(IFERROR(MATCH(Settings!$E$52,$EO$4:$EO$10,0),0)-WEEKDAY(MAX($A74,Settings!$F$52)),7))/7)+1)),IF(AND(IF(Settings!$E$52="",$B74,DATE(YEAR($A74),MONTH($A74),MIN(Settings!$E$52,DAY($B74))))&gt;=MAX($A74,Settings!$F$52),IF(Settings!$E$52="",$B74,DATE(YEAR($A74),MONTH($A74),MIN(Settings!$E$52,DAY($B74))))&lt;=MIN($C74,IF(Settings!$G$52="",$C74,Settings!$G$52))),1,0)))</f>
        <v/>
      </c>
      <c r="BM74">
        <f>IF(OR(Settings!$C$53="",Settings!$D$53=""),0,Settings!$C$53*IF(Settings!$D$53="Weekly",IF(IFERROR(MATCH(Settings!$E$53,$EO$4:$EO$10,0),0)=0,0,IF(MIN($C74,IF(Settings!$G$53="",$C74,Settings!$G$53))&lt;MAX($A74,Settings!$F$53),0,INT((MIN($C74,IF(Settings!$G$53="",$C74,Settings!$G$53))-MAX($A74,Settings!$F$53)-MOD(IFERROR(MATCH(Settings!$E$53,$EO$4:$EO$10,0),0)-WEEKDAY(MAX($A74,Settings!$F$53)),7))/7)+1)),IF(AND(IF(Settings!$E$53="",$B74,DATE(YEAR($A74),MONTH($A74),MIN(Settings!$E$53,DAY($B74))))&gt;=MAX($A74,Settings!$F$53),IF(Settings!$E$53="",$B74,DATE(YEAR($A74),MONTH($A74),MIN(Settings!$E$53,DAY($B74))))&lt;=MIN($C74,IF(Settings!$G$53="",$C74,Settings!$G$53))),1,0)))</f>
        <v/>
      </c>
      <c r="BN74">
        <f>IF(OR(Settings!$C$54="",Settings!$D$54=""),0,Settings!$C$54*IF(Settings!$D$54="Weekly",IF(IFERROR(MATCH(Settings!$E$54,$EO$4:$EO$10,0),0)=0,0,IF(MIN($C74,IF(Settings!$G$54="",$C74,Settings!$G$54))&lt;MAX($A74,Settings!$F$54),0,INT((MIN($C74,IF(Settings!$G$54="",$C74,Settings!$G$54))-MAX($A74,Settings!$F$54)-MOD(IFERROR(MATCH(Settings!$E$54,$EO$4:$EO$10,0),0)-WEEKDAY(MAX($A74,Settings!$F$54)),7))/7)+1)),IF(AND(IF(Settings!$E$54="",$B74,DATE(YEAR($A74),MONTH($A74),MIN(Settings!$E$54,DAY($B74))))&gt;=MAX($A74,Settings!$F$54),IF(Settings!$E$54="",$B74,DATE(YEAR($A74),MONTH($A74),MIN(Settings!$E$54,DAY($B74))))&lt;=MIN($C74,IF(Settings!$G$54="",$C74,Settings!$G$54))),1,0)))</f>
        <v/>
      </c>
      <c r="BO74">
        <f>IF(OR(Settings!$C$55="",Settings!$D$55=""),0,Settings!$C$55*IF(Settings!$D$55="Weekly",IF(IFERROR(MATCH(Settings!$E$55,$EO$4:$EO$10,0),0)=0,0,IF(MIN($C74,IF(Settings!$G$55="",$C74,Settings!$G$55))&lt;MAX($A74,Settings!$F$55),0,INT((MIN($C74,IF(Settings!$G$55="",$C74,Settings!$G$55))-MAX($A74,Settings!$F$55)-MOD(IFERROR(MATCH(Settings!$E$55,$EO$4:$EO$10,0),0)-WEEKDAY(MAX($A74,Settings!$F$55)),7))/7)+1)),IF(AND(IF(Settings!$E$55="",$B74,DATE(YEAR($A74),MONTH($A74),MIN(Settings!$E$55,DAY($B74))))&gt;=MAX($A74,Settings!$F$55),IF(Settings!$E$55="",$B74,DATE(YEAR($A74),MONTH($A74),MIN(Settings!$E$55,DAY($B74))))&lt;=MIN($C74,IF(Settings!$G$55="",$C74,Settings!$G$55))),1,0)))</f>
        <v/>
      </c>
      <c r="BP74">
        <f>IF(OR(Settings!$C$56="",Settings!$D$56=""),0,Settings!$C$56*IF(Settings!$D$56="Weekly",IF(IFERROR(MATCH(Settings!$E$56,$EO$4:$EO$10,0),0)=0,0,IF(MIN($C74,IF(Settings!$G$56="",$C74,Settings!$G$56))&lt;MAX($A74,Settings!$F$56),0,INT((MIN($C74,IF(Settings!$G$56="",$C74,Settings!$G$56))-MAX($A74,Settings!$F$56)-MOD(IFERROR(MATCH(Settings!$E$56,$EO$4:$EO$10,0),0)-WEEKDAY(MAX($A74,Settings!$F$56)),7))/7)+1)),IF(AND(IF(Settings!$E$56="",$B74,DATE(YEAR($A74),MONTH($A74),MIN(Settings!$E$56,DAY($B74))))&gt;=MAX($A74,Settings!$F$56),IF(Settings!$E$56="",$B74,DATE(YEAR($A74),MONTH($A74),MIN(Settings!$E$56,DAY($B74))))&lt;=MIN($C74,IF(Settings!$G$56="",$C74,Settings!$G$56))),1,0)))</f>
        <v/>
      </c>
      <c r="BQ74">
        <f>IF(OR(Settings!$B$14="",$D74=1,$E74="pre",$A74&lt;IF(Settings!$B$15="",0,Settings!$B$15)),0,Settings!$B$14)</f>
        <v/>
      </c>
      <c r="BR74">
        <f>IF(AND('Month-End'!$BS$7&lt;&gt;"",NOT(_xlfn.ISFORMULA('Month-End'!$BS$7))),1,0)</f>
        <v/>
      </c>
      <c r="BS74">
        <f>IF(AND('Month-End'!$BS$8&lt;&gt;"",NOT(_xlfn.ISFORMULA('Month-End'!$BS$8))),1,0)</f>
        <v/>
      </c>
      <c r="BT74">
        <f>IF(AND('Month-End'!$BS$9&lt;&gt;"",NOT(_xlfn.ISFORMULA('Month-End'!$BS$9))),1,0)</f>
        <v/>
      </c>
      <c r="BU74">
        <f>IF(AND('Month-End'!$BS$10&lt;&gt;"",NOT(_xlfn.ISFORMULA('Month-End'!$BS$10))),1,0)</f>
        <v/>
      </c>
      <c r="BV74">
        <f>IF(AND('Month-End'!$BS$11&lt;&gt;"",NOT(_xlfn.ISFORMULA('Month-End'!$BS$11))),1,0)</f>
        <v/>
      </c>
      <c r="BW74">
        <f>IF(AND('Month-End'!$BS$12&lt;&gt;"",NOT(_xlfn.ISFORMULA('Month-End'!$BS$12))),1,0)</f>
        <v/>
      </c>
      <c r="BX74">
        <f>IF(AND('Month-End'!$BS$13&lt;&gt;"",NOT(_xlfn.ISFORMULA('Month-End'!$BS$13))),1,0)</f>
        <v/>
      </c>
      <c r="BY74">
        <f>IF(AND('Month-End'!$BS$14&lt;&gt;"",NOT(_xlfn.ISFORMULA('Month-End'!$BS$14))),1,0)</f>
        <v/>
      </c>
      <c r="BZ74">
        <f>IF(AND('Month-End'!$BS$15&lt;&gt;"",NOT(_xlfn.ISFORMULA('Month-End'!$BS$15))),1,0)</f>
        <v/>
      </c>
      <c r="CA74">
        <f>IF(AND('Month-End'!$BS$16&lt;&gt;"",NOT(_xlfn.ISFORMULA('Month-End'!$BS$16))),1,0)</f>
        <v/>
      </c>
      <c r="CB74">
        <f>IF(AND('Month-End'!$BS$17&lt;&gt;"",NOT(_xlfn.ISFORMULA('Month-End'!$BS$17))),1,0)</f>
        <v/>
      </c>
      <c r="CC74">
        <f>IF(AND('Month-End'!$BS$18&lt;&gt;"",NOT(_xlfn.ISFORMULA('Month-End'!$BS$18))),1,0)</f>
        <v/>
      </c>
      <c r="CD74">
        <f>IF(AND('Month-End'!$BS$19&lt;&gt;"",NOT(_xlfn.ISFORMULA('Month-End'!$BS$19))),1,0)</f>
        <v/>
      </c>
      <c r="CE74">
        <f>IF(AND('Month-End'!$BS$20&lt;&gt;"",NOT(_xlfn.ISFORMULA('Month-End'!$BS$20))),1,0)</f>
        <v/>
      </c>
      <c r="CF74">
        <f>IF(AND('Month-End'!$BS$38&lt;&gt;"",NOT(_xlfn.ISFORMULA('Month-End'!$BS$38))),1,0)</f>
        <v/>
      </c>
      <c r="CG74">
        <f>IF(AND('Month-End'!$BS$39&lt;&gt;"",NOT(_xlfn.ISFORMULA('Month-End'!$BS$39))),1,0)</f>
        <v/>
      </c>
      <c r="CH74">
        <f>IF(AND('Month-End'!$BS$40&lt;&gt;"",NOT(_xlfn.ISFORMULA('Month-End'!$BS$40))),1,0)</f>
        <v/>
      </c>
      <c r="CI74">
        <f>IF(AND('Month-End'!$BS$41&lt;&gt;"",NOT(_xlfn.ISFORMULA('Month-End'!$BS$41))),1,0)</f>
        <v/>
      </c>
      <c r="CJ74">
        <f>IF(AND('Month-End'!$BS$42&lt;&gt;"",NOT(_xlfn.ISFORMULA('Month-End'!$BS$42))),1,0)</f>
        <v/>
      </c>
      <c r="CK74">
        <f>IF(AND('Month-End'!$BS$43&lt;&gt;"",NOT(_xlfn.ISFORMULA('Month-End'!$BS$43))),1,0)</f>
        <v/>
      </c>
      <c r="CL74">
        <f>SUM($CM74:$CZ74)</f>
        <v/>
      </c>
      <c r="CM74">
        <f>IF(AND($E74&lt;&gt;"pre",AND(Settings!$A$19&lt;&gt;"",Settings!$E$19&lt;&gt;"No"),Settings!$F$19="Yes",NOT(AND('Month-End'!$BS$7&lt;&gt;"",NOT(_xlfn.ISFORMULA('Month-End'!$BS$7))))),1,0)</f>
        <v/>
      </c>
      <c r="CN74">
        <f>IF(AND($E74&lt;&gt;"pre",AND(Settings!$A$20&lt;&gt;"",Settings!$E$20&lt;&gt;"No"),Settings!$F$20="Yes",NOT(AND('Month-End'!$BS$8&lt;&gt;"",NOT(_xlfn.ISFORMULA('Month-End'!$BS$8))))),1,0)</f>
        <v/>
      </c>
      <c r="CO74">
        <f>IF(AND($E74&lt;&gt;"pre",AND(Settings!$A$21&lt;&gt;"",Settings!$E$21&lt;&gt;"No"),Settings!$F$21="Yes",NOT(AND('Month-End'!$BS$9&lt;&gt;"",NOT(_xlfn.ISFORMULA('Month-End'!$BS$9))))),1,0)</f>
        <v/>
      </c>
      <c r="CP74">
        <f>IF(AND($E74&lt;&gt;"pre",AND(Settings!$A$22&lt;&gt;"",Settings!$E$22&lt;&gt;"No"),Settings!$F$22="Yes",NOT(AND('Month-End'!$BS$10&lt;&gt;"",NOT(_xlfn.ISFORMULA('Month-End'!$BS$10))))),1,0)</f>
        <v/>
      </c>
      <c r="CQ74">
        <f>IF(AND($E74&lt;&gt;"pre",AND(Settings!$A$23&lt;&gt;"",Settings!$E$23&lt;&gt;"No"),Settings!$F$23="Yes",NOT(AND('Month-End'!$BS$11&lt;&gt;"",NOT(_xlfn.ISFORMULA('Month-End'!$BS$11))))),1,0)</f>
        <v/>
      </c>
      <c r="CR74">
        <f>IF(AND($E74&lt;&gt;"pre",AND(Settings!$A$24&lt;&gt;"",Settings!$E$24&lt;&gt;"No"),Settings!$F$24="Yes",NOT(AND('Month-End'!$BS$12&lt;&gt;"",NOT(_xlfn.ISFORMULA('Month-End'!$BS$12))))),1,0)</f>
        <v/>
      </c>
      <c r="CS74">
        <f>IF(AND($E74&lt;&gt;"pre",AND(Settings!$A$25&lt;&gt;"",Settings!$E$25&lt;&gt;"No"),Settings!$F$25="Yes",NOT(AND('Month-End'!$BS$13&lt;&gt;"",NOT(_xlfn.ISFORMULA('Month-End'!$BS$13))))),1,0)</f>
        <v/>
      </c>
      <c r="CT74">
        <f>IF(AND($E74&lt;&gt;"pre",AND(Settings!$A$26&lt;&gt;"",Settings!$E$26&lt;&gt;"No"),Settings!$F$26="Yes",NOT(AND('Month-End'!$BS$14&lt;&gt;"",NOT(_xlfn.ISFORMULA('Month-End'!$BS$14))))),1,0)</f>
        <v/>
      </c>
      <c r="CU74">
        <f>IF(AND($E74&lt;&gt;"pre",AND(Settings!$A$27&lt;&gt;"",Settings!$E$27&lt;&gt;"No"),Settings!$F$27="Yes",NOT(AND('Month-End'!$BS$15&lt;&gt;"",NOT(_xlfn.ISFORMULA('Month-End'!$BS$15))))),1,0)</f>
        <v/>
      </c>
      <c r="CV74">
        <f>IF(AND($E74&lt;&gt;"pre",AND(Settings!$A$28&lt;&gt;"",Settings!$E$28&lt;&gt;"No"),Settings!$F$28="Yes",NOT(AND('Month-End'!$BS$16&lt;&gt;"",NOT(_xlfn.ISFORMULA('Month-End'!$BS$16))))),1,0)</f>
        <v/>
      </c>
      <c r="CW74">
        <f>IF(AND($E74&lt;&gt;"pre",AND(Settings!$A$29&lt;&gt;"",Settings!$E$29&lt;&gt;"No"),Settings!$F$29="Yes",NOT(AND('Month-End'!$BS$17&lt;&gt;"",NOT(_xlfn.ISFORMULA('Month-End'!$BS$17))))),1,0)</f>
        <v/>
      </c>
      <c r="CX74">
        <f>IF(AND($E74&lt;&gt;"pre",AND(Settings!$A$30&lt;&gt;"",Settings!$E$30&lt;&gt;"No"),Settings!$F$30="Yes",NOT(AND('Month-End'!$BS$18&lt;&gt;"",NOT(_xlfn.ISFORMULA('Month-End'!$BS$18))))),1,0)</f>
        <v/>
      </c>
      <c r="CY74">
        <f>IF(AND($E74&lt;&gt;"pre",AND(Settings!$A$31&lt;&gt;"",Settings!$E$31&lt;&gt;"No"),Settings!$F$31="Yes",NOT(AND('Month-End'!$BS$19&lt;&gt;"",NOT(_xlfn.ISFORMULA('Month-End'!$BS$19))))),1,0)</f>
        <v/>
      </c>
      <c r="CZ74">
        <f>IF(AND($E74&lt;&gt;"pre",AND(Settings!$A$32&lt;&gt;"",Settings!$E$32&lt;&gt;"No"),Settings!$F$32="Yes",NOT(AND('Month-End'!$BS$20&lt;&gt;"",NOT(_xlfn.ISFORMULA('Month-End'!$BS$20))))),1,0)</f>
        <v/>
      </c>
      <c r="DA74">
        <f>IF($DT74=1,IF(OR(Settings!$B$19="Checking",Settings!$B$19="Savings",Settings!$B$19="Cash"),N($AE74),IF(OR(Settings!$B$19="Card",Settings!$B$19="Loan"),-N($AE74),0))+IF(OR(Settings!$B$20="Checking",Settings!$B$20="Savings",Settings!$B$20="Cash"),N($AF74),IF(OR(Settings!$B$20="Card",Settings!$B$20="Loan"),-N($AF74),0))+IF(OR(Settings!$B$21="Checking",Settings!$B$21="Savings",Settings!$B$21="Cash"),N($AG74),IF(OR(Settings!$B$21="Card",Settings!$B$21="Loan"),-N($AG74),0))+IF(OR(Settings!$B$22="Checking",Settings!$B$22="Savings",Settings!$B$22="Cash"),N($AH74),IF(OR(Settings!$B$22="Card",Settings!$B$22="Loan"),-N($AH74),0))+IF(OR(Settings!$B$23="Checking",Settings!$B$23="Savings",Settings!$B$23="Cash"),N($AI74),IF(OR(Settings!$B$23="Card",Settings!$B$23="Loan"),-N($AI74),0))+IF(OR(Settings!$B$24="Checking",Settings!$B$24="Savings",Settings!$B$24="Cash"),N($AJ74),IF(OR(Settings!$B$24="Card",Settings!$B$24="Loan"),-N($AJ74),0))+IF(OR(Settings!$B$25="Checking",Settings!$B$25="Savings",Settings!$B$25="Cash"),N($AK74),IF(OR(Settings!$B$25="Card",Settings!$B$25="Loan"),-N($AK74),0))+IF(OR(Settings!$B$26="Checking",Settings!$B$26="Savings",Settings!$B$26="Cash"),N($AL74),IF(OR(Settings!$B$26="Card",Settings!$B$26="Loan"),-N($AL74),0))+IF(OR(Settings!$B$27="Checking",Settings!$B$27="Savings",Settings!$B$27="Cash"),N($AM74),IF(OR(Settings!$B$27="Card",Settings!$B$27="Loan"),-N($AM74),0))+IF(OR(Settings!$B$28="Checking",Settings!$B$28="Savings",Settings!$B$28="Cash"),N($AN74),IF(OR(Settings!$B$28="Card",Settings!$B$28="Loan"),-N($AN74),0))+IF(OR(Settings!$B$29="Checking",Settings!$B$29="Savings",Settings!$B$29="Cash"),N($AO74),IF(OR(Settings!$B$29="Card",Settings!$B$29="Loan"),-N($AO74),0))+IF(OR(Settings!$B$30="Checking",Settings!$B$30="Savings",Settings!$B$30="Cash"),N($AP74),IF(OR(Settings!$B$30="Card",Settings!$B$30="Loan"),-N($AP74),0))+IF(OR(Settings!$B$31="Checking",Settings!$B$31="Savings",Settings!$B$31="Cash"),N($AQ74),IF(OR(Settings!$B$31="Card",Settings!$B$31="Loan"),-N($AQ74),0))+IF(OR(Settings!$B$32="Checking",Settings!$B$32="Savings",Settings!$B$32="Cash"),N($AR74),IF(OR(Settings!$B$32="Card",Settings!$B$32="Loan"),-N($AR74),0)),"")</f>
        <v/>
      </c>
      <c r="DB74">
        <f>IF($E74="open",$EB$27,IF($E74="post",IF($E73="pre",$EB$27,$DA73),""))</f>
        <v/>
      </c>
      <c r="DC74">
        <f>IF($E74="open",1,IF($E74="post",IF($E73="pre",1,$DT73),0))</f>
        <v/>
      </c>
      <c r="DD74">
        <f>IF(AND($DT74=1,$DC74=1),ROUND($W74-($DA74-$DB74)-$AD74-$AB74,2),"")</f>
        <v/>
      </c>
      <c r="DE74">
        <f>IF('Month-End'!$BS$35="",$BQ74,N('Month-End'!$BS$35))</f>
        <v/>
      </c>
      <c r="DF74">
        <f>N('Month-End'!$BS$36)</f>
        <v/>
      </c>
      <c r="DG74">
        <f>IF($DD74="","",$DD74+$DE74)</f>
        <v/>
      </c>
      <c r="DH74">
        <f>IF($DG74="","",$DG74-$DF74)</f>
        <v/>
      </c>
      <c r="DI74">
        <f>IF(OR($E74="pre",$D74=1),"",N($AS74)+N($AT74)+N($AU74)+N($AV74)+N($AW74)+N($AX74))</f>
        <v/>
      </c>
      <c r="DJ74">
        <f>IF($DT74=1,$DA74+N($DI74),"")</f>
        <v/>
      </c>
      <c r="DK74">
        <f>IF($DD74="","",$W74-$DD74-$AB74)</f>
        <v/>
      </c>
      <c r="DL74">
        <f>IF(AND($E74="post",$DD74&lt;&gt;"",$B74&lt;TODAY()),1,0)</f>
        <v/>
      </c>
      <c r="DM74">
        <f>IF($DL74=1,COUNTIF($DL74:$DL$183,1),0)</f>
        <v/>
      </c>
      <c r="DN74">
        <f>IF($D74=1,"",IF($E74="pre","History only",IF($DT74=1,IF($DD74="","⚠ Previous month missing",IF($DD74&lt;0,"⚠ Check: spending &lt; 0",IF($E74="open","✓ Done (partial)","✓ Done"))),IF($B74&gt;=TODAY(),"In progress","⚠ Needs balances"))))</f>
        <v/>
      </c>
      <c r="DO74">
        <f>YEAR($A74)</f>
        <v/>
      </c>
      <c r="DP74">
        <f>DATE(YEAR($A74),INT((MONTH($A74)-1)/3)*3+1,1)</f>
        <v/>
      </c>
      <c r="DQ74">
        <f>IF(AND($DT74=1,$DD74&lt;&gt;"",$D74=0),ROW(),0)</f>
        <v/>
      </c>
      <c r="DR74">
        <f>IF(AND($E74&lt;&gt;"pre",$B74&lt;TODAY(),$DT74=0),1,0)</f>
        <v/>
      </c>
      <c r="DS74">
        <f>IF($DJ74="",NA(),$DJ74)</f>
        <v/>
      </c>
      <c r="DT74">
        <f>IF(AND($E74&lt;&gt;"pre",$CL74=0,COUNTIFS(Settings!$F$19:$F$32,"Yes",Settings!$A$19:$A$32,"&lt;&gt;",Settings!$E$19:$E$32,"&lt;&gt;No")&gt;0),1,0)</f>
        <v/>
      </c>
      <c r="DU74">
        <f>IF(AND($B74&lt;TODAY(),$S74&gt;0),1,0)</f>
        <v/>
      </c>
      <c r="DV74">
        <f>IF($DU74=1,COUNTIF($DU74:$DU$183,1),0)</f>
        <v/>
      </c>
      <c r="DW74">
        <f>IF(AND(OR(Settings!$B$19="Card",Settings!$B$19="Loan"),AND('Month-End'!$BS$7&lt;&gt;"",NOT(_xlfn.ISFORMULA('Month-End'!$BS$7)))),IF(N('Month-End'!$BS$7)&lt;0,1,0),0)+IF(AND(OR(Settings!$B$20="Card",Settings!$B$20="Loan"),AND('Month-End'!$BS$8&lt;&gt;"",NOT(_xlfn.ISFORMULA('Month-End'!$BS$8)))),IF(N('Month-End'!$BS$8)&lt;0,1,0),0)+IF(AND(OR(Settings!$B$21="Card",Settings!$B$21="Loan"),AND('Month-End'!$BS$9&lt;&gt;"",NOT(_xlfn.ISFORMULA('Month-End'!$BS$9)))),IF(N('Month-End'!$BS$9)&lt;0,1,0),0)+IF(AND(OR(Settings!$B$22="Card",Settings!$B$22="Loan"),AND('Month-End'!$BS$10&lt;&gt;"",NOT(_xlfn.ISFORMULA('Month-End'!$BS$10)))),IF(N('Month-End'!$BS$10)&lt;0,1,0),0)+IF(AND(OR(Settings!$B$23="Card",Settings!$B$23="Loan"),AND('Month-End'!$BS$11&lt;&gt;"",NOT(_xlfn.ISFORMULA('Month-End'!$BS$11)))),IF(N('Month-End'!$BS$11)&lt;0,1,0),0)+IF(AND(OR(Settings!$B$24="Card",Settings!$B$24="Loan"),AND('Month-End'!$BS$12&lt;&gt;"",NOT(_xlfn.ISFORMULA('Month-End'!$BS$12)))),IF(N('Month-End'!$BS$12)&lt;0,1,0),0)+IF(AND(OR(Settings!$B$25="Card",Settings!$B$25="Loan"),AND('Month-End'!$BS$13&lt;&gt;"",NOT(_xlfn.ISFORMULA('Month-End'!$BS$13)))),IF(N('Month-End'!$BS$13)&lt;0,1,0),0)+IF(AND(OR(Settings!$B$26="Card",Settings!$B$26="Loan"),AND('Month-End'!$BS$14&lt;&gt;"",NOT(_xlfn.ISFORMULA('Month-End'!$BS$14)))),IF(N('Month-End'!$BS$14)&lt;0,1,0),0)+IF(AND(OR(Settings!$B$27="Card",Settings!$B$27="Loan"),AND('Month-End'!$BS$15&lt;&gt;"",NOT(_xlfn.ISFORMULA('Month-End'!$BS$15)))),IF(N('Month-End'!$BS$15)&lt;0,1,0),0)+IF(AND(OR(Settings!$B$28="Card",Settings!$B$28="Loan"),AND('Month-End'!$BS$16&lt;&gt;"",NOT(_xlfn.ISFORMULA('Month-End'!$BS$16)))),IF(N('Month-End'!$BS$16)&lt;0,1,0),0)+IF(AND(OR(Settings!$B$29="Card",Settings!$B$29="Loan"),AND('Month-End'!$BS$17&lt;&gt;"",NOT(_xlfn.ISFORMULA('Month-End'!$BS$17)))),IF(N('Month-End'!$BS$17)&lt;0,1,0),0)+IF(AND(OR(Settings!$B$30="Card",Settings!$B$30="Loan"),AND('Month-End'!$BS$18&lt;&gt;"",NOT(_xlfn.ISFORMULA('Month-End'!$BS$18)))),IF(N('Month-End'!$BS$18)&lt;0,1,0),0)+IF(AND(OR(Settings!$B$31="Card",Settings!$B$31="Loan"),AND('Month-End'!$BS$19&lt;&gt;"",NOT(_xlfn.ISFORMULA('Month-End'!$BS$19)))),IF(N('Month-End'!$BS$19)&lt;0,1,0),0)+IF(AND(OR(Settings!$B$32="Card",Settings!$B$32="Loan"),AND('Month-End'!$BS$20&lt;&gt;"",NOT(_xlfn.ISFORMULA('Month-End'!$BS$20)))),IF(N('Month-End'!$BS$20)&lt;0,1,0),0)</f>
        <v/>
      </c>
      <c r="DX74">
        <f>IF(Settings!$B$36="Retirement",$AY74,0)+IF(Settings!$B$37="Retirement",$AZ74,0)+IF(Settings!$B$38="Retirement",$BA74,0)+IF(Settings!$B$39="Retirement",$BB74,0)+IF(Settings!$B$40="Retirement",$BC74,0)+IF(Settings!$B$41="Retirement",$BD74,0)</f>
        <v/>
      </c>
      <c r="EA74">
        <f>IF(Settings!$A$73="","",Settings!$A$73)</f>
        <v/>
      </c>
      <c r="EB74">
        <f>IF(Settings!$D$73="",0,IF(Settings!$D$73="Specific Account",IFERROR(INDEX($EB$40:$EB$59,MATCH(Settings!$F$73,$EA$40:$EA$59,0)),0),IFERROR(INDEX($EB$6:$EB$26,MATCH(Settings!$D$73,$EA$6:$EA$26,0)),0)))</f>
        <v/>
      </c>
      <c r="EC74">
        <f>IF(Settings!$A$73="","",IF(Settings!$B$73="Tithe Balance",$EB$23,IF(Settings!$E$73="Specific Account",IFERROR(INDEX($EB$40:$EB$59,MATCH(Settings!$F$73,$EA$40:$EA$59,0)),0),IFERROR(INDEX($EB$6:$EB$26,MATCH(Settings!$E$73,$EA$6:$EA$26,0)),0))))</f>
        <v/>
      </c>
      <c r="ED74">
        <f>IF(Settings!$A$73="","",IF(Settings!$B$73="Percentage",EB74*N(Settings!$C$73)/100,IF(Settings!$B$73="Multiple",EB74*N(Settings!$C$73),IF(Settings!$B$73="Tithe Balance",$EB$22,N(Settings!$C$73)))))</f>
        <v/>
      </c>
      <c r="EE74">
        <f>IF(Settings!$A$73="","",IF(Settings!$B$73="Pay Down To",MAX(0,EC74-ED74),MAX(0,ED74-EC74)))</f>
        <v/>
      </c>
      <c r="EF74">
        <f>IF(Settings!$A$73="","",IF(Settings!$B$73="Pay Down To",IF(EC74&lt;=ED74,"Met","Above target"),IF(EC74&gt;=ED74-0.005,"Met","Remaining")))</f>
        <v/>
      </c>
      <c r="EG74">
        <f>IF(Settings!$A$73="","",IF(Settings!$B$73="Pay Down To",IF(EC74&lt;=0,1,MIN(1,ED74/EC74)),IF(ED74&lt;=0,1,EC74/ED74)))</f>
        <v/>
      </c>
      <c r="EH74">
        <f>IF(OR(Settings!$A$73="",EE74&lt;=0),"",IF(Settings!$B$73="Save By Date",IF(Settings!$G$73="","Set a target date","Need "&amp;TEXT(EE74/MAX(1,(YEAR(Settings!$G$73)-YEAR(TODAY()))*12+MONTH(Settings!$G$73)-MONTH(TODAY())+1),"$#,##0")&amp;"/mo to "&amp;TEXT(Settings!$G$73,"mmm yyyy")),IF(Settings!$B$73="Annual Contribution","Need "&amp;TEXT(EE74/MAX(1,12-MONTH(TODAY())+1),"$#,##0")&amp;"/mo rest of year",IF(Settings!$B$73="Tithe Balance","This quarter",""))))</f>
        <v/>
      </c>
      <c r="ET74">
        <f>IF($E74&lt;&gt;"open",0,IF(AND('Month-End'!$BS$22&lt;&gt;"",NOT(_xlfn.ISFORMULA('Month-End'!$BS$22))),0,IF(OR(Settings!$C$45="",Settings!$D$45=""),0,Settings!$C$45*IF(Settings!$D$45="Weekly",IF(IFERROR(MATCH(Settings!$E$45,$EO$4:$EO$10,0),0)=0,0,IF(MIN(Settings!$B$5,IF(Settings!$G$45="",Settings!$B$5,Settings!$G$45))&lt;MAX($A74,Settings!$F$45),0,INT((MIN(Settings!$B$5,IF(Settings!$G$45="",Settings!$B$5,Settings!$G$45))-MAX($A74,Settings!$F$45)-MOD(IFERROR(MATCH(Settings!$E$45,$EO$4:$EO$10,0),0)-WEEKDAY(MAX($A74,Settings!$F$45)),7))/7)+1)),IF(AND(IF(Settings!$E$45="",$B74,DATE(YEAR($A74),MONTH($A74),MIN(Settings!$E$45,DAY($B74))))&gt;=MAX($A74,Settings!$F$45),IF(Settings!$E$45="",$B74,DATE(YEAR($A74),MONTH($A74),MIN(Settings!$E$45,DAY($B74))))&lt;=MIN(Settings!$B$5,IF(Settings!$G$45="",Settings!$B$5,Settings!$G$45))),1,0)))))</f>
        <v/>
      </c>
      <c r="EU74">
        <f>IF($E74&lt;&gt;"open",0,IF(AND('Month-End'!$BS$23&lt;&gt;"",NOT(_xlfn.ISFORMULA('Month-End'!$BS$23))),0,IF(OR(Settings!$C$46="",Settings!$D$46=""),0,Settings!$C$46*IF(Settings!$D$46="Weekly",IF(IFERROR(MATCH(Settings!$E$46,$EO$4:$EO$10,0),0)=0,0,IF(MIN(Settings!$B$5,IF(Settings!$G$46="",Settings!$B$5,Settings!$G$46))&lt;MAX($A74,Settings!$F$46),0,INT((MIN(Settings!$B$5,IF(Settings!$G$46="",Settings!$B$5,Settings!$G$46))-MAX($A74,Settings!$F$46)-MOD(IFERROR(MATCH(Settings!$E$46,$EO$4:$EO$10,0),0)-WEEKDAY(MAX($A74,Settings!$F$46)),7))/7)+1)),IF(AND(IF(Settings!$E$46="",$B74,DATE(YEAR($A74),MONTH($A74),MIN(Settings!$E$46,DAY($B74))))&gt;=MAX($A74,Settings!$F$46),IF(Settings!$E$46="",$B74,DATE(YEAR($A74),MONTH($A74),MIN(Settings!$E$46,DAY($B74))))&lt;=MIN(Settings!$B$5,IF(Settings!$G$46="",Settings!$B$5,Settings!$G$46))),1,0)))))</f>
        <v/>
      </c>
      <c r="EV74">
        <f>IF($E74&lt;&gt;"open",0,IF(AND('Month-End'!$BS$24&lt;&gt;"",NOT(_xlfn.ISFORMULA('Month-End'!$BS$24))),0,IF(OR(Settings!$C$47="",Settings!$D$47=""),0,Settings!$C$47*IF(Settings!$D$47="Weekly",IF(IFERROR(MATCH(Settings!$E$47,$EO$4:$EO$10,0),0)=0,0,IF(MIN(Settings!$B$5,IF(Settings!$G$47="",Settings!$B$5,Settings!$G$47))&lt;MAX($A74,Settings!$F$47),0,INT((MIN(Settings!$B$5,IF(Settings!$G$47="",Settings!$B$5,Settings!$G$47))-MAX($A74,Settings!$F$47)-MOD(IFERROR(MATCH(Settings!$E$47,$EO$4:$EO$10,0),0)-WEEKDAY(MAX($A74,Settings!$F$47)),7))/7)+1)),IF(AND(IF(Settings!$E$47="",$B74,DATE(YEAR($A74),MONTH($A74),MIN(Settings!$E$47,DAY($B74))))&gt;=MAX($A74,Settings!$F$47),IF(Settings!$E$47="",$B74,DATE(YEAR($A74),MONTH($A74),MIN(Settings!$E$47,DAY($B74))))&lt;=MIN(Settings!$B$5,IF(Settings!$G$47="",Settings!$B$5,Settings!$G$47))),1,0)))))</f>
        <v/>
      </c>
      <c r="EW74">
        <f>IF($E74&lt;&gt;"open",0,IF(AND('Month-End'!$BS$25&lt;&gt;"",NOT(_xlfn.ISFORMULA('Month-End'!$BS$25))),0,IF(OR(Settings!$C$48="",Settings!$D$48=""),0,Settings!$C$48*IF(Settings!$D$48="Weekly",IF(IFERROR(MATCH(Settings!$E$48,$EO$4:$EO$10,0),0)=0,0,IF(MIN(Settings!$B$5,IF(Settings!$G$48="",Settings!$B$5,Settings!$G$48))&lt;MAX($A74,Settings!$F$48),0,INT((MIN(Settings!$B$5,IF(Settings!$G$48="",Settings!$B$5,Settings!$G$48))-MAX($A74,Settings!$F$48)-MOD(IFERROR(MATCH(Settings!$E$48,$EO$4:$EO$10,0),0)-WEEKDAY(MAX($A74,Settings!$F$48)),7))/7)+1)),IF(AND(IF(Settings!$E$48="",$B74,DATE(YEAR($A74),MONTH($A74),MIN(Settings!$E$48,DAY($B74))))&gt;=MAX($A74,Settings!$F$48),IF(Settings!$E$48="",$B74,DATE(YEAR($A74),MONTH($A74),MIN(Settings!$E$48,DAY($B74))))&lt;=MIN(Settings!$B$5,IF(Settings!$G$48="",Settings!$B$5,Settings!$G$48))),1,0)))))</f>
        <v/>
      </c>
      <c r="EX74">
        <f>IF($E74&lt;&gt;"open",0,IF(AND('Month-End'!$BS$26&lt;&gt;"",NOT(_xlfn.ISFORMULA('Month-End'!$BS$26))),0,IF(OR(Settings!$C$49="",Settings!$D$49=""),0,Settings!$C$49*IF(Settings!$D$49="Weekly",IF(IFERROR(MATCH(Settings!$E$49,$EO$4:$EO$10,0),0)=0,0,IF(MIN(Settings!$B$5,IF(Settings!$G$49="",Settings!$B$5,Settings!$G$49))&lt;MAX($A74,Settings!$F$49),0,INT((MIN(Settings!$B$5,IF(Settings!$G$49="",Settings!$B$5,Settings!$G$49))-MAX($A74,Settings!$F$49)-MOD(IFERROR(MATCH(Settings!$E$49,$EO$4:$EO$10,0),0)-WEEKDAY(MAX($A74,Settings!$F$49)),7))/7)+1)),IF(AND(IF(Settings!$E$49="",$B74,DATE(YEAR($A74),MONTH($A74),MIN(Settings!$E$49,DAY($B74))))&gt;=MAX($A74,Settings!$F$49),IF(Settings!$E$49="",$B74,DATE(YEAR($A74),MONTH($A74),MIN(Settings!$E$49,DAY($B74))))&lt;=MIN(Settings!$B$5,IF(Settings!$G$49="",Settings!$B$5,Settings!$G$49))),1,0)))))</f>
        <v/>
      </c>
      <c r="EY74">
        <f>IF($E74&lt;&gt;"open",0,IF(AND('Month-End'!$BS$27&lt;&gt;"",NOT(_xlfn.ISFORMULA('Month-End'!$BS$27))),0,IF(OR(Settings!$C$50="",Settings!$D$50=""),0,Settings!$C$50*IF(Settings!$D$50="Weekly",IF(IFERROR(MATCH(Settings!$E$50,$EO$4:$EO$10,0),0)=0,0,IF(MIN(Settings!$B$5,IF(Settings!$G$50="",Settings!$B$5,Settings!$G$50))&lt;MAX($A74,Settings!$F$50),0,INT((MIN(Settings!$B$5,IF(Settings!$G$50="",Settings!$B$5,Settings!$G$50))-MAX($A74,Settings!$F$50)-MOD(IFERROR(MATCH(Settings!$E$50,$EO$4:$EO$10,0),0)-WEEKDAY(MAX($A74,Settings!$F$50)),7))/7)+1)),IF(AND(IF(Settings!$E$50="",$B74,DATE(YEAR($A74),MONTH($A74),MIN(Settings!$E$50,DAY($B74))))&gt;=MAX($A74,Settings!$F$50),IF(Settings!$E$50="",$B74,DATE(YEAR($A74),MONTH($A74),MIN(Settings!$E$50,DAY($B74))))&lt;=MIN(Settings!$B$5,IF(Settings!$G$50="",Settings!$B$5,Settings!$G$50))),1,0)))))</f>
        <v/>
      </c>
      <c r="EZ74">
        <f>IF($E74&lt;&gt;"open",0,IF(AND('Month-End'!$BS$28&lt;&gt;"",NOT(_xlfn.ISFORMULA('Month-End'!$BS$28))),0,IF(OR(Settings!$C$51="",Settings!$D$51=""),0,Settings!$C$51*IF(Settings!$D$51="Weekly",IF(IFERROR(MATCH(Settings!$E$51,$EO$4:$EO$10,0),0)=0,0,IF(MIN(Settings!$B$5,IF(Settings!$G$51="",Settings!$B$5,Settings!$G$51))&lt;MAX($A74,Settings!$F$51),0,INT((MIN(Settings!$B$5,IF(Settings!$G$51="",Settings!$B$5,Settings!$G$51))-MAX($A74,Settings!$F$51)-MOD(IFERROR(MATCH(Settings!$E$51,$EO$4:$EO$10,0),0)-WEEKDAY(MAX($A74,Settings!$F$51)),7))/7)+1)),IF(AND(IF(Settings!$E$51="",$B74,DATE(YEAR($A74),MONTH($A74),MIN(Settings!$E$51,DAY($B74))))&gt;=MAX($A74,Settings!$F$51),IF(Settings!$E$51="",$B74,DATE(YEAR($A74),MONTH($A74),MIN(Settings!$E$51,DAY($B74))))&lt;=MIN(Settings!$B$5,IF(Settings!$G$51="",Settings!$B$5,Settings!$G$51))),1,0)))))</f>
        <v/>
      </c>
      <c r="FA74">
        <f>IF($E74&lt;&gt;"open",0,IF(AND('Month-End'!$BS$29&lt;&gt;"",NOT(_xlfn.ISFORMULA('Month-End'!$BS$29))),0,IF(OR(Settings!$C$52="",Settings!$D$52=""),0,Settings!$C$52*IF(Settings!$D$52="Weekly",IF(IFERROR(MATCH(Settings!$E$52,$EO$4:$EO$10,0),0)=0,0,IF(MIN(Settings!$B$5,IF(Settings!$G$52="",Settings!$B$5,Settings!$G$52))&lt;MAX($A74,Settings!$F$52),0,INT((MIN(Settings!$B$5,IF(Settings!$G$52="",Settings!$B$5,Settings!$G$52))-MAX($A74,Settings!$F$52)-MOD(IFERROR(MATCH(Settings!$E$52,$EO$4:$EO$10,0),0)-WEEKDAY(MAX($A74,Settings!$F$52)),7))/7)+1)),IF(AND(IF(Settings!$E$52="",$B74,DATE(YEAR($A74),MONTH($A74),MIN(Settings!$E$52,DAY($B74))))&gt;=MAX($A74,Settings!$F$52),IF(Settings!$E$52="",$B74,DATE(YEAR($A74),MONTH($A74),MIN(Settings!$E$52,DAY($B74))))&lt;=MIN(Settings!$B$5,IF(Settings!$G$52="",Settings!$B$5,Settings!$G$52))),1,0)))))</f>
        <v/>
      </c>
      <c r="FB74">
        <f>IF($E74&lt;&gt;"open",0,IF(AND('Month-End'!$BS$30&lt;&gt;"",NOT(_xlfn.ISFORMULA('Month-End'!$BS$30))),0,IF(OR(Settings!$C$53="",Settings!$D$53=""),0,Settings!$C$53*IF(Settings!$D$53="Weekly",IF(IFERROR(MATCH(Settings!$E$53,$EO$4:$EO$10,0),0)=0,0,IF(MIN(Settings!$B$5,IF(Settings!$G$53="",Settings!$B$5,Settings!$G$53))&lt;MAX($A74,Settings!$F$53),0,INT((MIN(Settings!$B$5,IF(Settings!$G$53="",Settings!$B$5,Settings!$G$53))-MAX($A74,Settings!$F$53)-MOD(IFERROR(MATCH(Settings!$E$53,$EO$4:$EO$10,0),0)-WEEKDAY(MAX($A74,Settings!$F$53)),7))/7)+1)),IF(AND(IF(Settings!$E$53="",$B74,DATE(YEAR($A74),MONTH($A74),MIN(Settings!$E$53,DAY($B74))))&gt;=MAX($A74,Settings!$F$53),IF(Settings!$E$53="",$B74,DATE(YEAR($A74),MONTH($A74),MIN(Settings!$E$53,DAY($B74))))&lt;=MIN(Settings!$B$5,IF(Settings!$G$53="",Settings!$B$5,Settings!$G$53))),1,0)))))</f>
        <v/>
      </c>
      <c r="FC74">
        <f>IF($E74&lt;&gt;"open",0,IF(AND('Month-End'!$BS$31&lt;&gt;"",NOT(_xlfn.ISFORMULA('Month-End'!$BS$31))),0,IF(OR(Settings!$C$54="",Settings!$D$54=""),0,Settings!$C$54*IF(Settings!$D$54="Weekly",IF(IFERROR(MATCH(Settings!$E$54,$EO$4:$EO$10,0),0)=0,0,IF(MIN(Settings!$B$5,IF(Settings!$G$54="",Settings!$B$5,Settings!$G$54))&lt;MAX($A74,Settings!$F$54),0,INT((MIN(Settings!$B$5,IF(Settings!$G$54="",Settings!$B$5,Settings!$G$54))-MAX($A74,Settings!$F$54)-MOD(IFERROR(MATCH(Settings!$E$54,$EO$4:$EO$10,0),0)-WEEKDAY(MAX($A74,Settings!$F$54)),7))/7)+1)),IF(AND(IF(Settings!$E$54="",$B74,DATE(YEAR($A74),MONTH($A74),MIN(Settings!$E$54,DAY($B74))))&gt;=MAX($A74,Settings!$F$54),IF(Settings!$E$54="",$B74,DATE(YEAR($A74),MONTH($A74),MIN(Settings!$E$54,DAY($B74))))&lt;=MIN(Settings!$B$5,IF(Settings!$G$54="",Settings!$B$5,Settings!$G$54))),1,0)))))</f>
        <v/>
      </c>
      <c r="FD74">
        <f>IF($E74&lt;&gt;"open",0,IF(AND('Month-End'!$BS$32&lt;&gt;"",NOT(_xlfn.ISFORMULA('Month-End'!$BS$32))),0,IF(OR(Settings!$C$55="",Settings!$D$55=""),0,Settings!$C$55*IF(Settings!$D$55="Weekly",IF(IFERROR(MATCH(Settings!$E$55,$EO$4:$EO$10,0),0)=0,0,IF(MIN(Settings!$B$5,IF(Settings!$G$55="",Settings!$B$5,Settings!$G$55))&lt;MAX($A74,Settings!$F$55),0,INT((MIN(Settings!$B$5,IF(Settings!$G$55="",Settings!$B$5,Settings!$G$55))-MAX($A74,Settings!$F$55)-MOD(IFERROR(MATCH(Settings!$E$55,$EO$4:$EO$10,0),0)-WEEKDAY(MAX($A74,Settings!$F$55)),7))/7)+1)),IF(AND(IF(Settings!$E$55="",$B74,DATE(YEAR($A74),MONTH($A74),MIN(Settings!$E$55,DAY($B74))))&gt;=MAX($A74,Settings!$F$55),IF(Settings!$E$55="",$B74,DATE(YEAR($A74),MONTH($A74),MIN(Settings!$E$55,DAY($B74))))&lt;=MIN(Settings!$B$5,IF(Settings!$G$55="",Settings!$B$5,Settings!$G$55))),1,0)))))</f>
        <v/>
      </c>
      <c r="FE74">
        <f>IF($E74&lt;&gt;"open",0,IF(AND('Month-End'!$BS$33&lt;&gt;"",NOT(_xlfn.ISFORMULA('Month-End'!$BS$33))),0,IF(OR(Settings!$C$56="",Settings!$D$56=""),0,Settings!$C$56*IF(Settings!$D$56="Weekly",IF(IFERROR(MATCH(Settings!$E$56,$EO$4:$EO$10,0),0)=0,0,IF(MIN(Settings!$B$5,IF(Settings!$G$56="",Settings!$B$5,Settings!$G$56))&lt;MAX($A74,Settings!$F$56),0,INT((MIN(Settings!$B$5,IF(Settings!$G$56="",Settings!$B$5,Settings!$G$56))-MAX($A74,Settings!$F$56)-MOD(IFERROR(MATCH(Settings!$E$56,$EO$4:$EO$10,0),0)-WEEKDAY(MAX($A74,Settings!$F$56)),7))/7)+1)),IF(AND(IF(Settings!$E$56="",$B74,DATE(YEAR($A74),MONTH($A74),MIN(Settings!$E$56,DAY($B74))))&gt;=MAX($A74,Settings!$F$56),IF(Settings!$E$56="",$B74,DATE(YEAR($A74),MONTH($A74),MIN(Settings!$E$56,DAY($B74))))&lt;=MIN(Settings!$B$5,IF(Settings!$G$56="",Settings!$B$5,Settings!$G$56))),1,0)))))</f>
        <v/>
      </c>
      <c r="FF74">
        <f>IF(Settings!$I$45="Yes",$G74,0)+IF(Settings!$I$46="Yes",$H74,0)+IF(Settings!$I$47="Yes",$I74,0)+IF(Settings!$I$48="Yes",$J74,0)+IF(Settings!$I$49="Yes",$K74,0)+IF(Settings!$I$50="Yes",$L74,0)+IF(Settings!$I$51="Yes",$M74,0)+IF(Settings!$I$52="Yes",$N74,0)+IF(Settings!$I$53="Yes",$O74,0)+IF(Settings!$I$54="Yes",$P74,0)+IF(Settings!$I$55="Yes",$Q74,0)+IF(Settings!$I$56="Yes",$R74,0)</f>
        <v/>
      </c>
      <c r="FG74">
        <f>IF(AND(Settings!$I$45="Yes",Settings!$J$45="No"),$G74,0)+IF(AND(Settings!$I$46="Yes",Settings!$J$46="No"),$H74,0)+IF(AND(Settings!$I$47="Yes",Settings!$J$47="No"),$I74,0)+IF(AND(Settings!$I$48="Yes",Settings!$J$48="No"),$J74,0)+IF(AND(Settings!$I$49="Yes",Settings!$J$49="No"),$K74,0)+IF(AND(Settings!$I$50="Yes",Settings!$J$50="No"),$L74,0)+IF(AND(Settings!$I$51="Yes",Settings!$J$51="No"),$M74,0)+IF(AND(Settings!$I$52="Yes",Settings!$J$52="No"),$N74,0)+IF(AND(Settings!$I$53="Yes",Settings!$J$53="No"),$O74,0)+IF(AND(Settings!$I$54="Yes",Settings!$J$54="No"),$P74,0)+IF(AND(Settings!$I$55="Yes",Settings!$J$55="No"),$Q74,0)+IF(AND(Settings!$I$56="Yes",Settings!$J$56="No"),$R74,0)</f>
        <v/>
      </c>
      <c r="FH74">
        <f>SUMIFS(Giving!$B$7:$B$2006,Giving!$A$7:$A$2006,"&gt;="&amp;$A74,Giving!$A$7:$A$2006,"&lt;="&amp;$B74,Giving!$G$7:$G$2006,"Yes")+IF(OR(OR(Settings!$B$60="",Settings!$F$60="No"),Settings!$H$60&lt;&gt;"Yes"),0,Settings!$B$60*IF(AND(IF(Settings!$C$60="",$B74,DATE(YEAR($A74),MONTH($A74),MIN(Settings!$C$60,DAY($B74))))&gt;=MAX($A74,Settings!$D$60),IF(Settings!$C$60="",$B74,DATE(YEAR($A74),MONTH($A74),MIN(Settings!$C$60,DAY($B74))))&lt;=MIN($C74,IF(Settings!$E$60="",$C74,Settings!$E$60))),1,0))+IF(OR(OR(Settings!$B$61="",Settings!$F$61="No"),Settings!$H$61&lt;&gt;"Yes"),0,Settings!$B$61*IF(AND(IF(Settings!$C$61="",$B74,DATE(YEAR($A74),MONTH($A74),MIN(Settings!$C$61,DAY($B74))))&gt;=MAX($A74,Settings!$D$61),IF(Settings!$C$61="",$B74,DATE(YEAR($A74),MONTH($A74),MIN(Settings!$C$61,DAY($B74))))&lt;=MIN($C74,IF(Settings!$E$61="",$C74,Settings!$E$61))),1,0))+IF(OR(OR(Settings!$B$62="",Settings!$F$62="No"),Settings!$H$62&lt;&gt;"Yes"),0,Settings!$B$62*IF(AND(IF(Settings!$C$62="",$B74,DATE(YEAR($A74),MONTH($A74),MIN(Settings!$C$62,DAY($B74))))&gt;=MAX($A74,Settings!$D$62),IF(Settings!$C$62="",$B74,DATE(YEAR($A74),MONTH($A74),MIN(Settings!$C$62,DAY($B74))))&lt;=MIN($C74,IF(Settings!$E$62="",$C74,Settings!$E$62))),1,0))+IF(OR(OR(Settings!$B$63="",Settings!$F$63="No"),Settings!$H$63&lt;&gt;"Yes"),0,Settings!$B$63*IF(AND(IF(Settings!$C$63="",$B74,DATE(YEAR($A74),MONTH($A74),MIN(Settings!$C$63,DAY($B74))))&gt;=MAX($A74,Settings!$D$63),IF(Settings!$C$63="",$B74,DATE(YEAR($A74),MONTH($A74),MIN(Settings!$C$63,DAY($B74))))&lt;=MIN($C74,IF(Settings!$E$63="",$C74,Settings!$E$63))),1,0))+IF(OR(OR(Settings!$B$64="",Settings!$F$64="No"),Settings!$H$64&lt;&gt;"Yes"),0,Settings!$B$64*IF(AND(IF(Settings!$C$64="",$B74,DATE(YEAR($A74),MONTH($A74),MIN(Settings!$C$64,DAY($B74))))&gt;=MAX($A74,Settings!$D$64),IF(Settings!$C$64="",$B74,DATE(YEAR($A74),MONTH($A74),MIN(Settings!$C$64,DAY($B74))))&lt;=MIN($C74,IF(Settings!$E$64="",$C74,Settings!$E$64))),1,0))+IF(OR(OR(Settings!$B$65="",Settings!$F$65="No"),Settings!$H$65&lt;&gt;"Yes"),0,Settings!$B$65*IF(AND(IF(Settings!$C$65="",$B74,DATE(YEAR($A74),MONTH($A74),MIN(Settings!$C$65,DAY($B74))))&gt;=MAX($A74,Settings!$D$65),IF(Settings!$C$65="",$B74,DATE(YEAR($A74),MONTH($A74),MIN(Settings!$C$65,DAY($B74))))&lt;=MIN($C74,IF(Settings!$E$65="",$C74,Settings!$E$65))),1,0))</f>
        <v/>
      </c>
      <c r="FI74">
        <f>IF($DT74=1,IF(OR(Settings!$B$19="Card",Settings!$B$19="Loan"),N($AE74),0)+IF(OR(Settings!$B$20="Card",Settings!$B$20="Loan"),N($AF74),0)+IF(OR(Settings!$B$21="Card",Settings!$B$21="Loan"),N($AG74),0)+IF(OR(Settings!$B$22="Card",Settings!$B$22="Loan"),N($AH74),0)+IF(OR(Settings!$B$23="Card",Settings!$B$23="Loan"),N($AI74),0)+IF(OR(Settings!$B$24="Card",Settings!$B$24="Loan"),N($AJ74),0)+IF(OR(Settings!$B$25="Card",Settings!$B$25="Loan"),N($AK74),0)+IF(OR(Settings!$B$26="Card",Settings!$B$26="Loan"),N($AL74),0)+IF(OR(Settings!$B$27="Card",Settings!$B$27="Loan"),N($AM74),0)+IF(OR(Settings!$B$28="Card",Settings!$B$28="Loan"),N($AN74),0)+IF(OR(Settings!$B$29="Card",Settings!$B$29="Loan"),N($AO74),0)+IF(OR(Settings!$B$30="Card",Settings!$B$30="Loan"),N($AP74),0)+IF(OR(Settings!$B$31="Card",Settings!$B$31="Loan"),N($AQ74),0)+IF(OR(Settings!$B$32="Card",Settings!$B$32="Loan"),N($AR74),0),"")</f>
        <v/>
      </c>
      <c r="FJ74">
        <f>IF($E74="open",$EB$65,IF($E74="post",IF($E73="pre",$EB$65,$FI73),""))</f>
        <v/>
      </c>
      <c r="FK74">
        <f>IF(AND($DT74=1,$DC74=1),IF(ROUND($FI74-$FJ74,2)&gt;0,1,0),0)</f>
        <v/>
      </c>
      <c r="FL74">
        <f>IF($FK74=1,$FL73+1,0)</f>
        <v/>
      </c>
    </row>
    <row r="75">
      <c r="A75">
        <f>'Month-End'!$BT$4</f>
        <v/>
      </c>
      <c r="B75">
        <f>EOMONTH($A75,0)</f>
        <v/>
      </c>
      <c r="C75">
        <f>MIN($B75,TODAY())</f>
        <v/>
      </c>
      <c r="D75">
        <f>IF($A75&gt;TODAY(),1,0)</f>
        <v/>
      </c>
      <c r="E75">
        <f>IF($B75&lt;=Settings!$B$5,"pre",IF($A75&lt;=Settings!$B$5,"open","post"))</f>
        <v/>
      </c>
      <c r="G75">
        <f>IF('Month-End'!$BT$22="",$BE75,N('Month-End'!$BT$22))</f>
        <v/>
      </c>
      <c r="H75">
        <f>IF('Month-End'!$BT$23="",$BF75,N('Month-End'!$BT$23))</f>
        <v/>
      </c>
      <c r="I75">
        <f>IF('Month-End'!$BT$24="",$BG75,N('Month-End'!$BT$24))</f>
        <v/>
      </c>
      <c r="J75">
        <f>IF('Month-End'!$BT$25="",$BH75,N('Month-End'!$BT$25))</f>
        <v/>
      </c>
      <c r="K75">
        <f>IF('Month-End'!$BT$26="",$BI75,N('Month-End'!$BT$26))</f>
        <v/>
      </c>
      <c r="L75">
        <f>IF('Month-End'!$BT$27="",$BJ75,N('Month-End'!$BT$27))</f>
        <v/>
      </c>
      <c r="M75">
        <f>IF('Month-End'!$BT$28="",$BK75,N('Month-End'!$BT$28))</f>
        <v/>
      </c>
      <c r="N75">
        <f>IF('Month-End'!$BT$29="",$BL75,N('Month-End'!$BT$29))</f>
        <v/>
      </c>
      <c r="O75">
        <f>IF('Month-End'!$BT$30="",$BM75,N('Month-End'!$BT$30))</f>
        <v/>
      </c>
      <c r="P75">
        <f>IF('Month-End'!$BT$31="",$BN75,N('Month-End'!$BT$31))</f>
        <v/>
      </c>
      <c r="Q75">
        <f>IF('Month-End'!$BT$32="",$BO75,N('Month-End'!$BT$32))</f>
        <v/>
      </c>
      <c r="R75">
        <f>IF('Month-End'!$BT$33="",$BP75,N('Month-End'!$BT$33))</f>
        <v/>
      </c>
      <c r="S75">
        <f>$G75+$H75+$I75+$J75+$K75+$L75+$M75+$N75+$O75+$P75+$Q75+$R75</f>
        <v/>
      </c>
      <c r="T75">
        <f>IF($B75&lt;Settings!$B$6,0,IF(Settings!$B$45="Yes",$G75,0)+IF(Settings!$B$46="Yes",$H75,0)+IF(Settings!$B$47="Yes",$I75,0)+IF(Settings!$B$48="Yes",$J75,0)+IF(Settings!$B$49="Yes",$K75,0)+IF(Settings!$B$50="Yes",$L75,0)+IF(Settings!$B$51="Yes",$M75,0)+IF(Settings!$B$52="Yes",$N75,0)+IF(Settings!$B$53="Yes",$O75,0)+IF(Settings!$B$54="Yes",$P75,0)+IF(Settings!$B$55="Yes",$Q75,0)+IF(Settings!$B$56="Yes",$R75,0))</f>
        <v/>
      </c>
      <c r="U75">
        <f>IF(Settings!$B$45="Not Sure",$G75,0)+IF(Settings!$B$46="Not Sure",$H75,0)+IF(Settings!$B$47="Not Sure",$I75,0)+IF(Settings!$B$48="Not Sure",$J75,0)+IF(Settings!$B$49="Not Sure",$K75,0)+IF(Settings!$B$50="Not Sure",$L75,0)+IF(Settings!$B$51="Not Sure",$M75,0)+IF(Settings!$B$52="Not Sure",$N75,0)+IF(Settings!$B$53="Not Sure",$O75,0)+IF(Settings!$B$54="Not Sure",$P75,0)+IF(Settings!$B$55="Not Sure",$Q75,0)+IF(Settings!$B$56="Not Sure",$R75,0)</f>
        <v/>
      </c>
      <c r="V75">
        <f>IF($E75="open",SUM($ET75:$FE75)+N(Settings!$B$13),0)</f>
        <v/>
      </c>
      <c r="W75">
        <f>IF($E75="post",$S75,IF($E75="open",$S75-$V75,0))</f>
        <v/>
      </c>
      <c r="X75">
        <f>SUMIFS(Giving!$B$7:$B$2006,Giving!$A$7:$A$2006,"&gt;="&amp;$A75,Giving!$A$7:$A$2006,"&lt;="&amp;$B75,Giving!$E$7:$E$2006,"&lt;&gt;No")</f>
        <v/>
      </c>
      <c r="Y75">
        <f>SUMIFS(Giving!$B$7:$B$2006,Giving!$A$7:$A$2006,"&gt;="&amp;$A75,Giving!$A$7:$A$2006,"&lt;="&amp;$B75,Giving!$E$7:$E$2006,"No")</f>
        <v/>
      </c>
      <c r="Z75">
        <f>IF(OR(Settings!$B$60="",Settings!$F$60="No"),0,Settings!$B$60*IF(AND(IF(Settings!$C$60="",$B75,DATE(YEAR($A75),MONTH($A75),MIN(Settings!$C$60,DAY($B75))))&gt;=MAX($A75,Settings!$D$60),IF(Settings!$C$60="",$B75,DATE(YEAR($A75),MONTH($A75),MIN(Settings!$C$60,DAY($B75))))&lt;=MIN($C75,IF(Settings!$E$60="",$C75,Settings!$E$60))),1,0))+IF(OR(Settings!$B$61="",Settings!$F$61="No"),0,Settings!$B$61*IF(AND(IF(Settings!$C$61="",$B75,DATE(YEAR($A75),MONTH($A75),MIN(Settings!$C$61,DAY($B75))))&gt;=MAX($A75,Settings!$D$61),IF(Settings!$C$61="",$B75,DATE(YEAR($A75),MONTH($A75),MIN(Settings!$C$61,DAY($B75))))&lt;=MIN($C75,IF(Settings!$E$61="",$C75,Settings!$E$61))),1,0))+IF(OR(Settings!$B$62="",Settings!$F$62="No"),0,Settings!$B$62*IF(AND(IF(Settings!$C$62="",$B75,DATE(YEAR($A75),MONTH($A75),MIN(Settings!$C$62,DAY($B75))))&gt;=MAX($A75,Settings!$D$62),IF(Settings!$C$62="",$B75,DATE(YEAR($A75),MONTH($A75),MIN(Settings!$C$62,DAY($B75))))&lt;=MIN($C75,IF(Settings!$E$62="",$C75,Settings!$E$62))),1,0))+IF(OR(Settings!$B$63="",Settings!$F$63="No"),0,Settings!$B$63*IF(AND(IF(Settings!$C$63="",$B75,DATE(YEAR($A75),MONTH($A75),MIN(Settings!$C$63,DAY($B75))))&gt;=MAX($A75,Settings!$D$63),IF(Settings!$C$63="",$B75,DATE(YEAR($A75),MONTH($A75),MIN(Settings!$C$63,DAY($B75))))&lt;=MIN($C75,IF(Settings!$E$63="",$C75,Settings!$E$63))),1,0))+IF(OR(Settings!$B$64="",Settings!$F$64="No"),0,Settings!$B$64*IF(AND(IF(Settings!$C$64="",$B75,DATE(YEAR($A75),MONTH($A75),MIN(Settings!$C$64,DAY($B75))))&gt;=MAX($A75,Settings!$D$64),IF(Settings!$C$64="",$B75,DATE(YEAR($A75),MONTH($A75),MIN(Settings!$C$64,DAY($B75))))&lt;=MIN($C75,IF(Settings!$E$64="",$C75,Settings!$E$64))),1,0))+IF(OR(Settings!$B$65="",Settings!$F$65="No"),0,Settings!$B$65*IF(AND(IF(Settings!$C$65="",$B75,DATE(YEAR($A75),MONTH($A75),MIN(Settings!$C$65,DAY($B75))))&gt;=MAX($A75,Settings!$D$65),IF(Settings!$C$65="",$B75,DATE(YEAR($A75),MONTH($A75),MIN(Settings!$C$65,DAY($B75))))&lt;=MIN($C75,IF(Settings!$E$65="",$C75,Settings!$E$65))),1,0))</f>
        <v/>
      </c>
      <c r="AA75">
        <f>$X75+$Z75</f>
        <v/>
      </c>
      <c r="AB75">
        <f>IF($E75="post",$AA75,IF($E75="open",SUMIFS(Giving!$B$7:$B$2006,Giving!$A$7:$A$2006,"&gt;"&amp;Settings!$B$5,Giving!$A$7:$A$2006,"&lt;="&amp;$B75,Giving!$E$7:$E$2006,"&lt;&gt;No")+IF(OR(Settings!$B$60="",Settings!$F$60="No"),0,Settings!$B$60*IF(AND(IF(Settings!$C$60="",$B75,DATE(YEAR($A75),MONTH($A75),MIN(Settings!$C$60,DAY($B75))))&gt;=MAX($A75,Settings!$D$60,Settings!$B$5+1),IF(Settings!$C$60="",$B75,DATE(YEAR($A75),MONTH($A75),MIN(Settings!$C$60,DAY($B75))))&lt;=MIN($C75,IF(Settings!$E$60="",$C75,Settings!$E$60))),1,0))+IF(OR(Settings!$B$61="",Settings!$F$61="No"),0,Settings!$B$61*IF(AND(IF(Settings!$C$61="",$B75,DATE(YEAR($A75),MONTH($A75),MIN(Settings!$C$61,DAY($B75))))&gt;=MAX($A75,Settings!$D$61,Settings!$B$5+1),IF(Settings!$C$61="",$B75,DATE(YEAR($A75),MONTH($A75),MIN(Settings!$C$61,DAY($B75))))&lt;=MIN($C75,IF(Settings!$E$61="",$C75,Settings!$E$61))),1,0))+IF(OR(Settings!$B$62="",Settings!$F$62="No"),0,Settings!$B$62*IF(AND(IF(Settings!$C$62="",$B75,DATE(YEAR($A75),MONTH($A75),MIN(Settings!$C$62,DAY($B75))))&gt;=MAX($A75,Settings!$D$62,Settings!$B$5+1),IF(Settings!$C$62="",$B75,DATE(YEAR($A75),MONTH($A75),MIN(Settings!$C$62,DAY($B75))))&lt;=MIN($C75,IF(Settings!$E$62="",$C75,Settings!$E$62))),1,0))+IF(OR(Settings!$B$63="",Settings!$F$63="No"),0,Settings!$B$63*IF(AND(IF(Settings!$C$63="",$B75,DATE(YEAR($A75),MONTH($A75),MIN(Settings!$C$63,DAY($B75))))&gt;=MAX($A75,Settings!$D$63,Settings!$B$5+1),IF(Settings!$C$63="",$B75,DATE(YEAR($A75),MONTH($A75),MIN(Settings!$C$63,DAY($B75))))&lt;=MIN($C75,IF(Settings!$E$63="",$C75,Settings!$E$63))),1,0))+IF(OR(Settings!$B$64="",Settings!$F$64="No"),0,Settings!$B$64*IF(AND(IF(Settings!$C$64="",$B75,DATE(YEAR($A75),MONTH($A75),MIN(Settings!$C$64,DAY($B75))))&gt;=MAX($A75,Settings!$D$64,Settings!$B$5+1),IF(Settings!$C$64="",$B75,DATE(YEAR($A75),MONTH($A75),MIN(Settings!$C$64,DAY($B75))))&lt;=MIN($C75,IF(Settings!$E$64="",$C75,Settings!$E$64))),1,0))+IF(OR(Settings!$B$65="",Settings!$F$65="No"),0,Settings!$B$65*IF(AND(IF(Settings!$C$65="",$B75,DATE(YEAR($A75),MONTH($A75),MIN(Settings!$C$65,DAY($B75))))&gt;=MAX($A75,Settings!$D$65,Settings!$B$5+1),IF(Settings!$C$65="",$B75,DATE(YEAR($A75),MONTH($A75),MIN(Settings!$C$65,DAY($B75))))&lt;=MIN($C75,IF(Settings!$E$65="",$C75,Settings!$E$65))),1,0)),0))</f>
        <v/>
      </c>
      <c r="AC75">
        <f>$AY75+$AZ75+$BA75+$BB75+$BC75+$BD75</f>
        <v/>
      </c>
      <c r="AD75">
        <f>$AC75</f>
        <v/>
      </c>
      <c r="AE75">
        <f>IF(OR(Settings!$A$19="",$E75="pre"),"",IF(AND('Month-End'!$BT$7&lt;&gt;"",NOT(_xlfn.ISFORMULA('Month-End'!$BT$7))),N('Month-End'!$BT$7),IF(OR($E75="open",$E74="pre"),N(Settings!$C$19),N($AE74))))</f>
        <v/>
      </c>
      <c r="AF75">
        <f>IF(OR(Settings!$A$20="",$E75="pre"),"",IF(AND('Month-End'!$BT$8&lt;&gt;"",NOT(_xlfn.ISFORMULA('Month-End'!$BT$8))),N('Month-End'!$BT$8),IF(OR($E75="open",$E74="pre"),N(Settings!$C$20),N($AF74))))</f>
        <v/>
      </c>
      <c r="AG75">
        <f>IF(OR(Settings!$A$21="",$E75="pre"),"",IF(AND('Month-End'!$BT$9&lt;&gt;"",NOT(_xlfn.ISFORMULA('Month-End'!$BT$9))),N('Month-End'!$BT$9),IF(OR($E75="open",$E74="pre"),N(Settings!$C$21),N($AG74))))</f>
        <v/>
      </c>
      <c r="AH75">
        <f>IF(OR(Settings!$A$22="",$E75="pre"),"",IF(AND('Month-End'!$BT$10&lt;&gt;"",NOT(_xlfn.ISFORMULA('Month-End'!$BT$10))),N('Month-End'!$BT$10),IF(OR($E75="open",$E74="pre"),N(Settings!$C$22),N($AH74))))</f>
        <v/>
      </c>
      <c r="AI75">
        <f>IF(OR(Settings!$A$23="",$E75="pre"),"",IF(AND('Month-End'!$BT$11&lt;&gt;"",NOT(_xlfn.ISFORMULA('Month-End'!$BT$11))),N('Month-End'!$BT$11),IF(OR($E75="open",$E74="pre"),N(Settings!$C$23),N($AI74))))</f>
        <v/>
      </c>
      <c r="AJ75">
        <f>IF(OR(Settings!$A$24="",$E75="pre"),"",IF(AND('Month-End'!$BT$12&lt;&gt;"",NOT(_xlfn.ISFORMULA('Month-End'!$BT$12))),N('Month-End'!$BT$12),IF(OR($E75="open",$E74="pre"),N(Settings!$C$24),N($AJ74))))</f>
        <v/>
      </c>
      <c r="AK75">
        <f>IF(OR(Settings!$A$25="",$E75="pre"),"",IF(AND('Month-End'!$BT$13&lt;&gt;"",NOT(_xlfn.ISFORMULA('Month-End'!$BT$13))),N('Month-End'!$BT$13),IF(OR($E75="open",$E74="pre"),N(Settings!$C$25),N($AK74))))</f>
        <v/>
      </c>
      <c r="AL75">
        <f>IF(OR(Settings!$A$26="",$E75="pre"),"",IF(AND('Month-End'!$BT$14&lt;&gt;"",NOT(_xlfn.ISFORMULA('Month-End'!$BT$14))),N('Month-End'!$BT$14),IF(OR($E75="open",$E74="pre"),N(Settings!$C$26),N($AL74))))</f>
        <v/>
      </c>
      <c r="AM75">
        <f>IF(OR(Settings!$A$27="",$E75="pre"),"",IF(AND('Month-End'!$BT$15&lt;&gt;"",NOT(_xlfn.ISFORMULA('Month-End'!$BT$15))),N('Month-End'!$BT$15),IF(OR($E75="open",$E74="pre"),N(Settings!$C$27),N($AM74))))</f>
        <v/>
      </c>
      <c r="AN75">
        <f>IF(OR(Settings!$A$28="",$E75="pre"),"",IF(AND('Month-End'!$BT$16&lt;&gt;"",NOT(_xlfn.ISFORMULA('Month-End'!$BT$16))),N('Month-End'!$BT$16),IF(OR($E75="open",$E74="pre"),N(Settings!$C$28),N($AN74))))</f>
        <v/>
      </c>
      <c r="AO75">
        <f>IF(OR(Settings!$A$29="",$E75="pre"),"",IF(AND('Month-End'!$BT$17&lt;&gt;"",NOT(_xlfn.ISFORMULA('Month-End'!$BT$17))),N('Month-End'!$BT$17),IF(OR($E75="open",$E74="pre"),N(Settings!$C$29),N($AO74))))</f>
        <v/>
      </c>
      <c r="AP75">
        <f>IF(OR(Settings!$A$30="",$E75="pre"),"",IF(AND('Month-End'!$BT$18&lt;&gt;"",NOT(_xlfn.ISFORMULA('Month-End'!$BT$18))),N('Month-End'!$BT$18),IF(OR($E75="open",$E74="pre"),N(Settings!$C$30),N($AP74))))</f>
        <v/>
      </c>
      <c r="AQ75">
        <f>IF(OR(Settings!$A$31="",$E75="pre"),"",IF(AND('Month-End'!$BT$19&lt;&gt;"",NOT(_xlfn.ISFORMULA('Month-End'!$BT$19))),N('Month-End'!$BT$19),IF(OR($E75="open",$E74="pre"),N(Settings!$C$31),N($AQ74))))</f>
        <v/>
      </c>
      <c r="AR75">
        <f>IF(OR(Settings!$A$32="",$E75="pre"),"",IF(AND('Month-End'!$BT$20&lt;&gt;"",NOT(_xlfn.ISFORMULA('Month-End'!$BT$20))),N('Month-End'!$BT$20),IF(OR($E75="open",$E74="pre"),N(Settings!$C$32),N($AR74))))</f>
        <v/>
      </c>
      <c r="AS75">
        <f>IF(OR(Settings!$A$36="",$E75="pre"),"",IF(AND('Month-End'!$BT$38&lt;&gt;"",NOT(_xlfn.ISFORMULA('Month-End'!$BT$38))),N('Month-End'!$BT$38),IF(OR($E75="open",$E74="pre"),N(Settings!$C$36),N($AS74))+$AY75))</f>
        <v/>
      </c>
      <c r="AT75">
        <f>IF(OR(Settings!$A$37="",$E75="pre"),"",IF(AND('Month-End'!$BT$39&lt;&gt;"",NOT(_xlfn.ISFORMULA('Month-End'!$BT$39))),N('Month-End'!$BT$39),IF(OR($E75="open",$E74="pre"),N(Settings!$C$37),N($AT74))+$AZ75))</f>
        <v/>
      </c>
      <c r="AU75">
        <f>IF(OR(Settings!$A$38="",$E75="pre"),"",IF(AND('Month-End'!$BT$40&lt;&gt;"",NOT(_xlfn.ISFORMULA('Month-End'!$BT$40))),N('Month-End'!$BT$40),IF(OR($E75="open",$E74="pre"),N(Settings!$C$38),N($AU74))+$BA75))</f>
        <v/>
      </c>
      <c r="AV75">
        <f>IF(OR(Settings!$A$39="",$E75="pre"),"",IF(AND('Month-End'!$BT$41&lt;&gt;"",NOT(_xlfn.ISFORMULA('Month-End'!$BT$41))),N('Month-End'!$BT$41),IF(OR($E75="open",$E74="pre"),N(Settings!$C$39),N($AV74))+$BB75))</f>
        <v/>
      </c>
      <c r="AW75">
        <f>IF(OR(Settings!$A$40="",$E75="pre"),"",IF(AND('Month-End'!$BT$42&lt;&gt;"",NOT(_xlfn.ISFORMULA('Month-End'!$BT$42))),N('Month-End'!$BT$42),IF(OR($E75="open",$E74="pre"),N(Settings!$C$40),N($AW74))+$BC75))</f>
        <v/>
      </c>
      <c r="AX75">
        <f>IF(OR(Settings!$A$41="",$E75="pre"),"",IF(AND('Month-End'!$BT$43&lt;&gt;"",NOT(_xlfn.ISFORMULA('Month-End'!$BT$43))),N('Month-End'!$BT$43),IF(OR($E75="open",$E74="pre"),N(Settings!$C$41),N($AX74))+$BD75))</f>
        <v/>
      </c>
      <c r="AY75">
        <f>IF($E75="pre",0,N('Month-End'!$BT$45))</f>
        <v/>
      </c>
      <c r="AZ75">
        <f>IF($E75="pre",0,N('Month-End'!$BT$46))</f>
        <v/>
      </c>
      <c r="BA75">
        <f>IF($E75="pre",0,N('Month-End'!$BT$47))</f>
        <v/>
      </c>
      <c r="BB75">
        <f>IF($E75="pre",0,N('Month-End'!$BT$48))</f>
        <v/>
      </c>
      <c r="BC75">
        <f>IF($E75="pre",0,N('Month-End'!$BT$49))</f>
        <v/>
      </c>
      <c r="BD75">
        <f>IF($E75="pre",0,N('Month-End'!$BT$50))</f>
        <v/>
      </c>
      <c r="BE75">
        <f>IF(OR(Settings!$C$45="",Settings!$D$45=""),0,Settings!$C$45*IF(Settings!$D$45="Weekly",IF(IFERROR(MATCH(Settings!$E$45,$EO$4:$EO$10,0),0)=0,0,IF(MIN($C75,IF(Settings!$G$45="",$C75,Settings!$G$45))&lt;MAX($A75,Settings!$F$45),0,INT((MIN($C75,IF(Settings!$G$45="",$C75,Settings!$G$45))-MAX($A75,Settings!$F$45)-MOD(IFERROR(MATCH(Settings!$E$45,$EO$4:$EO$10,0),0)-WEEKDAY(MAX($A75,Settings!$F$45)),7))/7)+1)),IF(AND(IF(Settings!$E$45="",$B75,DATE(YEAR($A75),MONTH($A75),MIN(Settings!$E$45,DAY($B75))))&gt;=MAX($A75,Settings!$F$45),IF(Settings!$E$45="",$B75,DATE(YEAR($A75),MONTH($A75),MIN(Settings!$E$45,DAY($B75))))&lt;=MIN($C75,IF(Settings!$G$45="",$C75,Settings!$G$45))),1,0)))</f>
        <v/>
      </c>
      <c r="BF75">
        <f>IF(OR(Settings!$C$46="",Settings!$D$46=""),0,Settings!$C$46*IF(Settings!$D$46="Weekly",IF(IFERROR(MATCH(Settings!$E$46,$EO$4:$EO$10,0),0)=0,0,IF(MIN($C75,IF(Settings!$G$46="",$C75,Settings!$G$46))&lt;MAX($A75,Settings!$F$46),0,INT((MIN($C75,IF(Settings!$G$46="",$C75,Settings!$G$46))-MAX($A75,Settings!$F$46)-MOD(IFERROR(MATCH(Settings!$E$46,$EO$4:$EO$10,0),0)-WEEKDAY(MAX($A75,Settings!$F$46)),7))/7)+1)),IF(AND(IF(Settings!$E$46="",$B75,DATE(YEAR($A75),MONTH($A75),MIN(Settings!$E$46,DAY($B75))))&gt;=MAX($A75,Settings!$F$46),IF(Settings!$E$46="",$B75,DATE(YEAR($A75),MONTH($A75),MIN(Settings!$E$46,DAY($B75))))&lt;=MIN($C75,IF(Settings!$G$46="",$C75,Settings!$G$46))),1,0)))</f>
        <v/>
      </c>
      <c r="BG75">
        <f>IF(OR(Settings!$C$47="",Settings!$D$47=""),0,Settings!$C$47*IF(Settings!$D$47="Weekly",IF(IFERROR(MATCH(Settings!$E$47,$EO$4:$EO$10,0),0)=0,0,IF(MIN($C75,IF(Settings!$G$47="",$C75,Settings!$G$47))&lt;MAX($A75,Settings!$F$47),0,INT((MIN($C75,IF(Settings!$G$47="",$C75,Settings!$G$47))-MAX($A75,Settings!$F$47)-MOD(IFERROR(MATCH(Settings!$E$47,$EO$4:$EO$10,0),0)-WEEKDAY(MAX($A75,Settings!$F$47)),7))/7)+1)),IF(AND(IF(Settings!$E$47="",$B75,DATE(YEAR($A75),MONTH($A75),MIN(Settings!$E$47,DAY($B75))))&gt;=MAX($A75,Settings!$F$47),IF(Settings!$E$47="",$B75,DATE(YEAR($A75),MONTH($A75),MIN(Settings!$E$47,DAY($B75))))&lt;=MIN($C75,IF(Settings!$G$47="",$C75,Settings!$G$47))),1,0)))</f>
        <v/>
      </c>
      <c r="BH75">
        <f>IF(OR(Settings!$C$48="",Settings!$D$48=""),0,Settings!$C$48*IF(Settings!$D$48="Weekly",IF(IFERROR(MATCH(Settings!$E$48,$EO$4:$EO$10,0),0)=0,0,IF(MIN($C75,IF(Settings!$G$48="",$C75,Settings!$G$48))&lt;MAX($A75,Settings!$F$48),0,INT((MIN($C75,IF(Settings!$G$48="",$C75,Settings!$G$48))-MAX($A75,Settings!$F$48)-MOD(IFERROR(MATCH(Settings!$E$48,$EO$4:$EO$10,0),0)-WEEKDAY(MAX($A75,Settings!$F$48)),7))/7)+1)),IF(AND(IF(Settings!$E$48="",$B75,DATE(YEAR($A75),MONTH($A75),MIN(Settings!$E$48,DAY($B75))))&gt;=MAX($A75,Settings!$F$48),IF(Settings!$E$48="",$B75,DATE(YEAR($A75),MONTH($A75),MIN(Settings!$E$48,DAY($B75))))&lt;=MIN($C75,IF(Settings!$G$48="",$C75,Settings!$G$48))),1,0)))</f>
        <v/>
      </c>
      <c r="BI75">
        <f>IF(OR(Settings!$C$49="",Settings!$D$49=""),0,Settings!$C$49*IF(Settings!$D$49="Weekly",IF(IFERROR(MATCH(Settings!$E$49,$EO$4:$EO$10,0),0)=0,0,IF(MIN($C75,IF(Settings!$G$49="",$C75,Settings!$G$49))&lt;MAX($A75,Settings!$F$49),0,INT((MIN($C75,IF(Settings!$G$49="",$C75,Settings!$G$49))-MAX($A75,Settings!$F$49)-MOD(IFERROR(MATCH(Settings!$E$49,$EO$4:$EO$10,0),0)-WEEKDAY(MAX($A75,Settings!$F$49)),7))/7)+1)),IF(AND(IF(Settings!$E$49="",$B75,DATE(YEAR($A75),MONTH($A75),MIN(Settings!$E$49,DAY($B75))))&gt;=MAX($A75,Settings!$F$49),IF(Settings!$E$49="",$B75,DATE(YEAR($A75),MONTH($A75),MIN(Settings!$E$49,DAY($B75))))&lt;=MIN($C75,IF(Settings!$G$49="",$C75,Settings!$G$49))),1,0)))</f>
        <v/>
      </c>
      <c r="BJ75">
        <f>IF(OR(Settings!$C$50="",Settings!$D$50=""),0,Settings!$C$50*IF(Settings!$D$50="Weekly",IF(IFERROR(MATCH(Settings!$E$50,$EO$4:$EO$10,0),0)=0,0,IF(MIN($C75,IF(Settings!$G$50="",$C75,Settings!$G$50))&lt;MAX($A75,Settings!$F$50),0,INT((MIN($C75,IF(Settings!$G$50="",$C75,Settings!$G$50))-MAX($A75,Settings!$F$50)-MOD(IFERROR(MATCH(Settings!$E$50,$EO$4:$EO$10,0),0)-WEEKDAY(MAX($A75,Settings!$F$50)),7))/7)+1)),IF(AND(IF(Settings!$E$50="",$B75,DATE(YEAR($A75),MONTH($A75),MIN(Settings!$E$50,DAY($B75))))&gt;=MAX($A75,Settings!$F$50),IF(Settings!$E$50="",$B75,DATE(YEAR($A75),MONTH($A75),MIN(Settings!$E$50,DAY($B75))))&lt;=MIN($C75,IF(Settings!$G$50="",$C75,Settings!$G$50))),1,0)))</f>
        <v/>
      </c>
      <c r="BK75">
        <f>IF(OR(Settings!$C$51="",Settings!$D$51=""),0,Settings!$C$51*IF(Settings!$D$51="Weekly",IF(IFERROR(MATCH(Settings!$E$51,$EO$4:$EO$10,0),0)=0,0,IF(MIN($C75,IF(Settings!$G$51="",$C75,Settings!$G$51))&lt;MAX($A75,Settings!$F$51),0,INT((MIN($C75,IF(Settings!$G$51="",$C75,Settings!$G$51))-MAX($A75,Settings!$F$51)-MOD(IFERROR(MATCH(Settings!$E$51,$EO$4:$EO$10,0),0)-WEEKDAY(MAX($A75,Settings!$F$51)),7))/7)+1)),IF(AND(IF(Settings!$E$51="",$B75,DATE(YEAR($A75),MONTH($A75),MIN(Settings!$E$51,DAY($B75))))&gt;=MAX($A75,Settings!$F$51),IF(Settings!$E$51="",$B75,DATE(YEAR($A75),MONTH($A75),MIN(Settings!$E$51,DAY($B75))))&lt;=MIN($C75,IF(Settings!$G$51="",$C75,Settings!$G$51))),1,0)))</f>
        <v/>
      </c>
      <c r="BL75">
        <f>IF(OR(Settings!$C$52="",Settings!$D$52=""),0,Settings!$C$52*IF(Settings!$D$52="Weekly",IF(IFERROR(MATCH(Settings!$E$52,$EO$4:$EO$10,0),0)=0,0,IF(MIN($C75,IF(Settings!$G$52="",$C75,Settings!$G$52))&lt;MAX($A75,Settings!$F$52),0,INT((MIN($C75,IF(Settings!$G$52="",$C75,Settings!$G$52))-MAX($A75,Settings!$F$52)-MOD(IFERROR(MATCH(Settings!$E$52,$EO$4:$EO$10,0),0)-WEEKDAY(MAX($A75,Settings!$F$52)),7))/7)+1)),IF(AND(IF(Settings!$E$52="",$B75,DATE(YEAR($A75),MONTH($A75),MIN(Settings!$E$52,DAY($B75))))&gt;=MAX($A75,Settings!$F$52),IF(Settings!$E$52="",$B75,DATE(YEAR($A75),MONTH($A75),MIN(Settings!$E$52,DAY($B75))))&lt;=MIN($C75,IF(Settings!$G$52="",$C75,Settings!$G$52))),1,0)))</f>
        <v/>
      </c>
      <c r="BM75">
        <f>IF(OR(Settings!$C$53="",Settings!$D$53=""),0,Settings!$C$53*IF(Settings!$D$53="Weekly",IF(IFERROR(MATCH(Settings!$E$53,$EO$4:$EO$10,0),0)=0,0,IF(MIN($C75,IF(Settings!$G$53="",$C75,Settings!$G$53))&lt;MAX($A75,Settings!$F$53),0,INT((MIN($C75,IF(Settings!$G$53="",$C75,Settings!$G$53))-MAX($A75,Settings!$F$53)-MOD(IFERROR(MATCH(Settings!$E$53,$EO$4:$EO$10,0),0)-WEEKDAY(MAX($A75,Settings!$F$53)),7))/7)+1)),IF(AND(IF(Settings!$E$53="",$B75,DATE(YEAR($A75),MONTH($A75),MIN(Settings!$E$53,DAY($B75))))&gt;=MAX($A75,Settings!$F$53),IF(Settings!$E$53="",$B75,DATE(YEAR($A75),MONTH($A75),MIN(Settings!$E$53,DAY($B75))))&lt;=MIN($C75,IF(Settings!$G$53="",$C75,Settings!$G$53))),1,0)))</f>
        <v/>
      </c>
      <c r="BN75">
        <f>IF(OR(Settings!$C$54="",Settings!$D$54=""),0,Settings!$C$54*IF(Settings!$D$54="Weekly",IF(IFERROR(MATCH(Settings!$E$54,$EO$4:$EO$10,0),0)=0,0,IF(MIN($C75,IF(Settings!$G$54="",$C75,Settings!$G$54))&lt;MAX($A75,Settings!$F$54),0,INT((MIN($C75,IF(Settings!$G$54="",$C75,Settings!$G$54))-MAX($A75,Settings!$F$54)-MOD(IFERROR(MATCH(Settings!$E$54,$EO$4:$EO$10,0),0)-WEEKDAY(MAX($A75,Settings!$F$54)),7))/7)+1)),IF(AND(IF(Settings!$E$54="",$B75,DATE(YEAR($A75),MONTH($A75),MIN(Settings!$E$54,DAY($B75))))&gt;=MAX($A75,Settings!$F$54),IF(Settings!$E$54="",$B75,DATE(YEAR($A75),MONTH($A75),MIN(Settings!$E$54,DAY($B75))))&lt;=MIN($C75,IF(Settings!$G$54="",$C75,Settings!$G$54))),1,0)))</f>
        <v/>
      </c>
      <c r="BO75">
        <f>IF(OR(Settings!$C$55="",Settings!$D$55=""),0,Settings!$C$55*IF(Settings!$D$55="Weekly",IF(IFERROR(MATCH(Settings!$E$55,$EO$4:$EO$10,0),0)=0,0,IF(MIN($C75,IF(Settings!$G$55="",$C75,Settings!$G$55))&lt;MAX($A75,Settings!$F$55),0,INT((MIN($C75,IF(Settings!$G$55="",$C75,Settings!$G$55))-MAX($A75,Settings!$F$55)-MOD(IFERROR(MATCH(Settings!$E$55,$EO$4:$EO$10,0),0)-WEEKDAY(MAX($A75,Settings!$F$55)),7))/7)+1)),IF(AND(IF(Settings!$E$55="",$B75,DATE(YEAR($A75),MONTH($A75),MIN(Settings!$E$55,DAY($B75))))&gt;=MAX($A75,Settings!$F$55),IF(Settings!$E$55="",$B75,DATE(YEAR($A75),MONTH($A75),MIN(Settings!$E$55,DAY($B75))))&lt;=MIN($C75,IF(Settings!$G$55="",$C75,Settings!$G$55))),1,0)))</f>
        <v/>
      </c>
      <c r="BP75">
        <f>IF(OR(Settings!$C$56="",Settings!$D$56=""),0,Settings!$C$56*IF(Settings!$D$56="Weekly",IF(IFERROR(MATCH(Settings!$E$56,$EO$4:$EO$10,0),0)=0,0,IF(MIN($C75,IF(Settings!$G$56="",$C75,Settings!$G$56))&lt;MAX($A75,Settings!$F$56),0,INT((MIN($C75,IF(Settings!$G$56="",$C75,Settings!$G$56))-MAX($A75,Settings!$F$56)-MOD(IFERROR(MATCH(Settings!$E$56,$EO$4:$EO$10,0),0)-WEEKDAY(MAX($A75,Settings!$F$56)),7))/7)+1)),IF(AND(IF(Settings!$E$56="",$B75,DATE(YEAR($A75),MONTH($A75),MIN(Settings!$E$56,DAY($B75))))&gt;=MAX($A75,Settings!$F$56),IF(Settings!$E$56="",$B75,DATE(YEAR($A75),MONTH($A75),MIN(Settings!$E$56,DAY($B75))))&lt;=MIN($C75,IF(Settings!$G$56="",$C75,Settings!$G$56))),1,0)))</f>
        <v/>
      </c>
      <c r="BQ75">
        <f>IF(OR(Settings!$B$14="",$D75=1,$E75="pre",$A75&lt;IF(Settings!$B$15="",0,Settings!$B$15)),0,Settings!$B$14)</f>
        <v/>
      </c>
      <c r="BR75">
        <f>IF(AND('Month-End'!$BT$7&lt;&gt;"",NOT(_xlfn.ISFORMULA('Month-End'!$BT$7))),1,0)</f>
        <v/>
      </c>
      <c r="BS75">
        <f>IF(AND('Month-End'!$BT$8&lt;&gt;"",NOT(_xlfn.ISFORMULA('Month-End'!$BT$8))),1,0)</f>
        <v/>
      </c>
      <c r="BT75">
        <f>IF(AND('Month-End'!$BT$9&lt;&gt;"",NOT(_xlfn.ISFORMULA('Month-End'!$BT$9))),1,0)</f>
        <v/>
      </c>
      <c r="BU75">
        <f>IF(AND('Month-End'!$BT$10&lt;&gt;"",NOT(_xlfn.ISFORMULA('Month-End'!$BT$10))),1,0)</f>
        <v/>
      </c>
      <c r="BV75">
        <f>IF(AND('Month-End'!$BT$11&lt;&gt;"",NOT(_xlfn.ISFORMULA('Month-End'!$BT$11))),1,0)</f>
        <v/>
      </c>
      <c r="BW75">
        <f>IF(AND('Month-End'!$BT$12&lt;&gt;"",NOT(_xlfn.ISFORMULA('Month-End'!$BT$12))),1,0)</f>
        <v/>
      </c>
      <c r="BX75">
        <f>IF(AND('Month-End'!$BT$13&lt;&gt;"",NOT(_xlfn.ISFORMULA('Month-End'!$BT$13))),1,0)</f>
        <v/>
      </c>
      <c r="BY75">
        <f>IF(AND('Month-End'!$BT$14&lt;&gt;"",NOT(_xlfn.ISFORMULA('Month-End'!$BT$14))),1,0)</f>
        <v/>
      </c>
      <c r="BZ75">
        <f>IF(AND('Month-End'!$BT$15&lt;&gt;"",NOT(_xlfn.ISFORMULA('Month-End'!$BT$15))),1,0)</f>
        <v/>
      </c>
      <c r="CA75">
        <f>IF(AND('Month-End'!$BT$16&lt;&gt;"",NOT(_xlfn.ISFORMULA('Month-End'!$BT$16))),1,0)</f>
        <v/>
      </c>
      <c r="CB75">
        <f>IF(AND('Month-End'!$BT$17&lt;&gt;"",NOT(_xlfn.ISFORMULA('Month-End'!$BT$17))),1,0)</f>
        <v/>
      </c>
      <c r="CC75">
        <f>IF(AND('Month-End'!$BT$18&lt;&gt;"",NOT(_xlfn.ISFORMULA('Month-End'!$BT$18))),1,0)</f>
        <v/>
      </c>
      <c r="CD75">
        <f>IF(AND('Month-End'!$BT$19&lt;&gt;"",NOT(_xlfn.ISFORMULA('Month-End'!$BT$19))),1,0)</f>
        <v/>
      </c>
      <c r="CE75">
        <f>IF(AND('Month-End'!$BT$20&lt;&gt;"",NOT(_xlfn.ISFORMULA('Month-End'!$BT$20))),1,0)</f>
        <v/>
      </c>
      <c r="CF75">
        <f>IF(AND('Month-End'!$BT$38&lt;&gt;"",NOT(_xlfn.ISFORMULA('Month-End'!$BT$38))),1,0)</f>
        <v/>
      </c>
      <c r="CG75">
        <f>IF(AND('Month-End'!$BT$39&lt;&gt;"",NOT(_xlfn.ISFORMULA('Month-End'!$BT$39))),1,0)</f>
        <v/>
      </c>
      <c r="CH75">
        <f>IF(AND('Month-End'!$BT$40&lt;&gt;"",NOT(_xlfn.ISFORMULA('Month-End'!$BT$40))),1,0)</f>
        <v/>
      </c>
      <c r="CI75">
        <f>IF(AND('Month-End'!$BT$41&lt;&gt;"",NOT(_xlfn.ISFORMULA('Month-End'!$BT$41))),1,0)</f>
        <v/>
      </c>
      <c r="CJ75">
        <f>IF(AND('Month-End'!$BT$42&lt;&gt;"",NOT(_xlfn.ISFORMULA('Month-End'!$BT$42))),1,0)</f>
        <v/>
      </c>
      <c r="CK75">
        <f>IF(AND('Month-End'!$BT$43&lt;&gt;"",NOT(_xlfn.ISFORMULA('Month-End'!$BT$43))),1,0)</f>
        <v/>
      </c>
      <c r="CL75">
        <f>SUM($CM75:$CZ75)</f>
        <v/>
      </c>
      <c r="CM75">
        <f>IF(AND($E75&lt;&gt;"pre",AND(Settings!$A$19&lt;&gt;"",Settings!$E$19&lt;&gt;"No"),Settings!$F$19="Yes",NOT(AND('Month-End'!$BT$7&lt;&gt;"",NOT(_xlfn.ISFORMULA('Month-End'!$BT$7))))),1,0)</f>
        <v/>
      </c>
      <c r="CN75">
        <f>IF(AND($E75&lt;&gt;"pre",AND(Settings!$A$20&lt;&gt;"",Settings!$E$20&lt;&gt;"No"),Settings!$F$20="Yes",NOT(AND('Month-End'!$BT$8&lt;&gt;"",NOT(_xlfn.ISFORMULA('Month-End'!$BT$8))))),1,0)</f>
        <v/>
      </c>
      <c r="CO75">
        <f>IF(AND($E75&lt;&gt;"pre",AND(Settings!$A$21&lt;&gt;"",Settings!$E$21&lt;&gt;"No"),Settings!$F$21="Yes",NOT(AND('Month-End'!$BT$9&lt;&gt;"",NOT(_xlfn.ISFORMULA('Month-End'!$BT$9))))),1,0)</f>
        <v/>
      </c>
      <c r="CP75">
        <f>IF(AND($E75&lt;&gt;"pre",AND(Settings!$A$22&lt;&gt;"",Settings!$E$22&lt;&gt;"No"),Settings!$F$22="Yes",NOT(AND('Month-End'!$BT$10&lt;&gt;"",NOT(_xlfn.ISFORMULA('Month-End'!$BT$10))))),1,0)</f>
        <v/>
      </c>
      <c r="CQ75">
        <f>IF(AND($E75&lt;&gt;"pre",AND(Settings!$A$23&lt;&gt;"",Settings!$E$23&lt;&gt;"No"),Settings!$F$23="Yes",NOT(AND('Month-End'!$BT$11&lt;&gt;"",NOT(_xlfn.ISFORMULA('Month-End'!$BT$11))))),1,0)</f>
        <v/>
      </c>
      <c r="CR75">
        <f>IF(AND($E75&lt;&gt;"pre",AND(Settings!$A$24&lt;&gt;"",Settings!$E$24&lt;&gt;"No"),Settings!$F$24="Yes",NOT(AND('Month-End'!$BT$12&lt;&gt;"",NOT(_xlfn.ISFORMULA('Month-End'!$BT$12))))),1,0)</f>
        <v/>
      </c>
      <c r="CS75">
        <f>IF(AND($E75&lt;&gt;"pre",AND(Settings!$A$25&lt;&gt;"",Settings!$E$25&lt;&gt;"No"),Settings!$F$25="Yes",NOT(AND('Month-End'!$BT$13&lt;&gt;"",NOT(_xlfn.ISFORMULA('Month-End'!$BT$13))))),1,0)</f>
        <v/>
      </c>
      <c r="CT75">
        <f>IF(AND($E75&lt;&gt;"pre",AND(Settings!$A$26&lt;&gt;"",Settings!$E$26&lt;&gt;"No"),Settings!$F$26="Yes",NOT(AND('Month-End'!$BT$14&lt;&gt;"",NOT(_xlfn.ISFORMULA('Month-End'!$BT$14))))),1,0)</f>
        <v/>
      </c>
      <c r="CU75">
        <f>IF(AND($E75&lt;&gt;"pre",AND(Settings!$A$27&lt;&gt;"",Settings!$E$27&lt;&gt;"No"),Settings!$F$27="Yes",NOT(AND('Month-End'!$BT$15&lt;&gt;"",NOT(_xlfn.ISFORMULA('Month-End'!$BT$15))))),1,0)</f>
        <v/>
      </c>
      <c r="CV75">
        <f>IF(AND($E75&lt;&gt;"pre",AND(Settings!$A$28&lt;&gt;"",Settings!$E$28&lt;&gt;"No"),Settings!$F$28="Yes",NOT(AND('Month-End'!$BT$16&lt;&gt;"",NOT(_xlfn.ISFORMULA('Month-End'!$BT$16))))),1,0)</f>
        <v/>
      </c>
      <c r="CW75">
        <f>IF(AND($E75&lt;&gt;"pre",AND(Settings!$A$29&lt;&gt;"",Settings!$E$29&lt;&gt;"No"),Settings!$F$29="Yes",NOT(AND('Month-End'!$BT$17&lt;&gt;"",NOT(_xlfn.ISFORMULA('Month-End'!$BT$17))))),1,0)</f>
        <v/>
      </c>
      <c r="CX75">
        <f>IF(AND($E75&lt;&gt;"pre",AND(Settings!$A$30&lt;&gt;"",Settings!$E$30&lt;&gt;"No"),Settings!$F$30="Yes",NOT(AND('Month-End'!$BT$18&lt;&gt;"",NOT(_xlfn.ISFORMULA('Month-End'!$BT$18))))),1,0)</f>
        <v/>
      </c>
      <c r="CY75">
        <f>IF(AND($E75&lt;&gt;"pre",AND(Settings!$A$31&lt;&gt;"",Settings!$E$31&lt;&gt;"No"),Settings!$F$31="Yes",NOT(AND('Month-End'!$BT$19&lt;&gt;"",NOT(_xlfn.ISFORMULA('Month-End'!$BT$19))))),1,0)</f>
        <v/>
      </c>
      <c r="CZ75">
        <f>IF(AND($E75&lt;&gt;"pre",AND(Settings!$A$32&lt;&gt;"",Settings!$E$32&lt;&gt;"No"),Settings!$F$32="Yes",NOT(AND('Month-End'!$BT$20&lt;&gt;"",NOT(_xlfn.ISFORMULA('Month-End'!$BT$20))))),1,0)</f>
        <v/>
      </c>
      <c r="DA75">
        <f>IF($DT75=1,IF(OR(Settings!$B$19="Checking",Settings!$B$19="Savings",Settings!$B$19="Cash"),N($AE75),IF(OR(Settings!$B$19="Card",Settings!$B$19="Loan"),-N($AE75),0))+IF(OR(Settings!$B$20="Checking",Settings!$B$20="Savings",Settings!$B$20="Cash"),N($AF75),IF(OR(Settings!$B$20="Card",Settings!$B$20="Loan"),-N($AF75),0))+IF(OR(Settings!$B$21="Checking",Settings!$B$21="Savings",Settings!$B$21="Cash"),N($AG75),IF(OR(Settings!$B$21="Card",Settings!$B$21="Loan"),-N($AG75),0))+IF(OR(Settings!$B$22="Checking",Settings!$B$22="Savings",Settings!$B$22="Cash"),N($AH75),IF(OR(Settings!$B$22="Card",Settings!$B$22="Loan"),-N($AH75),0))+IF(OR(Settings!$B$23="Checking",Settings!$B$23="Savings",Settings!$B$23="Cash"),N($AI75),IF(OR(Settings!$B$23="Card",Settings!$B$23="Loan"),-N($AI75),0))+IF(OR(Settings!$B$24="Checking",Settings!$B$24="Savings",Settings!$B$24="Cash"),N($AJ75),IF(OR(Settings!$B$24="Card",Settings!$B$24="Loan"),-N($AJ75),0))+IF(OR(Settings!$B$25="Checking",Settings!$B$25="Savings",Settings!$B$25="Cash"),N($AK75),IF(OR(Settings!$B$25="Card",Settings!$B$25="Loan"),-N($AK75),0))+IF(OR(Settings!$B$26="Checking",Settings!$B$26="Savings",Settings!$B$26="Cash"),N($AL75),IF(OR(Settings!$B$26="Card",Settings!$B$26="Loan"),-N($AL75),0))+IF(OR(Settings!$B$27="Checking",Settings!$B$27="Savings",Settings!$B$27="Cash"),N($AM75),IF(OR(Settings!$B$27="Card",Settings!$B$27="Loan"),-N($AM75),0))+IF(OR(Settings!$B$28="Checking",Settings!$B$28="Savings",Settings!$B$28="Cash"),N($AN75),IF(OR(Settings!$B$28="Card",Settings!$B$28="Loan"),-N($AN75),0))+IF(OR(Settings!$B$29="Checking",Settings!$B$29="Savings",Settings!$B$29="Cash"),N($AO75),IF(OR(Settings!$B$29="Card",Settings!$B$29="Loan"),-N($AO75),0))+IF(OR(Settings!$B$30="Checking",Settings!$B$30="Savings",Settings!$B$30="Cash"),N($AP75),IF(OR(Settings!$B$30="Card",Settings!$B$30="Loan"),-N($AP75),0))+IF(OR(Settings!$B$31="Checking",Settings!$B$31="Savings",Settings!$B$31="Cash"),N($AQ75),IF(OR(Settings!$B$31="Card",Settings!$B$31="Loan"),-N($AQ75),0))+IF(OR(Settings!$B$32="Checking",Settings!$B$32="Savings",Settings!$B$32="Cash"),N($AR75),IF(OR(Settings!$B$32="Card",Settings!$B$32="Loan"),-N($AR75),0)),"")</f>
        <v/>
      </c>
      <c r="DB75">
        <f>IF($E75="open",$EB$27,IF($E75="post",IF($E74="pre",$EB$27,$DA74),""))</f>
        <v/>
      </c>
      <c r="DC75">
        <f>IF($E75="open",1,IF($E75="post",IF($E74="pre",1,$DT74),0))</f>
        <v/>
      </c>
      <c r="DD75">
        <f>IF(AND($DT75=1,$DC75=1),ROUND($W75-($DA75-$DB75)-$AD75-$AB75,2),"")</f>
        <v/>
      </c>
      <c r="DE75">
        <f>IF('Month-End'!$BT$35="",$BQ75,N('Month-End'!$BT$35))</f>
        <v/>
      </c>
      <c r="DF75">
        <f>N('Month-End'!$BT$36)</f>
        <v/>
      </c>
      <c r="DG75">
        <f>IF($DD75="","",$DD75+$DE75)</f>
        <v/>
      </c>
      <c r="DH75">
        <f>IF($DG75="","",$DG75-$DF75)</f>
        <v/>
      </c>
      <c r="DI75">
        <f>IF(OR($E75="pre",$D75=1),"",N($AS75)+N($AT75)+N($AU75)+N($AV75)+N($AW75)+N($AX75))</f>
        <v/>
      </c>
      <c r="DJ75">
        <f>IF($DT75=1,$DA75+N($DI75),"")</f>
        <v/>
      </c>
      <c r="DK75">
        <f>IF($DD75="","",$W75-$DD75-$AB75)</f>
        <v/>
      </c>
      <c r="DL75">
        <f>IF(AND($E75="post",$DD75&lt;&gt;"",$B75&lt;TODAY()),1,0)</f>
        <v/>
      </c>
      <c r="DM75">
        <f>IF($DL75=1,COUNTIF($DL75:$DL$183,1),0)</f>
        <v/>
      </c>
      <c r="DN75">
        <f>IF($D75=1,"",IF($E75="pre","History only",IF($DT75=1,IF($DD75="","⚠ Previous month missing",IF($DD75&lt;0,"⚠ Check: spending &lt; 0",IF($E75="open","✓ Done (partial)","✓ Done"))),IF($B75&gt;=TODAY(),"In progress","⚠ Needs balances"))))</f>
        <v/>
      </c>
      <c r="DO75">
        <f>YEAR($A75)</f>
        <v/>
      </c>
      <c r="DP75">
        <f>DATE(YEAR($A75),INT((MONTH($A75)-1)/3)*3+1,1)</f>
        <v/>
      </c>
      <c r="DQ75">
        <f>IF(AND($DT75=1,$DD75&lt;&gt;"",$D75=0),ROW(),0)</f>
        <v/>
      </c>
      <c r="DR75">
        <f>IF(AND($E75&lt;&gt;"pre",$B75&lt;TODAY(),$DT75=0),1,0)</f>
        <v/>
      </c>
      <c r="DS75">
        <f>IF($DJ75="",NA(),$DJ75)</f>
        <v/>
      </c>
      <c r="DT75">
        <f>IF(AND($E75&lt;&gt;"pre",$CL75=0,COUNTIFS(Settings!$F$19:$F$32,"Yes",Settings!$A$19:$A$32,"&lt;&gt;",Settings!$E$19:$E$32,"&lt;&gt;No")&gt;0),1,0)</f>
        <v/>
      </c>
      <c r="DU75">
        <f>IF(AND($B75&lt;TODAY(),$S75&gt;0),1,0)</f>
        <v/>
      </c>
      <c r="DV75">
        <f>IF($DU75=1,COUNTIF($DU75:$DU$183,1),0)</f>
        <v/>
      </c>
      <c r="DW75">
        <f>IF(AND(OR(Settings!$B$19="Card",Settings!$B$19="Loan"),AND('Month-End'!$BT$7&lt;&gt;"",NOT(_xlfn.ISFORMULA('Month-End'!$BT$7)))),IF(N('Month-End'!$BT$7)&lt;0,1,0),0)+IF(AND(OR(Settings!$B$20="Card",Settings!$B$20="Loan"),AND('Month-End'!$BT$8&lt;&gt;"",NOT(_xlfn.ISFORMULA('Month-End'!$BT$8)))),IF(N('Month-End'!$BT$8)&lt;0,1,0),0)+IF(AND(OR(Settings!$B$21="Card",Settings!$B$21="Loan"),AND('Month-End'!$BT$9&lt;&gt;"",NOT(_xlfn.ISFORMULA('Month-End'!$BT$9)))),IF(N('Month-End'!$BT$9)&lt;0,1,0),0)+IF(AND(OR(Settings!$B$22="Card",Settings!$B$22="Loan"),AND('Month-End'!$BT$10&lt;&gt;"",NOT(_xlfn.ISFORMULA('Month-End'!$BT$10)))),IF(N('Month-End'!$BT$10)&lt;0,1,0),0)+IF(AND(OR(Settings!$B$23="Card",Settings!$B$23="Loan"),AND('Month-End'!$BT$11&lt;&gt;"",NOT(_xlfn.ISFORMULA('Month-End'!$BT$11)))),IF(N('Month-End'!$BT$11)&lt;0,1,0),0)+IF(AND(OR(Settings!$B$24="Card",Settings!$B$24="Loan"),AND('Month-End'!$BT$12&lt;&gt;"",NOT(_xlfn.ISFORMULA('Month-End'!$BT$12)))),IF(N('Month-End'!$BT$12)&lt;0,1,0),0)+IF(AND(OR(Settings!$B$25="Card",Settings!$B$25="Loan"),AND('Month-End'!$BT$13&lt;&gt;"",NOT(_xlfn.ISFORMULA('Month-End'!$BT$13)))),IF(N('Month-End'!$BT$13)&lt;0,1,0),0)+IF(AND(OR(Settings!$B$26="Card",Settings!$B$26="Loan"),AND('Month-End'!$BT$14&lt;&gt;"",NOT(_xlfn.ISFORMULA('Month-End'!$BT$14)))),IF(N('Month-End'!$BT$14)&lt;0,1,0),0)+IF(AND(OR(Settings!$B$27="Card",Settings!$B$27="Loan"),AND('Month-End'!$BT$15&lt;&gt;"",NOT(_xlfn.ISFORMULA('Month-End'!$BT$15)))),IF(N('Month-End'!$BT$15)&lt;0,1,0),0)+IF(AND(OR(Settings!$B$28="Card",Settings!$B$28="Loan"),AND('Month-End'!$BT$16&lt;&gt;"",NOT(_xlfn.ISFORMULA('Month-End'!$BT$16)))),IF(N('Month-End'!$BT$16)&lt;0,1,0),0)+IF(AND(OR(Settings!$B$29="Card",Settings!$B$29="Loan"),AND('Month-End'!$BT$17&lt;&gt;"",NOT(_xlfn.ISFORMULA('Month-End'!$BT$17)))),IF(N('Month-End'!$BT$17)&lt;0,1,0),0)+IF(AND(OR(Settings!$B$30="Card",Settings!$B$30="Loan"),AND('Month-End'!$BT$18&lt;&gt;"",NOT(_xlfn.ISFORMULA('Month-End'!$BT$18)))),IF(N('Month-End'!$BT$18)&lt;0,1,0),0)+IF(AND(OR(Settings!$B$31="Card",Settings!$B$31="Loan"),AND('Month-End'!$BT$19&lt;&gt;"",NOT(_xlfn.ISFORMULA('Month-End'!$BT$19)))),IF(N('Month-End'!$BT$19)&lt;0,1,0),0)+IF(AND(OR(Settings!$B$32="Card",Settings!$B$32="Loan"),AND('Month-End'!$BT$20&lt;&gt;"",NOT(_xlfn.ISFORMULA('Month-End'!$BT$20)))),IF(N('Month-End'!$BT$20)&lt;0,1,0),0)</f>
        <v/>
      </c>
      <c r="DX75">
        <f>IF(Settings!$B$36="Retirement",$AY75,0)+IF(Settings!$B$37="Retirement",$AZ75,0)+IF(Settings!$B$38="Retirement",$BA75,0)+IF(Settings!$B$39="Retirement",$BB75,0)+IF(Settings!$B$40="Retirement",$BC75,0)+IF(Settings!$B$41="Retirement",$BD75,0)</f>
        <v/>
      </c>
      <c r="EA75">
        <f>IF(Settings!$A$74="","",Settings!$A$74)</f>
        <v/>
      </c>
      <c r="EB75">
        <f>IF(Settings!$D$74="",0,IF(Settings!$D$74="Specific Account",IFERROR(INDEX($EB$40:$EB$59,MATCH(Settings!$F$74,$EA$40:$EA$59,0)),0),IFERROR(INDEX($EB$6:$EB$26,MATCH(Settings!$D$74,$EA$6:$EA$26,0)),0)))</f>
        <v/>
      </c>
      <c r="EC75">
        <f>IF(Settings!$A$74="","",IF(Settings!$B$74="Tithe Balance",$EB$23,IF(Settings!$E$74="Specific Account",IFERROR(INDEX($EB$40:$EB$59,MATCH(Settings!$F$74,$EA$40:$EA$59,0)),0),IFERROR(INDEX($EB$6:$EB$26,MATCH(Settings!$E$74,$EA$6:$EA$26,0)),0))))</f>
        <v/>
      </c>
      <c r="ED75">
        <f>IF(Settings!$A$74="","",IF(Settings!$B$74="Percentage",EB75*N(Settings!$C$74)/100,IF(Settings!$B$74="Multiple",EB75*N(Settings!$C$74),IF(Settings!$B$74="Tithe Balance",$EB$22,N(Settings!$C$74)))))</f>
        <v/>
      </c>
      <c r="EE75">
        <f>IF(Settings!$A$74="","",IF(Settings!$B$74="Pay Down To",MAX(0,EC75-ED75),MAX(0,ED75-EC75)))</f>
        <v/>
      </c>
      <c r="EF75">
        <f>IF(Settings!$A$74="","",IF(Settings!$B$74="Pay Down To",IF(EC75&lt;=ED75,"Met","Above target"),IF(EC75&gt;=ED75-0.005,"Met","Remaining")))</f>
        <v/>
      </c>
      <c r="EG75">
        <f>IF(Settings!$A$74="","",IF(Settings!$B$74="Pay Down To",IF(EC75&lt;=0,1,MIN(1,ED75/EC75)),IF(ED75&lt;=0,1,EC75/ED75)))</f>
        <v/>
      </c>
      <c r="EH75">
        <f>IF(OR(Settings!$A$74="",EE75&lt;=0),"",IF(Settings!$B$74="Save By Date",IF(Settings!$G$74="","Set a target date","Need "&amp;TEXT(EE75/MAX(1,(YEAR(Settings!$G$74)-YEAR(TODAY()))*12+MONTH(Settings!$G$74)-MONTH(TODAY())+1),"$#,##0")&amp;"/mo to "&amp;TEXT(Settings!$G$74,"mmm yyyy")),IF(Settings!$B$74="Annual Contribution","Need "&amp;TEXT(EE75/MAX(1,12-MONTH(TODAY())+1),"$#,##0")&amp;"/mo rest of year",IF(Settings!$B$74="Tithe Balance","This quarter",""))))</f>
        <v/>
      </c>
      <c r="ET75">
        <f>IF($E75&lt;&gt;"open",0,IF(AND('Month-End'!$BT$22&lt;&gt;"",NOT(_xlfn.ISFORMULA('Month-End'!$BT$22))),0,IF(OR(Settings!$C$45="",Settings!$D$45=""),0,Settings!$C$45*IF(Settings!$D$45="Weekly",IF(IFERROR(MATCH(Settings!$E$45,$EO$4:$EO$10,0),0)=0,0,IF(MIN(Settings!$B$5,IF(Settings!$G$45="",Settings!$B$5,Settings!$G$45))&lt;MAX($A75,Settings!$F$45),0,INT((MIN(Settings!$B$5,IF(Settings!$G$45="",Settings!$B$5,Settings!$G$45))-MAX($A75,Settings!$F$45)-MOD(IFERROR(MATCH(Settings!$E$45,$EO$4:$EO$10,0),0)-WEEKDAY(MAX($A75,Settings!$F$45)),7))/7)+1)),IF(AND(IF(Settings!$E$45="",$B75,DATE(YEAR($A75),MONTH($A75),MIN(Settings!$E$45,DAY($B75))))&gt;=MAX($A75,Settings!$F$45),IF(Settings!$E$45="",$B75,DATE(YEAR($A75),MONTH($A75),MIN(Settings!$E$45,DAY($B75))))&lt;=MIN(Settings!$B$5,IF(Settings!$G$45="",Settings!$B$5,Settings!$G$45))),1,0)))))</f>
        <v/>
      </c>
      <c r="EU75">
        <f>IF($E75&lt;&gt;"open",0,IF(AND('Month-End'!$BT$23&lt;&gt;"",NOT(_xlfn.ISFORMULA('Month-End'!$BT$23))),0,IF(OR(Settings!$C$46="",Settings!$D$46=""),0,Settings!$C$46*IF(Settings!$D$46="Weekly",IF(IFERROR(MATCH(Settings!$E$46,$EO$4:$EO$10,0),0)=0,0,IF(MIN(Settings!$B$5,IF(Settings!$G$46="",Settings!$B$5,Settings!$G$46))&lt;MAX($A75,Settings!$F$46),0,INT((MIN(Settings!$B$5,IF(Settings!$G$46="",Settings!$B$5,Settings!$G$46))-MAX($A75,Settings!$F$46)-MOD(IFERROR(MATCH(Settings!$E$46,$EO$4:$EO$10,0),0)-WEEKDAY(MAX($A75,Settings!$F$46)),7))/7)+1)),IF(AND(IF(Settings!$E$46="",$B75,DATE(YEAR($A75),MONTH($A75),MIN(Settings!$E$46,DAY($B75))))&gt;=MAX($A75,Settings!$F$46),IF(Settings!$E$46="",$B75,DATE(YEAR($A75),MONTH($A75),MIN(Settings!$E$46,DAY($B75))))&lt;=MIN(Settings!$B$5,IF(Settings!$G$46="",Settings!$B$5,Settings!$G$46))),1,0)))))</f>
        <v/>
      </c>
      <c r="EV75">
        <f>IF($E75&lt;&gt;"open",0,IF(AND('Month-End'!$BT$24&lt;&gt;"",NOT(_xlfn.ISFORMULA('Month-End'!$BT$24))),0,IF(OR(Settings!$C$47="",Settings!$D$47=""),0,Settings!$C$47*IF(Settings!$D$47="Weekly",IF(IFERROR(MATCH(Settings!$E$47,$EO$4:$EO$10,0),0)=0,0,IF(MIN(Settings!$B$5,IF(Settings!$G$47="",Settings!$B$5,Settings!$G$47))&lt;MAX($A75,Settings!$F$47),0,INT((MIN(Settings!$B$5,IF(Settings!$G$47="",Settings!$B$5,Settings!$G$47))-MAX($A75,Settings!$F$47)-MOD(IFERROR(MATCH(Settings!$E$47,$EO$4:$EO$10,0),0)-WEEKDAY(MAX($A75,Settings!$F$47)),7))/7)+1)),IF(AND(IF(Settings!$E$47="",$B75,DATE(YEAR($A75),MONTH($A75),MIN(Settings!$E$47,DAY($B75))))&gt;=MAX($A75,Settings!$F$47),IF(Settings!$E$47="",$B75,DATE(YEAR($A75),MONTH($A75),MIN(Settings!$E$47,DAY($B75))))&lt;=MIN(Settings!$B$5,IF(Settings!$G$47="",Settings!$B$5,Settings!$G$47))),1,0)))))</f>
        <v/>
      </c>
      <c r="EW75">
        <f>IF($E75&lt;&gt;"open",0,IF(AND('Month-End'!$BT$25&lt;&gt;"",NOT(_xlfn.ISFORMULA('Month-End'!$BT$25))),0,IF(OR(Settings!$C$48="",Settings!$D$48=""),0,Settings!$C$48*IF(Settings!$D$48="Weekly",IF(IFERROR(MATCH(Settings!$E$48,$EO$4:$EO$10,0),0)=0,0,IF(MIN(Settings!$B$5,IF(Settings!$G$48="",Settings!$B$5,Settings!$G$48))&lt;MAX($A75,Settings!$F$48),0,INT((MIN(Settings!$B$5,IF(Settings!$G$48="",Settings!$B$5,Settings!$G$48))-MAX($A75,Settings!$F$48)-MOD(IFERROR(MATCH(Settings!$E$48,$EO$4:$EO$10,0),0)-WEEKDAY(MAX($A75,Settings!$F$48)),7))/7)+1)),IF(AND(IF(Settings!$E$48="",$B75,DATE(YEAR($A75),MONTH($A75),MIN(Settings!$E$48,DAY($B75))))&gt;=MAX($A75,Settings!$F$48),IF(Settings!$E$48="",$B75,DATE(YEAR($A75),MONTH($A75),MIN(Settings!$E$48,DAY($B75))))&lt;=MIN(Settings!$B$5,IF(Settings!$G$48="",Settings!$B$5,Settings!$G$48))),1,0)))))</f>
        <v/>
      </c>
      <c r="EX75">
        <f>IF($E75&lt;&gt;"open",0,IF(AND('Month-End'!$BT$26&lt;&gt;"",NOT(_xlfn.ISFORMULA('Month-End'!$BT$26))),0,IF(OR(Settings!$C$49="",Settings!$D$49=""),0,Settings!$C$49*IF(Settings!$D$49="Weekly",IF(IFERROR(MATCH(Settings!$E$49,$EO$4:$EO$10,0),0)=0,0,IF(MIN(Settings!$B$5,IF(Settings!$G$49="",Settings!$B$5,Settings!$G$49))&lt;MAX($A75,Settings!$F$49),0,INT((MIN(Settings!$B$5,IF(Settings!$G$49="",Settings!$B$5,Settings!$G$49))-MAX($A75,Settings!$F$49)-MOD(IFERROR(MATCH(Settings!$E$49,$EO$4:$EO$10,0),0)-WEEKDAY(MAX($A75,Settings!$F$49)),7))/7)+1)),IF(AND(IF(Settings!$E$49="",$B75,DATE(YEAR($A75),MONTH($A75),MIN(Settings!$E$49,DAY($B75))))&gt;=MAX($A75,Settings!$F$49),IF(Settings!$E$49="",$B75,DATE(YEAR($A75),MONTH($A75),MIN(Settings!$E$49,DAY($B75))))&lt;=MIN(Settings!$B$5,IF(Settings!$G$49="",Settings!$B$5,Settings!$G$49))),1,0)))))</f>
        <v/>
      </c>
      <c r="EY75">
        <f>IF($E75&lt;&gt;"open",0,IF(AND('Month-End'!$BT$27&lt;&gt;"",NOT(_xlfn.ISFORMULA('Month-End'!$BT$27))),0,IF(OR(Settings!$C$50="",Settings!$D$50=""),0,Settings!$C$50*IF(Settings!$D$50="Weekly",IF(IFERROR(MATCH(Settings!$E$50,$EO$4:$EO$10,0),0)=0,0,IF(MIN(Settings!$B$5,IF(Settings!$G$50="",Settings!$B$5,Settings!$G$50))&lt;MAX($A75,Settings!$F$50),0,INT((MIN(Settings!$B$5,IF(Settings!$G$50="",Settings!$B$5,Settings!$G$50))-MAX($A75,Settings!$F$50)-MOD(IFERROR(MATCH(Settings!$E$50,$EO$4:$EO$10,0),0)-WEEKDAY(MAX($A75,Settings!$F$50)),7))/7)+1)),IF(AND(IF(Settings!$E$50="",$B75,DATE(YEAR($A75),MONTH($A75),MIN(Settings!$E$50,DAY($B75))))&gt;=MAX($A75,Settings!$F$50),IF(Settings!$E$50="",$B75,DATE(YEAR($A75),MONTH($A75),MIN(Settings!$E$50,DAY($B75))))&lt;=MIN(Settings!$B$5,IF(Settings!$G$50="",Settings!$B$5,Settings!$G$50))),1,0)))))</f>
        <v/>
      </c>
      <c r="EZ75">
        <f>IF($E75&lt;&gt;"open",0,IF(AND('Month-End'!$BT$28&lt;&gt;"",NOT(_xlfn.ISFORMULA('Month-End'!$BT$28))),0,IF(OR(Settings!$C$51="",Settings!$D$51=""),0,Settings!$C$51*IF(Settings!$D$51="Weekly",IF(IFERROR(MATCH(Settings!$E$51,$EO$4:$EO$10,0),0)=0,0,IF(MIN(Settings!$B$5,IF(Settings!$G$51="",Settings!$B$5,Settings!$G$51))&lt;MAX($A75,Settings!$F$51),0,INT((MIN(Settings!$B$5,IF(Settings!$G$51="",Settings!$B$5,Settings!$G$51))-MAX($A75,Settings!$F$51)-MOD(IFERROR(MATCH(Settings!$E$51,$EO$4:$EO$10,0),0)-WEEKDAY(MAX($A75,Settings!$F$51)),7))/7)+1)),IF(AND(IF(Settings!$E$51="",$B75,DATE(YEAR($A75),MONTH($A75),MIN(Settings!$E$51,DAY($B75))))&gt;=MAX($A75,Settings!$F$51),IF(Settings!$E$51="",$B75,DATE(YEAR($A75),MONTH($A75),MIN(Settings!$E$51,DAY($B75))))&lt;=MIN(Settings!$B$5,IF(Settings!$G$51="",Settings!$B$5,Settings!$G$51))),1,0)))))</f>
        <v/>
      </c>
      <c r="FA75">
        <f>IF($E75&lt;&gt;"open",0,IF(AND('Month-End'!$BT$29&lt;&gt;"",NOT(_xlfn.ISFORMULA('Month-End'!$BT$29))),0,IF(OR(Settings!$C$52="",Settings!$D$52=""),0,Settings!$C$52*IF(Settings!$D$52="Weekly",IF(IFERROR(MATCH(Settings!$E$52,$EO$4:$EO$10,0),0)=0,0,IF(MIN(Settings!$B$5,IF(Settings!$G$52="",Settings!$B$5,Settings!$G$52))&lt;MAX($A75,Settings!$F$52),0,INT((MIN(Settings!$B$5,IF(Settings!$G$52="",Settings!$B$5,Settings!$G$52))-MAX($A75,Settings!$F$52)-MOD(IFERROR(MATCH(Settings!$E$52,$EO$4:$EO$10,0),0)-WEEKDAY(MAX($A75,Settings!$F$52)),7))/7)+1)),IF(AND(IF(Settings!$E$52="",$B75,DATE(YEAR($A75),MONTH($A75),MIN(Settings!$E$52,DAY($B75))))&gt;=MAX($A75,Settings!$F$52),IF(Settings!$E$52="",$B75,DATE(YEAR($A75),MONTH($A75),MIN(Settings!$E$52,DAY($B75))))&lt;=MIN(Settings!$B$5,IF(Settings!$G$52="",Settings!$B$5,Settings!$G$52))),1,0)))))</f>
        <v/>
      </c>
      <c r="FB75">
        <f>IF($E75&lt;&gt;"open",0,IF(AND('Month-End'!$BT$30&lt;&gt;"",NOT(_xlfn.ISFORMULA('Month-End'!$BT$30))),0,IF(OR(Settings!$C$53="",Settings!$D$53=""),0,Settings!$C$53*IF(Settings!$D$53="Weekly",IF(IFERROR(MATCH(Settings!$E$53,$EO$4:$EO$10,0),0)=0,0,IF(MIN(Settings!$B$5,IF(Settings!$G$53="",Settings!$B$5,Settings!$G$53))&lt;MAX($A75,Settings!$F$53),0,INT((MIN(Settings!$B$5,IF(Settings!$G$53="",Settings!$B$5,Settings!$G$53))-MAX($A75,Settings!$F$53)-MOD(IFERROR(MATCH(Settings!$E$53,$EO$4:$EO$10,0),0)-WEEKDAY(MAX($A75,Settings!$F$53)),7))/7)+1)),IF(AND(IF(Settings!$E$53="",$B75,DATE(YEAR($A75),MONTH($A75),MIN(Settings!$E$53,DAY($B75))))&gt;=MAX($A75,Settings!$F$53),IF(Settings!$E$53="",$B75,DATE(YEAR($A75),MONTH($A75),MIN(Settings!$E$53,DAY($B75))))&lt;=MIN(Settings!$B$5,IF(Settings!$G$53="",Settings!$B$5,Settings!$G$53))),1,0)))))</f>
        <v/>
      </c>
      <c r="FC75">
        <f>IF($E75&lt;&gt;"open",0,IF(AND('Month-End'!$BT$31&lt;&gt;"",NOT(_xlfn.ISFORMULA('Month-End'!$BT$31))),0,IF(OR(Settings!$C$54="",Settings!$D$54=""),0,Settings!$C$54*IF(Settings!$D$54="Weekly",IF(IFERROR(MATCH(Settings!$E$54,$EO$4:$EO$10,0),0)=0,0,IF(MIN(Settings!$B$5,IF(Settings!$G$54="",Settings!$B$5,Settings!$G$54))&lt;MAX($A75,Settings!$F$54),0,INT((MIN(Settings!$B$5,IF(Settings!$G$54="",Settings!$B$5,Settings!$G$54))-MAX($A75,Settings!$F$54)-MOD(IFERROR(MATCH(Settings!$E$54,$EO$4:$EO$10,0),0)-WEEKDAY(MAX($A75,Settings!$F$54)),7))/7)+1)),IF(AND(IF(Settings!$E$54="",$B75,DATE(YEAR($A75),MONTH($A75),MIN(Settings!$E$54,DAY($B75))))&gt;=MAX($A75,Settings!$F$54),IF(Settings!$E$54="",$B75,DATE(YEAR($A75),MONTH($A75),MIN(Settings!$E$54,DAY($B75))))&lt;=MIN(Settings!$B$5,IF(Settings!$G$54="",Settings!$B$5,Settings!$G$54))),1,0)))))</f>
        <v/>
      </c>
      <c r="FD75">
        <f>IF($E75&lt;&gt;"open",0,IF(AND('Month-End'!$BT$32&lt;&gt;"",NOT(_xlfn.ISFORMULA('Month-End'!$BT$32))),0,IF(OR(Settings!$C$55="",Settings!$D$55=""),0,Settings!$C$55*IF(Settings!$D$55="Weekly",IF(IFERROR(MATCH(Settings!$E$55,$EO$4:$EO$10,0),0)=0,0,IF(MIN(Settings!$B$5,IF(Settings!$G$55="",Settings!$B$5,Settings!$G$55))&lt;MAX($A75,Settings!$F$55),0,INT((MIN(Settings!$B$5,IF(Settings!$G$55="",Settings!$B$5,Settings!$G$55))-MAX($A75,Settings!$F$55)-MOD(IFERROR(MATCH(Settings!$E$55,$EO$4:$EO$10,0),0)-WEEKDAY(MAX($A75,Settings!$F$55)),7))/7)+1)),IF(AND(IF(Settings!$E$55="",$B75,DATE(YEAR($A75),MONTH($A75),MIN(Settings!$E$55,DAY($B75))))&gt;=MAX($A75,Settings!$F$55),IF(Settings!$E$55="",$B75,DATE(YEAR($A75),MONTH($A75),MIN(Settings!$E$55,DAY($B75))))&lt;=MIN(Settings!$B$5,IF(Settings!$G$55="",Settings!$B$5,Settings!$G$55))),1,0)))))</f>
        <v/>
      </c>
      <c r="FE75">
        <f>IF($E75&lt;&gt;"open",0,IF(AND('Month-End'!$BT$33&lt;&gt;"",NOT(_xlfn.ISFORMULA('Month-End'!$BT$33))),0,IF(OR(Settings!$C$56="",Settings!$D$56=""),0,Settings!$C$56*IF(Settings!$D$56="Weekly",IF(IFERROR(MATCH(Settings!$E$56,$EO$4:$EO$10,0),0)=0,0,IF(MIN(Settings!$B$5,IF(Settings!$G$56="",Settings!$B$5,Settings!$G$56))&lt;MAX($A75,Settings!$F$56),0,INT((MIN(Settings!$B$5,IF(Settings!$G$56="",Settings!$B$5,Settings!$G$56))-MAX($A75,Settings!$F$56)-MOD(IFERROR(MATCH(Settings!$E$56,$EO$4:$EO$10,0),0)-WEEKDAY(MAX($A75,Settings!$F$56)),7))/7)+1)),IF(AND(IF(Settings!$E$56="",$B75,DATE(YEAR($A75),MONTH($A75),MIN(Settings!$E$56,DAY($B75))))&gt;=MAX($A75,Settings!$F$56),IF(Settings!$E$56="",$B75,DATE(YEAR($A75),MONTH($A75),MIN(Settings!$E$56,DAY($B75))))&lt;=MIN(Settings!$B$5,IF(Settings!$G$56="",Settings!$B$5,Settings!$G$56))),1,0)))))</f>
        <v/>
      </c>
      <c r="FF75">
        <f>IF(Settings!$I$45="Yes",$G75,0)+IF(Settings!$I$46="Yes",$H75,0)+IF(Settings!$I$47="Yes",$I75,0)+IF(Settings!$I$48="Yes",$J75,0)+IF(Settings!$I$49="Yes",$K75,0)+IF(Settings!$I$50="Yes",$L75,0)+IF(Settings!$I$51="Yes",$M75,0)+IF(Settings!$I$52="Yes",$N75,0)+IF(Settings!$I$53="Yes",$O75,0)+IF(Settings!$I$54="Yes",$P75,0)+IF(Settings!$I$55="Yes",$Q75,0)+IF(Settings!$I$56="Yes",$R75,0)</f>
        <v/>
      </c>
      <c r="FG75">
        <f>IF(AND(Settings!$I$45="Yes",Settings!$J$45="No"),$G75,0)+IF(AND(Settings!$I$46="Yes",Settings!$J$46="No"),$H75,0)+IF(AND(Settings!$I$47="Yes",Settings!$J$47="No"),$I75,0)+IF(AND(Settings!$I$48="Yes",Settings!$J$48="No"),$J75,0)+IF(AND(Settings!$I$49="Yes",Settings!$J$49="No"),$K75,0)+IF(AND(Settings!$I$50="Yes",Settings!$J$50="No"),$L75,0)+IF(AND(Settings!$I$51="Yes",Settings!$J$51="No"),$M75,0)+IF(AND(Settings!$I$52="Yes",Settings!$J$52="No"),$N75,0)+IF(AND(Settings!$I$53="Yes",Settings!$J$53="No"),$O75,0)+IF(AND(Settings!$I$54="Yes",Settings!$J$54="No"),$P75,0)+IF(AND(Settings!$I$55="Yes",Settings!$J$55="No"),$Q75,0)+IF(AND(Settings!$I$56="Yes",Settings!$J$56="No"),$R75,0)</f>
        <v/>
      </c>
      <c r="FH75">
        <f>SUMIFS(Giving!$B$7:$B$2006,Giving!$A$7:$A$2006,"&gt;="&amp;$A75,Giving!$A$7:$A$2006,"&lt;="&amp;$B75,Giving!$G$7:$G$2006,"Yes")+IF(OR(OR(Settings!$B$60="",Settings!$F$60="No"),Settings!$H$60&lt;&gt;"Yes"),0,Settings!$B$60*IF(AND(IF(Settings!$C$60="",$B75,DATE(YEAR($A75),MONTH($A75),MIN(Settings!$C$60,DAY($B75))))&gt;=MAX($A75,Settings!$D$60),IF(Settings!$C$60="",$B75,DATE(YEAR($A75),MONTH($A75),MIN(Settings!$C$60,DAY($B75))))&lt;=MIN($C75,IF(Settings!$E$60="",$C75,Settings!$E$60))),1,0))+IF(OR(OR(Settings!$B$61="",Settings!$F$61="No"),Settings!$H$61&lt;&gt;"Yes"),0,Settings!$B$61*IF(AND(IF(Settings!$C$61="",$B75,DATE(YEAR($A75),MONTH($A75),MIN(Settings!$C$61,DAY($B75))))&gt;=MAX($A75,Settings!$D$61),IF(Settings!$C$61="",$B75,DATE(YEAR($A75),MONTH($A75),MIN(Settings!$C$61,DAY($B75))))&lt;=MIN($C75,IF(Settings!$E$61="",$C75,Settings!$E$61))),1,0))+IF(OR(OR(Settings!$B$62="",Settings!$F$62="No"),Settings!$H$62&lt;&gt;"Yes"),0,Settings!$B$62*IF(AND(IF(Settings!$C$62="",$B75,DATE(YEAR($A75),MONTH($A75),MIN(Settings!$C$62,DAY($B75))))&gt;=MAX($A75,Settings!$D$62),IF(Settings!$C$62="",$B75,DATE(YEAR($A75),MONTH($A75),MIN(Settings!$C$62,DAY($B75))))&lt;=MIN($C75,IF(Settings!$E$62="",$C75,Settings!$E$62))),1,0))+IF(OR(OR(Settings!$B$63="",Settings!$F$63="No"),Settings!$H$63&lt;&gt;"Yes"),0,Settings!$B$63*IF(AND(IF(Settings!$C$63="",$B75,DATE(YEAR($A75),MONTH($A75),MIN(Settings!$C$63,DAY($B75))))&gt;=MAX($A75,Settings!$D$63),IF(Settings!$C$63="",$B75,DATE(YEAR($A75),MONTH($A75),MIN(Settings!$C$63,DAY($B75))))&lt;=MIN($C75,IF(Settings!$E$63="",$C75,Settings!$E$63))),1,0))+IF(OR(OR(Settings!$B$64="",Settings!$F$64="No"),Settings!$H$64&lt;&gt;"Yes"),0,Settings!$B$64*IF(AND(IF(Settings!$C$64="",$B75,DATE(YEAR($A75),MONTH($A75),MIN(Settings!$C$64,DAY($B75))))&gt;=MAX($A75,Settings!$D$64),IF(Settings!$C$64="",$B75,DATE(YEAR($A75),MONTH($A75),MIN(Settings!$C$64,DAY($B75))))&lt;=MIN($C75,IF(Settings!$E$64="",$C75,Settings!$E$64))),1,0))+IF(OR(OR(Settings!$B$65="",Settings!$F$65="No"),Settings!$H$65&lt;&gt;"Yes"),0,Settings!$B$65*IF(AND(IF(Settings!$C$65="",$B75,DATE(YEAR($A75),MONTH($A75),MIN(Settings!$C$65,DAY($B75))))&gt;=MAX($A75,Settings!$D$65),IF(Settings!$C$65="",$B75,DATE(YEAR($A75),MONTH($A75),MIN(Settings!$C$65,DAY($B75))))&lt;=MIN($C75,IF(Settings!$E$65="",$C75,Settings!$E$65))),1,0))</f>
        <v/>
      </c>
      <c r="FI75">
        <f>IF($DT75=1,IF(OR(Settings!$B$19="Card",Settings!$B$19="Loan"),N($AE75),0)+IF(OR(Settings!$B$20="Card",Settings!$B$20="Loan"),N($AF75),0)+IF(OR(Settings!$B$21="Card",Settings!$B$21="Loan"),N($AG75),0)+IF(OR(Settings!$B$22="Card",Settings!$B$22="Loan"),N($AH75),0)+IF(OR(Settings!$B$23="Card",Settings!$B$23="Loan"),N($AI75),0)+IF(OR(Settings!$B$24="Card",Settings!$B$24="Loan"),N($AJ75),0)+IF(OR(Settings!$B$25="Card",Settings!$B$25="Loan"),N($AK75),0)+IF(OR(Settings!$B$26="Card",Settings!$B$26="Loan"),N($AL75),0)+IF(OR(Settings!$B$27="Card",Settings!$B$27="Loan"),N($AM75),0)+IF(OR(Settings!$B$28="Card",Settings!$B$28="Loan"),N($AN75),0)+IF(OR(Settings!$B$29="Card",Settings!$B$29="Loan"),N($AO75),0)+IF(OR(Settings!$B$30="Card",Settings!$B$30="Loan"),N($AP75),0)+IF(OR(Settings!$B$31="Card",Settings!$B$31="Loan"),N($AQ75),0)+IF(OR(Settings!$B$32="Card",Settings!$B$32="Loan"),N($AR75),0),"")</f>
        <v/>
      </c>
      <c r="FJ75">
        <f>IF($E75="open",$EB$65,IF($E75="post",IF($E74="pre",$EB$65,$FI74),""))</f>
        <v/>
      </c>
      <c r="FK75">
        <f>IF(AND($DT75=1,$DC75=1),IF(ROUND($FI75-$FJ75,2)&gt;0,1,0),0)</f>
        <v/>
      </c>
      <c r="FL75">
        <f>IF($FK75=1,$FL74+1,0)</f>
        <v/>
      </c>
    </row>
    <row r="76">
      <c r="A76">
        <f>'Month-End'!$BU$4</f>
        <v/>
      </c>
      <c r="B76">
        <f>EOMONTH($A76,0)</f>
        <v/>
      </c>
      <c r="C76">
        <f>MIN($B76,TODAY())</f>
        <v/>
      </c>
      <c r="D76">
        <f>IF($A76&gt;TODAY(),1,0)</f>
        <v/>
      </c>
      <c r="E76">
        <f>IF($B76&lt;=Settings!$B$5,"pre",IF($A76&lt;=Settings!$B$5,"open","post"))</f>
        <v/>
      </c>
      <c r="G76">
        <f>IF('Month-End'!$BU$22="",$BE76,N('Month-End'!$BU$22))</f>
        <v/>
      </c>
      <c r="H76">
        <f>IF('Month-End'!$BU$23="",$BF76,N('Month-End'!$BU$23))</f>
        <v/>
      </c>
      <c r="I76">
        <f>IF('Month-End'!$BU$24="",$BG76,N('Month-End'!$BU$24))</f>
        <v/>
      </c>
      <c r="J76">
        <f>IF('Month-End'!$BU$25="",$BH76,N('Month-End'!$BU$25))</f>
        <v/>
      </c>
      <c r="K76">
        <f>IF('Month-End'!$BU$26="",$BI76,N('Month-End'!$BU$26))</f>
        <v/>
      </c>
      <c r="L76">
        <f>IF('Month-End'!$BU$27="",$BJ76,N('Month-End'!$BU$27))</f>
        <v/>
      </c>
      <c r="M76">
        <f>IF('Month-End'!$BU$28="",$BK76,N('Month-End'!$BU$28))</f>
        <v/>
      </c>
      <c r="N76">
        <f>IF('Month-End'!$BU$29="",$BL76,N('Month-End'!$BU$29))</f>
        <v/>
      </c>
      <c r="O76">
        <f>IF('Month-End'!$BU$30="",$BM76,N('Month-End'!$BU$30))</f>
        <v/>
      </c>
      <c r="P76">
        <f>IF('Month-End'!$BU$31="",$BN76,N('Month-End'!$BU$31))</f>
        <v/>
      </c>
      <c r="Q76">
        <f>IF('Month-End'!$BU$32="",$BO76,N('Month-End'!$BU$32))</f>
        <v/>
      </c>
      <c r="R76">
        <f>IF('Month-End'!$BU$33="",$BP76,N('Month-End'!$BU$33))</f>
        <v/>
      </c>
      <c r="S76">
        <f>$G76+$H76+$I76+$J76+$K76+$L76+$M76+$N76+$O76+$P76+$Q76+$R76</f>
        <v/>
      </c>
      <c r="T76">
        <f>IF($B76&lt;Settings!$B$6,0,IF(Settings!$B$45="Yes",$G76,0)+IF(Settings!$B$46="Yes",$H76,0)+IF(Settings!$B$47="Yes",$I76,0)+IF(Settings!$B$48="Yes",$J76,0)+IF(Settings!$B$49="Yes",$K76,0)+IF(Settings!$B$50="Yes",$L76,0)+IF(Settings!$B$51="Yes",$M76,0)+IF(Settings!$B$52="Yes",$N76,0)+IF(Settings!$B$53="Yes",$O76,0)+IF(Settings!$B$54="Yes",$P76,0)+IF(Settings!$B$55="Yes",$Q76,0)+IF(Settings!$B$56="Yes",$R76,0))</f>
        <v/>
      </c>
      <c r="U76">
        <f>IF(Settings!$B$45="Not Sure",$G76,0)+IF(Settings!$B$46="Not Sure",$H76,0)+IF(Settings!$B$47="Not Sure",$I76,0)+IF(Settings!$B$48="Not Sure",$J76,0)+IF(Settings!$B$49="Not Sure",$K76,0)+IF(Settings!$B$50="Not Sure",$L76,0)+IF(Settings!$B$51="Not Sure",$M76,0)+IF(Settings!$B$52="Not Sure",$N76,0)+IF(Settings!$B$53="Not Sure",$O76,0)+IF(Settings!$B$54="Not Sure",$P76,0)+IF(Settings!$B$55="Not Sure",$Q76,0)+IF(Settings!$B$56="Not Sure",$R76,0)</f>
        <v/>
      </c>
      <c r="V76">
        <f>IF($E76="open",SUM($ET76:$FE76)+N(Settings!$B$13),0)</f>
        <v/>
      </c>
      <c r="W76">
        <f>IF($E76="post",$S76,IF($E76="open",$S76-$V76,0))</f>
        <v/>
      </c>
      <c r="X76">
        <f>SUMIFS(Giving!$B$7:$B$2006,Giving!$A$7:$A$2006,"&gt;="&amp;$A76,Giving!$A$7:$A$2006,"&lt;="&amp;$B76,Giving!$E$7:$E$2006,"&lt;&gt;No")</f>
        <v/>
      </c>
      <c r="Y76">
        <f>SUMIFS(Giving!$B$7:$B$2006,Giving!$A$7:$A$2006,"&gt;="&amp;$A76,Giving!$A$7:$A$2006,"&lt;="&amp;$B76,Giving!$E$7:$E$2006,"No")</f>
        <v/>
      </c>
      <c r="Z76">
        <f>IF(OR(Settings!$B$60="",Settings!$F$60="No"),0,Settings!$B$60*IF(AND(IF(Settings!$C$60="",$B76,DATE(YEAR($A76),MONTH($A76),MIN(Settings!$C$60,DAY($B76))))&gt;=MAX($A76,Settings!$D$60),IF(Settings!$C$60="",$B76,DATE(YEAR($A76),MONTH($A76),MIN(Settings!$C$60,DAY($B76))))&lt;=MIN($C76,IF(Settings!$E$60="",$C76,Settings!$E$60))),1,0))+IF(OR(Settings!$B$61="",Settings!$F$61="No"),0,Settings!$B$61*IF(AND(IF(Settings!$C$61="",$B76,DATE(YEAR($A76),MONTH($A76),MIN(Settings!$C$61,DAY($B76))))&gt;=MAX($A76,Settings!$D$61),IF(Settings!$C$61="",$B76,DATE(YEAR($A76),MONTH($A76),MIN(Settings!$C$61,DAY($B76))))&lt;=MIN($C76,IF(Settings!$E$61="",$C76,Settings!$E$61))),1,0))+IF(OR(Settings!$B$62="",Settings!$F$62="No"),0,Settings!$B$62*IF(AND(IF(Settings!$C$62="",$B76,DATE(YEAR($A76),MONTH($A76),MIN(Settings!$C$62,DAY($B76))))&gt;=MAX($A76,Settings!$D$62),IF(Settings!$C$62="",$B76,DATE(YEAR($A76),MONTH($A76),MIN(Settings!$C$62,DAY($B76))))&lt;=MIN($C76,IF(Settings!$E$62="",$C76,Settings!$E$62))),1,0))+IF(OR(Settings!$B$63="",Settings!$F$63="No"),0,Settings!$B$63*IF(AND(IF(Settings!$C$63="",$B76,DATE(YEAR($A76),MONTH($A76),MIN(Settings!$C$63,DAY($B76))))&gt;=MAX($A76,Settings!$D$63),IF(Settings!$C$63="",$B76,DATE(YEAR($A76),MONTH($A76),MIN(Settings!$C$63,DAY($B76))))&lt;=MIN($C76,IF(Settings!$E$63="",$C76,Settings!$E$63))),1,0))+IF(OR(Settings!$B$64="",Settings!$F$64="No"),0,Settings!$B$64*IF(AND(IF(Settings!$C$64="",$B76,DATE(YEAR($A76),MONTH($A76),MIN(Settings!$C$64,DAY($B76))))&gt;=MAX($A76,Settings!$D$64),IF(Settings!$C$64="",$B76,DATE(YEAR($A76),MONTH($A76),MIN(Settings!$C$64,DAY($B76))))&lt;=MIN($C76,IF(Settings!$E$64="",$C76,Settings!$E$64))),1,0))+IF(OR(Settings!$B$65="",Settings!$F$65="No"),0,Settings!$B$65*IF(AND(IF(Settings!$C$65="",$B76,DATE(YEAR($A76),MONTH($A76),MIN(Settings!$C$65,DAY($B76))))&gt;=MAX($A76,Settings!$D$65),IF(Settings!$C$65="",$B76,DATE(YEAR($A76),MONTH($A76),MIN(Settings!$C$65,DAY($B76))))&lt;=MIN($C76,IF(Settings!$E$65="",$C76,Settings!$E$65))),1,0))</f>
        <v/>
      </c>
      <c r="AA76">
        <f>$X76+$Z76</f>
        <v/>
      </c>
      <c r="AB76">
        <f>IF($E76="post",$AA76,IF($E76="open",SUMIFS(Giving!$B$7:$B$2006,Giving!$A$7:$A$2006,"&gt;"&amp;Settings!$B$5,Giving!$A$7:$A$2006,"&lt;="&amp;$B76,Giving!$E$7:$E$2006,"&lt;&gt;No")+IF(OR(Settings!$B$60="",Settings!$F$60="No"),0,Settings!$B$60*IF(AND(IF(Settings!$C$60="",$B76,DATE(YEAR($A76),MONTH($A76),MIN(Settings!$C$60,DAY($B76))))&gt;=MAX($A76,Settings!$D$60,Settings!$B$5+1),IF(Settings!$C$60="",$B76,DATE(YEAR($A76),MONTH($A76),MIN(Settings!$C$60,DAY($B76))))&lt;=MIN($C76,IF(Settings!$E$60="",$C76,Settings!$E$60))),1,0))+IF(OR(Settings!$B$61="",Settings!$F$61="No"),0,Settings!$B$61*IF(AND(IF(Settings!$C$61="",$B76,DATE(YEAR($A76),MONTH($A76),MIN(Settings!$C$61,DAY($B76))))&gt;=MAX($A76,Settings!$D$61,Settings!$B$5+1),IF(Settings!$C$61="",$B76,DATE(YEAR($A76),MONTH($A76),MIN(Settings!$C$61,DAY($B76))))&lt;=MIN($C76,IF(Settings!$E$61="",$C76,Settings!$E$61))),1,0))+IF(OR(Settings!$B$62="",Settings!$F$62="No"),0,Settings!$B$62*IF(AND(IF(Settings!$C$62="",$B76,DATE(YEAR($A76),MONTH($A76),MIN(Settings!$C$62,DAY($B76))))&gt;=MAX($A76,Settings!$D$62,Settings!$B$5+1),IF(Settings!$C$62="",$B76,DATE(YEAR($A76),MONTH($A76),MIN(Settings!$C$62,DAY($B76))))&lt;=MIN($C76,IF(Settings!$E$62="",$C76,Settings!$E$62))),1,0))+IF(OR(Settings!$B$63="",Settings!$F$63="No"),0,Settings!$B$63*IF(AND(IF(Settings!$C$63="",$B76,DATE(YEAR($A76),MONTH($A76),MIN(Settings!$C$63,DAY($B76))))&gt;=MAX($A76,Settings!$D$63,Settings!$B$5+1),IF(Settings!$C$63="",$B76,DATE(YEAR($A76),MONTH($A76),MIN(Settings!$C$63,DAY($B76))))&lt;=MIN($C76,IF(Settings!$E$63="",$C76,Settings!$E$63))),1,0))+IF(OR(Settings!$B$64="",Settings!$F$64="No"),0,Settings!$B$64*IF(AND(IF(Settings!$C$64="",$B76,DATE(YEAR($A76),MONTH($A76),MIN(Settings!$C$64,DAY($B76))))&gt;=MAX($A76,Settings!$D$64,Settings!$B$5+1),IF(Settings!$C$64="",$B76,DATE(YEAR($A76),MONTH($A76),MIN(Settings!$C$64,DAY($B76))))&lt;=MIN($C76,IF(Settings!$E$64="",$C76,Settings!$E$64))),1,0))+IF(OR(Settings!$B$65="",Settings!$F$65="No"),0,Settings!$B$65*IF(AND(IF(Settings!$C$65="",$B76,DATE(YEAR($A76),MONTH($A76),MIN(Settings!$C$65,DAY($B76))))&gt;=MAX($A76,Settings!$D$65,Settings!$B$5+1),IF(Settings!$C$65="",$B76,DATE(YEAR($A76),MONTH($A76),MIN(Settings!$C$65,DAY($B76))))&lt;=MIN($C76,IF(Settings!$E$65="",$C76,Settings!$E$65))),1,0)),0))</f>
        <v/>
      </c>
      <c r="AC76">
        <f>$AY76+$AZ76+$BA76+$BB76+$BC76+$BD76</f>
        <v/>
      </c>
      <c r="AD76">
        <f>$AC76</f>
        <v/>
      </c>
      <c r="AE76">
        <f>IF(OR(Settings!$A$19="",$E76="pre"),"",IF(AND('Month-End'!$BU$7&lt;&gt;"",NOT(_xlfn.ISFORMULA('Month-End'!$BU$7))),N('Month-End'!$BU$7),IF(OR($E76="open",$E75="pre"),N(Settings!$C$19),N($AE75))))</f>
        <v/>
      </c>
      <c r="AF76">
        <f>IF(OR(Settings!$A$20="",$E76="pre"),"",IF(AND('Month-End'!$BU$8&lt;&gt;"",NOT(_xlfn.ISFORMULA('Month-End'!$BU$8))),N('Month-End'!$BU$8),IF(OR($E76="open",$E75="pre"),N(Settings!$C$20),N($AF75))))</f>
        <v/>
      </c>
      <c r="AG76">
        <f>IF(OR(Settings!$A$21="",$E76="pre"),"",IF(AND('Month-End'!$BU$9&lt;&gt;"",NOT(_xlfn.ISFORMULA('Month-End'!$BU$9))),N('Month-End'!$BU$9),IF(OR($E76="open",$E75="pre"),N(Settings!$C$21),N($AG75))))</f>
        <v/>
      </c>
      <c r="AH76">
        <f>IF(OR(Settings!$A$22="",$E76="pre"),"",IF(AND('Month-End'!$BU$10&lt;&gt;"",NOT(_xlfn.ISFORMULA('Month-End'!$BU$10))),N('Month-End'!$BU$10),IF(OR($E76="open",$E75="pre"),N(Settings!$C$22),N($AH75))))</f>
        <v/>
      </c>
      <c r="AI76">
        <f>IF(OR(Settings!$A$23="",$E76="pre"),"",IF(AND('Month-End'!$BU$11&lt;&gt;"",NOT(_xlfn.ISFORMULA('Month-End'!$BU$11))),N('Month-End'!$BU$11),IF(OR($E76="open",$E75="pre"),N(Settings!$C$23),N($AI75))))</f>
        <v/>
      </c>
      <c r="AJ76">
        <f>IF(OR(Settings!$A$24="",$E76="pre"),"",IF(AND('Month-End'!$BU$12&lt;&gt;"",NOT(_xlfn.ISFORMULA('Month-End'!$BU$12))),N('Month-End'!$BU$12),IF(OR($E76="open",$E75="pre"),N(Settings!$C$24),N($AJ75))))</f>
        <v/>
      </c>
      <c r="AK76">
        <f>IF(OR(Settings!$A$25="",$E76="pre"),"",IF(AND('Month-End'!$BU$13&lt;&gt;"",NOT(_xlfn.ISFORMULA('Month-End'!$BU$13))),N('Month-End'!$BU$13),IF(OR($E76="open",$E75="pre"),N(Settings!$C$25),N($AK75))))</f>
        <v/>
      </c>
      <c r="AL76">
        <f>IF(OR(Settings!$A$26="",$E76="pre"),"",IF(AND('Month-End'!$BU$14&lt;&gt;"",NOT(_xlfn.ISFORMULA('Month-End'!$BU$14))),N('Month-End'!$BU$14),IF(OR($E76="open",$E75="pre"),N(Settings!$C$26),N($AL75))))</f>
        <v/>
      </c>
      <c r="AM76">
        <f>IF(OR(Settings!$A$27="",$E76="pre"),"",IF(AND('Month-End'!$BU$15&lt;&gt;"",NOT(_xlfn.ISFORMULA('Month-End'!$BU$15))),N('Month-End'!$BU$15),IF(OR($E76="open",$E75="pre"),N(Settings!$C$27),N($AM75))))</f>
        <v/>
      </c>
      <c r="AN76">
        <f>IF(OR(Settings!$A$28="",$E76="pre"),"",IF(AND('Month-End'!$BU$16&lt;&gt;"",NOT(_xlfn.ISFORMULA('Month-End'!$BU$16))),N('Month-End'!$BU$16),IF(OR($E76="open",$E75="pre"),N(Settings!$C$28),N($AN75))))</f>
        <v/>
      </c>
      <c r="AO76">
        <f>IF(OR(Settings!$A$29="",$E76="pre"),"",IF(AND('Month-End'!$BU$17&lt;&gt;"",NOT(_xlfn.ISFORMULA('Month-End'!$BU$17))),N('Month-End'!$BU$17),IF(OR($E76="open",$E75="pre"),N(Settings!$C$29),N($AO75))))</f>
        <v/>
      </c>
      <c r="AP76">
        <f>IF(OR(Settings!$A$30="",$E76="pre"),"",IF(AND('Month-End'!$BU$18&lt;&gt;"",NOT(_xlfn.ISFORMULA('Month-End'!$BU$18))),N('Month-End'!$BU$18),IF(OR($E76="open",$E75="pre"),N(Settings!$C$30),N($AP75))))</f>
        <v/>
      </c>
      <c r="AQ76">
        <f>IF(OR(Settings!$A$31="",$E76="pre"),"",IF(AND('Month-End'!$BU$19&lt;&gt;"",NOT(_xlfn.ISFORMULA('Month-End'!$BU$19))),N('Month-End'!$BU$19),IF(OR($E76="open",$E75="pre"),N(Settings!$C$31),N($AQ75))))</f>
        <v/>
      </c>
      <c r="AR76">
        <f>IF(OR(Settings!$A$32="",$E76="pre"),"",IF(AND('Month-End'!$BU$20&lt;&gt;"",NOT(_xlfn.ISFORMULA('Month-End'!$BU$20))),N('Month-End'!$BU$20),IF(OR($E76="open",$E75="pre"),N(Settings!$C$32),N($AR75))))</f>
        <v/>
      </c>
      <c r="AS76">
        <f>IF(OR(Settings!$A$36="",$E76="pre"),"",IF(AND('Month-End'!$BU$38&lt;&gt;"",NOT(_xlfn.ISFORMULA('Month-End'!$BU$38))),N('Month-End'!$BU$38),IF(OR($E76="open",$E75="pre"),N(Settings!$C$36),N($AS75))+$AY76))</f>
        <v/>
      </c>
      <c r="AT76">
        <f>IF(OR(Settings!$A$37="",$E76="pre"),"",IF(AND('Month-End'!$BU$39&lt;&gt;"",NOT(_xlfn.ISFORMULA('Month-End'!$BU$39))),N('Month-End'!$BU$39),IF(OR($E76="open",$E75="pre"),N(Settings!$C$37),N($AT75))+$AZ76))</f>
        <v/>
      </c>
      <c r="AU76">
        <f>IF(OR(Settings!$A$38="",$E76="pre"),"",IF(AND('Month-End'!$BU$40&lt;&gt;"",NOT(_xlfn.ISFORMULA('Month-End'!$BU$40))),N('Month-End'!$BU$40),IF(OR($E76="open",$E75="pre"),N(Settings!$C$38),N($AU75))+$BA76))</f>
        <v/>
      </c>
      <c r="AV76">
        <f>IF(OR(Settings!$A$39="",$E76="pre"),"",IF(AND('Month-End'!$BU$41&lt;&gt;"",NOT(_xlfn.ISFORMULA('Month-End'!$BU$41))),N('Month-End'!$BU$41),IF(OR($E76="open",$E75="pre"),N(Settings!$C$39),N($AV75))+$BB76))</f>
        <v/>
      </c>
      <c r="AW76">
        <f>IF(OR(Settings!$A$40="",$E76="pre"),"",IF(AND('Month-End'!$BU$42&lt;&gt;"",NOT(_xlfn.ISFORMULA('Month-End'!$BU$42))),N('Month-End'!$BU$42),IF(OR($E76="open",$E75="pre"),N(Settings!$C$40),N($AW75))+$BC76))</f>
        <v/>
      </c>
      <c r="AX76">
        <f>IF(OR(Settings!$A$41="",$E76="pre"),"",IF(AND('Month-End'!$BU$43&lt;&gt;"",NOT(_xlfn.ISFORMULA('Month-End'!$BU$43))),N('Month-End'!$BU$43),IF(OR($E76="open",$E75="pre"),N(Settings!$C$41),N($AX75))+$BD76))</f>
        <v/>
      </c>
      <c r="AY76">
        <f>IF($E76="pre",0,N('Month-End'!$BU$45))</f>
        <v/>
      </c>
      <c r="AZ76">
        <f>IF($E76="pre",0,N('Month-End'!$BU$46))</f>
        <v/>
      </c>
      <c r="BA76">
        <f>IF($E76="pre",0,N('Month-End'!$BU$47))</f>
        <v/>
      </c>
      <c r="BB76">
        <f>IF($E76="pre",0,N('Month-End'!$BU$48))</f>
        <v/>
      </c>
      <c r="BC76">
        <f>IF($E76="pre",0,N('Month-End'!$BU$49))</f>
        <v/>
      </c>
      <c r="BD76">
        <f>IF($E76="pre",0,N('Month-End'!$BU$50))</f>
        <v/>
      </c>
      <c r="BE76">
        <f>IF(OR(Settings!$C$45="",Settings!$D$45=""),0,Settings!$C$45*IF(Settings!$D$45="Weekly",IF(IFERROR(MATCH(Settings!$E$45,$EO$4:$EO$10,0),0)=0,0,IF(MIN($C76,IF(Settings!$G$45="",$C76,Settings!$G$45))&lt;MAX($A76,Settings!$F$45),0,INT((MIN($C76,IF(Settings!$G$45="",$C76,Settings!$G$45))-MAX($A76,Settings!$F$45)-MOD(IFERROR(MATCH(Settings!$E$45,$EO$4:$EO$10,0),0)-WEEKDAY(MAX($A76,Settings!$F$45)),7))/7)+1)),IF(AND(IF(Settings!$E$45="",$B76,DATE(YEAR($A76),MONTH($A76),MIN(Settings!$E$45,DAY($B76))))&gt;=MAX($A76,Settings!$F$45),IF(Settings!$E$45="",$B76,DATE(YEAR($A76),MONTH($A76),MIN(Settings!$E$45,DAY($B76))))&lt;=MIN($C76,IF(Settings!$G$45="",$C76,Settings!$G$45))),1,0)))</f>
        <v/>
      </c>
      <c r="BF76">
        <f>IF(OR(Settings!$C$46="",Settings!$D$46=""),0,Settings!$C$46*IF(Settings!$D$46="Weekly",IF(IFERROR(MATCH(Settings!$E$46,$EO$4:$EO$10,0),0)=0,0,IF(MIN($C76,IF(Settings!$G$46="",$C76,Settings!$G$46))&lt;MAX($A76,Settings!$F$46),0,INT((MIN($C76,IF(Settings!$G$46="",$C76,Settings!$G$46))-MAX($A76,Settings!$F$46)-MOD(IFERROR(MATCH(Settings!$E$46,$EO$4:$EO$10,0),0)-WEEKDAY(MAX($A76,Settings!$F$46)),7))/7)+1)),IF(AND(IF(Settings!$E$46="",$B76,DATE(YEAR($A76),MONTH($A76),MIN(Settings!$E$46,DAY($B76))))&gt;=MAX($A76,Settings!$F$46),IF(Settings!$E$46="",$B76,DATE(YEAR($A76),MONTH($A76),MIN(Settings!$E$46,DAY($B76))))&lt;=MIN($C76,IF(Settings!$G$46="",$C76,Settings!$G$46))),1,0)))</f>
        <v/>
      </c>
      <c r="BG76">
        <f>IF(OR(Settings!$C$47="",Settings!$D$47=""),0,Settings!$C$47*IF(Settings!$D$47="Weekly",IF(IFERROR(MATCH(Settings!$E$47,$EO$4:$EO$10,0),0)=0,0,IF(MIN($C76,IF(Settings!$G$47="",$C76,Settings!$G$47))&lt;MAX($A76,Settings!$F$47),0,INT((MIN($C76,IF(Settings!$G$47="",$C76,Settings!$G$47))-MAX($A76,Settings!$F$47)-MOD(IFERROR(MATCH(Settings!$E$47,$EO$4:$EO$10,0),0)-WEEKDAY(MAX($A76,Settings!$F$47)),7))/7)+1)),IF(AND(IF(Settings!$E$47="",$B76,DATE(YEAR($A76),MONTH($A76),MIN(Settings!$E$47,DAY($B76))))&gt;=MAX($A76,Settings!$F$47),IF(Settings!$E$47="",$B76,DATE(YEAR($A76),MONTH($A76),MIN(Settings!$E$47,DAY($B76))))&lt;=MIN($C76,IF(Settings!$G$47="",$C76,Settings!$G$47))),1,0)))</f>
        <v/>
      </c>
      <c r="BH76">
        <f>IF(OR(Settings!$C$48="",Settings!$D$48=""),0,Settings!$C$48*IF(Settings!$D$48="Weekly",IF(IFERROR(MATCH(Settings!$E$48,$EO$4:$EO$10,0),0)=0,0,IF(MIN($C76,IF(Settings!$G$48="",$C76,Settings!$G$48))&lt;MAX($A76,Settings!$F$48),0,INT((MIN($C76,IF(Settings!$G$48="",$C76,Settings!$G$48))-MAX($A76,Settings!$F$48)-MOD(IFERROR(MATCH(Settings!$E$48,$EO$4:$EO$10,0),0)-WEEKDAY(MAX($A76,Settings!$F$48)),7))/7)+1)),IF(AND(IF(Settings!$E$48="",$B76,DATE(YEAR($A76),MONTH($A76),MIN(Settings!$E$48,DAY($B76))))&gt;=MAX($A76,Settings!$F$48),IF(Settings!$E$48="",$B76,DATE(YEAR($A76),MONTH($A76),MIN(Settings!$E$48,DAY($B76))))&lt;=MIN($C76,IF(Settings!$G$48="",$C76,Settings!$G$48))),1,0)))</f>
        <v/>
      </c>
      <c r="BI76">
        <f>IF(OR(Settings!$C$49="",Settings!$D$49=""),0,Settings!$C$49*IF(Settings!$D$49="Weekly",IF(IFERROR(MATCH(Settings!$E$49,$EO$4:$EO$10,0),0)=0,0,IF(MIN($C76,IF(Settings!$G$49="",$C76,Settings!$G$49))&lt;MAX($A76,Settings!$F$49),0,INT((MIN($C76,IF(Settings!$G$49="",$C76,Settings!$G$49))-MAX($A76,Settings!$F$49)-MOD(IFERROR(MATCH(Settings!$E$49,$EO$4:$EO$10,0),0)-WEEKDAY(MAX($A76,Settings!$F$49)),7))/7)+1)),IF(AND(IF(Settings!$E$49="",$B76,DATE(YEAR($A76),MONTH($A76),MIN(Settings!$E$49,DAY($B76))))&gt;=MAX($A76,Settings!$F$49),IF(Settings!$E$49="",$B76,DATE(YEAR($A76),MONTH($A76),MIN(Settings!$E$49,DAY($B76))))&lt;=MIN($C76,IF(Settings!$G$49="",$C76,Settings!$G$49))),1,0)))</f>
        <v/>
      </c>
      <c r="BJ76">
        <f>IF(OR(Settings!$C$50="",Settings!$D$50=""),0,Settings!$C$50*IF(Settings!$D$50="Weekly",IF(IFERROR(MATCH(Settings!$E$50,$EO$4:$EO$10,0),0)=0,0,IF(MIN($C76,IF(Settings!$G$50="",$C76,Settings!$G$50))&lt;MAX($A76,Settings!$F$50),0,INT((MIN($C76,IF(Settings!$G$50="",$C76,Settings!$G$50))-MAX($A76,Settings!$F$50)-MOD(IFERROR(MATCH(Settings!$E$50,$EO$4:$EO$10,0),0)-WEEKDAY(MAX($A76,Settings!$F$50)),7))/7)+1)),IF(AND(IF(Settings!$E$50="",$B76,DATE(YEAR($A76),MONTH($A76),MIN(Settings!$E$50,DAY($B76))))&gt;=MAX($A76,Settings!$F$50),IF(Settings!$E$50="",$B76,DATE(YEAR($A76),MONTH($A76),MIN(Settings!$E$50,DAY($B76))))&lt;=MIN($C76,IF(Settings!$G$50="",$C76,Settings!$G$50))),1,0)))</f>
        <v/>
      </c>
      <c r="BK76">
        <f>IF(OR(Settings!$C$51="",Settings!$D$51=""),0,Settings!$C$51*IF(Settings!$D$51="Weekly",IF(IFERROR(MATCH(Settings!$E$51,$EO$4:$EO$10,0),0)=0,0,IF(MIN($C76,IF(Settings!$G$51="",$C76,Settings!$G$51))&lt;MAX($A76,Settings!$F$51),0,INT((MIN($C76,IF(Settings!$G$51="",$C76,Settings!$G$51))-MAX($A76,Settings!$F$51)-MOD(IFERROR(MATCH(Settings!$E$51,$EO$4:$EO$10,0),0)-WEEKDAY(MAX($A76,Settings!$F$51)),7))/7)+1)),IF(AND(IF(Settings!$E$51="",$B76,DATE(YEAR($A76),MONTH($A76),MIN(Settings!$E$51,DAY($B76))))&gt;=MAX($A76,Settings!$F$51),IF(Settings!$E$51="",$B76,DATE(YEAR($A76),MONTH($A76),MIN(Settings!$E$51,DAY($B76))))&lt;=MIN($C76,IF(Settings!$G$51="",$C76,Settings!$G$51))),1,0)))</f>
        <v/>
      </c>
      <c r="BL76">
        <f>IF(OR(Settings!$C$52="",Settings!$D$52=""),0,Settings!$C$52*IF(Settings!$D$52="Weekly",IF(IFERROR(MATCH(Settings!$E$52,$EO$4:$EO$10,0),0)=0,0,IF(MIN($C76,IF(Settings!$G$52="",$C76,Settings!$G$52))&lt;MAX($A76,Settings!$F$52),0,INT((MIN($C76,IF(Settings!$G$52="",$C76,Settings!$G$52))-MAX($A76,Settings!$F$52)-MOD(IFERROR(MATCH(Settings!$E$52,$EO$4:$EO$10,0),0)-WEEKDAY(MAX($A76,Settings!$F$52)),7))/7)+1)),IF(AND(IF(Settings!$E$52="",$B76,DATE(YEAR($A76),MONTH($A76),MIN(Settings!$E$52,DAY($B76))))&gt;=MAX($A76,Settings!$F$52),IF(Settings!$E$52="",$B76,DATE(YEAR($A76),MONTH($A76),MIN(Settings!$E$52,DAY($B76))))&lt;=MIN($C76,IF(Settings!$G$52="",$C76,Settings!$G$52))),1,0)))</f>
        <v/>
      </c>
      <c r="BM76">
        <f>IF(OR(Settings!$C$53="",Settings!$D$53=""),0,Settings!$C$53*IF(Settings!$D$53="Weekly",IF(IFERROR(MATCH(Settings!$E$53,$EO$4:$EO$10,0),0)=0,0,IF(MIN($C76,IF(Settings!$G$53="",$C76,Settings!$G$53))&lt;MAX($A76,Settings!$F$53),0,INT((MIN($C76,IF(Settings!$G$53="",$C76,Settings!$G$53))-MAX($A76,Settings!$F$53)-MOD(IFERROR(MATCH(Settings!$E$53,$EO$4:$EO$10,0),0)-WEEKDAY(MAX($A76,Settings!$F$53)),7))/7)+1)),IF(AND(IF(Settings!$E$53="",$B76,DATE(YEAR($A76),MONTH($A76),MIN(Settings!$E$53,DAY($B76))))&gt;=MAX($A76,Settings!$F$53),IF(Settings!$E$53="",$B76,DATE(YEAR($A76),MONTH($A76),MIN(Settings!$E$53,DAY($B76))))&lt;=MIN($C76,IF(Settings!$G$53="",$C76,Settings!$G$53))),1,0)))</f>
        <v/>
      </c>
      <c r="BN76">
        <f>IF(OR(Settings!$C$54="",Settings!$D$54=""),0,Settings!$C$54*IF(Settings!$D$54="Weekly",IF(IFERROR(MATCH(Settings!$E$54,$EO$4:$EO$10,0),0)=0,0,IF(MIN($C76,IF(Settings!$G$54="",$C76,Settings!$G$54))&lt;MAX($A76,Settings!$F$54),0,INT((MIN($C76,IF(Settings!$G$54="",$C76,Settings!$G$54))-MAX($A76,Settings!$F$54)-MOD(IFERROR(MATCH(Settings!$E$54,$EO$4:$EO$10,0),0)-WEEKDAY(MAX($A76,Settings!$F$54)),7))/7)+1)),IF(AND(IF(Settings!$E$54="",$B76,DATE(YEAR($A76),MONTH($A76),MIN(Settings!$E$54,DAY($B76))))&gt;=MAX($A76,Settings!$F$54),IF(Settings!$E$54="",$B76,DATE(YEAR($A76),MONTH($A76),MIN(Settings!$E$54,DAY($B76))))&lt;=MIN($C76,IF(Settings!$G$54="",$C76,Settings!$G$54))),1,0)))</f>
        <v/>
      </c>
      <c r="BO76">
        <f>IF(OR(Settings!$C$55="",Settings!$D$55=""),0,Settings!$C$55*IF(Settings!$D$55="Weekly",IF(IFERROR(MATCH(Settings!$E$55,$EO$4:$EO$10,0),0)=0,0,IF(MIN($C76,IF(Settings!$G$55="",$C76,Settings!$G$55))&lt;MAX($A76,Settings!$F$55),0,INT((MIN($C76,IF(Settings!$G$55="",$C76,Settings!$G$55))-MAX($A76,Settings!$F$55)-MOD(IFERROR(MATCH(Settings!$E$55,$EO$4:$EO$10,0),0)-WEEKDAY(MAX($A76,Settings!$F$55)),7))/7)+1)),IF(AND(IF(Settings!$E$55="",$B76,DATE(YEAR($A76),MONTH($A76),MIN(Settings!$E$55,DAY($B76))))&gt;=MAX($A76,Settings!$F$55),IF(Settings!$E$55="",$B76,DATE(YEAR($A76),MONTH($A76),MIN(Settings!$E$55,DAY($B76))))&lt;=MIN($C76,IF(Settings!$G$55="",$C76,Settings!$G$55))),1,0)))</f>
        <v/>
      </c>
      <c r="BP76">
        <f>IF(OR(Settings!$C$56="",Settings!$D$56=""),0,Settings!$C$56*IF(Settings!$D$56="Weekly",IF(IFERROR(MATCH(Settings!$E$56,$EO$4:$EO$10,0),0)=0,0,IF(MIN($C76,IF(Settings!$G$56="",$C76,Settings!$G$56))&lt;MAX($A76,Settings!$F$56),0,INT((MIN($C76,IF(Settings!$G$56="",$C76,Settings!$G$56))-MAX($A76,Settings!$F$56)-MOD(IFERROR(MATCH(Settings!$E$56,$EO$4:$EO$10,0),0)-WEEKDAY(MAX($A76,Settings!$F$56)),7))/7)+1)),IF(AND(IF(Settings!$E$56="",$B76,DATE(YEAR($A76),MONTH($A76),MIN(Settings!$E$56,DAY($B76))))&gt;=MAX($A76,Settings!$F$56),IF(Settings!$E$56="",$B76,DATE(YEAR($A76),MONTH($A76),MIN(Settings!$E$56,DAY($B76))))&lt;=MIN($C76,IF(Settings!$G$56="",$C76,Settings!$G$56))),1,0)))</f>
        <v/>
      </c>
      <c r="BQ76">
        <f>IF(OR(Settings!$B$14="",$D76=1,$E76="pre",$A76&lt;IF(Settings!$B$15="",0,Settings!$B$15)),0,Settings!$B$14)</f>
        <v/>
      </c>
      <c r="BR76">
        <f>IF(AND('Month-End'!$BU$7&lt;&gt;"",NOT(_xlfn.ISFORMULA('Month-End'!$BU$7))),1,0)</f>
        <v/>
      </c>
      <c r="BS76">
        <f>IF(AND('Month-End'!$BU$8&lt;&gt;"",NOT(_xlfn.ISFORMULA('Month-End'!$BU$8))),1,0)</f>
        <v/>
      </c>
      <c r="BT76">
        <f>IF(AND('Month-End'!$BU$9&lt;&gt;"",NOT(_xlfn.ISFORMULA('Month-End'!$BU$9))),1,0)</f>
        <v/>
      </c>
      <c r="BU76">
        <f>IF(AND('Month-End'!$BU$10&lt;&gt;"",NOT(_xlfn.ISFORMULA('Month-End'!$BU$10))),1,0)</f>
        <v/>
      </c>
      <c r="BV76">
        <f>IF(AND('Month-End'!$BU$11&lt;&gt;"",NOT(_xlfn.ISFORMULA('Month-End'!$BU$11))),1,0)</f>
        <v/>
      </c>
      <c r="BW76">
        <f>IF(AND('Month-End'!$BU$12&lt;&gt;"",NOT(_xlfn.ISFORMULA('Month-End'!$BU$12))),1,0)</f>
        <v/>
      </c>
      <c r="BX76">
        <f>IF(AND('Month-End'!$BU$13&lt;&gt;"",NOT(_xlfn.ISFORMULA('Month-End'!$BU$13))),1,0)</f>
        <v/>
      </c>
      <c r="BY76">
        <f>IF(AND('Month-End'!$BU$14&lt;&gt;"",NOT(_xlfn.ISFORMULA('Month-End'!$BU$14))),1,0)</f>
        <v/>
      </c>
      <c r="BZ76">
        <f>IF(AND('Month-End'!$BU$15&lt;&gt;"",NOT(_xlfn.ISFORMULA('Month-End'!$BU$15))),1,0)</f>
        <v/>
      </c>
      <c r="CA76">
        <f>IF(AND('Month-End'!$BU$16&lt;&gt;"",NOT(_xlfn.ISFORMULA('Month-End'!$BU$16))),1,0)</f>
        <v/>
      </c>
      <c r="CB76">
        <f>IF(AND('Month-End'!$BU$17&lt;&gt;"",NOT(_xlfn.ISFORMULA('Month-End'!$BU$17))),1,0)</f>
        <v/>
      </c>
      <c r="CC76">
        <f>IF(AND('Month-End'!$BU$18&lt;&gt;"",NOT(_xlfn.ISFORMULA('Month-End'!$BU$18))),1,0)</f>
        <v/>
      </c>
      <c r="CD76">
        <f>IF(AND('Month-End'!$BU$19&lt;&gt;"",NOT(_xlfn.ISFORMULA('Month-End'!$BU$19))),1,0)</f>
        <v/>
      </c>
      <c r="CE76">
        <f>IF(AND('Month-End'!$BU$20&lt;&gt;"",NOT(_xlfn.ISFORMULA('Month-End'!$BU$20))),1,0)</f>
        <v/>
      </c>
      <c r="CF76">
        <f>IF(AND('Month-End'!$BU$38&lt;&gt;"",NOT(_xlfn.ISFORMULA('Month-End'!$BU$38))),1,0)</f>
        <v/>
      </c>
      <c r="CG76">
        <f>IF(AND('Month-End'!$BU$39&lt;&gt;"",NOT(_xlfn.ISFORMULA('Month-End'!$BU$39))),1,0)</f>
        <v/>
      </c>
      <c r="CH76">
        <f>IF(AND('Month-End'!$BU$40&lt;&gt;"",NOT(_xlfn.ISFORMULA('Month-End'!$BU$40))),1,0)</f>
        <v/>
      </c>
      <c r="CI76">
        <f>IF(AND('Month-End'!$BU$41&lt;&gt;"",NOT(_xlfn.ISFORMULA('Month-End'!$BU$41))),1,0)</f>
        <v/>
      </c>
      <c r="CJ76">
        <f>IF(AND('Month-End'!$BU$42&lt;&gt;"",NOT(_xlfn.ISFORMULA('Month-End'!$BU$42))),1,0)</f>
        <v/>
      </c>
      <c r="CK76">
        <f>IF(AND('Month-End'!$BU$43&lt;&gt;"",NOT(_xlfn.ISFORMULA('Month-End'!$BU$43))),1,0)</f>
        <v/>
      </c>
      <c r="CL76">
        <f>SUM($CM76:$CZ76)</f>
        <v/>
      </c>
      <c r="CM76">
        <f>IF(AND($E76&lt;&gt;"pre",AND(Settings!$A$19&lt;&gt;"",Settings!$E$19&lt;&gt;"No"),Settings!$F$19="Yes",NOT(AND('Month-End'!$BU$7&lt;&gt;"",NOT(_xlfn.ISFORMULA('Month-End'!$BU$7))))),1,0)</f>
        <v/>
      </c>
      <c r="CN76">
        <f>IF(AND($E76&lt;&gt;"pre",AND(Settings!$A$20&lt;&gt;"",Settings!$E$20&lt;&gt;"No"),Settings!$F$20="Yes",NOT(AND('Month-End'!$BU$8&lt;&gt;"",NOT(_xlfn.ISFORMULA('Month-End'!$BU$8))))),1,0)</f>
        <v/>
      </c>
      <c r="CO76">
        <f>IF(AND($E76&lt;&gt;"pre",AND(Settings!$A$21&lt;&gt;"",Settings!$E$21&lt;&gt;"No"),Settings!$F$21="Yes",NOT(AND('Month-End'!$BU$9&lt;&gt;"",NOT(_xlfn.ISFORMULA('Month-End'!$BU$9))))),1,0)</f>
        <v/>
      </c>
      <c r="CP76">
        <f>IF(AND($E76&lt;&gt;"pre",AND(Settings!$A$22&lt;&gt;"",Settings!$E$22&lt;&gt;"No"),Settings!$F$22="Yes",NOT(AND('Month-End'!$BU$10&lt;&gt;"",NOT(_xlfn.ISFORMULA('Month-End'!$BU$10))))),1,0)</f>
        <v/>
      </c>
      <c r="CQ76">
        <f>IF(AND($E76&lt;&gt;"pre",AND(Settings!$A$23&lt;&gt;"",Settings!$E$23&lt;&gt;"No"),Settings!$F$23="Yes",NOT(AND('Month-End'!$BU$11&lt;&gt;"",NOT(_xlfn.ISFORMULA('Month-End'!$BU$11))))),1,0)</f>
        <v/>
      </c>
      <c r="CR76">
        <f>IF(AND($E76&lt;&gt;"pre",AND(Settings!$A$24&lt;&gt;"",Settings!$E$24&lt;&gt;"No"),Settings!$F$24="Yes",NOT(AND('Month-End'!$BU$12&lt;&gt;"",NOT(_xlfn.ISFORMULA('Month-End'!$BU$12))))),1,0)</f>
        <v/>
      </c>
      <c r="CS76">
        <f>IF(AND($E76&lt;&gt;"pre",AND(Settings!$A$25&lt;&gt;"",Settings!$E$25&lt;&gt;"No"),Settings!$F$25="Yes",NOT(AND('Month-End'!$BU$13&lt;&gt;"",NOT(_xlfn.ISFORMULA('Month-End'!$BU$13))))),1,0)</f>
        <v/>
      </c>
      <c r="CT76">
        <f>IF(AND($E76&lt;&gt;"pre",AND(Settings!$A$26&lt;&gt;"",Settings!$E$26&lt;&gt;"No"),Settings!$F$26="Yes",NOT(AND('Month-End'!$BU$14&lt;&gt;"",NOT(_xlfn.ISFORMULA('Month-End'!$BU$14))))),1,0)</f>
        <v/>
      </c>
      <c r="CU76">
        <f>IF(AND($E76&lt;&gt;"pre",AND(Settings!$A$27&lt;&gt;"",Settings!$E$27&lt;&gt;"No"),Settings!$F$27="Yes",NOT(AND('Month-End'!$BU$15&lt;&gt;"",NOT(_xlfn.ISFORMULA('Month-End'!$BU$15))))),1,0)</f>
        <v/>
      </c>
      <c r="CV76">
        <f>IF(AND($E76&lt;&gt;"pre",AND(Settings!$A$28&lt;&gt;"",Settings!$E$28&lt;&gt;"No"),Settings!$F$28="Yes",NOT(AND('Month-End'!$BU$16&lt;&gt;"",NOT(_xlfn.ISFORMULA('Month-End'!$BU$16))))),1,0)</f>
        <v/>
      </c>
      <c r="CW76">
        <f>IF(AND($E76&lt;&gt;"pre",AND(Settings!$A$29&lt;&gt;"",Settings!$E$29&lt;&gt;"No"),Settings!$F$29="Yes",NOT(AND('Month-End'!$BU$17&lt;&gt;"",NOT(_xlfn.ISFORMULA('Month-End'!$BU$17))))),1,0)</f>
        <v/>
      </c>
      <c r="CX76">
        <f>IF(AND($E76&lt;&gt;"pre",AND(Settings!$A$30&lt;&gt;"",Settings!$E$30&lt;&gt;"No"),Settings!$F$30="Yes",NOT(AND('Month-End'!$BU$18&lt;&gt;"",NOT(_xlfn.ISFORMULA('Month-End'!$BU$18))))),1,0)</f>
        <v/>
      </c>
      <c r="CY76">
        <f>IF(AND($E76&lt;&gt;"pre",AND(Settings!$A$31&lt;&gt;"",Settings!$E$31&lt;&gt;"No"),Settings!$F$31="Yes",NOT(AND('Month-End'!$BU$19&lt;&gt;"",NOT(_xlfn.ISFORMULA('Month-End'!$BU$19))))),1,0)</f>
        <v/>
      </c>
      <c r="CZ76">
        <f>IF(AND($E76&lt;&gt;"pre",AND(Settings!$A$32&lt;&gt;"",Settings!$E$32&lt;&gt;"No"),Settings!$F$32="Yes",NOT(AND('Month-End'!$BU$20&lt;&gt;"",NOT(_xlfn.ISFORMULA('Month-End'!$BU$20))))),1,0)</f>
        <v/>
      </c>
      <c r="DA76">
        <f>IF($DT76=1,IF(OR(Settings!$B$19="Checking",Settings!$B$19="Savings",Settings!$B$19="Cash"),N($AE76),IF(OR(Settings!$B$19="Card",Settings!$B$19="Loan"),-N($AE76),0))+IF(OR(Settings!$B$20="Checking",Settings!$B$20="Savings",Settings!$B$20="Cash"),N($AF76),IF(OR(Settings!$B$20="Card",Settings!$B$20="Loan"),-N($AF76),0))+IF(OR(Settings!$B$21="Checking",Settings!$B$21="Savings",Settings!$B$21="Cash"),N($AG76),IF(OR(Settings!$B$21="Card",Settings!$B$21="Loan"),-N($AG76),0))+IF(OR(Settings!$B$22="Checking",Settings!$B$22="Savings",Settings!$B$22="Cash"),N($AH76),IF(OR(Settings!$B$22="Card",Settings!$B$22="Loan"),-N($AH76),0))+IF(OR(Settings!$B$23="Checking",Settings!$B$23="Savings",Settings!$B$23="Cash"),N($AI76),IF(OR(Settings!$B$23="Card",Settings!$B$23="Loan"),-N($AI76),0))+IF(OR(Settings!$B$24="Checking",Settings!$B$24="Savings",Settings!$B$24="Cash"),N($AJ76),IF(OR(Settings!$B$24="Card",Settings!$B$24="Loan"),-N($AJ76),0))+IF(OR(Settings!$B$25="Checking",Settings!$B$25="Savings",Settings!$B$25="Cash"),N($AK76),IF(OR(Settings!$B$25="Card",Settings!$B$25="Loan"),-N($AK76),0))+IF(OR(Settings!$B$26="Checking",Settings!$B$26="Savings",Settings!$B$26="Cash"),N($AL76),IF(OR(Settings!$B$26="Card",Settings!$B$26="Loan"),-N($AL76),0))+IF(OR(Settings!$B$27="Checking",Settings!$B$27="Savings",Settings!$B$27="Cash"),N($AM76),IF(OR(Settings!$B$27="Card",Settings!$B$27="Loan"),-N($AM76),0))+IF(OR(Settings!$B$28="Checking",Settings!$B$28="Savings",Settings!$B$28="Cash"),N($AN76),IF(OR(Settings!$B$28="Card",Settings!$B$28="Loan"),-N($AN76),0))+IF(OR(Settings!$B$29="Checking",Settings!$B$29="Savings",Settings!$B$29="Cash"),N($AO76),IF(OR(Settings!$B$29="Card",Settings!$B$29="Loan"),-N($AO76),0))+IF(OR(Settings!$B$30="Checking",Settings!$B$30="Savings",Settings!$B$30="Cash"),N($AP76),IF(OR(Settings!$B$30="Card",Settings!$B$30="Loan"),-N($AP76),0))+IF(OR(Settings!$B$31="Checking",Settings!$B$31="Savings",Settings!$B$31="Cash"),N($AQ76),IF(OR(Settings!$B$31="Card",Settings!$B$31="Loan"),-N($AQ76),0))+IF(OR(Settings!$B$32="Checking",Settings!$B$32="Savings",Settings!$B$32="Cash"),N($AR76),IF(OR(Settings!$B$32="Card",Settings!$B$32="Loan"),-N($AR76),0)),"")</f>
        <v/>
      </c>
      <c r="DB76">
        <f>IF($E76="open",$EB$27,IF($E76="post",IF($E75="pre",$EB$27,$DA75),""))</f>
        <v/>
      </c>
      <c r="DC76">
        <f>IF($E76="open",1,IF($E76="post",IF($E75="pre",1,$DT75),0))</f>
        <v/>
      </c>
      <c r="DD76">
        <f>IF(AND($DT76=1,$DC76=1),ROUND($W76-($DA76-$DB76)-$AD76-$AB76,2),"")</f>
        <v/>
      </c>
      <c r="DE76">
        <f>IF('Month-End'!$BU$35="",$BQ76,N('Month-End'!$BU$35))</f>
        <v/>
      </c>
      <c r="DF76">
        <f>N('Month-End'!$BU$36)</f>
        <v/>
      </c>
      <c r="DG76">
        <f>IF($DD76="","",$DD76+$DE76)</f>
        <v/>
      </c>
      <c r="DH76">
        <f>IF($DG76="","",$DG76-$DF76)</f>
        <v/>
      </c>
      <c r="DI76">
        <f>IF(OR($E76="pre",$D76=1),"",N($AS76)+N($AT76)+N($AU76)+N($AV76)+N($AW76)+N($AX76))</f>
        <v/>
      </c>
      <c r="DJ76">
        <f>IF($DT76=1,$DA76+N($DI76),"")</f>
        <v/>
      </c>
      <c r="DK76">
        <f>IF($DD76="","",$W76-$DD76-$AB76)</f>
        <v/>
      </c>
      <c r="DL76">
        <f>IF(AND($E76="post",$DD76&lt;&gt;"",$B76&lt;TODAY()),1,0)</f>
        <v/>
      </c>
      <c r="DM76">
        <f>IF($DL76=1,COUNTIF($DL76:$DL$183,1),0)</f>
        <v/>
      </c>
      <c r="DN76">
        <f>IF($D76=1,"",IF($E76="pre","History only",IF($DT76=1,IF($DD76="","⚠ Previous month missing",IF($DD76&lt;0,"⚠ Check: spending &lt; 0",IF($E76="open","✓ Done (partial)","✓ Done"))),IF($B76&gt;=TODAY(),"In progress","⚠ Needs balances"))))</f>
        <v/>
      </c>
      <c r="DO76">
        <f>YEAR($A76)</f>
        <v/>
      </c>
      <c r="DP76">
        <f>DATE(YEAR($A76),INT((MONTH($A76)-1)/3)*3+1,1)</f>
        <v/>
      </c>
      <c r="DQ76">
        <f>IF(AND($DT76=1,$DD76&lt;&gt;"",$D76=0),ROW(),0)</f>
        <v/>
      </c>
      <c r="DR76">
        <f>IF(AND($E76&lt;&gt;"pre",$B76&lt;TODAY(),$DT76=0),1,0)</f>
        <v/>
      </c>
      <c r="DS76">
        <f>IF($DJ76="",NA(),$DJ76)</f>
        <v/>
      </c>
      <c r="DT76">
        <f>IF(AND($E76&lt;&gt;"pre",$CL76=0,COUNTIFS(Settings!$F$19:$F$32,"Yes",Settings!$A$19:$A$32,"&lt;&gt;",Settings!$E$19:$E$32,"&lt;&gt;No")&gt;0),1,0)</f>
        <v/>
      </c>
      <c r="DU76">
        <f>IF(AND($B76&lt;TODAY(),$S76&gt;0),1,0)</f>
        <v/>
      </c>
      <c r="DV76">
        <f>IF($DU76=1,COUNTIF($DU76:$DU$183,1),0)</f>
        <v/>
      </c>
      <c r="DW76">
        <f>IF(AND(OR(Settings!$B$19="Card",Settings!$B$19="Loan"),AND('Month-End'!$BU$7&lt;&gt;"",NOT(_xlfn.ISFORMULA('Month-End'!$BU$7)))),IF(N('Month-End'!$BU$7)&lt;0,1,0),0)+IF(AND(OR(Settings!$B$20="Card",Settings!$B$20="Loan"),AND('Month-End'!$BU$8&lt;&gt;"",NOT(_xlfn.ISFORMULA('Month-End'!$BU$8)))),IF(N('Month-End'!$BU$8)&lt;0,1,0),0)+IF(AND(OR(Settings!$B$21="Card",Settings!$B$21="Loan"),AND('Month-End'!$BU$9&lt;&gt;"",NOT(_xlfn.ISFORMULA('Month-End'!$BU$9)))),IF(N('Month-End'!$BU$9)&lt;0,1,0),0)+IF(AND(OR(Settings!$B$22="Card",Settings!$B$22="Loan"),AND('Month-End'!$BU$10&lt;&gt;"",NOT(_xlfn.ISFORMULA('Month-End'!$BU$10)))),IF(N('Month-End'!$BU$10)&lt;0,1,0),0)+IF(AND(OR(Settings!$B$23="Card",Settings!$B$23="Loan"),AND('Month-End'!$BU$11&lt;&gt;"",NOT(_xlfn.ISFORMULA('Month-End'!$BU$11)))),IF(N('Month-End'!$BU$11)&lt;0,1,0),0)+IF(AND(OR(Settings!$B$24="Card",Settings!$B$24="Loan"),AND('Month-End'!$BU$12&lt;&gt;"",NOT(_xlfn.ISFORMULA('Month-End'!$BU$12)))),IF(N('Month-End'!$BU$12)&lt;0,1,0),0)+IF(AND(OR(Settings!$B$25="Card",Settings!$B$25="Loan"),AND('Month-End'!$BU$13&lt;&gt;"",NOT(_xlfn.ISFORMULA('Month-End'!$BU$13)))),IF(N('Month-End'!$BU$13)&lt;0,1,0),0)+IF(AND(OR(Settings!$B$26="Card",Settings!$B$26="Loan"),AND('Month-End'!$BU$14&lt;&gt;"",NOT(_xlfn.ISFORMULA('Month-End'!$BU$14)))),IF(N('Month-End'!$BU$14)&lt;0,1,0),0)+IF(AND(OR(Settings!$B$27="Card",Settings!$B$27="Loan"),AND('Month-End'!$BU$15&lt;&gt;"",NOT(_xlfn.ISFORMULA('Month-End'!$BU$15)))),IF(N('Month-End'!$BU$15)&lt;0,1,0),0)+IF(AND(OR(Settings!$B$28="Card",Settings!$B$28="Loan"),AND('Month-End'!$BU$16&lt;&gt;"",NOT(_xlfn.ISFORMULA('Month-End'!$BU$16)))),IF(N('Month-End'!$BU$16)&lt;0,1,0),0)+IF(AND(OR(Settings!$B$29="Card",Settings!$B$29="Loan"),AND('Month-End'!$BU$17&lt;&gt;"",NOT(_xlfn.ISFORMULA('Month-End'!$BU$17)))),IF(N('Month-End'!$BU$17)&lt;0,1,0),0)+IF(AND(OR(Settings!$B$30="Card",Settings!$B$30="Loan"),AND('Month-End'!$BU$18&lt;&gt;"",NOT(_xlfn.ISFORMULA('Month-End'!$BU$18)))),IF(N('Month-End'!$BU$18)&lt;0,1,0),0)+IF(AND(OR(Settings!$B$31="Card",Settings!$B$31="Loan"),AND('Month-End'!$BU$19&lt;&gt;"",NOT(_xlfn.ISFORMULA('Month-End'!$BU$19)))),IF(N('Month-End'!$BU$19)&lt;0,1,0),0)+IF(AND(OR(Settings!$B$32="Card",Settings!$B$32="Loan"),AND('Month-End'!$BU$20&lt;&gt;"",NOT(_xlfn.ISFORMULA('Month-End'!$BU$20)))),IF(N('Month-End'!$BU$20)&lt;0,1,0),0)</f>
        <v/>
      </c>
      <c r="DX76">
        <f>IF(Settings!$B$36="Retirement",$AY76,0)+IF(Settings!$B$37="Retirement",$AZ76,0)+IF(Settings!$B$38="Retirement",$BA76,0)+IF(Settings!$B$39="Retirement",$BB76,0)+IF(Settings!$B$40="Retirement",$BC76,0)+IF(Settings!$B$41="Retirement",$BD76,0)</f>
        <v/>
      </c>
      <c r="EA76">
        <f>IF(Settings!$A$75="","",Settings!$A$75)</f>
        <v/>
      </c>
      <c r="EB76">
        <f>IF(Settings!$D$75="",0,IF(Settings!$D$75="Specific Account",IFERROR(INDEX($EB$40:$EB$59,MATCH(Settings!$F$75,$EA$40:$EA$59,0)),0),IFERROR(INDEX($EB$6:$EB$26,MATCH(Settings!$D$75,$EA$6:$EA$26,0)),0)))</f>
        <v/>
      </c>
      <c r="EC76">
        <f>IF(Settings!$A$75="","",IF(Settings!$B$75="Tithe Balance",$EB$23,IF(Settings!$E$75="Specific Account",IFERROR(INDEX($EB$40:$EB$59,MATCH(Settings!$F$75,$EA$40:$EA$59,0)),0),IFERROR(INDEX($EB$6:$EB$26,MATCH(Settings!$E$75,$EA$6:$EA$26,0)),0))))</f>
        <v/>
      </c>
      <c r="ED76">
        <f>IF(Settings!$A$75="","",IF(Settings!$B$75="Percentage",EB76*N(Settings!$C$75)/100,IF(Settings!$B$75="Multiple",EB76*N(Settings!$C$75),IF(Settings!$B$75="Tithe Balance",$EB$22,N(Settings!$C$75)))))</f>
        <v/>
      </c>
      <c r="EE76">
        <f>IF(Settings!$A$75="","",IF(Settings!$B$75="Pay Down To",MAX(0,EC76-ED76),MAX(0,ED76-EC76)))</f>
        <v/>
      </c>
      <c r="EF76">
        <f>IF(Settings!$A$75="","",IF(Settings!$B$75="Pay Down To",IF(EC76&lt;=ED76,"Met","Above target"),IF(EC76&gt;=ED76-0.005,"Met","Remaining")))</f>
        <v/>
      </c>
      <c r="EG76">
        <f>IF(Settings!$A$75="","",IF(Settings!$B$75="Pay Down To",IF(EC76&lt;=0,1,MIN(1,ED76/EC76)),IF(ED76&lt;=0,1,EC76/ED76)))</f>
        <v/>
      </c>
      <c r="EH76">
        <f>IF(OR(Settings!$A$75="",EE76&lt;=0),"",IF(Settings!$B$75="Save By Date",IF(Settings!$G$75="","Set a target date","Need "&amp;TEXT(EE76/MAX(1,(YEAR(Settings!$G$75)-YEAR(TODAY()))*12+MONTH(Settings!$G$75)-MONTH(TODAY())+1),"$#,##0")&amp;"/mo to "&amp;TEXT(Settings!$G$75,"mmm yyyy")),IF(Settings!$B$75="Annual Contribution","Need "&amp;TEXT(EE76/MAX(1,12-MONTH(TODAY())+1),"$#,##0")&amp;"/mo rest of year",IF(Settings!$B$75="Tithe Balance","This quarter",""))))</f>
        <v/>
      </c>
      <c r="ET76">
        <f>IF($E76&lt;&gt;"open",0,IF(AND('Month-End'!$BU$22&lt;&gt;"",NOT(_xlfn.ISFORMULA('Month-End'!$BU$22))),0,IF(OR(Settings!$C$45="",Settings!$D$45=""),0,Settings!$C$45*IF(Settings!$D$45="Weekly",IF(IFERROR(MATCH(Settings!$E$45,$EO$4:$EO$10,0),0)=0,0,IF(MIN(Settings!$B$5,IF(Settings!$G$45="",Settings!$B$5,Settings!$G$45))&lt;MAX($A76,Settings!$F$45),0,INT((MIN(Settings!$B$5,IF(Settings!$G$45="",Settings!$B$5,Settings!$G$45))-MAX($A76,Settings!$F$45)-MOD(IFERROR(MATCH(Settings!$E$45,$EO$4:$EO$10,0),0)-WEEKDAY(MAX($A76,Settings!$F$45)),7))/7)+1)),IF(AND(IF(Settings!$E$45="",$B76,DATE(YEAR($A76),MONTH($A76),MIN(Settings!$E$45,DAY($B76))))&gt;=MAX($A76,Settings!$F$45),IF(Settings!$E$45="",$B76,DATE(YEAR($A76),MONTH($A76),MIN(Settings!$E$45,DAY($B76))))&lt;=MIN(Settings!$B$5,IF(Settings!$G$45="",Settings!$B$5,Settings!$G$45))),1,0)))))</f>
        <v/>
      </c>
      <c r="EU76">
        <f>IF($E76&lt;&gt;"open",0,IF(AND('Month-End'!$BU$23&lt;&gt;"",NOT(_xlfn.ISFORMULA('Month-End'!$BU$23))),0,IF(OR(Settings!$C$46="",Settings!$D$46=""),0,Settings!$C$46*IF(Settings!$D$46="Weekly",IF(IFERROR(MATCH(Settings!$E$46,$EO$4:$EO$10,0),0)=0,0,IF(MIN(Settings!$B$5,IF(Settings!$G$46="",Settings!$B$5,Settings!$G$46))&lt;MAX($A76,Settings!$F$46),0,INT((MIN(Settings!$B$5,IF(Settings!$G$46="",Settings!$B$5,Settings!$G$46))-MAX($A76,Settings!$F$46)-MOD(IFERROR(MATCH(Settings!$E$46,$EO$4:$EO$10,0),0)-WEEKDAY(MAX($A76,Settings!$F$46)),7))/7)+1)),IF(AND(IF(Settings!$E$46="",$B76,DATE(YEAR($A76),MONTH($A76),MIN(Settings!$E$46,DAY($B76))))&gt;=MAX($A76,Settings!$F$46),IF(Settings!$E$46="",$B76,DATE(YEAR($A76),MONTH($A76),MIN(Settings!$E$46,DAY($B76))))&lt;=MIN(Settings!$B$5,IF(Settings!$G$46="",Settings!$B$5,Settings!$G$46))),1,0)))))</f>
        <v/>
      </c>
      <c r="EV76">
        <f>IF($E76&lt;&gt;"open",0,IF(AND('Month-End'!$BU$24&lt;&gt;"",NOT(_xlfn.ISFORMULA('Month-End'!$BU$24))),0,IF(OR(Settings!$C$47="",Settings!$D$47=""),0,Settings!$C$47*IF(Settings!$D$47="Weekly",IF(IFERROR(MATCH(Settings!$E$47,$EO$4:$EO$10,0),0)=0,0,IF(MIN(Settings!$B$5,IF(Settings!$G$47="",Settings!$B$5,Settings!$G$47))&lt;MAX($A76,Settings!$F$47),0,INT((MIN(Settings!$B$5,IF(Settings!$G$47="",Settings!$B$5,Settings!$G$47))-MAX($A76,Settings!$F$47)-MOD(IFERROR(MATCH(Settings!$E$47,$EO$4:$EO$10,0),0)-WEEKDAY(MAX($A76,Settings!$F$47)),7))/7)+1)),IF(AND(IF(Settings!$E$47="",$B76,DATE(YEAR($A76),MONTH($A76),MIN(Settings!$E$47,DAY($B76))))&gt;=MAX($A76,Settings!$F$47),IF(Settings!$E$47="",$B76,DATE(YEAR($A76),MONTH($A76),MIN(Settings!$E$47,DAY($B76))))&lt;=MIN(Settings!$B$5,IF(Settings!$G$47="",Settings!$B$5,Settings!$G$47))),1,0)))))</f>
        <v/>
      </c>
      <c r="EW76">
        <f>IF($E76&lt;&gt;"open",0,IF(AND('Month-End'!$BU$25&lt;&gt;"",NOT(_xlfn.ISFORMULA('Month-End'!$BU$25))),0,IF(OR(Settings!$C$48="",Settings!$D$48=""),0,Settings!$C$48*IF(Settings!$D$48="Weekly",IF(IFERROR(MATCH(Settings!$E$48,$EO$4:$EO$10,0),0)=0,0,IF(MIN(Settings!$B$5,IF(Settings!$G$48="",Settings!$B$5,Settings!$G$48))&lt;MAX($A76,Settings!$F$48),0,INT((MIN(Settings!$B$5,IF(Settings!$G$48="",Settings!$B$5,Settings!$G$48))-MAX($A76,Settings!$F$48)-MOD(IFERROR(MATCH(Settings!$E$48,$EO$4:$EO$10,0),0)-WEEKDAY(MAX($A76,Settings!$F$48)),7))/7)+1)),IF(AND(IF(Settings!$E$48="",$B76,DATE(YEAR($A76),MONTH($A76),MIN(Settings!$E$48,DAY($B76))))&gt;=MAX($A76,Settings!$F$48),IF(Settings!$E$48="",$B76,DATE(YEAR($A76),MONTH($A76),MIN(Settings!$E$48,DAY($B76))))&lt;=MIN(Settings!$B$5,IF(Settings!$G$48="",Settings!$B$5,Settings!$G$48))),1,0)))))</f>
        <v/>
      </c>
      <c r="EX76">
        <f>IF($E76&lt;&gt;"open",0,IF(AND('Month-End'!$BU$26&lt;&gt;"",NOT(_xlfn.ISFORMULA('Month-End'!$BU$26))),0,IF(OR(Settings!$C$49="",Settings!$D$49=""),0,Settings!$C$49*IF(Settings!$D$49="Weekly",IF(IFERROR(MATCH(Settings!$E$49,$EO$4:$EO$10,0),0)=0,0,IF(MIN(Settings!$B$5,IF(Settings!$G$49="",Settings!$B$5,Settings!$G$49))&lt;MAX($A76,Settings!$F$49),0,INT((MIN(Settings!$B$5,IF(Settings!$G$49="",Settings!$B$5,Settings!$G$49))-MAX($A76,Settings!$F$49)-MOD(IFERROR(MATCH(Settings!$E$49,$EO$4:$EO$10,0),0)-WEEKDAY(MAX($A76,Settings!$F$49)),7))/7)+1)),IF(AND(IF(Settings!$E$49="",$B76,DATE(YEAR($A76),MONTH($A76),MIN(Settings!$E$49,DAY($B76))))&gt;=MAX($A76,Settings!$F$49),IF(Settings!$E$49="",$B76,DATE(YEAR($A76),MONTH($A76),MIN(Settings!$E$49,DAY($B76))))&lt;=MIN(Settings!$B$5,IF(Settings!$G$49="",Settings!$B$5,Settings!$G$49))),1,0)))))</f>
        <v/>
      </c>
      <c r="EY76">
        <f>IF($E76&lt;&gt;"open",0,IF(AND('Month-End'!$BU$27&lt;&gt;"",NOT(_xlfn.ISFORMULA('Month-End'!$BU$27))),0,IF(OR(Settings!$C$50="",Settings!$D$50=""),0,Settings!$C$50*IF(Settings!$D$50="Weekly",IF(IFERROR(MATCH(Settings!$E$50,$EO$4:$EO$10,0),0)=0,0,IF(MIN(Settings!$B$5,IF(Settings!$G$50="",Settings!$B$5,Settings!$G$50))&lt;MAX($A76,Settings!$F$50),0,INT((MIN(Settings!$B$5,IF(Settings!$G$50="",Settings!$B$5,Settings!$G$50))-MAX($A76,Settings!$F$50)-MOD(IFERROR(MATCH(Settings!$E$50,$EO$4:$EO$10,0),0)-WEEKDAY(MAX($A76,Settings!$F$50)),7))/7)+1)),IF(AND(IF(Settings!$E$50="",$B76,DATE(YEAR($A76),MONTH($A76),MIN(Settings!$E$50,DAY($B76))))&gt;=MAX($A76,Settings!$F$50),IF(Settings!$E$50="",$B76,DATE(YEAR($A76),MONTH($A76),MIN(Settings!$E$50,DAY($B76))))&lt;=MIN(Settings!$B$5,IF(Settings!$G$50="",Settings!$B$5,Settings!$G$50))),1,0)))))</f>
        <v/>
      </c>
      <c r="EZ76">
        <f>IF($E76&lt;&gt;"open",0,IF(AND('Month-End'!$BU$28&lt;&gt;"",NOT(_xlfn.ISFORMULA('Month-End'!$BU$28))),0,IF(OR(Settings!$C$51="",Settings!$D$51=""),0,Settings!$C$51*IF(Settings!$D$51="Weekly",IF(IFERROR(MATCH(Settings!$E$51,$EO$4:$EO$10,0),0)=0,0,IF(MIN(Settings!$B$5,IF(Settings!$G$51="",Settings!$B$5,Settings!$G$51))&lt;MAX($A76,Settings!$F$51),0,INT((MIN(Settings!$B$5,IF(Settings!$G$51="",Settings!$B$5,Settings!$G$51))-MAX($A76,Settings!$F$51)-MOD(IFERROR(MATCH(Settings!$E$51,$EO$4:$EO$10,0),0)-WEEKDAY(MAX($A76,Settings!$F$51)),7))/7)+1)),IF(AND(IF(Settings!$E$51="",$B76,DATE(YEAR($A76),MONTH($A76),MIN(Settings!$E$51,DAY($B76))))&gt;=MAX($A76,Settings!$F$51),IF(Settings!$E$51="",$B76,DATE(YEAR($A76),MONTH($A76),MIN(Settings!$E$51,DAY($B76))))&lt;=MIN(Settings!$B$5,IF(Settings!$G$51="",Settings!$B$5,Settings!$G$51))),1,0)))))</f>
        <v/>
      </c>
      <c r="FA76">
        <f>IF($E76&lt;&gt;"open",0,IF(AND('Month-End'!$BU$29&lt;&gt;"",NOT(_xlfn.ISFORMULA('Month-End'!$BU$29))),0,IF(OR(Settings!$C$52="",Settings!$D$52=""),0,Settings!$C$52*IF(Settings!$D$52="Weekly",IF(IFERROR(MATCH(Settings!$E$52,$EO$4:$EO$10,0),0)=0,0,IF(MIN(Settings!$B$5,IF(Settings!$G$52="",Settings!$B$5,Settings!$G$52))&lt;MAX($A76,Settings!$F$52),0,INT((MIN(Settings!$B$5,IF(Settings!$G$52="",Settings!$B$5,Settings!$G$52))-MAX($A76,Settings!$F$52)-MOD(IFERROR(MATCH(Settings!$E$52,$EO$4:$EO$10,0),0)-WEEKDAY(MAX($A76,Settings!$F$52)),7))/7)+1)),IF(AND(IF(Settings!$E$52="",$B76,DATE(YEAR($A76),MONTH($A76),MIN(Settings!$E$52,DAY($B76))))&gt;=MAX($A76,Settings!$F$52),IF(Settings!$E$52="",$B76,DATE(YEAR($A76),MONTH($A76),MIN(Settings!$E$52,DAY($B76))))&lt;=MIN(Settings!$B$5,IF(Settings!$G$52="",Settings!$B$5,Settings!$G$52))),1,0)))))</f>
        <v/>
      </c>
      <c r="FB76">
        <f>IF($E76&lt;&gt;"open",0,IF(AND('Month-End'!$BU$30&lt;&gt;"",NOT(_xlfn.ISFORMULA('Month-End'!$BU$30))),0,IF(OR(Settings!$C$53="",Settings!$D$53=""),0,Settings!$C$53*IF(Settings!$D$53="Weekly",IF(IFERROR(MATCH(Settings!$E$53,$EO$4:$EO$10,0),0)=0,0,IF(MIN(Settings!$B$5,IF(Settings!$G$53="",Settings!$B$5,Settings!$G$53))&lt;MAX($A76,Settings!$F$53),0,INT((MIN(Settings!$B$5,IF(Settings!$G$53="",Settings!$B$5,Settings!$G$53))-MAX($A76,Settings!$F$53)-MOD(IFERROR(MATCH(Settings!$E$53,$EO$4:$EO$10,0),0)-WEEKDAY(MAX($A76,Settings!$F$53)),7))/7)+1)),IF(AND(IF(Settings!$E$53="",$B76,DATE(YEAR($A76),MONTH($A76),MIN(Settings!$E$53,DAY($B76))))&gt;=MAX($A76,Settings!$F$53),IF(Settings!$E$53="",$B76,DATE(YEAR($A76),MONTH($A76),MIN(Settings!$E$53,DAY($B76))))&lt;=MIN(Settings!$B$5,IF(Settings!$G$53="",Settings!$B$5,Settings!$G$53))),1,0)))))</f>
        <v/>
      </c>
      <c r="FC76">
        <f>IF($E76&lt;&gt;"open",0,IF(AND('Month-End'!$BU$31&lt;&gt;"",NOT(_xlfn.ISFORMULA('Month-End'!$BU$31))),0,IF(OR(Settings!$C$54="",Settings!$D$54=""),0,Settings!$C$54*IF(Settings!$D$54="Weekly",IF(IFERROR(MATCH(Settings!$E$54,$EO$4:$EO$10,0),0)=0,0,IF(MIN(Settings!$B$5,IF(Settings!$G$54="",Settings!$B$5,Settings!$G$54))&lt;MAX($A76,Settings!$F$54),0,INT((MIN(Settings!$B$5,IF(Settings!$G$54="",Settings!$B$5,Settings!$G$54))-MAX($A76,Settings!$F$54)-MOD(IFERROR(MATCH(Settings!$E$54,$EO$4:$EO$10,0),0)-WEEKDAY(MAX($A76,Settings!$F$54)),7))/7)+1)),IF(AND(IF(Settings!$E$54="",$B76,DATE(YEAR($A76),MONTH($A76),MIN(Settings!$E$54,DAY($B76))))&gt;=MAX($A76,Settings!$F$54),IF(Settings!$E$54="",$B76,DATE(YEAR($A76),MONTH($A76),MIN(Settings!$E$54,DAY($B76))))&lt;=MIN(Settings!$B$5,IF(Settings!$G$54="",Settings!$B$5,Settings!$G$54))),1,0)))))</f>
        <v/>
      </c>
      <c r="FD76">
        <f>IF($E76&lt;&gt;"open",0,IF(AND('Month-End'!$BU$32&lt;&gt;"",NOT(_xlfn.ISFORMULA('Month-End'!$BU$32))),0,IF(OR(Settings!$C$55="",Settings!$D$55=""),0,Settings!$C$55*IF(Settings!$D$55="Weekly",IF(IFERROR(MATCH(Settings!$E$55,$EO$4:$EO$10,0),0)=0,0,IF(MIN(Settings!$B$5,IF(Settings!$G$55="",Settings!$B$5,Settings!$G$55))&lt;MAX($A76,Settings!$F$55),0,INT((MIN(Settings!$B$5,IF(Settings!$G$55="",Settings!$B$5,Settings!$G$55))-MAX($A76,Settings!$F$55)-MOD(IFERROR(MATCH(Settings!$E$55,$EO$4:$EO$10,0),0)-WEEKDAY(MAX($A76,Settings!$F$55)),7))/7)+1)),IF(AND(IF(Settings!$E$55="",$B76,DATE(YEAR($A76),MONTH($A76),MIN(Settings!$E$55,DAY($B76))))&gt;=MAX($A76,Settings!$F$55),IF(Settings!$E$55="",$B76,DATE(YEAR($A76),MONTH($A76),MIN(Settings!$E$55,DAY($B76))))&lt;=MIN(Settings!$B$5,IF(Settings!$G$55="",Settings!$B$5,Settings!$G$55))),1,0)))))</f>
        <v/>
      </c>
      <c r="FE76">
        <f>IF($E76&lt;&gt;"open",0,IF(AND('Month-End'!$BU$33&lt;&gt;"",NOT(_xlfn.ISFORMULA('Month-End'!$BU$33))),0,IF(OR(Settings!$C$56="",Settings!$D$56=""),0,Settings!$C$56*IF(Settings!$D$56="Weekly",IF(IFERROR(MATCH(Settings!$E$56,$EO$4:$EO$10,0),0)=0,0,IF(MIN(Settings!$B$5,IF(Settings!$G$56="",Settings!$B$5,Settings!$G$56))&lt;MAX($A76,Settings!$F$56),0,INT((MIN(Settings!$B$5,IF(Settings!$G$56="",Settings!$B$5,Settings!$G$56))-MAX($A76,Settings!$F$56)-MOD(IFERROR(MATCH(Settings!$E$56,$EO$4:$EO$10,0),0)-WEEKDAY(MAX($A76,Settings!$F$56)),7))/7)+1)),IF(AND(IF(Settings!$E$56="",$B76,DATE(YEAR($A76),MONTH($A76),MIN(Settings!$E$56,DAY($B76))))&gt;=MAX($A76,Settings!$F$56),IF(Settings!$E$56="",$B76,DATE(YEAR($A76),MONTH($A76),MIN(Settings!$E$56,DAY($B76))))&lt;=MIN(Settings!$B$5,IF(Settings!$G$56="",Settings!$B$5,Settings!$G$56))),1,0)))))</f>
        <v/>
      </c>
      <c r="FF76">
        <f>IF(Settings!$I$45="Yes",$G76,0)+IF(Settings!$I$46="Yes",$H76,0)+IF(Settings!$I$47="Yes",$I76,0)+IF(Settings!$I$48="Yes",$J76,0)+IF(Settings!$I$49="Yes",$K76,0)+IF(Settings!$I$50="Yes",$L76,0)+IF(Settings!$I$51="Yes",$M76,0)+IF(Settings!$I$52="Yes",$N76,0)+IF(Settings!$I$53="Yes",$O76,0)+IF(Settings!$I$54="Yes",$P76,0)+IF(Settings!$I$55="Yes",$Q76,0)+IF(Settings!$I$56="Yes",$R76,0)</f>
        <v/>
      </c>
      <c r="FG76">
        <f>IF(AND(Settings!$I$45="Yes",Settings!$J$45="No"),$G76,0)+IF(AND(Settings!$I$46="Yes",Settings!$J$46="No"),$H76,0)+IF(AND(Settings!$I$47="Yes",Settings!$J$47="No"),$I76,0)+IF(AND(Settings!$I$48="Yes",Settings!$J$48="No"),$J76,0)+IF(AND(Settings!$I$49="Yes",Settings!$J$49="No"),$K76,0)+IF(AND(Settings!$I$50="Yes",Settings!$J$50="No"),$L76,0)+IF(AND(Settings!$I$51="Yes",Settings!$J$51="No"),$M76,0)+IF(AND(Settings!$I$52="Yes",Settings!$J$52="No"),$N76,0)+IF(AND(Settings!$I$53="Yes",Settings!$J$53="No"),$O76,0)+IF(AND(Settings!$I$54="Yes",Settings!$J$54="No"),$P76,0)+IF(AND(Settings!$I$55="Yes",Settings!$J$55="No"),$Q76,0)+IF(AND(Settings!$I$56="Yes",Settings!$J$56="No"),$R76,0)</f>
        <v/>
      </c>
      <c r="FH76">
        <f>SUMIFS(Giving!$B$7:$B$2006,Giving!$A$7:$A$2006,"&gt;="&amp;$A76,Giving!$A$7:$A$2006,"&lt;="&amp;$B76,Giving!$G$7:$G$2006,"Yes")+IF(OR(OR(Settings!$B$60="",Settings!$F$60="No"),Settings!$H$60&lt;&gt;"Yes"),0,Settings!$B$60*IF(AND(IF(Settings!$C$60="",$B76,DATE(YEAR($A76),MONTH($A76),MIN(Settings!$C$60,DAY($B76))))&gt;=MAX($A76,Settings!$D$60),IF(Settings!$C$60="",$B76,DATE(YEAR($A76),MONTH($A76),MIN(Settings!$C$60,DAY($B76))))&lt;=MIN($C76,IF(Settings!$E$60="",$C76,Settings!$E$60))),1,0))+IF(OR(OR(Settings!$B$61="",Settings!$F$61="No"),Settings!$H$61&lt;&gt;"Yes"),0,Settings!$B$61*IF(AND(IF(Settings!$C$61="",$B76,DATE(YEAR($A76),MONTH($A76),MIN(Settings!$C$61,DAY($B76))))&gt;=MAX($A76,Settings!$D$61),IF(Settings!$C$61="",$B76,DATE(YEAR($A76),MONTH($A76),MIN(Settings!$C$61,DAY($B76))))&lt;=MIN($C76,IF(Settings!$E$61="",$C76,Settings!$E$61))),1,0))+IF(OR(OR(Settings!$B$62="",Settings!$F$62="No"),Settings!$H$62&lt;&gt;"Yes"),0,Settings!$B$62*IF(AND(IF(Settings!$C$62="",$B76,DATE(YEAR($A76),MONTH($A76),MIN(Settings!$C$62,DAY($B76))))&gt;=MAX($A76,Settings!$D$62),IF(Settings!$C$62="",$B76,DATE(YEAR($A76),MONTH($A76),MIN(Settings!$C$62,DAY($B76))))&lt;=MIN($C76,IF(Settings!$E$62="",$C76,Settings!$E$62))),1,0))+IF(OR(OR(Settings!$B$63="",Settings!$F$63="No"),Settings!$H$63&lt;&gt;"Yes"),0,Settings!$B$63*IF(AND(IF(Settings!$C$63="",$B76,DATE(YEAR($A76),MONTH($A76),MIN(Settings!$C$63,DAY($B76))))&gt;=MAX($A76,Settings!$D$63),IF(Settings!$C$63="",$B76,DATE(YEAR($A76),MONTH($A76),MIN(Settings!$C$63,DAY($B76))))&lt;=MIN($C76,IF(Settings!$E$63="",$C76,Settings!$E$63))),1,0))+IF(OR(OR(Settings!$B$64="",Settings!$F$64="No"),Settings!$H$64&lt;&gt;"Yes"),0,Settings!$B$64*IF(AND(IF(Settings!$C$64="",$B76,DATE(YEAR($A76),MONTH($A76),MIN(Settings!$C$64,DAY($B76))))&gt;=MAX($A76,Settings!$D$64),IF(Settings!$C$64="",$B76,DATE(YEAR($A76),MONTH($A76),MIN(Settings!$C$64,DAY($B76))))&lt;=MIN($C76,IF(Settings!$E$64="",$C76,Settings!$E$64))),1,0))+IF(OR(OR(Settings!$B$65="",Settings!$F$65="No"),Settings!$H$65&lt;&gt;"Yes"),0,Settings!$B$65*IF(AND(IF(Settings!$C$65="",$B76,DATE(YEAR($A76),MONTH($A76),MIN(Settings!$C$65,DAY($B76))))&gt;=MAX($A76,Settings!$D$65),IF(Settings!$C$65="",$B76,DATE(YEAR($A76),MONTH($A76),MIN(Settings!$C$65,DAY($B76))))&lt;=MIN($C76,IF(Settings!$E$65="",$C76,Settings!$E$65))),1,0))</f>
        <v/>
      </c>
      <c r="FI76">
        <f>IF($DT76=1,IF(OR(Settings!$B$19="Card",Settings!$B$19="Loan"),N($AE76),0)+IF(OR(Settings!$B$20="Card",Settings!$B$20="Loan"),N($AF76),0)+IF(OR(Settings!$B$21="Card",Settings!$B$21="Loan"),N($AG76),0)+IF(OR(Settings!$B$22="Card",Settings!$B$22="Loan"),N($AH76),0)+IF(OR(Settings!$B$23="Card",Settings!$B$23="Loan"),N($AI76),0)+IF(OR(Settings!$B$24="Card",Settings!$B$24="Loan"),N($AJ76),0)+IF(OR(Settings!$B$25="Card",Settings!$B$25="Loan"),N($AK76),0)+IF(OR(Settings!$B$26="Card",Settings!$B$26="Loan"),N($AL76),0)+IF(OR(Settings!$B$27="Card",Settings!$B$27="Loan"),N($AM76),0)+IF(OR(Settings!$B$28="Card",Settings!$B$28="Loan"),N($AN76),0)+IF(OR(Settings!$B$29="Card",Settings!$B$29="Loan"),N($AO76),0)+IF(OR(Settings!$B$30="Card",Settings!$B$30="Loan"),N($AP76),0)+IF(OR(Settings!$B$31="Card",Settings!$B$31="Loan"),N($AQ76),0)+IF(OR(Settings!$B$32="Card",Settings!$B$32="Loan"),N($AR76),0),"")</f>
        <v/>
      </c>
      <c r="FJ76">
        <f>IF($E76="open",$EB$65,IF($E76="post",IF($E75="pre",$EB$65,$FI75),""))</f>
        <v/>
      </c>
      <c r="FK76">
        <f>IF(AND($DT76=1,$DC76=1),IF(ROUND($FI76-$FJ76,2)&gt;0,1,0),0)</f>
        <v/>
      </c>
      <c r="FL76">
        <f>IF($FK76=1,$FL75+1,0)</f>
        <v/>
      </c>
    </row>
    <row r="77">
      <c r="A77">
        <f>'Month-End'!$BV$4</f>
        <v/>
      </c>
      <c r="B77">
        <f>EOMONTH($A77,0)</f>
        <v/>
      </c>
      <c r="C77">
        <f>MIN($B77,TODAY())</f>
        <v/>
      </c>
      <c r="D77">
        <f>IF($A77&gt;TODAY(),1,0)</f>
        <v/>
      </c>
      <c r="E77">
        <f>IF($B77&lt;=Settings!$B$5,"pre",IF($A77&lt;=Settings!$B$5,"open","post"))</f>
        <v/>
      </c>
      <c r="G77">
        <f>IF('Month-End'!$BV$22="",$BE77,N('Month-End'!$BV$22))</f>
        <v/>
      </c>
      <c r="H77">
        <f>IF('Month-End'!$BV$23="",$BF77,N('Month-End'!$BV$23))</f>
        <v/>
      </c>
      <c r="I77">
        <f>IF('Month-End'!$BV$24="",$BG77,N('Month-End'!$BV$24))</f>
        <v/>
      </c>
      <c r="J77">
        <f>IF('Month-End'!$BV$25="",$BH77,N('Month-End'!$BV$25))</f>
        <v/>
      </c>
      <c r="K77">
        <f>IF('Month-End'!$BV$26="",$BI77,N('Month-End'!$BV$26))</f>
        <v/>
      </c>
      <c r="L77">
        <f>IF('Month-End'!$BV$27="",$BJ77,N('Month-End'!$BV$27))</f>
        <v/>
      </c>
      <c r="M77">
        <f>IF('Month-End'!$BV$28="",$BK77,N('Month-End'!$BV$28))</f>
        <v/>
      </c>
      <c r="N77">
        <f>IF('Month-End'!$BV$29="",$BL77,N('Month-End'!$BV$29))</f>
        <v/>
      </c>
      <c r="O77">
        <f>IF('Month-End'!$BV$30="",$BM77,N('Month-End'!$BV$30))</f>
        <v/>
      </c>
      <c r="P77">
        <f>IF('Month-End'!$BV$31="",$BN77,N('Month-End'!$BV$31))</f>
        <v/>
      </c>
      <c r="Q77">
        <f>IF('Month-End'!$BV$32="",$BO77,N('Month-End'!$BV$32))</f>
        <v/>
      </c>
      <c r="R77">
        <f>IF('Month-End'!$BV$33="",$BP77,N('Month-End'!$BV$33))</f>
        <v/>
      </c>
      <c r="S77">
        <f>$G77+$H77+$I77+$J77+$K77+$L77+$M77+$N77+$O77+$P77+$Q77+$R77</f>
        <v/>
      </c>
      <c r="T77">
        <f>IF($B77&lt;Settings!$B$6,0,IF(Settings!$B$45="Yes",$G77,0)+IF(Settings!$B$46="Yes",$H77,0)+IF(Settings!$B$47="Yes",$I77,0)+IF(Settings!$B$48="Yes",$J77,0)+IF(Settings!$B$49="Yes",$K77,0)+IF(Settings!$B$50="Yes",$L77,0)+IF(Settings!$B$51="Yes",$M77,0)+IF(Settings!$B$52="Yes",$N77,0)+IF(Settings!$B$53="Yes",$O77,0)+IF(Settings!$B$54="Yes",$P77,0)+IF(Settings!$B$55="Yes",$Q77,0)+IF(Settings!$B$56="Yes",$R77,0))</f>
        <v/>
      </c>
      <c r="U77">
        <f>IF(Settings!$B$45="Not Sure",$G77,0)+IF(Settings!$B$46="Not Sure",$H77,0)+IF(Settings!$B$47="Not Sure",$I77,0)+IF(Settings!$B$48="Not Sure",$J77,0)+IF(Settings!$B$49="Not Sure",$K77,0)+IF(Settings!$B$50="Not Sure",$L77,0)+IF(Settings!$B$51="Not Sure",$M77,0)+IF(Settings!$B$52="Not Sure",$N77,0)+IF(Settings!$B$53="Not Sure",$O77,0)+IF(Settings!$B$54="Not Sure",$P77,0)+IF(Settings!$B$55="Not Sure",$Q77,0)+IF(Settings!$B$56="Not Sure",$R77,0)</f>
        <v/>
      </c>
      <c r="V77">
        <f>IF($E77="open",SUM($ET77:$FE77)+N(Settings!$B$13),0)</f>
        <v/>
      </c>
      <c r="W77">
        <f>IF($E77="post",$S77,IF($E77="open",$S77-$V77,0))</f>
        <v/>
      </c>
      <c r="X77">
        <f>SUMIFS(Giving!$B$7:$B$2006,Giving!$A$7:$A$2006,"&gt;="&amp;$A77,Giving!$A$7:$A$2006,"&lt;="&amp;$B77,Giving!$E$7:$E$2006,"&lt;&gt;No")</f>
        <v/>
      </c>
      <c r="Y77">
        <f>SUMIFS(Giving!$B$7:$B$2006,Giving!$A$7:$A$2006,"&gt;="&amp;$A77,Giving!$A$7:$A$2006,"&lt;="&amp;$B77,Giving!$E$7:$E$2006,"No")</f>
        <v/>
      </c>
      <c r="Z77">
        <f>IF(OR(Settings!$B$60="",Settings!$F$60="No"),0,Settings!$B$60*IF(AND(IF(Settings!$C$60="",$B77,DATE(YEAR($A77),MONTH($A77),MIN(Settings!$C$60,DAY($B77))))&gt;=MAX($A77,Settings!$D$60),IF(Settings!$C$60="",$B77,DATE(YEAR($A77),MONTH($A77),MIN(Settings!$C$60,DAY($B77))))&lt;=MIN($C77,IF(Settings!$E$60="",$C77,Settings!$E$60))),1,0))+IF(OR(Settings!$B$61="",Settings!$F$61="No"),0,Settings!$B$61*IF(AND(IF(Settings!$C$61="",$B77,DATE(YEAR($A77),MONTH($A77),MIN(Settings!$C$61,DAY($B77))))&gt;=MAX($A77,Settings!$D$61),IF(Settings!$C$61="",$B77,DATE(YEAR($A77),MONTH($A77),MIN(Settings!$C$61,DAY($B77))))&lt;=MIN($C77,IF(Settings!$E$61="",$C77,Settings!$E$61))),1,0))+IF(OR(Settings!$B$62="",Settings!$F$62="No"),0,Settings!$B$62*IF(AND(IF(Settings!$C$62="",$B77,DATE(YEAR($A77),MONTH($A77),MIN(Settings!$C$62,DAY($B77))))&gt;=MAX($A77,Settings!$D$62),IF(Settings!$C$62="",$B77,DATE(YEAR($A77),MONTH($A77),MIN(Settings!$C$62,DAY($B77))))&lt;=MIN($C77,IF(Settings!$E$62="",$C77,Settings!$E$62))),1,0))+IF(OR(Settings!$B$63="",Settings!$F$63="No"),0,Settings!$B$63*IF(AND(IF(Settings!$C$63="",$B77,DATE(YEAR($A77),MONTH($A77),MIN(Settings!$C$63,DAY($B77))))&gt;=MAX($A77,Settings!$D$63),IF(Settings!$C$63="",$B77,DATE(YEAR($A77),MONTH($A77),MIN(Settings!$C$63,DAY($B77))))&lt;=MIN($C77,IF(Settings!$E$63="",$C77,Settings!$E$63))),1,0))+IF(OR(Settings!$B$64="",Settings!$F$64="No"),0,Settings!$B$64*IF(AND(IF(Settings!$C$64="",$B77,DATE(YEAR($A77),MONTH($A77),MIN(Settings!$C$64,DAY($B77))))&gt;=MAX($A77,Settings!$D$64),IF(Settings!$C$64="",$B77,DATE(YEAR($A77),MONTH($A77),MIN(Settings!$C$64,DAY($B77))))&lt;=MIN($C77,IF(Settings!$E$64="",$C77,Settings!$E$64))),1,0))+IF(OR(Settings!$B$65="",Settings!$F$65="No"),0,Settings!$B$65*IF(AND(IF(Settings!$C$65="",$B77,DATE(YEAR($A77),MONTH($A77),MIN(Settings!$C$65,DAY($B77))))&gt;=MAX($A77,Settings!$D$65),IF(Settings!$C$65="",$B77,DATE(YEAR($A77),MONTH($A77),MIN(Settings!$C$65,DAY($B77))))&lt;=MIN($C77,IF(Settings!$E$65="",$C77,Settings!$E$65))),1,0))</f>
        <v/>
      </c>
      <c r="AA77">
        <f>$X77+$Z77</f>
        <v/>
      </c>
      <c r="AB77">
        <f>IF($E77="post",$AA77,IF($E77="open",SUMIFS(Giving!$B$7:$B$2006,Giving!$A$7:$A$2006,"&gt;"&amp;Settings!$B$5,Giving!$A$7:$A$2006,"&lt;="&amp;$B77,Giving!$E$7:$E$2006,"&lt;&gt;No")+IF(OR(Settings!$B$60="",Settings!$F$60="No"),0,Settings!$B$60*IF(AND(IF(Settings!$C$60="",$B77,DATE(YEAR($A77),MONTH($A77),MIN(Settings!$C$60,DAY($B77))))&gt;=MAX($A77,Settings!$D$60,Settings!$B$5+1),IF(Settings!$C$60="",$B77,DATE(YEAR($A77),MONTH($A77),MIN(Settings!$C$60,DAY($B77))))&lt;=MIN($C77,IF(Settings!$E$60="",$C77,Settings!$E$60))),1,0))+IF(OR(Settings!$B$61="",Settings!$F$61="No"),0,Settings!$B$61*IF(AND(IF(Settings!$C$61="",$B77,DATE(YEAR($A77),MONTH($A77),MIN(Settings!$C$61,DAY($B77))))&gt;=MAX($A77,Settings!$D$61,Settings!$B$5+1),IF(Settings!$C$61="",$B77,DATE(YEAR($A77),MONTH($A77),MIN(Settings!$C$61,DAY($B77))))&lt;=MIN($C77,IF(Settings!$E$61="",$C77,Settings!$E$61))),1,0))+IF(OR(Settings!$B$62="",Settings!$F$62="No"),0,Settings!$B$62*IF(AND(IF(Settings!$C$62="",$B77,DATE(YEAR($A77),MONTH($A77),MIN(Settings!$C$62,DAY($B77))))&gt;=MAX($A77,Settings!$D$62,Settings!$B$5+1),IF(Settings!$C$62="",$B77,DATE(YEAR($A77),MONTH($A77),MIN(Settings!$C$62,DAY($B77))))&lt;=MIN($C77,IF(Settings!$E$62="",$C77,Settings!$E$62))),1,0))+IF(OR(Settings!$B$63="",Settings!$F$63="No"),0,Settings!$B$63*IF(AND(IF(Settings!$C$63="",$B77,DATE(YEAR($A77),MONTH($A77),MIN(Settings!$C$63,DAY($B77))))&gt;=MAX($A77,Settings!$D$63,Settings!$B$5+1),IF(Settings!$C$63="",$B77,DATE(YEAR($A77),MONTH($A77),MIN(Settings!$C$63,DAY($B77))))&lt;=MIN($C77,IF(Settings!$E$63="",$C77,Settings!$E$63))),1,0))+IF(OR(Settings!$B$64="",Settings!$F$64="No"),0,Settings!$B$64*IF(AND(IF(Settings!$C$64="",$B77,DATE(YEAR($A77),MONTH($A77),MIN(Settings!$C$64,DAY($B77))))&gt;=MAX($A77,Settings!$D$64,Settings!$B$5+1),IF(Settings!$C$64="",$B77,DATE(YEAR($A77),MONTH($A77),MIN(Settings!$C$64,DAY($B77))))&lt;=MIN($C77,IF(Settings!$E$64="",$C77,Settings!$E$64))),1,0))+IF(OR(Settings!$B$65="",Settings!$F$65="No"),0,Settings!$B$65*IF(AND(IF(Settings!$C$65="",$B77,DATE(YEAR($A77),MONTH($A77),MIN(Settings!$C$65,DAY($B77))))&gt;=MAX($A77,Settings!$D$65,Settings!$B$5+1),IF(Settings!$C$65="",$B77,DATE(YEAR($A77),MONTH($A77),MIN(Settings!$C$65,DAY($B77))))&lt;=MIN($C77,IF(Settings!$E$65="",$C77,Settings!$E$65))),1,0)),0))</f>
        <v/>
      </c>
      <c r="AC77">
        <f>$AY77+$AZ77+$BA77+$BB77+$BC77+$BD77</f>
        <v/>
      </c>
      <c r="AD77">
        <f>$AC77</f>
        <v/>
      </c>
      <c r="AE77">
        <f>IF(OR(Settings!$A$19="",$E77="pre"),"",IF(AND('Month-End'!$BV$7&lt;&gt;"",NOT(_xlfn.ISFORMULA('Month-End'!$BV$7))),N('Month-End'!$BV$7),IF(OR($E77="open",$E76="pre"),N(Settings!$C$19),N($AE76))))</f>
        <v/>
      </c>
      <c r="AF77">
        <f>IF(OR(Settings!$A$20="",$E77="pre"),"",IF(AND('Month-End'!$BV$8&lt;&gt;"",NOT(_xlfn.ISFORMULA('Month-End'!$BV$8))),N('Month-End'!$BV$8),IF(OR($E77="open",$E76="pre"),N(Settings!$C$20),N($AF76))))</f>
        <v/>
      </c>
      <c r="AG77">
        <f>IF(OR(Settings!$A$21="",$E77="pre"),"",IF(AND('Month-End'!$BV$9&lt;&gt;"",NOT(_xlfn.ISFORMULA('Month-End'!$BV$9))),N('Month-End'!$BV$9),IF(OR($E77="open",$E76="pre"),N(Settings!$C$21),N($AG76))))</f>
        <v/>
      </c>
      <c r="AH77">
        <f>IF(OR(Settings!$A$22="",$E77="pre"),"",IF(AND('Month-End'!$BV$10&lt;&gt;"",NOT(_xlfn.ISFORMULA('Month-End'!$BV$10))),N('Month-End'!$BV$10),IF(OR($E77="open",$E76="pre"),N(Settings!$C$22),N($AH76))))</f>
        <v/>
      </c>
      <c r="AI77">
        <f>IF(OR(Settings!$A$23="",$E77="pre"),"",IF(AND('Month-End'!$BV$11&lt;&gt;"",NOT(_xlfn.ISFORMULA('Month-End'!$BV$11))),N('Month-End'!$BV$11),IF(OR($E77="open",$E76="pre"),N(Settings!$C$23),N($AI76))))</f>
        <v/>
      </c>
      <c r="AJ77">
        <f>IF(OR(Settings!$A$24="",$E77="pre"),"",IF(AND('Month-End'!$BV$12&lt;&gt;"",NOT(_xlfn.ISFORMULA('Month-End'!$BV$12))),N('Month-End'!$BV$12),IF(OR($E77="open",$E76="pre"),N(Settings!$C$24),N($AJ76))))</f>
        <v/>
      </c>
      <c r="AK77">
        <f>IF(OR(Settings!$A$25="",$E77="pre"),"",IF(AND('Month-End'!$BV$13&lt;&gt;"",NOT(_xlfn.ISFORMULA('Month-End'!$BV$13))),N('Month-End'!$BV$13),IF(OR($E77="open",$E76="pre"),N(Settings!$C$25),N($AK76))))</f>
        <v/>
      </c>
      <c r="AL77">
        <f>IF(OR(Settings!$A$26="",$E77="pre"),"",IF(AND('Month-End'!$BV$14&lt;&gt;"",NOT(_xlfn.ISFORMULA('Month-End'!$BV$14))),N('Month-End'!$BV$14),IF(OR($E77="open",$E76="pre"),N(Settings!$C$26),N($AL76))))</f>
        <v/>
      </c>
      <c r="AM77">
        <f>IF(OR(Settings!$A$27="",$E77="pre"),"",IF(AND('Month-End'!$BV$15&lt;&gt;"",NOT(_xlfn.ISFORMULA('Month-End'!$BV$15))),N('Month-End'!$BV$15),IF(OR($E77="open",$E76="pre"),N(Settings!$C$27),N($AM76))))</f>
        <v/>
      </c>
      <c r="AN77">
        <f>IF(OR(Settings!$A$28="",$E77="pre"),"",IF(AND('Month-End'!$BV$16&lt;&gt;"",NOT(_xlfn.ISFORMULA('Month-End'!$BV$16))),N('Month-End'!$BV$16),IF(OR($E77="open",$E76="pre"),N(Settings!$C$28),N($AN76))))</f>
        <v/>
      </c>
      <c r="AO77">
        <f>IF(OR(Settings!$A$29="",$E77="pre"),"",IF(AND('Month-End'!$BV$17&lt;&gt;"",NOT(_xlfn.ISFORMULA('Month-End'!$BV$17))),N('Month-End'!$BV$17),IF(OR($E77="open",$E76="pre"),N(Settings!$C$29),N($AO76))))</f>
        <v/>
      </c>
      <c r="AP77">
        <f>IF(OR(Settings!$A$30="",$E77="pre"),"",IF(AND('Month-End'!$BV$18&lt;&gt;"",NOT(_xlfn.ISFORMULA('Month-End'!$BV$18))),N('Month-End'!$BV$18),IF(OR($E77="open",$E76="pre"),N(Settings!$C$30),N($AP76))))</f>
        <v/>
      </c>
      <c r="AQ77">
        <f>IF(OR(Settings!$A$31="",$E77="pre"),"",IF(AND('Month-End'!$BV$19&lt;&gt;"",NOT(_xlfn.ISFORMULA('Month-End'!$BV$19))),N('Month-End'!$BV$19),IF(OR($E77="open",$E76="pre"),N(Settings!$C$31),N($AQ76))))</f>
        <v/>
      </c>
      <c r="AR77">
        <f>IF(OR(Settings!$A$32="",$E77="pre"),"",IF(AND('Month-End'!$BV$20&lt;&gt;"",NOT(_xlfn.ISFORMULA('Month-End'!$BV$20))),N('Month-End'!$BV$20),IF(OR($E77="open",$E76="pre"),N(Settings!$C$32),N($AR76))))</f>
        <v/>
      </c>
      <c r="AS77">
        <f>IF(OR(Settings!$A$36="",$E77="pre"),"",IF(AND('Month-End'!$BV$38&lt;&gt;"",NOT(_xlfn.ISFORMULA('Month-End'!$BV$38))),N('Month-End'!$BV$38),IF(OR($E77="open",$E76="pre"),N(Settings!$C$36),N($AS76))+$AY77))</f>
        <v/>
      </c>
      <c r="AT77">
        <f>IF(OR(Settings!$A$37="",$E77="pre"),"",IF(AND('Month-End'!$BV$39&lt;&gt;"",NOT(_xlfn.ISFORMULA('Month-End'!$BV$39))),N('Month-End'!$BV$39),IF(OR($E77="open",$E76="pre"),N(Settings!$C$37),N($AT76))+$AZ77))</f>
        <v/>
      </c>
      <c r="AU77">
        <f>IF(OR(Settings!$A$38="",$E77="pre"),"",IF(AND('Month-End'!$BV$40&lt;&gt;"",NOT(_xlfn.ISFORMULA('Month-End'!$BV$40))),N('Month-End'!$BV$40),IF(OR($E77="open",$E76="pre"),N(Settings!$C$38),N($AU76))+$BA77))</f>
        <v/>
      </c>
      <c r="AV77">
        <f>IF(OR(Settings!$A$39="",$E77="pre"),"",IF(AND('Month-End'!$BV$41&lt;&gt;"",NOT(_xlfn.ISFORMULA('Month-End'!$BV$41))),N('Month-End'!$BV$41),IF(OR($E77="open",$E76="pre"),N(Settings!$C$39),N($AV76))+$BB77))</f>
        <v/>
      </c>
      <c r="AW77">
        <f>IF(OR(Settings!$A$40="",$E77="pre"),"",IF(AND('Month-End'!$BV$42&lt;&gt;"",NOT(_xlfn.ISFORMULA('Month-End'!$BV$42))),N('Month-End'!$BV$42),IF(OR($E77="open",$E76="pre"),N(Settings!$C$40),N($AW76))+$BC77))</f>
        <v/>
      </c>
      <c r="AX77">
        <f>IF(OR(Settings!$A$41="",$E77="pre"),"",IF(AND('Month-End'!$BV$43&lt;&gt;"",NOT(_xlfn.ISFORMULA('Month-End'!$BV$43))),N('Month-End'!$BV$43),IF(OR($E77="open",$E76="pre"),N(Settings!$C$41),N($AX76))+$BD77))</f>
        <v/>
      </c>
      <c r="AY77">
        <f>IF($E77="pre",0,N('Month-End'!$BV$45))</f>
        <v/>
      </c>
      <c r="AZ77">
        <f>IF($E77="pre",0,N('Month-End'!$BV$46))</f>
        <v/>
      </c>
      <c r="BA77">
        <f>IF($E77="pre",0,N('Month-End'!$BV$47))</f>
        <v/>
      </c>
      <c r="BB77">
        <f>IF($E77="pre",0,N('Month-End'!$BV$48))</f>
        <v/>
      </c>
      <c r="BC77">
        <f>IF($E77="pre",0,N('Month-End'!$BV$49))</f>
        <v/>
      </c>
      <c r="BD77">
        <f>IF($E77="pre",0,N('Month-End'!$BV$50))</f>
        <v/>
      </c>
      <c r="BE77">
        <f>IF(OR(Settings!$C$45="",Settings!$D$45=""),0,Settings!$C$45*IF(Settings!$D$45="Weekly",IF(IFERROR(MATCH(Settings!$E$45,$EO$4:$EO$10,0),0)=0,0,IF(MIN($C77,IF(Settings!$G$45="",$C77,Settings!$G$45))&lt;MAX($A77,Settings!$F$45),0,INT((MIN($C77,IF(Settings!$G$45="",$C77,Settings!$G$45))-MAX($A77,Settings!$F$45)-MOD(IFERROR(MATCH(Settings!$E$45,$EO$4:$EO$10,0),0)-WEEKDAY(MAX($A77,Settings!$F$45)),7))/7)+1)),IF(AND(IF(Settings!$E$45="",$B77,DATE(YEAR($A77),MONTH($A77),MIN(Settings!$E$45,DAY($B77))))&gt;=MAX($A77,Settings!$F$45),IF(Settings!$E$45="",$B77,DATE(YEAR($A77),MONTH($A77),MIN(Settings!$E$45,DAY($B77))))&lt;=MIN($C77,IF(Settings!$G$45="",$C77,Settings!$G$45))),1,0)))</f>
        <v/>
      </c>
      <c r="BF77">
        <f>IF(OR(Settings!$C$46="",Settings!$D$46=""),0,Settings!$C$46*IF(Settings!$D$46="Weekly",IF(IFERROR(MATCH(Settings!$E$46,$EO$4:$EO$10,0),0)=0,0,IF(MIN($C77,IF(Settings!$G$46="",$C77,Settings!$G$46))&lt;MAX($A77,Settings!$F$46),0,INT((MIN($C77,IF(Settings!$G$46="",$C77,Settings!$G$46))-MAX($A77,Settings!$F$46)-MOD(IFERROR(MATCH(Settings!$E$46,$EO$4:$EO$10,0),0)-WEEKDAY(MAX($A77,Settings!$F$46)),7))/7)+1)),IF(AND(IF(Settings!$E$46="",$B77,DATE(YEAR($A77),MONTH($A77),MIN(Settings!$E$46,DAY($B77))))&gt;=MAX($A77,Settings!$F$46),IF(Settings!$E$46="",$B77,DATE(YEAR($A77),MONTH($A77),MIN(Settings!$E$46,DAY($B77))))&lt;=MIN($C77,IF(Settings!$G$46="",$C77,Settings!$G$46))),1,0)))</f>
        <v/>
      </c>
      <c r="BG77">
        <f>IF(OR(Settings!$C$47="",Settings!$D$47=""),0,Settings!$C$47*IF(Settings!$D$47="Weekly",IF(IFERROR(MATCH(Settings!$E$47,$EO$4:$EO$10,0),0)=0,0,IF(MIN($C77,IF(Settings!$G$47="",$C77,Settings!$G$47))&lt;MAX($A77,Settings!$F$47),0,INT((MIN($C77,IF(Settings!$G$47="",$C77,Settings!$G$47))-MAX($A77,Settings!$F$47)-MOD(IFERROR(MATCH(Settings!$E$47,$EO$4:$EO$10,0),0)-WEEKDAY(MAX($A77,Settings!$F$47)),7))/7)+1)),IF(AND(IF(Settings!$E$47="",$B77,DATE(YEAR($A77),MONTH($A77),MIN(Settings!$E$47,DAY($B77))))&gt;=MAX($A77,Settings!$F$47),IF(Settings!$E$47="",$B77,DATE(YEAR($A77),MONTH($A77),MIN(Settings!$E$47,DAY($B77))))&lt;=MIN($C77,IF(Settings!$G$47="",$C77,Settings!$G$47))),1,0)))</f>
        <v/>
      </c>
      <c r="BH77">
        <f>IF(OR(Settings!$C$48="",Settings!$D$48=""),0,Settings!$C$48*IF(Settings!$D$48="Weekly",IF(IFERROR(MATCH(Settings!$E$48,$EO$4:$EO$10,0),0)=0,0,IF(MIN($C77,IF(Settings!$G$48="",$C77,Settings!$G$48))&lt;MAX($A77,Settings!$F$48),0,INT((MIN($C77,IF(Settings!$G$48="",$C77,Settings!$G$48))-MAX($A77,Settings!$F$48)-MOD(IFERROR(MATCH(Settings!$E$48,$EO$4:$EO$10,0),0)-WEEKDAY(MAX($A77,Settings!$F$48)),7))/7)+1)),IF(AND(IF(Settings!$E$48="",$B77,DATE(YEAR($A77),MONTH($A77),MIN(Settings!$E$48,DAY($B77))))&gt;=MAX($A77,Settings!$F$48),IF(Settings!$E$48="",$B77,DATE(YEAR($A77),MONTH($A77),MIN(Settings!$E$48,DAY($B77))))&lt;=MIN($C77,IF(Settings!$G$48="",$C77,Settings!$G$48))),1,0)))</f>
        <v/>
      </c>
      <c r="BI77">
        <f>IF(OR(Settings!$C$49="",Settings!$D$49=""),0,Settings!$C$49*IF(Settings!$D$49="Weekly",IF(IFERROR(MATCH(Settings!$E$49,$EO$4:$EO$10,0),0)=0,0,IF(MIN($C77,IF(Settings!$G$49="",$C77,Settings!$G$49))&lt;MAX($A77,Settings!$F$49),0,INT((MIN($C77,IF(Settings!$G$49="",$C77,Settings!$G$49))-MAX($A77,Settings!$F$49)-MOD(IFERROR(MATCH(Settings!$E$49,$EO$4:$EO$10,0),0)-WEEKDAY(MAX($A77,Settings!$F$49)),7))/7)+1)),IF(AND(IF(Settings!$E$49="",$B77,DATE(YEAR($A77),MONTH($A77),MIN(Settings!$E$49,DAY($B77))))&gt;=MAX($A77,Settings!$F$49),IF(Settings!$E$49="",$B77,DATE(YEAR($A77),MONTH($A77),MIN(Settings!$E$49,DAY($B77))))&lt;=MIN($C77,IF(Settings!$G$49="",$C77,Settings!$G$49))),1,0)))</f>
        <v/>
      </c>
      <c r="BJ77">
        <f>IF(OR(Settings!$C$50="",Settings!$D$50=""),0,Settings!$C$50*IF(Settings!$D$50="Weekly",IF(IFERROR(MATCH(Settings!$E$50,$EO$4:$EO$10,0),0)=0,0,IF(MIN($C77,IF(Settings!$G$50="",$C77,Settings!$G$50))&lt;MAX($A77,Settings!$F$50),0,INT((MIN($C77,IF(Settings!$G$50="",$C77,Settings!$G$50))-MAX($A77,Settings!$F$50)-MOD(IFERROR(MATCH(Settings!$E$50,$EO$4:$EO$10,0),0)-WEEKDAY(MAX($A77,Settings!$F$50)),7))/7)+1)),IF(AND(IF(Settings!$E$50="",$B77,DATE(YEAR($A77),MONTH($A77),MIN(Settings!$E$50,DAY($B77))))&gt;=MAX($A77,Settings!$F$50),IF(Settings!$E$50="",$B77,DATE(YEAR($A77),MONTH($A77),MIN(Settings!$E$50,DAY($B77))))&lt;=MIN($C77,IF(Settings!$G$50="",$C77,Settings!$G$50))),1,0)))</f>
        <v/>
      </c>
      <c r="BK77">
        <f>IF(OR(Settings!$C$51="",Settings!$D$51=""),0,Settings!$C$51*IF(Settings!$D$51="Weekly",IF(IFERROR(MATCH(Settings!$E$51,$EO$4:$EO$10,0),0)=0,0,IF(MIN($C77,IF(Settings!$G$51="",$C77,Settings!$G$51))&lt;MAX($A77,Settings!$F$51),0,INT((MIN($C77,IF(Settings!$G$51="",$C77,Settings!$G$51))-MAX($A77,Settings!$F$51)-MOD(IFERROR(MATCH(Settings!$E$51,$EO$4:$EO$10,0),0)-WEEKDAY(MAX($A77,Settings!$F$51)),7))/7)+1)),IF(AND(IF(Settings!$E$51="",$B77,DATE(YEAR($A77),MONTH($A77),MIN(Settings!$E$51,DAY($B77))))&gt;=MAX($A77,Settings!$F$51),IF(Settings!$E$51="",$B77,DATE(YEAR($A77),MONTH($A77),MIN(Settings!$E$51,DAY($B77))))&lt;=MIN($C77,IF(Settings!$G$51="",$C77,Settings!$G$51))),1,0)))</f>
        <v/>
      </c>
      <c r="BL77">
        <f>IF(OR(Settings!$C$52="",Settings!$D$52=""),0,Settings!$C$52*IF(Settings!$D$52="Weekly",IF(IFERROR(MATCH(Settings!$E$52,$EO$4:$EO$10,0),0)=0,0,IF(MIN($C77,IF(Settings!$G$52="",$C77,Settings!$G$52))&lt;MAX($A77,Settings!$F$52),0,INT((MIN($C77,IF(Settings!$G$52="",$C77,Settings!$G$52))-MAX($A77,Settings!$F$52)-MOD(IFERROR(MATCH(Settings!$E$52,$EO$4:$EO$10,0),0)-WEEKDAY(MAX($A77,Settings!$F$52)),7))/7)+1)),IF(AND(IF(Settings!$E$52="",$B77,DATE(YEAR($A77),MONTH($A77),MIN(Settings!$E$52,DAY($B77))))&gt;=MAX($A77,Settings!$F$52),IF(Settings!$E$52="",$B77,DATE(YEAR($A77),MONTH($A77),MIN(Settings!$E$52,DAY($B77))))&lt;=MIN($C77,IF(Settings!$G$52="",$C77,Settings!$G$52))),1,0)))</f>
        <v/>
      </c>
      <c r="BM77">
        <f>IF(OR(Settings!$C$53="",Settings!$D$53=""),0,Settings!$C$53*IF(Settings!$D$53="Weekly",IF(IFERROR(MATCH(Settings!$E$53,$EO$4:$EO$10,0),0)=0,0,IF(MIN($C77,IF(Settings!$G$53="",$C77,Settings!$G$53))&lt;MAX($A77,Settings!$F$53),0,INT((MIN($C77,IF(Settings!$G$53="",$C77,Settings!$G$53))-MAX($A77,Settings!$F$53)-MOD(IFERROR(MATCH(Settings!$E$53,$EO$4:$EO$10,0),0)-WEEKDAY(MAX($A77,Settings!$F$53)),7))/7)+1)),IF(AND(IF(Settings!$E$53="",$B77,DATE(YEAR($A77),MONTH($A77),MIN(Settings!$E$53,DAY($B77))))&gt;=MAX($A77,Settings!$F$53),IF(Settings!$E$53="",$B77,DATE(YEAR($A77),MONTH($A77),MIN(Settings!$E$53,DAY($B77))))&lt;=MIN($C77,IF(Settings!$G$53="",$C77,Settings!$G$53))),1,0)))</f>
        <v/>
      </c>
      <c r="BN77">
        <f>IF(OR(Settings!$C$54="",Settings!$D$54=""),0,Settings!$C$54*IF(Settings!$D$54="Weekly",IF(IFERROR(MATCH(Settings!$E$54,$EO$4:$EO$10,0),0)=0,0,IF(MIN($C77,IF(Settings!$G$54="",$C77,Settings!$G$54))&lt;MAX($A77,Settings!$F$54),0,INT((MIN($C77,IF(Settings!$G$54="",$C77,Settings!$G$54))-MAX($A77,Settings!$F$54)-MOD(IFERROR(MATCH(Settings!$E$54,$EO$4:$EO$10,0),0)-WEEKDAY(MAX($A77,Settings!$F$54)),7))/7)+1)),IF(AND(IF(Settings!$E$54="",$B77,DATE(YEAR($A77),MONTH($A77),MIN(Settings!$E$54,DAY($B77))))&gt;=MAX($A77,Settings!$F$54),IF(Settings!$E$54="",$B77,DATE(YEAR($A77),MONTH($A77),MIN(Settings!$E$54,DAY($B77))))&lt;=MIN($C77,IF(Settings!$G$54="",$C77,Settings!$G$54))),1,0)))</f>
        <v/>
      </c>
      <c r="BO77">
        <f>IF(OR(Settings!$C$55="",Settings!$D$55=""),0,Settings!$C$55*IF(Settings!$D$55="Weekly",IF(IFERROR(MATCH(Settings!$E$55,$EO$4:$EO$10,0),0)=0,0,IF(MIN($C77,IF(Settings!$G$55="",$C77,Settings!$G$55))&lt;MAX($A77,Settings!$F$55),0,INT((MIN($C77,IF(Settings!$G$55="",$C77,Settings!$G$55))-MAX($A77,Settings!$F$55)-MOD(IFERROR(MATCH(Settings!$E$55,$EO$4:$EO$10,0),0)-WEEKDAY(MAX($A77,Settings!$F$55)),7))/7)+1)),IF(AND(IF(Settings!$E$55="",$B77,DATE(YEAR($A77),MONTH($A77),MIN(Settings!$E$55,DAY($B77))))&gt;=MAX($A77,Settings!$F$55),IF(Settings!$E$55="",$B77,DATE(YEAR($A77),MONTH($A77),MIN(Settings!$E$55,DAY($B77))))&lt;=MIN($C77,IF(Settings!$G$55="",$C77,Settings!$G$55))),1,0)))</f>
        <v/>
      </c>
      <c r="BP77">
        <f>IF(OR(Settings!$C$56="",Settings!$D$56=""),0,Settings!$C$56*IF(Settings!$D$56="Weekly",IF(IFERROR(MATCH(Settings!$E$56,$EO$4:$EO$10,0),0)=0,0,IF(MIN($C77,IF(Settings!$G$56="",$C77,Settings!$G$56))&lt;MAX($A77,Settings!$F$56),0,INT((MIN($C77,IF(Settings!$G$56="",$C77,Settings!$G$56))-MAX($A77,Settings!$F$56)-MOD(IFERROR(MATCH(Settings!$E$56,$EO$4:$EO$10,0),0)-WEEKDAY(MAX($A77,Settings!$F$56)),7))/7)+1)),IF(AND(IF(Settings!$E$56="",$B77,DATE(YEAR($A77),MONTH($A77),MIN(Settings!$E$56,DAY($B77))))&gt;=MAX($A77,Settings!$F$56),IF(Settings!$E$56="",$B77,DATE(YEAR($A77),MONTH($A77),MIN(Settings!$E$56,DAY($B77))))&lt;=MIN($C77,IF(Settings!$G$56="",$C77,Settings!$G$56))),1,0)))</f>
        <v/>
      </c>
      <c r="BQ77">
        <f>IF(OR(Settings!$B$14="",$D77=1,$E77="pre",$A77&lt;IF(Settings!$B$15="",0,Settings!$B$15)),0,Settings!$B$14)</f>
        <v/>
      </c>
      <c r="BR77">
        <f>IF(AND('Month-End'!$BV$7&lt;&gt;"",NOT(_xlfn.ISFORMULA('Month-End'!$BV$7))),1,0)</f>
        <v/>
      </c>
      <c r="BS77">
        <f>IF(AND('Month-End'!$BV$8&lt;&gt;"",NOT(_xlfn.ISFORMULA('Month-End'!$BV$8))),1,0)</f>
        <v/>
      </c>
      <c r="BT77">
        <f>IF(AND('Month-End'!$BV$9&lt;&gt;"",NOT(_xlfn.ISFORMULA('Month-End'!$BV$9))),1,0)</f>
        <v/>
      </c>
      <c r="BU77">
        <f>IF(AND('Month-End'!$BV$10&lt;&gt;"",NOT(_xlfn.ISFORMULA('Month-End'!$BV$10))),1,0)</f>
        <v/>
      </c>
      <c r="BV77">
        <f>IF(AND('Month-End'!$BV$11&lt;&gt;"",NOT(_xlfn.ISFORMULA('Month-End'!$BV$11))),1,0)</f>
        <v/>
      </c>
      <c r="BW77">
        <f>IF(AND('Month-End'!$BV$12&lt;&gt;"",NOT(_xlfn.ISFORMULA('Month-End'!$BV$12))),1,0)</f>
        <v/>
      </c>
      <c r="BX77">
        <f>IF(AND('Month-End'!$BV$13&lt;&gt;"",NOT(_xlfn.ISFORMULA('Month-End'!$BV$13))),1,0)</f>
        <v/>
      </c>
      <c r="BY77">
        <f>IF(AND('Month-End'!$BV$14&lt;&gt;"",NOT(_xlfn.ISFORMULA('Month-End'!$BV$14))),1,0)</f>
        <v/>
      </c>
      <c r="BZ77">
        <f>IF(AND('Month-End'!$BV$15&lt;&gt;"",NOT(_xlfn.ISFORMULA('Month-End'!$BV$15))),1,0)</f>
        <v/>
      </c>
      <c r="CA77">
        <f>IF(AND('Month-End'!$BV$16&lt;&gt;"",NOT(_xlfn.ISFORMULA('Month-End'!$BV$16))),1,0)</f>
        <v/>
      </c>
      <c r="CB77">
        <f>IF(AND('Month-End'!$BV$17&lt;&gt;"",NOT(_xlfn.ISFORMULA('Month-End'!$BV$17))),1,0)</f>
        <v/>
      </c>
      <c r="CC77">
        <f>IF(AND('Month-End'!$BV$18&lt;&gt;"",NOT(_xlfn.ISFORMULA('Month-End'!$BV$18))),1,0)</f>
        <v/>
      </c>
      <c r="CD77">
        <f>IF(AND('Month-End'!$BV$19&lt;&gt;"",NOT(_xlfn.ISFORMULA('Month-End'!$BV$19))),1,0)</f>
        <v/>
      </c>
      <c r="CE77">
        <f>IF(AND('Month-End'!$BV$20&lt;&gt;"",NOT(_xlfn.ISFORMULA('Month-End'!$BV$20))),1,0)</f>
        <v/>
      </c>
      <c r="CF77">
        <f>IF(AND('Month-End'!$BV$38&lt;&gt;"",NOT(_xlfn.ISFORMULA('Month-End'!$BV$38))),1,0)</f>
        <v/>
      </c>
      <c r="CG77">
        <f>IF(AND('Month-End'!$BV$39&lt;&gt;"",NOT(_xlfn.ISFORMULA('Month-End'!$BV$39))),1,0)</f>
        <v/>
      </c>
      <c r="CH77">
        <f>IF(AND('Month-End'!$BV$40&lt;&gt;"",NOT(_xlfn.ISFORMULA('Month-End'!$BV$40))),1,0)</f>
        <v/>
      </c>
      <c r="CI77">
        <f>IF(AND('Month-End'!$BV$41&lt;&gt;"",NOT(_xlfn.ISFORMULA('Month-End'!$BV$41))),1,0)</f>
        <v/>
      </c>
      <c r="CJ77">
        <f>IF(AND('Month-End'!$BV$42&lt;&gt;"",NOT(_xlfn.ISFORMULA('Month-End'!$BV$42))),1,0)</f>
        <v/>
      </c>
      <c r="CK77">
        <f>IF(AND('Month-End'!$BV$43&lt;&gt;"",NOT(_xlfn.ISFORMULA('Month-End'!$BV$43))),1,0)</f>
        <v/>
      </c>
      <c r="CL77">
        <f>SUM($CM77:$CZ77)</f>
        <v/>
      </c>
      <c r="CM77">
        <f>IF(AND($E77&lt;&gt;"pre",AND(Settings!$A$19&lt;&gt;"",Settings!$E$19&lt;&gt;"No"),Settings!$F$19="Yes",NOT(AND('Month-End'!$BV$7&lt;&gt;"",NOT(_xlfn.ISFORMULA('Month-End'!$BV$7))))),1,0)</f>
        <v/>
      </c>
      <c r="CN77">
        <f>IF(AND($E77&lt;&gt;"pre",AND(Settings!$A$20&lt;&gt;"",Settings!$E$20&lt;&gt;"No"),Settings!$F$20="Yes",NOT(AND('Month-End'!$BV$8&lt;&gt;"",NOT(_xlfn.ISFORMULA('Month-End'!$BV$8))))),1,0)</f>
        <v/>
      </c>
      <c r="CO77">
        <f>IF(AND($E77&lt;&gt;"pre",AND(Settings!$A$21&lt;&gt;"",Settings!$E$21&lt;&gt;"No"),Settings!$F$21="Yes",NOT(AND('Month-End'!$BV$9&lt;&gt;"",NOT(_xlfn.ISFORMULA('Month-End'!$BV$9))))),1,0)</f>
        <v/>
      </c>
      <c r="CP77">
        <f>IF(AND($E77&lt;&gt;"pre",AND(Settings!$A$22&lt;&gt;"",Settings!$E$22&lt;&gt;"No"),Settings!$F$22="Yes",NOT(AND('Month-End'!$BV$10&lt;&gt;"",NOT(_xlfn.ISFORMULA('Month-End'!$BV$10))))),1,0)</f>
        <v/>
      </c>
      <c r="CQ77">
        <f>IF(AND($E77&lt;&gt;"pre",AND(Settings!$A$23&lt;&gt;"",Settings!$E$23&lt;&gt;"No"),Settings!$F$23="Yes",NOT(AND('Month-End'!$BV$11&lt;&gt;"",NOT(_xlfn.ISFORMULA('Month-End'!$BV$11))))),1,0)</f>
        <v/>
      </c>
      <c r="CR77">
        <f>IF(AND($E77&lt;&gt;"pre",AND(Settings!$A$24&lt;&gt;"",Settings!$E$24&lt;&gt;"No"),Settings!$F$24="Yes",NOT(AND('Month-End'!$BV$12&lt;&gt;"",NOT(_xlfn.ISFORMULA('Month-End'!$BV$12))))),1,0)</f>
        <v/>
      </c>
      <c r="CS77">
        <f>IF(AND($E77&lt;&gt;"pre",AND(Settings!$A$25&lt;&gt;"",Settings!$E$25&lt;&gt;"No"),Settings!$F$25="Yes",NOT(AND('Month-End'!$BV$13&lt;&gt;"",NOT(_xlfn.ISFORMULA('Month-End'!$BV$13))))),1,0)</f>
        <v/>
      </c>
      <c r="CT77">
        <f>IF(AND($E77&lt;&gt;"pre",AND(Settings!$A$26&lt;&gt;"",Settings!$E$26&lt;&gt;"No"),Settings!$F$26="Yes",NOT(AND('Month-End'!$BV$14&lt;&gt;"",NOT(_xlfn.ISFORMULA('Month-End'!$BV$14))))),1,0)</f>
        <v/>
      </c>
      <c r="CU77">
        <f>IF(AND($E77&lt;&gt;"pre",AND(Settings!$A$27&lt;&gt;"",Settings!$E$27&lt;&gt;"No"),Settings!$F$27="Yes",NOT(AND('Month-End'!$BV$15&lt;&gt;"",NOT(_xlfn.ISFORMULA('Month-End'!$BV$15))))),1,0)</f>
        <v/>
      </c>
      <c r="CV77">
        <f>IF(AND($E77&lt;&gt;"pre",AND(Settings!$A$28&lt;&gt;"",Settings!$E$28&lt;&gt;"No"),Settings!$F$28="Yes",NOT(AND('Month-End'!$BV$16&lt;&gt;"",NOT(_xlfn.ISFORMULA('Month-End'!$BV$16))))),1,0)</f>
        <v/>
      </c>
      <c r="CW77">
        <f>IF(AND($E77&lt;&gt;"pre",AND(Settings!$A$29&lt;&gt;"",Settings!$E$29&lt;&gt;"No"),Settings!$F$29="Yes",NOT(AND('Month-End'!$BV$17&lt;&gt;"",NOT(_xlfn.ISFORMULA('Month-End'!$BV$17))))),1,0)</f>
        <v/>
      </c>
      <c r="CX77">
        <f>IF(AND($E77&lt;&gt;"pre",AND(Settings!$A$30&lt;&gt;"",Settings!$E$30&lt;&gt;"No"),Settings!$F$30="Yes",NOT(AND('Month-End'!$BV$18&lt;&gt;"",NOT(_xlfn.ISFORMULA('Month-End'!$BV$18))))),1,0)</f>
        <v/>
      </c>
      <c r="CY77">
        <f>IF(AND($E77&lt;&gt;"pre",AND(Settings!$A$31&lt;&gt;"",Settings!$E$31&lt;&gt;"No"),Settings!$F$31="Yes",NOT(AND('Month-End'!$BV$19&lt;&gt;"",NOT(_xlfn.ISFORMULA('Month-End'!$BV$19))))),1,0)</f>
        <v/>
      </c>
      <c r="CZ77">
        <f>IF(AND($E77&lt;&gt;"pre",AND(Settings!$A$32&lt;&gt;"",Settings!$E$32&lt;&gt;"No"),Settings!$F$32="Yes",NOT(AND('Month-End'!$BV$20&lt;&gt;"",NOT(_xlfn.ISFORMULA('Month-End'!$BV$20))))),1,0)</f>
        <v/>
      </c>
      <c r="DA77">
        <f>IF($DT77=1,IF(OR(Settings!$B$19="Checking",Settings!$B$19="Savings",Settings!$B$19="Cash"),N($AE77),IF(OR(Settings!$B$19="Card",Settings!$B$19="Loan"),-N($AE77),0))+IF(OR(Settings!$B$20="Checking",Settings!$B$20="Savings",Settings!$B$20="Cash"),N($AF77),IF(OR(Settings!$B$20="Card",Settings!$B$20="Loan"),-N($AF77),0))+IF(OR(Settings!$B$21="Checking",Settings!$B$21="Savings",Settings!$B$21="Cash"),N($AG77),IF(OR(Settings!$B$21="Card",Settings!$B$21="Loan"),-N($AG77),0))+IF(OR(Settings!$B$22="Checking",Settings!$B$22="Savings",Settings!$B$22="Cash"),N($AH77),IF(OR(Settings!$B$22="Card",Settings!$B$22="Loan"),-N($AH77),0))+IF(OR(Settings!$B$23="Checking",Settings!$B$23="Savings",Settings!$B$23="Cash"),N($AI77),IF(OR(Settings!$B$23="Card",Settings!$B$23="Loan"),-N($AI77),0))+IF(OR(Settings!$B$24="Checking",Settings!$B$24="Savings",Settings!$B$24="Cash"),N($AJ77),IF(OR(Settings!$B$24="Card",Settings!$B$24="Loan"),-N($AJ77),0))+IF(OR(Settings!$B$25="Checking",Settings!$B$25="Savings",Settings!$B$25="Cash"),N($AK77),IF(OR(Settings!$B$25="Card",Settings!$B$25="Loan"),-N($AK77),0))+IF(OR(Settings!$B$26="Checking",Settings!$B$26="Savings",Settings!$B$26="Cash"),N($AL77),IF(OR(Settings!$B$26="Card",Settings!$B$26="Loan"),-N($AL77),0))+IF(OR(Settings!$B$27="Checking",Settings!$B$27="Savings",Settings!$B$27="Cash"),N($AM77),IF(OR(Settings!$B$27="Card",Settings!$B$27="Loan"),-N($AM77),0))+IF(OR(Settings!$B$28="Checking",Settings!$B$28="Savings",Settings!$B$28="Cash"),N($AN77),IF(OR(Settings!$B$28="Card",Settings!$B$28="Loan"),-N($AN77),0))+IF(OR(Settings!$B$29="Checking",Settings!$B$29="Savings",Settings!$B$29="Cash"),N($AO77),IF(OR(Settings!$B$29="Card",Settings!$B$29="Loan"),-N($AO77),0))+IF(OR(Settings!$B$30="Checking",Settings!$B$30="Savings",Settings!$B$30="Cash"),N($AP77),IF(OR(Settings!$B$30="Card",Settings!$B$30="Loan"),-N($AP77),0))+IF(OR(Settings!$B$31="Checking",Settings!$B$31="Savings",Settings!$B$31="Cash"),N($AQ77),IF(OR(Settings!$B$31="Card",Settings!$B$31="Loan"),-N($AQ77),0))+IF(OR(Settings!$B$32="Checking",Settings!$B$32="Savings",Settings!$B$32="Cash"),N($AR77),IF(OR(Settings!$B$32="Card",Settings!$B$32="Loan"),-N($AR77),0)),"")</f>
        <v/>
      </c>
      <c r="DB77">
        <f>IF($E77="open",$EB$27,IF($E77="post",IF($E76="pre",$EB$27,$DA76),""))</f>
        <v/>
      </c>
      <c r="DC77">
        <f>IF($E77="open",1,IF($E77="post",IF($E76="pre",1,$DT76),0))</f>
        <v/>
      </c>
      <c r="DD77">
        <f>IF(AND($DT77=1,$DC77=1),ROUND($W77-($DA77-$DB77)-$AD77-$AB77,2),"")</f>
        <v/>
      </c>
      <c r="DE77">
        <f>IF('Month-End'!$BV$35="",$BQ77,N('Month-End'!$BV$35))</f>
        <v/>
      </c>
      <c r="DF77">
        <f>N('Month-End'!$BV$36)</f>
        <v/>
      </c>
      <c r="DG77">
        <f>IF($DD77="","",$DD77+$DE77)</f>
        <v/>
      </c>
      <c r="DH77">
        <f>IF($DG77="","",$DG77-$DF77)</f>
        <v/>
      </c>
      <c r="DI77">
        <f>IF(OR($E77="pre",$D77=1),"",N($AS77)+N($AT77)+N($AU77)+N($AV77)+N($AW77)+N($AX77))</f>
        <v/>
      </c>
      <c r="DJ77">
        <f>IF($DT77=1,$DA77+N($DI77),"")</f>
        <v/>
      </c>
      <c r="DK77">
        <f>IF($DD77="","",$W77-$DD77-$AB77)</f>
        <v/>
      </c>
      <c r="DL77">
        <f>IF(AND($E77="post",$DD77&lt;&gt;"",$B77&lt;TODAY()),1,0)</f>
        <v/>
      </c>
      <c r="DM77">
        <f>IF($DL77=1,COUNTIF($DL77:$DL$183,1),0)</f>
        <v/>
      </c>
      <c r="DN77">
        <f>IF($D77=1,"",IF($E77="pre","History only",IF($DT77=1,IF($DD77="","⚠ Previous month missing",IF($DD77&lt;0,"⚠ Check: spending &lt; 0",IF($E77="open","✓ Done (partial)","✓ Done"))),IF($B77&gt;=TODAY(),"In progress","⚠ Needs balances"))))</f>
        <v/>
      </c>
      <c r="DO77">
        <f>YEAR($A77)</f>
        <v/>
      </c>
      <c r="DP77">
        <f>DATE(YEAR($A77),INT((MONTH($A77)-1)/3)*3+1,1)</f>
        <v/>
      </c>
      <c r="DQ77">
        <f>IF(AND($DT77=1,$DD77&lt;&gt;"",$D77=0),ROW(),0)</f>
        <v/>
      </c>
      <c r="DR77">
        <f>IF(AND($E77&lt;&gt;"pre",$B77&lt;TODAY(),$DT77=0),1,0)</f>
        <v/>
      </c>
      <c r="DS77">
        <f>IF($DJ77="",NA(),$DJ77)</f>
        <v/>
      </c>
      <c r="DT77">
        <f>IF(AND($E77&lt;&gt;"pre",$CL77=0,COUNTIFS(Settings!$F$19:$F$32,"Yes",Settings!$A$19:$A$32,"&lt;&gt;",Settings!$E$19:$E$32,"&lt;&gt;No")&gt;0),1,0)</f>
        <v/>
      </c>
      <c r="DU77">
        <f>IF(AND($B77&lt;TODAY(),$S77&gt;0),1,0)</f>
        <v/>
      </c>
      <c r="DV77">
        <f>IF($DU77=1,COUNTIF($DU77:$DU$183,1),0)</f>
        <v/>
      </c>
      <c r="DW77">
        <f>IF(AND(OR(Settings!$B$19="Card",Settings!$B$19="Loan"),AND('Month-End'!$BV$7&lt;&gt;"",NOT(_xlfn.ISFORMULA('Month-End'!$BV$7)))),IF(N('Month-End'!$BV$7)&lt;0,1,0),0)+IF(AND(OR(Settings!$B$20="Card",Settings!$B$20="Loan"),AND('Month-End'!$BV$8&lt;&gt;"",NOT(_xlfn.ISFORMULA('Month-End'!$BV$8)))),IF(N('Month-End'!$BV$8)&lt;0,1,0),0)+IF(AND(OR(Settings!$B$21="Card",Settings!$B$21="Loan"),AND('Month-End'!$BV$9&lt;&gt;"",NOT(_xlfn.ISFORMULA('Month-End'!$BV$9)))),IF(N('Month-End'!$BV$9)&lt;0,1,0),0)+IF(AND(OR(Settings!$B$22="Card",Settings!$B$22="Loan"),AND('Month-End'!$BV$10&lt;&gt;"",NOT(_xlfn.ISFORMULA('Month-End'!$BV$10)))),IF(N('Month-End'!$BV$10)&lt;0,1,0),0)+IF(AND(OR(Settings!$B$23="Card",Settings!$B$23="Loan"),AND('Month-End'!$BV$11&lt;&gt;"",NOT(_xlfn.ISFORMULA('Month-End'!$BV$11)))),IF(N('Month-End'!$BV$11)&lt;0,1,0),0)+IF(AND(OR(Settings!$B$24="Card",Settings!$B$24="Loan"),AND('Month-End'!$BV$12&lt;&gt;"",NOT(_xlfn.ISFORMULA('Month-End'!$BV$12)))),IF(N('Month-End'!$BV$12)&lt;0,1,0),0)+IF(AND(OR(Settings!$B$25="Card",Settings!$B$25="Loan"),AND('Month-End'!$BV$13&lt;&gt;"",NOT(_xlfn.ISFORMULA('Month-End'!$BV$13)))),IF(N('Month-End'!$BV$13)&lt;0,1,0),0)+IF(AND(OR(Settings!$B$26="Card",Settings!$B$26="Loan"),AND('Month-End'!$BV$14&lt;&gt;"",NOT(_xlfn.ISFORMULA('Month-End'!$BV$14)))),IF(N('Month-End'!$BV$14)&lt;0,1,0),0)+IF(AND(OR(Settings!$B$27="Card",Settings!$B$27="Loan"),AND('Month-End'!$BV$15&lt;&gt;"",NOT(_xlfn.ISFORMULA('Month-End'!$BV$15)))),IF(N('Month-End'!$BV$15)&lt;0,1,0),0)+IF(AND(OR(Settings!$B$28="Card",Settings!$B$28="Loan"),AND('Month-End'!$BV$16&lt;&gt;"",NOT(_xlfn.ISFORMULA('Month-End'!$BV$16)))),IF(N('Month-End'!$BV$16)&lt;0,1,0),0)+IF(AND(OR(Settings!$B$29="Card",Settings!$B$29="Loan"),AND('Month-End'!$BV$17&lt;&gt;"",NOT(_xlfn.ISFORMULA('Month-End'!$BV$17)))),IF(N('Month-End'!$BV$17)&lt;0,1,0),0)+IF(AND(OR(Settings!$B$30="Card",Settings!$B$30="Loan"),AND('Month-End'!$BV$18&lt;&gt;"",NOT(_xlfn.ISFORMULA('Month-End'!$BV$18)))),IF(N('Month-End'!$BV$18)&lt;0,1,0),0)+IF(AND(OR(Settings!$B$31="Card",Settings!$B$31="Loan"),AND('Month-End'!$BV$19&lt;&gt;"",NOT(_xlfn.ISFORMULA('Month-End'!$BV$19)))),IF(N('Month-End'!$BV$19)&lt;0,1,0),0)+IF(AND(OR(Settings!$B$32="Card",Settings!$B$32="Loan"),AND('Month-End'!$BV$20&lt;&gt;"",NOT(_xlfn.ISFORMULA('Month-End'!$BV$20)))),IF(N('Month-End'!$BV$20)&lt;0,1,0),0)</f>
        <v/>
      </c>
      <c r="DX77">
        <f>IF(Settings!$B$36="Retirement",$AY77,0)+IF(Settings!$B$37="Retirement",$AZ77,0)+IF(Settings!$B$38="Retirement",$BA77,0)+IF(Settings!$B$39="Retirement",$BB77,0)+IF(Settings!$B$40="Retirement",$BC77,0)+IF(Settings!$B$41="Retirement",$BD77,0)</f>
        <v/>
      </c>
      <c r="EA77">
        <f>IF(Settings!$A$76="","",Settings!$A$76)</f>
        <v/>
      </c>
      <c r="EB77">
        <f>IF(Settings!$D$76="",0,IF(Settings!$D$76="Specific Account",IFERROR(INDEX($EB$40:$EB$59,MATCH(Settings!$F$76,$EA$40:$EA$59,0)),0),IFERROR(INDEX($EB$6:$EB$26,MATCH(Settings!$D$76,$EA$6:$EA$26,0)),0)))</f>
        <v/>
      </c>
      <c r="EC77">
        <f>IF(Settings!$A$76="","",IF(Settings!$B$76="Tithe Balance",$EB$23,IF(Settings!$E$76="Specific Account",IFERROR(INDEX($EB$40:$EB$59,MATCH(Settings!$F$76,$EA$40:$EA$59,0)),0),IFERROR(INDEX($EB$6:$EB$26,MATCH(Settings!$E$76,$EA$6:$EA$26,0)),0))))</f>
        <v/>
      </c>
      <c r="ED77">
        <f>IF(Settings!$A$76="","",IF(Settings!$B$76="Percentage",EB77*N(Settings!$C$76)/100,IF(Settings!$B$76="Multiple",EB77*N(Settings!$C$76),IF(Settings!$B$76="Tithe Balance",$EB$22,N(Settings!$C$76)))))</f>
        <v/>
      </c>
      <c r="EE77">
        <f>IF(Settings!$A$76="","",IF(Settings!$B$76="Pay Down To",MAX(0,EC77-ED77),MAX(0,ED77-EC77)))</f>
        <v/>
      </c>
      <c r="EF77">
        <f>IF(Settings!$A$76="","",IF(Settings!$B$76="Pay Down To",IF(EC77&lt;=ED77,"Met","Above target"),IF(EC77&gt;=ED77-0.005,"Met","Remaining")))</f>
        <v/>
      </c>
      <c r="EG77">
        <f>IF(Settings!$A$76="","",IF(Settings!$B$76="Pay Down To",IF(EC77&lt;=0,1,MIN(1,ED77/EC77)),IF(ED77&lt;=0,1,EC77/ED77)))</f>
        <v/>
      </c>
      <c r="EH77">
        <f>IF(OR(Settings!$A$76="",EE77&lt;=0),"",IF(Settings!$B$76="Save By Date",IF(Settings!$G$76="","Set a target date","Need "&amp;TEXT(EE77/MAX(1,(YEAR(Settings!$G$76)-YEAR(TODAY()))*12+MONTH(Settings!$G$76)-MONTH(TODAY())+1),"$#,##0")&amp;"/mo to "&amp;TEXT(Settings!$G$76,"mmm yyyy")),IF(Settings!$B$76="Annual Contribution","Need "&amp;TEXT(EE77/MAX(1,12-MONTH(TODAY())+1),"$#,##0")&amp;"/mo rest of year",IF(Settings!$B$76="Tithe Balance","This quarter",""))))</f>
        <v/>
      </c>
      <c r="ET77">
        <f>IF($E77&lt;&gt;"open",0,IF(AND('Month-End'!$BV$22&lt;&gt;"",NOT(_xlfn.ISFORMULA('Month-End'!$BV$22))),0,IF(OR(Settings!$C$45="",Settings!$D$45=""),0,Settings!$C$45*IF(Settings!$D$45="Weekly",IF(IFERROR(MATCH(Settings!$E$45,$EO$4:$EO$10,0),0)=0,0,IF(MIN(Settings!$B$5,IF(Settings!$G$45="",Settings!$B$5,Settings!$G$45))&lt;MAX($A77,Settings!$F$45),0,INT((MIN(Settings!$B$5,IF(Settings!$G$45="",Settings!$B$5,Settings!$G$45))-MAX($A77,Settings!$F$45)-MOD(IFERROR(MATCH(Settings!$E$45,$EO$4:$EO$10,0),0)-WEEKDAY(MAX($A77,Settings!$F$45)),7))/7)+1)),IF(AND(IF(Settings!$E$45="",$B77,DATE(YEAR($A77),MONTH($A77),MIN(Settings!$E$45,DAY($B77))))&gt;=MAX($A77,Settings!$F$45),IF(Settings!$E$45="",$B77,DATE(YEAR($A77),MONTH($A77),MIN(Settings!$E$45,DAY($B77))))&lt;=MIN(Settings!$B$5,IF(Settings!$G$45="",Settings!$B$5,Settings!$G$45))),1,0)))))</f>
        <v/>
      </c>
      <c r="EU77">
        <f>IF($E77&lt;&gt;"open",0,IF(AND('Month-End'!$BV$23&lt;&gt;"",NOT(_xlfn.ISFORMULA('Month-End'!$BV$23))),0,IF(OR(Settings!$C$46="",Settings!$D$46=""),0,Settings!$C$46*IF(Settings!$D$46="Weekly",IF(IFERROR(MATCH(Settings!$E$46,$EO$4:$EO$10,0),0)=0,0,IF(MIN(Settings!$B$5,IF(Settings!$G$46="",Settings!$B$5,Settings!$G$46))&lt;MAX($A77,Settings!$F$46),0,INT((MIN(Settings!$B$5,IF(Settings!$G$46="",Settings!$B$5,Settings!$G$46))-MAX($A77,Settings!$F$46)-MOD(IFERROR(MATCH(Settings!$E$46,$EO$4:$EO$10,0),0)-WEEKDAY(MAX($A77,Settings!$F$46)),7))/7)+1)),IF(AND(IF(Settings!$E$46="",$B77,DATE(YEAR($A77),MONTH($A77),MIN(Settings!$E$46,DAY($B77))))&gt;=MAX($A77,Settings!$F$46),IF(Settings!$E$46="",$B77,DATE(YEAR($A77),MONTH($A77),MIN(Settings!$E$46,DAY($B77))))&lt;=MIN(Settings!$B$5,IF(Settings!$G$46="",Settings!$B$5,Settings!$G$46))),1,0)))))</f>
        <v/>
      </c>
      <c r="EV77">
        <f>IF($E77&lt;&gt;"open",0,IF(AND('Month-End'!$BV$24&lt;&gt;"",NOT(_xlfn.ISFORMULA('Month-End'!$BV$24))),0,IF(OR(Settings!$C$47="",Settings!$D$47=""),0,Settings!$C$47*IF(Settings!$D$47="Weekly",IF(IFERROR(MATCH(Settings!$E$47,$EO$4:$EO$10,0),0)=0,0,IF(MIN(Settings!$B$5,IF(Settings!$G$47="",Settings!$B$5,Settings!$G$47))&lt;MAX($A77,Settings!$F$47),0,INT((MIN(Settings!$B$5,IF(Settings!$G$47="",Settings!$B$5,Settings!$G$47))-MAX($A77,Settings!$F$47)-MOD(IFERROR(MATCH(Settings!$E$47,$EO$4:$EO$10,0),0)-WEEKDAY(MAX($A77,Settings!$F$47)),7))/7)+1)),IF(AND(IF(Settings!$E$47="",$B77,DATE(YEAR($A77),MONTH($A77),MIN(Settings!$E$47,DAY($B77))))&gt;=MAX($A77,Settings!$F$47),IF(Settings!$E$47="",$B77,DATE(YEAR($A77),MONTH($A77),MIN(Settings!$E$47,DAY($B77))))&lt;=MIN(Settings!$B$5,IF(Settings!$G$47="",Settings!$B$5,Settings!$G$47))),1,0)))))</f>
        <v/>
      </c>
      <c r="EW77">
        <f>IF($E77&lt;&gt;"open",0,IF(AND('Month-End'!$BV$25&lt;&gt;"",NOT(_xlfn.ISFORMULA('Month-End'!$BV$25))),0,IF(OR(Settings!$C$48="",Settings!$D$48=""),0,Settings!$C$48*IF(Settings!$D$48="Weekly",IF(IFERROR(MATCH(Settings!$E$48,$EO$4:$EO$10,0),0)=0,0,IF(MIN(Settings!$B$5,IF(Settings!$G$48="",Settings!$B$5,Settings!$G$48))&lt;MAX($A77,Settings!$F$48),0,INT((MIN(Settings!$B$5,IF(Settings!$G$48="",Settings!$B$5,Settings!$G$48))-MAX($A77,Settings!$F$48)-MOD(IFERROR(MATCH(Settings!$E$48,$EO$4:$EO$10,0),0)-WEEKDAY(MAX($A77,Settings!$F$48)),7))/7)+1)),IF(AND(IF(Settings!$E$48="",$B77,DATE(YEAR($A77),MONTH($A77),MIN(Settings!$E$48,DAY($B77))))&gt;=MAX($A77,Settings!$F$48),IF(Settings!$E$48="",$B77,DATE(YEAR($A77),MONTH($A77),MIN(Settings!$E$48,DAY($B77))))&lt;=MIN(Settings!$B$5,IF(Settings!$G$48="",Settings!$B$5,Settings!$G$48))),1,0)))))</f>
        <v/>
      </c>
      <c r="EX77">
        <f>IF($E77&lt;&gt;"open",0,IF(AND('Month-End'!$BV$26&lt;&gt;"",NOT(_xlfn.ISFORMULA('Month-End'!$BV$26))),0,IF(OR(Settings!$C$49="",Settings!$D$49=""),0,Settings!$C$49*IF(Settings!$D$49="Weekly",IF(IFERROR(MATCH(Settings!$E$49,$EO$4:$EO$10,0),0)=0,0,IF(MIN(Settings!$B$5,IF(Settings!$G$49="",Settings!$B$5,Settings!$G$49))&lt;MAX($A77,Settings!$F$49),0,INT((MIN(Settings!$B$5,IF(Settings!$G$49="",Settings!$B$5,Settings!$G$49))-MAX($A77,Settings!$F$49)-MOD(IFERROR(MATCH(Settings!$E$49,$EO$4:$EO$10,0),0)-WEEKDAY(MAX($A77,Settings!$F$49)),7))/7)+1)),IF(AND(IF(Settings!$E$49="",$B77,DATE(YEAR($A77),MONTH($A77),MIN(Settings!$E$49,DAY($B77))))&gt;=MAX($A77,Settings!$F$49),IF(Settings!$E$49="",$B77,DATE(YEAR($A77),MONTH($A77),MIN(Settings!$E$49,DAY($B77))))&lt;=MIN(Settings!$B$5,IF(Settings!$G$49="",Settings!$B$5,Settings!$G$49))),1,0)))))</f>
        <v/>
      </c>
      <c r="EY77">
        <f>IF($E77&lt;&gt;"open",0,IF(AND('Month-End'!$BV$27&lt;&gt;"",NOT(_xlfn.ISFORMULA('Month-End'!$BV$27))),0,IF(OR(Settings!$C$50="",Settings!$D$50=""),0,Settings!$C$50*IF(Settings!$D$50="Weekly",IF(IFERROR(MATCH(Settings!$E$50,$EO$4:$EO$10,0),0)=0,0,IF(MIN(Settings!$B$5,IF(Settings!$G$50="",Settings!$B$5,Settings!$G$50))&lt;MAX($A77,Settings!$F$50),0,INT((MIN(Settings!$B$5,IF(Settings!$G$50="",Settings!$B$5,Settings!$G$50))-MAX($A77,Settings!$F$50)-MOD(IFERROR(MATCH(Settings!$E$50,$EO$4:$EO$10,0),0)-WEEKDAY(MAX($A77,Settings!$F$50)),7))/7)+1)),IF(AND(IF(Settings!$E$50="",$B77,DATE(YEAR($A77),MONTH($A77),MIN(Settings!$E$50,DAY($B77))))&gt;=MAX($A77,Settings!$F$50),IF(Settings!$E$50="",$B77,DATE(YEAR($A77),MONTH($A77),MIN(Settings!$E$50,DAY($B77))))&lt;=MIN(Settings!$B$5,IF(Settings!$G$50="",Settings!$B$5,Settings!$G$50))),1,0)))))</f>
        <v/>
      </c>
      <c r="EZ77">
        <f>IF($E77&lt;&gt;"open",0,IF(AND('Month-End'!$BV$28&lt;&gt;"",NOT(_xlfn.ISFORMULA('Month-End'!$BV$28))),0,IF(OR(Settings!$C$51="",Settings!$D$51=""),0,Settings!$C$51*IF(Settings!$D$51="Weekly",IF(IFERROR(MATCH(Settings!$E$51,$EO$4:$EO$10,0),0)=0,0,IF(MIN(Settings!$B$5,IF(Settings!$G$51="",Settings!$B$5,Settings!$G$51))&lt;MAX($A77,Settings!$F$51),0,INT((MIN(Settings!$B$5,IF(Settings!$G$51="",Settings!$B$5,Settings!$G$51))-MAX($A77,Settings!$F$51)-MOD(IFERROR(MATCH(Settings!$E$51,$EO$4:$EO$10,0),0)-WEEKDAY(MAX($A77,Settings!$F$51)),7))/7)+1)),IF(AND(IF(Settings!$E$51="",$B77,DATE(YEAR($A77),MONTH($A77),MIN(Settings!$E$51,DAY($B77))))&gt;=MAX($A77,Settings!$F$51),IF(Settings!$E$51="",$B77,DATE(YEAR($A77),MONTH($A77),MIN(Settings!$E$51,DAY($B77))))&lt;=MIN(Settings!$B$5,IF(Settings!$G$51="",Settings!$B$5,Settings!$G$51))),1,0)))))</f>
        <v/>
      </c>
      <c r="FA77">
        <f>IF($E77&lt;&gt;"open",0,IF(AND('Month-End'!$BV$29&lt;&gt;"",NOT(_xlfn.ISFORMULA('Month-End'!$BV$29))),0,IF(OR(Settings!$C$52="",Settings!$D$52=""),0,Settings!$C$52*IF(Settings!$D$52="Weekly",IF(IFERROR(MATCH(Settings!$E$52,$EO$4:$EO$10,0),0)=0,0,IF(MIN(Settings!$B$5,IF(Settings!$G$52="",Settings!$B$5,Settings!$G$52))&lt;MAX($A77,Settings!$F$52),0,INT((MIN(Settings!$B$5,IF(Settings!$G$52="",Settings!$B$5,Settings!$G$52))-MAX($A77,Settings!$F$52)-MOD(IFERROR(MATCH(Settings!$E$52,$EO$4:$EO$10,0),0)-WEEKDAY(MAX($A77,Settings!$F$52)),7))/7)+1)),IF(AND(IF(Settings!$E$52="",$B77,DATE(YEAR($A77),MONTH($A77),MIN(Settings!$E$52,DAY($B77))))&gt;=MAX($A77,Settings!$F$52),IF(Settings!$E$52="",$B77,DATE(YEAR($A77),MONTH($A77),MIN(Settings!$E$52,DAY($B77))))&lt;=MIN(Settings!$B$5,IF(Settings!$G$52="",Settings!$B$5,Settings!$G$52))),1,0)))))</f>
        <v/>
      </c>
      <c r="FB77">
        <f>IF($E77&lt;&gt;"open",0,IF(AND('Month-End'!$BV$30&lt;&gt;"",NOT(_xlfn.ISFORMULA('Month-End'!$BV$30))),0,IF(OR(Settings!$C$53="",Settings!$D$53=""),0,Settings!$C$53*IF(Settings!$D$53="Weekly",IF(IFERROR(MATCH(Settings!$E$53,$EO$4:$EO$10,0),0)=0,0,IF(MIN(Settings!$B$5,IF(Settings!$G$53="",Settings!$B$5,Settings!$G$53))&lt;MAX($A77,Settings!$F$53),0,INT((MIN(Settings!$B$5,IF(Settings!$G$53="",Settings!$B$5,Settings!$G$53))-MAX($A77,Settings!$F$53)-MOD(IFERROR(MATCH(Settings!$E$53,$EO$4:$EO$10,0),0)-WEEKDAY(MAX($A77,Settings!$F$53)),7))/7)+1)),IF(AND(IF(Settings!$E$53="",$B77,DATE(YEAR($A77),MONTH($A77),MIN(Settings!$E$53,DAY($B77))))&gt;=MAX($A77,Settings!$F$53),IF(Settings!$E$53="",$B77,DATE(YEAR($A77),MONTH($A77),MIN(Settings!$E$53,DAY($B77))))&lt;=MIN(Settings!$B$5,IF(Settings!$G$53="",Settings!$B$5,Settings!$G$53))),1,0)))))</f>
        <v/>
      </c>
      <c r="FC77">
        <f>IF($E77&lt;&gt;"open",0,IF(AND('Month-End'!$BV$31&lt;&gt;"",NOT(_xlfn.ISFORMULA('Month-End'!$BV$31))),0,IF(OR(Settings!$C$54="",Settings!$D$54=""),0,Settings!$C$54*IF(Settings!$D$54="Weekly",IF(IFERROR(MATCH(Settings!$E$54,$EO$4:$EO$10,0),0)=0,0,IF(MIN(Settings!$B$5,IF(Settings!$G$54="",Settings!$B$5,Settings!$G$54))&lt;MAX($A77,Settings!$F$54),0,INT((MIN(Settings!$B$5,IF(Settings!$G$54="",Settings!$B$5,Settings!$G$54))-MAX($A77,Settings!$F$54)-MOD(IFERROR(MATCH(Settings!$E$54,$EO$4:$EO$10,0),0)-WEEKDAY(MAX($A77,Settings!$F$54)),7))/7)+1)),IF(AND(IF(Settings!$E$54="",$B77,DATE(YEAR($A77),MONTH($A77),MIN(Settings!$E$54,DAY($B77))))&gt;=MAX($A77,Settings!$F$54),IF(Settings!$E$54="",$B77,DATE(YEAR($A77),MONTH($A77),MIN(Settings!$E$54,DAY($B77))))&lt;=MIN(Settings!$B$5,IF(Settings!$G$54="",Settings!$B$5,Settings!$G$54))),1,0)))))</f>
        <v/>
      </c>
      <c r="FD77">
        <f>IF($E77&lt;&gt;"open",0,IF(AND('Month-End'!$BV$32&lt;&gt;"",NOT(_xlfn.ISFORMULA('Month-End'!$BV$32))),0,IF(OR(Settings!$C$55="",Settings!$D$55=""),0,Settings!$C$55*IF(Settings!$D$55="Weekly",IF(IFERROR(MATCH(Settings!$E$55,$EO$4:$EO$10,0),0)=0,0,IF(MIN(Settings!$B$5,IF(Settings!$G$55="",Settings!$B$5,Settings!$G$55))&lt;MAX($A77,Settings!$F$55),0,INT((MIN(Settings!$B$5,IF(Settings!$G$55="",Settings!$B$5,Settings!$G$55))-MAX($A77,Settings!$F$55)-MOD(IFERROR(MATCH(Settings!$E$55,$EO$4:$EO$10,0),0)-WEEKDAY(MAX($A77,Settings!$F$55)),7))/7)+1)),IF(AND(IF(Settings!$E$55="",$B77,DATE(YEAR($A77),MONTH($A77),MIN(Settings!$E$55,DAY($B77))))&gt;=MAX($A77,Settings!$F$55),IF(Settings!$E$55="",$B77,DATE(YEAR($A77),MONTH($A77),MIN(Settings!$E$55,DAY($B77))))&lt;=MIN(Settings!$B$5,IF(Settings!$G$55="",Settings!$B$5,Settings!$G$55))),1,0)))))</f>
        <v/>
      </c>
      <c r="FE77">
        <f>IF($E77&lt;&gt;"open",0,IF(AND('Month-End'!$BV$33&lt;&gt;"",NOT(_xlfn.ISFORMULA('Month-End'!$BV$33))),0,IF(OR(Settings!$C$56="",Settings!$D$56=""),0,Settings!$C$56*IF(Settings!$D$56="Weekly",IF(IFERROR(MATCH(Settings!$E$56,$EO$4:$EO$10,0),0)=0,0,IF(MIN(Settings!$B$5,IF(Settings!$G$56="",Settings!$B$5,Settings!$G$56))&lt;MAX($A77,Settings!$F$56),0,INT((MIN(Settings!$B$5,IF(Settings!$G$56="",Settings!$B$5,Settings!$G$56))-MAX($A77,Settings!$F$56)-MOD(IFERROR(MATCH(Settings!$E$56,$EO$4:$EO$10,0),0)-WEEKDAY(MAX($A77,Settings!$F$56)),7))/7)+1)),IF(AND(IF(Settings!$E$56="",$B77,DATE(YEAR($A77),MONTH($A77),MIN(Settings!$E$56,DAY($B77))))&gt;=MAX($A77,Settings!$F$56),IF(Settings!$E$56="",$B77,DATE(YEAR($A77),MONTH($A77),MIN(Settings!$E$56,DAY($B77))))&lt;=MIN(Settings!$B$5,IF(Settings!$G$56="",Settings!$B$5,Settings!$G$56))),1,0)))))</f>
        <v/>
      </c>
      <c r="FF77">
        <f>IF(Settings!$I$45="Yes",$G77,0)+IF(Settings!$I$46="Yes",$H77,0)+IF(Settings!$I$47="Yes",$I77,0)+IF(Settings!$I$48="Yes",$J77,0)+IF(Settings!$I$49="Yes",$K77,0)+IF(Settings!$I$50="Yes",$L77,0)+IF(Settings!$I$51="Yes",$M77,0)+IF(Settings!$I$52="Yes",$N77,0)+IF(Settings!$I$53="Yes",$O77,0)+IF(Settings!$I$54="Yes",$P77,0)+IF(Settings!$I$55="Yes",$Q77,0)+IF(Settings!$I$56="Yes",$R77,0)</f>
        <v/>
      </c>
      <c r="FG77">
        <f>IF(AND(Settings!$I$45="Yes",Settings!$J$45="No"),$G77,0)+IF(AND(Settings!$I$46="Yes",Settings!$J$46="No"),$H77,0)+IF(AND(Settings!$I$47="Yes",Settings!$J$47="No"),$I77,0)+IF(AND(Settings!$I$48="Yes",Settings!$J$48="No"),$J77,0)+IF(AND(Settings!$I$49="Yes",Settings!$J$49="No"),$K77,0)+IF(AND(Settings!$I$50="Yes",Settings!$J$50="No"),$L77,0)+IF(AND(Settings!$I$51="Yes",Settings!$J$51="No"),$M77,0)+IF(AND(Settings!$I$52="Yes",Settings!$J$52="No"),$N77,0)+IF(AND(Settings!$I$53="Yes",Settings!$J$53="No"),$O77,0)+IF(AND(Settings!$I$54="Yes",Settings!$J$54="No"),$P77,0)+IF(AND(Settings!$I$55="Yes",Settings!$J$55="No"),$Q77,0)+IF(AND(Settings!$I$56="Yes",Settings!$J$56="No"),$R77,0)</f>
        <v/>
      </c>
      <c r="FH77">
        <f>SUMIFS(Giving!$B$7:$B$2006,Giving!$A$7:$A$2006,"&gt;="&amp;$A77,Giving!$A$7:$A$2006,"&lt;="&amp;$B77,Giving!$G$7:$G$2006,"Yes")+IF(OR(OR(Settings!$B$60="",Settings!$F$60="No"),Settings!$H$60&lt;&gt;"Yes"),0,Settings!$B$60*IF(AND(IF(Settings!$C$60="",$B77,DATE(YEAR($A77),MONTH($A77),MIN(Settings!$C$60,DAY($B77))))&gt;=MAX($A77,Settings!$D$60),IF(Settings!$C$60="",$B77,DATE(YEAR($A77),MONTH($A77),MIN(Settings!$C$60,DAY($B77))))&lt;=MIN($C77,IF(Settings!$E$60="",$C77,Settings!$E$60))),1,0))+IF(OR(OR(Settings!$B$61="",Settings!$F$61="No"),Settings!$H$61&lt;&gt;"Yes"),0,Settings!$B$61*IF(AND(IF(Settings!$C$61="",$B77,DATE(YEAR($A77),MONTH($A77),MIN(Settings!$C$61,DAY($B77))))&gt;=MAX($A77,Settings!$D$61),IF(Settings!$C$61="",$B77,DATE(YEAR($A77),MONTH($A77),MIN(Settings!$C$61,DAY($B77))))&lt;=MIN($C77,IF(Settings!$E$61="",$C77,Settings!$E$61))),1,0))+IF(OR(OR(Settings!$B$62="",Settings!$F$62="No"),Settings!$H$62&lt;&gt;"Yes"),0,Settings!$B$62*IF(AND(IF(Settings!$C$62="",$B77,DATE(YEAR($A77),MONTH($A77),MIN(Settings!$C$62,DAY($B77))))&gt;=MAX($A77,Settings!$D$62),IF(Settings!$C$62="",$B77,DATE(YEAR($A77),MONTH($A77),MIN(Settings!$C$62,DAY($B77))))&lt;=MIN($C77,IF(Settings!$E$62="",$C77,Settings!$E$62))),1,0))+IF(OR(OR(Settings!$B$63="",Settings!$F$63="No"),Settings!$H$63&lt;&gt;"Yes"),0,Settings!$B$63*IF(AND(IF(Settings!$C$63="",$B77,DATE(YEAR($A77),MONTH($A77),MIN(Settings!$C$63,DAY($B77))))&gt;=MAX($A77,Settings!$D$63),IF(Settings!$C$63="",$B77,DATE(YEAR($A77),MONTH($A77),MIN(Settings!$C$63,DAY($B77))))&lt;=MIN($C77,IF(Settings!$E$63="",$C77,Settings!$E$63))),1,0))+IF(OR(OR(Settings!$B$64="",Settings!$F$64="No"),Settings!$H$64&lt;&gt;"Yes"),0,Settings!$B$64*IF(AND(IF(Settings!$C$64="",$B77,DATE(YEAR($A77),MONTH($A77),MIN(Settings!$C$64,DAY($B77))))&gt;=MAX($A77,Settings!$D$64),IF(Settings!$C$64="",$B77,DATE(YEAR($A77),MONTH($A77),MIN(Settings!$C$64,DAY($B77))))&lt;=MIN($C77,IF(Settings!$E$64="",$C77,Settings!$E$64))),1,0))+IF(OR(OR(Settings!$B$65="",Settings!$F$65="No"),Settings!$H$65&lt;&gt;"Yes"),0,Settings!$B$65*IF(AND(IF(Settings!$C$65="",$B77,DATE(YEAR($A77),MONTH($A77),MIN(Settings!$C$65,DAY($B77))))&gt;=MAX($A77,Settings!$D$65),IF(Settings!$C$65="",$B77,DATE(YEAR($A77),MONTH($A77),MIN(Settings!$C$65,DAY($B77))))&lt;=MIN($C77,IF(Settings!$E$65="",$C77,Settings!$E$65))),1,0))</f>
        <v/>
      </c>
      <c r="FI77">
        <f>IF($DT77=1,IF(OR(Settings!$B$19="Card",Settings!$B$19="Loan"),N($AE77),0)+IF(OR(Settings!$B$20="Card",Settings!$B$20="Loan"),N($AF77),0)+IF(OR(Settings!$B$21="Card",Settings!$B$21="Loan"),N($AG77),0)+IF(OR(Settings!$B$22="Card",Settings!$B$22="Loan"),N($AH77),0)+IF(OR(Settings!$B$23="Card",Settings!$B$23="Loan"),N($AI77),0)+IF(OR(Settings!$B$24="Card",Settings!$B$24="Loan"),N($AJ77),0)+IF(OR(Settings!$B$25="Card",Settings!$B$25="Loan"),N($AK77),0)+IF(OR(Settings!$B$26="Card",Settings!$B$26="Loan"),N($AL77),0)+IF(OR(Settings!$B$27="Card",Settings!$B$27="Loan"),N($AM77),0)+IF(OR(Settings!$B$28="Card",Settings!$B$28="Loan"),N($AN77),0)+IF(OR(Settings!$B$29="Card",Settings!$B$29="Loan"),N($AO77),0)+IF(OR(Settings!$B$30="Card",Settings!$B$30="Loan"),N($AP77),0)+IF(OR(Settings!$B$31="Card",Settings!$B$31="Loan"),N($AQ77),0)+IF(OR(Settings!$B$32="Card",Settings!$B$32="Loan"),N($AR77),0),"")</f>
        <v/>
      </c>
      <c r="FJ77">
        <f>IF($E77="open",$EB$65,IF($E77="post",IF($E76="pre",$EB$65,$FI76),""))</f>
        <v/>
      </c>
      <c r="FK77">
        <f>IF(AND($DT77=1,$DC77=1),IF(ROUND($FI77-$FJ77,2)&gt;0,1,0),0)</f>
        <v/>
      </c>
      <c r="FL77">
        <f>IF($FK77=1,$FL76+1,0)</f>
        <v/>
      </c>
    </row>
    <row r="78">
      <c r="A78">
        <f>'Month-End'!$BW$4</f>
        <v/>
      </c>
      <c r="B78">
        <f>EOMONTH($A78,0)</f>
        <v/>
      </c>
      <c r="C78">
        <f>MIN($B78,TODAY())</f>
        <v/>
      </c>
      <c r="D78">
        <f>IF($A78&gt;TODAY(),1,0)</f>
        <v/>
      </c>
      <c r="E78">
        <f>IF($B78&lt;=Settings!$B$5,"pre",IF($A78&lt;=Settings!$B$5,"open","post"))</f>
        <v/>
      </c>
      <c r="G78">
        <f>IF('Month-End'!$BW$22="",$BE78,N('Month-End'!$BW$22))</f>
        <v/>
      </c>
      <c r="H78">
        <f>IF('Month-End'!$BW$23="",$BF78,N('Month-End'!$BW$23))</f>
        <v/>
      </c>
      <c r="I78">
        <f>IF('Month-End'!$BW$24="",$BG78,N('Month-End'!$BW$24))</f>
        <v/>
      </c>
      <c r="J78">
        <f>IF('Month-End'!$BW$25="",$BH78,N('Month-End'!$BW$25))</f>
        <v/>
      </c>
      <c r="K78">
        <f>IF('Month-End'!$BW$26="",$BI78,N('Month-End'!$BW$26))</f>
        <v/>
      </c>
      <c r="L78">
        <f>IF('Month-End'!$BW$27="",$BJ78,N('Month-End'!$BW$27))</f>
        <v/>
      </c>
      <c r="M78">
        <f>IF('Month-End'!$BW$28="",$BK78,N('Month-End'!$BW$28))</f>
        <v/>
      </c>
      <c r="N78">
        <f>IF('Month-End'!$BW$29="",$BL78,N('Month-End'!$BW$29))</f>
        <v/>
      </c>
      <c r="O78">
        <f>IF('Month-End'!$BW$30="",$BM78,N('Month-End'!$BW$30))</f>
        <v/>
      </c>
      <c r="P78">
        <f>IF('Month-End'!$BW$31="",$BN78,N('Month-End'!$BW$31))</f>
        <v/>
      </c>
      <c r="Q78">
        <f>IF('Month-End'!$BW$32="",$BO78,N('Month-End'!$BW$32))</f>
        <v/>
      </c>
      <c r="R78">
        <f>IF('Month-End'!$BW$33="",$BP78,N('Month-End'!$BW$33))</f>
        <v/>
      </c>
      <c r="S78">
        <f>$G78+$H78+$I78+$J78+$K78+$L78+$M78+$N78+$O78+$P78+$Q78+$R78</f>
        <v/>
      </c>
      <c r="T78">
        <f>IF($B78&lt;Settings!$B$6,0,IF(Settings!$B$45="Yes",$G78,0)+IF(Settings!$B$46="Yes",$H78,0)+IF(Settings!$B$47="Yes",$I78,0)+IF(Settings!$B$48="Yes",$J78,0)+IF(Settings!$B$49="Yes",$K78,0)+IF(Settings!$B$50="Yes",$L78,0)+IF(Settings!$B$51="Yes",$M78,0)+IF(Settings!$B$52="Yes",$N78,0)+IF(Settings!$B$53="Yes",$O78,0)+IF(Settings!$B$54="Yes",$P78,0)+IF(Settings!$B$55="Yes",$Q78,0)+IF(Settings!$B$56="Yes",$R78,0))</f>
        <v/>
      </c>
      <c r="U78">
        <f>IF(Settings!$B$45="Not Sure",$G78,0)+IF(Settings!$B$46="Not Sure",$H78,0)+IF(Settings!$B$47="Not Sure",$I78,0)+IF(Settings!$B$48="Not Sure",$J78,0)+IF(Settings!$B$49="Not Sure",$K78,0)+IF(Settings!$B$50="Not Sure",$L78,0)+IF(Settings!$B$51="Not Sure",$M78,0)+IF(Settings!$B$52="Not Sure",$N78,0)+IF(Settings!$B$53="Not Sure",$O78,0)+IF(Settings!$B$54="Not Sure",$P78,0)+IF(Settings!$B$55="Not Sure",$Q78,0)+IF(Settings!$B$56="Not Sure",$R78,0)</f>
        <v/>
      </c>
      <c r="V78">
        <f>IF($E78="open",SUM($ET78:$FE78)+N(Settings!$B$13),0)</f>
        <v/>
      </c>
      <c r="W78">
        <f>IF($E78="post",$S78,IF($E78="open",$S78-$V78,0))</f>
        <v/>
      </c>
      <c r="X78">
        <f>SUMIFS(Giving!$B$7:$B$2006,Giving!$A$7:$A$2006,"&gt;="&amp;$A78,Giving!$A$7:$A$2006,"&lt;="&amp;$B78,Giving!$E$7:$E$2006,"&lt;&gt;No")</f>
        <v/>
      </c>
      <c r="Y78">
        <f>SUMIFS(Giving!$B$7:$B$2006,Giving!$A$7:$A$2006,"&gt;="&amp;$A78,Giving!$A$7:$A$2006,"&lt;="&amp;$B78,Giving!$E$7:$E$2006,"No")</f>
        <v/>
      </c>
      <c r="Z78">
        <f>IF(OR(Settings!$B$60="",Settings!$F$60="No"),0,Settings!$B$60*IF(AND(IF(Settings!$C$60="",$B78,DATE(YEAR($A78),MONTH($A78),MIN(Settings!$C$60,DAY($B78))))&gt;=MAX($A78,Settings!$D$60),IF(Settings!$C$60="",$B78,DATE(YEAR($A78),MONTH($A78),MIN(Settings!$C$60,DAY($B78))))&lt;=MIN($C78,IF(Settings!$E$60="",$C78,Settings!$E$60))),1,0))+IF(OR(Settings!$B$61="",Settings!$F$61="No"),0,Settings!$B$61*IF(AND(IF(Settings!$C$61="",$B78,DATE(YEAR($A78),MONTH($A78),MIN(Settings!$C$61,DAY($B78))))&gt;=MAX($A78,Settings!$D$61),IF(Settings!$C$61="",$B78,DATE(YEAR($A78),MONTH($A78),MIN(Settings!$C$61,DAY($B78))))&lt;=MIN($C78,IF(Settings!$E$61="",$C78,Settings!$E$61))),1,0))+IF(OR(Settings!$B$62="",Settings!$F$62="No"),0,Settings!$B$62*IF(AND(IF(Settings!$C$62="",$B78,DATE(YEAR($A78),MONTH($A78),MIN(Settings!$C$62,DAY($B78))))&gt;=MAX($A78,Settings!$D$62),IF(Settings!$C$62="",$B78,DATE(YEAR($A78),MONTH($A78),MIN(Settings!$C$62,DAY($B78))))&lt;=MIN($C78,IF(Settings!$E$62="",$C78,Settings!$E$62))),1,0))+IF(OR(Settings!$B$63="",Settings!$F$63="No"),0,Settings!$B$63*IF(AND(IF(Settings!$C$63="",$B78,DATE(YEAR($A78),MONTH($A78),MIN(Settings!$C$63,DAY($B78))))&gt;=MAX($A78,Settings!$D$63),IF(Settings!$C$63="",$B78,DATE(YEAR($A78),MONTH($A78),MIN(Settings!$C$63,DAY($B78))))&lt;=MIN($C78,IF(Settings!$E$63="",$C78,Settings!$E$63))),1,0))+IF(OR(Settings!$B$64="",Settings!$F$64="No"),0,Settings!$B$64*IF(AND(IF(Settings!$C$64="",$B78,DATE(YEAR($A78),MONTH($A78),MIN(Settings!$C$64,DAY($B78))))&gt;=MAX($A78,Settings!$D$64),IF(Settings!$C$64="",$B78,DATE(YEAR($A78),MONTH($A78),MIN(Settings!$C$64,DAY($B78))))&lt;=MIN($C78,IF(Settings!$E$64="",$C78,Settings!$E$64))),1,0))+IF(OR(Settings!$B$65="",Settings!$F$65="No"),0,Settings!$B$65*IF(AND(IF(Settings!$C$65="",$B78,DATE(YEAR($A78),MONTH($A78),MIN(Settings!$C$65,DAY($B78))))&gt;=MAX($A78,Settings!$D$65),IF(Settings!$C$65="",$B78,DATE(YEAR($A78),MONTH($A78),MIN(Settings!$C$65,DAY($B78))))&lt;=MIN($C78,IF(Settings!$E$65="",$C78,Settings!$E$65))),1,0))</f>
        <v/>
      </c>
      <c r="AA78">
        <f>$X78+$Z78</f>
        <v/>
      </c>
      <c r="AB78">
        <f>IF($E78="post",$AA78,IF($E78="open",SUMIFS(Giving!$B$7:$B$2006,Giving!$A$7:$A$2006,"&gt;"&amp;Settings!$B$5,Giving!$A$7:$A$2006,"&lt;="&amp;$B78,Giving!$E$7:$E$2006,"&lt;&gt;No")+IF(OR(Settings!$B$60="",Settings!$F$60="No"),0,Settings!$B$60*IF(AND(IF(Settings!$C$60="",$B78,DATE(YEAR($A78),MONTH($A78),MIN(Settings!$C$60,DAY($B78))))&gt;=MAX($A78,Settings!$D$60,Settings!$B$5+1),IF(Settings!$C$60="",$B78,DATE(YEAR($A78),MONTH($A78),MIN(Settings!$C$60,DAY($B78))))&lt;=MIN($C78,IF(Settings!$E$60="",$C78,Settings!$E$60))),1,0))+IF(OR(Settings!$B$61="",Settings!$F$61="No"),0,Settings!$B$61*IF(AND(IF(Settings!$C$61="",$B78,DATE(YEAR($A78),MONTH($A78),MIN(Settings!$C$61,DAY($B78))))&gt;=MAX($A78,Settings!$D$61,Settings!$B$5+1),IF(Settings!$C$61="",$B78,DATE(YEAR($A78),MONTH($A78),MIN(Settings!$C$61,DAY($B78))))&lt;=MIN($C78,IF(Settings!$E$61="",$C78,Settings!$E$61))),1,0))+IF(OR(Settings!$B$62="",Settings!$F$62="No"),0,Settings!$B$62*IF(AND(IF(Settings!$C$62="",$B78,DATE(YEAR($A78),MONTH($A78),MIN(Settings!$C$62,DAY($B78))))&gt;=MAX($A78,Settings!$D$62,Settings!$B$5+1),IF(Settings!$C$62="",$B78,DATE(YEAR($A78),MONTH($A78),MIN(Settings!$C$62,DAY($B78))))&lt;=MIN($C78,IF(Settings!$E$62="",$C78,Settings!$E$62))),1,0))+IF(OR(Settings!$B$63="",Settings!$F$63="No"),0,Settings!$B$63*IF(AND(IF(Settings!$C$63="",$B78,DATE(YEAR($A78),MONTH($A78),MIN(Settings!$C$63,DAY($B78))))&gt;=MAX($A78,Settings!$D$63,Settings!$B$5+1),IF(Settings!$C$63="",$B78,DATE(YEAR($A78),MONTH($A78),MIN(Settings!$C$63,DAY($B78))))&lt;=MIN($C78,IF(Settings!$E$63="",$C78,Settings!$E$63))),1,0))+IF(OR(Settings!$B$64="",Settings!$F$64="No"),0,Settings!$B$64*IF(AND(IF(Settings!$C$64="",$B78,DATE(YEAR($A78),MONTH($A78),MIN(Settings!$C$64,DAY($B78))))&gt;=MAX($A78,Settings!$D$64,Settings!$B$5+1),IF(Settings!$C$64="",$B78,DATE(YEAR($A78),MONTH($A78),MIN(Settings!$C$64,DAY($B78))))&lt;=MIN($C78,IF(Settings!$E$64="",$C78,Settings!$E$64))),1,0))+IF(OR(Settings!$B$65="",Settings!$F$65="No"),0,Settings!$B$65*IF(AND(IF(Settings!$C$65="",$B78,DATE(YEAR($A78),MONTH($A78),MIN(Settings!$C$65,DAY($B78))))&gt;=MAX($A78,Settings!$D$65,Settings!$B$5+1),IF(Settings!$C$65="",$B78,DATE(YEAR($A78),MONTH($A78),MIN(Settings!$C$65,DAY($B78))))&lt;=MIN($C78,IF(Settings!$E$65="",$C78,Settings!$E$65))),1,0)),0))</f>
        <v/>
      </c>
      <c r="AC78">
        <f>$AY78+$AZ78+$BA78+$BB78+$BC78+$BD78</f>
        <v/>
      </c>
      <c r="AD78">
        <f>$AC78</f>
        <v/>
      </c>
      <c r="AE78">
        <f>IF(OR(Settings!$A$19="",$E78="pre"),"",IF(AND('Month-End'!$BW$7&lt;&gt;"",NOT(_xlfn.ISFORMULA('Month-End'!$BW$7))),N('Month-End'!$BW$7),IF(OR($E78="open",$E77="pre"),N(Settings!$C$19),N($AE77))))</f>
        <v/>
      </c>
      <c r="AF78">
        <f>IF(OR(Settings!$A$20="",$E78="pre"),"",IF(AND('Month-End'!$BW$8&lt;&gt;"",NOT(_xlfn.ISFORMULA('Month-End'!$BW$8))),N('Month-End'!$BW$8),IF(OR($E78="open",$E77="pre"),N(Settings!$C$20),N($AF77))))</f>
        <v/>
      </c>
      <c r="AG78">
        <f>IF(OR(Settings!$A$21="",$E78="pre"),"",IF(AND('Month-End'!$BW$9&lt;&gt;"",NOT(_xlfn.ISFORMULA('Month-End'!$BW$9))),N('Month-End'!$BW$9),IF(OR($E78="open",$E77="pre"),N(Settings!$C$21),N($AG77))))</f>
        <v/>
      </c>
      <c r="AH78">
        <f>IF(OR(Settings!$A$22="",$E78="pre"),"",IF(AND('Month-End'!$BW$10&lt;&gt;"",NOT(_xlfn.ISFORMULA('Month-End'!$BW$10))),N('Month-End'!$BW$10),IF(OR($E78="open",$E77="pre"),N(Settings!$C$22),N($AH77))))</f>
        <v/>
      </c>
      <c r="AI78">
        <f>IF(OR(Settings!$A$23="",$E78="pre"),"",IF(AND('Month-End'!$BW$11&lt;&gt;"",NOT(_xlfn.ISFORMULA('Month-End'!$BW$11))),N('Month-End'!$BW$11),IF(OR($E78="open",$E77="pre"),N(Settings!$C$23),N($AI77))))</f>
        <v/>
      </c>
      <c r="AJ78">
        <f>IF(OR(Settings!$A$24="",$E78="pre"),"",IF(AND('Month-End'!$BW$12&lt;&gt;"",NOT(_xlfn.ISFORMULA('Month-End'!$BW$12))),N('Month-End'!$BW$12),IF(OR($E78="open",$E77="pre"),N(Settings!$C$24),N($AJ77))))</f>
        <v/>
      </c>
      <c r="AK78">
        <f>IF(OR(Settings!$A$25="",$E78="pre"),"",IF(AND('Month-End'!$BW$13&lt;&gt;"",NOT(_xlfn.ISFORMULA('Month-End'!$BW$13))),N('Month-End'!$BW$13),IF(OR($E78="open",$E77="pre"),N(Settings!$C$25),N($AK77))))</f>
        <v/>
      </c>
      <c r="AL78">
        <f>IF(OR(Settings!$A$26="",$E78="pre"),"",IF(AND('Month-End'!$BW$14&lt;&gt;"",NOT(_xlfn.ISFORMULA('Month-End'!$BW$14))),N('Month-End'!$BW$14),IF(OR($E78="open",$E77="pre"),N(Settings!$C$26),N($AL77))))</f>
        <v/>
      </c>
      <c r="AM78">
        <f>IF(OR(Settings!$A$27="",$E78="pre"),"",IF(AND('Month-End'!$BW$15&lt;&gt;"",NOT(_xlfn.ISFORMULA('Month-End'!$BW$15))),N('Month-End'!$BW$15),IF(OR($E78="open",$E77="pre"),N(Settings!$C$27),N($AM77))))</f>
        <v/>
      </c>
      <c r="AN78">
        <f>IF(OR(Settings!$A$28="",$E78="pre"),"",IF(AND('Month-End'!$BW$16&lt;&gt;"",NOT(_xlfn.ISFORMULA('Month-End'!$BW$16))),N('Month-End'!$BW$16),IF(OR($E78="open",$E77="pre"),N(Settings!$C$28),N($AN77))))</f>
        <v/>
      </c>
      <c r="AO78">
        <f>IF(OR(Settings!$A$29="",$E78="pre"),"",IF(AND('Month-End'!$BW$17&lt;&gt;"",NOT(_xlfn.ISFORMULA('Month-End'!$BW$17))),N('Month-End'!$BW$17),IF(OR($E78="open",$E77="pre"),N(Settings!$C$29),N($AO77))))</f>
        <v/>
      </c>
      <c r="AP78">
        <f>IF(OR(Settings!$A$30="",$E78="pre"),"",IF(AND('Month-End'!$BW$18&lt;&gt;"",NOT(_xlfn.ISFORMULA('Month-End'!$BW$18))),N('Month-End'!$BW$18),IF(OR($E78="open",$E77="pre"),N(Settings!$C$30),N($AP77))))</f>
        <v/>
      </c>
      <c r="AQ78">
        <f>IF(OR(Settings!$A$31="",$E78="pre"),"",IF(AND('Month-End'!$BW$19&lt;&gt;"",NOT(_xlfn.ISFORMULA('Month-End'!$BW$19))),N('Month-End'!$BW$19),IF(OR($E78="open",$E77="pre"),N(Settings!$C$31),N($AQ77))))</f>
        <v/>
      </c>
      <c r="AR78">
        <f>IF(OR(Settings!$A$32="",$E78="pre"),"",IF(AND('Month-End'!$BW$20&lt;&gt;"",NOT(_xlfn.ISFORMULA('Month-End'!$BW$20))),N('Month-End'!$BW$20),IF(OR($E78="open",$E77="pre"),N(Settings!$C$32),N($AR77))))</f>
        <v/>
      </c>
      <c r="AS78">
        <f>IF(OR(Settings!$A$36="",$E78="pre"),"",IF(AND('Month-End'!$BW$38&lt;&gt;"",NOT(_xlfn.ISFORMULA('Month-End'!$BW$38))),N('Month-End'!$BW$38),IF(OR($E78="open",$E77="pre"),N(Settings!$C$36),N($AS77))+$AY78))</f>
        <v/>
      </c>
      <c r="AT78">
        <f>IF(OR(Settings!$A$37="",$E78="pre"),"",IF(AND('Month-End'!$BW$39&lt;&gt;"",NOT(_xlfn.ISFORMULA('Month-End'!$BW$39))),N('Month-End'!$BW$39),IF(OR($E78="open",$E77="pre"),N(Settings!$C$37),N($AT77))+$AZ78))</f>
        <v/>
      </c>
      <c r="AU78">
        <f>IF(OR(Settings!$A$38="",$E78="pre"),"",IF(AND('Month-End'!$BW$40&lt;&gt;"",NOT(_xlfn.ISFORMULA('Month-End'!$BW$40))),N('Month-End'!$BW$40),IF(OR($E78="open",$E77="pre"),N(Settings!$C$38),N($AU77))+$BA78))</f>
        <v/>
      </c>
      <c r="AV78">
        <f>IF(OR(Settings!$A$39="",$E78="pre"),"",IF(AND('Month-End'!$BW$41&lt;&gt;"",NOT(_xlfn.ISFORMULA('Month-End'!$BW$41))),N('Month-End'!$BW$41),IF(OR($E78="open",$E77="pre"),N(Settings!$C$39),N($AV77))+$BB78))</f>
        <v/>
      </c>
      <c r="AW78">
        <f>IF(OR(Settings!$A$40="",$E78="pre"),"",IF(AND('Month-End'!$BW$42&lt;&gt;"",NOT(_xlfn.ISFORMULA('Month-End'!$BW$42))),N('Month-End'!$BW$42),IF(OR($E78="open",$E77="pre"),N(Settings!$C$40),N($AW77))+$BC78))</f>
        <v/>
      </c>
      <c r="AX78">
        <f>IF(OR(Settings!$A$41="",$E78="pre"),"",IF(AND('Month-End'!$BW$43&lt;&gt;"",NOT(_xlfn.ISFORMULA('Month-End'!$BW$43))),N('Month-End'!$BW$43),IF(OR($E78="open",$E77="pre"),N(Settings!$C$41),N($AX77))+$BD78))</f>
        <v/>
      </c>
      <c r="AY78">
        <f>IF($E78="pre",0,N('Month-End'!$BW$45))</f>
        <v/>
      </c>
      <c r="AZ78">
        <f>IF($E78="pre",0,N('Month-End'!$BW$46))</f>
        <v/>
      </c>
      <c r="BA78">
        <f>IF($E78="pre",0,N('Month-End'!$BW$47))</f>
        <v/>
      </c>
      <c r="BB78">
        <f>IF($E78="pre",0,N('Month-End'!$BW$48))</f>
        <v/>
      </c>
      <c r="BC78">
        <f>IF($E78="pre",0,N('Month-End'!$BW$49))</f>
        <v/>
      </c>
      <c r="BD78">
        <f>IF($E78="pre",0,N('Month-End'!$BW$50))</f>
        <v/>
      </c>
      <c r="BE78">
        <f>IF(OR(Settings!$C$45="",Settings!$D$45=""),0,Settings!$C$45*IF(Settings!$D$45="Weekly",IF(IFERROR(MATCH(Settings!$E$45,$EO$4:$EO$10,0),0)=0,0,IF(MIN($C78,IF(Settings!$G$45="",$C78,Settings!$G$45))&lt;MAX($A78,Settings!$F$45),0,INT((MIN($C78,IF(Settings!$G$45="",$C78,Settings!$G$45))-MAX($A78,Settings!$F$45)-MOD(IFERROR(MATCH(Settings!$E$45,$EO$4:$EO$10,0),0)-WEEKDAY(MAX($A78,Settings!$F$45)),7))/7)+1)),IF(AND(IF(Settings!$E$45="",$B78,DATE(YEAR($A78),MONTH($A78),MIN(Settings!$E$45,DAY($B78))))&gt;=MAX($A78,Settings!$F$45),IF(Settings!$E$45="",$B78,DATE(YEAR($A78),MONTH($A78),MIN(Settings!$E$45,DAY($B78))))&lt;=MIN($C78,IF(Settings!$G$45="",$C78,Settings!$G$45))),1,0)))</f>
        <v/>
      </c>
      <c r="BF78">
        <f>IF(OR(Settings!$C$46="",Settings!$D$46=""),0,Settings!$C$46*IF(Settings!$D$46="Weekly",IF(IFERROR(MATCH(Settings!$E$46,$EO$4:$EO$10,0),0)=0,0,IF(MIN($C78,IF(Settings!$G$46="",$C78,Settings!$G$46))&lt;MAX($A78,Settings!$F$46),0,INT((MIN($C78,IF(Settings!$G$46="",$C78,Settings!$G$46))-MAX($A78,Settings!$F$46)-MOD(IFERROR(MATCH(Settings!$E$46,$EO$4:$EO$10,0),0)-WEEKDAY(MAX($A78,Settings!$F$46)),7))/7)+1)),IF(AND(IF(Settings!$E$46="",$B78,DATE(YEAR($A78),MONTH($A78),MIN(Settings!$E$46,DAY($B78))))&gt;=MAX($A78,Settings!$F$46),IF(Settings!$E$46="",$B78,DATE(YEAR($A78),MONTH($A78),MIN(Settings!$E$46,DAY($B78))))&lt;=MIN($C78,IF(Settings!$G$46="",$C78,Settings!$G$46))),1,0)))</f>
        <v/>
      </c>
      <c r="BG78">
        <f>IF(OR(Settings!$C$47="",Settings!$D$47=""),0,Settings!$C$47*IF(Settings!$D$47="Weekly",IF(IFERROR(MATCH(Settings!$E$47,$EO$4:$EO$10,0),0)=0,0,IF(MIN($C78,IF(Settings!$G$47="",$C78,Settings!$G$47))&lt;MAX($A78,Settings!$F$47),0,INT((MIN($C78,IF(Settings!$G$47="",$C78,Settings!$G$47))-MAX($A78,Settings!$F$47)-MOD(IFERROR(MATCH(Settings!$E$47,$EO$4:$EO$10,0),0)-WEEKDAY(MAX($A78,Settings!$F$47)),7))/7)+1)),IF(AND(IF(Settings!$E$47="",$B78,DATE(YEAR($A78),MONTH($A78),MIN(Settings!$E$47,DAY($B78))))&gt;=MAX($A78,Settings!$F$47),IF(Settings!$E$47="",$B78,DATE(YEAR($A78),MONTH($A78),MIN(Settings!$E$47,DAY($B78))))&lt;=MIN($C78,IF(Settings!$G$47="",$C78,Settings!$G$47))),1,0)))</f>
        <v/>
      </c>
      <c r="BH78">
        <f>IF(OR(Settings!$C$48="",Settings!$D$48=""),0,Settings!$C$48*IF(Settings!$D$48="Weekly",IF(IFERROR(MATCH(Settings!$E$48,$EO$4:$EO$10,0),0)=0,0,IF(MIN($C78,IF(Settings!$G$48="",$C78,Settings!$G$48))&lt;MAX($A78,Settings!$F$48),0,INT((MIN($C78,IF(Settings!$G$48="",$C78,Settings!$G$48))-MAX($A78,Settings!$F$48)-MOD(IFERROR(MATCH(Settings!$E$48,$EO$4:$EO$10,0),0)-WEEKDAY(MAX($A78,Settings!$F$48)),7))/7)+1)),IF(AND(IF(Settings!$E$48="",$B78,DATE(YEAR($A78),MONTH($A78),MIN(Settings!$E$48,DAY($B78))))&gt;=MAX($A78,Settings!$F$48),IF(Settings!$E$48="",$B78,DATE(YEAR($A78),MONTH($A78),MIN(Settings!$E$48,DAY($B78))))&lt;=MIN($C78,IF(Settings!$G$48="",$C78,Settings!$G$48))),1,0)))</f>
        <v/>
      </c>
      <c r="BI78">
        <f>IF(OR(Settings!$C$49="",Settings!$D$49=""),0,Settings!$C$49*IF(Settings!$D$49="Weekly",IF(IFERROR(MATCH(Settings!$E$49,$EO$4:$EO$10,0),0)=0,0,IF(MIN($C78,IF(Settings!$G$49="",$C78,Settings!$G$49))&lt;MAX($A78,Settings!$F$49),0,INT((MIN($C78,IF(Settings!$G$49="",$C78,Settings!$G$49))-MAX($A78,Settings!$F$49)-MOD(IFERROR(MATCH(Settings!$E$49,$EO$4:$EO$10,0),0)-WEEKDAY(MAX($A78,Settings!$F$49)),7))/7)+1)),IF(AND(IF(Settings!$E$49="",$B78,DATE(YEAR($A78),MONTH($A78),MIN(Settings!$E$49,DAY($B78))))&gt;=MAX($A78,Settings!$F$49),IF(Settings!$E$49="",$B78,DATE(YEAR($A78),MONTH($A78),MIN(Settings!$E$49,DAY($B78))))&lt;=MIN($C78,IF(Settings!$G$49="",$C78,Settings!$G$49))),1,0)))</f>
        <v/>
      </c>
      <c r="BJ78">
        <f>IF(OR(Settings!$C$50="",Settings!$D$50=""),0,Settings!$C$50*IF(Settings!$D$50="Weekly",IF(IFERROR(MATCH(Settings!$E$50,$EO$4:$EO$10,0),0)=0,0,IF(MIN($C78,IF(Settings!$G$50="",$C78,Settings!$G$50))&lt;MAX($A78,Settings!$F$50),0,INT((MIN($C78,IF(Settings!$G$50="",$C78,Settings!$G$50))-MAX($A78,Settings!$F$50)-MOD(IFERROR(MATCH(Settings!$E$50,$EO$4:$EO$10,0),0)-WEEKDAY(MAX($A78,Settings!$F$50)),7))/7)+1)),IF(AND(IF(Settings!$E$50="",$B78,DATE(YEAR($A78),MONTH($A78),MIN(Settings!$E$50,DAY($B78))))&gt;=MAX($A78,Settings!$F$50),IF(Settings!$E$50="",$B78,DATE(YEAR($A78),MONTH($A78),MIN(Settings!$E$50,DAY($B78))))&lt;=MIN($C78,IF(Settings!$G$50="",$C78,Settings!$G$50))),1,0)))</f>
        <v/>
      </c>
      <c r="BK78">
        <f>IF(OR(Settings!$C$51="",Settings!$D$51=""),0,Settings!$C$51*IF(Settings!$D$51="Weekly",IF(IFERROR(MATCH(Settings!$E$51,$EO$4:$EO$10,0),0)=0,0,IF(MIN($C78,IF(Settings!$G$51="",$C78,Settings!$G$51))&lt;MAX($A78,Settings!$F$51),0,INT((MIN($C78,IF(Settings!$G$51="",$C78,Settings!$G$51))-MAX($A78,Settings!$F$51)-MOD(IFERROR(MATCH(Settings!$E$51,$EO$4:$EO$10,0),0)-WEEKDAY(MAX($A78,Settings!$F$51)),7))/7)+1)),IF(AND(IF(Settings!$E$51="",$B78,DATE(YEAR($A78),MONTH($A78),MIN(Settings!$E$51,DAY($B78))))&gt;=MAX($A78,Settings!$F$51),IF(Settings!$E$51="",$B78,DATE(YEAR($A78),MONTH($A78),MIN(Settings!$E$51,DAY($B78))))&lt;=MIN($C78,IF(Settings!$G$51="",$C78,Settings!$G$51))),1,0)))</f>
        <v/>
      </c>
      <c r="BL78">
        <f>IF(OR(Settings!$C$52="",Settings!$D$52=""),0,Settings!$C$52*IF(Settings!$D$52="Weekly",IF(IFERROR(MATCH(Settings!$E$52,$EO$4:$EO$10,0),0)=0,0,IF(MIN($C78,IF(Settings!$G$52="",$C78,Settings!$G$52))&lt;MAX($A78,Settings!$F$52),0,INT((MIN($C78,IF(Settings!$G$52="",$C78,Settings!$G$52))-MAX($A78,Settings!$F$52)-MOD(IFERROR(MATCH(Settings!$E$52,$EO$4:$EO$10,0),0)-WEEKDAY(MAX($A78,Settings!$F$52)),7))/7)+1)),IF(AND(IF(Settings!$E$52="",$B78,DATE(YEAR($A78),MONTH($A78),MIN(Settings!$E$52,DAY($B78))))&gt;=MAX($A78,Settings!$F$52),IF(Settings!$E$52="",$B78,DATE(YEAR($A78),MONTH($A78),MIN(Settings!$E$52,DAY($B78))))&lt;=MIN($C78,IF(Settings!$G$52="",$C78,Settings!$G$52))),1,0)))</f>
        <v/>
      </c>
      <c r="BM78">
        <f>IF(OR(Settings!$C$53="",Settings!$D$53=""),0,Settings!$C$53*IF(Settings!$D$53="Weekly",IF(IFERROR(MATCH(Settings!$E$53,$EO$4:$EO$10,0),0)=0,0,IF(MIN($C78,IF(Settings!$G$53="",$C78,Settings!$G$53))&lt;MAX($A78,Settings!$F$53),0,INT((MIN($C78,IF(Settings!$G$53="",$C78,Settings!$G$53))-MAX($A78,Settings!$F$53)-MOD(IFERROR(MATCH(Settings!$E$53,$EO$4:$EO$10,0),0)-WEEKDAY(MAX($A78,Settings!$F$53)),7))/7)+1)),IF(AND(IF(Settings!$E$53="",$B78,DATE(YEAR($A78),MONTH($A78),MIN(Settings!$E$53,DAY($B78))))&gt;=MAX($A78,Settings!$F$53),IF(Settings!$E$53="",$B78,DATE(YEAR($A78),MONTH($A78),MIN(Settings!$E$53,DAY($B78))))&lt;=MIN($C78,IF(Settings!$G$53="",$C78,Settings!$G$53))),1,0)))</f>
        <v/>
      </c>
      <c r="BN78">
        <f>IF(OR(Settings!$C$54="",Settings!$D$54=""),0,Settings!$C$54*IF(Settings!$D$54="Weekly",IF(IFERROR(MATCH(Settings!$E$54,$EO$4:$EO$10,0),0)=0,0,IF(MIN($C78,IF(Settings!$G$54="",$C78,Settings!$G$54))&lt;MAX($A78,Settings!$F$54),0,INT((MIN($C78,IF(Settings!$G$54="",$C78,Settings!$G$54))-MAX($A78,Settings!$F$54)-MOD(IFERROR(MATCH(Settings!$E$54,$EO$4:$EO$10,0),0)-WEEKDAY(MAX($A78,Settings!$F$54)),7))/7)+1)),IF(AND(IF(Settings!$E$54="",$B78,DATE(YEAR($A78),MONTH($A78),MIN(Settings!$E$54,DAY($B78))))&gt;=MAX($A78,Settings!$F$54),IF(Settings!$E$54="",$B78,DATE(YEAR($A78),MONTH($A78),MIN(Settings!$E$54,DAY($B78))))&lt;=MIN($C78,IF(Settings!$G$54="",$C78,Settings!$G$54))),1,0)))</f>
        <v/>
      </c>
      <c r="BO78">
        <f>IF(OR(Settings!$C$55="",Settings!$D$55=""),0,Settings!$C$55*IF(Settings!$D$55="Weekly",IF(IFERROR(MATCH(Settings!$E$55,$EO$4:$EO$10,0),0)=0,0,IF(MIN($C78,IF(Settings!$G$55="",$C78,Settings!$G$55))&lt;MAX($A78,Settings!$F$55),0,INT((MIN($C78,IF(Settings!$G$55="",$C78,Settings!$G$55))-MAX($A78,Settings!$F$55)-MOD(IFERROR(MATCH(Settings!$E$55,$EO$4:$EO$10,0),0)-WEEKDAY(MAX($A78,Settings!$F$55)),7))/7)+1)),IF(AND(IF(Settings!$E$55="",$B78,DATE(YEAR($A78),MONTH($A78),MIN(Settings!$E$55,DAY($B78))))&gt;=MAX($A78,Settings!$F$55),IF(Settings!$E$55="",$B78,DATE(YEAR($A78),MONTH($A78),MIN(Settings!$E$55,DAY($B78))))&lt;=MIN($C78,IF(Settings!$G$55="",$C78,Settings!$G$55))),1,0)))</f>
        <v/>
      </c>
      <c r="BP78">
        <f>IF(OR(Settings!$C$56="",Settings!$D$56=""),0,Settings!$C$56*IF(Settings!$D$56="Weekly",IF(IFERROR(MATCH(Settings!$E$56,$EO$4:$EO$10,0),0)=0,0,IF(MIN($C78,IF(Settings!$G$56="",$C78,Settings!$G$56))&lt;MAX($A78,Settings!$F$56),0,INT((MIN($C78,IF(Settings!$G$56="",$C78,Settings!$G$56))-MAX($A78,Settings!$F$56)-MOD(IFERROR(MATCH(Settings!$E$56,$EO$4:$EO$10,0),0)-WEEKDAY(MAX($A78,Settings!$F$56)),7))/7)+1)),IF(AND(IF(Settings!$E$56="",$B78,DATE(YEAR($A78),MONTH($A78),MIN(Settings!$E$56,DAY($B78))))&gt;=MAX($A78,Settings!$F$56),IF(Settings!$E$56="",$B78,DATE(YEAR($A78),MONTH($A78),MIN(Settings!$E$56,DAY($B78))))&lt;=MIN($C78,IF(Settings!$G$56="",$C78,Settings!$G$56))),1,0)))</f>
        <v/>
      </c>
      <c r="BQ78">
        <f>IF(OR(Settings!$B$14="",$D78=1,$E78="pre",$A78&lt;IF(Settings!$B$15="",0,Settings!$B$15)),0,Settings!$B$14)</f>
        <v/>
      </c>
      <c r="BR78">
        <f>IF(AND('Month-End'!$BW$7&lt;&gt;"",NOT(_xlfn.ISFORMULA('Month-End'!$BW$7))),1,0)</f>
        <v/>
      </c>
      <c r="BS78">
        <f>IF(AND('Month-End'!$BW$8&lt;&gt;"",NOT(_xlfn.ISFORMULA('Month-End'!$BW$8))),1,0)</f>
        <v/>
      </c>
      <c r="BT78">
        <f>IF(AND('Month-End'!$BW$9&lt;&gt;"",NOT(_xlfn.ISFORMULA('Month-End'!$BW$9))),1,0)</f>
        <v/>
      </c>
      <c r="BU78">
        <f>IF(AND('Month-End'!$BW$10&lt;&gt;"",NOT(_xlfn.ISFORMULA('Month-End'!$BW$10))),1,0)</f>
        <v/>
      </c>
      <c r="BV78">
        <f>IF(AND('Month-End'!$BW$11&lt;&gt;"",NOT(_xlfn.ISFORMULA('Month-End'!$BW$11))),1,0)</f>
        <v/>
      </c>
      <c r="BW78">
        <f>IF(AND('Month-End'!$BW$12&lt;&gt;"",NOT(_xlfn.ISFORMULA('Month-End'!$BW$12))),1,0)</f>
        <v/>
      </c>
      <c r="BX78">
        <f>IF(AND('Month-End'!$BW$13&lt;&gt;"",NOT(_xlfn.ISFORMULA('Month-End'!$BW$13))),1,0)</f>
        <v/>
      </c>
      <c r="BY78">
        <f>IF(AND('Month-End'!$BW$14&lt;&gt;"",NOT(_xlfn.ISFORMULA('Month-End'!$BW$14))),1,0)</f>
        <v/>
      </c>
      <c r="BZ78">
        <f>IF(AND('Month-End'!$BW$15&lt;&gt;"",NOT(_xlfn.ISFORMULA('Month-End'!$BW$15))),1,0)</f>
        <v/>
      </c>
      <c r="CA78">
        <f>IF(AND('Month-End'!$BW$16&lt;&gt;"",NOT(_xlfn.ISFORMULA('Month-End'!$BW$16))),1,0)</f>
        <v/>
      </c>
      <c r="CB78">
        <f>IF(AND('Month-End'!$BW$17&lt;&gt;"",NOT(_xlfn.ISFORMULA('Month-End'!$BW$17))),1,0)</f>
        <v/>
      </c>
      <c r="CC78">
        <f>IF(AND('Month-End'!$BW$18&lt;&gt;"",NOT(_xlfn.ISFORMULA('Month-End'!$BW$18))),1,0)</f>
        <v/>
      </c>
      <c r="CD78">
        <f>IF(AND('Month-End'!$BW$19&lt;&gt;"",NOT(_xlfn.ISFORMULA('Month-End'!$BW$19))),1,0)</f>
        <v/>
      </c>
      <c r="CE78">
        <f>IF(AND('Month-End'!$BW$20&lt;&gt;"",NOT(_xlfn.ISFORMULA('Month-End'!$BW$20))),1,0)</f>
        <v/>
      </c>
      <c r="CF78">
        <f>IF(AND('Month-End'!$BW$38&lt;&gt;"",NOT(_xlfn.ISFORMULA('Month-End'!$BW$38))),1,0)</f>
        <v/>
      </c>
      <c r="CG78">
        <f>IF(AND('Month-End'!$BW$39&lt;&gt;"",NOT(_xlfn.ISFORMULA('Month-End'!$BW$39))),1,0)</f>
        <v/>
      </c>
      <c r="CH78">
        <f>IF(AND('Month-End'!$BW$40&lt;&gt;"",NOT(_xlfn.ISFORMULA('Month-End'!$BW$40))),1,0)</f>
        <v/>
      </c>
      <c r="CI78">
        <f>IF(AND('Month-End'!$BW$41&lt;&gt;"",NOT(_xlfn.ISFORMULA('Month-End'!$BW$41))),1,0)</f>
        <v/>
      </c>
      <c r="CJ78">
        <f>IF(AND('Month-End'!$BW$42&lt;&gt;"",NOT(_xlfn.ISFORMULA('Month-End'!$BW$42))),1,0)</f>
        <v/>
      </c>
      <c r="CK78">
        <f>IF(AND('Month-End'!$BW$43&lt;&gt;"",NOT(_xlfn.ISFORMULA('Month-End'!$BW$43))),1,0)</f>
        <v/>
      </c>
      <c r="CL78">
        <f>SUM($CM78:$CZ78)</f>
        <v/>
      </c>
      <c r="CM78">
        <f>IF(AND($E78&lt;&gt;"pre",AND(Settings!$A$19&lt;&gt;"",Settings!$E$19&lt;&gt;"No"),Settings!$F$19="Yes",NOT(AND('Month-End'!$BW$7&lt;&gt;"",NOT(_xlfn.ISFORMULA('Month-End'!$BW$7))))),1,0)</f>
        <v/>
      </c>
      <c r="CN78">
        <f>IF(AND($E78&lt;&gt;"pre",AND(Settings!$A$20&lt;&gt;"",Settings!$E$20&lt;&gt;"No"),Settings!$F$20="Yes",NOT(AND('Month-End'!$BW$8&lt;&gt;"",NOT(_xlfn.ISFORMULA('Month-End'!$BW$8))))),1,0)</f>
        <v/>
      </c>
      <c r="CO78">
        <f>IF(AND($E78&lt;&gt;"pre",AND(Settings!$A$21&lt;&gt;"",Settings!$E$21&lt;&gt;"No"),Settings!$F$21="Yes",NOT(AND('Month-End'!$BW$9&lt;&gt;"",NOT(_xlfn.ISFORMULA('Month-End'!$BW$9))))),1,0)</f>
        <v/>
      </c>
      <c r="CP78">
        <f>IF(AND($E78&lt;&gt;"pre",AND(Settings!$A$22&lt;&gt;"",Settings!$E$22&lt;&gt;"No"),Settings!$F$22="Yes",NOT(AND('Month-End'!$BW$10&lt;&gt;"",NOT(_xlfn.ISFORMULA('Month-End'!$BW$10))))),1,0)</f>
        <v/>
      </c>
      <c r="CQ78">
        <f>IF(AND($E78&lt;&gt;"pre",AND(Settings!$A$23&lt;&gt;"",Settings!$E$23&lt;&gt;"No"),Settings!$F$23="Yes",NOT(AND('Month-End'!$BW$11&lt;&gt;"",NOT(_xlfn.ISFORMULA('Month-End'!$BW$11))))),1,0)</f>
        <v/>
      </c>
      <c r="CR78">
        <f>IF(AND($E78&lt;&gt;"pre",AND(Settings!$A$24&lt;&gt;"",Settings!$E$24&lt;&gt;"No"),Settings!$F$24="Yes",NOT(AND('Month-End'!$BW$12&lt;&gt;"",NOT(_xlfn.ISFORMULA('Month-End'!$BW$12))))),1,0)</f>
        <v/>
      </c>
      <c r="CS78">
        <f>IF(AND($E78&lt;&gt;"pre",AND(Settings!$A$25&lt;&gt;"",Settings!$E$25&lt;&gt;"No"),Settings!$F$25="Yes",NOT(AND('Month-End'!$BW$13&lt;&gt;"",NOT(_xlfn.ISFORMULA('Month-End'!$BW$13))))),1,0)</f>
        <v/>
      </c>
      <c r="CT78">
        <f>IF(AND($E78&lt;&gt;"pre",AND(Settings!$A$26&lt;&gt;"",Settings!$E$26&lt;&gt;"No"),Settings!$F$26="Yes",NOT(AND('Month-End'!$BW$14&lt;&gt;"",NOT(_xlfn.ISFORMULA('Month-End'!$BW$14))))),1,0)</f>
        <v/>
      </c>
      <c r="CU78">
        <f>IF(AND($E78&lt;&gt;"pre",AND(Settings!$A$27&lt;&gt;"",Settings!$E$27&lt;&gt;"No"),Settings!$F$27="Yes",NOT(AND('Month-End'!$BW$15&lt;&gt;"",NOT(_xlfn.ISFORMULA('Month-End'!$BW$15))))),1,0)</f>
        <v/>
      </c>
      <c r="CV78">
        <f>IF(AND($E78&lt;&gt;"pre",AND(Settings!$A$28&lt;&gt;"",Settings!$E$28&lt;&gt;"No"),Settings!$F$28="Yes",NOT(AND('Month-End'!$BW$16&lt;&gt;"",NOT(_xlfn.ISFORMULA('Month-End'!$BW$16))))),1,0)</f>
        <v/>
      </c>
      <c r="CW78">
        <f>IF(AND($E78&lt;&gt;"pre",AND(Settings!$A$29&lt;&gt;"",Settings!$E$29&lt;&gt;"No"),Settings!$F$29="Yes",NOT(AND('Month-End'!$BW$17&lt;&gt;"",NOT(_xlfn.ISFORMULA('Month-End'!$BW$17))))),1,0)</f>
        <v/>
      </c>
      <c r="CX78">
        <f>IF(AND($E78&lt;&gt;"pre",AND(Settings!$A$30&lt;&gt;"",Settings!$E$30&lt;&gt;"No"),Settings!$F$30="Yes",NOT(AND('Month-End'!$BW$18&lt;&gt;"",NOT(_xlfn.ISFORMULA('Month-End'!$BW$18))))),1,0)</f>
        <v/>
      </c>
      <c r="CY78">
        <f>IF(AND($E78&lt;&gt;"pre",AND(Settings!$A$31&lt;&gt;"",Settings!$E$31&lt;&gt;"No"),Settings!$F$31="Yes",NOT(AND('Month-End'!$BW$19&lt;&gt;"",NOT(_xlfn.ISFORMULA('Month-End'!$BW$19))))),1,0)</f>
        <v/>
      </c>
      <c r="CZ78">
        <f>IF(AND($E78&lt;&gt;"pre",AND(Settings!$A$32&lt;&gt;"",Settings!$E$32&lt;&gt;"No"),Settings!$F$32="Yes",NOT(AND('Month-End'!$BW$20&lt;&gt;"",NOT(_xlfn.ISFORMULA('Month-End'!$BW$20))))),1,0)</f>
        <v/>
      </c>
      <c r="DA78">
        <f>IF($DT78=1,IF(OR(Settings!$B$19="Checking",Settings!$B$19="Savings",Settings!$B$19="Cash"),N($AE78),IF(OR(Settings!$B$19="Card",Settings!$B$19="Loan"),-N($AE78),0))+IF(OR(Settings!$B$20="Checking",Settings!$B$20="Savings",Settings!$B$20="Cash"),N($AF78),IF(OR(Settings!$B$20="Card",Settings!$B$20="Loan"),-N($AF78),0))+IF(OR(Settings!$B$21="Checking",Settings!$B$21="Savings",Settings!$B$21="Cash"),N($AG78),IF(OR(Settings!$B$21="Card",Settings!$B$21="Loan"),-N($AG78),0))+IF(OR(Settings!$B$22="Checking",Settings!$B$22="Savings",Settings!$B$22="Cash"),N($AH78),IF(OR(Settings!$B$22="Card",Settings!$B$22="Loan"),-N($AH78),0))+IF(OR(Settings!$B$23="Checking",Settings!$B$23="Savings",Settings!$B$23="Cash"),N($AI78),IF(OR(Settings!$B$23="Card",Settings!$B$23="Loan"),-N($AI78),0))+IF(OR(Settings!$B$24="Checking",Settings!$B$24="Savings",Settings!$B$24="Cash"),N($AJ78),IF(OR(Settings!$B$24="Card",Settings!$B$24="Loan"),-N($AJ78),0))+IF(OR(Settings!$B$25="Checking",Settings!$B$25="Savings",Settings!$B$25="Cash"),N($AK78),IF(OR(Settings!$B$25="Card",Settings!$B$25="Loan"),-N($AK78),0))+IF(OR(Settings!$B$26="Checking",Settings!$B$26="Savings",Settings!$B$26="Cash"),N($AL78),IF(OR(Settings!$B$26="Card",Settings!$B$26="Loan"),-N($AL78),0))+IF(OR(Settings!$B$27="Checking",Settings!$B$27="Savings",Settings!$B$27="Cash"),N($AM78),IF(OR(Settings!$B$27="Card",Settings!$B$27="Loan"),-N($AM78),0))+IF(OR(Settings!$B$28="Checking",Settings!$B$28="Savings",Settings!$B$28="Cash"),N($AN78),IF(OR(Settings!$B$28="Card",Settings!$B$28="Loan"),-N($AN78),0))+IF(OR(Settings!$B$29="Checking",Settings!$B$29="Savings",Settings!$B$29="Cash"),N($AO78),IF(OR(Settings!$B$29="Card",Settings!$B$29="Loan"),-N($AO78),0))+IF(OR(Settings!$B$30="Checking",Settings!$B$30="Savings",Settings!$B$30="Cash"),N($AP78),IF(OR(Settings!$B$30="Card",Settings!$B$30="Loan"),-N($AP78),0))+IF(OR(Settings!$B$31="Checking",Settings!$B$31="Savings",Settings!$B$31="Cash"),N($AQ78),IF(OR(Settings!$B$31="Card",Settings!$B$31="Loan"),-N($AQ78),0))+IF(OR(Settings!$B$32="Checking",Settings!$B$32="Savings",Settings!$B$32="Cash"),N($AR78),IF(OR(Settings!$B$32="Card",Settings!$B$32="Loan"),-N($AR78),0)),"")</f>
        <v/>
      </c>
      <c r="DB78">
        <f>IF($E78="open",$EB$27,IF($E78="post",IF($E77="pre",$EB$27,$DA77),""))</f>
        <v/>
      </c>
      <c r="DC78">
        <f>IF($E78="open",1,IF($E78="post",IF($E77="pre",1,$DT77),0))</f>
        <v/>
      </c>
      <c r="DD78">
        <f>IF(AND($DT78=1,$DC78=1),ROUND($W78-($DA78-$DB78)-$AD78-$AB78,2),"")</f>
        <v/>
      </c>
      <c r="DE78">
        <f>IF('Month-End'!$BW$35="",$BQ78,N('Month-End'!$BW$35))</f>
        <v/>
      </c>
      <c r="DF78">
        <f>N('Month-End'!$BW$36)</f>
        <v/>
      </c>
      <c r="DG78">
        <f>IF($DD78="","",$DD78+$DE78)</f>
        <v/>
      </c>
      <c r="DH78">
        <f>IF($DG78="","",$DG78-$DF78)</f>
        <v/>
      </c>
      <c r="DI78">
        <f>IF(OR($E78="pre",$D78=1),"",N($AS78)+N($AT78)+N($AU78)+N($AV78)+N($AW78)+N($AX78))</f>
        <v/>
      </c>
      <c r="DJ78">
        <f>IF($DT78=1,$DA78+N($DI78),"")</f>
        <v/>
      </c>
      <c r="DK78">
        <f>IF($DD78="","",$W78-$DD78-$AB78)</f>
        <v/>
      </c>
      <c r="DL78">
        <f>IF(AND($E78="post",$DD78&lt;&gt;"",$B78&lt;TODAY()),1,0)</f>
        <v/>
      </c>
      <c r="DM78">
        <f>IF($DL78=1,COUNTIF($DL78:$DL$183,1),0)</f>
        <v/>
      </c>
      <c r="DN78">
        <f>IF($D78=1,"",IF($E78="pre","History only",IF($DT78=1,IF($DD78="","⚠ Previous month missing",IF($DD78&lt;0,"⚠ Check: spending &lt; 0",IF($E78="open","✓ Done (partial)","✓ Done"))),IF($B78&gt;=TODAY(),"In progress","⚠ Needs balances"))))</f>
        <v/>
      </c>
      <c r="DO78">
        <f>YEAR($A78)</f>
        <v/>
      </c>
      <c r="DP78">
        <f>DATE(YEAR($A78),INT((MONTH($A78)-1)/3)*3+1,1)</f>
        <v/>
      </c>
      <c r="DQ78">
        <f>IF(AND($DT78=1,$DD78&lt;&gt;"",$D78=0),ROW(),0)</f>
        <v/>
      </c>
      <c r="DR78">
        <f>IF(AND($E78&lt;&gt;"pre",$B78&lt;TODAY(),$DT78=0),1,0)</f>
        <v/>
      </c>
      <c r="DS78">
        <f>IF($DJ78="",NA(),$DJ78)</f>
        <v/>
      </c>
      <c r="DT78">
        <f>IF(AND($E78&lt;&gt;"pre",$CL78=0,COUNTIFS(Settings!$F$19:$F$32,"Yes",Settings!$A$19:$A$32,"&lt;&gt;",Settings!$E$19:$E$32,"&lt;&gt;No")&gt;0),1,0)</f>
        <v/>
      </c>
      <c r="DU78">
        <f>IF(AND($B78&lt;TODAY(),$S78&gt;0),1,0)</f>
        <v/>
      </c>
      <c r="DV78">
        <f>IF($DU78=1,COUNTIF($DU78:$DU$183,1),0)</f>
        <v/>
      </c>
      <c r="DW78">
        <f>IF(AND(OR(Settings!$B$19="Card",Settings!$B$19="Loan"),AND('Month-End'!$BW$7&lt;&gt;"",NOT(_xlfn.ISFORMULA('Month-End'!$BW$7)))),IF(N('Month-End'!$BW$7)&lt;0,1,0),0)+IF(AND(OR(Settings!$B$20="Card",Settings!$B$20="Loan"),AND('Month-End'!$BW$8&lt;&gt;"",NOT(_xlfn.ISFORMULA('Month-End'!$BW$8)))),IF(N('Month-End'!$BW$8)&lt;0,1,0),0)+IF(AND(OR(Settings!$B$21="Card",Settings!$B$21="Loan"),AND('Month-End'!$BW$9&lt;&gt;"",NOT(_xlfn.ISFORMULA('Month-End'!$BW$9)))),IF(N('Month-End'!$BW$9)&lt;0,1,0),0)+IF(AND(OR(Settings!$B$22="Card",Settings!$B$22="Loan"),AND('Month-End'!$BW$10&lt;&gt;"",NOT(_xlfn.ISFORMULA('Month-End'!$BW$10)))),IF(N('Month-End'!$BW$10)&lt;0,1,0),0)+IF(AND(OR(Settings!$B$23="Card",Settings!$B$23="Loan"),AND('Month-End'!$BW$11&lt;&gt;"",NOT(_xlfn.ISFORMULA('Month-End'!$BW$11)))),IF(N('Month-End'!$BW$11)&lt;0,1,0),0)+IF(AND(OR(Settings!$B$24="Card",Settings!$B$24="Loan"),AND('Month-End'!$BW$12&lt;&gt;"",NOT(_xlfn.ISFORMULA('Month-End'!$BW$12)))),IF(N('Month-End'!$BW$12)&lt;0,1,0),0)+IF(AND(OR(Settings!$B$25="Card",Settings!$B$25="Loan"),AND('Month-End'!$BW$13&lt;&gt;"",NOT(_xlfn.ISFORMULA('Month-End'!$BW$13)))),IF(N('Month-End'!$BW$13)&lt;0,1,0),0)+IF(AND(OR(Settings!$B$26="Card",Settings!$B$26="Loan"),AND('Month-End'!$BW$14&lt;&gt;"",NOT(_xlfn.ISFORMULA('Month-End'!$BW$14)))),IF(N('Month-End'!$BW$14)&lt;0,1,0),0)+IF(AND(OR(Settings!$B$27="Card",Settings!$B$27="Loan"),AND('Month-End'!$BW$15&lt;&gt;"",NOT(_xlfn.ISFORMULA('Month-End'!$BW$15)))),IF(N('Month-End'!$BW$15)&lt;0,1,0),0)+IF(AND(OR(Settings!$B$28="Card",Settings!$B$28="Loan"),AND('Month-End'!$BW$16&lt;&gt;"",NOT(_xlfn.ISFORMULA('Month-End'!$BW$16)))),IF(N('Month-End'!$BW$16)&lt;0,1,0),0)+IF(AND(OR(Settings!$B$29="Card",Settings!$B$29="Loan"),AND('Month-End'!$BW$17&lt;&gt;"",NOT(_xlfn.ISFORMULA('Month-End'!$BW$17)))),IF(N('Month-End'!$BW$17)&lt;0,1,0),0)+IF(AND(OR(Settings!$B$30="Card",Settings!$B$30="Loan"),AND('Month-End'!$BW$18&lt;&gt;"",NOT(_xlfn.ISFORMULA('Month-End'!$BW$18)))),IF(N('Month-End'!$BW$18)&lt;0,1,0),0)+IF(AND(OR(Settings!$B$31="Card",Settings!$B$31="Loan"),AND('Month-End'!$BW$19&lt;&gt;"",NOT(_xlfn.ISFORMULA('Month-End'!$BW$19)))),IF(N('Month-End'!$BW$19)&lt;0,1,0),0)+IF(AND(OR(Settings!$B$32="Card",Settings!$B$32="Loan"),AND('Month-End'!$BW$20&lt;&gt;"",NOT(_xlfn.ISFORMULA('Month-End'!$BW$20)))),IF(N('Month-End'!$BW$20)&lt;0,1,0),0)</f>
        <v/>
      </c>
      <c r="DX78">
        <f>IF(Settings!$B$36="Retirement",$AY78,0)+IF(Settings!$B$37="Retirement",$AZ78,0)+IF(Settings!$B$38="Retirement",$BA78,0)+IF(Settings!$B$39="Retirement",$BB78,0)+IF(Settings!$B$40="Retirement",$BC78,0)+IF(Settings!$B$41="Retirement",$BD78,0)</f>
        <v/>
      </c>
      <c r="EA78">
        <f>IF(Settings!$A$77="","",Settings!$A$77)</f>
        <v/>
      </c>
      <c r="EB78">
        <f>IF(Settings!$D$77="",0,IF(Settings!$D$77="Specific Account",IFERROR(INDEX($EB$40:$EB$59,MATCH(Settings!$F$77,$EA$40:$EA$59,0)),0),IFERROR(INDEX($EB$6:$EB$26,MATCH(Settings!$D$77,$EA$6:$EA$26,0)),0)))</f>
        <v/>
      </c>
      <c r="EC78">
        <f>IF(Settings!$A$77="","",IF(Settings!$B$77="Tithe Balance",$EB$23,IF(Settings!$E$77="Specific Account",IFERROR(INDEX($EB$40:$EB$59,MATCH(Settings!$F$77,$EA$40:$EA$59,0)),0),IFERROR(INDEX($EB$6:$EB$26,MATCH(Settings!$E$77,$EA$6:$EA$26,0)),0))))</f>
        <v/>
      </c>
      <c r="ED78">
        <f>IF(Settings!$A$77="","",IF(Settings!$B$77="Percentage",EB78*N(Settings!$C$77)/100,IF(Settings!$B$77="Multiple",EB78*N(Settings!$C$77),IF(Settings!$B$77="Tithe Balance",$EB$22,N(Settings!$C$77)))))</f>
        <v/>
      </c>
      <c r="EE78">
        <f>IF(Settings!$A$77="","",IF(Settings!$B$77="Pay Down To",MAX(0,EC78-ED78),MAX(0,ED78-EC78)))</f>
        <v/>
      </c>
      <c r="EF78">
        <f>IF(Settings!$A$77="","",IF(Settings!$B$77="Pay Down To",IF(EC78&lt;=ED78,"Met","Above target"),IF(EC78&gt;=ED78-0.005,"Met","Remaining")))</f>
        <v/>
      </c>
      <c r="EG78">
        <f>IF(Settings!$A$77="","",IF(Settings!$B$77="Pay Down To",IF(EC78&lt;=0,1,MIN(1,ED78/EC78)),IF(ED78&lt;=0,1,EC78/ED78)))</f>
        <v/>
      </c>
      <c r="EH78">
        <f>IF(OR(Settings!$A$77="",EE78&lt;=0),"",IF(Settings!$B$77="Save By Date",IF(Settings!$G$77="","Set a target date","Need "&amp;TEXT(EE78/MAX(1,(YEAR(Settings!$G$77)-YEAR(TODAY()))*12+MONTH(Settings!$G$77)-MONTH(TODAY())+1),"$#,##0")&amp;"/mo to "&amp;TEXT(Settings!$G$77,"mmm yyyy")),IF(Settings!$B$77="Annual Contribution","Need "&amp;TEXT(EE78/MAX(1,12-MONTH(TODAY())+1),"$#,##0")&amp;"/mo rest of year",IF(Settings!$B$77="Tithe Balance","This quarter",""))))</f>
        <v/>
      </c>
      <c r="ET78">
        <f>IF($E78&lt;&gt;"open",0,IF(AND('Month-End'!$BW$22&lt;&gt;"",NOT(_xlfn.ISFORMULA('Month-End'!$BW$22))),0,IF(OR(Settings!$C$45="",Settings!$D$45=""),0,Settings!$C$45*IF(Settings!$D$45="Weekly",IF(IFERROR(MATCH(Settings!$E$45,$EO$4:$EO$10,0),0)=0,0,IF(MIN(Settings!$B$5,IF(Settings!$G$45="",Settings!$B$5,Settings!$G$45))&lt;MAX($A78,Settings!$F$45),0,INT((MIN(Settings!$B$5,IF(Settings!$G$45="",Settings!$B$5,Settings!$G$45))-MAX($A78,Settings!$F$45)-MOD(IFERROR(MATCH(Settings!$E$45,$EO$4:$EO$10,0),0)-WEEKDAY(MAX($A78,Settings!$F$45)),7))/7)+1)),IF(AND(IF(Settings!$E$45="",$B78,DATE(YEAR($A78),MONTH($A78),MIN(Settings!$E$45,DAY($B78))))&gt;=MAX($A78,Settings!$F$45),IF(Settings!$E$45="",$B78,DATE(YEAR($A78),MONTH($A78),MIN(Settings!$E$45,DAY($B78))))&lt;=MIN(Settings!$B$5,IF(Settings!$G$45="",Settings!$B$5,Settings!$G$45))),1,0)))))</f>
        <v/>
      </c>
      <c r="EU78">
        <f>IF($E78&lt;&gt;"open",0,IF(AND('Month-End'!$BW$23&lt;&gt;"",NOT(_xlfn.ISFORMULA('Month-End'!$BW$23))),0,IF(OR(Settings!$C$46="",Settings!$D$46=""),0,Settings!$C$46*IF(Settings!$D$46="Weekly",IF(IFERROR(MATCH(Settings!$E$46,$EO$4:$EO$10,0),0)=0,0,IF(MIN(Settings!$B$5,IF(Settings!$G$46="",Settings!$B$5,Settings!$G$46))&lt;MAX($A78,Settings!$F$46),0,INT((MIN(Settings!$B$5,IF(Settings!$G$46="",Settings!$B$5,Settings!$G$46))-MAX($A78,Settings!$F$46)-MOD(IFERROR(MATCH(Settings!$E$46,$EO$4:$EO$10,0),0)-WEEKDAY(MAX($A78,Settings!$F$46)),7))/7)+1)),IF(AND(IF(Settings!$E$46="",$B78,DATE(YEAR($A78),MONTH($A78),MIN(Settings!$E$46,DAY($B78))))&gt;=MAX($A78,Settings!$F$46),IF(Settings!$E$46="",$B78,DATE(YEAR($A78),MONTH($A78),MIN(Settings!$E$46,DAY($B78))))&lt;=MIN(Settings!$B$5,IF(Settings!$G$46="",Settings!$B$5,Settings!$G$46))),1,0)))))</f>
        <v/>
      </c>
      <c r="EV78">
        <f>IF($E78&lt;&gt;"open",0,IF(AND('Month-End'!$BW$24&lt;&gt;"",NOT(_xlfn.ISFORMULA('Month-End'!$BW$24))),0,IF(OR(Settings!$C$47="",Settings!$D$47=""),0,Settings!$C$47*IF(Settings!$D$47="Weekly",IF(IFERROR(MATCH(Settings!$E$47,$EO$4:$EO$10,0),0)=0,0,IF(MIN(Settings!$B$5,IF(Settings!$G$47="",Settings!$B$5,Settings!$G$47))&lt;MAX($A78,Settings!$F$47),0,INT((MIN(Settings!$B$5,IF(Settings!$G$47="",Settings!$B$5,Settings!$G$47))-MAX($A78,Settings!$F$47)-MOD(IFERROR(MATCH(Settings!$E$47,$EO$4:$EO$10,0),0)-WEEKDAY(MAX($A78,Settings!$F$47)),7))/7)+1)),IF(AND(IF(Settings!$E$47="",$B78,DATE(YEAR($A78),MONTH($A78),MIN(Settings!$E$47,DAY($B78))))&gt;=MAX($A78,Settings!$F$47),IF(Settings!$E$47="",$B78,DATE(YEAR($A78),MONTH($A78),MIN(Settings!$E$47,DAY($B78))))&lt;=MIN(Settings!$B$5,IF(Settings!$G$47="",Settings!$B$5,Settings!$G$47))),1,0)))))</f>
        <v/>
      </c>
      <c r="EW78">
        <f>IF($E78&lt;&gt;"open",0,IF(AND('Month-End'!$BW$25&lt;&gt;"",NOT(_xlfn.ISFORMULA('Month-End'!$BW$25))),0,IF(OR(Settings!$C$48="",Settings!$D$48=""),0,Settings!$C$48*IF(Settings!$D$48="Weekly",IF(IFERROR(MATCH(Settings!$E$48,$EO$4:$EO$10,0),0)=0,0,IF(MIN(Settings!$B$5,IF(Settings!$G$48="",Settings!$B$5,Settings!$G$48))&lt;MAX($A78,Settings!$F$48),0,INT((MIN(Settings!$B$5,IF(Settings!$G$48="",Settings!$B$5,Settings!$G$48))-MAX($A78,Settings!$F$48)-MOD(IFERROR(MATCH(Settings!$E$48,$EO$4:$EO$10,0),0)-WEEKDAY(MAX($A78,Settings!$F$48)),7))/7)+1)),IF(AND(IF(Settings!$E$48="",$B78,DATE(YEAR($A78),MONTH($A78),MIN(Settings!$E$48,DAY($B78))))&gt;=MAX($A78,Settings!$F$48),IF(Settings!$E$48="",$B78,DATE(YEAR($A78),MONTH($A78),MIN(Settings!$E$48,DAY($B78))))&lt;=MIN(Settings!$B$5,IF(Settings!$G$48="",Settings!$B$5,Settings!$G$48))),1,0)))))</f>
        <v/>
      </c>
      <c r="EX78">
        <f>IF($E78&lt;&gt;"open",0,IF(AND('Month-End'!$BW$26&lt;&gt;"",NOT(_xlfn.ISFORMULA('Month-End'!$BW$26))),0,IF(OR(Settings!$C$49="",Settings!$D$49=""),0,Settings!$C$49*IF(Settings!$D$49="Weekly",IF(IFERROR(MATCH(Settings!$E$49,$EO$4:$EO$10,0),0)=0,0,IF(MIN(Settings!$B$5,IF(Settings!$G$49="",Settings!$B$5,Settings!$G$49))&lt;MAX($A78,Settings!$F$49),0,INT((MIN(Settings!$B$5,IF(Settings!$G$49="",Settings!$B$5,Settings!$G$49))-MAX($A78,Settings!$F$49)-MOD(IFERROR(MATCH(Settings!$E$49,$EO$4:$EO$10,0),0)-WEEKDAY(MAX($A78,Settings!$F$49)),7))/7)+1)),IF(AND(IF(Settings!$E$49="",$B78,DATE(YEAR($A78),MONTH($A78),MIN(Settings!$E$49,DAY($B78))))&gt;=MAX($A78,Settings!$F$49),IF(Settings!$E$49="",$B78,DATE(YEAR($A78),MONTH($A78),MIN(Settings!$E$49,DAY($B78))))&lt;=MIN(Settings!$B$5,IF(Settings!$G$49="",Settings!$B$5,Settings!$G$49))),1,0)))))</f>
        <v/>
      </c>
      <c r="EY78">
        <f>IF($E78&lt;&gt;"open",0,IF(AND('Month-End'!$BW$27&lt;&gt;"",NOT(_xlfn.ISFORMULA('Month-End'!$BW$27))),0,IF(OR(Settings!$C$50="",Settings!$D$50=""),0,Settings!$C$50*IF(Settings!$D$50="Weekly",IF(IFERROR(MATCH(Settings!$E$50,$EO$4:$EO$10,0),0)=0,0,IF(MIN(Settings!$B$5,IF(Settings!$G$50="",Settings!$B$5,Settings!$G$50))&lt;MAX($A78,Settings!$F$50),0,INT((MIN(Settings!$B$5,IF(Settings!$G$50="",Settings!$B$5,Settings!$G$50))-MAX($A78,Settings!$F$50)-MOD(IFERROR(MATCH(Settings!$E$50,$EO$4:$EO$10,0),0)-WEEKDAY(MAX($A78,Settings!$F$50)),7))/7)+1)),IF(AND(IF(Settings!$E$50="",$B78,DATE(YEAR($A78),MONTH($A78),MIN(Settings!$E$50,DAY($B78))))&gt;=MAX($A78,Settings!$F$50),IF(Settings!$E$50="",$B78,DATE(YEAR($A78),MONTH($A78),MIN(Settings!$E$50,DAY($B78))))&lt;=MIN(Settings!$B$5,IF(Settings!$G$50="",Settings!$B$5,Settings!$G$50))),1,0)))))</f>
        <v/>
      </c>
      <c r="EZ78">
        <f>IF($E78&lt;&gt;"open",0,IF(AND('Month-End'!$BW$28&lt;&gt;"",NOT(_xlfn.ISFORMULA('Month-End'!$BW$28))),0,IF(OR(Settings!$C$51="",Settings!$D$51=""),0,Settings!$C$51*IF(Settings!$D$51="Weekly",IF(IFERROR(MATCH(Settings!$E$51,$EO$4:$EO$10,0),0)=0,0,IF(MIN(Settings!$B$5,IF(Settings!$G$51="",Settings!$B$5,Settings!$G$51))&lt;MAX($A78,Settings!$F$51),0,INT((MIN(Settings!$B$5,IF(Settings!$G$51="",Settings!$B$5,Settings!$G$51))-MAX($A78,Settings!$F$51)-MOD(IFERROR(MATCH(Settings!$E$51,$EO$4:$EO$10,0),0)-WEEKDAY(MAX($A78,Settings!$F$51)),7))/7)+1)),IF(AND(IF(Settings!$E$51="",$B78,DATE(YEAR($A78),MONTH($A78),MIN(Settings!$E$51,DAY($B78))))&gt;=MAX($A78,Settings!$F$51),IF(Settings!$E$51="",$B78,DATE(YEAR($A78),MONTH($A78),MIN(Settings!$E$51,DAY($B78))))&lt;=MIN(Settings!$B$5,IF(Settings!$G$51="",Settings!$B$5,Settings!$G$51))),1,0)))))</f>
        <v/>
      </c>
      <c r="FA78">
        <f>IF($E78&lt;&gt;"open",0,IF(AND('Month-End'!$BW$29&lt;&gt;"",NOT(_xlfn.ISFORMULA('Month-End'!$BW$29))),0,IF(OR(Settings!$C$52="",Settings!$D$52=""),0,Settings!$C$52*IF(Settings!$D$52="Weekly",IF(IFERROR(MATCH(Settings!$E$52,$EO$4:$EO$10,0),0)=0,0,IF(MIN(Settings!$B$5,IF(Settings!$G$52="",Settings!$B$5,Settings!$G$52))&lt;MAX($A78,Settings!$F$52),0,INT((MIN(Settings!$B$5,IF(Settings!$G$52="",Settings!$B$5,Settings!$G$52))-MAX($A78,Settings!$F$52)-MOD(IFERROR(MATCH(Settings!$E$52,$EO$4:$EO$10,0),0)-WEEKDAY(MAX($A78,Settings!$F$52)),7))/7)+1)),IF(AND(IF(Settings!$E$52="",$B78,DATE(YEAR($A78),MONTH($A78),MIN(Settings!$E$52,DAY($B78))))&gt;=MAX($A78,Settings!$F$52),IF(Settings!$E$52="",$B78,DATE(YEAR($A78),MONTH($A78),MIN(Settings!$E$52,DAY($B78))))&lt;=MIN(Settings!$B$5,IF(Settings!$G$52="",Settings!$B$5,Settings!$G$52))),1,0)))))</f>
        <v/>
      </c>
      <c r="FB78">
        <f>IF($E78&lt;&gt;"open",0,IF(AND('Month-End'!$BW$30&lt;&gt;"",NOT(_xlfn.ISFORMULA('Month-End'!$BW$30))),0,IF(OR(Settings!$C$53="",Settings!$D$53=""),0,Settings!$C$53*IF(Settings!$D$53="Weekly",IF(IFERROR(MATCH(Settings!$E$53,$EO$4:$EO$10,0),0)=0,0,IF(MIN(Settings!$B$5,IF(Settings!$G$53="",Settings!$B$5,Settings!$G$53))&lt;MAX($A78,Settings!$F$53),0,INT((MIN(Settings!$B$5,IF(Settings!$G$53="",Settings!$B$5,Settings!$G$53))-MAX($A78,Settings!$F$53)-MOD(IFERROR(MATCH(Settings!$E$53,$EO$4:$EO$10,0),0)-WEEKDAY(MAX($A78,Settings!$F$53)),7))/7)+1)),IF(AND(IF(Settings!$E$53="",$B78,DATE(YEAR($A78),MONTH($A78),MIN(Settings!$E$53,DAY($B78))))&gt;=MAX($A78,Settings!$F$53),IF(Settings!$E$53="",$B78,DATE(YEAR($A78),MONTH($A78),MIN(Settings!$E$53,DAY($B78))))&lt;=MIN(Settings!$B$5,IF(Settings!$G$53="",Settings!$B$5,Settings!$G$53))),1,0)))))</f>
        <v/>
      </c>
      <c r="FC78">
        <f>IF($E78&lt;&gt;"open",0,IF(AND('Month-End'!$BW$31&lt;&gt;"",NOT(_xlfn.ISFORMULA('Month-End'!$BW$31))),0,IF(OR(Settings!$C$54="",Settings!$D$54=""),0,Settings!$C$54*IF(Settings!$D$54="Weekly",IF(IFERROR(MATCH(Settings!$E$54,$EO$4:$EO$10,0),0)=0,0,IF(MIN(Settings!$B$5,IF(Settings!$G$54="",Settings!$B$5,Settings!$G$54))&lt;MAX($A78,Settings!$F$54),0,INT((MIN(Settings!$B$5,IF(Settings!$G$54="",Settings!$B$5,Settings!$G$54))-MAX($A78,Settings!$F$54)-MOD(IFERROR(MATCH(Settings!$E$54,$EO$4:$EO$10,0),0)-WEEKDAY(MAX($A78,Settings!$F$54)),7))/7)+1)),IF(AND(IF(Settings!$E$54="",$B78,DATE(YEAR($A78),MONTH($A78),MIN(Settings!$E$54,DAY($B78))))&gt;=MAX($A78,Settings!$F$54),IF(Settings!$E$54="",$B78,DATE(YEAR($A78),MONTH($A78),MIN(Settings!$E$54,DAY($B78))))&lt;=MIN(Settings!$B$5,IF(Settings!$G$54="",Settings!$B$5,Settings!$G$54))),1,0)))))</f>
        <v/>
      </c>
      <c r="FD78">
        <f>IF($E78&lt;&gt;"open",0,IF(AND('Month-End'!$BW$32&lt;&gt;"",NOT(_xlfn.ISFORMULA('Month-End'!$BW$32))),0,IF(OR(Settings!$C$55="",Settings!$D$55=""),0,Settings!$C$55*IF(Settings!$D$55="Weekly",IF(IFERROR(MATCH(Settings!$E$55,$EO$4:$EO$10,0),0)=0,0,IF(MIN(Settings!$B$5,IF(Settings!$G$55="",Settings!$B$5,Settings!$G$55))&lt;MAX($A78,Settings!$F$55),0,INT((MIN(Settings!$B$5,IF(Settings!$G$55="",Settings!$B$5,Settings!$G$55))-MAX($A78,Settings!$F$55)-MOD(IFERROR(MATCH(Settings!$E$55,$EO$4:$EO$10,0),0)-WEEKDAY(MAX($A78,Settings!$F$55)),7))/7)+1)),IF(AND(IF(Settings!$E$55="",$B78,DATE(YEAR($A78),MONTH($A78),MIN(Settings!$E$55,DAY($B78))))&gt;=MAX($A78,Settings!$F$55),IF(Settings!$E$55="",$B78,DATE(YEAR($A78),MONTH($A78),MIN(Settings!$E$55,DAY($B78))))&lt;=MIN(Settings!$B$5,IF(Settings!$G$55="",Settings!$B$5,Settings!$G$55))),1,0)))))</f>
        <v/>
      </c>
      <c r="FE78">
        <f>IF($E78&lt;&gt;"open",0,IF(AND('Month-End'!$BW$33&lt;&gt;"",NOT(_xlfn.ISFORMULA('Month-End'!$BW$33))),0,IF(OR(Settings!$C$56="",Settings!$D$56=""),0,Settings!$C$56*IF(Settings!$D$56="Weekly",IF(IFERROR(MATCH(Settings!$E$56,$EO$4:$EO$10,0),0)=0,0,IF(MIN(Settings!$B$5,IF(Settings!$G$56="",Settings!$B$5,Settings!$G$56))&lt;MAX($A78,Settings!$F$56),0,INT((MIN(Settings!$B$5,IF(Settings!$G$56="",Settings!$B$5,Settings!$G$56))-MAX($A78,Settings!$F$56)-MOD(IFERROR(MATCH(Settings!$E$56,$EO$4:$EO$10,0),0)-WEEKDAY(MAX($A78,Settings!$F$56)),7))/7)+1)),IF(AND(IF(Settings!$E$56="",$B78,DATE(YEAR($A78),MONTH($A78),MIN(Settings!$E$56,DAY($B78))))&gt;=MAX($A78,Settings!$F$56),IF(Settings!$E$56="",$B78,DATE(YEAR($A78),MONTH($A78),MIN(Settings!$E$56,DAY($B78))))&lt;=MIN(Settings!$B$5,IF(Settings!$G$56="",Settings!$B$5,Settings!$G$56))),1,0)))))</f>
        <v/>
      </c>
      <c r="FF78">
        <f>IF(Settings!$I$45="Yes",$G78,0)+IF(Settings!$I$46="Yes",$H78,0)+IF(Settings!$I$47="Yes",$I78,0)+IF(Settings!$I$48="Yes",$J78,0)+IF(Settings!$I$49="Yes",$K78,0)+IF(Settings!$I$50="Yes",$L78,0)+IF(Settings!$I$51="Yes",$M78,0)+IF(Settings!$I$52="Yes",$N78,0)+IF(Settings!$I$53="Yes",$O78,0)+IF(Settings!$I$54="Yes",$P78,0)+IF(Settings!$I$55="Yes",$Q78,0)+IF(Settings!$I$56="Yes",$R78,0)</f>
        <v/>
      </c>
      <c r="FG78">
        <f>IF(AND(Settings!$I$45="Yes",Settings!$J$45="No"),$G78,0)+IF(AND(Settings!$I$46="Yes",Settings!$J$46="No"),$H78,0)+IF(AND(Settings!$I$47="Yes",Settings!$J$47="No"),$I78,0)+IF(AND(Settings!$I$48="Yes",Settings!$J$48="No"),$J78,0)+IF(AND(Settings!$I$49="Yes",Settings!$J$49="No"),$K78,0)+IF(AND(Settings!$I$50="Yes",Settings!$J$50="No"),$L78,0)+IF(AND(Settings!$I$51="Yes",Settings!$J$51="No"),$M78,0)+IF(AND(Settings!$I$52="Yes",Settings!$J$52="No"),$N78,0)+IF(AND(Settings!$I$53="Yes",Settings!$J$53="No"),$O78,0)+IF(AND(Settings!$I$54="Yes",Settings!$J$54="No"),$P78,0)+IF(AND(Settings!$I$55="Yes",Settings!$J$55="No"),$Q78,0)+IF(AND(Settings!$I$56="Yes",Settings!$J$56="No"),$R78,0)</f>
        <v/>
      </c>
      <c r="FH78">
        <f>SUMIFS(Giving!$B$7:$B$2006,Giving!$A$7:$A$2006,"&gt;="&amp;$A78,Giving!$A$7:$A$2006,"&lt;="&amp;$B78,Giving!$G$7:$G$2006,"Yes")+IF(OR(OR(Settings!$B$60="",Settings!$F$60="No"),Settings!$H$60&lt;&gt;"Yes"),0,Settings!$B$60*IF(AND(IF(Settings!$C$60="",$B78,DATE(YEAR($A78),MONTH($A78),MIN(Settings!$C$60,DAY($B78))))&gt;=MAX($A78,Settings!$D$60),IF(Settings!$C$60="",$B78,DATE(YEAR($A78),MONTH($A78),MIN(Settings!$C$60,DAY($B78))))&lt;=MIN($C78,IF(Settings!$E$60="",$C78,Settings!$E$60))),1,0))+IF(OR(OR(Settings!$B$61="",Settings!$F$61="No"),Settings!$H$61&lt;&gt;"Yes"),0,Settings!$B$61*IF(AND(IF(Settings!$C$61="",$B78,DATE(YEAR($A78),MONTH($A78),MIN(Settings!$C$61,DAY($B78))))&gt;=MAX($A78,Settings!$D$61),IF(Settings!$C$61="",$B78,DATE(YEAR($A78),MONTH($A78),MIN(Settings!$C$61,DAY($B78))))&lt;=MIN($C78,IF(Settings!$E$61="",$C78,Settings!$E$61))),1,0))+IF(OR(OR(Settings!$B$62="",Settings!$F$62="No"),Settings!$H$62&lt;&gt;"Yes"),0,Settings!$B$62*IF(AND(IF(Settings!$C$62="",$B78,DATE(YEAR($A78),MONTH($A78),MIN(Settings!$C$62,DAY($B78))))&gt;=MAX($A78,Settings!$D$62),IF(Settings!$C$62="",$B78,DATE(YEAR($A78),MONTH($A78),MIN(Settings!$C$62,DAY($B78))))&lt;=MIN($C78,IF(Settings!$E$62="",$C78,Settings!$E$62))),1,0))+IF(OR(OR(Settings!$B$63="",Settings!$F$63="No"),Settings!$H$63&lt;&gt;"Yes"),0,Settings!$B$63*IF(AND(IF(Settings!$C$63="",$B78,DATE(YEAR($A78),MONTH($A78),MIN(Settings!$C$63,DAY($B78))))&gt;=MAX($A78,Settings!$D$63),IF(Settings!$C$63="",$B78,DATE(YEAR($A78),MONTH($A78),MIN(Settings!$C$63,DAY($B78))))&lt;=MIN($C78,IF(Settings!$E$63="",$C78,Settings!$E$63))),1,0))+IF(OR(OR(Settings!$B$64="",Settings!$F$64="No"),Settings!$H$64&lt;&gt;"Yes"),0,Settings!$B$64*IF(AND(IF(Settings!$C$64="",$B78,DATE(YEAR($A78),MONTH($A78),MIN(Settings!$C$64,DAY($B78))))&gt;=MAX($A78,Settings!$D$64),IF(Settings!$C$64="",$B78,DATE(YEAR($A78),MONTH($A78),MIN(Settings!$C$64,DAY($B78))))&lt;=MIN($C78,IF(Settings!$E$64="",$C78,Settings!$E$64))),1,0))+IF(OR(OR(Settings!$B$65="",Settings!$F$65="No"),Settings!$H$65&lt;&gt;"Yes"),0,Settings!$B$65*IF(AND(IF(Settings!$C$65="",$B78,DATE(YEAR($A78),MONTH($A78),MIN(Settings!$C$65,DAY($B78))))&gt;=MAX($A78,Settings!$D$65),IF(Settings!$C$65="",$B78,DATE(YEAR($A78),MONTH($A78),MIN(Settings!$C$65,DAY($B78))))&lt;=MIN($C78,IF(Settings!$E$65="",$C78,Settings!$E$65))),1,0))</f>
        <v/>
      </c>
      <c r="FI78">
        <f>IF($DT78=1,IF(OR(Settings!$B$19="Card",Settings!$B$19="Loan"),N($AE78),0)+IF(OR(Settings!$B$20="Card",Settings!$B$20="Loan"),N($AF78),0)+IF(OR(Settings!$B$21="Card",Settings!$B$21="Loan"),N($AG78),0)+IF(OR(Settings!$B$22="Card",Settings!$B$22="Loan"),N($AH78),0)+IF(OR(Settings!$B$23="Card",Settings!$B$23="Loan"),N($AI78),0)+IF(OR(Settings!$B$24="Card",Settings!$B$24="Loan"),N($AJ78),0)+IF(OR(Settings!$B$25="Card",Settings!$B$25="Loan"),N($AK78),0)+IF(OR(Settings!$B$26="Card",Settings!$B$26="Loan"),N($AL78),0)+IF(OR(Settings!$B$27="Card",Settings!$B$27="Loan"),N($AM78),0)+IF(OR(Settings!$B$28="Card",Settings!$B$28="Loan"),N($AN78),0)+IF(OR(Settings!$B$29="Card",Settings!$B$29="Loan"),N($AO78),0)+IF(OR(Settings!$B$30="Card",Settings!$B$30="Loan"),N($AP78),0)+IF(OR(Settings!$B$31="Card",Settings!$B$31="Loan"),N($AQ78),0)+IF(OR(Settings!$B$32="Card",Settings!$B$32="Loan"),N($AR78),0),"")</f>
        <v/>
      </c>
      <c r="FJ78">
        <f>IF($E78="open",$EB$65,IF($E78="post",IF($E77="pre",$EB$65,$FI77),""))</f>
        <v/>
      </c>
      <c r="FK78">
        <f>IF(AND($DT78=1,$DC78=1),IF(ROUND($FI78-$FJ78,2)&gt;0,1,0),0)</f>
        <v/>
      </c>
      <c r="FL78">
        <f>IF($FK78=1,$FL77+1,0)</f>
        <v/>
      </c>
    </row>
    <row r="79">
      <c r="A79">
        <f>'Month-End'!$BX$4</f>
        <v/>
      </c>
      <c r="B79">
        <f>EOMONTH($A79,0)</f>
        <v/>
      </c>
      <c r="C79">
        <f>MIN($B79,TODAY())</f>
        <v/>
      </c>
      <c r="D79">
        <f>IF($A79&gt;TODAY(),1,0)</f>
        <v/>
      </c>
      <c r="E79">
        <f>IF($B79&lt;=Settings!$B$5,"pre",IF($A79&lt;=Settings!$B$5,"open","post"))</f>
        <v/>
      </c>
      <c r="G79">
        <f>IF('Month-End'!$BX$22="",$BE79,N('Month-End'!$BX$22))</f>
        <v/>
      </c>
      <c r="H79">
        <f>IF('Month-End'!$BX$23="",$BF79,N('Month-End'!$BX$23))</f>
        <v/>
      </c>
      <c r="I79">
        <f>IF('Month-End'!$BX$24="",$BG79,N('Month-End'!$BX$24))</f>
        <v/>
      </c>
      <c r="J79">
        <f>IF('Month-End'!$BX$25="",$BH79,N('Month-End'!$BX$25))</f>
        <v/>
      </c>
      <c r="K79">
        <f>IF('Month-End'!$BX$26="",$BI79,N('Month-End'!$BX$26))</f>
        <v/>
      </c>
      <c r="L79">
        <f>IF('Month-End'!$BX$27="",$BJ79,N('Month-End'!$BX$27))</f>
        <v/>
      </c>
      <c r="M79">
        <f>IF('Month-End'!$BX$28="",$BK79,N('Month-End'!$BX$28))</f>
        <v/>
      </c>
      <c r="N79">
        <f>IF('Month-End'!$BX$29="",$BL79,N('Month-End'!$BX$29))</f>
        <v/>
      </c>
      <c r="O79">
        <f>IF('Month-End'!$BX$30="",$BM79,N('Month-End'!$BX$30))</f>
        <v/>
      </c>
      <c r="P79">
        <f>IF('Month-End'!$BX$31="",$BN79,N('Month-End'!$BX$31))</f>
        <v/>
      </c>
      <c r="Q79">
        <f>IF('Month-End'!$BX$32="",$BO79,N('Month-End'!$BX$32))</f>
        <v/>
      </c>
      <c r="R79">
        <f>IF('Month-End'!$BX$33="",$BP79,N('Month-End'!$BX$33))</f>
        <v/>
      </c>
      <c r="S79">
        <f>$G79+$H79+$I79+$J79+$K79+$L79+$M79+$N79+$O79+$P79+$Q79+$R79</f>
        <v/>
      </c>
      <c r="T79">
        <f>IF($B79&lt;Settings!$B$6,0,IF(Settings!$B$45="Yes",$G79,0)+IF(Settings!$B$46="Yes",$H79,0)+IF(Settings!$B$47="Yes",$I79,0)+IF(Settings!$B$48="Yes",$J79,0)+IF(Settings!$B$49="Yes",$K79,0)+IF(Settings!$B$50="Yes",$L79,0)+IF(Settings!$B$51="Yes",$M79,0)+IF(Settings!$B$52="Yes",$N79,0)+IF(Settings!$B$53="Yes",$O79,0)+IF(Settings!$B$54="Yes",$P79,0)+IF(Settings!$B$55="Yes",$Q79,0)+IF(Settings!$B$56="Yes",$R79,0))</f>
        <v/>
      </c>
      <c r="U79">
        <f>IF(Settings!$B$45="Not Sure",$G79,0)+IF(Settings!$B$46="Not Sure",$H79,0)+IF(Settings!$B$47="Not Sure",$I79,0)+IF(Settings!$B$48="Not Sure",$J79,0)+IF(Settings!$B$49="Not Sure",$K79,0)+IF(Settings!$B$50="Not Sure",$L79,0)+IF(Settings!$B$51="Not Sure",$M79,0)+IF(Settings!$B$52="Not Sure",$N79,0)+IF(Settings!$B$53="Not Sure",$O79,0)+IF(Settings!$B$54="Not Sure",$P79,0)+IF(Settings!$B$55="Not Sure",$Q79,0)+IF(Settings!$B$56="Not Sure",$R79,0)</f>
        <v/>
      </c>
      <c r="V79">
        <f>IF($E79="open",SUM($ET79:$FE79)+N(Settings!$B$13),0)</f>
        <v/>
      </c>
      <c r="W79">
        <f>IF($E79="post",$S79,IF($E79="open",$S79-$V79,0))</f>
        <v/>
      </c>
      <c r="X79">
        <f>SUMIFS(Giving!$B$7:$B$2006,Giving!$A$7:$A$2006,"&gt;="&amp;$A79,Giving!$A$7:$A$2006,"&lt;="&amp;$B79,Giving!$E$7:$E$2006,"&lt;&gt;No")</f>
        <v/>
      </c>
      <c r="Y79">
        <f>SUMIFS(Giving!$B$7:$B$2006,Giving!$A$7:$A$2006,"&gt;="&amp;$A79,Giving!$A$7:$A$2006,"&lt;="&amp;$B79,Giving!$E$7:$E$2006,"No")</f>
        <v/>
      </c>
      <c r="Z79">
        <f>IF(OR(Settings!$B$60="",Settings!$F$60="No"),0,Settings!$B$60*IF(AND(IF(Settings!$C$60="",$B79,DATE(YEAR($A79),MONTH($A79),MIN(Settings!$C$60,DAY($B79))))&gt;=MAX($A79,Settings!$D$60),IF(Settings!$C$60="",$B79,DATE(YEAR($A79),MONTH($A79),MIN(Settings!$C$60,DAY($B79))))&lt;=MIN($C79,IF(Settings!$E$60="",$C79,Settings!$E$60))),1,0))+IF(OR(Settings!$B$61="",Settings!$F$61="No"),0,Settings!$B$61*IF(AND(IF(Settings!$C$61="",$B79,DATE(YEAR($A79),MONTH($A79),MIN(Settings!$C$61,DAY($B79))))&gt;=MAX($A79,Settings!$D$61),IF(Settings!$C$61="",$B79,DATE(YEAR($A79),MONTH($A79),MIN(Settings!$C$61,DAY($B79))))&lt;=MIN($C79,IF(Settings!$E$61="",$C79,Settings!$E$61))),1,0))+IF(OR(Settings!$B$62="",Settings!$F$62="No"),0,Settings!$B$62*IF(AND(IF(Settings!$C$62="",$B79,DATE(YEAR($A79),MONTH($A79),MIN(Settings!$C$62,DAY($B79))))&gt;=MAX($A79,Settings!$D$62),IF(Settings!$C$62="",$B79,DATE(YEAR($A79),MONTH($A79),MIN(Settings!$C$62,DAY($B79))))&lt;=MIN($C79,IF(Settings!$E$62="",$C79,Settings!$E$62))),1,0))+IF(OR(Settings!$B$63="",Settings!$F$63="No"),0,Settings!$B$63*IF(AND(IF(Settings!$C$63="",$B79,DATE(YEAR($A79),MONTH($A79),MIN(Settings!$C$63,DAY($B79))))&gt;=MAX($A79,Settings!$D$63),IF(Settings!$C$63="",$B79,DATE(YEAR($A79),MONTH($A79),MIN(Settings!$C$63,DAY($B79))))&lt;=MIN($C79,IF(Settings!$E$63="",$C79,Settings!$E$63))),1,0))+IF(OR(Settings!$B$64="",Settings!$F$64="No"),0,Settings!$B$64*IF(AND(IF(Settings!$C$64="",$B79,DATE(YEAR($A79),MONTH($A79),MIN(Settings!$C$64,DAY($B79))))&gt;=MAX($A79,Settings!$D$64),IF(Settings!$C$64="",$B79,DATE(YEAR($A79),MONTH($A79),MIN(Settings!$C$64,DAY($B79))))&lt;=MIN($C79,IF(Settings!$E$64="",$C79,Settings!$E$64))),1,0))+IF(OR(Settings!$B$65="",Settings!$F$65="No"),0,Settings!$B$65*IF(AND(IF(Settings!$C$65="",$B79,DATE(YEAR($A79),MONTH($A79),MIN(Settings!$C$65,DAY($B79))))&gt;=MAX($A79,Settings!$D$65),IF(Settings!$C$65="",$B79,DATE(YEAR($A79),MONTH($A79),MIN(Settings!$C$65,DAY($B79))))&lt;=MIN($C79,IF(Settings!$E$65="",$C79,Settings!$E$65))),1,0))</f>
        <v/>
      </c>
      <c r="AA79">
        <f>$X79+$Z79</f>
        <v/>
      </c>
      <c r="AB79">
        <f>IF($E79="post",$AA79,IF($E79="open",SUMIFS(Giving!$B$7:$B$2006,Giving!$A$7:$A$2006,"&gt;"&amp;Settings!$B$5,Giving!$A$7:$A$2006,"&lt;="&amp;$B79,Giving!$E$7:$E$2006,"&lt;&gt;No")+IF(OR(Settings!$B$60="",Settings!$F$60="No"),0,Settings!$B$60*IF(AND(IF(Settings!$C$60="",$B79,DATE(YEAR($A79),MONTH($A79),MIN(Settings!$C$60,DAY($B79))))&gt;=MAX($A79,Settings!$D$60,Settings!$B$5+1),IF(Settings!$C$60="",$B79,DATE(YEAR($A79),MONTH($A79),MIN(Settings!$C$60,DAY($B79))))&lt;=MIN($C79,IF(Settings!$E$60="",$C79,Settings!$E$60))),1,0))+IF(OR(Settings!$B$61="",Settings!$F$61="No"),0,Settings!$B$61*IF(AND(IF(Settings!$C$61="",$B79,DATE(YEAR($A79),MONTH($A79),MIN(Settings!$C$61,DAY($B79))))&gt;=MAX($A79,Settings!$D$61,Settings!$B$5+1),IF(Settings!$C$61="",$B79,DATE(YEAR($A79),MONTH($A79),MIN(Settings!$C$61,DAY($B79))))&lt;=MIN($C79,IF(Settings!$E$61="",$C79,Settings!$E$61))),1,0))+IF(OR(Settings!$B$62="",Settings!$F$62="No"),0,Settings!$B$62*IF(AND(IF(Settings!$C$62="",$B79,DATE(YEAR($A79),MONTH($A79),MIN(Settings!$C$62,DAY($B79))))&gt;=MAX($A79,Settings!$D$62,Settings!$B$5+1),IF(Settings!$C$62="",$B79,DATE(YEAR($A79),MONTH($A79),MIN(Settings!$C$62,DAY($B79))))&lt;=MIN($C79,IF(Settings!$E$62="",$C79,Settings!$E$62))),1,0))+IF(OR(Settings!$B$63="",Settings!$F$63="No"),0,Settings!$B$63*IF(AND(IF(Settings!$C$63="",$B79,DATE(YEAR($A79),MONTH($A79),MIN(Settings!$C$63,DAY($B79))))&gt;=MAX($A79,Settings!$D$63,Settings!$B$5+1),IF(Settings!$C$63="",$B79,DATE(YEAR($A79),MONTH($A79),MIN(Settings!$C$63,DAY($B79))))&lt;=MIN($C79,IF(Settings!$E$63="",$C79,Settings!$E$63))),1,0))+IF(OR(Settings!$B$64="",Settings!$F$64="No"),0,Settings!$B$64*IF(AND(IF(Settings!$C$64="",$B79,DATE(YEAR($A79),MONTH($A79),MIN(Settings!$C$64,DAY($B79))))&gt;=MAX($A79,Settings!$D$64,Settings!$B$5+1),IF(Settings!$C$64="",$B79,DATE(YEAR($A79),MONTH($A79),MIN(Settings!$C$64,DAY($B79))))&lt;=MIN($C79,IF(Settings!$E$64="",$C79,Settings!$E$64))),1,0))+IF(OR(Settings!$B$65="",Settings!$F$65="No"),0,Settings!$B$65*IF(AND(IF(Settings!$C$65="",$B79,DATE(YEAR($A79),MONTH($A79),MIN(Settings!$C$65,DAY($B79))))&gt;=MAX($A79,Settings!$D$65,Settings!$B$5+1),IF(Settings!$C$65="",$B79,DATE(YEAR($A79),MONTH($A79),MIN(Settings!$C$65,DAY($B79))))&lt;=MIN($C79,IF(Settings!$E$65="",$C79,Settings!$E$65))),1,0)),0))</f>
        <v/>
      </c>
      <c r="AC79">
        <f>$AY79+$AZ79+$BA79+$BB79+$BC79+$BD79</f>
        <v/>
      </c>
      <c r="AD79">
        <f>$AC79</f>
        <v/>
      </c>
      <c r="AE79">
        <f>IF(OR(Settings!$A$19="",$E79="pre"),"",IF(AND('Month-End'!$BX$7&lt;&gt;"",NOT(_xlfn.ISFORMULA('Month-End'!$BX$7))),N('Month-End'!$BX$7),IF(OR($E79="open",$E78="pre"),N(Settings!$C$19),N($AE78))))</f>
        <v/>
      </c>
      <c r="AF79">
        <f>IF(OR(Settings!$A$20="",$E79="pre"),"",IF(AND('Month-End'!$BX$8&lt;&gt;"",NOT(_xlfn.ISFORMULA('Month-End'!$BX$8))),N('Month-End'!$BX$8),IF(OR($E79="open",$E78="pre"),N(Settings!$C$20),N($AF78))))</f>
        <v/>
      </c>
      <c r="AG79">
        <f>IF(OR(Settings!$A$21="",$E79="pre"),"",IF(AND('Month-End'!$BX$9&lt;&gt;"",NOT(_xlfn.ISFORMULA('Month-End'!$BX$9))),N('Month-End'!$BX$9),IF(OR($E79="open",$E78="pre"),N(Settings!$C$21),N($AG78))))</f>
        <v/>
      </c>
      <c r="AH79">
        <f>IF(OR(Settings!$A$22="",$E79="pre"),"",IF(AND('Month-End'!$BX$10&lt;&gt;"",NOT(_xlfn.ISFORMULA('Month-End'!$BX$10))),N('Month-End'!$BX$10),IF(OR($E79="open",$E78="pre"),N(Settings!$C$22),N($AH78))))</f>
        <v/>
      </c>
      <c r="AI79">
        <f>IF(OR(Settings!$A$23="",$E79="pre"),"",IF(AND('Month-End'!$BX$11&lt;&gt;"",NOT(_xlfn.ISFORMULA('Month-End'!$BX$11))),N('Month-End'!$BX$11),IF(OR($E79="open",$E78="pre"),N(Settings!$C$23),N($AI78))))</f>
        <v/>
      </c>
      <c r="AJ79">
        <f>IF(OR(Settings!$A$24="",$E79="pre"),"",IF(AND('Month-End'!$BX$12&lt;&gt;"",NOT(_xlfn.ISFORMULA('Month-End'!$BX$12))),N('Month-End'!$BX$12),IF(OR($E79="open",$E78="pre"),N(Settings!$C$24),N($AJ78))))</f>
        <v/>
      </c>
      <c r="AK79">
        <f>IF(OR(Settings!$A$25="",$E79="pre"),"",IF(AND('Month-End'!$BX$13&lt;&gt;"",NOT(_xlfn.ISFORMULA('Month-End'!$BX$13))),N('Month-End'!$BX$13),IF(OR($E79="open",$E78="pre"),N(Settings!$C$25),N($AK78))))</f>
        <v/>
      </c>
      <c r="AL79">
        <f>IF(OR(Settings!$A$26="",$E79="pre"),"",IF(AND('Month-End'!$BX$14&lt;&gt;"",NOT(_xlfn.ISFORMULA('Month-End'!$BX$14))),N('Month-End'!$BX$14),IF(OR($E79="open",$E78="pre"),N(Settings!$C$26),N($AL78))))</f>
        <v/>
      </c>
      <c r="AM79">
        <f>IF(OR(Settings!$A$27="",$E79="pre"),"",IF(AND('Month-End'!$BX$15&lt;&gt;"",NOT(_xlfn.ISFORMULA('Month-End'!$BX$15))),N('Month-End'!$BX$15),IF(OR($E79="open",$E78="pre"),N(Settings!$C$27),N($AM78))))</f>
        <v/>
      </c>
      <c r="AN79">
        <f>IF(OR(Settings!$A$28="",$E79="pre"),"",IF(AND('Month-End'!$BX$16&lt;&gt;"",NOT(_xlfn.ISFORMULA('Month-End'!$BX$16))),N('Month-End'!$BX$16),IF(OR($E79="open",$E78="pre"),N(Settings!$C$28),N($AN78))))</f>
        <v/>
      </c>
      <c r="AO79">
        <f>IF(OR(Settings!$A$29="",$E79="pre"),"",IF(AND('Month-End'!$BX$17&lt;&gt;"",NOT(_xlfn.ISFORMULA('Month-End'!$BX$17))),N('Month-End'!$BX$17),IF(OR($E79="open",$E78="pre"),N(Settings!$C$29),N($AO78))))</f>
        <v/>
      </c>
      <c r="AP79">
        <f>IF(OR(Settings!$A$30="",$E79="pre"),"",IF(AND('Month-End'!$BX$18&lt;&gt;"",NOT(_xlfn.ISFORMULA('Month-End'!$BX$18))),N('Month-End'!$BX$18),IF(OR($E79="open",$E78="pre"),N(Settings!$C$30),N($AP78))))</f>
        <v/>
      </c>
      <c r="AQ79">
        <f>IF(OR(Settings!$A$31="",$E79="pre"),"",IF(AND('Month-End'!$BX$19&lt;&gt;"",NOT(_xlfn.ISFORMULA('Month-End'!$BX$19))),N('Month-End'!$BX$19),IF(OR($E79="open",$E78="pre"),N(Settings!$C$31),N($AQ78))))</f>
        <v/>
      </c>
      <c r="AR79">
        <f>IF(OR(Settings!$A$32="",$E79="pre"),"",IF(AND('Month-End'!$BX$20&lt;&gt;"",NOT(_xlfn.ISFORMULA('Month-End'!$BX$20))),N('Month-End'!$BX$20),IF(OR($E79="open",$E78="pre"),N(Settings!$C$32),N($AR78))))</f>
        <v/>
      </c>
      <c r="AS79">
        <f>IF(OR(Settings!$A$36="",$E79="pre"),"",IF(AND('Month-End'!$BX$38&lt;&gt;"",NOT(_xlfn.ISFORMULA('Month-End'!$BX$38))),N('Month-End'!$BX$38),IF(OR($E79="open",$E78="pre"),N(Settings!$C$36),N($AS78))+$AY79))</f>
        <v/>
      </c>
      <c r="AT79">
        <f>IF(OR(Settings!$A$37="",$E79="pre"),"",IF(AND('Month-End'!$BX$39&lt;&gt;"",NOT(_xlfn.ISFORMULA('Month-End'!$BX$39))),N('Month-End'!$BX$39),IF(OR($E79="open",$E78="pre"),N(Settings!$C$37),N($AT78))+$AZ79))</f>
        <v/>
      </c>
      <c r="AU79">
        <f>IF(OR(Settings!$A$38="",$E79="pre"),"",IF(AND('Month-End'!$BX$40&lt;&gt;"",NOT(_xlfn.ISFORMULA('Month-End'!$BX$40))),N('Month-End'!$BX$40),IF(OR($E79="open",$E78="pre"),N(Settings!$C$38),N($AU78))+$BA79))</f>
        <v/>
      </c>
      <c r="AV79">
        <f>IF(OR(Settings!$A$39="",$E79="pre"),"",IF(AND('Month-End'!$BX$41&lt;&gt;"",NOT(_xlfn.ISFORMULA('Month-End'!$BX$41))),N('Month-End'!$BX$41),IF(OR($E79="open",$E78="pre"),N(Settings!$C$39),N($AV78))+$BB79))</f>
        <v/>
      </c>
      <c r="AW79">
        <f>IF(OR(Settings!$A$40="",$E79="pre"),"",IF(AND('Month-End'!$BX$42&lt;&gt;"",NOT(_xlfn.ISFORMULA('Month-End'!$BX$42))),N('Month-End'!$BX$42),IF(OR($E79="open",$E78="pre"),N(Settings!$C$40),N($AW78))+$BC79))</f>
        <v/>
      </c>
      <c r="AX79">
        <f>IF(OR(Settings!$A$41="",$E79="pre"),"",IF(AND('Month-End'!$BX$43&lt;&gt;"",NOT(_xlfn.ISFORMULA('Month-End'!$BX$43))),N('Month-End'!$BX$43),IF(OR($E79="open",$E78="pre"),N(Settings!$C$41),N($AX78))+$BD79))</f>
        <v/>
      </c>
      <c r="AY79">
        <f>IF($E79="pre",0,N('Month-End'!$BX$45))</f>
        <v/>
      </c>
      <c r="AZ79">
        <f>IF($E79="pre",0,N('Month-End'!$BX$46))</f>
        <v/>
      </c>
      <c r="BA79">
        <f>IF($E79="pre",0,N('Month-End'!$BX$47))</f>
        <v/>
      </c>
      <c r="BB79">
        <f>IF($E79="pre",0,N('Month-End'!$BX$48))</f>
        <v/>
      </c>
      <c r="BC79">
        <f>IF($E79="pre",0,N('Month-End'!$BX$49))</f>
        <v/>
      </c>
      <c r="BD79">
        <f>IF($E79="pre",0,N('Month-End'!$BX$50))</f>
        <v/>
      </c>
      <c r="BE79">
        <f>IF(OR(Settings!$C$45="",Settings!$D$45=""),0,Settings!$C$45*IF(Settings!$D$45="Weekly",IF(IFERROR(MATCH(Settings!$E$45,$EO$4:$EO$10,0),0)=0,0,IF(MIN($C79,IF(Settings!$G$45="",$C79,Settings!$G$45))&lt;MAX($A79,Settings!$F$45),0,INT((MIN($C79,IF(Settings!$G$45="",$C79,Settings!$G$45))-MAX($A79,Settings!$F$45)-MOD(IFERROR(MATCH(Settings!$E$45,$EO$4:$EO$10,0),0)-WEEKDAY(MAX($A79,Settings!$F$45)),7))/7)+1)),IF(AND(IF(Settings!$E$45="",$B79,DATE(YEAR($A79),MONTH($A79),MIN(Settings!$E$45,DAY($B79))))&gt;=MAX($A79,Settings!$F$45),IF(Settings!$E$45="",$B79,DATE(YEAR($A79),MONTH($A79),MIN(Settings!$E$45,DAY($B79))))&lt;=MIN($C79,IF(Settings!$G$45="",$C79,Settings!$G$45))),1,0)))</f>
        <v/>
      </c>
      <c r="BF79">
        <f>IF(OR(Settings!$C$46="",Settings!$D$46=""),0,Settings!$C$46*IF(Settings!$D$46="Weekly",IF(IFERROR(MATCH(Settings!$E$46,$EO$4:$EO$10,0),0)=0,0,IF(MIN($C79,IF(Settings!$G$46="",$C79,Settings!$G$46))&lt;MAX($A79,Settings!$F$46),0,INT((MIN($C79,IF(Settings!$G$46="",$C79,Settings!$G$46))-MAX($A79,Settings!$F$46)-MOD(IFERROR(MATCH(Settings!$E$46,$EO$4:$EO$10,0),0)-WEEKDAY(MAX($A79,Settings!$F$46)),7))/7)+1)),IF(AND(IF(Settings!$E$46="",$B79,DATE(YEAR($A79),MONTH($A79),MIN(Settings!$E$46,DAY($B79))))&gt;=MAX($A79,Settings!$F$46),IF(Settings!$E$46="",$B79,DATE(YEAR($A79),MONTH($A79),MIN(Settings!$E$46,DAY($B79))))&lt;=MIN($C79,IF(Settings!$G$46="",$C79,Settings!$G$46))),1,0)))</f>
        <v/>
      </c>
      <c r="BG79">
        <f>IF(OR(Settings!$C$47="",Settings!$D$47=""),0,Settings!$C$47*IF(Settings!$D$47="Weekly",IF(IFERROR(MATCH(Settings!$E$47,$EO$4:$EO$10,0),0)=0,0,IF(MIN($C79,IF(Settings!$G$47="",$C79,Settings!$G$47))&lt;MAX($A79,Settings!$F$47),0,INT((MIN($C79,IF(Settings!$G$47="",$C79,Settings!$G$47))-MAX($A79,Settings!$F$47)-MOD(IFERROR(MATCH(Settings!$E$47,$EO$4:$EO$10,0),0)-WEEKDAY(MAX($A79,Settings!$F$47)),7))/7)+1)),IF(AND(IF(Settings!$E$47="",$B79,DATE(YEAR($A79),MONTH($A79),MIN(Settings!$E$47,DAY($B79))))&gt;=MAX($A79,Settings!$F$47),IF(Settings!$E$47="",$B79,DATE(YEAR($A79),MONTH($A79),MIN(Settings!$E$47,DAY($B79))))&lt;=MIN($C79,IF(Settings!$G$47="",$C79,Settings!$G$47))),1,0)))</f>
        <v/>
      </c>
      <c r="BH79">
        <f>IF(OR(Settings!$C$48="",Settings!$D$48=""),0,Settings!$C$48*IF(Settings!$D$48="Weekly",IF(IFERROR(MATCH(Settings!$E$48,$EO$4:$EO$10,0),0)=0,0,IF(MIN($C79,IF(Settings!$G$48="",$C79,Settings!$G$48))&lt;MAX($A79,Settings!$F$48),0,INT((MIN($C79,IF(Settings!$G$48="",$C79,Settings!$G$48))-MAX($A79,Settings!$F$48)-MOD(IFERROR(MATCH(Settings!$E$48,$EO$4:$EO$10,0),0)-WEEKDAY(MAX($A79,Settings!$F$48)),7))/7)+1)),IF(AND(IF(Settings!$E$48="",$B79,DATE(YEAR($A79),MONTH($A79),MIN(Settings!$E$48,DAY($B79))))&gt;=MAX($A79,Settings!$F$48),IF(Settings!$E$48="",$B79,DATE(YEAR($A79),MONTH($A79),MIN(Settings!$E$48,DAY($B79))))&lt;=MIN($C79,IF(Settings!$G$48="",$C79,Settings!$G$48))),1,0)))</f>
        <v/>
      </c>
      <c r="BI79">
        <f>IF(OR(Settings!$C$49="",Settings!$D$49=""),0,Settings!$C$49*IF(Settings!$D$49="Weekly",IF(IFERROR(MATCH(Settings!$E$49,$EO$4:$EO$10,0),0)=0,0,IF(MIN($C79,IF(Settings!$G$49="",$C79,Settings!$G$49))&lt;MAX($A79,Settings!$F$49),0,INT((MIN($C79,IF(Settings!$G$49="",$C79,Settings!$G$49))-MAX($A79,Settings!$F$49)-MOD(IFERROR(MATCH(Settings!$E$49,$EO$4:$EO$10,0),0)-WEEKDAY(MAX($A79,Settings!$F$49)),7))/7)+1)),IF(AND(IF(Settings!$E$49="",$B79,DATE(YEAR($A79),MONTH($A79),MIN(Settings!$E$49,DAY($B79))))&gt;=MAX($A79,Settings!$F$49),IF(Settings!$E$49="",$B79,DATE(YEAR($A79),MONTH($A79),MIN(Settings!$E$49,DAY($B79))))&lt;=MIN($C79,IF(Settings!$G$49="",$C79,Settings!$G$49))),1,0)))</f>
        <v/>
      </c>
      <c r="BJ79">
        <f>IF(OR(Settings!$C$50="",Settings!$D$50=""),0,Settings!$C$50*IF(Settings!$D$50="Weekly",IF(IFERROR(MATCH(Settings!$E$50,$EO$4:$EO$10,0),0)=0,0,IF(MIN($C79,IF(Settings!$G$50="",$C79,Settings!$G$50))&lt;MAX($A79,Settings!$F$50),0,INT((MIN($C79,IF(Settings!$G$50="",$C79,Settings!$G$50))-MAX($A79,Settings!$F$50)-MOD(IFERROR(MATCH(Settings!$E$50,$EO$4:$EO$10,0),0)-WEEKDAY(MAX($A79,Settings!$F$50)),7))/7)+1)),IF(AND(IF(Settings!$E$50="",$B79,DATE(YEAR($A79),MONTH($A79),MIN(Settings!$E$50,DAY($B79))))&gt;=MAX($A79,Settings!$F$50),IF(Settings!$E$50="",$B79,DATE(YEAR($A79),MONTH($A79),MIN(Settings!$E$50,DAY($B79))))&lt;=MIN($C79,IF(Settings!$G$50="",$C79,Settings!$G$50))),1,0)))</f>
        <v/>
      </c>
      <c r="BK79">
        <f>IF(OR(Settings!$C$51="",Settings!$D$51=""),0,Settings!$C$51*IF(Settings!$D$51="Weekly",IF(IFERROR(MATCH(Settings!$E$51,$EO$4:$EO$10,0),0)=0,0,IF(MIN($C79,IF(Settings!$G$51="",$C79,Settings!$G$51))&lt;MAX($A79,Settings!$F$51),0,INT((MIN($C79,IF(Settings!$G$51="",$C79,Settings!$G$51))-MAX($A79,Settings!$F$51)-MOD(IFERROR(MATCH(Settings!$E$51,$EO$4:$EO$10,0),0)-WEEKDAY(MAX($A79,Settings!$F$51)),7))/7)+1)),IF(AND(IF(Settings!$E$51="",$B79,DATE(YEAR($A79),MONTH($A79),MIN(Settings!$E$51,DAY($B79))))&gt;=MAX($A79,Settings!$F$51),IF(Settings!$E$51="",$B79,DATE(YEAR($A79),MONTH($A79),MIN(Settings!$E$51,DAY($B79))))&lt;=MIN($C79,IF(Settings!$G$51="",$C79,Settings!$G$51))),1,0)))</f>
        <v/>
      </c>
      <c r="BL79">
        <f>IF(OR(Settings!$C$52="",Settings!$D$52=""),0,Settings!$C$52*IF(Settings!$D$52="Weekly",IF(IFERROR(MATCH(Settings!$E$52,$EO$4:$EO$10,0),0)=0,0,IF(MIN($C79,IF(Settings!$G$52="",$C79,Settings!$G$52))&lt;MAX($A79,Settings!$F$52),0,INT((MIN($C79,IF(Settings!$G$52="",$C79,Settings!$G$52))-MAX($A79,Settings!$F$52)-MOD(IFERROR(MATCH(Settings!$E$52,$EO$4:$EO$10,0),0)-WEEKDAY(MAX($A79,Settings!$F$52)),7))/7)+1)),IF(AND(IF(Settings!$E$52="",$B79,DATE(YEAR($A79),MONTH($A79),MIN(Settings!$E$52,DAY($B79))))&gt;=MAX($A79,Settings!$F$52),IF(Settings!$E$52="",$B79,DATE(YEAR($A79),MONTH($A79),MIN(Settings!$E$52,DAY($B79))))&lt;=MIN($C79,IF(Settings!$G$52="",$C79,Settings!$G$52))),1,0)))</f>
        <v/>
      </c>
      <c r="BM79">
        <f>IF(OR(Settings!$C$53="",Settings!$D$53=""),0,Settings!$C$53*IF(Settings!$D$53="Weekly",IF(IFERROR(MATCH(Settings!$E$53,$EO$4:$EO$10,0),0)=0,0,IF(MIN($C79,IF(Settings!$G$53="",$C79,Settings!$G$53))&lt;MAX($A79,Settings!$F$53),0,INT((MIN($C79,IF(Settings!$G$53="",$C79,Settings!$G$53))-MAX($A79,Settings!$F$53)-MOD(IFERROR(MATCH(Settings!$E$53,$EO$4:$EO$10,0),0)-WEEKDAY(MAX($A79,Settings!$F$53)),7))/7)+1)),IF(AND(IF(Settings!$E$53="",$B79,DATE(YEAR($A79),MONTH($A79),MIN(Settings!$E$53,DAY($B79))))&gt;=MAX($A79,Settings!$F$53),IF(Settings!$E$53="",$B79,DATE(YEAR($A79),MONTH($A79),MIN(Settings!$E$53,DAY($B79))))&lt;=MIN($C79,IF(Settings!$G$53="",$C79,Settings!$G$53))),1,0)))</f>
        <v/>
      </c>
      <c r="BN79">
        <f>IF(OR(Settings!$C$54="",Settings!$D$54=""),0,Settings!$C$54*IF(Settings!$D$54="Weekly",IF(IFERROR(MATCH(Settings!$E$54,$EO$4:$EO$10,0),0)=0,0,IF(MIN($C79,IF(Settings!$G$54="",$C79,Settings!$G$54))&lt;MAX($A79,Settings!$F$54),0,INT((MIN($C79,IF(Settings!$G$54="",$C79,Settings!$G$54))-MAX($A79,Settings!$F$54)-MOD(IFERROR(MATCH(Settings!$E$54,$EO$4:$EO$10,0),0)-WEEKDAY(MAX($A79,Settings!$F$54)),7))/7)+1)),IF(AND(IF(Settings!$E$54="",$B79,DATE(YEAR($A79),MONTH($A79),MIN(Settings!$E$54,DAY($B79))))&gt;=MAX($A79,Settings!$F$54),IF(Settings!$E$54="",$B79,DATE(YEAR($A79),MONTH($A79),MIN(Settings!$E$54,DAY($B79))))&lt;=MIN($C79,IF(Settings!$G$54="",$C79,Settings!$G$54))),1,0)))</f>
        <v/>
      </c>
      <c r="BO79">
        <f>IF(OR(Settings!$C$55="",Settings!$D$55=""),0,Settings!$C$55*IF(Settings!$D$55="Weekly",IF(IFERROR(MATCH(Settings!$E$55,$EO$4:$EO$10,0),0)=0,0,IF(MIN($C79,IF(Settings!$G$55="",$C79,Settings!$G$55))&lt;MAX($A79,Settings!$F$55),0,INT((MIN($C79,IF(Settings!$G$55="",$C79,Settings!$G$55))-MAX($A79,Settings!$F$55)-MOD(IFERROR(MATCH(Settings!$E$55,$EO$4:$EO$10,0),0)-WEEKDAY(MAX($A79,Settings!$F$55)),7))/7)+1)),IF(AND(IF(Settings!$E$55="",$B79,DATE(YEAR($A79),MONTH($A79),MIN(Settings!$E$55,DAY($B79))))&gt;=MAX($A79,Settings!$F$55),IF(Settings!$E$55="",$B79,DATE(YEAR($A79),MONTH($A79),MIN(Settings!$E$55,DAY($B79))))&lt;=MIN($C79,IF(Settings!$G$55="",$C79,Settings!$G$55))),1,0)))</f>
        <v/>
      </c>
      <c r="BP79">
        <f>IF(OR(Settings!$C$56="",Settings!$D$56=""),0,Settings!$C$56*IF(Settings!$D$56="Weekly",IF(IFERROR(MATCH(Settings!$E$56,$EO$4:$EO$10,0),0)=0,0,IF(MIN($C79,IF(Settings!$G$56="",$C79,Settings!$G$56))&lt;MAX($A79,Settings!$F$56),0,INT((MIN($C79,IF(Settings!$G$56="",$C79,Settings!$G$56))-MAX($A79,Settings!$F$56)-MOD(IFERROR(MATCH(Settings!$E$56,$EO$4:$EO$10,0),0)-WEEKDAY(MAX($A79,Settings!$F$56)),7))/7)+1)),IF(AND(IF(Settings!$E$56="",$B79,DATE(YEAR($A79),MONTH($A79),MIN(Settings!$E$56,DAY($B79))))&gt;=MAX($A79,Settings!$F$56),IF(Settings!$E$56="",$B79,DATE(YEAR($A79),MONTH($A79),MIN(Settings!$E$56,DAY($B79))))&lt;=MIN($C79,IF(Settings!$G$56="",$C79,Settings!$G$56))),1,0)))</f>
        <v/>
      </c>
      <c r="BQ79">
        <f>IF(OR(Settings!$B$14="",$D79=1,$E79="pre",$A79&lt;IF(Settings!$B$15="",0,Settings!$B$15)),0,Settings!$B$14)</f>
        <v/>
      </c>
      <c r="BR79">
        <f>IF(AND('Month-End'!$BX$7&lt;&gt;"",NOT(_xlfn.ISFORMULA('Month-End'!$BX$7))),1,0)</f>
        <v/>
      </c>
      <c r="BS79">
        <f>IF(AND('Month-End'!$BX$8&lt;&gt;"",NOT(_xlfn.ISFORMULA('Month-End'!$BX$8))),1,0)</f>
        <v/>
      </c>
      <c r="BT79">
        <f>IF(AND('Month-End'!$BX$9&lt;&gt;"",NOT(_xlfn.ISFORMULA('Month-End'!$BX$9))),1,0)</f>
        <v/>
      </c>
      <c r="BU79">
        <f>IF(AND('Month-End'!$BX$10&lt;&gt;"",NOT(_xlfn.ISFORMULA('Month-End'!$BX$10))),1,0)</f>
        <v/>
      </c>
      <c r="BV79">
        <f>IF(AND('Month-End'!$BX$11&lt;&gt;"",NOT(_xlfn.ISFORMULA('Month-End'!$BX$11))),1,0)</f>
        <v/>
      </c>
      <c r="BW79">
        <f>IF(AND('Month-End'!$BX$12&lt;&gt;"",NOT(_xlfn.ISFORMULA('Month-End'!$BX$12))),1,0)</f>
        <v/>
      </c>
      <c r="BX79">
        <f>IF(AND('Month-End'!$BX$13&lt;&gt;"",NOT(_xlfn.ISFORMULA('Month-End'!$BX$13))),1,0)</f>
        <v/>
      </c>
      <c r="BY79">
        <f>IF(AND('Month-End'!$BX$14&lt;&gt;"",NOT(_xlfn.ISFORMULA('Month-End'!$BX$14))),1,0)</f>
        <v/>
      </c>
      <c r="BZ79">
        <f>IF(AND('Month-End'!$BX$15&lt;&gt;"",NOT(_xlfn.ISFORMULA('Month-End'!$BX$15))),1,0)</f>
        <v/>
      </c>
      <c r="CA79">
        <f>IF(AND('Month-End'!$BX$16&lt;&gt;"",NOT(_xlfn.ISFORMULA('Month-End'!$BX$16))),1,0)</f>
        <v/>
      </c>
      <c r="CB79">
        <f>IF(AND('Month-End'!$BX$17&lt;&gt;"",NOT(_xlfn.ISFORMULA('Month-End'!$BX$17))),1,0)</f>
        <v/>
      </c>
      <c r="CC79">
        <f>IF(AND('Month-End'!$BX$18&lt;&gt;"",NOT(_xlfn.ISFORMULA('Month-End'!$BX$18))),1,0)</f>
        <v/>
      </c>
      <c r="CD79">
        <f>IF(AND('Month-End'!$BX$19&lt;&gt;"",NOT(_xlfn.ISFORMULA('Month-End'!$BX$19))),1,0)</f>
        <v/>
      </c>
      <c r="CE79">
        <f>IF(AND('Month-End'!$BX$20&lt;&gt;"",NOT(_xlfn.ISFORMULA('Month-End'!$BX$20))),1,0)</f>
        <v/>
      </c>
      <c r="CF79">
        <f>IF(AND('Month-End'!$BX$38&lt;&gt;"",NOT(_xlfn.ISFORMULA('Month-End'!$BX$38))),1,0)</f>
        <v/>
      </c>
      <c r="CG79">
        <f>IF(AND('Month-End'!$BX$39&lt;&gt;"",NOT(_xlfn.ISFORMULA('Month-End'!$BX$39))),1,0)</f>
        <v/>
      </c>
      <c r="CH79">
        <f>IF(AND('Month-End'!$BX$40&lt;&gt;"",NOT(_xlfn.ISFORMULA('Month-End'!$BX$40))),1,0)</f>
        <v/>
      </c>
      <c r="CI79">
        <f>IF(AND('Month-End'!$BX$41&lt;&gt;"",NOT(_xlfn.ISFORMULA('Month-End'!$BX$41))),1,0)</f>
        <v/>
      </c>
      <c r="CJ79">
        <f>IF(AND('Month-End'!$BX$42&lt;&gt;"",NOT(_xlfn.ISFORMULA('Month-End'!$BX$42))),1,0)</f>
        <v/>
      </c>
      <c r="CK79">
        <f>IF(AND('Month-End'!$BX$43&lt;&gt;"",NOT(_xlfn.ISFORMULA('Month-End'!$BX$43))),1,0)</f>
        <v/>
      </c>
      <c r="CL79">
        <f>SUM($CM79:$CZ79)</f>
        <v/>
      </c>
      <c r="CM79">
        <f>IF(AND($E79&lt;&gt;"pre",AND(Settings!$A$19&lt;&gt;"",Settings!$E$19&lt;&gt;"No"),Settings!$F$19="Yes",NOT(AND('Month-End'!$BX$7&lt;&gt;"",NOT(_xlfn.ISFORMULA('Month-End'!$BX$7))))),1,0)</f>
        <v/>
      </c>
      <c r="CN79">
        <f>IF(AND($E79&lt;&gt;"pre",AND(Settings!$A$20&lt;&gt;"",Settings!$E$20&lt;&gt;"No"),Settings!$F$20="Yes",NOT(AND('Month-End'!$BX$8&lt;&gt;"",NOT(_xlfn.ISFORMULA('Month-End'!$BX$8))))),1,0)</f>
        <v/>
      </c>
      <c r="CO79">
        <f>IF(AND($E79&lt;&gt;"pre",AND(Settings!$A$21&lt;&gt;"",Settings!$E$21&lt;&gt;"No"),Settings!$F$21="Yes",NOT(AND('Month-End'!$BX$9&lt;&gt;"",NOT(_xlfn.ISFORMULA('Month-End'!$BX$9))))),1,0)</f>
        <v/>
      </c>
      <c r="CP79">
        <f>IF(AND($E79&lt;&gt;"pre",AND(Settings!$A$22&lt;&gt;"",Settings!$E$22&lt;&gt;"No"),Settings!$F$22="Yes",NOT(AND('Month-End'!$BX$10&lt;&gt;"",NOT(_xlfn.ISFORMULA('Month-End'!$BX$10))))),1,0)</f>
        <v/>
      </c>
      <c r="CQ79">
        <f>IF(AND($E79&lt;&gt;"pre",AND(Settings!$A$23&lt;&gt;"",Settings!$E$23&lt;&gt;"No"),Settings!$F$23="Yes",NOT(AND('Month-End'!$BX$11&lt;&gt;"",NOT(_xlfn.ISFORMULA('Month-End'!$BX$11))))),1,0)</f>
        <v/>
      </c>
      <c r="CR79">
        <f>IF(AND($E79&lt;&gt;"pre",AND(Settings!$A$24&lt;&gt;"",Settings!$E$24&lt;&gt;"No"),Settings!$F$24="Yes",NOT(AND('Month-End'!$BX$12&lt;&gt;"",NOT(_xlfn.ISFORMULA('Month-End'!$BX$12))))),1,0)</f>
        <v/>
      </c>
      <c r="CS79">
        <f>IF(AND($E79&lt;&gt;"pre",AND(Settings!$A$25&lt;&gt;"",Settings!$E$25&lt;&gt;"No"),Settings!$F$25="Yes",NOT(AND('Month-End'!$BX$13&lt;&gt;"",NOT(_xlfn.ISFORMULA('Month-End'!$BX$13))))),1,0)</f>
        <v/>
      </c>
      <c r="CT79">
        <f>IF(AND($E79&lt;&gt;"pre",AND(Settings!$A$26&lt;&gt;"",Settings!$E$26&lt;&gt;"No"),Settings!$F$26="Yes",NOT(AND('Month-End'!$BX$14&lt;&gt;"",NOT(_xlfn.ISFORMULA('Month-End'!$BX$14))))),1,0)</f>
        <v/>
      </c>
      <c r="CU79">
        <f>IF(AND($E79&lt;&gt;"pre",AND(Settings!$A$27&lt;&gt;"",Settings!$E$27&lt;&gt;"No"),Settings!$F$27="Yes",NOT(AND('Month-End'!$BX$15&lt;&gt;"",NOT(_xlfn.ISFORMULA('Month-End'!$BX$15))))),1,0)</f>
        <v/>
      </c>
      <c r="CV79">
        <f>IF(AND($E79&lt;&gt;"pre",AND(Settings!$A$28&lt;&gt;"",Settings!$E$28&lt;&gt;"No"),Settings!$F$28="Yes",NOT(AND('Month-End'!$BX$16&lt;&gt;"",NOT(_xlfn.ISFORMULA('Month-End'!$BX$16))))),1,0)</f>
        <v/>
      </c>
      <c r="CW79">
        <f>IF(AND($E79&lt;&gt;"pre",AND(Settings!$A$29&lt;&gt;"",Settings!$E$29&lt;&gt;"No"),Settings!$F$29="Yes",NOT(AND('Month-End'!$BX$17&lt;&gt;"",NOT(_xlfn.ISFORMULA('Month-End'!$BX$17))))),1,0)</f>
        <v/>
      </c>
      <c r="CX79">
        <f>IF(AND($E79&lt;&gt;"pre",AND(Settings!$A$30&lt;&gt;"",Settings!$E$30&lt;&gt;"No"),Settings!$F$30="Yes",NOT(AND('Month-End'!$BX$18&lt;&gt;"",NOT(_xlfn.ISFORMULA('Month-End'!$BX$18))))),1,0)</f>
        <v/>
      </c>
      <c r="CY79">
        <f>IF(AND($E79&lt;&gt;"pre",AND(Settings!$A$31&lt;&gt;"",Settings!$E$31&lt;&gt;"No"),Settings!$F$31="Yes",NOT(AND('Month-End'!$BX$19&lt;&gt;"",NOT(_xlfn.ISFORMULA('Month-End'!$BX$19))))),1,0)</f>
        <v/>
      </c>
      <c r="CZ79">
        <f>IF(AND($E79&lt;&gt;"pre",AND(Settings!$A$32&lt;&gt;"",Settings!$E$32&lt;&gt;"No"),Settings!$F$32="Yes",NOT(AND('Month-End'!$BX$20&lt;&gt;"",NOT(_xlfn.ISFORMULA('Month-End'!$BX$20))))),1,0)</f>
        <v/>
      </c>
      <c r="DA79">
        <f>IF($DT79=1,IF(OR(Settings!$B$19="Checking",Settings!$B$19="Savings",Settings!$B$19="Cash"),N($AE79),IF(OR(Settings!$B$19="Card",Settings!$B$19="Loan"),-N($AE79),0))+IF(OR(Settings!$B$20="Checking",Settings!$B$20="Savings",Settings!$B$20="Cash"),N($AF79),IF(OR(Settings!$B$20="Card",Settings!$B$20="Loan"),-N($AF79),0))+IF(OR(Settings!$B$21="Checking",Settings!$B$21="Savings",Settings!$B$21="Cash"),N($AG79),IF(OR(Settings!$B$21="Card",Settings!$B$21="Loan"),-N($AG79),0))+IF(OR(Settings!$B$22="Checking",Settings!$B$22="Savings",Settings!$B$22="Cash"),N($AH79),IF(OR(Settings!$B$22="Card",Settings!$B$22="Loan"),-N($AH79),0))+IF(OR(Settings!$B$23="Checking",Settings!$B$23="Savings",Settings!$B$23="Cash"),N($AI79),IF(OR(Settings!$B$23="Card",Settings!$B$23="Loan"),-N($AI79),0))+IF(OR(Settings!$B$24="Checking",Settings!$B$24="Savings",Settings!$B$24="Cash"),N($AJ79),IF(OR(Settings!$B$24="Card",Settings!$B$24="Loan"),-N($AJ79),0))+IF(OR(Settings!$B$25="Checking",Settings!$B$25="Savings",Settings!$B$25="Cash"),N($AK79),IF(OR(Settings!$B$25="Card",Settings!$B$25="Loan"),-N($AK79),0))+IF(OR(Settings!$B$26="Checking",Settings!$B$26="Savings",Settings!$B$26="Cash"),N($AL79),IF(OR(Settings!$B$26="Card",Settings!$B$26="Loan"),-N($AL79),0))+IF(OR(Settings!$B$27="Checking",Settings!$B$27="Savings",Settings!$B$27="Cash"),N($AM79),IF(OR(Settings!$B$27="Card",Settings!$B$27="Loan"),-N($AM79),0))+IF(OR(Settings!$B$28="Checking",Settings!$B$28="Savings",Settings!$B$28="Cash"),N($AN79),IF(OR(Settings!$B$28="Card",Settings!$B$28="Loan"),-N($AN79),0))+IF(OR(Settings!$B$29="Checking",Settings!$B$29="Savings",Settings!$B$29="Cash"),N($AO79),IF(OR(Settings!$B$29="Card",Settings!$B$29="Loan"),-N($AO79),0))+IF(OR(Settings!$B$30="Checking",Settings!$B$30="Savings",Settings!$B$30="Cash"),N($AP79),IF(OR(Settings!$B$30="Card",Settings!$B$30="Loan"),-N($AP79),0))+IF(OR(Settings!$B$31="Checking",Settings!$B$31="Savings",Settings!$B$31="Cash"),N($AQ79),IF(OR(Settings!$B$31="Card",Settings!$B$31="Loan"),-N($AQ79),0))+IF(OR(Settings!$B$32="Checking",Settings!$B$32="Savings",Settings!$B$32="Cash"),N($AR79),IF(OR(Settings!$B$32="Card",Settings!$B$32="Loan"),-N($AR79),0)),"")</f>
        <v/>
      </c>
      <c r="DB79">
        <f>IF($E79="open",$EB$27,IF($E79="post",IF($E78="pre",$EB$27,$DA78),""))</f>
        <v/>
      </c>
      <c r="DC79">
        <f>IF($E79="open",1,IF($E79="post",IF($E78="pre",1,$DT78),0))</f>
        <v/>
      </c>
      <c r="DD79">
        <f>IF(AND($DT79=1,$DC79=1),ROUND($W79-($DA79-$DB79)-$AD79-$AB79,2),"")</f>
        <v/>
      </c>
      <c r="DE79">
        <f>IF('Month-End'!$BX$35="",$BQ79,N('Month-End'!$BX$35))</f>
        <v/>
      </c>
      <c r="DF79">
        <f>N('Month-End'!$BX$36)</f>
        <v/>
      </c>
      <c r="DG79">
        <f>IF($DD79="","",$DD79+$DE79)</f>
        <v/>
      </c>
      <c r="DH79">
        <f>IF($DG79="","",$DG79-$DF79)</f>
        <v/>
      </c>
      <c r="DI79">
        <f>IF(OR($E79="pre",$D79=1),"",N($AS79)+N($AT79)+N($AU79)+N($AV79)+N($AW79)+N($AX79))</f>
        <v/>
      </c>
      <c r="DJ79">
        <f>IF($DT79=1,$DA79+N($DI79),"")</f>
        <v/>
      </c>
      <c r="DK79">
        <f>IF($DD79="","",$W79-$DD79-$AB79)</f>
        <v/>
      </c>
      <c r="DL79">
        <f>IF(AND($E79="post",$DD79&lt;&gt;"",$B79&lt;TODAY()),1,0)</f>
        <v/>
      </c>
      <c r="DM79">
        <f>IF($DL79=1,COUNTIF($DL79:$DL$183,1),0)</f>
        <v/>
      </c>
      <c r="DN79">
        <f>IF($D79=1,"",IF($E79="pre","History only",IF($DT79=1,IF($DD79="","⚠ Previous month missing",IF($DD79&lt;0,"⚠ Check: spending &lt; 0",IF($E79="open","✓ Done (partial)","✓ Done"))),IF($B79&gt;=TODAY(),"In progress","⚠ Needs balances"))))</f>
        <v/>
      </c>
      <c r="DO79">
        <f>YEAR($A79)</f>
        <v/>
      </c>
      <c r="DP79">
        <f>DATE(YEAR($A79),INT((MONTH($A79)-1)/3)*3+1,1)</f>
        <v/>
      </c>
      <c r="DQ79">
        <f>IF(AND($DT79=1,$DD79&lt;&gt;"",$D79=0),ROW(),0)</f>
        <v/>
      </c>
      <c r="DR79">
        <f>IF(AND($E79&lt;&gt;"pre",$B79&lt;TODAY(),$DT79=0),1,0)</f>
        <v/>
      </c>
      <c r="DS79">
        <f>IF($DJ79="",NA(),$DJ79)</f>
        <v/>
      </c>
      <c r="DT79">
        <f>IF(AND($E79&lt;&gt;"pre",$CL79=0,COUNTIFS(Settings!$F$19:$F$32,"Yes",Settings!$A$19:$A$32,"&lt;&gt;",Settings!$E$19:$E$32,"&lt;&gt;No")&gt;0),1,0)</f>
        <v/>
      </c>
      <c r="DU79">
        <f>IF(AND($B79&lt;TODAY(),$S79&gt;0),1,0)</f>
        <v/>
      </c>
      <c r="DV79">
        <f>IF($DU79=1,COUNTIF($DU79:$DU$183,1),0)</f>
        <v/>
      </c>
      <c r="DW79">
        <f>IF(AND(OR(Settings!$B$19="Card",Settings!$B$19="Loan"),AND('Month-End'!$BX$7&lt;&gt;"",NOT(_xlfn.ISFORMULA('Month-End'!$BX$7)))),IF(N('Month-End'!$BX$7)&lt;0,1,0),0)+IF(AND(OR(Settings!$B$20="Card",Settings!$B$20="Loan"),AND('Month-End'!$BX$8&lt;&gt;"",NOT(_xlfn.ISFORMULA('Month-End'!$BX$8)))),IF(N('Month-End'!$BX$8)&lt;0,1,0),0)+IF(AND(OR(Settings!$B$21="Card",Settings!$B$21="Loan"),AND('Month-End'!$BX$9&lt;&gt;"",NOT(_xlfn.ISFORMULA('Month-End'!$BX$9)))),IF(N('Month-End'!$BX$9)&lt;0,1,0),0)+IF(AND(OR(Settings!$B$22="Card",Settings!$B$22="Loan"),AND('Month-End'!$BX$10&lt;&gt;"",NOT(_xlfn.ISFORMULA('Month-End'!$BX$10)))),IF(N('Month-End'!$BX$10)&lt;0,1,0),0)+IF(AND(OR(Settings!$B$23="Card",Settings!$B$23="Loan"),AND('Month-End'!$BX$11&lt;&gt;"",NOT(_xlfn.ISFORMULA('Month-End'!$BX$11)))),IF(N('Month-End'!$BX$11)&lt;0,1,0),0)+IF(AND(OR(Settings!$B$24="Card",Settings!$B$24="Loan"),AND('Month-End'!$BX$12&lt;&gt;"",NOT(_xlfn.ISFORMULA('Month-End'!$BX$12)))),IF(N('Month-End'!$BX$12)&lt;0,1,0),0)+IF(AND(OR(Settings!$B$25="Card",Settings!$B$25="Loan"),AND('Month-End'!$BX$13&lt;&gt;"",NOT(_xlfn.ISFORMULA('Month-End'!$BX$13)))),IF(N('Month-End'!$BX$13)&lt;0,1,0),0)+IF(AND(OR(Settings!$B$26="Card",Settings!$B$26="Loan"),AND('Month-End'!$BX$14&lt;&gt;"",NOT(_xlfn.ISFORMULA('Month-End'!$BX$14)))),IF(N('Month-End'!$BX$14)&lt;0,1,0),0)+IF(AND(OR(Settings!$B$27="Card",Settings!$B$27="Loan"),AND('Month-End'!$BX$15&lt;&gt;"",NOT(_xlfn.ISFORMULA('Month-End'!$BX$15)))),IF(N('Month-End'!$BX$15)&lt;0,1,0),0)+IF(AND(OR(Settings!$B$28="Card",Settings!$B$28="Loan"),AND('Month-End'!$BX$16&lt;&gt;"",NOT(_xlfn.ISFORMULA('Month-End'!$BX$16)))),IF(N('Month-End'!$BX$16)&lt;0,1,0),0)+IF(AND(OR(Settings!$B$29="Card",Settings!$B$29="Loan"),AND('Month-End'!$BX$17&lt;&gt;"",NOT(_xlfn.ISFORMULA('Month-End'!$BX$17)))),IF(N('Month-End'!$BX$17)&lt;0,1,0),0)+IF(AND(OR(Settings!$B$30="Card",Settings!$B$30="Loan"),AND('Month-End'!$BX$18&lt;&gt;"",NOT(_xlfn.ISFORMULA('Month-End'!$BX$18)))),IF(N('Month-End'!$BX$18)&lt;0,1,0),0)+IF(AND(OR(Settings!$B$31="Card",Settings!$B$31="Loan"),AND('Month-End'!$BX$19&lt;&gt;"",NOT(_xlfn.ISFORMULA('Month-End'!$BX$19)))),IF(N('Month-End'!$BX$19)&lt;0,1,0),0)+IF(AND(OR(Settings!$B$32="Card",Settings!$B$32="Loan"),AND('Month-End'!$BX$20&lt;&gt;"",NOT(_xlfn.ISFORMULA('Month-End'!$BX$20)))),IF(N('Month-End'!$BX$20)&lt;0,1,0),0)</f>
        <v/>
      </c>
      <c r="DX79">
        <f>IF(Settings!$B$36="Retirement",$AY79,0)+IF(Settings!$B$37="Retirement",$AZ79,0)+IF(Settings!$B$38="Retirement",$BA79,0)+IF(Settings!$B$39="Retirement",$BB79,0)+IF(Settings!$B$40="Retirement",$BC79,0)+IF(Settings!$B$41="Retirement",$BD79,0)</f>
        <v/>
      </c>
      <c r="EA79">
        <f>IF(Settings!$A$78="","",Settings!$A$78)</f>
        <v/>
      </c>
      <c r="EB79">
        <f>IF(Settings!$D$78="",0,IF(Settings!$D$78="Specific Account",IFERROR(INDEX($EB$40:$EB$59,MATCH(Settings!$F$78,$EA$40:$EA$59,0)),0),IFERROR(INDEX($EB$6:$EB$26,MATCH(Settings!$D$78,$EA$6:$EA$26,0)),0)))</f>
        <v/>
      </c>
      <c r="EC79">
        <f>IF(Settings!$A$78="","",IF(Settings!$B$78="Tithe Balance",$EB$23,IF(Settings!$E$78="Specific Account",IFERROR(INDEX($EB$40:$EB$59,MATCH(Settings!$F$78,$EA$40:$EA$59,0)),0),IFERROR(INDEX($EB$6:$EB$26,MATCH(Settings!$E$78,$EA$6:$EA$26,0)),0))))</f>
        <v/>
      </c>
      <c r="ED79">
        <f>IF(Settings!$A$78="","",IF(Settings!$B$78="Percentage",EB79*N(Settings!$C$78)/100,IF(Settings!$B$78="Multiple",EB79*N(Settings!$C$78),IF(Settings!$B$78="Tithe Balance",$EB$22,N(Settings!$C$78)))))</f>
        <v/>
      </c>
      <c r="EE79">
        <f>IF(Settings!$A$78="","",IF(Settings!$B$78="Pay Down To",MAX(0,EC79-ED79),MAX(0,ED79-EC79)))</f>
        <v/>
      </c>
      <c r="EF79">
        <f>IF(Settings!$A$78="","",IF(Settings!$B$78="Pay Down To",IF(EC79&lt;=ED79,"Met","Above target"),IF(EC79&gt;=ED79-0.005,"Met","Remaining")))</f>
        <v/>
      </c>
      <c r="EG79">
        <f>IF(Settings!$A$78="","",IF(Settings!$B$78="Pay Down To",IF(EC79&lt;=0,1,MIN(1,ED79/EC79)),IF(ED79&lt;=0,1,EC79/ED79)))</f>
        <v/>
      </c>
      <c r="EH79">
        <f>IF(OR(Settings!$A$78="",EE79&lt;=0),"",IF(Settings!$B$78="Save By Date",IF(Settings!$G$78="","Set a target date","Need "&amp;TEXT(EE79/MAX(1,(YEAR(Settings!$G$78)-YEAR(TODAY()))*12+MONTH(Settings!$G$78)-MONTH(TODAY())+1),"$#,##0")&amp;"/mo to "&amp;TEXT(Settings!$G$78,"mmm yyyy")),IF(Settings!$B$78="Annual Contribution","Need "&amp;TEXT(EE79/MAX(1,12-MONTH(TODAY())+1),"$#,##0")&amp;"/mo rest of year",IF(Settings!$B$78="Tithe Balance","This quarter",""))))</f>
        <v/>
      </c>
      <c r="ET79">
        <f>IF($E79&lt;&gt;"open",0,IF(AND('Month-End'!$BX$22&lt;&gt;"",NOT(_xlfn.ISFORMULA('Month-End'!$BX$22))),0,IF(OR(Settings!$C$45="",Settings!$D$45=""),0,Settings!$C$45*IF(Settings!$D$45="Weekly",IF(IFERROR(MATCH(Settings!$E$45,$EO$4:$EO$10,0),0)=0,0,IF(MIN(Settings!$B$5,IF(Settings!$G$45="",Settings!$B$5,Settings!$G$45))&lt;MAX($A79,Settings!$F$45),0,INT((MIN(Settings!$B$5,IF(Settings!$G$45="",Settings!$B$5,Settings!$G$45))-MAX($A79,Settings!$F$45)-MOD(IFERROR(MATCH(Settings!$E$45,$EO$4:$EO$10,0),0)-WEEKDAY(MAX($A79,Settings!$F$45)),7))/7)+1)),IF(AND(IF(Settings!$E$45="",$B79,DATE(YEAR($A79),MONTH($A79),MIN(Settings!$E$45,DAY($B79))))&gt;=MAX($A79,Settings!$F$45),IF(Settings!$E$45="",$B79,DATE(YEAR($A79),MONTH($A79),MIN(Settings!$E$45,DAY($B79))))&lt;=MIN(Settings!$B$5,IF(Settings!$G$45="",Settings!$B$5,Settings!$G$45))),1,0)))))</f>
        <v/>
      </c>
      <c r="EU79">
        <f>IF($E79&lt;&gt;"open",0,IF(AND('Month-End'!$BX$23&lt;&gt;"",NOT(_xlfn.ISFORMULA('Month-End'!$BX$23))),0,IF(OR(Settings!$C$46="",Settings!$D$46=""),0,Settings!$C$46*IF(Settings!$D$46="Weekly",IF(IFERROR(MATCH(Settings!$E$46,$EO$4:$EO$10,0),0)=0,0,IF(MIN(Settings!$B$5,IF(Settings!$G$46="",Settings!$B$5,Settings!$G$46))&lt;MAX($A79,Settings!$F$46),0,INT((MIN(Settings!$B$5,IF(Settings!$G$46="",Settings!$B$5,Settings!$G$46))-MAX($A79,Settings!$F$46)-MOD(IFERROR(MATCH(Settings!$E$46,$EO$4:$EO$10,0),0)-WEEKDAY(MAX($A79,Settings!$F$46)),7))/7)+1)),IF(AND(IF(Settings!$E$46="",$B79,DATE(YEAR($A79),MONTH($A79),MIN(Settings!$E$46,DAY($B79))))&gt;=MAX($A79,Settings!$F$46),IF(Settings!$E$46="",$B79,DATE(YEAR($A79),MONTH($A79),MIN(Settings!$E$46,DAY($B79))))&lt;=MIN(Settings!$B$5,IF(Settings!$G$46="",Settings!$B$5,Settings!$G$46))),1,0)))))</f>
        <v/>
      </c>
      <c r="EV79">
        <f>IF($E79&lt;&gt;"open",0,IF(AND('Month-End'!$BX$24&lt;&gt;"",NOT(_xlfn.ISFORMULA('Month-End'!$BX$24))),0,IF(OR(Settings!$C$47="",Settings!$D$47=""),0,Settings!$C$47*IF(Settings!$D$47="Weekly",IF(IFERROR(MATCH(Settings!$E$47,$EO$4:$EO$10,0),0)=0,0,IF(MIN(Settings!$B$5,IF(Settings!$G$47="",Settings!$B$5,Settings!$G$47))&lt;MAX($A79,Settings!$F$47),0,INT((MIN(Settings!$B$5,IF(Settings!$G$47="",Settings!$B$5,Settings!$G$47))-MAX($A79,Settings!$F$47)-MOD(IFERROR(MATCH(Settings!$E$47,$EO$4:$EO$10,0),0)-WEEKDAY(MAX($A79,Settings!$F$47)),7))/7)+1)),IF(AND(IF(Settings!$E$47="",$B79,DATE(YEAR($A79),MONTH($A79),MIN(Settings!$E$47,DAY($B79))))&gt;=MAX($A79,Settings!$F$47),IF(Settings!$E$47="",$B79,DATE(YEAR($A79),MONTH($A79),MIN(Settings!$E$47,DAY($B79))))&lt;=MIN(Settings!$B$5,IF(Settings!$G$47="",Settings!$B$5,Settings!$G$47))),1,0)))))</f>
        <v/>
      </c>
      <c r="EW79">
        <f>IF($E79&lt;&gt;"open",0,IF(AND('Month-End'!$BX$25&lt;&gt;"",NOT(_xlfn.ISFORMULA('Month-End'!$BX$25))),0,IF(OR(Settings!$C$48="",Settings!$D$48=""),0,Settings!$C$48*IF(Settings!$D$48="Weekly",IF(IFERROR(MATCH(Settings!$E$48,$EO$4:$EO$10,0),0)=0,0,IF(MIN(Settings!$B$5,IF(Settings!$G$48="",Settings!$B$5,Settings!$G$48))&lt;MAX($A79,Settings!$F$48),0,INT((MIN(Settings!$B$5,IF(Settings!$G$48="",Settings!$B$5,Settings!$G$48))-MAX($A79,Settings!$F$48)-MOD(IFERROR(MATCH(Settings!$E$48,$EO$4:$EO$10,0),0)-WEEKDAY(MAX($A79,Settings!$F$48)),7))/7)+1)),IF(AND(IF(Settings!$E$48="",$B79,DATE(YEAR($A79),MONTH($A79),MIN(Settings!$E$48,DAY($B79))))&gt;=MAX($A79,Settings!$F$48),IF(Settings!$E$48="",$B79,DATE(YEAR($A79),MONTH($A79),MIN(Settings!$E$48,DAY($B79))))&lt;=MIN(Settings!$B$5,IF(Settings!$G$48="",Settings!$B$5,Settings!$G$48))),1,0)))))</f>
        <v/>
      </c>
      <c r="EX79">
        <f>IF($E79&lt;&gt;"open",0,IF(AND('Month-End'!$BX$26&lt;&gt;"",NOT(_xlfn.ISFORMULA('Month-End'!$BX$26))),0,IF(OR(Settings!$C$49="",Settings!$D$49=""),0,Settings!$C$49*IF(Settings!$D$49="Weekly",IF(IFERROR(MATCH(Settings!$E$49,$EO$4:$EO$10,0),0)=0,0,IF(MIN(Settings!$B$5,IF(Settings!$G$49="",Settings!$B$5,Settings!$G$49))&lt;MAX($A79,Settings!$F$49),0,INT((MIN(Settings!$B$5,IF(Settings!$G$49="",Settings!$B$5,Settings!$G$49))-MAX($A79,Settings!$F$49)-MOD(IFERROR(MATCH(Settings!$E$49,$EO$4:$EO$10,0),0)-WEEKDAY(MAX($A79,Settings!$F$49)),7))/7)+1)),IF(AND(IF(Settings!$E$49="",$B79,DATE(YEAR($A79),MONTH($A79),MIN(Settings!$E$49,DAY($B79))))&gt;=MAX($A79,Settings!$F$49),IF(Settings!$E$49="",$B79,DATE(YEAR($A79),MONTH($A79),MIN(Settings!$E$49,DAY($B79))))&lt;=MIN(Settings!$B$5,IF(Settings!$G$49="",Settings!$B$5,Settings!$G$49))),1,0)))))</f>
        <v/>
      </c>
      <c r="EY79">
        <f>IF($E79&lt;&gt;"open",0,IF(AND('Month-End'!$BX$27&lt;&gt;"",NOT(_xlfn.ISFORMULA('Month-End'!$BX$27))),0,IF(OR(Settings!$C$50="",Settings!$D$50=""),0,Settings!$C$50*IF(Settings!$D$50="Weekly",IF(IFERROR(MATCH(Settings!$E$50,$EO$4:$EO$10,0),0)=0,0,IF(MIN(Settings!$B$5,IF(Settings!$G$50="",Settings!$B$5,Settings!$G$50))&lt;MAX($A79,Settings!$F$50),0,INT((MIN(Settings!$B$5,IF(Settings!$G$50="",Settings!$B$5,Settings!$G$50))-MAX($A79,Settings!$F$50)-MOD(IFERROR(MATCH(Settings!$E$50,$EO$4:$EO$10,0),0)-WEEKDAY(MAX($A79,Settings!$F$50)),7))/7)+1)),IF(AND(IF(Settings!$E$50="",$B79,DATE(YEAR($A79),MONTH($A79),MIN(Settings!$E$50,DAY($B79))))&gt;=MAX($A79,Settings!$F$50),IF(Settings!$E$50="",$B79,DATE(YEAR($A79),MONTH($A79),MIN(Settings!$E$50,DAY($B79))))&lt;=MIN(Settings!$B$5,IF(Settings!$G$50="",Settings!$B$5,Settings!$G$50))),1,0)))))</f>
        <v/>
      </c>
      <c r="EZ79">
        <f>IF($E79&lt;&gt;"open",0,IF(AND('Month-End'!$BX$28&lt;&gt;"",NOT(_xlfn.ISFORMULA('Month-End'!$BX$28))),0,IF(OR(Settings!$C$51="",Settings!$D$51=""),0,Settings!$C$51*IF(Settings!$D$51="Weekly",IF(IFERROR(MATCH(Settings!$E$51,$EO$4:$EO$10,0),0)=0,0,IF(MIN(Settings!$B$5,IF(Settings!$G$51="",Settings!$B$5,Settings!$G$51))&lt;MAX($A79,Settings!$F$51),0,INT((MIN(Settings!$B$5,IF(Settings!$G$51="",Settings!$B$5,Settings!$G$51))-MAX($A79,Settings!$F$51)-MOD(IFERROR(MATCH(Settings!$E$51,$EO$4:$EO$10,0),0)-WEEKDAY(MAX($A79,Settings!$F$51)),7))/7)+1)),IF(AND(IF(Settings!$E$51="",$B79,DATE(YEAR($A79),MONTH($A79),MIN(Settings!$E$51,DAY($B79))))&gt;=MAX($A79,Settings!$F$51),IF(Settings!$E$51="",$B79,DATE(YEAR($A79),MONTH($A79),MIN(Settings!$E$51,DAY($B79))))&lt;=MIN(Settings!$B$5,IF(Settings!$G$51="",Settings!$B$5,Settings!$G$51))),1,0)))))</f>
        <v/>
      </c>
      <c r="FA79">
        <f>IF($E79&lt;&gt;"open",0,IF(AND('Month-End'!$BX$29&lt;&gt;"",NOT(_xlfn.ISFORMULA('Month-End'!$BX$29))),0,IF(OR(Settings!$C$52="",Settings!$D$52=""),0,Settings!$C$52*IF(Settings!$D$52="Weekly",IF(IFERROR(MATCH(Settings!$E$52,$EO$4:$EO$10,0),0)=0,0,IF(MIN(Settings!$B$5,IF(Settings!$G$52="",Settings!$B$5,Settings!$G$52))&lt;MAX($A79,Settings!$F$52),0,INT((MIN(Settings!$B$5,IF(Settings!$G$52="",Settings!$B$5,Settings!$G$52))-MAX($A79,Settings!$F$52)-MOD(IFERROR(MATCH(Settings!$E$52,$EO$4:$EO$10,0),0)-WEEKDAY(MAX($A79,Settings!$F$52)),7))/7)+1)),IF(AND(IF(Settings!$E$52="",$B79,DATE(YEAR($A79),MONTH($A79),MIN(Settings!$E$52,DAY($B79))))&gt;=MAX($A79,Settings!$F$52),IF(Settings!$E$52="",$B79,DATE(YEAR($A79),MONTH($A79),MIN(Settings!$E$52,DAY($B79))))&lt;=MIN(Settings!$B$5,IF(Settings!$G$52="",Settings!$B$5,Settings!$G$52))),1,0)))))</f>
        <v/>
      </c>
      <c r="FB79">
        <f>IF($E79&lt;&gt;"open",0,IF(AND('Month-End'!$BX$30&lt;&gt;"",NOT(_xlfn.ISFORMULA('Month-End'!$BX$30))),0,IF(OR(Settings!$C$53="",Settings!$D$53=""),0,Settings!$C$53*IF(Settings!$D$53="Weekly",IF(IFERROR(MATCH(Settings!$E$53,$EO$4:$EO$10,0),0)=0,0,IF(MIN(Settings!$B$5,IF(Settings!$G$53="",Settings!$B$5,Settings!$G$53))&lt;MAX($A79,Settings!$F$53),0,INT((MIN(Settings!$B$5,IF(Settings!$G$53="",Settings!$B$5,Settings!$G$53))-MAX($A79,Settings!$F$53)-MOD(IFERROR(MATCH(Settings!$E$53,$EO$4:$EO$10,0),0)-WEEKDAY(MAX($A79,Settings!$F$53)),7))/7)+1)),IF(AND(IF(Settings!$E$53="",$B79,DATE(YEAR($A79),MONTH($A79),MIN(Settings!$E$53,DAY($B79))))&gt;=MAX($A79,Settings!$F$53),IF(Settings!$E$53="",$B79,DATE(YEAR($A79),MONTH($A79),MIN(Settings!$E$53,DAY($B79))))&lt;=MIN(Settings!$B$5,IF(Settings!$G$53="",Settings!$B$5,Settings!$G$53))),1,0)))))</f>
        <v/>
      </c>
      <c r="FC79">
        <f>IF($E79&lt;&gt;"open",0,IF(AND('Month-End'!$BX$31&lt;&gt;"",NOT(_xlfn.ISFORMULA('Month-End'!$BX$31))),0,IF(OR(Settings!$C$54="",Settings!$D$54=""),0,Settings!$C$54*IF(Settings!$D$54="Weekly",IF(IFERROR(MATCH(Settings!$E$54,$EO$4:$EO$10,0),0)=0,0,IF(MIN(Settings!$B$5,IF(Settings!$G$54="",Settings!$B$5,Settings!$G$54))&lt;MAX($A79,Settings!$F$54),0,INT((MIN(Settings!$B$5,IF(Settings!$G$54="",Settings!$B$5,Settings!$G$54))-MAX($A79,Settings!$F$54)-MOD(IFERROR(MATCH(Settings!$E$54,$EO$4:$EO$10,0),0)-WEEKDAY(MAX($A79,Settings!$F$54)),7))/7)+1)),IF(AND(IF(Settings!$E$54="",$B79,DATE(YEAR($A79),MONTH($A79),MIN(Settings!$E$54,DAY($B79))))&gt;=MAX($A79,Settings!$F$54),IF(Settings!$E$54="",$B79,DATE(YEAR($A79),MONTH($A79),MIN(Settings!$E$54,DAY($B79))))&lt;=MIN(Settings!$B$5,IF(Settings!$G$54="",Settings!$B$5,Settings!$G$54))),1,0)))))</f>
        <v/>
      </c>
      <c r="FD79">
        <f>IF($E79&lt;&gt;"open",0,IF(AND('Month-End'!$BX$32&lt;&gt;"",NOT(_xlfn.ISFORMULA('Month-End'!$BX$32))),0,IF(OR(Settings!$C$55="",Settings!$D$55=""),0,Settings!$C$55*IF(Settings!$D$55="Weekly",IF(IFERROR(MATCH(Settings!$E$55,$EO$4:$EO$10,0),0)=0,0,IF(MIN(Settings!$B$5,IF(Settings!$G$55="",Settings!$B$5,Settings!$G$55))&lt;MAX($A79,Settings!$F$55),0,INT((MIN(Settings!$B$5,IF(Settings!$G$55="",Settings!$B$5,Settings!$G$55))-MAX($A79,Settings!$F$55)-MOD(IFERROR(MATCH(Settings!$E$55,$EO$4:$EO$10,0),0)-WEEKDAY(MAX($A79,Settings!$F$55)),7))/7)+1)),IF(AND(IF(Settings!$E$55="",$B79,DATE(YEAR($A79),MONTH($A79),MIN(Settings!$E$55,DAY($B79))))&gt;=MAX($A79,Settings!$F$55),IF(Settings!$E$55="",$B79,DATE(YEAR($A79),MONTH($A79),MIN(Settings!$E$55,DAY($B79))))&lt;=MIN(Settings!$B$5,IF(Settings!$G$55="",Settings!$B$5,Settings!$G$55))),1,0)))))</f>
        <v/>
      </c>
      <c r="FE79">
        <f>IF($E79&lt;&gt;"open",0,IF(AND('Month-End'!$BX$33&lt;&gt;"",NOT(_xlfn.ISFORMULA('Month-End'!$BX$33))),0,IF(OR(Settings!$C$56="",Settings!$D$56=""),0,Settings!$C$56*IF(Settings!$D$56="Weekly",IF(IFERROR(MATCH(Settings!$E$56,$EO$4:$EO$10,0),0)=0,0,IF(MIN(Settings!$B$5,IF(Settings!$G$56="",Settings!$B$5,Settings!$G$56))&lt;MAX($A79,Settings!$F$56),0,INT((MIN(Settings!$B$5,IF(Settings!$G$56="",Settings!$B$5,Settings!$G$56))-MAX($A79,Settings!$F$56)-MOD(IFERROR(MATCH(Settings!$E$56,$EO$4:$EO$10,0),0)-WEEKDAY(MAX($A79,Settings!$F$56)),7))/7)+1)),IF(AND(IF(Settings!$E$56="",$B79,DATE(YEAR($A79),MONTH($A79),MIN(Settings!$E$56,DAY($B79))))&gt;=MAX($A79,Settings!$F$56),IF(Settings!$E$56="",$B79,DATE(YEAR($A79),MONTH($A79),MIN(Settings!$E$56,DAY($B79))))&lt;=MIN(Settings!$B$5,IF(Settings!$G$56="",Settings!$B$5,Settings!$G$56))),1,0)))))</f>
        <v/>
      </c>
      <c r="FF79">
        <f>IF(Settings!$I$45="Yes",$G79,0)+IF(Settings!$I$46="Yes",$H79,0)+IF(Settings!$I$47="Yes",$I79,0)+IF(Settings!$I$48="Yes",$J79,0)+IF(Settings!$I$49="Yes",$K79,0)+IF(Settings!$I$50="Yes",$L79,0)+IF(Settings!$I$51="Yes",$M79,0)+IF(Settings!$I$52="Yes",$N79,0)+IF(Settings!$I$53="Yes",$O79,0)+IF(Settings!$I$54="Yes",$P79,0)+IF(Settings!$I$55="Yes",$Q79,0)+IF(Settings!$I$56="Yes",$R79,0)</f>
        <v/>
      </c>
      <c r="FG79">
        <f>IF(AND(Settings!$I$45="Yes",Settings!$J$45="No"),$G79,0)+IF(AND(Settings!$I$46="Yes",Settings!$J$46="No"),$H79,0)+IF(AND(Settings!$I$47="Yes",Settings!$J$47="No"),$I79,0)+IF(AND(Settings!$I$48="Yes",Settings!$J$48="No"),$J79,0)+IF(AND(Settings!$I$49="Yes",Settings!$J$49="No"),$K79,0)+IF(AND(Settings!$I$50="Yes",Settings!$J$50="No"),$L79,0)+IF(AND(Settings!$I$51="Yes",Settings!$J$51="No"),$M79,0)+IF(AND(Settings!$I$52="Yes",Settings!$J$52="No"),$N79,0)+IF(AND(Settings!$I$53="Yes",Settings!$J$53="No"),$O79,0)+IF(AND(Settings!$I$54="Yes",Settings!$J$54="No"),$P79,0)+IF(AND(Settings!$I$55="Yes",Settings!$J$55="No"),$Q79,0)+IF(AND(Settings!$I$56="Yes",Settings!$J$56="No"),$R79,0)</f>
        <v/>
      </c>
      <c r="FH79">
        <f>SUMIFS(Giving!$B$7:$B$2006,Giving!$A$7:$A$2006,"&gt;="&amp;$A79,Giving!$A$7:$A$2006,"&lt;="&amp;$B79,Giving!$G$7:$G$2006,"Yes")+IF(OR(OR(Settings!$B$60="",Settings!$F$60="No"),Settings!$H$60&lt;&gt;"Yes"),0,Settings!$B$60*IF(AND(IF(Settings!$C$60="",$B79,DATE(YEAR($A79),MONTH($A79),MIN(Settings!$C$60,DAY($B79))))&gt;=MAX($A79,Settings!$D$60),IF(Settings!$C$60="",$B79,DATE(YEAR($A79),MONTH($A79),MIN(Settings!$C$60,DAY($B79))))&lt;=MIN($C79,IF(Settings!$E$60="",$C79,Settings!$E$60))),1,0))+IF(OR(OR(Settings!$B$61="",Settings!$F$61="No"),Settings!$H$61&lt;&gt;"Yes"),0,Settings!$B$61*IF(AND(IF(Settings!$C$61="",$B79,DATE(YEAR($A79),MONTH($A79),MIN(Settings!$C$61,DAY($B79))))&gt;=MAX($A79,Settings!$D$61),IF(Settings!$C$61="",$B79,DATE(YEAR($A79),MONTH($A79),MIN(Settings!$C$61,DAY($B79))))&lt;=MIN($C79,IF(Settings!$E$61="",$C79,Settings!$E$61))),1,0))+IF(OR(OR(Settings!$B$62="",Settings!$F$62="No"),Settings!$H$62&lt;&gt;"Yes"),0,Settings!$B$62*IF(AND(IF(Settings!$C$62="",$B79,DATE(YEAR($A79),MONTH($A79),MIN(Settings!$C$62,DAY($B79))))&gt;=MAX($A79,Settings!$D$62),IF(Settings!$C$62="",$B79,DATE(YEAR($A79),MONTH($A79),MIN(Settings!$C$62,DAY($B79))))&lt;=MIN($C79,IF(Settings!$E$62="",$C79,Settings!$E$62))),1,0))+IF(OR(OR(Settings!$B$63="",Settings!$F$63="No"),Settings!$H$63&lt;&gt;"Yes"),0,Settings!$B$63*IF(AND(IF(Settings!$C$63="",$B79,DATE(YEAR($A79),MONTH($A79),MIN(Settings!$C$63,DAY($B79))))&gt;=MAX($A79,Settings!$D$63),IF(Settings!$C$63="",$B79,DATE(YEAR($A79),MONTH($A79),MIN(Settings!$C$63,DAY($B79))))&lt;=MIN($C79,IF(Settings!$E$63="",$C79,Settings!$E$63))),1,0))+IF(OR(OR(Settings!$B$64="",Settings!$F$64="No"),Settings!$H$64&lt;&gt;"Yes"),0,Settings!$B$64*IF(AND(IF(Settings!$C$64="",$B79,DATE(YEAR($A79),MONTH($A79),MIN(Settings!$C$64,DAY($B79))))&gt;=MAX($A79,Settings!$D$64),IF(Settings!$C$64="",$B79,DATE(YEAR($A79),MONTH($A79),MIN(Settings!$C$64,DAY($B79))))&lt;=MIN($C79,IF(Settings!$E$64="",$C79,Settings!$E$64))),1,0))+IF(OR(OR(Settings!$B$65="",Settings!$F$65="No"),Settings!$H$65&lt;&gt;"Yes"),0,Settings!$B$65*IF(AND(IF(Settings!$C$65="",$B79,DATE(YEAR($A79),MONTH($A79),MIN(Settings!$C$65,DAY($B79))))&gt;=MAX($A79,Settings!$D$65),IF(Settings!$C$65="",$B79,DATE(YEAR($A79),MONTH($A79),MIN(Settings!$C$65,DAY($B79))))&lt;=MIN($C79,IF(Settings!$E$65="",$C79,Settings!$E$65))),1,0))</f>
        <v/>
      </c>
      <c r="FI79">
        <f>IF($DT79=1,IF(OR(Settings!$B$19="Card",Settings!$B$19="Loan"),N($AE79),0)+IF(OR(Settings!$B$20="Card",Settings!$B$20="Loan"),N($AF79),0)+IF(OR(Settings!$B$21="Card",Settings!$B$21="Loan"),N($AG79),0)+IF(OR(Settings!$B$22="Card",Settings!$B$22="Loan"),N($AH79),0)+IF(OR(Settings!$B$23="Card",Settings!$B$23="Loan"),N($AI79),0)+IF(OR(Settings!$B$24="Card",Settings!$B$24="Loan"),N($AJ79),0)+IF(OR(Settings!$B$25="Card",Settings!$B$25="Loan"),N($AK79),0)+IF(OR(Settings!$B$26="Card",Settings!$B$26="Loan"),N($AL79),0)+IF(OR(Settings!$B$27="Card",Settings!$B$27="Loan"),N($AM79),0)+IF(OR(Settings!$B$28="Card",Settings!$B$28="Loan"),N($AN79),0)+IF(OR(Settings!$B$29="Card",Settings!$B$29="Loan"),N($AO79),0)+IF(OR(Settings!$B$30="Card",Settings!$B$30="Loan"),N($AP79),0)+IF(OR(Settings!$B$31="Card",Settings!$B$31="Loan"),N($AQ79),0)+IF(OR(Settings!$B$32="Card",Settings!$B$32="Loan"),N($AR79),0),"")</f>
        <v/>
      </c>
      <c r="FJ79">
        <f>IF($E79="open",$EB$65,IF($E79="post",IF($E78="pre",$EB$65,$FI78),""))</f>
        <v/>
      </c>
      <c r="FK79">
        <f>IF(AND($DT79=1,$DC79=1),IF(ROUND($FI79-$FJ79,2)&gt;0,1,0),0)</f>
        <v/>
      </c>
      <c r="FL79">
        <f>IF($FK79=1,$FL78+1,0)</f>
        <v/>
      </c>
    </row>
    <row r="80">
      <c r="A80">
        <f>'Month-End'!$BY$4</f>
        <v/>
      </c>
      <c r="B80">
        <f>EOMONTH($A80,0)</f>
        <v/>
      </c>
      <c r="C80">
        <f>MIN($B80,TODAY())</f>
        <v/>
      </c>
      <c r="D80">
        <f>IF($A80&gt;TODAY(),1,0)</f>
        <v/>
      </c>
      <c r="E80">
        <f>IF($B80&lt;=Settings!$B$5,"pre",IF($A80&lt;=Settings!$B$5,"open","post"))</f>
        <v/>
      </c>
      <c r="G80">
        <f>IF('Month-End'!$BY$22="",$BE80,N('Month-End'!$BY$22))</f>
        <v/>
      </c>
      <c r="H80">
        <f>IF('Month-End'!$BY$23="",$BF80,N('Month-End'!$BY$23))</f>
        <v/>
      </c>
      <c r="I80">
        <f>IF('Month-End'!$BY$24="",$BG80,N('Month-End'!$BY$24))</f>
        <v/>
      </c>
      <c r="J80">
        <f>IF('Month-End'!$BY$25="",$BH80,N('Month-End'!$BY$25))</f>
        <v/>
      </c>
      <c r="K80">
        <f>IF('Month-End'!$BY$26="",$BI80,N('Month-End'!$BY$26))</f>
        <v/>
      </c>
      <c r="L80">
        <f>IF('Month-End'!$BY$27="",$BJ80,N('Month-End'!$BY$27))</f>
        <v/>
      </c>
      <c r="M80">
        <f>IF('Month-End'!$BY$28="",$BK80,N('Month-End'!$BY$28))</f>
        <v/>
      </c>
      <c r="N80">
        <f>IF('Month-End'!$BY$29="",$BL80,N('Month-End'!$BY$29))</f>
        <v/>
      </c>
      <c r="O80">
        <f>IF('Month-End'!$BY$30="",$BM80,N('Month-End'!$BY$30))</f>
        <v/>
      </c>
      <c r="P80">
        <f>IF('Month-End'!$BY$31="",$BN80,N('Month-End'!$BY$31))</f>
        <v/>
      </c>
      <c r="Q80">
        <f>IF('Month-End'!$BY$32="",$BO80,N('Month-End'!$BY$32))</f>
        <v/>
      </c>
      <c r="R80">
        <f>IF('Month-End'!$BY$33="",$BP80,N('Month-End'!$BY$33))</f>
        <v/>
      </c>
      <c r="S80">
        <f>$G80+$H80+$I80+$J80+$K80+$L80+$M80+$N80+$O80+$P80+$Q80+$R80</f>
        <v/>
      </c>
      <c r="T80">
        <f>IF($B80&lt;Settings!$B$6,0,IF(Settings!$B$45="Yes",$G80,0)+IF(Settings!$B$46="Yes",$H80,0)+IF(Settings!$B$47="Yes",$I80,0)+IF(Settings!$B$48="Yes",$J80,0)+IF(Settings!$B$49="Yes",$K80,0)+IF(Settings!$B$50="Yes",$L80,0)+IF(Settings!$B$51="Yes",$M80,0)+IF(Settings!$B$52="Yes",$N80,0)+IF(Settings!$B$53="Yes",$O80,0)+IF(Settings!$B$54="Yes",$P80,0)+IF(Settings!$B$55="Yes",$Q80,0)+IF(Settings!$B$56="Yes",$R80,0))</f>
        <v/>
      </c>
      <c r="U80">
        <f>IF(Settings!$B$45="Not Sure",$G80,0)+IF(Settings!$B$46="Not Sure",$H80,0)+IF(Settings!$B$47="Not Sure",$I80,0)+IF(Settings!$B$48="Not Sure",$J80,0)+IF(Settings!$B$49="Not Sure",$K80,0)+IF(Settings!$B$50="Not Sure",$L80,0)+IF(Settings!$B$51="Not Sure",$M80,0)+IF(Settings!$B$52="Not Sure",$N80,0)+IF(Settings!$B$53="Not Sure",$O80,0)+IF(Settings!$B$54="Not Sure",$P80,0)+IF(Settings!$B$55="Not Sure",$Q80,0)+IF(Settings!$B$56="Not Sure",$R80,0)</f>
        <v/>
      </c>
      <c r="V80">
        <f>IF($E80="open",SUM($ET80:$FE80)+N(Settings!$B$13),0)</f>
        <v/>
      </c>
      <c r="W80">
        <f>IF($E80="post",$S80,IF($E80="open",$S80-$V80,0))</f>
        <v/>
      </c>
      <c r="X80">
        <f>SUMIFS(Giving!$B$7:$B$2006,Giving!$A$7:$A$2006,"&gt;="&amp;$A80,Giving!$A$7:$A$2006,"&lt;="&amp;$B80,Giving!$E$7:$E$2006,"&lt;&gt;No")</f>
        <v/>
      </c>
      <c r="Y80">
        <f>SUMIFS(Giving!$B$7:$B$2006,Giving!$A$7:$A$2006,"&gt;="&amp;$A80,Giving!$A$7:$A$2006,"&lt;="&amp;$B80,Giving!$E$7:$E$2006,"No")</f>
        <v/>
      </c>
      <c r="Z80">
        <f>IF(OR(Settings!$B$60="",Settings!$F$60="No"),0,Settings!$B$60*IF(AND(IF(Settings!$C$60="",$B80,DATE(YEAR($A80),MONTH($A80),MIN(Settings!$C$60,DAY($B80))))&gt;=MAX($A80,Settings!$D$60),IF(Settings!$C$60="",$B80,DATE(YEAR($A80),MONTH($A80),MIN(Settings!$C$60,DAY($B80))))&lt;=MIN($C80,IF(Settings!$E$60="",$C80,Settings!$E$60))),1,0))+IF(OR(Settings!$B$61="",Settings!$F$61="No"),0,Settings!$B$61*IF(AND(IF(Settings!$C$61="",$B80,DATE(YEAR($A80),MONTH($A80),MIN(Settings!$C$61,DAY($B80))))&gt;=MAX($A80,Settings!$D$61),IF(Settings!$C$61="",$B80,DATE(YEAR($A80),MONTH($A80),MIN(Settings!$C$61,DAY($B80))))&lt;=MIN($C80,IF(Settings!$E$61="",$C80,Settings!$E$61))),1,0))+IF(OR(Settings!$B$62="",Settings!$F$62="No"),0,Settings!$B$62*IF(AND(IF(Settings!$C$62="",$B80,DATE(YEAR($A80),MONTH($A80),MIN(Settings!$C$62,DAY($B80))))&gt;=MAX($A80,Settings!$D$62),IF(Settings!$C$62="",$B80,DATE(YEAR($A80),MONTH($A80),MIN(Settings!$C$62,DAY($B80))))&lt;=MIN($C80,IF(Settings!$E$62="",$C80,Settings!$E$62))),1,0))+IF(OR(Settings!$B$63="",Settings!$F$63="No"),0,Settings!$B$63*IF(AND(IF(Settings!$C$63="",$B80,DATE(YEAR($A80),MONTH($A80),MIN(Settings!$C$63,DAY($B80))))&gt;=MAX($A80,Settings!$D$63),IF(Settings!$C$63="",$B80,DATE(YEAR($A80),MONTH($A80),MIN(Settings!$C$63,DAY($B80))))&lt;=MIN($C80,IF(Settings!$E$63="",$C80,Settings!$E$63))),1,0))+IF(OR(Settings!$B$64="",Settings!$F$64="No"),0,Settings!$B$64*IF(AND(IF(Settings!$C$64="",$B80,DATE(YEAR($A80),MONTH($A80),MIN(Settings!$C$64,DAY($B80))))&gt;=MAX($A80,Settings!$D$64),IF(Settings!$C$64="",$B80,DATE(YEAR($A80),MONTH($A80),MIN(Settings!$C$64,DAY($B80))))&lt;=MIN($C80,IF(Settings!$E$64="",$C80,Settings!$E$64))),1,0))+IF(OR(Settings!$B$65="",Settings!$F$65="No"),0,Settings!$B$65*IF(AND(IF(Settings!$C$65="",$B80,DATE(YEAR($A80),MONTH($A80),MIN(Settings!$C$65,DAY($B80))))&gt;=MAX($A80,Settings!$D$65),IF(Settings!$C$65="",$B80,DATE(YEAR($A80),MONTH($A80),MIN(Settings!$C$65,DAY($B80))))&lt;=MIN($C80,IF(Settings!$E$65="",$C80,Settings!$E$65))),1,0))</f>
        <v/>
      </c>
      <c r="AA80">
        <f>$X80+$Z80</f>
        <v/>
      </c>
      <c r="AB80">
        <f>IF($E80="post",$AA80,IF($E80="open",SUMIFS(Giving!$B$7:$B$2006,Giving!$A$7:$A$2006,"&gt;"&amp;Settings!$B$5,Giving!$A$7:$A$2006,"&lt;="&amp;$B80,Giving!$E$7:$E$2006,"&lt;&gt;No")+IF(OR(Settings!$B$60="",Settings!$F$60="No"),0,Settings!$B$60*IF(AND(IF(Settings!$C$60="",$B80,DATE(YEAR($A80),MONTH($A80),MIN(Settings!$C$60,DAY($B80))))&gt;=MAX($A80,Settings!$D$60,Settings!$B$5+1),IF(Settings!$C$60="",$B80,DATE(YEAR($A80),MONTH($A80),MIN(Settings!$C$60,DAY($B80))))&lt;=MIN($C80,IF(Settings!$E$60="",$C80,Settings!$E$60))),1,0))+IF(OR(Settings!$B$61="",Settings!$F$61="No"),0,Settings!$B$61*IF(AND(IF(Settings!$C$61="",$B80,DATE(YEAR($A80),MONTH($A80),MIN(Settings!$C$61,DAY($B80))))&gt;=MAX($A80,Settings!$D$61,Settings!$B$5+1),IF(Settings!$C$61="",$B80,DATE(YEAR($A80),MONTH($A80),MIN(Settings!$C$61,DAY($B80))))&lt;=MIN($C80,IF(Settings!$E$61="",$C80,Settings!$E$61))),1,0))+IF(OR(Settings!$B$62="",Settings!$F$62="No"),0,Settings!$B$62*IF(AND(IF(Settings!$C$62="",$B80,DATE(YEAR($A80),MONTH($A80),MIN(Settings!$C$62,DAY($B80))))&gt;=MAX($A80,Settings!$D$62,Settings!$B$5+1),IF(Settings!$C$62="",$B80,DATE(YEAR($A80),MONTH($A80),MIN(Settings!$C$62,DAY($B80))))&lt;=MIN($C80,IF(Settings!$E$62="",$C80,Settings!$E$62))),1,0))+IF(OR(Settings!$B$63="",Settings!$F$63="No"),0,Settings!$B$63*IF(AND(IF(Settings!$C$63="",$B80,DATE(YEAR($A80),MONTH($A80),MIN(Settings!$C$63,DAY($B80))))&gt;=MAX($A80,Settings!$D$63,Settings!$B$5+1),IF(Settings!$C$63="",$B80,DATE(YEAR($A80),MONTH($A80),MIN(Settings!$C$63,DAY($B80))))&lt;=MIN($C80,IF(Settings!$E$63="",$C80,Settings!$E$63))),1,0))+IF(OR(Settings!$B$64="",Settings!$F$64="No"),0,Settings!$B$64*IF(AND(IF(Settings!$C$64="",$B80,DATE(YEAR($A80),MONTH($A80),MIN(Settings!$C$64,DAY($B80))))&gt;=MAX($A80,Settings!$D$64,Settings!$B$5+1),IF(Settings!$C$64="",$B80,DATE(YEAR($A80),MONTH($A80),MIN(Settings!$C$64,DAY($B80))))&lt;=MIN($C80,IF(Settings!$E$64="",$C80,Settings!$E$64))),1,0))+IF(OR(Settings!$B$65="",Settings!$F$65="No"),0,Settings!$B$65*IF(AND(IF(Settings!$C$65="",$B80,DATE(YEAR($A80),MONTH($A80),MIN(Settings!$C$65,DAY($B80))))&gt;=MAX($A80,Settings!$D$65,Settings!$B$5+1),IF(Settings!$C$65="",$B80,DATE(YEAR($A80),MONTH($A80),MIN(Settings!$C$65,DAY($B80))))&lt;=MIN($C80,IF(Settings!$E$65="",$C80,Settings!$E$65))),1,0)),0))</f>
        <v/>
      </c>
      <c r="AC80">
        <f>$AY80+$AZ80+$BA80+$BB80+$BC80+$BD80</f>
        <v/>
      </c>
      <c r="AD80">
        <f>$AC80</f>
        <v/>
      </c>
      <c r="AE80">
        <f>IF(OR(Settings!$A$19="",$E80="pre"),"",IF(AND('Month-End'!$BY$7&lt;&gt;"",NOT(_xlfn.ISFORMULA('Month-End'!$BY$7))),N('Month-End'!$BY$7),IF(OR($E80="open",$E79="pre"),N(Settings!$C$19),N($AE79))))</f>
        <v/>
      </c>
      <c r="AF80">
        <f>IF(OR(Settings!$A$20="",$E80="pre"),"",IF(AND('Month-End'!$BY$8&lt;&gt;"",NOT(_xlfn.ISFORMULA('Month-End'!$BY$8))),N('Month-End'!$BY$8),IF(OR($E80="open",$E79="pre"),N(Settings!$C$20),N($AF79))))</f>
        <v/>
      </c>
      <c r="AG80">
        <f>IF(OR(Settings!$A$21="",$E80="pre"),"",IF(AND('Month-End'!$BY$9&lt;&gt;"",NOT(_xlfn.ISFORMULA('Month-End'!$BY$9))),N('Month-End'!$BY$9),IF(OR($E80="open",$E79="pre"),N(Settings!$C$21),N($AG79))))</f>
        <v/>
      </c>
      <c r="AH80">
        <f>IF(OR(Settings!$A$22="",$E80="pre"),"",IF(AND('Month-End'!$BY$10&lt;&gt;"",NOT(_xlfn.ISFORMULA('Month-End'!$BY$10))),N('Month-End'!$BY$10),IF(OR($E80="open",$E79="pre"),N(Settings!$C$22),N($AH79))))</f>
        <v/>
      </c>
      <c r="AI80">
        <f>IF(OR(Settings!$A$23="",$E80="pre"),"",IF(AND('Month-End'!$BY$11&lt;&gt;"",NOT(_xlfn.ISFORMULA('Month-End'!$BY$11))),N('Month-End'!$BY$11),IF(OR($E80="open",$E79="pre"),N(Settings!$C$23),N($AI79))))</f>
        <v/>
      </c>
      <c r="AJ80">
        <f>IF(OR(Settings!$A$24="",$E80="pre"),"",IF(AND('Month-End'!$BY$12&lt;&gt;"",NOT(_xlfn.ISFORMULA('Month-End'!$BY$12))),N('Month-End'!$BY$12),IF(OR($E80="open",$E79="pre"),N(Settings!$C$24),N($AJ79))))</f>
        <v/>
      </c>
      <c r="AK80">
        <f>IF(OR(Settings!$A$25="",$E80="pre"),"",IF(AND('Month-End'!$BY$13&lt;&gt;"",NOT(_xlfn.ISFORMULA('Month-End'!$BY$13))),N('Month-End'!$BY$13),IF(OR($E80="open",$E79="pre"),N(Settings!$C$25),N($AK79))))</f>
        <v/>
      </c>
      <c r="AL80">
        <f>IF(OR(Settings!$A$26="",$E80="pre"),"",IF(AND('Month-End'!$BY$14&lt;&gt;"",NOT(_xlfn.ISFORMULA('Month-End'!$BY$14))),N('Month-End'!$BY$14),IF(OR($E80="open",$E79="pre"),N(Settings!$C$26),N($AL79))))</f>
        <v/>
      </c>
      <c r="AM80">
        <f>IF(OR(Settings!$A$27="",$E80="pre"),"",IF(AND('Month-End'!$BY$15&lt;&gt;"",NOT(_xlfn.ISFORMULA('Month-End'!$BY$15))),N('Month-End'!$BY$15),IF(OR($E80="open",$E79="pre"),N(Settings!$C$27),N($AM79))))</f>
        <v/>
      </c>
      <c r="AN80">
        <f>IF(OR(Settings!$A$28="",$E80="pre"),"",IF(AND('Month-End'!$BY$16&lt;&gt;"",NOT(_xlfn.ISFORMULA('Month-End'!$BY$16))),N('Month-End'!$BY$16),IF(OR($E80="open",$E79="pre"),N(Settings!$C$28),N($AN79))))</f>
        <v/>
      </c>
      <c r="AO80">
        <f>IF(OR(Settings!$A$29="",$E80="pre"),"",IF(AND('Month-End'!$BY$17&lt;&gt;"",NOT(_xlfn.ISFORMULA('Month-End'!$BY$17))),N('Month-End'!$BY$17),IF(OR($E80="open",$E79="pre"),N(Settings!$C$29),N($AO79))))</f>
        <v/>
      </c>
      <c r="AP80">
        <f>IF(OR(Settings!$A$30="",$E80="pre"),"",IF(AND('Month-End'!$BY$18&lt;&gt;"",NOT(_xlfn.ISFORMULA('Month-End'!$BY$18))),N('Month-End'!$BY$18),IF(OR($E80="open",$E79="pre"),N(Settings!$C$30),N($AP79))))</f>
        <v/>
      </c>
      <c r="AQ80">
        <f>IF(OR(Settings!$A$31="",$E80="pre"),"",IF(AND('Month-End'!$BY$19&lt;&gt;"",NOT(_xlfn.ISFORMULA('Month-End'!$BY$19))),N('Month-End'!$BY$19),IF(OR($E80="open",$E79="pre"),N(Settings!$C$31),N($AQ79))))</f>
        <v/>
      </c>
      <c r="AR80">
        <f>IF(OR(Settings!$A$32="",$E80="pre"),"",IF(AND('Month-End'!$BY$20&lt;&gt;"",NOT(_xlfn.ISFORMULA('Month-End'!$BY$20))),N('Month-End'!$BY$20),IF(OR($E80="open",$E79="pre"),N(Settings!$C$32),N($AR79))))</f>
        <v/>
      </c>
      <c r="AS80">
        <f>IF(OR(Settings!$A$36="",$E80="pre"),"",IF(AND('Month-End'!$BY$38&lt;&gt;"",NOT(_xlfn.ISFORMULA('Month-End'!$BY$38))),N('Month-End'!$BY$38),IF(OR($E80="open",$E79="pre"),N(Settings!$C$36),N($AS79))+$AY80))</f>
        <v/>
      </c>
      <c r="AT80">
        <f>IF(OR(Settings!$A$37="",$E80="pre"),"",IF(AND('Month-End'!$BY$39&lt;&gt;"",NOT(_xlfn.ISFORMULA('Month-End'!$BY$39))),N('Month-End'!$BY$39),IF(OR($E80="open",$E79="pre"),N(Settings!$C$37),N($AT79))+$AZ80))</f>
        <v/>
      </c>
      <c r="AU80">
        <f>IF(OR(Settings!$A$38="",$E80="pre"),"",IF(AND('Month-End'!$BY$40&lt;&gt;"",NOT(_xlfn.ISFORMULA('Month-End'!$BY$40))),N('Month-End'!$BY$40),IF(OR($E80="open",$E79="pre"),N(Settings!$C$38),N($AU79))+$BA80))</f>
        <v/>
      </c>
      <c r="AV80">
        <f>IF(OR(Settings!$A$39="",$E80="pre"),"",IF(AND('Month-End'!$BY$41&lt;&gt;"",NOT(_xlfn.ISFORMULA('Month-End'!$BY$41))),N('Month-End'!$BY$41),IF(OR($E80="open",$E79="pre"),N(Settings!$C$39),N($AV79))+$BB80))</f>
        <v/>
      </c>
      <c r="AW80">
        <f>IF(OR(Settings!$A$40="",$E80="pre"),"",IF(AND('Month-End'!$BY$42&lt;&gt;"",NOT(_xlfn.ISFORMULA('Month-End'!$BY$42))),N('Month-End'!$BY$42),IF(OR($E80="open",$E79="pre"),N(Settings!$C$40),N($AW79))+$BC80))</f>
        <v/>
      </c>
      <c r="AX80">
        <f>IF(OR(Settings!$A$41="",$E80="pre"),"",IF(AND('Month-End'!$BY$43&lt;&gt;"",NOT(_xlfn.ISFORMULA('Month-End'!$BY$43))),N('Month-End'!$BY$43),IF(OR($E80="open",$E79="pre"),N(Settings!$C$41),N($AX79))+$BD80))</f>
        <v/>
      </c>
      <c r="AY80">
        <f>IF($E80="pre",0,N('Month-End'!$BY$45))</f>
        <v/>
      </c>
      <c r="AZ80">
        <f>IF($E80="pre",0,N('Month-End'!$BY$46))</f>
        <v/>
      </c>
      <c r="BA80">
        <f>IF($E80="pre",0,N('Month-End'!$BY$47))</f>
        <v/>
      </c>
      <c r="BB80">
        <f>IF($E80="pre",0,N('Month-End'!$BY$48))</f>
        <v/>
      </c>
      <c r="BC80">
        <f>IF($E80="pre",0,N('Month-End'!$BY$49))</f>
        <v/>
      </c>
      <c r="BD80">
        <f>IF($E80="pre",0,N('Month-End'!$BY$50))</f>
        <v/>
      </c>
      <c r="BE80">
        <f>IF(OR(Settings!$C$45="",Settings!$D$45=""),0,Settings!$C$45*IF(Settings!$D$45="Weekly",IF(IFERROR(MATCH(Settings!$E$45,$EO$4:$EO$10,0),0)=0,0,IF(MIN($C80,IF(Settings!$G$45="",$C80,Settings!$G$45))&lt;MAX($A80,Settings!$F$45),0,INT((MIN($C80,IF(Settings!$G$45="",$C80,Settings!$G$45))-MAX($A80,Settings!$F$45)-MOD(IFERROR(MATCH(Settings!$E$45,$EO$4:$EO$10,0),0)-WEEKDAY(MAX($A80,Settings!$F$45)),7))/7)+1)),IF(AND(IF(Settings!$E$45="",$B80,DATE(YEAR($A80),MONTH($A80),MIN(Settings!$E$45,DAY($B80))))&gt;=MAX($A80,Settings!$F$45),IF(Settings!$E$45="",$B80,DATE(YEAR($A80),MONTH($A80),MIN(Settings!$E$45,DAY($B80))))&lt;=MIN($C80,IF(Settings!$G$45="",$C80,Settings!$G$45))),1,0)))</f>
        <v/>
      </c>
      <c r="BF80">
        <f>IF(OR(Settings!$C$46="",Settings!$D$46=""),0,Settings!$C$46*IF(Settings!$D$46="Weekly",IF(IFERROR(MATCH(Settings!$E$46,$EO$4:$EO$10,0),0)=0,0,IF(MIN($C80,IF(Settings!$G$46="",$C80,Settings!$G$46))&lt;MAX($A80,Settings!$F$46),0,INT((MIN($C80,IF(Settings!$G$46="",$C80,Settings!$G$46))-MAX($A80,Settings!$F$46)-MOD(IFERROR(MATCH(Settings!$E$46,$EO$4:$EO$10,0),0)-WEEKDAY(MAX($A80,Settings!$F$46)),7))/7)+1)),IF(AND(IF(Settings!$E$46="",$B80,DATE(YEAR($A80),MONTH($A80),MIN(Settings!$E$46,DAY($B80))))&gt;=MAX($A80,Settings!$F$46),IF(Settings!$E$46="",$B80,DATE(YEAR($A80),MONTH($A80),MIN(Settings!$E$46,DAY($B80))))&lt;=MIN($C80,IF(Settings!$G$46="",$C80,Settings!$G$46))),1,0)))</f>
        <v/>
      </c>
      <c r="BG80">
        <f>IF(OR(Settings!$C$47="",Settings!$D$47=""),0,Settings!$C$47*IF(Settings!$D$47="Weekly",IF(IFERROR(MATCH(Settings!$E$47,$EO$4:$EO$10,0),0)=0,0,IF(MIN($C80,IF(Settings!$G$47="",$C80,Settings!$G$47))&lt;MAX($A80,Settings!$F$47),0,INT((MIN($C80,IF(Settings!$G$47="",$C80,Settings!$G$47))-MAX($A80,Settings!$F$47)-MOD(IFERROR(MATCH(Settings!$E$47,$EO$4:$EO$10,0),0)-WEEKDAY(MAX($A80,Settings!$F$47)),7))/7)+1)),IF(AND(IF(Settings!$E$47="",$B80,DATE(YEAR($A80),MONTH($A80),MIN(Settings!$E$47,DAY($B80))))&gt;=MAX($A80,Settings!$F$47),IF(Settings!$E$47="",$B80,DATE(YEAR($A80),MONTH($A80),MIN(Settings!$E$47,DAY($B80))))&lt;=MIN($C80,IF(Settings!$G$47="",$C80,Settings!$G$47))),1,0)))</f>
        <v/>
      </c>
      <c r="BH80">
        <f>IF(OR(Settings!$C$48="",Settings!$D$48=""),0,Settings!$C$48*IF(Settings!$D$48="Weekly",IF(IFERROR(MATCH(Settings!$E$48,$EO$4:$EO$10,0),0)=0,0,IF(MIN($C80,IF(Settings!$G$48="",$C80,Settings!$G$48))&lt;MAX($A80,Settings!$F$48),0,INT((MIN($C80,IF(Settings!$G$48="",$C80,Settings!$G$48))-MAX($A80,Settings!$F$48)-MOD(IFERROR(MATCH(Settings!$E$48,$EO$4:$EO$10,0),0)-WEEKDAY(MAX($A80,Settings!$F$48)),7))/7)+1)),IF(AND(IF(Settings!$E$48="",$B80,DATE(YEAR($A80),MONTH($A80),MIN(Settings!$E$48,DAY($B80))))&gt;=MAX($A80,Settings!$F$48),IF(Settings!$E$48="",$B80,DATE(YEAR($A80),MONTH($A80),MIN(Settings!$E$48,DAY($B80))))&lt;=MIN($C80,IF(Settings!$G$48="",$C80,Settings!$G$48))),1,0)))</f>
        <v/>
      </c>
      <c r="BI80">
        <f>IF(OR(Settings!$C$49="",Settings!$D$49=""),0,Settings!$C$49*IF(Settings!$D$49="Weekly",IF(IFERROR(MATCH(Settings!$E$49,$EO$4:$EO$10,0),0)=0,0,IF(MIN($C80,IF(Settings!$G$49="",$C80,Settings!$G$49))&lt;MAX($A80,Settings!$F$49),0,INT((MIN($C80,IF(Settings!$G$49="",$C80,Settings!$G$49))-MAX($A80,Settings!$F$49)-MOD(IFERROR(MATCH(Settings!$E$49,$EO$4:$EO$10,0),0)-WEEKDAY(MAX($A80,Settings!$F$49)),7))/7)+1)),IF(AND(IF(Settings!$E$49="",$B80,DATE(YEAR($A80),MONTH($A80),MIN(Settings!$E$49,DAY($B80))))&gt;=MAX($A80,Settings!$F$49),IF(Settings!$E$49="",$B80,DATE(YEAR($A80),MONTH($A80),MIN(Settings!$E$49,DAY($B80))))&lt;=MIN($C80,IF(Settings!$G$49="",$C80,Settings!$G$49))),1,0)))</f>
        <v/>
      </c>
      <c r="BJ80">
        <f>IF(OR(Settings!$C$50="",Settings!$D$50=""),0,Settings!$C$50*IF(Settings!$D$50="Weekly",IF(IFERROR(MATCH(Settings!$E$50,$EO$4:$EO$10,0),0)=0,0,IF(MIN($C80,IF(Settings!$G$50="",$C80,Settings!$G$50))&lt;MAX($A80,Settings!$F$50),0,INT((MIN($C80,IF(Settings!$G$50="",$C80,Settings!$G$50))-MAX($A80,Settings!$F$50)-MOD(IFERROR(MATCH(Settings!$E$50,$EO$4:$EO$10,0),0)-WEEKDAY(MAX($A80,Settings!$F$50)),7))/7)+1)),IF(AND(IF(Settings!$E$50="",$B80,DATE(YEAR($A80),MONTH($A80),MIN(Settings!$E$50,DAY($B80))))&gt;=MAX($A80,Settings!$F$50),IF(Settings!$E$50="",$B80,DATE(YEAR($A80),MONTH($A80),MIN(Settings!$E$50,DAY($B80))))&lt;=MIN($C80,IF(Settings!$G$50="",$C80,Settings!$G$50))),1,0)))</f>
        <v/>
      </c>
      <c r="BK80">
        <f>IF(OR(Settings!$C$51="",Settings!$D$51=""),0,Settings!$C$51*IF(Settings!$D$51="Weekly",IF(IFERROR(MATCH(Settings!$E$51,$EO$4:$EO$10,0),0)=0,0,IF(MIN($C80,IF(Settings!$G$51="",$C80,Settings!$G$51))&lt;MAX($A80,Settings!$F$51),0,INT((MIN($C80,IF(Settings!$G$51="",$C80,Settings!$G$51))-MAX($A80,Settings!$F$51)-MOD(IFERROR(MATCH(Settings!$E$51,$EO$4:$EO$10,0),0)-WEEKDAY(MAX($A80,Settings!$F$51)),7))/7)+1)),IF(AND(IF(Settings!$E$51="",$B80,DATE(YEAR($A80),MONTH($A80),MIN(Settings!$E$51,DAY($B80))))&gt;=MAX($A80,Settings!$F$51),IF(Settings!$E$51="",$B80,DATE(YEAR($A80),MONTH($A80),MIN(Settings!$E$51,DAY($B80))))&lt;=MIN($C80,IF(Settings!$G$51="",$C80,Settings!$G$51))),1,0)))</f>
        <v/>
      </c>
      <c r="BL80">
        <f>IF(OR(Settings!$C$52="",Settings!$D$52=""),0,Settings!$C$52*IF(Settings!$D$52="Weekly",IF(IFERROR(MATCH(Settings!$E$52,$EO$4:$EO$10,0),0)=0,0,IF(MIN($C80,IF(Settings!$G$52="",$C80,Settings!$G$52))&lt;MAX($A80,Settings!$F$52),0,INT((MIN($C80,IF(Settings!$G$52="",$C80,Settings!$G$52))-MAX($A80,Settings!$F$52)-MOD(IFERROR(MATCH(Settings!$E$52,$EO$4:$EO$10,0),0)-WEEKDAY(MAX($A80,Settings!$F$52)),7))/7)+1)),IF(AND(IF(Settings!$E$52="",$B80,DATE(YEAR($A80),MONTH($A80),MIN(Settings!$E$52,DAY($B80))))&gt;=MAX($A80,Settings!$F$52),IF(Settings!$E$52="",$B80,DATE(YEAR($A80),MONTH($A80),MIN(Settings!$E$52,DAY($B80))))&lt;=MIN($C80,IF(Settings!$G$52="",$C80,Settings!$G$52))),1,0)))</f>
        <v/>
      </c>
      <c r="BM80">
        <f>IF(OR(Settings!$C$53="",Settings!$D$53=""),0,Settings!$C$53*IF(Settings!$D$53="Weekly",IF(IFERROR(MATCH(Settings!$E$53,$EO$4:$EO$10,0),0)=0,0,IF(MIN($C80,IF(Settings!$G$53="",$C80,Settings!$G$53))&lt;MAX($A80,Settings!$F$53),0,INT((MIN($C80,IF(Settings!$G$53="",$C80,Settings!$G$53))-MAX($A80,Settings!$F$53)-MOD(IFERROR(MATCH(Settings!$E$53,$EO$4:$EO$10,0),0)-WEEKDAY(MAX($A80,Settings!$F$53)),7))/7)+1)),IF(AND(IF(Settings!$E$53="",$B80,DATE(YEAR($A80),MONTH($A80),MIN(Settings!$E$53,DAY($B80))))&gt;=MAX($A80,Settings!$F$53),IF(Settings!$E$53="",$B80,DATE(YEAR($A80),MONTH($A80),MIN(Settings!$E$53,DAY($B80))))&lt;=MIN($C80,IF(Settings!$G$53="",$C80,Settings!$G$53))),1,0)))</f>
        <v/>
      </c>
      <c r="BN80">
        <f>IF(OR(Settings!$C$54="",Settings!$D$54=""),0,Settings!$C$54*IF(Settings!$D$54="Weekly",IF(IFERROR(MATCH(Settings!$E$54,$EO$4:$EO$10,0),0)=0,0,IF(MIN($C80,IF(Settings!$G$54="",$C80,Settings!$G$54))&lt;MAX($A80,Settings!$F$54),0,INT((MIN($C80,IF(Settings!$G$54="",$C80,Settings!$G$54))-MAX($A80,Settings!$F$54)-MOD(IFERROR(MATCH(Settings!$E$54,$EO$4:$EO$10,0),0)-WEEKDAY(MAX($A80,Settings!$F$54)),7))/7)+1)),IF(AND(IF(Settings!$E$54="",$B80,DATE(YEAR($A80),MONTH($A80),MIN(Settings!$E$54,DAY($B80))))&gt;=MAX($A80,Settings!$F$54),IF(Settings!$E$54="",$B80,DATE(YEAR($A80),MONTH($A80),MIN(Settings!$E$54,DAY($B80))))&lt;=MIN($C80,IF(Settings!$G$54="",$C80,Settings!$G$54))),1,0)))</f>
        <v/>
      </c>
      <c r="BO80">
        <f>IF(OR(Settings!$C$55="",Settings!$D$55=""),0,Settings!$C$55*IF(Settings!$D$55="Weekly",IF(IFERROR(MATCH(Settings!$E$55,$EO$4:$EO$10,0),0)=0,0,IF(MIN($C80,IF(Settings!$G$55="",$C80,Settings!$G$55))&lt;MAX($A80,Settings!$F$55),0,INT((MIN($C80,IF(Settings!$G$55="",$C80,Settings!$G$55))-MAX($A80,Settings!$F$55)-MOD(IFERROR(MATCH(Settings!$E$55,$EO$4:$EO$10,0),0)-WEEKDAY(MAX($A80,Settings!$F$55)),7))/7)+1)),IF(AND(IF(Settings!$E$55="",$B80,DATE(YEAR($A80),MONTH($A80),MIN(Settings!$E$55,DAY($B80))))&gt;=MAX($A80,Settings!$F$55),IF(Settings!$E$55="",$B80,DATE(YEAR($A80),MONTH($A80),MIN(Settings!$E$55,DAY($B80))))&lt;=MIN($C80,IF(Settings!$G$55="",$C80,Settings!$G$55))),1,0)))</f>
        <v/>
      </c>
      <c r="BP80">
        <f>IF(OR(Settings!$C$56="",Settings!$D$56=""),0,Settings!$C$56*IF(Settings!$D$56="Weekly",IF(IFERROR(MATCH(Settings!$E$56,$EO$4:$EO$10,0),0)=0,0,IF(MIN($C80,IF(Settings!$G$56="",$C80,Settings!$G$56))&lt;MAX($A80,Settings!$F$56),0,INT((MIN($C80,IF(Settings!$G$56="",$C80,Settings!$G$56))-MAX($A80,Settings!$F$56)-MOD(IFERROR(MATCH(Settings!$E$56,$EO$4:$EO$10,0),0)-WEEKDAY(MAX($A80,Settings!$F$56)),7))/7)+1)),IF(AND(IF(Settings!$E$56="",$B80,DATE(YEAR($A80),MONTH($A80),MIN(Settings!$E$56,DAY($B80))))&gt;=MAX($A80,Settings!$F$56),IF(Settings!$E$56="",$B80,DATE(YEAR($A80),MONTH($A80),MIN(Settings!$E$56,DAY($B80))))&lt;=MIN($C80,IF(Settings!$G$56="",$C80,Settings!$G$56))),1,0)))</f>
        <v/>
      </c>
      <c r="BQ80">
        <f>IF(OR(Settings!$B$14="",$D80=1,$E80="pre",$A80&lt;IF(Settings!$B$15="",0,Settings!$B$15)),0,Settings!$B$14)</f>
        <v/>
      </c>
      <c r="BR80">
        <f>IF(AND('Month-End'!$BY$7&lt;&gt;"",NOT(_xlfn.ISFORMULA('Month-End'!$BY$7))),1,0)</f>
        <v/>
      </c>
      <c r="BS80">
        <f>IF(AND('Month-End'!$BY$8&lt;&gt;"",NOT(_xlfn.ISFORMULA('Month-End'!$BY$8))),1,0)</f>
        <v/>
      </c>
      <c r="BT80">
        <f>IF(AND('Month-End'!$BY$9&lt;&gt;"",NOT(_xlfn.ISFORMULA('Month-End'!$BY$9))),1,0)</f>
        <v/>
      </c>
      <c r="BU80">
        <f>IF(AND('Month-End'!$BY$10&lt;&gt;"",NOT(_xlfn.ISFORMULA('Month-End'!$BY$10))),1,0)</f>
        <v/>
      </c>
      <c r="BV80">
        <f>IF(AND('Month-End'!$BY$11&lt;&gt;"",NOT(_xlfn.ISFORMULA('Month-End'!$BY$11))),1,0)</f>
        <v/>
      </c>
      <c r="BW80">
        <f>IF(AND('Month-End'!$BY$12&lt;&gt;"",NOT(_xlfn.ISFORMULA('Month-End'!$BY$12))),1,0)</f>
        <v/>
      </c>
      <c r="BX80">
        <f>IF(AND('Month-End'!$BY$13&lt;&gt;"",NOT(_xlfn.ISFORMULA('Month-End'!$BY$13))),1,0)</f>
        <v/>
      </c>
      <c r="BY80">
        <f>IF(AND('Month-End'!$BY$14&lt;&gt;"",NOT(_xlfn.ISFORMULA('Month-End'!$BY$14))),1,0)</f>
        <v/>
      </c>
      <c r="BZ80">
        <f>IF(AND('Month-End'!$BY$15&lt;&gt;"",NOT(_xlfn.ISFORMULA('Month-End'!$BY$15))),1,0)</f>
        <v/>
      </c>
      <c r="CA80">
        <f>IF(AND('Month-End'!$BY$16&lt;&gt;"",NOT(_xlfn.ISFORMULA('Month-End'!$BY$16))),1,0)</f>
        <v/>
      </c>
      <c r="CB80">
        <f>IF(AND('Month-End'!$BY$17&lt;&gt;"",NOT(_xlfn.ISFORMULA('Month-End'!$BY$17))),1,0)</f>
        <v/>
      </c>
      <c r="CC80">
        <f>IF(AND('Month-End'!$BY$18&lt;&gt;"",NOT(_xlfn.ISFORMULA('Month-End'!$BY$18))),1,0)</f>
        <v/>
      </c>
      <c r="CD80">
        <f>IF(AND('Month-End'!$BY$19&lt;&gt;"",NOT(_xlfn.ISFORMULA('Month-End'!$BY$19))),1,0)</f>
        <v/>
      </c>
      <c r="CE80">
        <f>IF(AND('Month-End'!$BY$20&lt;&gt;"",NOT(_xlfn.ISFORMULA('Month-End'!$BY$20))),1,0)</f>
        <v/>
      </c>
      <c r="CF80">
        <f>IF(AND('Month-End'!$BY$38&lt;&gt;"",NOT(_xlfn.ISFORMULA('Month-End'!$BY$38))),1,0)</f>
        <v/>
      </c>
      <c r="CG80">
        <f>IF(AND('Month-End'!$BY$39&lt;&gt;"",NOT(_xlfn.ISFORMULA('Month-End'!$BY$39))),1,0)</f>
        <v/>
      </c>
      <c r="CH80">
        <f>IF(AND('Month-End'!$BY$40&lt;&gt;"",NOT(_xlfn.ISFORMULA('Month-End'!$BY$40))),1,0)</f>
        <v/>
      </c>
      <c r="CI80">
        <f>IF(AND('Month-End'!$BY$41&lt;&gt;"",NOT(_xlfn.ISFORMULA('Month-End'!$BY$41))),1,0)</f>
        <v/>
      </c>
      <c r="CJ80">
        <f>IF(AND('Month-End'!$BY$42&lt;&gt;"",NOT(_xlfn.ISFORMULA('Month-End'!$BY$42))),1,0)</f>
        <v/>
      </c>
      <c r="CK80">
        <f>IF(AND('Month-End'!$BY$43&lt;&gt;"",NOT(_xlfn.ISFORMULA('Month-End'!$BY$43))),1,0)</f>
        <v/>
      </c>
      <c r="CL80">
        <f>SUM($CM80:$CZ80)</f>
        <v/>
      </c>
      <c r="CM80">
        <f>IF(AND($E80&lt;&gt;"pre",AND(Settings!$A$19&lt;&gt;"",Settings!$E$19&lt;&gt;"No"),Settings!$F$19="Yes",NOT(AND('Month-End'!$BY$7&lt;&gt;"",NOT(_xlfn.ISFORMULA('Month-End'!$BY$7))))),1,0)</f>
        <v/>
      </c>
      <c r="CN80">
        <f>IF(AND($E80&lt;&gt;"pre",AND(Settings!$A$20&lt;&gt;"",Settings!$E$20&lt;&gt;"No"),Settings!$F$20="Yes",NOT(AND('Month-End'!$BY$8&lt;&gt;"",NOT(_xlfn.ISFORMULA('Month-End'!$BY$8))))),1,0)</f>
        <v/>
      </c>
      <c r="CO80">
        <f>IF(AND($E80&lt;&gt;"pre",AND(Settings!$A$21&lt;&gt;"",Settings!$E$21&lt;&gt;"No"),Settings!$F$21="Yes",NOT(AND('Month-End'!$BY$9&lt;&gt;"",NOT(_xlfn.ISFORMULA('Month-End'!$BY$9))))),1,0)</f>
        <v/>
      </c>
      <c r="CP80">
        <f>IF(AND($E80&lt;&gt;"pre",AND(Settings!$A$22&lt;&gt;"",Settings!$E$22&lt;&gt;"No"),Settings!$F$22="Yes",NOT(AND('Month-End'!$BY$10&lt;&gt;"",NOT(_xlfn.ISFORMULA('Month-End'!$BY$10))))),1,0)</f>
        <v/>
      </c>
      <c r="CQ80">
        <f>IF(AND($E80&lt;&gt;"pre",AND(Settings!$A$23&lt;&gt;"",Settings!$E$23&lt;&gt;"No"),Settings!$F$23="Yes",NOT(AND('Month-End'!$BY$11&lt;&gt;"",NOT(_xlfn.ISFORMULA('Month-End'!$BY$11))))),1,0)</f>
        <v/>
      </c>
      <c r="CR80">
        <f>IF(AND($E80&lt;&gt;"pre",AND(Settings!$A$24&lt;&gt;"",Settings!$E$24&lt;&gt;"No"),Settings!$F$24="Yes",NOT(AND('Month-End'!$BY$12&lt;&gt;"",NOT(_xlfn.ISFORMULA('Month-End'!$BY$12))))),1,0)</f>
        <v/>
      </c>
      <c r="CS80">
        <f>IF(AND($E80&lt;&gt;"pre",AND(Settings!$A$25&lt;&gt;"",Settings!$E$25&lt;&gt;"No"),Settings!$F$25="Yes",NOT(AND('Month-End'!$BY$13&lt;&gt;"",NOT(_xlfn.ISFORMULA('Month-End'!$BY$13))))),1,0)</f>
        <v/>
      </c>
      <c r="CT80">
        <f>IF(AND($E80&lt;&gt;"pre",AND(Settings!$A$26&lt;&gt;"",Settings!$E$26&lt;&gt;"No"),Settings!$F$26="Yes",NOT(AND('Month-End'!$BY$14&lt;&gt;"",NOT(_xlfn.ISFORMULA('Month-End'!$BY$14))))),1,0)</f>
        <v/>
      </c>
      <c r="CU80">
        <f>IF(AND($E80&lt;&gt;"pre",AND(Settings!$A$27&lt;&gt;"",Settings!$E$27&lt;&gt;"No"),Settings!$F$27="Yes",NOT(AND('Month-End'!$BY$15&lt;&gt;"",NOT(_xlfn.ISFORMULA('Month-End'!$BY$15))))),1,0)</f>
        <v/>
      </c>
      <c r="CV80">
        <f>IF(AND($E80&lt;&gt;"pre",AND(Settings!$A$28&lt;&gt;"",Settings!$E$28&lt;&gt;"No"),Settings!$F$28="Yes",NOT(AND('Month-End'!$BY$16&lt;&gt;"",NOT(_xlfn.ISFORMULA('Month-End'!$BY$16))))),1,0)</f>
        <v/>
      </c>
      <c r="CW80">
        <f>IF(AND($E80&lt;&gt;"pre",AND(Settings!$A$29&lt;&gt;"",Settings!$E$29&lt;&gt;"No"),Settings!$F$29="Yes",NOT(AND('Month-End'!$BY$17&lt;&gt;"",NOT(_xlfn.ISFORMULA('Month-End'!$BY$17))))),1,0)</f>
        <v/>
      </c>
      <c r="CX80">
        <f>IF(AND($E80&lt;&gt;"pre",AND(Settings!$A$30&lt;&gt;"",Settings!$E$30&lt;&gt;"No"),Settings!$F$30="Yes",NOT(AND('Month-End'!$BY$18&lt;&gt;"",NOT(_xlfn.ISFORMULA('Month-End'!$BY$18))))),1,0)</f>
        <v/>
      </c>
      <c r="CY80">
        <f>IF(AND($E80&lt;&gt;"pre",AND(Settings!$A$31&lt;&gt;"",Settings!$E$31&lt;&gt;"No"),Settings!$F$31="Yes",NOT(AND('Month-End'!$BY$19&lt;&gt;"",NOT(_xlfn.ISFORMULA('Month-End'!$BY$19))))),1,0)</f>
        <v/>
      </c>
      <c r="CZ80">
        <f>IF(AND($E80&lt;&gt;"pre",AND(Settings!$A$32&lt;&gt;"",Settings!$E$32&lt;&gt;"No"),Settings!$F$32="Yes",NOT(AND('Month-End'!$BY$20&lt;&gt;"",NOT(_xlfn.ISFORMULA('Month-End'!$BY$20))))),1,0)</f>
        <v/>
      </c>
      <c r="DA80">
        <f>IF($DT80=1,IF(OR(Settings!$B$19="Checking",Settings!$B$19="Savings",Settings!$B$19="Cash"),N($AE80),IF(OR(Settings!$B$19="Card",Settings!$B$19="Loan"),-N($AE80),0))+IF(OR(Settings!$B$20="Checking",Settings!$B$20="Savings",Settings!$B$20="Cash"),N($AF80),IF(OR(Settings!$B$20="Card",Settings!$B$20="Loan"),-N($AF80),0))+IF(OR(Settings!$B$21="Checking",Settings!$B$21="Savings",Settings!$B$21="Cash"),N($AG80),IF(OR(Settings!$B$21="Card",Settings!$B$21="Loan"),-N($AG80),0))+IF(OR(Settings!$B$22="Checking",Settings!$B$22="Savings",Settings!$B$22="Cash"),N($AH80),IF(OR(Settings!$B$22="Card",Settings!$B$22="Loan"),-N($AH80),0))+IF(OR(Settings!$B$23="Checking",Settings!$B$23="Savings",Settings!$B$23="Cash"),N($AI80),IF(OR(Settings!$B$23="Card",Settings!$B$23="Loan"),-N($AI80),0))+IF(OR(Settings!$B$24="Checking",Settings!$B$24="Savings",Settings!$B$24="Cash"),N($AJ80),IF(OR(Settings!$B$24="Card",Settings!$B$24="Loan"),-N($AJ80),0))+IF(OR(Settings!$B$25="Checking",Settings!$B$25="Savings",Settings!$B$25="Cash"),N($AK80),IF(OR(Settings!$B$25="Card",Settings!$B$25="Loan"),-N($AK80),0))+IF(OR(Settings!$B$26="Checking",Settings!$B$26="Savings",Settings!$B$26="Cash"),N($AL80),IF(OR(Settings!$B$26="Card",Settings!$B$26="Loan"),-N($AL80),0))+IF(OR(Settings!$B$27="Checking",Settings!$B$27="Savings",Settings!$B$27="Cash"),N($AM80),IF(OR(Settings!$B$27="Card",Settings!$B$27="Loan"),-N($AM80),0))+IF(OR(Settings!$B$28="Checking",Settings!$B$28="Savings",Settings!$B$28="Cash"),N($AN80),IF(OR(Settings!$B$28="Card",Settings!$B$28="Loan"),-N($AN80),0))+IF(OR(Settings!$B$29="Checking",Settings!$B$29="Savings",Settings!$B$29="Cash"),N($AO80),IF(OR(Settings!$B$29="Card",Settings!$B$29="Loan"),-N($AO80),0))+IF(OR(Settings!$B$30="Checking",Settings!$B$30="Savings",Settings!$B$30="Cash"),N($AP80),IF(OR(Settings!$B$30="Card",Settings!$B$30="Loan"),-N($AP80),0))+IF(OR(Settings!$B$31="Checking",Settings!$B$31="Savings",Settings!$B$31="Cash"),N($AQ80),IF(OR(Settings!$B$31="Card",Settings!$B$31="Loan"),-N($AQ80),0))+IF(OR(Settings!$B$32="Checking",Settings!$B$32="Savings",Settings!$B$32="Cash"),N($AR80),IF(OR(Settings!$B$32="Card",Settings!$B$32="Loan"),-N($AR80),0)),"")</f>
        <v/>
      </c>
      <c r="DB80">
        <f>IF($E80="open",$EB$27,IF($E80="post",IF($E79="pre",$EB$27,$DA79),""))</f>
        <v/>
      </c>
      <c r="DC80">
        <f>IF($E80="open",1,IF($E80="post",IF($E79="pre",1,$DT79),0))</f>
        <v/>
      </c>
      <c r="DD80">
        <f>IF(AND($DT80=1,$DC80=1),ROUND($W80-($DA80-$DB80)-$AD80-$AB80,2),"")</f>
        <v/>
      </c>
      <c r="DE80">
        <f>IF('Month-End'!$BY$35="",$BQ80,N('Month-End'!$BY$35))</f>
        <v/>
      </c>
      <c r="DF80">
        <f>N('Month-End'!$BY$36)</f>
        <v/>
      </c>
      <c r="DG80">
        <f>IF($DD80="","",$DD80+$DE80)</f>
        <v/>
      </c>
      <c r="DH80">
        <f>IF($DG80="","",$DG80-$DF80)</f>
        <v/>
      </c>
      <c r="DI80">
        <f>IF(OR($E80="pre",$D80=1),"",N($AS80)+N($AT80)+N($AU80)+N($AV80)+N($AW80)+N($AX80))</f>
        <v/>
      </c>
      <c r="DJ80">
        <f>IF($DT80=1,$DA80+N($DI80),"")</f>
        <v/>
      </c>
      <c r="DK80">
        <f>IF($DD80="","",$W80-$DD80-$AB80)</f>
        <v/>
      </c>
      <c r="DL80">
        <f>IF(AND($E80="post",$DD80&lt;&gt;"",$B80&lt;TODAY()),1,0)</f>
        <v/>
      </c>
      <c r="DM80">
        <f>IF($DL80=1,COUNTIF($DL80:$DL$183,1),0)</f>
        <v/>
      </c>
      <c r="DN80">
        <f>IF($D80=1,"",IF($E80="pre","History only",IF($DT80=1,IF($DD80="","⚠ Previous month missing",IF($DD80&lt;0,"⚠ Check: spending &lt; 0",IF($E80="open","✓ Done (partial)","✓ Done"))),IF($B80&gt;=TODAY(),"In progress","⚠ Needs balances"))))</f>
        <v/>
      </c>
      <c r="DO80">
        <f>YEAR($A80)</f>
        <v/>
      </c>
      <c r="DP80">
        <f>DATE(YEAR($A80),INT((MONTH($A80)-1)/3)*3+1,1)</f>
        <v/>
      </c>
      <c r="DQ80">
        <f>IF(AND($DT80=1,$DD80&lt;&gt;"",$D80=0),ROW(),0)</f>
        <v/>
      </c>
      <c r="DR80">
        <f>IF(AND($E80&lt;&gt;"pre",$B80&lt;TODAY(),$DT80=0),1,0)</f>
        <v/>
      </c>
      <c r="DS80">
        <f>IF($DJ80="",NA(),$DJ80)</f>
        <v/>
      </c>
      <c r="DT80">
        <f>IF(AND($E80&lt;&gt;"pre",$CL80=0,COUNTIFS(Settings!$F$19:$F$32,"Yes",Settings!$A$19:$A$32,"&lt;&gt;",Settings!$E$19:$E$32,"&lt;&gt;No")&gt;0),1,0)</f>
        <v/>
      </c>
      <c r="DU80">
        <f>IF(AND($B80&lt;TODAY(),$S80&gt;0),1,0)</f>
        <v/>
      </c>
      <c r="DV80">
        <f>IF($DU80=1,COUNTIF($DU80:$DU$183,1),0)</f>
        <v/>
      </c>
      <c r="DW80">
        <f>IF(AND(OR(Settings!$B$19="Card",Settings!$B$19="Loan"),AND('Month-End'!$BY$7&lt;&gt;"",NOT(_xlfn.ISFORMULA('Month-End'!$BY$7)))),IF(N('Month-End'!$BY$7)&lt;0,1,0),0)+IF(AND(OR(Settings!$B$20="Card",Settings!$B$20="Loan"),AND('Month-End'!$BY$8&lt;&gt;"",NOT(_xlfn.ISFORMULA('Month-End'!$BY$8)))),IF(N('Month-End'!$BY$8)&lt;0,1,0),0)+IF(AND(OR(Settings!$B$21="Card",Settings!$B$21="Loan"),AND('Month-End'!$BY$9&lt;&gt;"",NOT(_xlfn.ISFORMULA('Month-End'!$BY$9)))),IF(N('Month-End'!$BY$9)&lt;0,1,0),0)+IF(AND(OR(Settings!$B$22="Card",Settings!$B$22="Loan"),AND('Month-End'!$BY$10&lt;&gt;"",NOT(_xlfn.ISFORMULA('Month-End'!$BY$10)))),IF(N('Month-End'!$BY$10)&lt;0,1,0),0)+IF(AND(OR(Settings!$B$23="Card",Settings!$B$23="Loan"),AND('Month-End'!$BY$11&lt;&gt;"",NOT(_xlfn.ISFORMULA('Month-End'!$BY$11)))),IF(N('Month-End'!$BY$11)&lt;0,1,0),0)+IF(AND(OR(Settings!$B$24="Card",Settings!$B$24="Loan"),AND('Month-End'!$BY$12&lt;&gt;"",NOT(_xlfn.ISFORMULA('Month-End'!$BY$12)))),IF(N('Month-End'!$BY$12)&lt;0,1,0),0)+IF(AND(OR(Settings!$B$25="Card",Settings!$B$25="Loan"),AND('Month-End'!$BY$13&lt;&gt;"",NOT(_xlfn.ISFORMULA('Month-End'!$BY$13)))),IF(N('Month-End'!$BY$13)&lt;0,1,0),0)+IF(AND(OR(Settings!$B$26="Card",Settings!$B$26="Loan"),AND('Month-End'!$BY$14&lt;&gt;"",NOT(_xlfn.ISFORMULA('Month-End'!$BY$14)))),IF(N('Month-End'!$BY$14)&lt;0,1,0),0)+IF(AND(OR(Settings!$B$27="Card",Settings!$B$27="Loan"),AND('Month-End'!$BY$15&lt;&gt;"",NOT(_xlfn.ISFORMULA('Month-End'!$BY$15)))),IF(N('Month-End'!$BY$15)&lt;0,1,0),0)+IF(AND(OR(Settings!$B$28="Card",Settings!$B$28="Loan"),AND('Month-End'!$BY$16&lt;&gt;"",NOT(_xlfn.ISFORMULA('Month-End'!$BY$16)))),IF(N('Month-End'!$BY$16)&lt;0,1,0),0)+IF(AND(OR(Settings!$B$29="Card",Settings!$B$29="Loan"),AND('Month-End'!$BY$17&lt;&gt;"",NOT(_xlfn.ISFORMULA('Month-End'!$BY$17)))),IF(N('Month-End'!$BY$17)&lt;0,1,0),0)+IF(AND(OR(Settings!$B$30="Card",Settings!$B$30="Loan"),AND('Month-End'!$BY$18&lt;&gt;"",NOT(_xlfn.ISFORMULA('Month-End'!$BY$18)))),IF(N('Month-End'!$BY$18)&lt;0,1,0),0)+IF(AND(OR(Settings!$B$31="Card",Settings!$B$31="Loan"),AND('Month-End'!$BY$19&lt;&gt;"",NOT(_xlfn.ISFORMULA('Month-End'!$BY$19)))),IF(N('Month-End'!$BY$19)&lt;0,1,0),0)+IF(AND(OR(Settings!$B$32="Card",Settings!$B$32="Loan"),AND('Month-End'!$BY$20&lt;&gt;"",NOT(_xlfn.ISFORMULA('Month-End'!$BY$20)))),IF(N('Month-End'!$BY$20)&lt;0,1,0),0)</f>
        <v/>
      </c>
      <c r="DX80">
        <f>IF(Settings!$B$36="Retirement",$AY80,0)+IF(Settings!$B$37="Retirement",$AZ80,0)+IF(Settings!$B$38="Retirement",$BA80,0)+IF(Settings!$B$39="Retirement",$BB80,0)+IF(Settings!$B$40="Retirement",$BC80,0)+IF(Settings!$B$41="Retirement",$BD80,0)</f>
        <v/>
      </c>
      <c r="EA80">
        <f>IF(Settings!$A$79="","",Settings!$A$79)</f>
        <v/>
      </c>
      <c r="EB80">
        <f>IF(Settings!$D$79="",0,IF(Settings!$D$79="Specific Account",IFERROR(INDEX($EB$40:$EB$59,MATCH(Settings!$F$79,$EA$40:$EA$59,0)),0),IFERROR(INDEX($EB$6:$EB$26,MATCH(Settings!$D$79,$EA$6:$EA$26,0)),0)))</f>
        <v/>
      </c>
      <c r="EC80">
        <f>IF(Settings!$A$79="","",IF(Settings!$B$79="Tithe Balance",$EB$23,IF(Settings!$E$79="Specific Account",IFERROR(INDEX($EB$40:$EB$59,MATCH(Settings!$F$79,$EA$40:$EA$59,0)),0),IFERROR(INDEX($EB$6:$EB$26,MATCH(Settings!$E$79,$EA$6:$EA$26,0)),0))))</f>
        <v/>
      </c>
      <c r="ED80">
        <f>IF(Settings!$A$79="","",IF(Settings!$B$79="Percentage",EB80*N(Settings!$C$79)/100,IF(Settings!$B$79="Multiple",EB80*N(Settings!$C$79),IF(Settings!$B$79="Tithe Balance",$EB$22,N(Settings!$C$79)))))</f>
        <v/>
      </c>
      <c r="EE80">
        <f>IF(Settings!$A$79="","",IF(Settings!$B$79="Pay Down To",MAX(0,EC80-ED80),MAX(0,ED80-EC80)))</f>
        <v/>
      </c>
      <c r="EF80">
        <f>IF(Settings!$A$79="","",IF(Settings!$B$79="Pay Down To",IF(EC80&lt;=ED80,"Met","Above target"),IF(EC80&gt;=ED80-0.005,"Met","Remaining")))</f>
        <v/>
      </c>
      <c r="EG80">
        <f>IF(Settings!$A$79="","",IF(Settings!$B$79="Pay Down To",IF(EC80&lt;=0,1,MIN(1,ED80/EC80)),IF(ED80&lt;=0,1,EC80/ED80)))</f>
        <v/>
      </c>
      <c r="EH80">
        <f>IF(OR(Settings!$A$79="",EE80&lt;=0),"",IF(Settings!$B$79="Save By Date",IF(Settings!$G$79="","Set a target date","Need "&amp;TEXT(EE80/MAX(1,(YEAR(Settings!$G$79)-YEAR(TODAY()))*12+MONTH(Settings!$G$79)-MONTH(TODAY())+1),"$#,##0")&amp;"/mo to "&amp;TEXT(Settings!$G$79,"mmm yyyy")),IF(Settings!$B$79="Annual Contribution","Need "&amp;TEXT(EE80/MAX(1,12-MONTH(TODAY())+1),"$#,##0")&amp;"/mo rest of year",IF(Settings!$B$79="Tithe Balance","This quarter",""))))</f>
        <v/>
      </c>
      <c r="ET80">
        <f>IF($E80&lt;&gt;"open",0,IF(AND('Month-End'!$BY$22&lt;&gt;"",NOT(_xlfn.ISFORMULA('Month-End'!$BY$22))),0,IF(OR(Settings!$C$45="",Settings!$D$45=""),0,Settings!$C$45*IF(Settings!$D$45="Weekly",IF(IFERROR(MATCH(Settings!$E$45,$EO$4:$EO$10,0),0)=0,0,IF(MIN(Settings!$B$5,IF(Settings!$G$45="",Settings!$B$5,Settings!$G$45))&lt;MAX($A80,Settings!$F$45),0,INT((MIN(Settings!$B$5,IF(Settings!$G$45="",Settings!$B$5,Settings!$G$45))-MAX($A80,Settings!$F$45)-MOD(IFERROR(MATCH(Settings!$E$45,$EO$4:$EO$10,0),0)-WEEKDAY(MAX($A80,Settings!$F$45)),7))/7)+1)),IF(AND(IF(Settings!$E$45="",$B80,DATE(YEAR($A80),MONTH($A80),MIN(Settings!$E$45,DAY($B80))))&gt;=MAX($A80,Settings!$F$45),IF(Settings!$E$45="",$B80,DATE(YEAR($A80),MONTH($A80),MIN(Settings!$E$45,DAY($B80))))&lt;=MIN(Settings!$B$5,IF(Settings!$G$45="",Settings!$B$5,Settings!$G$45))),1,0)))))</f>
        <v/>
      </c>
      <c r="EU80">
        <f>IF($E80&lt;&gt;"open",0,IF(AND('Month-End'!$BY$23&lt;&gt;"",NOT(_xlfn.ISFORMULA('Month-End'!$BY$23))),0,IF(OR(Settings!$C$46="",Settings!$D$46=""),0,Settings!$C$46*IF(Settings!$D$46="Weekly",IF(IFERROR(MATCH(Settings!$E$46,$EO$4:$EO$10,0),0)=0,0,IF(MIN(Settings!$B$5,IF(Settings!$G$46="",Settings!$B$5,Settings!$G$46))&lt;MAX($A80,Settings!$F$46),0,INT((MIN(Settings!$B$5,IF(Settings!$G$46="",Settings!$B$5,Settings!$G$46))-MAX($A80,Settings!$F$46)-MOD(IFERROR(MATCH(Settings!$E$46,$EO$4:$EO$10,0),0)-WEEKDAY(MAX($A80,Settings!$F$46)),7))/7)+1)),IF(AND(IF(Settings!$E$46="",$B80,DATE(YEAR($A80),MONTH($A80),MIN(Settings!$E$46,DAY($B80))))&gt;=MAX($A80,Settings!$F$46),IF(Settings!$E$46="",$B80,DATE(YEAR($A80),MONTH($A80),MIN(Settings!$E$46,DAY($B80))))&lt;=MIN(Settings!$B$5,IF(Settings!$G$46="",Settings!$B$5,Settings!$G$46))),1,0)))))</f>
        <v/>
      </c>
      <c r="EV80">
        <f>IF($E80&lt;&gt;"open",0,IF(AND('Month-End'!$BY$24&lt;&gt;"",NOT(_xlfn.ISFORMULA('Month-End'!$BY$24))),0,IF(OR(Settings!$C$47="",Settings!$D$47=""),0,Settings!$C$47*IF(Settings!$D$47="Weekly",IF(IFERROR(MATCH(Settings!$E$47,$EO$4:$EO$10,0),0)=0,0,IF(MIN(Settings!$B$5,IF(Settings!$G$47="",Settings!$B$5,Settings!$G$47))&lt;MAX($A80,Settings!$F$47),0,INT((MIN(Settings!$B$5,IF(Settings!$G$47="",Settings!$B$5,Settings!$G$47))-MAX($A80,Settings!$F$47)-MOD(IFERROR(MATCH(Settings!$E$47,$EO$4:$EO$10,0),0)-WEEKDAY(MAX($A80,Settings!$F$47)),7))/7)+1)),IF(AND(IF(Settings!$E$47="",$B80,DATE(YEAR($A80),MONTH($A80),MIN(Settings!$E$47,DAY($B80))))&gt;=MAX($A80,Settings!$F$47),IF(Settings!$E$47="",$B80,DATE(YEAR($A80),MONTH($A80),MIN(Settings!$E$47,DAY($B80))))&lt;=MIN(Settings!$B$5,IF(Settings!$G$47="",Settings!$B$5,Settings!$G$47))),1,0)))))</f>
        <v/>
      </c>
      <c r="EW80">
        <f>IF($E80&lt;&gt;"open",0,IF(AND('Month-End'!$BY$25&lt;&gt;"",NOT(_xlfn.ISFORMULA('Month-End'!$BY$25))),0,IF(OR(Settings!$C$48="",Settings!$D$48=""),0,Settings!$C$48*IF(Settings!$D$48="Weekly",IF(IFERROR(MATCH(Settings!$E$48,$EO$4:$EO$10,0),0)=0,0,IF(MIN(Settings!$B$5,IF(Settings!$G$48="",Settings!$B$5,Settings!$G$48))&lt;MAX($A80,Settings!$F$48),0,INT((MIN(Settings!$B$5,IF(Settings!$G$48="",Settings!$B$5,Settings!$G$48))-MAX($A80,Settings!$F$48)-MOD(IFERROR(MATCH(Settings!$E$48,$EO$4:$EO$10,0),0)-WEEKDAY(MAX($A80,Settings!$F$48)),7))/7)+1)),IF(AND(IF(Settings!$E$48="",$B80,DATE(YEAR($A80),MONTH($A80),MIN(Settings!$E$48,DAY($B80))))&gt;=MAX($A80,Settings!$F$48),IF(Settings!$E$48="",$B80,DATE(YEAR($A80),MONTH($A80),MIN(Settings!$E$48,DAY($B80))))&lt;=MIN(Settings!$B$5,IF(Settings!$G$48="",Settings!$B$5,Settings!$G$48))),1,0)))))</f>
        <v/>
      </c>
      <c r="EX80">
        <f>IF($E80&lt;&gt;"open",0,IF(AND('Month-End'!$BY$26&lt;&gt;"",NOT(_xlfn.ISFORMULA('Month-End'!$BY$26))),0,IF(OR(Settings!$C$49="",Settings!$D$49=""),0,Settings!$C$49*IF(Settings!$D$49="Weekly",IF(IFERROR(MATCH(Settings!$E$49,$EO$4:$EO$10,0),0)=0,0,IF(MIN(Settings!$B$5,IF(Settings!$G$49="",Settings!$B$5,Settings!$G$49))&lt;MAX($A80,Settings!$F$49),0,INT((MIN(Settings!$B$5,IF(Settings!$G$49="",Settings!$B$5,Settings!$G$49))-MAX($A80,Settings!$F$49)-MOD(IFERROR(MATCH(Settings!$E$49,$EO$4:$EO$10,0),0)-WEEKDAY(MAX($A80,Settings!$F$49)),7))/7)+1)),IF(AND(IF(Settings!$E$49="",$B80,DATE(YEAR($A80),MONTH($A80),MIN(Settings!$E$49,DAY($B80))))&gt;=MAX($A80,Settings!$F$49),IF(Settings!$E$49="",$B80,DATE(YEAR($A80),MONTH($A80),MIN(Settings!$E$49,DAY($B80))))&lt;=MIN(Settings!$B$5,IF(Settings!$G$49="",Settings!$B$5,Settings!$G$49))),1,0)))))</f>
        <v/>
      </c>
      <c r="EY80">
        <f>IF($E80&lt;&gt;"open",0,IF(AND('Month-End'!$BY$27&lt;&gt;"",NOT(_xlfn.ISFORMULA('Month-End'!$BY$27))),0,IF(OR(Settings!$C$50="",Settings!$D$50=""),0,Settings!$C$50*IF(Settings!$D$50="Weekly",IF(IFERROR(MATCH(Settings!$E$50,$EO$4:$EO$10,0),0)=0,0,IF(MIN(Settings!$B$5,IF(Settings!$G$50="",Settings!$B$5,Settings!$G$50))&lt;MAX($A80,Settings!$F$50),0,INT((MIN(Settings!$B$5,IF(Settings!$G$50="",Settings!$B$5,Settings!$G$50))-MAX($A80,Settings!$F$50)-MOD(IFERROR(MATCH(Settings!$E$50,$EO$4:$EO$10,0),0)-WEEKDAY(MAX($A80,Settings!$F$50)),7))/7)+1)),IF(AND(IF(Settings!$E$50="",$B80,DATE(YEAR($A80),MONTH($A80),MIN(Settings!$E$50,DAY($B80))))&gt;=MAX($A80,Settings!$F$50),IF(Settings!$E$50="",$B80,DATE(YEAR($A80),MONTH($A80),MIN(Settings!$E$50,DAY($B80))))&lt;=MIN(Settings!$B$5,IF(Settings!$G$50="",Settings!$B$5,Settings!$G$50))),1,0)))))</f>
        <v/>
      </c>
      <c r="EZ80">
        <f>IF($E80&lt;&gt;"open",0,IF(AND('Month-End'!$BY$28&lt;&gt;"",NOT(_xlfn.ISFORMULA('Month-End'!$BY$28))),0,IF(OR(Settings!$C$51="",Settings!$D$51=""),0,Settings!$C$51*IF(Settings!$D$51="Weekly",IF(IFERROR(MATCH(Settings!$E$51,$EO$4:$EO$10,0),0)=0,0,IF(MIN(Settings!$B$5,IF(Settings!$G$51="",Settings!$B$5,Settings!$G$51))&lt;MAX($A80,Settings!$F$51),0,INT((MIN(Settings!$B$5,IF(Settings!$G$51="",Settings!$B$5,Settings!$G$51))-MAX($A80,Settings!$F$51)-MOD(IFERROR(MATCH(Settings!$E$51,$EO$4:$EO$10,0),0)-WEEKDAY(MAX($A80,Settings!$F$51)),7))/7)+1)),IF(AND(IF(Settings!$E$51="",$B80,DATE(YEAR($A80),MONTH($A80),MIN(Settings!$E$51,DAY($B80))))&gt;=MAX($A80,Settings!$F$51),IF(Settings!$E$51="",$B80,DATE(YEAR($A80),MONTH($A80),MIN(Settings!$E$51,DAY($B80))))&lt;=MIN(Settings!$B$5,IF(Settings!$G$51="",Settings!$B$5,Settings!$G$51))),1,0)))))</f>
        <v/>
      </c>
      <c r="FA80">
        <f>IF($E80&lt;&gt;"open",0,IF(AND('Month-End'!$BY$29&lt;&gt;"",NOT(_xlfn.ISFORMULA('Month-End'!$BY$29))),0,IF(OR(Settings!$C$52="",Settings!$D$52=""),0,Settings!$C$52*IF(Settings!$D$52="Weekly",IF(IFERROR(MATCH(Settings!$E$52,$EO$4:$EO$10,0),0)=0,0,IF(MIN(Settings!$B$5,IF(Settings!$G$52="",Settings!$B$5,Settings!$G$52))&lt;MAX($A80,Settings!$F$52),0,INT((MIN(Settings!$B$5,IF(Settings!$G$52="",Settings!$B$5,Settings!$G$52))-MAX($A80,Settings!$F$52)-MOD(IFERROR(MATCH(Settings!$E$52,$EO$4:$EO$10,0),0)-WEEKDAY(MAX($A80,Settings!$F$52)),7))/7)+1)),IF(AND(IF(Settings!$E$52="",$B80,DATE(YEAR($A80),MONTH($A80),MIN(Settings!$E$52,DAY($B80))))&gt;=MAX($A80,Settings!$F$52),IF(Settings!$E$52="",$B80,DATE(YEAR($A80),MONTH($A80),MIN(Settings!$E$52,DAY($B80))))&lt;=MIN(Settings!$B$5,IF(Settings!$G$52="",Settings!$B$5,Settings!$G$52))),1,0)))))</f>
        <v/>
      </c>
      <c r="FB80">
        <f>IF($E80&lt;&gt;"open",0,IF(AND('Month-End'!$BY$30&lt;&gt;"",NOT(_xlfn.ISFORMULA('Month-End'!$BY$30))),0,IF(OR(Settings!$C$53="",Settings!$D$53=""),0,Settings!$C$53*IF(Settings!$D$53="Weekly",IF(IFERROR(MATCH(Settings!$E$53,$EO$4:$EO$10,0),0)=0,0,IF(MIN(Settings!$B$5,IF(Settings!$G$53="",Settings!$B$5,Settings!$G$53))&lt;MAX($A80,Settings!$F$53),0,INT((MIN(Settings!$B$5,IF(Settings!$G$53="",Settings!$B$5,Settings!$G$53))-MAX($A80,Settings!$F$53)-MOD(IFERROR(MATCH(Settings!$E$53,$EO$4:$EO$10,0),0)-WEEKDAY(MAX($A80,Settings!$F$53)),7))/7)+1)),IF(AND(IF(Settings!$E$53="",$B80,DATE(YEAR($A80),MONTH($A80),MIN(Settings!$E$53,DAY($B80))))&gt;=MAX($A80,Settings!$F$53),IF(Settings!$E$53="",$B80,DATE(YEAR($A80),MONTH($A80),MIN(Settings!$E$53,DAY($B80))))&lt;=MIN(Settings!$B$5,IF(Settings!$G$53="",Settings!$B$5,Settings!$G$53))),1,0)))))</f>
        <v/>
      </c>
      <c r="FC80">
        <f>IF($E80&lt;&gt;"open",0,IF(AND('Month-End'!$BY$31&lt;&gt;"",NOT(_xlfn.ISFORMULA('Month-End'!$BY$31))),0,IF(OR(Settings!$C$54="",Settings!$D$54=""),0,Settings!$C$54*IF(Settings!$D$54="Weekly",IF(IFERROR(MATCH(Settings!$E$54,$EO$4:$EO$10,0),0)=0,0,IF(MIN(Settings!$B$5,IF(Settings!$G$54="",Settings!$B$5,Settings!$G$54))&lt;MAX($A80,Settings!$F$54),0,INT((MIN(Settings!$B$5,IF(Settings!$G$54="",Settings!$B$5,Settings!$G$54))-MAX($A80,Settings!$F$54)-MOD(IFERROR(MATCH(Settings!$E$54,$EO$4:$EO$10,0),0)-WEEKDAY(MAX($A80,Settings!$F$54)),7))/7)+1)),IF(AND(IF(Settings!$E$54="",$B80,DATE(YEAR($A80),MONTH($A80),MIN(Settings!$E$54,DAY($B80))))&gt;=MAX($A80,Settings!$F$54),IF(Settings!$E$54="",$B80,DATE(YEAR($A80),MONTH($A80),MIN(Settings!$E$54,DAY($B80))))&lt;=MIN(Settings!$B$5,IF(Settings!$G$54="",Settings!$B$5,Settings!$G$54))),1,0)))))</f>
        <v/>
      </c>
      <c r="FD80">
        <f>IF($E80&lt;&gt;"open",0,IF(AND('Month-End'!$BY$32&lt;&gt;"",NOT(_xlfn.ISFORMULA('Month-End'!$BY$32))),0,IF(OR(Settings!$C$55="",Settings!$D$55=""),0,Settings!$C$55*IF(Settings!$D$55="Weekly",IF(IFERROR(MATCH(Settings!$E$55,$EO$4:$EO$10,0),0)=0,0,IF(MIN(Settings!$B$5,IF(Settings!$G$55="",Settings!$B$5,Settings!$G$55))&lt;MAX($A80,Settings!$F$55),0,INT((MIN(Settings!$B$5,IF(Settings!$G$55="",Settings!$B$5,Settings!$G$55))-MAX($A80,Settings!$F$55)-MOD(IFERROR(MATCH(Settings!$E$55,$EO$4:$EO$10,0),0)-WEEKDAY(MAX($A80,Settings!$F$55)),7))/7)+1)),IF(AND(IF(Settings!$E$55="",$B80,DATE(YEAR($A80),MONTH($A80),MIN(Settings!$E$55,DAY($B80))))&gt;=MAX($A80,Settings!$F$55),IF(Settings!$E$55="",$B80,DATE(YEAR($A80),MONTH($A80),MIN(Settings!$E$55,DAY($B80))))&lt;=MIN(Settings!$B$5,IF(Settings!$G$55="",Settings!$B$5,Settings!$G$55))),1,0)))))</f>
        <v/>
      </c>
      <c r="FE80">
        <f>IF($E80&lt;&gt;"open",0,IF(AND('Month-End'!$BY$33&lt;&gt;"",NOT(_xlfn.ISFORMULA('Month-End'!$BY$33))),0,IF(OR(Settings!$C$56="",Settings!$D$56=""),0,Settings!$C$56*IF(Settings!$D$56="Weekly",IF(IFERROR(MATCH(Settings!$E$56,$EO$4:$EO$10,0),0)=0,0,IF(MIN(Settings!$B$5,IF(Settings!$G$56="",Settings!$B$5,Settings!$G$56))&lt;MAX($A80,Settings!$F$56),0,INT((MIN(Settings!$B$5,IF(Settings!$G$56="",Settings!$B$5,Settings!$G$56))-MAX($A80,Settings!$F$56)-MOD(IFERROR(MATCH(Settings!$E$56,$EO$4:$EO$10,0),0)-WEEKDAY(MAX($A80,Settings!$F$56)),7))/7)+1)),IF(AND(IF(Settings!$E$56="",$B80,DATE(YEAR($A80),MONTH($A80),MIN(Settings!$E$56,DAY($B80))))&gt;=MAX($A80,Settings!$F$56),IF(Settings!$E$56="",$B80,DATE(YEAR($A80),MONTH($A80),MIN(Settings!$E$56,DAY($B80))))&lt;=MIN(Settings!$B$5,IF(Settings!$G$56="",Settings!$B$5,Settings!$G$56))),1,0)))))</f>
        <v/>
      </c>
      <c r="FF80">
        <f>IF(Settings!$I$45="Yes",$G80,0)+IF(Settings!$I$46="Yes",$H80,0)+IF(Settings!$I$47="Yes",$I80,0)+IF(Settings!$I$48="Yes",$J80,0)+IF(Settings!$I$49="Yes",$K80,0)+IF(Settings!$I$50="Yes",$L80,0)+IF(Settings!$I$51="Yes",$M80,0)+IF(Settings!$I$52="Yes",$N80,0)+IF(Settings!$I$53="Yes",$O80,0)+IF(Settings!$I$54="Yes",$P80,0)+IF(Settings!$I$55="Yes",$Q80,0)+IF(Settings!$I$56="Yes",$R80,0)</f>
        <v/>
      </c>
      <c r="FG80">
        <f>IF(AND(Settings!$I$45="Yes",Settings!$J$45="No"),$G80,0)+IF(AND(Settings!$I$46="Yes",Settings!$J$46="No"),$H80,0)+IF(AND(Settings!$I$47="Yes",Settings!$J$47="No"),$I80,0)+IF(AND(Settings!$I$48="Yes",Settings!$J$48="No"),$J80,0)+IF(AND(Settings!$I$49="Yes",Settings!$J$49="No"),$K80,0)+IF(AND(Settings!$I$50="Yes",Settings!$J$50="No"),$L80,0)+IF(AND(Settings!$I$51="Yes",Settings!$J$51="No"),$M80,0)+IF(AND(Settings!$I$52="Yes",Settings!$J$52="No"),$N80,0)+IF(AND(Settings!$I$53="Yes",Settings!$J$53="No"),$O80,0)+IF(AND(Settings!$I$54="Yes",Settings!$J$54="No"),$P80,0)+IF(AND(Settings!$I$55="Yes",Settings!$J$55="No"),$Q80,0)+IF(AND(Settings!$I$56="Yes",Settings!$J$56="No"),$R80,0)</f>
        <v/>
      </c>
      <c r="FH80">
        <f>SUMIFS(Giving!$B$7:$B$2006,Giving!$A$7:$A$2006,"&gt;="&amp;$A80,Giving!$A$7:$A$2006,"&lt;="&amp;$B80,Giving!$G$7:$G$2006,"Yes")+IF(OR(OR(Settings!$B$60="",Settings!$F$60="No"),Settings!$H$60&lt;&gt;"Yes"),0,Settings!$B$60*IF(AND(IF(Settings!$C$60="",$B80,DATE(YEAR($A80),MONTH($A80),MIN(Settings!$C$60,DAY($B80))))&gt;=MAX($A80,Settings!$D$60),IF(Settings!$C$60="",$B80,DATE(YEAR($A80),MONTH($A80),MIN(Settings!$C$60,DAY($B80))))&lt;=MIN($C80,IF(Settings!$E$60="",$C80,Settings!$E$60))),1,0))+IF(OR(OR(Settings!$B$61="",Settings!$F$61="No"),Settings!$H$61&lt;&gt;"Yes"),0,Settings!$B$61*IF(AND(IF(Settings!$C$61="",$B80,DATE(YEAR($A80),MONTH($A80),MIN(Settings!$C$61,DAY($B80))))&gt;=MAX($A80,Settings!$D$61),IF(Settings!$C$61="",$B80,DATE(YEAR($A80),MONTH($A80),MIN(Settings!$C$61,DAY($B80))))&lt;=MIN($C80,IF(Settings!$E$61="",$C80,Settings!$E$61))),1,0))+IF(OR(OR(Settings!$B$62="",Settings!$F$62="No"),Settings!$H$62&lt;&gt;"Yes"),0,Settings!$B$62*IF(AND(IF(Settings!$C$62="",$B80,DATE(YEAR($A80),MONTH($A80),MIN(Settings!$C$62,DAY($B80))))&gt;=MAX($A80,Settings!$D$62),IF(Settings!$C$62="",$B80,DATE(YEAR($A80),MONTH($A80),MIN(Settings!$C$62,DAY($B80))))&lt;=MIN($C80,IF(Settings!$E$62="",$C80,Settings!$E$62))),1,0))+IF(OR(OR(Settings!$B$63="",Settings!$F$63="No"),Settings!$H$63&lt;&gt;"Yes"),0,Settings!$B$63*IF(AND(IF(Settings!$C$63="",$B80,DATE(YEAR($A80),MONTH($A80),MIN(Settings!$C$63,DAY($B80))))&gt;=MAX($A80,Settings!$D$63),IF(Settings!$C$63="",$B80,DATE(YEAR($A80),MONTH($A80),MIN(Settings!$C$63,DAY($B80))))&lt;=MIN($C80,IF(Settings!$E$63="",$C80,Settings!$E$63))),1,0))+IF(OR(OR(Settings!$B$64="",Settings!$F$64="No"),Settings!$H$64&lt;&gt;"Yes"),0,Settings!$B$64*IF(AND(IF(Settings!$C$64="",$B80,DATE(YEAR($A80),MONTH($A80),MIN(Settings!$C$64,DAY($B80))))&gt;=MAX($A80,Settings!$D$64),IF(Settings!$C$64="",$B80,DATE(YEAR($A80),MONTH($A80),MIN(Settings!$C$64,DAY($B80))))&lt;=MIN($C80,IF(Settings!$E$64="",$C80,Settings!$E$64))),1,0))+IF(OR(OR(Settings!$B$65="",Settings!$F$65="No"),Settings!$H$65&lt;&gt;"Yes"),0,Settings!$B$65*IF(AND(IF(Settings!$C$65="",$B80,DATE(YEAR($A80),MONTH($A80),MIN(Settings!$C$65,DAY($B80))))&gt;=MAX($A80,Settings!$D$65),IF(Settings!$C$65="",$B80,DATE(YEAR($A80),MONTH($A80),MIN(Settings!$C$65,DAY($B80))))&lt;=MIN($C80,IF(Settings!$E$65="",$C80,Settings!$E$65))),1,0))</f>
        <v/>
      </c>
      <c r="FI80">
        <f>IF($DT80=1,IF(OR(Settings!$B$19="Card",Settings!$B$19="Loan"),N($AE80),0)+IF(OR(Settings!$B$20="Card",Settings!$B$20="Loan"),N($AF80),0)+IF(OR(Settings!$B$21="Card",Settings!$B$21="Loan"),N($AG80),0)+IF(OR(Settings!$B$22="Card",Settings!$B$22="Loan"),N($AH80),0)+IF(OR(Settings!$B$23="Card",Settings!$B$23="Loan"),N($AI80),0)+IF(OR(Settings!$B$24="Card",Settings!$B$24="Loan"),N($AJ80),0)+IF(OR(Settings!$B$25="Card",Settings!$B$25="Loan"),N($AK80),0)+IF(OR(Settings!$B$26="Card",Settings!$B$26="Loan"),N($AL80),0)+IF(OR(Settings!$B$27="Card",Settings!$B$27="Loan"),N($AM80),0)+IF(OR(Settings!$B$28="Card",Settings!$B$28="Loan"),N($AN80),0)+IF(OR(Settings!$B$29="Card",Settings!$B$29="Loan"),N($AO80),0)+IF(OR(Settings!$B$30="Card",Settings!$B$30="Loan"),N($AP80),0)+IF(OR(Settings!$B$31="Card",Settings!$B$31="Loan"),N($AQ80),0)+IF(OR(Settings!$B$32="Card",Settings!$B$32="Loan"),N($AR80),0),"")</f>
        <v/>
      </c>
      <c r="FJ80">
        <f>IF($E80="open",$EB$65,IF($E80="post",IF($E79="pre",$EB$65,$FI79),""))</f>
        <v/>
      </c>
      <c r="FK80">
        <f>IF(AND($DT80=1,$DC80=1),IF(ROUND($FI80-$FJ80,2)&gt;0,1,0),0)</f>
        <v/>
      </c>
      <c r="FL80">
        <f>IF($FK80=1,$FL79+1,0)</f>
        <v/>
      </c>
    </row>
    <row r="81">
      <c r="A81">
        <f>'Month-End'!$BZ$4</f>
        <v/>
      </c>
      <c r="B81">
        <f>EOMONTH($A81,0)</f>
        <v/>
      </c>
      <c r="C81">
        <f>MIN($B81,TODAY())</f>
        <v/>
      </c>
      <c r="D81">
        <f>IF($A81&gt;TODAY(),1,0)</f>
        <v/>
      </c>
      <c r="E81">
        <f>IF($B81&lt;=Settings!$B$5,"pre",IF($A81&lt;=Settings!$B$5,"open","post"))</f>
        <v/>
      </c>
      <c r="G81">
        <f>IF('Month-End'!$BZ$22="",$BE81,N('Month-End'!$BZ$22))</f>
        <v/>
      </c>
      <c r="H81">
        <f>IF('Month-End'!$BZ$23="",$BF81,N('Month-End'!$BZ$23))</f>
        <v/>
      </c>
      <c r="I81">
        <f>IF('Month-End'!$BZ$24="",$BG81,N('Month-End'!$BZ$24))</f>
        <v/>
      </c>
      <c r="J81">
        <f>IF('Month-End'!$BZ$25="",$BH81,N('Month-End'!$BZ$25))</f>
        <v/>
      </c>
      <c r="K81">
        <f>IF('Month-End'!$BZ$26="",$BI81,N('Month-End'!$BZ$26))</f>
        <v/>
      </c>
      <c r="L81">
        <f>IF('Month-End'!$BZ$27="",$BJ81,N('Month-End'!$BZ$27))</f>
        <v/>
      </c>
      <c r="M81">
        <f>IF('Month-End'!$BZ$28="",$BK81,N('Month-End'!$BZ$28))</f>
        <v/>
      </c>
      <c r="N81">
        <f>IF('Month-End'!$BZ$29="",$BL81,N('Month-End'!$BZ$29))</f>
        <v/>
      </c>
      <c r="O81">
        <f>IF('Month-End'!$BZ$30="",$BM81,N('Month-End'!$BZ$30))</f>
        <v/>
      </c>
      <c r="P81">
        <f>IF('Month-End'!$BZ$31="",$BN81,N('Month-End'!$BZ$31))</f>
        <v/>
      </c>
      <c r="Q81">
        <f>IF('Month-End'!$BZ$32="",$BO81,N('Month-End'!$BZ$32))</f>
        <v/>
      </c>
      <c r="R81">
        <f>IF('Month-End'!$BZ$33="",$BP81,N('Month-End'!$BZ$33))</f>
        <v/>
      </c>
      <c r="S81">
        <f>$G81+$H81+$I81+$J81+$K81+$L81+$M81+$N81+$O81+$P81+$Q81+$R81</f>
        <v/>
      </c>
      <c r="T81">
        <f>IF($B81&lt;Settings!$B$6,0,IF(Settings!$B$45="Yes",$G81,0)+IF(Settings!$B$46="Yes",$H81,0)+IF(Settings!$B$47="Yes",$I81,0)+IF(Settings!$B$48="Yes",$J81,0)+IF(Settings!$B$49="Yes",$K81,0)+IF(Settings!$B$50="Yes",$L81,0)+IF(Settings!$B$51="Yes",$M81,0)+IF(Settings!$B$52="Yes",$N81,0)+IF(Settings!$B$53="Yes",$O81,0)+IF(Settings!$B$54="Yes",$P81,0)+IF(Settings!$B$55="Yes",$Q81,0)+IF(Settings!$B$56="Yes",$R81,0))</f>
        <v/>
      </c>
      <c r="U81">
        <f>IF(Settings!$B$45="Not Sure",$G81,0)+IF(Settings!$B$46="Not Sure",$H81,0)+IF(Settings!$B$47="Not Sure",$I81,0)+IF(Settings!$B$48="Not Sure",$J81,0)+IF(Settings!$B$49="Not Sure",$K81,0)+IF(Settings!$B$50="Not Sure",$L81,0)+IF(Settings!$B$51="Not Sure",$M81,0)+IF(Settings!$B$52="Not Sure",$N81,0)+IF(Settings!$B$53="Not Sure",$O81,0)+IF(Settings!$B$54="Not Sure",$P81,0)+IF(Settings!$B$55="Not Sure",$Q81,0)+IF(Settings!$B$56="Not Sure",$R81,0)</f>
        <v/>
      </c>
      <c r="V81">
        <f>IF($E81="open",SUM($ET81:$FE81)+N(Settings!$B$13),0)</f>
        <v/>
      </c>
      <c r="W81">
        <f>IF($E81="post",$S81,IF($E81="open",$S81-$V81,0))</f>
        <v/>
      </c>
      <c r="X81">
        <f>SUMIFS(Giving!$B$7:$B$2006,Giving!$A$7:$A$2006,"&gt;="&amp;$A81,Giving!$A$7:$A$2006,"&lt;="&amp;$B81,Giving!$E$7:$E$2006,"&lt;&gt;No")</f>
        <v/>
      </c>
      <c r="Y81">
        <f>SUMIFS(Giving!$B$7:$B$2006,Giving!$A$7:$A$2006,"&gt;="&amp;$A81,Giving!$A$7:$A$2006,"&lt;="&amp;$B81,Giving!$E$7:$E$2006,"No")</f>
        <v/>
      </c>
      <c r="Z81">
        <f>IF(OR(Settings!$B$60="",Settings!$F$60="No"),0,Settings!$B$60*IF(AND(IF(Settings!$C$60="",$B81,DATE(YEAR($A81),MONTH($A81),MIN(Settings!$C$60,DAY($B81))))&gt;=MAX($A81,Settings!$D$60),IF(Settings!$C$60="",$B81,DATE(YEAR($A81),MONTH($A81),MIN(Settings!$C$60,DAY($B81))))&lt;=MIN($C81,IF(Settings!$E$60="",$C81,Settings!$E$60))),1,0))+IF(OR(Settings!$B$61="",Settings!$F$61="No"),0,Settings!$B$61*IF(AND(IF(Settings!$C$61="",$B81,DATE(YEAR($A81),MONTH($A81),MIN(Settings!$C$61,DAY($B81))))&gt;=MAX($A81,Settings!$D$61),IF(Settings!$C$61="",$B81,DATE(YEAR($A81),MONTH($A81),MIN(Settings!$C$61,DAY($B81))))&lt;=MIN($C81,IF(Settings!$E$61="",$C81,Settings!$E$61))),1,0))+IF(OR(Settings!$B$62="",Settings!$F$62="No"),0,Settings!$B$62*IF(AND(IF(Settings!$C$62="",$B81,DATE(YEAR($A81),MONTH($A81),MIN(Settings!$C$62,DAY($B81))))&gt;=MAX($A81,Settings!$D$62),IF(Settings!$C$62="",$B81,DATE(YEAR($A81),MONTH($A81),MIN(Settings!$C$62,DAY($B81))))&lt;=MIN($C81,IF(Settings!$E$62="",$C81,Settings!$E$62))),1,0))+IF(OR(Settings!$B$63="",Settings!$F$63="No"),0,Settings!$B$63*IF(AND(IF(Settings!$C$63="",$B81,DATE(YEAR($A81),MONTH($A81),MIN(Settings!$C$63,DAY($B81))))&gt;=MAX($A81,Settings!$D$63),IF(Settings!$C$63="",$B81,DATE(YEAR($A81),MONTH($A81),MIN(Settings!$C$63,DAY($B81))))&lt;=MIN($C81,IF(Settings!$E$63="",$C81,Settings!$E$63))),1,0))+IF(OR(Settings!$B$64="",Settings!$F$64="No"),0,Settings!$B$64*IF(AND(IF(Settings!$C$64="",$B81,DATE(YEAR($A81),MONTH($A81),MIN(Settings!$C$64,DAY($B81))))&gt;=MAX($A81,Settings!$D$64),IF(Settings!$C$64="",$B81,DATE(YEAR($A81),MONTH($A81),MIN(Settings!$C$64,DAY($B81))))&lt;=MIN($C81,IF(Settings!$E$64="",$C81,Settings!$E$64))),1,0))+IF(OR(Settings!$B$65="",Settings!$F$65="No"),0,Settings!$B$65*IF(AND(IF(Settings!$C$65="",$B81,DATE(YEAR($A81),MONTH($A81),MIN(Settings!$C$65,DAY($B81))))&gt;=MAX($A81,Settings!$D$65),IF(Settings!$C$65="",$B81,DATE(YEAR($A81),MONTH($A81),MIN(Settings!$C$65,DAY($B81))))&lt;=MIN($C81,IF(Settings!$E$65="",$C81,Settings!$E$65))),1,0))</f>
        <v/>
      </c>
      <c r="AA81">
        <f>$X81+$Z81</f>
        <v/>
      </c>
      <c r="AB81">
        <f>IF($E81="post",$AA81,IF($E81="open",SUMIFS(Giving!$B$7:$B$2006,Giving!$A$7:$A$2006,"&gt;"&amp;Settings!$B$5,Giving!$A$7:$A$2006,"&lt;="&amp;$B81,Giving!$E$7:$E$2006,"&lt;&gt;No")+IF(OR(Settings!$B$60="",Settings!$F$60="No"),0,Settings!$B$60*IF(AND(IF(Settings!$C$60="",$B81,DATE(YEAR($A81),MONTH($A81),MIN(Settings!$C$60,DAY($B81))))&gt;=MAX($A81,Settings!$D$60,Settings!$B$5+1),IF(Settings!$C$60="",$B81,DATE(YEAR($A81),MONTH($A81),MIN(Settings!$C$60,DAY($B81))))&lt;=MIN($C81,IF(Settings!$E$60="",$C81,Settings!$E$60))),1,0))+IF(OR(Settings!$B$61="",Settings!$F$61="No"),0,Settings!$B$61*IF(AND(IF(Settings!$C$61="",$B81,DATE(YEAR($A81),MONTH($A81),MIN(Settings!$C$61,DAY($B81))))&gt;=MAX($A81,Settings!$D$61,Settings!$B$5+1),IF(Settings!$C$61="",$B81,DATE(YEAR($A81),MONTH($A81),MIN(Settings!$C$61,DAY($B81))))&lt;=MIN($C81,IF(Settings!$E$61="",$C81,Settings!$E$61))),1,0))+IF(OR(Settings!$B$62="",Settings!$F$62="No"),0,Settings!$B$62*IF(AND(IF(Settings!$C$62="",$B81,DATE(YEAR($A81),MONTH($A81),MIN(Settings!$C$62,DAY($B81))))&gt;=MAX($A81,Settings!$D$62,Settings!$B$5+1),IF(Settings!$C$62="",$B81,DATE(YEAR($A81),MONTH($A81),MIN(Settings!$C$62,DAY($B81))))&lt;=MIN($C81,IF(Settings!$E$62="",$C81,Settings!$E$62))),1,0))+IF(OR(Settings!$B$63="",Settings!$F$63="No"),0,Settings!$B$63*IF(AND(IF(Settings!$C$63="",$B81,DATE(YEAR($A81),MONTH($A81),MIN(Settings!$C$63,DAY($B81))))&gt;=MAX($A81,Settings!$D$63,Settings!$B$5+1),IF(Settings!$C$63="",$B81,DATE(YEAR($A81),MONTH($A81),MIN(Settings!$C$63,DAY($B81))))&lt;=MIN($C81,IF(Settings!$E$63="",$C81,Settings!$E$63))),1,0))+IF(OR(Settings!$B$64="",Settings!$F$64="No"),0,Settings!$B$64*IF(AND(IF(Settings!$C$64="",$B81,DATE(YEAR($A81),MONTH($A81),MIN(Settings!$C$64,DAY($B81))))&gt;=MAX($A81,Settings!$D$64,Settings!$B$5+1),IF(Settings!$C$64="",$B81,DATE(YEAR($A81),MONTH($A81),MIN(Settings!$C$64,DAY($B81))))&lt;=MIN($C81,IF(Settings!$E$64="",$C81,Settings!$E$64))),1,0))+IF(OR(Settings!$B$65="",Settings!$F$65="No"),0,Settings!$B$65*IF(AND(IF(Settings!$C$65="",$B81,DATE(YEAR($A81),MONTH($A81),MIN(Settings!$C$65,DAY($B81))))&gt;=MAX($A81,Settings!$D$65,Settings!$B$5+1),IF(Settings!$C$65="",$B81,DATE(YEAR($A81),MONTH($A81),MIN(Settings!$C$65,DAY($B81))))&lt;=MIN($C81,IF(Settings!$E$65="",$C81,Settings!$E$65))),1,0)),0))</f>
        <v/>
      </c>
      <c r="AC81">
        <f>$AY81+$AZ81+$BA81+$BB81+$BC81+$BD81</f>
        <v/>
      </c>
      <c r="AD81">
        <f>$AC81</f>
        <v/>
      </c>
      <c r="AE81">
        <f>IF(OR(Settings!$A$19="",$E81="pre"),"",IF(AND('Month-End'!$BZ$7&lt;&gt;"",NOT(_xlfn.ISFORMULA('Month-End'!$BZ$7))),N('Month-End'!$BZ$7),IF(OR($E81="open",$E80="pre"),N(Settings!$C$19),N($AE80))))</f>
        <v/>
      </c>
      <c r="AF81">
        <f>IF(OR(Settings!$A$20="",$E81="pre"),"",IF(AND('Month-End'!$BZ$8&lt;&gt;"",NOT(_xlfn.ISFORMULA('Month-End'!$BZ$8))),N('Month-End'!$BZ$8),IF(OR($E81="open",$E80="pre"),N(Settings!$C$20),N($AF80))))</f>
        <v/>
      </c>
      <c r="AG81">
        <f>IF(OR(Settings!$A$21="",$E81="pre"),"",IF(AND('Month-End'!$BZ$9&lt;&gt;"",NOT(_xlfn.ISFORMULA('Month-End'!$BZ$9))),N('Month-End'!$BZ$9),IF(OR($E81="open",$E80="pre"),N(Settings!$C$21),N($AG80))))</f>
        <v/>
      </c>
      <c r="AH81">
        <f>IF(OR(Settings!$A$22="",$E81="pre"),"",IF(AND('Month-End'!$BZ$10&lt;&gt;"",NOT(_xlfn.ISFORMULA('Month-End'!$BZ$10))),N('Month-End'!$BZ$10),IF(OR($E81="open",$E80="pre"),N(Settings!$C$22),N($AH80))))</f>
        <v/>
      </c>
      <c r="AI81">
        <f>IF(OR(Settings!$A$23="",$E81="pre"),"",IF(AND('Month-End'!$BZ$11&lt;&gt;"",NOT(_xlfn.ISFORMULA('Month-End'!$BZ$11))),N('Month-End'!$BZ$11),IF(OR($E81="open",$E80="pre"),N(Settings!$C$23),N($AI80))))</f>
        <v/>
      </c>
      <c r="AJ81">
        <f>IF(OR(Settings!$A$24="",$E81="pre"),"",IF(AND('Month-End'!$BZ$12&lt;&gt;"",NOT(_xlfn.ISFORMULA('Month-End'!$BZ$12))),N('Month-End'!$BZ$12),IF(OR($E81="open",$E80="pre"),N(Settings!$C$24),N($AJ80))))</f>
        <v/>
      </c>
      <c r="AK81">
        <f>IF(OR(Settings!$A$25="",$E81="pre"),"",IF(AND('Month-End'!$BZ$13&lt;&gt;"",NOT(_xlfn.ISFORMULA('Month-End'!$BZ$13))),N('Month-End'!$BZ$13),IF(OR($E81="open",$E80="pre"),N(Settings!$C$25),N($AK80))))</f>
        <v/>
      </c>
      <c r="AL81">
        <f>IF(OR(Settings!$A$26="",$E81="pre"),"",IF(AND('Month-End'!$BZ$14&lt;&gt;"",NOT(_xlfn.ISFORMULA('Month-End'!$BZ$14))),N('Month-End'!$BZ$14),IF(OR($E81="open",$E80="pre"),N(Settings!$C$26),N($AL80))))</f>
        <v/>
      </c>
      <c r="AM81">
        <f>IF(OR(Settings!$A$27="",$E81="pre"),"",IF(AND('Month-End'!$BZ$15&lt;&gt;"",NOT(_xlfn.ISFORMULA('Month-End'!$BZ$15))),N('Month-End'!$BZ$15),IF(OR($E81="open",$E80="pre"),N(Settings!$C$27),N($AM80))))</f>
        <v/>
      </c>
      <c r="AN81">
        <f>IF(OR(Settings!$A$28="",$E81="pre"),"",IF(AND('Month-End'!$BZ$16&lt;&gt;"",NOT(_xlfn.ISFORMULA('Month-End'!$BZ$16))),N('Month-End'!$BZ$16),IF(OR($E81="open",$E80="pre"),N(Settings!$C$28),N($AN80))))</f>
        <v/>
      </c>
      <c r="AO81">
        <f>IF(OR(Settings!$A$29="",$E81="pre"),"",IF(AND('Month-End'!$BZ$17&lt;&gt;"",NOT(_xlfn.ISFORMULA('Month-End'!$BZ$17))),N('Month-End'!$BZ$17),IF(OR($E81="open",$E80="pre"),N(Settings!$C$29),N($AO80))))</f>
        <v/>
      </c>
      <c r="AP81">
        <f>IF(OR(Settings!$A$30="",$E81="pre"),"",IF(AND('Month-End'!$BZ$18&lt;&gt;"",NOT(_xlfn.ISFORMULA('Month-End'!$BZ$18))),N('Month-End'!$BZ$18),IF(OR($E81="open",$E80="pre"),N(Settings!$C$30),N($AP80))))</f>
        <v/>
      </c>
      <c r="AQ81">
        <f>IF(OR(Settings!$A$31="",$E81="pre"),"",IF(AND('Month-End'!$BZ$19&lt;&gt;"",NOT(_xlfn.ISFORMULA('Month-End'!$BZ$19))),N('Month-End'!$BZ$19),IF(OR($E81="open",$E80="pre"),N(Settings!$C$31),N($AQ80))))</f>
        <v/>
      </c>
      <c r="AR81">
        <f>IF(OR(Settings!$A$32="",$E81="pre"),"",IF(AND('Month-End'!$BZ$20&lt;&gt;"",NOT(_xlfn.ISFORMULA('Month-End'!$BZ$20))),N('Month-End'!$BZ$20),IF(OR($E81="open",$E80="pre"),N(Settings!$C$32),N($AR80))))</f>
        <v/>
      </c>
      <c r="AS81">
        <f>IF(OR(Settings!$A$36="",$E81="pre"),"",IF(AND('Month-End'!$BZ$38&lt;&gt;"",NOT(_xlfn.ISFORMULA('Month-End'!$BZ$38))),N('Month-End'!$BZ$38),IF(OR($E81="open",$E80="pre"),N(Settings!$C$36),N($AS80))+$AY81))</f>
        <v/>
      </c>
      <c r="AT81">
        <f>IF(OR(Settings!$A$37="",$E81="pre"),"",IF(AND('Month-End'!$BZ$39&lt;&gt;"",NOT(_xlfn.ISFORMULA('Month-End'!$BZ$39))),N('Month-End'!$BZ$39),IF(OR($E81="open",$E80="pre"),N(Settings!$C$37),N($AT80))+$AZ81))</f>
        <v/>
      </c>
      <c r="AU81">
        <f>IF(OR(Settings!$A$38="",$E81="pre"),"",IF(AND('Month-End'!$BZ$40&lt;&gt;"",NOT(_xlfn.ISFORMULA('Month-End'!$BZ$40))),N('Month-End'!$BZ$40),IF(OR($E81="open",$E80="pre"),N(Settings!$C$38),N($AU80))+$BA81))</f>
        <v/>
      </c>
      <c r="AV81">
        <f>IF(OR(Settings!$A$39="",$E81="pre"),"",IF(AND('Month-End'!$BZ$41&lt;&gt;"",NOT(_xlfn.ISFORMULA('Month-End'!$BZ$41))),N('Month-End'!$BZ$41),IF(OR($E81="open",$E80="pre"),N(Settings!$C$39),N($AV80))+$BB81))</f>
        <v/>
      </c>
      <c r="AW81">
        <f>IF(OR(Settings!$A$40="",$E81="pre"),"",IF(AND('Month-End'!$BZ$42&lt;&gt;"",NOT(_xlfn.ISFORMULA('Month-End'!$BZ$42))),N('Month-End'!$BZ$42),IF(OR($E81="open",$E80="pre"),N(Settings!$C$40),N($AW80))+$BC81))</f>
        <v/>
      </c>
      <c r="AX81">
        <f>IF(OR(Settings!$A$41="",$E81="pre"),"",IF(AND('Month-End'!$BZ$43&lt;&gt;"",NOT(_xlfn.ISFORMULA('Month-End'!$BZ$43))),N('Month-End'!$BZ$43),IF(OR($E81="open",$E80="pre"),N(Settings!$C$41),N($AX80))+$BD81))</f>
        <v/>
      </c>
      <c r="AY81">
        <f>IF($E81="pre",0,N('Month-End'!$BZ$45))</f>
        <v/>
      </c>
      <c r="AZ81">
        <f>IF($E81="pre",0,N('Month-End'!$BZ$46))</f>
        <v/>
      </c>
      <c r="BA81">
        <f>IF($E81="pre",0,N('Month-End'!$BZ$47))</f>
        <v/>
      </c>
      <c r="BB81">
        <f>IF($E81="pre",0,N('Month-End'!$BZ$48))</f>
        <v/>
      </c>
      <c r="BC81">
        <f>IF($E81="pre",0,N('Month-End'!$BZ$49))</f>
        <v/>
      </c>
      <c r="BD81">
        <f>IF($E81="pre",0,N('Month-End'!$BZ$50))</f>
        <v/>
      </c>
      <c r="BE81">
        <f>IF(OR(Settings!$C$45="",Settings!$D$45=""),0,Settings!$C$45*IF(Settings!$D$45="Weekly",IF(IFERROR(MATCH(Settings!$E$45,$EO$4:$EO$10,0),0)=0,0,IF(MIN($C81,IF(Settings!$G$45="",$C81,Settings!$G$45))&lt;MAX($A81,Settings!$F$45),0,INT((MIN($C81,IF(Settings!$G$45="",$C81,Settings!$G$45))-MAX($A81,Settings!$F$45)-MOD(IFERROR(MATCH(Settings!$E$45,$EO$4:$EO$10,0),0)-WEEKDAY(MAX($A81,Settings!$F$45)),7))/7)+1)),IF(AND(IF(Settings!$E$45="",$B81,DATE(YEAR($A81),MONTH($A81),MIN(Settings!$E$45,DAY($B81))))&gt;=MAX($A81,Settings!$F$45),IF(Settings!$E$45="",$B81,DATE(YEAR($A81),MONTH($A81),MIN(Settings!$E$45,DAY($B81))))&lt;=MIN($C81,IF(Settings!$G$45="",$C81,Settings!$G$45))),1,0)))</f>
        <v/>
      </c>
      <c r="BF81">
        <f>IF(OR(Settings!$C$46="",Settings!$D$46=""),0,Settings!$C$46*IF(Settings!$D$46="Weekly",IF(IFERROR(MATCH(Settings!$E$46,$EO$4:$EO$10,0),0)=0,0,IF(MIN($C81,IF(Settings!$G$46="",$C81,Settings!$G$46))&lt;MAX($A81,Settings!$F$46),0,INT((MIN($C81,IF(Settings!$G$46="",$C81,Settings!$G$46))-MAX($A81,Settings!$F$46)-MOD(IFERROR(MATCH(Settings!$E$46,$EO$4:$EO$10,0),0)-WEEKDAY(MAX($A81,Settings!$F$46)),7))/7)+1)),IF(AND(IF(Settings!$E$46="",$B81,DATE(YEAR($A81),MONTH($A81),MIN(Settings!$E$46,DAY($B81))))&gt;=MAX($A81,Settings!$F$46),IF(Settings!$E$46="",$B81,DATE(YEAR($A81),MONTH($A81),MIN(Settings!$E$46,DAY($B81))))&lt;=MIN($C81,IF(Settings!$G$46="",$C81,Settings!$G$46))),1,0)))</f>
        <v/>
      </c>
      <c r="BG81">
        <f>IF(OR(Settings!$C$47="",Settings!$D$47=""),0,Settings!$C$47*IF(Settings!$D$47="Weekly",IF(IFERROR(MATCH(Settings!$E$47,$EO$4:$EO$10,0),0)=0,0,IF(MIN($C81,IF(Settings!$G$47="",$C81,Settings!$G$47))&lt;MAX($A81,Settings!$F$47),0,INT((MIN($C81,IF(Settings!$G$47="",$C81,Settings!$G$47))-MAX($A81,Settings!$F$47)-MOD(IFERROR(MATCH(Settings!$E$47,$EO$4:$EO$10,0),0)-WEEKDAY(MAX($A81,Settings!$F$47)),7))/7)+1)),IF(AND(IF(Settings!$E$47="",$B81,DATE(YEAR($A81),MONTH($A81),MIN(Settings!$E$47,DAY($B81))))&gt;=MAX($A81,Settings!$F$47),IF(Settings!$E$47="",$B81,DATE(YEAR($A81),MONTH($A81),MIN(Settings!$E$47,DAY($B81))))&lt;=MIN($C81,IF(Settings!$G$47="",$C81,Settings!$G$47))),1,0)))</f>
        <v/>
      </c>
      <c r="BH81">
        <f>IF(OR(Settings!$C$48="",Settings!$D$48=""),0,Settings!$C$48*IF(Settings!$D$48="Weekly",IF(IFERROR(MATCH(Settings!$E$48,$EO$4:$EO$10,0),0)=0,0,IF(MIN($C81,IF(Settings!$G$48="",$C81,Settings!$G$48))&lt;MAX($A81,Settings!$F$48),0,INT((MIN($C81,IF(Settings!$G$48="",$C81,Settings!$G$48))-MAX($A81,Settings!$F$48)-MOD(IFERROR(MATCH(Settings!$E$48,$EO$4:$EO$10,0),0)-WEEKDAY(MAX($A81,Settings!$F$48)),7))/7)+1)),IF(AND(IF(Settings!$E$48="",$B81,DATE(YEAR($A81),MONTH($A81),MIN(Settings!$E$48,DAY($B81))))&gt;=MAX($A81,Settings!$F$48),IF(Settings!$E$48="",$B81,DATE(YEAR($A81),MONTH($A81),MIN(Settings!$E$48,DAY($B81))))&lt;=MIN($C81,IF(Settings!$G$48="",$C81,Settings!$G$48))),1,0)))</f>
        <v/>
      </c>
      <c r="BI81">
        <f>IF(OR(Settings!$C$49="",Settings!$D$49=""),0,Settings!$C$49*IF(Settings!$D$49="Weekly",IF(IFERROR(MATCH(Settings!$E$49,$EO$4:$EO$10,0),0)=0,0,IF(MIN($C81,IF(Settings!$G$49="",$C81,Settings!$G$49))&lt;MAX($A81,Settings!$F$49),0,INT((MIN($C81,IF(Settings!$G$49="",$C81,Settings!$G$49))-MAX($A81,Settings!$F$49)-MOD(IFERROR(MATCH(Settings!$E$49,$EO$4:$EO$10,0),0)-WEEKDAY(MAX($A81,Settings!$F$49)),7))/7)+1)),IF(AND(IF(Settings!$E$49="",$B81,DATE(YEAR($A81),MONTH($A81),MIN(Settings!$E$49,DAY($B81))))&gt;=MAX($A81,Settings!$F$49),IF(Settings!$E$49="",$B81,DATE(YEAR($A81),MONTH($A81),MIN(Settings!$E$49,DAY($B81))))&lt;=MIN($C81,IF(Settings!$G$49="",$C81,Settings!$G$49))),1,0)))</f>
        <v/>
      </c>
      <c r="BJ81">
        <f>IF(OR(Settings!$C$50="",Settings!$D$50=""),0,Settings!$C$50*IF(Settings!$D$50="Weekly",IF(IFERROR(MATCH(Settings!$E$50,$EO$4:$EO$10,0),0)=0,0,IF(MIN($C81,IF(Settings!$G$50="",$C81,Settings!$G$50))&lt;MAX($A81,Settings!$F$50),0,INT((MIN($C81,IF(Settings!$G$50="",$C81,Settings!$G$50))-MAX($A81,Settings!$F$50)-MOD(IFERROR(MATCH(Settings!$E$50,$EO$4:$EO$10,0),0)-WEEKDAY(MAX($A81,Settings!$F$50)),7))/7)+1)),IF(AND(IF(Settings!$E$50="",$B81,DATE(YEAR($A81),MONTH($A81),MIN(Settings!$E$50,DAY($B81))))&gt;=MAX($A81,Settings!$F$50),IF(Settings!$E$50="",$B81,DATE(YEAR($A81),MONTH($A81),MIN(Settings!$E$50,DAY($B81))))&lt;=MIN($C81,IF(Settings!$G$50="",$C81,Settings!$G$50))),1,0)))</f>
        <v/>
      </c>
      <c r="BK81">
        <f>IF(OR(Settings!$C$51="",Settings!$D$51=""),0,Settings!$C$51*IF(Settings!$D$51="Weekly",IF(IFERROR(MATCH(Settings!$E$51,$EO$4:$EO$10,0),0)=0,0,IF(MIN($C81,IF(Settings!$G$51="",$C81,Settings!$G$51))&lt;MAX($A81,Settings!$F$51),0,INT((MIN($C81,IF(Settings!$G$51="",$C81,Settings!$G$51))-MAX($A81,Settings!$F$51)-MOD(IFERROR(MATCH(Settings!$E$51,$EO$4:$EO$10,0),0)-WEEKDAY(MAX($A81,Settings!$F$51)),7))/7)+1)),IF(AND(IF(Settings!$E$51="",$B81,DATE(YEAR($A81),MONTH($A81),MIN(Settings!$E$51,DAY($B81))))&gt;=MAX($A81,Settings!$F$51),IF(Settings!$E$51="",$B81,DATE(YEAR($A81),MONTH($A81),MIN(Settings!$E$51,DAY($B81))))&lt;=MIN($C81,IF(Settings!$G$51="",$C81,Settings!$G$51))),1,0)))</f>
        <v/>
      </c>
      <c r="BL81">
        <f>IF(OR(Settings!$C$52="",Settings!$D$52=""),0,Settings!$C$52*IF(Settings!$D$52="Weekly",IF(IFERROR(MATCH(Settings!$E$52,$EO$4:$EO$10,0),0)=0,0,IF(MIN($C81,IF(Settings!$G$52="",$C81,Settings!$G$52))&lt;MAX($A81,Settings!$F$52),0,INT((MIN($C81,IF(Settings!$G$52="",$C81,Settings!$G$52))-MAX($A81,Settings!$F$52)-MOD(IFERROR(MATCH(Settings!$E$52,$EO$4:$EO$10,0),0)-WEEKDAY(MAX($A81,Settings!$F$52)),7))/7)+1)),IF(AND(IF(Settings!$E$52="",$B81,DATE(YEAR($A81),MONTH($A81),MIN(Settings!$E$52,DAY($B81))))&gt;=MAX($A81,Settings!$F$52),IF(Settings!$E$52="",$B81,DATE(YEAR($A81),MONTH($A81),MIN(Settings!$E$52,DAY($B81))))&lt;=MIN($C81,IF(Settings!$G$52="",$C81,Settings!$G$52))),1,0)))</f>
        <v/>
      </c>
      <c r="BM81">
        <f>IF(OR(Settings!$C$53="",Settings!$D$53=""),0,Settings!$C$53*IF(Settings!$D$53="Weekly",IF(IFERROR(MATCH(Settings!$E$53,$EO$4:$EO$10,0),0)=0,0,IF(MIN($C81,IF(Settings!$G$53="",$C81,Settings!$G$53))&lt;MAX($A81,Settings!$F$53),0,INT((MIN($C81,IF(Settings!$G$53="",$C81,Settings!$G$53))-MAX($A81,Settings!$F$53)-MOD(IFERROR(MATCH(Settings!$E$53,$EO$4:$EO$10,0),0)-WEEKDAY(MAX($A81,Settings!$F$53)),7))/7)+1)),IF(AND(IF(Settings!$E$53="",$B81,DATE(YEAR($A81),MONTH($A81),MIN(Settings!$E$53,DAY($B81))))&gt;=MAX($A81,Settings!$F$53),IF(Settings!$E$53="",$B81,DATE(YEAR($A81),MONTH($A81),MIN(Settings!$E$53,DAY($B81))))&lt;=MIN($C81,IF(Settings!$G$53="",$C81,Settings!$G$53))),1,0)))</f>
        <v/>
      </c>
      <c r="BN81">
        <f>IF(OR(Settings!$C$54="",Settings!$D$54=""),0,Settings!$C$54*IF(Settings!$D$54="Weekly",IF(IFERROR(MATCH(Settings!$E$54,$EO$4:$EO$10,0),0)=0,0,IF(MIN($C81,IF(Settings!$G$54="",$C81,Settings!$G$54))&lt;MAX($A81,Settings!$F$54),0,INT((MIN($C81,IF(Settings!$G$54="",$C81,Settings!$G$54))-MAX($A81,Settings!$F$54)-MOD(IFERROR(MATCH(Settings!$E$54,$EO$4:$EO$10,0),0)-WEEKDAY(MAX($A81,Settings!$F$54)),7))/7)+1)),IF(AND(IF(Settings!$E$54="",$B81,DATE(YEAR($A81),MONTH($A81),MIN(Settings!$E$54,DAY($B81))))&gt;=MAX($A81,Settings!$F$54),IF(Settings!$E$54="",$B81,DATE(YEAR($A81),MONTH($A81),MIN(Settings!$E$54,DAY($B81))))&lt;=MIN($C81,IF(Settings!$G$54="",$C81,Settings!$G$54))),1,0)))</f>
        <v/>
      </c>
      <c r="BO81">
        <f>IF(OR(Settings!$C$55="",Settings!$D$55=""),0,Settings!$C$55*IF(Settings!$D$55="Weekly",IF(IFERROR(MATCH(Settings!$E$55,$EO$4:$EO$10,0),0)=0,0,IF(MIN($C81,IF(Settings!$G$55="",$C81,Settings!$G$55))&lt;MAX($A81,Settings!$F$55),0,INT((MIN($C81,IF(Settings!$G$55="",$C81,Settings!$G$55))-MAX($A81,Settings!$F$55)-MOD(IFERROR(MATCH(Settings!$E$55,$EO$4:$EO$10,0),0)-WEEKDAY(MAX($A81,Settings!$F$55)),7))/7)+1)),IF(AND(IF(Settings!$E$55="",$B81,DATE(YEAR($A81),MONTH($A81),MIN(Settings!$E$55,DAY($B81))))&gt;=MAX($A81,Settings!$F$55),IF(Settings!$E$55="",$B81,DATE(YEAR($A81),MONTH($A81),MIN(Settings!$E$55,DAY($B81))))&lt;=MIN($C81,IF(Settings!$G$55="",$C81,Settings!$G$55))),1,0)))</f>
        <v/>
      </c>
      <c r="BP81">
        <f>IF(OR(Settings!$C$56="",Settings!$D$56=""),0,Settings!$C$56*IF(Settings!$D$56="Weekly",IF(IFERROR(MATCH(Settings!$E$56,$EO$4:$EO$10,0),0)=0,0,IF(MIN($C81,IF(Settings!$G$56="",$C81,Settings!$G$56))&lt;MAX($A81,Settings!$F$56),0,INT((MIN($C81,IF(Settings!$G$56="",$C81,Settings!$G$56))-MAX($A81,Settings!$F$56)-MOD(IFERROR(MATCH(Settings!$E$56,$EO$4:$EO$10,0),0)-WEEKDAY(MAX($A81,Settings!$F$56)),7))/7)+1)),IF(AND(IF(Settings!$E$56="",$B81,DATE(YEAR($A81),MONTH($A81),MIN(Settings!$E$56,DAY($B81))))&gt;=MAX($A81,Settings!$F$56),IF(Settings!$E$56="",$B81,DATE(YEAR($A81),MONTH($A81),MIN(Settings!$E$56,DAY($B81))))&lt;=MIN($C81,IF(Settings!$G$56="",$C81,Settings!$G$56))),1,0)))</f>
        <v/>
      </c>
      <c r="BQ81">
        <f>IF(OR(Settings!$B$14="",$D81=1,$E81="pre",$A81&lt;IF(Settings!$B$15="",0,Settings!$B$15)),0,Settings!$B$14)</f>
        <v/>
      </c>
      <c r="BR81">
        <f>IF(AND('Month-End'!$BZ$7&lt;&gt;"",NOT(_xlfn.ISFORMULA('Month-End'!$BZ$7))),1,0)</f>
        <v/>
      </c>
      <c r="BS81">
        <f>IF(AND('Month-End'!$BZ$8&lt;&gt;"",NOT(_xlfn.ISFORMULA('Month-End'!$BZ$8))),1,0)</f>
        <v/>
      </c>
      <c r="BT81">
        <f>IF(AND('Month-End'!$BZ$9&lt;&gt;"",NOT(_xlfn.ISFORMULA('Month-End'!$BZ$9))),1,0)</f>
        <v/>
      </c>
      <c r="BU81">
        <f>IF(AND('Month-End'!$BZ$10&lt;&gt;"",NOT(_xlfn.ISFORMULA('Month-End'!$BZ$10))),1,0)</f>
        <v/>
      </c>
      <c r="BV81">
        <f>IF(AND('Month-End'!$BZ$11&lt;&gt;"",NOT(_xlfn.ISFORMULA('Month-End'!$BZ$11))),1,0)</f>
        <v/>
      </c>
      <c r="BW81">
        <f>IF(AND('Month-End'!$BZ$12&lt;&gt;"",NOT(_xlfn.ISFORMULA('Month-End'!$BZ$12))),1,0)</f>
        <v/>
      </c>
      <c r="BX81">
        <f>IF(AND('Month-End'!$BZ$13&lt;&gt;"",NOT(_xlfn.ISFORMULA('Month-End'!$BZ$13))),1,0)</f>
        <v/>
      </c>
      <c r="BY81">
        <f>IF(AND('Month-End'!$BZ$14&lt;&gt;"",NOT(_xlfn.ISFORMULA('Month-End'!$BZ$14))),1,0)</f>
        <v/>
      </c>
      <c r="BZ81">
        <f>IF(AND('Month-End'!$BZ$15&lt;&gt;"",NOT(_xlfn.ISFORMULA('Month-End'!$BZ$15))),1,0)</f>
        <v/>
      </c>
      <c r="CA81">
        <f>IF(AND('Month-End'!$BZ$16&lt;&gt;"",NOT(_xlfn.ISFORMULA('Month-End'!$BZ$16))),1,0)</f>
        <v/>
      </c>
      <c r="CB81">
        <f>IF(AND('Month-End'!$BZ$17&lt;&gt;"",NOT(_xlfn.ISFORMULA('Month-End'!$BZ$17))),1,0)</f>
        <v/>
      </c>
      <c r="CC81">
        <f>IF(AND('Month-End'!$BZ$18&lt;&gt;"",NOT(_xlfn.ISFORMULA('Month-End'!$BZ$18))),1,0)</f>
        <v/>
      </c>
      <c r="CD81">
        <f>IF(AND('Month-End'!$BZ$19&lt;&gt;"",NOT(_xlfn.ISFORMULA('Month-End'!$BZ$19))),1,0)</f>
        <v/>
      </c>
      <c r="CE81">
        <f>IF(AND('Month-End'!$BZ$20&lt;&gt;"",NOT(_xlfn.ISFORMULA('Month-End'!$BZ$20))),1,0)</f>
        <v/>
      </c>
      <c r="CF81">
        <f>IF(AND('Month-End'!$BZ$38&lt;&gt;"",NOT(_xlfn.ISFORMULA('Month-End'!$BZ$38))),1,0)</f>
        <v/>
      </c>
      <c r="CG81">
        <f>IF(AND('Month-End'!$BZ$39&lt;&gt;"",NOT(_xlfn.ISFORMULA('Month-End'!$BZ$39))),1,0)</f>
        <v/>
      </c>
      <c r="CH81">
        <f>IF(AND('Month-End'!$BZ$40&lt;&gt;"",NOT(_xlfn.ISFORMULA('Month-End'!$BZ$40))),1,0)</f>
        <v/>
      </c>
      <c r="CI81">
        <f>IF(AND('Month-End'!$BZ$41&lt;&gt;"",NOT(_xlfn.ISFORMULA('Month-End'!$BZ$41))),1,0)</f>
        <v/>
      </c>
      <c r="CJ81">
        <f>IF(AND('Month-End'!$BZ$42&lt;&gt;"",NOT(_xlfn.ISFORMULA('Month-End'!$BZ$42))),1,0)</f>
        <v/>
      </c>
      <c r="CK81">
        <f>IF(AND('Month-End'!$BZ$43&lt;&gt;"",NOT(_xlfn.ISFORMULA('Month-End'!$BZ$43))),1,0)</f>
        <v/>
      </c>
      <c r="CL81">
        <f>SUM($CM81:$CZ81)</f>
        <v/>
      </c>
      <c r="CM81">
        <f>IF(AND($E81&lt;&gt;"pre",AND(Settings!$A$19&lt;&gt;"",Settings!$E$19&lt;&gt;"No"),Settings!$F$19="Yes",NOT(AND('Month-End'!$BZ$7&lt;&gt;"",NOT(_xlfn.ISFORMULA('Month-End'!$BZ$7))))),1,0)</f>
        <v/>
      </c>
      <c r="CN81">
        <f>IF(AND($E81&lt;&gt;"pre",AND(Settings!$A$20&lt;&gt;"",Settings!$E$20&lt;&gt;"No"),Settings!$F$20="Yes",NOT(AND('Month-End'!$BZ$8&lt;&gt;"",NOT(_xlfn.ISFORMULA('Month-End'!$BZ$8))))),1,0)</f>
        <v/>
      </c>
      <c r="CO81">
        <f>IF(AND($E81&lt;&gt;"pre",AND(Settings!$A$21&lt;&gt;"",Settings!$E$21&lt;&gt;"No"),Settings!$F$21="Yes",NOT(AND('Month-End'!$BZ$9&lt;&gt;"",NOT(_xlfn.ISFORMULA('Month-End'!$BZ$9))))),1,0)</f>
        <v/>
      </c>
      <c r="CP81">
        <f>IF(AND($E81&lt;&gt;"pre",AND(Settings!$A$22&lt;&gt;"",Settings!$E$22&lt;&gt;"No"),Settings!$F$22="Yes",NOT(AND('Month-End'!$BZ$10&lt;&gt;"",NOT(_xlfn.ISFORMULA('Month-End'!$BZ$10))))),1,0)</f>
        <v/>
      </c>
      <c r="CQ81">
        <f>IF(AND($E81&lt;&gt;"pre",AND(Settings!$A$23&lt;&gt;"",Settings!$E$23&lt;&gt;"No"),Settings!$F$23="Yes",NOT(AND('Month-End'!$BZ$11&lt;&gt;"",NOT(_xlfn.ISFORMULA('Month-End'!$BZ$11))))),1,0)</f>
        <v/>
      </c>
      <c r="CR81">
        <f>IF(AND($E81&lt;&gt;"pre",AND(Settings!$A$24&lt;&gt;"",Settings!$E$24&lt;&gt;"No"),Settings!$F$24="Yes",NOT(AND('Month-End'!$BZ$12&lt;&gt;"",NOT(_xlfn.ISFORMULA('Month-End'!$BZ$12))))),1,0)</f>
        <v/>
      </c>
      <c r="CS81">
        <f>IF(AND($E81&lt;&gt;"pre",AND(Settings!$A$25&lt;&gt;"",Settings!$E$25&lt;&gt;"No"),Settings!$F$25="Yes",NOT(AND('Month-End'!$BZ$13&lt;&gt;"",NOT(_xlfn.ISFORMULA('Month-End'!$BZ$13))))),1,0)</f>
        <v/>
      </c>
      <c r="CT81">
        <f>IF(AND($E81&lt;&gt;"pre",AND(Settings!$A$26&lt;&gt;"",Settings!$E$26&lt;&gt;"No"),Settings!$F$26="Yes",NOT(AND('Month-End'!$BZ$14&lt;&gt;"",NOT(_xlfn.ISFORMULA('Month-End'!$BZ$14))))),1,0)</f>
        <v/>
      </c>
      <c r="CU81">
        <f>IF(AND($E81&lt;&gt;"pre",AND(Settings!$A$27&lt;&gt;"",Settings!$E$27&lt;&gt;"No"),Settings!$F$27="Yes",NOT(AND('Month-End'!$BZ$15&lt;&gt;"",NOT(_xlfn.ISFORMULA('Month-End'!$BZ$15))))),1,0)</f>
        <v/>
      </c>
      <c r="CV81">
        <f>IF(AND($E81&lt;&gt;"pre",AND(Settings!$A$28&lt;&gt;"",Settings!$E$28&lt;&gt;"No"),Settings!$F$28="Yes",NOT(AND('Month-End'!$BZ$16&lt;&gt;"",NOT(_xlfn.ISFORMULA('Month-End'!$BZ$16))))),1,0)</f>
        <v/>
      </c>
      <c r="CW81">
        <f>IF(AND($E81&lt;&gt;"pre",AND(Settings!$A$29&lt;&gt;"",Settings!$E$29&lt;&gt;"No"),Settings!$F$29="Yes",NOT(AND('Month-End'!$BZ$17&lt;&gt;"",NOT(_xlfn.ISFORMULA('Month-End'!$BZ$17))))),1,0)</f>
        <v/>
      </c>
      <c r="CX81">
        <f>IF(AND($E81&lt;&gt;"pre",AND(Settings!$A$30&lt;&gt;"",Settings!$E$30&lt;&gt;"No"),Settings!$F$30="Yes",NOT(AND('Month-End'!$BZ$18&lt;&gt;"",NOT(_xlfn.ISFORMULA('Month-End'!$BZ$18))))),1,0)</f>
        <v/>
      </c>
      <c r="CY81">
        <f>IF(AND($E81&lt;&gt;"pre",AND(Settings!$A$31&lt;&gt;"",Settings!$E$31&lt;&gt;"No"),Settings!$F$31="Yes",NOT(AND('Month-End'!$BZ$19&lt;&gt;"",NOT(_xlfn.ISFORMULA('Month-End'!$BZ$19))))),1,0)</f>
        <v/>
      </c>
      <c r="CZ81">
        <f>IF(AND($E81&lt;&gt;"pre",AND(Settings!$A$32&lt;&gt;"",Settings!$E$32&lt;&gt;"No"),Settings!$F$32="Yes",NOT(AND('Month-End'!$BZ$20&lt;&gt;"",NOT(_xlfn.ISFORMULA('Month-End'!$BZ$20))))),1,0)</f>
        <v/>
      </c>
      <c r="DA81">
        <f>IF($DT81=1,IF(OR(Settings!$B$19="Checking",Settings!$B$19="Savings",Settings!$B$19="Cash"),N($AE81),IF(OR(Settings!$B$19="Card",Settings!$B$19="Loan"),-N($AE81),0))+IF(OR(Settings!$B$20="Checking",Settings!$B$20="Savings",Settings!$B$20="Cash"),N($AF81),IF(OR(Settings!$B$20="Card",Settings!$B$20="Loan"),-N($AF81),0))+IF(OR(Settings!$B$21="Checking",Settings!$B$21="Savings",Settings!$B$21="Cash"),N($AG81),IF(OR(Settings!$B$21="Card",Settings!$B$21="Loan"),-N($AG81),0))+IF(OR(Settings!$B$22="Checking",Settings!$B$22="Savings",Settings!$B$22="Cash"),N($AH81),IF(OR(Settings!$B$22="Card",Settings!$B$22="Loan"),-N($AH81),0))+IF(OR(Settings!$B$23="Checking",Settings!$B$23="Savings",Settings!$B$23="Cash"),N($AI81),IF(OR(Settings!$B$23="Card",Settings!$B$23="Loan"),-N($AI81),0))+IF(OR(Settings!$B$24="Checking",Settings!$B$24="Savings",Settings!$B$24="Cash"),N($AJ81),IF(OR(Settings!$B$24="Card",Settings!$B$24="Loan"),-N($AJ81),0))+IF(OR(Settings!$B$25="Checking",Settings!$B$25="Savings",Settings!$B$25="Cash"),N($AK81),IF(OR(Settings!$B$25="Card",Settings!$B$25="Loan"),-N($AK81),0))+IF(OR(Settings!$B$26="Checking",Settings!$B$26="Savings",Settings!$B$26="Cash"),N($AL81),IF(OR(Settings!$B$26="Card",Settings!$B$26="Loan"),-N($AL81),0))+IF(OR(Settings!$B$27="Checking",Settings!$B$27="Savings",Settings!$B$27="Cash"),N($AM81),IF(OR(Settings!$B$27="Card",Settings!$B$27="Loan"),-N($AM81),0))+IF(OR(Settings!$B$28="Checking",Settings!$B$28="Savings",Settings!$B$28="Cash"),N($AN81),IF(OR(Settings!$B$28="Card",Settings!$B$28="Loan"),-N($AN81),0))+IF(OR(Settings!$B$29="Checking",Settings!$B$29="Savings",Settings!$B$29="Cash"),N($AO81),IF(OR(Settings!$B$29="Card",Settings!$B$29="Loan"),-N($AO81),0))+IF(OR(Settings!$B$30="Checking",Settings!$B$30="Savings",Settings!$B$30="Cash"),N($AP81),IF(OR(Settings!$B$30="Card",Settings!$B$30="Loan"),-N($AP81),0))+IF(OR(Settings!$B$31="Checking",Settings!$B$31="Savings",Settings!$B$31="Cash"),N($AQ81),IF(OR(Settings!$B$31="Card",Settings!$B$31="Loan"),-N($AQ81),0))+IF(OR(Settings!$B$32="Checking",Settings!$B$32="Savings",Settings!$B$32="Cash"),N($AR81),IF(OR(Settings!$B$32="Card",Settings!$B$32="Loan"),-N($AR81),0)),"")</f>
        <v/>
      </c>
      <c r="DB81">
        <f>IF($E81="open",$EB$27,IF($E81="post",IF($E80="pre",$EB$27,$DA80),""))</f>
        <v/>
      </c>
      <c r="DC81">
        <f>IF($E81="open",1,IF($E81="post",IF($E80="pre",1,$DT80),0))</f>
        <v/>
      </c>
      <c r="DD81">
        <f>IF(AND($DT81=1,$DC81=1),ROUND($W81-($DA81-$DB81)-$AD81-$AB81,2),"")</f>
        <v/>
      </c>
      <c r="DE81">
        <f>IF('Month-End'!$BZ$35="",$BQ81,N('Month-End'!$BZ$35))</f>
        <v/>
      </c>
      <c r="DF81">
        <f>N('Month-End'!$BZ$36)</f>
        <v/>
      </c>
      <c r="DG81">
        <f>IF($DD81="","",$DD81+$DE81)</f>
        <v/>
      </c>
      <c r="DH81">
        <f>IF($DG81="","",$DG81-$DF81)</f>
        <v/>
      </c>
      <c r="DI81">
        <f>IF(OR($E81="pre",$D81=1),"",N($AS81)+N($AT81)+N($AU81)+N($AV81)+N($AW81)+N($AX81))</f>
        <v/>
      </c>
      <c r="DJ81">
        <f>IF($DT81=1,$DA81+N($DI81),"")</f>
        <v/>
      </c>
      <c r="DK81">
        <f>IF($DD81="","",$W81-$DD81-$AB81)</f>
        <v/>
      </c>
      <c r="DL81">
        <f>IF(AND($E81="post",$DD81&lt;&gt;"",$B81&lt;TODAY()),1,0)</f>
        <v/>
      </c>
      <c r="DM81">
        <f>IF($DL81=1,COUNTIF($DL81:$DL$183,1),0)</f>
        <v/>
      </c>
      <c r="DN81">
        <f>IF($D81=1,"",IF($E81="pre","History only",IF($DT81=1,IF($DD81="","⚠ Previous month missing",IF($DD81&lt;0,"⚠ Check: spending &lt; 0",IF($E81="open","✓ Done (partial)","✓ Done"))),IF($B81&gt;=TODAY(),"In progress","⚠ Needs balances"))))</f>
        <v/>
      </c>
      <c r="DO81">
        <f>YEAR($A81)</f>
        <v/>
      </c>
      <c r="DP81">
        <f>DATE(YEAR($A81),INT((MONTH($A81)-1)/3)*3+1,1)</f>
        <v/>
      </c>
      <c r="DQ81">
        <f>IF(AND($DT81=1,$DD81&lt;&gt;"",$D81=0),ROW(),0)</f>
        <v/>
      </c>
      <c r="DR81">
        <f>IF(AND($E81&lt;&gt;"pre",$B81&lt;TODAY(),$DT81=0),1,0)</f>
        <v/>
      </c>
      <c r="DS81">
        <f>IF($DJ81="",NA(),$DJ81)</f>
        <v/>
      </c>
      <c r="DT81">
        <f>IF(AND($E81&lt;&gt;"pre",$CL81=0,COUNTIFS(Settings!$F$19:$F$32,"Yes",Settings!$A$19:$A$32,"&lt;&gt;",Settings!$E$19:$E$32,"&lt;&gt;No")&gt;0),1,0)</f>
        <v/>
      </c>
      <c r="DU81">
        <f>IF(AND($B81&lt;TODAY(),$S81&gt;0),1,0)</f>
        <v/>
      </c>
      <c r="DV81">
        <f>IF($DU81=1,COUNTIF($DU81:$DU$183,1),0)</f>
        <v/>
      </c>
      <c r="DW81">
        <f>IF(AND(OR(Settings!$B$19="Card",Settings!$B$19="Loan"),AND('Month-End'!$BZ$7&lt;&gt;"",NOT(_xlfn.ISFORMULA('Month-End'!$BZ$7)))),IF(N('Month-End'!$BZ$7)&lt;0,1,0),0)+IF(AND(OR(Settings!$B$20="Card",Settings!$B$20="Loan"),AND('Month-End'!$BZ$8&lt;&gt;"",NOT(_xlfn.ISFORMULA('Month-End'!$BZ$8)))),IF(N('Month-End'!$BZ$8)&lt;0,1,0),0)+IF(AND(OR(Settings!$B$21="Card",Settings!$B$21="Loan"),AND('Month-End'!$BZ$9&lt;&gt;"",NOT(_xlfn.ISFORMULA('Month-End'!$BZ$9)))),IF(N('Month-End'!$BZ$9)&lt;0,1,0),0)+IF(AND(OR(Settings!$B$22="Card",Settings!$B$22="Loan"),AND('Month-End'!$BZ$10&lt;&gt;"",NOT(_xlfn.ISFORMULA('Month-End'!$BZ$10)))),IF(N('Month-End'!$BZ$10)&lt;0,1,0),0)+IF(AND(OR(Settings!$B$23="Card",Settings!$B$23="Loan"),AND('Month-End'!$BZ$11&lt;&gt;"",NOT(_xlfn.ISFORMULA('Month-End'!$BZ$11)))),IF(N('Month-End'!$BZ$11)&lt;0,1,0),0)+IF(AND(OR(Settings!$B$24="Card",Settings!$B$24="Loan"),AND('Month-End'!$BZ$12&lt;&gt;"",NOT(_xlfn.ISFORMULA('Month-End'!$BZ$12)))),IF(N('Month-End'!$BZ$12)&lt;0,1,0),0)+IF(AND(OR(Settings!$B$25="Card",Settings!$B$25="Loan"),AND('Month-End'!$BZ$13&lt;&gt;"",NOT(_xlfn.ISFORMULA('Month-End'!$BZ$13)))),IF(N('Month-End'!$BZ$13)&lt;0,1,0),0)+IF(AND(OR(Settings!$B$26="Card",Settings!$B$26="Loan"),AND('Month-End'!$BZ$14&lt;&gt;"",NOT(_xlfn.ISFORMULA('Month-End'!$BZ$14)))),IF(N('Month-End'!$BZ$14)&lt;0,1,0),0)+IF(AND(OR(Settings!$B$27="Card",Settings!$B$27="Loan"),AND('Month-End'!$BZ$15&lt;&gt;"",NOT(_xlfn.ISFORMULA('Month-End'!$BZ$15)))),IF(N('Month-End'!$BZ$15)&lt;0,1,0),0)+IF(AND(OR(Settings!$B$28="Card",Settings!$B$28="Loan"),AND('Month-End'!$BZ$16&lt;&gt;"",NOT(_xlfn.ISFORMULA('Month-End'!$BZ$16)))),IF(N('Month-End'!$BZ$16)&lt;0,1,0),0)+IF(AND(OR(Settings!$B$29="Card",Settings!$B$29="Loan"),AND('Month-End'!$BZ$17&lt;&gt;"",NOT(_xlfn.ISFORMULA('Month-End'!$BZ$17)))),IF(N('Month-End'!$BZ$17)&lt;0,1,0),0)+IF(AND(OR(Settings!$B$30="Card",Settings!$B$30="Loan"),AND('Month-End'!$BZ$18&lt;&gt;"",NOT(_xlfn.ISFORMULA('Month-End'!$BZ$18)))),IF(N('Month-End'!$BZ$18)&lt;0,1,0),0)+IF(AND(OR(Settings!$B$31="Card",Settings!$B$31="Loan"),AND('Month-End'!$BZ$19&lt;&gt;"",NOT(_xlfn.ISFORMULA('Month-End'!$BZ$19)))),IF(N('Month-End'!$BZ$19)&lt;0,1,0),0)+IF(AND(OR(Settings!$B$32="Card",Settings!$B$32="Loan"),AND('Month-End'!$BZ$20&lt;&gt;"",NOT(_xlfn.ISFORMULA('Month-End'!$BZ$20)))),IF(N('Month-End'!$BZ$20)&lt;0,1,0),0)</f>
        <v/>
      </c>
      <c r="DX81">
        <f>IF(Settings!$B$36="Retirement",$AY81,0)+IF(Settings!$B$37="Retirement",$AZ81,0)+IF(Settings!$B$38="Retirement",$BA81,0)+IF(Settings!$B$39="Retirement",$BB81,0)+IF(Settings!$B$40="Retirement",$BC81,0)+IF(Settings!$B$41="Retirement",$BD81,0)</f>
        <v/>
      </c>
      <c r="EA81">
        <f>IF(Settings!$A$80="","",Settings!$A$80)</f>
        <v/>
      </c>
      <c r="EB81">
        <f>IF(Settings!$D$80="",0,IF(Settings!$D$80="Specific Account",IFERROR(INDEX($EB$40:$EB$59,MATCH(Settings!$F$80,$EA$40:$EA$59,0)),0),IFERROR(INDEX($EB$6:$EB$26,MATCH(Settings!$D$80,$EA$6:$EA$26,0)),0)))</f>
        <v/>
      </c>
      <c r="EC81">
        <f>IF(Settings!$A$80="","",IF(Settings!$B$80="Tithe Balance",$EB$23,IF(Settings!$E$80="Specific Account",IFERROR(INDEX($EB$40:$EB$59,MATCH(Settings!$F$80,$EA$40:$EA$59,0)),0),IFERROR(INDEX($EB$6:$EB$26,MATCH(Settings!$E$80,$EA$6:$EA$26,0)),0))))</f>
        <v/>
      </c>
      <c r="ED81">
        <f>IF(Settings!$A$80="","",IF(Settings!$B$80="Percentage",EB81*N(Settings!$C$80)/100,IF(Settings!$B$80="Multiple",EB81*N(Settings!$C$80),IF(Settings!$B$80="Tithe Balance",$EB$22,N(Settings!$C$80)))))</f>
        <v/>
      </c>
      <c r="EE81">
        <f>IF(Settings!$A$80="","",IF(Settings!$B$80="Pay Down To",MAX(0,EC81-ED81),MAX(0,ED81-EC81)))</f>
        <v/>
      </c>
      <c r="EF81">
        <f>IF(Settings!$A$80="","",IF(Settings!$B$80="Pay Down To",IF(EC81&lt;=ED81,"Met","Above target"),IF(EC81&gt;=ED81-0.005,"Met","Remaining")))</f>
        <v/>
      </c>
      <c r="EG81">
        <f>IF(Settings!$A$80="","",IF(Settings!$B$80="Pay Down To",IF(EC81&lt;=0,1,MIN(1,ED81/EC81)),IF(ED81&lt;=0,1,EC81/ED81)))</f>
        <v/>
      </c>
      <c r="EH81">
        <f>IF(OR(Settings!$A$80="",EE81&lt;=0),"",IF(Settings!$B$80="Save By Date",IF(Settings!$G$80="","Set a target date","Need "&amp;TEXT(EE81/MAX(1,(YEAR(Settings!$G$80)-YEAR(TODAY()))*12+MONTH(Settings!$G$80)-MONTH(TODAY())+1),"$#,##0")&amp;"/mo to "&amp;TEXT(Settings!$G$80,"mmm yyyy")),IF(Settings!$B$80="Annual Contribution","Need "&amp;TEXT(EE81/MAX(1,12-MONTH(TODAY())+1),"$#,##0")&amp;"/mo rest of year",IF(Settings!$B$80="Tithe Balance","This quarter",""))))</f>
        <v/>
      </c>
      <c r="ET81">
        <f>IF($E81&lt;&gt;"open",0,IF(AND('Month-End'!$BZ$22&lt;&gt;"",NOT(_xlfn.ISFORMULA('Month-End'!$BZ$22))),0,IF(OR(Settings!$C$45="",Settings!$D$45=""),0,Settings!$C$45*IF(Settings!$D$45="Weekly",IF(IFERROR(MATCH(Settings!$E$45,$EO$4:$EO$10,0),0)=0,0,IF(MIN(Settings!$B$5,IF(Settings!$G$45="",Settings!$B$5,Settings!$G$45))&lt;MAX($A81,Settings!$F$45),0,INT((MIN(Settings!$B$5,IF(Settings!$G$45="",Settings!$B$5,Settings!$G$45))-MAX($A81,Settings!$F$45)-MOD(IFERROR(MATCH(Settings!$E$45,$EO$4:$EO$10,0),0)-WEEKDAY(MAX($A81,Settings!$F$45)),7))/7)+1)),IF(AND(IF(Settings!$E$45="",$B81,DATE(YEAR($A81),MONTH($A81),MIN(Settings!$E$45,DAY($B81))))&gt;=MAX($A81,Settings!$F$45),IF(Settings!$E$45="",$B81,DATE(YEAR($A81),MONTH($A81),MIN(Settings!$E$45,DAY($B81))))&lt;=MIN(Settings!$B$5,IF(Settings!$G$45="",Settings!$B$5,Settings!$G$45))),1,0)))))</f>
        <v/>
      </c>
      <c r="EU81">
        <f>IF($E81&lt;&gt;"open",0,IF(AND('Month-End'!$BZ$23&lt;&gt;"",NOT(_xlfn.ISFORMULA('Month-End'!$BZ$23))),0,IF(OR(Settings!$C$46="",Settings!$D$46=""),0,Settings!$C$46*IF(Settings!$D$46="Weekly",IF(IFERROR(MATCH(Settings!$E$46,$EO$4:$EO$10,0),0)=0,0,IF(MIN(Settings!$B$5,IF(Settings!$G$46="",Settings!$B$5,Settings!$G$46))&lt;MAX($A81,Settings!$F$46),0,INT((MIN(Settings!$B$5,IF(Settings!$G$46="",Settings!$B$5,Settings!$G$46))-MAX($A81,Settings!$F$46)-MOD(IFERROR(MATCH(Settings!$E$46,$EO$4:$EO$10,0),0)-WEEKDAY(MAX($A81,Settings!$F$46)),7))/7)+1)),IF(AND(IF(Settings!$E$46="",$B81,DATE(YEAR($A81),MONTH($A81),MIN(Settings!$E$46,DAY($B81))))&gt;=MAX($A81,Settings!$F$46),IF(Settings!$E$46="",$B81,DATE(YEAR($A81),MONTH($A81),MIN(Settings!$E$46,DAY($B81))))&lt;=MIN(Settings!$B$5,IF(Settings!$G$46="",Settings!$B$5,Settings!$G$46))),1,0)))))</f>
        <v/>
      </c>
      <c r="EV81">
        <f>IF($E81&lt;&gt;"open",0,IF(AND('Month-End'!$BZ$24&lt;&gt;"",NOT(_xlfn.ISFORMULA('Month-End'!$BZ$24))),0,IF(OR(Settings!$C$47="",Settings!$D$47=""),0,Settings!$C$47*IF(Settings!$D$47="Weekly",IF(IFERROR(MATCH(Settings!$E$47,$EO$4:$EO$10,0),0)=0,0,IF(MIN(Settings!$B$5,IF(Settings!$G$47="",Settings!$B$5,Settings!$G$47))&lt;MAX($A81,Settings!$F$47),0,INT((MIN(Settings!$B$5,IF(Settings!$G$47="",Settings!$B$5,Settings!$G$47))-MAX($A81,Settings!$F$47)-MOD(IFERROR(MATCH(Settings!$E$47,$EO$4:$EO$10,0),0)-WEEKDAY(MAX($A81,Settings!$F$47)),7))/7)+1)),IF(AND(IF(Settings!$E$47="",$B81,DATE(YEAR($A81),MONTH($A81),MIN(Settings!$E$47,DAY($B81))))&gt;=MAX($A81,Settings!$F$47),IF(Settings!$E$47="",$B81,DATE(YEAR($A81),MONTH($A81),MIN(Settings!$E$47,DAY($B81))))&lt;=MIN(Settings!$B$5,IF(Settings!$G$47="",Settings!$B$5,Settings!$G$47))),1,0)))))</f>
        <v/>
      </c>
      <c r="EW81">
        <f>IF($E81&lt;&gt;"open",0,IF(AND('Month-End'!$BZ$25&lt;&gt;"",NOT(_xlfn.ISFORMULA('Month-End'!$BZ$25))),0,IF(OR(Settings!$C$48="",Settings!$D$48=""),0,Settings!$C$48*IF(Settings!$D$48="Weekly",IF(IFERROR(MATCH(Settings!$E$48,$EO$4:$EO$10,0),0)=0,0,IF(MIN(Settings!$B$5,IF(Settings!$G$48="",Settings!$B$5,Settings!$G$48))&lt;MAX($A81,Settings!$F$48),0,INT((MIN(Settings!$B$5,IF(Settings!$G$48="",Settings!$B$5,Settings!$G$48))-MAX($A81,Settings!$F$48)-MOD(IFERROR(MATCH(Settings!$E$48,$EO$4:$EO$10,0),0)-WEEKDAY(MAX($A81,Settings!$F$48)),7))/7)+1)),IF(AND(IF(Settings!$E$48="",$B81,DATE(YEAR($A81),MONTH($A81),MIN(Settings!$E$48,DAY($B81))))&gt;=MAX($A81,Settings!$F$48),IF(Settings!$E$48="",$B81,DATE(YEAR($A81),MONTH($A81),MIN(Settings!$E$48,DAY($B81))))&lt;=MIN(Settings!$B$5,IF(Settings!$G$48="",Settings!$B$5,Settings!$G$48))),1,0)))))</f>
        <v/>
      </c>
      <c r="EX81">
        <f>IF($E81&lt;&gt;"open",0,IF(AND('Month-End'!$BZ$26&lt;&gt;"",NOT(_xlfn.ISFORMULA('Month-End'!$BZ$26))),0,IF(OR(Settings!$C$49="",Settings!$D$49=""),0,Settings!$C$49*IF(Settings!$D$49="Weekly",IF(IFERROR(MATCH(Settings!$E$49,$EO$4:$EO$10,0),0)=0,0,IF(MIN(Settings!$B$5,IF(Settings!$G$49="",Settings!$B$5,Settings!$G$49))&lt;MAX($A81,Settings!$F$49),0,INT((MIN(Settings!$B$5,IF(Settings!$G$49="",Settings!$B$5,Settings!$G$49))-MAX($A81,Settings!$F$49)-MOD(IFERROR(MATCH(Settings!$E$49,$EO$4:$EO$10,0),0)-WEEKDAY(MAX($A81,Settings!$F$49)),7))/7)+1)),IF(AND(IF(Settings!$E$49="",$B81,DATE(YEAR($A81),MONTH($A81),MIN(Settings!$E$49,DAY($B81))))&gt;=MAX($A81,Settings!$F$49),IF(Settings!$E$49="",$B81,DATE(YEAR($A81),MONTH($A81),MIN(Settings!$E$49,DAY($B81))))&lt;=MIN(Settings!$B$5,IF(Settings!$G$49="",Settings!$B$5,Settings!$G$49))),1,0)))))</f>
        <v/>
      </c>
      <c r="EY81">
        <f>IF($E81&lt;&gt;"open",0,IF(AND('Month-End'!$BZ$27&lt;&gt;"",NOT(_xlfn.ISFORMULA('Month-End'!$BZ$27))),0,IF(OR(Settings!$C$50="",Settings!$D$50=""),0,Settings!$C$50*IF(Settings!$D$50="Weekly",IF(IFERROR(MATCH(Settings!$E$50,$EO$4:$EO$10,0),0)=0,0,IF(MIN(Settings!$B$5,IF(Settings!$G$50="",Settings!$B$5,Settings!$G$50))&lt;MAX($A81,Settings!$F$50),0,INT((MIN(Settings!$B$5,IF(Settings!$G$50="",Settings!$B$5,Settings!$G$50))-MAX($A81,Settings!$F$50)-MOD(IFERROR(MATCH(Settings!$E$50,$EO$4:$EO$10,0),0)-WEEKDAY(MAX($A81,Settings!$F$50)),7))/7)+1)),IF(AND(IF(Settings!$E$50="",$B81,DATE(YEAR($A81),MONTH($A81),MIN(Settings!$E$50,DAY($B81))))&gt;=MAX($A81,Settings!$F$50),IF(Settings!$E$50="",$B81,DATE(YEAR($A81),MONTH($A81),MIN(Settings!$E$50,DAY($B81))))&lt;=MIN(Settings!$B$5,IF(Settings!$G$50="",Settings!$B$5,Settings!$G$50))),1,0)))))</f>
        <v/>
      </c>
      <c r="EZ81">
        <f>IF($E81&lt;&gt;"open",0,IF(AND('Month-End'!$BZ$28&lt;&gt;"",NOT(_xlfn.ISFORMULA('Month-End'!$BZ$28))),0,IF(OR(Settings!$C$51="",Settings!$D$51=""),0,Settings!$C$51*IF(Settings!$D$51="Weekly",IF(IFERROR(MATCH(Settings!$E$51,$EO$4:$EO$10,0),0)=0,0,IF(MIN(Settings!$B$5,IF(Settings!$G$51="",Settings!$B$5,Settings!$G$51))&lt;MAX($A81,Settings!$F$51),0,INT((MIN(Settings!$B$5,IF(Settings!$G$51="",Settings!$B$5,Settings!$G$51))-MAX($A81,Settings!$F$51)-MOD(IFERROR(MATCH(Settings!$E$51,$EO$4:$EO$10,0),0)-WEEKDAY(MAX($A81,Settings!$F$51)),7))/7)+1)),IF(AND(IF(Settings!$E$51="",$B81,DATE(YEAR($A81),MONTH($A81),MIN(Settings!$E$51,DAY($B81))))&gt;=MAX($A81,Settings!$F$51),IF(Settings!$E$51="",$B81,DATE(YEAR($A81),MONTH($A81),MIN(Settings!$E$51,DAY($B81))))&lt;=MIN(Settings!$B$5,IF(Settings!$G$51="",Settings!$B$5,Settings!$G$51))),1,0)))))</f>
        <v/>
      </c>
      <c r="FA81">
        <f>IF($E81&lt;&gt;"open",0,IF(AND('Month-End'!$BZ$29&lt;&gt;"",NOT(_xlfn.ISFORMULA('Month-End'!$BZ$29))),0,IF(OR(Settings!$C$52="",Settings!$D$52=""),0,Settings!$C$52*IF(Settings!$D$52="Weekly",IF(IFERROR(MATCH(Settings!$E$52,$EO$4:$EO$10,0),0)=0,0,IF(MIN(Settings!$B$5,IF(Settings!$G$52="",Settings!$B$5,Settings!$G$52))&lt;MAX($A81,Settings!$F$52),0,INT((MIN(Settings!$B$5,IF(Settings!$G$52="",Settings!$B$5,Settings!$G$52))-MAX($A81,Settings!$F$52)-MOD(IFERROR(MATCH(Settings!$E$52,$EO$4:$EO$10,0),0)-WEEKDAY(MAX($A81,Settings!$F$52)),7))/7)+1)),IF(AND(IF(Settings!$E$52="",$B81,DATE(YEAR($A81),MONTH($A81),MIN(Settings!$E$52,DAY($B81))))&gt;=MAX($A81,Settings!$F$52),IF(Settings!$E$52="",$B81,DATE(YEAR($A81),MONTH($A81),MIN(Settings!$E$52,DAY($B81))))&lt;=MIN(Settings!$B$5,IF(Settings!$G$52="",Settings!$B$5,Settings!$G$52))),1,0)))))</f>
        <v/>
      </c>
      <c r="FB81">
        <f>IF($E81&lt;&gt;"open",0,IF(AND('Month-End'!$BZ$30&lt;&gt;"",NOT(_xlfn.ISFORMULA('Month-End'!$BZ$30))),0,IF(OR(Settings!$C$53="",Settings!$D$53=""),0,Settings!$C$53*IF(Settings!$D$53="Weekly",IF(IFERROR(MATCH(Settings!$E$53,$EO$4:$EO$10,0),0)=0,0,IF(MIN(Settings!$B$5,IF(Settings!$G$53="",Settings!$B$5,Settings!$G$53))&lt;MAX($A81,Settings!$F$53),0,INT((MIN(Settings!$B$5,IF(Settings!$G$53="",Settings!$B$5,Settings!$G$53))-MAX($A81,Settings!$F$53)-MOD(IFERROR(MATCH(Settings!$E$53,$EO$4:$EO$10,0),0)-WEEKDAY(MAX($A81,Settings!$F$53)),7))/7)+1)),IF(AND(IF(Settings!$E$53="",$B81,DATE(YEAR($A81),MONTH($A81),MIN(Settings!$E$53,DAY($B81))))&gt;=MAX($A81,Settings!$F$53),IF(Settings!$E$53="",$B81,DATE(YEAR($A81),MONTH($A81),MIN(Settings!$E$53,DAY($B81))))&lt;=MIN(Settings!$B$5,IF(Settings!$G$53="",Settings!$B$5,Settings!$G$53))),1,0)))))</f>
        <v/>
      </c>
      <c r="FC81">
        <f>IF($E81&lt;&gt;"open",0,IF(AND('Month-End'!$BZ$31&lt;&gt;"",NOT(_xlfn.ISFORMULA('Month-End'!$BZ$31))),0,IF(OR(Settings!$C$54="",Settings!$D$54=""),0,Settings!$C$54*IF(Settings!$D$54="Weekly",IF(IFERROR(MATCH(Settings!$E$54,$EO$4:$EO$10,0),0)=0,0,IF(MIN(Settings!$B$5,IF(Settings!$G$54="",Settings!$B$5,Settings!$G$54))&lt;MAX($A81,Settings!$F$54),0,INT((MIN(Settings!$B$5,IF(Settings!$G$54="",Settings!$B$5,Settings!$G$54))-MAX($A81,Settings!$F$54)-MOD(IFERROR(MATCH(Settings!$E$54,$EO$4:$EO$10,0),0)-WEEKDAY(MAX($A81,Settings!$F$54)),7))/7)+1)),IF(AND(IF(Settings!$E$54="",$B81,DATE(YEAR($A81),MONTH($A81),MIN(Settings!$E$54,DAY($B81))))&gt;=MAX($A81,Settings!$F$54),IF(Settings!$E$54="",$B81,DATE(YEAR($A81),MONTH($A81),MIN(Settings!$E$54,DAY($B81))))&lt;=MIN(Settings!$B$5,IF(Settings!$G$54="",Settings!$B$5,Settings!$G$54))),1,0)))))</f>
        <v/>
      </c>
      <c r="FD81">
        <f>IF($E81&lt;&gt;"open",0,IF(AND('Month-End'!$BZ$32&lt;&gt;"",NOT(_xlfn.ISFORMULA('Month-End'!$BZ$32))),0,IF(OR(Settings!$C$55="",Settings!$D$55=""),0,Settings!$C$55*IF(Settings!$D$55="Weekly",IF(IFERROR(MATCH(Settings!$E$55,$EO$4:$EO$10,0),0)=0,0,IF(MIN(Settings!$B$5,IF(Settings!$G$55="",Settings!$B$5,Settings!$G$55))&lt;MAX($A81,Settings!$F$55),0,INT((MIN(Settings!$B$5,IF(Settings!$G$55="",Settings!$B$5,Settings!$G$55))-MAX($A81,Settings!$F$55)-MOD(IFERROR(MATCH(Settings!$E$55,$EO$4:$EO$10,0),0)-WEEKDAY(MAX($A81,Settings!$F$55)),7))/7)+1)),IF(AND(IF(Settings!$E$55="",$B81,DATE(YEAR($A81),MONTH($A81),MIN(Settings!$E$55,DAY($B81))))&gt;=MAX($A81,Settings!$F$55),IF(Settings!$E$55="",$B81,DATE(YEAR($A81),MONTH($A81),MIN(Settings!$E$55,DAY($B81))))&lt;=MIN(Settings!$B$5,IF(Settings!$G$55="",Settings!$B$5,Settings!$G$55))),1,0)))))</f>
        <v/>
      </c>
      <c r="FE81">
        <f>IF($E81&lt;&gt;"open",0,IF(AND('Month-End'!$BZ$33&lt;&gt;"",NOT(_xlfn.ISFORMULA('Month-End'!$BZ$33))),0,IF(OR(Settings!$C$56="",Settings!$D$56=""),0,Settings!$C$56*IF(Settings!$D$56="Weekly",IF(IFERROR(MATCH(Settings!$E$56,$EO$4:$EO$10,0),0)=0,0,IF(MIN(Settings!$B$5,IF(Settings!$G$56="",Settings!$B$5,Settings!$G$56))&lt;MAX($A81,Settings!$F$56),0,INT((MIN(Settings!$B$5,IF(Settings!$G$56="",Settings!$B$5,Settings!$G$56))-MAX($A81,Settings!$F$56)-MOD(IFERROR(MATCH(Settings!$E$56,$EO$4:$EO$10,0),0)-WEEKDAY(MAX($A81,Settings!$F$56)),7))/7)+1)),IF(AND(IF(Settings!$E$56="",$B81,DATE(YEAR($A81),MONTH($A81),MIN(Settings!$E$56,DAY($B81))))&gt;=MAX($A81,Settings!$F$56),IF(Settings!$E$56="",$B81,DATE(YEAR($A81),MONTH($A81),MIN(Settings!$E$56,DAY($B81))))&lt;=MIN(Settings!$B$5,IF(Settings!$G$56="",Settings!$B$5,Settings!$G$56))),1,0)))))</f>
        <v/>
      </c>
      <c r="FF81">
        <f>IF(Settings!$I$45="Yes",$G81,0)+IF(Settings!$I$46="Yes",$H81,0)+IF(Settings!$I$47="Yes",$I81,0)+IF(Settings!$I$48="Yes",$J81,0)+IF(Settings!$I$49="Yes",$K81,0)+IF(Settings!$I$50="Yes",$L81,0)+IF(Settings!$I$51="Yes",$M81,0)+IF(Settings!$I$52="Yes",$N81,0)+IF(Settings!$I$53="Yes",$O81,0)+IF(Settings!$I$54="Yes",$P81,0)+IF(Settings!$I$55="Yes",$Q81,0)+IF(Settings!$I$56="Yes",$R81,0)</f>
        <v/>
      </c>
      <c r="FG81">
        <f>IF(AND(Settings!$I$45="Yes",Settings!$J$45="No"),$G81,0)+IF(AND(Settings!$I$46="Yes",Settings!$J$46="No"),$H81,0)+IF(AND(Settings!$I$47="Yes",Settings!$J$47="No"),$I81,0)+IF(AND(Settings!$I$48="Yes",Settings!$J$48="No"),$J81,0)+IF(AND(Settings!$I$49="Yes",Settings!$J$49="No"),$K81,0)+IF(AND(Settings!$I$50="Yes",Settings!$J$50="No"),$L81,0)+IF(AND(Settings!$I$51="Yes",Settings!$J$51="No"),$M81,0)+IF(AND(Settings!$I$52="Yes",Settings!$J$52="No"),$N81,0)+IF(AND(Settings!$I$53="Yes",Settings!$J$53="No"),$O81,0)+IF(AND(Settings!$I$54="Yes",Settings!$J$54="No"),$P81,0)+IF(AND(Settings!$I$55="Yes",Settings!$J$55="No"),$Q81,0)+IF(AND(Settings!$I$56="Yes",Settings!$J$56="No"),$R81,0)</f>
        <v/>
      </c>
      <c r="FH81">
        <f>SUMIFS(Giving!$B$7:$B$2006,Giving!$A$7:$A$2006,"&gt;="&amp;$A81,Giving!$A$7:$A$2006,"&lt;="&amp;$B81,Giving!$G$7:$G$2006,"Yes")+IF(OR(OR(Settings!$B$60="",Settings!$F$60="No"),Settings!$H$60&lt;&gt;"Yes"),0,Settings!$B$60*IF(AND(IF(Settings!$C$60="",$B81,DATE(YEAR($A81),MONTH($A81),MIN(Settings!$C$60,DAY($B81))))&gt;=MAX($A81,Settings!$D$60),IF(Settings!$C$60="",$B81,DATE(YEAR($A81),MONTH($A81),MIN(Settings!$C$60,DAY($B81))))&lt;=MIN($C81,IF(Settings!$E$60="",$C81,Settings!$E$60))),1,0))+IF(OR(OR(Settings!$B$61="",Settings!$F$61="No"),Settings!$H$61&lt;&gt;"Yes"),0,Settings!$B$61*IF(AND(IF(Settings!$C$61="",$B81,DATE(YEAR($A81),MONTH($A81),MIN(Settings!$C$61,DAY($B81))))&gt;=MAX($A81,Settings!$D$61),IF(Settings!$C$61="",$B81,DATE(YEAR($A81),MONTH($A81),MIN(Settings!$C$61,DAY($B81))))&lt;=MIN($C81,IF(Settings!$E$61="",$C81,Settings!$E$61))),1,0))+IF(OR(OR(Settings!$B$62="",Settings!$F$62="No"),Settings!$H$62&lt;&gt;"Yes"),0,Settings!$B$62*IF(AND(IF(Settings!$C$62="",$B81,DATE(YEAR($A81),MONTH($A81),MIN(Settings!$C$62,DAY($B81))))&gt;=MAX($A81,Settings!$D$62),IF(Settings!$C$62="",$B81,DATE(YEAR($A81),MONTH($A81),MIN(Settings!$C$62,DAY($B81))))&lt;=MIN($C81,IF(Settings!$E$62="",$C81,Settings!$E$62))),1,0))+IF(OR(OR(Settings!$B$63="",Settings!$F$63="No"),Settings!$H$63&lt;&gt;"Yes"),0,Settings!$B$63*IF(AND(IF(Settings!$C$63="",$B81,DATE(YEAR($A81),MONTH($A81),MIN(Settings!$C$63,DAY($B81))))&gt;=MAX($A81,Settings!$D$63),IF(Settings!$C$63="",$B81,DATE(YEAR($A81),MONTH($A81),MIN(Settings!$C$63,DAY($B81))))&lt;=MIN($C81,IF(Settings!$E$63="",$C81,Settings!$E$63))),1,0))+IF(OR(OR(Settings!$B$64="",Settings!$F$64="No"),Settings!$H$64&lt;&gt;"Yes"),0,Settings!$B$64*IF(AND(IF(Settings!$C$64="",$B81,DATE(YEAR($A81),MONTH($A81),MIN(Settings!$C$64,DAY($B81))))&gt;=MAX($A81,Settings!$D$64),IF(Settings!$C$64="",$B81,DATE(YEAR($A81),MONTH($A81),MIN(Settings!$C$64,DAY($B81))))&lt;=MIN($C81,IF(Settings!$E$64="",$C81,Settings!$E$64))),1,0))+IF(OR(OR(Settings!$B$65="",Settings!$F$65="No"),Settings!$H$65&lt;&gt;"Yes"),0,Settings!$B$65*IF(AND(IF(Settings!$C$65="",$B81,DATE(YEAR($A81),MONTH($A81),MIN(Settings!$C$65,DAY($B81))))&gt;=MAX($A81,Settings!$D$65),IF(Settings!$C$65="",$B81,DATE(YEAR($A81),MONTH($A81),MIN(Settings!$C$65,DAY($B81))))&lt;=MIN($C81,IF(Settings!$E$65="",$C81,Settings!$E$65))),1,0))</f>
        <v/>
      </c>
      <c r="FI81">
        <f>IF($DT81=1,IF(OR(Settings!$B$19="Card",Settings!$B$19="Loan"),N($AE81),0)+IF(OR(Settings!$B$20="Card",Settings!$B$20="Loan"),N($AF81),0)+IF(OR(Settings!$B$21="Card",Settings!$B$21="Loan"),N($AG81),0)+IF(OR(Settings!$B$22="Card",Settings!$B$22="Loan"),N($AH81),0)+IF(OR(Settings!$B$23="Card",Settings!$B$23="Loan"),N($AI81),0)+IF(OR(Settings!$B$24="Card",Settings!$B$24="Loan"),N($AJ81),0)+IF(OR(Settings!$B$25="Card",Settings!$B$25="Loan"),N($AK81),0)+IF(OR(Settings!$B$26="Card",Settings!$B$26="Loan"),N($AL81),0)+IF(OR(Settings!$B$27="Card",Settings!$B$27="Loan"),N($AM81),0)+IF(OR(Settings!$B$28="Card",Settings!$B$28="Loan"),N($AN81),0)+IF(OR(Settings!$B$29="Card",Settings!$B$29="Loan"),N($AO81),0)+IF(OR(Settings!$B$30="Card",Settings!$B$30="Loan"),N($AP81),0)+IF(OR(Settings!$B$31="Card",Settings!$B$31="Loan"),N($AQ81),0)+IF(OR(Settings!$B$32="Card",Settings!$B$32="Loan"),N($AR81),0),"")</f>
        <v/>
      </c>
      <c r="FJ81">
        <f>IF($E81="open",$EB$65,IF($E81="post",IF($E80="pre",$EB$65,$FI80),""))</f>
        <v/>
      </c>
      <c r="FK81">
        <f>IF(AND($DT81=1,$DC81=1),IF(ROUND($FI81-$FJ81,2)&gt;0,1,0),0)</f>
        <v/>
      </c>
      <c r="FL81">
        <f>IF($FK81=1,$FL80+1,0)</f>
        <v/>
      </c>
    </row>
    <row r="82">
      <c r="A82">
        <f>'Month-End'!$CA$4</f>
        <v/>
      </c>
      <c r="B82">
        <f>EOMONTH($A82,0)</f>
        <v/>
      </c>
      <c r="C82">
        <f>MIN($B82,TODAY())</f>
        <v/>
      </c>
      <c r="D82">
        <f>IF($A82&gt;TODAY(),1,0)</f>
        <v/>
      </c>
      <c r="E82">
        <f>IF($B82&lt;=Settings!$B$5,"pre",IF($A82&lt;=Settings!$B$5,"open","post"))</f>
        <v/>
      </c>
      <c r="G82">
        <f>IF('Month-End'!$CA$22="",$BE82,N('Month-End'!$CA$22))</f>
        <v/>
      </c>
      <c r="H82">
        <f>IF('Month-End'!$CA$23="",$BF82,N('Month-End'!$CA$23))</f>
        <v/>
      </c>
      <c r="I82">
        <f>IF('Month-End'!$CA$24="",$BG82,N('Month-End'!$CA$24))</f>
        <v/>
      </c>
      <c r="J82">
        <f>IF('Month-End'!$CA$25="",$BH82,N('Month-End'!$CA$25))</f>
        <v/>
      </c>
      <c r="K82">
        <f>IF('Month-End'!$CA$26="",$BI82,N('Month-End'!$CA$26))</f>
        <v/>
      </c>
      <c r="L82">
        <f>IF('Month-End'!$CA$27="",$BJ82,N('Month-End'!$CA$27))</f>
        <v/>
      </c>
      <c r="M82">
        <f>IF('Month-End'!$CA$28="",$BK82,N('Month-End'!$CA$28))</f>
        <v/>
      </c>
      <c r="N82">
        <f>IF('Month-End'!$CA$29="",$BL82,N('Month-End'!$CA$29))</f>
        <v/>
      </c>
      <c r="O82">
        <f>IF('Month-End'!$CA$30="",$BM82,N('Month-End'!$CA$30))</f>
        <v/>
      </c>
      <c r="P82">
        <f>IF('Month-End'!$CA$31="",$BN82,N('Month-End'!$CA$31))</f>
        <v/>
      </c>
      <c r="Q82">
        <f>IF('Month-End'!$CA$32="",$BO82,N('Month-End'!$CA$32))</f>
        <v/>
      </c>
      <c r="R82">
        <f>IF('Month-End'!$CA$33="",$BP82,N('Month-End'!$CA$33))</f>
        <v/>
      </c>
      <c r="S82">
        <f>$G82+$H82+$I82+$J82+$K82+$L82+$M82+$N82+$O82+$P82+$Q82+$R82</f>
        <v/>
      </c>
      <c r="T82">
        <f>IF($B82&lt;Settings!$B$6,0,IF(Settings!$B$45="Yes",$G82,0)+IF(Settings!$B$46="Yes",$H82,0)+IF(Settings!$B$47="Yes",$I82,0)+IF(Settings!$B$48="Yes",$J82,0)+IF(Settings!$B$49="Yes",$K82,0)+IF(Settings!$B$50="Yes",$L82,0)+IF(Settings!$B$51="Yes",$M82,0)+IF(Settings!$B$52="Yes",$N82,0)+IF(Settings!$B$53="Yes",$O82,0)+IF(Settings!$B$54="Yes",$P82,0)+IF(Settings!$B$55="Yes",$Q82,0)+IF(Settings!$B$56="Yes",$R82,0))</f>
        <v/>
      </c>
      <c r="U82">
        <f>IF(Settings!$B$45="Not Sure",$G82,0)+IF(Settings!$B$46="Not Sure",$H82,0)+IF(Settings!$B$47="Not Sure",$I82,0)+IF(Settings!$B$48="Not Sure",$J82,0)+IF(Settings!$B$49="Not Sure",$K82,0)+IF(Settings!$B$50="Not Sure",$L82,0)+IF(Settings!$B$51="Not Sure",$M82,0)+IF(Settings!$B$52="Not Sure",$N82,0)+IF(Settings!$B$53="Not Sure",$O82,0)+IF(Settings!$B$54="Not Sure",$P82,0)+IF(Settings!$B$55="Not Sure",$Q82,0)+IF(Settings!$B$56="Not Sure",$R82,0)</f>
        <v/>
      </c>
      <c r="V82">
        <f>IF($E82="open",SUM($ET82:$FE82)+N(Settings!$B$13),0)</f>
        <v/>
      </c>
      <c r="W82">
        <f>IF($E82="post",$S82,IF($E82="open",$S82-$V82,0))</f>
        <v/>
      </c>
      <c r="X82">
        <f>SUMIFS(Giving!$B$7:$B$2006,Giving!$A$7:$A$2006,"&gt;="&amp;$A82,Giving!$A$7:$A$2006,"&lt;="&amp;$B82,Giving!$E$7:$E$2006,"&lt;&gt;No")</f>
        <v/>
      </c>
      <c r="Y82">
        <f>SUMIFS(Giving!$B$7:$B$2006,Giving!$A$7:$A$2006,"&gt;="&amp;$A82,Giving!$A$7:$A$2006,"&lt;="&amp;$B82,Giving!$E$7:$E$2006,"No")</f>
        <v/>
      </c>
      <c r="Z82">
        <f>IF(OR(Settings!$B$60="",Settings!$F$60="No"),0,Settings!$B$60*IF(AND(IF(Settings!$C$60="",$B82,DATE(YEAR($A82),MONTH($A82),MIN(Settings!$C$60,DAY($B82))))&gt;=MAX($A82,Settings!$D$60),IF(Settings!$C$60="",$B82,DATE(YEAR($A82),MONTH($A82),MIN(Settings!$C$60,DAY($B82))))&lt;=MIN($C82,IF(Settings!$E$60="",$C82,Settings!$E$60))),1,0))+IF(OR(Settings!$B$61="",Settings!$F$61="No"),0,Settings!$B$61*IF(AND(IF(Settings!$C$61="",$B82,DATE(YEAR($A82),MONTH($A82),MIN(Settings!$C$61,DAY($B82))))&gt;=MAX($A82,Settings!$D$61),IF(Settings!$C$61="",$B82,DATE(YEAR($A82),MONTH($A82),MIN(Settings!$C$61,DAY($B82))))&lt;=MIN($C82,IF(Settings!$E$61="",$C82,Settings!$E$61))),1,0))+IF(OR(Settings!$B$62="",Settings!$F$62="No"),0,Settings!$B$62*IF(AND(IF(Settings!$C$62="",$B82,DATE(YEAR($A82),MONTH($A82),MIN(Settings!$C$62,DAY($B82))))&gt;=MAX($A82,Settings!$D$62),IF(Settings!$C$62="",$B82,DATE(YEAR($A82),MONTH($A82),MIN(Settings!$C$62,DAY($B82))))&lt;=MIN($C82,IF(Settings!$E$62="",$C82,Settings!$E$62))),1,0))+IF(OR(Settings!$B$63="",Settings!$F$63="No"),0,Settings!$B$63*IF(AND(IF(Settings!$C$63="",$B82,DATE(YEAR($A82),MONTH($A82),MIN(Settings!$C$63,DAY($B82))))&gt;=MAX($A82,Settings!$D$63),IF(Settings!$C$63="",$B82,DATE(YEAR($A82),MONTH($A82),MIN(Settings!$C$63,DAY($B82))))&lt;=MIN($C82,IF(Settings!$E$63="",$C82,Settings!$E$63))),1,0))+IF(OR(Settings!$B$64="",Settings!$F$64="No"),0,Settings!$B$64*IF(AND(IF(Settings!$C$64="",$B82,DATE(YEAR($A82),MONTH($A82),MIN(Settings!$C$64,DAY($B82))))&gt;=MAX($A82,Settings!$D$64),IF(Settings!$C$64="",$B82,DATE(YEAR($A82),MONTH($A82),MIN(Settings!$C$64,DAY($B82))))&lt;=MIN($C82,IF(Settings!$E$64="",$C82,Settings!$E$64))),1,0))+IF(OR(Settings!$B$65="",Settings!$F$65="No"),0,Settings!$B$65*IF(AND(IF(Settings!$C$65="",$B82,DATE(YEAR($A82),MONTH($A82),MIN(Settings!$C$65,DAY($B82))))&gt;=MAX($A82,Settings!$D$65),IF(Settings!$C$65="",$B82,DATE(YEAR($A82),MONTH($A82),MIN(Settings!$C$65,DAY($B82))))&lt;=MIN($C82,IF(Settings!$E$65="",$C82,Settings!$E$65))),1,0))</f>
        <v/>
      </c>
      <c r="AA82">
        <f>$X82+$Z82</f>
        <v/>
      </c>
      <c r="AB82">
        <f>IF($E82="post",$AA82,IF($E82="open",SUMIFS(Giving!$B$7:$B$2006,Giving!$A$7:$A$2006,"&gt;"&amp;Settings!$B$5,Giving!$A$7:$A$2006,"&lt;="&amp;$B82,Giving!$E$7:$E$2006,"&lt;&gt;No")+IF(OR(Settings!$B$60="",Settings!$F$60="No"),0,Settings!$B$60*IF(AND(IF(Settings!$C$60="",$B82,DATE(YEAR($A82),MONTH($A82),MIN(Settings!$C$60,DAY($B82))))&gt;=MAX($A82,Settings!$D$60,Settings!$B$5+1),IF(Settings!$C$60="",$B82,DATE(YEAR($A82),MONTH($A82),MIN(Settings!$C$60,DAY($B82))))&lt;=MIN($C82,IF(Settings!$E$60="",$C82,Settings!$E$60))),1,0))+IF(OR(Settings!$B$61="",Settings!$F$61="No"),0,Settings!$B$61*IF(AND(IF(Settings!$C$61="",$B82,DATE(YEAR($A82),MONTH($A82),MIN(Settings!$C$61,DAY($B82))))&gt;=MAX($A82,Settings!$D$61,Settings!$B$5+1),IF(Settings!$C$61="",$B82,DATE(YEAR($A82),MONTH($A82),MIN(Settings!$C$61,DAY($B82))))&lt;=MIN($C82,IF(Settings!$E$61="",$C82,Settings!$E$61))),1,0))+IF(OR(Settings!$B$62="",Settings!$F$62="No"),0,Settings!$B$62*IF(AND(IF(Settings!$C$62="",$B82,DATE(YEAR($A82),MONTH($A82),MIN(Settings!$C$62,DAY($B82))))&gt;=MAX($A82,Settings!$D$62,Settings!$B$5+1),IF(Settings!$C$62="",$B82,DATE(YEAR($A82),MONTH($A82),MIN(Settings!$C$62,DAY($B82))))&lt;=MIN($C82,IF(Settings!$E$62="",$C82,Settings!$E$62))),1,0))+IF(OR(Settings!$B$63="",Settings!$F$63="No"),0,Settings!$B$63*IF(AND(IF(Settings!$C$63="",$B82,DATE(YEAR($A82),MONTH($A82),MIN(Settings!$C$63,DAY($B82))))&gt;=MAX($A82,Settings!$D$63,Settings!$B$5+1),IF(Settings!$C$63="",$B82,DATE(YEAR($A82),MONTH($A82),MIN(Settings!$C$63,DAY($B82))))&lt;=MIN($C82,IF(Settings!$E$63="",$C82,Settings!$E$63))),1,0))+IF(OR(Settings!$B$64="",Settings!$F$64="No"),0,Settings!$B$64*IF(AND(IF(Settings!$C$64="",$B82,DATE(YEAR($A82),MONTH($A82),MIN(Settings!$C$64,DAY($B82))))&gt;=MAX($A82,Settings!$D$64,Settings!$B$5+1),IF(Settings!$C$64="",$B82,DATE(YEAR($A82),MONTH($A82),MIN(Settings!$C$64,DAY($B82))))&lt;=MIN($C82,IF(Settings!$E$64="",$C82,Settings!$E$64))),1,0))+IF(OR(Settings!$B$65="",Settings!$F$65="No"),0,Settings!$B$65*IF(AND(IF(Settings!$C$65="",$B82,DATE(YEAR($A82),MONTH($A82),MIN(Settings!$C$65,DAY($B82))))&gt;=MAX($A82,Settings!$D$65,Settings!$B$5+1),IF(Settings!$C$65="",$B82,DATE(YEAR($A82),MONTH($A82),MIN(Settings!$C$65,DAY($B82))))&lt;=MIN($C82,IF(Settings!$E$65="",$C82,Settings!$E$65))),1,0)),0))</f>
        <v/>
      </c>
      <c r="AC82">
        <f>$AY82+$AZ82+$BA82+$BB82+$BC82+$BD82</f>
        <v/>
      </c>
      <c r="AD82">
        <f>$AC82</f>
        <v/>
      </c>
      <c r="AE82">
        <f>IF(OR(Settings!$A$19="",$E82="pre"),"",IF(AND('Month-End'!$CA$7&lt;&gt;"",NOT(_xlfn.ISFORMULA('Month-End'!$CA$7))),N('Month-End'!$CA$7),IF(OR($E82="open",$E81="pre"),N(Settings!$C$19),N($AE81))))</f>
        <v/>
      </c>
      <c r="AF82">
        <f>IF(OR(Settings!$A$20="",$E82="pre"),"",IF(AND('Month-End'!$CA$8&lt;&gt;"",NOT(_xlfn.ISFORMULA('Month-End'!$CA$8))),N('Month-End'!$CA$8),IF(OR($E82="open",$E81="pre"),N(Settings!$C$20),N($AF81))))</f>
        <v/>
      </c>
      <c r="AG82">
        <f>IF(OR(Settings!$A$21="",$E82="pre"),"",IF(AND('Month-End'!$CA$9&lt;&gt;"",NOT(_xlfn.ISFORMULA('Month-End'!$CA$9))),N('Month-End'!$CA$9),IF(OR($E82="open",$E81="pre"),N(Settings!$C$21),N($AG81))))</f>
        <v/>
      </c>
      <c r="AH82">
        <f>IF(OR(Settings!$A$22="",$E82="pre"),"",IF(AND('Month-End'!$CA$10&lt;&gt;"",NOT(_xlfn.ISFORMULA('Month-End'!$CA$10))),N('Month-End'!$CA$10),IF(OR($E82="open",$E81="pre"),N(Settings!$C$22),N($AH81))))</f>
        <v/>
      </c>
      <c r="AI82">
        <f>IF(OR(Settings!$A$23="",$E82="pre"),"",IF(AND('Month-End'!$CA$11&lt;&gt;"",NOT(_xlfn.ISFORMULA('Month-End'!$CA$11))),N('Month-End'!$CA$11),IF(OR($E82="open",$E81="pre"),N(Settings!$C$23),N($AI81))))</f>
        <v/>
      </c>
      <c r="AJ82">
        <f>IF(OR(Settings!$A$24="",$E82="pre"),"",IF(AND('Month-End'!$CA$12&lt;&gt;"",NOT(_xlfn.ISFORMULA('Month-End'!$CA$12))),N('Month-End'!$CA$12),IF(OR($E82="open",$E81="pre"),N(Settings!$C$24),N($AJ81))))</f>
        <v/>
      </c>
      <c r="AK82">
        <f>IF(OR(Settings!$A$25="",$E82="pre"),"",IF(AND('Month-End'!$CA$13&lt;&gt;"",NOT(_xlfn.ISFORMULA('Month-End'!$CA$13))),N('Month-End'!$CA$13),IF(OR($E82="open",$E81="pre"),N(Settings!$C$25),N($AK81))))</f>
        <v/>
      </c>
      <c r="AL82">
        <f>IF(OR(Settings!$A$26="",$E82="pre"),"",IF(AND('Month-End'!$CA$14&lt;&gt;"",NOT(_xlfn.ISFORMULA('Month-End'!$CA$14))),N('Month-End'!$CA$14),IF(OR($E82="open",$E81="pre"),N(Settings!$C$26),N($AL81))))</f>
        <v/>
      </c>
      <c r="AM82">
        <f>IF(OR(Settings!$A$27="",$E82="pre"),"",IF(AND('Month-End'!$CA$15&lt;&gt;"",NOT(_xlfn.ISFORMULA('Month-End'!$CA$15))),N('Month-End'!$CA$15),IF(OR($E82="open",$E81="pre"),N(Settings!$C$27),N($AM81))))</f>
        <v/>
      </c>
      <c r="AN82">
        <f>IF(OR(Settings!$A$28="",$E82="pre"),"",IF(AND('Month-End'!$CA$16&lt;&gt;"",NOT(_xlfn.ISFORMULA('Month-End'!$CA$16))),N('Month-End'!$CA$16),IF(OR($E82="open",$E81="pre"),N(Settings!$C$28),N($AN81))))</f>
        <v/>
      </c>
      <c r="AO82">
        <f>IF(OR(Settings!$A$29="",$E82="pre"),"",IF(AND('Month-End'!$CA$17&lt;&gt;"",NOT(_xlfn.ISFORMULA('Month-End'!$CA$17))),N('Month-End'!$CA$17),IF(OR($E82="open",$E81="pre"),N(Settings!$C$29),N($AO81))))</f>
        <v/>
      </c>
      <c r="AP82">
        <f>IF(OR(Settings!$A$30="",$E82="pre"),"",IF(AND('Month-End'!$CA$18&lt;&gt;"",NOT(_xlfn.ISFORMULA('Month-End'!$CA$18))),N('Month-End'!$CA$18),IF(OR($E82="open",$E81="pre"),N(Settings!$C$30),N($AP81))))</f>
        <v/>
      </c>
      <c r="AQ82">
        <f>IF(OR(Settings!$A$31="",$E82="pre"),"",IF(AND('Month-End'!$CA$19&lt;&gt;"",NOT(_xlfn.ISFORMULA('Month-End'!$CA$19))),N('Month-End'!$CA$19),IF(OR($E82="open",$E81="pre"),N(Settings!$C$31),N($AQ81))))</f>
        <v/>
      </c>
      <c r="AR82">
        <f>IF(OR(Settings!$A$32="",$E82="pre"),"",IF(AND('Month-End'!$CA$20&lt;&gt;"",NOT(_xlfn.ISFORMULA('Month-End'!$CA$20))),N('Month-End'!$CA$20),IF(OR($E82="open",$E81="pre"),N(Settings!$C$32),N($AR81))))</f>
        <v/>
      </c>
      <c r="AS82">
        <f>IF(OR(Settings!$A$36="",$E82="pre"),"",IF(AND('Month-End'!$CA$38&lt;&gt;"",NOT(_xlfn.ISFORMULA('Month-End'!$CA$38))),N('Month-End'!$CA$38),IF(OR($E82="open",$E81="pre"),N(Settings!$C$36),N($AS81))+$AY82))</f>
        <v/>
      </c>
      <c r="AT82">
        <f>IF(OR(Settings!$A$37="",$E82="pre"),"",IF(AND('Month-End'!$CA$39&lt;&gt;"",NOT(_xlfn.ISFORMULA('Month-End'!$CA$39))),N('Month-End'!$CA$39),IF(OR($E82="open",$E81="pre"),N(Settings!$C$37),N($AT81))+$AZ82))</f>
        <v/>
      </c>
      <c r="AU82">
        <f>IF(OR(Settings!$A$38="",$E82="pre"),"",IF(AND('Month-End'!$CA$40&lt;&gt;"",NOT(_xlfn.ISFORMULA('Month-End'!$CA$40))),N('Month-End'!$CA$40),IF(OR($E82="open",$E81="pre"),N(Settings!$C$38),N($AU81))+$BA82))</f>
        <v/>
      </c>
      <c r="AV82">
        <f>IF(OR(Settings!$A$39="",$E82="pre"),"",IF(AND('Month-End'!$CA$41&lt;&gt;"",NOT(_xlfn.ISFORMULA('Month-End'!$CA$41))),N('Month-End'!$CA$41),IF(OR($E82="open",$E81="pre"),N(Settings!$C$39),N($AV81))+$BB82))</f>
        <v/>
      </c>
      <c r="AW82">
        <f>IF(OR(Settings!$A$40="",$E82="pre"),"",IF(AND('Month-End'!$CA$42&lt;&gt;"",NOT(_xlfn.ISFORMULA('Month-End'!$CA$42))),N('Month-End'!$CA$42),IF(OR($E82="open",$E81="pre"),N(Settings!$C$40),N($AW81))+$BC82))</f>
        <v/>
      </c>
      <c r="AX82">
        <f>IF(OR(Settings!$A$41="",$E82="pre"),"",IF(AND('Month-End'!$CA$43&lt;&gt;"",NOT(_xlfn.ISFORMULA('Month-End'!$CA$43))),N('Month-End'!$CA$43),IF(OR($E82="open",$E81="pre"),N(Settings!$C$41),N($AX81))+$BD82))</f>
        <v/>
      </c>
      <c r="AY82">
        <f>IF($E82="pre",0,N('Month-End'!$CA$45))</f>
        <v/>
      </c>
      <c r="AZ82">
        <f>IF($E82="pre",0,N('Month-End'!$CA$46))</f>
        <v/>
      </c>
      <c r="BA82">
        <f>IF($E82="pre",0,N('Month-End'!$CA$47))</f>
        <v/>
      </c>
      <c r="BB82">
        <f>IF($E82="pre",0,N('Month-End'!$CA$48))</f>
        <v/>
      </c>
      <c r="BC82">
        <f>IF($E82="pre",0,N('Month-End'!$CA$49))</f>
        <v/>
      </c>
      <c r="BD82">
        <f>IF($E82="pre",0,N('Month-End'!$CA$50))</f>
        <v/>
      </c>
      <c r="BE82">
        <f>IF(OR(Settings!$C$45="",Settings!$D$45=""),0,Settings!$C$45*IF(Settings!$D$45="Weekly",IF(IFERROR(MATCH(Settings!$E$45,$EO$4:$EO$10,0),0)=0,0,IF(MIN($C82,IF(Settings!$G$45="",$C82,Settings!$G$45))&lt;MAX($A82,Settings!$F$45),0,INT((MIN($C82,IF(Settings!$G$45="",$C82,Settings!$G$45))-MAX($A82,Settings!$F$45)-MOD(IFERROR(MATCH(Settings!$E$45,$EO$4:$EO$10,0),0)-WEEKDAY(MAX($A82,Settings!$F$45)),7))/7)+1)),IF(AND(IF(Settings!$E$45="",$B82,DATE(YEAR($A82),MONTH($A82),MIN(Settings!$E$45,DAY($B82))))&gt;=MAX($A82,Settings!$F$45),IF(Settings!$E$45="",$B82,DATE(YEAR($A82),MONTH($A82),MIN(Settings!$E$45,DAY($B82))))&lt;=MIN($C82,IF(Settings!$G$45="",$C82,Settings!$G$45))),1,0)))</f>
        <v/>
      </c>
      <c r="BF82">
        <f>IF(OR(Settings!$C$46="",Settings!$D$46=""),0,Settings!$C$46*IF(Settings!$D$46="Weekly",IF(IFERROR(MATCH(Settings!$E$46,$EO$4:$EO$10,0),0)=0,0,IF(MIN($C82,IF(Settings!$G$46="",$C82,Settings!$G$46))&lt;MAX($A82,Settings!$F$46),0,INT((MIN($C82,IF(Settings!$G$46="",$C82,Settings!$G$46))-MAX($A82,Settings!$F$46)-MOD(IFERROR(MATCH(Settings!$E$46,$EO$4:$EO$10,0),0)-WEEKDAY(MAX($A82,Settings!$F$46)),7))/7)+1)),IF(AND(IF(Settings!$E$46="",$B82,DATE(YEAR($A82),MONTH($A82),MIN(Settings!$E$46,DAY($B82))))&gt;=MAX($A82,Settings!$F$46),IF(Settings!$E$46="",$B82,DATE(YEAR($A82),MONTH($A82),MIN(Settings!$E$46,DAY($B82))))&lt;=MIN($C82,IF(Settings!$G$46="",$C82,Settings!$G$46))),1,0)))</f>
        <v/>
      </c>
      <c r="BG82">
        <f>IF(OR(Settings!$C$47="",Settings!$D$47=""),0,Settings!$C$47*IF(Settings!$D$47="Weekly",IF(IFERROR(MATCH(Settings!$E$47,$EO$4:$EO$10,0),0)=0,0,IF(MIN($C82,IF(Settings!$G$47="",$C82,Settings!$G$47))&lt;MAX($A82,Settings!$F$47),0,INT((MIN($C82,IF(Settings!$G$47="",$C82,Settings!$G$47))-MAX($A82,Settings!$F$47)-MOD(IFERROR(MATCH(Settings!$E$47,$EO$4:$EO$10,0),0)-WEEKDAY(MAX($A82,Settings!$F$47)),7))/7)+1)),IF(AND(IF(Settings!$E$47="",$B82,DATE(YEAR($A82),MONTH($A82),MIN(Settings!$E$47,DAY($B82))))&gt;=MAX($A82,Settings!$F$47),IF(Settings!$E$47="",$B82,DATE(YEAR($A82),MONTH($A82),MIN(Settings!$E$47,DAY($B82))))&lt;=MIN($C82,IF(Settings!$G$47="",$C82,Settings!$G$47))),1,0)))</f>
        <v/>
      </c>
      <c r="BH82">
        <f>IF(OR(Settings!$C$48="",Settings!$D$48=""),0,Settings!$C$48*IF(Settings!$D$48="Weekly",IF(IFERROR(MATCH(Settings!$E$48,$EO$4:$EO$10,0),0)=0,0,IF(MIN($C82,IF(Settings!$G$48="",$C82,Settings!$G$48))&lt;MAX($A82,Settings!$F$48),0,INT((MIN($C82,IF(Settings!$G$48="",$C82,Settings!$G$48))-MAX($A82,Settings!$F$48)-MOD(IFERROR(MATCH(Settings!$E$48,$EO$4:$EO$10,0),0)-WEEKDAY(MAX($A82,Settings!$F$48)),7))/7)+1)),IF(AND(IF(Settings!$E$48="",$B82,DATE(YEAR($A82),MONTH($A82),MIN(Settings!$E$48,DAY($B82))))&gt;=MAX($A82,Settings!$F$48),IF(Settings!$E$48="",$B82,DATE(YEAR($A82),MONTH($A82),MIN(Settings!$E$48,DAY($B82))))&lt;=MIN($C82,IF(Settings!$G$48="",$C82,Settings!$G$48))),1,0)))</f>
        <v/>
      </c>
      <c r="BI82">
        <f>IF(OR(Settings!$C$49="",Settings!$D$49=""),0,Settings!$C$49*IF(Settings!$D$49="Weekly",IF(IFERROR(MATCH(Settings!$E$49,$EO$4:$EO$10,0),0)=0,0,IF(MIN($C82,IF(Settings!$G$49="",$C82,Settings!$G$49))&lt;MAX($A82,Settings!$F$49),0,INT((MIN($C82,IF(Settings!$G$49="",$C82,Settings!$G$49))-MAX($A82,Settings!$F$49)-MOD(IFERROR(MATCH(Settings!$E$49,$EO$4:$EO$10,0),0)-WEEKDAY(MAX($A82,Settings!$F$49)),7))/7)+1)),IF(AND(IF(Settings!$E$49="",$B82,DATE(YEAR($A82),MONTH($A82),MIN(Settings!$E$49,DAY($B82))))&gt;=MAX($A82,Settings!$F$49),IF(Settings!$E$49="",$B82,DATE(YEAR($A82),MONTH($A82),MIN(Settings!$E$49,DAY($B82))))&lt;=MIN($C82,IF(Settings!$G$49="",$C82,Settings!$G$49))),1,0)))</f>
        <v/>
      </c>
      <c r="BJ82">
        <f>IF(OR(Settings!$C$50="",Settings!$D$50=""),0,Settings!$C$50*IF(Settings!$D$50="Weekly",IF(IFERROR(MATCH(Settings!$E$50,$EO$4:$EO$10,0),0)=0,0,IF(MIN($C82,IF(Settings!$G$50="",$C82,Settings!$G$50))&lt;MAX($A82,Settings!$F$50),0,INT((MIN($C82,IF(Settings!$G$50="",$C82,Settings!$G$50))-MAX($A82,Settings!$F$50)-MOD(IFERROR(MATCH(Settings!$E$50,$EO$4:$EO$10,0),0)-WEEKDAY(MAX($A82,Settings!$F$50)),7))/7)+1)),IF(AND(IF(Settings!$E$50="",$B82,DATE(YEAR($A82),MONTH($A82),MIN(Settings!$E$50,DAY($B82))))&gt;=MAX($A82,Settings!$F$50),IF(Settings!$E$50="",$B82,DATE(YEAR($A82),MONTH($A82),MIN(Settings!$E$50,DAY($B82))))&lt;=MIN($C82,IF(Settings!$G$50="",$C82,Settings!$G$50))),1,0)))</f>
        <v/>
      </c>
      <c r="BK82">
        <f>IF(OR(Settings!$C$51="",Settings!$D$51=""),0,Settings!$C$51*IF(Settings!$D$51="Weekly",IF(IFERROR(MATCH(Settings!$E$51,$EO$4:$EO$10,0),0)=0,0,IF(MIN($C82,IF(Settings!$G$51="",$C82,Settings!$G$51))&lt;MAX($A82,Settings!$F$51),0,INT((MIN($C82,IF(Settings!$G$51="",$C82,Settings!$G$51))-MAX($A82,Settings!$F$51)-MOD(IFERROR(MATCH(Settings!$E$51,$EO$4:$EO$10,0),0)-WEEKDAY(MAX($A82,Settings!$F$51)),7))/7)+1)),IF(AND(IF(Settings!$E$51="",$B82,DATE(YEAR($A82),MONTH($A82),MIN(Settings!$E$51,DAY($B82))))&gt;=MAX($A82,Settings!$F$51),IF(Settings!$E$51="",$B82,DATE(YEAR($A82),MONTH($A82),MIN(Settings!$E$51,DAY($B82))))&lt;=MIN($C82,IF(Settings!$G$51="",$C82,Settings!$G$51))),1,0)))</f>
        <v/>
      </c>
      <c r="BL82">
        <f>IF(OR(Settings!$C$52="",Settings!$D$52=""),0,Settings!$C$52*IF(Settings!$D$52="Weekly",IF(IFERROR(MATCH(Settings!$E$52,$EO$4:$EO$10,0),0)=0,0,IF(MIN($C82,IF(Settings!$G$52="",$C82,Settings!$G$52))&lt;MAX($A82,Settings!$F$52),0,INT((MIN($C82,IF(Settings!$G$52="",$C82,Settings!$G$52))-MAX($A82,Settings!$F$52)-MOD(IFERROR(MATCH(Settings!$E$52,$EO$4:$EO$10,0),0)-WEEKDAY(MAX($A82,Settings!$F$52)),7))/7)+1)),IF(AND(IF(Settings!$E$52="",$B82,DATE(YEAR($A82),MONTH($A82),MIN(Settings!$E$52,DAY($B82))))&gt;=MAX($A82,Settings!$F$52),IF(Settings!$E$52="",$B82,DATE(YEAR($A82),MONTH($A82),MIN(Settings!$E$52,DAY($B82))))&lt;=MIN($C82,IF(Settings!$G$52="",$C82,Settings!$G$52))),1,0)))</f>
        <v/>
      </c>
      <c r="BM82">
        <f>IF(OR(Settings!$C$53="",Settings!$D$53=""),0,Settings!$C$53*IF(Settings!$D$53="Weekly",IF(IFERROR(MATCH(Settings!$E$53,$EO$4:$EO$10,0),0)=0,0,IF(MIN($C82,IF(Settings!$G$53="",$C82,Settings!$G$53))&lt;MAX($A82,Settings!$F$53),0,INT((MIN($C82,IF(Settings!$G$53="",$C82,Settings!$G$53))-MAX($A82,Settings!$F$53)-MOD(IFERROR(MATCH(Settings!$E$53,$EO$4:$EO$10,0),0)-WEEKDAY(MAX($A82,Settings!$F$53)),7))/7)+1)),IF(AND(IF(Settings!$E$53="",$B82,DATE(YEAR($A82),MONTH($A82),MIN(Settings!$E$53,DAY($B82))))&gt;=MAX($A82,Settings!$F$53),IF(Settings!$E$53="",$B82,DATE(YEAR($A82),MONTH($A82),MIN(Settings!$E$53,DAY($B82))))&lt;=MIN($C82,IF(Settings!$G$53="",$C82,Settings!$G$53))),1,0)))</f>
        <v/>
      </c>
      <c r="BN82">
        <f>IF(OR(Settings!$C$54="",Settings!$D$54=""),0,Settings!$C$54*IF(Settings!$D$54="Weekly",IF(IFERROR(MATCH(Settings!$E$54,$EO$4:$EO$10,0),0)=0,0,IF(MIN($C82,IF(Settings!$G$54="",$C82,Settings!$G$54))&lt;MAX($A82,Settings!$F$54),0,INT((MIN($C82,IF(Settings!$G$54="",$C82,Settings!$G$54))-MAX($A82,Settings!$F$54)-MOD(IFERROR(MATCH(Settings!$E$54,$EO$4:$EO$10,0),0)-WEEKDAY(MAX($A82,Settings!$F$54)),7))/7)+1)),IF(AND(IF(Settings!$E$54="",$B82,DATE(YEAR($A82),MONTH($A82),MIN(Settings!$E$54,DAY($B82))))&gt;=MAX($A82,Settings!$F$54),IF(Settings!$E$54="",$B82,DATE(YEAR($A82),MONTH($A82),MIN(Settings!$E$54,DAY($B82))))&lt;=MIN($C82,IF(Settings!$G$54="",$C82,Settings!$G$54))),1,0)))</f>
        <v/>
      </c>
      <c r="BO82">
        <f>IF(OR(Settings!$C$55="",Settings!$D$55=""),0,Settings!$C$55*IF(Settings!$D$55="Weekly",IF(IFERROR(MATCH(Settings!$E$55,$EO$4:$EO$10,0),0)=0,0,IF(MIN($C82,IF(Settings!$G$55="",$C82,Settings!$G$55))&lt;MAX($A82,Settings!$F$55),0,INT((MIN($C82,IF(Settings!$G$55="",$C82,Settings!$G$55))-MAX($A82,Settings!$F$55)-MOD(IFERROR(MATCH(Settings!$E$55,$EO$4:$EO$10,0),0)-WEEKDAY(MAX($A82,Settings!$F$55)),7))/7)+1)),IF(AND(IF(Settings!$E$55="",$B82,DATE(YEAR($A82),MONTH($A82),MIN(Settings!$E$55,DAY($B82))))&gt;=MAX($A82,Settings!$F$55),IF(Settings!$E$55="",$B82,DATE(YEAR($A82),MONTH($A82),MIN(Settings!$E$55,DAY($B82))))&lt;=MIN($C82,IF(Settings!$G$55="",$C82,Settings!$G$55))),1,0)))</f>
        <v/>
      </c>
      <c r="BP82">
        <f>IF(OR(Settings!$C$56="",Settings!$D$56=""),0,Settings!$C$56*IF(Settings!$D$56="Weekly",IF(IFERROR(MATCH(Settings!$E$56,$EO$4:$EO$10,0),0)=0,0,IF(MIN($C82,IF(Settings!$G$56="",$C82,Settings!$G$56))&lt;MAX($A82,Settings!$F$56),0,INT((MIN($C82,IF(Settings!$G$56="",$C82,Settings!$G$56))-MAX($A82,Settings!$F$56)-MOD(IFERROR(MATCH(Settings!$E$56,$EO$4:$EO$10,0),0)-WEEKDAY(MAX($A82,Settings!$F$56)),7))/7)+1)),IF(AND(IF(Settings!$E$56="",$B82,DATE(YEAR($A82),MONTH($A82),MIN(Settings!$E$56,DAY($B82))))&gt;=MAX($A82,Settings!$F$56),IF(Settings!$E$56="",$B82,DATE(YEAR($A82),MONTH($A82),MIN(Settings!$E$56,DAY($B82))))&lt;=MIN($C82,IF(Settings!$G$56="",$C82,Settings!$G$56))),1,0)))</f>
        <v/>
      </c>
      <c r="BQ82">
        <f>IF(OR(Settings!$B$14="",$D82=1,$E82="pre",$A82&lt;IF(Settings!$B$15="",0,Settings!$B$15)),0,Settings!$B$14)</f>
        <v/>
      </c>
      <c r="BR82">
        <f>IF(AND('Month-End'!$CA$7&lt;&gt;"",NOT(_xlfn.ISFORMULA('Month-End'!$CA$7))),1,0)</f>
        <v/>
      </c>
      <c r="BS82">
        <f>IF(AND('Month-End'!$CA$8&lt;&gt;"",NOT(_xlfn.ISFORMULA('Month-End'!$CA$8))),1,0)</f>
        <v/>
      </c>
      <c r="BT82">
        <f>IF(AND('Month-End'!$CA$9&lt;&gt;"",NOT(_xlfn.ISFORMULA('Month-End'!$CA$9))),1,0)</f>
        <v/>
      </c>
      <c r="BU82">
        <f>IF(AND('Month-End'!$CA$10&lt;&gt;"",NOT(_xlfn.ISFORMULA('Month-End'!$CA$10))),1,0)</f>
        <v/>
      </c>
      <c r="BV82">
        <f>IF(AND('Month-End'!$CA$11&lt;&gt;"",NOT(_xlfn.ISFORMULA('Month-End'!$CA$11))),1,0)</f>
        <v/>
      </c>
      <c r="BW82">
        <f>IF(AND('Month-End'!$CA$12&lt;&gt;"",NOT(_xlfn.ISFORMULA('Month-End'!$CA$12))),1,0)</f>
        <v/>
      </c>
      <c r="BX82">
        <f>IF(AND('Month-End'!$CA$13&lt;&gt;"",NOT(_xlfn.ISFORMULA('Month-End'!$CA$13))),1,0)</f>
        <v/>
      </c>
      <c r="BY82">
        <f>IF(AND('Month-End'!$CA$14&lt;&gt;"",NOT(_xlfn.ISFORMULA('Month-End'!$CA$14))),1,0)</f>
        <v/>
      </c>
      <c r="BZ82">
        <f>IF(AND('Month-End'!$CA$15&lt;&gt;"",NOT(_xlfn.ISFORMULA('Month-End'!$CA$15))),1,0)</f>
        <v/>
      </c>
      <c r="CA82">
        <f>IF(AND('Month-End'!$CA$16&lt;&gt;"",NOT(_xlfn.ISFORMULA('Month-End'!$CA$16))),1,0)</f>
        <v/>
      </c>
      <c r="CB82">
        <f>IF(AND('Month-End'!$CA$17&lt;&gt;"",NOT(_xlfn.ISFORMULA('Month-End'!$CA$17))),1,0)</f>
        <v/>
      </c>
      <c r="CC82">
        <f>IF(AND('Month-End'!$CA$18&lt;&gt;"",NOT(_xlfn.ISFORMULA('Month-End'!$CA$18))),1,0)</f>
        <v/>
      </c>
      <c r="CD82">
        <f>IF(AND('Month-End'!$CA$19&lt;&gt;"",NOT(_xlfn.ISFORMULA('Month-End'!$CA$19))),1,0)</f>
        <v/>
      </c>
      <c r="CE82">
        <f>IF(AND('Month-End'!$CA$20&lt;&gt;"",NOT(_xlfn.ISFORMULA('Month-End'!$CA$20))),1,0)</f>
        <v/>
      </c>
      <c r="CF82">
        <f>IF(AND('Month-End'!$CA$38&lt;&gt;"",NOT(_xlfn.ISFORMULA('Month-End'!$CA$38))),1,0)</f>
        <v/>
      </c>
      <c r="CG82">
        <f>IF(AND('Month-End'!$CA$39&lt;&gt;"",NOT(_xlfn.ISFORMULA('Month-End'!$CA$39))),1,0)</f>
        <v/>
      </c>
      <c r="CH82">
        <f>IF(AND('Month-End'!$CA$40&lt;&gt;"",NOT(_xlfn.ISFORMULA('Month-End'!$CA$40))),1,0)</f>
        <v/>
      </c>
      <c r="CI82">
        <f>IF(AND('Month-End'!$CA$41&lt;&gt;"",NOT(_xlfn.ISFORMULA('Month-End'!$CA$41))),1,0)</f>
        <v/>
      </c>
      <c r="CJ82">
        <f>IF(AND('Month-End'!$CA$42&lt;&gt;"",NOT(_xlfn.ISFORMULA('Month-End'!$CA$42))),1,0)</f>
        <v/>
      </c>
      <c r="CK82">
        <f>IF(AND('Month-End'!$CA$43&lt;&gt;"",NOT(_xlfn.ISFORMULA('Month-End'!$CA$43))),1,0)</f>
        <v/>
      </c>
      <c r="CL82">
        <f>SUM($CM82:$CZ82)</f>
        <v/>
      </c>
      <c r="CM82">
        <f>IF(AND($E82&lt;&gt;"pre",AND(Settings!$A$19&lt;&gt;"",Settings!$E$19&lt;&gt;"No"),Settings!$F$19="Yes",NOT(AND('Month-End'!$CA$7&lt;&gt;"",NOT(_xlfn.ISFORMULA('Month-End'!$CA$7))))),1,0)</f>
        <v/>
      </c>
      <c r="CN82">
        <f>IF(AND($E82&lt;&gt;"pre",AND(Settings!$A$20&lt;&gt;"",Settings!$E$20&lt;&gt;"No"),Settings!$F$20="Yes",NOT(AND('Month-End'!$CA$8&lt;&gt;"",NOT(_xlfn.ISFORMULA('Month-End'!$CA$8))))),1,0)</f>
        <v/>
      </c>
      <c r="CO82">
        <f>IF(AND($E82&lt;&gt;"pre",AND(Settings!$A$21&lt;&gt;"",Settings!$E$21&lt;&gt;"No"),Settings!$F$21="Yes",NOT(AND('Month-End'!$CA$9&lt;&gt;"",NOT(_xlfn.ISFORMULA('Month-End'!$CA$9))))),1,0)</f>
        <v/>
      </c>
      <c r="CP82">
        <f>IF(AND($E82&lt;&gt;"pre",AND(Settings!$A$22&lt;&gt;"",Settings!$E$22&lt;&gt;"No"),Settings!$F$22="Yes",NOT(AND('Month-End'!$CA$10&lt;&gt;"",NOT(_xlfn.ISFORMULA('Month-End'!$CA$10))))),1,0)</f>
        <v/>
      </c>
      <c r="CQ82">
        <f>IF(AND($E82&lt;&gt;"pre",AND(Settings!$A$23&lt;&gt;"",Settings!$E$23&lt;&gt;"No"),Settings!$F$23="Yes",NOT(AND('Month-End'!$CA$11&lt;&gt;"",NOT(_xlfn.ISFORMULA('Month-End'!$CA$11))))),1,0)</f>
        <v/>
      </c>
      <c r="CR82">
        <f>IF(AND($E82&lt;&gt;"pre",AND(Settings!$A$24&lt;&gt;"",Settings!$E$24&lt;&gt;"No"),Settings!$F$24="Yes",NOT(AND('Month-End'!$CA$12&lt;&gt;"",NOT(_xlfn.ISFORMULA('Month-End'!$CA$12))))),1,0)</f>
        <v/>
      </c>
      <c r="CS82">
        <f>IF(AND($E82&lt;&gt;"pre",AND(Settings!$A$25&lt;&gt;"",Settings!$E$25&lt;&gt;"No"),Settings!$F$25="Yes",NOT(AND('Month-End'!$CA$13&lt;&gt;"",NOT(_xlfn.ISFORMULA('Month-End'!$CA$13))))),1,0)</f>
        <v/>
      </c>
      <c r="CT82">
        <f>IF(AND($E82&lt;&gt;"pre",AND(Settings!$A$26&lt;&gt;"",Settings!$E$26&lt;&gt;"No"),Settings!$F$26="Yes",NOT(AND('Month-End'!$CA$14&lt;&gt;"",NOT(_xlfn.ISFORMULA('Month-End'!$CA$14))))),1,0)</f>
        <v/>
      </c>
      <c r="CU82">
        <f>IF(AND($E82&lt;&gt;"pre",AND(Settings!$A$27&lt;&gt;"",Settings!$E$27&lt;&gt;"No"),Settings!$F$27="Yes",NOT(AND('Month-End'!$CA$15&lt;&gt;"",NOT(_xlfn.ISFORMULA('Month-End'!$CA$15))))),1,0)</f>
        <v/>
      </c>
      <c r="CV82">
        <f>IF(AND($E82&lt;&gt;"pre",AND(Settings!$A$28&lt;&gt;"",Settings!$E$28&lt;&gt;"No"),Settings!$F$28="Yes",NOT(AND('Month-End'!$CA$16&lt;&gt;"",NOT(_xlfn.ISFORMULA('Month-End'!$CA$16))))),1,0)</f>
        <v/>
      </c>
      <c r="CW82">
        <f>IF(AND($E82&lt;&gt;"pre",AND(Settings!$A$29&lt;&gt;"",Settings!$E$29&lt;&gt;"No"),Settings!$F$29="Yes",NOT(AND('Month-End'!$CA$17&lt;&gt;"",NOT(_xlfn.ISFORMULA('Month-End'!$CA$17))))),1,0)</f>
        <v/>
      </c>
      <c r="CX82">
        <f>IF(AND($E82&lt;&gt;"pre",AND(Settings!$A$30&lt;&gt;"",Settings!$E$30&lt;&gt;"No"),Settings!$F$30="Yes",NOT(AND('Month-End'!$CA$18&lt;&gt;"",NOT(_xlfn.ISFORMULA('Month-End'!$CA$18))))),1,0)</f>
        <v/>
      </c>
      <c r="CY82">
        <f>IF(AND($E82&lt;&gt;"pre",AND(Settings!$A$31&lt;&gt;"",Settings!$E$31&lt;&gt;"No"),Settings!$F$31="Yes",NOT(AND('Month-End'!$CA$19&lt;&gt;"",NOT(_xlfn.ISFORMULA('Month-End'!$CA$19))))),1,0)</f>
        <v/>
      </c>
      <c r="CZ82">
        <f>IF(AND($E82&lt;&gt;"pre",AND(Settings!$A$32&lt;&gt;"",Settings!$E$32&lt;&gt;"No"),Settings!$F$32="Yes",NOT(AND('Month-End'!$CA$20&lt;&gt;"",NOT(_xlfn.ISFORMULA('Month-End'!$CA$20))))),1,0)</f>
        <v/>
      </c>
      <c r="DA82">
        <f>IF($DT82=1,IF(OR(Settings!$B$19="Checking",Settings!$B$19="Savings",Settings!$B$19="Cash"),N($AE82),IF(OR(Settings!$B$19="Card",Settings!$B$19="Loan"),-N($AE82),0))+IF(OR(Settings!$B$20="Checking",Settings!$B$20="Savings",Settings!$B$20="Cash"),N($AF82),IF(OR(Settings!$B$20="Card",Settings!$B$20="Loan"),-N($AF82),0))+IF(OR(Settings!$B$21="Checking",Settings!$B$21="Savings",Settings!$B$21="Cash"),N($AG82),IF(OR(Settings!$B$21="Card",Settings!$B$21="Loan"),-N($AG82),0))+IF(OR(Settings!$B$22="Checking",Settings!$B$22="Savings",Settings!$B$22="Cash"),N($AH82),IF(OR(Settings!$B$22="Card",Settings!$B$22="Loan"),-N($AH82),0))+IF(OR(Settings!$B$23="Checking",Settings!$B$23="Savings",Settings!$B$23="Cash"),N($AI82),IF(OR(Settings!$B$23="Card",Settings!$B$23="Loan"),-N($AI82),0))+IF(OR(Settings!$B$24="Checking",Settings!$B$24="Savings",Settings!$B$24="Cash"),N($AJ82),IF(OR(Settings!$B$24="Card",Settings!$B$24="Loan"),-N($AJ82),0))+IF(OR(Settings!$B$25="Checking",Settings!$B$25="Savings",Settings!$B$25="Cash"),N($AK82),IF(OR(Settings!$B$25="Card",Settings!$B$25="Loan"),-N($AK82),0))+IF(OR(Settings!$B$26="Checking",Settings!$B$26="Savings",Settings!$B$26="Cash"),N($AL82),IF(OR(Settings!$B$26="Card",Settings!$B$26="Loan"),-N($AL82),0))+IF(OR(Settings!$B$27="Checking",Settings!$B$27="Savings",Settings!$B$27="Cash"),N($AM82),IF(OR(Settings!$B$27="Card",Settings!$B$27="Loan"),-N($AM82),0))+IF(OR(Settings!$B$28="Checking",Settings!$B$28="Savings",Settings!$B$28="Cash"),N($AN82),IF(OR(Settings!$B$28="Card",Settings!$B$28="Loan"),-N($AN82),0))+IF(OR(Settings!$B$29="Checking",Settings!$B$29="Savings",Settings!$B$29="Cash"),N($AO82),IF(OR(Settings!$B$29="Card",Settings!$B$29="Loan"),-N($AO82),0))+IF(OR(Settings!$B$30="Checking",Settings!$B$30="Savings",Settings!$B$30="Cash"),N($AP82),IF(OR(Settings!$B$30="Card",Settings!$B$30="Loan"),-N($AP82),0))+IF(OR(Settings!$B$31="Checking",Settings!$B$31="Savings",Settings!$B$31="Cash"),N($AQ82),IF(OR(Settings!$B$31="Card",Settings!$B$31="Loan"),-N($AQ82),0))+IF(OR(Settings!$B$32="Checking",Settings!$B$32="Savings",Settings!$B$32="Cash"),N($AR82),IF(OR(Settings!$B$32="Card",Settings!$B$32="Loan"),-N($AR82),0)),"")</f>
        <v/>
      </c>
      <c r="DB82">
        <f>IF($E82="open",$EB$27,IF($E82="post",IF($E81="pre",$EB$27,$DA81),""))</f>
        <v/>
      </c>
      <c r="DC82">
        <f>IF($E82="open",1,IF($E82="post",IF($E81="pre",1,$DT81),0))</f>
        <v/>
      </c>
      <c r="DD82">
        <f>IF(AND($DT82=1,$DC82=1),ROUND($W82-($DA82-$DB82)-$AD82-$AB82,2),"")</f>
        <v/>
      </c>
      <c r="DE82">
        <f>IF('Month-End'!$CA$35="",$BQ82,N('Month-End'!$CA$35))</f>
        <v/>
      </c>
      <c r="DF82">
        <f>N('Month-End'!$CA$36)</f>
        <v/>
      </c>
      <c r="DG82">
        <f>IF($DD82="","",$DD82+$DE82)</f>
        <v/>
      </c>
      <c r="DH82">
        <f>IF($DG82="","",$DG82-$DF82)</f>
        <v/>
      </c>
      <c r="DI82">
        <f>IF(OR($E82="pre",$D82=1),"",N($AS82)+N($AT82)+N($AU82)+N($AV82)+N($AW82)+N($AX82))</f>
        <v/>
      </c>
      <c r="DJ82">
        <f>IF($DT82=1,$DA82+N($DI82),"")</f>
        <v/>
      </c>
      <c r="DK82">
        <f>IF($DD82="","",$W82-$DD82-$AB82)</f>
        <v/>
      </c>
      <c r="DL82">
        <f>IF(AND($E82="post",$DD82&lt;&gt;"",$B82&lt;TODAY()),1,0)</f>
        <v/>
      </c>
      <c r="DM82">
        <f>IF($DL82=1,COUNTIF($DL82:$DL$183,1),0)</f>
        <v/>
      </c>
      <c r="DN82">
        <f>IF($D82=1,"",IF($E82="pre","History only",IF($DT82=1,IF($DD82="","⚠ Previous month missing",IF($DD82&lt;0,"⚠ Check: spending &lt; 0",IF($E82="open","✓ Done (partial)","✓ Done"))),IF($B82&gt;=TODAY(),"In progress","⚠ Needs balances"))))</f>
        <v/>
      </c>
      <c r="DO82">
        <f>YEAR($A82)</f>
        <v/>
      </c>
      <c r="DP82">
        <f>DATE(YEAR($A82),INT((MONTH($A82)-1)/3)*3+1,1)</f>
        <v/>
      </c>
      <c r="DQ82">
        <f>IF(AND($DT82=1,$DD82&lt;&gt;"",$D82=0),ROW(),0)</f>
        <v/>
      </c>
      <c r="DR82">
        <f>IF(AND($E82&lt;&gt;"pre",$B82&lt;TODAY(),$DT82=0),1,0)</f>
        <v/>
      </c>
      <c r="DS82">
        <f>IF($DJ82="",NA(),$DJ82)</f>
        <v/>
      </c>
      <c r="DT82">
        <f>IF(AND($E82&lt;&gt;"pre",$CL82=0,COUNTIFS(Settings!$F$19:$F$32,"Yes",Settings!$A$19:$A$32,"&lt;&gt;",Settings!$E$19:$E$32,"&lt;&gt;No")&gt;0),1,0)</f>
        <v/>
      </c>
      <c r="DU82">
        <f>IF(AND($B82&lt;TODAY(),$S82&gt;0),1,0)</f>
        <v/>
      </c>
      <c r="DV82">
        <f>IF($DU82=1,COUNTIF($DU82:$DU$183,1),0)</f>
        <v/>
      </c>
      <c r="DW82">
        <f>IF(AND(OR(Settings!$B$19="Card",Settings!$B$19="Loan"),AND('Month-End'!$CA$7&lt;&gt;"",NOT(_xlfn.ISFORMULA('Month-End'!$CA$7)))),IF(N('Month-End'!$CA$7)&lt;0,1,0),0)+IF(AND(OR(Settings!$B$20="Card",Settings!$B$20="Loan"),AND('Month-End'!$CA$8&lt;&gt;"",NOT(_xlfn.ISFORMULA('Month-End'!$CA$8)))),IF(N('Month-End'!$CA$8)&lt;0,1,0),0)+IF(AND(OR(Settings!$B$21="Card",Settings!$B$21="Loan"),AND('Month-End'!$CA$9&lt;&gt;"",NOT(_xlfn.ISFORMULA('Month-End'!$CA$9)))),IF(N('Month-End'!$CA$9)&lt;0,1,0),0)+IF(AND(OR(Settings!$B$22="Card",Settings!$B$22="Loan"),AND('Month-End'!$CA$10&lt;&gt;"",NOT(_xlfn.ISFORMULA('Month-End'!$CA$10)))),IF(N('Month-End'!$CA$10)&lt;0,1,0),0)+IF(AND(OR(Settings!$B$23="Card",Settings!$B$23="Loan"),AND('Month-End'!$CA$11&lt;&gt;"",NOT(_xlfn.ISFORMULA('Month-End'!$CA$11)))),IF(N('Month-End'!$CA$11)&lt;0,1,0),0)+IF(AND(OR(Settings!$B$24="Card",Settings!$B$24="Loan"),AND('Month-End'!$CA$12&lt;&gt;"",NOT(_xlfn.ISFORMULA('Month-End'!$CA$12)))),IF(N('Month-End'!$CA$12)&lt;0,1,0),0)+IF(AND(OR(Settings!$B$25="Card",Settings!$B$25="Loan"),AND('Month-End'!$CA$13&lt;&gt;"",NOT(_xlfn.ISFORMULA('Month-End'!$CA$13)))),IF(N('Month-End'!$CA$13)&lt;0,1,0),0)+IF(AND(OR(Settings!$B$26="Card",Settings!$B$26="Loan"),AND('Month-End'!$CA$14&lt;&gt;"",NOT(_xlfn.ISFORMULA('Month-End'!$CA$14)))),IF(N('Month-End'!$CA$14)&lt;0,1,0),0)+IF(AND(OR(Settings!$B$27="Card",Settings!$B$27="Loan"),AND('Month-End'!$CA$15&lt;&gt;"",NOT(_xlfn.ISFORMULA('Month-End'!$CA$15)))),IF(N('Month-End'!$CA$15)&lt;0,1,0),0)+IF(AND(OR(Settings!$B$28="Card",Settings!$B$28="Loan"),AND('Month-End'!$CA$16&lt;&gt;"",NOT(_xlfn.ISFORMULA('Month-End'!$CA$16)))),IF(N('Month-End'!$CA$16)&lt;0,1,0),0)+IF(AND(OR(Settings!$B$29="Card",Settings!$B$29="Loan"),AND('Month-End'!$CA$17&lt;&gt;"",NOT(_xlfn.ISFORMULA('Month-End'!$CA$17)))),IF(N('Month-End'!$CA$17)&lt;0,1,0),0)+IF(AND(OR(Settings!$B$30="Card",Settings!$B$30="Loan"),AND('Month-End'!$CA$18&lt;&gt;"",NOT(_xlfn.ISFORMULA('Month-End'!$CA$18)))),IF(N('Month-End'!$CA$18)&lt;0,1,0),0)+IF(AND(OR(Settings!$B$31="Card",Settings!$B$31="Loan"),AND('Month-End'!$CA$19&lt;&gt;"",NOT(_xlfn.ISFORMULA('Month-End'!$CA$19)))),IF(N('Month-End'!$CA$19)&lt;0,1,0),0)+IF(AND(OR(Settings!$B$32="Card",Settings!$B$32="Loan"),AND('Month-End'!$CA$20&lt;&gt;"",NOT(_xlfn.ISFORMULA('Month-End'!$CA$20)))),IF(N('Month-End'!$CA$20)&lt;0,1,0),0)</f>
        <v/>
      </c>
      <c r="DX82">
        <f>IF(Settings!$B$36="Retirement",$AY82,0)+IF(Settings!$B$37="Retirement",$AZ82,0)+IF(Settings!$B$38="Retirement",$BA82,0)+IF(Settings!$B$39="Retirement",$BB82,0)+IF(Settings!$B$40="Retirement",$BC82,0)+IF(Settings!$B$41="Retirement",$BD82,0)</f>
        <v/>
      </c>
      <c r="EA82">
        <f>IF(Settings!$A$81="","",Settings!$A$81)</f>
        <v/>
      </c>
      <c r="EB82">
        <f>IF(Settings!$D$81="",0,IF(Settings!$D$81="Specific Account",IFERROR(INDEX($EB$40:$EB$59,MATCH(Settings!$F$81,$EA$40:$EA$59,0)),0),IFERROR(INDEX($EB$6:$EB$26,MATCH(Settings!$D$81,$EA$6:$EA$26,0)),0)))</f>
        <v/>
      </c>
      <c r="EC82">
        <f>IF(Settings!$A$81="","",IF(Settings!$B$81="Tithe Balance",$EB$23,IF(Settings!$E$81="Specific Account",IFERROR(INDEX($EB$40:$EB$59,MATCH(Settings!$F$81,$EA$40:$EA$59,0)),0),IFERROR(INDEX($EB$6:$EB$26,MATCH(Settings!$E$81,$EA$6:$EA$26,0)),0))))</f>
        <v/>
      </c>
      <c r="ED82">
        <f>IF(Settings!$A$81="","",IF(Settings!$B$81="Percentage",EB82*N(Settings!$C$81)/100,IF(Settings!$B$81="Multiple",EB82*N(Settings!$C$81),IF(Settings!$B$81="Tithe Balance",$EB$22,N(Settings!$C$81)))))</f>
        <v/>
      </c>
      <c r="EE82">
        <f>IF(Settings!$A$81="","",IF(Settings!$B$81="Pay Down To",MAX(0,EC82-ED82),MAX(0,ED82-EC82)))</f>
        <v/>
      </c>
      <c r="EF82">
        <f>IF(Settings!$A$81="","",IF(Settings!$B$81="Pay Down To",IF(EC82&lt;=ED82,"Met","Above target"),IF(EC82&gt;=ED82-0.005,"Met","Remaining")))</f>
        <v/>
      </c>
      <c r="EG82">
        <f>IF(Settings!$A$81="","",IF(Settings!$B$81="Pay Down To",IF(EC82&lt;=0,1,MIN(1,ED82/EC82)),IF(ED82&lt;=0,1,EC82/ED82)))</f>
        <v/>
      </c>
      <c r="EH82">
        <f>IF(OR(Settings!$A$81="",EE82&lt;=0),"",IF(Settings!$B$81="Save By Date",IF(Settings!$G$81="","Set a target date","Need "&amp;TEXT(EE82/MAX(1,(YEAR(Settings!$G$81)-YEAR(TODAY()))*12+MONTH(Settings!$G$81)-MONTH(TODAY())+1),"$#,##0")&amp;"/mo to "&amp;TEXT(Settings!$G$81,"mmm yyyy")),IF(Settings!$B$81="Annual Contribution","Need "&amp;TEXT(EE82/MAX(1,12-MONTH(TODAY())+1),"$#,##0")&amp;"/mo rest of year",IF(Settings!$B$81="Tithe Balance","This quarter",""))))</f>
        <v/>
      </c>
      <c r="ET82">
        <f>IF($E82&lt;&gt;"open",0,IF(AND('Month-End'!$CA$22&lt;&gt;"",NOT(_xlfn.ISFORMULA('Month-End'!$CA$22))),0,IF(OR(Settings!$C$45="",Settings!$D$45=""),0,Settings!$C$45*IF(Settings!$D$45="Weekly",IF(IFERROR(MATCH(Settings!$E$45,$EO$4:$EO$10,0),0)=0,0,IF(MIN(Settings!$B$5,IF(Settings!$G$45="",Settings!$B$5,Settings!$G$45))&lt;MAX($A82,Settings!$F$45),0,INT((MIN(Settings!$B$5,IF(Settings!$G$45="",Settings!$B$5,Settings!$G$45))-MAX($A82,Settings!$F$45)-MOD(IFERROR(MATCH(Settings!$E$45,$EO$4:$EO$10,0),0)-WEEKDAY(MAX($A82,Settings!$F$45)),7))/7)+1)),IF(AND(IF(Settings!$E$45="",$B82,DATE(YEAR($A82),MONTH($A82),MIN(Settings!$E$45,DAY($B82))))&gt;=MAX($A82,Settings!$F$45),IF(Settings!$E$45="",$B82,DATE(YEAR($A82),MONTH($A82),MIN(Settings!$E$45,DAY($B82))))&lt;=MIN(Settings!$B$5,IF(Settings!$G$45="",Settings!$B$5,Settings!$G$45))),1,0)))))</f>
        <v/>
      </c>
      <c r="EU82">
        <f>IF($E82&lt;&gt;"open",0,IF(AND('Month-End'!$CA$23&lt;&gt;"",NOT(_xlfn.ISFORMULA('Month-End'!$CA$23))),0,IF(OR(Settings!$C$46="",Settings!$D$46=""),0,Settings!$C$46*IF(Settings!$D$46="Weekly",IF(IFERROR(MATCH(Settings!$E$46,$EO$4:$EO$10,0),0)=0,0,IF(MIN(Settings!$B$5,IF(Settings!$G$46="",Settings!$B$5,Settings!$G$46))&lt;MAX($A82,Settings!$F$46),0,INT((MIN(Settings!$B$5,IF(Settings!$G$46="",Settings!$B$5,Settings!$G$46))-MAX($A82,Settings!$F$46)-MOD(IFERROR(MATCH(Settings!$E$46,$EO$4:$EO$10,0),0)-WEEKDAY(MAX($A82,Settings!$F$46)),7))/7)+1)),IF(AND(IF(Settings!$E$46="",$B82,DATE(YEAR($A82),MONTH($A82),MIN(Settings!$E$46,DAY($B82))))&gt;=MAX($A82,Settings!$F$46),IF(Settings!$E$46="",$B82,DATE(YEAR($A82),MONTH($A82),MIN(Settings!$E$46,DAY($B82))))&lt;=MIN(Settings!$B$5,IF(Settings!$G$46="",Settings!$B$5,Settings!$G$46))),1,0)))))</f>
        <v/>
      </c>
      <c r="EV82">
        <f>IF($E82&lt;&gt;"open",0,IF(AND('Month-End'!$CA$24&lt;&gt;"",NOT(_xlfn.ISFORMULA('Month-End'!$CA$24))),0,IF(OR(Settings!$C$47="",Settings!$D$47=""),0,Settings!$C$47*IF(Settings!$D$47="Weekly",IF(IFERROR(MATCH(Settings!$E$47,$EO$4:$EO$10,0),0)=0,0,IF(MIN(Settings!$B$5,IF(Settings!$G$47="",Settings!$B$5,Settings!$G$47))&lt;MAX($A82,Settings!$F$47),0,INT((MIN(Settings!$B$5,IF(Settings!$G$47="",Settings!$B$5,Settings!$G$47))-MAX($A82,Settings!$F$47)-MOD(IFERROR(MATCH(Settings!$E$47,$EO$4:$EO$10,0),0)-WEEKDAY(MAX($A82,Settings!$F$47)),7))/7)+1)),IF(AND(IF(Settings!$E$47="",$B82,DATE(YEAR($A82),MONTH($A82),MIN(Settings!$E$47,DAY($B82))))&gt;=MAX($A82,Settings!$F$47),IF(Settings!$E$47="",$B82,DATE(YEAR($A82),MONTH($A82),MIN(Settings!$E$47,DAY($B82))))&lt;=MIN(Settings!$B$5,IF(Settings!$G$47="",Settings!$B$5,Settings!$G$47))),1,0)))))</f>
        <v/>
      </c>
      <c r="EW82">
        <f>IF($E82&lt;&gt;"open",0,IF(AND('Month-End'!$CA$25&lt;&gt;"",NOT(_xlfn.ISFORMULA('Month-End'!$CA$25))),0,IF(OR(Settings!$C$48="",Settings!$D$48=""),0,Settings!$C$48*IF(Settings!$D$48="Weekly",IF(IFERROR(MATCH(Settings!$E$48,$EO$4:$EO$10,0),0)=0,0,IF(MIN(Settings!$B$5,IF(Settings!$G$48="",Settings!$B$5,Settings!$G$48))&lt;MAX($A82,Settings!$F$48),0,INT((MIN(Settings!$B$5,IF(Settings!$G$48="",Settings!$B$5,Settings!$G$48))-MAX($A82,Settings!$F$48)-MOD(IFERROR(MATCH(Settings!$E$48,$EO$4:$EO$10,0),0)-WEEKDAY(MAX($A82,Settings!$F$48)),7))/7)+1)),IF(AND(IF(Settings!$E$48="",$B82,DATE(YEAR($A82),MONTH($A82),MIN(Settings!$E$48,DAY($B82))))&gt;=MAX($A82,Settings!$F$48),IF(Settings!$E$48="",$B82,DATE(YEAR($A82),MONTH($A82),MIN(Settings!$E$48,DAY($B82))))&lt;=MIN(Settings!$B$5,IF(Settings!$G$48="",Settings!$B$5,Settings!$G$48))),1,0)))))</f>
        <v/>
      </c>
      <c r="EX82">
        <f>IF($E82&lt;&gt;"open",0,IF(AND('Month-End'!$CA$26&lt;&gt;"",NOT(_xlfn.ISFORMULA('Month-End'!$CA$26))),0,IF(OR(Settings!$C$49="",Settings!$D$49=""),0,Settings!$C$49*IF(Settings!$D$49="Weekly",IF(IFERROR(MATCH(Settings!$E$49,$EO$4:$EO$10,0),0)=0,0,IF(MIN(Settings!$B$5,IF(Settings!$G$49="",Settings!$B$5,Settings!$G$49))&lt;MAX($A82,Settings!$F$49),0,INT((MIN(Settings!$B$5,IF(Settings!$G$49="",Settings!$B$5,Settings!$G$49))-MAX($A82,Settings!$F$49)-MOD(IFERROR(MATCH(Settings!$E$49,$EO$4:$EO$10,0),0)-WEEKDAY(MAX($A82,Settings!$F$49)),7))/7)+1)),IF(AND(IF(Settings!$E$49="",$B82,DATE(YEAR($A82),MONTH($A82),MIN(Settings!$E$49,DAY($B82))))&gt;=MAX($A82,Settings!$F$49),IF(Settings!$E$49="",$B82,DATE(YEAR($A82),MONTH($A82),MIN(Settings!$E$49,DAY($B82))))&lt;=MIN(Settings!$B$5,IF(Settings!$G$49="",Settings!$B$5,Settings!$G$49))),1,0)))))</f>
        <v/>
      </c>
      <c r="EY82">
        <f>IF($E82&lt;&gt;"open",0,IF(AND('Month-End'!$CA$27&lt;&gt;"",NOT(_xlfn.ISFORMULA('Month-End'!$CA$27))),0,IF(OR(Settings!$C$50="",Settings!$D$50=""),0,Settings!$C$50*IF(Settings!$D$50="Weekly",IF(IFERROR(MATCH(Settings!$E$50,$EO$4:$EO$10,0),0)=0,0,IF(MIN(Settings!$B$5,IF(Settings!$G$50="",Settings!$B$5,Settings!$G$50))&lt;MAX($A82,Settings!$F$50),0,INT((MIN(Settings!$B$5,IF(Settings!$G$50="",Settings!$B$5,Settings!$G$50))-MAX($A82,Settings!$F$50)-MOD(IFERROR(MATCH(Settings!$E$50,$EO$4:$EO$10,0),0)-WEEKDAY(MAX($A82,Settings!$F$50)),7))/7)+1)),IF(AND(IF(Settings!$E$50="",$B82,DATE(YEAR($A82),MONTH($A82),MIN(Settings!$E$50,DAY($B82))))&gt;=MAX($A82,Settings!$F$50),IF(Settings!$E$50="",$B82,DATE(YEAR($A82),MONTH($A82),MIN(Settings!$E$50,DAY($B82))))&lt;=MIN(Settings!$B$5,IF(Settings!$G$50="",Settings!$B$5,Settings!$G$50))),1,0)))))</f>
        <v/>
      </c>
      <c r="EZ82">
        <f>IF($E82&lt;&gt;"open",0,IF(AND('Month-End'!$CA$28&lt;&gt;"",NOT(_xlfn.ISFORMULA('Month-End'!$CA$28))),0,IF(OR(Settings!$C$51="",Settings!$D$51=""),0,Settings!$C$51*IF(Settings!$D$51="Weekly",IF(IFERROR(MATCH(Settings!$E$51,$EO$4:$EO$10,0),0)=0,0,IF(MIN(Settings!$B$5,IF(Settings!$G$51="",Settings!$B$5,Settings!$G$51))&lt;MAX($A82,Settings!$F$51),0,INT((MIN(Settings!$B$5,IF(Settings!$G$51="",Settings!$B$5,Settings!$G$51))-MAX($A82,Settings!$F$51)-MOD(IFERROR(MATCH(Settings!$E$51,$EO$4:$EO$10,0),0)-WEEKDAY(MAX($A82,Settings!$F$51)),7))/7)+1)),IF(AND(IF(Settings!$E$51="",$B82,DATE(YEAR($A82),MONTH($A82),MIN(Settings!$E$51,DAY($B82))))&gt;=MAX($A82,Settings!$F$51),IF(Settings!$E$51="",$B82,DATE(YEAR($A82),MONTH($A82),MIN(Settings!$E$51,DAY($B82))))&lt;=MIN(Settings!$B$5,IF(Settings!$G$51="",Settings!$B$5,Settings!$G$51))),1,0)))))</f>
        <v/>
      </c>
      <c r="FA82">
        <f>IF($E82&lt;&gt;"open",0,IF(AND('Month-End'!$CA$29&lt;&gt;"",NOT(_xlfn.ISFORMULA('Month-End'!$CA$29))),0,IF(OR(Settings!$C$52="",Settings!$D$52=""),0,Settings!$C$52*IF(Settings!$D$52="Weekly",IF(IFERROR(MATCH(Settings!$E$52,$EO$4:$EO$10,0),0)=0,0,IF(MIN(Settings!$B$5,IF(Settings!$G$52="",Settings!$B$5,Settings!$G$52))&lt;MAX($A82,Settings!$F$52),0,INT((MIN(Settings!$B$5,IF(Settings!$G$52="",Settings!$B$5,Settings!$G$52))-MAX($A82,Settings!$F$52)-MOD(IFERROR(MATCH(Settings!$E$52,$EO$4:$EO$10,0),0)-WEEKDAY(MAX($A82,Settings!$F$52)),7))/7)+1)),IF(AND(IF(Settings!$E$52="",$B82,DATE(YEAR($A82),MONTH($A82),MIN(Settings!$E$52,DAY($B82))))&gt;=MAX($A82,Settings!$F$52),IF(Settings!$E$52="",$B82,DATE(YEAR($A82),MONTH($A82),MIN(Settings!$E$52,DAY($B82))))&lt;=MIN(Settings!$B$5,IF(Settings!$G$52="",Settings!$B$5,Settings!$G$52))),1,0)))))</f>
        <v/>
      </c>
      <c r="FB82">
        <f>IF($E82&lt;&gt;"open",0,IF(AND('Month-End'!$CA$30&lt;&gt;"",NOT(_xlfn.ISFORMULA('Month-End'!$CA$30))),0,IF(OR(Settings!$C$53="",Settings!$D$53=""),0,Settings!$C$53*IF(Settings!$D$53="Weekly",IF(IFERROR(MATCH(Settings!$E$53,$EO$4:$EO$10,0),0)=0,0,IF(MIN(Settings!$B$5,IF(Settings!$G$53="",Settings!$B$5,Settings!$G$53))&lt;MAX($A82,Settings!$F$53),0,INT((MIN(Settings!$B$5,IF(Settings!$G$53="",Settings!$B$5,Settings!$G$53))-MAX($A82,Settings!$F$53)-MOD(IFERROR(MATCH(Settings!$E$53,$EO$4:$EO$10,0),0)-WEEKDAY(MAX($A82,Settings!$F$53)),7))/7)+1)),IF(AND(IF(Settings!$E$53="",$B82,DATE(YEAR($A82),MONTH($A82),MIN(Settings!$E$53,DAY($B82))))&gt;=MAX($A82,Settings!$F$53),IF(Settings!$E$53="",$B82,DATE(YEAR($A82),MONTH($A82),MIN(Settings!$E$53,DAY($B82))))&lt;=MIN(Settings!$B$5,IF(Settings!$G$53="",Settings!$B$5,Settings!$G$53))),1,0)))))</f>
        <v/>
      </c>
      <c r="FC82">
        <f>IF($E82&lt;&gt;"open",0,IF(AND('Month-End'!$CA$31&lt;&gt;"",NOT(_xlfn.ISFORMULA('Month-End'!$CA$31))),0,IF(OR(Settings!$C$54="",Settings!$D$54=""),0,Settings!$C$54*IF(Settings!$D$54="Weekly",IF(IFERROR(MATCH(Settings!$E$54,$EO$4:$EO$10,0),0)=0,0,IF(MIN(Settings!$B$5,IF(Settings!$G$54="",Settings!$B$5,Settings!$G$54))&lt;MAX($A82,Settings!$F$54),0,INT((MIN(Settings!$B$5,IF(Settings!$G$54="",Settings!$B$5,Settings!$G$54))-MAX($A82,Settings!$F$54)-MOD(IFERROR(MATCH(Settings!$E$54,$EO$4:$EO$10,0),0)-WEEKDAY(MAX($A82,Settings!$F$54)),7))/7)+1)),IF(AND(IF(Settings!$E$54="",$B82,DATE(YEAR($A82),MONTH($A82),MIN(Settings!$E$54,DAY($B82))))&gt;=MAX($A82,Settings!$F$54),IF(Settings!$E$54="",$B82,DATE(YEAR($A82),MONTH($A82),MIN(Settings!$E$54,DAY($B82))))&lt;=MIN(Settings!$B$5,IF(Settings!$G$54="",Settings!$B$5,Settings!$G$54))),1,0)))))</f>
        <v/>
      </c>
      <c r="FD82">
        <f>IF($E82&lt;&gt;"open",0,IF(AND('Month-End'!$CA$32&lt;&gt;"",NOT(_xlfn.ISFORMULA('Month-End'!$CA$32))),0,IF(OR(Settings!$C$55="",Settings!$D$55=""),0,Settings!$C$55*IF(Settings!$D$55="Weekly",IF(IFERROR(MATCH(Settings!$E$55,$EO$4:$EO$10,0),0)=0,0,IF(MIN(Settings!$B$5,IF(Settings!$G$55="",Settings!$B$5,Settings!$G$55))&lt;MAX($A82,Settings!$F$55),0,INT((MIN(Settings!$B$5,IF(Settings!$G$55="",Settings!$B$5,Settings!$G$55))-MAX($A82,Settings!$F$55)-MOD(IFERROR(MATCH(Settings!$E$55,$EO$4:$EO$10,0),0)-WEEKDAY(MAX($A82,Settings!$F$55)),7))/7)+1)),IF(AND(IF(Settings!$E$55="",$B82,DATE(YEAR($A82),MONTH($A82),MIN(Settings!$E$55,DAY($B82))))&gt;=MAX($A82,Settings!$F$55),IF(Settings!$E$55="",$B82,DATE(YEAR($A82),MONTH($A82),MIN(Settings!$E$55,DAY($B82))))&lt;=MIN(Settings!$B$5,IF(Settings!$G$55="",Settings!$B$5,Settings!$G$55))),1,0)))))</f>
        <v/>
      </c>
      <c r="FE82">
        <f>IF($E82&lt;&gt;"open",0,IF(AND('Month-End'!$CA$33&lt;&gt;"",NOT(_xlfn.ISFORMULA('Month-End'!$CA$33))),0,IF(OR(Settings!$C$56="",Settings!$D$56=""),0,Settings!$C$56*IF(Settings!$D$56="Weekly",IF(IFERROR(MATCH(Settings!$E$56,$EO$4:$EO$10,0),0)=0,0,IF(MIN(Settings!$B$5,IF(Settings!$G$56="",Settings!$B$5,Settings!$G$56))&lt;MAX($A82,Settings!$F$56),0,INT((MIN(Settings!$B$5,IF(Settings!$G$56="",Settings!$B$5,Settings!$G$56))-MAX($A82,Settings!$F$56)-MOD(IFERROR(MATCH(Settings!$E$56,$EO$4:$EO$10,0),0)-WEEKDAY(MAX($A82,Settings!$F$56)),7))/7)+1)),IF(AND(IF(Settings!$E$56="",$B82,DATE(YEAR($A82),MONTH($A82),MIN(Settings!$E$56,DAY($B82))))&gt;=MAX($A82,Settings!$F$56),IF(Settings!$E$56="",$B82,DATE(YEAR($A82),MONTH($A82),MIN(Settings!$E$56,DAY($B82))))&lt;=MIN(Settings!$B$5,IF(Settings!$G$56="",Settings!$B$5,Settings!$G$56))),1,0)))))</f>
        <v/>
      </c>
      <c r="FF82">
        <f>IF(Settings!$I$45="Yes",$G82,0)+IF(Settings!$I$46="Yes",$H82,0)+IF(Settings!$I$47="Yes",$I82,0)+IF(Settings!$I$48="Yes",$J82,0)+IF(Settings!$I$49="Yes",$K82,0)+IF(Settings!$I$50="Yes",$L82,0)+IF(Settings!$I$51="Yes",$M82,0)+IF(Settings!$I$52="Yes",$N82,0)+IF(Settings!$I$53="Yes",$O82,0)+IF(Settings!$I$54="Yes",$P82,0)+IF(Settings!$I$55="Yes",$Q82,0)+IF(Settings!$I$56="Yes",$R82,0)</f>
        <v/>
      </c>
      <c r="FG82">
        <f>IF(AND(Settings!$I$45="Yes",Settings!$J$45="No"),$G82,0)+IF(AND(Settings!$I$46="Yes",Settings!$J$46="No"),$H82,0)+IF(AND(Settings!$I$47="Yes",Settings!$J$47="No"),$I82,0)+IF(AND(Settings!$I$48="Yes",Settings!$J$48="No"),$J82,0)+IF(AND(Settings!$I$49="Yes",Settings!$J$49="No"),$K82,0)+IF(AND(Settings!$I$50="Yes",Settings!$J$50="No"),$L82,0)+IF(AND(Settings!$I$51="Yes",Settings!$J$51="No"),$M82,0)+IF(AND(Settings!$I$52="Yes",Settings!$J$52="No"),$N82,0)+IF(AND(Settings!$I$53="Yes",Settings!$J$53="No"),$O82,0)+IF(AND(Settings!$I$54="Yes",Settings!$J$54="No"),$P82,0)+IF(AND(Settings!$I$55="Yes",Settings!$J$55="No"),$Q82,0)+IF(AND(Settings!$I$56="Yes",Settings!$J$56="No"),$R82,0)</f>
        <v/>
      </c>
      <c r="FH82">
        <f>SUMIFS(Giving!$B$7:$B$2006,Giving!$A$7:$A$2006,"&gt;="&amp;$A82,Giving!$A$7:$A$2006,"&lt;="&amp;$B82,Giving!$G$7:$G$2006,"Yes")+IF(OR(OR(Settings!$B$60="",Settings!$F$60="No"),Settings!$H$60&lt;&gt;"Yes"),0,Settings!$B$60*IF(AND(IF(Settings!$C$60="",$B82,DATE(YEAR($A82),MONTH($A82),MIN(Settings!$C$60,DAY($B82))))&gt;=MAX($A82,Settings!$D$60),IF(Settings!$C$60="",$B82,DATE(YEAR($A82),MONTH($A82),MIN(Settings!$C$60,DAY($B82))))&lt;=MIN($C82,IF(Settings!$E$60="",$C82,Settings!$E$60))),1,0))+IF(OR(OR(Settings!$B$61="",Settings!$F$61="No"),Settings!$H$61&lt;&gt;"Yes"),0,Settings!$B$61*IF(AND(IF(Settings!$C$61="",$B82,DATE(YEAR($A82),MONTH($A82),MIN(Settings!$C$61,DAY($B82))))&gt;=MAX($A82,Settings!$D$61),IF(Settings!$C$61="",$B82,DATE(YEAR($A82),MONTH($A82),MIN(Settings!$C$61,DAY($B82))))&lt;=MIN($C82,IF(Settings!$E$61="",$C82,Settings!$E$61))),1,0))+IF(OR(OR(Settings!$B$62="",Settings!$F$62="No"),Settings!$H$62&lt;&gt;"Yes"),0,Settings!$B$62*IF(AND(IF(Settings!$C$62="",$B82,DATE(YEAR($A82),MONTH($A82),MIN(Settings!$C$62,DAY($B82))))&gt;=MAX($A82,Settings!$D$62),IF(Settings!$C$62="",$B82,DATE(YEAR($A82),MONTH($A82),MIN(Settings!$C$62,DAY($B82))))&lt;=MIN($C82,IF(Settings!$E$62="",$C82,Settings!$E$62))),1,0))+IF(OR(OR(Settings!$B$63="",Settings!$F$63="No"),Settings!$H$63&lt;&gt;"Yes"),0,Settings!$B$63*IF(AND(IF(Settings!$C$63="",$B82,DATE(YEAR($A82),MONTH($A82),MIN(Settings!$C$63,DAY($B82))))&gt;=MAX($A82,Settings!$D$63),IF(Settings!$C$63="",$B82,DATE(YEAR($A82),MONTH($A82),MIN(Settings!$C$63,DAY($B82))))&lt;=MIN($C82,IF(Settings!$E$63="",$C82,Settings!$E$63))),1,0))+IF(OR(OR(Settings!$B$64="",Settings!$F$64="No"),Settings!$H$64&lt;&gt;"Yes"),0,Settings!$B$64*IF(AND(IF(Settings!$C$64="",$B82,DATE(YEAR($A82),MONTH($A82),MIN(Settings!$C$64,DAY($B82))))&gt;=MAX($A82,Settings!$D$64),IF(Settings!$C$64="",$B82,DATE(YEAR($A82),MONTH($A82),MIN(Settings!$C$64,DAY($B82))))&lt;=MIN($C82,IF(Settings!$E$64="",$C82,Settings!$E$64))),1,0))+IF(OR(OR(Settings!$B$65="",Settings!$F$65="No"),Settings!$H$65&lt;&gt;"Yes"),0,Settings!$B$65*IF(AND(IF(Settings!$C$65="",$B82,DATE(YEAR($A82),MONTH($A82),MIN(Settings!$C$65,DAY($B82))))&gt;=MAX($A82,Settings!$D$65),IF(Settings!$C$65="",$B82,DATE(YEAR($A82),MONTH($A82),MIN(Settings!$C$65,DAY($B82))))&lt;=MIN($C82,IF(Settings!$E$65="",$C82,Settings!$E$65))),1,0))</f>
        <v/>
      </c>
      <c r="FI82">
        <f>IF($DT82=1,IF(OR(Settings!$B$19="Card",Settings!$B$19="Loan"),N($AE82),0)+IF(OR(Settings!$B$20="Card",Settings!$B$20="Loan"),N($AF82),0)+IF(OR(Settings!$B$21="Card",Settings!$B$21="Loan"),N($AG82),0)+IF(OR(Settings!$B$22="Card",Settings!$B$22="Loan"),N($AH82),0)+IF(OR(Settings!$B$23="Card",Settings!$B$23="Loan"),N($AI82),0)+IF(OR(Settings!$B$24="Card",Settings!$B$24="Loan"),N($AJ82),0)+IF(OR(Settings!$B$25="Card",Settings!$B$25="Loan"),N($AK82),0)+IF(OR(Settings!$B$26="Card",Settings!$B$26="Loan"),N($AL82),0)+IF(OR(Settings!$B$27="Card",Settings!$B$27="Loan"),N($AM82),0)+IF(OR(Settings!$B$28="Card",Settings!$B$28="Loan"),N($AN82),0)+IF(OR(Settings!$B$29="Card",Settings!$B$29="Loan"),N($AO82),0)+IF(OR(Settings!$B$30="Card",Settings!$B$30="Loan"),N($AP82),0)+IF(OR(Settings!$B$31="Card",Settings!$B$31="Loan"),N($AQ82),0)+IF(OR(Settings!$B$32="Card",Settings!$B$32="Loan"),N($AR82),0),"")</f>
        <v/>
      </c>
      <c r="FJ82">
        <f>IF($E82="open",$EB$65,IF($E82="post",IF($E81="pre",$EB$65,$FI81),""))</f>
        <v/>
      </c>
      <c r="FK82">
        <f>IF(AND($DT82=1,$DC82=1),IF(ROUND($FI82-$FJ82,2)&gt;0,1,0),0)</f>
        <v/>
      </c>
      <c r="FL82">
        <f>IF($FK82=1,$FL81+1,0)</f>
        <v/>
      </c>
    </row>
    <row r="83">
      <c r="A83">
        <f>'Month-End'!$CB$4</f>
        <v/>
      </c>
      <c r="B83">
        <f>EOMONTH($A83,0)</f>
        <v/>
      </c>
      <c r="C83">
        <f>MIN($B83,TODAY())</f>
        <v/>
      </c>
      <c r="D83">
        <f>IF($A83&gt;TODAY(),1,0)</f>
        <v/>
      </c>
      <c r="E83">
        <f>IF($B83&lt;=Settings!$B$5,"pre",IF($A83&lt;=Settings!$B$5,"open","post"))</f>
        <v/>
      </c>
      <c r="G83">
        <f>IF('Month-End'!$CB$22="",$BE83,N('Month-End'!$CB$22))</f>
        <v/>
      </c>
      <c r="H83">
        <f>IF('Month-End'!$CB$23="",$BF83,N('Month-End'!$CB$23))</f>
        <v/>
      </c>
      <c r="I83">
        <f>IF('Month-End'!$CB$24="",$BG83,N('Month-End'!$CB$24))</f>
        <v/>
      </c>
      <c r="J83">
        <f>IF('Month-End'!$CB$25="",$BH83,N('Month-End'!$CB$25))</f>
        <v/>
      </c>
      <c r="K83">
        <f>IF('Month-End'!$CB$26="",$BI83,N('Month-End'!$CB$26))</f>
        <v/>
      </c>
      <c r="L83">
        <f>IF('Month-End'!$CB$27="",$BJ83,N('Month-End'!$CB$27))</f>
        <v/>
      </c>
      <c r="M83">
        <f>IF('Month-End'!$CB$28="",$BK83,N('Month-End'!$CB$28))</f>
        <v/>
      </c>
      <c r="N83">
        <f>IF('Month-End'!$CB$29="",$BL83,N('Month-End'!$CB$29))</f>
        <v/>
      </c>
      <c r="O83">
        <f>IF('Month-End'!$CB$30="",$BM83,N('Month-End'!$CB$30))</f>
        <v/>
      </c>
      <c r="P83">
        <f>IF('Month-End'!$CB$31="",$BN83,N('Month-End'!$CB$31))</f>
        <v/>
      </c>
      <c r="Q83">
        <f>IF('Month-End'!$CB$32="",$BO83,N('Month-End'!$CB$32))</f>
        <v/>
      </c>
      <c r="R83">
        <f>IF('Month-End'!$CB$33="",$BP83,N('Month-End'!$CB$33))</f>
        <v/>
      </c>
      <c r="S83">
        <f>$G83+$H83+$I83+$J83+$K83+$L83+$M83+$N83+$O83+$P83+$Q83+$R83</f>
        <v/>
      </c>
      <c r="T83">
        <f>IF($B83&lt;Settings!$B$6,0,IF(Settings!$B$45="Yes",$G83,0)+IF(Settings!$B$46="Yes",$H83,0)+IF(Settings!$B$47="Yes",$I83,0)+IF(Settings!$B$48="Yes",$J83,0)+IF(Settings!$B$49="Yes",$K83,0)+IF(Settings!$B$50="Yes",$L83,0)+IF(Settings!$B$51="Yes",$M83,0)+IF(Settings!$B$52="Yes",$N83,0)+IF(Settings!$B$53="Yes",$O83,0)+IF(Settings!$B$54="Yes",$P83,0)+IF(Settings!$B$55="Yes",$Q83,0)+IF(Settings!$B$56="Yes",$R83,0))</f>
        <v/>
      </c>
      <c r="U83">
        <f>IF(Settings!$B$45="Not Sure",$G83,0)+IF(Settings!$B$46="Not Sure",$H83,0)+IF(Settings!$B$47="Not Sure",$I83,0)+IF(Settings!$B$48="Not Sure",$J83,0)+IF(Settings!$B$49="Not Sure",$K83,0)+IF(Settings!$B$50="Not Sure",$L83,0)+IF(Settings!$B$51="Not Sure",$M83,0)+IF(Settings!$B$52="Not Sure",$N83,0)+IF(Settings!$B$53="Not Sure",$O83,0)+IF(Settings!$B$54="Not Sure",$P83,0)+IF(Settings!$B$55="Not Sure",$Q83,0)+IF(Settings!$B$56="Not Sure",$R83,0)</f>
        <v/>
      </c>
      <c r="V83">
        <f>IF($E83="open",SUM($ET83:$FE83)+N(Settings!$B$13),0)</f>
        <v/>
      </c>
      <c r="W83">
        <f>IF($E83="post",$S83,IF($E83="open",$S83-$V83,0))</f>
        <v/>
      </c>
      <c r="X83">
        <f>SUMIFS(Giving!$B$7:$B$2006,Giving!$A$7:$A$2006,"&gt;="&amp;$A83,Giving!$A$7:$A$2006,"&lt;="&amp;$B83,Giving!$E$7:$E$2006,"&lt;&gt;No")</f>
        <v/>
      </c>
      <c r="Y83">
        <f>SUMIFS(Giving!$B$7:$B$2006,Giving!$A$7:$A$2006,"&gt;="&amp;$A83,Giving!$A$7:$A$2006,"&lt;="&amp;$B83,Giving!$E$7:$E$2006,"No")</f>
        <v/>
      </c>
      <c r="Z83">
        <f>IF(OR(Settings!$B$60="",Settings!$F$60="No"),0,Settings!$B$60*IF(AND(IF(Settings!$C$60="",$B83,DATE(YEAR($A83),MONTH($A83),MIN(Settings!$C$60,DAY($B83))))&gt;=MAX($A83,Settings!$D$60),IF(Settings!$C$60="",$B83,DATE(YEAR($A83),MONTH($A83),MIN(Settings!$C$60,DAY($B83))))&lt;=MIN($C83,IF(Settings!$E$60="",$C83,Settings!$E$60))),1,0))+IF(OR(Settings!$B$61="",Settings!$F$61="No"),0,Settings!$B$61*IF(AND(IF(Settings!$C$61="",$B83,DATE(YEAR($A83),MONTH($A83),MIN(Settings!$C$61,DAY($B83))))&gt;=MAX($A83,Settings!$D$61),IF(Settings!$C$61="",$B83,DATE(YEAR($A83),MONTH($A83),MIN(Settings!$C$61,DAY($B83))))&lt;=MIN($C83,IF(Settings!$E$61="",$C83,Settings!$E$61))),1,0))+IF(OR(Settings!$B$62="",Settings!$F$62="No"),0,Settings!$B$62*IF(AND(IF(Settings!$C$62="",$B83,DATE(YEAR($A83),MONTH($A83),MIN(Settings!$C$62,DAY($B83))))&gt;=MAX($A83,Settings!$D$62),IF(Settings!$C$62="",$B83,DATE(YEAR($A83),MONTH($A83),MIN(Settings!$C$62,DAY($B83))))&lt;=MIN($C83,IF(Settings!$E$62="",$C83,Settings!$E$62))),1,0))+IF(OR(Settings!$B$63="",Settings!$F$63="No"),0,Settings!$B$63*IF(AND(IF(Settings!$C$63="",$B83,DATE(YEAR($A83),MONTH($A83),MIN(Settings!$C$63,DAY($B83))))&gt;=MAX($A83,Settings!$D$63),IF(Settings!$C$63="",$B83,DATE(YEAR($A83),MONTH($A83),MIN(Settings!$C$63,DAY($B83))))&lt;=MIN($C83,IF(Settings!$E$63="",$C83,Settings!$E$63))),1,0))+IF(OR(Settings!$B$64="",Settings!$F$64="No"),0,Settings!$B$64*IF(AND(IF(Settings!$C$64="",$B83,DATE(YEAR($A83),MONTH($A83),MIN(Settings!$C$64,DAY($B83))))&gt;=MAX($A83,Settings!$D$64),IF(Settings!$C$64="",$B83,DATE(YEAR($A83),MONTH($A83),MIN(Settings!$C$64,DAY($B83))))&lt;=MIN($C83,IF(Settings!$E$64="",$C83,Settings!$E$64))),1,0))+IF(OR(Settings!$B$65="",Settings!$F$65="No"),0,Settings!$B$65*IF(AND(IF(Settings!$C$65="",$B83,DATE(YEAR($A83),MONTH($A83),MIN(Settings!$C$65,DAY($B83))))&gt;=MAX($A83,Settings!$D$65),IF(Settings!$C$65="",$B83,DATE(YEAR($A83),MONTH($A83),MIN(Settings!$C$65,DAY($B83))))&lt;=MIN($C83,IF(Settings!$E$65="",$C83,Settings!$E$65))),1,0))</f>
        <v/>
      </c>
      <c r="AA83">
        <f>$X83+$Z83</f>
        <v/>
      </c>
      <c r="AB83">
        <f>IF($E83="post",$AA83,IF($E83="open",SUMIFS(Giving!$B$7:$B$2006,Giving!$A$7:$A$2006,"&gt;"&amp;Settings!$B$5,Giving!$A$7:$A$2006,"&lt;="&amp;$B83,Giving!$E$7:$E$2006,"&lt;&gt;No")+IF(OR(Settings!$B$60="",Settings!$F$60="No"),0,Settings!$B$60*IF(AND(IF(Settings!$C$60="",$B83,DATE(YEAR($A83),MONTH($A83),MIN(Settings!$C$60,DAY($B83))))&gt;=MAX($A83,Settings!$D$60,Settings!$B$5+1),IF(Settings!$C$60="",$B83,DATE(YEAR($A83),MONTH($A83),MIN(Settings!$C$60,DAY($B83))))&lt;=MIN($C83,IF(Settings!$E$60="",$C83,Settings!$E$60))),1,0))+IF(OR(Settings!$B$61="",Settings!$F$61="No"),0,Settings!$B$61*IF(AND(IF(Settings!$C$61="",$B83,DATE(YEAR($A83),MONTH($A83),MIN(Settings!$C$61,DAY($B83))))&gt;=MAX($A83,Settings!$D$61,Settings!$B$5+1),IF(Settings!$C$61="",$B83,DATE(YEAR($A83),MONTH($A83),MIN(Settings!$C$61,DAY($B83))))&lt;=MIN($C83,IF(Settings!$E$61="",$C83,Settings!$E$61))),1,0))+IF(OR(Settings!$B$62="",Settings!$F$62="No"),0,Settings!$B$62*IF(AND(IF(Settings!$C$62="",$B83,DATE(YEAR($A83),MONTH($A83),MIN(Settings!$C$62,DAY($B83))))&gt;=MAX($A83,Settings!$D$62,Settings!$B$5+1),IF(Settings!$C$62="",$B83,DATE(YEAR($A83),MONTH($A83),MIN(Settings!$C$62,DAY($B83))))&lt;=MIN($C83,IF(Settings!$E$62="",$C83,Settings!$E$62))),1,0))+IF(OR(Settings!$B$63="",Settings!$F$63="No"),0,Settings!$B$63*IF(AND(IF(Settings!$C$63="",$B83,DATE(YEAR($A83),MONTH($A83),MIN(Settings!$C$63,DAY($B83))))&gt;=MAX($A83,Settings!$D$63,Settings!$B$5+1),IF(Settings!$C$63="",$B83,DATE(YEAR($A83),MONTH($A83),MIN(Settings!$C$63,DAY($B83))))&lt;=MIN($C83,IF(Settings!$E$63="",$C83,Settings!$E$63))),1,0))+IF(OR(Settings!$B$64="",Settings!$F$64="No"),0,Settings!$B$64*IF(AND(IF(Settings!$C$64="",$B83,DATE(YEAR($A83),MONTH($A83),MIN(Settings!$C$64,DAY($B83))))&gt;=MAX($A83,Settings!$D$64,Settings!$B$5+1),IF(Settings!$C$64="",$B83,DATE(YEAR($A83),MONTH($A83),MIN(Settings!$C$64,DAY($B83))))&lt;=MIN($C83,IF(Settings!$E$64="",$C83,Settings!$E$64))),1,0))+IF(OR(Settings!$B$65="",Settings!$F$65="No"),0,Settings!$B$65*IF(AND(IF(Settings!$C$65="",$B83,DATE(YEAR($A83),MONTH($A83),MIN(Settings!$C$65,DAY($B83))))&gt;=MAX($A83,Settings!$D$65,Settings!$B$5+1),IF(Settings!$C$65="",$B83,DATE(YEAR($A83),MONTH($A83),MIN(Settings!$C$65,DAY($B83))))&lt;=MIN($C83,IF(Settings!$E$65="",$C83,Settings!$E$65))),1,0)),0))</f>
        <v/>
      </c>
      <c r="AC83">
        <f>$AY83+$AZ83+$BA83+$BB83+$BC83+$BD83</f>
        <v/>
      </c>
      <c r="AD83">
        <f>$AC83</f>
        <v/>
      </c>
      <c r="AE83">
        <f>IF(OR(Settings!$A$19="",$E83="pre"),"",IF(AND('Month-End'!$CB$7&lt;&gt;"",NOT(_xlfn.ISFORMULA('Month-End'!$CB$7))),N('Month-End'!$CB$7),IF(OR($E83="open",$E82="pre"),N(Settings!$C$19),N($AE82))))</f>
        <v/>
      </c>
      <c r="AF83">
        <f>IF(OR(Settings!$A$20="",$E83="pre"),"",IF(AND('Month-End'!$CB$8&lt;&gt;"",NOT(_xlfn.ISFORMULA('Month-End'!$CB$8))),N('Month-End'!$CB$8),IF(OR($E83="open",$E82="pre"),N(Settings!$C$20),N($AF82))))</f>
        <v/>
      </c>
      <c r="AG83">
        <f>IF(OR(Settings!$A$21="",$E83="pre"),"",IF(AND('Month-End'!$CB$9&lt;&gt;"",NOT(_xlfn.ISFORMULA('Month-End'!$CB$9))),N('Month-End'!$CB$9),IF(OR($E83="open",$E82="pre"),N(Settings!$C$21),N($AG82))))</f>
        <v/>
      </c>
      <c r="AH83">
        <f>IF(OR(Settings!$A$22="",$E83="pre"),"",IF(AND('Month-End'!$CB$10&lt;&gt;"",NOT(_xlfn.ISFORMULA('Month-End'!$CB$10))),N('Month-End'!$CB$10),IF(OR($E83="open",$E82="pre"),N(Settings!$C$22),N($AH82))))</f>
        <v/>
      </c>
      <c r="AI83">
        <f>IF(OR(Settings!$A$23="",$E83="pre"),"",IF(AND('Month-End'!$CB$11&lt;&gt;"",NOT(_xlfn.ISFORMULA('Month-End'!$CB$11))),N('Month-End'!$CB$11),IF(OR($E83="open",$E82="pre"),N(Settings!$C$23),N($AI82))))</f>
        <v/>
      </c>
      <c r="AJ83">
        <f>IF(OR(Settings!$A$24="",$E83="pre"),"",IF(AND('Month-End'!$CB$12&lt;&gt;"",NOT(_xlfn.ISFORMULA('Month-End'!$CB$12))),N('Month-End'!$CB$12),IF(OR($E83="open",$E82="pre"),N(Settings!$C$24),N($AJ82))))</f>
        <v/>
      </c>
      <c r="AK83">
        <f>IF(OR(Settings!$A$25="",$E83="pre"),"",IF(AND('Month-End'!$CB$13&lt;&gt;"",NOT(_xlfn.ISFORMULA('Month-End'!$CB$13))),N('Month-End'!$CB$13),IF(OR($E83="open",$E82="pre"),N(Settings!$C$25),N($AK82))))</f>
        <v/>
      </c>
      <c r="AL83">
        <f>IF(OR(Settings!$A$26="",$E83="pre"),"",IF(AND('Month-End'!$CB$14&lt;&gt;"",NOT(_xlfn.ISFORMULA('Month-End'!$CB$14))),N('Month-End'!$CB$14),IF(OR($E83="open",$E82="pre"),N(Settings!$C$26),N($AL82))))</f>
        <v/>
      </c>
      <c r="AM83">
        <f>IF(OR(Settings!$A$27="",$E83="pre"),"",IF(AND('Month-End'!$CB$15&lt;&gt;"",NOT(_xlfn.ISFORMULA('Month-End'!$CB$15))),N('Month-End'!$CB$15),IF(OR($E83="open",$E82="pre"),N(Settings!$C$27),N($AM82))))</f>
        <v/>
      </c>
      <c r="AN83">
        <f>IF(OR(Settings!$A$28="",$E83="pre"),"",IF(AND('Month-End'!$CB$16&lt;&gt;"",NOT(_xlfn.ISFORMULA('Month-End'!$CB$16))),N('Month-End'!$CB$16),IF(OR($E83="open",$E82="pre"),N(Settings!$C$28),N($AN82))))</f>
        <v/>
      </c>
      <c r="AO83">
        <f>IF(OR(Settings!$A$29="",$E83="pre"),"",IF(AND('Month-End'!$CB$17&lt;&gt;"",NOT(_xlfn.ISFORMULA('Month-End'!$CB$17))),N('Month-End'!$CB$17),IF(OR($E83="open",$E82="pre"),N(Settings!$C$29),N($AO82))))</f>
        <v/>
      </c>
      <c r="AP83">
        <f>IF(OR(Settings!$A$30="",$E83="pre"),"",IF(AND('Month-End'!$CB$18&lt;&gt;"",NOT(_xlfn.ISFORMULA('Month-End'!$CB$18))),N('Month-End'!$CB$18),IF(OR($E83="open",$E82="pre"),N(Settings!$C$30),N($AP82))))</f>
        <v/>
      </c>
      <c r="AQ83">
        <f>IF(OR(Settings!$A$31="",$E83="pre"),"",IF(AND('Month-End'!$CB$19&lt;&gt;"",NOT(_xlfn.ISFORMULA('Month-End'!$CB$19))),N('Month-End'!$CB$19),IF(OR($E83="open",$E82="pre"),N(Settings!$C$31),N($AQ82))))</f>
        <v/>
      </c>
      <c r="AR83">
        <f>IF(OR(Settings!$A$32="",$E83="pre"),"",IF(AND('Month-End'!$CB$20&lt;&gt;"",NOT(_xlfn.ISFORMULA('Month-End'!$CB$20))),N('Month-End'!$CB$20),IF(OR($E83="open",$E82="pre"),N(Settings!$C$32),N($AR82))))</f>
        <v/>
      </c>
      <c r="AS83">
        <f>IF(OR(Settings!$A$36="",$E83="pre"),"",IF(AND('Month-End'!$CB$38&lt;&gt;"",NOT(_xlfn.ISFORMULA('Month-End'!$CB$38))),N('Month-End'!$CB$38),IF(OR($E83="open",$E82="pre"),N(Settings!$C$36),N($AS82))+$AY83))</f>
        <v/>
      </c>
      <c r="AT83">
        <f>IF(OR(Settings!$A$37="",$E83="pre"),"",IF(AND('Month-End'!$CB$39&lt;&gt;"",NOT(_xlfn.ISFORMULA('Month-End'!$CB$39))),N('Month-End'!$CB$39),IF(OR($E83="open",$E82="pre"),N(Settings!$C$37),N($AT82))+$AZ83))</f>
        <v/>
      </c>
      <c r="AU83">
        <f>IF(OR(Settings!$A$38="",$E83="pre"),"",IF(AND('Month-End'!$CB$40&lt;&gt;"",NOT(_xlfn.ISFORMULA('Month-End'!$CB$40))),N('Month-End'!$CB$40),IF(OR($E83="open",$E82="pre"),N(Settings!$C$38),N($AU82))+$BA83))</f>
        <v/>
      </c>
      <c r="AV83">
        <f>IF(OR(Settings!$A$39="",$E83="pre"),"",IF(AND('Month-End'!$CB$41&lt;&gt;"",NOT(_xlfn.ISFORMULA('Month-End'!$CB$41))),N('Month-End'!$CB$41),IF(OR($E83="open",$E82="pre"),N(Settings!$C$39),N($AV82))+$BB83))</f>
        <v/>
      </c>
      <c r="AW83">
        <f>IF(OR(Settings!$A$40="",$E83="pre"),"",IF(AND('Month-End'!$CB$42&lt;&gt;"",NOT(_xlfn.ISFORMULA('Month-End'!$CB$42))),N('Month-End'!$CB$42),IF(OR($E83="open",$E82="pre"),N(Settings!$C$40),N($AW82))+$BC83))</f>
        <v/>
      </c>
      <c r="AX83">
        <f>IF(OR(Settings!$A$41="",$E83="pre"),"",IF(AND('Month-End'!$CB$43&lt;&gt;"",NOT(_xlfn.ISFORMULA('Month-End'!$CB$43))),N('Month-End'!$CB$43),IF(OR($E83="open",$E82="pre"),N(Settings!$C$41),N($AX82))+$BD83))</f>
        <v/>
      </c>
      <c r="AY83">
        <f>IF($E83="pre",0,N('Month-End'!$CB$45))</f>
        <v/>
      </c>
      <c r="AZ83">
        <f>IF($E83="pre",0,N('Month-End'!$CB$46))</f>
        <v/>
      </c>
      <c r="BA83">
        <f>IF($E83="pre",0,N('Month-End'!$CB$47))</f>
        <v/>
      </c>
      <c r="BB83">
        <f>IF($E83="pre",0,N('Month-End'!$CB$48))</f>
        <v/>
      </c>
      <c r="BC83">
        <f>IF($E83="pre",0,N('Month-End'!$CB$49))</f>
        <v/>
      </c>
      <c r="BD83">
        <f>IF($E83="pre",0,N('Month-End'!$CB$50))</f>
        <v/>
      </c>
      <c r="BE83">
        <f>IF(OR(Settings!$C$45="",Settings!$D$45=""),0,Settings!$C$45*IF(Settings!$D$45="Weekly",IF(IFERROR(MATCH(Settings!$E$45,$EO$4:$EO$10,0),0)=0,0,IF(MIN($C83,IF(Settings!$G$45="",$C83,Settings!$G$45))&lt;MAX($A83,Settings!$F$45),0,INT((MIN($C83,IF(Settings!$G$45="",$C83,Settings!$G$45))-MAX($A83,Settings!$F$45)-MOD(IFERROR(MATCH(Settings!$E$45,$EO$4:$EO$10,0),0)-WEEKDAY(MAX($A83,Settings!$F$45)),7))/7)+1)),IF(AND(IF(Settings!$E$45="",$B83,DATE(YEAR($A83),MONTH($A83),MIN(Settings!$E$45,DAY($B83))))&gt;=MAX($A83,Settings!$F$45),IF(Settings!$E$45="",$B83,DATE(YEAR($A83),MONTH($A83),MIN(Settings!$E$45,DAY($B83))))&lt;=MIN($C83,IF(Settings!$G$45="",$C83,Settings!$G$45))),1,0)))</f>
        <v/>
      </c>
      <c r="BF83">
        <f>IF(OR(Settings!$C$46="",Settings!$D$46=""),0,Settings!$C$46*IF(Settings!$D$46="Weekly",IF(IFERROR(MATCH(Settings!$E$46,$EO$4:$EO$10,0),0)=0,0,IF(MIN($C83,IF(Settings!$G$46="",$C83,Settings!$G$46))&lt;MAX($A83,Settings!$F$46),0,INT((MIN($C83,IF(Settings!$G$46="",$C83,Settings!$G$46))-MAX($A83,Settings!$F$46)-MOD(IFERROR(MATCH(Settings!$E$46,$EO$4:$EO$10,0),0)-WEEKDAY(MAX($A83,Settings!$F$46)),7))/7)+1)),IF(AND(IF(Settings!$E$46="",$B83,DATE(YEAR($A83),MONTH($A83),MIN(Settings!$E$46,DAY($B83))))&gt;=MAX($A83,Settings!$F$46),IF(Settings!$E$46="",$B83,DATE(YEAR($A83),MONTH($A83),MIN(Settings!$E$46,DAY($B83))))&lt;=MIN($C83,IF(Settings!$G$46="",$C83,Settings!$G$46))),1,0)))</f>
        <v/>
      </c>
      <c r="BG83">
        <f>IF(OR(Settings!$C$47="",Settings!$D$47=""),0,Settings!$C$47*IF(Settings!$D$47="Weekly",IF(IFERROR(MATCH(Settings!$E$47,$EO$4:$EO$10,0),0)=0,0,IF(MIN($C83,IF(Settings!$G$47="",$C83,Settings!$G$47))&lt;MAX($A83,Settings!$F$47),0,INT((MIN($C83,IF(Settings!$G$47="",$C83,Settings!$G$47))-MAX($A83,Settings!$F$47)-MOD(IFERROR(MATCH(Settings!$E$47,$EO$4:$EO$10,0),0)-WEEKDAY(MAX($A83,Settings!$F$47)),7))/7)+1)),IF(AND(IF(Settings!$E$47="",$B83,DATE(YEAR($A83),MONTH($A83),MIN(Settings!$E$47,DAY($B83))))&gt;=MAX($A83,Settings!$F$47),IF(Settings!$E$47="",$B83,DATE(YEAR($A83),MONTH($A83),MIN(Settings!$E$47,DAY($B83))))&lt;=MIN($C83,IF(Settings!$G$47="",$C83,Settings!$G$47))),1,0)))</f>
        <v/>
      </c>
      <c r="BH83">
        <f>IF(OR(Settings!$C$48="",Settings!$D$48=""),0,Settings!$C$48*IF(Settings!$D$48="Weekly",IF(IFERROR(MATCH(Settings!$E$48,$EO$4:$EO$10,0),0)=0,0,IF(MIN($C83,IF(Settings!$G$48="",$C83,Settings!$G$48))&lt;MAX($A83,Settings!$F$48),0,INT((MIN($C83,IF(Settings!$G$48="",$C83,Settings!$G$48))-MAX($A83,Settings!$F$48)-MOD(IFERROR(MATCH(Settings!$E$48,$EO$4:$EO$10,0),0)-WEEKDAY(MAX($A83,Settings!$F$48)),7))/7)+1)),IF(AND(IF(Settings!$E$48="",$B83,DATE(YEAR($A83),MONTH($A83),MIN(Settings!$E$48,DAY($B83))))&gt;=MAX($A83,Settings!$F$48),IF(Settings!$E$48="",$B83,DATE(YEAR($A83),MONTH($A83),MIN(Settings!$E$48,DAY($B83))))&lt;=MIN($C83,IF(Settings!$G$48="",$C83,Settings!$G$48))),1,0)))</f>
        <v/>
      </c>
      <c r="BI83">
        <f>IF(OR(Settings!$C$49="",Settings!$D$49=""),0,Settings!$C$49*IF(Settings!$D$49="Weekly",IF(IFERROR(MATCH(Settings!$E$49,$EO$4:$EO$10,0),0)=0,0,IF(MIN($C83,IF(Settings!$G$49="",$C83,Settings!$G$49))&lt;MAX($A83,Settings!$F$49),0,INT((MIN($C83,IF(Settings!$G$49="",$C83,Settings!$G$49))-MAX($A83,Settings!$F$49)-MOD(IFERROR(MATCH(Settings!$E$49,$EO$4:$EO$10,0),0)-WEEKDAY(MAX($A83,Settings!$F$49)),7))/7)+1)),IF(AND(IF(Settings!$E$49="",$B83,DATE(YEAR($A83),MONTH($A83),MIN(Settings!$E$49,DAY($B83))))&gt;=MAX($A83,Settings!$F$49),IF(Settings!$E$49="",$B83,DATE(YEAR($A83),MONTH($A83),MIN(Settings!$E$49,DAY($B83))))&lt;=MIN($C83,IF(Settings!$G$49="",$C83,Settings!$G$49))),1,0)))</f>
        <v/>
      </c>
      <c r="BJ83">
        <f>IF(OR(Settings!$C$50="",Settings!$D$50=""),0,Settings!$C$50*IF(Settings!$D$50="Weekly",IF(IFERROR(MATCH(Settings!$E$50,$EO$4:$EO$10,0),0)=0,0,IF(MIN($C83,IF(Settings!$G$50="",$C83,Settings!$G$50))&lt;MAX($A83,Settings!$F$50),0,INT((MIN($C83,IF(Settings!$G$50="",$C83,Settings!$G$50))-MAX($A83,Settings!$F$50)-MOD(IFERROR(MATCH(Settings!$E$50,$EO$4:$EO$10,0),0)-WEEKDAY(MAX($A83,Settings!$F$50)),7))/7)+1)),IF(AND(IF(Settings!$E$50="",$B83,DATE(YEAR($A83),MONTH($A83),MIN(Settings!$E$50,DAY($B83))))&gt;=MAX($A83,Settings!$F$50),IF(Settings!$E$50="",$B83,DATE(YEAR($A83),MONTH($A83),MIN(Settings!$E$50,DAY($B83))))&lt;=MIN($C83,IF(Settings!$G$50="",$C83,Settings!$G$50))),1,0)))</f>
        <v/>
      </c>
      <c r="BK83">
        <f>IF(OR(Settings!$C$51="",Settings!$D$51=""),0,Settings!$C$51*IF(Settings!$D$51="Weekly",IF(IFERROR(MATCH(Settings!$E$51,$EO$4:$EO$10,0),0)=0,0,IF(MIN($C83,IF(Settings!$G$51="",$C83,Settings!$G$51))&lt;MAX($A83,Settings!$F$51),0,INT((MIN($C83,IF(Settings!$G$51="",$C83,Settings!$G$51))-MAX($A83,Settings!$F$51)-MOD(IFERROR(MATCH(Settings!$E$51,$EO$4:$EO$10,0),0)-WEEKDAY(MAX($A83,Settings!$F$51)),7))/7)+1)),IF(AND(IF(Settings!$E$51="",$B83,DATE(YEAR($A83),MONTH($A83),MIN(Settings!$E$51,DAY($B83))))&gt;=MAX($A83,Settings!$F$51),IF(Settings!$E$51="",$B83,DATE(YEAR($A83),MONTH($A83),MIN(Settings!$E$51,DAY($B83))))&lt;=MIN($C83,IF(Settings!$G$51="",$C83,Settings!$G$51))),1,0)))</f>
        <v/>
      </c>
      <c r="BL83">
        <f>IF(OR(Settings!$C$52="",Settings!$D$52=""),0,Settings!$C$52*IF(Settings!$D$52="Weekly",IF(IFERROR(MATCH(Settings!$E$52,$EO$4:$EO$10,0),0)=0,0,IF(MIN($C83,IF(Settings!$G$52="",$C83,Settings!$G$52))&lt;MAX($A83,Settings!$F$52),0,INT((MIN($C83,IF(Settings!$G$52="",$C83,Settings!$G$52))-MAX($A83,Settings!$F$52)-MOD(IFERROR(MATCH(Settings!$E$52,$EO$4:$EO$10,0),0)-WEEKDAY(MAX($A83,Settings!$F$52)),7))/7)+1)),IF(AND(IF(Settings!$E$52="",$B83,DATE(YEAR($A83),MONTH($A83),MIN(Settings!$E$52,DAY($B83))))&gt;=MAX($A83,Settings!$F$52),IF(Settings!$E$52="",$B83,DATE(YEAR($A83),MONTH($A83),MIN(Settings!$E$52,DAY($B83))))&lt;=MIN($C83,IF(Settings!$G$52="",$C83,Settings!$G$52))),1,0)))</f>
        <v/>
      </c>
      <c r="BM83">
        <f>IF(OR(Settings!$C$53="",Settings!$D$53=""),0,Settings!$C$53*IF(Settings!$D$53="Weekly",IF(IFERROR(MATCH(Settings!$E$53,$EO$4:$EO$10,0),0)=0,0,IF(MIN($C83,IF(Settings!$G$53="",$C83,Settings!$G$53))&lt;MAX($A83,Settings!$F$53),0,INT((MIN($C83,IF(Settings!$G$53="",$C83,Settings!$G$53))-MAX($A83,Settings!$F$53)-MOD(IFERROR(MATCH(Settings!$E$53,$EO$4:$EO$10,0),0)-WEEKDAY(MAX($A83,Settings!$F$53)),7))/7)+1)),IF(AND(IF(Settings!$E$53="",$B83,DATE(YEAR($A83),MONTH($A83),MIN(Settings!$E$53,DAY($B83))))&gt;=MAX($A83,Settings!$F$53),IF(Settings!$E$53="",$B83,DATE(YEAR($A83),MONTH($A83),MIN(Settings!$E$53,DAY($B83))))&lt;=MIN($C83,IF(Settings!$G$53="",$C83,Settings!$G$53))),1,0)))</f>
        <v/>
      </c>
      <c r="BN83">
        <f>IF(OR(Settings!$C$54="",Settings!$D$54=""),0,Settings!$C$54*IF(Settings!$D$54="Weekly",IF(IFERROR(MATCH(Settings!$E$54,$EO$4:$EO$10,0),0)=0,0,IF(MIN($C83,IF(Settings!$G$54="",$C83,Settings!$G$54))&lt;MAX($A83,Settings!$F$54),0,INT((MIN($C83,IF(Settings!$G$54="",$C83,Settings!$G$54))-MAX($A83,Settings!$F$54)-MOD(IFERROR(MATCH(Settings!$E$54,$EO$4:$EO$10,0),0)-WEEKDAY(MAX($A83,Settings!$F$54)),7))/7)+1)),IF(AND(IF(Settings!$E$54="",$B83,DATE(YEAR($A83),MONTH($A83),MIN(Settings!$E$54,DAY($B83))))&gt;=MAX($A83,Settings!$F$54),IF(Settings!$E$54="",$B83,DATE(YEAR($A83),MONTH($A83),MIN(Settings!$E$54,DAY($B83))))&lt;=MIN($C83,IF(Settings!$G$54="",$C83,Settings!$G$54))),1,0)))</f>
        <v/>
      </c>
      <c r="BO83">
        <f>IF(OR(Settings!$C$55="",Settings!$D$55=""),0,Settings!$C$55*IF(Settings!$D$55="Weekly",IF(IFERROR(MATCH(Settings!$E$55,$EO$4:$EO$10,0),0)=0,0,IF(MIN($C83,IF(Settings!$G$55="",$C83,Settings!$G$55))&lt;MAX($A83,Settings!$F$55),0,INT((MIN($C83,IF(Settings!$G$55="",$C83,Settings!$G$55))-MAX($A83,Settings!$F$55)-MOD(IFERROR(MATCH(Settings!$E$55,$EO$4:$EO$10,0),0)-WEEKDAY(MAX($A83,Settings!$F$55)),7))/7)+1)),IF(AND(IF(Settings!$E$55="",$B83,DATE(YEAR($A83),MONTH($A83),MIN(Settings!$E$55,DAY($B83))))&gt;=MAX($A83,Settings!$F$55),IF(Settings!$E$55="",$B83,DATE(YEAR($A83),MONTH($A83),MIN(Settings!$E$55,DAY($B83))))&lt;=MIN($C83,IF(Settings!$G$55="",$C83,Settings!$G$55))),1,0)))</f>
        <v/>
      </c>
      <c r="BP83">
        <f>IF(OR(Settings!$C$56="",Settings!$D$56=""),0,Settings!$C$56*IF(Settings!$D$56="Weekly",IF(IFERROR(MATCH(Settings!$E$56,$EO$4:$EO$10,0),0)=0,0,IF(MIN($C83,IF(Settings!$G$56="",$C83,Settings!$G$56))&lt;MAX($A83,Settings!$F$56),0,INT((MIN($C83,IF(Settings!$G$56="",$C83,Settings!$G$56))-MAX($A83,Settings!$F$56)-MOD(IFERROR(MATCH(Settings!$E$56,$EO$4:$EO$10,0),0)-WEEKDAY(MAX($A83,Settings!$F$56)),7))/7)+1)),IF(AND(IF(Settings!$E$56="",$B83,DATE(YEAR($A83),MONTH($A83),MIN(Settings!$E$56,DAY($B83))))&gt;=MAX($A83,Settings!$F$56),IF(Settings!$E$56="",$B83,DATE(YEAR($A83),MONTH($A83),MIN(Settings!$E$56,DAY($B83))))&lt;=MIN($C83,IF(Settings!$G$56="",$C83,Settings!$G$56))),1,0)))</f>
        <v/>
      </c>
      <c r="BQ83">
        <f>IF(OR(Settings!$B$14="",$D83=1,$E83="pre",$A83&lt;IF(Settings!$B$15="",0,Settings!$B$15)),0,Settings!$B$14)</f>
        <v/>
      </c>
      <c r="BR83">
        <f>IF(AND('Month-End'!$CB$7&lt;&gt;"",NOT(_xlfn.ISFORMULA('Month-End'!$CB$7))),1,0)</f>
        <v/>
      </c>
      <c r="BS83">
        <f>IF(AND('Month-End'!$CB$8&lt;&gt;"",NOT(_xlfn.ISFORMULA('Month-End'!$CB$8))),1,0)</f>
        <v/>
      </c>
      <c r="BT83">
        <f>IF(AND('Month-End'!$CB$9&lt;&gt;"",NOT(_xlfn.ISFORMULA('Month-End'!$CB$9))),1,0)</f>
        <v/>
      </c>
      <c r="BU83">
        <f>IF(AND('Month-End'!$CB$10&lt;&gt;"",NOT(_xlfn.ISFORMULA('Month-End'!$CB$10))),1,0)</f>
        <v/>
      </c>
      <c r="BV83">
        <f>IF(AND('Month-End'!$CB$11&lt;&gt;"",NOT(_xlfn.ISFORMULA('Month-End'!$CB$11))),1,0)</f>
        <v/>
      </c>
      <c r="BW83">
        <f>IF(AND('Month-End'!$CB$12&lt;&gt;"",NOT(_xlfn.ISFORMULA('Month-End'!$CB$12))),1,0)</f>
        <v/>
      </c>
      <c r="BX83">
        <f>IF(AND('Month-End'!$CB$13&lt;&gt;"",NOT(_xlfn.ISFORMULA('Month-End'!$CB$13))),1,0)</f>
        <v/>
      </c>
      <c r="BY83">
        <f>IF(AND('Month-End'!$CB$14&lt;&gt;"",NOT(_xlfn.ISFORMULA('Month-End'!$CB$14))),1,0)</f>
        <v/>
      </c>
      <c r="BZ83">
        <f>IF(AND('Month-End'!$CB$15&lt;&gt;"",NOT(_xlfn.ISFORMULA('Month-End'!$CB$15))),1,0)</f>
        <v/>
      </c>
      <c r="CA83">
        <f>IF(AND('Month-End'!$CB$16&lt;&gt;"",NOT(_xlfn.ISFORMULA('Month-End'!$CB$16))),1,0)</f>
        <v/>
      </c>
      <c r="CB83">
        <f>IF(AND('Month-End'!$CB$17&lt;&gt;"",NOT(_xlfn.ISFORMULA('Month-End'!$CB$17))),1,0)</f>
        <v/>
      </c>
      <c r="CC83">
        <f>IF(AND('Month-End'!$CB$18&lt;&gt;"",NOT(_xlfn.ISFORMULA('Month-End'!$CB$18))),1,0)</f>
        <v/>
      </c>
      <c r="CD83">
        <f>IF(AND('Month-End'!$CB$19&lt;&gt;"",NOT(_xlfn.ISFORMULA('Month-End'!$CB$19))),1,0)</f>
        <v/>
      </c>
      <c r="CE83">
        <f>IF(AND('Month-End'!$CB$20&lt;&gt;"",NOT(_xlfn.ISFORMULA('Month-End'!$CB$20))),1,0)</f>
        <v/>
      </c>
      <c r="CF83">
        <f>IF(AND('Month-End'!$CB$38&lt;&gt;"",NOT(_xlfn.ISFORMULA('Month-End'!$CB$38))),1,0)</f>
        <v/>
      </c>
      <c r="CG83">
        <f>IF(AND('Month-End'!$CB$39&lt;&gt;"",NOT(_xlfn.ISFORMULA('Month-End'!$CB$39))),1,0)</f>
        <v/>
      </c>
      <c r="CH83">
        <f>IF(AND('Month-End'!$CB$40&lt;&gt;"",NOT(_xlfn.ISFORMULA('Month-End'!$CB$40))),1,0)</f>
        <v/>
      </c>
      <c r="CI83">
        <f>IF(AND('Month-End'!$CB$41&lt;&gt;"",NOT(_xlfn.ISFORMULA('Month-End'!$CB$41))),1,0)</f>
        <v/>
      </c>
      <c r="CJ83">
        <f>IF(AND('Month-End'!$CB$42&lt;&gt;"",NOT(_xlfn.ISFORMULA('Month-End'!$CB$42))),1,0)</f>
        <v/>
      </c>
      <c r="CK83">
        <f>IF(AND('Month-End'!$CB$43&lt;&gt;"",NOT(_xlfn.ISFORMULA('Month-End'!$CB$43))),1,0)</f>
        <v/>
      </c>
      <c r="CL83">
        <f>SUM($CM83:$CZ83)</f>
        <v/>
      </c>
      <c r="CM83">
        <f>IF(AND($E83&lt;&gt;"pre",AND(Settings!$A$19&lt;&gt;"",Settings!$E$19&lt;&gt;"No"),Settings!$F$19="Yes",NOT(AND('Month-End'!$CB$7&lt;&gt;"",NOT(_xlfn.ISFORMULA('Month-End'!$CB$7))))),1,0)</f>
        <v/>
      </c>
      <c r="CN83">
        <f>IF(AND($E83&lt;&gt;"pre",AND(Settings!$A$20&lt;&gt;"",Settings!$E$20&lt;&gt;"No"),Settings!$F$20="Yes",NOT(AND('Month-End'!$CB$8&lt;&gt;"",NOT(_xlfn.ISFORMULA('Month-End'!$CB$8))))),1,0)</f>
        <v/>
      </c>
      <c r="CO83">
        <f>IF(AND($E83&lt;&gt;"pre",AND(Settings!$A$21&lt;&gt;"",Settings!$E$21&lt;&gt;"No"),Settings!$F$21="Yes",NOT(AND('Month-End'!$CB$9&lt;&gt;"",NOT(_xlfn.ISFORMULA('Month-End'!$CB$9))))),1,0)</f>
        <v/>
      </c>
      <c r="CP83">
        <f>IF(AND($E83&lt;&gt;"pre",AND(Settings!$A$22&lt;&gt;"",Settings!$E$22&lt;&gt;"No"),Settings!$F$22="Yes",NOT(AND('Month-End'!$CB$10&lt;&gt;"",NOT(_xlfn.ISFORMULA('Month-End'!$CB$10))))),1,0)</f>
        <v/>
      </c>
      <c r="CQ83">
        <f>IF(AND($E83&lt;&gt;"pre",AND(Settings!$A$23&lt;&gt;"",Settings!$E$23&lt;&gt;"No"),Settings!$F$23="Yes",NOT(AND('Month-End'!$CB$11&lt;&gt;"",NOT(_xlfn.ISFORMULA('Month-End'!$CB$11))))),1,0)</f>
        <v/>
      </c>
      <c r="CR83">
        <f>IF(AND($E83&lt;&gt;"pre",AND(Settings!$A$24&lt;&gt;"",Settings!$E$24&lt;&gt;"No"),Settings!$F$24="Yes",NOT(AND('Month-End'!$CB$12&lt;&gt;"",NOT(_xlfn.ISFORMULA('Month-End'!$CB$12))))),1,0)</f>
        <v/>
      </c>
      <c r="CS83">
        <f>IF(AND($E83&lt;&gt;"pre",AND(Settings!$A$25&lt;&gt;"",Settings!$E$25&lt;&gt;"No"),Settings!$F$25="Yes",NOT(AND('Month-End'!$CB$13&lt;&gt;"",NOT(_xlfn.ISFORMULA('Month-End'!$CB$13))))),1,0)</f>
        <v/>
      </c>
      <c r="CT83">
        <f>IF(AND($E83&lt;&gt;"pre",AND(Settings!$A$26&lt;&gt;"",Settings!$E$26&lt;&gt;"No"),Settings!$F$26="Yes",NOT(AND('Month-End'!$CB$14&lt;&gt;"",NOT(_xlfn.ISFORMULA('Month-End'!$CB$14))))),1,0)</f>
        <v/>
      </c>
      <c r="CU83">
        <f>IF(AND($E83&lt;&gt;"pre",AND(Settings!$A$27&lt;&gt;"",Settings!$E$27&lt;&gt;"No"),Settings!$F$27="Yes",NOT(AND('Month-End'!$CB$15&lt;&gt;"",NOT(_xlfn.ISFORMULA('Month-End'!$CB$15))))),1,0)</f>
        <v/>
      </c>
      <c r="CV83">
        <f>IF(AND($E83&lt;&gt;"pre",AND(Settings!$A$28&lt;&gt;"",Settings!$E$28&lt;&gt;"No"),Settings!$F$28="Yes",NOT(AND('Month-End'!$CB$16&lt;&gt;"",NOT(_xlfn.ISFORMULA('Month-End'!$CB$16))))),1,0)</f>
        <v/>
      </c>
      <c r="CW83">
        <f>IF(AND($E83&lt;&gt;"pre",AND(Settings!$A$29&lt;&gt;"",Settings!$E$29&lt;&gt;"No"),Settings!$F$29="Yes",NOT(AND('Month-End'!$CB$17&lt;&gt;"",NOT(_xlfn.ISFORMULA('Month-End'!$CB$17))))),1,0)</f>
        <v/>
      </c>
      <c r="CX83">
        <f>IF(AND($E83&lt;&gt;"pre",AND(Settings!$A$30&lt;&gt;"",Settings!$E$30&lt;&gt;"No"),Settings!$F$30="Yes",NOT(AND('Month-End'!$CB$18&lt;&gt;"",NOT(_xlfn.ISFORMULA('Month-End'!$CB$18))))),1,0)</f>
        <v/>
      </c>
      <c r="CY83">
        <f>IF(AND($E83&lt;&gt;"pre",AND(Settings!$A$31&lt;&gt;"",Settings!$E$31&lt;&gt;"No"),Settings!$F$31="Yes",NOT(AND('Month-End'!$CB$19&lt;&gt;"",NOT(_xlfn.ISFORMULA('Month-End'!$CB$19))))),1,0)</f>
        <v/>
      </c>
      <c r="CZ83">
        <f>IF(AND($E83&lt;&gt;"pre",AND(Settings!$A$32&lt;&gt;"",Settings!$E$32&lt;&gt;"No"),Settings!$F$32="Yes",NOT(AND('Month-End'!$CB$20&lt;&gt;"",NOT(_xlfn.ISFORMULA('Month-End'!$CB$20))))),1,0)</f>
        <v/>
      </c>
      <c r="DA83">
        <f>IF($DT83=1,IF(OR(Settings!$B$19="Checking",Settings!$B$19="Savings",Settings!$B$19="Cash"),N($AE83),IF(OR(Settings!$B$19="Card",Settings!$B$19="Loan"),-N($AE83),0))+IF(OR(Settings!$B$20="Checking",Settings!$B$20="Savings",Settings!$B$20="Cash"),N($AF83),IF(OR(Settings!$B$20="Card",Settings!$B$20="Loan"),-N($AF83),0))+IF(OR(Settings!$B$21="Checking",Settings!$B$21="Savings",Settings!$B$21="Cash"),N($AG83),IF(OR(Settings!$B$21="Card",Settings!$B$21="Loan"),-N($AG83),0))+IF(OR(Settings!$B$22="Checking",Settings!$B$22="Savings",Settings!$B$22="Cash"),N($AH83),IF(OR(Settings!$B$22="Card",Settings!$B$22="Loan"),-N($AH83),0))+IF(OR(Settings!$B$23="Checking",Settings!$B$23="Savings",Settings!$B$23="Cash"),N($AI83),IF(OR(Settings!$B$23="Card",Settings!$B$23="Loan"),-N($AI83),0))+IF(OR(Settings!$B$24="Checking",Settings!$B$24="Savings",Settings!$B$24="Cash"),N($AJ83),IF(OR(Settings!$B$24="Card",Settings!$B$24="Loan"),-N($AJ83),0))+IF(OR(Settings!$B$25="Checking",Settings!$B$25="Savings",Settings!$B$25="Cash"),N($AK83),IF(OR(Settings!$B$25="Card",Settings!$B$25="Loan"),-N($AK83),0))+IF(OR(Settings!$B$26="Checking",Settings!$B$26="Savings",Settings!$B$26="Cash"),N($AL83),IF(OR(Settings!$B$26="Card",Settings!$B$26="Loan"),-N($AL83),0))+IF(OR(Settings!$B$27="Checking",Settings!$B$27="Savings",Settings!$B$27="Cash"),N($AM83),IF(OR(Settings!$B$27="Card",Settings!$B$27="Loan"),-N($AM83),0))+IF(OR(Settings!$B$28="Checking",Settings!$B$28="Savings",Settings!$B$28="Cash"),N($AN83),IF(OR(Settings!$B$28="Card",Settings!$B$28="Loan"),-N($AN83),0))+IF(OR(Settings!$B$29="Checking",Settings!$B$29="Savings",Settings!$B$29="Cash"),N($AO83),IF(OR(Settings!$B$29="Card",Settings!$B$29="Loan"),-N($AO83),0))+IF(OR(Settings!$B$30="Checking",Settings!$B$30="Savings",Settings!$B$30="Cash"),N($AP83),IF(OR(Settings!$B$30="Card",Settings!$B$30="Loan"),-N($AP83),0))+IF(OR(Settings!$B$31="Checking",Settings!$B$31="Savings",Settings!$B$31="Cash"),N($AQ83),IF(OR(Settings!$B$31="Card",Settings!$B$31="Loan"),-N($AQ83),0))+IF(OR(Settings!$B$32="Checking",Settings!$B$32="Savings",Settings!$B$32="Cash"),N($AR83),IF(OR(Settings!$B$32="Card",Settings!$B$32="Loan"),-N($AR83),0)),"")</f>
        <v/>
      </c>
      <c r="DB83">
        <f>IF($E83="open",$EB$27,IF($E83="post",IF($E82="pre",$EB$27,$DA82),""))</f>
        <v/>
      </c>
      <c r="DC83">
        <f>IF($E83="open",1,IF($E83="post",IF($E82="pre",1,$DT82),0))</f>
        <v/>
      </c>
      <c r="DD83">
        <f>IF(AND($DT83=1,$DC83=1),ROUND($W83-($DA83-$DB83)-$AD83-$AB83,2),"")</f>
        <v/>
      </c>
      <c r="DE83">
        <f>IF('Month-End'!$CB$35="",$BQ83,N('Month-End'!$CB$35))</f>
        <v/>
      </c>
      <c r="DF83">
        <f>N('Month-End'!$CB$36)</f>
        <v/>
      </c>
      <c r="DG83">
        <f>IF($DD83="","",$DD83+$DE83)</f>
        <v/>
      </c>
      <c r="DH83">
        <f>IF($DG83="","",$DG83-$DF83)</f>
        <v/>
      </c>
      <c r="DI83">
        <f>IF(OR($E83="pre",$D83=1),"",N($AS83)+N($AT83)+N($AU83)+N($AV83)+N($AW83)+N($AX83))</f>
        <v/>
      </c>
      <c r="DJ83">
        <f>IF($DT83=1,$DA83+N($DI83),"")</f>
        <v/>
      </c>
      <c r="DK83">
        <f>IF($DD83="","",$W83-$DD83-$AB83)</f>
        <v/>
      </c>
      <c r="DL83">
        <f>IF(AND($E83="post",$DD83&lt;&gt;"",$B83&lt;TODAY()),1,0)</f>
        <v/>
      </c>
      <c r="DM83">
        <f>IF($DL83=1,COUNTIF($DL83:$DL$183,1),0)</f>
        <v/>
      </c>
      <c r="DN83">
        <f>IF($D83=1,"",IF($E83="pre","History only",IF($DT83=1,IF($DD83="","⚠ Previous month missing",IF($DD83&lt;0,"⚠ Check: spending &lt; 0",IF($E83="open","✓ Done (partial)","✓ Done"))),IF($B83&gt;=TODAY(),"In progress","⚠ Needs balances"))))</f>
        <v/>
      </c>
      <c r="DO83">
        <f>YEAR($A83)</f>
        <v/>
      </c>
      <c r="DP83">
        <f>DATE(YEAR($A83),INT((MONTH($A83)-1)/3)*3+1,1)</f>
        <v/>
      </c>
      <c r="DQ83">
        <f>IF(AND($DT83=1,$DD83&lt;&gt;"",$D83=0),ROW(),0)</f>
        <v/>
      </c>
      <c r="DR83">
        <f>IF(AND($E83&lt;&gt;"pre",$B83&lt;TODAY(),$DT83=0),1,0)</f>
        <v/>
      </c>
      <c r="DS83">
        <f>IF($DJ83="",NA(),$DJ83)</f>
        <v/>
      </c>
      <c r="DT83">
        <f>IF(AND($E83&lt;&gt;"pre",$CL83=0,COUNTIFS(Settings!$F$19:$F$32,"Yes",Settings!$A$19:$A$32,"&lt;&gt;",Settings!$E$19:$E$32,"&lt;&gt;No")&gt;0),1,0)</f>
        <v/>
      </c>
      <c r="DU83">
        <f>IF(AND($B83&lt;TODAY(),$S83&gt;0),1,0)</f>
        <v/>
      </c>
      <c r="DV83">
        <f>IF($DU83=1,COUNTIF($DU83:$DU$183,1),0)</f>
        <v/>
      </c>
      <c r="DW83">
        <f>IF(AND(OR(Settings!$B$19="Card",Settings!$B$19="Loan"),AND('Month-End'!$CB$7&lt;&gt;"",NOT(_xlfn.ISFORMULA('Month-End'!$CB$7)))),IF(N('Month-End'!$CB$7)&lt;0,1,0),0)+IF(AND(OR(Settings!$B$20="Card",Settings!$B$20="Loan"),AND('Month-End'!$CB$8&lt;&gt;"",NOT(_xlfn.ISFORMULA('Month-End'!$CB$8)))),IF(N('Month-End'!$CB$8)&lt;0,1,0),0)+IF(AND(OR(Settings!$B$21="Card",Settings!$B$21="Loan"),AND('Month-End'!$CB$9&lt;&gt;"",NOT(_xlfn.ISFORMULA('Month-End'!$CB$9)))),IF(N('Month-End'!$CB$9)&lt;0,1,0),0)+IF(AND(OR(Settings!$B$22="Card",Settings!$B$22="Loan"),AND('Month-End'!$CB$10&lt;&gt;"",NOT(_xlfn.ISFORMULA('Month-End'!$CB$10)))),IF(N('Month-End'!$CB$10)&lt;0,1,0),0)+IF(AND(OR(Settings!$B$23="Card",Settings!$B$23="Loan"),AND('Month-End'!$CB$11&lt;&gt;"",NOT(_xlfn.ISFORMULA('Month-End'!$CB$11)))),IF(N('Month-End'!$CB$11)&lt;0,1,0),0)+IF(AND(OR(Settings!$B$24="Card",Settings!$B$24="Loan"),AND('Month-End'!$CB$12&lt;&gt;"",NOT(_xlfn.ISFORMULA('Month-End'!$CB$12)))),IF(N('Month-End'!$CB$12)&lt;0,1,0),0)+IF(AND(OR(Settings!$B$25="Card",Settings!$B$25="Loan"),AND('Month-End'!$CB$13&lt;&gt;"",NOT(_xlfn.ISFORMULA('Month-End'!$CB$13)))),IF(N('Month-End'!$CB$13)&lt;0,1,0),0)+IF(AND(OR(Settings!$B$26="Card",Settings!$B$26="Loan"),AND('Month-End'!$CB$14&lt;&gt;"",NOT(_xlfn.ISFORMULA('Month-End'!$CB$14)))),IF(N('Month-End'!$CB$14)&lt;0,1,0),0)+IF(AND(OR(Settings!$B$27="Card",Settings!$B$27="Loan"),AND('Month-End'!$CB$15&lt;&gt;"",NOT(_xlfn.ISFORMULA('Month-End'!$CB$15)))),IF(N('Month-End'!$CB$15)&lt;0,1,0),0)+IF(AND(OR(Settings!$B$28="Card",Settings!$B$28="Loan"),AND('Month-End'!$CB$16&lt;&gt;"",NOT(_xlfn.ISFORMULA('Month-End'!$CB$16)))),IF(N('Month-End'!$CB$16)&lt;0,1,0),0)+IF(AND(OR(Settings!$B$29="Card",Settings!$B$29="Loan"),AND('Month-End'!$CB$17&lt;&gt;"",NOT(_xlfn.ISFORMULA('Month-End'!$CB$17)))),IF(N('Month-End'!$CB$17)&lt;0,1,0),0)+IF(AND(OR(Settings!$B$30="Card",Settings!$B$30="Loan"),AND('Month-End'!$CB$18&lt;&gt;"",NOT(_xlfn.ISFORMULA('Month-End'!$CB$18)))),IF(N('Month-End'!$CB$18)&lt;0,1,0),0)+IF(AND(OR(Settings!$B$31="Card",Settings!$B$31="Loan"),AND('Month-End'!$CB$19&lt;&gt;"",NOT(_xlfn.ISFORMULA('Month-End'!$CB$19)))),IF(N('Month-End'!$CB$19)&lt;0,1,0),0)+IF(AND(OR(Settings!$B$32="Card",Settings!$B$32="Loan"),AND('Month-End'!$CB$20&lt;&gt;"",NOT(_xlfn.ISFORMULA('Month-End'!$CB$20)))),IF(N('Month-End'!$CB$20)&lt;0,1,0),0)</f>
        <v/>
      </c>
      <c r="DX83">
        <f>IF(Settings!$B$36="Retirement",$AY83,0)+IF(Settings!$B$37="Retirement",$AZ83,0)+IF(Settings!$B$38="Retirement",$BA83,0)+IF(Settings!$B$39="Retirement",$BB83,0)+IF(Settings!$B$40="Retirement",$BC83,0)+IF(Settings!$B$41="Retirement",$BD83,0)</f>
        <v/>
      </c>
      <c r="EA83">
        <f>IF(Settings!$A$82="","",Settings!$A$82)</f>
        <v/>
      </c>
      <c r="EB83">
        <f>IF(Settings!$D$82="",0,IF(Settings!$D$82="Specific Account",IFERROR(INDEX($EB$40:$EB$59,MATCH(Settings!$F$82,$EA$40:$EA$59,0)),0),IFERROR(INDEX($EB$6:$EB$26,MATCH(Settings!$D$82,$EA$6:$EA$26,0)),0)))</f>
        <v/>
      </c>
      <c r="EC83">
        <f>IF(Settings!$A$82="","",IF(Settings!$B$82="Tithe Balance",$EB$23,IF(Settings!$E$82="Specific Account",IFERROR(INDEX($EB$40:$EB$59,MATCH(Settings!$F$82,$EA$40:$EA$59,0)),0),IFERROR(INDEX($EB$6:$EB$26,MATCH(Settings!$E$82,$EA$6:$EA$26,0)),0))))</f>
        <v/>
      </c>
      <c r="ED83">
        <f>IF(Settings!$A$82="","",IF(Settings!$B$82="Percentage",EB83*N(Settings!$C$82)/100,IF(Settings!$B$82="Multiple",EB83*N(Settings!$C$82),IF(Settings!$B$82="Tithe Balance",$EB$22,N(Settings!$C$82)))))</f>
        <v/>
      </c>
      <c r="EE83">
        <f>IF(Settings!$A$82="","",IF(Settings!$B$82="Pay Down To",MAX(0,EC83-ED83),MAX(0,ED83-EC83)))</f>
        <v/>
      </c>
      <c r="EF83">
        <f>IF(Settings!$A$82="","",IF(Settings!$B$82="Pay Down To",IF(EC83&lt;=ED83,"Met","Above target"),IF(EC83&gt;=ED83-0.005,"Met","Remaining")))</f>
        <v/>
      </c>
      <c r="EG83">
        <f>IF(Settings!$A$82="","",IF(Settings!$B$82="Pay Down To",IF(EC83&lt;=0,1,MIN(1,ED83/EC83)),IF(ED83&lt;=0,1,EC83/ED83)))</f>
        <v/>
      </c>
      <c r="EH83">
        <f>IF(OR(Settings!$A$82="",EE83&lt;=0),"",IF(Settings!$B$82="Save By Date",IF(Settings!$G$82="","Set a target date","Need "&amp;TEXT(EE83/MAX(1,(YEAR(Settings!$G$82)-YEAR(TODAY()))*12+MONTH(Settings!$G$82)-MONTH(TODAY())+1),"$#,##0")&amp;"/mo to "&amp;TEXT(Settings!$G$82,"mmm yyyy")),IF(Settings!$B$82="Annual Contribution","Need "&amp;TEXT(EE83/MAX(1,12-MONTH(TODAY())+1),"$#,##0")&amp;"/mo rest of year",IF(Settings!$B$82="Tithe Balance","This quarter",""))))</f>
        <v/>
      </c>
      <c r="ET83">
        <f>IF($E83&lt;&gt;"open",0,IF(AND('Month-End'!$CB$22&lt;&gt;"",NOT(_xlfn.ISFORMULA('Month-End'!$CB$22))),0,IF(OR(Settings!$C$45="",Settings!$D$45=""),0,Settings!$C$45*IF(Settings!$D$45="Weekly",IF(IFERROR(MATCH(Settings!$E$45,$EO$4:$EO$10,0),0)=0,0,IF(MIN(Settings!$B$5,IF(Settings!$G$45="",Settings!$B$5,Settings!$G$45))&lt;MAX($A83,Settings!$F$45),0,INT((MIN(Settings!$B$5,IF(Settings!$G$45="",Settings!$B$5,Settings!$G$45))-MAX($A83,Settings!$F$45)-MOD(IFERROR(MATCH(Settings!$E$45,$EO$4:$EO$10,0),0)-WEEKDAY(MAX($A83,Settings!$F$45)),7))/7)+1)),IF(AND(IF(Settings!$E$45="",$B83,DATE(YEAR($A83),MONTH($A83),MIN(Settings!$E$45,DAY($B83))))&gt;=MAX($A83,Settings!$F$45),IF(Settings!$E$45="",$B83,DATE(YEAR($A83),MONTH($A83),MIN(Settings!$E$45,DAY($B83))))&lt;=MIN(Settings!$B$5,IF(Settings!$G$45="",Settings!$B$5,Settings!$G$45))),1,0)))))</f>
        <v/>
      </c>
      <c r="EU83">
        <f>IF($E83&lt;&gt;"open",0,IF(AND('Month-End'!$CB$23&lt;&gt;"",NOT(_xlfn.ISFORMULA('Month-End'!$CB$23))),0,IF(OR(Settings!$C$46="",Settings!$D$46=""),0,Settings!$C$46*IF(Settings!$D$46="Weekly",IF(IFERROR(MATCH(Settings!$E$46,$EO$4:$EO$10,0),0)=0,0,IF(MIN(Settings!$B$5,IF(Settings!$G$46="",Settings!$B$5,Settings!$G$46))&lt;MAX($A83,Settings!$F$46),0,INT((MIN(Settings!$B$5,IF(Settings!$G$46="",Settings!$B$5,Settings!$G$46))-MAX($A83,Settings!$F$46)-MOD(IFERROR(MATCH(Settings!$E$46,$EO$4:$EO$10,0),0)-WEEKDAY(MAX($A83,Settings!$F$46)),7))/7)+1)),IF(AND(IF(Settings!$E$46="",$B83,DATE(YEAR($A83),MONTH($A83),MIN(Settings!$E$46,DAY($B83))))&gt;=MAX($A83,Settings!$F$46),IF(Settings!$E$46="",$B83,DATE(YEAR($A83),MONTH($A83),MIN(Settings!$E$46,DAY($B83))))&lt;=MIN(Settings!$B$5,IF(Settings!$G$46="",Settings!$B$5,Settings!$G$46))),1,0)))))</f>
        <v/>
      </c>
      <c r="EV83">
        <f>IF($E83&lt;&gt;"open",0,IF(AND('Month-End'!$CB$24&lt;&gt;"",NOT(_xlfn.ISFORMULA('Month-End'!$CB$24))),0,IF(OR(Settings!$C$47="",Settings!$D$47=""),0,Settings!$C$47*IF(Settings!$D$47="Weekly",IF(IFERROR(MATCH(Settings!$E$47,$EO$4:$EO$10,0),0)=0,0,IF(MIN(Settings!$B$5,IF(Settings!$G$47="",Settings!$B$5,Settings!$G$47))&lt;MAX($A83,Settings!$F$47),0,INT((MIN(Settings!$B$5,IF(Settings!$G$47="",Settings!$B$5,Settings!$G$47))-MAX($A83,Settings!$F$47)-MOD(IFERROR(MATCH(Settings!$E$47,$EO$4:$EO$10,0),0)-WEEKDAY(MAX($A83,Settings!$F$47)),7))/7)+1)),IF(AND(IF(Settings!$E$47="",$B83,DATE(YEAR($A83),MONTH($A83),MIN(Settings!$E$47,DAY($B83))))&gt;=MAX($A83,Settings!$F$47),IF(Settings!$E$47="",$B83,DATE(YEAR($A83),MONTH($A83),MIN(Settings!$E$47,DAY($B83))))&lt;=MIN(Settings!$B$5,IF(Settings!$G$47="",Settings!$B$5,Settings!$G$47))),1,0)))))</f>
        <v/>
      </c>
      <c r="EW83">
        <f>IF($E83&lt;&gt;"open",0,IF(AND('Month-End'!$CB$25&lt;&gt;"",NOT(_xlfn.ISFORMULA('Month-End'!$CB$25))),0,IF(OR(Settings!$C$48="",Settings!$D$48=""),0,Settings!$C$48*IF(Settings!$D$48="Weekly",IF(IFERROR(MATCH(Settings!$E$48,$EO$4:$EO$10,0),0)=0,0,IF(MIN(Settings!$B$5,IF(Settings!$G$48="",Settings!$B$5,Settings!$G$48))&lt;MAX($A83,Settings!$F$48),0,INT((MIN(Settings!$B$5,IF(Settings!$G$48="",Settings!$B$5,Settings!$G$48))-MAX($A83,Settings!$F$48)-MOD(IFERROR(MATCH(Settings!$E$48,$EO$4:$EO$10,0),0)-WEEKDAY(MAX($A83,Settings!$F$48)),7))/7)+1)),IF(AND(IF(Settings!$E$48="",$B83,DATE(YEAR($A83),MONTH($A83),MIN(Settings!$E$48,DAY($B83))))&gt;=MAX($A83,Settings!$F$48),IF(Settings!$E$48="",$B83,DATE(YEAR($A83),MONTH($A83),MIN(Settings!$E$48,DAY($B83))))&lt;=MIN(Settings!$B$5,IF(Settings!$G$48="",Settings!$B$5,Settings!$G$48))),1,0)))))</f>
        <v/>
      </c>
      <c r="EX83">
        <f>IF($E83&lt;&gt;"open",0,IF(AND('Month-End'!$CB$26&lt;&gt;"",NOT(_xlfn.ISFORMULA('Month-End'!$CB$26))),0,IF(OR(Settings!$C$49="",Settings!$D$49=""),0,Settings!$C$49*IF(Settings!$D$49="Weekly",IF(IFERROR(MATCH(Settings!$E$49,$EO$4:$EO$10,0),0)=0,0,IF(MIN(Settings!$B$5,IF(Settings!$G$49="",Settings!$B$5,Settings!$G$49))&lt;MAX($A83,Settings!$F$49),0,INT((MIN(Settings!$B$5,IF(Settings!$G$49="",Settings!$B$5,Settings!$G$49))-MAX($A83,Settings!$F$49)-MOD(IFERROR(MATCH(Settings!$E$49,$EO$4:$EO$10,0),0)-WEEKDAY(MAX($A83,Settings!$F$49)),7))/7)+1)),IF(AND(IF(Settings!$E$49="",$B83,DATE(YEAR($A83),MONTH($A83),MIN(Settings!$E$49,DAY($B83))))&gt;=MAX($A83,Settings!$F$49),IF(Settings!$E$49="",$B83,DATE(YEAR($A83),MONTH($A83),MIN(Settings!$E$49,DAY($B83))))&lt;=MIN(Settings!$B$5,IF(Settings!$G$49="",Settings!$B$5,Settings!$G$49))),1,0)))))</f>
        <v/>
      </c>
      <c r="EY83">
        <f>IF($E83&lt;&gt;"open",0,IF(AND('Month-End'!$CB$27&lt;&gt;"",NOT(_xlfn.ISFORMULA('Month-End'!$CB$27))),0,IF(OR(Settings!$C$50="",Settings!$D$50=""),0,Settings!$C$50*IF(Settings!$D$50="Weekly",IF(IFERROR(MATCH(Settings!$E$50,$EO$4:$EO$10,0),0)=0,0,IF(MIN(Settings!$B$5,IF(Settings!$G$50="",Settings!$B$5,Settings!$G$50))&lt;MAX($A83,Settings!$F$50),0,INT((MIN(Settings!$B$5,IF(Settings!$G$50="",Settings!$B$5,Settings!$G$50))-MAX($A83,Settings!$F$50)-MOD(IFERROR(MATCH(Settings!$E$50,$EO$4:$EO$10,0),0)-WEEKDAY(MAX($A83,Settings!$F$50)),7))/7)+1)),IF(AND(IF(Settings!$E$50="",$B83,DATE(YEAR($A83),MONTH($A83),MIN(Settings!$E$50,DAY($B83))))&gt;=MAX($A83,Settings!$F$50),IF(Settings!$E$50="",$B83,DATE(YEAR($A83),MONTH($A83),MIN(Settings!$E$50,DAY($B83))))&lt;=MIN(Settings!$B$5,IF(Settings!$G$50="",Settings!$B$5,Settings!$G$50))),1,0)))))</f>
        <v/>
      </c>
      <c r="EZ83">
        <f>IF($E83&lt;&gt;"open",0,IF(AND('Month-End'!$CB$28&lt;&gt;"",NOT(_xlfn.ISFORMULA('Month-End'!$CB$28))),0,IF(OR(Settings!$C$51="",Settings!$D$51=""),0,Settings!$C$51*IF(Settings!$D$51="Weekly",IF(IFERROR(MATCH(Settings!$E$51,$EO$4:$EO$10,0),0)=0,0,IF(MIN(Settings!$B$5,IF(Settings!$G$51="",Settings!$B$5,Settings!$G$51))&lt;MAX($A83,Settings!$F$51),0,INT((MIN(Settings!$B$5,IF(Settings!$G$51="",Settings!$B$5,Settings!$G$51))-MAX($A83,Settings!$F$51)-MOD(IFERROR(MATCH(Settings!$E$51,$EO$4:$EO$10,0),0)-WEEKDAY(MAX($A83,Settings!$F$51)),7))/7)+1)),IF(AND(IF(Settings!$E$51="",$B83,DATE(YEAR($A83),MONTH($A83),MIN(Settings!$E$51,DAY($B83))))&gt;=MAX($A83,Settings!$F$51),IF(Settings!$E$51="",$B83,DATE(YEAR($A83),MONTH($A83),MIN(Settings!$E$51,DAY($B83))))&lt;=MIN(Settings!$B$5,IF(Settings!$G$51="",Settings!$B$5,Settings!$G$51))),1,0)))))</f>
        <v/>
      </c>
      <c r="FA83">
        <f>IF($E83&lt;&gt;"open",0,IF(AND('Month-End'!$CB$29&lt;&gt;"",NOT(_xlfn.ISFORMULA('Month-End'!$CB$29))),0,IF(OR(Settings!$C$52="",Settings!$D$52=""),0,Settings!$C$52*IF(Settings!$D$52="Weekly",IF(IFERROR(MATCH(Settings!$E$52,$EO$4:$EO$10,0),0)=0,0,IF(MIN(Settings!$B$5,IF(Settings!$G$52="",Settings!$B$5,Settings!$G$52))&lt;MAX($A83,Settings!$F$52),0,INT((MIN(Settings!$B$5,IF(Settings!$G$52="",Settings!$B$5,Settings!$G$52))-MAX($A83,Settings!$F$52)-MOD(IFERROR(MATCH(Settings!$E$52,$EO$4:$EO$10,0),0)-WEEKDAY(MAX($A83,Settings!$F$52)),7))/7)+1)),IF(AND(IF(Settings!$E$52="",$B83,DATE(YEAR($A83),MONTH($A83),MIN(Settings!$E$52,DAY($B83))))&gt;=MAX($A83,Settings!$F$52),IF(Settings!$E$52="",$B83,DATE(YEAR($A83),MONTH($A83),MIN(Settings!$E$52,DAY($B83))))&lt;=MIN(Settings!$B$5,IF(Settings!$G$52="",Settings!$B$5,Settings!$G$52))),1,0)))))</f>
        <v/>
      </c>
      <c r="FB83">
        <f>IF($E83&lt;&gt;"open",0,IF(AND('Month-End'!$CB$30&lt;&gt;"",NOT(_xlfn.ISFORMULA('Month-End'!$CB$30))),0,IF(OR(Settings!$C$53="",Settings!$D$53=""),0,Settings!$C$53*IF(Settings!$D$53="Weekly",IF(IFERROR(MATCH(Settings!$E$53,$EO$4:$EO$10,0),0)=0,0,IF(MIN(Settings!$B$5,IF(Settings!$G$53="",Settings!$B$5,Settings!$G$53))&lt;MAX($A83,Settings!$F$53),0,INT((MIN(Settings!$B$5,IF(Settings!$G$53="",Settings!$B$5,Settings!$G$53))-MAX($A83,Settings!$F$53)-MOD(IFERROR(MATCH(Settings!$E$53,$EO$4:$EO$10,0),0)-WEEKDAY(MAX($A83,Settings!$F$53)),7))/7)+1)),IF(AND(IF(Settings!$E$53="",$B83,DATE(YEAR($A83),MONTH($A83),MIN(Settings!$E$53,DAY($B83))))&gt;=MAX($A83,Settings!$F$53),IF(Settings!$E$53="",$B83,DATE(YEAR($A83),MONTH($A83),MIN(Settings!$E$53,DAY($B83))))&lt;=MIN(Settings!$B$5,IF(Settings!$G$53="",Settings!$B$5,Settings!$G$53))),1,0)))))</f>
        <v/>
      </c>
      <c r="FC83">
        <f>IF($E83&lt;&gt;"open",0,IF(AND('Month-End'!$CB$31&lt;&gt;"",NOT(_xlfn.ISFORMULA('Month-End'!$CB$31))),0,IF(OR(Settings!$C$54="",Settings!$D$54=""),0,Settings!$C$54*IF(Settings!$D$54="Weekly",IF(IFERROR(MATCH(Settings!$E$54,$EO$4:$EO$10,0),0)=0,0,IF(MIN(Settings!$B$5,IF(Settings!$G$54="",Settings!$B$5,Settings!$G$54))&lt;MAX($A83,Settings!$F$54),0,INT((MIN(Settings!$B$5,IF(Settings!$G$54="",Settings!$B$5,Settings!$G$54))-MAX($A83,Settings!$F$54)-MOD(IFERROR(MATCH(Settings!$E$54,$EO$4:$EO$10,0),0)-WEEKDAY(MAX($A83,Settings!$F$54)),7))/7)+1)),IF(AND(IF(Settings!$E$54="",$B83,DATE(YEAR($A83),MONTH($A83),MIN(Settings!$E$54,DAY($B83))))&gt;=MAX($A83,Settings!$F$54),IF(Settings!$E$54="",$B83,DATE(YEAR($A83),MONTH($A83),MIN(Settings!$E$54,DAY($B83))))&lt;=MIN(Settings!$B$5,IF(Settings!$G$54="",Settings!$B$5,Settings!$G$54))),1,0)))))</f>
        <v/>
      </c>
      <c r="FD83">
        <f>IF($E83&lt;&gt;"open",0,IF(AND('Month-End'!$CB$32&lt;&gt;"",NOT(_xlfn.ISFORMULA('Month-End'!$CB$32))),0,IF(OR(Settings!$C$55="",Settings!$D$55=""),0,Settings!$C$55*IF(Settings!$D$55="Weekly",IF(IFERROR(MATCH(Settings!$E$55,$EO$4:$EO$10,0),0)=0,0,IF(MIN(Settings!$B$5,IF(Settings!$G$55="",Settings!$B$5,Settings!$G$55))&lt;MAX($A83,Settings!$F$55),0,INT((MIN(Settings!$B$5,IF(Settings!$G$55="",Settings!$B$5,Settings!$G$55))-MAX($A83,Settings!$F$55)-MOD(IFERROR(MATCH(Settings!$E$55,$EO$4:$EO$10,0),0)-WEEKDAY(MAX($A83,Settings!$F$55)),7))/7)+1)),IF(AND(IF(Settings!$E$55="",$B83,DATE(YEAR($A83),MONTH($A83),MIN(Settings!$E$55,DAY($B83))))&gt;=MAX($A83,Settings!$F$55),IF(Settings!$E$55="",$B83,DATE(YEAR($A83),MONTH($A83),MIN(Settings!$E$55,DAY($B83))))&lt;=MIN(Settings!$B$5,IF(Settings!$G$55="",Settings!$B$5,Settings!$G$55))),1,0)))))</f>
        <v/>
      </c>
      <c r="FE83">
        <f>IF($E83&lt;&gt;"open",0,IF(AND('Month-End'!$CB$33&lt;&gt;"",NOT(_xlfn.ISFORMULA('Month-End'!$CB$33))),0,IF(OR(Settings!$C$56="",Settings!$D$56=""),0,Settings!$C$56*IF(Settings!$D$56="Weekly",IF(IFERROR(MATCH(Settings!$E$56,$EO$4:$EO$10,0),0)=0,0,IF(MIN(Settings!$B$5,IF(Settings!$G$56="",Settings!$B$5,Settings!$G$56))&lt;MAX($A83,Settings!$F$56),0,INT((MIN(Settings!$B$5,IF(Settings!$G$56="",Settings!$B$5,Settings!$G$56))-MAX($A83,Settings!$F$56)-MOD(IFERROR(MATCH(Settings!$E$56,$EO$4:$EO$10,0),0)-WEEKDAY(MAX($A83,Settings!$F$56)),7))/7)+1)),IF(AND(IF(Settings!$E$56="",$B83,DATE(YEAR($A83),MONTH($A83),MIN(Settings!$E$56,DAY($B83))))&gt;=MAX($A83,Settings!$F$56),IF(Settings!$E$56="",$B83,DATE(YEAR($A83),MONTH($A83),MIN(Settings!$E$56,DAY($B83))))&lt;=MIN(Settings!$B$5,IF(Settings!$G$56="",Settings!$B$5,Settings!$G$56))),1,0)))))</f>
        <v/>
      </c>
      <c r="FF83">
        <f>IF(Settings!$I$45="Yes",$G83,0)+IF(Settings!$I$46="Yes",$H83,0)+IF(Settings!$I$47="Yes",$I83,0)+IF(Settings!$I$48="Yes",$J83,0)+IF(Settings!$I$49="Yes",$K83,0)+IF(Settings!$I$50="Yes",$L83,0)+IF(Settings!$I$51="Yes",$M83,0)+IF(Settings!$I$52="Yes",$N83,0)+IF(Settings!$I$53="Yes",$O83,0)+IF(Settings!$I$54="Yes",$P83,0)+IF(Settings!$I$55="Yes",$Q83,0)+IF(Settings!$I$56="Yes",$R83,0)</f>
        <v/>
      </c>
      <c r="FG83">
        <f>IF(AND(Settings!$I$45="Yes",Settings!$J$45="No"),$G83,0)+IF(AND(Settings!$I$46="Yes",Settings!$J$46="No"),$H83,0)+IF(AND(Settings!$I$47="Yes",Settings!$J$47="No"),$I83,0)+IF(AND(Settings!$I$48="Yes",Settings!$J$48="No"),$J83,0)+IF(AND(Settings!$I$49="Yes",Settings!$J$49="No"),$K83,0)+IF(AND(Settings!$I$50="Yes",Settings!$J$50="No"),$L83,0)+IF(AND(Settings!$I$51="Yes",Settings!$J$51="No"),$M83,0)+IF(AND(Settings!$I$52="Yes",Settings!$J$52="No"),$N83,0)+IF(AND(Settings!$I$53="Yes",Settings!$J$53="No"),$O83,0)+IF(AND(Settings!$I$54="Yes",Settings!$J$54="No"),$P83,0)+IF(AND(Settings!$I$55="Yes",Settings!$J$55="No"),$Q83,0)+IF(AND(Settings!$I$56="Yes",Settings!$J$56="No"),$R83,0)</f>
        <v/>
      </c>
      <c r="FH83">
        <f>SUMIFS(Giving!$B$7:$B$2006,Giving!$A$7:$A$2006,"&gt;="&amp;$A83,Giving!$A$7:$A$2006,"&lt;="&amp;$B83,Giving!$G$7:$G$2006,"Yes")+IF(OR(OR(Settings!$B$60="",Settings!$F$60="No"),Settings!$H$60&lt;&gt;"Yes"),0,Settings!$B$60*IF(AND(IF(Settings!$C$60="",$B83,DATE(YEAR($A83),MONTH($A83),MIN(Settings!$C$60,DAY($B83))))&gt;=MAX($A83,Settings!$D$60),IF(Settings!$C$60="",$B83,DATE(YEAR($A83),MONTH($A83),MIN(Settings!$C$60,DAY($B83))))&lt;=MIN($C83,IF(Settings!$E$60="",$C83,Settings!$E$60))),1,0))+IF(OR(OR(Settings!$B$61="",Settings!$F$61="No"),Settings!$H$61&lt;&gt;"Yes"),0,Settings!$B$61*IF(AND(IF(Settings!$C$61="",$B83,DATE(YEAR($A83),MONTH($A83),MIN(Settings!$C$61,DAY($B83))))&gt;=MAX($A83,Settings!$D$61),IF(Settings!$C$61="",$B83,DATE(YEAR($A83),MONTH($A83),MIN(Settings!$C$61,DAY($B83))))&lt;=MIN($C83,IF(Settings!$E$61="",$C83,Settings!$E$61))),1,0))+IF(OR(OR(Settings!$B$62="",Settings!$F$62="No"),Settings!$H$62&lt;&gt;"Yes"),0,Settings!$B$62*IF(AND(IF(Settings!$C$62="",$B83,DATE(YEAR($A83),MONTH($A83),MIN(Settings!$C$62,DAY($B83))))&gt;=MAX($A83,Settings!$D$62),IF(Settings!$C$62="",$B83,DATE(YEAR($A83),MONTH($A83),MIN(Settings!$C$62,DAY($B83))))&lt;=MIN($C83,IF(Settings!$E$62="",$C83,Settings!$E$62))),1,0))+IF(OR(OR(Settings!$B$63="",Settings!$F$63="No"),Settings!$H$63&lt;&gt;"Yes"),0,Settings!$B$63*IF(AND(IF(Settings!$C$63="",$B83,DATE(YEAR($A83),MONTH($A83),MIN(Settings!$C$63,DAY($B83))))&gt;=MAX($A83,Settings!$D$63),IF(Settings!$C$63="",$B83,DATE(YEAR($A83),MONTH($A83),MIN(Settings!$C$63,DAY($B83))))&lt;=MIN($C83,IF(Settings!$E$63="",$C83,Settings!$E$63))),1,0))+IF(OR(OR(Settings!$B$64="",Settings!$F$64="No"),Settings!$H$64&lt;&gt;"Yes"),0,Settings!$B$64*IF(AND(IF(Settings!$C$64="",$B83,DATE(YEAR($A83),MONTH($A83),MIN(Settings!$C$64,DAY($B83))))&gt;=MAX($A83,Settings!$D$64),IF(Settings!$C$64="",$B83,DATE(YEAR($A83),MONTH($A83),MIN(Settings!$C$64,DAY($B83))))&lt;=MIN($C83,IF(Settings!$E$64="",$C83,Settings!$E$64))),1,0))+IF(OR(OR(Settings!$B$65="",Settings!$F$65="No"),Settings!$H$65&lt;&gt;"Yes"),0,Settings!$B$65*IF(AND(IF(Settings!$C$65="",$B83,DATE(YEAR($A83),MONTH($A83),MIN(Settings!$C$65,DAY($B83))))&gt;=MAX($A83,Settings!$D$65),IF(Settings!$C$65="",$B83,DATE(YEAR($A83),MONTH($A83),MIN(Settings!$C$65,DAY($B83))))&lt;=MIN($C83,IF(Settings!$E$65="",$C83,Settings!$E$65))),1,0))</f>
        <v/>
      </c>
      <c r="FI83">
        <f>IF($DT83=1,IF(OR(Settings!$B$19="Card",Settings!$B$19="Loan"),N($AE83),0)+IF(OR(Settings!$B$20="Card",Settings!$B$20="Loan"),N($AF83),0)+IF(OR(Settings!$B$21="Card",Settings!$B$21="Loan"),N($AG83),0)+IF(OR(Settings!$B$22="Card",Settings!$B$22="Loan"),N($AH83),0)+IF(OR(Settings!$B$23="Card",Settings!$B$23="Loan"),N($AI83),0)+IF(OR(Settings!$B$24="Card",Settings!$B$24="Loan"),N($AJ83),0)+IF(OR(Settings!$B$25="Card",Settings!$B$25="Loan"),N($AK83),0)+IF(OR(Settings!$B$26="Card",Settings!$B$26="Loan"),N($AL83),0)+IF(OR(Settings!$B$27="Card",Settings!$B$27="Loan"),N($AM83),0)+IF(OR(Settings!$B$28="Card",Settings!$B$28="Loan"),N($AN83),0)+IF(OR(Settings!$B$29="Card",Settings!$B$29="Loan"),N($AO83),0)+IF(OR(Settings!$B$30="Card",Settings!$B$30="Loan"),N($AP83),0)+IF(OR(Settings!$B$31="Card",Settings!$B$31="Loan"),N($AQ83),0)+IF(OR(Settings!$B$32="Card",Settings!$B$32="Loan"),N($AR83),0),"")</f>
        <v/>
      </c>
      <c r="FJ83">
        <f>IF($E83="open",$EB$65,IF($E83="post",IF($E82="pre",$EB$65,$FI82),""))</f>
        <v/>
      </c>
      <c r="FK83">
        <f>IF(AND($DT83=1,$DC83=1),IF(ROUND($FI83-$FJ83,2)&gt;0,1,0),0)</f>
        <v/>
      </c>
      <c r="FL83">
        <f>IF($FK83=1,$FL82+1,0)</f>
        <v/>
      </c>
    </row>
    <row r="84">
      <c r="A84">
        <f>'Month-End'!$CC$4</f>
        <v/>
      </c>
      <c r="B84">
        <f>EOMONTH($A84,0)</f>
        <v/>
      </c>
      <c r="C84">
        <f>MIN($B84,TODAY())</f>
        <v/>
      </c>
      <c r="D84">
        <f>IF($A84&gt;TODAY(),1,0)</f>
        <v/>
      </c>
      <c r="E84">
        <f>IF($B84&lt;=Settings!$B$5,"pre",IF($A84&lt;=Settings!$B$5,"open","post"))</f>
        <v/>
      </c>
      <c r="G84">
        <f>IF('Month-End'!$CC$22="",$BE84,N('Month-End'!$CC$22))</f>
        <v/>
      </c>
      <c r="H84">
        <f>IF('Month-End'!$CC$23="",$BF84,N('Month-End'!$CC$23))</f>
        <v/>
      </c>
      <c r="I84">
        <f>IF('Month-End'!$CC$24="",$BG84,N('Month-End'!$CC$24))</f>
        <v/>
      </c>
      <c r="J84">
        <f>IF('Month-End'!$CC$25="",$BH84,N('Month-End'!$CC$25))</f>
        <v/>
      </c>
      <c r="K84">
        <f>IF('Month-End'!$CC$26="",$BI84,N('Month-End'!$CC$26))</f>
        <v/>
      </c>
      <c r="L84">
        <f>IF('Month-End'!$CC$27="",$BJ84,N('Month-End'!$CC$27))</f>
        <v/>
      </c>
      <c r="M84">
        <f>IF('Month-End'!$CC$28="",$BK84,N('Month-End'!$CC$28))</f>
        <v/>
      </c>
      <c r="N84">
        <f>IF('Month-End'!$CC$29="",$BL84,N('Month-End'!$CC$29))</f>
        <v/>
      </c>
      <c r="O84">
        <f>IF('Month-End'!$CC$30="",$BM84,N('Month-End'!$CC$30))</f>
        <v/>
      </c>
      <c r="P84">
        <f>IF('Month-End'!$CC$31="",$BN84,N('Month-End'!$CC$31))</f>
        <v/>
      </c>
      <c r="Q84">
        <f>IF('Month-End'!$CC$32="",$BO84,N('Month-End'!$CC$32))</f>
        <v/>
      </c>
      <c r="R84">
        <f>IF('Month-End'!$CC$33="",$BP84,N('Month-End'!$CC$33))</f>
        <v/>
      </c>
      <c r="S84">
        <f>$G84+$H84+$I84+$J84+$K84+$L84+$M84+$N84+$O84+$P84+$Q84+$R84</f>
        <v/>
      </c>
      <c r="T84">
        <f>IF($B84&lt;Settings!$B$6,0,IF(Settings!$B$45="Yes",$G84,0)+IF(Settings!$B$46="Yes",$H84,0)+IF(Settings!$B$47="Yes",$I84,0)+IF(Settings!$B$48="Yes",$J84,0)+IF(Settings!$B$49="Yes",$K84,0)+IF(Settings!$B$50="Yes",$L84,0)+IF(Settings!$B$51="Yes",$M84,0)+IF(Settings!$B$52="Yes",$N84,0)+IF(Settings!$B$53="Yes",$O84,0)+IF(Settings!$B$54="Yes",$P84,0)+IF(Settings!$B$55="Yes",$Q84,0)+IF(Settings!$B$56="Yes",$R84,0))</f>
        <v/>
      </c>
      <c r="U84">
        <f>IF(Settings!$B$45="Not Sure",$G84,0)+IF(Settings!$B$46="Not Sure",$H84,0)+IF(Settings!$B$47="Not Sure",$I84,0)+IF(Settings!$B$48="Not Sure",$J84,0)+IF(Settings!$B$49="Not Sure",$K84,0)+IF(Settings!$B$50="Not Sure",$L84,0)+IF(Settings!$B$51="Not Sure",$M84,0)+IF(Settings!$B$52="Not Sure",$N84,0)+IF(Settings!$B$53="Not Sure",$O84,0)+IF(Settings!$B$54="Not Sure",$P84,0)+IF(Settings!$B$55="Not Sure",$Q84,0)+IF(Settings!$B$56="Not Sure",$R84,0)</f>
        <v/>
      </c>
      <c r="V84">
        <f>IF($E84="open",SUM($ET84:$FE84)+N(Settings!$B$13),0)</f>
        <v/>
      </c>
      <c r="W84">
        <f>IF($E84="post",$S84,IF($E84="open",$S84-$V84,0))</f>
        <v/>
      </c>
      <c r="X84">
        <f>SUMIFS(Giving!$B$7:$B$2006,Giving!$A$7:$A$2006,"&gt;="&amp;$A84,Giving!$A$7:$A$2006,"&lt;="&amp;$B84,Giving!$E$7:$E$2006,"&lt;&gt;No")</f>
        <v/>
      </c>
      <c r="Y84">
        <f>SUMIFS(Giving!$B$7:$B$2006,Giving!$A$7:$A$2006,"&gt;="&amp;$A84,Giving!$A$7:$A$2006,"&lt;="&amp;$B84,Giving!$E$7:$E$2006,"No")</f>
        <v/>
      </c>
      <c r="Z84">
        <f>IF(OR(Settings!$B$60="",Settings!$F$60="No"),0,Settings!$B$60*IF(AND(IF(Settings!$C$60="",$B84,DATE(YEAR($A84),MONTH($A84),MIN(Settings!$C$60,DAY($B84))))&gt;=MAX($A84,Settings!$D$60),IF(Settings!$C$60="",$B84,DATE(YEAR($A84),MONTH($A84),MIN(Settings!$C$60,DAY($B84))))&lt;=MIN($C84,IF(Settings!$E$60="",$C84,Settings!$E$60))),1,0))+IF(OR(Settings!$B$61="",Settings!$F$61="No"),0,Settings!$B$61*IF(AND(IF(Settings!$C$61="",$B84,DATE(YEAR($A84),MONTH($A84),MIN(Settings!$C$61,DAY($B84))))&gt;=MAX($A84,Settings!$D$61),IF(Settings!$C$61="",$B84,DATE(YEAR($A84),MONTH($A84),MIN(Settings!$C$61,DAY($B84))))&lt;=MIN($C84,IF(Settings!$E$61="",$C84,Settings!$E$61))),1,0))+IF(OR(Settings!$B$62="",Settings!$F$62="No"),0,Settings!$B$62*IF(AND(IF(Settings!$C$62="",$B84,DATE(YEAR($A84),MONTH($A84),MIN(Settings!$C$62,DAY($B84))))&gt;=MAX($A84,Settings!$D$62),IF(Settings!$C$62="",$B84,DATE(YEAR($A84),MONTH($A84),MIN(Settings!$C$62,DAY($B84))))&lt;=MIN($C84,IF(Settings!$E$62="",$C84,Settings!$E$62))),1,0))+IF(OR(Settings!$B$63="",Settings!$F$63="No"),0,Settings!$B$63*IF(AND(IF(Settings!$C$63="",$B84,DATE(YEAR($A84),MONTH($A84),MIN(Settings!$C$63,DAY($B84))))&gt;=MAX($A84,Settings!$D$63),IF(Settings!$C$63="",$B84,DATE(YEAR($A84),MONTH($A84),MIN(Settings!$C$63,DAY($B84))))&lt;=MIN($C84,IF(Settings!$E$63="",$C84,Settings!$E$63))),1,0))+IF(OR(Settings!$B$64="",Settings!$F$64="No"),0,Settings!$B$64*IF(AND(IF(Settings!$C$64="",$B84,DATE(YEAR($A84),MONTH($A84),MIN(Settings!$C$64,DAY($B84))))&gt;=MAX($A84,Settings!$D$64),IF(Settings!$C$64="",$B84,DATE(YEAR($A84),MONTH($A84),MIN(Settings!$C$64,DAY($B84))))&lt;=MIN($C84,IF(Settings!$E$64="",$C84,Settings!$E$64))),1,0))+IF(OR(Settings!$B$65="",Settings!$F$65="No"),0,Settings!$B$65*IF(AND(IF(Settings!$C$65="",$B84,DATE(YEAR($A84),MONTH($A84),MIN(Settings!$C$65,DAY($B84))))&gt;=MAX($A84,Settings!$D$65),IF(Settings!$C$65="",$B84,DATE(YEAR($A84),MONTH($A84),MIN(Settings!$C$65,DAY($B84))))&lt;=MIN($C84,IF(Settings!$E$65="",$C84,Settings!$E$65))),1,0))</f>
        <v/>
      </c>
      <c r="AA84">
        <f>$X84+$Z84</f>
        <v/>
      </c>
      <c r="AB84">
        <f>IF($E84="post",$AA84,IF($E84="open",SUMIFS(Giving!$B$7:$B$2006,Giving!$A$7:$A$2006,"&gt;"&amp;Settings!$B$5,Giving!$A$7:$A$2006,"&lt;="&amp;$B84,Giving!$E$7:$E$2006,"&lt;&gt;No")+IF(OR(Settings!$B$60="",Settings!$F$60="No"),0,Settings!$B$60*IF(AND(IF(Settings!$C$60="",$B84,DATE(YEAR($A84),MONTH($A84),MIN(Settings!$C$60,DAY($B84))))&gt;=MAX($A84,Settings!$D$60,Settings!$B$5+1),IF(Settings!$C$60="",$B84,DATE(YEAR($A84),MONTH($A84),MIN(Settings!$C$60,DAY($B84))))&lt;=MIN($C84,IF(Settings!$E$60="",$C84,Settings!$E$60))),1,0))+IF(OR(Settings!$B$61="",Settings!$F$61="No"),0,Settings!$B$61*IF(AND(IF(Settings!$C$61="",$B84,DATE(YEAR($A84),MONTH($A84),MIN(Settings!$C$61,DAY($B84))))&gt;=MAX($A84,Settings!$D$61,Settings!$B$5+1),IF(Settings!$C$61="",$B84,DATE(YEAR($A84),MONTH($A84),MIN(Settings!$C$61,DAY($B84))))&lt;=MIN($C84,IF(Settings!$E$61="",$C84,Settings!$E$61))),1,0))+IF(OR(Settings!$B$62="",Settings!$F$62="No"),0,Settings!$B$62*IF(AND(IF(Settings!$C$62="",$B84,DATE(YEAR($A84),MONTH($A84),MIN(Settings!$C$62,DAY($B84))))&gt;=MAX($A84,Settings!$D$62,Settings!$B$5+1),IF(Settings!$C$62="",$B84,DATE(YEAR($A84),MONTH($A84),MIN(Settings!$C$62,DAY($B84))))&lt;=MIN($C84,IF(Settings!$E$62="",$C84,Settings!$E$62))),1,0))+IF(OR(Settings!$B$63="",Settings!$F$63="No"),0,Settings!$B$63*IF(AND(IF(Settings!$C$63="",$B84,DATE(YEAR($A84),MONTH($A84),MIN(Settings!$C$63,DAY($B84))))&gt;=MAX($A84,Settings!$D$63,Settings!$B$5+1),IF(Settings!$C$63="",$B84,DATE(YEAR($A84),MONTH($A84),MIN(Settings!$C$63,DAY($B84))))&lt;=MIN($C84,IF(Settings!$E$63="",$C84,Settings!$E$63))),1,0))+IF(OR(Settings!$B$64="",Settings!$F$64="No"),0,Settings!$B$64*IF(AND(IF(Settings!$C$64="",$B84,DATE(YEAR($A84),MONTH($A84),MIN(Settings!$C$64,DAY($B84))))&gt;=MAX($A84,Settings!$D$64,Settings!$B$5+1),IF(Settings!$C$64="",$B84,DATE(YEAR($A84),MONTH($A84),MIN(Settings!$C$64,DAY($B84))))&lt;=MIN($C84,IF(Settings!$E$64="",$C84,Settings!$E$64))),1,0))+IF(OR(Settings!$B$65="",Settings!$F$65="No"),0,Settings!$B$65*IF(AND(IF(Settings!$C$65="",$B84,DATE(YEAR($A84),MONTH($A84),MIN(Settings!$C$65,DAY($B84))))&gt;=MAX($A84,Settings!$D$65,Settings!$B$5+1),IF(Settings!$C$65="",$B84,DATE(YEAR($A84),MONTH($A84),MIN(Settings!$C$65,DAY($B84))))&lt;=MIN($C84,IF(Settings!$E$65="",$C84,Settings!$E$65))),1,0)),0))</f>
        <v/>
      </c>
      <c r="AC84">
        <f>$AY84+$AZ84+$BA84+$BB84+$BC84+$BD84</f>
        <v/>
      </c>
      <c r="AD84">
        <f>$AC84</f>
        <v/>
      </c>
      <c r="AE84">
        <f>IF(OR(Settings!$A$19="",$E84="pre"),"",IF(AND('Month-End'!$CC$7&lt;&gt;"",NOT(_xlfn.ISFORMULA('Month-End'!$CC$7))),N('Month-End'!$CC$7),IF(OR($E84="open",$E83="pre"),N(Settings!$C$19),N($AE83))))</f>
        <v/>
      </c>
      <c r="AF84">
        <f>IF(OR(Settings!$A$20="",$E84="pre"),"",IF(AND('Month-End'!$CC$8&lt;&gt;"",NOT(_xlfn.ISFORMULA('Month-End'!$CC$8))),N('Month-End'!$CC$8),IF(OR($E84="open",$E83="pre"),N(Settings!$C$20),N($AF83))))</f>
        <v/>
      </c>
      <c r="AG84">
        <f>IF(OR(Settings!$A$21="",$E84="pre"),"",IF(AND('Month-End'!$CC$9&lt;&gt;"",NOT(_xlfn.ISFORMULA('Month-End'!$CC$9))),N('Month-End'!$CC$9),IF(OR($E84="open",$E83="pre"),N(Settings!$C$21),N($AG83))))</f>
        <v/>
      </c>
      <c r="AH84">
        <f>IF(OR(Settings!$A$22="",$E84="pre"),"",IF(AND('Month-End'!$CC$10&lt;&gt;"",NOT(_xlfn.ISFORMULA('Month-End'!$CC$10))),N('Month-End'!$CC$10),IF(OR($E84="open",$E83="pre"),N(Settings!$C$22),N($AH83))))</f>
        <v/>
      </c>
      <c r="AI84">
        <f>IF(OR(Settings!$A$23="",$E84="pre"),"",IF(AND('Month-End'!$CC$11&lt;&gt;"",NOT(_xlfn.ISFORMULA('Month-End'!$CC$11))),N('Month-End'!$CC$11),IF(OR($E84="open",$E83="pre"),N(Settings!$C$23),N($AI83))))</f>
        <v/>
      </c>
      <c r="AJ84">
        <f>IF(OR(Settings!$A$24="",$E84="pre"),"",IF(AND('Month-End'!$CC$12&lt;&gt;"",NOT(_xlfn.ISFORMULA('Month-End'!$CC$12))),N('Month-End'!$CC$12),IF(OR($E84="open",$E83="pre"),N(Settings!$C$24),N($AJ83))))</f>
        <v/>
      </c>
      <c r="AK84">
        <f>IF(OR(Settings!$A$25="",$E84="pre"),"",IF(AND('Month-End'!$CC$13&lt;&gt;"",NOT(_xlfn.ISFORMULA('Month-End'!$CC$13))),N('Month-End'!$CC$13),IF(OR($E84="open",$E83="pre"),N(Settings!$C$25),N($AK83))))</f>
        <v/>
      </c>
      <c r="AL84">
        <f>IF(OR(Settings!$A$26="",$E84="pre"),"",IF(AND('Month-End'!$CC$14&lt;&gt;"",NOT(_xlfn.ISFORMULA('Month-End'!$CC$14))),N('Month-End'!$CC$14),IF(OR($E84="open",$E83="pre"),N(Settings!$C$26),N($AL83))))</f>
        <v/>
      </c>
      <c r="AM84">
        <f>IF(OR(Settings!$A$27="",$E84="pre"),"",IF(AND('Month-End'!$CC$15&lt;&gt;"",NOT(_xlfn.ISFORMULA('Month-End'!$CC$15))),N('Month-End'!$CC$15),IF(OR($E84="open",$E83="pre"),N(Settings!$C$27),N($AM83))))</f>
        <v/>
      </c>
      <c r="AN84">
        <f>IF(OR(Settings!$A$28="",$E84="pre"),"",IF(AND('Month-End'!$CC$16&lt;&gt;"",NOT(_xlfn.ISFORMULA('Month-End'!$CC$16))),N('Month-End'!$CC$16),IF(OR($E84="open",$E83="pre"),N(Settings!$C$28),N($AN83))))</f>
        <v/>
      </c>
      <c r="AO84">
        <f>IF(OR(Settings!$A$29="",$E84="pre"),"",IF(AND('Month-End'!$CC$17&lt;&gt;"",NOT(_xlfn.ISFORMULA('Month-End'!$CC$17))),N('Month-End'!$CC$17),IF(OR($E84="open",$E83="pre"),N(Settings!$C$29),N($AO83))))</f>
        <v/>
      </c>
      <c r="AP84">
        <f>IF(OR(Settings!$A$30="",$E84="pre"),"",IF(AND('Month-End'!$CC$18&lt;&gt;"",NOT(_xlfn.ISFORMULA('Month-End'!$CC$18))),N('Month-End'!$CC$18),IF(OR($E84="open",$E83="pre"),N(Settings!$C$30),N($AP83))))</f>
        <v/>
      </c>
      <c r="AQ84">
        <f>IF(OR(Settings!$A$31="",$E84="pre"),"",IF(AND('Month-End'!$CC$19&lt;&gt;"",NOT(_xlfn.ISFORMULA('Month-End'!$CC$19))),N('Month-End'!$CC$19),IF(OR($E84="open",$E83="pre"),N(Settings!$C$31),N($AQ83))))</f>
        <v/>
      </c>
      <c r="AR84">
        <f>IF(OR(Settings!$A$32="",$E84="pre"),"",IF(AND('Month-End'!$CC$20&lt;&gt;"",NOT(_xlfn.ISFORMULA('Month-End'!$CC$20))),N('Month-End'!$CC$20),IF(OR($E84="open",$E83="pre"),N(Settings!$C$32),N($AR83))))</f>
        <v/>
      </c>
      <c r="AS84">
        <f>IF(OR(Settings!$A$36="",$E84="pre"),"",IF(AND('Month-End'!$CC$38&lt;&gt;"",NOT(_xlfn.ISFORMULA('Month-End'!$CC$38))),N('Month-End'!$CC$38),IF(OR($E84="open",$E83="pre"),N(Settings!$C$36),N($AS83))+$AY84))</f>
        <v/>
      </c>
      <c r="AT84">
        <f>IF(OR(Settings!$A$37="",$E84="pre"),"",IF(AND('Month-End'!$CC$39&lt;&gt;"",NOT(_xlfn.ISFORMULA('Month-End'!$CC$39))),N('Month-End'!$CC$39),IF(OR($E84="open",$E83="pre"),N(Settings!$C$37),N($AT83))+$AZ84))</f>
        <v/>
      </c>
      <c r="AU84">
        <f>IF(OR(Settings!$A$38="",$E84="pre"),"",IF(AND('Month-End'!$CC$40&lt;&gt;"",NOT(_xlfn.ISFORMULA('Month-End'!$CC$40))),N('Month-End'!$CC$40),IF(OR($E84="open",$E83="pre"),N(Settings!$C$38),N($AU83))+$BA84))</f>
        <v/>
      </c>
      <c r="AV84">
        <f>IF(OR(Settings!$A$39="",$E84="pre"),"",IF(AND('Month-End'!$CC$41&lt;&gt;"",NOT(_xlfn.ISFORMULA('Month-End'!$CC$41))),N('Month-End'!$CC$41),IF(OR($E84="open",$E83="pre"),N(Settings!$C$39),N($AV83))+$BB84))</f>
        <v/>
      </c>
      <c r="AW84">
        <f>IF(OR(Settings!$A$40="",$E84="pre"),"",IF(AND('Month-End'!$CC$42&lt;&gt;"",NOT(_xlfn.ISFORMULA('Month-End'!$CC$42))),N('Month-End'!$CC$42),IF(OR($E84="open",$E83="pre"),N(Settings!$C$40),N($AW83))+$BC84))</f>
        <v/>
      </c>
      <c r="AX84">
        <f>IF(OR(Settings!$A$41="",$E84="pre"),"",IF(AND('Month-End'!$CC$43&lt;&gt;"",NOT(_xlfn.ISFORMULA('Month-End'!$CC$43))),N('Month-End'!$CC$43),IF(OR($E84="open",$E83="pre"),N(Settings!$C$41),N($AX83))+$BD84))</f>
        <v/>
      </c>
      <c r="AY84">
        <f>IF($E84="pre",0,N('Month-End'!$CC$45))</f>
        <v/>
      </c>
      <c r="AZ84">
        <f>IF($E84="pre",0,N('Month-End'!$CC$46))</f>
        <v/>
      </c>
      <c r="BA84">
        <f>IF($E84="pre",0,N('Month-End'!$CC$47))</f>
        <v/>
      </c>
      <c r="BB84">
        <f>IF($E84="pre",0,N('Month-End'!$CC$48))</f>
        <v/>
      </c>
      <c r="BC84">
        <f>IF($E84="pre",0,N('Month-End'!$CC$49))</f>
        <v/>
      </c>
      <c r="BD84">
        <f>IF($E84="pre",0,N('Month-End'!$CC$50))</f>
        <v/>
      </c>
      <c r="BE84">
        <f>IF(OR(Settings!$C$45="",Settings!$D$45=""),0,Settings!$C$45*IF(Settings!$D$45="Weekly",IF(IFERROR(MATCH(Settings!$E$45,$EO$4:$EO$10,0),0)=0,0,IF(MIN($C84,IF(Settings!$G$45="",$C84,Settings!$G$45))&lt;MAX($A84,Settings!$F$45),0,INT((MIN($C84,IF(Settings!$G$45="",$C84,Settings!$G$45))-MAX($A84,Settings!$F$45)-MOD(IFERROR(MATCH(Settings!$E$45,$EO$4:$EO$10,0),0)-WEEKDAY(MAX($A84,Settings!$F$45)),7))/7)+1)),IF(AND(IF(Settings!$E$45="",$B84,DATE(YEAR($A84),MONTH($A84),MIN(Settings!$E$45,DAY($B84))))&gt;=MAX($A84,Settings!$F$45),IF(Settings!$E$45="",$B84,DATE(YEAR($A84),MONTH($A84),MIN(Settings!$E$45,DAY($B84))))&lt;=MIN($C84,IF(Settings!$G$45="",$C84,Settings!$G$45))),1,0)))</f>
        <v/>
      </c>
      <c r="BF84">
        <f>IF(OR(Settings!$C$46="",Settings!$D$46=""),0,Settings!$C$46*IF(Settings!$D$46="Weekly",IF(IFERROR(MATCH(Settings!$E$46,$EO$4:$EO$10,0),0)=0,0,IF(MIN($C84,IF(Settings!$G$46="",$C84,Settings!$G$46))&lt;MAX($A84,Settings!$F$46),0,INT((MIN($C84,IF(Settings!$G$46="",$C84,Settings!$G$46))-MAX($A84,Settings!$F$46)-MOD(IFERROR(MATCH(Settings!$E$46,$EO$4:$EO$10,0),0)-WEEKDAY(MAX($A84,Settings!$F$46)),7))/7)+1)),IF(AND(IF(Settings!$E$46="",$B84,DATE(YEAR($A84),MONTH($A84),MIN(Settings!$E$46,DAY($B84))))&gt;=MAX($A84,Settings!$F$46),IF(Settings!$E$46="",$B84,DATE(YEAR($A84),MONTH($A84),MIN(Settings!$E$46,DAY($B84))))&lt;=MIN($C84,IF(Settings!$G$46="",$C84,Settings!$G$46))),1,0)))</f>
        <v/>
      </c>
      <c r="BG84">
        <f>IF(OR(Settings!$C$47="",Settings!$D$47=""),0,Settings!$C$47*IF(Settings!$D$47="Weekly",IF(IFERROR(MATCH(Settings!$E$47,$EO$4:$EO$10,0),0)=0,0,IF(MIN($C84,IF(Settings!$G$47="",$C84,Settings!$G$47))&lt;MAX($A84,Settings!$F$47),0,INT((MIN($C84,IF(Settings!$G$47="",$C84,Settings!$G$47))-MAX($A84,Settings!$F$47)-MOD(IFERROR(MATCH(Settings!$E$47,$EO$4:$EO$10,0),0)-WEEKDAY(MAX($A84,Settings!$F$47)),7))/7)+1)),IF(AND(IF(Settings!$E$47="",$B84,DATE(YEAR($A84),MONTH($A84),MIN(Settings!$E$47,DAY($B84))))&gt;=MAX($A84,Settings!$F$47),IF(Settings!$E$47="",$B84,DATE(YEAR($A84),MONTH($A84),MIN(Settings!$E$47,DAY($B84))))&lt;=MIN($C84,IF(Settings!$G$47="",$C84,Settings!$G$47))),1,0)))</f>
        <v/>
      </c>
      <c r="BH84">
        <f>IF(OR(Settings!$C$48="",Settings!$D$48=""),0,Settings!$C$48*IF(Settings!$D$48="Weekly",IF(IFERROR(MATCH(Settings!$E$48,$EO$4:$EO$10,0),0)=0,0,IF(MIN($C84,IF(Settings!$G$48="",$C84,Settings!$G$48))&lt;MAX($A84,Settings!$F$48),0,INT((MIN($C84,IF(Settings!$G$48="",$C84,Settings!$G$48))-MAX($A84,Settings!$F$48)-MOD(IFERROR(MATCH(Settings!$E$48,$EO$4:$EO$10,0),0)-WEEKDAY(MAX($A84,Settings!$F$48)),7))/7)+1)),IF(AND(IF(Settings!$E$48="",$B84,DATE(YEAR($A84),MONTH($A84),MIN(Settings!$E$48,DAY($B84))))&gt;=MAX($A84,Settings!$F$48),IF(Settings!$E$48="",$B84,DATE(YEAR($A84),MONTH($A84),MIN(Settings!$E$48,DAY($B84))))&lt;=MIN($C84,IF(Settings!$G$48="",$C84,Settings!$G$48))),1,0)))</f>
        <v/>
      </c>
      <c r="BI84">
        <f>IF(OR(Settings!$C$49="",Settings!$D$49=""),0,Settings!$C$49*IF(Settings!$D$49="Weekly",IF(IFERROR(MATCH(Settings!$E$49,$EO$4:$EO$10,0),0)=0,0,IF(MIN($C84,IF(Settings!$G$49="",$C84,Settings!$G$49))&lt;MAX($A84,Settings!$F$49),0,INT((MIN($C84,IF(Settings!$G$49="",$C84,Settings!$G$49))-MAX($A84,Settings!$F$49)-MOD(IFERROR(MATCH(Settings!$E$49,$EO$4:$EO$10,0),0)-WEEKDAY(MAX($A84,Settings!$F$49)),7))/7)+1)),IF(AND(IF(Settings!$E$49="",$B84,DATE(YEAR($A84),MONTH($A84),MIN(Settings!$E$49,DAY($B84))))&gt;=MAX($A84,Settings!$F$49),IF(Settings!$E$49="",$B84,DATE(YEAR($A84),MONTH($A84),MIN(Settings!$E$49,DAY($B84))))&lt;=MIN($C84,IF(Settings!$G$49="",$C84,Settings!$G$49))),1,0)))</f>
        <v/>
      </c>
      <c r="BJ84">
        <f>IF(OR(Settings!$C$50="",Settings!$D$50=""),0,Settings!$C$50*IF(Settings!$D$50="Weekly",IF(IFERROR(MATCH(Settings!$E$50,$EO$4:$EO$10,0),0)=0,0,IF(MIN($C84,IF(Settings!$G$50="",$C84,Settings!$G$50))&lt;MAX($A84,Settings!$F$50),0,INT((MIN($C84,IF(Settings!$G$50="",$C84,Settings!$G$50))-MAX($A84,Settings!$F$50)-MOD(IFERROR(MATCH(Settings!$E$50,$EO$4:$EO$10,0),0)-WEEKDAY(MAX($A84,Settings!$F$50)),7))/7)+1)),IF(AND(IF(Settings!$E$50="",$B84,DATE(YEAR($A84),MONTH($A84),MIN(Settings!$E$50,DAY($B84))))&gt;=MAX($A84,Settings!$F$50),IF(Settings!$E$50="",$B84,DATE(YEAR($A84),MONTH($A84),MIN(Settings!$E$50,DAY($B84))))&lt;=MIN($C84,IF(Settings!$G$50="",$C84,Settings!$G$50))),1,0)))</f>
        <v/>
      </c>
      <c r="BK84">
        <f>IF(OR(Settings!$C$51="",Settings!$D$51=""),0,Settings!$C$51*IF(Settings!$D$51="Weekly",IF(IFERROR(MATCH(Settings!$E$51,$EO$4:$EO$10,0),0)=0,0,IF(MIN($C84,IF(Settings!$G$51="",$C84,Settings!$G$51))&lt;MAX($A84,Settings!$F$51),0,INT((MIN($C84,IF(Settings!$G$51="",$C84,Settings!$G$51))-MAX($A84,Settings!$F$51)-MOD(IFERROR(MATCH(Settings!$E$51,$EO$4:$EO$10,0),0)-WEEKDAY(MAX($A84,Settings!$F$51)),7))/7)+1)),IF(AND(IF(Settings!$E$51="",$B84,DATE(YEAR($A84),MONTH($A84),MIN(Settings!$E$51,DAY($B84))))&gt;=MAX($A84,Settings!$F$51),IF(Settings!$E$51="",$B84,DATE(YEAR($A84),MONTH($A84),MIN(Settings!$E$51,DAY($B84))))&lt;=MIN($C84,IF(Settings!$G$51="",$C84,Settings!$G$51))),1,0)))</f>
        <v/>
      </c>
      <c r="BL84">
        <f>IF(OR(Settings!$C$52="",Settings!$D$52=""),0,Settings!$C$52*IF(Settings!$D$52="Weekly",IF(IFERROR(MATCH(Settings!$E$52,$EO$4:$EO$10,0),0)=0,0,IF(MIN($C84,IF(Settings!$G$52="",$C84,Settings!$G$52))&lt;MAX($A84,Settings!$F$52),0,INT((MIN($C84,IF(Settings!$G$52="",$C84,Settings!$G$52))-MAX($A84,Settings!$F$52)-MOD(IFERROR(MATCH(Settings!$E$52,$EO$4:$EO$10,0),0)-WEEKDAY(MAX($A84,Settings!$F$52)),7))/7)+1)),IF(AND(IF(Settings!$E$52="",$B84,DATE(YEAR($A84),MONTH($A84),MIN(Settings!$E$52,DAY($B84))))&gt;=MAX($A84,Settings!$F$52),IF(Settings!$E$52="",$B84,DATE(YEAR($A84),MONTH($A84),MIN(Settings!$E$52,DAY($B84))))&lt;=MIN($C84,IF(Settings!$G$52="",$C84,Settings!$G$52))),1,0)))</f>
        <v/>
      </c>
      <c r="BM84">
        <f>IF(OR(Settings!$C$53="",Settings!$D$53=""),0,Settings!$C$53*IF(Settings!$D$53="Weekly",IF(IFERROR(MATCH(Settings!$E$53,$EO$4:$EO$10,0),0)=0,0,IF(MIN($C84,IF(Settings!$G$53="",$C84,Settings!$G$53))&lt;MAX($A84,Settings!$F$53),0,INT((MIN($C84,IF(Settings!$G$53="",$C84,Settings!$G$53))-MAX($A84,Settings!$F$53)-MOD(IFERROR(MATCH(Settings!$E$53,$EO$4:$EO$10,0),0)-WEEKDAY(MAX($A84,Settings!$F$53)),7))/7)+1)),IF(AND(IF(Settings!$E$53="",$B84,DATE(YEAR($A84),MONTH($A84),MIN(Settings!$E$53,DAY($B84))))&gt;=MAX($A84,Settings!$F$53),IF(Settings!$E$53="",$B84,DATE(YEAR($A84),MONTH($A84),MIN(Settings!$E$53,DAY($B84))))&lt;=MIN($C84,IF(Settings!$G$53="",$C84,Settings!$G$53))),1,0)))</f>
        <v/>
      </c>
      <c r="BN84">
        <f>IF(OR(Settings!$C$54="",Settings!$D$54=""),0,Settings!$C$54*IF(Settings!$D$54="Weekly",IF(IFERROR(MATCH(Settings!$E$54,$EO$4:$EO$10,0),0)=0,0,IF(MIN($C84,IF(Settings!$G$54="",$C84,Settings!$G$54))&lt;MAX($A84,Settings!$F$54),0,INT((MIN($C84,IF(Settings!$G$54="",$C84,Settings!$G$54))-MAX($A84,Settings!$F$54)-MOD(IFERROR(MATCH(Settings!$E$54,$EO$4:$EO$10,0),0)-WEEKDAY(MAX($A84,Settings!$F$54)),7))/7)+1)),IF(AND(IF(Settings!$E$54="",$B84,DATE(YEAR($A84),MONTH($A84),MIN(Settings!$E$54,DAY($B84))))&gt;=MAX($A84,Settings!$F$54),IF(Settings!$E$54="",$B84,DATE(YEAR($A84),MONTH($A84),MIN(Settings!$E$54,DAY($B84))))&lt;=MIN($C84,IF(Settings!$G$54="",$C84,Settings!$G$54))),1,0)))</f>
        <v/>
      </c>
      <c r="BO84">
        <f>IF(OR(Settings!$C$55="",Settings!$D$55=""),0,Settings!$C$55*IF(Settings!$D$55="Weekly",IF(IFERROR(MATCH(Settings!$E$55,$EO$4:$EO$10,0),0)=0,0,IF(MIN($C84,IF(Settings!$G$55="",$C84,Settings!$G$55))&lt;MAX($A84,Settings!$F$55),0,INT((MIN($C84,IF(Settings!$G$55="",$C84,Settings!$G$55))-MAX($A84,Settings!$F$55)-MOD(IFERROR(MATCH(Settings!$E$55,$EO$4:$EO$10,0),0)-WEEKDAY(MAX($A84,Settings!$F$55)),7))/7)+1)),IF(AND(IF(Settings!$E$55="",$B84,DATE(YEAR($A84),MONTH($A84),MIN(Settings!$E$55,DAY($B84))))&gt;=MAX($A84,Settings!$F$55),IF(Settings!$E$55="",$B84,DATE(YEAR($A84),MONTH($A84),MIN(Settings!$E$55,DAY($B84))))&lt;=MIN($C84,IF(Settings!$G$55="",$C84,Settings!$G$55))),1,0)))</f>
        <v/>
      </c>
      <c r="BP84">
        <f>IF(OR(Settings!$C$56="",Settings!$D$56=""),0,Settings!$C$56*IF(Settings!$D$56="Weekly",IF(IFERROR(MATCH(Settings!$E$56,$EO$4:$EO$10,0),0)=0,0,IF(MIN($C84,IF(Settings!$G$56="",$C84,Settings!$G$56))&lt;MAX($A84,Settings!$F$56),0,INT((MIN($C84,IF(Settings!$G$56="",$C84,Settings!$G$56))-MAX($A84,Settings!$F$56)-MOD(IFERROR(MATCH(Settings!$E$56,$EO$4:$EO$10,0),0)-WEEKDAY(MAX($A84,Settings!$F$56)),7))/7)+1)),IF(AND(IF(Settings!$E$56="",$B84,DATE(YEAR($A84),MONTH($A84),MIN(Settings!$E$56,DAY($B84))))&gt;=MAX($A84,Settings!$F$56),IF(Settings!$E$56="",$B84,DATE(YEAR($A84),MONTH($A84),MIN(Settings!$E$56,DAY($B84))))&lt;=MIN($C84,IF(Settings!$G$56="",$C84,Settings!$G$56))),1,0)))</f>
        <v/>
      </c>
      <c r="BQ84">
        <f>IF(OR(Settings!$B$14="",$D84=1,$E84="pre",$A84&lt;IF(Settings!$B$15="",0,Settings!$B$15)),0,Settings!$B$14)</f>
        <v/>
      </c>
      <c r="BR84">
        <f>IF(AND('Month-End'!$CC$7&lt;&gt;"",NOT(_xlfn.ISFORMULA('Month-End'!$CC$7))),1,0)</f>
        <v/>
      </c>
      <c r="BS84">
        <f>IF(AND('Month-End'!$CC$8&lt;&gt;"",NOT(_xlfn.ISFORMULA('Month-End'!$CC$8))),1,0)</f>
        <v/>
      </c>
      <c r="BT84">
        <f>IF(AND('Month-End'!$CC$9&lt;&gt;"",NOT(_xlfn.ISFORMULA('Month-End'!$CC$9))),1,0)</f>
        <v/>
      </c>
      <c r="BU84">
        <f>IF(AND('Month-End'!$CC$10&lt;&gt;"",NOT(_xlfn.ISFORMULA('Month-End'!$CC$10))),1,0)</f>
        <v/>
      </c>
      <c r="BV84">
        <f>IF(AND('Month-End'!$CC$11&lt;&gt;"",NOT(_xlfn.ISFORMULA('Month-End'!$CC$11))),1,0)</f>
        <v/>
      </c>
      <c r="BW84">
        <f>IF(AND('Month-End'!$CC$12&lt;&gt;"",NOT(_xlfn.ISFORMULA('Month-End'!$CC$12))),1,0)</f>
        <v/>
      </c>
      <c r="BX84">
        <f>IF(AND('Month-End'!$CC$13&lt;&gt;"",NOT(_xlfn.ISFORMULA('Month-End'!$CC$13))),1,0)</f>
        <v/>
      </c>
      <c r="BY84">
        <f>IF(AND('Month-End'!$CC$14&lt;&gt;"",NOT(_xlfn.ISFORMULA('Month-End'!$CC$14))),1,0)</f>
        <v/>
      </c>
      <c r="BZ84">
        <f>IF(AND('Month-End'!$CC$15&lt;&gt;"",NOT(_xlfn.ISFORMULA('Month-End'!$CC$15))),1,0)</f>
        <v/>
      </c>
      <c r="CA84">
        <f>IF(AND('Month-End'!$CC$16&lt;&gt;"",NOT(_xlfn.ISFORMULA('Month-End'!$CC$16))),1,0)</f>
        <v/>
      </c>
      <c r="CB84">
        <f>IF(AND('Month-End'!$CC$17&lt;&gt;"",NOT(_xlfn.ISFORMULA('Month-End'!$CC$17))),1,0)</f>
        <v/>
      </c>
      <c r="CC84">
        <f>IF(AND('Month-End'!$CC$18&lt;&gt;"",NOT(_xlfn.ISFORMULA('Month-End'!$CC$18))),1,0)</f>
        <v/>
      </c>
      <c r="CD84">
        <f>IF(AND('Month-End'!$CC$19&lt;&gt;"",NOT(_xlfn.ISFORMULA('Month-End'!$CC$19))),1,0)</f>
        <v/>
      </c>
      <c r="CE84">
        <f>IF(AND('Month-End'!$CC$20&lt;&gt;"",NOT(_xlfn.ISFORMULA('Month-End'!$CC$20))),1,0)</f>
        <v/>
      </c>
      <c r="CF84">
        <f>IF(AND('Month-End'!$CC$38&lt;&gt;"",NOT(_xlfn.ISFORMULA('Month-End'!$CC$38))),1,0)</f>
        <v/>
      </c>
      <c r="CG84">
        <f>IF(AND('Month-End'!$CC$39&lt;&gt;"",NOT(_xlfn.ISFORMULA('Month-End'!$CC$39))),1,0)</f>
        <v/>
      </c>
      <c r="CH84">
        <f>IF(AND('Month-End'!$CC$40&lt;&gt;"",NOT(_xlfn.ISFORMULA('Month-End'!$CC$40))),1,0)</f>
        <v/>
      </c>
      <c r="CI84">
        <f>IF(AND('Month-End'!$CC$41&lt;&gt;"",NOT(_xlfn.ISFORMULA('Month-End'!$CC$41))),1,0)</f>
        <v/>
      </c>
      <c r="CJ84">
        <f>IF(AND('Month-End'!$CC$42&lt;&gt;"",NOT(_xlfn.ISFORMULA('Month-End'!$CC$42))),1,0)</f>
        <v/>
      </c>
      <c r="CK84">
        <f>IF(AND('Month-End'!$CC$43&lt;&gt;"",NOT(_xlfn.ISFORMULA('Month-End'!$CC$43))),1,0)</f>
        <v/>
      </c>
      <c r="CL84">
        <f>SUM($CM84:$CZ84)</f>
        <v/>
      </c>
      <c r="CM84">
        <f>IF(AND($E84&lt;&gt;"pre",AND(Settings!$A$19&lt;&gt;"",Settings!$E$19&lt;&gt;"No"),Settings!$F$19="Yes",NOT(AND('Month-End'!$CC$7&lt;&gt;"",NOT(_xlfn.ISFORMULA('Month-End'!$CC$7))))),1,0)</f>
        <v/>
      </c>
      <c r="CN84">
        <f>IF(AND($E84&lt;&gt;"pre",AND(Settings!$A$20&lt;&gt;"",Settings!$E$20&lt;&gt;"No"),Settings!$F$20="Yes",NOT(AND('Month-End'!$CC$8&lt;&gt;"",NOT(_xlfn.ISFORMULA('Month-End'!$CC$8))))),1,0)</f>
        <v/>
      </c>
      <c r="CO84">
        <f>IF(AND($E84&lt;&gt;"pre",AND(Settings!$A$21&lt;&gt;"",Settings!$E$21&lt;&gt;"No"),Settings!$F$21="Yes",NOT(AND('Month-End'!$CC$9&lt;&gt;"",NOT(_xlfn.ISFORMULA('Month-End'!$CC$9))))),1,0)</f>
        <v/>
      </c>
      <c r="CP84">
        <f>IF(AND($E84&lt;&gt;"pre",AND(Settings!$A$22&lt;&gt;"",Settings!$E$22&lt;&gt;"No"),Settings!$F$22="Yes",NOT(AND('Month-End'!$CC$10&lt;&gt;"",NOT(_xlfn.ISFORMULA('Month-End'!$CC$10))))),1,0)</f>
        <v/>
      </c>
      <c r="CQ84">
        <f>IF(AND($E84&lt;&gt;"pre",AND(Settings!$A$23&lt;&gt;"",Settings!$E$23&lt;&gt;"No"),Settings!$F$23="Yes",NOT(AND('Month-End'!$CC$11&lt;&gt;"",NOT(_xlfn.ISFORMULA('Month-End'!$CC$11))))),1,0)</f>
        <v/>
      </c>
      <c r="CR84">
        <f>IF(AND($E84&lt;&gt;"pre",AND(Settings!$A$24&lt;&gt;"",Settings!$E$24&lt;&gt;"No"),Settings!$F$24="Yes",NOT(AND('Month-End'!$CC$12&lt;&gt;"",NOT(_xlfn.ISFORMULA('Month-End'!$CC$12))))),1,0)</f>
        <v/>
      </c>
      <c r="CS84">
        <f>IF(AND($E84&lt;&gt;"pre",AND(Settings!$A$25&lt;&gt;"",Settings!$E$25&lt;&gt;"No"),Settings!$F$25="Yes",NOT(AND('Month-End'!$CC$13&lt;&gt;"",NOT(_xlfn.ISFORMULA('Month-End'!$CC$13))))),1,0)</f>
        <v/>
      </c>
      <c r="CT84">
        <f>IF(AND($E84&lt;&gt;"pre",AND(Settings!$A$26&lt;&gt;"",Settings!$E$26&lt;&gt;"No"),Settings!$F$26="Yes",NOT(AND('Month-End'!$CC$14&lt;&gt;"",NOT(_xlfn.ISFORMULA('Month-End'!$CC$14))))),1,0)</f>
        <v/>
      </c>
      <c r="CU84">
        <f>IF(AND($E84&lt;&gt;"pre",AND(Settings!$A$27&lt;&gt;"",Settings!$E$27&lt;&gt;"No"),Settings!$F$27="Yes",NOT(AND('Month-End'!$CC$15&lt;&gt;"",NOT(_xlfn.ISFORMULA('Month-End'!$CC$15))))),1,0)</f>
        <v/>
      </c>
      <c r="CV84">
        <f>IF(AND($E84&lt;&gt;"pre",AND(Settings!$A$28&lt;&gt;"",Settings!$E$28&lt;&gt;"No"),Settings!$F$28="Yes",NOT(AND('Month-End'!$CC$16&lt;&gt;"",NOT(_xlfn.ISFORMULA('Month-End'!$CC$16))))),1,0)</f>
        <v/>
      </c>
      <c r="CW84">
        <f>IF(AND($E84&lt;&gt;"pre",AND(Settings!$A$29&lt;&gt;"",Settings!$E$29&lt;&gt;"No"),Settings!$F$29="Yes",NOT(AND('Month-End'!$CC$17&lt;&gt;"",NOT(_xlfn.ISFORMULA('Month-End'!$CC$17))))),1,0)</f>
        <v/>
      </c>
      <c r="CX84">
        <f>IF(AND($E84&lt;&gt;"pre",AND(Settings!$A$30&lt;&gt;"",Settings!$E$30&lt;&gt;"No"),Settings!$F$30="Yes",NOT(AND('Month-End'!$CC$18&lt;&gt;"",NOT(_xlfn.ISFORMULA('Month-End'!$CC$18))))),1,0)</f>
        <v/>
      </c>
      <c r="CY84">
        <f>IF(AND($E84&lt;&gt;"pre",AND(Settings!$A$31&lt;&gt;"",Settings!$E$31&lt;&gt;"No"),Settings!$F$31="Yes",NOT(AND('Month-End'!$CC$19&lt;&gt;"",NOT(_xlfn.ISFORMULA('Month-End'!$CC$19))))),1,0)</f>
        <v/>
      </c>
      <c r="CZ84">
        <f>IF(AND($E84&lt;&gt;"pre",AND(Settings!$A$32&lt;&gt;"",Settings!$E$32&lt;&gt;"No"),Settings!$F$32="Yes",NOT(AND('Month-End'!$CC$20&lt;&gt;"",NOT(_xlfn.ISFORMULA('Month-End'!$CC$20))))),1,0)</f>
        <v/>
      </c>
      <c r="DA84">
        <f>IF($DT84=1,IF(OR(Settings!$B$19="Checking",Settings!$B$19="Savings",Settings!$B$19="Cash"),N($AE84),IF(OR(Settings!$B$19="Card",Settings!$B$19="Loan"),-N($AE84),0))+IF(OR(Settings!$B$20="Checking",Settings!$B$20="Savings",Settings!$B$20="Cash"),N($AF84),IF(OR(Settings!$B$20="Card",Settings!$B$20="Loan"),-N($AF84),0))+IF(OR(Settings!$B$21="Checking",Settings!$B$21="Savings",Settings!$B$21="Cash"),N($AG84),IF(OR(Settings!$B$21="Card",Settings!$B$21="Loan"),-N($AG84),0))+IF(OR(Settings!$B$22="Checking",Settings!$B$22="Savings",Settings!$B$22="Cash"),N($AH84),IF(OR(Settings!$B$22="Card",Settings!$B$22="Loan"),-N($AH84),0))+IF(OR(Settings!$B$23="Checking",Settings!$B$23="Savings",Settings!$B$23="Cash"),N($AI84),IF(OR(Settings!$B$23="Card",Settings!$B$23="Loan"),-N($AI84),0))+IF(OR(Settings!$B$24="Checking",Settings!$B$24="Savings",Settings!$B$24="Cash"),N($AJ84),IF(OR(Settings!$B$24="Card",Settings!$B$24="Loan"),-N($AJ84),0))+IF(OR(Settings!$B$25="Checking",Settings!$B$25="Savings",Settings!$B$25="Cash"),N($AK84),IF(OR(Settings!$B$25="Card",Settings!$B$25="Loan"),-N($AK84),0))+IF(OR(Settings!$B$26="Checking",Settings!$B$26="Savings",Settings!$B$26="Cash"),N($AL84),IF(OR(Settings!$B$26="Card",Settings!$B$26="Loan"),-N($AL84),0))+IF(OR(Settings!$B$27="Checking",Settings!$B$27="Savings",Settings!$B$27="Cash"),N($AM84),IF(OR(Settings!$B$27="Card",Settings!$B$27="Loan"),-N($AM84),0))+IF(OR(Settings!$B$28="Checking",Settings!$B$28="Savings",Settings!$B$28="Cash"),N($AN84),IF(OR(Settings!$B$28="Card",Settings!$B$28="Loan"),-N($AN84),0))+IF(OR(Settings!$B$29="Checking",Settings!$B$29="Savings",Settings!$B$29="Cash"),N($AO84),IF(OR(Settings!$B$29="Card",Settings!$B$29="Loan"),-N($AO84),0))+IF(OR(Settings!$B$30="Checking",Settings!$B$30="Savings",Settings!$B$30="Cash"),N($AP84),IF(OR(Settings!$B$30="Card",Settings!$B$30="Loan"),-N($AP84),0))+IF(OR(Settings!$B$31="Checking",Settings!$B$31="Savings",Settings!$B$31="Cash"),N($AQ84),IF(OR(Settings!$B$31="Card",Settings!$B$31="Loan"),-N($AQ84),0))+IF(OR(Settings!$B$32="Checking",Settings!$B$32="Savings",Settings!$B$32="Cash"),N($AR84),IF(OR(Settings!$B$32="Card",Settings!$B$32="Loan"),-N($AR84),0)),"")</f>
        <v/>
      </c>
      <c r="DB84">
        <f>IF($E84="open",$EB$27,IF($E84="post",IF($E83="pre",$EB$27,$DA83),""))</f>
        <v/>
      </c>
      <c r="DC84">
        <f>IF($E84="open",1,IF($E84="post",IF($E83="pre",1,$DT83),0))</f>
        <v/>
      </c>
      <c r="DD84">
        <f>IF(AND($DT84=1,$DC84=1),ROUND($W84-($DA84-$DB84)-$AD84-$AB84,2),"")</f>
        <v/>
      </c>
      <c r="DE84">
        <f>IF('Month-End'!$CC$35="",$BQ84,N('Month-End'!$CC$35))</f>
        <v/>
      </c>
      <c r="DF84">
        <f>N('Month-End'!$CC$36)</f>
        <v/>
      </c>
      <c r="DG84">
        <f>IF($DD84="","",$DD84+$DE84)</f>
        <v/>
      </c>
      <c r="DH84">
        <f>IF($DG84="","",$DG84-$DF84)</f>
        <v/>
      </c>
      <c r="DI84">
        <f>IF(OR($E84="pre",$D84=1),"",N($AS84)+N($AT84)+N($AU84)+N($AV84)+N($AW84)+N($AX84))</f>
        <v/>
      </c>
      <c r="DJ84">
        <f>IF($DT84=1,$DA84+N($DI84),"")</f>
        <v/>
      </c>
      <c r="DK84">
        <f>IF($DD84="","",$W84-$DD84-$AB84)</f>
        <v/>
      </c>
      <c r="DL84">
        <f>IF(AND($E84="post",$DD84&lt;&gt;"",$B84&lt;TODAY()),1,0)</f>
        <v/>
      </c>
      <c r="DM84">
        <f>IF($DL84=1,COUNTIF($DL84:$DL$183,1),0)</f>
        <v/>
      </c>
      <c r="DN84">
        <f>IF($D84=1,"",IF($E84="pre","History only",IF($DT84=1,IF($DD84="","⚠ Previous month missing",IF($DD84&lt;0,"⚠ Check: spending &lt; 0",IF($E84="open","✓ Done (partial)","✓ Done"))),IF($B84&gt;=TODAY(),"In progress","⚠ Needs balances"))))</f>
        <v/>
      </c>
      <c r="DO84">
        <f>YEAR($A84)</f>
        <v/>
      </c>
      <c r="DP84">
        <f>DATE(YEAR($A84),INT((MONTH($A84)-1)/3)*3+1,1)</f>
        <v/>
      </c>
      <c r="DQ84">
        <f>IF(AND($DT84=1,$DD84&lt;&gt;"",$D84=0),ROW(),0)</f>
        <v/>
      </c>
      <c r="DR84">
        <f>IF(AND($E84&lt;&gt;"pre",$B84&lt;TODAY(),$DT84=0),1,0)</f>
        <v/>
      </c>
      <c r="DS84">
        <f>IF($DJ84="",NA(),$DJ84)</f>
        <v/>
      </c>
      <c r="DT84">
        <f>IF(AND($E84&lt;&gt;"pre",$CL84=0,COUNTIFS(Settings!$F$19:$F$32,"Yes",Settings!$A$19:$A$32,"&lt;&gt;",Settings!$E$19:$E$32,"&lt;&gt;No")&gt;0),1,0)</f>
        <v/>
      </c>
      <c r="DU84">
        <f>IF(AND($B84&lt;TODAY(),$S84&gt;0),1,0)</f>
        <v/>
      </c>
      <c r="DV84">
        <f>IF($DU84=1,COUNTIF($DU84:$DU$183,1),0)</f>
        <v/>
      </c>
      <c r="DW84">
        <f>IF(AND(OR(Settings!$B$19="Card",Settings!$B$19="Loan"),AND('Month-End'!$CC$7&lt;&gt;"",NOT(_xlfn.ISFORMULA('Month-End'!$CC$7)))),IF(N('Month-End'!$CC$7)&lt;0,1,0),0)+IF(AND(OR(Settings!$B$20="Card",Settings!$B$20="Loan"),AND('Month-End'!$CC$8&lt;&gt;"",NOT(_xlfn.ISFORMULA('Month-End'!$CC$8)))),IF(N('Month-End'!$CC$8)&lt;0,1,0),0)+IF(AND(OR(Settings!$B$21="Card",Settings!$B$21="Loan"),AND('Month-End'!$CC$9&lt;&gt;"",NOT(_xlfn.ISFORMULA('Month-End'!$CC$9)))),IF(N('Month-End'!$CC$9)&lt;0,1,0),0)+IF(AND(OR(Settings!$B$22="Card",Settings!$B$22="Loan"),AND('Month-End'!$CC$10&lt;&gt;"",NOT(_xlfn.ISFORMULA('Month-End'!$CC$10)))),IF(N('Month-End'!$CC$10)&lt;0,1,0),0)+IF(AND(OR(Settings!$B$23="Card",Settings!$B$23="Loan"),AND('Month-End'!$CC$11&lt;&gt;"",NOT(_xlfn.ISFORMULA('Month-End'!$CC$11)))),IF(N('Month-End'!$CC$11)&lt;0,1,0),0)+IF(AND(OR(Settings!$B$24="Card",Settings!$B$24="Loan"),AND('Month-End'!$CC$12&lt;&gt;"",NOT(_xlfn.ISFORMULA('Month-End'!$CC$12)))),IF(N('Month-End'!$CC$12)&lt;0,1,0),0)+IF(AND(OR(Settings!$B$25="Card",Settings!$B$25="Loan"),AND('Month-End'!$CC$13&lt;&gt;"",NOT(_xlfn.ISFORMULA('Month-End'!$CC$13)))),IF(N('Month-End'!$CC$13)&lt;0,1,0),0)+IF(AND(OR(Settings!$B$26="Card",Settings!$B$26="Loan"),AND('Month-End'!$CC$14&lt;&gt;"",NOT(_xlfn.ISFORMULA('Month-End'!$CC$14)))),IF(N('Month-End'!$CC$14)&lt;0,1,0),0)+IF(AND(OR(Settings!$B$27="Card",Settings!$B$27="Loan"),AND('Month-End'!$CC$15&lt;&gt;"",NOT(_xlfn.ISFORMULA('Month-End'!$CC$15)))),IF(N('Month-End'!$CC$15)&lt;0,1,0),0)+IF(AND(OR(Settings!$B$28="Card",Settings!$B$28="Loan"),AND('Month-End'!$CC$16&lt;&gt;"",NOT(_xlfn.ISFORMULA('Month-End'!$CC$16)))),IF(N('Month-End'!$CC$16)&lt;0,1,0),0)+IF(AND(OR(Settings!$B$29="Card",Settings!$B$29="Loan"),AND('Month-End'!$CC$17&lt;&gt;"",NOT(_xlfn.ISFORMULA('Month-End'!$CC$17)))),IF(N('Month-End'!$CC$17)&lt;0,1,0),0)+IF(AND(OR(Settings!$B$30="Card",Settings!$B$30="Loan"),AND('Month-End'!$CC$18&lt;&gt;"",NOT(_xlfn.ISFORMULA('Month-End'!$CC$18)))),IF(N('Month-End'!$CC$18)&lt;0,1,0),0)+IF(AND(OR(Settings!$B$31="Card",Settings!$B$31="Loan"),AND('Month-End'!$CC$19&lt;&gt;"",NOT(_xlfn.ISFORMULA('Month-End'!$CC$19)))),IF(N('Month-End'!$CC$19)&lt;0,1,0),0)+IF(AND(OR(Settings!$B$32="Card",Settings!$B$32="Loan"),AND('Month-End'!$CC$20&lt;&gt;"",NOT(_xlfn.ISFORMULA('Month-End'!$CC$20)))),IF(N('Month-End'!$CC$20)&lt;0,1,0),0)</f>
        <v/>
      </c>
      <c r="DX84">
        <f>IF(Settings!$B$36="Retirement",$AY84,0)+IF(Settings!$B$37="Retirement",$AZ84,0)+IF(Settings!$B$38="Retirement",$BA84,0)+IF(Settings!$B$39="Retirement",$BB84,0)+IF(Settings!$B$40="Retirement",$BC84,0)+IF(Settings!$B$41="Retirement",$BD84,0)</f>
        <v/>
      </c>
      <c r="EA84">
        <f>IF(Settings!$A$83="","",Settings!$A$83)</f>
        <v/>
      </c>
      <c r="EB84">
        <f>IF(Settings!$D$83="",0,IF(Settings!$D$83="Specific Account",IFERROR(INDEX($EB$40:$EB$59,MATCH(Settings!$F$83,$EA$40:$EA$59,0)),0),IFERROR(INDEX($EB$6:$EB$26,MATCH(Settings!$D$83,$EA$6:$EA$26,0)),0)))</f>
        <v/>
      </c>
      <c r="EC84">
        <f>IF(Settings!$A$83="","",IF(Settings!$B$83="Tithe Balance",$EB$23,IF(Settings!$E$83="Specific Account",IFERROR(INDEX($EB$40:$EB$59,MATCH(Settings!$F$83,$EA$40:$EA$59,0)),0),IFERROR(INDEX($EB$6:$EB$26,MATCH(Settings!$E$83,$EA$6:$EA$26,0)),0))))</f>
        <v/>
      </c>
      <c r="ED84">
        <f>IF(Settings!$A$83="","",IF(Settings!$B$83="Percentage",EB84*N(Settings!$C$83)/100,IF(Settings!$B$83="Multiple",EB84*N(Settings!$C$83),IF(Settings!$B$83="Tithe Balance",$EB$22,N(Settings!$C$83)))))</f>
        <v/>
      </c>
      <c r="EE84">
        <f>IF(Settings!$A$83="","",IF(Settings!$B$83="Pay Down To",MAX(0,EC84-ED84),MAX(0,ED84-EC84)))</f>
        <v/>
      </c>
      <c r="EF84">
        <f>IF(Settings!$A$83="","",IF(Settings!$B$83="Pay Down To",IF(EC84&lt;=ED84,"Met","Above target"),IF(EC84&gt;=ED84-0.005,"Met","Remaining")))</f>
        <v/>
      </c>
      <c r="EG84">
        <f>IF(Settings!$A$83="","",IF(Settings!$B$83="Pay Down To",IF(EC84&lt;=0,1,MIN(1,ED84/EC84)),IF(ED84&lt;=0,1,EC84/ED84)))</f>
        <v/>
      </c>
      <c r="EH84">
        <f>IF(OR(Settings!$A$83="",EE84&lt;=0),"",IF(Settings!$B$83="Save By Date",IF(Settings!$G$83="","Set a target date","Need "&amp;TEXT(EE84/MAX(1,(YEAR(Settings!$G$83)-YEAR(TODAY()))*12+MONTH(Settings!$G$83)-MONTH(TODAY())+1),"$#,##0")&amp;"/mo to "&amp;TEXT(Settings!$G$83,"mmm yyyy")),IF(Settings!$B$83="Annual Contribution","Need "&amp;TEXT(EE84/MAX(1,12-MONTH(TODAY())+1),"$#,##0")&amp;"/mo rest of year",IF(Settings!$B$83="Tithe Balance","This quarter",""))))</f>
        <v/>
      </c>
      <c r="ET84">
        <f>IF($E84&lt;&gt;"open",0,IF(AND('Month-End'!$CC$22&lt;&gt;"",NOT(_xlfn.ISFORMULA('Month-End'!$CC$22))),0,IF(OR(Settings!$C$45="",Settings!$D$45=""),0,Settings!$C$45*IF(Settings!$D$45="Weekly",IF(IFERROR(MATCH(Settings!$E$45,$EO$4:$EO$10,0),0)=0,0,IF(MIN(Settings!$B$5,IF(Settings!$G$45="",Settings!$B$5,Settings!$G$45))&lt;MAX($A84,Settings!$F$45),0,INT((MIN(Settings!$B$5,IF(Settings!$G$45="",Settings!$B$5,Settings!$G$45))-MAX($A84,Settings!$F$45)-MOD(IFERROR(MATCH(Settings!$E$45,$EO$4:$EO$10,0),0)-WEEKDAY(MAX($A84,Settings!$F$45)),7))/7)+1)),IF(AND(IF(Settings!$E$45="",$B84,DATE(YEAR($A84),MONTH($A84),MIN(Settings!$E$45,DAY($B84))))&gt;=MAX($A84,Settings!$F$45),IF(Settings!$E$45="",$B84,DATE(YEAR($A84),MONTH($A84),MIN(Settings!$E$45,DAY($B84))))&lt;=MIN(Settings!$B$5,IF(Settings!$G$45="",Settings!$B$5,Settings!$G$45))),1,0)))))</f>
        <v/>
      </c>
      <c r="EU84">
        <f>IF($E84&lt;&gt;"open",0,IF(AND('Month-End'!$CC$23&lt;&gt;"",NOT(_xlfn.ISFORMULA('Month-End'!$CC$23))),0,IF(OR(Settings!$C$46="",Settings!$D$46=""),0,Settings!$C$46*IF(Settings!$D$46="Weekly",IF(IFERROR(MATCH(Settings!$E$46,$EO$4:$EO$10,0),0)=0,0,IF(MIN(Settings!$B$5,IF(Settings!$G$46="",Settings!$B$5,Settings!$G$46))&lt;MAX($A84,Settings!$F$46),0,INT((MIN(Settings!$B$5,IF(Settings!$G$46="",Settings!$B$5,Settings!$G$46))-MAX($A84,Settings!$F$46)-MOD(IFERROR(MATCH(Settings!$E$46,$EO$4:$EO$10,0),0)-WEEKDAY(MAX($A84,Settings!$F$46)),7))/7)+1)),IF(AND(IF(Settings!$E$46="",$B84,DATE(YEAR($A84),MONTH($A84),MIN(Settings!$E$46,DAY($B84))))&gt;=MAX($A84,Settings!$F$46),IF(Settings!$E$46="",$B84,DATE(YEAR($A84),MONTH($A84),MIN(Settings!$E$46,DAY($B84))))&lt;=MIN(Settings!$B$5,IF(Settings!$G$46="",Settings!$B$5,Settings!$G$46))),1,0)))))</f>
        <v/>
      </c>
      <c r="EV84">
        <f>IF($E84&lt;&gt;"open",0,IF(AND('Month-End'!$CC$24&lt;&gt;"",NOT(_xlfn.ISFORMULA('Month-End'!$CC$24))),0,IF(OR(Settings!$C$47="",Settings!$D$47=""),0,Settings!$C$47*IF(Settings!$D$47="Weekly",IF(IFERROR(MATCH(Settings!$E$47,$EO$4:$EO$10,0),0)=0,0,IF(MIN(Settings!$B$5,IF(Settings!$G$47="",Settings!$B$5,Settings!$G$47))&lt;MAX($A84,Settings!$F$47),0,INT((MIN(Settings!$B$5,IF(Settings!$G$47="",Settings!$B$5,Settings!$G$47))-MAX($A84,Settings!$F$47)-MOD(IFERROR(MATCH(Settings!$E$47,$EO$4:$EO$10,0),0)-WEEKDAY(MAX($A84,Settings!$F$47)),7))/7)+1)),IF(AND(IF(Settings!$E$47="",$B84,DATE(YEAR($A84),MONTH($A84),MIN(Settings!$E$47,DAY($B84))))&gt;=MAX($A84,Settings!$F$47),IF(Settings!$E$47="",$B84,DATE(YEAR($A84),MONTH($A84),MIN(Settings!$E$47,DAY($B84))))&lt;=MIN(Settings!$B$5,IF(Settings!$G$47="",Settings!$B$5,Settings!$G$47))),1,0)))))</f>
        <v/>
      </c>
      <c r="EW84">
        <f>IF($E84&lt;&gt;"open",0,IF(AND('Month-End'!$CC$25&lt;&gt;"",NOT(_xlfn.ISFORMULA('Month-End'!$CC$25))),0,IF(OR(Settings!$C$48="",Settings!$D$48=""),0,Settings!$C$48*IF(Settings!$D$48="Weekly",IF(IFERROR(MATCH(Settings!$E$48,$EO$4:$EO$10,0),0)=0,0,IF(MIN(Settings!$B$5,IF(Settings!$G$48="",Settings!$B$5,Settings!$G$48))&lt;MAX($A84,Settings!$F$48),0,INT((MIN(Settings!$B$5,IF(Settings!$G$48="",Settings!$B$5,Settings!$G$48))-MAX($A84,Settings!$F$48)-MOD(IFERROR(MATCH(Settings!$E$48,$EO$4:$EO$10,0),0)-WEEKDAY(MAX($A84,Settings!$F$48)),7))/7)+1)),IF(AND(IF(Settings!$E$48="",$B84,DATE(YEAR($A84),MONTH($A84),MIN(Settings!$E$48,DAY($B84))))&gt;=MAX($A84,Settings!$F$48),IF(Settings!$E$48="",$B84,DATE(YEAR($A84),MONTH($A84),MIN(Settings!$E$48,DAY($B84))))&lt;=MIN(Settings!$B$5,IF(Settings!$G$48="",Settings!$B$5,Settings!$G$48))),1,0)))))</f>
        <v/>
      </c>
      <c r="EX84">
        <f>IF($E84&lt;&gt;"open",0,IF(AND('Month-End'!$CC$26&lt;&gt;"",NOT(_xlfn.ISFORMULA('Month-End'!$CC$26))),0,IF(OR(Settings!$C$49="",Settings!$D$49=""),0,Settings!$C$49*IF(Settings!$D$49="Weekly",IF(IFERROR(MATCH(Settings!$E$49,$EO$4:$EO$10,0),0)=0,0,IF(MIN(Settings!$B$5,IF(Settings!$G$49="",Settings!$B$5,Settings!$G$49))&lt;MAX($A84,Settings!$F$49),0,INT((MIN(Settings!$B$5,IF(Settings!$G$49="",Settings!$B$5,Settings!$G$49))-MAX($A84,Settings!$F$49)-MOD(IFERROR(MATCH(Settings!$E$49,$EO$4:$EO$10,0),0)-WEEKDAY(MAX($A84,Settings!$F$49)),7))/7)+1)),IF(AND(IF(Settings!$E$49="",$B84,DATE(YEAR($A84),MONTH($A84),MIN(Settings!$E$49,DAY($B84))))&gt;=MAX($A84,Settings!$F$49),IF(Settings!$E$49="",$B84,DATE(YEAR($A84),MONTH($A84),MIN(Settings!$E$49,DAY($B84))))&lt;=MIN(Settings!$B$5,IF(Settings!$G$49="",Settings!$B$5,Settings!$G$49))),1,0)))))</f>
        <v/>
      </c>
      <c r="EY84">
        <f>IF($E84&lt;&gt;"open",0,IF(AND('Month-End'!$CC$27&lt;&gt;"",NOT(_xlfn.ISFORMULA('Month-End'!$CC$27))),0,IF(OR(Settings!$C$50="",Settings!$D$50=""),0,Settings!$C$50*IF(Settings!$D$50="Weekly",IF(IFERROR(MATCH(Settings!$E$50,$EO$4:$EO$10,0),0)=0,0,IF(MIN(Settings!$B$5,IF(Settings!$G$50="",Settings!$B$5,Settings!$G$50))&lt;MAX($A84,Settings!$F$50),0,INT((MIN(Settings!$B$5,IF(Settings!$G$50="",Settings!$B$5,Settings!$G$50))-MAX($A84,Settings!$F$50)-MOD(IFERROR(MATCH(Settings!$E$50,$EO$4:$EO$10,0),0)-WEEKDAY(MAX($A84,Settings!$F$50)),7))/7)+1)),IF(AND(IF(Settings!$E$50="",$B84,DATE(YEAR($A84),MONTH($A84),MIN(Settings!$E$50,DAY($B84))))&gt;=MAX($A84,Settings!$F$50),IF(Settings!$E$50="",$B84,DATE(YEAR($A84),MONTH($A84),MIN(Settings!$E$50,DAY($B84))))&lt;=MIN(Settings!$B$5,IF(Settings!$G$50="",Settings!$B$5,Settings!$G$50))),1,0)))))</f>
        <v/>
      </c>
      <c r="EZ84">
        <f>IF($E84&lt;&gt;"open",0,IF(AND('Month-End'!$CC$28&lt;&gt;"",NOT(_xlfn.ISFORMULA('Month-End'!$CC$28))),0,IF(OR(Settings!$C$51="",Settings!$D$51=""),0,Settings!$C$51*IF(Settings!$D$51="Weekly",IF(IFERROR(MATCH(Settings!$E$51,$EO$4:$EO$10,0),0)=0,0,IF(MIN(Settings!$B$5,IF(Settings!$G$51="",Settings!$B$5,Settings!$G$51))&lt;MAX($A84,Settings!$F$51),0,INT((MIN(Settings!$B$5,IF(Settings!$G$51="",Settings!$B$5,Settings!$G$51))-MAX($A84,Settings!$F$51)-MOD(IFERROR(MATCH(Settings!$E$51,$EO$4:$EO$10,0),0)-WEEKDAY(MAX($A84,Settings!$F$51)),7))/7)+1)),IF(AND(IF(Settings!$E$51="",$B84,DATE(YEAR($A84),MONTH($A84),MIN(Settings!$E$51,DAY($B84))))&gt;=MAX($A84,Settings!$F$51),IF(Settings!$E$51="",$B84,DATE(YEAR($A84),MONTH($A84),MIN(Settings!$E$51,DAY($B84))))&lt;=MIN(Settings!$B$5,IF(Settings!$G$51="",Settings!$B$5,Settings!$G$51))),1,0)))))</f>
        <v/>
      </c>
      <c r="FA84">
        <f>IF($E84&lt;&gt;"open",0,IF(AND('Month-End'!$CC$29&lt;&gt;"",NOT(_xlfn.ISFORMULA('Month-End'!$CC$29))),0,IF(OR(Settings!$C$52="",Settings!$D$52=""),0,Settings!$C$52*IF(Settings!$D$52="Weekly",IF(IFERROR(MATCH(Settings!$E$52,$EO$4:$EO$10,0),0)=0,0,IF(MIN(Settings!$B$5,IF(Settings!$G$52="",Settings!$B$5,Settings!$G$52))&lt;MAX($A84,Settings!$F$52),0,INT((MIN(Settings!$B$5,IF(Settings!$G$52="",Settings!$B$5,Settings!$G$52))-MAX($A84,Settings!$F$52)-MOD(IFERROR(MATCH(Settings!$E$52,$EO$4:$EO$10,0),0)-WEEKDAY(MAX($A84,Settings!$F$52)),7))/7)+1)),IF(AND(IF(Settings!$E$52="",$B84,DATE(YEAR($A84),MONTH($A84),MIN(Settings!$E$52,DAY($B84))))&gt;=MAX($A84,Settings!$F$52),IF(Settings!$E$52="",$B84,DATE(YEAR($A84),MONTH($A84),MIN(Settings!$E$52,DAY($B84))))&lt;=MIN(Settings!$B$5,IF(Settings!$G$52="",Settings!$B$5,Settings!$G$52))),1,0)))))</f>
        <v/>
      </c>
      <c r="FB84">
        <f>IF($E84&lt;&gt;"open",0,IF(AND('Month-End'!$CC$30&lt;&gt;"",NOT(_xlfn.ISFORMULA('Month-End'!$CC$30))),0,IF(OR(Settings!$C$53="",Settings!$D$53=""),0,Settings!$C$53*IF(Settings!$D$53="Weekly",IF(IFERROR(MATCH(Settings!$E$53,$EO$4:$EO$10,0),0)=0,0,IF(MIN(Settings!$B$5,IF(Settings!$G$53="",Settings!$B$5,Settings!$G$53))&lt;MAX($A84,Settings!$F$53),0,INT((MIN(Settings!$B$5,IF(Settings!$G$53="",Settings!$B$5,Settings!$G$53))-MAX($A84,Settings!$F$53)-MOD(IFERROR(MATCH(Settings!$E$53,$EO$4:$EO$10,0),0)-WEEKDAY(MAX($A84,Settings!$F$53)),7))/7)+1)),IF(AND(IF(Settings!$E$53="",$B84,DATE(YEAR($A84),MONTH($A84),MIN(Settings!$E$53,DAY($B84))))&gt;=MAX($A84,Settings!$F$53),IF(Settings!$E$53="",$B84,DATE(YEAR($A84),MONTH($A84),MIN(Settings!$E$53,DAY($B84))))&lt;=MIN(Settings!$B$5,IF(Settings!$G$53="",Settings!$B$5,Settings!$G$53))),1,0)))))</f>
        <v/>
      </c>
      <c r="FC84">
        <f>IF($E84&lt;&gt;"open",0,IF(AND('Month-End'!$CC$31&lt;&gt;"",NOT(_xlfn.ISFORMULA('Month-End'!$CC$31))),0,IF(OR(Settings!$C$54="",Settings!$D$54=""),0,Settings!$C$54*IF(Settings!$D$54="Weekly",IF(IFERROR(MATCH(Settings!$E$54,$EO$4:$EO$10,0),0)=0,0,IF(MIN(Settings!$B$5,IF(Settings!$G$54="",Settings!$B$5,Settings!$G$54))&lt;MAX($A84,Settings!$F$54),0,INT((MIN(Settings!$B$5,IF(Settings!$G$54="",Settings!$B$5,Settings!$G$54))-MAX($A84,Settings!$F$54)-MOD(IFERROR(MATCH(Settings!$E$54,$EO$4:$EO$10,0),0)-WEEKDAY(MAX($A84,Settings!$F$54)),7))/7)+1)),IF(AND(IF(Settings!$E$54="",$B84,DATE(YEAR($A84),MONTH($A84),MIN(Settings!$E$54,DAY($B84))))&gt;=MAX($A84,Settings!$F$54),IF(Settings!$E$54="",$B84,DATE(YEAR($A84),MONTH($A84),MIN(Settings!$E$54,DAY($B84))))&lt;=MIN(Settings!$B$5,IF(Settings!$G$54="",Settings!$B$5,Settings!$G$54))),1,0)))))</f>
        <v/>
      </c>
      <c r="FD84">
        <f>IF($E84&lt;&gt;"open",0,IF(AND('Month-End'!$CC$32&lt;&gt;"",NOT(_xlfn.ISFORMULA('Month-End'!$CC$32))),0,IF(OR(Settings!$C$55="",Settings!$D$55=""),0,Settings!$C$55*IF(Settings!$D$55="Weekly",IF(IFERROR(MATCH(Settings!$E$55,$EO$4:$EO$10,0),0)=0,0,IF(MIN(Settings!$B$5,IF(Settings!$G$55="",Settings!$B$5,Settings!$G$55))&lt;MAX($A84,Settings!$F$55),0,INT((MIN(Settings!$B$5,IF(Settings!$G$55="",Settings!$B$5,Settings!$G$55))-MAX($A84,Settings!$F$55)-MOD(IFERROR(MATCH(Settings!$E$55,$EO$4:$EO$10,0),0)-WEEKDAY(MAX($A84,Settings!$F$55)),7))/7)+1)),IF(AND(IF(Settings!$E$55="",$B84,DATE(YEAR($A84),MONTH($A84),MIN(Settings!$E$55,DAY($B84))))&gt;=MAX($A84,Settings!$F$55),IF(Settings!$E$55="",$B84,DATE(YEAR($A84),MONTH($A84),MIN(Settings!$E$55,DAY($B84))))&lt;=MIN(Settings!$B$5,IF(Settings!$G$55="",Settings!$B$5,Settings!$G$55))),1,0)))))</f>
        <v/>
      </c>
      <c r="FE84">
        <f>IF($E84&lt;&gt;"open",0,IF(AND('Month-End'!$CC$33&lt;&gt;"",NOT(_xlfn.ISFORMULA('Month-End'!$CC$33))),0,IF(OR(Settings!$C$56="",Settings!$D$56=""),0,Settings!$C$56*IF(Settings!$D$56="Weekly",IF(IFERROR(MATCH(Settings!$E$56,$EO$4:$EO$10,0),0)=0,0,IF(MIN(Settings!$B$5,IF(Settings!$G$56="",Settings!$B$5,Settings!$G$56))&lt;MAX($A84,Settings!$F$56),0,INT((MIN(Settings!$B$5,IF(Settings!$G$56="",Settings!$B$5,Settings!$G$56))-MAX($A84,Settings!$F$56)-MOD(IFERROR(MATCH(Settings!$E$56,$EO$4:$EO$10,0),0)-WEEKDAY(MAX($A84,Settings!$F$56)),7))/7)+1)),IF(AND(IF(Settings!$E$56="",$B84,DATE(YEAR($A84),MONTH($A84),MIN(Settings!$E$56,DAY($B84))))&gt;=MAX($A84,Settings!$F$56),IF(Settings!$E$56="",$B84,DATE(YEAR($A84),MONTH($A84),MIN(Settings!$E$56,DAY($B84))))&lt;=MIN(Settings!$B$5,IF(Settings!$G$56="",Settings!$B$5,Settings!$G$56))),1,0)))))</f>
        <v/>
      </c>
      <c r="FF84">
        <f>IF(Settings!$I$45="Yes",$G84,0)+IF(Settings!$I$46="Yes",$H84,0)+IF(Settings!$I$47="Yes",$I84,0)+IF(Settings!$I$48="Yes",$J84,0)+IF(Settings!$I$49="Yes",$K84,0)+IF(Settings!$I$50="Yes",$L84,0)+IF(Settings!$I$51="Yes",$M84,0)+IF(Settings!$I$52="Yes",$N84,0)+IF(Settings!$I$53="Yes",$O84,0)+IF(Settings!$I$54="Yes",$P84,0)+IF(Settings!$I$55="Yes",$Q84,0)+IF(Settings!$I$56="Yes",$R84,0)</f>
        <v/>
      </c>
      <c r="FG84">
        <f>IF(AND(Settings!$I$45="Yes",Settings!$J$45="No"),$G84,0)+IF(AND(Settings!$I$46="Yes",Settings!$J$46="No"),$H84,0)+IF(AND(Settings!$I$47="Yes",Settings!$J$47="No"),$I84,0)+IF(AND(Settings!$I$48="Yes",Settings!$J$48="No"),$J84,0)+IF(AND(Settings!$I$49="Yes",Settings!$J$49="No"),$K84,0)+IF(AND(Settings!$I$50="Yes",Settings!$J$50="No"),$L84,0)+IF(AND(Settings!$I$51="Yes",Settings!$J$51="No"),$M84,0)+IF(AND(Settings!$I$52="Yes",Settings!$J$52="No"),$N84,0)+IF(AND(Settings!$I$53="Yes",Settings!$J$53="No"),$O84,0)+IF(AND(Settings!$I$54="Yes",Settings!$J$54="No"),$P84,0)+IF(AND(Settings!$I$55="Yes",Settings!$J$55="No"),$Q84,0)+IF(AND(Settings!$I$56="Yes",Settings!$J$56="No"),$R84,0)</f>
        <v/>
      </c>
      <c r="FH84">
        <f>SUMIFS(Giving!$B$7:$B$2006,Giving!$A$7:$A$2006,"&gt;="&amp;$A84,Giving!$A$7:$A$2006,"&lt;="&amp;$B84,Giving!$G$7:$G$2006,"Yes")+IF(OR(OR(Settings!$B$60="",Settings!$F$60="No"),Settings!$H$60&lt;&gt;"Yes"),0,Settings!$B$60*IF(AND(IF(Settings!$C$60="",$B84,DATE(YEAR($A84),MONTH($A84),MIN(Settings!$C$60,DAY($B84))))&gt;=MAX($A84,Settings!$D$60),IF(Settings!$C$60="",$B84,DATE(YEAR($A84),MONTH($A84),MIN(Settings!$C$60,DAY($B84))))&lt;=MIN($C84,IF(Settings!$E$60="",$C84,Settings!$E$60))),1,0))+IF(OR(OR(Settings!$B$61="",Settings!$F$61="No"),Settings!$H$61&lt;&gt;"Yes"),0,Settings!$B$61*IF(AND(IF(Settings!$C$61="",$B84,DATE(YEAR($A84),MONTH($A84),MIN(Settings!$C$61,DAY($B84))))&gt;=MAX($A84,Settings!$D$61),IF(Settings!$C$61="",$B84,DATE(YEAR($A84),MONTH($A84),MIN(Settings!$C$61,DAY($B84))))&lt;=MIN($C84,IF(Settings!$E$61="",$C84,Settings!$E$61))),1,0))+IF(OR(OR(Settings!$B$62="",Settings!$F$62="No"),Settings!$H$62&lt;&gt;"Yes"),0,Settings!$B$62*IF(AND(IF(Settings!$C$62="",$B84,DATE(YEAR($A84),MONTH($A84),MIN(Settings!$C$62,DAY($B84))))&gt;=MAX($A84,Settings!$D$62),IF(Settings!$C$62="",$B84,DATE(YEAR($A84),MONTH($A84),MIN(Settings!$C$62,DAY($B84))))&lt;=MIN($C84,IF(Settings!$E$62="",$C84,Settings!$E$62))),1,0))+IF(OR(OR(Settings!$B$63="",Settings!$F$63="No"),Settings!$H$63&lt;&gt;"Yes"),0,Settings!$B$63*IF(AND(IF(Settings!$C$63="",$B84,DATE(YEAR($A84),MONTH($A84),MIN(Settings!$C$63,DAY($B84))))&gt;=MAX($A84,Settings!$D$63),IF(Settings!$C$63="",$B84,DATE(YEAR($A84),MONTH($A84),MIN(Settings!$C$63,DAY($B84))))&lt;=MIN($C84,IF(Settings!$E$63="",$C84,Settings!$E$63))),1,0))+IF(OR(OR(Settings!$B$64="",Settings!$F$64="No"),Settings!$H$64&lt;&gt;"Yes"),0,Settings!$B$64*IF(AND(IF(Settings!$C$64="",$B84,DATE(YEAR($A84),MONTH($A84),MIN(Settings!$C$64,DAY($B84))))&gt;=MAX($A84,Settings!$D$64),IF(Settings!$C$64="",$B84,DATE(YEAR($A84),MONTH($A84),MIN(Settings!$C$64,DAY($B84))))&lt;=MIN($C84,IF(Settings!$E$64="",$C84,Settings!$E$64))),1,0))+IF(OR(OR(Settings!$B$65="",Settings!$F$65="No"),Settings!$H$65&lt;&gt;"Yes"),0,Settings!$B$65*IF(AND(IF(Settings!$C$65="",$B84,DATE(YEAR($A84),MONTH($A84),MIN(Settings!$C$65,DAY($B84))))&gt;=MAX($A84,Settings!$D$65),IF(Settings!$C$65="",$B84,DATE(YEAR($A84),MONTH($A84),MIN(Settings!$C$65,DAY($B84))))&lt;=MIN($C84,IF(Settings!$E$65="",$C84,Settings!$E$65))),1,0))</f>
        <v/>
      </c>
      <c r="FI84">
        <f>IF($DT84=1,IF(OR(Settings!$B$19="Card",Settings!$B$19="Loan"),N($AE84),0)+IF(OR(Settings!$B$20="Card",Settings!$B$20="Loan"),N($AF84),0)+IF(OR(Settings!$B$21="Card",Settings!$B$21="Loan"),N($AG84),0)+IF(OR(Settings!$B$22="Card",Settings!$B$22="Loan"),N($AH84),0)+IF(OR(Settings!$B$23="Card",Settings!$B$23="Loan"),N($AI84),0)+IF(OR(Settings!$B$24="Card",Settings!$B$24="Loan"),N($AJ84),0)+IF(OR(Settings!$B$25="Card",Settings!$B$25="Loan"),N($AK84),0)+IF(OR(Settings!$B$26="Card",Settings!$B$26="Loan"),N($AL84),0)+IF(OR(Settings!$B$27="Card",Settings!$B$27="Loan"),N($AM84),0)+IF(OR(Settings!$B$28="Card",Settings!$B$28="Loan"),N($AN84),0)+IF(OR(Settings!$B$29="Card",Settings!$B$29="Loan"),N($AO84),0)+IF(OR(Settings!$B$30="Card",Settings!$B$30="Loan"),N($AP84),0)+IF(OR(Settings!$B$31="Card",Settings!$B$31="Loan"),N($AQ84),0)+IF(OR(Settings!$B$32="Card",Settings!$B$32="Loan"),N($AR84),0),"")</f>
        <v/>
      </c>
      <c r="FJ84">
        <f>IF($E84="open",$EB$65,IF($E84="post",IF($E83="pre",$EB$65,$FI83),""))</f>
        <v/>
      </c>
      <c r="FK84">
        <f>IF(AND($DT84=1,$DC84=1),IF(ROUND($FI84-$FJ84,2)&gt;0,1,0),0)</f>
        <v/>
      </c>
      <c r="FL84">
        <f>IF($FK84=1,$FL83+1,0)</f>
        <v/>
      </c>
    </row>
    <row r="85">
      <c r="A85">
        <f>'Month-End'!$CD$4</f>
        <v/>
      </c>
      <c r="B85">
        <f>EOMONTH($A85,0)</f>
        <v/>
      </c>
      <c r="C85">
        <f>MIN($B85,TODAY())</f>
        <v/>
      </c>
      <c r="D85">
        <f>IF($A85&gt;TODAY(),1,0)</f>
        <v/>
      </c>
      <c r="E85">
        <f>IF($B85&lt;=Settings!$B$5,"pre",IF($A85&lt;=Settings!$B$5,"open","post"))</f>
        <v/>
      </c>
      <c r="G85">
        <f>IF('Month-End'!$CD$22="",$BE85,N('Month-End'!$CD$22))</f>
        <v/>
      </c>
      <c r="H85">
        <f>IF('Month-End'!$CD$23="",$BF85,N('Month-End'!$CD$23))</f>
        <v/>
      </c>
      <c r="I85">
        <f>IF('Month-End'!$CD$24="",$BG85,N('Month-End'!$CD$24))</f>
        <v/>
      </c>
      <c r="J85">
        <f>IF('Month-End'!$CD$25="",$BH85,N('Month-End'!$CD$25))</f>
        <v/>
      </c>
      <c r="K85">
        <f>IF('Month-End'!$CD$26="",$BI85,N('Month-End'!$CD$26))</f>
        <v/>
      </c>
      <c r="L85">
        <f>IF('Month-End'!$CD$27="",$BJ85,N('Month-End'!$CD$27))</f>
        <v/>
      </c>
      <c r="M85">
        <f>IF('Month-End'!$CD$28="",$BK85,N('Month-End'!$CD$28))</f>
        <v/>
      </c>
      <c r="N85">
        <f>IF('Month-End'!$CD$29="",$BL85,N('Month-End'!$CD$29))</f>
        <v/>
      </c>
      <c r="O85">
        <f>IF('Month-End'!$CD$30="",$BM85,N('Month-End'!$CD$30))</f>
        <v/>
      </c>
      <c r="P85">
        <f>IF('Month-End'!$CD$31="",$BN85,N('Month-End'!$CD$31))</f>
        <v/>
      </c>
      <c r="Q85">
        <f>IF('Month-End'!$CD$32="",$BO85,N('Month-End'!$CD$32))</f>
        <v/>
      </c>
      <c r="R85">
        <f>IF('Month-End'!$CD$33="",$BP85,N('Month-End'!$CD$33))</f>
        <v/>
      </c>
      <c r="S85">
        <f>$G85+$H85+$I85+$J85+$K85+$L85+$M85+$N85+$O85+$P85+$Q85+$R85</f>
        <v/>
      </c>
      <c r="T85">
        <f>IF($B85&lt;Settings!$B$6,0,IF(Settings!$B$45="Yes",$G85,0)+IF(Settings!$B$46="Yes",$H85,0)+IF(Settings!$B$47="Yes",$I85,0)+IF(Settings!$B$48="Yes",$J85,0)+IF(Settings!$B$49="Yes",$K85,0)+IF(Settings!$B$50="Yes",$L85,0)+IF(Settings!$B$51="Yes",$M85,0)+IF(Settings!$B$52="Yes",$N85,0)+IF(Settings!$B$53="Yes",$O85,0)+IF(Settings!$B$54="Yes",$P85,0)+IF(Settings!$B$55="Yes",$Q85,0)+IF(Settings!$B$56="Yes",$R85,0))</f>
        <v/>
      </c>
      <c r="U85">
        <f>IF(Settings!$B$45="Not Sure",$G85,0)+IF(Settings!$B$46="Not Sure",$H85,0)+IF(Settings!$B$47="Not Sure",$I85,0)+IF(Settings!$B$48="Not Sure",$J85,0)+IF(Settings!$B$49="Not Sure",$K85,0)+IF(Settings!$B$50="Not Sure",$L85,0)+IF(Settings!$B$51="Not Sure",$M85,0)+IF(Settings!$B$52="Not Sure",$N85,0)+IF(Settings!$B$53="Not Sure",$O85,0)+IF(Settings!$B$54="Not Sure",$P85,0)+IF(Settings!$B$55="Not Sure",$Q85,0)+IF(Settings!$B$56="Not Sure",$R85,0)</f>
        <v/>
      </c>
      <c r="V85">
        <f>IF($E85="open",SUM($ET85:$FE85)+N(Settings!$B$13),0)</f>
        <v/>
      </c>
      <c r="W85">
        <f>IF($E85="post",$S85,IF($E85="open",$S85-$V85,0))</f>
        <v/>
      </c>
      <c r="X85">
        <f>SUMIFS(Giving!$B$7:$B$2006,Giving!$A$7:$A$2006,"&gt;="&amp;$A85,Giving!$A$7:$A$2006,"&lt;="&amp;$B85,Giving!$E$7:$E$2006,"&lt;&gt;No")</f>
        <v/>
      </c>
      <c r="Y85">
        <f>SUMIFS(Giving!$B$7:$B$2006,Giving!$A$7:$A$2006,"&gt;="&amp;$A85,Giving!$A$7:$A$2006,"&lt;="&amp;$B85,Giving!$E$7:$E$2006,"No")</f>
        <v/>
      </c>
      <c r="Z85">
        <f>IF(OR(Settings!$B$60="",Settings!$F$60="No"),0,Settings!$B$60*IF(AND(IF(Settings!$C$60="",$B85,DATE(YEAR($A85),MONTH($A85),MIN(Settings!$C$60,DAY($B85))))&gt;=MAX($A85,Settings!$D$60),IF(Settings!$C$60="",$B85,DATE(YEAR($A85),MONTH($A85),MIN(Settings!$C$60,DAY($B85))))&lt;=MIN($C85,IF(Settings!$E$60="",$C85,Settings!$E$60))),1,0))+IF(OR(Settings!$B$61="",Settings!$F$61="No"),0,Settings!$B$61*IF(AND(IF(Settings!$C$61="",$B85,DATE(YEAR($A85),MONTH($A85),MIN(Settings!$C$61,DAY($B85))))&gt;=MAX($A85,Settings!$D$61),IF(Settings!$C$61="",$B85,DATE(YEAR($A85),MONTH($A85),MIN(Settings!$C$61,DAY($B85))))&lt;=MIN($C85,IF(Settings!$E$61="",$C85,Settings!$E$61))),1,0))+IF(OR(Settings!$B$62="",Settings!$F$62="No"),0,Settings!$B$62*IF(AND(IF(Settings!$C$62="",$B85,DATE(YEAR($A85),MONTH($A85),MIN(Settings!$C$62,DAY($B85))))&gt;=MAX($A85,Settings!$D$62),IF(Settings!$C$62="",$B85,DATE(YEAR($A85),MONTH($A85),MIN(Settings!$C$62,DAY($B85))))&lt;=MIN($C85,IF(Settings!$E$62="",$C85,Settings!$E$62))),1,0))+IF(OR(Settings!$B$63="",Settings!$F$63="No"),0,Settings!$B$63*IF(AND(IF(Settings!$C$63="",$B85,DATE(YEAR($A85),MONTH($A85),MIN(Settings!$C$63,DAY($B85))))&gt;=MAX($A85,Settings!$D$63),IF(Settings!$C$63="",$B85,DATE(YEAR($A85),MONTH($A85),MIN(Settings!$C$63,DAY($B85))))&lt;=MIN($C85,IF(Settings!$E$63="",$C85,Settings!$E$63))),1,0))+IF(OR(Settings!$B$64="",Settings!$F$64="No"),0,Settings!$B$64*IF(AND(IF(Settings!$C$64="",$B85,DATE(YEAR($A85),MONTH($A85),MIN(Settings!$C$64,DAY($B85))))&gt;=MAX($A85,Settings!$D$64),IF(Settings!$C$64="",$B85,DATE(YEAR($A85),MONTH($A85),MIN(Settings!$C$64,DAY($B85))))&lt;=MIN($C85,IF(Settings!$E$64="",$C85,Settings!$E$64))),1,0))+IF(OR(Settings!$B$65="",Settings!$F$65="No"),0,Settings!$B$65*IF(AND(IF(Settings!$C$65="",$B85,DATE(YEAR($A85),MONTH($A85),MIN(Settings!$C$65,DAY($B85))))&gt;=MAX($A85,Settings!$D$65),IF(Settings!$C$65="",$B85,DATE(YEAR($A85),MONTH($A85),MIN(Settings!$C$65,DAY($B85))))&lt;=MIN($C85,IF(Settings!$E$65="",$C85,Settings!$E$65))),1,0))</f>
        <v/>
      </c>
      <c r="AA85">
        <f>$X85+$Z85</f>
        <v/>
      </c>
      <c r="AB85">
        <f>IF($E85="post",$AA85,IF($E85="open",SUMIFS(Giving!$B$7:$B$2006,Giving!$A$7:$A$2006,"&gt;"&amp;Settings!$B$5,Giving!$A$7:$A$2006,"&lt;="&amp;$B85,Giving!$E$7:$E$2006,"&lt;&gt;No")+IF(OR(Settings!$B$60="",Settings!$F$60="No"),0,Settings!$B$60*IF(AND(IF(Settings!$C$60="",$B85,DATE(YEAR($A85),MONTH($A85),MIN(Settings!$C$60,DAY($B85))))&gt;=MAX($A85,Settings!$D$60,Settings!$B$5+1),IF(Settings!$C$60="",$B85,DATE(YEAR($A85),MONTH($A85),MIN(Settings!$C$60,DAY($B85))))&lt;=MIN($C85,IF(Settings!$E$60="",$C85,Settings!$E$60))),1,0))+IF(OR(Settings!$B$61="",Settings!$F$61="No"),0,Settings!$B$61*IF(AND(IF(Settings!$C$61="",$B85,DATE(YEAR($A85),MONTH($A85),MIN(Settings!$C$61,DAY($B85))))&gt;=MAX($A85,Settings!$D$61,Settings!$B$5+1),IF(Settings!$C$61="",$B85,DATE(YEAR($A85),MONTH($A85),MIN(Settings!$C$61,DAY($B85))))&lt;=MIN($C85,IF(Settings!$E$61="",$C85,Settings!$E$61))),1,0))+IF(OR(Settings!$B$62="",Settings!$F$62="No"),0,Settings!$B$62*IF(AND(IF(Settings!$C$62="",$B85,DATE(YEAR($A85),MONTH($A85),MIN(Settings!$C$62,DAY($B85))))&gt;=MAX($A85,Settings!$D$62,Settings!$B$5+1),IF(Settings!$C$62="",$B85,DATE(YEAR($A85),MONTH($A85),MIN(Settings!$C$62,DAY($B85))))&lt;=MIN($C85,IF(Settings!$E$62="",$C85,Settings!$E$62))),1,0))+IF(OR(Settings!$B$63="",Settings!$F$63="No"),0,Settings!$B$63*IF(AND(IF(Settings!$C$63="",$B85,DATE(YEAR($A85),MONTH($A85),MIN(Settings!$C$63,DAY($B85))))&gt;=MAX($A85,Settings!$D$63,Settings!$B$5+1),IF(Settings!$C$63="",$B85,DATE(YEAR($A85),MONTH($A85),MIN(Settings!$C$63,DAY($B85))))&lt;=MIN($C85,IF(Settings!$E$63="",$C85,Settings!$E$63))),1,0))+IF(OR(Settings!$B$64="",Settings!$F$64="No"),0,Settings!$B$64*IF(AND(IF(Settings!$C$64="",$B85,DATE(YEAR($A85),MONTH($A85),MIN(Settings!$C$64,DAY($B85))))&gt;=MAX($A85,Settings!$D$64,Settings!$B$5+1),IF(Settings!$C$64="",$B85,DATE(YEAR($A85),MONTH($A85),MIN(Settings!$C$64,DAY($B85))))&lt;=MIN($C85,IF(Settings!$E$64="",$C85,Settings!$E$64))),1,0))+IF(OR(Settings!$B$65="",Settings!$F$65="No"),0,Settings!$B$65*IF(AND(IF(Settings!$C$65="",$B85,DATE(YEAR($A85),MONTH($A85),MIN(Settings!$C$65,DAY($B85))))&gt;=MAX($A85,Settings!$D$65,Settings!$B$5+1),IF(Settings!$C$65="",$B85,DATE(YEAR($A85),MONTH($A85),MIN(Settings!$C$65,DAY($B85))))&lt;=MIN($C85,IF(Settings!$E$65="",$C85,Settings!$E$65))),1,0)),0))</f>
        <v/>
      </c>
      <c r="AC85">
        <f>$AY85+$AZ85+$BA85+$BB85+$BC85+$BD85</f>
        <v/>
      </c>
      <c r="AD85">
        <f>$AC85</f>
        <v/>
      </c>
      <c r="AE85">
        <f>IF(OR(Settings!$A$19="",$E85="pre"),"",IF(AND('Month-End'!$CD$7&lt;&gt;"",NOT(_xlfn.ISFORMULA('Month-End'!$CD$7))),N('Month-End'!$CD$7),IF(OR($E85="open",$E84="pre"),N(Settings!$C$19),N($AE84))))</f>
        <v/>
      </c>
      <c r="AF85">
        <f>IF(OR(Settings!$A$20="",$E85="pre"),"",IF(AND('Month-End'!$CD$8&lt;&gt;"",NOT(_xlfn.ISFORMULA('Month-End'!$CD$8))),N('Month-End'!$CD$8),IF(OR($E85="open",$E84="pre"),N(Settings!$C$20),N($AF84))))</f>
        <v/>
      </c>
      <c r="AG85">
        <f>IF(OR(Settings!$A$21="",$E85="pre"),"",IF(AND('Month-End'!$CD$9&lt;&gt;"",NOT(_xlfn.ISFORMULA('Month-End'!$CD$9))),N('Month-End'!$CD$9),IF(OR($E85="open",$E84="pre"),N(Settings!$C$21),N($AG84))))</f>
        <v/>
      </c>
      <c r="AH85">
        <f>IF(OR(Settings!$A$22="",$E85="pre"),"",IF(AND('Month-End'!$CD$10&lt;&gt;"",NOT(_xlfn.ISFORMULA('Month-End'!$CD$10))),N('Month-End'!$CD$10),IF(OR($E85="open",$E84="pre"),N(Settings!$C$22),N($AH84))))</f>
        <v/>
      </c>
      <c r="AI85">
        <f>IF(OR(Settings!$A$23="",$E85="pre"),"",IF(AND('Month-End'!$CD$11&lt;&gt;"",NOT(_xlfn.ISFORMULA('Month-End'!$CD$11))),N('Month-End'!$CD$11),IF(OR($E85="open",$E84="pre"),N(Settings!$C$23),N($AI84))))</f>
        <v/>
      </c>
      <c r="AJ85">
        <f>IF(OR(Settings!$A$24="",$E85="pre"),"",IF(AND('Month-End'!$CD$12&lt;&gt;"",NOT(_xlfn.ISFORMULA('Month-End'!$CD$12))),N('Month-End'!$CD$12),IF(OR($E85="open",$E84="pre"),N(Settings!$C$24),N($AJ84))))</f>
        <v/>
      </c>
      <c r="AK85">
        <f>IF(OR(Settings!$A$25="",$E85="pre"),"",IF(AND('Month-End'!$CD$13&lt;&gt;"",NOT(_xlfn.ISFORMULA('Month-End'!$CD$13))),N('Month-End'!$CD$13),IF(OR($E85="open",$E84="pre"),N(Settings!$C$25),N($AK84))))</f>
        <v/>
      </c>
      <c r="AL85">
        <f>IF(OR(Settings!$A$26="",$E85="pre"),"",IF(AND('Month-End'!$CD$14&lt;&gt;"",NOT(_xlfn.ISFORMULA('Month-End'!$CD$14))),N('Month-End'!$CD$14),IF(OR($E85="open",$E84="pre"),N(Settings!$C$26),N($AL84))))</f>
        <v/>
      </c>
      <c r="AM85">
        <f>IF(OR(Settings!$A$27="",$E85="pre"),"",IF(AND('Month-End'!$CD$15&lt;&gt;"",NOT(_xlfn.ISFORMULA('Month-End'!$CD$15))),N('Month-End'!$CD$15),IF(OR($E85="open",$E84="pre"),N(Settings!$C$27),N($AM84))))</f>
        <v/>
      </c>
      <c r="AN85">
        <f>IF(OR(Settings!$A$28="",$E85="pre"),"",IF(AND('Month-End'!$CD$16&lt;&gt;"",NOT(_xlfn.ISFORMULA('Month-End'!$CD$16))),N('Month-End'!$CD$16),IF(OR($E85="open",$E84="pre"),N(Settings!$C$28),N($AN84))))</f>
        <v/>
      </c>
      <c r="AO85">
        <f>IF(OR(Settings!$A$29="",$E85="pre"),"",IF(AND('Month-End'!$CD$17&lt;&gt;"",NOT(_xlfn.ISFORMULA('Month-End'!$CD$17))),N('Month-End'!$CD$17),IF(OR($E85="open",$E84="pre"),N(Settings!$C$29),N($AO84))))</f>
        <v/>
      </c>
      <c r="AP85">
        <f>IF(OR(Settings!$A$30="",$E85="pre"),"",IF(AND('Month-End'!$CD$18&lt;&gt;"",NOT(_xlfn.ISFORMULA('Month-End'!$CD$18))),N('Month-End'!$CD$18),IF(OR($E85="open",$E84="pre"),N(Settings!$C$30),N($AP84))))</f>
        <v/>
      </c>
      <c r="AQ85">
        <f>IF(OR(Settings!$A$31="",$E85="pre"),"",IF(AND('Month-End'!$CD$19&lt;&gt;"",NOT(_xlfn.ISFORMULA('Month-End'!$CD$19))),N('Month-End'!$CD$19),IF(OR($E85="open",$E84="pre"),N(Settings!$C$31),N($AQ84))))</f>
        <v/>
      </c>
      <c r="AR85">
        <f>IF(OR(Settings!$A$32="",$E85="pre"),"",IF(AND('Month-End'!$CD$20&lt;&gt;"",NOT(_xlfn.ISFORMULA('Month-End'!$CD$20))),N('Month-End'!$CD$20),IF(OR($E85="open",$E84="pre"),N(Settings!$C$32),N($AR84))))</f>
        <v/>
      </c>
      <c r="AS85">
        <f>IF(OR(Settings!$A$36="",$E85="pre"),"",IF(AND('Month-End'!$CD$38&lt;&gt;"",NOT(_xlfn.ISFORMULA('Month-End'!$CD$38))),N('Month-End'!$CD$38),IF(OR($E85="open",$E84="pre"),N(Settings!$C$36),N($AS84))+$AY85))</f>
        <v/>
      </c>
      <c r="AT85">
        <f>IF(OR(Settings!$A$37="",$E85="pre"),"",IF(AND('Month-End'!$CD$39&lt;&gt;"",NOT(_xlfn.ISFORMULA('Month-End'!$CD$39))),N('Month-End'!$CD$39),IF(OR($E85="open",$E84="pre"),N(Settings!$C$37),N($AT84))+$AZ85))</f>
        <v/>
      </c>
      <c r="AU85">
        <f>IF(OR(Settings!$A$38="",$E85="pre"),"",IF(AND('Month-End'!$CD$40&lt;&gt;"",NOT(_xlfn.ISFORMULA('Month-End'!$CD$40))),N('Month-End'!$CD$40),IF(OR($E85="open",$E84="pre"),N(Settings!$C$38),N($AU84))+$BA85))</f>
        <v/>
      </c>
      <c r="AV85">
        <f>IF(OR(Settings!$A$39="",$E85="pre"),"",IF(AND('Month-End'!$CD$41&lt;&gt;"",NOT(_xlfn.ISFORMULA('Month-End'!$CD$41))),N('Month-End'!$CD$41),IF(OR($E85="open",$E84="pre"),N(Settings!$C$39),N($AV84))+$BB85))</f>
        <v/>
      </c>
      <c r="AW85">
        <f>IF(OR(Settings!$A$40="",$E85="pre"),"",IF(AND('Month-End'!$CD$42&lt;&gt;"",NOT(_xlfn.ISFORMULA('Month-End'!$CD$42))),N('Month-End'!$CD$42),IF(OR($E85="open",$E84="pre"),N(Settings!$C$40),N($AW84))+$BC85))</f>
        <v/>
      </c>
      <c r="AX85">
        <f>IF(OR(Settings!$A$41="",$E85="pre"),"",IF(AND('Month-End'!$CD$43&lt;&gt;"",NOT(_xlfn.ISFORMULA('Month-End'!$CD$43))),N('Month-End'!$CD$43),IF(OR($E85="open",$E84="pre"),N(Settings!$C$41),N($AX84))+$BD85))</f>
        <v/>
      </c>
      <c r="AY85">
        <f>IF($E85="pre",0,N('Month-End'!$CD$45))</f>
        <v/>
      </c>
      <c r="AZ85">
        <f>IF($E85="pre",0,N('Month-End'!$CD$46))</f>
        <v/>
      </c>
      <c r="BA85">
        <f>IF($E85="pre",0,N('Month-End'!$CD$47))</f>
        <v/>
      </c>
      <c r="BB85">
        <f>IF($E85="pre",0,N('Month-End'!$CD$48))</f>
        <v/>
      </c>
      <c r="BC85">
        <f>IF($E85="pre",0,N('Month-End'!$CD$49))</f>
        <v/>
      </c>
      <c r="BD85">
        <f>IF($E85="pre",0,N('Month-End'!$CD$50))</f>
        <v/>
      </c>
      <c r="BE85">
        <f>IF(OR(Settings!$C$45="",Settings!$D$45=""),0,Settings!$C$45*IF(Settings!$D$45="Weekly",IF(IFERROR(MATCH(Settings!$E$45,$EO$4:$EO$10,0),0)=0,0,IF(MIN($C85,IF(Settings!$G$45="",$C85,Settings!$G$45))&lt;MAX($A85,Settings!$F$45),0,INT((MIN($C85,IF(Settings!$G$45="",$C85,Settings!$G$45))-MAX($A85,Settings!$F$45)-MOD(IFERROR(MATCH(Settings!$E$45,$EO$4:$EO$10,0),0)-WEEKDAY(MAX($A85,Settings!$F$45)),7))/7)+1)),IF(AND(IF(Settings!$E$45="",$B85,DATE(YEAR($A85),MONTH($A85),MIN(Settings!$E$45,DAY($B85))))&gt;=MAX($A85,Settings!$F$45),IF(Settings!$E$45="",$B85,DATE(YEAR($A85),MONTH($A85),MIN(Settings!$E$45,DAY($B85))))&lt;=MIN($C85,IF(Settings!$G$45="",$C85,Settings!$G$45))),1,0)))</f>
        <v/>
      </c>
      <c r="BF85">
        <f>IF(OR(Settings!$C$46="",Settings!$D$46=""),0,Settings!$C$46*IF(Settings!$D$46="Weekly",IF(IFERROR(MATCH(Settings!$E$46,$EO$4:$EO$10,0),0)=0,0,IF(MIN($C85,IF(Settings!$G$46="",$C85,Settings!$G$46))&lt;MAX($A85,Settings!$F$46),0,INT((MIN($C85,IF(Settings!$G$46="",$C85,Settings!$G$46))-MAX($A85,Settings!$F$46)-MOD(IFERROR(MATCH(Settings!$E$46,$EO$4:$EO$10,0),0)-WEEKDAY(MAX($A85,Settings!$F$46)),7))/7)+1)),IF(AND(IF(Settings!$E$46="",$B85,DATE(YEAR($A85),MONTH($A85),MIN(Settings!$E$46,DAY($B85))))&gt;=MAX($A85,Settings!$F$46),IF(Settings!$E$46="",$B85,DATE(YEAR($A85),MONTH($A85),MIN(Settings!$E$46,DAY($B85))))&lt;=MIN($C85,IF(Settings!$G$46="",$C85,Settings!$G$46))),1,0)))</f>
        <v/>
      </c>
      <c r="BG85">
        <f>IF(OR(Settings!$C$47="",Settings!$D$47=""),0,Settings!$C$47*IF(Settings!$D$47="Weekly",IF(IFERROR(MATCH(Settings!$E$47,$EO$4:$EO$10,0),0)=0,0,IF(MIN($C85,IF(Settings!$G$47="",$C85,Settings!$G$47))&lt;MAX($A85,Settings!$F$47),0,INT((MIN($C85,IF(Settings!$G$47="",$C85,Settings!$G$47))-MAX($A85,Settings!$F$47)-MOD(IFERROR(MATCH(Settings!$E$47,$EO$4:$EO$10,0),0)-WEEKDAY(MAX($A85,Settings!$F$47)),7))/7)+1)),IF(AND(IF(Settings!$E$47="",$B85,DATE(YEAR($A85),MONTH($A85),MIN(Settings!$E$47,DAY($B85))))&gt;=MAX($A85,Settings!$F$47),IF(Settings!$E$47="",$B85,DATE(YEAR($A85),MONTH($A85),MIN(Settings!$E$47,DAY($B85))))&lt;=MIN($C85,IF(Settings!$G$47="",$C85,Settings!$G$47))),1,0)))</f>
        <v/>
      </c>
      <c r="BH85">
        <f>IF(OR(Settings!$C$48="",Settings!$D$48=""),0,Settings!$C$48*IF(Settings!$D$48="Weekly",IF(IFERROR(MATCH(Settings!$E$48,$EO$4:$EO$10,0),0)=0,0,IF(MIN($C85,IF(Settings!$G$48="",$C85,Settings!$G$48))&lt;MAX($A85,Settings!$F$48),0,INT((MIN($C85,IF(Settings!$G$48="",$C85,Settings!$G$48))-MAX($A85,Settings!$F$48)-MOD(IFERROR(MATCH(Settings!$E$48,$EO$4:$EO$10,0),0)-WEEKDAY(MAX($A85,Settings!$F$48)),7))/7)+1)),IF(AND(IF(Settings!$E$48="",$B85,DATE(YEAR($A85),MONTH($A85),MIN(Settings!$E$48,DAY($B85))))&gt;=MAX($A85,Settings!$F$48),IF(Settings!$E$48="",$B85,DATE(YEAR($A85),MONTH($A85),MIN(Settings!$E$48,DAY($B85))))&lt;=MIN($C85,IF(Settings!$G$48="",$C85,Settings!$G$48))),1,0)))</f>
        <v/>
      </c>
      <c r="BI85">
        <f>IF(OR(Settings!$C$49="",Settings!$D$49=""),0,Settings!$C$49*IF(Settings!$D$49="Weekly",IF(IFERROR(MATCH(Settings!$E$49,$EO$4:$EO$10,0),0)=0,0,IF(MIN($C85,IF(Settings!$G$49="",$C85,Settings!$G$49))&lt;MAX($A85,Settings!$F$49),0,INT((MIN($C85,IF(Settings!$G$49="",$C85,Settings!$G$49))-MAX($A85,Settings!$F$49)-MOD(IFERROR(MATCH(Settings!$E$49,$EO$4:$EO$10,0),0)-WEEKDAY(MAX($A85,Settings!$F$49)),7))/7)+1)),IF(AND(IF(Settings!$E$49="",$B85,DATE(YEAR($A85),MONTH($A85),MIN(Settings!$E$49,DAY($B85))))&gt;=MAX($A85,Settings!$F$49),IF(Settings!$E$49="",$B85,DATE(YEAR($A85),MONTH($A85),MIN(Settings!$E$49,DAY($B85))))&lt;=MIN($C85,IF(Settings!$G$49="",$C85,Settings!$G$49))),1,0)))</f>
        <v/>
      </c>
      <c r="BJ85">
        <f>IF(OR(Settings!$C$50="",Settings!$D$50=""),0,Settings!$C$50*IF(Settings!$D$50="Weekly",IF(IFERROR(MATCH(Settings!$E$50,$EO$4:$EO$10,0),0)=0,0,IF(MIN($C85,IF(Settings!$G$50="",$C85,Settings!$G$50))&lt;MAX($A85,Settings!$F$50),0,INT((MIN($C85,IF(Settings!$G$50="",$C85,Settings!$G$50))-MAX($A85,Settings!$F$50)-MOD(IFERROR(MATCH(Settings!$E$50,$EO$4:$EO$10,0),0)-WEEKDAY(MAX($A85,Settings!$F$50)),7))/7)+1)),IF(AND(IF(Settings!$E$50="",$B85,DATE(YEAR($A85),MONTH($A85),MIN(Settings!$E$50,DAY($B85))))&gt;=MAX($A85,Settings!$F$50),IF(Settings!$E$50="",$B85,DATE(YEAR($A85),MONTH($A85),MIN(Settings!$E$50,DAY($B85))))&lt;=MIN($C85,IF(Settings!$G$50="",$C85,Settings!$G$50))),1,0)))</f>
        <v/>
      </c>
      <c r="BK85">
        <f>IF(OR(Settings!$C$51="",Settings!$D$51=""),0,Settings!$C$51*IF(Settings!$D$51="Weekly",IF(IFERROR(MATCH(Settings!$E$51,$EO$4:$EO$10,0),0)=0,0,IF(MIN($C85,IF(Settings!$G$51="",$C85,Settings!$G$51))&lt;MAX($A85,Settings!$F$51),0,INT((MIN($C85,IF(Settings!$G$51="",$C85,Settings!$G$51))-MAX($A85,Settings!$F$51)-MOD(IFERROR(MATCH(Settings!$E$51,$EO$4:$EO$10,0),0)-WEEKDAY(MAX($A85,Settings!$F$51)),7))/7)+1)),IF(AND(IF(Settings!$E$51="",$B85,DATE(YEAR($A85),MONTH($A85),MIN(Settings!$E$51,DAY($B85))))&gt;=MAX($A85,Settings!$F$51),IF(Settings!$E$51="",$B85,DATE(YEAR($A85),MONTH($A85),MIN(Settings!$E$51,DAY($B85))))&lt;=MIN($C85,IF(Settings!$G$51="",$C85,Settings!$G$51))),1,0)))</f>
        <v/>
      </c>
      <c r="BL85">
        <f>IF(OR(Settings!$C$52="",Settings!$D$52=""),0,Settings!$C$52*IF(Settings!$D$52="Weekly",IF(IFERROR(MATCH(Settings!$E$52,$EO$4:$EO$10,0),0)=0,0,IF(MIN($C85,IF(Settings!$G$52="",$C85,Settings!$G$52))&lt;MAX($A85,Settings!$F$52),0,INT((MIN($C85,IF(Settings!$G$52="",$C85,Settings!$G$52))-MAX($A85,Settings!$F$52)-MOD(IFERROR(MATCH(Settings!$E$52,$EO$4:$EO$10,0),0)-WEEKDAY(MAX($A85,Settings!$F$52)),7))/7)+1)),IF(AND(IF(Settings!$E$52="",$B85,DATE(YEAR($A85),MONTH($A85),MIN(Settings!$E$52,DAY($B85))))&gt;=MAX($A85,Settings!$F$52),IF(Settings!$E$52="",$B85,DATE(YEAR($A85),MONTH($A85),MIN(Settings!$E$52,DAY($B85))))&lt;=MIN($C85,IF(Settings!$G$52="",$C85,Settings!$G$52))),1,0)))</f>
        <v/>
      </c>
      <c r="BM85">
        <f>IF(OR(Settings!$C$53="",Settings!$D$53=""),0,Settings!$C$53*IF(Settings!$D$53="Weekly",IF(IFERROR(MATCH(Settings!$E$53,$EO$4:$EO$10,0),0)=0,0,IF(MIN($C85,IF(Settings!$G$53="",$C85,Settings!$G$53))&lt;MAX($A85,Settings!$F$53),0,INT((MIN($C85,IF(Settings!$G$53="",$C85,Settings!$G$53))-MAX($A85,Settings!$F$53)-MOD(IFERROR(MATCH(Settings!$E$53,$EO$4:$EO$10,0),0)-WEEKDAY(MAX($A85,Settings!$F$53)),7))/7)+1)),IF(AND(IF(Settings!$E$53="",$B85,DATE(YEAR($A85),MONTH($A85),MIN(Settings!$E$53,DAY($B85))))&gt;=MAX($A85,Settings!$F$53),IF(Settings!$E$53="",$B85,DATE(YEAR($A85),MONTH($A85),MIN(Settings!$E$53,DAY($B85))))&lt;=MIN($C85,IF(Settings!$G$53="",$C85,Settings!$G$53))),1,0)))</f>
        <v/>
      </c>
      <c r="BN85">
        <f>IF(OR(Settings!$C$54="",Settings!$D$54=""),0,Settings!$C$54*IF(Settings!$D$54="Weekly",IF(IFERROR(MATCH(Settings!$E$54,$EO$4:$EO$10,0),0)=0,0,IF(MIN($C85,IF(Settings!$G$54="",$C85,Settings!$G$54))&lt;MAX($A85,Settings!$F$54),0,INT((MIN($C85,IF(Settings!$G$54="",$C85,Settings!$G$54))-MAX($A85,Settings!$F$54)-MOD(IFERROR(MATCH(Settings!$E$54,$EO$4:$EO$10,0),0)-WEEKDAY(MAX($A85,Settings!$F$54)),7))/7)+1)),IF(AND(IF(Settings!$E$54="",$B85,DATE(YEAR($A85),MONTH($A85),MIN(Settings!$E$54,DAY($B85))))&gt;=MAX($A85,Settings!$F$54),IF(Settings!$E$54="",$B85,DATE(YEAR($A85),MONTH($A85),MIN(Settings!$E$54,DAY($B85))))&lt;=MIN($C85,IF(Settings!$G$54="",$C85,Settings!$G$54))),1,0)))</f>
        <v/>
      </c>
      <c r="BO85">
        <f>IF(OR(Settings!$C$55="",Settings!$D$55=""),0,Settings!$C$55*IF(Settings!$D$55="Weekly",IF(IFERROR(MATCH(Settings!$E$55,$EO$4:$EO$10,0),0)=0,0,IF(MIN($C85,IF(Settings!$G$55="",$C85,Settings!$G$55))&lt;MAX($A85,Settings!$F$55),0,INT((MIN($C85,IF(Settings!$G$55="",$C85,Settings!$G$55))-MAX($A85,Settings!$F$55)-MOD(IFERROR(MATCH(Settings!$E$55,$EO$4:$EO$10,0),0)-WEEKDAY(MAX($A85,Settings!$F$55)),7))/7)+1)),IF(AND(IF(Settings!$E$55="",$B85,DATE(YEAR($A85),MONTH($A85),MIN(Settings!$E$55,DAY($B85))))&gt;=MAX($A85,Settings!$F$55),IF(Settings!$E$55="",$B85,DATE(YEAR($A85),MONTH($A85),MIN(Settings!$E$55,DAY($B85))))&lt;=MIN($C85,IF(Settings!$G$55="",$C85,Settings!$G$55))),1,0)))</f>
        <v/>
      </c>
      <c r="BP85">
        <f>IF(OR(Settings!$C$56="",Settings!$D$56=""),0,Settings!$C$56*IF(Settings!$D$56="Weekly",IF(IFERROR(MATCH(Settings!$E$56,$EO$4:$EO$10,0),0)=0,0,IF(MIN($C85,IF(Settings!$G$56="",$C85,Settings!$G$56))&lt;MAX($A85,Settings!$F$56),0,INT((MIN($C85,IF(Settings!$G$56="",$C85,Settings!$G$56))-MAX($A85,Settings!$F$56)-MOD(IFERROR(MATCH(Settings!$E$56,$EO$4:$EO$10,0),0)-WEEKDAY(MAX($A85,Settings!$F$56)),7))/7)+1)),IF(AND(IF(Settings!$E$56="",$B85,DATE(YEAR($A85),MONTH($A85),MIN(Settings!$E$56,DAY($B85))))&gt;=MAX($A85,Settings!$F$56),IF(Settings!$E$56="",$B85,DATE(YEAR($A85),MONTH($A85),MIN(Settings!$E$56,DAY($B85))))&lt;=MIN($C85,IF(Settings!$G$56="",$C85,Settings!$G$56))),1,0)))</f>
        <v/>
      </c>
      <c r="BQ85">
        <f>IF(OR(Settings!$B$14="",$D85=1,$E85="pre",$A85&lt;IF(Settings!$B$15="",0,Settings!$B$15)),0,Settings!$B$14)</f>
        <v/>
      </c>
      <c r="BR85">
        <f>IF(AND('Month-End'!$CD$7&lt;&gt;"",NOT(_xlfn.ISFORMULA('Month-End'!$CD$7))),1,0)</f>
        <v/>
      </c>
      <c r="BS85">
        <f>IF(AND('Month-End'!$CD$8&lt;&gt;"",NOT(_xlfn.ISFORMULA('Month-End'!$CD$8))),1,0)</f>
        <v/>
      </c>
      <c r="BT85">
        <f>IF(AND('Month-End'!$CD$9&lt;&gt;"",NOT(_xlfn.ISFORMULA('Month-End'!$CD$9))),1,0)</f>
        <v/>
      </c>
      <c r="BU85">
        <f>IF(AND('Month-End'!$CD$10&lt;&gt;"",NOT(_xlfn.ISFORMULA('Month-End'!$CD$10))),1,0)</f>
        <v/>
      </c>
      <c r="BV85">
        <f>IF(AND('Month-End'!$CD$11&lt;&gt;"",NOT(_xlfn.ISFORMULA('Month-End'!$CD$11))),1,0)</f>
        <v/>
      </c>
      <c r="BW85">
        <f>IF(AND('Month-End'!$CD$12&lt;&gt;"",NOT(_xlfn.ISFORMULA('Month-End'!$CD$12))),1,0)</f>
        <v/>
      </c>
      <c r="BX85">
        <f>IF(AND('Month-End'!$CD$13&lt;&gt;"",NOT(_xlfn.ISFORMULA('Month-End'!$CD$13))),1,0)</f>
        <v/>
      </c>
      <c r="BY85">
        <f>IF(AND('Month-End'!$CD$14&lt;&gt;"",NOT(_xlfn.ISFORMULA('Month-End'!$CD$14))),1,0)</f>
        <v/>
      </c>
      <c r="BZ85">
        <f>IF(AND('Month-End'!$CD$15&lt;&gt;"",NOT(_xlfn.ISFORMULA('Month-End'!$CD$15))),1,0)</f>
        <v/>
      </c>
      <c r="CA85">
        <f>IF(AND('Month-End'!$CD$16&lt;&gt;"",NOT(_xlfn.ISFORMULA('Month-End'!$CD$16))),1,0)</f>
        <v/>
      </c>
      <c r="CB85">
        <f>IF(AND('Month-End'!$CD$17&lt;&gt;"",NOT(_xlfn.ISFORMULA('Month-End'!$CD$17))),1,0)</f>
        <v/>
      </c>
      <c r="CC85">
        <f>IF(AND('Month-End'!$CD$18&lt;&gt;"",NOT(_xlfn.ISFORMULA('Month-End'!$CD$18))),1,0)</f>
        <v/>
      </c>
      <c r="CD85">
        <f>IF(AND('Month-End'!$CD$19&lt;&gt;"",NOT(_xlfn.ISFORMULA('Month-End'!$CD$19))),1,0)</f>
        <v/>
      </c>
      <c r="CE85">
        <f>IF(AND('Month-End'!$CD$20&lt;&gt;"",NOT(_xlfn.ISFORMULA('Month-End'!$CD$20))),1,0)</f>
        <v/>
      </c>
      <c r="CF85">
        <f>IF(AND('Month-End'!$CD$38&lt;&gt;"",NOT(_xlfn.ISFORMULA('Month-End'!$CD$38))),1,0)</f>
        <v/>
      </c>
      <c r="CG85">
        <f>IF(AND('Month-End'!$CD$39&lt;&gt;"",NOT(_xlfn.ISFORMULA('Month-End'!$CD$39))),1,0)</f>
        <v/>
      </c>
      <c r="CH85">
        <f>IF(AND('Month-End'!$CD$40&lt;&gt;"",NOT(_xlfn.ISFORMULA('Month-End'!$CD$40))),1,0)</f>
        <v/>
      </c>
      <c r="CI85">
        <f>IF(AND('Month-End'!$CD$41&lt;&gt;"",NOT(_xlfn.ISFORMULA('Month-End'!$CD$41))),1,0)</f>
        <v/>
      </c>
      <c r="CJ85">
        <f>IF(AND('Month-End'!$CD$42&lt;&gt;"",NOT(_xlfn.ISFORMULA('Month-End'!$CD$42))),1,0)</f>
        <v/>
      </c>
      <c r="CK85">
        <f>IF(AND('Month-End'!$CD$43&lt;&gt;"",NOT(_xlfn.ISFORMULA('Month-End'!$CD$43))),1,0)</f>
        <v/>
      </c>
      <c r="CL85">
        <f>SUM($CM85:$CZ85)</f>
        <v/>
      </c>
      <c r="CM85">
        <f>IF(AND($E85&lt;&gt;"pre",AND(Settings!$A$19&lt;&gt;"",Settings!$E$19&lt;&gt;"No"),Settings!$F$19="Yes",NOT(AND('Month-End'!$CD$7&lt;&gt;"",NOT(_xlfn.ISFORMULA('Month-End'!$CD$7))))),1,0)</f>
        <v/>
      </c>
      <c r="CN85">
        <f>IF(AND($E85&lt;&gt;"pre",AND(Settings!$A$20&lt;&gt;"",Settings!$E$20&lt;&gt;"No"),Settings!$F$20="Yes",NOT(AND('Month-End'!$CD$8&lt;&gt;"",NOT(_xlfn.ISFORMULA('Month-End'!$CD$8))))),1,0)</f>
        <v/>
      </c>
      <c r="CO85">
        <f>IF(AND($E85&lt;&gt;"pre",AND(Settings!$A$21&lt;&gt;"",Settings!$E$21&lt;&gt;"No"),Settings!$F$21="Yes",NOT(AND('Month-End'!$CD$9&lt;&gt;"",NOT(_xlfn.ISFORMULA('Month-End'!$CD$9))))),1,0)</f>
        <v/>
      </c>
      <c r="CP85">
        <f>IF(AND($E85&lt;&gt;"pre",AND(Settings!$A$22&lt;&gt;"",Settings!$E$22&lt;&gt;"No"),Settings!$F$22="Yes",NOT(AND('Month-End'!$CD$10&lt;&gt;"",NOT(_xlfn.ISFORMULA('Month-End'!$CD$10))))),1,0)</f>
        <v/>
      </c>
      <c r="CQ85">
        <f>IF(AND($E85&lt;&gt;"pre",AND(Settings!$A$23&lt;&gt;"",Settings!$E$23&lt;&gt;"No"),Settings!$F$23="Yes",NOT(AND('Month-End'!$CD$11&lt;&gt;"",NOT(_xlfn.ISFORMULA('Month-End'!$CD$11))))),1,0)</f>
        <v/>
      </c>
      <c r="CR85">
        <f>IF(AND($E85&lt;&gt;"pre",AND(Settings!$A$24&lt;&gt;"",Settings!$E$24&lt;&gt;"No"),Settings!$F$24="Yes",NOT(AND('Month-End'!$CD$12&lt;&gt;"",NOT(_xlfn.ISFORMULA('Month-End'!$CD$12))))),1,0)</f>
        <v/>
      </c>
      <c r="CS85">
        <f>IF(AND($E85&lt;&gt;"pre",AND(Settings!$A$25&lt;&gt;"",Settings!$E$25&lt;&gt;"No"),Settings!$F$25="Yes",NOT(AND('Month-End'!$CD$13&lt;&gt;"",NOT(_xlfn.ISFORMULA('Month-End'!$CD$13))))),1,0)</f>
        <v/>
      </c>
      <c r="CT85">
        <f>IF(AND($E85&lt;&gt;"pre",AND(Settings!$A$26&lt;&gt;"",Settings!$E$26&lt;&gt;"No"),Settings!$F$26="Yes",NOT(AND('Month-End'!$CD$14&lt;&gt;"",NOT(_xlfn.ISFORMULA('Month-End'!$CD$14))))),1,0)</f>
        <v/>
      </c>
      <c r="CU85">
        <f>IF(AND($E85&lt;&gt;"pre",AND(Settings!$A$27&lt;&gt;"",Settings!$E$27&lt;&gt;"No"),Settings!$F$27="Yes",NOT(AND('Month-End'!$CD$15&lt;&gt;"",NOT(_xlfn.ISFORMULA('Month-End'!$CD$15))))),1,0)</f>
        <v/>
      </c>
      <c r="CV85">
        <f>IF(AND($E85&lt;&gt;"pre",AND(Settings!$A$28&lt;&gt;"",Settings!$E$28&lt;&gt;"No"),Settings!$F$28="Yes",NOT(AND('Month-End'!$CD$16&lt;&gt;"",NOT(_xlfn.ISFORMULA('Month-End'!$CD$16))))),1,0)</f>
        <v/>
      </c>
      <c r="CW85">
        <f>IF(AND($E85&lt;&gt;"pre",AND(Settings!$A$29&lt;&gt;"",Settings!$E$29&lt;&gt;"No"),Settings!$F$29="Yes",NOT(AND('Month-End'!$CD$17&lt;&gt;"",NOT(_xlfn.ISFORMULA('Month-End'!$CD$17))))),1,0)</f>
        <v/>
      </c>
      <c r="CX85">
        <f>IF(AND($E85&lt;&gt;"pre",AND(Settings!$A$30&lt;&gt;"",Settings!$E$30&lt;&gt;"No"),Settings!$F$30="Yes",NOT(AND('Month-End'!$CD$18&lt;&gt;"",NOT(_xlfn.ISFORMULA('Month-End'!$CD$18))))),1,0)</f>
        <v/>
      </c>
      <c r="CY85">
        <f>IF(AND($E85&lt;&gt;"pre",AND(Settings!$A$31&lt;&gt;"",Settings!$E$31&lt;&gt;"No"),Settings!$F$31="Yes",NOT(AND('Month-End'!$CD$19&lt;&gt;"",NOT(_xlfn.ISFORMULA('Month-End'!$CD$19))))),1,0)</f>
        <v/>
      </c>
      <c r="CZ85">
        <f>IF(AND($E85&lt;&gt;"pre",AND(Settings!$A$32&lt;&gt;"",Settings!$E$32&lt;&gt;"No"),Settings!$F$32="Yes",NOT(AND('Month-End'!$CD$20&lt;&gt;"",NOT(_xlfn.ISFORMULA('Month-End'!$CD$20))))),1,0)</f>
        <v/>
      </c>
      <c r="DA85">
        <f>IF($DT85=1,IF(OR(Settings!$B$19="Checking",Settings!$B$19="Savings",Settings!$B$19="Cash"),N($AE85),IF(OR(Settings!$B$19="Card",Settings!$B$19="Loan"),-N($AE85),0))+IF(OR(Settings!$B$20="Checking",Settings!$B$20="Savings",Settings!$B$20="Cash"),N($AF85),IF(OR(Settings!$B$20="Card",Settings!$B$20="Loan"),-N($AF85),0))+IF(OR(Settings!$B$21="Checking",Settings!$B$21="Savings",Settings!$B$21="Cash"),N($AG85),IF(OR(Settings!$B$21="Card",Settings!$B$21="Loan"),-N($AG85),0))+IF(OR(Settings!$B$22="Checking",Settings!$B$22="Savings",Settings!$B$22="Cash"),N($AH85),IF(OR(Settings!$B$22="Card",Settings!$B$22="Loan"),-N($AH85),0))+IF(OR(Settings!$B$23="Checking",Settings!$B$23="Savings",Settings!$B$23="Cash"),N($AI85),IF(OR(Settings!$B$23="Card",Settings!$B$23="Loan"),-N($AI85),0))+IF(OR(Settings!$B$24="Checking",Settings!$B$24="Savings",Settings!$B$24="Cash"),N($AJ85),IF(OR(Settings!$B$24="Card",Settings!$B$24="Loan"),-N($AJ85),0))+IF(OR(Settings!$B$25="Checking",Settings!$B$25="Savings",Settings!$B$25="Cash"),N($AK85),IF(OR(Settings!$B$25="Card",Settings!$B$25="Loan"),-N($AK85),0))+IF(OR(Settings!$B$26="Checking",Settings!$B$26="Savings",Settings!$B$26="Cash"),N($AL85),IF(OR(Settings!$B$26="Card",Settings!$B$26="Loan"),-N($AL85),0))+IF(OR(Settings!$B$27="Checking",Settings!$B$27="Savings",Settings!$B$27="Cash"),N($AM85),IF(OR(Settings!$B$27="Card",Settings!$B$27="Loan"),-N($AM85),0))+IF(OR(Settings!$B$28="Checking",Settings!$B$28="Savings",Settings!$B$28="Cash"),N($AN85),IF(OR(Settings!$B$28="Card",Settings!$B$28="Loan"),-N($AN85),0))+IF(OR(Settings!$B$29="Checking",Settings!$B$29="Savings",Settings!$B$29="Cash"),N($AO85),IF(OR(Settings!$B$29="Card",Settings!$B$29="Loan"),-N($AO85),0))+IF(OR(Settings!$B$30="Checking",Settings!$B$30="Savings",Settings!$B$30="Cash"),N($AP85),IF(OR(Settings!$B$30="Card",Settings!$B$30="Loan"),-N($AP85),0))+IF(OR(Settings!$B$31="Checking",Settings!$B$31="Savings",Settings!$B$31="Cash"),N($AQ85),IF(OR(Settings!$B$31="Card",Settings!$B$31="Loan"),-N($AQ85),0))+IF(OR(Settings!$B$32="Checking",Settings!$B$32="Savings",Settings!$B$32="Cash"),N($AR85),IF(OR(Settings!$B$32="Card",Settings!$B$32="Loan"),-N($AR85),0)),"")</f>
        <v/>
      </c>
      <c r="DB85">
        <f>IF($E85="open",$EB$27,IF($E85="post",IF($E84="pre",$EB$27,$DA84),""))</f>
        <v/>
      </c>
      <c r="DC85">
        <f>IF($E85="open",1,IF($E85="post",IF($E84="pre",1,$DT84),0))</f>
        <v/>
      </c>
      <c r="DD85">
        <f>IF(AND($DT85=1,$DC85=1),ROUND($W85-($DA85-$DB85)-$AD85-$AB85,2),"")</f>
        <v/>
      </c>
      <c r="DE85">
        <f>IF('Month-End'!$CD$35="",$BQ85,N('Month-End'!$CD$35))</f>
        <v/>
      </c>
      <c r="DF85">
        <f>N('Month-End'!$CD$36)</f>
        <v/>
      </c>
      <c r="DG85">
        <f>IF($DD85="","",$DD85+$DE85)</f>
        <v/>
      </c>
      <c r="DH85">
        <f>IF($DG85="","",$DG85-$DF85)</f>
        <v/>
      </c>
      <c r="DI85">
        <f>IF(OR($E85="pre",$D85=1),"",N($AS85)+N($AT85)+N($AU85)+N($AV85)+N($AW85)+N($AX85))</f>
        <v/>
      </c>
      <c r="DJ85">
        <f>IF($DT85=1,$DA85+N($DI85),"")</f>
        <v/>
      </c>
      <c r="DK85">
        <f>IF($DD85="","",$W85-$DD85-$AB85)</f>
        <v/>
      </c>
      <c r="DL85">
        <f>IF(AND($E85="post",$DD85&lt;&gt;"",$B85&lt;TODAY()),1,0)</f>
        <v/>
      </c>
      <c r="DM85">
        <f>IF($DL85=1,COUNTIF($DL85:$DL$183,1),0)</f>
        <v/>
      </c>
      <c r="DN85">
        <f>IF($D85=1,"",IF($E85="pre","History only",IF($DT85=1,IF($DD85="","⚠ Previous month missing",IF($DD85&lt;0,"⚠ Check: spending &lt; 0",IF($E85="open","✓ Done (partial)","✓ Done"))),IF($B85&gt;=TODAY(),"In progress","⚠ Needs balances"))))</f>
        <v/>
      </c>
      <c r="DO85">
        <f>YEAR($A85)</f>
        <v/>
      </c>
      <c r="DP85">
        <f>DATE(YEAR($A85),INT((MONTH($A85)-1)/3)*3+1,1)</f>
        <v/>
      </c>
      <c r="DQ85">
        <f>IF(AND($DT85=1,$DD85&lt;&gt;"",$D85=0),ROW(),0)</f>
        <v/>
      </c>
      <c r="DR85">
        <f>IF(AND($E85&lt;&gt;"pre",$B85&lt;TODAY(),$DT85=0),1,0)</f>
        <v/>
      </c>
      <c r="DS85">
        <f>IF($DJ85="",NA(),$DJ85)</f>
        <v/>
      </c>
      <c r="DT85">
        <f>IF(AND($E85&lt;&gt;"pre",$CL85=0,COUNTIFS(Settings!$F$19:$F$32,"Yes",Settings!$A$19:$A$32,"&lt;&gt;",Settings!$E$19:$E$32,"&lt;&gt;No")&gt;0),1,0)</f>
        <v/>
      </c>
      <c r="DU85">
        <f>IF(AND($B85&lt;TODAY(),$S85&gt;0),1,0)</f>
        <v/>
      </c>
      <c r="DV85">
        <f>IF($DU85=1,COUNTIF($DU85:$DU$183,1),0)</f>
        <v/>
      </c>
      <c r="DW85">
        <f>IF(AND(OR(Settings!$B$19="Card",Settings!$B$19="Loan"),AND('Month-End'!$CD$7&lt;&gt;"",NOT(_xlfn.ISFORMULA('Month-End'!$CD$7)))),IF(N('Month-End'!$CD$7)&lt;0,1,0),0)+IF(AND(OR(Settings!$B$20="Card",Settings!$B$20="Loan"),AND('Month-End'!$CD$8&lt;&gt;"",NOT(_xlfn.ISFORMULA('Month-End'!$CD$8)))),IF(N('Month-End'!$CD$8)&lt;0,1,0),0)+IF(AND(OR(Settings!$B$21="Card",Settings!$B$21="Loan"),AND('Month-End'!$CD$9&lt;&gt;"",NOT(_xlfn.ISFORMULA('Month-End'!$CD$9)))),IF(N('Month-End'!$CD$9)&lt;0,1,0),0)+IF(AND(OR(Settings!$B$22="Card",Settings!$B$22="Loan"),AND('Month-End'!$CD$10&lt;&gt;"",NOT(_xlfn.ISFORMULA('Month-End'!$CD$10)))),IF(N('Month-End'!$CD$10)&lt;0,1,0),0)+IF(AND(OR(Settings!$B$23="Card",Settings!$B$23="Loan"),AND('Month-End'!$CD$11&lt;&gt;"",NOT(_xlfn.ISFORMULA('Month-End'!$CD$11)))),IF(N('Month-End'!$CD$11)&lt;0,1,0),0)+IF(AND(OR(Settings!$B$24="Card",Settings!$B$24="Loan"),AND('Month-End'!$CD$12&lt;&gt;"",NOT(_xlfn.ISFORMULA('Month-End'!$CD$12)))),IF(N('Month-End'!$CD$12)&lt;0,1,0),0)+IF(AND(OR(Settings!$B$25="Card",Settings!$B$25="Loan"),AND('Month-End'!$CD$13&lt;&gt;"",NOT(_xlfn.ISFORMULA('Month-End'!$CD$13)))),IF(N('Month-End'!$CD$13)&lt;0,1,0),0)+IF(AND(OR(Settings!$B$26="Card",Settings!$B$26="Loan"),AND('Month-End'!$CD$14&lt;&gt;"",NOT(_xlfn.ISFORMULA('Month-End'!$CD$14)))),IF(N('Month-End'!$CD$14)&lt;0,1,0),0)+IF(AND(OR(Settings!$B$27="Card",Settings!$B$27="Loan"),AND('Month-End'!$CD$15&lt;&gt;"",NOT(_xlfn.ISFORMULA('Month-End'!$CD$15)))),IF(N('Month-End'!$CD$15)&lt;0,1,0),0)+IF(AND(OR(Settings!$B$28="Card",Settings!$B$28="Loan"),AND('Month-End'!$CD$16&lt;&gt;"",NOT(_xlfn.ISFORMULA('Month-End'!$CD$16)))),IF(N('Month-End'!$CD$16)&lt;0,1,0),0)+IF(AND(OR(Settings!$B$29="Card",Settings!$B$29="Loan"),AND('Month-End'!$CD$17&lt;&gt;"",NOT(_xlfn.ISFORMULA('Month-End'!$CD$17)))),IF(N('Month-End'!$CD$17)&lt;0,1,0),0)+IF(AND(OR(Settings!$B$30="Card",Settings!$B$30="Loan"),AND('Month-End'!$CD$18&lt;&gt;"",NOT(_xlfn.ISFORMULA('Month-End'!$CD$18)))),IF(N('Month-End'!$CD$18)&lt;0,1,0),0)+IF(AND(OR(Settings!$B$31="Card",Settings!$B$31="Loan"),AND('Month-End'!$CD$19&lt;&gt;"",NOT(_xlfn.ISFORMULA('Month-End'!$CD$19)))),IF(N('Month-End'!$CD$19)&lt;0,1,0),0)+IF(AND(OR(Settings!$B$32="Card",Settings!$B$32="Loan"),AND('Month-End'!$CD$20&lt;&gt;"",NOT(_xlfn.ISFORMULA('Month-End'!$CD$20)))),IF(N('Month-End'!$CD$20)&lt;0,1,0),0)</f>
        <v/>
      </c>
      <c r="DX85">
        <f>IF(Settings!$B$36="Retirement",$AY85,0)+IF(Settings!$B$37="Retirement",$AZ85,0)+IF(Settings!$B$38="Retirement",$BA85,0)+IF(Settings!$B$39="Retirement",$BB85,0)+IF(Settings!$B$40="Retirement",$BC85,0)+IF(Settings!$B$41="Retirement",$BD85,0)</f>
        <v/>
      </c>
      <c r="EA85">
        <f>IF(Settings!$A$84="","",Settings!$A$84)</f>
        <v/>
      </c>
      <c r="EB85">
        <f>IF(Settings!$D$84="",0,IF(Settings!$D$84="Specific Account",IFERROR(INDEX($EB$40:$EB$59,MATCH(Settings!$F$84,$EA$40:$EA$59,0)),0),IFERROR(INDEX($EB$6:$EB$26,MATCH(Settings!$D$84,$EA$6:$EA$26,0)),0)))</f>
        <v/>
      </c>
      <c r="EC85">
        <f>IF(Settings!$A$84="","",IF(Settings!$B$84="Tithe Balance",$EB$23,IF(Settings!$E$84="Specific Account",IFERROR(INDEX($EB$40:$EB$59,MATCH(Settings!$F$84,$EA$40:$EA$59,0)),0),IFERROR(INDEX($EB$6:$EB$26,MATCH(Settings!$E$84,$EA$6:$EA$26,0)),0))))</f>
        <v/>
      </c>
      <c r="ED85">
        <f>IF(Settings!$A$84="","",IF(Settings!$B$84="Percentage",EB85*N(Settings!$C$84)/100,IF(Settings!$B$84="Multiple",EB85*N(Settings!$C$84),IF(Settings!$B$84="Tithe Balance",$EB$22,N(Settings!$C$84)))))</f>
        <v/>
      </c>
      <c r="EE85">
        <f>IF(Settings!$A$84="","",IF(Settings!$B$84="Pay Down To",MAX(0,EC85-ED85),MAX(0,ED85-EC85)))</f>
        <v/>
      </c>
      <c r="EF85">
        <f>IF(Settings!$A$84="","",IF(Settings!$B$84="Pay Down To",IF(EC85&lt;=ED85,"Met","Above target"),IF(EC85&gt;=ED85-0.005,"Met","Remaining")))</f>
        <v/>
      </c>
      <c r="EG85">
        <f>IF(Settings!$A$84="","",IF(Settings!$B$84="Pay Down To",IF(EC85&lt;=0,1,MIN(1,ED85/EC85)),IF(ED85&lt;=0,1,EC85/ED85)))</f>
        <v/>
      </c>
      <c r="EH85">
        <f>IF(OR(Settings!$A$84="",EE85&lt;=0),"",IF(Settings!$B$84="Save By Date",IF(Settings!$G$84="","Set a target date","Need "&amp;TEXT(EE85/MAX(1,(YEAR(Settings!$G$84)-YEAR(TODAY()))*12+MONTH(Settings!$G$84)-MONTH(TODAY())+1),"$#,##0")&amp;"/mo to "&amp;TEXT(Settings!$G$84,"mmm yyyy")),IF(Settings!$B$84="Annual Contribution","Need "&amp;TEXT(EE85/MAX(1,12-MONTH(TODAY())+1),"$#,##0")&amp;"/mo rest of year",IF(Settings!$B$84="Tithe Balance","This quarter",""))))</f>
        <v/>
      </c>
      <c r="ET85">
        <f>IF($E85&lt;&gt;"open",0,IF(AND('Month-End'!$CD$22&lt;&gt;"",NOT(_xlfn.ISFORMULA('Month-End'!$CD$22))),0,IF(OR(Settings!$C$45="",Settings!$D$45=""),0,Settings!$C$45*IF(Settings!$D$45="Weekly",IF(IFERROR(MATCH(Settings!$E$45,$EO$4:$EO$10,0),0)=0,0,IF(MIN(Settings!$B$5,IF(Settings!$G$45="",Settings!$B$5,Settings!$G$45))&lt;MAX($A85,Settings!$F$45),0,INT((MIN(Settings!$B$5,IF(Settings!$G$45="",Settings!$B$5,Settings!$G$45))-MAX($A85,Settings!$F$45)-MOD(IFERROR(MATCH(Settings!$E$45,$EO$4:$EO$10,0),0)-WEEKDAY(MAX($A85,Settings!$F$45)),7))/7)+1)),IF(AND(IF(Settings!$E$45="",$B85,DATE(YEAR($A85),MONTH($A85),MIN(Settings!$E$45,DAY($B85))))&gt;=MAX($A85,Settings!$F$45),IF(Settings!$E$45="",$B85,DATE(YEAR($A85),MONTH($A85),MIN(Settings!$E$45,DAY($B85))))&lt;=MIN(Settings!$B$5,IF(Settings!$G$45="",Settings!$B$5,Settings!$G$45))),1,0)))))</f>
        <v/>
      </c>
      <c r="EU85">
        <f>IF($E85&lt;&gt;"open",0,IF(AND('Month-End'!$CD$23&lt;&gt;"",NOT(_xlfn.ISFORMULA('Month-End'!$CD$23))),0,IF(OR(Settings!$C$46="",Settings!$D$46=""),0,Settings!$C$46*IF(Settings!$D$46="Weekly",IF(IFERROR(MATCH(Settings!$E$46,$EO$4:$EO$10,0),0)=0,0,IF(MIN(Settings!$B$5,IF(Settings!$G$46="",Settings!$B$5,Settings!$G$46))&lt;MAX($A85,Settings!$F$46),0,INT((MIN(Settings!$B$5,IF(Settings!$G$46="",Settings!$B$5,Settings!$G$46))-MAX($A85,Settings!$F$46)-MOD(IFERROR(MATCH(Settings!$E$46,$EO$4:$EO$10,0),0)-WEEKDAY(MAX($A85,Settings!$F$46)),7))/7)+1)),IF(AND(IF(Settings!$E$46="",$B85,DATE(YEAR($A85),MONTH($A85),MIN(Settings!$E$46,DAY($B85))))&gt;=MAX($A85,Settings!$F$46),IF(Settings!$E$46="",$B85,DATE(YEAR($A85),MONTH($A85),MIN(Settings!$E$46,DAY($B85))))&lt;=MIN(Settings!$B$5,IF(Settings!$G$46="",Settings!$B$5,Settings!$G$46))),1,0)))))</f>
        <v/>
      </c>
      <c r="EV85">
        <f>IF($E85&lt;&gt;"open",0,IF(AND('Month-End'!$CD$24&lt;&gt;"",NOT(_xlfn.ISFORMULA('Month-End'!$CD$24))),0,IF(OR(Settings!$C$47="",Settings!$D$47=""),0,Settings!$C$47*IF(Settings!$D$47="Weekly",IF(IFERROR(MATCH(Settings!$E$47,$EO$4:$EO$10,0),0)=0,0,IF(MIN(Settings!$B$5,IF(Settings!$G$47="",Settings!$B$5,Settings!$G$47))&lt;MAX($A85,Settings!$F$47),0,INT((MIN(Settings!$B$5,IF(Settings!$G$47="",Settings!$B$5,Settings!$G$47))-MAX($A85,Settings!$F$47)-MOD(IFERROR(MATCH(Settings!$E$47,$EO$4:$EO$10,0),0)-WEEKDAY(MAX($A85,Settings!$F$47)),7))/7)+1)),IF(AND(IF(Settings!$E$47="",$B85,DATE(YEAR($A85),MONTH($A85),MIN(Settings!$E$47,DAY($B85))))&gt;=MAX($A85,Settings!$F$47),IF(Settings!$E$47="",$B85,DATE(YEAR($A85),MONTH($A85),MIN(Settings!$E$47,DAY($B85))))&lt;=MIN(Settings!$B$5,IF(Settings!$G$47="",Settings!$B$5,Settings!$G$47))),1,0)))))</f>
        <v/>
      </c>
      <c r="EW85">
        <f>IF($E85&lt;&gt;"open",0,IF(AND('Month-End'!$CD$25&lt;&gt;"",NOT(_xlfn.ISFORMULA('Month-End'!$CD$25))),0,IF(OR(Settings!$C$48="",Settings!$D$48=""),0,Settings!$C$48*IF(Settings!$D$48="Weekly",IF(IFERROR(MATCH(Settings!$E$48,$EO$4:$EO$10,0),0)=0,0,IF(MIN(Settings!$B$5,IF(Settings!$G$48="",Settings!$B$5,Settings!$G$48))&lt;MAX($A85,Settings!$F$48),0,INT((MIN(Settings!$B$5,IF(Settings!$G$48="",Settings!$B$5,Settings!$G$48))-MAX($A85,Settings!$F$48)-MOD(IFERROR(MATCH(Settings!$E$48,$EO$4:$EO$10,0),0)-WEEKDAY(MAX($A85,Settings!$F$48)),7))/7)+1)),IF(AND(IF(Settings!$E$48="",$B85,DATE(YEAR($A85),MONTH($A85),MIN(Settings!$E$48,DAY($B85))))&gt;=MAX($A85,Settings!$F$48),IF(Settings!$E$48="",$B85,DATE(YEAR($A85),MONTH($A85),MIN(Settings!$E$48,DAY($B85))))&lt;=MIN(Settings!$B$5,IF(Settings!$G$48="",Settings!$B$5,Settings!$G$48))),1,0)))))</f>
        <v/>
      </c>
      <c r="EX85">
        <f>IF($E85&lt;&gt;"open",0,IF(AND('Month-End'!$CD$26&lt;&gt;"",NOT(_xlfn.ISFORMULA('Month-End'!$CD$26))),0,IF(OR(Settings!$C$49="",Settings!$D$49=""),0,Settings!$C$49*IF(Settings!$D$49="Weekly",IF(IFERROR(MATCH(Settings!$E$49,$EO$4:$EO$10,0),0)=0,0,IF(MIN(Settings!$B$5,IF(Settings!$G$49="",Settings!$B$5,Settings!$G$49))&lt;MAX($A85,Settings!$F$49),0,INT((MIN(Settings!$B$5,IF(Settings!$G$49="",Settings!$B$5,Settings!$G$49))-MAX($A85,Settings!$F$49)-MOD(IFERROR(MATCH(Settings!$E$49,$EO$4:$EO$10,0),0)-WEEKDAY(MAX($A85,Settings!$F$49)),7))/7)+1)),IF(AND(IF(Settings!$E$49="",$B85,DATE(YEAR($A85),MONTH($A85),MIN(Settings!$E$49,DAY($B85))))&gt;=MAX($A85,Settings!$F$49),IF(Settings!$E$49="",$B85,DATE(YEAR($A85),MONTH($A85),MIN(Settings!$E$49,DAY($B85))))&lt;=MIN(Settings!$B$5,IF(Settings!$G$49="",Settings!$B$5,Settings!$G$49))),1,0)))))</f>
        <v/>
      </c>
      <c r="EY85">
        <f>IF($E85&lt;&gt;"open",0,IF(AND('Month-End'!$CD$27&lt;&gt;"",NOT(_xlfn.ISFORMULA('Month-End'!$CD$27))),0,IF(OR(Settings!$C$50="",Settings!$D$50=""),0,Settings!$C$50*IF(Settings!$D$50="Weekly",IF(IFERROR(MATCH(Settings!$E$50,$EO$4:$EO$10,0),0)=0,0,IF(MIN(Settings!$B$5,IF(Settings!$G$50="",Settings!$B$5,Settings!$G$50))&lt;MAX($A85,Settings!$F$50),0,INT((MIN(Settings!$B$5,IF(Settings!$G$50="",Settings!$B$5,Settings!$G$50))-MAX($A85,Settings!$F$50)-MOD(IFERROR(MATCH(Settings!$E$50,$EO$4:$EO$10,0),0)-WEEKDAY(MAX($A85,Settings!$F$50)),7))/7)+1)),IF(AND(IF(Settings!$E$50="",$B85,DATE(YEAR($A85),MONTH($A85),MIN(Settings!$E$50,DAY($B85))))&gt;=MAX($A85,Settings!$F$50),IF(Settings!$E$50="",$B85,DATE(YEAR($A85),MONTH($A85),MIN(Settings!$E$50,DAY($B85))))&lt;=MIN(Settings!$B$5,IF(Settings!$G$50="",Settings!$B$5,Settings!$G$50))),1,0)))))</f>
        <v/>
      </c>
      <c r="EZ85">
        <f>IF($E85&lt;&gt;"open",0,IF(AND('Month-End'!$CD$28&lt;&gt;"",NOT(_xlfn.ISFORMULA('Month-End'!$CD$28))),0,IF(OR(Settings!$C$51="",Settings!$D$51=""),0,Settings!$C$51*IF(Settings!$D$51="Weekly",IF(IFERROR(MATCH(Settings!$E$51,$EO$4:$EO$10,0),0)=0,0,IF(MIN(Settings!$B$5,IF(Settings!$G$51="",Settings!$B$5,Settings!$G$51))&lt;MAX($A85,Settings!$F$51),0,INT((MIN(Settings!$B$5,IF(Settings!$G$51="",Settings!$B$5,Settings!$G$51))-MAX($A85,Settings!$F$51)-MOD(IFERROR(MATCH(Settings!$E$51,$EO$4:$EO$10,0),0)-WEEKDAY(MAX($A85,Settings!$F$51)),7))/7)+1)),IF(AND(IF(Settings!$E$51="",$B85,DATE(YEAR($A85),MONTH($A85),MIN(Settings!$E$51,DAY($B85))))&gt;=MAX($A85,Settings!$F$51),IF(Settings!$E$51="",$B85,DATE(YEAR($A85),MONTH($A85),MIN(Settings!$E$51,DAY($B85))))&lt;=MIN(Settings!$B$5,IF(Settings!$G$51="",Settings!$B$5,Settings!$G$51))),1,0)))))</f>
        <v/>
      </c>
      <c r="FA85">
        <f>IF($E85&lt;&gt;"open",0,IF(AND('Month-End'!$CD$29&lt;&gt;"",NOT(_xlfn.ISFORMULA('Month-End'!$CD$29))),0,IF(OR(Settings!$C$52="",Settings!$D$52=""),0,Settings!$C$52*IF(Settings!$D$52="Weekly",IF(IFERROR(MATCH(Settings!$E$52,$EO$4:$EO$10,0),0)=0,0,IF(MIN(Settings!$B$5,IF(Settings!$G$52="",Settings!$B$5,Settings!$G$52))&lt;MAX($A85,Settings!$F$52),0,INT((MIN(Settings!$B$5,IF(Settings!$G$52="",Settings!$B$5,Settings!$G$52))-MAX($A85,Settings!$F$52)-MOD(IFERROR(MATCH(Settings!$E$52,$EO$4:$EO$10,0),0)-WEEKDAY(MAX($A85,Settings!$F$52)),7))/7)+1)),IF(AND(IF(Settings!$E$52="",$B85,DATE(YEAR($A85),MONTH($A85),MIN(Settings!$E$52,DAY($B85))))&gt;=MAX($A85,Settings!$F$52),IF(Settings!$E$52="",$B85,DATE(YEAR($A85),MONTH($A85),MIN(Settings!$E$52,DAY($B85))))&lt;=MIN(Settings!$B$5,IF(Settings!$G$52="",Settings!$B$5,Settings!$G$52))),1,0)))))</f>
        <v/>
      </c>
      <c r="FB85">
        <f>IF($E85&lt;&gt;"open",0,IF(AND('Month-End'!$CD$30&lt;&gt;"",NOT(_xlfn.ISFORMULA('Month-End'!$CD$30))),0,IF(OR(Settings!$C$53="",Settings!$D$53=""),0,Settings!$C$53*IF(Settings!$D$53="Weekly",IF(IFERROR(MATCH(Settings!$E$53,$EO$4:$EO$10,0),0)=0,0,IF(MIN(Settings!$B$5,IF(Settings!$G$53="",Settings!$B$5,Settings!$G$53))&lt;MAX($A85,Settings!$F$53),0,INT((MIN(Settings!$B$5,IF(Settings!$G$53="",Settings!$B$5,Settings!$G$53))-MAX($A85,Settings!$F$53)-MOD(IFERROR(MATCH(Settings!$E$53,$EO$4:$EO$10,0),0)-WEEKDAY(MAX($A85,Settings!$F$53)),7))/7)+1)),IF(AND(IF(Settings!$E$53="",$B85,DATE(YEAR($A85),MONTH($A85),MIN(Settings!$E$53,DAY($B85))))&gt;=MAX($A85,Settings!$F$53),IF(Settings!$E$53="",$B85,DATE(YEAR($A85),MONTH($A85),MIN(Settings!$E$53,DAY($B85))))&lt;=MIN(Settings!$B$5,IF(Settings!$G$53="",Settings!$B$5,Settings!$G$53))),1,0)))))</f>
        <v/>
      </c>
      <c r="FC85">
        <f>IF($E85&lt;&gt;"open",0,IF(AND('Month-End'!$CD$31&lt;&gt;"",NOT(_xlfn.ISFORMULA('Month-End'!$CD$31))),0,IF(OR(Settings!$C$54="",Settings!$D$54=""),0,Settings!$C$54*IF(Settings!$D$54="Weekly",IF(IFERROR(MATCH(Settings!$E$54,$EO$4:$EO$10,0),0)=0,0,IF(MIN(Settings!$B$5,IF(Settings!$G$54="",Settings!$B$5,Settings!$G$54))&lt;MAX($A85,Settings!$F$54),0,INT((MIN(Settings!$B$5,IF(Settings!$G$54="",Settings!$B$5,Settings!$G$54))-MAX($A85,Settings!$F$54)-MOD(IFERROR(MATCH(Settings!$E$54,$EO$4:$EO$10,0),0)-WEEKDAY(MAX($A85,Settings!$F$54)),7))/7)+1)),IF(AND(IF(Settings!$E$54="",$B85,DATE(YEAR($A85),MONTH($A85),MIN(Settings!$E$54,DAY($B85))))&gt;=MAX($A85,Settings!$F$54),IF(Settings!$E$54="",$B85,DATE(YEAR($A85),MONTH($A85),MIN(Settings!$E$54,DAY($B85))))&lt;=MIN(Settings!$B$5,IF(Settings!$G$54="",Settings!$B$5,Settings!$G$54))),1,0)))))</f>
        <v/>
      </c>
      <c r="FD85">
        <f>IF($E85&lt;&gt;"open",0,IF(AND('Month-End'!$CD$32&lt;&gt;"",NOT(_xlfn.ISFORMULA('Month-End'!$CD$32))),0,IF(OR(Settings!$C$55="",Settings!$D$55=""),0,Settings!$C$55*IF(Settings!$D$55="Weekly",IF(IFERROR(MATCH(Settings!$E$55,$EO$4:$EO$10,0),0)=0,0,IF(MIN(Settings!$B$5,IF(Settings!$G$55="",Settings!$B$5,Settings!$G$55))&lt;MAX($A85,Settings!$F$55),0,INT((MIN(Settings!$B$5,IF(Settings!$G$55="",Settings!$B$5,Settings!$G$55))-MAX($A85,Settings!$F$55)-MOD(IFERROR(MATCH(Settings!$E$55,$EO$4:$EO$10,0),0)-WEEKDAY(MAX($A85,Settings!$F$55)),7))/7)+1)),IF(AND(IF(Settings!$E$55="",$B85,DATE(YEAR($A85),MONTH($A85),MIN(Settings!$E$55,DAY($B85))))&gt;=MAX($A85,Settings!$F$55),IF(Settings!$E$55="",$B85,DATE(YEAR($A85),MONTH($A85),MIN(Settings!$E$55,DAY($B85))))&lt;=MIN(Settings!$B$5,IF(Settings!$G$55="",Settings!$B$5,Settings!$G$55))),1,0)))))</f>
        <v/>
      </c>
      <c r="FE85">
        <f>IF($E85&lt;&gt;"open",0,IF(AND('Month-End'!$CD$33&lt;&gt;"",NOT(_xlfn.ISFORMULA('Month-End'!$CD$33))),0,IF(OR(Settings!$C$56="",Settings!$D$56=""),0,Settings!$C$56*IF(Settings!$D$56="Weekly",IF(IFERROR(MATCH(Settings!$E$56,$EO$4:$EO$10,0),0)=0,0,IF(MIN(Settings!$B$5,IF(Settings!$G$56="",Settings!$B$5,Settings!$G$56))&lt;MAX($A85,Settings!$F$56),0,INT((MIN(Settings!$B$5,IF(Settings!$G$56="",Settings!$B$5,Settings!$G$56))-MAX($A85,Settings!$F$56)-MOD(IFERROR(MATCH(Settings!$E$56,$EO$4:$EO$10,0),0)-WEEKDAY(MAX($A85,Settings!$F$56)),7))/7)+1)),IF(AND(IF(Settings!$E$56="",$B85,DATE(YEAR($A85),MONTH($A85),MIN(Settings!$E$56,DAY($B85))))&gt;=MAX($A85,Settings!$F$56),IF(Settings!$E$56="",$B85,DATE(YEAR($A85),MONTH($A85),MIN(Settings!$E$56,DAY($B85))))&lt;=MIN(Settings!$B$5,IF(Settings!$G$56="",Settings!$B$5,Settings!$G$56))),1,0)))))</f>
        <v/>
      </c>
      <c r="FF85">
        <f>IF(Settings!$I$45="Yes",$G85,0)+IF(Settings!$I$46="Yes",$H85,0)+IF(Settings!$I$47="Yes",$I85,0)+IF(Settings!$I$48="Yes",$J85,0)+IF(Settings!$I$49="Yes",$K85,0)+IF(Settings!$I$50="Yes",$L85,0)+IF(Settings!$I$51="Yes",$M85,0)+IF(Settings!$I$52="Yes",$N85,0)+IF(Settings!$I$53="Yes",$O85,0)+IF(Settings!$I$54="Yes",$P85,0)+IF(Settings!$I$55="Yes",$Q85,0)+IF(Settings!$I$56="Yes",$R85,0)</f>
        <v/>
      </c>
      <c r="FG85">
        <f>IF(AND(Settings!$I$45="Yes",Settings!$J$45="No"),$G85,0)+IF(AND(Settings!$I$46="Yes",Settings!$J$46="No"),$H85,0)+IF(AND(Settings!$I$47="Yes",Settings!$J$47="No"),$I85,0)+IF(AND(Settings!$I$48="Yes",Settings!$J$48="No"),$J85,0)+IF(AND(Settings!$I$49="Yes",Settings!$J$49="No"),$K85,0)+IF(AND(Settings!$I$50="Yes",Settings!$J$50="No"),$L85,0)+IF(AND(Settings!$I$51="Yes",Settings!$J$51="No"),$M85,0)+IF(AND(Settings!$I$52="Yes",Settings!$J$52="No"),$N85,0)+IF(AND(Settings!$I$53="Yes",Settings!$J$53="No"),$O85,0)+IF(AND(Settings!$I$54="Yes",Settings!$J$54="No"),$P85,0)+IF(AND(Settings!$I$55="Yes",Settings!$J$55="No"),$Q85,0)+IF(AND(Settings!$I$56="Yes",Settings!$J$56="No"),$R85,0)</f>
        <v/>
      </c>
      <c r="FH85">
        <f>SUMIFS(Giving!$B$7:$B$2006,Giving!$A$7:$A$2006,"&gt;="&amp;$A85,Giving!$A$7:$A$2006,"&lt;="&amp;$B85,Giving!$G$7:$G$2006,"Yes")+IF(OR(OR(Settings!$B$60="",Settings!$F$60="No"),Settings!$H$60&lt;&gt;"Yes"),0,Settings!$B$60*IF(AND(IF(Settings!$C$60="",$B85,DATE(YEAR($A85),MONTH($A85),MIN(Settings!$C$60,DAY($B85))))&gt;=MAX($A85,Settings!$D$60),IF(Settings!$C$60="",$B85,DATE(YEAR($A85),MONTH($A85),MIN(Settings!$C$60,DAY($B85))))&lt;=MIN($C85,IF(Settings!$E$60="",$C85,Settings!$E$60))),1,0))+IF(OR(OR(Settings!$B$61="",Settings!$F$61="No"),Settings!$H$61&lt;&gt;"Yes"),0,Settings!$B$61*IF(AND(IF(Settings!$C$61="",$B85,DATE(YEAR($A85),MONTH($A85),MIN(Settings!$C$61,DAY($B85))))&gt;=MAX($A85,Settings!$D$61),IF(Settings!$C$61="",$B85,DATE(YEAR($A85),MONTH($A85),MIN(Settings!$C$61,DAY($B85))))&lt;=MIN($C85,IF(Settings!$E$61="",$C85,Settings!$E$61))),1,0))+IF(OR(OR(Settings!$B$62="",Settings!$F$62="No"),Settings!$H$62&lt;&gt;"Yes"),0,Settings!$B$62*IF(AND(IF(Settings!$C$62="",$B85,DATE(YEAR($A85),MONTH($A85),MIN(Settings!$C$62,DAY($B85))))&gt;=MAX($A85,Settings!$D$62),IF(Settings!$C$62="",$B85,DATE(YEAR($A85),MONTH($A85),MIN(Settings!$C$62,DAY($B85))))&lt;=MIN($C85,IF(Settings!$E$62="",$C85,Settings!$E$62))),1,0))+IF(OR(OR(Settings!$B$63="",Settings!$F$63="No"),Settings!$H$63&lt;&gt;"Yes"),0,Settings!$B$63*IF(AND(IF(Settings!$C$63="",$B85,DATE(YEAR($A85),MONTH($A85),MIN(Settings!$C$63,DAY($B85))))&gt;=MAX($A85,Settings!$D$63),IF(Settings!$C$63="",$B85,DATE(YEAR($A85),MONTH($A85),MIN(Settings!$C$63,DAY($B85))))&lt;=MIN($C85,IF(Settings!$E$63="",$C85,Settings!$E$63))),1,0))+IF(OR(OR(Settings!$B$64="",Settings!$F$64="No"),Settings!$H$64&lt;&gt;"Yes"),0,Settings!$B$64*IF(AND(IF(Settings!$C$64="",$B85,DATE(YEAR($A85),MONTH($A85),MIN(Settings!$C$64,DAY($B85))))&gt;=MAX($A85,Settings!$D$64),IF(Settings!$C$64="",$B85,DATE(YEAR($A85),MONTH($A85),MIN(Settings!$C$64,DAY($B85))))&lt;=MIN($C85,IF(Settings!$E$64="",$C85,Settings!$E$64))),1,0))+IF(OR(OR(Settings!$B$65="",Settings!$F$65="No"),Settings!$H$65&lt;&gt;"Yes"),0,Settings!$B$65*IF(AND(IF(Settings!$C$65="",$B85,DATE(YEAR($A85),MONTH($A85),MIN(Settings!$C$65,DAY($B85))))&gt;=MAX($A85,Settings!$D$65),IF(Settings!$C$65="",$B85,DATE(YEAR($A85),MONTH($A85),MIN(Settings!$C$65,DAY($B85))))&lt;=MIN($C85,IF(Settings!$E$65="",$C85,Settings!$E$65))),1,0))</f>
        <v/>
      </c>
      <c r="FI85">
        <f>IF($DT85=1,IF(OR(Settings!$B$19="Card",Settings!$B$19="Loan"),N($AE85),0)+IF(OR(Settings!$B$20="Card",Settings!$B$20="Loan"),N($AF85),0)+IF(OR(Settings!$B$21="Card",Settings!$B$21="Loan"),N($AG85),0)+IF(OR(Settings!$B$22="Card",Settings!$B$22="Loan"),N($AH85),0)+IF(OR(Settings!$B$23="Card",Settings!$B$23="Loan"),N($AI85),0)+IF(OR(Settings!$B$24="Card",Settings!$B$24="Loan"),N($AJ85),0)+IF(OR(Settings!$B$25="Card",Settings!$B$25="Loan"),N($AK85),0)+IF(OR(Settings!$B$26="Card",Settings!$B$26="Loan"),N($AL85),0)+IF(OR(Settings!$B$27="Card",Settings!$B$27="Loan"),N($AM85),0)+IF(OR(Settings!$B$28="Card",Settings!$B$28="Loan"),N($AN85),0)+IF(OR(Settings!$B$29="Card",Settings!$B$29="Loan"),N($AO85),0)+IF(OR(Settings!$B$30="Card",Settings!$B$30="Loan"),N($AP85),0)+IF(OR(Settings!$B$31="Card",Settings!$B$31="Loan"),N($AQ85),0)+IF(OR(Settings!$B$32="Card",Settings!$B$32="Loan"),N($AR85),0),"")</f>
        <v/>
      </c>
      <c r="FJ85">
        <f>IF($E85="open",$EB$65,IF($E85="post",IF($E84="pre",$EB$65,$FI84),""))</f>
        <v/>
      </c>
      <c r="FK85">
        <f>IF(AND($DT85=1,$DC85=1),IF(ROUND($FI85-$FJ85,2)&gt;0,1,0),0)</f>
        <v/>
      </c>
      <c r="FL85">
        <f>IF($FK85=1,$FL84+1,0)</f>
        <v/>
      </c>
    </row>
    <row r="86">
      <c r="A86">
        <f>'Month-End'!$CE$4</f>
        <v/>
      </c>
      <c r="B86">
        <f>EOMONTH($A86,0)</f>
        <v/>
      </c>
      <c r="C86">
        <f>MIN($B86,TODAY())</f>
        <v/>
      </c>
      <c r="D86">
        <f>IF($A86&gt;TODAY(),1,0)</f>
        <v/>
      </c>
      <c r="E86">
        <f>IF($B86&lt;=Settings!$B$5,"pre",IF($A86&lt;=Settings!$B$5,"open","post"))</f>
        <v/>
      </c>
      <c r="G86">
        <f>IF('Month-End'!$CE$22="",$BE86,N('Month-End'!$CE$22))</f>
        <v/>
      </c>
      <c r="H86">
        <f>IF('Month-End'!$CE$23="",$BF86,N('Month-End'!$CE$23))</f>
        <v/>
      </c>
      <c r="I86">
        <f>IF('Month-End'!$CE$24="",$BG86,N('Month-End'!$CE$24))</f>
        <v/>
      </c>
      <c r="J86">
        <f>IF('Month-End'!$CE$25="",$BH86,N('Month-End'!$CE$25))</f>
        <v/>
      </c>
      <c r="K86">
        <f>IF('Month-End'!$CE$26="",$BI86,N('Month-End'!$CE$26))</f>
        <v/>
      </c>
      <c r="L86">
        <f>IF('Month-End'!$CE$27="",$BJ86,N('Month-End'!$CE$27))</f>
        <v/>
      </c>
      <c r="M86">
        <f>IF('Month-End'!$CE$28="",$BK86,N('Month-End'!$CE$28))</f>
        <v/>
      </c>
      <c r="N86">
        <f>IF('Month-End'!$CE$29="",$BL86,N('Month-End'!$CE$29))</f>
        <v/>
      </c>
      <c r="O86">
        <f>IF('Month-End'!$CE$30="",$BM86,N('Month-End'!$CE$30))</f>
        <v/>
      </c>
      <c r="P86">
        <f>IF('Month-End'!$CE$31="",$BN86,N('Month-End'!$CE$31))</f>
        <v/>
      </c>
      <c r="Q86">
        <f>IF('Month-End'!$CE$32="",$BO86,N('Month-End'!$CE$32))</f>
        <v/>
      </c>
      <c r="R86">
        <f>IF('Month-End'!$CE$33="",$BP86,N('Month-End'!$CE$33))</f>
        <v/>
      </c>
      <c r="S86">
        <f>$G86+$H86+$I86+$J86+$K86+$L86+$M86+$N86+$O86+$P86+$Q86+$R86</f>
        <v/>
      </c>
      <c r="T86">
        <f>IF($B86&lt;Settings!$B$6,0,IF(Settings!$B$45="Yes",$G86,0)+IF(Settings!$B$46="Yes",$H86,0)+IF(Settings!$B$47="Yes",$I86,0)+IF(Settings!$B$48="Yes",$J86,0)+IF(Settings!$B$49="Yes",$K86,0)+IF(Settings!$B$50="Yes",$L86,0)+IF(Settings!$B$51="Yes",$M86,0)+IF(Settings!$B$52="Yes",$N86,0)+IF(Settings!$B$53="Yes",$O86,0)+IF(Settings!$B$54="Yes",$P86,0)+IF(Settings!$B$55="Yes",$Q86,0)+IF(Settings!$B$56="Yes",$R86,0))</f>
        <v/>
      </c>
      <c r="U86">
        <f>IF(Settings!$B$45="Not Sure",$G86,0)+IF(Settings!$B$46="Not Sure",$H86,0)+IF(Settings!$B$47="Not Sure",$I86,0)+IF(Settings!$B$48="Not Sure",$J86,0)+IF(Settings!$B$49="Not Sure",$K86,0)+IF(Settings!$B$50="Not Sure",$L86,0)+IF(Settings!$B$51="Not Sure",$M86,0)+IF(Settings!$B$52="Not Sure",$N86,0)+IF(Settings!$B$53="Not Sure",$O86,0)+IF(Settings!$B$54="Not Sure",$P86,0)+IF(Settings!$B$55="Not Sure",$Q86,0)+IF(Settings!$B$56="Not Sure",$R86,0)</f>
        <v/>
      </c>
      <c r="V86">
        <f>IF($E86="open",SUM($ET86:$FE86)+N(Settings!$B$13),0)</f>
        <v/>
      </c>
      <c r="W86">
        <f>IF($E86="post",$S86,IF($E86="open",$S86-$V86,0))</f>
        <v/>
      </c>
      <c r="X86">
        <f>SUMIFS(Giving!$B$7:$B$2006,Giving!$A$7:$A$2006,"&gt;="&amp;$A86,Giving!$A$7:$A$2006,"&lt;="&amp;$B86,Giving!$E$7:$E$2006,"&lt;&gt;No")</f>
        <v/>
      </c>
      <c r="Y86">
        <f>SUMIFS(Giving!$B$7:$B$2006,Giving!$A$7:$A$2006,"&gt;="&amp;$A86,Giving!$A$7:$A$2006,"&lt;="&amp;$B86,Giving!$E$7:$E$2006,"No")</f>
        <v/>
      </c>
      <c r="Z86">
        <f>IF(OR(Settings!$B$60="",Settings!$F$60="No"),0,Settings!$B$60*IF(AND(IF(Settings!$C$60="",$B86,DATE(YEAR($A86),MONTH($A86),MIN(Settings!$C$60,DAY($B86))))&gt;=MAX($A86,Settings!$D$60),IF(Settings!$C$60="",$B86,DATE(YEAR($A86),MONTH($A86),MIN(Settings!$C$60,DAY($B86))))&lt;=MIN($C86,IF(Settings!$E$60="",$C86,Settings!$E$60))),1,0))+IF(OR(Settings!$B$61="",Settings!$F$61="No"),0,Settings!$B$61*IF(AND(IF(Settings!$C$61="",$B86,DATE(YEAR($A86),MONTH($A86),MIN(Settings!$C$61,DAY($B86))))&gt;=MAX($A86,Settings!$D$61),IF(Settings!$C$61="",$B86,DATE(YEAR($A86),MONTH($A86),MIN(Settings!$C$61,DAY($B86))))&lt;=MIN($C86,IF(Settings!$E$61="",$C86,Settings!$E$61))),1,0))+IF(OR(Settings!$B$62="",Settings!$F$62="No"),0,Settings!$B$62*IF(AND(IF(Settings!$C$62="",$B86,DATE(YEAR($A86),MONTH($A86),MIN(Settings!$C$62,DAY($B86))))&gt;=MAX($A86,Settings!$D$62),IF(Settings!$C$62="",$B86,DATE(YEAR($A86),MONTH($A86),MIN(Settings!$C$62,DAY($B86))))&lt;=MIN($C86,IF(Settings!$E$62="",$C86,Settings!$E$62))),1,0))+IF(OR(Settings!$B$63="",Settings!$F$63="No"),0,Settings!$B$63*IF(AND(IF(Settings!$C$63="",$B86,DATE(YEAR($A86),MONTH($A86),MIN(Settings!$C$63,DAY($B86))))&gt;=MAX($A86,Settings!$D$63),IF(Settings!$C$63="",$B86,DATE(YEAR($A86),MONTH($A86),MIN(Settings!$C$63,DAY($B86))))&lt;=MIN($C86,IF(Settings!$E$63="",$C86,Settings!$E$63))),1,0))+IF(OR(Settings!$B$64="",Settings!$F$64="No"),0,Settings!$B$64*IF(AND(IF(Settings!$C$64="",$B86,DATE(YEAR($A86),MONTH($A86),MIN(Settings!$C$64,DAY($B86))))&gt;=MAX($A86,Settings!$D$64),IF(Settings!$C$64="",$B86,DATE(YEAR($A86),MONTH($A86),MIN(Settings!$C$64,DAY($B86))))&lt;=MIN($C86,IF(Settings!$E$64="",$C86,Settings!$E$64))),1,0))+IF(OR(Settings!$B$65="",Settings!$F$65="No"),0,Settings!$B$65*IF(AND(IF(Settings!$C$65="",$B86,DATE(YEAR($A86),MONTH($A86),MIN(Settings!$C$65,DAY($B86))))&gt;=MAX($A86,Settings!$D$65),IF(Settings!$C$65="",$B86,DATE(YEAR($A86),MONTH($A86),MIN(Settings!$C$65,DAY($B86))))&lt;=MIN($C86,IF(Settings!$E$65="",$C86,Settings!$E$65))),1,0))</f>
        <v/>
      </c>
      <c r="AA86">
        <f>$X86+$Z86</f>
        <v/>
      </c>
      <c r="AB86">
        <f>IF($E86="post",$AA86,IF($E86="open",SUMIFS(Giving!$B$7:$B$2006,Giving!$A$7:$A$2006,"&gt;"&amp;Settings!$B$5,Giving!$A$7:$A$2006,"&lt;="&amp;$B86,Giving!$E$7:$E$2006,"&lt;&gt;No")+IF(OR(Settings!$B$60="",Settings!$F$60="No"),0,Settings!$B$60*IF(AND(IF(Settings!$C$60="",$B86,DATE(YEAR($A86),MONTH($A86),MIN(Settings!$C$60,DAY($B86))))&gt;=MAX($A86,Settings!$D$60,Settings!$B$5+1),IF(Settings!$C$60="",$B86,DATE(YEAR($A86),MONTH($A86),MIN(Settings!$C$60,DAY($B86))))&lt;=MIN($C86,IF(Settings!$E$60="",$C86,Settings!$E$60))),1,0))+IF(OR(Settings!$B$61="",Settings!$F$61="No"),0,Settings!$B$61*IF(AND(IF(Settings!$C$61="",$B86,DATE(YEAR($A86),MONTH($A86),MIN(Settings!$C$61,DAY($B86))))&gt;=MAX($A86,Settings!$D$61,Settings!$B$5+1),IF(Settings!$C$61="",$B86,DATE(YEAR($A86),MONTH($A86),MIN(Settings!$C$61,DAY($B86))))&lt;=MIN($C86,IF(Settings!$E$61="",$C86,Settings!$E$61))),1,0))+IF(OR(Settings!$B$62="",Settings!$F$62="No"),0,Settings!$B$62*IF(AND(IF(Settings!$C$62="",$B86,DATE(YEAR($A86),MONTH($A86),MIN(Settings!$C$62,DAY($B86))))&gt;=MAX($A86,Settings!$D$62,Settings!$B$5+1),IF(Settings!$C$62="",$B86,DATE(YEAR($A86),MONTH($A86),MIN(Settings!$C$62,DAY($B86))))&lt;=MIN($C86,IF(Settings!$E$62="",$C86,Settings!$E$62))),1,0))+IF(OR(Settings!$B$63="",Settings!$F$63="No"),0,Settings!$B$63*IF(AND(IF(Settings!$C$63="",$B86,DATE(YEAR($A86),MONTH($A86),MIN(Settings!$C$63,DAY($B86))))&gt;=MAX($A86,Settings!$D$63,Settings!$B$5+1),IF(Settings!$C$63="",$B86,DATE(YEAR($A86),MONTH($A86),MIN(Settings!$C$63,DAY($B86))))&lt;=MIN($C86,IF(Settings!$E$63="",$C86,Settings!$E$63))),1,0))+IF(OR(Settings!$B$64="",Settings!$F$64="No"),0,Settings!$B$64*IF(AND(IF(Settings!$C$64="",$B86,DATE(YEAR($A86),MONTH($A86),MIN(Settings!$C$64,DAY($B86))))&gt;=MAX($A86,Settings!$D$64,Settings!$B$5+1),IF(Settings!$C$64="",$B86,DATE(YEAR($A86),MONTH($A86),MIN(Settings!$C$64,DAY($B86))))&lt;=MIN($C86,IF(Settings!$E$64="",$C86,Settings!$E$64))),1,0))+IF(OR(Settings!$B$65="",Settings!$F$65="No"),0,Settings!$B$65*IF(AND(IF(Settings!$C$65="",$B86,DATE(YEAR($A86),MONTH($A86),MIN(Settings!$C$65,DAY($B86))))&gt;=MAX($A86,Settings!$D$65,Settings!$B$5+1),IF(Settings!$C$65="",$B86,DATE(YEAR($A86),MONTH($A86),MIN(Settings!$C$65,DAY($B86))))&lt;=MIN($C86,IF(Settings!$E$65="",$C86,Settings!$E$65))),1,0)),0))</f>
        <v/>
      </c>
      <c r="AC86">
        <f>$AY86+$AZ86+$BA86+$BB86+$BC86+$BD86</f>
        <v/>
      </c>
      <c r="AD86">
        <f>$AC86</f>
        <v/>
      </c>
      <c r="AE86">
        <f>IF(OR(Settings!$A$19="",$E86="pre"),"",IF(AND('Month-End'!$CE$7&lt;&gt;"",NOT(_xlfn.ISFORMULA('Month-End'!$CE$7))),N('Month-End'!$CE$7),IF(OR($E86="open",$E85="pre"),N(Settings!$C$19),N($AE85))))</f>
        <v/>
      </c>
      <c r="AF86">
        <f>IF(OR(Settings!$A$20="",$E86="pre"),"",IF(AND('Month-End'!$CE$8&lt;&gt;"",NOT(_xlfn.ISFORMULA('Month-End'!$CE$8))),N('Month-End'!$CE$8),IF(OR($E86="open",$E85="pre"),N(Settings!$C$20),N($AF85))))</f>
        <v/>
      </c>
      <c r="AG86">
        <f>IF(OR(Settings!$A$21="",$E86="pre"),"",IF(AND('Month-End'!$CE$9&lt;&gt;"",NOT(_xlfn.ISFORMULA('Month-End'!$CE$9))),N('Month-End'!$CE$9),IF(OR($E86="open",$E85="pre"),N(Settings!$C$21),N($AG85))))</f>
        <v/>
      </c>
      <c r="AH86">
        <f>IF(OR(Settings!$A$22="",$E86="pre"),"",IF(AND('Month-End'!$CE$10&lt;&gt;"",NOT(_xlfn.ISFORMULA('Month-End'!$CE$10))),N('Month-End'!$CE$10),IF(OR($E86="open",$E85="pre"),N(Settings!$C$22),N($AH85))))</f>
        <v/>
      </c>
      <c r="AI86">
        <f>IF(OR(Settings!$A$23="",$E86="pre"),"",IF(AND('Month-End'!$CE$11&lt;&gt;"",NOT(_xlfn.ISFORMULA('Month-End'!$CE$11))),N('Month-End'!$CE$11),IF(OR($E86="open",$E85="pre"),N(Settings!$C$23),N($AI85))))</f>
        <v/>
      </c>
      <c r="AJ86">
        <f>IF(OR(Settings!$A$24="",$E86="pre"),"",IF(AND('Month-End'!$CE$12&lt;&gt;"",NOT(_xlfn.ISFORMULA('Month-End'!$CE$12))),N('Month-End'!$CE$12),IF(OR($E86="open",$E85="pre"),N(Settings!$C$24),N($AJ85))))</f>
        <v/>
      </c>
      <c r="AK86">
        <f>IF(OR(Settings!$A$25="",$E86="pre"),"",IF(AND('Month-End'!$CE$13&lt;&gt;"",NOT(_xlfn.ISFORMULA('Month-End'!$CE$13))),N('Month-End'!$CE$13),IF(OR($E86="open",$E85="pre"),N(Settings!$C$25),N($AK85))))</f>
        <v/>
      </c>
      <c r="AL86">
        <f>IF(OR(Settings!$A$26="",$E86="pre"),"",IF(AND('Month-End'!$CE$14&lt;&gt;"",NOT(_xlfn.ISFORMULA('Month-End'!$CE$14))),N('Month-End'!$CE$14),IF(OR($E86="open",$E85="pre"),N(Settings!$C$26),N($AL85))))</f>
        <v/>
      </c>
      <c r="AM86">
        <f>IF(OR(Settings!$A$27="",$E86="pre"),"",IF(AND('Month-End'!$CE$15&lt;&gt;"",NOT(_xlfn.ISFORMULA('Month-End'!$CE$15))),N('Month-End'!$CE$15),IF(OR($E86="open",$E85="pre"),N(Settings!$C$27),N($AM85))))</f>
        <v/>
      </c>
      <c r="AN86">
        <f>IF(OR(Settings!$A$28="",$E86="pre"),"",IF(AND('Month-End'!$CE$16&lt;&gt;"",NOT(_xlfn.ISFORMULA('Month-End'!$CE$16))),N('Month-End'!$CE$16),IF(OR($E86="open",$E85="pre"),N(Settings!$C$28),N($AN85))))</f>
        <v/>
      </c>
      <c r="AO86">
        <f>IF(OR(Settings!$A$29="",$E86="pre"),"",IF(AND('Month-End'!$CE$17&lt;&gt;"",NOT(_xlfn.ISFORMULA('Month-End'!$CE$17))),N('Month-End'!$CE$17),IF(OR($E86="open",$E85="pre"),N(Settings!$C$29),N($AO85))))</f>
        <v/>
      </c>
      <c r="AP86">
        <f>IF(OR(Settings!$A$30="",$E86="pre"),"",IF(AND('Month-End'!$CE$18&lt;&gt;"",NOT(_xlfn.ISFORMULA('Month-End'!$CE$18))),N('Month-End'!$CE$18),IF(OR($E86="open",$E85="pre"),N(Settings!$C$30),N($AP85))))</f>
        <v/>
      </c>
      <c r="AQ86">
        <f>IF(OR(Settings!$A$31="",$E86="pre"),"",IF(AND('Month-End'!$CE$19&lt;&gt;"",NOT(_xlfn.ISFORMULA('Month-End'!$CE$19))),N('Month-End'!$CE$19),IF(OR($E86="open",$E85="pre"),N(Settings!$C$31),N($AQ85))))</f>
        <v/>
      </c>
      <c r="AR86">
        <f>IF(OR(Settings!$A$32="",$E86="pre"),"",IF(AND('Month-End'!$CE$20&lt;&gt;"",NOT(_xlfn.ISFORMULA('Month-End'!$CE$20))),N('Month-End'!$CE$20),IF(OR($E86="open",$E85="pre"),N(Settings!$C$32),N($AR85))))</f>
        <v/>
      </c>
      <c r="AS86">
        <f>IF(OR(Settings!$A$36="",$E86="pre"),"",IF(AND('Month-End'!$CE$38&lt;&gt;"",NOT(_xlfn.ISFORMULA('Month-End'!$CE$38))),N('Month-End'!$CE$38),IF(OR($E86="open",$E85="pre"),N(Settings!$C$36),N($AS85))+$AY86))</f>
        <v/>
      </c>
      <c r="AT86">
        <f>IF(OR(Settings!$A$37="",$E86="pre"),"",IF(AND('Month-End'!$CE$39&lt;&gt;"",NOT(_xlfn.ISFORMULA('Month-End'!$CE$39))),N('Month-End'!$CE$39),IF(OR($E86="open",$E85="pre"),N(Settings!$C$37),N($AT85))+$AZ86))</f>
        <v/>
      </c>
      <c r="AU86">
        <f>IF(OR(Settings!$A$38="",$E86="pre"),"",IF(AND('Month-End'!$CE$40&lt;&gt;"",NOT(_xlfn.ISFORMULA('Month-End'!$CE$40))),N('Month-End'!$CE$40),IF(OR($E86="open",$E85="pre"),N(Settings!$C$38),N($AU85))+$BA86))</f>
        <v/>
      </c>
      <c r="AV86">
        <f>IF(OR(Settings!$A$39="",$E86="pre"),"",IF(AND('Month-End'!$CE$41&lt;&gt;"",NOT(_xlfn.ISFORMULA('Month-End'!$CE$41))),N('Month-End'!$CE$41),IF(OR($E86="open",$E85="pre"),N(Settings!$C$39),N($AV85))+$BB86))</f>
        <v/>
      </c>
      <c r="AW86">
        <f>IF(OR(Settings!$A$40="",$E86="pre"),"",IF(AND('Month-End'!$CE$42&lt;&gt;"",NOT(_xlfn.ISFORMULA('Month-End'!$CE$42))),N('Month-End'!$CE$42),IF(OR($E86="open",$E85="pre"),N(Settings!$C$40),N($AW85))+$BC86))</f>
        <v/>
      </c>
      <c r="AX86">
        <f>IF(OR(Settings!$A$41="",$E86="pre"),"",IF(AND('Month-End'!$CE$43&lt;&gt;"",NOT(_xlfn.ISFORMULA('Month-End'!$CE$43))),N('Month-End'!$CE$43),IF(OR($E86="open",$E85="pre"),N(Settings!$C$41),N($AX85))+$BD86))</f>
        <v/>
      </c>
      <c r="AY86">
        <f>IF($E86="pre",0,N('Month-End'!$CE$45))</f>
        <v/>
      </c>
      <c r="AZ86">
        <f>IF($E86="pre",0,N('Month-End'!$CE$46))</f>
        <v/>
      </c>
      <c r="BA86">
        <f>IF($E86="pre",0,N('Month-End'!$CE$47))</f>
        <v/>
      </c>
      <c r="BB86">
        <f>IF($E86="pre",0,N('Month-End'!$CE$48))</f>
        <v/>
      </c>
      <c r="BC86">
        <f>IF($E86="pre",0,N('Month-End'!$CE$49))</f>
        <v/>
      </c>
      <c r="BD86">
        <f>IF($E86="pre",0,N('Month-End'!$CE$50))</f>
        <v/>
      </c>
      <c r="BE86">
        <f>IF(OR(Settings!$C$45="",Settings!$D$45=""),0,Settings!$C$45*IF(Settings!$D$45="Weekly",IF(IFERROR(MATCH(Settings!$E$45,$EO$4:$EO$10,0),0)=0,0,IF(MIN($C86,IF(Settings!$G$45="",$C86,Settings!$G$45))&lt;MAX($A86,Settings!$F$45),0,INT((MIN($C86,IF(Settings!$G$45="",$C86,Settings!$G$45))-MAX($A86,Settings!$F$45)-MOD(IFERROR(MATCH(Settings!$E$45,$EO$4:$EO$10,0),0)-WEEKDAY(MAX($A86,Settings!$F$45)),7))/7)+1)),IF(AND(IF(Settings!$E$45="",$B86,DATE(YEAR($A86),MONTH($A86),MIN(Settings!$E$45,DAY($B86))))&gt;=MAX($A86,Settings!$F$45),IF(Settings!$E$45="",$B86,DATE(YEAR($A86),MONTH($A86),MIN(Settings!$E$45,DAY($B86))))&lt;=MIN($C86,IF(Settings!$G$45="",$C86,Settings!$G$45))),1,0)))</f>
        <v/>
      </c>
      <c r="BF86">
        <f>IF(OR(Settings!$C$46="",Settings!$D$46=""),0,Settings!$C$46*IF(Settings!$D$46="Weekly",IF(IFERROR(MATCH(Settings!$E$46,$EO$4:$EO$10,0),0)=0,0,IF(MIN($C86,IF(Settings!$G$46="",$C86,Settings!$G$46))&lt;MAX($A86,Settings!$F$46),0,INT((MIN($C86,IF(Settings!$G$46="",$C86,Settings!$G$46))-MAX($A86,Settings!$F$46)-MOD(IFERROR(MATCH(Settings!$E$46,$EO$4:$EO$10,0),0)-WEEKDAY(MAX($A86,Settings!$F$46)),7))/7)+1)),IF(AND(IF(Settings!$E$46="",$B86,DATE(YEAR($A86),MONTH($A86),MIN(Settings!$E$46,DAY($B86))))&gt;=MAX($A86,Settings!$F$46),IF(Settings!$E$46="",$B86,DATE(YEAR($A86),MONTH($A86),MIN(Settings!$E$46,DAY($B86))))&lt;=MIN($C86,IF(Settings!$G$46="",$C86,Settings!$G$46))),1,0)))</f>
        <v/>
      </c>
      <c r="BG86">
        <f>IF(OR(Settings!$C$47="",Settings!$D$47=""),0,Settings!$C$47*IF(Settings!$D$47="Weekly",IF(IFERROR(MATCH(Settings!$E$47,$EO$4:$EO$10,0),0)=0,0,IF(MIN($C86,IF(Settings!$G$47="",$C86,Settings!$G$47))&lt;MAX($A86,Settings!$F$47),0,INT((MIN($C86,IF(Settings!$G$47="",$C86,Settings!$G$47))-MAX($A86,Settings!$F$47)-MOD(IFERROR(MATCH(Settings!$E$47,$EO$4:$EO$10,0),0)-WEEKDAY(MAX($A86,Settings!$F$47)),7))/7)+1)),IF(AND(IF(Settings!$E$47="",$B86,DATE(YEAR($A86),MONTH($A86),MIN(Settings!$E$47,DAY($B86))))&gt;=MAX($A86,Settings!$F$47),IF(Settings!$E$47="",$B86,DATE(YEAR($A86),MONTH($A86),MIN(Settings!$E$47,DAY($B86))))&lt;=MIN($C86,IF(Settings!$G$47="",$C86,Settings!$G$47))),1,0)))</f>
        <v/>
      </c>
      <c r="BH86">
        <f>IF(OR(Settings!$C$48="",Settings!$D$48=""),0,Settings!$C$48*IF(Settings!$D$48="Weekly",IF(IFERROR(MATCH(Settings!$E$48,$EO$4:$EO$10,0),0)=0,0,IF(MIN($C86,IF(Settings!$G$48="",$C86,Settings!$G$48))&lt;MAX($A86,Settings!$F$48),0,INT((MIN($C86,IF(Settings!$G$48="",$C86,Settings!$G$48))-MAX($A86,Settings!$F$48)-MOD(IFERROR(MATCH(Settings!$E$48,$EO$4:$EO$10,0),0)-WEEKDAY(MAX($A86,Settings!$F$48)),7))/7)+1)),IF(AND(IF(Settings!$E$48="",$B86,DATE(YEAR($A86),MONTH($A86),MIN(Settings!$E$48,DAY($B86))))&gt;=MAX($A86,Settings!$F$48),IF(Settings!$E$48="",$B86,DATE(YEAR($A86),MONTH($A86),MIN(Settings!$E$48,DAY($B86))))&lt;=MIN($C86,IF(Settings!$G$48="",$C86,Settings!$G$48))),1,0)))</f>
        <v/>
      </c>
      <c r="BI86">
        <f>IF(OR(Settings!$C$49="",Settings!$D$49=""),0,Settings!$C$49*IF(Settings!$D$49="Weekly",IF(IFERROR(MATCH(Settings!$E$49,$EO$4:$EO$10,0),0)=0,0,IF(MIN($C86,IF(Settings!$G$49="",$C86,Settings!$G$49))&lt;MAX($A86,Settings!$F$49),0,INT((MIN($C86,IF(Settings!$G$49="",$C86,Settings!$G$49))-MAX($A86,Settings!$F$49)-MOD(IFERROR(MATCH(Settings!$E$49,$EO$4:$EO$10,0),0)-WEEKDAY(MAX($A86,Settings!$F$49)),7))/7)+1)),IF(AND(IF(Settings!$E$49="",$B86,DATE(YEAR($A86),MONTH($A86),MIN(Settings!$E$49,DAY($B86))))&gt;=MAX($A86,Settings!$F$49),IF(Settings!$E$49="",$B86,DATE(YEAR($A86),MONTH($A86),MIN(Settings!$E$49,DAY($B86))))&lt;=MIN($C86,IF(Settings!$G$49="",$C86,Settings!$G$49))),1,0)))</f>
        <v/>
      </c>
      <c r="BJ86">
        <f>IF(OR(Settings!$C$50="",Settings!$D$50=""),0,Settings!$C$50*IF(Settings!$D$50="Weekly",IF(IFERROR(MATCH(Settings!$E$50,$EO$4:$EO$10,0),0)=0,0,IF(MIN($C86,IF(Settings!$G$50="",$C86,Settings!$G$50))&lt;MAX($A86,Settings!$F$50),0,INT((MIN($C86,IF(Settings!$G$50="",$C86,Settings!$G$50))-MAX($A86,Settings!$F$50)-MOD(IFERROR(MATCH(Settings!$E$50,$EO$4:$EO$10,0),0)-WEEKDAY(MAX($A86,Settings!$F$50)),7))/7)+1)),IF(AND(IF(Settings!$E$50="",$B86,DATE(YEAR($A86),MONTH($A86),MIN(Settings!$E$50,DAY($B86))))&gt;=MAX($A86,Settings!$F$50),IF(Settings!$E$50="",$B86,DATE(YEAR($A86),MONTH($A86),MIN(Settings!$E$50,DAY($B86))))&lt;=MIN($C86,IF(Settings!$G$50="",$C86,Settings!$G$50))),1,0)))</f>
        <v/>
      </c>
      <c r="BK86">
        <f>IF(OR(Settings!$C$51="",Settings!$D$51=""),0,Settings!$C$51*IF(Settings!$D$51="Weekly",IF(IFERROR(MATCH(Settings!$E$51,$EO$4:$EO$10,0),0)=0,0,IF(MIN($C86,IF(Settings!$G$51="",$C86,Settings!$G$51))&lt;MAX($A86,Settings!$F$51),0,INT((MIN($C86,IF(Settings!$G$51="",$C86,Settings!$G$51))-MAX($A86,Settings!$F$51)-MOD(IFERROR(MATCH(Settings!$E$51,$EO$4:$EO$10,0),0)-WEEKDAY(MAX($A86,Settings!$F$51)),7))/7)+1)),IF(AND(IF(Settings!$E$51="",$B86,DATE(YEAR($A86),MONTH($A86),MIN(Settings!$E$51,DAY($B86))))&gt;=MAX($A86,Settings!$F$51),IF(Settings!$E$51="",$B86,DATE(YEAR($A86),MONTH($A86),MIN(Settings!$E$51,DAY($B86))))&lt;=MIN($C86,IF(Settings!$G$51="",$C86,Settings!$G$51))),1,0)))</f>
        <v/>
      </c>
      <c r="BL86">
        <f>IF(OR(Settings!$C$52="",Settings!$D$52=""),0,Settings!$C$52*IF(Settings!$D$52="Weekly",IF(IFERROR(MATCH(Settings!$E$52,$EO$4:$EO$10,0),0)=0,0,IF(MIN($C86,IF(Settings!$G$52="",$C86,Settings!$G$52))&lt;MAX($A86,Settings!$F$52),0,INT((MIN($C86,IF(Settings!$G$52="",$C86,Settings!$G$52))-MAX($A86,Settings!$F$52)-MOD(IFERROR(MATCH(Settings!$E$52,$EO$4:$EO$10,0),0)-WEEKDAY(MAX($A86,Settings!$F$52)),7))/7)+1)),IF(AND(IF(Settings!$E$52="",$B86,DATE(YEAR($A86),MONTH($A86),MIN(Settings!$E$52,DAY($B86))))&gt;=MAX($A86,Settings!$F$52),IF(Settings!$E$52="",$B86,DATE(YEAR($A86),MONTH($A86),MIN(Settings!$E$52,DAY($B86))))&lt;=MIN($C86,IF(Settings!$G$52="",$C86,Settings!$G$52))),1,0)))</f>
        <v/>
      </c>
      <c r="BM86">
        <f>IF(OR(Settings!$C$53="",Settings!$D$53=""),0,Settings!$C$53*IF(Settings!$D$53="Weekly",IF(IFERROR(MATCH(Settings!$E$53,$EO$4:$EO$10,0),0)=0,0,IF(MIN($C86,IF(Settings!$G$53="",$C86,Settings!$G$53))&lt;MAX($A86,Settings!$F$53),0,INT((MIN($C86,IF(Settings!$G$53="",$C86,Settings!$G$53))-MAX($A86,Settings!$F$53)-MOD(IFERROR(MATCH(Settings!$E$53,$EO$4:$EO$10,0),0)-WEEKDAY(MAX($A86,Settings!$F$53)),7))/7)+1)),IF(AND(IF(Settings!$E$53="",$B86,DATE(YEAR($A86),MONTH($A86),MIN(Settings!$E$53,DAY($B86))))&gt;=MAX($A86,Settings!$F$53),IF(Settings!$E$53="",$B86,DATE(YEAR($A86),MONTH($A86),MIN(Settings!$E$53,DAY($B86))))&lt;=MIN($C86,IF(Settings!$G$53="",$C86,Settings!$G$53))),1,0)))</f>
        <v/>
      </c>
      <c r="BN86">
        <f>IF(OR(Settings!$C$54="",Settings!$D$54=""),0,Settings!$C$54*IF(Settings!$D$54="Weekly",IF(IFERROR(MATCH(Settings!$E$54,$EO$4:$EO$10,0),0)=0,0,IF(MIN($C86,IF(Settings!$G$54="",$C86,Settings!$G$54))&lt;MAX($A86,Settings!$F$54),0,INT((MIN($C86,IF(Settings!$G$54="",$C86,Settings!$G$54))-MAX($A86,Settings!$F$54)-MOD(IFERROR(MATCH(Settings!$E$54,$EO$4:$EO$10,0),0)-WEEKDAY(MAX($A86,Settings!$F$54)),7))/7)+1)),IF(AND(IF(Settings!$E$54="",$B86,DATE(YEAR($A86),MONTH($A86),MIN(Settings!$E$54,DAY($B86))))&gt;=MAX($A86,Settings!$F$54),IF(Settings!$E$54="",$B86,DATE(YEAR($A86),MONTH($A86),MIN(Settings!$E$54,DAY($B86))))&lt;=MIN($C86,IF(Settings!$G$54="",$C86,Settings!$G$54))),1,0)))</f>
        <v/>
      </c>
      <c r="BO86">
        <f>IF(OR(Settings!$C$55="",Settings!$D$55=""),0,Settings!$C$55*IF(Settings!$D$55="Weekly",IF(IFERROR(MATCH(Settings!$E$55,$EO$4:$EO$10,0),0)=0,0,IF(MIN($C86,IF(Settings!$G$55="",$C86,Settings!$G$55))&lt;MAX($A86,Settings!$F$55),0,INT((MIN($C86,IF(Settings!$G$55="",$C86,Settings!$G$55))-MAX($A86,Settings!$F$55)-MOD(IFERROR(MATCH(Settings!$E$55,$EO$4:$EO$10,0),0)-WEEKDAY(MAX($A86,Settings!$F$55)),7))/7)+1)),IF(AND(IF(Settings!$E$55="",$B86,DATE(YEAR($A86),MONTH($A86),MIN(Settings!$E$55,DAY($B86))))&gt;=MAX($A86,Settings!$F$55),IF(Settings!$E$55="",$B86,DATE(YEAR($A86),MONTH($A86),MIN(Settings!$E$55,DAY($B86))))&lt;=MIN($C86,IF(Settings!$G$55="",$C86,Settings!$G$55))),1,0)))</f>
        <v/>
      </c>
      <c r="BP86">
        <f>IF(OR(Settings!$C$56="",Settings!$D$56=""),0,Settings!$C$56*IF(Settings!$D$56="Weekly",IF(IFERROR(MATCH(Settings!$E$56,$EO$4:$EO$10,0),0)=0,0,IF(MIN($C86,IF(Settings!$G$56="",$C86,Settings!$G$56))&lt;MAX($A86,Settings!$F$56),0,INT((MIN($C86,IF(Settings!$G$56="",$C86,Settings!$G$56))-MAX($A86,Settings!$F$56)-MOD(IFERROR(MATCH(Settings!$E$56,$EO$4:$EO$10,0),0)-WEEKDAY(MAX($A86,Settings!$F$56)),7))/7)+1)),IF(AND(IF(Settings!$E$56="",$B86,DATE(YEAR($A86),MONTH($A86),MIN(Settings!$E$56,DAY($B86))))&gt;=MAX($A86,Settings!$F$56),IF(Settings!$E$56="",$B86,DATE(YEAR($A86),MONTH($A86),MIN(Settings!$E$56,DAY($B86))))&lt;=MIN($C86,IF(Settings!$G$56="",$C86,Settings!$G$56))),1,0)))</f>
        <v/>
      </c>
      <c r="BQ86">
        <f>IF(OR(Settings!$B$14="",$D86=1,$E86="pre",$A86&lt;IF(Settings!$B$15="",0,Settings!$B$15)),0,Settings!$B$14)</f>
        <v/>
      </c>
      <c r="BR86">
        <f>IF(AND('Month-End'!$CE$7&lt;&gt;"",NOT(_xlfn.ISFORMULA('Month-End'!$CE$7))),1,0)</f>
        <v/>
      </c>
      <c r="BS86">
        <f>IF(AND('Month-End'!$CE$8&lt;&gt;"",NOT(_xlfn.ISFORMULA('Month-End'!$CE$8))),1,0)</f>
        <v/>
      </c>
      <c r="BT86">
        <f>IF(AND('Month-End'!$CE$9&lt;&gt;"",NOT(_xlfn.ISFORMULA('Month-End'!$CE$9))),1,0)</f>
        <v/>
      </c>
      <c r="BU86">
        <f>IF(AND('Month-End'!$CE$10&lt;&gt;"",NOT(_xlfn.ISFORMULA('Month-End'!$CE$10))),1,0)</f>
        <v/>
      </c>
      <c r="BV86">
        <f>IF(AND('Month-End'!$CE$11&lt;&gt;"",NOT(_xlfn.ISFORMULA('Month-End'!$CE$11))),1,0)</f>
        <v/>
      </c>
      <c r="BW86">
        <f>IF(AND('Month-End'!$CE$12&lt;&gt;"",NOT(_xlfn.ISFORMULA('Month-End'!$CE$12))),1,0)</f>
        <v/>
      </c>
      <c r="BX86">
        <f>IF(AND('Month-End'!$CE$13&lt;&gt;"",NOT(_xlfn.ISFORMULA('Month-End'!$CE$13))),1,0)</f>
        <v/>
      </c>
      <c r="BY86">
        <f>IF(AND('Month-End'!$CE$14&lt;&gt;"",NOT(_xlfn.ISFORMULA('Month-End'!$CE$14))),1,0)</f>
        <v/>
      </c>
      <c r="BZ86">
        <f>IF(AND('Month-End'!$CE$15&lt;&gt;"",NOT(_xlfn.ISFORMULA('Month-End'!$CE$15))),1,0)</f>
        <v/>
      </c>
      <c r="CA86">
        <f>IF(AND('Month-End'!$CE$16&lt;&gt;"",NOT(_xlfn.ISFORMULA('Month-End'!$CE$16))),1,0)</f>
        <v/>
      </c>
      <c r="CB86">
        <f>IF(AND('Month-End'!$CE$17&lt;&gt;"",NOT(_xlfn.ISFORMULA('Month-End'!$CE$17))),1,0)</f>
        <v/>
      </c>
      <c r="CC86">
        <f>IF(AND('Month-End'!$CE$18&lt;&gt;"",NOT(_xlfn.ISFORMULA('Month-End'!$CE$18))),1,0)</f>
        <v/>
      </c>
      <c r="CD86">
        <f>IF(AND('Month-End'!$CE$19&lt;&gt;"",NOT(_xlfn.ISFORMULA('Month-End'!$CE$19))),1,0)</f>
        <v/>
      </c>
      <c r="CE86">
        <f>IF(AND('Month-End'!$CE$20&lt;&gt;"",NOT(_xlfn.ISFORMULA('Month-End'!$CE$20))),1,0)</f>
        <v/>
      </c>
      <c r="CF86">
        <f>IF(AND('Month-End'!$CE$38&lt;&gt;"",NOT(_xlfn.ISFORMULA('Month-End'!$CE$38))),1,0)</f>
        <v/>
      </c>
      <c r="CG86">
        <f>IF(AND('Month-End'!$CE$39&lt;&gt;"",NOT(_xlfn.ISFORMULA('Month-End'!$CE$39))),1,0)</f>
        <v/>
      </c>
      <c r="CH86">
        <f>IF(AND('Month-End'!$CE$40&lt;&gt;"",NOT(_xlfn.ISFORMULA('Month-End'!$CE$40))),1,0)</f>
        <v/>
      </c>
      <c r="CI86">
        <f>IF(AND('Month-End'!$CE$41&lt;&gt;"",NOT(_xlfn.ISFORMULA('Month-End'!$CE$41))),1,0)</f>
        <v/>
      </c>
      <c r="CJ86">
        <f>IF(AND('Month-End'!$CE$42&lt;&gt;"",NOT(_xlfn.ISFORMULA('Month-End'!$CE$42))),1,0)</f>
        <v/>
      </c>
      <c r="CK86">
        <f>IF(AND('Month-End'!$CE$43&lt;&gt;"",NOT(_xlfn.ISFORMULA('Month-End'!$CE$43))),1,0)</f>
        <v/>
      </c>
      <c r="CL86">
        <f>SUM($CM86:$CZ86)</f>
        <v/>
      </c>
      <c r="CM86">
        <f>IF(AND($E86&lt;&gt;"pre",AND(Settings!$A$19&lt;&gt;"",Settings!$E$19&lt;&gt;"No"),Settings!$F$19="Yes",NOT(AND('Month-End'!$CE$7&lt;&gt;"",NOT(_xlfn.ISFORMULA('Month-End'!$CE$7))))),1,0)</f>
        <v/>
      </c>
      <c r="CN86">
        <f>IF(AND($E86&lt;&gt;"pre",AND(Settings!$A$20&lt;&gt;"",Settings!$E$20&lt;&gt;"No"),Settings!$F$20="Yes",NOT(AND('Month-End'!$CE$8&lt;&gt;"",NOT(_xlfn.ISFORMULA('Month-End'!$CE$8))))),1,0)</f>
        <v/>
      </c>
      <c r="CO86">
        <f>IF(AND($E86&lt;&gt;"pre",AND(Settings!$A$21&lt;&gt;"",Settings!$E$21&lt;&gt;"No"),Settings!$F$21="Yes",NOT(AND('Month-End'!$CE$9&lt;&gt;"",NOT(_xlfn.ISFORMULA('Month-End'!$CE$9))))),1,0)</f>
        <v/>
      </c>
      <c r="CP86">
        <f>IF(AND($E86&lt;&gt;"pre",AND(Settings!$A$22&lt;&gt;"",Settings!$E$22&lt;&gt;"No"),Settings!$F$22="Yes",NOT(AND('Month-End'!$CE$10&lt;&gt;"",NOT(_xlfn.ISFORMULA('Month-End'!$CE$10))))),1,0)</f>
        <v/>
      </c>
      <c r="CQ86">
        <f>IF(AND($E86&lt;&gt;"pre",AND(Settings!$A$23&lt;&gt;"",Settings!$E$23&lt;&gt;"No"),Settings!$F$23="Yes",NOT(AND('Month-End'!$CE$11&lt;&gt;"",NOT(_xlfn.ISFORMULA('Month-End'!$CE$11))))),1,0)</f>
        <v/>
      </c>
      <c r="CR86">
        <f>IF(AND($E86&lt;&gt;"pre",AND(Settings!$A$24&lt;&gt;"",Settings!$E$24&lt;&gt;"No"),Settings!$F$24="Yes",NOT(AND('Month-End'!$CE$12&lt;&gt;"",NOT(_xlfn.ISFORMULA('Month-End'!$CE$12))))),1,0)</f>
        <v/>
      </c>
      <c r="CS86">
        <f>IF(AND($E86&lt;&gt;"pre",AND(Settings!$A$25&lt;&gt;"",Settings!$E$25&lt;&gt;"No"),Settings!$F$25="Yes",NOT(AND('Month-End'!$CE$13&lt;&gt;"",NOT(_xlfn.ISFORMULA('Month-End'!$CE$13))))),1,0)</f>
        <v/>
      </c>
      <c r="CT86">
        <f>IF(AND($E86&lt;&gt;"pre",AND(Settings!$A$26&lt;&gt;"",Settings!$E$26&lt;&gt;"No"),Settings!$F$26="Yes",NOT(AND('Month-End'!$CE$14&lt;&gt;"",NOT(_xlfn.ISFORMULA('Month-End'!$CE$14))))),1,0)</f>
        <v/>
      </c>
      <c r="CU86">
        <f>IF(AND($E86&lt;&gt;"pre",AND(Settings!$A$27&lt;&gt;"",Settings!$E$27&lt;&gt;"No"),Settings!$F$27="Yes",NOT(AND('Month-End'!$CE$15&lt;&gt;"",NOT(_xlfn.ISFORMULA('Month-End'!$CE$15))))),1,0)</f>
        <v/>
      </c>
      <c r="CV86">
        <f>IF(AND($E86&lt;&gt;"pre",AND(Settings!$A$28&lt;&gt;"",Settings!$E$28&lt;&gt;"No"),Settings!$F$28="Yes",NOT(AND('Month-End'!$CE$16&lt;&gt;"",NOT(_xlfn.ISFORMULA('Month-End'!$CE$16))))),1,0)</f>
        <v/>
      </c>
      <c r="CW86">
        <f>IF(AND($E86&lt;&gt;"pre",AND(Settings!$A$29&lt;&gt;"",Settings!$E$29&lt;&gt;"No"),Settings!$F$29="Yes",NOT(AND('Month-End'!$CE$17&lt;&gt;"",NOT(_xlfn.ISFORMULA('Month-End'!$CE$17))))),1,0)</f>
        <v/>
      </c>
      <c r="CX86">
        <f>IF(AND($E86&lt;&gt;"pre",AND(Settings!$A$30&lt;&gt;"",Settings!$E$30&lt;&gt;"No"),Settings!$F$30="Yes",NOT(AND('Month-End'!$CE$18&lt;&gt;"",NOT(_xlfn.ISFORMULA('Month-End'!$CE$18))))),1,0)</f>
        <v/>
      </c>
      <c r="CY86">
        <f>IF(AND($E86&lt;&gt;"pre",AND(Settings!$A$31&lt;&gt;"",Settings!$E$31&lt;&gt;"No"),Settings!$F$31="Yes",NOT(AND('Month-End'!$CE$19&lt;&gt;"",NOT(_xlfn.ISFORMULA('Month-End'!$CE$19))))),1,0)</f>
        <v/>
      </c>
      <c r="CZ86">
        <f>IF(AND($E86&lt;&gt;"pre",AND(Settings!$A$32&lt;&gt;"",Settings!$E$32&lt;&gt;"No"),Settings!$F$32="Yes",NOT(AND('Month-End'!$CE$20&lt;&gt;"",NOT(_xlfn.ISFORMULA('Month-End'!$CE$20))))),1,0)</f>
        <v/>
      </c>
      <c r="DA86">
        <f>IF($DT86=1,IF(OR(Settings!$B$19="Checking",Settings!$B$19="Savings",Settings!$B$19="Cash"),N($AE86),IF(OR(Settings!$B$19="Card",Settings!$B$19="Loan"),-N($AE86),0))+IF(OR(Settings!$B$20="Checking",Settings!$B$20="Savings",Settings!$B$20="Cash"),N($AF86),IF(OR(Settings!$B$20="Card",Settings!$B$20="Loan"),-N($AF86),0))+IF(OR(Settings!$B$21="Checking",Settings!$B$21="Savings",Settings!$B$21="Cash"),N($AG86),IF(OR(Settings!$B$21="Card",Settings!$B$21="Loan"),-N($AG86),0))+IF(OR(Settings!$B$22="Checking",Settings!$B$22="Savings",Settings!$B$22="Cash"),N($AH86),IF(OR(Settings!$B$22="Card",Settings!$B$22="Loan"),-N($AH86),0))+IF(OR(Settings!$B$23="Checking",Settings!$B$23="Savings",Settings!$B$23="Cash"),N($AI86),IF(OR(Settings!$B$23="Card",Settings!$B$23="Loan"),-N($AI86),0))+IF(OR(Settings!$B$24="Checking",Settings!$B$24="Savings",Settings!$B$24="Cash"),N($AJ86),IF(OR(Settings!$B$24="Card",Settings!$B$24="Loan"),-N($AJ86),0))+IF(OR(Settings!$B$25="Checking",Settings!$B$25="Savings",Settings!$B$25="Cash"),N($AK86),IF(OR(Settings!$B$25="Card",Settings!$B$25="Loan"),-N($AK86),0))+IF(OR(Settings!$B$26="Checking",Settings!$B$26="Savings",Settings!$B$26="Cash"),N($AL86),IF(OR(Settings!$B$26="Card",Settings!$B$26="Loan"),-N($AL86),0))+IF(OR(Settings!$B$27="Checking",Settings!$B$27="Savings",Settings!$B$27="Cash"),N($AM86),IF(OR(Settings!$B$27="Card",Settings!$B$27="Loan"),-N($AM86),0))+IF(OR(Settings!$B$28="Checking",Settings!$B$28="Savings",Settings!$B$28="Cash"),N($AN86),IF(OR(Settings!$B$28="Card",Settings!$B$28="Loan"),-N($AN86),0))+IF(OR(Settings!$B$29="Checking",Settings!$B$29="Savings",Settings!$B$29="Cash"),N($AO86),IF(OR(Settings!$B$29="Card",Settings!$B$29="Loan"),-N($AO86),0))+IF(OR(Settings!$B$30="Checking",Settings!$B$30="Savings",Settings!$B$30="Cash"),N($AP86),IF(OR(Settings!$B$30="Card",Settings!$B$30="Loan"),-N($AP86),0))+IF(OR(Settings!$B$31="Checking",Settings!$B$31="Savings",Settings!$B$31="Cash"),N($AQ86),IF(OR(Settings!$B$31="Card",Settings!$B$31="Loan"),-N($AQ86),0))+IF(OR(Settings!$B$32="Checking",Settings!$B$32="Savings",Settings!$B$32="Cash"),N($AR86),IF(OR(Settings!$B$32="Card",Settings!$B$32="Loan"),-N($AR86),0)),"")</f>
        <v/>
      </c>
      <c r="DB86">
        <f>IF($E86="open",$EB$27,IF($E86="post",IF($E85="pre",$EB$27,$DA85),""))</f>
        <v/>
      </c>
      <c r="DC86">
        <f>IF($E86="open",1,IF($E86="post",IF($E85="pre",1,$DT85),0))</f>
        <v/>
      </c>
      <c r="DD86">
        <f>IF(AND($DT86=1,$DC86=1),ROUND($W86-($DA86-$DB86)-$AD86-$AB86,2),"")</f>
        <v/>
      </c>
      <c r="DE86">
        <f>IF('Month-End'!$CE$35="",$BQ86,N('Month-End'!$CE$35))</f>
        <v/>
      </c>
      <c r="DF86">
        <f>N('Month-End'!$CE$36)</f>
        <v/>
      </c>
      <c r="DG86">
        <f>IF($DD86="","",$DD86+$DE86)</f>
        <v/>
      </c>
      <c r="DH86">
        <f>IF($DG86="","",$DG86-$DF86)</f>
        <v/>
      </c>
      <c r="DI86">
        <f>IF(OR($E86="pre",$D86=1),"",N($AS86)+N($AT86)+N($AU86)+N($AV86)+N($AW86)+N($AX86))</f>
        <v/>
      </c>
      <c r="DJ86">
        <f>IF($DT86=1,$DA86+N($DI86),"")</f>
        <v/>
      </c>
      <c r="DK86">
        <f>IF($DD86="","",$W86-$DD86-$AB86)</f>
        <v/>
      </c>
      <c r="DL86">
        <f>IF(AND($E86="post",$DD86&lt;&gt;"",$B86&lt;TODAY()),1,0)</f>
        <v/>
      </c>
      <c r="DM86">
        <f>IF($DL86=1,COUNTIF($DL86:$DL$183,1),0)</f>
        <v/>
      </c>
      <c r="DN86">
        <f>IF($D86=1,"",IF($E86="pre","History only",IF($DT86=1,IF($DD86="","⚠ Previous month missing",IF($DD86&lt;0,"⚠ Check: spending &lt; 0",IF($E86="open","✓ Done (partial)","✓ Done"))),IF($B86&gt;=TODAY(),"In progress","⚠ Needs balances"))))</f>
        <v/>
      </c>
      <c r="DO86">
        <f>YEAR($A86)</f>
        <v/>
      </c>
      <c r="DP86">
        <f>DATE(YEAR($A86),INT((MONTH($A86)-1)/3)*3+1,1)</f>
        <v/>
      </c>
      <c r="DQ86">
        <f>IF(AND($DT86=1,$DD86&lt;&gt;"",$D86=0),ROW(),0)</f>
        <v/>
      </c>
      <c r="DR86">
        <f>IF(AND($E86&lt;&gt;"pre",$B86&lt;TODAY(),$DT86=0),1,0)</f>
        <v/>
      </c>
      <c r="DS86">
        <f>IF($DJ86="",NA(),$DJ86)</f>
        <v/>
      </c>
      <c r="DT86">
        <f>IF(AND($E86&lt;&gt;"pre",$CL86=0,COUNTIFS(Settings!$F$19:$F$32,"Yes",Settings!$A$19:$A$32,"&lt;&gt;",Settings!$E$19:$E$32,"&lt;&gt;No")&gt;0),1,0)</f>
        <v/>
      </c>
      <c r="DU86">
        <f>IF(AND($B86&lt;TODAY(),$S86&gt;0),1,0)</f>
        <v/>
      </c>
      <c r="DV86">
        <f>IF($DU86=1,COUNTIF($DU86:$DU$183,1),0)</f>
        <v/>
      </c>
      <c r="DW86">
        <f>IF(AND(OR(Settings!$B$19="Card",Settings!$B$19="Loan"),AND('Month-End'!$CE$7&lt;&gt;"",NOT(_xlfn.ISFORMULA('Month-End'!$CE$7)))),IF(N('Month-End'!$CE$7)&lt;0,1,0),0)+IF(AND(OR(Settings!$B$20="Card",Settings!$B$20="Loan"),AND('Month-End'!$CE$8&lt;&gt;"",NOT(_xlfn.ISFORMULA('Month-End'!$CE$8)))),IF(N('Month-End'!$CE$8)&lt;0,1,0),0)+IF(AND(OR(Settings!$B$21="Card",Settings!$B$21="Loan"),AND('Month-End'!$CE$9&lt;&gt;"",NOT(_xlfn.ISFORMULA('Month-End'!$CE$9)))),IF(N('Month-End'!$CE$9)&lt;0,1,0),0)+IF(AND(OR(Settings!$B$22="Card",Settings!$B$22="Loan"),AND('Month-End'!$CE$10&lt;&gt;"",NOT(_xlfn.ISFORMULA('Month-End'!$CE$10)))),IF(N('Month-End'!$CE$10)&lt;0,1,0),0)+IF(AND(OR(Settings!$B$23="Card",Settings!$B$23="Loan"),AND('Month-End'!$CE$11&lt;&gt;"",NOT(_xlfn.ISFORMULA('Month-End'!$CE$11)))),IF(N('Month-End'!$CE$11)&lt;0,1,0),0)+IF(AND(OR(Settings!$B$24="Card",Settings!$B$24="Loan"),AND('Month-End'!$CE$12&lt;&gt;"",NOT(_xlfn.ISFORMULA('Month-End'!$CE$12)))),IF(N('Month-End'!$CE$12)&lt;0,1,0),0)+IF(AND(OR(Settings!$B$25="Card",Settings!$B$25="Loan"),AND('Month-End'!$CE$13&lt;&gt;"",NOT(_xlfn.ISFORMULA('Month-End'!$CE$13)))),IF(N('Month-End'!$CE$13)&lt;0,1,0),0)+IF(AND(OR(Settings!$B$26="Card",Settings!$B$26="Loan"),AND('Month-End'!$CE$14&lt;&gt;"",NOT(_xlfn.ISFORMULA('Month-End'!$CE$14)))),IF(N('Month-End'!$CE$14)&lt;0,1,0),0)+IF(AND(OR(Settings!$B$27="Card",Settings!$B$27="Loan"),AND('Month-End'!$CE$15&lt;&gt;"",NOT(_xlfn.ISFORMULA('Month-End'!$CE$15)))),IF(N('Month-End'!$CE$15)&lt;0,1,0),0)+IF(AND(OR(Settings!$B$28="Card",Settings!$B$28="Loan"),AND('Month-End'!$CE$16&lt;&gt;"",NOT(_xlfn.ISFORMULA('Month-End'!$CE$16)))),IF(N('Month-End'!$CE$16)&lt;0,1,0),0)+IF(AND(OR(Settings!$B$29="Card",Settings!$B$29="Loan"),AND('Month-End'!$CE$17&lt;&gt;"",NOT(_xlfn.ISFORMULA('Month-End'!$CE$17)))),IF(N('Month-End'!$CE$17)&lt;0,1,0),0)+IF(AND(OR(Settings!$B$30="Card",Settings!$B$30="Loan"),AND('Month-End'!$CE$18&lt;&gt;"",NOT(_xlfn.ISFORMULA('Month-End'!$CE$18)))),IF(N('Month-End'!$CE$18)&lt;0,1,0),0)+IF(AND(OR(Settings!$B$31="Card",Settings!$B$31="Loan"),AND('Month-End'!$CE$19&lt;&gt;"",NOT(_xlfn.ISFORMULA('Month-End'!$CE$19)))),IF(N('Month-End'!$CE$19)&lt;0,1,0),0)+IF(AND(OR(Settings!$B$32="Card",Settings!$B$32="Loan"),AND('Month-End'!$CE$20&lt;&gt;"",NOT(_xlfn.ISFORMULA('Month-End'!$CE$20)))),IF(N('Month-End'!$CE$20)&lt;0,1,0),0)</f>
        <v/>
      </c>
      <c r="DX86">
        <f>IF(Settings!$B$36="Retirement",$AY86,0)+IF(Settings!$B$37="Retirement",$AZ86,0)+IF(Settings!$B$38="Retirement",$BA86,0)+IF(Settings!$B$39="Retirement",$BB86,0)+IF(Settings!$B$40="Retirement",$BC86,0)+IF(Settings!$B$41="Retirement",$BD86,0)</f>
        <v/>
      </c>
      <c r="EA86">
        <f>IF(Settings!$A$85="","",Settings!$A$85)</f>
        <v/>
      </c>
      <c r="EB86">
        <f>IF(Settings!$D$85="",0,IF(Settings!$D$85="Specific Account",IFERROR(INDEX($EB$40:$EB$59,MATCH(Settings!$F$85,$EA$40:$EA$59,0)),0),IFERROR(INDEX($EB$6:$EB$26,MATCH(Settings!$D$85,$EA$6:$EA$26,0)),0)))</f>
        <v/>
      </c>
      <c r="EC86">
        <f>IF(Settings!$A$85="","",IF(Settings!$B$85="Tithe Balance",$EB$23,IF(Settings!$E$85="Specific Account",IFERROR(INDEX($EB$40:$EB$59,MATCH(Settings!$F$85,$EA$40:$EA$59,0)),0),IFERROR(INDEX($EB$6:$EB$26,MATCH(Settings!$E$85,$EA$6:$EA$26,0)),0))))</f>
        <v/>
      </c>
      <c r="ED86">
        <f>IF(Settings!$A$85="","",IF(Settings!$B$85="Percentage",EB86*N(Settings!$C$85)/100,IF(Settings!$B$85="Multiple",EB86*N(Settings!$C$85),IF(Settings!$B$85="Tithe Balance",$EB$22,N(Settings!$C$85)))))</f>
        <v/>
      </c>
      <c r="EE86">
        <f>IF(Settings!$A$85="","",IF(Settings!$B$85="Pay Down To",MAX(0,EC86-ED86),MAX(0,ED86-EC86)))</f>
        <v/>
      </c>
      <c r="EF86">
        <f>IF(Settings!$A$85="","",IF(Settings!$B$85="Pay Down To",IF(EC86&lt;=ED86,"Met","Above target"),IF(EC86&gt;=ED86-0.005,"Met","Remaining")))</f>
        <v/>
      </c>
      <c r="EG86">
        <f>IF(Settings!$A$85="","",IF(Settings!$B$85="Pay Down To",IF(EC86&lt;=0,1,MIN(1,ED86/EC86)),IF(ED86&lt;=0,1,EC86/ED86)))</f>
        <v/>
      </c>
      <c r="EH86">
        <f>IF(OR(Settings!$A$85="",EE86&lt;=0),"",IF(Settings!$B$85="Save By Date",IF(Settings!$G$85="","Set a target date","Need "&amp;TEXT(EE86/MAX(1,(YEAR(Settings!$G$85)-YEAR(TODAY()))*12+MONTH(Settings!$G$85)-MONTH(TODAY())+1),"$#,##0")&amp;"/mo to "&amp;TEXT(Settings!$G$85,"mmm yyyy")),IF(Settings!$B$85="Annual Contribution","Need "&amp;TEXT(EE86/MAX(1,12-MONTH(TODAY())+1),"$#,##0")&amp;"/mo rest of year",IF(Settings!$B$85="Tithe Balance","This quarter",""))))</f>
        <v/>
      </c>
      <c r="ET86">
        <f>IF($E86&lt;&gt;"open",0,IF(AND('Month-End'!$CE$22&lt;&gt;"",NOT(_xlfn.ISFORMULA('Month-End'!$CE$22))),0,IF(OR(Settings!$C$45="",Settings!$D$45=""),0,Settings!$C$45*IF(Settings!$D$45="Weekly",IF(IFERROR(MATCH(Settings!$E$45,$EO$4:$EO$10,0),0)=0,0,IF(MIN(Settings!$B$5,IF(Settings!$G$45="",Settings!$B$5,Settings!$G$45))&lt;MAX($A86,Settings!$F$45),0,INT((MIN(Settings!$B$5,IF(Settings!$G$45="",Settings!$B$5,Settings!$G$45))-MAX($A86,Settings!$F$45)-MOD(IFERROR(MATCH(Settings!$E$45,$EO$4:$EO$10,0),0)-WEEKDAY(MAX($A86,Settings!$F$45)),7))/7)+1)),IF(AND(IF(Settings!$E$45="",$B86,DATE(YEAR($A86),MONTH($A86),MIN(Settings!$E$45,DAY($B86))))&gt;=MAX($A86,Settings!$F$45),IF(Settings!$E$45="",$B86,DATE(YEAR($A86),MONTH($A86),MIN(Settings!$E$45,DAY($B86))))&lt;=MIN(Settings!$B$5,IF(Settings!$G$45="",Settings!$B$5,Settings!$G$45))),1,0)))))</f>
        <v/>
      </c>
      <c r="EU86">
        <f>IF($E86&lt;&gt;"open",0,IF(AND('Month-End'!$CE$23&lt;&gt;"",NOT(_xlfn.ISFORMULA('Month-End'!$CE$23))),0,IF(OR(Settings!$C$46="",Settings!$D$46=""),0,Settings!$C$46*IF(Settings!$D$46="Weekly",IF(IFERROR(MATCH(Settings!$E$46,$EO$4:$EO$10,0),0)=0,0,IF(MIN(Settings!$B$5,IF(Settings!$G$46="",Settings!$B$5,Settings!$G$46))&lt;MAX($A86,Settings!$F$46),0,INT((MIN(Settings!$B$5,IF(Settings!$G$46="",Settings!$B$5,Settings!$G$46))-MAX($A86,Settings!$F$46)-MOD(IFERROR(MATCH(Settings!$E$46,$EO$4:$EO$10,0),0)-WEEKDAY(MAX($A86,Settings!$F$46)),7))/7)+1)),IF(AND(IF(Settings!$E$46="",$B86,DATE(YEAR($A86),MONTH($A86),MIN(Settings!$E$46,DAY($B86))))&gt;=MAX($A86,Settings!$F$46),IF(Settings!$E$46="",$B86,DATE(YEAR($A86),MONTH($A86),MIN(Settings!$E$46,DAY($B86))))&lt;=MIN(Settings!$B$5,IF(Settings!$G$46="",Settings!$B$5,Settings!$G$46))),1,0)))))</f>
        <v/>
      </c>
      <c r="EV86">
        <f>IF($E86&lt;&gt;"open",0,IF(AND('Month-End'!$CE$24&lt;&gt;"",NOT(_xlfn.ISFORMULA('Month-End'!$CE$24))),0,IF(OR(Settings!$C$47="",Settings!$D$47=""),0,Settings!$C$47*IF(Settings!$D$47="Weekly",IF(IFERROR(MATCH(Settings!$E$47,$EO$4:$EO$10,0),0)=0,0,IF(MIN(Settings!$B$5,IF(Settings!$G$47="",Settings!$B$5,Settings!$G$47))&lt;MAX($A86,Settings!$F$47),0,INT((MIN(Settings!$B$5,IF(Settings!$G$47="",Settings!$B$5,Settings!$G$47))-MAX($A86,Settings!$F$47)-MOD(IFERROR(MATCH(Settings!$E$47,$EO$4:$EO$10,0),0)-WEEKDAY(MAX($A86,Settings!$F$47)),7))/7)+1)),IF(AND(IF(Settings!$E$47="",$B86,DATE(YEAR($A86),MONTH($A86),MIN(Settings!$E$47,DAY($B86))))&gt;=MAX($A86,Settings!$F$47),IF(Settings!$E$47="",$B86,DATE(YEAR($A86),MONTH($A86),MIN(Settings!$E$47,DAY($B86))))&lt;=MIN(Settings!$B$5,IF(Settings!$G$47="",Settings!$B$5,Settings!$G$47))),1,0)))))</f>
        <v/>
      </c>
      <c r="EW86">
        <f>IF($E86&lt;&gt;"open",0,IF(AND('Month-End'!$CE$25&lt;&gt;"",NOT(_xlfn.ISFORMULA('Month-End'!$CE$25))),0,IF(OR(Settings!$C$48="",Settings!$D$48=""),0,Settings!$C$48*IF(Settings!$D$48="Weekly",IF(IFERROR(MATCH(Settings!$E$48,$EO$4:$EO$10,0),0)=0,0,IF(MIN(Settings!$B$5,IF(Settings!$G$48="",Settings!$B$5,Settings!$G$48))&lt;MAX($A86,Settings!$F$48),0,INT((MIN(Settings!$B$5,IF(Settings!$G$48="",Settings!$B$5,Settings!$G$48))-MAX($A86,Settings!$F$48)-MOD(IFERROR(MATCH(Settings!$E$48,$EO$4:$EO$10,0),0)-WEEKDAY(MAX($A86,Settings!$F$48)),7))/7)+1)),IF(AND(IF(Settings!$E$48="",$B86,DATE(YEAR($A86),MONTH($A86),MIN(Settings!$E$48,DAY($B86))))&gt;=MAX($A86,Settings!$F$48),IF(Settings!$E$48="",$B86,DATE(YEAR($A86),MONTH($A86),MIN(Settings!$E$48,DAY($B86))))&lt;=MIN(Settings!$B$5,IF(Settings!$G$48="",Settings!$B$5,Settings!$G$48))),1,0)))))</f>
        <v/>
      </c>
      <c r="EX86">
        <f>IF($E86&lt;&gt;"open",0,IF(AND('Month-End'!$CE$26&lt;&gt;"",NOT(_xlfn.ISFORMULA('Month-End'!$CE$26))),0,IF(OR(Settings!$C$49="",Settings!$D$49=""),0,Settings!$C$49*IF(Settings!$D$49="Weekly",IF(IFERROR(MATCH(Settings!$E$49,$EO$4:$EO$10,0),0)=0,0,IF(MIN(Settings!$B$5,IF(Settings!$G$49="",Settings!$B$5,Settings!$G$49))&lt;MAX($A86,Settings!$F$49),0,INT((MIN(Settings!$B$5,IF(Settings!$G$49="",Settings!$B$5,Settings!$G$49))-MAX($A86,Settings!$F$49)-MOD(IFERROR(MATCH(Settings!$E$49,$EO$4:$EO$10,0),0)-WEEKDAY(MAX($A86,Settings!$F$49)),7))/7)+1)),IF(AND(IF(Settings!$E$49="",$B86,DATE(YEAR($A86),MONTH($A86),MIN(Settings!$E$49,DAY($B86))))&gt;=MAX($A86,Settings!$F$49),IF(Settings!$E$49="",$B86,DATE(YEAR($A86),MONTH($A86),MIN(Settings!$E$49,DAY($B86))))&lt;=MIN(Settings!$B$5,IF(Settings!$G$49="",Settings!$B$5,Settings!$G$49))),1,0)))))</f>
        <v/>
      </c>
      <c r="EY86">
        <f>IF($E86&lt;&gt;"open",0,IF(AND('Month-End'!$CE$27&lt;&gt;"",NOT(_xlfn.ISFORMULA('Month-End'!$CE$27))),0,IF(OR(Settings!$C$50="",Settings!$D$50=""),0,Settings!$C$50*IF(Settings!$D$50="Weekly",IF(IFERROR(MATCH(Settings!$E$50,$EO$4:$EO$10,0),0)=0,0,IF(MIN(Settings!$B$5,IF(Settings!$G$50="",Settings!$B$5,Settings!$G$50))&lt;MAX($A86,Settings!$F$50),0,INT((MIN(Settings!$B$5,IF(Settings!$G$50="",Settings!$B$5,Settings!$G$50))-MAX($A86,Settings!$F$50)-MOD(IFERROR(MATCH(Settings!$E$50,$EO$4:$EO$10,0),0)-WEEKDAY(MAX($A86,Settings!$F$50)),7))/7)+1)),IF(AND(IF(Settings!$E$50="",$B86,DATE(YEAR($A86),MONTH($A86),MIN(Settings!$E$50,DAY($B86))))&gt;=MAX($A86,Settings!$F$50),IF(Settings!$E$50="",$B86,DATE(YEAR($A86),MONTH($A86),MIN(Settings!$E$50,DAY($B86))))&lt;=MIN(Settings!$B$5,IF(Settings!$G$50="",Settings!$B$5,Settings!$G$50))),1,0)))))</f>
        <v/>
      </c>
      <c r="EZ86">
        <f>IF($E86&lt;&gt;"open",0,IF(AND('Month-End'!$CE$28&lt;&gt;"",NOT(_xlfn.ISFORMULA('Month-End'!$CE$28))),0,IF(OR(Settings!$C$51="",Settings!$D$51=""),0,Settings!$C$51*IF(Settings!$D$51="Weekly",IF(IFERROR(MATCH(Settings!$E$51,$EO$4:$EO$10,0),0)=0,0,IF(MIN(Settings!$B$5,IF(Settings!$G$51="",Settings!$B$5,Settings!$G$51))&lt;MAX($A86,Settings!$F$51),0,INT((MIN(Settings!$B$5,IF(Settings!$G$51="",Settings!$B$5,Settings!$G$51))-MAX($A86,Settings!$F$51)-MOD(IFERROR(MATCH(Settings!$E$51,$EO$4:$EO$10,0),0)-WEEKDAY(MAX($A86,Settings!$F$51)),7))/7)+1)),IF(AND(IF(Settings!$E$51="",$B86,DATE(YEAR($A86),MONTH($A86),MIN(Settings!$E$51,DAY($B86))))&gt;=MAX($A86,Settings!$F$51),IF(Settings!$E$51="",$B86,DATE(YEAR($A86),MONTH($A86),MIN(Settings!$E$51,DAY($B86))))&lt;=MIN(Settings!$B$5,IF(Settings!$G$51="",Settings!$B$5,Settings!$G$51))),1,0)))))</f>
        <v/>
      </c>
      <c r="FA86">
        <f>IF($E86&lt;&gt;"open",0,IF(AND('Month-End'!$CE$29&lt;&gt;"",NOT(_xlfn.ISFORMULA('Month-End'!$CE$29))),0,IF(OR(Settings!$C$52="",Settings!$D$52=""),0,Settings!$C$52*IF(Settings!$D$52="Weekly",IF(IFERROR(MATCH(Settings!$E$52,$EO$4:$EO$10,0),0)=0,0,IF(MIN(Settings!$B$5,IF(Settings!$G$52="",Settings!$B$5,Settings!$G$52))&lt;MAX($A86,Settings!$F$52),0,INT((MIN(Settings!$B$5,IF(Settings!$G$52="",Settings!$B$5,Settings!$G$52))-MAX($A86,Settings!$F$52)-MOD(IFERROR(MATCH(Settings!$E$52,$EO$4:$EO$10,0),0)-WEEKDAY(MAX($A86,Settings!$F$52)),7))/7)+1)),IF(AND(IF(Settings!$E$52="",$B86,DATE(YEAR($A86),MONTH($A86),MIN(Settings!$E$52,DAY($B86))))&gt;=MAX($A86,Settings!$F$52),IF(Settings!$E$52="",$B86,DATE(YEAR($A86),MONTH($A86),MIN(Settings!$E$52,DAY($B86))))&lt;=MIN(Settings!$B$5,IF(Settings!$G$52="",Settings!$B$5,Settings!$G$52))),1,0)))))</f>
        <v/>
      </c>
      <c r="FB86">
        <f>IF($E86&lt;&gt;"open",0,IF(AND('Month-End'!$CE$30&lt;&gt;"",NOT(_xlfn.ISFORMULA('Month-End'!$CE$30))),0,IF(OR(Settings!$C$53="",Settings!$D$53=""),0,Settings!$C$53*IF(Settings!$D$53="Weekly",IF(IFERROR(MATCH(Settings!$E$53,$EO$4:$EO$10,0),0)=0,0,IF(MIN(Settings!$B$5,IF(Settings!$G$53="",Settings!$B$5,Settings!$G$53))&lt;MAX($A86,Settings!$F$53),0,INT((MIN(Settings!$B$5,IF(Settings!$G$53="",Settings!$B$5,Settings!$G$53))-MAX($A86,Settings!$F$53)-MOD(IFERROR(MATCH(Settings!$E$53,$EO$4:$EO$10,0),0)-WEEKDAY(MAX($A86,Settings!$F$53)),7))/7)+1)),IF(AND(IF(Settings!$E$53="",$B86,DATE(YEAR($A86),MONTH($A86),MIN(Settings!$E$53,DAY($B86))))&gt;=MAX($A86,Settings!$F$53),IF(Settings!$E$53="",$B86,DATE(YEAR($A86),MONTH($A86),MIN(Settings!$E$53,DAY($B86))))&lt;=MIN(Settings!$B$5,IF(Settings!$G$53="",Settings!$B$5,Settings!$G$53))),1,0)))))</f>
        <v/>
      </c>
      <c r="FC86">
        <f>IF($E86&lt;&gt;"open",0,IF(AND('Month-End'!$CE$31&lt;&gt;"",NOT(_xlfn.ISFORMULA('Month-End'!$CE$31))),0,IF(OR(Settings!$C$54="",Settings!$D$54=""),0,Settings!$C$54*IF(Settings!$D$54="Weekly",IF(IFERROR(MATCH(Settings!$E$54,$EO$4:$EO$10,0),0)=0,0,IF(MIN(Settings!$B$5,IF(Settings!$G$54="",Settings!$B$5,Settings!$G$54))&lt;MAX($A86,Settings!$F$54),0,INT((MIN(Settings!$B$5,IF(Settings!$G$54="",Settings!$B$5,Settings!$G$54))-MAX($A86,Settings!$F$54)-MOD(IFERROR(MATCH(Settings!$E$54,$EO$4:$EO$10,0),0)-WEEKDAY(MAX($A86,Settings!$F$54)),7))/7)+1)),IF(AND(IF(Settings!$E$54="",$B86,DATE(YEAR($A86),MONTH($A86),MIN(Settings!$E$54,DAY($B86))))&gt;=MAX($A86,Settings!$F$54),IF(Settings!$E$54="",$B86,DATE(YEAR($A86),MONTH($A86),MIN(Settings!$E$54,DAY($B86))))&lt;=MIN(Settings!$B$5,IF(Settings!$G$54="",Settings!$B$5,Settings!$G$54))),1,0)))))</f>
        <v/>
      </c>
      <c r="FD86">
        <f>IF($E86&lt;&gt;"open",0,IF(AND('Month-End'!$CE$32&lt;&gt;"",NOT(_xlfn.ISFORMULA('Month-End'!$CE$32))),0,IF(OR(Settings!$C$55="",Settings!$D$55=""),0,Settings!$C$55*IF(Settings!$D$55="Weekly",IF(IFERROR(MATCH(Settings!$E$55,$EO$4:$EO$10,0),0)=0,0,IF(MIN(Settings!$B$5,IF(Settings!$G$55="",Settings!$B$5,Settings!$G$55))&lt;MAX($A86,Settings!$F$55),0,INT((MIN(Settings!$B$5,IF(Settings!$G$55="",Settings!$B$5,Settings!$G$55))-MAX($A86,Settings!$F$55)-MOD(IFERROR(MATCH(Settings!$E$55,$EO$4:$EO$10,0),0)-WEEKDAY(MAX($A86,Settings!$F$55)),7))/7)+1)),IF(AND(IF(Settings!$E$55="",$B86,DATE(YEAR($A86),MONTH($A86),MIN(Settings!$E$55,DAY($B86))))&gt;=MAX($A86,Settings!$F$55),IF(Settings!$E$55="",$B86,DATE(YEAR($A86),MONTH($A86),MIN(Settings!$E$55,DAY($B86))))&lt;=MIN(Settings!$B$5,IF(Settings!$G$55="",Settings!$B$5,Settings!$G$55))),1,0)))))</f>
        <v/>
      </c>
      <c r="FE86">
        <f>IF($E86&lt;&gt;"open",0,IF(AND('Month-End'!$CE$33&lt;&gt;"",NOT(_xlfn.ISFORMULA('Month-End'!$CE$33))),0,IF(OR(Settings!$C$56="",Settings!$D$56=""),0,Settings!$C$56*IF(Settings!$D$56="Weekly",IF(IFERROR(MATCH(Settings!$E$56,$EO$4:$EO$10,0),0)=0,0,IF(MIN(Settings!$B$5,IF(Settings!$G$56="",Settings!$B$5,Settings!$G$56))&lt;MAX($A86,Settings!$F$56),0,INT((MIN(Settings!$B$5,IF(Settings!$G$56="",Settings!$B$5,Settings!$G$56))-MAX($A86,Settings!$F$56)-MOD(IFERROR(MATCH(Settings!$E$56,$EO$4:$EO$10,0),0)-WEEKDAY(MAX($A86,Settings!$F$56)),7))/7)+1)),IF(AND(IF(Settings!$E$56="",$B86,DATE(YEAR($A86),MONTH($A86),MIN(Settings!$E$56,DAY($B86))))&gt;=MAX($A86,Settings!$F$56),IF(Settings!$E$56="",$B86,DATE(YEAR($A86),MONTH($A86),MIN(Settings!$E$56,DAY($B86))))&lt;=MIN(Settings!$B$5,IF(Settings!$G$56="",Settings!$B$5,Settings!$G$56))),1,0)))))</f>
        <v/>
      </c>
      <c r="FF86">
        <f>IF(Settings!$I$45="Yes",$G86,0)+IF(Settings!$I$46="Yes",$H86,0)+IF(Settings!$I$47="Yes",$I86,0)+IF(Settings!$I$48="Yes",$J86,0)+IF(Settings!$I$49="Yes",$K86,0)+IF(Settings!$I$50="Yes",$L86,0)+IF(Settings!$I$51="Yes",$M86,0)+IF(Settings!$I$52="Yes",$N86,0)+IF(Settings!$I$53="Yes",$O86,0)+IF(Settings!$I$54="Yes",$P86,0)+IF(Settings!$I$55="Yes",$Q86,0)+IF(Settings!$I$56="Yes",$R86,0)</f>
        <v/>
      </c>
      <c r="FG86">
        <f>IF(AND(Settings!$I$45="Yes",Settings!$J$45="No"),$G86,0)+IF(AND(Settings!$I$46="Yes",Settings!$J$46="No"),$H86,0)+IF(AND(Settings!$I$47="Yes",Settings!$J$47="No"),$I86,0)+IF(AND(Settings!$I$48="Yes",Settings!$J$48="No"),$J86,0)+IF(AND(Settings!$I$49="Yes",Settings!$J$49="No"),$K86,0)+IF(AND(Settings!$I$50="Yes",Settings!$J$50="No"),$L86,0)+IF(AND(Settings!$I$51="Yes",Settings!$J$51="No"),$M86,0)+IF(AND(Settings!$I$52="Yes",Settings!$J$52="No"),$N86,0)+IF(AND(Settings!$I$53="Yes",Settings!$J$53="No"),$O86,0)+IF(AND(Settings!$I$54="Yes",Settings!$J$54="No"),$P86,0)+IF(AND(Settings!$I$55="Yes",Settings!$J$55="No"),$Q86,0)+IF(AND(Settings!$I$56="Yes",Settings!$J$56="No"),$R86,0)</f>
        <v/>
      </c>
      <c r="FH86">
        <f>SUMIFS(Giving!$B$7:$B$2006,Giving!$A$7:$A$2006,"&gt;="&amp;$A86,Giving!$A$7:$A$2006,"&lt;="&amp;$B86,Giving!$G$7:$G$2006,"Yes")+IF(OR(OR(Settings!$B$60="",Settings!$F$60="No"),Settings!$H$60&lt;&gt;"Yes"),0,Settings!$B$60*IF(AND(IF(Settings!$C$60="",$B86,DATE(YEAR($A86),MONTH($A86),MIN(Settings!$C$60,DAY($B86))))&gt;=MAX($A86,Settings!$D$60),IF(Settings!$C$60="",$B86,DATE(YEAR($A86),MONTH($A86),MIN(Settings!$C$60,DAY($B86))))&lt;=MIN($C86,IF(Settings!$E$60="",$C86,Settings!$E$60))),1,0))+IF(OR(OR(Settings!$B$61="",Settings!$F$61="No"),Settings!$H$61&lt;&gt;"Yes"),0,Settings!$B$61*IF(AND(IF(Settings!$C$61="",$B86,DATE(YEAR($A86),MONTH($A86),MIN(Settings!$C$61,DAY($B86))))&gt;=MAX($A86,Settings!$D$61),IF(Settings!$C$61="",$B86,DATE(YEAR($A86),MONTH($A86),MIN(Settings!$C$61,DAY($B86))))&lt;=MIN($C86,IF(Settings!$E$61="",$C86,Settings!$E$61))),1,0))+IF(OR(OR(Settings!$B$62="",Settings!$F$62="No"),Settings!$H$62&lt;&gt;"Yes"),0,Settings!$B$62*IF(AND(IF(Settings!$C$62="",$B86,DATE(YEAR($A86),MONTH($A86),MIN(Settings!$C$62,DAY($B86))))&gt;=MAX($A86,Settings!$D$62),IF(Settings!$C$62="",$B86,DATE(YEAR($A86),MONTH($A86),MIN(Settings!$C$62,DAY($B86))))&lt;=MIN($C86,IF(Settings!$E$62="",$C86,Settings!$E$62))),1,0))+IF(OR(OR(Settings!$B$63="",Settings!$F$63="No"),Settings!$H$63&lt;&gt;"Yes"),0,Settings!$B$63*IF(AND(IF(Settings!$C$63="",$B86,DATE(YEAR($A86),MONTH($A86),MIN(Settings!$C$63,DAY($B86))))&gt;=MAX($A86,Settings!$D$63),IF(Settings!$C$63="",$B86,DATE(YEAR($A86),MONTH($A86),MIN(Settings!$C$63,DAY($B86))))&lt;=MIN($C86,IF(Settings!$E$63="",$C86,Settings!$E$63))),1,0))+IF(OR(OR(Settings!$B$64="",Settings!$F$64="No"),Settings!$H$64&lt;&gt;"Yes"),0,Settings!$B$64*IF(AND(IF(Settings!$C$64="",$B86,DATE(YEAR($A86),MONTH($A86),MIN(Settings!$C$64,DAY($B86))))&gt;=MAX($A86,Settings!$D$64),IF(Settings!$C$64="",$B86,DATE(YEAR($A86),MONTH($A86),MIN(Settings!$C$64,DAY($B86))))&lt;=MIN($C86,IF(Settings!$E$64="",$C86,Settings!$E$64))),1,0))+IF(OR(OR(Settings!$B$65="",Settings!$F$65="No"),Settings!$H$65&lt;&gt;"Yes"),0,Settings!$B$65*IF(AND(IF(Settings!$C$65="",$B86,DATE(YEAR($A86),MONTH($A86),MIN(Settings!$C$65,DAY($B86))))&gt;=MAX($A86,Settings!$D$65),IF(Settings!$C$65="",$B86,DATE(YEAR($A86),MONTH($A86),MIN(Settings!$C$65,DAY($B86))))&lt;=MIN($C86,IF(Settings!$E$65="",$C86,Settings!$E$65))),1,0))</f>
        <v/>
      </c>
      <c r="FI86">
        <f>IF($DT86=1,IF(OR(Settings!$B$19="Card",Settings!$B$19="Loan"),N($AE86),0)+IF(OR(Settings!$B$20="Card",Settings!$B$20="Loan"),N($AF86),0)+IF(OR(Settings!$B$21="Card",Settings!$B$21="Loan"),N($AG86),0)+IF(OR(Settings!$B$22="Card",Settings!$B$22="Loan"),N($AH86),0)+IF(OR(Settings!$B$23="Card",Settings!$B$23="Loan"),N($AI86),0)+IF(OR(Settings!$B$24="Card",Settings!$B$24="Loan"),N($AJ86),0)+IF(OR(Settings!$B$25="Card",Settings!$B$25="Loan"),N($AK86),0)+IF(OR(Settings!$B$26="Card",Settings!$B$26="Loan"),N($AL86),0)+IF(OR(Settings!$B$27="Card",Settings!$B$27="Loan"),N($AM86),0)+IF(OR(Settings!$B$28="Card",Settings!$B$28="Loan"),N($AN86),0)+IF(OR(Settings!$B$29="Card",Settings!$B$29="Loan"),N($AO86),0)+IF(OR(Settings!$B$30="Card",Settings!$B$30="Loan"),N($AP86),0)+IF(OR(Settings!$B$31="Card",Settings!$B$31="Loan"),N($AQ86),0)+IF(OR(Settings!$B$32="Card",Settings!$B$32="Loan"),N($AR86),0),"")</f>
        <v/>
      </c>
      <c r="FJ86">
        <f>IF($E86="open",$EB$65,IF($E86="post",IF($E85="pre",$EB$65,$FI85),""))</f>
        <v/>
      </c>
      <c r="FK86">
        <f>IF(AND($DT86=1,$DC86=1),IF(ROUND($FI86-$FJ86,2)&gt;0,1,0),0)</f>
        <v/>
      </c>
      <c r="FL86">
        <f>IF($FK86=1,$FL85+1,0)</f>
        <v/>
      </c>
    </row>
    <row r="87">
      <c r="A87">
        <f>'Month-End'!$CF$4</f>
        <v/>
      </c>
      <c r="B87">
        <f>EOMONTH($A87,0)</f>
        <v/>
      </c>
      <c r="C87">
        <f>MIN($B87,TODAY())</f>
        <v/>
      </c>
      <c r="D87">
        <f>IF($A87&gt;TODAY(),1,0)</f>
        <v/>
      </c>
      <c r="E87">
        <f>IF($B87&lt;=Settings!$B$5,"pre",IF($A87&lt;=Settings!$B$5,"open","post"))</f>
        <v/>
      </c>
      <c r="G87">
        <f>IF('Month-End'!$CF$22="",$BE87,N('Month-End'!$CF$22))</f>
        <v/>
      </c>
      <c r="H87">
        <f>IF('Month-End'!$CF$23="",$BF87,N('Month-End'!$CF$23))</f>
        <v/>
      </c>
      <c r="I87">
        <f>IF('Month-End'!$CF$24="",$BG87,N('Month-End'!$CF$24))</f>
        <v/>
      </c>
      <c r="J87">
        <f>IF('Month-End'!$CF$25="",$BH87,N('Month-End'!$CF$25))</f>
        <v/>
      </c>
      <c r="K87">
        <f>IF('Month-End'!$CF$26="",$BI87,N('Month-End'!$CF$26))</f>
        <v/>
      </c>
      <c r="L87">
        <f>IF('Month-End'!$CF$27="",$BJ87,N('Month-End'!$CF$27))</f>
        <v/>
      </c>
      <c r="M87">
        <f>IF('Month-End'!$CF$28="",$BK87,N('Month-End'!$CF$28))</f>
        <v/>
      </c>
      <c r="N87">
        <f>IF('Month-End'!$CF$29="",$BL87,N('Month-End'!$CF$29))</f>
        <v/>
      </c>
      <c r="O87">
        <f>IF('Month-End'!$CF$30="",$BM87,N('Month-End'!$CF$30))</f>
        <v/>
      </c>
      <c r="P87">
        <f>IF('Month-End'!$CF$31="",$BN87,N('Month-End'!$CF$31))</f>
        <v/>
      </c>
      <c r="Q87">
        <f>IF('Month-End'!$CF$32="",$BO87,N('Month-End'!$CF$32))</f>
        <v/>
      </c>
      <c r="R87">
        <f>IF('Month-End'!$CF$33="",$BP87,N('Month-End'!$CF$33))</f>
        <v/>
      </c>
      <c r="S87">
        <f>$G87+$H87+$I87+$J87+$K87+$L87+$M87+$N87+$O87+$P87+$Q87+$R87</f>
        <v/>
      </c>
      <c r="T87">
        <f>IF($B87&lt;Settings!$B$6,0,IF(Settings!$B$45="Yes",$G87,0)+IF(Settings!$B$46="Yes",$H87,0)+IF(Settings!$B$47="Yes",$I87,0)+IF(Settings!$B$48="Yes",$J87,0)+IF(Settings!$B$49="Yes",$K87,0)+IF(Settings!$B$50="Yes",$L87,0)+IF(Settings!$B$51="Yes",$M87,0)+IF(Settings!$B$52="Yes",$N87,0)+IF(Settings!$B$53="Yes",$O87,0)+IF(Settings!$B$54="Yes",$P87,0)+IF(Settings!$B$55="Yes",$Q87,0)+IF(Settings!$B$56="Yes",$R87,0))</f>
        <v/>
      </c>
      <c r="U87">
        <f>IF(Settings!$B$45="Not Sure",$G87,0)+IF(Settings!$B$46="Not Sure",$H87,0)+IF(Settings!$B$47="Not Sure",$I87,0)+IF(Settings!$B$48="Not Sure",$J87,0)+IF(Settings!$B$49="Not Sure",$K87,0)+IF(Settings!$B$50="Not Sure",$L87,0)+IF(Settings!$B$51="Not Sure",$M87,0)+IF(Settings!$B$52="Not Sure",$N87,0)+IF(Settings!$B$53="Not Sure",$O87,0)+IF(Settings!$B$54="Not Sure",$P87,0)+IF(Settings!$B$55="Not Sure",$Q87,0)+IF(Settings!$B$56="Not Sure",$R87,0)</f>
        <v/>
      </c>
      <c r="V87">
        <f>IF($E87="open",SUM($ET87:$FE87)+N(Settings!$B$13),0)</f>
        <v/>
      </c>
      <c r="W87">
        <f>IF($E87="post",$S87,IF($E87="open",$S87-$V87,0))</f>
        <v/>
      </c>
      <c r="X87">
        <f>SUMIFS(Giving!$B$7:$B$2006,Giving!$A$7:$A$2006,"&gt;="&amp;$A87,Giving!$A$7:$A$2006,"&lt;="&amp;$B87,Giving!$E$7:$E$2006,"&lt;&gt;No")</f>
        <v/>
      </c>
      <c r="Y87">
        <f>SUMIFS(Giving!$B$7:$B$2006,Giving!$A$7:$A$2006,"&gt;="&amp;$A87,Giving!$A$7:$A$2006,"&lt;="&amp;$B87,Giving!$E$7:$E$2006,"No")</f>
        <v/>
      </c>
      <c r="Z87">
        <f>IF(OR(Settings!$B$60="",Settings!$F$60="No"),0,Settings!$B$60*IF(AND(IF(Settings!$C$60="",$B87,DATE(YEAR($A87),MONTH($A87),MIN(Settings!$C$60,DAY($B87))))&gt;=MAX($A87,Settings!$D$60),IF(Settings!$C$60="",$B87,DATE(YEAR($A87),MONTH($A87),MIN(Settings!$C$60,DAY($B87))))&lt;=MIN($C87,IF(Settings!$E$60="",$C87,Settings!$E$60))),1,0))+IF(OR(Settings!$B$61="",Settings!$F$61="No"),0,Settings!$B$61*IF(AND(IF(Settings!$C$61="",$B87,DATE(YEAR($A87),MONTH($A87),MIN(Settings!$C$61,DAY($B87))))&gt;=MAX($A87,Settings!$D$61),IF(Settings!$C$61="",$B87,DATE(YEAR($A87),MONTH($A87),MIN(Settings!$C$61,DAY($B87))))&lt;=MIN($C87,IF(Settings!$E$61="",$C87,Settings!$E$61))),1,0))+IF(OR(Settings!$B$62="",Settings!$F$62="No"),0,Settings!$B$62*IF(AND(IF(Settings!$C$62="",$B87,DATE(YEAR($A87),MONTH($A87),MIN(Settings!$C$62,DAY($B87))))&gt;=MAX($A87,Settings!$D$62),IF(Settings!$C$62="",$B87,DATE(YEAR($A87),MONTH($A87),MIN(Settings!$C$62,DAY($B87))))&lt;=MIN($C87,IF(Settings!$E$62="",$C87,Settings!$E$62))),1,0))+IF(OR(Settings!$B$63="",Settings!$F$63="No"),0,Settings!$B$63*IF(AND(IF(Settings!$C$63="",$B87,DATE(YEAR($A87),MONTH($A87),MIN(Settings!$C$63,DAY($B87))))&gt;=MAX($A87,Settings!$D$63),IF(Settings!$C$63="",$B87,DATE(YEAR($A87),MONTH($A87),MIN(Settings!$C$63,DAY($B87))))&lt;=MIN($C87,IF(Settings!$E$63="",$C87,Settings!$E$63))),1,0))+IF(OR(Settings!$B$64="",Settings!$F$64="No"),0,Settings!$B$64*IF(AND(IF(Settings!$C$64="",$B87,DATE(YEAR($A87),MONTH($A87),MIN(Settings!$C$64,DAY($B87))))&gt;=MAX($A87,Settings!$D$64),IF(Settings!$C$64="",$B87,DATE(YEAR($A87),MONTH($A87),MIN(Settings!$C$64,DAY($B87))))&lt;=MIN($C87,IF(Settings!$E$64="",$C87,Settings!$E$64))),1,0))+IF(OR(Settings!$B$65="",Settings!$F$65="No"),0,Settings!$B$65*IF(AND(IF(Settings!$C$65="",$B87,DATE(YEAR($A87),MONTH($A87),MIN(Settings!$C$65,DAY($B87))))&gt;=MAX($A87,Settings!$D$65),IF(Settings!$C$65="",$B87,DATE(YEAR($A87),MONTH($A87),MIN(Settings!$C$65,DAY($B87))))&lt;=MIN($C87,IF(Settings!$E$65="",$C87,Settings!$E$65))),1,0))</f>
        <v/>
      </c>
      <c r="AA87">
        <f>$X87+$Z87</f>
        <v/>
      </c>
      <c r="AB87">
        <f>IF($E87="post",$AA87,IF($E87="open",SUMIFS(Giving!$B$7:$B$2006,Giving!$A$7:$A$2006,"&gt;"&amp;Settings!$B$5,Giving!$A$7:$A$2006,"&lt;="&amp;$B87,Giving!$E$7:$E$2006,"&lt;&gt;No")+IF(OR(Settings!$B$60="",Settings!$F$60="No"),0,Settings!$B$60*IF(AND(IF(Settings!$C$60="",$B87,DATE(YEAR($A87),MONTH($A87),MIN(Settings!$C$60,DAY($B87))))&gt;=MAX($A87,Settings!$D$60,Settings!$B$5+1),IF(Settings!$C$60="",$B87,DATE(YEAR($A87),MONTH($A87),MIN(Settings!$C$60,DAY($B87))))&lt;=MIN($C87,IF(Settings!$E$60="",$C87,Settings!$E$60))),1,0))+IF(OR(Settings!$B$61="",Settings!$F$61="No"),0,Settings!$B$61*IF(AND(IF(Settings!$C$61="",$B87,DATE(YEAR($A87),MONTH($A87),MIN(Settings!$C$61,DAY($B87))))&gt;=MAX($A87,Settings!$D$61,Settings!$B$5+1),IF(Settings!$C$61="",$B87,DATE(YEAR($A87),MONTH($A87),MIN(Settings!$C$61,DAY($B87))))&lt;=MIN($C87,IF(Settings!$E$61="",$C87,Settings!$E$61))),1,0))+IF(OR(Settings!$B$62="",Settings!$F$62="No"),0,Settings!$B$62*IF(AND(IF(Settings!$C$62="",$B87,DATE(YEAR($A87),MONTH($A87),MIN(Settings!$C$62,DAY($B87))))&gt;=MAX($A87,Settings!$D$62,Settings!$B$5+1),IF(Settings!$C$62="",$B87,DATE(YEAR($A87),MONTH($A87),MIN(Settings!$C$62,DAY($B87))))&lt;=MIN($C87,IF(Settings!$E$62="",$C87,Settings!$E$62))),1,0))+IF(OR(Settings!$B$63="",Settings!$F$63="No"),0,Settings!$B$63*IF(AND(IF(Settings!$C$63="",$B87,DATE(YEAR($A87),MONTH($A87),MIN(Settings!$C$63,DAY($B87))))&gt;=MAX($A87,Settings!$D$63,Settings!$B$5+1),IF(Settings!$C$63="",$B87,DATE(YEAR($A87),MONTH($A87),MIN(Settings!$C$63,DAY($B87))))&lt;=MIN($C87,IF(Settings!$E$63="",$C87,Settings!$E$63))),1,0))+IF(OR(Settings!$B$64="",Settings!$F$64="No"),0,Settings!$B$64*IF(AND(IF(Settings!$C$64="",$B87,DATE(YEAR($A87),MONTH($A87),MIN(Settings!$C$64,DAY($B87))))&gt;=MAX($A87,Settings!$D$64,Settings!$B$5+1),IF(Settings!$C$64="",$B87,DATE(YEAR($A87),MONTH($A87),MIN(Settings!$C$64,DAY($B87))))&lt;=MIN($C87,IF(Settings!$E$64="",$C87,Settings!$E$64))),1,0))+IF(OR(Settings!$B$65="",Settings!$F$65="No"),0,Settings!$B$65*IF(AND(IF(Settings!$C$65="",$B87,DATE(YEAR($A87),MONTH($A87),MIN(Settings!$C$65,DAY($B87))))&gt;=MAX($A87,Settings!$D$65,Settings!$B$5+1),IF(Settings!$C$65="",$B87,DATE(YEAR($A87),MONTH($A87),MIN(Settings!$C$65,DAY($B87))))&lt;=MIN($C87,IF(Settings!$E$65="",$C87,Settings!$E$65))),1,0)),0))</f>
        <v/>
      </c>
      <c r="AC87">
        <f>$AY87+$AZ87+$BA87+$BB87+$BC87+$BD87</f>
        <v/>
      </c>
      <c r="AD87">
        <f>$AC87</f>
        <v/>
      </c>
      <c r="AE87">
        <f>IF(OR(Settings!$A$19="",$E87="pre"),"",IF(AND('Month-End'!$CF$7&lt;&gt;"",NOT(_xlfn.ISFORMULA('Month-End'!$CF$7))),N('Month-End'!$CF$7),IF(OR($E87="open",$E86="pre"),N(Settings!$C$19),N($AE86))))</f>
        <v/>
      </c>
      <c r="AF87">
        <f>IF(OR(Settings!$A$20="",$E87="pre"),"",IF(AND('Month-End'!$CF$8&lt;&gt;"",NOT(_xlfn.ISFORMULA('Month-End'!$CF$8))),N('Month-End'!$CF$8),IF(OR($E87="open",$E86="pre"),N(Settings!$C$20),N($AF86))))</f>
        <v/>
      </c>
      <c r="AG87">
        <f>IF(OR(Settings!$A$21="",$E87="pre"),"",IF(AND('Month-End'!$CF$9&lt;&gt;"",NOT(_xlfn.ISFORMULA('Month-End'!$CF$9))),N('Month-End'!$CF$9),IF(OR($E87="open",$E86="pre"),N(Settings!$C$21),N($AG86))))</f>
        <v/>
      </c>
      <c r="AH87">
        <f>IF(OR(Settings!$A$22="",$E87="pre"),"",IF(AND('Month-End'!$CF$10&lt;&gt;"",NOT(_xlfn.ISFORMULA('Month-End'!$CF$10))),N('Month-End'!$CF$10),IF(OR($E87="open",$E86="pre"),N(Settings!$C$22),N($AH86))))</f>
        <v/>
      </c>
      <c r="AI87">
        <f>IF(OR(Settings!$A$23="",$E87="pre"),"",IF(AND('Month-End'!$CF$11&lt;&gt;"",NOT(_xlfn.ISFORMULA('Month-End'!$CF$11))),N('Month-End'!$CF$11),IF(OR($E87="open",$E86="pre"),N(Settings!$C$23),N($AI86))))</f>
        <v/>
      </c>
      <c r="AJ87">
        <f>IF(OR(Settings!$A$24="",$E87="pre"),"",IF(AND('Month-End'!$CF$12&lt;&gt;"",NOT(_xlfn.ISFORMULA('Month-End'!$CF$12))),N('Month-End'!$CF$12),IF(OR($E87="open",$E86="pre"),N(Settings!$C$24),N($AJ86))))</f>
        <v/>
      </c>
      <c r="AK87">
        <f>IF(OR(Settings!$A$25="",$E87="pre"),"",IF(AND('Month-End'!$CF$13&lt;&gt;"",NOT(_xlfn.ISFORMULA('Month-End'!$CF$13))),N('Month-End'!$CF$13),IF(OR($E87="open",$E86="pre"),N(Settings!$C$25),N($AK86))))</f>
        <v/>
      </c>
      <c r="AL87">
        <f>IF(OR(Settings!$A$26="",$E87="pre"),"",IF(AND('Month-End'!$CF$14&lt;&gt;"",NOT(_xlfn.ISFORMULA('Month-End'!$CF$14))),N('Month-End'!$CF$14),IF(OR($E87="open",$E86="pre"),N(Settings!$C$26),N($AL86))))</f>
        <v/>
      </c>
      <c r="AM87">
        <f>IF(OR(Settings!$A$27="",$E87="pre"),"",IF(AND('Month-End'!$CF$15&lt;&gt;"",NOT(_xlfn.ISFORMULA('Month-End'!$CF$15))),N('Month-End'!$CF$15),IF(OR($E87="open",$E86="pre"),N(Settings!$C$27),N($AM86))))</f>
        <v/>
      </c>
      <c r="AN87">
        <f>IF(OR(Settings!$A$28="",$E87="pre"),"",IF(AND('Month-End'!$CF$16&lt;&gt;"",NOT(_xlfn.ISFORMULA('Month-End'!$CF$16))),N('Month-End'!$CF$16),IF(OR($E87="open",$E86="pre"),N(Settings!$C$28),N($AN86))))</f>
        <v/>
      </c>
      <c r="AO87">
        <f>IF(OR(Settings!$A$29="",$E87="pre"),"",IF(AND('Month-End'!$CF$17&lt;&gt;"",NOT(_xlfn.ISFORMULA('Month-End'!$CF$17))),N('Month-End'!$CF$17),IF(OR($E87="open",$E86="pre"),N(Settings!$C$29),N($AO86))))</f>
        <v/>
      </c>
      <c r="AP87">
        <f>IF(OR(Settings!$A$30="",$E87="pre"),"",IF(AND('Month-End'!$CF$18&lt;&gt;"",NOT(_xlfn.ISFORMULA('Month-End'!$CF$18))),N('Month-End'!$CF$18),IF(OR($E87="open",$E86="pre"),N(Settings!$C$30),N($AP86))))</f>
        <v/>
      </c>
      <c r="AQ87">
        <f>IF(OR(Settings!$A$31="",$E87="pre"),"",IF(AND('Month-End'!$CF$19&lt;&gt;"",NOT(_xlfn.ISFORMULA('Month-End'!$CF$19))),N('Month-End'!$CF$19),IF(OR($E87="open",$E86="pre"),N(Settings!$C$31),N($AQ86))))</f>
        <v/>
      </c>
      <c r="AR87">
        <f>IF(OR(Settings!$A$32="",$E87="pre"),"",IF(AND('Month-End'!$CF$20&lt;&gt;"",NOT(_xlfn.ISFORMULA('Month-End'!$CF$20))),N('Month-End'!$CF$20),IF(OR($E87="open",$E86="pre"),N(Settings!$C$32),N($AR86))))</f>
        <v/>
      </c>
      <c r="AS87">
        <f>IF(OR(Settings!$A$36="",$E87="pre"),"",IF(AND('Month-End'!$CF$38&lt;&gt;"",NOT(_xlfn.ISFORMULA('Month-End'!$CF$38))),N('Month-End'!$CF$38),IF(OR($E87="open",$E86="pre"),N(Settings!$C$36),N($AS86))+$AY87))</f>
        <v/>
      </c>
      <c r="AT87">
        <f>IF(OR(Settings!$A$37="",$E87="pre"),"",IF(AND('Month-End'!$CF$39&lt;&gt;"",NOT(_xlfn.ISFORMULA('Month-End'!$CF$39))),N('Month-End'!$CF$39),IF(OR($E87="open",$E86="pre"),N(Settings!$C$37),N($AT86))+$AZ87))</f>
        <v/>
      </c>
      <c r="AU87">
        <f>IF(OR(Settings!$A$38="",$E87="pre"),"",IF(AND('Month-End'!$CF$40&lt;&gt;"",NOT(_xlfn.ISFORMULA('Month-End'!$CF$40))),N('Month-End'!$CF$40),IF(OR($E87="open",$E86="pre"),N(Settings!$C$38),N($AU86))+$BA87))</f>
        <v/>
      </c>
      <c r="AV87">
        <f>IF(OR(Settings!$A$39="",$E87="pre"),"",IF(AND('Month-End'!$CF$41&lt;&gt;"",NOT(_xlfn.ISFORMULA('Month-End'!$CF$41))),N('Month-End'!$CF$41),IF(OR($E87="open",$E86="pre"),N(Settings!$C$39),N($AV86))+$BB87))</f>
        <v/>
      </c>
      <c r="AW87">
        <f>IF(OR(Settings!$A$40="",$E87="pre"),"",IF(AND('Month-End'!$CF$42&lt;&gt;"",NOT(_xlfn.ISFORMULA('Month-End'!$CF$42))),N('Month-End'!$CF$42),IF(OR($E87="open",$E86="pre"),N(Settings!$C$40),N($AW86))+$BC87))</f>
        <v/>
      </c>
      <c r="AX87">
        <f>IF(OR(Settings!$A$41="",$E87="pre"),"",IF(AND('Month-End'!$CF$43&lt;&gt;"",NOT(_xlfn.ISFORMULA('Month-End'!$CF$43))),N('Month-End'!$CF$43),IF(OR($E87="open",$E86="pre"),N(Settings!$C$41),N($AX86))+$BD87))</f>
        <v/>
      </c>
      <c r="AY87">
        <f>IF($E87="pre",0,N('Month-End'!$CF$45))</f>
        <v/>
      </c>
      <c r="AZ87">
        <f>IF($E87="pre",0,N('Month-End'!$CF$46))</f>
        <v/>
      </c>
      <c r="BA87">
        <f>IF($E87="pre",0,N('Month-End'!$CF$47))</f>
        <v/>
      </c>
      <c r="BB87">
        <f>IF($E87="pre",0,N('Month-End'!$CF$48))</f>
        <v/>
      </c>
      <c r="BC87">
        <f>IF($E87="pre",0,N('Month-End'!$CF$49))</f>
        <v/>
      </c>
      <c r="BD87">
        <f>IF($E87="pre",0,N('Month-End'!$CF$50))</f>
        <v/>
      </c>
      <c r="BE87">
        <f>IF(OR(Settings!$C$45="",Settings!$D$45=""),0,Settings!$C$45*IF(Settings!$D$45="Weekly",IF(IFERROR(MATCH(Settings!$E$45,$EO$4:$EO$10,0),0)=0,0,IF(MIN($C87,IF(Settings!$G$45="",$C87,Settings!$G$45))&lt;MAX($A87,Settings!$F$45),0,INT((MIN($C87,IF(Settings!$G$45="",$C87,Settings!$G$45))-MAX($A87,Settings!$F$45)-MOD(IFERROR(MATCH(Settings!$E$45,$EO$4:$EO$10,0),0)-WEEKDAY(MAX($A87,Settings!$F$45)),7))/7)+1)),IF(AND(IF(Settings!$E$45="",$B87,DATE(YEAR($A87),MONTH($A87),MIN(Settings!$E$45,DAY($B87))))&gt;=MAX($A87,Settings!$F$45),IF(Settings!$E$45="",$B87,DATE(YEAR($A87),MONTH($A87),MIN(Settings!$E$45,DAY($B87))))&lt;=MIN($C87,IF(Settings!$G$45="",$C87,Settings!$G$45))),1,0)))</f>
        <v/>
      </c>
      <c r="BF87">
        <f>IF(OR(Settings!$C$46="",Settings!$D$46=""),0,Settings!$C$46*IF(Settings!$D$46="Weekly",IF(IFERROR(MATCH(Settings!$E$46,$EO$4:$EO$10,0),0)=0,0,IF(MIN($C87,IF(Settings!$G$46="",$C87,Settings!$G$46))&lt;MAX($A87,Settings!$F$46),0,INT((MIN($C87,IF(Settings!$G$46="",$C87,Settings!$G$46))-MAX($A87,Settings!$F$46)-MOD(IFERROR(MATCH(Settings!$E$46,$EO$4:$EO$10,0),0)-WEEKDAY(MAX($A87,Settings!$F$46)),7))/7)+1)),IF(AND(IF(Settings!$E$46="",$B87,DATE(YEAR($A87),MONTH($A87),MIN(Settings!$E$46,DAY($B87))))&gt;=MAX($A87,Settings!$F$46),IF(Settings!$E$46="",$B87,DATE(YEAR($A87),MONTH($A87),MIN(Settings!$E$46,DAY($B87))))&lt;=MIN($C87,IF(Settings!$G$46="",$C87,Settings!$G$46))),1,0)))</f>
        <v/>
      </c>
      <c r="BG87">
        <f>IF(OR(Settings!$C$47="",Settings!$D$47=""),0,Settings!$C$47*IF(Settings!$D$47="Weekly",IF(IFERROR(MATCH(Settings!$E$47,$EO$4:$EO$10,0),0)=0,0,IF(MIN($C87,IF(Settings!$G$47="",$C87,Settings!$G$47))&lt;MAX($A87,Settings!$F$47),0,INT((MIN($C87,IF(Settings!$G$47="",$C87,Settings!$G$47))-MAX($A87,Settings!$F$47)-MOD(IFERROR(MATCH(Settings!$E$47,$EO$4:$EO$10,0),0)-WEEKDAY(MAX($A87,Settings!$F$47)),7))/7)+1)),IF(AND(IF(Settings!$E$47="",$B87,DATE(YEAR($A87),MONTH($A87),MIN(Settings!$E$47,DAY($B87))))&gt;=MAX($A87,Settings!$F$47),IF(Settings!$E$47="",$B87,DATE(YEAR($A87),MONTH($A87),MIN(Settings!$E$47,DAY($B87))))&lt;=MIN($C87,IF(Settings!$G$47="",$C87,Settings!$G$47))),1,0)))</f>
        <v/>
      </c>
      <c r="BH87">
        <f>IF(OR(Settings!$C$48="",Settings!$D$48=""),0,Settings!$C$48*IF(Settings!$D$48="Weekly",IF(IFERROR(MATCH(Settings!$E$48,$EO$4:$EO$10,0),0)=0,0,IF(MIN($C87,IF(Settings!$G$48="",$C87,Settings!$G$48))&lt;MAX($A87,Settings!$F$48),0,INT((MIN($C87,IF(Settings!$G$48="",$C87,Settings!$G$48))-MAX($A87,Settings!$F$48)-MOD(IFERROR(MATCH(Settings!$E$48,$EO$4:$EO$10,0),0)-WEEKDAY(MAX($A87,Settings!$F$48)),7))/7)+1)),IF(AND(IF(Settings!$E$48="",$B87,DATE(YEAR($A87),MONTH($A87),MIN(Settings!$E$48,DAY($B87))))&gt;=MAX($A87,Settings!$F$48),IF(Settings!$E$48="",$B87,DATE(YEAR($A87),MONTH($A87),MIN(Settings!$E$48,DAY($B87))))&lt;=MIN($C87,IF(Settings!$G$48="",$C87,Settings!$G$48))),1,0)))</f>
        <v/>
      </c>
      <c r="BI87">
        <f>IF(OR(Settings!$C$49="",Settings!$D$49=""),0,Settings!$C$49*IF(Settings!$D$49="Weekly",IF(IFERROR(MATCH(Settings!$E$49,$EO$4:$EO$10,0),0)=0,0,IF(MIN($C87,IF(Settings!$G$49="",$C87,Settings!$G$49))&lt;MAX($A87,Settings!$F$49),0,INT((MIN($C87,IF(Settings!$G$49="",$C87,Settings!$G$49))-MAX($A87,Settings!$F$49)-MOD(IFERROR(MATCH(Settings!$E$49,$EO$4:$EO$10,0),0)-WEEKDAY(MAX($A87,Settings!$F$49)),7))/7)+1)),IF(AND(IF(Settings!$E$49="",$B87,DATE(YEAR($A87),MONTH($A87),MIN(Settings!$E$49,DAY($B87))))&gt;=MAX($A87,Settings!$F$49),IF(Settings!$E$49="",$B87,DATE(YEAR($A87),MONTH($A87),MIN(Settings!$E$49,DAY($B87))))&lt;=MIN($C87,IF(Settings!$G$49="",$C87,Settings!$G$49))),1,0)))</f>
        <v/>
      </c>
      <c r="BJ87">
        <f>IF(OR(Settings!$C$50="",Settings!$D$50=""),0,Settings!$C$50*IF(Settings!$D$50="Weekly",IF(IFERROR(MATCH(Settings!$E$50,$EO$4:$EO$10,0),0)=0,0,IF(MIN($C87,IF(Settings!$G$50="",$C87,Settings!$G$50))&lt;MAX($A87,Settings!$F$50),0,INT((MIN($C87,IF(Settings!$G$50="",$C87,Settings!$G$50))-MAX($A87,Settings!$F$50)-MOD(IFERROR(MATCH(Settings!$E$50,$EO$4:$EO$10,0),0)-WEEKDAY(MAX($A87,Settings!$F$50)),7))/7)+1)),IF(AND(IF(Settings!$E$50="",$B87,DATE(YEAR($A87),MONTH($A87),MIN(Settings!$E$50,DAY($B87))))&gt;=MAX($A87,Settings!$F$50),IF(Settings!$E$50="",$B87,DATE(YEAR($A87),MONTH($A87),MIN(Settings!$E$50,DAY($B87))))&lt;=MIN($C87,IF(Settings!$G$50="",$C87,Settings!$G$50))),1,0)))</f>
        <v/>
      </c>
      <c r="BK87">
        <f>IF(OR(Settings!$C$51="",Settings!$D$51=""),0,Settings!$C$51*IF(Settings!$D$51="Weekly",IF(IFERROR(MATCH(Settings!$E$51,$EO$4:$EO$10,0),0)=0,0,IF(MIN($C87,IF(Settings!$G$51="",$C87,Settings!$G$51))&lt;MAX($A87,Settings!$F$51),0,INT((MIN($C87,IF(Settings!$G$51="",$C87,Settings!$G$51))-MAX($A87,Settings!$F$51)-MOD(IFERROR(MATCH(Settings!$E$51,$EO$4:$EO$10,0),0)-WEEKDAY(MAX($A87,Settings!$F$51)),7))/7)+1)),IF(AND(IF(Settings!$E$51="",$B87,DATE(YEAR($A87),MONTH($A87),MIN(Settings!$E$51,DAY($B87))))&gt;=MAX($A87,Settings!$F$51),IF(Settings!$E$51="",$B87,DATE(YEAR($A87),MONTH($A87),MIN(Settings!$E$51,DAY($B87))))&lt;=MIN($C87,IF(Settings!$G$51="",$C87,Settings!$G$51))),1,0)))</f>
        <v/>
      </c>
      <c r="BL87">
        <f>IF(OR(Settings!$C$52="",Settings!$D$52=""),0,Settings!$C$52*IF(Settings!$D$52="Weekly",IF(IFERROR(MATCH(Settings!$E$52,$EO$4:$EO$10,0),0)=0,0,IF(MIN($C87,IF(Settings!$G$52="",$C87,Settings!$G$52))&lt;MAX($A87,Settings!$F$52),0,INT((MIN($C87,IF(Settings!$G$52="",$C87,Settings!$G$52))-MAX($A87,Settings!$F$52)-MOD(IFERROR(MATCH(Settings!$E$52,$EO$4:$EO$10,0),0)-WEEKDAY(MAX($A87,Settings!$F$52)),7))/7)+1)),IF(AND(IF(Settings!$E$52="",$B87,DATE(YEAR($A87),MONTH($A87),MIN(Settings!$E$52,DAY($B87))))&gt;=MAX($A87,Settings!$F$52),IF(Settings!$E$52="",$B87,DATE(YEAR($A87),MONTH($A87),MIN(Settings!$E$52,DAY($B87))))&lt;=MIN($C87,IF(Settings!$G$52="",$C87,Settings!$G$52))),1,0)))</f>
        <v/>
      </c>
      <c r="BM87">
        <f>IF(OR(Settings!$C$53="",Settings!$D$53=""),0,Settings!$C$53*IF(Settings!$D$53="Weekly",IF(IFERROR(MATCH(Settings!$E$53,$EO$4:$EO$10,0),0)=0,0,IF(MIN($C87,IF(Settings!$G$53="",$C87,Settings!$G$53))&lt;MAX($A87,Settings!$F$53),0,INT((MIN($C87,IF(Settings!$G$53="",$C87,Settings!$G$53))-MAX($A87,Settings!$F$53)-MOD(IFERROR(MATCH(Settings!$E$53,$EO$4:$EO$10,0),0)-WEEKDAY(MAX($A87,Settings!$F$53)),7))/7)+1)),IF(AND(IF(Settings!$E$53="",$B87,DATE(YEAR($A87),MONTH($A87),MIN(Settings!$E$53,DAY($B87))))&gt;=MAX($A87,Settings!$F$53),IF(Settings!$E$53="",$B87,DATE(YEAR($A87),MONTH($A87),MIN(Settings!$E$53,DAY($B87))))&lt;=MIN($C87,IF(Settings!$G$53="",$C87,Settings!$G$53))),1,0)))</f>
        <v/>
      </c>
      <c r="BN87">
        <f>IF(OR(Settings!$C$54="",Settings!$D$54=""),0,Settings!$C$54*IF(Settings!$D$54="Weekly",IF(IFERROR(MATCH(Settings!$E$54,$EO$4:$EO$10,0),0)=0,0,IF(MIN($C87,IF(Settings!$G$54="",$C87,Settings!$G$54))&lt;MAX($A87,Settings!$F$54),0,INT((MIN($C87,IF(Settings!$G$54="",$C87,Settings!$G$54))-MAX($A87,Settings!$F$54)-MOD(IFERROR(MATCH(Settings!$E$54,$EO$4:$EO$10,0),0)-WEEKDAY(MAX($A87,Settings!$F$54)),7))/7)+1)),IF(AND(IF(Settings!$E$54="",$B87,DATE(YEAR($A87),MONTH($A87),MIN(Settings!$E$54,DAY($B87))))&gt;=MAX($A87,Settings!$F$54),IF(Settings!$E$54="",$B87,DATE(YEAR($A87),MONTH($A87),MIN(Settings!$E$54,DAY($B87))))&lt;=MIN($C87,IF(Settings!$G$54="",$C87,Settings!$G$54))),1,0)))</f>
        <v/>
      </c>
      <c r="BO87">
        <f>IF(OR(Settings!$C$55="",Settings!$D$55=""),0,Settings!$C$55*IF(Settings!$D$55="Weekly",IF(IFERROR(MATCH(Settings!$E$55,$EO$4:$EO$10,0),0)=0,0,IF(MIN($C87,IF(Settings!$G$55="",$C87,Settings!$G$55))&lt;MAX($A87,Settings!$F$55),0,INT((MIN($C87,IF(Settings!$G$55="",$C87,Settings!$G$55))-MAX($A87,Settings!$F$55)-MOD(IFERROR(MATCH(Settings!$E$55,$EO$4:$EO$10,0),0)-WEEKDAY(MAX($A87,Settings!$F$55)),7))/7)+1)),IF(AND(IF(Settings!$E$55="",$B87,DATE(YEAR($A87),MONTH($A87),MIN(Settings!$E$55,DAY($B87))))&gt;=MAX($A87,Settings!$F$55),IF(Settings!$E$55="",$B87,DATE(YEAR($A87),MONTH($A87),MIN(Settings!$E$55,DAY($B87))))&lt;=MIN($C87,IF(Settings!$G$55="",$C87,Settings!$G$55))),1,0)))</f>
        <v/>
      </c>
      <c r="BP87">
        <f>IF(OR(Settings!$C$56="",Settings!$D$56=""),0,Settings!$C$56*IF(Settings!$D$56="Weekly",IF(IFERROR(MATCH(Settings!$E$56,$EO$4:$EO$10,0),0)=0,0,IF(MIN($C87,IF(Settings!$G$56="",$C87,Settings!$G$56))&lt;MAX($A87,Settings!$F$56),0,INT((MIN($C87,IF(Settings!$G$56="",$C87,Settings!$G$56))-MAX($A87,Settings!$F$56)-MOD(IFERROR(MATCH(Settings!$E$56,$EO$4:$EO$10,0),0)-WEEKDAY(MAX($A87,Settings!$F$56)),7))/7)+1)),IF(AND(IF(Settings!$E$56="",$B87,DATE(YEAR($A87),MONTH($A87),MIN(Settings!$E$56,DAY($B87))))&gt;=MAX($A87,Settings!$F$56),IF(Settings!$E$56="",$B87,DATE(YEAR($A87),MONTH($A87),MIN(Settings!$E$56,DAY($B87))))&lt;=MIN($C87,IF(Settings!$G$56="",$C87,Settings!$G$56))),1,0)))</f>
        <v/>
      </c>
      <c r="BQ87">
        <f>IF(OR(Settings!$B$14="",$D87=1,$E87="pre",$A87&lt;IF(Settings!$B$15="",0,Settings!$B$15)),0,Settings!$B$14)</f>
        <v/>
      </c>
      <c r="BR87">
        <f>IF(AND('Month-End'!$CF$7&lt;&gt;"",NOT(_xlfn.ISFORMULA('Month-End'!$CF$7))),1,0)</f>
        <v/>
      </c>
      <c r="BS87">
        <f>IF(AND('Month-End'!$CF$8&lt;&gt;"",NOT(_xlfn.ISFORMULA('Month-End'!$CF$8))),1,0)</f>
        <v/>
      </c>
      <c r="BT87">
        <f>IF(AND('Month-End'!$CF$9&lt;&gt;"",NOT(_xlfn.ISFORMULA('Month-End'!$CF$9))),1,0)</f>
        <v/>
      </c>
      <c r="BU87">
        <f>IF(AND('Month-End'!$CF$10&lt;&gt;"",NOT(_xlfn.ISFORMULA('Month-End'!$CF$10))),1,0)</f>
        <v/>
      </c>
      <c r="BV87">
        <f>IF(AND('Month-End'!$CF$11&lt;&gt;"",NOT(_xlfn.ISFORMULA('Month-End'!$CF$11))),1,0)</f>
        <v/>
      </c>
      <c r="BW87">
        <f>IF(AND('Month-End'!$CF$12&lt;&gt;"",NOT(_xlfn.ISFORMULA('Month-End'!$CF$12))),1,0)</f>
        <v/>
      </c>
      <c r="BX87">
        <f>IF(AND('Month-End'!$CF$13&lt;&gt;"",NOT(_xlfn.ISFORMULA('Month-End'!$CF$13))),1,0)</f>
        <v/>
      </c>
      <c r="BY87">
        <f>IF(AND('Month-End'!$CF$14&lt;&gt;"",NOT(_xlfn.ISFORMULA('Month-End'!$CF$14))),1,0)</f>
        <v/>
      </c>
      <c r="BZ87">
        <f>IF(AND('Month-End'!$CF$15&lt;&gt;"",NOT(_xlfn.ISFORMULA('Month-End'!$CF$15))),1,0)</f>
        <v/>
      </c>
      <c r="CA87">
        <f>IF(AND('Month-End'!$CF$16&lt;&gt;"",NOT(_xlfn.ISFORMULA('Month-End'!$CF$16))),1,0)</f>
        <v/>
      </c>
      <c r="CB87">
        <f>IF(AND('Month-End'!$CF$17&lt;&gt;"",NOT(_xlfn.ISFORMULA('Month-End'!$CF$17))),1,0)</f>
        <v/>
      </c>
      <c r="CC87">
        <f>IF(AND('Month-End'!$CF$18&lt;&gt;"",NOT(_xlfn.ISFORMULA('Month-End'!$CF$18))),1,0)</f>
        <v/>
      </c>
      <c r="CD87">
        <f>IF(AND('Month-End'!$CF$19&lt;&gt;"",NOT(_xlfn.ISFORMULA('Month-End'!$CF$19))),1,0)</f>
        <v/>
      </c>
      <c r="CE87">
        <f>IF(AND('Month-End'!$CF$20&lt;&gt;"",NOT(_xlfn.ISFORMULA('Month-End'!$CF$20))),1,0)</f>
        <v/>
      </c>
      <c r="CF87">
        <f>IF(AND('Month-End'!$CF$38&lt;&gt;"",NOT(_xlfn.ISFORMULA('Month-End'!$CF$38))),1,0)</f>
        <v/>
      </c>
      <c r="CG87">
        <f>IF(AND('Month-End'!$CF$39&lt;&gt;"",NOT(_xlfn.ISFORMULA('Month-End'!$CF$39))),1,0)</f>
        <v/>
      </c>
      <c r="CH87">
        <f>IF(AND('Month-End'!$CF$40&lt;&gt;"",NOT(_xlfn.ISFORMULA('Month-End'!$CF$40))),1,0)</f>
        <v/>
      </c>
      <c r="CI87">
        <f>IF(AND('Month-End'!$CF$41&lt;&gt;"",NOT(_xlfn.ISFORMULA('Month-End'!$CF$41))),1,0)</f>
        <v/>
      </c>
      <c r="CJ87">
        <f>IF(AND('Month-End'!$CF$42&lt;&gt;"",NOT(_xlfn.ISFORMULA('Month-End'!$CF$42))),1,0)</f>
        <v/>
      </c>
      <c r="CK87">
        <f>IF(AND('Month-End'!$CF$43&lt;&gt;"",NOT(_xlfn.ISFORMULA('Month-End'!$CF$43))),1,0)</f>
        <v/>
      </c>
      <c r="CL87">
        <f>SUM($CM87:$CZ87)</f>
        <v/>
      </c>
      <c r="CM87">
        <f>IF(AND($E87&lt;&gt;"pre",AND(Settings!$A$19&lt;&gt;"",Settings!$E$19&lt;&gt;"No"),Settings!$F$19="Yes",NOT(AND('Month-End'!$CF$7&lt;&gt;"",NOT(_xlfn.ISFORMULA('Month-End'!$CF$7))))),1,0)</f>
        <v/>
      </c>
      <c r="CN87">
        <f>IF(AND($E87&lt;&gt;"pre",AND(Settings!$A$20&lt;&gt;"",Settings!$E$20&lt;&gt;"No"),Settings!$F$20="Yes",NOT(AND('Month-End'!$CF$8&lt;&gt;"",NOT(_xlfn.ISFORMULA('Month-End'!$CF$8))))),1,0)</f>
        <v/>
      </c>
      <c r="CO87">
        <f>IF(AND($E87&lt;&gt;"pre",AND(Settings!$A$21&lt;&gt;"",Settings!$E$21&lt;&gt;"No"),Settings!$F$21="Yes",NOT(AND('Month-End'!$CF$9&lt;&gt;"",NOT(_xlfn.ISFORMULA('Month-End'!$CF$9))))),1,0)</f>
        <v/>
      </c>
      <c r="CP87">
        <f>IF(AND($E87&lt;&gt;"pre",AND(Settings!$A$22&lt;&gt;"",Settings!$E$22&lt;&gt;"No"),Settings!$F$22="Yes",NOT(AND('Month-End'!$CF$10&lt;&gt;"",NOT(_xlfn.ISFORMULA('Month-End'!$CF$10))))),1,0)</f>
        <v/>
      </c>
      <c r="CQ87">
        <f>IF(AND($E87&lt;&gt;"pre",AND(Settings!$A$23&lt;&gt;"",Settings!$E$23&lt;&gt;"No"),Settings!$F$23="Yes",NOT(AND('Month-End'!$CF$11&lt;&gt;"",NOT(_xlfn.ISFORMULA('Month-End'!$CF$11))))),1,0)</f>
        <v/>
      </c>
      <c r="CR87">
        <f>IF(AND($E87&lt;&gt;"pre",AND(Settings!$A$24&lt;&gt;"",Settings!$E$24&lt;&gt;"No"),Settings!$F$24="Yes",NOT(AND('Month-End'!$CF$12&lt;&gt;"",NOT(_xlfn.ISFORMULA('Month-End'!$CF$12))))),1,0)</f>
        <v/>
      </c>
      <c r="CS87">
        <f>IF(AND($E87&lt;&gt;"pre",AND(Settings!$A$25&lt;&gt;"",Settings!$E$25&lt;&gt;"No"),Settings!$F$25="Yes",NOT(AND('Month-End'!$CF$13&lt;&gt;"",NOT(_xlfn.ISFORMULA('Month-End'!$CF$13))))),1,0)</f>
        <v/>
      </c>
      <c r="CT87">
        <f>IF(AND($E87&lt;&gt;"pre",AND(Settings!$A$26&lt;&gt;"",Settings!$E$26&lt;&gt;"No"),Settings!$F$26="Yes",NOT(AND('Month-End'!$CF$14&lt;&gt;"",NOT(_xlfn.ISFORMULA('Month-End'!$CF$14))))),1,0)</f>
        <v/>
      </c>
      <c r="CU87">
        <f>IF(AND($E87&lt;&gt;"pre",AND(Settings!$A$27&lt;&gt;"",Settings!$E$27&lt;&gt;"No"),Settings!$F$27="Yes",NOT(AND('Month-End'!$CF$15&lt;&gt;"",NOT(_xlfn.ISFORMULA('Month-End'!$CF$15))))),1,0)</f>
        <v/>
      </c>
      <c r="CV87">
        <f>IF(AND($E87&lt;&gt;"pre",AND(Settings!$A$28&lt;&gt;"",Settings!$E$28&lt;&gt;"No"),Settings!$F$28="Yes",NOT(AND('Month-End'!$CF$16&lt;&gt;"",NOT(_xlfn.ISFORMULA('Month-End'!$CF$16))))),1,0)</f>
        <v/>
      </c>
      <c r="CW87">
        <f>IF(AND($E87&lt;&gt;"pre",AND(Settings!$A$29&lt;&gt;"",Settings!$E$29&lt;&gt;"No"),Settings!$F$29="Yes",NOT(AND('Month-End'!$CF$17&lt;&gt;"",NOT(_xlfn.ISFORMULA('Month-End'!$CF$17))))),1,0)</f>
        <v/>
      </c>
      <c r="CX87">
        <f>IF(AND($E87&lt;&gt;"pre",AND(Settings!$A$30&lt;&gt;"",Settings!$E$30&lt;&gt;"No"),Settings!$F$30="Yes",NOT(AND('Month-End'!$CF$18&lt;&gt;"",NOT(_xlfn.ISFORMULA('Month-End'!$CF$18))))),1,0)</f>
        <v/>
      </c>
      <c r="CY87">
        <f>IF(AND($E87&lt;&gt;"pre",AND(Settings!$A$31&lt;&gt;"",Settings!$E$31&lt;&gt;"No"),Settings!$F$31="Yes",NOT(AND('Month-End'!$CF$19&lt;&gt;"",NOT(_xlfn.ISFORMULA('Month-End'!$CF$19))))),1,0)</f>
        <v/>
      </c>
      <c r="CZ87">
        <f>IF(AND($E87&lt;&gt;"pre",AND(Settings!$A$32&lt;&gt;"",Settings!$E$32&lt;&gt;"No"),Settings!$F$32="Yes",NOT(AND('Month-End'!$CF$20&lt;&gt;"",NOT(_xlfn.ISFORMULA('Month-End'!$CF$20))))),1,0)</f>
        <v/>
      </c>
      <c r="DA87">
        <f>IF($DT87=1,IF(OR(Settings!$B$19="Checking",Settings!$B$19="Savings",Settings!$B$19="Cash"),N($AE87),IF(OR(Settings!$B$19="Card",Settings!$B$19="Loan"),-N($AE87),0))+IF(OR(Settings!$B$20="Checking",Settings!$B$20="Savings",Settings!$B$20="Cash"),N($AF87),IF(OR(Settings!$B$20="Card",Settings!$B$20="Loan"),-N($AF87),0))+IF(OR(Settings!$B$21="Checking",Settings!$B$21="Savings",Settings!$B$21="Cash"),N($AG87),IF(OR(Settings!$B$21="Card",Settings!$B$21="Loan"),-N($AG87),0))+IF(OR(Settings!$B$22="Checking",Settings!$B$22="Savings",Settings!$B$22="Cash"),N($AH87),IF(OR(Settings!$B$22="Card",Settings!$B$22="Loan"),-N($AH87),0))+IF(OR(Settings!$B$23="Checking",Settings!$B$23="Savings",Settings!$B$23="Cash"),N($AI87),IF(OR(Settings!$B$23="Card",Settings!$B$23="Loan"),-N($AI87),0))+IF(OR(Settings!$B$24="Checking",Settings!$B$24="Savings",Settings!$B$24="Cash"),N($AJ87),IF(OR(Settings!$B$24="Card",Settings!$B$24="Loan"),-N($AJ87),0))+IF(OR(Settings!$B$25="Checking",Settings!$B$25="Savings",Settings!$B$25="Cash"),N($AK87),IF(OR(Settings!$B$25="Card",Settings!$B$25="Loan"),-N($AK87),0))+IF(OR(Settings!$B$26="Checking",Settings!$B$26="Savings",Settings!$B$26="Cash"),N($AL87),IF(OR(Settings!$B$26="Card",Settings!$B$26="Loan"),-N($AL87),0))+IF(OR(Settings!$B$27="Checking",Settings!$B$27="Savings",Settings!$B$27="Cash"),N($AM87),IF(OR(Settings!$B$27="Card",Settings!$B$27="Loan"),-N($AM87),0))+IF(OR(Settings!$B$28="Checking",Settings!$B$28="Savings",Settings!$B$28="Cash"),N($AN87),IF(OR(Settings!$B$28="Card",Settings!$B$28="Loan"),-N($AN87),0))+IF(OR(Settings!$B$29="Checking",Settings!$B$29="Savings",Settings!$B$29="Cash"),N($AO87),IF(OR(Settings!$B$29="Card",Settings!$B$29="Loan"),-N($AO87),0))+IF(OR(Settings!$B$30="Checking",Settings!$B$30="Savings",Settings!$B$30="Cash"),N($AP87),IF(OR(Settings!$B$30="Card",Settings!$B$30="Loan"),-N($AP87),0))+IF(OR(Settings!$B$31="Checking",Settings!$B$31="Savings",Settings!$B$31="Cash"),N($AQ87),IF(OR(Settings!$B$31="Card",Settings!$B$31="Loan"),-N($AQ87),0))+IF(OR(Settings!$B$32="Checking",Settings!$B$32="Savings",Settings!$B$32="Cash"),N($AR87),IF(OR(Settings!$B$32="Card",Settings!$B$32="Loan"),-N($AR87),0)),"")</f>
        <v/>
      </c>
      <c r="DB87">
        <f>IF($E87="open",$EB$27,IF($E87="post",IF($E86="pre",$EB$27,$DA86),""))</f>
        <v/>
      </c>
      <c r="DC87">
        <f>IF($E87="open",1,IF($E87="post",IF($E86="pre",1,$DT86),0))</f>
        <v/>
      </c>
      <c r="DD87">
        <f>IF(AND($DT87=1,$DC87=1),ROUND($W87-($DA87-$DB87)-$AD87-$AB87,2),"")</f>
        <v/>
      </c>
      <c r="DE87">
        <f>IF('Month-End'!$CF$35="",$BQ87,N('Month-End'!$CF$35))</f>
        <v/>
      </c>
      <c r="DF87">
        <f>N('Month-End'!$CF$36)</f>
        <v/>
      </c>
      <c r="DG87">
        <f>IF($DD87="","",$DD87+$DE87)</f>
        <v/>
      </c>
      <c r="DH87">
        <f>IF($DG87="","",$DG87-$DF87)</f>
        <v/>
      </c>
      <c r="DI87">
        <f>IF(OR($E87="pre",$D87=1),"",N($AS87)+N($AT87)+N($AU87)+N($AV87)+N($AW87)+N($AX87))</f>
        <v/>
      </c>
      <c r="DJ87">
        <f>IF($DT87=1,$DA87+N($DI87),"")</f>
        <v/>
      </c>
      <c r="DK87">
        <f>IF($DD87="","",$W87-$DD87-$AB87)</f>
        <v/>
      </c>
      <c r="DL87">
        <f>IF(AND($E87="post",$DD87&lt;&gt;"",$B87&lt;TODAY()),1,0)</f>
        <v/>
      </c>
      <c r="DM87">
        <f>IF($DL87=1,COUNTIF($DL87:$DL$183,1),0)</f>
        <v/>
      </c>
      <c r="DN87">
        <f>IF($D87=1,"",IF($E87="pre","History only",IF($DT87=1,IF($DD87="","⚠ Previous month missing",IF($DD87&lt;0,"⚠ Check: spending &lt; 0",IF($E87="open","✓ Done (partial)","✓ Done"))),IF($B87&gt;=TODAY(),"In progress","⚠ Needs balances"))))</f>
        <v/>
      </c>
      <c r="DO87">
        <f>YEAR($A87)</f>
        <v/>
      </c>
      <c r="DP87">
        <f>DATE(YEAR($A87),INT((MONTH($A87)-1)/3)*3+1,1)</f>
        <v/>
      </c>
      <c r="DQ87">
        <f>IF(AND($DT87=1,$DD87&lt;&gt;"",$D87=0),ROW(),0)</f>
        <v/>
      </c>
      <c r="DR87">
        <f>IF(AND($E87&lt;&gt;"pre",$B87&lt;TODAY(),$DT87=0),1,0)</f>
        <v/>
      </c>
      <c r="DS87">
        <f>IF($DJ87="",NA(),$DJ87)</f>
        <v/>
      </c>
      <c r="DT87">
        <f>IF(AND($E87&lt;&gt;"pre",$CL87=0,COUNTIFS(Settings!$F$19:$F$32,"Yes",Settings!$A$19:$A$32,"&lt;&gt;",Settings!$E$19:$E$32,"&lt;&gt;No")&gt;0),1,0)</f>
        <v/>
      </c>
      <c r="DU87">
        <f>IF(AND($B87&lt;TODAY(),$S87&gt;0),1,0)</f>
        <v/>
      </c>
      <c r="DV87">
        <f>IF($DU87=1,COUNTIF($DU87:$DU$183,1),0)</f>
        <v/>
      </c>
      <c r="DW87">
        <f>IF(AND(OR(Settings!$B$19="Card",Settings!$B$19="Loan"),AND('Month-End'!$CF$7&lt;&gt;"",NOT(_xlfn.ISFORMULA('Month-End'!$CF$7)))),IF(N('Month-End'!$CF$7)&lt;0,1,0),0)+IF(AND(OR(Settings!$B$20="Card",Settings!$B$20="Loan"),AND('Month-End'!$CF$8&lt;&gt;"",NOT(_xlfn.ISFORMULA('Month-End'!$CF$8)))),IF(N('Month-End'!$CF$8)&lt;0,1,0),0)+IF(AND(OR(Settings!$B$21="Card",Settings!$B$21="Loan"),AND('Month-End'!$CF$9&lt;&gt;"",NOT(_xlfn.ISFORMULA('Month-End'!$CF$9)))),IF(N('Month-End'!$CF$9)&lt;0,1,0),0)+IF(AND(OR(Settings!$B$22="Card",Settings!$B$22="Loan"),AND('Month-End'!$CF$10&lt;&gt;"",NOT(_xlfn.ISFORMULA('Month-End'!$CF$10)))),IF(N('Month-End'!$CF$10)&lt;0,1,0),0)+IF(AND(OR(Settings!$B$23="Card",Settings!$B$23="Loan"),AND('Month-End'!$CF$11&lt;&gt;"",NOT(_xlfn.ISFORMULA('Month-End'!$CF$11)))),IF(N('Month-End'!$CF$11)&lt;0,1,0),0)+IF(AND(OR(Settings!$B$24="Card",Settings!$B$24="Loan"),AND('Month-End'!$CF$12&lt;&gt;"",NOT(_xlfn.ISFORMULA('Month-End'!$CF$12)))),IF(N('Month-End'!$CF$12)&lt;0,1,0),0)+IF(AND(OR(Settings!$B$25="Card",Settings!$B$25="Loan"),AND('Month-End'!$CF$13&lt;&gt;"",NOT(_xlfn.ISFORMULA('Month-End'!$CF$13)))),IF(N('Month-End'!$CF$13)&lt;0,1,0),0)+IF(AND(OR(Settings!$B$26="Card",Settings!$B$26="Loan"),AND('Month-End'!$CF$14&lt;&gt;"",NOT(_xlfn.ISFORMULA('Month-End'!$CF$14)))),IF(N('Month-End'!$CF$14)&lt;0,1,0),0)+IF(AND(OR(Settings!$B$27="Card",Settings!$B$27="Loan"),AND('Month-End'!$CF$15&lt;&gt;"",NOT(_xlfn.ISFORMULA('Month-End'!$CF$15)))),IF(N('Month-End'!$CF$15)&lt;0,1,0),0)+IF(AND(OR(Settings!$B$28="Card",Settings!$B$28="Loan"),AND('Month-End'!$CF$16&lt;&gt;"",NOT(_xlfn.ISFORMULA('Month-End'!$CF$16)))),IF(N('Month-End'!$CF$16)&lt;0,1,0),0)+IF(AND(OR(Settings!$B$29="Card",Settings!$B$29="Loan"),AND('Month-End'!$CF$17&lt;&gt;"",NOT(_xlfn.ISFORMULA('Month-End'!$CF$17)))),IF(N('Month-End'!$CF$17)&lt;0,1,0),0)+IF(AND(OR(Settings!$B$30="Card",Settings!$B$30="Loan"),AND('Month-End'!$CF$18&lt;&gt;"",NOT(_xlfn.ISFORMULA('Month-End'!$CF$18)))),IF(N('Month-End'!$CF$18)&lt;0,1,0),0)+IF(AND(OR(Settings!$B$31="Card",Settings!$B$31="Loan"),AND('Month-End'!$CF$19&lt;&gt;"",NOT(_xlfn.ISFORMULA('Month-End'!$CF$19)))),IF(N('Month-End'!$CF$19)&lt;0,1,0),0)+IF(AND(OR(Settings!$B$32="Card",Settings!$B$32="Loan"),AND('Month-End'!$CF$20&lt;&gt;"",NOT(_xlfn.ISFORMULA('Month-End'!$CF$20)))),IF(N('Month-End'!$CF$20)&lt;0,1,0),0)</f>
        <v/>
      </c>
      <c r="DX87">
        <f>IF(Settings!$B$36="Retirement",$AY87,0)+IF(Settings!$B$37="Retirement",$AZ87,0)+IF(Settings!$B$38="Retirement",$BA87,0)+IF(Settings!$B$39="Retirement",$BB87,0)+IF(Settings!$B$40="Retirement",$BC87,0)+IF(Settings!$B$41="Retirement",$BD87,0)</f>
        <v/>
      </c>
      <c r="EA87">
        <f>IF(Settings!$A$86="","",Settings!$A$86)</f>
        <v/>
      </c>
      <c r="EB87">
        <f>IF(Settings!$D$86="",0,IF(Settings!$D$86="Specific Account",IFERROR(INDEX($EB$40:$EB$59,MATCH(Settings!$F$86,$EA$40:$EA$59,0)),0),IFERROR(INDEX($EB$6:$EB$26,MATCH(Settings!$D$86,$EA$6:$EA$26,0)),0)))</f>
        <v/>
      </c>
      <c r="EC87">
        <f>IF(Settings!$A$86="","",IF(Settings!$B$86="Tithe Balance",$EB$23,IF(Settings!$E$86="Specific Account",IFERROR(INDEX($EB$40:$EB$59,MATCH(Settings!$F$86,$EA$40:$EA$59,0)),0),IFERROR(INDEX($EB$6:$EB$26,MATCH(Settings!$E$86,$EA$6:$EA$26,0)),0))))</f>
        <v/>
      </c>
      <c r="ED87">
        <f>IF(Settings!$A$86="","",IF(Settings!$B$86="Percentage",EB87*N(Settings!$C$86)/100,IF(Settings!$B$86="Multiple",EB87*N(Settings!$C$86),IF(Settings!$B$86="Tithe Balance",$EB$22,N(Settings!$C$86)))))</f>
        <v/>
      </c>
      <c r="EE87">
        <f>IF(Settings!$A$86="","",IF(Settings!$B$86="Pay Down To",MAX(0,EC87-ED87),MAX(0,ED87-EC87)))</f>
        <v/>
      </c>
      <c r="EF87">
        <f>IF(Settings!$A$86="","",IF(Settings!$B$86="Pay Down To",IF(EC87&lt;=ED87,"Met","Above target"),IF(EC87&gt;=ED87-0.005,"Met","Remaining")))</f>
        <v/>
      </c>
      <c r="EG87">
        <f>IF(Settings!$A$86="","",IF(Settings!$B$86="Pay Down To",IF(EC87&lt;=0,1,MIN(1,ED87/EC87)),IF(ED87&lt;=0,1,EC87/ED87)))</f>
        <v/>
      </c>
      <c r="EH87">
        <f>IF(OR(Settings!$A$86="",EE87&lt;=0),"",IF(Settings!$B$86="Save By Date",IF(Settings!$G$86="","Set a target date","Need "&amp;TEXT(EE87/MAX(1,(YEAR(Settings!$G$86)-YEAR(TODAY()))*12+MONTH(Settings!$G$86)-MONTH(TODAY())+1),"$#,##0")&amp;"/mo to "&amp;TEXT(Settings!$G$86,"mmm yyyy")),IF(Settings!$B$86="Annual Contribution","Need "&amp;TEXT(EE87/MAX(1,12-MONTH(TODAY())+1),"$#,##0")&amp;"/mo rest of year",IF(Settings!$B$86="Tithe Balance","This quarter",""))))</f>
        <v/>
      </c>
      <c r="ET87">
        <f>IF($E87&lt;&gt;"open",0,IF(AND('Month-End'!$CF$22&lt;&gt;"",NOT(_xlfn.ISFORMULA('Month-End'!$CF$22))),0,IF(OR(Settings!$C$45="",Settings!$D$45=""),0,Settings!$C$45*IF(Settings!$D$45="Weekly",IF(IFERROR(MATCH(Settings!$E$45,$EO$4:$EO$10,0),0)=0,0,IF(MIN(Settings!$B$5,IF(Settings!$G$45="",Settings!$B$5,Settings!$G$45))&lt;MAX($A87,Settings!$F$45),0,INT((MIN(Settings!$B$5,IF(Settings!$G$45="",Settings!$B$5,Settings!$G$45))-MAX($A87,Settings!$F$45)-MOD(IFERROR(MATCH(Settings!$E$45,$EO$4:$EO$10,0),0)-WEEKDAY(MAX($A87,Settings!$F$45)),7))/7)+1)),IF(AND(IF(Settings!$E$45="",$B87,DATE(YEAR($A87),MONTH($A87),MIN(Settings!$E$45,DAY($B87))))&gt;=MAX($A87,Settings!$F$45),IF(Settings!$E$45="",$B87,DATE(YEAR($A87),MONTH($A87),MIN(Settings!$E$45,DAY($B87))))&lt;=MIN(Settings!$B$5,IF(Settings!$G$45="",Settings!$B$5,Settings!$G$45))),1,0)))))</f>
        <v/>
      </c>
      <c r="EU87">
        <f>IF($E87&lt;&gt;"open",0,IF(AND('Month-End'!$CF$23&lt;&gt;"",NOT(_xlfn.ISFORMULA('Month-End'!$CF$23))),0,IF(OR(Settings!$C$46="",Settings!$D$46=""),0,Settings!$C$46*IF(Settings!$D$46="Weekly",IF(IFERROR(MATCH(Settings!$E$46,$EO$4:$EO$10,0),0)=0,0,IF(MIN(Settings!$B$5,IF(Settings!$G$46="",Settings!$B$5,Settings!$G$46))&lt;MAX($A87,Settings!$F$46),0,INT((MIN(Settings!$B$5,IF(Settings!$G$46="",Settings!$B$5,Settings!$G$46))-MAX($A87,Settings!$F$46)-MOD(IFERROR(MATCH(Settings!$E$46,$EO$4:$EO$10,0),0)-WEEKDAY(MAX($A87,Settings!$F$46)),7))/7)+1)),IF(AND(IF(Settings!$E$46="",$B87,DATE(YEAR($A87),MONTH($A87),MIN(Settings!$E$46,DAY($B87))))&gt;=MAX($A87,Settings!$F$46),IF(Settings!$E$46="",$B87,DATE(YEAR($A87),MONTH($A87),MIN(Settings!$E$46,DAY($B87))))&lt;=MIN(Settings!$B$5,IF(Settings!$G$46="",Settings!$B$5,Settings!$G$46))),1,0)))))</f>
        <v/>
      </c>
      <c r="EV87">
        <f>IF($E87&lt;&gt;"open",0,IF(AND('Month-End'!$CF$24&lt;&gt;"",NOT(_xlfn.ISFORMULA('Month-End'!$CF$24))),0,IF(OR(Settings!$C$47="",Settings!$D$47=""),0,Settings!$C$47*IF(Settings!$D$47="Weekly",IF(IFERROR(MATCH(Settings!$E$47,$EO$4:$EO$10,0),0)=0,0,IF(MIN(Settings!$B$5,IF(Settings!$G$47="",Settings!$B$5,Settings!$G$47))&lt;MAX($A87,Settings!$F$47),0,INT((MIN(Settings!$B$5,IF(Settings!$G$47="",Settings!$B$5,Settings!$G$47))-MAX($A87,Settings!$F$47)-MOD(IFERROR(MATCH(Settings!$E$47,$EO$4:$EO$10,0),0)-WEEKDAY(MAX($A87,Settings!$F$47)),7))/7)+1)),IF(AND(IF(Settings!$E$47="",$B87,DATE(YEAR($A87),MONTH($A87),MIN(Settings!$E$47,DAY($B87))))&gt;=MAX($A87,Settings!$F$47),IF(Settings!$E$47="",$B87,DATE(YEAR($A87),MONTH($A87),MIN(Settings!$E$47,DAY($B87))))&lt;=MIN(Settings!$B$5,IF(Settings!$G$47="",Settings!$B$5,Settings!$G$47))),1,0)))))</f>
        <v/>
      </c>
      <c r="EW87">
        <f>IF($E87&lt;&gt;"open",0,IF(AND('Month-End'!$CF$25&lt;&gt;"",NOT(_xlfn.ISFORMULA('Month-End'!$CF$25))),0,IF(OR(Settings!$C$48="",Settings!$D$48=""),0,Settings!$C$48*IF(Settings!$D$48="Weekly",IF(IFERROR(MATCH(Settings!$E$48,$EO$4:$EO$10,0),0)=0,0,IF(MIN(Settings!$B$5,IF(Settings!$G$48="",Settings!$B$5,Settings!$G$48))&lt;MAX($A87,Settings!$F$48),0,INT((MIN(Settings!$B$5,IF(Settings!$G$48="",Settings!$B$5,Settings!$G$48))-MAX($A87,Settings!$F$48)-MOD(IFERROR(MATCH(Settings!$E$48,$EO$4:$EO$10,0),0)-WEEKDAY(MAX($A87,Settings!$F$48)),7))/7)+1)),IF(AND(IF(Settings!$E$48="",$B87,DATE(YEAR($A87),MONTH($A87),MIN(Settings!$E$48,DAY($B87))))&gt;=MAX($A87,Settings!$F$48),IF(Settings!$E$48="",$B87,DATE(YEAR($A87),MONTH($A87),MIN(Settings!$E$48,DAY($B87))))&lt;=MIN(Settings!$B$5,IF(Settings!$G$48="",Settings!$B$5,Settings!$G$48))),1,0)))))</f>
        <v/>
      </c>
      <c r="EX87">
        <f>IF($E87&lt;&gt;"open",0,IF(AND('Month-End'!$CF$26&lt;&gt;"",NOT(_xlfn.ISFORMULA('Month-End'!$CF$26))),0,IF(OR(Settings!$C$49="",Settings!$D$49=""),0,Settings!$C$49*IF(Settings!$D$49="Weekly",IF(IFERROR(MATCH(Settings!$E$49,$EO$4:$EO$10,0),0)=0,0,IF(MIN(Settings!$B$5,IF(Settings!$G$49="",Settings!$B$5,Settings!$G$49))&lt;MAX($A87,Settings!$F$49),0,INT((MIN(Settings!$B$5,IF(Settings!$G$49="",Settings!$B$5,Settings!$G$49))-MAX($A87,Settings!$F$49)-MOD(IFERROR(MATCH(Settings!$E$49,$EO$4:$EO$10,0),0)-WEEKDAY(MAX($A87,Settings!$F$49)),7))/7)+1)),IF(AND(IF(Settings!$E$49="",$B87,DATE(YEAR($A87),MONTH($A87),MIN(Settings!$E$49,DAY($B87))))&gt;=MAX($A87,Settings!$F$49),IF(Settings!$E$49="",$B87,DATE(YEAR($A87),MONTH($A87),MIN(Settings!$E$49,DAY($B87))))&lt;=MIN(Settings!$B$5,IF(Settings!$G$49="",Settings!$B$5,Settings!$G$49))),1,0)))))</f>
        <v/>
      </c>
      <c r="EY87">
        <f>IF($E87&lt;&gt;"open",0,IF(AND('Month-End'!$CF$27&lt;&gt;"",NOT(_xlfn.ISFORMULA('Month-End'!$CF$27))),0,IF(OR(Settings!$C$50="",Settings!$D$50=""),0,Settings!$C$50*IF(Settings!$D$50="Weekly",IF(IFERROR(MATCH(Settings!$E$50,$EO$4:$EO$10,0),0)=0,0,IF(MIN(Settings!$B$5,IF(Settings!$G$50="",Settings!$B$5,Settings!$G$50))&lt;MAX($A87,Settings!$F$50),0,INT((MIN(Settings!$B$5,IF(Settings!$G$50="",Settings!$B$5,Settings!$G$50))-MAX($A87,Settings!$F$50)-MOD(IFERROR(MATCH(Settings!$E$50,$EO$4:$EO$10,0),0)-WEEKDAY(MAX($A87,Settings!$F$50)),7))/7)+1)),IF(AND(IF(Settings!$E$50="",$B87,DATE(YEAR($A87),MONTH($A87),MIN(Settings!$E$50,DAY($B87))))&gt;=MAX($A87,Settings!$F$50),IF(Settings!$E$50="",$B87,DATE(YEAR($A87),MONTH($A87),MIN(Settings!$E$50,DAY($B87))))&lt;=MIN(Settings!$B$5,IF(Settings!$G$50="",Settings!$B$5,Settings!$G$50))),1,0)))))</f>
        <v/>
      </c>
      <c r="EZ87">
        <f>IF($E87&lt;&gt;"open",0,IF(AND('Month-End'!$CF$28&lt;&gt;"",NOT(_xlfn.ISFORMULA('Month-End'!$CF$28))),0,IF(OR(Settings!$C$51="",Settings!$D$51=""),0,Settings!$C$51*IF(Settings!$D$51="Weekly",IF(IFERROR(MATCH(Settings!$E$51,$EO$4:$EO$10,0),0)=0,0,IF(MIN(Settings!$B$5,IF(Settings!$G$51="",Settings!$B$5,Settings!$G$51))&lt;MAX($A87,Settings!$F$51),0,INT((MIN(Settings!$B$5,IF(Settings!$G$51="",Settings!$B$5,Settings!$G$51))-MAX($A87,Settings!$F$51)-MOD(IFERROR(MATCH(Settings!$E$51,$EO$4:$EO$10,0),0)-WEEKDAY(MAX($A87,Settings!$F$51)),7))/7)+1)),IF(AND(IF(Settings!$E$51="",$B87,DATE(YEAR($A87),MONTH($A87),MIN(Settings!$E$51,DAY($B87))))&gt;=MAX($A87,Settings!$F$51),IF(Settings!$E$51="",$B87,DATE(YEAR($A87),MONTH($A87),MIN(Settings!$E$51,DAY($B87))))&lt;=MIN(Settings!$B$5,IF(Settings!$G$51="",Settings!$B$5,Settings!$G$51))),1,0)))))</f>
        <v/>
      </c>
      <c r="FA87">
        <f>IF($E87&lt;&gt;"open",0,IF(AND('Month-End'!$CF$29&lt;&gt;"",NOT(_xlfn.ISFORMULA('Month-End'!$CF$29))),0,IF(OR(Settings!$C$52="",Settings!$D$52=""),0,Settings!$C$52*IF(Settings!$D$52="Weekly",IF(IFERROR(MATCH(Settings!$E$52,$EO$4:$EO$10,0),0)=0,0,IF(MIN(Settings!$B$5,IF(Settings!$G$52="",Settings!$B$5,Settings!$G$52))&lt;MAX($A87,Settings!$F$52),0,INT((MIN(Settings!$B$5,IF(Settings!$G$52="",Settings!$B$5,Settings!$G$52))-MAX($A87,Settings!$F$52)-MOD(IFERROR(MATCH(Settings!$E$52,$EO$4:$EO$10,0),0)-WEEKDAY(MAX($A87,Settings!$F$52)),7))/7)+1)),IF(AND(IF(Settings!$E$52="",$B87,DATE(YEAR($A87),MONTH($A87),MIN(Settings!$E$52,DAY($B87))))&gt;=MAX($A87,Settings!$F$52),IF(Settings!$E$52="",$B87,DATE(YEAR($A87),MONTH($A87),MIN(Settings!$E$52,DAY($B87))))&lt;=MIN(Settings!$B$5,IF(Settings!$G$52="",Settings!$B$5,Settings!$G$52))),1,0)))))</f>
        <v/>
      </c>
      <c r="FB87">
        <f>IF($E87&lt;&gt;"open",0,IF(AND('Month-End'!$CF$30&lt;&gt;"",NOT(_xlfn.ISFORMULA('Month-End'!$CF$30))),0,IF(OR(Settings!$C$53="",Settings!$D$53=""),0,Settings!$C$53*IF(Settings!$D$53="Weekly",IF(IFERROR(MATCH(Settings!$E$53,$EO$4:$EO$10,0),0)=0,0,IF(MIN(Settings!$B$5,IF(Settings!$G$53="",Settings!$B$5,Settings!$G$53))&lt;MAX($A87,Settings!$F$53),0,INT((MIN(Settings!$B$5,IF(Settings!$G$53="",Settings!$B$5,Settings!$G$53))-MAX($A87,Settings!$F$53)-MOD(IFERROR(MATCH(Settings!$E$53,$EO$4:$EO$10,0),0)-WEEKDAY(MAX($A87,Settings!$F$53)),7))/7)+1)),IF(AND(IF(Settings!$E$53="",$B87,DATE(YEAR($A87),MONTH($A87),MIN(Settings!$E$53,DAY($B87))))&gt;=MAX($A87,Settings!$F$53),IF(Settings!$E$53="",$B87,DATE(YEAR($A87),MONTH($A87),MIN(Settings!$E$53,DAY($B87))))&lt;=MIN(Settings!$B$5,IF(Settings!$G$53="",Settings!$B$5,Settings!$G$53))),1,0)))))</f>
        <v/>
      </c>
      <c r="FC87">
        <f>IF($E87&lt;&gt;"open",0,IF(AND('Month-End'!$CF$31&lt;&gt;"",NOT(_xlfn.ISFORMULA('Month-End'!$CF$31))),0,IF(OR(Settings!$C$54="",Settings!$D$54=""),0,Settings!$C$54*IF(Settings!$D$54="Weekly",IF(IFERROR(MATCH(Settings!$E$54,$EO$4:$EO$10,0),0)=0,0,IF(MIN(Settings!$B$5,IF(Settings!$G$54="",Settings!$B$5,Settings!$G$54))&lt;MAX($A87,Settings!$F$54),0,INT((MIN(Settings!$B$5,IF(Settings!$G$54="",Settings!$B$5,Settings!$G$54))-MAX($A87,Settings!$F$54)-MOD(IFERROR(MATCH(Settings!$E$54,$EO$4:$EO$10,0),0)-WEEKDAY(MAX($A87,Settings!$F$54)),7))/7)+1)),IF(AND(IF(Settings!$E$54="",$B87,DATE(YEAR($A87),MONTH($A87),MIN(Settings!$E$54,DAY($B87))))&gt;=MAX($A87,Settings!$F$54),IF(Settings!$E$54="",$B87,DATE(YEAR($A87),MONTH($A87),MIN(Settings!$E$54,DAY($B87))))&lt;=MIN(Settings!$B$5,IF(Settings!$G$54="",Settings!$B$5,Settings!$G$54))),1,0)))))</f>
        <v/>
      </c>
      <c r="FD87">
        <f>IF($E87&lt;&gt;"open",0,IF(AND('Month-End'!$CF$32&lt;&gt;"",NOT(_xlfn.ISFORMULA('Month-End'!$CF$32))),0,IF(OR(Settings!$C$55="",Settings!$D$55=""),0,Settings!$C$55*IF(Settings!$D$55="Weekly",IF(IFERROR(MATCH(Settings!$E$55,$EO$4:$EO$10,0),0)=0,0,IF(MIN(Settings!$B$5,IF(Settings!$G$55="",Settings!$B$5,Settings!$G$55))&lt;MAX($A87,Settings!$F$55),0,INT((MIN(Settings!$B$5,IF(Settings!$G$55="",Settings!$B$5,Settings!$G$55))-MAX($A87,Settings!$F$55)-MOD(IFERROR(MATCH(Settings!$E$55,$EO$4:$EO$10,0),0)-WEEKDAY(MAX($A87,Settings!$F$55)),7))/7)+1)),IF(AND(IF(Settings!$E$55="",$B87,DATE(YEAR($A87),MONTH($A87),MIN(Settings!$E$55,DAY($B87))))&gt;=MAX($A87,Settings!$F$55),IF(Settings!$E$55="",$B87,DATE(YEAR($A87),MONTH($A87),MIN(Settings!$E$55,DAY($B87))))&lt;=MIN(Settings!$B$5,IF(Settings!$G$55="",Settings!$B$5,Settings!$G$55))),1,0)))))</f>
        <v/>
      </c>
      <c r="FE87">
        <f>IF($E87&lt;&gt;"open",0,IF(AND('Month-End'!$CF$33&lt;&gt;"",NOT(_xlfn.ISFORMULA('Month-End'!$CF$33))),0,IF(OR(Settings!$C$56="",Settings!$D$56=""),0,Settings!$C$56*IF(Settings!$D$56="Weekly",IF(IFERROR(MATCH(Settings!$E$56,$EO$4:$EO$10,0),0)=0,0,IF(MIN(Settings!$B$5,IF(Settings!$G$56="",Settings!$B$5,Settings!$G$56))&lt;MAX($A87,Settings!$F$56),0,INT((MIN(Settings!$B$5,IF(Settings!$G$56="",Settings!$B$5,Settings!$G$56))-MAX($A87,Settings!$F$56)-MOD(IFERROR(MATCH(Settings!$E$56,$EO$4:$EO$10,0),0)-WEEKDAY(MAX($A87,Settings!$F$56)),7))/7)+1)),IF(AND(IF(Settings!$E$56="",$B87,DATE(YEAR($A87),MONTH($A87),MIN(Settings!$E$56,DAY($B87))))&gt;=MAX($A87,Settings!$F$56),IF(Settings!$E$56="",$B87,DATE(YEAR($A87),MONTH($A87),MIN(Settings!$E$56,DAY($B87))))&lt;=MIN(Settings!$B$5,IF(Settings!$G$56="",Settings!$B$5,Settings!$G$56))),1,0)))))</f>
        <v/>
      </c>
      <c r="FF87">
        <f>IF(Settings!$I$45="Yes",$G87,0)+IF(Settings!$I$46="Yes",$H87,0)+IF(Settings!$I$47="Yes",$I87,0)+IF(Settings!$I$48="Yes",$J87,0)+IF(Settings!$I$49="Yes",$K87,0)+IF(Settings!$I$50="Yes",$L87,0)+IF(Settings!$I$51="Yes",$M87,0)+IF(Settings!$I$52="Yes",$N87,0)+IF(Settings!$I$53="Yes",$O87,0)+IF(Settings!$I$54="Yes",$P87,0)+IF(Settings!$I$55="Yes",$Q87,0)+IF(Settings!$I$56="Yes",$R87,0)</f>
        <v/>
      </c>
      <c r="FG87">
        <f>IF(AND(Settings!$I$45="Yes",Settings!$J$45="No"),$G87,0)+IF(AND(Settings!$I$46="Yes",Settings!$J$46="No"),$H87,0)+IF(AND(Settings!$I$47="Yes",Settings!$J$47="No"),$I87,0)+IF(AND(Settings!$I$48="Yes",Settings!$J$48="No"),$J87,0)+IF(AND(Settings!$I$49="Yes",Settings!$J$49="No"),$K87,0)+IF(AND(Settings!$I$50="Yes",Settings!$J$50="No"),$L87,0)+IF(AND(Settings!$I$51="Yes",Settings!$J$51="No"),$M87,0)+IF(AND(Settings!$I$52="Yes",Settings!$J$52="No"),$N87,0)+IF(AND(Settings!$I$53="Yes",Settings!$J$53="No"),$O87,0)+IF(AND(Settings!$I$54="Yes",Settings!$J$54="No"),$P87,0)+IF(AND(Settings!$I$55="Yes",Settings!$J$55="No"),$Q87,0)+IF(AND(Settings!$I$56="Yes",Settings!$J$56="No"),$R87,0)</f>
        <v/>
      </c>
      <c r="FH87">
        <f>SUMIFS(Giving!$B$7:$B$2006,Giving!$A$7:$A$2006,"&gt;="&amp;$A87,Giving!$A$7:$A$2006,"&lt;="&amp;$B87,Giving!$G$7:$G$2006,"Yes")+IF(OR(OR(Settings!$B$60="",Settings!$F$60="No"),Settings!$H$60&lt;&gt;"Yes"),0,Settings!$B$60*IF(AND(IF(Settings!$C$60="",$B87,DATE(YEAR($A87),MONTH($A87),MIN(Settings!$C$60,DAY($B87))))&gt;=MAX($A87,Settings!$D$60),IF(Settings!$C$60="",$B87,DATE(YEAR($A87),MONTH($A87),MIN(Settings!$C$60,DAY($B87))))&lt;=MIN($C87,IF(Settings!$E$60="",$C87,Settings!$E$60))),1,0))+IF(OR(OR(Settings!$B$61="",Settings!$F$61="No"),Settings!$H$61&lt;&gt;"Yes"),0,Settings!$B$61*IF(AND(IF(Settings!$C$61="",$B87,DATE(YEAR($A87),MONTH($A87),MIN(Settings!$C$61,DAY($B87))))&gt;=MAX($A87,Settings!$D$61),IF(Settings!$C$61="",$B87,DATE(YEAR($A87),MONTH($A87),MIN(Settings!$C$61,DAY($B87))))&lt;=MIN($C87,IF(Settings!$E$61="",$C87,Settings!$E$61))),1,0))+IF(OR(OR(Settings!$B$62="",Settings!$F$62="No"),Settings!$H$62&lt;&gt;"Yes"),0,Settings!$B$62*IF(AND(IF(Settings!$C$62="",$B87,DATE(YEAR($A87),MONTH($A87),MIN(Settings!$C$62,DAY($B87))))&gt;=MAX($A87,Settings!$D$62),IF(Settings!$C$62="",$B87,DATE(YEAR($A87),MONTH($A87),MIN(Settings!$C$62,DAY($B87))))&lt;=MIN($C87,IF(Settings!$E$62="",$C87,Settings!$E$62))),1,0))+IF(OR(OR(Settings!$B$63="",Settings!$F$63="No"),Settings!$H$63&lt;&gt;"Yes"),0,Settings!$B$63*IF(AND(IF(Settings!$C$63="",$B87,DATE(YEAR($A87),MONTH($A87),MIN(Settings!$C$63,DAY($B87))))&gt;=MAX($A87,Settings!$D$63),IF(Settings!$C$63="",$B87,DATE(YEAR($A87),MONTH($A87),MIN(Settings!$C$63,DAY($B87))))&lt;=MIN($C87,IF(Settings!$E$63="",$C87,Settings!$E$63))),1,0))+IF(OR(OR(Settings!$B$64="",Settings!$F$64="No"),Settings!$H$64&lt;&gt;"Yes"),0,Settings!$B$64*IF(AND(IF(Settings!$C$64="",$B87,DATE(YEAR($A87),MONTH($A87),MIN(Settings!$C$64,DAY($B87))))&gt;=MAX($A87,Settings!$D$64),IF(Settings!$C$64="",$B87,DATE(YEAR($A87),MONTH($A87),MIN(Settings!$C$64,DAY($B87))))&lt;=MIN($C87,IF(Settings!$E$64="",$C87,Settings!$E$64))),1,0))+IF(OR(OR(Settings!$B$65="",Settings!$F$65="No"),Settings!$H$65&lt;&gt;"Yes"),0,Settings!$B$65*IF(AND(IF(Settings!$C$65="",$B87,DATE(YEAR($A87),MONTH($A87),MIN(Settings!$C$65,DAY($B87))))&gt;=MAX($A87,Settings!$D$65),IF(Settings!$C$65="",$B87,DATE(YEAR($A87),MONTH($A87),MIN(Settings!$C$65,DAY($B87))))&lt;=MIN($C87,IF(Settings!$E$65="",$C87,Settings!$E$65))),1,0))</f>
        <v/>
      </c>
      <c r="FI87">
        <f>IF($DT87=1,IF(OR(Settings!$B$19="Card",Settings!$B$19="Loan"),N($AE87),0)+IF(OR(Settings!$B$20="Card",Settings!$B$20="Loan"),N($AF87),0)+IF(OR(Settings!$B$21="Card",Settings!$B$21="Loan"),N($AG87),0)+IF(OR(Settings!$B$22="Card",Settings!$B$22="Loan"),N($AH87),0)+IF(OR(Settings!$B$23="Card",Settings!$B$23="Loan"),N($AI87),0)+IF(OR(Settings!$B$24="Card",Settings!$B$24="Loan"),N($AJ87),0)+IF(OR(Settings!$B$25="Card",Settings!$B$25="Loan"),N($AK87),0)+IF(OR(Settings!$B$26="Card",Settings!$B$26="Loan"),N($AL87),0)+IF(OR(Settings!$B$27="Card",Settings!$B$27="Loan"),N($AM87),0)+IF(OR(Settings!$B$28="Card",Settings!$B$28="Loan"),N($AN87),0)+IF(OR(Settings!$B$29="Card",Settings!$B$29="Loan"),N($AO87),0)+IF(OR(Settings!$B$30="Card",Settings!$B$30="Loan"),N($AP87),0)+IF(OR(Settings!$B$31="Card",Settings!$B$31="Loan"),N($AQ87),0)+IF(OR(Settings!$B$32="Card",Settings!$B$32="Loan"),N($AR87),0),"")</f>
        <v/>
      </c>
      <c r="FJ87">
        <f>IF($E87="open",$EB$65,IF($E87="post",IF($E86="pre",$EB$65,$FI86),""))</f>
        <v/>
      </c>
      <c r="FK87">
        <f>IF(AND($DT87=1,$DC87=1),IF(ROUND($FI87-$FJ87,2)&gt;0,1,0),0)</f>
        <v/>
      </c>
      <c r="FL87">
        <f>IF($FK87=1,$FL86+1,0)</f>
        <v/>
      </c>
    </row>
    <row r="88">
      <c r="A88">
        <f>'Month-End'!$CG$4</f>
        <v/>
      </c>
      <c r="B88">
        <f>EOMONTH($A88,0)</f>
        <v/>
      </c>
      <c r="C88">
        <f>MIN($B88,TODAY())</f>
        <v/>
      </c>
      <c r="D88">
        <f>IF($A88&gt;TODAY(),1,0)</f>
        <v/>
      </c>
      <c r="E88">
        <f>IF($B88&lt;=Settings!$B$5,"pre",IF($A88&lt;=Settings!$B$5,"open","post"))</f>
        <v/>
      </c>
      <c r="G88">
        <f>IF('Month-End'!$CG$22="",$BE88,N('Month-End'!$CG$22))</f>
        <v/>
      </c>
      <c r="H88">
        <f>IF('Month-End'!$CG$23="",$BF88,N('Month-End'!$CG$23))</f>
        <v/>
      </c>
      <c r="I88">
        <f>IF('Month-End'!$CG$24="",$BG88,N('Month-End'!$CG$24))</f>
        <v/>
      </c>
      <c r="J88">
        <f>IF('Month-End'!$CG$25="",$BH88,N('Month-End'!$CG$25))</f>
        <v/>
      </c>
      <c r="K88">
        <f>IF('Month-End'!$CG$26="",$BI88,N('Month-End'!$CG$26))</f>
        <v/>
      </c>
      <c r="L88">
        <f>IF('Month-End'!$CG$27="",$BJ88,N('Month-End'!$CG$27))</f>
        <v/>
      </c>
      <c r="M88">
        <f>IF('Month-End'!$CG$28="",$BK88,N('Month-End'!$CG$28))</f>
        <v/>
      </c>
      <c r="N88">
        <f>IF('Month-End'!$CG$29="",$BL88,N('Month-End'!$CG$29))</f>
        <v/>
      </c>
      <c r="O88">
        <f>IF('Month-End'!$CG$30="",$BM88,N('Month-End'!$CG$30))</f>
        <v/>
      </c>
      <c r="P88">
        <f>IF('Month-End'!$CG$31="",$BN88,N('Month-End'!$CG$31))</f>
        <v/>
      </c>
      <c r="Q88">
        <f>IF('Month-End'!$CG$32="",$BO88,N('Month-End'!$CG$32))</f>
        <v/>
      </c>
      <c r="R88">
        <f>IF('Month-End'!$CG$33="",$BP88,N('Month-End'!$CG$33))</f>
        <v/>
      </c>
      <c r="S88">
        <f>$G88+$H88+$I88+$J88+$K88+$L88+$M88+$N88+$O88+$P88+$Q88+$R88</f>
        <v/>
      </c>
      <c r="T88">
        <f>IF($B88&lt;Settings!$B$6,0,IF(Settings!$B$45="Yes",$G88,0)+IF(Settings!$B$46="Yes",$H88,0)+IF(Settings!$B$47="Yes",$I88,0)+IF(Settings!$B$48="Yes",$J88,0)+IF(Settings!$B$49="Yes",$K88,0)+IF(Settings!$B$50="Yes",$L88,0)+IF(Settings!$B$51="Yes",$M88,0)+IF(Settings!$B$52="Yes",$N88,0)+IF(Settings!$B$53="Yes",$O88,0)+IF(Settings!$B$54="Yes",$P88,0)+IF(Settings!$B$55="Yes",$Q88,0)+IF(Settings!$B$56="Yes",$R88,0))</f>
        <v/>
      </c>
      <c r="U88">
        <f>IF(Settings!$B$45="Not Sure",$G88,0)+IF(Settings!$B$46="Not Sure",$H88,0)+IF(Settings!$B$47="Not Sure",$I88,0)+IF(Settings!$B$48="Not Sure",$J88,0)+IF(Settings!$B$49="Not Sure",$K88,0)+IF(Settings!$B$50="Not Sure",$L88,0)+IF(Settings!$B$51="Not Sure",$M88,0)+IF(Settings!$B$52="Not Sure",$N88,0)+IF(Settings!$B$53="Not Sure",$O88,0)+IF(Settings!$B$54="Not Sure",$P88,0)+IF(Settings!$B$55="Not Sure",$Q88,0)+IF(Settings!$B$56="Not Sure",$R88,0)</f>
        <v/>
      </c>
      <c r="V88">
        <f>IF($E88="open",SUM($ET88:$FE88)+N(Settings!$B$13),0)</f>
        <v/>
      </c>
      <c r="W88">
        <f>IF($E88="post",$S88,IF($E88="open",$S88-$V88,0))</f>
        <v/>
      </c>
      <c r="X88">
        <f>SUMIFS(Giving!$B$7:$B$2006,Giving!$A$7:$A$2006,"&gt;="&amp;$A88,Giving!$A$7:$A$2006,"&lt;="&amp;$B88,Giving!$E$7:$E$2006,"&lt;&gt;No")</f>
        <v/>
      </c>
      <c r="Y88">
        <f>SUMIFS(Giving!$B$7:$B$2006,Giving!$A$7:$A$2006,"&gt;="&amp;$A88,Giving!$A$7:$A$2006,"&lt;="&amp;$B88,Giving!$E$7:$E$2006,"No")</f>
        <v/>
      </c>
      <c r="Z88">
        <f>IF(OR(Settings!$B$60="",Settings!$F$60="No"),0,Settings!$B$60*IF(AND(IF(Settings!$C$60="",$B88,DATE(YEAR($A88),MONTH($A88),MIN(Settings!$C$60,DAY($B88))))&gt;=MAX($A88,Settings!$D$60),IF(Settings!$C$60="",$B88,DATE(YEAR($A88),MONTH($A88),MIN(Settings!$C$60,DAY($B88))))&lt;=MIN($C88,IF(Settings!$E$60="",$C88,Settings!$E$60))),1,0))+IF(OR(Settings!$B$61="",Settings!$F$61="No"),0,Settings!$B$61*IF(AND(IF(Settings!$C$61="",$B88,DATE(YEAR($A88),MONTH($A88),MIN(Settings!$C$61,DAY($B88))))&gt;=MAX($A88,Settings!$D$61),IF(Settings!$C$61="",$B88,DATE(YEAR($A88),MONTH($A88),MIN(Settings!$C$61,DAY($B88))))&lt;=MIN($C88,IF(Settings!$E$61="",$C88,Settings!$E$61))),1,0))+IF(OR(Settings!$B$62="",Settings!$F$62="No"),0,Settings!$B$62*IF(AND(IF(Settings!$C$62="",$B88,DATE(YEAR($A88),MONTH($A88),MIN(Settings!$C$62,DAY($B88))))&gt;=MAX($A88,Settings!$D$62),IF(Settings!$C$62="",$B88,DATE(YEAR($A88),MONTH($A88),MIN(Settings!$C$62,DAY($B88))))&lt;=MIN($C88,IF(Settings!$E$62="",$C88,Settings!$E$62))),1,0))+IF(OR(Settings!$B$63="",Settings!$F$63="No"),0,Settings!$B$63*IF(AND(IF(Settings!$C$63="",$B88,DATE(YEAR($A88),MONTH($A88),MIN(Settings!$C$63,DAY($B88))))&gt;=MAX($A88,Settings!$D$63),IF(Settings!$C$63="",$B88,DATE(YEAR($A88),MONTH($A88),MIN(Settings!$C$63,DAY($B88))))&lt;=MIN($C88,IF(Settings!$E$63="",$C88,Settings!$E$63))),1,0))+IF(OR(Settings!$B$64="",Settings!$F$64="No"),0,Settings!$B$64*IF(AND(IF(Settings!$C$64="",$B88,DATE(YEAR($A88),MONTH($A88),MIN(Settings!$C$64,DAY($B88))))&gt;=MAX($A88,Settings!$D$64),IF(Settings!$C$64="",$B88,DATE(YEAR($A88),MONTH($A88),MIN(Settings!$C$64,DAY($B88))))&lt;=MIN($C88,IF(Settings!$E$64="",$C88,Settings!$E$64))),1,0))+IF(OR(Settings!$B$65="",Settings!$F$65="No"),0,Settings!$B$65*IF(AND(IF(Settings!$C$65="",$B88,DATE(YEAR($A88),MONTH($A88),MIN(Settings!$C$65,DAY($B88))))&gt;=MAX($A88,Settings!$D$65),IF(Settings!$C$65="",$B88,DATE(YEAR($A88),MONTH($A88),MIN(Settings!$C$65,DAY($B88))))&lt;=MIN($C88,IF(Settings!$E$65="",$C88,Settings!$E$65))),1,0))</f>
        <v/>
      </c>
      <c r="AA88">
        <f>$X88+$Z88</f>
        <v/>
      </c>
      <c r="AB88">
        <f>IF($E88="post",$AA88,IF($E88="open",SUMIFS(Giving!$B$7:$B$2006,Giving!$A$7:$A$2006,"&gt;"&amp;Settings!$B$5,Giving!$A$7:$A$2006,"&lt;="&amp;$B88,Giving!$E$7:$E$2006,"&lt;&gt;No")+IF(OR(Settings!$B$60="",Settings!$F$60="No"),0,Settings!$B$60*IF(AND(IF(Settings!$C$60="",$B88,DATE(YEAR($A88),MONTH($A88),MIN(Settings!$C$60,DAY($B88))))&gt;=MAX($A88,Settings!$D$60,Settings!$B$5+1),IF(Settings!$C$60="",$B88,DATE(YEAR($A88),MONTH($A88),MIN(Settings!$C$60,DAY($B88))))&lt;=MIN($C88,IF(Settings!$E$60="",$C88,Settings!$E$60))),1,0))+IF(OR(Settings!$B$61="",Settings!$F$61="No"),0,Settings!$B$61*IF(AND(IF(Settings!$C$61="",$B88,DATE(YEAR($A88),MONTH($A88),MIN(Settings!$C$61,DAY($B88))))&gt;=MAX($A88,Settings!$D$61,Settings!$B$5+1),IF(Settings!$C$61="",$B88,DATE(YEAR($A88),MONTH($A88),MIN(Settings!$C$61,DAY($B88))))&lt;=MIN($C88,IF(Settings!$E$61="",$C88,Settings!$E$61))),1,0))+IF(OR(Settings!$B$62="",Settings!$F$62="No"),0,Settings!$B$62*IF(AND(IF(Settings!$C$62="",$B88,DATE(YEAR($A88),MONTH($A88),MIN(Settings!$C$62,DAY($B88))))&gt;=MAX($A88,Settings!$D$62,Settings!$B$5+1),IF(Settings!$C$62="",$B88,DATE(YEAR($A88),MONTH($A88),MIN(Settings!$C$62,DAY($B88))))&lt;=MIN($C88,IF(Settings!$E$62="",$C88,Settings!$E$62))),1,0))+IF(OR(Settings!$B$63="",Settings!$F$63="No"),0,Settings!$B$63*IF(AND(IF(Settings!$C$63="",$B88,DATE(YEAR($A88),MONTH($A88),MIN(Settings!$C$63,DAY($B88))))&gt;=MAX($A88,Settings!$D$63,Settings!$B$5+1),IF(Settings!$C$63="",$B88,DATE(YEAR($A88),MONTH($A88),MIN(Settings!$C$63,DAY($B88))))&lt;=MIN($C88,IF(Settings!$E$63="",$C88,Settings!$E$63))),1,0))+IF(OR(Settings!$B$64="",Settings!$F$64="No"),0,Settings!$B$64*IF(AND(IF(Settings!$C$64="",$B88,DATE(YEAR($A88),MONTH($A88),MIN(Settings!$C$64,DAY($B88))))&gt;=MAX($A88,Settings!$D$64,Settings!$B$5+1),IF(Settings!$C$64="",$B88,DATE(YEAR($A88),MONTH($A88),MIN(Settings!$C$64,DAY($B88))))&lt;=MIN($C88,IF(Settings!$E$64="",$C88,Settings!$E$64))),1,0))+IF(OR(Settings!$B$65="",Settings!$F$65="No"),0,Settings!$B$65*IF(AND(IF(Settings!$C$65="",$B88,DATE(YEAR($A88),MONTH($A88),MIN(Settings!$C$65,DAY($B88))))&gt;=MAX($A88,Settings!$D$65,Settings!$B$5+1),IF(Settings!$C$65="",$B88,DATE(YEAR($A88),MONTH($A88),MIN(Settings!$C$65,DAY($B88))))&lt;=MIN($C88,IF(Settings!$E$65="",$C88,Settings!$E$65))),1,0)),0))</f>
        <v/>
      </c>
      <c r="AC88">
        <f>$AY88+$AZ88+$BA88+$BB88+$BC88+$BD88</f>
        <v/>
      </c>
      <c r="AD88">
        <f>$AC88</f>
        <v/>
      </c>
      <c r="AE88">
        <f>IF(OR(Settings!$A$19="",$E88="pre"),"",IF(AND('Month-End'!$CG$7&lt;&gt;"",NOT(_xlfn.ISFORMULA('Month-End'!$CG$7))),N('Month-End'!$CG$7),IF(OR($E88="open",$E87="pre"),N(Settings!$C$19),N($AE87))))</f>
        <v/>
      </c>
      <c r="AF88">
        <f>IF(OR(Settings!$A$20="",$E88="pre"),"",IF(AND('Month-End'!$CG$8&lt;&gt;"",NOT(_xlfn.ISFORMULA('Month-End'!$CG$8))),N('Month-End'!$CG$8),IF(OR($E88="open",$E87="pre"),N(Settings!$C$20),N($AF87))))</f>
        <v/>
      </c>
      <c r="AG88">
        <f>IF(OR(Settings!$A$21="",$E88="pre"),"",IF(AND('Month-End'!$CG$9&lt;&gt;"",NOT(_xlfn.ISFORMULA('Month-End'!$CG$9))),N('Month-End'!$CG$9),IF(OR($E88="open",$E87="pre"),N(Settings!$C$21),N($AG87))))</f>
        <v/>
      </c>
      <c r="AH88">
        <f>IF(OR(Settings!$A$22="",$E88="pre"),"",IF(AND('Month-End'!$CG$10&lt;&gt;"",NOT(_xlfn.ISFORMULA('Month-End'!$CG$10))),N('Month-End'!$CG$10),IF(OR($E88="open",$E87="pre"),N(Settings!$C$22),N($AH87))))</f>
        <v/>
      </c>
      <c r="AI88">
        <f>IF(OR(Settings!$A$23="",$E88="pre"),"",IF(AND('Month-End'!$CG$11&lt;&gt;"",NOT(_xlfn.ISFORMULA('Month-End'!$CG$11))),N('Month-End'!$CG$11),IF(OR($E88="open",$E87="pre"),N(Settings!$C$23),N($AI87))))</f>
        <v/>
      </c>
      <c r="AJ88">
        <f>IF(OR(Settings!$A$24="",$E88="pre"),"",IF(AND('Month-End'!$CG$12&lt;&gt;"",NOT(_xlfn.ISFORMULA('Month-End'!$CG$12))),N('Month-End'!$CG$12),IF(OR($E88="open",$E87="pre"),N(Settings!$C$24),N($AJ87))))</f>
        <v/>
      </c>
      <c r="AK88">
        <f>IF(OR(Settings!$A$25="",$E88="pre"),"",IF(AND('Month-End'!$CG$13&lt;&gt;"",NOT(_xlfn.ISFORMULA('Month-End'!$CG$13))),N('Month-End'!$CG$13),IF(OR($E88="open",$E87="pre"),N(Settings!$C$25),N($AK87))))</f>
        <v/>
      </c>
      <c r="AL88">
        <f>IF(OR(Settings!$A$26="",$E88="pre"),"",IF(AND('Month-End'!$CG$14&lt;&gt;"",NOT(_xlfn.ISFORMULA('Month-End'!$CG$14))),N('Month-End'!$CG$14),IF(OR($E88="open",$E87="pre"),N(Settings!$C$26),N($AL87))))</f>
        <v/>
      </c>
      <c r="AM88">
        <f>IF(OR(Settings!$A$27="",$E88="pre"),"",IF(AND('Month-End'!$CG$15&lt;&gt;"",NOT(_xlfn.ISFORMULA('Month-End'!$CG$15))),N('Month-End'!$CG$15),IF(OR($E88="open",$E87="pre"),N(Settings!$C$27),N($AM87))))</f>
        <v/>
      </c>
      <c r="AN88">
        <f>IF(OR(Settings!$A$28="",$E88="pre"),"",IF(AND('Month-End'!$CG$16&lt;&gt;"",NOT(_xlfn.ISFORMULA('Month-End'!$CG$16))),N('Month-End'!$CG$16),IF(OR($E88="open",$E87="pre"),N(Settings!$C$28),N($AN87))))</f>
        <v/>
      </c>
      <c r="AO88">
        <f>IF(OR(Settings!$A$29="",$E88="pre"),"",IF(AND('Month-End'!$CG$17&lt;&gt;"",NOT(_xlfn.ISFORMULA('Month-End'!$CG$17))),N('Month-End'!$CG$17),IF(OR($E88="open",$E87="pre"),N(Settings!$C$29),N($AO87))))</f>
        <v/>
      </c>
      <c r="AP88">
        <f>IF(OR(Settings!$A$30="",$E88="pre"),"",IF(AND('Month-End'!$CG$18&lt;&gt;"",NOT(_xlfn.ISFORMULA('Month-End'!$CG$18))),N('Month-End'!$CG$18),IF(OR($E88="open",$E87="pre"),N(Settings!$C$30),N($AP87))))</f>
        <v/>
      </c>
      <c r="AQ88">
        <f>IF(OR(Settings!$A$31="",$E88="pre"),"",IF(AND('Month-End'!$CG$19&lt;&gt;"",NOT(_xlfn.ISFORMULA('Month-End'!$CG$19))),N('Month-End'!$CG$19),IF(OR($E88="open",$E87="pre"),N(Settings!$C$31),N($AQ87))))</f>
        <v/>
      </c>
      <c r="AR88">
        <f>IF(OR(Settings!$A$32="",$E88="pre"),"",IF(AND('Month-End'!$CG$20&lt;&gt;"",NOT(_xlfn.ISFORMULA('Month-End'!$CG$20))),N('Month-End'!$CG$20),IF(OR($E88="open",$E87="pre"),N(Settings!$C$32),N($AR87))))</f>
        <v/>
      </c>
      <c r="AS88">
        <f>IF(OR(Settings!$A$36="",$E88="pre"),"",IF(AND('Month-End'!$CG$38&lt;&gt;"",NOT(_xlfn.ISFORMULA('Month-End'!$CG$38))),N('Month-End'!$CG$38),IF(OR($E88="open",$E87="pre"),N(Settings!$C$36),N($AS87))+$AY88))</f>
        <v/>
      </c>
      <c r="AT88">
        <f>IF(OR(Settings!$A$37="",$E88="pre"),"",IF(AND('Month-End'!$CG$39&lt;&gt;"",NOT(_xlfn.ISFORMULA('Month-End'!$CG$39))),N('Month-End'!$CG$39),IF(OR($E88="open",$E87="pre"),N(Settings!$C$37),N($AT87))+$AZ88))</f>
        <v/>
      </c>
      <c r="AU88">
        <f>IF(OR(Settings!$A$38="",$E88="pre"),"",IF(AND('Month-End'!$CG$40&lt;&gt;"",NOT(_xlfn.ISFORMULA('Month-End'!$CG$40))),N('Month-End'!$CG$40),IF(OR($E88="open",$E87="pre"),N(Settings!$C$38),N($AU87))+$BA88))</f>
        <v/>
      </c>
      <c r="AV88">
        <f>IF(OR(Settings!$A$39="",$E88="pre"),"",IF(AND('Month-End'!$CG$41&lt;&gt;"",NOT(_xlfn.ISFORMULA('Month-End'!$CG$41))),N('Month-End'!$CG$41),IF(OR($E88="open",$E87="pre"),N(Settings!$C$39),N($AV87))+$BB88))</f>
        <v/>
      </c>
      <c r="AW88">
        <f>IF(OR(Settings!$A$40="",$E88="pre"),"",IF(AND('Month-End'!$CG$42&lt;&gt;"",NOT(_xlfn.ISFORMULA('Month-End'!$CG$42))),N('Month-End'!$CG$42),IF(OR($E88="open",$E87="pre"),N(Settings!$C$40),N($AW87))+$BC88))</f>
        <v/>
      </c>
      <c r="AX88">
        <f>IF(OR(Settings!$A$41="",$E88="pre"),"",IF(AND('Month-End'!$CG$43&lt;&gt;"",NOT(_xlfn.ISFORMULA('Month-End'!$CG$43))),N('Month-End'!$CG$43),IF(OR($E88="open",$E87="pre"),N(Settings!$C$41),N($AX87))+$BD88))</f>
        <v/>
      </c>
      <c r="AY88">
        <f>IF($E88="pre",0,N('Month-End'!$CG$45))</f>
        <v/>
      </c>
      <c r="AZ88">
        <f>IF($E88="pre",0,N('Month-End'!$CG$46))</f>
        <v/>
      </c>
      <c r="BA88">
        <f>IF($E88="pre",0,N('Month-End'!$CG$47))</f>
        <v/>
      </c>
      <c r="BB88">
        <f>IF($E88="pre",0,N('Month-End'!$CG$48))</f>
        <v/>
      </c>
      <c r="BC88">
        <f>IF($E88="pre",0,N('Month-End'!$CG$49))</f>
        <v/>
      </c>
      <c r="BD88">
        <f>IF($E88="pre",0,N('Month-End'!$CG$50))</f>
        <v/>
      </c>
      <c r="BE88">
        <f>IF(OR(Settings!$C$45="",Settings!$D$45=""),0,Settings!$C$45*IF(Settings!$D$45="Weekly",IF(IFERROR(MATCH(Settings!$E$45,$EO$4:$EO$10,0),0)=0,0,IF(MIN($C88,IF(Settings!$G$45="",$C88,Settings!$G$45))&lt;MAX($A88,Settings!$F$45),0,INT((MIN($C88,IF(Settings!$G$45="",$C88,Settings!$G$45))-MAX($A88,Settings!$F$45)-MOD(IFERROR(MATCH(Settings!$E$45,$EO$4:$EO$10,0),0)-WEEKDAY(MAX($A88,Settings!$F$45)),7))/7)+1)),IF(AND(IF(Settings!$E$45="",$B88,DATE(YEAR($A88),MONTH($A88),MIN(Settings!$E$45,DAY($B88))))&gt;=MAX($A88,Settings!$F$45),IF(Settings!$E$45="",$B88,DATE(YEAR($A88),MONTH($A88),MIN(Settings!$E$45,DAY($B88))))&lt;=MIN($C88,IF(Settings!$G$45="",$C88,Settings!$G$45))),1,0)))</f>
        <v/>
      </c>
      <c r="BF88">
        <f>IF(OR(Settings!$C$46="",Settings!$D$46=""),0,Settings!$C$46*IF(Settings!$D$46="Weekly",IF(IFERROR(MATCH(Settings!$E$46,$EO$4:$EO$10,0),0)=0,0,IF(MIN($C88,IF(Settings!$G$46="",$C88,Settings!$G$46))&lt;MAX($A88,Settings!$F$46),0,INT((MIN($C88,IF(Settings!$G$46="",$C88,Settings!$G$46))-MAX($A88,Settings!$F$46)-MOD(IFERROR(MATCH(Settings!$E$46,$EO$4:$EO$10,0),0)-WEEKDAY(MAX($A88,Settings!$F$46)),7))/7)+1)),IF(AND(IF(Settings!$E$46="",$B88,DATE(YEAR($A88),MONTH($A88),MIN(Settings!$E$46,DAY($B88))))&gt;=MAX($A88,Settings!$F$46),IF(Settings!$E$46="",$B88,DATE(YEAR($A88),MONTH($A88),MIN(Settings!$E$46,DAY($B88))))&lt;=MIN($C88,IF(Settings!$G$46="",$C88,Settings!$G$46))),1,0)))</f>
        <v/>
      </c>
      <c r="BG88">
        <f>IF(OR(Settings!$C$47="",Settings!$D$47=""),0,Settings!$C$47*IF(Settings!$D$47="Weekly",IF(IFERROR(MATCH(Settings!$E$47,$EO$4:$EO$10,0),0)=0,0,IF(MIN($C88,IF(Settings!$G$47="",$C88,Settings!$G$47))&lt;MAX($A88,Settings!$F$47),0,INT((MIN($C88,IF(Settings!$G$47="",$C88,Settings!$G$47))-MAX($A88,Settings!$F$47)-MOD(IFERROR(MATCH(Settings!$E$47,$EO$4:$EO$10,0),0)-WEEKDAY(MAX($A88,Settings!$F$47)),7))/7)+1)),IF(AND(IF(Settings!$E$47="",$B88,DATE(YEAR($A88),MONTH($A88),MIN(Settings!$E$47,DAY($B88))))&gt;=MAX($A88,Settings!$F$47),IF(Settings!$E$47="",$B88,DATE(YEAR($A88),MONTH($A88),MIN(Settings!$E$47,DAY($B88))))&lt;=MIN($C88,IF(Settings!$G$47="",$C88,Settings!$G$47))),1,0)))</f>
        <v/>
      </c>
      <c r="BH88">
        <f>IF(OR(Settings!$C$48="",Settings!$D$48=""),0,Settings!$C$48*IF(Settings!$D$48="Weekly",IF(IFERROR(MATCH(Settings!$E$48,$EO$4:$EO$10,0),0)=0,0,IF(MIN($C88,IF(Settings!$G$48="",$C88,Settings!$G$48))&lt;MAX($A88,Settings!$F$48),0,INT((MIN($C88,IF(Settings!$G$48="",$C88,Settings!$G$48))-MAX($A88,Settings!$F$48)-MOD(IFERROR(MATCH(Settings!$E$48,$EO$4:$EO$10,0),0)-WEEKDAY(MAX($A88,Settings!$F$48)),7))/7)+1)),IF(AND(IF(Settings!$E$48="",$B88,DATE(YEAR($A88),MONTH($A88),MIN(Settings!$E$48,DAY($B88))))&gt;=MAX($A88,Settings!$F$48),IF(Settings!$E$48="",$B88,DATE(YEAR($A88),MONTH($A88),MIN(Settings!$E$48,DAY($B88))))&lt;=MIN($C88,IF(Settings!$G$48="",$C88,Settings!$G$48))),1,0)))</f>
        <v/>
      </c>
      <c r="BI88">
        <f>IF(OR(Settings!$C$49="",Settings!$D$49=""),0,Settings!$C$49*IF(Settings!$D$49="Weekly",IF(IFERROR(MATCH(Settings!$E$49,$EO$4:$EO$10,0),0)=0,0,IF(MIN($C88,IF(Settings!$G$49="",$C88,Settings!$G$49))&lt;MAX($A88,Settings!$F$49),0,INT((MIN($C88,IF(Settings!$G$49="",$C88,Settings!$G$49))-MAX($A88,Settings!$F$49)-MOD(IFERROR(MATCH(Settings!$E$49,$EO$4:$EO$10,0),0)-WEEKDAY(MAX($A88,Settings!$F$49)),7))/7)+1)),IF(AND(IF(Settings!$E$49="",$B88,DATE(YEAR($A88),MONTH($A88),MIN(Settings!$E$49,DAY($B88))))&gt;=MAX($A88,Settings!$F$49),IF(Settings!$E$49="",$B88,DATE(YEAR($A88),MONTH($A88),MIN(Settings!$E$49,DAY($B88))))&lt;=MIN($C88,IF(Settings!$G$49="",$C88,Settings!$G$49))),1,0)))</f>
        <v/>
      </c>
      <c r="BJ88">
        <f>IF(OR(Settings!$C$50="",Settings!$D$50=""),0,Settings!$C$50*IF(Settings!$D$50="Weekly",IF(IFERROR(MATCH(Settings!$E$50,$EO$4:$EO$10,0),0)=0,0,IF(MIN($C88,IF(Settings!$G$50="",$C88,Settings!$G$50))&lt;MAX($A88,Settings!$F$50),0,INT((MIN($C88,IF(Settings!$G$50="",$C88,Settings!$G$50))-MAX($A88,Settings!$F$50)-MOD(IFERROR(MATCH(Settings!$E$50,$EO$4:$EO$10,0),0)-WEEKDAY(MAX($A88,Settings!$F$50)),7))/7)+1)),IF(AND(IF(Settings!$E$50="",$B88,DATE(YEAR($A88),MONTH($A88),MIN(Settings!$E$50,DAY($B88))))&gt;=MAX($A88,Settings!$F$50),IF(Settings!$E$50="",$B88,DATE(YEAR($A88),MONTH($A88),MIN(Settings!$E$50,DAY($B88))))&lt;=MIN($C88,IF(Settings!$G$50="",$C88,Settings!$G$50))),1,0)))</f>
        <v/>
      </c>
      <c r="BK88">
        <f>IF(OR(Settings!$C$51="",Settings!$D$51=""),0,Settings!$C$51*IF(Settings!$D$51="Weekly",IF(IFERROR(MATCH(Settings!$E$51,$EO$4:$EO$10,0),0)=0,0,IF(MIN($C88,IF(Settings!$G$51="",$C88,Settings!$G$51))&lt;MAX($A88,Settings!$F$51),0,INT((MIN($C88,IF(Settings!$G$51="",$C88,Settings!$G$51))-MAX($A88,Settings!$F$51)-MOD(IFERROR(MATCH(Settings!$E$51,$EO$4:$EO$10,0),0)-WEEKDAY(MAX($A88,Settings!$F$51)),7))/7)+1)),IF(AND(IF(Settings!$E$51="",$B88,DATE(YEAR($A88),MONTH($A88),MIN(Settings!$E$51,DAY($B88))))&gt;=MAX($A88,Settings!$F$51),IF(Settings!$E$51="",$B88,DATE(YEAR($A88),MONTH($A88),MIN(Settings!$E$51,DAY($B88))))&lt;=MIN($C88,IF(Settings!$G$51="",$C88,Settings!$G$51))),1,0)))</f>
        <v/>
      </c>
      <c r="BL88">
        <f>IF(OR(Settings!$C$52="",Settings!$D$52=""),0,Settings!$C$52*IF(Settings!$D$52="Weekly",IF(IFERROR(MATCH(Settings!$E$52,$EO$4:$EO$10,0),0)=0,0,IF(MIN($C88,IF(Settings!$G$52="",$C88,Settings!$G$52))&lt;MAX($A88,Settings!$F$52),0,INT((MIN($C88,IF(Settings!$G$52="",$C88,Settings!$G$52))-MAX($A88,Settings!$F$52)-MOD(IFERROR(MATCH(Settings!$E$52,$EO$4:$EO$10,0),0)-WEEKDAY(MAX($A88,Settings!$F$52)),7))/7)+1)),IF(AND(IF(Settings!$E$52="",$B88,DATE(YEAR($A88),MONTH($A88),MIN(Settings!$E$52,DAY($B88))))&gt;=MAX($A88,Settings!$F$52),IF(Settings!$E$52="",$B88,DATE(YEAR($A88),MONTH($A88),MIN(Settings!$E$52,DAY($B88))))&lt;=MIN($C88,IF(Settings!$G$52="",$C88,Settings!$G$52))),1,0)))</f>
        <v/>
      </c>
      <c r="BM88">
        <f>IF(OR(Settings!$C$53="",Settings!$D$53=""),0,Settings!$C$53*IF(Settings!$D$53="Weekly",IF(IFERROR(MATCH(Settings!$E$53,$EO$4:$EO$10,0),0)=0,0,IF(MIN($C88,IF(Settings!$G$53="",$C88,Settings!$G$53))&lt;MAX($A88,Settings!$F$53),0,INT((MIN($C88,IF(Settings!$G$53="",$C88,Settings!$G$53))-MAX($A88,Settings!$F$53)-MOD(IFERROR(MATCH(Settings!$E$53,$EO$4:$EO$10,0),0)-WEEKDAY(MAX($A88,Settings!$F$53)),7))/7)+1)),IF(AND(IF(Settings!$E$53="",$B88,DATE(YEAR($A88),MONTH($A88),MIN(Settings!$E$53,DAY($B88))))&gt;=MAX($A88,Settings!$F$53),IF(Settings!$E$53="",$B88,DATE(YEAR($A88),MONTH($A88),MIN(Settings!$E$53,DAY($B88))))&lt;=MIN($C88,IF(Settings!$G$53="",$C88,Settings!$G$53))),1,0)))</f>
        <v/>
      </c>
      <c r="BN88">
        <f>IF(OR(Settings!$C$54="",Settings!$D$54=""),0,Settings!$C$54*IF(Settings!$D$54="Weekly",IF(IFERROR(MATCH(Settings!$E$54,$EO$4:$EO$10,0),0)=0,0,IF(MIN($C88,IF(Settings!$G$54="",$C88,Settings!$G$54))&lt;MAX($A88,Settings!$F$54),0,INT((MIN($C88,IF(Settings!$G$54="",$C88,Settings!$G$54))-MAX($A88,Settings!$F$54)-MOD(IFERROR(MATCH(Settings!$E$54,$EO$4:$EO$10,0),0)-WEEKDAY(MAX($A88,Settings!$F$54)),7))/7)+1)),IF(AND(IF(Settings!$E$54="",$B88,DATE(YEAR($A88),MONTH($A88),MIN(Settings!$E$54,DAY($B88))))&gt;=MAX($A88,Settings!$F$54),IF(Settings!$E$54="",$B88,DATE(YEAR($A88),MONTH($A88),MIN(Settings!$E$54,DAY($B88))))&lt;=MIN($C88,IF(Settings!$G$54="",$C88,Settings!$G$54))),1,0)))</f>
        <v/>
      </c>
      <c r="BO88">
        <f>IF(OR(Settings!$C$55="",Settings!$D$55=""),0,Settings!$C$55*IF(Settings!$D$55="Weekly",IF(IFERROR(MATCH(Settings!$E$55,$EO$4:$EO$10,0),0)=0,0,IF(MIN($C88,IF(Settings!$G$55="",$C88,Settings!$G$55))&lt;MAX($A88,Settings!$F$55),0,INT((MIN($C88,IF(Settings!$G$55="",$C88,Settings!$G$55))-MAX($A88,Settings!$F$55)-MOD(IFERROR(MATCH(Settings!$E$55,$EO$4:$EO$10,0),0)-WEEKDAY(MAX($A88,Settings!$F$55)),7))/7)+1)),IF(AND(IF(Settings!$E$55="",$B88,DATE(YEAR($A88),MONTH($A88),MIN(Settings!$E$55,DAY($B88))))&gt;=MAX($A88,Settings!$F$55),IF(Settings!$E$55="",$B88,DATE(YEAR($A88),MONTH($A88),MIN(Settings!$E$55,DAY($B88))))&lt;=MIN($C88,IF(Settings!$G$55="",$C88,Settings!$G$55))),1,0)))</f>
        <v/>
      </c>
      <c r="BP88">
        <f>IF(OR(Settings!$C$56="",Settings!$D$56=""),0,Settings!$C$56*IF(Settings!$D$56="Weekly",IF(IFERROR(MATCH(Settings!$E$56,$EO$4:$EO$10,0),0)=0,0,IF(MIN($C88,IF(Settings!$G$56="",$C88,Settings!$G$56))&lt;MAX($A88,Settings!$F$56),0,INT((MIN($C88,IF(Settings!$G$56="",$C88,Settings!$G$56))-MAX($A88,Settings!$F$56)-MOD(IFERROR(MATCH(Settings!$E$56,$EO$4:$EO$10,0),0)-WEEKDAY(MAX($A88,Settings!$F$56)),7))/7)+1)),IF(AND(IF(Settings!$E$56="",$B88,DATE(YEAR($A88),MONTH($A88),MIN(Settings!$E$56,DAY($B88))))&gt;=MAX($A88,Settings!$F$56),IF(Settings!$E$56="",$B88,DATE(YEAR($A88),MONTH($A88),MIN(Settings!$E$56,DAY($B88))))&lt;=MIN($C88,IF(Settings!$G$56="",$C88,Settings!$G$56))),1,0)))</f>
        <v/>
      </c>
      <c r="BQ88">
        <f>IF(OR(Settings!$B$14="",$D88=1,$E88="pre",$A88&lt;IF(Settings!$B$15="",0,Settings!$B$15)),0,Settings!$B$14)</f>
        <v/>
      </c>
      <c r="BR88">
        <f>IF(AND('Month-End'!$CG$7&lt;&gt;"",NOT(_xlfn.ISFORMULA('Month-End'!$CG$7))),1,0)</f>
        <v/>
      </c>
      <c r="BS88">
        <f>IF(AND('Month-End'!$CG$8&lt;&gt;"",NOT(_xlfn.ISFORMULA('Month-End'!$CG$8))),1,0)</f>
        <v/>
      </c>
      <c r="BT88">
        <f>IF(AND('Month-End'!$CG$9&lt;&gt;"",NOT(_xlfn.ISFORMULA('Month-End'!$CG$9))),1,0)</f>
        <v/>
      </c>
      <c r="BU88">
        <f>IF(AND('Month-End'!$CG$10&lt;&gt;"",NOT(_xlfn.ISFORMULA('Month-End'!$CG$10))),1,0)</f>
        <v/>
      </c>
      <c r="BV88">
        <f>IF(AND('Month-End'!$CG$11&lt;&gt;"",NOT(_xlfn.ISFORMULA('Month-End'!$CG$11))),1,0)</f>
        <v/>
      </c>
      <c r="BW88">
        <f>IF(AND('Month-End'!$CG$12&lt;&gt;"",NOT(_xlfn.ISFORMULA('Month-End'!$CG$12))),1,0)</f>
        <v/>
      </c>
      <c r="BX88">
        <f>IF(AND('Month-End'!$CG$13&lt;&gt;"",NOT(_xlfn.ISFORMULA('Month-End'!$CG$13))),1,0)</f>
        <v/>
      </c>
      <c r="BY88">
        <f>IF(AND('Month-End'!$CG$14&lt;&gt;"",NOT(_xlfn.ISFORMULA('Month-End'!$CG$14))),1,0)</f>
        <v/>
      </c>
      <c r="BZ88">
        <f>IF(AND('Month-End'!$CG$15&lt;&gt;"",NOT(_xlfn.ISFORMULA('Month-End'!$CG$15))),1,0)</f>
        <v/>
      </c>
      <c r="CA88">
        <f>IF(AND('Month-End'!$CG$16&lt;&gt;"",NOT(_xlfn.ISFORMULA('Month-End'!$CG$16))),1,0)</f>
        <v/>
      </c>
      <c r="CB88">
        <f>IF(AND('Month-End'!$CG$17&lt;&gt;"",NOT(_xlfn.ISFORMULA('Month-End'!$CG$17))),1,0)</f>
        <v/>
      </c>
      <c r="CC88">
        <f>IF(AND('Month-End'!$CG$18&lt;&gt;"",NOT(_xlfn.ISFORMULA('Month-End'!$CG$18))),1,0)</f>
        <v/>
      </c>
      <c r="CD88">
        <f>IF(AND('Month-End'!$CG$19&lt;&gt;"",NOT(_xlfn.ISFORMULA('Month-End'!$CG$19))),1,0)</f>
        <v/>
      </c>
      <c r="CE88">
        <f>IF(AND('Month-End'!$CG$20&lt;&gt;"",NOT(_xlfn.ISFORMULA('Month-End'!$CG$20))),1,0)</f>
        <v/>
      </c>
      <c r="CF88">
        <f>IF(AND('Month-End'!$CG$38&lt;&gt;"",NOT(_xlfn.ISFORMULA('Month-End'!$CG$38))),1,0)</f>
        <v/>
      </c>
      <c r="CG88">
        <f>IF(AND('Month-End'!$CG$39&lt;&gt;"",NOT(_xlfn.ISFORMULA('Month-End'!$CG$39))),1,0)</f>
        <v/>
      </c>
      <c r="CH88">
        <f>IF(AND('Month-End'!$CG$40&lt;&gt;"",NOT(_xlfn.ISFORMULA('Month-End'!$CG$40))),1,0)</f>
        <v/>
      </c>
      <c r="CI88">
        <f>IF(AND('Month-End'!$CG$41&lt;&gt;"",NOT(_xlfn.ISFORMULA('Month-End'!$CG$41))),1,0)</f>
        <v/>
      </c>
      <c r="CJ88">
        <f>IF(AND('Month-End'!$CG$42&lt;&gt;"",NOT(_xlfn.ISFORMULA('Month-End'!$CG$42))),1,0)</f>
        <v/>
      </c>
      <c r="CK88">
        <f>IF(AND('Month-End'!$CG$43&lt;&gt;"",NOT(_xlfn.ISFORMULA('Month-End'!$CG$43))),1,0)</f>
        <v/>
      </c>
      <c r="CL88">
        <f>SUM($CM88:$CZ88)</f>
        <v/>
      </c>
      <c r="CM88">
        <f>IF(AND($E88&lt;&gt;"pre",AND(Settings!$A$19&lt;&gt;"",Settings!$E$19&lt;&gt;"No"),Settings!$F$19="Yes",NOT(AND('Month-End'!$CG$7&lt;&gt;"",NOT(_xlfn.ISFORMULA('Month-End'!$CG$7))))),1,0)</f>
        <v/>
      </c>
      <c r="CN88">
        <f>IF(AND($E88&lt;&gt;"pre",AND(Settings!$A$20&lt;&gt;"",Settings!$E$20&lt;&gt;"No"),Settings!$F$20="Yes",NOT(AND('Month-End'!$CG$8&lt;&gt;"",NOT(_xlfn.ISFORMULA('Month-End'!$CG$8))))),1,0)</f>
        <v/>
      </c>
      <c r="CO88">
        <f>IF(AND($E88&lt;&gt;"pre",AND(Settings!$A$21&lt;&gt;"",Settings!$E$21&lt;&gt;"No"),Settings!$F$21="Yes",NOT(AND('Month-End'!$CG$9&lt;&gt;"",NOT(_xlfn.ISFORMULA('Month-End'!$CG$9))))),1,0)</f>
        <v/>
      </c>
      <c r="CP88">
        <f>IF(AND($E88&lt;&gt;"pre",AND(Settings!$A$22&lt;&gt;"",Settings!$E$22&lt;&gt;"No"),Settings!$F$22="Yes",NOT(AND('Month-End'!$CG$10&lt;&gt;"",NOT(_xlfn.ISFORMULA('Month-End'!$CG$10))))),1,0)</f>
        <v/>
      </c>
      <c r="CQ88">
        <f>IF(AND($E88&lt;&gt;"pre",AND(Settings!$A$23&lt;&gt;"",Settings!$E$23&lt;&gt;"No"),Settings!$F$23="Yes",NOT(AND('Month-End'!$CG$11&lt;&gt;"",NOT(_xlfn.ISFORMULA('Month-End'!$CG$11))))),1,0)</f>
        <v/>
      </c>
      <c r="CR88">
        <f>IF(AND($E88&lt;&gt;"pre",AND(Settings!$A$24&lt;&gt;"",Settings!$E$24&lt;&gt;"No"),Settings!$F$24="Yes",NOT(AND('Month-End'!$CG$12&lt;&gt;"",NOT(_xlfn.ISFORMULA('Month-End'!$CG$12))))),1,0)</f>
        <v/>
      </c>
      <c r="CS88">
        <f>IF(AND($E88&lt;&gt;"pre",AND(Settings!$A$25&lt;&gt;"",Settings!$E$25&lt;&gt;"No"),Settings!$F$25="Yes",NOT(AND('Month-End'!$CG$13&lt;&gt;"",NOT(_xlfn.ISFORMULA('Month-End'!$CG$13))))),1,0)</f>
        <v/>
      </c>
      <c r="CT88">
        <f>IF(AND($E88&lt;&gt;"pre",AND(Settings!$A$26&lt;&gt;"",Settings!$E$26&lt;&gt;"No"),Settings!$F$26="Yes",NOT(AND('Month-End'!$CG$14&lt;&gt;"",NOT(_xlfn.ISFORMULA('Month-End'!$CG$14))))),1,0)</f>
        <v/>
      </c>
      <c r="CU88">
        <f>IF(AND($E88&lt;&gt;"pre",AND(Settings!$A$27&lt;&gt;"",Settings!$E$27&lt;&gt;"No"),Settings!$F$27="Yes",NOT(AND('Month-End'!$CG$15&lt;&gt;"",NOT(_xlfn.ISFORMULA('Month-End'!$CG$15))))),1,0)</f>
        <v/>
      </c>
      <c r="CV88">
        <f>IF(AND($E88&lt;&gt;"pre",AND(Settings!$A$28&lt;&gt;"",Settings!$E$28&lt;&gt;"No"),Settings!$F$28="Yes",NOT(AND('Month-End'!$CG$16&lt;&gt;"",NOT(_xlfn.ISFORMULA('Month-End'!$CG$16))))),1,0)</f>
        <v/>
      </c>
      <c r="CW88">
        <f>IF(AND($E88&lt;&gt;"pre",AND(Settings!$A$29&lt;&gt;"",Settings!$E$29&lt;&gt;"No"),Settings!$F$29="Yes",NOT(AND('Month-End'!$CG$17&lt;&gt;"",NOT(_xlfn.ISFORMULA('Month-End'!$CG$17))))),1,0)</f>
        <v/>
      </c>
      <c r="CX88">
        <f>IF(AND($E88&lt;&gt;"pre",AND(Settings!$A$30&lt;&gt;"",Settings!$E$30&lt;&gt;"No"),Settings!$F$30="Yes",NOT(AND('Month-End'!$CG$18&lt;&gt;"",NOT(_xlfn.ISFORMULA('Month-End'!$CG$18))))),1,0)</f>
        <v/>
      </c>
      <c r="CY88">
        <f>IF(AND($E88&lt;&gt;"pre",AND(Settings!$A$31&lt;&gt;"",Settings!$E$31&lt;&gt;"No"),Settings!$F$31="Yes",NOT(AND('Month-End'!$CG$19&lt;&gt;"",NOT(_xlfn.ISFORMULA('Month-End'!$CG$19))))),1,0)</f>
        <v/>
      </c>
      <c r="CZ88">
        <f>IF(AND($E88&lt;&gt;"pre",AND(Settings!$A$32&lt;&gt;"",Settings!$E$32&lt;&gt;"No"),Settings!$F$32="Yes",NOT(AND('Month-End'!$CG$20&lt;&gt;"",NOT(_xlfn.ISFORMULA('Month-End'!$CG$20))))),1,0)</f>
        <v/>
      </c>
      <c r="DA88">
        <f>IF($DT88=1,IF(OR(Settings!$B$19="Checking",Settings!$B$19="Savings",Settings!$B$19="Cash"),N($AE88),IF(OR(Settings!$B$19="Card",Settings!$B$19="Loan"),-N($AE88),0))+IF(OR(Settings!$B$20="Checking",Settings!$B$20="Savings",Settings!$B$20="Cash"),N($AF88),IF(OR(Settings!$B$20="Card",Settings!$B$20="Loan"),-N($AF88),0))+IF(OR(Settings!$B$21="Checking",Settings!$B$21="Savings",Settings!$B$21="Cash"),N($AG88),IF(OR(Settings!$B$21="Card",Settings!$B$21="Loan"),-N($AG88),0))+IF(OR(Settings!$B$22="Checking",Settings!$B$22="Savings",Settings!$B$22="Cash"),N($AH88),IF(OR(Settings!$B$22="Card",Settings!$B$22="Loan"),-N($AH88),0))+IF(OR(Settings!$B$23="Checking",Settings!$B$23="Savings",Settings!$B$23="Cash"),N($AI88),IF(OR(Settings!$B$23="Card",Settings!$B$23="Loan"),-N($AI88),0))+IF(OR(Settings!$B$24="Checking",Settings!$B$24="Savings",Settings!$B$24="Cash"),N($AJ88),IF(OR(Settings!$B$24="Card",Settings!$B$24="Loan"),-N($AJ88),0))+IF(OR(Settings!$B$25="Checking",Settings!$B$25="Savings",Settings!$B$25="Cash"),N($AK88),IF(OR(Settings!$B$25="Card",Settings!$B$25="Loan"),-N($AK88),0))+IF(OR(Settings!$B$26="Checking",Settings!$B$26="Savings",Settings!$B$26="Cash"),N($AL88),IF(OR(Settings!$B$26="Card",Settings!$B$26="Loan"),-N($AL88),0))+IF(OR(Settings!$B$27="Checking",Settings!$B$27="Savings",Settings!$B$27="Cash"),N($AM88),IF(OR(Settings!$B$27="Card",Settings!$B$27="Loan"),-N($AM88),0))+IF(OR(Settings!$B$28="Checking",Settings!$B$28="Savings",Settings!$B$28="Cash"),N($AN88),IF(OR(Settings!$B$28="Card",Settings!$B$28="Loan"),-N($AN88),0))+IF(OR(Settings!$B$29="Checking",Settings!$B$29="Savings",Settings!$B$29="Cash"),N($AO88),IF(OR(Settings!$B$29="Card",Settings!$B$29="Loan"),-N($AO88),0))+IF(OR(Settings!$B$30="Checking",Settings!$B$30="Savings",Settings!$B$30="Cash"),N($AP88),IF(OR(Settings!$B$30="Card",Settings!$B$30="Loan"),-N($AP88),0))+IF(OR(Settings!$B$31="Checking",Settings!$B$31="Savings",Settings!$B$31="Cash"),N($AQ88),IF(OR(Settings!$B$31="Card",Settings!$B$31="Loan"),-N($AQ88),0))+IF(OR(Settings!$B$32="Checking",Settings!$B$32="Savings",Settings!$B$32="Cash"),N($AR88),IF(OR(Settings!$B$32="Card",Settings!$B$32="Loan"),-N($AR88),0)),"")</f>
        <v/>
      </c>
      <c r="DB88">
        <f>IF($E88="open",$EB$27,IF($E88="post",IF($E87="pre",$EB$27,$DA87),""))</f>
        <v/>
      </c>
      <c r="DC88">
        <f>IF($E88="open",1,IF($E88="post",IF($E87="pre",1,$DT87),0))</f>
        <v/>
      </c>
      <c r="DD88">
        <f>IF(AND($DT88=1,$DC88=1),ROUND($W88-($DA88-$DB88)-$AD88-$AB88,2),"")</f>
        <v/>
      </c>
      <c r="DE88">
        <f>IF('Month-End'!$CG$35="",$BQ88,N('Month-End'!$CG$35))</f>
        <v/>
      </c>
      <c r="DF88">
        <f>N('Month-End'!$CG$36)</f>
        <v/>
      </c>
      <c r="DG88">
        <f>IF($DD88="","",$DD88+$DE88)</f>
        <v/>
      </c>
      <c r="DH88">
        <f>IF($DG88="","",$DG88-$DF88)</f>
        <v/>
      </c>
      <c r="DI88">
        <f>IF(OR($E88="pre",$D88=1),"",N($AS88)+N($AT88)+N($AU88)+N($AV88)+N($AW88)+N($AX88))</f>
        <v/>
      </c>
      <c r="DJ88">
        <f>IF($DT88=1,$DA88+N($DI88),"")</f>
        <v/>
      </c>
      <c r="DK88">
        <f>IF($DD88="","",$W88-$DD88-$AB88)</f>
        <v/>
      </c>
      <c r="DL88">
        <f>IF(AND($E88="post",$DD88&lt;&gt;"",$B88&lt;TODAY()),1,0)</f>
        <v/>
      </c>
      <c r="DM88">
        <f>IF($DL88=1,COUNTIF($DL88:$DL$183,1),0)</f>
        <v/>
      </c>
      <c r="DN88">
        <f>IF($D88=1,"",IF($E88="pre","History only",IF($DT88=1,IF($DD88="","⚠ Previous month missing",IF($DD88&lt;0,"⚠ Check: spending &lt; 0",IF($E88="open","✓ Done (partial)","✓ Done"))),IF($B88&gt;=TODAY(),"In progress","⚠ Needs balances"))))</f>
        <v/>
      </c>
      <c r="DO88">
        <f>YEAR($A88)</f>
        <v/>
      </c>
      <c r="DP88">
        <f>DATE(YEAR($A88),INT((MONTH($A88)-1)/3)*3+1,1)</f>
        <v/>
      </c>
      <c r="DQ88">
        <f>IF(AND($DT88=1,$DD88&lt;&gt;"",$D88=0),ROW(),0)</f>
        <v/>
      </c>
      <c r="DR88">
        <f>IF(AND($E88&lt;&gt;"pre",$B88&lt;TODAY(),$DT88=0),1,0)</f>
        <v/>
      </c>
      <c r="DS88">
        <f>IF($DJ88="",NA(),$DJ88)</f>
        <v/>
      </c>
      <c r="DT88">
        <f>IF(AND($E88&lt;&gt;"pre",$CL88=0,COUNTIFS(Settings!$F$19:$F$32,"Yes",Settings!$A$19:$A$32,"&lt;&gt;",Settings!$E$19:$E$32,"&lt;&gt;No")&gt;0),1,0)</f>
        <v/>
      </c>
      <c r="DU88">
        <f>IF(AND($B88&lt;TODAY(),$S88&gt;0),1,0)</f>
        <v/>
      </c>
      <c r="DV88">
        <f>IF($DU88=1,COUNTIF($DU88:$DU$183,1),0)</f>
        <v/>
      </c>
      <c r="DW88">
        <f>IF(AND(OR(Settings!$B$19="Card",Settings!$B$19="Loan"),AND('Month-End'!$CG$7&lt;&gt;"",NOT(_xlfn.ISFORMULA('Month-End'!$CG$7)))),IF(N('Month-End'!$CG$7)&lt;0,1,0),0)+IF(AND(OR(Settings!$B$20="Card",Settings!$B$20="Loan"),AND('Month-End'!$CG$8&lt;&gt;"",NOT(_xlfn.ISFORMULA('Month-End'!$CG$8)))),IF(N('Month-End'!$CG$8)&lt;0,1,0),0)+IF(AND(OR(Settings!$B$21="Card",Settings!$B$21="Loan"),AND('Month-End'!$CG$9&lt;&gt;"",NOT(_xlfn.ISFORMULA('Month-End'!$CG$9)))),IF(N('Month-End'!$CG$9)&lt;0,1,0),0)+IF(AND(OR(Settings!$B$22="Card",Settings!$B$22="Loan"),AND('Month-End'!$CG$10&lt;&gt;"",NOT(_xlfn.ISFORMULA('Month-End'!$CG$10)))),IF(N('Month-End'!$CG$10)&lt;0,1,0),0)+IF(AND(OR(Settings!$B$23="Card",Settings!$B$23="Loan"),AND('Month-End'!$CG$11&lt;&gt;"",NOT(_xlfn.ISFORMULA('Month-End'!$CG$11)))),IF(N('Month-End'!$CG$11)&lt;0,1,0),0)+IF(AND(OR(Settings!$B$24="Card",Settings!$B$24="Loan"),AND('Month-End'!$CG$12&lt;&gt;"",NOT(_xlfn.ISFORMULA('Month-End'!$CG$12)))),IF(N('Month-End'!$CG$12)&lt;0,1,0),0)+IF(AND(OR(Settings!$B$25="Card",Settings!$B$25="Loan"),AND('Month-End'!$CG$13&lt;&gt;"",NOT(_xlfn.ISFORMULA('Month-End'!$CG$13)))),IF(N('Month-End'!$CG$13)&lt;0,1,0),0)+IF(AND(OR(Settings!$B$26="Card",Settings!$B$26="Loan"),AND('Month-End'!$CG$14&lt;&gt;"",NOT(_xlfn.ISFORMULA('Month-End'!$CG$14)))),IF(N('Month-End'!$CG$14)&lt;0,1,0),0)+IF(AND(OR(Settings!$B$27="Card",Settings!$B$27="Loan"),AND('Month-End'!$CG$15&lt;&gt;"",NOT(_xlfn.ISFORMULA('Month-End'!$CG$15)))),IF(N('Month-End'!$CG$15)&lt;0,1,0),0)+IF(AND(OR(Settings!$B$28="Card",Settings!$B$28="Loan"),AND('Month-End'!$CG$16&lt;&gt;"",NOT(_xlfn.ISFORMULA('Month-End'!$CG$16)))),IF(N('Month-End'!$CG$16)&lt;0,1,0),0)+IF(AND(OR(Settings!$B$29="Card",Settings!$B$29="Loan"),AND('Month-End'!$CG$17&lt;&gt;"",NOT(_xlfn.ISFORMULA('Month-End'!$CG$17)))),IF(N('Month-End'!$CG$17)&lt;0,1,0),0)+IF(AND(OR(Settings!$B$30="Card",Settings!$B$30="Loan"),AND('Month-End'!$CG$18&lt;&gt;"",NOT(_xlfn.ISFORMULA('Month-End'!$CG$18)))),IF(N('Month-End'!$CG$18)&lt;0,1,0),0)+IF(AND(OR(Settings!$B$31="Card",Settings!$B$31="Loan"),AND('Month-End'!$CG$19&lt;&gt;"",NOT(_xlfn.ISFORMULA('Month-End'!$CG$19)))),IF(N('Month-End'!$CG$19)&lt;0,1,0),0)+IF(AND(OR(Settings!$B$32="Card",Settings!$B$32="Loan"),AND('Month-End'!$CG$20&lt;&gt;"",NOT(_xlfn.ISFORMULA('Month-End'!$CG$20)))),IF(N('Month-End'!$CG$20)&lt;0,1,0),0)</f>
        <v/>
      </c>
      <c r="DX88">
        <f>IF(Settings!$B$36="Retirement",$AY88,0)+IF(Settings!$B$37="Retirement",$AZ88,0)+IF(Settings!$B$38="Retirement",$BA88,0)+IF(Settings!$B$39="Retirement",$BB88,0)+IF(Settings!$B$40="Retirement",$BC88,0)+IF(Settings!$B$41="Retirement",$BD88,0)</f>
        <v/>
      </c>
      <c r="EA88">
        <f>IF(Settings!$A$87="","",Settings!$A$87)</f>
        <v/>
      </c>
      <c r="EB88">
        <f>IF(Settings!$D$87="",0,IF(Settings!$D$87="Specific Account",IFERROR(INDEX($EB$40:$EB$59,MATCH(Settings!$F$87,$EA$40:$EA$59,0)),0),IFERROR(INDEX($EB$6:$EB$26,MATCH(Settings!$D$87,$EA$6:$EA$26,0)),0)))</f>
        <v/>
      </c>
      <c r="EC88">
        <f>IF(Settings!$A$87="","",IF(Settings!$B$87="Tithe Balance",$EB$23,IF(Settings!$E$87="Specific Account",IFERROR(INDEX($EB$40:$EB$59,MATCH(Settings!$F$87,$EA$40:$EA$59,0)),0),IFERROR(INDEX($EB$6:$EB$26,MATCH(Settings!$E$87,$EA$6:$EA$26,0)),0))))</f>
        <v/>
      </c>
      <c r="ED88">
        <f>IF(Settings!$A$87="","",IF(Settings!$B$87="Percentage",EB88*N(Settings!$C$87)/100,IF(Settings!$B$87="Multiple",EB88*N(Settings!$C$87),IF(Settings!$B$87="Tithe Balance",$EB$22,N(Settings!$C$87)))))</f>
        <v/>
      </c>
      <c r="EE88">
        <f>IF(Settings!$A$87="","",IF(Settings!$B$87="Pay Down To",MAX(0,EC88-ED88),MAX(0,ED88-EC88)))</f>
        <v/>
      </c>
      <c r="EF88">
        <f>IF(Settings!$A$87="","",IF(Settings!$B$87="Pay Down To",IF(EC88&lt;=ED88,"Met","Above target"),IF(EC88&gt;=ED88-0.005,"Met","Remaining")))</f>
        <v/>
      </c>
      <c r="EG88">
        <f>IF(Settings!$A$87="","",IF(Settings!$B$87="Pay Down To",IF(EC88&lt;=0,1,MIN(1,ED88/EC88)),IF(ED88&lt;=0,1,EC88/ED88)))</f>
        <v/>
      </c>
      <c r="EH88">
        <f>IF(OR(Settings!$A$87="",EE88&lt;=0),"",IF(Settings!$B$87="Save By Date",IF(Settings!$G$87="","Set a target date","Need "&amp;TEXT(EE88/MAX(1,(YEAR(Settings!$G$87)-YEAR(TODAY()))*12+MONTH(Settings!$G$87)-MONTH(TODAY())+1),"$#,##0")&amp;"/mo to "&amp;TEXT(Settings!$G$87,"mmm yyyy")),IF(Settings!$B$87="Annual Contribution","Need "&amp;TEXT(EE88/MAX(1,12-MONTH(TODAY())+1),"$#,##0")&amp;"/mo rest of year",IF(Settings!$B$87="Tithe Balance","This quarter",""))))</f>
        <v/>
      </c>
      <c r="ET88">
        <f>IF($E88&lt;&gt;"open",0,IF(AND('Month-End'!$CG$22&lt;&gt;"",NOT(_xlfn.ISFORMULA('Month-End'!$CG$22))),0,IF(OR(Settings!$C$45="",Settings!$D$45=""),0,Settings!$C$45*IF(Settings!$D$45="Weekly",IF(IFERROR(MATCH(Settings!$E$45,$EO$4:$EO$10,0),0)=0,0,IF(MIN(Settings!$B$5,IF(Settings!$G$45="",Settings!$B$5,Settings!$G$45))&lt;MAX($A88,Settings!$F$45),0,INT((MIN(Settings!$B$5,IF(Settings!$G$45="",Settings!$B$5,Settings!$G$45))-MAX($A88,Settings!$F$45)-MOD(IFERROR(MATCH(Settings!$E$45,$EO$4:$EO$10,0),0)-WEEKDAY(MAX($A88,Settings!$F$45)),7))/7)+1)),IF(AND(IF(Settings!$E$45="",$B88,DATE(YEAR($A88),MONTH($A88),MIN(Settings!$E$45,DAY($B88))))&gt;=MAX($A88,Settings!$F$45),IF(Settings!$E$45="",$B88,DATE(YEAR($A88),MONTH($A88),MIN(Settings!$E$45,DAY($B88))))&lt;=MIN(Settings!$B$5,IF(Settings!$G$45="",Settings!$B$5,Settings!$G$45))),1,0)))))</f>
        <v/>
      </c>
      <c r="EU88">
        <f>IF($E88&lt;&gt;"open",0,IF(AND('Month-End'!$CG$23&lt;&gt;"",NOT(_xlfn.ISFORMULA('Month-End'!$CG$23))),0,IF(OR(Settings!$C$46="",Settings!$D$46=""),0,Settings!$C$46*IF(Settings!$D$46="Weekly",IF(IFERROR(MATCH(Settings!$E$46,$EO$4:$EO$10,0),0)=0,0,IF(MIN(Settings!$B$5,IF(Settings!$G$46="",Settings!$B$5,Settings!$G$46))&lt;MAX($A88,Settings!$F$46),0,INT((MIN(Settings!$B$5,IF(Settings!$G$46="",Settings!$B$5,Settings!$G$46))-MAX($A88,Settings!$F$46)-MOD(IFERROR(MATCH(Settings!$E$46,$EO$4:$EO$10,0),0)-WEEKDAY(MAX($A88,Settings!$F$46)),7))/7)+1)),IF(AND(IF(Settings!$E$46="",$B88,DATE(YEAR($A88),MONTH($A88),MIN(Settings!$E$46,DAY($B88))))&gt;=MAX($A88,Settings!$F$46),IF(Settings!$E$46="",$B88,DATE(YEAR($A88),MONTH($A88),MIN(Settings!$E$46,DAY($B88))))&lt;=MIN(Settings!$B$5,IF(Settings!$G$46="",Settings!$B$5,Settings!$G$46))),1,0)))))</f>
        <v/>
      </c>
      <c r="EV88">
        <f>IF($E88&lt;&gt;"open",0,IF(AND('Month-End'!$CG$24&lt;&gt;"",NOT(_xlfn.ISFORMULA('Month-End'!$CG$24))),0,IF(OR(Settings!$C$47="",Settings!$D$47=""),0,Settings!$C$47*IF(Settings!$D$47="Weekly",IF(IFERROR(MATCH(Settings!$E$47,$EO$4:$EO$10,0),0)=0,0,IF(MIN(Settings!$B$5,IF(Settings!$G$47="",Settings!$B$5,Settings!$G$47))&lt;MAX($A88,Settings!$F$47),0,INT((MIN(Settings!$B$5,IF(Settings!$G$47="",Settings!$B$5,Settings!$G$47))-MAX($A88,Settings!$F$47)-MOD(IFERROR(MATCH(Settings!$E$47,$EO$4:$EO$10,0),0)-WEEKDAY(MAX($A88,Settings!$F$47)),7))/7)+1)),IF(AND(IF(Settings!$E$47="",$B88,DATE(YEAR($A88),MONTH($A88),MIN(Settings!$E$47,DAY($B88))))&gt;=MAX($A88,Settings!$F$47),IF(Settings!$E$47="",$B88,DATE(YEAR($A88),MONTH($A88),MIN(Settings!$E$47,DAY($B88))))&lt;=MIN(Settings!$B$5,IF(Settings!$G$47="",Settings!$B$5,Settings!$G$47))),1,0)))))</f>
        <v/>
      </c>
      <c r="EW88">
        <f>IF($E88&lt;&gt;"open",0,IF(AND('Month-End'!$CG$25&lt;&gt;"",NOT(_xlfn.ISFORMULA('Month-End'!$CG$25))),0,IF(OR(Settings!$C$48="",Settings!$D$48=""),0,Settings!$C$48*IF(Settings!$D$48="Weekly",IF(IFERROR(MATCH(Settings!$E$48,$EO$4:$EO$10,0),0)=0,0,IF(MIN(Settings!$B$5,IF(Settings!$G$48="",Settings!$B$5,Settings!$G$48))&lt;MAX($A88,Settings!$F$48),0,INT((MIN(Settings!$B$5,IF(Settings!$G$48="",Settings!$B$5,Settings!$G$48))-MAX($A88,Settings!$F$48)-MOD(IFERROR(MATCH(Settings!$E$48,$EO$4:$EO$10,0),0)-WEEKDAY(MAX($A88,Settings!$F$48)),7))/7)+1)),IF(AND(IF(Settings!$E$48="",$B88,DATE(YEAR($A88),MONTH($A88),MIN(Settings!$E$48,DAY($B88))))&gt;=MAX($A88,Settings!$F$48),IF(Settings!$E$48="",$B88,DATE(YEAR($A88),MONTH($A88),MIN(Settings!$E$48,DAY($B88))))&lt;=MIN(Settings!$B$5,IF(Settings!$G$48="",Settings!$B$5,Settings!$G$48))),1,0)))))</f>
        <v/>
      </c>
      <c r="EX88">
        <f>IF($E88&lt;&gt;"open",0,IF(AND('Month-End'!$CG$26&lt;&gt;"",NOT(_xlfn.ISFORMULA('Month-End'!$CG$26))),0,IF(OR(Settings!$C$49="",Settings!$D$49=""),0,Settings!$C$49*IF(Settings!$D$49="Weekly",IF(IFERROR(MATCH(Settings!$E$49,$EO$4:$EO$10,0),0)=0,0,IF(MIN(Settings!$B$5,IF(Settings!$G$49="",Settings!$B$5,Settings!$G$49))&lt;MAX($A88,Settings!$F$49),0,INT((MIN(Settings!$B$5,IF(Settings!$G$49="",Settings!$B$5,Settings!$G$49))-MAX($A88,Settings!$F$49)-MOD(IFERROR(MATCH(Settings!$E$49,$EO$4:$EO$10,0),0)-WEEKDAY(MAX($A88,Settings!$F$49)),7))/7)+1)),IF(AND(IF(Settings!$E$49="",$B88,DATE(YEAR($A88),MONTH($A88),MIN(Settings!$E$49,DAY($B88))))&gt;=MAX($A88,Settings!$F$49),IF(Settings!$E$49="",$B88,DATE(YEAR($A88),MONTH($A88),MIN(Settings!$E$49,DAY($B88))))&lt;=MIN(Settings!$B$5,IF(Settings!$G$49="",Settings!$B$5,Settings!$G$49))),1,0)))))</f>
        <v/>
      </c>
      <c r="EY88">
        <f>IF($E88&lt;&gt;"open",0,IF(AND('Month-End'!$CG$27&lt;&gt;"",NOT(_xlfn.ISFORMULA('Month-End'!$CG$27))),0,IF(OR(Settings!$C$50="",Settings!$D$50=""),0,Settings!$C$50*IF(Settings!$D$50="Weekly",IF(IFERROR(MATCH(Settings!$E$50,$EO$4:$EO$10,0),0)=0,0,IF(MIN(Settings!$B$5,IF(Settings!$G$50="",Settings!$B$5,Settings!$G$50))&lt;MAX($A88,Settings!$F$50),0,INT((MIN(Settings!$B$5,IF(Settings!$G$50="",Settings!$B$5,Settings!$G$50))-MAX($A88,Settings!$F$50)-MOD(IFERROR(MATCH(Settings!$E$50,$EO$4:$EO$10,0),0)-WEEKDAY(MAX($A88,Settings!$F$50)),7))/7)+1)),IF(AND(IF(Settings!$E$50="",$B88,DATE(YEAR($A88),MONTH($A88),MIN(Settings!$E$50,DAY($B88))))&gt;=MAX($A88,Settings!$F$50),IF(Settings!$E$50="",$B88,DATE(YEAR($A88),MONTH($A88),MIN(Settings!$E$50,DAY($B88))))&lt;=MIN(Settings!$B$5,IF(Settings!$G$50="",Settings!$B$5,Settings!$G$50))),1,0)))))</f>
        <v/>
      </c>
      <c r="EZ88">
        <f>IF($E88&lt;&gt;"open",0,IF(AND('Month-End'!$CG$28&lt;&gt;"",NOT(_xlfn.ISFORMULA('Month-End'!$CG$28))),0,IF(OR(Settings!$C$51="",Settings!$D$51=""),0,Settings!$C$51*IF(Settings!$D$51="Weekly",IF(IFERROR(MATCH(Settings!$E$51,$EO$4:$EO$10,0),0)=0,0,IF(MIN(Settings!$B$5,IF(Settings!$G$51="",Settings!$B$5,Settings!$G$51))&lt;MAX($A88,Settings!$F$51),0,INT((MIN(Settings!$B$5,IF(Settings!$G$51="",Settings!$B$5,Settings!$G$51))-MAX($A88,Settings!$F$51)-MOD(IFERROR(MATCH(Settings!$E$51,$EO$4:$EO$10,0),0)-WEEKDAY(MAX($A88,Settings!$F$51)),7))/7)+1)),IF(AND(IF(Settings!$E$51="",$B88,DATE(YEAR($A88),MONTH($A88),MIN(Settings!$E$51,DAY($B88))))&gt;=MAX($A88,Settings!$F$51),IF(Settings!$E$51="",$B88,DATE(YEAR($A88),MONTH($A88),MIN(Settings!$E$51,DAY($B88))))&lt;=MIN(Settings!$B$5,IF(Settings!$G$51="",Settings!$B$5,Settings!$G$51))),1,0)))))</f>
        <v/>
      </c>
      <c r="FA88">
        <f>IF($E88&lt;&gt;"open",0,IF(AND('Month-End'!$CG$29&lt;&gt;"",NOT(_xlfn.ISFORMULA('Month-End'!$CG$29))),0,IF(OR(Settings!$C$52="",Settings!$D$52=""),0,Settings!$C$52*IF(Settings!$D$52="Weekly",IF(IFERROR(MATCH(Settings!$E$52,$EO$4:$EO$10,0),0)=0,0,IF(MIN(Settings!$B$5,IF(Settings!$G$52="",Settings!$B$5,Settings!$G$52))&lt;MAX($A88,Settings!$F$52),0,INT((MIN(Settings!$B$5,IF(Settings!$G$52="",Settings!$B$5,Settings!$G$52))-MAX($A88,Settings!$F$52)-MOD(IFERROR(MATCH(Settings!$E$52,$EO$4:$EO$10,0),0)-WEEKDAY(MAX($A88,Settings!$F$52)),7))/7)+1)),IF(AND(IF(Settings!$E$52="",$B88,DATE(YEAR($A88),MONTH($A88),MIN(Settings!$E$52,DAY($B88))))&gt;=MAX($A88,Settings!$F$52),IF(Settings!$E$52="",$B88,DATE(YEAR($A88),MONTH($A88),MIN(Settings!$E$52,DAY($B88))))&lt;=MIN(Settings!$B$5,IF(Settings!$G$52="",Settings!$B$5,Settings!$G$52))),1,0)))))</f>
        <v/>
      </c>
      <c r="FB88">
        <f>IF($E88&lt;&gt;"open",0,IF(AND('Month-End'!$CG$30&lt;&gt;"",NOT(_xlfn.ISFORMULA('Month-End'!$CG$30))),0,IF(OR(Settings!$C$53="",Settings!$D$53=""),0,Settings!$C$53*IF(Settings!$D$53="Weekly",IF(IFERROR(MATCH(Settings!$E$53,$EO$4:$EO$10,0),0)=0,0,IF(MIN(Settings!$B$5,IF(Settings!$G$53="",Settings!$B$5,Settings!$G$53))&lt;MAX($A88,Settings!$F$53),0,INT((MIN(Settings!$B$5,IF(Settings!$G$53="",Settings!$B$5,Settings!$G$53))-MAX($A88,Settings!$F$53)-MOD(IFERROR(MATCH(Settings!$E$53,$EO$4:$EO$10,0),0)-WEEKDAY(MAX($A88,Settings!$F$53)),7))/7)+1)),IF(AND(IF(Settings!$E$53="",$B88,DATE(YEAR($A88),MONTH($A88),MIN(Settings!$E$53,DAY($B88))))&gt;=MAX($A88,Settings!$F$53),IF(Settings!$E$53="",$B88,DATE(YEAR($A88),MONTH($A88),MIN(Settings!$E$53,DAY($B88))))&lt;=MIN(Settings!$B$5,IF(Settings!$G$53="",Settings!$B$5,Settings!$G$53))),1,0)))))</f>
        <v/>
      </c>
      <c r="FC88">
        <f>IF($E88&lt;&gt;"open",0,IF(AND('Month-End'!$CG$31&lt;&gt;"",NOT(_xlfn.ISFORMULA('Month-End'!$CG$31))),0,IF(OR(Settings!$C$54="",Settings!$D$54=""),0,Settings!$C$54*IF(Settings!$D$54="Weekly",IF(IFERROR(MATCH(Settings!$E$54,$EO$4:$EO$10,0),0)=0,0,IF(MIN(Settings!$B$5,IF(Settings!$G$54="",Settings!$B$5,Settings!$G$54))&lt;MAX($A88,Settings!$F$54),0,INT((MIN(Settings!$B$5,IF(Settings!$G$54="",Settings!$B$5,Settings!$G$54))-MAX($A88,Settings!$F$54)-MOD(IFERROR(MATCH(Settings!$E$54,$EO$4:$EO$10,0),0)-WEEKDAY(MAX($A88,Settings!$F$54)),7))/7)+1)),IF(AND(IF(Settings!$E$54="",$B88,DATE(YEAR($A88),MONTH($A88),MIN(Settings!$E$54,DAY($B88))))&gt;=MAX($A88,Settings!$F$54),IF(Settings!$E$54="",$B88,DATE(YEAR($A88),MONTH($A88),MIN(Settings!$E$54,DAY($B88))))&lt;=MIN(Settings!$B$5,IF(Settings!$G$54="",Settings!$B$5,Settings!$G$54))),1,0)))))</f>
        <v/>
      </c>
      <c r="FD88">
        <f>IF($E88&lt;&gt;"open",0,IF(AND('Month-End'!$CG$32&lt;&gt;"",NOT(_xlfn.ISFORMULA('Month-End'!$CG$32))),0,IF(OR(Settings!$C$55="",Settings!$D$55=""),0,Settings!$C$55*IF(Settings!$D$55="Weekly",IF(IFERROR(MATCH(Settings!$E$55,$EO$4:$EO$10,0),0)=0,0,IF(MIN(Settings!$B$5,IF(Settings!$G$55="",Settings!$B$5,Settings!$G$55))&lt;MAX($A88,Settings!$F$55),0,INT((MIN(Settings!$B$5,IF(Settings!$G$55="",Settings!$B$5,Settings!$G$55))-MAX($A88,Settings!$F$55)-MOD(IFERROR(MATCH(Settings!$E$55,$EO$4:$EO$10,0),0)-WEEKDAY(MAX($A88,Settings!$F$55)),7))/7)+1)),IF(AND(IF(Settings!$E$55="",$B88,DATE(YEAR($A88),MONTH($A88),MIN(Settings!$E$55,DAY($B88))))&gt;=MAX($A88,Settings!$F$55),IF(Settings!$E$55="",$B88,DATE(YEAR($A88),MONTH($A88),MIN(Settings!$E$55,DAY($B88))))&lt;=MIN(Settings!$B$5,IF(Settings!$G$55="",Settings!$B$5,Settings!$G$55))),1,0)))))</f>
        <v/>
      </c>
      <c r="FE88">
        <f>IF($E88&lt;&gt;"open",0,IF(AND('Month-End'!$CG$33&lt;&gt;"",NOT(_xlfn.ISFORMULA('Month-End'!$CG$33))),0,IF(OR(Settings!$C$56="",Settings!$D$56=""),0,Settings!$C$56*IF(Settings!$D$56="Weekly",IF(IFERROR(MATCH(Settings!$E$56,$EO$4:$EO$10,0),0)=0,0,IF(MIN(Settings!$B$5,IF(Settings!$G$56="",Settings!$B$5,Settings!$G$56))&lt;MAX($A88,Settings!$F$56),0,INT((MIN(Settings!$B$5,IF(Settings!$G$56="",Settings!$B$5,Settings!$G$56))-MAX($A88,Settings!$F$56)-MOD(IFERROR(MATCH(Settings!$E$56,$EO$4:$EO$10,0),0)-WEEKDAY(MAX($A88,Settings!$F$56)),7))/7)+1)),IF(AND(IF(Settings!$E$56="",$B88,DATE(YEAR($A88),MONTH($A88),MIN(Settings!$E$56,DAY($B88))))&gt;=MAX($A88,Settings!$F$56),IF(Settings!$E$56="",$B88,DATE(YEAR($A88),MONTH($A88),MIN(Settings!$E$56,DAY($B88))))&lt;=MIN(Settings!$B$5,IF(Settings!$G$56="",Settings!$B$5,Settings!$G$56))),1,0)))))</f>
        <v/>
      </c>
      <c r="FF88">
        <f>IF(Settings!$I$45="Yes",$G88,0)+IF(Settings!$I$46="Yes",$H88,0)+IF(Settings!$I$47="Yes",$I88,0)+IF(Settings!$I$48="Yes",$J88,0)+IF(Settings!$I$49="Yes",$K88,0)+IF(Settings!$I$50="Yes",$L88,0)+IF(Settings!$I$51="Yes",$M88,0)+IF(Settings!$I$52="Yes",$N88,0)+IF(Settings!$I$53="Yes",$O88,0)+IF(Settings!$I$54="Yes",$P88,0)+IF(Settings!$I$55="Yes",$Q88,0)+IF(Settings!$I$56="Yes",$R88,0)</f>
        <v/>
      </c>
      <c r="FG88">
        <f>IF(AND(Settings!$I$45="Yes",Settings!$J$45="No"),$G88,0)+IF(AND(Settings!$I$46="Yes",Settings!$J$46="No"),$H88,0)+IF(AND(Settings!$I$47="Yes",Settings!$J$47="No"),$I88,0)+IF(AND(Settings!$I$48="Yes",Settings!$J$48="No"),$J88,0)+IF(AND(Settings!$I$49="Yes",Settings!$J$49="No"),$K88,0)+IF(AND(Settings!$I$50="Yes",Settings!$J$50="No"),$L88,0)+IF(AND(Settings!$I$51="Yes",Settings!$J$51="No"),$M88,0)+IF(AND(Settings!$I$52="Yes",Settings!$J$52="No"),$N88,0)+IF(AND(Settings!$I$53="Yes",Settings!$J$53="No"),$O88,0)+IF(AND(Settings!$I$54="Yes",Settings!$J$54="No"),$P88,0)+IF(AND(Settings!$I$55="Yes",Settings!$J$55="No"),$Q88,0)+IF(AND(Settings!$I$56="Yes",Settings!$J$56="No"),$R88,0)</f>
        <v/>
      </c>
      <c r="FH88">
        <f>SUMIFS(Giving!$B$7:$B$2006,Giving!$A$7:$A$2006,"&gt;="&amp;$A88,Giving!$A$7:$A$2006,"&lt;="&amp;$B88,Giving!$G$7:$G$2006,"Yes")+IF(OR(OR(Settings!$B$60="",Settings!$F$60="No"),Settings!$H$60&lt;&gt;"Yes"),0,Settings!$B$60*IF(AND(IF(Settings!$C$60="",$B88,DATE(YEAR($A88),MONTH($A88),MIN(Settings!$C$60,DAY($B88))))&gt;=MAX($A88,Settings!$D$60),IF(Settings!$C$60="",$B88,DATE(YEAR($A88),MONTH($A88),MIN(Settings!$C$60,DAY($B88))))&lt;=MIN($C88,IF(Settings!$E$60="",$C88,Settings!$E$60))),1,0))+IF(OR(OR(Settings!$B$61="",Settings!$F$61="No"),Settings!$H$61&lt;&gt;"Yes"),0,Settings!$B$61*IF(AND(IF(Settings!$C$61="",$B88,DATE(YEAR($A88),MONTH($A88),MIN(Settings!$C$61,DAY($B88))))&gt;=MAX($A88,Settings!$D$61),IF(Settings!$C$61="",$B88,DATE(YEAR($A88),MONTH($A88),MIN(Settings!$C$61,DAY($B88))))&lt;=MIN($C88,IF(Settings!$E$61="",$C88,Settings!$E$61))),1,0))+IF(OR(OR(Settings!$B$62="",Settings!$F$62="No"),Settings!$H$62&lt;&gt;"Yes"),0,Settings!$B$62*IF(AND(IF(Settings!$C$62="",$B88,DATE(YEAR($A88),MONTH($A88),MIN(Settings!$C$62,DAY($B88))))&gt;=MAX($A88,Settings!$D$62),IF(Settings!$C$62="",$B88,DATE(YEAR($A88),MONTH($A88),MIN(Settings!$C$62,DAY($B88))))&lt;=MIN($C88,IF(Settings!$E$62="",$C88,Settings!$E$62))),1,0))+IF(OR(OR(Settings!$B$63="",Settings!$F$63="No"),Settings!$H$63&lt;&gt;"Yes"),0,Settings!$B$63*IF(AND(IF(Settings!$C$63="",$B88,DATE(YEAR($A88),MONTH($A88),MIN(Settings!$C$63,DAY($B88))))&gt;=MAX($A88,Settings!$D$63),IF(Settings!$C$63="",$B88,DATE(YEAR($A88),MONTH($A88),MIN(Settings!$C$63,DAY($B88))))&lt;=MIN($C88,IF(Settings!$E$63="",$C88,Settings!$E$63))),1,0))+IF(OR(OR(Settings!$B$64="",Settings!$F$64="No"),Settings!$H$64&lt;&gt;"Yes"),0,Settings!$B$64*IF(AND(IF(Settings!$C$64="",$B88,DATE(YEAR($A88),MONTH($A88),MIN(Settings!$C$64,DAY($B88))))&gt;=MAX($A88,Settings!$D$64),IF(Settings!$C$64="",$B88,DATE(YEAR($A88),MONTH($A88),MIN(Settings!$C$64,DAY($B88))))&lt;=MIN($C88,IF(Settings!$E$64="",$C88,Settings!$E$64))),1,0))+IF(OR(OR(Settings!$B$65="",Settings!$F$65="No"),Settings!$H$65&lt;&gt;"Yes"),0,Settings!$B$65*IF(AND(IF(Settings!$C$65="",$B88,DATE(YEAR($A88),MONTH($A88),MIN(Settings!$C$65,DAY($B88))))&gt;=MAX($A88,Settings!$D$65),IF(Settings!$C$65="",$B88,DATE(YEAR($A88),MONTH($A88),MIN(Settings!$C$65,DAY($B88))))&lt;=MIN($C88,IF(Settings!$E$65="",$C88,Settings!$E$65))),1,0))</f>
        <v/>
      </c>
      <c r="FI88">
        <f>IF($DT88=1,IF(OR(Settings!$B$19="Card",Settings!$B$19="Loan"),N($AE88),0)+IF(OR(Settings!$B$20="Card",Settings!$B$20="Loan"),N($AF88),0)+IF(OR(Settings!$B$21="Card",Settings!$B$21="Loan"),N($AG88),0)+IF(OR(Settings!$B$22="Card",Settings!$B$22="Loan"),N($AH88),0)+IF(OR(Settings!$B$23="Card",Settings!$B$23="Loan"),N($AI88),0)+IF(OR(Settings!$B$24="Card",Settings!$B$24="Loan"),N($AJ88),0)+IF(OR(Settings!$B$25="Card",Settings!$B$25="Loan"),N($AK88),0)+IF(OR(Settings!$B$26="Card",Settings!$B$26="Loan"),N($AL88),0)+IF(OR(Settings!$B$27="Card",Settings!$B$27="Loan"),N($AM88),0)+IF(OR(Settings!$B$28="Card",Settings!$B$28="Loan"),N($AN88),0)+IF(OR(Settings!$B$29="Card",Settings!$B$29="Loan"),N($AO88),0)+IF(OR(Settings!$B$30="Card",Settings!$B$30="Loan"),N($AP88),0)+IF(OR(Settings!$B$31="Card",Settings!$B$31="Loan"),N($AQ88),0)+IF(OR(Settings!$B$32="Card",Settings!$B$32="Loan"),N($AR88),0),"")</f>
        <v/>
      </c>
      <c r="FJ88">
        <f>IF($E88="open",$EB$65,IF($E88="post",IF($E87="pre",$EB$65,$FI87),""))</f>
        <v/>
      </c>
      <c r="FK88">
        <f>IF(AND($DT88=1,$DC88=1),IF(ROUND($FI88-$FJ88,2)&gt;0,1,0),0)</f>
        <v/>
      </c>
      <c r="FL88">
        <f>IF($FK88=1,$FL87+1,0)</f>
        <v/>
      </c>
    </row>
    <row r="89">
      <c r="A89">
        <f>'Month-End'!$CH$4</f>
        <v/>
      </c>
      <c r="B89">
        <f>EOMONTH($A89,0)</f>
        <v/>
      </c>
      <c r="C89">
        <f>MIN($B89,TODAY())</f>
        <v/>
      </c>
      <c r="D89">
        <f>IF($A89&gt;TODAY(),1,0)</f>
        <v/>
      </c>
      <c r="E89">
        <f>IF($B89&lt;=Settings!$B$5,"pre",IF($A89&lt;=Settings!$B$5,"open","post"))</f>
        <v/>
      </c>
      <c r="G89">
        <f>IF('Month-End'!$CH$22="",$BE89,N('Month-End'!$CH$22))</f>
        <v/>
      </c>
      <c r="H89">
        <f>IF('Month-End'!$CH$23="",$BF89,N('Month-End'!$CH$23))</f>
        <v/>
      </c>
      <c r="I89">
        <f>IF('Month-End'!$CH$24="",$BG89,N('Month-End'!$CH$24))</f>
        <v/>
      </c>
      <c r="J89">
        <f>IF('Month-End'!$CH$25="",$BH89,N('Month-End'!$CH$25))</f>
        <v/>
      </c>
      <c r="K89">
        <f>IF('Month-End'!$CH$26="",$BI89,N('Month-End'!$CH$26))</f>
        <v/>
      </c>
      <c r="L89">
        <f>IF('Month-End'!$CH$27="",$BJ89,N('Month-End'!$CH$27))</f>
        <v/>
      </c>
      <c r="M89">
        <f>IF('Month-End'!$CH$28="",$BK89,N('Month-End'!$CH$28))</f>
        <v/>
      </c>
      <c r="N89">
        <f>IF('Month-End'!$CH$29="",$BL89,N('Month-End'!$CH$29))</f>
        <v/>
      </c>
      <c r="O89">
        <f>IF('Month-End'!$CH$30="",$BM89,N('Month-End'!$CH$30))</f>
        <v/>
      </c>
      <c r="P89">
        <f>IF('Month-End'!$CH$31="",$BN89,N('Month-End'!$CH$31))</f>
        <v/>
      </c>
      <c r="Q89">
        <f>IF('Month-End'!$CH$32="",$BO89,N('Month-End'!$CH$32))</f>
        <v/>
      </c>
      <c r="R89">
        <f>IF('Month-End'!$CH$33="",$BP89,N('Month-End'!$CH$33))</f>
        <v/>
      </c>
      <c r="S89">
        <f>$G89+$H89+$I89+$J89+$K89+$L89+$M89+$N89+$O89+$P89+$Q89+$R89</f>
        <v/>
      </c>
      <c r="T89">
        <f>IF($B89&lt;Settings!$B$6,0,IF(Settings!$B$45="Yes",$G89,0)+IF(Settings!$B$46="Yes",$H89,0)+IF(Settings!$B$47="Yes",$I89,0)+IF(Settings!$B$48="Yes",$J89,0)+IF(Settings!$B$49="Yes",$K89,0)+IF(Settings!$B$50="Yes",$L89,0)+IF(Settings!$B$51="Yes",$M89,0)+IF(Settings!$B$52="Yes",$N89,0)+IF(Settings!$B$53="Yes",$O89,0)+IF(Settings!$B$54="Yes",$P89,0)+IF(Settings!$B$55="Yes",$Q89,0)+IF(Settings!$B$56="Yes",$R89,0))</f>
        <v/>
      </c>
      <c r="U89">
        <f>IF(Settings!$B$45="Not Sure",$G89,0)+IF(Settings!$B$46="Not Sure",$H89,0)+IF(Settings!$B$47="Not Sure",$I89,0)+IF(Settings!$B$48="Not Sure",$J89,0)+IF(Settings!$B$49="Not Sure",$K89,0)+IF(Settings!$B$50="Not Sure",$L89,0)+IF(Settings!$B$51="Not Sure",$M89,0)+IF(Settings!$B$52="Not Sure",$N89,0)+IF(Settings!$B$53="Not Sure",$O89,0)+IF(Settings!$B$54="Not Sure",$P89,0)+IF(Settings!$B$55="Not Sure",$Q89,0)+IF(Settings!$B$56="Not Sure",$R89,0)</f>
        <v/>
      </c>
      <c r="V89">
        <f>IF($E89="open",SUM($ET89:$FE89)+N(Settings!$B$13),0)</f>
        <v/>
      </c>
      <c r="W89">
        <f>IF($E89="post",$S89,IF($E89="open",$S89-$V89,0))</f>
        <v/>
      </c>
      <c r="X89">
        <f>SUMIFS(Giving!$B$7:$B$2006,Giving!$A$7:$A$2006,"&gt;="&amp;$A89,Giving!$A$7:$A$2006,"&lt;="&amp;$B89,Giving!$E$7:$E$2006,"&lt;&gt;No")</f>
        <v/>
      </c>
      <c r="Y89">
        <f>SUMIFS(Giving!$B$7:$B$2006,Giving!$A$7:$A$2006,"&gt;="&amp;$A89,Giving!$A$7:$A$2006,"&lt;="&amp;$B89,Giving!$E$7:$E$2006,"No")</f>
        <v/>
      </c>
      <c r="Z89">
        <f>IF(OR(Settings!$B$60="",Settings!$F$60="No"),0,Settings!$B$60*IF(AND(IF(Settings!$C$60="",$B89,DATE(YEAR($A89),MONTH($A89),MIN(Settings!$C$60,DAY($B89))))&gt;=MAX($A89,Settings!$D$60),IF(Settings!$C$60="",$B89,DATE(YEAR($A89),MONTH($A89),MIN(Settings!$C$60,DAY($B89))))&lt;=MIN($C89,IF(Settings!$E$60="",$C89,Settings!$E$60))),1,0))+IF(OR(Settings!$B$61="",Settings!$F$61="No"),0,Settings!$B$61*IF(AND(IF(Settings!$C$61="",$B89,DATE(YEAR($A89),MONTH($A89),MIN(Settings!$C$61,DAY($B89))))&gt;=MAX($A89,Settings!$D$61),IF(Settings!$C$61="",$B89,DATE(YEAR($A89),MONTH($A89),MIN(Settings!$C$61,DAY($B89))))&lt;=MIN($C89,IF(Settings!$E$61="",$C89,Settings!$E$61))),1,0))+IF(OR(Settings!$B$62="",Settings!$F$62="No"),0,Settings!$B$62*IF(AND(IF(Settings!$C$62="",$B89,DATE(YEAR($A89),MONTH($A89),MIN(Settings!$C$62,DAY($B89))))&gt;=MAX($A89,Settings!$D$62),IF(Settings!$C$62="",$B89,DATE(YEAR($A89),MONTH($A89),MIN(Settings!$C$62,DAY($B89))))&lt;=MIN($C89,IF(Settings!$E$62="",$C89,Settings!$E$62))),1,0))+IF(OR(Settings!$B$63="",Settings!$F$63="No"),0,Settings!$B$63*IF(AND(IF(Settings!$C$63="",$B89,DATE(YEAR($A89),MONTH($A89),MIN(Settings!$C$63,DAY($B89))))&gt;=MAX($A89,Settings!$D$63),IF(Settings!$C$63="",$B89,DATE(YEAR($A89),MONTH($A89),MIN(Settings!$C$63,DAY($B89))))&lt;=MIN($C89,IF(Settings!$E$63="",$C89,Settings!$E$63))),1,0))+IF(OR(Settings!$B$64="",Settings!$F$64="No"),0,Settings!$B$64*IF(AND(IF(Settings!$C$64="",$B89,DATE(YEAR($A89),MONTH($A89),MIN(Settings!$C$64,DAY($B89))))&gt;=MAX($A89,Settings!$D$64),IF(Settings!$C$64="",$B89,DATE(YEAR($A89),MONTH($A89),MIN(Settings!$C$64,DAY($B89))))&lt;=MIN($C89,IF(Settings!$E$64="",$C89,Settings!$E$64))),1,0))+IF(OR(Settings!$B$65="",Settings!$F$65="No"),0,Settings!$B$65*IF(AND(IF(Settings!$C$65="",$B89,DATE(YEAR($A89),MONTH($A89),MIN(Settings!$C$65,DAY($B89))))&gt;=MAX($A89,Settings!$D$65),IF(Settings!$C$65="",$B89,DATE(YEAR($A89),MONTH($A89),MIN(Settings!$C$65,DAY($B89))))&lt;=MIN($C89,IF(Settings!$E$65="",$C89,Settings!$E$65))),1,0))</f>
        <v/>
      </c>
      <c r="AA89">
        <f>$X89+$Z89</f>
        <v/>
      </c>
      <c r="AB89">
        <f>IF($E89="post",$AA89,IF($E89="open",SUMIFS(Giving!$B$7:$B$2006,Giving!$A$7:$A$2006,"&gt;"&amp;Settings!$B$5,Giving!$A$7:$A$2006,"&lt;="&amp;$B89,Giving!$E$7:$E$2006,"&lt;&gt;No")+IF(OR(Settings!$B$60="",Settings!$F$60="No"),0,Settings!$B$60*IF(AND(IF(Settings!$C$60="",$B89,DATE(YEAR($A89),MONTH($A89),MIN(Settings!$C$60,DAY($B89))))&gt;=MAX($A89,Settings!$D$60,Settings!$B$5+1),IF(Settings!$C$60="",$B89,DATE(YEAR($A89),MONTH($A89),MIN(Settings!$C$60,DAY($B89))))&lt;=MIN($C89,IF(Settings!$E$60="",$C89,Settings!$E$60))),1,0))+IF(OR(Settings!$B$61="",Settings!$F$61="No"),0,Settings!$B$61*IF(AND(IF(Settings!$C$61="",$B89,DATE(YEAR($A89),MONTH($A89),MIN(Settings!$C$61,DAY($B89))))&gt;=MAX($A89,Settings!$D$61,Settings!$B$5+1),IF(Settings!$C$61="",$B89,DATE(YEAR($A89),MONTH($A89),MIN(Settings!$C$61,DAY($B89))))&lt;=MIN($C89,IF(Settings!$E$61="",$C89,Settings!$E$61))),1,0))+IF(OR(Settings!$B$62="",Settings!$F$62="No"),0,Settings!$B$62*IF(AND(IF(Settings!$C$62="",$B89,DATE(YEAR($A89),MONTH($A89),MIN(Settings!$C$62,DAY($B89))))&gt;=MAX($A89,Settings!$D$62,Settings!$B$5+1),IF(Settings!$C$62="",$B89,DATE(YEAR($A89),MONTH($A89),MIN(Settings!$C$62,DAY($B89))))&lt;=MIN($C89,IF(Settings!$E$62="",$C89,Settings!$E$62))),1,0))+IF(OR(Settings!$B$63="",Settings!$F$63="No"),0,Settings!$B$63*IF(AND(IF(Settings!$C$63="",$B89,DATE(YEAR($A89),MONTH($A89),MIN(Settings!$C$63,DAY($B89))))&gt;=MAX($A89,Settings!$D$63,Settings!$B$5+1),IF(Settings!$C$63="",$B89,DATE(YEAR($A89),MONTH($A89),MIN(Settings!$C$63,DAY($B89))))&lt;=MIN($C89,IF(Settings!$E$63="",$C89,Settings!$E$63))),1,0))+IF(OR(Settings!$B$64="",Settings!$F$64="No"),0,Settings!$B$64*IF(AND(IF(Settings!$C$64="",$B89,DATE(YEAR($A89),MONTH($A89),MIN(Settings!$C$64,DAY($B89))))&gt;=MAX($A89,Settings!$D$64,Settings!$B$5+1),IF(Settings!$C$64="",$B89,DATE(YEAR($A89),MONTH($A89),MIN(Settings!$C$64,DAY($B89))))&lt;=MIN($C89,IF(Settings!$E$64="",$C89,Settings!$E$64))),1,0))+IF(OR(Settings!$B$65="",Settings!$F$65="No"),0,Settings!$B$65*IF(AND(IF(Settings!$C$65="",$B89,DATE(YEAR($A89),MONTH($A89),MIN(Settings!$C$65,DAY($B89))))&gt;=MAX($A89,Settings!$D$65,Settings!$B$5+1),IF(Settings!$C$65="",$B89,DATE(YEAR($A89),MONTH($A89),MIN(Settings!$C$65,DAY($B89))))&lt;=MIN($C89,IF(Settings!$E$65="",$C89,Settings!$E$65))),1,0)),0))</f>
        <v/>
      </c>
      <c r="AC89">
        <f>$AY89+$AZ89+$BA89+$BB89+$BC89+$BD89</f>
        <v/>
      </c>
      <c r="AD89">
        <f>$AC89</f>
        <v/>
      </c>
      <c r="AE89">
        <f>IF(OR(Settings!$A$19="",$E89="pre"),"",IF(AND('Month-End'!$CH$7&lt;&gt;"",NOT(_xlfn.ISFORMULA('Month-End'!$CH$7))),N('Month-End'!$CH$7),IF(OR($E89="open",$E88="pre"),N(Settings!$C$19),N($AE88))))</f>
        <v/>
      </c>
      <c r="AF89">
        <f>IF(OR(Settings!$A$20="",$E89="pre"),"",IF(AND('Month-End'!$CH$8&lt;&gt;"",NOT(_xlfn.ISFORMULA('Month-End'!$CH$8))),N('Month-End'!$CH$8),IF(OR($E89="open",$E88="pre"),N(Settings!$C$20),N($AF88))))</f>
        <v/>
      </c>
      <c r="AG89">
        <f>IF(OR(Settings!$A$21="",$E89="pre"),"",IF(AND('Month-End'!$CH$9&lt;&gt;"",NOT(_xlfn.ISFORMULA('Month-End'!$CH$9))),N('Month-End'!$CH$9),IF(OR($E89="open",$E88="pre"),N(Settings!$C$21),N($AG88))))</f>
        <v/>
      </c>
      <c r="AH89">
        <f>IF(OR(Settings!$A$22="",$E89="pre"),"",IF(AND('Month-End'!$CH$10&lt;&gt;"",NOT(_xlfn.ISFORMULA('Month-End'!$CH$10))),N('Month-End'!$CH$10),IF(OR($E89="open",$E88="pre"),N(Settings!$C$22),N($AH88))))</f>
        <v/>
      </c>
      <c r="AI89">
        <f>IF(OR(Settings!$A$23="",$E89="pre"),"",IF(AND('Month-End'!$CH$11&lt;&gt;"",NOT(_xlfn.ISFORMULA('Month-End'!$CH$11))),N('Month-End'!$CH$11),IF(OR($E89="open",$E88="pre"),N(Settings!$C$23),N($AI88))))</f>
        <v/>
      </c>
      <c r="AJ89">
        <f>IF(OR(Settings!$A$24="",$E89="pre"),"",IF(AND('Month-End'!$CH$12&lt;&gt;"",NOT(_xlfn.ISFORMULA('Month-End'!$CH$12))),N('Month-End'!$CH$12),IF(OR($E89="open",$E88="pre"),N(Settings!$C$24),N($AJ88))))</f>
        <v/>
      </c>
      <c r="AK89">
        <f>IF(OR(Settings!$A$25="",$E89="pre"),"",IF(AND('Month-End'!$CH$13&lt;&gt;"",NOT(_xlfn.ISFORMULA('Month-End'!$CH$13))),N('Month-End'!$CH$13),IF(OR($E89="open",$E88="pre"),N(Settings!$C$25),N($AK88))))</f>
        <v/>
      </c>
      <c r="AL89">
        <f>IF(OR(Settings!$A$26="",$E89="pre"),"",IF(AND('Month-End'!$CH$14&lt;&gt;"",NOT(_xlfn.ISFORMULA('Month-End'!$CH$14))),N('Month-End'!$CH$14),IF(OR($E89="open",$E88="pre"),N(Settings!$C$26),N($AL88))))</f>
        <v/>
      </c>
      <c r="AM89">
        <f>IF(OR(Settings!$A$27="",$E89="pre"),"",IF(AND('Month-End'!$CH$15&lt;&gt;"",NOT(_xlfn.ISFORMULA('Month-End'!$CH$15))),N('Month-End'!$CH$15),IF(OR($E89="open",$E88="pre"),N(Settings!$C$27),N($AM88))))</f>
        <v/>
      </c>
      <c r="AN89">
        <f>IF(OR(Settings!$A$28="",$E89="pre"),"",IF(AND('Month-End'!$CH$16&lt;&gt;"",NOT(_xlfn.ISFORMULA('Month-End'!$CH$16))),N('Month-End'!$CH$16),IF(OR($E89="open",$E88="pre"),N(Settings!$C$28),N($AN88))))</f>
        <v/>
      </c>
      <c r="AO89">
        <f>IF(OR(Settings!$A$29="",$E89="pre"),"",IF(AND('Month-End'!$CH$17&lt;&gt;"",NOT(_xlfn.ISFORMULA('Month-End'!$CH$17))),N('Month-End'!$CH$17),IF(OR($E89="open",$E88="pre"),N(Settings!$C$29),N($AO88))))</f>
        <v/>
      </c>
      <c r="AP89">
        <f>IF(OR(Settings!$A$30="",$E89="pre"),"",IF(AND('Month-End'!$CH$18&lt;&gt;"",NOT(_xlfn.ISFORMULA('Month-End'!$CH$18))),N('Month-End'!$CH$18),IF(OR($E89="open",$E88="pre"),N(Settings!$C$30),N($AP88))))</f>
        <v/>
      </c>
      <c r="AQ89">
        <f>IF(OR(Settings!$A$31="",$E89="pre"),"",IF(AND('Month-End'!$CH$19&lt;&gt;"",NOT(_xlfn.ISFORMULA('Month-End'!$CH$19))),N('Month-End'!$CH$19),IF(OR($E89="open",$E88="pre"),N(Settings!$C$31),N($AQ88))))</f>
        <v/>
      </c>
      <c r="AR89">
        <f>IF(OR(Settings!$A$32="",$E89="pre"),"",IF(AND('Month-End'!$CH$20&lt;&gt;"",NOT(_xlfn.ISFORMULA('Month-End'!$CH$20))),N('Month-End'!$CH$20),IF(OR($E89="open",$E88="pre"),N(Settings!$C$32),N($AR88))))</f>
        <v/>
      </c>
      <c r="AS89">
        <f>IF(OR(Settings!$A$36="",$E89="pre"),"",IF(AND('Month-End'!$CH$38&lt;&gt;"",NOT(_xlfn.ISFORMULA('Month-End'!$CH$38))),N('Month-End'!$CH$38),IF(OR($E89="open",$E88="pre"),N(Settings!$C$36),N($AS88))+$AY89))</f>
        <v/>
      </c>
      <c r="AT89">
        <f>IF(OR(Settings!$A$37="",$E89="pre"),"",IF(AND('Month-End'!$CH$39&lt;&gt;"",NOT(_xlfn.ISFORMULA('Month-End'!$CH$39))),N('Month-End'!$CH$39),IF(OR($E89="open",$E88="pre"),N(Settings!$C$37),N($AT88))+$AZ89))</f>
        <v/>
      </c>
      <c r="AU89">
        <f>IF(OR(Settings!$A$38="",$E89="pre"),"",IF(AND('Month-End'!$CH$40&lt;&gt;"",NOT(_xlfn.ISFORMULA('Month-End'!$CH$40))),N('Month-End'!$CH$40),IF(OR($E89="open",$E88="pre"),N(Settings!$C$38),N($AU88))+$BA89))</f>
        <v/>
      </c>
      <c r="AV89">
        <f>IF(OR(Settings!$A$39="",$E89="pre"),"",IF(AND('Month-End'!$CH$41&lt;&gt;"",NOT(_xlfn.ISFORMULA('Month-End'!$CH$41))),N('Month-End'!$CH$41),IF(OR($E89="open",$E88="pre"),N(Settings!$C$39),N($AV88))+$BB89))</f>
        <v/>
      </c>
      <c r="AW89">
        <f>IF(OR(Settings!$A$40="",$E89="pre"),"",IF(AND('Month-End'!$CH$42&lt;&gt;"",NOT(_xlfn.ISFORMULA('Month-End'!$CH$42))),N('Month-End'!$CH$42),IF(OR($E89="open",$E88="pre"),N(Settings!$C$40),N($AW88))+$BC89))</f>
        <v/>
      </c>
      <c r="AX89">
        <f>IF(OR(Settings!$A$41="",$E89="pre"),"",IF(AND('Month-End'!$CH$43&lt;&gt;"",NOT(_xlfn.ISFORMULA('Month-End'!$CH$43))),N('Month-End'!$CH$43),IF(OR($E89="open",$E88="pre"),N(Settings!$C$41),N($AX88))+$BD89))</f>
        <v/>
      </c>
      <c r="AY89">
        <f>IF($E89="pre",0,N('Month-End'!$CH$45))</f>
        <v/>
      </c>
      <c r="AZ89">
        <f>IF($E89="pre",0,N('Month-End'!$CH$46))</f>
        <v/>
      </c>
      <c r="BA89">
        <f>IF($E89="pre",0,N('Month-End'!$CH$47))</f>
        <v/>
      </c>
      <c r="BB89">
        <f>IF($E89="pre",0,N('Month-End'!$CH$48))</f>
        <v/>
      </c>
      <c r="BC89">
        <f>IF($E89="pre",0,N('Month-End'!$CH$49))</f>
        <v/>
      </c>
      <c r="BD89">
        <f>IF($E89="pre",0,N('Month-End'!$CH$50))</f>
        <v/>
      </c>
      <c r="BE89">
        <f>IF(OR(Settings!$C$45="",Settings!$D$45=""),0,Settings!$C$45*IF(Settings!$D$45="Weekly",IF(IFERROR(MATCH(Settings!$E$45,$EO$4:$EO$10,0),0)=0,0,IF(MIN($C89,IF(Settings!$G$45="",$C89,Settings!$G$45))&lt;MAX($A89,Settings!$F$45),0,INT((MIN($C89,IF(Settings!$G$45="",$C89,Settings!$G$45))-MAX($A89,Settings!$F$45)-MOD(IFERROR(MATCH(Settings!$E$45,$EO$4:$EO$10,0),0)-WEEKDAY(MAX($A89,Settings!$F$45)),7))/7)+1)),IF(AND(IF(Settings!$E$45="",$B89,DATE(YEAR($A89),MONTH($A89),MIN(Settings!$E$45,DAY($B89))))&gt;=MAX($A89,Settings!$F$45),IF(Settings!$E$45="",$B89,DATE(YEAR($A89),MONTH($A89),MIN(Settings!$E$45,DAY($B89))))&lt;=MIN($C89,IF(Settings!$G$45="",$C89,Settings!$G$45))),1,0)))</f>
        <v/>
      </c>
      <c r="BF89">
        <f>IF(OR(Settings!$C$46="",Settings!$D$46=""),0,Settings!$C$46*IF(Settings!$D$46="Weekly",IF(IFERROR(MATCH(Settings!$E$46,$EO$4:$EO$10,0),0)=0,0,IF(MIN($C89,IF(Settings!$G$46="",$C89,Settings!$G$46))&lt;MAX($A89,Settings!$F$46),0,INT((MIN($C89,IF(Settings!$G$46="",$C89,Settings!$G$46))-MAX($A89,Settings!$F$46)-MOD(IFERROR(MATCH(Settings!$E$46,$EO$4:$EO$10,0),0)-WEEKDAY(MAX($A89,Settings!$F$46)),7))/7)+1)),IF(AND(IF(Settings!$E$46="",$B89,DATE(YEAR($A89),MONTH($A89),MIN(Settings!$E$46,DAY($B89))))&gt;=MAX($A89,Settings!$F$46),IF(Settings!$E$46="",$B89,DATE(YEAR($A89),MONTH($A89),MIN(Settings!$E$46,DAY($B89))))&lt;=MIN($C89,IF(Settings!$G$46="",$C89,Settings!$G$46))),1,0)))</f>
        <v/>
      </c>
      <c r="BG89">
        <f>IF(OR(Settings!$C$47="",Settings!$D$47=""),0,Settings!$C$47*IF(Settings!$D$47="Weekly",IF(IFERROR(MATCH(Settings!$E$47,$EO$4:$EO$10,0),0)=0,0,IF(MIN($C89,IF(Settings!$G$47="",$C89,Settings!$G$47))&lt;MAX($A89,Settings!$F$47),0,INT((MIN($C89,IF(Settings!$G$47="",$C89,Settings!$G$47))-MAX($A89,Settings!$F$47)-MOD(IFERROR(MATCH(Settings!$E$47,$EO$4:$EO$10,0),0)-WEEKDAY(MAX($A89,Settings!$F$47)),7))/7)+1)),IF(AND(IF(Settings!$E$47="",$B89,DATE(YEAR($A89),MONTH($A89),MIN(Settings!$E$47,DAY($B89))))&gt;=MAX($A89,Settings!$F$47),IF(Settings!$E$47="",$B89,DATE(YEAR($A89),MONTH($A89),MIN(Settings!$E$47,DAY($B89))))&lt;=MIN($C89,IF(Settings!$G$47="",$C89,Settings!$G$47))),1,0)))</f>
        <v/>
      </c>
      <c r="BH89">
        <f>IF(OR(Settings!$C$48="",Settings!$D$48=""),0,Settings!$C$48*IF(Settings!$D$48="Weekly",IF(IFERROR(MATCH(Settings!$E$48,$EO$4:$EO$10,0),0)=0,0,IF(MIN($C89,IF(Settings!$G$48="",$C89,Settings!$G$48))&lt;MAX($A89,Settings!$F$48),0,INT((MIN($C89,IF(Settings!$G$48="",$C89,Settings!$G$48))-MAX($A89,Settings!$F$48)-MOD(IFERROR(MATCH(Settings!$E$48,$EO$4:$EO$10,0),0)-WEEKDAY(MAX($A89,Settings!$F$48)),7))/7)+1)),IF(AND(IF(Settings!$E$48="",$B89,DATE(YEAR($A89),MONTH($A89),MIN(Settings!$E$48,DAY($B89))))&gt;=MAX($A89,Settings!$F$48),IF(Settings!$E$48="",$B89,DATE(YEAR($A89),MONTH($A89),MIN(Settings!$E$48,DAY($B89))))&lt;=MIN($C89,IF(Settings!$G$48="",$C89,Settings!$G$48))),1,0)))</f>
        <v/>
      </c>
      <c r="BI89">
        <f>IF(OR(Settings!$C$49="",Settings!$D$49=""),0,Settings!$C$49*IF(Settings!$D$49="Weekly",IF(IFERROR(MATCH(Settings!$E$49,$EO$4:$EO$10,0),0)=0,0,IF(MIN($C89,IF(Settings!$G$49="",$C89,Settings!$G$49))&lt;MAX($A89,Settings!$F$49),0,INT((MIN($C89,IF(Settings!$G$49="",$C89,Settings!$G$49))-MAX($A89,Settings!$F$49)-MOD(IFERROR(MATCH(Settings!$E$49,$EO$4:$EO$10,0),0)-WEEKDAY(MAX($A89,Settings!$F$49)),7))/7)+1)),IF(AND(IF(Settings!$E$49="",$B89,DATE(YEAR($A89),MONTH($A89),MIN(Settings!$E$49,DAY($B89))))&gt;=MAX($A89,Settings!$F$49),IF(Settings!$E$49="",$B89,DATE(YEAR($A89),MONTH($A89),MIN(Settings!$E$49,DAY($B89))))&lt;=MIN($C89,IF(Settings!$G$49="",$C89,Settings!$G$49))),1,0)))</f>
        <v/>
      </c>
      <c r="BJ89">
        <f>IF(OR(Settings!$C$50="",Settings!$D$50=""),0,Settings!$C$50*IF(Settings!$D$50="Weekly",IF(IFERROR(MATCH(Settings!$E$50,$EO$4:$EO$10,0),0)=0,0,IF(MIN($C89,IF(Settings!$G$50="",$C89,Settings!$G$50))&lt;MAX($A89,Settings!$F$50),0,INT((MIN($C89,IF(Settings!$G$50="",$C89,Settings!$G$50))-MAX($A89,Settings!$F$50)-MOD(IFERROR(MATCH(Settings!$E$50,$EO$4:$EO$10,0),0)-WEEKDAY(MAX($A89,Settings!$F$50)),7))/7)+1)),IF(AND(IF(Settings!$E$50="",$B89,DATE(YEAR($A89),MONTH($A89),MIN(Settings!$E$50,DAY($B89))))&gt;=MAX($A89,Settings!$F$50),IF(Settings!$E$50="",$B89,DATE(YEAR($A89),MONTH($A89),MIN(Settings!$E$50,DAY($B89))))&lt;=MIN($C89,IF(Settings!$G$50="",$C89,Settings!$G$50))),1,0)))</f>
        <v/>
      </c>
      <c r="BK89">
        <f>IF(OR(Settings!$C$51="",Settings!$D$51=""),0,Settings!$C$51*IF(Settings!$D$51="Weekly",IF(IFERROR(MATCH(Settings!$E$51,$EO$4:$EO$10,0),0)=0,0,IF(MIN($C89,IF(Settings!$G$51="",$C89,Settings!$G$51))&lt;MAX($A89,Settings!$F$51),0,INT((MIN($C89,IF(Settings!$G$51="",$C89,Settings!$G$51))-MAX($A89,Settings!$F$51)-MOD(IFERROR(MATCH(Settings!$E$51,$EO$4:$EO$10,0),0)-WEEKDAY(MAX($A89,Settings!$F$51)),7))/7)+1)),IF(AND(IF(Settings!$E$51="",$B89,DATE(YEAR($A89),MONTH($A89),MIN(Settings!$E$51,DAY($B89))))&gt;=MAX($A89,Settings!$F$51),IF(Settings!$E$51="",$B89,DATE(YEAR($A89),MONTH($A89),MIN(Settings!$E$51,DAY($B89))))&lt;=MIN($C89,IF(Settings!$G$51="",$C89,Settings!$G$51))),1,0)))</f>
        <v/>
      </c>
      <c r="BL89">
        <f>IF(OR(Settings!$C$52="",Settings!$D$52=""),0,Settings!$C$52*IF(Settings!$D$52="Weekly",IF(IFERROR(MATCH(Settings!$E$52,$EO$4:$EO$10,0),0)=0,0,IF(MIN($C89,IF(Settings!$G$52="",$C89,Settings!$G$52))&lt;MAX($A89,Settings!$F$52),0,INT((MIN($C89,IF(Settings!$G$52="",$C89,Settings!$G$52))-MAX($A89,Settings!$F$52)-MOD(IFERROR(MATCH(Settings!$E$52,$EO$4:$EO$10,0),0)-WEEKDAY(MAX($A89,Settings!$F$52)),7))/7)+1)),IF(AND(IF(Settings!$E$52="",$B89,DATE(YEAR($A89),MONTH($A89),MIN(Settings!$E$52,DAY($B89))))&gt;=MAX($A89,Settings!$F$52),IF(Settings!$E$52="",$B89,DATE(YEAR($A89),MONTH($A89),MIN(Settings!$E$52,DAY($B89))))&lt;=MIN($C89,IF(Settings!$G$52="",$C89,Settings!$G$52))),1,0)))</f>
        <v/>
      </c>
      <c r="BM89">
        <f>IF(OR(Settings!$C$53="",Settings!$D$53=""),0,Settings!$C$53*IF(Settings!$D$53="Weekly",IF(IFERROR(MATCH(Settings!$E$53,$EO$4:$EO$10,0),0)=0,0,IF(MIN($C89,IF(Settings!$G$53="",$C89,Settings!$G$53))&lt;MAX($A89,Settings!$F$53),0,INT((MIN($C89,IF(Settings!$G$53="",$C89,Settings!$G$53))-MAX($A89,Settings!$F$53)-MOD(IFERROR(MATCH(Settings!$E$53,$EO$4:$EO$10,0),0)-WEEKDAY(MAX($A89,Settings!$F$53)),7))/7)+1)),IF(AND(IF(Settings!$E$53="",$B89,DATE(YEAR($A89),MONTH($A89),MIN(Settings!$E$53,DAY($B89))))&gt;=MAX($A89,Settings!$F$53),IF(Settings!$E$53="",$B89,DATE(YEAR($A89),MONTH($A89),MIN(Settings!$E$53,DAY($B89))))&lt;=MIN($C89,IF(Settings!$G$53="",$C89,Settings!$G$53))),1,0)))</f>
        <v/>
      </c>
      <c r="BN89">
        <f>IF(OR(Settings!$C$54="",Settings!$D$54=""),0,Settings!$C$54*IF(Settings!$D$54="Weekly",IF(IFERROR(MATCH(Settings!$E$54,$EO$4:$EO$10,0),0)=0,0,IF(MIN($C89,IF(Settings!$G$54="",$C89,Settings!$G$54))&lt;MAX($A89,Settings!$F$54),0,INT((MIN($C89,IF(Settings!$G$54="",$C89,Settings!$G$54))-MAX($A89,Settings!$F$54)-MOD(IFERROR(MATCH(Settings!$E$54,$EO$4:$EO$10,0),0)-WEEKDAY(MAX($A89,Settings!$F$54)),7))/7)+1)),IF(AND(IF(Settings!$E$54="",$B89,DATE(YEAR($A89),MONTH($A89),MIN(Settings!$E$54,DAY($B89))))&gt;=MAX($A89,Settings!$F$54),IF(Settings!$E$54="",$B89,DATE(YEAR($A89),MONTH($A89),MIN(Settings!$E$54,DAY($B89))))&lt;=MIN($C89,IF(Settings!$G$54="",$C89,Settings!$G$54))),1,0)))</f>
        <v/>
      </c>
      <c r="BO89">
        <f>IF(OR(Settings!$C$55="",Settings!$D$55=""),0,Settings!$C$55*IF(Settings!$D$55="Weekly",IF(IFERROR(MATCH(Settings!$E$55,$EO$4:$EO$10,0),0)=0,0,IF(MIN($C89,IF(Settings!$G$55="",$C89,Settings!$G$55))&lt;MAX($A89,Settings!$F$55),0,INT((MIN($C89,IF(Settings!$G$55="",$C89,Settings!$G$55))-MAX($A89,Settings!$F$55)-MOD(IFERROR(MATCH(Settings!$E$55,$EO$4:$EO$10,0),0)-WEEKDAY(MAX($A89,Settings!$F$55)),7))/7)+1)),IF(AND(IF(Settings!$E$55="",$B89,DATE(YEAR($A89),MONTH($A89),MIN(Settings!$E$55,DAY($B89))))&gt;=MAX($A89,Settings!$F$55),IF(Settings!$E$55="",$B89,DATE(YEAR($A89),MONTH($A89),MIN(Settings!$E$55,DAY($B89))))&lt;=MIN($C89,IF(Settings!$G$55="",$C89,Settings!$G$55))),1,0)))</f>
        <v/>
      </c>
      <c r="BP89">
        <f>IF(OR(Settings!$C$56="",Settings!$D$56=""),0,Settings!$C$56*IF(Settings!$D$56="Weekly",IF(IFERROR(MATCH(Settings!$E$56,$EO$4:$EO$10,0),0)=0,0,IF(MIN($C89,IF(Settings!$G$56="",$C89,Settings!$G$56))&lt;MAX($A89,Settings!$F$56),0,INT((MIN($C89,IF(Settings!$G$56="",$C89,Settings!$G$56))-MAX($A89,Settings!$F$56)-MOD(IFERROR(MATCH(Settings!$E$56,$EO$4:$EO$10,0),0)-WEEKDAY(MAX($A89,Settings!$F$56)),7))/7)+1)),IF(AND(IF(Settings!$E$56="",$B89,DATE(YEAR($A89),MONTH($A89),MIN(Settings!$E$56,DAY($B89))))&gt;=MAX($A89,Settings!$F$56),IF(Settings!$E$56="",$B89,DATE(YEAR($A89),MONTH($A89),MIN(Settings!$E$56,DAY($B89))))&lt;=MIN($C89,IF(Settings!$G$56="",$C89,Settings!$G$56))),1,0)))</f>
        <v/>
      </c>
      <c r="BQ89">
        <f>IF(OR(Settings!$B$14="",$D89=1,$E89="pre",$A89&lt;IF(Settings!$B$15="",0,Settings!$B$15)),0,Settings!$B$14)</f>
        <v/>
      </c>
      <c r="BR89">
        <f>IF(AND('Month-End'!$CH$7&lt;&gt;"",NOT(_xlfn.ISFORMULA('Month-End'!$CH$7))),1,0)</f>
        <v/>
      </c>
      <c r="BS89">
        <f>IF(AND('Month-End'!$CH$8&lt;&gt;"",NOT(_xlfn.ISFORMULA('Month-End'!$CH$8))),1,0)</f>
        <v/>
      </c>
      <c r="BT89">
        <f>IF(AND('Month-End'!$CH$9&lt;&gt;"",NOT(_xlfn.ISFORMULA('Month-End'!$CH$9))),1,0)</f>
        <v/>
      </c>
      <c r="BU89">
        <f>IF(AND('Month-End'!$CH$10&lt;&gt;"",NOT(_xlfn.ISFORMULA('Month-End'!$CH$10))),1,0)</f>
        <v/>
      </c>
      <c r="BV89">
        <f>IF(AND('Month-End'!$CH$11&lt;&gt;"",NOT(_xlfn.ISFORMULA('Month-End'!$CH$11))),1,0)</f>
        <v/>
      </c>
      <c r="BW89">
        <f>IF(AND('Month-End'!$CH$12&lt;&gt;"",NOT(_xlfn.ISFORMULA('Month-End'!$CH$12))),1,0)</f>
        <v/>
      </c>
      <c r="BX89">
        <f>IF(AND('Month-End'!$CH$13&lt;&gt;"",NOT(_xlfn.ISFORMULA('Month-End'!$CH$13))),1,0)</f>
        <v/>
      </c>
      <c r="BY89">
        <f>IF(AND('Month-End'!$CH$14&lt;&gt;"",NOT(_xlfn.ISFORMULA('Month-End'!$CH$14))),1,0)</f>
        <v/>
      </c>
      <c r="BZ89">
        <f>IF(AND('Month-End'!$CH$15&lt;&gt;"",NOT(_xlfn.ISFORMULA('Month-End'!$CH$15))),1,0)</f>
        <v/>
      </c>
      <c r="CA89">
        <f>IF(AND('Month-End'!$CH$16&lt;&gt;"",NOT(_xlfn.ISFORMULA('Month-End'!$CH$16))),1,0)</f>
        <v/>
      </c>
      <c r="CB89">
        <f>IF(AND('Month-End'!$CH$17&lt;&gt;"",NOT(_xlfn.ISFORMULA('Month-End'!$CH$17))),1,0)</f>
        <v/>
      </c>
      <c r="CC89">
        <f>IF(AND('Month-End'!$CH$18&lt;&gt;"",NOT(_xlfn.ISFORMULA('Month-End'!$CH$18))),1,0)</f>
        <v/>
      </c>
      <c r="CD89">
        <f>IF(AND('Month-End'!$CH$19&lt;&gt;"",NOT(_xlfn.ISFORMULA('Month-End'!$CH$19))),1,0)</f>
        <v/>
      </c>
      <c r="CE89">
        <f>IF(AND('Month-End'!$CH$20&lt;&gt;"",NOT(_xlfn.ISFORMULA('Month-End'!$CH$20))),1,0)</f>
        <v/>
      </c>
      <c r="CF89">
        <f>IF(AND('Month-End'!$CH$38&lt;&gt;"",NOT(_xlfn.ISFORMULA('Month-End'!$CH$38))),1,0)</f>
        <v/>
      </c>
      <c r="CG89">
        <f>IF(AND('Month-End'!$CH$39&lt;&gt;"",NOT(_xlfn.ISFORMULA('Month-End'!$CH$39))),1,0)</f>
        <v/>
      </c>
      <c r="CH89">
        <f>IF(AND('Month-End'!$CH$40&lt;&gt;"",NOT(_xlfn.ISFORMULA('Month-End'!$CH$40))),1,0)</f>
        <v/>
      </c>
      <c r="CI89">
        <f>IF(AND('Month-End'!$CH$41&lt;&gt;"",NOT(_xlfn.ISFORMULA('Month-End'!$CH$41))),1,0)</f>
        <v/>
      </c>
      <c r="CJ89">
        <f>IF(AND('Month-End'!$CH$42&lt;&gt;"",NOT(_xlfn.ISFORMULA('Month-End'!$CH$42))),1,0)</f>
        <v/>
      </c>
      <c r="CK89">
        <f>IF(AND('Month-End'!$CH$43&lt;&gt;"",NOT(_xlfn.ISFORMULA('Month-End'!$CH$43))),1,0)</f>
        <v/>
      </c>
      <c r="CL89">
        <f>SUM($CM89:$CZ89)</f>
        <v/>
      </c>
      <c r="CM89">
        <f>IF(AND($E89&lt;&gt;"pre",AND(Settings!$A$19&lt;&gt;"",Settings!$E$19&lt;&gt;"No"),Settings!$F$19="Yes",NOT(AND('Month-End'!$CH$7&lt;&gt;"",NOT(_xlfn.ISFORMULA('Month-End'!$CH$7))))),1,0)</f>
        <v/>
      </c>
      <c r="CN89">
        <f>IF(AND($E89&lt;&gt;"pre",AND(Settings!$A$20&lt;&gt;"",Settings!$E$20&lt;&gt;"No"),Settings!$F$20="Yes",NOT(AND('Month-End'!$CH$8&lt;&gt;"",NOT(_xlfn.ISFORMULA('Month-End'!$CH$8))))),1,0)</f>
        <v/>
      </c>
      <c r="CO89">
        <f>IF(AND($E89&lt;&gt;"pre",AND(Settings!$A$21&lt;&gt;"",Settings!$E$21&lt;&gt;"No"),Settings!$F$21="Yes",NOT(AND('Month-End'!$CH$9&lt;&gt;"",NOT(_xlfn.ISFORMULA('Month-End'!$CH$9))))),1,0)</f>
        <v/>
      </c>
      <c r="CP89">
        <f>IF(AND($E89&lt;&gt;"pre",AND(Settings!$A$22&lt;&gt;"",Settings!$E$22&lt;&gt;"No"),Settings!$F$22="Yes",NOT(AND('Month-End'!$CH$10&lt;&gt;"",NOT(_xlfn.ISFORMULA('Month-End'!$CH$10))))),1,0)</f>
        <v/>
      </c>
      <c r="CQ89">
        <f>IF(AND($E89&lt;&gt;"pre",AND(Settings!$A$23&lt;&gt;"",Settings!$E$23&lt;&gt;"No"),Settings!$F$23="Yes",NOT(AND('Month-End'!$CH$11&lt;&gt;"",NOT(_xlfn.ISFORMULA('Month-End'!$CH$11))))),1,0)</f>
        <v/>
      </c>
      <c r="CR89">
        <f>IF(AND($E89&lt;&gt;"pre",AND(Settings!$A$24&lt;&gt;"",Settings!$E$24&lt;&gt;"No"),Settings!$F$24="Yes",NOT(AND('Month-End'!$CH$12&lt;&gt;"",NOT(_xlfn.ISFORMULA('Month-End'!$CH$12))))),1,0)</f>
        <v/>
      </c>
      <c r="CS89">
        <f>IF(AND($E89&lt;&gt;"pre",AND(Settings!$A$25&lt;&gt;"",Settings!$E$25&lt;&gt;"No"),Settings!$F$25="Yes",NOT(AND('Month-End'!$CH$13&lt;&gt;"",NOT(_xlfn.ISFORMULA('Month-End'!$CH$13))))),1,0)</f>
        <v/>
      </c>
      <c r="CT89">
        <f>IF(AND($E89&lt;&gt;"pre",AND(Settings!$A$26&lt;&gt;"",Settings!$E$26&lt;&gt;"No"),Settings!$F$26="Yes",NOT(AND('Month-End'!$CH$14&lt;&gt;"",NOT(_xlfn.ISFORMULA('Month-End'!$CH$14))))),1,0)</f>
        <v/>
      </c>
      <c r="CU89">
        <f>IF(AND($E89&lt;&gt;"pre",AND(Settings!$A$27&lt;&gt;"",Settings!$E$27&lt;&gt;"No"),Settings!$F$27="Yes",NOT(AND('Month-End'!$CH$15&lt;&gt;"",NOT(_xlfn.ISFORMULA('Month-End'!$CH$15))))),1,0)</f>
        <v/>
      </c>
      <c r="CV89">
        <f>IF(AND($E89&lt;&gt;"pre",AND(Settings!$A$28&lt;&gt;"",Settings!$E$28&lt;&gt;"No"),Settings!$F$28="Yes",NOT(AND('Month-End'!$CH$16&lt;&gt;"",NOT(_xlfn.ISFORMULA('Month-End'!$CH$16))))),1,0)</f>
        <v/>
      </c>
      <c r="CW89">
        <f>IF(AND($E89&lt;&gt;"pre",AND(Settings!$A$29&lt;&gt;"",Settings!$E$29&lt;&gt;"No"),Settings!$F$29="Yes",NOT(AND('Month-End'!$CH$17&lt;&gt;"",NOT(_xlfn.ISFORMULA('Month-End'!$CH$17))))),1,0)</f>
        <v/>
      </c>
      <c r="CX89">
        <f>IF(AND($E89&lt;&gt;"pre",AND(Settings!$A$30&lt;&gt;"",Settings!$E$30&lt;&gt;"No"),Settings!$F$30="Yes",NOT(AND('Month-End'!$CH$18&lt;&gt;"",NOT(_xlfn.ISFORMULA('Month-End'!$CH$18))))),1,0)</f>
        <v/>
      </c>
      <c r="CY89">
        <f>IF(AND($E89&lt;&gt;"pre",AND(Settings!$A$31&lt;&gt;"",Settings!$E$31&lt;&gt;"No"),Settings!$F$31="Yes",NOT(AND('Month-End'!$CH$19&lt;&gt;"",NOT(_xlfn.ISFORMULA('Month-End'!$CH$19))))),1,0)</f>
        <v/>
      </c>
      <c r="CZ89">
        <f>IF(AND($E89&lt;&gt;"pre",AND(Settings!$A$32&lt;&gt;"",Settings!$E$32&lt;&gt;"No"),Settings!$F$32="Yes",NOT(AND('Month-End'!$CH$20&lt;&gt;"",NOT(_xlfn.ISFORMULA('Month-End'!$CH$20))))),1,0)</f>
        <v/>
      </c>
      <c r="DA89">
        <f>IF($DT89=1,IF(OR(Settings!$B$19="Checking",Settings!$B$19="Savings",Settings!$B$19="Cash"),N($AE89),IF(OR(Settings!$B$19="Card",Settings!$B$19="Loan"),-N($AE89),0))+IF(OR(Settings!$B$20="Checking",Settings!$B$20="Savings",Settings!$B$20="Cash"),N($AF89),IF(OR(Settings!$B$20="Card",Settings!$B$20="Loan"),-N($AF89),0))+IF(OR(Settings!$B$21="Checking",Settings!$B$21="Savings",Settings!$B$21="Cash"),N($AG89),IF(OR(Settings!$B$21="Card",Settings!$B$21="Loan"),-N($AG89),0))+IF(OR(Settings!$B$22="Checking",Settings!$B$22="Savings",Settings!$B$22="Cash"),N($AH89),IF(OR(Settings!$B$22="Card",Settings!$B$22="Loan"),-N($AH89),0))+IF(OR(Settings!$B$23="Checking",Settings!$B$23="Savings",Settings!$B$23="Cash"),N($AI89),IF(OR(Settings!$B$23="Card",Settings!$B$23="Loan"),-N($AI89),0))+IF(OR(Settings!$B$24="Checking",Settings!$B$24="Savings",Settings!$B$24="Cash"),N($AJ89),IF(OR(Settings!$B$24="Card",Settings!$B$24="Loan"),-N($AJ89),0))+IF(OR(Settings!$B$25="Checking",Settings!$B$25="Savings",Settings!$B$25="Cash"),N($AK89),IF(OR(Settings!$B$25="Card",Settings!$B$25="Loan"),-N($AK89),0))+IF(OR(Settings!$B$26="Checking",Settings!$B$26="Savings",Settings!$B$26="Cash"),N($AL89),IF(OR(Settings!$B$26="Card",Settings!$B$26="Loan"),-N($AL89),0))+IF(OR(Settings!$B$27="Checking",Settings!$B$27="Savings",Settings!$B$27="Cash"),N($AM89),IF(OR(Settings!$B$27="Card",Settings!$B$27="Loan"),-N($AM89),0))+IF(OR(Settings!$B$28="Checking",Settings!$B$28="Savings",Settings!$B$28="Cash"),N($AN89),IF(OR(Settings!$B$28="Card",Settings!$B$28="Loan"),-N($AN89),0))+IF(OR(Settings!$B$29="Checking",Settings!$B$29="Savings",Settings!$B$29="Cash"),N($AO89),IF(OR(Settings!$B$29="Card",Settings!$B$29="Loan"),-N($AO89),0))+IF(OR(Settings!$B$30="Checking",Settings!$B$30="Savings",Settings!$B$30="Cash"),N($AP89),IF(OR(Settings!$B$30="Card",Settings!$B$30="Loan"),-N($AP89),0))+IF(OR(Settings!$B$31="Checking",Settings!$B$31="Savings",Settings!$B$31="Cash"),N($AQ89),IF(OR(Settings!$B$31="Card",Settings!$B$31="Loan"),-N($AQ89),0))+IF(OR(Settings!$B$32="Checking",Settings!$B$32="Savings",Settings!$B$32="Cash"),N($AR89),IF(OR(Settings!$B$32="Card",Settings!$B$32="Loan"),-N($AR89),0)),"")</f>
        <v/>
      </c>
      <c r="DB89">
        <f>IF($E89="open",$EB$27,IF($E89="post",IF($E88="pre",$EB$27,$DA88),""))</f>
        <v/>
      </c>
      <c r="DC89">
        <f>IF($E89="open",1,IF($E89="post",IF($E88="pre",1,$DT88),0))</f>
        <v/>
      </c>
      <c r="DD89">
        <f>IF(AND($DT89=1,$DC89=1),ROUND($W89-($DA89-$DB89)-$AD89-$AB89,2),"")</f>
        <v/>
      </c>
      <c r="DE89">
        <f>IF('Month-End'!$CH$35="",$BQ89,N('Month-End'!$CH$35))</f>
        <v/>
      </c>
      <c r="DF89">
        <f>N('Month-End'!$CH$36)</f>
        <v/>
      </c>
      <c r="DG89">
        <f>IF($DD89="","",$DD89+$DE89)</f>
        <v/>
      </c>
      <c r="DH89">
        <f>IF($DG89="","",$DG89-$DF89)</f>
        <v/>
      </c>
      <c r="DI89">
        <f>IF(OR($E89="pre",$D89=1),"",N($AS89)+N($AT89)+N($AU89)+N($AV89)+N($AW89)+N($AX89))</f>
        <v/>
      </c>
      <c r="DJ89">
        <f>IF($DT89=1,$DA89+N($DI89),"")</f>
        <v/>
      </c>
      <c r="DK89">
        <f>IF($DD89="","",$W89-$DD89-$AB89)</f>
        <v/>
      </c>
      <c r="DL89">
        <f>IF(AND($E89="post",$DD89&lt;&gt;"",$B89&lt;TODAY()),1,0)</f>
        <v/>
      </c>
      <c r="DM89">
        <f>IF($DL89=1,COUNTIF($DL89:$DL$183,1),0)</f>
        <v/>
      </c>
      <c r="DN89">
        <f>IF($D89=1,"",IF($E89="pre","History only",IF($DT89=1,IF($DD89="","⚠ Previous month missing",IF($DD89&lt;0,"⚠ Check: spending &lt; 0",IF($E89="open","✓ Done (partial)","✓ Done"))),IF($B89&gt;=TODAY(),"In progress","⚠ Needs balances"))))</f>
        <v/>
      </c>
      <c r="DO89">
        <f>YEAR($A89)</f>
        <v/>
      </c>
      <c r="DP89">
        <f>DATE(YEAR($A89),INT((MONTH($A89)-1)/3)*3+1,1)</f>
        <v/>
      </c>
      <c r="DQ89">
        <f>IF(AND($DT89=1,$DD89&lt;&gt;"",$D89=0),ROW(),0)</f>
        <v/>
      </c>
      <c r="DR89">
        <f>IF(AND($E89&lt;&gt;"pre",$B89&lt;TODAY(),$DT89=0),1,0)</f>
        <v/>
      </c>
      <c r="DS89">
        <f>IF($DJ89="",NA(),$DJ89)</f>
        <v/>
      </c>
      <c r="DT89">
        <f>IF(AND($E89&lt;&gt;"pre",$CL89=0,COUNTIFS(Settings!$F$19:$F$32,"Yes",Settings!$A$19:$A$32,"&lt;&gt;",Settings!$E$19:$E$32,"&lt;&gt;No")&gt;0),1,0)</f>
        <v/>
      </c>
      <c r="DU89">
        <f>IF(AND($B89&lt;TODAY(),$S89&gt;0),1,0)</f>
        <v/>
      </c>
      <c r="DV89">
        <f>IF($DU89=1,COUNTIF($DU89:$DU$183,1),0)</f>
        <v/>
      </c>
      <c r="DW89">
        <f>IF(AND(OR(Settings!$B$19="Card",Settings!$B$19="Loan"),AND('Month-End'!$CH$7&lt;&gt;"",NOT(_xlfn.ISFORMULA('Month-End'!$CH$7)))),IF(N('Month-End'!$CH$7)&lt;0,1,0),0)+IF(AND(OR(Settings!$B$20="Card",Settings!$B$20="Loan"),AND('Month-End'!$CH$8&lt;&gt;"",NOT(_xlfn.ISFORMULA('Month-End'!$CH$8)))),IF(N('Month-End'!$CH$8)&lt;0,1,0),0)+IF(AND(OR(Settings!$B$21="Card",Settings!$B$21="Loan"),AND('Month-End'!$CH$9&lt;&gt;"",NOT(_xlfn.ISFORMULA('Month-End'!$CH$9)))),IF(N('Month-End'!$CH$9)&lt;0,1,0),0)+IF(AND(OR(Settings!$B$22="Card",Settings!$B$22="Loan"),AND('Month-End'!$CH$10&lt;&gt;"",NOT(_xlfn.ISFORMULA('Month-End'!$CH$10)))),IF(N('Month-End'!$CH$10)&lt;0,1,0),0)+IF(AND(OR(Settings!$B$23="Card",Settings!$B$23="Loan"),AND('Month-End'!$CH$11&lt;&gt;"",NOT(_xlfn.ISFORMULA('Month-End'!$CH$11)))),IF(N('Month-End'!$CH$11)&lt;0,1,0),0)+IF(AND(OR(Settings!$B$24="Card",Settings!$B$24="Loan"),AND('Month-End'!$CH$12&lt;&gt;"",NOT(_xlfn.ISFORMULA('Month-End'!$CH$12)))),IF(N('Month-End'!$CH$12)&lt;0,1,0),0)+IF(AND(OR(Settings!$B$25="Card",Settings!$B$25="Loan"),AND('Month-End'!$CH$13&lt;&gt;"",NOT(_xlfn.ISFORMULA('Month-End'!$CH$13)))),IF(N('Month-End'!$CH$13)&lt;0,1,0),0)+IF(AND(OR(Settings!$B$26="Card",Settings!$B$26="Loan"),AND('Month-End'!$CH$14&lt;&gt;"",NOT(_xlfn.ISFORMULA('Month-End'!$CH$14)))),IF(N('Month-End'!$CH$14)&lt;0,1,0),0)+IF(AND(OR(Settings!$B$27="Card",Settings!$B$27="Loan"),AND('Month-End'!$CH$15&lt;&gt;"",NOT(_xlfn.ISFORMULA('Month-End'!$CH$15)))),IF(N('Month-End'!$CH$15)&lt;0,1,0),0)+IF(AND(OR(Settings!$B$28="Card",Settings!$B$28="Loan"),AND('Month-End'!$CH$16&lt;&gt;"",NOT(_xlfn.ISFORMULA('Month-End'!$CH$16)))),IF(N('Month-End'!$CH$16)&lt;0,1,0),0)+IF(AND(OR(Settings!$B$29="Card",Settings!$B$29="Loan"),AND('Month-End'!$CH$17&lt;&gt;"",NOT(_xlfn.ISFORMULA('Month-End'!$CH$17)))),IF(N('Month-End'!$CH$17)&lt;0,1,0),0)+IF(AND(OR(Settings!$B$30="Card",Settings!$B$30="Loan"),AND('Month-End'!$CH$18&lt;&gt;"",NOT(_xlfn.ISFORMULA('Month-End'!$CH$18)))),IF(N('Month-End'!$CH$18)&lt;0,1,0),0)+IF(AND(OR(Settings!$B$31="Card",Settings!$B$31="Loan"),AND('Month-End'!$CH$19&lt;&gt;"",NOT(_xlfn.ISFORMULA('Month-End'!$CH$19)))),IF(N('Month-End'!$CH$19)&lt;0,1,0),0)+IF(AND(OR(Settings!$B$32="Card",Settings!$B$32="Loan"),AND('Month-End'!$CH$20&lt;&gt;"",NOT(_xlfn.ISFORMULA('Month-End'!$CH$20)))),IF(N('Month-End'!$CH$20)&lt;0,1,0),0)</f>
        <v/>
      </c>
      <c r="DX89">
        <f>IF(Settings!$B$36="Retirement",$AY89,0)+IF(Settings!$B$37="Retirement",$AZ89,0)+IF(Settings!$B$38="Retirement",$BA89,0)+IF(Settings!$B$39="Retirement",$BB89,0)+IF(Settings!$B$40="Retirement",$BC89,0)+IF(Settings!$B$41="Retirement",$BD89,0)</f>
        <v/>
      </c>
      <c r="EA89">
        <f>IF(Settings!$A$88="","",Settings!$A$88)</f>
        <v/>
      </c>
      <c r="EB89">
        <f>IF(Settings!$D$88="",0,IF(Settings!$D$88="Specific Account",IFERROR(INDEX($EB$40:$EB$59,MATCH(Settings!$F$88,$EA$40:$EA$59,0)),0),IFERROR(INDEX($EB$6:$EB$26,MATCH(Settings!$D$88,$EA$6:$EA$26,0)),0)))</f>
        <v/>
      </c>
      <c r="EC89">
        <f>IF(Settings!$A$88="","",IF(Settings!$B$88="Tithe Balance",$EB$23,IF(Settings!$E$88="Specific Account",IFERROR(INDEX($EB$40:$EB$59,MATCH(Settings!$F$88,$EA$40:$EA$59,0)),0),IFERROR(INDEX($EB$6:$EB$26,MATCH(Settings!$E$88,$EA$6:$EA$26,0)),0))))</f>
        <v/>
      </c>
      <c r="ED89">
        <f>IF(Settings!$A$88="","",IF(Settings!$B$88="Percentage",EB89*N(Settings!$C$88)/100,IF(Settings!$B$88="Multiple",EB89*N(Settings!$C$88),IF(Settings!$B$88="Tithe Balance",$EB$22,N(Settings!$C$88)))))</f>
        <v/>
      </c>
      <c r="EE89">
        <f>IF(Settings!$A$88="","",IF(Settings!$B$88="Pay Down To",MAX(0,EC89-ED89),MAX(0,ED89-EC89)))</f>
        <v/>
      </c>
      <c r="EF89">
        <f>IF(Settings!$A$88="","",IF(Settings!$B$88="Pay Down To",IF(EC89&lt;=ED89,"Met","Above target"),IF(EC89&gt;=ED89-0.005,"Met","Remaining")))</f>
        <v/>
      </c>
      <c r="EG89">
        <f>IF(Settings!$A$88="","",IF(Settings!$B$88="Pay Down To",IF(EC89&lt;=0,1,MIN(1,ED89/EC89)),IF(ED89&lt;=0,1,EC89/ED89)))</f>
        <v/>
      </c>
      <c r="EH89">
        <f>IF(OR(Settings!$A$88="",EE89&lt;=0),"",IF(Settings!$B$88="Save By Date",IF(Settings!$G$88="","Set a target date","Need "&amp;TEXT(EE89/MAX(1,(YEAR(Settings!$G$88)-YEAR(TODAY()))*12+MONTH(Settings!$G$88)-MONTH(TODAY())+1),"$#,##0")&amp;"/mo to "&amp;TEXT(Settings!$G$88,"mmm yyyy")),IF(Settings!$B$88="Annual Contribution","Need "&amp;TEXT(EE89/MAX(1,12-MONTH(TODAY())+1),"$#,##0")&amp;"/mo rest of year",IF(Settings!$B$88="Tithe Balance","This quarter",""))))</f>
        <v/>
      </c>
      <c r="ET89">
        <f>IF($E89&lt;&gt;"open",0,IF(AND('Month-End'!$CH$22&lt;&gt;"",NOT(_xlfn.ISFORMULA('Month-End'!$CH$22))),0,IF(OR(Settings!$C$45="",Settings!$D$45=""),0,Settings!$C$45*IF(Settings!$D$45="Weekly",IF(IFERROR(MATCH(Settings!$E$45,$EO$4:$EO$10,0),0)=0,0,IF(MIN(Settings!$B$5,IF(Settings!$G$45="",Settings!$B$5,Settings!$G$45))&lt;MAX($A89,Settings!$F$45),0,INT((MIN(Settings!$B$5,IF(Settings!$G$45="",Settings!$B$5,Settings!$G$45))-MAX($A89,Settings!$F$45)-MOD(IFERROR(MATCH(Settings!$E$45,$EO$4:$EO$10,0),0)-WEEKDAY(MAX($A89,Settings!$F$45)),7))/7)+1)),IF(AND(IF(Settings!$E$45="",$B89,DATE(YEAR($A89),MONTH($A89),MIN(Settings!$E$45,DAY($B89))))&gt;=MAX($A89,Settings!$F$45),IF(Settings!$E$45="",$B89,DATE(YEAR($A89),MONTH($A89),MIN(Settings!$E$45,DAY($B89))))&lt;=MIN(Settings!$B$5,IF(Settings!$G$45="",Settings!$B$5,Settings!$G$45))),1,0)))))</f>
        <v/>
      </c>
      <c r="EU89">
        <f>IF($E89&lt;&gt;"open",0,IF(AND('Month-End'!$CH$23&lt;&gt;"",NOT(_xlfn.ISFORMULA('Month-End'!$CH$23))),0,IF(OR(Settings!$C$46="",Settings!$D$46=""),0,Settings!$C$46*IF(Settings!$D$46="Weekly",IF(IFERROR(MATCH(Settings!$E$46,$EO$4:$EO$10,0),0)=0,0,IF(MIN(Settings!$B$5,IF(Settings!$G$46="",Settings!$B$5,Settings!$G$46))&lt;MAX($A89,Settings!$F$46),0,INT((MIN(Settings!$B$5,IF(Settings!$G$46="",Settings!$B$5,Settings!$G$46))-MAX($A89,Settings!$F$46)-MOD(IFERROR(MATCH(Settings!$E$46,$EO$4:$EO$10,0),0)-WEEKDAY(MAX($A89,Settings!$F$46)),7))/7)+1)),IF(AND(IF(Settings!$E$46="",$B89,DATE(YEAR($A89),MONTH($A89),MIN(Settings!$E$46,DAY($B89))))&gt;=MAX($A89,Settings!$F$46),IF(Settings!$E$46="",$B89,DATE(YEAR($A89),MONTH($A89),MIN(Settings!$E$46,DAY($B89))))&lt;=MIN(Settings!$B$5,IF(Settings!$G$46="",Settings!$B$5,Settings!$G$46))),1,0)))))</f>
        <v/>
      </c>
      <c r="EV89">
        <f>IF($E89&lt;&gt;"open",0,IF(AND('Month-End'!$CH$24&lt;&gt;"",NOT(_xlfn.ISFORMULA('Month-End'!$CH$24))),0,IF(OR(Settings!$C$47="",Settings!$D$47=""),0,Settings!$C$47*IF(Settings!$D$47="Weekly",IF(IFERROR(MATCH(Settings!$E$47,$EO$4:$EO$10,0),0)=0,0,IF(MIN(Settings!$B$5,IF(Settings!$G$47="",Settings!$B$5,Settings!$G$47))&lt;MAX($A89,Settings!$F$47),0,INT((MIN(Settings!$B$5,IF(Settings!$G$47="",Settings!$B$5,Settings!$G$47))-MAX($A89,Settings!$F$47)-MOD(IFERROR(MATCH(Settings!$E$47,$EO$4:$EO$10,0),0)-WEEKDAY(MAX($A89,Settings!$F$47)),7))/7)+1)),IF(AND(IF(Settings!$E$47="",$B89,DATE(YEAR($A89),MONTH($A89),MIN(Settings!$E$47,DAY($B89))))&gt;=MAX($A89,Settings!$F$47),IF(Settings!$E$47="",$B89,DATE(YEAR($A89),MONTH($A89),MIN(Settings!$E$47,DAY($B89))))&lt;=MIN(Settings!$B$5,IF(Settings!$G$47="",Settings!$B$5,Settings!$G$47))),1,0)))))</f>
        <v/>
      </c>
      <c r="EW89">
        <f>IF($E89&lt;&gt;"open",0,IF(AND('Month-End'!$CH$25&lt;&gt;"",NOT(_xlfn.ISFORMULA('Month-End'!$CH$25))),0,IF(OR(Settings!$C$48="",Settings!$D$48=""),0,Settings!$C$48*IF(Settings!$D$48="Weekly",IF(IFERROR(MATCH(Settings!$E$48,$EO$4:$EO$10,0),0)=0,0,IF(MIN(Settings!$B$5,IF(Settings!$G$48="",Settings!$B$5,Settings!$G$48))&lt;MAX($A89,Settings!$F$48),0,INT((MIN(Settings!$B$5,IF(Settings!$G$48="",Settings!$B$5,Settings!$G$48))-MAX($A89,Settings!$F$48)-MOD(IFERROR(MATCH(Settings!$E$48,$EO$4:$EO$10,0),0)-WEEKDAY(MAX($A89,Settings!$F$48)),7))/7)+1)),IF(AND(IF(Settings!$E$48="",$B89,DATE(YEAR($A89),MONTH($A89),MIN(Settings!$E$48,DAY($B89))))&gt;=MAX($A89,Settings!$F$48),IF(Settings!$E$48="",$B89,DATE(YEAR($A89),MONTH($A89),MIN(Settings!$E$48,DAY($B89))))&lt;=MIN(Settings!$B$5,IF(Settings!$G$48="",Settings!$B$5,Settings!$G$48))),1,0)))))</f>
        <v/>
      </c>
      <c r="EX89">
        <f>IF($E89&lt;&gt;"open",0,IF(AND('Month-End'!$CH$26&lt;&gt;"",NOT(_xlfn.ISFORMULA('Month-End'!$CH$26))),0,IF(OR(Settings!$C$49="",Settings!$D$49=""),0,Settings!$C$49*IF(Settings!$D$49="Weekly",IF(IFERROR(MATCH(Settings!$E$49,$EO$4:$EO$10,0),0)=0,0,IF(MIN(Settings!$B$5,IF(Settings!$G$49="",Settings!$B$5,Settings!$G$49))&lt;MAX($A89,Settings!$F$49),0,INT((MIN(Settings!$B$5,IF(Settings!$G$49="",Settings!$B$5,Settings!$G$49))-MAX($A89,Settings!$F$49)-MOD(IFERROR(MATCH(Settings!$E$49,$EO$4:$EO$10,0),0)-WEEKDAY(MAX($A89,Settings!$F$49)),7))/7)+1)),IF(AND(IF(Settings!$E$49="",$B89,DATE(YEAR($A89),MONTH($A89),MIN(Settings!$E$49,DAY($B89))))&gt;=MAX($A89,Settings!$F$49),IF(Settings!$E$49="",$B89,DATE(YEAR($A89),MONTH($A89),MIN(Settings!$E$49,DAY($B89))))&lt;=MIN(Settings!$B$5,IF(Settings!$G$49="",Settings!$B$5,Settings!$G$49))),1,0)))))</f>
        <v/>
      </c>
      <c r="EY89">
        <f>IF($E89&lt;&gt;"open",0,IF(AND('Month-End'!$CH$27&lt;&gt;"",NOT(_xlfn.ISFORMULA('Month-End'!$CH$27))),0,IF(OR(Settings!$C$50="",Settings!$D$50=""),0,Settings!$C$50*IF(Settings!$D$50="Weekly",IF(IFERROR(MATCH(Settings!$E$50,$EO$4:$EO$10,0),0)=0,0,IF(MIN(Settings!$B$5,IF(Settings!$G$50="",Settings!$B$5,Settings!$G$50))&lt;MAX($A89,Settings!$F$50),0,INT((MIN(Settings!$B$5,IF(Settings!$G$50="",Settings!$B$5,Settings!$G$50))-MAX($A89,Settings!$F$50)-MOD(IFERROR(MATCH(Settings!$E$50,$EO$4:$EO$10,0),0)-WEEKDAY(MAX($A89,Settings!$F$50)),7))/7)+1)),IF(AND(IF(Settings!$E$50="",$B89,DATE(YEAR($A89),MONTH($A89),MIN(Settings!$E$50,DAY($B89))))&gt;=MAX($A89,Settings!$F$50),IF(Settings!$E$50="",$B89,DATE(YEAR($A89),MONTH($A89),MIN(Settings!$E$50,DAY($B89))))&lt;=MIN(Settings!$B$5,IF(Settings!$G$50="",Settings!$B$5,Settings!$G$50))),1,0)))))</f>
        <v/>
      </c>
      <c r="EZ89">
        <f>IF($E89&lt;&gt;"open",0,IF(AND('Month-End'!$CH$28&lt;&gt;"",NOT(_xlfn.ISFORMULA('Month-End'!$CH$28))),0,IF(OR(Settings!$C$51="",Settings!$D$51=""),0,Settings!$C$51*IF(Settings!$D$51="Weekly",IF(IFERROR(MATCH(Settings!$E$51,$EO$4:$EO$10,0),0)=0,0,IF(MIN(Settings!$B$5,IF(Settings!$G$51="",Settings!$B$5,Settings!$G$51))&lt;MAX($A89,Settings!$F$51),0,INT((MIN(Settings!$B$5,IF(Settings!$G$51="",Settings!$B$5,Settings!$G$51))-MAX($A89,Settings!$F$51)-MOD(IFERROR(MATCH(Settings!$E$51,$EO$4:$EO$10,0),0)-WEEKDAY(MAX($A89,Settings!$F$51)),7))/7)+1)),IF(AND(IF(Settings!$E$51="",$B89,DATE(YEAR($A89),MONTH($A89),MIN(Settings!$E$51,DAY($B89))))&gt;=MAX($A89,Settings!$F$51),IF(Settings!$E$51="",$B89,DATE(YEAR($A89),MONTH($A89),MIN(Settings!$E$51,DAY($B89))))&lt;=MIN(Settings!$B$5,IF(Settings!$G$51="",Settings!$B$5,Settings!$G$51))),1,0)))))</f>
        <v/>
      </c>
      <c r="FA89">
        <f>IF($E89&lt;&gt;"open",0,IF(AND('Month-End'!$CH$29&lt;&gt;"",NOT(_xlfn.ISFORMULA('Month-End'!$CH$29))),0,IF(OR(Settings!$C$52="",Settings!$D$52=""),0,Settings!$C$52*IF(Settings!$D$52="Weekly",IF(IFERROR(MATCH(Settings!$E$52,$EO$4:$EO$10,0),0)=0,0,IF(MIN(Settings!$B$5,IF(Settings!$G$52="",Settings!$B$5,Settings!$G$52))&lt;MAX($A89,Settings!$F$52),0,INT((MIN(Settings!$B$5,IF(Settings!$G$52="",Settings!$B$5,Settings!$G$52))-MAX($A89,Settings!$F$52)-MOD(IFERROR(MATCH(Settings!$E$52,$EO$4:$EO$10,0),0)-WEEKDAY(MAX($A89,Settings!$F$52)),7))/7)+1)),IF(AND(IF(Settings!$E$52="",$B89,DATE(YEAR($A89),MONTH($A89),MIN(Settings!$E$52,DAY($B89))))&gt;=MAX($A89,Settings!$F$52),IF(Settings!$E$52="",$B89,DATE(YEAR($A89),MONTH($A89),MIN(Settings!$E$52,DAY($B89))))&lt;=MIN(Settings!$B$5,IF(Settings!$G$52="",Settings!$B$5,Settings!$G$52))),1,0)))))</f>
        <v/>
      </c>
      <c r="FB89">
        <f>IF($E89&lt;&gt;"open",0,IF(AND('Month-End'!$CH$30&lt;&gt;"",NOT(_xlfn.ISFORMULA('Month-End'!$CH$30))),0,IF(OR(Settings!$C$53="",Settings!$D$53=""),0,Settings!$C$53*IF(Settings!$D$53="Weekly",IF(IFERROR(MATCH(Settings!$E$53,$EO$4:$EO$10,0),0)=0,0,IF(MIN(Settings!$B$5,IF(Settings!$G$53="",Settings!$B$5,Settings!$G$53))&lt;MAX($A89,Settings!$F$53),0,INT((MIN(Settings!$B$5,IF(Settings!$G$53="",Settings!$B$5,Settings!$G$53))-MAX($A89,Settings!$F$53)-MOD(IFERROR(MATCH(Settings!$E$53,$EO$4:$EO$10,0),0)-WEEKDAY(MAX($A89,Settings!$F$53)),7))/7)+1)),IF(AND(IF(Settings!$E$53="",$B89,DATE(YEAR($A89),MONTH($A89),MIN(Settings!$E$53,DAY($B89))))&gt;=MAX($A89,Settings!$F$53),IF(Settings!$E$53="",$B89,DATE(YEAR($A89),MONTH($A89),MIN(Settings!$E$53,DAY($B89))))&lt;=MIN(Settings!$B$5,IF(Settings!$G$53="",Settings!$B$5,Settings!$G$53))),1,0)))))</f>
        <v/>
      </c>
      <c r="FC89">
        <f>IF($E89&lt;&gt;"open",0,IF(AND('Month-End'!$CH$31&lt;&gt;"",NOT(_xlfn.ISFORMULA('Month-End'!$CH$31))),0,IF(OR(Settings!$C$54="",Settings!$D$54=""),0,Settings!$C$54*IF(Settings!$D$54="Weekly",IF(IFERROR(MATCH(Settings!$E$54,$EO$4:$EO$10,0),0)=0,0,IF(MIN(Settings!$B$5,IF(Settings!$G$54="",Settings!$B$5,Settings!$G$54))&lt;MAX($A89,Settings!$F$54),0,INT((MIN(Settings!$B$5,IF(Settings!$G$54="",Settings!$B$5,Settings!$G$54))-MAX($A89,Settings!$F$54)-MOD(IFERROR(MATCH(Settings!$E$54,$EO$4:$EO$10,0),0)-WEEKDAY(MAX($A89,Settings!$F$54)),7))/7)+1)),IF(AND(IF(Settings!$E$54="",$B89,DATE(YEAR($A89),MONTH($A89),MIN(Settings!$E$54,DAY($B89))))&gt;=MAX($A89,Settings!$F$54),IF(Settings!$E$54="",$B89,DATE(YEAR($A89),MONTH($A89),MIN(Settings!$E$54,DAY($B89))))&lt;=MIN(Settings!$B$5,IF(Settings!$G$54="",Settings!$B$5,Settings!$G$54))),1,0)))))</f>
        <v/>
      </c>
      <c r="FD89">
        <f>IF($E89&lt;&gt;"open",0,IF(AND('Month-End'!$CH$32&lt;&gt;"",NOT(_xlfn.ISFORMULA('Month-End'!$CH$32))),0,IF(OR(Settings!$C$55="",Settings!$D$55=""),0,Settings!$C$55*IF(Settings!$D$55="Weekly",IF(IFERROR(MATCH(Settings!$E$55,$EO$4:$EO$10,0),0)=0,0,IF(MIN(Settings!$B$5,IF(Settings!$G$55="",Settings!$B$5,Settings!$G$55))&lt;MAX($A89,Settings!$F$55),0,INT((MIN(Settings!$B$5,IF(Settings!$G$55="",Settings!$B$5,Settings!$G$55))-MAX($A89,Settings!$F$55)-MOD(IFERROR(MATCH(Settings!$E$55,$EO$4:$EO$10,0),0)-WEEKDAY(MAX($A89,Settings!$F$55)),7))/7)+1)),IF(AND(IF(Settings!$E$55="",$B89,DATE(YEAR($A89),MONTH($A89),MIN(Settings!$E$55,DAY($B89))))&gt;=MAX($A89,Settings!$F$55),IF(Settings!$E$55="",$B89,DATE(YEAR($A89),MONTH($A89),MIN(Settings!$E$55,DAY($B89))))&lt;=MIN(Settings!$B$5,IF(Settings!$G$55="",Settings!$B$5,Settings!$G$55))),1,0)))))</f>
        <v/>
      </c>
      <c r="FE89">
        <f>IF($E89&lt;&gt;"open",0,IF(AND('Month-End'!$CH$33&lt;&gt;"",NOT(_xlfn.ISFORMULA('Month-End'!$CH$33))),0,IF(OR(Settings!$C$56="",Settings!$D$56=""),0,Settings!$C$56*IF(Settings!$D$56="Weekly",IF(IFERROR(MATCH(Settings!$E$56,$EO$4:$EO$10,0),0)=0,0,IF(MIN(Settings!$B$5,IF(Settings!$G$56="",Settings!$B$5,Settings!$G$56))&lt;MAX($A89,Settings!$F$56),0,INT((MIN(Settings!$B$5,IF(Settings!$G$56="",Settings!$B$5,Settings!$G$56))-MAX($A89,Settings!$F$56)-MOD(IFERROR(MATCH(Settings!$E$56,$EO$4:$EO$10,0),0)-WEEKDAY(MAX($A89,Settings!$F$56)),7))/7)+1)),IF(AND(IF(Settings!$E$56="",$B89,DATE(YEAR($A89),MONTH($A89),MIN(Settings!$E$56,DAY($B89))))&gt;=MAX($A89,Settings!$F$56),IF(Settings!$E$56="",$B89,DATE(YEAR($A89),MONTH($A89),MIN(Settings!$E$56,DAY($B89))))&lt;=MIN(Settings!$B$5,IF(Settings!$G$56="",Settings!$B$5,Settings!$G$56))),1,0)))))</f>
        <v/>
      </c>
      <c r="FF89">
        <f>IF(Settings!$I$45="Yes",$G89,0)+IF(Settings!$I$46="Yes",$H89,0)+IF(Settings!$I$47="Yes",$I89,0)+IF(Settings!$I$48="Yes",$J89,0)+IF(Settings!$I$49="Yes",$K89,0)+IF(Settings!$I$50="Yes",$L89,0)+IF(Settings!$I$51="Yes",$M89,0)+IF(Settings!$I$52="Yes",$N89,0)+IF(Settings!$I$53="Yes",$O89,0)+IF(Settings!$I$54="Yes",$P89,0)+IF(Settings!$I$55="Yes",$Q89,0)+IF(Settings!$I$56="Yes",$R89,0)</f>
        <v/>
      </c>
      <c r="FG89">
        <f>IF(AND(Settings!$I$45="Yes",Settings!$J$45="No"),$G89,0)+IF(AND(Settings!$I$46="Yes",Settings!$J$46="No"),$H89,0)+IF(AND(Settings!$I$47="Yes",Settings!$J$47="No"),$I89,0)+IF(AND(Settings!$I$48="Yes",Settings!$J$48="No"),$J89,0)+IF(AND(Settings!$I$49="Yes",Settings!$J$49="No"),$K89,0)+IF(AND(Settings!$I$50="Yes",Settings!$J$50="No"),$L89,0)+IF(AND(Settings!$I$51="Yes",Settings!$J$51="No"),$M89,0)+IF(AND(Settings!$I$52="Yes",Settings!$J$52="No"),$N89,0)+IF(AND(Settings!$I$53="Yes",Settings!$J$53="No"),$O89,0)+IF(AND(Settings!$I$54="Yes",Settings!$J$54="No"),$P89,0)+IF(AND(Settings!$I$55="Yes",Settings!$J$55="No"),$Q89,0)+IF(AND(Settings!$I$56="Yes",Settings!$J$56="No"),$R89,0)</f>
        <v/>
      </c>
      <c r="FH89">
        <f>SUMIFS(Giving!$B$7:$B$2006,Giving!$A$7:$A$2006,"&gt;="&amp;$A89,Giving!$A$7:$A$2006,"&lt;="&amp;$B89,Giving!$G$7:$G$2006,"Yes")+IF(OR(OR(Settings!$B$60="",Settings!$F$60="No"),Settings!$H$60&lt;&gt;"Yes"),0,Settings!$B$60*IF(AND(IF(Settings!$C$60="",$B89,DATE(YEAR($A89),MONTH($A89),MIN(Settings!$C$60,DAY($B89))))&gt;=MAX($A89,Settings!$D$60),IF(Settings!$C$60="",$B89,DATE(YEAR($A89),MONTH($A89),MIN(Settings!$C$60,DAY($B89))))&lt;=MIN($C89,IF(Settings!$E$60="",$C89,Settings!$E$60))),1,0))+IF(OR(OR(Settings!$B$61="",Settings!$F$61="No"),Settings!$H$61&lt;&gt;"Yes"),0,Settings!$B$61*IF(AND(IF(Settings!$C$61="",$B89,DATE(YEAR($A89),MONTH($A89),MIN(Settings!$C$61,DAY($B89))))&gt;=MAX($A89,Settings!$D$61),IF(Settings!$C$61="",$B89,DATE(YEAR($A89),MONTH($A89),MIN(Settings!$C$61,DAY($B89))))&lt;=MIN($C89,IF(Settings!$E$61="",$C89,Settings!$E$61))),1,0))+IF(OR(OR(Settings!$B$62="",Settings!$F$62="No"),Settings!$H$62&lt;&gt;"Yes"),0,Settings!$B$62*IF(AND(IF(Settings!$C$62="",$B89,DATE(YEAR($A89),MONTH($A89),MIN(Settings!$C$62,DAY($B89))))&gt;=MAX($A89,Settings!$D$62),IF(Settings!$C$62="",$B89,DATE(YEAR($A89),MONTH($A89),MIN(Settings!$C$62,DAY($B89))))&lt;=MIN($C89,IF(Settings!$E$62="",$C89,Settings!$E$62))),1,0))+IF(OR(OR(Settings!$B$63="",Settings!$F$63="No"),Settings!$H$63&lt;&gt;"Yes"),0,Settings!$B$63*IF(AND(IF(Settings!$C$63="",$B89,DATE(YEAR($A89),MONTH($A89),MIN(Settings!$C$63,DAY($B89))))&gt;=MAX($A89,Settings!$D$63),IF(Settings!$C$63="",$B89,DATE(YEAR($A89),MONTH($A89),MIN(Settings!$C$63,DAY($B89))))&lt;=MIN($C89,IF(Settings!$E$63="",$C89,Settings!$E$63))),1,0))+IF(OR(OR(Settings!$B$64="",Settings!$F$64="No"),Settings!$H$64&lt;&gt;"Yes"),0,Settings!$B$64*IF(AND(IF(Settings!$C$64="",$B89,DATE(YEAR($A89),MONTH($A89),MIN(Settings!$C$64,DAY($B89))))&gt;=MAX($A89,Settings!$D$64),IF(Settings!$C$64="",$B89,DATE(YEAR($A89),MONTH($A89),MIN(Settings!$C$64,DAY($B89))))&lt;=MIN($C89,IF(Settings!$E$64="",$C89,Settings!$E$64))),1,0))+IF(OR(OR(Settings!$B$65="",Settings!$F$65="No"),Settings!$H$65&lt;&gt;"Yes"),0,Settings!$B$65*IF(AND(IF(Settings!$C$65="",$B89,DATE(YEAR($A89),MONTH($A89),MIN(Settings!$C$65,DAY($B89))))&gt;=MAX($A89,Settings!$D$65),IF(Settings!$C$65="",$B89,DATE(YEAR($A89),MONTH($A89),MIN(Settings!$C$65,DAY($B89))))&lt;=MIN($C89,IF(Settings!$E$65="",$C89,Settings!$E$65))),1,0))</f>
        <v/>
      </c>
      <c r="FI89">
        <f>IF($DT89=1,IF(OR(Settings!$B$19="Card",Settings!$B$19="Loan"),N($AE89),0)+IF(OR(Settings!$B$20="Card",Settings!$B$20="Loan"),N($AF89),0)+IF(OR(Settings!$B$21="Card",Settings!$B$21="Loan"),N($AG89),0)+IF(OR(Settings!$B$22="Card",Settings!$B$22="Loan"),N($AH89),0)+IF(OR(Settings!$B$23="Card",Settings!$B$23="Loan"),N($AI89),0)+IF(OR(Settings!$B$24="Card",Settings!$B$24="Loan"),N($AJ89),0)+IF(OR(Settings!$B$25="Card",Settings!$B$25="Loan"),N($AK89),0)+IF(OR(Settings!$B$26="Card",Settings!$B$26="Loan"),N($AL89),0)+IF(OR(Settings!$B$27="Card",Settings!$B$27="Loan"),N($AM89),0)+IF(OR(Settings!$B$28="Card",Settings!$B$28="Loan"),N($AN89),0)+IF(OR(Settings!$B$29="Card",Settings!$B$29="Loan"),N($AO89),0)+IF(OR(Settings!$B$30="Card",Settings!$B$30="Loan"),N($AP89),0)+IF(OR(Settings!$B$31="Card",Settings!$B$31="Loan"),N($AQ89),0)+IF(OR(Settings!$B$32="Card",Settings!$B$32="Loan"),N($AR89),0),"")</f>
        <v/>
      </c>
      <c r="FJ89">
        <f>IF($E89="open",$EB$65,IF($E89="post",IF($E88="pre",$EB$65,$FI88),""))</f>
        <v/>
      </c>
      <c r="FK89">
        <f>IF(AND($DT89=1,$DC89=1),IF(ROUND($FI89-$FJ89,2)&gt;0,1,0),0)</f>
        <v/>
      </c>
      <c r="FL89">
        <f>IF($FK89=1,$FL88+1,0)</f>
        <v/>
      </c>
    </row>
    <row r="90">
      <c r="A90">
        <f>'Month-End'!$CI$4</f>
        <v/>
      </c>
      <c r="B90">
        <f>EOMONTH($A90,0)</f>
        <v/>
      </c>
      <c r="C90">
        <f>MIN($B90,TODAY())</f>
        <v/>
      </c>
      <c r="D90">
        <f>IF($A90&gt;TODAY(),1,0)</f>
        <v/>
      </c>
      <c r="E90">
        <f>IF($B90&lt;=Settings!$B$5,"pre",IF($A90&lt;=Settings!$B$5,"open","post"))</f>
        <v/>
      </c>
      <c r="G90">
        <f>IF('Month-End'!$CI$22="",$BE90,N('Month-End'!$CI$22))</f>
        <v/>
      </c>
      <c r="H90">
        <f>IF('Month-End'!$CI$23="",$BF90,N('Month-End'!$CI$23))</f>
        <v/>
      </c>
      <c r="I90">
        <f>IF('Month-End'!$CI$24="",$BG90,N('Month-End'!$CI$24))</f>
        <v/>
      </c>
      <c r="J90">
        <f>IF('Month-End'!$CI$25="",$BH90,N('Month-End'!$CI$25))</f>
        <v/>
      </c>
      <c r="K90">
        <f>IF('Month-End'!$CI$26="",$BI90,N('Month-End'!$CI$26))</f>
        <v/>
      </c>
      <c r="L90">
        <f>IF('Month-End'!$CI$27="",$BJ90,N('Month-End'!$CI$27))</f>
        <v/>
      </c>
      <c r="M90">
        <f>IF('Month-End'!$CI$28="",$BK90,N('Month-End'!$CI$28))</f>
        <v/>
      </c>
      <c r="N90">
        <f>IF('Month-End'!$CI$29="",$BL90,N('Month-End'!$CI$29))</f>
        <v/>
      </c>
      <c r="O90">
        <f>IF('Month-End'!$CI$30="",$BM90,N('Month-End'!$CI$30))</f>
        <v/>
      </c>
      <c r="P90">
        <f>IF('Month-End'!$CI$31="",$BN90,N('Month-End'!$CI$31))</f>
        <v/>
      </c>
      <c r="Q90">
        <f>IF('Month-End'!$CI$32="",$BO90,N('Month-End'!$CI$32))</f>
        <v/>
      </c>
      <c r="R90">
        <f>IF('Month-End'!$CI$33="",$BP90,N('Month-End'!$CI$33))</f>
        <v/>
      </c>
      <c r="S90">
        <f>$G90+$H90+$I90+$J90+$K90+$L90+$M90+$N90+$O90+$P90+$Q90+$R90</f>
        <v/>
      </c>
      <c r="T90">
        <f>IF($B90&lt;Settings!$B$6,0,IF(Settings!$B$45="Yes",$G90,0)+IF(Settings!$B$46="Yes",$H90,0)+IF(Settings!$B$47="Yes",$I90,0)+IF(Settings!$B$48="Yes",$J90,0)+IF(Settings!$B$49="Yes",$K90,0)+IF(Settings!$B$50="Yes",$L90,0)+IF(Settings!$B$51="Yes",$M90,0)+IF(Settings!$B$52="Yes",$N90,0)+IF(Settings!$B$53="Yes",$O90,0)+IF(Settings!$B$54="Yes",$P90,0)+IF(Settings!$B$55="Yes",$Q90,0)+IF(Settings!$B$56="Yes",$R90,0))</f>
        <v/>
      </c>
      <c r="U90">
        <f>IF(Settings!$B$45="Not Sure",$G90,0)+IF(Settings!$B$46="Not Sure",$H90,0)+IF(Settings!$B$47="Not Sure",$I90,0)+IF(Settings!$B$48="Not Sure",$J90,0)+IF(Settings!$B$49="Not Sure",$K90,0)+IF(Settings!$B$50="Not Sure",$L90,0)+IF(Settings!$B$51="Not Sure",$M90,0)+IF(Settings!$B$52="Not Sure",$N90,0)+IF(Settings!$B$53="Not Sure",$O90,0)+IF(Settings!$B$54="Not Sure",$P90,0)+IF(Settings!$B$55="Not Sure",$Q90,0)+IF(Settings!$B$56="Not Sure",$R90,0)</f>
        <v/>
      </c>
      <c r="V90">
        <f>IF($E90="open",SUM($ET90:$FE90)+N(Settings!$B$13),0)</f>
        <v/>
      </c>
      <c r="W90">
        <f>IF($E90="post",$S90,IF($E90="open",$S90-$V90,0))</f>
        <v/>
      </c>
      <c r="X90">
        <f>SUMIFS(Giving!$B$7:$B$2006,Giving!$A$7:$A$2006,"&gt;="&amp;$A90,Giving!$A$7:$A$2006,"&lt;="&amp;$B90,Giving!$E$7:$E$2006,"&lt;&gt;No")</f>
        <v/>
      </c>
      <c r="Y90">
        <f>SUMIFS(Giving!$B$7:$B$2006,Giving!$A$7:$A$2006,"&gt;="&amp;$A90,Giving!$A$7:$A$2006,"&lt;="&amp;$B90,Giving!$E$7:$E$2006,"No")</f>
        <v/>
      </c>
      <c r="Z90">
        <f>IF(OR(Settings!$B$60="",Settings!$F$60="No"),0,Settings!$B$60*IF(AND(IF(Settings!$C$60="",$B90,DATE(YEAR($A90),MONTH($A90),MIN(Settings!$C$60,DAY($B90))))&gt;=MAX($A90,Settings!$D$60),IF(Settings!$C$60="",$B90,DATE(YEAR($A90),MONTH($A90),MIN(Settings!$C$60,DAY($B90))))&lt;=MIN($C90,IF(Settings!$E$60="",$C90,Settings!$E$60))),1,0))+IF(OR(Settings!$B$61="",Settings!$F$61="No"),0,Settings!$B$61*IF(AND(IF(Settings!$C$61="",$B90,DATE(YEAR($A90),MONTH($A90),MIN(Settings!$C$61,DAY($B90))))&gt;=MAX($A90,Settings!$D$61),IF(Settings!$C$61="",$B90,DATE(YEAR($A90),MONTH($A90),MIN(Settings!$C$61,DAY($B90))))&lt;=MIN($C90,IF(Settings!$E$61="",$C90,Settings!$E$61))),1,0))+IF(OR(Settings!$B$62="",Settings!$F$62="No"),0,Settings!$B$62*IF(AND(IF(Settings!$C$62="",$B90,DATE(YEAR($A90),MONTH($A90),MIN(Settings!$C$62,DAY($B90))))&gt;=MAX($A90,Settings!$D$62),IF(Settings!$C$62="",$B90,DATE(YEAR($A90),MONTH($A90),MIN(Settings!$C$62,DAY($B90))))&lt;=MIN($C90,IF(Settings!$E$62="",$C90,Settings!$E$62))),1,0))+IF(OR(Settings!$B$63="",Settings!$F$63="No"),0,Settings!$B$63*IF(AND(IF(Settings!$C$63="",$B90,DATE(YEAR($A90),MONTH($A90),MIN(Settings!$C$63,DAY($B90))))&gt;=MAX($A90,Settings!$D$63),IF(Settings!$C$63="",$B90,DATE(YEAR($A90),MONTH($A90),MIN(Settings!$C$63,DAY($B90))))&lt;=MIN($C90,IF(Settings!$E$63="",$C90,Settings!$E$63))),1,0))+IF(OR(Settings!$B$64="",Settings!$F$64="No"),0,Settings!$B$64*IF(AND(IF(Settings!$C$64="",$B90,DATE(YEAR($A90),MONTH($A90),MIN(Settings!$C$64,DAY($B90))))&gt;=MAX($A90,Settings!$D$64),IF(Settings!$C$64="",$B90,DATE(YEAR($A90),MONTH($A90),MIN(Settings!$C$64,DAY($B90))))&lt;=MIN($C90,IF(Settings!$E$64="",$C90,Settings!$E$64))),1,0))+IF(OR(Settings!$B$65="",Settings!$F$65="No"),0,Settings!$B$65*IF(AND(IF(Settings!$C$65="",$B90,DATE(YEAR($A90),MONTH($A90),MIN(Settings!$C$65,DAY($B90))))&gt;=MAX($A90,Settings!$D$65),IF(Settings!$C$65="",$B90,DATE(YEAR($A90),MONTH($A90),MIN(Settings!$C$65,DAY($B90))))&lt;=MIN($C90,IF(Settings!$E$65="",$C90,Settings!$E$65))),1,0))</f>
        <v/>
      </c>
      <c r="AA90">
        <f>$X90+$Z90</f>
        <v/>
      </c>
      <c r="AB90">
        <f>IF($E90="post",$AA90,IF($E90="open",SUMIFS(Giving!$B$7:$B$2006,Giving!$A$7:$A$2006,"&gt;"&amp;Settings!$B$5,Giving!$A$7:$A$2006,"&lt;="&amp;$B90,Giving!$E$7:$E$2006,"&lt;&gt;No")+IF(OR(Settings!$B$60="",Settings!$F$60="No"),0,Settings!$B$60*IF(AND(IF(Settings!$C$60="",$B90,DATE(YEAR($A90),MONTH($A90),MIN(Settings!$C$60,DAY($B90))))&gt;=MAX($A90,Settings!$D$60,Settings!$B$5+1),IF(Settings!$C$60="",$B90,DATE(YEAR($A90),MONTH($A90),MIN(Settings!$C$60,DAY($B90))))&lt;=MIN($C90,IF(Settings!$E$60="",$C90,Settings!$E$60))),1,0))+IF(OR(Settings!$B$61="",Settings!$F$61="No"),0,Settings!$B$61*IF(AND(IF(Settings!$C$61="",$B90,DATE(YEAR($A90),MONTH($A90),MIN(Settings!$C$61,DAY($B90))))&gt;=MAX($A90,Settings!$D$61,Settings!$B$5+1),IF(Settings!$C$61="",$B90,DATE(YEAR($A90),MONTH($A90),MIN(Settings!$C$61,DAY($B90))))&lt;=MIN($C90,IF(Settings!$E$61="",$C90,Settings!$E$61))),1,0))+IF(OR(Settings!$B$62="",Settings!$F$62="No"),0,Settings!$B$62*IF(AND(IF(Settings!$C$62="",$B90,DATE(YEAR($A90),MONTH($A90),MIN(Settings!$C$62,DAY($B90))))&gt;=MAX($A90,Settings!$D$62,Settings!$B$5+1),IF(Settings!$C$62="",$B90,DATE(YEAR($A90),MONTH($A90),MIN(Settings!$C$62,DAY($B90))))&lt;=MIN($C90,IF(Settings!$E$62="",$C90,Settings!$E$62))),1,0))+IF(OR(Settings!$B$63="",Settings!$F$63="No"),0,Settings!$B$63*IF(AND(IF(Settings!$C$63="",$B90,DATE(YEAR($A90),MONTH($A90),MIN(Settings!$C$63,DAY($B90))))&gt;=MAX($A90,Settings!$D$63,Settings!$B$5+1),IF(Settings!$C$63="",$B90,DATE(YEAR($A90),MONTH($A90),MIN(Settings!$C$63,DAY($B90))))&lt;=MIN($C90,IF(Settings!$E$63="",$C90,Settings!$E$63))),1,0))+IF(OR(Settings!$B$64="",Settings!$F$64="No"),0,Settings!$B$64*IF(AND(IF(Settings!$C$64="",$B90,DATE(YEAR($A90),MONTH($A90),MIN(Settings!$C$64,DAY($B90))))&gt;=MAX($A90,Settings!$D$64,Settings!$B$5+1),IF(Settings!$C$64="",$B90,DATE(YEAR($A90),MONTH($A90),MIN(Settings!$C$64,DAY($B90))))&lt;=MIN($C90,IF(Settings!$E$64="",$C90,Settings!$E$64))),1,0))+IF(OR(Settings!$B$65="",Settings!$F$65="No"),0,Settings!$B$65*IF(AND(IF(Settings!$C$65="",$B90,DATE(YEAR($A90),MONTH($A90),MIN(Settings!$C$65,DAY($B90))))&gt;=MAX($A90,Settings!$D$65,Settings!$B$5+1),IF(Settings!$C$65="",$B90,DATE(YEAR($A90),MONTH($A90),MIN(Settings!$C$65,DAY($B90))))&lt;=MIN($C90,IF(Settings!$E$65="",$C90,Settings!$E$65))),1,0)),0))</f>
        <v/>
      </c>
      <c r="AC90">
        <f>$AY90+$AZ90+$BA90+$BB90+$BC90+$BD90</f>
        <v/>
      </c>
      <c r="AD90">
        <f>$AC90</f>
        <v/>
      </c>
      <c r="AE90">
        <f>IF(OR(Settings!$A$19="",$E90="pre"),"",IF(AND('Month-End'!$CI$7&lt;&gt;"",NOT(_xlfn.ISFORMULA('Month-End'!$CI$7))),N('Month-End'!$CI$7),IF(OR($E90="open",$E89="pre"),N(Settings!$C$19),N($AE89))))</f>
        <v/>
      </c>
      <c r="AF90">
        <f>IF(OR(Settings!$A$20="",$E90="pre"),"",IF(AND('Month-End'!$CI$8&lt;&gt;"",NOT(_xlfn.ISFORMULA('Month-End'!$CI$8))),N('Month-End'!$CI$8),IF(OR($E90="open",$E89="pre"),N(Settings!$C$20),N($AF89))))</f>
        <v/>
      </c>
      <c r="AG90">
        <f>IF(OR(Settings!$A$21="",$E90="pre"),"",IF(AND('Month-End'!$CI$9&lt;&gt;"",NOT(_xlfn.ISFORMULA('Month-End'!$CI$9))),N('Month-End'!$CI$9),IF(OR($E90="open",$E89="pre"),N(Settings!$C$21),N($AG89))))</f>
        <v/>
      </c>
      <c r="AH90">
        <f>IF(OR(Settings!$A$22="",$E90="pre"),"",IF(AND('Month-End'!$CI$10&lt;&gt;"",NOT(_xlfn.ISFORMULA('Month-End'!$CI$10))),N('Month-End'!$CI$10),IF(OR($E90="open",$E89="pre"),N(Settings!$C$22),N($AH89))))</f>
        <v/>
      </c>
      <c r="AI90">
        <f>IF(OR(Settings!$A$23="",$E90="pre"),"",IF(AND('Month-End'!$CI$11&lt;&gt;"",NOT(_xlfn.ISFORMULA('Month-End'!$CI$11))),N('Month-End'!$CI$11),IF(OR($E90="open",$E89="pre"),N(Settings!$C$23),N($AI89))))</f>
        <v/>
      </c>
      <c r="AJ90">
        <f>IF(OR(Settings!$A$24="",$E90="pre"),"",IF(AND('Month-End'!$CI$12&lt;&gt;"",NOT(_xlfn.ISFORMULA('Month-End'!$CI$12))),N('Month-End'!$CI$12),IF(OR($E90="open",$E89="pre"),N(Settings!$C$24),N($AJ89))))</f>
        <v/>
      </c>
      <c r="AK90">
        <f>IF(OR(Settings!$A$25="",$E90="pre"),"",IF(AND('Month-End'!$CI$13&lt;&gt;"",NOT(_xlfn.ISFORMULA('Month-End'!$CI$13))),N('Month-End'!$CI$13),IF(OR($E90="open",$E89="pre"),N(Settings!$C$25),N($AK89))))</f>
        <v/>
      </c>
      <c r="AL90">
        <f>IF(OR(Settings!$A$26="",$E90="pre"),"",IF(AND('Month-End'!$CI$14&lt;&gt;"",NOT(_xlfn.ISFORMULA('Month-End'!$CI$14))),N('Month-End'!$CI$14),IF(OR($E90="open",$E89="pre"),N(Settings!$C$26),N($AL89))))</f>
        <v/>
      </c>
      <c r="AM90">
        <f>IF(OR(Settings!$A$27="",$E90="pre"),"",IF(AND('Month-End'!$CI$15&lt;&gt;"",NOT(_xlfn.ISFORMULA('Month-End'!$CI$15))),N('Month-End'!$CI$15),IF(OR($E90="open",$E89="pre"),N(Settings!$C$27),N($AM89))))</f>
        <v/>
      </c>
      <c r="AN90">
        <f>IF(OR(Settings!$A$28="",$E90="pre"),"",IF(AND('Month-End'!$CI$16&lt;&gt;"",NOT(_xlfn.ISFORMULA('Month-End'!$CI$16))),N('Month-End'!$CI$16),IF(OR($E90="open",$E89="pre"),N(Settings!$C$28),N($AN89))))</f>
        <v/>
      </c>
      <c r="AO90">
        <f>IF(OR(Settings!$A$29="",$E90="pre"),"",IF(AND('Month-End'!$CI$17&lt;&gt;"",NOT(_xlfn.ISFORMULA('Month-End'!$CI$17))),N('Month-End'!$CI$17),IF(OR($E90="open",$E89="pre"),N(Settings!$C$29),N($AO89))))</f>
        <v/>
      </c>
      <c r="AP90">
        <f>IF(OR(Settings!$A$30="",$E90="pre"),"",IF(AND('Month-End'!$CI$18&lt;&gt;"",NOT(_xlfn.ISFORMULA('Month-End'!$CI$18))),N('Month-End'!$CI$18),IF(OR($E90="open",$E89="pre"),N(Settings!$C$30),N($AP89))))</f>
        <v/>
      </c>
      <c r="AQ90">
        <f>IF(OR(Settings!$A$31="",$E90="pre"),"",IF(AND('Month-End'!$CI$19&lt;&gt;"",NOT(_xlfn.ISFORMULA('Month-End'!$CI$19))),N('Month-End'!$CI$19),IF(OR($E90="open",$E89="pre"),N(Settings!$C$31),N($AQ89))))</f>
        <v/>
      </c>
      <c r="AR90">
        <f>IF(OR(Settings!$A$32="",$E90="pre"),"",IF(AND('Month-End'!$CI$20&lt;&gt;"",NOT(_xlfn.ISFORMULA('Month-End'!$CI$20))),N('Month-End'!$CI$20),IF(OR($E90="open",$E89="pre"),N(Settings!$C$32),N($AR89))))</f>
        <v/>
      </c>
      <c r="AS90">
        <f>IF(OR(Settings!$A$36="",$E90="pre"),"",IF(AND('Month-End'!$CI$38&lt;&gt;"",NOT(_xlfn.ISFORMULA('Month-End'!$CI$38))),N('Month-End'!$CI$38),IF(OR($E90="open",$E89="pre"),N(Settings!$C$36),N($AS89))+$AY90))</f>
        <v/>
      </c>
      <c r="AT90">
        <f>IF(OR(Settings!$A$37="",$E90="pre"),"",IF(AND('Month-End'!$CI$39&lt;&gt;"",NOT(_xlfn.ISFORMULA('Month-End'!$CI$39))),N('Month-End'!$CI$39),IF(OR($E90="open",$E89="pre"),N(Settings!$C$37),N($AT89))+$AZ90))</f>
        <v/>
      </c>
      <c r="AU90">
        <f>IF(OR(Settings!$A$38="",$E90="pre"),"",IF(AND('Month-End'!$CI$40&lt;&gt;"",NOT(_xlfn.ISFORMULA('Month-End'!$CI$40))),N('Month-End'!$CI$40),IF(OR($E90="open",$E89="pre"),N(Settings!$C$38),N($AU89))+$BA90))</f>
        <v/>
      </c>
      <c r="AV90">
        <f>IF(OR(Settings!$A$39="",$E90="pre"),"",IF(AND('Month-End'!$CI$41&lt;&gt;"",NOT(_xlfn.ISFORMULA('Month-End'!$CI$41))),N('Month-End'!$CI$41),IF(OR($E90="open",$E89="pre"),N(Settings!$C$39),N($AV89))+$BB90))</f>
        <v/>
      </c>
      <c r="AW90">
        <f>IF(OR(Settings!$A$40="",$E90="pre"),"",IF(AND('Month-End'!$CI$42&lt;&gt;"",NOT(_xlfn.ISFORMULA('Month-End'!$CI$42))),N('Month-End'!$CI$42),IF(OR($E90="open",$E89="pre"),N(Settings!$C$40),N($AW89))+$BC90))</f>
        <v/>
      </c>
      <c r="AX90">
        <f>IF(OR(Settings!$A$41="",$E90="pre"),"",IF(AND('Month-End'!$CI$43&lt;&gt;"",NOT(_xlfn.ISFORMULA('Month-End'!$CI$43))),N('Month-End'!$CI$43),IF(OR($E90="open",$E89="pre"),N(Settings!$C$41),N($AX89))+$BD90))</f>
        <v/>
      </c>
      <c r="AY90">
        <f>IF($E90="pre",0,N('Month-End'!$CI$45))</f>
        <v/>
      </c>
      <c r="AZ90">
        <f>IF($E90="pre",0,N('Month-End'!$CI$46))</f>
        <v/>
      </c>
      <c r="BA90">
        <f>IF($E90="pre",0,N('Month-End'!$CI$47))</f>
        <v/>
      </c>
      <c r="BB90">
        <f>IF($E90="pre",0,N('Month-End'!$CI$48))</f>
        <v/>
      </c>
      <c r="BC90">
        <f>IF($E90="pre",0,N('Month-End'!$CI$49))</f>
        <v/>
      </c>
      <c r="BD90">
        <f>IF($E90="pre",0,N('Month-End'!$CI$50))</f>
        <v/>
      </c>
      <c r="BE90">
        <f>IF(OR(Settings!$C$45="",Settings!$D$45=""),0,Settings!$C$45*IF(Settings!$D$45="Weekly",IF(IFERROR(MATCH(Settings!$E$45,$EO$4:$EO$10,0),0)=0,0,IF(MIN($C90,IF(Settings!$G$45="",$C90,Settings!$G$45))&lt;MAX($A90,Settings!$F$45),0,INT((MIN($C90,IF(Settings!$G$45="",$C90,Settings!$G$45))-MAX($A90,Settings!$F$45)-MOD(IFERROR(MATCH(Settings!$E$45,$EO$4:$EO$10,0),0)-WEEKDAY(MAX($A90,Settings!$F$45)),7))/7)+1)),IF(AND(IF(Settings!$E$45="",$B90,DATE(YEAR($A90),MONTH($A90),MIN(Settings!$E$45,DAY($B90))))&gt;=MAX($A90,Settings!$F$45),IF(Settings!$E$45="",$B90,DATE(YEAR($A90),MONTH($A90),MIN(Settings!$E$45,DAY($B90))))&lt;=MIN($C90,IF(Settings!$G$45="",$C90,Settings!$G$45))),1,0)))</f>
        <v/>
      </c>
      <c r="BF90">
        <f>IF(OR(Settings!$C$46="",Settings!$D$46=""),0,Settings!$C$46*IF(Settings!$D$46="Weekly",IF(IFERROR(MATCH(Settings!$E$46,$EO$4:$EO$10,0),0)=0,0,IF(MIN($C90,IF(Settings!$G$46="",$C90,Settings!$G$46))&lt;MAX($A90,Settings!$F$46),0,INT((MIN($C90,IF(Settings!$G$46="",$C90,Settings!$G$46))-MAX($A90,Settings!$F$46)-MOD(IFERROR(MATCH(Settings!$E$46,$EO$4:$EO$10,0),0)-WEEKDAY(MAX($A90,Settings!$F$46)),7))/7)+1)),IF(AND(IF(Settings!$E$46="",$B90,DATE(YEAR($A90),MONTH($A90),MIN(Settings!$E$46,DAY($B90))))&gt;=MAX($A90,Settings!$F$46),IF(Settings!$E$46="",$B90,DATE(YEAR($A90),MONTH($A90),MIN(Settings!$E$46,DAY($B90))))&lt;=MIN($C90,IF(Settings!$G$46="",$C90,Settings!$G$46))),1,0)))</f>
        <v/>
      </c>
      <c r="BG90">
        <f>IF(OR(Settings!$C$47="",Settings!$D$47=""),0,Settings!$C$47*IF(Settings!$D$47="Weekly",IF(IFERROR(MATCH(Settings!$E$47,$EO$4:$EO$10,0),0)=0,0,IF(MIN($C90,IF(Settings!$G$47="",$C90,Settings!$G$47))&lt;MAX($A90,Settings!$F$47),0,INT((MIN($C90,IF(Settings!$G$47="",$C90,Settings!$G$47))-MAX($A90,Settings!$F$47)-MOD(IFERROR(MATCH(Settings!$E$47,$EO$4:$EO$10,0),0)-WEEKDAY(MAX($A90,Settings!$F$47)),7))/7)+1)),IF(AND(IF(Settings!$E$47="",$B90,DATE(YEAR($A90),MONTH($A90),MIN(Settings!$E$47,DAY($B90))))&gt;=MAX($A90,Settings!$F$47),IF(Settings!$E$47="",$B90,DATE(YEAR($A90),MONTH($A90),MIN(Settings!$E$47,DAY($B90))))&lt;=MIN($C90,IF(Settings!$G$47="",$C90,Settings!$G$47))),1,0)))</f>
        <v/>
      </c>
      <c r="BH90">
        <f>IF(OR(Settings!$C$48="",Settings!$D$48=""),0,Settings!$C$48*IF(Settings!$D$48="Weekly",IF(IFERROR(MATCH(Settings!$E$48,$EO$4:$EO$10,0),0)=0,0,IF(MIN($C90,IF(Settings!$G$48="",$C90,Settings!$G$48))&lt;MAX($A90,Settings!$F$48),0,INT((MIN($C90,IF(Settings!$G$48="",$C90,Settings!$G$48))-MAX($A90,Settings!$F$48)-MOD(IFERROR(MATCH(Settings!$E$48,$EO$4:$EO$10,0),0)-WEEKDAY(MAX($A90,Settings!$F$48)),7))/7)+1)),IF(AND(IF(Settings!$E$48="",$B90,DATE(YEAR($A90),MONTH($A90),MIN(Settings!$E$48,DAY($B90))))&gt;=MAX($A90,Settings!$F$48),IF(Settings!$E$48="",$B90,DATE(YEAR($A90),MONTH($A90),MIN(Settings!$E$48,DAY($B90))))&lt;=MIN($C90,IF(Settings!$G$48="",$C90,Settings!$G$48))),1,0)))</f>
        <v/>
      </c>
      <c r="BI90">
        <f>IF(OR(Settings!$C$49="",Settings!$D$49=""),0,Settings!$C$49*IF(Settings!$D$49="Weekly",IF(IFERROR(MATCH(Settings!$E$49,$EO$4:$EO$10,0),0)=0,0,IF(MIN($C90,IF(Settings!$G$49="",$C90,Settings!$G$49))&lt;MAX($A90,Settings!$F$49),0,INT((MIN($C90,IF(Settings!$G$49="",$C90,Settings!$G$49))-MAX($A90,Settings!$F$49)-MOD(IFERROR(MATCH(Settings!$E$49,$EO$4:$EO$10,0),0)-WEEKDAY(MAX($A90,Settings!$F$49)),7))/7)+1)),IF(AND(IF(Settings!$E$49="",$B90,DATE(YEAR($A90),MONTH($A90),MIN(Settings!$E$49,DAY($B90))))&gt;=MAX($A90,Settings!$F$49),IF(Settings!$E$49="",$B90,DATE(YEAR($A90),MONTH($A90),MIN(Settings!$E$49,DAY($B90))))&lt;=MIN($C90,IF(Settings!$G$49="",$C90,Settings!$G$49))),1,0)))</f>
        <v/>
      </c>
      <c r="BJ90">
        <f>IF(OR(Settings!$C$50="",Settings!$D$50=""),0,Settings!$C$50*IF(Settings!$D$50="Weekly",IF(IFERROR(MATCH(Settings!$E$50,$EO$4:$EO$10,0),0)=0,0,IF(MIN($C90,IF(Settings!$G$50="",$C90,Settings!$G$50))&lt;MAX($A90,Settings!$F$50),0,INT((MIN($C90,IF(Settings!$G$50="",$C90,Settings!$G$50))-MAX($A90,Settings!$F$50)-MOD(IFERROR(MATCH(Settings!$E$50,$EO$4:$EO$10,0),0)-WEEKDAY(MAX($A90,Settings!$F$50)),7))/7)+1)),IF(AND(IF(Settings!$E$50="",$B90,DATE(YEAR($A90),MONTH($A90),MIN(Settings!$E$50,DAY($B90))))&gt;=MAX($A90,Settings!$F$50),IF(Settings!$E$50="",$B90,DATE(YEAR($A90),MONTH($A90),MIN(Settings!$E$50,DAY($B90))))&lt;=MIN($C90,IF(Settings!$G$50="",$C90,Settings!$G$50))),1,0)))</f>
        <v/>
      </c>
      <c r="BK90">
        <f>IF(OR(Settings!$C$51="",Settings!$D$51=""),0,Settings!$C$51*IF(Settings!$D$51="Weekly",IF(IFERROR(MATCH(Settings!$E$51,$EO$4:$EO$10,0),0)=0,0,IF(MIN($C90,IF(Settings!$G$51="",$C90,Settings!$G$51))&lt;MAX($A90,Settings!$F$51),0,INT((MIN($C90,IF(Settings!$G$51="",$C90,Settings!$G$51))-MAX($A90,Settings!$F$51)-MOD(IFERROR(MATCH(Settings!$E$51,$EO$4:$EO$10,0),0)-WEEKDAY(MAX($A90,Settings!$F$51)),7))/7)+1)),IF(AND(IF(Settings!$E$51="",$B90,DATE(YEAR($A90),MONTH($A90),MIN(Settings!$E$51,DAY($B90))))&gt;=MAX($A90,Settings!$F$51),IF(Settings!$E$51="",$B90,DATE(YEAR($A90),MONTH($A90),MIN(Settings!$E$51,DAY($B90))))&lt;=MIN($C90,IF(Settings!$G$51="",$C90,Settings!$G$51))),1,0)))</f>
        <v/>
      </c>
      <c r="BL90">
        <f>IF(OR(Settings!$C$52="",Settings!$D$52=""),0,Settings!$C$52*IF(Settings!$D$52="Weekly",IF(IFERROR(MATCH(Settings!$E$52,$EO$4:$EO$10,0),0)=0,0,IF(MIN($C90,IF(Settings!$G$52="",$C90,Settings!$G$52))&lt;MAX($A90,Settings!$F$52),0,INT((MIN($C90,IF(Settings!$G$52="",$C90,Settings!$G$52))-MAX($A90,Settings!$F$52)-MOD(IFERROR(MATCH(Settings!$E$52,$EO$4:$EO$10,0),0)-WEEKDAY(MAX($A90,Settings!$F$52)),7))/7)+1)),IF(AND(IF(Settings!$E$52="",$B90,DATE(YEAR($A90),MONTH($A90),MIN(Settings!$E$52,DAY($B90))))&gt;=MAX($A90,Settings!$F$52),IF(Settings!$E$52="",$B90,DATE(YEAR($A90),MONTH($A90),MIN(Settings!$E$52,DAY($B90))))&lt;=MIN($C90,IF(Settings!$G$52="",$C90,Settings!$G$52))),1,0)))</f>
        <v/>
      </c>
      <c r="BM90">
        <f>IF(OR(Settings!$C$53="",Settings!$D$53=""),0,Settings!$C$53*IF(Settings!$D$53="Weekly",IF(IFERROR(MATCH(Settings!$E$53,$EO$4:$EO$10,0),0)=0,0,IF(MIN($C90,IF(Settings!$G$53="",$C90,Settings!$G$53))&lt;MAX($A90,Settings!$F$53),0,INT((MIN($C90,IF(Settings!$G$53="",$C90,Settings!$G$53))-MAX($A90,Settings!$F$53)-MOD(IFERROR(MATCH(Settings!$E$53,$EO$4:$EO$10,0),0)-WEEKDAY(MAX($A90,Settings!$F$53)),7))/7)+1)),IF(AND(IF(Settings!$E$53="",$B90,DATE(YEAR($A90),MONTH($A90),MIN(Settings!$E$53,DAY($B90))))&gt;=MAX($A90,Settings!$F$53),IF(Settings!$E$53="",$B90,DATE(YEAR($A90),MONTH($A90),MIN(Settings!$E$53,DAY($B90))))&lt;=MIN($C90,IF(Settings!$G$53="",$C90,Settings!$G$53))),1,0)))</f>
        <v/>
      </c>
      <c r="BN90">
        <f>IF(OR(Settings!$C$54="",Settings!$D$54=""),0,Settings!$C$54*IF(Settings!$D$54="Weekly",IF(IFERROR(MATCH(Settings!$E$54,$EO$4:$EO$10,0),0)=0,0,IF(MIN($C90,IF(Settings!$G$54="",$C90,Settings!$G$54))&lt;MAX($A90,Settings!$F$54),0,INT((MIN($C90,IF(Settings!$G$54="",$C90,Settings!$G$54))-MAX($A90,Settings!$F$54)-MOD(IFERROR(MATCH(Settings!$E$54,$EO$4:$EO$10,0),0)-WEEKDAY(MAX($A90,Settings!$F$54)),7))/7)+1)),IF(AND(IF(Settings!$E$54="",$B90,DATE(YEAR($A90),MONTH($A90),MIN(Settings!$E$54,DAY($B90))))&gt;=MAX($A90,Settings!$F$54),IF(Settings!$E$54="",$B90,DATE(YEAR($A90),MONTH($A90),MIN(Settings!$E$54,DAY($B90))))&lt;=MIN($C90,IF(Settings!$G$54="",$C90,Settings!$G$54))),1,0)))</f>
        <v/>
      </c>
      <c r="BO90">
        <f>IF(OR(Settings!$C$55="",Settings!$D$55=""),0,Settings!$C$55*IF(Settings!$D$55="Weekly",IF(IFERROR(MATCH(Settings!$E$55,$EO$4:$EO$10,0),0)=0,0,IF(MIN($C90,IF(Settings!$G$55="",$C90,Settings!$G$55))&lt;MAX($A90,Settings!$F$55),0,INT((MIN($C90,IF(Settings!$G$55="",$C90,Settings!$G$55))-MAX($A90,Settings!$F$55)-MOD(IFERROR(MATCH(Settings!$E$55,$EO$4:$EO$10,0),0)-WEEKDAY(MAX($A90,Settings!$F$55)),7))/7)+1)),IF(AND(IF(Settings!$E$55="",$B90,DATE(YEAR($A90),MONTH($A90),MIN(Settings!$E$55,DAY($B90))))&gt;=MAX($A90,Settings!$F$55),IF(Settings!$E$55="",$B90,DATE(YEAR($A90),MONTH($A90),MIN(Settings!$E$55,DAY($B90))))&lt;=MIN($C90,IF(Settings!$G$55="",$C90,Settings!$G$55))),1,0)))</f>
        <v/>
      </c>
      <c r="BP90">
        <f>IF(OR(Settings!$C$56="",Settings!$D$56=""),0,Settings!$C$56*IF(Settings!$D$56="Weekly",IF(IFERROR(MATCH(Settings!$E$56,$EO$4:$EO$10,0),0)=0,0,IF(MIN($C90,IF(Settings!$G$56="",$C90,Settings!$G$56))&lt;MAX($A90,Settings!$F$56),0,INT((MIN($C90,IF(Settings!$G$56="",$C90,Settings!$G$56))-MAX($A90,Settings!$F$56)-MOD(IFERROR(MATCH(Settings!$E$56,$EO$4:$EO$10,0),0)-WEEKDAY(MAX($A90,Settings!$F$56)),7))/7)+1)),IF(AND(IF(Settings!$E$56="",$B90,DATE(YEAR($A90),MONTH($A90),MIN(Settings!$E$56,DAY($B90))))&gt;=MAX($A90,Settings!$F$56),IF(Settings!$E$56="",$B90,DATE(YEAR($A90),MONTH($A90),MIN(Settings!$E$56,DAY($B90))))&lt;=MIN($C90,IF(Settings!$G$56="",$C90,Settings!$G$56))),1,0)))</f>
        <v/>
      </c>
      <c r="BQ90">
        <f>IF(OR(Settings!$B$14="",$D90=1,$E90="pre",$A90&lt;IF(Settings!$B$15="",0,Settings!$B$15)),0,Settings!$B$14)</f>
        <v/>
      </c>
      <c r="BR90">
        <f>IF(AND('Month-End'!$CI$7&lt;&gt;"",NOT(_xlfn.ISFORMULA('Month-End'!$CI$7))),1,0)</f>
        <v/>
      </c>
      <c r="BS90">
        <f>IF(AND('Month-End'!$CI$8&lt;&gt;"",NOT(_xlfn.ISFORMULA('Month-End'!$CI$8))),1,0)</f>
        <v/>
      </c>
      <c r="BT90">
        <f>IF(AND('Month-End'!$CI$9&lt;&gt;"",NOT(_xlfn.ISFORMULA('Month-End'!$CI$9))),1,0)</f>
        <v/>
      </c>
      <c r="BU90">
        <f>IF(AND('Month-End'!$CI$10&lt;&gt;"",NOT(_xlfn.ISFORMULA('Month-End'!$CI$10))),1,0)</f>
        <v/>
      </c>
      <c r="BV90">
        <f>IF(AND('Month-End'!$CI$11&lt;&gt;"",NOT(_xlfn.ISFORMULA('Month-End'!$CI$11))),1,0)</f>
        <v/>
      </c>
      <c r="BW90">
        <f>IF(AND('Month-End'!$CI$12&lt;&gt;"",NOT(_xlfn.ISFORMULA('Month-End'!$CI$12))),1,0)</f>
        <v/>
      </c>
      <c r="BX90">
        <f>IF(AND('Month-End'!$CI$13&lt;&gt;"",NOT(_xlfn.ISFORMULA('Month-End'!$CI$13))),1,0)</f>
        <v/>
      </c>
      <c r="BY90">
        <f>IF(AND('Month-End'!$CI$14&lt;&gt;"",NOT(_xlfn.ISFORMULA('Month-End'!$CI$14))),1,0)</f>
        <v/>
      </c>
      <c r="BZ90">
        <f>IF(AND('Month-End'!$CI$15&lt;&gt;"",NOT(_xlfn.ISFORMULA('Month-End'!$CI$15))),1,0)</f>
        <v/>
      </c>
      <c r="CA90">
        <f>IF(AND('Month-End'!$CI$16&lt;&gt;"",NOT(_xlfn.ISFORMULA('Month-End'!$CI$16))),1,0)</f>
        <v/>
      </c>
      <c r="CB90">
        <f>IF(AND('Month-End'!$CI$17&lt;&gt;"",NOT(_xlfn.ISFORMULA('Month-End'!$CI$17))),1,0)</f>
        <v/>
      </c>
      <c r="CC90">
        <f>IF(AND('Month-End'!$CI$18&lt;&gt;"",NOT(_xlfn.ISFORMULA('Month-End'!$CI$18))),1,0)</f>
        <v/>
      </c>
      <c r="CD90">
        <f>IF(AND('Month-End'!$CI$19&lt;&gt;"",NOT(_xlfn.ISFORMULA('Month-End'!$CI$19))),1,0)</f>
        <v/>
      </c>
      <c r="CE90">
        <f>IF(AND('Month-End'!$CI$20&lt;&gt;"",NOT(_xlfn.ISFORMULA('Month-End'!$CI$20))),1,0)</f>
        <v/>
      </c>
      <c r="CF90">
        <f>IF(AND('Month-End'!$CI$38&lt;&gt;"",NOT(_xlfn.ISFORMULA('Month-End'!$CI$38))),1,0)</f>
        <v/>
      </c>
      <c r="CG90">
        <f>IF(AND('Month-End'!$CI$39&lt;&gt;"",NOT(_xlfn.ISFORMULA('Month-End'!$CI$39))),1,0)</f>
        <v/>
      </c>
      <c r="CH90">
        <f>IF(AND('Month-End'!$CI$40&lt;&gt;"",NOT(_xlfn.ISFORMULA('Month-End'!$CI$40))),1,0)</f>
        <v/>
      </c>
      <c r="CI90">
        <f>IF(AND('Month-End'!$CI$41&lt;&gt;"",NOT(_xlfn.ISFORMULA('Month-End'!$CI$41))),1,0)</f>
        <v/>
      </c>
      <c r="CJ90">
        <f>IF(AND('Month-End'!$CI$42&lt;&gt;"",NOT(_xlfn.ISFORMULA('Month-End'!$CI$42))),1,0)</f>
        <v/>
      </c>
      <c r="CK90">
        <f>IF(AND('Month-End'!$CI$43&lt;&gt;"",NOT(_xlfn.ISFORMULA('Month-End'!$CI$43))),1,0)</f>
        <v/>
      </c>
      <c r="CL90">
        <f>SUM($CM90:$CZ90)</f>
        <v/>
      </c>
      <c r="CM90">
        <f>IF(AND($E90&lt;&gt;"pre",AND(Settings!$A$19&lt;&gt;"",Settings!$E$19&lt;&gt;"No"),Settings!$F$19="Yes",NOT(AND('Month-End'!$CI$7&lt;&gt;"",NOT(_xlfn.ISFORMULA('Month-End'!$CI$7))))),1,0)</f>
        <v/>
      </c>
      <c r="CN90">
        <f>IF(AND($E90&lt;&gt;"pre",AND(Settings!$A$20&lt;&gt;"",Settings!$E$20&lt;&gt;"No"),Settings!$F$20="Yes",NOT(AND('Month-End'!$CI$8&lt;&gt;"",NOT(_xlfn.ISFORMULA('Month-End'!$CI$8))))),1,0)</f>
        <v/>
      </c>
      <c r="CO90">
        <f>IF(AND($E90&lt;&gt;"pre",AND(Settings!$A$21&lt;&gt;"",Settings!$E$21&lt;&gt;"No"),Settings!$F$21="Yes",NOT(AND('Month-End'!$CI$9&lt;&gt;"",NOT(_xlfn.ISFORMULA('Month-End'!$CI$9))))),1,0)</f>
        <v/>
      </c>
      <c r="CP90">
        <f>IF(AND($E90&lt;&gt;"pre",AND(Settings!$A$22&lt;&gt;"",Settings!$E$22&lt;&gt;"No"),Settings!$F$22="Yes",NOT(AND('Month-End'!$CI$10&lt;&gt;"",NOT(_xlfn.ISFORMULA('Month-End'!$CI$10))))),1,0)</f>
        <v/>
      </c>
      <c r="CQ90">
        <f>IF(AND($E90&lt;&gt;"pre",AND(Settings!$A$23&lt;&gt;"",Settings!$E$23&lt;&gt;"No"),Settings!$F$23="Yes",NOT(AND('Month-End'!$CI$11&lt;&gt;"",NOT(_xlfn.ISFORMULA('Month-End'!$CI$11))))),1,0)</f>
        <v/>
      </c>
      <c r="CR90">
        <f>IF(AND($E90&lt;&gt;"pre",AND(Settings!$A$24&lt;&gt;"",Settings!$E$24&lt;&gt;"No"),Settings!$F$24="Yes",NOT(AND('Month-End'!$CI$12&lt;&gt;"",NOT(_xlfn.ISFORMULA('Month-End'!$CI$12))))),1,0)</f>
        <v/>
      </c>
      <c r="CS90">
        <f>IF(AND($E90&lt;&gt;"pre",AND(Settings!$A$25&lt;&gt;"",Settings!$E$25&lt;&gt;"No"),Settings!$F$25="Yes",NOT(AND('Month-End'!$CI$13&lt;&gt;"",NOT(_xlfn.ISFORMULA('Month-End'!$CI$13))))),1,0)</f>
        <v/>
      </c>
      <c r="CT90">
        <f>IF(AND($E90&lt;&gt;"pre",AND(Settings!$A$26&lt;&gt;"",Settings!$E$26&lt;&gt;"No"),Settings!$F$26="Yes",NOT(AND('Month-End'!$CI$14&lt;&gt;"",NOT(_xlfn.ISFORMULA('Month-End'!$CI$14))))),1,0)</f>
        <v/>
      </c>
      <c r="CU90">
        <f>IF(AND($E90&lt;&gt;"pre",AND(Settings!$A$27&lt;&gt;"",Settings!$E$27&lt;&gt;"No"),Settings!$F$27="Yes",NOT(AND('Month-End'!$CI$15&lt;&gt;"",NOT(_xlfn.ISFORMULA('Month-End'!$CI$15))))),1,0)</f>
        <v/>
      </c>
      <c r="CV90">
        <f>IF(AND($E90&lt;&gt;"pre",AND(Settings!$A$28&lt;&gt;"",Settings!$E$28&lt;&gt;"No"),Settings!$F$28="Yes",NOT(AND('Month-End'!$CI$16&lt;&gt;"",NOT(_xlfn.ISFORMULA('Month-End'!$CI$16))))),1,0)</f>
        <v/>
      </c>
      <c r="CW90">
        <f>IF(AND($E90&lt;&gt;"pre",AND(Settings!$A$29&lt;&gt;"",Settings!$E$29&lt;&gt;"No"),Settings!$F$29="Yes",NOT(AND('Month-End'!$CI$17&lt;&gt;"",NOT(_xlfn.ISFORMULA('Month-End'!$CI$17))))),1,0)</f>
        <v/>
      </c>
      <c r="CX90">
        <f>IF(AND($E90&lt;&gt;"pre",AND(Settings!$A$30&lt;&gt;"",Settings!$E$30&lt;&gt;"No"),Settings!$F$30="Yes",NOT(AND('Month-End'!$CI$18&lt;&gt;"",NOT(_xlfn.ISFORMULA('Month-End'!$CI$18))))),1,0)</f>
        <v/>
      </c>
      <c r="CY90">
        <f>IF(AND($E90&lt;&gt;"pre",AND(Settings!$A$31&lt;&gt;"",Settings!$E$31&lt;&gt;"No"),Settings!$F$31="Yes",NOT(AND('Month-End'!$CI$19&lt;&gt;"",NOT(_xlfn.ISFORMULA('Month-End'!$CI$19))))),1,0)</f>
        <v/>
      </c>
      <c r="CZ90">
        <f>IF(AND($E90&lt;&gt;"pre",AND(Settings!$A$32&lt;&gt;"",Settings!$E$32&lt;&gt;"No"),Settings!$F$32="Yes",NOT(AND('Month-End'!$CI$20&lt;&gt;"",NOT(_xlfn.ISFORMULA('Month-End'!$CI$20))))),1,0)</f>
        <v/>
      </c>
      <c r="DA90">
        <f>IF($DT90=1,IF(OR(Settings!$B$19="Checking",Settings!$B$19="Savings",Settings!$B$19="Cash"),N($AE90),IF(OR(Settings!$B$19="Card",Settings!$B$19="Loan"),-N($AE90),0))+IF(OR(Settings!$B$20="Checking",Settings!$B$20="Savings",Settings!$B$20="Cash"),N($AF90),IF(OR(Settings!$B$20="Card",Settings!$B$20="Loan"),-N($AF90),0))+IF(OR(Settings!$B$21="Checking",Settings!$B$21="Savings",Settings!$B$21="Cash"),N($AG90),IF(OR(Settings!$B$21="Card",Settings!$B$21="Loan"),-N($AG90),0))+IF(OR(Settings!$B$22="Checking",Settings!$B$22="Savings",Settings!$B$22="Cash"),N($AH90),IF(OR(Settings!$B$22="Card",Settings!$B$22="Loan"),-N($AH90),0))+IF(OR(Settings!$B$23="Checking",Settings!$B$23="Savings",Settings!$B$23="Cash"),N($AI90),IF(OR(Settings!$B$23="Card",Settings!$B$23="Loan"),-N($AI90),0))+IF(OR(Settings!$B$24="Checking",Settings!$B$24="Savings",Settings!$B$24="Cash"),N($AJ90),IF(OR(Settings!$B$24="Card",Settings!$B$24="Loan"),-N($AJ90),0))+IF(OR(Settings!$B$25="Checking",Settings!$B$25="Savings",Settings!$B$25="Cash"),N($AK90),IF(OR(Settings!$B$25="Card",Settings!$B$25="Loan"),-N($AK90),0))+IF(OR(Settings!$B$26="Checking",Settings!$B$26="Savings",Settings!$B$26="Cash"),N($AL90),IF(OR(Settings!$B$26="Card",Settings!$B$26="Loan"),-N($AL90),0))+IF(OR(Settings!$B$27="Checking",Settings!$B$27="Savings",Settings!$B$27="Cash"),N($AM90),IF(OR(Settings!$B$27="Card",Settings!$B$27="Loan"),-N($AM90),0))+IF(OR(Settings!$B$28="Checking",Settings!$B$28="Savings",Settings!$B$28="Cash"),N($AN90),IF(OR(Settings!$B$28="Card",Settings!$B$28="Loan"),-N($AN90),0))+IF(OR(Settings!$B$29="Checking",Settings!$B$29="Savings",Settings!$B$29="Cash"),N($AO90),IF(OR(Settings!$B$29="Card",Settings!$B$29="Loan"),-N($AO90),0))+IF(OR(Settings!$B$30="Checking",Settings!$B$30="Savings",Settings!$B$30="Cash"),N($AP90),IF(OR(Settings!$B$30="Card",Settings!$B$30="Loan"),-N($AP90),0))+IF(OR(Settings!$B$31="Checking",Settings!$B$31="Savings",Settings!$B$31="Cash"),N($AQ90),IF(OR(Settings!$B$31="Card",Settings!$B$31="Loan"),-N($AQ90),0))+IF(OR(Settings!$B$32="Checking",Settings!$B$32="Savings",Settings!$B$32="Cash"),N($AR90),IF(OR(Settings!$B$32="Card",Settings!$B$32="Loan"),-N($AR90),0)),"")</f>
        <v/>
      </c>
      <c r="DB90">
        <f>IF($E90="open",$EB$27,IF($E90="post",IF($E89="pre",$EB$27,$DA89),""))</f>
        <v/>
      </c>
      <c r="DC90">
        <f>IF($E90="open",1,IF($E90="post",IF($E89="pre",1,$DT89),0))</f>
        <v/>
      </c>
      <c r="DD90">
        <f>IF(AND($DT90=1,$DC90=1),ROUND($W90-($DA90-$DB90)-$AD90-$AB90,2),"")</f>
        <v/>
      </c>
      <c r="DE90">
        <f>IF('Month-End'!$CI$35="",$BQ90,N('Month-End'!$CI$35))</f>
        <v/>
      </c>
      <c r="DF90">
        <f>N('Month-End'!$CI$36)</f>
        <v/>
      </c>
      <c r="DG90">
        <f>IF($DD90="","",$DD90+$DE90)</f>
        <v/>
      </c>
      <c r="DH90">
        <f>IF($DG90="","",$DG90-$DF90)</f>
        <v/>
      </c>
      <c r="DI90">
        <f>IF(OR($E90="pre",$D90=1),"",N($AS90)+N($AT90)+N($AU90)+N($AV90)+N($AW90)+N($AX90))</f>
        <v/>
      </c>
      <c r="DJ90">
        <f>IF($DT90=1,$DA90+N($DI90),"")</f>
        <v/>
      </c>
      <c r="DK90">
        <f>IF($DD90="","",$W90-$DD90-$AB90)</f>
        <v/>
      </c>
      <c r="DL90">
        <f>IF(AND($E90="post",$DD90&lt;&gt;"",$B90&lt;TODAY()),1,0)</f>
        <v/>
      </c>
      <c r="DM90">
        <f>IF($DL90=1,COUNTIF($DL90:$DL$183,1),0)</f>
        <v/>
      </c>
      <c r="DN90">
        <f>IF($D90=1,"",IF($E90="pre","History only",IF($DT90=1,IF($DD90="","⚠ Previous month missing",IF($DD90&lt;0,"⚠ Check: spending &lt; 0",IF($E90="open","✓ Done (partial)","✓ Done"))),IF($B90&gt;=TODAY(),"In progress","⚠ Needs balances"))))</f>
        <v/>
      </c>
      <c r="DO90">
        <f>YEAR($A90)</f>
        <v/>
      </c>
      <c r="DP90">
        <f>DATE(YEAR($A90),INT((MONTH($A90)-1)/3)*3+1,1)</f>
        <v/>
      </c>
      <c r="DQ90">
        <f>IF(AND($DT90=1,$DD90&lt;&gt;"",$D90=0),ROW(),0)</f>
        <v/>
      </c>
      <c r="DR90">
        <f>IF(AND($E90&lt;&gt;"pre",$B90&lt;TODAY(),$DT90=0),1,0)</f>
        <v/>
      </c>
      <c r="DS90">
        <f>IF($DJ90="",NA(),$DJ90)</f>
        <v/>
      </c>
      <c r="DT90">
        <f>IF(AND($E90&lt;&gt;"pre",$CL90=0,COUNTIFS(Settings!$F$19:$F$32,"Yes",Settings!$A$19:$A$32,"&lt;&gt;",Settings!$E$19:$E$32,"&lt;&gt;No")&gt;0),1,0)</f>
        <v/>
      </c>
      <c r="DU90">
        <f>IF(AND($B90&lt;TODAY(),$S90&gt;0),1,0)</f>
        <v/>
      </c>
      <c r="DV90">
        <f>IF($DU90=1,COUNTIF($DU90:$DU$183,1),0)</f>
        <v/>
      </c>
      <c r="DW90">
        <f>IF(AND(OR(Settings!$B$19="Card",Settings!$B$19="Loan"),AND('Month-End'!$CI$7&lt;&gt;"",NOT(_xlfn.ISFORMULA('Month-End'!$CI$7)))),IF(N('Month-End'!$CI$7)&lt;0,1,0),0)+IF(AND(OR(Settings!$B$20="Card",Settings!$B$20="Loan"),AND('Month-End'!$CI$8&lt;&gt;"",NOT(_xlfn.ISFORMULA('Month-End'!$CI$8)))),IF(N('Month-End'!$CI$8)&lt;0,1,0),0)+IF(AND(OR(Settings!$B$21="Card",Settings!$B$21="Loan"),AND('Month-End'!$CI$9&lt;&gt;"",NOT(_xlfn.ISFORMULA('Month-End'!$CI$9)))),IF(N('Month-End'!$CI$9)&lt;0,1,0),0)+IF(AND(OR(Settings!$B$22="Card",Settings!$B$22="Loan"),AND('Month-End'!$CI$10&lt;&gt;"",NOT(_xlfn.ISFORMULA('Month-End'!$CI$10)))),IF(N('Month-End'!$CI$10)&lt;0,1,0),0)+IF(AND(OR(Settings!$B$23="Card",Settings!$B$23="Loan"),AND('Month-End'!$CI$11&lt;&gt;"",NOT(_xlfn.ISFORMULA('Month-End'!$CI$11)))),IF(N('Month-End'!$CI$11)&lt;0,1,0),0)+IF(AND(OR(Settings!$B$24="Card",Settings!$B$24="Loan"),AND('Month-End'!$CI$12&lt;&gt;"",NOT(_xlfn.ISFORMULA('Month-End'!$CI$12)))),IF(N('Month-End'!$CI$12)&lt;0,1,0),0)+IF(AND(OR(Settings!$B$25="Card",Settings!$B$25="Loan"),AND('Month-End'!$CI$13&lt;&gt;"",NOT(_xlfn.ISFORMULA('Month-End'!$CI$13)))),IF(N('Month-End'!$CI$13)&lt;0,1,0),0)+IF(AND(OR(Settings!$B$26="Card",Settings!$B$26="Loan"),AND('Month-End'!$CI$14&lt;&gt;"",NOT(_xlfn.ISFORMULA('Month-End'!$CI$14)))),IF(N('Month-End'!$CI$14)&lt;0,1,0),0)+IF(AND(OR(Settings!$B$27="Card",Settings!$B$27="Loan"),AND('Month-End'!$CI$15&lt;&gt;"",NOT(_xlfn.ISFORMULA('Month-End'!$CI$15)))),IF(N('Month-End'!$CI$15)&lt;0,1,0),0)+IF(AND(OR(Settings!$B$28="Card",Settings!$B$28="Loan"),AND('Month-End'!$CI$16&lt;&gt;"",NOT(_xlfn.ISFORMULA('Month-End'!$CI$16)))),IF(N('Month-End'!$CI$16)&lt;0,1,0),0)+IF(AND(OR(Settings!$B$29="Card",Settings!$B$29="Loan"),AND('Month-End'!$CI$17&lt;&gt;"",NOT(_xlfn.ISFORMULA('Month-End'!$CI$17)))),IF(N('Month-End'!$CI$17)&lt;0,1,0),0)+IF(AND(OR(Settings!$B$30="Card",Settings!$B$30="Loan"),AND('Month-End'!$CI$18&lt;&gt;"",NOT(_xlfn.ISFORMULA('Month-End'!$CI$18)))),IF(N('Month-End'!$CI$18)&lt;0,1,0),0)+IF(AND(OR(Settings!$B$31="Card",Settings!$B$31="Loan"),AND('Month-End'!$CI$19&lt;&gt;"",NOT(_xlfn.ISFORMULA('Month-End'!$CI$19)))),IF(N('Month-End'!$CI$19)&lt;0,1,0),0)+IF(AND(OR(Settings!$B$32="Card",Settings!$B$32="Loan"),AND('Month-End'!$CI$20&lt;&gt;"",NOT(_xlfn.ISFORMULA('Month-End'!$CI$20)))),IF(N('Month-End'!$CI$20)&lt;0,1,0),0)</f>
        <v/>
      </c>
      <c r="DX90">
        <f>IF(Settings!$B$36="Retirement",$AY90,0)+IF(Settings!$B$37="Retirement",$AZ90,0)+IF(Settings!$B$38="Retirement",$BA90,0)+IF(Settings!$B$39="Retirement",$BB90,0)+IF(Settings!$B$40="Retirement",$BC90,0)+IF(Settings!$B$41="Retirement",$BD90,0)</f>
        <v/>
      </c>
      <c r="ET90">
        <f>IF($E90&lt;&gt;"open",0,IF(AND('Month-End'!$CI$22&lt;&gt;"",NOT(_xlfn.ISFORMULA('Month-End'!$CI$22))),0,IF(OR(Settings!$C$45="",Settings!$D$45=""),0,Settings!$C$45*IF(Settings!$D$45="Weekly",IF(IFERROR(MATCH(Settings!$E$45,$EO$4:$EO$10,0),0)=0,0,IF(MIN(Settings!$B$5,IF(Settings!$G$45="",Settings!$B$5,Settings!$G$45))&lt;MAX($A90,Settings!$F$45),0,INT((MIN(Settings!$B$5,IF(Settings!$G$45="",Settings!$B$5,Settings!$G$45))-MAX($A90,Settings!$F$45)-MOD(IFERROR(MATCH(Settings!$E$45,$EO$4:$EO$10,0),0)-WEEKDAY(MAX($A90,Settings!$F$45)),7))/7)+1)),IF(AND(IF(Settings!$E$45="",$B90,DATE(YEAR($A90),MONTH($A90),MIN(Settings!$E$45,DAY($B90))))&gt;=MAX($A90,Settings!$F$45),IF(Settings!$E$45="",$B90,DATE(YEAR($A90),MONTH($A90),MIN(Settings!$E$45,DAY($B90))))&lt;=MIN(Settings!$B$5,IF(Settings!$G$45="",Settings!$B$5,Settings!$G$45))),1,0)))))</f>
        <v/>
      </c>
      <c r="EU90">
        <f>IF($E90&lt;&gt;"open",0,IF(AND('Month-End'!$CI$23&lt;&gt;"",NOT(_xlfn.ISFORMULA('Month-End'!$CI$23))),0,IF(OR(Settings!$C$46="",Settings!$D$46=""),0,Settings!$C$46*IF(Settings!$D$46="Weekly",IF(IFERROR(MATCH(Settings!$E$46,$EO$4:$EO$10,0),0)=0,0,IF(MIN(Settings!$B$5,IF(Settings!$G$46="",Settings!$B$5,Settings!$G$46))&lt;MAX($A90,Settings!$F$46),0,INT((MIN(Settings!$B$5,IF(Settings!$G$46="",Settings!$B$5,Settings!$G$46))-MAX($A90,Settings!$F$46)-MOD(IFERROR(MATCH(Settings!$E$46,$EO$4:$EO$10,0),0)-WEEKDAY(MAX($A90,Settings!$F$46)),7))/7)+1)),IF(AND(IF(Settings!$E$46="",$B90,DATE(YEAR($A90),MONTH($A90),MIN(Settings!$E$46,DAY($B90))))&gt;=MAX($A90,Settings!$F$46),IF(Settings!$E$46="",$B90,DATE(YEAR($A90),MONTH($A90),MIN(Settings!$E$46,DAY($B90))))&lt;=MIN(Settings!$B$5,IF(Settings!$G$46="",Settings!$B$5,Settings!$G$46))),1,0)))))</f>
        <v/>
      </c>
      <c r="EV90">
        <f>IF($E90&lt;&gt;"open",0,IF(AND('Month-End'!$CI$24&lt;&gt;"",NOT(_xlfn.ISFORMULA('Month-End'!$CI$24))),0,IF(OR(Settings!$C$47="",Settings!$D$47=""),0,Settings!$C$47*IF(Settings!$D$47="Weekly",IF(IFERROR(MATCH(Settings!$E$47,$EO$4:$EO$10,0),0)=0,0,IF(MIN(Settings!$B$5,IF(Settings!$G$47="",Settings!$B$5,Settings!$G$47))&lt;MAX($A90,Settings!$F$47),0,INT((MIN(Settings!$B$5,IF(Settings!$G$47="",Settings!$B$5,Settings!$G$47))-MAX($A90,Settings!$F$47)-MOD(IFERROR(MATCH(Settings!$E$47,$EO$4:$EO$10,0),0)-WEEKDAY(MAX($A90,Settings!$F$47)),7))/7)+1)),IF(AND(IF(Settings!$E$47="",$B90,DATE(YEAR($A90),MONTH($A90),MIN(Settings!$E$47,DAY($B90))))&gt;=MAX($A90,Settings!$F$47),IF(Settings!$E$47="",$B90,DATE(YEAR($A90),MONTH($A90),MIN(Settings!$E$47,DAY($B90))))&lt;=MIN(Settings!$B$5,IF(Settings!$G$47="",Settings!$B$5,Settings!$G$47))),1,0)))))</f>
        <v/>
      </c>
      <c r="EW90">
        <f>IF($E90&lt;&gt;"open",0,IF(AND('Month-End'!$CI$25&lt;&gt;"",NOT(_xlfn.ISFORMULA('Month-End'!$CI$25))),0,IF(OR(Settings!$C$48="",Settings!$D$48=""),0,Settings!$C$48*IF(Settings!$D$48="Weekly",IF(IFERROR(MATCH(Settings!$E$48,$EO$4:$EO$10,0),0)=0,0,IF(MIN(Settings!$B$5,IF(Settings!$G$48="",Settings!$B$5,Settings!$G$48))&lt;MAX($A90,Settings!$F$48),0,INT((MIN(Settings!$B$5,IF(Settings!$G$48="",Settings!$B$5,Settings!$G$48))-MAX($A90,Settings!$F$48)-MOD(IFERROR(MATCH(Settings!$E$48,$EO$4:$EO$10,0),0)-WEEKDAY(MAX($A90,Settings!$F$48)),7))/7)+1)),IF(AND(IF(Settings!$E$48="",$B90,DATE(YEAR($A90),MONTH($A90),MIN(Settings!$E$48,DAY($B90))))&gt;=MAX($A90,Settings!$F$48),IF(Settings!$E$48="",$B90,DATE(YEAR($A90),MONTH($A90),MIN(Settings!$E$48,DAY($B90))))&lt;=MIN(Settings!$B$5,IF(Settings!$G$48="",Settings!$B$5,Settings!$G$48))),1,0)))))</f>
        <v/>
      </c>
      <c r="EX90">
        <f>IF($E90&lt;&gt;"open",0,IF(AND('Month-End'!$CI$26&lt;&gt;"",NOT(_xlfn.ISFORMULA('Month-End'!$CI$26))),0,IF(OR(Settings!$C$49="",Settings!$D$49=""),0,Settings!$C$49*IF(Settings!$D$49="Weekly",IF(IFERROR(MATCH(Settings!$E$49,$EO$4:$EO$10,0),0)=0,0,IF(MIN(Settings!$B$5,IF(Settings!$G$49="",Settings!$B$5,Settings!$G$49))&lt;MAX($A90,Settings!$F$49),0,INT((MIN(Settings!$B$5,IF(Settings!$G$49="",Settings!$B$5,Settings!$G$49))-MAX($A90,Settings!$F$49)-MOD(IFERROR(MATCH(Settings!$E$49,$EO$4:$EO$10,0),0)-WEEKDAY(MAX($A90,Settings!$F$49)),7))/7)+1)),IF(AND(IF(Settings!$E$49="",$B90,DATE(YEAR($A90),MONTH($A90),MIN(Settings!$E$49,DAY($B90))))&gt;=MAX($A90,Settings!$F$49),IF(Settings!$E$49="",$B90,DATE(YEAR($A90),MONTH($A90),MIN(Settings!$E$49,DAY($B90))))&lt;=MIN(Settings!$B$5,IF(Settings!$G$49="",Settings!$B$5,Settings!$G$49))),1,0)))))</f>
        <v/>
      </c>
      <c r="EY90">
        <f>IF($E90&lt;&gt;"open",0,IF(AND('Month-End'!$CI$27&lt;&gt;"",NOT(_xlfn.ISFORMULA('Month-End'!$CI$27))),0,IF(OR(Settings!$C$50="",Settings!$D$50=""),0,Settings!$C$50*IF(Settings!$D$50="Weekly",IF(IFERROR(MATCH(Settings!$E$50,$EO$4:$EO$10,0),0)=0,0,IF(MIN(Settings!$B$5,IF(Settings!$G$50="",Settings!$B$5,Settings!$G$50))&lt;MAX($A90,Settings!$F$50),0,INT((MIN(Settings!$B$5,IF(Settings!$G$50="",Settings!$B$5,Settings!$G$50))-MAX($A90,Settings!$F$50)-MOD(IFERROR(MATCH(Settings!$E$50,$EO$4:$EO$10,0),0)-WEEKDAY(MAX($A90,Settings!$F$50)),7))/7)+1)),IF(AND(IF(Settings!$E$50="",$B90,DATE(YEAR($A90),MONTH($A90),MIN(Settings!$E$50,DAY($B90))))&gt;=MAX($A90,Settings!$F$50),IF(Settings!$E$50="",$B90,DATE(YEAR($A90),MONTH($A90),MIN(Settings!$E$50,DAY($B90))))&lt;=MIN(Settings!$B$5,IF(Settings!$G$50="",Settings!$B$5,Settings!$G$50))),1,0)))))</f>
        <v/>
      </c>
      <c r="EZ90">
        <f>IF($E90&lt;&gt;"open",0,IF(AND('Month-End'!$CI$28&lt;&gt;"",NOT(_xlfn.ISFORMULA('Month-End'!$CI$28))),0,IF(OR(Settings!$C$51="",Settings!$D$51=""),0,Settings!$C$51*IF(Settings!$D$51="Weekly",IF(IFERROR(MATCH(Settings!$E$51,$EO$4:$EO$10,0),0)=0,0,IF(MIN(Settings!$B$5,IF(Settings!$G$51="",Settings!$B$5,Settings!$G$51))&lt;MAX($A90,Settings!$F$51),0,INT((MIN(Settings!$B$5,IF(Settings!$G$51="",Settings!$B$5,Settings!$G$51))-MAX($A90,Settings!$F$51)-MOD(IFERROR(MATCH(Settings!$E$51,$EO$4:$EO$10,0),0)-WEEKDAY(MAX($A90,Settings!$F$51)),7))/7)+1)),IF(AND(IF(Settings!$E$51="",$B90,DATE(YEAR($A90),MONTH($A90),MIN(Settings!$E$51,DAY($B90))))&gt;=MAX($A90,Settings!$F$51),IF(Settings!$E$51="",$B90,DATE(YEAR($A90),MONTH($A90),MIN(Settings!$E$51,DAY($B90))))&lt;=MIN(Settings!$B$5,IF(Settings!$G$51="",Settings!$B$5,Settings!$G$51))),1,0)))))</f>
        <v/>
      </c>
      <c r="FA90">
        <f>IF($E90&lt;&gt;"open",0,IF(AND('Month-End'!$CI$29&lt;&gt;"",NOT(_xlfn.ISFORMULA('Month-End'!$CI$29))),0,IF(OR(Settings!$C$52="",Settings!$D$52=""),0,Settings!$C$52*IF(Settings!$D$52="Weekly",IF(IFERROR(MATCH(Settings!$E$52,$EO$4:$EO$10,0),0)=0,0,IF(MIN(Settings!$B$5,IF(Settings!$G$52="",Settings!$B$5,Settings!$G$52))&lt;MAX($A90,Settings!$F$52),0,INT((MIN(Settings!$B$5,IF(Settings!$G$52="",Settings!$B$5,Settings!$G$52))-MAX($A90,Settings!$F$52)-MOD(IFERROR(MATCH(Settings!$E$52,$EO$4:$EO$10,0),0)-WEEKDAY(MAX($A90,Settings!$F$52)),7))/7)+1)),IF(AND(IF(Settings!$E$52="",$B90,DATE(YEAR($A90),MONTH($A90),MIN(Settings!$E$52,DAY($B90))))&gt;=MAX($A90,Settings!$F$52),IF(Settings!$E$52="",$B90,DATE(YEAR($A90),MONTH($A90),MIN(Settings!$E$52,DAY($B90))))&lt;=MIN(Settings!$B$5,IF(Settings!$G$52="",Settings!$B$5,Settings!$G$52))),1,0)))))</f>
        <v/>
      </c>
      <c r="FB90">
        <f>IF($E90&lt;&gt;"open",0,IF(AND('Month-End'!$CI$30&lt;&gt;"",NOT(_xlfn.ISFORMULA('Month-End'!$CI$30))),0,IF(OR(Settings!$C$53="",Settings!$D$53=""),0,Settings!$C$53*IF(Settings!$D$53="Weekly",IF(IFERROR(MATCH(Settings!$E$53,$EO$4:$EO$10,0),0)=0,0,IF(MIN(Settings!$B$5,IF(Settings!$G$53="",Settings!$B$5,Settings!$G$53))&lt;MAX($A90,Settings!$F$53),0,INT((MIN(Settings!$B$5,IF(Settings!$G$53="",Settings!$B$5,Settings!$G$53))-MAX($A90,Settings!$F$53)-MOD(IFERROR(MATCH(Settings!$E$53,$EO$4:$EO$10,0),0)-WEEKDAY(MAX($A90,Settings!$F$53)),7))/7)+1)),IF(AND(IF(Settings!$E$53="",$B90,DATE(YEAR($A90),MONTH($A90),MIN(Settings!$E$53,DAY($B90))))&gt;=MAX($A90,Settings!$F$53),IF(Settings!$E$53="",$B90,DATE(YEAR($A90),MONTH($A90),MIN(Settings!$E$53,DAY($B90))))&lt;=MIN(Settings!$B$5,IF(Settings!$G$53="",Settings!$B$5,Settings!$G$53))),1,0)))))</f>
        <v/>
      </c>
      <c r="FC90">
        <f>IF($E90&lt;&gt;"open",0,IF(AND('Month-End'!$CI$31&lt;&gt;"",NOT(_xlfn.ISFORMULA('Month-End'!$CI$31))),0,IF(OR(Settings!$C$54="",Settings!$D$54=""),0,Settings!$C$54*IF(Settings!$D$54="Weekly",IF(IFERROR(MATCH(Settings!$E$54,$EO$4:$EO$10,0),0)=0,0,IF(MIN(Settings!$B$5,IF(Settings!$G$54="",Settings!$B$5,Settings!$G$54))&lt;MAX($A90,Settings!$F$54),0,INT((MIN(Settings!$B$5,IF(Settings!$G$54="",Settings!$B$5,Settings!$G$54))-MAX($A90,Settings!$F$54)-MOD(IFERROR(MATCH(Settings!$E$54,$EO$4:$EO$10,0),0)-WEEKDAY(MAX($A90,Settings!$F$54)),7))/7)+1)),IF(AND(IF(Settings!$E$54="",$B90,DATE(YEAR($A90),MONTH($A90),MIN(Settings!$E$54,DAY($B90))))&gt;=MAX($A90,Settings!$F$54),IF(Settings!$E$54="",$B90,DATE(YEAR($A90),MONTH($A90),MIN(Settings!$E$54,DAY($B90))))&lt;=MIN(Settings!$B$5,IF(Settings!$G$54="",Settings!$B$5,Settings!$G$54))),1,0)))))</f>
        <v/>
      </c>
      <c r="FD90">
        <f>IF($E90&lt;&gt;"open",0,IF(AND('Month-End'!$CI$32&lt;&gt;"",NOT(_xlfn.ISFORMULA('Month-End'!$CI$32))),0,IF(OR(Settings!$C$55="",Settings!$D$55=""),0,Settings!$C$55*IF(Settings!$D$55="Weekly",IF(IFERROR(MATCH(Settings!$E$55,$EO$4:$EO$10,0),0)=0,0,IF(MIN(Settings!$B$5,IF(Settings!$G$55="",Settings!$B$5,Settings!$G$55))&lt;MAX($A90,Settings!$F$55),0,INT((MIN(Settings!$B$5,IF(Settings!$G$55="",Settings!$B$5,Settings!$G$55))-MAX($A90,Settings!$F$55)-MOD(IFERROR(MATCH(Settings!$E$55,$EO$4:$EO$10,0),0)-WEEKDAY(MAX($A90,Settings!$F$55)),7))/7)+1)),IF(AND(IF(Settings!$E$55="",$B90,DATE(YEAR($A90),MONTH($A90),MIN(Settings!$E$55,DAY($B90))))&gt;=MAX($A90,Settings!$F$55),IF(Settings!$E$55="",$B90,DATE(YEAR($A90),MONTH($A90),MIN(Settings!$E$55,DAY($B90))))&lt;=MIN(Settings!$B$5,IF(Settings!$G$55="",Settings!$B$5,Settings!$G$55))),1,0)))))</f>
        <v/>
      </c>
      <c r="FE90">
        <f>IF($E90&lt;&gt;"open",0,IF(AND('Month-End'!$CI$33&lt;&gt;"",NOT(_xlfn.ISFORMULA('Month-End'!$CI$33))),0,IF(OR(Settings!$C$56="",Settings!$D$56=""),0,Settings!$C$56*IF(Settings!$D$56="Weekly",IF(IFERROR(MATCH(Settings!$E$56,$EO$4:$EO$10,0),0)=0,0,IF(MIN(Settings!$B$5,IF(Settings!$G$56="",Settings!$B$5,Settings!$G$56))&lt;MAX($A90,Settings!$F$56),0,INT((MIN(Settings!$B$5,IF(Settings!$G$56="",Settings!$B$5,Settings!$G$56))-MAX($A90,Settings!$F$56)-MOD(IFERROR(MATCH(Settings!$E$56,$EO$4:$EO$10,0),0)-WEEKDAY(MAX($A90,Settings!$F$56)),7))/7)+1)),IF(AND(IF(Settings!$E$56="",$B90,DATE(YEAR($A90),MONTH($A90),MIN(Settings!$E$56,DAY($B90))))&gt;=MAX($A90,Settings!$F$56),IF(Settings!$E$56="",$B90,DATE(YEAR($A90),MONTH($A90),MIN(Settings!$E$56,DAY($B90))))&lt;=MIN(Settings!$B$5,IF(Settings!$G$56="",Settings!$B$5,Settings!$G$56))),1,0)))))</f>
        <v/>
      </c>
      <c r="FF90">
        <f>IF(Settings!$I$45="Yes",$G90,0)+IF(Settings!$I$46="Yes",$H90,0)+IF(Settings!$I$47="Yes",$I90,0)+IF(Settings!$I$48="Yes",$J90,0)+IF(Settings!$I$49="Yes",$K90,0)+IF(Settings!$I$50="Yes",$L90,0)+IF(Settings!$I$51="Yes",$M90,0)+IF(Settings!$I$52="Yes",$N90,0)+IF(Settings!$I$53="Yes",$O90,0)+IF(Settings!$I$54="Yes",$P90,0)+IF(Settings!$I$55="Yes",$Q90,0)+IF(Settings!$I$56="Yes",$R90,0)</f>
        <v/>
      </c>
      <c r="FG90">
        <f>IF(AND(Settings!$I$45="Yes",Settings!$J$45="No"),$G90,0)+IF(AND(Settings!$I$46="Yes",Settings!$J$46="No"),$H90,0)+IF(AND(Settings!$I$47="Yes",Settings!$J$47="No"),$I90,0)+IF(AND(Settings!$I$48="Yes",Settings!$J$48="No"),$J90,0)+IF(AND(Settings!$I$49="Yes",Settings!$J$49="No"),$K90,0)+IF(AND(Settings!$I$50="Yes",Settings!$J$50="No"),$L90,0)+IF(AND(Settings!$I$51="Yes",Settings!$J$51="No"),$M90,0)+IF(AND(Settings!$I$52="Yes",Settings!$J$52="No"),$N90,0)+IF(AND(Settings!$I$53="Yes",Settings!$J$53="No"),$O90,0)+IF(AND(Settings!$I$54="Yes",Settings!$J$54="No"),$P90,0)+IF(AND(Settings!$I$55="Yes",Settings!$J$55="No"),$Q90,0)+IF(AND(Settings!$I$56="Yes",Settings!$J$56="No"),$R90,0)</f>
        <v/>
      </c>
      <c r="FH90">
        <f>SUMIFS(Giving!$B$7:$B$2006,Giving!$A$7:$A$2006,"&gt;="&amp;$A90,Giving!$A$7:$A$2006,"&lt;="&amp;$B90,Giving!$G$7:$G$2006,"Yes")+IF(OR(OR(Settings!$B$60="",Settings!$F$60="No"),Settings!$H$60&lt;&gt;"Yes"),0,Settings!$B$60*IF(AND(IF(Settings!$C$60="",$B90,DATE(YEAR($A90),MONTH($A90),MIN(Settings!$C$60,DAY($B90))))&gt;=MAX($A90,Settings!$D$60),IF(Settings!$C$60="",$B90,DATE(YEAR($A90),MONTH($A90),MIN(Settings!$C$60,DAY($B90))))&lt;=MIN($C90,IF(Settings!$E$60="",$C90,Settings!$E$60))),1,0))+IF(OR(OR(Settings!$B$61="",Settings!$F$61="No"),Settings!$H$61&lt;&gt;"Yes"),0,Settings!$B$61*IF(AND(IF(Settings!$C$61="",$B90,DATE(YEAR($A90),MONTH($A90),MIN(Settings!$C$61,DAY($B90))))&gt;=MAX($A90,Settings!$D$61),IF(Settings!$C$61="",$B90,DATE(YEAR($A90),MONTH($A90),MIN(Settings!$C$61,DAY($B90))))&lt;=MIN($C90,IF(Settings!$E$61="",$C90,Settings!$E$61))),1,0))+IF(OR(OR(Settings!$B$62="",Settings!$F$62="No"),Settings!$H$62&lt;&gt;"Yes"),0,Settings!$B$62*IF(AND(IF(Settings!$C$62="",$B90,DATE(YEAR($A90),MONTH($A90),MIN(Settings!$C$62,DAY($B90))))&gt;=MAX($A90,Settings!$D$62),IF(Settings!$C$62="",$B90,DATE(YEAR($A90),MONTH($A90),MIN(Settings!$C$62,DAY($B90))))&lt;=MIN($C90,IF(Settings!$E$62="",$C90,Settings!$E$62))),1,0))+IF(OR(OR(Settings!$B$63="",Settings!$F$63="No"),Settings!$H$63&lt;&gt;"Yes"),0,Settings!$B$63*IF(AND(IF(Settings!$C$63="",$B90,DATE(YEAR($A90),MONTH($A90),MIN(Settings!$C$63,DAY($B90))))&gt;=MAX($A90,Settings!$D$63),IF(Settings!$C$63="",$B90,DATE(YEAR($A90),MONTH($A90),MIN(Settings!$C$63,DAY($B90))))&lt;=MIN($C90,IF(Settings!$E$63="",$C90,Settings!$E$63))),1,0))+IF(OR(OR(Settings!$B$64="",Settings!$F$64="No"),Settings!$H$64&lt;&gt;"Yes"),0,Settings!$B$64*IF(AND(IF(Settings!$C$64="",$B90,DATE(YEAR($A90),MONTH($A90),MIN(Settings!$C$64,DAY($B90))))&gt;=MAX($A90,Settings!$D$64),IF(Settings!$C$64="",$B90,DATE(YEAR($A90),MONTH($A90),MIN(Settings!$C$64,DAY($B90))))&lt;=MIN($C90,IF(Settings!$E$64="",$C90,Settings!$E$64))),1,0))+IF(OR(OR(Settings!$B$65="",Settings!$F$65="No"),Settings!$H$65&lt;&gt;"Yes"),0,Settings!$B$65*IF(AND(IF(Settings!$C$65="",$B90,DATE(YEAR($A90),MONTH($A90),MIN(Settings!$C$65,DAY($B90))))&gt;=MAX($A90,Settings!$D$65),IF(Settings!$C$65="",$B90,DATE(YEAR($A90),MONTH($A90),MIN(Settings!$C$65,DAY($B90))))&lt;=MIN($C90,IF(Settings!$E$65="",$C90,Settings!$E$65))),1,0))</f>
        <v/>
      </c>
      <c r="FI90">
        <f>IF($DT90=1,IF(OR(Settings!$B$19="Card",Settings!$B$19="Loan"),N($AE90),0)+IF(OR(Settings!$B$20="Card",Settings!$B$20="Loan"),N($AF90),0)+IF(OR(Settings!$B$21="Card",Settings!$B$21="Loan"),N($AG90),0)+IF(OR(Settings!$B$22="Card",Settings!$B$22="Loan"),N($AH90),0)+IF(OR(Settings!$B$23="Card",Settings!$B$23="Loan"),N($AI90),0)+IF(OR(Settings!$B$24="Card",Settings!$B$24="Loan"),N($AJ90),0)+IF(OR(Settings!$B$25="Card",Settings!$B$25="Loan"),N($AK90),0)+IF(OR(Settings!$B$26="Card",Settings!$B$26="Loan"),N($AL90),0)+IF(OR(Settings!$B$27="Card",Settings!$B$27="Loan"),N($AM90),0)+IF(OR(Settings!$B$28="Card",Settings!$B$28="Loan"),N($AN90),0)+IF(OR(Settings!$B$29="Card",Settings!$B$29="Loan"),N($AO90),0)+IF(OR(Settings!$B$30="Card",Settings!$B$30="Loan"),N($AP90),0)+IF(OR(Settings!$B$31="Card",Settings!$B$31="Loan"),N($AQ90),0)+IF(OR(Settings!$B$32="Card",Settings!$B$32="Loan"),N($AR90),0),"")</f>
        <v/>
      </c>
      <c r="FJ90">
        <f>IF($E90="open",$EB$65,IF($E90="post",IF($E89="pre",$EB$65,$FI89),""))</f>
        <v/>
      </c>
      <c r="FK90">
        <f>IF(AND($DT90=1,$DC90=1),IF(ROUND($FI90-$FJ90,2)&gt;0,1,0),0)</f>
        <v/>
      </c>
      <c r="FL90">
        <f>IF($FK90=1,$FL89+1,0)</f>
        <v/>
      </c>
    </row>
    <row r="91">
      <c r="A91">
        <f>'Month-End'!$CJ$4</f>
        <v/>
      </c>
      <c r="B91">
        <f>EOMONTH($A91,0)</f>
        <v/>
      </c>
      <c r="C91">
        <f>MIN($B91,TODAY())</f>
        <v/>
      </c>
      <c r="D91">
        <f>IF($A91&gt;TODAY(),1,0)</f>
        <v/>
      </c>
      <c r="E91">
        <f>IF($B91&lt;=Settings!$B$5,"pre",IF($A91&lt;=Settings!$B$5,"open","post"))</f>
        <v/>
      </c>
      <c r="G91">
        <f>IF('Month-End'!$CJ$22="",$BE91,N('Month-End'!$CJ$22))</f>
        <v/>
      </c>
      <c r="H91">
        <f>IF('Month-End'!$CJ$23="",$BF91,N('Month-End'!$CJ$23))</f>
        <v/>
      </c>
      <c r="I91">
        <f>IF('Month-End'!$CJ$24="",$BG91,N('Month-End'!$CJ$24))</f>
        <v/>
      </c>
      <c r="J91">
        <f>IF('Month-End'!$CJ$25="",$BH91,N('Month-End'!$CJ$25))</f>
        <v/>
      </c>
      <c r="K91">
        <f>IF('Month-End'!$CJ$26="",$BI91,N('Month-End'!$CJ$26))</f>
        <v/>
      </c>
      <c r="L91">
        <f>IF('Month-End'!$CJ$27="",$BJ91,N('Month-End'!$CJ$27))</f>
        <v/>
      </c>
      <c r="M91">
        <f>IF('Month-End'!$CJ$28="",$BK91,N('Month-End'!$CJ$28))</f>
        <v/>
      </c>
      <c r="N91">
        <f>IF('Month-End'!$CJ$29="",$BL91,N('Month-End'!$CJ$29))</f>
        <v/>
      </c>
      <c r="O91">
        <f>IF('Month-End'!$CJ$30="",$BM91,N('Month-End'!$CJ$30))</f>
        <v/>
      </c>
      <c r="P91">
        <f>IF('Month-End'!$CJ$31="",$BN91,N('Month-End'!$CJ$31))</f>
        <v/>
      </c>
      <c r="Q91">
        <f>IF('Month-End'!$CJ$32="",$BO91,N('Month-End'!$CJ$32))</f>
        <v/>
      </c>
      <c r="R91">
        <f>IF('Month-End'!$CJ$33="",$BP91,N('Month-End'!$CJ$33))</f>
        <v/>
      </c>
      <c r="S91">
        <f>$G91+$H91+$I91+$J91+$K91+$L91+$M91+$N91+$O91+$P91+$Q91+$R91</f>
        <v/>
      </c>
      <c r="T91">
        <f>IF($B91&lt;Settings!$B$6,0,IF(Settings!$B$45="Yes",$G91,0)+IF(Settings!$B$46="Yes",$H91,0)+IF(Settings!$B$47="Yes",$I91,0)+IF(Settings!$B$48="Yes",$J91,0)+IF(Settings!$B$49="Yes",$K91,0)+IF(Settings!$B$50="Yes",$L91,0)+IF(Settings!$B$51="Yes",$M91,0)+IF(Settings!$B$52="Yes",$N91,0)+IF(Settings!$B$53="Yes",$O91,0)+IF(Settings!$B$54="Yes",$P91,0)+IF(Settings!$B$55="Yes",$Q91,0)+IF(Settings!$B$56="Yes",$R91,0))</f>
        <v/>
      </c>
      <c r="U91">
        <f>IF(Settings!$B$45="Not Sure",$G91,0)+IF(Settings!$B$46="Not Sure",$H91,0)+IF(Settings!$B$47="Not Sure",$I91,0)+IF(Settings!$B$48="Not Sure",$J91,0)+IF(Settings!$B$49="Not Sure",$K91,0)+IF(Settings!$B$50="Not Sure",$L91,0)+IF(Settings!$B$51="Not Sure",$M91,0)+IF(Settings!$B$52="Not Sure",$N91,0)+IF(Settings!$B$53="Not Sure",$O91,0)+IF(Settings!$B$54="Not Sure",$P91,0)+IF(Settings!$B$55="Not Sure",$Q91,0)+IF(Settings!$B$56="Not Sure",$R91,0)</f>
        <v/>
      </c>
      <c r="V91">
        <f>IF($E91="open",SUM($ET91:$FE91)+N(Settings!$B$13),0)</f>
        <v/>
      </c>
      <c r="W91">
        <f>IF($E91="post",$S91,IF($E91="open",$S91-$V91,0))</f>
        <v/>
      </c>
      <c r="X91">
        <f>SUMIFS(Giving!$B$7:$B$2006,Giving!$A$7:$A$2006,"&gt;="&amp;$A91,Giving!$A$7:$A$2006,"&lt;="&amp;$B91,Giving!$E$7:$E$2006,"&lt;&gt;No")</f>
        <v/>
      </c>
      <c r="Y91">
        <f>SUMIFS(Giving!$B$7:$B$2006,Giving!$A$7:$A$2006,"&gt;="&amp;$A91,Giving!$A$7:$A$2006,"&lt;="&amp;$B91,Giving!$E$7:$E$2006,"No")</f>
        <v/>
      </c>
      <c r="Z91">
        <f>IF(OR(Settings!$B$60="",Settings!$F$60="No"),0,Settings!$B$60*IF(AND(IF(Settings!$C$60="",$B91,DATE(YEAR($A91),MONTH($A91),MIN(Settings!$C$60,DAY($B91))))&gt;=MAX($A91,Settings!$D$60),IF(Settings!$C$60="",$B91,DATE(YEAR($A91),MONTH($A91),MIN(Settings!$C$60,DAY($B91))))&lt;=MIN($C91,IF(Settings!$E$60="",$C91,Settings!$E$60))),1,0))+IF(OR(Settings!$B$61="",Settings!$F$61="No"),0,Settings!$B$61*IF(AND(IF(Settings!$C$61="",$B91,DATE(YEAR($A91),MONTH($A91),MIN(Settings!$C$61,DAY($B91))))&gt;=MAX($A91,Settings!$D$61),IF(Settings!$C$61="",$B91,DATE(YEAR($A91),MONTH($A91),MIN(Settings!$C$61,DAY($B91))))&lt;=MIN($C91,IF(Settings!$E$61="",$C91,Settings!$E$61))),1,0))+IF(OR(Settings!$B$62="",Settings!$F$62="No"),0,Settings!$B$62*IF(AND(IF(Settings!$C$62="",$B91,DATE(YEAR($A91),MONTH($A91),MIN(Settings!$C$62,DAY($B91))))&gt;=MAX($A91,Settings!$D$62),IF(Settings!$C$62="",$B91,DATE(YEAR($A91),MONTH($A91),MIN(Settings!$C$62,DAY($B91))))&lt;=MIN($C91,IF(Settings!$E$62="",$C91,Settings!$E$62))),1,0))+IF(OR(Settings!$B$63="",Settings!$F$63="No"),0,Settings!$B$63*IF(AND(IF(Settings!$C$63="",$B91,DATE(YEAR($A91),MONTH($A91),MIN(Settings!$C$63,DAY($B91))))&gt;=MAX($A91,Settings!$D$63),IF(Settings!$C$63="",$B91,DATE(YEAR($A91),MONTH($A91),MIN(Settings!$C$63,DAY($B91))))&lt;=MIN($C91,IF(Settings!$E$63="",$C91,Settings!$E$63))),1,0))+IF(OR(Settings!$B$64="",Settings!$F$64="No"),0,Settings!$B$64*IF(AND(IF(Settings!$C$64="",$B91,DATE(YEAR($A91),MONTH($A91),MIN(Settings!$C$64,DAY($B91))))&gt;=MAX($A91,Settings!$D$64),IF(Settings!$C$64="",$B91,DATE(YEAR($A91),MONTH($A91),MIN(Settings!$C$64,DAY($B91))))&lt;=MIN($C91,IF(Settings!$E$64="",$C91,Settings!$E$64))),1,0))+IF(OR(Settings!$B$65="",Settings!$F$65="No"),0,Settings!$B$65*IF(AND(IF(Settings!$C$65="",$B91,DATE(YEAR($A91),MONTH($A91),MIN(Settings!$C$65,DAY($B91))))&gt;=MAX($A91,Settings!$D$65),IF(Settings!$C$65="",$B91,DATE(YEAR($A91),MONTH($A91),MIN(Settings!$C$65,DAY($B91))))&lt;=MIN($C91,IF(Settings!$E$65="",$C91,Settings!$E$65))),1,0))</f>
        <v/>
      </c>
      <c r="AA91">
        <f>$X91+$Z91</f>
        <v/>
      </c>
      <c r="AB91">
        <f>IF($E91="post",$AA91,IF($E91="open",SUMIFS(Giving!$B$7:$B$2006,Giving!$A$7:$A$2006,"&gt;"&amp;Settings!$B$5,Giving!$A$7:$A$2006,"&lt;="&amp;$B91,Giving!$E$7:$E$2006,"&lt;&gt;No")+IF(OR(Settings!$B$60="",Settings!$F$60="No"),0,Settings!$B$60*IF(AND(IF(Settings!$C$60="",$B91,DATE(YEAR($A91),MONTH($A91),MIN(Settings!$C$60,DAY($B91))))&gt;=MAX($A91,Settings!$D$60,Settings!$B$5+1),IF(Settings!$C$60="",$B91,DATE(YEAR($A91),MONTH($A91),MIN(Settings!$C$60,DAY($B91))))&lt;=MIN($C91,IF(Settings!$E$60="",$C91,Settings!$E$60))),1,0))+IF(OR(Settings!$B$61="",Settings!$F$61="No"),0,Settings!$B$61*IF(AND(IF(Settings!$C$61="",$B91,DATE(YEAR($A91),MONTH($A91),MIN(Settings!$C$61,DAY($B91))))&gt;=MAX($A91,Settings!$D$61,Settings!$B$5+1),IF(Settings!$C$61="",$B91,DATE(YEAR($A91),MONTH($A91),MIN(Settings!$C$61,DAY($B91))))&lt;=MIN($C91,IF(Settings!$E$61="",$C91,Settings!$E$61))),1,0))+IF(OR(Settings!$B$62="",Settings!$F$62="No"),0,Settings!$B$62*IF(AND(IF(Settings!$C$62="",$B91,DATE(YEAR($A91),MONTH($A91),MIN(Settings!$C$62,DAY($B91))))&gt;=MAX($A91,Settings!$D$62,Settings!$B$5+1),IF(Settings!$C$62="",$B91,DATE(YEAR($A91),MONTH($A91),MIN(Settings!$C$62,DAY($B91))))&lt;=MIN($C91,IF(Settings!$E$62="",$C91,Settings!$E$62))),1,0))+IF(OR(Settings!$B$63="",Settings!$F$63="No"),0,Settings!$B$63*IF(AND(IF(Settings!$C$63="",$B91,DATE(YEAR($A91),MONTH($A91),MIN(Settings!$C$63,DAY($B91))))&gt;=MAX($A91,Settings!$D$63,Settings!$B$5+1),IF(Settings!$C$63="",$B91,DATE(YEAR($A91),MONTH($A91),MIN(Settings!$C$63,DAY($B91))))&lt;=MIN($C91,IF(Settings!$E$63="",$C91,Settings!$E$63))),1,0))+IF(OR(Settings!$B$64="",Settings!$F$64="No"),0,Settings!$B$64*IF(AND(IF(Settings!$C$64="",$B91,DATE(YEAR($A91),MONTH($A91),MIN(Settings!$C$64,DAY($B91))))&gt;=MAX($A91,Settings!$D$64,Settings!$B$5+1),IF(Settings!$C$64="",$B91,DATE(YEAR($A91),MONTH($A91),MIN(Settings!$C$64,DAY($B91))))&lt;=MIN($C91,IF(Settings!$E$64="",$C91,Settings!$E$64))),1,0))+IF(OR(Settings!$B$65="",Settings!$F$65="No"),0,Settings!$B$65*IF(AND(IF(Settings!$C$65="",$B91,DATE(YEAR($A91),MONTH($A91),MIN(Settings!$C$65,DAY($B91))))&gt;=MAX($A91,Settings!$D$65,Settings!$B$5+1),IF(Settings!$C$65="",$B91,DATE(YEAR($A91),MONTH($A91),MIN(Settings!$C$65,DAY($B91))))&lt;=MIN($C91,IF(Settings!$E$65="",$C91,Settings!$E$65))),1,0)),0))</f>
        <v/>
      </c>
      <c r="AC91">
        <f>$AY91+$AZ91+$BA91+$BB91+$BC91+$BD91</f>
        <v/>
      </c>
      <c r="AD91">
        <f>$AC91</f>
        <v/>
      </c>
      <c r="AE91">
        <f>IF(OR(Settings!$A$19="",$E91="pre"),"",IF(AND('Month-End'!$CJ$7&lt;&gt;"",NOT(_xlfn.ISFORMULA('Month-End'!$CJ$7))),N('Month-End'!$CJ$7),IF(OR($E91="open",$E90="pre"),N(Settings!$C$19),N($AE90))))</f>
        <v/>
      </c>
      <c r="AF91">
        <f>IF(OR(Settings!$A$20="",$E91="pre"),"",IF(AND('Month-End'!$CJ$8&lt;&gt;"",NOT(_xlfn.ISFORMULA('Month-End'!$CJ$8))),N('Month-End'!$CJ$8),IF(OR($E91="open",$E90="pre"),N(Settings!$C$20),N($AF90))))</f>
        <v/>
      </c>
      <c r="AG91">
        <f>IF(OR(Settings!$A$21="",$E91="pre"),"",IF(AND('Month-End'!$CJ$9&lt;&gt;"",NOT(_xlfn.ISFORMULA('Month-End'!$CJ$9))),N('Month-End'!$CJ$9),IF(OR($E91="open",$E90="pre"),N(Settings!$C$21),N($AG90))))</f>
        <v/>
      </c>
      <c r="AH91">
        <f>IF(OR(Settings!$A$22="",$E91="pre"),"",IF(AND('Month-End'!$CJ$10&lt;&gt;"",NOT(_xlfn.ISFORMULA('Month-End'!$CJ$10))),N('Month-End'!$CJ$10),IF(OR($E91="open",$E90="pre"),N(Settings!$C$22),N($AH90))))</f>
        <v/>
      </c>
      <c r="AI91">
        <f>IF(OR(Settings!$A$23="",$E91="pre"),"",IF(AND('Month-End'!$CJ$11&lt;&gt;"",NOT(_xlfn.ISFORMULA('Month-End'!$CJ$11))),N('Month-End'!$CJ$11),IF(OR($E91="open",$E90="pre"),N(Settings!$C$23),N($AI90))))</f>
        <v/>
      </c>
      <c r="AJ91">
        <f>IF(OR(Settings!$A$24="",$E91="pre"),"",IF(AND('Month-End'!$CJ$12&lt;&gt;"",NOT(_xlfn.ISFORMULA('Month-End'!$CJ$12))),N('Month-End'!$CJ$12),IF(OR($E91="open",$E90="pre"),N(Settings!$C$24),N($AJ90))))</f>
        <v/>
      </c>
      <c r="AK91">
        <f>IF(OR(Settings!$A$25="",$E91="pre"),"",IF(AND('Month-End'!$CJ$13&lt;&gt;"",NOT(_xlfn.ISFORMULA('Month-End'!$CJ$13))),N('Month-End'!$CJ$13),IF(OR($E91="open",$E90="pre"),N(Settings!$C$25),N($AK90))))</f>
        <v/>
      </c>
      <c r="AL91">
        <f>IF(OR(Settings!$A$26="",$E91="pre"),"",IF(AND('Month-End'!$CJ$14&lt;&gt;"",NOT(_xlfn.ISFORMULA('Month-End'!$CJ$14))),N('Month-End'!$CJ$14),IF(OR($E91="open",$E90="pre"),N(Settings!$C$26),N($AL90))))</f>
        <v/>
      </c>
      <c r="AM91">
        <f>IF(OR(Settings!$A$27="",$E91="pre"),"",IF(AND('Month-End'!$CJ$15&lt;&gt;"",NOT(_xlfn.ISFORMULA('Month-End'!$CJ$15))),N('Month-End'!$CJ$15),IF(OR($E91="open",$E90="pre"),N(Settings!$C$27),N($AM90))))</f>
        <v/>
      </c>
      <c r="AN91">
        <f>IF(OR(Settings!$A$28="",$E91="pre"),"",IF(AND('Month-End'!$CJ$16&lt;&gt;"",NOT(_xlfn.ISFORMULA('Month-End'!$CJ$16))),N('Month-End'!$CJ$16),IF(OR($E91="open",$E90="pre"),N(Settings!$C$28),N($AN90))))</f>
        <v/>
      </c>
      <c r="AO91">
        <f>IF(OR(Settings!$A$29="",$E91="pre"),"",IF(AND('Month-End'!$CJ$17&lt;&gt;"",NOT(_xlfn.ISFORMULA('Month-End'!$CJ$17))),N('Month-End'!$CJ$17),IF(OR($E91="open",$E90="pre"),N(Settings!$C$29),N($AO90))))</f>
        <v/>
      </c>
      <c r="AP91">
        <f>IF(OR(Settings!$A$30="",$E91="pre"),"",IF(AND('Month-End'!$CJ$18&lt;&gt;"",NOT(_xlfn.ISFORMULA('Month-End'!$CJ$18))),N('Month-End'!$CJ$18),IF(OR($E91="open",$E90="pre"),N(Settings!$C$30),N($AP90))))</f>
        <v/>
      </c>
      <c r="AQ91">
        <f>IF(OR(Settings!$A$31="",$E91="pre"),"",IF(AND('Month-End'!$CJ$19&lt;&gt;"",NOT(_xlfn.ISFORMULA('Month-End'!$CJ$19))),N('Month-End'!$CJ$19),IF(OR($E91="open",$E90="pre"),N(Settings!$C$31),N($AQ90))))</f>
        <v/>
      </c>
      <c r="AR91">
        <f>IF(OR(Settings!$A$32="",$E91="pre"),"",IF(AND('Month-End'!$CJ$20&lt;&gt;"",NOT(_xlfn.ISFORMULA('Month-End'!$CJ$20))),N('Month-End'!$CJ$20),IF(OR($E91="open",$E90="pre"),N(Settings!$C$32),N($AR90))))</f>
        <v/>
      </c>
      <c r="AS91">
        <f>IF(OR(Settings!$A$36="",$E91="pre"),"",IF(AND('Month-End'!$CJ$38&lt;&gt;"",NOT(_xlfn.ISFORMULA('Month-End'!$CJ$38))),N('Month-End'!$CJ$38),IF(OR($E91="open",$E90="pre"),N(Settings!$C$36),N($AS90))+$AY91))</f>
        <v/>
      </c>
      <c r="AT91">
        <f>IF(OR(Settings!$A$37="",$E91="pre"),"",IF(AND('Month-End'!$CJ$39&lt;&gt;"",NOT(_xlfn.ISFORMULA('Month-End'!$CJ$39))),N('Month-End'!$CJ$39),IF(OR($E91="open",$E90="pre"),N(Settings!$C$37),N($AT90))+$AZ91))</f>
        <v/>
      </c>
      <c r="AU91">
        <f>IF(OR(Settings!$A$38="",$E91="pre"),"",IF(AND('Month-End'!$CJ$40&lt;&gt;"",NOT(_xlfn.ISFORMULA('Month-End'!$CJ$40))),N('Month-End'!$CJ$40),IF(OR($E91="open",$E90="pre"),N(Settings!$C$38),N($AU90))+$BA91))</f>
        <v/>
      </c>
      <c r="AV91">
        <f>IF(OR(Settings!$A$39="",$E91="pre"),"",IF(AND('Month-End'!$CJ$41&lt;&gt;"",NOT(_xlfn.ISFORMULA('Month-End'!$CJ$41))),N('Month-End'!$CJ$41),IF(OR($E91="open",$E90="pre"),N(Settings!$C$39),N($AV90))+$BB91))</f>
        <v/>
      </c>
      <c r="AW91">
        <f>IF(OR(Settings!$A$40="",$E91="pre"),"",IF(AND('Month-End'!$CJ$42&lt;&gt;"",NOT(_xlfn.ISFORMULA('Month-End'!$CJ$42))),N('Month-End'!$CJ$42),IF(OR($E91="open",$E90="pre"),N(Settings!$C$40),N($AW90))+$BC91))</f>
        <v/>
      </c>
      <c r="AX91">
        <f>IF(OR(Settings!$A$41="",$E91="pre"),"",IF(AND('Month-End'!$CJ$43&lt;&gt;"",NOT(_xlfn.ISFORMULA('Month-End'!$CJ$43))),N('Month-End'!$CJ$43),IF(OR($E91="open",$E90="pre"),N(Settings!$C$41),N($AX90))+$BD91))</f>
        <v/>
      </c>
      <c r="AY91">
        <f>IF($E91="pre",0,N('Month-End'!$CJ$45))</f>
        <v/>
      </c>
      <c r="AZ91">
        <f>IF($E91="pre",0,N('Month-End'!$CJ$46))</f>
        <v/>
      </c>
      <c r="BA91">
        <f>IF($E91="pre",0,N('Month-End'!$CJ$47))</f>
        <v/>
      </c>
      <c r="BB91">
        <f>IF($E91="pre",0,N('Month-End'!$CJ$48))</f>
        <v/>
      </c>
      <c r="BC91">
        <f>IF($E91="pre",0,N('Month-End'!$CJ$49))</f>
        <v/>
      </c>
      <c r="BD91">
        <f>IF($E91="pre",0,N('Month-End'!$CJ$50))</f>
        <v/>
      </c>
      <c r="BE91">
        <f>IF(OR(Settings!$C$45="",Settings!$D$45=""),0,Settings!$C$45*IF(Settings!$D$45="Weekly",IF(IFERROR(MATCH(Settings!$E$45,$EO$4:$EO$10,0),0)=0,0,IF(MIN($C91,IF(Settings!$G$45="",$C91,Settings!$G$45))&lt;MAX($A91,Settings!$F$45),0,INT((MIN($C91,IF(Settings!$G$45="",$C91,Settings!$G$45))-MAX($A91,Settings!$F$45)-MOD(IFERROR(MATCH(Settings!$E$45,$EO$4:$EO$10,0),0)-WEEKDAY(MAX($A91,Settings!$F$45)),7))/7)+1)),IF(AND(IF(Settings!$E$45="",$B91,DATE(YEAR($A91),MONTH($A91),MIN(Settings!$E$45,DAY($B91))))&gt;=MAX($A91,Settings!$F$45),IF(Settings!$E$45="",$B91,DATE(YEAR($A91),MONTH($A91),MIN(Settings!$E$45,DAY($B91))))&lt;=MIN($C91,IF(Settings!$G$45="",$C91,Settings!$G$45))),1,0)))</f>
        <v/>
      </c>
      <c r="BF91">
        <f>IF(OR(Settings!$C$46="",Settings!$D$46=""),0,Settings!$C$46*IF(Settings!$D$46="Weekly",IF(IFERROR(MATCH(Settings!$E$46,$EO$4:$EO$10,0),0)=0,0,IF(MIN($C91,IF(Settings!$G$46="",$C91,Settings!$G$46))&lt;MAX($A91,Settings!$F$46),0,INT((MIN($C91,IF(Settings!$G$46="",$C91,Settings!$G$46))-MAX($A91,Settings!$F$46)-MOD(IFERROR(MATCH(Settings!$E$46,$EO$4:$EO$10,0),0)-WEEKDAY(MAX($A91,Settings!$F$46)),7))/7)+1)),IF(AND(IF(Settings!$E$46="",$B91,DATE(YEAR($A91),MONTH($A91),MIN(Settings!$E$46,DAY($B91))))&gt;=MAX($A91,Settings!$F$46),IF(Settings!$E$46="",$B91,DATE(YEAR($A91),MONTH($A91),MIN(Settings!$E$46,DAY($B91))))&lt;=MIN($C91,IF(Settings!$G$46="",$C91,Settings!$G$46))),1,0)))</f>
        <v/>
      </c>
      <c r="BG91">
        <f>IF(OR(Settings!$C$47="",Settings!$D$47=""),0,Settings!$C$47*IF(Settings!$D$47="Weekly",IF(IFERROR(MATCH(Settings!$E$47,$EO$4:$EO$10,0),0)=0,0,IF(MIN($C91,IF(Settings!$G$47="",$C91,Settings!$G$47))&lt;MAX($A91,Settings!$F$47),0,INT((MIN($C91,IF(Settings!$G$47="",$C91,Settings!$G$47))-MAX($A91,Settings!$F$47)-MOD(IFERROR(MATCH(Settings!$E$47,$EO$4:$EO$10,0),0)-WEEKDAY(MAX($A91,Settings!$F$47)),7))/7)+1)),IF(AND(IF(Settings!$E$47="",$B91,DATE(YEAR($A91),MONTH($A91),MIN(Settings!$E$47,DAY($B91))))&gt;=MAX($A91,Settings!$F$47),IF(Settings!$E$47="",$B91,DATE(YEAR($A91),MONTH($A91),MIN(Settings!$E$47,DAY($B91))))&lt;=MIN($C91,IF(Settings!$G$47="",$C91,Settings!$G$47))),1,0)))</f>
        <v/>
      </c>
      <c r="BH91">
        <f>IF(OR(Settings!$C$48="",Settings!$D$48=""),0,Settings!$C$48*IF(Settings!$D$48="Weekly",IF(IFERROR(MATCH(Settings!$E$48,$EO$4:$EO$10,0),0)=0,0,IF(MIN($C91,IF(Settings!$G$48="",$C91,Settings!$G$48))&lt;MAX($A91,Settings!$F$48),0,INT((MIN($C91,IF(Settings!$G$48="",$C91,Settings!$G$48))-MAX($A91,Settings!$F$48)-MOD(IFERROR(MATCH(Settings!$E$48,$EO$4:$EO$10,0),0)-WEEKDAY(MAX($A91,Settings!$F$48)),7))/7)+1)),IF(AND(IF(Settings!$E$48="",$B91,DATE(YEAR($A91),MONTH($A91),MIN(Settings!$E$48,DAY($B91))))&gt;=MAX($A91,Settings!$F$48),IF(Settings!$E$48="",$B91,DATE(YEAR($A91),MONTH($A91),MIN(Settings!$E$48,DAY($B91))))&lt;=MIN($C91,IF(Settings!$G$48="",$C91,Settings!$G$48))),1,0)))</f>
        <v/>
      </c>
      <c r="BI91">
        <f>IF(OR(Settings!$C$49="",Settings!$D$49=""),0,Settings!$C$49*IF(Settings!$D$49="Weekly",IF(IFERROR(MATCH(Settings!$E$49,$EO$4:$EO$10,0),0)=0,0,IF(MIN($C91,IF(Settings!$G$49="",$C91,Settings!$G$49))&lt;MAX($A91,Settings!$F$49),0,INT((MIN($C91,IF(Settings!$G$49="",$C91,Settings!$G$49))-MAX($A91,Settings!$F$49)-MOD(IFERROR(MATCH(Settings!$E$49,$EO$4:$EO$10,0),0)-WEEKDAY(MAX($A91,Settings!$F$49)),7))/7)+1)),IF(AND(IF(Settings!$E$49="",$B91,DATE(YEAR($A91),MONTH($A91),MIN(Settings!$E$49,DAY($B91))))&gt;=MAX($A91,Settings!$F$49),IF(Settings!$E$49="",$B91,DATE(YEAR($A91),MONTH($A91),MIN(Settings!$E$49,DAY($B91))))&lt;=MIN($C91,IF(Settings!$G$49="",$C91,Settings!$G$49))),1,0)))</f>
        <v/>
      </c>
      <c r="BJ91">
        <f>IF(OR(Settings!$C$50="",Settings!$D$50=""),0,Settings!$C$50*IF(Settings!$D$50="Weekly",IF(IFERROR(MATCH(Settings!$E$50,$EO$4:$EO$10,0),0)=0,0,IF(MIN($C91,IF(Settings!$G$50="",$C91,Settings!$G$50))&lt;MAX($A91,Settings!$F$50),0,INT((MIN($C91,IF(Settings!$G$50="",$C91,Settings!$G$50))-MAX($A91,Settings!$F$50)-MOD(IFERROR(MATCH(Settings!$E$50,$EO$4:$EO$10,0),0)-WEEKDAY(MAX($A91,Settings!$F$50)),7))/7)+1)),IF(AND(IF(Settings!$E$50="",$B91,DATE(YEAR($A91),MONTH($A91),MIN(Settings!$E$50,DAY($B91))))&gt;=MAX($A91,Settings!$F$50),IF(Settings!$E$50="",$B91,DATE(YEAR($A91),MONTH($A91),MIN(Settings!$E$50,DAY($B91))))&lt;=MIN($C91,IF(Settings!$G$50="",$C91,Settings!$G$50))),1,0)))</f>
        <v/>
      </c>
      <c r="BK91">
        <f>IF(OR(Settings!$C$51="",Settings!$D$51=""),0,Settings!$C$51*IF(Settings!$D$51="Weekly",IF(IFERROR(MATCH(Settings!$E$51,$EO$4:$EO$10,0),0)=0,0,IF(MIN($C91,IF(Settings!$G$51="",$C91,Settings!$G$51))&lt;MAX($A91,Settings!$F$51),0,INT((MIN($C91,IF(Settings!$G$51="",$C91,Settings!$G$51))-MAX($A91,Settings!$F$51)-MOD(IFERROR(MATCH(Settings!$E$51,$EO$4:$EO$10,0),0)-WEEKDAY(MAX($A91,Settings!$F$51)),7))/7)+1)),IF(AND(IF(Settings!$E$51="",$B91,DATE(YEAR($A91),MONTH($A91),MIN(Settings!$E$51,DAY($B91))))&gt;=MAX($A91,Settings!$F$51),IF(Settings!$E$51="",$B91,DATE(YEAR($A91),MONTH($A91),MIN(Settings!$E$51,DAY($B91))))&lt;=MIN($C91,IF(Settings!$G$51="",$C91,Settings!$G$51))),1,0)))</f>
        <v/>
      </c>
      <c r="BL91">
        <f>IF(OR(Settings!$C$52="",Settings!$D$52=""),0,Settings!$C$52*IF(Settings!$D$52="Weekly",IF(IFERROR(MATCH(Settings!$E$52,$EO$4:$EO$10,0),0)=0,0,IF(MIN($C91,IF(Settings!$G$52="",$C91,Settings!$G$52))&lt;MAX($A91,Settings!$F$52),0,INT((MIN($C91,IF(Settings!$G$52="",$C91,Settings!$G$52))-MAX($A91,Settings!$F$52)-MOD(IFERROR(MATCH(Settings!$E$52,$EO$4:$EO$10,0),0)-WEEKDAY(MAX($A91,Settings!$F$52)),7))/7)+1)),IF(AND(IF(Settings!$E$52="",$B91,DATE(YEAR($A91),MONTH($A91),MIN(Settings!$E$52,DAY($B91))))&gt;=MAX($A91,Settings!$F$52),IF(Settings!$E$52="",$B91,DATE(YEAR($A91),MONTH($A91),MIN(Settings!$E$52,DAY($B91))))&lt;=MIN($C91,IF(Settings!$G$52="",$C91,Settings!$G$52))),1,0)))</f>
        <v/>
      </c>
      <c r="BM91">
        <f>IF(OR(Settings!$C$53="",Settings!$D$53=""),0,Settings!$C$53*IF(Settings!$D$53="Weekly",IF(IFERROR(MATCH(Settings!$E$53,$EO$4:$EO$10,0),0)=0,0,IF(MIN($C91,IF(Settings!$G$53="",$C91,Settings!$G$53))&lt;MAX($A91,Settings!$F$53),0,INT((MIN($C91,IF(Settings!$G$53="",$C91,Settings!$G$53))-MAX($A91,Settings!$F$53)-MOD(IFERROR(MATCH(Settings!$E$53,$EO$4:$EO$10,0),0)-WEEKDAY(MAX($A91,Settings!$F$53)),7))/7)+1)),IF(AND(IF(Settings!$E$53="",$B91,DATE(YEAR($A91),MONTH($A91),MIN(Settings!$E$53,DAY($B91))))&gt;=MAX($A91,Settings!$F$53),IF(Settings!$E$53="",$B91,DATE(YEAR($A91),MONTH($A91),MIN(Settings!$E$53,DAY($B91))))&lt;=MIN($C91,IF(Settings!$G$53="",$C91,Settings!$G$53))),1,0)))</f>
        <v/>
      </c>
      <c r="BN91">
        <f>IF(OR(Settings!$C$54="",Settings!$D$54=""),0,Settings!$C$54*IF(Settings!$D$54="Weekly",IF(IFERROR(MATCH(Settings!$E$54,$EO$4:$EO$10,0),0)=0,0,IF(MIN($C91,IF(Settings!$G$54="",$C91,Settings!$G$54))&lt;MAX($A91,Settings!$F$54),0,INT((MIN($C91,IF(Settings!$G$54="",$C91,Settings!$G$54))-MAX($A91,Settings!$F$54)-MOD(IFERROR(MATCH(Settings!$E$54,$EO$4:$EO$10,0),0)-WEEKDAY(MAX($A91,Settings!$F$54)),7))/7)+1)),IF(AND(IF(Settings!$E$54="",$B91,DATE(YEAR($A91),MONTH($A91),MIN(Settings!$E$54,DAY($B91))))&gt;=MAX($A91,Settings!$F$54),IF(Settings!$E$54="",$B91,DATE(YEAR($A91),MONTH($A91),MIN(Settings!$E$54,DAY($B91))))&lt;=MIN($C91,IF(Settings!$G$54="",$C91,Settings!$G$54))),1,0)))</f>
        <v/>
      </c>
      <c r="BO91">
        <f>IF(OR(Settings!$C$55="",Settings!$D$55=""),0,Settings!$C$55*IF(Settings!$D$55="Weekly",IF(IFERROR(MATCH(Settings!$E$55,$EO$4:$EO$10,0),0)=0,0,IF(MIN($C91,IF(Settings!$G$55="",$C91,Settings!$G$55))&lt;MAX($A91,Settings!$F$55),0,INT((MIN($C91,IF(Settings!$G$55="",$C91,Settings!$G$55))-MAX($A91,Settings!$F$55)-MOD(IFERROR(MATCH(Settings!$E$55,$EO$4:$EO$10,0),0)-WEEKDAY(MAX($A91,Settings!$F$55)),7))/7)+1)),IF(AND(IF(Settings!$E$55="",$B91,DATE(YEAR($A91),MONTH($A91),MIN(Settings!$E$55,DAY($B91))))&gt;=MAX($A91,Settings!$F$55),IF(Settings!$E$55="",$B91,DATE(YEAR($A91),MONTH($A91),MIN(Settings!$E$55,DAY($B91))))&lt;=MIN($C91,IF(Settings!$G$55="",$C91,Settings!$G$55))),1,0)))</f>
        <v/>
      </c>
      <c r="BP91">
        <f>IF(OR(Settings!$C$56="",Settings!$D$56=""),0,Settings!$C$56*IF(Settings!$D$56="Weekly",IF(IFERROR(MATCH(Settings!$E$56,$EO$4:$EO$10,0),0)=0,0,IF(MIN($C91,IF(Settings!$G$56="",$C91,Settings!$G$56))&lt;MAX($A91,Settings!$F$56),0,INT((MIN($C91,IF(Settings!$G$56="",$C91,Settings!$G$56))-MAX($A91,Settings!$F$56)-MOD(IFERROR(MATCH(Settings!$E$56,$EO$4:$EO$10,0),0)-WEEKDAY(MAX($A91,Settings!$F$56)),7))/7)+1)),IF(AND(IF(Settings!$E$56="",$B91,DATE(YEAR($A91),MONTH($A91),MIN(Settings!$E$56,DAY($B91))))&gt;=MAX($A91,Settings!$F$56),IF(Settings!$E$56="",$B91,DATE(YEAR($A91),MONTH($A91),MIN(Settings!$E$56,DAY($B91))))&lt;=MIN($C91,IF(Settings!$G$56="",$C91,Settings!$G$56))),1,0)))</f>
        <v/>
      </c>
      <c r="BQ91">
        <f>IF(OR(Settings!$B$14="",$D91=1,$E91="pre",$A91&lt;IF(Settings!$B$15="",0,Settings!$B$15)),0,Settings!$B$14)</f>
        <v/>
      </c>
      <c r="BR91">
        <f>IF(AND('Month-End'!$CJ$7&lt;&gt;"",NOT(_xlfn.ISFORMULA('Month-End'!$CJ$7))),1,0)</f>
        <v/>
      </c>
      <c r="BS91">
        <f>IF(AND('Month-End'!$CJ$8&lt;&gt;"",NOT(_xlfn.ISFORMULA('Month-End'!$CJ$8))),1,0)</f>
        <v/>
      </c>
      <c r="BT91">
        <f>IF(AND('Month-End'!$CJ$9&lt;&gt;"",NOT(_xlfn.ISFORMULA('Month-End'!$CJ$9))),1,0)</f>
        <v/>
      </c>
      <c r="BU91">
        <f>IF(AND('Month-End'!$CJ$10&lt;&gt;"",NOT(_xlfn.ISFORMULA('Month-End'!$CJ$10))),1,0)</f>
        <v/>
      </c>
      <c r="BV91">
        <f>IF(AND('Month-End'!$CJ$11&lt;&gt;"",NOT(_xlfn.ISFORMULA('Month-End'!$CJ$11))),1,0)</f>
        <v/>
      </c>
      <c r="BW91">
        <f>IF(AND('Month-End'!$CJ$12&lt;&gt;"",NOT(_xlfn.ISFORMULA('Month-End'!$CJ$12))),1,0)</f>
        <v/>
      </c>
      <c r="BX91">
        <f>IF(AND('Month-End'!$CJ$13&lt;&gt;"",NOT(_xlfn.ISFORMULA('Month-End'!$CJ$13))),1,0)</f>
        <v/>
      </c>
      <c r="BY91">
        <f>IF(AND('Month-End'!$CJ$14&lt;&gt;"",NOT(_xlfn.ISFORMULA('Month-End'!$CJ$14))),1,0)</f>
        <v/>
      </c>
      <c r="BZ91">
        <f>IF(AND('Month-End'!$CJ$15&lt;&gt;"",NOT(_xlfn.ISFORMULA('Month-End'!$CJ$15))),1,0)</f>
        <v/>
      </c>
      <c r="CA91">
        <f>IF(AND('Month-End'!$CJ$16&lt;&gt;"",NOT(_xlfn.ISFORMULA('Month-End'!$CJ$16))),1,0)</f>
        <v/>
      </c>
      <c r="CB91">
        <f>IF(AND('Month-End'!$CJ$17&lt;&gt;"",NOT(_xlfn.ISFORMULA('Month-End'!$CJ$17))),1,0)</f>
        <v/>
      </c>
      <c r="CC91">
        <f>IF(AND('Month-End'!$CJ$18&lt;&gt;"",NOT(_xlfn.ISFORMULA('Month-End'!$CJ$18))),1,0)</f>
        <v/>
      </c>
      <c r="CD91">
        <f>IF(AND('Month-End'!$CJ$19&lt;&gt;"",NOT(_xlfn.ISFORMULA('Month-End'!$CJ$19))),1,0)</f>
        <v/>
      </c>
      <c r="CE91">
        <f>IF(AND('Month-End'!$CJ$20&lt;&gt;"",NOT(_xlfn.ISFORMULA('Month-End'!$CJ$20))),1,0)</f>
        <v/>
      </c>
      <c r="CF91">
        <f>IF(AND('Month-End'!$CJ$38&lt;&gt;"",NOT(_xlfn.ISFORMULA('Month-End'!$CJ$38))),1,0)</f>
        <v/>
      </c>
      <c r="CG91">
        <f>IF(AND('Month-End'!$CJ$39&lt;&gt;"",NOT(_xlfn.ISFORMULA('Month-End'!$CJ$39))),1,0)</f>
        <v/>
      </c>
      <c r="CH91">
        <f>IF(AND('Month-End'!$CJ$40&lt;&gt;"",NOT(_xlfn.ISFORMULA('Month-End'!$CJ$40))),1,0)</f>
        <v/>
      </c>
      <c r="CI91">
        <f>IF(AND('Month-End'!$CJ$41&lt;&gt;"",NOT(_xlfn.ISFORMULA('Month-End'!$CJ$41))),1,0)</f>
        <v/>
      </c>
      <c r="CJ91">
        <f>IF(AND('Month-End'!$CJ$42&lt;&gt;"",NOT(_xlfn.ISFORMULA('Month-End'!$CJ$42))),1,0)</f>
        <v/>
      </c>
      <c r="CK91">
        <f>IF(AND('Month-End'!$CJ$43&lt;&gt;"",NOT(_xlfn.ISFORMULA('Month-End'!$CJ$43))),1,0)</f>
        <v/>
      </c>
      <c r="CL91">
        <f>SUM($CM91:$CZ91)</f>
        <v/>
      </c>
      <c r="CM91">
        <f>IF(AND($E91&lt;&gt;"pre",AND(Settings!$A$19&lt;&gt;"",Settings!$E$19&lt;&gt;"No"),Settings!$F$19="Yes",NOT(AND('Month-End'!$CJ$7&lt;&gt;"",NOT(_xlfn.ISFORMULA('Month-End'!$CJ$7))))),1,0)</f>
        <v/>
      </c>
      <c r="CN91">
        <f>IF(AND($E91&lt;&gt;"pre",AND(Settings!$A$20&lt;&gt;"",Settings!$E$20&lt;&gt;"No"),Settings!$F$20="Yes",NOT(AND('Month-End'!$CJ$8&lt;&gt;"",NOT(_xlfn.ISFORMULA('Month-End'!$CJ$8))))),1,0)</f>
        <v/>
      </c>
      <c r="CO91">
        <f>IF(AND($E91&lt;&gt;"pre",AND(Settings!$A$21&lt;&gt;"",Settings!$E$21&lt;&gt;"No"),Settings!$F$21="Yes",NOT(AND('Month-End'!$CJ$9&lt;&gt;"",NOT(_xlfn.ISFORMULA('Month-End'!$CJ$9))))),1,0)</f>
        <v/>
      </c>
      <c r="CP91">
        <f>IF(AND($E91&lt;&gt;"pre",AND(Settings!$A$22&lt;&gt;"",Settings!$E$22&lt;&gt;"No"),Settings!$F$22="Yes",NOT(AND('Month-End'!$CJ$10&lt;&gt;"",NOT(_xlfn.ISFORMULA('Month-End'!$CJ$10))))),1,0)</f>
        <v/>
      </c>
      <c r="CQ91">
        <f>IF(AND($E91&lt;&gt;"pre",AND(Settings!$A$23&lt;&gt;"",Settings!$E$23&lt;&gt;"No"),Settings!$F$23="Yes",NOT(AND('Month-End'!$CJ$11&lt;&gt;"",NOT(_xlfn.ISFORMULA('Month-End'!$CJ$11))))),1,0)</f>
        <v/>
      </c>
      <c r="CR91">
        <f>IF(AND($E91&lt;&gt;"pre",AND(Settings!$A$24&lt;&gt;"",Settings!$E$24&lt;&gt;"No"),Settings!$F$24="Yes",NOT(AND('Month-End'!$CJ$12&lt;&gt;"",NOT(_xlfn.ISFORMULA('Month-End'!$CJ$12))))),1,0)</f>
        <v/>
      </c>
      <c r="CS91">
        <f>IF(AND($E91&lt;&gt;"pre",AND(Settings!$A$25&lt;&gt;"",Settings!$E$25&lt;&gt;"No"),Settings!$F$25="Yes",NOT(AND('Month-End'!$CJ$13&lt;&gt;"",NOT(_xlfn.ISFORMULA('Month-End'!$CJ$13))))),1,0)</f>
        <v/>
      </c>
      <c r="CT91">
        <f>IF(AND($E91&lt;&gt;"pre",AND(Settings!$A$26&lt;&gt;"",Settings!$E$26&lt;&gt;"No"),Settings!$F$26="Yes",NOT(AND('Month-End'!$CJ$14&lt;&gt;"",NOT(_xlfn.ISFORMULA('Month-End'!$CJ$14))))),1,0)</f>
        <v/>
      </c>
      <c r="CU91">
        <f>IF(AND($E91&lt;&gt;"pre",AND(Settings!$A$27&lt;&gt;"",Settings!$E$27&lt;&gt;"No"),Settings!$F$27="Yes",NOT(AND('Month-End'!$CJ$15&lt;&gt;"",NOT(_xlfn.ISFORMULA('Month-End'!$CJ$15))))),1,0)</f>
        <v/>
      </c>
      <c r="CV91">
        <f>IF(AND($E91&lt;&gt;"pre",AND(Settings!$A$28&lt;&gt;"",Settings!$E$28&lt;&gt;"No"),Settings!$F$28="Yes",NOT(AND('Month-End'!$CJ$16&lt;&gt;"",NOT(_xlfn.ISFORMULA('Month-End'!$CJ$16))))),1,0)</f>
        <v/>
      </c>
      <c r="CW91">
        <f>IF(AND($E91&lt;&gt;"pre",AND(Settings!$A$29&lt;&gt;"",Settings!$E$29&lt;&gt;"No"),Settings!$F$29="Yes",NOT(AND('Month-End'!$CJ$17&lt;&gt;"",NOT(_xlfn.ISFORMULA('Month-End'!$CJ$17))))),1,0)</f>
        <v/>
      </c>
      <c r="CX91">
        <f>IF(AND($E91&lt;&gt;"pre",AND(Settings!$A$30&lt;&gt;"",Settings!$E$30&lt;&gt;"No"),Settings!$F$30="Yes",NOT(AND('Month-End'!$CJ$18&lt;&gt;"",NOT(_xlfn.ISFORMULA('Month-End'!$CJ$18))))),1,0)</f>
        <v/>
      </c>
      <c r="CY91">
        <f>IF(AND($E91&lt;&gt;"pre",AND(Settings!$A$31&lt;&gt;"",Settings!$E$31&lt;&gt;"No"),Settings!$F$31="Yes",NOT(AND('Month-End'!$CJ$19&lt;&gt;"",NOT(_xlfn.ISFORMULA('Month-End'!$CJ$19))))),1,0)</f>
        <v/>
      </c>
      <c r="CZ91">
        <f>IF(AND($E91&lt;&gt;"pre",AND(Settings!$A$32&lt;&gt;"",Settings!$E$32&lt;&gt;"No"),Settings!$F$32="Yes",NOT(AND('Month-End'!$CJ$20&lt;&gt;"",NOT(_xlfn.ISFORMULA('Month-End'!$CJ$20))))),1,0)</f>
        <v/>
      </c>
      <c r="DA91">
        <f>IF($DT91=1,IF(OR(Settings!$B$19="Checking",Settings!$B$19="Savings",Settings!$B$19="Cash"),N($AE91),IF(OR(Settings!$B$19="Card",Settings!$B$19="Loan"),-N($AE91),0))+IF(OR(Settings!$B$20="Checking",Settings!$B$20="Savings",Settings!$B$20="Cash"),N($AF91),IF(OR(Settings!$B$20="Card",Settings!$B$20="Loan"),-N($AF91),0))+IF(OR(Settings!$B$21="Checking",Settings!$B$21="Savings",Settings!$B$21="Cash"),N($AG91),IF(OR(Settings!$B$21="Card",Settings!$B$21="Loan"),-N($AG91),0))+IF(OR(Settings!$B$22="Checking",Settings!$B$22="Savings",Settings!$B$22="Cash"),N($AH91),IF(OR(Settings!$B$22="Card",Settings!$B$22="Loan"),-N($AH91),0))+IF(OR(Settings!$B$23="Checking",Settings!$B$23="Savings",Settings!$B$23="Cash"),N($AI91),IF(OR(Settings!$B$23="Card",Settings!$B$23="Loan"),-N($AI91),0))+IF(OR(Settings!$B$24="Checking",Settings!$B$24="Savings",Settings!$B$24="Cash"),N($AJ91),IF(OR(Settings!$B$24="Card",Settings!$B$24="Loan"),-N($AJ91),0))+IF(OR(Settings!$B$25="Checking",Settings!$B$25="Savings",Settings!$B$25="Cash"),N($AK91),IF(OR(Settings!$B$25="Card",Settings!$B$25="Loan"),-N($AK91),0))+IF(OR(Settings!$B$26="Checking",Settings!$B$26="Savings",Settings!$B$26="Cash"),N($AL91),IF(OR(Settings!$B$26="Card",Settings!$B$26="Loan"),-N($AL91),0))+IF(OR(Settings!$B$27="Checking",Settings!$B$27="Savings",Settings!$B$27="Cash"),N($AM91),IF(OR(Settings!$B$27="Card",Settings!$B$27="Loan"),-N($AM91),0))+IF(OR(Settings!$B$28="Checking",Settings!$B$28="Savings",Settings!$B$28="Cash"),N($AN91),IF(OR(Settings!$B$28="Card",Settings!$B$28="Loan"),-N($AN91),0))+IF(OR(Settings!$B$29="Checking",Settings!$B$29="Savings",Settings!$B$29="Cash"),N($AO91),IF(OR(Settings!$B$29="Card",Settings!$B$29="Loan"),-N($AO91),0))+IF(OR(Settings!$B$30="Checking",Settings!$B$30="Savings",Settings!$B$30="Cash"),N($AP91),IF(OR(Settings!$B$30="Card",Settings!$B$30="Loan"),-N($AP91),0))+IF(OR(Settings!$B$31="Checking",Settings!$B$31="Savings",Settings!$B$31="Cash"),N($AQ91),IF(OR(Settings!$B$31="Card",Settings!$B$31="Loan"),-N($AQ91),0))+IF(OR(Settings!$B$32="Checking",Settings!$B$32="Savings",Settings!$B$32="Cash"),N($AR91),IF(OR(Settings!$B$32="Card",Settings!$B$32="Loan"),-N($AR91),0)),"")</f>
        <v/>
      </c>
      <c r="DB91">
        <f>IF($E91="open",$EB$27,IF($E91="post",IF($E90="pre",$EB$27,$DA90),""))</f>
        <v/>
      </c>
      <c r="DC91">
        <f>IF($E91="open",1,IF($E91="post",IF($E90="pre",1,$DT90),0))</f>
        <v/>
      </c>
      <c r="DD91">
        <f>IF(AND($DT91=1,$DC91=1),ROUND($W91-($DA91-$DB91)-$AD91-$AB91,2),"")</f>
        <v/>
      </c>
      <c r="DE91">
        <f>IF('Month-End'!$CJ$35="",$BQ91,N('Month-End'!$CJ$35))</f>
        <v/>
      </c>
      <c r="DF91">
        <f>N('Month-End'!$CJ$36)</f>
        <v/>
      </c>
      <c r="DG91">
        <f>IF($DD91="","",$DD91+$DE91)</f>
        <v/>
      </c>
      <c r="DH91">
        <f>IF($DG91="","",$DG91-$DF91)</f>
        <v/>
      </c>
      <c r="DI91">
        <f>IF(OR($E91="pre",$D91=1),"",N($AS91)+N($AT91)+N($AU91)+N($AV91)+N($AW91)+N($AX91))</f>
        <v/>
      </c>
      <c r="DJ91">
        <f>IF($DT91=1,$DA91+N($DI91),"")</f>
        <v/>
      </c>
      <c r="DK91">
        <f>IF($DD91="","",$W91-$DD91-$AB91)</f>
        <v/>
      </c>
      <c r="DL91">
        <f>IF(AND($E91="post",$DD91&lt;&gt;"",$B91&lt;TODAY()),1,0)</f>
        <v/>
      </c>
      <c r="DM91">
        <f>IF($DL91=1,COUNTIF($DL91:$DL$183,1),0)</f>
        <v/>
      </c>
      <c r="DN91">
        <f>IF($D91=1,"",IF($E91="pre","History only",IF($DT91=1,IF($DD91="","⚠ Previous month missing",IF($DD91&lt;0,"⚠ Check: spending &lt; 0",IF($E91="open","✓ Done (partial)","✓ Done"))),IF($B91&gt;=TODAY(),"In progress","⚠ Needs balances"))))</f>
        <v/>
      </c>
      <c r="DO91">
        <f>YEAR($A91)</f>
        <v/>
      </c>
      <c r="DP91">
        <f>DATE(YEAR($A91),INT((MONTH($A91)-1)/3)*3+1,1)</f>
        <v/>
      </c>
      <c r="DQ91">
        <f>IF(AND($DT91=1,$DD91&lt;&gt;"",$D91=0),ROW(),0)</f>
        <v/>
      </c>
      <c r="DR91">
        <f>IF(AND($E91&lt;&gt;"pre",$B91&lt;TODAY(),$DT91=0),1,0)</f>
        <v/>
      </c>
      <c r="DS91">
        <f>IF($DJ91="",NA(),$DJ91)</f>
        <v/>
      </c>
      <c r="DT91">
        <f>IF(AND($E91&lt;&gt;"pre",$CL91=0,COUNTIFS(Settings!$F$19:$F$32,"Yes",Settings!$A$19:$A$32,"&lt;&gt;",Settings!$E$19:$E$32,"&lt;&gt;No")&gt;0),1,0)</f>
        <v/>
      </c>
      <c r="DU91">
        <f>IF(AND($B91&lt;TODAY(),$S91&gt;0),1,0)</f>
        <v/>
      </c>
      <c r="DV91">
        <f>IF($DU91=1,COUNTIF($DU91:$DU$183,1),0)</f>
        <v/>
      </c>
      <c r="DW91">
        <f>IF(AND(OR(Settings!$B$19="Card",Settings!$B$19="Loan"),AND('Month-End'!$CJ$7&lt;&gt;"",NOT(_xlfn.ISFORMULA('Month-End'!$CJ$7)))),IF(N('Month-End'!$CJ$7)&lt;0,1,0),0)+IF(AND(OR(Settings!$B$20="Card",Settings!$B$20="Loan"),AND('Month-End'!$CJ$8&lt;&gt;"",NOT(_xlfn.ISFORMULA('Month-End'!$CJ$8)))),IF(N('Month-End'!$CJ$8)&lt;0,1,0),0)+IF(AND(OR(Settings!$B$21="Card",Settings!$B$21="Loan"),AND('Month-End'!$CJ$9&lt;&gt;"",NOT(_xlfn.ISFORMULA('Month-End'!$CJ$9)))),IF(N('Month-End'!$CJ$9)&lt;0,1,0),0)+IF(AND(OR(Settings!$B$22="Card",Settings!$B$22="Loan"),AND('Month-End'!$CJ$10&lt;&gt;"",NOT(_xlfn.ISFORMULA('Month-End'!$CJ$10)))),IF(N('Month-End'!$CJ$10)&lt;0,1,0),0)+IF(AND(OR(Settings!$B$23="Card",Settings!$B$23="Loan"),AND('Month-End'!$CJ$11&lt;&gt;"",NOT(_xlfn.ISFORMULA('Month-End'!$CJ$11)))),IF(N('Month-End'!$CJ$11)&lt;0,1,0),0)+IF(AND(OR(Settings!$B$24="Card",Settings!$B$24="Loan"),AND('Month-End'!$CJ$12&lt;&gt;"",NOT(_xlfn.ISFORMULA('Month-End'!$CJ$12)))),IF(N('Month-End'!$CJ$12)&lt;0,1,0),0)+IF(AND(OR(Settings!$B$25="Card",Settings!$B$25="Loan"),AND('Month-End'!$CJ$13&lt;&gt;"",NOT(_xlfn.ISFORMULA('Month-End'!$CJ$13)))),IF(N('Month-End'!$CJ$13)&lt;0,1,0),0)+IF(AND(OR(Settings!$B$26="Card",Settings!$B$26="Loan"),AND('Month-End'!$CJ$14&lt;&gt;"",NOT(_xlfn.ISFORMULA('Month-End'!$CJ$14)))),IF(N('Month-End'!$CJ$14)&lt;0,1,0),0)+IF(AND(OR(Settings!$B$27="Card",Settings!$B$27="Loan"),AND('Month-End'!$CJ$15&lt;&gt;"",NOT(_xlfn.ISFORMULA('Month-End'!$CJ$15)))),IF(N('Month-End'!$CJ$15)&lt;0,1,0),0)+IF(AND(OR(Settings!$B$28="Card",Settings!$B$28="Loan"),AND('Month-End'!$CJ$16&lt;&gt;"",NOT(_xlfn.ISFORMULA('Month-End'!$CJ$16)))),IF(N('Month-End'!$CJ$16)&lt;0,1,0),0)+IF(AND(OR(Settings!$B$29="Card",Settings!$B$29="Loan"),AND('Month-End'!$CJ$17&lt;&gt;"",NOT(_xlfn.ISFORMULA('Month-End'!$CJ$17)))),IF(N('Month-End'!$CJ$17)&lt;0,1,0),0)+IF(AND(OR(Settings!$B$30="Card",Settings!$B$30="Loan"),AND('Month-End'!$CJ$18&lt;&gt;"",NOT(_xlfn.ISFORMULA('Month-End'!$CJ$18)))),IF(N('Month-End'!$CJ$18)&lt;0,1,0),0)+IF(AND(OR(Settings!$B$31="Card",Settings!$B$31="Loan"),AND('Month-End'!$CJ$19&lt;&gt;"",NOT(_xlfn.ISFORMULA('Month-End'!$CJ$19)))),IF(N('Month-End'!$CJ$19)&lt;0,1,0),0)+IF(AND(OR(Settings!$B$32="Card",Settings!$B$32="Loan"),AND('Month-End'!$CJ$20&lt;&gt;"",NOT(_xlfn.ISFORMULA('Month-End'!$CJ$20)))),IF(N('Month-End'!$CJ$20)&lt;0,1,0),0)</f>
        <v/>
      </c>
      <c r="DX91">
        <f>IF(Settings!$B$36="Retirement",$AY91,0)+IF(Settings!$B$37="Retirement",$AZ91,0)+IF(Settings!$B$38="Retirement",$BA91,0)+IF(Settings!$B$39="Retirement",$BB91,0)+IF(Settings!$B$40="Retirement",$BC91,0)+IF(Settings!$B$41="Retirement",$BD91,0)</f>
        <v/>
      </c>
      <c r="ET91">
        <f>IF($E91&lt;&gt;"open",0,IF(AND('Month-End'!$CJ$22&lt;&gt;"",NOT(_xlfn.ISFORMULA('Month-End'!$CJ$22))),0,IF(OR(Settings!$C$45="",Settings!$D$45=""),0,Settings!$C$45*IF(Settings!$D$45="Weekly",IF(IFERROR(MATCH(Settings!$E$45,$EO$4:$EO$10,0),0)=0,0,IF(MIN(Settings!$B$5,IF(Settings!$G$45="",Settings!$B$5,Settings!$G$45))&lt;MAX($A91,Settings!$F$45),0,INT((MIN(Settings!$B$5,IF(Settings!$G$45="",Settings!$B$5,Settings!$G$45))-MAX($A91,Settings!$F$45)-MOD(IFERROR(MATCH(Settings!$E$45,$EO$4:$EO$10,0),0)-WEEKDAY(MAX($A91,Settings!$F$45)),7))/7)+1)),IF(AND(IF(Settings!$E$45="",$B91,DATE(YEAR($A91),MONTH($A91),MIN(Settings!$E$45,DAY($B91))))&gt;=MAX($A91,Settings!$F$45),IF(Settings!$E$45="",$B91,DATE(YEAR($A91),MONTH($A91),MIN(Settings!$E$45,DAY($B91))))&lt;=MIN(Settings!$B$5,IF(Settings!$G$45="",Settings!$B$5,Settings!$G$45))),1,0)))))</f>
        <v/>
      </c>
      <c r="EU91">
        <f>IF($E91&lt;&gt;"open",0,IF(AND('Month-End'!$CJ$23&lt;&gt;"",NOT(_xlfn.ISFORMULA('Month-End'!$CJ$23))),0,IF(OR(Settings!$C$46="",Settings!$D$46=""),0,Settings!$C$46*IF(Settings!$D$46="Weekly",IF(IFERROR(MATCH(Settings!$E$46,$EO$4:$EO$10,0),0)=0,0,IF(MIN(Settings!$B$5,IF(Settings!$G$46="",Settings!$B$5,Settings!$G$46))&lt;MAX($A91,Settings!$F$46),0,INT((MIN(Settings!$B$5,IF(Settings!$G$46="",Settings!$B$5,Settings!$G$46))-MAX($A91,Settings!$F$46)-MOD(IFERROR(MATCH(Settings!$E$46,$EO$4:$EO$10,0),0)-WEEKDAY(MAX($A91,Settings!$F$46)),7))/7)+1)),IF(AND(IF(Settings!$E$46="",$B91,DATE(YEAR($A91),MONTH($A91),MIN(Settings!$E$46,DAY($B91))))&gt;=MAX($A91,Settings!$F$46),IF(Settings!$E$46="",$B91,DATE(YEAR($A91),MONTH($A91),MIN(Settings!$E$46,DAY($B91))))&lt;=MIN(Settings!$B$5,IF(Settings!$G$46="",Settings!$B$5,Settings!$G$46))),1,0)))))</f>
        <v/>
      </c>
      <c r="EV91">
        <f>IF($E91&lt;&gt;"open",0,IF(AND('Month-End'!$CJ$24&lt;&gt;"",NOT(_xlfn.ISFORMULA('Month-End'!$CJ$24))),0,IF(OR(Settings!$C$47="",Settings!$D$47=""),0,Settings!$C$47*IF(Settings!$D$47="Weekly",IF(IFERROR(MATCH(Settings!$E$47,$EO$4:$EO$10,0),0)=0,0,IF(MIN(Settings!$B$5,IF(Settings!$G$47="",Settings!$B$5,Settings!$G$47))&lt;MAX($A91,Settings!$F$47),0,INT((MIN(Settings!$B$5,IF(Settings!$G$47="",Settings!$B$5,Settings!$G$47))-MAX($A91,Settings!$F$47)-MOD(IFERROR(MATCH(Settings!$E$47,$EO$4:$EO$10,0),0)-WEEKDAY(MAX($A91,Settings!$F$47)),7))/7)+1)),IF(AND(IF(Settings!$E$47="",$B91,DATE(YEAR($A91),MONTH($A91),MIN(Settings!$E$47,DAY($B91))))&gt;=MAX($A91,Settings!$F$47),IF(Settings!$E$47="",$B91,DATE(YEAR($A91),MONTH($A91),MIN(Settings!$E$47,DAY($B91))))&lt;=MIN(Settings!$B$5,IF(Settings!$G$47="",Settings!$B$5,Settings!$G$47))),1,0)))))</f>
        <v/>
      </c>
      <c r="EW91">
        <f>IF($E91&lt;&gt;"open",0,IF(AND('Month-End'!$CJ$25&lt;&gt;"",NOT(_xlfn.ISFORMULA('Month-End'!$CJ$25))),0,IF(OR(Settings!$C$48="",Settings!$D$48=""),0,Settings!$C$48*IF(Settings!$D$48="Weekly",IF(IFERROR(MATCH(Settings!$E$48,$EO$4:$EO$10,0),0)=0,0,IF(MIN(Settings!$B$5,IF(Settings!$G$48="",Settings!$B$5,Settings!$G$48))&lt;MAX($A91,Settings!$F$48),0,INT((MIN(Settings!$B$5,IF(Settings!$G$48="",Settings!$B$5,Settings!$G$48))-MAX($A91,Settings!$F$48)-MOD(IFERROR(MATCH(Settings!$E$48,$EO$4:$EO$10,0),0)-WEEKDAY(MAX($A91,Settings!$F$48)),7))/7)+1)),IF(AND(IF(Settings!$E$48="",$B91,DATE(YEAR($A91),MONTH($A91),MIN(Settings!$E$48,DAY($B91))))&gt;=MAX($A91,Settings!$F$48),IF(Settings!$E$48="",$B91,DATE(YEAR($A91),MONTH($A91),MIN(Settings!$E$48,DAY($B91))))&lt;=MIN(Settings!$B$5,IF(Settings!$G$48="",Settings!$B$5,Settings!$G$48))),1,0)))))</f>
        <v/>
      </c>
      <c r="EX91">
        <f>IF($E91&lt;&gt;"open",0,IF(AND('Month-End'!$CJ$26&lt;&gt;"",NOT(_xlfn.ISFORMULA('Month-End'!$CJ$26))),0,IF(OR(Settings!$C$49="",Settings!$D$49=""),0,Settings!$C$49*IF(Settings!$D$49="Weekly",IF(IFERROR(MATCH(Settings!$E$49,$EO$4:$EO$10,0),0)=0,0,IF(MIN(Settings!$B$5,IF(Settings!$G$49="",Settings!$B$5,Settings!$G$49))&lt;MAX($A91,Settings!$F$49),0,INT((MIN(Settings!$B$5,IF(Settings!$G$49="",Settings!$B$5,Settings!$G$49))-MAX($A91,Settings!$F$49)-MOD(IFERROR(MATCH(Settings!$E$49,$EO$4:$EO$10,0),0)-WEEKDAY(MAX($A91,Settings!$F$49)),7))/7)+1)),IF(AND(IF(Settings!$E$49="",$B91,DATE(YEAR($A91),MONTH($A91),MIN(Settings!$E$49,DAY($B91))))&gt;=MAX($A91,Settings!$F$49),IF(Settings!$E$49="",$B91,DATE(YEAR($A91),MONTH($A91),MIN(Settings!$E$49,DAY($B91))))&lt;=MIN(Settings!$B$5,IF(Settings!$G$49="",Settings!$B$5,Settings!$G$49))),1,0)))))</f>
        <v/>
      </c>
      <c r="EY91">
        <f>IF($E91&lt;&gt;"open",0,IF(AND('Month-End'!$CJ$27&lt;&gt;"",NOT(_xlfn.ISFORMULA('Month-End'!$CJ$27))),0,IF(OR(Settings!$C$50="",Settings!$D$50=""),0,Settings!$C$50*IF(Settings!$D$50="Weekly",IF(IFERROR(MATCH(Settings!$E$50,$EO$4:$EO$10,0),0)=0,0,IF(MIN(Settings!$B$5,IF(Settings!$G$50="",Settings!$B$5,Settings!$G$50))&lt;MAX($A91,Settings!$F$50),0,INT((MIN(Settings!$B$5,IF(Settings!$G$50="",Settings!$B$5,Settings!$G$50))-MAX($A91,Settings!$F$50)-MOD(IFERROR(MATCH(Settings!$E$50,$EO$4:$EO$10,0),0)-WEEKDAY(MAX($A91,Settings!$F$50)),7))/7)+1)),IF(AND(IF(Settings!$E$50="",$B91,DATE(YEAR($A91),MONTH($A91),MIN(Settings!$E$50,DAY($B91))))&gt;=MAX($A91,Settings!$F$50),IF(Settings!$E$50="",$B91,DATE(YEAR($A91),MONTH($A91),MIN(Settings!$E$50,DAY($B91))))&lt;=MIN(Settings!$B$5,IF(Settings!$G$50="",Settings!$B$5,Settings!$G$50))),1,0)))))</f>
        <v/>
      </c>
      <c r="EZ91">
        <f>IF($E91&lt;&gt;"open",0,IF(AND('Month-End'!$CJ$28&lt;&gt;"",NOT(_xlfn.ISFORMULA('Month-End'!$CJ$28))),0,IF(OR(Settings!$C$51="",Settings!$D$51=""),0,Settings!$C$51*IF(Settings!$D$51="Weekly",IF(IFERROR(MATCH(Settings!$E$51,$EO$4:$EO$10,0),0)=0,0,IF(MIN(Settings!$B$5,IF(Settings!$G$51="",Settings!$B$5,Settings!$G$51))&lt;MAX($A91,Settings!$F$51),0,INT((MIN(Settings!$B$5,IF(Settings!$G$51="",Settings!$B$5,Settings!$G$51))-MAX($A91,Settings!$F$51)-MOD(IFERROR(MATCH(Settings!$E$51,$EO$4:$EO$10,0),0)-WEEKDAY(MAX($A91,Settings!$F$51)),7))/7)+1)),IF(AND(IF(Settings!$E$51="",$B91,DATE(YEAR($A91),MONTH($A91),MIN(Settings!$E$51,DAY($B91))))&gt;=MAX($A91,Settings!$F$51),IF(Settings!$E$51="",$B91,DATE(YEAR($A91),MONTH($A91),MIN(Settings!$E$51,DAY($B91))))&lt;=MIN(Settings!$B$5,IF(Settings!$G$51="",Settings!$B$5,Settings!$G$51))),1,0)))))</f>
        <v/>
      </c>
      <c r="FA91">
        <f>IF($E91&lt;&gt;"open",0,IF(AND('Month-End'!$CJ$29&lt;&gt;"",NOT(_xlfn.ISFORMULA('Month-End'!$CJ$29))),0,IF(OR(Settings!$C$52="",Settings!$D$52=""),0,Settings!$C$52*IF(Settings!$D$52="Weekly",IF(IFERROR(MATCH(Settings!$E$52,$EO$4:$EO$10,0),0)=0,0,IF(MIN(Settings!$B$5,IF(Settings!$G$52="",Settings!$B$5,Settings!$G$52))&lt;MAX($A91,Settings!$F$52),0,INT((MIN(Settings!$B$5,IF(Settings!$G$52="",Settings!$B$5,Settings!$G$52))-MAX($A91,Settings!$F$52)-MOD(IFERROR(MATCH(Settings!$E$52,$EO$4:$EO$10,0),0)-WEEKDAY(MAX($A91,Settings!$F$52)),7))/7)+1)),IF(AND(IF(Settings!$E$52="",$B91,DATE(YEAR($A91),MONTH($A91),MIN(Settings!$E$52,DAY($B91))))&gt;=MAX($A91,Settings!$F$52),IF(Settings!$E$52="",$B91,DATE(YEAR($A91),MONTH($A91),MIN(Settings!$E$52,DAY($B91))))&lt;=MIN(Settings!$B$5,IF(Settings!$G$52="",Settings!$B$5,Settings!$G$52))),1,0)))))</f>
        <v/>
      </c>
      <c r="FB91">
        <f>IF($E91&lt;&gt;"open",0,IF(AND('Month-End'!$CJ$30&lt;&gt;"",NOT(_xlfn.ISFORMULA('Month-End'!$CJ$30))),0,IF(OR(Settings!$C$53="",Settings!$D$53=""),0,Settings!$C$53*IF(Settings!$D$53="Weekly",IF(IFERROR(MATCH(Settings!$E$53,$EO$4:$EO$10,0),0)=0,0,IF(MIN(Settings!$B$5,IF(Settings!$G$53="",Settings!$B$5,Settings!$G$53))&lt;MAX($A91,Settings!$F$53),0,INT((MIN(Settings!$B$5,IF(Settings!$G$53="",Settings!$B$5,Settings!$G$53))-MAX($A91,Settings!$F$53)-MOD(IFERROR(MATCH(Settings!$E$53,$EO$4:$EO$10,0),0)-WEEKDAY(MAX($A91,Settings!$F$53)),7))/7)+1)),IF(AND(IF(Settings!$E$53="",$B91,DATE(YEAR($A91),MONTH($A91),MIN(Settings!$E$53,DAY($B91))))&gt;=MAX($A91,Settings!$F$53),IF(Settings!$E$53="",$B91,DATE(YEAR($A91),MONTH($A91),MIN(Settings!$E$53,DAY($B91))))&lt;=MIN(Settings!$B$5,IF(Settings!$G$53="",Settings!$B$5,Settings!$G$53))),1,0)))))</f>
        <v/>
      </c>
      <c r="FC91">
        <f>IF($E91&lt;&gt;"open",0,IF(AND('Month-End'!$CJ$31&lt;&gt;"",NOT(_xlfn.ISFORMULA('Month-End'!$CJ$31))),0,IF(OR(Settings!$C$54="",Settings!$D$54=""),0,Settings!$C$54*IF(Settings!$D$54="Weekly",IF(IFERROR(MATCH(Settings!$E$54,$EO$4:$EO$10,0),0)=0,0,IF(MIN(Settings!$B$5,IF(Settings!$G$54="",Settings!$B$5,Settings!$G$54))&lt;MAX($A91,Settings!$F$54),0,INT((MIN(Settings!$B$5,IF(Settings!$G$54="",Settings!$B$5,Settings!$G$54))-MAX($A91,Settings!$F$54)-MOD(IFERROR(MATCH(Settings!$E$54,$EO$4:$EO$10,0),0)-WEEKDAY(MAX($A91,Settings!$F$54)),7))/7)+1)),IF(AND(IF(Settings!$E$54="",$B91,DATE(YEAR($A91),MONTH($A91),MIN(Settings!$E$54,DAY($B91))))&gt;=MAX($A91,Settings!$F$54),IF(Settings!$E$54="",$B91,DATE(YEAR($A91),MONTH($A91),MIN(Settings!$E$54,DAY($B91))))&lt;=MIN(Settings!$B$5,IF(Settings!$G$54="",Settings!$B$5,Settings!$G$54))),1,0)))))</f>
        <v/>
      </c>
      <c r="FD91">
        <f>IF($E91&lt;&gt;"open",0,IF(AND('Month-End'!$CJ$32&lt;&gt;"",NOT(_xlfn.ISFORMULA('Month-End'!$CJ$32))),0,IF(OR(Settings!$C$55="",Settings!$D$55=""),0,Settings!$C$55*IF(Settings!$D$55="Weekly",IF(IFERROR(MATCH(Settings!$E$55,$EO$4:$EO$10,0),0)=0,0,IF(MIN(Settings!$B$5,IF(Settings!$G$55="",Settings!$B$5,Settings!$G$55))&lt;MAX($A91,Settings!$F$55),0,INT((MIN(Settings!$B$5,IF(Settings!$G$55="",Settings!$B$5,Settings!$G$55))-MAX($A91,Settings!$F$55)-MOD(IFERROR(MATCH(Settings!$E$55,$EO$4:$EO$10,0),0)-WEEKDAY(MAX($A91,Settings!$F$55)),7))/7)+1)),IF(AND(IF(Settings!$E$55="",$B91,DATE(YEAR($A91),MONTH($A91),MIN(Settings!$E$55,DAY($B91))))&gt;=MAX($A91,Settings!$F$55),IF(Settings!$E$55="",$B91,DATE(YEAR($A91),MONTH($A91),MIN(Settings!$E$55,DAY($B91))))&lt;=MIN(Settings!$B$5,IF(Settings!$G$55="",Settings!$B$5,Settings!$G$55))),1,0)))))</f>
        <v/>
      </c>
      <c r="FE91">
        <f>IF($E91&lt;&gt;"open",0,IF(AND('Month-End'!$CJ$33&lt;&gt;"",NOT(_xlfn.ISFORMULA('Month-End'!$CJ$33))),0,IF(OR(Settings!$C$56="",Settings!$D$56=""),0,Settings!$C$56*IF(Settings!$D$56="Weekly",IF(IFERROR(MATCH(Settings!$E$56,$EO$4:$EO$10,0),0)=0,0,IF(MIN(Settings!$B$5,IF(Settings!$G$56="",Settings!$B$5,Settings!$G$56))&lt;MAX($A91,Settings!$F$56),0,INT((MIN(Settings!$B$5,IF(Settings!$G$56="",Settings!$B$5,Settings!$G$56))-MAX($A91,Settings!$F$56)-MOD(IFERROR(MATCH(Settings!$E$56,$EO$4:$EO$10,0),0)-WEEKDAY(MAX($A91,Settings!$F$56)),7))/7)+1)),IF(AND(IF(Settings!$E$56="",$B91,DATE(YEAR($A91),MONTH($A91),MIN(Settings!$E$56,DAY($B91))))&gt;=MAX($A91,Settings!$F$56),IF(Settings!$E$56="",$B91,DATE(YEAR($A91),MONTH($A91),MIN(Settings!$E$56,DAY($B91))))&lt;=MIN(Settings!$B$5,IF(Settings!$G$56="",Settings!$B$5,Settings!$G$56))),1,0)))))</f>
        <v/>
      </c>
      <c r="FF91">
        <f>IF(Settings!$I$45="Yes",$G91,0)+IF(Settings!$I$46="Yes",$H91,0)+IF(Settings!$I$47="Yes",$I91,0)+IF(Settings!$I$48="Yes",$J91,0)+IF(Settings!$I$49="Yes",$K91,0)+IF(Settings!$I$50="Yes",$L91,0)+IF(Settings!$I$51="Yes",$M91,0)+IF(Settings!$I$52="Yes",$N91,0)+IF(Settings!$I$53="Yes",$O91,0)+IF(Settings!$I$54="Yes",$P91,0)+IF(Settings!$I$55="Yes",$Q91,0)+IF(Settings!$I$56="Yes",$R91,0)</f>
        <v/>
      </c>
      <c r="FG91">
        <f>IF(AND(Settings!$I$45="Yes",Settings!$J$45="No"),$G91,0)+IF(AND(Settings!$I$46="Yes",Settings!$J$46="No"),$H91,0)+IF(AND(Settings!$I$47="Yes",Settings!$J$47="No"),$I91,0)+IF(AND(Settings!$I$48="Yes",Settings!$J$48="No"),$J91,0)+IF(AND(Settings!$I$49="Yes",Settings!$J$49="No"),$K91,0)+IF(AND(Settings!$I$50="Yes",Settings!$J$50="No"),$L91,0)+IF(AND(Settings!$I$51="Yes",Settings!$J$51="No"),$M91,0)+IF(AND(Settings!$I$52="Yes",Settings!$J$52="No"),$N91,0)+IF(AND(Settings!$I$53="Yes",Settings!$J$53="No"),$O91,0)+IF(AND(Settings!$I$54="Yes",Settings!$J$54="No"),$P91,0)+IF(AND(Settings!$I$55="Yes",Settings!$J$55="No"),$Q91,0)+IF(AND(Settings!$I$56="Yes",Settings!$J$56="No"),$R91,0)</f>
        <v/>
      </c>
      <c r="FH91">
        <f>SUMIFS(Giving!$B$7:$B$2006,Giving!$A$7:$A$2006,"&gt;="&amp;$A91,Giving!$A$7:$A$2006,"&lt;="&amp;$B91,Giving!$G$7:$G$2006,"Yes")+IF(OR(OR(Settings!$B$60="",Settings!$F$60="No"),Settings!$H$60&lt;&gt;"Yes"),0,Settings!$B$60*IF(AND(IF(Settings!$C$60="",$B91,DATE(YEAR($A91),MONTH($A91),MIN(Settings!$C$60,DAY($B91))))&gt;=MAX($A91,Settings!$D$60),IF(Settings!$C$60="",$B91,DATE(YEAR($A91),MONTH($A91),MIN(Settings!$C$60,DAY($B91))))&lt;=MIN($C91,IF(Settings!$E$60="",$C91,Settings!$E$60))),1,0))+IF(OR(OR(Settings!$B$61="",Settings!$F$61="No"),Settings!$H$61&lt;&gt;"Yes"),0,Settings!$B$61*IF(AND(IF(Settings!$C$61="",$B91,DATE(YEAR($A91),MONTH($A91),MIN(Settings!$C$61,DAY($B91))))&gt;=MAX($A91,Settings!$D$61),IF(Settings!$C$61="",$B91,DATE(YEAR($A91),MONTH($A91),MIN(Settings!$C$61,DAY($B91))))&lt;=MIN($C91,IF(Settings!$E$61="",$C91,Settings!$E$61))),1,0))+IF(OR(OR(Settings!$B$62="",Settings!$F$62="No"),Settings!$H$62&lt;&gt;"Yes"),0,Settings!$B$62*IF(AND(IF(Settings!$C$62="",$B91,DATE(YEAR($A91),MONTH($A91),MIN(Settings!$C$62,DAY($B91))))&gt;=MAX($A91,Settings!$D$62),IF(Settings!$C$62="",$B91,DATE(YEAR($A91),MONTH($A91),MIN(Settings!$C$62,DAY($B91))))&lt;=MIN($C91,IF(Settings!$E$62="",$C91,Settings!$E$62))),1,0))+IF(OR(OR(Settings!$B$63="",Settings!$F$63="No"),Settings!$H$63&lt;&gt;"Yes"),0,Settings!$B$63*IF(AND(IF(Settings!$C$63="",$B91,DATE(YEAR($A91),MONTH($A91),MIN(Settings!$C$63,DAY($B91))))&gt;=MAX($A91,Settings!$D$63),IF(Settings!$C$63="",$B91,DATE(YEAR($A91),MONTH($A91),MIN(Settings!$C$63,DAY($B91))))&lt;=MIN($C91,IF(Settings!$E$63="",$C91,Settings!$E$63))),1,0))+IF(OR(OR(Settings!$B$64="",Settings!$F$64="No"),Settings!$H$64&lt;&gt;"Yes"),0,Settings!$B$64*IF(AND(IF(Settings!$C$64="",$B91,DATE(YEAR($A91),MONTH($A91),MIN(Settings!$C$64,DAY($B91))))&gt;=MAX($A91,Settings!$D$64),IF(Settings!$C$64="",$B91,DATE(YEAR($A91),MONTH($A91),MIN(Settings!$C$64,DAY($B91))))&lt;=MIN($C91,IF(Settings!$E$64="",$C91,Settings!$E$64))),1,0))+IF(OR(OR(Settings!$B$65="",Settings!$F$65="No"),Settings!$H$65&lt;&gt;"Yes"),0,Settings!$B$65*IF(AND(IF(Settings!$C$65="",$B91,DATE(YEAR($A91),MONTH($A91),MIN(Settings!$C$65,DAY($B91))))&gt;=MAX($A91,Settings!$D$65),IF(Settings!$C$65="",$B91,DATE(YEAR($A91),MONTH($A91),MIN(Settings!$C$65,DAY($B91))))&lt;=MIN($C91,IF(Settings!$E$65="",$C91,Settings!$E$65))),1,0))</f>
        <v/>
      </c>
      <c r="FI91">
        <f>IF($DT91=1,IF(OR(Settings!$B$19="Card",Settings!$B$19="Loan"),N($AE91),0)+IF(OR(Settings!$B$20="Card",Settings!$B$20="Loan"),N($AF91),0)+IF(OR(Settings!$B$21="Card",Settings!$B$21="Loan"),N($AG91),0)+IF(OR(Settings!$B$22="Card",Settings!$B$22="Loan"),N($AH91),0)+IF(OR(Settings!$B$23="Card",Settings!$B$23="Loan"),N($AI91),0)+IF(OR(Settings!$B$24="Card",Settings!$B$24="Loan"),N($AJ91),0)+IF(OR(Settings!$B$25="Card",Settings!$B$25="Loan"),N($AK91),0)+IF(OR(Settings!$B$26="Card",Settings!$B$26="Loan"),N($AL91),0)+IF(OR(Settings!$B$27="Card",Settings!$B$27="Loan"),N($AM91),0)+IF(OR(Settings!$B$28="Card",Settings!$B$28="Loan"),N($AN91),0)+IF(OR(Settings!$B$29="Card",Settings!$B$29="Loan"),N($AO91),0)+IF(OR(Settings!$B$30="Card",Settings!$B$30="Loan"),N($AP91),0)+IF(OR(Settings!$B$31="Card",Settings!$B$31="Loan"),N($AQ91),0)+IF(OR(Settings!$B$32="Card",Settings!$B$32="Loan"),N($AR91),0),"")</f>
        <v/>
      </c>
      <c r="FJ91">
        <f>IF($E91="open",$EB$65,IF($E91="post",IF($E90="pre",$EB$65,$FI90),""))</f>
        <v/>
      </c>
      <c r="FK91">
        <f>IF(AND($DT91=1,$DC91=1),IF(ROUND($FI91-$FJ91,2)&gt;0,1,0),0)</f>
        <v/>
      </c>
      <c r="FL91">
        <f>IF($FK91=1,$FL90+1,0)</f>
        <v/>
      </c>
    </row>
    <row r="92">
      <c r="A92">
        <f>'Month-End'!$CK$4</f>
        <v/>
      </c>
      <c r="B92">
        <f>EOMONTH($A92,0)</f>
        <v/>
      </c>
      <c r="C92">
        <f>MIN($B92,TODAY())</f>
        <v/>
      </c>
      <c r="D92">
        <f>IF($A92&gt;TODAY(),1,0)</f>
        <v/>
      </c>
      <c r="E92">
        <f>IF($B92&lt;=Settings!$B$5,"pre",IF($A92&lt;=Settings!$B$5,"open","post"))</f>
        <v/>
      </c>
      <c r="G92">
        <f>IF('Month-End'!$CK$22="",$BE92,N('Month-End'!$CK$22))</f>
        <v/>
      </c>
      <c r="H92">
        <f>IF('Month-End'!$CK$23="",$BF92,N('Month-End'!$CK$23))</f>
        <v/>
      </c>
      <c r="I92">
        <f>IF('Month-End'!$CK$24="",$BG92,N('Month-End'!$CK$24))</f>
        <v/>
      </c>
      <c r="J92">
        <f>IF('Month-End'!$CK$25="",$BH92,N('Month-End'!$CK$25))</f>
        <v/>
      </c>
      <c r="K92">
        <f>IF('Month-End'!$CK$26="",$BI92,N('Month-End'!$CK$26))</f>
        <v/>
      </c>
      <c r="L92">
        <f>IF('Month-End'!$CK$27="",$BJ92,N('Month-End'!$CK$27))</f>
        <v/>
      </c>
      <c r="M92">
        <f>IF('Month-End'!$CK$28="",$BK92,N('Month-End'!$CK$28))</f>
        <v/>
      </c>
      <c r="N92">
        <f>IF('Month-End'!$CK$29="",$BL92,N('Month-End'!$CK$29))</f>
        <v/>
      </c>
      <c r="O92">
        <f>IF('Month-End'!$CK$30="",$BM92,N('Month-End'!$CK$30))</f>
        <v/>
      </c>
      <c r="P92">
        <f>IF('Month-End'!$CK$31="",$BN92,N('Month-End'!$CK$31))</f>
        <v/>
      </c>
      <c r="Q92">
        <f>IF('Month-End'!$CK$32="",$BO92,N('Month-End'!$CK$32))</f>
        <v/>
      </c>
      <c r="R92">
        <f>IF('Month-End'!$CK$33="",$BP92,N('Month-End'!$CK$33))</f>
        <v/>
      </c>
      <c r="S92">
        <f>$G92+$H92+$I92+$J92+$K92+$L92+$M92+$N92+$O92+$P92+$Q92+$R92</f>
        <v/>
      </c>
      <c r="T92">
        <f>IF($B92&lt;Settings!$B$6,0,IF(Settings!$B$45="Yes",$G92,0)+IF(Settings!$B$46="Yes",$H92,0)+IF(Settings!$B$47="Yes",$I92,0)+IF(Settings!$B$48="Yes",$J92,0)+IF(Settings!$B$49="Yes",$K92,0)+IF(Settings!$B$50="Yes",$L92,0)+IF(Settings!$B$51="Yes",$M92,0)+IF(Settings!$B$52="Yes",$N92,0)+IF(Settings!$B$53="Yes",$O92,0)+IF(Settings!$B$54="Yes",$P92,0)+IF(Settings!$B$55="Yes",$Q92,0)+IF(Settings!$B$56="Yes",$R92,0))</f>
        <v/>
      </c>
      <c r="U92">
        <f>IF(Settings!$B$45="Not Sure",$G92,0)+IF(Settings!$B$46="Not Sure",$H92,0)+IF(Settings!$B$47="Not Sure",$I92,0)+IF(Settings!$B$48="Not Sure",$J92,0)+IF(Settings!$B$49="Not Sure",$K92,0)+IF(Settings!$B$50="Not Sure",$L92,0)+IF(Settings!$B$51="Not Sure",$M92,0)+IF(Settings!$B$52="Not Sure",$N92,0)+IF(Settings!$B$53="Not Sure",$O92,0)+IF(Settings!$B$54="Not Sure",$P92,0)+IF(Settings!$B$55="Not Sure",$Q92,0)+IF(Settings!$B$56="Not Sure",$R92,0)</f>
        <v/>
      </c>
      <c r="V92">
        <f>IF($E92="open",SUM($ET92:$FE92)+N(Settings!$B$13),0)</f>
        <v/>
      </c>
      <c r="W92">
        <f>IF($E92="post",$S92,IF($E92="open",$S92-$V92,0))</f>
        <v/>
      </c>
      <c r="X92">
        <f>SUMIFS(Giving!$B$7:$B$2006,Giving!$A$7:$A$2006,"&gt;="&amp;$A92,Giving!$A$7:$A$2006,"&lt;="&amp;$B92,Giving!$E$7:$E$2006,"&lt;&gt;No")</f>
        <v/>
      </c>
      <c r="Y92">
        <f>SUMIFS(Giving!$B$7:$B$2006,Giving!$A$7:$A$2006,"&gt;="&amp;$A92,Giving!$A$7:$A$2006,"&lt;="&amp;$B92,Giving!$E$7:$E$2006,"No")</f>
        <v/>
      </c>
      <c r="Z92">
        <f>IF(OR(Settings!$B$60="",Settings!$F$60="No"),0,Settings!$B$60*IF(AND(IF(Settings!$C$60="",$B92,DATE(YEAR($A92),MONTH($A92),MIN(Settings!$C$60,DAY($B92))))&gt;=MAX($A92,Settings!$D$60),IF(Settings!$C$60="",$B92,DATE(YEAR($A92),MONTH($A92),MIN(Settings!$C$60,DAY($B92))))&lt;=MIN($C92,IF(Settings!$E$60="",$C92,Settings!$E$60))),1,0))+IF(OR(Settings!$B$61="",Settings!$F$61="No"),0,Settings!$B$61*IF(AND(IF(Settings!$C$61="",$B92,DATE(YEAR($A92),MONTH($A92),MIN(Settings!$C$61,DAY($B92))))&gt;=MAX($A92,Settings!$D$61),IF(Settings!$C$61="",$B92,DATE(YEAR($A92),MONTH($A92),MIN(Settings!$C$61,DAY($B92))))&lt;=MIN($C92,IF(Settings!$E$61="",$C92,Settings!$E$61))),1,0))+IF(OR(Settings!$B$62="",Settings!$F$62="No"),0,Settings!$B$62*IF(AND(IF(Settings!$C$62="",$B92,DATE(YEAR($A92),MONTH($A92),MIN(Settings!$C$62,DAY($B92))))&gt;=MAX($A92,Settings!$D$62),IF(Settings!$C$62="",$B92,DATE(YEAR($A92),MONTH($A92),MIN(Settings!$C$62,DAY($B92))))&lt;=MIN($C92,IF(Settings!$E$62="",$C92,Settings!$E$62))),1,0))+IF(OR(Settings!$B$63="",Settings!$F$63="No"),0,Settings!$B$63*IF(AND(IF(Settings!$C$63="",$B92,DATE(YEAR($A92),MONTH($A92),MIN(Settings!$C$63,DAY($B92))))&gt;=MAX($A92,Settings!$D$63),IF(Settings!$C$63="",$B92,DATE(YEAR($A92),MONTH($A92),MIN(Settings!$C$63,DAY($B92))))&lt;=MIN($C92,IF(Settings!$E$63="",$C92,Settings!$E$63))),1,0))+IF(OR(Settings!$B$64="",Settings!$F$64="No"),0,Settings!$B$64*IF(AND(IF(Settings!$C$64="",$B92,DATE(YEAR($A92),MONTH($A92),MIN(Settings!$C$64,DAY($B92))))&gt;=MAX($A92,Settings!$D$64),IF(Settings!$C$64="",$B92,DATE(YEAR($A92),MONTH($A92),MIN(Settings!$C$64,DAY($B92))))&lt;=MIN($C92,IF(Settings!$E$64="",$C92,Settings!$E$64))),1,0))+IF(OR(Settings!$B$65="",Settings!$F$65="No"),0,Settings!$B$65*IF(AND(IF(Settings!$C$65="",$B92,DATE(YEAR($A92),MONTH($A92),MIN(Settings!$C$65,DAY($B92))))&gt;=MAX($A92,Settings!$D$65),IF(Settings!$C$65="",$B92,DATE(YEAR($A92),MONTH($A92),MIN(Settings!$C$65,DAY($B92))))&lt;=MIN($C92,IF(Settings!$E$65="",$C92,Settings!$E$65))),1,0))</f>
        <v/>
      </c>
      <c r="AA92">
        <f>$X92+$Z92</f>
        <v/>
      </c>
      <c r="AB92">
        <f>IF($E92="post",$AA92,IF($E92="open",SUMIFS(Giving!$B$7:$B$2006,Giving!$A$7:$A$2006,"&gt;"&amp;Settings!$B$5,Giving!$A$7:$A$2006,"&lt;="&amp;$B92,Giving!$E$7:$E$2006,"&lt;&gt;No")+IF(OR(Settings!$B$60="",Settings!$F$60="No"),0,Settings!$B$60*IF(AND(IF(Settings!$C$60="",$B92,DATE(YEAR($A92),MONTH($A92),MIN(Settings!$C$60,DAY($B92))))&gt;=MAX($A92,Settings!$D$60,Settings!$B$5+1),IF(Settings!$C$60="",$B92,DATE(YEAR($A92),MONTH($A92),MIN(Settings!$C$60,DAY($B92))))&lt;=MIN($C92,IF(Settings!$E$60="",$C92,Settings!$E$60))),1,0))+IF(OR(Settings!$B$61="",Settings!$F$61="No"),0,Settings!$B$61*IF(AND(IF(Settings!$C$61="",$B92,DATE(YEAR($A92),MONTH($A92),MIN(Settings!$C$61,DAY($B92))))&gt;=MAX($A92,Settings!$D$61,Settings!$B$5+1),IF(Settings!$C$61="",$B92,DATE(YEAR($A92),MONTH($A92),MIN(Settings!$C$61,DAY($B92))))&lt;=MIN($C92,IF(Settings!$E$61="",$C92,Settings!$E$61))),1,0))+IF(OR(Settings!$B$62="",Settings!$F$62="No"),0,Settings!$B$62*IF(AND(IF(Settings!$C$62="",$B92,DATE(YEAR($A92),MONTH($A92),MIN(Settings!$C$62,DAY($B92))))&gt;=MAX($A92,Settings!$D$62,Settings!$B$5+1),IF(Settings!$C$62="",$B92,DATE(YEAR($A92),MONTH($A92),MIN(Settings!$C$62,DAY($B92))))&lt;=MIN($C92,IF(Settings!$E$62="",$C92,Settings!$E$62))),1,0))+IF(OR(Settings!$B$63="",Settings!$F$63="No"),0,Settings!$B$63*IF(AND(IF(Settings!$C$63="",$B92,DATE(YEAR($A92),MONTH($A92),MIN(Settings!$C$63,DAY($B92))))&gt;=MAX($A92,Settings!$D$63,Settings!$B$5+1),IF(Settings!$C$63="",$B92,DATE(YEAR($A92),MONTH($A92),MIN(Settings!$C$63,DAY($B92))))&lt;=MIN($C92,IF(Settings!$E$63="",$C92,Settings!$E$63))),1,0))+IF(OR(Settings!$B$64="",Settings!$F$64="No"),0,Settings!$B$64*IF(AND(IF(Settings!$C$64="",$B92,DATE(YEAR($A92),MONTH($A92),MIN(Settings!$C$64,DAY($B92))))&gt;=MAX($A92,Settings!$D$64,Settings!$B$5+1),IF(Settings!$C$64="",$B92,DATE(YEAR($A92),MONTH($A92),MIN(Settings!$C$64,DAY($B92))))&lt;=MIN($C92,IF(Settings!$E$64="",$C92,Settings!$E$64))),1,0))+IF(OR(Settings!$B$65="",Settings!$F$65="No"),0,Settings!$B$65*IF(AND(IF(Settings!$C$65="",$B92,DATE(YEAR($A92),MONTH($A92),MIN(Settings!$C$65,DAY($B92))))&gt;=MAX($A92,Settings!$D$65,Settings!$B$5+1),IF(Settings!$C$65="",$B92,DATE(YEAR($A92),MONTH($A92),MIN(Settings!$C$65,DAY($B92))))&lt;=MIN($C92,IF(Settings!$E$65="",$C92,Settings!$E$65))),1,0)),0))</f>
        <v/>
      </c>
      <c r="AC92">
        <f>$AY92+$AZ92+$BA92+$BB92+$BC92+$BD92</f>
        <v/>
      </c>
      <c r="AD92">
        <f>$AC92</f>
        <v/>
      </c>
      <c r="AE92">
        <f>IF(OR(Settings!$A$19="",$E92="pre"),"",IF(AND('Month-End'!$CK$7&lt;&gt;"",NOT(_xlfn.ISFORMULA('Month-End'!$CK$7))),N('Month-End'!$CK$7),IF(OR($E92="open",$E91="pre"),N(Settings!$C$19),N($AE91))))</f>
        <v/>
      </c>
      <c r="AF92">
        <f>IF(OR(Settings!$A$20="",$E92="pre"),"",IF(AND('Month-End'!$CK$8&lt;&gt;"",NOT(_xlfn.ISFORMULA('Month-End'!$CK$8))),N('Month-End'!$CK$8),IF(OR($E92="open",$E91="pre"),N(Settings!$C$20),N($AF91))))</f>
        <v/>
      </c>
      <c r="AG92">
        <f>IF(OR(Settings!$A$21="",$E92="pre"),"",IF(AND('Month-End'!$CK$9&lt;&gt;"",NOT(_xlfn.ISFORMULA('Month-End'!$CK$9))),N('Month-End'!$CK$9),IF(OR($E92="open",$E91="pre"),N(Settings!$C$21),N($AG91))))</f>
        <v/>
      </c>
      <c r="AH92">
        <f>IF(OR(Settings!$A$22="",$E92="pre"),"",IF(AND('Month-End'!$CK$10&lt;&gt;"",NOT(_xlfn.ISFORMULA('Month-End'!$CK$10))),N('Month-End'!$CK$10),IF(OR($E92="open",$E91="pre"),N(Settings!$C$22),N($AH91))))</f>
        <v/>
      </c>
      <c r="AI92">
        <f>IF(OR(Settings!$A$23="",$E92="pre"),"",IF(AND('Month-End'!$CK$11&lt;&gt;"",NOT(_xlfn.ISFORMULA('Month-End'!$CK$11))),N('Month-End'!$CK$11),IF(OR($E92="open",$E91="pre"),N(Settings!$C$23),N($AI91))))</f>
        <v/>
      </c>
      <c r="AJ92">
        <f>IF(OR(Settings!$A$24="",$E92="pre"),"",IF(AND('Month-End'!$CK$12&lt;&gt;"",NOT(_xlfn.ISFORMULA('Month-End'!$CK$12))),N('Month-End'!$CK$12),IF(OR($E92="open",$E91="pre"),N(Settings!$C$24),N($AJ91))))</f>
        <v/>
      </c>
      <c r="AK92">
        <f>IF(OR(Settings!$A$25="",$E92="pre"),"",IF(AND('Month-End'!$CK$13&lt;&gt;"",NOT(_xlfn.ISFORMULA('Month-End'!$CK$13))),N('Month-End'!$CK$13),IF(OR($E92="open",$E91="pre"),N(Settings!$C$25),N($AK91))))</f>
        <v/>
      </c>
      <c r="AL92">
        <f>IF(OR(Settings!$A$26="",$E92="pre"),"",IF(AND('Month-End'!$CK$14&lt;&gt;"",NOT(_xlfn.ISFORMULA('Month-End'!$CK$14))),N('Month-End'!$CK$14),IF(OR($E92="open",$E91="pre"),N(Settings!$C$26),N($AL91))))</f>
        <v/>
      </c>
      <c r="AM92">
        <f>IF(OR(Settings!$A$27="",$E92="pre"),"",IF(AND('Month-End'!$CK$15&lt;&gt;"",NOT(_xlfn.ISFORMULA('Month-End'!$CK$15))),N('Month-End'!$CK$15),IF(OR($E92="open",$E91="pre"),N(Settings!$C$27),N($AM91))))</f>
        <v/>
      </c>
      <c r="AN92">
        <f>IF(OR(Settings!$A$28="",$E92="pre"),"",IF(AND('Month-End'!$CK$16&lt;&gt;"",NOT(_xlfn.ISFORMULA('Month-End'!$CK$16))),N('Month-End'!$CK$16),IF(OR($E92="open",$E91="pre"),N(Settings!$C$28),N($AN91))))</f>
        <v/>
      </c>
      <c r="AO92">
        <f>IF(OR(Settings!$A$29="",$E92="pre"),"",IF(AND('Month-End'!$CK$17&lt;&gt;"",NOT(_xlfn.ISFORMULA('Month-End'!$CK$17))),N('Month-End'!$CK$17),IF(OR($E92="open",$E91="pre"),N(Settings!$C$29),N($AO91))))</f>
        <v/>
      </c>
      <c r="AP92">
        <f>IF(OR(Settings!$A$30="",$E92="pre"),"",IF(AND('Month-End'!$CK$18&lt;&gt;"",NOT(_xlfn.ISFORMULA('Month-End'!$CK$18))),N('Month-End'!$CK$18),IF(OR($E92="open",$E91="pre"),N(Settings!$C$30),N($AP91))))</f>
        <v/>
      </c>
      <c r="AQ92">
        <f>IF(OR(Settings!$A$31="",$E92="pre"),"",IF(AND('Month-End'!$CK$19&lt;&gt;"",NOT(_xlfn.ISFORMULA('Month-End'!$CK$19))),N('Month-End'!$CK$19),IF(OR($E92="open",$E91="pre"),N(Settings!$C$31),N($AQ91))))</f>
        <v/>
      </c>
      <c r="AR92">
        <f>IF(OR(Settings!$A$32="",$E92="pre"),"",IF(AND('Month-End'!$CK$20&lt;&gt;"",NOT(_xlfn.ISFORMULA('Month-End'!$CK$20))),N('Month-End'!$CK$20),IF(OR($E92="open",$E91="pre"),N(Settings!$C$32),N($AR91))))</f>
        <v/>
      </c>
      <c r="AS92">
        <f>IF(OR(Settings!$A$36="",$E92="pre"),"",IF(AND('Month-End'!$CK$38&lt;&gt;"",NOT(_xlfn.ISFORMULA('Month-End'!$CK$38))),N('Month-End'!$CK$38),IF(OR($E92="open",$E91="pre"),N(Settings!$C$36),N($AS91))+$AY92))</f>
        <v/>
      </c>
      <c r="AT92">
        <f>IF(OR(Settings!$A$37="",$E92="pre"),"",IF(AND('Month-End'!$CK$39&lt;&gt;"",NOT(_xlfn.ISFORMULA('Month-End'!$CK$39))),N('Month-End'!$CK$39),IF(OR($E92="open",$E91="pre"),N(Settings!$C$37),N($AT91))+$AZ92))</f>
        <v/>
      </c>
      <c r="AU92">
        <f>IF(OR(Settings!$A$38="",$E92="pre"),"",IF(AND('Month-End'!$CK$40&lt;&gt;"",NOT(_xlfn.ISFORMULA('Month-End'!$CK$40))),N('Month-End'!$CK$40),IF(OR($E92="open",$E91="pre"),N(Settings!$C$38),N($AU91))+$BA92))</f>
        <v/>
      </c>
      <c r="AV92">
        <f>IF(OR(Settings!$A$39="",$E92="pre"),"",IF(AND('Month-End'!$CK$41&lt;&gt;"",NOT(_xlfn.ISFORMULA('Month-End'!$CK$41))),N('Month-End'!$CK$41),IF(OR($E92="open",$E91="pre"),N(Settings!$C$39),N($AV91))+$BB92))</f>
        <v/>
      </c>
      <c r="AW92">
        <f>IF(OR(Settings!$A$40="",$E92="pre"),"",IF(AND('Month-End'!$CK$42&lt;&gt;"",NOT(_xlfn.ISFORMULA('Month-End'!$CK$42))),N('Month-End'!$CK$42),IF(OR($E92="open",$E91="pre"),N(Settings!$C$40),N($AW91))+$BC92))</f>
        <v/>
      </c>
      <c r="AX92">
        <f>IF(OR(Settings!$A$41="",$E92="pre"),"",IF(AND('Month-End'!$CK$43&lt;&gt;"",NOT(_xlfn.ISFORMULA('Month-End'!$CK$43))),N('Month-End'!$CK$43),IF(OR($E92="open",$E91="pre"),N(Settings!$C$41),N($AX91))+$BD92))</f>
        <v/>
      </c>
      <c r="AY92">
        <f>IF($E92="pre",0,N('Month-End'!$CK$45))</f>
        <v/>
      </c>
      <c r="AZ92">
        <f>IF($E92="pre",0,N('Month-End'!$CK$46))</f>
        <v/>
      </c>
      <c r="BA92">
        <f>IF($E92="pre",0,N('Month-End'!$CK$47))</f>
        <v/>
      </c>
      <c r="BB92">
        <f>IF($E92="pre",0,N('Month-End'!$CK$48))</f>
        <v/>
      </c>
      <c r="BC92">
        <f>IF($E92="pre",0,N('Month-End'!$CK$49))</f>
        <v/>
      </c>
      <c r="BD92">
        <f>IF($E92="pre",0,N('Month-End'!$CK$50))</f>
        <v/>
      </c>
      <c r="BE92">
        <f>IF(OR(Settings!$C$45="",Settings!$D$45=""),0,Settings!$C$45*IF(Settings!$D$45="Weekly",IF(IFERROR(MATCH(Settings!$E$45,$EO$4:$EO$10,0),0)=0,0,IF(MIN($C92,IF(Settings!$G$45="",$C92,Settings!$G$45))&lt;MAX($A92,Settings!$F$45),0,INT((MIN($C92,IF(Settings!$G$45="",$C92,Settings!$G$45))-MAX($A92,Settings!$F$45)-MOD(IFERROR(MATCH(Settings!$E$45,$EO$4:$EO$10,0),0)-WEEKDAY(MAX($A92,Settings!$F$45)),7))/7)+1)),IF(AND(IF(Settings!$E$45="",$B92,DATE(YEAR($A92),MONTH($A92),MIN(Settings!$E$45,DAY($B92))))&gt;=MAX($A92,Settings!$F$45),IF(Settings!$E$45="",$B92,DATE(YEAR($A92),MONTH($A92),MIN(Settings!$E$45,DAY($B92))))&lt;=MIN($C92,IF(Settings!$G$45="",$C92,Settings!$G$45))),1,0)))</f>
        <v/>
      </c>
      <c r="BF92">
        <f>IF(OR(Settings!$C$46="",Settings!$D$46=""),0,Settings!$C$46*IF(Settings!$D$46="Weekly",IF(IFERROR(MATCH(Settings!$E$46,$EO$4:$EO$10,0),0)=0,0,IF(MIN($C92,IF(Settings!$G$46="",$C92,Settings!$G$46))&lt;MAX($A92,Settings!$F$46),0,INT((MIN($C92,IF(Settings!$G$46="",$C92,Settings!$G$46))-MAX($A92,Settings!$F$46)-MOD(IFERROR(MATCH(Settings!$E$46,$EO$4:$EO$10,0),0)-WEEKDAY(MAX($A92,Settings!$F$46)),7))/7)+1)),IF(AND(IF(Settings!$E$46="",$B92,DATE(YEAR($A92),MONTH($A92),MIN(Settings!$E$46,DAY($B92))))&gt;=MAX($A92,Settings!$F$46),IF(Settings!$E$46="",$B92,DATE(YEAR($A92),MONTH($A92),MIN(Settings!$E$46,DAY($B92))))&lt;=MIN($C92,IF(Settings!$G$46="",$C92,Settings!$G$46))),1,0)))</f>
        <v/>
      </c>
      <c r="BG92">
        <f>IF(OR(Settings!$C$47="",Settings!$D$47=""),0,Settings!$C$47*IF(Settings!$D$47="Weekly",IF(IFERROR(MATCH(Settings!$E$47,$EO$4:$EO$10,0),0)=0,0,IF(MIN($C92,IF(Settings!$G$47="",$C92,Settings!$G$47))&lt;MAX($A92,Settings!$F$47),0,INT((MIN($C92,IF(Settings!$G$47="",$C92,Settings!$G$47))-MAX($A92,Settings!$F$47)-MOD(IFERROR(MATCH(Settings!$E$47,$EO$4:$EO$10,0),0)-WEEKDAY(MAX($A92,Settings!$F$47)),7))/7)+1)),IF(AND(IF(Settings!$E$47="",$B92,DATE(YEAR($A92),MONTH($A92),MIN(Settings!$E$47,DAY($B92))))&gt;=MAX($A92,Settings!$F$47),IF(Settings!$E$47="",$B92,DATE(YEAR($A92),MONTH($A92),MIN(Settings!$E$47,DAY($B92))))&lt;=MIN($C92,IF(Settings!$G$47="",$C92,Settings!$G$47))),1,0)))</f>
        <v/>
      </c>
      <c r="BH92">
        <f>IF(OR(Settings!$C$48="",Settings!$D$48=""),0,Settings!$C$48*IF(Settings!$D$48="Weekly",IF(IFERROR(MATCH(Settings!$E$48,$EO$4:$EO$10,0),0)=0,0,IF(MIN($C92,IF(Settings!$G$48="",$C92,Settings!$G$48))&lt;MAX($A92,Settings!$F$48),0,INT((MIN($C92,IF(Settings!$G$48="",$C92,Settings!$G$48))-MAX($A92,Settings!$F$48)-MOD(IFERROR(MATCH(Settings!$E$48,$EO$4:$EO$10,0),0)-WEEKDAY(MAX($A92,Settings!$F$48)),7))/7)+1)),IF(AND(IF(Settings!$E$48="",$B92,DATE(YEAR($A92),MONTH($A92),MIN(Settings!$E$48,DAY($B92))))&gt;=MAX($A92,Settings!$F$48),IF(Settings!$E$48="",$B92,DATE(YEAR($A92),MONTH($A92),MIN(Settings!$E$48,DAY($B92))))&lt;=MIN($C92,IF(Settings!$G$48="",$C92,Settings!$G$48))),1,0)))</f>
        <v/>
      </c>
      <c r="BI92">
        <f>IF(OR(Settings!$C$49="",Settings!$D$49=""),0,Settings!$C$49*IF(Settings!$D$49="Weekly",IF(IFERROR(MATCH(Settings!$E$49,$EO$4:$EO$10,0),0)=0,0,IF(MIN($C92,IF(Settings!$G$49="",$C92,Settings!$G$49))&lt;MAX($A92,Settings!$F$49),0,INT((MIN($C92,IF(Settings!$G$49="",$C92,Settings!$G$49))-MAX($A92,Settings!$F$49)-MOD(IFERROR(MATCH(Settings!$E$49,$EO$4:$EO$10,0),0)-WEEKDAY(MAX($A92,Settings!$F$49)),7))/7)+1)),IF(AND(IF(Settings!$E$49="",$B92,DATE(YEAR($A92),MONTH($A92),MIN(Settings!$E$49,DAY($B92))))&gt;=MAX($A92,Settings!$F$49),IF(Settings!$E$49="",$B92,DATE(YEAR($A92),MONTH($A92),MIN(Settings!$E$49,DAY($B92))))&lt;=MIN($C92,IF(Settings!$G$49="",$C92,Settings!$G$49))),1,0)))</f>
        <v/>
      </c>
      <c r="BJ92">
        <f>IF(OR(Settings!$C$50="",Settings!$D$50=""),0,Settings!$C$50*IF(Settings!$D$50="Weekly",IF(IFERROR(MATCH(Settings!$E$50,$EO$4:$EO$10,0),0)=0,0,IF(MIN($C92,IF(Settings!$G$50="",$C92,Settings!$G$50))&lt;MAX($A92,Settings!$F$50),0,INT((MIN($C92,IF(Settings!$G$50="",$C92,Settings!$G$50))-MAX($A92,Settings!$F$50)-MOD(IFERROR(MATCH(Settings!$E$50,$EO$4:$EO$10,0),0)-WEEKDAY(MAX($A92,Settings!$F$50)),7))/7)+1)),IF(AND(IF(Settings!$E$50="",$B92,DATE(YEAR($A92),MONTH($A92),MIN(Settings!$E$50,DAY($B92))))&gt;=MAX($A92,Settings!$F$50),IF(Settings!$E$50="",$B92,DATE(YEAR($A92),MONTH($A92),MIN(Settings!$E$50,DAY($B92))))&lt;=MIN($C92,IF(Settings!$G$50="",$C92,Settings!$G$50))),1,0)))</f>
        <v/>
      </c>
      <c r="BK92">
        <f>IF(OR(Settings!$C$51="",Settings!$D$51=""),0,Settings!$C$51*IF(Settings!$D$51="Weekly",IF(IFERROR(MATCH(Settings!$E$51,$EO$4:$EO$10,0),0)=0,0,IF(MIN($C92,IF(Settings!$G$51="",$C92,Settings!$G$51))&lt;MAX($A92,Settings!$F$51),0,INT((MIN($C92,IF(Settings!$G$51="",$C92,Settings!$G$51))-MAX($A92,Settings!$F$51)-MOD(IFERROR(MATCH(Settings!$E$51,$EO$4:$EO$10,0),0)-WEEKDAY(MAX($A92,Settings!$F$51)),7))/7)+1)),IF(AND(IF(Settings!$E$51="",$B92,DATE(YEAR($A92),MONTH($A92),MIN(Settings!$E$51,DAY($B92))))&gt;=MAX($A92,Settings!$F$51),IF(Settings!$E$51="",$B92,DATE(YEAR($A92),MONTH($A92),MIN(Settings!$E$51,DAY($B92))))&lt;=MIN($C92,IF(Settings!$G$51="",$C92,Settings!$G$51))),1,0)))</f>
        <v/>
      </c>
      <c r="BL92">
        <f>IF(OR(Settings!$C$52="",Settings!$D$52=""),0,Settings!$C$52*IF(Settings!$D$52="Weekly",IF(IFERROR(MATCH(Settings!$E$52,$EO$4:$EO$10,0),0)=0,0,IF(MIN($C92,IF(Settings!$G$52="",$C92,Settings!$G$52))&lt;MAX($A92,Settings!$F$52),0,INT((MIN($C92,IF(Settings!$G$52="",$C92,Settings!$G$52))-MAX($A92,Settings!$F$52)-MOD(IFERROR(MATCH(Settings!$E$52,$EO$4:$EO$10,0),0)-WEEKDAY(MAX($A92,Settings!$F$52)),7))/7)+1)),IF(AND(IF(Settings!$E$52="",$B92,DATE(YEAR($A92),MONTH($A92),MIN(Settings!$E$52,DAY($B92))))&gt;=MAX($A92,Settings!$F$52),IF(Settings!$E$52="",$B92,DATE(YEAR($A92),MONTH($A92),MIN(Settings!$E$52,DAY($B92))))&lt;=MIN($C92,IF(Settings!$G$52="",$C92,Settings!$G$52))),1,0)))</f>
        <v/>
      </c>
      <c r="BM92">
        <f>IF(OR(Settings!$C$53="",Settings!$D$53=""),0,Settings!$C$53*IF(Settings!$D$53="Weekly",IF(IFERROR(MATCH(Settings!$E$53,$EO$4:$EO$10,0),0)=0,0,IF(MIN($C92,IF(Settings!$G$53="",$C92,Settings!$G$53))&lt;MAX($A92,Settings!$F$53),0,INT((MIN($C92,IF(Settings!$G$53="",$C92,Settings!$G$53))-MAX($A92,Settings!$F$53)-MOD(IFERROR(MATCH(Settings!$E$53,$EO$4:$EO$10,0),0)-WEEKDAY(MAX($A92,Settings!$F$53)),7))/7)+1)),IF(AND(IF(Settings!$E$53="",$B92,DATE(YEAR($A92),MONTH($A92),MIN(Settings!$E$53,DAY($B92))))&gt;=MAX($A92,Settings!$F$53),IF(Settings!$E$53="",$B92,DATE(YEAR($A92),MONTH($A92),MIN(Settings!$E$53,DAY($B92))))&lt;=MIN($C92,IF(Settings!$G$53="",$C92,Settings!$G$53))),1,0)))</f>
        <v/>
      </c>
      <c r="BN92">
        <f>IF(OR(Settings!$C$54="",Settings!$D$54=""),0,Settings!$C$54*IF(Settings!$D$54="Weekly",IF(IFERROR(MATCH(Settings!$E$54,$EO$4:$EO$10,0),0)=0,0,IF(MIN($C92,IF(Settings!$G$54="",$C92,Settings!$G$54))&lt;MAX($A92,Settings!$F$54),0,INT((MIN($C92,IF(Settings!$G$54="",$C92,Settings!$G$54))-MAX($A92,Settings!$F$54)-MOD(IFERROR(MATCH(Settings!$E$54,$EO$4:$EO$10,0),0)-WEEKDAY(MAX($A92,Settings!$F$54)),7))/7)+1)),IF(AND(IF(Settings!$E$54="",$B92,DATE(YEAR($A92),MONTH($A92),MIN(Settings!$E$54,DAY($B92))))&gt;=MAX($A92,Settings!$F$54),IF(Settings!$E$54="",$B92,DATE(YEAR($A92),MONTH($A92),MIN(Settings!$E$54,DAY($B92))))&lt;=MIN($C92,IF(Settings!$G$54="",$C92,Settings!$G$54))),1,0)))</f>
        <v/>
      </c>
      <c r="BO92">
        <f>IF(OR(Settings!$C$55="",Settings!$D$55=""),0,Settings!$C$55*IF(Settings!$D$55="Weekly",IF(IFERROR(MATCH(Settings!$E$55,$EO$4:$EO$10,0),0)=0,0,IF(MIN($C92,IF(Settings!$G$55="",$C92,Settings!$G$55))&lt;MAX($A92,Settings!$F$55),0,INT((MIN($C92,IF(Settings!$G$55="",$C92,Settings!$G$55))-MAX($A92,Settings!$F$55)-MOD(IFERROR(MATCH(Settings!$E$55,$EO$4:$EO$10,0),0)-WEEKDAY(MAX($A92,Settings!$F$55)),7))/7)+1)),IF(AND(IF(Settings!$E$55="",$B92,DATE(YEAR($A92),MONTH($A92),MIN(Settings!$E$55,DAY($B92))))&gt;=MAX($A92,Settings!$F$55),IF(Settings!$E$55="",$B92,DATE(YEAR($A92),MONTH($A92),MIN(Settings!$E$55,DAY($B92))))&lt;=MIN($C92,IF(Settings!$G$55="",$C92,Settings!$G$55))),1,0)))</f>
        <v/>
      </c>
      <c r="BP92">
        <f>IF(OR(Settings!$C$56="",Settings!$D$56=""),0,Settings!$C$56*IF(Settings!$D$56="Weekly",IF(IFERROR(MATCH(Settings!$E$56,$EO$4:$EO$10,0),0)=0,0,IF(MIN($C92,IF(Settings!$G$56="",$C92,Settings!$G$56))&lt;MAX($A92,Settings!$F$56),0,INT((MIN($C92,IF(Settings!$G$56="",$C92,Settings!$G$56))-MAX($A92,Settings!$F$56)-MOD(IFERROR(MATCH(Settings!$E$56,$EO$4:$EO$10,0),0)-WEEKDAY(MAX($A92,Settings!$F$56)),7))/7)+1)),IF(AND(IF(Settings!$E$56="",$B92,DATE(YEAR($A92),MONTH($A92),MIN(Settings!$E$56,DAY($B92))))&gt;=MAX($A92,Settings!$F$56),IF(Settings!$E$56="",$B92,DATE(YEAR($A92),MONTH($A92),MIN(Settings!$E$56,DAY($B92))))&lt;=MIN($C92,IF(Settings!$G$56="",$C92,Settings!$G$56))),1,0)))</f>
        <v/>
      </c>
      <c r="BQ92">
        <f>IF(OR(Settings!$B$14="",$D92=1,$E92="pre",$A92&lt;IF(Settings!$B$15="",0,Settings!$B$15)),0,Settings!$B$14)</f>
        <v/>
      </c>
      <c r="BR92">
        <f>IF(AND('Month-End'!$CK$7&lt;&gt;"",NOT(_xlfn.ISFORMULA('Month-End'!$CK$7))),1,0)</f>
        <v/>
      </c>
      <c r="BS92">
        <f>IF(AND('Month-End'!$CK$8&lt;&gt;"",NOT(_xlfn.ISFORMULA('Month-End'!$CK$8))),1,0)</f>
        <v/>
      </c>
      <c r="BT92">
        <f>IF(AND('Month-End'!$CK$9&lt;&gt;"",NOT(_xlfn.ISFORMULA('Month-End'!$CK$9))),1,0)</f>
        <v/>
      </c>
      <c r="BU92">
        <f>IF(AND('Month-End'!$CK$10&lt;&gt;"",NOT(_xlfn.ISFORMULA('Month-End'!$CK$10))),1,0)</f>
        <v/>
      </c>
      <c r="BV92">
        <f>IF(AND('Month-End'!$CK$11&lt;&gt;"",NOT(_xlfn.ISFORMULA('Month-End'!$CK$11))),1,0)</f>
        <v/>
      </c>
      <c r="BW92">
        <f>IF(AND('Month-End'!$CK$12&lt;&gt;"",NOT(_xlfn.ISFORMULA('Month-End'!$CK$12))),1,0)</f>
        <v/>
      </c>
      <c r="BX92">
        <f>IF(AND('Month-End'!$CK$13&lt;&gt;"",NOT(_xlfn.ISFORMULA('Month-End'!$CK$13))),1,0)</f>
        <v/>
      </c>
      <c r="BY92">
        <f>IF(AND('Month-End'!$CK$14&lt;&gt;"",NOT(_xlfn.ISFORMULA('Month-End'!$CK$14))),1,0)</f>
        <v/>
      </c>
      <c r="BZ92">
        <f>IF(AND('Month-End'!$CK$15&lt;&gt;"",NOT(_xlfn.ISFORMULA('Month-End'!$CK$15))),1,0)</f>
        <v/>
      </c>
      <c r="CA92">
        <f>IF(AND('Month-End'!$CK$16&lt;&gt;"",NOT(_xlfn.ISFORMULA('Month-End'!$CK$16))),1,0)</f>
        <v/>
      </c>
      <c r="CB92">
        <f>IF(AND('Month-End'!$CK$17&lt;&gt;"",NOT(_xlfn.ISFORMULA('Month-End'!$CK$17))),1,0)</f>
        <v/>
      </c>
      <c r="CC92">
        <f>IF(AND('Month-End'!$CK$18&lt;&gt;"",NOT(_xlfn.ISFORMULA('Month-End'!$CK$18))),1,0)</f>
        <v/>
      </c>
      <c r="CD92">
        <f>IF(AND('Month-End'!$CK$19&lt;&gt;"",NOT(_xlfn.ISFORMULA('Month-End'!$CK$19))),1,0)</f>
        <v/>
      </c>
      <c r="CE92">
        <f>IF(AND('Month-End'!$CK$20&lt;&gt;"",NOT(_xlfn.ISFORMULA('Month-End'!$CK$20))),1,0)</f>
        <v/>
      </c>
      <c r="CF92">
        <f>IF(AND('Month-End'!$CK$38&lt;&gt;"",NOT(_xlfn.ISFORMULA('Month-End'!$CK$38))),1,0)</f>
        <v/>
      </c>
      <c r="CG92">
        <f>IF(AND('Month-End'!$CK$39&lt;&gt;"",NOT(_xlfn.ISFORMULA('Month-End'!$CK$39))),1,0)</f>
        <v/>
      </c>
      <c r="CH92">
        <f>IF(AND('Month-End'!$CK$40&lt;&gt;"",NOT(_xlfn.ISFORMULA('Month-End'!$CK$40))),1,0)</f>
        <v/>
      </c>
      <c r="CI92">
        <f>IF(AND('Month-End'!$CK$41&lt;&gt;"",NOT(_xlfn.ISFORMULA('Month-End'!$CK$41))),1,0)</f>
        <v/>
      </c>
      <c r="CJ92">
        <f>IF(AND('Month-End'!$CK$42&lt;&gt;"",NOT(_xlfn.ISFORMULA('Month-End'!$CK$42))),1,0)</f>
        <v/>
      </c>
      <c r="CK92">
        <f>IF(AND('Month-End'!$CK$43&lt;&gt;"",NOT(_xlfn.ISFORMULA('Month-End'!$CK$43))),1,0)</f>
        <v/>
      </c>
      <c r="CL92">
        <f>SUM($CM92:$CZ92)</f>
        <v/>
      </c>
      <c r="CM92">
        <f>IF(AND($E92&lt;&gt;"pre",AND(Settings!$A$19&lt;&gt;"",Settings!$E$19&lt;&gt;"No"),Settings!$F$19="Yes",NOT(AND('Month-End'!$CK$7&lt;&gt;"",NOT(_xlfn.ISFORMULA('Month-End'!$CK$7))))),1,0)</f>
        <v/>
      </c>
      <c r="CN92">
        <f>IF(AND($E92&lt;&gt;"pre",AND(Settings!$A$20&lt;&gt;"",Settings!$E$20&lt;&gt;"No"),Settings!$F$20="Yes",NOT(AND('Month-End'!$CK$8&lt;&gt;"",NOT(_xlfn.ISFORMULA('Month-End'!$CK$8))))),1,0)</f>
        <v/>
      </c>
      <c r="CO92">
        <f>IF(AND($E92&lt;&gt;"pre",AND(Settings!$A$21&lt;&gt;"",Settings!$E$21&lt;&gt;"No"),Settings!$F$21="Yes",NOT(AND('Month-End'!$CK$9&lt;&gt;"",NOT(_xlfn.ISFORMULA('Month-End'!$CK$9))))),1,0)</f>
        <v/>
      </c>
      <c r="CP92">
        <f>IF(AND($E92&lt;&gt;"pre",AND(Settings!$A$22&lt;&gt;"",Settings!$E$22&lt;&gt;"No"),Settings!$F$22="Yes",NOT(AND('Month-End'!$CK$10&lt;&gt;"",NOT(_xlfn.ISFORMULA('Month-End'!$CK$10))))),1,0)</f>
        <v/>
      </c>
      <c r="CQ92">
        <f>IF(AND($E92&lt;&gt;"pre",AND(Settings!$A$23&lt;&gt;"",Settings!$E$23&lt;&gt;"No"),Settings!$F$23="Yes",NOT(AND('Month-End'!$CK$11&lt;&gt;"",NOT(_xlfn.ISFORMULA('Month-End'!$CK$11))))),1,0)</f>
        <v/>
      </c>
      <c r="CR92">
        <f>IF(AND($E92&lt;&gt;"pre",AND(Settings!$A$24&lt;&gt;"",Settings!$E$24&lt;&gt;"No"),Settings!$F$24="Yes",NOT(AND('Month-End'!$CK$12&lt;&gt;"",NOT(_xlfn.ISFORMULA('Month-End'!$CK$12))))),1,0)</f>
        <v/>
      </c>
      <c r="CS92">
        <f>IF(AND($E92&lt;&gt;"pre",AND(Settings!$A$25&lt;&gt;"",Settings!$E$25&lt;&gt;"No"),Settings!$F$25="Yes",NOT(AND('Month-End'!$CK$13&lt;&gt;"",NOT(_xlfn.ISFORMULA('Month-End'!$CK$13))))),1,0)</f>
        <v/>
      </c>
      <c r="CT92">
        <f>IF(AND($E92&lt;&gt;"pre",AND(Settings!$A$26&lt;&gt;"",Settings!$E$26&lt;&gt;"No"),Settings!$F$26="Yes",NOT(AND('Month-End'!$CK$14&lt;&gt;"",NOT(_xlfn.ISFORMULA('Month-End'!$CK$14))))),1,0)</f>
        <v/>
      </c>
      <c r="CU92">
        <f>IF(AND($E92&lt;&gt;"pre",AND(Settings!$A$27&lt;&gt;"",Settings!$E$27&lt;&gt;"No"),Settings!$F$27="Yes",NOT(AND('Month-End'!$CK$15&lt;&gt;"",NOT(_xlfn.ISFORMULA('Month-End'!$CK$15))))),1,0)</f>
        <v/>
      </c>
      <c r="CV92">
        <f>IF(AND($E92&lt;&gt;"pre",AND(Settings!$A$28&lt;&gt;"",Settings!$E$28&lt;&gt;"No"),Settings!$F$28="Yes",NOT(AND('Month-End'!$CK$16&lt;&gt;"",NOT(_xlfn.ISFORMULA('Month-End'!$CK$16))))),1,0)</f>
        <v/>
      </c>
      <c r="CW92">
        <f>IF(AND($E92&lt;&gt;"pre",AND(Settings!$A$29&lt;&gt;"",Settings!$E$29&lt;&gt;"No"),Settings!$F$29="Yes",NOT(AND('Month-End'!$CK$17&lt;&gt;"",NOT(_xlfn.ISFORMULA('Month-End'!$CK$17))))),1,0)</f>
        <v/>
      </c>
      <c r="CX92">
        <f>IF(AND($E92&lt;&gt;"pre",AND(Settings!$A$30&lt;&gt;"",Settings!$E$30&lt;&gt;"No"),Settings!$F$30="Yes",NOT(AND('Month-End'!$CK$18&lt;&gt;"",NOT(_xlfn.ISFORMULA('Month-End'!$CK$18))))),1,0)</f>
        <v/>
      </c>
      <c r="CY92">
        <f>IF(AND($E92&lt;&gt;"pre",AND(Settings!$A$31&lt;&gt;"",Settings!$E$31&lt;&gt;"No"),Settings!$F$31="Yes",NOT(AND('Month-End'!$CK$19&lt;&gt;"",NOT(_xlfn.ISFORMULA('Month-End'!$CK$19))))),1,0)</f>
        <v/>
      </c>
      <c r="CZ92">
        <f>IF(AND($E92&lt;&gt;"pre",AND(Settings!$A$32&lt;&gt;"",Settings!$E$32&lt;&gt;"No"),Settings!$F$32="Yes",NOT(AND('Month-End'!$CK$20&lt;&gt;"",NOT(_xlfn.ISFORMULA('Month-End'!$CK$20))))),1,0)</f>
        <v/>
      </c>
      <c r="DA92">
        <f>IF($DT92=1,IF(OR(Settings!$B$19="Checking",Settings!$B$19="Savings",Settings!$B$19="Cash"),N($AE92),IF(OR(Settings!$B$19="Card",Settings!$B$19="Loan"),-N($AE92),0))+IF(OR(Settings!$B$20="Checking",Settings!$B$20="Savings",Settings!$B$20="Cash"),N($AF92),IF(OR(Settings!$B$20="Card",Settings!$B$20="Loan"),-N($AF92),0))+IF(OR(Settings!$B$21="Checking",Settings!$B$21="Savings",Settings!$B$21="Cash"),N($AG92),IF(OR(Settings!$B$21="Card",Settings!$B$21="Loan"),-N($AG92),0))+IF(OR(Settings!$B$22="Checking",Settings!$B$22="Savings",Settings!$B$22="Cash"),N($AH92),IF(OR(Settings!$B$22="Card",Settings!$B$22="Loan"),-N($AH92),0))+IF(OR(Settings!$B$23="Checking",Settings!$B$23="Savings",Settings!$B$23="Cash"),N($AI92),IF(OR(Settings!$B$23="Card",Settings!$B$23="Loan"),-N($AI92),0))+IF(OR(Settings!$B$24="Checking",Settings!$B$24="Savings",Settings!$B$24="Cash"),N($AJ92),IF(OR(Settings!$B$24="Card",Settings!$B$24="Loan"),-N($AJ92),0))+IF(OR(Settings!$B$25="Checking",Settings!$B$25="Savings",Settings!$B$25="Cash"),N($AK92),IF(OR(Settings!$B$25="Card",Settings!$B$25="Loan"),-N($AK92),0))+IF(OR(Settings!$B$26="Checking",Settings!$B$26="Savings",Settings!$B$26="Cash"),N($AL92),IF(OR(Settings!$B$26="Card",Settings!$B$26="Loan"),-N($AL92),0))+IF(OR(Settings!$B$27="Checking",Settings!$B$27="Savings",Settings!$B$27="Cash"),N($AM92),IF(OR(Settings!$B$27="Card",Settings!$B$27="Loan"),-N($AM92),0))+IF(OR(Settings!$B$28="Checking",Settings!$B$28="Savings",Settings!$B$28="Cash"),N($AN92),IF(OR(Settings!$B$28="Card",Settings!$B$28="Loan"),-N($AN92),0))+IF(OR(Settings!$B$29="Checking",Settings!$B$29="Savings",Settings!$B$29="Cash"),N($AO92),IF(OR(Settings!$B$29="Card",Settings!$B$29="Loan"),-N($AO92),0))+IF(OR(Settings!$B$30="Checking",Settings!$B$30="Savings",Settings!$B$30="Cash"),N($AP92),IF(OR(Settings!$B$30="Card",Settings!$B$30="Loan"),-N($AP92),0))+IF(OR(Settings!$B$31="Checking",Settings!$B$31="Savings",Settings!$B$31="Cash"),N($AQ92),IF(OR(Settings!$B$31="Card",Settings!$B$31="Loan"),-N($AQ92),0))+IF(OR(Settings!$B$32="Checking",Settings!$B$32="Savings",Settings!$B$32="Cash"),N($AR92),IF(OR(Settings!$B$32="Card",Settings!$B$32="Loan"),-N($AR92),0)),"")</f>
        <v/>
      </c>
      <c r="DB92">
        <f>IF($E92="open",$EB$27,IF($E92="post",IF($E91="pre",$EB$27,$DA91),""))</f>
        <v/>
      </c>
      <c r="DC92">
        <f>IF($E92="open",1,IF($E92="post",IF($E91="pre",1,$DT91),0))</f>
        <v/>
      </c>
      <c r="DD92">
        <f>IF(AND($DT92=1,$DC92=1),ROUND($W92-($DA92-$DB92)-$AD92-$AB92,2),"")</f>
        <v/>
      </c>
      <c r="DE92">
        <f>IF('Month-End'!$CK$35="",$BQ92,N('Month-End'!$CK$35))</f>
        <v/>
      </c>
      <c r="DF92">
        <f>N('Month-End'!$CK$36)</f>
        <v/>
      </c>
      <c r="DG92">
        <f>IF($DD92="","",$DD92+$DE92)</f>
        <v/>
      </c>
      <c r="DH92">
        <f>IF($DG92="","",$DG92-$DF92)</f>
        <v/>
      </c>
      <c r="DI92">
        <f>IF(OR($E92="pre",$D92=1),"",N($AS92)+N($AT92)+N($AU92)+N($AV92)+N($AW92)+N($AX92))</f>
        <v/>
      </c>
      <c r="DJ92">
        <f>IF($DT92=1,$DA92+N($DI92),"")</f>
        <v/>
      </c>
      <c r="DK92">
        <f>IF($DD92="","",$W92-$DD92-$AB92)</f>
        <v/>
      </c>
      <c r="DL92">
        <f>IF(AND($E92="post",$DD92&lt;&gt;"",$B92&lt;TODAY()),1,0)</f>
        <v/>
      </c>
      <c r="DM92">
        <f>IF($DL92=1,COUNTIF($DL92:$DL$183,1),0)</f>
        <v/>
      </c>
      <c r="DN92">
        <f>IF($D92=1,"",IF($E92="pre","History only",IF($DT92=1,IF($DD92="","⚠ Previous month missing",IF($DD92&lt;0,"⚠ Check: spending &lt; 0",IF($E92="open","✓ Done (partial)","✓ Done"))),IF($B92&gt;=TODAY(),"In progress","⚠ Needs balances"))))</f>
        <v/>
      </c>
      <c r="DO92">
        <f>YEAR($A92)</f>
        <v/>
      </c>
      <c r="DP92">
        <f>DATE(YEAR($A92),INT((MONTH($A92)-1)/3)*3+1,1)</f>
        <v/>
      </c>
      <c r="DQ92">
        <f>IF(AND($DT92=1,$DD92&lt;&gt;"",$D92=0),ROW(),0)</f>
        <v/>
      </c>
      <c r="DR92">
        <f>IF(AND($E92&lt;&gt;"pre",$B92&lt;TODAY(),$DT92=0),1,0)</f>
        <v/>
      </c>
      <c r="DS92">
        <f>IF($DJ92="",NA(),$DJ92)</f>
        <v/>
      </c>
      <c r="DT92">
        <f>IF(AND($E92&lt;&gt;"pre",$CL92=0,COUNTIFS(Settings!$F$19:$F$32,"Yes",Settings!$A$19:$A$32,"&lt;&gt;",Settings!$E$19:$E$32,"&lt;&gt;No")&gt;0),1,0)</f>
        <v/>
      </c>
      <c r="DU92">
        <f>IF(AND($B92&lt;TODAY(),$S92&gt;0),1,0)</f>
        <v/>
      </c>
      <c r="DV92">
        <f>IF($DU92=1,COUNTIF($DU92:$DU$183,1),0)</f>
        <v/>
      </c>
      <c r="DW92">
        <f>IF(AND(OR(Settings!$B$19="Card",Settings!$B$19="Loan"),AND('Month-End'!$CK$7&lt;&gt;"",NOT(_xlfn.ISFORMULA('Month-End'!$CK$7)))),IF(N('Month-End'!$CK$7)&lt;0,1,0),0)+IF(AND(OR(Settings!$B$20="Card",Settings!$B$20="Loan"),AND('Month-End'!$CK$8&lt;&gt;"",NOT(_xlfn.ISFORMULA('Month-End'!$CK$8)))),IF(N('Month-End'!$CK$8)&lt;0,1,0),0)+IF(AND(OR(Settings!$B$21="Card",Settings!$B$21="Loan"),AND('Month-End'!$CK$9&lt;&gt;"",NOT(_xlfn.ISFORMULA('Month-End'!$CK$9)))),IF(N('Month-End'!$CK$9)&lt;0,1,0),0)+IF(AND(OR(Settings!$B$22="Card",Settings!$B$22="Loan"),AND('Month-End'!$CK$10&lt;&gt;"",NOT(_xlfn.ISFORMULA('Month-End'!$CK$10)))),IF(N('Month-End'!$CK$10)&lt;0,1,0),0)+IF(AND(OR(Settings!$B$23="Card",Settings!$B$23="Loan"),AND('Month-End'!$CK$11&lt;&gt;"",NOT(_xlfn.ISFORMULA('Month-End'!$CK$11)))),IF(N('Month-End'!$CK$11)&lt;0,1,0),0)+IF(AND(OR(Settings!$B$24="Card",Settings!$B$24="Loan"),AND('Month-End'!$CK$12&lt;&gt;"",NOT(_xlfn.ISFORMULA('Month-End'!$CK$12)))),IF(N('Month-End'!$CK$12)&lt;0,1,0),0)+IF(AND(OR(Settings!$B$25="Card",Settings!$B$25="Loan"),AND('Month-End'!$CK$13&lt;&gt;"",NOT(_xlfn.ISFORMULA('Month-End'!$CK$13)))),IF(N('Month-End'!$CK$13)&lt;0,1,0),0)+IF(AND(OR(Settings!$B$26="Card",Settings!$B$26="Loan"),AND('Month-End'!$CK$14&lt;&gt;"",NOT(_xlfn.ISFORMULA('Month-End'!$CK$14)))),IF(N('Month-End'!$CK$14)&lt;0,1,0),0)+IF(AND(OR(Settings!$B$27="Card",Settings!$B$27="Loan"),AND('Month-End'!$CK$15&lt;&gt;"",NOT(_xlfn.ISFORMULA('Month-End'!$CK$15)))),IF(N('Month-End'!$CK$15)&lt;0,1,0),0)+IF(AND(OR(Settings!$B$28="Card",Settings!$B$28="Loan"),AND('Month-End'!$CK$16&lt;&gt;"",NOT(_xlfn.ISFORMULA('Month-End'!$CK$16)))),IF(N('Month-End'!$CK$16)&lt;0,1,0),0)+IF(AND(OR(Settings!$B$29="Card",Settings!$B$29="Loan"),AND('Month-End'!$CK$17&lt;&gt;"",NOT(_xlfn.ISFORMULA('Month-End'!$CK$17)))),IF(N('Month-End'!$CK$17)&lt;0,1,0),0)+IF(AND(OR(Settings!$B$30="Card",Settings!$B$30="Loan"),AND('Month-End'!$CK$18&lt;&gt;"",NOT(_xlfn.ISFORMULA('Month-End'!$CK$18)))),IF(N('Month-End'!$CK$18)&lt;0,1,0),0)+IF(AND(OR(Settings!$B$31="Card",Settings!$B$31="Loan"),AND('Month-End'!$CK$19&lt;&gt;"",NOT(_xlfn.ISFORMULA('Month-End'!$CK$19)))),IF(N('Month-End'!$CK$19)&lt;0,1,0),0)+IF(AND(OR(Settings!$B$32="Card",Settings!$B$32="Loan"),AND('Month-End'!$CK$20&lt;&gt;"",NOT(_xlfn.ISFORMULA('Month-End'!$CK$20)))),IF(N('Month-End'!$CK$20)&lt;0,1,0),0)</f>
        <v/>
      </c>
      <c r="DX92">
        <f>IF(Settings!$B$36="Retirement",$AY92,0)+IF(Settings!$B$37="Retirement",$AZ92,0)+IF(Settings!$B$38="Retirement",$BA92,0)+IF(Settings!$B$39="Retirement",$BB92,0)+IF(Settings!$B$40="Retirement",$BC92,0)+IF(Settings!$B$41="Retirement",$BD92,0)</f>
        <v/>
      </c>
      <c r="ET92">
        <f>IF($E92&lt;&gt;"open",0,IF(AND('Month-End'!$CK$22&lt;&gt;"",NOT(_xlfn.ISFORMULA('Month-End'!$CK$22))),0,IF(OR(Settings!$C$45="",Settings!$D$45=""),0,Settings!$C$45*IF(Settings!$D$45="Weekly",IF(IFERROR(MATCH(Settings!$E$45,$EO$4:$EO$10,0),0)=0,0,IF(MIN(Settings!$B$5,IF(Settings!$G$45="",Settings!$B$5,Settings!$G$45))&lt;MAX($A92,Settings!$F$45),0,INT((MIN(Settings!$B$5,IF(Settings!$G$45="",Settings!$B$5,Settings!$G$45))-MAX($A92,Settings!$F$45)-MOD(IFERROR(MATCH(Settings!$E$45,$EO$4:$EO$10,0),0)-WEEKDAY(MAX($A92,Settings!$F$45)),7))/7)+1)),IF(AND(IF(Settings!$E$45="",$B92,DATE(YEAR($A92),MONTH($A92),MIN(Settings!$E$45,DAY($B92))))&gt;=MAX($A92,Settings!$F$45),IF(Settings!$E$45="",$B92,DATE(YEAR($A92),MONTH($A92),MIN(Settings!$E$45,DAY($B92))))&lt;=MIN(Settings!$B$5,IF(Settings!$G$45="",Settings!$B$5,Settings!$G$45))),1,0)))))</f>
        <v/>
      </c>
      <c r="EU92">
        <f>IF($E92&lt;&gt;"open",0,IF(AND('Month-End'!$CK$23&lt;&gt;"",NOT(_xlfn.ISFORMULA('Month-End'!$CK$23))),0,IF(OR(Settings!$C$46="",Settings!$D$46=""),0,Settings!$C$46*IF(Settings!$D$46="Weekly",IF(IFERROR(MATCH(Settings!$E$46,$EO$4:$EO$10,0),0)=0,0,IF(MIN(Settings!$B$5,IF(Settings!$G$46="",Settings!$B$5,Settings!$G$46))&lt;MAX($A92,Settings!$F$46),0,INT((MIN(Settings!$B$5,IF(Settings!$G$46="",Settings!$B$5,Settings!$G$46))-MAX($A92,Settings!$F$46)-MOD(IFERROR(MATCH(Settings!$E$46,$EO$4:$EO$10,0),0)-WEEKDAY(MAX($A92,Settings!$F$46)),7))/7)+1)),IF(AND(IF(Settings!$E$46="",$B92,DATE(YEAR($A92),MONTH($A92),MIN(Settings!$E$46,DAY($B92))))&gt;=MAX($A92,Settings!$F$46),IF(Settings!$E$46="",$B92,DATE(YEAR($A92),MONTH($A92),MIN(Settings!$E$46,DAY($B92))))&lt;=MIN(Settings!$B$5,IF(Settings!$G$46="",Settings!$B$5,Settings!$G$46))),1,0)))))</f>
        <v/>
      </c>
      <c r="EV92">
        <f>IF($E92&lt;&gt;"open",0,IF(AND('Month-End'!$CK$24&lt;&gt;"",NOT(_xlfn.ISFORMULA('Month-End'!$CK$24))),0,IF(OR(Settings!$C$47="",Settings!$D$47=""),0,Settings!$C$47*IF(Settings!$D$47="Weekly",IF(IFERROR(MATCH(Settings!$E$47,$EO$4:$EO$10,0),0)=0,0,IF(MIN(Settings!$B$5,IF(Settings!$G$47="",Settings!$B$5,Settings!$G$47))&lt;MAX($A92,Settings!$F$47),0,INT((MIN(Settings!$B$5,IF(Settings!$G$47="",Settings!$B$5,Settings!$G$47))-MAX($A92,Settings!$F$47)-MOD(IFERROR(MATCH(Settings!$E$47,$EO$4:$EO$10,0),0)-WEEKDAY(MAX($A92,Settings!$F$47)),7))/7)+1)),IF(AND(IF(Settings!$E$47="",$B92,DATE(YEAR($A92),MONTH($A92),MIN(Settings!$E$47,DAY($B92))))&gt;=MAX($A92,Settings!$F$47),IF(Settings!$E$47="",$B92,DATE(YEAR($A92),MONTH($A92),MIN(Settings!$E$47,DAY($B92))))&lt;=MIN(Settings!$B$5,IF(Settings!$G$47="",Settings!$B$5,Settings!$G$47))),1,0)))))</f>
        <v/>
      </c>
      <c r="EW92">
        <f>IF($E92&lt;&gt;"open",0,IF(AND('Month-End'!$CK$25&lt;&gt;"",NOT(_xlfn.ISFORMULA('Month-End'!$CK$25))),0,IF(OR(Settings!$C$48="",Settings!$D$48=""),0,Settings!$C$48*IF(Settings!$D$48="Weekly",IF(IFERROR(MATCH(Settings!$E$48,$EO$4:$EO$10,0),0)=0,0,IF(MIN(Settings!$B$5,IF(Settings!$G$48="",Settings!$B$5,Settings!$G$48))&lt;MAX($A92,Settings!$F$48),0,INT((MIN(Settings!$B$5,IF(Settings!$G$48="",Settings!$B$5,Settings!$G$48))-MAX($A92,Settings!$F$48)-MOD(IFERROR(MATCH(Settings!$E$48,$EO$4:$EO$10,0),0)-WEEKDAY(MAX($A92,Settings!$F$48)),7))/7)+1)),IF(AND(IF(Settings!$E$48="",$B92,DATE(YEAR($A92),MONTH($A92),MIN(Settings!$E$48,DAY($B92))))&gt;=MAX($A92,Settings!$F$48),IF(Settings!$E$48="",$B92,DATE(YEAR($A92),MONTH($A92),MIN(Settings!$E$48,DAY($B92))))&lt;=MIN(Settings!$B$5,IF(Settings!$G$48="",Settings!$B$5,Settings!$G$48))),1,0)))))</f>
        <v/>
      </c>
      <c r="EX92">
        <f>IF($E92&lt;&gt;"open",0,IF(AND('Month-End'!$CK$26&lt;&gt;"",NOT(_xlfn.ISFORMULA('Month-End'!$CK$26))),0,IF(OR(Settings!$C$49="",Settings!$D$49=""),0,Settings!$C$49*IF(Settings!$D$49="Weekly",IF(IFERROR(MATCH(Settings!$E$49,$EO$4:$EO$10,0),0)=0,0,IF(MIN(Settings!$B$5,IF(Settings!$G$49="",Settings!$B$5,Settings!$G$49))&lt;MAX($A92,Settings!$F$49),0,INT((MIN(Settings!$B$5,IF(Settings!$G$49="",Settings!$B$5,Settings!$G$49))-MAX($A92,Settings!$F$49)-MOD(IFERROR(MATCH(Settings!$E$49,$EO$4:$EO$10,0),0)-WEEKDAY(MAX($A92,Settings!$F$49)),7))/7)+1)),IF(AND(IF(Settings!$E$49="",$B92,DATE(YEAR($A92),MONTH($A92),MIN(Settings!$E$49,DAY($B92))))&gt;=MAX($A92,Settings!$F$49),IF(Settings!$E$49="",$B92,DATE(YEAR($A92),MONTH($A92),MIN(Settings!$E$49,DAY($B92))))&lt;=MIN(Settings!$B$5,IF(Settings!$G$49="",Settings!$B$5,Settings!$G$49))),1,0)))))</f>
        <v/>
      </c>
      <c r="EY92">
        <f>IF($E92&lt;&gt;"open",0,IF(AND('Month-End'!$CK$27&lt;&gt;"",NOT(_xlfn.ISFORMULA('Month-End'!$CK$27))),0,IF(OR(Settings!$C$50="",Settings!$D$50=""),0,Settings!$C$50*IF(Settings!$D$50="Weekly",IF(IFERROR(MATCH(Settings!$E$50,$EO$4:$EO$10,0),0)=0,0,IF(MIN(Settings!$B$5,IF(Settings!$G$50="",Settings!$B$5,Settings!$G$50))&lt;MAX($A92,Settings!$F$50),0,INT((MIN(Settings!$B$5,IF(Settings!$G$50="",Settings!$B$5,Settings!$G$50))-MAX($A92,Settings!$F$50)-MOD(IFERROR(MATCH(Settings!$E$50,$EO$4:$EO$10,0),0)-WEEKDAY(MAX($A92,Settings!$F$50)),7))/7)+1)),IF(AND(IF(Settings!$E$50="",$B92,DATE(YEAR($A92),MONTH($A92),MIN(Settings!$E$50,DAY($B92))))&gt;=MAX($A92,Settings!$F$50),IF(Settings!$E$50="",$B92,DATE(YEAR($A92),MONTH($A92),MIN(Settings!$E$50,DAY($B92))))&lt;=MIN(Settings!$B$5,IF(Settings!$G$50="",Settings!$B$5,Settings!$G$50))),1,0)))))</f>
        <v/>
      </c>
      <c r="EZ92">
        <f>IF($E92&lt;&gt;"open",0,IF(AND('Month-End'!$CK$28&lt;&gt;"",NOT(_xlfn.ISFORMULA('Month-End'!$CK$28))),0,IF(OR(Settings!$C$51="",Settings!$D$51=""),0,Settings!$C$51*IF(Settings!$D$51="Weekly",IF(IFERROR(MATCH(Settings!$E$51,$EO$4:$EO$10,0),0)=0,0,IF(MIN(Settings!$B$5,IF(Settings!$G$51="",Settings!$B$5,Settings!$G$51))&lt;MAX($A92,Settings!$F$51),0,INT((MIN(Settings!$B$5,IF(Settings!$G$51="",Settings!$B$5,Settings!$G$51))-MAX($A92,Settings!$F$51)-MOD(IFERROR(MATCH(Settings!$E$51,$EO$4:$EO$10,0),0)-WEEKDAY(MAX($A92,Settings!$F$51)),7))/7)+1)),IF(AND(IF(Settings!$E$51="",$B92,DATE(YEAR($A92),MONTH($A92),MIN(Settings!$E$51,DAY($B92))))&gt;=MAX($A92,Settings!$F$51),IF(Settings!$E$51="",$B92,DATE(YEAR($A92),MONTH($A92),MIN(Settings!$E$51,DAY($B92))))&lt;=MIN(Settings!$B$5,IF(Settings!$G$51="",Settings!$B$5,Settings!$G$51))),1,0)))))</f>
        <v/>
      </c>
      <c r="FA92">
        <f>IF($E92&lt;&gt;"open",0,IF(AND('Month-End'!$CK$29&lt;&gt;"",NOT(_xlfn.ISFORMULA('Month-End'!$CK$29))),0,IF(OR(Settings!$C$52="",Settings!$D$52=""),0,Settings!$C$52*IF(Settings!$D$52="Weekly",IF(IFERROR(MATCH(Settings!$E$52,$EO$4:$EO$10,0),0)=0,0,IF(MIN(Settings!$B$5,IF(Settings!$G$52="",Settings!$B$5,Settings!$G$52))&lt;MAX($A92,Settings!$F$52),0,INT((MIN(Settings!$B$5,IF(Settings!$G$52="",Settings!$B$5,Settings!$G$52))-MAX($A92,Settings!$F$52)-MOD(IFERROR(MATCH(Settings!$E$52,$EO$4:$EO$10,0),0)-WEEKDAY(MAX($A92,Settings!$F$52)),7))/7)+1)),IF(AND(IF(Settings!$E$52="",$B92,DATE(YEAR($A92),MONTH($A92),MIN(Settings!$E$52,DAY($B92))))&gt;=MAX($A92,Settings!$F$52),IF(Settings!$E$52="",$B92,DATE(YEAR($A92),MONTH($A92),MIN(Settings!$E$52,DAY($B92))))&lt;=MIN(Settings!$B$5,IF(Settings!$G$52="",Settings!$B$5,Settings!$G$52))),1,0)))))</f>
        <v/>
      </c>
      <c r="FB92">
        <f>IF($E92&lt;&gt;"open",0,IF(AND('Month-End'!$CK$30&lt;&gt;"",NOT(_xlfn.ISFORMULA('Month-End'!$CK$30))),0,IF(OR(Settings!$C$53="",Settings!$D$53=""),0,Settings!$C$53*IF(Settings!$D$53="Weekly",IF(IFERROR(MATCH(Settings!$E$53,$EO$4:$EO$10,0),0)=0,0,IF(MIN(Settings!$B$5,IF(Settings!$G$53="",Settings!$B$5,Settings!$G$53))&lt;MAX($A92,Settings!$F$53),0,INT((MIN(Settings!$B$5,IF(Settings!$G$53="",Settings!$B$5,Settings!$G$53))-MAX($A92,Settings!$F$53)-MOD(IFERROR(MATCH(Settings!$E$53,$EO$4:$EO$10,0),0)-WEEKDAY(MAX($A92,Settings!$F$53)),7))/7)+1)),IF(AND(IF(Settings!$E$53="",$B92,DATE(YEAR($A92),MONTH($A92),MIN(Settings!$E$53,DAY($B92))))&gt;=MAX($A92,Settings!$F$53),IF(Settings!$E$53="",$B92,DATE(YEAR($A92),MONTH($A92),MIN(Settings!$E$53,DAY($B92))))&lt;=MIN(Settings!$B$5,IF(Settings!$G$53="",Settings!$B$5,Settings!$G$53))),1,0)))))</f>
        <v/>
      </c>
      <c r="FC92">
        <f>IF($E92&lt;&gt;"open",0,IF(AND('Month-End'!$CK$31&lt;&gt;"",NOT(_xlfn.ISFORMULA('Month-End'!$CK$31))),0,IF(OR(Settings!$C$54="",Settings!$D$54=""),0,Settings!$C$54*IF(Settings!$D$54="Weekly",IF(IFERROR(MATCH(Settings!$E$54,$EO$4:$EO$10,0),0)=0,0,IF(MIN(Settings!$B$5,IF(Settings!$G$54="",Settings!$B$5,Settings!$G$54))&lt;MAX($A92,Settings!$F$54),0,INT((MIN(Settings!$B$5,IF(Settings!$G$54="",Settings!$B$5,Settings!$G$54))-MAX($A92,Settings!$F$54)-MOD(IFERROR(MATCH(Settings!$E$54,$EO$4:$EO$10,0),0)-WEEKDAY(MAX($A92,Settings!$F$54)),7))/7)+1)),IF(AND(IF(Settings!$E$54="",$B92,DATE(YEAR($A92),MONTH($A92),MIN(Settings!$E$54,DAY($B92))))&gt;=MAX($A92,Settings!$F$54),IF(Settings!$E$54="",$B92,DATE(YEAR($A92),MONTH($A92),MIN(Settings!$E$54,DAY($B92))))&lt;=MIN(Settings!$B$5,IF(Settings!$G$54="",Settings!$B$5,Settings!$G$54))),1,0)))))</f>
        <v/>
      </c>
      <c r="FD92">
        <f>IF($E92&lt;&gt;"open",0,IF(AND('Month-End'!$CK$32&lt;&gt;"",NOT(_xlfn.ISFORMULA('Month-End'!$CK$32))),0,IF(OR(Settings!$C$55="",Settings!$D$55=""),0,Settings!$C$55*IF(Settings!$D$55="Weekly",IF(IFERROR(MATCH(Settings!$E$55,$EO$4:$EO$10,0),0)=0,0,IF(MIN(Settings!$B$5,IF(Settings!$G$55="",Settings!$B$5,Settings!$G$55))&lt;MAX($A92,Settings!$F$55),0,INT((MIN(Settings!$B$5,IF(Settings!$G$55="",Settings!$B$5,Settings!$G$55))-MAX($A92,Settings!$F$55)-MOD(IFERROR(MATCH(Settings!$E$55,$EO$4:$EO$10,0),0)-WEEKDAY(MAX($A92,Settings!$F$55)),7))/7)+1)),IF(AND(IF(Settings!$E$55="",$B92,DATE(YEAR($A92),MONTH($A92),MIN(Settings!$E$55,DAY($B92))))&gt;=MAX($A92,Settings!$F$55),IF(Settings!$E$55="",$B92,DATE(YEAR($A92),MONTH($A92),MIN(Settings!$E$55,DAY($B92))))&lt;=MIN(Settings!$B$5,IF(Settings!$G$55="",Settings!$B$5,Settings!$G$55))),1,0)))))</f>
        <v/>
      </c>
      <c r="FE92">
        <f>IF($E92&lt;&gt;"open",0,IF(AND('Month-End'!$CK$33&lt;&gt;"",NOT(_xlfn.ISFORMULA('Month-End'!$CK$33))),0,IF(OR(Settings!$C$56="",Settings!$D$56=""),0,Settings!$C$56*IF(Settings!$D$56="Weekly",IF(IFERROR(MATCH(Settings!$E$56,$EO$4:$EO$10,0),0)=0,0,IF(MIN(Settings!$B$5,IF(Settings!$G$56="",Settings!$B$5,Settings!$G$56))&lt;MAX($A92,Settings!$F$56),0,INT((MIN(Settings!$B$5,IF(Settings!$G$56="",Settings!$B$5,Settings!$G$56))-MAX($A92,Settings!$F$56)-MOD(IFERROR(MATCH(Settings!$E$56,$EO$4:$EO$10,0),0)-WEEKDAY(MAX($A92,Settings!$F$56)),7))/7)+1)),IF(AND(IF(Settings!$E$56="",$B92,DATE(YEAR($A92),MONTH($A92),MIN(Settings!$E$56,DAY($B92))))&gt;=MAX($A92,Settings!$F$56),IF(Settings!$E$56="",$B92,DATE(YEAR($A92),MONTH($A92),MIN(Settings!$E$56,DAY($B92))))&lt;=MIN(Settings!$B$5,IF(Settings!$G$56="",Settings!$B$5,Settings!$G$56))),1,0)))))</f>
        <v/>
      </c>
      <c r="FF92">
        <f>IF(Settings!$I$45="Yes",$G92,0)+IF(Settings!$I$46="Yes",$H92,0)+IF(Settings!$I$47="Yes",$I92,0)+IF(Settings!$I$48="Yes",$J92,0)+IF(Settings!$I$49="Yes",$K92,0)+IF(Settings!$I$50="Yes",$L92,0)+IF(Settings!$I$51="Yes",$M92,0)+IF(Settings!$I$52="Yes",$N92,0)+IF(Settings!$I$53="Yes",$O92,0)+IF(Settings!$I$54="Yes",$P92,0)+IF(Settings!$I$55="Yes",$Q92,0)+IF(Settings!$I$56="Yes",$R92,0)</f>
        <v/>
      </c>
      <c r="FG92">
        <f>IF(AND(Settings!$I$45="Yes",Settings!$J$45="No"),$G92,0)+IF(AND(Settings!$I$46="Yes",Settings!$J$46="No"),$H92,0)+IF(AND(Settings!$I$47="Yes",Settings!$J$47="No"),$I92,0)+IF(AND(Settings!$I$48="Yes",Settings!$J$48="No"),$J92,0)+IF(AND(Settings!$I$49="Yes",Settings!$J$49="No"),$K92,0)+IF(AND(Settings!$I$50="Yes",Settings!$J$50="No"),$L92,0)+IF(AND(Settings!$I$51="Yes",Settings!$J$51="No"),$M92,0)+IF(AND(Settings!$I$52="Yes",Settings!$J$52="No"),$N92,0)+IF(AND(Settings!$I$53="Yes",Settings!$J$53="No"),$O92,0)+IF(AND(Settings!$I$54="Yes",Settings!$J$54="No"),$P92,0)+IF(AND(Settings!$I$55="Yes",Settings!$J$55="No"),$Q92,0)+IF(AND(Settings!$I$56="Yes",Settings!$J$56="No"),$R92,0)</f>
        <v/>
      </c>
      <c r="FH92">
        <f>SUMIFS(Giving!$B$7:$B$2006,Giving!$A$7:$A$2006,"&gt;="&amp;$A92,Giving!$A$7:$A$2006,"&lt;="&amp;$B92,Giving!$G$7:$G$2006,"Yes")+IF(OR(OR(Settings!$B$60="",Settings!$F$60="No"),Settings!$H$60&lt;&gt;"Yes"),0,Settings!$B$60*IF(AND(IF(Settings!$C$60="",$B92,DATE(YEAR($A92),MONTH($A92),MIN(Settings!$C$60,DAY($B92))))&gt;=MAX($A92,Settings!$D$60),IF(Settings!$C$60="",$B92,DATE(YEAR($A92),MONTH($A92),MIN(Settings!$C$60,DAY($B92))))&lt;=MIN($C92,IF(Settings!$E$60="",$C92,Settings!$E$60))),1,0))+IF(OR(OR(Settings!$B$61="",Settings!$F$61="No"),Settings!$H$61&lt;&gt;"Yes"),0,Settings!$B$61*IF(AND(IF(Settings!$C$61="",$B92,DATE(YEAR($A92),MONTH($A92),MIN(Settings!$C$61,DAY($B92))))&gt;=MAX($A92,Settings!$D$61),IF(Settings!$C$61="",$B92,DATE(YEAR($A92),MONTH($A92),MIN(Settings!$C$61,DAY($B92))))&lt;=MIN($C92,IF(Settings!$E$61="",$C92,Settings!$E$61))),1,0))+IF(OR(OR(Settings!$B$62="",Settings!$F$62="No"),Settings!$H$62&lt;&gt;"Yes"),0,Settings!$B$62*IF(AND(IF(Settings!$C$62="",$B92,DATE(YEAR($A92),MONTH($A92),MIN(Settings!$C$62,DAY($B92))))&gt;=MAX($A92,Settings!$D$62),IF(Settings!$C$62="",$B92,DATE(YEAR($A92),MONTH($A92),MIN(Settings!$C$62,DAY($B92))))&lt;=MIN($C92,IF(Settings!$E$62="",$C92,Settings!$E$62))),1,0))+IF(OR(OR(Settings!$B$63="",Settings!$F$63="No"),Settings!$H$63&lt;&gt;"Yes"),0,Settings!$B$63*IF(AND(IF(Settings!$C$63="",$B92,DATE(YEAR($A92),MONTH($A92),MIN(Settings!$C$63,DAY($B92))))&gt;=MAX($A92,Settings!$D$63),IF(Settings!$C$63="",$B92,DATE(YEAR($A92),MONTH($A92),MIN(Settings!$C$63,DAY($B92))))&lt;=MIN($C92,IF(Settings!$E$63="",$C92,Settings!$E$63))),1,0))+IF(OR(OR(Settings!$B$64="",Settings!$F$64="No"),Settings!$H$64&lt;&gt;"Yes"),0,Settings!$B$64*IF(AND(IF(Settings!$C$64="",$B92,DATE(YEAR($A92),MONTH($A92),MIN(Settings!$C$64,DAY($B92))))&gt;=MAX($A92,Settings!$D$64),IF(Settings!$C$64="",$B92,DATE(YEAR($A92),MONTH($A92),MIN(Settings!$C$64,DAY($B92))))&lt;=MIN($C92,IF(Settings!$E$64="",$C92,Settings!$E$64))),1,0))+IF(OR(OR(Settings!$B$65="",Settings!$F$65="No"),Settings!$H$65&lt;&gt;"Yes"),0,Settings!$B$65*IF(AND(IF(Settings!$C$65="",$B92,DATE(YEAR($A92),MONTH($A92),MIN(Settings!$C$65,DAY($B92))))&gt;=MAX($A92,Settings!$D$65),IF(Settings!$C$65="",$B92,DATE(YEAR($A92),MONTH($A92),MIN(Settings!$C$65,DAY($B92))))&lt;=MIN($C92,IF(Settings!$E$65="",$C92,Settings!$E$65))),1,0))</f>
        <v/>
      </c>
      <c r="FI92">
        <f>IF($DT92=1,IF(OR(Settings!$B$19="Card",Settings!$B$19="Loan"),N($AE92),0)+IF(OR(Settings!$B$20="Card",Settings!$B$20="Loan"),N($AF92),0)+IF(OR(Settings!$B$21="Card",Settings!$B$21="Loan"),N($AG92),0)+IF(OR(Settings!$B$22="Card",Settings!$B$22="Loan"),N($AH92),0)+IF(OR(Settings!$B$23="Card",Settings!$B$23="Loan"),N($AI92),0)+IF(OR(Settings!$B$24="Card",Settings!$B$24="Loan"),N($AJ92),0)+IF(OR(Settings!$B$25="Card",Settings!$B$25="Loan"),N($AK92),0)+IF(OR(Settings!$B$26="Card",Settings!$B$26="Loan"),N($AL92),0)+IF(OR(Settings!$B$27="Card",Settings!$B$27="Loan"),N($AM92),0)+IF(OR(Settings!$B$28="Card",Settings!$B$28="Loan"),N($AN92),0)+IF(OR(Settings!$B$29="Card",Settings!$B$29="Loan"),N($AO92),0)+IF(OR(Settings!$B$30="Card",Settings!$B$30="Loan"),N($AP92),0)+IF(OR(Settings!$B$31="Card",Settings!$B$31="Loan"),N($AQ92),0)+IF(OR(Settings!$B$32="Card",Settings!$B$32="Loan"),N($AR92),0),"")</f>
        <v/>
      </c>
      <c r="FJ92">
        <f>IF($E92="open",$EB$65,IF($E92="post",IF($E91="pre",$EB$65,$FI91),""))</f>
        <v/>
      </c>
      <c r="FK92">
        <f>IF(AND($DT92=1,$DC92=1),IF(ROUND($FI92-$FJ92,2)&gt;0,1,0),0)</f>
        <v/>
      </c>
      <c r="FL92">
        <f>IF($FK92=1,$FL91+1,0)</f>
        <v/>
      </c>
    </row>
    <row r="93">
      <c r="A93">
        <f>'Month-End'!$CL$4</f>
        <v/>
      </c>
      <c r="B93">
        <f>EOMONTH($A93,0)</f>
        <v/>
      </c>
      <c r="C93">
        <f>MIN($B93,TODAY())</f>
        <v/>
      </c>
      <c r="D93">
        <f>IF($A93&gt;TODAY(),1,0)</f>
        <v/>
      </c>
      <c r="E93">
        <f>IF($B93&lt;=Settings!$B$5,"pre",IF($A93&lt;=Settings!$B$5,"open","post"))</f>
        <v/>
      </c>
      <c r="G93">
        <f>IF('Month-End'!$CL$22="",$BE93,N('Month-End'!$CL$22))</f>
        <v/>
      </c>
      <c r="H93">
        <f>IF('Month-End'!$CL$23="",$BF93,N('Month-End'!$CL$23))</f>
        <v/>
      </c>
      <c r="I93">
        <f>IF('Month-End'!$CL$24="",$BG93,N('Month-End'!$CL$24))</f>
        <v/>
      </c>
      <c r="J93">
        <f>IF('Month-End'!$CL$25="",$BH93,N('Month-End'!$CL$25))</f>
        <v/>
      </c>
      <c r="K93">
        <f>IF('Month-End'!$CL$26="",$BI93,N('Month-End'!$CL$26))</f>
        <v/>
      </c>
      <c r="L93">
        <f>IF('Month-End'!$CL$27="",$BJ93,N('Month-End'!$CL$27))</f>
        <v/>
      </c>
      <c r="M93">
        <f>IF('Month-End'!$CL$28="",$BK93,N('Month-End'!$CL$28))</f>
        <v/>
      </c>
      <c r="N93">
        <f>IF('Month-End'!$CL$29="",$BL93,N('Month-End'!$CL$29))</f>
        <v/>
      </c>
      <c r="O93">
        <f>IF('Month-End'!$CL$30="",$BM93,N('Month-End'!$CL$30))</f>
        <v/>
      </c>
      <c r="P93">
        <f>IF('Month-End'!$CL$31="",$BN93,N('Month-End'!$CL$31))</f>
        <v/>
      </c>
      <c r="Q93">
        <f>IF('Month-End'!$CL$32="",$BO93,N('Month-End'!$CL$32))</f>
        <v/>
      </c>
      <c r="R93">
        <f>IF('Month-End'!$CL$33="",$BP93,N('Month-End'!$CL$33))</f>
        <v/>
      </c>
      <c r="S93">
        <f>$G93+$H93+$I93+$J93+$K93+$L93+$M93+$N93+$O93+$P93+$Q93+$R93</f>
        <v/>
      </c>
      <c r="T93">
        <f>IF($B93&lt;Settings!$B$6,0,IF(Settings!$B$45="Yes",$G93,0)+IF(Settings!$B$46="Yes",$H93,0)+IF(Settings!$B$47="Yes",$I93,0)+IF(Settings!$B$48="Yes",$J93,0)+IF(Settings!$B$49="Yes",$K93,0)+IF(Settings!$B$50="Yes",$L93,0)+IF(Settings!$B$51="Yes",$M93,0)+IF(Settings!$B$52="Yes",$N93,0)+IF(Settings!$B$53="Yes",$O93,0)+IF(Settings!$B$54="Yes",$P93,0)+IF(Settings!$B$55="Yes",$Q93,0)+IF(Settings!$B$56="Yes",$R93,0))</f>
        <v/>
      </c>
      <c r="U93">
        <f>IF(Settings!$B$45="Not Sure",$G93,0)+IF(Settings!$B$46="Not Sure",$H93,0)+IF(Settings!$B$47="Not Sure",$I93,0)+IF(Settings!$B$48="Not Sure",$J93,0)+IF(Settings!$B$49="Not Sure",$K93,0)+IF(Settings!$B$50="Not Sure",$L93,0)+IF(Settings!$B$51="Not Sure",$M93,0)+IF(Settings!$B$52="Not Sure",$N93,0)+IF(Settings!$B$53="Not Sure",$O93,0)+IF(Settings!$B$54="Not Sure",$P93,0)+IF(Settings!$B$55="Not Sure",$Q93,0)+IF(Settings!$B$56="Not Sure",$R93,0)</f>
        <v/>
      </c>
      <c r="V93">
        <f>IF($E93="open",SUM($ET93:$FE93)+N(Settings!$B$13),0)</f>
        <v/>
      </c>
      <c r="W93">
        <f>IF($E93="post",$S93,IF($E93="open",$S93-$V93,0))</f>
        <v/>
      </c>
      <c r="X93">
        <f>SUMIFS(Giving!$B$7:$B$2006,Giving!$A$7:$A$2006,"&gt;="&amp;$A93,Giving!$A$7:$A$2006,"&lt;="&amp;$B93,Giving!$E$7:$E$2006,"&lt;&gt;No")</f>
        <v/>
      </c>
      <c r="Y93">
        <f>SUMIFS(Giving!$B$7:$B$2006,Giving!$A$7:$A$2006,"&gt;="&amp;$A93,Giving!$A$7:$A$2006,"&lt;="&amp;$B93,Giving!$E$7:$E$2006,"No")</f>
        <v/>
      </c>
      <c r="Z93">
        <f>IF(OR(Settings!$B$60="",Settings!$F$60="No"),0,Settings!$B$60*IF(AND(IF(Settings!$C$60="",$B93,DATE(YEAR($A93),MONTH($A93),MIN(Settings!$C$60,DAY($B93))))&gt;=MAX($A93,Settings!$D$60),IF(Settings!$C$60="",$B93,DATE(YEAR($A93),MONTH($A93),MIN(Settings!$C$60,DAY($B93))))&lt;=MIN($C93,IF(Settings!$E$60="",$C93,Settings!$E$60))),1,0))+IF(OR(Settings!$B$61="",Settings!$F$61="No"),0,Settings!$B$61*IF(AND(IF(Settings!$C$61="",$B93,DATE(YEAR($A93),MONTH($A93),MIN(Settings!$C$61,DAY($B93))))&gt;=MAX($A93,Settings!$D$61),IF(Settings!$C$61="",$B93,DATE(YEAR($A93),MONTH($A93),MIN(Settings!$C$61,DAY($B93))))&lt;=MIN($C93,IF(Settings!$E$61="",$C93,Settings!$E$61))),1,0))+IF(OR(Settings!$B$62="",Settings!$F$62="No"),0,Settings!$B$62*IF(AND(IF(Settings!$C$62="",$B93,DATE(YEAR($A93),MONTH($A93),MIN(Settings!$C$62,DAY($B93))))&gt;=MAX($A93,Settings!$D$62),IF(Settings!$C$62="",$B93,DATE(YEAR($A93),MONTH($A93),MIN(Settings!$C$62,DAY($B93))))&lt;=MIN($C93,IF(Settings!$E$62="",$C93,Settings!$E$62))),1,0))+IF(OR(Settings!$B$63="",Settings!$F$63="No"),0,Settings!$B$63*IF(AND(IF(Settings!$C$63="",$B93,DATE(YEAR($A93),MONTH($A93),MIN(Settings!$C$63,DAY($B93))))&gt;=MAX($A93,Settings!$D$63),IF(Settings!$C$63="",$B93,DATE(YEAR($A93),MONTH($A93),MIN(Settings!$C$63,DAY($B93))))&lt;=MIN($C93,IF(Settings!$E$63="",$C93,Settings!$E$63))),1,0))+IF(OR(Settings!$B$64="",Settings!$F$64="No"),0,Settings!$B$64*IF(AND(IF(Settings!$C$64="",$B93,DATE(YEAR($A93),MONTH($A93),MIN(Settings!$C$64,DAY($B93))))&gt;=MAX($A93,Settings!$D$64),IF(Settings!$C$64="",$B93,DATE(YEAR($A93),MONTH($A93),MIN(Settings!$C$64,DAY($B93))))&lt;=MIN($C93,IF(Settings!$E$64="",$C93,Settings!$E$64))),1,0))+IF(OR(Settings!$B$65="",Settings!$F$65="No"),0,Settings!$B$65*IF(AND(IF(Settings!$C$65="",$B93,DATE(YEAR($A93),MONTH($A93),MIN(Settings!$C$65,DAY($B93))))&gt;=MAX($A93,Settings!$D$65),IF(Settings!$C$65="",$B93,DATE(YEAR($A93),MONTH($A93),MIN(Settings!$C$65,DAY($B93))))&lt;=MIN($C93,IF(Settings!$E$65="",$C93,Settings!$E$65))),1,0))</f>
        <v/>
      </c>
      <c r="AA93">
        <f>$X93+$Z93</f>
        <v/>
      </c>
      <c r="AB93">
        <f>IF($E93="post",$AA93,IF($E93="open",SUMIFS(Giving!$B$7:$B$2006,Giving!$A$7:$A$2006,"&gt;"&amp;Settings!$B$5,Giving!$A$7:$A$2006,"&lt;="&amp;$B93,Giving!$E$7:$E$2006,"&lt;&gt;No")+IF(OR(Settings!$B$60="",Settings!$F$60="No"),0,Settings!$B$60*IF(AND(IF(Settings!$C$60="",$B93,DATE(YEAR($A93),MONTH($A93),MIN(Settings!$C$60,DAY($B93))))&gt;=MAX($A93,Settings!$D$60,Settings!$B$5+1),IF(Settings!$C$60="",$B93,DATE(YEAR($A93),MONTH($A93),MIN(Settings!$C$60,DAY($B93))))&lt;=MIN($C93,IF(Settings!$E$60="",$C93,Settings!$E$60))),1,0))+IF(OR(Settings!$B$61="",Settings!$F$61="No"),0,Settings!$B$61*IF(AND(IF(Settings!$C$61="",$B93,DATE(YEAR($A93),MONTH($A93),MIN(Settings!$C$61,DAY($B93))))&gt;=MAX($A93,Settings!$D$61,Settings!$B$5+1),IF(Settings!$C$61="",$B93,DATE(YEAR($A93),MONTH($A93),MIN(Settings!$C$61,DAY($B93))))&lt;=MIN($C93,IF(Settings!$E$61="",$C93,Settings!$E$61))),1,0))+IF(OR(Settings!$B$62="",Settings!$F$62="No"),0,Settings!$B$62*IF(AND(IF(Settings!$C$62="",$B93,DATE(YEAR($A93),MONTH($A93),MIN(Settings!$C$62,DAY($B93))))&gt;=MAX($A93,Settings!$D$62,Settings!$B$5+1),IF(Settings!$C$62="",$B93,DATE(YEAR($A93),MONTH($A93),MIN(Settings!$C$62,DAY($B93))))&lt;=MIN($C93,IF(Settings!$E$62="",$C93,Settings!$E$62))),1,0))+IF(OR(Settings!$B$63="",Settings!$F$63="No"),0,Settings!$B$63*IF(AND(IF(Settings!$C$63="",$B93,DATE(YEAR($A93),MONTH($A93),MIN(Settings!$C$63,DAY($B93))))&gt;=MAX($A93,Settings!$D$63,Settings!$B$5+1),IF(Settings!$C$63="",$B93,DATE(YEAR($A93),MONTH($A93),MIN(Settings!$C$63,DAY($B93))))&lt;=MIN($C93,IF(Settings!$E$63="",$C93,Settings!$E$63))),1,0))+IF(OR(Settings!$B$64="",Settings!$F$64="No"),0,Settings!$B$64*IF(AND(IF(Settings!$C$64="",$B93,DATE(YEAR($A93),MONTH($A93),MIN(Settings!$C$64,DAY($B93))))&gt;=MAX($A93,Settings!$D$64,Settings!$B$5+1),IF(Settings!$C$64="",$B93,DATE(YEAR($A93),MONTH($A93),MIN(Settings!$C$64,DAY($B93))))&lt;=MIN($C93,IF(Settings!$E$64="",$C93,Settings!$E$64))),1,0))+IF(OR(Settings!$B$65="",Settings!$F$65="No"),0,Settings!$B$65*IF(AND(IF(Settings!$C$65="",$B93,DATE(YEAR($A93),MONTH($A93),MIN(Settings!$C$65,DAY($B93))))&gt;=MAX($A93,Settings!$D$65,Settings!$B$5+1),IF(Settings!$C$65="",$B93,DATE(YEAR($A93),MONTH($A93),MIN(Settings!$C$65,DAY($B93))))&lt;=MIN($C93,IF(Settings!$E$65="",$C93,Settings!$E$65))),1,0)),0))</f>
        <v/>
      </c>
      <c r="AC93">
        <f>$AY93+$AZ93+$BA93+$BB93+$BC93+$BD93</f>
        <v/>
      </c>
      <c r="AD93">
        <f>$AC93</f>
        <v/>
      </c>
      <c r="AE93">
        <f>IF(OR(Settings!$A$19="",$E93="pre"),"",IF(AND('Month-End'!$CL$7&lt;&gt;"",NOT(_xlfn.ISFORMULA('Month-End'!$CL$7))),N('Month-End'!$CL$7),IF(OR($E93="open",$E92="pre"),N(Settings!$C$19),N($AE92))))</f>
        <v/>
      </c>
      <c r="AF93">
        <f>IF(OR(Settings!$A$20="",$E93="pre"),"",IF(AND('Month-End'!$CL$8&lt;&gt;"",NOT(_xlfn.ISFORMULA('Month-End'!$CL$8))),N('Month-End'!$CL$8),IF(OR($E93="open",$E92="pre"),N(Settings!$C$20),N($AF92))))</f>
        <v/>
      </c>
      <c r="AG93">
        <f>IF(OR(Settings!$A$21="",$E93="pre"),"",IF(AND('Month-End'!$CL$9&lt;&gt;"",NOT(_xlfn.ISFORMULA('Month-End'!$CL$9))),N('Month-End'!$CL$9),IF(OR($E93="open",$E92="pre"),N(Settings!$C$21),N($AG92))))</f>
        <v/>
      </c>
      <c r="AH93">
        <f>IF(OR(Settings!$A$22="",$E93="pre"),"",IF(AND('Month-End'!$CL$10&lt;&gt;"",NOT(_xlfn.ISFORMULA('Month-End'!$CL$10))),N('Month-End'!$CL$10),IF(OR($E93="open",$E92="pre"),N(Settings!$C$22),N($AH92))))</f>
        <v/>
      </c>
      <c r="AI93">
        <f>IF(OR(Settings!$A$23="",$E93="pre"),"",IF(AND('Month-End'!$CL$11&lt;&gt;"",NOT(_xlfn.ISFORMULA('Month-End'!$CL$11))),N('Month-End'!$CL$11),IF(OR($E93="open",$E92="pre"),N(Settings!$C$23),N($AI92))))</f>
        <v/>
      </c>
      <c r="AJ93">
        <f>IF(OR(Settings!$A$24="",$E93="pre"),"",IF(AND('Month-End'!$CL$12&lt;&gt;"",NOT(_xlfn.ISFORMULA('Month-End'!$CL$12))),N('Month-End'!$CL$12),IF(OR($E93="open",$E92="pre"),N(Settings!$C$24),N($AJ92))))</f>
        <v/>
      </c>
      <c r="AK93">
        <f>IF(OR(Settings!$A$25="",$E93="pre"),"",IF(AND('Month-End'!$CL$13&lt;&gt;"",NOT(_xlfn.ISFORMULA('Month-End'!$CL$13))),N('Month-End'!$CL$13),IF(OR($E93="open",$E92="pre"),N(Settings!$C$25),N($AK92))))</f>
        <v/>
      </c>
      <c r="AL93">
        <f>IF(OR(Settings!$A$26="",$E93="pre"),"",IF(AND('Month-End'!$CL$14&lt;&gt;"",NOT(_xlfn.ISFORMULA('Month-End'!$CL$14))),N('Month-End'!$CL$14),IF(OR($E93="open",$E92="pre"),N(Settings!$C$26),N($AL92))))</f>
        <v/>
      </c>
      <c r="AM93">
        <f>IF(OR(Settings!$A$27="",$E93="pre"),"",IF(AND('Month-End'!$CL$15&lt;&gt;"",NOT(_xlfn.ISFORMULA('Month-End'!$CL$15))),N('Month-End'!$CL$15),IF(OR($E93="open",$E92="pre"),N(Settings!$C$27),N($AM92))))</f>
        <v/>
      </c>
      <c r="AN93">
        <f>IF(OR(Settings!$A$28="",$E93="pre"),"",IF(AND('Month-End'!$CL$16&lt;&gt;"",NOT(_xlfn.ISFORMULA('Month-End'!$CL$16))),N('Month-End'!$CL$16),IF(OR($E93="open",$E92="pre"),N(Settings!$C$28),N($AN92))))</f>
        <v/>
      </c>
      <c r="AO93">
        <f>IF(OR(Settings!$A$29="",$E93="pre"),"",IF(AND('Month-End'!$CL$17&lt;&gt;"",NOT(_xlfn.ISFORMULA('Month-End'!$CL$17))),N('Month-End'!$CL$17),IF(OR($E93="open",$E92="pre"),N(Settings!$C$29),N($AO92))))</f>
        <v/>
      </c>
      <c r="AP93">
        <f>IF(OR(Settings!$A$30="",$E93="pre"),"",IF(AND('Month-End'!$CL$18&lt;&gt;"",NOT(_xlfn.ISFORMULA('Month-End'!$CL$18))),N('Month-End'!$CL$18),IF(OR($E93="open",$E92="pre"),N(Settings!$C$30),N($AP92))))</f>
        <v/>
      </c>
      <c r="AQ93">
        <f>IF(OR(Settings!$A$31="",$E93="pre"),"",IF(AND('Month-End'!$CL$19&lt;&gt;"",NOT(_xlfn.ISFORMULA('Month-End'!$CL$19))),N('Month-End'!$CL$19),IF(OR($E93="open",$E92="pre"),N(Settings!$C$31),N($AQ92))))</f>
        <v/>
      </c>
      <c r="AR93">
        <f>IF(OR(Settings!$A$32="",$E93="pre"),"",IF(AND('Month-End'!$CL$20&lt;&gt;"",NOT(_xlfn.ISFORMULA('Month-End'!$CL$20))),N('Month-End'!$CL$20),IF(OR($E93="open",$E92="pre"),N(Settings!$C$32),N($AR92))))</f>
        <v/>
      </c>
      <c r="AS93">
        <f>IF(OR(Settings!$A$36="",$E93="pre"),"",IF(AND('Month-End'!$CL$38&lt;&gt;"",NOT(_xlfn.ISFORMULA('Month-End'!$CL$38))),N('Month-End'!$CL$38),IF(OR($E93="open",$E92="pre"),N(Settings!$C$36),N($AS92))+$AY93))</f>
        <v/>
      </c>
      <c r="AT93">
        <f>IF(OR(Settings!$A$37="",$E93="pre"),"",IF(AND('Month-End'!$CL$39&lt;&gt;"",NOT(_xlfn.ISFORMULA('Month-End'!$CL$39))),N('Month-End'!$CL$39),IF(OR($E93="open",$E92="pre"),N(Settings!$C$37),N($AT92))+$AZ93))</f>
        <v/>
      </c>
      <c r="AU93">
        <f>IF(OR(Settings!$A$38="",$E93="pre"),"",IF(AND('Month-End'!$CL$40&lt;&gt;"",NOT(_xlfn.ISFORMULA('Month-End'!$CL$40))),N('Month-End'!$CL$40),IF(OR($E93="open",$E92="pre"),N(Settings!$C$38),N($AU92))+$BA93))</f>
        <v/>
      </c>
      <c r="AV93">
        <f>IF(OR(Settings!$A$39="",$E93="pre"),"",IF(AND('Month-End'!$CL$41&lt;&gt;"",NOT(_xlfn.ISFORMULA('Month-End'!$CL$41))),N('Month-End'!$CL$41),IF(OR($E93="open",$E92="pre"),N(Settings!$C$39),N($AV92))+$BB93))</f>
        <v/>
      </c>
      <c r="AW93">
        <f>IF(OR(Settings!$A$40="",$E93="pre"),"",IF(AND('Month-End'!$CL$42&lt;&gt;"",NOT(_xlfn.ISFORMULA('Month-End'!$CL$42))),N('Month-End'!$CL$42),IF(OR($E93="open",$E92="pre"),N(Settings!$C$40),N($AW92))+$BC93))</f>
        <v/>
      </c>
      <c r="AX93">
        <f>IF(OR(Settings!$A$41="",$E93="pre"),"",IF(AND('Month-End'!$CL$43&lt;&gt;"",NOT(_xlfn.ISFORMULA('Month-End'!$CL$43))),N('Month-End'!$CL$43),IF(OR($E93="open",$E92="pre"),N(Settings!$C$41),N($AX92))+$BD93))</f>
        <v/>
      </c>
      <c r="AY93">
        <f>IF($E93="pre",0,N('Month-End'!$CL$45))</f>
        <v/>
      </c>
      <c r="AZ93">
        <f>IF($E93="pre",0,N('Month-End'!$CL$46))</f>
        <v/>
      </c>
      <c r="BA93">
        <f>IF($E93="pre",0,N('Month-End'!$CL$47))</f>
        <v/>
      </c>
      <c r="BB93">
        <f>IF($E93="pre",0,N('Month-End'!$CL$48))</f>
        <v/>
      </c>
      <c r="BC93">
        <f>IF($E93="pre",0,N('Month-End'!$CL$49))</f>
        <v/>
      </c>
      <c r="BD93">
        <f>IF($E93="pre",0,N('Month-End'!$CL$50))</f>
        <v/>
      </c>
      <c r="BE93">
        <f>IF(OR(Settings!$C$45="",Settings!$D$45=""),0,Settings!$C$45*IF(Settings!$D$45="Weekly",IF(IFERROR(MATCH(Settings!$E$45,$EO$4:$EO$10,0),0)=0,0,IF(MIN($C93,IF(Settings!$G$45="",$C93,Settings!$G$45))&lt;MAX($A93,Settings!$F$45),0,INT((MIN($C93,IF(Settings!$G$45="",$C93,Settings!$G$45))-MAX($A93,Settings!$F$45)-MOD(IFERROR(MATCH(Settings!$E$45,$EO$4:$EO$10,0),0)-WEEKDAY(MAX($A93,Settings!$F$45)),7))/7)+1)),IF(AND(IF(Settings!$E$45="",$B93,DATE(YEAR($A93),MONTH($A93),MIN(Settings!$E$45,DAY($B93))))&gt;=MAX($A93,Settings!$F$45),IF(Settings!$E$45="",$B93,DATE(YEAR($A93),MONTH($A93),MIN(Settings!$E$45,DAY($B93))))&lt;=MIN($C93,IF(Settings!$G$45="",$C93,Settings!$G$45))),1,0)))</f>
        <v/>
      </c>
      <c r="BF93">
        <f>IF(OR(Settings!$C$46="",Settings!$D$46=""),0,Settings!$C$46*IF(Settings!$D$46="Weekly",IF(IFERROR(MATCH(Settings!$E$46,$EO$4:$EO$10,0),0)=0,0,IF(MIN($C93,IF(Settings!$G$46="",$C93,Settings!$G$46))&lt;MAX($A93,Settings!$F$46),0,INT((MIN($C93,IF(Settings!$G$46="",$C93,Settings!$G$46))-MAX($A93,Settings!$F$46)-MOD(IFERROR(MATCH(Settings!$E$46,$EO$4:$EO$10,0),0)-WEEKDAY(MAX($A93,Settings!$F$46)),7))/7)+1)),IF(AND(IF(Settings!$E$46="",$B93,DATE(YEAR($A93),MONTH($A93),MIN(Settings!$E$46,DAY($B93))))&gt;=MAX($A93,Settings!$F$46),IF(Settings!$E$46="",$B93,DATE(YEAR($A93),MONTH($A93),MIN(Settings!$E$46,DAY($B93))))&lt;=MIN($C93,IF(Settings!$G$46="",$C93,Settings!$G$46))),1,0)))</f>
        <v/>
      </c>
      <c r="BG93">
        <f>IF(OR(Settings!$C$47="",Settings!$D$47=""),0,Settings!$C$47*IF(Settings!$D$47="Weekly",IF(IFERROR(MATCH(Settings!$E$47,$EO$4:$EO$10,0),0)=0,0,IF(MIN($C93,IF(Settings!$G$47="",$C93,Settings!$G$47))&lt;MAX($A93,Settings!$F$47),0,INT((MIN($C93,IF(Settings!$G$47="",$C93,Settings!$G$47))-MAX($A93,Settings!$F$47)-MOD(IFERROR(MATCH(Settings!$E$47,$EO$4:$EO$10,0),0)-WEEKDAY(MAX($A93,Settings!$F$47)),7))/7)+1)),IF(AND(IF(Settings!$E$47="",$B93,DATE(YEAR($A93),MONTH($A93),MIN(Settings!$E$47,DAY($B93))))&gt;=MAX($A93,Settings!$F$47),IF(Settings!$E$47="",$B93,DATE(YEAR($A93),MONTH($A93),MIN(Settings!$E$47,DAY($B93))))&lt;=MIN($C93,IF(Settings!$G$47="",$C93,Settings!$G$47))),1,0)))</f>
        <v/>
      </c>
      <c r="BH93">
        <f>IF(OR(Settings!$C$48="",Settings!$D$48=""),0,Settings!$C$48*IF(Settings!$D$48="Weekly",IF(IFERROR(MATCH(Settings!$E$48,$EO$4:$EO$10,0),0)=0,0,IF(MIN($C93,IF(Settings!$G$48="",$C93,Settings!$G$48))&lt;MAX($A93,Settings!$F$48),0,INT((MIN($C93,IF(Settings!$G$48="",$C93,Settings!$G$48))-MAX($A93,Settings!$F$48)-MOD(IFERROR(MATCH(Settings!$E$48,$EO$4:$EO$10,0),0)-WEEKDAY(MAX($A93,Settings!$F$48)),7))/7)+1)),IF(AND(IF(Settings!$E$48="",$B93,DATE(YEAR($A93),MONTH($A93),MIN(Settings!$E$48,DAY($B93))))&gt;=MAX($A93,Settings!$F$48),IF(Settings!$E$48="",$B93,DATE(YEAR($A93),MONTH($A93),MIN(Settings!$E$48,DAY($B93))))&lt;=MIN($C93,IF(Settings!$G$48="",$C93,Settings!$G$48))),1,0)))</f>
        <v/>
      </c>
      <c r="BI93">
        <f>IF(OR(Settings!$C$49="",Settings!$D$49=""),0,Settings!$C$49*IF(Settings!$D$49="Weekly",IF(IFERROR(MATCH(Settings!$E$49,$EO$4:$EO$10,0),0)=0,0,IF(MIN($C93,IF(Settings!$G$49="",$C93,Settings!$G$49))&lt;MAX($A93,Settings!$F$49),0,INT((MIN($C93,IF(Settings!$G$49="",$C93,Settings!$G$49))-MAX($A93,Settings!$F$49)-MOD(IFERROR(MATCH(Settings!$E$49,$EO$4:$EO$10,0),0)-WEEKDAY(MAX($A93,Settings!$F$49)),7))/7)+1)),IF(AND(IF(Settings!$E$49="",$B93,DATE(YEAR($A93),MONTH($A93),MIN(Settings!$E$49,DAY($B93))))&gt;=MAX($A93,Settings!$F$49),IF(Settings!$E$49="",$B93,DATE(YEAR($A93),MONTH($A93),MIN(Settings!$E$49,DAY($B93))))&lt;=MIN($C93,IF(Settings!$G$49="",$C93,Settings!$G$49))),1,0)))</f>
        <v/>
      </c>
      <c r="BJ93">
        <f>IF(OR(Settings!$C$50="",Settings!$D$50=""),0,Settings!$C$50*IF(Settings!$D$50="Weekly",IF(IFERROR(MATCH(Settings!$E$50,$EO$4:$EO$10,0),0)=0,0,IF(MIN($C93,IF(Settings!$G$50="",$C93,Settings!$G$50))&lt;MAX($A93,Settings!$F$50),0,INT((MIN($C93,IF(Settings!$G$50="",$C93,Settings!$G$50))-MAX($A93,Settings!$F$50)-MOD(IFERROR(MATCH(Settings!$E$50,$EO$4:$EO$10,0),0)-WEEKDAY(MAX($A93,Settings!$F$50)),7))/7)+1)),IF(AND(IF(Settings!$E$50="",$B93,DATE(YEAR($A93),MONTH($A93),MIN(Settings!$E$50,DAY($B93))))&gt;=MAX($A93,Settings!$F$50),IF(Settings!$E$50="",$B93,DATE(YEAR($A93),MONTH($A93),MIN(Settings!$E$50,DAY($B93))))&lt;=MIN($C93,IF(Settings!$G$50="",$C93,Settings!$G$50))),1,0)))</f>
        <v/>
      </c>
      <c r="BK93">
        <f>IF(OR(Settings!$C$51="",Settings!$D$51=""),0,Settings!$C$51*IF(Settings!$D$51="Weekly",IF(IFERROR(MATCH(Settings!$E$51,$EO$4:$EO$10,0),0)=0,0,IF(MIN($C93,IF(Settings!$G$51="",$C93,Settings!$G$51))&lt;MAX($A93,Settings!$F$51),0,INT((MIN($C93,IF(Settings!$G$51="",$C93,Settings!$G$51))-MAX($A93,Settings!$F$51)-MOD(IFERROR(MATCH(Settings!$E$51,$EO$4:$EO$10,0),0)-WEEKDAY(MAX($A93,Settings!$F$51)),7))/7)+1)),IF(AND(IF(Settings!$E$51="",$B93,DATE(YEAR($A93),MONTH($A93),MIN(Settings!$E$51,DAY($B93))))&gt;=MAX($A93,Settings!$F$51),IF(Settings!$E$51="",$B93,DATE(YEAR($A93),MONTH($A93),MIN(Settings!$E$51,DAY($B93))))&lt;=MIN($C93,IF(Settings!$G$51="",$C93,Settings!$G$51))),1,0)))</f>
        <v/>
      </c>
      <c r="BL93">
        <f>IF(OR(Settings!$C$52="",Settings!$D$52=""),0,Settings!$C$52*IF(Settings!$D$52="Weekly",IF(IFERROR(MATCH(Settings!$E$52,$EO$4:$EO$10,0),0)=0,0,IF(MIN($C93,IF(Settings!$G$52="",$C93,Settings!$G$52))&lt;MAX($A93,Settings!$F$52),0,INT((MIN($C93,IF(Settings!$G$52="",$C93,Settings!$G$52))-MAX($A93,Settings!$F$52)-MOD(IFERROR(MATCH(Settings!$E$52,$EO$4:$EO$10,0),0)-WEEKDAY(MAX($A93,Settings!$F$52)),7))/7)+1)),IF(AND(IF(Settings!$E$52="",$B93,DATE(YEAR($A93),MONTH($A93),MIN(Settings!$E$52,DAY($B93))))&gt;=MAX($A93,Settings!$F$52),IF(Settings!$E$52="",$B93,DATE(YEAR($A93),MONTH($A93),MIN(Settings!$E$52,DAY($B93))))&lt;=MIN($C93,IF(Settings!$G$52="",$C93,Settings!$G$52))),1,0)))</f>
        <v/>
      </c>
      <c r="BM93">
        <f>IF(OR(Settings!$C$53="",Settings!$D$53=""),0,Settings!$C$53*IF(Settings!$D$53="Weekly",IF(IFERROR(MATCH(Settings!$E$53,$EO$4:$EO$10,0),0)=0,0,IF(MIN($C93,IF(Settings!$G$53="",$C93,Settings!$G$53))&lt;MAX($A93,Settings!$F$53),0,INT((MIN($C93,IF(Settings!$G$53="",$C93,Settings!$G$53))-MAX($A93,Settings!$F$53)-MOD(IFERROR(MATCH(Settings!$E$53,$EO$4:$EO$10,0),0)-WEEKDAY(MAX($A93,Settings!$F$53)),7))/7)+1)),IF(AND(IF(Settings!$E$53="",$B93,DATE(YEAR($A93),MONTH($A93),MIN(Settings!$E$53,DAY($B93))))&gt;=MAX($A93,Settings!$F$53),IF(Settings!$E$53="",$B93,DATE(YEAR($A93),MONTH($A93),MIN(Settings!$E$53,DAY($B93))))&lt;=MIN($C93,IF(Settings!$G$53="",$C93,Settings!$G$53))),1,0)))</f>
        <v/>
      </c>
      <c r="BN93">
        <f>IF(OR(Settings!$C$54="",Settings!$D$54=""),0,Settings!$C$54*IF(Settings!$D$54="Weekly",IF(IFERROR(MATCH(Settings!$E$54,$EO$4:$EO$10,0),0)=0,0,IF(MIN($C93,IF(Settings!$G$54="",$C93,Settings!$G$54))&lt;MAX($A93,Settings!$F$54),0,INT((MIN($C93,IF(Settings!$G$54="",$C93,Settings!$G$54))-MAX($A93,Settings!$F$54)-MOD(IFERROR(MATCH(Settings!$E$54,$EO$4:$EO$10,0),0)-WEEKDAY(MAX($A93,Settings!$F$54)),7))/7)+1)),IF(AND(IF(Settings!$E$54="",$B93,DATE(YEAR($A93),MONTH($A93),MIN(Settings!$E$54,DAY($B93))))&gt;=MAX($A93,Settings!$F$54),IF(Settings!$E$54="",$B93,DATE(YEAR($A93),MONTH($A93),MIN(Settings!$E$54,DAY($B93))))&lt;=MIN($C93,IF(Settings!$G$54="",$C93,Settings!$G$54))),1,0)))</f>
        <v/>
      </c>
      <c r="BO93">
        <f>IF(OR(Settings!$C$55="",Settings!$D$55=""),0,Settings!$C$55*IF(Settings!$D$55="Weekly",IF(IFERROR(MATCH(Settings!$E$55,$EO$4:$EO$10,0),0)=0,0,IF(MIN($C93,IF(Settings!$G$55="",$C93,Settings!$G$55))&lt;MAX($A93,Settings!$F$55),0,INT((MIN($C93,IF(Settings!$G$55="",$C93,Settings!$G$55))-MAX($A93,Settings!$F$55)-MOD(IFERROR(MATCH(Settings!$E$55,$EO$4:$EO$10,0),0)-WEEKDAY(MAX($A93,Settings!$F$55)),7))/7)+1)),IF(AND(IF(Settings!$E$55="",$B93,DATE(YEAR($A93),MONTH($A93),MIN(Settings!$E$55,DAY($B93))))&gt;=MAX($A93,Settings!$F$55),IF(Settings!$E$55="",$B93,DATE(YEAR($A93),MONTH($A93),MIN(Settings!$E$55,DAY($B93))))&lt;=MIN($C93,IF(Settings!$G$55="",$C93,Settings!$G$55))),1,0)))</f>
        <v/>
      </c>
      <c r="BP93">
        <f>IF(OR(Settings!$C$56="",Settings!$D$56=""),0,Settings!$C$56*IF(Settings!$D$56="Weekly",IF(IFERROR(MATCH(Settings!$E$56,$EO$4:$EO$10,0),0)=0,0,IF(MIN($C93,IF(Settings!$G$56="",$C93,Settings!$G$56))&lt;MAX($A93,Settings!$F$56),0,INT((MIN($C93,IF(Settings!$G$56="",$C93,Settings!$G$56))-MAX($A93,Settings!$F$56)-MOD(IFERROR(MATCH(Settings!$E$56,$EO$4:$EO$10,0),0)-WEEKDAY(MAX($A93,Settings!$F$56)),7))/7)+1)),IF(AND(IF(Settings!$E$56="",$B93,DATE(YEAR($A93),MONTH($A93),MIN(Settings!$E$56,DAY($B93))))&gt;=MAX($A93,Settings!$F$56),IF(Settings!$E$56="",$B93,DATE(YEAR($A93),MONTH($A93),MIN(Settings!$E$56,DAY($B93))))&lt;=MIN($C93,IF(Settings!$G$56="",$C93,Settings!$G$56))),1,0)))</f>
        <v/>
      </c>
      <c r="BQ93">
        <f>IF(OR(Settings!$B$14="",$D93=1,$E93="pre",$A93&lt;IF(Settings!$B$15="",0,Settings!$B$15)),0,Settings!$B$14)</f>
        <v/>
      </c>
      <c r="BR93">
        <f>IF(AND('Month-End'!$CL$7&lt;&gt;"",NOT(_xlfn.ISFORMULA('Month-End'!$CL$7))),1,0)</f>
        <v/>
      </c>
      <c r="BS93">
        <f>IF(AND('Month-End'!$CL$8&lt;&gt;"",NOT(_xlfn.ISFORMULA('Month-End'!$CL$8))),1,0)</f>
        <v/>
      </c>
      <c r="BT93">
        <f>IF(AND('Month-End'!$CL$9&lt;&gt;"",NOT(_xlfn.ISFORMULA('Month-End'!$CL$9))),1,0)</f>
        <v/>
      </c>
      <c r="BU93">
        <f>IF(AND('Month-End'!$CL$10&lt;&gt;"",NOT(_xlfn.ISFORMULA('Month-End'!$CL$10))),1,0)</f>
        <v/>
      </c>
      <c r="BV93">
        <f>IF(AND('Month-End'!$CL$11&lt;&gt;"",NOT(_xlfn.ISFORMULA('Month-End'!$CL$11))),1,0)</f>
        <v/>
      </c>
      <c r="BW93">
        <f>IF(AND('Month-End'!$CL$12&lt;&gt;"",NOT(_xlfn.ISFORMULA('Month-End'!$CL$12))),1,0)</f>
        <v/>
      </c>
      <c r="BX93">
        <f>IF(AND('Month-End'!$CL$13&lt;&gt;"",NOT(_xlfn.ISFORMULA('Month-End'!$CL$13))),1,0)</f>
        <v/>
      </c>
      <c r="BY93">
        <f>IF(AND('Month-End'!$CL$14&lt;&gt;"",NOT(_xlfn.ISFORMULA('Month-End'!$CL$14))),1,0)</f>
        <v/>
      </c>
      <c r="BZ93">
        <f>IF(AND('Month-End'!$CL$15&lt;&gt;"",NOT(_xlfn.ISFORMULA('Month-End'!$CL$15))),1,0)</f>
        <v/>
      </c>
      <c r="CA93">
        <f>IF(AND('Month-End'!$CL$16&lt;&gt;"",NOT(_xlfn.ISFORMULA('Month-End'!$CL$16))),1,0)</f>
        <v/>
      </c>
      <c r="CB93">
        <f>IF(AND('Month-End'!$CL$17&lt;&gt;"",NOT(_xlfn.ISFORMULA('Month-End'!$CL$17))),1,0)</f>
        <v/>
      </c>
      <c r="CC93">
        <f>IF(AND('Month-End'!$CL$18&lt;&gt;"",NOT(_xlfn.ISFORMULA('Month-End'!$CL$18))),1,0)</f>
        <v/>
      </c>
      <c r="CD93">
        <f>IF(AND('Month-End'!$CL$19&lt;&gt;"",NOT(_xlfn.ISFORMULA('Month-End'!$CL$19))),1,0)</f>
        <v/>
      </c>
      <c r="CE93">
        <f>IF(AND('Month-End'!$CL$20&lt;&gt;"",NOT(_xlfn.ISFORMULA('Month-End'!$CL$20))),1,0)</f>
        <v/>
      </c>
      <c r="CF93">
        <f>IF(AND('Month-End'!$CL$38&lt;&gt;"",NOT(_xlfn.ISFORMULA('Month-End'!$CL$38))),1,0)</f>
        <v/>
      </c>
      <c r="CG93">
        <f>IF(AND('Month-End'!$CL$39&lt;&gt;"",NOT(_xlfn.ISFORMULA('Month-End'!$CL$39))),1,0)</f>
        <v/>
      </c>
      <c r="CH93">
        <f>IF(AND('Month-End'!$CL$40&lt;&gt;"",NOT(_xlfn.ISFORMULA('Month-End'!$CL$40))),1,0)</f>
        <v/>
      </c>
      <c r="CI93">
        <f>IF(AND('Month-End'!$CL$41&lt;&gt;"",NOT(_xlfn.ISFORMULA('Month-End'!$CL$41))),1,0)</f>
        <v/>
      </c>
      <c r="CJ93">
        <f>IF(AND('Month-End'!$CL$42&lt;&gt;"",NOT(_xlfn.ISFORMULA('Month-End'!$CL$42))),1,0)</f>
        <v/>
      </c>
      <c r="CK93">
        <f>IF(AND('Month-End'!$CL$43&lt;&gt;"",NOT(_xlfn.ISFORMULA('Month-End'!$CL$43))),1,0)</f>
        <v/>
      </c>
      <c r="CL93">
        <f>SUM($CM93:$CZ93)</f>
        <v/>
      </c>
      <c r="CM93">
        <f>IF(AND($E93&lt;&gt;"pre",AND(Settings!$A$19&lt;&gt;"",Settings!$E$19&lt;&gt;"No"),Settings!$F$19="Yes",NOT(AND('Month-End'!$CL$7&lt;&gt;"",NOT(_xlfn.ISFORMULA('Month-End'!$CL$7))))),1,0)</f>
        <v/>
      </c>
      <c r="CN93">
        <f>IF(AND($E93&lt;&gt;"pre",AND(Settings!$A$20&lt;&gt;"",Settings!$E$20&lt;&gt;"No"),Settings!$F$20="Yes",NOT(AND('Month-End'!$CL$8&lt;&gt;"",NOT(_xlfn.ISFORMULA('Month-End'!$CL$8))))),1,0)</f>
        <v/>
      </c>
      <c r="CO93">
        <f>IF(AND($E93&lt;&gt;"pre",AND(Settings!$A$21&lt;&gt;"",Settings!$E$21&lt;&gt;"No"),Settings!$F$21="Yes",NOT(AND('Month-End'!$CL$9&lt;&gt;"",NOT(_xlfn.ISFORMULA('Month-End'!$CL$9))))),1,0)</f>
        <v/>
      </c>
      <c r="CP93">
        <f>IF(AND($E93&lt;&gt;"pre",AND(Settings!$A$22&lt;&gt;"",Settings!$E$22&lt;&gt;"No"),Settings!$F$22="Yes",NOT(AND('Month-End'!$CL$10&lt;&gt;"",NOT(_xlfn.ISFORMULA('Month-End'!$CL$10))))),1,0)</f>
        <v/>
      </c>
      <c r="CQ93">
        <f>IF(AND($E93&lt;&gt;"pre",AND(Settings!$A$23&lt;&gt;"",Settings!$E$23&lt;&gt;"No"),Settings!$F$23="Yes",NOT(AND('Month-End'!$CL$11&lt;&gt;"",NOT(_xlfn.ISFORMULA('Month-End'!$CL$11))))),1,0)</f>
        <v/>
      </c>
      <c r="CR93">
        <f>IF(AND($E93&lt;&gt;"pre",AND(Settings!$A$24&lt;&gt;"",Settings!$E$24&lt;&gt;"No"),Settings!$F$24="Yes",NOT(AND('Month-End'!$CL$12&lt;&gt;"",NOT(_xlfn.ISFORMULA('Month-End'!$CL$12))))),1,0)</f>
        <v/>
      </c>
      <c r="CS93">
        <f>IF(AND($E93&lt;&gt;"pre",AND(Settings!$A$25&lt;&gt;"",Settings!$E$25&lt;&gt;"No"),Settings!$F$25="Yes",NOT(AND('Month-End'!$CL$13&lt;&gt;"",NOT(_xlfn.ISFORMULA('Month-End'!$CL$13))))),1,0)</f>
        <v/>
      </c>
      <c r="CT93">
        <f>IF(AND($E93&lt;&gt;"pre",AND(Settings!$A$26&lt;&gt;"",Settings!$E$26&lt;&gt;"No"),Settings!$F$26="Yes",NOT(AND('Month-End'!$CL$14&lt;&gt;"",NOT(_xlfn.ISFORMULA('Month-End'!$CL$14))))),1,0)</f>
        <v/>
      </c>
      <c r="CU93">
        <f>IF(AND($E93&lt;&gt;"pre",AND(Settings!$A$27&lt;&gt;"",Settings!$E$27&lt;&gt;"No"),Settings!$F$27="Yes",NOT(AND('Month-End'!$CL$15&lt;&gt;"",NOT(_xlfn.ISFORMULA('Month-End'!$CL$15))))),1,0)</f>
        <v/>
      </c>
      <c r="CV93">
        <f>IF(AND($E93&lt;&gt;"pre",AND(Settings!$A$28&lt;&gt;"",Settings!$E$28&lt;&gt;"No"),Settings!$F$28="Yes",NOT(AND('Month-End'!$CL$16&lt;&gt;"",NOT(_xlfn.ISFORMULA('Month-End'!$CL$16))))),1,0)</f>
        <v/>
      </c>
      <c r="CW93">
        <f>IF(AND($E93&lt;&gt;"pre",AND(Settings!$A$29&lt;&gt;"",Settings!$E$29&lt;&gt;"No"),Settings!$F$29="Yes",NOT(AND('Month-End'!$CL$17&lt;&gt;"",NOT(_xlfn.ISFORMULA('Month-End'!$CL$17))))),1,0)</f>
        <v/>
      </c>
      <c r="CX93">
        <f>IF(AND($E93&lt;&gt;"pre",AND(Settings!$A$30&lt;&gt;"",Settings!$E$30&lt;&gt;"No"),Settings!$F$30="Yes",NOT(AND('Month-End'!$CL$18&lt;&gt;"",NOT(_xlfn.ISFORMULA('Month-End'!$CL$18))))),1,0)</f>
        <v/>
      </c>
      <c r="CY93">
        <f>IF(AND($E93&lt;&gt;"pre",AND(Settings!$A$31&lt;&gt;"",Settings!$E$31&lt;&gt;"No"),Settings!$F$31="Yes",NOT(AND('Month-End'!$CL$19&lt;&gt;"",NOT(_xlfn.ISFORMULA('Month-End'!$CL$19))))),1,0)</f>
        <v/>
      </c>
      <c r="CZ93">
        <f>IF(AND($E93&lt;&gt;"pre",AND(Settings!$A$32&lt;&gt;"",Settings!$E$32&lt;&gt;"No"),Settings!$F$32="Yes",NOT(AND('Month-End'!$CL$20&lt;&gt;"",NOT(_xlfn.ISFORMULA('Month-End'!$CL$20))))),1,0)</f>
        <v/>
      </c>
      <c r="DA93">
        <f>IF($DT93=1,IF(OR(Settings!$B$19="Checking",Settings!$B$19="Savings",Settings!$B$19="Cash"),N($AE93),IF(OR(Settings!$B$19="Card",Settings!$B$19="Loan"),-N($AE93),0))+IF(OR(Settings!$B$20="Checking",Settings!$B$20="Savings",Settings!$B$20="Cash"),N($AF93),IF(OR(Settings!$B$20="Card",Settings!$B$20="Loan"),-N($AF93),0))+IF(OR(Settings!$B$21="Checking",Settings!$B$21="Savings",Settings!$B$21="Cash"),N($AG93),IF(OR(Settings!$B$21="Card",Settings!$B$21="Loan"),-N($AG93),0))+IF(OR(Settings!$B$22="Checking",Settings!$B$22="Savings",Settings!$B$22="Cash"),N($AH93),IF(OR(Settings!$B$22="Card",Settings!$B$22="Loan"),-N($AH93),0))+IF(OR(Settings!$B$23="Checking",Settings!$B$23="Savings",Settings!$B$23="Cash"),N($AI93),IF(OR(Settings!$B$23="Card",Settings!$B$23="Loan"),-N($AI93),0))+IF(OR(Settings!$B$24="Checking",Settings!$B$24="Savings",Settings!$B$24="Cash"),N($AJ93),IF(OR(Settings!$B$24="Card",Settings!$B$24="Loan"),-N($AJ93),0))+IF(OR(Settings!$B$25="Checking",Settings!$B$25="Savings",Settings!$B$25="Cash"),N($AK93),IF(OR(Settings!$B$25="Card",Settings!$B$25="Loan"),-N($AK93),0))+IF(OR(Settings!$B$26="Checking",Settings!$B$26="Savings",Settings!$B$26="Cash"),N($AL93),IF(OR(Settings!$B$26="Card",Settings!$B$26="Loan"),-N($AL93),0))+IF(OR(Settings!$B$27="Checking",Settings!$B$27="Savings",Settings!$B$27="Cash"),N($AM93),IF(OR(Settings!$B$27="Card",Settings!$B$27="Loan"),-N($AM93),0))+IF(OR(Settings!$B$28="Checking",Settings!$B$28="Savings",Settings!$B$28="Cash"),N($AN93),IF(OR(Settings!$B$28="Card",Settings!$B$28="Loan"),-N($AN93),0))+IF(OR(Settings!$B$29="Checking",Settings!$B$29="Savings",Settings!$B$29="Cash"),N($AO93),IF(OR(Settings!$B$29="Card",Settings!$B$29="Loan"),-N($AO93),0))+IF(OR(Settings!$B$30="Checking",Settings!$B$30="Savings",Settings!$B$30="Cash"),N($AP93),IF(OR(Settings!$B$30="Card",Settings!$B$30="Loan"),-N($AP93),0))+IF(OR(Settings!$B$31="Checking",Settings!$B$31="Savings",Settings!$B$31="Cash"),N($AQ93),IF(OR(Settings!$B$31="Card",Settings!$B$31="Loan"),-N($AQ93),0))+IF(OR(Settings!$B$32="Checking",Settings!$B$32="Savings",Settings!$B$32="Cash"),N($AR93),IF(OR(Settings!$B$32="Card",Settings!$B$32="Loan"),-N($AR93),0)),"")</f>
        <v/>
      </c>
      <c r="DB93">
        <f>IF($E93="open",$EB$27,IF($E93="post",IF($E92="pre",$EB$27,$DA92),""))</f>
        <v/>
      </c>
      <c r="DC93">
        <f>IF($E93="open",1,IF($E93="post",IF($E92="pre",1,$DT92),0))</f>
        <v/>
      </c>
      <c r="DD93">
        <f>IF(AND($DT93=1,$DC93=1),ROUND($W93-($DA93-$DB93)-$AD93-$AB93,2),"")</f>
        <v/>
      </c>
      <c r="DE93">
        <f>IF('Month-End'!$CL$35="",$BQ93,N('Month-End'!$CL$35))</f>
        <v/>
      </c>
      <c r="DF93">
        <f>N('Month-End'!$CL$36)</f>
        <v/>
      </c>
      <c r="DG93">
        <f>IF($DD93="","",$DD93+$DE93)</f>
        <v/>
      </c>
      <c r="DH93">
        <f>IF($DG93="","",$DG93-$DF93)</f>
        <v/>
      </c>
      <c r="DI93">
        <f>IF(OR($E93="pre",$D93=1),"",N($AS93)+N($AT93)+N($AU93)+N($AV93)+N($AW93)+N($AX93))</f>
        <v/>
      </c>
      <c r="DJ93">
        <f>IF($DT93=1,$DA93+N($DI93),"")</f>
        <v/>
      </c>
      <c r="DK93">
        <f>IF($DD93="","",$W93-$DD93-$AB93)</f>
        <v/>
      </c>
      <c r="DL93">
        <f>IF(AND($E93="post",$DD93&lt;&gt;"",$B93&lt;TODAY()),1,0)</f>
        <v/>
      </c>
      <c r="DM93">
        <f>IF($DL93=1,COUNTIF($DL93:$DL$183,1),0)</f>
        <v/>
      </c>
      <c r="DN93">
        <f>IF($D93=1,"",IF($E93="pre","History only",IF($DT93=1,IF($DD93="","⚠ Previous month missing",IF($DD93&lt;0,"⚠ Check: spending &lt; 0",IF($E93="open","✓ Done (partial)","✓ Done"))),IF($B93&gt;=TODAY(),"In progress","⚠ Needs balances"))))</f>
        <v/>
      </c>
      <c r="DO93">
        <f>YEAR($A93)</f>
        <v/>
      </c>
      <c r="DP93">
        <f>DATE(YEAR($A93),INT((MONTH($A93)-1)/3)*3+1,1)</f>
        <v/>
      </c>
      <c r="DQ93">
        <f>IF(AND($DT93=1,$DD93&lt;&gt;"",$D93=0),ROW(),0)</f>
        <v/>
      </c>
      <c r="DR93">
        <f>IF(AND($E93&lt;&gt;"pre",$B93&lt;TODAY(),$DT93=0),1,0)</f>
        <v/>
      </c>
      <c r="DS93">
        <f>IF($DJ93="",NA(),$DJ93)</f>
        <v/>
      </c>
      <c r="DT93">
        <f>IF(AND($E93&lt;&gt;"pre",$CL93=0,COUNTIFS(Settings!$F$19:$F$32,"Yes",Settings!$A$19:$A$32,"&lt;&gt;",Settings!$E$19:$E$32,"&lt;&gt;No")&gt;0),1,0)</f>
        <v/>
      </c>
      <c r="DU93">
        <f>IF(AND($B93&lt;TODAY(),$S93&gt;0),1,0)</f>
        <v/>
      </c>
      <c r="DV93">
        <f>IF($DU93=1,COUNTIF($DU93:$DU$183,1),0)</f>
        <v/>
      </c>
      <c r="DW93">
        <f>IF(AND(OR(Settings!$B$19="Card",Settings!$B$19="Loan"),AND('Month-End'!$CL$7&lt;&gt;"",NOT(_xlfn.ISFORMULA('Month-End'!$CL$7)))),IF(N('Month-End'!$CL$7)&lt;0,1,0),0)+IF(AND(OR(Settings!$B$20="Card",Settings!$B$20="Loan"),AND('Month-End'!$CL$8&lt;&gt;"",NOT(_xlfn.ISFORMULA('Month-End'!$CL$8)))),IF(N('Month-End'!$CL$8)&lt;0,1,0),0)+IF(AND(OR(Settings!$B$21="Card",Settings!$B$21="Loan"),AND('Month-End'!$CL$9&lt;&gt;"",NOT(_xlfn.ISFORMULA('Month-End'!$CL$9)))),IF(N('Month-End'!$CL$9)&lt;0,1,0),0)+IF(AND(OR(Settings!$B$22="Card",Settings!$B$22="Loan"),AND('Month-End'!$CL$10&lt;&gt;"",NOT(_xlfn.ISFORMULA('Month-End'!$CL$10)))),IF(N('Month-End'!$CL$10)&lt;0,1,0),0)+IF(AND(OR(Settings!$B$23="Card",Settings!$B$23="Loan"),AND('Month-End'!$CL$11&lt;&gt;"",NOT(_xlfn.ISFORMULA('Month-End'!$CL$11)))),IF(N('Month-End'!$CL$11)&lt;0,1,0),0)+IF(AND(OR(Settings!$B$24="Card",Settings!$B$24="Loan"),AND('Month-End'!$CL$12&lt;&gt;"",NOT(_xlfn.ISFORMULA('Month-End'!$CL$12)))),IF(N('Month-End'!$CL$12)&lt;0,1,0),0)+IF(AND(OR(Settings!$B$25="Card",Settings!$B$25="Loan"),AND('Month-End'!$CL$13&lt;&gt;"",NOT(_xlfn.ISFORMULA('Month-End'!$CL$13)))),IF(N('Month-End'!$CL$13)&lt;0,1,0),0)+IF(AND(OR(Settings!$B$26="Card",Settings!$B$26="Loan"),AND('Month-End'!$CL$14&lt;&gt;"",NOT(_xlfn.ISFORMULA('Month-End'!$CL$14)))),IF(N('Month-End'!$CL$14)&lt;0,1,0),0)+IF(AND(OR(Settings!$B$27="Card",Settings!$B$27="Loan"),AND('Month-End'!$CL$15&lt;&gt;"",NOT(_xlfn.ISFORMULA('Month-End'!$CL$15)))),IF(N('Month-End'!$CL$15)&lt;0,1,0),0)+IF(AND(OR(Settings!$B$28="Card",Settings!$B$28="Loan"),AND('Month-End'!$CL$16&lt;&gt;"",NOT(_xlfn.ISFORMULA('Month-End'!$CL$16)))),IF(N('Month-End'!$CL$16)&lt;0,1,0),0)+IF(AND(OR(Settings!$B$29="Card",Settings!$B$29="Loan"),AND('Month-End'!$CL$17&lt;&gt;"",NOT(_xlfn.ISFORMULA('Month-End'!$CL$17)))),IF(N('Month-End'!$CL$17)&lt;0,1,0),0)+IF(AND(OR(Settings!$B$30="Card",Settings!$B$30="Loan"),AND('Month-End'!$CL$18&lt;&gt;"",NOT(_xlfn.ISFORMULA('Month-End'!$CL$18)))),IF(N('Month-End'!$CL$18)&lt;0,1,0),0)+IF(AND(OR(Settings!$B$31="Card",Settings!$B$31="Loan"),AND('Month-End'!$CL$19&lt;&gt;"",NOT(_xlfn.ISFORMULA('Month-End'!$CL$19)))),IF(N('Month-End'!$CL$19)&lt;0,1,0),0)+IF(AND(OR(Settings!$B$32="Card",Settings!$B$32="Loan"),AND('Month-End'!$CL$20&lt;&gt;"",NOT(_xlfn.ISFORMULA('Month-End'!$CL$20)))),IF(N('Month-End'!$CL$20)&lt;0,1,0),0)</f>
        <v/>
      </c>
      <c r="DX93">
        <f>IF(Settings!$B$36="Retirement",$AY93,0)+IF(Settings!$B$37="Retirement",$AZ93,0)+IF(Settings!$B$38="Retirement",$BA93,0)+IF(Settings!$B$39="Retirement",$BB93,0)+IF(Settings!$B$40="Retirement",$BC93,0)+IF(Settings!$B$41="Retirement",$BD93,0)</f>
        <v/>
      </c>
      <c r="ET93">
        <f>IF($E93&lt;&gt;"open",0,IF(AND('Month-End'!$CL$22&lt;&gt;"",NOT(_xlfn.ISFORMULA('Month-End'!$CL$22))),0,IF(OR(Settings!$C$45="",Settings!$D$45=""),0,Settings!$C$45*IF(Settings!$D$45="Weekly",IF(IFERROR(MATCH(Settings!$E$45,$EO$4:$EO$10,0),0)=0,0,IF(MIN(Settings!$B$5,IF(Settings!$G$45="",Settings!$B$5,Settings!$G$45))&lt;MAX($A93,Settings!$F$45),0,INT((MIN(Settings!$B$5,IF(Settings!$G$45="",Settings!$B$5,Settings!$G$45))-MAX($A93,Settings!$F$45)-MOD(IFERROR(MATCH(Settings!$E$45,$EO$4:$EO$10,0),0)-WEEKDAY(MAX($A93,Settings!$F$45)),7))/7)+1)),IF(AND(IF(Settings!$E$45="",$B93,DATE(YEAR($A93),MONTH($A93),MIN(Settings!$E$45,DAY($B93))))&gt;=MAX($A93,Settings!$F$45),IF(Settings!$E$45="",$B93,DATE(YEAR($A93),MONTH($A93),MIN(Settings!$E$45,DAY($B93))))&lt;=MIN(Settings!$B$5,IF(Settings!$G$45="",Settings!$B$5,Settings!$G$45))),1,0)))))</f>
        <v/>
      </c>
      <c r="EU93">
        <f>IF($E93&lt;&gt;"open",0,IF(AND('Month-End'!$CL$23&lt;&gt;"",NOT(_xlfn.ISFORMULA('Month-End'!$CL$23))),0,IF(OR(Settings!$C$46="",Settings!$D$46=""),0,Settings!$C$46*IF(Settings!$D$46="Weekly",IF(IFERROR(MATCH(Settings!$E$46,$EO$4:$EO$10,0),0)=0,0,IF(MIN(Settings!$B$5,IF(Settings!$G$46="",Settings!$B$5,Settings!$G$46))&lt;MAX($A93,Settings!$F$46),0,INT((MIN(Settings!$B$5,IF(Settings!$G$46="",Settings!$B$5,Settings!$G$46))-MAX($A93,Settings!$F$46)-MOD(IFERROR(MATCH(Settings!$E$46,$EO$4:$EO$10,0),0)-WEEKDAY(MAX($A93,Settings!$F$46)),7))/7)+1)),IF(AND(IF(Settings!$E$46="",$B93,DATE(YEAR($A93),MONTH($A93),MIN(Settings!$E$46,DAY($B93))))&gt;=MAX($A93,Settings!$F$46),IF(Settings!$E$46="",$B93,DATE(YEAR($A93),MONTH($A93),MIN(Settings!$E$46,DAY($B93))))&lt;=MIN(Settings!$B$5,IF(Settings!$G$46="",Settings!$B$5,Settings!$G$46))),1,0)))))</f>
        <v/>
      </c>
      <c r="EV93">
        <f>IF($E93&lt;&gt;"open",0,IF(AND('Month-End'!$CL$24&lt;&gt;"",NOT(_xlfn.ISFORMULA('Month-End'!$CL$24))),0,IF(OR(Settings!$C$47="",Settings!$D$47=""),0,Settings!$C$47*IF(Settings!$D$47="Weekly",IF(IFERROR(MATCH(Settings!$E$47,$EO$4:$EO$10,0),0)=0,0,IF(MIN(Settings!$B$5,IF(Settings!$G$47="",Settings!$B$5,Settings!$G$47))&lt;MAX($A93,Settings!$F$47),0,INT((MIN(Settings!$B$5,IF(Settings!$G$47="",Settings!$B$5,Settings!$G$47))-MAX($A93,Settings!$F$47)-MOD(IFERROR(MATCH(Settings!$E$47,$EO$4:$EO$10,0),0)-WEEKDAY(MAX($A93,Settings!$F$47)),7))/7)+1)),IF(AND(IF(Settings!$E$47="",$B93,DATE(YEAR($A93),MONTH($A93),MIN(Settings!$E$47,DAY($B93))))&gt;=MAX($A93,Settings!$F$47),IF(Settings!$E$47="",$B93,DATE(YEAR($A93),MONTH($A93),MIN(Settings!$E$47,DAY($B93))))&lt;=MIN(Settings!$B$5,IF(Settings!$G$47="",Settings!$B$5,Settings!$G$47))),1,0)))))</f>
        <v/>
      </c>
      <c r="EW93">
        <f>IF($E93&lt;&gt;"open",0,IF(AND('Month-End'!$CL$25&lt;&gt;"",NOT(_xlfn.ISFORMULA('Month-End'!$CL$25))),0,IF(OR(Settings!$C$48="",Settings!$D$48=""),0,Settings!$C$48*IF(Settings!$D$48="Weekly",IF(IFERROR(MATCH(Settings!$E$48,$EO$4:$EO$10,0),0)=0,0,IF(MIN(Settings!$B$5,IF(Settings!$G$48="",Settings!$B$5,Settings!$G$48))&lt;MAX($A93,Settings!$F$48),0,INT((MIN(Settings!$B$5,IF(Settings!$G$48="",Settings!$B$5,Settings!$G$48))-MAX($A93,Settings!$F$48)-MOD(IFERROR(MATCH(Settings!$E$48,$EO$4:$EO$10,0),0)-WEEKDAY(MAX($A93,Settings!$F$48)),7))/7)+1)),IF(AND(IF(Settings!$E$48="",$B93,DATE(YEAR($A93),MONTH($A93),MIN(Settings!$E$48,DAY($B93))))&gt;=MAX($A93,Settings!$F$48),IF(Settings!$E$48="",$B93,DATE(YEAR($A93),MONTH($A93),MIN(Settings!$E$48,DAY($B93))))&lt;=MIN(Settings!$B$5,IF(Settings!$G$48="",Settings!$B$5,Settings!$G$48))),1,0)))))</f>
        <v/>
      </c>
      <c r="EX93">
        <f>IF($E93&lt;&gt;"open",0,IF(AND('Month-End'!$CL$26&lt;&gt;"",NOT(_xlfn.ISFORMULA('Month-End'!$CL$26))),0,IF(OR(Settings!$C$49="",Settings!$D$49=""),0,Settings!$C$49*IF(Settings!$D$49="Weekly",IF(IFERROR(MATCH(Settings!$E$49,$EO$4:$EO$10,0),0)=0,0,IF(MIN(Settings!$B$5,IF(Settings!$G$49="",Settings!$B$5,Settings!$G$49))&lt;MAX($A93,Settings!$F$49),0,INT((MIN(Settings!$B$5,IF(Settings!$G$49="",Settings!$B$5,Settings!$G$49))-MAX($A93,Settings!$F$49)-MOD(IFERROR(MATCH(Settings!$E$49,$EO$4:$EO$10,0),0)-WEEKDAY(MAX($A93,Settings!$F$49)),7))/7)+1)),IF(AND(IF(Settings!$E$49="",$B93,DATE(YEAR($A93),MONTH($A93),MIN(Settings!$E$49,DAY($B93))))&gt;=MAX($A93,Settings!$F$49),IF(Settings!$E$49="",$B93,DATE(YEAR($A93),MONTH($A93),MIN(Settings!$E$49,DAY($B93))))&lt;=MIN(Settings!$B$5,IF(Settings!$G$49="",Settings!$B$5,Settings!$G$49))),1,0)))))</f>
        <v/>
      </c>
      <c r="EY93">
        <f>IF($E93&lt;&gt;"open",0,IF(AND('Month-End'!$CL$27&lt;&gt;"",NOT(_xlfn.ISFORMULA('Month-End'!$CL$27))),0,IF(OR(Settings!$C$50="",Settings!$D$50=""),0,Settings!$C$50*IF(Settings!$D$50="Weekly",IF(IFERROR(MATCH(Settings!$E$50,$EO$4:$EO$10,0),0)=0,0,IF(MIN(Settings!$B$5,IF(Settings!$G$50="",Settings!$B$5,Settings!$G$50))&lt;MAX($A93,Settings!$F$50),0,INT((MIN(Settings!$B$5,IF(Settings!$G$50="",Settings!$B$5,Settings!$G$50))-MAX($A93,Settings!$F$50)-MOD(IFERROR(MATCH(Settings!$E$50,$EO$4:$EO$10,0),0)-WEEKDAY(MAX($A93,Settings!$F$50)),7))/7)+1)),IF(AND(IF(Settings!$E$50="",$B93,DATE(YEAR($A93),MONTH($A93),MIN(Settings!$E$50,DAY($B93))))&gt;=MAX($A93,Settings!$F$50),IF(Settings!$E$50="",$B93,DATE(YEAR($A93),MONTH($A93),MIN(Settings!$E$50,DAY($B93))))&lt;=MIN(Settings!$B$5,IF(Settings!$G$50="",Settings!$B$5,Settings!$G$50))),1,0)))))</f>
        <v/>
      </c>
      <c r="EZ93">
        <f>IF($E93&lt;&gt;"open",0,IF(AND('Month-End'!$CL$28&lt;&gt;"",NOT(_xlfn.ISFORMULA('Month-End'!$CL$28))),0,IF(OR(Settings!$C$51="",Settings!$D$51=""),0,Settings!$C$51*IF(Settings!$D$51="Weekly",IF(IFERROR(MATCH(Settings!$E$51,$EO$4:$EO$10,0),0)=0,0,IF(MIN(Settings!$B$5,IF(Settings!$G$51="",Settings!$B$5,Settings!$G$51))&lt;MAX($A93,Settings!$F$51),0,INT((MIN(Settings!$B$5,IF(Settings!$G$51="",Settings!$B$5,Settings!$G$51))-MAX($A93,Settings!$F$51)-MOD(IFERROR(MATCH(Settings!$E$51,$EO$4:$EO$10,0),0)-WEEKDAY(MAX($A93,Settings!$F$51)),7))/7)+1)),IF(AND(IF(Settings!$E$51="",$B93,DATE(YEAR($A93),MONTH($A93),MIN(Settings!$E$51,DAY($B93))))&gt;=MAX($A93,Settings!$F$51),IF(Settings!$E$51="",$B93,DATE(YEAR($A93),MONTH($A93),MIN(Settings!$E$51,DAY($B93))))&lt;=MIN(Settings!$B$5,IF(Settings!$G$51="",Settings!$B$5,Settings!$G$51))),1,0)))))</f>
        <v/>
      </c>
      <c r="FA93">
        <f>IF($E93&lt;&gt;"open",0,IF(AND('Month-End'!$CL$29&lt;&gt;"",NOT(_xlfn.ISFORMULA('Month-End'!$CL$29))),0,IF(OR(Settings!$C$52="",Settings!$D$52=""),0,Settings!$C$52*IF(Settings!$D$52="Weekly",IF(IFERROR(MATCH(Settings!$E$52,$EO$4:$EO$10,0),0)=0,0,IF(MIN(Settings!$B$5,IF(Settings!$G$52="",Settings!$B$5,Settings!$G$52))&lt;MAX($A93,Settings!$F$52),0,INT((MIN(Settings!$B$5,IF(Settings!$G$52="",Settings!$B$5,Settings!$G$52))-MAX($A93,Settings!$F$52)-MOD(IFERROR(MATCH(Settings!$E$52,$EO$4:$EO$10,0),0)-WEEKDAY(MAX($A93,Settings!$F$52)),7))/7)+1)),IF(AND(IF(Settings!$E$52="",$B93,DATE(YEAR($A93),MONTH($A93),MIN(Settings!$E$52,DAY($B93))))&gt;=MAX($A93,Settings!$F$52),IF(Settings!$E$52="",$B93,DATE(YEAR($A93),MONTH($A93),MIN(Settings!$E$52,DAY($B93))))&lt;=MIN(Settings!$B$5,IF(Settings!$G$52="",Settings!$B$5,Settings!$G$52))),1,0)))))</f>
        <v/>
      </c>
      <c r="FB93">
        <f>IF($E93&lt;&gt;"open",0,IF(AND('Month-End'!$CL$30&lt;&gt;"",NOT(_xlfn.ISFORMULA('Month-End'!$CL$30))),0,IF(OR(Settings!$C$53="",Settings!$D$53=""),0,Settings!$C$53*IF(Settings!$D$53="Weekly",IF(IFERROR(MATCH(Settings!$E$53,$EO$4:$EO$10,0),0)=0,0,IF(MIN(Settings!$B$5,IF(Settings!$G$53="",Settings!$B$5,Settings!$G$53))&lt;MAX($A93,Settings!$F$53),0,INT((MIN(Settings!$B$5,IF(Settings!$G$53="",Settings!$B$5,Settings!$G$53))-MAX($A93,Settings!$F$53)-MOD(IFERROR(MATCH(Settings!$E$53,$EO$4:$EO$10,0),0)-WEEKDAY(MAX($A93,Settings!$F$53)),7))/7)+1)),IF(AND(IF(Settings!$E$53="",$B93,DATE(YEAR($A93),MONTH($A93),MIN(Settings!$E$53,DAY($B93))))&gt;=MAX($A93,Settings!$F$53),IF(Settings!$E$53="",$B93,DATE(YEAR($A93),MONTH($A93),MIN(Settings!$E$53,DAY($B93))))&lt;=MIN(Settings!$B$5,IF(Settings!$G$53="",Settings!$B$5,Settings!$G$53))),1,0)))))</f>
        <v/>
      </c>
      <c r="FC93">
        <f>IF($E93&lt;&gt;"open",0,IF(AND('Month-End'!$CL$31&lt;&gt;"",NOT(_xlfn.ISFORMULA('Month-End'!$CL$31))),0,IF(OR(Settings!$C$54="",Settings!$D$54=""),0,Settings!$C$54*IF(Settings!$D$54="Weekly",IF(IFERROR(MATCH(Settings!$E$54,$EO$4:$EO$10,0),0)=0,0,IF(MIN(Settings!$B$5,IF(Settings!$G$54="",Settings!$B$5,Settings!$G$54))&lt;MAX($A93,Settings!$F$54),0,INT((MIN(Settings!$B$5,IF(Settings!$G$54="",Settings!$B$5,Settings!$G$54))-MAX($A93,Settings!$F$54)-MOD(IFERROR(MATCH(Settings!$E$54,$EO$4:$EO$10,0),0)-WEEKDAY(MAX($A93,Settings!$F$54)),7))/7)+1)),IF(AND(IF(Settings!$E$54="",$B93,DATE(YEAR($A93),MONTH($A93),MIN(Settings!$E$54,DAY($B93))))&gt;=MAX($A93,Settings!$F$54),IF(Settings!$E$54="",$B93,DATE(YEAR($A93),MONTH($A93),MIN(Settings!$E$54,DAY($B93))))&lt;=MIN(Settings!$B$5,IF(Settings!$G$54="",Settings!$B$5,Settings!$G$54))),1,0)))))</f>
        <v/>
      </c>
      <c r="FD93">
        <f>IF($E93&lt;&gt;"open",0,IF(AND('Month-End'!$CL$32&lt;&gt;"",NOT(_xlfn.ISFORMULA('Month-End'!$CL$32))),0,IF(OR(Settings!$C$55="",Settings!$D$55=""),0,Settings!$C$55*IF(Settings!$D$55="Weekly",IF(IFERROR(MATCH(Settings!$E$55,$EO$4:$EO$10,0),0)=0,0,IF(MIN(Settings!$B$5,IF(Settings!$G$55="",Settings!$B$5,Settings!$G$55))&lt;MAX($A93,Settings!$F$55),0,INT((MIN(Settings!$B$5,IF(Settings!$G$55="",Settings!$B$5,Settings!$G$55))-MAX($A93,Settings!$F$55)-MOD(IFERROR(MATCH(Settings!$E$55,$EO$4:$EO$10,0),0)-WEEKDAY(MAX($A93,Settings!$F$55)),7))/7)+1)),IF(AND(IF(Settings!$E$55="",$B93,DATE(YEAR($A93),MONTH($A93),MIN(Settings!$E$55,DAY($B93))))&gt;=MAX($A93,Settings!$F$55),IF(Settings!$E$55="",$B93,DATE(YEAR($A93),MONTH($A93),MIN(Settings!$E$55,DAY($B93))))&lt;=MIN(Settings!$B$5,IF(Settings!$G$55="",Settings!$B$5,Settings!$G$55))),1,0)))))</f>
        <v/>
      </c>
      <c r="FE93">
        <f>IF($E93&lt;&gt;"open",0,IF(AND('Month-End'!$CL$33&lt;&gt;"",NOT(_xlfn.ISFORMULA('Month-End'!$CL$33))),0,IF(OR(Settings!$C$56="",Settings!$D$56=""),0,Settings!$C$56*IF(Settings!$D$56="Weekly",IF(IFERROR(MATCH(Settings!$E$56,$EO$4:$EO$10,0),0)=0,0,IF(MIN(Settings!$B$5,IF(Settings!$G$56="",Settings!$B$5,Settings!$G$56))&lt;MAX($A93,Settings!$F$56),0,INT((MIN(Settings!$B$5,IF(Settings!$G$56="",Settings!$B$5,Settings!$G$56))-MAX($A93,Settings!$F$56)-MOD(IFERROR(MATCH(Settings!$E$56,$EO$4:$EO$10,0),0)-WEEKDAY(MAX($A93,Settings!$F$56)),7))/7)+1)),IF(AND(IF(Settings!$E$56="",$B93,DATE(YEAR($A93),MONTH($A93),MIN(Settings!$E$56,DAY($B93))))&gt;=MAX($A93,Settings!$F$56),IF(Settings!$E$56="",$B93,DATE(YEAR($A93),MONTH($A93),MIN(Settings!$E$56,DAY($B93))))&lt;=MIN(Settings!$B$5,IF(Settings!$G$56="",Settings!$B$5,Settings!$G$56))),1,0)))))</f>
        <v/>
      </c>
      <c r="FF93">
        <f>IF(Settings!$I$45="Yes",$G93,0)+IF(Settings!$I$46="Yes",$H93,0)+IF(Settings!$I$47="Yes",$I93,0)+IF(Settings!$I$48="Yes",$J93,0)+IF(Settings!$I$49="Yes",$K93,0)+IF(Settings!$I$50="Yes",$L93,0)+IF(Settings!$I$51="Yes",$M93,0)+IF(Settings!$I$52="Yes",$N93,0)+IF(Settings!$I$53="Yes",$O93,0)+IF(Settings!$I$54="Yes",$P93,0)+IF(Settings!$I$55="Yes",$Q93,0)+IF(Settings!$I$56="Yes",$R93,0)</f>
        <v/>
      </c>
      <c r="FG93">
        <f>IF(AND(Settings!$I$45="Yes",Settings!$J$45="No"),$G93,0)+IF(AND(Settings!$I$46="Yes",Settings!$J$46="No"),$H93,0)+IF(AND(Settings!$I$47="Yes",Settings!$J$47="No"),$I93,0)+IF(AND(Settings!$I$48="Yes",Settings!$J$48="No"),$J93,0)+IF(AND(Settings!$I$49="Yes",Settings!$J$49="No"),$K93,0)+IF(AND(Settings!$I$50="Yes",Settings!$J$50="No"),$L93,0)+IF(AND(Settings!$I$51="Yes",Settings!$J$51="No"),$M93,0)+IF(AND(Settings!$I$52="Yes",Settings!$J$52="No"),$N93,0)+IF(AND(Settings!$I$53="Yes",Settings!$J$53="No"),$O93,0)+IF(AND(Settings!$I$54="Yes",Settings!$J$54="No"),$P93,0)+IF(AND(Settings!$I$55="Yes",Settings!$J$55="No"),$Q93,0)+IF(AND(Settings!$I$56="Yes",Settings!$J$56="No"),$R93,0)</f>
        <v/>
      </c>
      <c r="FH93">
        <f>SUMIFS(Giving!$B$7:$B$2006,Giving!$A$7:$A$2006,"&gt;="&amp;$A93,Giving!$A$7:$A$2006,"&lt;="&amp;$B93,Giving!$G$7:$G$2006,"Yes")+IF(OR(OR(Settings!$B$60="",Settings!$F$60="No"),Settings!$H$60&lt;&gt;"Yes"),0,Settings!$B$60*IF(AND(IF(Settings!$C$60="",$B93,DATE(YEAR($A93),MONTH($A93),MIN(Settings!$C$60,DAY($B93))))&gt;=MAX($A93,Settings!$D$60),IF(Settings!$C$60="",$B93,DATE(YEAR($A93),MONTH($A93),MIN(Settings!$C$60,DAY($B93))))&lt;=MIN($C93,IF(Settings!$E$60="",$C93,Settings!$E$60))),1,0))+IF(OR(OR(Settings!$B$61="",Settings!$F$61="No"),Settings!$H$61&lt;&gt;"Yes"),0,Settings!$B$61*IF(AND(IF(Settings!$C$61="",$B93,DATE(YEAR($A93),MONTH($A93),MIN(Settings!$C$61,DAY($B93))))&gt;=MAX($A93,Settings!$D$61),IF(Settings!$C$61="",$B93,DATE(YEAR($A93),MONTH($A93),MIN(Settings!$C$61,DAY($B93))))&lt;=MIN($C93,IF(Settings!$E$61="",$C93,Settings!$E$61))),1,0))+IF(OR(OR(Settings!$B$62="",Settings!$F$62="No"),Settings!$H$62&lt;&gt;"Yes"),0,Settings!$B$62*IF(AND(IF(Settings!$C$62="",$B93,DATE(YEAR($A93),MONTH($A93),MIN(Settings!$C$62,DAY($B93))))&gt;=MAX($A93,Settings!$D$62),IF(Settings!$C$62="",$B93,DATE(YEAR($A93),MONTH($A93),MIN(Settings!$C$62,DAY($B93))))&lt;=MIN($C93,IF(Settings!$E$62="",$C93,Settings!$E$62))),1,0))+IF(OR(OR(Settings!$B$63="",Settings!$F$63="No"),Settings!$H$63&lt;&gt;"Yes"),0,Settings!$B$63*IF(AND(IF(Settings!$C$63="",$B93,DATE(YEAR($A93),MONTH($A93),MIN(Settings!$C$63,DAY($B93))))&gt;=MAX($A93,Settings!$D$63),IF(Settings!$C$63="",$B93,DATE(YEAR($A93),MONTH($A93),MIN(Settings!$C$63,DAY($B93))))&lt;=MIN($C93,IF(Settings!$E$63="",$C93,Settings!$E$63))),1,0))+IF(OR(OR(Settings!$B$64="",Settings!$F$64="No"),Settings!$H$64&lt;&gt;"Yes"),0,Settings!$B$64*IF(AND(IF(Settings!$C$64="",$B93,DATE(YEAR($A93),MONTH($A93),MIN(Settings!$C$64,DAY($B93))))&gt;=MAX($A93,Settings!$D$64),IF(Settings!$C$64="",$B93,DATE(YEAR($A93),MONTH($A93),MIN(Settings!$C$64,DAY($B93))))&lt;=MIN($C93,IF(Settings!$E$64="",$C93,Settings!$E$64))),1,0))+IF(OR(OR(Settings!$B$65="",Settings!$F$65="No"),Settings!$H$65&lt;&gt;"Yes"),0,Settings!$B$65*IF(AND(IF(Settings!$C$65="",$B93,DATE(YEAR($A93),MONTH($A93),MIN(Settings!$C$65,DAY($B93))))&gt;=MAX($A93,Settings!$D$65),IF(Settings!$C$65="",$B93,DATE(YEAR($A93),MONTH($A93),MIN(Settings!$C$65,DAY($B93))))&lt;=MIN($C93,IF(Settings!$E$65="",$C93,Settings!$E$65))),1,0))</f>
        <v/>
      </c>
      <c r="FI93">
        <f>IF($DT93=1,IF(OR(Settings!$B$19="Card",Settings!$B$19="Loan"),N($AE93),0)+IF(OR(Settings!$B$20="Card",Settings!$B$20="Loan"),N($AF93),0)+IF(OR(Settings!$B$21="Card",Settings!$B$21="Loan"),N($AG93),0)+IF(OR(Settings!$B$22="Card",Settings!$B$22="Loan"),N($AH93),0)+IF(OR(Settings!$B$23="Card",Settings!$B$23="Loan"),N($AI93),0)+IF(OR(Settings!$B$24="Card",Settings!$B$24="Loan"),N($AJ93),0)+IF(OR(Settings!$B$25="Card",Settings!$B$25="Loan"),N($AK93),0)+IF(OR(Settings!$B$26="Card",Settings!$B$26="Loan"),N($AL93),0)+IF(OR(Settings!$B$27="Card",Settings!$B$27="Loan"),N($AM93),0)+IF(OR(Settings!$B$28="Card",Settings!$B$28="Loan"),N($AN93),0)+IF(OR(Settings!$B$29="Card",Settings!$B$29="Loan"),N($AO93),0)+IF(OR(Settings!$B$30="Card",Settings!$B$30="Loan"),N($AP93),0)+IF(OR(Settings!$B$31="Card",Settings!$B$31="Loan"),N($AQ93),0)+IF(OR(Settings!$B$32="Card",Settings!$B$32="Loan"),N($AR93),0),"")</f>
        <v/>
      </c>
      <c r="FJ93">
        <f>IF($E93="open",$EB$65,IF($E93="post",IF($E92="pre",$EB$65,$FI92),""))</f>
        <v/>
      </c>
      <c r="FK93">
        <f>IF(AND($DT93=1,$DC93=1),IF(ROUND($FI93-$FJ93,2)&gt;0,1,0),0)</f>
        <v/>
      </c>
      <c r="FL93">
        <f>IF($FK93=1,$FL92+1,0)</f>
        <v/>
      </c>
    </row>
    <row r="94">
      <c r="A94">
        <f>'Month-End'!$CM$4</f>
        <v/>
      </c>
      <c r="B94">
        <f>EOMONTH($A94,0)</f>
        <v/>
      </c>
      <c r="C94">
        <f>MIN($B94,TODAY())</f>
        <v/>
      </c>
      <c r="D94">
        <f>IF($A94&gt;TODAY(),1,0)</f>
        <v/>
      </c>
      <c r="E94">
        <f>IF($B94&lt;=Settings!$B$5,"pre",IF($A94&lt;=Settings!$B$5,"open","post"))</f>
        <v/>
      </c>
      <c r="G94">
        <f>IF('Month-End'!$CM$22="",$BE94,N('Month-End'!$CM$22))</f>
        <v/>
      </c>
      <c r="H94">
        <f>IF('Month-End'!$CM$23="",$BF94,N('Month-End'!$CM$23))</f>
        <v/>
      </c>
      <c r="I94">
        <f>IF('Month-End'!$CM$24="",$BG94,N('Month-End'!$CM$24))</f>
        <v/>
      </c>
      <c r="J94">
        <f>IF('Month-End'!$CM$25="",$BH94,N('Month-End'!$CM$25))</f>
        <v/>
      </c>
      <c r="K94">
        <f>IF('Month-End'!$CM$26="",$BI94,N('Month-End'!$CM$26))</f>
        <v/>
      </c>
      <c r="L94">
        <f>IF('Month-End'!$CM$27="",$BJ94,N('Month-End'!$CM$27))</f>
        <v/>
      </c>
      <c r="M94">
        <f>IF('Month-End'!$CM$28="",$BK94,N('Month-End'!$CM$28))</f>
        <v/>
      </c>
      <c r="N94">
        <f>IF('Month-End'!$CM$29="",$BL94,N('Month-End'!$CM$29))</f>
        <v/>
      </c>
      <c r="O94">
        <f>IF('Month-End'!$CM$30="",$BM94,N('Month-End'!$CM$30))</f>
        <v/>
      </c>
      <c r="P94">
        <f>IF('Month-End'!$CM$31="",$BN94,N('Month-End'!$CM$31))</f>
        <v/>
      </c>
      <c r="Q94">
        <f>IF('Month-End'!$CM$32="",$BO94,N('Month-End'!$CM$32))</f>
        <v/>
      </c>
      <c r="R94">
        <f>IF('Month-End'!$CM$33="",$BP94,N('Month-End'!$CM$33))</f>
        <v/>
      </c>
      <c r="S94">
        <f>$G94+$H94+$I94+$J94+$K94+$L94+$M94+$N94+$O94+$P94+$Q94+$R94</f>
        <v/>
      </c>
      <c r="T94">
        <f>IF($B94&lt;Settings!$B$6,0,IF(Settings!$B$45="Yes",$G94,0)+IF(Settings!$B$46="Yes",$H94,0)+IF(Settings!$B$47="Yes",$I94,0)+IF(Settings!$B$48="Yes",$J94,0)+IF(Settings!$B$49="Yes",$K94,0)+IF(Settings!$B$50="Yes",$L94,0)+IF(Settings!$B$51="Yes",$M94,0)+IF(Settings!$B$52="Yes",$N94,0)+IF(Settings!$B$53="Yes",$O94,0)+IF(Settings!$B$54="Yes",$P94,0)+IF(Settings!$B$55="Yes",$Q94,0)+IF(Settings!$B$56="Yes",$R94,0))</f>
        <v/>
      </c>
      <c r="U94">
        <f>IF(Settings!$B$45="Not Sure",$G94,0)+IF(Settings!$B$46="Not Sure",$H94,0)+IF(Settings!$B$47="Not Sure",$I94,0)+IF(Settings!$B$48="Not Sure",$J94,0)+IF(Settings!$B$49="Not Sure",$K94,0)+IF(Settings!$B$50="Not Sure",$L94,0)+IF(Settings!$B$51="Not Sure",$M94,0)+IF(Settings!$B$52="Not Sure",$N94,0)+IF(Settings!$B$53="Not Sure",$O94,0)+IF(Settings!$B$54="Not Sure",$P94,0)+IF(Settings!$B$55="Not Sure",$Q94,0)+IF(Settings!$B$56="Not Sure",$R94,0)</f>
        <v/>
      </c>
      <c r="V94">
        <f>IF($E94="open",SUM($ET94:$FE94)+N(Settings!$B$13),0)</f>
        <v/>
      </c>
      <c r="W94">
        <f>IF($E94="post",$S94,IF($E94="open",$S94-$V94,0))</f>
        <v/>
      </c>
      <c r="X94">
        <f>SUMIFS(Giving!$B$7:$B$2006,Giving!$A$7:$A$2006,"&gt;="&amp;$A94,Giving!$A$7:$A$2006,"&lt;="&amp;$B94,Giving!$E$7:$E$2006,"&lt;&gt;No")</f>
        <v/>
      </c>
      <c r="Y94">
        <f>SUMIFS(Giving!$B$7:$B$2006,Giving!$A$7:$A$2006,"&gt;="&amp;$A94,Giving!$A$7:$A$2006,"&lt;="&amp;$B94,Giving!$E$7:$E$2006,"No")</f>
        <v/>
      </c>
      <c r="Z94">
        <f>IF(OR(Settings!$B$60="",Settings!$F$60="No"),0,Settings!$B$60*IF(AND(IF(Settings!$C$60="",$B94,DATE(YEAR($A94),MONTH($A94),MIN(Settings!$C$60,DAY($B94))))&gt;=MAX($A94,Settings!$D$60),IF(Settings!$C$60="",$B94,DATE(YEAR($A94),MONTH($A94),MIN(Settings!$C$60,DAY($B94))))&lt;=MIN($C94,IF(Settings!$E$60="",$C94,Settings!$E$60))),1,0))+IF(OR(Settings!$B$61="",Settings!$F$61="No"),0,Settings!$B$61*IF(AND(IF(Settings!$C$61="",$B94,DATE(YEAR($A94),MONTH($A94),MIN(Settings!$C$61,DAY($B94))))&gt;=MAX($A94,Settings!$D$61),IF(Settings!$C$61="",$B94,DATE(YEAR($A94),MONTH($A94),MIN(Settings!$C$61,DAY($B94))))&lt;=MIN($C94,IF(Settings!$E$61="",$C94,Settings!$E$61))),1,0))+IF(OR(Settings!$B$62="",Settings!$F$62="No"),0,Settings!$B$62*IF(AND(IF(Settings!$C$62="",$B94,DATE(YEAR($A94),MONTH($A94),MIN(Settings!$C$62,DAY($B94))))&gt;=MAX($A94,Settings!$D$62),IF(Settings!$C$62="",$B94,DATE(YEAR($A94),MONTH($A94),MIN(Settings!$C$62,DAY($B94))))&lt;=MIN($C94,IF(Settings!$E$62="",$C94,Settings!$E$62))),1,0))+IF(OR(Settings!$B$63="",Settings!$F$63="No"),0,Settings!$B$63*IF(AND(IF(Settings!$C$63="",$B94,DATE(YEAR($A94),MONTH($A94),MIN(Settings!$C$63,DAY($B94))))&gt;=MAX($A94,Settings!$D$63),IF(Settings!$C$63="",$B94,DATE(YEAR($A94),MONTH($A94),MIN(Settings!$C$63,DAY($B94))))&lt;=MIN($C94,IF(Settings!$E$63="",$C94,Settings!$E$63))),1,0))+IF(OR(Settings!$B$64="",Settings!$F$64="No"),0,Settings!$B$64*IF(AND(IF(Settings!$C$64="",$B94,DATE(YEAR($A94),MONTH($A94),MIN(Settings!$C$64,DAY($B94))))&gt;=MAX($A94,Settings!$D$64),IF(Settings!$C$64="",$B94,DATE(YEAR($A94),MONTH($A94),MIN(Settings!$C$64,DAY($B94))))&lt;=MIN($C94,IF(Settings!$E$64="",$C94,Settings!$E$64))),1,0))+IF(OR(Settings!$B$65="",Settings!$F$65="No"),0,Settings!$B$65*IF(AND(IF(Settings!$C$65="",$B94,DATE(YEAR($A94),MONTH($A94),MIN(Settings!$C$65,DAY($B94))))&gt;=MAX($A94,Settings!$D$65),IF(Settings!$C$65="",$B94,DATE(YEAR($A94),MONTH($A94),MIN(Settings!$C$65,DAY($B94))))&lt;=MIN($C94,IF(Settings!$E$65="",$C94,Settings!$E$65))),1,0))</f>
        <v/>
      </c>
      <c r="AA94">
        <f>$X94+$Z94</f>
        <v/>
      </c>
      <c r="AB94">
        <f>IF($E94="post",$AA94,IF($E94="open",SUMIFS(Giving!$B$7:$B$2006,Giving!$A$7:$A$2006,"&gt;"&amp;Settings!$B$5,Giving!$A$7:$A$2006,"&lt;="&amp;$B94,Giving!$E$7:$E$2006,"&lt;&gt;No")+IF(OR(Settings!$B$60="",Settings!$F$60="No"),0,Settings!$B$60*IF(AND(IF(Settings!$C$60="",$B94,DATE(YEAR($A94),MONTH($A94),MIN(Settings!$C$60,DAY($B94))))&gt;=MAX($A94,Settings!$D$60,Settings!$B$5+1),IF(Settings!$C$60="",$B94,DATE(YEAR($A94),MONTH($A94),MIN(Settings!$C$60,DAY($B94))))&lt;=MIN($C94,IF(Settings!$E$60="",$C94,Settings!$E$60))),1,0))+IF(OR(Settings!$B$61="",Settings!$F$61="No"),0,Settings!$B$61*IF(AND(IF(Settings!$C$61="",$B94,DATE(YEAR($A94),MONTH($A94),MIN(Settings!$C$61,DAY($B94))))&gt;=MAX($A94,Settings!$D$61,Settings!$B$5+1),IF(Settings!$C$61="",$B94,DATE(YEAR($A94),MONTH($A94),MIN(Settings!$C$61,DAY($B94))))&lt;=MIN($C94,IF(Settings!$E$61="",$C94,Settings!$E$61))),1,0))+IF(OR(Settings!$B$62="",Settings!$F$62="No"),0,Settings!$B$62*IF(AND(IF(Settings!$C$62="",$B94,DATE(YEAR($A94),MONTH($A94),MIN(Settings!$C$62,DAY($B94))))&gt;=MAX($A94,Settings!$D$62,Settings!$B$5+1),IF(Settings!$C$62="",$B94,DATE(YEAR($A94),MONTH($A94),MIN(Settings!$C$62,DAY($B94))))&lt;=MIN($C94,IF(Settings!$E$62="",$C94,Settings!$E$62))),1,0))+IF(OR(Settings!$B$63="",Settings!$F$63="No"),0,Settings!$B$63*IF(AND(IF(Settings!$C$63="",$B94,DATE(YEAR($A94),MONTH($A94),MIN(Settings!$C$63,DAY($B94))))&gt;=MAX($A94,Settings!$D$63,Settings!$B$5+1),IF(Settings!$C$63="",$B94,DATE(YEAR($A94),MONTH($A94),MIN(Settings!$C$63,DAY($B94))))&lt;=MIN($C94,IF(Settings!$E$63="",$C94,Settings!$E$63))),1,0))+IF(OR(Settings!$B$64="",Settings!$F$64="No"),0,Settings!$B$64*IF(AND(IF(Settings!$C$64="",$B94,DATE(YEAR($A94),MONTH($A94),MIN(Settings!$C$64,DAY($B94))))&gt;=MAX($A94,Settings!$D$64,Settings!$B$5+1),IF(Settings!$C$64="",$B94,DATE(YEAR($A94),MONTH($A94),MIN(Settings!$C$64,DAY($B94))))&lt;=MIN($C94,IF(Settings!$E$64="",$C94,Settings!$E$64))),1,0))+IF(OR(Settings!$B$65="",Settings!$F$65="No"),0,Settings!$B$65*IF(AND(IF(Settings!$C$65="",$B94,DATE(YEAR($A94),MONTH($A94),MIN(Settings!$C$65,DAY($B94))))&gt;=MAX($A94,Settings!$D$65,Settings!$B$5+1),IF(Settings!$C$65="",$B94,DATE(YEAR($A94),MONTH($A94),MIN(Settings!$C$65,DAY($B94))))&lt;=MIN($C94,IF(Settings!$E$65="",$C94,Settings!$E$65))),1,0)),0))</f>
        <v/>
      </c>
      <c r="AC94">
        <f>$AY94+$AZ94+$BA94+$BB94+$BC94+$BD94</f>
        <v/>
      </c>
      <c r="AD94">
        <f>$AC94</f>
        <v/>
      </c>
      <c r="AE94">
        <f>IF(OR(Settings!$A$19="",$E94="pre"),"",IF(AND('Month-End'!$CM$7&lt;&gt;"",NOT(_xlfn.ISFORMULA('Month-End'!$CM$7))),N('Month-End'!$CM$7),IF(OR($E94="open",$E93="pre"),N(Settings!$C$19),N($AE93))))</f>
        <v/>
      </c>
      <c r="AF94">
        <f>IF(OR(Settings!$A$20="",$E94="pre"),"",IF(AND('Month-End'!$CM$8&lt;&gt;"",NOT(_xlfn.ISFORMULA('Month-End'!$CM$8))),N('Month-End'!$CM$8),IF(OR($E94="open",$E93="pre"),N(Settings!$C$20),N($AF93))))</f>
        <v/>
      </c>
      <c r="AG94">
        <f>IF(OR(Settings!$A$21="",$E94="pre"),"",IF(AND('Month-End'!$CM$9&lt;&gt;"",NOT(_xlfn.ISFORMULA('Month-End'!$CM$9))),N('Month-End'!$CM$9),IF(OR($E94="open",$E93="pre"),N(Settings!$C$21),N($AG93))))</f>
        <v/>
      </c>
      <c r="AH94">
        <f>IF(OR(Settings!$A$22="",$E94="pre"),"",IF(AND('Month-End'!$CM$10&lt;&gt;"",NOT(_xlfn.ISFORMULA('Month-End'!$CM$10))),N('Month-End'!$CM$10),IF(OR($E94="open",$E93="pre"),N(Settings!$C$22),N($AH93))))</f>
        <v/>
      </c>
      <c r="AI94">
        <f>IF(OR(Settings!$A$23="",$E94="pre"),"",IF(AND('Month-End'!$CM$11&lt;&gt;"",NOT(_xlfn.ISFORMULA('Month-End'!$CM$11))),N('Month-End'!$CM$11),IF(OR($E94="open",$E93="pre"),N(Settings!$C$23),N($AI93))))</f>
        <v/>
      </c>
      <c r="AJ94">
        <f>IF(OR(Settings!$A$24="",$E94="pre"),"",IF(AND('Month-End'!$CM$12&lt;&gt;"",NOT(_xlfn.ISFORMULA('Month-End'!$CM$12))),N('Month-End'!$CM$12),IF(OR($E94="open",$E93="pre"),N(Settings!$C$24),N($AJ93))))</f>
        <v/>
      </c>
      <c r="AK94">
        <f>IF(OR(Settings!$A$25="",$E94="pre"),"",IF(AND('Month-End'!$CM$13&lt;&gt;"",NOT(_xlfn.ISFORMULA('Month-End'!$CM$13))),N('Month-End'!$CM$13),IF(OR($E94="open",$E93="pre"),N(Settings!$C$25),N($AK93))))</f>
        <v/>
      </c>
      <c r="AL94">
        <f>IF(OR(Settings!$A$26="",$E94="pre"),"",IF(AND('Month-End'!$CM$14&lt;&gt;"",NOT(_xlfn.ISFORMULA('Month-End'!$CM$14))),N('Month-End'!$CM$14),IF(OR($E94="open",$E93="pre"),N(Settings!$C$26),N($AL93))))</f>
        <v/>
      </c>
      <c r="AM94">
        <f>IF(OR(Settings!$A$27="",$E94="pre"),"",IF(AND('Month-End'!$CM$15&lt;&gt;"",NOT(_xlfn.ISFORMULA('Month-End'!$CM$15))),N('Month-End'!$CM$15),IF(OR($E94="open",$E93="pre"),N(Settings!$C$27),N($AM93))))</f>
        <v/>
      </c>
      <c r="AN94">
        <f>IF(OR(Settings!$A$28="",$E94="pre"),"",IF(AND('Month-End'!$CM$16&lt;&gt;"",NOT(_xlfn.ISFORMULA('Month-End'!$CM$16))),N('Month-End'!$CM$16),IF(OR($E94="open",$E93="pre"),N(Settings!$C$28),N($AN93))))</f>
        <v/>
      </c>
      <c r="AO94">
        <f>IF(OR(Settings!$A$29="",$E94="pre"),"",IF(AND('Month-End'!$CM$17&lt;&gt;"",NOT(_xlfn.ISFORMULA('Month-End'!$CM$17))),N('Month-End'!$CM$17),IF(OR($E94="open",$E93="pre"),N(Settings!$C$29),N($AO93))))</f>
        <v/>
      </c>
      <c r="AP94">
        <f>IF(OR(Settings!$A$30="",$E94="pre"),"",IF(AND('Month-End'!$CM$18&lt;&gt;"",NOT(_xlfn.ISFORMULA('Month-End'!$CM$18))),N('Month-End'!$CM$18),IF(OR($E94="open",$E93="pre"),N(Settings!$C$30),N($AP93))))</f>
        <v/>
      </c>
      <c r="AQ94">
        <f>IF(OR(Settings!$A$31="",$E94="pre"),"",IF(AND('Month-End'!$CM$19&lt;&gt;"",NOT(_xlfn.ISFORMULA('Month-End'!$CM$19))),N('Month-End'!$CM$19),IF(OR($E94="open",$E93="pre"),N(Settings!$C$31),N($AQ93))))</f>
        <v/>
      </c>
      <c r="AR94">
        <f>IF(OR(Settings!$A$32="",$E94="pre"),"",IF(AND('Month-End'!$CM$20&lt;&gt;"",NOT(_xlfn.ISFORMULA('Month-End'!$CM$20))),N('Month-End'!$CM$20),IF(OR($E94="open",$E93="pre"),N(Settings!$C$32),N($AR93))))</f>
        <v/>
      </c>
      <c r="AS94">
        <f>IF(OR(Settings!$A$36="",$E94="pre"),"",IF(AND('Month-End'!$CM$38&lt;&gt;"",NOT(_xlfn.ISFORMULA('Month-End'!$CM$38))),N('Month-End'!$CM$38),IF(OR($E94="open",$E93="pre"),N(Settings!$C$36),N($AS93))+$AY94))</f>
        <v/>
      </c>
      <c r="AT94">
        <f>IF(OR(Settings!$A$37="",$E94="pre"),"",IF(AND('Month-End'!$CM$39&lt;&gt;"",NOT(_xlfn.ISFORMULA('Month-End'!$CM$39))),N('Month-End'!$CM$39),IF(OR($E94="open",$E93="pre"),N(Settings!$C$37),N($AT93))+$AZ94))</f>
        <v/>
      </c>
      <c r="AU94">
        <f>IF(OR(Settings!$A$38="",$E94="pre"),"",IF(AND('Month-End'!$CM$40&lt;&gt;"",NOT(_xlfn.ISFORMULA('Month-End'!$CM$40))),N('Month-End'!$CM$40),IF(OR($E94="open",$E93="pre"),N(Settings!$C$38),N($AU93))+$BA94))</f>
        <v/>
      </c>
      <c r="AV94">
        <f>IF(OR(Settings!$A$39="",$E94="pre"),"",IF(AND('Month-End'!$CM$41&lt;&gt;"",NOT(_xlfn.ISFORMULA('Month-End'!$CM$41))),N('Month-End'!$CM$41),IF(OR($E94="open",$E93="pre"),N(Settings!$C$39),N($AV93))+$BB94))</f>
        <v/>
      </c>
      <c r="AW94">
        <f>IF(OR(Settings!$A$40="",$E94="pre"),"",IF(AND('Month-End'!$CM$42&lt;&gt;"",NOT(_xlfn.ISFORMULA('Month-End'!$CM$42))),N('Month-End'!$CM$42),IF(OR($E94="open",$E93="pre"),N(Settings!$C$40),N($AW93))+$BC94))</f>
        <v/>
      </c>
      <c r="AX94">
        <f>IF(OR(Settings!$A$41="",$E94="pre"),"",IF(AND('Month-End'!$CM$43&lt;&gt;"",NOT(_xlfn.ISFORMULA('Month-End'!$CM$43))),N('Month-End'!$CM$43),IF(OR($E94="open",$E93="pre"),N(Settings!$C$41),N($AX93))+$BD94))</f>
        <v/>
      </c>
      <c r="AY94">
        <f>IF($E94="pre",0,N('Month-End'!$CM$45))</f>
        <v/>
      </c>
      <c r="AZ94">
        <f>IF($E94="pre",0,N('Month-End'!$CM$46))</f>
        <v/>
      </c>
      <c r="BA94">
        <f>IF($E94="pre",0,N('Month-End'!$CM$47))</f>
        <v/>
      </c>
      <c r="BB94">
        <f>IF($E94="pre",0,N('Month-End'!$CM$48))</f>
        <v/>
      </c>
      <c r="BC94">
        <f>IF($E94="pre",0,N('Month-End'!$CM$49))</f>
        <v/>
      </c>
      <c r="BD94">
        <f>IF($E94="pre",0,N('Month-End'!$CM$50))</f>
        <v/>
      </c>
      <c r="BE94">
        <f>IF(OR(Settings!$C$45="",Settings!$D$45=""),0,Settings!$C$45*IF(Settings!$D$45="Weekly",IF(IFERROR(MATCH(Settings!$E$45,$EO$4:$EO$10,0),0)=0,0,IF(MIN($C94,IF(Settings!$G$45="",$C94,Settings!$G$45))&lt;MAX($A94,Settings!$F$45),0,INT((MIN($C94,IF(Settings!$G$45="",$C94,Settings!$G$45))-MAX($A94,Settings!$F$45)-MOD(IFERROR(MATCH(Settings!$E$45,$EO$4:$EO$10,0),0)-WEEKDAY(MAX($A94,Settings!$F$45)),7))/7)+1)),IF(AND(IF(Settings!$E$45="",$B94,DATE(YEAR($A94),MONTH($A94),MIN(Settings!$E$45,DAY($B94))))&gt;=MAX($A94,Settings!$F$45),IF(Settings!$E$45="",$B94,DATE(YEAR($A94),MONTH($A94),MIN(Settings!$E$45,DAY($B94))))&lt;=MIN($C94,IF(Settings!$G$45="",$C94,Settings!$G$45))),1,0)))</f>
        <v/>
      </c>
      <c r="BF94">
        <f>IF(OR(Settings!$C$46="",Settings!$D$46=""),0,Settings!$C$46*IF(Settings!$D$46="Weekly",IF(IFERROR(MATCH(Settings!$E$46,$EO$4:$EO$10,0),0)=0,0,IF(MIN($C94,IF(Settings!$G$46="",$C94,Settings!$G$46))&lt;MAX($A94,Settings!$F$46),0,INT((MIN($C94,IF(Settings!$G$46="",$C94,Settings!$G$46))-MAX($A94,Settings!$F$46)-MOD(IFERROR(MATCH(Settings!$E$46,$EO$4:$EO$10,0),0)-WEEKDAY(MAX($A94,Settings!$F$46)),7))/7)+1)),IF(AND(IF(Settings!$E$46="",$B94,DATE(YEAR($A94),MONTH($A94),MIN(Settings!$E$46,DAY($B94))))&gt;=MAX($A94,Settings!$F$46),IF(Settings!$E$46="",$B94,DATE(YEAR($A94),MONTH($A94),MIN(Settings!$E$46,DAY($B94))))&lt;=MIN($C94,IF(Settings!$G$46="",$C94,Settings!$G$46))),1,0)))</f>
        <v/>
      </c>
      <c r="BG94">
        <f>IF(OR(Settings!$C$47="",Settings!$D$47=""),0,Settings!$C$47*IF(Settings!$D$47="Weekly",IF(IFERROR(MATCH(Settings!$E$47,$EO$4:$EO$10,0),0)=0,0,IF(MIN($C94,IF(Settings!$G$47="",$C94,Settings!$G$47))&lt;MAX($A94,Settings!$F$47),0,INT((MIN($C94,IF(Settings!$G$47="",$C94,Settings!$G$47))-MAX($A94,Settings!$F$47)-MOD(IFERROR(MATCH(Settings!$E$47,$EO$4:$EO$10,0),0)-WEEKDAY(MAX($A94,Settings!$F$47)),7))/7)+1)),IF(AND(IF(Settings!$E$47="",$B94,DATE(YEAR($A94),MONTH($A94),MIN(Settings!$E$47,DAY($B94))))&gt;=MAX($A94,Settings!$F$47),IF(Settings!$E$47="",$B94,DATE(YEAR($A94),MONTH($A94),MIN(Settings!$E$47,DAY($B94))))&lt;=MIN($C94,IF(Settings!$G$47="",$C94,Settings!$G$47))),1,0)))</f>
        <v/>
      </c>
      <c r="BH94">
        <f>IF(OR(Settings!$C$48="",Settings!$D$48=""),0,Settings!$C$48*IF(Settings!$D$48="Weekly",IF(IFERROR(MATCH(Settings!$E$48,$EO$4:$EO$10,0),0)=0,0,IF(MIN($C94,IF(Settings!$G$48="",$C94,Settings!$G$48))&lt;MAX($A94,Settings!$F$48),0,INT((MIN($C94,IF(Settings!$G$48="",$C94,Settings!$G$48))-MAX($A94,Settings!$F$48)-MOD(IFERROR(MATCH(Settings!$E$48,$EO$4:$EO$10,0),0)-WEEKDAY(MAX($A94,Settings!$F$48)),7))/7)+1)),IF(AND(IF(Settings!$E$48="",$B94,DATE(YEAR($A94),MONTH($A94),MIN(Settings!$E$48,DAY($B94))))&gt;=MAX($A94,Settings!$F$48),IF(Settings!$E$48="",$B94,DATE(YEAR($A94),MONTH($A94),MIN(Settings!$E$48,DAY($B94))))&lt;=MIN($C94,IF(Settings!$G$48="",$C94,Settings!$G$48))),1,0)))</f>
        <v/>
      </c>
      <c r="BI94">
        <f>IF(OR(Settings!$C$49="",Settings!$D$49=""),0,Settings!$C$49*IF(Settings!$D$49="Weekly",IF(IFERROR(MATCH(Settings!$E$49,$EO$4:$EO$10,0),0)=0,0,IF(MIN($C94,IF(Settings!$G$49="",$C94,Settings!$G$49))&lt;MAX($A94,Settings!$F$49),0,INT((MIN($C94,IF(Settings!$G$49="",$C94,Settings!$G$49))-MAX($A94,Settings!$F$49)-MOD(IFERROR(MATCH(Settings!$E$49,$EO$4:$EO$10,0),0)-WEEKDAY(MAX($A94,Settings!$F$49)),7))/7)+1)),IF(AND(IF(Settings!$E$49="",$B94,DATE(YEAR($A94),MONTH($A94),MIN(Settings!$E$49,DAY($B94))))&gt;=MAX($A94,Settings!$F$49),IF(Settings!$E$49="",$B94,DATE(YEAR($A94),MONTH($A94),MIN(Settings!$E$49,DAY($B94))))&lt;=MIN($C94,IF(Settings!$G$49="",$C94,Settings!$G$49))),1,0)))</f>
        <v/>
      </c>
      <c r="BJ94">
        <f>IF(OR(Settings!$C$50="",Settings!$D$50=""),0,Settings!$C$50*IF(Settings!$D$50="Weekly",IF(IFERROR(MATCH(Settings!$E$50,$EO$4:$EO$10,0),0)=0,0,IF(MIN($C94,IF(Settings!$G$50="",$C94,Settings!$G$50))&lt;MAX($A94,Settings!$F$50),0,INT((MIN($C94,IF(Settings!$G$50="",$C94,Settings!$G$50))-MAX($A94,Settings!$F$50)-MOD(IFERROR(MATCH(Settings!$E$50,$EO$4:$EO$10,0),0)-WEEKDAY(MAX($A94,Settings!$F$50)),7))/7)+1)),IF(AND(IF(Settings!$E$50="",$B94,DATE(YEAR($A94),MONTH($A94),MIN(Settings!$E$50,DAY($B94))))&gt;=MAX($A94,Settings!$F$50),IF(Settings!$E$50="",$B94,DATE(YEAR($A94),MONTH($A94),MIN(Settings!$E$50,DAY($B94))))&lt;=MIN($C94,IF(Settings!$G$50="",$C94,Settings!$G$50))),1,0)))</f>
        <v/>
      </c>
      <c r="BK94">
        <f>IF(OR(Settings!$C$51="",Settings!$D$51=""),0,Settings!$C$51*IF(Settings!$D$51="Weekly",IF(IFERROR(MATCH(Settings!$E$51,$EO$4:$EO$10,0),0)=0,0,IF(MIN($C94,IF(Settings!$G$51="",$C94,Settings!$G$51))&lt;MAX($A94,Settings!$F$51),0,INT((MIN($C94,IF(Settings!$G$51="",$C94,Settings!$G$51))-MAX($A94,Settings!$F$51)-MOD(IFERROR(MATCH(Settings!$E$51,$EO$4:$EO$10,0),0)-WEEKDAY(MAX($A94,Settings!$F$51)),7))/7)+1)),IF(AND(IF(Settings!$E$51="",$B94,DATE(YEAR($A94),MONTH($A94),MIN(Settings!$E$51,DAY($B94))))&gt;=MAX($A94,Settings!$F$51),IF(Settings!$E$51="",$B94,DATE(YEAR($A94),MONTH($A94),MIN(Settings!$E$51,DAY($B94))))&lt;=MIN($C94,IF(Settings!$G$51="",$C94,Settings!$G$51))),1,0)))</f>
        <v/>
      </c>
      <c r="BL94">
        <f>IF(OR(Settings!$C$52="",Settings!$D$52=""),0,Settings!$C$52*IF(Settings!$D$52="Weekly",IF(IFERROR(MATCH(Settings!$E$52,$EO$4:$EO$10,0),0)=0,0,IF(MIN($C94,IF(Settings!$G$52="",$C94,Settings!$G$52))&lt;MAX($A94,Settings!$F$52),0,INT((MIN($C94,IF(Settings!$G$52="",$C94,Settings!$G$52))-MAX($A94,Settings!$F$52)-MOD(IFERROR(MATCH(Settings!$E$52,$EO$4:$EO$10,0),0)-WEEKDAY(MAX($A94,Settings!$F$52)),7))/7)+1)),IF(AND(IF(Settings!$E$52="",$B94,DATE(YEAR($A94),MONTH($A94),MIN(Settings!$E$52,DAY($B94))))&gt;=MAX($A94,Settings!$F$52),IF(Settings!$E$52="",$B94,DATE(YEAR($A94),MONTH($A94),MIN(Settings!$E$52,DAY($B94))))&lt;=MIN($C94,IF(Settings!$G$52="",$C94,Settings!$G$52))),1,0)))</f>
        <v/>
      </c>
      <c r="BM94">
        <f>IF(OR(Settings!$C$53="",Settings!$D$53=""),0,Settings!$C$53*IF(Settings!$D$53="Weekly",IF(IFERROR(MATCH(Settings!$E$53,$EO$4:$EO$10,0),0)=0,0,IF(MIN($C94,IF(Settings!$G$53="",$C94,Settings!$G$53))&lt;MAX($A94,Settings!$F$53),0,INT((MIN($C94,IF(Settings!$G$53="",$C94,Settings!$G$53))-MAX($A94,Settings!$F$53)-MOD(IFERROR(MATCH(Settings!$E$53,$EO$4:$EO$10,0),0)-WEEKDAY(MAX($A94,Settings!$F$53)),7))/7)+1)),IF(AND(IF(Settings!$E$53="",$B94,DATE(YEAR($A94),MONTH($A94),MIN(Settings!$E$53,DAY($B94))))&gt;=MAX($A94,Settings!$F$53),IF(Settings!$E$53="",$B94,DATE(YEAR($A94),MONTH($A94),MIN(Settings!$E$53,DAY($B94))))&lt;=MIN($C94,IF(Settings!$G$53="",$C94,Settings!$G$53))),1,0)))</f>
        <v/>
      </c>
      <c r="BN94">
        <f>IF(OR(Settings!$C$54="",Settings!$D$54=""),0,Settings!$C$54*IF(Settings!$D$54="Weekly",IF(IFERROR(MATCH(Settings!$E$54,$EO$4:$EO$10,0),0)=0,0,IF(MIN($C94,IF(Settings!$G$54="",$C94,Settings!$G$54))&lt;MAX($A94,Settings!$F$54),0,INT((MIN($C94,IF(Settings!$G$54="",$C94,Settings!$G$54))-MAX($A94,Settings!$F$54)-MOD(IFERROR(MATCH(Settings!$E$54,$EO$4:$EO$10,0),0)-WEEKDAY(MAX($A94,Settings!$F$54)),7))/7)+1)),IF(AND(IF(Settings!$E$54="",$B94,DATE(YEAR($A94),MONTH($A94),MIN(Settings!$E$54,DAY($B94))))&gt;=MAX($A94,Settings!$F$54),IF(Settings!$E$54="",$B94,DATE(YEAR($A94),MONTH($A94),MIN(Settings!$E$54,DAY($B94))))&lt;=MIN($C94,IF(Settings!$G$54="",$C94,Settings!$G$54))),1,0)))</f>
        <v/>
      </c>
      <c r="BO94">
        <f>IF(OR(Settings!$C$55="",Settings!$D$55=""),0,Settings!$C$55*IF(Settings!$D$55="Weekly",IF(IFERROR(MATCH(Settings!$E$55,$EO$4:$EO$10,0),0)=0,0,IF(MIN($C94,IF(Settings!$G$55="",$C94,Settings!$G$55))&lt;MAX($A94,Settings!$F$55),0,INT((MIN($C94,IF(Settings!$G$55="",$C94,Settings!$G$55))-MAX($A94,Settings!$F$55)-MOD(IFERROR(MATCH(Settings!$E$55,$EO$4:$EO$10,0),0)-WEEKDAY(MAX($A94,Settings!$F$55)),7))/7)+1)),IF(AND(IF(Settings!$E$55="",$B94,DATE(YEAR($A94),MONTH($A94),MIN(Settings!$E$55,DAY($B94))))&gt;=MAX($A94,Settings!$F$55),IF(Settings!$E$55="",$B94,DATE(YEAR($A94),MONTH($A94),MIN(Settings!$E$55,DAY($B94))))&lt;=MIN($C94,IF(Settings!$G$55="",$C94,Settings!$G$55))),1,0)))</f>
        <v/>
      </c>
      <c r="BP94">
        <f>IF(OR(Settings!$C$56="",Settings!$D$56=""),0,Settings!$C$56*IF(Settings!$D$56="Weekly",IF(IFERROR(MATCH(Settings!$E$56,$EO$4:$EO$10,0),0)=0,0,IF(MIN($C94,IF(Settings!$G$56="",$C94,Settings!$G$56))&lt;MAX($A94,Settings!$F$56),0,INT((MIN($C94,IF(Settings!$G$56="",$C94,Settings!$G$56))-MAX($A94,Settings!$F$56)-MOD(IFERROR(MATCH(Settings!$E$56,$EO$4:$EO$10,0),0)-WEEKDAY(MAX($A94,Settings!$F$56)),7))/7)+1)),IF(AND(IF(Settings!$E$56="",$B94,DATE(YEAR($A94),MONTH($A94),MIN(Settings!$E$56,DAY($B94))))&gt;=MAX($A94,Settings!$F$56),IF(Settings!$E$56="",$B94,DATE(YEAR($A94),MONTH($A94),MIN(Settings!$E$56,DAY($B94))))&lt;=MIN($C94,IF(Settings!$G$56="",$C94,Settings!$G$56))),1,0)))</f>
        <v/>
      </c>
      <c r="BQ94">
        <f>IF(OR(Settings!$B$14="",$D94=1,$E94="pre",$A94&lt;IF(Settings!$B$15="",0,Settings!$B$15)),0,Settings!$B$14)</f>
        <v/>
      </c>
      <c r="BR94">
        <f>IF(AND('Month-End'!$CM$7&lt;&gt;"",NOT(_xlfn.ISFORMULA('Month-End'!$CM$7))),1,0)</f>
        <v/>
      </c>
      <c r="BS94">
        <f>IF(AND('Month-End'!$CM$8&lt;&gt;"",NOT(_xlfn.ISFORMULA('Month-End'!$CM$8))),1,0)</f>
        <v/>
      </c>
      <c r="BT94">
        <f>IF(AND('Month-End'!$CM$9&lt;&gt;"",NOT(_xlfn.ISFORMULA('Month-End'!$CM$9))),1,0)</f>
        <v/>
      </c>
      <c r="BU94">
        <f>IF(AND('Month-End'!$CM$10&lt;&gt;"",NOT(_xlfn.ISFORMULA('Month-End'!$CM$10))),1,0)</f>
        <v/>
      </c>
      <c r="BV94">
        <f>IF(AND('Month-End'!$CM$11&lt;&gt;"",NOT(_xlfn.ISFORMULA('Month-End'!$CM$11))),1,0)</f>
        <v/>
      </c>
      <c r="BW94">
        <f>IF(AND('Month-End'!$CM$12&lt;&gt;"",NOT(_xlfn.ISFORMULA('Month-End'!$CM$12))),1,0)</f>
        <v/>
      </c>
      <c r="BX94">
        <f>IF(AND('Month-End'!$CM$13&lt;&gt;"",NOT(_xlfn.ISFORMULA('Month-End'!$CM$13))),1,0)</f>
        <v/>
      </c>
      <c r="BY94">
        <f>IF(AND('Month-End'!$CM$14&lt;&gt;"",NOT(_xlfn.ISFORMULA('Month-End'!$CM$14))),1,0)</f>
        <v/>
      </c>
      <c r="BZ94">
        <f>IF(AND('Month-End'!$CM$15&lt;&gt;"",NOT(_xlfn.ISFORMULA('Month-End'!$CM$15))),1,0)</f>
        <v/>
      </c>
      <c r="CA94">
        <f>IF(AND('Month-End'!$CM$16&lt;&gt;"",NOT(_xlfn.ISFORMULA('Month-End'!$CM$16))),1,0)</f>
        <v/>
      </c>
      <c r="CB94">
        <f>IF(AND('Month-End'!$CM$17&lt;&gt;"",NOT(_xlfn.ISFORMULA('Month-End'!$CM$17))),1,0)</f>
        <v/>
      </c>
      <c r="CC94">
        <f>IF(AND('Month-End'!$CM$18&lt;&gt;"",NOT(_xlfn.ISFORMULA('Month-End'!$CM$18))),1,0)</f>
        <v/>
      </c>
      <c r="CD94">
        <f>IF(AND('Month-End'!$CM$19&lt;&gt;"",NOT(_xlfn.ISFORMULA('Month-End'!$CM$19))),1,0)</f>
        <v/>
      </c>
      <c r="CE94">
        <f>IF(AND('Month-End'!$CM$20&lt;&gt;"",NOT(_xlfn.ISFORMULA('Month-End'!$CM$20))),1,0)</f>
        <v/>
      </c>
      <c r="CF94">
        <f>IF(AND('Month-End'!$CM$38&lt;&gt;"",NOT(_xlfn.ISFORMULA('Month-End'!$CM$38))),1,0)</f>
        <v/>
      </c>
      <c r="CG94">
        <f>IF(AND('Month-End'!$CM$39&lt;&gt;"",NOT(_xlfn.ISFORMULA('Month-End'!$CM$39))),1,0)</f>
        <v/>
      </c>
      <c r="CH94">
        <f>IF(AND('Month-End'!$CM$40&lt;&gt;"",NOT(_xlfn.ISFORMULA('Month-End'!$CM$40))),1,0)</f>
        <v/>
      </c>
      <c r="CI94">
        <f>IF(AND('Month-End'!$CM$41&lt;&gt;"",NOT(_xlfn.ISFORMULA('Month-End'!$CM$41))),1,0)</f>
        <v/>
      </c>
      <c r="CJ94">
        <f>IF(AND('Month-End'!$CM$42&lt;&gt;"",NOT(_xlfn.ISFORMULA('Month-End'!$CM$42))),1,0)</f>
        <v/>
      </c>
      <c r="CK94">
        <f>IF(AND('Month-End'!$CM$43&lt;&gt;"",NOT(_xlfn.ISFORMULA('Month-End'!$CM$43))),1,0)</f>
        <v/>
      </c>
      <c r="CL94">
        <f>SUM($CM94:$CZ94)</f>
        <v/>
      </c>
      <c r="CM94">
        <f>IF(AND($E94&lt;&gt;"pre",AND(Settings!$A$19&lt;&gt;"",Settings!$E$19&lt;&gt;"No"),Settings!$F$19="Yes",NOT(AND('Month-End'!$CM$7&lt;&gt;"",NOT(_xlfn.ISFORMULA('Month-End'!$CM$7))))),1,0)</f>
        <v/>
      </c>
      <c r="CN94">
        <f>IF(AND($E94&lt;&gt;"pre",AND(Settings!$A$20&lt;&gt;"",Settings!$E$20&lt;&gt;"No"),Settings!$F$20="Yes",NOT(AND('Month-End'!$CM$8&lt;&gt;"",NOT(_xlfn.ISFORMULA('Month-End'!$CM$8))))),1,0)</f>
        <v/>
      </c>
      <c r="CO94">
        <f>IF(AND($E94&lt;&gt;"pre",AND(Settings!$A$21&lt;&gt;"",Settings!$E$21&lt;&gt;"No"),Settings!$F$21="Yes",NOT(AND('Month-End'!$CM$9&lt;&gt;"",NOT(_xlfn.ISFORMULA('Month-End'!$CM$9))))),1,0)</f>
        <v/>
      </c>
      <c r="CP94">
        <f>IF(AND($E94&lt;&gt;"pre",AND(Settings!$A$22&lt;&gt;"",Settings!$E$22&lt;&gt;"No"),Settings!$F$22="Yes",NOT(AND('Month-End'!$CM$10&lt;&gt;"",NOT(_xlfn.ISFORMULA('Month-End'!$CM$10))))),1,0)</f>
        <v/>
      </c>
      <c r="CQ94">
        <f>IF(AND($E94&lt;&gt;"pre",AND(Settings!$A$23&lt;&gt;"",Settings!$E$23&lt;&gt;"No"),Settings!$F$23="Yes",NOT(AND('Month-End'!$CM$11&lt;&gt;"",NOT(_xlfn.ISFORMULA('Month-End'!$CM$11))))),1,0)</f>
        <v/>
      </c>
      <c r="CR94">
        <f>IF(AND($E94&lt;&gt;"pre",AND(Settings!$A$24&lt;&gt;"",Settings!$E$24&lt;&gt;"No"),Settings!$F$24="Yes",NOT(AND('Month-End'!$CM$12&lt;&gt;"",NOT(_xlfn.ISFORMULA('Month-End'!$CM$12))))),1,0)</f>
        <v/>
      </c>
      <c r="CS94">
        <f>IF(AND($E94&lt;&gt;"pre",AND(Settings!$A$25&lt;&gt;"",Settings!$E$25&lt;&gt;"No"),Settings!$F$25="Yes",NOT(AND('Month-End'!$CM$13&lt;&gt;"",NOT(_xlfn.ISFORMULA('Month-End'!$CM$13))))),1,0)</f>
        <v/>
      </c>
      <c r="CT94">
        <f>IF(AND($E94&lt;&gt;"pre",AND(Settings!$A$26&lt;&gt;"",Settings!$E$26&lt;&gt;"No"),Settings!$F$26="Yes",NOT(AND('Month-End'!$CM$14&lt;&gt;"",NOT(_xlfn.ISFORMULA('Month-End'!$CM$14))))),1,0)</f>
        <v/>
      </c>
      <c r="CU94">
        <f>IF(AND($E94&lt;&gt;"pre",AND(Settings!$A$27&lt;&gt;"",Settings!$E$27&lt;&gt;"No"),Settings!$F$27="Yes",NOT(AND('Month-End'!$CM$15&lt;&gt;"",NOT(_xlfn.ISFORMULA('Month-End'!$CM$15))))),1,0)</f>
        <v/>
      </c>
      <c r="CV94">
        <f>IF(AND($E94&lt;&gt;"pre",AND(Settings!$A$28&lt;&gt;"",Settings!$E$28&lt;&gt;"No"),Settings!$F$28="Yes",NOT(AND('Month-End'!$CM$16&lt;&gt;"",NOT(_xlfn.ISFORMULA('Month-End'!$CM$16))))),1,0)</f>
        <v/>
      </c>
      <c r="CW94">
        <f>IF(AND($E94&lt;&gt;"pre",AND(Settings!$A$29&lt;&gt;"",Settings!$E$29&lt;&gt;"No"),Settings!$F$29="Yes",NOT(AND('Month-End'!$CM$17&lt;&gt;"",NOT(_xlfn.ISFORMULA('Month-End'!$CM$17))))),1,0)</f>
        <v/>
      </c>
      <c r="CX94">
        <f>IF(AND($E94&lt;&gt;"pre",AND(Settings!$A$30&lt;&gt;"",Settings!$E$30&lt;&gt;"No"),Settings!$F$30="Yes",NOT(AND('Month-End'!$CM$18&lt;&gt;"",NOT(_xlfn.ISFORMULA('Month-End'!$CM$18))))),1,0)</f>
        <v/>
      </c>
      <c r="CY94">
        <f>IF(AND($E94&lt;&gt;"pre",AND(Settings!$A$31&lt;&gt;"",Settings!$E$31&lt;&gt;"No"),Settings!$F$31="Yes",NOT(AND('Month-End'!$CM$19&lt;&gt;"",NOT(_xlfn.ISFORMULA('Month-End'!$CM$19))))),1,0)</f>
        <v/>
      </c>
      <c r="CZ94">
        <f>IF(AND($E94&lt;&gt;"pre",AND(Settings!$A$32&lt;&gt;"",Settings!$E$32&lt;&gt;"No"),Settings!$F$32="Yes",NOT(AND('Month-End'!$CM$20&lt;&gt;"",NOT(_xlfn.ISFORMULA('Month-End'!$CM$20))))),1,0)</f>
        <v/>
      </c>
      <c r="DA94">
        <f>IF($DT94=1,IF(OR(Settings!$B$19="Checking",Settings!$B$19="Savings",Settings!$B$19="Cash"),N($AE94),IF(OR(Settings!$B$19="Card",Settings!$B$19="Loan"),-N($AE94),0))+IF(OR(Settings!$B$20="Checking",Settings!$B$20="Savings",Settings!$B$20="Cash"),N($AF94),IF(OR(Settings!$B$20="Card",Settings!$B$20="Loan"),-N($AF94),0))+IF(OR(Settings!$B$21="Checking",Settings!$B$21="Savings",Settings!$B$21="Cash"),N($AG94),IF(OR(Settings!$B$21="Card",Settings!$B$21="Loan"),-N($AG94),0))+IF(OR(Settings!$B$22="Checking",Settings!$B$22="Savings",Settings!$B$22="Cash"),N($AH94),IF(OR(Settings!$B$22="Card",Settings!$B$22="Loan"),-N($AH94),0))+IF(OR(Settings!$B$23="Checking",Settings!$B$23="Savings",Settings!$B$23="Cash"),N($AI94),IF(OR(Settings!$B$23="Card",Settings!$B$23="Loan"),-N($AI94),0))+IF(OR(Settings!$B$24="Checking",Settings!$B$24="Savings",Settings!$B$24="Cash"),N($AJ94),IF(OR(Settings!$B$24="Card",Settings!$B$24="Loan"),-N($AJ94),0))+IF(OR(Settings!$B$25="Checking",Settings!$B$25="Savings",Settings!$B$25="Cash"),N($AK94),IF(OR(Settings!$B$25="Card",Settings!$B$25="Loan"),-N($AK94),0))+IF(OR(Settings!$B$26="Checking",Settings!$B$26="Savings",Settings!$B$26="Cash"),N($AL94),IF(OR(Settings!$B$26="Card",Settings!$B$26="Loan"),-N($AL94),0))+IF(OR(Settings!$B$27="Checking",Settings!$B$27="Savings",Settings!$B$27="Cash"),N($AM94),IF(OR(Settings!$B$27="Card",Settings!$B$27="Loan"),-N($AM94),0))+IF(OR(Settings!$B$28="Checking",Settings!$B$28="Savings",Settings!$B$28="Cash"),N($AN94),IF(OR(Settings!$B$28="Card",Settings!$B$28="Loan"),-N($AN94),0))+IF(OR(Settings!$B$29="Checking",Settings!$B$29="Savings",Settings!$B$29="Cash"),N($AO94),IF(OR(Settings!$B$29="Card",Settings!$B$29="Loan"),-N($AO94),0))+IF(OR(Settings!$B$30="Checking",Settings!$B$30="Savings",Settings!$B$30="Cash"),N($AP94),IF(OR(Settings!$B$30="Card",Settings!$B$30="Loan"),-N($AP94),0))+IF(OR(Settings!$B$31="Checking",Settings!$B$31="Savings",Settings!$B$31="Cash"),N($AQ94),IF(OR(Settings!$B$31="Card",Settings!$B$31="Loan"),-N($AQ94),0))+IF(OR(Settings!$B$32="Checking",Settings!$B$32="Savings",Settings!$B$32="Cash"),N($AR94),IF(OR(Settings!$B$32="Card",Settings!$B$32="Loan"),-N($AR94),0)),"")</f>
        <v/>
      </c>
      <c r="DB94">
        <f>IF($E94="open",$EB$27,IF($E94="post",IF($E93="pre",$EB$27,$DA93),""))</f>
        <v/>
      </c>
      <c r="DC94">
        <f>IF($E94="open",1,IF($E94="post",IF($E93="pre",1,$DT93),0))</f>
        <v/>
      </c>
      <c r="DD94">
        <f>IF(AND($DT94=1,$DC94=1),ROUND($W94-($DA94-$DB94)-$AD94-$AB94,2),"")</f>
        <v/>
      </c>
      <c r="DE94">
        <f>IF('Month-End'!$CM$35="",$BQ94,N('Month-End'!$CM$35))</f>
        <v/>
      </c>
      <c r="DF94">
        <f>N('Month-End'!$CM$36)</f>
        <v/>
      </c>
      <c r="DG94">
        <f>IF($DD94="","",$DD94+$DE94)</f>
        <v/>
      </c>
      <c r="DH94">
        <f>IF($DG94="","",$DG94-$DF94)</f>
        <v/>
      </c>
      <c r="DI94">
        <f>IF(OR($E94="pre",$D94=1),"",N($AS94)+N($AT94)+N($AU94)+N($AV94)+N($AW94)+N($AX94))</f>
        <v/>
      </c>
      <c r="DJ94">
        <f>IF($DT94=1,$DA94+N($DI94),"")</f>
        <v/>
      </c>
      <c r="DK94">
        <f>IF($DD94="","",$W94-$DD94-$AB94)</f>
        <v/>
      </c>
      <c r="DL94">
        <f>IF(AND($E94="post",$DD94&lt;&gt;"",$B94&lt;TODAY()),1,0)</f>
        <v/>
      </c>
      <c r="DM94">
        <f>IF($DL94=1,COUNTIF($DL94:$DL$183,1),0)</f>
        <v/>
      </c>
      <c r="DN94">
        <f>IF($D94=1,"",IF($E94="pre","History only",IF($DT94=1,IF($DD94="","⚠ Previous month missing",IF($DD94&lt;0,"⚠ Check: spending &lt; 0",IF($E94="open","✓ Done (partial)","✓ Done"))),IF($B94&gt;=TODAY(),"In progress","⚠ Needs balances"))))</f>
        <v/>
      </c>
      <c r="DO94">
        <f>YEAR($A94)</f>
        <v/>
      </c>
      <c r="DP94">
        <f>DATE(YEAR($A94),INT((MONTH($A94)-1)/3)*3+1,1)</f>
        <v/>
      </c>
      <c r="DQ94">
        <f>IF(AND($DT94=1,$DD94&lt;&gt;"",$D94=0),ROW(),0)</f>
        <v/>
      </c>
      <c r="DR94">
        <f>IF(AND($E94&lt;&gt;"pre",$B94&lt;TODAY(),$DT94=0),1,0)</f>
        <v/>
      </c>
      <c r="DS94">
        <f>IF($DJ94="",NA(),$DJ94)</f>
        <v/>
      </c>
      <c r="DT94">
        <f>IF(AND($E94&lt;&gt;"pre",$CL94=0,COUNTIFS(Settings!$F$19:$F$32,"Yes",Settings!$A$19:$A$32,"&lt;&gt;",Settings!$E$19:$E$32,"&lt;&gt;No")&gt;0),1,0)</f>
        <v/>
      </c>
      <c r="DU94">
        <f>IF(AND($B94&lt;TODAY(),$S94&gt;0),1,0)</f>
        <v/>
      </c>
      <c r="DV94">
        <f>IF($DU94=1,COUNTIF($DU94:$DU$183,1),0)</f>
        <v/>
      </c>
      <c r="DW94">
        <f>IF(AND(OR(Settings!$B$19="Card",Settings!$B$19="Loan"),AND('Month-End'!$CM$7&lt;&gt;"",NOT(_xlfn.ISFORMULA('Month-End'!$CM$7)))),IF(N('Month-End'!$CM$7)&lt;0,1,0),0)+IF(AND(OR(Settings!$B$20="Card",Settings!$B$20="Loan"),AND('Month-End'!$CM$8&lt;&gt;"",NOT(_xlfn.ISFORMULA('Month-End'!$CM$8)))),IF(N('Month-End'!$CM$8)&lt;0,1,0),0)+IF(AND(OR(Settings!$B$21="Card",Settings!$B$21="Loan"),AND('Month-End'!$CM$9&lt;&gt;"",NOT(_xlfn.ISFORMULA('Month-End'!$CM$9)))),IF(N('Month-End'!$CM$9)&lt;0,1,0),0)+IF(AND(OR(Settings!$B$22="Card",Settings!$B$22="Loan"),AND('Month-End'!$CM$10&lt;&gt;"",NOT(_xlfn.ISFORMULA('Month-End'!$CM$10)))),IF(N('Month-End'!$CM$10)&lt;0,1,0),0)+IF(AND(OR(Settings!$B$23="Card",Settings!$B$23="Loan"),AND('Month-End'!$CM$11&lt;&gt;"",NOT(_xlfn.ISFORMULA('Month-End'!$CM$11)))),IF(N('Month-End'!$CM$11)&lt;0,1,0),0)+IF(AND(OR(Settings!$B$24="Card",Settings!$B$24="Loan"),AND('Month-End'!$CM$12&lt;&gt;"",NOT(_xlfn.ISFORMULA('Month-End'!$CM$12)))),IF(N('Month-End'!$CM$12)&lt;0,1,0),0)+IF(AND(OR(Settings!$B$25="Card",Settings!$B$25="Loan"),AND('Month-End'!$CM$13&lt;&gt;"",NOT(_xlfn.ISFORMULA('Month-End'!$CM$13)))),IF(N('Month-End'!$CM$13)&lt;0,1,0),0)+IF(AND(OR(Settings!$B$26="Card",Settings!$B$26="Loan"),AND('Month-End'!$CM$14&lt;&gt;"",NOT(_xlfn.ISFORMULA('Month-End'!$CM$14)))),IF(N('Month-End'!$CM$14)&lt;0,1,0),0)+IF(AND(OR(Settings!$B$27="Card",Settings!$B$27="Loan"),AND('Month-End'!$CM$15&lt;&gt;"",NOT(_xlfn.ISFORMULA('Month-End'!$CM$15)))),IF(N('Month-End'!$CM$15)&lt;0,1,0),0)+IF(AND(OR(Settings!$B$28="Card",Settings!$B$28="Loan"),AND('Month-End'!$CM$16&lt;&gt;"",NOT(_xlfn.ISFORMULA('Month-End'!$CM$16)))),IF(N('Month-End'!$CM$16)&lt;0,1,0),0)+IF(AND(OR(Settings!$B$29="Card",Settings!$B$29="Loan"),AND('Month-End'!$CM$17&lt;&gt;"",NOT(_xlfn.ISFORMULA('Month-End'!$CM$17)))),IF(N('Month-End'!$CM$17)&lt;0,1,0),0)+IF(AND(OR(Settings!$B$30="Card",Settings!$B$30="Loan"),AND('Month-End'!$CM$18&lt;&gt;"",NOT(_xlfn.ISFORMULA('Month-End'!$CM$18)))),IF(N('Month-End'!$CM$18)&lt;0,1,0),0)+IF(AND(OR(Settings!$B$31="Card",Settings!$B$31="Loan"),AND('Month-End'!$CM$19&lt;&gt;"",NOT(_xlfn.ISFORMULA('Month-End'!$CM$19)))),IF(N('Month-End'!$CM$19)&lt;0,1,0),0)+IF(AND(OR(Settings!$B$32="Card",Settings!$B$32="Loan"),AND('Month-End'!$CM$20&lt;&gt;"",NOT(_xlfn.ISFORMULA('Month-End'!$CM$20)))),IF(N('Month-End'!$CM$20)&lt;0,1,0),0)</f>
        <v/>
      </c>
      <c r="DX94">
        <f>IF(Settings!$B$36="Retirement",$AY94,0)+IF(Settings!$B$37="Retirement",$AZ94,0)+IF(Settings!$B$38="Retirement",$BA94,0)+IF(Settings!$B$39="Retirement",$BB94,0)+IF(Settings!$B$40="Retirement",$BC94,0)+IF(Settings!$B$41="Retirement",$BD94,0)</f>
        <v/>
      </c>
      <c r="EA94" t="inlineStr">
        <is>
          <t>Health checks</t>
        </is>
      </c>
      <c r="ET94">
        <f>IF($E94&lt;&gt;"open",0,IF(AND('Month-End'!$CM$22&lt;&gt;"",NOT(_xlfn.ISFORMULA('Month-End'!$CM$22))),0,IF(OR(Settings!$C$45="",Settings!$D$45=""),0,Settings!$C$45*IF(Settings!$D$45="Weekly",IF(IFERROR(MATCH(Settings!$E$45,$EO$4:$EO$10,0),0)=0,0,IF(MIN(Settings!$B$5,IF(Settings!$G$45="",Settings!$B$5,Settings!$G$45))&lt;MAX($A94,Settings!$F$45),0,INT((MIN(Settings!$B$5,IF(Settings!$G$45="",Settings!$B$5,Settings!$G$45))-MAX($A94,Settings!$F$45)-MOD(IFERROR(MATCH(Settings!$E$45,$EO$4:$EO$10,0),0)-WEEKDAY(MAX($A94,Settings!$F$45)),7))/7)+1)),IF(AND(IF(Settings!$E$45="",$B94,DATE(YEAR($A94),MONTH($A94),MIN(Settings!$E$45,DAY($B94))))&gt;=MAX($A94,Settings!$F$45),IF(Settings!$E$45="",$B94,DATE(YEAR($A94),MONTH($A94),MIN(Settings!$E$45,DAY($B94))))&lt;=MIN(Settings!$B$5,IF(Settings!$G$45="",Settings!$B$5,Settings!$G$45))),1,0)))))</f>
        <v/>
      </c>
      <c r="EU94">
        <f>IF($E94&lt;&gt;"open",0,IF(AND('Month-End'!$CM$23&lt;&gt;"",NOT(_xlfn.ISFORMULA('Month-End'!$CM$23))),0,IF(OR(Settings!$C$46="",Settings!$D$46=""),0,Settings!$C$46*IF(Settings!$D$46="Weekly",IF(IFERROR(MATCH(Settings!$E$46,$EO$4:$EO$10,0),0)=0,0,IF(MIN(Settings!$B$5,IF(Settings!$G$46="",Settings!$B$5,Settings!$G$46))&lt;MAX($A94,Settings!$F$46),0,INT((MIN(Settings!$B$5,IF(Settings!$G$46="",Settings!$B$5,Settings!$G$46))-MAX($A94,Settings!$F$46)-MOD(IFERROR(MATCH(Settings!$E$46,$EO$4:$EO$10,0),0)-WEEKDAY(MAX($A94,Settings!$F$46)),7))/7)+1)),IF(AND(IF(Settings!$E$46="",$B94,DATE(YEAR($A94),MONTH($A94),MIN(Settings!$E$46,DAY($B94))))&gt;=MAX($A94,Settings!$F$46),IF(Settings!$E$46="",$B94,DATE(YEAR($A94),MONTH($A94),MIN(Settings!$E$46,DAY($B94))))&lt;=MIN(Settings!$B$5,IF(Settings!$G$46="",Settings!$B$5,Settings!$G$46))),1,0)))))</f>
        <v/>
      </c>
      <c r="EV94">
        <f>IF($E94&lt;&gt;"open",0,IF(AND('Month-End'!$CM$24&lt;&gt;"",NOT(_xlfn.ISFORMULA('Month-End'!$CM$24))),0,IF(OR(Settings!$C$47="",Settings!$D$47=""),0,Settings!$C$47*IF(Settings!$D$47="Weekly",IF(IFERROR(MATCH(Settings!$E$47,$EO$4:$EO$10,0),0)=0,0,IF(MIN(Settings!$B$5,IF(Settings!$G$47="",Settings!$B$5,Settings!$G$47))&lt;MAX($A94,Settings!$F$47),0,INT((MIN(Settings!$B$5,IF(Settings!$G$47="",Settings!$B$5,Settings!$G$47))-MAX($A94,Settings!$F$47)-MOD(IFERROR(MATCH(Settings!$E$47,$EO$4:$EO$10,0),0)-WEEKDAY(MAX($A94,Settings!$F$47)),7))/7)+1)),IF(AND(IF(Settings!$E$47="",$B94,DATE(YEAR($A94),MONTH($A94),MIN(Settings!$E$47,DAY($B94))))&gt;=MAX($A94,Settings!$F$47),IF(Settings!$E$47="",$B94,DATE(YEAR($A94),MONTH($A94),MIN(Settings!$E$47,DAY($B94))))&lt;=MIN(Settings!$B$5,IF(Settings!$G$47="",Settings!$B$5,Settings!$G$47))),1,0)))))</f>
        <v/>
      </c>
      <c r="EW94">
        <f>IF($E94&lt;&gt;"open",0,IF(AND('Month-End'!$CM$25&lt;&gt;"",NOT(_xlfn.ISFORMULA('Month-End'!$CM$25))),0,IF(OR(Settings!$C$48="",Settings!$D$48=""),0,Settings!$C$48*IF(Settings!$D$48="Weekly",IF(IFERROR(MATCH(Settings!$E$48,$EO$4:$EO$10,0),0)=0,0,IF(MIN(Settings!$B$5,IF(Settings!$G$48="",Settings!$B$5,Settings!$G$48))&lt;MAX($A94,Settings!$F$48),0,INT((MIN(Settings!$B$5,IF(Settings!$G$48="",Settings!$B$5,Settings!$G$48))-MAX($A94,Settings!$F$48)-MOD(IFERROR(MATCH(Settings!$E$48,$EO$4:$EO$10,0),0)-WEEKDAY(MAX($A94,Settings!$F$48)),7))/7)+1)),IF(AND(IF(Settings!$E$48="",$B94,DATE(YEAR($A94),MONTH($A94),MIN(Settings!$E$48,DAY($B94))))&gt;=MAX($A94,Settings!$F$48),IF(Settings!$E$48="",$B94,DATE(YEAR($A94),MONTH($A94),MIN(Settings!$E$48,DAY($B94))))&lt;=MIN(Settings!$B$5,IF(Settings!$G$48="",Settings!$B$5,Settings!$G$48))),1,0)))))</f>
        <v/>
      </c>
      <c r="EX94">
        <f>IF($E94&lt;&gt;"open",0,IF(AND('Month-End'!$CM$26&lt;&gt;"",NOT(_xlfn.ISFORMULA('Month-End'!$CM$26))),0,IF(OR(Settings!$C$49="",Settings!$D$49=""),0,Settings!$C$49*IF(Settings!$D$49="Weekly",IF(IFERROR(MATCH(Settings!$E$49,$EO$4:$EO$10,0),0)=0,0,IF(MIN(Settings!$B$5,IF(Settings!$G$49="",Settings!$B$5,Settings!$G$49))&lt;MAX($A94,Settings!$F$49),0,INT((MIN(Settings!$B$5,IF(Settings!$G$49="",Settings!$B$5,Settings!$G$49))-MAX($A94,Settings!$F$49)-MOD(IFERROR(MATCH(Settings!$E$49,$EO$4:$EO$10,0),0)-WEEKDAY(MAX($A94,Settings!$F$49)),7))/7)+1)),IF(AND(IF(Settings!$E$49="",$B94,DATE(YEAR($A94),MONTH($A94),MIN(Settings!$E$49,DAY($B94))))&gt;=MAX($A94,Settings!$F$49),IF(Settings!$E$49="",$B94,DATE(YEAR($A94),MONTH($A94),MIN(Settings!$E$49,DAY($B94))))&lt;=MIN(Settings!$B$5,IF(Settings!$G$49="",Settings!$B$5,Settings!$G$49))),1,0)))))</f>
        <v/>
      </c>
      <c r="EY94">
        <f>IF($E94&lt;&gt;"open",0,IF(AND('Month-End'!$CM$27&lt;&gt;"",NOT(_xlfn.ISFORMULA('Month-End'!$CM$27))),0,IF(OR(Settings!$C$50="",Settings!$D$50=""),0,Settings!$C$50*IF(Settings!$D$50="Weekly",IF(IFERROR(MATCH(Settings!$E$50,$EO$4:$EO$10,0),0)=0,0,IF(MIN(Settings!$B$5,IF(Settings!$G$50="",Settings!$B$5,Settings!$G$50))&lt;MAX($A94,Settings!$F$50),0,INT((MIN(Settings!$B$5,IF(Settings!$G$50="",Settings!$B$5,Settings!$G$50))-MAX($A94,Settings!$F$50)-MOD(IFERROR(MATCH(Settings!$E$50,$EO$4:$EO$10,0),0)-WEEKDAY(MAX($A94,Settings!$F$50)),7))/7)+1)),IF(AND(IF(Settings!$E$50="",$B94,DATE(YEAR($A94),MONTH($A94),MIN(Settings!$E$50,DAY($B94))))&gt;=MAX($A94,Settings!$F$50),IF(Settings!$E$50="",$B94,DATE(YEAR($A94),MONTH($A94),MIN(Settings!$E$50,DAY($B94))))&lt;=MIN(Settings!$B$5,IF(Settings!$G$50="",Settings!$B$5,Settings!$G$50))),1,0)))))</f>
        <v/>
      </c>
      <c r="EZ94">
        <f>IF($E94&lt;&gt;"open",0,IF(AND('Month-End'!$CM$28&lt;&gt;"",NOT(_xlfn.ISFORMULA('Month-End'!$CM$28))),0,IF(OR(Settings!$C$51="",Settings!$D$51=""),0,Settings!$C$51*IF(Settings!$D$51="Weekly",IF(IFERROR(MATCH(Settings!$E$51,$EO$4:$EO$10,0),0)=0,0,IF(MIN(Settings!$B$5,IF(Settings!$G$51="",Settings!$B$5,Settings!$G$51))&lt;MAX($A94,Settings!$F$51),0,INT((MIN(Settings!$B$5,IF(Settings!$G$51="",Settings!$B$5,Settings!$G$51))-MAX($A94,Settings!$F$51)-MOD(IFERROR(MATCH(Settings!$E$51,$EO$4:$EO$10,0),0)-WEEKDAY(MAX($A94,Settings!$F$51)),7))/7)+1)),IF(AND(IF(Settings!$E$51="",$B94,DATE(YEAR($A94),MONTH($A94),MIN(Settings!$E$51,DAY($B94))))&gt;=MAX($A94,Settings!$F$51),IF(Settings!$E$51="",$B94,DATE(YEAR($A94),MONTH($A94),MIN(Settings!$E$51,DAY($B94))))&lt;=MIN(Settings!$B$5,IF(Settings!$G$51="",Settings!$B$5,Settings!$G$51))),1,0)))))</f>
        <v/>
      </c>
      <c r="FA94">
        <f>IF($E94&lt;&gt;"open",0,IF(AND('Month-End'!$CM$29&lt;&gt;"",NOT(_xlfn.ISFORMULA('Month-End'!$CM$29))),0,IF(OR(Settings!$C$52="",Settings!$D$52=""),0,Settings!$C$52*IF(Settings!$D$52="Weekly",IF(IFERROR(MATCH(Settings!$E$52,$EO$4:$EO$10,0),0)=0,0,IF(MIN(Settings!$B$5,IF(Settings!$G$52="",Settings!$B$5,Settings!$G$52))&lt;MAX($A94,Settings!$F$52),0,INT((MIN(Settings!$B$5,IF(Settings!$G$52="",Settings!$B$5,Settings!$G$52))-MAX($A94,Settings!$F$52)-MOD(IFERROR(MATCH(Settings!$E$52,$EO$4:$EO$10,0),0)-WEEKDAY(MAX($A94,Settings!$F$52)),7))/7)+1)),IF(AND(IF(Settings!$E$52="",$B94,DATE(YEAR($A94),MONTH($A94),MIN(Settings!$E$52,DAY($B94))))&gt;=MAX($A94,Settings!$F$52),IF(Settings!$E$52="",$B94,DATE(YEAR($A94),MONTH($A94),MIN(Settings!$E$52,DAY($B94))))&lt;=MIN(Settings!$B$5,IF(Settings!$G$52="",Settings!$B$5,Settings!$G$52))),1,0)))))</f>
        <v/>
      </c>
      <c r="FB94">
        <f>IF($E94&lt;&gt;"open",0,IF(AND('Month-End'!$CM$30&lt;&gt;"",NOT(_xlfn.ISFORMULA('Month-End'!$CM$30))),0,IF(OR(Settings!$C$53="",Settings!$D$53=""),0,Settings!$C$53*IF(Settings!$D$53="Weekly",IF(IFERROR(MATCH(Settings!$E$53,$EO$4:$EO$10,0),0)=0,0,IF(MIN(Settings!$B$5,IF(Settings!$G$53="",Settings!$B$5,Settings!$G$53))&lt;MAX($A94,Settings!$F$53),0,INT((MIN(Settings!$B$5,IF(Settings!$G$53="",Settings!$B$5,Settings!$G$53))-MAX($A94,Settings!$F$53)-MOD(IFERROR(MATCH(Settings!$E$53,$EO$4:$EO$10,0),0)-WEEKDAY(MAX($A94,Settings!$F$53)),7))/7)+1)),IF(AND(IF(Settings!$E$53="",$B94,DATE(YEAR($A94),MONTH($A94),MIN(Settings!$E$53,DAY($B94))))&gt;=MAX($A94,Settings!$F$53),IF(Settings!$E$53="",$B94,DATE(YEAR($A94),MONTH($A94),MIN(Settings!$E$53,DAY($B94))))&lt;=MIN(Settings!$B$5,IF(Settings!$G$53="",Settings!$B$5,Settings!$G$53))),1,0)))))</f>
        <v/>
      </c>
      <c r="FC94">
        <f>IF($E94&lt;&gt;"open",0,IF(AND('Month-End'!$CM$31&lt;&gt;"",NOT(_xlfn.ISFORMULA('Month-End'!$CM$31))),0,IF(OR(Settings!$C$54="",Settings!$D$54=""),0,Settings!$C$54*IF(Settings!$D$54="Weekly",IF(IFERROR(MATCH(Settings!$E$54,$EO$4:$EO$10,0),0)=0,0,IF(MIN(Settings!$B$5,IF(Settings!$G$54="",Settings!$B$5,Settings!$G$54))&lt;MAX($A94,Settings!$F$54),0,INT((MIN(Settings!$B$5,IF(Settings!$G$54="",Settings!$B$5,Settings!$G$54))-MAX($A94,Settings!$F$54)-MOD(IFERROR(MATCH(Settings!$E$54,$EO$4:$EO$10,0),0)-WEEKDAY(MAX($A94,Settings!$F$54)),7))/7)+1)),IF(AND(IF(Settings!$E$54="",$B94,DATE(YEAR($A94),MONTH($A94),MIN(Settings!$E$54,DAY($B94))))&gt;=MAX($A94,Settings!$F$54),IF(Settings!$E$54="",$B94,DATE(YEAR($A94),MONTH($A94),MIN(Settings!$E$54,DAY($B94))))&lt;=MIN(Settings!$B$5,IF(Settings!$G$54="",Settings!$B$5,Settings!$G$54))),1,0)))))</f>
        <v/>
      </c>
      <c r="FD94">
        <f>IF($E94&lt;&gt;"open",0,IF(AND('Month-End'!$CM$32&lt;&gt;"",NOT(_xlfn.ISFORMULA('Month-End'!$CM$32))),0,IF(OR(Settings!$C$55="",Settings!$D$55=""),0,Settings!$C$55*IF(Settings!$D$55="Weekly",IF(IFERROR(MATCH(Settings!$E$55,$EO$4:$EO$10,0),0)=0,0,IF(MIN(Settings!$B$5,IF(Settings!$G$55="",Settings!$B$5,Settings!$G$55))&lt;MAX($A94,Settings!$F$55),0,INT((MIN(Settings!$B$5,IF(Settings!$G$55="",Settings!$B$5,Settings!$G$55))-MAX($A94,Settings!$F$55)-MOD(IFERROR(MATCH(Settings!$E$55,$EO$4:$EO$10,0),0)-WEEKDAY(MAX($A94,Settings!$F$55)),7))/7)+1)),IF(AND(IF(Settings!$E$55="",$B94,DATE(YEAR($A94),MONTH($A94),MIN(Settings!$E$55,DAY($B94))))&gt;=MAX($A94,Settings!$F$55),IF(Settings!$E$55="",$B94,DATE(YEAR($A94),MONTH($A94),MIN(Settings!$E$55,DAY($B94))))&lt;=MIN(Settings!$B$5,IF(Settings!$G$55="",Settings!$B$5,Settings!$G$55))),1,0)))))</f>
        <v/>
      </c>
      <c r="FE94">
        <f>IF($E94&lt;&gt;"open",0,IF(AND('Month-End'!$CM$33&lt;&gt;"",NOT(_xlfn.ISFORMULA('Month-End'!$CM$33))),0,IF(OR(Settings!$C$56="",Settings!$D$56=""),0,Settings!$C$56*IF(Settings!$D$56="Weekly",IF(IFERROR(MATCH(Settings!$E$56,$EO$4:$EO$10,0),0)=0,0,IF(MIN(Settings!$B$5,IF(Settings!$G$56="",Settings!$B$5,Settings!$G$56))&lt;MAX($A94,Settings!$F$56),0,INT((MIN(Settings!$B$5,IF(Settings!$G$56="",Settings!$B$5,Settings!$G$56))-MAX($A94,Settings!$F$56)-MOD(IFERROR(MATCH(Settings!$E$56,$EO$4:$EO$10,0),0)-WEEKDAY(MAX($A94,Settings!$F$56)),7))/7)+1)),IF(AND(IF(Settings!$E$56="",$B94,DATE(YEAR($A94),MONTH($A94),MIN(Settings!$E$56,DAY($B94))))&gt;=MAX($A94,Settings!$F$56),IF(Settings!$E$56="",$B94,DATE(YEAR($A94),MONTH($A94),MIN(Settings!$E$56,DAY($B94))))&lt;=MIN(Settings!$B$5,IF(Settings!$G$56="",Settings!$B$5,Settings!$G$56))),1,0)))))</f>
        <v/>
      </c>
      <c r="FF94">
        <f>IF(Settings!$I$45="Yes",$G94,0)+IF(Settings!$I$46="Yes",$H94,0)+IF(Settings!$I$47="Yes",$I94,0)+IF(Settings!$I$48="Yes",$J94,0)+IF(Settings!$I$49="Yes",$K94,0)+IF(Settings!$I$50="Yes",$L94,0)+IF(Settings!$I$51="Yes",$M94,0)+IF(Settings!$I$52="Yes",$N94,0)+IF(Settings!$I$53="Yes",$O94,0)+IF(Settings!$I$54="Yes",$P94,0)+IF(Settings!$I$55="Yes",$Q94,0)+IF(Settings!$I$56="Yes",$R94,0)</f>
        <v/>
      </c>
      <c r="FG94">
        <f>IF(AND(Settings!$I$45="Yes",Settings!$J$45="No"),$G94,0)+IF(AND(Settings!$I$46="Yes",Settings!$J$46="No"),$H94,0)+IF(AND(Settings!$I$47="Yes",Settings!$J$47="No"),$I94,0)+IF(AND(Settings!$I$48="Yes",Settings!$J$48="No"),$J94,0)+IF(AND(Settings!$I$49="Yes",Settings!$J$49="No"),$K94,0)+IF(AND(Settings!$I$50="Yes",Settings!$J$50="No"),$L94,0)+IF(AND(Settings!$I$51="Yes",Settings!$J$51="No"),$M94,0)+IF(AND(Settings!$I$52="Yes",Settings!$J$52="No"),$N94,0)+IF(AND(Settings!$I$53="Yes",Settings!$J$53="No"),$O94,0)+IF(AND(Settings!$I$54="Yes",Settings!$J$54="No"),$P94,0)+IF(AND(Settings!$I$55="Yes",Settings!$J$55="No"),$Q94,0)+IF(AND(Settings!$I$56="Yes",Settings!$J$56="No"),$R94,0)</f>
        <v/>
      </c>
      <c r="FH94">
        <f>SUMIFS(Giving!$B$7:$B$2006,Giving!$A$7:$A$2006,"&gt;="&amp;$A94,Giving!$A$7:$A$2006,"&lt;="&amp;$B94,Giving!$G$7:$G$2006,"Yes")+IF(OR(OR(Settings!$B$60="",Settings!$F$60="No"),Settings!$H$60&lt;&gt;"Yes"),0,Settings!$B$60*IF(AND(IF(Settings!$C$60="",$B94,DATE(YEAR($A94),MONTH($A94),MIN(Settings!$C$60,DAY($B94))))&gt;=MAX($A94,Settings!$D$60),IF(Settings!$C$60="",$B94,DATE(YEAR($A94),MONTH($A94),MIN(Settings!$C$60,DAY($B94))))&lt;=MIN($C94,IF(Settings!$E$60="",$C94,Settings!$E$60))),1,0))+IF(OR(OR(Settings!$B$61="",Settings!$F$61="No"),Settings!$H$61&lt;&gt;"Yes"),0,Settings!$B$61*IF(AND(IF(Settings!$C$61="",$B94,DATE(YEAR($A94),MONTH($A94),MIN(Settings!$C$61,DAY($B94))))&gt;=MAX($A94,Settings!$D$61),IF(Settings!$C$61="",$B94,DATE(YEAR($A94),MONTH($A94),MIN(Settings!$C$61,DAY($B94))))&lt;=MIN($C94,IF(Settings!$E$61="",$C94,Settings!$E$61))),1,0))+IF(OR(OR(Settings!$B$62="",Settings!$F$62="No"),Settings!$H$62&lt;&gt;"Yes"),0,Settings!$B$62*IF(AND(IF(Settings!$C$62="",$B94,DATE(YEAR($A94),MONTH($A94),MIN(Settings!$C$62,DAY($B94))))&gt;=MAX($A94,Settings!$D$62),IF(Settings!$C$62="",$B94,DATE(YEAR($A94),MONTH($A94),MIN(Settings!$C$62,DAY($B94))))&lt;=MIN($C94,IF(Settings!$E$62="",$C94,Settings!$E$62))),1,0))+IF(OR(OR(Settings!$B$63="",Settings!$F$63="No"),Settings!$H$63&lt;&gt;"Yes"),0,Settings!$B$63*IF(AND(IF(Settings!$C$63="",$B94,DATE(YEAR($A94),MONTH($A94),MIN(Settings!$C$63,DAY($B94))))&gt;=MAX($A94,Settings!$D$63),IF(Settings!$C$63="",$B94,DATE(YEAR($A94),MONTH($A94),MIN(Settings!$C$63,DAY($B94))))&lt;=MIN($C94,IF(Settings!$E$63="",$C94,Settings!$E$63))),1,0))+IF(OR(OR(Settings!$B$64="",Settings!$F$64="No"),Settings!$H$64&lt;&gt;"Yes"),0,Settings!$B$64*IF(AND(IF(Settings!$C$64="",$B94,DATE(YEAR($A94),MONTH($A94),MIN(Settings!$C$64,DAY($B94))))&gt;=MAX($A94,Settings!$D$64),IF(Settings!$C$64="",$B94,DATE(YEAR($A94),MONTH($A94),MIN(Settings!$C$64,DAY($B94))))&lt;=MIN($C94,IF(Settings!$E$64="",$C94,Settings!$E$64))),1,0))+IF(OR(OR(Settings!$B$65="",Settings!$F$65="No"),Settings!$H$65&lt;&gt;"Yes"),0,Settings!$B$65*IF(AND(IF(Settings!$C$65="",$B94,DATE(YEAR($A94),MONTH($A94),MIN(Settings!$C$65,DAY($B94))))&gt;=MAX($A94,Settings!$D$65),IF(Settings!$C$65="",$B94,DATE(YEAR($A94),MONTH($A94),MIN(Settings!$C$65,DAY($B94))))&lt;=MIN($C94,IF(Settings!$E$65="",$C94,Settings!$E$65))),1,0))</f>
        <v/>
      </c>
      <c r="FI94">
        <f>IF($DT94=1,IF(OR(Settings!$B$19="Card",Settings!$B$19="Loan"),N($AE94),0)+IF(OR(Settings!$B$20="Card",Settings!$B$20="Loan"),N($AF94),0)+IF(OR(Settings!$B$21="Card",Settings!$B$21="Loan"),N($AG94),0)+IF(OR(Settings!$B$22="Card",Settings!$B$22="Loan"),N($AH94),0)+IF(OR(Settings!$B$23="Card",Settings!$B$23="Loan"),N($AI94),0)+IF(OR(Settings!$B$24="Card",Settings!$B$24="Loan"),N($AJ94),0)+IF(OR(Settings!$B$25="Card",Settings!$B$25="Loan"),N($AK94),0)+IF(OR(Settings!$B$26="Card",Settings!$B$26="Loan"),N($AL94),0)+IF(OR(Settings!$B$27="Card",Settings!$B$27="Loan"),N($AM94),0)+IF(OR(Settings!$B$28="Card",Settings!$B$28="Loan"),N($AN94),0)+IF(OR(Settings!$B$29="Card",Settings!$B$29="Loan"),N($AO94),0)+IF(OR(Settings!$B$30="Card",Settings!$B$30="Loan"),N($AP94),0)+IF(OR(Settings!$B$31="Card",Settings!$B$31="Loan"),N($AQ94),0)+IF(OR(Settings!$B$32="Card",Settings!$B$32="Loan"),N($AR94),0),"")</f>
        <v/>
      </c>
      <c r="FJ94">
        <f>IF($E94="open",$EB$65,IF($E94="post",IF($E93="pre",$EB$65,$FI93),""))</f>
        <v/>
      </c>
      <c r="FK94">
        <f>IF(AND($DT94=1,$DC94=1),IF(ROUND($FI94-$FJ94,2)&gt;0,1,0),0)</f>
        <v/>
      </c>
      <c r="FL94">
        <f>IF($FK94=1,$FL93+1,0)</f>
        <v/>
      </c>
    </row>
    <row r="95">
      <c r="A95">
        <f>'Month-End'!$CN$4</f>
        <v/>
      </c>
      <c r="B95">
        <f>EOMONTH($A95,0)</f>
        <v/>
      </c>
      <c r="C95">
        <f>MIN($B95,TODAY())</f>
        <v/>
      </c>
      <c r="D95">
        <f>IF($A95&gt;TODAY(),1,0)</f>
        <v/>
      </c>
      <c r="E95">
        <f>IF($B95&lt;=Settings!$B$5,"pre",IF($A95&lt;=Settings!$B$5,"open","post"))</f>
        <v/>
      </c>
      <c r="G95">
        <f>IF('Month-End'!$CN$22="",$BE95,N('Month-End'!$CN$22))</f>
        <v/>
      </c>
      <c r="H95">
        <f>IF('Month-End'!$CN$23="",$BF95,N('Month-End'!$CN$23))</f>
        <v/>
      </c>
      <c r="I95">
        <f>IF('Month-End'!$CN$24="",$BG95,N('Month-End'!$CN$24))</f>
        <v/>
      </c>
      <c r="J95">
        <f>IF('Month-End'!$CN$25="",$BH95,N('Month-End'!$CN$25))</f>
        <v/>
      </c>
      <c r="K95">
        <f>IF('Month-End'!$CN$26="",$BI95,N('Month-End'!$CN$26))</f>
        <v/>
      </c>
      <c r="L95">
        <f>IF('Month-End'!$CN$27="",$BJ95,N('Month-End'!$CN$27))</f>
        <v/>
      </c>
      <c r="M95">
        <f>IF('Month-End'!$CN$28="",$BK95,N('Month-End'!$CN$28))</f>
        <v/>
      </c>
      <c r="N95">
        <f>IF('Month-End'!$CN$29="",$BL95,N('Month-End'!$CN$29))</f>
        <v/>
      </c>
      <c r="O95">
        <f>IF('Month-End'!$CN$30="",$BM95,N('Month-End'!$CN$30))</f>
        <v/>
      </c>
      <c r="P95">
        <f>IF('Month-End'!$CN$31="",$BN95,N('Month-End'!$CN$31))</f>
        <v/>
      </c>
      <c r="Q95">
        <f>IF('Month-End'!$CN$32="",$BO95,N('Month-End'!$CN$32))</f>
        <v/>
      </c>
      <c r="R95">
        <f>IF('Month-End'!$CN$33="",$BP95,N('Month-End'!$CN$33))</f>
        <v/>
      </c>
      <c r="S95">
        <f>$G95+$H95+$I95+$J95+$K95+$L95+$M95+$N95+$O95+$P95+$Q95+$R95</f>
        <v/>
      </c>
      <c r="T95">
        <f>IF($B95&lt;Settings!$B$6,0,IF(Settings!$B$45="Yes",$G95,0)+IF(Settings!$B$46="Yes",$H95,0)+IF(Settings!$B$47="Yes",$I95,0)+IF(Settings!$B$48="Yes",$J95,0)+IF(Settings!$B$49="Yes",$K95,0)+IF(Settings!$B$50="Yes",$L95,0)+IF(Settings!$B$51="Yes",$M95,0)+IF(Settings!$B$52="Yes",$N95,0)+IF(Settings!$B$53="Yes",$O95,0)+IF(Settings!$B$54="Yes",$P95,0)+IF(Settings!$B$55="Yes",$Q95,0)+IF(Settings!$B$56="Yes",$R95,0))</f>
        <v/>
      </c>
      <c r="U95">
        <f>IF(Settings!$B$45="Not Sure",$G95,0)+IF(Settings!$B$46="Not Sure",$H95,0)+IF(Settings!$B$47="Not Sure",$I95,0)+IF(Settings!$B$48="Not Sure",$J95,0)+IF(Settings!$B$49="Not Sure",$K95,0)+IF(Settings!$B$50="Not Sure",$L95,0)+IF(Settings!$B$51="Not Sure",$M95,0)+IF(Settings!$B$52="Not Sure",$N95,0)+IF(Settings!$B$53="Not Sure",$O95,0)+IF(Settings!$B$54="Not Sure",$P95,0)+IF(Settings!$B$55="Not Sure",$Q95,0)+IF(Settings!$B$56="Not Sure",$R95,0)</f>
        <v/>
      </c>
      <c r="V95">
        <f>IF($E95="open",SUM($ET95:$FE95)+N(Settings!$B$13),0)</f>
        <v/>
      </c>
      <c r="W95">
        <f>IF($E95="post",$S95,IF($E95="open",$S95-$V95,0))</f>
        <v/>
      </c>
      <c r="X95">
        <f>SUMIFS(Giving!$B$7:$B$2006,Giving!$A$7:$A$2006,"&gt;="&amp;$A95,Giving!$A$7:$A$2006,"&lt;="&amp;$B95,Giving!$E$7:$E$2006,"&lt;&gt;No")</f>
        <v/>
      </c>
      <c r="Y95">
        <f>SUMIFS(Giving!$B$7:$B$2006,Giving!$A$7:$A$2006,"&gt;="&amp;$A95,Giving!$A$7:$A$2006,"&lt;="&amp;$B95,Giving!$E$7:$E$2006,"No")</f>
        <v/>
      </c>
      <c r="Z95">
        <f>IF(OR(Settings!$B$60="",Settings!$F$60="No"),0,Settings!$B$60*IF(AND(IF(Settings!$C$60="",$B95,DATE(YEAR($A95),MONTH($A95),MIN(Settings!$C$60,DAY($B95))))&gt;=MAX($A95,Settings!$D$60),IF(Settings!$C$60="",$B95,DATE(YEAR($A95),MONTH($A95),MIN(Settings!$C$60,DAY($B95))))&lt;=MIN($C95,IF(Settings!$E$60="",$C95,Settings!$E$60))),1,0))+IF(OR(Settings!$B$61="",Settings!$F$61="No"),0,Settings!$B$61*IF(AND(IF(Settings!$C$61="",$B95,DATE(YEAR($A95),MONTH($A95),MIN(Settings!$C$61,DAY($B95))))&gt;=MAX($A95,Settings!$D$61),IF(Settings!$C$61="",$B95,DATE(YEAR($A95),MONTH($A95),MIN(Settings!$C$61,DAY($B95))))&lt;=MIN($C95,IF(Settings!$E$61="",$C95,Settings!$E$61))),1,0))+IF(OR(Settings!$B$62="",Settings!$F$62="No"),0,Settings!$B$62*IF(AND(IF(Settings!$C$62="",$B95,DATE(YEAR($A95),MONTH($A95),MIN(Settings!$C$62,DAY($B95))))&gt;=MAX($A95,Settings!$D$62),IF(Settings!$C$62="",$B95,DATE(YEAR($A95),MONTH($A95),MIN(Settings!$C$62,DAY($B95))))&lt;=MIN($C95,IF(Settings!$E$62="",$C95,Settings!$E$62))),1,0))+IF(OR(Settings!$B$63="",Settings!$F$63="No"),0,Settings!$B$63*IF(AND(IF(Settings!$C$63="",$B95,DATE(YEAR($A95),MONTH($A95),MIN(Settings!$C$63,DAY($B95))))&gt;=MAX($A95,Settings!$D$63),IF(Settings!$C$63="",$B95,DATE(YEAR($A95),MONTH($A95),MIN(Settings!$C$63,DAY($B95))))&lt;=MIN($C95,IF(Settings!$E$63="",$C95,Settings!$E$63))),1,0))+IF(OR(Settings!$B$64="",Settings!$F$64="No"),0,Settings!$B$64*IF(AND(IF(Settings!$C$64="",$B95,DATE(YEAR($A95),MONTH($A95),MIN(Settings!$C$64,DAY($B95))))&gt;=MAX($A95,Settings!$D$64),IF(Settings!$C$64="",$B95,DATE(YEAR($A95),MONTH($A95),MIN(Settings!$C$64,DAY($B95))))&lt;=MIN($C95,IF(Settings!$E$64="",$C95,Settings!$E$64))),1,0))+IF(OR(Settings!$B$65="",Settings!$F$65="No"),0,Settings!$B$65*IF(AND(IF(Settings!$C$65="",$B95,DATE(YEAR($A95),MONTH($A95),MIN(Settings!$C$65,DAY($B95))))&gt;=MAX($A95,Settings!$D$65),IF(Settings!$C$65="",$B95,DATE(YEAR($A95),MONTH($A95),MIN(Settings!$C$65,DAY($B95))))&lt;=MIN($C95,IF(Settings!$E$65="",$C95,Settings!$E$65))),1,0))</f>
        <v/>
      </c>
      <c r="AA95">
        <f>$X95+$Z95</f>
        <v/>
      </c>
      <c r="AB95">
        <f>IF($E95="post",$AA95,IF($E95="open",SUMIFS(Giving!$B$7:$B$2006,Giving!$A$7:$A$2006,"&gt;"&amp;Settings!$B$5,Giving!$A$7:$A$2006,"&lt;="&amp;$B95,Giving!$E$7:$E$2006,"&lt;&gt;No")+IF(OR(Settings!$B$60="",Settings!$F$60="No"),0,Settings!$B$60*IF(AND(IF(Settings!$C$60="",$B95,DATE(YEAR($A95),MONTH($A95),MIN(Settings!$C$60,DAY($B95))))&gt;=MAX($A95,Settings!$D$60,Settings!$B$5+1),IF(Settings!$C$60="",$B95,DATE(YEAR($A95),MONTH($A95),MIN(Settings!$C$60,DAY($B95))))&lt;=MIN($C95,IF(Settings!$E$60="",$C95,Settings!$E$60))),1,0))+IF(OR(Settings!$B$61="",Settings!$F$61="No"),0,Settings!$B$61*IF(AND(IF(Settings!$C$61="",$B95,DATE(YEAR($A95),MONTH($A95),MIN(Settings!$C$61,DAY($B95))))&gt;=MAX($A95,Settings!$D$61,Settings!$B$5+1),IF(Settings!$C$61="",$B95,DATE(YEAR($A95),MONTH($A95),MIN(Settings!$C$61,DAY($B95))))&lt;=MIN($C95,IF(Settings!$E$61="",$C95,Settings!$E$61))),1,0))+IF(OR(Settings!$B$62="",Settings!$F$62="No"),0,Settings!$B$62*IF(AND(IF(Settings!$C$62="",$B95,DATE(YEAR($A95),MONTH($A95),MIN(Settings!$C$62,DAY($B95))))&gt;=MAX($A95,Settings!$D$62,Settings!$B$5+1),IF(Settings!$C$62="",$B95,DATE(YEAR($A95),MONTH($A95),MIN(Settings!$C$62,DAY($B95))))&lt;=MIN($C95,IF(Settings!$E$62="",$C95,Settings!$E$62))),1,0))+IF(OR(Settings!$B$63="",Settings!$F$63="No"),0,Settings!$B$63*IF(AND(IF(Settings!$C$63="",$B95,DATE(YEAR($A95),MONTH($A95),MIN(Settings!$C$63,DAY($B95))))&gt;=MAX($A95,Settings!$D$63,Settings!$B$5+1),IF(Settings!$C$63="",$B95,DATE(YEAR($A95),MONTH($A95),MIN(Settings!$C$63,DAY($B95))))&lt;=MIN($C95,IF(Settings!$E$63="",$C95,Settings!$E$63))),1,0))+IF(OR(Settings!$B$64="",Settings!$F$64="No"),0,Settings!$B$64*IF(AND(IF(Settings!$C$64="",$B95,DATE(YEAR($A95),MONTH($A95),MIN(Settings!$C$64,DAY($B95))))&gt;=MAX($A95,Settings!$D$64,Settings!$B$5+1),IF(Settings!$C$64="",$B95,DATE(YEAR($A95),MONTH($A95),MIN(Settings!$C$64,DAY($B95))))&lt;=MIN($C95,IF(Settings!$E$64="",$C95,Settings!$E$64))),1,0))+IF(OR(Settings!$B$65="",Settings!$F$65="No"),0,Settings!$B$65*IF(AND(IF(Settings!$C$65="",$B95,DATE(YEAR($A95),MONTH($A95),MIN(Settings!$C$65,DAY($B95))))&gt;=MAX($A95,Settings!$D$65,Settings!$B$5+1),IF(Settings!$C$65="",$B95,DATE(YEAR($A95),MONTH($A95),MIN(Settings!$C$65,DAY($B95))))&lt;=MIN($C95,IF(Settings!$E$65="",$C95,Settings!$E$65))),1,0)),0))</f>
        <v/>
      </c>
      <c r="AC95">
        <f>$AY95+$AZ95+$BA95+$BB95+$BC95+$BD95</f>
        <v/>
      </c>
      <c r="AD95">
        <f>$AC95</f>
        <v/>
      </c>
      <c r="AE95">
        <f>IF(OR(Settings!$A$19="",$E95="pre"),"",IF(AND('Month-End'!$CN$7&lt;&gt;"",NOT(_xlfn.ISFORMULA('Month-End'!$CN$7))),N('Month-End'!$CN$7),IF(OR($E95="open",$E94="pre"),N(Settings!$C$19),N($AE94))))</f>
        <v/>
      </c>
      <c r="AF95">
        <f>IF(OR(Settings!$A$20="",$E95="pre"),"",IF(AND('Month-End'!$CN$8&lt;&gt;"",NOT(_xlfn.ISFORMULA('Month-End'!$CN$8))),N('Month-End'!$CN$8),IF(OR($E95="open",$E94="pre"),N(Settings!$C$20),N($AF94))))</f>
        <v/>
      </c>
      <c r="AG95">
        <f>IF(OR(Settings!$A$21="",$E95="pre"),"",IF(AND('Month-End'!$CN$9&lt;&gt;"",NOT(_xlfn.ISFORMULA('Month-End'!$CN$9))),N('Month-End'!$CN$9),IF(OR($E95="open",$E94="pre"),N(Settings!$C$21),N($AG94))))</f>
        <v/>
      </c>
      <c r="AH95">
        <f>IF(OR(Settings!$A$22="",$E95="pre"),"",IF(AND('Month-End'!$CN$10&lt;&gt;"",NOT(_xlfn.ISFORMULA('Month-End'!$CN$10))),N('Month-End'!$CN$10),IF(OR($E95="open",$E94="pre"),N(Settings!$C$22),N($AH94))))</f>
        <v/>
      </c>
      <c r="AI95">
        <f>IF(OR(Settings!$A$23="",$E95="pre"),"",IF(AND('Month-End'!$CN$11&lt;&gt;"",NOT(_xlfn.ISFORMULA('Month-End'!$CN$11))),N('Month-End'!$CN$11),IF(OR($E95="open",$E94="pre"),N(Settings!$C$23),N($AI94))))</f>
        <v/>
      </c>
      <c r="AJ95">
        <f>IF(OR(Settings!$A$24="",$E95="pre"),"",IF(AND('Month-End'!$CN$12&lt;&gt;"",NOT(_xlfn.ISFORMULA('Month-End'!$CN$12))),N('Month-End'!$CN$12),IF(OR($E95="open",$E94="pre"),N(Settings!$C$24),N($AJ94))))</f>
        <v/>
      </c>
      <c r="AK95">
        <f>IF(OR(Settings!$A$25="",$E95="pre"),"",IF(AND('Month-End'!$CN$13&lt;&gt;"",NOT(_xlfn.ISFORMULA('Month-End'!$CN$13))),N('Month-End'!$CN$13),IF(OR($E95="open",$E94="pre"),N(Settings!$C$25),N($AK94))))</f>
        <v/>
      </c>
      <c r="AL95">
        <f>IF(OR(Settings!$A$26="",$E95="pre"),"",IF(AND('Month-End'!$CN$14&lt;&gt;"",NOT(_xlfn.ISFORMULA('Month-End'!$CN$14))),N('Month-End'!$CN$14),IF(OR($E95="open",$E94="pre"),N(Settings!$C$26),N($AL94))))</f>
        <v/>
      </c>
      <c r="AM95">
        <f>IF(OR(Settings!$A$27="",$E95="pre"),"",IF(AND('Month-End'!$CN$15&lt;&gt;"",NOT(_xlfn.ISFORMULA('Month-End'!$CN$15))),N('Month-End'!$CN$15),IF(OR($E95="open",$E94="pre"),N(Settings!$C$27),N($AM94))))</f>
        <v/>
      </c>
      <c r="AN95">
        <f>IF(OR(Settings!$A$28="",$E95="pre"),"",IF(AND('Month-End'!$CN$16&lt;&gt;"",NOT(_xlfn.ISFORMULA('Month-End'!$CN$16))),N('Month-End'!$CN$16),IF(OR($E95="open",$E94="pre"),N(Settings!$C$28),N($AN94))))</f>
        <v/>
      </c>
      <c r="AO95">
        <f>IF(OR(Settings!$A$29="",$E95="pre"),"",IF(AND('Month-End'!$CN$17&lt;&gt;"",NOT(_xlfn.ISFORMULA('Month-End'!$CN$17))),N('Month-End'!$CN$17),IF(OR($E95="open",$E94="pre"),N(Settings!$C$29),N($AO94))))</f>
        <v/>
      </c>
      <c r="AP95">
        <f>IF(OR(Settings!$A$30="",$E95="pre"),"",IF(AND('Month-End'!$CN$18&lt;&gt;"",NOT(_xlfn.ISFORMULA('Month-End'!$CN$18))),N('Month-End'!$CN$18),IF(OR($E95="open",$E94="pre"),N(Settings!$C$30),N($AP94))))</f>
        <v/>
      </c>
      <c r="AQ95">
        <f>IF(OR(Settings!$A$31="",$E95="pre"),"",IF(AND('Month-End'!$CN$19&lt;&gt;"",NOT(_xlfn.ISFORMULA('Month-End'!$CN$19))),N('Month-End'!$CN$19),IF(OR($E95="open",$E94="pre"),N(Settings!$C$31),N($AQ94))))</f>
        <v/>
      </c>
      <c r="AR95">
        <f>IF(OR(Settings!$A$32="",$E95="pre"),"",IF(AND('Month-End'!$CN$20&lt;&gt;"",NOT(_xlfn.ISFORMULA('Month-End'!$CN$20))),N('Month-End'!$CN$20),IF(OR($E95="open",$E94="pre"),N(Settings!$C$32),N($AR94))))</f>
        <v/>
      </c>
      <c r="AS95">
        <f>IF(OR(Settings!$A$36="",$E95="pre"),"",IF(AND('Month-End'!$CN$38&lt;&gt;"",NOT(_xlfn.ISFORMULA('Month-End'!$CN$38))),N('Month-End'!$CN$38),IF(OR($E95="open",$E94="pre"),N(Settings!$C$36),N($AS94))+$AY95))</f>
        <v/>
      </c>
      <c r="AT95">
        <f>IF(OR(Settings!$A$37="",$E95="pre"),"",IF(AND('Month-End'!$CN$39&lt;&gt;"",NOT(_xlfn.ISFORMULA('Month-End'!$CN$39))),N('Month-End'!$CN$39),IF(OR($E95="open",$E94="pre"),N(Settings!$C$37),N($AT94))+$AZ95))</f>
        <v/>
      </c>
      <c r="AU95">
        <f>IF(OR(Settings!$A$38="",$E95="pre"),"",IF(AND('Month-End'!$CN$40&lt;&gt;"",NOT(_xlfn.ISFORMULA('Month-End'!$CN$40))),N('Month-End'!$CN$40),IF(OR($E95="open",$E94="pre"),N(Settings!$C$38),N($AU94))+$BA95))</f>
        <v/>
      </c>
      <c r="AV95">
        <f>IF(OR(Settings!$A$39="",$E95="pre"),"",IF(AND('Month-End'!$CN$41&lt;&gt;"",NOT(_xlfn.ISFORMULA('Month-End'!$CN$41))),N('Month-End'!$CN$41),IF(OR($E95="open",$E94="pre"),N(Settings!$C$39),N($AV94))+$BB95))</f>
        <v/>
      </c>
      <c r="AW95">
        <f>IF(OR(Settings!$A$40="",$E95="pre"),"",IF(AND('Month-End'!$CN$42&lt;&gt;"",NOT(_xlfn.ISFORMULA('Month-End'!$CN$42))),N('Month-End'!$CN$42),IF(OR($E95="open",$E94="pre"),N(Settings!$C$40),N($AW94))+$BC95))</f>
        <v/>
      </c>
      <c r="AX95">
        <f>IF(OR(Settings!$A$41="",$E95="pre"),"",IF(AND('Month-End'!$CN$43&lt;&gt;"",NOT(_xlfn.ISFORMULA('Month-End'!$CN$43))),N('Month-End'!$CN$43),IF(OR($E95="open",$E94="pre"),N(Settings!$C$41),N($AX94))+$BD95))</f>
        <v/>
      </c>
      <c r="AY95">
        <f>IF($E95="pre",0,N('Month-End'!$CN$45))</f>
        <v/>
      </c>
      <c r="AZ95">
        <f>IF($E95="pre",0,N('Month-End'!$CN$46))</f>
        <v/>
      </c>
      <c r="BA95">
        <f>IF($E95="pre",0,N('Month-End'!$CN$47))</f>
        <v/>
      </c>
      <c r="BB95">
        <f>IF($E95="pre",0,N('Month-End'!$CN$48))</f>
        <v/>
      </c>
      <c r="BC95">
        <f>IF($E95="pre",0,N('Month-End'!$CN$49))</f>
        <v/>
      </c>
      <c r="BD95">
        <f>IF($E95="pre",0,N('Month-End'!$CN$50))</f>
        <v/>
      </c>
      <c r="BE95">
        <f>IF(OR(Settings!$C$45="",Settings!$D$45=""),0,Settings!$C$45*IF(Settings!$D$45="Weekly",IF(IFERROR(MATCH(Settings!$E$45,$EO$4:$EO$10,0),0)=0,0,IF(MIN($C95,IF(Settings!$G$45="",$C95,Settings!$G$45))&lt;MAX($A95,Settings!$F$45),0,INT((MIN($C95,IF(Settings!$G$45="",$C95,Settings!$G$45))-MAX($A95,Settings!$F$45)-MOD(IFERROR(MATCH(Settings!$E$45,$EO$4:$EO$10,0),0)-WEEKDAY(MAX($A95,Settings!$F$45)),7))/7)+1)),IF(AND(IF(Settings!$E$45="",$B95,DATE(YEAR($A95),MONTH($A95),MIN(Settings!$E$45,DAY($B95))))&gt;=MAX($A95,Settings!$F$45),IF(Settings!$E$45="",$B95,DATE(YEAR($A95),MONTH($A95),MIN(Settings!$E$45,DAY($B95))))&lt;=MIN($C95,IF(Settings!$G$45="",$C95,Settings!$G$45))),1,0)))</f>
        <v/>
      </c>
      <c r="BF95">
        <f>IF(OR(Settings!$C$46="",Settings!$D$46=""),0,Settings!$C$46*IF(Settings!$D$46="Weekly",IF(IFERROR(MATCH(Settings!$E$46,$EO$4:$EO$10,0),0)=0,0,IF(MIN($C95,IF(Settings!$G$46="",$C95,Settings!$G$46))&lt;MAX($A95,Settings!$F$46),0,INT((MIN($C95,IF(Settings!$G$46="",$C95,Settings!$G$46))-MAX($A95,Settings!$F$46)-MOD(IFERROR(MATCH(Settings!$E$46,$EO$4:$EO$10,0),0)-WEEKDAY(MAX($A95,Settings!$F$46)),7))/7)+1)),IF(AND(IF(Settings!$E$46="",$B95,DATE(YEAR($A95),MONTH($A95),MIN(Settings!$E$46,DAY($B95))))&gt;=MAX($A95,Settings!$F$46),IF(Settings!$E$46="",$B95,DATE(YEAR($A95),MONTH($A95),MIN(Settings!$E$46,DAY($B95))))&lt;=MIN($C95,IF(Settings!$G$46="",$C95,Settings!$G$46))),1,0)))</f>
        <v/>
      </c>
      <c r="BG95">
        <f>IF(OR(Settings!$C$47="",Settings!$D$47=""),0,Settings!$C$47*IF(Settings!$D$47="Weekly",IF(IFERROR(MATCH(Settings!$E$47,$EO$4:$EO$10,0),0)=0,0,IF(MIN($C95,IF(Settings!$G$47="",$C95,Settings!$G$47))&lt;MAX($A95,Settings!$F$47),0,INT((MIN($C95,IF(Settings!$G$47="",$C95,Settings!$G$47))-MAX($A95,Settings!$F$47)-MOD(IFERROR(MATCH(Settings!$E$47,$EO$4:$EO$10,0),0)-WEEKDAY(MAX($A95,Settings!$F$47)),7))/7)+1)),IF(AND(IF(Settings!$E$47="",$B95,DATE(YEAR($A95),MONTH($A95),MIN(Settings!$E$47,DAY($B95))))&gt;=MAX($A95,Settings!$F$47),IF(Settings!$E$47="",$B95,DATE(YEAR($A95),MONTH($A95),MIN(Settings!$E$47,DAY($B95))))&lt;=MIN($C95,IF(Settings!$G$47="",$C95,Settings!$G$47))),1,0)))</f>
        <v/>
      </c>
      <c r="BH95">
        <f>IF(OR(Settings!$C$48="",Settings!$D$48=""),0,Settings!$C$48*IF(Settings!$D$48="Weekly",IF(IFERROR(MATCH(Settings!$E$48,$EO$4:$EO$10,0),0)=0,0,IF(MIN($C95,IF(Settings!$G$48="",$C95,Settings!$G$48))&lt;MAX($A95,Settings!$F$48),0,INT((MIN($C95,IF(Settings!$G$48="",$C95,Settings!$G$48))-MAX($A95,Settings!$F$48)-MOD(IFERROR(MATCH(Settings!$E$48,$EO$4:$EO$10,0),0)-WEEKDAY(MAX($A95,Settings!$F$48)),7))/7)+1)),IF(AND(IF(Settings!$E$48="",$B95,DATE(YEAR($A95),MONTH($A95),MIN(Settings!$E$48,DAY($B95))))&gt;=MAX($A95,Settings!$F$48),IF(Settings!$E$48="",$B95,DATE(YEAR($A95),MONTH($A95),MIN(Settings!$E$48,DAY($B95))))&lt;=MIN($C95,IF(Settings!$G$48="",$C95,Settings!$G$48))),1,0)))</f>
        <v/>
      </c>
      <c r="BI95">
        <f>IF(OR(Settings!$C$49="",Settings!$D$49=""),0,Settings!$C$49*IF(Settings!$D$49="Weekly",IF(IFERROR(MATCH(Settings!$E$49,$EO$4:$EO$10,0),0)=0,0,IF(MIN($C95,IF(Settings!$G$49="",$C95,Settings!$G$49))&lt;MAX($A95,Settings!$F$49),0,INT((MIN($C95,IF(Settings!$G$49="",$C95,Settings!$G$49))-MAX($A95,Settings!$F$49)-MOD(IFERROR(MATCH(Settings!$E$49,$EO$4:$EO$10,0),0)-WEEKDAY(MAX($A95,Settings!$F$49)),7))/7)+1)),IF(AND(IF(Settings!$E$49="",$B95,DATE(YEAR($A95),MONTH($A95),MIN(Settings!$E$49,DAY($B95))))&gt;=MAX($A95,Settings!$F$49),IF(Settings!$E$49="",$B95,DATE(YEAR($A95),MONTH($A95),MIN(Settings!$E$49,DAY($B95))))&lt;=MIN($C95,IF(Settings!$G$49="",$C95,Settings!$G$49))),1,0)))</f>
        <v/>
      </c>
      <c r="BJ95">
        <f>IF(OR(Settings!$C$50="",Settings!$D$50=""),0,Settings!$C$50*IF(Settings!$D$50="Weekly",IF(IFERROR(MATCH(Settings!$E$50,$EO$4:$EO$10,0),0)=0,0,IF(MIN($C95,IF(Settings!$G$50="",$C95,Settings!$G$50))&lt;MAX($A95,Settings!$F$50),0,INT((MIN($C95,IF(Settings!$G$50="",$C95,Settings!$G$50))-MAX($A95,Settings!$F$50)-MOD(IFERROR(MATCH(Settings!$E$50,$EO$4:$EO$10,0),0)-WEEKDAY(MAX($A95,Settings!$F$50)),7))/7)+1)),IF(AND(IF(Settings!$E$50="",$B95,DATE(YEAR($A95),MONTH($A95),MIN(Settings!$E$50,DAY($B95))))&gt;=MAX($A95,Settings!$F$50),IF(Settings!$E$50="",$B95,DATE(YEAR($A95),MONTH($A95),MIN(Settings!$E$50,DAY($B95))))&lt;=MIN($C95,IF(Settings!$G$50="",$C95,Settings!$G$50))),1,0)))</f>
        <v/>
      </c>
      <c r="BK95">
        <f>IF(OR(Settings!$C$51="",Settings!$D$51=""),0,Settings!$C$51*IF(Settings!$D$51="Weekly",IF(IFERROR(MATCH(Settings!$E$51,$EO$4:$EO$10,0),0)=0,0,IF(MIN($C95,IF(Settings!$G$51="",$C95,Settings!$G$51))&lt;MAX($A95,Settings!$F$51),0,INT((MIN($C95,IF(Settings!$G$51="",$C95,Settings!$G$51))-MAX($A95,Settings!$F$51)-MOD(IFERROR(MATCH(Settings!$E$51,$EO$4:$EO$10,0),0)-WEEKDAY(MAX($A95,Settings!$F$51)),7))/7)+1)),IF(AND(IF(Settings!$E$51="",$B95,DATE(YEAR($A95),MONTH($A95),MIN(Settings!$E$51,DAY($B95))))&gt;=MAX($A95,Settings!$F$51),IF(Settings!$E$51="",$B95,DATE(YEAR($A95),MONTH($A95),MIN(Settings!$E$51,DAY($B95))))&lt;=MIN($C95,IF(Settings!$G$51="",$C95,Settings!$G$51))),1,0)))</f>
        <v/>
      </c>
      <c r="BL95">
        <f>IF(OR(Settings!$C$52="",Settings!$D$52=""),0,Settings!$C$52*IF(Settings!$D$52="Weekly",IF(IFERROR(MATCH(Settings!$E$52,$EO$4:$EO$10,0),0)=0,0,IF(MIN($C95,IF(Settings!$G$52="",$C95,Settings!$G$52))&lt;MAX($A95,Settings!$F$52),0,INT((MIN($C95,IF(Settings!$G$52="",$C95,Settings!$G$52))-MAX($A95,Settings!$F$52)-MOD(IFERROR(MATCH(Settings!$E$52,$EO$4:$EO$10,0),0)-WEEKDAY(MAX($A95,Settings!$F$52)),7))/7)+1)),IF(AND(IF(Settings!$E$52="",$B95,DATE(YEAR($A95),MONTH($A95),MIN(Settings!$E$52,DAY($B95))))&gt;=MAX($A95,Settings!$F$52),IF(Settings!$E$52="",$B95,DATE(YEAR($A95),MONTH($A95),MIN(Settings!$E$52,DAY($B95))))&lt;=MIN($C95,IF(Settings!$G$52="",$C95,Settings!$G$52))),1,0)))</f>
        <v/>
      </c>
      <c r="BM95">
        <f>IF(OR(Settings!$C$53="",Settings!$D$53=""),0,Settings!$C$53*IF(Settings!$D$53="Weekly",IF(IFERROR(MATCH(Settings!$E$53,$EO$4:$EO$10,0),0)=0,0,IF(MIN($C95,IF(Settings!$G$53="",$C95,Settings!$G$53))&lt;MAX($A95,Settings!$F$53),0,INT((MIN($C95,IF(Settings!$G$53="",$C95,Settings!$G$53))-MAX($A95,Settings!$F$53)-MOD(IFERROR(MATCH(Settings!$E$53,$EO$4:$EO$10,0),0)-WEEKDAY(MAX($A95,Settings!$F$53)),7))/7)+1)),IF(AND(IF(Settings!$E$53="",$B95,DATE(YEAR($A95),MONTH($A95),MIN(Settings!$E$53,DAY($B95))))&gt;=MAX($A95,Settings!$F$53),IF(Settings!$E$53="",$B95,DATE(YEAR($A95),MONTH($A95),MIN(Settings!$E$53,DAY($B95))))&lt;=MIN($C95,IF(Settings!$G$53="",$C95,Settings!$G$53))),1,0)))</f>
        <v/>
      </c>
      <c r="BN95">
        <f>IF(OR(Settings!$C$54="",Settings!$D$54=""),0,Settings!$C$54*IF(Settings!$D$54="Weekly",IF(IFERROR(MATCH(Settings!$E$54,$EO$4:$EO$10,0),0)=0,0,IF(MIN($C95,IF(Settings!$G$54="",$C95,Settings!$G$54))&lt;MAX($A95,Settings!$F$54),0,INT((MIN($C95,IF(Settings!$G$54="",$C95,Settings!$G$54))-MAX($A95,Settings!$F$54)-MOD(IFERROR(MATCH(Settings!$E$54,$EO$4:$EO$10,0),0)-WEEKDAY(MAX($A95,Settings!$F$54)),7))/7)+1)),IF(AND(IF(Settings!$E$54="",$B95,DATE(YEAR($A95),MONTH($A95),MIN(Settings!$E$54,DAY($B95))))&gt;=MAX($A95,Settings!$F$54),IF(Settings!$E$54="",$B95,DATE(YEAR($A95),MONTH($A95),MIN(Settings!$E$54,DAY($B95))))&lt;=MIN($C95,IF(Settings!$G$54="",$C95,Settings!$G$54))),1,0)))</f>
        <v/>
      </c>
      <c r="BO95">
        <f>IF(OR(Settings!$C$55="",Settings!$D$55=""),0,Settings!$C$55*IF(Settings!$D$55="Weekly",IF(IFERROR(MATCH(Settings!$E$55,$EO$4:$EO$10,0),0)=0,0,IF(MIN($C95,IF(Settings!$G$55="",$C95,Settings!$G$55))&lt;MAX($A95,Settings!$F$55),0,INT((MIN($C95,IF(Settings!$G$55="",$C95,Settings!$G$55))-MAX($A95,Settings!$F$55)-MOD(IFERROR(MATCH(Settings!$E$55,$EO$4:$EO$10,0),0)-WEEKDAY(MAX($A95,Settings!$F$55)),7))/7)+1)),IF(AND(IF(Settings!$E$55="",$B95,DATE(YEAR($A95),MONTH($A95),MIN(Settings!$E$55,DAY($B95))))&gt;=MAX($A95,Settings!$F$55),IF(Settings!$E$55="",$B95,DATE(YEAR($A95),MONTH($A95),MIN(Settings!$E$55,DAY($B95))))&lt;=MIN($C95,IF(Settings!$G$55="",$C95,Settings!$G$55))),1,0)))</f>
        <v/>
      </c>
      <c r="BP95">
        <f>IF(OR(Settings!$C$56="",Settings!$D$56=""),0,Settings!$C$56*IF(Settings!$D$56="Weekly",IF(IFERROR(MATCH(Settings!$E$56,$EO$4:$EO$10,0),0)=0,0,IF(MIN($C95,IF(Settings!$G$56="",$C95,Settings!$G$56))&lt;MAX($A95,Settings!$F$56),0,INT((MIN($C95,IF(Settings!$G$56="",$C95,Settings!$G$56))-MAX($A95,Settings!$F$56)-MOD(IFERROR(MATCH(Settings!$E$56,$EO$4:$EO$10,0),0)-WEEKDAY(MAX($A95,Settings!$F$56)),7))/7)+1)),IF(AND(IF(Settings!$E$56="",$B95,DATE(YEAR($A95),MONTH($A95),MIN(Settings!$E$56,DAY($B95))))&gt;=MAX($A95,Settings!$F$56),IF(Settings!$E$56="",$B95,DATE(YEAR($A95),MONTH($A95),MIN(Settings!$E$56,DAY($B95))))&lt;=MIN($C95,IF(Settings!$G$56="",$C95,Settings!$G$56))),1,0)))</f>
        <v/>
      </c>
      <c r="BQ95">
        <f>IF(OR(Settings!$B$14="",$D95=1,$E95="pre",$A95&lt;IF(Settings!$B$15="",0,Settings!$B$15)),0,Settings!$B$14)</f>
        <v/>
      </c>
      <c r="BR95">
        <f>IF(AND('Month-End'!$CN$7&lt;&gt;"",NOT(_xlfn.ISFORMULA('Month-End'!$CN$7))),1,0)</f>
        <v/>
      </c>
      <c r="BS95">
        <f>IF(AND('Month-End'!$CN$8&lt;&gt;"",NOT(_xlfn.ISFORMULA('Month-End'!$CN$8))),1,0)</f>
        <v/>
      </c>
      <c r="BT95">
        <f>IF(AND('Month-End'!$CN$9&lt;&gt;"",NOT(_xlfn.ISFORMULA('Month-End'!$CN$9))),1,0)</f>
        <v/>
      </c>
      <c r="BU95">
        <f>IF(AND('Month-End'!$CN$10&lt;&gt;"",NOT(_xlfn.ISFORMULA('Month-End'!$CN$10))),1,0)</f>
        <v/>
      </c>
      <c r="BV95">
        <f>IF(AND('Month-End'!$CN$11&lt;&gt;"",NOT(_xlfn.ISFORMULA('Month-End'!$CN$11))),1,0)</f>
        <v/>
      </c>
      <c r="BW95">
        <f>IF(AND('Month-End'!$CN$12&lt;&gt;"",NOT(_xlfn.ISFORMULA('Month-End'!$CN$12))),1,0)</f>
        <v/>
      </c>
      <c r="BX95">
        <f>IF(AND('Month-End'!$CN$13&lt;&gt;"",NOT(_xlfn.ISFORMULA('Month-End'!$CN$13))),1,0)</f>
        <v/>
      </c>
      <c r="BY95">
        <f>IF(AND('Month-End'!$CN$14&lt;&gt;"",NOT(_xlfn.ISFORMULA('Month-End'!$CN$14))),1,0)</f>
        <v/>
      </c>
      <c r="BZ95">
        <f>IF(AND('Month-End'!$CN$15&lt;&gt;"",NOT(_xlfn.ISFORMULA('Month-End'!$CN$15))),1,0)</f>
        <v/>
      </c>
      <c r="CA95">
        <f>IF(AND('Month-End'!$CN$16&lt;&gt;"",NOT(_xlfn.ISFORMULA('Month-End'!$CN$16))),1,0)</f>
        <v/>
      </c>
      <c r="CB95">
        <f>IF(AND('Month-End'!$CN$17&lt;&gt;"",NOT(_xlfn.ISFORMULA('Month-End'!$CN$17))),1,0)</f>
        <v/>
      </c>
      <c r="CC95">
        <f>IF(AND('Month-End'!$CN$18&lt;&gt;"",NOT(_xlfn.ISFORMULA('Month-End'!$CN$18))),1,0)</f>
        <v/>
      </c>
      <c r="CD95">
        <f>IF(AND('Month-End'!$CN$19&lt;&gt;"",NOT(_xlfn.ISFORMULA('Month-End'!$CN$19))),1,0)</f>
        <v/>
      </c>
      <c r="CE95">
        <f>IF(AND('Month-End'!$CN$20&lt;&gt;"",NOT(_xlfn.ISFORMULA('Month-End'!$CN$20))),1,0)</f>
        <v/>
      </c>
      <c r="CF95">
        <f>IF(AND('Month-End'!$CN$38&lt;&gt;"",NOT(_xlfn.ISFORMULA('Month-End'!$CN$38))),1,0)</f>
        <v/>
      </c>
      <c r="CG95">
        <f>IF(AND('Month-End'!$CN$39&lt;&gt;"",NOT(_xlfn.ISFORMULA('Month-End'!$CN$39))),1,0)</f>
        <v/>
      </c>
      <c r="CH95">
        <f>IF(AND('Month-End'!$CN$40&lt;&gt;"",NOT(_xlfn.ISFORMULA('Month-End'!$CN$40))),1,0)</f>
        <v/>
      </c>
      <c r="CI95">
        <f>IF(AND('Month-End'!$CN$41&lt;&gt;"",NOT(_xlfn.ISFORMULA('Month-End'!$CN$41))),1,0)</f>
        <v/>
      </c>
      <c r="CJ95">
        <f>IF(AND('Month-End'!$CN$42&lt;&gt;"",NOT(_xlfn.ISFORMULA('Month-End'!$CN$42))),1,0)</f>
        <v/>
      </c>
      <c r="CK95">
        <f>IF(AND('Month-End'!$CN$43&lt;&gt;"",NOT(_xlfn.ISFORMULA('Month-End'!$CN$43))),1,0)</f>
        <v/>
      </c>
      <c r="CL95">
        <f>SUM($CM95:$CZ95)</f>
        <v/>
      </c>
      <c r="CM95">
        <f>IF(AND($E95&lt;&gt;"pre",AND(Settings!$A$19&lt;&gt;"",Settings!$E$19&lt;&gt;"No"),Settings!$F$19="Yes",NOT(AND('Month-End'!$CN$7&lt;&gt;"",NOT(_xlfn.ISFORMULA('Month-End'!$CN$7))))),1,0)</f>
        <v/>
      </c>
      <c r="CN95">
        <f>IF(AND($E95&lt;&gt;"pre",AND(Settings!$A$20&lt;&gt;"",Settings!$E$20&lt;&gt;"No"),Settings!$F$20="Yes",NOT(AND('Month-End'!$CN$8&lt;&gt;"",NOT(_xlfn.ISFORMULA('Month-End'!$CN$8))))),1,0)</f>
        <v/>
      </c>
      <c r="CO95">
        <f>IF(AND($E95&lt;&gt;"pre",AND(Settings!$A$21&lt;&gt;"",Settings!$E$21&lt;&gt;"No"),Settings!$F$21="Yes",NOT(AND('Month-End'!$CN$9&lt;&gt;"",NOT(_xlfn.ISFORMULA('Month-End'!$CN$9))))),1,0)</f>
        <v/>
      </c>
      <c r="CP95">
        <f>IF(AND($E95&lt;&gt;"pre",AND(Settings!$A$22&lt;&gt;"",Settings!$E$22&lt;&gt;"No"),Settings!$F$22="Yes",NOT(AND('Month-End'!$CN$10&lt;&gt;"",NOT(_xlfn.ISFORMULA('Month-End'!$CN$10))))),1,0)</f>
        <v/>
      </c>
      <c r="CQ95">
        <f>IF(AND($E95&lt;&gt;"pre",AND(Settings!$A$23&lt;&gt;"",Settings!$E$23&lt;&gt;"No"),Settings!$F$23="Yes",NOT(AND('Month-End'!$CN$11&lt;&gt;"",NOT(_xlfn.ISFORMULA('Month-End'!$CN$11))))),1,0)</f>
        <v/>
      </c>
      <c r="CR95">
        <f>IF(AND($E95&lt;&gt;"pre",AND(Settings!$A$24&lt;&gt;"",Settings!$E$24&lt;&gt;"No"),Settings!$F$24="Yes",NOT(AND('Month-End'!$CN$12&lt;&gt;"",NOT(_xlfn.ISFORMULA('Month-End'!$CN$12))))),1,0)</f>
        <v/>
      </c>
      <c r="CS95">
        <f>IF(AND($E95&lt;&gt;"pre",AND(Settings!$A$25&lt;&gt;"",Settings!$E$25&lt;&gt;"No"),Settings!$F$25="Yes",NOT(AND('Month-End'!$CN$13&lt;&gt;"",NOT(_xlfn.ISFORMULA('Month-End'!$CN$13))))),1,0)</f>
        <v/>
      </c>
      <c r="CT95">
        <f>IF(AND($E95&lt;&gt;"pre",AND(Settings!$A$26&lt;&gt;"",Settings!$E$26&lt;&gt;"No"),Settings!$F$26="Yes",NOT(AND('Month-End'!$CN$14&lt;&gt;"",NOT(_xlfn.ISFORMULA('Month-End'!$CN$14))))),1,0)</f>
        <v/>
      </c>
      <c r="CU95">
        <f>IF(AND($E95&lt;&gt;"pre",AND(Settings!$A$27&lt;&gt;"",Settings!$E$27&lt;&gt;"No"),Settings!$F$27="Yes",NOT(AND('Month-End'!$CN$15&lt;&gt;"",NOT(_xlfn.ISFORMULA('Month-End'!$CN$15))))),1,0)</f>
        <v/>
      </c>
      <c r="CV95">
        <f>IF(AND($E95&lt;&gt;"pre",AND(Settings!$A$28&lt;&gt;"",Settings!$E$28&lt;&gt;"No"),Settings!$F$28="Yes",NOT(AND('Month-End'!$CN$16&lt;&gt;"",NOT(_xlfn.ISFORMULA('Month-End'!$CN$16))))),1,0)</f>
        <v/>
      </c>
      <c r="CW95">
        <f>IF(AND($E95&lt;&gt;"pre",AND(Settings!$A$29&lt;&gt;"",Settings!$E$29&lt;&gt;"No"),Settings!$F$29="Yes",NOT(AND('Month-End'!$CN$17&lt;&gt;"",NOT(_xlfn.ISFORMULA('Month-End'!$CN$17))))),1,0)</f>
        <v/>
      </c>
      <c r="CX95">
        <f>IF(AND($E95&lt;&gt;"pre",AND(Settings!$A$30&lt;&gt;"",Settings!$E$30&lt;&gt;"No"),Settings!$F$30="Yes",NOT(AND('Month-End'!$CN$18&lt;&gt;"",NOT(_xlfn.ISFORMULA('Month-End'!$CN$18))))),1,0)</f>
        <v/>
      </c>
      <c r="CY95">
        <f>IF(AND($E95&lt;&gt;"pre",AND(Settings!$A$31&lt;&gt;"",Settings!$E$31&lt;&gt;"No"),Settings!$F$31="Yes",NOT(AND('Month-End'!$CN$19&lt;&gt;"",NOT(_xlfn.ISFORMULA('Month-End'!$CN$19))))),1,0)</f>
        <v/>
      </c>
      <c r="CZ95">
        <f>IF(AND($E95&lt;&gt;"pre",AND(Settings!$A$32&lt;&gt;"",Settings!$E$32&lt;&gt;"No"),Settings!$F$32="Yes",NOT(AND('Month-End'!$CN$20&lt;&gt;"",NOT(_xlfn.ISFORMULA('Month-End'!$CN$20))))),1,0)</f>
        <v/>
      </c>
      <c r="DA95">
        <f>IF($DT95=1,IF(OR(Settings!$B$19="Checking",Settings!$B$19="Savings",Settings!$B$19="Cash"),N($AE95),IF(OR(Settings!$B$19="Card",Settings!$B$19="Loan"),-N($AE95),0))+IF(OR(Settings!$B$20="Checking",Settings!$B$20="Savings",Settings!$B$20="Cash"),N($AF95),IF(OR(Settings!$B$20="Card",Settings!$B$20="Loan"),-N($AF95),0))+IF(OR(Settings!$B$21="Checking",Settings!$B$21="Savings",Settings!$B$21="Cash"),N($AG95),IF(OR(Settings!$B$21="Card",Settings!$B$21="Loan"),-N($AG95),0))+IF(OR(Settings!$B$22="Checking",Settings!$B$22="Savings",Settings!$B$22="Cash"),N($AH95),IF(OR(Settings!$B$22="Card",Settings!$B$22="Loan"),-N($AH95),0))+IF(OR(Settings!$B$23="Checking",Settings!$B$23="Savings",Settings!$B$23="Cash"),N($AI95),IF(OR(Settings!$B$23="Card",Settings!$B$23="Loan"),-N($AI95),0))+IF(OR(Settings!$B$24="Checking",Settings!$B$24="Savings",Settings!$B$24="Cash"),N($AJ95),IF(OR(Settings!$B$24="Card",Settings!$B$24="Loan"),-N($AJ95),0))+IF(OR(Settings!$B$25="Checking",Settings!$B$25="Savings",Settings!$B$25="Cash"),N($AK95),IF(OR(Settings!$B$25="Card",Settings!$B$25="Loan"),-N($AK95),0))+IF(OR(Settings!$B$26="Checking",Settings!$B$26="Savings",Settings!$B$26="Cash"),N($AL95),IF(OR(Settings!$B$26="Card",Settings!$B$26="Loan"),-N($AL95),0))+IF(OR(Settings!$B$27="Checking",Settings!$B$27="Savings",Settings!$B$27="Cash"),N($AM95),IF(OR(Settings!$B$27="Card",Settings!$B$27="Loan"),-N($AM95),0))+IF(OR(Settings!$B$28="Checking",Settings!$B$28="Savings",Settings!$B$28="Cash"),N($AN95),IF(OR(Settings!$B$28="Card",Settings!$B$28="Loan"),-N($AN95),0))+IF(OR(Settings!$B$29="Checking",Settings!$B$29="Savings",Settings!$B$29="Cash"),N($AO95),IF(OR(Settings!$B$29="Card",Settings!$B$29="Loan"),-N($AO95),0))+IF(OR(Settings!$B$30="Checking",Settings!$B$30="Savings",Settings!$B$30="Cash"),N($AP95),IF(OR(Settings!$B$30="Card",Settings!$B$30="Loan"),-N($AP95),0))+IF(OR(Settings!$B$31="Checking",Settings!$B$31="Savings",Settings!$B$31="Cash"),N($AQ95),IF(OR(Settings!$B$31="Card",Settings!$B$31="Loan"),-N($AQ95),0))+IF(OR(Settings!$B$32="Checking",Settings!$B$32="Savings",Settings!$B$32="Cash"),N($AR95),IF(OR(Settings!$B$32="Card",Settings!$B$32="Loan"),-N($AR95),0)),"")</f>
        <v/>
      </c>
      <c r="DB95">
        <f>IF($E95="open",$EB$27,IF($E95="post",IF($E94="pre",$EB$27,$DA94),""))</f>
        <v/>
      </c>
      <c r="DC95">
        <f>IF($E95="open",1,IF($E95="post",IF($E94="pre",1,$DT94),0))</f>
        <v/>
      </c>
      <c r="DD95">
        <f>IF(AND($DT95=1,$DC95=1),ROUND($W95-($DA95-$DB95)-$AD95-$AB95,2),"")</f>
        <v/>
      </c>
      <c r="DE95">
        <f>IF('Month-End'!$CN$35="",$BQ95,N('Month-End'!$CN$35))</f>
        <v/>
      </c>
      <c r="DF95">
        <f>N('Month-End'!$CN$36)</f>
        <v/>
      </c>
      <c r="DG95">
        <f>IF($DD95="","",$DD95+$DE95)</f>
        <v/>
      </c>
      <c r="DH95">
        <f>IF($DG95="","",$DG95-$DF95)</f>
        <v/>
      </c>
      <c r="DI95">
        <f>IF(OR($E95="pre",$D95=1),"",N($AS95)+N($AT95)+N($AU95)+N($AV95)+N($AW95)+N($AX95))</f>
        <v/>
      </c>
      <c r="DJ95">
        <f>IF($DT95=1,$DA95+N($DI95),"")</f>
        <v/>
      </c>
      <c r="DK95">
        <f>IF($DD95="","",$W95-$DD95-$AB95)</f>
        <v/>
      </c>
      <c r="DL95">
        <f>IF(AND($E95="post",$DD95&lt;&gt;"",$B95&lt;TODAY()),1,0)</f>
        <v/>
      </c>
      <c r="DM95">
        <f>IF($DL95=1,COUNTIF($DL95:$DL$183,1),0)</f>
        <v/>
      </c>
      <c r="DN95">
        <f>IF($D95=1,"",IF($E95="pre","History only",IF($DT95=1,IF($DD95="","⚠ Previous month missing",IF($DD95&lt;0,"⚠ Check: spending &lt; 0",IF($E95="open","✓ Done (partial)","✓ Done"))),IF($B95&gt;=TODAY(),"In progress","⚠ Needs balances"))))</f>
        <v/>
      </c>
      <c r="DO95">
        <f>YEAR($A95)</f>
        <v/>
      </c>
      <c r="DP95">
        <f>DATE(YEAR($A95),INT((MONTH($A95)-1)/3)*3+1,1)</f>
        <v/>
      </c>
      <c r="DQ95">
        <f>IF(AND($DT95=1,$DD95&lt;&gt;"",$D95=0),ROW(),0)</f>
        <v/>
      </c>
      <c r="DR95">
        <f>IF(AND($E95&lt;&gt;"pre",$B95&lt;TODAY(),$DT95=0),1,0)</f>
        <v/>
      </c>
      <c r="DS95">
        <f>IF($DJ95="",NA(),$DJ95)</f>
        <v/>
      </c>
      <c r="DT95">
        <f>IF(AND($E95&lt;&gt;"pre",$CL95=0,COUNTIFS(Settings!$F$19:$F$32,"Yes",Settings!$A$19:$A$32,"&lt;&gt;",Settings!$E$19:$E$32,"&lt;&gt;No")&gt;0),1,0)</f>
        <v/>
      </c>
      <c r="DU95">
        <f>IF(AND($B95&lt;TODAY(),$S95&gt;0),1,0)</f>
        <v/>
      </c>
      <c r="DV95">
        <f>IF($DU95=1,COUNTIF($DU95:$DU$183,1),0)</f>
        <v/>
      </c>
      <c r="DW95">
        <f>IF(AND(OR(Settings!$B$19="Card",Settings!$B$19="Loan"),AND('Month-End'!$CN$7&lt;&gt;"",NOT(_xlfn.ISFORMULA('Month-End'!$CN$7)))),IF(N('Month-End'!$CN$7)&lt;0,1,0),0)+IF(AND(OR(Settings!$B$20="Card",Settings!$B$20="Loan"),AND('Month-End'!$CN$8&lt;&gt;"",NOT(_xlfn.ISFORMULA('Month-End'!$CN$8)))),IF(N('Month-End'!$CN$8)&lt;0,1,0),0)+IF(AND(OR(Settings!$B$21="Card",Settings!$B$21="Loan"),AND('Month-End'!$CN$9&lt;&gt;"",NOT(_xlfn.ISFORMULA('Month-End'!$CN$9)))),IF(N('Month-End'!$CN$9)&lt;0,1,0),0)+IF(AND(OR(Settings!$B$22="Card",Settings!$B$22="Loan"),AND('Month-End'!$CN$10&lt;&gt;"",NOT(_xlfn.ISFORMULA('Month-End'!$CN$10)))),IF(N('Month-End'!$CN$10)&lt;0,1,0),0)+IF(AND(OR(Settings!$B$23="Card",Settings!$B$23="Loan"),AND('Month-End'!$CN$11&lt;&gt;"",NOT(_xlfn.ISFORMULA('Month-End'!$CN$11)))),IF(N('Month-End'!$CN$11)&lt;0,1,0),0)+IF(AND(OR(Settings!$B$24="Card",Settings!$B$24="Loan"),AND('Month-End'!$CN$12&lt;&gt;"",NOT(_xlfn.ISFORMULA('Month-End'!$CN$12)))),IF(N('Month-End'!$CN$12)&lt;0,1,0),0)+IF(AND(OR(Settings!$B$25="Card",Settings!$B$25="Loan"),AND('Month-End'!$CN$13&lt;&gt;"",NOT(_xlfn.ISFORMULA('Month-End'!$CN$13)))),IF(N('Month-End'!$CN$13)&lt;0,1,0),0)+IF(AND(OR(Settings!$B$26="Card",Settings!$B$26="Loan"),AND('Month-End'!$CN$14&lt;&gt;"",NOT(_xlfn.ISFORMULA('Month-End'!$CN$14)))),IF(N('Month-End'!$CN$14)&lt;0,1,0),0)+IF(AND(OR(Settings!$B$27="Card",Settings!$B$27="Loan"),AND('Month-End'!$CN$15&lt;&gt;"",NOT(_xlfn.ISFORMULA('Month-End'!$CN$15)))),IF(N('Month-End'!$CN$15)&lt;0,1,0),0)+IF(AND(OR(Settings!$B$28="Card",Settings!$B$28="Loan"),AND('Month-End'!$CN$16&lt;&gt;"",NOT(_xlfn.ISFORMULA('Month-End'!$CN$16)))),IF(N('Month-End'!$CN$16)&lt;0,1,0),0)+IF(AND(OR(Settings!$B$29="Card",Settings!$B$29="Loan"),AND('Month-End'!$CN$17&lt;&gt;"",NOT(_xlfn.ISFORMULA('Month-End'!$CN$17)))),IF(N('Month-End'!$CN$17)&lt;0,1,0),0)+IF(AND(OR(Settings!$B$30="Card",Settings!$B$30="Loan"),AND('Month-End'!$CN$18&lt;&gt;"",NOT(_xlfn.ISFORMULA('Month-End'!$CN$18)))),IF(N('Month-End'!$CN$18)&lt;0,1,0),0)+IF(AND(OR(Settings!$B$31="Card",Settings!$B$31="Loan"),AND('Month-End'!$CN$19&lt;&gt;"",NOT(_xlfn.ISFORMULA('Month-End'!$CN$19)))),IF(N('Month-End'!$CN$19)&lt;0,1,0),0)+IF(AND(OR(Settings!$B$32="Card",Settings!$B$32="Loan"),AND('Month-End'!$CN$20&lt;&gt;"",NOT(_xlfn.ISFORMULA('Month-End'!$CN$20)))),IF(N('Month-End'!$CN$20)&lt;0,1,0),0)</f>
        <v/>
      </c>
      <c r="DX95">
        <f>IF(Settings!$B$36="Retirement",$AY95,0)+IF(Settings!$B$37="Retirement",$AZ95,0)+IF(Settings!$B$38="Retirement",$BA95,0)+IF(Settings!$B$39="Retirement",$BB95,0)+IF(Settings!$B$40="Retirement",$BC95,0)+IF(Settings!$B$41="Retirement",$BD95,0)</f>
        <v/>
      </c>
      <c r="EA95">
        <f>IF(COUNTIFS(Settings!$F$19:$F$32,"Yes",Settings!$A$19:$A$32,"&lt;&gt;",Settings!$E$19:$E$32,"&lt;&gt;No")=0,"⚠ No account is marked Required monthly (Settings → Everyday accounts)",IF(SUM($DR$6:$DR$183)=0,"✓ Every finished month has its required balances","⚠ Enter required balances for "&amp;TEXT(INDEX($A$6:$A$183,MATCH(1,$DR$6:$DR$183,0)),"mmmm yyyy")&amp;IF(SUM($DR$6:$DR$183)&gt;1," (+"&amp;(SUM($DR$6:$DR$183)-1)&amp;" more)","")))</f>
        <v/>
      </c>
      <c r="ET95">
        <f>IF($E95&lt;&gt;"open",0,IF(AND('Month-End'!$CN$22&lt;&gt;"",NOT(_xlfn.ISFORMULA('Month-End'!$CN$22))),0,IF(OR(Settings!$C$45="",Settings!$D$45=""),0,Settings!$C$45*IF(Settings!$D$45="Weekly",IF(IFERROR(MATCH(Settings!$E$45,$EO$4:$EO$10,0),0)=0,0,IF(MIN(Settings!$B$5,IF(Settings!$G$45="",Settings!$B$5,Settings!$G$45))&lt;MAX($A95,Settings!$F$45),0,INT((MIN(Settings!$B$5,IF(Settings!$G$45="",Settings!$B$5,Settings!$G$45))-MAX($A95,Settings!$F$45)-MOD(IFERROR(MATCH(Settings!$E$45,$EO$4:$EO$10,0),0)-WEEKDAY(MAX($A95,Settings!$F$45)),7))/7)+1)),IF(AND(IF(Settings!$E$45="",$B95,DATE(YEAR($A95),MONTH($A95),MIN(Settings!$E$45,DAY($B95))))&gt;=MAX($A95,Settings!$F$45),IF(Settings!$E$45="",$B95,DATE(YEAR($A95),MONTH($A95),MIN(Settings!$E$45,DAY($B95))))&lt;=MIN(Settings!$B$5,IF(Settings!$G$45="",Settings!$B$5,Settings!$G$45))),1,0)))))</f>
        <v/>
      </c>
      <c r="EU95">
        <f>IF($E95&lt;&gt;"open",0,IF(AND('Month-End'!$CN$23&lt;&gt;"",NOT(_xlfn.ISFORMULA('Month-End'!$CN$23))),0,IF(OR(Settings!$C$46="",Settings!$D$46=""),0,Settings!$C$46*IF(Settings!$D$46="Weekly",IF(IFERROR(MATCH(Settings!$E$46,$EO$4:$EO$10,0),0)=0,0,IF(MIN(Settings!$B$5,IF(Settings!$G$46="",Settings!$B$5,Settings!$G$46))&lt;MAX($A95,Settings!$F$46),0,INT((MIN(Settings!$B$5,IF(Settings!$G$46="",Settings!$B$5,Settings!$G$46))-MAX($A95,Settings!$F$46)-MOD(IFERROR(MATCH(Settings!$E$46,$EO$4:$EO$10,0),0)-WEEKDAY(MAX($A95,Settings!$F$46)),7))/7)+1)),IF(AND(IF(Settings!$E$46="",$B95,DATE(YEAR($A95),MONTH($A95),MIN(Settings!$E$46,DAY($B95))))&gt;=MAX($A95,Settings!$F$46),IF(Settings!$E$46="",$B95,DATE(YEAR($A95),MONTH($A95),MIN(Settings!$E$46,DAY($B95))))&lt;=MIN(Settings!$B$5,IF(Settings!$G$46="",Settings!$B$5,Settings!$G$46))),1,0)))))</f>
        <v/>
      </c>
      <c r="EV95">
        <f>IF($E95&lt;&gt;"open",0,IF(AND('Month-End'!$CN$24&lt;&gt;"",NOT(_xlfn.ISFORMULA('Month-End'!$CN$24))),0,IF(OR(Settings!$C$47="",Settings!$D$47=""),0,Settings!$C$47*IF(Settings!$D$47="Weekly",IF(IFERROR(MATCH(Settings!$E$47,$EO$4:$EO$10,0),0)=0,0,IF(MIN(Settings!$B$5,IF(Settings!$G$47="",Settings!$B$5,Settings!$G$47))&lt;MAX($A95,Settings!$F$47),0,INT((MIN(Settings!$B$5,IF(Settings!$G$47="",Settings!$B$5,Settings!$G$47))-MAX($A95,Settings!$F$47)-MOD(IFERROR(MATCH(Settings!$E$47,$EO$4:$EO$10,0),0)-WEEKDAY(MAX($A95,Settings!$F$47)),7))/7)+1)),IF(AND(IF(Settings!$E$47="",$B95,DATE(YEAR($A95),MONTH($A95),MIN(Settings!$E$47,DAY($B95))))&gt;=MAX($A95,Settings!$F$47),IF(Settings!$E$47="",$B95,DATE(YEAR($A95),MONTH($A95),MIN(Settings!$E$47,DAY($B95))))&lt;=MIN(Settings!$B$5,IF(Settings!$G$47="",Settings!$B$5,Settings!$G$47))),1,0)))))</f>
        <v/>
      </c>
      <c r="EW95">
        <f>IF($E95&lt;&gt;"open",0,IF(AND('Month-End'!$CN$25&lt;&gt;"",NOT(_xlfn.ISFORMULA('Month-End'!$CN$25))),0,IF(OR(Settings!$C$48="",Settings!$D$48=""),0,Settings!$C$48*IF(Settings!$D$48="Weekly",IF(IFERROR(MATCH(Settings!$E$48,$EO$4:$EO$10,0),0)=0,0,IF(MIN(Settings!$B$5,IF(Settings!$G$48="",Settings!$B$5,Settings!$G$48))&lt;MAX($A95,Settings!$F$48),0,INT((MIN(Settings!$B$5,IF(Settings!$G$48="",Settings!$B$5,Settings!$G$48))-MAX($A95,Settings!$F$48)-MOD(IFERROR(MATCH(Settings!$E$48,$EO$4:$EO$10,0),0)-WEEKDAY(MAX($A95,Settings!$F$48)),7))/7)+1)),IF(AND(IF(Settings!$E$48="",$B95,DATE(YEAR($A95),MONTH($A95),MIN(Settings!$E$48,DAY($B95))))&gt;=MAX($A95,Settings!$F$48),IF(Settings!$E$48="",$B95,DATE(YEAR($A95),MONTH($A95),MIN(Settings!$E$48,DAY($B95))))&lt;=MIN(Settings!$B$5,IF(Settings!$G$48="",Settings!$B$5,Settings!$G$48))),1,0)))))</f>
        <v/>
      </c>
      <c r="EX95">
        <f>IF($E95&lt;&gt;"open",0,IF(AND('Month-End'!$CN$26&lt;&gt;"",NOT(_xlfn.ISFORMULA('Month-End'!$CN$26))),0,IF(OR(Settings!$C$49="",Settings!$D$49=""),0,Settings!$C$49*IF(Settings!$D$49="Weekly",IF(IFERROR(MATCH(Settings!$E$49,$EO$4:$EO$10,0),0)=0,0,IF(MIN(Settings!$B$5,IF(Settings!$G$49="",Settings!$B$5,Settings!$G$49))&lt;MAX($A95,Settings!$F$49),0,INT((MIN(Settings!$B$5,IF(Settings!$G$49="",Settings!$B$5,Settings!$G$49))-MAX($A95,Settings!$F$49)-MOD(IFERROR(MATCH(Settings!$E$49,$EO$4:$EO$10,0),0)-WEEKDAY(MAX($A95,Settings!$F$49)),7))/7)+1)),IF(AND(IF(Settings!$E$49="",$B95,DATE(YEAR($A95),MONTH($A95),MIN(Settings!$E$49,DAY($B95))))&gt;=MAX($A95,Settings!$F$49),IF(Settings!$E$49="",$B95,DATE(YEAR($A95),MONTH($A95),MIN(Settings!$E$49,DAY($B95))))&lt;=MIN(Settings!$B$5,IF(Settings!$G$49="",Settings!$B$5,Settings!$G$49))),1,0)))))</f>
        <v/>
      </c>
      <c r="EY95">
        <f>IF($E95&lt;&gt;"open",0,IF(AND('Month-End'!$CN$27&lt;&gt;"",NOT(_xlfn.ISFORMULA('Month-End'!$CN$27))),0,IF(OR(Settings!$C$50="",Settings!$D$50=""),0,Settings!$C$50*IF(Settings!$D$50="Weekly",IF(IFERROR(MATCH(Settings!$E$50,$EO$4:$EO$10,0),0)=0,0,IF(MIN(Settings!$B$5,IF(Settings!$G$50="",Settings!$B$5,Settings!$G$50))&lt;MAX($A95,Settings!$F$50),0,INT((MIN(Settings!$B$5,IF(Settings!$G$50="",Settings!$B$5,Settings!$G$50))-MAX($A95,Settings!$F$50)-MOD(IFERROR(MATCH(Settings!$E$50,$EO$4:$EO$10,0),0)-WEEKDAY(MAX($A95,Settings!$F$50)),7))/7)+1)),IF(AND(IF(Settings!$E$50="",$B95,DATE(YEAR($A95),MONTH($A95),MIN(Settings!$E$50,DAY($B95))))&gt;=MAX($A95,Settings!$F$50),IF(Settings!$E$50="",$B95,DATE(YEAR($A95),MONTH($A95),MIN(Settings!$E$50,DAY($B95))))&lt;=MIN(Settings!$B$5,IF(Settings!$G$50="",Settings!$B$5,Settings!$G$50))),1,0)))))</f>
        <v/>
      </c>
      <c r="EZ95">
        <f>IF($E95&lt;&gt;"open",0,IF(AND('Month-End'!$CN$28&lt;&gt;"",NOT(_xlfn.ISFORMULA('Month-End'!$CN$28))),0,IF(OR(Settings!$C$51="",Settings!$D$51=""),0,Settings!$C$51*IF(Settings!$D$51="Weekly",IF(IFERROR(MATCH(Settings!$E$51,$EO$4:$EO$10,0),0)=0,0,IF(MIN(Settings!$B$5,IF(Settings!$G$51="",Settings!$B$5,Settings!$G$51))&lt;MAX($A95,Settings!$F$51),0,INT((MIN(Settings!$B$5,IF(Settings!$G$51="",Settings!$B$5,Settings!$G$51))-MAX($A95,Settings!$F$51)-MOD(IFERROR(MATCH(Settings!$E$51,$EO$4:$EO$10,0),0)-WEEKDAY(MAX($A95,Settings!$F$51)),7))/7)+1)),IF(AND(IF(Settings!$E$51="",$B95,DATE(YEAR($A95),MONTH($A95),MIN(Settings!$E$51,DAY($B95))))&gt;=MAX($A95,Settings!$F$51),IF(Settings!$E$51="",$B95,DATE(YEAR($A95),MONTH($A95),MIN(Settings!$E$51,DAY($B95))))&lt;=MIN(Settings!$B$5,IF(Settings!$G$51="",Settings!$B$5,Settings!$G$51))),1,0)))))</f>
        <v/>
      </c>
      <c r="FA95">
        <f>IF($E95&lt;&gt;"open",0,IF(AND('Month-End'!$CN$29&lt;&gt;"",NOT(_xlfn.ISFORMULA('Month-End'!$CN$29))),0,IF(OR(Settings!$C$52="",Settings!$D$52=""),0,Settings!$C$52*IF(Settings!$D$52="Weekly",IF(IFERROR(MATCH(Settings!$E$52,$EO$4:$EO$10,0),0)=0,0,IF(MIN(Settings!$B$5,IF(Settings!$G$52="",Settings!$B$5,Settings!$G$52))&lt;MAX($A95,Settings!$F$52),0,INT((MIN(Settings!$B$5,IF(Settings!$G$52="",Settings!$B$5,Settings!$G$52))-MAX($A95,Settings!$F$52)-MOD(IFERROR(MATCH(Settings!$E$52,$EO$4:$EO$10,0),0)-WEEKDAY(MAX($A95,Settings!$F$52)),7))/7)+1)),IF(AND(IF(Settings!$E$52="",$B95,DATE(YEAR($A95),MONTH($A95),MIN(Settings!$E$52,DAY($B95))))&gt;=MAX($A95,Settings!$F$52),IF(Settings!$E$52="",$B95,DATE(YEAR($A95),MONTH($A95),MIN(Settings!$E$52,DAY($B95))))&lt;=MIN(Settings!$B$5,IF(Settings!$G$52="",Settings!$B$5,Settings!$G$52))),1,0)))))</f>
        <v/>
      </c>
      <c r="FB95">
        <f>IF($E95&lt;&gt;"open",0,IF(AND('Month-End'!$CN$30&lt;&gt;"",NOT(_xlfn.ISFORMULA('Month-End'!$CN$30))),0,IF(OR(Settings!$C$53="",Settings!$D$53=""),0,Settings!$C$53*IF(Settings!$D$53="Weekly",IF(IFERROR(MATCH(Settings!$E$53,$EO$4:$EO$10,0),0)=0,0,IF(MIN(Settings!$B$5,IF(Settings!$G$53="",Settings!$B$5,Settings!$G$53))&lt;MAX($A95,Settings!$F$53),0,INT((MIN(Settings!$B$5,IF(Settings!$G$53="",Settings!$B$5,Settings!$G$53))-MAX($A95,Settings!$F$53)-MOD(IFERROR(MATCH(Settings!$E$53,$EO$4:$EO$10,0),0)-WEEKDAY(MAX($A95,Settings!$F$53)),7))/7)+1)),IF(AND(IF(Settings!$E$53="",$B95,DATE(YEAR($A95),MONTH($A95),MIN(Settings!$E$53,DAY($B95))))&gt;=MAX($A95,Settings!$F$53),IF(Settings!$E$53="",$B95,DATE(YEAR($A95),MONTH($A95),MIN(Settings!$E$53,DAY($B95))))&lt;=MIN(Settings!$B$5,IF(Settings!$G$53="",Settings!$B$5,Settings!$G$53))),1,0)))))</f>
        <v/>
      </c>
      <c r="FC95">
        <f>IF($E95&lt;&gt;"open",0,IF(AND('Month-End'!$CN$31&lt;&gt;"",NOT(_xlfn.ISFORMULA('Month-End'!$CN$31))),0,IF(OR(Settings!$C$54="",Settings!$D$54=""),0,Settings!$C$54*IF(Settings!$D$54="Weekly",IF(IFERROR(MATCH(Settings!$E$54,$EO$4:$EO$10,0),0)=0,0,IF(MIN(Settings!$B$5,IF(Settings!$G$54="",Settings!$B$5,Settings!$G$54))&lt;MAX($A95,Settings!$F$54),0,INT((MIN(Settings!$B$5,IF(Settings!$G$54="",Settings!$B$5,Settings!$G$54))-MAX($A95,Settings!$F$54)-MOD(IFERROR(MATCH(Settings!$E$54,$EO$4:$EO$10,0),0)-WEEKDAY(MAX($A95,Settings!$F$54)),7))/7)+1)),IF(AND(IF(Settings!$E$54="",$B95,DATE(YEAR($A95),MONTH($A95),MIN(Settings!$E$54,DAY($B95))))&gt;=MAX($A95,Settings!$F$54),IF(Settings!$E$54="",$B95,DATE(YEAR($A95),MONTH($A95),MIN(Settings!$E$54,DAY($B95))))&lt;=MIN(Settings!$B$5,IF(Settings!$G$54="",Settings!$B$5,Settings!$G$54))),1,0)))))</f>
        <v/>
      </c>
      <c r="FD95">
        <f>IF($E95&lt;&gt;"open",0,IF(AND('Month-End'!$CN$32&lt;&gt;"",NOT(_xlfn.ISFORMULA('Month-End'!$CN$32))),0,IF(OR(Settings!$C$55="",Settings!$D$55=""),0,Settings!$C$55*IF(Settings!$D$55="Weekly",IF(IFERROR(MATCH(Settings!$E$55,$EO$4:$EO$10,0),0)=0,0,IF(MIN(Settings!$B$5,IF(Settings!$G$55="",Settings!$B$5,Settings!$G$55))&lt;MAX($A95,Settings!$F$55),0,INT((MIN(Settings!$B$5,IF(Settings!$G$55="",Settings!$B$5,Settings!$G$55))-MAX($A95,Settings!$F$55)-MOD(IFERROR(MATCH(Settings!$E$55,$EO$4:$EO$10,0),0)-WEEKDAY(MAX($A95,Settings!$F$55)),7))/7)+1)),IF(AND(IF(Settings!$E$55="",$B95,DATE(YEAR($A95),MONTH($A95),MIN(Settings!$E$55,DAY($B95))))&gt;=MAX($A95,Settings!$F$55),IF(Settings!$E$55="",$B95,DATE(YEAR($A95),MONTH($A95),MIN(Settings!$E$55,DAY($B95))))&lt;=MIN(Settings!$B$5,IF(Settings!$G$55="",Settings!$B$5,Settings!$G$55))),1,0)))))</f>
        <v/>
      </c>
      <c r="FE95">
        <f>IF($E95&lt;&gt;"open",0,IF(AND('Month-End'!$CN$33&lt;&gt;"",NOT(_xlfn.ISFORMULA('Month-End'!$CN$33))),0,IF(OR(Settings!$C$56="",Settings!$D$56=""),0,Settings!$C$56*IF(Settings!$D$56="Weekly",IF(IFERROR(MATCH(Settings!$E$56,$EO$4:$EO$10,0),0)=0,0,IF(MIN(Settings!$B$5,IF(Settings!$G$56="",Settings!$B$5,Settings!$G$56))&lt;MAX($A95,Settings!$F$56),0,INT((MIN(Settings!$B$5,IF(Settings!$G$56="",Settings!$B$5,Settings!$G$56))-MAX($A95,Settings!$F$56)-MOD(IFERROR(MATCH(Settings!$E$56,$EO$4:$EO$10,0),0)-WEEKDAY(MAX($A95,Settings!$F$56)),7))/7)+1)),IF(AND(IF(Settings!$E$56="",$B95,DATE(YEAR($A95),MONTH($A95),MIN(Settings!$E$56,DAY($B95))))&gt;=MAX($A95,Settings!$F$56),IF(Settings!$E$56="",$B95,DATE(YEAR($A95),MONTH($A95),MIN(Settings!$E$56,DAY($B95))))&lt;=MIN(Settings!$B$5,IF(Settings!$G$56="",Settings!$B$5,Settings!$G$56))),1,0)))))</f>
        <v/>
      </c>
      <c r="FF95">
        <f>IF(Settings!$I$45="Yes",$G95,0)+IF(Settings!$I$46="Yes",$H95,0)+IF(Settings!$I$47="Yes",$I95,0)+IF(Settings!$I$48="Yes",$J95,0)+IF(Settings!$I$49="Yes",$K95,0)+IF(Settings!$I$50="Yes",$L95,0)+IF(Settings!$I$51="Yes",$M95,0)+IF(Settings!$I$52="Yes",$N95,0)+IF(Settings!$I$53="Yes",$O95,0)+IF(Settings!$I$54="Yes",$P95,0)+IF(Settings!$I$55="Yes",$Q95,0)+IF(Settings!$I$56="Yes",$R95,0)</f>
        <v/>
      </c>
      <c r="FG95">
        <f>IF(AND(Settings!$I$45="Yes",Settings!$J$45="No"),$G95,0)+IF(AND(Settings!$I$46="Yes",Settings!$J$46="No"),$H95,0)+IF(AND(Settings!$I$47="Yes",Settings!$J$47="No"),$I95,0)+IF(AND(Settings!$I$48="Yes",Settings!$J$48="No"),$J95,0)+IF(AND(Settings!$I$49="Yes",Settings!$J$49="No"),$K95,0)+IF(AND(Settings!$I$50="Yes",Settings!$J$50="No"),$L95,0)+IF(AND(Settings!$I$51="Yes",Settings!$J$51="No"),$M95,0)+IF(AND(Settings!$I$52="Yes",Settings!$J$52="No"),$N95,0)+IF(AND(Settings!$I$53="Yes",Settings!$J$53="No"),$O95,0)+IF(AND(Settings!$I$54="Yes",Settings!$J$54="No"),$P95,0)+IF(AND(Settings!$I$55="Yes",Settings!$J$55="No"),$Q95,0)+IF(AND(Settings!$I$56="Yes",Settings!$J$56="No"),$R95,0)</f>
        <v/>
      </c>
      <c r="FH95">
        <f>SUMIFS(Giving!$B$7:$B$2006,Giving!$A$7:$A$2006,"&gt;="&amp;$A95,Giving!$A$7:$A$2006,"&lt;="&amp;$B95,Giving!$G$7:$G$2006,"Yes")+IF(OR(OR(Settings!$B$60="",Settings!$F$60="No"),Settings!$H$60&lt;&gt;"Yes"),0,Settings!$B$60*IF(AND(IF(Settings!$C$60="",$B95,DATE(YEAR($A95),MONTH($A95),MIN(Settings!$C$60,DAY($B95))))&gt;=MAX($A95,Settings!$D$60),IF(Settings!$C$60="",$B95,DATE(YEAR($A95),MONTH($A95),MIN(Settings!$C$60,DAY($B95))))&lt;=MIN($C95,IF(Settings!$E$60="",$C95,Settings!$E$60))),1,0))+IF(OR(OR(Settings!$B$61="",Settings!$F$61="No"),Settings!$H$61&lt;&gt;"Yes"),0,Settings!$B$61*IF(AND(IF(Settings!$C$61="",$B95,DATE(YEAR($A95),MONTH($A95),MIN(Settings!$C$61,DAY($B95))))&gt;=MAX($A95,Settings!$D$61),IF(Settings!$C$61="",$B95,DATE(YEAR($A95),MONTH($A95),MIN(Settings!$C$61,DAY($B95))))&lt;=MIN($C95,IF(Settings!$E$61="",$C95,Settings!$E$61))),1,0))+IF(OR(OR(Settings!$B$62="",Settings!$F$62="No"),Settings!$H$62&lt;&gt;"Yes"),0,Settings!$B$62*IF(AND(IF(Settings!$C$62="",$B95,DATE(YEAR($A95),MONTH($A95),MIN(Settings!$C$62,DAY($B95))))&gt;=MAX($A95,Settings!$D$62),IF(Settings!$C$62="",$B95,DATE(YEAR($A95),MONTH($A95),MIN(Settings!$C$62,DAY($B95))))&lt;=MIN($C95,IF(Settings!$E$62="",$C95,Settings!$E$62))),1,0))+IF(OR(OR(Settings!$B$63="",Settings!$F$63="No"),Settings!$H$63&lt;&gt;"Yes"),0,Settings!$B$63*IF(AND(IF(Settings!$C$63="",$B95,DATE(YEAR($A95),MONTH($A95),MIN(Settings!$C$63,DAY($B95))))&gt;=MAX($A95,Settings!$D$63),IF(Settings!$C$63="",$B95,DATE(YEAR($A95),MONTH($A95),MIN(Settings!$C$63,DAY($B95))))&lt;=MIN($C95,IF(Settings!$E$63="",$C95,Settings!$E$63))),1,0))+IF(OR(OR(Settings!$B$64="",Settings!$F$64="No"),Settings!$H$64&lt;&gt;"Yes"),0,Settings!$B$64*IF(AND(IF(Settings!$C$64="",$B95,DATE(YEAR($A95),MONTH($A95),MIN(Settings!$C$64,DAY($B95))))&gt;=MAX($A95,Settings!$D$64),IF(Settings!$C$64="",$B95,DATE(YEAR($A95),MONTH($A95),MIN(Settings!$C$64,DAY($B95))))&lt;=MIN($C95,IF(Settings!$E$64="",$C95,Settings!$E$64))),1,0))+IF(OR(OR(Settings!$B$65="",Settings!$F$65="No"),Settings!$H$65&lt;&gt;"Yes"),0,Settings!$B$65*IF(AND(IF(Settings!$C$65="",$B95,DATE(YEAR($A95),MONTH($A95),MIN(Settings!$C$65,DAY($B95))))&gt;=MAX($A95,Settings!$D$65),IF(Settings!$C$65="",$B95,DATE(YEAR($A95),MONTH($A95),MIN(Settings!$C$65,DAY($B95))))&lt;=MIN($C95,IF(Settings!$E$65="",$C95,Settings!$E$65))),1,0))</f>
        <v/>
      </c>
      <c r="FI95">
        <f>IF($DT95=1,IF(OR(Settings!$B$19="Card",Settings!$B$19="Loan"),N($AE95),0)+IF(OR(Settings!$B$20="Card",Settings!$B$20="Loan"),N($AF95),0)+IF(OR(Settings!$B$21="Card",Settings!$B$21="Loan"),N($AG95),0)+IF(OR(Settings!$B$22="Card",Settings!$B$22="Loan"),N($AH95),0)+IF(OR(Settings!$B$23="Card",Settings!$B$23="Loan"),N($AI95),0)+IF(OR(Settings!$B$24="Card",Settings!$B$24="Loan"),N($AJ95),0)+IF(OR(Settings!$B$25="Card",Settings!$B$25="Loan"),N($AK95),0)+IF(OR(Settings!$B$26="Card",Settings!$B$26="Loan"),N($AL95),0)+IF(OR(Settings!$B$27="Card",Settings!$B$27="Loan"),N($AM95),0)+IF(OR(Settings!$B$28="Card",Settings!$B$28="Loan"),N($AN95),0)+IF(OR(Settings!$B$29="Card",Settings!$B$29="Loan"),N($AO95),0)+IF(OR(Settings!$B$30="Card",Settings!$B$30="Loan"),N($AP95),0)+IF(OR(Settings!$B$31="Card",Settings!$B$31="Loan"),N($AQ95),0)+IF(OR(Settings!$B$32="Card",Settings!$B$32="Loan"),N($AR95),0),"")</f>
        <v/>
      </c>
      <c r="FJ95">
        <f>IF($E95="open",$EB$65,IF($E95="post",IF($E94="pre",$EB$65,$FI94),""))</f>
        <v/>
      </c>
      <c r="FK95">
        <f>IF(AND($DT95=1,$DC95=1),IF(ROUND($FI95-$FJ95,2)&gt;0,1,0),0)</f>
        <v/>
      </c>
      <c r="FL95">
        <f>IF($FK95=1,$FL94+1,0)</f>
        <v/>
      </c>
    </row>
    <row r="96">
      <c r="A96">
        <f>'Month-End'!$CO$4</f>
        <v/>
      </c>
      <c r="B96">
        <f>EOMONTH($A96,0)</f>
        <v/>
      </c>
      <c r="C96">
        <f>MIN($B96,TODAY())</f>
        <v/>
      </c>
      <c r="D96">
        <f>IF($A96&gt;TODAY(),1,0)</f>
        <v/>
      </c>
      <c r="E96">
        <f>IF($B96&lt;=Settings!$B$5,"pre",IF($A96&lt;=Settings!$B$5,"open","post"))</f>
        <v/>
      </c>
      <c r="G96">
        <f>IF('Month-End'!$CO$22="",$BE96,N('Month-End'!$CO$22))</f>
        <v/>
      </c>
      <c r="H96">
        <f>IF('Month-End'!$CO$23="",$BF96,N('Month-End'!$CO$23))</f>
        <v/>
      </c>
      <c r="I96">
        <f>IF('Month-End'!$CO$24="",$BG96,N('Month-End'!$CO$24))</f>
        <v/>
      </c>
      <c r="J96">
        <f>IF('Month-End'!$CO$25="",$BH96,N('Month-End'!$CO$25))</f>
        <v/>
      </c>
      <c r="K96">
        <f>IF('Month-End'!$CO$26="",$BI96,N('Month-End'!$CO$26))</f>
        <v/>
      </c>
      <c r="L96">
        <f>IF('Month-End'!$CO$27="",$BJ96,N('Month-End'!$CO$27))</f>
        <v/>
      </c>
      <c r="M96">
        <f>IF('Month-End'!$CO$28="",$BK96,N('Month-End'!$CO$28))</f>
        <v/>
      </c>
      <c r="N96">
        <f>IF('Month-End'!$CO$29="",$BL96,N('Month-End'!$CO$29))</f>
        <v/>
      </c>
      <c r="O96">
        <f>IF('Month-End'!$CO$30="",$BM96,N('Month-End'!$CO$30))</f>
        <v/>
      </c>
      <c r="P96">
        <f>IF('Month-End'!$CO$31="",$BN96,N('Month-End'!$CO$31))</f>
        <v/>
      </c>
      <c r="Q96">
        <f>IF('Month-End'!$CO$32="",$BO96,N('Month-End'!$CO$32))</f>
        <v/>
      </c>
      <c r="R96">
        <f>IF('Month-End'!$CO$33="",$BP96,N('Month-End'!$CO$33))</f>
        <v/>
      </c>
      <c r="S96">
        <f>$G96+$H96+$I96+$J96+$K96+$L96+$M96+$N96+$O96+$P96+$Q96+$R96</f>
        <v/>
      </c>
      <c r="T96">
        <f>IF($B96&lt;Settings!$B$6,0,IF(Settings!$B$45="Yes",$G96,0)+IF(Settings!$B$46="Yes",$H96,0)+IF(Settings!$B$47="Yes",$I96,0)+IF(Settings!$B$48="Yes",$J96,0)+IF(Settings!$B$49="Yes",$K96,0)+IF(Settings!$B$50="Yes",$L96,0)+IF(Settings!$B$51="Yes",$M96,0)+IF(Settings!$B$52="Yes",$N96,0)+IF(Settings!$B$53="Yes",$O96,0)+IF(Settings!$B$54="Yes",$P96,0)+IF(Settings!$B$55="Yes",$Q96,0)+IF(Settings!$B$56="Yes",$R96,0))</f>
        <v/>
      </c>
      <c r="U96">
        <f>IF(Settings!$B$45="Not Sure",$G96,0)+IF(Settings!$B$46="Not Sure",$H96,0)+IF(Settings!$B$47="Not Sure",$I96,0)+IF(Settings!$B$48="Not Sure",$J96,0)+IF(Settings!$B$49="Not Sure",$K96,0)+IF(Settings!$B$50="Not Sure",$L96,0)+IF(Settings!$B$51="Not Sure",$M96,0)+IF(Settings!$B$52="Not Sure",$N96,0)+IF(Settings!$B$53="Not Sure",$O96,0)+IF(Settings!$B$54="Not Sure",$P96,0)+IF(Settings!$B$55="Not Sure",$Q96,0)+IF(Settings!$B$56="Not Sure",$R96,0)</f>
        <v/>
      </c>
      <c r="V96">
        <f>IF($E96="open",SUM($ET96:$FE96)+N(Settings!$B$13),0)</f>
        <v/>
      </c>
      <c r="W96">
        <f>IF($E96="post",$S96,IF($E96="open",$S96-$V96,0))</f>
        <v/>
      </c>
      <c r="X96">
        <f>SUMIFS(Giving!$B$7:$B$2006,Giving!$A$7:$A$2006,"&gt;="&amp;$A96,Giving!$A$7:$A$2006,"&lt;="&amp;$B96,Giving!$E$7:$E$2006,"&lt;&gt;No")</f>
        <v/>
      </c>
      <c r="Y96">
        <f>SUMIFS(Giving!$B$7:$B$2006,Giving!$A$7:$A$2006,"&gt;="&amp;$A96,Giving!$A$7:$A$2006,"&lt;="&amp;$B96,Giving!$E$7:$E$2006,"No")</f>
        <v/>
      </c>
      <c r="Z96">
        <f>IF(OR(Settings!$B$60="",Settings!$F$60="No"),0,Settings!$B$60*IF(AND(IF(Settings!$C$60="",$B96,DATE(YEAR($A96),MONTH($A96),MIN(Settings!$C$60,DAY($B96))))&gt;=MAX($A96,Settings!$D$60),IF(Settings!$C$60="",$B96,DATE(YEAR($A96),MONTH($A96),MIN(Settings!$C$60,DAY($B96))))&lt;=MIN($C96,IF(Settings!$E$60="",$C96,Settings!$E$60))),1,0))+IF(OR(Settings!$B$61="",Settings!$F$61="No"),0,Settings!$B$61*IF(AND(IF(Settings!$C$61="",$B96,DATE(YEAR($A96),MONTH($A96),MIN(Settings!$C$61,DAY($B96))))&gt;=MAX($A96,Settings!$D$61),IF(Settings!$C$61="",$B96,DATE(YEAR($A96),MONTH($A96),MIN(Settings!$C$61,DAY($B96))))&lt;=MIN($C96,IF(Settings!$E$61="",$C96,Settings!$E$61))),1,0))+IF(OR(Settings!$B$62="",Settings!$F$62="No"),0,Settings!$B$62*IF(AND(IF(Settings!$C$62="",$B96,DATE(YEAR($A96),MONTH($A96),MIN(Settings!$C$62,DAY($B96))))&gt;=MAX($A96,Settings!$D$62),IF(Settings!$C$62="",$B96,DATE(YEAR($A96),MONTH($A96),MIN(Settings!$C$62,DAY($B96))))&lt;=MIN($C96,IF(Settings!$E$62="",$C96,Settings!$E$62))),1,0))+IF(OR(Settings!$B$63="",Settings!$F$63="No"),0,Settings!$B$63*IF(AND(IF(Settings!$C$63="",$B96,DATE(YEAR($A96),MONTH($A96),MIN(Settings!$C$63,DAY($B96))))&gt;=MAX($A96,Settings!$D$63),IF(Settings!$C$63="",$B96,DATE(YEAR($A96),MONTH($A96),MIN(Settings!$C$63,DAY($B96))))&lt;=MIN($C96,IF(Settings!$E$63="",$C96,Settings!$E$63))),1,0))+IF(OR(Settings!$B$64="",Settings!$F$64="No"),0,Settings!$B$64*IF(AND(IF(Settings!$C$64="",$B96,DATE(YEAR($A96),MONTH($A96),MIN(Settings!$C$64,DAY($B96))))&gt;=MAX($A96,Settings!$D$64),IF(Settings!$C$64="",$B96,DATE(YEAR($A96),MONTH($A96),MIN(Settings!$C$64,DAY($B96))))&lt;=MIN($C96,IF(Settings!$E$64="",$C96,Settings!$E$64))),1,0))+IF(OR(Settings!$B$65="",Settings!$F$65="No"),0,Settings!$B$65*IF(AND(IF(Settings!$C$65="",$B96,DATE(YEAR($A96),MONTH($A96),MIN(Settings!$C$65,DAY($B96))))&gt;=MAX($A96,Settings!$D$65),IF(Settings!$C$65="",$B96,DATE(YEAR($A96),MONTH($A96),MIN(Settings!$C$65,DAY($B96))))&lt;=MIN($C96,IF(Settings!$E$65="",$C96,Settings!$E$65))),1,0))</f>
        <v/>
      </c>
      <c r="AA96">
        <f>$X96+$Z96</f>
        <v/>
      </c>
      <c r="AB96">
        <f>IF($E96="post",$AA96,IF($E96="open",SUMIFS(Giving!$B$7:$B$2006,Giving!$A$7:$A$2006,"&gt;"&amp;Settings!$B$5,Giving!$A$7:$A$2006,"&lt;="&amp;$B96,Giving!$E$7:$E$2006,"&lt;&gt;No")+IF(OR(Settings!$B$60="",Settings!$F$60="No"),0,Settings!$B$60*IF(AND(IF(Settings!$C$60="",$B96,DATE(YEAR($A96),MONTH($A96),MIN(Settings!$C$60,DAY($B96))))&gt;=MAX($A96,Settings!$D$60,Settings!$B$5+1),IF(Settings!$C$60="",$B96,DATE(YEAR($A96),MONTH($A96),MIN(Settings!$C$60,DAY($B96))))&lt;=MIN($C96,IF(Settings!$E$60="",$C96,Settings!$E$60))),1,0))+IF(OR(Settings!$B$61="",Settings!$F$61="No"),0,Settings!$B$61*IF(AND(IF(Settings!$C$61="",$B96,DATE(YEAR($A96),MONTH($A96),MIN(Settings!$C$61,DAY($B96))))&gt;=MAX($A96,Settings!$D$61,Settings!$B$5+1),IF(Settings!$C$61="",$B96,DATE(YEAR($A96),MONTH($A96),MIN(Settings!$C$61,DAY($B96))))&lt;=MIN($C96,IF(Settings!$E$61="",$C96,Settings!$E$61))),1,0))+IF(OR(Settings!$B$62="",Settings!$F$62="No"),0,Settings!$B$62*IF(AND(IF(Settings!$C$62="",$B96,DATE(YEAR($A96),MONTH($A96),MIN(Settings!$C$62,DAY($B96))))&gt;=MAX($A96,Settings!$D$62,Settings!$B$5+1),IF(Settings!$C$62="",$B96,DATE(YEAR($A96),MONTH($A96),MIN(Settings!$C$62,DAY($B96))))&lt;=MIN($C96,IF(Settings!$E$62="",$C96,Settings!$E$62))),1,0))+IF(OR(Settings!$B$63="",Settings!$F$63="No"),0,Settings!$B$63*IF(AND(IF(Settings!$C$63="",$B96,DATE(YEAR($A96),MONTH($A96),MIN(Settings!$C$63,DAY($B96))))&gt;=MAX($A96,Settings!$D$63,Settings!$B$5+1),IF(Settings!$C$63="",$B96,DATE(YEAR($A96),MONTH($A96),MIN(Settings!$C$63,DAY($B96))))&lt;=MIN($C96,IF(Settings!$E$63="",$C96,Settings!$E$63))),1,0))+IF(OR(Settings!$B$64="",Settings!$F$64="No"),0,Settings!$B$64*IF(AND(IF(Settings!$C$64="",$B96,DATE(YEAR($A96),MONTH($A96),MIN(Settings!$C$64,DAY($B96))))&gt;=MAX($A96,Settings!$D$64,Settings!$B$5+1),IF(Settings!$C$64="",$B96,DATE(YEAR($A96),MONTH($A96),MIN(Settings!$C$64,DAY($B96))))&lt;=MIN($C96,IF(Settings!$E$64="",$C96,Settings!$E$64))),1,0))+IF(OR(Settings!$B$65="",Settings!$F$65="No"),0,Settings!$B$65*IF(AND(IF(Settings!$C$65="",$B96,DATE(YEAR($A96),MONTH($A96),MIN(Settings!$C$65,DAY($B96))))&gt;=MAX($A96,Settings!$D$65,Settings!$B$5+1),IF(Settings!$C$65="",$B96,DATE(YEAR($A96),MONTH($A96),MIN(Settings!$C$65,DAY($B96))))&lt;=MIN($C96,IF(Settings!$E$65="",$C96,Settings!$E$65))),1,0)),0))</f>
        <v/>
      </c>
      <c r="AC96">
        <f>$AY96+$AZ96+$BA96+$BB96+$BC96+$BD96</f>
        <v/>
      </c>
      <c r="AD96">
        <f>$AC96</f>
        <v/>
      </c>
      <c r="AE96">
        <f>IF(OR(Settings!$A$19="",$E96="pre"),"",IF(AND('Month-End'!$CO$7&lt;&gt;"",NOT(_xlfn.ISFORMULA('Month-End'!$CO$7))),N('Month-End'!$CO$7),IF(OR($E96="open",$E95="pre"),N(Settings!$C$19),N($AE95))))</f>
        <v/>
      </c>
      <c r="AF96">
        <f>IF(OR(Settings!$A$20="",$E96="pre"),"",IF(AND('Month-End'!$CO$8&lt;&gt;"",NOT(_xlfn.ISFORMULA('Month-End'!$CO$8))),N('Month-End'!$CO$8),IF(OR($E96="open",$E95="pre"),N(Settings!$C$20),N($AF95))))</f>
        <v/>
      </c>
      <c r="AG96">
        <f>IF(OR(Settings!$A$21="",$E96="pre"),"",IF(AND('Month-End'!$CO$9&lt;&gt;"",NOT(_xlfn.ISFORMULA('Month-End'!$CO$9))),N('Month-End'!$CO$9),IF(OR($E96="open",$E95="pre"),N(Settings!$C$21),N($AG95))))</f>
        <v/>
      </c>
      <c r="AH96">
        <f>IF(OR(Settings!$A$22="",$E96="pre"),"",IF(AND('Month-End'!$CO$10&lt;&gt;"",NOT(_xlfn.ISFORMULA('Month-End'!$CO$10))),N('Month-End'!$CO$10),IF(OR($E96="open",$E95="pre"),N(Settings!$C$22),N($AH95))))</f>
        <v/>
      </c>
      <c r="AI96">
        <f>IF(OR(Settings!$A$23="",$E96="pre"),"",IF(AND('Month-End'!$CO$11&lt;&gt;"",NOT(_xlfn.ISFORMULA('Month-End'!$CO$11))),N('Month-End'!$CO$11),IF(OR($E96="open",$E95="pre"),N(Settings!$C$23),N($AI95))))</f>
        <v/>
      </c>
      <c r="AJ96">
        <f>IF(OR(Settings!$A$24="",$E96="pre"),"",IF(AND('Month-End'!$CO$12&lt;&gt;"",NOT(_xlfn.ISFORMULA('Month-End'!$CO$12))),N('Month-End'!$CO$12),IF(OR($E96="open",$E95="pre"),N(Settings!$C$24),N($AJ95))))</f>
        <v/>
      </c>
      <c r="AK96">
        <f>IF(OR(Settings!$A$25="",$E96="pre"),"",IF(AND('Month-End'!$CO$13&lt;&gt;"",NOT(_xlfn.ISFORMULA('Month-End'!$CO$13))),N('Month-End'!$CO$13),IF(OR($E96="open",$E95="pre"),N(Settings!$C$25),N($AK95))))</f>
        <v/>
      </c>
      <c r="AL96">
        <f>IF(OR(Settings!$A$26="",$E96="pre"),"",IF(AND('Month-End'!$CO$14&lt;&gt;"",NOT(_xlfn.ISFORMULA('Month-End'!$CO$14))),N('Month-End'!$CO$14),IF(OR($E96="open",$E95="pre"),N(Settings!$C$26),N($AL95))))</f>
        <v/>
      </c>
      <c r="AM96">
        <f>IF(OR(Settings!$A$27="",$E96="pre"),"",IF(AND('Month-End'!$CO$15&lt;&gt;"",NOT(_xlfn.ISFORMULA('Month-End'!$CO$15))),N('Month-End'!$CO$15),IF(OR($E96="open",$E95="pre"),N(Settings!$C$27),N($AM95))))</f>
        <v/>
      </c>
      <c r="AN96">
        <f>IF(OR(Settings!$A$28="",$E96="pre"),"",IF(AND('Month-End'!$CO$16&lt;&gt;"",NOT(_xlfn.ISFORMULA('Month-End'!$CO$16))),N('Month-End'!$CO$16),IF(OR($E96="open",$E95="pre"),N(Settings!$C$28),N($AN95))))</f>
        <v/>
      </c>
      <c r="AO96">
        <f>IF(OR(Settings!$A$29="",$E96="pre"),"",IF(AND('Month-End'!$CO$17&lt;&gt;"",NOT(_xlfn.ISFORMULA('Month-End'!$CO$17))),N('Month-End'!$CO$17),IF(OR($E96="open",$E95="pre"),N(Settings!$C$29),N($AO95))))</f>
        <v/>
      </c>
      <c r="AP96">
        <f>IF(OR(Settings!$A$30="",$E96="pre"),"",IF(AND('Month-End'!$CO$18&lt;&gt;"",NOT(_xlfn.ISFORMULA('Month-End'!$CO$18))),N('Month-End'!$CO$18),IF(OR($E96="open",$E95="pre"),N(Settings!$C$30),N($AP95))))</f>
        <v/>
      </c>
      <c r="AQ96">
        <f>IF(OR(Settings!$A$31="",$E96="pre"),"",IF(AND('Month-End'!$CO$19&lt;&gt;"",NOT(_xlfn.ISFORMULA('Month-End'!$CO$19))),N('Month-End'!$CO$19),IF(OR($E96="open",$E95="pre"),N(Settings!$C$31),N($AQ95))))</f>
        <v/>
      </c>
      <c r="AR96">
        <f>IF(OR(Settings!$A$32="",$E96="pre"),"",IF(AND('Month-End'!$CO$20&lt;&gt;"",NOT(_xlfn.ISFORMULA('Month-End'!$CO$20))),N('Month-End'!$CO$20),IF(OR($E96="open",$E95="pre"),N(Settings!$C$32),N($AR95))))</f>
        <v/>
      </c>
      <c r="AS96">
        <f>IF(OR(Settings!$A$36="",$E96="pre"),"",IF(AND('Month-End'!$CO$38&lt;&gt;"",NOT(_xlfn.ISFORMULA('Month-End'!$CO$38))),N('Month-End'!$CO$38),IF(OR($E96="open",$E95="pre"),N(Settings!$C$36),N($AS95))+$AY96))</f>
        <v/>
      </c>
      <c r="AT96">
        <f>IF(OR(Settings!$A$37="",$E96="pre"),"",IF(AND('Month-End'!$CO$39&lt;&gt;"",NOT(_xlfn.ISFORMULA('Month-End'!$CO$39))),N('Month-End'!$CO$39),IF(OR($E96="open",$E95="pre"),N(Settings!$C$37),N($AT95))+$AZ96))</f>
        <v/>
      </c>
      <c r="AU96">
        <f>IF(OR(Settings!$A$38="",$E96="pre"),"",IF(AND('Month-End'!$CO$40&lt;&gt;"",NOT(_xlfn.ISFORMULA('Month-End'!$CO$40))),N('Month-End'!$CO$40),IF(OR($E96="open",$E95="pre"),N(Settings!$C$38),N($AU95))+$BA96))</f>
        <v/>
      </c>
      <c r="AV96">
        <f>IF(OR(Settings!$A$39="",$E96="pre"),"",IF(AND('Month-End'!$CO$41&lt;&gt;"",NOT(_xlfn.ISFORMULA('Month-End'!$CO$41))),N('Month-End'!$CO$41),IF(OR($E96="open",$E95="pre"),N(Settings!$C$39),N($AV95))+$BB96))</f>
        <v/>
      </c>
      <c r="AW96">
        <f>IF(OR(Settings!$A$40="",$E96="pre"),"",IF(AND('Month-End'!$CO$42&lt;&gt;"",NOT(_xlfn.ISFORMULA('Month-End'!$CO$42))),N('Month-End'!$CO$42),IF(OR($E96="open",$E95="pre"),N(Settings!$C$40),N($AW95))+$BC96))</f>
        <v/>
      </c>
      <c r="AX96">
        <f>IF(OR(Settings!$A$41="",$E96="pre"),"",IF(AND('Month-End'!$CO$43&lt;&gt;"",NOT(_xlfn.ISFORMULA('Month-End'!$CO$43))),N('Month-End'!$CO$43),IF(OR($E96="open",$E95="pre"),N(Settings!$C$41),N($AX95))+$BD96))</f>
        <v/>
      </c>
      <c r="AY96">
        <f>IF($E96="pre",0,N('Month-End'!$CO$45))</f>
        <v/>
      </c>
      <c r="AZ96">
        <f>IF($E96="pre",0,N('Month-End'!$CO$46))</f>
        <v/>
      </c>
      <c r="BA96">
        <f>IF($E96="pre",0,N('Month-End'!$CO$47))</f>
        <v/>
      </c>
      <c r="BB96">
        <f>IF($E96="pre",0,N('Month-End'!$CO$48))</f>
        <v/>
      </c>
      <c r="BC96">
        <f>IF($E96="pre",0,N('Month-End'!$CO$49))</f>
        <v/>
      </c>
      <c r="BD96">
        <f>IF($E96="pre",0,N('Month-End'!$CO$50))</f>
        <v/>
      </c>
      <c r="BE96">
        <f>IF(OR(Settings!$C$45="",Settings!$D$45=""),0,Settings!$C$45*IF(Settings!$D$45="Weekly",IF(IFERROR(MATCH(Settings!$E$45,$EO$4:$EO$10,0),0)=0,0,IF(MIN($C96,IF(Settings!$G$45="",$C96,Settings!$G$45))&lt;MAX($A96,Settings!$F$45),0,INT((MIN($C96,IF(Settings!$G$45="",$C96,Settings!$G$45))-MAX($A96,Settings!$F$45)-MOD(IFERROR(MATCH(Settings!$E$45,$EO$4:$EO$10,0),0)-WEEKDAY(MAX($A96,Settings!$F$45)),7))/7)+1)),IF(AND(IF(Settings!$E$45="",$B96,DATE(YEAR($A96),MONTH($A96),MIN(Settings!$E$45,DAY($B96))))&gt;=MAX($A96,Settings!$F$45),IF(Settings!$E$45="",$B96,DATE(YEAR($A96),MONTH($A96),MIN(Settings!$E$45,DAY($B96))))&lt;=MIN($C96,IF(Settings!$G$45="",$C96,Settings!$G$45))),1,0)))</f>
        <v/>
      </c>
      <c r="BF96">
        <f>IF(OR(Settings!$C$46="",Settings!$D$46=""),0,Settings!$C$46*IF(Settings!$D$46="Weekly",IF(IFERROR(MATCH(Settings!$E$46,$EO$4:$EO$10,0),0)=0,0,IF(MIN($C96,IF(Settings!$G$46="",$C96,Settings!$G$46))&lt;MAX($A96,Settings!$F$46),0,INT((MIN($C96,IF(Settings!$G$46="",$C96,Settings!$G$46))-MAX($A96,Settings!$F$46)-MOD(IFERROR(MATCH(Settings!$E$46,$EO$4:$EO$10,0),0)-WEEKDAY(MAX($A96,Settings!$F$46)),7))/7)+1)),IF(AND(IF(Settings!$E$46="",$B96,DATE(YEAR($A96),MONTH($A96),MIN(Settings!$E$46,DAY($B96))))&gt;=MAX($A96,Settings!$F$46),IF(Settings!$E$46="",$B96,DATE(YEAR($A96),MONTH($A96),MIN(Settings!$E$46,DAY($B96))))&lt;=MIN($C96,IF(Settings!$G$46="",$C96,Settings!$G$46))),1,0)))</f>
        <v/>
      </c>
      <c r="BG96">
        <f>IF(OR(Settings!$C$47="",Settings!$D$47=""),0,Settings!$C$47*IF(Settings!$D$47="Weekly",IF(IFERROR(MATCH(Settings!$E$47,$EO$4:$EO$10,0),0)=0,0,IF(MIN($C96,IF(Settings!$G$47="",$C96,Settings!$G$47))&lt;MAX($A96,Settings!$F$47),0,INT((MIN($C96,IF(Settings!$G$47="",$C96,Settings!$G$47))-MAX($A96,Settings!$F$47)-MOD(IFERROR(MATCH(Settings!$E$47,$EO$4:$EO$10,0),0)-WEEKDAY(MAX($A96,Settings!$F$47)),7))/7)+1)),IF(AND(IF(Settings!$E$47="",$B96,DATE(YEAR($A96),MONTH($A96),MIN(Settings!$E$47,DAY($B96))))&gt;=MAX($A96,Settings!$F$47),IF(Settings!$E$47="",$B96,DATE(YEAR($A96),MONTH($A96),MIN(Settings!$E$47,DAY($B96))))&lt;=MIN($C96,IF(Settings!$G$47="",$C96,Settings!$G$47))),1,0)))</f>
        <v/>
      </c>
      <c r="BH96">
        <f>IF(OR(Settings!$C$48="",Settings!$D$48=""),0,Settings!$C$48*IF(Settings!$D$48="Weekly",IF(IFERROR(MATCH(Settings!$E$48,$EO$4:$EO$10,0),0)=0,0,IF(MIN($C96,IF(Settings!$G$48="",$C96,Settings!$G$48))&lt;MAX($A96,Settings!$F$48),0,INT((MIN($C96,IF(Settings!$G$48="",$C96,Settings!$G$48))-MAX($A96,Settings!$F$48)-MOD(IFERROR(MATCH(Settings!$E$48,$EO$4:$EO$10,0),0)-WEEKDAY(MAX($A96,Settings!$F$48)),7))/7)+1)),IF(AND(IF(Settings!$E$48="",$B96,DATE(YEAR($A96),MONTH($A96),MIN(Settings!$E$48,DAY($B96))))&gt;=MAX($A96,Settings!$F$48),IF(Settings!$E$48="",$B96,DATE(YEAR($A96),MONTH($A96),MIN(Settings!$E$48,DAY($B96))))&lt;=MIN($C96,IF(Settings!$G$48="",$C96,Settings!$G$48))),1,0)))</f>
        <v/>
      </c>
      <c r="BI96">
        <f>IF(OR(Settings!$C$49="",Settings!$D$49=""),0,Settings!$C$49*IF(Settings!$D$49="Weekly",IF(IFERROR(MATCH(Settings!$E$49,$EO$4:$EO$10,0),0)=0,0,IF(MIN($C96,IF(Settings!$G$49="",$C96,Settings!$G$49))&lt;MAX($A96,Settings!$F$49),0,INT((MIN($C96,IF(Settings!$G$49="",$C96,Settings!$G$49))-MAX($A96,Settings!$F$49)-MOD(IFERROR(MATCH(Settings!$E$49,$EO$4:$EO$10,0),0)-WEEKDAY(MAX($A96,Settings!$F$49)),7))/7)+1)),IF(AND(IF(Settings!$E$49="",$B96,DATE(YEAR($A96),MONTH($A96),MIN(Settings!$E$49,DAY($B96))))&gt;=MAX($A96,Settings!$F$49),IF(Settings!$E$49="",$B96,DATE(YEAR($A96),MONTH($A96),MIN(Settings!$E$49,DAY($B96))))&lt;=MIN($C96,IF(Settings!$G$49="",$C96,Settings!$G$49))),1,0)))</f>
        <v/>
      </c>
      <c r="BJ96">
        <f>IF(OR(Settings!$C$50="",Settings!$D$50=""),0,Settings!$C$50*IF(Settings!$D$50="Weekly",IF(IFERROR(MATCH(Settings!$E$50,$EO$4:$EO$10,0),0)=0,0,IF(MIN($C96,IF(Settings!$G$50="",$C96,Settings!$G$50))&lt;MAX($A96,Settings!$F$50),0,INT((MIN($C96,IF(Settings!$G$50="",$C96,Settings!$G$50))-MAX($A96,Settings!$F$50)-MOD(IFERROR(MATCH(Settings!$E$50,$EO$4:$EO$10,0),0)-WEEKDAY(MAX($A96,Settings!$F$50)),7))/7)+1)),IF(AND(IF(Settings!$E$50="",$B96,DATE(YEAR($A96),MONTH($A96),MIN(Settings!$E$50,DAY($B96))))&gt;=MAX($A96,Settings!$F$50),IF(Settings!$E$50="",$B96,DATE(YEAR($A96),MONTH($A96),MIN(Settings!$E$50,DAY($B96))))&lt;=MIN($C96,IF(Settings!$G$50="",$C96,Settings!$G$50))),1,0)))</f>
        <v/>
      </c>
      <c r="BK96">
        <f>IF(OR(Settings!$C$51="",Settings!$D$51=""),0,Settings!$C$51*IF(Settings!$D$51="Weekly",IF(IFERROR(MATCH(Settings!$E$51,$EO$4:$EO$10,0),0)=0,0,IF(MIN($C96,IF(Settings!$G$51="",$C96,Settings!$G$51))&lt;MAX($A96,Settings!$F$51),0,INT((MIN($C96,IF(Settings!$G$51="",$C96,Settings!$G$51))-MAX($A96,Settings!$F$51)-MOD(IFERROR(MATCH(Settings!$E$51,$EO$4:$EO$10,0),0)-WEEKDAY(MAX($A96,Settings!$F$51)),7))/7)+1)),IF(AND(IF(Settings!$E$51="",$B96,DATE(YEAR($A96),MONTH($A96),MIN(Settings!$E$51,DAY($B96))))&gt;=MAX($A96,Settings!$F$51),IF(Settings!$E$51="",$B96,DATE(YEAR($A96),MONTH($A96),MIN(Settings!$E$51,DAY($B96))))&lt;=MIN($C96,IF(Settings!$G$51="",$C96,Settings!$G$51))),1,0)))</f>
        <v/>
      </c>
      <c r="BL96">
        <f>IF(OR(Settings!$C$52="",Settings!$D$52=""),0,Settings!$C$52*IF(Settings!$D$52="Weekly",IF(IFERROR(MATCH(Settings!$E$52,$EO$4:$EO$10,0),0)=0,0,IF(MIN($C96,IF(Settings!$G$52="",$C96,Settings!$G$52))&lt;MAX($A96,Settings!$F$52),0,INT((MIN($C96,IF(Settings!$G$52="",$C96,Settings!$G$52))-MAX($A96,Settings!$F$52)-MOD(IFERROR(MATCH(Settings!$E$52,$EO$4:$EO$10,0),0)-WEEKDAY(MAX($A96,Settings!$F$52)),7))/7)+1)),IF(AND(IF(Settings!$E$52="",$B96,DATE(YEAR($A96),MONTH($A96),MIN(Settings!$E$52,DAY($B96))))&gt;=MAX($A96,Settings!$F$52),IF(Settings!$E$52="",$B96,DATE(YEAR($A96),MONTH($A96),MIN(Settings!$E$52,DAY($B96))))&lt;=MIN($C96,IF(Settings!$G$52="",$C96,Settings!$G$52))),1,0)))</f>
        <v/>
      </c>
      <c r="BM96">
        <f>IF(OR(Settings!$C$53="",Settings!$D$53=""),0,Settings!$C$53*IF(Settings!$D$53="Weekly",IF(IFERROR(MATCH(Settings!$E$53,$EO$4:$EO$10,0),0)=0,0,IF(MIN($C96,IF(Settings!$G$53="",$C96,Settings!$G$53))&lt;MAX($A96,Settings!$F$53),0,INT((MIN($C96,IF(Settings!$G$53="",$C96,Settings!$G$53))-MAX($A96,Settings!$F$53)-MOD(IFERROR(MATCH(Settings!$E$53,$EO$4:$EO$10,0),0)-WEEKDAY(MAX($A96,Settings!$F$53)),7))/7)+1)),IF(AND(IF(Settings!$E$53="",$B96,DATE(YEAR($A96),MONTH($A96),MIN(Settings!$E$53,DAY($B96))))&gt;=MAX($A96,Settings!$F$53),IF(Settings!$E$53="",$B96,DATE(YEAR($A96),MONTH($A96),MIN(Settings!$E$53,DAY($B96))))&lt;=MIN($C96,IF(Settings!$G$53="",$C96,Settings!$G$53))),1,0)))</f>
        <v/>
      </c>
      <c r="BN96">
        <f>IF(OR(Settings!$C$54="",Settings!$D$54=""),0,Settings!$C$54*IF(Settings!$D$54="Weekly",IF(IFERROR(MATCH(Settings!$E$54,$EO$4:$EO$10,0),0)=0,0,IF(MIN($C96,IF(Settings!$G$54="",$C96,Settings!$G$54))&lt;MAX($A96,Settings!$F$54),0,INT((MIN($C96,IF(Settings!$G$54="",$C96,Settings!$G$54))-MAX($A96,Settings!$F$54)-MOD(IFERROR(MATCH(Settings!$E$54,$EO$4:$EO$10,0),0)-WEEKDAY(MAX($A96,Settings!$F$54)),7))/7)+1)),IF(AND(IF(Settings!$E$54="",$B96,DATE(YEAR($A96),MONTH($A96),MIN(Settings!$E$54,DAY($B96))))&gt;=MAX($A96,Settings!$F$54),IF(Settings!$E$54="",$B96,DATE(YEAR($A96),MONTH($A96),MIN(Settings!$E$54,DAY($B96))))&lt;=MIN($C96,IF(Settings!$G$54="",$C96,Settings!$G$54))),1,0)))</f>
        <v/>
      </c>
      <c r="BO96">
        <f>IF(OR(Settings!$C$55="",Settings!$D$55=""),0,Settings!$C$55*IF(Settings!$D$55="Weekly",IF(IFERROR(MATCH(Settings!$E$55,$EO$4:$EO$10,0),0)=0,0,IF(MIN($C96,IF(Settings!$G$55="",$C96,Settings!$G$55))&lt;MAX($A96,Settings!$F$55),0,INT((MIN($C96,IF(Settings!$G$55="",$C96,Settings!$G$55))-MAX($A96,Settings!$F$55)-MOD(IFERROR(MATCH(Settings!$E$55,$EO$4:$EO$10,0),0)-WEEKDAY(MAX($A96,Settings!$F$55)),7))/7)+1)),IF(AND(IF(Settings!$E$55="",$B96,DATE(YEAR($A96),MONTH($A96),MIN(Settings!$E$55,DAY($B96))))&gt;=MAX($A96,Settings!$F$55),IF(Settings!$E$55="",$B96,DATE(YEAR($A96),MONTH($A96),MIN(Settings!$E$55,DAY($B96))))&lt;=MIN($C96,IF(Settings!$G$55="",$C96,Settings!$G$55))),1,0)))</f>
        <v/>
      </c>
      <c r="BP96">
        <f>IF(OR(Settings!$C$56="",Settings!$D$56=""),0,Settings!$C$56*IF(Settings!$D$56="Weekly",IF(IFERROR(MATCH(Settings!$E$56,$EO$4:$EO$10,0),0)=0,0,IF(MIN($C96,IF(Settings!$G$56="",$C96,Settings!$G$56))&lt;MAX($A96,Settings!$F$56),0,INT((MIN($C96,IF(Settings!$G$56="",$C96,Settings!$G$56))-MAX($A96,Settings!$F$56)-MOD(IFERROR(MATCH(Settings!$E$56,$EO$4:$EO$10,0),0)-WEEKDAY(MAX($A96,Settings!$F$56)),7))/7)+1)),IF(AND(IF(Settings!$E$56="",$B96,DATE(YEAR($A96),MONTH($A96),MIN(Settings!$E$56,DAY($B96))))&gt;=MAX($A96,Settings!$F$56),IF(Settings!$E$56="",$B96,DATE(YEAR($A96),MONTH($A96),MIN(Settings!$E$56,DAY($B96))))&lt;=MIN($C96,IF(Settings!$G$56="",$C96,Settings!$G$56))),1,0)))</f>
        <v/>
      </c>
      <c r="BQ96">
        <f>IF(OR(Settings!$B$14="",$D96=1,$E96="pre",$A96&lt;IF(Settings!$B$15="",0,Settings!$B$15)),0,Settings!$B$14)</f>
        <v/>
      </c>
      <c r="BR96">
        <f>IF(AND('Month-End'!$CO$7&lt;&gt;"",NOT(_xlfn.ISFORMULA('Month-End'!$CO$7))),1,0)</f>
        <v/>
      </c>
      <c r="BS96">
        <f>IF(AND('Month-End'!$CO$8&lt;&gt;"",NOT(_xlfn.ISFORMULA('Month-End'!$CO$8))),1,0)</f>
        <v/>
      </c>
      <c r="BT96">
        <f>IF(AND('Month-End'!$CO$9&lt;&gt;"",NOT(_xlfn.ISFORMULA('Month-End'!$CO$9))),1,0)</f>
        <v/>
      </c>
      <c r="BU96">
        <f>IF(AND('Month-End'!$CO$10&lt;&gt;"",NOT(_xlfn.ISFORMULA('Month-End'!$CO$10))),1,0)</f>
        <v/>
      </c>
      <c r="BV96">
        <f>IF(AND('Month-End'!$CO$11&lt;&gt;"",NOT(_xlfn.ISFORMULA('Month-End'!$CO$11))),1,0)</f>
        <v/>
      </c>
      <c r="BW96">
        <f>IF(AND('Month-End'!$CO$12&lt;&gt;"",NOT(_xlfn.ISFORMULA('Month-End'!$CO$12))),1,0)</f>
        <v/>
      </c>
      <c r="BX96">
        <f>IF(AND('Month-End'!$CO$13&lt;&gt;"",NOT(_xlfn.ISFORMULA('Month-End'!$CO$13))),1,0)</f>
        <v/>
      </c>
      <c r="BY96">
        <f>IF(AND('Month-End'!$CO$14&lt;&gt;"",NOT(_xlfn.ISFORMULA('Month-End'!$CO$14))),1,0)</f>
        <v/>
      </c>
      <c r="BZ96">
        <f>IF(AND('Month-End'!$CO$15&lt;&gt;"",NOT(_xlfn.ISFORMULA('Month-End'!$CO$15))),1,0)</f>
        <v/>
      </c>
      <c r="CA96">
        <f>IF(AND('Month-End'!$CO$16&lt;&gt;"",NOT(_xlfn.ISFORMULA('Month-End'!$CO$16))),1,0)</f>
        <v/>
      </c>
      <c r="CB96">
        <f>IF(AND('Month-End'!$CO$17&lt;&gt;"",NOT(_xlfn.ISFORMULA('Month-End'!$CO$17))),1,0)</f>
        <v/>
      </c>
      <c r="CC96">
        <f>IF(AND('Month-End'!$CO$18&lt;&gt;"",NOT(_xlfn.ISFORMULA('Month-End'!$CO$18))),1,0)</f>
        <v/>
      </c>
      <c r="CD96">
        <f>IF(AND('Month-End'!$CO$19&lt;&gt;"",NOT(_xlfn.ISFORMULA('Month-End'!$CO$19))),1,0)</f>
        <v/>
      </c>
      <c r="CE96">
        <f>IF(AND('Month-End'!$CO$20&lt;&gt;"",NOT(_xlfn.ISFORMULA('Month-End'!$CO$20))),1,0)</f>
        <v/>
      </c>
      <c r="CF96">
        <f>IF(AND('Month-End'!$CO$38&lt;&gt;"",NOT(_xlfn.ISFORMULA('Month-End'!$CO$38))),1,0)</f>
        <v/>
      </c>
      <c r="CG96">
        <f>IF(AND('Month-End'!$CO$39&lt;&gt;"",NOT(_xlfn.ISFORMULA('Month-End'!$CO$39))),1,0)</f>
        <v/>
      </c>
      <c r="CH96">
        <f>IF(AND('Month-End'!$CO$40&lt;&gt;"",NOT(_xlfn.ISFORMULA('Month-End'!$CO$40))),1,0)</f>
        <v/>
      </c>
      <c r="CI96">
        <f>IF(AND('Month-End'!$CO$41&lt;&gt;"",NOT(_xlfn.ISFORMULA('Month-End'!$CO$41))),1,0)</f>
        <v/>
      </c>
      <c r="CJ96">
        <f>IF(AND('Month-End'!$CO$42&lt;&gt;"",NOT(_xlfn.ISFORMULA('Month-End'!$CO$42))),1,0)</f>
        <v/>
      </c>
      <c r="CK96">
        <f>IF(AND('Month-End'!$CO$43&lt;&gt;"",NOT(_xlfn.ISFORMULA('Month-End'!$CO$43))),1,0)</f>
        <v/>
      </c>
      <c r="CL96">
        <f>SUM($CM96:$CZ96)</f>
        <v/>
      </c>
      <c r="CM96">
        <f>IF(AND($E96&lt;&gt;"pre",AND(Settings!$A$19&lt;&gt;"",Settings!$E$19&lt;&gt;"No"),Settings!$F$19="Yes",NOT(AND('Month-End'!$CO$7&lt;&gt;"",NOT(_xlfn.ISFORMULA('Month-End'!$CO$7))))),1,0)</f>
        <v/>
      </c>
      <c r="CN96">
        <f>IF(AND($E96&lt;&gt;"pre",AND(Settings!$A$20&lt;&gt;"",Settings!$E$20&lt;&gt;"No"),Settings!$F$20="Yes",NOT(AND('Month-End'!$CO$8&lt;&gt;"",NOT(_xlfn.ISFORMULA('Month-End'!$CO$8))))),1,0)</f>
        <v/>
      </c>
      <c r="CO96">
        <f>IF(AND($E96&lt;&gt;"pre",AND(Settings!$A$21&lt;&gt;"",Settings!$E$21&lt;&gt;"No"),Settings!$F$21="Yes",NOT(AND('Month-End'!$CO$9&lt;&gt;"",NOT(_xlfn.ISFORMULA('Month-End'!$CO$9))))),1,0)</f>
        <v/>
      </c>
      <c r="CP96">
        <f>IF(AND($E96&lt;&gt;"pre",AND(Settings!$A$22&lt;&gt;"",Settings!$E$22&lt;&gt;"No"),Settings!$F$22="Yes",NOT(AND('Month-End'!$CO$10&lt;&gt;"",NOT(_xlfn.ISFORMULA('Month-End'!$CO$10))))),1,0)</f>
        <v/>
      </c>
      <c r="CQ96">
        <f>IF(AND($E96&lt;&gt;"pre",AND(Settings!$A$23&lt;&gt;"",Settings!$E$23&lt;&gt;"No"),Settings!$F$23="Yes",NOT(AND('Month-End'!$CO$11&lt;&gt;"",NOT(_xlfn.ISFORMULA('Month-End'!$CO$11))))),1,0)</f>
        <v/>
      </c>
      <c r="CR96">
        <f>IF(AND($E96&lt;&gt;"pre",AND(Settings!$A$24&lt;&gt;"",Settings!$E$24&lt;&gt;"No"),Settings!$F$24="Yes",NOT(AND('Month-End'!$CO$12&lt;&gt;"",NOT(_xlfn.ISFORMULA('Month-End'!$CO$12))))),1,0)</f>
        <v/>
      </c>
      <c r="CS96">
        <f>IF(AND($E96&lt;&gt;"pre",AND(Settings!$A$25&lt;&gt;"",Settings!$E$25&lt;&gt;"No"),Settings!$F$25="Yes",NOT(AND('Month-End'!$CO$13&lt;&gt;"",NOT(_xlfn.ISFORMULA('Month-End'!$CO$13))))),1,0)</f>
        <v/>
      </c>
      <c r="CT96">
        <f>IF(AND($E96&lt;&gt;"pre",AND(Settings!$A$26&lt;&gt;"",Settings!$E$26&lt;&gt;"No"),Settings!$F$26="Yes",NOT(AND('Month-End'!$CO$14&lt;&gt;"",NOT(_xlfn.ISFORMULA('Month-End'!$CO$14))))),1,0)</f>
        <v/>
      </c>
      <c r="CU96">
        <f>IF(AND($E96&lt;&gt;"pre",AND(Settings!$A$27&lt;&gt;"",Settings!$E$27&lt;&gt;"No"),Settings!$F$27="Yes",NOT(AND('Month-End'!$CO$15&lt;&gt;"",NOT(_xlfn.ISFORMULA('Month-End'!$CO$15))))),1,0)</f>
        <v/>
      </c>
      <c r="CV96">
        <f>IF(AND($E96&lt;&gt;"pre",AND(Settings!$A$28&lt;&gt;"",Settings!$E$28&lt;&gt;"No"),Settings!$F$28="Yes",NOT(AND('Month-End'!$CO$16&lt;&gt;"",NOT(_xlfn.ISFORMULA('Month-End'!$CO$16))))),1,0)</f>
        <v/>
      </c>
      <c r="CW96">
        <f>IF(AND($E96&lt;&gt;"pre",AND(Settings!$A$29&lt;&gt;"",Settings!$E$29&lt;&gt;"No"),Settings!$F$29="Yes",NOT(AND('Month-End'!$CO$17&lt;&gt;"",NOT(_xlfn.ISFORMULA('Month-End'!$CO$17))))),1,0)</f>
        <v/>
      </c>
      <c r="CX96">
        <f>IF(AND($E96&lt;&gt;"pre",AND(Settings!$A$30&lt;&gt;"",Settings!$E$30&lt;&gt;"No"),Settings!$F$30="Yes",NOT(AND('Month-End'!$CO$18&lt;&gt;"",NOT(_xlfn.ISFORMULA('Month-End'!$CO$18))))),1,0)</f>
        <v/>
      </c>
      <c r="CY96">
        <f>IF(AND($E96&lt;&gt;"pre",AND(Settings!$A$31&lt;&gt;"",Settings!$E$31&lt;&gt;"No"),Settings!$F$31="Yes",NOT(AND('Month-End'!$CO$19&lt;&gt;"",NOT(_xlfn.ISFORMULA('Month-End'!$CO$19))))),1,0)</f>
        <v/>
      </c>
      <c r="CZ96">
        <f>IF(AND($E96&lt;&gt;"pre",AND(Settings!$A$32&lt;&gt;"",Settings!$E$32&lt;&gt;"No"),Settings!$F$32="Yes",NOT(AND('Month-End'!$CO$20&lt;&gt;"",NOT(_xlfn.ISFORMULA('Month-End'!$CO$20))))),1,0)</f>
        <v/>
      </c>
      <c r="DA96">
        <f>IF($DT96=1,IF(OR(Settings!$B$19="Checking",Settings!$B$19="Savings",Settings!$B$19="Cash"),N($AE96),IF(OR(Settings!$B$19="Card",Settings!$B$19="Loan"),-N($AE96),0))+IF(OR(Settings!$B$20="Checking",Settings!$B$20="Savings",Settings!$B$20="Cash"),N($AF96),IF(OR(Settings!$B$20="Card",Settings!$B$20="Loan"),-N($AF96),0))+IF(OR(Settings!$B$21="Checking",Settings!$B$21="Savings",Settings!$B$21="Cash"),N($AG96),IF(OR(Settings!$B$21="Card",Settings!$B$21="Loan"),-N($AG96),0))+IF(OR(Settings!$B$22="Checking",Settings!$B$22="Savings",Settings!$B$22="Cash"),N($AH96),IF(OR(Settings!$B$22="Card",Settings!$B$22="Loan"),-N($AH96),0))+IF(OR(Settings!$B$23="Checking",Settings!$B$23="Savings",Settings!$B$23="Cash"),N($AI96),IF(OR(Settings!$B$23="Card",Settings!$B$23="Loan"),-N($AI96),0))+IF(OR(Settings!$B$24="Checking",Settings!$B$24="Savings",Settings!$B$24="Cash"),N($AJ96),IF(OR(Settings!$B$24="Card",Settings!$B$24="Loan"),-N($AJ96),0))+IF(OR(Settings!$B$25="Checking",Settings!$B$25="Savings",Settings!$B$25="Cash"),N($AK96),IF(OR(Settings!$B$25="Card",Settings!$B$25="Loan"),-N($AK96),0))+IF(OR(Settings!$B$26="Checking",Settings!$B$26="Savings",Settings!$B$26="Cash"),N($AL96),IF(OR(Settings!$B$26="Card",Settings!$B$26="Loan"),-N($AL96),0))+IF(OR(Settings!$B$27="Checking",Settings!$B$27="Savings",Settings!$B$27="Cash"),N($AM96),IF(OR(Settings!$B$27="Card",Settings!$B$27="Loan"),-N($AM96),0))+IF(OR(Settings!$B$28="Checking",Settings!$B$28="Savings",Settings!$B$28="Cash"),N($AN96),IF(OR(Settings!$B$28="Card",Settings!$B$28="Loan"),-N($AN96),0))+IF(OR(Settings!$B$29="Checking",Settings!$B$29="Savings",Settings!$B$29="Cash"),N($AO96),IF(OR(Settings!$B$29="Card",Settings!$B$29="Loan"),-N($AO96),0))+IF(OR(Settings!$B$30="Checking",Settings!$B$30="Savings",Settings!$B$30="Cash"),N($AP96),IF(OR(Settings!$B$30="Card",Settings!$B$30="Loan"),-N($AP96),0))+IF(OR(Settings!$B$31="Checking",Settings!$B$31="Savings",Settings!$B$31="Cash"),N($AQ96),IF(OR(Settings!$B$31="Card",Settings!$B$31="Loan"),-N($AQ96),0))+IF(OR(Settings!$B$32="Checking",Settings!$B$32="Savings",Settings!$B$32="Cash"),N($AR96),IF(OR(Settings!$B$32="Card",Settings!$B$32="Loan"),-N($AR96),0)),"")</f>
        <v/>
      </c>
      <c r="DB96">
        <f>IF($E96="open",$EB$27,IF($E96="post",IF($E95="pre",$EB$27,$DA95),""))</f>
        <v/>
      </c>
      <c r="DC96">
        <f>IF($E96="open",1,IF($E96="post",IF($E95="pre",1,$DT95),0))</f>
        <v/>
      </c>
      <c r="DD96">
        <f>IF(AND($DT96=1,$DC96=1),ROUND($W96-($DA96-$DB96)-$AD96-$AB96,2),"")</f>
        <v/>
      </c>
      <c r="DE96">
        <f>IF('Month-End'!$CO$35="",$BQ96,N('Month-End'!$CO$35))</f>
        <v/>
      </c>
      <c r="DF96">
        <f>N('Month-End'!$CO$36)</f>
        <v/>
      </c>
      <c r="DG96">
        <f>IF($DD96="","",$DD96+$DE96)</f>
        <v/>
      </c>
      <c r="DH96">
        <f>IF($DG96="","",$DG96-$DF96)</f>
        <v/>
      </c>
      <c r="DI96">
        <f>IF(OR($E96="pre",$D96=1),"",N($AS96)+N($AT96)+N($AU96)+N($AV96)+N($AW96)+N($AX96))</f>
        <v/>
      </c>
      <c r="DJ96">
        <f>IF($DT96=1,$DA96+N($DI96),"")</f>
        <v/>
      </c>
      <c r="DK96">
        <f>IF($DD96="","",$W96-$DD96-$AB96)</f>
        <v/>
      </c>
      <c r="DL96">
        <f>IF(AND($E96="post",$DD96&lt;&gt;"",$B96&lt;TODAY()),1,0)</f>
        <v/>
      </c>
      <c r="DM96">
        <f>IF($DL96=1,COUNTIF($DL96:$DL$183,1),0)</f>
        <v/>
      </c>
      <c r="DN96">
        <f>IF($D96=1,"",IF($E96="pre","History only",IF($DT96=1,IF($DD96="","⚠ Previous month missing",IF($DD96&lt;0,"⚠ Check: spending &lt; 0",IF($E96="open","✓ Done (partial)","✓ Done"))),IF($B96&gt;=TODAY(),"In progress","⚠ Needs balances"))))</f>
        <v/>
      </c>
      <c r="DO96">
        <f>YEAR($A96)</f>
        <v/>
      </c>
      <c r="DP96">
        <f>DATE(YEAR($A96),INT((MONTH($A96)-1)/3)*3+1,1)</f>
        <v/>
      </c>
      <c r="DQ96">
        <f>IF(AND($DT96=1,$DD96&lt;&gt;"",$D96=0),ROW(),0)</f>
        <v/>
      </c>
      <c r="DR96">
        <f>IF(AND($E96&lt;&gt;"pre",$B96&lt;TODAY(),$DT96=0),1,0)</f>
        <v/>
      </c>
      <c r="DS96">
        <f>IF($DJ96="",NA(),$DJ96)</f>
        <v/>
      </c>
      <c r="DT96">
        <f>IF(AND($E96&lt;&gt;"pre",$CL96=0,COUNTIFS(Settings!$F$19:$F$32,"Yes",Settings!$A$19:$A$32,"&lt;&gt;",Settings!$E$19:$E$32,"&lt;&gt;No")&gt;0),1,0)</f>
        <v/>
      </c>
      <c r="DU96">
        <f>IF(AND($B96&lt;TODAY(),$S96&gt;0),1,0)</f>
        <v/>
      </c>
      <c r="DV96">
        <f>IF($DU96=1,COUNTIF($DU96:$DU$183,1),0)</f>
        <v/>
      </c>
      <c r="DW96">
        <f>IF(AND(OR(Settings!$B$19="Card",Settings!$B$19="Loan"),AND('Month-End'!$CO$7&lt;&gt;"",NOT(_xlfn.ISFORMULA('Month-End'!$CO$7)))),IF(N('Month-End'!$CO$7)&lt;0,1,0),0)+IF(AND(OR(Settings!$B$20="Card",Settings!$B$20="Loan"),AND('Month-End'!$CO$8&lt;&gt;"",NOT(_xlfn.ISFORMULA('Month-End'!$CO$8)))),IF(N('Month-End'!$CO$8)&lt;0,1,0),0)+IF(AND(OR(Settings!$B$21="Card",Settings!$B$21="Loan"),AND('Month-End'!$CO$9&lt;&gt;"",NOT(_xlfn.ISFORMULA('Month-End'!$CO$9)))),IF(N('Month-End'!$CO$9)&lt;0,1,0),0)+IF(AND(OR(Settings!$B$22="Card",Settings!$B$22="Loan"),AND('Month-End'!$CO$10&lt;&gt;"",NOT(_xlfn.ISFORMULA('Month-End'!$CO$10)))),IF(N('Month-End'!$CO$10)&lt;0,1,0),0)+IF(AND(OR(Settings!$B$23="Card",Settings!$B$23="Loan"),AND('Month-End'!$CO$11&lt;&gt;"",NOT(_xlfn.ISFORMULA('Month-End'!$CO$11)))),IF(N('Month-End'!$CO$11)&lt;0,1,0),0)+IF(AND(OR(Settings!$B$24="Card",Settings!$B$24="Loan"),AND('Month-End'!$CO$12&lt;&gt;"",NOT(_xlfn.ISFORMULA('Month-End'!$CO$12)))),IF(N('Month-End'!$CO$12)&lt;0,1,0),0)+IF(AND(OR(Settings!$B$25="Card",Settings!$B$25="Loan"),AND('Month-End'!$CO$13&lt;&gt;"",NOT(_xlfn.ISFORMULA('Month-End'!$CO$13)))),IF(N('Month-End'!$CO$13)&lt;0,1,0),0)+IF(AND(OR(Settings!$B$26="Card",Settings!$B$26="Loan"),AND('Month-End'!$CO$14&lt;&gt;"",NOT(_xlfn.ISFORMULA('Month-End'!$CO$14)))),IF(N('Month-End'!$CO$14)&lt;0,1,0),0)+IF(AND(OR(Settings!$B$27="Card",Settings!$B$27="Loan"),AND('Month-End'!$CO$15&lt;&gt;"",NOT(_xlfn.ISFORMULA('Month-End'!$CO$15)))),IF(N('Month-End'!$CO$15)&lt;0,1,0),0)+IF(AND(OR(Settings!$B$28="Card",Settings!$B$28="Loan"),AND('Month-End'!$CO$16&lt;&gt;"",NOT(_xlfn.ISFORMULA('Month-End'!$CO$16)))),IF(N('Month-End'!$CO$16)&lt;0,1,0),0)+IF(AND(OR(Settings!$B$29="Card",Settings!$B$29="Loan"),AND('Month-End'!$CO$17&lt;&gt;"",NOT(_xlfn.ISFORMULA('Month-End'!$CO$17)))),IF(N('Month-End'!$CO$17)&lt;0,1,0),0)+IF(AND(OR(Settings!$B$30="Card",Settings!$B$30="Loan"),AND('Month-End'!$CO$18&lt;&gt;"",NOT(_xlfn.ISFORMULA('Month-End'!$CO$18)))),IF(N('Month-End'!$CO$18)&lt;0,1,0),0)+IF(AND(OR(Settings!$B$31="Card",Settings!$B$31="Loan"),AND('Month-End'!$CO$19&lt;&gt;"",NOT(_xlfn.ISFORMULA('Month-End'!$CO$19)))),IF(N('Month-End'!$CO$19)&lt;0,1,0),0)+IF(AND(OR(Settings!$B$32="Card",Settings!$B$32="Loan"),AND('Month-End'!$CO$20&lt;&gt;"",NOT(_xlfn.ISFORMULA('Month-End'!$CO$20)))),IF(N('Month-End'!$CO$20)&lt;0,1,0),0)</f>
        <v/>
      </c>
      <c r="DX96">
        <f>IF(Settings!$B$36="Retirement",$AY96,0)+IF(Settings!$B$37="Retirement",$AZ96,0)+IF(Settings!$B$38="Retirement",$BA96,0)+IF(Settings!$B$39="Retirement",$BB96,0)+IF(Settings!$B$40="Retirement",$BC96,0)+IF(Settings!$B$41="Retirement",$BD96,0)</f>
        <v/>
      </c>
      <c r="EA96">
        <f>IF(COUNTIF(Settings!$D$19:$D$32,"Yes")+COUNTIF(Settings!$F$36:$F$41,"Yes")=0,"✓ No estimated opening values","ℹ "&amp;(COUNTIF(Settings!$D$19:$D$32,"Yes")+COUNTIF(Settings!$F$36:$F$41,"Yes"))&amp;" opening values are estimates (Settings) — replace when you can")</f>
        <v/>
      </c>
      <c r="ET96">
        <f>IF($E96&lt;&gt;"open",0,IF(AND('Month-End'!$CO$22&lt;&gt;"",NOT(_xlfn.ISFORMULA('Month-End'!$CO$22))),0,IF(OR(Settings!$C$45="",Settings!$D$45=""),0,Settings!$C$45*IF(Settings!$D$45="Weekly",IF(IFERROR(MATCH(Settings!$E$45,$EO$4:$EO$10,0),0)=0,0,IF(MIN(Settings!$B$5,IF(Settings!$G$45="",Settings!$B$5,Settings!$G$45))&lt;MAX($A96,Settings!$F$45),0,INT((MIN(Settings!$B$5,IF(Settings!$G$45="",Settings!$B$5,Settings!$G$45))-MAX($A96,Settings!$F$45)-MOD(IFERROR(MATCH(Settings!$E$45,$EO$4:$EO$10,0),0)-WEEKDAY(MAX($A96,Settings!$F$45)),7))/7)+1)),IF(AND(IF(Settings!$E$45="",$B96,DATE(YEAR($A96),MONTH($A96),MIN(Settings!$E$45,DAY($B96))))&gt;=MAX($A96,Settings!$F$45),IF(Settings!$E$45="",$B96,DATE(YEAR($A96),MONTH($A96),MIN(Settings!$E$45,DAY($B96))))&lt;=MIN(Settings!$B$5,IF(Settings!$G$45="",Settings!$B$5,Settings!$G$45))),1,0)))))</f>
        <v/>
      </c>
      <c r="EU96">
        <f>IF($E96&lt;&gt;"open",0,IF(AND('Month-End'!$CO$23&lt;&gt;"",NOT(_xlfn.ISFORMULA('Month-End'!$CO$23))),0,IF(OR(Settings!$C$46="",Settings!$D$46=""),0,Settings!$C$46*IF(Settings!$D$46="Weekly",IF(IFERROR(MATCH(Settings!$E$46,$EO$4:$EO$10,0),0)=0,0,IF(MIN(Settings!$B$5,IF(Settings!$G$46="",Settings!$B$5,Settings!$G$46))&lt;MAX($A96,Settings!$F$46),0,INT((MIN(Settings!$B$5,IF(Settings!$G$46="",Settings!$B$5,Settings!$G$46))-MAX($A96,Settings!$F$46)-MOD(IFERROR(MATCH(Settings!$E$46,$EO$4:$EO$10,0),0)-WEEKDAY(MAX($A96,Settings!$F$46)),7))/7)+1)),IF(AND(IF(Settings!$E$46="",$B96,DATE(YEAR($A96),MONTH($A96),MIN(Settings!$E$46,DAY($B96))))&gt;=MAX($A96,Settings!$F$46),IF(Settings!$E$46="",$B96,DATE(YEAR($A96),MONTH($A96),MIN(Settings!$E$46,DAY($B96))))&lt;=MIN(Settings!$B$5,IF(Settings!$G$46="",Settings!$B$5,Settings!$G$46))),1,0)))))</f>
        <v/>
      </c>
      <c r="EV96">
        <f>IF($E96&lt;&gt;"open",0,IF(AND('Month-End'!$CO$24&lt;&gt;"",NOT(_xlfn.ISFORMULA('Month-End'!$CO$24))),0,IF(OR(Settings!$C$47="",Settings!$D$47=""),0,Settings!$C$47*IF(Settings!$D$47="Weekly",IF(IFERROR(MATCH(Settings!$E$47,$EO$4:$EO$10,0),0)=0,0,IF(MIN(Settings!$B$5,IF(Settings!$G$47="",Settings!$B$5,Settings!$G$47))&lt;MAX($A96,Settings!$F$47),0,INT((MIN(Settings!$B$5,IF(Settings!$G$47="",Settings!$B$5,Settings!$G$47))-MAX($A96,Settings!$F$47)-MOD(IFERROR(MATCH(Settings!$E$47,$EO$4:$EO$10,0),0)-WEEKDAY(MAX($A96,Settings!$F$47)),7))/7)+1)),IF(AND(IF(Settings!$E$47="",$B96,DATE(YEAR($A96),MONTH($A96),MIN(Settings!$E$47,DAY($B96))))&gt;=MAX($A96,Settings!$F$47),IF(Settings!$E$47="",$B96,DATE(YEAR($A96),MONTH($A96),MIN(Settings!$E$47,DAY($B96))))&lt;=MIN(Settings!$B$5,IF(Settings!$G$47="",Settings!$B$5,Settings!$G$47))),1,0)))))</f>
        <v/>
      </c>
      <c r="EW96">
        <f>IF($E96&lt;&gt;"open",0,IF(AND('Month-End'!$CO$25&lt;&gt;"",NOT(_xlfn.ISFORMULA('Month-End'!$CO$25))),0,IF(OR(Settings!$C$48="",Settings!$D$48=""),0,Settings!$C$48*IF(Settings!$D$48="Weekly",IF(IFERROR(MATCH(Settings!$E$48,$EO$4:$EO$10,0),0)=0,0,IF(MIN(Settings!$B$5,IF(Settings!$G$48="",Settings!$B$5,Settings!$G$48))&lt;MAX($A96,Settings!$F$48),0,INT((MIN(Settings!$B$5,IF(Settings!$G$48="",Settings!$B$5,Settings!$G$48))-MAX($A96,Settings!$F$48)-MOD(IFERROR(MATCH(Settings!$E$48,$EO$4:$EO$10,0),0)-WEEKDAY(MAX($A96,Settings!$F$48)),7))/7)+1)),IF(AND(IF(Settings!$E$48="",$B96,DATE(YEAR($A96),MONTH($A96),MIN(Settings!$E$48,DAY($B96))))&gt;=MAX($A96,Settings!$F$48),IF(Settings!$E$48="",$B96,DATE(YEAR($A96),MONTH($A96),MIN(Settings!$E$48,DAY($B96))))&lt;=MIN(Settings!$B$5,IF(Settings!$G$48="",Settings!$B$5,Settings!$G$48))),1,0)))))</f>
        <v/>
      </c>
      <c r="EX96">
        <f>IF($E96&lt;&gt;"open",0,IF(AND('Month-End'!$CO$26&lt;&gt;"",NOT(_xlfn.ISFORMULA('Month-End'!$CO$26))),0,IF(OR(Settings!$C$49="",Settings!$D$49=""),0,Settings!$C$49*IF(Settings!$D$49="Weekly",IF(IFERROR(MATCH(Settings!$E$49,$EO$4:$EO$10,0),0)=0,0,IF(MIN(Settings!$B$5,IF(Settings!$G$49="",Settings!$B$5,Settings!$G$49))&lt;MAX($A96,Settings!$F$49),0,INT((MIN(Settings!$B$5,IF(Settings!$G$49="",Settings!$B$5,Settings!$G$49))-MAX($A96,Settings!$F$49)-MOD(IFERROR(MATCH(Settings!$E$49,$EO$4:$EO$10,0),0)-WEEKDAY(MAX($A96,Settings!$F$49)),7))/7)+1)),IF(AND(IF(Settings!$E$49="",$B96,DATE(YEAR($A96),MONTH($A96),MIN(Settings!$E$49,DAY($B96))))&gt;=MAX($A96,Settings!$F$49),IF(Settings!$E$49="",$B96,DATE(YEAR($A96),MONTH($A96),MIN(Settings!$E$49,DAY($B96))))&lt;=MIN(Settings!$B$5,IF(Settings!$G$49="",Settings!$B$5,Settings!$G$49))),1,0)))))</f>
        <v/>
      </c>
      <c r="EY96">
        <f>IF($E96&lt;&gt;"open",0,IF(AND('Month-End'!$CO$27&lt;&gt;"",NOT(_xlfn.ISFORMULA('Month-End'!$CO$27))),0,IF(OR(Settings!$C$50="",Settings!$D$50=""),0,Settings!$C$50*IF(Settings!$D$50="Weekly",IF(IFERROR(MATCH(Settings!$E$50,$EO$4:$EO$10,0),0)=0,0,IF(MIN(Settings!$B$5,IF(Settings!$G$50="",Settings!$B$5,Settings!$G$50))&lt;MAX($A96,Settings!$F$50),0,INT((MIN(Settings!$B$5,IF(Settings!$G$50="",Settings!$B$5,Settings!$G$50))-MAX($A96,Settings!$F$50)-MOD(IFERROR(MATCH(Settings!$E$50,$EO$4:$EO$10,0),0)-WEEKDAY(MAX($A96,Settings!$F$50)),7))/7)+1)),IF(AND(IF(Settings!$E$50="",$B96,DATE(YEAR($A96),MONTH($A96),MIN(Settings!$E$50,DAY($B96))))&gt;=MAX($A96,Settings!$F$50),IF(Settings!$E$50="",$B96,DATE(YEAR($A96),MONTH($A96),MIN(Settings!$E$50,DAY($B96))))&lt;=MIN(Settings!$B$5,IF(Settings!$G$50="",Settings!$B$5,Settings!$G$50))),1,0)))))</f>
        <v/>
      </c>
      <c r="EZ96">
        <f>IF($E96&lt;&gt;"open",0,IF(AND('Month-End'!$CO$28&lt;&gt;"",NOT(_xlfn.ISFORMULA('Month-End'!$CO$28))),0,IF(OR(Settings!$C$51="",Settings!$D$51=""),0,Settings!$C$51*IF(Settings!$D$51="Weekly",IF(IFERROR(MATCH(Settings!$E$51,$EO$4:$EO$10,0),0)=0,0,IF(MIN(Settings!$B$5,IF(Settings!$G$51="",Settings!$B$5,Settings!$G$51))&lt;MAX($A96,Settings!$F$51),0,INT((MIN(Settings!$B$5,IF(Settings!$G$51="",Settings!$B$5,Settings!$G$51))-MAX($A96,Settings!$F$51)-MOD(IFERROR(MATCH(Settings!$E$51,$EO$4:$EO$10,0),0)-WEEKDAY(MAX($A96,Settings!$F$51)),7))/7)+1)),IF(AND(IF(Settings!$E$51="",$B96,DATE(YEAR($A96),MONTH($A96),MIN(Settings!$E$51,DAY($B96))))&gt;=MAX($A96,Settings!$F$51),IF(Settings!$E$51="",$B96,DATE(YEAR($A96),MONTH($A96),MIN(Settings!$E$51,DAY($B96))))&lt;=MIN(Settings!$B$5,IF(Settings!$G$51="",Settings!$B$5,Settings!$G$51))),1,0)))))</f>
        <v/>
      </c>
      <c r="FA96">
        <f>IF($E96&lt;&gt;"open",0,IF(AND('Month-End'!$CO$29&lt;&gt;"",NOT(_xlfn.ISFORMULA('Month-End'!$CO$29))),0,IF(OR(Settings!$C$52="",Settings!$D$52=""),0,Settings!$C$52*IF(Settings!$D$52="Weekly",IF(IFERROR(MATCH(Settings!$E$52,$EO$4:$EO$10,0),0)=0,0,IF(MIN(Settings!$B$5,IF(Settings!$G$52="",Settings!$B$5,Settings!$G$52))&lt;MAX($A96,Settings!$F$52),0,INT((MIN(Settings!$B$5,IF(Settings!$G$52="",Settings!$B$5,Settings!$G$52))-MAX($A96,Settings!$F$52)-MOD(IFERROR(MATCH(Settings!$E$52,$EO$4:$EO$10,0),0)-WEEKDAY(MAX($A96,Settings!$F$52)),7))/7)+1)),IF(AND(IF(Settings!$E$52="",$B96,DATE(YEAR($A96),MONTH($A96),MIN(Settings!$E$52,DAY($B96))))&gt;=MAX($A96,Settings!$F$52),IF(Settings!$E$52="",$B96,DATE(YEAR($A96),MONTH($A96),MIN(Settings!$E$52,DAY($B96))))&lt;=MIN(Settings!$B$5,IF(Settings!$G$52="",Settings!$B$5,Settings!$G$52))),1,0)))))</f>
        <v/>
      </c>
      <c r="FB96">
        <f>IF($E96&lt;&gt;"open",0,IF(AND('Month-End'!$CO$30&lt;&gt;"",NOT(_xlfn.ISFORMULA('Month-End'!$CO$30))),0,IF(OR(Settings!$C$53="",Settings!$D$53=""),0,Settings!$C$53*IF(Settings!$D$53="Weekly",IF(IFERROR(MATCH(Settings!$E$53,$EO$4:$EO$10,0),0)=0,0,IF(MIN(Settings!$B$5,IF(Settings!$G$53="",Settings!$B$5,Settings!$G$53))&lt;MAX($A96,Settings!$F$53),0,INT((MIN(Settings!$B$5,IF(Settings!$G$53="",Settings!$B$5,Settings!$G$53))-MAX($A96,Settings!$F$53)-MOD(IFERROR(MATCH(Settings!$E$53,$EO$4:$EO$10,0),0)-WEEKDAY(MAX($A96,Settings!$F$53)),7))/7)+1)),IF(AND(IF(Settings!$E$53="",$B96,DATE(YEAR($A96),MONTH($A96),MIN(Settings!$E$53,DAY($B96))))&gt;=MAX($A96,Settings!$F$53),IF(Settings!$E$53="",$B96,DATE(YEAR($A96),MONTH($A96),MIN(Settings!$E$53,DAY($B96))))&lt;=MIN(Settings!$B$5,IF(Settings!$G$53="",Settings!$B$5,Settings!$G$53))),1,0)))))</f>
        <v/>
      </c>
      <c r="FC96">
        <f>IF($E96&lt;&gt;"open",0,IF(AND('Month-End'!$CO$31&lt;&gt;"",NOT(_xlfn.ISFORMULA('Month-End'!$CO$31))),0,IF(OR(Settings!$C$54="",Settings!$D$54=""),0,Settings!$C$54*IF(Settings!$D$54="Weekly",IF(IFERROR(MATCH(Settings!$E$54,$EO$4:$EO$10,0),0)=0,0,IF(MIN(Settings!$B$5,IF(Settings!$G$54="",Settings!$B$5,Settings!$G$54))&lt;MAX($A96,Settings!$F$54),0,INT((MIN(Settings!$B$5,IF(Settings!$G$54="",Settings!$B$5,Settings!$G$54))-MAX($A96,Settings!$F$54)-MOD(IFERROR(MATCH(Settings!$E$54,$EO$4:$EO$10,0),0)-WEEKDAY(MAX($A96,Settings!$F$54)),7))/7)+1)),IF(AND(IF(Settings!$E$54="",$B96,DATE(YEAR($A96),MONTH($A96),MIN(Settings!$E$54,DAY($B96))))&gt;=MAX($A96,Settings!$F$54),IF(Settings!$E$54="",$B96,DATE(YEAR($A96),MONTH($A96),MIN(Settings!$E$54,DAY($B96))))&lt;=MIN(Settings!$B$5,IF(Settings!$G$54="",Settings!$B$5,Settings!$G$54))),1,0)))))</f>
        <v/>
      </c>
      <c r="FD96">
        <f>IF($E96&lt;&gt;"open",0,IF(AND('Month-End'!$CO$32&lt;&gt;"",NOT(_xlfn.ISFORMULA('Month-End'!$CO$32))),0,IF(OR(Settings!$C$55="",Settings!$D$55=""),0,Settings!$C$55*IF(Settings!$D$55="Weekly",IF(IFERROR(MATCH(Settings!$E$55,$EO$4:$EO$10,0),0)=0,0,IF(MIN(Settings!$B$5,IF(Settings!$G$55="",Settings!$B$5,Settings!$G$55))&lt;MAX($A96,Settings!$F$55),0,INT((MIN(Settings!$B$5,IF(Settings!$G$55="",Settings!$B$5,Settings!$G$55))-MAX($A96,Settings!$F$55)-MOD(IFERROR(MATCH(Settings!$E$55,$EO$4:$EO$10,0),0)-WEEKDAY(MAX($A96,Settings!$F$55)),7))/7)+1)),IF(AND(IF(Settings!$E$55="",$B96,DATE(YEAR($A96),MONTH($A96),MIN(Settings!$E$55,DAY($B96))))&gt;=MAX($A96,Settings!$F$55),IF(Settings!$E$55="",$B96,DATE(YEAR($A96),MONTH($A96),MIN(Settings!$E$55,DAY($B96))))&lt;=MIN(Settings!$B$5,IF(Settings!$G$55="",Settings!$B$5,Settings!$G$55))),1,0)))))</f>
        <v/>
      </c>
      <c r="FE96">
        <f>IF($E96&lt;&gt;"open",0,IF(AND('Month-End'!$CO$33&lt;&gt;"",NOT(_xlfn.ISFORMULA('Month-End'!$CO$33))),0,IF(OR(Settings!$C$56="",Settings!$D$56=""),0,Settings!$C$56*IF(Settings!$D$56="Weekly",IF(IFERROR(MATCH(Settings!$E$56,$EO$4:$EO$10,0),0)=0,0,IF(MIN(Settings!$B$5,IF(Settings!$G$56="",Settings!$B$5,Settings!$G$56))&lt;MAX($A96,Settings!$F$56),0,INT((MIN(Settings!$B$5,IF(Settings!$G$56="",Settings!$B$5,Settings!$G$56))-MAX($A96,Settings!$F$56)-MOD(IFERROR(MATCH(Settings!$E$56,$EO$4:$EO$10,0),0)-WEEKDAY(MAX($A96,Settings!$F$56)),7))/7)+1)),IF(AND(IF(Settings!$E$56="",$B96,DATE(YEAR($A96),MONTH($A96),MIN(Settings!$E$56,DAY($B96))))&gt;=MAX($A96,Settings!$F$56),IF(Settings!$E$56="",$B96,DATE(YEAR($A96),MONTH($A96),MIN(Settings!$E$56,DAY($B96))))&lt;=MIN(Settings!$B$5,IF(Settings!$G$56="",Settings!$B$5,Settings!$G$56))),1,0)))))</f>
        <v/>
      </c>
      <c r="FF96">
        <f>IF(Settings!$I$45="Yes",$G96,0)+IF(Settings!$I$46="Yes",$H96,0)+IF(Settings!$I$47="Yes",$I96,0)+IF(Settings!$I$48="Yes",$J96,0)+IF(Settings!$I$49="Yes",$K96,0)+IF(Settings!$I$50="Yes",$L96,0)+IF(Settings!$I$51="Yes",$M96,0)+IF(Settings!$I$52="Yes",$N96,0)+IF(Settings!$I$53="Yes",$O96,0)+IF(Settings!$I$54="Yes",$P96,0)+IF(Settings!$I$55="Yes",$Q96,0)+IF(Settings!$I$56="Yes",$R96,0)</f>
        <v/>
      </c>
      <c r="FG96">
        <f>IF(AND(Settings!$I$45="Yes",Settings!$J$45="No"),$G96,0)+IF(AND(Settings!$I$46="Yes",Settings!$J$46="No"),$H96,0)+IF(AND(Settings!$I$47="Yes",Settings!$J$47="No"),$I96,0)+IF(AND(Settings!$I$48="Yes",Settings!$J$48="No"),$J96,0)+IF(AND(Settings!$I$49="Yes",Settings!$J$49="No"),$K96,0)+IF(AND(Settings!$I$50="Yes",Settings!$J$50="No"),$L96,0)+IF(AND(Settings!$I$51="Yes",Settings!$J$51="No"),$M96,0)+IF(AND(Settings!$I$52="Yes",Settings!$J$52="No"),$N96,0)+IF(AND(Settings!$I$53="Yes",Settings!$J$53="No"),$O96,0)+IF(AND(Settings!$I$54="Yes",Settings!$J$54="No"),$P96,0)+IF(AND(Settings!$I$55="Yes",Settings!$J$55="No"),$Q96,0)+IF(AND(Settings!$I$56="Yes",Settings!$J$56="No"),$R96,0)</f>
        <v/>
      </c>
      <c r="FH96">
        <f>SUMIFS(Giving!$B$7:$B$2006,Giving!$A$7:$A$2006,"&gt;="&amp;$A96,Giving!$A$7:$A$2006,"&lt;="&amp;$B96,Giving!$G$7:$G$2006,"Yes")+IF(OR(OR(Settings!$B$60="",Settings!$F$60="No"),Settings!$H$60&lt;&gt;"Yes"),0,Settings!$B$60*IF(AND(IF(Settings!$C$60="",$B96,DATE(YEAR($A96),MONTH($A96),MIN(Settings!$C$60,DAY($B96))))&gt;=MAX($A96,Settings!$D$60),IF(Settings!$C$60="",$B96,DATE(YEAR($A96),MONTH($A96),MIN(Settings!$C$60,DAY($B96))))&lt;=MIN($C96,IF(Settings!$E$60="",$C96,Settings!$E$60))),1,0))+IF(OR(OR(Settings!$B$61="",Settings!$F$61="No"),Settings!$H$61&lt;&gt;"Yes"),0,Settings!$B$61*IF(AND(IF(Settings!$C$61="",$B96,DATE(YEAR($A96),MONTH($A96),MIN(Settings!$C$61,DAY($B96))))&gt;=MAX($A96,Settings!$D$61),IF(Settings!$C$61="",$B96,DATE(YEAR($A96),MONTH($A96),MIN(Settings!$C$61,DAY($B96))))&lt;=MIN($C96,IF(Settings!$E$61="",$C96,Settings!$E$61))),1,0))+IF(OR(OR(Settings!$B$62="",Settings!$F$62="No"),Settings!$H$62&lt;&gt;"Yes"),0,Settings!$B$62*IF(AND(IF(Settings!$C$62="",$B96,DATE(YEAR($A96),MONTH($A96),MIN(Settings!$C$62,DAY($B96))))&gt;=MAX($A96,Settings!$D$62),IF(Settings!$C$62="",$B96,DATE(YEAR($A96),MONTH($A96),MIN(Settings!$C$62,DAY($B96))))&lt;=MIN($C96,IF(Settings!$E$62="",$C96,Settings!$E$62))),1,0))+IF(OR(OR(Settings!$B$63="",Settings!$F$63="No"),Settings!$H$63&lt;&gt;"Yes"),0,Settings!$B$63*IF(AND(IF(Settings!$C$63="",$B96,DATE(YEAR($A96),MONTH($A96),MIN(Settings!$C$63,DAY($B96))))&gt;=MAX($A96,Settings!$D$63),IF(Settings!$C$63="",$B96,DATE(YEAR($A96),MONTH($A96),MIN(Settings!$C$63,DAY($B96))))&lt;=MIN($C96,IF(Settings!$E$63="",$C96,Settings!$E$63))),1,0))+IF(OR(OR(Settings!$B$64="",Settings!$F$64="No"),Settings!$H$64&lt;&gt;"Yes"),0,Settings!$B$64*IF(AND(IF(Settings!$C$64="",$B96,DATE(YEAR($A96),MONTH($A96),MIN(Settings!$C$64,DAY($B96))))&gt;=MAX($A96,Settings!$D$64),IF(Settings!$C$64="",$B96,DATE(YEAR($A96),MONTH($A96),MIN(Settings!$C$64,DAY($B96))))&lt;=MIN($C96,IF(Settings!$E$64="",$C96,Settings!$E$64))),1,0))+IF(OR(OR(Settings!$B$65="",Settings!$F$65="No"),Settings!$H$65&lt;&gt;"Yes"),0,Settings!$B$65*IF(AND(IF(Settings!$C$65="",$B96,DATE(YEAR($A96),MONTH($A96),MIN(Settings!$C$65,DAY($B96))))&gt;=MAX($A96,Settings!$D$65),IF(Settings!$C$65="",$B96,DATE(YEAR($A96),MONTH($A96),MIN(Settings!$C$65,DAY($B96))))&lt;=MIN($C96,IF(Settings!$E$65="",$C96,Settings!$E$65))),1,0))</f>
        <v/>
      </c>
      <c r="FI96">
        <f>IF($DT96=1,IF(OR(Settings!$B$19="Card",Settings!$B$19="Loan"),N($AE96),0)+IF(OR(Settings!$B$20="Card",Settings!$B$20="Loan"),N($AF96),0)+IF(OR(Settings!$B$21="Card",Settings!$B$21="Loan"),N($AG96),0)+IF(OR(Settings!$B$22="Card",Settings!$B$22="Loan"),N($AH96),0)+IF(OR(Settings!$B$23="Card",Settings!$B$23="Loan"),N($AI96),0)+IF(OR(Settings!$B$24="Card",Settings!$B$24="Loan"),N($AJ96),0)+IF(OR(Settings!$B$25="Card",Settings!$B$25="Loan"),N($AK96),0)+IF(OR(Settings!$B$26="Card",Settings!$B$26="Loan"),N($AL96),0)+IF(OR(Settings!$B$27="Card",Settings!$B$27="Loan"),N($AM96),0)+IF(OR(Settings!$B$28="Card",Settings!$B$28="Loan"),N($AN96),0)+IF(OR(Settings!$B$29="Card",Settings!$B$29="Loan"),N($AO96),0)+IF(OR(Settings!$B$30="Card",Settings!$B$30="Loan"),N($AP96),0)+IF(OR(Settings!$B$31="Card",Settings!$B$31="Loan"),N($AQ96),0)+IF(OR(Settings!$B$32="Card",Settings!$B$32="Loan"),N($AR96),0),"")</f>
        <v/>
      </c>
      <c r="FJ96">
        <f>IF($E96="open",$EB$65,IF($E96="post",IF($E95="pre",$EB$65,$FI95),""))</f>
        <v/>
      </c>
      <c r="FK96">
        <f>IF(AND($DT96=1,$DC96=1),IF(ROUND($FI96-$FJ96,2)&gt;0,1,0),0)</f>
        <v/>
      </c>
      <c r="FL96">
        <f>IF($FK96=1,$FL95+1,0)</f>
        <v/>
      </c>
    </row>
    <row r="97">
      <c r="A97">
        <f>'Month-End'!$CP$4</f>
        <v/>
      </c>
      <c r="B97">
        <f>EOMONTH($A97,0)</f>
        <v/>
      </c>
      <c r="C97">
        <f>MIN($B97,TODAY())</f>
        <v/>
      </c>
      <c r="D97">
        <f>IF($A97&gt;TODAY(),1,0)</f>
        <v/>
      </c>
      <c r="E97">
        <f>IF($B97&lt;=Settings!$B$5,"pre",IF($A97&lt;=Settings!$B$5,"open","post"))</f>
        <v/>
      </c>
      <c r="G97">
        <f>IF('Month-End'!$CP$22="",$BE97,N('Month-End'!$CP$22))</f>
        <v/>
      </c>
      <c r="H97">
        <f>IF('Month-End'!$CP$23="",$BF97,N('Month-End'!$CP$23))</f>
        <v/>
      </c>
      <c r="I97">
        <f>IF('Month-End'!$CP$24="",$BG97,N('Month-End'!$CP$24))</f>
        <v/>
      </c>
      <c r="J97">
        <f>IF('Month-End'!$CP$25="",$BH97,N('Month-End'!$CP$25))</f>
        <v/>
      </c>
      <c r="K97">
        <f>IF('Month-End'!$CP$26="",$BI97,N('Month-End'!$CP$26))</f>
        <v/>
      </c>
      <c r="L97">
        <f>IF('Month-End'!$CP$27="",$BJ97,N('Month-End'!$CP$27))</f>
        <v/>
      </c>
      <c r="M97">
        <f>IF('Month-End'!$CP$28="",$BK97,N('Month-End'!$CP$28))</f>
        <v/>
      </c>
      <c r="N97">
        <f>IF('Month-End'!$CP$29="",$BL97,N('Month-End'!$CP$29))</f>
        <v/>
      </c>
      <c r="O97">
        <f>IF('Month-End'!$CP$30="",$BM97,N('Month-End'!$CP$30))</f>
        <v/>
      </c>
      <c r="P97">
        <f>IF('Month-End'!$CP$31="",$BN97,N('Month-End'!$CP$31))</f>
        <v/>
      </c>
      <c r="Q97">
        <f>IF('Month-End'!$CP$32="",$BO97,N('Month-End'!$CP$32))</f>
        <v/>
      </c>
      <c r="R97">
        <f>IF('Month-End'!$CP$33="",$BP97,N('Month-End'!$CP$33))</f>
        <v/>
      </c>
      <c r="S97">
        <f>$G97+$H97+$I97+$J97+$K97+$L97+$M97+$N97+$O97+$P97+$Q97+$R97</f>
        <v/>
      </c>
      <c r="T97">
        <f>IF($B97&lt;Settings!$B$6,0,IF(Settings!$B$45="Yes",$G97,0)+IF(Settings!$B$46="Yes",$H97,0)+IF(Settings!$B$47="Yes",$I97,0)+IF(Settings!$B$48="Yes",$J97,0)+IF(Settings!$B$49="Yes",$K97,0)+IF(Settings!$B$50="Yes",$L97,0)+IF(Settings!$B$51="Yes",$M97,0)+IF(Settings!$B$52="Yes",$N97,0)+IF(Settings!$B$53="Yes",$O97,0)+IF(Settings!$B$54="Yes",$P97,0)+IF(Settings!$B$55="Yes",$Q97,0)+IF(Settings!$B$56="Yes",$R97,0))</f>
        <v/>
      </c>
      <c r="U97">
        <f>IF(Settings!$B$45="Not Sure",$G97,0)+IF(Settings!$B$46="Not Sure",$H97,0)+IF(Settings!$B$47="Not Sure",$I97,0)+IF(Settings!$B$48="Not Sure",$J97,0)+IF(Settings!$B$49="Not Sure",$K97,0)+IF(Settings!$B$50="Not Sure",$L97,0)+IF(Settings!$B$51="Not Sure",$M97,0)+IF(Settings!$B$52="Not Sure",$N97,0)+IF(Settings!$B$53="Not Sure",$O97,0)+IF(Settings!$B$54="Not Sure",$P97,0)+IF(Settings!$B$55="Not Sure",$Q97,0)+IF(Settings!$B$56="Not Sure",$R97,0)</f>
        <v/>
      </c>
      <c r="V97">
        <f>IF($E97="open",SUM($ET97:$FE97)+N(Settings!$B$13),0)</f>
        <v/>
      </c>
      <c r="W97">
        <f>IF($E97="post",$S97,IF($E97="open",$S97-$V97,0))</f>
        <v/>
      </c>
      <c r="X97">
        <f>SUMIFS(Giving!$B$7:$B$2006,Giving!$A$7:$A$2006,"&gt;="&amp;$A97,Giving!$A$7:$A$2006,"&lt;="&amp;$B97,Giving!$E$7:$E$2006,"&lt;&gt;No")</f>
        <v/>
      </c>
      <c r="Y97">
        <f>SUMIFS(Giving!$B$7:$B$2006,Giving!$A$7:$A$2006,"&gt;="&amp;$A97,Giving!$A$7:$A$2006,"&lt;="&amp;$B97,Giving!$E$7:$E$2006,"No")</f>
        <v/>
      </c>
      <c r="Z97">
        <f>IF(OR(Settings!$B$60="",Settings!$F$60="No"),0,Settings!$B$60*IF(AND(IF(Settings!$C$60="",$B97,DATE(YEAR($A97),MONTH($A97),MIN(Settings!$C$60,DAY($B97))))&gt;=MAX($A97,Settings!$D$60),IF(Settings!$C$60="",$B97,DATE(YEAR($A97),MONTH($A97),MIN(Settings!$C$60,DAY($B97))))&lt;=MIN($C97,IF(Settings!$E$60="",$C97,Settings!$E$60))),1,0))+IF(OR(Settings!$B$61="",Settings!$F$61="No"),0,Settings!$B$61*IF(AND(IF(Settings!$C$61="",$B97,DATE(YEAR($A97),MONTH($A97),MIN(Settings!$C$61,DAY($B97))))&gt;=MAX($A97,Settings!$D$61),IF(Settings!$C$61="",$B97,DATE(YEAR($A97),MONTH($A97),MIN(Settings!$C$61,DAY($B97))))&lt;=MIN($C97,IF(Settings!$E$61="",$C97,Settings!$E$61))),1,0))+IF(OR(Settings!$B$62="",Settings!$F$62="No"),0,Settings!$B$62*IF(AND(IF(Settings!$C$62="",$B97,DATE(YEAR($A97),MONTH($A97),MIN(Settings!$C$62,DAY($B97))))&gt;=MAX($A97,Settings!$D$62),IF(Settings!$C$62="",$B97,DATE(YEAR($A97),MONTH($A97),MIN(Settings!$C$62,DAY($B97))))&lt;=MIN($C97,IF(Settings!$E$62="",$C97,Settings!$E$62))),1,0))+IF(OR(Settings!$B$63="",Settings!$F$63="No"),0,Settings!$B$63*IF(AND(IF(Settings!$C$63="",$B97,DATE(YEAR($A97),MONTH($A97),MIN(Settings!$C$63,DAY($B97))))&gt;=MAX($A97,Settings!$D$63),IF(Settings!$C$63="",$B97,DATE(YEAR($A97),MONTH($A97),MIN(Settings!$C$63,DAY($B97))))&lt;=MIN($C97,IF(Settings!$E$63="",$C97,Settings!$E$63))),1,0))+IF(OR(Settings!$B$64="",Settings!$F$64="No"),0,Settings!$B$64*IF(AND(IF(Settings!$C$64="",$B97,DATE(YEAR($A97),MONTH($A97),MIN(Settings!$C$64,DAY($B97))))&gt;=MAX($A97,Settings!$D$64),IF(Settings!$C$64="",$B97,DATE(YEAR($A97),MONTH($A97),MIN(Settings!$C$64,DAY($B97))))&lt;=MIN($C97,IF(Settings!$E$64="",$C97,Settings!$E$64))),1,0))+IF(OR(Settings!$B$65="",Settings!$F$65="No"),0,Settings!$B$65*IF(AND(IF(Settings!$C$65="",$B97,DATE(YEAR($A97),MONTH($A97),MIN(Settings!$C$65,DAY($B97))))&gt;=MAX($A97,Settings!$D$65),IF(Settings!$C$65="",$B97,DATE(YEAR($A97),MONTH($A97),MIN(Settings!$C$65,DAY($B97))))&lt;=MIN($C97,IF(Settings!$E$65="",$C97,Settings!$E$65))),1,0))</f>
        <v/>
      </c>
      <c r="AA97">
        <f>$X97+$Z97</f>
        <v/>
      </c>
      <c r="AB97">
        <f>IF($E97="post",$AA97,IF($E97="open",SUMIFS(Giving!$B$7:$B$2006,Giving!$A$7:$A$2006,"&gt;"&amp;Settings!$B$5,Giving!$A$7:$A$2006,"&lt;="&amp;$B97,Giving!$E$7:$E$2006,"&lt;&gt;No")+IF(OR(Settings!$B$60="",Settings!$F$60="No"),0,Settings!$B$60*IF(AND(IF(Settings!$C$60="",$B97,DATE(YEAR($A97),MONTH($A97),MIN(Settings!$C$60,DAY($B97))))&gt;=MAX($A97,Settings!$D$60,Settings!$B$5+1),IF(Settings!$C$60="",$B97,DATE(YEAR($A97),MONTH($A97),MIN(Settings!$C$60,DAY($B97))))&lt;=MIN($C97,IF(Settings!$E$60="",$C97,Settings!$E$60))),1,0))+IF(OR(Settings!$B$61="",Settings!$F$61="No"),0,Settings!$B$61*IF(AND(IF(Settings!$C$61="",$B97,DATE(YEAR($A97),MONTH($A97),MIN(Settings!$C$61,DAY($B97))))&gt;=MAX($A97,Settings!$D$61,Settings!$B$5+1),IF(Settings!$C$61="",$B97,DATE(YEAR($A97),MONTH($A97),MIN(Settings!$C$61,DAY($B97))))&lt;=MIN($C97,IF(Settings!$E$61="",$C97,Settings!$E$61))),1,0))+IF(OR(Settings!$B$62="",Settings!$F$62="No"),0,Settings!$B$62*IF(AND(IF(Settings!$C$62="",$B97,DATE(YEAR($A97),MONTH($A97),MIN(Settings!$C$62,DAY($B97))))&gt;=MAX($A97,Settings!$D$62,Settings!$B$5+1),IF(Settings!$C$62="",$B97,DATE(YEAR($A97),MONTH($A97),MIN(Settings!$C$62,DAY($B97))))&lt;=MIN($C97,IF(Settings!$E$62="",$C97,Settings!$E$62))),1,0))+IF(OR(Settings!$B$63="",Settings!$F$63="No"),0,Settings!$B$63*IF(AND(IF(Settings!$C$63="",$B97,DATE(YEAR($A97),MONTH($A97),MIN(Settings!$C$63,DAY($B97))))&gt;=MAX($A97,Settings!$D$63,Settings!$B$5+1),IF(Settings!$C$63="",$B97,DATE(YEAR($A97),MONTH($A97),MIN(Settings!$C$63,DAY($B97))))&lt;=MIN($C97,IF(Settings!$E$63="",$C97,Settings!$E$63))),1,0))+IF(OR(Settings!$B$64="",Settings!$F$64="No"),0,Settings!$B$64*IF(AND(IF(Settings!$C$64="",$B97,DATE(YEAR($A97),MONTH($A97),MIN(Settings!$C$64,DAY($B97))))&gt;=MAX($A97,Settings!$D$64,Settings!$B$5+1),IF(Settings!$C$64="",$B97,DATE(YEAR($A97),MONTH($A97),MIN(Settings!$C$64,DAY($B97))))&lt;=MIN($C97,IF(Settings!$E$64="",$C97,Settings!$E$64))),1,0))+IF(OR(Settings!$B$65="",Settings!$F$65="No"),0,Settings!$B$65*IF(AND(IF(Settings!$C$65="",$B97,DATE(YEAR($A97),MONTH($A97),MIN(Settings!$C$65,DAY($B97))))&gt;=MAX($A97,Settings!$D$65,Settings!$B$5+1),IF(Settings!$C$65="",$B97,DATE(YEAR($A97),MONTH($A97),MIN(Settings!$C$65,DAY($B97))))&lt;=MIN($C97,IF(Settings!$E$65="",$C97,Settings!$E$65))),1,0)),0))</f>
        <v/>
      </c>
      <c r="AC97">
        <f>$AY97+$AZ97+$BA97+$BB97+$BC97+$BD97</f>
        <v/>
      </c>
      <c r="AD97">
        <f>$AC97</f>
        <v/>
      </c>
      <c r="AE97">
        <f>IF(OR(Settings!$A$19="",$E97="pre"),"",IF(AND('Month-End'!$CP$7&lt;&gt;"",NOT(_xlfn.ISFORMULA('Month-End'!$CP$7))),N('Month-End'!$CP$7),IF(OR($E97="open",$E96="pre"),N(Settings!$C$19),N($AE96))))</f>
        <v/>
      </c>
      <c r="AF97">
        <f>IF(OR(Settings!$A$20="",$E97="pre"),"",IF(AND('Month-End'!$CP$8&lt;&gt;"",NOT(_xlfn.ISFORMULA('Month-End'!$CP$8))),N('Month-End'!$CP$8),IF(OR($E97="open",$E96="pre"),N(Settings!$C$20),N($AF96))))</f>
        <v/>
      </c>
      <c r="AG97">
        <f>IF(OR(Settings!$A$21="",$E97="pre"),"",IF(AND('Month-End'!$CP$9&lt;&gt;"",NOT(_xlfn.ISFORMULA('Month-End'!$CP$9))),N('Month-End'!$CP$9),IF(OR($E97="open",$E96="pre"),N(Settings!$C$21),N($AG96))))</f>
        <v/>
      </c>
      <c r="AH97">
        <f>IF(OR(Settings!$A$22="",$E97="pre"),"",IF(AND('Month-End'!$CP$10&lt;&gt;"",NOT(_xlfn.ISFORMULA('Month-End'!$CP$10))),N('Month-End'!$CP$10),IF(OR($E97="open",$E96="pre"),N(Settings!$C$22),N($AH96))))</f>
        <v/>
      </c>
      <c r="AI97">
        <f>IF(OR(Settings!$A$23="",$E97="pre"),"",IF(AND('Month-End'!$CP$11&lt;&gt;"",NOT(_xlfn.ISFORMULA('Month-End'!$CP$11))),N('Month-End'!$CP$11),IF(OR($E97="open",$E96="pre"),N(Settings!$C$23),N($AI96))))</f>
        <v/>
      </c>
      <c r="AJ97">
        <f>IF(OR(Settings!$A$24="",$E97="pre"),"",IF(AND('Month-End'!$CP$12&lt;&gt;"",NOT(_xlfn.ISFORMULA('Month-End'!$CP$12))),N('Month-End'!$CP$12),IF(OR($E97="open",$E96="pre"),N(Settings!$C$24),N($AJ96))))</f>
        <v/>
      </c>
      <c r="AK97">
        <f>IF(OR(Settings!$A$25="",$E97="pre"),"",IF(AND('Month-End'!$CP$13&lt;&gt;"",NOT(_xlfn.ISFORMULA('Month-End'!$CP$13))),N('Month-End'!$CP$13),IF(OR($E97="open",$E96="pre"),N(Settings!$C$25),N($AK96))))</f>
        <v/>
      </c>
      <c r="AL97">
        <f>IF(OR(Settings!$A$26="",$E97="pre"),"",IF(AND('Month-End'!$CP$14&lt;&gt;"",NOT(_xlfn.ISFORMULA('Month-End'!$CP$14))),N('Month-End'!$CP$14),IF(OR($E97="open",$E96="pre"),N(Settings!$C$26),N($AL96))))</f>
        <v/>
      </c>
      <c r="AM97">
        <f>IF(OR(Settings!$A$27="",$E97="pre"),"",IF(AND('Month-End'!$CP$15&lt;&gt;"",NOT(_xlfn.ISFORMULA('Month-End'!$CP$15))),N('Month-End'!$CP$15),IF(OR($E97="open",$E96="pre"),N(Settings!$C$27),N($AM96))))</f>
        <v/>
      </c>
      <c r="AN97">
        <f>IF(OR(Settings!$A$28="",$E97="pre"),"",IF(AND('Month-End'!$CP$16&lt;&gt;"",NOT(_xlfn.ISFORMULA('Month-End'!$CP$16))),N('Month-End'!$CP$16),IF(OR($E97="open",$E96="pre"),N(Settings!$C$28),N($AN96))))</f>
        <v/>
      </c>
      <c r="AO97">
        <f>IF(OR(Settings!$A$29="",$E97="pre"),"",IF(AND('Month-End'!$CP$17&lt;&gt;"",NOT(_xlfn.ISFORMULA('Month-End'!$CP$17))),N('Month-End'!$CP$17),IF(OR($E97="open",$E96="pre"),N(Settings!$C$29),N($AO96))))</f>
        <v/>
      </c>
      <c r="AP97">
        <f>IF(OR(Settings!$A$30="",$E97="pre"),"",IF(AND('Month-End'!$CP$18&lt;&gt;"",NOT(_xlfn.ISFORMULA('Month-End'!$CP$18))),N('Month-End'!$CP$18),IF(OR($E97="open",$E96="pre"),N(Settings!$C$30),N($AP96))))</f>
        <v/>
      </c>
      <c r="AQ97">
        <f>IF(OR(Settings!$A$31="",$E97="pre"),"",IF(AND('Month-End'!$CP$19&lt;&gt;"",NOT(_xlfn.ISFORMULA('Month-End'!$CP$19))),N('Month-End'!$CP$19),IF(OR($E97="open",$E96="pre"),N(Settings!$C$31),N($AQ96))))</f>
        <v/>
      </c>
      <c r="AR97">
        <f>IF(OR(Settings!$A$32="",$E97="pre"),"",IF(AND('Month-End'!$CP$20&lt;&gt;"",NOT(_xlfn.ISFORMULA('Month-End'!$CP$20))),N('Month-End'!$CP$20),IF(OR($E97="open",$E96="pre"),N(Settings!$C$32),N($AR96))))</f>
        <v/>
      </c>
      <c r="AS97">
        <f>IF(OR(Settings!$A$36="",$E97="pre"),"",IF(AND('Month-End'!$CP$38&lt;&gt;"",NOT(_xlfn.ISFORMULA('Month-End'!$CP$38))),N('Month-End'!$CP$38),IF(OR($E97="open",$E96="pre"),N(Settings!$C$36),N($AS96))+$AY97))</f>
        <v/>
      </c>
      <c r="AT97">
        <f>IF(OR(Settings!$A$37="",$E97="pre"),"",IF(AND('Month-End'!$CP$39&lt;&gt;"",NOT(_xlfn.ISFORMULA('Month-End'!$CP$39))),N('Month-End'!$CP$39),IF(OR($E97="open",$E96="pre"),N(Settings!$C$37),N($AT96))+$AZ97))</f>
        <v/>
      </c>
      <c r="AU97">
        <f>IF(OR(Settings!$A$38="",$E97="pre"),"",IF(AND('Month-End'!$CP$40&lt;&gt;"",NOT(_xlfn.ISFORMULA('Month-End'!$CP$40))),N('Month-End'!$CP$40),IF(OR($E97="open",$E96="pre"),N(Settings!$C$38),N($AU96))+$BA97))</f>
        <v/>
      </c>
      <c r="AV97">
        <f>IF(OR(Settings!$A$39="",$E97="pre"),"",IF(AND('Month-End'!$CP$41&lt;&gt;"",NOT(_xlfn.ISFORMULA('Month-End'!$CP$41))),N('Month-End'!$CP$41),IF(OR($E97="open",$E96="pre"),N(Settings!$C$39),N($AV96))+$BB97))</f>
        <v/>
      </c>
      <c r="AW97">
        <f>IF(OR(Settings!$A$40="",$E97="pre"),"",IF(AND('Month-End'!$CP$42&lt;&gt;"",NOT(_xlfn.ISFORMULA('Month-End'!$CP$42))),N('Month-End'!$CP$42),IF(OR($E97="open",$E96="pre"),N(Settings!$C$40),N($AW96))+$BC97))</f>
        <v/>
      </c>
      <c r="AX97">
        <f>IF(OR(Settings!$A$41="",$E97="pre"),"",IF(AND('Month-End'!$CP$43&lt;&gt;"",NOT(_xlfn.ISFORMULA('Month-End'!$CP$43))),N('Month-End'!$CP$43),IF(OR($E97="open",$E96="pre"),N(Settings!$C$41),N($AX96))+$BD97))</f>
        <v/>
      </c>
      <c r="AY97">
        <f>IF($E97="pre",0,N('Month-End'!$CP$45))</f>
        <v/>
      </c>
      <c r="AZ97">
        <f>IF($E97="pre",0,N('Month-End'!$CP$46))</f>
        <v/>
      </c>
      <c r="BA97">
        <f>IF($E97="pre",0,N('Month-End'!$CP$47))</f>
        <v/>
      </c>
      <c r="BB97">
        <f>IF($E97="pre",0,N('Month-End'!$CP$48))</f>
        <v/>
      </c>
      <c r="BC97">
        <f>IF($E97="pre",0,N('Month-End'!$CP$49))</f>
        <v/>
      </c>
      <c r="BD97">
        <f>IF($E97="pre",0,N('Month-End'!$CP$50))</f>
        <v/>
      </c>
      <c r="BE97">
        <f>IF(OR(Settings!$C$45="",Settings!$D$45=""),0,Settings!$C$45*IF(Settings!$D$45="Weekly",IF(IFERROR(MATCH(Settings!$E$45,$EO$4:$EO$10,0),0)=0,0,IF(MIN($C97,IF(Settings!$G$45="",$C97,Settings!$G$45))&lt;MAX($A97,Settings!$F$45),0,INT((MIN($C97,IF(Settings!$G$45="",$C97,Settings!$G$45))-MAX($A97,Settings!$F$45)-MOD(IFERROR(MATCH(Settings!$E$45,$EO$4:$EO$10,0),0)-WEEKDAY(MAX($A97,Settings!$F$45)),7))/7)+1)),IF(AND(IF(Settings!$E$45="",$B97,DATE(YEAR($A97),MONTH($A97),MIN(Settings!$E$45,DAY($B97))))&gt;=MAX($A97,Settings!$F$45),IF(Settings!$E$45="",$B97,DATE(YEAR($A97),MONTH($A97),MIN(Settings!$E$45,DAY($B97))))&lt;=MIN($C97,IF(Settings!$G$45="",$C97,Settings!$G$45))),1,0)))</f>
        <v/>
      </c>
      <c r="BF97">
        <f>IF(OR(Settings!$C$46="",Settings!$D$46=""),0,Settings!$C$46*IF(Settings!$D$46="Weekly",IF(IFERROR(MATCH(Settings!$E$46,$EO$4:$EO$10,0),0)=0,0,IF(MIN($C97,IF(Settings!$G$46="",$C97,Settings!$G$46))&lt;MAX($A97,Settings!$F$46),0,INT((MIN($C97,IF(Settings!$G$46="",$C97,Settings!$G$46))-MAX($A97,Settings!$F$46)-MOD(IFERROR(MATCH(Settings!$E$46,$EO$4:$EO$10,0),0)-WEEKDAY(MAX($A97,Settings!$F$46)),7))/7)+1)),IF(AND(IF(Settings!$E$46="",$B97,DATE(YEAR($A97),MONTH($A97),MIN(Settings!$E$46,DAY($B97))))&gt;=MAX($A97,Settings!$F$46),IF(Settings!$E$46="",$B97,DATE(YEAR($A97),MONTH($A97),MIN(Settings!$E$46,DAY($B97))))&lt;=MIN($C97,IF(Settings!$G$46="",$C97,Settings!$G$46))),1,0)))</f>
        <v/>
      </c>
      <c r="BG97">
        <f>IF(OR(Settings!$C$47="",Settings!$D$47=""),0,Settings!$C$47*IF(Settings!$D$47="Weekly",IF(IFERROR(MATCH(Settings!$E$47,$EO$4:$EO$10,0),0)=0,0,IF(MIN($C97,IF(Settings!$G$47="",$C97,Settings!$G$47))&lt;MAX($A97,Settings!$F$47),0,INT((MIN($C97,IF(Settings!$G$47="",$C97,Settings!$G$47))-MAX($A97,Settings!$F$47)-MOD(IFERROR(MATCH(Settings!$E$47,$EO$4:$EO$10,0),0)-WEEKDAY(MAX($A97,Settings!$F$47)),7))/7)+1)),IF(AND(IF(Settings!$E$47="",$B97,DATE(YEAR($A97),MONTH($A97),MIN(Settings!$E$47,DAY($B97))))&gt;=MAX($A97,Settings!$F$47),IF(Settings!$E$47="",$B97,DATE(YEAR($A97),MONTH($A97),MIN(Settings!$E$47,DAY($B97))))&lt;=MIN($C97,IF(Settings!$G$47="",$C97,Settings!$G$47))),1,0)))</f>
        <v/>
      </c>
      <c r="BH97">
        <f>IF(OR(Settings!$C$48="",Settings!$D$48=""),0,Settings!$C$48*IF(Settings!$D$48="Weekly",IF(IFERROR(MATCH(Settings!$E$48,$EO$4:$EO$10,0),0)=0,0,IF(MIN($C97,IF(Settings!$G$48="",$C97,Settings!$G$48))&lt;MAX($A97,Settings!$F$48),0,INT((MIN($C97,IF(Settings!$G$48="",$C97,Settings!$G$48))-MAX($A97,Settings!$F$48)-MOD(IFERROR(MATCH(Settings!$E$48,$EO$4:$EO$10,0),0)-WEEKDAY(MAX($A97,Settings!$F$48)),7))/7)+1)),IF(AND(IF(Settings!$E$48="",$B97,DATE(YEAR($A97),MONTH($A97),MIN(Settings!$E$48,DAY($B97))))&gt;=MAX($A97,Settings!$F$48),IF(Settings!$E$48="",$B97,DATE(YEAR($A97),MONTH($A97),MIN(Settings!$E$48,DAY($B97))))&lt;=MIN($C97,IF(Settings!$G$48="",$C97,Settings!$G$48))),1,0)))</f>
        <v/>
      </c>
      <c r="BI97">
        <f>IF(OR(Settings!$C$49="",Settings!$D$49=""),0,Settings!$C$49*IF(Settings!$D$49="Weekly",IF(IFERROR(MATCH(Settings!$E$49,$EO$4:$EO$10,0),0)=0,0,IF(MIN($C97,IF(Settings!$G$49="",$C97,Settings!$G$49))&lt;MAX($A97,Settings!$F$49),0,INT((MIN($C97,IF(Settings!$G$49="",$C97,Settings!$G$49))-MAX($A97,Settings!$F$49)-MOD(IFERROR(MATCH(Settings!$E$49,$EO$4:$EO$10,0),0)-WEEKDAY(MAX($A97,Settings!$F$49)),7))/7)+1)),IF(AND(IF(Settings!$E$49="",$B97,DATE(YEAR($A97),MONTH($A97),MIN(Settings!$E$49,DAY($B97))))&gt;=MAX($A97,Settings!$F$49),IF(Settings!$E$49="",$B97,DATE(YEAR($A97),MONTH($A97),MIN(Settings!$E$49,DAY($B97))))&lt;=MIN($C97,IF(Settings!$G$49="",$C97,Settings!$G$49))),1,0)))</f>
        <v/>
      </c>
      <c r="BJ97">
        <f>IF(OR(Settings!$C$50="",Settings!$D$50=""),0,Settings!$C$50*IF(Settings!$D$50="Weekly",IF(IFERROR(MATCH(Settings!$E$50,$EO$4:$EO$10,0),0)=0,0,IF(MIN($C97,IF(Settings!$G$50="",$C97,Settings!$G$50))&lt;MAX($A97,Settings!$F$50),0,INT((MIN($C97,IF(Settings!$G$50="",$C97,Settings!$G$50))-MAX($A97,Settings!$F$50)-MOD(IFERROR(MATCH(Settings!$E$50,$EO$4:$EO$10,0),0)-WEEKDAY(MAX($A97,Settings!$F$50)),7))/7)+1)),IF(AND(IF(Settings!$E$50="",$B97,DATE(YEAR($A97),MONTH($A97),MIN(Settings!$E$50,DAY($B97))))&gt;=MAX($A97,Settings!$F$50),IF(Settings!$E$50="",$B97,DATE(YEAR($A97),MONTH($A97),MIN(Settings!$E$50,DAY($B97))))&lt;=MIN($C97,IF(Settings!$G$50="",$C97,Settings!$G$50))),1,0)))</f>
        <v/>
      </c>
      <c r="BK97">
        <f>IF(OR(Settings!$C$51="",Settings!$D$51=""),0,Settings!$C$51*IF(Settings!$D$51="Weekly",IF(IFERROR(MATCH(Settings!$E$51,$EO$4:$EO$10,0),0)=0,0,IF(MIN($C97,IF(Settings!$G$51="",$C97,Settings!$G$51))&lt;MAX($A97,Settings!$F$51),0,INT((MIN($C97,IF(Settings!$G$51="",$C97,Settings!$G$51))-MAX($A97,Settings!$F$51)-MOD(IFERROR(MATCH(Settings!$E$51,$EO$4:$EO$10,0),0)-WEEKDAY(MAX($A97,Settings!$F$51)),7))/7)+1)),IF(AND(IF(Settings!$E$51="",$B97,DATE(YEAR($A97),MONTH($A97),MIN(Settings!$E$51,DAY($B97))))&gt;=MAX($A97,Settings!$F$51),IF(Settings!$E$51="",$B97,DATE(YEAR($A97),MONTH($A97),MIN(Settings!$E$51,DAY($B97))))&lt;=MIN($C97,IF(Settings!$G$51="",$C97,Settings!$G$51))),1,0)))</f>
        <v/>
      </c>
      <c r="BL97">
        <f>IF(OR(Settings!$C$52="",Settings!$D$52=""),0,Settings!$C$52*IF(Settings!$D$52="Weekly",IF(IFERROR(MATCH(Settings!$E$52,$EO$4:$EO$10,0),0)=0,0,IF(MIN($C97,IF(Settings!$G$52="",$C97,Settings!$G$52))&lt;MAX($A97,Settings!$F$52),0,INT((MIN($C97,IF(Settings!$G$52="",$C97,Settings!$G$52))-MAX($A97,Settings!$F$52)-MOD(IFERROR(MATCH(Settings!$E$52,$EO$4:$EO$10,0),0)-WEEKDAY(MAX($A97,Settings!$F$52)),7))/7)+1)),IF(AND(IF(Settings!$E$52="",$B97,DATE(YEAR($A97),MONTH($A97),MIN(Settings!$E$52,DAY($B97))))&gt;=MAX($A97,Settings!$F$52),IF(Settings!$E$52="",$B97,DATE(YEAR($A97),MONTH($A97),MIN(Settings!$E$52,DAY($B97))))&lt;=MIN($C97,IF(Settings!$G$52="",$C97,Settings!$G$52))),1,0)))</f>
        <v/>
      </c>
      <c r="BM97">
        <f>IF(OR(Settings!$C$53="",Settings!$D$53=""),0,Settings!$C$53*IF(Settings!$D$53="Weekly",IF(IFERROR(MATCH(Settings!$E$53,$EO$4:$EO$10,0),0)=0,0,IF(MIN($C97,IF(Settings!$G$53="",$C97,Settings!$G$53))&lt;MAX($A97,Settings!$F$53),0,INT((MIN($C97,IF(Settings!$G$53="",$C97,Settings!$G$53))-MAX($A97,Settings!$F$53)-MOD(IFERROR(MATCH(Settings!$E$53,$EO$4:$EO$10,0),0)-WEEKDAY(MAX($A97,Settings!$F$53)),7))/7)+1)),IF(AND(IF(Settings!$E$53="",$B97,DATE(YEAR($A97),MONTH($A97),MIN(Settings!$E$53,DAY($B97))))&gt;=MAX($A97,Settings!$F$53),IF(Settings!$E$53="",$B97,DATE(YEAR($A97),MONTH($A97),MIN(Settings!$E$53,DAY($B97))))&lt;=MIN($C97,IF(Settings!$G$53="",$C97,Settings!$G$53))),1,0)))</f>
        <v/>
      </c>
      <c r="BN97">
        <f>IF(OR(Settings!$C$54="",Settings!$D$54=""),0,Settings!$C$54*IF(Settings!$D$54="Weekly",IF(IFERROR(MATCH(Settings!$E$54,$EO$4:$EO$10,0),0)=0,0,IF(MIN($C97,IF(Settings!$G$54="",$C97,Settings!$G$54))&lt;MAX($A97,Settings!$F$54),0,INT((MIN($C97,IF(Settings!$G$54="",$C97,Settings!$G$54))-MAX($A97,Settings!$F$54)-MOD(IFERROR(MATCH(Settings!$E$54,$EO$4:$EO$10,0),0)-WEEKDAY(MAX($A97,Settings!$F$54)),7))/7)+1)),IF(AND(IF(Settings!$E$54="",$B97,DATE(YEAR($A97),MONTH($A97),MIN(Settings!$E$54,DAY($B97))))&gt;=MAX($A97,Settings!$F$54),IF(Settings!$E$54="",$B97,DATE(YEAR($A97),MONTH($A97),MIN(Settings!$E$54,DAY($B97))))&lt;=MIN($C97,IF(Settings!$G$54="",$C97,Settings!$G$54))),1,0)))</f>
        <v/>
      </c>
      <c r="BO97">
        <f>IF(OR(Settings!$C$55="",Settings!$D$55=""),0,Settings!$C$55*IF(Settings!$D$55="Weekly",IF(IFERROR(MATCH(Settings!$E$55,$EO$4:$EO$10,0),0)=0,0,IF(MIN($C97,IF(Settings!$G$55="",$C97,Settings!$G$55))&lt;MAX($A97,Settings!$F$55),0,INT((MIN($C97,IF(Settings!$G$55="",$C97,Settings!$G$55))-MAX($A97,Settings!$F$55)-MOD(IFERROR(MATCH(Settings!$E$55,$EO$4:$EO$10,0),0)-WEEKDAY(MAX($A97,Settings!$F$55)),7))/7)+1)),IF(AND(IF(Settings!$E$55="",$B97,DATE(YEAR($A97),MONTH($A97),MIN(Settings!$E$55,DAY($B97))))&gt;=MAX($A97,Settings!$F$55),IF(Settings!$E$55="",$B97,DATE(YEAR($A97),MONTH($A97),MIN(Settings!$E$55,DAY($B97))))&lt;=MIN($C97,IF(Settings!$G$55="",$C97,Settings!$G$55))),1,0)))</f>
        <v/>
      </c>
      <c r="BP97">
        <f>IF(OR(Settings!$C$56="",Settings!$D$56=""),0,Settings!$C$56*IF(Settings!$D$56="Weekly",IF(IFERROR(MATCH(Settings!$E$56,$EO$4:$EO$10,0),0)=0,0,IF(MIN($C97,IF(Settings!$G$56="",$C97,Settings!$G$56))&lt;MAX($A97,Settings!$F$56),0,INT((MIN($C97,IF(Settings!$G$56="",$C97,Settings!$G$56))-MAX($A97,Settings!$F$56)-MOD(IFERROR(MATCH(Settings!$E$56,$EO$4:$EO$10,0),0)-WEEKDAY(MAX($A97,Settings!$F$56)),7))/7)+1)),IF(AND(IF(Settings!$E$56="",$B97,DATE(YEAR($A97),MONTH($A97),MIN(Settings!$E$56,DAY($B97))))&gt;=MAX($A97,Settings!$F$56),IF(Settings!$E$56="",$B97,DATE(YEAR($A97),MONTH($A97),MIN(Settings!$E$56,DAY($B97))))&lt;=MIN($C97,IF(Settings!$G$56="",$C97,Settings!$G$56))),1,0)))</f>
        <v/>
      </c>
      <c r="BQ97">
        <f>IF(OR(Settings!$B$14="",$D97=1,$E97="pre",$A97&lt;IF(Settings!$B$15="",0,Settings!$B$15)),0,Settings!$B$14)</f>
        <v/>
      </c>
      <c r="BR97">
        <f>IF(AND('Month-End'!$CP$7&lt;&gt;"",NOT(_xlfn.ISFORMULA('Month-End'!$CP$7))),1,0)</f>
        <v/>
      </c>
      <c r="BS97">
        <f>IF(AND('Month-End'!$CP$8&lt;&gt;"",NOT(_xlfn.ISFORMULA('Month-End'!$CP$8))),1,0)</f>
        <v/>
      </c>
      <c r="BT97">
        <f>IF(AND('Month-End'!$CP$9&lt;&gt;"",NOT(_xlfn.ISFORMULA('Month-End'!$CP$9))),1,0)</f>
        <v/>
      </c>
      <c r="BU97">
        <f>IF(AND('Month-End'!$CP$10&lt;&gt;"",NOT(_xlfn.ISFORMULA('Month-End'!$CP$10))),1,0)</f>
        <v/>
      </c>
      <c r="BV97">
        <f>IF(AND('Month-End'!$CP$11&lt;&gt;"",NOT(_xlfn.ISFORMULA('Month-End'!$CP$11))),1,0)</f>
        <v/>
      </c>
      <c r="BW97">
        <f>IF(AND('Month-End'!$CP$12&lt;&gt;"",NOT(_xlfn.ISFORMULA('Month-End'!$CP$12))),1,0)</f>
        <v/>
      </c>
      <c r="BX97">
        <f>IF(AND('Month-End'!$CP$13&lt;&gt;"",NOT(_xlfn.ISFORMULA('Month-End'!$CP$13))),1,0)</f>
        <v/>
      </c>
      <c r="BY97">
        <f>IF(AND('Month-End'!$CP$14&lt;&gt;"",NOT(_xlfn.ISFORMULA('Month-End'!$CP$14))),1,0)</f>
        <v/>
      </c>
      <c r="BZ97">
        <f>IF(AND('Month-End'!$CP$15&lt;&gt;"",NOT(_xlfn.ISFORMULA('Month-End'!$CP$15))),1,0)</f>
        <v/>
      </c>
      <c r="CA97">
        <f>IF(AND('Month-End'!$CP$16&lt;&gt;"",NOT(_xlfn.ISFORMULA('Month-End'!$CP$16))),1,0)</f>
        <v/>
      </c>
      <c r="CB97">
        <f>IF(AND('Month-End'!$CP$17&lt;&gt;"",NOT(_xlfn.ISFORMULA('Month-End'!$CP$17))),1,0)</f>
        <v/>
      </c>
      <c r="CC97">
        <f>IF(AND('Month-End'!$CP$18&lt;&gt;"",NOT(_xlfn.ISFORMULA('Month-End'!$CP$18))),1,0)</f>
        <v/>
      </c>
      <c r="CD97">
        <f>IF(AND('Month-End'!$CP$19&lt;&gt;"",NOT(_xlfn.ISFORMULA('Month-End'!$CP$19))),1,0)</f>
        <v/>
      </c>
      <c r="CE97">
        <f>IF(AND('Month-End'!$CP$20&lt;&gt;"",NOT(_xlfn.ISFORMULA('Month-End'!$CP$20))),1,0)</f>
        <v/>
      </c>
      <c r="CF97">
        <f>IF(AND('Month-End'!$CP$38&lt;&gt;"",NOT(_xlfn.ISFORMULA('Month-End'!$CP$38))),1,0)</f>
        <v/>
      </c>
      <c r="CG97">
        <f>IF(AND('Month-End'!$CP$39&lt;&gt;"",NOT(_xlfn.ISFORMULA('Month-End'!$CP$39))),1,0)</f>
        <v/>
      </c>
      <c r="CH97">
        <f>IF(AND('Month-End'!$CP$40&lt;&gt;"",NOT(_xlfn.ISFORMULA('Month-End'!$CP$40))),1,0)</f>
        <v/>
      </c>
      <c r="CI97">
        <f>IF(AND('Month-End'!$CP$41&lt;&gt;"",NOT(_xlfn.ISFORMULA('Month-End'!$CP$41))),1,0)</f>
        <v/>
      </c>
      <c r="CJ97">
        <f>IF(AND('Month-End'!$CP$42&lt;&gt;"",NOT(_xlfn.ISFORMULA('Month-End'!$CP$42))),1,0)</f>
        <v/>
      </c>
      <c r="CK97">
        <f>IF(AND('Month-End'!$CP$43&lt;&gt;"",NOT(_xlfn.ISFORMULA('Month-End'!$CP$43))),1,0)</f>
        <v/>
      </c>
      <c r="CL97">
        <f>SUM($CM97:$CZ97)</f>
        <v/>
      </c>
      <c r="CM97">
        <f>IF(AND($E97&lt;&gt;"pre",AND(Settings!$A$19&lt;&gt;"",Settings!$E$19&lt;&gt;"No"),Settings!$F$19="Yes",NOT(AND('Month-End'!$CP$7&lt;&gt;"",NOT(_xlfn.ISFORMULA('Month-End'!$CP$7))))),1,0)</f>
        <v/>
      </c>
      <c r="CN97">
        <f>IF(AND($E97&lt;&gt;"pre",AND(Settings!$A$20&lt;&gt;"",Settings!$E$20&lt;&gt;"No"),Settings!$F$20="Yes",NOT(AND('Month-End'!$CP$8&lt;&gt;"",NOT(_xlfn.ISFORMULA('Month-End'!$CP$8))))),1,0)</f>
        <v/>
      </c>
      <c r="CO97">
        <f>IF(AND($E97&lt;&gt;"pre",AND(Settings!$A$21&lt;&gt;"",Settings!$E$21&lt;&gt;"No"),Settings!$F$21="Yes",NOT(AND('Month-End'!$CP$9&lt;&gt;"",NOT(_xlfn.ISFORMULA('Month-End'!$CP$9))))),1,0)</f>
        <v/>
      </c>
      <c r="CP97">
        <f>IF(AND($E97&lt;&gt;"pre",AND(Settings!$A$22&lt;&gt;"",Settings!$E$22&lt;&gt;"No"),Settings!$F$22="Yes",NOT(AND('Month-End'!$CP$10&lt;&gt;"",NOT(_xlfn.ISFORMULA('Month-End'!$CP$10))))),1,0)</f>
        <v/>
      </c>
      <c r="CQ97">
        <f>IF(AND($E97&lt;&gt;"pre",AND(Settings!$A$23&lt;&gt;"",Settings!$E$23&lt;&gt;"No"),Settings!$F$23="Yes",NOT(AND('Month-End'!$CP$11&lt;&gt;"",NOT(_xlfn.ISFORMULA('Month-End'!$CP$11))))),1,0)</f>
        <v/>
      </c>
      <c r="CR97">
        <f>IF(AND($E97&lt;&gt;"pre",AND(Settings!$A$24&lt;&gt;"",Settings!$E$24&lt;&gt;"No"),Settings!$F$24="Yes",NOT(AND('Month-End'!$CP$12&lt;&gt;"",NOT(_xlfn.ISFORMULA('Month-End'!$CP$12))))),1,0)</f>
        <v/>
      </c>
      <c r="CS97">
        <f>IF(AND($E97&lt;&gt;"pre",AND(Settings!$A$25&lt;&gt;"",Settings!$E$25&lt;&gt;"No"),Settings!$F$25="Yes",NOT(AND('Month-End'!$CP$13&lt;&gt;"",NOT(_xlfn.ISFORMULA('Month-End'!$CP$13))))),1,0)</f>
        <v/>
      </c>
      <c r="CT97">
        <f>IF(AND($E97&lt;&gt;"pre",AND(Settings!$A$26&lt;&gt;"",Settings!$E$26&lt;&gt;"No"),Settings!$F$26="Yes",NOT(AND('Month-End'!$CP$14&lt;&gt;"",NOT(_xlfn.ISFORMULA('Month-End'!$CP$14))))),1,0)</f>
        <v/>
      </c>
      <c r="CU97">
        <f>IF(AND($E97&lt;&gt;"pre",AND(Settings!$A$27&lt;&gt;"",Settings!$E$27&lt;&gt;"No"),Settings!$F$27="Yes",NOT(AND('Month-End'!$CP$15&lt;&gt;"",NOT(_xlfn.ISFORMULA('Month-End'!$CP$15))))),1,0)</f>
        <v/>
      </c>
      <c r="CV97">
        <f>IF(AND($E97&lt;&gt;"pre",AND(Settings!$A$28&lt;&gt;"",Settings!$E$28&lt;&gt;"No"),Settings!$F$28="Yes",NOT(AND('Month-End'!$CP$16&lt;&gt;"",NOT(_xlfn.ISFORMULA('Month-End'!$CP$16))))),1,0)</f>
        <v/>
      </c>
      <c r="CW97">
        <f>IF(AND($E97&lt;&gt;"pre",AND(Settings!$A$29&lt;&gt;"",Settings!$E$29&lt;&gt;"No"),Settings!$F$29="Yes",NOT(AND('Month-End'!$CP$17&lt;&gt;"",NOT(_xlfn.ISFORMULA('Month-End'!$CP$17))))),1,0)</f>
        <v/>
      </c>
      <c r="CX97">
        <f>IF(AND($E97&lt;&gt;"pre",AND(Settings!$A$30&lt;&gt;"",Settings!$E$30&lt;&gt;"No"),Settings!$F$30="Yes",NOT(AND('Month-End'!$CP$18&lt;&gt;"",NOT(_xlfn.ISFORMULA('Month-End'!$CP$18))))),1,0)</f>
        <v/>
      </c>
      <c r="CY97">
        <f>IF(AND($E97&lt;&gt;"pre",AND(Settings!$A$31&lt;&gt;"",Settings!$E$31&lt;&gt;"No"),Settings!$F$31="Yes",NOT(AND('Month-End'!$CP$19&lt;&gt;"",NOT(_xlfn.ISFORMULA('Month-End'!$CP$19))))),1,0)</f>
        <v/>
      </c>
      <c r="CZ97">
        <f>IF(AND($E97&lt;&gt;"pre",AND(Settings!$A$32&lt;&gt;"",Settings!$E$32&lt;&gt;"No"),Settings!$F$32="Yes",NOT(AND('Month-End'!$CP$20&lt;&gt;"",NOT(_xlfn.ISFORMULA('Month-End'!$CP$20))))),1,0)</f>
        <v/>
      </c>
      <c r="DA97">
        <f>IF($DT97=1,IF(OR(Settings!$B$19="Checking",Settings!$B$19="Savings",Settings!$B$19="Cash"),N($AE97),IF(OR(Settings!$B$19="Card",Settings!$B$19="Loan"),-N($AE97),0))+IF(OR(Settings!$B$20="Checking",Settings!$B$20="Savings",Settings!$B$20="Cash"),N($AF97),IF(OR(Settings!$B$20="Card",Settings!$B$20="Loan"),-N($AF97),0))+IF(OR(Settings!$B$21="Checking",Settings!$B$21="Savings",Settings!$B$21="Cash"),N($AG97),IF(OR(Settings!$B$21="Card",Settings!$B$21="Loan"),-N($AG97),0))+IF(OR(Settings!$B$22="Checking",Settings!$B$22="Savings",Settings!$B$22="Cash"),N($AH97),IF(OR(Settings!$B$22="Card",Settings!$B$22="Loan"),-N($AH97),0))+IF(OR(Settings!$B$23="Checking",Settings!$B$23="Savings",Settings!$B$23="Cash"),N($AI97),IF(OR(Settings!$B$23="Card",Settings!$B$23="Loan"),-N($AI97),0))+IF(OR(Settings!$B$24="Checking",Settings!$B$24="Savings",Settings!$B$24="Cash"),N($AJ97),IF(OR(Settings!$B$24="Card",Settings!$B$24="Loan"),-N($AJ97),0))+IF(OR(Settings!$B$25="Checking",Settings!$B$25="Savings",Settings!$B$25="Cash"),N($AK97),IF(OR(Settings!$B$25="Card",Settings!$B$25="Loan"),-N($AK97),0))+IF(OR(Settings!$B$26="Checking",Settings!$B$26="Savings",Settings!$B$26="Cash"),N($AL97),IF(OR(Settings!$B$26="Card",Settings!$B$26="Loan"),-N($AL97),0))+IF(OR(Settings!$B$27="Checking",Settings!$B$27="Savings",Settings!$B$27="Cash"),N($AM97),IF(OR(Settings!$B$27="Card",Settings!$B$27="Loan"),-N($AM97),0))+IF(OR(Settings!$B$28="Checking",Settings!$B$28="Savings",Settings!$B$28="Cash"),N($AN97),IF(OR(Settings!$B$28="Card",Settings!$B$28="Loan"),-N($AN97),0))+IF(OR(Settings!$B$29="Checking",Settings!$B$29="Savings",Settings!$B$29="Cash"),N($AO97),IF(OR(Settings!$B$29="Card",Settings!$B$29="Loan"),-N($AO97),0))+IF(OR(Settings!$B$30="Checking",Settings!$B$30="Savings",Settings!$B$30="Cash"),N($AP97),IF(OR(Settings!$B$30="Card",Settings!$B$30="Loan"),-N($AP97),0))+IF(OR(Settings!$B$31="Checking",Settings!$B$31="Savings",Settings!$B$31="Cash"),N($AQ97),IF(OR(Settings!$B$31="Card",Settings!$B$31="Loan"),-N($AQ97),0))+IF(OR(Settings!$B$32="Checking",Settings!$B$32="Savings",Settings!$B$32="Cash"),N($AR97),IF(OR(Settings!$B$32="Card",Settings!$B$32="Loan"),-N($AR97),0)),"")</f>
        <v/>
      </c>
      <c r="DB97">
        <f>IF($E97="open",$EB$27,IF($E97="post",IF($E96="pre",$EB$27,$DA96),""))</f>
        <v/>
      </c>
      <c r="DC97">
        <f>IF($E97="open",1,IF($E97="post",IF($E96="pre",1,$DT96),0))</f>
        <v/>
      </c>
      <c r="DD97">
        <f>IF(AND($DT97=1,$DC97=1),ROUND($W97-($DA97-$DB97)-$AD97-$AB97,2),"")</f>
        <v/>
      </c>
      <c r="DE97">
        <f>IF('Month-End'!$CP$35="",$BQ97,N('Month-End'!$CP$35))</f>
        <v/>
      </c>
      <c r="DF97">
        <f>N('Month-End'!$CP$36)</f>
        <v/>
      </c>
      <c r="DG97">
        <f>IF($DD97="","",$DD97+$DE97)</f>
        <v/>
      </c>
      <c r="DH97">
        <f>IF($DG97="","",$DG97-$DF97)</f>
        <v/>
      </c>
      <c r="DI97">
        <f>IF(OR($E97="pre",$D97=1),"",N($AS97)+N($AT97)+N($AU97)+N($AV97)+N($AW97)+N($AX97))</f>
        <v/>
      </c>
      <c r="DJ97">
        <f>IF($DT97=1,$DA97+N($DI97),"")</f>
        <v/>
      </c>
      <c r="DK97">
        <f>IF($DD97="","",$W97-$DD97-$AB97)</f>
        <v/>
      </c>
      <c r="DL97">
        <f>IF(AND($E97="post",$DD97&lt;&gt;"",$B97&lt;TODAY()),1,0)</f>
        <v/>
      </c>
      <c r="DM97">
        <f>IF($DL97=1,COUNTIF($DL97:$DL$183,1),0)</f>
        <v/>
      </c>
      <c r="DN97">
        <f>IF($D97=1,"",IF($E97="pre","History only",IF($DT97=1,IF($DD97="","⚠ Previous month missing",IF($DD97&lt;0,"⚠ Check: spending &lt; 0",IF($E97="open","✓ Done (partial)","✓ Done"))),IF($B97&gt;=TODAY(),"In progress","⚠ Needs balances"))))</f>
        <v/>
      </c>
      <c r="DO97">
        <f>YEAR($A97)</f>
        <v/>
      </c>
      <c r="DP97">
        <f>DATE(YEAR($A97),INT((MONTH($A97)-1)/3)*3+1,1)</f>
        <v/>
      </c>
      <c r="DQ97">
        <f>IF(AND($DT97=1,$DD97&lt;&gt;"",$D97=0),ROW(),0)</f>
        <v/>
      </c>
      <c r="DR97">
        <f>IF(AND($E97&lt;&gt;"pre",$B97&lt;TODAY(),$DT97=0),1,0)</f>
        <v/>
      </c>
      <c r="DS97">
        <f>IF($DJ97="",NA(),$DJ97)</f>
        <v/>
      </c>
      <c r="DT97">
        <f>IF(AND($E97&lt;&gt;"pre",$CL97=0,COUNTIFS(Settings!$F$19:$F$32,"Yes",Settings!$A$19:$A$32,"&lt;&gt;",Settings!$E$19:$E$32,"&lt;&gt;No")&gt;0),1,0)</f>
        <v/>
      </c>
      <c r="DU97">
        <f>IF(AND($B97&lt;TODAY(),$S97&gt;0),1,0)</f>
        <v/>
      </c>
      <c r="DV97">
        <f>IF($DU97=1,COUNTIF($DU97:$DU$183,1),0)</f>
        <v/>
      </c>
      <c r="DW97">
        <f>IF(AND(OR(Settings!$B$19="Card",Settings!$B$19="Loan"),AND('Month-End'!$CP$7&lt;&gt;"",NOT(_xlfn.ISFORMULA('Month-End'!$CP$7)))),IF(N('Month-End'!$CP$7)&lt;0,1,0),0)+IF(AND(OR(Settings!$B$20="Card",Settings!$B$20="Loan"),AND('Month-End'!$CP$8&lt;&gt;"",NOT(_xlfn.ISFORMULA('Month-End'!$CP$8)))),IF(N('Month-End'!$CP$8)&lt;0,1,0),0)+IF(AND(OR(Settings!$B$21="Card",Settings!$B$21="Loan"),AND('Month-End'!$CP$9&lt;&gt;"",NOT(_xlfn.ISFORMULA('Month-End'!$CP$9)))),IF(N('Month-End'!$CP$9)&lt;0,1,0),0)+IF(AND(OR(Settings!$B$22="Card",Settings!$B$22="Loan"),AND('Month-End'!$CP$10&lt;&gt;"",NOT(_xlfn.ISFORMULA('Month-End'!$CP$10)))),IF(N('Month-End'!$CP$10)&lt;0,1,0),0)+IF(AND(OR(Settings!$B$23="Card",Settings!$B$23="Loan"),AND('Month-End'!$CP$11&lt;&gt;"",NOT(_xlfn.ISFORMULA('Month-End'!$CP$11)))),IF(N('Month-End'!$CP$11)&lt;0,1,0),0)+IF(AND(OR(Settings!$B$24="Card",Settings!$B$24="Loan"),AND('Month-End'!$CP$12&lt;&gt;"",NOT(_xlfn.ISFORMULA('Month-End'!$CP$12)))),IF(N('Month-End'!$CP$12)&lt;0,1,0),0)+IF(AND(OR(Settings!$B$25="Card",Settings!$B$25="Loan"),AND('Month-End'!$CP$13&lt;&gt;"",NOT(_xlfn.ISFORMULA('Month-End'!$CP$13)))),IF(N('Month-End'!$CP$13)&lt;0,1,0),0)+IF(AND(OR(Settings!$B$26="Card",Settings!$B$26="Loan"),AND('Month-End'!$CP$14&lt;&gt;"",NOT(_xlfn.ISFORMULA('Month-End'!$CP$14)))),IF(N('Month-End'!$CP$14)&lt;0,1,0),0)+IF(AND(OR(Settings!$B$27="Card",Settings!$B$27="Loan"),AND('Month-End'!$CP$15&lt;&gt;"",NOT(_xlfn.ISFORMULA('Month-End'!$CP$15)))),IF(N('Month-End'!$CP$15)&lt;0,1,0),0)+IF(AND(OR(Settings!$B$28="Card",Settings!$B$28="Loan"),AND('Month-End'!$CP$16&lt;&gt;"",NOT(_xlfn.ISFORMULA('Month-End'!$CP$16)))),IF(N('Month-End'!$CP$16)&lt;0,1,0),0)+IF(AND(OR(Settings!$B$29="Card",Settings!$B$29="Loan"),AND('Month-End'!$CP$17&lt;&gt;"",NOT(_xlfn.ISFORMULA('Month-End'!$CP$17)))),IF(N('Month-End'!$CP$17)&lt;0,1,0),0)+IF(AND(OR(Settings!$B$30="Card",Settings!$B$30="Loan"),AND('Month-End'!$CP$18&lt;&gt;"",NOT(_xlfn.ISFORMULA('Month-End'!$CP$18)))),IF(N('Month-End'!$CP$18)&lt;0,1,0),0)+IF(AND(OR(Settings!$B$31="Card",Settings!$B$31="Loan"),AND('Month-End'!$CP$19&lt;&gt;"",NOT(_xlfn.ISFORMULA('Month-End'!$CP$19)))),IF(N('Month-End'!$CP$19)&lt;0,1,0),0)+IF(AND(OR(Settings!$B$32="Card",Settings!$B$32="Loan"),AND('Month-End'!$CP$20&lt;&gt;"",NOT(_xlfn.ISFORMULA('Month-End'!$CP$20)))),IF(N('Month-End'!$CP$20)&lt;0,1,0),0)</f>
        <v/>
      </c>
      <c r="DX97">
        <f>IF(Settings!$B$36="Retirement",$AY97,0)+IF(Settings!$B$37="Retirement",$AZ97,0)+IF(Settings!$B$38="Retirement",$BA97,0)+IF(Settings!$B$39="Retirement",$BB97,0)+IF(Settings!$B$40="Retirement",$BC97,0)+IF(Settings!$B$41="Retirement",$BD97,0)</f>
        <v/>
      </c>
      <c r="EA97">
        <f>IF(COUNTIF($DD$6:$DD$183,"&lt;0")=0,"✓ No negative spending months","⚠ "&amp;COUNTIF($DD$6:$DD$183,"&lt;0")&amp;" month(s) with negative spending — usually missing income or a wrong balance")</f>
        <v/>
      </c>
      <c r="ET97">
        <f>IF($E97&lt;&gt;"open",0,IF(AND('Month-End'!$CP$22&lt;&gt;"",NOT(_xlfn.ISFORMULA('Month-End'!$CP$22))),0,IF(OR(Settings!$C$45="",Settings!$D$45=""),0,Settings!$C$45*IF(Settings!$D$45="Weekly",IF(IFERROR(MATCH(Settings!$E$45,$EO$4:$EO$10,0),0)=0,0,IF(MIN(Settings!$B$5,IF(Settings!$G$45="",Settings!$B$5,Settings!$G$45))&lt;MAX($A97,Settings!$F$45),0,INT((MIN(Settings!$B$5,IF(Settings!$G$45="",Settings!$B$5,Settings!$G$45))-MAX($A97,Settings!$F$45)-MOD(IFERROR(MATCH(Settings!$E$45,$EO$4:$EO$10,0),0)-WEEKDAY(MAX($A97,Settings!$F$45)),7))/7)+1)),IF(AND(IF(Settings!$E$45="",$B97,DATE(YEAR($A97),MONTH($A97),MIN(Settings!$E$45,DAY($B97))))&gt;=MAX($A97,Settings!$F$45),IF(Settings!$E$45="",$B97,DATE(YEAR($A97),MONTH($A97),MIN(Settings!$E$45,DAY($B97))))&lt;=MIN(Settings!$B$5,IF(Settings!$G$45="",Settings!$B$5,Settings!$G$45))),1,0)))))</f>
        <v/>
      </c>
      <c r="EU97">
        <f>IF($E97&lt;&gt;"open",0,IF(AND('Month-End'!$CP$23&lt;&gt;"",NOT(_xlfn.ISFORMULA('Month-End'!$CP$23))),0,IF(OR(Settings!$C$46="",Settings!$D$46=""),0,Settings!$C$46*IF(Settings!$D$46="Weekly",IF(IFERROR(MATCH(Settings!$E$46,$EO$4:$EO$10,0),0)=0,0,IF(MIN(Settings!$B$5,IF(Settings!$G$46="",Settings!$B$5,Settings!$G$46))&lt;MAX($A97,Settings!$F$46),0,INT((MIN(Settings!$B$5,IF(Settings!$G$46="",Settings!$B$5,Settings!$G$46))-MAX($A97,Settings!$F$46)-MOD(IFERROR(MATCH(Settings!$E$46,$EO$4:$EO$10,0),0)-WEEKDAY(MAX($A97,Settings!$F$46)),7))/7)+1)),IF(AND(IF(Settings!$E$46="",$B97,DATE(YEAR($A97),MONTH($A97),MIN(Settings!$E$46,DAY($B97))))&gt;=MAX($A97,Settings!$F$46),IF(Settings!$E$46="",$B97,DATE(YEAR($A97),MONTH($A97),MIN(Settings!$E$46,DAY($B97))))&lt;=MIN(Settings!$B$5,IF(Settings!$G$46="",Settings!$B$5,Settings!$G$46))),1,0)))))</f>
        <v/>
      </c>
      <c r="EV97">
        <f>IF($E97&lt;&gt;"open",0,IF(AND('Month-End'!$CP$24&lt;&gt;"",NOT(_xlfn.ISFORMULA('Month-End'!$CP$24))),0,IF(OR(Settings!$C$47="",Settings!$D$47=""),0,Settings!$C$47*IF(Settings!$D$47="Weekly",IF(IFERROR(MATCH(Settings!$E$47,$EO$4:$EO$10,0),0)=0,0,IF(MIN(Settings!$B$5,IF(Settings!$G$47="",Settings!$B$5,Settings!$G$47))&lt;MAX($A97,Settings!$F$47),0,INT((MIN(Settings!$B$5,IF(Settings!$G$47="",Settings!$B$5,Settings!$G$47))-MAX($A97,Settings!$F$47)-MOD(IFERROR(MATCH(Settings!$E$47,$EO$4:$EO$10,0),0)-WEEKDAY(MAX($A97,Settings!$F$47)),7))/7)+1)),IF(AND(IF(Settings!$E$47="",$B97,DATE(YEAR($A97),MONTH($A97),MIN(Settings!$E$47,DAY($B97))))&gt;=MAX($A97,Settings!$F$47),IF(Settings!$E$47="",$B97,DATE(YEAR($A97),MONTH($A97),MIN(Settings!$E$47,DAY($B97))))&lt;=MIN(Settings!$B$5,IF(Settings!$G$47="",Settings!$B$5,Settings!$G$47))),1,0)))))</f>
        <v/>
      </c>
      <c r="EW97">
        <f>IF($E97&lt;&gt;"open",0,IF(AND('Month-End'!$CP$25&lt;&gt;"",NOT(_xlfn.ISFORMULA('Month-End'!$CP$25))),0,IF(OR(Settings!$C$48="",Settings!$D$48=""),0,Settings!$C$48*IF(Settings!$D$48="Weekly",IF(IFERROR(MATCH(Settings!$E$48,$EO$4:$EO$10,0),0)=0,0,IF(MIN(Settings!$B$5,IF(Settings!$G$48="",Settings!$B$5,Settings!$G$48))&lt;MAX($A97,Settings!$F$48),0,INT((MIN(Settings!$B$5,IF(Settings!$G$48="",Settings!$B$5,Settings!$G$48))-MAX($A97,Settings!$F$48)-MOD(IFERROR(MATCH(Settings!$E$48,$EO$4:$EO$10,0),0)-WEEKDAY(MAX($A97,Settings!$F$48)),7))/7)+1)),IF(AND(IF(Settings!$E$48="",$B97,DATE(YEAR($A97),MONTH($A97),MIN(Settings!$E$48,DAY($B97))))&gt;=MAX($A97,Settings!$F$48),IF(Settings!$E$48="",$B97,DATE(YEAR($A97),MONTH($A97),MIN(Settings!$E$48,DAY($B97))))&lt;=MIN(Settings!$B$5,IF(Settings!$G$48="",Settings!$B$5,Settings!$G$48))),1,0)))))</f>
        <v/>
      </c>
      <c r="EX97">
        <f>IF($E97&lt;&gt;"open",0,IF(AND('Month-End'!$CP$26&lt;&gt;"",NOT(_xlfn.ISFORMULA('Month-End'!$CP$26))),0,IF(OR(Settings!$C$49="",Settings!$D$49=""),0,Settings!$C$49*IF(Settings!$D$49="Weekly",IF(IFERROR(MATCH(Settings!$E$49,$EO$4:$EO$10,0),0)=0,0,IF(MIN(Settings!$B$5,IF(Settings!$G$49="",Settings!$B$5,Settings!$G$49))&lt;MAX($A97,Settings!$F$49),0,INT((MIN(Settings!$B$5,IF(Settings!$G$49="",Settings!$B$5,Settings!$G$49))-MAX($A97,Settings!$F$49)-MOD(IFERROR(MATCH(Settings!$E$49,$EO$4:$EO$10,0),0)-WEEKDAY(MAX($A97,Settings!$F$49)),7))/7)+1)),IF(AND(IF(Settings!$E$49="",$B97,DATE(YEAR($A97),MONTH($A97),MIN(Settings!$E$49,DAY($B97))))&gt;=MAX($A97,Settings!$F$49),IF(Settings!$E$49="",$B97,DATE(YEAR($A97),MONTH($A97),MIN(Settings!$E$49,DAY($B97))))&lt;=MIN(Settings!$B$5,IF(Settings!$G$49="",Settings!$B$5,Settings!$G$49))),1,0)))))</f>
        <v/>
      </c>
      <c r="EY97">
        <f>IF($E97&lt;&gt;"open",0,IF(AND('Month-End'!$CP$27&lt;&gt;"",NOT(_xlfn.ISFORMULA('Month-End'!$CP$27))),0,IF(OR(Settings!$C$50="",Settings!$D$50=""),0,Settings!$C$50*IF(Settings!$D$50="Weekly",IF(IFERROR(MATCH(Settings!$E$50,$EO$4:$EO$10,0),0)=0,0,IF(MIN(Settings!$B$5,IF(Settings!$G$50="",Settings!$B$5,Settings!$G$50))&lt;MAX($A97,Settings!$F$50),0,INT((MIN(Settings!$B$5,IF(Settings!$G$50="",Settings!$B$5,Settings!$G$50))-MAX($A97,Settings!$F$50)-MOD(IFERROR(MATCH(Settings!$E$50,$EO$4:$EO$10,0),0)-WEEKDAY(MAX($A97,Settings!$F$50)),7))/7)+1)),IF(AND(IF(Settings!$E$50="",$B97,DATE(YEAR($A97),MONTH($A97),MIN(Settings!$E$50,DAY($B97))))&gt;=MAX($A97,Settings!$F$50),IF(Settings!$E$50="",$B97,DATE(YEAR($A97),MONTH($A97),MIN(Settings!$E$50,DAY($B97))))&lt;=MIN(Settings!$B$5,IF(Settings!$G$50="",Settings!$B$5,Settings!$G$50))),1,0)))))</f>
        <v/>
      </c>
      <c r="EZ97">
        <f>IF($E97&lt;&gt;"open",0,IF(AND('Month-End'!$CP$28&lt;&gt;"",NOT(_xlfn.ISFORMULA('Month-End'!$CP$28))),0,IF(OR(Settings!$C$51="",Settings!$D$51=""),0,Settings!$C$51*IF(Settings!$D$51="Weekly",IF(IFERROR(MATCH(Settings!$E$51,$EO$4:$EO$10,0),0)=0,0,IF(MIN(Settings!$B$5,IF(Settings!$G$51="",Settings!$B$5,Settings!$G$51))&lt;MAX($A97,Settings!$F$51),0,INT((MIN(Settings!$B$5,IF(Settings!$G$51="",Settings!$B$5,Settings!$G$51))-MAX($A97,Settings!$F$51)-MOD(IFERROR(MATCH(Settings!$E$51,$EO$4:$EO$10,0),0)-WEEKDAY(MAX($A97,Settings!$F$51)),7))/7)+1)),IF(AND(IF(Settings!$E$51="",$B97,DATE(YEAR($A97),MONTH($A97),MIN(Settings!$E$51,DAY($B97))))&gt;=MAX($A97,Settings!$F$51),IF(Settings!$E$51="",$B97,DATE(YEAR($A97),MONTH($A97),MIN(Settings!$E$51,DAY($B97))))&lt;=MIN(Settings!$B$5,IF(Settings!$G$51="",Settings!$B$5,Settings!$G$51))),1,0)))))</f>
        <v/>
      </c>
      <c r="FA97">
        <f>IF($E97&lt;&gt;"open",0,IF(AND('Month-End'!$CP$29&lt;&gt;"",NOT(_xlfn.ISFORMULA('Month-End'!$CP$29))),0,IF(OR(Settings!$C$52="",Settings!$D$52=""),0,Settings!$C$52*IF(Settings!$D$52="Weekly",IF(IFERROR(MATCH(Settings!$E$52,$EO$4:$EO$10,0),0)=0,0,IF(MIN(Settings!$B$5,IF(Settings!$G$52="",Settings!$B$5,Settings!$G$52))&lt;MAX($A97,Settings!$F$52),0,INT((MIN(Settings!$B$5,IF(Settings!$G$52="",Settings!$B$5,Settings!$G$52))-MAX($A97,Settings!$F$52)-MOD(IFERROR(MATCH(Settings!$E$52,$EO$4:$EO$10,0),0)-WEEKDAY(MAX($A97,Settings!$F$52)),7))/7)+1)),IF(AND(IF(Settings!$E$52="",$B97,DATE(YEAR($A97),MONTH($A97),MIN(Settings!$E$52,DAY($B97))))&gt;=MAX($A97,Settings!$F$52),IF(Settings!$E$52="",$B97,DATE(YEAR($A97),MONTH($A97),MIN(Settings!$E$52,DAY($B97))))&lt;=MIN(Settings!$B$5,IF(Settings!$G$52="",Settings!$B$5,Settings!$G$52))),1,0)))))</f>
        <v/>
      </c>
      <c r="FB97">
        <f>IF($E97&lt;&gt;"open",0,IF(AND('Month-End'!$CP$30&lt;&gt;"",NOT(_xlfn.ISFORMULA('Month-End'!$CP$30))),0,IF(OR(Settings!$C$53="",Settings!$D$53=""),0,Settings!$C$53*IF(Settings!$D$53="Weekly",IF(IFERROR(MATCH(Settings!$E$53,$EO$4:$EO$10,0),0)=0,0,IF(MIN(Settings!$B$5,IF(Settings!$G$53="",Settings!$B$5,Settings!$G$53))&lt;MAX($A97,Settings!$F$53),0,INT((MIN(Settings!$B$5,IF(Settings!$G$53="",Settings!$B$5,Settings!$G$53))-MAX($A97,Settings!$F$53)-MOD(IFERROR(MATCH(Settings!$E$53,$EO$4:$EO$10,0),0)-WEEKDAY(MAX($A97,Settings!$F$53)),7))/7)+1)),IF(AND(IF(Settings!$E$53="",$B97,DATE(YEAR($A97),MONTH($A97),MIN(Settings!$E$53,DAY($B97))))&gt;=MAX($A97,Settings!$F$53),IF(Settings!$E$53="",$B97,DATE(YEAR($A97),MONTH($A97),MIN(Settings!$E$53,DAY($B97))))&lt;=MIN(Settings!$B$5,IF(Settings!$G$53="",Settings!$B$5,Settings!$G$53))),1,0)))))</f>
        <v/>
      </c>
      <c r="FC97">
        <f>IF($E97&lt;&gt;"open",0,IF(AND('Month-End'!$CP$31&lt;&gt;"",NOT(_xlfn.ISFORMULA('Month-End'!$CP$31))),0,IF(OR(Settings!$C$54="",Settings!$D$54=""),0,Settings!$C$54*IF(Settings!$D$54="Weekly",IF(IFERROR(MATCH(Settings!$E$54,$EO$4:$EO$10,0),0)=0,0,IF(MIN(Settings!$B$5,IF(Settings!$G$54="",Settings!$B$5,Settings!$G$54))&lt;MAX($A97,Settings!$F$54),0,INT((MIN(Settings!$B$5,IF(Settings!$G$54="",Settings!$B$5,Settings!$G$54))-MAX($A97,Settings!$F$54)-MOD(IFERROR(MATCH(Settings!$E$54,$EO$4:$EO$10,0),0)-WEEKDAY(MAX($A97,Settings!$F$54)),7))/7)+1)),IF(AND(IF(Settings!$E$54="",$B97,DATE(YEAR($A97),MONTH($A97),MIN(Settings!$E$54,DAY($B97))))&gt;=MAX($A97,Settings!$F$54),IF(Settings!$E$54="",$B97,DATE(YEAR($A97),MONTH($A97),MIN(Settings!$E$54,DAY($B97))))&lt;=MIN(Settings!$B$5,IF(Settings!$G$54="",Settings!$B$5,Settings!$G$54))),1,0)))))</f>
        <v/>
      </c>
      <c r="FD97">
        <f>IF($E97&lt;&gt;"open",0,IF(AND('Month-End'!$CP$32&lt;&gt;"",NOT(_xlfn.ISFORMULA('Month-End'!$CP$32))),0,IF(OR(Settings!$C$55="",Settings!$D$55=""),0,Settings!$C$55*IF(Settings!$D$55="Weekly",IF(IFERROR(MATCH(Settings!$E$55,$EO$4:$EO$10,0),0)=0,0,IF(MIN(Settings!$B$5,IF(Settings!$G$55="",Settings!$B$5,Settings!$G$55))&lt;MAX($A97,Settings!$F$55),0,INT((MIN(Settings!$B$5,IF(Settings!$G$55="",Settings!$B$5,Settings!$G$55))-MAX($A97,Settings!$F$55)-MOD(IFERROR(MATCH(Settings!$E$55,$EO$4:$EO$10,0),0)-WEEKDAY(MAX($A97,Settings!$F$55)),7))/7)+1)),IF(AND(IF(Settings!$E$55="",$B97,DATE(YEAR($A97),MONTH($A97),MIN(Settings!$E$55,DAY($B97))))&gt;=MAX($A97,Settings!$F$55),IF(Settings!$E$55="",$B97,DATE(YEAR($A97),MONTH($A97),MIN(Settings!$E$55,DAY($B97))))&lt;=MIN(Settings!$B$5,IF(Settings!$G$55="",Settings!$B$5,Settings!$G$55))),1,0)))))</f>
        <v/>
      </c>
      <c r="FE97">
        <f>IF($E97&lt;&gt;"open",0,IF(AND('Month-End'!$CP$33&lt;&gt;"",NOT(_xlfn.ISFORMULA('Month-End'!$CP$33))),0,IF(OR(Settings!$C$56="",Settings!$D$56=""),0,Settings!$C$56*IF(Settings!$D$56="Weekly",IF(IFERROR(MATCH(Settings!$E$56,$EO$4:$EO$10,0),0)=0,0,IF(MIN(Settings!$B$5,IF(Settings!$G$56="",Settings!$B$5,Settings!$G$56))&lt;MAX($A97,Settings!$F$56),0,INT((MIN(Settings!$B$5,IF(Settings!$G$56="",Settings!$B$5,Settings!$G$56))-MAX($A97,Settings!$F$56)-MOD(IFERROR(MATCH(Settings!$E$56,$EO$4:$EO$10,0),0)-WEEKDAY(MAX($A97,Settings!$F$56)),7))/7)+1)),IF(AND(IF(Settings!$E$56="",$B97,DATE(YEAR($A97),MONTH($A97),MIN(Settings!$E$56,DAY($B97))))&gt;=MAX($A97,Settings!$F$56),IF(Settings!$E$56="",$B97,DATE(YEAR($A97),MONTH($A97),MIN(Settings!$E$56,DAY($B97))))&lt;=MIN(Settings!$B$5,IF(Settings!$G$56="",Settings!$B$5,Settings!$G$56))),1,0)))))</f>
        <v/>
      </c>
      <c r="FF97">
        <f>IF(Settings!$I$45="Yes",$G97,0)+IF(Settings!$I$46="Yes",$H97,0)+IF(Settings!$I$47="Yes",$I97,0)+IF(Settings!$I$48="Yes",$J97,0)+IF(Settings!$I$49="Yes",$K97,0)+IF(Settings!$I$50="Yes",$L97,0)+IF(Settings!$I$51="Yes",$M97,0)+IF(Settings!$I$52="Yes",$N97,0)+IF(Settings!$I$53="Yes",$O97,0)+IF(Settings!$I$54="Yes",$P97,0)+IF(Settings!$I$55="Yes",$Q97,0)+IF(Settings!$I$56="Yes",$R97,0)</f>
        <v/>
      </c>
      <c r="FG97">
        <f>IF(AND(Settings!$I$45="Yes",Settings!$J$45="No"),$G97,0)+IF(AND(Settings!$I$46="Yes",Settings!$J$46="No"),$H97,0)+IF(AND(Settings!$I$47="Yes",Settings!$J$47="No"),$I97,0)+IF(AND(Settings!$I$48="Yes",Settings!$J$48="No"),$J97,0)+IF(AND(Settings!$I$49="Yes",Settings!$J$49="No"),$K97,0)+IF(AND(Settings!$I$50="Yes",Settings!$J$50="No"),$L97,0)+IF(AND(Settings!$I$51="Yes",Settings!$J$51="No"),$M97,0)+IF(AND(Settings!$I$52="Yes",Settings!$J$52="No"),$N97,0)+IF(AND(Settings!$I$53="Yes",Settings!$J$53="No"),$O97,0)+IF(AND(Settings!$I$54="Yes",Settings!$J$54="No"),$P97,0)+IF(AND(Settings!$I$55="Yes",Settings!$J$55="No"),$Q97,0)+IF(AND(Settings!$I$56="Yes",Settings!$J$56="No"),$R97,0)</f>
        <v/>
      </c>
      <c r="FH97">
        <f>SUMIFS(Giving!$B$7:$B$2006,Giving!$A$7:$A$2006,"&gt;="&amp;$A97,Giving!$A$7:$A$2006,"&lt;="&amp;$B97,Giving!$G$7:$G$2006,"Yes")+IF(OR(OR(Settings!$B$60="",Settings!$F$60="No"),Settings!$H$60&lt;&gt;"Yes"),0,Settings!$B$60*IF(AND(IF(Settings!$C$60="",$B97,DATE(YEAR($A97),MONTH($A97),MIN(Settings!$C$60,DAY($B97))))&gt;=MAX($A97,Settings!$D$60),IF(Settings!$C$60="",$B97,DATE(YEAR($A97),MONTH($A97),MIN(Settings!$C$60,DAY($B97))))&lt;=MIN($C97,IF(Settings!$E$60="",$C97,Settings!$E$60))),1,0))+IF(OR(OR(Settings!$B$61="",Settings!$F$61="No"),Settings!$H$61&lt;&gt;"Yes"),0,Settings!$B$61*IF(AND(IF(Settings!$C$61="",$B97,DATE(YEAR($A97),MONTH($A97),MIN(Settings!$C$61,DAY($B97))))&gt;=MAX($A97,Settings!$D$61),IF(Settings!$C$61="",$B97,DATE(YEAR($A97),MONTH($A97),MIN(Settings!$C$61,DAY($B97))))&lt;=MIN($C97,IF(Settings!$E$61="",$C97,Settings!$E$61))),1,0))+IF(OR(OR(Settings!$B$62="",Settings!$F$62="No"),Settings!$H$62&lt;&gt;"Yes"),0,Settings!$B$62*IF(AND(IF(Settings!$C$62="",$B97,DATE(YEAR($A97),MONTH($A97),MIN(Settings!$C$62,DAY($B97))))&gt;=MAX($A97,Settings!$D$62),IF(Settings!$C$62="",$B97,DATE(YEAR($A97),MONTH($A97),MIN(Settings!$C$62,DAY($B97))))&lt;=MIN($C97,IF(Settings!$E$62="",$C97,Settings!$E$62))),1,0))+IF(OR(OR(Settings!$B$63="",Settings!$F$63="No"),Settings!$H$63&lt;&gt;"Yes"),0,Settings!$B$63*IF(AND(IF(Settings!$C$63="",$B97,DATE(YEAR($A97),MONTH($A97),MIN(Settings!$C$63,DAY($B97))))&gt;=MAX($A97,Settings!$D$63),IF(Settings!$C$63="",$B97,DATE(YEAR($A97),MONTH($A97),MIN(Settings!$C$63,DAY($B97))))&lt;=MIN($C97,IF(Settings!$E$63="",$C97,Settings!$E$63))),1,0))+IF(OR(OR(Settings!$B$64="",Settings!$F$64="No"),Settings!$H$64&lt;&gt;"Yes"),0,Settings!$B$64*IF(AND(IF(Settings!$C$64="",$B97,DATE(YEAR($A97),MONTH($A97),MIN(Settings!$C$64,DAY($B97))))&gt;=MAX($A97,Settings!$D$64),IF(Settings!$C$64="",$B97,DATE(YEAR($A97),MONTH($A97),MIN(Settings!$C$64,DAY($B97))))&lt;=MIN($C97,IF(Settings!$E$64="",$C97,Settings!$E$64))),1,0))+IF(OR(OR(Settings!$B$65="",Settings!$F$65="No"),Settings!$H$65&lt;&gt;"Yes"),0,Settings!$B$65*IF(AND(IF(Settings!$C$65="",$B97,DATE(YEAR($A97),MONTH($A97),MIN(Settings!$C$65,DAY($B97))))&gt;=MAX($A97,Settings!$D$65),IF(Settings!$C$65="",$B97,DATE(YEAR($A97),MONTH($A97),MIN(Settings!$C$65,DAY($B97))))&lt;=MIN($C97,IF(Settings!$E$65="",$C97,Settings!$E$65))),1,0))</f>
        <v/>
      </c>
      <c r="FI97">
        <f>IF($DT97=1,IF(OR(Settings!$B$19="Card",Settings!$B$19="Loan"),N($AE97),0)+IF(OR(Settings!$B$20="Card",Settings!$B$20="Loan"),N($AF97),0)+IF(OR(Settings!$B$21="Card",Settings!$B$21="Loan"),N($AG97),0)+IF(OR(Settings!$B$22="Card",Settings!$B$22="Loan"),N($AH97),0)+IF(OR(Settings!$B$23="Card",Settings!$B$23="Loan"),N($AI97),0)+IF(OR(Settings!$B$24="Card",Settings!$B$24="Loan"),N($AJ97),0)+IF(OR(Settings!$B$25="Card",Settings!$B$25="Loan"),N($AK97),0)+IF(OR(Settings!$B$26="Card",Settings!$B$26="Loan"),N($AL97),0)+IF(OR(Settings!$B$27="Card",Settings!$B$27="Loan"),N($AM97),0)+IF(OR(Settings!$B$28="Card",Settings!$B$28="Loan"),N($AN97),0)+IF(OR(Settings!$B$29="Card",Settings!$B$29="Loan"),N($AO97),0)+IF(OR(Settings!$B$30="Card",Settings!$B$30="Loan"),N($AP97),0)+IF(OR(Settings!$B$31="Card",Settings!$B$31="Loan"),N($AQ97),0)+IF(OR(Settings!$B$32="Card",Settings!$B$32="Loan"),N($AR97),0),"")</f>
        <v/>
      </c>
      <c r="FJ97">
        <f>IF($E97="open",$EB$65,IF($E97="post",IF($E96="pre",$EB$65,$FI96),""))</f>
        <v/>
      </c>
      <c r="FK97">
        <f>IF(AND($DT97=1,$DC97=1),IF(ROUND($FI97-$FJ97,2)&gt;0,1,0),0)</f>
        <v/>
      </c>
      <c r="FL97">
        <f>IF($FK97=1,$FL96+1,0)</f>
        <v/>
      </c>
    </row>
    <row r="98">
      <c r="A98">
        <f>'Month-End'!$CQ$4</f>
        <v/>
      </c>
      <c r="B98">
        <f>EOMONTH($A98,0)</f>
        <v/>
      </c>
      <c r="C98">
        <f>MIN($B98,TODAY())</f>
        <v/>
      </c>
      <c r="D98">
        <f>IF($A98&gt;TODAY(),1,0)</f>
        <v/>
      </c>
      <c r="E98">
        <f>IF($B98&lt;=Settings!$B$5,"pre",IF($A98&lt;=Settings!$B$5,"open","post"))</f>
        <v/>
      </c>
      <c r="G98">
        <f>IF('Month-End'!$CQ$22="",$BE98,N('Month-End'!$CQ$22))</f>
        <v/>
      </c>
      <c r="H98">
        <f>IF('Month-End'!$CQ$23="",$BF98,N('Month-End'!$CQ$23))</f>
        <v/>
      </c>
      <c r="I98">
        <f>IF('Month-End'!$CQ$24="",$BG98,N('Month-End'!$CQ$24))</f>
        <v/>
      </c>
      <c r="J98">
        <f>IF('Month-End'!$CQ$25="",$BH98,N('Month-End'!$CQ$25))</f>
        <v/>
      </c>
      <c r="K98">
        <f>IF('Month-End'!$CQ$26="",$BI98,N('Month-End'!$CQ$26))</f>
        <v/>
      </c>
      <c r="L98">
        <f>IF('Month-End'!$CQ$27="",$BJ98,N('Month-End'!$CQ$27))</f>
        <v/>
      </c>
      <c r="M98">
        <f>IF('Month-End'!$CQ$28="",$BK98,N('Month-End'!$CQ$28))</f>
        <v/>
      </c>
      <c r="N98">
        <f>IF('Month-End'!$CQ$29="",$BL98,N('Month-End'!$CQ$29))</f>
        <v/>
      </c>
      <c r="O98">
        <f>IF('Month-End'!$CQ$30="",$BM98,N('Month-End'!$CQ$30))</f>
        <v/>
      </c>
      <c r="P98">
        <f>IF('Month-End'!$CQ$31="",$BN98,N('Month-End'!$CQ$31))</f>
        <v/>
      </c>
      <c r="Q98">
        <f>IF('Month-End'!$CQ$32="",$BO98,N('Month-End'!$CQ$32))</f>
        <v/>
      </c>
      <c r="R98">
        <f>IF('Month-End'!$CQ$33="",$BP98,N('Month-End'!$CQ$33))</f>
        <v/>
      </c>
      <c r="S98">
        <f>$G98+$H98+$I98+$J98+$K98+$L98+$M98+$N98+$O98+$P98+$Q98+$R98</f>
        <v/>
      </c>
      <c r="T98">
        <f>IF($B98&lt;Settings!$B$6,0,IF(Settings!$B$45="Yes",$G98,0)+IF(Settings!$B$46="Yes",$H98,0)+IF(Settings!$B$47="Yes",$I98,0)+IF(Settings!$B$48="Yes",$J98,0)+IF(Settings!$B$49="Yes",$K98,0)+IF(Settings!$B$50="Yes",$L98,0)+IF(Settings!$B$51="Yes",$M98,0)+IF(Settings!$B$52="Yes",$N98,0)+IF(Settings!$B$53="Yes",$O98,0)+IF(Settings!$B$54="Yes",$P98,0)+IF(Settings!$B$55="Yes",$Q98,0)+IF(Settings!$B$56="Yes",$R98,0))</f>
        <v/>
      </c>
      <c r="U98">
        <f>IF(Settings!$B$45="Not Sure",$G98,0)+IF(Settings!$B$46="Not Sure",$H98,0)+IF(Settings!$B$47="Not Sure",$I98,0)+IF(Settings!$B$48="Not Sure",$J98,0)+IF(Settings!$B$49="Not Sure",$K98,0)+IF(Settings!$B$50="Not Sure",$L98,0)+IF(Settings!$B$51="Not Sure",$M98,0)+IF(Settings!$B$52="Not Sure",$N98,0)+IF(Settings!$B$53="Not Sure",$O98,0)+IF(Settings!$B$54="Not Sure",$P98,0)+IF(Settings!$B$55="Not Sure",$Q98,0)+IF(Settings!$B$56="Not Sure",$R98,0)</f>
        <v/>
      </c>
      <c r="V98">
        <f>IF($E98="open",SUM($ET98:$FE98)+N(Settings!$B$13),0)</f>
        <v/>
      </c>
      <c r="W98">
        <f>IF($E98="post",$S98,IF($E98="open",$S98-$V98,0))</f>
        <v/>
      </c>
      <c r="X98">
        <f>SUMIFS(Giving!$B$7:$B$2006,Giving!$A$7:$A$2006,"&gt;="&amp;$A98,Giving!$A$7:$A$2006,"&lt;="&amp;$B98,Giving!$E$7:$E$2006,"&lt;&gt;No")</f>
        <v/>
      </c>
      <c r="Y98">
        <f>SUMIFS(Giving!$B$7:$B$2006,Giving!$A$7:$A$2006,"&gt;="&amp;$A98,Giving!$A$7:$A$2006,"&lt;="&amp;$B98,Giving!$E$7:$E$2006,"No")</f>
        <v/>
      </c>
      <c r="Z98">
        <f>IF(OR(Settings!$B$60="",Settings!$F$60="No"),0,Settings!$B$60*IF(AND(IF(Settings!$C$60="",$B98,DATE(YEAR($A98),MONTH($A98),MIN(Settings!$C$60,DAY($B98))))&gt;=MAX($A98,Settings!$D$60),IF(Settings!$C$60="",$B98,DATE(YEAR($A98),MONTH($A98),MIN(Settings!$C$60,DAY($B98))))&lt;=MIN($C98,IF(Settings!$E$60="",$C98,Settings!$E$60))),1,0))+IF(OR(Settings!$B$61="",Settings!$F$61="No"),0,Settings!$B$61*IF(AND(IF(Settings!$C$61="",$B98,DATE(YEAR($A98),MONTH($A98),MIN(Settings!$C$61,DAY($B98))))&gt;=MAX($A98,Settings!$D$61),IF(Settings!$C$61="",$B98,DATE(YEAR($A98),MONTH($A98),MIN(Settings!$C$61,DAY($B98))))&lt;=MIN($C98,IF(Settings!$E$61="",$C98,Settings!$E$61))),1,0))+IF(OR(Settings!$B$62="",Settings!$F$62="No"),0,Settings!$B$62*IF(AND(IF(Settings!$C$62="",$B98,DATE(YEAR($A98),MONTH($A98),MIN(Settings!$C$62,DAY($B98))))&gt;=MAX($A98,Settings!$D$62),IF(Settings!$C$62="",$B98,DATE(YEAR($A98),MONTH($A98),MIN(Settings!$C$62,DAY($B98))))&lt;=MIN($C98,IF(Settings!$E$62="",$C98,Settings!$E$62))),1,0))+IF(OR(Settings!$B$63="",Settings!$F$63="No"),0,Settings!$B$63*IF(AND(IF(Settings!$C$63="",$B98,DATE(YEAR($A98),MONTH($A98),MIN(Settings!$C$63,DAY($B98))))&gt;=MAX($A98,Settings!$D$63),IF(Settings!$C$63="",$B98,DATE(YEAR($A98),MONTH($A98),MIN(Settings!$C$63,DAY($B98))))&lt;=MIN($C98,IF(Settings!$E$63="",$C98,Settings!$E$63))),1,0))+IF(OR(Settings!$B$64="",Settings!$F$64="No"),0,Settings!$B$64*IF(AND(IF(Settings!$C$64="",$B98,DATE(YEAR($A98),MONTH($A98),MIN(Settings!$C$64,DAY($B98))))&gt;=MAX($A98,Settings!$D$64),IF(Settings!$C$64="",$B98,DATE(YEAR($A98),MONTH($A98),MIN(Settings!$C$64,DAY($B98))))&lt;=MIN($C98,IF(Settings!$E$64="",$C98,Settings!$E$64))),1,0))+IF(OR(Settings!$B$65="",Settings!$F$65="No"),0,Settings!$B$65*IF(AND(IF(Settings!$C$65="",$B98,DATE(YEAR($A98),MONTH($A98),MIN(Settings!$C$65,DAY($B98))))&gt;=MAX($A98,Settings!$D$65),IF(Settings!$C$65="",$B98,DATE(YEAR($A98),MONTH($A98),MIN(Settings!$C$65,DAY($B98))))&lt;=MIN($C98,IF(Settings!$E$65="",$C98,Settings!$E$65))),1,0))</f>
        <v/>
      </c>
      <c r="AA98">
        <f>$X98+$Z98</f>
        <v/>
      </c>
      <c r="AB98">
        <f>IF($E98="post",$AA98,IF($E98="open",SUMIFS(Giving!$B$7:$B$2006,Giving!$A$7:$A$2006,"&gt;"&amp;Settings!$B$5,Giving!$A$7:$A$2006,"&lt;="&amp;$B98,Giving!$E$7:$E$2006,"&lt;&gt;No")+IF(OR(Settings!$B$60="",Settings!$F$60="No"),0,Settings!$B$60*IF(AND(IF(Settings!$C$60="",$B98,DATE(YEAR($A98),MONTH($A98),MIN(Settings!$C$60,DAY($B98))))&gt;=MAX($A98,Settings!$D$60,Settings!$B$5+1),IF(Settings!$C$60="",$B98,DATE(YEAR($A98),MONTH($A98),MIN(Settings!$C$60,DAY($B98))))&lt;=MIN($C98,IF(Settings!$E$60="",$C98,Settings!$E$60))),1,0))+IF(OR(Settings!$B$61="",Settings!$F$61="No"),0,Settings!$B$61*IF(AND(IF(Settings!$C$61="",$B98,DATE(YEAR($A98),MONTH($A98),MIN(Settings!$C$61,DAY($B98))))&gt;=MAX($A98,Settings!$D$61,Settings!$B$5+1),IF(Settings!$C$61="",$B98,DATE(YEAR($A98),MONTH($A98),MIN(Settings!$C$61,DAY($B98))))&lt;=MIN($C98,IF(Settings!$E$61="",$C98,Settings!$E$61))),1,0))+IF(OR(Settings!$B$62="",Settings!$F$62="No"),0,Settings!$B$62*IF(AND(IF(Settings!$C$62="",$B98,DATE(YEAR($A98),MONTH($A98),MIN(Settings!$C$62,DAY($B98))))&gt;=MAX($A98,Settings!$D$62,Settings!$B$5+1),IF(Settings!$C$62="",$B98,DATE(YEAR($A98),MONTH($A98),MIN(Settings!$C$62,DAY($B98))))&lt;=MIN($C98,IF(Settings!$E$62="",$C98,Settings!$E$62))),1,0))+IF(OR(Settings!$B$63="",Settings!$F$63="No"),0,Settings!$B$63*IF(AND(IF(Settings!$C$63="",$B98,DATE(YEAR($A98),MONTH($A98),MIN(Settings!$C$63,DAY($B98))))&gt;=MAX($A98,Settings!$D$63,Settings!$B$5+1),IF(Settings!$C$63="",$B98,DATE(YEAR($A98),MONTH($A98),MIN(Settings!$C$63,DAY($B98))))&lt;=MIN($C98,IF(Settings!$E$63="",$C98,Settings!$E$63))),1,0))+IF(OR(Settings!$B$64="",Settings!$F$64="No"),0,Settings!$B$64*IF(AND(IF(Settings!$C$64="",$B98,DATE(YEAR($A98),MONTH($A98),MIN(Settings!$C$64,DAY($B98))))&gt;=MAX($A98,Settings!$D$64,Settings!$B$5+1),IF(Settings!$C$64="",$B98,DATE(YEAR($A98),MONTH($A98),MIN(Settings!$C$64,DAY($B98))))&lt;=MIN($C98,IF(Settings!$E$64="",$C98,Settings!$E$64))),1,0))+IF(OR(Settings!$B$65="",Settings!$F$65="No"),0,Settings!$B$65*IF(AND(IF(Settings!$C$65="",$B98,DATE(YEAR($A98),MONTH($A98),MIN(Settings!$C$65,DAY($B98))))&gt;=MAX($A98,Settings!$D$65,Settings!$B$5+1),IF(Settings!$C$65="",$B98,DATE(YEAR($A98),MONTH($A98),MIN(Settings!$C$65,DAY($B98))))&lt;=MIN($C98,IF(Settings!$E$65="",$C98,Settings!$E$65))),1,0)),0))</f>
        <v/>
      </c>
      <c r="AC98">
        <f>$AY98+$AZ98+$BA98+$BB98+$BC98+$BD98</f>
        <v/>
      </c>
      <c r="AD98">
        <f>$AC98</f>
        <v/>
      </c>
      <c r="AE98">
        <f>IF(OR(Settings!$A$19="",$E98="pre"),"",IF(AND('Month-End'!$CQ$7&lt;&gt;"",NOT(_xlfn.ISFORMULA('Month-End'!$CQ$7))),N('Month-End'!$CQ$7),IF(OR($E98="open",$E97="pre"),N(Settings!$C$19),N($AE97))))</f>
        <v/>
      </c>
      <c r="AF98">
        <f>IF(OR(Settings!$A$20="",$E98="pre"),"",IF(AND('Month-End'!$CQ$8&lt;&gt;"",NOT(_xlfn.ISFORMULA('Month-End'!$CQ$8))),N('Month-End'!$CQ$8),IF(OR($E98="open",$E97="pre"),N(Settings!$C$20),N($AF97))))</f>
        <v/>
      </c>
      <c r="AG98">
        <f>IF(OR(Settings!$A$21="",$E98="pre"),"",IF(AND('Month-End'!$CQ$9&lt;&gt;"",NOT(_xlfn.ISFORMULA('Month-End'!$CQ$9))),N('Month-End'!$CQ$9),IF(OR($E98="open",$E97="pre"),N(Settings!$C$21),N($AG97))))</f>
        <v/>
      </c>
      <c r="AH98">
        <f>IF(OR(Settings!$A$22="",$E98="pre"),"",IF(AND('Month-End'!$CQ$10&lt;&gt;"",NOT(_xlfn.ISFORMULA('Month-End'!$CQ$10))),N('Month-End'!$CQ$10),IF(OR($E98="open",$E97="pre"),N(Settings!$C$22),N($AH97))))</f>
        <v/>
      </c>
      <c r="AI98">
        <f>IF(OR(Settings!$A$23="",$E98="pre"),"",IF(AND('Month-End'!$CQ$11&lt;&gt;"",NOT(_xlfn.ISFORMULA('Month-End'!$CQ$11))),N('Month-End'!$CQ$11),IF(OR($E98="open",$E97="pre"),N(Settings!$C$23),N($AI97))))</f>
        <v/>
      </c>
      <c r="AJ98">
        <f>IF(OR(Settings!$A$24="",$E98="pre"),"",IF(AND('Month-End'!$CQ$12&lt;&gt;"",NOT(_xlfn.ISFORMULA('Month-End'!$CQ$12))),N('Month-End'!$CQ$12),IF(OR($E98="open",$E97="pre"),N(Settings!$C$24),N($AJ97))))</f>
        <v/>
      </c>
      <c r="AK98">
        <f>IF(OR(Settings!$A$25="",$E98="pre"),"",IF(AND('Month-End'!$CQ$13&lt;&gt;"",NOT(_xlfn.ISFORMULA('Month-End'!$CQ$13))),N('Month-End'!$CQ$13),IF(OR($E98="open",$E97="pre"),N(Settings!$C$25),N($AK97))))</f>
        <v/>
      </c>
      <c r="AL98">
        <f>IF(OR(Settings!$A$26="",$E98="pre"),"",IF(AND('Month-End'!$CQ$14&lt;&gt;"",NOT(_xlfn.ISFORMULA('Month-End'!$CQ$14))),N('Month-End'!$CQ$14),IF(OR($E98="open",$E97="pre"),N(Settings!$C$26),N($AL97))))</f>
        <v/>
      </c>
      <c r="AM98">
        <f>IF(OR(Settings!$A$27="",$E98="pre"),"",IF(AND('Month-End'!$CQ$15&lt;&gt;"",NOT(_xlfn.ISFORMULA('Month-End'!$CQ$15))),N('Month-End'!$CQ$15),IF(OR($E98="open",$E97="pre"),N(Settings!$C$27),N($AM97))))</f>
        <v/>
      </c>
      <c r="AN98">
        <f>IF(OR(Settings!$A$28="",$E98="pre"),"",IF(AND('Month-End'!$CQ$16&lt;&gt;"",NOT(_xlfn.ISFORMULA('Month-End'!$CQ$16))),N('Month-End'!$CQ$16),IF(OR($E98="open",$E97="pre"),N(Settings!$C$28),N($AN97))))</f>
        <v/>
      </c>
      <c r="AO98">
        <f>IF(OR(Settings!$A$29="",$E98="pre"),"",IF(AND('Month-End'!$CQ$17&lt;&gt;"",NOT(_xlfn.ISFORMULA('Month-End'!$CQ$17))),N('Month-End'!$CQ$17),IF(OR($E98="open",$E97="pre"),N(Settings!$C$29),N($AO97))))</f>
        <v/>
      </c>
      <c r="AP98">
        <f>IF(OR(Settings!$A$30="",$E98="pre"),"",IF(AND('Month-End'!$CQ$18&lt;&gt;"",NOT(_xlfn.ISFORMULA('Month-End'!$CQ$18))),N('Month-End'!$CQ$18),IF(OR($E98="open",$E97="pre"),N(Settings!$C$30),N($AP97))))</f>
        <v/>
      </c>
      <c r="AQ98">
        <f>IF(OR(Settings!$A$31="",$E98="pre"),"",IF(AND('Month-End'!$CQ$19&lt;&gt;"",NOT(_xlfn.ISFORMULA('Month-End'!$CQ$19))),N('Month-End'!$CQ$19),IF(OR($E98="open",$E97="pre"),N(Settings!$C$31),N($AQ97))))</f>
        <v/>
      </c>
      <c r="AR98">
        <f>IF(OR(Settings!$A$32="",$E98="pre"),"",IF(AND('Month-End'!$CQ$20&lt;&gt;"",NOT(_xlfn.ISFORMULA('Month-End'!$CQ$20))),N('Month-End'!$CQ$20),IF(OR($E98="open",$E97="pre"),N(Settings!$C$32),N($AR97))))</f>
        <v/>
      </c>
      <c r="AS98">
        <f>IF(OR(Settings!$A$36="",$E98="pre"),"",IF(AND('Month-End'!$CQ$38&lt;&gt;"",NOT(_xlfn.ISFORMULA('Month-End'!$CQ$38))),N('Month-End'!$CQ$38),IF(OR($E98="open",$E97="pre"),N(Settings!$C$36),N($AS97))+$AY98))</f>
        <v/>
      </c>
      <c r="AT98">
        <f>IF(OR(Settings!$A$37="",$E98="pre"),"",IF(AND('Month-End'!$CQ$39&lt;&gt;"",NOT(_xlfn.ISFORMULA('Month-End'!$CQ$39))),N('Month-End'!$CQ$39),IF(OR($E98="open",$E97="pre"),N(Settings!$C$37),N($AT97))+$AZ98))</f>
        <v/>
      </c>
      <c r="AU98">
        <f>IF(OR(Settings!$A$38="",$E98="pre"),"",IF(AND('Month-End'!$CQ$40&lt;&gt;"",NOT(_xlfn.ISFORMULA('Month-End'!$CQ$40))),N('Month-End'!$CQ$40),IF(OR($E98="open",$E97="pre"),N(Settings!$C$38),N($AU97))+$BA98))</f>
        <v/>
      </c>
      <c r="AV98">
        <f>IF(OR(Settings!$A$39="",$E98="pre"),"",IF(AND('Month-End'!$CQ$41&lt;&gt;"",NOT(_xlfn.ISFORMULA('Month-End'!$CQ$41))),N('Month-End'!$CQ$41),IF(OR($E98="open",$E97="pre"),N(Settings!$C$39),N($AV97))+$BB98))</f>
        <v/>
      </c>
      <c r="AW98">
        <f>IF(OR(Settings!$A$40="",$E98="pre"),"",IF(AND('Month-End'!$CQ$42&lt;&gt;"",NOT(_xlfn.ISFORMULA('Month-End'!$CQ$42))),N('Month-End'!$CQ$42),IF(OR($E98="open",$E97="pre"),N(Settings!$C$40),N($AW97))+$BC98))</f>
        <v/>
      </c>
      <c r="AX98">
        <f>IF(OR(Settings!$A$41="",$E98="pre"),"",IF(AND('Month-End'!$CQ$43&lt;&gt;"",NOT(_xlfn.ISFORMULA('Month-End'!$CQ$43))),N('Month-End'!$CQ$43),IF(OR($E98="open",$E97="pre"),N(Settings!$C$41),N($AX97))+$BD98))</f>
        <v/>
      </c>
      <c r="AY98">
        <f>IF($E98="pre",0,N('Month-End'!$CQ$45))</f>
        <v/>
      </c>
      <c r="AZ98">
        <f>IF($E98="pre",0,N('Month-End'!$CQ$46))</f>
        <v/>
      </c>
      <c r="BA98">
        <f>IF($E98="pre",0,N('Month-End'!$CQ$47))</f>
        <v/>
      </c>
      <c r="BB98">
        <f>IF($E98="pre",0,N('Month-End'!$CQ$48))</f>
        <v/>
      </c>
      <c r="BC98">
        <f>IF($E98="pre",0,N('Month-End'!$CQ$49))</f>
        <v/>
      </c>
      <c r="BD98">
        <f>IF($E98="pre",0,N('Month-End'!$CQ$50))</f>
        <v/>
      </c>
      <c r="BE98">
        <f>IF(OR(Settings!$C$45="",Settings!$D$45=""),0,Settings!$C$45*IF(Settings!$D$45="Weekly",IF(IFERROR(MATCH(Settings!$E$45,$EO$4:$EO$10,0),0)=0,0,IF(MIN($C98,IF(Settings!$G$45="",$C98,Settings!$G$45))&lt;MAX($A98,Settings!$F$45),0,INT((MIN($C98,IF(Settings!$G$45="",$C98,Settings!$G$45))-MAX($A98,Settings!$F$45)-MOD(IFERROR(MATCH(Settings!$E$45,$EO$4:$EO$10,0),0)-WEEKDAY(MAX($A98,Settings!$F$45)),7))/7)+1)),IF(AND(IF(Settings!$E$45="",$B98,DATE(YEAR($A98),MONTH($A98),MIN(Settings!$E$45,DAY($B98))))&gt;=MAX($A98,Settings!$F$45),IF(Settings!$E$45="",$B98,DATE(YEAR($A98),MONTH($A98),MIN(Settings!$E$45,DAY($B98))))&lt;=MIN($C98,IF(Settings!$G$45="",$C98,Settings!$G$45))),1,0)))</f>
        <v/>
      </c>
      <c r="BF98">
        <f>IF(OR(Settings!$C$46="",Settings!$D$46=""),0,Settings!$C$46*IF(Settings!$D$46="Weekly",IF(IFERROR(MATCH(Settings!$E$46,$EO$4:$EO$10,0),0)=0,0,IF(MIN($C98,IF(Settings!$G$46="",$C98,Settings!$G$46))&lt;MAX($A98,Settings!$F$46),0,INT((MIN($C98,IF(Settings!$G$46="",$C98,Settings!$G$46))-MAX($A98,Settings!$F$46)-MOD(IFERROR(MATCH(Settings!$E$46,$EO$4:$EO$10,0),0)-WEEKDAY(MAX($A98,Settings!$F$46)),7))/7)+1)),IF(AND(IF(Settings!$E$46="",$B98,DATE(YEAR($A98),MONTH($A98),MIN(Settings!$E$46,DAY($B98))))&gt;=MAX($A98,Settings!$F$46),IF(Settings!$E$46="",$B98,DATE(YEAR($A98),MONTH($A98),MIN(Settings!$E$46,DAY($B98))))&lt;=MIN($C98,IF(Settings!$G$46="",$C98,Settings!$G$46))),1,0)))</f>
        <v/>
      </c>
      <c r="BG98">
        <f>IF(OR(Settings!$C$47="",Settings!$D$47=""),0,Settings!$C$47*IF(Settings!$D$47="Weekly",IF(IFERROR(MATCH(Settings!$E$47,$EO$4:$EO$10,0),0)=0,0,IF(MIN($C98,IF(Settings!$G$47="",$C98,Settings!$G$47))&lt;MAX($A98,Settings!$F$47),0,INT((MIN($C98,IF(Settings!$G$47="",$C98,Settings!$G$47))-MAX($A98,Settings!$F$47)-MOD(IFERROR(MATCH(Settings!$E$47,$EO$4:$EO$10,0),0)-WEEKDAY(MAX($A98,Settings!$F$47)),7))/7)+1)),IF(AND(IF(Settings!$E$47="",$B98,DATE(YEAR($A98),MONTH($A98),MIN(Settings!$E$47,DAY($B98))))&gt;=MAX($A98,Settings!$F$47),IF(Settings!$E$47="",$B98,DATE(YEAR($A98),MONTH($A98),MIN(Settings!$E$47,DAY($B98))))&lt;=MIN($C98,IF(Settings!$G$47="",$C98,Settings!$G$47))),1,0)))</f>
        <v/>
      </c>
      <c r="BH98">
        <f>IF(OR(Settings!$C$48="",Settings!$D$48=""),0,Settings!$C$48*IF(Settings!$D$48="Weekly",IF(IFERROR(MATCH(Settings!$E$48,$EO$4:$EO$10,0),0)=0,0,IF(MIN($C98,IF(Settings!$G$48="",$C98,Settings!$G$48))&lt;MAX($A98,Settings!$F$48),0,INT((MIN($C98,IF(Settings!$G$48="",$C98,Settings!$G$48))-MAX($A98,Settings!$F$48)-MOD(IFERROR(MATCH(Settings!$E$48,$EO$4:$EO$10,0),0)-WEEKDAY(MAX($A98,Settings!$F$48)),7))/7)+1)),IF(AND(IF(Settings!$E$48="",$B98,DATE(YEAR($A98),MONTH($A98),MIN(Settings!$E$48,DAY($B98))))&gt;=MAX($A98,Settings!$F$48),IF(Settings!$E$48="",$B98,DATE(YEAR($A98),MONTH($A98),MIN(Settings!$E$48,DAY($B98))))&lt;=MIN($C98,IF(Settings!$G$48="",$C98,Settings!$G$48))),1,0)))</f>
        <v/>
      </c>
      <c r="BI98">
        <f>IF(OR(Settings!$C$49="",Settings!$D$49=""),0,Settings!$C$49*IF(Settings!$D$49="Weekly",IF(IFERROR(MATCH(Settings!$E$49,$EO$4:$EO$10,0),0)=0,0,IF(MIN($C98,IF(Settings!$G$49="",$C98,Settings!$G$49))&lt;MAX($A98,Settings!$F$49),0,INT((MIN($C98,IF(Settings!$G$49="",$C98,Settings!$G$49))-MAX($A98,Settings!$F$49)-MOD(IFERROR(MATCH(Settings!$E$49,$EO$4:$EO$10,0),0)-WEEKDAY(MAX($A98,Settings!$F$49)),7))/7)+1)),IF(AND(IF(Settings!$E$49="",$B98,DATE(YEAR($A98),MONTH($A98),MIN(Settings!$E$49,DAY($B98))))&gt;=MAX($A98,Settings!$F$49),IF(Settings!$E$49="",$B98,DATE(YEAR($A98),MONTH($A98),MIN(Settings!$E$49,DAY($B98))))&lt;=MIN($C98,IF(Settings!$G$49="",$C98,Settings!$G$49))),1,0)))</f>
        <v/>
      </c>
      <c r="BJ98">
        <f>IF(OR(Settings!$C$50="",Settings!$D$50=""),0,Settings!$C$50*IF(Settings!$D$50="Weekly",IF(IFERROR(MATCH(Settings!$E$50,$EO$4:$EO$10,0),0)=0,0,IF(MIN($C98,IF(Settings!$G$50="",$C98,Settings!$G$50))&lt;MAX($A98,Settings!$F$50),0,INT((MIN($C98,IF(Settings!$G$50="",$C98,Settings!$G$50))-MAX($A98,Settings!$F$50)-MOD(IFERROR(MATCH(Settings!$E$50,$EO$4:$EO$10,0),0)-WEEKDAY(MAX($A98,Settings!$F$50)),7))/7)+1)),IF(AND(IF(Settings!$E$50="",$B98,DATE(YEAR($A98),MONTH($A98),MIN(Settings!$E$50,DAY($B98))))&gt;=MAX($A98,Settings!$F$50),IF(Settings!$E$50="",$B98,DATE(YEAR($A98),MONTH($A98),MIN(Settings!$E$50,DAY($B98))))&lt;=MIN($C98,IF(Settings!$G$50="",$C98,Settings!$G$50))),1,0)))</f>
        <v/>
      </c>
      <c r="BK98">
        <f>IF(OR(Settings!$C$51="",Settings!$D$51=""),0,Settings!$C$51*IF(Settings!$D$51="Weekly",IF(IFERROR(MATCH(Settings!$E$51,$EO$4:$EO$10,0),0)=0,0,IF(MIN($C98,IF(Settings!$G$51="",$C98,Settings!$G$51))&lt;MAX($A98,Settings!$F$51),0,INT((MIN($C98,IF(Settings!$G$51="",$C98,Settings!$G$51))-MAX($A98,Settings!$F$51)-MOD(IFERROR(MATCH(Settings!$E$51,$EO$4:$EO$10,0),0)-WEEKDAY(MAX($A98,Settings!$F$51)),7))/7)+1)),IF(AND(IF(Settings!$E$51="",$B98,DATE(YEAR($A98),MONTH($A98),MIN(Settings!$E$51,DAY($B98))))&gt;=MAX($A98,Settings!$F$51),IF(Settings!$E$51="",$B98,DATE(YEAR($A98),MONTH($A98),MIN(Settings!$E$51,DAY($B98))))&lt;=MIN($C98,IF(Settings!$G$51="",$C98,Settings!$G$51))),1,0)))</f>
        <v/>
      </c>
      <c r="BL98">
        <f>IF(OR(Settings!$C$52="",Settings!$D$52=""),0,Settings!$C$52*IF(Settings!$D$52="Weekly",IF(IFERROR(MATCH(Settings!$E$52,$EO$4:$EO$10,0),0)=0,0,IF(MIN($C98,IF(Settings!$G$52="",$C98,Settings!$G$52))&lt;MAX($A98,Settings!$F$52),0,INT((MIN($C98,IF(Settings!$G$52="",$C98,Settings!$G$52))-MAX($A98,Settings!$F$52)-MOD(IFERROR(MATCH(Settings!$E$52,$EO$4:$EO$10,0),0)-WEEKDAY(MAX($A98,Settings!$F$52)),7))/7)+1)),IF(AND(IF(Settings!$E$52="",$B98,DATE(YEAR($A98),MONTH($A98),MIN(Settings!$E$52,DAY($B98))))&gt;=MAX($A98,Settings!$F$52),IF(Settings!$E$52="",$B98,DATE(YEAR($A98),MONTH($A98),MIN(Settings!$E$52,DAY($B98))))&lt;=MIN($C98,IF(Settings!$G$52="",$C98,Settings!$G$52))),1,0)))</f>
        <v/>
      </c>
      <c r="BM98">
        <f>IF(OR(Settings!$C$53="",Settings!$D$53=""),0,Settings!$C$53*IF(Settings!$D$53="Weekly",IF(IFERROR(MATCH(Settings!$E$53,$EO$4:$EO$10,0),0)=0,0,IF(MIN($C98,IF(Settings!$G$53="",$C98,Settings!$G$53))&lt;MAX($A98,Settings!$F$53),0,INT((MIN($C98,IF(Settings!$G$53="",$C98,Settings!$G$53))-MAX($A98,Settings!$F$53)-MOD(IFERROR(MATCH(Settings!$E$53,$EO$4:$EO$10,0),0)-WEEKDAY(MAX($A98,Settings!$F$53)),7))/7)+1)),IF(AND(IF(Settings!$E$53="",$B98,DATE(YEAR($A98),MONTH($A98),MIN(Settings!$E$53,DAY($B98))))&gt;=MAX($A98,Settings!$F$53),IF(Settings!$E$53="",$B98,DATE(YEAR($A98),MONTH($A98),MIN(Settings!$E$53,DAY($B98))))&lt;=MIN($C98,IF(Settings!$G$53="",$C98,Settings!$G$53))),1,0)))</f>
        <v/>
      </c>
      <c r="BN98">
        <f>IF(OR(Settings!$C$54="",Settings!$D$54=""),0,Settings!$C$54*IF(Settings!$D$54="Weekly",IF(IFERROR(MATCH(Settings!$E$54,$EO$4:$EO$10,0),0)=0,0,IF(MIN($C98,IF(Settings!$G$54="",$C98,Settings!$G$54))&lt;MAX($A98,Settings!$F$54),0,INT((MIN($C98,IF(Settings!$G$54="",$C98,Settings!$G$54))-MAX($A98,Settings!$F$54)-MOD(IFERROR(MATCH(Settings!$E$54,$EO$4:$EO$10,0),0)-WEEKDAY(MAX($A98,Settings!$F$54)),7))/7)+1)),IF(AND(IF(Settings!$E$54="",$B98,DATE(YEAR($A98),MONTH($A98),MIN(Settings!$E$54,DAY($B98))))&gt;=MAX($A98,Settings!$F$54),IF(Settings!$E$54="",$B98,DATE(YEAR($A98),MONTH($A98),MIN(Settings!$E$54,DAY($B98))))&lt;=MIN($C98,IF(Settings!$G$54="",$C98,Settings!$G$54))),1,0)))</f>
        <v/>
      </c>
      <c r="BO98">
        <f>IF(OR(Settings!$C$55="",Settings!$D$55=""),0,Settings!$C$55*IF(Settings!$D$55="Weekly",IF(IFERROR(MATCH(Settings!$E$55,$EO$4:$EO$10,0),0)=0,0,IF(MIN($C98,IF(Settings!$G$55="",$C98,Settings!$G$55))&lt;MAX($A98,Settings!$F$55),0,INT((MIN($C98,IF(Settings!$G$55="",$C98,Settings!$G$55))-MAX($A98,Settings!$F$55)-MOD(IFERROR(MATCH(Settings!$E$55,$EO$4:$EO$10,0),0)-WEEKDAY(MAX($A98,Settings!$F$55)),7))/7)+1)),IF(AND(IF(Settings!$E$55="",$B98,DATE(YEAR($A98),MONTH($A98),MIN(Settings!$E$55,DAY($B98))))&gt;=MAX($A98,Settings!$F$55),IF(Settings!$E$55="",$B98,DATE(YEAR($A98),MONTH($A98),MIN(Settings!$E$55,DAY($B98))))&lt;=MIN($C98,IF(Settings!$G$55="",$C98,Settings!$G$55))),1,0)))</f>
        <v/>
      </c>
      <c r="BP98">
        <f>IF(OR(Settings!$C$56="",Settings!$D$56=""),0,Settings!$C$56*IF(Settings!$D$56="Weekly",IF(IFERROR(MATCH(Settings!$E$56,$EO$4:$EO$10,0),0)=0,0,IF(MIN($C98,IF(Settings!$G$56="",$C98,Settings!$G$56))&lt;MAX($A98,Settings!$F$56),0,INT((MIN($C98,IF(Settings!$G$56="",$C98,Settings!$G$56))-MAX($A98,Settings!$F$56)-MOD(IFERROR(MATCH(Settings!$E$56,$EO$4:$EO$10,0),0)-WEEKDAY(MAX($A98,Settings!$F$56)),7))/7)+1)),IF(AND(IF(Settings!$E$56="",$B98,DATE(YEAR($A98),MONTH($A98),MIN(Settings!$E$56,DAY($B98))))&gt;=MAX($A98,Settings!$F$56),IF(Settings!$E$56="",$B98,DATE(YEAR($A98),MONTH($A98),MIN(Settings!$E$56,DAY($B98))))&lt;=MIN($C98,IF(Settings!$G$56="",$C98,Settings!$G$56))),1,0)))</f>
        <v/>
      </c>
      <c r="BQ98">
        <f>IF(OR(Settings!$B$14="",$D98=1,$E98="pre",$A98&lt;IF(Settings!$B$15="",0,Settings!$B$15)),0,Settings!$B$14)</f>
        <v/>
      </c>
      <c r="BR98">
        <f>IF(AND('Month-End'!$CQ$7&lt;&gt;"",NOT(_xlfn.ISFORMULA('Month-End'!$CQ$7))),1,0)</f>
        <v/>
      </c>
      <c r="BS98">
        <f>IF(AND('Month-End'!$CQ$8&lt;&gt;"",NOT(_xlfn.ISFORMULA('Month-End'!$CQ$8))),1,0)</f>
        <v/>
      </c>
      <c r="BT98">
        <f>IF(AND('Month-End'!$CQ$9&lt;&gt;"",NOT(_xlfn.ISFORMULA('Month-End'!$CQ$9))),1,0)</f>
        <v/>
      </c>
      <c r="BU98">
        <f>IF(AND('Month-End'!$CQ$10&lt;&gt;"",NOT(_xlfn.ISFORMULA('Month-End'!$CQ$10))),1,0)</f>
        <v/>
      </c>
      <c r="BV98">
        <f>IF(AND('Month-End'!$CQ$11&lt;&gt;"",NOT(_xlfn.ISFORMULA('Month-End'!$CQ$11))),1,0)</f>
        <v/>
      </c>
      <c r="BW98">
        <f>IF(AND('Month-End'!$CQ$12&lt;&gt;"",NOT(_xlfn.ISFORMULA('Month-End'!$CQ$12))),1,0)</f>
        <v/>
      </c>
      <c r="BX98">
        <f>IF(AND('Month-End'!$CQ$13&lt;&gt;"",NOT(_xlfn.ISFORMULA('Month-End'!$CQ$13))),1,0)</f>
        <v/>
      </c>
      <c r="BY98">
        <f>IF(AND('Month-End'!$CQ$14&lt;&gt;"",NOT(_xlfn.ISFORMULA('Month-End'!$CQ$14))),1,0)</f>
        <v/>
      </c>
      <c r="BZ98">
        <f>IF(AND('Month-End'!$CQ$15&lt;&gt;"",NOT(_xlfn.ISFORMULA('Month-End'!$CQ$15))),1,0)</f>
        <v/>
      </c>
      <c r="CA98">
        <f>IF(AND('Month-End'!$CQ$16&lt;&gt;"",NOT(_xlfn.ISFORMULA('Month-End'!$CQ$16))),1,0)</f>
        <v/>
      </c>
      <c r="CB98">
        <f>IF(AND('Month-End'!$CQ$17&lt;&gt;"",NOT(_xlfn.ISFORMULA('Month-End'!$CQ$17))),1,0)</f>
        <v/>
      </c>
      <c r="CC98">
        <f>IF(AND('Month-End'!$CQ$18&lt;&gt;"",NOT(_xlfn.ISFORMULA('Month-End'!$CQ$18))),1,0)</f>
        <v/>
      </c>
      <c r="CD98">
        <f>IF(AND('Month-End'!$CQ$19&lt;&gt;"",NOT(_xlfn.ISFORMULA('Month-End'!$CQ$19))),1,0)</f>
        <v/>
      </c>
      <c r="CE98">
        <f>IF(AND('Month-End'!$CQ$20&lt;&gt;"",NOT(_xlfn.ISFORMULA('Month-End'!$CQ$20))),1,0)</f>
        <v/>
      </c>
      <c r="CF98">
        <f>IF(AND('Month-End'!$CQ$38&lt;&gt;"",NOT(_xlfn.ISFORMULA('Month-End'!$CQ$38))),1,0)</f>
        <v/>
      </c>
      <c r="CG98">
        <f>IF(AND('Month-End'!$CQ$39&lt;&gt;"",NOT(_xlfn.ISFORMULA('Month-End'!$CQ$39))),1,0)</f>
        <v/>
      </c>
      <c r="CH98">
        <f>IF(AND('Month-End'!$CQ$40&lt;&gt;"",NOT(_xlfn.ISFORMULA('Month-End'!$CQ$40))),1,0)</f>
        <v/>
      </c>
      <c r="CI98">
        <f>IF(AND('Month-End'!$CQ$41&lt;&gt;"",NOT(_xlfn.ISFORMULA('Month-End'!$CQ$41))),1,0)</f>
        <v/>
      </c>
      <c r="CJ98">
        <f>IF(AND('Month-End'!$CQ$42&lt;&gt;"",NOT(_xlfn.ISFORMULA('Month-End'!$CQ$42))),1,0)</f>
        <v/>
      </c>
      <c r="CK98">
        <f>IF(AND('Month-End'!$CQ$43&lt;&gt;"",NOT(_xlfn.ISFORMULA('Month-End'!$CQ$43))),1,0)</f>
        <v/>
      </c>
      <c r="CL98">
        <f>SUM($CM98:$CZ98)</f>
        <v/>
      </c>
      <c r="CM98">
        <f>IF(AND($E98&lt;&gt;"pre",AND(Settings!$A$19&lt;&gt;"",Settings!$E$19&lt;&gt;"No"),Settings!$F$19="Yes",NOT(AND('Month-End'!$CQ$7&lt;&gt;"",NOT(_xlfn.ISFORMULA('Month-End'!$CQ$7))))),1,0)</f>
        <v/>
      </c>
      <c r="CN98">
        <f>IF(AND($E98&lt;&gt;"pre",AND(Settings!$A$20&lt;&gt;"",Settings!$E$20&lt;&gt;"No"),Settings!$F$20="Yes",NOT(AND('Month-End'!$CQ$8&lt;&gt;"",NOT(_xlfn.ISFORMULA('Month-End'!$CQ$8))))),1,0)</f>
        <v/>
      </c>
      <c r="CO98">
        <f>IF(AND($E98&lt;&gt;"pre",AND(Settings!$A$21&lt;&gt;"",Settings!$E$21&lt;&gt;"No"),Settings!$F$21="Yes",NOT(AND('Month-End'!$CQ$9&lt;&gt;"",NOT(_xlfn.ISFORMULA('Month-End'!$CQ$9))))),1,0)</f>
        <v/>
      </c>
      <c r="CP98">
        <f>IF(AND($E98&lt;&gt;"pre",AND(Settings!$A$22&lt;&gt;"",Settings!$E$22&lt;&gt;"No"),Settings!$F$22="Yes",NOT(AND('Month-End'!$CQ$10&lt;&gt;"",NOT(_xlfn.ISFORMULA('Month-End'!$CQ$10))))),1,0)</f>
        <v/>
      </c>
      <c r="CQ98">
        <f>IF(AND($E98&lt;&gt;"pre",AND(Settings!$A$23&lt;&gt;"",Settings!$E$23&lt;&gt;"No"),Settings!$F$23="Yes",NOT(AND('Month-End'!$CQ$11&lt;&gt;"",NOT(_xlfn.ISFORMULA('Month-End'!$CQ$11))))),1,0)</f>
        <v/>
      </c>
      <c r="CR98">
        <f>IF(AND($E98&lt;&gt;"pre",AND(Settings!$A$24&lt;&gt;"",Settings!$E$24&lt;&gt;"No"),Settings!$F$24="Yes",NOT(AND('Month-End'!$CQ$12&lt;&gt;"",NOT(_xlfn.ISFORMULA('Month-End'!$CQ$12))))),1,0)</f>
        <v/>
      </c>
      <c r="CS98">
        <f>IF(AND($E98&lt;&gt;"pre",AND(Settings!$A$25&lt;&gt;"",Settings!$E$25&lt;&gt;"No"),Settings!$F$25="Yes",NOT(AND('Month-End'!$CQ$13&lt;&gt;"",NOT(_xlfn.ISFORMULA('Month-End'!$CQ$13))))),1,0)</f>
        <v/>
      </c>
      <c r="CT98">
        <f>IF(AND($E98&lt;&gt;"pre",AND(Settings!$A$26&lt;&gt;"",Settings!$E$26&lt;&gt;"No"),Settings!$F$26="Yes",NOT(AND('Month-End'!$CQ$14&lt;&gt;"",NOT(_xlfn.ISFORMULA('Month-End'!$CQ$14))))),1,0)</f>
        <v/>
      </c>
      <c r="CU98">
        <f>IF(AND($E98&lt;&gt;"pre",AND(Settings!$A$27&lt;&gt;"",Settings!$E$27&lt;&gt;"No"),Settings!$F$27="Yes",NOT(AND('Month-End'!$CQ$15&lt;&gt;"",NOT(_xlfn.ISFORMULA('Month-End'!$CQ$15))))),1,0)</f>
        <v/>
      </c>
      <c r="CV98">
        <f>IF(AND($E98&lt;&gt;"pre",AND(Settings!$A$28&lt;&gt;"",Settings!$E$28&lt;&gt;"No"),Settings!$F$28="Yes",NOT(AND('Month-End'!$CQ$16&lt;&gt;"",NOT(_xlfn.ISFORMULA('Month-End'!$CQ$16))))),1,0)</f>
        <v/>
      </c>
      <c r="CW98">
        <f>IF(AND($E98&lt;&gt;"pre",AND(Settings!$A$29&lt;&gt;"",Settings!$E$29&lt;&gt;"No"),Settings!$F$29="Yes",NOT(AND('Month-End'!$CQ$17&lt;&gt;"",NOT(_xlfn.ISFORMULA('Month-End'!$CQ$17))))),1,0)</f>
        <v/>
      </c>
      <c r="CX98">
        <f>IF(AND($E98&lt;&gt;"pre",AND(Settings!$A$30&lt;&gt;"",Settings!$E$30&lt;&gt;"No"),Settings!$F$30="Yes",NOT(AND('Month-End'!$CQ$18&lt;&gt;"",NOT(_xlfn.ISFORMULA('Month-End'!$CQ$18))))),1,0)</f>
        <v/>
      </c>
      <c r="CY98">
        <f>IF(AND($E98&lt;&gt;"pre",AND(Settings!$A$31&lt;&gt;"",Settings!$E$31&lt;&gt;"No"),Settings!$F$31="Yes",NOT(AND('Month-End'!$CQ$19&lt;&gt;"",NOT(_xlfn.ISFORMULA('Month-End'!$CQ$19))))),1,0)</f>
        <v/>
      </c>
      <c r="CZ98">
        <f>IF(AND($E98&lt;&gt;"pre",AND(Settings!$A$32&lt;&gt;"",Settings!$E$32&lt;&gt;"No"),Settings!$F$32="Yes",NOT(AND('Month-End'!$CQ$20&lt;&gt;"",NOT(_xlfn.ISFORMULA('Month-End'!$CQ$20))))),1,0)</f>
        <v/>
      </c>
      <c r="DA98">
        <f>IF($DT98=1,IF(OR(Settings!$B$19="Checking",Settings!$B$19="Savings",Settings!$B$19="Cash"),N($AE98),IF(OR(Settings!$B$19="Card",Settings!$B$19="Loan"),-N($AE98),0))+IF(OR(Settings!$B$20="Checking",Settings!$B$20="Savings",Settings!$B$20="Cash"),N($AF98),IF(OR(Settings!$B$20="Card",Settings!$B$20="Loan"),-N($AF98),0))+IF(OR(Settings!$B$21="Checking",Settings!$B$21="Savings",Settings!$B$21="Cash"),N($AG98),IF(OR(Settings!$B$21="Card",Settings!$B$21="Loan"),-N($AG98),0))+IF(OR(Settings!$B$22="Checking",Settings!$B$22="Savings",Settings!$B$22="Cash"),N($AH98),IF(OR(Settings!$B$22="Card",Settings!$B$22="Loan"),-N($AH98),0))+IF(OR(Settings!$B$23="Checking",Settings!$B$23="Savings",Settings!$B$23="Cash"),N($AI98),IF(OR(Settings!$B$23="Card",Settings!$B$23="Loan"),-N($AI98),0))+IF(OR(Settings!$B$24="Checking",Settings!$B$24="Savings",Settings!$B$24="Cash"),N($AJ98),IF(OR(Settings!$B$24="Card",Settings!$B$24="Loan"),-N($AJ98),0))+IF(OR(Settings!$B$25="Checking",Settings!$B$25="Savings",Settings!$B$25="Cash"),N($AK98),IF(OR(Settings!$B$25="Card",Settings!$B$25="Loan"),-N($AK98),0))+IF(OR(Settings!$B$26="Checking",Settings!$B$26="Savings",Settings!$B$26="Cash"),N($AL98),IF(OR(Settings!$B$26="Card",Settings!$B$26="Loan"),-N($AL98),0))+IF(OR(Settings!$B$27="Checking",Settings!$B$27="Savings",Settings!$B$27="Cash"),N($AM98),IF(OR(Settings!$B$27="Card",Settings!$B$27="Loan"),-N($AM98),0))+IF(OR(Settings!$B$28="Checking",Settings!$B$28="Savings",Settings!$B$28="Cash"),N($AN98),IF(OR(Settings!$B$28="Card",Settings!$B$28="Loan"),-N($AN98),0))+IF(OR(Settings!$B$29="Checking",Settings!$B$29="Savings",Settings!$B$29="Cash"),N($AO98),IF(OR(Settings!$B$29="Card",Settings!$B$29="Loan"),-N($AO98),0))+IF(OR(Settings!$B$30="Checking",Settings!$B$30="Savings",Settings!$B$30="Cash"),N($AP98),IF(OR(Settings!$B$30="Card",Settings!$B$30="Loan"),-N($AP98),0))+IF(OR(Settings!$B$31="Checking",Settings!$B$31="Savings",Settings!$B$31="Cash"),N($AQ98),IF(OR(Settings!$B$31="Card",Settings!$B$31="Loan"),-N($AQ98),0))+IF(OR(Settings!$B$32="Checking",Settings!$B$32="Savings",Settings!$B$32="Cash"),N($AR98),IF(OR(Settings!$B$32="Card",Settings!$B$32="Loan"),-N($AR98),0)),"")</f>
        <v/>
      </c>
      <c r="DB98">
        <f>IF($E98="open",$EB$27,IF($E98="post",IF($E97="pre",$EB$27,$DA97),""))</f>
        <v/>
      </c>
      <c r="DC98">
        <f>IF($E98="open",1,IF($E98="post",IF($E97="pre",1,$DT97),0))</f>
        <v/>
      </c>
      <c r="DD98">
        <f>IF(AND($DT98=1,$DC98=1),ROUND($W98-($DA98-$DB98)-$AD98-$AB98,2),"")</f>
        <v/>
      </c>
      <c r="DE98">
        <f>IF('Month-End'!$CQ$35="",$BQ98,N('Month-End'!$CQ$35))</f>
        <v/>
      </c>
      <c r="DF98">
        <f>N('Month-End'!$CQ$36)</f>
        <v/>
      </c>
      <c r="DG98">
        <f>IF($DD98="","",$DD98+$DE98)</f>
        <v/>
      </c>
      <c r="DH98">
        <f>IF($DG98="","",$DG98-$DF98)</f>
        <v/>
      </c>
      <c r="DI98">
        <f>IF(OR($E98="pre",$D98=1),"",N($AS98)+N($AT98)+N($AU98)+N($AV98)+N($AW98)+N($AX98))</f>
        <v/>
      </c>
      <c r="DJ98">
        <f>IF($DT98=1,$DA98+N($DI98),"")</f>
        <v/>
      </c>
      <c r="DK98">
        <f>IF($DD98="","",$W98-$DD98-$AB98)</f>
        <v/>
      </c>
      <c r="DL98">
        <f>IF(AND($E98="post",$DD98&lt;&gt;"",$B98&lt;TODAY()),1,0)</f>
        <v/>
      </c>
      <c r="DM98">
        <f>IF($DL98=1,COUNTIF($DL98:$DL$183,1),0)</f>
        <v/>
      </c>
      <c r="DN98">
        <f>IF($D98=1,"",IF($E98="pre","History only",IF($DT98=1,IF($DD98="","⚠ Previous month missing",IF($DD98&lt;0,"⚠ Check: spending &lt; 0",IF($E98="open","✓ Done (partial)","✓ Done"))),IF($B98&gt;=TODAY(),"In progress","⚠ Needs balances"))))</f>
        <v/>
      </c>
      <c r="DO98">
        <f>YEAR($A98)</f>
        <v/>
      </c>
      <c r="DP98">
        <f>DATE(YEAR($A98),INT((MONTH($A98)-1)/3)*3+1,1)</f>
        <v/>
      </c>
      <c r="DQ98">
        <f>IF(AND($DT98=1,$DD98&lt;&gt;"",$D98=0),ROW(),0)</f>
        <v/>
      </c>
      <c r="DR98">
        <f>IF(AND($E98&lt;&gt;"pre",$B98&lt;TODAY(),$DT98=0),1,0)</f>
        <v/>
      </c>
      <c r="DS98">
        <f>IF($DJ98="",NA(),$DJ98)</f>
        <v/>
      </c>
      <c r="DT98">
        <f>IF(AND($E98&lt;&gt;"pre",$CL98=0,COUNTIFS(Settings!$F$19:$F$32,"Yes",Settings!$A$19:$A$32,"&lt;&gt;",Settings!$E$19:$E$32,"&lt;&gt;No")&gt;0),1,0)</f>
        <v/>
      </c>
      <c r="DU98">
        <f>IF(AND($B98&lt;TODAY(),$S98&gt;0),1,0)</f>
        <v/>
      </c>
      <c r="DV98">
        <f>IF($DU98=1,COUNTIF($DU98:$DU$183,1),0)</f>
        <v/>
      </c>
      <c r="DW98">
        <f>IF(AND(OR(Settings!$B$19="Card",Settings!$B$19="Loan"),AND('Month-End'!$CQ$7&lt;&gt;"",NOT(_xlfn.ISFORMULA('Month-End'!$CQ$7)))),IF(N('Month-End'!$CQ$7)&lt;0,1,0),0)+IF(AND(OR(Settings!$B$20="Card",Settings!$B$20="Loan"),AND('Month-End'!$CQ$8&lt;&gt;"",NOT(_xlfn.ISFORMULA('Month-End'!$CQ$8)))),IF(N('Month-End'!$CQ$8)&lt;0,1,0),0)+IF(AND(OR(Settings!$B$21="Card",Settings!$B$21="Loan"),AND('Month-End'!$CQ$9&lt;&gt;"",NOT(_xlfn.ISFORMULA('Month-End'!$CQ$9)))),IF(N('Month-End'!$CQ$9)&lt;0,1,0),0)+IF(AND(OR(Settings!$B$22="Card",Settings!$B$22="Loan"),AND('Month-End'!$CQ$10&lt;&gt;"",NOT(_xlfn.ISFORMULA('Month-End'!$CQ$10)))),IF(N('Month-End'!$CQ$10)&lt;0,1,0),0)+IF(AND(OR(Settings!$B$23="Card",Settings!$B$23="Loan"),AND('Month-End'!$CQ$11&lt;&gt;"",NOT(_xlfn.ISFORMULA('Month-End'!$CQ$11)))),IF(N('Month-End'!$CQ$11)&lt;0,1,0),0)+IF(AND(OR(Settings!$B$24="Card",Settings!$B$24="Loan"),AND('Month-End'!$CQ$12&lt;&gt;"",NOT(_xlfn.ISFORMULA('Month-End'!$CQ$12)))),IF(N('Month-End'!$CQ$12)&lt;0,1,0),0)+IF(AND(OR(Settings!$B$25="Card",Settings!$B$25="Loan"),AND('Month-End'!$CQ$13&lt;&gt;"",NOT(_xlfn.ISFORMULA('Month-End'!$CQ$13)))),IF(N('Month-End'!$CQ$13)&lt;0,1,0),0)+IF(AND(OR(Settings!$B$26="Card",Settings!$B$26="Loan"),AND('Month-End'!$CQ$14&lt;&gt;"",NOT(_xlfn.ISFORMULA('Month-End'!$CQ$14)))),IF(N('Month-End'!$CQ$14)&lt;0,1,0),0)+IF(AND(OR(Settings!$B$27="Card",Settings!$B$27="Loan"),AND('Month-End'!$CQ$15&lt;&gt;"",NOT(_xlfn.ISFORMULA('Month-End'!$CQ$15)))),IF(N('Month-End'!$CQ$15)&lt;0,1,0),0)+IF(AND(OR(Settings!$B$28="Card",Settings!$B$28="Loan"),AND('Month-End'!$CQ$16&lt;&gt;"",NOT(_xlfn.ISFORMULA('Month-End'!$CQ$16)))),IF(N('Month-End'!$CQ$16)&lt;0,1,0),0)+IF(AND(OR(Settings!$B$29="Card",Settings!$B$29="Loan"),AND('Month-End'!$CQ$17&lt;&gt;"",NOT(_xlfn.ISFORMULA('Month-End'!$CQ$17)))),IF(N('Month-End'!$CQ$17)&lt;0,1,0),0)+IF(AND(OR(Settings!$B$30="Card",Settings!$B$30="Loan"),AND('Month-End'!$CQ$18&lt;&gt;"",NOT(_xlfn.ISFORMULA('Month-End'!$CQ$18)))),IF(N('Month-End'!$CQ$18)&lt;0,1,0),0)+IF(AND(OR(Settings!$B$31="Card",Settings!$B$31="Loan"),AND('Month-End'!$CQ$19&lt;&gt;"",NOT(_xlfn.ISFORMULA('Month-End'!$CQ$19)))),IF(N('Month-End'!$CQ$19)&lt;0,1,0),0)+IF(AND(OR(Settings!$B$32="Card",Settings!$B$32="Loan"),AND('Month-End'!$CQ$20&lt;&gt;"",NOT(_xlfn.ISFORMULA('Month-End'!$CQ$20)))),IF(N('Month-End'!$CQ$20)&lt;0,1,0),0)</f>
        <v/>
      </c>
      <c r="DX98">
        <f>IF(Settings!$B$36="Retirement",$AY98,0)+IF(Settings!$B$37="Retirement",$AZ98,0)+IF(Settings!$B$38="Retirement",$BA98,0)+IF(Settings!$B$39="Retirement",$BB98,0)+IF(Settings!$B$40="Retirement",$BC98,0)+IF(Settings!$B$41="Retirement",$BD98,0)</f>
        <v/>
      </c>
      <c r="EA98">
        <f>IF(SUM($DW$6:$DW$183)=0,"✓ Card/loan balances are positive amounts","⚠ A card or loan balance is negative — enter the amount owed as a positive number")</f>
        <v/>
      </c>
      <c r="ET98">
        <f>IF($E98&lt;&gt;"open",0,IF(AND('Month-End'!$CQ$22&lt;&gt;"",NOT(_xlfn.ISFORMULA('Month-End'!$CQ$22))),0,IF(OR(Settings!$C$45="",Settings!$D$45=""),0,Settings!$C$45*IF(Settings!$D$45="Weekly",IF(IFERROR(MATCH(Settings!$E$45,$EO$4:$EO$10,0),0)=0,0,IF(MIN(Settings!$B$5,IF(Settings!$G$45="",Settings!$B$5,Settings!$G$45))&lt;MAX($A98,Settings!$F$45),0,INT((MIN(Settings!$B$5,IF(Settings!$G$45="",Settings!$B$5,Settings!$G$45))-MAX($A98,Settings!$F$45)-MOD(IFERROR(MATCH(Settings!$E$45,$EO$4:$EO$10,0),0)-WEEKDAY(MAX($A98,Settings!$F$45)),7))/7)+1)),IF(AND(IF(Settings!$E$45="",$B98,DATE(YEAR($A98),MONTH($A98),MIN(Settings!$E$45,DAY($B98))))&gt;=MAX($A98,Settings!$F$45),IF(Settings!$E$45="",$B98,DATE(YEAR($A98),MONTH($A98),MIN(Settings!$E$45,DAY($B98))))&lt;=MIN(Settings!$B$5,IF(Settings!$G$45="",Settings!$B$5,Settings!$G$45))),1,0)))))</f>
        <v/>
      </c>
      <c r="EU98">
        <f>IF($E98&lt;&gt;"open",0,IF(AND('Month-End'!$CQ$23&lt;&gt;"",NOT(_xlfn.ISFORMULA('Month-End'!$CQ$23))),0,IF(OR(Settings!$C$46="",Settings!$D$46=""),0,Settings!$C$46*IF(Settings!$D$46="Weekly",IF(IFERROR(MATCH(Settings!$E$46,$EO$4:$EO$10,0),0)=0,0,IF(MIN(Settings!$B$5,IF(Settings!$G$46="",Settings!$B$5,Settings!$G$46))&lt;MAX($A98,Settings!$F$46),0,INT((MIN(Settings!$B$5,IF(Settings!$G$46="",Settings!$B$5,Settings!$G$46))-MAX($A98,Settings!$F$46)-MOD(IFERROR(MATCH(Settings!$E$46,$EO$4:$EO$10,0),0)-WEEKDAY(MAX($A98,Settings!$F$46)),7))/7)+1)),IF(AND(IF(Settings!$E$46="",$B98,DATE(YEAR($A98),MONTH($A98),MIN(Settings!$E$46,DAY($B98))))&gt;=MAX($A98,Settings!$F$46),IF(Settings!$E$46="",$B98,DATE(YEAR($A98),MONTH($A98),MIN(Settings!$E$46,DAY($B98))))&lt;=MIN(Settings!$B$5,IF(Settings!$G$46="",Settings!$B$5,Settings!$G$46))),1,0)))))</f>
        <v/>
      </c>
      <c r="EV98">
        <f>IF($E98&lt;&gt;"open",0,IF(AND('Month-End'!$CQ$24&lt;&gt;"",NOT(_xlfn.ISFORMULA('Month-End'!$CQ$24))),0,IF(OR(Settings!$C$47="",Settings!$D$47=""),0,Settings!$C$47*IF(Settings!$D$47="Weekly",IF(IFERROR(MATCH(Settings!$E$47,$EO$4:$EO$10,0),0)=0,0,IF(MIN(Settings!$B$5,IF(Settings!$G$47="",Settings!$B$5,Settings!$G$47))&lt;MAX($A98,Settings!$F$47),0,INT((MIN(Settings!$B$5,IF(Settings!$G$47="",Settings!$B$5,Settings!$G$47))-MAX($A98,Settings!$F$47)-MOD(IFERROR(MATCH(Settings!$E$47,$EO$4:$EO$10,0),0)-WEEKDAY(MAX($A98,Settings!$F$47)),7))/7)+1)),IF(AND(IF(Settings!$E$47="",$B98,DATE(YEAR($A98),MONTH($A98),MIN(Settings!$E$47,DAY($B98))))&gt;=MAX($A98,Settings!$F$47),IF(Settings!$E$47="",$B98,DATE(YEAR($A98),MONTH($A98),MIN(Settings!$E$47,DAY($B98))))&lt;=MIN(Settings!$B$5,IF(Settings!$G$47="",Settings!$B$5,Settings!$G$47))),1,0)))))</f>
        <v/>
      </c>
      <c r="EW98">
        <f>IF($E98&lt;&gt;"open",0,IF(AND('Month-End'!$CQ$25&lt;&gt;"",NOT(_xlfn.ISFORMULA('Month-End'!$CQ$25))),0,IF(OR(Settings!$C$48="",Settings!$D$48=""),0,Settings!$C$48*IF(Settings!$D$48="Weekly",IF(IFERROR(MATCH(Settings!$E$48,$EO$4:$EO$10,0),0)=0,0,IF(MIN(Settings!$B$5,IF(Settings!$G$48="",Settings!$B$5,Settings!$G$48))&lt;MAX($A98,Settings!$F$48),0,INT((MIN(Settings!$B$5,IF(Settings!$G$48="",Settings!$B$5,Settings!$G$48))-MAX($A98,Settings!$F$48)-MOD(IFERROR(MATCH(Settings!$E$48,$EO$4:$EO$10,0),0)-WEEKDAY(MAX($A98,Settings!$F$48)),7))/7)+1)),IF(AND(IF(Settings!$E$48="",$B98,DATE(YEAR($A98),MONTH($A98),MIN(Settings!$E$48,DAY($B98))))&gt;=MAX($A98,Settings!$F$48),IF(Settings!$E$48="",$B98,DATE(YEAR($A98),MONTH($A98),MIN(Settings!$E$48,DAY($B98))))&lt;=MIN(Settings!$B$5,IF(Settings!$G$48="",Settings!$B$5,Settings!$G$48))),1,0)))))</f>
        <v/>
      </c>
      <c r="EX98">
        <f>IF($E98&lt;&gt;"open",0,IF(AND('Month-End'!$CQ$26&lt;&gt;"",NOT(_xlfn.ISFORMULA('Month-End'!$CQ$26))),0,IF(OR(Settings!$C$49="",Settings!$D$49=""),0,Settings!$C$49*IF(Settings!$D$49="Weekly",IF(IFERROR(MATCH(Settings!$E$49,$EO$4:$EO$10,0),0)=0,0,IF(MIN(Settings!$B$5,IF(Settings!$G$49="",Settings!$B$5,Settings!$G$49))&lt;MAX($A98,Settings!$F$49),0,INT((MIN(Settings!$B$5,IF(Settings!$G$49="",Settings!$B$5,Settings!$G$49))-MAX($A98,Settings!$F$49)-MOD(IFERROR(MATCH(Settings!$E$49,$EO$4:$EO$10,0),0)-WEEKDAY(MAX($A98,Settings!$F$49)),7))/7)+1)),IF(AND(IF(Settings!$E$49="",$B98,DATE(YEAR($A98),MONTH($A98),MIN(Settings!$E$49,DAY($B98))))&gt;=MAX($A98,Settings!$F$49),IF(Settings!$E$49="",$B98,DATE(YEAR($A98),MONTH($A98),MIN(Settings!$E$49,DAY($B98))))&lt;=MIN(Settings!$B$5,IF(Settings!$G$49="",Settings!$B$5,Settings!$G$49))),1,0)))))</f>
        <v/>
      </c>
      <c r="EY98">
        <f>IF($E98&lt;&gt;"open",0,IF(AND('Month-End'!$CQ$27&lt;&gt;"",NOT(_xlfn.ISFORMULA('Month-End'!$CQ$27))),0,IF(OR(Settings!$C$50="",Settings!$D$50=""),0,Settings!$C$50*IF(Settings!$D$50="Weekly",IF(IFERROR(MATCH(Settings!$E$50,$EO$4:$EO$10,0),0)=0,0,IF(MIN(Settings!$B$5,IF(Settings!$G$50="",Settings!$B$5,Settings!$G$50))&lt;MAX($A98,Settings!$F$50),0,INT((MIN(Settings!$B$5,IF(Settings!$G$50="",Settings!$B$5,Settings!$G$50))-MAX($A98,Settings!$F$50)-MOD(IFERROR(MATCH(Settings!$E$50,$EO$4:$EO$10,0),0)-WEEKDAY(MAX($A98,Settings!$F$50)),7))/7)+1)),IF(AND(IF(Settings!$E$50="",$B98,DATE(YEAR($A98),MONTH($A98),MIN(Settings!$E$50,DAY($B98))))&gt;=MAX($A98,Settings!$F$50),IF(Settings!$E$50="",$B98,DATE(YEAR($A98),MONTH($A98),MIN(Settings!$E$50,DAY($B98))))&lt;=MIN(Settings!$B$5,IF(Settings!$G$50="",Settings!$B$5,Settings!$G$50))),1,0)))))</f>
        <v/>
      </c>
      <c r="EZ98">
        <f>IF($E98&lt;&gt;"open",0,IF(AND('Month-End'!$CQ$28&lt;&gt;"",NOT(_xlfn.ISFORMULA('Month-End'!$CQ$28))),0,IF(OR(Settings!$C$51="",Settings!$D$51=""),0,Settings!$C$51*IF(Settings!$D$51="Weekly",IF(IFERROR(MATCH(Settings!$E$51,$EO$4:$EO$10,0),0)=0,0,IF(MIN(Settings!$B$5,IF(Settings!$G$51="",Settings!$B$5,Settings!$G$51))&lt;MAX($A98,Settings!$F$51),0,INT((MIN(Settings!$B$5,IF(Settings!$G$51="",Settings!$B$5,Settings!$G$51))-MAX($A98,Settings!$F$51)-MOD(IFERROR(MATCH(Settings!$E$51,$EO$4:$EO$10,0),0)-WEEKDAY(MAX($A98,Settings!$F$51)),7))/7)+1)),IF(AND(IF(Settings!$E$51="",$B98,DATE(YEAR($A98),MONTH($A98),MIN(Settings!$E$51,DAY($B98))))&gt;=MAX($A98,Settings!$F$51),IF(Settings!$E$51="",$B98,DATE(YEAR($A98),MONTH($A98),MIN(Settings!$E$51,DAY($B98))))&lt;=MIN(Settings!$B$5,IF(Settings!$G$51="",Settings!$B$5,Settings!$G$51))),1,0)))))</f>
        <v/>
      </c>
      <c r="FA98">
        <f>IF($E98&lt;&gt;"open",0,IF(AND('Month-End'!$CQ$29&lt;&gt;"",NOT(_xlfn.ISFORMULA('Month-End'!$CQ$29))),0,IF(OR(Settings!$C$52="",Settings!$D$52=""),0,Settings!$C$52*IF(Settings!$D$52="Weekly",IF(IFERROR(MATCH(Settings!$E$52,$EO$4:$EO$10,0),0)=0,0,IF(MIN(Settings!$B$5,IF(Settings!$G$52="",Settings!$B$5,Settings!$G$52))&lt;MAX($A98,Settings!$F$52),0,INT((MIN(Settings!$B$5,IF(Settings!$G$52="",Settings!$B$5,Settings!$G$52))-MAX($A98,Settings!$F$52)-MOD(IFERROR(MATCH(Settings!$E$52,$EO$4:$EO$10,0),0)-WEEKDAY(MAX($A98,Settings!$F$52)),7))/7)+1)),IF(AND(IF(Settings!$E$52="",$B98,DATE(YEAR($A98),MONTH($A98),MIN(Settings!$E$52,DAY($B98))))&gt;=MAX($A98,Settings!$F$52),IF(Settings!$E$52="",$B98,DATE(YEAR($A98),MONTH($A98),MIN(Settings!$E$52,DAY($B98))))&lt;=MIN(Settings!$B$5,IF(Settings!$G$52="",Settings!$B$5,Settings!$G$52))),1,0)))))</f>
        <v/>
      </c>
      <c r="FB98">
        <f>IF($E98&lt;&gt;"open",0,IF(AND('Month-End'!$CQ$30&lt;&gt;"",NOT(_xlfn.ISFORMULA('Month-End'!$CQ$30))),0,IF(OR(Settings!$C$53="",Settings!$D$53=""),0,Settings!$C$53*IF(Settings!$D$53="Weekly",IF(IFERROR(MATCH(Settings!$E$53,$EO$4:$EO$10,0),0)=0,0,IF(MIN(Settings!$B$5,IF(Settings!$G$53="",Settings!$B$5,Settings!$G$53))&lt;MAX($A98,Settings!$F$53),0,INT((MIN(Settings!$B$5,IF(Settings!$G$53="",Settings!$B$5,Settings!$G$53))-MAX($A98,Settings!$F$53)-MOD(IFERROR(MATCH(Settings!$E$53,$EO$4:$EO$10,0),0)-WEEKDAY(MAX($A98,Settings!$F$53)),7))/7)+1)),IF(AND(IF(Settings!$E$53="",$B98,DATE(YEAR($A98),MONTH($A98),MIN(Settings!$E$53,DAY($B98))))&gt;=MAX($A98,Settings!$F$53),IF(Settings!$E$53="",$B98,DATE(YEAR($A98),MONTH($A98),MIN(Settings!$E$53,DAY($B98))))&lt;=MIN(Settings!$B$5,IF(Settings!$G$53="",Settings!$B$5,Settings!$G$53))),1,0)))))</f>
        <v/>
      </c>
      <c r="FC98">
        <f>IF($E98&lt;&gt;"open",0,IF(AND('Month-End'!$CQ$31&lt;&gt;"",NOT(_xlfn.ISFORMULA('Month-End'!$CQ$31))),0,IF(OR(Settings!$C$54="",Settings!$D$54=""),0,Settings!$C$54*IF(Settings!$D$54="Weekly",IF(IFERROR(MATCH(Settings!$E$54,$EO$4:$EO$10,0),0)=0,0,IF(MIN(Settings!$B$5,IF(Settings!$G$54="",Settings!$B$5,Settings!$G$54))&lt;MAX($A98,Settings!$F$54),0,INT((MIN(Settings!$B$5,IF(Settings!$G$54="",Settings!$B$5,Settings!$G$54))-MAX($A98,Settings!$F$54)-MOD(IFERROR(MATCH(Settings!$E$54,$EO$4:$EO$10,0),0)-WEEKDAY(MAX($A98,Settings!$F$54)),7))/7)+1)),IF(AND(IF(Settings!$E$54="",$B98,DATE(YEAR($A98),MONTH($A98),MIN(Settings!$E$54,DAY($B98))))&gt;=MAX($A98,Settings!$F$54),IF(Settings!$E$54="",$B98,DATE(YEAR($A98),MONTH($A98),MIN(Settings!$E$54,DAY($B98))))&lt;=MIN(Settings!$B$5,IF(Settings!$G$54="",Settings!$B$5,Settings!$G$54))),1,0)))))</f>
        <v/>
      </c>
      <c r="FD98">
        <f>IF($E98&lt;&gt;"open",0,IF(AND('Month-End'!$CQ$32&lt;&gt;"",NOT(_xlfn.ISFORMULA('Month-End'!$CQ$32))),0,IF(OR(Settings!$C$55="",Settings!$D$55=""),0,Settings!$C$55*IF(Settings!$D$55="Weekly",IF(IFERROR(MATCH(Settings!$E$55,$EO$4:$EO$10,0),0)=0,0,IF(MIN(Settings!$B$5,IF(Settings!$G$55="",Settings!$B$5,Settings!$G$55))&lt;MAX($A98,Settings!$F$55),0,INT((MIN(Settings!$B$5,IF(Settings!$G$55="",Settings!$B$5,Settings!$G$55))-MAX($A98,Settings!$F$55)-MOD(IFERROR(MATCH(Settings!$E$55,$EO$4:$EO$10,0),0)-WEEKDAY(MAX($A98,Settings!$F$55)),7))/7)+1)),IF(AND(IF(Settings!$E$55="",$B98,DATE(YEAR($A98),MONTH($A98),MIN(Settings!$E$55,DAY($B98))))&gt;=MAX($A98,Settings!$F$55),IF(Settings!$E$55="",$B98,DATE(YEAR($A98),MONTH($A98),MIN(Settings!$E$55,DAY($B98))))&lt;=MIN(Settings!$B$5,IF(Settings!$G$55="",Settings!$B$5,Settings!$G$55))),1,0)))))</f>
        <v/>
      </c>
      <c r="FE98">
        <f>IF($E98&lt;&gt;"open",0,IF(AND('Month-End'!$CQ$33&lt;&gt;"",NOT(_xlfn.ISFORMULA('Month-End'!$CQ$33))),0,IF(OR(Settings!$C$56="",Settings!$D$56=""),0,Settings!$C$56*IF(Settings!$D$56="Weekly",IF(IFERROR(MATCH(Settings!$E$56,$EO$4:$EO$10,0),0)=0,0,IF(MIN(Settings!$B$5,IF(Settings!$G$56="",Settings!$B$5,Settings!$G$56))&lt;MAX($A98,Settings!$F$56),0,INT((MIN(Settings!$B$5,IF(Settings!$G$56="",Settings!$B$5,Settings!$G$56))-MAX($A98,Settings!$F$56)-MOD(IFERROR(MATCH(Settings!$E$56,$EO$4:$EO$10,0),0)-WEEKDAY(MAX($A98,Settings!$F$56)),7))/7)+1)),IF(AND(IF(Settings!$E$56="",$B98,DATE(YEAR($A98),MONTH($A98),MIN(Settings!$E$56,DAY($B98))))&gt;=MAX($A98,Settings!$F$56),IF(Settings!$E$56="",$B98,DATE(YEAR($A98),MONTH($A98),MIN(Settings!$E$56,DAY($B98))))&lt;=MIN(Settings!$B$5,IF(Settings!$G$56="",Settings!$B$5,Settings!$G$56))),1,0)))))</f>
        <v/>
      </c>
      <c r="FF98">
        <f>IF(Settings!$I$45="Yes",$G98,0)+IF(Settings!$I$46="Yes",$H98,0)+IF(Settings!$I$47="Yes",$I98,0)+IF(Settings!$I$48="Yes",$J98,0)+IF(Settings!$I$49="Yes",$K98,0)+IF(Settings!$I$50="Yes",$L98,0)+IF(Settings!$I$51="Yes",$M98,0)+IF(Settings!$I$52="Yes",$N98,0)+IF(Settings!$I$53="Yes",$O98,0)+IF(Settings!$I$54="Yes",$P98,0)+IF(Settings!$I$55="Yes",$Q98,0)+IF(Settings!$I$56="Yes",$R98,0)</f>
        <v/>
      </c>
      <c r="FG98">
        <f>IF(AND(Settings!$I$45="Yes",Settings!$J$45="No"),$G98,0)+IF(AND(Settings!$I$46="Yes",Settings!$J$46="No"),$H98,0)+IF(AND(Settings!$I$47="Yes",Settings!$J$47="No"),$I98,0)+IF(AND(Settings!$I$48="Yes",Settings!$J$48="No"),$J98,0)+IF(AND(Settings!$I$49="Yes",Settings!$J$49="No"),$K98,0)+IF(AND(Settings!$I$50="Yes",Settings!$J$50="No"),$L98,0)+IF(AND(Settings!$I$51="Yes",Settings!$J$51="No"),$M98,0)+IF(AND(Settings!$I$52="Yes",Settings!$J$52="No"),$N98,0)+IF(AND(Settings!$I$53="Yes",Settings!$J$53="No"),$O98,0)+IF(AND(Settings!$I$54="Yes",Settings!$J$54="No"),$P98,0)+IF(AND(Settings!$I$55="Yes",Settings!$J$55="No"),$Q98,0)+IF(AND(Settings!$I$56="Yes",Settings!$J$56="No"),$R98,0)</f>
        <v/>
      </c>
      <c r="FH98">
        <f>SUMIFS(Giving!$B$7:$B$2006,Giving!$A$7:$A$2006,"&gt;="&amp;$A98,Giving!$A$7:$A$2006,"&lt;="&amp;$B98,Giving!$G$7:$G$2006,"Yes")+IF(OR(OR(Settings!$B$60="",Settings!$F$60="No"),Settings!$H$60&lt;&gt;"Yes"),0,Settings!$B$60*IF(AND(IF(Settings!$C$60="",$B98,DATE(YEAR($A98),MONTH($A98),MIN(Settings!$C$60,DAY($B98))))&gt;=MAX($A98,Settings!$D$60),IF(Settings!$C$60="",$B98,DATE(YEAR($A98),MONTH($A98),MIN(Settings!$C$60,DAY($B98))))&lt;=MIN($C98,IF(Settings!$E$60="",$C98,Settings!$E$60))),1,0))+IF(OR(OR(Settings!$B$61="",Settings!$F$61="No"),Settings!$H$61&lt;&gt;"Yes"),0,Settings!$B$61*IF(AND(IF(Settings!$C$61="",$B98,DATE(YEAR($A98),MONTH($A98),MIN(Settings!$C$61,DAY($B98))))&gt;=MAX($A98,Settings!$D$61),IF(Settings!$C$61="",$B98,DATE(YEAR($A98),MONTH($A98),MIN(Settings!$C$61,DAY($B98))))&lt;=MIN($C98,IF(Settings!$E$61="",$C98,Settings!$E$61))),1,0))+IF(OR(OR(Settings!$B$62="",Settings!$F$62="No"),Settings!$H$62&lt;&gt;"Yes"),0,Settings!$B$62*IF(AND(IF(Settings!$C$62="",$B98,DATE(YEAR($A98),MONTH($A98),MIN(Settings!$C$62,DAY($B98))))&gt;=MAX($A98,Settings!$D$62),IF(Settings!$C$62="",$B98,DATE(YEAR($A98),MONTH($A98),MIN(Settings!$C$62,DAY($B98))))&lt;=MIN($C98,IF(Settings!$E$62="",$C98,Settings!$E$62))),1,0))+IF(OR(OR(Settings!$B$63="",Settings!$F$63="No"),Settings!$H$63&lt;&gt;"Yes"),0,Settings!$B$63*IF(AND(IF(Settings!$C$63="",$B98,DATE(YEAR($A98),MONTH($A98),MIN(Settings!$C$63,DAY($B98))))&gt;=MAX($A98,Settings!$D$63),IF(Settings!$C$63="",$B98,DATE(YEAR($A98),MONTH($A98),MIN(Settings!$C$63,DAY($B98))))&lt;=MIN($C98,IF(Settings!$E$63="",$C98,Settings!$E$63))),1,0))+IF(OR(OR(Settings!$B$64="",Settings!$F$64="No"),Settings!$H$64&lt;&gt;"Yes"),0,Settings!$B$64*IF(AND(IF(Settings!$C$64="",$B98,DATE(YEAR($A98),MONTH($A98),MIN(Settings!$C$64,DAY($B98))))&gt;=MAX($A98,Settings!$D$64),IF(Settings!$C$64="",$B98,DATE(YEAR($A98),MONTH($A98),MIN(Settings!$C$64,DAY($B98))))&lt;=MIN($C98,IF(Settings!$E$64="",$C98,Settings!$E$64))),1,0))+IF(OR(OR(Settings!$B$65="",Settings!$F$65="No"),Settings!$H$65&lt;&gt;"Yes"),0,Settings!$B$65*IF(AND(IF(Settings!$C$65="",$B98,DATE(YEAR($A98),MONTH($A98),MIN(Settings!$C$65,DAY($B98))))&gt;=MAX($A98,Settings!$D$65),IF(Settings!$C$65="",$B98,DATE(YEAR($A98),MONTH($A98),MIN(Settings!$C$65,DAY($B98))))&lt;=MIN($C98,IF(Settings!$E$65="",$C98,Settings!$E$65))),1,0))</f>
        <v/>
      </c>
      <c r="FI98">
        <f>IF($DT98=1,IF(OR(Settings!$B$19="Card",Settings!$B$19="Loan"),N($AE98),0)+IF(OR(Settings!$B$20="Card",Settings!$B$20="Loan"),N($AF98),0)+IF(OR(Settings!$B$21="Card",Settings!$B$21="Loan"),N($AG98),0)+IF(OR(Settings!$B$22="Card",Settings!$B$22="Loan"),N($AH98),0)+IF(OR(Settings!$B$23="Card",Settings!$B$23="Loan"),N($AI98),0)+IF(OR(Settings!$B$24="Card",Settings!$B$24="Loan"),N($AJ98),0)+IF(OR(Settings!$B$25="Card",Settings!$B$25="Loan"),N($AK98),0)+IF(OR(Settings!$B$26="Card",Settings!$B$26="Loan"),N($AL98),0)+IF(OR(Settings!$B$27="Card",Settings!$B$27="Loan"),N($AM98),0)+IF(OR(Settings!$B$28="Card",Settings!$B$28="Loan"),N($AN98),0)+IF(OR(Settings!$B$29="Card",Settings!$B$29="Loan"),N($AO98),0)+IF(OR(Settings!$B$30="Card",Settings!$B$30="Loan"),N($AP98),0)+IF(OR(Settings!$B$31="Card",Settings!$B$31="Loan"),N($AQ98),0)+IF(OR(Settings!$B$32="Card",Settings!$B$32="Loan"),N($AR98),0),"")</f>
        <v/>
      </c>
      <c r="FJ98">
        <f>IF($E98="open",$EB$65,IF($E98="post",IF($E97="pre",$EB$65,$FI97),""))</f>
        <v/>
      </c>
      <c r="FK98">
        <f>IF(AND($DT98=1,$DC98=1),IF(ROUND($FI98-$FJ98,2)&gt;0,1,0),0)</f>
        <v/>
      </c>
      <c r="FL98">
        <f>IF($FK98=1,$FL97+1,0)</f>
        <v/>
      </c>
    </row>
    <row r="99">
      <c r="A99">
        <f>'Month-End'!$CR$4</f>
        <v/>
      </c>
      <c r="B99">
        <f>EOMONTH($A99,0)</f>
        <v/>
      </c>
      <c r="C99">
        <f>MIN($B99,TODAY())</f>
        <v/>
      </c>
      <c r="D99">
        <f>IF($A99&gt;TODAY(),1,0)</f>
        <v/>
      </c>
      <c r="E99">
        <f>IF($B99&lt;=Settings!$B$5,"pre",IF($A99&lt;=Settings!$B$5,"open","post"))</f>
        <v/>
      </c>
      <c r="G99">
        <f>IF('Month-End'!$CR$22="",$BE99,N('Month-End'!$CR$22))</f>
        <v/>
      </c>
      <c r="H99">
        <f>IF('Month-End'!$CR$23="",$BF99,N('Month-End'!$CR$23))</f>
        <v/>
      </c>
      <c r="I99">
        <f>IF('Month-End'!$CR$24="",$BG99,N('Month-End'!$CR$24))</f>
        <v/>
      </c>
      <c r="J99">
        <f>IF('Month-End'!$CR$25="",$BH99,N('Month-End'!$CR$25))</f>
        <v/>
      </c>
      <c r="K99">
        <f>IF('Month-End'!$CR$26="",$BI99,N('Month-End'!$CR$26))</f>
        <v/>
      </c>
      <c r="L99">
        <f>IF('Month-End'!$CR$27="",$BJ99,N('Month-End'!$CR$27))</f>
        <v/>
      </c>
      <c r="M99">
        <f>IF('Month-End'!$CR$28="",$BK99,N('Month-End'!$CR$28))</f>
        <v/>
      </c>
      <c r="N99">
        <f>IF('Month-End'!$CR$29="",$BL99,N('Month-End'!$CR$29))</f>
        <v/>
      </c>
      <c r="O99">
        <f>IF('Month-End'!$CR$30="",$BM99,N('Month-End'!$CR$30))</f>
        <v/>
      </c>
      <c r="P99">
        <f>IF('Month-End'!$CR$31="",$BN99,N('Month-End'!$CR$31))</f>
        <v/>
      </c>
      <c r="Q99">
        <f>IF('Month-End'!$CR$32="",$BO99,N('Month-End'!$CR$32))</f>
        <v/>
      </c>
      <c r="R99">
        <f>IF('Month-End'!$CR$33="",$BP99,N('Month-End'!$CR$33))</f>
        <v/>
      </c>
      <c r="S99">
        <f>$G99+$H99+$I99+$J99+$K99+$L99+$M99+$N99+$O99+$P99+$Q99+$R99</f>
        <v/>
      </c>
      <c r="T99">
        <f>IF($B99&lt;Settings!$B$6,0,IF(Settings!$B$45="Yes",$G99,0)+IF(Settings!$B$46="Yes",$H99,0)+IF(Settings!$B$47="Yes",$I99,0)+IF(Settings!$B$48="Yes",$J99,0)+IF(Settings!$B$49="Yes",$K99,0)+IF(Settings!$B$50="Yes",$L99,0)+IF(Settings!$B$51="Yes",$M99,0)+IF(Settings!$B$52="Yes",$N99,0)+IF(Settings!$B$53="Yes",$O99,0)+IF(Settings!$B$54="Yes",$P99,0)+IF(Settings!$B$55="Yes",$Q99,0)+IF(Settings!$B$56="Yes",$R99,0))</f>
        <v/>
      </c>
      <c r="U99">
        <f>IF(Settings!$B$45="Not Sure",$G99,0)+IF(Settings!$B$46="Not Sure",$H99,0)+IF(Settings!$B$47="Not Sure",$I99,0)+IF(Settings!$B$48="Not Sure",$J99,0)+IF(Settings!$B$49="Not Sure",$K99,0)+IF(Settings!$B$50="Not Sure",$L99,0)+IF(Settings!$B$51="Not Sure",$M99,0)+IF(Settings!$B$52="Not Sure",$N99,0)+IF(Settings!$B$53="Not Sure",$O99,0)+IF(Settings!$B$54="Not Sure",$P99,0)+IF(Settings!$B$55="Not Sure",$Q99,0)+IF(Settings!$B$56="Not Sure",$R99,0)</f>
        <v/>
      </c>
      <c r="V99">
        <f>IF($E99="open",SUM($ET99:$FE99)+N(Settings!$B$13),0)</f>
        <v/>
      </c>
      <c r="W99">
        <f>IF($E99="post",$S99,IF($E99="open",$S99-$V99,0))</f>
        <v/>
      </c>
      <c r="X99">
        <f>SUMIFS(Giving!$B$7:$B$2006,Giving!$A$7:$A$2006,"&gt;="&amp;$A99,Giving!$A$7:$A$2006,"&lt;="&amp;$B99,Giving!$E$7:$E$2006,"&lt;&gt;No")</f>
        <v/>
      </c>
      <c r="Y99">
        <f>SUMIFS(Giving!$B$7:$B$2006,Giving!$A$7:$A$2006,"&gt;="&amp;$A99,Giving!$A$7:$A$2006,"&lt;="&amp;$B99,Giving!$E$7:$E$2006,"No")</f>
        <v/>
      </c>
      <c r="Z99">
        <f>IF(OR(Settings!$B$60="",Settings!$F$60="No"),0,Settings!$B$60*IF(AND(IF(Settings!$C$60="",$B99,DATE(YEAR($A99),MONTH($A99),MIN(Settings!$C$60,DAY($B99))))&gt;=MAX($A99,Settings!$D$60),IF(Settings!$C$60="",$B99,DATE(YEAR($A99),MONTH($A99),MIN(Settings!$C$60,DAY($B99))))&lt;=MIN($C99,IF(Settings!$E$60="",$C99,Settings!$E$60))),1,0))+IF(OR(Settings!$B$61="",Settings!$F$61="No"),0,Settings!$B$61*IF(AND(IF(Settings!$C$61="",$B99,DATE(YEAR($A99),MONTH($A99),MIN(Settings!$C$61,DAY($B99))))&gt;=MAX($A99,Settings!$D$61),IF(Settings!$C$61="",$B99,DATE(YEAR($A99),MONTH($A99),MIN(Settings!$C$61,DAY($B99))))&lt;=MIN($C99,IF(Settings!$E$61="",$C99,Settings!$E$61))),1,0))+IF(OR(Settings!$B$62="",Settings!$F$62="No"),0,Settings!$B$62*IF(AND(IF(Settings!$C$62="",$B99,DATE(YEAR($A99),MONTH($A99),MIN(Settings!$C$62,DAY($B99))))&gt;=MAX($A99,Settings!$D$62),IF(Settings!$C$62="",$B99,DATE(YEAR($A99),MONTH($A99),MIN(Settings!$C$62,DAY($B99))))&lt;=MIN($C99,IF(Settings!$E$62="",$C99,Settings!$E$62))),1,0))+IF(OR(Settings!$B$63="",Settings!$F$63="No"),0,Settings!$B$63*IF(AND(IF(Settings!$C$63="",$B99,DATE(YEAR($A99),MONTH($A99),MIN(Settings!$C$63,DAY($B99))))&gt;=MAX($A99,Settings!$D$63),IF(Settings!$C$63="",$B99,DATE(YEAR($A99),MONTH($A99),MIN(Settings!$C$63,DAY($B99))))&lt;=MIN($C99,IF(Settings!$E$63="",$C99,Settings!$E$63))),1,0))+IF(OR(Settings!$B$64="",Settings!$F$64="No"),0,Settings!$B$64*IF(AND(IF(Settings!$C$64="",$B99,DATE(YEAR($A99),MONTH($A99),MIN(Settings!$C$64,DAY($B99))))&gt;=MAX($A99,Settings!$D$64),IF(Settings!$C$64="",$B99,DATE(YEAR($A99),MONTH($A99),MIN(Settings!$C$64,DAY($B99))))&lt;=MIN($C99,IF(Settings!$E$64="",$C99,Settings!$E$64))),1,0))+IF(OR(Settings!$B$65="",Settings!$F$65="No"),0,Settings!$B$65*IF(AND(IF(Settings!$C$65="",$B99,DATE(YEAR($A99),MONTH($A99),MIN(Settings!$C$65,DAY($B99))))&gt;=MAX($A99,Settings!$D$65),IF(Settings!$C$65="",$B99,DATE(YEAR($A99),MONTH($A99),MIN(Settings!$C$65,DAY($B99))))&lt;=MIN($C99,IF(Settings!$E$65="",$C99,Settings!$E$65))),1,0))</f>
        <v/>
      </c>
      <c r="AA99">
        <f>$X99+$Z99</f>
        <v/>
      </c>
      <c r="AB99">
        <f>IF($E99="post",$AA99,IF($E99="open",SUMIFS(Giving!$B$7:$B$2006,Giving!$A$7:$A$2006,"&gt;"&amp;Settings!$B$5,Giving!$A$7:$A$2006,"&lt;="&amp;$B99,Giving!$E$7:$E$2006,"&lt;&gt;No")+IF(OR(Settings!$B$60="",Settings!$F$60="No"),0,Settings!$B$60*IF(AND(IF(Settings!$C$60="",$B99,DATE(YEAR($A99),MONTH($A99),MIN(Settings!$C$60,DAY($B99))))&gt;=MAX($A99,Settings!$D$60,Settings!$B$5+1),IF(Settings!$C$60="",$B99,DATE(YEAR($A99),MONTH($A99),MIN(Settings!$C$60,DAY($B99))))&lt;=MIN($C99,IF(Settings!$E$60="",$C99,Settings!$E$60))),1,0))+IF(OR(Settings!$B$61="",Settings!$F$61="No"),0,Settings!$B$61*IF(AND(IF(Settings!$C$61="",$B99,DATE(YEAR($A99),MONTH($A99),MIN(Settings!$C$61,DAY($B99))))&gt;=MAX($A99,Settings!$D$61,Settings!$B$5+1),IF(Settings!$C$61="",$B99,DATE(YEAR($A99),MONTH($A99),MIN(Settings!$C$61,DAY($B99))))&lt;=MIN($C99,IF(Settings!$E$61="",$C99,Settings!$E$61))),1,0))+IF(OR(Settings!$B$62="",Settings!$F$62="No"),0,Settings!$B$62*IF(AND(IF(Settings!$C$62="",$B99,DATE(YEAR($A99),MONTH($A99),MIN(Settings!$C$62,DAY($B99))))&gt;=MAX($A99,Settings!$D$62,Settings!$B$5+1),IF(Settings!$C$62="",$B99,DATE(YEAR($A99),MONTH($A99),MIN(Settings!$C$62,DAY($B99))))&lt;=MIN($C99,IF(Settings!$E$62="",$C99,Settings!$E$62))),1,0))+IF(OR(Settings!$B$63="",Settings!$F$63="No"),0,Settings!$B$63*IF(AND(IF(Settings!$C$63="",$B99,DATE(YEAR($A99),MONTH($A99),MIN(Settings!$C$63,DAY($B99))))&gt;=MAX($A99,Settings!$D$63,Settings!$B$5+1),IF(Settings!$C$63="",$B99,DATE(YEAR($A99),MONTH($A99),MIN(Settings!$C$63,DAY($B99))))&lt;=MIN($C99,IF(Settings!$E$63="",$C99,Settings!$E$63))),1,0))+IF(OR(Settings!$B$64="",Settings!$F$64="No"),0,Settings!$B$64*IF(AND(IF(Settings!$C$64="",$B99,DATE(YEAR($A99),MONTH($A99),MIN(Settings!$C$64,DAY($B99))))&gt;=MAX($A99,Settings!$D$64,Settings!$B$5+1),IF(Settings!$C$64="",$B99,DATE(YEAR($A99),MONTH($A99),MIN(Settings!$C$64,DAY($B99))))&lt;=MIN($C99,IF(Settings!$E$64="",$C99,Settings!$E$64))),1,0))+IF(OR(Settings!$B$65="",Settings!$F$65="No"),0,Settings!$B$65*IF(AND(IF(Settings!$C$65="",$B99,DATE(YEAR($A99),MONTH($A99),MIN(Settings!$C$65,DAY($B99))))&gt;=MAX($A99,Settings!$D$65,Settings!$B$5+1),IF(Settings!$C$65="",$B99,DATE(YEAR($A99),MONTH($A99),MIN(Settings!$C$65,DAY($B99))))&lt;=MIN($C99,IF(Settings!$E$65="",$C99,Settings!$E$65))),1,0)),0))</f>
        <v/>
      </c>
      <c r="AC99">
        <f>$AY99+$AZ99+$BA99+$BB99+$BC99+$BD99</f>
        <v/>
      </c>
      <c r="AD99">
        <f>$AC99</f>
        <v/>
      </c>
      <c r="AE99">
        <f>IF(OR(Settings!$A$19="",$E99="pre"),"",IF(AND('Month-End'!$CR$7&lt;&gt;"",NOT(_xlfn.ISFORMULA('Month-End'!$CR$7))),N('Month-End'!$CR$7),IF(OR($E99="open",$E98="pre"),N(Settings!$C$19),N($AE98))))</f>
        <v/>
      </c>
      <c r="AF99">
        <f>IF(OR(Settings!$A$20="",$E99="pre"),"",IF(AND('Month-End'!$CR$8&lt;&gt;"",NOT(_xlfn.ISFORMULA('Month-End'!$CR$8))),N('Month-End'!$CR$8),IF(OR($E99="open",$E98="pre"),N(Settings!$C$20),N($AF98))))</f>
        <v/>
      </c>
      <c r="AG99">
        <f>IF(OR(Settings!$A$21="",$E99="pre"),"",IF(AND('Month-End'!$CR$9&lt;&gt;"",NOT(_xlfn.ISFORMULA('Month-End'!$CR$9))),N('Month-End'!$CR$9),IF(OR($E99="open",$E98="pre"),N(Settings!$C$21),N($AG98))))</f>
        <v/>
      </c>
      <c r="AH99">
        <f>IF(OR(Settings!$A$22="",$E99="pre"),"",IF(AND('Month-End'!$CR$10&lt;&gt;"",NOT(_xlfn.ISFORMULA('Month-End'!$CR$10))),N('Month-End'!$CR$10),IF(OR($E99="open",$E98="pre"),N(Settings!$C$22),N($AH98))))</f>
        <v/>
      </c>
      <c r="AI99">
        <f>IF(OR(Settings!$A$23="",$E99="pre"),"",IF(AND('Month-End'!$CR$11&lt;&gt;"",NOT(_xlfn.ISFORMULA('Month-End'!$CR$11))),N('Month-End'!$CR$11),IF(OR($E99="open",$E98="pre"),N(Settings!$C$23),N($AI98))))</f>
        <v/>
      </c>
      <c r="AJ99">
        <f>IF(OR(Settings!$A$24="",$E99="pre"),"",IF(AND('Month-End'!$CR$12&lt;&gt;"",NOT(_xlfn.ISFORMULA('Month-End'!$CR$12))),N('Month-End'!$CR$12),IF(OR($E99="open",$E98="pre"),N(Settings!$C$24),N($AJ98))))</f>
        <v/>
      </c>
      <c r="AK99">
        <f>IF(OR(Settings!$A$25="",$E99="pre"),"",IF(AND('Month-End'!$CR$13&lt;&gt;"",NOT(_xlfn.ISFORMULA('Month-End'!$CR$13))),N('Month-End'!$CR$13),IF(OR($E99="open",$E98="pre"),N(Settings!$C$25),N($AK98))))</f>
        <v/>
      </c>
      <c r="AL99">
        <f>IF(OR(Settings!$A$26="",$E99="pre"),"",IF(AND('Month-End'!$CR$14&lt;&gt;"",NOT(_xlfn.ISFORMULA('Month-End'!$CR$14))),N('Month-End'!$CR$14),IF(OR($E99="open",$E98="pre"),N(Settings!$C$26),N($AL98))))</f>
        <v/>
      </c>
      <c r="AM99">
        <f>IF(OR(Settings!$A$27="",$E99="pre"),"",IF(AND('Month-End'!$CR$15&lt;&gt;"",NOT(_xlfn.ISFORMULA('Month-End'!$CR$15))),N('Month-End'!$CR$15),IF(OR($E99="open",$E98="pre"),N(Settings!$C$27),N($AM98))))</f>
        <v/>
      </c>
      <c r="AN99">
        <f>IF(OR(Settings!$A$28="",$E99="pre"),"",IF(AND('Month-End'!$CR$16&lt;&gt;"",NOT(_xlfn.ISFORMULA('Month-End'!$CR$16))),N('Month-End'!$CR$16),IF(OR($E99="open",$E98="pre"),N(Settings!$C$28),N($AN98))))</f>
        <v/>
      </c>
      <c r="AO99">
        <f>IF(OR(Settings!$A$29="",$E99="pre"),"",IF(AND('Month-End'!$CR$17&lt;&gt;"",NOT(_xlfn.ISFORMULA('Month-End'!$CR$17))),N('Month-End'!$CR$17),IF(OR($E99="open",$E98="pre"),N(Settings!$C$29),N($AO98))))</f>
        <v/>
      </c>
      <c r="AP99">
        <f>IF(OR(Settings!$A$30="",$E99="pre"),"",IF(AND('Month-End'!$CR$18&lt;&gt;"",NOT(_xlfn.ISFORMULA('Month-End'!$CR$18))),N('Month-End'!$CR$18),IF(OR($E99="open",$E98="pre"),N(Settings!$C$30),N($AP98))))</f>
        <v/>
      </c>
      <c r="AQ99">
        <f>IF(OR(Settings!$A$31="",$E99="pre"),"",IF(AND('Month-End'!$CR$19&lt;&gt;"",NOT(_xlfn.ISFORMULA('Month-End'!$CR$19))),N('Month-End'!$CR$19),IF(OR($E99="open",$E98="pre"),N(Settings!$C$31),N($AQ98))))</f>
        <v/>
      </c>
      <c r="AR99">
        <f>IF(OR(Settings!$A$32="",$E99="pre"),"",IF(AND('Month-End'!$CR$20&lt;&gt;"",NOT(_xlfn.ISFORMULA('Month-End'!$CR$20))),N('Month-End'!$CR$20),IF(OR($E99="open",$E98="pre"),N(Settings!$C$32),N($AR98))))</f>
        <v/>
      </c>
      <c r="AS99">
        <f>IF(OR(Settings!$A$36="",$E99="pre"),"",IF(AND('Month-End'!$CR$38&lt;&gt;"",NOT(_xlfn.ISFORMULA('Month-End'!$CR$38))),N('Month-End'!$CR$38),IF(OR($E99="open",$E98="pre"),N(Settings!$C$36),N($AS98))+$AY99))</f>
        <v/>
      </c>
      <c r="AT99">
        <f>IF(OR(Settings!$A$37="",$E99="pre"),"",IF(AND('Month-End'!$CR$39&lt;&gt;"",NOT(_xlfn.ISFORMULA('Month-End'!$CR$39))),N('Month-End'!$CR$39),IF(OR($E99="open",$E98="pre"),N(Settings!$C$37),N($AT98))+$AZ99))</f>
        <v/>
      </c>
      <c r="AU99">
        <f>IF(OR(Settings!$A$38="",$E99="pre"),"",IF(AND('Month-End'!$CR$40&lt;&gt;"",NOT(_xlfn.ISFORMULA('Month-End'!$CR$40))),N('Month-End'!$CR$40),IF(OR($E99="open",$E98="pre"),N(Settings!$C$38),N($AU98))+$BA99))</f>
        <v/>
      </c>
      <c r="AV99">
        <f>IF(OR(Settings!$A$39="",$E99="pre"),"",IF(AND('Month-End'!$CR$41&lt;&gt;"",NOT(_xlfn.ISFORMULA('Month-End'!$CR$41))),N('Month-End'!$CR$41),IF(OR($E99="open",$E98="pre"),N(Settings!$C$39),N($AV98))+$BB99))</f>
        <v/>
      </c>
      <c r="AW99">
        <f>IF(OR(Settings!$A$40="",$E99="pre"),"",IF(AND('Month-End'!$CR$42&lt;&gt;"",NOT(_xlfn.ISFORMULA('Month-End'!$CR$42))),N('Month-End'!$CR$42),IF(OR($E99="open",$E98="pre"),N(Settings!$C$40),N($AW98))+$BC99))</f>
        <v/>
      </c>
      <c r="AX99">
        <f>IF(OR(Settings!$A$41="",$E99="pre"),"",IF(AND('Month-End'!$CR$43&lt;&gt;"",NOT(_xlfn.ISFORMULA('Month-End'!$CR$43))),N('Month-End'!$CR$43),IF(OR($E99="open",$E98="pre"),N(Settings!$C$41),N($AX98))+$BD99))</f>
        <v/>
      </c>
      <c r="AY99">
        <f>IF($E99="pre",0,N('Month-End'!$CR$45))</f>
        <v/>
      </c>
      <c r="AZ99">
        <f>IF($E99="pre",0,N('Month-End'!$CR$46))</f>
        <v/>
      </c>
      <c r="BA99">
        <f>IF($E99="pre",0,N('Month-End'!$CR$47))</f>
        <v/>
      </c>
      <c r="BB99">
        <f>IF($E99="pre",0,N('Month-End'!$CR$48))</f>
        <v/>
      </c>
      <c r="BC99">
        <f>IF($E99="pre",0,N('Month-End'!$CR$49))</f>
        <v/>
      </c>
      <c r="BD99">
        <f>IF($E99="pre",0,N('Month-End'!$CR$50))</f>
        <v/>
      </c>
      <c r="BE99">
        <f>IF(OR(Settings!$C$45="",Settings!$D$45=""),0,Settings!$C$45*IF(Settings!$D$45="Weekly",IF(IFERROR(MATCH(Settings!$E$45,$EO$4:$EO$10,0),0)=0,0,IF(MIN($C99,IF(Settings!$G$45="",$C99,Settings!$G$45))&lt;MAX($A99,Settings!$F$45),0,INT((MIN($C99,IF(Settings!$G$45="",$C99,Settings!$G$45))-MAX($A99,Settings!$F$45)-MOD(IFERROR(MATCH(Settings!$E$45,$EO$4:$EO$10,0),0)-WEEKDAY(MAX($A99,Settings!$F$45)),7))/7)+1)),IF(AND(IF(Settings!$E$45="",$B99,DATE(YEAR($A99),MONTH($A99),MIN(Settings!$E$45,DAY($B99))))&gt;=MAX($A99,Settings!$F$45),IF(Settings!$E$45="",$B99,DATE(YEAR($A99),MONTH($A99),MIN(Settings!$E$45,DAY($B99))))&lt;=MIN($C99,IF(Settings!$G$45="",$C99,Settings!$G$45))),1,0)))</f>
        <v/>
      </c>
      <c r="BF99">
        <f>IF(OR(Settings!$C$46="",Settings!$D$46=""),0,Settings!$C$46*IF(Settings!$D$46="Weekly",IF(IFERROR(MATCH(Settings!$E$46,$EO$4:$EO$10,0),0)=0,0,IF(MIN($C99,IF(Settings!$G$46="",$C99,Settings!$G$46))&lt;MAX($A99,Settings!$F$46),0,INT((MIN($C99,IF(Settings!$G$46="",$C99,Settings!$G$46))-MAX($A99,Settings!$F$46)-MOD(IFERROR(MATCH(Settings!$E$46,$EO$4:$EO$10,0),0)-WEEKDAY(MAX($A99,Settings!$F$46)),7))/7)+1)),IF(AND(IF(Settings!$E$46="",$B99,DATE(YEAR($A99),MONTH($A99),MIN(Settings!$E$46,DAY($B99))))&gt;=MAX($A99,Settings!$F$46),IF(Settings!$E$46="",$B99,DATE(YEAR($A99),MONTH($A99),MIN(Settings!$E$46,DAY($B99))))&lt;=MIN($C99,IF(Settings!$G$46="",$C99,Settings!$G$46))),1,0)))</f>
        <v/>
      </c>
      <c r="BG99">
        <f>IF(OR(Settings!$C$47="",Settings!$D$47=""),0,Settings!$C$47*IF(Settings!$D$47="Weekly",IF(IFERROR(MATCH(Settings!$E$47,$EO$4:$EO$10,0),0)=0,0,IF(MIN($C99,IF(Settings!$G$47="",$C99,Settings!$G$47))&lt;MAX($A99,Settings!$F$47),0,INT((MIN($C99,IF(Settings!$G$47="",$C99,Settings!$G$47))-MAX($A99,Settings!$F$47)-MOD(IFERROR(MATCH(Settings!$E$47,$EO$4:$EO$10,0),0)-WEEKDAY(MAX($A99,Settings!$F$47)),7))/7)+1)),IF(AND(IF(Settings!$E$47="",$B99,DATE(YEAR($A99),MONTH($A99),MIN(Settings!$E$47,DAY($B99))))&gt;=MAX($A99,Settings!$F$47),IF(Settings!$E$47="",$B99,DATE(YEAR($A99),MONTH($A99),MIN(Settings!$E$47,DAY($B99))))&lt;=MIN($C99,IF(Settings!$G$47="",$C99,Settings!$G$47))),1,0)))</f>
        <v/>
      </c>
      <c r="BH99">
        <f>IF(OR(Settings!$C$48="",Settings!$D$48=""),0,Settings!$C$48*IF(Settings!$D$48="Weekly",IF(IFERROR(MATCH(Settings!$E$48,$EO$4:$EO$10,0),0)=0,0,IF(MIN($C99,IF(Settings!$G$48="",$C99,Settings!$G$48))&lt;MAX($A99,Settings!$F$48),0,INT((MIN($C99,IF(Settings!$G$48="",$C99,Settings!$G$48))-MAX($A99,Settings!$F$48)-MOD(IFERROR(MATCH(Settings!$E$48,$EO$4:$EO$10,0),0)-WEEKDAY(MAX($A99,Settings!$F$48)),7))/7)+1)),IF(AND(IF(Settings!$E$48="",$B99,DATE(YEAR($A99),MONTH($A99),MIN(Settings!$E$48,DAY($B99))))&gt;=MAX($A99,Settings!$F$48),IF(Settings!$E$48="",$B99,DATE(YEAR($A99),MONTH($A99),MIN(Settings!$E$48,DAY($B99))))&lt;=MIN($C99,IF(Settings!$G$48="",$C99,Settings!$G$48))),1,0)))</f>
        <v/>
      </c>
      <c r="BI99">
        <f>IF(OR(Settings!$C$49="",Settings!$D$49=""),0,Settings!$C$49*IF(Settings!$D$49="Weekly",IF(IFERROR(MATCH(Settings!$E$49,$EO$4:$EO$10,0),0)=0,0,IF(MIN($C99,IF(Settings!$G$49="",$C99,Settings!$G$49))&lt;MAX($A99,Settings!$F$49),0,INT((MIN($C99,IF(Settings!$G$49="",$C99,Settings!$G$49))-MAX($A99,Settings!$F$49)-MOD(IFERROR(MATCH(Settings!$E$49,$EO$4:$EO$10,0),0)-WEEKDAY(MAX($A99,Settings!$F$49)),7))/7)+1)),IF(AND(IF(Settings!$E$49="",$B99,DATE(YEAR($A99),MONTH($A99),MIN(Settings!$E$49,DAY($B99))))&gt;=MAX($A99,Settings!$F$49),IF(Settings!$E$49="",$B99,DATE(YEAR($A99),MONTH($A99),MIN(Settings!$E$49,DAY($B99))))&lt;=MIN($C99,IF(Settings!$G$49="",$C99,Settings!$G$49))),1,0)))</f>
        <v/>
      </c>
      <c r="BJ99">
        <f>IF(OR(Settings!$C$50="",Settings!$D$50=""),0,Settings!$C$50*IF(Settings!$D$50="Weekly",IF(IFERROR(MATCH(Settings!$E$50,$EO$4:$EO$10,0),0)=0,0,IF(MIN($C99,IF(Settings!$G$50="",$C99,Settings!$G$50))&lt;MAX($A99,Settings!$F$50),0,INT((MIN($C99,IF(Settings!$G$50="",$C99,Settings!$G$50))-MAX($A99,Settings!$F$50)-MOD(IFERROR(MATCH(Settings!$E$50,$EO$4:$EO$10,0),0)-WEEKDAY(MAX($A99,Settings!$F$50)),7))/7)+1)),IF(AND(IF(Settings!$E$50="",$B99,DATE(YEAR($A99),MONTH($A99),MIN(Settings!$E$50,DAY($B99))))&gt;=MAX($A99,Settings!$F$50),IF(Settings!$E$50="",$B99,DATE(YEAR($A99),MONTH($A99),MIN(Settings!$E$50,DAY($B99))))&lt;=MIN($C99,IF(Settings!$G$50="",$C99,Settings!$G$50))),1,0)))</f>
        <v/>
      </c>
      <c r="BK99">
        <f>IF(OR(Settings!$C$51="",Settings!$D$51=""),0,Settings!$C$51*IF(Settings!$D$51="Weekly",IF(IFERROR(MATCH(Settings!$E$51,$EO$4:$EO$10,0),0)=0,0,IF(MIN($C99,IF(Settings!$G$51="",$C99,Settings!$G$51))&lt;MAX($A99,Settings!$F$51),0,INT((MIN($C99,IF(Settings!$G$51="",$C99,Settings!$G$51))-MAX($A99,Settings!$F$51)-MOD(IFERROR(MATCH(Settings!$E$51,$EO$4:$EO$10,0),0)-WEEKDAY(MAX($A99,Settings!$F$51)),7))/7)+1)),IF(AND(IF(Settings!$E$51="",$B99,DATE(YEAR($A99),MONTH($A99),MIN(Settings!$E$51,DAY($B99))))&gt;=MAX($A99,Settings!$F$51),IF(Settings!$E$51="",$B99,DATE(YEAR($A99),MONTH($A99),MIN(Settings!$E$51,DAY($B99))))&lt;=MIN($C99,IF(Settings!$G$51="",$C99,Settings!$G$51))),1,0)))</f>
        <v/>
      </c>
      <c r="BL99">
        <f>IF(OR(Settings!$C$52="",Settings!$D$52=""),0,Settings!$C$52*IF(Settings!$D$52="Weekly",IF(IFERROR(MATCH(Settings!$E$52,$EO$4:$EO$10,0),0)=0,0,IF(MIN($C99,IF(Settings!$G$52="",$C99,Settings!$G$52))&lt;MAX($A99,Settings!$F$52),0,INT((MIN($C99,IF(Settings!$G$52="",$C99,Settings!$G$52))-MAX($A99,Settings!$F$52)-MOD(IFERROR(MATCH(Settings!$E$52,$EO$4:$EO$10,0),0)-WEEKDAY(MAX($A99,Settings!$F$52)),7))/7)+1)),IF(AND(IF(Settings!$E$52="",$B99,DATE(YEAR($A99),MONTH($A99),MIN(Settings!$E$52,DAY($B99))))&gt;=MAX($A99,Settings!$F$52),IF(Settings!$E$52="",$B99,DATE(YEAR($A99),MONTH($A99),MIN(Settings!$E$52,DAY($B99))))&lt;=MIN($C99,IF(Settings!$G$52="",$C99,Settings!$G$52))),1,0)))</f>
        <v/>
      </c>
      <c r="BM99">
        <f>IF(OR(Settings!$C$53="",Settings!$D$53=""),0,Settings!$C$53*IF(Settings!$D$53="Weekly",IF(IFERROR(MATCH(Settings!$E$53,$EO$4:$EO$10,0),0)=0,0,IF(MIN($C99,IF(Settings!$G$53="",$C99,Settings!$G$53))&lt;MAX($A99,Settings!$F$53),0,INT((MIN($C99,IF(Settings!$G$53="",$C99,Settings!$G$53))-MAX($A99,Settings!$F$53)-MOD(IFERROR(MATCH(Settings!$E$53,$EO$4:$EO$10,0),0)-WEEKDAY(MAX($A99,Settings!$F$53)),7))/7)+1)),IF(AND(IF(Settings!$E$53="",$B99,DATE(YEAR($A99),MONTH($A99),MIN(Settings!$E$53,DAY($B99))))&gt;=MAX($A99,Settings!$F$53),IF(Settings!$E$53="",$B99,DATE(YEAR($A99),MONTH($A99),MIN(Settings!$E$53,DAY($B99))))&lt;=MIN($C99,IF(Settings!$G$53="",$C99,Settings!$G$53))),1,0)))</f>
        <v/>
      </c>
      <c r="BN99">
        <f>IF(OR(Settings!$C$54="",Settings!$D$54=""),0,Settings!$C$54*IF(Settings!$D$54="Weekly",IF(IFERROR(MATCH(Settings!$E$54,$EO$4:$EO$10,0),0)=0,0,IF(MIN($C99,IF(Settings!$G$54="",$C99,Settings!$G$54))&lt;MAX($A99,Settings!$F$54),0,INT((MIN($C99,IF(Settings!$G$54="",$C99,Settings!$G$54))-MAX($A99,Settings!$F$54)-MOD(IFERROR(MATCH(Settings!$E$54,$EO$4:$EO$10,0),0)-WEEKDAY(MAX($A99,Settings!$F$54)),7))/7)+1)),IF(AND(IF(Settings!$E$54="",$B99,DATE(YEAR($A99),MONTH($A99),MIN(Settings!$E$54,DAY($B99))))&gt;=MAX($A99,Settings!$F$54),IF(Settings!$E$54="",$B99,DATE(YEAR($A99),MONTH($A99),MIN(Settings!$E$54,DAY($B99))))&lt;=MIN($C99,IF(Settings!$G$54="",$C99,Settings!$G$54))),1,0)))</f>
        <v/>
      </c>
      <c r="BO99">
        <f>IF(OR(Settings!$C$55="",Settings!$D$55=""),0,Settings!$C$55*IF(Settings!$D$55="Weekly",IF(IFERROR(MATCH(Settings!$E$55,$EO$4:$EO$10,0),0)=0,0,IF(MIN($C99,IF(Settings!$G$55="",$C99,Settings!$G$55))&lt;MAX($A99,Settings!$F$55),0,INT((MIN($C99,IF(Settings!$G$55="",$C99,Settings!$G$55))-MAX($A99,Settings!$F$55)-MOD(IFERROR(MATCH(Settings!$E$55,$EO$4:$EO$10,0),0)-WEEKDAY(MAX($A99,Settings!$F$55)),7))/7)+1)),IF(AND(IF(Settings!$E$55="",$B99,DATE(YEAR($A99),MONTH($A99),MIN(Settings!$E$55,DAY($B99))))&gt;=MAX($A99,Settings!$F$55),IF(Settings!$E$55="",$B99,DATE(YEAR($A99),MONTH($A99),MIN(Settings!$E$55,DAY($B99))))&lt;=MIN($C99,IF(Settings!$G$55="",$C99,Settings!$G$55))),1,0)))</f>
        <v/>
      </c>
      <c r="BP99">
        <f>IF(OR(Settings!$C$56="",Settings!$D$56=""),0,Settings!$C$56*IF(Settings!$D$56="Weekly",IF(IFERROR(MATCH(Settings!$E$56,$EO$4:$EO$10,0),0)=0,0,IF(MIN($C99,IF(Settings!$G$56="",$C99,Settings!$G$56))&lt;MAX($A99,Settings!$F$56),0,INT((MIN($C99,IF(Settings!$G$56="",$C99,Settings!$G$56))-MAX($A99,Settings!$F$56)-MOD(IFERROR(MATCH(Settings!$E$56,$EO$4:$EO$10,0),0)-WEEKDAY(MAX($A99,Settings!$F$56)),7))/7)+1)),IF(AND(IF(Settings!$E$56="",$B99,DATE(YEAR($A99),MONTH($A99),MIN(Settings!$E$56,DAY($B99))))&gt;=MAX($A99,Settings!$F$56),IF(Settings!$E$56="",$B99,DATE(YEAR($A99),MONTH($A99),MIN(Settings!$E$56,DAY($B99))))&lt;=MIN($C99,IF(Settings!$G$56="",$C99,Settings!$G$56))),1,0)))</f>
        <v/>
      </c>
      <c r="BQ99">
        <f>IF(OR(Settings!$B$14="",$D99=1,$E99="pre",$A99&lt;IF(Settings!$B$15="",0,Settings!$B$15)),0,Settings!$B$14)</f>
        <v/>
      </c>
      <c r="BR99">
        <f>IF(AND('Month-End'!$CR$7&lt;&gt;"",NOT(_xlfn.ISFORMULA('Month-End'!$CR$7))),1,0)</f>
        <v/>
      </c>
      <c r="BS99">
        <f>IF(AND('Month-End'!$CR$8&lt;&gt;"",NOT(_xlfn.ISFORMULA('Month-End'!$CR$8))),1,0)</f>
        <v/>
      </c>
      <c r="BT99">
        <f>IF(AND('Month-End'!$CR$9&lt;&gt;"",NOT(_xlfn.ISFORMULA('Month-End'!$CR$9))),1,0)</f>
        <v/>
      </c>
      <c r="BU99">
        <f>IF(AND('Month-End'!$CR$10&lt;&gt;"",NOT(_xlfn.ISFORMULA('Month-End'!$CR$10))),1,0)</f>
        <v/>
      </c>
      <c r="BV99">
        <f>IF(AND('Month-End'!$CR$11&lt;&gt;"",NOT(_xlfn.ISFORMULA('Month-End'!$CR$11))),1,0)</f>
        <v/>
      </c>
      <c r="BW99">
        <f>IF(AND('Month-End'!$CR$12&lt;&gt;"",NOT(_xlfn.ISFORMULA('Month-End'!$CR$12))),1,0)</f>
        <v/>
      </c>
      <c r="BX99">
        <f>IF(AND('Month-End'!$CR$13&lt;&gt;"",NOT(_xlfn.ISFORMULA('Month-End'!$CR$13))),1,0)</f>
        <v/>
      </c>
      <c r="BY99">
        <f>IF(AND('Month-End'!$CR$14&lt;&gt;"",NOT(_xlfn.ISFORMULA('Month-End'!$CR$14))),1,0)</f>
        <v/>
      </c>
      <c r="BZ99">
        <f>IF(AND('Month-End'!$CR$15&lt;&gt;"",NOT(_xlfn.ISFORMULA('Month-End'!$CR$15))),1,0)</f>
        <v/>
      </c>
      <c r="CA99">
        <f>IF(AND('Month-End'!$CR$16&lt;&gt;"",NOT(_xlfn.ISFORMULA('Month-End'!$CR$16))),1,0)</f>
        <v/>
      </c>
      <c r="CB99">
        <f>IF(AND('Month-End'!$CR$17&lt;&gt;"",NOT(_xlfn.ISFORMULA('Month-End'!$CR$17))),1,0)</f>
        <v/>
      </c>
      <c r="CC99">
        <f>IF(AND('Month-End'!$CR$18&lt;&gt;"",NOT(_xlfn.ISFORMULA('Month-End'!$CR$18))),1,0)</f>
        <v/>
      </c>
      <c r="CD99">
        <f>IF(AND('Month-End'!$CR$19&lt;&gt;"",NOT(_xlfn.ISFORMULA('Month-End'!$CR$19))),1,0)</f>
        <v/>
      </c>
      <c r="CE99">
        <f>IF(AND('Month-End'!$CR$20&lt;&gt;"",NOT(_xlfn.ISFORMULA('Month-End'!$CR$20))),1,0)</f>
        <v/>
      </c>
      <c r="CF99">
        <f>IF(AND('Month-End'!$CR$38&lt;&gt;"",NOT(_xlfn.ISFORMULA('Month-End'!$CR$38))),1,0)</f>
        <v/>
      </c>
      <c r="CG99">
        <f>IF(AND('Month-End'!$CR$39&lt;&gt;"",NOT(_xlfn.ISFORMULA('Month-End'!$CR$39))),1,0)</f>
        <v/>
      </c>
      <c r="CH99">
        <f>IF(AND('Month-End'!$CR$40&lt;&gt;"",NOT(_xlfn.ISFORMULA('Month-End'!$CR$40))),1,0)</f>
        <v/>
      </c>
      <c r="CI99">
        <f>IF(AND('Month-End'!$CR$41&lt;&gt;"",NOT(_xlfn.ISFORMULA('Month-End'!$CR$41))),1,0)</f>
        <v/>
      </c>
      <c r="CJ99">
        <f>IF(AND('Month-End'!$CR$42&lt;&gt;"",NOT(_xlfn.ISFORMULA('Month-End'!$CR$42))),1,0)</f>
        <v/>
      </c>
      <c r="CK99">
        <f>IF(AND('Month-End'!$CR$43&lt;&gt;"",NOT(_xlfn.ISFORMULA('Month-End'!$CR$43))),1,0)</f>
        <v/>
      </c>
      <c r="CL99">
        <f>SUM($CM99:$CZ99)</f>
        <v/>
      </c>
      <c r="CM99">
        <f>IF(AND($E99&lt;&gt;"pre",AND(Settings!$A$19&lt;&gt;"",Settings!$E$19&lt;&gt;"No"),Settings!$F$19="Yes",NOT(AND('Month-End'!$CR$7&lt;&gt;"",NOT(_xlfn.ISFORMULA('Month-End'!$CR$7))))),1,0)</f>
        <v/>
      </c>
      <c r="CN99">
        <f>IF(AND($E99&lt;&gt;"pre",AND(Settings!$A$20&lt;&gt;"",Settings!$E$20&lt;&gt;"No"),Settings!$F$20="Yes",NOT(AND('Month-End'!$CR$8&lt;&gt;"",NOT(_xlfn.ISFORMULA('Month-End'!$CR$8))))),1,0)</f>
        <v/>
      </c>
      <c r="CO99">
        <f>IF(AND($E99&lt;&gt;"pre",AND(Settings!$A$21&lt;&gt;"",Settings!$E$21&lt;&gt;"No"),Settings!$F$21="Yes",NOT(AND('Month-End'!$CR$9&lt;&gt;"",NOT(_xlfn.ISFORMULA('Month-End'!$CR$9))))),1,0)</f>
        <v/>
      </c>
      <c r="CP99">
        <f>IF(AND($E99&lt;&gt;"pre",AND(Settings!$A$22&lt;&gt;"",Settings!$E$22&lt;&gt;"No"),Settings!$F$22="Yes",NOT(AND('Month-End'!$CR$10&lt;&gt;"",NOT(_xlfn.ISFORMULA('Month-End'!$CR$10))))),1,0)</f>
        <v/>
      </c>
      <c r="CQ99">
        <f>IF(AND($E99&lt;&gt;"pre",AND(Settings!$A$23&lt;&gt;"",Settings!$E$23&lt;&gt;"No"),Settings!$F$23="Yes",NOT(AND('Month-End'!$CR$11&lt;&gt;"",NOT(_xlfn.ISFORMULA('Month-End'!$CR$11))))),1,0)</f>
        <v/>
      </c>
      <c r="CR99">
        <f>IF(AND($E99&lt;&gt;"pre",AND(Settings!$A$24&lt;&gt;"",Settings!$E$24&lt;&gt;"No"),Settings!$F$24="Yes",NOT(AND('Month-End'!$CR$12&lt;&gt;"",NOT(_xlfn.ISFORMULA('Month-End'!$CR$12))))),1,0)</f>
        <v/>
      </c>
      <c r="CS99">
        <f>IF(AND($E99&lt;&gt;"pre",AND(Settings!$A$25&lt;&gt;"",Settings!$E$25&lt;&gt;"No"),Settings!$F$25="Yes",NOT(AND('Month-End'!$CR$13&lt;&gt;"",NOT(_xlfn.ISFORMULA('Month-End'!$CR$13))))),1,0)</f>
        <v/>
      </c>
      <c r="CT99">
        <f>IF(AND($E99&lt;&gt;"pre",AND(Settings!$A$26&lt;&gt;"",Settings!$E$26&lt;&gt;"No"),Settings!$F$26="Yes",NOT(AND('Month-End'!$CR$14&lt;&gt;"",NOT(_xlfn.ISFORMULA('Month-End'!$CR$14))))),1,0)</f>
        <v/>
      </c>
      <c r="CU99">
        <f>IF(AND($E99&lt;&gt;"pre",AND(Settings!$A$27&lt;&gt;"",Settings!$E$27&lt;&gt;"No"),Settings!$F$27="Yes",NOT(AND('Month-End'!$CR$15&lt;&gt;"",NOT(_xlfn.ISFORMULA('Month-End'!$CR$15))))),1,0)</f>
        <v/>
      </c>
      <c r="CV99">
        <f>IF(AND($E99&lt;&gt;"pre",AND(Settings!$A$28&lt;&gt;"",Settings!$E$28&lt;&gt;"No"),Settings!$F$28="Yes",NOT(AND('Month-End'!$CR$16&lt;&gt;"",NOT(_xlfn.ISFORMULA('Month-End'!$CR$16))))),1,0)</f>
        <v/>
      </c>
      <c r="CW99">
        <f>IF(AND($E99&lt;&gt;"pre",AND(Settings!$A$29&lt;&gt;"",Settings!$E$29&lt;&gt;"No"),Settings!$F$29="Yes",NOT(AND('Month-End'!$CR$17&lt;&gt;"",NOT(_xlfn.ISFORMULA('Month-End'!$CR$17))))),1,0)</f>
        <v/>
      </c>
      <c r="CX99">
        <f>IF(AND($E99&lt;&gt;"pre",AND(Settings!$A$30&lt;&gt;"",Settings!$E$30&lt;&gt;"No"),Settings!$F$30="Yes",NOT(AND('Month-End'!$CR$18&lt;&gt;"",NOT(_xlfn.ISFORMULA('Month-End'!$CR$18))))),1,0)</f>
        <v/>
      </c>
      <c r="CY99">
        <f>IF(AND($E99&lt;&gt;"pre",AND(Settings!$A$31&lt;&gt;"",Settings!$E$31&lt;&gt;"No"),Settings!$F$31="Yes",NOT(AND('Month-End'!$CR$19&lt;&gt;"",NOT(_xlfn.ISFORMULA('Month-End'!$CR$19))))),1,0)</f>
        <v/>
      </c>
      <c r="CZ99">
        <f>IF(AND($E99&lt;&gt;"pre",AND(Settings!$A$32&lt;&gt;"",Settings!$E$32&lt;&gt;"No"),Settings!$F$32="Yes",NOT(AND('Month-End'!$CR$20&lt;&gt;"",NOT(_xlfn.ISFORMULA('Month-End'!$CR$20))))),1,0)</f>
        <v/>
      </c>
      <c r="DA99">
        <f>IF($DT99=1,IF(OR(Settings!$B$19="Checking",Settings!$B$19="Savings",Settings!$B$19="Cash"),N($AE99),IF(OR(Settings!$B$19="Card",Settings!$B$19="Loan"),-N($AE99),0))+IF(OR(Settings!$B$20="Checking",Settings!$B$20="Savings",Settings!$B$20="Cash"),N($AF99),IF(OR(Settings!$B$20="Card",Settings!$B$20="Loan"),-N($AF99),0))+IF(OR(Settings!$B$21="Checking",Settings!$B$21="Savings",Settings!$B$21="Cash"),N($AG99),IF(OR(Settings!$B$21="Card",Settings!$B$21="Loan"),-N($AG99),0))+IF(OR(Settings!$B$22="Checking",Settings!$B$22="Savings",Settings!$B$22="Cash"),N($AH99),IF(OR(Settings!$B$22="Card",Settings!$B$22="Loan"),-N($AH99),0))+IF(OR(Settings!$B$23="Checking",Settings!$B$23="Savings",Settings!$B$23="Cash"),N($AI99),IF(OR(Settings!$B$23="Card",Settings!$B$23="Loan"),-N($AI99),0))+IF(OR(Settings!$B$24="Checking",Settings!$B$24="Savings",Settings!$B$24="Cash"),N($AJ99),IF(OR(Settings!$B$24="Card",Settings!$B$24="Loan"),-N($AJ99),0))+IF(OR(Settings!$B$25="Checking",Settings!$B$25="Savings",Settings!$B$25="Cash"),N($AK99),IF(OR(Settings!$B$25="Card",Settings!$B$25="Loan"),-N($AK99),0))+IF(OR(Settings!$B$26="Checking",Settings!$B$26="Savings",Settings!$B$26="Cash"),N($AL99),IF(OR(Settings!$B$26="Card",Settings!$B$26="Loan"),-N($AL99),0))+IF(OR(Settings!$B$27="Checking",Settings!$B$27="Savings",Settings!$B$27="Cash"),N($AM99),IF(OR(Settings!$B$27="Card",Settings!$B$27="Loan"),-N($AM99),0))+IF(OR(Settings!$B$28="Checking",Settings!$B$28="Savings",Settings!$B$28="Cash"),N($AN99),IF(OR(Settings!$B$28="Card",Settings!$B$28="Loan"),-N($AN99),0))+IF(OR(Settings!$B$29="Checking",Settings!$B$29="Savings",Settings!$B$29="Cash"),N($AO99),IF(OR(Settings!$B$29="Card",Settings!$B$29="Loan"),-N($AO99),0))+IF(OR(Settings!$B$30="Checking",Settings!$B$30="Savings",Settings!$B$30="Cash"),N($AP99),IF(OR(Settings!$B$30="Card",Settings!$B$30="Loan"),-N($AP99),0))+IF(OR(Settings!$B$31="Checking",Settings!$B$31="Savings",Settings!$B$31="Cash"),N($AQ99),IF(OR(Settings!$B$31="Card",Settings!$B$31="Loan"),-N($AQ99),0))+IF(OR(Settings!$B$32="Checking",Settings!$B$32="Savings",Settings!$B$32="Cash"),N($AR99),IF(OR(Settings!$B$32="Card",Settings!$B$32="Loan"),-N($AR99),0)),"")</f>
        <v/>
      </c>
      <c r="DB99">
        <f>IF($E99="open",$EB$27,IF($E99="post",IF($E98="pre",$EB$27,$DA98),""))</f>
        <v/>
      </c>
      <c r="DC99">
        <f>IF($E99="open",1,IF($E99="post",IF($E98="pre",1,$DT98),0))</f>
        <v/>
      </c>
      <c r="DD99">
        <f>IF(AND($DT99=1,$DC99=1),ROUND($W99-($DA99-$DB99)-$AD99-$AB99,2),"")</f>
        <v/>
      </c>
      <c r="DE99">
        <f>IF('Month-End'!$CR$35="",$BQ99,N('Month-End'!$CR$35))</f>
        <v/>
      </c>
      <c r="DF99">
        <f>N('Month-End'!$CR$36)</f>
        <v/>
      </c>
      <c r="DG99">
        <f>IF($DD99="","",$DD99+$DE99)</f>
        <v/>
      </c>
      <c r="DH99">
        <f>IF($DG99="","",$DG99-$DF99)</f>
        <v/>
      </c>
      <c r="DI99">
        <f>IF(OR($E99="pre",$D99=1),"",N($AS99)+N($AT99)+N($AU99)+N($AV99)+N($AW99)+N($AX99))</f>
        <v/>
      </c>
      <c r="DJ99">
        <f>IF($DT99=1,$DA99+N($DI99),"")</f>
        <v/>
      </c>
      <c r="DK99">
        <f>IF($DD99="","",$W99-$DD99-$AB99)</f>
        <v/>
      </c>
      <c r="DL99">
        <f>IF(AND($E99="post",$DD99&lt;&gt;"",$B99&lt;TODAY()),1,0)</f>
        <v/>
      </c>
      <c r="DM99">
        <f>IF($DL99=1,COUNTIF($DL99:$DL$183,1),0)</f>
        <v/>
      </c>
      <c r="DN99">
        <f>IF($D99=1,"",IF($E99="pre","History only",IF($DT99=1,IF($DD99="","⚠ Previous month missing",IF($DD99&lt;0,"⚠ Check: spending &lt; 0",IF($E99="open","✓ Done (partial)","✓ Done"))),IF($B99&gt;=TODAY(),"In progress","⚠ Needs balances"))))</f>
        <v/>
      </c>
      <c r="DO99">
        <f>YEAR($A99)</f>
        <v/>
      </c>
      <c r="DP99">
        <f>DATE(YEAR($A99),INT((MONTH($A99)-1)/3)*3+1,1)</f>
        <v/>
      </c>
      <c r="DQ99">
        <f>IF(AND($DT99=1,$DD99&lt;&gt;"",$D99=0),ROW(),0)</f>
        <v/>
      </c>
      <c r="DR99">
        <f>IF(AND($E99&lt;&gt;"pre",$B99&lt;TODAY(),$DT99=0),1,0)</f>
        <v/>
      </c>
      <c r="DS99">
        <f>IF($DJ99="",NA(),$DJ99)</f>
        <v/>
      </c>
      <c r="DT99">
        <f>IF(AND($E99&lt;&gt;"pre",$CL99=0,COUNTIFS(Settings!$F$19:$F$32,"Yes",Settings!$A$19:$A$32,"&lt;&gt;",Settings!$E$19:$E$32,"&lt;&gt;No")&gt;0),1,0)</f>
        <v/>
      </c>
      <c r="DU99">
        <f>IF(AND($B99&lt;TODAY(),$S99&gt;0),1,0)</f>
        <v/>
      </c>
      <c r="DV99">
        <f>IF($DU99=1,COUNTIF($DU99:$DU$183,1),0)</f>
        <v/>
      </c>
      <c r="DW99">
        <f>IF(AND(OR(Settings!$B$19="Card",Settings!$B$19="Loan"),AND('Month-End'!$CR$7&lt;&gt;"",NOT(_xlfn.ISFORMULA('Month-End'!$CR$7)))),IF(N('Month-End'!$CR$7)&lt;0,1,0),0)+IF(AND(OR(Settings!$B$20="Card",Settings!$B$20="Loan"),AND('Month-End'!$CR$8&lt;&gt;"",NOT(_xlfn.ISFORMULA('Month-End'!$CR$8)))),IF(N('Month-End'!$CR$8)&lt;0,1,0),0)+IF(AND(OR(Settings!$B$21="Card",Settings!$B$21="Loan"),AND('Month-End'!$CR$9&lt;&gt;"",NOT(_xlfn.ISFORMULA('Month-End'!$CR$9)))),IF(N('Month-End'!$CR$9)&lt;0,1,0),0)+IF(AND(OR(Settings!$B$22="Card",Settings!$B$22="Loan"),AND('Month-End'!$CR$10&lt;&gt;"",NOT(_xlfn.ISFORMULA('Month-End'!$CR$10)))),IF(N('Month-End'!$CR$10)&lt;0,1,0),0)+IF(AND(OR(Settings!$B$23="Card",Settings!$B$23="Loan"),AND('Month-End'!$CR$11&lt;&gt;"",NOT(_xlfn.ISFORMULA('Month-End'!$CR$11)))),IF(N('Month-End'!$CR$11)&lt;0,1,0),0)+IF(AND(OR(Settings!$B$24="Card",Settings!$B$24="Loan"),AND('Month-End'!$CR$12&lt;&gt;"",NOT(_xlfn.ISFORMULA('Month-End'!$CR$12)))),IF(N('Month-End'!$CR$12)&lt;0,1,0),0)+IF(AND(OR(Settings!$B$25="Card",Settings!$B$25="Loan"),AND('Month-End'!$CR$13&lt;&gt;"",NOT(_xlfn.ISFORMULA('Month-End'!$CR$13)))),IF(N('Month-End'!$CR$13)&lt;0,1,0),0)+IF(AND(OR(Settings!$B$26="Card",Settings!$B$26="Loan"),AND('Month-End'!$CR$14&lt;&gt;"",NOT(_xlfn.ISFORMULA('Month-End'!$CR$14)))),IF(N('Month-End'!$CR$14)&lt;0,1,0),0)+IF(AND(OR(Settings!$B$27="Card",Settings!$B$27="Loan"),AND('Month-End'!$CR$15&lt;&gt;"",NOT(_xlfn.ISFORMULA('Month-End'!$CR$15)))),IF(N('Month-End'!$CR$15)&lt;0,1,0),0)+IF(AND(OR(Settings!$B$28="Card",Settings!$B$28="Loan"),AND('Month-End'!$CR$16&lt;&gt;"",NOT(_xlfn.ISFORMULA('Month-End'!$CR$16)))),IF(N('Month-End'!$CR$16)&lt;0,1,0),0)+IF(AND(OR(Settings!$B$29="Card",Settings!$B$29="Loan"),AND('Month-End'!$CR$17&lt;&gt;"",NOT(_xlfn.ISFORMULA('Month-End'!$CR$17)))),IF(N('Month-End'!$CR$17)&lt;0,1,0),0)+IF(AND(OR(Settings!$B$30="Card",Settings!$B$30="Loan"),AND('Month-End'!$CR$18&lt;&gt;"",NOT(_xlfn.ISFORMULA('Month-End'!$CR$18)))),IF(N('Month-End'!$CR$18)&lt;0,1,0),0)+IF(AND(OR(Settings!$B$31="Card",Settings!$B$31="Loan"),AND('Month-End'!$CR$19&lt;&gt;"",NOT(_xlfn.ISFORMULA('Month-End'!$CR$19)))),IF(N('Month-End'!$CR$19)&lt;0,1,0),0)+IF(AND(OR(Settings!$B$32="Card",Settings!$B$32="Loan"),AND('Month-End'!$CR$20&lt;&gt;"",NOT(_xlfn.ISFORMULA('Month-End'!$CR$20)))),IF(N('Month-End'!$CR$20)&lt;0,1,0),0)</f>
        <v/>
      </c>
      <c r="DX99">
        <f>IF(Settings!$B$36="Retirement",$AY99,0)+IF(Settings!$B$37="Retirement",$AZ99,0)+IF(Settings!$B$38="Retirement",$BA99,0)+IF(Settings!$B$39="Retirement",$BB99,0)+IF(Settings!$B$40="Retirement",$BC99,0)+IF(Settings!$B$41="Retirement",$BD99,0)</f>
        <v/>
      </c>
      <c r="EA99">
        <f>IF(SUMIFS($U$6:$U$183,$DO$6:$DO$183,YEAR(TODAY()))=0,"✓ No income waiting on a tithe decision","ℹ "&amp;TEXT(SUMIFS($U$6:$U$183,$DO$6:$DO$183,YEAR(TODAY())),"$#,##0")&amp;" income this year is marked Not Sure (not counted for tithe yet)")</f>
        <v/>
      </c>
      <c r="EO99" t="inlineStr">
        <is>
          <t>Chart month</t>
        </is>
      </c>
      <c r="ER99" t="inlineStr">
        <is>
          <t>Net worth</t>
        </is>
      </c>
      <c r="ES99" t="inlineStr">
        <is>
          <t>Label</t>
        </is>
      </c>
      <c r="ET99">
        <f>IF($E99&lt;&gt;"open",0,IF(AND('Month-End'!$CR$22&lt;&gt;"",NOT(_xlfn.ISFORMULA('Month-End'!$CR$22))),0,IF(OR(Settings!$C$45="",Settings!$D$45=""),0,Settings!$C$45*IF(Settings!$D$45="Weekly",IF(IFERROR(MATCH(Settings!$E$45,$EO$4:$EO$10,0),0)=0,0,IF(MIN(Settings!$B$5,IF(Settings!$G$45="",Settings!$B$5,Settings!$G$45))&lt;MAX($A99,Settings!$F$45),0,INT((MIN(Settings!$B$5,IF(Settings!$G$45="",Settings!$B$5,Settings!$G$45))-MAX($A99,Settings!$F$45)-MOD(IFERROR(MATCH(Settings!$E$45,$EO$4:$EO$10,0),0)-WEEKDAY(MAX($A99,Settings!$F$45)),7))/7)+1)),IF(AND(IF(Settings!$E$45="",$B99,DATE(YEAR($A99),MONTH($A99),MIN(Settings!$E$45,DAY($B99))))&gt;=MAX($A99,Settings!$F$45),IF(Settings!$E$45="",$B99,DATE(YEAR($A99),MONTH($A99),MIN(Settings!$E$45,DAY($B99))))&lt;=MIN(Settings!$B$5,IF(Settings!$G$45="",Settings!$B$5,Settings!$G$45))),1,0)))))</f>
        <v/>
      </c>
      <c r="EU99">
        <f>IF($E99&lt;&gt;"open",0,IF(AND('Month-End'!$CR$23&lt;&gt;"",NOT(_xlfn.ISFORMULA('Month-End'!$CR$23))),0,IF(OR(Settings!$C$46="",Settings!$D$46=""),0,Settings!$C$46*IF(Settings!$D$46="Weekly",IF(IFERROR(MATCH(Settings!$E$46,$EO$4:$EO$10,0),0)=0,0,IF(MIN(Settings!$B$5,IF(Settings!$G$46="",Settings!$B$5,Settings!$G$46))&lt;MAX($A99,Settings!$F$46),0,INT((MIN(Settings!$B$5,IF(Settings!$G$46="",Settings!$B$5,Settings!$G$46))-MAX($A99,Settings!$F$46)-MOD(IFERROR(MATCH(Settings!$E$46,$EO$4:$EO$10,0),0)-WEEKDAY(MAX($A99,Settings!$F$46)),7))/7)+1)),IF(AND(IF(Settings!$E$46="",$B99,DATE(YEAR($A99),MONTH($A99),MIN(Settings!$E$46,DAY($B99))))&gt;=MAX($A99,Settings!$F$46),IF(Settings!$E$46="",$B99,DATE(YEAR($A99),MONTH($A99),MIN(Settings!$E$46,DAY($B99))))&lt;=MIN(Settings!$B$5,IF(Settings!$G$46="",Settings!$B$5,Settings!$G$46))),1,0)))))</f>
        <v/>
      </c>
      <c r="EV99">
        <f>IF($E99&lt;&gt;"open",0,IF(AND('Month-End'!$CR$24&lt;&gt;"",NOT(_xlfn.ISFORMULA('Month-End'!$CR$24))),0,IF(OR(Settings!$C$47="",Settings!$D$47=""),0,Settings!$C$47*IF(Settings!$D$47="Weekly",IF(IFERROR(MATCH(Settings!$E$47,$EO$4:$EO$10,0),0)=0,0,IF(MIN(Settings!$B$5,IF(Settings!$G$47="",Settings!$B$5,Settings!$G$47))&lt;MAX($A99,Settings!$F$47),0,INT((MIN(Settings!$B$5,IF(Settings!$G$47="",Settings!$B$5,Settings!$G$47))-MAX($A99,Settings!$F$47)-MOD(IFERROR(MATCH(Settings!$E$47,$EO$4:$EO$10,0),0)-WEEKDAY(MAX($A99,Settings!$F$47)),7))/7)+1)),IF(AND(IF(Settings!$E$47="",$B99,DATE(YEAR($A99),MONTH($A99),MIN(Settings!$E$47,DAY($B99))))&gt;=MAX($A99,Settings!$F$47),IF(Settings!$E$47="",$B99,DATE(YEAR($A99),MONTH($A99),MIN(Settings!$E$47,DAY($B99))))&lt;=MIN(Settings!$B$5,IF(Settings!$G$47="",Settings!$B$5,Settings!$G$47))),1,0)))))</f>
        <v/>
      </c>
      <c r="EW99">
        <f>IF($E99&lt;&gt;"open",0,IF(AND('Month-End'!$CR$25&lt;&gt;"",NOT(_xlfn.ISFORMULA('Month-End'!$CR$25))),0,IF(OR(Settings!$C$48="",Settings!$D$48=""),0,Settings!$C$48*IF(Settings!$D$48="Weekly",IF(IFERROR(MATCH(Settings!$E$48,$EO$4:$EO$10,0),0)=0,0,IF(MIN(Settings!$B$5,IF(Settings!$G$48="",Settings!$B$5,Settings!$G$48))&lt;MAX($A99,Settings!$F$48),0,INT((MIN(Settings!$B$5,IF(Settings!$G$48="",Settings!$B$5,Settings!$G$48))-MAX($A99,Settings!$F$48)-MOD(IFERROR(MATCH(Settings!$E$48,$EO$4:$EO$10,0),0)-WEEKDAY(MAX($A99,Settings!$F$48)),7))/7)+1)),IF(AND(IF(Settings!$E$48="",$B99,DATE(YEAR($A99),MONTH($A99),MIN(Settings!$E$48,DAY($B99))))&gt;=MAX($A99,Settings!$F$48),IF(Settings!$E$48="",$B99,DATE(YEAR($A99),MONTH($A99),MIN(Settings!$E$48,DAY($B99))))&lt;=MIN(Settings!$B$5,IF(Settings!$G$48="",Settings!$B$5,Settings!$G$48))),1,0)))))</f>
        <v/>
      </c>
      <c r="EX99">
        <f>IF($E99&lt;&gt;"open",0,IF(AND('Month-End'!$CR$26&lt;&gt;"",NOT(_xlfn.ISFORMULA('Month-End'!$CR$26))),0,IF(OR(Settings!$C$49="",Settings!$D$49=""),0,Settings!$C$49*IF(Settings!$D$49="Weekly",IF(IFERROR(MATCH(Settings!$E$49,$EO$4:$EO$10,0),0)=0,0,IF(MIN(Settings!$B$5,IF(Settings!$G$49="",Settings!$B$5,Settings!$G$49))&lt;MAX($A99,Settings!$F$49),0,INT((MIN(Settings!$B$5,IF(Settings!$G$49="",Settings!$B$5,Settings!$G$49))-MAX($A99,Settings!$F$49)-MOD(IFERROR(MATCH(Settings!$E$49,$EO$4:$EO$10,0),0)-WEEKDAY(MAX($A99,Settings!$F$49)),7))/7)+1)),IF(AND(IF(Settings!$E$49="",$B99,DATE(YEAR($A99),MONTH($A99),MIN(Settings!$E$49,DAY($B99))))&gt;=MAX($A99,Settings!$F$49),IF(Settings!$E$49="",$B99,DATE(YEAR($A99),MONTH($A99),MIN(Settings!$E$49,DAY($B99))))&lt;=MIN(Settings!$B$5,IF(Settings!$G$49="",Settings!$B$5,Settings!$G$49))),1,0)))))</f>
        <v/>
      </c>
      <c r="EY99">
        <f>IF($E99&lt;&gt;"open",0,IF(AND('Month-End'!$CR$27&lt;&gt;"",NOT(_xlfn.ISFORMULA('Month-End'!$CR$27))),0,IF(OR(Settings!$C$50="",Settings!$D$50=""),0,Settings!$C$50*IF(Settings!$D$50="Weekly",IF(IFERROR(MATCH(Settings!$E$50,$EO$4:$EO$10,0),0)=0,0,IF(MIN(Settings!$B$5,IF(Settings!$G$50="",Settings!$B$5,Settings!$G$50))&lt;MAX($A99,Settings!$F$50),0,INT((MIN(Settings!$B$5,IF(Settings!$G$50="",Settings!$B$5,Settings!$G$50))-MAX($A99,Settings!$F$50)-MOD(IFERROR(MATCH(Settings!$E$50,$EO$4:$EO$10,0),0)-WEEKDAY(MAX($A99,Settings!$F$50)),7))/7)+1)),IF(AND(IF(Settings!$E$50="",$B99,DATE(YEAR($A99),MONTH($A99),MIN(Settings!$E$50,DAY($B99))))&gt;=MAX($A99,Settings!$F$50),IF(Settings!$E$50="",$B99,DATE(YEAR($A99),MONTH($A99),MIN(Settings!$E$50,DAY($B99))))&lt;=MIN(Settings!$B$5,IF(Settings!$G$50="",Settings!$B$5,Settings!$G$50))),1,0)))))</f>
        <v/>
      </c>
      <c r="EZ99">
        <f>IF($E99&lt;&gt;"open",0,IF(AND('Month-End'!$CR$28&lt;&gt;"",NOT(_xlfn.ISFORMULA('Month-End'!$CR$28))),0,IF(OR(Settings!$C$51="",Settings!$D$51=""),0,Settings!$C$51*IF(Settings!$D$51="Weekly",IF(IFERROR(MATCH(Settings!$E$51,$EO$4:$EO$10,0),0)=0,0,IF(MIN(Settings!$B$5,IF(Settings!$G$51="",Settings!$B$5,Settings!$G$51))&lt;MAX($A99,Settings!$F$51),0,INT((MIN(Settings!$B$5,IF(Settings!$G$51="",Settings!$B$5,Settings!$G$51))-MAX($A99,Settings!$F$51)-MOD(IFERROR(MATCH(Settings!$E$51,$EO$4:$EO$10,0),0)-WEEKDAY(MAX($A99,Settings!$F$51)),7))/7)+1)),IF(AND(IF(Settings!$E$51="",$B99,DATE(YEAR($A99),MONTH($A99),MIN(Settings!$E$51,DAY($B99))))&gt;=MAX($A99,Settings!$F$51),IF(Settings!$E$51="",$B99,DATE(YEAR($A99),MONTH($A99),MIN(Settings!$E$51,DAY($B99))))&lt;=MIN(Settings!$B$5,IF(Settings!$G$51="",Settings!$B$5,Settings!$G$51))),1,0)))))</f>
        <v/>
      </c>
      <c r="FA99">
        <f>IF($E99&lt;&gt;"open",0,IF(AND('Month-End'!$CR$29&lt;&gt;"",NOT(_xlfn.ISFORMULA('Month-End'!$CR$29))),0,IF(OR(Settings!$C$52="",Settings!$D$52=""),0,Settings!$C$52*IF(Settings!$D$52="Weekly",IF(IFERROR(MATCH(Settings!$E$52,$EO$4:$EO$10,0),0)=0,0,IF(MIN(Settings!$B$5,IF(Settings!$G$52="",Settings!$B$5,Settings!$G$52))&lt;MAX($A99,Settings!$F$52),0,INT((MIN(Settings!$B$5,IF(Settings!$G$52="",Settings!$B$5,Settings!$G$52))-MAX($A99,Settings!$F$52)-MOD(IFERROR(MATCH(Settings!$E$52,$EO$4:$EO$10,0),0)-WEEKDAY(MAX($A99,Settings!$F$52)),7))/7)+1)),IF(AND(IF(Settings!$E$52="",$B99,DATE(YEAR($A99),MONTH($A99),MIN(Settings!$E$52,DAY($B99))))&gt;=MAX($A99,Settings!$F$52),IF(Settings!$E$52="",$B99,DATE(YEAR($A99),MONTH($A99),MIN(Settings!$E$52,DAY($B99))))&lt;=MIN(Settings!$B$5,IF(Settings!$G$52="",Settings!$B$5,Settings!$G$52))),1,0)))))</f>
        <v/>
      </c>
      <c r="FB99">
        <f>IF($E99&lt;&gt;"open",0,IF(AND('Month-End'!$CR$30&lt;&gt;"",NOT(_xlfn.ISFORMULA('Month-End'!$CR$30))),0,IF(OR(Settings!$C$53="",Settings!$D$53=""),0,Settings!$C$53*IF(Settings!$D$53="Weekly",IF(IFERROR(MATCH(Settings!$E$53,$EO$4:$EO$10,0),0)=0,0,IF(MIN(Settings!$B$5,IF(Settings!$G$53="",Settings!$B$5,Settings!$G$53))&lt;MAX($A99,Settings!$F$53),0,INT((MIN(Settings!$B$5,IF(Settings!$G$53="",Settings!$B$5,Settings!$G$53))-MAX($A99,Settings!$F$53)-MOD(IFERROR(MATCH(Settings!$E$53,$EO$4:$EO$10,0),0)-WEEKDAY(MAX($A99,Settings!$F$53)),7))/7)+1)),IF(AND(IF(Settings!$E$53="",$B99,DATE(YEAR($A99),MONTH($A99),MIN(Settings!$E$53,DAY($B99))))&gt;=MAX($A99,Settings!$F$53),IF(Settings!$E$53="",$B99,DATE(YEAR($A99),MONTH($A99),MIN(Settings!$E$53,DAY($B99))))&lt;=MIN(Settings!$B$5,IF(Settings!$G$53="",Settings!$B$5,Settings!$G$53))),1,0)))))</f>
        <v/>
      </c>
      <c r="FC99">
        <f>IF($E99&lt;&gt;"open",0,IF(AND('Month-End'!$CR$31&lt;&gt;"",NOT(_xlfn.ISFORMULA('Month-End'!$CR$31))),0,IF(OR(Settings!$C$54="",Settings!$D$54=""),0,Settings!$C$54*IF(Settings!$D$54="Weekly",IF(IFERROR(MATCH(Settings!$E$54,$EO$4:$EO$10,0),0)=0,0,IF(MIN(Settings!$B$5,IF(Settings!$G$54="",Settings!$B$5,Settings!$G$54))&lt;MAX($A99,Settings!$F$54),0,INT((MIN(Settings!$B$5,IF(Settings!$G$54="",Settings!$B$5,Settings!$G$54))-MAX($A99,Settings!$F$54)-MOD(IFERROR(MATCH(Settings!$E$54,$EO$4:$EO$10,0),0)-WEEKDAY(MAX($A99,Settings!$F$54)),7))/7)+1)),IF(AND(IF(Settings!$E$54="",$B99,DATE(YEAR($A99),MONTH($A99),MIN(Settings!$E$54,DAY($B99))))&gt;=MAX($A99,Settings!$F$54),IF(Settings!$E$54="",$B99,DATE(YEAR($A99),MONTH($A99),MIN(Settings!$E$54,DAY($B99))))&lt;=MIN(Settings!$B$5,IF(Settings!$G$54="",Settings!$B$5,Settings!$G$54))),1,0)))))</f>
        <v/>
      </c>
      <c r="FD99">
        <f>IF($E99&lt;&gt;"open",0,IF(AND('Month-End'!$CR$32&lt;&gt;"",NOT(_xlfn.ISFORMULA('Month-End'!$CR$32))),0,IF(OR(Settings!$C$55="",Settings!$D$55=""),0,Settings!$C$55*IF(Settings!$D$55="Weekly",IF(IFERROR(MATCH(Settings!$E$55,$EO$4:$EO$10,0),0)=0,0,IF(MIN(Settings!$B$5,IF(Settings!$G$55="",Settings!$B$5,Settings!$G$55))&lt;MAX($A99,Settings!$F$55),0,INT((MIN(Settings!$B$5,IF(Settings!$G$55="",Settings!$B$5,Settings!$G$55))-MAX($A99,Settings!$F$55)-MOD(IFERROR(MATCH(Settings!$E$55,$EO$4:$EO$10,0),0)-WEEKDAY(MAX($A99,Settings!$F$55)),7))/7)+1)),IF(AND(IF(Settings!$E$55="",$B99,DATE(YEAR($A99),MONTH($A99),MIN(Settings!$E$55,DAY($B99))))&gt;=MAX($A99,Settings!$F$55),IF(Settings!$E$55="",$B99,DATE(YEAR($A99),MONTH($A99),MIN(Settings!$E$55,DAY($B99))))&lt;=MIN(Settings!$B$5,IF(Settings!$G$55="",Settings!$B$5,Settings!$G$55))),1,0)))))</f>
        <v/>
      </c>
      <c r="FE99">
        <f>IF($E99&lt;&gt;"open",0,IF(AND('Month-End'!$CR$33&lt;&gt;"",NOT(_xlfn.ISFORMULA('Month-End'!$CR$33))),0,IF(OR(Settings!$C$56="",Settings!$D$56=""),0,Settings!$C$56*IF(Settings!$D$56="Weekly",IF(IFERROR(MATCH(Settings!$E$56,$EO$4:$EO$10,0),0)=0,0,IF(MIN(Settings!$B$5,IF(Settings!$G$56="",Settings!$B$5,Settings!$G$56))&lt;MAX($A99,Settings!$F$56),0,INT((MIN(Settings!$B$5,IF(Settings!$G$56="",Settings!$B$5,Settings!$G$56))-MAX($A99,Settings!$F$56)-MOD(IFERROR(MATCH(Settings!$E$56,$EO$4:$EO$10,0),0)-WEEKDAY(MAX($A99,Settings!$F$56)),7))/7)+1)),IF(AND(IF(Settings!$E$56="",$B99,DATE(YEAR($A99),MONTH($A99),MIN(Settings!$E$56,DAY($B99))))&gt;=MAX($A99,Settings!$F$56),IF(Settings!$E$56="",$B99,DATE(YEAR($A99),MONTH($A99),MIN(Settings!$E$56,DAY($B99))))&lt;=MIN(Settings!$B$5,IF(Settings!$G$56="",Settings!$B$5,Settings!$G$56))),1,0)))))</f>
        <v/>
      </c>
      <c r="FF99">
        <f>IF(Settings!$I$45="Yes",$G99,0)+IF(Settings!$I$46="Yes",$H99,0)+IF(Settings!$I$47="Yes",$I99,0)+IF(Settings!$I$48="Yes",$J99,0)+IF(Settings!$I$49="Yes",$K99,0)+IF(Settings!$I$50="Yes",$L99,0)+IF(Settings!$I$51="Yes",$M99,0)+IF(Settings!$I$52="Yes",$N99,0)+IF(Settings!$I$53="Yes",$O99,0)+IF(Settings!$I$54="Yes",$P99,0)+IF(Settings!$I$55="Yes",$Q99,0)+IF(Settings!$I$56="Yes",$R99,0)</f>
        <v/>
      </c>
      <c r="FG99">
        <f>IF(AND(Settings!$I$45="Yes",Settings!$J$45="No"),$G99,0)+IF(AND(Settings!$I$46="Yes",Settings!$J$46="No"),$H99,0)+IF(AND(Settings!$I$47="Yes",Settings!$J$47="No"),$I99,0)+IF(AND(Settings!$I$48="Yes",Settings!$J$48="No"),$J99,0)+IF(AND(Settings!$I$49="Yes",Settings!$J$49="No"),$K99,0)+IF(AND(Settings!$I$50="Yes",Settings!$J$50="No"),$L99,0)+IF(AND(Settings!$I$51="Yes",Settings!$J$51="No"),$M99,0)+IF(AND(Settings!$I$52="Yes",Settings!$J$52="No"),$N99,0)+IF(AND(Settings!$I$53="Yes",Settings!$J$53="No"),$O99,0)+IF(AND(Settings!$I$54="Yes",Settings!$J$54="No"),$P99,0)+IF(AND(Settings!$I$55="Yes",Settings!$J$55="No"),$Q99,0)+IF(AND(Settings!$I$56="Yes",Settings!$J$56="No"),$R99,0)</f>
        <v/>
      </c>
      <c r="FH99">
        <f>SUMIFS(Giving!$B$7:$B$2006,Giving!$A$7:$A$2006,"&gt;="&amp;$A99,Giving!$A$7:$A$2006,"&lt;="&amp;$B99,Giving!$G$7:$G$2006,"Yes")+IF(OR(OR(Settings!$B$60="",Settings!$F$60="No"),Settings!$H$60&lt;&gt;"Yes"),0,Settings!$B$60*IF(AND(IF(Settings!$C$60="",$B99,DATE(YEAR($A99),MONTH($A99),MIN(Settings!$C$60,DAY($B99))))&gt;=MAX($A99,Settings!$D$60),IF(Settings!$C$60="",$B99,DATE(YEAR($A99),MONTH($A99),MIN(Settings!$C$60,DAY($B99))))&lt;=MIN($C99,IF(Settings!$E$60="",$C99,Settings!$E$60))),1,0))+IF(OR(OR(Settings!$B$61="",Settings!$F$61="No"),Settings!$H$61&lt;&gt;"Yes"),0,Settings!$B$61*IF(AND(IF(Settings!$C$61="",$B99,DATE(YEAR($A99),MONTH($A99),MIN(Settings!$C$61,DAY($B99))))&gt;=MAX($A99,Settings!$D$61),IF(Settings!$C$61="",$B99,DATE(YEAR($A99),MONTH($A99),MIN(Settings!$C$61,DAY($B99))))&lt;=MIN($C99,IF(Settings!$E$61="",$C99,Settings!$E$61))),1,0))+IF(OR(OR(Settings!$B$62="",Settings!$F$62="No"),Settings!$H$62&lt;&gt;"Yes"),0,Settings!$B$62*IF(AND(IF(Settings!$C$62="",$B99,DATE(YEAR($A99),MONTH($A99),MIN(Settings!$C$62,DAY($B99))))&gt;=MAX($A99,Settings!$D$62),IF(Settings!$C$62="",$B99,DATE(YEAR($A99),MONTH($A99),MIN(Settings!$C$62,DAY($B99))))&lt;=MIN($C99,IF(Settings!$E$62="",$C99,Settings!$E$62))),1,0))+IF(OR(OR(Settings!$B$63="",Settings!$F$63="No"),Settings!$H$63&lt;&gt;"Yes"),0,Settings!$B$63*IF(AND(IF(Settings!$C$63="",$B99,DATE(YEAR($A99),MONTH($A99),MIN(Settings!$C$63,DAY($B99))))&gt;=MAX($A99,Settings!$D$63),IF(Settings!$C$63="",$B99,DATE(YEAR($A99),MONTH($A99),MIN(Settings!$C$63,DAY($B99))))&lt;=MIN($C99,IF(Settings!$E$63="",$C99,Settings!$E$63))),1,0))+IF(OR(OR(Settings!$B$64="",Settings!$F$64="No"),Settings!$H$64&lt;&gt;"Yes"),0,Settings!$B$64*IF(AND(IF(Settings!$C$64="",$B99,DATE(YEAR($A99),MONTH($A99),MIN(Settings!$C$64,DAY($B99))))&gt;=MAX($A99,Settings!$D$64),IF(Settings!$C$64="",$B99,DATE(YEAR($A99),MONTH($A99),MIN(Settings!$C$64,DAY($B99))))&lt;=MIN($C99,IF(Settings!$E$64="",$C99,Settings!$E$64))),1,0))+IF(OR(OR(Settings!$B$65="",Settings!$F$65="No"),Settings!$H$65&lt;&gt;"Yes"),0,Settings!$B$65*IF(AND(IF(Settings!$C$65="",$B99,DATE(YEAR($A99),MONTH($A99),MIN(Settings!$C$65,DAY($B99))))&gt;=MAX($A99,Settings!$D$65),IF(Settings!$C$65="",$B99,DATE(YEAR($A99),MONTH($A99),MIN(Settings!$C$65,DAY($B99))))&lt;=MIN($C99,IF(Settings!$E$65="",$C99,Settings!$E$65))),1,0))</f>
        <v/>
      </c>
      <c r="FI99">
        <f>IF($DT99=1,IF(OR(Settings!$B$19="Card",Settings!$B$19="Loan"),N($AE99),0)+IF(OR(Settings!$B$20="Card",Settings!$B$20="Loan"),N($AF99),0)+IF(OR(Settings!$B$21="Card",Settings!$B$21="Loan"),N($AG99),0)+IF(OR(Settings!$B$22="Card",Settings!$B$22="Loan"),N($AH99),0)+IF(OR(Settings!$B$23="Card",Settings!$B$23="Loan"),N($AI99),0)+IF(OR(Settings!$B$24="Card",Settings!$B$24="Loan"),N($AJ99),0)+IF(OR(Settings!$B$25="Card",Settings!$B$25="Loan"),N($AK99),0)+IF(OR(Settings!$B$26="Card",Settings!$B$26="Loan"),N($AL99),0)+IF(OR(Settings!$B$27="Card",Settings!$B$27="Loan"),N($AM99),0)+IF(OR(Settings!$B$28="Card",Settings!$B$28="Loan"),N($AN99),0)+IF(OR(Settings!$B$29="Card",Settings!$B$29="Loan"),N($AO99),0)+IF(OR(Settings!$B$30="Card",Settings!$B$30="Loan"),N($AP99),0)+IF(OR(Settings!$B$31="Card",Settings!$B$31="Loan"),N($AQ99),0)+IF(OR(Settings!$B$32="Card",Settings!$B$32="Loan"),N($AR99),0),"")</f>
        <v/>
      </c>
      <c r="FJ99">
        <f>IF($E99="open",$EB$65,IF($E99="post",IF($E98="pre",$EB$65,$FI98),""))</f>
        <v/>
      </c>
      <c r="FK99">
        <f>IF(AND($DT99=1,$DC99=1),IF(ROUND($FI99-$FJ99,2)&gt;0,1,0),0)</f>
        <v/>
      </c>
      <c r="FL99">
        <f>IF($FK99=1,$FL98+1,0)</f>
        <v/>
      </c>
    </row>
    <row r="100">
      <c r="A100">
        <f>'Month-End'!$CS$4</f>
        <v/>
      </c>
      <c r="B100">
        <f>EOMONTH($A100,0)</f>
        <v/>
      </c>
      <c r="C100">
        <f>MIN($B100,TODAY())</f>
        <v/>
      </c>
      <c r="D100">
        <f>IF($A100&gt;TODAY(),1,0)</f>
        <v/>
      </c>
      <c r="E100">
        <f>IF($B100&lt;=Settings!$B$5,"pre",IF($A100&lt;=Settings!$B$5,"open","post"))</f>
        <v/>
      </c>
      <c r="G100">
        <f>IF('Month-End'!$CS$22="",$BE100,N('Month-End'!$CS$22))</f>
        <v/>
      </c>
      <c r="H100">
        <f>IF('Month-End'!$CS$23="",$BF100,N('Month-End'!$CS$23))</f>
        <v/>
      </c>
      <c r="I100">
        <f>IF('Month-End'!$CS$24="",$BG100,N('Month-End'!$CS$24))</f>
        <v/>
      </c>
      <c r="J100">
        <f>IF('Month-End'!$CS$25="",$BH100,N('Month-End'!$CS$25))</f>
        <v/>
      </c>
      <c r="K100">
        <f>IF('Month-End'!$CS$26="",$BI100,N('Month-End'!$CS$26))</f>
        <v/>
      </c>
      <c r="L100">
        <f>IF('Month-End'!$CS$27="",$BJ100,N('Month-End'!$CS$27))</f>
        <v/>
      </c>
      <c r="M100">
        <f>IF('Month-End'!$CS$28="",$BK100,N('Month-End'!$CS$28))</f>
        <v/>
      </c>
      <c r="N100">
        <f>IF('Month-End'!$CS$29="",$BL100,N('Month-End'!$CS$29))</f>
        <v/>
      </c>
      <c r="O100">
        <f>IF('Month-End'!$CS$30="",$BM100,N('Month-End'!$CS$30))</f>
        <v/>
      </c>
      <c r="P100">
        <f>IF('Month-End'!$CS$31="",$BN100,N('Month-End'!$CS$31))</f>
        <v/>
      </c>
      <c r="Q100">
        <f>IF('Month-End'!$CS$32="",$BO100,N('Month-End'!$CS$32))</f>
        <v/>
      </c>
      <c r="R100">
        <f>IF('Month-End'!$CS$33="",$BP100,N('Month-End'!$CS$33))</f>
        <v/>
      </c>
      <c r="S100">
        <f>$G100+$H100+$I100+$J100+$K100+$L100+$M100+$N100+$O100+$P100+$Q100+$R100</f>
        <v/>
      </c>
      <c r="T100">
        <f>IF($B100&lt;Settings!$B$6,0,IF(Settings!$B$45="Yes",$G100,0)+IF(Settings!$B$46="Yes",$H100,0)+IF(Settings!$B$47="Yes",$I100,0)+IF(Settings!$B$48="Yes",$J100,0)+IF(Settings!$B$49="Yes",$K100,0)+IF(Settings!$B$50="Yes",$L100,0)+IF(Settings!$B$51="Yes",$M100,0)+IF(Settings!$B$52="Yes",$N100,0)+IF(Settings!$B$53="Yes",$O100,0)+IF(Settings!$B$54="Yes",$P100,0)+IF(Settings!$B$55="Yes",$Q100,0)+IF(Settings!$B$56="Yes",$R100,0))</f>
        <v/>
      </c>
      <c r="U100">
        <f>IF(Settings!$B$45="Not Sure",$G100,0)+IF(Settings!$B$46="Not Sure",$H100,0)+IF(Settings!$B$47="Not Sure",$I100,0)+IF(Settings!$B$48="Not Sure",$J100,0)+IF(Settings!$B$49="Not Sure",$K100,0)+IF(Settings!$B$50="Not Sure",$L100,0)+IF(Settings!$B$51="Not Sure",$M100,0)+IF(Settings!$B$52="Not Sure",$N100,0)+IF(Settings!$B$53="Not Sure",$O100,0)+IF(Settings!$B$54="Not Sure",$P100,0)+IF(Settings!$B$55="Not Sure",$Q100,0)+IF(Settings!$B$56="Not Sure",$R100,0)</f>
        <v/>
      </c>
      <c r="V100">
        <f>IF($E100="open",SUM($ET100:$FE100)+N(Settings!$B$13),0)</f>
        <v/>
      </c>
      <c r="W100">
        <f>IF($E100="post",$S100,IF($E100="open",$S100-$V100,0))</f>
        <v/>
      </c>
      <c r="X100">
        <f>SUMIFS(Giving!$B$7:$B$2006,Giving!$A$7:$A$2006,"&gt;="&amp;$A100,Giving!$A$7:$A$2006,"&lt;="&amp;$B100,Giving!$E$7:$E$2006,"&lt;&gt;No")</f>
        <v/>
      </c>
      <c r="Y100">
        <f>SUMIFS(Giving!$B$7:$B$2006,Giving!$A$7:$A$2006,"&gt;="&amp;$A100,Giving!$A$7:$A$2006,"&lt;="&amp;$B100,Giving!$E$7:$E$2006,"No")</f>
        <v/>
      </c>
      <c r="Z100">
        <f>IF(OR(Settings!$B$60="",Settings!$F$60="No"),0,Settings!$B$60*IF(AND(IF(Settings!$C$60="",$B100,DATE(YEAR($A100),MONTH($A100),MIN(Settings!$C$60,DAY($B100))))&gt;=MAX($A100,Settings!$D$60),IF(Settings!$C$60="",$B100,DATE(YEAR($A100),MONTH($A100),MIN(Settings!$C$60,DAY($B100))))&lt;=MIN($C100,IF(Settings!$E$60="",$C100,Settings!$E$60))),1,0))+IF(OR(Settings!$B$61="",Settings!$F$61="No"),0,Settings!$B$61*IF(AND(IF(Settings!$C$61="",$B100,DATE(YEAR($A100),MONTH($A100),MIN(Settings!$C$61,DAY($B100))))&gt;=MAX($A100,Settings!$D$61),IF(Settings!$C$61="",$B100,DATE(YEAR($A100),MONTH($A100),MIN(Settings!$C$61,DAY($B100))))&lt;=MIN($C100,IF(Settings!$E$61="",$C100,Settings!$E$61))),1,0))+IF(OR(Settings!$B$62="",Settings!$F$62="No"),0,Settings!$B$62*IF(AND(IF(Settings!$C$62="",$B100,DATE(YEAR($A100),MONTH($A100),MIN(Settings!$C$62,DAY($B100))))&gt;=MAX($A100,Settings!$D$62),IF(Settings!$C$62="",$B100,DATE(YEAR($A100),MONTH($A100),MIN(Settings!$C$62,DAY($B100))))&lt;=MIN($C100,IF(Settings!$E$62="",$C100,Settings!$E$62))),1,0))+IF(OR(Settings!$B$63="",Settings!$F$63="No"),0,Settings!$B$63*IF(AND(IF(Settings!$C$63="",$B100,DATE(YEAR($A100),MONTH($A100),MIN(Settings!$C$63,DAY($B100))))&gt;=MAX($A100,Settings!$D$63),IF(Settings!$C$63="",$B100,DATE(YEAR($A100),MONTH($A100),MIN(Settings!$C$63,DAY($B100))))&lt;=MIN($C100,IF(Settings!$E$63="",$C100,Settings!$E$63))),1,0))+IF(OR(Settings!$B$64="",Settings!$F$64="No"),0,Settings!$B$64*IF(AND(IF(Settings!$C$64="",$B100,DATE(YEAR($A100),MONTH($A100),MIN(Settings!$C$64,DAY($B100))))&gt;=MAX($A100,Settings!$D$64),IF(Settings!$C$64="",$B100,DATE(YEAR($A100),MONTH($A100),MIN(Settings!$C$64,DAY($B100))))&lt;=MIN($C100,IF(Settings!$E$64="",$C100,Settings!$E$64))),1,0))+IF(OR(Settings!$B$65="",Settings!$F$65="No"),0,Settings!$B$65*IF(AND(IF(Settings!$C$65="",$B100,DATE(YEAR($A100),MONTH($A100),MIN(Settings!$C$65,DAY($B100))))&gt;=MAX($A100,Settings!$D$65),IF(Settings!$C$65="",$B100,DATE(YEAR($A100),MONTH($A100),MIN(Settings!$C$65,DAY($B100))))&lt;=MIN($C100,IF(Settings!$E$65="",$C100,Settings!$E$65))),1,0))</f>
        <v/>
      </c>
      <c r="AA100">
        <f>$X100+$Z100</f>
        <v/>
      </c>
      <c r="AB100">
        <f>IF($E100="post",$AA100,IF($E100="open",SUMIFS(Giving!$B$7:$B$2006,Giving!$A$7:$A$2006,"&gt;"&amp;Settings!$B$5,Giving!$A$7:$A$2006,"&lt;="&amp;$B100,Giving!$E$7:$E$2006,"&lt;&gt;No")+IF(OR(Settings!$B$60="",Settings!$F$60="No"),0,Settings!$B$60*IF(AND(IF(Settings!$C$60="",$B100,DATE(YEAR($A100),MONTH($A100),MIN(Settings!$C$60,DAY($B100))))&gt;=MAX($A100,Settings!$D$60,Settings!$B$5+1),IF(Settings!$C$60="",$B100,DATE(YEAR($A100),MONTH($A100),MIN(Settings!$C$60,DAY($B100))))&lt;=MIN($C100,IF(Settings!$E$60="",$C100,Settings!$E$60))),1,0))+IF(OR(Settings!$B$61="",Settings!$F$61="No"),0,Settings!$B$61*IF(AND(IF(Settings!$C$61="",$B100,DATE(YEAR($A100),MONTH($A100),MIN(Settings!$C$61,DAY($B100))))&gt;=MAX($A100,Settings!$D$61,Settings!$B$5+1),IF(Settings!$C$61="",$B100,DATE(YEAR($A100),MONTH($A100),MIN(Settings!$C$61,DAY($B100))))&lt;=MIN($C100,IF(Settings!$E$61="",$C100,Settings!$E$61))),1,0))+IF(OR(Settings!$B$62="",Settings!$F$62="No"),0,Settings!$B$62*IF(AND(IF(Settings!$C$62="",$B100,DATE(YEAR($A100),MONTH($A100),MIN(Settings!$C$62,DAY($B100))))&gt;=MAX($A100,Settings!$D$62,Settings!$B$5+1),IF(Settings!$C$62="",$B100,DATE(YEAR($A100),MONTH($A100),MIN(Settings!$C$62,DAY($B100))))&lt;=MIN($C100,IF(Settings!$E$62="",$C100,Settings!$E$62))),1,0))+IF(OR(Settings!$B$63="",Settings!$F$63="No"),0,Settings!$B$63*IF(AND(IF(Settings!$C$63="",$B100,DATE(YEAR($A100),MONTH($A100),MIN(Settings!$C$63,DAY($B100))))&gt;=MAX($A100,Settings!$D$63,Settings!$B$5+1),IF(Settings!$C$63="",$B100,DATE(YEAR($A100),MONTH($A100),MIN(Settings!$C$63,DAY($B100))))&lt;=MIN($C100,IF(Settings!$E$63="",$C100,Settings!$E$63))),1,0))+IF(OR(Settings!$B$64="",Settings!$F$64="No"),0,Settings!$B$64*IF(AND(IF(Settings!$C$64="",$B100,DATE(YEAR($A100),MONTH($A100),MIN(Settings!$C$64,DAY($B100))))&gt;=MAX($A100,Settings!$D$64,Settings!$B$5+1),IF(Settings!$C$64="",$B100,DATE(YEAR($A100),MONTH($A100),MIN(Settings!$C$64,DAY($B100))))&lt;=MIN($C100,IF(Settings!$E$64="",$C100,Settings!$E$64))),1,0))+IF(OR(Settings!$B$65="",Settings!$F$65="No"),0,Settings!$B$65*IF(AND(IF(Settings!$C$65="",$B100,DATE(YEAR($A100),MONTH($A100),MIN(Settings!$C$65,DAY($B100))))&gt;=MAX($A100,Settings!$D$65,Settings!$B$5+1),IF(Settings!$C$65="",$B100,DATE(YEAR($A100),MONTH($A100),MIN(Settings!$C$65,DAY($B100))))&lt;=MIN($C100,IF(Settings!$E$65="",$C100,Settings!$E$65))),1,0)),0))</f>
        <v/>
      </c>
      <c r="AC100">
        <f>$AY100+$AZ100+$BA100+$BB100+$BC100+$BD100</f>
        <v/>
      </c>
      <c r="AD100">
        <f>$AC100</f>
        <v/>
      </c>
      <c r="AE100">
        <f>IF(OR(Settings!$A$19="",$E100="pre"),"",IF(AND('Month-End'!$CS$7&lt;&gt;"",NOT(_xlfn.ISFORMULA('Month-End'!$CS$7))),N('Month-End'!$CS$7),IF(OR($E100="open",$E99="pre"),N(Settings!$C$19),N($AE99))))</f>
        <v/>
      </c>
      <c r="AF100">
        <f>IF(OR(Settings!$A$20="",$E100="pre"),"",IF(AND('Month-End'!$CS$8&lt;&gt;"",NOT(_xlfn.ISFORMULA('Month-End'!$CS$8))),N('Month-End'!$CS$8),IF(OR($E100="open",$E99="pre"),N(Settings!$C$20),N($AF99))))</f>
        <v/>
      </c>
      <c r="AG100">
        <f>IF(OR(Settings!$A$21="",$E100="pre"),"",IF(AND('Month-End'!$CS$9&lt;&gt;"",NOT(_xlfn.ISFORMULA('Month-End'!$CS$9))),N('Month-End'!$CS$9),IF(OR($E100="open",$E99="pre"),N(Settings!$C$21),N($AG99))))</f>
        <v/>
      </c>
      <c r="AH100">
        <f>IF(OR(Settings!$A$22="",$E100="pre"),"",IF(AND('Month-End'!$CS$10&lt;&gt;"",NOT(_xlfn.ISFORMULA('Month-End'!$CS$10))),N('Month-End'!$CS$10),IF(OR($E100="open",$E99="pre"),N(Settings!$C$22),N($AH99))))</f>
        <v/>
      </c>
      <c r="AI100">
        <f>IF(OR(Settings!$A$23="",$E100="pre"),"",IF(AND('Month-End'!$CS$11&lt;&gt;"",NOT(_xlfn.ISFORMULA('Month-End'!$CS$11))),N('Month-End'!$CS$11),IF(OR($E100="open",$E99="pre"),N(Settings!$C$23),N($AI99))))</f>
        <v/>
      </c>
      <c r="AJ100">
        <f>IF(OR(Settings!$A$24="",$E100="pre"),"",IF(AND('Month-End'!$CS$12&lt;&gt;"",NOT(_xlfn.ISFORMULA('Month-End'!$CS$12))),N('Month-End'!$CS$12),IF(OR($E100="open",$E99="pre"),N(Settings!$C$24),N($AJ99))))</f>
        <v/>
      </c>
      <c r="AK100">
        <f>IF(OR(Settings!$A$25="",$E100="pre"),"",IF(AND('Month-End'!$CS$13&lt;&gt;"",NOT(_xlfn.ISFORMULA('Month-End'!$CS$13))),N('Month-End'!$CS$13),IF(OR($E100="open",$E99="pre"),N(Settings!$C$25),N($AK99))))</f>
        <v/>
      </c>
      <c r="AL100">
        <f>IF(OR(Settings!$A$26="",$E100="pre"),"",IF(AND('Month-End'!$CS$14&lt;&gt;"",NOT(_xlfn.ISFORMULA('Month-End'!$CS$14))),N('Month-End'!$CS$14),IF(OR($E100="open",$E99="pre"),N(Settings!$C$26),N($AL99))))</f>
        <v/>
      </c>
      <c r="AM100">
        <f>IF(OR(Settings!$A$27="",$E100="pre"),"",IF(AND('Month-End'!$CS$15&lt;&gt;"",NOT(_xlfn.ISFORMULA('Month-End'!$CS$15))),N('Month-End'!$CS$15),IF(OR($E100="open",$E99="pre"),N(Settings!$C$27),N($AM99))))</f>
        <v/>
      </c>
      <c r="AN100">
        <f>IF(OR(Settings!$A$28="",$E100="pre"),"",IF(AND('Month-End'!$CS$16&lt;&gt;"",NOT(_xlfn.ISFORMULA('Month-End'!$CS$16))),N('Month-End'!$CS$16),IF(OR($E100="open",$E99="pre"),N(Settings!$C$28),N($AN99))))</f>
        <v/>
      </c>
      <c r="AO100">
        <f>IF(OR(Settings!$A$29="",$E100="pre"),"",IF(AND('Month-End'!$CS$17&lt;&gt;"",NOT(_xlfn.ISFORMULA('Month-End'!$CS$17))),N('Month-End'!$CS$17),IF(OR($E100="open",$E99="pre"),N(Settings!$C$29),N($AO99))))</f>
        <v/>
      </c>
      <c r="AP100">
        <f>IF(OR(Settings!$A$30="",$E100="pre"),"",IF(AND('Month-End'!$CS$18&lt;&gt;"",NOT(_xlfn.ISFORMULA('Month-End'!$CS$18))),N('Month-End'!$CS$18),IF(OR($E100="open",$E99="pre"),N(Settings!$C$30),N($AP99))))</f>
        <v/>
      </c>
      <c r="AQ100">
        <f>IF(OR(Settings!$A$31="",$E100="pre"),"",IF(AND('Month-End'!$CS$19&lt;&gt;"",NOT(_xlfn.ISFORMULA('Month-End'!$CS$19))),N('Month-End'!$CS$19),IF(OR($E100="open",$E99="pre"),N(Settings!$C$31),N($AQ99))))</f>
        <v/>
      </c>
      <c r="AR100">
        <f>IF(OR(Settings!$A$32="",$E100="pre"),"",IF(AND('Month-End'!$CS$20&lt;&gt;"",NOT(_xlfn.ISFORMULA('Month-End'!$CS$20))),N('Month-End'!$CS$20),IF(OR($E100="open",$E99="pre"),N(Settings!$C$32),N($AR99))))</f>
        <v/>
      </c>
      <c r="AS100">
        <f>IF(OR(Settings!$A$36="",$E100="pre"),"",IF(AND('Month-End'!$CS$38&lt;&gt;"",NOT(_xlfn.ISFORMULA('Month-End'!$CS$38))),N('Month-End'!$CS$38),IF(OR($E100="open",$E99="pre"),N(Settings!$C$36),N($AS99))+$AY100))</f>
        <v/>
      </c>
      <c r="AT100">
        <f>IF(OR(Settings!$A$37="",$E100="pre"),"",IF(AND('Month-End'!$CS$39&lt;&gt;"",NOT(_xlfn.ISFORMULA('Month-End'!$CS$39))),N('Month-End'!$CS$39),IF(OR($E100="open",$E99="pre"),N(Settings!$C$37),N($AT99))+$AZ100))</f>
        <v/>
      </c>
      <c r="AU100">
        <f>IF(OR(Settings!$A$38="",$E100="pre"),"",IF(AND('Month-End'!$CS$40&lt;&gt;"",NOT(_xlfn.ISFORMULA('Month-End'!$CS$40))),N('Month-End'!$CS$40),IF(OR($E100="open",$E99="pre"),N(Settings!$C$38),N($AU99))+$BA100))</f>
        <v/>
      </c>
      <c r="AV100">
        <f>IF(OR(Settings!$A$39="",$E100="pre"),"",IF(AND('Month-End'!$CS$41&lt;&gt;"",NOT(_xlfn.ISFORMULA('Month-End'!$CS$41))),N('Month-End'!$CS$41),IF(OR($E100="open",$E99="pre"),N(Settings!$C$39),N($AV99))+$BB100))</f>
        <v/>
      </c>
      <c r="AW100">
        <f>IF(OR(Settings!$A$40="",$E100="pre"),"",IF(AND('Month-End'!$CS$42&lt;&gt;"",NOT(_xlfn.ISFORMULA('Month-End'!$CS$42))),N('Month-End'!$CS$42),IF(OR($E100="open",$E99="pre"),N(Settings!$C$40),N($AW99))+$BC100))</f>
        <v/>
      </c>
      <c r="AX100">
        <f>IF(OR(Settings!$A$41="",$E100="pre"),"",IF(AND('Month-End'!$CS$43&lt;&gt;"",NOT(_xlfn.ISFORMULA('Month-End'!$CS$43))),N('Month-End'!$CS$43),IF(OR($E100="open",$E99="pre"),N(Settings!$C$41),N($AX99))+$BD100))</f>
        <v/>
      </c>
      <c r="AY100">
        <f>IF($E100="pre",0,N('Month-End'!$CS$45))</f>
        <v/>
      </c>
      <c r="AZ100">
        <f>IF($E100="pre",0,N('Month-End'!$CS$46))</f>
        <v/>
      </c>
      <c r="BA100">
        <f>IF($E100="pre",0,N('Month-End'!$CS$47))</f>
        <v/>
      </c>
      <c r="BB100">
        <f>IF($E100="pre",0,N('Month-End'!$CS$48))</f>
        <v/>
      </c>
      <c r="BC100">
        <f>IF($E100="pre",0,N('Month-End'!$CS$49))</f>
        <v/>
      </c>
      <c r="BD100">
        <f>IF($E100="pre",0,N('Month-End'!$CS$50))</f>
        <v/>
      </c>
      <c r="BE100">
        <f>IF(OR(Settings!$C$45="",Settings!$D$45=""),0,Settings!$C$45*IF(Settings!$D$45="Weekly",IF(IFERROR(MATCH(Settings!$E$45,$EO$4:$EO$10,0),0)=0,0,IF(MIN($C100,IF(Settings!$G$45="",$C100,Settings!$G$45))&lt;MAX($A100,Settings!$F$45),0,INT((MIN($C100,IF(Settings!$G$45="",$C100,Settings!$G$45))-MAX($A100,Settings!$F$45)-MOD(IFERROR(MATCH(Settings!$E$45,$EO$4:$EO$10,0),0)-WEEKDAY(MAX($A100,Settings!$F$45)),7))/7)+1)),IF(AND(IF(Settings!$E$45="",$B100,DATE(YEAR($A100),MONTH($A100),MIN(Settings!$E$45,DAY($B100))))&gt;=MAX($A100,Settings!$F$45),IF(Settings!$E$45="",$B100,DATE(YEAR($A100),MONTH($A100),MIN(Settings!$E$45,DAY($B100))))&lt;=MIN($C100,IF(Settings!$G$45="",$C100,Settings!$G$45))),1,0)))</f>
        <v/>
      </c>
      <c r="BF100">
        <f>IF(OR(Settings!$C$46="",Settings!$D$46=""),0,Settings!$C$46*IF(Settings!$D$46="Weekly",IF(IFERROR(MATCH(Settings!$E$46,$EO$4:$EO$10,0),0)=0,0,IF(MIN($C100,IF(Settings!$G$46="",$C100,Settings!$G$46))&lt;MAX($A100,Settings!$F$46),0,INT((MIN($C100,IF(Settings!$G$46="",$C100,Settings!$G$46))-MAX($A100,Settings!$F$46)-MOD(IFERROR(MATCH(Settings!$E$46,$EO$4:$EO$10,0),0)-WEEKDAY(MAX($A100,Settings!$F$46)),7))/7)+1)),IF(AND(IF(Settings!$E$46="",$B100,DATE(YEAR($A100),MONTH($A100),MIN(Settings!$E$46,DAY($B100))))&gt;=MAX($A100,Settings!$F$46),IF(Settings!$E$46="",$B100,DATE(YEAR($A100),MONTH($A100),MIN(Settings!$E$46,DAY($B100))))&lt;=MIN($C100,IF(Settings!$G$46="",$C100,Settings!$G$46))),1,0)))</f>
        <v/>
      </c>
      <c r="BG100">
        <f>IF(OR(Settings!$C$47="",Settings!$D$47=""),0,Settings!$C$47*IF(Settings!$D$47="Weekly",IF(IFERROR(MATCH(Settings!$E$47,$EO$4:$EO$10,0),0)=0,0,IF(MIN($C100,IF(Settings!$G$47="",$C100,Settings!$G$47))&lt;MAX($A100,Settings!$F$47),0,INT((MIN($C100,IF(Settings!$G$47="",$C100,Settings!$G$47))-MAX($A100,Settings!$F$47)-MOD(IFERROR(MATCH(Settings!$E$47,$EO$4:$EO$10,0),0)-WEEKDAY(MAX($A100,Settings!$F$47)),7))/7)+1)),IF(AND(IF(Settings!$E$47="",$B100,DATE(YEAR($A100),MONTH($A100),MIN(Settings!$E$47,DAY($B100))))&gt;=MAX($A100,Settings!$F$47),IF(Settings!$E$47="",$B100,DATE(YEAR($A100),MONTH($A100),MIN(Settings!$E$47,DAY($B100))))&lt;=MIN($C100,IF(Settings!$G$47="",$C100,Settings!$G$47))),1,0)))</f>
        <v/>
      </c>
      <c r="BH100">
        <f>IF(OR(Settings!$C$48="",Settings!$D$48=""),0,Settings!$C$48*IF(Settings!$D$48="Weekly",IF(IFERROR(MATCH(Settings!$E$48,$EO$4:$EO$10,0),0)=0,0,IF(MIN($C100,IF(Settings!$G$48="",$C100,Settings!$G$48))&lt;MAX($A100,Settings!$F$48),0,INT((MIN($C100,IF(Settings!$G$48="",$C100,Settings!$G$48))-MAX($A100,Settings!$F$48)-MOD(IFERROR(MATCH(Settings!$E$48,$EO$4:$EO$10,0),0)-WEEKDAY(MAX($A100,Settings!$F$48)),7))/7)+1)),IF(AND(IF(Settings!$E$48="",$B100,DATE(YEAR($A100),MONTH($A100),MIN(Settings!$E$48,DAY($B100))))&gt;=MAX($A100,Settings!$F$48),IF(Settings!$E$48="",$B100,DATE(YEAR($A100),MONTH($A100),MIN(Settings!$E$48,DAY($B100))))&lt;=MIN($C100,IF(Settings!$G$48="",$C100,Settings!$G$48))),1,0)))</f>
        <v/>
      </c>
      <c r="BI100">
        <f>IF(OR(Settings!$C$49="",Settings!$D$49=""),0,Settings!$C$49*IF(Settings!$D$49="Weekly",IF(IFERROR(MATCH(Settings!$E$49,$EO$4:$EO$10,0),0)=0,0,IF(MIN($C100,IF(Settings!$G$49="",$C100,Settings!$G$49))&lt;MAX($A100,Settings!$F$49),0,INT((MIN($C100,IF(Settings!$G$49="",$C100,Settings!$G$49))-MAX($A100,Settings!$F$49)-MOD(IFERROR(MATCH(Settings!$E$49,$EO$4:$EO$10,0),0)-WEEKDAY(MAX($A100,Settings!$F$49)),7))/7)+1)),IF(AND(IF(Settings!$E$49="",$B100,DATE(YEAR($A100),MONTH($A100),MIN(Settings!$E$49,DAY($B100))))&gt;=MAX($A100,Settings!$F$49),IF(Settings!$E$49="",$B100,DATE(YEAR($A100),MONTH($A100),MIN(Settings!$E$49,DAY($B100))))&lt;=MIN($C100,IF(Settings!$G$49="",$C100,Settings!$G$49))),1,0)))</f>
        <v/>
      </c>
      <c r="BJ100">
        <f>IF(OR(Settings!$C$50="",Settings!$D$50=""),0,Settings!$C$50*IF(Settings!$D$50="Weekly",IF(IFERROR(MATCH(Settings!$E$50,$EO$4:$EO$10,0),0)=0,0,IF(MIN($C100,IF(Settings!$G$50="",$C100,Settings!$G$50))&lt;MAX($A100,Settings!$F$50),0,INT((MIN($C100,IF(Settings!$G$50="",$C100,Settings!$G$50))-MAX($A100,Settings!$F$50)-MOD(IFERROR(MATCH(Settings!$E$50,$EO$4:$EO$10,0),0)-WEEKDAY(MAX($A100,Settings!$F$50)),7))/7)+1)),IF(AND(IF(Settings!$E$50="",$B100,DATE(YEAR($A100),MONTH($A100),MIN(Settings!$E$50,DAY($B100))))&gt;=MAX($A100,Settings!$F$50),IF(Settings!$E$50="",$B100,DATE(YEAR($A100),MONTH($A100),MIN(Settings!$E$50,DAY($B100))))&lt;=MIN($C100,IF(Settings!$G$50="",$C100,Settings!$G$50))),1,0)))</f>
        <v/>
      </c>
      <c r="BK100">
        <f>IF(OR(Settings!$C$51="",Settings!$D$51=""),0,Settings!$C$51*IF(Settings!$D$51="Weekly",IF(IFERROR(MATCH(Settings!$E$51,$EO$4:$EO$10,0),0)=0,0,IF(MIN($C100,IF(Settings!$G$51="",$C100,Settings!$G$51))&lt;MAX($A100,Settings!$F$51),0,INT((MIN($C100,IF(Settings!$G$51="",$C100,Settings!$G$51))-MAX($A100,Settings!$F$51)-MOD(IFERROR(MATCH(Settings!$E$51,$EO$4:$EO$10,0),0)-WEEKDAY(MAX($A100,Settings!$F$51)),7))/7)+1)),IF(AND(IF(Settings!$E$51="",$B100,DATE(YEAR($A100),MONTH($A100),MIN(Settings!$E$51,DAY($B100))))&gt;=MAX($A100,Settings!$F$51),IF(Settings!$E$51="",$B100,DATE(YEAR($A100),MONTH($A100),MIN(Settings!$E$51,DAY($B100))))&lt;=MIN($C100,IF(Settings!$G$51="",$C100,Settings!$G$51))),1,0)))</f>
        <v/>
      </c>
      <c r="BL100">
        <f>IF(OR(Settings!$C$52="",Settings!$D$52=""),0,Settings!$C$52*IF(Settings!$D$52="Weekly",IF(IFERROR(MATCH(Settings!$E$52,$EO$4:$EO$10,0),0)=0,0,IF(MIN($C100,IF(Settings!$G$52="",$C100,Settings!$G$52))&lt;MAX($A100,Settings!$F$52),0,INT((MIN($C100,IF(Settings!$G$52="",$C100,Settings!$G$52))-MAX($A100,Settings!$F$52)-MOD(IFERROR(MATCH(Settings!$E$52,$EO$4:$EO$10,0),0)-WEEKDAY(MAX($A100,Settings!$F$52)),7))/7)+1)),IF(AND(IF(Settings!$E$52="",$B100,DATE(YEAR($A100),MONTH($A100),MIN(Settings!$E$52,DAY($B100))))&gt;=MAX($A100,Settings!$F$52),IF(Settings!$E$52="",$B100,DATE(YEAR($A100),MONTH($A100),MIN(Settings!$E$52,DAY($B100))))&lt;=MIN($C100,IF(Settings!$G$52="",$C100,Settings!$G$52))),1,0)))</f>
        <v/>
      </c>
      <c r="BM100">
        <f>IF(OR(Settings!$C$53="",Settings!$D$53=""),0,Settings!$C$53*IF(Settings!$D$53="Weekly",IF(IFERROR(MATCH(Settings!$E$53,$EO$4:$EO$10,0),0)=0,0,IF(MIN($C100,IF(Settings!$G$53="",$C100,Settings!$G$53))&lt;MAX($A100,Settings!$F$53),0,INT((MIN($C100,IF(Settings!$G$53="",$C100,Settings!$G$53))-MAX($A100,Settings!$F$53)-MOD(IFERROR(MATCH(Settings!$E$53,$EO$4:$EO$10,0),0)-WEEKDAY(MAX($A100,Settings!$F$53)),7))/7)+1)),IF(AND(IF(Settings!$E$53="",$B100,DATE(YEAR($A100),MONTH($A100),MIN(Settings!$E$53,DAY($B100))))&gt;=MAX($A100,Settings!$F$53),IF(Settings!$E$53="",$B100,DATE(YEAR($A100),MONTH($A100),MIN(Settings!$E$53,DAY($B100))))&lt;=MIN($C100,IF(Settings!$G$53="",$C100,Settings!$G$53))),1,0)))</f>
        <v/>
      </c>
      <c r="BN100">
        <f>IF(OR(Settings!$C$54="",Settings!$D$54=""),0,Settings!$C$54*IF(Settings!$D$54="Weekly",IF(IFERROR(MATCH(Settings!$E$54,$EO$4:$EO$10,0),0)=0,0,IF(MIN($C100,IF(Settings!$G$54="",$C100,Settings!$G$54))&lt;MAX($A100,Settings!$F$54),0,INT((MIN($C100,IF(Settings!$G$54="",$C100,Settings!$G$54))-MAX($A100,Settings!$F$54)-MOD(IFERROR(MATCH(Settings!$E$54,$EO$4:$EO$10,0),0)-WEEKDAY(MAX($A100,Settings!$F$54)),7))/7)+1)),IF(AND(IF(Settings!$E$54="",$B100,DATE(YEAR($A100),MONTH($A100),MIN(Settings!$E$54,DAY($B100))))&gt;=MAX($A100,Settings!$F$54),IF(Settings!$E$54="",$B100,DATE(YEAR($A100),MONTH($A100),MIN(Settings!$E$54,DAY($B100))))&lt;=MIN($C100,IF(Settings!$G$54="",$C100,Settings!$G$54))),1,0)))</f>
        <v/>
      </c>
      <c r="BO100">
        <f>IF(OR(Settings!$C$55="",Settings!$D$55=""),0,Settings!$C$55*IF(Settings!$D$55="Weekly",IF(IFERROR(MATCH(Settings!$E$55,$EO$4:$EO$10,0),0)=0,0,IF(MIN($C100,IF(Settings!$G$55="",$C100,Settings!$G$55))&lt;MAX($A100,Settings!$F$55),0,INT((MIN($C100,IF(Settings!$G$55="",$C100,Settings!$G$55))-MAX($A100,Settings!$F$55)-MOD(IFERROR(MATCH(Settings!$E$55,$EO$4:$EO$10,0),0)-WEEKDAY(MAX($A100,Settings!$F$55)),7))/7)+1)),IF(AND(IF(Settings!$E$55="",$B100,DATE(YEAR($A100),MONTH($A100),MIN(Settings!$E$55,DAY($B100))))&gt;=MAX($A100,Settings!$F$55),IF(Settings!$E$55="",$B100,DATE(YEAR($A100),MONTH($A100),MIN(Settings!$E$55,DAY($B100))))&lt;=MIN($C100,IF(Settings!$G$55="",$C100,Settings!$G$55))),1,0)))</f>
        <v/>
      </c>
      <c r="BP100">
        <f>IF(OR(Settings!$C$56="",Settings!$D$56=""),0,Settings!$C$56*IF(Settings!$D$56="Weekly",IF(IFERROR(MATCH(Settings!$E$56,$EO$4:$EO$10,0),0)=0,0,IF(MIN($C100,IF(Settings!$G$56="",$C100,Settings!$G$56))&lt;MAX($A100,Settings!$F$56),0,INT((MIN($C100,IF(Settings!$G$56="",$C100,Settings!$G$56))-MAX($A100,Settings!$F$56)-MOD(IFERROR(MATCH(Settings!$E$56,$EO$4:$EO$10,0),0)-WEEKDAY(MAX($A100,Settings!$F$56)),7))/7)+1)),IF(AND(IF(Settings!$E$56="",$B100,DATE(YEAR($A100),MONTH($A100),MIN(Settings!$E$56,DAY($B100))))&gt;=MAX($A100,Settings!$F$56),IF(Settings!$E$56="",$B100,DATE(YEAR($A100),MONTH($A100),MIN(Settings!$E$56,DAY($B100))))&lt;=MIN($C100,IF(Settings!$G$56="",$C100,Settings!$G$56))),1,0)))</f>
        <v/>
      </c>
      <c r="BQ100">
        <f>IF(OR(Settings!$B$14="",$D100=1,$E100="pre",$A100&lt;IF(Settings!$B$15="",0,Settings!$B$15)),0,Settings!$B$14)</f>
        <v/>
      </c>
      <c r="BR100">
        <f>IF(AND('Month-End'!$CS$7&lt;&gt;"",NOT(_xlfn.ISFORMULA('Month-End'!$CS$7))),1,0)</f>
        <v/>
      </c>
      <c r="BS100">
        <f>IF(AND('Month-End'!$CS$8&lt;&gt;"",NOT(_xlfn.ISFORMULA('Month-End'!$CS$8))),1,0)</f>
        <v/>
      </c>
      <c r="BT100">
        <f>IF(AND('Month-End'!$CS$9&lt;&gt;"",NOT(_xlfn.ISFORMULA('Month-End'!$CS$9))),1,0)</f>
        <v/>
      </c>
      <c r="BU100">
        <f>IF(AND('Month-End'!$CS$10&lt;&gt;"",NOT(_xlfn.ISFORMULA('Month-End'!$CS$10))),1,0)</f>
        <v/>
      </c>
      <c r="BV100">
        <f>IF(AND('Month-End'!$CS$11&lt;&gt;"",NOT(_xlfn.ISFORMULA('Month-End'!$CS$11))),1,0)</f>
        <v/>
      </c>
      <c r="BW100">
        <f>IF(AND('Month-End'!$CS$12&lt;&gt;"",NOT(_xlfn.ISFORMULA('Month-End'!$CS$12))),1,0)</f>
        <v/>
      </c>
      <c r="BX100">
        <f>IF(AND('Month-End'!$CS$13&lt;&gt;"",NOT(_xlfn.ISFORMULA('Month-End'!$CS$13))),1,0)</f>
        <v/>
      </c>
      <c r="BY100">
        <f>IF(AND('Month-End'!$CS$14&lt;&gt;"",NOT(_xlfn.ISFORMULA('Month-End'!$CS$14))),1,0)</f>
        <v/>
      </c>
      <c r="BZ100">
        <f>IF(AND('Month-End'!$CS$15&lt;&gt;"",NOT(_xlfn.ISFORMULA('Month-End'!$CS$15))),1,0)</f>
        <v/>
      </c>
      <c r="CA100">
        <f>IF(AND('Month-End'!$CS$16&lt;&gt;"",NOT(_xlfn.ISFORMULA('Month-End'!$CS$16))),1,0)</f>
        <v/>
      </c>
      <c r="CB100">
        <f>IF(AND('Month-End'!$CS$17&lt;&gt;"",NOT(_xlfn.ISFORMULA('Month-End'!$CS$17))),1,0)</f>
        <v/>
      </c>
      <c r="CC100">
        <f>IF(AND('Month-End'!$CS$18&lt;&gt;"",NOT(_xlfn.ISFORMULA('Month-End'!$CS$18))),1,0)</f>
        <v/>
      </c>
      <c r="CD100">
        <f>IF(AND('Month-End'!$CS$19&lt;&gt;"",NOT(_xlfn.ISFORMULA('Month-End'!$CS$19))),1,0)</f>
        <v/>
      </c>
      <c r="CE100">
        <f>IF(AND('Month-End'!$CS$20&lt;&gt;"",NOT(_xlfn.ISFORMULA('Month-End'!$CS$20))),1,0)</f>
        <v/>
      </c>
      <c r="CF100">
        <f>IF(AND('Month-End'!$CS$38&lt;&gt;"",NOT(_xlfn.ISFORMULA('Month-End'!$CS$38))),1,0)</f>
        <v/>
      </c>
      <c r="CG100">
        <f>IF(AND('Month-End'!$CS$39&lt;&gt;"",NOT(_xlfn.ISFORMULA('Month-End'!$CS$39))),1,0)</f>
        <v/>
      </c>
      <c r="CH100">
        <f>IF(AND('Month-End'!$CS$40&lt;&gt;"",NOT(_xlfn.ISFORMULA('Month-End'!$CS$40))),1,0)</f>
        <v/>
      </c>
      <c r="CI100">
        <f>IF(AND('Month-End'!$CS$41&lt;&gt;"",NOT(_xlfn.ISFORMULA('Month-End'!$CS$41))),1,0)</f>
        <v/>
      </c>
      <c r="CJ100">
        <f>IF(AND('Month-End'!$CS$42&lt;&gt;"",NOT(_xlfn.ISFORMULA('Month-End'!$CS$42))),1,0)</f>
        <v/>
      </c>
      <c r="CK100">
        <f>IF(AND('Month-End'!$CS$43&lt;&gt;"",NOT(_xlfn.ISFORMULA('Month-End'!$CS$43))),1,0)</f>
        <v/>
      </c>
      <c r="CL100">
        <f>SUM($CM100:$CZ100)</f>
        <v/>
      </c>
      <c r="CM100">
        <f>IF(AND($E100&lt;&gt;"pre",AND(Settings!$A$19&lt;&gt;"",Settings!$E$19&lt;&gt;"No"),Settings!$F$19="Yes",NOT(AND('Month-End'!$CS$7&lt;&gt;"",NOT(_xlfn.ISFORMULA('Month-End'!$CS$7))))),1,0)</f>
        <v/>
      </c>
      <c r="CN100">
        <f>IF(AND($E100&lt;&gt;"pre",AND(Settings!$A$20&lt;&gt;"",Settings!$E$20&lt;&gt;"No"),Settings!$F$20="Yes",NOT(AND('Month-End'!$CS$8&lt;&gt;"",NOT(_xlfn.ISFORMULA('Month-End'!$CS$8))))),1,0)</f>
        <v/>
      </c>
      <c r="CO100">
        <f>IF(AND($E100&lt;&gt;"pre",AND(Settings!$A$21&lt;&gt;"",Settings!$E$21&lt;&gt;"No"),Settings!$F$21="Yes",NOT(AND('Month-End'!$CS$9&lt;&gt;"",NOT(_xlfn.ISFORMULA('Month-End'!$CS$9))))),1,0)</f>
        <v/>
      </c>
      <c r="CP100">
        <f>IF(AND($E100&lt;&gt;"pre",AND(Settings!$A$22&lt;&gt;"",Settings!$E$22&lt;&gt;"No"),Settings!$F$22="Yes",NOT(AND('Month-End'!$CS$10&lt;&gt;"",NOT(_xlfn.ISFORMULA('Month-End'!$CS$10))))),1,0)</f>
        <v/>
      </c>
      <c r="CQ100">
        <f>IF(AND($E100&lt;&gt;"pre",AND(Settings!$A$23&lt;&gt;"",Settings!$E$23&lt;&gt;"No"),Settings!$F$23="Yes",NOT(AND('Month-End'!$CS$11&lt;&gt;"",NOT(_xlfn.ISFORMULA('Month-End'!$CS$11))))),1,0)</f>
        <v/>
      </c>
      <c r="CR100">
        <f>IF(AND($E100&lt;&gt;"pre",AND(Settings!$A$24&lt;&gt;"",Settings!$E$24&lt;&gt;"No"),Settings!$F$24="Yes",NOT(AND('Month-End'!$CS$12&lt;&gt;"",NOT(_xlfn.ISFORMULA('Month-End'!$CS$12))))),1,0)</f>
        <v/>
      </c>
      <c r="CS100">
        <f>IF(AND($E100&lt;&gt;"pre",AND(Settings!$A$25&lt;&gt;"",Settings!$E$25&lt;&gt;"No"),Settings!$F$25="Yes",NOT(AND('Month-End'!$CS$13&lt;&gt;"",NOT(_xlfn.ISFORMULA('Month-End'!$CS$13))))),1,0)</f>
        <v/>
      </c>
      <c r="CT100">
        <f>IF(AND($E100&lt;&gt;"pre",AND(Settings!$A$26&lt;&gt;"",Settings!$E$26&lt;&gt;"No"),Settings!$F$26="Yes",NOT(AND('Month-End'!$CS$14&lt;&gt;"",NOT(_xlfn.ISFORMULA('Month-End'!$CS$14))))),1,0)</f>
        <v/>
      </c>
      <c r="CU100">
        <f>IF(AND($E100&lt;&gt;"pre",AND(Settings!$A$27&lt;&gt;"",Settings!$E$27&lt;&gt;"No"),Settings!$F$27="Yes",NOT(AND('Month-End'!$CS$15&lt;&gt;"",NOT(_xlfn.ISFORMULA('Month-End'!$CS$15))))),1,0)</f>
        <v/>
      </c>
      <c r="CV100">
        <f>IF(AND($E100&lt;&gt;"pre",AND(Settings!$A$28&lt;&gt;"",Settings!$E$28&lt;&gt;"No"),Settings!$F$28="Yes",NOT(AND('Month-End'!$CS$16&lt;&gt;"",NOT(_xlfn.ISFORMULA('Month-End'!$CS$16))))),1,0)</f>
        <v/>
      </c>
      <c r="CW100">
        <f>IF(AND($E100&lt;&gt;"pre",AND(Settings!$A$29&lt;&gt;"",Settings!$E$29&lt;&gt;"No"),Settings!$F$29="Yes",NOT(AND('Month-End'!$CS$17&lt;&gt;"",NOT(_xlfn.ISFORMULA('Month-End'!$CS$17))))),1,0)</f>
        <v/>
      </c>
      <c r="CX100">
        <f>IF(AND($E100&lt;&gt;"pre",AND(Settings!$A$30&lt;&gt;"",Settings!$E$30&lt;&gt;"No"),Settings!$F$30="Yes",NOT(AND('Month-End'!$CS$18&lt;&gt;"",NOT(_xlfn.ISFORMULA('Month-End'!$CS$18))))),1,0)</f>
        <v/>
      </c>
      <c r="CY100">
        <f>IF(AND($E100&lt;&gt;"pre",AND(Settings!$A$31&lt;&gt;"",Settings!$E$31&lt;&gt;"No"),Settings!$F$31="Yes",NOT(AND('Month-End'!$CS$19&lt;&gt;"",NOT(_xlfn.ISFORMULA('Month-End'!$CS$19))))),1,0)</f>
        <v/>
      </c>
      <c r="CZ100">
        <f>IF(AND($E100&lt;&gt;"pre",AND(Settings!$A$32&lt;&gt;"",Settings!$E$32&lt;&gt;"No"),Settings!$F$32="Yes",NOT(AND('Month-End'!$CS$20&lt;&gt;"",NOT(_xlfn.ISFORMULA('Month-End'!$CS$20))))),1,0)</f>
        <v/>
      </c>
      <c r="DA100">
        <f>IF($DT100=1,IF(OR(Settings!$B$19="Checking",Settings!$B$19="Savings",Settings!$B$19="Cash"),N($AE100),IF(OR(Settings!$B$19="Card",Settings!$B$19="Loan"),-N($AE100),0))+IF(OR(Settings!$B$20="Checking",Settings!$B$20="Savings",Settings!$B$20="Cash"),N($AF100),IF(OR(Settings!$B$20="Card",Settings!$B$20="Loan"),-N($AF100),0))+IF(OR(Settings!$B$21="Checking",Settings!$B$21="Savings",Settings!$B$21="Cash"),N($AG100),IF(OR(Settings!$B$21="Card",Settings!$B$21="Loan"),-N($AG100),0))+IF(OR(Settings!$B$22="Checking",Settings!$B$22="Savings",Settings!$B$22="Cash"),N($AH100),IF(OR(Settings!$B$22="Card",Settings!$B$22="Loan"),-N($AH100),0))+IF(OR(Settings!$B$23="Checking",Settings!$B$23="Savings",Settings!$B$23="Cash"),N($AI100),IF(OR(Settings!$B$23="Card",Settings!$B$23="Loan"),-N($AI100),0))+IF(OR(Settings!$B$24="Checking",Settings!$B$24="Savings",Settings!$B$24="Cash"),N($AJ100),IF(OR(Settings!$B$24="Card",Settings!$B$24="Loan"),-N($AJ100),0))+IF(OR(Settings!$B$25="Checking",Settings!$B$25="Savings",Settings!$B$25="Cash"),N($AK100),IF(OR(Settings!$B$25="Card",Settings!$B$25="Loan"),-N($AK100),0))+IF(OR(Settings!$B$26="Checking",Settings!$B$26="Savings",Settings!$B$26="Cash"),N($AL100),IF(OR(Settings!$B$26="Card",Settings!$B$26="Loan"),-N($AL100),0))+IF(OR(Settings!$B$27="Checking",Settings!$B$27="Savings",Settings!$B$27="Cash"),N($AM100),IF(OR(Settings!$B$27="Card",Settings!$B$27="Loan"),-N($AM100),0))+IF(OR(Settings!$B$28="Checking",Settings!$B$28="Savings",Settings!$B$28="Cash"),N($AN100),IF(OR(Settings!$B$28="Card",Settings!$B$28="Loan"),-N($AN100),0))+IF(OR(Settings!$B$29="Checking",Settings!$B$29="Savings",Settings!$B$29="Cash"),N($AO100),IF(OR(Settings!$B$29="Card",Settings!$B$29="Loan"),-N($AO100),0))+IF(OR(Settings!$B$30="Checking",Settings!$B$30="Savings",Settings!$B$30="Cash"),N($AP100),IF(OR(Settings!$B$30="Card",Settings!$B$30="Loan"),-N($AP100),0))+IF(OR(Settings!$B$31="Checking",Settings!$B$31="Savings",Settings!$B$31="Cash"),N($AQ100),IF(OR(Settings!$B$31="Card",Settings!$B$31="Loan"),-N($AQ100),0))+IF(OR(Settings!$B$32="Checking",Settings!$B$32="Savings",Settings!$B$32="Cash"),N($AR100),IF(OR(Settings!$B$32="Card",Settings!$B$32="Loan"),-N($AR100),0)),"")</f>
        <v/>
      </c>
      <c r="DB100">
        <f>IF($E100="open",$EB$27,IF($E100="post",IF($E99="pre",$EB$27,$DA99),""))</f>
        <v/>
      </c>
      <c r="DC100">
        <f>IF($E100="open",1,IF($E100="post",IF($E99="pre",1,$DT99),0))</f>
        <v/>
      </c>
      <c r="DD100">
        <f>IF(AND($DT100=1,$DC100=1),ROUND($W100-($DA100-$DB100)-$AD100-$AB100,2),"")</f>
        <v/>
      </c>
      <c r="DE100">
        <f>IF('Month-End'!$CS$35="",$BQ100,N('Month-End'!$CS$35))</f>
        <v/>
      </c>
      <c r="DF100">
        <f>N('Month-End'!$CS$36)</f>
        <v/>
      </c>
      <c r="DG100">
        <f>IF($DD100="","",$DD100+$DE100)</f>
        <v/>
      </c>
      <c r="DH100">
        <f>IF($DG100="","",$DG100-$DF100)</f>
        <v/>
      </c>
      <c r="DI100">
        <f>IF(OR($E100="pre",$D100=1),"",N($AS100)+N($AT100)+N($AU100)+N($AV100)+N($AW100)+N($AX100))</f>
        <v/>
      </c>
      <c r="DJ100">
        <f>IF($DT100=1,$DA100+N($DI100),"")</f>
        <v/>
      </c>
      <c r="DK100">
        <f>IF($DD100="","",$W100-$DD100-$AB100)</f>
        <v/>
      </c>
      <c r="DL100">
        <f>IF(AND($E100="post",$DD100&lt;&gt;"",$B100&lt;TODAY()),1,0)</f>
        <v/>
      </c>
      <c r="DM100">
        <f>IF($DL100=1,COUNTIF($DL100:$DL$183,1),0)</f>
        <v/>
      </c>
      <c r="DN100">
        <f>IF($D100=1,"",IF($E100="pre","History only",IF($DT100=1,IF($DD100="","⚠ Previous month missing",IF($DD100&lt;0,"⚠ Check: spending &lt; 0",IF($E100="open","✓ Done (partial)","✓ Done"))),IF($B100&gt;=TODAY(),"In progress","⚠ Needs balances"))))</f>
        <v/>
      </c>
      <c r="DO100">
        <f>YEAR($A100)</f>
        <v/>
      </c>
      <c r="DP100">
        <f>DATE(YEAR($A100),INT((MONTH($A100)-1)/3)*3+1,1)</f>
        <v/>
      </c>
      <c r="DQ100">
        <f>IF(AND($DT100=1,$DD100&lt;&gt;"",$D100=0),ROW(),0)</f>
        <v/>
      </c>
      <c r="DR100">
        <f>IF(AND($E100&lt;&gt;"pre",$B100&lt;TODAY(),$DT100=0),1,0)</f>
        <v/>
      </c>
      <c r="DS100">
        <f>IF($DJ100="",NA(),$DJ100)</f>
        <v/>
      </c>
      <c r="DT100">
        <f>IF(AND($E100&lt;&gt;"pre",$CL100=0,COUNTIFS(Settings!$F$19:$F$32,"Yes",Settings!$A$19:$A$32,"&lt;&gt;",Settings!$E$19:$E$32,"&lt;&gt;No")&gt;0),1,0)</f>
        <v/>
      </c>
      <c r="DU100">
        <f>IF(AND($B100&lt;TODAY(),$S100&gt;0),1,0)</f>
        <v/>
      </c>
      <c r="DV100">
        <f>IF($DU100=1,COUNTIF($DU100:$DU$183,1),0)</f>
        <v/>
      </c>
      <c r="DW100">
        <f>IF(AND(OR(Settings!$B$19="Card",Settings!$B$19="Loan"),AND('Month-End'!$CS$7&lt;&gt;"",NOT(_xlfn.ISFORMULA('Month-End'!$CS$7)))),IF(N('Month-End'!$CS$7)&lt;0,1,0),0)+IF(AND(OR(Settings!$B$20="Card",Settings!$B$20="Loan"),AND('Month-End'!$CS$8&lt;&gt;"",NOT(_xlfn.ISFORMULA('Month-End'!$CS$8)))),IF(N('Month-End'!$CS$8)&lt;0,1,0),0)+IF(AND(OR(Settings!$B$21="Card",Settings!$B$21="Loan"),AND('Month-End'!$CS$9&lt;&gt;"",NOT(_xlfn.ISFORMULA('Month-End'!$CS$9)))),IF(N('Month-End'!$CS$9)&lt;0,1,0),0)+IF(AND(OR(Settings!$B$22="Card",Settings!$B$22="Loan"),AND('Month-End'!$CS$10&lt;&gt;"",NOT(_xlfn.ISFORMULA('Month-End'!$CS$10)))),IF(N('Month-End'!$CS$10)&lt;0,1,0),0)+IF(AND(OR(Settings!$B$23="Card",Settings!$B$23="Loan"),AND('Month-End'!$CS$11&lt;&gt;"",NOT(_xlfn.ISFORMULA('Month-End'!$CS$11)))),IF(N('Month-End'!$CS$11)&lt;0,1,0),0)+IF(AND(OR(Settings!$B$24="Card",Settings!$B$24="Loan"),AND('Month-End'!$CS$12&lt;&gt;"",NOT(_xlfn.ISFORMULA('Month-End'!$CS$12)))),IF(N('Month-End'!$CS$12)&lt;0,1,0),0)+IF(AND(OR(Settings!$B$25="Card",Settings!$B$25="Loan"),AND('Month-End'!$CS$13&lt;&gt;"",NOT(_xlfn.ISFORMULA('Month-End'!$CS$13)))),IF(N('Month-End'!$CS$13)&lt;0,1,0),0)+IF(AND(OR(Settings!$B$26="Card",Settings!$B$26="Loan"),AND('Month-End'!$CS$14&lt;&gt;"",NOT(_xlfn.ISFORMULA('Month-End'!$CS$14)))),IF(N('Month-End'!$CS$14)&lt;0,1,0),0)+IF(AND(OR(Settings!$B$27="Card",Settings!$B$27="Loan"),AND('Month-End'!$CS$15&lt;&gt;"",NOT(_xlfn.ISFORMULA('Month-End'!$CS$15)))),IF(N('Month-End'!$CS$15)&lt;0,1,0),0)+IF(AND(OR(Settings!$B$28="Card",Settings!$B$28="Loan"),AND('Month-End'!$CS$16&lt;&gt;"",NOT(_xlfn.ISFORMULA('Month-End'!$CS$16)))),IF(N('Month-End'!$CS$16)&lt;0,1,0),0)+IF(AND(OR(Settings!$B$29="Card",Settings!$B$29="Loan"),AND('Month-End'!$CS$17&lt;&gt;"",NOT(_xlfn.ISFORMULA('Month-End'!$CS$17)))),IF(N('Month-End'!$CS$17)&lt;0,1,0),0)+IF(AND(OR(Settings!$B$30="Card",Settings!$B$30="Loan"),AND('Month-End'!$CS$18&lt;&gt;"",NOT(_xlfn.ISFORMULA('Month-End'!$CS$18)))),IF(N('Month-End'!$CS$18)&lt;0,1,0),0)+IF(AND(OR(Settings!$B$31="Card",Settings!$B$31="Loan"),AND('Month-End'!$CS$19&lt;&gt;"",NOT(_xlfn.ISFORMULA('Month-End'!$CS$19)))),IF(N('Month-End'!$CS$19)&lt;0,1,0),0)+IF(AND(OR(Settings!$B$32="Card",Settings!$B$32="Loan"),AND('Month-End'!$CS$20&lt;&gt;"",NOT(_xlfn.ISFORMULA('Month-End'!$CS$20)))),IF(N('Month-End'!$CS$20)&lt;0,1,0),0)</f>
        <v/>
      </c>
      <c r="DX100">
        <f>IF(Settings!$B$36="Retirement",$AY100,0)+IF(Settings!$B$37="Retirement",$AZ100,0)+IF(Settings!$B$38="Retirement",$BA100,0)+IF(Settings!$B$39="Retirement",$BB100,0)+IF(Settings!$B$40="Retirement",$BC100,0)+IF(Settings!$B$41="Retirement",$BD100,0)</f>
        <v/>
      </c>
      <c r="EA100">
        <f>IF(SUM($ED$40:$ED$59)=0,"✓ Cash and investment values are fresh enough","ℹ "&amp;SUM($ED$40:$ED$59)&amp;" cash/investment value(s) not updated in 6 months")</f>
        <v/>
      </c>
      <c r="EO100">
        <f>EDATE(DATE(YEAR(TODAY()),MONTH(TODAY()),1),-23)</f>
        <v/>
      </c>
      <c r="ER100">
        <f>IFERROR(IF(INDEX($DJ$6:$DJ$183,MATCH(EO100,$A$6:$A$183,0))="",NA(),INDEX($DJ$6:$DJ$183,MATCH(EO100,$A$6:$A$183,0))),NA())</f>
        <v/>
      </c>
      <c r="ES100">
        <f>TEXT(EO100,"mmm yy")</f>
        <v/>
      </c>
      <c r="ET100">
        <f>IF($E100&lt;&gt;"open",0,IF(AND('Month-End'!$CS$22&lt;&gt;"",NOT(_xlfn.ISFORMULA('Month-End'!$CS$22))),0,IF(OR(Settings!$C$45="",Settings!$D$45=""),0,Settings!$C$45*IF(Settings!$D$45="Weekly",IF(IFERROR(MATCH(Settings!$E$45,$EO$4:$EO$10,0),0)=0,0,IF(MIN(Settings!$B$5,IF(Settings!$G$45="",Settings!$B$5,Settings!$G$45))&lt;MAX($A100,Settings!$F$45),0,INT((MIN(Settings!$B$5,IF(Settings!$G$45="",Settings!$B$5,Settings!$G$45))-MAX($A100,Settings!$F$45)-MOD(IFERROR(MATCH(Settings!$E$45,$EO$4:$EO$10,0),0)-WEEKDAY(MAX($A100,Settings!$F$45)),7))/7)+1)),IF(AND(IF(Settings!$E$45="",$B100,DATE(YEAR($A100),MONTH($A100),MIN(Settings!$E$45,DAY($B100))))&gt;=MAX($A100,Settings!$F$45),IF(Settings!$E$45="",$B100,DATE(YEAR($A100),MONTH($A100),MIN(Settings!$E$45,DAY($B100))))&lt;=MIN(Settings!$B$5,IF(Settings!$G$45="",Settings!$B$5,Settings!$G$45))),1,0)))))</f>
        <v/>
      </c>
      <c r="EU100">
        <f>IF($E100&lt;&gt;"open",0,IF(AND('Month-End'!$CS$23&lt;&gt;"",NOT(_xlfn.ISFORMULA('Month-End'!$CS$23))),0,IF(OR(Settings!$C$46="",Settings!$D$46=""),0,Settings!$C$46*IF(Settings!$D$46="Weekly",IF(IFERROR(MATCH(Settings!$E$46,$EO$4:$EO$10,0),0)=0,0,IF(MIN(Settings!$B$5,IF(Settings!$G$46="",Settings!$B$5,Settings!$G$46))&lt;MAX($A100,Settings!$F$46),0,INT((MIN(Settings!$B$5,IF(Settings!$G$46="",Settings!$B$5,Settings!$G$46))-MAX($A100,Settings!$F$46)-MOD(IFERROR(MATCH(Settings!$E$46,$EO$4:$EO$10,0),0)-WEEKDAY(MAX($A100,Settings!$F$46)),7))/7)+1)),IF(AND(IF(Settings!$E$46="",$B100,DATE(YEAR($A100),MONTH($A100),MIN(Settings!$E$46,DAY($B100))))&gt;=MAX($A100,Settings!$F$46),IF(Settings!$E$46="",$B100,DATE(YEAR($A100),MONTH($A100),MIN(Settings!$E$46,DAY($B100))))&lt;=MIN(Settings!$B$5,IF(Settings!$G$46="",Settings!$B$5,Settings!$G$46))),1,0)))))</f>
        <v/>
      </c>
      <c r="EV100">
        <f>IF($E100&lt;&gt;"open",0,IF(AND('Month-End'!$CS$24&lt;&gt;"",NOT(_xlfn.ISFORMULA('Month-End'!$CS$24))),0,IF(OR(Settings!$C$47="",Settings!$D$47=""),0,Settings!$C$47*IF(Settings!$D$47="Weekly",IF(IFERROR(MATCH(Settings!$E$47,$EO$4:$EO$10,0),0)=0,0,IF(MIN(Settings!$B$5,IF(Settings!$G$47="",Settings!$B$5,Settings!$G$47))&lt;MAX($A100,Settings!$F$47),0,INT((MIN(Settings!$B$5,IF(Settings!$G$47="",Settings!$B$5,Settings!$G$47))-MAX($A100,Settings!$F$47)-MOD(IFERROR(MATCH(Settings!$E$47,$EO$4:$EO$10,0),0)-WEEKDAY(MAX($A100,Settings!$F$47)),7))/7)+1)),IF(AND(IF(Settings!$E$47="",$B100,DATE(YEAR($A100),MONTH($A100),MIN(Settings!$E$47,DAY($B100))))&gt;=MAX($A100,Settings!$F$47),IF(Settings!$E$47="",$B100,DATE(YEAR($A100),MONTH($A100),MIN(Settings!$E$47,DAY($B100))))&lt;=MIN(Settings!$B$5,IF(Settings!$G$47="",Settings!$B$5,Settings!$G$47))),1,0)))))</f>
        <v/>
      </c>
      <c r="EW100">
        <f>IF($E100&lt;&gt;"open",0,IF(AND('Month-End'!$CS$25&lt;&gt;"",NOT(_xlfn.ISFORMULA('Month-End'!$CS$25))),0,IF(OR(Settings!$C$48="",Settings!$D$48=""),0,Settings!$C$48*IF(Settings!$D$48="Weekly",IF(IFERROR(MATCH(Settings!$E$48,$EO$4:$EO$10,0),0)=0,0,IF(MIN(Settings!$B$5,IF(Settings!$G$48="",Settings!$B$5,Settings!$G$48))&lt;MAX($A100,Settings!$F$48),0,INT((MIN(Settings!$B$5,IF(Settings!$G$48="",Settings!$B$5,Settings!$G$48))-MAX($A100,Settings!$F$48)-MOD(IFERROR(MATCH(Settings!$E$48,$EO$4:$EO$10,0),0)-WEEKDAY(MAX($A100,Settings!$F$48)),7))/7)+1)),IF(AND(IF(Settings!$E$48="",$B100,DATE(YEAR($A100),MONTH($A100),MIN(Settings!$E$48,DAY($B100))))&gt;=MAX($A100,Settings!$F$48),IF(Settings!$E$48="",$B100,DATE(YEAR($A100),MONTH($A100),MIN(Settings!$E$48,DAY($B100))))&lt;=MIN(Settings!$B$5,IF(Settings!$G$48="",Settings!$B$5,Settings!$G$48))),1,0)))))</f>
        <v/>
      </c>
      <c r="EX100">
        <f>IF($E100&lt;&gt;"open",0,IF(AND('Month-End'!$CS$26&lt;&gt;"",NOT(_xlfn.ISFORMULA('Month-End'!$CS$26))),0,IF(OR(Settings!$C$49="",Settings!$D$49=""),0,Settings!$C$49*IF(Settings!$D$49="Weekly",IF(IFERROR(MATCH(Settings!$E$49,$EO$4:$EO$10,0),0)=0,0,IF(MIN(Settings!$B$5,IF(Settings!$G$49="",Settings!$B$5,Settings!$G$49))&lt;MAX($A100,Settings!$F$49),0,INT((MIN(Settings!$B$5,IF(Settings!$G$49="",Settings!$B$5,Settings!$G$49))-MAX($A100,Settings!$F$49)-MOD(IFERROR(MATCH(Settings!$E$49,$EO$4:$EO$10,0),0)-WEEKDAY(MAX($A100,Settings!$F$49)),7))/7)+1)),IF(AND(IF(Settings!$E$49="",$B100,DATE(YEAR($A100),MONTH($A100),MIN(Settings!$E$49,DAY($B100))))&gt;=MAX($A100,Settings!$F$49),IF(Settings!$E$49="",$B100,DATE(YEAR($A100),MONTH($A100),MIN(Settings!$E$49,DAY($B100))))&lt;=MIN(Settings!$B$5,IF(Settings!$G$49="",Settings!$B$5,Settings!$G$49))),1,0)))))</f>
        <v/>
      </c>
      <c r="EY100">
        <f>IF($E100&lt;&gt;"open",0,IF(AND('Month-End'!$CS$27&lt;&gt;"",NOT(_xlfn.ISFORMULA('Month-End'!$CS$27))),0,IF(OR(Settings!$C$50="",Settings!$D$50=""),0,Settings!$C$50*IF(Settings!$D$50="Weekly",IF(IFERROR(MATCH(Settings!$E$50,$EO$4:$EO$10,0),0)=0,0,IF(MIN(Settings!$B$5,IF(Settings!$G$50="",Settings!$B$5,Settings!$G$50))&lt;MAX($A100,Settings!$F$50),0,INT((MIN(Settings!$B$5,IF(Settings!$G$50="",Settings!$B$5,Settings!$G$50))-MAX($A100,Settings!$F$50)-MOD(IFERROR(MATCH(Settings!$E$50,$EO$4:$EO$10,0),0)-WEEKDAY(MAX($A100,Settings!$F$50)),7))/7)+1)),IF(AND(IF(Settings!$E$50="",$B100,DATE(YEAR($A100),MONTH($A100),MIN(Settings!$E$50,DAY($B100))))&gt;=MAX($A100,Settings!$F$50),IF(Settings!$E$50="",$B100,DATE(YEAR($A100),MONTH($A100),MIN(Settings!$E$50,DAY($B100))))&lt;=MIN(Settings!$B$5,IF(Settings!$G$50="",Settings!$B$5,Settings!$G$50))),1,0)))))</f>
        <v/>
      </c>
      <c r="EZ100">
        <f>IF($E100&lt;&gt;"open",0,IF(AND('Month-End'!$CS$28&lt;&gt;"",NOT(_xlfn.ISFORMULA('Month-End'!$CS$28))),0,IF(OR(Settings!$C$51="",Settings!$D$51=""),0,Settings!$C$51*IF(Settings!$D$51="Weekly",IF(IFERROR(MATCH(Settings!$E$51,$EO$4:$EO$10,0),0)=0,0,IF(MIN(Settings!$B$5,IF(Settings!$G$51="",Settings!$B$5,Settings!$G$51))&lt;MAX($A100,Settings!$F$51),0,INT((MIN(Settings!$B$5,IF(Settings!$G$51="",Settings!$B$5,Settings!$G$51))-MAX($A100,Settings!$F$51)-MOD(IFERROR(MATCH(Settings!$E$51,$EO$4:$EO$10,0),0)-WEEKDAY(MAX($A100,Settings!$F$51)),7))/7)+1)),IF(AND(IF(Settings!$E$51="",$B100,DATE(YEAR($A100),MONTH($A100),MIN(Settings!$E$51,DAY($B100))))&gt;=MAX($A100,Settings!$F$51),IF(Settings!$E$51="",$B100,DATE(YEAR($A100),MONTH($A100),MIN(Settings!$E$51,DAY($B100))))&lt;=MIN(Settings!$B$5,IF(Settings!$G$51="",Settings!$B$5,Settings!$G$51))),1,0)))))</f>
        <v/>
      </c>
      <c r="FA100">
        <f>IF($E100&lt;&gt;"open",0,IF(AND('Month-End'!$CS$29&lt;&gt;"",NOT(_xlfn.ISFORMULA('Month-End'!$CS$29))),0,IF(OR(Settings!$C$52="",Settings!$D$52=""),0,Settings!$C$52*IF(Settings!$D$52="Weekly",IF(IFERROR(MATCH(Settings!$E$52,$EO$4:$EO$10,0),0)=0,0,IF(MIN(Settings!$B$5,IF(Settings!$G$52="",Settings!$B$5,Settings!$G$52))&lt;MAX($A100,Settings!$F$52),0,INT((MIN(Settings!$B$5,IF(Settings!$G$52="",Settings!$B$5,Settings!$G$52))-MAX($A100,Settings!$F$52)-MOD(IFERROR(MATCH(Settings!$E$52,$EO$4:$EO$10,0),0)-WEEKDAY(MAX($A100,Settings!$F$52)),7))/7)+1)),IF(AND(IF(Settings!$E$52="",$B100,DATE(YEAR($A100),MONTH($A100),MIN(Settings!$E$52,DAY($B100))))&gt;=MAX($A100,Settings!$F$52),IF(Settings!$E$52="",$B100,DATE(YEAR($A100),MONTH($A100),MIN(Settings!$E$52,DAY($B100))))&lt;=MIN(Settings!$B$5,IF(Settings!$G$52="",Settings!$B$5,Settings!$G$52))),1,0)))))</f>
        <v/>
      </c>
      <c r="FB100">
        <f>IF($E100&lt;&gt;"open",0,IF(AND('Month-End'!$CS$30&lt;&gt;"",NOT(_xlfn.ISFORMULA('Month-End'!$CS$30))),0,IF(OR(Settings!$C$53="",Settings!$D$53=""),0,Settings!$C$53*IF(Settings!$D$53="Weekly",IF(IFERROR(MATCH(Settings!$E$53,$EO$4:$EO$10,0),0)=0,0,IF(MIN(Settings!$B$5,IF(Settings!$G$53="",Settings!$B$5,Settings!$G$53))&lt;MAX($A100,Settings!$F$53),0,INT((MIN(Settings!$B$5,IF(Settings!$G$53="",Settings!$B$5,Settings!$G$53))-MAX($A100,Settings!$F$53)-MOD(IFERROR(MATCH(Settings!$E$53,$EO$4:$EO$10,0),0)-WEEKDAY(MAX($A100,Settings!$F$53)),7))/7)+1)),IF(AND(IF(Settings!$E$53="",$B100,DATE(YEAR($A100),MONTH($A100),MIN(Settings!$E$53,DAY($B100))))&gt;=MAX($A100,Settings!$F$53),IF(Settings!$E$53="",$B100,DATE(YEAR($A100),MONTH($A100),MIN(Settings!$E$53,DAY($B100))))&lt;=MIN(Settings!$B$5,IF(Settings!$G$53="",Settings!$B$5,Settings!$G$53))),1,0)))))</f>
        <v/>
      </c>
      <c r="FC100">
        <f>IF($E100&lt;&gt;"open",0,IF(AND('Month-End'!$CS$31&lt;&gt;"",NOT(_xlfn.ISFORMULA('Month-End'!$CS$31))),0,IF(OR(Settings!$C$54="",Settings!$D$54=""),0,Settings!$C$54*IF(Settings!$D$54="Weekly",IF(IFERROR(MATCH(Settings!$E$54,$EO$4:$EO$10,0),0)=0,0,IF(MIN(Settings!$B$5,IF(Settings!$G$54="",Settings!$B$5,Settings!$G$54))&lt;MAX($A100,Settings!$F$54),0,INT((MIN(Settings!$B$5,IF(Settings!$G$54="",Settings!$B$5,Settings!$G$54))-MAX($A100,Settings!$F$54)-MOD(IFERROR(MATCH(Settings!$E$54,$EO$4:$EO$10,0),0)-WEEKDAY(MAX($A100,Settings!$F$54)),7))/7)+1)),IF(AND(IF(Settings!$E$54="",$B100,DATE(YEAR($A100),MONTH($A100),MIN(Settings!$E$54,DAY($B100))))&gt;=MAX($A100,Settings!$F$54),IF(Settings!$E$54="",$B100,DATE(YEAR($A100),MONTH($A100),MIN(Settings!$E$54,DAY($B100))))&lt;=MIN(Settings!$B$5,IF(Settings!$G$54="",Settings!$B$5,Settings!$G$54))),1,0)))))</f>
        <v/>
      </c>
      <c r="FD100">
        <f>IF($E100&lt;&gt;"open",0,IF(AND('Month-End'!$CS$32&lt;&gt;"",NOT(_xlfn.ISFORMULA('Month-End'!$CS$32))),0,IF(OR(Settings!$C$55="",Settings!$D$55=""),0,Settings!$C$55*IF(Settings!$D$55="Weekly",IF(IFERROR(MATCH(Settings!$E$55,$EO$4:$EO$10,0),0)=0,0,IF(MIN(Settings!$B$5,IF(Settings!$G$55="",Settings!$B$5,Settings!$G$55))&lt;MAX($A100,Settings!$F$55),0,INT((MIN(Settings!$B$5,IF(Settings!$G$55="",Settings!$B$5,Settings!$G$55))-MAX($A100,Settings!$F$55)-MOD(IFERROR(MATCH(Settings!$E$55,$EO$4:$EO$10,0),0)-WEEKDAY(MAX($A100,Settings!$F$55)),7))/7)+1)),IF(AND(IF(Settings!$E$55="",$B100,DATE(YEAR($A100),MONTH($A100),MIN(Settings!$E$55,DAY($B100))))&gt;=MAX($A100,Settings!$F$55),IF(Settings!$E$55="",$B100,DATE(YEAR($A100),MONTH($A100),MIN(Settings!$E$55,DAY($B100))))&lt;=MIN(Settings!$B$5,IF(Settings!$G$55="",Settings!$B$5,Settings!$G$55))),1,0)))))</f>
        <v/>
      </c>
      <c r="FE100">
        <f>IF($E100&lt;&gt;"open",0,IF(AND('Month-End'!$CS$33&lt;&gt;"",NOT(_xlfn.ISFORMULA('Month-End'!$CS$33))),0,IF(OR(Settings!$C$56="",Settings!$D$56=""),0,Settings!$C$56*IF(Settings!$D$56="Weekly",IF(IFERROR(MATCH(Settings!$E$56,$EO$4:$EO$10,0),0)=0,0,IF(MIN(Settings!$B$5,IF(Settings!$G$56="",Settings!$B$5,Settings!$G$56))&lt;MAX($A100,Settings!$F$56),0,INT((MIN(Settings!$B$5,IF(Settings!$G$56="",Settings!$B$5,Settings!$G$56))-MAX($A100,Settings!$F$56)-MOD(IFERROR(MATCH(Settings!$E$56,$EO$4:$EO$10,0),0)-WEEKDAY(MAX($A100,Settings!$F$56)),7))/7)+1)),IF(AND(IF(Settings!$E$56="",$B100,DATE(YEAR($A100),MONTH($A100),MIN(Settings!$E$56,DAY($B100))))&gt;=MAX($A100,Settings!$F$56),IF(Settings!$E$56="",$B100,DATE(YEAR($A100),MONTH($A100),MIN(Settings!$E$56,DAY($B100))))&lt;=MIN(Settings!$B$5,IF(Settings!$G$56="",Settings!$B$5,Settings!$G$56))),1,0)))))</f>
        <v/>
      </c>
      <c r="FF100">
        <f>IF(Settings!$I$45="Yes",$G100,0)+IF(Settings!$I$46="Yes",$H100,0)+IF(Settings!$I$47="Yes",$I100,0)+IF(Settings!$I$48="Yes",$J100,0)+IF(Settings!$I$49="Yes",$K100,0)+IF(Settings!$I$50="Yes",$L100,0)+IF(Settings!$I$51="Yes",$M100,0)+IF(Settings!$I$52="Yes",$N100,0)+IF(Settings!$I$53="Yes",$O100,0)+IF(Settings!$I$54="Yes",$P100,0)+IF(Settings!$I$55="Yes",$Q100,0)+IF(Settings!$I$56="Yes",$R100,0)</f>
        <v/>
      </c>
      <c r="FG100">
        <f>IF(AND(Settings!$I$45="Yes",Settings!$J$45="No"),$G100,0)+IF(AND(Settings!$I$46="Yes",Settings!$J$46="No"),$H100,0)+IF(AND(Settings!$I$47="Yes",Settings!$J$47="No"),$I100,0)+IF(AND(Settings!$I$48="Yes",Settings!$J$48="No"),$J100,0)+IF(AND(Settings!$I$49="Yes",Settings!$J$49="No"),$K100,0)+IF(AND(Settings!$I$50="Yes",Settings!$J$50="No"),$L100,0)+IF(AND(Settings!$I$51="Yes",Settings!$J$51="No"),$M100,0)+IF(AND(Settings!$I$52="Yes",Settings!$J$52="No"),$N100,0)+IF(AND(Settings!$I$53="Yes",Settings!$J$53="No"),$O100,0)+IF(AND(Settings!$I$54="Yes",Settings!$J$54="No"),$P100,0)+IF(AND(Settings!$I$55="Yes",Settings!$J$55="No"),$Q100,0)+IF(AND(Settings!$I$56="Yes",Settings!$J$56="No"),$R100,0)</f>
        <v/>
      </c>
      <c r="FH100">
        <f>SUMIFS(Giving!$B$7:$B$2006,Giving!$A$7:$A$2006,"&gt;="&amp;$A100,Giving!$A$7:$A$2006,"&lt;="&amp;$B100,Giving!$G$7:$G$2006,"Yes")+IF(OR(OR(Settings!$B$60="",Settings!$F$60="No"),Settings!$H$60&lt;&gt;"Yes"),0,Settings!$B$60*IF(AND(IF(Settings!$C$60="",$B100,DATE(YEAR($A100),MONTH($A100),MIN(Settings!$C$60,DAY($B100))))&gt;=MAX($A100,Settings!$D$60),IF(Settings!$C$60="",$B100,DATE(YEAR($A100),MONTH($A100),MIN(Settings!$C$60,DAY($B100))))&lt;=MIN($C100,IF(Settings!$E$60="",$C100,Settings!$E$60))),1,0))+IF(OR(OR(Settings!$B$61="",Settings!$F$61="No"),Settings!$H$61&lt;&gt;"Yes"),0,Settings!$B$61*IF(AND(IF(Settings!$C$61="",$B100,DATE(YEAR($A100),MONTH($A100),MIN(Settings!$C$61,DAY($B100))))&gt;=MAX($A100,Settings!$D$61),IF(Settings!$C$61="",$B100,DATE(YEAR($A100),MONTH($A100),MIN(Settings!$C$61,DAY($B100))))&lt;=MIN($C100,IF(Settings!$E$61="",$C100,Settings!$E$61))),1,0))+IF(OR(OR(Settings!$B$62="",Settings!$F$62="No"),Settings!$H$62&lt;&gt;"Yes"),0,Settings!$B$62*IF(AND(IF(Settings!$C$62="",$B100,DATE(YEAR($A100),MONTH($A100),MIN(Settings!$C$62,DAY($B100))))&gt;=MAX($A100,Settings!$D$62),IF(Settings!$C$62="",$B100,DATE(YEAR($A100),MONTH($A100),MIN(Settings!$C$62,DAY($B100))))&lt;=MIN($C100,IF(Settings!$E$62="",$C100,Settings!$E$62))),1,0))+IF(OR(OR(Settings!$B$63="",Settings!$F$63="No"),Settings!$H$63&lt;&gt;"Yes"),0,Settings!$B$63*IF(AND(IF(Settings!$C$63="",$B100,DATE(YEAR($A100),MONTH($A100),MIN(Settings!$C$63,DAY($B100))))&gt;=MAX($A100,Settings!$D$63),IF(Settings!$C$63="",$B100,DATE(YEAR($A100),MONTH($A100),MIN(Settings!$C$63,DAY($B100))))&lt;=MIN($C100,IF(Settings!$E$63="",$C100,Settings!$E$63))),1,0))+IF(OR(OR(Settings!$B$64="",Settings!$F$64="No"),Settings!$H$64&lt;&gt;"Yes"),0,Settings!$B$64*IF(AND(IF(Settings!$C$64="",$B100,DATE(YEAR($A100),MONTH($A100),MIN(Settings!$C$64,DAY($B100))))&gt;=MAX($A100,Settings!$D$64),IF(Settings!$C$64="",$B100,DATE(YEAR($A100),MONTH($A100),MIN(Settings!$C$64,DAY($B100))))&lt;=MIN($C100,IF(Settings!$E$64="",$C100,Settings!$E$64))),1,0))+IF(OR(OR(Settings!$B$65="",Settings!$F$65="No"),Settings!$H$65&lt;&gt;"Yes"),0,Settings!$B$65*IF(AND(IF(Settings!$C$65="",$B100,DATE(YEAR($A100),MONTH($A100),MIN(Settings!$C$65,DAY($B100))))&gt;=MAX($A100,Settings!$D$65),IF(Settings!$C$65="",$B100,DATE(YEAR($A100),MONTH($A100),MIN(Settings!$C$65,DAY($B100))))&lt;=MIN($C100,IF(Settings!$E$65="",$C100,Settings!$E$65))),1,0))</f>
        <v/>
      </c>
      <c r="FI100">
        <f>IF($DT100=1,IF(OR(Settings!$B$19="Card",Settings!$B$19="Loan"),N($AE100),0)+IF(OR(Settings!$B$20="Card",Settings!$B$20="Loan"),N($AF100),0)+IF(OR(Settings!$B$21="Card",Settings!$B$21="Loan"),N($AG100),0)+IF(OR(Settings!$B$22="Card",Settings!$B$22="Loan"),N($AH100),0)+IF(OR(Settings!$B$23="Card",Settings!$B$23="Loan"),N($AI100),0)+IF(OR(Settings!$B$24="Card",Settings!$B$24="Loan"),N($AJ100),0)+IF(OR(Settings!$B$25="Card",Settings!$B$25="Loan"),N($AK100),0)+IF(OR(Settings!$B$26="Card",Settings!$B$26="Loan"),N($AL100),0)+IF(OR(Settings!$B$27="Card",Settings!$B$27="Loan"),N($AM100),0)+IF(OR(Settings!$B$28="Card",Settings!$B$28="Loan"),N($AN100),0)+IF(OR(Settings!$B$29="Card",Settings!$B$29="Loan"),N($AO100),0)+IF(OR(Settings!$B$30="Card",Settings!$B$30="Loan"),N($AP100),0)+IF(OR(Settings!$B$31="Card",Settings!$B$31="Loan"),N($AQ100),0)+IF(OR(Settings!$B$32="Card",Settings!$B$32="Loan"),N($AR100),0),"")</f>
        <v/>
      </c>
      <c r="FJ100">
        <f>IF($E100="open",$EB$65,IF($E100="post",IF($E99="pre",$EB$65,$FI99),""))</f>
        <v/>
      </c>
      <c r="FK100">
        <f>IF(AND($DT100=1,$DC100=1),IF(ROUND($FI100-$FJ100,2)&gt;0,1,0),0)</f>
        <v/>
      </c>
      <c r="FL100">
        <f>IF($FK100=1,$FL99+1,0)</f>
        <v/>
      </c>
    </row>
    <row r="101">
      <c r="A101">
        <f>'Month-End'!$CT$4</f>
        <v/>
      </c>
      <c r="B101">
        <f>EOMONTH($A101,0)</f>
        <v/>
      </c>
      <c r="C101">
        <f>MIN($B101,TODAY())</f>
        <v/>
      </c>
      <c r="D101">
        <f>IF($A101&gt;TODAY(),1,0)</f>
        <v/>
      </c>
      <c r="E101">
        <f>IF($B101&lt;=Settings!$B$5,"pre",IF($A101&lt;=Settings!$B$5,"open","post"))</f>
        <v/>
      </c>
      <c r="G101">
        <f>IF('Month-End'!$CT$22="",$BE101,N('Month-End'!$CT$22))</f>
        <v/>
      </c>
      <c r="H101">
        <f>IF('Month-End'!$CT$23="",$BF101,N('Month-End'!$CT$23))</f>
        <v/>
      </c>
      <c r="I101">
        <f>IF('Month-End'!$CT$24="",$BG101,N('Month-End'!$CT$24))</f>
        <v/>
      </c>
      <c r="J101">
        <f>IF('Month-End'!$CT$25="",$BH101,N('Month-End'!$CT$25))</f>
        <v/>
      </c>
      <c r="K101">
        <f>IF('Month-End'!$CT$26="",$BI101,N('Month-End'!$CT$26))</f>
        <v/>
      </c>
      <c r="L101">
        <f>IF('Month-End'!$CT$27="",$BJ101,N('Month-End'!$CT$27))</f>
        <v/>
      </c>
      <c r="M101">
        <f>IF('Month-End'!$CT$28="",$BK101,N('Month-End'!$CT$28))</f>
        <v/>
      </c>
      <c r="N101">
        <f>IF('Month-End'!$CT$29="",$BL101,N('Month-End'!$CT$29))</f>
        <v/>
      </c>
      <c r="O101">
        <f>IF('Month-End'!$CT$30="",$BM101,N('Month-End'!$CT$30))</f>
        <v/>
      </c>
      <c r="P101">
        <f>IF('Month-End'!$CT$31="",$BN101,N('Month-End'!$CT$31))</f>
        <v/>
      </c>
      <c r="Q101">
        <f>IF('Month-End'!$CT$32="",$BO101,N('Month-End'!$CT$32))</f>
        <v/>
      </c>
      <c r="R101">
        <f>IF('Month-End'!$CT$33="",$BP101,N('Month-End'!$CT$33))</f>
        <v/>
      </c>
      <c r="S101">
        <f>$G101+$H101+$I101+$J101+$K101+$L101+$M101+$N101+$O101+$P101+$Q101+$R101</f>
        <v/>
      </c>
      <c r="T101">
        <f>IF($B101&lt;Settings!$B$6,0,IF(Settings!$B$45="Yes",$G101,0)+IF(Settings!$B$46="Yes",$H101,0)+IF(Settings!$B$47="Yes",$I101,0)+IF(Settings!$B$48="Yes",$J101,0)+IF(Settings!$B$49="Yes",$K101,0)+IF(Settings!$B$50="Yes",$L101,0)+IF(Settings!$B$51="Yes",$M101,0)+IF(Settings!$B$52="Yes",$N101,0)+IF(Settings!$B$53="Yes",$O101,0)+IF(Settings!$B$54="Yes",$P101,0)+IF(Settings!$B$55="Yes",$Q101,0)+IF(Settings!$B$56="Yes",$R101,0))</f>
        <v/>
      </c>
      <c r="U101">
        <f>IF(Settings!$B$45="Not Sure",$G101,0)+IF(Settings!$B$46="Not Sure",$H101,0)+IF(Settings!$B$47="Not Sure",$I101,0)+IF(Settings!$B$48="Not Sure",$J101,0)+IF(Settings!$B$49="Not Sure",$K101,0)+IF(Settings!$B$50="Not Sure",$L101,0)+IF(Settings!$B$51="Not Sure",$M101,0)+IF(Settings!$B$52="Not Sure",$N101,0)+IF(Settings!$B$53="Not Sure",$O101,0)+IF(Settings!$B$54="Not Sure",$P101,0)+IF(Settings!$B$55="Not Sure",$Q101,0)+IF(Settings!$B$56="Not Sure",$R101,0)</f>
        <v/>
      </c>
      <c r="V101">
        <f>IF($E101="open",SUM($ET101:$FE101)+N(Settings!$B$13),0)</f>
        <v/>
      </c>
      <c r="W101">
        <f>IF($E101="post",$S101,IF($E101="open",$S101-$V101,0))</f>
        <v/>
      </c>
      <c r="X101">
        <f>SUMIFS(Giving!$B$7:$B$2006,Giving!$A$7:$A$2006,"&gt;="&amp;$A101,Giving!$A$7:$A$2006,"&lt;="&amp;$B101,Giving!$E$7:$E$2006,"&lt;&gt;No")</f>
        <v/>
      </c>
      <c r="Y101">
        <f>SUMIFS(Giving!$B$7:$B$2006,Giving!$A$7:$A$2006,"&gt;="&amp;$A101,Giving!$A$7:$A$2006,"&lt;="&amp;$B101,Giving!$E$7:$E$2006,"No")</f>
        <v/>
      </c>
      <c r="Z101">
        <f>IF(OR(Settings!$B$60="",Settings!$F$60="No"),0,Settings!$B$60*IF(AND(IF(Settings!$C$60="",$B101,DATE(YEAR($A101),MONTH($A101),MIN(Settings!$C$60,DAY($B101))))&gt;=MAX($A101,Settings!$D$60),IF(Settings!$C$60="",$B101,DATE(YEAR($A101),MONTH($A101),MIN(Settings!$C$60,DAY($B101))))&lt;=MIN($C101,IF(Settings!$E$60="",$C101,Settings!$E$60))),1,0))+IF(OR(Settings!$B$61="",Settings!$F$61="No"),0,Settings!$B$61*IF(AND(IF(Settings!$C$61="",$B101,DATE(YEAR($A101),MONTH($A101),MIN(Settings!$C$61,DAY($B101))))&gt;=MAX($A101,Settings!$D$61),IF(Settings!$C$61="",$B101,DATE(YEAR($A101),MONTH($A101),MIN(Settings!$C$61,DAY($B101))))&lt;=MIN($C101,IF(Settings!$E$61="",$C101,Settings!$E$61))),1,0))+IF(OR(Settings!$B$62="",Settings!$F$62="No"),0,Settings!$B$62*IF(AND(IF(Settings!$C$62="",$B101,DATE(YEAR($A101),MONTH($A101),MIN(Settings!$C$62,DAY($B101))))&gt;=MAX($A101,Settings!$D$62),IF(Settings!$C$62="",$B101,DATE(YEAR($A101),MONTH($A101),MIN(Settings!$C$62,DAY($B101))))&lt;=MIN($C101,IF(Settings!$E$62="",$C101,Settings!$E$62))),1,0))+IF(OR(Settings!$B$63="",Settings!$F$63="No"),0,Settings!$B$63*IF(AND(IF(Settings!$C$63="",$B101,DATE(YEAR($A101),MONTH($A101),MIN(Settings!$C$63,DAY($B101))))&gt;=MAX($A101,Settings!$D$63),IF(Settings!$C$63="",$B101,DATE(YEAR($A101),MONTH($A101),MIN(Settings!$C$63,DAY($B101))))&lt;=MIN($C101,IF(Settings!$E$63="",$C101,Settings!$E$63))),1,0))+IF(OR(Settings!$B$64="",Settings!$F$64="No"),0,Settings!$B$64*IF(AND(IF(Settings!$C$64="",$B101,DATE(YEAR($A101),MONTH($A101),MIN(Settings!$C$64,DAY($B101))))&gt;=MAX($A101,Settings!$D$64),IF(Settings!$C$64="",$B101,DATE(YEAR($A101),MONTH($A101),MIN(Settings!$C$64,DAY($B101))))&lt;=MIN($C101,IF(Settings!$E$64="",$C101,Settings!$E$64))),1,0))+IF(OR(Settings!$B$65="",Settings!$F$65="No"),0,Settings!$B$65*IF(AND(IF(Settings!$C$65="",$B101,DATE(YEAR($A101),MONTH($A101),MIN(Settings!$C$65,DAY($B101))))&gt;=MAX($A101,Settings!$D$65),IF(Settings!$C$65="",$B101,DATE(YEAR($A101),MONTH($A101),MIN(Settings!$C$65,DAY($B101))))&lt;=MIN($C101,IF(Settings!$E$65="",$C101,Settings!$E$65))),1,0))</f>
        <v/>
      </c>
      <c r="AA101">
        <f>$X101+$Z101</f>
        <v/>
      </c>
      <c r="AB101">
        <f>IF($E101="post",$AA101,IF($E101="open",SUMIFS(Giving!$B$7:$B$2006,Giving!$A$7:$A$2006,"&gt;"&amp;Settings!$B$5,Giving!$A$7:$A$2006,"&lt;="&amp;$B101,Giving!$E$7:$E$2006,"&lt;&gt;No")+IF(OR(Settings!$B$60="",Settings!$F$60="No"),0,Settings!$B$60*IF(AND(IF(Settings!$C$60="",$B101,DATE(YEAR($A101),MONTH($A101),MIN(Settings!$C$60,DAY($B101))))&gt;=MAX($A101,Settings!$D$60,Settings!$B$5+1),IF(Settings!$C$60="",$B101,DATE(YEAR($A101),MONTH($A101),MIN(Settings!$C$60,DAY($B101))))&lt;=MIN($C101,IF(Settings!$E$60="",$C101,Settings!$E$60))),1,0))+IF(OR(Settings!$B$61="",Settings!$F$61="No"),0,Settings!$B$61*IF(AND(IF(Settings!$C$61="",$B101,DATE(YEAR($A101),MONTH($A101),MIN(Settings!$C$61,DAY($B101))))&gt;=MAX($A101,Settings!$D$61,Settings!$B$5+1),IF(Settings!$C$61="",$B101,DATE(YEAR($A101),MONTH($A101),MIN(Settings!$C$61,DAY($B101))))&lt;=MIN($C101,IF(Settings!$E$61="",$C101,Settings!$E$61))),1,0))+IF(OR(Settings!$B$62="",Settings!$F$62="No"),0,Settings!$B$62*IF(AND(IF(Settings!$C$62="",$B101,DATE(YEAR($A101),MONTH($A101),MIN(Settings!$C$62,DAY($B101))))&gt;=MAX($A101,Settings!$D$62,Settings!$B$5+1),IF(Settings!$C$62="",$B101,DATE(YEAR($A101),MONTH($A101),MIN(Settings!$C$62,DAY($B101))))&lt;=MIN($C101,IF(Settings!$E$62="",$C101,Settings!$E$62))),1,0))+IF(OR(Settings!$B$63="",Settings!$F$63="No"),0,Settings!$B$63*IF(AND(IF(Settings!$C$63="",$B101,DATE(YEAR($A101),MONTH($A101),MIN(Settings!$C$63,DAY($B101))))&gt;=MAX($A101,Settings!$D$63,Settings!$B$5+1),IF(Settings!$C$63="",$B101,DATE(YEAR($A101),MONTH($A101),MIN(Settings!$C$63,DAY($B101))))&lt;=MIN($C101,IF(Settings!$E$63="",$C101,Settings!$E$63))),1,0))+IF(OR(Settings!$B$64="",Settings!$F$64="No"),0,Settings!$B$64*IF(AND(IF(Settings!$C$64="",$B101,DATE(YEAR($A101),MONTH($A101),MIN(Settings!$C$64,DAY($B101))))&gt;=MAX($A101,Settings!$D$64,Settings!$B$5+1),IF(Settings!$C$64="",$B101,DATE(YEAR($A101),MONTH($A101),MIN(Settings!$C$64,DAY($B101))))&lt;=MIN($C101,IF(Settings!$E$64="",$C101,Settings!$E$64))),1,0))+IF(OR(Settings!$B$65="",Settings!$F$65="No"),0,Settings!$B$65*IF(AND(IF(Settings!$C$65="",$B101,DATE(YEAR($A101),MONTH($A101),MIN(Settings!$C$65,DAY($B101))))&gt;=MAX($A101,Settings!$D$65,Settings!$B$5+1),IF(Settings!$C$65="",$B101,DATE(YEAR($A101),MONTH($A101),MIN(Settings!$C$65,DAY($B101))))&lt;=MIN($C101,IF(Settings!$E$65="",$C101,Settings!$E$65))),1,0)),0))</f>
        <v/>
      </c>
      <c r="AC101">
        <f>$AY101+$AZ101+$BA101+$BB101+$BC101+$BD101</f>
        <v/>
      </c>
      <c r="AD101">
        <f>$AC101</f>
        <v/>
      </c>
      <c r="AE101">
        <f>IF(OR(Settings!$A$19="",$E101="pre"),"",IF(AND('Month-End'!$CT$7&lt;&gt;"",NOT(_xlfn.ISFORMULA('Month-End'!$CT$7))),N('Month-End'!$CT$7),IF(OR($E101="open",$E100="pre"),N(Settings!$C$19),N($AE100))))</f>
        <v/>
      </c>
      <c r="AF101">
        <f>IF(OR(Settings!$A$20="",$E101="pre"),"",IF(AND('Month-End'!$CT$8&lt;&gt;"",NOT(_xlfn.ISFORMULA('Month-End'!$CT$8))),N('Month-End'!$CT$8),IF(OR($E101="open",$E100="pre"),N(Settings!$C$20),N($AF100))))</f>
        <v/>
      </c>
      <c r="AG101">
        <f>IF(OR(Settings!$A$21="",$E101="pre"),"",IF(AND('Month-End'!$CT$9&lt;&gt;"",NOT(_xlfn.ISFORMULA('Month-End'!$CT$9))),N('Month-End'!$CT$9),IF(OR($E101="open",$E100="pre"),N(Settings!$C$21),N($AG100))))</f>
        <v/>
      </c>
      <c r="AH101">
        <f>IF(OR(Settings!$A$22="",$E101="pre"),"",IF(AND('Month-End'!$CT$10&lt;&gt;"",NOT(_xlfn.ISFORMULA('Month-End'!$CT$10))),N('Month-End'!$CT$10),IF(OR($E101="open",$E100="pre"),N(Settings!$C$22),N($AH100))))</f>
        <v/>
      </c>
      <c r="AI101">
        <f>IF(OR(Settings!$A$23="",$E101="pre"),"",IF(AND('Month-End'!$CT$11&lt;&gt;"",NOT(_xlfn.ISFORMULA('Month-End'!$CT$11))),N('Month-End'!$CT$11),IF(OR($E101="open",$E100="pre"),N(Settings!$C$23),N($AI100))))</f>
        <v/>
      </c>
      <c r="AJ101">
        <f>IF(OR(Settings!$A$24="",$E101="pre"),"",IF(AND('Month-End'!$CT$12&lt;&gt;"",NOT(_xlfn.ISFORMULA('Month-End'!$CT$12))),N('Month-End'!$CT$12),IF(OR($E101="open",$E100="pre"),N(Settings!$C$24),N($AJ100))))</f>
        <v/>
      </c>
      <c r="AK101">
        <f>IF(OR(Settings!$A$25="",$E101="pre"),"",IF(AND('Month-End'!$CT$13&lt;&gt;"",NOT(_xlfn.ISFORMULA('Month-End'!$CT$13))),N('Month-End'!$CT$13),IF(OR($E101="open",$E100="pre"),N(Settings!$C$25),N($AK100))))</f>
        <v/>
      </c>
      <c r="AL101">
        <f>IF(OR(Settings!$A$26="",$E101="pre"),"",IF(AND('Month-End'!$CT$14&lt;&gt;"",NOT(_xlfn.ISFORMULA('Month-End'!$CT$14))),N('Month-End'!$CT$14),IF(OR($E101="open",$E100="pre"),N(Settings!$C$26),N($AL100))))</f>
        <v/>
      </c>
      <c r="AM101">
        <f>IF(OR(Settings!$A$27="",$E101="pre"),"",IF(AND('Month-End'!$CT$15&lt;&gt;"",NOT(_xlfn.ISFORMULA('Month-End'!$CT$15))),N('Month-End'!$CT$15),IF(OR($E101="open",$E100="pre"),N(Settings!$C$27),N($AM100))))</f>
        <v/>
      </c>
      <c r="AN101">
        <f>IF(OR(Settings!$A$28="",$E101="pre"),"",IF(AND('Month-End'!$CT$16&lt;&gt;"",NOT(_xlfn.ISFORMULA('Month-End'!$CT$16))),N('Month-End'!$CT$16),IF(OR($E101="open",$E100="pre"),N(Settings!$C$28),N($AN100))))</f>
        <v/>
      </c>
      <c r="AO101">
        <f>IF(OR(Settings!$A$29="",$E101="pre"),"",IF(AND('Month-End'!$CT$17&lt;&gt;"",NOT(_xlfn.ISFORMULA('Month-End'!$CT$17))),N('Month-End'!$CT$17),IF(OR($E101="open",$E100="pre"),N(Settings!$C$29),N($AO100))))</f>
        <v/>
      </c>
      <c r="AP101">
        <f>IF(OR(Settings!$A$30="",$E101="pre"),"",IF(AND('Month-End'!$CT$18&lt;&gt;"",NOT(_xlfn.ISFORMULA('Month-End'!$CT$18))),N('Month-End'!$CT$18),IF(OR($E101="open",$E100="pre"),N(Settings!$C$30),N($AP100))))</f>
        <v/>
      </c>
      <c r="AQ101">
        <f>IF(OR(Settings!$A$31="",$E101="pre"),"",IF(AND('Month-End'!$CT$19&lt;&gt;"",NOT(_xlfn.ISFORMULA('Month-End'!$CT$19))),N('Month-End'!$CT$19),IF(OR($E101="open",$E100="pre"),N(Settings!$C$31),N($AQ100))))</f>
        <v/>
      </c>
      <c r="AR101">
        <f>IF(OR(Settings!$A$32="",$E101="pre"),"",IF(AND('Month-End'!$CT$20&lt;&gt;"",NOT(_xlfn.ISFORMULA('Month-End'!$CT$20))),N('Month-End'!$CT$20),IF(OR($E101="open",$E100="pre"),N(Settings!$C$32),N($AR100))))</f>
        <v/>
      </c>
      <c r="AS101">
        <f>IF(OR(Settings!$A$36="",$E101="pre"),"",IF(AND('Month-End'!$CT$38&lt;&gt;"",NOT(_xlfn.ISFORMULA('Month-End'!$CT$38))),N('Month-End'!$CT$38),IF(OR($E101="open",$E100="pre"),N(Settings!$C$36),N($AS100))+$AY101))</f>
        <v/>
      </c>
      <c r="AT101">
        <f>IF(OR(Settings!$A$37="",$E101="pre"),"",IF(AND('Month-End'!$CT$39&lt;&gt;"",NOT(_xlfn.ISFORMULA('Month-End'!$CT$39))),N('Month-End'!$CT$39),IF(OR($E101="open",$E100="pre"),N(Settings!$C$37),N($AT100))+$AZ101))</f>
        <v/>
      </c>
      <c r="AU101">
        <f>IF(OR(Settings!$A$38="",$E101="pre"),"",IF(AND('Month-End'!$CT$40&lt;&gt;"",NOT(_xlfn.ISFORMULA('Month-End'!$CT$40))),N('Month-End'!$CT$40),IF(OR($E101="open",$E100="pre"),N(Settings!$C$38),N($AU100))+$BA101))</f>
        <v/>
      </c>
      <c r="AV101">
        <f>IF(OR(Settings!$A$39="",$E101="pre"),"",IF(AND('Month-End'!$CT$41&lt;&gt;"",NOT(_xlfn.ISFORMULA('Month-End'!$CT$41))),N('Month-End'!$CT$41),IF(OR($E101="open",$E100="pre"),N(Settings!$C$39),N($AV100))+$BB101))</f>
        <v/>
      </c>
      <c r="AW101">
        <f>IF(OR(Settings!$A$40="",$E101="pre"),"",IF(AND('Month-End'!$CT$42&lt;&gt;"",NOT(_xlfn.ISFORMULA('Month-End'!$CT$42))),N('Month-End'!$CT$42),IF(OR($E101="open",$E100="pre"),N(Settings!$C$40),N($AW100))+$BC101))</f>
        <v/>
      </c>
      <c r="AX101">
        <f>IF(OR(Settings!$A$41="",$E101="pre"),"",IF(AND('Month-End'!$CT$43&lt;&gt;"",NOT(_xlfn.ISFORMULA('Month-End'!$CT$43))),N('Month-End'!$CT$43),IF(OR($E101="open",$E100="pre"),N(Settings!$C$41),N($AX100))+$BD101))</f>
        <v/>
      </c>
      <c r="AY101">
        <f>IF($E101="pre",0,N('Month-End'!$CT$45))</f>
        <v/>
      </c>
      <c r="AZ101">
        <f>IF($E101="pre",0,N('Month-End'!$CT$46))</f>
        <v/>
      </c>
      <c r="BA101">
        <f>IF($E101="pre",0,N('Month-End'!$CT$47))</f>
        <v/>
      </c>
      <c r="BB101">
        <f>IF($E101="pre",0,N('Month-End'!$CT$48))</f>
        <v/>
      </c>
      <c r="BC101">
        <f>IF($E101="pre",0,N('Month-End'!$CT$49))</f>
        <v/>
      </c>
      <c r="BD101">
        <f>IF($E101="pre",0,N('Month-End'!$CT$50))</f>
        <v/>
      </c>
      <c r="BE101">
        <f>IF(OR(Settings!$C$45="",Settings!$D$45=""),0,Settings!$C$45*IF(Settings!$D$45="Weekly",IF(IFERROR(MATCH(Settings!$E$45,$EO$4:$EO$10,0),0)=0,0,IF(MIN($C101,IF(Settings!$G$45="",$C101,Settings!$G$45))&lt;MAX($A101,Settings!$F$45),0,INT((MIN($C101,IF(Settings!$G$45="",$C101,Settings!$G$45))-MAX($A101,Settings!$F$45)-MOD(IFERROR(MATCH(Settings!$E$45,$EO$4:$EO$10,0),0)-WEEKDAY(MAX($A101,Settings!$F$45)),7))/7)+1)),IF(AND(IF(Settings!$E$45="",$B101,DATE(YEAR($A101),MONTH($A101),MIN(Settings!$E$45,DAY($B101))))&gt;=MAX($A101,Settings!$F$45),IF(Settings!$E$45="",$B101,DATE(YEAR($A101),MONTH($A101),MIN(Settings!$E$45,DAY($B101))))&lt;=MIN($C101,IF(Settings!$G$45="",$C101,Settings!$G$45))),1,0)))</f>
        <v/>
      </c>
      <c r="BF101">
        <f>IF(OR(Settings!$C$46="",Settings!$D$46=""),0,Settings!$C$46*IF(Settings!$D$46="Weekly",IF(IFERROR(MATCH(Settings!$E$46,$EO$4:$EO$10,0),0)=0,0,IF(MIN($C101,IF(Settings!$G$46="",$C101,Settings!$G$46))&lt;MAX($A101,Settings!$F$46),0,INT((MIN($C101,IF(Settings!$G$46="",$C101,Settings!$G$46))-MAX($A101,Settings!$F$46)-MOD(IFERROR(MATCH(Settings!$E$46,$EO$4:$EO$10,0),0)-WEEKDAY(MAX($A101,Settings!$F$46)),7))/7)+1)),IF(AND(IF(Settings!$E$46="",$B101,DATE(YEAR($A101),MONTH($A101),MIN(Settings!$E$46,DAY($B101))))&gt;=MAX($A101,Settings!$F$46),IF(Settings!$E$46="",$B101,DATE(YEAR($A101),MONTH($A101),MIN(Settings!$E$46,DAY($B101))))&lt;=MIN($C101,IF(Settings!$G$46="",$C101,Settings!$G$46))),1,0)))</f>
        <v/>
      </c>
      <c r="BG101">
        <f>IF(OR(Settings!$C$47="",Settings!$D$47=""),0,Settings!$C$47*IF(Settings!$D$47="Weekly",IF(IFERROR(MATCH(Settings!$E$47,$EO$4:$EO$10,0),0)=0,0,IF(MIN($C101,IF(Settings!$G$47="",$C101,Settings!$G$47))&lt;MAX($A101,Settings!$F$47),0,INT((MIN($C101,IF(Settings!$G$47="",$C101,Settings!$G$47))-MAX($A101,Settings!$F$47)-MOD(IFERROR(MATCH(Settings!$E$47,$EO$4:$EO$10,0),0)-WEEKDAY(MAX($A101,Settings!$F$47)),7))/7)+1)),IF(AND(IF(Settings!$E$47="",$B101,DATE(YEAR($A101),MONTH($A101),MIN(Settings!$E$47,DAY($B101))))&gt;=MAX($A101,Settings!$F$47),IF(Settings!$E$47="",$B101,DATE(YEAR($A101),MONTH($A101),MIN(Settings!$E$47,DAY($B101))))&lt;=MIN($C101,IF(Settings!$G$47="",$C101,Settings!$G$47))),1,0)))</f>
        <v/>
      </c>
      <c r="BH101">
        <f>IF(OR(Settings!$C$48="",Settings!$D$48=""),0,Settings!$C$48*IF(Settings!$D$48="Weekly",IF(IFERROR(MATCH(Settings!$E$48,$EO$4:$EO$10,0),0)=0,0,IF(MIN($C101,IF(Settings!$G$48="",$C101,Settings!$G$48))&lt;MAX($A101,Settings!$F$48),0,INT((MIN($C101,IF(Settings!$G$48="",$C101,Settings!$G$48))-MAX($A101,Settings!$F$48)-MOD(IFERROR(MATCH(Settings!$E$48,$EO$4:$EO$10,0),0)-WEEKDAY(MAX($A101,Settings!$F$48)),7))/7)+1)),IF(AND(IF(Settings!$E$48="",$B101,DATE(YEAR($A101),MONTH($A101),MIN(Settings!$E$48,DAY($B101))))&gt;=MAX($A101,Settings!$F$48),IF(Settings!$E$48="",$B101,DATE(YEAR($A101),MONTH($A101),MIN(Settings!$E$48,DAY($B101))))&lt;=MIN($C101,IF(Settings!$G$48="",$C101,Settings!$G$48))),1,0)))</f>
        <v/>
      </c>
      <c r="BI101">
        <f>IF(OR(Settings!$C$49="",Settings!$D$49=""),0,Settings!$C$49*IF(Settings!$D$49="Weekly",IF(IFERROR(MATCH(Settings!$E$49,$EO$4:$EO$10,0),0)=0,0,IF(MIN($C101,IF(Settings!$G$49="",$C101,Settings!$G$49))&lt;MAX($A101,Settings!$F$49),0,INT((MIN($C101,IF(Settings!$G$49="",$C101,Settings!$G$49))-MAX($A101,Settings!$F$49)-MOD(IFERROR(MATCH(Settings!$E$49,$EO$4:$EO$10,0),0)-WEEKDAY(MAX($A101,Settings!$F$49)),7))/7)+1)),IF(AND(IF(Settings!$E$49="",$B101,DATE(YEAR($A101),MONTH($A101),MIN(Settings!$E$49,DAY($B101))))&gt;=MAX($A101,Settings!$F$49),IF(Settings!$E$49="",$B101,DATE(YEAR($A101),MONTH($A101),MIN(Settings!$E$49,DAY($B101))))&lt;=MIN($C101,IF(Settings!$G$49="",$C101,Settings!$G$49))),1,0)))</f>
        <v/>
      </c>
      <c r="BJ101">
        <f>IF(OR(Settings!$C$50="",Settings!$D$50=""),0,Settings!$C$50*IF(Settings!$D$50="Weekly",IF(IFERROR(MATCH(Settings!$E$50,$EO$4:$EO$10,0),0)=0,0,IF(MIN($C101,IF(Settings!$G$50="",$C101,Settings!$G$50))&lt;MAX($A101,Settings!$F$50),0,INT((MIN($C101,IF(Settings!$G$50="",$C101,Settings!$G$50))-MAX($A101,Settings!$F$50)-MOD(IFERROR(MATCH(Settings!$E$50,$EO$4:$EO$10,0),0)-WEEKDAY(MAX($A101,Settings!$F$50)),7))/7)+1)),IF(AND(IF(Settings!$E$50="",$B101,DATE(YEAR($A101),MONTH($A101),MIN(Settings!$E$50,DAY($B101))))&gt;=MAX($A101,Settings!$F$50),IF(Settings!$E$50="",$B101,DATE(YEAR($A101),MONTH($A101),MIN(Settings!$E$50,DAY($B101))))&lt;=MIN($C101,IF(Settings!$G$50="",$C101,Settings!$G$50))),1,0)))</f>
        <v/>
      </c>
      <c r="BK101">
        <f>IF(OR(Settings!$C$51="",Settings!$D$51=""),0,Settings!$C$51*IF(Settings!$D$51="Weekly",IF(IFERROR(MATCH(Settings!$E$51,$EO$4:$EO$10,0),0)=0,0,IF(MIN($C101,IF(Settings!$G$51="",$C101,Settings!$G$51))&lt;MAX($A101,Settings!$F$51),0,INT((MIN($C101,IF(Settings!$G$51="",$C101,Settings!$G$51))-MAX($A101,Settings!$F$51)-MOD(IFERROR(MATCH(Settings!$E$51,$EO$4:$EO$10,0),0)-WEEKDAY(MAX($A101,Settings!$F$51)),7))/7)+1)),IF(AND(IF(Settings!$E$51="",$B101,DATE(YEAR($A101),MONTH($A101),MIN(Settings!$E$51,DAY($B101))))&gt;=MAX($A101,Settings!$F$51),IF(Settings!$E$51="",$B101,DATE(YEAR($A101),MONTH($A101),MIN(Settings!$E$51,DAY($B101))))&lt;=MIN($C101,IF(Settings!$G$51="",$C101,Settings!$G$51))),1,0)))</f>
        <v/>
      </c>
      <c r="BL101">
        <f>IF(OR(Settings!$C$52="",Settings!$D$52=""),0,Settings!$C$52*IF(Settings!$D$52="Weekly",IF(IFERROR(MATCH(Settings!$E$52,$EO$4:$EO$10,0),0)=0,0,IF(MIN($C101,IF(Settings!$G$52="",$C101,Settings!$G$52))&lt;MAX($A101,Settings!$F$52),0,INT((MIN($C101,IF(Settings!$G$52="",$C101,Settings!$G$52))-MAX($A101,Settings!$F$52)-MOD(IFERROR(MATCH(Settings!$E$52,$EO$4:$EO$10,0),0)-WEEKDAY(MAX($A101,Settings!$F$52)),7))/7)+1)),IF(AND(IF(Settings!$E$52="",$B101,DATE(YEAR($A101),MONTH($A101),MIN(Settings!$E$52,DAY($B101))))&gt;=MAX($A101,Settings!$F$52),IF(Settings!$E$52="",$B101,DATE(YEAR($A101),MONTH($A101),MIN(Settings!$E$52,DAY($B101))))&lt;=MIN($C101,IF(Settings!$G$52="",$C101,Settings!$G$52))),1,0)))</f>
        <v/>
      </c>
      <c r="BM101">
        <f>IF(OR(Settings!$C$53="",Settings!$D$53=""),0,Settings!$C$53*IF(Settings!$D$53="Weekly",IF(IFERROR(MATCH(Settings!$E$53,$EO$4:$EO$10,0),0)=0,0,IF(MIN($C101,IF(Settings!$G$53="",$C101,Settings!$G$53))&lt;MAX($A101,Settings!$F$53),0,INT((MIN($C101,IF(Settings!$G$53="",$C101,Settings!$G$53))-MAX($A101,Settings!$F$53)-MOD(IFERROR(MATCH(Settings!$E$53,$EO$4:$EO$10,0),0)-WEEKDAY(MAX($A101,Settings!$F$53)),7))/7)+1)),IF(AND(IF(Settings!$E$53="",$B101,DATE(YEAR($A101),MONTH($A101),MIN(Settings!$E$53,DAY($B101))))&gt;=MAX($A101,Settings!$F$53),IF(Settings!$E$53="",$B101,DATE(YEAR($A101),MONTH($A101),MIN(Settings!$E$53,DAY($B101))))&lt;=MIN($C101,IF(Settings!$G$53="",$C101,Settings!$G$53))),1,0)))</f>
        <v/>
      </c>
      <c r="BN101">
        <f>IF(OR(Settings!$C$54="",Settings!$D$54=""),0,Settings!$C$54*IF(Settings!$D$54="Weekly",IF(IFERROR(MATCH(Settings!$E$54,$EO$4:$EO$10,0),0)=0,0,IF(MIN($C101,IF(Settings!$G$54="",$C101,Settings!$G$54))&lt;MAX($A101,Settings!$F$54),0,INT((MIN($C101,IF(Settings!$G$54="",$C101,Settings!$G$54))-MAX($A101,Settings!$F$54)-MOD(IFERROR(MATCH(Settings!$E$54,$EO$4:$EO$10,0),0)-WEEKDAY(MAX($A101,Settings!$F$54)),7))/7)+1)),IF(AND(IF(Settings!$E$54="",$B101,DATE(YEAR($A101),MONTH($A101),MIN(Settings!$E$54,DAY($B101))))&gt;=MAX($A101,Settings!$F$54),IF(Settings!$E$54="",$B101,DATE(YEAR($A101),MONTH($A101),MIN(Settings!$E$54,DAY($B101))))&lt;=MIN($C101,IF(Settings!$G$54="",$C101,Settings!$G$54))),1,0)))</f>
        <v/>
      </c>
      <c r="BO101">
        <f>IF(OR(Settings!$C$55="",Settings!$D$55=""),0,Settings!$C$55*IF(Settings!$D$55="Weekly",IF(IFERROR(MATCH(Settings!$E$55,$EO$4:$EO$10,0),0)=0,0,IF(MIN($C101,IF(Settings!$G$55="",$C101,Settings!$G$55))&lt;MAX($A101,Settings!$F$55),0,INT((MIN($C101,IF(Settings!$G$55="",$C101,Settings!$G$55))-MAX($A101,Settings!$F$55)-MOD(IFERROR(MATCH(Settings!$E$55,$EO$4:$EO$10,0),0)-WEEKDAY(MAX($A101,Settings!$F$55)),7))/7)+1)),IF(AND(IF(Settings!$E$55="",$B101,DATE(YEAR($A101),MONTH($A101),MIN(Settings!$E$55,DAY($B101))))&gt;=MAX($A101,Settings!$F$55),IF(Settings!$E$55="",$B101,DATE(YEAR($A101),MONTH($A101),MIN(Settings!$E$55,DAY($B101))))&lt;=MIN($C101,IF(Settings!$G$55="",$C101,Settings!$G$55))),1,0)))</f>
        <v/>
      </c>
      <c r="BP101">
        <f>IF(OR(Settings!$C$56="",Settings!$D$56=""),0,Settings!$C$56*IF(Settings!$D$56="Weekly",IF(IFERROR(MATCH(Settings!$E$56,$EO$4:$EO$10,0),0)=0,0,IF(MIN($C101,IF(Settings!$G$56="",$C101,Settings!$G$56))&lt;MAX($A101,Settings!$F$56),0,INT((MIN($C101,IF(Settings!$G$56="",$C101,Settings!$G$56))-MAX($A101,Settings!$F$56)-MOD(IFERROR(MATCH(Settings!$E$56,$EO$4:$EO$10,0),0)-WEEKDAY(MAX($A101,Settings!$F$56)),7))/7)+1)),IF(AND(IF(Settings!$E$56="",$B101,DATE(YEAR($A101),MONTH($A101),MIN(Settings!$E$56,DAY($B101))))&gt;=MAX($A101,Settings!$F$56),IF(Settings!$E$56="",$B101,DATE(YEAR($A101),MONTH($A101),MIN(Settings!$E$56,DAY($B101))))&lt;=MIN($C101,IF(Settings!$G$56="",$C101,Settings!$G$56))),1,0)))</f>
        <v/>
      </c>
      <c r="BQ101">
        <f>IF(OR(Settings!$B$14="",$D101=1,$E101="pre",$A101&lt;IF(Settings!$B$15="",0,Settings!$B$15)),0,Settings!$B$14)</f>
        <v/>
      </c>
      <c r="BR101">
        <f>IF(AND('Month-End'!$CT$7&lt;&gt;"",NOT(_xlfn.ISFORMULA('Month-End'!$CT$7))),1,0)</f>
        <v/>
      </c>
      <c r="BS101">
        <f>IF(AND('Month-End'!$CT$8&lt;&gt;"",NOT(_xlfn.ISFORMULA('Month-End'!$CT$8))),1,0)</f>
        <v/>
      </c>
      <c r="BT101">
        <f>IF(AND('Month-End'!$CT$9&lt;&gt;"",NOT(_xlfn.ISFORMULA('Month-End'!$CT$9))),1,0)</f>
        <v/>
      </c>
      <c r="BU101">
        <f>IF(AND('Month-End'!$CT$10&lt;&gt;"",NOT(_xlfn.ISFORMULA('Month-End'!$CT$10))),1,0)</f>
        <v/>
      </c>
      <c r="BV101">
        <f>IF(AND('Month-End'!$CT$11&lt;&gt;"",NOT(_xlfn.ISFORMULA('Month-End'!$CT$11))),1,0)</f>
        <v/>
      </c>
      <c r="BW101">
        <f>IF(AND('Month-End'!$CT$12&lt;&gt;"",NOT(_xlfn.ISFORMULA('Month-End'!$CT$12))),1,0)</f>
        <v/>
      </c>
      <c r="BX101">
        <f>IF(AND('Month-End'!$CT$13&lt;&gt;"",NOT(_xlfn.ISFORMULA('Month-End'!$CT$13))),1,0)</f>
        <v/>
      </c>
      <c r="BY101">
        <f>IF(AND('Month-End'!$CT$14&lt;&gt;"",NOT(_xlfn.ISFORMULA('Month-End'!$CT$14))),1,0)</f>
        <v/>
      </c>
      <c r="BZ101">
        <f>IF(AND('Month-End'!$CT$15&lt;&gt;"",NOT(_xlfn.ISFORMULA('Month-End'!$CT$15))),1,0)</f>
        <v/>
      </c>
      <c r="CA101">
        <f>IF(AND('Month-End'!$CT$16&lt;&gt;"",NOT(_xlfn.ISFORMULA('Month-End'!$CT$16))),1,0)</f>
        <v/>
      </c>
      <c r="CB101">
        <f>IF(AND('Month-End'!$CT$17&lt;&gt;"",NOT(_xlfn.ISFORMULA('Month-End'!$CT$17))),1,0)</f>
        <v/>
      </c>
      <c r="CC101">
        <f>IF(AND('Month-End'!$CT$18&lt;&gt;"",NOT(_xlfn.ISFORMULA('Month-End'!$CT$18))),1,0)</f>
        <v/>
      </c>
      <c r="CD101">
        <f>IF(AND('Month-End'!$CT$19&lt;&gt;"",NOT(_xlfn.ISFORMULA('Month-End'!$CT$19))),1,0)</f>
        <v/>
      </c>
      <c r="CE101">
        <f>IF(AND('Month-End'!$CT$20&lt;&gt;"",NOT(_xlfn.ISFORMULA('Month-End'!$CT$20))),1,0)</f>
        <v/>
      </c>
      <c r="CF101">
        <f>IF(AND('Month-End'!$CT$38&lt;&gt;"",NOT(_xlfn.ISFORMULA('Month-End'!$CT$38))),1,0)</f>
        <v/>
      </c>
      <c r="CG101">
        <f>IF(AND('Month-End'!$CT$39&lt;&gt;"",NOT(_xlfn.ISFORMULA('Month-End'!$CT$39))),1,0)</f>
        <v/>
      </c>
      <c r="CH101">
        <f>IF(AND('Month-End'!$CT$40&lt;&gt;"",NOT(_xlfn.ISFORMULA('Month-End'!$CT$40))),1,0)</f>
        <v/>
      </c>
      <c r="CI101">
        <f>IF(AND('Month-End'!$CT$41&lt;&gt;"",NOT(_xlfn.ISFORMULA('Month-End'!$CT$41))),1,0)</f>
        <v/>
      </c>
      <c r="CJ101">
        <f>IF(AND('Month-End'!$CT$42&lt;&gt;"",NOT(_xlfn.ISFORMULA('Month-End'!$CT$42))),1,0)</f>
        <v/>
      </c>
      <c r="CK101">
        <f>IF(AND('Month-End'!$CT$43&lt;&gt;"",NOT(_xlfn.ISFORMULA('Month-End'!$CT$43))),1,0)</f>
        <v/>
      </c>
      <c r="CL101">
        <f>SUM($CM101:$CZ101)</f>
        <v/>
      </c>
      <c r="CM101">
        <f>IF(AND($E101&lt;&gt;"pre",AND(Settings!$A$19&lt;&gt;"",Settings!$E$19&lt;&gt;"No"),Settings!$F$19="Yes",NOT(AND('Month-End'!$CT$7&lt;&gt;"",NOT(_xlfn.ISFORMULA('Month-End'!$CT$7))))),1,0)</f>
        <v/>
      </c>
      <c r="CN101">
        <f>IF(AND($E101&lt;&gt;"pre",AND(Settings!$A$20&lt;&gt;"",Settings!$E$20&lt;&gt;"No"),Settings!$F$20="Yes",NOT(AND('Month-End'!$CT$8&lt;&gt;"",NOT(_xlfn.ISFORMULA('Month-End'!$CT$8))))),1,0)</f>
        <v/>
      </c>
      <c r="CO101">
        <f>IF(AND($E101&lt;&gt;"pre",AND(Settings!$A$21&lt;&gt;"",Settings!$E$21&lt;&gt;"No"),Settings!$F$21="Yes",NOT(AND('Month-End'!$CT$9&lt;&gt;"",NOT(_xlfn.ISFORMULA('Month-End'!$CT$9))))),1,0)</f>
        <v/>
      </c>
      <c r="CP101">
        <f>IF(AND($E101&lt;&gt;"pre",AND(Settings!$A$22&lt;&gt;"",Settings!$E$22&lt;&gt;"No"),Settings!$F$22="Yes",NOT(AND('Month-End'!$CT$10&lt;&gt;"",NOT(_xlfn.ISFORMULA('Month-End'!$CT$10))))),1,0)</f>
        <v/>
      </c>
      <c r="CQ101">
        <f>IF(AND($E101&lt;&gt;"pre",AND(Settings!$A$23&lt;&gt;"",Settings!$E$23&lt;&gt;"No"),Settings!$F$23="Yes",NOT(AND('Month-End'!$CT$11&lt;&gt;"",NOT(_xlfn.ISFORMULA('Month-End'!$CT$11))))),1,0)</f>
        <v/>
      </c>
      <c r="CR101">
        <f>IF(AND($E101&lt;&gt;"pre",AND(Settings!$A$24&lt;&gt;"",Settings!$E$24&lt;&gt;"No"),Settings!$F$24="Yes",NOT(AND('Month-End'!$CT$12&lt;&gt;"",NOT(_xlfn.ISFORMULA('Month-End'!$CT$12))))),1,0)</f>
        <v/>
      </c>
      <c r="CS101">
        <f>IF(AND($E101&lt;&gt;"pre",AND(Settings!$A$25&lt;&gt;"",Settings!$E$25&lt;&gt;"No"),Settings!$F$25="Yes",NOT(AND('Month-End'!$CT$13&lt;&gt;"",NOT(_xlfn.ISFORMULA('Month-End'!$CT$13))))),1,0)</f>
        <v/>
      </c>
      <c r="CT101">
        <f>IF(AND($E101&lt;&gt;"pre",AND(Settings!$A$26&lt;&gt;"",Settings!$E$26&lt;&gt;"No"),Settings!$F$26="Yes",NOT(AND('Month-End'!$CT$14&lt;&gt;"",NOT(_xlfn.ISFORMULA('Month-End'!$CT$14))))),1,0)</f>
        <v/>
      </c>
      <c r="CU101">
        <f>IF(AND($E101&lt;&gt;"pre",AND(Settings!$A$27&lt;&gt;"",Settings!$E$27&lt;&gt;"No"),Settings!$F$27="Yes",NOT(AND('Month-End'!$CT$15&lt;&gt;"",NOT(_xlfn.ISFORMULA('Month-End'!$CT$15))))),1,0)</f>
        <v/>
      </c>
      <c r="CV101">
        <f>IF(AND($E101&lt;&gt;"pre",AND(Settings!$A$28&lt;&gt;"",Settings!$E$28&lt;&gt;"No"),Settings!$F$28="Yes",NOT(AND('Month-End'!$CT$16&lt;&gt;"",NOT(_xlfn.ISFORMULA('Month-End'!$CT$16))))),1,0)</f>
        <v/>
      </c>
      <c r="CW101">
        <f>IF(AND($E101&lt;&gt;"pre",AND(Settings!$A$29&lt;&gt;"",Settings!$E$29&lt;&gt;"No"),Settings!$F$29="Yes",NOT(AND('Month-End'!$CT$17&lt;&gt;"",NOT(_xlfn.ISFORMULA('Month-End'!$CT$17))))),1,0)</f>
        <v/>
      </c>
      <c r="CX101">
        <f>IF(AND($E101&lt;&gt;"pre",AND(Settings!$A$30&lt;&gt;"",Settings!$E$30&lt;&gt;"No"),Settings!$F$30="Yes",NOT(AND('Month-End'!$CT$18&lt;&gt;"",NOT(_xlfn.ISFORMULA('Month-End'!$CT$18))))),1,0)</f>
        <v/>
      </c>
      <c r="CY101">
        <f>IF(AND($E101&lt;&gt;"pre",AND(Settings!$A$31&lt;&gt;"",Settings!$E$31&lt;&gt;"No"),Settings!$F$31="Yes",NOT(AND('Month-End'!$CT$19&lt;&gt;"",NOT(_xlfn.ISFORMULA('Month-End'!$CT$19))))),1,0)</f>
        <v/>
      </c>
      <c r="CZ101">
        <f>IF(AND($E101&lt;&gt;"pre",AND(Settings!$A$32&lt;&gt;"",Settings!$E$32&lt;&gt;"No"),Settings!$F$32="Yes",NOT(AND('Month-End'!$CT$20&lt;&gt;"",NOT(_xlfn.ISFORMULA('Month-End'!$CT$20))))),1,0)</f>
        <v/>
      </c>
      <c r="DA101">
        <f>IF($DT101=1,IF(OR(Settings!$B$19="Checking",Settings!$B$19="Savings",Settings!$B$19="Cash"),N($AE101),IF(OR(Settings!$B$19="Card",Settings!$B$19="Loan"),-N($AE101),0))+IF(OR(Settings!$B$20="Checking",Settings!$B$20="Savings",Settings!$B$20="Cash"),N($AF101),IF(OR(Settings!$B$20="Card",Settings!$B$20="Loan"),-N($AF101),0))+IF(OR(Settings!$B$21="Checking",Settings!$B$21="Savings",Settings!$B$21="Cash"),N($AG101),IF(OR(Settings!$B$21="Card",Settings!$B$21="Loan"),-N($AG101),0))+IF(OR(Settings!$B$22="Checking",Settings!$B$22="Savings",Settings!$B$22="Cash"),N($AH101),IF(OR(Settings!$B$22="Card",Settings!$B$22="Loan"),-N($AH101),0))+IF(OR(Settings!$B$23="Checking",Settings!$B$23="Savings",Settings!$B$23="Cash"),N($AI101),IF(OR(Settings!$B$23="Card",Settings!$B$23="Loan"),-N($AI101),0))+IF(OR(Settings!$B$24="Checking",Settings!$B$24="Savings",Settings!$B$24="Cash"),N($AJ101),IF(OR(Settings!$B$24="Card",Settings!$B$24="Loan"),-N($AJ101),0))+IF(OR(Settings!$B$25="Checking",Settings!$B$25="Savings",Settings!$B$25="Cash"),N($AK101),IF(OR(Settings!$B$25="Card",Settings!$B$25="Loan"),-N($AK101),0))+IF(OR(Settings!$B$26="Checking",Settings!$B$26="Savings",Settings!$B$26="Cash"),N($AL101),IF(OR(Settings!$B$26="Card",Settings!$B$26="Loan"),-N($AL101),0))+IF(OR(Settings!$B$27="Checking",Settings!$B$27="Savings",Settings!$B$27="Cash"),N($AM101),IF(OR(Settings!$B$27="Card",Settings!$B$27="Loan"),-N($AM101),0))+IF(OR(Settings!$B$28="Checking",Settings!$B$28="Savings",Settings!$B$28="Cash"),N($AN101),IF(OR(Settings!$B$28="Card",Settings!$B$28="Loan"),-N($AN101),0))+IF(OR(Settings!$B$29="Checking",Settings!$B$29="Savings",Settings!$B$29="Cash"),N($AO101),IF(OR(Settings!$B$29="Card",Settings!$B$29="Loan"),-N($AO101),0))+IF(OR(Settings!$B$30="Checking",Settings!$B$30="Savings",Settings!$B$30="Cash"),N($AP101),IF(OR(Settings!$B$30="Card",Settings!$B$30="Loan"),-N($AP101),0))+IF(OR(Settings!$B$31="Checking",Settings!$B$31="Savings",Settings!$B$31="Cash"),N($AQ101),IF(OR(Settings!$B$31="Card",Settings!$B$31="Loan"),-N($AQ101),0))+IF(OR(Settings!$B$32="Checking",Settings!$B$32="Savings",Settings!$B$32="Cash"),N($AR101),IF(OR(Settings!$B$32="Card",Settings!$B$32="Loan"),-N($AR101),0)),"")</f>
        <v/>
      </c>
      <c r="DB101">
        <f>IF($E101="open",$EB$27,IF($E101="post",IF($E100="pre",$EB$27,$DA100),""))</f>
        <v/>
      </c>
      <c r="DC101">
        <f>IF($E101="open",1,IF($E101="post",IF($E100="pre",1,$DT100),0))</f>
        <v/>
      </c>
      <c r="DD101">
        <f>IF(AND($DT101=1,$DC101=1),ROUND($W101-($DA101-$DB101)-$AD101-$AB101,2),"")</f>
        <v/>
      </c>
      <c r="DE101">
        <f>IF('Month-End'!$CT$35="",$BQ101,N('Month-End'!$CT$35))</f>
        <v/>
      </c>
      <c r="DF101">
        <f>N('Month-End'!$CT$36)</f>
        <v/>
      </c>
      <c r="DG101">
        <f>IF($DD101="","",$DD101+$DE101)</f>
        <v/>
      </c>
      <c r="DH101">
        <f>IF($DG101="","",$DG101-$DF101)</f>
        <v/>
      </c>
      <c r="DI101">
        <f>IF(OR($E101="pre",$D101=1),"",N($AS101)+N($AT101)+N($AU101)+N($AV101)+N($AW101)+N($AX101))</f>
        <v/>
      </c>
      <c r="DJ101">
        <f>IF($DT101=1,$DA101+N($DI101),"")</f>
        <v/>
      </c>
      <c r="DK101">
        <f>IF($DD101="","",$W101-$DD101-$AB101)</f>
        <v/>
      </c>
      <c r="DL101">
        <f>IF(AND($E101="post",$DD101&lt;&gt;"",$B101&lt;TODAY()),1,0)</f>
        <v/>
      </c>
      <c r="DM101">
        <f>IF($DL101=1,COUNTIF($DL101:$DL$183,1),0)</f>
        <v/>
      </c>
      <c r="DN101">
        <f>IF($D101=1,"",IF($E101="pre","History only",IF($DT101=1,IF($DD101="","⚠ Previous month missing",IF($DD101&lt;0,"⚠ Check: spending &lt; 0",IF($E101="open","✓ Done (partial)","✓ Done"))),IF($B101&gt;=TODAY(),"In progress","⚠ Needs balances"))))</f>
        <v/>
      </c>
      <c r="DO101">
        <f>YEAR($A101)</f>
        <v/>
      </c>
      <c r="DP101">
        <f>DATE(YEAR($A101),INT((MONTH($A101)-1)/3)*3+1,1)</f>
        <v/>
      </c>
      <c r="DQ101">
        <f>IF(AND($DT101=1,$DD101&lt;&gt;"",$D101=0),ROW(),0)</f>
        <v/>
      </c>
      <c r="DR101">
        <f>IF(AND($E101&lt;&gt;"pre",$B101&lt;TODAY(),$DT101=0),1,0)</f>
        <v/>
      </c>
      <c r="DS101">
        <f>IF($DJ101="",NA(),$DJ101)</f>
        <v/>
      </c>
      <c r="DT101">
        <f>IF(AND($E101&lt;&gt;"pre",$CL101=0,COUNTIFS(Settings!$F$19:$F$32,"Yes",Settings!$A$19:$A$32,"&lt;&gt;",Settings!$E$19:$E$32,"&lt;&gt;No")&gt;0),1,0)</f>
        <v/>
      </c>
      <c r="DU101">
        <f>IF(AND($B101&lt;TODAY(),$S101&gt;0),1,0)</f>
        <v/>
      </c>
      <c r="DV101">
        <f>IF($DU101=1,COUNTIF($DU101:$DU$183,1),0)</f>
        <v/>
      </c>
      <c r="DW101">
        <f>IF(AND(OR(Settings!$B$19="Card",Settings!$B$19="Loan"),AND('Month-End'!$CT$7&lt;&gt;"",NOT(_xlfn.ISFORMULA('Month-End'!$CT$7)))),IF(N('Month-End'!$CT$7)&lt;0,1,0),0)+IF(AND(OR(Settings!$B$20="Card",Settings!$B$20="Loan"),AND('Month-End'!$CT$8&lt;&gt;"",NOT(_xlfn.ISFORMULA('Month-End'!$CT$8)))),IF(N('Month-End'!$CT$8)&lt;0,1,0),0)+IF(AND(OR(Settings!$B$21="Card",Settings!$B$21="Loan"),AND('Month-End'!$CT$9&lt;&gt;"",NOT(_xlfn.ISFORMULA('Month-End'!$CT$9)))),IF(N('Month-End'!$CT$9)&lt;0,1,0),0)+IF(AND(OR(Settings!$B$22="Card",Settings!$B$22="Loan"),AND('Month-End'!$CT$10&lt;&gt;"",NOT(_xlfn.ISFORMULA('Month-End'!$CT$10)))),IF(N('Month-End'!$CT$10)&lt;0,1,0),0)+IF(AND(OR(Settings!$B$23="Card",Settings!$B$23="Loan"),AND('Month-End'!$CT$11&lt;&gt;"",NOT(_xlfn.ISFORMULA('Month-End'!$CT$11)))),IF(N('Month-End'!$CT$11)&lt;0,1,0),0)+IF(AND(OR(Settings!$B$24="Card",Settings!$B$24="Loan"),AND('Month-End'!$CT$12&lt;&gt;"",NOT(_xlfn.ISFORMULA('Month-End'!$CT$12)))),IF(N('Month-End'!$CT$12)&lt;0,1,0),0)+IF(AND(OR(Settings!$B$25="Card",Settings!$B$25="Loan"),AND('Month-End'!$CT$13&lt;&gt;"",NOT(_xlfn.ISFORMULA('Month-End'!$CT$13)))),IF(N('Month-End'!$CT$13)&lt;0,1,0),0)+IF(AND(OR(Settings!$B$26="Card",Settings!$B$26="Loan"),AND('Month-End'!$CT$14&lt;&gt;"",NOT(_xlfn.ISFORMULA('Month-End'!$CT$14)))),IF(N('Month-End'!$CT$14)&lt;0,1,0),0)+IF(AND(OR(Settings!$B$27="Card",Settings!$B$27="Loan"),AND('Month-End'!$CT$15&lt;&gt;"",NOT(_xlfn.ISFORMULA('Month-End'!$CT$15)))),IF(N('Month-End'!$CT$15)&lt;0,1,0),0)+IF(AND(OR(Settings!$B$28="Card",Settings!$B$28="Loan"),AND('Month-End'!$CT$16&lt;&gt;"",NOT(_xlfn.ISFORMULA('Month-End'!$CT$16)))),IF(N('Month-End'!$CT$16)&lt;0,1,0),0)+IF(AND(OR(Settings!$B$29="Card",Settings!$B$29="Loan"),AND('Month-End'!$CT$17&lt;&gt;"",NOT(_xlfn.ISFORMULA('Month-End'!$CT$17)))),IF(N('Month-End'!$CT$17)&lt;0,1,0),0)+IF(AND(OR(Settings!$B$30="Card",Settings!$B$30="Loan"),AND('Month-End'!$CT$18&lt;&gt;"",NOT(_xlfn.ISFORMULA('Month-End'!$CT$18)))),IF(N('Month-End'!$CT$18)&lt;0,1,0),0)+IF(AND(OR(Settings!$B$31="Card",Settings!$B$31="Loan"),AND('Month-End'!$CT$19&lt;&gt;"",NOT(_xlfn.ISFORMULA('Month-End'!$CT$19)))),IF(N('Month-End'!$CT$19)&lt;0,1,0),0)+IF(AND(OR(Settings!$B$32="Card",Settings!$B$32="Loan"),AND('Month-End'!$CT$20&lt;&gt;"",NOT(_xlfn.ISFORMULA('Month-End'!$CT$20)))),IF(N('Month-End'!$CT$20)&lt;0,1,0),0)</f>
        <v/>
      </c>
      <c r="DX101">
        <f>IF(Settings!$B$36="Retirement",$AY101,0)+IF(Settings!$B$37="Retirement",$AZ101,0)+IF(Settings!$B$38="Retirement",$BA101,0)+IF(Settings!$B$39="Retirement",$BB101,0)+IF(Settings!$B$40="Retirement",$BC101,0)+IF(Settings!$B$41="Retirement",$BD101,0)</f>
        <v/>
      </c>
      <c r="EA101">
        <f>IF(COUNTIFS(Giving!$A$7:$A$2006,"",Giving!$B$7:$B$2006,"&lt;&gt;")+COUNTIFS(Giving!$A$7:$A$2006,"&lt;&gt;",Giving!$B$7:$B$2006,"")=0,"✓ Giving log rows are complete","⚠ A Giving row has a date without an amount (or the reverse)")</f>
        <v/>
      </c>
      <c r="EO101">
        <f>EDATE(DATE(YEAR(TODAY()),MONTH(TODAY()),1),-22)</f>
        <v/>
      </c>
      <c r="ER101">
        <f>IFERROR(IF(INDEX($DJ$6:$DJ$183,MATCH(EO101,$A$6:$A$183,0))="",NA(),INDEX($DJ$6:$DJ$183,MATCH(EO101,$A$6:$A$183,0))),NA())</f>
        <v/>
      </c>
      <c r="ES101">
        <f>TEXT(EO101,"mmm yy")</f>
        <v/>
      </c>
      <c r="ET101">
        <f>IF($E101&lt;&gt;"open",0,IF(AND('Month-End'!$CT$22&lt;&gt;"",NOT(_xlfn.ISFORMULA('Month-End'!$CT$22))),0,IF(OR(Settings!$C$45="",Settings!$D$45=""),0,Settings!$C$45*IF(Settings!$D$45="Weekly",IF(IFERROR(MATCH(Settings!$E$45,$EO$4:$EO$10,0),0)=0,0,IF(MIN(Settings!$B$5,IF(Settings!$G$45="",Settings!$B$5,Settings!$G$45))&lt;MAX($A101,Settings!$F$45),0,INT((MIN(Settings!$B$5,IF(Settings!$G$45="",Settings!$B$5,Settings!$G$45))-MAX($A101,Settings!$F$45)-MOD(IFERROR(MATCH(Settings!$E$45,$EO$4:$EO$10,0),0)-WEEKDAY(MAX($A101,Settings!$F$45)),7))/7)+1)),IF(AND(IF(Settings!$E$45="",$B101,DATE(YEAR($A101),MONTH($A101),MIN(Settings!$E$45,DAY($B101))))&gt;=MAX($A101,Settings!$F$45),IF(Settings!$E$45="",$B101,DATE(YEAR($A101),MONTH($A101),MIN(Settings!$E$45,DAY($B101))))&lt;=MIN(Settings!$B$5,IF(Settings!$G$45="",Settings!$B$5,Settings!$G$45))),1,0)))))</f>
        <v/>
      </c>
      <c r="EU101">
        <f>IF($E101&lt;&gt;"open",0,IF(AND('Month-End'!$CT$23&lt;&gt;"",NOT(_xlfn.ISFORMULA('Month-End'!$CT$23))),0,IF(OR(Settings!$C$46="",Settings!$D$46=""),0,Settings!$C$46*IF(Settings!$D$46="Weekly",IF(IFERROR(MATCH(Settings!$E$46,$EO$4:$EO$10,0),0)=0,0,IF(MIN(Settings!$B$5,IF(Settings!$G$46="",Settings!$B$5,Settings!$G$46))&lt;MAX($A101,Settings!$F$46),0,INT((MIN(Settings!$B$5,IF(Settings!$G$46="",Settings!$B$5,Settings!$G$46))-MAX($A101,Settings!$F$46)-MOD(IFERROR(MATCH(Settings!$E$46,$EO$4:$EO$10,0),0)-WEEKDAY(MAX($A101,Settings!$F$46)),7))/7)+1)),IF(AND(IF(Settings!$E$46="",$B101,DATE(YEAR($A101),MONTH($A101),MIN(Settings!$E$46,DAY($B101))))&gt;=MAX($A101,Settings!$F$46),IF(Settings!$E$46="",$B101,DATE(YEAR($A101),MONTH($A101),MIN(Settings!$E$46,DAY($B101))))&lt;=MIN(Settings!$B$5,IF(Settings!$G$46="",Settings!$B$5,Settings!$G$46))),1,0)))))</f>
        <v/>
      </c>
      <c r="EV101">
        <f>IF($E101&lt;&gt;"open",0,IF(AND('Month-End'!$CT$24&lt;&gt;"",NOT(_xlfn.ISFORMULA('Month-End'!$CT$24))),0,IF(OR(Settings!$C$47="",Settings!$D$47=""),0,Settings!$C$47*IF(Settings!$D$47="Weekly",IF(IFERROR(MATCH(Settings!$E$47,$EO$4:$EO$10,0),0)=0,0,IF(MIN(Settings!$B$5,IF(Settings!$G$47="",Settings!$B$5,Settings!$G$47))&lt;MAX($A101,Settings!$F$47),0,INT((MIN(Settings!$B$5,IF(Settings!$G$47="",Settings!$B$5,Settings!$G$47))-MAX($A101,Settings!$F$47)-MOD(IFERROR(MATCH(Settings!$E$47,$EO$4:$EO$10,0),0)-WEEKDAY(MAX($A101,Settings!$F$47)),7))/7)+1)),IF(AND(IF(Settings!$E$47="",$B101,DATE(YEAR($A101),MONTH($A101),MIN(Settings!$E$47,DAY($B101))))&gt;=MAX($A101,Settings!$F$47),IF(Settings!$E$47="",$B101,DATE(YEAR($A101),MONTH($A101),MIN(Settings!$E$47,DAY($B101))))&lt;=MIN(Settings!$B$5,IF(Settings!$G$47="",Settings!$B$5,Settings!$G$47))),1,0)))))</f>
        <v/>
      </c>
      <c r="EW101">
        <f>IF($E101&lt;&gt;"open",0,IF(AND('Month-End'!$CT$25&lt;&gt;"",NOT(_xlfn.ISFORMULA('Month-End'!$CT$25))),0,IF(OR(Settings!$C$48="",Settings!$D$48=""),0,Settings!$C$48*IF(Settings!$D$48="Weekly",IF(IFERROR(MATCH(Settings!$E$48,$EO$4:$EO$10,0),0)=0,0,IF(MIN(Settings!$B$5,IF(Settings!$G$48="",Settings!$B$5,Settings!$G$48))&lt;MAX($A101,Settings!$F$48),0,INT((MIN(Settings!$B$5,IF(Settings!$G$48="",Settings!$B$5,Settings!$G$48))-MAX($A101,Settings!$F$48)-MOD(IFERROR(MATCH(Settings!$E$48,$EO$4:$EO$10,0),0)-WEEKDAY(MAX($A101,Settings!$F$48)),7))/7)+1)),IF(AND(IF(Settings!$E$48="",$B101,DATE(YEAR($A101),MONTH($A101),MIN(Settings!$E$48,DAY($B101))))&gt;=MAX($A101,Settings!$F$48),IF(Settings!$E$48="",$B101,DATE(YEAR($A101),MONTH($A101),MIN(Settings!$E$48,DAY($B101))))&lt;=MIN(Settings!$B$5,IF(Settings!$G$48="",Settings!$B$5,Settings!$G$48))),1,0)))))</f>
        <v/>
      </c>
      <c r="EX101">
        <f>IF($E101&lt;&gt;"open",0,IF(AND('Month-End'!$CT$26&lt;&gt;"",NOT(_xlfn.ISFORMULA('Month-End'!$CT$26))),0,IF(OR(Settings!$C$49="",Settings!$D$49=""),0,Settings!$C$49*IF(Settings!$D$49="Weekly",IF(IFERROR(MATCH(Settings!$E$49,$EO$4:$EO$10,0),0)=0,0,IF(MIN(Settings!$B$5,IF(Settings!$G$49="",Settings!$B$5,Settings!$G$49))&lt;MAX($A101,Settings!$F$49),0,INT((MIN(Settings!$B$5,IF(Settings!$G$49="",Settings!$B$5,Settings!$G$49))-MAX($A101,Settings!$F$49)-MOD(IFERROR(MATCH(Settings!$E$49,$EO$4:$EO$10,0),0)-WEEKDAY(MAX($A101,Settings!$F$49)),7))/7)+1)),IF(AND(IF(Settings!$E$49="",$B101,DATE(YEAR($A101),MONTH($A101),MIN(Settings!$E$49,DAY($B101))))&gt;=MAX($A101,Settings!$F$49),IF(Settings!$E$49="",$B101,DATE(YEAR($A101),MONTH($A101),MIN(Settings!$E$49,DAY($B101))))&lt;=MIN(Settings!$B$5,IF(Settings!$G$49="",Settings!$B$5,Settings!$G$49))),1,0)))))</f>
        <v/>
      </c>
      <c r="EY101">
        <f>IF($E101&lt;&gt;"open",0,IF(AND('Month-End'!$CT$27&lt;&gt;"",NOT(_xlfn.ISFORMULA('Month-End'!$CT$27))),0,IF(OR(Settings!$C$50="",Settings!$D$50=""),0,Settings!$C$50*IF(Settings!$D$50="Weekly",IF(IFERROR(MATCH(Settings!$E$50,$EO$4:$EO$10,0),0)=0,0,IF(MIN(Settings!$B$5,IF(Settings!$G$50="",Settings!$B$5,Settings!$G$50))&lt;MAX($A101,Settings!$F$50),0,INT((MIN(Settings!$B$5,IF(Settings!$G$50="",Settings!$B$5,Settings!$G$50))-MAX($A101,Settings!$F$50)-MOD(IFERROR(MATCH(Settings!$E$50,$EO$4:$EO$10,0),0)-WEEKDAY(MAX($A101,Settings!$F$50)),7))/7)+1)),IF(AND(IF(Settings!$E$50="",$B101,DATE(YEAR($A101),MONTH($A101),MIN(Settings!$E$50,DAY($B101))))&gt;=MAX($A101,Settings!$F$50),IF(Settings!$E$50="",$B101,DATE(YEAR($A101),MONTH($A101),MIN(Settings!$E$50,DAY($B101))))&lt;=MIN(Settings!$B$5,IF(Settings!$G$50="",Settings!$B$5,Settings!$G$50))),1,0)))))</f>
        <v/>
      </c>
      <c r="EZ101">
        <f>IF($E101&lt;&gt;"open",0,IF(AND('Month-End'!$CT$28&lt;&gt;"",NOT(_xlfn.ISFORMULA('Month-End'!$CT$28))),0,IF(OR(Settings!$C$51="",Settings!$D$51=""),0,Settings!$C$51*IF(Settings!$D$51="Weekly",IF(IFERROR(MATCH(Settings!$E$51,$EO$4:$EO$10,0),0)=0,0,IF(MIN(Settings!$B$5,IF(Settings!$G$51="",Settings!$B$5,Settings!$G$51))&lt;MAX($A101,Settings!$F$51),0,INT((MIN(Settings!$B$5,IF(Settings!$G$51="",Settings!$B$5,Settings!$G$51))-MAX($A101,Settings!$F$51)-MOD(IFERROR(MATCH(Settings!$E$51,$EO$4:$EO$10,0),0)-WEEKDAY(MAX($A101,Settings!$F$51)),7))/7)+1)),IF(AND(IF(Settings!$E$51="",$B101,DATE(YEAR($A101),MONTH($A101),MIN(Settings!$E$51,DAY($B101))))&gt;=MAX($A101,Settings!$F$51),IF(Settings!$E$51="",$B101,DATE(YEAR($A101),MONTH($A101),MIN(Settings!$E$51,DAY($B101))))&lt;=MIN(Settings!$B$5,IF(Settings!$G$51="",Settings!$B$5,Settings!$G$51))),1,0)))))</f>
        <v/>
      </c>
      <c r="FA101">
        <f>IF($E101&lt;&gt;"open",0,IF(AND('Month-End'!$CT$29&lt;&gt;"",NOT(_xlfn.ISFORMULA('Month-End'!$CT$29))),0,IF(OR(Settings!$C$52="",Settings!$D$52=""),0,Settings!$C$52*IF(Settings!$D$52="Weekly",IF(IFERROR(MATCH(Settings!$E$52,$EO$4:$EO$10,0),0)=0,0,IF(MIN(Settings!$B$5,IF(Settings!$G$52="",Settings!$B$5,Settings!$G$52))&lt;MAX($A101,Settings!$F$52),0,INT((MIN(Settings!$B$5,IF(Settings!$G$52="",Settings!$B$5,Settings!$G$52))-MAX($A101,Settings!$F$52)-MOD(IFERROR(MATCH(Settings!$E$52,$EO$4:$EO$10,0),0)-WEEKDAY(MAX($A101,Settings!$F$52)),7))/7)+1)),IF(AND(IF(Settings!$E$52="",$B101,DATE(YEAR($A101),MONTH($A101),MIN(Settings!$E$52,DAY($B101))))&gt;=MAX($A101,Settings!$F$52),IF(Settings!$E$52="",$B101,DATE(YEAR($A101),MONTH($A101),MIN(Settings!$E$52,DAY($B101))))&lt;=MIN(Settings!$B$5,IF(Settings!$G$52="",Settings!$B$5,Settings!$G$52))),1,0)))))</f>
        <v/>
      </c>
      <c r="FB101">
        <f>IF($E101&lt;&gt;"open",0,IF(AND('Month-End'!$CT$30&lt;&gt;"",NOT(_xlfn.ISFORMULA('Month-End'!$CT$30))),0,IF(OR(Settings!$C$53="",Settings!$D$53=""),0,Settings!$C$53*IF(Settings!$D$53="Weekly",IF(IFERROR(MATCH(Settings!$E$53,$EO$4:$EO$10,0),0)=0,0,IF(MIN(Settings!$B$5,IF(Settings!$G$53="",Settings!$B$5,Settings!$G$53))&lt;MAX($A101,Settings!$F$53),0,INT((MIN(Settings!$B$5,IF(Settings!$G$53="",Settings!$B$5,Settings!$G$53))-MAX($A101,Settings!$F$53)-MOD(IFERROR(MATCH(Settings!$E$53,$EO$4:$EO$10,0),0)-WEEKDAY(MAX($A101,Settings!$F$53)),7))/7)+1)),IF(AND(IF(Settings!$E$53="",$B101,DATE(YEAR($A101),MONTH($A101),MIN(Settings!$E$53,DAY($B101))))&gt;=MAX($A101,Settings!$F$53),IF(Settings!$E$53="",$B101,DATE(YEAR($A101),MONTH($A101),MIN(Settings!$E$53,DAY($B101))))&lt;=MIN(Settings!$B$5,IF(Settings!$G$53="",Settings!$B$5,Settings!$G$53))),1,0)))))</f>
        <v/>
      </c>
      <c r="FC101">
        <f>IF($E101&lt;&gt;"open",0,IF(AND('Month-End'!$CT$31&lt;&gt;"",NOT(_xlfn.ISFORMULA('Month-End'!$CT$31))),0,IF(OR(Settings!$C$54="",Settings!$D$54=""),0,Settings!$C$54*IF(Settings!$D$54="Weekly",IF(IFERROR(MATCH(Settings!$E$54,$EO$4:$EO$10,0),0)=0,0,IF(MIN(Settings!$B$5,IF(Settings!$G$54="",Settings!$B$5,Settings!$G$54))&lt;MAX($A101,Settings!$F$54),0,INT((MIN(Settings!$B$5,IF(Settings!$G$54="",Settings!$B$5,Settings!$G$54))-MAX($A101,Settings!$F$54)-MOD(IFERROR(MATCH(Settings!$E$54,$EO$4:$EO$10,0),0)-WEEKDAY(MAX($A101,Settings!$F$54)),7))/7)+1)),IF(AND(IF(Settings!$E$54="",$B101,DATE(YEAR($A101),MONTH($A101),MIN(Settings!$E$54,DAY($B101))))&gt;=MAX($A101,Settings!$F$54),IF(Settings!$E$54="",$B101,DATE(YEAR($A101),MONTH($A101),MIN(Settings!$E$54,DAY($B101))))&lt;=MIN(Settings!$B$5,IF(Settings!$G$54="",Settings!$B$5,Settings!$G$54))),1,0)))))</f>
        <v/>
      </c>
      <c r="FD101">
        <f>IF($E101&lt;&gt;"open",0,IF(AND('Month-End'!$CT$32&lt;&gt;"",NOT(_xlfn.ISFORMULA('Month-End'!$CT$32))),0,IF(OR(Settings!$C$55="",Settings!$D$55=""),0,Settings!$C$55*IF(Settings!$D$55="Weekly",IF(IFERROR(MATCH(Settings!$E$55,$EO$4:$EO$10,0),0)=0,0,IF(MIN(Settings!$B$5,IF(Settings!$G$55="",Settings!$B$5,Settings!$G$55))&lt;MAX($A101,Settings!$F$55),0,INT((MIN(Settings!$B$5,IF(Settings!$G$55="",Settings!$B$5,Settings!$G$55))-MAX($A101,Settings!$F$55)-MOD(IFERROR(MATCH(Settings!$E$55,$EO$4:$EO$10,0),0)-WEEKDAY(MAX($A101,Settings!$F$55)),7))/7)+1)),IF(AND(IF(Settings!$E$55="",$B101,DATE(YEAR($A101),MONTH($A101),MIN(Settings!$E$55,DAY($B101))))&gt;=MAX($A101,Settings!$F$55),IF(Settings!$E$55="",$B101,DATE(YEAR($A101),MONTH($A101),MIN(Settings!$E$55,DAY($B101))))&lt;=MIN(Settings!$B$5,IF(Settings!$G$55="",Settings!$B$5,Settings!$G$55))),1,0)))))</f>
        <v/>
      </c>
      <c r="FE101">
        <f>IF($E101&lt;&gt;"open",0,IF(AND('Month-End'!$CT$33&lt;&gt;"",NOT(_xlfn.ISFORMULA('Month-End'!$CT$33))),0,IF(OR(Settings!$C$56="",Settings!$D$56=""),0,Settings!$C$56*IF(Settings!$D$56="Weekly",IF(IFERROR(MATCH(Settings!$E$56,$EO$4:$EO$10,0),0)=0,0,IF(MIN(Settings!$B$5,IF(Settings!$G$56="",Settings!$B$5,Settings!$G$56))&lt;MAX($A101,Settings!$F$56),0,INT((MIN(Settings!$B$5,IF(Settings!$G$56="",Settings!$B$5,Settings!$G$56))-MAX($A101,Settings!$F$56)-MOD(IFERROR(MATCH(Settings!$E$56,$EO$4:$EO$10,0),0)-WEEKDAY(MAX($A101,Settings!$F$56)),7))/7)+1)),IF(AND(IF(Settings!$E$56="",$B101,DATE(YEAR($A101),MONTH($A101),MIN(Settings!$E$56,DAY($B101))))&gt;=MAX($A101,Settings!$F$56),IF(Settings!$E$56="",$B101,DATE(YEAR($A101),MONTH($A101),MIN(Settings!$E$56,DAY($B101))))&lt;=MIN(Settings!$B$5,IF(Settings!$G$56="",Settings!$B$5,Settings!$G$56))),1,0)))))</f>
        <v/>
      </c>
      <c r="FF101">
        <f>IF(Settings!$I$45="Yes",$G101,0)+IF(Settings!$I$46="Yes",$H101,0)+IF(Settings!$I$47="Yes",$I101,0)+IF(Settings!$I$48="Yes",$J101,0)+IF(Settings!$I$49="Yes",$K101,0)+IF(Settings!$I$50="Yes",$L101,0)+IF(Settings!$I$51="Yes",$M101,0)+IF(Settings!$I$52="Yes",$N101,0)+IF(Settings!$I$53="Yes",$O101,0)+IF(Settings!$I$54="Yes",$P101,0)+IF(Settings!$I$55="Yes",$Q101,0)+IF(Settings!$I$56="Yes",$R101,0)</f>
        <v/>
      </c>
      <c r="FG101">
        <f>IF(AND(Settings!$I$45="Yes",Settings!$J$45="No"),$G101,0)+IF(AND(Settings!$I$46="Yes",Settings!$J$46="No"),$H101,0)+IF(AND(Settings!$I$47="Yes",Settings!$J$47="No"),$I101,0)+IF(AND(Settings!$I$48="Yes",Settings!$J$48="No"),$J101,0)+IF(AND(Settings!$I$49="Yes",Settings!$J$49="No"),$K101,0)+IF(AND(Settings!$I$50="Yes",Settings!$J$50="No"),$L101,0)+IF(AND(Settings!$I$51="Yes",Settings!$J$51="No"),$M101,0)+IF(AND(Settings!$I$52="Yes",Settings!$J$52="No"),$N101,0)+IF(AND(Settings!$I$53="Yes",Settings!$J$53="No"),$O101,0)+IF(AND(Settings!$I$54="Yes",Settings!$J$54="No"),$P101,0)+IF(AND(Settings!$I$55="Yes",Settings!$J$55="No"),$Q101,0)+IF(AND(Settings!$I$56="Yes",Settings!$J$56="No"),$R101,0)</f>
        <v/>
      </c>
      <c r="FH101">
        <f>SUMIFS(Giving!$B$7:$B$2006,Giving!$A$7:$A$2006,"&gt;="&amp;$A101,Giving!$A$7:$A$2006,"&lt;="&amp;$B101,Giving!$G$7:$G$2006,"Yes")+IF(OR(OR(Settings!$B$60="",Settings!$F$60="No"),Settings!$H$60&lt;&gt;"Yes"),0,Settings!$B$60*IF(AND(IF(Settings!$C$60="",$B101,DATE(YEAR($A101),MONTH($A101),MIN(Settings!$C$60,DAY($B101))))&gt;=MAX($A101,Settings!$D$60),IF(Settings!$C$60="",$B101,DATE(YEAR($A101),MONTH($A101),MIN(Settings!$C$60,DAY($B101))))&lt;=MIN($C101,IF(Settings!$E$60="",$C101,Settings!$E$60))),1,0))+IF(OR(OR(Settings!$B$61="",Settings!$F$61="No"),Settings!$H$61&lt;&gt;"Yes"),0,Settings!$B$61*IF(AND(IF(Settings!$C$61="",$B101,DATE(YEAR($A101),MONTH($A101),MIN(Settings!$C$61,DAY($B101))))&gt;=MAX($A101,Settings!$D$61),IF(Settings!$C$61="",$B101,DATE(YEAR($A101),MONTH($A101),MIN(Settings!$C$61,DAY($B101))))&lt;=MIN($C101,IF(Settings!$E$61="",$C101,Settings!$E$61))),1,0))+IF(OR(OR(Settings!$B$62="",Settings!$F$62="No"),Settings!$H$62&lt;&gt;"Yes"),0,Settings!$B$62*IF(AND(IF(Settings!$C$62="",$B101,DATE(YEAR($A101),MONTH($A101),MIN(Settings!$C$62,DAY($B101))))&gt;=MAX($A101,Settings!$D$62),IF(Settings!$C$62="",$B101,DATE(YEAR($A101),MONTH($A101),MIN(Settings!$C$62,DAY($B101))))&lt;=MIN($C101,IF(Settings!$E$62="",$C101,Settings!$E$62))),1,0))+IF(OR(OR(Settings!$B$63="",Settings!$F$63="No"),Settings!$H$63&lt;&gt;"Yes"),0,Settings!$B$63*IF(AND(IF(Settings!$C$63="",$B101,DATE(YEAR($A101),MONTH($A101),MIN(Settings!$C$63,DAY($B101))))&gt;=MAX($A101,Settings!$D$63),IF(Settings!$C$63="",$B101,DATE(YEAR($A101),MONTH($A101),MIN(Settings!$C$63,DAY($B101))))&lt;=MIN($C101,IF(Settings!$E$63="",$C101,Settings!$E$63))),1,0))+IF(OR(OR(Settings!$B$64="",Settings!$F$64="No"),Settings!$H$64&lt;&gt;"Yes"),0,Settings!$B$64*IF(AND(IF(Settings!$C$64="",$B101,DATE(YEAR($A101),MONTH($A101),MIN(Settings!$C$64,DAY($B101))))&gt;=MAX($A101,Settings!$D$64),IF(Settings!$C$64="",$B101,DATE(YEAR($A101),MONTH($A101),MIN(Settings!$C$64,DAY($B101))))&lt;=MIN($C101,IF(Settings!$E$64="",$C101,Settings!$E$64))),1,0))+IF(OR(OR(Settings!$B$65="",Settings!$F$65="No"),Settings!$H$65&lt;&gt;"Yes"),0,Settings!$B$65*IF(AND(IF(Settings!$C$65="",$B101,DATE(YEAR($A101),MONTH($A101),MIN(Settings!$C$65,DAY($B101))))&gt;=MAX($A101,Settings!$D$65),IF(Settings!$C$65="",$B101,DATE(YEAR($A101),MONTH($A101),MIN(Settings!$C$65,DAY($B101))))&lt;=MIN($C101,IF(Settings!$E$65="",$C101,Settings!$E$65))),1,0))</f>
        <v/>
      </c>
      <c r="FI101">
        <f>IF($DT101=1,IF(OR(Settings!$B$19="Card",Settings!$B$19="Loan"),N($AE101),0)+IF(OR(Settings!$B$20="Card",Settings!$B$20="Loan"),N($AF101),0)+IF(OR(Settings!$B$21="Card",Settings!$B$21="Loan"),N($AG101),0)+IF(OR(Settings!$B$22="Card",Settings!$B$22="Loan"),N($AH101),0)+IF(OR(Settings!$B$23="Card",Settings!$B$23="Loan"),N($AI101),0)+IF(OR(Settings!$B$24="Card",Settings!$B$24="Loan"),N($AJ101),0)+IF(OR(Settings!$B$25="Card",Settings!$B$25="Loan"),N($AK101),0)+IF(OR(Settings!$B$26="Card",Settings!$B$26="Loan"),N($AL101),0)+IF(OR(Settings!$B$27="Card",Settings!$B$27="Loan"),N($AM101),0)+IF(OR(Settings!$B$28="Card",Settings!$B$28="Loan"),N($AN101),0)+IF(OR(Settings!$B$29="Card",Settings!$B$29="Loan"),N($AO101),0)+IF(OR(Settings!$B$30="Card",Settings!$B$30="Loan"),N($AP101),0)+IF(OR(Settings!$B$31="Card",Settings!$B$31="Loan"),N($AQ101),0)+IF(OR(Settings!$B$32="Card",Settings!$B$32="Loan"),N($AR101),0),"")</f>
        <v/>
      </c>
      <c r="FJ101">
        <f>IF($E101="open",$EB$65,IF($E101="post",IF($E100="pre",$EB$65,$FI100),""))</f>
        <v/>
      </c>
      <c r="FK101">
        <f>IF(AND($DT101=1,$DC101=1),IF(ROUND($FI101-$FJ101,2)&gt;0,1,0),0)</f>
        <v/>
      </c>
      <c r="FL101">
        <f>IF($FK101=1,$FL100+1,0)</f>
        <v/>
      </c>
    </row>
    <row r="102">
      <c r="A102">
        <f>'Month-End'!$CU$4</f>
        <v/>
      </c>
      <c r="B102">
        <f>EOMONTH($A102,0)</f>
        <v/>
      </c>
      <c r="C102">
        <f>MIN($B102,TODAY())</f>
        <v/>
      </c>
      <c r="D102">
        <f>IF($A102&gt;TODAY(),1,0)</f>
        <v/>
      </c>
      <c r="E102">
        <f>IF($B102&lt;=Settings!$B$5,"pre",IF($A102&lt;=Settings!$B$5,"open","post"))</f>
        <v/>
      </c>
      <c r="G102">
        <f>IF('Month-End'!$CU$22="",$BE102,N('Month-End'!$CU$22))</f>
        <v/>
      </c>
      <c r="H102">
        <f>IF('Month-End'!$CU$23="",$BF102,N('Month-End'!$CU$23))</f>
        <v/>
      </c>
      <c r="I102">
        <f>IF('Month-End'!$CU$24="",$BG102,N('Month-End'!$CU$24))</f>
        <v/>
      </c>
      <c r="J102">
        <f>IF('Month-End'!$CU$25="",$BH102,N('Month-End'!$CU$25))</f>
        <v/>
      </c>
      <c r="K102">
        <f>IF('Month-End'!$CU$26="",$BI102,N('Month-End'!$CU$26))</f>
        <v/>
      </c>
      <c r="L102">
        <f>IF('Month-End'!$CU$27="",$BJ102,N('Month-End'!$CU$27))</f>
        <v/>
      </c>
      <c r="M102">
        <f>IF('Month-End'!$CU$28="",$BK102,N('Month-End'!$CU$28))</f>
        <v/>
      </c>
      <c r="N102">
        <f>IF('Month-End'!$CU$29="",$BL102,N('Month-End'!$CU$29))</f>
        <v/>
      </c>
      <c r="O102">
        <f>IF('Month-End'!$CU$30="",$BM102,N('Month-End'!$CU$30))</f>
        <v/>
      </c>
      <c r="P102">
        <f>IF('Month-End'!$CU$31="",$BN102,N('Month-End'!$CU$31))</f>
        <v/>
      </c>
      <c r="Q102">
        <f>IF('Month-End'!$CU$32="",$BO102,N('Month-End'!$CU$32))</f>
        <v/>
      </c>
      <c r="R102">
        <f>IF('Month-End'!$CU$33="",$BP102,N('Month-End'!$CU$33))</f>
        <v/>
      </c>
      <c r="S102">
        <f>$G102+$H102+$I102+$J102+$K102+$L102+$M102+$N102+$O102+$P102+$Q102+$R102</f>
        <v/>
      </c>
      <c r="T102">
        <f>IF($B102&lt;Settings!$B$6,0,IF(Settings!$B$45="Yes",$G102,0)+IF(Settings!$B$46="Yes",$H102,0)+IF(Settings!$B$47="Yes",$I102,0)+IF(Settings!$B$48="Yes",$J102,0)+IF(Settings!$B$49="Yes",$K102,0)+IF(Settings!$B$50="Yes",$L102,0)+IF(Settings!$B$51="Yes",$M102,0)+IF(Settings!$B$52="Yes",$N102,0)+IF(Settings!$B$53="Yes",$O102,0)+IF(Settings!$B$54="Yes",$P102,0)+IF(Settings!$B$55="Yes",$Q102,0)+IF(Settings!$B$56="Yes",$R102,0))</f>
        <v/>
      </c>
      <c r="U102">
        <f>IF(Settings!$B$45="Not Sure",$G102,0)+IF(Settings!$B$46="Not Sure",$H102,0)+IF(Settings!$B$47="Not Sure",$I102,0)+IF(Settings!$B$48="Not Sure",$J102,0)+IF(Settings!$B$49="Not Sure",$K102,0)+IF(Settings!$B$50="Not Sure",$L102,0)+IF(Settings!$B$51="Not Sure",$M102,0)+IF(Settings!$B$52="Not Sure",$N102,0)+IF(Settings!$B$53="Not Sure",$O102,0)+IF(Settings!$B$54="Not Sure",$P102,0)+IF(Settings!$B$55="Not Sure",$Q102,0)+IF(Settings!$B$56="Not Sure",$R102,0)</f>
        <v/>
      </c>
      <c r="V102">
        <f>IF($E102="open",SUM($ET102:$FE102)+N(Settings!$B$13),0)</f>
        <v/>
      </c>
      <c r="W102">
        <f>IF($E102="post",$S102,IF($E102="open",$S102-$V102,0))</f>
        <v/>
      </c>
      <c r="X102">
        <f>SUMIFS(Giving!$B$7:$B$2006,Giving!$A$7:$A$2006,"&gt;="&amp;$A102,Giving!$A$7:$A$2006,"&lt;="&amp;$B102,Giving!$E$7:$E$2006,"&lt;&gt;No")</f>
        <v/>
      </c>
      <c r="Y102">
        <f>SUMIFS(Giving!$B$7:$B$2006,Giving!$A$7:$A$2006,"&gt;="&amp;$A102,Giving!$A$7:$A$2006,"&lt;="&amp;$B102,Giving!$E$7:$E$2006,"No")</f>
        <v/>
      </c>
      <c r="Z102">
        <f>IF(OR(Settings!$B$60="",Settings!$F$60="No"),0,Settings!$B$60*IF(AND(IF(Settings!$C$60="",$B102,DATE(YEAR($A102),MONTH($A102),MIN(Settings!$C$60,DAY($B102))))&gt;=MAX($A102,Settings!$D$60),IF(Settings!$C$60="",$B102,DATE(YEAR($A102),MONTH($A102),MIN(Settings!$C$60,DAY($B102))))&lt;=MIN($C102,IF(Settings!$E$60="",$C102,Settings!$E$60))),1,0))+IF(OR(Settings!$B$61="",Settings!$F$61="No"),0,Settings!$B$61*IF(AND(IF(Settings!$C$61="",$B102,DATE(YEAR($A102),MONTH($A102),MIN(Settings!$C$61,DAY($B102))))&gt;=MAX($A102,Settings!$D$61),IF(Settings!$C$61="",$B102,DATE(YEAR($A102),MONTH($A102),MIN(Settings!$C$61,DAY($B102))))&lt;=MIN($C102,IF(Settings!$E$61="",$C102,Settings!$E$61))),1,0))+IF(OR(Settings!$B$62="",Settings!$F$62="No"),0,Settings!$B$62*IF(AND(IF(Settings!$C$62="",$B102,DATE(YEAR($A102),MONTH($A102),MIN(Settings!$C$62,DAY($B102))))&gt;=MAX($A102,Settings!$D$62),IF(Settings!$C$62="",$B102,DATE(YEAR($A102),MONTH($A102),MIN(Settings!$C$62,DAY($B102))))&lt;=MIN($C102,IF(Settings!$E$62="",$C102,Settings!$E$62))),1,0))+IF(OR(Settings!$B$63="",Settings!$F$63="No"),0,Settings!$B$63*IF(AND(IF(Settings!$C$63="",$B102,DATE(YEAR($A102),MONTH($A102),MIN(Settings!$C$63,DAY($B102))))&gt;=MAX($A102,Settings!$D$63),IF(Settings!$C$63="",$B102,DATE(YEAR($A102),MONTH($A102),MIN(Settings!$C$63,DAY($B102))))&lt;=MIN($C102,IF(Settings!$E$63="",$C102,Settings!$E$63))),1,0))+IF(OR(Settings!$B$64="",Settings!$F$64="No"),0,Settings!$B$64*IF(AND(IF(Settings!$C$64="",$B102,DATE(YEAR($A102),MONTH($A102),MIN(Settings!$C$64,DAY($B102))))&gt;=MAX($A102,Settings!$D$64),IF(Settings!$C$64="",$B102,DATE(YEAR($A102),MONTH($A102),MIN(Settings!$C$64,DAY($B102))))&lt;=MIN($C102,IF(Settings!$E$64="",$C102,Settings!$E$64))),1,0))+IF(OR(Settings!$B$65="",Settings!$F$65="No"),0,Settings!$B$65*IF(AND(IF(Settings!$C$65="",$B102,DATE(YEAR($A102),MONTH($A102),MIN(Settings!$C$65,DAY($B102))))&gt;=MAX($A102,Settings!$D$65),IF(Settings!$C$65="",$B102,DATE(YEAR($A102),MONTH($A102),MIN(Settings!$C$65,DAY($B102))))&lt;=MIN($C102,IF(Settings!$E$65="",$C102,Settings!$E$65))),1,0))</f>
        <v/>
      </c>
      <c r="AA102">
        <f>$X102+$Z102</f>
        <v/>
      </c>
      <c r="AB102">
        <f>IF($E102="post",$AA102,IF($E102="open",SUMIFS(Giving!$B$7:$B$2006,Giving!$A$7:$A$2006,"&gt;"&amp;Settings!$B$5,Giving!$A$7:$A$2006,"&lt;="&amp;$B102,Giving!$E$7:$E$2006,"&lt;&gt;No")+IF(OR(Settings!$B$60="",Settings!$F$60="No"),0,Settings!$B$60*IF(AND(IF(Settings!$C$60="",$B102,DATE(YEAR($A102),MONTH($A102),MIN(Settings!$C$60,DAY($B102))))&gt;=MAX($A102,Settings!$D$60,Settings!$B$5+1),IF(Settings!$C$60="",$B102,DATE(YEAR($A102),MONTH($A102),MIN(Settings!$C$60,DAY($B102))))&lt;=MIN($C102,IF(Settings!$E$60="",$C102,Settings!$E$60))),1,0))+IF(OR(Settings!$B$61="",Settings!$F$61="No"),0,Settings!$B$61*IF(AND(IF(Settings!$C$61="",$B102,DATE(YEAR($A102),MONTH($A102),MIN(Settings!$C$61,DAY($B102))))&gt;=MAX($A102,Settings!$D$61,Settings!$B$5+1),IF(Settings!$C$61="",$B102,DATE(YEAR($A102),MONTH($A102),MIN(Settings!$C$61,DAY($B102))))&lt;=MIN($C102,IF(Settings!$E$61="",$C102,Settings!$E$61))),1,0))+IF(OR(Settings!$B$62="",Settings!$F$62="No"),0,Settings!$B$62*IF(AND(IF(Settings!$C$62="",$B102,DATE(YEAR($A102),MONTH($A102),MIN(Settings!$C$62,DAY($B102))))&gt;=MAX($A102,Settings!$D$62,Settings!$B$5+1),IF(Settings!$C$62="",$B102,DATE(YEAR($A102),MONTH($A102),MIN(Settings!$C$62,DAY($B102))))&lt;=MIN($C102,IF(Settings!$E$62="",$C102,Settings!$E$62))),1,0))+IF(OR(Settings!$B$63="",Settings!$F$63="No"),0,Settings!$B$63*IF(AND(IF(Settings!$C$63="",$B102,DATE(YEAR($A102),MONTH($A102),MIN(Settings!$C$63,DAY($B102))))&gt;=MAX($A102,Settings!$D$63,Settings!$B$5+1),IF(Settings!$C$63="",$B102,DATE(YEAR($A102),MONTH($A102),MIN(Settings!$C$63,DAY($B102))))&lt;=MIN($C102,IF(Settings!$E$63="",$C102,Settings!$E$63))),1,0))+IF(OR(Settings!$B$64="",Settings!$F$64="No"),0,Settings!$B$64*IF(AND(IF(Settings!$C$64="",$B102,DATE(YEAR($A102),MONTH($A102),MIN(Settings!$C$64,DAY($B102))))&gt;=MAX($A102,Settings!$D$64,Settings!$B$5+1),IF(Settings!$C$64="",$B102,DATE(YEAR($A102),MONTH($A102),MIN(Settings!$C$64,DAY($B102))))&lt;=MIN($C102,IF(Settings!$E$64="",$C102,Settings!$E$64))),1,0))+IF(OR(Settings!$B$65="",Settings!$F$65="No"),0,Settings!$B$65*IF(AND(IF(Settings!$C$65="",$B102,DATE(YEAR($A102),MONTH($A102),MIN(Settings!$C$65,DAY($B102))))&gt;=MAX($A102,Settings!$D$65,Settings!$B$5+1),IF(Settings!$C$65="",$B102,DATE(YEAR($A102),MONTH($A102),MIN(Settings!$C$65,DAY($B102))))&lt;=MIN($C102,IF(Settings!$E$65="",$C102,Settings!$E$65))),1,0)),0))</f>
        <v/>
      </c>
      <c r="AC102">
        <f>$AY102+$AZ102+$BA102+$BB102+$BC102+$BD102</f>
        <v/>
      </c>
      <c r="AD102">
        <f>$AC102</f>
        <v/>
      </c>
      <c r="AE102">
        <f>IF(OR(Settings!$A$19="",$E102="pre"),"",IF(AND('Month-End'!$CU$7&lt;&gt;"",NOT(_xlfn.ISFORMULA('Month-End'!$CU$7))),N('Month-End'!$CU$7),IF(OR($E102="open",$E101="pre"),N(Settings!$C$19),N($AE101))))</f>
        <v/>
      </c>
      <c r="AF102">
        <f>IF(OR(Settings!$A$20="",$E102="pre"),"",IF(AND('Month-End'!$CU$8&lt;&gt;"",NOT(_xlfn.ISFORMULA('Month-End'!$CU$8))),N('Month-End'!$CU$8),IF(OR($E102="open",$E101="pre"),N(Settings!$C$20),N($AF101))))</f>
        <v/>
      </c>
      <c r="AG102">
        <f>IF(OR(Settings!$A$21="",$E102="pre"),"",IF(AND('Month-End'!$CU$9&lt;&gt;"",NOT(_xlfn.ISFORMULA('Month-End'!$CU$9))),N('Month-End'!$CU$9),IF(OR($E102="open",$E101="pre"),N(Settings!$C$21),N($AG101))))</f>
        <v/>
      </c>
      <c r="AH102">
        <f>IF(OR(Settings!$A$22="",$E102="pre"),"",IF(AND('Month-End'!$CU$10&lt;&gt;"",NOT(_xlfn.ISFORMULA('Month-End'!$CU$10))),N('Month-End'!$CU$10),IF(OR($E102="open",$E101="pre"),N(Settings!$C$22),N($AH101))))</f>
        <v/>
      </c>
      <c r="AI102">
        <f>IF(OR(Settings!$A$23="",$E102="pre"),"",IF(AND('Month-End'!$CU$11&lt;&gt;"",NOT(_xlfn.ISFORMULA('Month-End'!$CU$11))),N('Month-End'!$CU$11),IF(OR($E102="open",$E101="pre"),N(Settings!$C$23),N($AI101))))</f>
        <v/>
      </c>
      <c r="AJ102">
        <f>IF(OR(Settings!$A$24="",$E102="pre"),"",IF(AND('Month-End'!$CU$12&lt;&gt;"",NOT(_xlfn.ISFORMULA('Month-End'!$CU$12))),N('Month-End'!$CU$12),IF(OR($E102="open",$E101="pre"),N(Settings!$C$24),N($AJ101))))</f>
        <v/>
      </c>
      <c r="AK102">
        <f>IF(OR(Settings!$A$25="",$E102="pre"),"",IF(AND('Month-End'!$CU$13&lt;&gt;"",NOT(_xlfn.ISFORMULA('Month-End'!$CU$13))),N('Month-End'!$CU$13),IF(OR($E102="open",$E101="pre"),N(Settings!$C$25),N($AK101))))</f>
        <v/>
      </c>
      <c r="AL102">
        <f>IF(OR(Settings!$A$26="",$E102="pre"),"",IF(AND('Month-End'!$CU$14&lt;&gt;"",NOT(_xlfn.ISFORMULA('Month-End'!$CU$14))),N('Month-End'!$CU$14),IF(OR($E102="open",$E101="pre"),N(Settings!$C$26),N($AL101))))</f>
        <v/>
      </c>
      <c r="AM102">
        <f>IF(OR(Settings!$A$27="",$E102="pre"),"",IF(AND('Month-End'!$CU$15&lt;&gt;"",NOT(_xlfn.ISFORMULA('Month-End'!$CU$15))),N('Month-End'!$CU$15),IF(OR($E102="open",$E101="pre"),N(Settings!$C$27),N($AM101))))</f>
        <v/>
      </c>
      <c r="AN102">
        <f>IF(OR(Settings!$A$28="",$E102="pre"),"",IF(AND('Month-End'!$CU$16&lt;&gt;"",NOT(_xlfn.ISFORMULA('Month-End'!$CU$16))),N('Month-End'!$CU$16),IF(OR($E102="open",$E101="pre"),N(Settings!$C$28),N($AN101))))</f>
        <v/>
      </c>
      <c r="AO102">
        <f>IF(OR(Settings!$A$29="",$E102="pre"),"",IF(AND('Month-End'!$CU$17&lt;&gt;"",NOT(_xlfn.ISFORMULA('Month-End'!$CU$17))),N('Month-End'!$CU$17),IF(OR($E102="open",$E101="pre"),N(Settings!$C$29),N($AO101))))</f>
        <v/>
      </c>
      <c r="AP102">
        <f>IF(OR(Settings!$A$30="",$E102="pre"),"",IF(AND('Month-End'!$CU$18&lt;&gt;"",NOT(_xlfn.ISFORMULA('Month-End'!$CU$18))),N('Month-End'!$CU$18),IF(OR($E102="open",$E101="pre"),N(Settings!$C$30),N($AP101))))</f>
        <v/>
      </c>
      <c r="AQ102">
        <f>IF(OR(Settings!$A$31="",$E102="pre"),"",IF(AND('Month-End'!$CU$19&lt;&gt;"",NOT(_xlfn.ISFORMULA('Month-End'!$CU$19))),N('Month-End'!$CU$19),IF(OR($E102="open",$E101="pre"),N(Settings!$C$31),N($AQ101))))</f>
        <v/>
      </c>
      <c r="AR102">
        <f>IF(OR(Settings!$A$32="",$E102="pre"),"",IF(AND('Month-End'!$CU$20&lt;&gt;"",NOT(_xlfn.ISFORMULA('Month-End'!$CU$20))),N('Month-End'!$CU$20),IF(OR($E102="open",$E101="pre"),N(Settings!$C$32),N($AR101))))</f>
        <v/>
      </c>
      <c r="AS102">
        <f>IF(OR(Settings!$A$36="",$E102="pre"),"",IF(AND('Month-End'!$CU$38&lt;&gt;"",NOT(_xlfn.ISFORMULA('Month-End'!$CU$38))),N('Month-End'!$CU$38),IF(OR($E102="open",$E101="pre"),N(Settings!$C$36),N($AS101))+$AY102))</f>
        <v/>
      </c>
      <c r="AT102">
        <f>IF(OR(Settings!$A$37="",$E102="pre"),"",IF(AND('Month-End'!$CU$39&lt;&gt;"",NOT(_xlfn.ISFORMULA('Month-End'!$CU$39))),N('Month-End'!$CU$39),IF(OR($E102="open",$E101="pre"),N(Settings!$C$37),N($AT101))+$AZ102))</f>
        <v/>
      </c>
      <c r="AU102">
        <f>IF(OR(Settings!$A$38="",$E102="pre"),"",IF(AND('Month-End'!$CU$40&lt;&gt;"",NOT(_xlfn.ISFORMULA('Month-End'!$CU$40))),N('Month-End'!$CU$40),IF(OR($E102="open",$E101="pre"),N(Settings!$C$38),N($AU101))+$BA102))</f>
        <v/>
      </c>
      <c r="AV102">
        <f>IF(OR(Settings!$A$39="",$E102="pre"),"",IF(AND('Month-End'!$CU$41&lt;&gt;"",NOT(_xlfn.ISFORMULA('Month-End'!$CU$41))),N('Month-End'!$CU$41),IF(OR($E102="open",$E101="pre"),N(Settings!$C$39),N($AV101))+$BB102))</f>
        <v/>
      </c>
      <c r="AW102">
        <f>IF(OR(Settings!$A$40="",$E102="pre"),"",IF(AND('Month-End'!$CU$42&lt;&gt;"",NOT(_xlfn.ISFORMULA('Month-End'!$CU$42))),N('Month-End'!$CU$42),IF(OR($E102="open",$E101="pre"),N(Settings!$C$40),N($AW101))+$BC102))</f>
        <v/>
      </c>
      <c r="AX102">
        <f>IF(OR(Settings!$A$41="",$E102="pre"),"",IF(AND('Month-End'!$CU$43&lt;&gt;"",NOT(_xlfn.ISFORMULA('Month-End'!$CU$43))),N('Month-End'!$CU$43),IF(OR($E102="open",$E101="pre"),N(Settings!$C$41),N($AX101))+$BD102))</f>
        <v/>
      </c>
      <c r="AY102">
        <f>IF($E102="pre",0,N('Month-End'!$CU$45))</f>
        <v/>
      </c>
      <c r="AZ102">
        <f>IF($E102="pre",0,N('Month-End'!$CU$46))</f>
        <v/>
      </c>
      <c r="BA102">
        <f>IF($E102="pre",0,N('Month-End'!$CU$47))</f>
        <v/>
      </c>
      <c r="BB102">
        <f>IF($E102="pre",0,N('Month-End'!$CU$48))</f>
        <v/>
      </c>
      <c r="BC102">
        <f>IF($E102="pre",0,N('Month-End'!$CU$49))</f>
        <v/>
      </c>
      <c r="BD102">
        <f>IF($E102="pre",0,N('Month-End'!$CU$50))</f>
        <v/>
      </c>
      <c r="BE102">
        <f>IF(OR(Settings!$C$45="",Settings!$D$45=""),0,Settings!$C$45*IF(Settings!$D$45="Weekly",IF(IFERROR(MATCH(Settings!$E$45,$EO$4:$EO$10,0),0)=0,0,IF(MIN($C102,IF(Settings!$G$45="",$C102,Settings!$G$45))&lt;MAX($A102,Settings!$F$45),0,INT((MIN($C102,IF(Settings!$G$45="",$C102,Settings!$G$45))-MAX($A102,Settings!$F$45)-MOD(IFERROR(MATCH(Settings!$E$45,$EO$4:$EO$10,0),0)-WEEKDAY(MAX($A102,Settings!$F$45)),7))/7)+1)),IF(AND(IF(Settings!$E$45="",$B102,DATE(YEAR($A102),MONTH($A102),MIN(Settings!$E$45,DAY($B102))))&gt;=MAX($A102,Settings!$F$45),IF(Settings!$E$45="",$B102,DATE(YEAR($A102),MONTH($A102),MIN(Settings!$E$45,DAY($B102))))&lt;=MIN($C102,IF(Settings!$G$45="",$C102,Settings!$G$45))),1,0)))</f>
        <v/>
      </c>
      <c r="BF102">
        <f>IF(OR(Settings!$C$46="",Settings!$D$46=""),0,Settings!$C$46*IF(Settings!$D$46="Weekly",IF(IFERROR(MATCH(Settings!$E$46,$EO$4:$EO$10,0),0)=0,0,IF(MIN($C102,IF(Settings!$G$46="",$C102,Settings!$G$46))&lt;MAX($A102,Settings!$F$46),0,INT((MIN($C102,IF(Settings!$G$46="",$C102,Settings!$G$46))-MAX($A102,Settings!$F$46)-MOD(IFERROR(MATCH(Settings!$E$46,$EO$4:$EO$10,0),0)-WEEKDAY(MAX($A102,Settings!$F$46)),7))/7)+1)),IF(AND(IF(Settings!$E$46="",$B102,DATE(YEAR($A102),MONTH($A102),MIN(Settings!$E$46,DAY($B102))))&gt;=MAX($A102,Settings!$F$46),IF(Settings!$E$46="",$B102,DATE(YEAR($A102),MONTH($A102),MIN(Settings!$E$46,DAY($B102))))&lt;=MIN($C102,IF(Settings!$G$46="",$C102,Settings!$G$46))),1,0)))</f>
        <v/>
      </c>
      <c r="BG102">
        <f>IF(OR(Settings!$C$47="",Settings!$D$47=""),0,Settings!$C$47*IF(Settings!$D$47="Weekly",IF(IFERROR(MATCH(Settings!$E$47,$EO$4:$EO$10,0),0)=0,0,IF(MIN($C102,IF(Settings!$G$47="",$C102,Settings!$G$47))&lt;MAX($A102,Settings!$F$47),0,INT((MIN($C102,IF(Settings!$G$47="",$C102,Settings!$G$47))-MAX($A102,Settings!$F$47)-MOD(IFERROR(MATCH(Settings!$E$47,$EO$4:$EO$10,0),0)-WEEKDAY(MAX($A102,Settings!$F$47)),7))/7)+1)),IF(AND(IF(Settings!$E$47="",$B102,DATE(YEAR($A102),MONTH($A102),MIN(Settings!$E$47,DAY($B102))))&gt;=MAX($A102,Settings!$F$47),IF(Settings!$E$47="",$B102,DATE(YEAR($A102),MONTH($A102),MIN(Settings!$E$47,DAY($B102))))&lt;=MIN($C102,IF(Settings!$G$47="",$C102,Settings!$G$47))),1,0)))</f>
        <v/>
      </c>
      <c r="BH102">
        <f>IF(OR(Settings!$C$48="",Settings!$D$48=""),0,Settings!$C$48*IF(Settings!$D$48="Weekly",IF(IFERROR(MATCH(Settings!$E$48,$EO$4:$EO$10,0),0)=0,0,IF(MIN($C102,IF(Settings!$G$48="",$C102,Settings!$G$48))&lt;MAX($A102,Settings!$F$48),0,INT((MIN($C102,IF(Settings!$G$48="",$C102,Settings!$G$48))-MAX($A102,Settings!$F$48)-MOD(IFERROR(MATCH(Settings!$E$48,$EO$4:$EO$10,0),0)-WEEKDAY(MAX($A102,Settings!$F$48)),7))/7)+1)),IF(AND(IF(Settings!$E$48="",$B102,DATE(YEAR($A102),MONTH($A102),MIN(Settings!$E$48,DAY($B102))))&gt;=MAX($A102,Settings!$F$48),IF(Settings!$E$48="",$B102,DATE(YEAR($A102),MONTH($A102),MIN(Settings!$E$48,DAY($B102))))&lt;=MIN($C102,IF(Settings!$G$48="",$C102,Settings!$G$48))),1,0)))</f>
        <v/>
      </c>
      <c r="BI102">
        <f>IF(OR(Settings!$C$49="",Settings!$D$49=""),0,Settings!$C$49*IF(Settings!$D$49="Weekly",IF(IFERROR(MATCH(Settings!$E$49,$EO$4:$EO$10,0),0)=0,0,IF(MIN($C102,IF(Settings!$G$49="",$C102,Settings!$G$49))&lt;MAX($A102,Settings!$F$49),0,INT((MIN($C102,IF(Settings!$G$49="",$C102,Settings!$G$49))-MAX($A102,Settings!$F$49)-MOD(IFERROR(MATCH(Settings!$E$49,$EO$4:$EO$10,0),0)-WEEKDAY(MAX($A102,Settings!$F$49)),7))/7)+1)),IF(AND(IF(Settings!$E$49="",$B102,DATE(YEAR($A102),MONTH($A102),MIN(Settings!$E$49,DAY($B102))))&gt;=MAX($A102,Settings!$F$49),IF(Settings!$E$49="",$B102,DATE(YEAR($A102),MONTH($A102),MIN(Settings!$E$49,DAY($B102))))&lt;=MIN($C102,IF(Settings!$G$49="",$C102,Settings!$G$49))),1,0)))</f>
        <v/>
      </c>
      <c r="BJ102">
        <f>IF(OR(Settings!$C$50="",Settings!$D$50=""),0,Settings!$C$50*IF(Settings!$D$50="Weekly",IF(IFERROR(MATCH(Settings!$E$50,$EO$4:$EO$10,0),0)=0,0,IF(MIN($C102,IF(Settings!$G$50="",$C102,Settings!$G$50))&lt;MAX($A102,Settings!$F$50),0,INT((MIN($C102,IF(Settings!$G$50="",$C102,Settings!$G$50))-MAX($A102,Settings!$F$50)-MOD(IFERROR(MATCH(Settings!$E$50,$EO$4:$EO$10,0),0)-WEEKDAY(MAX($A102,Settings!$F$50)),7))/7)+1)),IF(AND(IF(Settings!$E$50="",$B102,DATE(YEAR($A102),MONTH($A102),MIN(Settings!$E$50,DAY($B102))))&gt;=MAX($A102,Settings!$F$50),IF(Settings!$E$50="",$B102,DATE(YEAR($A102),MONTH($A102),MIN(Settings!$E$50,DAY($B102))))&lt;=MIN($C102,IF(Settings!$G$50="",$C102,Settings!$G$50))),1,0)))</f>
        <v/>
      </c>
      <c r="BK102">
        <f>IF(OR(Settings!$C$51="",Settings!$D$51=""),0,Settings!$C$51*IF(Settings!$D$51="Weekly",IF(IFERROR(MATCH(Settings!$E$51,$EO$4:$EO$10,0),0)=0,0,IF(MIN($C102,IF(Settings!$G$51="",$C102,Settings!$G$51))&lt;MAX($A102,Settings!$F$51),0,INT((MIN($C102,IF(Settings!$G$51="",$C102,Settings!$G$51))-MAX($A102,Settings!$F$51)-MOD(IFERROR(MATCH(Settings!$E$51,$EO$4:$EO$10,0),0)-WEEKDAY(MAX($A102,Settings!$F$51)),7))/7)+1)),IF(AND(IF(Settings!$E$51="",$B102,DATE(YEAR($A102),MONTH($A102),MIN(Settings!$E$51,DAY($B102))))&gt;=MAX($A102,Settings!$F$51),IF(Settings!$E$51="",$B102,DATE(YEAR($A102),MONTH($A102),MIN(Settings!$E$51,DAY($B102))))&lt;=MIN($C102,IF(Settings!$G$51="",$C102,Settings!$G$51))),1,0)))</f>
        <v/>
      </c>
      <c r="BL102">
        <f>IF(OR(Settings!$C$52="",Settings!$D$52=""),0,Settings!$C$52*IF(Settings!$D$52="Weekly",IF(IFERROR(MATCH(Settings!$E$52,$EO$4:$EO$10,0),0)=0,0,IF(MIN($C102,IF(Settings!$G$52="",$C102,Settings!$G$52))&lt;MAX($A102,Settings!$F$52),0,INT((MIN($C102,IF(Settings!$G$52="",$C102,Settings!$G$52))-MAX($A102,Settings!$F$52)-MOD(IFERROR(MATCH(Settings!$E$52,$EO$4:$EO$10,0),0)-WEEKDAY(MAX($A102,Settings!$F$52)),7))/7)+1)),IF(AND(IF(Settings!$E$52="",$B102,DATE(YEAR($A102),MONTH($A102),MIN(Settings!$E$52,DAY($B102))))&gt;=MAX($A102,Settings!$F$52),IF(Settings!$E$52="",$B102,DATE(YEAR($A102),MONTH($A102),MIN(Settings!$E$52,DAY($B102))))&lt;=MIN($C102,IF(Settings!$G$52="",$C102,Settings!$G$52))),1,0)))</f>
        <v/>
      </c>
      <c r="BM102">
        <f>IF(OR(Settings!$C$53="",Settings!$D$53=""),0,Settings!$C$53*IF(Settings!$D$53="Weekly",IF(IFERROR(MATCH(Settings!$E$53,$EO$4:$EO$10,0),0)=0,0,IF(MIN($C102,IF(Settings!$G$53="",$C102,Settings!$G$53))&lt;MAX($A102,Settings!$F$53),0,INT((MIN($C102,IF(Settings!$G$53="",$C102,Settings!$G$53))-MAX($A102,Settings!$F$53)-MOD(IFERROR(MATCH(Settings!$E$53,$EO$4:$EO$10,0),0)-WEEKDAY(MAX($A102,Settings!$F$53)),7))/7)+1)),IF(AND(IF(Settings!$E$53="",$B102,DATE(YEAR($A102),MONTH($A102),MIN(Settings!$E$53,DAY($B102))))&gt;=MAX($A102,Settings!$F$53),IF(Settings!$E$53="",$B102,DATE(YEAR($A102),MONTH($A102),MIN(Settings!$E$53,DAY($B102))))&lt;=MIN($C102,IF(Settings!$G$53="",$C102,Settings!$G$53))),1,0)))</f>
        <v/>
      </c>
      <c r="BN102">
        <f>IF(OR(Settings!$C$54="",Settings!$D$54=""),0,Settings!$C$54*IF(Settings!$D$54="Weekly",IF(IFERROR(MATCH(Settings!$E$54,$EO$4:$EO$10,0),0)=0,0,IF(MIN($C102,IF(Settings!$G$54="",$C102,Settings!$G$54))&lt;MAX($A102,Settings!$F$54),0,INT((MIN($C102,IF(Settings!$G$54="",$C102,Settings!$G$54))-MAX($A102,Settings!$F$54)-MOD(IFERROR(MATCH(Settings!$E$54,$EO$4:$EO$10,0),0)-WEEKDAY(MAX($A102,Settings!$F$54)),7))/7)+1)),IF(AND(IF(Settings!$E$54="",$B102,DATE(YEAR($A102),MONTH($A102),MIN(Settings!$E$54,DAY($B102))))&gt;=MAX($A102,Settings!$F$54),IF(Settings!$E$54="",$B102,DATE(YEAR($A102),MONTH($A102),MIN(Settings!$E$54,DAY($B102))))&lt;=MIN($C102,IF(Settings!$G$54="",$C102,Settings!$G$54))),1,0)))</f>
        <v/>
      </c>
      <c r="BO102">
        <f>IF(OR(Settings!$C$55="",Settings!$D$55=""),0,Settings!$C$55*IF(Settings!$D$55="Weekly",IF(IFERROR(MATCH(Settings!$E$55,$EO$4:$EO$10,0),0)=0,0,IF(MIN($C102,IF(Settings!$G$55="",$C102,Settings!$G$55))&lt;MAX($A102,Settings!$F$55),0,INT((MIN($C102,IF(Settings!$G$55="",$C102,Settings!$G$55))-MAX($A102,Settings!$F$55)-MOD(IFERROR(MATCH(Settings!$E$55,$EO$4:$EO$10,0),0)-WEEKDAY(MAX($A102,Settings!$F$55)),7))/7)+1)),IF(AND(IF(Settings!$E$55="",$B102,DATE(YEAR($A102),MONTH($A102),MIN(Settings!$E$55,DAY($B102))))&gt;=MAX($A102,Settings!$F$55),IF(Settings!$E$55="",$B102,DATE(YEAR($A102),MONTH($A102),MIN(Settings!$E$55,DAY($B102))))&lt;=MIN($C102,IF(Settings!$G$55="",$C102,Settings!$G$55))),1,0)))</f>
        <v/>
      </c>
      <c r="BP102">
        <f>IF(OR(Settings!$C$56="",Settings!$D$56=""),0,Settings!$C$56*IF(Settings!$D$56="Weekly",IF(IFERROR(MATCH(Settings!$E$56,$EO$4:$EO$10,0),0)=0,0,IF(MIN($C102,IF(Settings!$G$56="",$C102,Settings!$G$56))&lt;MAX($A102,Settings!$F$56),0,INT((MIN($C102,IF(Settings!$G$56="",$C102,Settings!$G$56))-MAX($A102,Settings!$F$56)-MOD(IFERROR(MATCH(Settings!$E$56,$EO$4:$EO$10,0),0)-WEEKDAY(MAX($A102,Settings!$F$56)),7))/7)+1)),IF(AND(IF(Settings!$E$56="",$B102,DATE(YEAR($A102),MONTH($A102),MIN(Settings!$E$56,DAY($B102))))&gt;=MAX($A102,Settings!$F$56),IF(Settings!$E$56="",$B102,DATE(YEAR($A102),MONTH($A102),MIN(Settings!$E$56,DAY($B102))))&lt;=MIN($C102,IF(Settings!$G$56="",$C102,Settings!$G$56))),1,0)))</f>
        <v/>
      </c>
      <c r="BQ102">
        <f>IF(OR(Settings!$B$14="",$D102=1,$E102="pre",$A102&lt;IF(Settings!$B$15="",0,Settings!$B$15)),0,Settings!$B$14)</f>
        <v/>
      </c>
      <c r="BR102">
        <f>IF(AND('Month-End'!$CU$7&lt;&gt;"",NOT(_xlfn.ISFORMULA('Month-End'!$CU$7))),1,0)</f>
        <v/>
      </c>
      <c r="BS102">
        <f>IF(AND('Month-End'!$CU$8&lt;&gt;"",NOT(_xlfn.ISFORMULA('Month-End'!$CU$8))),1,0)</f>
        <v/>
      </c>
      <c r="BT102">
        <f>IF(AND('Month-End'!$CU$9&lt;&gt;"",NOT(_xlfn.ISFORMULA('Month-End'!$CU$9))),1,0)</f>
        <v/>
      </c>
      <c r="BU102">
        <f>IF(AND('Month-End'!$CU$10&lt;&gt;"",NOT(_xlfn.ISFORMULA('Month-End'!$CU$10))),1,0)</f>
        <v/>
      </c>
      <c r="BV102">
        <f>IF(AND('Month-End'!$CU$11&lt;&gt;"",NOT(_xlfn.ISFORMULA('Month-End'!$CU$11))),1,0)</f>
        <v/>
      </c>
      <c r="BW102">
        <f>IF(AND('Month-End'!$CU$12&lt;&gt;"",NOT(_xlfn.ISFORMULA('Month-End'!$CU$12))),1,0)</f>
        <v/>
      </c>
      <c r="BX102">
        <f>IF(AND('Month-End'!$CU$13&lt;&gt;"",NOT(_xlfn.ISFORMULA('Month-End'!$CU$13))),1,0)</f>
        <v/>
      </c>
      <c r="BY102">
        <f>IF(AND('Month-End'!$CU$14&lt;&gt;"",NOT(_xlfn.ISFORMULA('Month-End'!$CU$14))),1,0)</f>
        <v/>
      </c>
      <c r="BZ102">
        <f>IF(AND('Month-End'!$CU$15&lt;&gt;"",NOT(_xlfn.ISFORMULA('Month-End'!$CU$15))),1,0)</f>
        <v/>
      </c>
      <c r="CA102">
        <f>IF(AND('Month-End'!$CU$16&lt;&gt;"",NOT(_xlfn.ISFORMULA('Month-End'!$CU$16))),1,0)</f>
        <v/>
      </c>
      <c r="CB102">
        <f>IF(AND('Month-End'!$CU$17&lt;&gt;"",NOT(_xlfn.ISFORMULA('Month-End'!$CU$17))),1,0)</f>
        <v/>
      </c>
      <c r="CC102">
        <f>IF(AND('Month-End'!$CU$18&lt;&gt;"",NOT(_xlfn.ISFORMULA('Month-End'!$CU$18))),1,0)</f>
        <v/>
      </c>
      <c r="CD102">
        <f>IF(AND('Month-End'!$CU$19&lt;&gt;"",NOT(_xlfn.ISFORMULA('Month-End'!$CU$19))),1,0)</f>
        <v/>
      </c>
      <c r="CE102">
        <f>IF(AND('Month-End'!$CU$20&lt;&gt;"",NOT(_xlfn.ISFORMULA('Month-End'!$CU$20))),1,0)</f>
        <v/>
      </c>
      <c r="CF102">
        <f>IF(AND('Month-End'!$CU$38&lt;&gt;"",NOT(_xlfn.ISFORMULA('Month-End'!$CU$38))),1,0)</f>
        <v/>
      </c>
      <c r="CG102">
        <f>IF(AND('Month-End'!$CU$39&lt;&gt;"",NOT(_xlfn.ISFORMULA('Month-End'!$CU$39))),1,0)</f>
        <v/>
      </c>
      <c r="CH102">
        <f>IF(AND('Month-End'!$CU$40&lt;&gt;"",NOT(_xlfn.ISFORMULA('Month-End'!$CU$40))),1,0)</f>
        <v/>
      </c>
      <c r="CI102">
        <f>IF(AND('Month-End'!$CU$41&lt;&gt;"",NOT(_xlfn.ISFORMULA('Month-End'!$CU$41))),1,0)</f>
        <v/>
      </c>
      <c r="CJ102">
        <f>IF(AND('Month-End'!$CU$42&lt;&gt;"",NOT(_xlfn.ISFORMULA('Month-End'!$CU$42))),1,0)</f>
        <v/>
      </c>
      <c r="CK102">
        <f>IF(AND('Month-End'!$CU$43&lt;&gt;"",NOT(_xlfn.ISFORMULA('Month-End'!$CU$43))),1,0)</f>
        <v/>
      </c>
      <c r="CL102">
        <f>SUM($CM102:$CZ102)</f>
        <v/>
      </c>
      <c r="CM102">
        <f>IF(AND($E102&lt;&gt;"pre",AND(Settings!$A$19&lt;&gt;"",Settings!$E$19&lt;&gt;"No"),Settings!$F$19="Yes",NOT(AND('Month-End'!$CU$7&lt;&gt;"",NOT(_xlfn.ISFORMULA('Month-End'!$CU$7))))),1,0)</f>
        <v/>
      </c>
      <c r="CN102">
        <f>IF(AND($E102&lt;&gt;"pre",AND(Settings!$A$20&lt;&gt;"",Settings!$E$20&lt;&gt;"No"),Settings!$F$20="Yes",NOT(AND('Month-End'!$CU$8&lt;&gt;"",NOT(_xlfn.ISFORMULA('Month-End'!$CU$8))))),1,0)</f>
        <v/>
      </c>
      <c r="CO102">
        <f>IF(AND($E102&lt;&gt;"pre",AND(Settings!$A$21&lt;&gt;"",Settings!$E$21&lt;&gt;"No"),Settings!$F$21="Yes",NOT(AND('Month-End'!$CU$9&lt;&gt;"",NOT(_xlfn.ISFORMULA('Month-End'!$CU$9))))),1,0)</f>
        <v/>
      </c>
      <c r="CP102">
        <f>IF(AND($E102&lt;&gt;"pre",AND(Settings!$A$22&lt;&gt;"",Settings!$E$22&lt;&gt;"No"),Settings!$F$22="Yes",NOT(AND('Month-End'!$CU$10&lt;&gt;"",NOT(_xlfn.ISFORMULA('Month-End'!$CU$10))))),1,0)</f>
        <v/>
      </c>
      <c r="CQ102">
        <f>IF(AND($E102&lt;&gt;"pre",AND(Settings!$A$23&lt;&gt;"",Settings!$E$23&lt;&gt;"No"),Settings!$F$23="Yes",NOT(AND('Month-End'!$CU$11&lt;&gt;"",NOT(_xlfn.ISFORMULA('Month-End'!$CU$11))))),1,0)</f>
        <v/>
      </c>
      <c r="CR102">
        <f>IF(AND($E102&lt;&gt;"pre",AND(Settings!$A$24&lt;&gt;"",Settings!$E$24&lt;&gt;"No"),Settings!$F$24="Yes",NOT(AND('Month-End'!$CU$12&lt;&gt;"",NOT(_xlfn.ISFORMULA('Month-End'!$CU$12))))),1,0)</f>
        <v/>
      </c>
      <c r="CS102">
        <f>IF(AND($E102&lt;&gt;"pre",AND(Settings!$A$25&lt;&gt;"",Settings!$E$25&lt;&gt;"No"),Settings!$F$25="Yes",NOT(AND('Month-End'!$CU$13&lt;&gt;"",NOT(_xlfn.ISFORMULA('Month-End'!$CU$13))))),1,0)</f>
        <v/>
      </c>
      <c r="CT102">
        <f>IF(AND($E102&lt;&gt;"pre",AND(Settings!$A$26&lt;&gt;"",Settings!$E$26&lt;&gt;"No"),Settings!$F$26="Yes",NOT(AND('Month-End'!$CU$14&lt;&gt;"",NOT(_xlfn.ISFORMULA('Month-End'!$CU$14))))),1,0)</f>
        <v/>
      </c>
      <c r="CU102">
        <f>IF(AND($E102&lt;&gt;"pre",AND(Settings!$A$27&lt;&gt;"",Settings!$E$27&lt;&gt;"No"),Settings!$F$27="Yes",NOT(AND('Month-End'!$CU$15&lt;&gt;"",NOT(_xlfn.ISFORMULA('Month-End'!$CU$15))))),1,0)</f>
        <v/>
      </c>
      <c r="CV102">
        <f>IF(AND($E102&lt;&gt;"pre",AND(Settings!$A$28&lt;&gt;"",Settings!$E$28&lt;&gt;"No"),Settings!$F$28="Yes",NOT(AND('Month-End'!$CU$16&lt;&gt;"",NOT(_xlfn.ISFORMULA('Month-End'!$CU$16))))),1,0)</f>
        <v/>
      </c>
      <c r="CW102">
        <f>IF(AND($E102&lt;&gt;"pre",AND(Settings!$A$29&lt;&gt;"",Settings!$E$29&lt;&gt;"No"),Settings!$F$29="Yes",NOT(AND('Month-End'!$CU$17&lt;&gt;"",NOT(_xlfn.ISFORMULA('Month-End'!$CU$17))))),1,0)</f>
        <v/>
      </c>
      <c r="CX102">
        <f>IF(AND($E102&lt;&gt;"pre",AND(Settings!$A$30&lt;&gt;"",Settings!$E$30&lt;&gt;"No"),Settings!$F$30="Yes",NOT(AND('Month-End'!$CU$18&lt;&gt;"",NOT(_xlfn.ISFORMULA('Month-End'!$CU$18))))),1,0)</f>
        <v/>
      </c>
      <c r="CY102">
        <f>IF(AND($E102&lt;&gt;"pre",AND(Settings!$A$31&lt;&gt;"",Settings!$E$31&lt;&gt;"No"),Settings!$F$31="Yes",NOT(AND('Month-End'!$CU$19&lt;&gt;"",NOT(_xlfn.ISFORMULA('Month-End'!$CU$19))))),1,0)</f>
        <v/>
      </c>
      <c r="CZ102">
        <f>IF(AND($E102&lt;&gt;"pre",AND(Settings!$A$32&lt;&gt;"",Settings!$E$32&lt;&gt;"No"),Settings!$F$32="Yes",NOT(AND('Month-End'!$CU$20&lt;&gt;"",NOT(_xlfn.ISFORMULA('Month-End'!$CU$20))))),1,0)</f>
        <v/>
      </c>
      <c r="DA102">
        <f>IF($DT102=1,IF(OR(Settings!$B$19="Checking",Settings!$B$19="Savings",Settings!$B$19="Cash"),N($AE102),IF(OR(Settings!$B$19="Card",Settings!$B$19="Loan"),-N($AE102),0))+IF(OR(Settings!$B$20="Checking",Settings!$B$20="Savings",Settings!$B$20="Cash"),N($AF102),IF(OR(Settings!$B$20="Card",Settings!$B$20="Loan"),-N($AF102),0))+IF(OR(Settings!$B$21="Checking",Settings!$B$21="Savings",Settings!$B$21="Cash"),N($AG102),IF(OR(Settings!$B$21="Card",Settings!$B$21="Loan"),-N($AG102),0))+IF(OR(Settings!$B$22="Checking",Settings!$B$22="Savings",Settings!$B$22="Cash"),N($AH102),IF(OR(Settings!$B$22="Card",Settings!$B$22="Loan"),-N($AH102),0))+IF(OR(Settings!$B$23="Checking",Settings!$B$23="Savings",Settings!$B$23="Cash"),N($AI102),IF(OR(Settings!$B$23="Card",Settings!$B$23="Loan"),-N($AI102),0))+IF(OR(Settings!$B$24="Checking",Settings!$B$24="Savings",Settings!$B$24="Cash"),N($AJ102),IF(OR(Settings!$B$24="Card",Settings!$B$24="Loan"),-N($AJ102),0))+IF(OR(Settings!$B$25="Checking",Settings!$B$25="Savings",Settings!$B$25="Cash"),N($AK102),IF(OR(Settings!$B$25="Card",Settings!$B$25="Loan"),-N($AK102),0))+IF(OR(Settings!$B$26="Checking",Settings!$B$26="Savings",Settings!$B$26="Cash"),N($AL102),IF(OR(Settings!$B$26="Card",Settings!$B$26="Loan"),-N($AL102),0))+IF(OR(Settings!$B$27="Checking",Settings!$B$27="Savings",Settings!$B$27="Cash"),N($AM102),IF(OR(Settings!$B$27="Card",Settings!$B$27="Loan"),-N($AM102),0))+IF(OR(Settings!$B$28="Checking",Settings!$B$28="Savings",Settings!$B$28="Cash"),N($AN102),IF(OR(Settings!$B$28="Card",Settings!$B$28="Loan"),-N($AN102),0))+IF(OR(Settings!$B$29="Checking",Settings!$B$29="Savings",Settings!$B$29="Cash"),N($AO102),IF(OR(Settings!$B$29="Card",Settings!$B$29="Loan"),-N($AO102),0))+IF(OR(Settings!$B$30="Checking",Settings!$B$30="Savings",Settings!$B$30="Cash"),N($AP102),IF(OR(Settings!$B$30="Card",Settings!$B$30="Loan"),-N($AP102),0))+IF(OR(Settings!$B$31="Checking",Settings!$B$31="Savings",Settings!$B$31="Cash"),N($AQ102),IF(OR(Settings!$B$31="Card",Settings!$B$31="Loan"),-N($AQ102),0))+IF(OR(Settings!$B$32="Checking",Settings!$B$32="Savings",Settings!$B$32="Cash"),N($AR102),IF(OR(Settings!$B$32="Card",Settings!$B$32="Loan"),-N($AR102),0)),"")</f>
        <v/>
      </c>
      <c r="DB102">
        <f>IF($E102="open",$EB$27,IF($E102="post",IF($E101="pre",$EB$27,$DA101),""))</f>
        <v/>
      </c>
      <c r="DC102">
        <f>IF($E102="open",1,IF($E102="post",IF($E101="pre",1,$DT101),0))</f>
        <v/>
      </c>
      <c r="DD102">
        <f>IF(AND($DT102=1,$DC102=1),ROUND($W102-($DA102-$DB102)-$AD102-$AB102,2),"")</f>
        <v/>
      </c>
      <c r="DE102">
        <f>IF('Month-End'!$CU$35="",$BQ102,N('Month-End'!$CU$35))</f>
        <v/>
      </c>
      <c r="DF102">
        <f>N('Month-End'!$CU$36)</f>
        <v/>
      </c>
      <c r="DG102">
        <f>IF($DD102="","",$DD102+$DE102)</f>
        <v/>
      </c>
      <c r="DH102">
        <f>IF($DG102="","",$DG102-$DF102)</f>
        <v/>
      </c>
      <c r="DI102">
        <f>IF(OR($E102="pre",$D102=1),"",N($AS102)+N($AT102)+N($AU102)+N($AV102)+N($AW102)+N($AX102))</f>
        <v/>
      </c>
      <c r="DJ102">
        <f>IF($DT102=1,$DA102+N($DI102),"")</f>
        <v/>
      </c>
      <c r="DK102">
        <f>IF($DD102="","",$W102-$DD102-$AB102)</f>
        <v/>
      </c>
      <c r="DL102">
        <f>IF(AND($E102="post",$DD102&lt;&gt;"",$B102&lt;TODAY()),1,0)</f>
        <v/>
      </c>
      <c r="DM102">
        <f>IF($DL102=1,COUNTIF($DL102:$DL$183,1),0)</f>
        <v/>
      </c>
      <c r="DN102">
        <f>IF($D102=1,"",IF($E102="pre","History only",IF($DT102=1,IF($DD102="","⚠ Previous month missing",IF($DD102&lt;0,"⚠ Check: spending &lt; 0",IF($E102="open","✓ Done (partial)","✓ Done"))),IF($B102&gt;=TODAY(),"In progress","⚠ Needs balances"))))</f>
        <v/>
      </c>
      <c r="DO102">
        <f>YEAR($A102)</f>
        <v/>
      </c>
      <c r="DP102">
        <f>DATE(YEAR($A102),INT((MONTH($A102)-1)/3)*3+1,1)</f>
        <v/>
      </c>
      <c r="DQ102">
        <f>IF(AND($DT102=1,$DD102&lt;&gt;"",$D102=0),ROW(),0)</f>
        <v/>
      </c>
      <c r="DR102">
        <f>IF(AND($E102&lt;&gt;"pre",$B102&lt;TODAY(),$DT102=0),1,0)</f>
        <v/>
      </c>
      <c r="DS102">
        <f>IF($DJ102="",NA(),$DJ102)</f>
        <v/>
      </c>
      <c r="DT102">
        <f>IF(AND($E102&lt;&gt;"pre",$CL102=0,COUNTIFS(Settings!$F$19:$F$32,"Yes",Settings!$A$19:$A$32,"&lt;&gt;",Settings!$E$19:$E$32,"&lt;&gt;No")&gt;0),1,0)</f>
        <v/>
      </c>
      <c r="DU102">
        <f>IF(AND($B102&lt;TODAY(),$S102&gt;0),1,0)</f>
        <v/>
      </c>
      <c r="DV102">
        <f>IF($DU102=1,COUNTIF($DU102:$DU$183,1),0)</f>
        <v/>
      </c>
      <c r="DW102">
        <f>IF(AND(OR(Settings!$B$19="Card",Settings!$B$19="Loan"),AND('Month-End'!$CU$7&lt;&gt;"",NOT(_xlfn.ISFORMULA('Month-End'!$CU$7)))),IF(N('Month-End'!$CU$7)&lt;0,1,0),0)+IF(AND(OR(Settings!$B$20="Card",Settings!$B$20="Loan"),AND('Month-End'!$CU$8&lt;&gt;"",NOT(_xlfn.ISFORMULA('Month-End'!$CU$8)))),IF(N('Month-End'!$CU$8)&lt;0,1,0),0)+IF(AND(OR(Settings!$B$21="Card",Settings!$B$21="Loan"),AND('Month-End'!$CU$9&lt;&gt;"",NOT(_xlfn.ISFORMULA('Month-End'!$CU$9)))),IF(N('Month-End'!$CU$9)&lt;0,1,0),0)+IF(AND(OR(Settings!$B$22="Card",Settings!$B$22="Loan"),AND('Month-End'!$CU$10&lt;&gt;"",NOT(_xlfn.ISFORMULA('Month-End'!$CU$10)))),IF(N('Month-End'!$CU$10)&lt;0,1,0),0)+IF(AND(OR(Settings!$B$23="Card",Settings!$B$23="Loan"),AND('Month-End'!$CU$11&lt;&gt;"",NOT(_xlfn.ISFORMULA('Month-End'!$CU$11)))),IF(N('Month-End'!$CU$11)&lt;0,1,0),0)+IF(AND(OR(Settings!$B$24="Card",Settings!$B$24="Loan"),AND('Month-End'!$CU$12&lt;&gt;"",NOT(_xlfn.ISFORMULA('Month-End'!$CU$12)))),IF(N('Month-End'!$CU$12)&lt;0,1,0),0)+IF(AND(OR(Settings!$B$25="Card",Settings!$B$25="Loan"),AND('Month-End'!$CU$13&lt;&gt;"",NOT(_xlfn.ISFORMULA('Month-End'!$CU$13)))),IF(N('Month-End'!$CU$13)&lt;0,1,0),0)+IF(AND(OR(Settings!$B$26="Card",Settings!$B$26="Loan"),AND('Month-End'!$CU$14&lt;&gt;"",NOT(_xlfn.ISFORMULA('Month-End'!$CU$14)))),IF(N('Month-End'!$CU$14)&lt;0,1,0),0)+IF(AND(OR(Settings!$B$27="Card",Settings!$B$27="Loan"),AND('Month-End'!$CU$15&lt;&gt;"",NOT(_xlfn.ISFORMULA('Month-End'!$CU$15)))),IF(N('Month-End'!$CU$15)&lt;0,1,0),0)+IF(AND(OR(Settings!$B$28="Card",Settings!$B$28="Loan"),AND('Month-End'!$CU$16&lt;&gt;"",NOT(_xlfn.ISFORMULA('Month-End'!$CU$16)))),IF(N('Month-End'!$CU$16)&lt;0,1,0),0)+IF(AND(OR(Settings!$B$29="Card",Settings!$B$29="Loan"),AND('Month-End'!$CU$17&lt;&gt;"",NOT(_xlfn.ISFORMULA('Month-End'!$CU$17)))),IF(N('Month-End'!$CU$17)&lt;0,1,0),0)+IF(AND(OR(Settings!$B$30="Card",Settings!$B$30="Loan"),AND('Month-End'!$CU$18&lt;&gt;"",NOT(_xlfn.ISFORMULA('Month-End'!$CU$18)))),IF(N('Month-End'!$CU$18)&lt;0,1,0),0)+IF(AND(OR(Settings!$B$31="Card",Settings!$B$31="Loan"),AND('Month-End'!$CU$19&lt;&gt;"",NOT(_xlfn.ISFORMULA('Month-End'!$CU$19)))),IF(N('Month-End'!$CU$19)&lt;0,1,0),0)+IF(AND(OR(Settings!$B$32="Card",Settings!$B$32="Loan"),AND('Month-End'!$CU$20&lt;&gt;"",NOT(_xlfn.ISFORMULA('Month-End'!$CU$20)))),IF(N('Month-End'!$CU$20)&lt;0,1,0),0)</f>
        <v/>
      </c>
      <c r="DX102">
        <f>IF(Settings!$B$36="Retirement",$AY102,0)+IF(Settings!$B$37="Retirement",$AZ102,0)+IF(Settings!$B$38="Retirement",$BA102,0)+IF(Settings!$B$39="Retirement",$BB102,0)+IF(Settings!$B$40="Retirement",$BC102,0)+IF(Settings!$B$41="Retirement",$BD102,0)</f>
        <v/>
      </c>
      <c r="EA102">
        <f>IF(COUNTIF($DM$6:$DM$183,"&gt;0")=0,"ℹ Averages use your fallback numbers until the first full month after opening is done","✓ Averages use "&amp;MIN(Settings!$B$10,COUNTIF($DM$6:$DM$183,"&gt;0"))&amp;" real month(s)")</f>
        <v/>
      </c>
      <c r="EO102">
        <f>EDATE(DATE(YEAR(TODAY()),MONTH(TODAY()),1),-21)</f>
        <v/>
      </c>
      <c r="ER102">
        <f>IFERROR(IF(INDEX($DJ$6:$DJ$183,MATCH(EO102,$A$6:$A$183,0))="",NA(),INDEX($DJ$6:$DJ$183,MATCH(EO102,$A$6:$A$183,0))),NA())</f>
        <v/>
      </c>
      <c r="ES102">
        <f>TEXT(EO102,"mmm yy")</f>
        <v/>
      </c>
      <c r="ET102">
        <f>IF($E102&lt;&gt;"open",0,IF(AND('Month-End'!$CU$22&lt;&gt;"",NOT(_xlfn.ISFORMULA('Month-End'!$CU$22))),0,IF(OR(Settings!$C$45="",Settings!$D$45=""),0,Settings!$C$45*IF(Settings!$D$45="Weekly",IF(IFERROR(MATCH(Settings!$E$45,$EO$4:$EO$10,0),0)=0,0,IF(MIN(Settings!$B$5,IF(Settings!$G$45="",Settings!$B$5,Settings!$G$45))&lt;MAX($A102,Settings!$F$45),0,INT((MIN(Settings!$B$5,IF(Settings!$G$45="",Settings!$B$5,Settings!$G$45))-MAX($A102,Settings!$F$45)-MOD(IFERROR(MATCH(Settings!$E$45,$EO$4:$EO$10,0),0)-WEEKDAY(MAX($A102,Settings!$F$45)),7))/7)+1)),IF(AND(IF(Settings!$E$45="",$B102,DATE(YEAR($A102),MONTH($A102),MIN(Settings!$E$45,DAY($B102))))&gt;=MAX($A102,Settings!$F$45),IF(Settings!$E$45="",$B102,DATE(YEAR($A102),MONTH($A102),MIN(Settings!$E$45,DAY($B102))))&lt;=MIN(Settings!$B$5,IF(Settings!$G$45="",Settings!$B$5,Settings!$G$45))),1,0)))))</f>
        <v/>
      </c>
      <c r="EU102">
        <f>IF($E102&lt;&gt;"open",0,IF(AND('Month-End'!$CU$23&lt;&gt;"",NOT(_xlfn.ISFORMULA('Month-End'!$CU$23))),0,IF(OR(Settings!$C$46="",Settings!$D$46=""),0,Settings!$C$46*IF(Settings!$D$46="Weekly",IF(IFERROR(MATCH(Settings!$E$46,$EO$4:$EO$10,0),0)=0,0,IF(MIN(Settings!$B$5,IF(Settings!$G$46="",Settings!$B$5,Settings!$G$46))&lt;MAX($A102,Settings!$F$46),0,INT((MIN(Settings!$B$5,IF(Settings!$G$46="",Settings!$B$5,Settings!$G$46))-MAX($A102,Settings!$F$46)-MOD(IFERROR(MATCH(Settings!$E$46,$EO$4:$EO$10,0),0)-WEEKDAY(MAX($A102,Settings!$F$46)),7))/7)+1)),IF(AND(IF(Settings!$E$46="",$B102,DATE(YEAR($A102),MONTH($A102),MIN(Settings!$E$46,DAY($B102))))&gt;=MAX($A102,Settings!$F$46),IF(Settings!$E$46="",$B102,DATE(YEAR($A102),MONTH($A102),MIN(Settings!$E$46,DAY($B102))))&lt;=MIN(Settings!$B$5,IF(Settings!$G$46="",Settings!$B$5,Settings!$G$46))),1,0)))))</f>
        <v/>
      </c>
      <c r="EV102">
        <f>IF($E102&lt;&gt;"open",0,IF(AND('Month-End'!$CU$24&lt;&gt;"",NOT(_xlfn.ISFORMULA('Month-End'!$CU$24))),0,IF(OR(Settings!$C$47="",Settings!$D$47=""),0,Settings!$C$47*IF(Settings!$D$47="Weekly",IF(IFERROR(MATCH(Settings!$E$47,$EO$4:$EO$10,0),0)=0,0,IF(MIN(Settings!$B$5,IF(Settings!$G$47="",Settings!$B$5,Settings!$G$47))&lt;MAX($A102,Settings!$F$47),0,INT((MIN(Settings!$B$5,IF(Settings!$G$47="",Settings!$B$5,Settings!$G$47))-MAX($A102,Settings!$F$47)-MOD(IFERROR(MATCH(Settings!$E$47,$EO$4:$EO$10,0),0)-WEEKDAY(MAX($A102,Settings!$F$47)),7))/7)+1)),IF(AND(IF(Settings!$E$47="",$B102,DATE(YEAR($A102),MONTH($A102),MIN(Settings!$E$47,DAY($B102))))&gt;=MAX($A102,Settings!$F$47),IF(Settings!$E$47="",$B102,DATE(YEAR($A102),MONTH($A102),MIN(Settings!$E$47,DAY($B102))))&lt;=MIN(Settings!$B$5,IF(Settings!$G$47="",Settings!$B$5,Settings!$G$47))),1,0)))))</f>
        <v/>
      </c>
      <c r="EW102">
        <f>IF($E102&lt;&gt;"open",0,IF(AND('Month-End'!$CU$25&lt;&gt;"",NOT(_xlfn.ISFORMULA('Month-End'!$CU$25))),0,IF(OR(Settings!$C$48="",Settings!$D$48=""),0,Settings!$C$48*IF(Settings!$D$48="Weekly",IF(IFERROR(MATCH(Settings!$E$48,$EO$4:$EO$10,0),0)=0,0,IF(MIN(Settings!$B$5,IF(Settings!$G$48="",Settings!$B$5,Settings!$G$48))&lt;MAX($A102,Settings!$F$48),0,INT((MIN(Settings!$B$5,IF(Settings!$G$48="",Settings!$B$5,Settings!$G$48))-MAX($A102,Settings!$F$48)-MOD(IFERROR(MATCH(Settings!$E$48,$EO$4:$EO$10,0),0)-WEEKDAY(MAX($A102,Settings!$F$48)),7))/7)+1)),IF(AND(IF(Settings!$E$48="",$B102,DATE(YEAR($A102),MONTH($A102),MIN(Settings!$E$48,DAY($B102))))&gt;=MAX($A102,Settings!$F$48),IF(Settings!$E$48="",$B102,DATE(YEAR($A102),MONTH($A102),MIN(Settings!$E$48,DAY($B102))))&lt;=MIN(Settings!$B$5,IF(Settings!$G$48="",Settings!$B$5,Settings!$G$48))),1,0)))))</f>
        <v/>
      </c>
      <c r="EX102">
        <f>IF($E102&lt;&gt;"open",0,IF(AND('Month-End'!$CU$26&lt;&gt;"",NOT(_xlfn.ISFORMULA('Month-End'!$CU$26))),0,IF(OR(Settings!$C$49="",Settings!$D$49=""),0,Settings!$C$49*IF(Settings!$D$49="Weekly",IF(IFERROR(MATCH(Settings!$E$49,$EO$4:$EO$10,0),0)=0,0,IF(MIN(Settings!$B$5,IF(Settings!$G$49="",Settings!$B$5,Settings!$G$49))&lt;MAX($A102,Settings!$F$49),0,INT((MIN(Settings!$B$5,IF(Settings!$G$49="",Settings!$B$5,Settings!$G$49))-MAX($A102,Settings!$F$49)-MOD(IFERROR(MATCH(Settings!$E$49,$EO$4:$EO$10,0),0)-WEEKDAY(MAX($A102,Settings!$F$49)),7))/7)+1)),IF(AND(IF(Settings!$E$49="",$B102,DATE(YEAR($A102),MONTH($A102),MIN(Settings!$E$49,DAY($B102))))&gt;=MAX($A102,Settings!$F$49),IF(Settings!$E$49="",$B102,DATE(YEAR($A102),MONTH($A102),MIN(Settings!$E$49,DAY($B102))))&lt;=MIN(Settings!$B$5,IF(Settings!$G$49="",Settings!$B$5,Settings!$G$49))),1,0)))))</f>
        <v/>
      </c>
      <c r="EY102">
        <f>IF($E102&lt;&gt;"open",0,IF(AND('Month-End'!$CU$27&lt;&gt;"",NOT(_xlfn.ISFORMULA('Month-End'!$CU$27))),0,IF(OR(Settings!$C$50="",Settings!$D$50=""),0,Settings!$C$50*IF(Settings!$D$50="Weekly",IF(IFERROR(MATCH(Settings!$E$50,$EO$4:$EO$10,0),0)=0,0,IF(MIN(Settings!$B$5,IF(Settings!$G$50="",Settings!$B$5,Settings!$G$50))&lt;MAX($A102,Settings!$F$50),0,INT((MIN(Settings!$B$5,IF(Settings!$G$50="",Settings!$B$5,Settings!$G$50))-MAX($A102,Settings!$F$50)-MOD(IFERROR(MATCH(Settings!$E$50,$EO$4:$EO$10,0),0)-WEEKDAY(MAX($A102,Settings!$F$50)),7))/7)+1)),IF(AND(IF(Settings!$E$50="",$B102,DATE(YEAR($A102),MONTH($A102),MIN(Settings!$E$50,DAY($B102))))&gt;=MAX($A102,Settings!$F$50),IF(Settings!$E$50="",$B102,DATE(YEAR($A102),MONTH($A102),MIN(Settings!$E$50,DAY($B102))))&lt;=MIN(Settings!$B$5,IF(Settings!$G$50="",Settings!$B$5,Settings!$G$50))),1,0)))))</f>
        <v/>
      </c>
      <c r="EZ102">
        <f>IF($E102&lt;&gt;"open",0,IF(AND('Month-End'!$CU$28&lt;&gt;"",NOT(_xlfn.ISFORMULA('Month-End'!$CU$28))),0,IF(OR(Settings!$C$51="",Settings!$D$51=""),0,Settings!$C$51*IF(Settings!$D$51="Weekly",IF(IFERROR(MATCH(Settings!$E$51,$EO$4:$EO$10,0),0)=0,0,IF(MIN(Settings!$B$5,IF(Settings!$G$51="",Settings!$B$5,Settings!$G$51))&lt;MAX($A102,Settings!$F$51),0,INT((MIN(Settings!$B$5,IF(Settings!$G$51="",Settings!$B$5,Settings!$G$51))-MAX($A102,Settings!$F$51)-MOD(IFERROR(MATCH(Settings!$E$51,$EO$4:$EO$10,0),0)-WEEKDAY(MAX($A102,Settings!$F$51)),7))/7)+1)),IF(AND(IF(Settings!$E$51="",$B102,DATE(YEAR($A102),MONTH($A102),MIN(Settings!$E$51,DAY($B102))))&gt;=MAX($A102,Settings!$F$51),IF(Settings!$E$51="",$B102,DATE(YEAR($A102),MONTH($A102),MIN(Settings!$E$51,DAY($B102))))&lt;=MIN(Settings!$B$5,IF(Settings!$G$51="",Settings!$B$5,Settings!$G$51))),1,0)))))</f>
        <v/>
      </c>
      <c r="FA102">
        <f>IF($E102&lt;&gt;"open",0,IF(AND('Month-End'!$CU$29&lt;&gt;"",NOT(_xlfn.ISFORMULA('Month-End'!$CU$29))),0,IF(OR(Settings!$C$52="",Settings!$D$52=""),0,Settings!$C$52*IF(Settings!$D$52="Weekly",IF(IFERROR(MATCH(Settings!$E$52,$EO$4:$EO$10,0),0)=0,0,IF(MIN(Settings!$B$5,IF(Settings!$G$52="",Settings!$B$5,Settings!$G$52))&lt;MAX($A102,Settings!$F$52),0,INT((MIN(Settings!$B$5,IF(Settings!$G$52="",Settings!$B$5,Settings!$G$52))-MAX($A102,Settings!$F$52)-MOD(IFERROR(MATCH(Settings!$E$52,$EO$4:$EO$10,0),0)-WEEKDAY(MAX($A102,Settings!$F$52)),7))/7)+1)),IF(AND(IF(Settings!$E$52="",$B102,DATE(YEAR($A102),MONTH($A102),MIN(Settings!$E$52,DAY($B102))))&gt;=MAX($A102,Settings!$F$52),IF(Settings!$E$52="",$B102,DATE(YEAR($A102),MONTH($A102),MIN(Settings!$E$52,DAY($B102))))&lt;=MIN(Settings!$B$5,IF(Settings!$G$52="",Settings!$B$5,Settings!$G$52))),1,0)))))</f>
        <v/>
      </c>
      <c r="FB102">
        <f>IF($E102&lt;&gt;"open",0,IF(AND('Month-End'!$CU$30&lt;&gt;"",NOT(_xlfn.ISFORMULA('Month-End'!$CU$30))),0,IF(OR(Settings!$C$53="",Settings!$D$53=""),0,Settings!$C$53*IF(Settings!$D$53="Weekly",IF(IFERROR(MATCH(Settings!$E$53,$EO$4:$EO$10,0),0)=0,0,IF(MIN(Settings!$B$5,IF(Settings!$G$53="",Settings!$B$5,Settings!$G$53))&lt;MAX($A102,Settings!$F$53),0,INT((MIN(Settings!$B$5,IF(Settings!$G$53="",Settings!$B$5,Settings!$G$53))-MAX($A102,Settings!$F$53)-MOD(IFERROR(MATCH(Settings!$E$53,$EO$4:$EO$10,0),0)-WEEKDAY(MAX($A102,Settings!$F$53)),7))/7)+1)),IF(AND(IF(Settings!$E$53="",$B102,DATE(YEAR($A102),MONTH($A102),MIN(Settings!$E$53,DAY($B102))))&gt;=MAX($A102,Settings!$F$53),IF(Settings!$E$53="",$B102,DATE(YEAR($A102),MONTH($A102),MIN(Settings!$E$53,DAY($B102))))&lt;=MIN(Settings!$B$5,IF(Settings!$G$53="",Settings!$B$5,Settings!$G$53))),1,0)))))</f>
        <v/>
      </c>
      <c r="FC102">
        <f>IF($E102&lt;&gt;"open",0,IF(AND('Month-End'!$CU$31&lt;&gt;"",NOT(_xlfn.ISFORMULA('Month-End'!$CU$31))),0,IF(OR(Settings!$C$54="",Settings!$D$54=""),0,Settings!$C$54*IF(Settings!$D$54="Weekly",IF(IFERROR(MATCH(Settings!$E$54,$EO$4:$EO$10,0),0)=0,0,IF(MIN(Settings!$B$5,IF(Settings!$G$54="",Settings!$B$5,Settings!$G$54))&lt;MAX($A102,Settings!$F$54),0,INT((MIN(Settings!$B$5,IF(Settings!$G$54="",Settings!$B$5,Settings!$G$54))-MAX($A102,Settings!$F$54)-MOD(IFERROR(MATCH(Settings!$E$54,$EO$4:$EO$10,0),0)-WEEKDAY(MAX($A102,Settings!$F$54)),7))/7)+1)),IF(AND(IF(Settings!$E$54="",$B102,DATE(YEAR($A102),MONTH($A102),MIN(Settings!$E$54,DAY($B102))))&gt;=MAX($A102,Settings!$F$54),IF(Settings!$E$54="",$B102,DATE(YEAR($A102),MONTH($A102),MIN(Settings!$E$54,DAY($B102))))&lt;=MIN(Settings!$B$5,IF(Settings!$G$54="",Settings!$B$5,Settings!$G$54))),1,0)))))</f>
        <v/>
      </c>
      <c r="FD102">
        <f>IF($E102&lt;&gt;"open",0,IF(AND('Month-End'!$CU$32&lt;&gt;"",NOT(_xlfn.ISFORMULA('Month-End'!$CU$32))),0,IF(OR(Settings!$C$55="",Settings!$D$55=""),0,Settings!$C$55*IF(Settings!$D$55="Weekly",IF(IFERROR(MATCH(Settings!$E$55,$EO$4:$EO$10,0),0)=0,0,IF(MIN(Settings!$B$5,IF(Settings!$G$55="",Settings!$B$5,Settings!$G$55))&lt;MAX($A102,Settings!$F$55),0,INT((MIN(Settings!$B$5,IF(Settings!$G$55="",Settings!$B$5,Settings!$G$55))-MAX($A102,Settings!$F$55)-MOD(IFERROR(MATCH(Settings!$E$55,$EO$4:$EO$10,0),0)-WEEKDAY(MAX($A102,Settings!$F$55)),7))/7)+1)),IF(AND(IF(Settings!$E$55="",$B102,DATE(YEAR($A102),MONTH($A102),MIN(Settings!$E$55,DAY($B102))))&gt;=MAX($A102,Settings!$F$55),IF(Settings!$E$55="",$B102,DATE(YEAR($A102),MONTH($A102),MIN(Settings!$E$55,DAY($B102))))&lt;=MIN(Settings!$B$5,IF(Settings!$G$55="",Settings!$B$5,Settings!$G$55))),1,0)))))</f>
        <v/>
      </c>
      <c r="FE102">
        <f>IF($E102&lt;&gt;"open",0,IF(AND('Month-End'!$CU$33&lt;&gt;"",NOT(_xlfn.ISFORMULA('Month-End'!$CU$33))),0,IF(OR(Settings!$C$56="",Settings!$D$56=""),0,Settings!$C$56*IF(Settings!$D$56="Weekly",IF(IFERROR(MATCH(Settings!$E$56,$EO$4:$EO$10,0),0)=0,0,IF(MIN(Settings!$B$5,IF(Settings!$G$56="",Settings!$B$5,Settings!$G$56))&lt;MAX($A102,Settings!$F$56),0,INT((MIN(Settings!$B$5,IF(Settings!$G$56="",Settings!$B$5,Settings!$G$56))-MAX($A102,Settings!$F$56)-MOD(IFERROR(MATCH(Settings!$E$56,$EO$4:$EO$10,0),0)-WEEKDAY(MAX($A102,Settings!$F$56)),7))/7)+1)),IF(AND(IF(Settings!$E$56="",$B102,DATE(YEAR($A102),MONTH($A102),MIN(Settings!$E$56,DAY($B102))))&gt;=MAX($A102,Settings!$F$56),IF(Settings!$E$56="",$B102,DATE(YEAR($A102),MONTH($A102),MIN(Settings!$E$56,DAY($B102))))&lt;=MIN(Settings!$B$5,IF(Settings!$G$56="",Settings!$B$5,Settings!$G$56))),1,0)))))</f>
        <v/>
      </c>
      <c r="FF102">
        <f>IF(Settings!$I$45="Yes",$G102,0)+IF(Settings!$I$46="Yes",$H102,0)+IF(Settings!$I$47="Yes",$I102,0)+IF(Settings!$I$48="Yes",$J102,0)+IF(Settings!$I$49="Yes",$K102,0)+IF(Settings!$I$50="Yes",$L102,0)+IF(Settings!$I$51="Yes",$M102,0)+IF(Settings!$I$52="Yes",$N102,0)+IF(Settings!$I$53="Yes",$O102,0)+IF(Settings!$I$54="Yes",$P102,0)+IF(Settings!$I$55="Yes",$Q102,0)+IF(Settings!$I$56="Yes",$R102,0)</f>
        <v/>
      </c>
      <c r="FG102">
        <f>IF(AND(Settings!$I$45="Yes",Settings!$J$45="No"),$G102,0)+IF(AND(Settings!$I$46="Yes",Settings!$J$46="No"),$H102,0)+IF(AND(Settings!$I$47="Yes",Settings!$J$47="No"),$I102,0)+IF(AND(Settings!$I$48="Yes",Settings!$J$48="No"),$J102,0)+IF(AND(Settings!$I$49="Yes",Settings!$J$49="No"),$K102,0)+IF(AND(Settings!$I$50="Yes",Settings!$J$50="No"),$L102,0)+IF(AND(Settings!$I$51="Yes",Settings!$J$51="No"),$M102,0)+IF(AND(Settings!$I$52="Yes",Settings!$J$52="No"),$N102,0)+IF(AND(Settings!$I$53="Yes",Settings!$J$53="No"),$O102,0)+IF(AND(Settings!$I$54="Yes",Settings!$J$54="No"),$P102,0)+IF(AND(Settings!$I$55="Yes",Settings!$J$55="No"),$Q102,0)+IF(AND(Settings!$I$56="Yes",Settings!$J$56="No"),$R102,0)</f>
        <v/>
      </c>
      <c r="FH102">
        <f>SUMIFS(Giving!$B$7:$B$2006,Giving!$A$7:$A$2006,"&gt;="&amp;$A102,Giving!$A$7:$A$2006,"&lt;="&amp;$B102,Giving!$G$7:$G$2006,"Yes")+IF(OR(OR(Settings!$B$60="",Settings!$F$60="No"),Settings!$H$60&lt;&gt;"Yes"),0,Settings!$B$60*IF(AND(IF(Settings!$C$60="",$B102,DATE(YEAR($A102),MONTH($A102),MIN(Settings!$C$60,DAY($B102))))&gt;=MAX($A102,Settings!$D$60),IF(Settings!$C$60="",$B102,DATE(YEAR($A102),MONTH($A102),MIN(Settings!$C$60,DAY($B102))))&lt;=MIN($C102,IF(Settings!$E$60="",$C102,Settings!$E$60))),1,0))+IF(OR(OR(Settings!$B$61="",Settings!$F$61="No"),Settings!$H$61&lt;&gt;"Yes"),0,Settings!$B$61*IF(AND(IF(Settings!$C$61="",$B102,DATE(YEAR($A102),MONTH($A102),MIN(Settings!$C$61,DAY($B102))))&gt;=MAX($A102,Settings!$D$61),IF(Settings!$C$61="",$B102,DATE(YEAR($A102),MONTH($A102),MIN(Settings!$C$61,DAY($B102))))&lt;=MIN($C102,IF(Settings!$E$61="",$C102,Settings!$E$61))),1,0))+IF(OR(OR(Settings!$B$62="",Settings!$F$62="No"),Settings!$H$62&lt;&gt;"Yes"),0,Settings!$B$62*IF(AND(IF(Settings!$C$62="",$B102,DATE(YEAR($A102),MONTH($A102),MIN(Settings!$C$62,DAY($B102))))&gt;=MAX($A102,Settings!$D$62),IF(Settings!$C$62="",$B102,DATE(YEAR($A102),MONTH($A102),MIN(Settings!$C$62,DAY($B102))))&lt;=MIN($C102,IF(Settings!$E$62="",$C102,Settings!$E$62))),1,0))+IF(OR(OR(Settings!$B$63="",Settings!$F$63="No"),Settings!$H$63&lt;&gt;"Yes"),0,Settings!$B$63*IF(AND(IF(Settings!$C$63="",$B102,DATE(YEAR($A102),MONTH($A102),MIN(Settings!$C$63,DAY($B102))))&gt;=MAX($A102,Settings!$D$63),IF(Settings!$C$63="",$B102,DATE(YEAR($A102),MONTH($A102),MIN(Settings!$C$63,DAY($B102))))&lt;=MIN($C102,IF(Settings!$E$63="",$C102,Settings!$E$63))),1,0))+IF(OR(OR(Settings!$B$64="",Settings!$F$64="No"),Settings!$H$64&lt;&gt;"Yes"),0,Settings!$B$64*IF(AND(IF(Settings!$C$64="",$B102,DATE(YEAR($A102),MONTH($A102),MIN(Settings!$C$64,DAY($B102))))&gt;=MAX($A102,Settings!$D$64),IF(Settings!$C$64="",$B102,DATE(YEAR($A102),MONTH($A102),MIN(Settings!$C$64,DAY($B102))))&lt;=MIN($C102,IF(Settings!$E$64="",$C102,Settings!$E$64))),1,0))+IF(OR(OR(Settings!$B$65="",Settings!$F$65="No"),Settings!$H$65&lt;&gt;"Yes"),0,Settings!$B$65*IF(AND(IF(Settings!$C$65="",$B102,DATE(YEAR($A102),MONTH($A102),MIN(Settings!$C$65,DAY($B102))))&gt;=MAX($A102,Settings!$D$65),IF(Settings!$C$65="",$B102,DATE(YEAR($A102),MONTH($A102),MIN(Settings!$C$65,DAY($B102))))&lt;=MIN($C102,IF(Settings!$E$65="",$C102,Settings!$E$65))),1,0))</f>
        <v/>
      </c>
      <c r="FI102">
        <f>IF($DT102=1,IF(OR(Settings!$B$19="Card",Settings!$B$19="Loan"),N($AE102),0)+IF(OR(Settings!$B$20="Card",Settings!$B$20="Loan"),N($AF102),0)+IF(OR(Settings!$B$21="Card",Settings!$B$21="Loan"),N($AG102),0)+IF(OR(Settings!$B$22="Card",Settings!$B$22="Loan"),N($AH102),0)+IF(OR(Settings!$B$23="Card",Settings!$B$23="Loan"),N($AI102),0)+IF(OR(Settings!$B$24="Card",Settings!$B$24="Loan"),N($AJ102),0)+IF(OR(Settings!$B$25="Card",Settings!$B$25="Loan"),N($AK102),0)+IF(OR(Settings!$B$26="Card",Settings!$B$26="Loan"),N($AL102),0)+IF(OR(Settings!$B$27="Card",Settings!$B$27="Loan"),N($AM102),0)+IF(OR(Settings!$B$28="Card",Settings!$B$28="Loan"),N($AN102),0)+IF(OR(Settings!$B$29="Card",Settings!$B$29="Loan"),N($AO102),0)+IF(OR(Settings!$B$30="Card",Settings!$B$30="Loan"),N($AP102),0)+IF(OR(Settings!$B$31="Card",Settings!$B$31="Loan"),N($AQ102),0)+IF(OR(Settings!$B$32="Card",Settings!$B$32="Loan"),N($AR102),0),"")</f>
        <v/>
      </c>
      <c r="FJ102">
        <f>IF($E102="open",$EB$65,IF($E102="post",IF($E101="pre",$EB$65,$FI101),""))</f>
        <v/>
      </c>
      <c r="FK102">
        <f>IF(AND($DT102=1,$DC102=1),IF(ROUND($FI102-$FJ102,2)&gt;0,1,0),0)</f>
        <v/>
      </c>
      <c r="FL102">
        <f>IF($FK102=1,$FL101+1,0)</f>
        <v/>
      </c>
    </row>
    <row r="103">
      <c r="A103">
        <f>'Month-End'!$CV$4</f>
        <v/>
      </c>
      <c r="B103">
        <f>EOMONTH($A103,0)</f>
        <v/>
      </c>
      <c r="C103">
        <f>MIN($B103,TODAY())</f>
        <v/>
      </c>
      <c r="D103">
        <f>IF($A103&gt;TODAY(),1,0)</f>
        <v/>
      </c>
      <c r="E103">
        <f>IF($B103&lt;=Settings!$B$5,"pre",IF($A103&lt;=Settings!$B$5,"open","post"))</f>
        <v/>
      </c>
      <c r="G103">
        <f>IF('Month-End'!$CV$22="",$BE103,N('Month-End'!$CV$22))</f>
        <v/>
      </c>
      <c r="H103">
        <f>IF('Month-End'!$CV$23="",$BF103,N('Month-End'!$CV$23))</f>
        <v/>
      </c>
      <c r="I103">
        <f>IF('Month-End'!$CV$24="",$BG103,N('Month-End'!$CV$24))</f>
        <v/>
      </c>
      <c r="J103">
        <f>IF('Month-End'!$CV$25="",$BH103,N('Month-End'!$CV$25))</f>
        <v/>
      </c>
      <c r="K103">
        <f>IF('Month-End'!$CV$26="",$BI103,N('Month-End'!$CV$26))</f>
        <v/>
      </c>
      <c r="L103">
        <f>IF('Month-End'!$CV$27="",$BJ103,N('Month-End'!$CV$27))</f>
        <v/>
      </c>
      <c r="M103">
        <f>IF('Month-End'!$CV$28="",$BK103,N('Month-End'!$CV$28))</f>
        <v/>
      </c>
      <c r="N103">
        <f>IF('Month-End'!$CV$29="",$BL103,N('Month-End'!$CV$29))</f>
        <v/>
      </c>
      <c r="O103">
        <f>IF('Month-End'!$CV$30="",$BM103,N('Month-End'!$CV$30))</f>
        <v/>
      </c>
      <c r="P103">
        <f>IF('Month-End'!$CV$31="",$BN103,N('Month-End'!$CV$31))</f>
        <v/>
      </c>
      <c r="Q103">
        <f>IF('Month-End'!$CV$32="",$BO103,N('Month-End'!$CV$32))</f>
        <v/>
      </c>
      <c r="R103">
        <f>IF('Month-End'!$CV$33="",$BP103,N('Month-End'!$CV$33))</f>
        <v/>
      </c>
      <c r="S103">
        <f>$G103+$H103+$I103+$J103+$K103+$L103+$M103+$N103+$O103+$P103+$Q103+$R103</f>
        <v/>
      </c>
      <c r="T103">
        <f>IF($B103&lt;Settings!$B$6,0,IF(Settings!$B$45="Yes",$G103,0)+IF(Settings!$B$46="Yes",$H103,0)+IF(Settings!$B$47="Yes",$I103,0)+IF(Settings!$B$48="Yes",$J103,0)+IF(Settings!$B$49="Yes",$K103,0)+IF(Settings!$B$50="Yes",$L103,0)+IF(Settings!$B$51="Yes",$M103,0)+IF(Settings!$B$52="Yes",$N103,0)+IF(Settings!$B$53="Yes",$O103,0)+IF(Settings!$B$54="Yes",$P103,0)+IF(Settings!$B$55="Yes",$Q103,0)+IF(Settings!$B$56="Yes",$R103,0))</f>
        <v/>
      </c>
      <c r="U103">
        <f>IF(Settings!$B$45="Not Sure",$G103,0)+IF(Settings!$B$46="Not Sure",$H103,0)+IF(Settings!$B$47="Not Sure",$I103,0)+IF(Settings!$B$48="Not Sure",$J103,0)+IF(Settings!$B$49="Not Sure",$K103,0)+IF(Settings!$B$50="Not Sure",$L103,0)+IF(Settings!$B$51="Not Sure",$M103,0)+IF(Settings!$B$52="Not Sure",$N103,0)+IF(Settings!$B$53="Not Sure",$O103,0)+IF(Settings!$B$54="Not Sure",$P103,0)+IF(Settings!$B$55="Not Sure",$Q103,0)+IF(Settings!$B$56="Not Sure",$R103,0)</f>
        <v/>
      </c>
      <c r="V103">
        <f>IF($E103="open",SUM($ET103:$FE103)+N(Settings!$B$13),0)</f>
        <v/>
      </c>
      <c r="W103">
        <f>IF($E103="post",$S103,IF($E103="open",$S103-$V103,0))</f>
        <v/>
      </c>
      <c r="X103">
        <f>SUMIFS(Giving!$B$7:$B$2006,Giving!$A$7:$A$2006,"&gt;="&amp;$A103,Giving!$A$7:$A$2006,"&lt;="&amp;$B103,Giving!$E$7:$E$2006,"&lt;&gt;No")</f>
        <v/>
      </c>
      <c r="Y103">
        <f>SUMIFS(Giving!$B$7:$B$2006,Giving!$A$7:$A$2006,"&gt;="&amp;$A103,Giving!$A$7:$A$2006,"&lt;="&amp;$B103,Giving!$E$7:$E$2006,"No")</f>
        <v/>
      </c>
      <c r="Z103">
        <f>IF(OR(Settings!$B$60="",Settings!$F$60="No"),0,Settings!$B$60*IF(AND(IF(Settings!$C$60="",$B103,DATE(YEAR($A103),MONTH($A103),MIN(Settings!$C$60,DAY($B103))))&gt;=MAX($A103,Settings!$D$60),IF(Settings!$C$60="",$B103,DATE(YEAR($A103),MONTH($A103),MIN(Settings!$C$60,DAY($B103))))&lt;=MIN($C103,IF(Settings!$E$60="",$C103,Settings!$E$60))),1,0))+IF(OR(Settings!$B$61="",Settings!$F$61="No"),0,Settings!$B$61*IF(AND(IF(Settings!$C$61="",$B103,DATE(YEAR($A103),MONTH($A103),MIN(Settings!$C$61,DAY($B103))))&gt;=MAX($A103,Settings!$D$61),IF(Settings!$C$61="",$B103,DATE(YEAR($A103),MONTH($A103),MIN(Settings!$C$61,DAY($B103))))&lt;=MIN($C103,IF(Settings!$E$61="",$C103,Settings!$E$61))),1,0))+IF(OR(Settings!$B$62="",Settings!$F$62="No"),0,Settings!$B$62*IF(AND(IF(Settings!$C$62="",$B103,DATE(YEAR($A103),MONTH($A103),MIN(Settings!$C$62,DAY($B103))))&gt;=MAX($A103,Settings!$D$62),IF(Settings!$C$62="",$B103,DATE(YEAR($A103),MONTH($A103),MIN(Settings!$C$62,DAY($B103))))&lt;=MIN($C103,IF(Settings!$E$62="",$C103,Settings!$E$62))),1,0))+IF(OR(Settings!$B$63="",Settings!$F$63="No"),0,Settings!$B$63*IF(AND(IF(Settings!$C$63="",$B103,DATE(YEAR($A103),MONTH($A103),MIN(Settings!$C$63,DAY($B103))))&gt;=MAX($A103,Settings!$D$63),IF(Settings!$C$63="",$B103,DATE(YEAR($A103),MONTH($A103),MIN(Settings!$C$63,DAY($B103))))&lt;=MIN($C103,IF(Settings!$E$63="",$C103,Settings!$E$63))),1,0))+IF(OR(Settings!$B$64="",Settings!$F$64="No"),0,Settings!$B$64*IF(AND(IF(Settings!$C$64="",$B103,DATE(YEAR($A103),MONTH($A103),MIN(Settings!$C$64,DAY($B103))))&gt;=MAX($A103,Settings!$D$64),IF(Settings!$C$64="",$B103,DATE(YEAR($A103),MONTH($A103),MIN(Settings!$C$64,DAY($B103))))&lt;=MIN($C103,IF(Settings!$E$64="",$C103,Settings!$E$64))),1,0))+IF(OR(Settings!$B$65="",Settings!$F$65="No"),0,Settings!$B$65*IF(AND(IF(Settings!$C$65="",$B103,DATE(YEAR($A103),MONTH($A103),MIN(Settings!$C$65,DAY($B103))))&gt;=MAX($A103,Settings!$D$65),IF(Settings!$C$65="",$B103,DATE(YEAR($A103),MONTH($A103),MIN(Settings!$C$65,DAY($B103))))&lt;=MIN($C103,IF(Settings!$E$65="",$C103,Settings!$E$65))),1,0))</f>
        <v/>
      </c>
      <c r="AA103">
        <f>$X103+$Z103</f>
        <v/>
      </c>
      <c r="AB103">
        <f>IF($E103="post",$AA103,IF($E103="open",SUMIFS(Giving!$B$7:$B$2006,Giving!$A$7:$A$2006,"&gt;"&amp;Settings!$B$5,Giving!$A$7:$A$2006,"&lt;="&amp;$B103,Giving!$E$7:$E$2006,"&lt;&gt;No")+IF(OR(Settings!$B$60="",Settings!$F$60="No"),0,Settings!$B$60*IF(AND(IF(Settings!$C$60="",$B103,DATE(YEAR($A103),MONTH($A103),MIN(Settings!$C$60,DAY($B103))))&gt;=MAX($A103,Settings!$D$60,Settings!$B$5+1),IF(Settings!$C$60="",$B103,DATE(YEAR($A103),MONTH($A103),MIN(Settings!$C$60,DAY($B103))))&lt;=MIN($C103,IF(Settings!$E$60="",$C103,Settings!$E$60))),1,0))+IF(OR(Settings!$B$61="",Settings!$F$61="No"),0,Settings!$B$61*IF(AND(IF(Settings!$C$61="",$B103,DATE(YEAR($A103),MONTH($A103),MIN(Settings!$C$61,DAY($B103))))&gt;=MAX($A103,Settings!$D$61,Settings!$B$5+1),IF(Settings!$C$61="",$B103,DATE(YEAR($A103),MONTH($A103),MIN(Settings!$C$61,DAY($B103))))&lt;=MIN($C103,IF(Settings!$E$61="",$C103,Settings!$E$61))),1,0))+IF(OR(Settings!$B$62="",Settings!$F$62="No"),0,Settings!$B$62*IF(AND(IF(Settings!$C$62="",$B103,DATE(YEAR($A103),MONTH($A103),MIN(Settings!$C$62,DAY($B103))))&gt;=MAX($A103,Settings!$D$62,Settings!$B$5+1),IF(Settings!$C$62="",$B103,DATE(YEAR($A103),MONTH($A103),MIN(Settings!$C$62,DAY($B103))))&lt;=MIN($C103,IF(Settings!$E$62="",$C103,Settings!$E$62))),1,0))+IF(OR(Settings!$B$63="",Settings!$F$63="No"),0,Settings!$B$63*IF(AND(IF(Settings!$C$63="",$B103,DATE(YEAR($A103),MONTH($A103),MIN(Settings!$C$63,DAY($B103))))&gt;=MAX($A103,Settings!$D$63,Settings!$B$5+1),IF(Settings!$C$63="",$B103,DATE(YEAR($A103),MONTH($A103),MIN(Settings!$C$63,DAY($B103))))&lt;=MIN($C103,IF(Settings!$E$63="",$C103,Settings!$E$63))),1,0))+IF(OR(Settings!$B$64="",Settings!$F$64="No"),0,Settings!$B$64*IF(AND(IF(Settings!$C$64="",$B103,DATE(YEAR($A103),MONTH($A103),MIN(Settings!$C$64,DAY($B103))))&gt;=MAX($A103,Settings!$D$64,Settings!$B$5+1),IF(Settings!$C$64="",$B103,DATE(YEAR($A103),MONTH($A103),MIN(Settings!$C$64,DAY($B103))))&lt;=MIN($C103,IF(Settings!$E$64="",$C103,Settings!$E$64))),1,0))+IF(OR(Settings!$B$65="",Settings!$F$65="No"),0,Settings!$B$65*IF(AND(IF(Settings!$C$65="",$B103,DATE(YEAR($A103),MONTH($A103),MIN(Settings!$C$65,DAY($B103))))&gt;=MAX($A103,Settings!$D$65,Settings!$B$5+1),IF(Settings!$C$65="",$B103,DATE(YEAR($A103),MONTH($A103),MIN(Settings!$C$65,DAY($B103))))&lt;=MIN($C103,IF(Settings!$E$65="",$C103,Settings!$E$65))),1,0)),0))</f>
        <v/>
      </c>
      <c r="AC103">
        <f>$AY103+$AZ103+$BA103+$BB103+$BC103+$BD103</f>
        <v/>
      </c>
      <c r="AD103">
        <f>$AC103</f>
        <v/>
      </c>
      <c r="AE103">
        <f>IF(OR(Settings!$A$19="",$E103="pre"),"",IF(AND('Month-End'!$CV$7&lt;&gt;"",NOT(_xlfn.ISFORMULA('Month-End'!$CV$7))),N('Month-End'!$CV$7),IF(OR($E103="open",$E102="pre"),N(Settings!$C$19),N($AE102))))</f>
        <v/>
      </c>
      <c r="AF103">
        <f>IF(OR(Settings!$A$20="",$E103="pre"),"",IF(AND('Month-End'!$CV$8&lt;&gt;"",NOT(_xlfn.ISFORMULA('Month-End'!$CV$8))),N('Month-End'!$CV$8),IF(OR($E103="open",$E102="pre"),N(Settings!$C$20),N($AF102))))</f>
        <v/>
      </c>
      <c r="AG103">
        <f>IF(OR(Settings!$A$21="",$E103="pre"),"",IF(AND('Month-End'!$CV$9&lt;&gt;"",NOT(_xlfn.ISFORMULA('Month-End'!$CV$9))),N('Month-End'!$CV$9),IF(OR($E103="open",$E102="pre"),N(Settings!$C$21),N($AG102))))</f>
        <v/>
      </c>
      <c r="AH103">
        <f>IF(OR(Settings!$A$22="",$E103="pre"),"",IF(AND('Month-End'!$CV$10&lt;&gt;"",NOT(_xlfn.ISFORMULA('Month-End'!$CV$10))),N('Month-End'!$CV$10),IF(OR($E103="open",$E102="pre"),N(Settings!$C$22),N($AH102))))</f>
        <v/>
      </c>
      <c r="AI103">
        <f>IF(OR(Settings!$A$23="",$E103="pre"),"",IF(AND('Month-End'!$CV$11&lt;&gt;"",NOT(_xlfn.ISFORMULA('Month-End'!$CV$11))),N('Month-End'!$CV$11),IF(OR($E103="open",$E102="pre"),N(Settings!$C$23),N($AI102))))</f>
        <v/>
      </c>
      <c r="AJ103">
        <f>IF(OR(Settings!$A$24="",$E103="pre"),"",IF(AND('Month-End'!$CV$12&lt;&gt;"",NOT(_xlfn.ISFORMULA('Month-End'!$CV$12))),N('Month-End'!$CV$12),IF(OR($E103="open",$E102="pre"),N(Settings!$C$24),N($AJ102))))</f>
        <v/>
      </c>
      <c r="AK103">
        <f>IF(OR(Settings!$A$25="",$E103="pre"),"",IF(AND('Month-End'!$CV$13&lt;&gt;"",NOT(_xlfn.ISFORMULA('Month-End'!$CV$13))),N('Month-End'!$CV$13),IF(OR($E103="open",$E102="pre"),N(Settings!$C$25),N($AK102))))</f>
        <v/>
      </c>
      <c r="AL103">
        <f>IF(OR(Settings!$A$26="",$E103="pre"),"",IF(AND('Month-End'!$CV$14&lt;&gt;"",NOT(_xlfn.ISFORMULA('Month-End'!$CV$14))),N('Month-End'!$CV$14),IF(OR($E103="open",$E102="pre"),N(Settings!$C$26),N($AL102))))</f>
        <v/>
      </c>
      <c r="AM103">
        <f>IF(OR(Settings!$A$27="",$E103="pre"),"",IF(AND('Month-End'!$CV$15&lt;&gt;"",NOT(_xlfn.ISFORMULA('Month-End'!$CV$15))),N('Month-End'!$CV$15),IF(OR($E103="open",$E102="pre"),N(Settings!$C$27),N($AM102))))</f>
        <v/>
      </c>
      <c r="AN103">
        <f>IF(OR(Settings!$A$28="",$E103="pre"),"",IF(AND('Month-End'!$CV$16&lt;&gt;"",NOT(_xlfn.ISFORMULA('Month-End'!$CV$16))),N('Month-End'!$CV$16),IF(OR($E103="open",$E102="pre"),N(Settings!$C$28),N($AN102))))</f>
        <v/>
      </c>
      <c r="AO103">
        <f>IF(OR(Settings!$A$29="",$E103="pre"),"",IF(AND('Month-End'!$CV$17&lt;&gt;"",NOT(_xlfn.ISFORMULA('Month-End'!$CV$17))),N('Month-End'!$CV$17),IF(OR($E103="open",$E102="pre"),N(Settings!$C$29),N($AO102))))</f>
        <v/>
      </c>
      <c r="AP103">
        <f>IF(OR(Settings!$A$30="",$E103="pre"),"",IF(AND('Month-End'!$CV$18&lt;&gt;"",NOT(_xlfn.ISFORMULA('Month-End'!$CV$18))),N('Month-End'!$CV$18),IF(OR($E103="open",$E102="pre"),N(Settings!$C$30),N($AP102))))</f>
        <v/>
      </c>
      <c r="AQ103">
        <f>IF(OR(Settings!$A$31="",$E103="pre"),"",IF(AND('Month-End'!$CV$19&lt;&gt;"",NOT(_xlfn.ISFORMULA('Month-End'!$CV$19))),N('Month-End'!$CV$19),IF(OR($E103="open",$E102="pre"),N(Settings!$C$31),N($AQ102))))</f>
        <v/>
      </c>
      <c r="AR103">
        <f>IF(OR(Settings!$A$32="",$E103="pre"),"",IF(AND('Month-End'!$CV$20&lt;&gt;"",NOT(_xlfn.ISFORMULA('Month-End'!$CV$20))),N('Month-End'!$CV$20),IF(OR($E103="open",$E102="pre"),N(Settings!$C$32),N($AR102))))</f>
        <v/>
      </c>
      <c r="AS103">
        <f>IF(OR(Settings!$A$36="",$E103="pre"),"",IF(AND('Month-End'!$CV$38&lt;&gt;"",NOT(_xlfn.ISFORMULA('Month-End'!$CV$38))),N('Month-End'!$CV$38),IF(OR($E103="open",$E102="pre"),N(Settings!$C$36),N($AS102))+$AY103))</f>
        <v/>
      </c>
      <c r="AT103">
        <f>IF(OR(Settings!$A$37="",$E103="pre"),"",IF(AND('Month-End'!$CV$39&lt;&gt;"",NOT(_xlfn.ISFORMULA('Month-End'!$CV$39))),N('Month-End'!$CV$39),IF(OR($E103="open",$E102="pre"),N(Settings!$C$37),N($AT102))+$AZ103))</f>
        <v/>
      </c>
      <c r="AU103">
        <f>IF(OR(Settings!$A$38="",$E103="pre"),"",IF(AND('Month-End'!$CV$40&lt;&gt;"",NOT(_xlfn.ISFORMULA('Month-End'!$CV$40))),N('Month-End'!$CV$40),IF(OR($E103="open",$E102="pre"),N(Settings!$C$38),N($AU102))+$BA103))</f>
        <v/>
      </c>
      <c r="AV103">
        <f>IF(OR(Settings!$A$39="",$E103="pre"),"",IF(AND('Month-End'!$CV$41&lt;&gt;"",NOT(_xlfn.ISFORMULA('Month-End'!$CV$41))),N('Month-End'!$CV$41),IF(OR($E103="open",$E102="pre"),N(Settings!$C$39),N($AV102))+$BB103))</f>
        <v/>
      </c>
      <c r="AW103">
        <f>IF(OR(Settings!$A$40="",$E103="pre"),"",IF(AND('Month-End'!$CV$42&lt;&gt;"",NOT(_xlfn.ISFORMULA('Month-End'!$CV$42))),N('Month-End'!$CV$42),IF(OR($E103="open",$E102="pre"),N(Settings!$C$40),N($AW102))+$BC103))</f>
        <v/>
      </c>
      <c r="AX103">
        <f>IF(OR(Settings!$A$41="",$E103="pre"),"",IF(AND('Month-End'!$CV$43&lt;&gt;"",NOT(_xlfn.ISFORMULA('Month-End'!$CV$43))),N('Month-End'!$CV$43),IF(OR($E103="open",$E102="pre"),N(Settings!$C$41),N($AX102))+$BD103))</f>
        <v/>
      </c>
      <c r="AY103">
        <f>IF($E103="pre",0,N('Month-End'!$CV$45))</f>
        <v/>
      </c>
      <c r="AZ103">
        <f>IF($E103="pre",0,N('Month-End'!$CV$46))</f>
        <v/>
      </c>
      <c r="BA103">
        <f>IF($E103="pre",0,N('Month-End'!$CV$47))</f>
        <v/>
      </c>
      <c r="BB103">
        <f>IF($E103="pre",0,N('Month-End'!$CV$48))</f>
        <v/>
      </c>
      <c r="BC103">
        <f>IF($E103="pre",0,N('Month-End'!$CV$49))</f>
        <v/>
      </c>
      <c r="BD103">
        <f>IF($E103="pre",0,N('Month-End'!$CV$50))</f>
        <v/>
      </c>
      <c r="BE103">
        <f>IF(OR(Settings!$C$45="",Settings!$D$45=""),0,Settings!$C$45*IF(Settings!$D$45="Weekly",IF(IFERROR(MATCH(Settings!$E$45,$EO$4:$EO$10,0),0)=0,0,IF(MIN($C103,IF(Settings!$G$45="",$C103,Settings!$G$45))&lt;MAX($A103,Settings!$F$45),0,INT((MIN($C103,IF(Settings!$G$45="",$C103,Settings!$G$45))-MAX($A103,Settings!$F$45)-MOD(IFERROR(MATCH(Settings!$E$45,$EO$4:$EO$10,0),0)-WEEKDAY(MAX($A103,Settings!$F$45)),7))/7)+1)),IF(AND(IF(Settings!$E$45="",$B103,DATE(YEAR($A103),MONTH($A103),MIN(Settings!$E$45,DAY($B103))))&gt;=MAX($A103,Settings!$F$45),IF(Settings!$E$45="",$B103,DATE(YEAR($A103),MONTH($A103),MIN(Settings!$E$45,DAY($B103))))&lt;=MIN($C103,IF(Settings!$G$45="",$C103,Settings!$G$45))),1,0)))</f>
        <v/>
      </c>
      <c r="BF103">
        <f>IF(OR(Settings!$C$46="",Settings!$D$46=""),0,Settings!$C$46*IF(Settings!$D$46="Weekly",IF(IFERROR(MATCH(Settings!$E$46,$EO$4:$EO$10,0),0)=0,0,IF(MIN($C103,IF(Settings!$G$46="",$C103,Settings!$G$46))&lt;MAX($A103,Settings!$F$46),0,INT((MIN($C103,IF(Settings!$G$46="",$C103,Settings!$G$46))-MAX($A103,Settings!$F$46)-MOD(IFERROR(MATCH(Settings!$E$46,$EO$4:$EO$10,0),0)-WEEKDAY(MAX($A103,Settings!$F$46)),7))/7)+1)),IF(AND(IF(Settings!$E$46="",$B103,DATE(YEAR($A103),MONTH($A103),MIN(Settings!$E$46,DAY($B103))))&gt;=MAX($A103,Settings!$F$46),IF(Settings!$E$46="",$B103,DATE(YEAR($A103),MONTH($A103),MIN(Settings!$E$46,DAY($B103))))&lt;=MIN($C103,IF(Settings!$G$46="",$C103,Settings!$G$46))),1,0)))</f>
        <v/>
      </c>
      <c r="BG103">
        <f>IF(OR(Settings!$C$47="",Settings!$D$47=""),0,Settings!$C$47*IF(Settings!$D$47="Weekly",IF(IFERROR(MATCH(Settings!$E$47,$EO$4:$EO$10,0),0)=0,0,IF(MIN($C103,IF(Settings!$G$47="",$C103,Settings!$G$47))&lt;MAX($A103,Settings!$F$47),0,INT((MIN($C103,IF(Settings!$G$47="",$C103,Settings!$G$47))-MAX($A103,Settings!$F$47)-MOD(IFERROR(MATCH(Settings!$E$47,$EO$4:$EO$10,0),0)-WEEKDAY(MAX($A103,Settings!$F$47)),7))/7)+1)),IF(AND(IF(Settings!$E$47="",$B103,DATE(YEAR($A103),MONTH($A103),MIN(Settings!$E$47,DAY($B103))))&gt;=MAX($A103,Settings!$F$47),IF(Settings!$E$47="",$B103,DATE(YEAR($A103),MONTH($A103),MIN(Settings!$E$47,DAY($B103))))&lt;=MIN($C103,IF(Settings!$G$47="",$C103,Settings!$G$47))),1,0)))</f>
        <v/>
      </c>
      <c r="BH103">
        <f>IF(OR(Settings!$C$48="",Settings!$D$48=""),0,Settings!$C$48*IF(Settings!$D$48="Weekly",IF(IFERROR(MATCH(Settings!$E$48,$EO$4:$EO$10,0),0)=0,0,IF(MIN($C103,IF(Settings!$G$48="",$C103,Settings!$G$48))&lt;MAX($A103,Settings!$F$48),0,INT((MIN($C103,IF(Settings!$G$48="",$C103,Settings!$G$48))-MAX($A103,Settings!$F$48)-MOD(IFERROR(MATCH(Settings!$E$48,$EO$4:$EO$10,0),0)-WEEKDAY(MAX($A103,Settings!$F$48)),7))/7)+1)),IF(AND(IF(Settings!$E$48="",$B103,DATE(YEAR($A103),MONTH($A103),MIN(Settings!$E$48,DAY($B103))))&gt;=MAX($A103,Settings!$F$48),IF(Settings!$E$48="",$B103,DATE(YEAR($A103),MONTH($A103),MIN(Settings!$E$48,DAY($B103))))&lt;=MIN($C103,IF(Settings!$G$48="",$C103,Settings!$G$48))),1,0)))</f>
        <v/>
      </c>
      <c r="BI103">
        <f>IF(OR(Settings!$C$49="",Settings!$D$49=""),0,Settings!$C$49*IF(Settings!$D$49="Weekly",IF(IFERROR(MATCH(Settings!$E$49,$EO$4:$EO$10,0),0)=0,0,IF(MIN($C103,IF(Settings!$G$49="",$C103,Settings!$G$49))&lt;MAX($A103,Settings!$F$49),0,INT((MIN($C103,IF(Settings!$G$49="",$C103,Settings!$G$49))-MAX($A103,Settings!$F$49)-MOD(IFERROR(MATCH(Settings!$E$49,$EO$4:$EO$10,0),0)-WEEKDAY(MAX($A103,Settings!$F$49)),7))/7)+1)),IF(AND(IF(Settings!$E$49="",$B103,DATE(YEAR($A103),MONTH($A103),MIN(Settings!$E$49,DAY($B103))))&gt;=MAX($A103,Settings!$F$49),IF(Settings!$E$49="",$B103,DATE(YEAR($A103),MONTH($A103),MIN(Settings!$E$49,DAY($B103))))&lt;=MIN($C103,IF(Settings!$G$49="",$C103,Settings!$G$49))),1,0)))</f>
        <v/>
      </c>
      <c r="BJ103">
        <f>IF(OR(Settings!$C$50="",Settings!$D$50=""),0,Settings!$C$50*IF(Settings!$D$50="Weekly",IF(IFERROR(MATCH(Settings!$E$50,$EO$4:$EO$10,0),0)=0,0,IF(MIN($C103,IF(Settings!$G$50="",$C103,Settings!$G$50))&lt;MAX($A103,Settings!$F$50),0,INT((MIN($C103,IF(Settings!$G$50="",$C103,Settings!$G$50))-MAX($A103,Settings!$F$50)-MOD(IFERROR(MATCH(Settings!$E$50,$EO$4:$EO$10,0),0)-WEEKDAY(MAX($A103,Settings!$F$50)),7))/7)+1)),IF(AND(IF(Settings!$E$50="",$B103,DATE(YEAR($A103),MONTH($A103),MIN(Settings!$E$50,DAY($B103))))&gt;=MAX($A103,Settings!$F$50),IF(Settings!$E$50="",$B103,DATE(YEAR($A103),MONTH($A103),MIN(Settings!$E$50,DAY($B103))))&lt;=MIN($C103,IF(Settings!$G$50="",$C103,Settings!$G$50))),1,0)))</f>
        <v/>
      </c>
      <c r="BK103">
        <f>IF(OR(Settings!$C$51="",Settings!$D$51=""),0,Settings!$C$51*IF(Settings!$D$51="Weekly",IF(IFERROR(MATCH(Settings!$E$51,$EO$4:$EO$10,0),0)=0,0,IF(MIN($C103,IF(Settings!$G$51="",$C103,Settings!$G$51))&lt;MAX($A103,Settings!$F$51),0,INT((MIN($C103,IF(Settings!$G$51="",$C103,Settings!$G$51))-MAX($A103,Settings!$F$51)-MOD(IFERROR(MATCH(Settings!$E$51,$EO$4:$EO$10,0),0)-WEEKDAY(MAX($A103,Settings!$F$51)),7))/7)+1)),IF(AND(IF(Settings!$E$51="",$B103,DATE(YEAR($A103),MONTH($A103),MIN(Settings!$E$51,DAY($B103))))&gt;=MAX($A103,Settings!$F$51),IF(Settings!$E$51="",$B103,DATE(YEAR($A103),MONTH($A103),MIN(Settings!$E$51,DAY($B103))))&lt;=MIN($C103,IF(Settings!$G$51="",$C103,Settings!$G$51))),1,0)))</f>
        <v/>
      </c>
      <c r="BL103">
        <f>IF(OR(Settings!$C$52="",Settings!$D$52=""),0,Settings!$C$52*IF(Settings!$D$52="Weekly",IF(IFERROR(MATCH(Settings!$E$52,$EO$4:$EO$10,0),0)=0,0,IF(MIN($C103,IF(Settings!$G$52="",$C103,Settings!$G$52))&lt;MAX($A103,Settings!$F$52),0,INT((MIN($C103,IF(Settings!$G$52="",$C103,Settings!$G$52))-MAX($A103,Settings!$F$52)-MOD(IFERROR(MATCH(Settings!$E$52,$EO$4:$EO$10,0),0)-WEEKDAY(MAX($A103,Settings!$F$52)),7))/7)+1)),IF(AND(IF(Settings!$E$52="",$B103,DATE(YEAR($A103),MONTH($A103),MIN(Settings!$E$52,DAY($B103))))&gt;=MAX($A103,Settings!$F$52),IF(Settings!$E$52="",$B103,DATE(YEAR($A103),MONTH($A103),MIN(Settings!$E$52,DAY($B103))))&lt;=MIN($C103,IF(Settings!$G$52="",$C103,Settings!$G$52))),1,0)))</f>
        <v/>
      </c>
      <c r="BM103">
        <f>IF(OR(Settings!$C$53="",Settings!$D$53=""),0,Settings!$C$53*IF(Settings!$D$53="Weekly",IF(IFERROR(MATCH(Settings!$E$53,$EO$4:$EO$10,0),0)=0,0,IF(MIN($C103,IF(Settings!$G$53="",$C103,Settings!$G$53))&lt;MAX($A103,Settings!$F$53),0,INT((MIN($C103,IF(Settings!$G$53="",$C103,Settings!$G$53))-MAX($A103,Settings!$F$53)-MOD(IFERROR(MATCH(Settings!$E$53,$EO$4:$EO$10,0),0)-WEEKDAY(MAX($A103,Settings!$F$53)),7))/7)+1)),IF(AND(IF(Settings!$E$53="",$B103,DATE(YEAR($A103),MONTH($A103),MIN(Settings!$E$53,DAY($B103))))&gt;=MAX($A103,Settings!$F$53),IF(Settings!$E$53="",$B103,DATE(YEAR($A103),MONTH($A103),MIN(Settings!$E$53,DAY($B103))))&lt;=MIN($C103,IF(Settings!$G$53="",$C103,Settings!$G$53))),1,0)))</f>
        <v/>
      </c>
      <c r="BN103">
        <f>IF(OR(Settings!$C$54="",Settings!$D$54=""),0,Settings!$C$54*IF(Settings!$D$54="Weekly",IF(IFERROR(MATCH(Settings!$E$54,$EO$4:$EO$10,0),0)=0,0,IF(MIN($C103,IF(Settings!$G$54="",$C103,Settings!$G$54))&lt;MAX($A103,Settings!$F$54),0,INT((MIN($C103,IF(Settings!$G$54="",$C103,Settings!$G$54))-MAX($A103,Settings!$F$54)-MOD(IFERROR(MATCH(Settings!$E$54,$EO$4:$EO$10,0),0)-WEEKDAY(MAX($A103,Settings!$F$54)),7))/7)+1)),IF(AND(IF(Settings!$E$54="",$B103,DATE(YEAR($A103),MONTH($A103),MIN(Settings!$E$54,DAY($B103))))&gt;=MAX($A103,Settings!$F$54),IF(Settings!$E$54="",$B103,DATE(YEAR($A103),MONTH($A103),MIN(Settings!$E$54,DAY($B103))))&lt;=MIN($C103,IF(Settings!$G$54="",$C103,Settings!$G$54))),1,0)))</f>
        <v/>
      </c>
      <c r="BO103">
        <f>IF(OR(Settings!$C$55="",Settings!$D$55=""),0,Settings!$C$55*IF(Settings!$D$55="Weekly",IF(IFERROR(MATCH(Settings!$E$55,$EO$4:$EO$10,0),0)=0,0,IF(MIN($C103,IF(Settings!$G$55="",$C103,Settings!$G$55))&lt;MAX($A103,Settings!$F$55),0,INT((MIN($C103,IF(Settings!$G$55="",$C103,Settings!$G$55))-MAX($A103,Settings!$F$55)-MOD(IFERROR(MATCH(Settings!$E$55,$EO$4:$EO$10,0),0)-WEEKDAY(MAX($A103,Settings!$F$55)),7))/7)+1)),IF(AND(IF(Settings!$E$55="",$B103,DATE(YEAR($A103),MONTH($A103),MIN(Settings!$E$55,DAY($B103))))&gt;=MAX($A103,Settings!$F$55),IF(Settings!$E$55="",$B103,DATE(YEAR($A103),MONTH($A103),MIN(Settings!$E$55,DAY($B103))))&lt;=MIN($C103,IF(Settings!$G$55="",$C103,Settings!$G$55))),1,0)))</f>
        <v/>
      </c>
      <c r="BP103">
        <f>IF(OR(Settings!$C$56="",Settings!$D$56=""),0,Settings!$C$56*IF(Settings!$D$56="Weekly",IF(IFERROR(MATCH(Settings!$E$56,$EO$4:$EO$10,0),0)=0,0,IF(MIN($C103,IF(Settings!$G$56="",$C103,Settings!$G$56))&lt;MAX($A103,Settings!$F$56),0,INT((MIN($C103,IF(Settings!$G$56="",$C103,Settings!$G$56))-MAX($A103,Settings!$F$56)-MOD(IFERROR(MATCH(Settings!$E$56,$EO$4:$EO$10,0),0)-WEEKDAY(MAX($A103,Settings!$F$56)),7))/7)+1)),IF(AND(IF(Settings!$E$56="",$B103,DATE(YEAR($A103),MONTH($A103),MIN(Settings!$E$56,DAY($B103))))&gt;=MAX($A103,Settings!$F$56),IF(Settings!$E$56="",$B103,DATE(YEAR($A103),MONTH($A103),MIN(Settings!$E$56,DAY($B103))))&lt;=MIN($C103,IF(Settings!$G$56="",$C103,Settings!$G$56))),1,0)))</f>
        <v/>
      </c>
      <c r="BQ103">
        <f>IF(OR(Settings!$B$14="",$D103=1,$E103="pre",$A103&lt;IF(Settings!$B$15="",0,Settings!$B$15)),0,Settings!$B$14)</f>
        <v/>
      </c>
      <c r="BR103">
        <f>IF(AND('Month-End'!$CV$7&lt;&gt;"",NOT(_xlfn.ISFORMULA('Month-End'!$CV$7))),1,0)</f>
        <v/>
      </c>
      <c r="BS103">
        <f>IF(AND('Month-End'!$CV$8&lt;&gt;"",NOT(_xlfn.ISFORMULA('Month-End'!$CV$8))),1,0)</f>
        <v/>
      </c>
      <c r="BT103">
        <f>IF(AND('Month-End'!$CV$9&lt;&gt;"",NOT(_xlfn.ISFORMULA('Month-End'!$CV$9))),1,0)</f>
        <v/>
      </c>
      <c r="BU103">
        <f>IF(AND('Month-End'!$CV$10&lt;&gt;"",NOT(_xlfn.ISFORMULA('Month-End'!$CV$10))),1,0)</f>
        <v/>
      </c>
      <c r="BV103">
        <f>IF(AND('Month-End'!$CV$11&lt;&gt;"",NOT(_xlfn.ISFORMULA('Month-End'!$CV$11))),1,0)</f>
        <v/>
      </c>
      <c r="BW103">
        <f>IF(AND('Month-End'!$CV$12&lt;&gt;"",NOT(_xlfn.ISFORMULA('Month-End'!$CV$12))),1,0)</f>
        <v/>
      </c>
      <c r="BX103">
        <f>IF(AND('Month-End'!$CV$13&lt;&gt;"",NOT(_xlfn.ISFORMULA('Month-End'!$CV$13))),1,0)</f>
        <v/>
      </c>
      <c r="BY103">
        <f>IF(AND('Month-End'!$CV$14&lt;&gt;"",NOT(_xlfn.ISFORMULA('Month-End'!$CV$14))),1,0)</f>
        <v/>
      </c>
      <c r="BZ103">
        <f>IF(AND('Month-End'!$CV$15&lt;&gt;"",NOT(_xlfn.ISFORMULA('Month-End'!$CV$15))),1,0)</f>
        <v/>
      </c>
      <c r="CA103">
        <f>IF(AND('Month-End'!$CV$16&lt;&gt;"",NOT(_xlfn.ISFORMULA('Month-End'!$CV$16))),1,0)</f>
        <v/>
      </c>
      <c r="CB103">
        <f>IF(AND('Month-End'!$CV$17&lt;&gt;"",NOT(_xlfn.ISFORMULA('Month-End'!$CV$17))),1,0)</f>
        <v/>
      </c>
      <c r="CC103">
        <f>IF(AND('Month-End'!$CV$18&lt;&gt;"",NOT(_xlfn.ISFORMULA('Month-End'!$CV$18))),1,0)</f>
        <v/>
      </c>
      <c r="CD103">
        <f>IF(AND('Month-End'!$CV$19&lt;&gt;"",NOT(_xlfn.ISFORMULA('Month-End'!$CV$19))),1,0)</f>
        <v/>
      </c>
      <c r="CE103">
        <f>IF(AND('Month-End'!$CV$20&lt;&gt;"",NOT(_xlfn.ISFORMULA('Month-End'!$CV$20))),1,0)</f>
        <v/>
      </c>
      <c r="CF103">
        <f>IF(AND('Month-End'!$CV$38&lt;&gt;"",NOT(_xlfn.ISFORMULA('Month-End'!$CV$38))),1,0)</f>
        <v/>
      </c>
      <c r="CG103">
        <f>IF(AND('Month-End'!$CV$39&lt;&gt;"",NOT(_xlfn.ISFORMULA('Month-End'!$CV$39))),1,0)</f>
        <v/>
      </c>
      <c r="CH103">
        <f>IF(AND('Month-End'!$CV$40&lt;&gt;"",NOT(_xlfn.ISFORMULA('Month-End'!$CV$40))),1,0)</f>
        <v/>
      </c>
      <c r="CI103">
        <f>IF(AND('Month-End'!$CV$41&lt;&gt;"",NOT(_xlfn.ISFORMULA('Month-End'!$CV$41))),1,0)</f>
        <v/>
      </c>
      <c r="CJ103">
        <f>IF(AND('Month-End'!$CV$42&lt;&gt;"",NOT(_xlfn.ISFORMULA('Month-End'!$CV$42))),1,0)</f>
        <v/>
      </c>
      <c r="CK103">
        <f>IF(AND('Month-End'!$CV$43&lt;&gt;"",NOT(_xlfn.ISFORMULA('Month-End'!$CV$43))),1,0)</f>
        <v/>
      </c>
      <c r="CL103">
        <f>SUM($CM103:$CZ103)</f>
        <v/>
      </c>
      <c r="CM103">
        <f>IF(AND($E103&lt;&gt;"pre",AND(Settings!$A$19&lt;&gt;"",Settings!$E$19&lt;&gt;"No"),Settings!$F$19="Yes",NOT(AND('Month-End'!$CV$7&lt;&gt;"",NOT(_xlfn.ISFORMULA('Month-End'!$CV$7))))),1,0)</f>
        <v/>
      </c>
      <c r="CN103">
        <f>IF(AND($E103&lt;&gt;"pre",AND(Settings!$A$20&lt;&gt;"",Settings!$E$20&lt;&gt;"No"),Settings!$F$20="Yes",NOT(AND('Month-End'!$CV$8&lt;&gt;"",NOT(_xlfn.ISFORMULA('Month-End'!$CV$8))))),1,0)</f>
        <v/>
      </c>
      <c r="CO103">
        <f>IF(AND($E103&lt;&gt;"pre",AND(Settings!$A$21&lt;&gt;"",Settings!$E$21&lt;&gt;"No"),Settings!$F$21="Yes",NOT(AND('Month-End'!$CV$9&lt;&gt;"",NOT(_xlfn.ISFORMULA('Month-End'!$CV$9))))),1,0)</f>
        <v/>
      </c>
      <c r="CP103">
        <f>IF(AND($E103&lt;&gt;"pre",AND(Settings!$A$22&lt;&gt;"",Settings!$E$22&lt;&gt;"No"),Settings!$F$22="Yes",NOT(AND('Month-End'!$CV$10&lt;&gt;"",NOT(_xlfn.ISFORMULA('Month-End'!$CV$10))))),1,0)</f>
        <v/>
      </c>
      <c r="CQ103">
        <f>IF(AND($E103&lt;&gt;"pre",AND(Settings!$A$23&lt;&gt;"",Settings!$E$23&lt;&gt;"No"),Settings!$F$23="Yes",NOT(AND('Month-End'!$CV$11&lt;&gt;"",NOT(_xlfn.ISFORMULA('Month-End'!$CV$11))))),1,0)</f>
        <v/>
      </c>
      <c r="CR103">
        <f>IF(AND($E103&lt;&gt;"pre",AND(Settings!$A$24&lt;&gt;"",Settings!$E$24&lt;&gt;"No"),Settings!$F$24="Yes",NOT(AND('Month-End'!$CV$12&lt;&gt;"",NOT(_xlfn.ISFORMULA('Month-End'!$CV$12))))),1,0)</f>
        <v/>
      </c>
      <c r="CS103">
        <f>IF(AND($E103&lt;&gt;"pre",AND(Settings!$A$25&lt;&gt;"",Settings!$E$25&lt;&gt;"No"),Settings!$F$25="Yes",NOT(AND('Month-End'!$CV$13&lt;&gt;"",NOT(_xlfn.ISFORMULA('Month-End'!$CV$13))))),1,0)</f>
        <v/>
      </c>
      <c r="CT103">
        <f>IF(AND($E103&lt;&gt;"pre",AND(Settings!$A$26&lt;&gt;"",Settings!$E$26&lt;&gt;"No"),Settings!$F$26="Yes",NOT(AND('Month-End'!$CV$14&lt;&gt;"",NOT(_xlfn.ISFORMULA('Month-End'!$CV$14))))),1,0)</f>
        <v/>
      </c>
      <c r="CU103">
        <f>IF(AND($E103&lt;&gt;"pre",AND(Settings!$A$27&lt;&gt;"",Settings!$E$27&lt;&gt;"No"),Settings!$F$27="Yes",NOT(AND('Month-End'!$CV$15&lt;&gt;"",NOT(_xlfn.ISFORMULA('Month-End'!$CV$15))))),1,0)</f>
        <v/>
      </c>
      <c r="CV103">
        <f>IF(AND($E103&lt;&gt;"pre",AND(Settings!$A$28&lt;&gt;"",Settings!$E$28&lt;&gt;"No"),Settings!$F$28="Yes",NOT(AND('Month-End'!$CV$16&lt;&gt;"",NOT(_xlfn.ISFORMULA('Month-End'!$CV$16))))),1,0)</f>
        <v/>
      </c>
      <c r="CW103">
        <f>IF(AND($E103&lt;&gt;"pre",AND(Settings!$A$29&lt;&gt;"",Settings!$E$29&lt;&gt;"No"),Settings!$F$29="Yes",NOT(AND('Month-End'!$CV$17&lt;&gt;"",NOT(_xlfn.ISFORMULA('Month-End'!$CV$17))))),1,0)</f>
        <v/>
      </c>
      <c r="CX103">
        <f>IF(AND($E103&lt;&gt;"pre",AND(Settings!$A$30&lt;&gt;"",Settings!$E$30&lt;&gt;"No"),Settings!$F$30="Yes",NOT(AND('Month-End'!$CV$18&lt;&gt;"",NOT(_xlfn.ISFORMULA('Month-End'!$CV$18))))),1,0)</f>
        <v/>
      </c>
      <c r="CY103">
        <f>IF(AND($E103&lt;&gt;"pre",AND(Settings!$A$31&lt;&gt;"",Settings!$E$31&lt;&gt;"No"),Settings!$F$31="Yes",NOT(AND('Month-End'!$CV$19&lt;&gt;"",NOT(_xlfn.ISFORMULA('Month-End'!$CV$19))))),1,0)</f>
        <v/>
      </c>
      <c r="CZ103">
        <f>IF(AND($E103&lt;&gt;"pre",AND(Settings!$A$32&lt;&gt;"",Settings!$E$32&lt;&gt;"No"),Settings!$F$32="Yes",NOT(AND('Month-End'!$CV$20&lt;&gt;"",NOT(_xlfn.ISFORMULA('Month-End'!$CV$20))))),1,0)</f>
        <v/>
      </c>
      <c r="DA103">
        <f>IF($DT103=1,IF(OR(Settings!$B$19="Checking",Settings!$B$19="Savings",Settings!$B$19="Cash"),N($AE103),IF(OR(Settings!$B$19="Card",Settings!$B$19="Loan"),-N($AE103),0))+IF(OR(Settings!$B$20="Checking",Settings!$B$20="Savings",Settings!$B$20="Cash"),N($AF103),IF(OR(Settings!$B$20="Card",Settings!$B$20="Loan"),-N($AF103),0))+IF(OR(Settings!$B$21="Checking",Settings!$B$21="Savings",Settings!$B$21="Cash"),N($AG103),IF(OR(Settings!$B$21="Card",Settings!$B$21="Loan"),-N($AG103),0))+IF(OR(Settings!$B$22="Checking",Settings!$B$22="Savings",Settings!$B$22="Cash"),N($AH103),IF(OR(Settings!$B$22="Card",Settings!$B$22="Loan"),-N($AH103),0))+IF(OR(Settings!$B$23="Checking",Settings!$B$23="Savings",Settings!$B$23="Cash"),N($AI103),IF(OR(Settings!$B$23="Card",Settings!$B$23="Loan"),-N($AI103),0))+IF(OR(Settings!$B$24="Checking",Settings!$B$24="Savings",Settings!$B$24="Cash"),N($AJ103),IF(OR(Settings!$B$24="Card",Settings!$B$24="Loan"),-N($AJ103),0))+IF(OR(Settings!$B$25="Checking",Settings!$B$25="Savings",Settings!$B$25="Cash"),N($AK103),IF(OR(Settings!$B$25="Card",Settings!$B$25="Loan"),-N($AK103),0))+IF(OR(Settings!$B$26="Checking",Settings!$B$26="Savings",Settings!$B$26="Cash"),N($AL103),IF(OR(Settings!$B$26="Card",Settings!$B$26="Loan"),-N($AL103),0))+IF(OR(Settings!$B$27="Checking",Settings!$B$27="Savings",Settings!$B$27="Cash"),N($AM103),IF(OR(Settings!$B$27="Card",Settings!$B$27="Loan"),-N($AM103),0))+IF(OR(Settings!$B$28="Checking",Settings!$B$28="Savings",Settings!$B$28="Cash"),N($AN103),IF(OR(Settings!$B$28="Card",Settings!$B$28="Loan"),-N($AN103),0))+IF(OR(Settings!$B$29="Checking",Settings!$B$29="Savings",Settings!$B$29="Cash"),N($AO103),IF(OR(Settings!$B$29="Card",Settings!$B$29="Loan"),-N($AO103),0))+IF(OR(Settings!$B$30="Checking",Settings!$B$30="Savings",Settings!$B$30="Cash"),N($AP103),IF(OR(Settings!$B$30="Card",Settings!$B$30="Loan"),-N($AP103),0))+IF(OR(Settings!$B$31="Checking",Settings!$B$31="Savings",Settings!$B$31="Cash"),N($AQ103),IF(OR(Settings!$B$31="Card",Settings!$B$31="Loan"),-N($AQ103),0))+IF(OR(Settings!$B$32="Checking",Settings!$B$32="Savings",Settings!$B$32="Cash"),N($AR103),IF(OR(Settings!$B$32="Card",Settings!$B$32="Loan"),-N($AR103),0)),"")</f>
        <v/>
      </c>
      <c r="DB103">
        <f>IF($E103="open",$EB$27,IF($E103="post",IF($E102="pre",$EB$27,$DA102),""))</f>
        <v/>
      </c>
      <c r="DC103">
        <f>IF($E103="open",1,IF($E103="post",IF($E102="pre",1,$DT102),0))</f>
        <v/>
      </c>
      <c r="DD103">
        <f>IF(AND($DT103=1,$DC103=1),ROUND($W103-($DA103-$DB103)-$AD103-$AB103,2),"")</f>
        <v/>
      </c>
      <c r="DE103">
        <f>IF('Month-End'!$CV$35="",$BQ103,N('Month-End'!$CV$35))</f>
        <v/>
      </c>
      <c r="DF103">
        <f>N('Month-End'!$CV$36)</f>
        <v/>
      </c>
      <c r="DG103">
        <f>IF($DD103="","",$DD103+$DE103)</f>
        <v/>
      </c>
      <c r="DH103">
        <f>IF($DG103="","",$DG103-$DF103)</f>
        <v/>
      </c>
      <c r="DI103">
        <f>IF(OR($E103="pre",$D103=1),"",N($AS103)+N($AT103)+N($AU103)+N($AV103)+N($AW103)+N($AX103))</f>
        <v/>
      </c>
      <c r="DJ103">
        <f>IF($DT103=1,$DA103+N($DI103),"")</f>
        <v/>
      </c>
      <c r="DK103">
        <f>IF($DD103="","",$W103-$DD103-$AB103)</f>
        <v/>
      </c>
      <c r="DL103">
        <f>IF(AND($E103="post",$DD103&lt;&gt;"",$B103&lt;TODAY()),1,0)</f>
        <v/>
      </c>
      <c r="DM103">
        <f>IF($DL103=1,COUNTIF($DL103:$DL$183,1),0)</f>
        <v/>
      </c>
      <c r="DN103">
        <f>IF($D103=1,"",IF($E103="pre","History only",IF($DT103=1,IF($DD103="","⚠ Previous month missing",IF($DD103&lt;0,"⚠ Check: spending &lt; 0",IF($E103="open","✓ Done (partial)","✓ Done"))),IF($B103&gt;=TODAY(),"In progress","⚠ Needs balances"))))</f>
        <v/>
      </c>
      <c r="DO103">
        <f>YEAR($A103)</f>
        <v/>
      </c>
      <c r="DP103">
        <f>DATE(YEAR($A103),INT((MONTH($A103)-1)/3)*3+1,1)</f>
        <v/>
      </c>
      <c r="DQ103">
        <f>IF(AND($DT103=1,$DD103&lt;&gt;"",$D103=0),ROW(),0)</f>
        <v/>
      </c>
      <c r="DR103">
        <f>IF(AND($E103&lt;&gt;"pre",$B103&lt;TODAY(),$DT103=0),1,0)</f>
        <v/>
      </c>
      <c r="DS103">
        <f>IF($DJ103="",NA(),$DJ103)</f>
        <v/>
      </c>
      <c r="DT103">
        <f>IF(AND($E103&lt;&gt;"pre",$CL103=0,COUNTIFS(Settings!$F$19:$F$32,"Yes",Settings!$A$19:$A$32,"&lt;&gt;",Settings!$E$19:$E$32,"&lt;&gt;No")&gt;0),1,0)</f>
        <v/>
      </c>
      <c r="DU103">
        <f>IF(AND($B103&lt;TODAY(),$S103&gt;0),1,0)</f>
        <v/>
      </c>
      <c r="DV103">
        <f>IF($DU103=1,COUNTIF($DU103:$DU$183,1),0)</f>
        <v/>
      </c>
      <c r="DW103">
        <f>IF(AND(OR(Settings!$B$19="Card",Settings!$B$19="Loan"),AND('Month-End'!$CV$7&lt;&gt;"",NOT(_xlfn.ISFORMULA('Month-End'!$CV$7)))),IF(N('Month-End'!$CV$7)&lt;0,1,0),0)+IF(AND(OR(Settings!$B$20="Card",Settings!$B$20="Loan"),AND('Month-End'!$CV$8&lt;&gt;"",NOT(_xlfn.ISFORMULA('Month-End'!$CV$8)))),IF(N('Month-End'!$CV$8)&lt;0,1,0),0)+IF(AND(OR(Settings!$B$21="Card",Settings!$B$21="Loan"),AND('Month-End'!$CV$9&lt;&gt;"",NOT(_xlfn.ISFORMULA('Month-End'!$CV$9)))),IF(N('Month-End'!$CV$9)&lt;0,1,0),0)+IF(AND(OR(Settings!$B$22="Card",Settings!$B$22="Loan"),AND('Month-End'!$CV$10&lt;&gt;"",NOT(_xlfn.ISFORMULA('Month-End'!$CV$10)))),IF(N('Month-End'!$CV$10)&lt;0,1,0),0)+IF(AND(OR(Settings!$B$23="Card",Settings!$B$23="Loan"),AND('Month-End'!$CV$11&lt;&gt;"",NOT(_xlfn.ISFORMULA('Month-End'!$CV$11)))),IF(N('Month-End'!$CV$11)&lt;0,1,0),0)+IF(AND(OR(Settings!$B$24="Card",Settings!$B$24="Loan"),AND('Month-End'!$CV$12&lt;&gt;"",NOT(_xlfn.ISFORMULA('Month-End'!$CV$12)))),IF(N('Month-End'!$CV$12)&lt;0,1,0),0)+IF(AND(OR(Settings!$B$25="Card",Settings!$B$25="Loan"),AND('Month-End'!$CV$13&lt;&gt;"",NOT(_xlfn.ISFORMULA('Month-End'!$CV$13)))),IF(N('Month-End'!$CV$13)&lt;0,1,0),0)+IF(AND(OR(Settings!$B$26="Card",Settings!$B$26="Loan"),AND('Month-End'!$CV$14&lt;&gt;"",NOT(_xlfn.ISFORMULA('Month-End'!$CV$14)))),IF(N('Month-End'!$CV$14)&lt;0,1,0),0)+IF(AND(OR(Settings!$B$27="Card",Settings!$B$27="Loan"),AND('Month-End'!$CV$15&lt;&gt;"",NOT(_xlfn.ISFORMULA('Month-End'!$CV$15)))),IF(N('Month-End'!$CV$15)&lt;0,1,0),0)+IF(AND(OR(Settings!$B$28="Card",Settings!$B$28="Loan"),AND('Month-End'!$CV$16&lt;&gt;"",NOT(_xlfn.ISFORMULA('Month-End'!$CV$16)))),IF(N('Month-End'!$CV$16)&lt;0,1,0),0)+IF(AND(OR(Settings!$B$29="Card",Settings!$B$29="Loan"),AND('Month-End'!$CV$17&lt;&gt;"",NOT(_xlfn.ISFORMULA('Month-End'!$CV$17)))),IF(N('Month-End'!$CV$17)&lt;0,1,0),0)+IF(AND(OR(Settings!$B$30="Card",Settings!$B$30="Loan"),AND('Month-End'!$CV$18&lt;&gt;"",NOT(_xlfn.ISFORMULA('Month-End'!$CV$18)))),IF(N('Month-End'!$CV$18)&lt;0,1,0),0)+IF(AND(OR(Settings!$B$31="Card",Settings!$B$31="Loan"),AND('Month-End'!$CV$19&lt;&gt;"",NOT(_xlfn.ISFORMULA('Month-End'!$CV$19)))),IF(N('Month-End'!$CV$19)&lt;0,1,0),0)+IF(AND(OR(Settings!$B$32="Card",Settings!$B$32="Loan"),AND('Month-End'!$CV$20&lt;&gt;"",NOT(_xlfn.ISFORMULA('Month-End'!$CV$20)))),IF(N('Month-End'!$CV$20)&lt;0,1,0),0)</f>
        <v/>
      </c>
      <c r="DX103">
        <f>IF(Settings!$B$36="Retirement",$AY103,0)+IF(Settings!$B$37="Retirement",$AZ103,0)+IF(Settings!$B$38="Retirement",$BA103,0)+IF(Settings!$B$39="Retirement",$BB103,0)+IF(Settings!$B$40="Retirement",$BC103,0)+IF(Settings!$B$41="Retirement",$BD103,0)</f>
        <v/>
      </c>
      <c r="EA103">
        <f>IF(IF($EB$5=0,0,N(INDEX($FL:$FL,$EB$5)))&gt;=3,"⚠ Card and loan balances have risen 3 months in a row — check they're being paid in full","✓ Card and loan balances aren't rising")</f>
        <v/>
      </c>
      <c r="EO103">
        <f>EDATE(DATE(YEAR(TODAY()),MONTH(TODAY()),1),-20)</f>
        <v/>
      </c>
      <c r="ER103">
        <f>IFERROR(IF(INDEX($DJ$6:$DJ$183,MATCH(EO103,$A$6:$A$183,0))="",NA(),INDEX($DJ$6:$DJ$183,MATCH(EO103,$A$6:$A$183,0))),NA())</f>
        <v/>
      </c>
      <c r="ES103">
        <f>TEXT(EO103,"mmm yy")</f>
        <v/>
      </c>
      <c r="ET103">
        <f>IF($E103&lt;&gt;"open",0,IF(AND('Month-End'!$CV$22&lt;&gt;"",NOT(_xlfn.ISFORMULA('Month-End'!$CV$22))),0,IF(OR(Settings!$C$45="",Settings!$D$45=""),0,Settings!$C$45*IF(Settings!$D$45="Weekly",IF(IFERROR(MATCH(Settings!$E$45,$EO$4:$EO$10,0),0)=0,0,IF(MIN(Settings!$B$5,IF(Settings!$G$45="",Settings!$B$5,Settings!$G$45))&lt;MAX($A103,Settings!$F$45),0,INT((MIN(Settings!$B$5,IF(Settings!$G$45="",Settings!$B$5,Settings!$G$45))-MAX($A103,Settings!$F$45)-MOD(IFERROR(MATCH(Settings!$E$45,$EO$4:$EO$10,0),0)-WEEKDAY(MAX($A103,Settings!$F$45)),7))/7)+1)),IF(AND(IF(Settings!$E$45="",$B103,DATE(YEAR($A103),MONTH($A103),MIN(Settings!$E$45,DAY($B103))))&gt;=MAX($A103,Settings!$F$45),IF(Settings!$E$45="",$B103,DATE(YEAR($A103),MONTH($A103),MIN(Settings!$E$45,DAY($B103))))&lt;=MIN(Settings!$B$5,IF(Settings!$G$45="",Settings!$B$5,Settings!$G$45))),1,0)))))</f>
        <v/>
      </c>
      <c r="EU103">
        <f>IF($E103&lt;&gt;"open",0,IF(AND('Month-End'!$CV$23&lt;&gt;"",NOT(_xlfn.ISFORMULA('Month-End'!$CV$23))),0,IF(OR(Settings!$C$46="",Settings!$D$46=""),0,Settings!$C$46*IF(Settings!$D$46="Weekly",IF(IFERROR(MATCH(Settings!$E$46,$EO$4:$EO$10,0),0)=0,0,IF(MIN(Settings!$B$5,IF(Settings!$G$46="",Settings!$B$5,Settings!$G$46))&lt;MAX($A103,Settings!$F$46),0,INT((MIN(Settings!$B$5,IF(Settings!$G$46="",Settings!$B$5,Settings!$G$46))-MAX($A103,Settings!$F$46)-MOD(IFERROR(MATCH(Settings!$E$46,$EO$4:$EO$10,0),0)-WEEKDAY(MAX($A103,Settings!$F$46)),7))/7)+1)),IF(AND(IF(Settings!$E$46="",$B103,DATE(YEAR($A103),MONTH($A103),MIN(Settings!$E$46,DAY($B103))))&gt;=MAX($A103,Settings!$F$46),IF(Settings!$E$46="",$B103,DATE(YEAR($A103),MONTH($A103),MIN(Settings!$E$46,DAY($B103))))&lt;=MIN(Settings!$B$5,IF(Settings!$G$46="",Settings!$B$5,Settings!$G$46))),1,0)))))</f>
        <v/>
      </c>
      <c r="EV103">
        <f>IF($E103&lt;&gt;"open",0,IF(AND('Month-End'!$CV$24&lt;&gt;"",NOT(_xlfn.ISFORMULA('Month-End'!$CV$24))),0,IF(OR(Settings!$C$47="",Settings!$D$47=""),0,Settings!$C$47*IF(Settings!$D$47="Weekly",IF(IFERROR(MATCH(Settings!$E$47,$EO$4:$EO$10,0),0)=0,0,IF(MIN(Settings!$B$5,IF(Settings!$G$47="",Settings!$B$5,Settings!$G$47))&lt;MAX($A103,Settings!$F$47),0,INT((MIN(Settings!$B$5,IF(Settings!$G$47="",Settings!$B$5,Settings!$G$47))-MAX($A103,Settings!$F$47)-MOD(IFERROR(MATCH(Settings!$E$47,$EO$4:$EO$10,0),0)-WEEKDAY(MAX($A103,Settings!$F$47)),7))/7)+1)),IF(AND(IF(Settings!$E$47="",$B103,DATE(YEAR($A103),MONTH($A103),MIN(Settings!$E$47,DAY($B103))))&gt;=MAX($A103,Settings!$F$47),IF(Settings!$E$47="",$B103,DATE(YEAR($A103),MONTH($A103),MIN(Settings!$E$47,DAY($B103))))&lt;=MIN(Settings!$B$5,IF(Settings!$G$47="",Settings!$B$5,Settings!$G$47))),1,0)))))</f>
        <v/>
      </c>
      <c r="EW103">
        <f>IF($E103&lt;&gt;"open",0,IF(AND('Month-End'!$CV$25&lt;&gt;"",NOT(_xlfn.ISFORMULA('Month-End'!$CV$25))),0,IF(OR(Settings!$C$48="",Settings!$D$48=""),0,Settings!$C$48*IF(Settings!$D$48="Weekly",IF(IFERROR(MATCH(Settings!$E$48,$EO$4:$EO$10,0),0)=0,0,IF(MIN(Settings!$B$5,IF(Settings!$G$48="",Settings!$B$5,Settings!$G$48))&lt;MAX($A103,Settings!$F$48),0,INT((MIN(Settings!$B$5,IF(Settings!$G$48="",Settings!$B$5,Settings!$G$48))-MAX($A103,Settings!$F$48)-MOD(IFERROR(MATCH(Settings!$E$48,$EO$4:$EO$10,0),0)-WEEKDAY(MAX($A103,Settings!$F$48)),7))/7)+1)),IF(AND(IF(Settings!$E$48="",$B103,DATE(YEAR($A103),MONTH($A103),MIN(Settings!$E$48,DAY($B103))))&gt;=MAX($A103,Settings!$F$48),IF(Settings!$E$48="",$B103,DATE(YEAR($A103),MONTH($A103),MIN(Settings!$E$48,DAY($B103))))&lt;=MIN(Settings!$B$5,IF(Settings!$G$48="",Settings!$B$5,Settings!$G$48))),1,0)))))</f>
        <v/>
      </c>
      <c r="EX103">
        <f>IF($E103&lt;&gt;"open",0,IF(AND('Month-End'!$CV$26&lt;&gt;"",NOT(_xlfn.ISFORMULA('Month-End'!$CV$26))),0,IF(OR(Settings!$C$49="",Settings!$D$49=""),0,Settings!$C$49*IF(Settings!$D$49="Weekly",IF(IFERROR(MATCH(Settings!$E$49,$EO$4:$EO$10,0),0)=0,0,IF(MIN(Settings!$B$5,IF(Settings!$G$49="",Settings!$B$5,Settings!$G$49))&lt;MAX($A103,Settings!$F$49),0,INT((MIN(Settings!$B$5,IF(Settings!$G$49="",Settings!$B$5,Settings!$G$49))-MAX($A103,Settings!$F$49)-MOD(IFERROR(MATCH(Settings!$E$49,$EO$4:$EO$10,0),0)-WEEKDAY(MAX($A103,Settings!$F$49)),7))/7)+1)),IF(AND(IF(Settings!$E$49="",$B103,DATE(YEAR($A103),MONTH($A103),MIN(Settings!$E$49,DAY($B103))))&gt;=MAX($A103,Settings!$F$49),IF(Settings!$E$49="",$B103,DATE(YEAR($A103),MONTH($A103),MIN(Settings!$E$49,DAY($B103))))&lt;=MIN(Settings!$B$5,IF(Settings!$G$49="",Settings!$B$5,Settings!$G$49))),1,0)))))</f>
        <v/>
      </c>
      <c r="EY103">
        <f>IF($E103&lt;&gt;"open",0,IF(AND('Month-End'!$CV$27&lt;&gt;"",NOT(_xlfn.ISFORMULA('Month-End'!$CV$27))),0,IF(OR(Settings!$C$50="",Settings!$D$50=""),0,Settings!$C$50*IF(Settings!$D$50="Weekly",IF(IFERROR(MATCH(Settings!$E$50,$EO$4:$EO$10,0),0)=0,0,IF(MIN(Settings!$B$5,IF(Settings!$G$50="",Settings!$B$5,Settings!$G$50))&lt;MAX($A103,Settings!$F$50),0,INT((MIN(Settings!$B$5,IF(Settings!$G$50="",Settings!$B$5,Settings!$G$50))-MAX($A103,Settings!$F$50)-MOD(IFERROR(MATCH(Settings!$E$50,$EO$4:$EO$10,0),0)-WEEKDAY(MAX($A103,Settings!$F$50)),7))/7)+1)),IF(AND(IF(Settings!$E$50="",$B103,DATE(YEAR($A103),MONTH($A103),MIN(Settings!$E$50,DAY($B103))))&gt;=MAX($A103,Settings!$F$50),IF(Settings!$E$50="",$B103,DATE(YEAR($A103),MONTH($A103),MIN(Settings!$E$50,DAY($B103))))&lt;=MIN(Settings!$B$5,IF(Settings!$G$50="",Settings!$B$5,Settings!$G$50))),1,0)))))</f>
        <v/>
      </c>
      <c r="EZ103">
        <f>IF($E103&lt;&gt;"open",0,IF(AND('Month-End'!$CV$28&lt;&gt;"",NOT(_xlfn.ISFORMULA('Month-End'!$CV$28))),0,IF(OR(Settings!$C$51="",Settings!$D$51=""),0,Settings!$C$51*IF(Settings!$D$51="Weekly",IF(IFERROR(MATCH(Settings!$E$51,$EO$4:$EO$10,0),0)=0,0,IF(MIN(Settings!$B$5,IF(Settings!$G$51="",Settings!$B$5,Settings!$G$51))&lt;MAX($A103,Settings!$F$51),0,INT((MIN(Settings!$B$5,IF(Settings!$G$51="",Settings!$B$5,Settings!$G$51))-MAX($A103,Settings!$F$51)-MOD(IFERROR(MATCH(Settings!$E$51,$EO$4:$EO$10,0),0)-WEEKDAY(MAX($A103,Settings!$F$51)),7))/7)+1)),IF(AND(IF(Settings!$E$51="",$B103,DATE(YEAR($A103),MONTH($A103),MIN(Settings!$E$51,DAY($B103))))&gt;=MAX($A103,Settings!$F$51),IF(Settings!$E$51="",$B103,DATE(YEAR($A103),MONTH($A103),MIN(Settings!$E$51,DAY($B103))))&lt;=MIN(Settings!$B$5,IF(Settings!$G$51="",Settings!$B$5,Settings!$G$51))),1,0)))))</f>
        <v/>
      </c>
      <c r="FA103">
        <f>IF($E103&lt;&gt;"open",0,IF(AND('Month-End'!$CV$29&lt;&gt;"",NOT(_xlfn.ISFORMULA('Month-End'!$CV$29))),0,IF(OR(Settings!$C$52="",Settings!$D$52=""),0,Settings!$C$52*IF(Settings!$D$52="Weekly",IF(IFERROR(MATCH(Settings!$E$52,$EO$4:$EO$10,0),0)=0,0,IF(MIN(Settings!$B$5,IF(Settings!$G$52="",Settings!$B$5,Settings!$G$52))&lt;MAX($A103,Settings!$F$52),0,INT((MIN(Settings!$B$5,IF(Settings!$G$52="",Settings!$B$5,Settings!$G$52))-MAX($A103,Settings!$F$52)-MOD(IFERROR(MATCH(Settings!$E$52,$EO$4:$EO$10,0),0)-WEEKDAY(MAX($A103,Settings!$F$52)),7))/7)+1)),IF(AND(IF(Settings!$E$52="",$B103,DATE(YEAR($A103),MONTH($A103),MIN(Settings!$E$52,DAY($B103))))&gt;=MAX($A103,Settings!$F$52),IF(Settings!$E$52="",$B103,DATE(YEAR($A103),MONTH($A103),MIN(Settings!$E$52,DAY($B103))))&lt;=MIN(Settings!$B$5,IF(Settings!$G$52="",Settings!$B$5,Settings!$G$52))),1,0)))))</f>
        <v/>
      </c>
      <c r="FB103">
        <f>IF($E103&lt;&gt;"open",0,IF(AND('Month-End'!$CV$30&lt;&gt;"",NOT(_xlfn.ISFORMULA('Month-End'!$CV$30))),0,IF(OR(Settings!$C$53="",Settings!$D$53=""),0,Settings!$C$53*IF(Settings!$D$53="Weekly",IF(IFERROR(MATCH(Settings!$E$53,$EO$4:$EO$10,0),0)=0,0,IF(MIN(Settings!$B$5,IF(Settings!$G$53="",Settings!$B$5,Settings!$G$53))&lt;MAX($A103,Settings!$F$53),0,INT((MIN(Settings!$B$5,IF(Settings!$G$53="",Settings!$B$5,Settings!$G$53))-MAX($A103,Settings!$F$53)-MOD(IFERROR(MATCH(Settings!$E$53,$EO$4:$EO$10,0),0)-WEEKDAY(MAX($A103,Settings!$F$53)),7))/7)+1)),IF(AND(IF(Settings!$E$53="",$B103,DATE(YEAR($A103),MONTH($A103),MIN(Settings!$E$53,DAY($B103))))&gt;=MAX($A103,Settings!$F$53),IF(Settings!$E$53="",$B103,DATE(YEAR($A103),MONTH($A103),MIN(Settings!$E$53,DAY($B103))))&lt;=MIN(Settings!$B$5,IF(Settings!$G$53="",Settings!$B$5,Settings!$G$53))),1,0)))))</f>
        <v/>
      </c>
      <c r="FC103">
        <f>IF($E103&lt;&gt;"open",0,IF(AND('Month-End'!$CV$31&lt;&gt;"",NOT(_xlfn.ISFORMULA('Month-End'!$CV$31))),0,IF(OR(Settings!$C$54="",Settings!$D$54=""),0,Settings!$C$54*IF(Settings!$D$54="Weekly",IF(IFERROR(MATCH(Settings!$E$54,$EO$4:$EO$10,0),0)=0,0,IF(MIN(Settings!$B$5,IF(Settings!$G$54="",Settings!$B$5,Settings!$G$54))&lt;MAX($A103,Settings!$F$54),0,INT((MIN(Settings!$B$5,IF(Settings!$G$54="",Settings!$B$5,Settings!$G$54))-MAX($A103,Settings!$F$54)-MOD(IFERROR(MATCH(Settings!$E$54,$EO$4:$EO$10,0),0)-WEEKDAY(MAX($A103,Settings!$F$54)),7))/7)+1)),IF(AND(IF(Settings!$E$54="",$B103,DATE(YEAR($A103),MONTH($A103),MIN(Settings!$E$54,DAY($B103))))&gt;=MAX($A103,Settings!$F$54),IF(Settings!$E$54="",$B103,DATE(YEAR($A103),MONTH($A103),MIN(Settings!$E$54,DAY($B103))))&lt;=MIN(Settings!$B$5,IF(Settings!$G$54="",Settings!$B$5,Settings!$G$54))),1,0)))))</f>
        <v/>
      </c>
      <c r="FD103">
        <f>IF($E103&lt;&gt;"open",0,IF(AND('Month-End'!$CV$32&lt;&gt;"",NOT(_xlfn.ISFORMULA('Month-End'!$CV$32))),0,IF(OR(Settings!$C$55="",Settings!$D$55=""),0,Settings!$C$55*IF(Settings!$D$55="Weekly",IF(IFERROR(MATCH(Settings!$E$55,$EO$4:$EO$10,0),0)=0,0,IF(MIN(Settings!$B$5,IF(Settings!$G$55="",Settings!$B$5,Settings!$G$55))&lt;MAX($A103,Settings!$F$55),0,INT((MIN(Settings!$B$5,IF(Settings!$G$55="",Settings!$B$5,Settings!$G$55))-MAX($A103,Settings!$F$55)-MOD(IFERROR(MATCH(Settings!$E$55,$EO$4:$EO$10,0),0)-WEEKDAY(MAX($A103,Settings!$F$55)),7))/7)+1)),IF(AND(IF(Settings!$E$55="",$B103,DATE(YEAR($A103),MONTH($A103),MIN(Settings!$E$55,DAY($B103))))&gt;=MAX($A103,Settings!$F$55),IF(Settings!$E$55="",$B103,DATE(YEAR($A103),MONTH($A103),MIN(Settings!$E$55,DAY($B103))))&lt;=MIN(Settings!$B$5,IF(Settings!$G$55="",Settings!$B$5,Settings!$G$55))),1,0)))))</f>
        <v/>
      </c>
      <c r="FE103">
        <f>IF($E103&lt;&gt;"open",0,IF(AND('Month-End'!$CV$33&lt;&gt;"",NOT(_xlfn.ISFORMULA('Month-End'!$CV$33))),0,IF(OR(Settings!$C$56="",Settings!$D$56=""),0,Settings!$C$56*IF(Settings!$D$56="Weekly",IF(IFERROR(MATCH(Settings!$E$56,$EO$4:$EO$10,0),0)=0,0,IF(MIN(Settings!$B$5,IF(Settings!$G$56="",Settings!$B$5,Settings!$G$56))&lt;MAX($A103,Settings!$F$56),0,INT((MIN(Settings!$B$5,IF(Settings!$G$56="",Settings!$B$5,Settings!$G$56))-MAX($A103,Settings!$F$56)-MOD(IFERROR(MATCH(Settings!$E$56,$EO$4:$EO$10,0),0)-WEEKDAY(MAX($A103,Settings!$F$56)),7))/7)+1)),IF(AND(IF(Settings!$E$56="",$B103,DATE(YEAR($A103),MONTH($A103),MIN(Settings!$E$56,DAY($B103))))&gt;=MAX($A103,Settings!$F$56),IF(Settings!$E$56="",$B103,DATE(YEAR($A103),MONTH($A103),MIN(Settings!$E$56,DAY($B103))))&lt;=MIN(Settings!$B$5,IF(Settings!$G$56="",Settings!$B$5,Settings!$G$56))),1,0)))))</f>
        <v/>
      </c>
      <c r="FF103">
        <f>IF(Settings!$I$45="Yes",$G103,0)+IF(Settings!$I$46="Yes",$H103,0)+IF(Settings!$I$47="Yes",$I103,0)+IF(Settings!$I$48="Yes",$J103,0)+IF(Settings!$I$49="Yes",$K103,0)+IF(Settings!$I$50="Yes",$L103,0)+IF(Settings!$I$51="Yes",$M103,0)+IF(Settings!$I$52="Yes",$N103,0)+IF(Settings!$I$53="Yes",$O103,0)+IF(Settings!$I$54="Yes",$P103,0)+IF(Settings!$I$55="Yes",$Q103,0)+IF(Settings!$I$56="Yes",$R103,0)</f>
        <v/>
      </c>
      <c r="FG103">
        <f>IF(AND(Settings!$I$45="Yes",Settings!$J$45="No"),$G103,0)+IF(AND(Settings!$I$46="Yes",Settings!$J$46="No"),$H103,0)+IF(AND(Settings!$I$47="Yes",Settings!$J$47="No"),$I103,0)+IF(AND(Settings!$I$48="Yes",Settings!$J$48="No"),$J103,0)+IF(AND(Settings!$I$49="Yes",Settings!$J$49="No"),$K103,0)+IF(AND(Settings!$I$50="Yes",Settings!$J$50="No"),$L103,0)+IF(AND(Settings!$I$51="Yes",Settings!$J$51="No"),$M103,0)+IF(AND(Settings!$I$52="Yes",Settings!$J$52="No"),$N103,0)+IF(AND(Settings!$I$53="Yes",Settings!$J$53="No"),$O103,0)+IF(AND(Settings!$I$54="Yes",Settings!$J$54="No"),$P103,0)+IF(AND(Settings!$I$55="Yes",Settings!$J$55="No"),$Q103,0)+IF(AND(Settings!$I$56="Yes",Settings!$J$56="No"),$R103,0)</f>
        <v/>
      </c>
      <c r="FH103">
        <f>SUMIFS(Giving!$B$7:$B$2006,Giving!$A$7:$A$2006,"&gt;="&amp;$A103,Giving!$A$7:$A$2006,"&lt;="&amp;$B103,Giving!$G$7:$G$2006,"Yes")+IF(OR(OR(Settings!$B$60="",Settings!$F$60="No"),Settings!$H$60&lt;&gt;"Yes"),0,Settings!$B$60*IF(AND(IF(Settings!$C$60="",$B103,DATE(YEAR($A103),MONTH($A103),MIN(Settings!$C$60,DAY($B103))))&gt;=MAX($A103,Settings!$D$60),IF(Settings!$C$60="",$B103,DATE(YEAR($A103),MONTH($A103),MIN(Settings!$C$60,DAY($B103))))&lt;=MIN($C103,IF(Settings!$E$60="",$C103,Settings!$E$60))),1,0))+IF(OR(OR(Settings!$B$61="",Settings!$F$61="No"),Settings!$H$61&lt;&gt;"Yes"),0,Settings!$B$61*IF(AND(IF(Settings!$C$61="",$B103,DATE(YEAR($A103),MONTH($A103),MIN(Settings!$C$61,DAY($B103))))&gt;=MAX($A103,Settings!$D$61),IF(Settings!$C$61="",$B103,DATE(YEAR($A103),MONTH($A103),MIN(Settings!$C$61,DAY($B103))))&lt;=MIN($C103,IF(Settings!$E$61="",$C103,Settings!$E$61))),1,0))+IF(OR(OR(Settings!$B$62="",Settings!$F$62="No"),Settings!$H$62&lt;&gt;"Yes"),0,Settings!$B$62*IF(AND(IF(Settings!$C$62="",$B103,DATE(YEAR($A103),MONTH($A103),MIN(Settings!$C$62,DAY($B103))))&gt;=MAX($A103,Settings!$D$62),IF(Settings!$C$62="",$B103,DATE(YEAR($A103),MONTH($A103),MIN(Settings!$C$62,DAY($B103))))&lt;=MIN($C103,IF(Settings!$E$62="",$C103,Settings!$E$62))),1,0))+IF(OR(OR(Settings!$B$63="",Settings!$F$63="No"),Settings!$H$63&lt;&gt;"Yes"),0,Settings!$B$63*IF(AND(IF(Settings!$C$63="",$B103,DATE(YEAR($A103),MONTH($A103),MIN(Settings!$C$63,DAY($B103))))&gt;=MAX($A103,Settings!$D$63),IF(Settings!$C$63="",$B103,DATE(YEAR($A103),MONTH($A103),MIN(Settings!$C$63,DAY($B103))))&lt;=MIN($C103,IF(Settings!$E$63="",$C103,Settings!$E$63))),1,0))+IF(OR(OR(Settings!$B$64="",Settings!$F$64="No"),Settings!$H$64&lt;&gt;"Yes"),0,Settings!$B$64*IF(AND(IF(Settings!$C$64="",$B103,DATE(YEAR($A103),MONTH($A103),MIN(Settings!$C$64,DAY($B103))))&gt;=MAX($A103,Settings!$D$64),IF(Settings!$C$64="",$B103,DATE(YEAR($A103),MONTH($A103),MIN(Settings!$C$64,DAY($B103))))&lt;=MIN($C103,IF(Settings!$E$64="",$C103,Settings!$E$64))),1,0))+IF(OR(OR(Settings!$B$65="",Settings!$F$65="No"),Settings!$H$65&lt;&gt;"Yes"),0,Settings!$B$65*IF(AND(IF(Settings!$C$65="",$B103,DATE(YEAR($A103),MONTH($A103),MIN(Settings!$C$65,DAY($B103))))&gt;=MAX($A103,Settings!$D$65),IF(Settings!$C$65="",$B103,DATE(YEAR($A103),MONTH($A103),MIN(Settings!$C$65,DAY($B103))))&lt;=MIN($C103,IF(Settings!$E$65="",$C103,Settings!$E$65))),1,0))</f>
        <v/>
      </c>
      <c r="FI103">
        <f>IF($DT103=1,IF(OR(Settings!$B$19="Card",Settings!$B$19="Loan"),N($AE103),0)+IF(OR(Settings!$B$20="Card",Settings!$B$20="Loan"),N($AF103),0)+IF(OR(Settings!$B$21="Card",Settings!$B$21="Loan"),N($AG103),0)+IF(OR(Settings!$B$22="Card",Settings!$B$22="Loan"),N($AH103),0)+IF(OR(Settings!$B$23="Card",Settings!$B$23="Loan"),N($AI103),0)+IF(OR(Settings!$B$24="Card",Settings!$B$24="Loan"),N($AJ103),0)+IF(OR(Settings!$B$25="Card",Settings!$B$25="Loan"),N($AK103),0)+IF(OR(Settings!$B$26="Card",Settings!$B$26="Loan"),N($AL103),0)+IF(OR(Settings!$B$27="Card",Settings!$B$27="Loan"),N($AM103),0)+IF(OR(Settings!$B$28="Card",Settings!$B$28="Loan"),N($AN103),0)+IF(OR(Settings!$B$29="Card",Settings!$B$29="Loan"),N($AO103),0)+IF(OR(Settings!$B$30="Card",Settings!$B$30="Loan"),N($AP103),0)+IF(OR(Settings!$B$31="Card",Settings!$B$31="Loan"),N($AQ103),0)+IF(OR(Settings!$B$32="Card",Settings!$B$32="Loan"),N($AR103),0),"")</f>
        <v/>
      </c>
      <c r="FJ103">
        <f>IF($E103="open",$EB$65,IF($E103="post",IF($E102="pre",$EB$65,$FI102),""))</f>
        <v/>
      </c>
      <c r="FK103">
        <f>IF(AND($DT103=1,$DC103=1),IF(ROUND($FI103-$FJ103,2)&gt;0,1,0),0)</f>
        <v/>
      </c>
      <c r="FL103">
        <f>IF($FK103=1,$FL102+1,0)</f>
        <v/>
      </c>
    </row>
    <row r="104">
      <c r="A104">
        <f>'Month-End'!$CW$4</f>
        <v/>
      </c>
      <c r="B104">
        <f>EOMONTH($A104,0)</f>
        <v/>
      </c>
      <c r="C104">
        <f>MIN($B104,TODAY())</f>
        <v/>
      </c>
      <c r="D104">
        <f>IF($A104&gt;TODAY(),1,0)</f>
        <v/>
      </c>
      <c r="E104">
        <f>IF($B104&lt;=Settings!$B$5,"pre",IF($A104&lt;=Settings!$B$5,"open","post"))</f>
        <v/>
      </c>
      <c r="G104">
        <f>IF('Month-End'!$CW$22="",$BE104,N('Month-End'!$CW$22))</f>
        <v/>
      </c>
      <c r="H104">
        <f>IF('Month-End'!$CW$23="",$BF104,N('Month-End'!$CW$23))</f>
        <v/>
      </c>
      <c r="I104">
        <f>IF('Month-End'!$CW$24="",$BG104,N('Month-End'!$CW$24))</f>
        <v/>
      </c>
      <c r="J104">
        <f>IF('Month-End'!$CW$25="",$BH104,N('Month-End'!$CW$25))</f>
        <v/>
      </c>
      <c r="K104">
        <f>IF('Month-End'!$CW$26="",$BI104,N('Month-End'!$CW$26))</f>
        <v/>
      </c>
      <c r="L104">
        <f>IF('Month-End'!$CW$27="",$BJ104,N('Month-End'!$CW$27))</f>
        <v/>
      </c>
      <c r="M104">
        <f>IF('Month-End'!$CW$28="",$BK104,N('Month-End'!$CW$28))</f>
        <v/>
      </c>
      <c r="N104">
        <f>IF('Month-End'!$CW$29="",$BL104,N('Month-End'!$CW$29))</f>
        <v/>
      </c>
      <c r="O104">
        <f>IF('Month-End'!$CW$30="",$BM104,N('Month-End'!$CW$30))</f>
        <v/>
      </c>
      <c r="P104">
        <f>IF('Month-End'!$CW$31="",$BN104,N('Month-End'!$CW$31))</f>
        <v/>
      </c>
      <c r="Q104">
        <f>IF('Month-End'!$CW$32="",$BO104,N('Month-End'!$CW$32))</f>
        <v/>
      </c>
      <c r="R104">
        <f>IF('Month-End'!$CW$33="",$BP104,N('Month-End'!$CW$33))</f>
        <v/>
      </c>
      <c r="S104">
        <f>$G104+$H104+$I104+$J104+$K104+$L104+$M104+$N104+$O104+$P104+$Q104+$R104</f>
        <v/>
      </c>
      <c r="T104">
        <f>IF($B104&lt;Settings!$B$6,0,IF(Settings!$B$45="Yes",$G104,0)+IF(Settings!$B$46="Yes",$H104,0)+IF(Settings!$B$47="Yes",$I104,0)+IF(Settings!$B$48="Yes",$J104,0)+IF(Settings!$B$49="Yes",$K104,0)+IF(Settings!$B$50="Yes",$L104,0)+IF(Settings!$B$51="Yes",$M104,0)+IF(Settings!$B$52="Yes",$N104,0)+IF(Settings!$B$53="Yes",$O104,0)+IF(Settings!$B$54="Yes",$P104,0)+IF(Settings!$B$55="Yes",$Q104,0)+IF(Settings!$B$56="Yes",$R104,0))</f>
        <v/>
      </c>
      <c r="U104">
        <f>IF(Settings!$B$45="Not Sure",$G104,0)+IF(Settings!$B$46="Not Sure",$H104,0)+IF(Settings!$B$47="Not Sure",$I104,0)+IF(Settings!$B$48="Not Sure",$J104,0)+IF(Settings!$B$49="Not Sure",$K104,0)+IF(Settings!$B$50="Not Sure",$L104,0)+IF(Settings!$B$51="Not Sure",$M104,0)+IF(Settings!$B$52="Not Sure",$N104,0)+IF(Settings!$B$53="Not Sure",$O104,0)+IF(Settings!$B$54="Not Sure",$P104,0)+IF(Settings!$B$55="Not Sure",$Q104,0)+IF(Settings!$B$56="Not Sure",$R104,0)</f>
        <v/>
      </c>
      <c r="V104">
        <f>IF($E104="open",SUM($ET104:$FE104)+N(Settings!$B$13),0)</f>
        <v/>
      </c>
      <c r="W104">
        <f>IF($E104="post",$S104,IF($E104="open",$S104-$V104,0))</f>
        <v/>
      </c>
      <c r="X104">
        <f>SUMIFS(Giving!$B$7:$B$2006,Giving!$A$7:$A$2006,"&gt;="&amp;$A104,Giving!$A$7:$A$2006,"&lt;="&amp;$B104,Giving!$E$7:$E$2006,"&lt;&gt;No")</f>
        <v/>
      </c>
      <c r="Y104">
        <f>SUMIFS(Giving!$B$7:$B$2006,Giving!$A$7:$A$2006,"&gt;="&amp;$A104,Giving!$A$7:$A$2006,"&lt;="&amp;$B104,Giving!$E$7:$E$2006,"No")</f>
        <v/>
      </c>
      <c r="Z104">
        <f>IF(OR(Settings!$B$60="",Settings!$F$60="No"),0,Settings!$B$60*IF(AND(IF(Settings!$C$60="",$B104,DATE(YEAR($A104),MONTH($A104),MIN(Settings!$C$60,DAY($B104))))&gt;=MAX($A104,Settings!$D$60),IF(Settings!$C$60="",$B104,DATE(YEAR($A104),MONTH($A104),MIN(Settings!$C$60,DAY($B104))))&lt;=MIN($C104,IF(Settings!$E$60="",$C104,Settings!$E$60))),1,0))+IF(OR(Settings!$B$61="",Settings!$F$61="No"),0,Settings!$B$61*IF(AND(IF(Settings!$C$61="",$B104,DATE(YEAR($A104),MONTH($A104),MIN(Settings!$C$61,DAY($B104))))&gt;=MAX($A104,Settings!$D$61),IF(Settings!$C$61="",$B104,DATE(YEAR($A104),MONTH($A104),MIN(Settings!$C$61,DAY($B104))))&lt;=MIN($C104,IF(Settings!$E$61="",$C104,Settings!$E$61))),1,0))+IF(OR(Settings!$B$62="",Settings!$F$62="No"),0,Settings!$B$62*IF(AND(IF(Settings!$C$62="",$B104,DATE(YEAR($A104),MONTH($A104),MIN(Settings!$C$62,DAY($B104))))&gt;=MAX($A104,Settings!$D$62),IF(Settings!$C$62="",$B104,DATE(YEAR($A104),MONTH($A104),MIN(Settings!$C$62,DAY($B104))))&lt;=MIN($C104,IF(Settings!$E$62="",$C104,Settings!$E$62))),1,0))+IF(OR(Settings!$B$63="",Settings!$F$63="No"),0,Settings!$B$63*IF(AND(IF(Settings!$C$63="",$B104,DATE(YEAR($A104),MONTH($A104),MIN(Settings!$C$63,DAY($B104))))&gt;=MAX($A104,Settings!$D$63),IF(Settings!$C$63="",$B104,DATE(YEAR($A104),MONTH($A104),MIN(Settings!$C$63,DAY($B104))))&lt;=MIN($C104,IF(Settings!$E$63="",$C104,Settings!$E$63))),1,0))+IF(OR(Settings!$B$64="",Settings!$F$64="No"),0,Settings!$B$64*IF(AND(IF(Settings!$C$64="",$B104,DATE(YEAR($A104),MONTH($A104),MIN(Settings!$C$64,DAY($B104))))&gt;=MAX($A104,Settings!$D$64),IF(Settings!$C$64="",$B104,DATE(YEAR($A104),MONTH($A104),MIN(Settings!$C$64,DAY($B104))))&lt;=MIN($C104,IF(Settings!$E$64="",$C104,Settings!$E$64))),1,0))+IF(OR(Settings!$B$65="",Settings!$F$65="No"),0,Settings!$B$65*IF(AND(IF(Settings!$C$65="",$B104,DATE(YEAR($A104),MONTH($A104),MIN(Settings!$C$65,DAY($B104))))&gt;=MAX($A104,Settings!$D$65),IF(Settings!$C$65="",$B104,DATE(YEAR($A104),MONTH($A104),MIN(Settings!$C$65,DAY($B104))))&lt;=MIN($C104,IF(Settings!$E$65="",$C104,Settings!$E$65))),1,0))</f>
        <v/>
      </c>
      <c r="AA104">
        <f>$X104+$Z104</f>
        <v/>
      </c>
      <c r="AB104">
        <f>IF($E104="post",$AA104,IF($E104="open",SUMIFS(Giving!$B$7:$B$2006,Giving!$A$7:$A$2006,"&gt;"&amp;Settings!$B$5,Giving!$A$7:$A$2006,"&lt;="&amp;$B104,Giving!$E$7:$E$2006,"&lt;&gt;No")+IF(OR(Settings!$B$60="",Settings!$F$60="No"),0,Settings!$B$60*IF(AND(IF(Settings!$C$60="",$B104,DATE(YEAR($A104),MONTH($A104),MIN(Settings!$C$60,DAY($B104))))&gt;=MAX($A104,Settings!$D$60,Settings!$B$5+1),IF(Settings!$C$60="",$B104,DATE(YEAR($A104),MONTH($A104),MIN(Settings!$C$60,DAY($B104))))&lt;=MIN($C104,IF(Settings!$E$60="",$C104,Settings!$E$60))),1,0))+IF(OR(Settings!$B$61="",Settings!$F$61="No"),0,Settings!$B$61*IF(AND(IF(Settings!$C$61="",$B104,DATE(YEAR($A104),MONTH($A104),MIN(Settings!$C$61,DAY($B104))))&gt;=MAX($A104,Settings!$D$61,Settings!$B$5+1),IF(Settings!$C$61="",$B104,DATE(YEAR($A104),MONTH($A104),MIN(Settings!$C$61,DAY($B104))))&lt;=MIN($C104,IF(Settings!$E$61="",$C104,Settings!$E$61))),1,0))+IF(OR(Settings!$B$62="",Settings!$F$62="No"),0,Settings!$B$62*IF(AND(IF(Settings!$C$62="",$B104,DATE(YEAR($A104),MONTH($A104),MIN(Settings!$C$62,DAY($B104))))&gt;=MAX($A104,Settings!$D$62,Settings!$B$5+1),IF(Settings!$C$62="",$B104,DATE(YEAR($A104),MONTH($A104),MIN(Settings!$C$62,DAY($B104))))&lt;=MIN($C104,IF(Settings!$E$62="",$C104,Settings!$E$62))),1,0))+IF(OR(Settings!$B$63="",Settings!$F$63="No"),0,Settings!$B$63*IF(AND(IF(Settings!$C$63="",$B104,DATE(YEAR($A104),MONTH($A104),MIN(Settings!$C$63,DAY($B104))))&gt;=MAX($A104,Settings!$D$63,Settings!$B$5+1),IF(Settings!$C$63="",$B104,DATE(YEAR($A104),MONTH($A104),MIN(Settings!$C$63,DAY($B104))))&lt;=MIN($C104,IF(Settings!$E$63="",$C104,Settings!$E$63))),1,0))+IF(OR(Settings!$B$64="",Settings!$F$64="No"),0,Settings!$B$64*IF(AND(IF(Settings!$C$64="",$B104,DATE(YEAR($A104),MONTH($A104),MIN(Settings!$C$64,DAY($B104))))&gt;=MAX($A104,Settings!$D$64,Settings!$B$5+1),IF(Settings!$C$64="",$B104,DATE(YEAR($A104),MONTH($A104),MIN(Settings!$C$64,DAY($B104))))&lt;=MIN($C104,IF(Settings!$E$64="",$C104,Settings!$E$64))),1,0))+IF(OR(Settings!$B$65="",Settings!$F$65="No"),0,Settings!$B$65*IF(AND(IF(Settings!$C$65="",$B104,DATE(YEAR($A104),MONTH($A104),MIN(Settings!$C$65,DAY($B104))))&gt;=MAX($A104,Settings!$D$65,Settings!$B$5+1),IF(Settings!$C$65="",$B104,DATE(YEAR($A104),MONTH($A104),MIN(Settings!$C$65,DAY($B104))))&lt;=MIN($C104,IF(Settings!$E$65="",$C104,Settings!$E$65))),1,0)),0))</f>
        <v/>
      </c>
      <c r="AC104">
        <f>$AY104+$AZ104+$BA104+$BB104+$BC104+$BD104</f>
        <v/>
      </c>
      <c r="AD104">
        <f>$AC104</f>
        <v/>
      </c>
      <c r="AE104">
        <f>IF(OR(Settings!$A$19="",$E104="pre"),"",IF(AND('Month-End'!$CW$7&lt;&gt;"",NOT(_xlfn.ISFORMULA('Month-End'!$CW$7))),N('Month-End'!$CW$7),IF(OR($E104="open",$E103="pre"),N(Settings!$C$19),N($AE103))))</f>
        <v/>
      </c>
      <c r="AF104">
        <f>IF(OR(Settings!$A$20="",$E104="pre"),"",IF(AND('Month-End'!$CW$8&lt;&gt;"",NOT(_xlfn.ISFORMULA('Month-End'!$CW$8))),N('Month-End'!$CW$8),IF(OR($E104="open",$E103="pre"),N(Settings!$C$20),N($AF103))))</f>
        <v/>
      </c>
      <c r="AG104">
        <f>IF(OR(Settings!$A$21="",$E104="pre"),"",IF(AND('Month-End'!$CW$9&lt;&gt;"",NOT(_xlfn.ISFORMULA('Month-End'!$CW$9))),N('Month-End'!$CW$9),IF(OR($E104="open",$E103="pre"),N(Settings!$C$21),N($AG103))))</f>
        <v/>
      </c>
      <c r="AH104">
        <f>IF(OR(Settings!$A$22="",$E104="pre"),"",IF(AND('Month-End'!$CW$10&lt;&gt;"",NOT(_xlfn.ISFORMULA('Month-End'!$CW$10))),N('Month-End'!$CW$10),IF(OR($E104="open",$E103="pre"),N(Settings!$C$22),N($AH103))))</f>
        <v/>
      </c>
      <c r="AI104">
        <f>IF(OR(Settings!$A$23="",$E104="pre"),"",IF(AND('Month-End'!$CW$11&lt;&gt;"",NOT(_xlfn.ISFORMULA('Month-End'!$CW$11))),N('Month-End'!$CW$11),IF(OR($E104="open",$E103="pre"),N(Settings!$C$23),N($AI103))))</f>
        <v/>
      </c>
      <c r="AJ104">
        <f>IF(OR(Settings!$A$24="",$E104="pre"),"",IF(AND('Month-End'!$CW$12&lt;&gt;"",NOT(_xlfn.ISFORMULA('Month-End'!$CW$12))),N('Month-End'!$CW$12),IF(OR($E104="open",$E103="pre"),N(Settings!$C$24),N($AJ103))))</f>
        <v/>
      </c>
      <c r="AK104">
        <f>IF(OR(Settings!$A$25="",$E104="pre"),"",IF(AND('Month-End'!$CW$13&lt;&gt;"",NOT(_xlfn.ISFORMULA('Month-End'!$CW$13))),N('Month-End'!$CW$13),IF(OR($E104="open",$E103="pre"),N(Settings!$C$25),N($AK103))))</f>
        <v/>
      </c>
      <c r="AL104">
        <f>IF(OR(Settings!$A$26="",$E104="pre"),"",IF(AND('Month-End'!$CW$14&lt;&gt;"",NOT(_xlfn.ISFORMULA('Month-End'!$CW$14))),N('Month-End'!$CW$14),IF(OR($E104="open",$E103="pre"),N(Settings!$C$26),N($AL103))))</f>
        <v/>
      </c>
      <c r="AM104">
        <f>IF(OR(Settings!$A$27="",$E104="pre"),"",IF(AND('Month-End'!$CW$15&lt;&gt;"",NOT(_xlfn.ISFORMULA('Month-End'!$CW$15))),N('Month-End'!$CW$15),IF(OR($E104="open",$E103="pre"),N(Settings!$C$27),N($AM103))))</f>
        <v/>
      </c>
      <c r="AN104">
        <f>IF(OR(Settings!$A$28="",$E104="pre"),"",IF(AND('Month-End'!$CW$16&lt;&gt;"",NOT(_xlfn.ISFORMULA('Month-End'!$CW$16))),N('Month-End'!$CW$16),IF(OR($E104="open",$E103="pre"),N(Settings!$C$28),N($AN103))))</f>
        <v/>
      </c>
      <c r="AO104">
        <f>IF(OR(Settings!$A$29="",$E104="pre"),"",IF(AND('Month-End'!$CW$17&lt;&gt;"",NOT(_xlfn.ISFORMULA('Month-End'!$CW$17))),N('Month-End'!$CW$17),IF(OR($E104="open",$E103="pre"),N(Settings!$C$29),N($AO103))))</f>
        <v/>
      </c>
      <c r="AP104">
        <f>IF(OR(Settings!$A$30="",$E104="pre"),"",IF(AND('Month-End'!$CW$18&lt;&gt;"",NOT(_xlfn.ISFORMULA('Month-End'!$CW$18))),N('Month-End'!$CW$18),IF(OR($E104="open",$E103="pre"),N(Settings!$C$30),N($AP103))))</f>
        <v/>
      </c>
      <c r="AQ104">
        <f>IF(OR(Settings!$A$31="",$E104="pre"),"",IF(AND('Month-End'!$CW$19&lt;&gt;"",NOT(_xlfn.ISFORMULA('Month-End'!$CW$19))),N('Month-End'!$CW$19),IF(OR($E104="open",$E103="pre"),N(Settings!$C$31),N($AQ103))))</f>
        <v/>
      </c>
      <c r="AR104">
        <f>IF(OR(Settings!$A$32="",$E104="pre"),"",IF(AND('Month-End'!$CW$20&lt;&gt;"",NOT(_xlfn.ISFORMULA('Month-End'!$CW$20))),N('Month-End'!$CW$20),IF(OR($E104="open",$E103="pre"),N(Settings!$C$32),N($AR103))))</f>
        <v/>
      </c>
      <c r="AS104">
        <f>IF(OR(Settings!$A$36="",$E104="pre"),"",IF(AND('Month-End'!$CW$38&lt;&gt;"",NOT(_xlfn.ISFORMULA('Month-End'!$CW$38))),N('Month-End'!$CW$38),IF(OR($E104="open",$E103="pre"),N(Settings!$C$36),N($AS103))+$AY104))</f>
        <v/>
      </c>
      <c r="AT104">
        <f>IF(OR(Settings!$A$37="",$E104="pre"),"",IF(AND('Month-End'!$CW$39&lt;&gt;"",NOT(_xlfn.ISFORMULA('Month-End'!$CW$39))),N('Month-End'!$CW$39),IF(OR($E104="open",$E103="pre"),N(Settings!$C$37),N($AT103))+$AZ104))</f>
        <v/>
      </c>
      <c r="AU104">
        <f>IF(OR(Settings!$A$38="",$E104="pre"),"",IF(AND('Month-End'!$CW$40&lt;&gt;"",NOT(_xlfn.ISFORMULA('Month-End'!$CW$40))),N('Month-End'!$CW$40),IF(OR($E104="open",$E103="pre"),N(Settings!$C$38),N($AU103))+$BA104))</f>
        <v/>
      </c>
      <c r="AV104">
        <f>IF(OR(Settings!$A$39="",$E104="pre"),"",IF(AND('Month-End'!$CW$41&lt;&gt;"",NOT(_xlfn.ISFORMULA('Month-End'!$CW$41))),N('Month-End'!$CW$41),IF(OR($E104="open",$E103="pre"),N(Settings!$C$39),N($AV103))+$BB104))</f>
        <v/>
      </c>
      <c r="AW104">
        <f>IF(OR(Settings!$A$40="",$E104="pre"),"",IF(AND('Month-End'!$CW$42&lt;&gt;"",NOT(_xlfn.ISFORMULA('Month-End'!$CW$42))),N('Month-End'!$CW$42),IF(OR($E104="open",$E103="pre"),N(Settings!$C$40),N($AW103))+$BC104))</f>
        <v/>
      </c>
      <c r="AX104">
        <f>IF(OR(Settings!$A$41="",$E104="pre"),"",IF(AND('Month-End'!$CW$43&lt;&gt;"",NOT(_xlfn.ISFORMULA('Month-End'!$CW$43))),N('Month-End'!$CW$43),IF(OR($E104="open",$E103="pre"),N(Settings!$C$41),N($AX103))+$BD104))</f>
        <v/>
      </c>
      <c r="AY104">
        <f>IF($E104="pre",0,N('Month-End'!$CW$45))</f>
        <v/>
      </c>
      <c r="AZ104">
        <f>IF($E104="pre",0,N('Month-End'!$CW$46))</f>
        <v/>
      </c>
      <c r="BA104">
        <f>IF($E104="pre",0,N('Month-End'!$CW$47))</f>
        <v/>
      </c>
      <c r="BB104">
        <f>IF($E104="pre",0,N('Month-End'!$CW$48))</f>
        <v/>
      </c>
      <c r="BC104">
        <f>IF($E104="pre",0,N('Month-End'!$CW$49))</f>
        <v/>
      </c>
      <c r="BD104">
        <f>IF($E104="pre",0,N('Month-End'!$CW$50))</f>
        <v/>
      </c>
      <c r="BE104">
        <f>IF(OR(Settings!$C$45="",Settings!$D$45=""),0,Settings!$C$45*IF(Settings!$D$45="Weekly",IF(IFERROR(MATCH(Settings!$E$45,$EO$4:$EO$10,0),0)=0,0,IF(MIN($C104,IF(Settings!$G$45="",$C104,Settings!$G$45))&lt;MAX($A104,Settings!$F$45),0,INT((MIN($C104,IF(Settings!$G$45="",$C104,Settings!$G$45))-MAX($A104,Settings!$F$45)-MOD(IFERROR(MATCH(Settings!$E$45,$EO$4:$EO$10,0),0)-WEEKDAY(MAX($A104,Settings!$F$45)),7))/7)+1)),IF(AND(IF(Settings!$E$45="",$B104,DATE(YEAR($A104),MONTH($A104),MIN(Settings!$E$45,DAY($B104))))&gt;=MAX($A104,Settings!$F$45),IF(Settings!$E$45="",$B104,DATE(YEAR($A104),MONTH($A104),MIN(Settings!$E$45,DAY($B104))))&lt;=MIN($C104,IF(Settings!$G$45="",$C104,Settings!$G$45))),1,0)))</f>
        <v/>
      </c>
      <c r="BF104">
        <f>IF(OR(Settings!$C$46="",Settings!$D$46=""),0,Settings!$C$46*IF(Settings!$D$46="Weekly",IF(IFERROR(MATCH(Settings!$E$46,$EO$4:$EO$10,0),0)=0,0,IF(MIN($C104,IF(Settings!$G$46="",$C104,Settings!$G$46))&lt;MAX($A104,Settings!$F$46),0,INT((MIN($C104,IF(Settings!$G$46="",$C104,Settings!$G$46))-MAX($A104,Settings!$F$46)-MOD(IFERROR(MATCH(Settings!$E$46,$EO$4:$EO$10,0),0)-WEEKDAY(MAX($A104,Settings!$F$46)),7))/7)+1)),IF(AND(IF(Settings!$E$46="",$B104,DATE(YEAR($A104),MONTH($A104),MIN(Settings!$E$46,DAY($B104))))&gt;=MAX($A104,Settings!$F$46),IF(Settings!$E$46="",$B104,DATE(YEAR($A104),MONTH($A104),MIN(Settings!$E$46,DAY($B104))))&lt;=MIN($C104,IF(Settings!$G$46="",$C104,Settings!$G$46))),1,0)))</f>
        <v/>
      </c>
      <c r="BG104">
        <f>IF(OR(Settings!$C$47="",Settings!$D$47=""),0,Settings!$C$47*IF(Settings!$D$47="Weekly",IF(IFERROR(MATCH(Settings!$E$47,$EO$4:$EO$10,0),0)=0,0,IF(MIN($C104,IF(Settings!$G$47="",$C104,Settings!$G$47))&lt;MAX($A104,Settings!$F$47),0,INT((MIN($C104,IF(Settings!$G$47="",$C104,Settings!$G$47))-MAX($A104,Settings!$F$47)-MOD(IFERROR(MATCH(Settings!$E$47,$EO$4:$EO$10,0),0)-WEEKDAY(MAX($A104,Settings!$F$47)),7))/7)+1)),IF(AND(IF(Settings!$E$47="",$B104,DATE(YEAR($A104),MONTH($A104),MIN(Settings!$E$47,DAY($B104))))&gt;=MAX($A104,Settings!$F$47),IF(Settings!$E$47="",$B104,DATE(YEAR($A104),MONTH($A104),MIN(Settings!$E$47,DAY($B104))))&lt;=MIN($C104,IF(Settings!$G$47="",$C104,Settings!$G$47))),1,0)))</f>
        <v/>
      </c>
      <c r="BH104">
        <f>IF(OR(Settings!$C$48="",Settings!$D$48=""),0,Settings!$C$48*IF(Settings!$D$48="Weekly",IF(IFERROR(MATCH(Settings!$E$48,$EO$4:$EO$10,0),0)=0,0,IF(MIN($C104,IF(Settings!$G$48="",$C104,Settings!$G$48))&lt;MAX($A104,Settings!$F$48),0,INT((MIN($C104,IF(Settings!$G$48="",$C104,Settings!$G$48))-MAX($A104,Settings!$F$48)-MOD(IFERROR(MATCH(Settings!$E$48,$EO$4:$EO$10,0),0)-WEEKDAY(MAX($A104,Settings!$F$48)),7))/7)+1)),IF(AND(IF(Settings!$E$48="",$B104,DATE(YEAR($A104),MONTH($A104),MIN(Settings!$E$48,DAY($B104))))&gt;=MAX($A104,Settings!$F$48),IF(Settings!$E$48="",$B104,DATE(YEAR($A104),MONTH($A104),MIN(Settings!$E$48,DAY($B104))))&lt;=MIN($C104,IF(Settings!$G$48="",$C104,Settings!$G$48))),1,0)))</f>
        <v/>
      </c>
      <c r="BI104">
        <f>IF(OR(Settings!$C$49="",Settings!$D$49=""),0,Settings!$C$49*IF(Settings!$D$49="Weekly",IF(IFERROR(MATCH(Settings!$E$49,$EO$4:$EO$10,0),0)=0,0,IF(MIN($C104,IF(Settings!$G$49="",$C104,Settings!$G$49))&lt;MAX($A104,Settings!$F$49),0,INT((MIN($C104,IF(Settings!$G$49="",$C104,Settings!$G$49))-MAX($A104,Settings!$F$49)-MOD(IFERROR(MATCH(Settings!$E$49,$EO$4:$EO$10,0),0)-WEEKDAY(MAX($A104,Settings!$F$49)),7))/7)+1)),IF(AND(IF(Settings!$E$49="",$B104,DATE(YEAR($A104),MONTH($A104),MIN(Settings!$E$49,DAY($B104))))&gt;=MAX($A104,Settings!$F$49),IF(Settings!$E$49="",$B104,DATE(YEAR($A104),MONTH($A104),MIN(Settings!$E$49,DAY($B104))))&lt;=MIN($C104,IF(Settings!$G$49="",$C104,Settings!$G$49))),1,0)))</f>
        <v/>
      </c>
      <c r="BJ104">
        <f>IF(OR(Settings!$C$50="",Settings!$D$50=""),0,Settings!$C$50*IF(Settings!$D$50="Weekly",IF(IFERROR(MATCH(Settings!$E$50,$EO$4:$EO$10,0),0)=0,0,IF(MIN($C104,IF(Settings!$G$50="",$C104,Settings!$G$50))&lt;MAX($A104,Settings!$F$50),0,INT((MIN($C104,IF(Settings!$G$50="",$C104,Settings!$G$50))-MAX($A104,Settings!$F$50)-MOD(IFERROR(MATCH(Settings!$E$50,$EO$4:$EO$10,0),0)-WEEKDAY(MAX($A104,Settings!$F$50)),7))/7)+1)),IF(AND(IF(Settings!$E$50="",$B104,DATE(YEAR($A104),MONTH($A104),MIN(Settings!$E$50,DAY($B104))))&gt;=MAX($A104,Settings!$F$50),IF(Settings!$E$50="",$B104,DATE(YEAR($A104),MONTH($A104),MIN(Settings!$E$50,DAY($B104))))&lt;=MIN($C104,IF(Settings!$G$50="",$C104,Settings!$G$50))),1,0)))</f>
        <v/>
      </c>
      <c r="BK104">
        <f>IF(OR(Settings!$C$51="",Settings!$D$51=""),0,Settings!$C$51*IF(Settings!$D$51="Weekly",IF(IFERROR(MATCH(Settings!$E$51,$EO$4:$EO$10,0),0)=0,0,IF(MIN($C104,IF(Settings!$G$51="",$C104,Settings!$G$51))&lt;MAX($A104,Settings!$F$51),0,INT((MIN($C104,IF(Settings!$G$51="",$C104,Settings!$G$51))-MAX($A104,Settings!$F$51)-MOD(IFERROR(MATCH(Settings!$E$51,$EO$4:$EO$10,0),0)-WEEKDAY(MAX($A104,Settings!$F$51)),7))/7)+1)),IF(AND(IF(Settings!$E$51="",$B104,DATE(YEAR($A104),MONTH($A104),MIN(Settings!$E$51,DAY($B104))))&gt;=MAX($A104,Settings!$F$51),IF(Settings!$E$51="",$B104,DATE(YEAR($A104),MONTH($A104),MIN(Settings!$E$51,DAY($B104))))&lt;=MIN($C104,IF(Settings!$G$51="",$C104,Settings!$G$51))),1,0)))</f>
        <v/>
      </c>
      <c r="BL104">
        <f>IF(OR(Settings!$C$52="",Settings!$D$52=""),0,Settings!$C$52*IF(Settings!$D$52="Weekly",IF(IFERROR(MATCH(Settings!$E$52,$EO$4:$EO$10,0),0)=0,0,IF(MIN($C104,IF(Settings!$G$52="",$C104,Settings!$G$52))&lt;MAX($A104,Settings!$F$52),0,INT((MIN($C104,IF(Settings!$G$52="",$C104,Settings!$G$52))-MAX($A104,Settings!$F$52)-MOD(IFERROR(MATCH(Settings!$E$52,$EO$4:$EO$10,0),0)-WEEKDAY(MAX($A104,Settings!$F$52)),7))/7)+1)),IF(AND(IF(Settings!$E$52="",$B104,DATE(YEAR($A104),MONTH($A104),MIN(Settings!$E$52,DAY($B104))))&gt;=MAX($A104,Settings!$F$52),IF(Settings!$E$52="",$B104,DATE(YEAR($A104),MONTH($A104),MIN(Settings!$E$52,DAY($B104))))&lt;=MIN($C104,IF(Settings!$G$52="",$C104,Settings!$G$52))),1,0)))</f>
        <v/>
      </c>
      <c r="BM104">
        <f>IF(OR(Settings!$C$53="",Settings!$D$53=""),0,Settings!$C$53*IF(Settings!$D$53="Weekly",IF(IFERROR(MATCH(Settings!$E$53,$EO$4:$EO$10,0),0)=0,0,IF(MIN($C104,IF(Settings!$G$53="",$C104,Settings!$G$53))&lt;MAX($A104,Settings!$F$53),0,INT((MIN($C104,IF(Settings!$G$53="",$C104,Settings!$G$53))-MAX($A104,Settings!$F$53)-MOD(IFERROR(MATCH(Settings!$E$53,$EO$4:$EO$10,0),0)-WEEKDAY(MAX($A104,Settings!$F$53)),7))/7)+1)),IF(AND(IF(Settings!$E$53="",$B104,DATE(YEAR($A104),MONTH($A104),MIN(Settings!$E$53,DAY($B104))))&gt;=MAX($A104,Settings!$F$53),IF(Settings!$E$53="",$B104,DATE(YEAR($A104),MONTH($A104),MIN(Settings!$E$53,DAY($B104))))&lt;=MIN($C104,IF(Settings!$G$53="",$C104,Settings!$G$53))),1,0)))</f>
        <v/>
      </c>
      <c r="BN104">
        <f>IF(OR(Settings!$C$54="",Settings!$D$54=""),0,Settings!$C$54*IF(Settings!$D$54="Weekly",IF(IFERROR(MATCH(Settings!$E$54,$EO$4:$EO$10,0),0)=0,0,IF(MIN($C104,IF(Settings!$G$54="",$C104,Settings!$G$54))&lt;MAX($A104,Settings!$F$54),0,INT((MIN($C104,IF(Settings!$G$54="",$C104,Settings!$G$54))-MAX($A104,Settings!$F$54)-MOD(IFERROR(MATCH(Settings!$E$54,$EO$4:$EO$10,0),0)-WEEKDAY(MAX($A104,Settings!$F$54)),7))/7)+1)),IF(AND(IF(Settings!$E$54="",$B104,DATE(YEAR($A104),MONTH($A104),MIN(Settings!$E$54,DAY($B104))))&gt;=MAX($A104,Settings!$F$54),IF(Settings!$E$54="",$B104,DATE(YEAR($A104),MONTH($A104),MIN(Settings!$E$54,DAY($B104))))&lt;=MIN($C104,IF(Settings!$G$54="",$C104,Settings!$G$54))),1,0)))</f>
        <v/>
      </c>
      <c r="BO104">
        <f>IF(OR(Settings!$C$55="",Settings!$D$55=""),0,Settings!$C$55*IF(Settings!$D$55="Weekly",IF(IFERROR(MATCH(Settings!$E$55,$EO$4:$EO$10,0),0)=0,0,IF(MIN($C104,IF(Settings!$G$55="",$C104,Settings!$G$55))&lt;MAX($A104,Settings!$F$55),0,INT((MIN($C104,IF(Settings!$G$55="",$C104,Settings!$G$55))-MAX($A104,Settings!$F$55)-MOD(IFERROR(MATCH(Settings!$E$55,$EO$4:$EO$10,0),0)-WEEKDAY(MAX($A104,Settings!$F$55)),7))/7)+1)),IF(AND(IF(Settings!$E$55="",$B104,DATE(YEAR($A104),MONTH($A104),MIN(Settings!$E$55,DAY($B104))))&gt;=MAX($A104,Settings!$F$55),IF(Settings!$E$55="",$B104,DATE(YEAR($A104),MONTH($A104),MIN(Settings!$E$55,DAY($B104))))&lt;=MIN($C104,IF(Settings!$G$55="",$C104,Settings!$G$55))),1,0)))</f>
        <v/>
      </c>
      <c r="BP104">
        <f>IF(OR(Settings!$C$56="",Settings!$D$56=""),0,Settings!$C$56*IF(Settings!$D$56="Weekly",IF(IFERROR(MATCH(Settings!$E$56,$EO$4:$EO$10,0),0)=0,0,IF(MIN($C104,IF(Settings!$G$56="",$C104,Settings!$G$56))&lt;MAX($A104,Settings!$F$56),0,INT((MIN($C104,IF(Settings!$G$56="",$C104,Settings!$G$56))-MAX($A104,Settings!$F$56)-MOD(IFERROR(MATCH(Settings!$E$56,$EO$4:$EO$10,0),0)-WEEKDAY(MAX($A104,Settings!$F$56)),7))/7)+1)),IF(AND(IF(Settings!$E$56="",$B104,DATE(YEAR($A104),MONTH($A104),MIN(Settings!$E$56,DAY($B104))))&gt;=MAX($A104,Settings!$F$56),IF(Settings!$E$56="",$B104,DATE(YEAR($A104),MONTH($A104),MIN(Settings!$E$56,DAY($B104))))&lt;=MIN($C104,IF(Settings!$G$56="",$C104,Settings!$G$56))),1,0)))</f>
        <v/>
      </c>
      <c r="BQ104">
        <f>IF(OR(Settings!$B$14="",$D104=1,$E104="pre",$A104&lt;IF(Settings!$B$15="",0,Settings!$B$15)),0,Settings!$B$14)</f>
        <v/>
      </c>
      <c r="BR104">
        <f>IF(AND('Month-End'!$CW$7&lt;&gt;"",NOT(_xlfn.ISFORMULA('Month-End'!$CW$7))),1,0)</f>
        <v/>
      </c>
      <c r="BS104">
        <f>IF(AND('Month-End'!$CW$8&lt;&gt;"",NOT(_xlfn.ISFORMULA('Month-End'!$CW$8))),1,0)</f>
        <v/>
      </c>
      <c r="BT104">
        <f>IF(AND('Month-End'!$CW$9&lt;&gt;"",NOT(_xlfn.ISFORMULA('Month-End'!$CW$9))),1,0)</f>
        <v/>
      </c>
      <c r="BU104">
        <f>IF(AND('Month-End'!$CW$10&lt;&gt;"",NOT(_xlfn.ISFORMULA('Month-End'!$CW$10))),1,0)</f>
        <v/>
      </c>
      <c r="BV104">
        <f>IF(AND('Month-End'!$CW$11&lt;&gt;"",NOT(_xlfn.ISFORMULA('Month-End'!$CW$11))),1,0)</f>
        <v/>
      </c>
      <c r="BW104">
        <f>IF(AND('Month-End'!$CW$12&lt;&gt;"",NOT(_xlfn.ISFORMULA('Month-End'!$CW$12))),1,0)</f>
        <v/>
      </c>
      <c r="BX104">
        <f>IF(AND('Month-End'!$CW$13&lt;&gt;"",NOT(_xlfn.ISFORMULA('Month-End'!$CW$13))),1,0)</f>
        <v/>
      </c>
      <c r="BY104">
        <f>IF(AND('Month-End'!$CW$14&lt;&gt;"",NOT(_xlfn.ISFORMULA('Month-End'!$CW$14))),1,0)</f>
        <v/>
      </c>
      <c r="BZ104">
        <f>IF(AND('Month-End'!$CW$15&lt;&gt;"",NOT(_xlfn.ISFORMULA('Month-End'!$CW$15))),1,0)</f>
        <v/>
      </c>
      <c r="CA104">
        <f>IF(AND('Month-End'!$CW$16&lt;&gt;"",NOT(_xlfn.ISFORMULA('Month-End'!$CW$16))),1,0)</f>
        <v/>
      </c>
      <c r="CB104">
        <f>IF(AND('Month-End'!$CW$17&lt;&gt;"",NOT(_xlfn.ISFORMULA('Month-End'!$CW$17))),1,0)</f>
        <v/>
      </c>
      <c r="CC104">
        <f>IF(AND('Month-End'!$CW$18&lt;&gt;"",NOT(_xlfn.ISFORMULA('Month-End'!$CW$18))),1,0)</f>
        <v/>
      </c>
      <c r="CD104">
        <f>IF(AND('Month-End'!$CW$19&lt;&gt;"",NOT(_xlfn.ISFORMULA('Month-End'!$CW$19))),1,0)</f>
        <v/>
      </c>
      <c r="CE104">
        <f>IF(AND('Month-End'!$CW$20&lt;&gt;"",NOT(_xlfn.ISFORMULA('Month-End'!$CW$20))),1,0)</f>
        <v/>
      </c>
      <c r="CF104">
        <f>IF(AND('Month-End'!$CW$38&lt;&gt;"",NOT(_xlfn.ISFORMULA('Month-End'!$CW$38))),1,0)</f>
        <v/>
      </c>
      <c r="CG104">
        <f>IF(AND('Month-End'!$CW$39&lt;&gt;"",NOT(_xlfn.ISFORMULA('Month-End'!$CW$39))),1,0)</f>
        <v/>
      </c>
      <c r="CH104">
        <f>IF(AND('Month-End'!$CW$40&lt;&gt;"",NOT(_xlfn.ISFORMULA('Month-End'!$CW$40))),1,0)</f>
        <v/>
      </c>
      <c r="CI104">
        <f>IF(AND('Month-End'!$CW$41&lt;&gt;"",NOT(_xlfn.ISFORMULA('Month-End'!$CW$41))),1,0)</f>
        <v/>
      </c>
      <c r="CJ104">
        <f>IF(AND('Month-End'!$CW$42&lt;&gt;"",NOT(_xlfn.ISFORMULA('Month-End'!$CW$42))),1,0)</f>
        <v/>
      </c>
      <c r="CK104">
        <f>IF(AND('Month-End'!$CW$43&lt;&gt;"",NOT(_xlfn.ISFORMULA('Month-End'!$CW$43))),1,0)</f>
        <v/>
      </c>
      <c r="CL104">
        <f>SUM($CM104:$CZ104)</f>
        <v/>
      </c>
      <c r="CM104">
        <f>IF(AND($E104&lt;&gt;"pre",AND(Settings!$A$19&lt;&gt;"",Settings!$E$19&lt;&gt;"No"),Settings!$F$19="Yes",NOT(AND('Month-End'!$CW$7&lt;&gt;"",NOT(_xlfn.ISFORMULA('Month-End'!$CW$7))))),1,0)</f>
        <v/>
      </c>
      <c r="CN104">
        <f>IF(AND($E104&lt;&gt;"pre",AND(Settings!$A$20&lt;&gt;"",Settings!$E$20&lt;&gt;"No"),Settings!$F$20="Yes",NOT(AND('Month-End'!$CW$8&lt;&gt;"",NOT(_xlfn.ISFORMULA('Month-End'!$CW$8))))),1,0)</f>
        <v/>
      </c>
      <c r="CO104">
        <f>IF(AND($E104&lt;&gt;"pre",AND(Settings!$A$21&lt;&gt;"",Settings!$E$21&lt;&gt;"No"),Settings!$F$21="Yes",NOT(AND('Month-End'!$CW$9&lt;&gt;"",NOT(_xlfn.ISFORMULA('Month-End'!$CW$9))))),1,0)</f>
        <v/>
      </c>
      <c r="CP104">
        <f>IF(AND($E104&lt;&gt;"pre",AND(Settings!$A$22&lt;&gt;"",Settings!$E$22&lt;&gt;"No"),Settings!$F$22="Yes",NOT(AND('Month-End'!$CW$10&lt;&gt;"",NOT(_xlfn.ISFORMULA('Month-End'!$CW$10))))),1,0)</f>
        <v/>
      </c>
      <c r="CQ104">
        <f>IF(AND($E104&lt;&gt;"pre",AND(Settings!$A$23&lt;&gt;"",Settings!$E$23&lt;&gt;"No"),Settings!$F$23="Yes",NOT(AND('Month-End'!$CW$11&lt;&gt;"",NOT(_xlfn.ISFORMULA('Month-End'!$CW$11))))),1,0)</f>
        <v/>
      </c>
      <c r="CR104">
        <f>IF(AND($E104&lt;&gt;"pre",AND(Settings!$A$24&lt;&gt;"",Settings!$E$24&lt;&gt;"No"),Settings!$F$24="Yes",NOT(AND('Month-End'!$CW$12&lt;&gt;"",NOT(_xlfn.ISFORMULA('Month-End'!$CW$12))))),1,0)</f>
        <v/>
      </c>
      <c r="CS104">
        <f>IF(AND($E104&lt;&gt;"pre",AND(Settings!$A$25&lt;&gt;"",Settings!$E$25&lt;&gt;"No"),Settings!$F$25="Yes",NOT(AND('Month-End'!$CW$13&lt;&gt;"",NOT(_xlfn.ISFORMULA('Month-End'!$CW$13))))),1,0)</f>
        <v/>
      </c>
      <c r="CT104">
        <f>IF(AND($E104&lt;&gt;"pre",AND(Settings!$A$26&lt;&gt;"",Settings!$E$26&lt;&gt;"No"),Settings!$F$26="Yes",NOT(AND('Month-End'!$CW$14&lt;&gt;"",NOT(_xlfn.ISFORMULA('Month-End'!$CW$14))))),1,0)</f>
        <v/>
      </c>
      <c r="CU104">
        <f>IF(AND($E104&lt;&gt;"pre",AND(Settings!$A$27&lt;&gt;"",Settings!$E$27&lt;&gt;"No"),Settings!$F$27="Yes",NOT(AND('Month-End'!$CW$15&lt;&gt;"",NOT(_xlfn.ISFORMULA('Month-End'!$CW$15))))),1,0)</f>
        <v/>
      </c>
      <c r="CV104">
        <f>IF(AND($E104&lt;&gt;"pre",AND(Settings!$A$28&lt;&gt;"",Settings!$E$28&lt;&gt;"No"),Settings!$F$28="Yes",NOT(AND('Month-End'!$CW$16&lt;&gt;"",NOT(_xlfn.ISFORMULA('Month-End'!$CW$16))))),1,0)</f>
        <v/>
      </c>
      <c r="CW104">
        <f>IF(AND($E104&lt;&gt;"pre",AND(Settings!$A$29&lt;&gt;"",Settings!$E$29&lt;&gt;"No"),Settings!$F$29="Yes",NOT(AND('Month-End'!$CW$17&lt;&gt;"",NOT(_xlfn.ISFORMULA('Month-End'!$CW$17))))),1,0)</f>
        <v/>
      </c>
      <c r="CX104">
        <f>IF(AND($E104&lt;&gt;"pre",AND(Settings!$A$30&lt;&gt;"",Settings!$E$30&lt;&gt;"No"),Settings!$F$30="Yes",NOT(AND('Month-End'!$CW$18&lt;&gt;"",NOT(_xlfn.ISFORMULA('Month-End'!$CW$18))))),1,0)</f>
        <v/>
      </c>
      <c r="CY104">
        <f>IF(AND($E104&lt;&gt;"pre",AND(Settings!$A$31&lt;&gt;"",Settings!$E$31&lt;&gt;"No"),Settings!$F$31="Yes",NOT(AND('Month-End'!$CW$19&lt;&gt;"",NOT(_xlfn.ISFORMULA('Month-End'!$CW$19))))),1,0)</f>
        <v/>
      </c>
      <c r="CZ104">
        <f>IF(AND($E104&lt;&gt;"pre",AND(Settings!$A$32&lt;&gt;"",Settings!$E$32&lt;&gt;"No"),Settings!$F$32="Yes",NOT(AND('Month-End'!$CW$20&lt;&gt;"",NOT(_xlfn.ISFORMULA('Month-End'!$CW$20))))),1,0)</f>
        <v/>
      </c>
      <c r="DA104">
        <f>IF($DT104=1,IF(OR(Settings!$B$19="Checking",Settings!$B$19="Savings",Settings!$B$19="Cash"),N($AE104),IF(OR(Settings!$B$19="Card",Settings!$B$19="Loan"),-N($AE104),0))+IF(OR(Settings!$B$20="Checking",Settings!$B$20="Savings",Settings!$B$20="Cash"),N($AF104),IF(OR(Settings!$B$20="Card",Settings!$B$20="Loan"),-N($AF104),0))+IF(OR(Settings!$B$21="Checking",Settings!$B$21="Savings",Settings!$B$21="Cash"),N($AG104),IF(OR(Settings!$B$21="Card",Settings!$B$21="Loan"),-N($AG104),0))+IF(OR(Settings!$B$22="Checking",Settings!$B$22="Savings",Settings!$B$22="Cash"),N($AH104),IF(OR(Settings!$B$22="Card",Settings!$B$22="Loan"),-N($AH104),0))+IF(OR(Settings!$B$23="Checking",Settings!$B$23="Savings",Settings!$B$23="Cash"),N($AI104),IF(OR(Settings!$B$23="Card",Settings!$B$23="Loan"),-N($AI104),0))+IF(OR(Settings!$B$24="Checking",Settings!$B$24="Savings",Settings!$B$24="Cash"),N($AJ104),IF(OR(Settings!$B$24="Card",Settings!$B$24="Loan"),-N($AJ104),0))+IF(OR(Settings!$B$25="Checking",Settings!$B$25="Savings",Settings!$B$25="Cash"),N($AK104),IF(OR(Settings!$B$25="Card",Settings!$B$25="Loan"),-N($AK104),0))+IF(OR(Settings!$B$26="Checking",Settings!$B$26="Savings",Settings!$B$26="Cash"),N($AL104),IF(OR(Settings!$B$26="Card",Settings!$B$26="Loan"),-N($AL104),0))+IF(OR(Settings!$B$27="Checking",Settings!$B$27="Savings",Settings!$B$27="Cash"),N($AM104),IF(OR(Settings!$B$27="Card",Settings!$B$27="Loan"),-N($AM104),0))+IF(OR(Settings!$B$28="Checking",Settings!$B$28="Savings",Settings!$B$28="Cash"),N($AN104),IF(OR(Settings!$B$28="Card",Settings!$B$28="Loan"),-N($AN104),0))+IF(OR(Settings!$B$29="Checking",Settings!$B$29="Savings",Settings!$B$29="Cash"),N($AO104),IF(OR(Settings!$B$29="Card",Settings!$B$29="Loan"),-N($AO104),0))+IF(OR(Settings!$B$30="Checking",Settings!$B$30="Savings",Settings!$B$30="Cash"),N($AP104),IF(OR(Settings!$B$30="Card",Settings!$B$30="Loan"),-N($AP104),0))+IF(OR(Settings!$B$31="Checking",Settings!$B$31="Savings",Settings!$B$31="Cash"),N($AQ104),IF(OR(Settings!$B$31="Card",Settings!$B$31="Loan"),-N($AQ104),0))+IF(OR(Settings!$B$32="Checking",Settings!$B$32="Savings",Settings!$B$32="Cash"),N($AR104),IF(OR(Settings!$B$32="Card",Settings!$B$32="Loan"),-N($AR104),0)),"")</f>
        <v/>
      </c>
      <c r="DB104">
        <f>IF($E104="open",$EB$27,IF($E104="post",IF($E103="pre",$EB$27,$DA103),""))</f>
        <v/>
      </c>
      <c r="DC104">
        <f>IF($E104="open",1,IF($E104="post",IF($E103="pre",1,$DT103),0))</f>
        <v/>
      </c>
      <c r="DD104">
        <f>IF(AND($DT104=1,$DC104=1),ROUND($W104-($DA104-$DB104)-$AD104-$AB104,2),"")</f>
        <v/>
      </c>
      <c r="DE104">
        <f>IF('Month-End'!$CW$35="",$BQ104,N('Month-End'!$CW$35))</f>
        <v/>
      </c>
      <c r="DF104">
        <f>N('Month-End'!$CW$36)</f>
        <v/>
      </c>
      <c r="DG104">
        <f>IF($DD104="","",$DD104+$DE104)</f>
        <v/>
      </c>
      <c r="DH104">
        <f>IF($DG104="","",$DG104-$DF104)</f>
        <v/>
      </c>
      <c r="DI104">
        <f>IF(OR($E104="pre",$D104=1),"",N($AS104)+N($AT104)+N($AU104)+N($AV104)+N($AW104)+N($AX104))</f>
        <v/>
      </c>
      <c r="DJ104">
        <f>IF($DT104=1,$DA104+N($DI104),"")</f>
        <v/>
      </c>
      <c r="DK104">
        <f>IF($DD104="","",$W104-$DD104-$AB104)</f>
        <v/>
      </c>
      <c r="DL104">
        <f>IF(AND($E104="post",$DD104&lt;&gt;"",$B104&lt;TODAY()),1,0)</f>
        <v/>
      </c>
      <c r="DM104">
        <f>IF($DL104=1,COUNTIF($DL104:$DL$183,1),0)</f>
        <v/>
      </c>
      <c r="DN104">
        <f>IF($D104=1,"",IF($E104="pre","History only",IF($DT104=1,IF($DD104="","⚠ Previous month missing",IF($DD104&lt;0,"⚠ Check: spending &lt; 0",IF($E104="open","✓ Done (partial)","✓ Done"))),IF($B104&gt;=TODAY(),"In progress","⚠ Needs balances"))))</f>
        <v/>
      </c>
      <c r="DO104">
        <f>YEAR($A104)</f>
        <v/>
      </c>
      <c r="DP104">
        <f>DATE(YEAR($A104),INT((MONTH($A104)-1)/3)*3+1,1)</f>
        <v/>
      </c>
      <c r="DQ104">
        <f>IF(AND($DT104=1,$DD104&lt;&gt;"",$D104=0),ROW(),0)</f>
        <v/>
      </c>
      <c r="DR104">
        <f>IF(AND($E104&lt;&gt;"pre",$B104&lt;TODAY(),$DT104=0),1,0)</f>
        <v/>
      </c>
      <c r="DS104">
        <f>IF($DJ104="",NA(),$DJ104)</f>
        <v/>
      </c>
      <c r="DT104">
        <f>IF(AND($E104&lt;&gt;"pre",$CL104=0,COUNTIFS(Settings!$F$19:$F$32,"Yes",Settings!$A$19:$A$32,"&lt;&gt;",Settings!$E$19:$E$32,"&lt;&gt;No")&gt;0),1,0)</f>
        <v/>
      </c>
      <c r="DU104">
        <f>IF(AND($B104&lt;TODAY(),$S104&gt;0),1,0)</f>
        <v/>
      </c>
      <c r="DV104">
        <f>IF($DU104=1,COUNTIF($DU104:$DU$183,1),0)</f>
        <v/>
      </c>
      <c r="DW104">
        <f>IF(AND(OR(Settings!$B$19="Card",Settings!$B$19="Loan"),AND('Month-End'!$CW$7&lt;&gt;"",NOT(_xlfn.ISFORMULA('Month-End'!$CW$7)))),IF(N('Month-End'!$CW$7)&lt;0,1,0),0)+IF(AND(OR(Settings!$B$20="Card",Settings!$B$20="Loan"),AND('Month-End'!$CW$8&lt;&gt;"",NOT(_xlfn.ISFORMULA('Month-End'!$CW$8)))),IF(N('Month-End'!$CW$8)&lt;0,1,0),0)+IF(AND(OR(Settings!$B$21="Card",Settings!$B$21="Loan"),AND('Month-End'!$CW$9&lt;&gt;"",NOT(_xlfn.ISFORMULA('Month-End'!$CW$9)))),IF(N('Month-End'!$CW$9)&lt;0,1,0),0)+IF(AND(OR(Settings!$B$22="Card",Settings!$B$22="Loan"),AND('Month-End'!$CW$10&lt;&gt;"",NOT(_xlfn.ISFORMULA('Month-End'!$CW$10)))),IF(N('Month-End'!$CW$10)&lt;0,1,0),0)+IF(AND(OR(Settings!$B$23="Card",Settings!$B$23="Loan"),AND('Month-End'!$CW$11&lt;&gt;"",NOT(_xlfn.ISFORMULA('Month-End'!$CW$11)))),IF(N('Month-End'!$CW$11)&lt;0,1,0),0)+IF(AND(OR(Settings!$B$24="Card",Settings!$B$24="Loan"),AND('Month-End'!$CW$12&lt;&gt;"",NOT(_xlfn.ISFORMULA('Month-End'!$CW$12)))),IF(N('Month-End'!$CW$12)&lt;0,1,0),0)+IF(AND(OR(Settings!$B$25="Card",Settings!$B$25="Loan"),AND('Month-End'!$CW$13&lt;&gt;"",NOT(_xlfn.ISFORMULA('Month-End'!$CW$13)))),IF(N('Month-End'!$CW$13)&lt;0,1,0),0)+IF(AND(OR(Settings!$B$26="Card",Settings!$B$26="Loan"),AND('Month-End'!$CW$14&lt;&gt;"",NOT(_xlfn.ISFORMULA('Month-End'!$CW$14)))),IF(N('Month-End'!$CW$14)&lt;0,1,0),0)+IF(AND(OR(Settings!$B$27="Card",Settings!$B$27="Loan"),AND('Month-End'!$CW$15&lt;&gt;"",NOT(_xlfn.ISFORMULA('Month-End'!$CW$15)))),IF(N('Month-End'!$CW$15)&lt;0,1,0),0)+IF(AND(OR(Settings!$B$28="Card",Settings!$B$28="Loan"),AND('Month-End'!$CW$16&lt;&gt;"",NOT(_xlfn.ISFORMULA('Month-End'!$CW$16)))),IF(N('Month-End'!$CW$16)&lt;0,1,0),0)+IF(AND(OR(Settings!$B$29="Card",Settings!$B$29="Loan"),AND('Month-End'!$CW$17&lt;&gt;"",NOT(_xlfn.ISFORMULA('Month-End'!$CW$17)))),IF(N('Month-End'!$CW$17)&lt;0,1,0),0)+IF(AND(OR(Settings!$B$30="Card",Settings!$B$30="Loan"),AND('Month-End'!$CW$18&lt;&gt;"",NOT(_xlfn.ISFORMULA('Month-End'!$CW$18)))),IF(N('Month-End'!$CW$18)&lt;0,1,0),0)+IF(AND(OR(Settings!$B$31="Card",Settings!$B$31="Loan"),AND('Month-End'!$CW$19&lt;&gt;"",NOT(_xlfn.ISFORMULA('Month-End'!$CW$19)))),IF(N('Month-End'!$CW$19)&lt;0,1,0),0)+IF(AND(OR(Settings!$B$32="Card",Settings!$B$32="Loan"),AND('Month-End'!$CW$20&lt;&gt;"",NOT(_xlfn.ISFORMULA('Month-End'!$CW$20)))),IF(N('Month-End'!$CW$20)&lt;0,1,0),0)</f>
        <v/>
      </c>
      <c r="DX104">
        <f>IF(Settings!$B$36="Retirement",$AY104,0)+IF(Settings!$B$37="Retirement",$AZ104,0)+IF(Settings!$B$38="Retirement",$BA104,0)+IF(Settings!$B$39="Retirement",$BB104,0)+IF(Settings!$B$40="Retirement",$BC104,0)+IF(Settings!$B$41="Retirement",$BD104,0)</f>
        <v/>
      </c>
      <c r="EO104">
        <f>EDATE(DATE(YEAR(TODAY()),MONTH(TODAY()),1),-19)</f>
        <v/>
      </c>
      <c r="ER104">
        <f>IFERROR(IF(INDEX($DJ$6:$DJ$183,MATCH(EO104,$A$6:$A$183,0))="",NA(),INDEX($DJ$6:$DJ$183,MATCH(EO104,$A$6:$A$183,0))),NA())</f>
        <v/>
      </c>
      <c r="ES104">
        <f>TEXT(EO104,"mmm yy")</f>
        <v/>
      </c>
      <c r="ET104">
        <f>IF($E104&lt;&gt;"open",0,IF(AND('Month-End'!$CW$22&lt;&gt;"",NOT(_xlfn.ISFORMULA('Month-End'!$CW$22))),0,IF(OR(Settings!$C$45="",Settings!$D$45=""),0,Settings!$C$45*IF(Settings!$D$45="Weekly",IF(IFERROR(MATCH(Settings!$E$45,$EO$4:$EO$10,0),0)=0,0,IF(MIN(Settings!$B$5,IF(Settings!$G$45="",Settings!$B$5,Settings!$G$45))&lt;MAX($A104,Settings!$F$45),0,INT((MIN(Settings!$B$5,IF(Settings!$G$45="",Settings!$B$5,Settings!$G$45))-MAX($A104,Settings!$F$45)-MOD(IFERROR(MATCH(Settings!$E$45,$EO$4:$EO$10,0),0)-WEEKDAY(MAX($A104,Settings!$F$45)),7))/7)+1)),IF(AND(IF(Settings!$E$45="",$B104,DATE(YEAR($A104),MONTH($A104),MIN(Settings!$E$45,DAY($B104))))&gt;=MAX($A104,Settings!$F$45),IF(Settings!$E$45="",$B104,DATE(YEAR($A104),MONTH($A104),MIN(Settings!$E$45,DAY($B104))))&lt;=MIN(Settings!$B$5,IF(Settings!$G$45="",Settings!$B$5,Settings!$G$45))),1,0)))))</f>
        <v/>
      </c>
      <c r="EU104">
        <f>IF($E104&lt;&gt;"open",0,IF(AND('Month-End'!$CW$23&lt;&gt;"",NOT(_xlfn.ISFORMULA('Month-End'!$CW$23))),0,IF(OR(Settings!$C$46="",Settings!$D$46=""),0,Settings!$C$46*IF(Settings!$D$46="Weekly",IF(IFERROR(MATCH(Settings!$E$46,$EO$4:$EO$10,0),0)=0,0,IF(MIN(Settings!$B$5,IF(Settings!$G$46="",Settings!$B$5,Settings!$G$46))&lt;MAX($A104,Settings!$F$46),0,INT((MIN(Settings!$B$5,IF(Settings!$G$46="",Settings!$B$5,Settings!$G$46))-MAX($A104,Settings!$F$46)-MOD(IFERROR(MATCH(Settings!$E$46,$EO$4:$EO$10,0),0)-WEEKDAY(MAX($A104,Settings!$F$46)),7))/7)+1)),IF(AND(IF(Settings!$E$46="",$B104,DATE(YEAR($A104),MONTH($A104),MIN(Settings!$E$46,DAY($B104))))&gt;=MAX($A104,Settings!$F$46),IF(Settings!$E$46="",$B104,DATE(YEAR($A104),MONTH($A104),MIN(Settings!$E$46,DAY($B104))))&lt;=MIN(Settings!$B$5,IF(Settings!$G$46="",Settings!$B$5,Settings!$G$46))),1,0)))))</f>
        <v/>
      </c>
      <c r="EV104">
        <f>IF($E104&lt;&gt;"open",0,IF(AND('Month-End'!$CW$24&lt;&gt;"",NOT(_xlfn.ISFORMULA('Month-End'!$CW$24))),0,IF(OR(Settings!$C$47="",Settings!$D$47=""),0,Settings!$C$47*IF(Settings!$D$47="Weekly",IF(IFERROR(MATCH(Settings!$E$47,$EO$4:$EO$10,0),0)=0,0,IF(MIN(Settings!$B$5,IF(Settings!$G$47="",Settings!$B$5,Settings!$G$47))&lt;MAX($A104,Settings!$F$47),0,INT((MIN(Settings!$B$5,IF(Settings!$G$47="",Settings!$B$5,Settings!$G$47))-MAX($A104,Settings!$F$47)-MOD(IFERROR(MATCH(Settings!$E$47,$EO$4:$EO$10,0),0)-WEEKDAY(MAX($A104,Settings!$F$47)),7))/7)+1)),IF(AND(IF(Settings!$E$47="",$B104,DATE(YEAR($A104),MONTH($A104),MIN(Settings!$E$47,DAY($B104))))&gt;=MAX($A104,Settings!$F$47),IF(Settings!$E$47="",$B104,DATE(YEAR($A104),MONTH($A104),MIN(Settings!$E$47,DAY($B104))))&lt;=MIN(Settings!$B$5,IF(Settings!$G$47="",Settings!$B$5,Settings!$G$47))),1,0)))))</f>
        <v/>
      </c>
      <c r="EW104">
        <f>IF($E104&lt;&gt;"open",0,IF(AND('Month-End'!$CW$25&lt;&gt;"",NOT(_xlfn.ISFORMULA('Month-End'!$CW$25))),0,IF(OR(Settings!$C$48="",Settings!$D$48=""),0,Settings!$C$48*IF(Settings!$D$48="Weekly",IF(IFERROR(MATCH(Settings!$E$48,$EO$4:$EO$10,0),0)=0,0,IF(MIN(Settings!$B$5,IF(Settings!$G$48="",Settings!$B$5,Settings!$G$48))&lt;MAX($A104,Settings!$F$48),0,INT((MIN(Settings!$B$5,IF(Settings!$G$48="",Settings!$B$5,Settings!$G$48))-MAX($A104,Settings!$F$48)-MOD(IFERROR(MATCH(Settings!$E$48,$EO$4:$EO$10,0),0)-WEEKDAY(MAX($A104,Settings!$F$48)),7))/7)+1)),IF(AND(IF(Settings!$E$48="",$B104,DATE(YEAR($A104),MONTH($A104),MIN(Settings!$E$48,DAY($B104))))&gt;=MAX($A104,Settings!$F$48),IF(Settings!$E$48="",$B104,DATE(YEAR($A104),MONTH($A104),MIN(Settings!$E$48,DAY($B104))))&lt;=MIN(Settings!$B$5,IF(Settings!$G$48="",Settings!$B$5,Settings!$G$48))),1,0)))))</f>
        <v/>
      </c>
      <c r="EX104">
        <f>IF($E104&lt;&gt;"open",0,IF(AND('Month-End'!$CW$26&lt;&gt;"",NOT(_xlfn.ISFORMULA('Month-End'!$CW$26))),0,IF(OR(Settings!$C$49="",Settings!$D$49=""),0,Settings!$C$49*IF(Settings!$D$49="Weekly",IF(IFERROR(MATCH(Settings!$E$49,$EO$4:$EO$10,0),0)=0,0,IF(MIN(Settings!$B$5,IF(Settings!$G$49="",Settings!$B$5,Settings!$G$49))&lt;MAX($A104,Settings!$F$49),0,INT((MIN(Settings!$B$5,IF(Settings!$G$49="",Settings!$B$5,Settings!$G$49))-MAX($A104,Settings!$F$49)-MOD(IFERROR(MATCH(Settings!$E$49,$EO$4:$EO$10,0),0)-WEEKDAY(MAX($A104,Settings!$F$49)),7))/7)+1)),IF(AND(IF(Settings!$E$49="",$B104,DATE(YEAR($A104),MONTH($A104),MIN(Settings!$E$49,DAY($B104))))&gt;=MAX($A104,Settings!$F$49),IF(Settings!$E$49="",$B104,DATE(YEAR($A104),MONTH($A104),MIN(Settings!$E$49,DAY($B104))))&lt;=MIN(Settings!$B$5,IF(Settings!$G$49="",Settings!$B$5,Settings!$G$49))),1,0)))))</f>
        <v/>
      </c>
      <c r="EY104">
        <f>IF($E104&lt;&gt;"open",0,IF(AND('Month-End'!$CW$27&lt;&gt;"",NOT(_xlfn.ISFORMULA('Month-End'!$CW$27))),0,IF(OR(Settings!$C$50="",Settings!$D$50=""),0,Settings!$C$50*IF(Settings!$D$50="Weekly",IF(IFERROR(MATCH(Settings!$E$50,$EO$4:$EO$10,0),0)=0,0,IF(MIN(Settings!$B$5,IF(Settings!$G$50="",Settings!$B$5,Settings!$G$50))&lt;MAX($A104,Settings!$F$50),0,INT((MIN(Settings!$B$5,IF(Settings!$G$50="",Settings!$B$5,Settings!$G$50))-MAX($A104,Settings!$F$50)-MOD(IFERROR(MATCH(Settings!$E$50,$EO$4:$EO$10,0),0)-WEEKDAY(MAX($A104,Settings!$F$50)),7))/7)+1)),IF(AND(IF(Settings!$E$50="",$B104,DATE(YEAR($A104),MONTH($A104),MIN(Settings!$E$50,DAY($B104))))&gt;=MAX($A104,Settings!$F$50),IF(Settings!$E$50="",$B104,DATE(YEAR($A104),MONTH($A104),MIN(Settings!$E$50,DAY($B104))))&lt;=MIN(Settings!$B$5,IF(Settings!$G$50="",Settings!$B$5,Settings!$G$50))),1,0)))))</f>
        <v/>
      </c>
      <c r="EZ104">
        <f>IF($E104&lt;&gt;"open",0,IF(AND('Month-End'!$CW$28&lt;&gt;"",NOT(_xlfn.ISFORMULA('Month-End'!$CW$28))),0,IF(OR(Settings!$C$51="",Settings!$D$51=""),0,Settings!$C$51*IF(Settings!$D$51="Weekly",IF(IFERROR(MATCH(Settings!$E$51,$EO$4:$EO$10,0),0)=0,0,IF(MIN(Settings!$B$5,IF(Settings!$G$51="",Settings!$B$5,Settings!$G$51))&lt;MAX($A104,Settings!$F$51),0,INT((MIN(Settings!$B$5,IF(Settings!$G$51="",Settings!$B$5,Settings!$G$51))-MAX($A104,Settings!$F$51)-MOD(IFERROR(MATCH(Settings!$E$51,$EO$4:$EO$10,0),0)-WEEKDAY(MAX($A104,Settings!$F$51)),7))/7)+1)),IF(AND(IF(Settings!$E$51="",$B104,DATE(YEAR($A104),MONTH($A104),MIN(Settings!$E$51,DAY($B104))))&gt;=MAX($A104,Settings!$F$51),IF(Settings!$E$51="",$B104,DATE(YEAR($A104),MONTH($A104),MIN(Settings!$E$51,DAY($B104))))&lt;=MIN(Settings!$B$5,IF(Settings!$G$51="",Settings!$B$5,Settings!$G$51))),1,0)))))</f>
        <v/>
      </c>
      <c r="FA104">
        <f>IF($E104&lt;&gt;"open",0,IF(AND('Month-End'!$CW$29&lt;&gt;"",NOT(_xlfn.ISFORMULA('Month-End'!$CW$29))),0,IF(OR(Settings!$C$52="",Settings!$D$52=""),0,Settings!$C$52*IF(Settings!$D$52="Weekly",IF(IFERROR(MATCH(Settings!$E$52,$EO$4:$EO$10,0),0)=0,0,IF(MIN(Settings!$B$5,IF(Settings!$G$52="",Settings!$B$5,Settings!$G$52))&lt;MAX($A104,Settings!$F$52),0,INT((MIN(Settings!$B$5,IF(Settings!$G$52="",Settings!$B$5,Settings!$G$52))-MAX($A104,Settings!$F$52)-MOD(IFERROR(MATCH(Settings!$E$52,$EO$4:$EO$10,0),0)-WEEKDAY(MAX($A104,Settings!$F$52)),7))/7)+1)),IF(AND(IF(Settings!$E$52="",$B104,DATE(YEAR($A104),MONTH($A104),MIN(Settings!$E$52,DAY($B104))))&gt;=MAX($A104,Settings!$F$52),IF(Settings!$E$52="",$B104,DATE(YEAR($A104),MONTH($A104),MIN(Settings!$E$52,DAY($B104))))&lt;=MIN(Settings!$B$5,IF(Settings!$G$52="",Settings!$B$5,Settings!$G$52))),1,0)))))</f>
        <v/>
      </c>
      <c r="FB104">
        <f>IF($E104&lt;&gt;"open",0,IF(AND('Month-End'!$CW$30&lt;&gt;"",NOT(_xlfn.ISFORMULA('Month-End'!$CW$30))),0,IF(OR(Settings!$C$53="",Settings!$D$53=""),0,Settings!$C$53*IF(Settings!$D$53="Weekly",IF(IFERROR(MATCH(Settings!$E$53,$EO$4:$EO$10,0),0)=0,0,IF(MIN(Settings!$B$5,IF(Settings!$G$53="",Settings!$B$5,Settings!$G$53))&lt;MAX($A104,Settings!$F$53),0,INT((MIN(Settings!$B$5,IF(Settings!$G$53="",Settings!$B$5,Settings!$G$53))-MAX($A104,Settings!$F$53)-MOD(IFERROR(MATCH(Settings!$E$53,$EO$4:$EO$10,0),0)-WEEKDAY(MAX($A104,Settings!$F$53)),7))/7)+1)),IF(AND(IF(Settings!$E$53="",$B104,DATE(YEAR($A104),MONTH($A104),MIN(Settings!$E$53,DAY($B104))))&gt;=MAX($A104,Settings!$F$53),IF(Settings!$E$53="",$B104,DATE(YEAR($A104),MONTH($A104),MIN(Settings!$E$53,DAY($B104))))&lt;=MIN(Settings!$B$5,IF(Settings!$G$53="",Settings!$B$5,Settings!$G$53))),1,0)))))</f>
        <v/>
      </c>
      <c r="FC104">
        <f>IF($E104&lt;&gt;"open",0,IF(AND('Month-End'!$CW$31&lt;&gt;"",NOT(_xlfn.ISFORMULA('Month-End'!$CW$31))),0,IF(OR(Settings!$C$54="",Settings!$D$54=""),0,Settings!$C$54*IF(Settings!$D$54="Weekly",IF(IFERROR(MATCH(Settings!$E$54,$EO$4:$EO$10,0),0)=0,0,IF(MIN(Settings!$B$5,IF(Settings!$G$54="",Settings!$B$5,Settings!$G$54))&lt;MAX($A104,Settings!$F$54),0,INT((MIN(Settings!$B$5,IF(Settings!$G$54="",Settings!$B$5,Settings!$G$54))-MAX($A104,Settings!$F$54)-MOD(IFERROR(MATCH(Settings!$E$54,$EO$4:$EO$10,0),0)-WEEKDAY(MAX($A104,Settings!$F$54)),7))/7)+1)),IF(AND(IF(Settings!$E$54="",$B104,DATE(YEAR($A104),MONTH($A104),MIN(Settings!$E$54,DAY($B104))))&gt;=MAX($A104,Settings!$F$54),IF(Settings!$E$54="",$B104,DATE(YEAR($A104),MONTH($A104),MIN(Settings!$E$54,DAY($B104))))&lt;=MIN(Settings!$B$5,IF(Settings!$G$54="",Settings!$B$5,Settings!$G$54))),1,0)))))</f>
        <v/>
      </c>
      <c r="FD104">
        <f>IF($E104&lt;&gt;"open",0,IF(AND('Month-End'!$CW$32&lt;&gt;"",NOT(_xlfn.ISFORMULA('Month-End'!$CW$32))),0,IF(OR(Settings!$C$55="",Settings!$D$55=""),0,Settings!$C$55*IF(Settings!$D$55="Weekly",IF(IFERROR(MATCH(Settings!$E$55,$EO$4:$EO$10,0),0)=0,0,IF(MIN(Settings!$B$5,IF(Settings!$G$55="",Settings!$B$5,Settings!$G$55))&lt;MAX($A104,Settings!$F$55),0,INT((MIN(Settings!$B$5,IF(Settings!$G$55="",Settings!$B$5,Settings!$G$55))-MAX($A104,Settings!$F$55)-MOD(IFERROR(MATCH(Settings!$E$55,$EO$4:$EO$10,0),0)-WEEKDAY(MAX($A104,Settings!$F$55)),7))/7)+1)),IF(AND(IF(Settings!$E$55="",$B104,DATE(YEAR($A104),MONTH($A104),MIN(Settings!$E$55,DAY($B104))))&gt;=MAX($A104,Settings!$F$55),IF(Settings!$E$55="",$B104,DATE(YEAR($A104),MONTH($A104),MIN(Settings!$E$55,DAY($B104))))&lt;=MIN(Settings!$B$5,IF(Settings!$G$55="",Settings!$B$5,Settings!$G$55))),1,0)))))</f>
        <v/>
      </c>
      <c r="FE104">
        <f>IF($E104&lt;&gt;"open",0,IF(AND('Month-End'!$CW$33&lt;&gt;"",NOT(_xlfn.ISFORMULA('Month-End'!$CW$33))),0,IF(OR(Settings!$C$56="",Settings!$D$56=""),0,Settings!$C$56*IF(Settings!$D$56="Weekly",IF(IFERROR(MATCH(Settings!$E$56,$EO$4:$EO$10,0),0)=0,0,IF(MIN(Settings!$B$5,IF(Settings!$G$56="",Settings!$B$5,Settings!$G$56))&lt;MAX($A104,Settings!$F$56),0,INT((MIN(Settings!$B$5,IF(Settings!$G$56="",Settings!$B$5,Settings!$G$56))-MAX($A104,Settings!$F$56)-MOD(IFERROR(MATCH(Settings!$E$56,$EO$4:$EO$10,0),0)-WEEKDAY(MAX($A104,Settings!$F$56)),7))/7)+1)),IF(AND(IF(Settings!$E$56="",$B104,DATE(YEAR($A104),MONTH($A104),MIN(Settings!$E$56,DAY($B104))))&gt;=MAX($A104,Settings!$F$56),IF(Settings!$E$56="",$B104,DATE(YEAR($A104),MONTH($A104),MIN(Settings!$E$56,DAY($B104))))&lt;=MIN(Settings!$B$5,IF(Settings!$G$56="",Settings!$B$5,Settings!$G$56))),1,0)))))</f>
        <v/>
      </c>
      <c r="FF104">
        <f>IF(Settings!$I$45="Yes",$G104,0)+IF(Settings!$I$46="Yes",$H104,0)+IF(Settings!$I$47="Yes",$I104,0)+IF(Settings!$I$48="Yes",$J104,0)+IF(Settings!$I$49="Yes",$K104,0)+IF(Settings!$I$50="Yes",$L104,0)+IF(Settings!$I$51="Yes",$M104,0)+IF(Settings!$I$52="Yes",$N104,0)+IF(Settings!$I$53="Yes",$O104,0)+IF(Settings!$I$54="Yes",$P104,0)+IF(Settings!$I$55="Yes",$Q104,0)+IF(Settings!$I$56="Yes",$R104,0)</f>
        <v/>
      </c>
      <c r="FG104">
        <f>IF(AND(Settings!$I$45="Yes",Settings!$J$45="No"),$G104,0)+IF(AND(Settings!$I$46="Yes",Settings!$J$46="No"),$H104,0)+IF(AND(Settings!$I$47="Yes",Settings!$J$47="No"),$I104,0)+IF(AND(Settings!$I$48="Yes",Settings!$J$48="No"),$J104,0)+IF(AND(Settings!$I$49="Yes",Settings!$J$49="No"),$K104,0)+IF(AND(Settings!$I$50="Yes",Settings!$J$50="No"),$L104,0)+IF(AND(Settings!$I$51="Yes",Settings!$J$51="No"),$M104,0)+IF(AND(Settings!$I$52="Yes",Settings!$J$52="No"),$N104,0)+IF(AND(Settings!$I$53="Yes",Settings!$J$53="No"),$O104,0)+IF(AND(Settings!$I$54="Yes",Settings!$J$54="No"),$P104,0)+IF(AND(Settings!$I$55="Yes",Settings!$J$55="No"),$Q104,0)+IF(AND(Settings!$I$56="Yes",Settings!$J$56="No"),$R104,0)</f>
        <v/>
      </c>
      <c r="FH104">
        <f>SUMIFS(Giving!$B$7:$B$2006,Giving!$A$7:$A$2006,"&gt;="&amp;$A104,Giving!$A$7:$A$2006,"&lt;="&amp;$B104,Giving!$G$7:$G$2006,"Yes")+IF(OR(OR(Settings!$B$60="",Settings!$F$60="No"),Settings!$H$60&lt;&gt;"Yes"),0,Settings!$B$60*IF(AND(IF(Settings!$C$60="",$B104,DATE(YEAR($A104),MONTH($A104),MIN(Settings!$C$60,DAY($B104))))&gt;=MAX($A104,Settings!$D$60),IF(Settings!$C$60="",$B104,DATE(YEAR($A104),MONTH($A104),MIN(Settings!$C$60,DAY($B104))))&lt;=MIN($C104,IF(Settings!$E$60="",$C104,Settings!$E$60))),1,0))+IF(OR(OR(Settings!$B$61="",Settings!$F$61="No"),Settings!$H$61&lt;&gt;"Yes"),0,Settings!$B$61*IF(AND(IF(Settings!$C$61="",$B104,DATE(YEAR($A104),MONTH($A104),MIN(Settings!$C$61,DAY($B104))))&gt;=MAX($A104,Settings!$D$61),IF(Settings!$C$61="",$B104,DATE(YEAR($A104),MONTH($A104),MIN(Settings!$C$61,DAY($B104))))&lt;=MIN($C104,IF(Settings!$E$61="",$C104,Settings!$E$61))),1,0))+IF(OR(OR(Settings!$B$62="",Settings!$F$62="No"),Settings!$H$62&lt;&gt;"Yes"),0,Settings!$B$62*IF(AND(IF(Settings!$C$62="",$B104,DATE(YEAR($A104),MONTH($A104),MIN(Settings!$C$62,DAY($B104))))&gt;=MAX($A104,Settings!$D$62),IF(Settings!$C$62="",$B104,DATE(YEAR($A104),MONTH($A104),MIN(Settings!$C$62,DAY($B104))))&lt;=MIN($C104,IF(Settings!$E$62="",$C104,Settings!$E$62))),1,0))+IF(OR(OR(Settings!$B$63="",Settings!$F$63="No"),Settings!$H$63&lt;&gt;"Yes"),0,Settings!$B$63*IF(AND(IF(Settings!$C$63="",$B104,DATE(YEAR($A104),MONTH($A104),MIN(Settings!$C$63,DAY($B104))))&gt;=MAX($A104,Settings!$D$63),IF(Settings!$C$63="",$B104,DATE(YEAR($A104),MONTH($A104),MIN(Settings!$C$63,DAY($B104))))&lt;=MIN($C104,IF(Settings!$E$63="",$C104,Settings!$E$63))),1,0))+IF(OR(OR(Settings!$B$64="",Settings!$F$64="No"),Settings!$H$64&lt;&gt;"Yes"),0,Settings!$B$64*IF(AND(IF(Settings!$C$64="",$B104,DATE(YEAR($A104),MONTH($A104),MIN(Settings!$C$64,DAY($B104))))&gt;=MAX($A104,Settings!$D$64),IF(Settings!$C$64="",$B104,DATE(YEAR($A104),MONTH($A104),MIN(Settings!$C$64,DAY($B104))))&lt;=MIN($C104,IF(Settings!$E$64="",$C104,Settings!$E$64))),1,0))+IF(OR(OR(Settings!$B$65="",Settings!$F$65="No"),Settings!$H$65&lt;&gt;"Yes"),0,Settings!$B$65*IF(AND(IF(Settings!$C$65="",$B104,DATE(YEAR($A104),MONTH($A104),MIN(Settings!$C$65,DAY($B104))))&gt;=MAX($A104,Settings!$D$65),IF(Settings!$C$65="",$B104,DATE(YEAR($A104),MONTH($A104),MIN(Settings!$C$65,DAY($B104))))&lt;=MIN($C104,IF(Settings!$E$65="",$C104,Settings!$E$65))),1,0))</f>
        <v/>
      </c>
      <c r="FI104">
        <f>IF($DT104=1,IF(OR(Settings!$B$19="Card",Settings!$B$19="Loan"),N($AE104),0)+IF(OR(Settings!$B$20="Card",Settings!$B$20="Loan"),N($AF104),0)+IF(OR(Settings!$B$21="Card",Settings!$B$21="Loan"),N($AG104),0)+IF(OR(Settings!$B$22="Card",Settings!$B$22="Loan"),N($AH104),0)+IF(OR(Settings!$B$23="Card",Settings!$B$23="Loan"),N($AI104),0)+IF(OR(Settings!$B$24="Card",Settings!$B$24="Loan"),N($AJ104),0)+IF(OR(Settings!$B$25="Card",Settings!$B$25="Loan"),N($AK104),0)+IF(OR(Settings!$B$26="Card",Settings!$B$26="Loan"),N($AL104),0)+IF(OR(Settings!$B$27="Card",Settings!$B$27="Loan"),N($AM104),0)+IF(OR(Settings!$B$28="Card",Settings!$B$28="Loan"),N($AN104),0)+IF(OR(Settings!$B$29="Card",Settings!$B$29="Loan"),N($AO104),0)+IF(OR(Settings!$B$30="Card",Settings!$B$30="Loan"),N($AP104),0)+IF(OR(Settings!$B$31="Card",Settings!$B$31="Loan"),N($AQ104),0)+IF(OR(Settings!$B$32="Card",Settings!$B$32="Loan"),N($AR104),0),"")</f>
        <v/>
      </c>
      <c r="FJ104">
        <f>IF($E104="open",$EB$65,IF($E104="post",IF($E103="pre",$EB$65,$FI103),""))</f>
        <v/>
      </c>
      <c r="FK104">
        <f>IF(AND($DT104=1,$DC104=1),IF(ROUND($FI104-$FJ104,2)&gt;0,1,0),0)</f>
        <v/>
      </c>
      <c r="FL104">
        <f>IF($FK104=1,$FL103+1,0)</f>
        <v/>
      </c>
    </row>
    <row r="105">
      <c r="A105">
        <f>'Month-End'!$CX$4</f>
        <v/>
      </c>
      <c r="B105">
        <f>EOMONTH($A105,0)</f>
        <v/>
      </c>
      <c r="C105">
        <f>MIN($B105,TODAY())</f>
        <v/>
      </c>
      <c r="D105">
        <f>IF($A105&gt;TODAY(),1,0)</f>
        <v/>
      </c>
      <c r="E105">
        <f>IF($B105&lt;=Settings!$B$5,"pre",IF($A105&lt;=Settings!$B$5,"open","post"))</f>
        <v/>
      </c>
      <c r="G105">
        <f>IF('Month-End'!$CX$22="",$BE105,N('Month-End'!$CX$22))</f>
        <v/>
      </c>
      <c r="H105">
        <f>IF('Month-End'!$CX$23="",$BF105,N('Month-End'!$CX$23))</f>
        <v/>
      </c>
      <c r="I105">
        <f>IF('Month-End'!$CX$24="",$BG105,N('Month-End'!$CX$24))</f>
        <v/>
      </c>
      <c r="J105">
        <f>IF('Month-End'!$CX$25="",$BH105,N('Month-End'!$CX$25))</f>
        <v/>
      </c>
      <c r="K105">
        <f>IF('Month-End'!$CX$26="",$BI105,N('Month-End'!$CX$26))</f>
        <v/>
      </c>
      <c r="L105">
        <f>IF('Month-End'!$CX$27="",$BJ105,N('Month-End'!$CX$27))</f>
        <v/>
      </c>
      <c r="M105">
        <f>IF('Month-End'!$CX$28="",$BK105,N('Month-End'!$CX$28))</f>
        <v/>
      </c>
      <c r="N105">
        <f>IF('Month-End'!$CX$29="",$BL105,N('Month-End'!$CX$29))</f>
        <v/>
      </c>
      <c r="O105">
        <f>IF('Month-End'!$CX$30="",$BM105,N('Month-End'!$CX$30))</f>
        <v/>
      </c>
      <c r="P105">
        <f>IF('Month-End'!$CX$31="",$BN105,N('Month-End'!$CX$31))</f>
        <v/>
      </c>
      <c r="Q105">
        <f>IF('Month-End'!$CX$32="",$BO105,N('Month-End'!$CX$32))</f>
        <v/>
      </c>
      <c r="R105">
        <f>IF('Month-End'!$CX$33="",$BP105,N('Month-End'!$CX$33))</f>
        <v/>
      </c>
      <c r="S105">
        <f>$G105+$H105+$I105+$J105+$K105+$L105+$M105+$N105+$O105+$P105+$Q105+$R105</f>
        <v/>
      </c>
      <c r="T105">
        <f>IF($B105&lt;Settings!$B$6,0,IF(Settings!$B$45="Yes",$G105,0)+IF(Settings!$B$46="Yes",$H105,0)+IF(Settings!$B$47="Yes",$I105,0)+IF(Settings!$B$48="Yes",$J105,0)+IF(Settings!$B$49="Yes",$K105,0)+IF(Settings!$B$50="Yes",$L105,0)+IF(Settings!$B$51="Yes",$M105,0)+IF(Settings!$B$52="Yes",$N105,0)+IF(Settings!$B$53="Yes",$O105,0)+IF(Settings!$B$54="Yes",$P105,0)+IF(Settings!$B$55="Yes",$Q105,0)+IF(Settings!$B$56="Yes",$R105,0))</f>
        <v/>
      </c>
      <c r="U105">
        <f>IF(Settings!$B$45="Not Sure",$G105,0)+IF(Settings!$B$46="Not Sure",$H105,0)+IF(Settings!$B$47="Not Sure",$I105,0)+IF(Settings!$B$48="Not Sure",$J105,0)+IF(Settings!$B$49="Not Sure",$K105,0)+IF(Settings!$B$50="Not Sure",$L105,0)+IF(Settings!$B$51="Not Sure",$M105,0)+IF(Settings!$B$52="Not Sure",$N105,0)+IF(Settings!$B$53="Not Sure",$O105,0)+IF(Settings!$B$54="Not Sure",$P105,0)+IF(Settings!$B$55="Not Sure",$Q105,0)+IF(Settings!$B$56="Not Sure",$R105,0)</f>
        <v/>
      </c>
      <c r="V105">
        <f>IF($E105="open",SUM($ET105:$FE105)+N(Settings!$B$13),0)</f>
        <v/>
      </c>
      <c r="W105">
        <f>IF($E105="post",$S105,IF($E105="open",$S105-$V105,0))</f>
        <v/>
      </c>
      <c r="X105">
        <f>SUMIFS(Giving!$B$7:$B$2006,Giving!$A$7:$A$2006,"&gt;="&amp;$A105,Giving!$A$7:$A$2006,"&lt;="&amp;$B105,Giving!$E$7:$E$2006,"&lt;&gt;No")</f>
        <v/>
      </c>
      <c r="Y105">
        <f>SUMIFS(Giving!$B$7:$B$2006,Giving!$A$7:$A$2006,"&gt;="&amp;$A105,Giving!$A$7:$A$2006,"&lt;="&amp;$B105,Giving!$E$7:$E$2006,"No")</f>
        <v/>
      </c>
      <c r="Z105">
        <f>IF(OR(Settings!$B$60="",Settings!$F$60="No"),0,Settings!$B$60*IF(AND(IF(Settings!$C$60="",$B105,DATE(YEAR($A105),MONTH($A105),MIN(Settings!$C$60,DAY($B105))))&gt;=MAX($A105,Settings!$D$60),IF(Settings!$C$60="",$B105,DATE(YEAR($A105),MONTH($A105),MIN(Settings!$C$60,DAY($B105))))&lt;=MIN($C105,IF(Settings!$E$60="",$C105,Settings!$E$60))),1,0))+IF(OR(Settings!$B$61="",Settings!$F$61="No"),0,Settings!$B$61*IF(AND(IF(Settings!$C$61="",$B105,DATE(YEAR($A105),MONTH($A105),MIN(Settings!$C$61,DAY($B105))))&gt;=MAX($A105,Settings!$D$61),IF(Settings!$C$61="",$B105,DATE(YEAR($A105),MONTH($A105),MIN(Settings!$C$61,DAY($B105))))&lt;=MIN($C105,IF(Settings!$E$61="",$C105,Settings!$E$61))),1,0))+IF(OR(Settings!$B$62="",Settings!$F$62="No"),0,Settings!$B$62*IF(AND(IF(Settings!$C$62="",$B105,DATE(YEAR($A105),MONTH($A105),MIN(Settings!$C$62,DAY($B105))))&gt;=MAX($A105,Settings!$D$62),IF(Settings!$C$62="",$B105,DATE(YEAR($A105),MONTH($A105),MIN(Settings!$C$62,DAY($B105))))&lt;=MIN($C105,IF(Settings!$E$62="",$C105,Settings!$E$62))),1,0))+IF(OR(Settings!$B$63="",Settings!$F$63="No"),0,Settings!$B$63*IF(AND(IF(Settings!$C$63="",$B105,DATE(YEAR($A105),MONTH($A105),MIN(Settings!$C$63,DAY($B105))))&gt;=MAX($A105,Settings!$D$63),IF(Settings!$C$63="",$B105,DATE(YEAR($A105),MONTH($A105),MIN(Settings!$C$63,DAY($B105))))&lt;=MIN($C105,IF(Settings!$E$63="",$C105,Settings!$E$63))),1,0))+IF(OR(Settings!$B$64="",Settings!$F$64="No"),0,Settings!$B$64*IF(AND(IF(Settings!$C$64="",$B105,DATE(YEAR($A105),MONTH($A105),MIN(Settings!$C$64,DAY($B105))))&gt;=MAX($A105,Settings!$D$64),IF(Settings!$C$64="",$B105,DATE(YEAR($A105),MONTH($A105),MIN(Settings!$C$64,DAY($B105))))&lt;=MIN($C105,IF(Settings!$E$64="",$C105,Settings!$E$64))),1,0))+IF(OR(Settings!$B$65="",Settings!$F$65="No"),0,Settings!$B$65*IF(AND(IF(Settings!$C$65="",$B105,DATE(YEAR($A105),MONTH($A105),MIN(Settings!$C$65,DAY($B105))))&gt;=MAX($A105,Settings!$D$65),IF(Settings!$C$65="",$B105,DATE(YEAR($A105),MONTH($A105),MIN(Settings!$C$65,DAY($B105))))&lt;=MIN($C105,IF(Settings!$E$65="",$C105,Settings!$E$65))),1,0))</f>
        <v/>
      </c>
      <c r="AA105">
        <f>$X105+$Z105</f>
        <v/>
      </c>
      <c r="AB105">
        <f>IF($E105="post",$AA105,IF($E105="open",SUMIFS(Giving!$B$7:$B$2006,Giving!$A$7:$A$2006,"&gt;"&amp;Settings!$B$5,Giving!$A$7:$A$2006,"&lt;="&amp;$B105,Giving!$E$7:$E$2006,"&lt;&gt;No")+IF(OR(Settings!$B$60="",Settings!$F$60="No"),0,Settings!$B$60*IF(AND(IF(Settings!$C$60="",$B105,DATE(YEAR($A105),MONTH($A105),MIN(Settings!$C$60,DAY($B105))))&gt;=MAX($A105,Settings!$D$60,Settings!$B$5+1),IF(Settings!$C$60="",$B105,DATE(YEAR($A105),MONTH($A105),MIN(Settings!$C$60,DAY($B105))))&lt;=MIN($C105,IF(Settings!$E$60="",$C105,Settings!$E$60))),1,0))+IF(OR(Settings!$B$61="",Settings!$F$61="No"),0,Settings!$B$61*IF(AND(IF(Settings!$C$61="",$B105,DATE(YEAR($A105),MONTH($A105),MIN(Settings!$C$61,DAY($B105))))&gt;=MAX($A105,Settings!$D$61,Settings!$B$5+1),IF(Settings!$C$61="",$B105,DATE(YEAR($A105),MONTH($A105),MIN(Settings!$C$61,DAY($B105))))&lt;=MIN($C105,IF(Settings!$E$61="",$C105,Settings!$E$61))),1,0))+IF(OR(Settings!$B$62="",Settings!$F$62="No"),0,Settings!$B$62*IF(AND(IF(Settings!$C$62="",$B105,DATE(YEAR($A105),MONTH($A105),MIN(Settings!$C$62,DAY($B105))))&gt;=MAX($A105,Settings!$D$62,Settings!$B$5+1),IF(Settings!$C$62="",$B105,DATE(YEAR($A105),MONTH($A105),MIN(Settings!$C$62,DAY($B105))))&lt;=MIN($C105,IF(Settings!$E$62="",$C105,Settings!$E$62))),1,0))+IF(OR(Settings!$B$63="",Settings!$F$63="No"),0,Settings!$B$63*IF(AND(IF(Settings!$C$63="",$B105,DATE(YEAR($A105),MONTH($A105),MIN(Settings!$C$63,DAY($B105))))&gt;=MAX($A105,Settings!$D$63,Settings!$B$5+1),IF(Settings!$C$63="",$B105,DATE(YEAR($A105),MONTH($A105),MIN(Settings!$C$63,DAY($B105))))&lt;=MIN($C105,IF(Settings!$E$63="",$C105,Settings!$E$63))),1,0))+IF(OR(Settings!$B$64="",Settings!$F$64="No"),0,Settings!$B$64*IF(AND(IF(Settings!$C$64="",$B105,DATE(YEAR($A105),MONTH($A105),MIN(Settings!$C$64,DAY($B105))))&gt;=MAX($A105,Settings!$D$64,Settings!$B$5+1),IF(Settings!$C$64="",$B105,DATE(YEAR($A105),MONTH($A105),MIN(Settings!$C$64,DAY($B105))))&lt;=MIN($C105,IF(Settings!$E$64="",$C105,Settings!$E$64))),1,0))+IF(OR(Settings!$B$65="",Settings!$F$65="No"),0,Settings!$B$65*IF(AND(IF(Settings!$C$65="",$B105,DATE(YEAR($A105),MONTH($A105),MIN(Settings!$C$65,DAY($B105))))&gt;=MAX($A105,Settings!$D$65,Settings!$B$5+1),IF(Settings!$C$65="",$B105,DATE(YEAR($A105),MONTH($A105),MIN(Settings!$C$65,DAY($B105))))&lt;=MIN($C105,IF(Settings!$E$65="",$C105,Settings!$E$65))),1,0)),0))</f>
        <v/>
      </c>
      <c r="AC105">
        <f>$AY105+$AZ105+$BA105+$BB105+$BC105+$BD105</f>
        <v/>
      </c>
      <c r="AD105">
        <f>$AC105</f>
        <v/>
      </c>
      <c r="AE105">
        <f>IF(OR(Settings!$A$19="",$E105="pre"),"",IF(AND('Month-End'!$CX$7&lt;&gt;"",NOT(_xlfn.ISFORMULA('Month-End'!$CX$7))),N('Month-End'!$CX$7),IF(OR($E105="open",$E104="pre"),N(Settings!$C$19),N($AE104))))</f>
        <v/>
      </c>
      <c r="AF105">
        <f>IF(OR(Settings!$A$20="",$E105="pre"),"",IF(AND('Month-End'!$CX$8&lt;&gt;"",NOT(_xlfn.ISFORMULA('Month-End'!$CX$8))),N('Month-End'!$CX$8),IF(OR($E105="open",$E104="pre"),N(Settings!$C$20),N($AF104))))</f>
        <v/>
      </c>
      <c r="AG105">
        <f>IF(OR(Settings!$A$21="",$E105="pre"),"",IF(AND('Month-End'!$CX$9&lt;&gt;"",NOT(_xlfn.ISFORMULA('Month-End'!$CX$9))),N('Month-End'!$CX$9),IF(OR($E105="open",$E104="pre"),N(Settings!$C$21),N($AG104))))</f>
        <v/>
      </c>
      <c r="AH105">
        <f>IF(OR(Settings!$A$22="",$E105="pre"),"",IF(AND('Month-End'!$CX$10&lt;&gt;"",NOT(_xlfn.ISFORMULA('Month-End'!$CX$10))),N('Month-End'!$CX$10),IF(OR($E105="open",$E104="pre"),N(Settings!$C$22),N($AH104))))</f>
        <v/>
      </c>
      <c r="AI105">
        <f>IF(OR(Settings!$A$23="",$E105="pre"),"",IF(AND('Month-End'!$CX$11&lt;&gt;"",NOT(_xlfn.ISFORMULA('Month-End'!$CX$11))),N('Month-End'!$CX$11),IF(OR($E105="open",$E104="pre"),N(Settings!$C$23),N($AI104))))</f>
        <v/>
      </c>
      <c r="AJ105">
        <f>IF(OR(Settings!$A$24="",$E105="pre"),"",IF(AND('Month-End'!$CX$12&lt;&gt;"",NOT(_xlfn.ISFORMULA('Month-End'!$CX$12))),N('Month-End'!$CX$12),IF(OR($E105="open",$E104="pre"),N(Settings!$C$24),N($AJ104))))</f>
        <v/>
      </c>
      <c r="AK105">
        <f>IF(OR(Settings!$A$25="",$E105="pre"),"",IF(AND('Month-End'!$CX$13&lt;&gt;"",NOT(_xlfn.ISFORMULA('Month-End'!$CX$13))),N('Month-End'!$CX$13),IF(OR($E105="open",$E104="pre"),N(Settings!$C$25),N($AK104))))</f>
        <v/>
      </c>
      <c r="AL105">
        <f>IF(OR(Settings!$A$26="",$E105="pre"),"",IF(AND('Month-End'!$CX$14&lt;&gt;"",NOT(_xlfn.ISFORMULA('Month-End'!$CX$14))),N('Month-End'!$CX$14),IF(OR($E105="open",$E104="pre"),N(Settings!$C$26),N($AL104))))</f>
        <v/>
      </c>
      <c r="AM105">
        <f>IF(OR(Settings!$A$27="",$E105="pre"),"",IF(AND('Month-End'!$CX$15&lt;&gt;"",NOT(_xlfn.ISFORMULA('Month-End'!$CX$15))),N('Month-End'!$CX$15),IF(OR($E105="open",$E104="pre"),N(Settings!$C$27),N($AM104))))</f>
        <v/>
      </c>
      <c r="AN105">
        <f>IF(OR(Settings!$A$28="",$E105="pre"),"",IF(AND('Month-End'!$CX$16&lt;&gt;"",NOT(_xlfn.ISFORMULA('Month-End'!$CX$16))),N('Month-End'!$CX$16),IF(OR($E105="open",$E104="pre"),N(Settings!$C$28),N($AN104))))</f>
        <v/>
      </c>
      <c r="AO105">
        <f>IF(OR(Settings!$A$29="",$E105="pre"),"",IF(AND('Month-End'!$CX$17&lt;&gt;"",NOT(_xlfn.ISFORMULA('Month-End'!$CX$17))),N('Month-End'!$CX$17),IF(OR($E105="open",$E104="pre"),N(Settings!$C$29),N($AO104))))</f>
        <v/>
      </c>
      <c r="AP105">
        <f>IF(OR(Settings!$A$30="",$E105="pre"),"",IF(AND('Month-End'!$CX$18&lt;&gt;"",NOT(_xlfn.ISFORMULA('Month-End'!$CX$18))),N('Month-End'!$CX$18),IF(OR($E105="open",$E104="pre"),N(Settings!$C$30),N($AP104))))</f>
        <v/>
      </c>
      <c r="AQ105">
        <f>IF(OR(Settings!$A$31="",$E105="pre"),"",IF(AND('Month-End'!$CX$19&lt;&gt;"",NOT(_xlfn.ISFORMULA('Month-End'!$CX$19))),N('Month-End'!$CX$19),IF(OR($E105="open",$E104="pre"),N(Settings!$C$31),N($AQ104))))</f>
        <v/>
      </c>
      <c r="AR105">
        <f>IF(OR(Settings!$A$32="",$E105="pre"),"",IF(AND('Month-End'!$CX$20&lt;&gt;"",NOT(_xlfn.ISFORMULA('Month-End'!$CX$20))),N('Month-End'!$CX$20),IF(OR($E105="open",$E104="pre"),N(Settings!$C$32),N($AR104))))</f>
        <v/>
      </c>
      <c r="AS105">
        <f>IF(OR(Settings!$A$36="",$E105="pre"),"",IF(AND('Month-End'!$CX$38&lt;&gt;"",NOT(_xlfn.ISFORMULA('Month-End'!$CX$38))),N('Month-End'!$CX$38),IF(OR($E105="open",$E104="pre"),N(Settings!$C$36),N($AS104))+$AY105))</f>
        <v/>
      </c>
      <c r="AT105">
        <f>IF(OR(Settings!$A$37="",$E105="pre"),"",IF(AND('Month-End'!$CX$39&lt;&gt;"",NOT(_xlfn.ISFORMULA('Month-End'!$CX$39))),N('Month-End'!$CX$39),IF(OR($E105="open",$E104="pre"),N(Settings!$C$37),N($AT104))+$AZ105))</f>
        <v/>
      </c>
      <c r="AU105">
        <f>IF(OR(Settings!$A$38="",$E105="pre"),"",IF(AND('Month-End'!$CX$40&lt;&gt;"",NOT(_xlfn.ISFORMULA('Month-End'!$CX$40))),N('Month-End'!$CX$40),IF(OR($E105="open",$E104="pre"),N(Settings!$C$38),N($AU104))+$BA105))</f>
        <v/>
      </c>
      <c r="AV105">
        <f>IF(OR(Settings!$A$39="",$E105="pre"),"",IF(AND('Month-End'!$CX$41&lt;&gt;"",NOT(_xlfn.ISFORMULA('Month-End'!$CX$41))),N('Month-End'!$CX$41),IF(OR($E105="open",$E104="pre"),N(Settings!$C$39),N($AV104))+$BB105))</f>
        <v/>
      </c>
      <c r="AW105">
        <f>IF(OR(Settings!$A$40="",$E105="pre"),"",IF(AND('Month-End'!$CX$42&lt;&gt;"",NOT(_xlfn.ISFORMULA('Month-End'!$CX$42))),N('Month-End'!$CX$42),IF(OR($E105="open",$E104="pre"),N(Settings!$C$40),N($AW104))+$BC105))</f>
        <v/>
      </c>
      <c r="AX105">
        <f>IF(OR(Settings!$A$41="",$E105="pre"),"",IF(AND('Month-End'!$CX$43&lt;&gt;"",NOT(_xlfn.ISFORMULA('Month-End'!$CX$43))),N('Month-End'!$CX$43),IF(OR($E105="open",$E104="pre"),N(Settings!$C$41),N($AX104))+$BD105))</f>
        <v/>
      </c>
      <c r="AY105">
        <f>IF($E105="pre",0,N('Month-End'!$CX$45))</f>
        <v/>
      </c>
      <c r="AZ105">
        <f>IF($E105="pre",0,N('Month-End'!$CX$46))</f>
        <v/>
      </c>
      <c r="BA105">
        <f>IF($E105="pre",0,N('Month-End'!$CX$47))</f>
        <v/>
      </c>
      <c r="BB105">
        <f>IF($E105="pre",0,N('Month-End'!$CX$48))</f>
        <v/>
      </c>
      <c r="BC105">
        <f>IF($E105="pre",0,N('Month-End'!$CX$49))</f>
        <v/>
      </c>
      <c r="BD105">
        <f>IF($E105="pre",0,N('Month-End'!$CX$50))</f>
        <v/>
      </c>
      <c r="BE105">
        <f>IF(OR(Settings!$C$45="",Settings!$D$45=""),0,Settings!$C$45*IF(Settings!$D$45="Weekly",IF(IFERROR(MATCH(Settings!$E$45,$EO$4:$EO$10,0),0)=0,0,IF(MIN($C105,IF(Settings!$G$45="",$C105,Settings!$G$45))&lt;MAX($A105,Settings!$F$45),0,INT((MIN($C105,IF(Settings!$G$45="",$C105,Settings!$G$45))-MAX($A105,Settings!$F$45)-MOD(IFERROR(MATCH(Settings!$E$45,$EO$4:$EO$10,0),0)-WEEKDAY(MAX($A105,Settings!$F$45)),7))/7)+1)),IF(AND(IF(Settings!$E$45="",$B105,DATE(YEAR($A105),MONTH($A105),MIN(Settings!$E$45,DAY($B105))))&gt;=MAX($A105,Settings!$F$45),IF(Settings!$E$45="",$B105,DATE(YEAR($A105),MONTH($A105),MIN(Settings!$E$45,DAY($B105))))&lt;=MIN($C105,IF(Settings!$G$45="",$C105,Settings!$G$45))),1,0)))</f>
        <v/>
      </c>
      <c r="BF105">
        <f>IF(OR(Settings!$C$46="",Settings!$D$46=""),0,Settings!$C$46*IF(Settings!$D$46="Weekly",IF(IFERROR(MATCH(Settings!$E$46,$EO$4:$EO$10,0),0)=0,0,IF(MIN($C105,IF(Settings!$G$46="",$C105,Settings!$G$46))&lt;MAX($A105,Settings!$F$46),0,INT((MIN($C105,IF(Settings!$G$46="",$C105,Settings!$G$46))-MAX($A105,Settings!$F$46)-MOD(IFERROR(MATCH(Settings!$E$46,$EO$4:$EO$10,0),0)-WEEKDAY(MAX($A105,Settings!$F$46)),7))/7)+1)),IF(AND(IF(Settings!$E$46="",$B105,DATE(YEAR($A105),MONTH($A105),MIN(Settings!$E$46,DAY($B105))))&gt;=MAX($A105,Settings!$F$46),IF(Settings!$E$46="",$B105,DATE(YEAR($A105),MONTH($A105),MIN(Settings!$E$46,DAY($B105))))&lt;=MIN($C105,IF(Settings!$G$46="",$C105,Settings!$G$46))),1,0)))</f>
        <v/>
      </c>
      <c r="BG105">
        <f>IF(OR(Settings!$C$47="",Settings!$D$47=""),0,Settings!$C$47*IF(Settings!$D$47="Weekly",IF(IFERROR(MATCH(Settings!$E$47,$EO$4:$EO$10,0),0)=0,0,IF(MIN($C105,IF(Settings!$G$47="",$C105,Settings!$G$47))&lt;MAX($A105,Settings!$F$47),0,INT((MIN($C105,IF(Settings!$G$47="",$C105,Settings!$G$47))-MAX($A105,Settings!$F$47)-MOD(IFERROR(MATCH(Settings!$E$47,$EO$4:$EO$10,0),0)-WEEKDAY(MAX($A105,Settings!$F$47)),7))/7)+1)),IF(AND(IF(Settings!$E$47="",$B105,DATE(YEAR($A105),MONTH($A105),MIN(Settings!$E$47,DAY($B105))))&gt;=MAX($A105,Settings!$F$47),IF(Settings!$E$47="",$B105,DATE(YEAR($A105),MONTH($A105),MIN(Settings!$E$47,DAY($B105))))&lt;=MIN($C105,IF(Settings!$G$47="",$C105,Settings!$G$47))),1,0)))</f>
        <v/>
      </c>
      <c r="BH105">
        <f>IF(OR(Settings!$C$48="",Settings!$D$48=""),0,Settings!$C$48*IF(Settings!$D$48="Weekly",IF(IFERROR(MATCH(Settings!$E$48,$EO$4:$EO$10,0),0)=0,0,IF(MIN($C105,IF(Settings!$G$48="",$C105,Settings!$G$48))&lt;MAX($A105,Settings!$F$48),0,INT((MIN($C105,IF(Settings!$G$48="",$C105,Settings!$G$48))-MAX($A105,Settings!$F$48)-MOD(IFERROR(MATCH(Settings!$E$48,$EO$4:$EO$10,0),0)-WEEKDAY(MAX($A105,Settings!$F$48)),7))/7)+1)),IF(AND(IF(Settings!$E$48="",$B105,DATE(YEAR($A105),MONTH($A105),MIN(Settings!$E$48,DAY($B105))))&gt;=MAX($A105,Settings!$F$48),IF(Settings!$E$48="",$B105,DATE(YEAR($A105),MONTH($A105),MIN(Settings!$E$48,DAY($B105))))&lt;=MIN($C105,IF(Settings!$G$48="",$C105,Settings!$G$48))),1,0)))</f>
        <v/>
      </c>
      <c r="BI105">
        <f>IF(OR(Settings!$C$49="",Settings!$D$49=""),0,Settings!$C$49*IF(Settings!$D$49="Weekly",IF(IFERROR(MATCH(Settings!$E$49,$EO$4:$EO$10,0),0)=0,0,IF(MIN($C105,IF(Settings!$G$49="",$C105,Settings!$G$49))&lt;MAX($A105,Settings!$F$49),0,INT((MIN($C105,IF(Settings!$G$49="",$C105,Settings!$G$49))-MAX($A105,Settings!$F$49)-MOD(IFERROR(MATCH(Settings!$E$49,$EO$4:$EO$10,0),0)-WEEKDAY(MAX($A105,Settings!$F$49)),7))/7)+1)),IF(AND(IF(Settings!$E$49="",$B105,DATE(YEAR($A105),MONTH($A105),MIN(Settings!$E$49,DAY($B105))))&gt;=MAX($A105,Settings!$F$49),IF(Settings!$E$49="",$B105,DATE(YEAR($A105),MONTH($A105),MIN(Settings!$E$49,DAY($B105))))&lt;=MIN($C105,IF(Settings!$G$49="",$C105,Settings!$G$49))),1,0)))</f>
        <v/>
      </c>
      <c r="BJ105">
        <f>IF(OR(Settings!$C$50="",Settings!$D$50=""),0,Settings!$C$50*IF(Settings!$D$50="Weekly",IF(IFERROR(MATCH(Settings!$E$50,$EO$4:$EO$10,0),0)=0,0,IF(MIN($C105,IF(Settings!$G$50="",$C105,Settings!$G$50))&lt;MAX($A105,Settings!$F$50),0,INT((MIN($C105,IF(Settings!$G$50="",$C105,Settings!$G$50))-MAX($A105,Settings!$F$50)-MOD(IFERROR(MATCH(Settings!$E$50,$EO$4:$EO$10,0),0)-WEEKDAY(MAX($A105,Settings!$F$50)),7))/7)+1)),IF(AND(IF(Settings!$E$50="",$B105,DATE(YEAR($A105),MONTH($A105),MIN(Settings!$E$50,DAY($B105))))&gt;=MAX($A105,Settings!$F$50),IF(Settings!$E$50="",$B105,DATE(YEAR($A105),MONTH($A105),MIN(Settings!$E$50,DAY($B105))))&lt;=MIN($C105,IF(Settings!$G$50="",$C105,Settings!$G$50))),1,0)))</f>
        <v/>
      </c>
      <c r="BK105">
        <f>IF(OR(Settings!$C$51="",Settings!$D$51=""),0,Settings!$C$51*IF(Settings!$D$51="Weekly",IF(IFERROR(MATCH(Settings!$E$51,$EO$4:$EO$10,0),0)=0,0,IF(MIN($C105,IF(Settings!$G$51="",$C105,Settings!$G$51))&lt;MAX($A105,Settings!$F$51),0,INT((MIN($C105,IF(Settings!$G$51="",$C105,Settings!$G$51))-MAX($A105,Settings!$F$51)-MOD(IFERROR(MATCH(Settings!$E$51,$EO$4:$EO$10,0),0)-WEEKDAY(MAX($A105,Settings!$F$51)),7))/7)+1)),IF(AND(IF(Settings!$E$51="",$B105,DATE(YEAR($A105),MONTH($A105),MIN(Settings!$E$51,DAY($B105))))&gt;=MAX($A105,Settings!$F$51),IF(Settings!$E$51="",$B105,DATE(YEAR($A105),MONTH($A105),MIN(Settings!$E$51,DAY($B105))))&lt;=MIN($C105,IF(Settings!$G$51="",$C105,Settings!$G$51))),1,0)))</f>
        <v/>
      </c>
      <c r="BL105">
        <f>IF(OR(Settings!$C$52="",Settings!$D$52=""),0,Settings!$C$52*IF(Settings!$D$52="Weekly",IF(IFERROR(MATCH(Settings!$E$52,$EO$4:$EO$10,0),0)=0,0,IF(MIN($C105,IF(Settings!$G$52="",$C105,Settings!$G$52))&lt;MAX($A105,Settings!$F$52),0,INT((MIN($C105,IF(Settings!$G$52="",$C105,Settings!$G$52))-MAX($A105,Settings!$F$52)-MOD(IFERROR(MATCH(Settings!$E$52,$EO$4:$EO$10,0),0)-WEEKDAY(MAX($A105,Settings!$F$52)),7))/7)+1)),IF(AND(IF(Settings!$E$52="",$B105,DATE(YEAR($A105),MONTH($A105),MIN(Settings!$E$52,DAY($B105))))&gt;=MAX($A105,Settings!$F$52),IF(Settings!$E$52="",$B105,DATE(YEAR($A105),MONTH($A105),MIN(Settings!$E$52,DAY($B105))))&lt;=MIN($C105,IF(Settings!$G$52="",$C105,Settings!$G$52))),1,0)))</f>
        <v/>
      </c>
      <c r="BM105">
        <f>IF(OR(Settings!$C$53="",Settings!$D$53=""),0,Settings!$C$53*IF(Settings!$D$53="Weekly",IF(IFERROR(MATCH(Settings!$E$53,$EO$4:$EO$10,0),0)=0,0,IF(MIN($C105,IF(Settings!$G$53="",$C105,Settings!$G$53))&lt;MAX($A105,Settings!$F$53),0,INT((MIN($C105,IF(Settings!$G$53="",$C105,Settings!$G$53))-MAX($A105,Settings!$F$53)-MOD(IFERROR(MATCH(Settings!$E$53,$EO$4:$EO$10,0),0)-WEEKDAY(MAX($A105,Settings!$F$53)),7))/7)+1)),IF(AND(IF(Settings!$E$53="",$B105,DATE(YEAR($A105),MONTH($A105),MIN(Settings!$E$53,DAY($B105))))&gt;=MAX($A105,Settings!$F$53),IF(Settings!$E$53="",$B105,DATE(YEAR($A105),MONTH($A105),MIN(Settings!$E$53,DAY($B105))))&lt;=MIN($C105,IF(Settings!$G$53="",$C105,Settings!$G$53))),1,0)))</f>
        <v/>
      </c>
      <c r="BN105">
        <f>IF(OR(Settings!$C$54="",Settings!$D$54=""),0,Settings!$C$54*IF(Settings!$D$54="Weekly",IF(IFERROR(MATCH(Settings!$E$54,$EO$4:$EO$10,0),0)=0,0,IF(MIN($C105,IF(Settings!$G$54="",$C105,Settings!$G$54))&lt;MAX($A105,Settings!$F$54),0,INT((MIN($C105,IF(Settings!$G$54="",$C105,Settings!$G$54))-MAX($A105,Settings!$F$54)-MOD(IFERROR(MATCH(Settings!$E$54,$EO$4:$EO$10,0),0)-WEEKDAY(MAX($A105,Settings!$F$54)),7))/7)+1)),IF(AND(IF(Settings!$E$54="",$B105,DATE(YEAR($A105),MONTH($A105),MIN(Settings!$E$54,DAY($B105))))&gt;=MAX($A105,Settings!$F$54),IF(Settings!$E$54="",$B105,DATE(YEAR($A105),MONTH($A105),MIN(Settings!$E$54,DAY($B105))))&lt;=MIN($C105,IF(Settings!$G$54="",$C105,Settings!$G$54))),1,0)))</f>
        <v/>
      </c>
      <c r="BO105">
        <f>IF(OR(Settings!$C$55="",Settings!$D$55=""),0,Settings!$C$55*IF(Settings!$D$55="Weekly",IF(IFERROR(MATCH(Settings!$E$55,$EO$4:$EO$10,0),0)=0,0,IF(MIN($C105,IF(Settings!$G$55="",$C105,Settings!$G$55))&lt;MAX($A105,Settings!$F$55),0,INT((MIN($C105,IF(Settings!$G$55="",$C105,Settings!$G$55))-MAX($A105,Settings!$F$55)-MOD(IFERROR(MATCH(Settings!$E$55,$EO$4:$EO$10,0),0)-WEEKDAY(MAX($A105,Settings!$F$55)),7))/7)+1)),IF(AND(IF(Settings!$E$55="",$B105,DATE(YEAR($A105),MONTH($A105),MIN(Settings!$E$55,DAY($B105))))&gt;=MAX($A105,Settings!$F$55),IF(Settings!$E$55="",$B105,DATE(YEAR($A105),MONTH($A105),MIN(Settings!$E$55,DAY($B105))))&lt;=MIN($C105,IF(Settings!$G$55="",$C105,Settings!$G$55))),1,0)))</f>
        <v/>
      </c>
      <c r="BP105">
        <f>IF(OR(Settings!$C$56="",Settings!$D$56=""),0,Settings!$C$56*IF(Settings!$D$56="Weekly",IF(IFERROR(MATCH(Settings!$E$56,$EO$4:$EO$10,0),0)=0,0,IF(MIN($C105,IF(Settings!$G$56="",$C105,Settings!$G$56))&lt;MAX($A105,Settings!$F$56),0,INT((MIN($C105,IF(Settings!$G$56="",$C105,Settings!$G$56))-MAX($A105,Settings!$F$56)-MOD(IFERROR(MATCH(Settings!$E$56,$EO$4:$EO$10,0),0)-WEEKDAY(MAX($A105,Settings!$F$56)),7))/7)+1)),IF(AND(IF(Settings!$E$56="",$B105,DATE(YEAR($A105),MONTH($A105),MIN(Settings!$E$56,DAY($B105))))&gt;=MAX($A105,Settings!$F$56),IF(Settings!$E$56="",$B105,DATE(YEAR($A105),MONTH($A105),MIN(Settings!$E$56,DAY($B105))))&lt;=MIN($C105,IF(Settings!$G$56="",$C105,Settings!$G$56))),1,0)))</f>
        <v/>
      </c>
      <c r="BQ105">
        <f>IF(OR(Settings!$B$14="",$D105=1,$E105="pre",$A105&lt;IF(Settings!$B$15="",0,Settings!$B$15)),0,Settings!$B$14)</f>
        <v/>
      </c>
      <c r="BR105">
        <f>IF(AND('Month-End'!$CX$7&lt;&gt;"",NOT(_xlfn.ISFORMULA('Month-End'!$CX$7))),1,0)</f>
        <v/>
      </c>
      <c r="BS105">
        <f>IF(AND('Month-End'!$CX$8&lt;&gt;"",NOT(_xlfn.ISFORMULA('Month-End'!$CX$8))),1,0)</f>
        <v/>
      </c>
      <c r="BT105">
        <f>IF(AND('Month-End'!$CX$9&lt;&gt;"",NOT(_xlfn.ISFORMULA('Month-End'!$CX$9))),1,0)</f>
        <v/>
      </c>
      <c r="BU105">
        <f>IF(AND('Month-End'!$CX$10&lt;&gt;"",NOT(_xlfn.ISFORMULA('Month-End'!$CX$10))),1,0)</f>
        <v/>
      </c>
      <c r="BV105">
        <f>IF(AND('Month-End'!$CX$11&lt;&gt;"",NOT(_xlfn.ISFORMULA('Month-End'!$CX$11))),1,0)</f>
        <v/>
      </c>
      <c r="BW105">
        <f>IF(AND('Month-End'!$CX$12&lt;&gt;"",NOT(_xlfn.ISFORMULA('Month-End'!$CX$12))),1,0)</f>
        <v/>
      </c>
      <c r="BX105">
        <f>IF(AND('Month-End'!$CX$13&lt;&gt;"",NOT(_xlfn.ISFORMULA('Month-End'!$CX$13))),1,0)</f>
        <v/>
      </c>
      <c r="BY105">
        <f>IF(AND('Month-End'!$CX$14&lt;&gt;"",NOT(_xlfn.ISFORMULA('Month-End'!$CX$14))),1,0)</f>
        <v/>
      </c>
      <c r="BZ105">
        <f>IF(AND('Month-End'!$CX$15&lt;&gt;"",NOT(_xlfn.ISFORMULA('Month-End'!$CX$15))),1,0)</f>
        <v/>
      </c>
      <c r="CA105">
        <f>IF(AND('Month-End'!$CX$16&lt;&gt;"",NOT(_xlfn.ISFORMULA('Month-End'!$CX$16))),1,0)</f>
        <v/>
      </c>
      <c r="CB105">
        <f>IF(AND('Month-End'!$CX$17&lt;&gt;"",NOT(_xlfn.ISFORMULA('Month-End'!$CX$17))),1,0)</f>
        <v/>
      </c>
      <c r="CC105">
        <f>IF(AND('Month-End'!$CX$18&lt;&gt;"",NOT(_xlfn.ISFORMULA('Month-End'!$CX$18))),1,0)</f>
        <v/>
      </c>
      <c r="CD105">
        <f>IF(AND('Month-End'!$CX$19&lt;&gt;"",NOT(_xlfn.ISFORMULA('Month-End'!$CX$19))),1,0)</f>
        <v/>
      </c>
      <c r="CE105">
        <f>IF(AND('Month-End'!$CX$20&lt;&gt;"",NOT(_xlfn.ISFORMULA('Month-End'!$CX$20))),1,0)</f>
        <v/>
      </c>
      <c r="CF105">
        <f>IF(AND('Month-End'!$CX$38&lt;&gt;"",NOT(_xlfn.ISFORMULA('Month-End'!$CX$38))),1,0)</f>
        <v/>
      </c>
      <c r="CG105">
        <f>IF(AND('Month-End'!$CX$39&lt;&gt;"",NOT(_xlfn.ISFORMULA('Month-End'!$CX$39))),1,0)</f>
        <v/>
      </c>
      <c r="CH105">
        <f>IF(AND('Month-End'!$CX$40&lt;&gt;"",NOT(_xlfn.ISFORMULA('Month-End'!$CX$40))),1,0)</f>
        <v/>
      </c>
      <c r="CI105">
        <f>IF(AND('Month-End'!$CX$41&lt;&gt;"",NOT(_xlfn.ISFORMULA('Month-End'!$CX$41))),1,0)</f>
        <v/>
      </c>
      <c r="CJ105">
        <f>IF(AND('Month-End'!$CX$42&lt;&gt;"",NOT(_xlfn.ISFORMULA('Month-End'!$CX$42))),1,0)</f>
        <v/>
      </c>
      <c r="CK105">
        <f>IF(AND('Month-End'!$CX$43&lt;&gt;"",NOT(_xlfn.ISFORMULA('Month-End'!$CX$43))),1,0)</f>
        <v/>
      </c>
      <c r="CL105">
        <f>SUM($CM105:$CZ105)</f>
        <v/>
      </c>
      <c r="CM105">
        <f>IF(AND($E105&lt;&gt;"pre",AND(Settings!$A$19&lt;&gt;"",Settings!$E$19&lt;&gt;"No"),Settings!$F$19="Yes",NOT(AND('Month-End'!$CX$7&lt;&gt;"",NOT(_xlfn.ISFORMULA('Month-End'!$CX$7))))),1,0)</f>
        <v/>
      </c>
      <c r="CN105">
        <f>IF(AND($E105&lt;&gt;"pre",AND(Settings!$A$20&lt;&gt;"",Settings!$E$20&lt;&gt;"No"),Settings!$F$20="Yes",NOT(AND('Month-End'!$CX$8&lt;&gt;"",NOT(_xlfn.ISFORMULA('Month-End'!$CX$8))))),1,0)</f>
        <v/>
      </c>
      <c r="CO105">
        <f>IF(AND($E105&lt;&gt;"pre",AND(Settings!$A$21&lt;&gt;"",Settings!$E$21&lt;&gt;"No"),Settings!$F$21="Yes",NOT(AND('Month-End'!$CX$9&lt;&gt;"",NOT(_xlfn.ISFORMULA('Month-End'!$CX$9))))),1,0)</f>
        <v/>
      </c>
      <c r="CP105">
        <f>IF(AND($E105&lt;&gt;"pre",AND(Settings!$A$22&lt;&gt;"",Settings!$E$22&lt;&gt;"No"),Settings!$F$22="Yes",NOT(AND('Month-End'!$CX$10&lt;&gt;"",NOT(_xlfn.ISFORMULA('Month-End'!$CX$10))))),1,0)</f>
        <v/>
      </c>
      <c r="CQ105">
        <f>IF(AND($E105&lt;&gt;"pre",AND(Settings!$A$23&lt;&gt;"",Settings!$E$23&lt;&gt;"No"),Settings!$F$23="Yes",NOT(AND('Month-End'!$CX$11&lt;&gt;"",NOT(_xlfn.ISFORMULA('Month-End'!$CX$11))))),1,0)</f>
        <v/>
      </c>
      <c r="CR105">
        <f>IF(AND($E105&lt;&gt;"pre",AND(Settings!$A$24&lt;&gt;"",Settings!$E$24&lt;&gt;"No"),Settings!$F$24="Yes",NOT(AND('Month-End'!$CX$12&lt;&gt;"",NOT(_xlfn.ISFORMULA('Month-End'!$CX$12))))),1,0)</f>
        <v/>
      </c>
      <c r="CS105">
        <f>IF(AND($E105&lt;&gt;"pre",AND(Settings!$A$25&lt;&gt;"",Settings!$E$25&lt;&gt;"No"),Settings!$F$25="Yes",NOT(AND('Month-End'!$CX$13&lt;&gt;"",NOT(_xlfn.ISFORMULA('Month-End'!$CX$13))))),1,0)</f>
        <v/>
      </c>
      <c r="CT105">
        <f>IF(AND($E105&lt;&gt;"pre",AND(Settings!$A$26&lt;&gt;"",Settings!$E$26&lt;&gt;"No"),Settings!$F$26="Yes",NOT(AND('Month-End'!$CX$14&lt;&gt;"",NOT(_xlfn.ISFORMULA('Month-End'!$CX$14))))),1,0)</f>
        <v/>
      </c>
      <c r="CU105">
        <f>IF(AND($E105&lt;&gt;"pre",AND(Settings!$A$27&lt;&gt;"",Settings!$E$27&lt;&gt;"No"),Settings!$F$27="Yes",NOT(AND('Month-End'!$CX$15&lt;&gt;"",NOT(_xlfn.ISFORMULA('Month-End'!$CX$15))))),1,0)</f>
        <v/>
      </c>
      <c r="CV105">
        <f>IF(AND($E105&lt;&gt;"pre",AND(Settings!$A$28&lt;&gt;"",Settings!$E$28&lt;&gt;"No"),Settings!$F$28="Yes",NOT(AND('Month-End'!$CX$16&lt;&gt;"",NOT(_xlfn.ISFORMULA('Month-End'!$CX$16))))),1,0)</f>
        <v/>
      </c>
      <c r="CW105">
        <f>IF(AND($E105&lt;&gt;"pre",AND(Settings!$A$29&lt;&gt;"",Settings!$E$29&lt;&gt;"No"),Settings!$F$29="Yes",NOT(AND('Month-End'!$CX$17&lt;&gt;"",NOT(_xlfn.ISFORMULA('Month-End'!$CX$17))))),1,0)</f>
        <v/>
      </c>
      <c r="CX105">
        <f>IF(AND($E105&lt;&gt;"pre",AND(Settings!$A$30&lt;&gt;"",Settings!$E$30&lt;&gt;"No"),Settings!$F$30="Yes",NOT(AND('Month-End'!$CX$18&lt;&gt;"",NOT(_xlfn.ISFORMULA('Month-End'!$CX$18))))),1,0)</f>
        <v/>
      </c>
      <c r="CY105">
        <f>IF(AND($E105&lt;&gt;"pre",AND(Settings!$A$31&lt;&gt;"",Settings!$E$31&lt;&gt;"No"),Settings!$F$31="Yes",NOT(AND('Month-End'!$CX$19&lt;&gt;"",NOT(_xlfn.ISFORMULA('Month-End'!$CX$19))))),1,0)</f>
        <v/>
      </c>
      <c r="CZ105">
        <f>IF(AND($E105&lt;&gt;"pre",AND(Settings!$A$32&lt;&gt;"",Settings!$E$32&lt;&gt;"No"),Settings!$F$32="Yes",NOT(AND('Month-End'!$CX$20&lt;&gt;"",NOT(_xlfn.ISFORMULA('Month-End'!$CX$20))))),1,0)</f>
        <v/>
      </c>
      <c r="DA105">
        <f>IF($DT105=1,IF(OR(Settings!$B$19="Checking",Settings!$B$19="Savings",Settings!$B$19="Cash"),N($AE105),IF(OR(Settings!$B$19="Card",Settings!$B$19="Loan"),-N($AE105),0))+IF(OR(Settings!$B$20="Checking",Settings!$B$20="Savings",Settings!$B$20="Cash"),N($AF105),IF(OR(Settings!$B$20="Card",Settings!$B$20="Loan"),-N($AF105),0))+IF(OR(Settings!$B$21="Checking",Settings!$B$21="Savings",Settings!$B$21="Cash"),N($AG105),IF(OR(Settings!$B$21="Card",Settings!$B$21="Loan"),-N($AG105),0))+IF(OR(Settings!$B$22="Checking",Settings!$B$22="Savings",Settings!$B$22="Cash"),N($AH105),IF(OR(Settings!$B$22="Card",Settings!$B$22="Loan"),-N($AH105),0))+IF(OR(Settings!$B$23="Checking",Settings!$B$23="Savings",Settings!$B$23="Cash"),N($AI105),IF(OR(Settings!$B$23="Card",Settings!$B$23="Loan"),-N($AI105),0))+IF(OR(Settings!$B$24="Checking",Settings!$B$24="Savings",Settings!$B$24="Cash"),N($AJ105),IF(OR(Settings!$B$24="Card",Settings!$B$24="Loan"),-N($AJ105),0))+IF(OR(Settings!$B$25="Checking",Settings!$B$25="Savings",Settings!$B$25="Cash"),N($AK105),IF(OR(Settings!$B$25="Card",Settings!$B$25="Loan"),-N($AK105),0))+IF(OR(Settings!$B$26="Checking",Settings!$B$26="Savings",Settings!$B$26="Cash"),N($AL105),IF(OR(Settings!$B$26="Card",Settings!$B$26="Loan"),-N($AL105),0))+IF(OR(Settings!$B$27="Checking",Settings!$B$27="Savings",Settings!$B$27="Cash"),N($AM105),IF(OR(Settings!$B$27="Card",Settings!$B$27="Loan"),-N($AM105),0))+IF(OR(Settings!$B$28="Checking",Settings!$B$28="Savings",Settings!$B$28="Cash"),N($AN105),IF(OR(Settings!$B$28="Card",Settings!$B$28="Loan"),-N($AN105),0))+IF(OR(Settings!$B$29="Checking",Settings!$B$29="Savings",Settings!$B$29="Cash"),N($AO105),IF(OR(Settings!$B$29="Card",Settings!$B$29="Loan"),-N($AO105),0))+IF(OR(Settings!$B$30="Checking",Settings!$B$30="Savings",Settings!$B$30="Cash"),N($AP105),IF(OR(Settings!$B$30="Card",Settings!$B$30="Loan"),-N($AP105),0))+IF(OR(Settings!$B$31="Checking",Settings!$B$31="Savings",Settings!$B$31="Cash"),N($AQ105),IF(OR(Settings!$B$31="Card",Settings!$B$31="Loan"),-N($AQ105),0))+IF(OR(Settings!$B$32="Checking",Settings!$B$32="Savings",Settings!$B$32="Cash"),N($AR105),IF(OR(Settings!$B$32="Card",Settings!$B$32="Loan"),-N($AR105),0)),"")</f>
        <v/>
      </c>
      <c r="DB105">
        <f>IF($E105="open",$EB$27,IF($E105="post",IF($E104="pre",$EB$27,$DA104),""))</f>
        <v/>
      </c>
      <c r="DC105">
        <f>IF($E105="open",1,IF($E105="post",IF($E104="pre",1,$DT104),0))</f>
        <v/>
      </c>
      <c r="DD105">
        <f>IF(AND($DT105=1,$DC105=1),ROUND($W105-($DA105-$DB105)-$AD105-$AB105,2),"")</f>
        <v/>
      </c>
      <c r="DE105">
        <f>IF('Month-End'!$CX$35="",$BQ105,N('Month-End'!$CX$35))</f>
        <v/>
      </c>
      <c r="DF105">
        <f>N('Month-End'!$CX$36)</f>
        <v/>
      </c>
      <c r="DG105">
        <f>IF($DD105="","",$DD105+$DE105)</f>
        <v/>
      </c>
      <c r="DH105">
        <f>IF($DG105="","",$DG105-$DF105)</f>
        <v/>
      </c>
      <c r="DI105">
        <f>IF(OR($E105="pre",$D105=1),"",N($AS105)+N($AT105)+N($AU105)+N($AV105)+N($AW105)+N($AX105))</f>
        <v/>
      </c>
      <c r="DJ105">
        <f>IF($DT105=1,$DA105+N($DI105),"")</f>
        <v/>
      </c>
      <c r="DK105">
        <f>IF($DD105="","",$W105-$DD105-$AB105)</f>
        <v/>
      </c>
      <c r="DL105">
        <f>IF(AND($E105="post",$DD105&lt;&gt;"",$B105&lt;TODAY()),1,0)</f>
        <v/>
      </c>
      <c r="DM105">
        <f>IF($DL105=1,COUNTIF($DL105:$DL$183,1),0)</f>
        <v/>
      </c>
      <c r="DN105">
        <f>IF($D105=1,"",IF($E105="pre","History only",IF($DT105=1,IF($DD105="","⚠ Previous month missing",IF($DD105&lt;0,"⚠ Check: spending &lt; 0",IF($E105="open","✓ Done (partial)","✓ Done"))),IF($B105&gt;=TODAY(),"In progress","⚠ Needs balances"))))</f>
        <v/>
      </c>
      <c r="DO105">
        <f>YEAR($A105)</f>
        <v/>
      </c>
      <c r="DP105">
        <f>DATE(YEAR($A105),INT((MONTH($A105)-1)/3)*3+1,1)</f>
        <v/>
      </c>
      <c r="DQ105">
        <f>IF(AND($DT105=1,$DD105&lt;&gt;"",$D105=0),ROW(),0)</f>
        <v/>
      </c>
      <c r="DR105">
        <f>IF(AND($E105&lt;&gt;"pre",$B105&lt;TODAY(),$DT105=0),1,0)</f>
        <v/>
      </c>
      <c r="DS105">
        <f>IF($DJ105="",NA(),$DJ105)</f>
        <v/>
      </c>
      <c r="DT105">
        <f>IF(AND($E105&lt;&gt;"pre",$CL105=0,COUNTIFS(Settings!$F$19:$F$32,"Yes",Settings!$A$19:$A$32,"&lt;&gt;",Settings!$E$19:$E$32,"&lt;&gt;No")&gt;0),1,0)</f>
        <v/>
      </c>
      <c r="DU105">
        <f>IF(AND($B105&lt;TODAY(),$S105&gt;0),1,0)</f>
        <v/>
      </c>
      <c r="DV105">
        <f>IF($DU105=1,COUNTIF($DU105:$DU$183,1),0)</f>
        <v/>
      </c>
      <c r="DW105">
        <f>IF(AND(OR(Settings!$B$19="Card",Settings!$B$19="Loan"),AND('Month-End'!$CX$7&lt;&gt;"",NOT(_xlfn.ISFORMULA('Month-End'!$CX$7)))),IF(N('Month-End'!$CX$7)&lt;0,1,0),0)+IF(AND(OR(Settings!$B$20="Card",Settings!$B$20="Loan"),AND('Month-End'!$CX$8&lt;&gt;"",NOT(_xlfn.ISFORMULA('Month-End'!$CX$8)))),IF(N('Month-End'!$CX$8)&lt;0,1,0),0)+IF(AND(OR(Settings!$B$21="Card",Settings!$B$21="Loan"),AND('Month-End'!$CX$9&lt;&gt;"",NOT(_xlfn.ISFORMULA('Month-End'!$CX$9)))),IF(N('Month-End'!$CX$9)&lt;0,1,0),0)+IF(AND(OR(Settings!$B$22="Card",Settings!$B$22="Loan"),AND('Month-End'!$CX$10&lt;&gt;"",NOT(_xlfn.ISFORMULA('Month-End'!$CX$10)))),IF(N('Month-End'!$CX$10)&lt;0,1,0),0)+IF(AND(OR(Settings!$B$23="Card",Settings!$B$23="Loan"),AND('Month-End'!$CX$11&lt;&gt;"",NOT(_xlfn.ISFORMULA('Month-End'!$CX$11)))),IF(N('Month-End'!$CX$11)&lt;0,1,0),0)+IF(AND(OR(Settings!$B$24="Card",Settings!$B$24="Loan"),AND('Month-End'!$CX$12&lt;&gt;"",NOT(_xlfn.ISFORMULA('Month-End'!$CX$12)))),IF(N('Month-End'!$CX$12)&lt;0,1,0),0)+IF(AND(OR(Settings!$B$25="Card",Settings!$B$25="Loan"),AND('Month-End'!$CX$13&lt;&gt;"",NOT(_xlfn.ISFORMULA('Month-End'!$CX$13)))),IF(N('Month-End'!$CX$13)&lt;0,1,0),0)+IF(AND(OR(Settings!$B$26="Card",Settings!$B$26="Loan"),AND('Month-End'!$CX$14&lt;&gt;"",NOT(_xlfn.ISFORMULA('Month-End'!$CX$14)))),IF(N('Month-End'!$CX$14)&lt;0,1,0),0)+IF(AND(OR(Settings!$B$27="Card",Settings!$B$27="Loan"),AND('Month-End'!$CX$15&lt;&gt;"",NOT(_xlfn.ISFORMULA('Month-End'!$CX$15)))),IF(N('Month-End'!$CX$15)&lt;0,1,0),0)+IF(AND(OR(Settings!$B$28="Card",Settings!$B$28="Loan"),AND('Month-End'!$CX$16&lt;&gt;"",NOT(_xlfn.ISFORMULA('Month-End'!$CX$16)))),IF(N('Month-End'!$CX$16)&lt;0,1,0),0)+IF(AND(OR(Settings!$B$29="Card",Settings!$B$29="Loan"),AND('Month-End'!$CX$17&lt;&gt;"",NOT(_xlfn.ISFORMULA('Month-End'!$CX$17)))),IF(N('Month-End'!$CX$17)&lt;0,1,0),0)+IF(AND(OR(Settings!$B$30="Card",Settings!$B$30="Loan"),AND('Month-End'!$CX$18&lt;&gt;"",NOT(_xlfn.ISFORMULA('Month-End'!$CX$18)))),IF(N('Month-End'!$CX$18)&lt;0,1,0),0)+IF(AND(OR(Settings!$B$31="Card",Settings!$B$31="Loan"),AND('Month-End'!$CX$19&lt;&gt;"",NOT(_xlfn.ISFORMULA('Month-End'!$CX$19)))),IF(N('Month-End'!$CX$19)&lt;0,1,0),0)+IF(AND(OR(Settings!$B$32="Card",Settings!$B$32="Loan"),AND('Month-End'!$CX$20&lt;&gt;"",NOT(_xlfn.ISFORMULA('Month-End'!$CX$20)))),IF(N('Month-End'!$CX$20)&lt;0,1,0),0)</f>
        <v/>
      </c>
      <c r="DX105">
        <f>IF(Settings!$B$36="Retirement",$AY105,0)+IF(Settings!$B$37="Retirement",$AZ105,0)+IF(Settings!$B$38="Retirement",$BA105,0)+IF(Settings!$B$39="Retirement",$BB105,0)+IF(Settings!$B$40="Retirement",$BC105,0)+IF(Settings!$B$41="Retirement",$BD105,0)</f>
        <v/>
      </c>
      <c r="EO105">
        <f>EDATE(DATE(YEAR(TODAY()),MONTH(TODAY()),1),-18)</f>
        <v/>
      </c>
      <c r="ER105">
        <f>IFERROR(IF(INDEX($DJ$6:$DJ$183,MATCH(EO105,$A$6:$A$183,0))="",NA(),INDEX($DJ$6:$DJ$183,MATCH(EO105,$A$6:$A$183,0))),NA())</f>
        <v/>
      </c>
      <c r="ES105">
        <f>TEXT(EO105,"mmm yy")</f>
        <v/>
      </c>
      <c r="ET105">
        <f>IF($E105&lt;&gt;"open",0,IF(AND('Month-End'!$CX$22&lt;&gt;"",NOT(_xlfn.ISFORMULA('Month-End'!$CX$22))),0,IF(OR(Settings!$C$45="",Settings!$D$45=""),0,Settings!$C$45*IF(Settings!$D$45="Weekly",IF(IFERROR(MATCH(Settings!$E$45,$EO$4:$EO$10,0),0)=0,0,IF(MIN(Settings!$B$5,IF(Settings!$G$45="",Settings!$B$5,Settings!$G$45))&lt;MAX($A105,Settings!$F$45),0,INT((MIN(Settings!$B$5,IF(Settings!$G$45="",Settings!$B$5,Settings!$G$45))-MAX($A105,Settings!$F$45)-MOD(IFERROR(MATCH(Settings!$E$45,$EO$4:$EO$10,0),0)-WEEKDAY(MAX($A105,Settings!$F$45)),7))/7)+1)),IF(AND(IF(Settings!$E$45="",$B105,DATE(YEAR($A105),MONTH($A105),MIN(Settings!$E$45,DAY($B105))))&gt;=MAX($A105,Settings!$F$45),IF(Settings!$E$45="",$B105,DATE(YEAR($A105),MONTH($A105),MIN(Settings!$E$45,DAY($B105))))&lt;=MIN(Settings!$B$5,IF(Settings!$G$45="",Settings!$B$5,Settings!$G$45))),1,0)))))</f>
        <v/>
      </c>
      <c r="EU105">
        <f>IF($E105&lt;&gt;"open",0,IF(AND('Month-End'!$CX$23&lt;&gt;"",NOT(_xlfn.ISFORMULA('Month-End'!$CX$23))),0,IF(OR(Settings!$C$46="",Settings!$D$46=""),0,Settings!$C$46*IF(Settings!$D$46="Weekly",IF(IFERROR(MATCH(Settings!$E$46,$EO$4:$EO$10,0),0)=0,0,IF(MIN(Settings!$B$5,IF(Settings!$G$46="",Settings!$B$5,Settings!$G$46))&lt;MAX($A105,Settings!$F$46),0,INT((MIN(Settings!$B$5,IF(Settings!$G$46="",Settings!$B$5,Settings!$G$46))-MAX($A105,Settings!$F$46)-MOD(IFERROR(MATCH(Settings!$E$46,$EO$4:$EO$10,0),0)-WEEKDAY(MAX($A105,Settings!$F$46)),7))/7)+1)),IF(AND(IF(Settings!$E$46="",$B105,DATE(YEAR($A105),MONTH($A105),MIN(Settings!$E$46,DAY($B105))))&gt;=MAX($A105,Settings!$F$46),IF(Settings!$E$46="",$B105,DATE(YEAR($A105),MONTH($A105),MIN(Settings!$E$46,DAY($B105))))&lt;=MIN(Settings!$B$5,IF(Settings!$G$46="",Settings!$B$5,Settings!$G$46))),1,0)))))</f>
        <v/>
      </c>
      <c r="EV105">
        <f>IF($E105&lt;&gt;"open",0,IF(AND('Month-End'!$CX$24&lt;&gt;"",NOT(_xlfn.ISFORMULA('Month-End'!$CX$24))),0,IF(OR(Settings!$C$47="",Settings!$D$47=""),0,Settings!$C$47*IF(Settings!$D$47="Weekly",IF(IFERROR(MATCH(Settings!$E$47,$EO$4:$EO$10,0),0)=0,0,IF(MIN(Settings!$B$5,IF(Settings!$G$47="",Settings!$B$5,Settings!$G$47))&lt;MAX($A105,Settings!$F$47),0,INT((MIN(Settings!$B$5,IF(Settings!$G$47="",Settings!$B$5,Settings!$G$47))-MAX($A105,Settings!$F$47)-MOD(IFERROR(MATCH(Settings!$E$47,$EO$4:$EO$10,0),0)-WEEKDAY(MAX($A105,Settings!$F$47)),7))/7)+1)),IF(AND(IF(Settings!$E$47="",$B105,DATE(YEAR($A105),MONTH($A105),MIN(Settings!$E$47,DAY($B105))))&gt;=MAX($A105,Settings!$F$47),IF(Settings!$E$47="",$B105,DATE(YEAR($A105),MONTH($A105),MIN(Settings!$E$47,DAY($B105))))&lt;=MIN(Settings!$B$5,IF(Settings!$G$47="",Settings!$B$5,Settings!$G$47))),1,0)))))</f>
        <v/>
      </c>
      <c r="EW105">
        <f>IF($E105&lt;&gt;"open",0,IF(AND('Month-End'!$CX$25&lt;&gt;"",NOT(_xlfn.ISFORMULA('Month-End'!$CX$25))),0,IF(OR(Settings!$C$48="",Settings!$D$48=""),0,Settings!$C$48*IF(Settings!$D$48="Weekly",IF(IFERROR(MATCH(Settings!$E$48,$EO$4:$EO$10,0),0)=0,0,IF(MIN(Settings!$B$5,IF(Settings!$G$48="",Settings!$B$5,Settings!$G$48))&lt;MAX($A105,Settings!$F$48),0,INT((MIN(Settings!$B$5,IF(Settings!$G$48="",Settings!$B$5,Settings!$G$48))-MAX($A105,Settings!$F$48)-MOD(IFERROR(MATCH(Settings!$E$48,$EO$4:$EO$10,0),0)-WEEKDAY(MAX($A105,Settings!$F$48)),7))/7)+1)),IF(AND(IF(Settings!$E$48="",$B105,DATE(YEAR($A105),MONTH($A105),MIN(Settings!$E$48,DAY($B105))))&gt;=MAX($A105,Settings!$F$48),IF(Settings!$E$48="",$B105,DATE(YEAR($A105),MONTH($A105),MIN(Settings!$E$48,DAY($B105))))&lt;=MIN(Settings!$B$5,IF(Settings!$G$48="",Settings!$B$5,Settings!$G$48))),1,0)))))</f>
        <v/>
      </c>
      <c r="EX105">
        <f>IF($E105&lt;&gt;"open",0,IF(AND('Month-End'!$CX$26&lt;&gt;"",NOT(_xlfn.ISFORMULA('Month-End'!$CX$26))),0,IF(OR(Settings!$C$49="",Settings!$D$49=""),0,Settings!$C$49*IF(Settings!$D$49="Weekly",IF(IFERROR(MATCH(Settings!$E$49,$EO$4:$EO$10,0),0)=0,0,IF(MIN(Settings!$B$5,IF(Settings!$G$49="",Settings!$B$5,Settings!$G$49))&lt;MAX($A105,Settings!$F$49),0,INT((MIN(Settings!$B$5,IF(Settings!$G$49="",Settings!$B$5,Settings!$G$49))-MAX($A105,Settings!$F$49)-MOD(IFERROR(MATCH(Settings!$E$49,$EO$4:$EO$10,0),0)-WEEKDAY(MAX($A105,Settings!$F$49)),7))/7)+1)),IF(AND(IF(Settings!$E$49="",$B105,DATE(YEAR($A105),MONTH($A105),MIN(Settings!$E$49,DAY($B105))))&gt;=MAX($A105,Settings!$F$49),IF(Settings!$E$49="",$B105,DATE(YEAR($A105),MONTH($A105),MIN(Settings!$E$49,DAY($B105))))&lt;=MIN(Settings!$B$5,IF(Settings!$G$49="",Settings!$B$5,Settings!$G$49))),1,0)))))</f>
        <v/>
      </c>
      <c r="EY105">
        <f>IF($E105&lt;&gt;"open",0,IF(AND('Month-End'!$CX$27&lt;&gt;"",NOT(_xlfn.ISFORMULA('Month-End'!$CX$27))),0,IF(OR(Settings!$C$50="",Settings!$D$50=""),0,Settings!$C$50*IF(Settings!$D$50="Weekly",IF(IFERROR(MATCH(Settings!$E$50,$EO$4:$EO$10,0),0)=0,0,IF(MIN(Settings!$B$5,IF(Settings!$G$50="",Settings!$B$5,Settings!$G$50))&lt;MAX($A105,Settings!$F$50),0,INT((MIN(Settings!$B$5,IF(Settings!$G$50="",Settings!$B$5,Settings!$G$50))-MAX($A105,Settings!$F$50)-MOD(IFERROR(MATCH(Settings!$E$50,$EO$4:$EO$10,0),0)-WEEKDAY(MAX($A105,Settings!$F$50)),7))/7)+1)),IF(AND(IF(Settings!$E$50="",$B105,DATE(YEAR($A105),MONTH($A105),MIN(Settings!$E$50,DAY($B105))))&gt;=MAX($A105,Settings!$F$50),IF(Settings!$E$50="",$B105,DATE(YEAR($A105),MONTH($A105),MIN(Settings!$E$50,DAY($B105))))&lt;=MIN(Settings!$B$5,IF(Settings!$G$50="",Settings!$B$5,Settings!$G$50))),1,0)))))</f>
        <v/>
      </c>
      <c r="EZ105">
        <f>IF($E105&lt;&gt;"open",0,IF(AND('Month-End'!$CX$28&lt;&gt;"",NOT(_xlfn.ISFORMULA('Month-End'!$CX$28))),0,IF(OR(Settings!$C$51="",Settings!$D$51=""),0,Settings!$C$51*IF(Settings!$D$51="Weekly",IF(IFERROR(MATCH(Settings!$E$51,$EO$4:$EO$10,0),0)=0,0,IF(MIN(Settings!$B$5,IF(Settings!$G$51="",Settings!$B$5,Settings!$G$51))&lt;MAX($A105,Settings!$F$51),0,INT((MIN(Settings!$B$5,IF(Settings!$G$51="",Settings!$B$5,Settings!$G$51))-MAX($A105,Settings!$F$51)-MOD(IFERROR(MATCH(Settings!$E$51,$EO$4:$EO$10,0),0)-WEEKDAY(MAX($A105,Settings!$F$51)),7))/7)+1)),IF(AND(IF(Settings!$E$51="",$B105,DATE(YEAR($A105),MONTH($A105),MIN(Settings!$E$51,DAY($B105))))&gt;=MAX($A105,Settings!$F$51),IF(Settings!$E$51="",$B105,DATE(YEAR($A105),MONTH($A105),MIN(Settings!$E$51,DAY($B105))))&lt;=MIN(Settings!$B$5,IF(Settings!$G$51="",Settings!$B$5,Settings!$G$51))),1,0)))))</f>
        <v/>
      </c>
      <c r="FA105">
        <f>IF($E105&lt;&gt;"open",0,IF(AND('Month-End'!$CX$29&lt;&gt;"",NOT(_xlfn.ISFORMULA('Month-End'!$CX$29))),0,IF(OR(Settings!$C$52="",Settings!$D$52=""),0,Settings!$C$52*IF(Settings!$D$52="Weekly",IF(IFERROR(MATCH(Settings!$E$52,$EO$4:$EO$10,0),0)=0,0,IF(MIN(Settings!$B$5,IF(Settings!$G$52="",Settings!$B$5,Settings!$G$52))&lt;MAX($A105,Settings!$F$52),0,INT((MIN(Settings!$B$5,IF(Settings!$G$52="",Settings!$B$5,Settings!$G$52))-MAX($A105,Settings!$F$52)-MOD(IFERROR(MATCH(Settings!$E$52,$EO$4:$EO$10,0),0)-WEEKDAY(MAX($A105,Settings!$F$52)),7))/7)+1)),IF(AND(IF(Settings!$E$52="",$B105,DATE(YEAR($A105),MONTH($A105),MIN(Settings!$E$52,DAY($B105))))&gt;=MAX($A105,Settings!$F$52),IF(Settings!$E$52="",$B105,DATE(YEAR($A105),MONTH($A105),MIN(Settings!$E$52,DAY($B105))))&lt;=MIN(Settings!$B$5,IF(Settings!$G$52="",Settings!$B$5,Settings!$G$52))),1,0)))))</f>
        <v/>
      </c>
      <c r="FB105">
        <f>IF($E105&lt;&gt;"open",0,IF(AND('Month-End'!$CX$30&lt;&gt;"",NOT(_xlfn.ISFORMULA('Month-End'!$CX$30))),0,IF(OR(Settings!$C$53="",Settings!$D$53=""),0,Settings!$C$53*IF(Settings!$D$53="Weekly",IF(IFERROR(MATCH(Settings!$E$53,$EO$4:$EO$10,0),0)=0,0,IF(MIN(Settings!$B$5,IF(Settings!$G$53="",Settings!$B$5,Settings!$G$53))&lt;MAX($A105,Settings!$F$53),0,INT((MIN(Settings!$B$5,IF(Settings!$G$53="",Settings!$B$5,Settings!$G$53))-MAX($A105,Settings!$F$53)-MOD(IFERROR(MATCH(Settings!$E$53,$EO$4:$EO$10,0),0)-WEEKDAY(MAX($A105,Settings!$F$53)),7))/7)+1)),IF(AND(IF(Settings!$E$53="",$B105,DATE(YEAR($A105),MONTH($A105),MIN(Settings!$E$53,DAY($B105))))&gt;=MAX($A105,Settings!$F$53),IF(Settings!$E$53="",$B105,DATE(YEAR($A105),MONTH($A105),MIN(Settings!$E$53,DAY($B105))))&lt;=MIN(Settings!$B$5,IF(Settings!$G$53="",Settings!$B$5,Settings!$G$53))),1,0)))))</f>
        <v/>
      </c>
      <c r="FC105">
        <f>IF($E105&lt;&gt;"open",0,IF(AND('Month-End'!$CX$31&lt;&gt;"",NOT(_xlfn.ISFORMULA('Month-End'!$CX$31))),0,IF(OR(Settings!$C$54="",Settings!$D$54=""),0,Settings!$C$54*IF(Settings!$D$54="Weekly",IF(IFERROR(MATCH(Settings!$E$54,$EO$4:$EO$10,0),0)=0,0,IF(MIN(Settings!$B$5,IF(Settings!$G$54="",Settings!$B$5,Settings!$G$54))&lt;MAX($A105,Settings!$F$54),0,INT((MIN(Settings!$B$5,IF(Settings!$G$54="",Settings!$B$5,Settings!$G$54))-MAX($A105,Settings!$F$54)-MOD(IFERROR(MATCH(Settings!$E$54,$EO$4:$EO$10,0),0)-WEEKDAY(MAX($A105,Settings!$F$54)),7))/7)+1)),IF(AND(IF(Settings!$E$54="",$B105,DATE(YEAR($A105),MONTH($A105),MIN(Settings!$E$54,DAY($B105))))&gt;=MAX($A105,Settings!$F$54),IF(Settings!$E$54="",$B105,DATE(YEAR($A105),MONTH($A105),MIN(Settings!$E$54,DAY($B105))))&lt;=MIN(Settings!$B$5,IF(Settings!$G$54="",Settings!$B$5,Settings!$G$54))),1,0)))))</f>
        <v/>
      </c>
      <c r="FD105">
        <f>IF($E105&lt;&gt;"open",0,IF(AND('Month-End'!$CX$32&lt;&gt;"",NOT(_xlfn.ISFORMULA('Month-End'!$CX$32))),0,IF(OR(Settings!$C$55="",Settings!$D$55=""),0,Settings!$C$55*IF(Settings!$D$55="Weekly",IF(IFERROR(MATCH(Settings!$E$55,$EO$4:$EO$10,0),0)=0,0,IF(MIN(Settings!$B$5,IF(Settings!$G$55="",Settings!$B$5,Settings!$G$55))&lt;MAX($A105,Settings!$F$55),0,INT((MIN(Settings!$B$5,IF(Settings!$G$55="",Settings!$B$5,Settings!$G$55))-MAX($A105,Settings!$F$55)-MOD(IFERROR(MATCH(Settings!$E$55,$EO$4:$EO$10,0),0)-WEEKDAY(MAX($A105,Settings!$F$55)),7))/7)+1)),IF(AND(IF(Settings!$E$55="",$B105,DATE(YEAR($A105),MONTH($A105),MIN(Settings!$E$55,DAY($B105))))&gt;=MAX($A105,Settings!$F$55),IF(Settings!$E$55="",$B105,DATE(YEAR($A105),MONTH($A105),MIN(Settings!$E$55,DAY($B105))))&lt;=MIN(Settings!$B$5,IF(Settings!$G$55="",Settings!$B$5,Settings!$G$55))),1,0)))))</f>
        <v/>
      </c>
      <c r="FE105">
        <f>IF($E105&lt;&gt;"open",0,IF(AND('Month-End'!$CX$33&lt;&gt;"",NOT(_xlfn.ISFORMULA('Month-End'!$CX$33))),0,IF(OR(Settings!$C$56="",Settings!$D$56=""),0,Settings!$C$56*IF(Settings!$D$56="Weekly",IF(IFERROR(MATCH(Settings!$E$56,$EO$4:$EO$10,0),0)=0,0,IF(MIN(Settings!$B$5,IF(Settings!$G$56="",Settings!$B$5,Settings!$G$56))&lt;MAX($A105,Settings!$F$56),0,INT((MIN(Settings!$B$5,IF(Settings!$G$56="",Settings!$B$5,Settings!$G$56))-MAX($A105,Settings!$F$56)-MOD(IFERROR(MATCH(Settings!$E$56,$EO$4:$EO$10,0),0)-WEEKDAY(MAX($A105,Settings!$F$56)),7))/7)+1)),IF(AND(IF(Settings!$E$56="",$B105,DATE(YEAR($A105),MONTH($A105),MIN(Settings!$E$56,DAY($B105))))&gt;=MAX($A105,Settings!$F$56),IF(Settings!$E$56="",$B105,DATE(YEAR($A105),MONTH($A105),MIN(Settings!$E$56,DAY($B105))))&lt;=MIN(Settings!$B$5,IF(Settings!$G$56="",Settings!$B$5,Settings!$G$56))),1,0)))))</f>
        <v/>
      </c>
      <c r="FF105">
        <f>IF(Settings!$I$45="Yes",$G105,0)+IF(Settings!$I$46="Yes",$H105,0)+IF(Settings!$I$47="Yes",$I105,0)+IF(Settings!$I$48="Yes",$J105,0)+IF(Settings!$I$49="Yes",$K105,0)+IF(Settings!$I$50="Yes",$L105,0)+IF(Settings!$I$51="Yes",$M105,0)+IF(Settings!$I$52="Yes",$N105,0)+IF(Settings!$I$53="Yes",$O105,0)+IF(Settings!$I$54="Yes",$P105,0)+IF(Settings!$I$55="Yes",$Q105,0)+IF(Settings!$I$56="Yes",$R105,0)</f>
        <v/>
      </c>
      <c r="FG105">
        <f>IF(AND(Settings!$I$45="Yes",Settings!$J$45="No"),$G105,0)+IF(AND(Settings!$I$46="Yes",Settings!$J$46="No"),$H105,0)+IF(AND(Settings!$I$47="Yes",Settings!$J$47="No"),$I105,0)+IF(AND(Settings!$I$48="Yes",Settings!$J$48="No"),$J105,0)+IF(AND(Settings!$I$49="Yes",Settings!$J$49="No"),$K105,0)+IF(AND(Settings!$I$50="Yes",Settings!$J$50="No"),$L105,0)+IF(AND(Settings!$I$51="Yes",Settings!$J$51="No"),$M105,0)+IF(AND(Settings!$I$52="Yes",Settings!$J$52="No"),$N105,0)+IF(AND(Settings!$I$53="Yes",Settings!$J$53="No"),$O105,0)+IF(AND(Settings!$I$54="Yes",Settings!$J$54="No"),$P105,0)+IF(AND(Settings!$I$55="Yes",Settings!$J$55="No"),$Q105,0)+IF(AND(Settings!$I$56="Yes",Settings!$J$56="No"),$R105,0)</f>
        <v/>
      </c>
      <c r="FH105">
        <f>SUMIFS(Giving!$B$7:$B$2006,Giving!$A$7:$A$2006,"&gt;="&amp;$A105,Giving!$A$7:$A$2006,"&lt;="&amp;$B105,Giving!$G$7:$G$2006,"Yes")+IF(OR(OR(Settings!$B$60="",Settings!$F$60="No"),Settings!$H$60&lt;&gt;"Yes"),0,Settings!$B$60*IF(AND(IF(Settings!$C$60="",$B105,DATE(YEAR($A105),MONTH($A105),MIN(Settings!$C$60,DAY($B105))))&gt;=MAX($A105,Settings!$D$60),IF(Settings!$C$60="",$B105,DATE(YEAR($A105),MONTH($A105),MIN(Settings!$C$60,DAY($B105))))&lt;=MIN($C105,IF(Settings!$E$60="",$C105,Settings!$E$60))),1,0))+IF(OR(OR(Settings!$B$61="",Settings!$F$61="No"),Settings!$H$61&lt;&gt;"Yes"),0,Settings!$B$61*IF(AND(IF(Settings!$C$61="",$B105,DATE(YEAR($A105),MONTH($A105),MIN(Settings!$C$61,DAY($B105))))&gt;=MAX($A105,Settings!$D$61),IF(Settings!$C$61="",$B105,DATE(YEAR($A105),MONTH($A105),MIN(Settings!$C$61,DAY($B105))))&lt;=MIN($C105,IF(Settings!$E$61="",$C105,Settings!$E$61))),1,0))+IF(OR(OR(Settings!$B$62="",Settings!$F$62="No"),Settings!$H$62&lt;&gt;"Yes"),0,Settings!$B$62*IF(AND(IF(Settings!$C$62="",$B105,DATE(YEAR($A105),MONTH($A105),MIN(Settings!$C$62,DAY($B105))))&gt;=MAX($A105,Settings!$D$62),IF(Settings!$C$62="",$B105,DATE(YEAR($A105),MONTH($A105),MIN(Settings!$C$62,DAY($B105))))&lt;=MIN($C105,IF(Settings!$E$62="",$C105,Settings!$E$62))),1,0))+IF(OR(OR(Settings!$B$63="",Settings!$F$63="No"),Settings!$H$63&lt;&gt;"Yes"),0,Settings!$B$63*IF(AND(IF(Settings!$C$63="",$B105,DATE(YEAR($A105),MONTH($A105),MIN(Settings!$C$63,DAY($B105))))&gt;=MAX($A105,Settings!$D$63),IF(Settings!$C$63="",$B105,DATE(YEAR($A105),MONTH($A105),MIN(Settings!$C$63,DAY($B105))))&lt;=MIN($C105,IF(Settings!$E$63="",$C105,Settings!$E$63))),1,0))+IF(OR(OR(Settings!$B$64="",Settings!$F$64="No"),Settings!$H$64&lt;&gt;"Yes"),0,Settings!$B$64*IF(AND(IF(Settings!$C$64="",$B105,DATE(YEAR($A105),MONTH($A105),MIN(Settings!$C$64,DAY($B105))))&gt;=MAX($A105,Settings!$D$64),IF(Settings!$C$64="",$B105,DATE(YEAR($A105),MONTH($A105),MIN(Settings!$C$64,DAY($B105))))&lt;=MIN($C105,IF(Settings!$E$64="",$C105,Settings!$E$64))),1,0))+IF(OR(OR(Settings!$B$65="",Settings!$F$65="No"),Settings!$H$65&lt;&gt;"Yes"),0,Settings!$B$65*IF(AND(IF(Settings!$C$65="",$B105,DATE(YEAR($A105),MONTH($A105),MIN(Settings!$C$65,DAY($B105))))&gt;=MAX($A105,Settings!$D$65),IF(Settings!$C$65="",$B105,DATE(YEAR($A105),MONTH($A105),MIN(Settings!$C$65,DAY($B105))))&lt;=MIN($C105,IF(Settings!$E$65="",$C105,Settings!$E$65))),1,0))</f>
        <v/>
      </c>
      <c r="FI105">
        <f>IF($DT105=1,IF(OR(Settings!$B$19="Card",Settings!$B$19="Loan"),N($AE105),0)+IF(OR(Settings!$B$20="Card",Settings!$B$20="Loan"),N($AF105),0)+IF(OR(Settings!$B$21="Card",Settings!$B$21="Loan"),N($AG105),0)+IF(OR(Settings!$B$22="Card",Settings!$B$22="Loan"),N($AH105),0)+IF(OR(Settings!$B$23="Card",Settings!$B$23="Loan"),N($AI105),0)+IF(OR(Settings!$B$24="Card",Settings!$B$24="Loan"),N($AJ105),0)+IF(OR(Settings!$B$25="Card",Settings!$B$25="Loan"),N($AK105),0)+IF(OR(Settings!$B$26="Card",Settings!$B$26="Loan"),N($AL105),0)+IF(OR(Settings!$B$27="Card",Settings!$B$27="Loan"),N($AM105),0)+IF(OR(Settings!$B$28="Card",Settings!$B$28="Loan"),N($AN105),0)+IF(OR(Settings!$B$29="Card",Settings!$B$29="Loan"),N($AO105),0)+IF(OR(Settings!$B$30="Card",Settings!$B$30="Loan"),N($AP105),0)+IF(OR(Settings!$B$31="Card",Settings!$B$31="Loan"),N($AQ105),0)+IF(OR(Settings!$B$32="Card",Settings!$B$32="Loan"),N($AR105),0),"")</f>
        <v/>
      </c>
      <c r="FJ105">
        <f>IF($E105="open",$EB$65,IF($E105="post",IF($E104="pre",$EB$65,$FI104),""))</f>
        <v/>
      </c>
      <c r="FK105">
        <f>IF(AND($DT105=1,$DC105=1),IF(ROUND($FI105-$FJ105,2)&gt;0,1,0),0)</f>
        <v/>
      </c>
      <c r="FL105">
        <f>IF($FK105=1,$FL104+1,0)</f>
        <v/>
      </c>
    </row>
    <row r="106">
      <c r="A106">
        <f>'Month-End'!$CY$4</f>
        <v/>
      </c>
      <c r="B106">
        <f>EOMONTH($A106,0)</f>
        <v/>
      </c>
      <c r="C106">
        <f>MIN($B106,TODAY())</f>
        <v/>
      </c>
      <c r="D106">
        <f>IF($A106&gt;TODAY(),1,0)</f>
        <v/>
      </c>
      <c r="E106">
        <f>IF($B106&lt;=Settings!$B$5,"pre",IF($A106&lt;=Settings!$B$5,"open","post"))</f>
        <v/>
      </c>
      <c r="G106">
        <f>IF('Month-End'!$CY$22="",$BE106,N('Month-End'!$CY$22))</f>
        <v/>
      </c>
      <c r="H106">
        <f>IF('Month-End'!$CY$23="",$BF106,N('Month-End'!$CY$23))</f>
        <v/>
      </c>
      <c r="I106">
        <f>IF('Month-End'!$CY$24="",$BG106,N('Month-End'!$CY$24))</f>
        <v/>
      </c>
      <c r="J106">
        <f>IF('Month-End'!$CY$25="",$BH106,N('Month-End'!$CY$25))</f>
        <v/>
      </c>
      <c r="K106">
        <f>IF('Month-End'!$CY$26="",$BI106,N('Month-End'!$CY$26))</f>
        <v/>
      </c>
      <c r="L106">
        <f>IF('Month-End'!$CY$27="",$BJ106,N('Month-End'!$CY$27))</f>
        <v/>
      </c>
      <c r="M106">
        <f>IF('Month-End'!$CY$28="",$BK106,N('Month-End'!$CY$28))</f>
        <v/>
      </c>
      <c r="N106">
        <f>IF('Month-End'!$CY$29="",$BL106,N('Month-End'!$CY$29))</f>
        <v/>
      </c>
      <c r="O106">
        <f>IF('Month-End'!$CY$30="",$BM106,N('Month-End'!$CY$30))</f>
        <v/>
      </c>
      <c r="P106">
        <f>IF('Month-End'!$CY$31="",$BN106,N('Month-End'!$CY$31))</f>
        <v/>
      </c>
      <c r="Q106">
        <f>IF('Month-End'!$CY$32="",$BO106,N('Month-End'!$CY$32))</f>
        <v/>
      </c>
      <c r="R106">
        <f>IF('Month-End'!$CY$33="",$BP106,N('Month-End'!$CY$33))</f>
        <v/>
      </c>
      <c r="S106">
        <f>$G106+$H106+$I106+$J106+$K106+$L106+$M106+$N106+$O106+$P106+$Q106+$R106</f>
        <v/>
      </c>
      <c r="T106">
        <f>IF($B106&lt;Settings!$B$6,0,IF(Settings!$B$45="Yes",$G106,0)+IF(Settings!$B$46="Yes",$H106,0)+IF(Settings!$B$47="Yes",$I106,0)+IF(Settings!$B$48="Yes",$J106,0)+IF(Settings!$B$49="Yes",$K106,0)+IF(Settings!$B$50="Yes",$L106,0)+IF(Settings!$B$51="Yes",$M106,0)+IF(Settings!$B$52="Yes",$N106,0)+IF(Settings!$B$53="Yes",$O106,0)+IF(Settings!$B$54="Yes",$P106,0)+IF(Settings!$B$55="Yes",$Q106,0)+IF(Settings!$B$56="Yes",$R106,0))</f>
        <v/>
      </c>
      <c r="U106">
        <f>IF(Settings!$B$45="Not Sure",$G106,0)+IF(Settings!$B$46="Not Sure",$H106,0)+IF(Settings!$B$47="Not Sure",$I106,0)+IF(Settings!$B$48="Not Sure",$J106,0)+IF(Settings!$B$49="Not Sure",$K106,0)+IF(Settings!$B$50="Not Sure",$L106,0)+IF(Settings!$B$51="Not Sure",$M106,0)+IF(Settings!$B$52="Not Sure",$N106,0)+IF(Settings!$B$53="Not Sure",$O106,0)+IF(Settings!$B$54="Not Sure",$P106,0)+IF(Settings!$B$55="Not Sure",$Q106,0)+IF(Settings!$B$56="Not Sure",$R106,0)</f>
        <v/>
      </c>
      <c r="V106">
        <f>IF($E106="open",SUM($ET106:$FE106)+N(Settings!$B$13),0)</f>
        <v/>
      </c>
      <c r="W106">
        <f>IF($E106="post",$S106,IF($E106="open",$S106-$V106,0))</f>
        <v/>
      </c>
      <c r="X106">
        <f>SUMIFS(Giving!$B$7:$B$2006,Giving!$A$7:$A$2006,"&gt;="&amp;$A106,Giving!$A$7:$A$2006,"&lt;="&amp;$B106,Giving!$E$7:$E$2006,"&lt;&gt;No")</f>
        <v/>
      </c>
      <c r="Y106">
        <f>SUMIFS(Giving!$B$7:$B$2006,Giving!$A$7:$A$2006,"&gt;="&amp;$A106,Giving!$A$7:$A$2006,"&lt;="&amp;$B106,Giving!$E$7:$E$2006,"No")</f>
        <v/>
      </c>
      <c r="Z106">
        <f>IF(OR(Settings!$B$60="",Settings!$F$60="No"),0,Settings!$B$60*IF(AND(IF(Settings!$C$60="",$B106,DATE(YEAR($A106),MONTH($A106),MIN(Settings!$C$60,DAY($B106))))&gt;=MAX($A106,Settings!$D$60),IF(Settings!$C$60="",$B106,DATE(YEAR($A106),MONTH($A106),MIN(Settings!$C$60,DAY($B106))))&lt;=MIN($C106,IF(Settings!$E$60="",$C106,Settings!$E$60))),1,0))+IF(OR(Settings!$B$61="",Settings!$F$61="No"),0,Settings!$B$61*IF(AND(IF(Settings!$C$61="",$B106,DATE(YEAR($A106),MONTH($A106),MIN(Settings!$C$61,DAY($B106))))&gt;=MAX($A106,Settings!$D$61),IF(Settings!$C$61="",$B106,DATE(YEAR($A106),MONTH($A106),MIN(Settings!$C$61,DAY($B106))))&lt;=MIN($C106,IF(Settings!$E$61="",$C106,Settings!$E$61))),1,0))+IF(OR(Settings!$B$62="",Settings!$F$62="No"),0,Settings!$B$62*IF(AND(IF(Settings!$C$62="",$B106,DATE(YEAR($A106),MONTH($A106),MIN(Settings!$C$62,DAY($B106))))&gt;=MAX($A106,Settings!$D$62),IF(Settings!$C$62="",$B106,DATE(YEAR($A106),MONTH($A106),MIN(Settings!$C$62,DAY($B106))))&lt;=MIN($C106,IF(Settings!$E$62="",$C106,Settings!$E$62))),1,0))+IF(OR(Settings!$B$63="",Settings!$F$63="No"),0,Settings!$B$63*IF(AND(IF(Settings!$C$63="",$B106,DATE(YEAR($A106),MONTH($A106),MIN(Settings!$C$63,DAY($B106))))&gt;=MAX($A106,Settings!$D$63),IF(Settings!$C$63="",$B106,DATE(YEAR($A106),MONTH($A106),MIN(Settings!$C$63,DAY($B106))))&lt;=MIN($C106,IF(Settings!$E$63="",$C106,Settings!$E$63))),1,0))+IF(OR(Settings!$B$64="",Settings!$F$64="No"),0,Settings!$B$64*IF(AND(IF(Settings!$C$64="",$B106,DATE(YEAR($A106),MONTH($A106),MIN(Settings!$C$64,DAY($B106))))&gt;=MAX($A106,Settings!$D$64),IF(Settings!$C$64="",$B106,DATE(YEAR($A106),MONTH($A106),MIN(Settings!$C$64,DAY($B106))))&lt;=MIN($C106,IF(Settings!$E$64="",$C106,Settings!$E$64))),1,0))+IF(OR(Settings!$B$65="",Settings!$F$65="No"),0,Settings!$B$65*IF(AND(IF(Settings!$C$65="",$B106,DATE(YEAR($A106),MONTH($A106),MIN(Settings!$C$65,DAY($B106))))&gt;=MAX($A106,Settings!$D$65),IF(Settings!$C$65="",$B106,DATE(YEAR($A106),MONTH($A106),MIN(Settings!$C$65,DAY($B106))))&lt;=MIN($C106,IF(Settings!$E$65="",$C106,Settings!$E$65))),1,0))</f>
        <v/>
      </c>
      <c r="AA106">
        <f>$X106+$Z106</f>
        <v/>
      </c>
      <c r="AB106">
        <f>IF($E106="post",$AA106,IF($E106="open",SUMIFS(Giving!$B$7:$B$2006,Giving!$A$7:$A$2006,"&gt;"&amp;Settings!$B$5,Giving!$A$7:$A$2006,"&lt;="&amp;$B106,Giving!$E$7:$E$2006,"&lt;&gt;No")+IF(OR(Settings!$B$60="",Settings!$F$60="No"),0,Settings!$B$60*IF(AND(IF(Settings!$C$60="",$B106,DATE(YEAR($A106),MONTH($A106),MIN(Settings!$C$60,DAY($B106))))&gt;=MAX($A106,Settings!$D$60,Settings!$B$5+1),IF(Settings!$C$60="",$B106,DATE(YEAR($A106),MONTH($A106),MIN(Settings!$C$60,DAY($B106))))&lt;=MIN($C106,IF(Settings!$E$60="",$C106,Settings!$E$60))),1,0))+IF(OR(Settings!$B$61="",Settings!$F$61="No"),0,Settings!$B$61*IF(AND(IF(Settings!$C$61="",$B106,DATE(YEAR($A106),MONTH($A106),MIN(Settings!$C$61,DAY($B106))))&gt;=MAX($A106,Settings!$D$61,Settings!$B$5+1),IF(Settings!$C$61="",$B106,DATE(YEAR($A106),MONTH($A106),MIN(Settings!$C$61,DAY($B106))))&lt;=MIN($C106,IF(Settings!$E$61="",$C106,Settings!$E$61))),1,0))+IF(OR(Settings!$B$62="",Settings!$F$62="No"),0,Settings!$B$62*IF(AND(IF(Settings!$C$62="",$B106,DATE(YEAR($A106),MONTH($A106),MIN(Settings!$C$62,DAY($B106))))&gt;=MAX($A106,Settings!$D$62,Settings!$B$5+1),IF(Settings!$C$62="",$B106,DATE(YEAR($A106),MONTH($A106),MIN(Settings!$C$62,DAY($B106))))&lt;=MIN($C106,IF(Settings!$E$62="",$C106,Settings!$E$62))),1,0))+IF(OR(Settings!$B$63="",Settings!$F$63="No"),0,Settings!$B$63*IF(AND(IF(Settings!$C$63="",$B106,DATE(YEAR($A106),MONTH($A106),MIN(Settings!$C$63,DAY($B106))))&gt;=MAX($A106,Settings!$D$63,Settings!$B$5+1),IF(Settings!$C$63="",$B106,DATE(YEAR($A106),MONTH($A106),MIN(Settings!$C$63,DAY($B106))))&lt;=MIN($C106,IF(Settings!$E$63="",$C106,Settings!$E$63))),1,0))+IF(OR(Settings!$B$64="",Settings!$F$64="No"),0,Settings!$B$64*IF(AND(IF(Settings!$C$64="",$B106,DATE(YEAR($A106),MONTH($A106),MIN(Settings!$C$64,DAY($B106))))&gt;=MAX($A106,Settings!$D$64,Settings!$B$5+1),IF(Settings!$C$64="",$B106,DATE(YEAR($A106),MONTH($A106),MIN(Settings!$C$64,DAY($B106))))&lt;=MIN($C106,IF(Settings!$E$64="",$C106,Settings!$E$64))),1,0))+IF(OR(Settings!$B$65="",Settings!$F$65="No"),0,Settings!$B$65*IF(AND(IF(Settings!$C$65="",$B106,DATE(YEAR($A106),MONTH($A106),MIN(Settings!$C$65,DAY($B106))))&gt;=MAX($A106,Settings!$D$65,Settings!$B$5+1),IF(Settings!$C$65="",$B106,DATE(YEAR($A106),MONTH($A106),MIN(Settings!$C$65,DAY($B106))))&lt;=MIN($C106,IF(Settings!$E$65="",$C106,Settings!$E$65))),1,0)),0))</f>
        <v/>
      </c>
      <c r="AC106">
        <f>$AY106+$AZ106+$BA106+$BB106+$BC106+$BD106</f>
        <v/>
      </c>
      <c r="AD106">
        <f>$AC106</f>
        <v/>
      </c>
      <c r="AE106">
        <f>IF(OR(Settings!$A$19="",$E106="pre"),"",IF(AND('Month-End'!$CY$7&lt;&gt;"",NOT(_xlfn.ISFORMULA('Month-End'!$CY$7))),N('Month-End'!$CY$7),IF(OR($E106="open",$E105="pre"),N(Settings!$C$19),N($AE105))))</f>
        <v/>
      </c>
      <c r="AF106">
        <f>IF(OR(Settings!$A$20="",$E106="pre"),"",IF(AND('Month-End'!$CY$8&lt;&gt;"",NOT(_xlfn.ISFORMULA('Month-End'!$CY$8))),N('Month-End'!$CY$8),IF(OR($E106="open",$E105="pre"),N(Settings!$C$20),N($AF105))))</f>
        <v/>
      </c>
      <c r="AG106">
        <f>IF(OR(Settings!$A$21="",$E106="pre"),"",IF(AND('Month-End'!$CY$9&lt;&gt;"",NOT(_xlfn.ISFORMULA('Month-End'!$CY$9))),N('Month-End'!$CY$9),IF(OR($E106="open",$E105="pre"),N(Settings!$C$21),N($AG105))))</f>
        <v/>
      </c>
      <c r="AH106">
        <f>IF(OR(Settings!$A$22="",$E106="pre"),"",IF(AND('Month-End'!$CY$10&lt;&gt;"",NOT(_xlfn.ISFORMULA('Month-End'!$CY$10))),N('Month-End'!$CY$10),IF(OR($E106="open",$E105="pre"),N(Settings!$C$22),N($AH105))))</f>
        <v/>
      </c>
      <c r="AI106">
        <f>IF(OR(Settings!$A$23="",$E106="pre"),"",IF(AND('Month-End'!$CY$11&lt;&gt;"",NOT(_xlfn.ISFORMULA('Month-End'!$CY$11))),N('Month-End'!$CY$11),IF(OR($E106="open",$E105="pre"),N(Settings!$C$23),N($AI105))))</f>
        <v/>
      </c>
      <c r="AJ106">
        <f>IF(OR(Settings!$A$24="",$E106="pre"),"",IF(AND('Month-End'!$CY$12&lt;&gt;"",NOT(_xlfn.ISFORMULA('Month-End'!$CY$12))),N('Month-End'!$CY$12),IF(OR($E106="open",$E105="pre"),N(Settings!$C$24),N($AJ105))))</f>
        <v/>
      </c>
      <c r="AK106">
        <f>IF(OR(Settings!$A$25="",$E106="pre"),"",IF(AND('Month-End'!$CY$13&lt;&gt;"",NOT(_xlfn.ISFORMULA('Month-End'!$CY$13))),N('Month-End'!$CY$13),IF(OR($E106="open",$E105="pre"),N(Settings!$C$25),N($AK105))))</f>
        <v/>
      </c>
      <c r="AL106">
        <f>IF(OR(Settings!$A$26="",$E106="pre"),"",IF(AND('Month-End'!$CY$14&lt;&gt;"",NOT(_xlfn.ISFORMULA('Month-End'!$CY$14))),N('Month-End'!$CY$14),IF(OR($E106="open",$E105="pre"),N(Settings!$C$26),N($AL105))))</f>
        <v/>
      </c>
      <c r="AM106">
        <f>IF(OR(Settings!$A$27="",$E106="pre"),"",IF(AND('Month-End'!$CY$15&lt;&gt;"",NOT(_xlfn.ISFORMULA('Month-End'!$CY$15))),N('Month-End'!$CY$15),IF(OR($E106="open",$E105="pre"),N(Settings!$C$27),N($AM105))))</f>
        <v/>
      </c>
      <c r="AN106">
        <f>IF(OR(Settings!$A$28="",$E106="pre"),"",IF(AND('Month-End'!$CY$16&lt;&gt;"",NOT(_xlfn.ISFORMULA('Month-End'!$CY$16))),N('Month-End'!$CY$16),IF(OR($E106="open",$E105="pre"),N(Settings!$C$28),N($AN105))))</f>
        <v/>
      </c>
      <c r="AO106">
        <f>IF(OR(Settings!$A$29="",$E106="pre"),"",IF(AND('Month-End'!$CY$17&lt;&gt;"",NOT(_xlfn.ISFORMULA('Month-End'!$CY$17))),N('Month-End'!$CY$17),IF(OR($E106="open",$E105="pre"),N(Settings!$C$29),N($AO105))))</f>
        <v/>
      </c>
      <c r="AP106">
        <f>IF(OR(Settings!$A$30="",$E106="pre"),"",IF(AND('Month-End'!$CY$18&lt;&gt;"",NOT(_xlfn.ISFORMULA('Month-End'!$CY$18))),N('Month-End'!$CY$18),IF(OR($E106="open",$E105="pre"),N(Settings!$C$30),N($AP105))))</f>
        <v/>
      </c>
      <c r="AQ106">
        <f>IF(OR(Settings!$A$31="",$E106="pre"),"",IF(AND('Month-End'!$CY$19&lt;&gt;"",NOT(_xlfn.ISFORMULA('Month-End'!$CY$19))),N('Month-End'!$CY$19),IF(OR($E106="open",$E105="pre"),N(Settings!$C$31),N($AQ105))))</f>
        <v/>
      </c>
      <c r="AR106">
        <f>IF(OR(Settings!$A$32="",$E106="pre"),"",IF(AND('Month-End'!$CY$20&lt;&gt;"",NOT(_xlfn.ISFORMULA('Month-End'!$CY$20))),N('Month-End'!$CY$20),IF(OR($E106="open",$E105="pre"),N(Settings!$C$32),N($AR105))))</f>
        <v/>
      </c>
      <c r="AS106">
        <f>IF(OR(Settings!$A$36="",$E106="pre"),"",IF(AND('Month-End'!$CY$38&lt;&gt;"",NOT(_xlfn.ISFORMULA('Month-End'!$CY$38))),N('Month-End'!$CY$38),IF(OR($E106="open",$E105="pre"),N(Settings!$C$36),N($AS105))+$AY106))</f>
        <v/>
      </c>
      <c r="AT106">
        <f>IF(OR(Settings!$A$37="",$E106="pre"),"",IF(AND('Month-End'!$CY$39&lt;&gt;"",NOT(_xlfn.ISFORMULA('Month-End'!$CY$39))),N('Month-End'!$CY$39),IF(OR($E106="open",$E105="pre"),N(Settings!$C$37),N($AT105))+$AZ106))</f>
        <v/>
      </c>
      <c r="AU106">
        <f>IF(OR(Settings!$A$38="",$E106="pre"),"",IF(AND('Month-End'!$CY$40&lt;&gt;"",NOT(_xlfn.ISFORMULA('Month-End'!$CY$40))),N('Month-End'!$CY$40),IF(OR($E106="open",$E105="pre"),N(Settings!$C$38),N($AU105))+$BA106))</f>
        <v/>
      </c>
      <c r="AV106">
        <f>IF(OR(Settings!$A$39="",$E106="pre"),"",IF(AND('Month-End'!$CY$41&lt;&gt;"",NOT(_xlfn.ISFORMULA('Month-End'!$CY$41))),N('Month-End'!$CY$41),IF(OR($E106="open",$E105="pre"),N(Settings!$C$39),N($AV105))+$BB106))</f>
        <v/>
      </c>
      <c r="AW106">
        <f>IF(OR(Settings!$A$40="",$E106="pre"),"",IF(AND('Month-End'!$CY$42&lt;&gt;"",NOT(_xlfn.ISFORMULA('Month-End'!$CY$42))),N('Month-End'!$CY$42),IF(OR($E106="open",$E105="pre"),N(Settings!$C$40),N($AW105))+$BC106))</f>
        <v/>
      </c>
      <c r="AX106">
        <f>IF(OR(Settings!$A$41="",$E106="pre"),"",IF(AND('Month-End'!$CY$43&lt;&gt;"",NOT(_xlfn.ISFORMULA('Month-End'!$CY$43))),N('Month-End'!$CY$43),IF(OR($E106="open",$E105="pre"),N(Settings!$C$41),N($AX105))+$BD106))</f>
        <v/>
      </c>
      <c r="AY106">
        <f>IF($E106="pre",0,N('Month-End'!$CY$45))</f>
        <v/>
      </c>
      <c r="AZ106">
        <f>IF($E106="pre",0,N('Month-End'!$CY$46))</f>
        <v/>
      </c>
      <c r="BA106">
        <f>IF($E106="pre",0,N('Month-End'!$CY$47))</f>
        <v/>
      </c>
      <c r="BB106">
        <f>IF($E106="pre",0,N('Month-End'!$CY$48))</f>
        <v/>
      </c>
      <c r="BC106">
        <f>IF($E106="pre",0,N('Month-End'!$CY$49))</f>
        <v/>
      </c>
      <c r="BD106">
        <f>IF($E106="pre",0,N('Month-End'!$CY$50))</f>
        <v/>
      </c>
      <c r="BE106">
        <f>IF(OR(Settings!$C$45="",Settings!$D$45=""),0,Settings!$C$45*IF(Settings!$D$45="Weekly",IF(IFERROR(MATCH(Settings!$E$45,$EO$4:$EO$10,0),0)=0,0,IF(MIN($C106,IF(Settings!$G$45="",$C106,Settings!$G$45))&lt;MAX($A106,Settings!$F$45),0,INT((MIN($C106,IF(Settings!$G$45="",$C106,Settings!$G$45))-MAX($A106,Settings!$F$45)-MOD(IFERROR(MATCH(Settings!$E$45,$EO$4:$EO$10,0),0)-WEEKDAY(MAX($A106,Settings!$F$45)),7))/7)+1)),IF(AND(IF(Settings!$E$45="",$B106,DATE(YEAR($A106),MONTH($A106),MIN(Settings!$E$45,DAY($B106))))&gt;=MAX($A106,Settings!$F$45),IF(Settings!$E$45="",$B106,DATE(YEAR($A106),MONTH($A106),MIN(Settings!$E$45,DAY($B106))))&lt;=MIN($C106,IF(Settings!$G$45="",$C106,Settings!$G$45))),1,0)))</f>
        <v/>
      </c>
      <c r="BF106">
        <f>IF(OR(Settings!$C$46="",Settings!$D$46=""),0,Settings!$C$46*IF(Settings!$D$46="Weekly",IF(IFERROR(MATCH(Settings!$E$46,$EO$4:$EO$10,0),0)=0,0,IF(MIN($C106,IF(Settings!$G$46="",$C106,Settings!$G$46))&lt;MAX($A106,Settings!$F$46),0,INT((MIN($C106,IF(Settings!$G$46="",$C106,Settings!$G$46))-MAX($A106,Settings!$F$46)-MOD(IFERROR(MATCH(Settings!$E$46,$EO$4:$EO$10,0),0)-WEEKDAY(MAX($A106,Settings!$F$46)),7))/7)+1)),IF(AND(IF(Settings!$E$46="",$B106,DATE(YEAR($A106),MONTH($A106),MIN(Settings!$E$46,DAY($B106))))&gt;=MAX($A106,Settings!$F$46),IF(Settings!$E$46="",$B106,DATE(YEAR($A106),MONTH($A106),MIN(Settings!$E$46,DAY($B106))))&lt;=MIN($C106,IF(Settings!$G$46="",$C106,Settings!$G$46))),1,0)))</f>
        <v/>
      </c>
      <c r="BG106">
        <f>IF(OR(Settings!$C$47="",Settings!$D$47=""),0,Settings!$C$47*IF(Settings!$D$47="Weekly",IF(IFERROR(MATCH(Settings!$E$47,$EO$4:$EO$10,0),0)=0,0,IF(MIN($C106,IF(Settings!$G$47="",$C106,Settings!$G$47))&lt;MAX($A106,Settings!$F$47),0,INT((MIN($C106,IF(Settings!$G$47="",$C106,Settings!$G$47))-MAX($A106,Settings!$F$47)-MOD(IFERROR(MATCH(Settings!$E$47,$EO$4:$EO$10,0),0)-WEEKDAY(MAX($A106,Settings!$F$47)),7))/7)+1)),IF(AND(IF(Settings!$E$47="",$B106,DATE(YEAR($A106),MONTH($A106),MIN(Settings!$E$47,DAY($B106))))&gt;=MAX($A106,Settings!$F$47),IF(Settings!$E$47="",$B106,DATE(YEAR($A106),MONTH($A106),MIN(Settings!$E$47,DAY($B106))))&lt;=MIN($C106,IF(Settings!$G$47="",$C106,Settings!$G$47))),1,0)))</f>
        <v/>
      </c>
      <c r="BH106">
        <f>IF(OR(Settings!$C$48="",Settings!$D$48=""),0,Settings!$C$48*IF(Settings!$D$48="Weekly",IF(IFERROR(MATCH(Settings!$E$48,$EO$4:$EO$10,0),0)=0,0,IF(MIN($C106,IF(Settings!$G$48="",$C106,Settings!$G$48))&lt;MAX($A106,Settings!$F$48),0,INT((MIN($C106,IF(Settings!$G$48="",$C106,Settings!$G$48))-MAX($A106,Settings!$F$48)-MOD(IFERROR(MATCH(Settings!$E$48,$EO$4:$EO$10,0),0)-WEEKDAY(MAX($A106,Settings!$F$48)),7))/7)+1)),IF(AND(IF(Settings!$E$48="",$B106,DATE(YEAR($A106),MONTH($A106),MIN(Settings!$E$48,DAY($B106))))&gt;=MAX($A106,Settings!$F$48),IF(Settings!$E$48="",$B106,DATE(YEAR($A106),MONTH($A106),MIN(Settings!$E$48,DAY($B106))))&lt;=MIN($C106,IF(Settings!$G$48="",$C106,Settings!$G$48))),1,0)))</f>
        <v/>
      </c>
      <c r="BI106">
        <f>IF(OR(Settings!$C$49="",Settings!$D$49=""),0,Settings!$C$49*IF(Settings!$D$49="Weekly",IF(IFERROR(MATCH(Settings!$E$49,$EO$4:$EO$10,0),0)=0,0,IF(MIN($C106,IF(Settings!$G$49="",$C106,Settings!$G$49))&lt;MAX($A106,Settings!$F$49),0,INT((MIN($C106,IF(Settings!$G$49="",$C106,Settings!$G$49))-MAX($A106,Settings!$F$49)-MOD(IFERROR(MATCH(Settings!$E$49,$EO$4:$EO$10,0),0)-WEEKDAY(MAX($A106,Settings!$F$49)),7))/7)+1)),IF(AND(IF(Settings!$E$49="",$B106,DATE(YEAR($A106),MONTH($A106),MIN(Settings!$E$49,DAY($B106))))&gt;=MAX($A106,Settings!$F$49),IF(Settings!$E$49="",$B106,DATE(YEAR($A106),MONTH($A106),MIN(Settings!$E$49,DAY($B106))))&lt;=MIN($C106,IF(Settings!$G$49="",$C106,Settings!$G$49))),1,0)))</f>
        <v/>
      </c>
      <c r="BJ106">
        <f>IF(OR(Settings!$C$50="",Settings!$D$50=""),0,Settings!$C$50*IF(Settings!$D$50="Weekly",IF(IFERROR(MATCH(Settings!$E$50,$EO$4:$EO$10,0),0)=0,0,IF(MIN($C106,IF(Settings!$G$50="",$C106,Settings!$G$50))&lt;MAX($A106,Settings!$F$50),0,INT((MIN($C106,IF(Settings!$G$50="",$C106,Settings!$G$50))-MAX($A106,Settings!$F$50)-MOD(IFERROR(MATCH(Settings!$E$50,$EO$4:$EO$10,0),0)-WEEKDAY(MAX($A106,Settings!$F$50)),7))/7)+1)),IF(AND(IF(Settings!$E$50="",$B106,DATE(YEAR($A106),MONTH($A106),MIN(Settings!$E$50,DAY($B106))))&gt;=MAX($A106,Settings!$F$50),IF(Settings!$E$50="",$B106,DATE(YEAR($A106),MONTH($A106),MIN(Settings!$E$50,DAY($B106))))&lt;=MIN($C106,IF(Settings!$G$50="",$C106,Settings!$G$50))),1,0)))</f>
        <v/>
      </c>
      <c r="BK106">
        <f>IF(OR(Settings!$C$51="",Settings!$D$51=""),0,Settings!$C$51*IF(Settings!$D$51="Weekly",IF(IFERROR(MATCH(Settings!$E$51,$EO$4:$EO$10,0),0)=0,0,IF(MIN($C106,IF(Settings!$G$51="",$C106,Settings!$G$51))&lt;MAX($A106,Settings!$F$51),0,INT((MIN($C106,IF(Settings!$G$51="",$C106,Settings!$G$51))-MAX($A106,Settings!$F$51)-MOD(IFERROR(MATCH(Settings!$E$51,$EO$4:$EO$10,0),0)-WEEKDAY(MAX($A106,Settings!$F$51)),7))/7)+1)),IF(AND(IF(Settings!$E$51="",$B106,DATE(YEAR($A106),MONTH($A106),MIN(Settings!$E$51,DAY($B106))))&gt;=MAX($A106,Settings!$F$51),IF(Settings!$E$51="",$B106,DATE(YEAR($A106),MONTH($A106),MIN(Settings!$E$51,DAY($B106))))&lt;=MIN($C106,IF(Settings!$G$51="",$C106,Settings!$G$51))),1,0)))</f>
        <v/>
      </c>
      <c r="BL106">
        <f>IF(OR(Settings!$C$52="",Settings!$D$52=""),0,Settings!$C$52*IF(Settings!$D$52="Weekly",IF(IFERROR(MATCH(Settings!$E$52,$EO$4:$EO$10,0),0)=0,0,IF(MIN($C106,IF(Settings!$G$52="",$C106,Settings!$G$52))&lt;MAX($A106,Settings!$F$52),0,INT((MIN($C106,IF(Settings!$G$52="",$C106,Settings!$G$52))-MAX($A106,Settings!$F$52)-MOD(IFERROR(MATCH(Settings!$E$52,$EO$4:$EO$10,0),0)-WEEKDAY(MAX($A106,Settings!$F$52)),7))/7)+1)),IF(AND(IF(Settings!$E$52="",$B106,DATE(YEAR($A106),MONTH($A106),MIN(Settings!$E$52,DAY($B106))))&gt;=MAX($A106,Settings!$F$52),IF(Settings!$E$52="",$B106,DATE(YEAR($A106),MONTH($A106),MIN(Settings!$E$52,DAY($B106))))&lt;=MIN($C106,IF(Settings!$G$52="",$C106,Settings!$G$52))),1,0)))</f>
        <v/>
      </c>
      <c r="BM106">
        <f>IF(OR(Settings!$C$53="",Settings!$D$53=""),0,Settings!$C$53*IF(Settings!$D$53="Weekly",IF(IFERROR(MATCH(Settings!$E$53,$EO$4:$EO$10,0),0)=0,0,IF(MIN($C106,IF(Settings!$G$53="",$C106,Settings!$G$53))&lt;MAX($A106,Settings!$F$53),0,INT((MIN($C106,IF(Settings!$G$53="",$C106,Settings!$G$53))-MAX($A106,Settings!$F$53)-MOD(IFERROR(MATCH(Settings!$E$53,$EO$4:$EO$10,0),0)-WEEKDAY(MAX($A106,Settings!$F$53)),7))/7)+1)),IF(AND(IF(Settings!$E$53="",$B106,DATE(YEAR($A106),MONTH($A106),MIN(Settings!$E$53,DAY($B106))))&gt;=MAX($A106,Settings!$F$53),IF(Settings!$E$53="",$B106,DATE(YEAR($A106),MONTH($A106),MIN(Settings!$E$53,DAY($B106))))&lt;=MIN($C106,IF(Settings!$G$53="",$C106,Settings!$G$53))),1,0)))</f>
        <v/>
      </c>
      <c r="BN106">
        <f>IF(OR(Settings!$C$54="",Settings!$D$54=""),0,Settings!$C$54*IF(Settings!$D$54="Weekly",IF(IFERROR(MATCH(Settings!$E$54,$EO$4:$EO$10,0),0)=0,0,IF(MIN($C106,IF(Settings!$G$54="",$C106,Settings!$G$54))&lt;MAX($A106,Settings!$F$54),0,INT((MIN($C106,IF(Settings!$G$54="",$C106,Settings!$G$54))-MAX($A106,Settings!$F$54)-MOD(IFERROR(MATCH(Settings!$E$54,$EO$4:$EO$10,0),0)-WEEKDAY(MAX($A106,Settings!$F$54)),7))/7)+1)),IF(AND(IF(Settings!$E$54="",$B106,DATE(YEAR($A106),MONTH($A106),MIN(Settings!$E$54,DAY($B106))))&gt;=MAX($A106,Settings!$F$54),IF(Settings!$E$54="",$B106,DATE(YEAR($A106),MONTH($A106),MIN(Settings!$E$54,DAY($B106))))&lt;=MIN($C106,IF(Settings!$G$54="",$C106,Settings!$G$54))),1,0)))</f>
        <v/>
      </c>
      <c r="BO106">
        <f>IF(OR(Settings!$C$55="",Settings!$D$55=""),0,Settings!$C$55*IF(Settings!$D$55="Weekly",IF(IFERROR(MATCH(Settings!$E$55,$EO$4:$EO$10,0),0)=0,0,IF(MIN($C106,IF(Settings!$G$55="",$C106,Settings!$G$55))&lt;MAX($A106,Settings!$F$55),0,INT((MIN($C106,IF(Settings!$G$55="",$C106,Settings!$G$55))-MAX($A106,Settings!$F$55)-MOD(IFERROR(MATCH(Settings!$E$55,$EO$4:$EO$10,0),0)-WEEKDAY(MAX($A106,Settings!$F$55)),7))/7)+1)),IF(AND(IF(Settings!$E$55="",$B106,DATE(YEAR($A106),MONTH($A106),MIN(Settings!$E$55,DAY($B106))))&gt;=MAX($A106,Settings!$F$55),IF(Settings!$E$55="",$B106,DATE(YEAR($A106),MONTH($A106),MIN(Settings!$E$55,DAY($B106))))&lt;=MIN($C106,IF(Settings!$G$55="",$C106,Settings!$G$55))),1,0)))</f>
        <v/>
      </c>
      <c r="BP106">
        <f>IF(OR(Settings!$C$56="",Settings!$D$56=""),0,Settings!$C$56*IF(Settings!$D$56="Weekly",IF(IFERROR(MATCH(Settings!$E$56,$EO$4:$EO$10,0),0)=0,0,IF(MIN($C106,IF(Settings!$G$56="",$C106,Settings!$G$56))&lt;MAX($A106,Settings!$F$56),0,INT((MIN($C106,IF(Settings!$G$56="",$C106,Settings!$G$56))-MAX($A106,Settings!$F$56)-MOD(IFERROR(MATCH(Settings!$E$56,$EO$4:$EO$10,0),0)-WEEKDAY(MAX($A106,Settings!$F$56)),7))/7)+1)),IF(AND(IF(Settings!$E$56="",$B106,DATE(YEAR($A106),MONTH($A106),MIN(Settings!$E$56,DAY($B106))))&gt;=MAX($A106,Settings!$F$56),IF(Settings!$E$56="",$B106,DATE(YEAR($A106),MONTH($A106),MIN(Settings!$E$56,DAY($B106))))&lt;=MIN($C106,IF(Settings!$G$56="",$C106,Settings!$G$56))),1,0)))</f>
        <v/>
      </c>
      <c r="BQ106">
        <f>IF(OR(Settings!$B$14="",$D106=1,$E106="pre",$A106&lt;IF(Settings!$B$15="",0,Settings!$B$15)),0,Settings!$B$14)</f>
        <v/>
      </c>
      <c r="BR106">
        <f>IF(AND('Month-End'!$CY$7&lt;&gt;"",NOT(_xlfn.ISFORMULA('Month-End'!$CY$7))),1,0)</f>
        <v/>
      </c>
      <c r="BS106">
        <f>IF(AND('Month-End'!$CY$8&lt;&gt;"",NOT(_xlfn.ISFORMULA('Month-End'!$CY$8))),1,0)</f>
        <v/>
      </c>
      <c r="BT106">
        <f>IF(AND('Month-End'!$CY$9&lt;&gt;"",NOT(_xlfn.ISFORMULA('Month-End'!$CY$9))),1,0)</f>
        <v/>
      </c>
      <c r="BU106">
        <f>IF(AND('Month-End'!$CY$10&lt;&gt;"",NOT(_xlfn.ISFORMULA('Month-End'!$CY$10))),1,0)</f>
        <v/>
      </c>
      <c r="BV106">
        <f>IF(AND('Month-End'!$CY$11&lt;&gt;"",NOT(_xlfn.ISFORMULA('Month-End'!$CY$11))),1,0)</f>
        <v/>
      </c>
      <c r="BW106">
        <f>IF(AND('Month-End'!$CY$12&lt;&gt;"",NOT(_xlfn.ISFORMULA('Month-End'!$CY$12))),1,0)</f>
        <v/>
      </c>
      <c r="BX106">
        <f>IF(AND('Month-End'!$CY$13&lt;&gt;"",NOT(_xlfn.ISFORMULA('Month-End'!$CY$13))),1,0)</f>
        <v/>
      </c>
      <c r="BY106">
        <f>IF(AND('Month-End'!$CY$14&lt;&gt;"",NOT(_xlfn.ISFORMULA('Month-End'!$CY$14))),1,0)</f>
        <v/>
      </c>
      <c r="BZ106">
        <f>IF(AND('Month-End'!$CY$15&lt;&gt;"",NOT(_xlfn.ISFORMULA('Month-End'!$CY$15))),1,0)</f>
        <v/>
      </c>
      <c r="CA106">
        <f>IF(AND('Month-End'!$CY$16&lt;&gt;"",NOT(_xlfn.ISFORMULA('Month-End'!$CY$16))),1,0)</f>
        <v/>
      </c>
      <c r="CB106">
        <f>IF(AND('Month-End'!$CY$17&lt;&gt;"",NOT(_xlfn.ISFORMULA('Month-End'!$CY$17))),1,0)</f>
        <v/>
      </c>
      <c r="CC106">
        <f>IF(AND('Month-End'!$CY$18&lt;&gt;"",NOT(_xlfn.ISFORMULA('Month-End'!$CY$18))),1,0)</f>
        <v/>
      </c>
      <c r="CD106">
        <f>IF(AND('Month-End'!$CY$19&lt;&gt;"",NOT(_xlfn.ISFORMULA('Month-End'!$CY$19))),1,0)</f>
        <v/>
      </c>
      <c r="CE106">
        <f>IF(AND('Month-End'!$CY$20&lt;&gt;"",NOT(_xlfn.ISFORMULA('Month-End'!$CY$20))),1,0)</f>
        <v/>
      </c>
      <c r="CF106">
        <f>IF(AND('Month-End'!$CY$38&lt;&gt;"",NOT(_xlfn.ISFORMULA('Month-End'!$CY$38))),1,0)</f>
        <v/>
      </c>
      <c r="CG106">
        <f>IF(AND('Month-End'!$CY$39&lt;&gt;"",NOT(_xlfn.ISFORMULA('Month-End'!$CY$39))),1,0)</f>
        <v/>
      </c>
      <c r="CH106">
        <f>IF(AND('Month-End'!$CY$40&lt;&gt;"",NOT(_xlfn.ISFORMULA('Month-End'!$CY$40))),1,0)</f>
        <v/>
      </c>
      <c r="CI106">
        <f>IF(AND('Month-End'!$CY$41&lt;&gt;"",NOT(_xlfn.ISFORMULA('Month-End'!$CY$41))),1,0)</f>
        <v/>
      </c>
      <c r="CJ106">
        <f>IF(AND('Month-End'!$CY$42&lt;&gt;"",NOT(_xlfn.ISFORMULA('Month-End'!$CY$42))),1,0)</f>
        <v/>
      </c>
      <c r="CK106">
        <f>IF(AND('Month-End'!$CY$43&lt;&gt;"",NOT(_xlfn.ISFORMULA('Month-End'!$CY$43))),1,0)</f>
        <v/>
      </c>
      <c r="CL106">
        <f>SUM($CM106:$CZ106)</f>
        <v/>
      </c>
      <c r="CM106">
        <f>IF(AND($E106&lt;&gt;"pre",AND(Settings!$A$19&lt;&gt;"",Settings!$E$19&lt;&gt;"No"),Settings!$F$19="Yes",NOT(AND('Month-End'!$CY$7&lt;&gt;"",NOT(_xlfn.ISFORMULA('Month-End'!$CY$7))))),1,0)</f>
        <v/>
      </c>
      <c r="CN106">
        <f>IF(AND($E106&lt;&gt;"pre",AND(Settings!$A$20&lt;&gt;"",Settings!$E$20&lt;&gt;"No"),Settings!$F$20="Yes",NOT(AND('Month-End'!$CY$8&lt;&gt;"",NOT(_xlfn.ISFORMULA('Month-End'!$CY$8))))),1,0)</f>
        <v/>
      </c>
      <c r="CO106">
        <f>IF(AND($E106&lt;&gt;"pre",AND(Settings!$A$21&lt;&gt;"",Settings!$E$21&lt;&gt;"No"),Settings!$F$21="Yes",NOT(AND('Month-End'!$CY$9&lt;&gt;"",NOT(_xlfn.ISFORMULA('Month-End'!$CY$9))))),1,0)</f>
        <v/>
      </c>
      <c r="CP106">
        <f>IF(AND($E106&lt;&gt;"pre",AND(Settings!$A$22&lt;&gt;"",Settings!$E$22&lt;&gt;"No"),Settings!$F$22="Yes",NOT(AND('Month-End'!$CY$10&lt;&gt;"",NOT(_xlfn.ISFORMULA('Month-End'!$CY$10))))),1,0)</f>
        <v/>
      </c>
      <c r="CQ106">
        <f>IF(AND($E106&lt;&gt;"pre",AND(Settings!$A$23&lt;&gt;"",Settings!$E$23&lt;&gt;"No"),Settings!$F$23="Yes",NOT(AND('Month-End'!$CY$11&lt;&gt;"",NOT(_xlfn.ISFORMULA('Month-End'!$CY$11))))),1,0)</f>
        <v/>
      </c>
      <c r="CR106">
        <f>IF(AND($E106&lt;&gt;"pre",AND(Settings!$A$24&lt;&gt;"",Settings!$E$24&lt;&gt;"No"),Settings!$F$24="Yes",NOT(AND('Month-End'!$CY$12&lt;&gt;"",NOT(_xlfn.ISFORMULA('Month-End'!$CY$12))))),1,0)</f>
        <v/>
      </c>
      <c r="CS106">
        <f>IF(AND($E106&lt;&gt;"pre",AND(Settings!$A$25&lt;&gt;"",Settings!$E$25&lt;&gt;"No"),Settings!$F$25="Yes",NOT(AND('Month-End'!$CY$13&lt;&gt;"",NOT(_xlfn.ISFORMULA('Month-End'!$CY$13))))),1,0)</f>
        <v/>
      </c>
      <c r="CT106">
        <f>IF(AND($E106&lt;&gt;"pre",AND(Settings!$A$26&lt;&gt;"",Settings!$E$26&lt;&gt;"No"),Settings!$F$26="Yes",NOT(AND('Month-End'!$CY$14&lt;&gt;"",NOT(_xlfn.ISFORMULA('Month-End'!$CY$14))))),1,0)</f>
        <v/>
      </c>
      <c r="CU106">
        <f>IF(AND($E106&lt;&gt;"pre",AND(Settings!$A$27&lt;&gt;"",Settings!$E$27&lt;&gt;"No"),Settings!$F$27="Yes",NOT(AND('Month-End'!$CY$15&lt;&gt;"",NOT(_xlfn.ISFORMULA('Month-End'!$CY$15))))),1,0)</f>
        <v/>
      </c>
      <c r="CV106">
        <f>IF(AND($E106&lt;&gt;"pre",AND(Settings!$A$28&lt;&gt;"",Settings!$E$28&lt;&gt;"No"),Settings!$F$28="Yes",NOT(AND('Month-End'!$CY$16&lt;&gt;"",NOT(_xlfn.ISFORMULA('Month-End'!$CY$16))))),1,0)</f>
        <v/>
      </c>
      <c r="CW106">
        <f>IF(AND($E106&lt;&gt;"pre",AND(Settings!$A$29&lt;&gt;"",Settings!$E$29&lt;&gt;"No"),Settings!$F$29="Yes",NOT(AND('Month-End'!$CY$17&lt;&gt;"",NOT(_xlfn.ISFORMULA('Month-End'!$CY$17))))),1,0)</f>
        <v/>
      </c>
      <c r="CX106">
        <f>IF(AND($E106&lt;&gt;"pre",AND(Settings!$A$30&lt;&gt;"",Settings!$E$30&lt;&gt;"No"),Settings!$F$30="Yes",NOT(AND('Month-End'!$CY$18&lt;&gt;"",NOT(_xlfn.ISFORMULA('Month-End'!$CY$18))))),1,0)</f>
        <v/>
      </c>
      <c r="CY106">
        <f>IF(AND($E106&lt;&gt;"pre",AND(Settings!$A$31&lt;&gt;"",Settings!$E$31&lt;&gt;"No"),Settings!$F$31="Yes",NOT(AND('Month-End'!$CY$19&lt;&gt;"",NOT(_xlfn.ISFORMULA('Month-End'!$CY$19))))),1,0)</f>
        <v/>
      </c>
      <c r="CZ106">
        <f>IF(AND($E106&lt;&gt;"pre",AND(Settings!$A$32&lt;&gt;"",Settings!$E$32&lt;&gt;"No"),Settings!$F$32="Yes",NOT(AND('Month-End'!$CY$20&lt;&gt;"",NOT(_xlfn.ISFORMULA('Month-End'!$CY$20))))),1,0)</f>
        <v/>
      </c>
      <c r="DA106">
        <f>IF($DT106=1,IF(OR(Settings!$B$19="Checking",Settings!$B$19="Savings",Settings!$B$19="Cash"),N($AE106),IF(OR(Settings!$B$19="Card",Settings!$B$19="Loan"),-N($AE106),0))+IF(OR(Settings!$B$20="Checking",Settings!$B$20="Savings",Settings!$B$20="Cash"),N($AF106),IF(OR(Settings!$B$20="Card",Settings!$B$20="Loan"),-N($AF106),0))+IF(OR(Settings!$B$21="Checking",Settings!$B$21="Savings",Settings!$B$21="Cash"),N($AG106),IF(OR(Settings!$B$21="Card",Settings!$B$21="Loan"),-N($AG106),0))+IF(OR(Settings!$B$22="Checking",Settings!$B$22="Savings",Settings!$B$22="Cash"),N($AH106),IF(OR(Settings!$B$22="Card",Settings!$B$22="Loan"),-N($AH106),0))+IF(OR(Settings!$B$23="Checking",Settings!$B$23="Savings",Settings!$B$23="Cash"),N($AI106),IF(OR(Settings!$B$23="Card",Settings!$B$23="Loan"),-N($AI106),0))+IF(OR(Settings!$B$24="Checking",Settings!$B$24="Savings",Settings!$B$24="Cash"),N($AJ106),IF(OR(Settings!$B$24="Card",Settings!$B$24="Loan"),-N($AJ106),0))+IF(OR(Settings!$B$25="Checking",Settings!$B$25="Savings",Settings!$B$25="Cash"),N($AK106),IF(OR(Settings!$B$25="Card",Settings!$B$25="Loan"),-N($AK106),0))+IF(OR(Settings!$B$26="Checking",Settings!$B$26="Savings",Settings!$B$26="Cash"),N($AL106),IF(OR(Settings!$B$26="Card",Settings!$B$26="Loan"),-N($AL106),0))+IF(OR(Settings!$B$27="Checking",Settings!$B$27="Savings",Settings!$B$27="Cash"),N($AM106),IF(OR(Settings!$B$27="Card",Settings!$B$27="Loan"),-N($AM106),0))+IF(OR(Settings!$B$28="Checking",Settings!$B$28="Savings",Settings!$B$28="Cash"),N($AN106),IF(OR(Settings!$B$28="Card",Settings!$B$28="Loan"),-N($AN106),0))+IF(OR(Settings!$B$29="Checking",Settings!$B$29="Savings",Settings!$B$29="Cash"),N($AO106),IF(OR(Settings!$B$29="Card",Settings!$B$29="Loan"),-N($AO106),0))+IF(OR(Settings!$B$30="Checking",Settings!$B$30="Savings",Settings!$B$30="Cash"),N($AP106),IF(OR(Settings!$B$30="Card",Settings!$B$30="Loan"),-N($AP106),0))+IF(OR(Settings!$B$31="Checking",Settings!$B$31="Savings",Settings!$B$31="Cash"),N($AQ106),IF(OR(Settings!$B$31="Card",Settings!$B$31="Loan"),-N($AQ106),0))+IF(OR(Settings!$B$32="Checking",Settings!$B$32="Savings",Settings!$B$32="Cash"),N($AR106),IF(OR(Settings!$B$32="Card",Settings!$B$32="Loan"),-N($AR106),0)),"")</f>
        <v/>
      </c>
      <c r="DB106">
        <f>IF($E106="open",$EB$27,IF($E106="post",IF($E105="pre",$EB$27,$DA105),""))</f>
        <v/>
      </c>
      <c r="DC106">
        <f>IF($E106="open",1,IF($E106="post",IF($E105="pre",1,$DT105),0))</f>
        <v/>
      </c>
      <c r="DD106">
        <f>IF(AND($DT106=1,$DC106=1),ROUND($W106-($DA106-$DB106)-$AD106-$AB106,2),"")</f>
        <v/>
      </c>
      <c r="DE106">
        <f>IF('Month-End'!$CY$35="",$BQ106,N('Month-End'!$CY$35))</f>
        <v/>
      </c>
      <c r="DF106">
        <f>N('Month-End'!$CY$36)</f>
        <v/>
      </c>
      <c r="DG106">
        <f>IF($DD106="","",$DD106+$DE106)</f>
        <v/>
      </c>
      <c r="DH106">
        <f>IF($DG106="","",$DG106-$DF106)</f>
        <v/>
      </c>
      <c r="DI106">
        <f>IF(OR($E106="pre",$D106=1),"",N($AS106)+N($AT106)+N($AU106)+N($AV106)+N($AW106)+N($AX106))</f>
        <v/>
      </c>
      <c r="DJ106">
        <f>IF($DT106=1,$DA106+N($DI106),"")</f>
        <v/>
      </c>
      <c r="DK106">
        <f>IF($DD106="","",$W106-$DD106-$AB106)</f>
        <v/>
      </c>
      <c r="DL106">
        <f>IF(AND($E106="post",$DD106&lt;&gt;"",$B106&lt;TODAY()),1,0)</f>
        <v/>
      </c>
      <c r="DM106">
        <f>IF($DL106=1,COUNTIF($DL106:$DL$183,1),0)</f>
        <v/>
      </c>
      <c r="DN106">
        <f>IF($D106=1,"",IF($E106="pre","History only",IF($DT106=1,IF($DD106="","⚠ Previous month missing",IF($DD106&lt;0,"⚠ Check: spending &lt; 0",IF($E106="open","✓ Done (partial)","✓ Done"))),IF($B106&gt;=TODAY(),"In progress","⚠ Needs balances"))))</f>
        <v/>
      </c>
      <c r="DO106">
        <f>YEAR($A106)</f>
        <v/>
      </c>
      <c r="DP106">
        <f>DATE(YEAR($A106),INT((MONTH($A106)-1)/3)*3+1,1)</f>
        <v/>
      </c>
      <c r="DQ106">
        <f>IF(AND($DT106=1,$DD106&lt;&gt;"",$D106=0),ROW(),0)</f>
        <v/>
      </c>
      <c r="DR106">
        <f>IF(AND($E106&lt;&gt;"pre",$B106&lt;TODAY(),$DT106=0),1,0)</f>
        <v/>
      </c>
      <c r="DS106">
        <f>IF($DJ106="",NA(),$DJ106)</f>
        <v/>
      </c>
      <c r="DT106">
        <f>IF(AND($E106&lt;&gt;"pre",$CL106=0,COUNTIFS(Settings!$F$19:$F$32,"Yes",Settings!$A$19:$A$32,"&lt;&gt;",Settings!$E$19:$E$32,"&lt;&gt;No")&gt;0),1,0)</f>
        <v/>
      </c>
      <c r="DU106">
        <f>IF(AND($B106&lt;TODAY(),$S106&gt;0),1,0)</f>
        <v/>
      </c>
      <c r="DV106">
        <f>IF($DU106=1,COUNTIF($DU106:$DU$183,1),0)</f>
        <v/>
      </c>
      <c r="DW106">
        <f>IF(AND(OR(Settings!$B$19="Card",Settings!$B$19="Loan"),AND('Month-End'!$CY$7&lt;&gt;"",NOT(_xlfn.ISFORMULA('Month-End'!$CY$7)))),IF(N('Month-End'!$CY$7)&lt;0,1,0),0)+IF(AND(OR(Settings!$B$20="Card",Settings!$B$20="Loan"),AND('Month-End'!$CY$8&lt;&gt;"",NOT(_xlfn.ISFORMULA('Month-End'!$CY$8)))),IF(N('Month-End'!$CY$8)&lt;0,1,0),0)+IF(AND(OR(Settings!$B$21="Card",Settings!$B$21="Loan"),AND('Month-End'!$CY$9&lt;&gt;"",NOT(_xlfn.ISFORMULA('Month-End'!$CY$9)))),IF(N('Month-End'!$CY$9)&lt;0,1,0),0)+IF(AND(OR(Settings!$B$22="Card",Settings!$B$22="Loan"),AND('Month-End'!$CY$10&lt;&gt;"",NOT(_xlfn.ISFORMULA('Month-End'!$CY$10)))),IF(N('Month-End'!$CY$10)&lt;0,1,0),0)+IF(AND(OR(Settings!$B$23="Card",Settings!$B$23="Loan"),AND('Month-End'!$CY$11&lt;&gt;"",NOT(_xlfn.ISFORMULA('Month-End'!$CY$11)))),IF(N('Month-End'!$CY$11)&lt;0,1,0),0)+IF(AND(OR(Settings!$B$24="Card",Settings!$B$24="Loan"),AND('Month-End'!$CY$12&lt;&gt;"",NOT(_xlfn.ISFORMULA('Month-End'!$CY$12)))),IF(N('Month-End'!$CY$12)&lt;0,1,0),0)+IF(AND(OR(Settings!$B$25="Card",Settings!$B$25="Loan"),AND('Month-End'!$CY$13&lt;&gt;"",NOT(_xlfn.ISFORMULA('Month-End'!$CY$13)))),IF(N('Month-End'!$CY$13)&lt;0,1,0),0)+IF(AND(OR(Settings!$B$26="Card",Settings!$B$26="Loan"),AND('Month-End'!$CY$14&lt;&gt;"",NOT(_xlfn.ISFORMULA('Month-End'!$CY$14)))),IF(N('Month-End'!$CY$14)&lt;0,1,0),0)+IF(AND(OR(Settings!$B$27="Card",Settings!$B$27="Loan"),AND('Month-End'!$CY$15&lt;&gt;"",NOT(_xlfn.ISFORMULA('Month-End'!$CY$15)))),IF(N('Month-End'!$CY$15)&lt;0,1,0),0)+IF(AND(OR(Settings!$B$28="Card",Settings!$B$28="Loan"),AND('Month-End'!$CY$16&lt;&gt;"",NOT(_xlfn.ISFORMULA('Month-End'!$CY$16)))),IF(N('Month-End'!$CY$16)&lt;0,1,0),0)+IF(AND(OR(Settings!$B$29="Card",Settings!$B$29="Loan"),AND('Month-End'!$CY$17&lt;&gt;"",NOT(_xlfn.ISFORMULA('Month-End'!$CY$17)))),IF(N('Month-End'!$CY$17)&lt;0,1,0),0)+IF(AND(OR(Settings!$B$30="Card",Settings!$B$30="Loan"),AND('Month-End'!$CY$18&lt;&gt;"",NOT(_xlfn.ISFORMULA('Month-End'!$CY$18)))),IF(N('Month-End'!$CY$18)&lt;0,1,0),0)+IF(AND(OR(Settings!$B$31="Card",Settings!$B$31="Loan"),AND('Month-End'!$CY$19&lt;&gt;"",NOT(_xlfn.ISFORMULA('Month-End'!$CY$19)))),IF(N('Month-End'!$CY$19)&lt;0,1,0),0)+IF(AND(OR(Settings!$B$32="Card",Settings!$B$32="Loan"),AND('Month-End'!$CY$20&lt;&gt;"",NOT(_xlfn.ISFORMULA('Month-End'!$CY$20)))),IF(N('Month-End'!$CY$20)&lt;0,1,0),0)</f>
        <v/>
      </c>
      <c r="DX106">
        <f>IF(Settings!$B$36="Retirement",$AY106,0)+IF(Settings!$B$37="Retirement",$AZ106,0)+IF(Settings!$B$38="Retirement",$BA106,0)+IF(Settings!$B$39="Retirement",$BB106,0)+IF(Settings!$B$40="Retirement",$BC106,0)+IF(Settings!$B$41="Retirement",$BD106,0)</f>
        <v/>
      </c>
      <c r="EO106">
        <f>EDATE(DATE(YEAR(TODAY()),MONTH(TODAY()),1),-17)</f>
        <v/>
      </c>
      <c r="ER106">
        <f>IFERROR(IF(INDEX($DJ$6:$DJ$183,MATCH(EO106,$A$6:$A$183,0))="",NA(),INDEX($DJ$6:$DJ$183,MATCH(EO106,$A$6:$A$183,0))),NA())</f>
        <v/>
      </c>
      <c r="ES106">
        <f>TEXT(EO106,"mmm yy")</f>
        <v/>
      </c>
      <c r="ET106">
        <f>IF($E106&lt;&gt;"open",0,IF(AND('Month-End'!$CY$22&lt;&gt;"",NOT(_xlfn.ISFORMULA('Month-End'!$CY$22))),0,IF(OR(Settings!$C$45="",Settings!$D$45=""),0,Settings!$C$45*IF(Settings!$D$45="Weekly",IF(IFERROR(MATCH(Settings!$E$45,$EO$4:$EO$10,0),0)=0,0,IF(MIN(Settings!$B$5,IF(Settings!$G$45="",Settings!$B$5,Settings!$G$45))&lt;MAX($A106,Settings!$F$45),0,INT((MIN(Settings!$B$5,IF(Settings!$G$45="",Settings!$B$5,Settings!$G$45))-MAX($A106,Settings!$F$45)-MOD(IFERROR(MATCH(Settings!$E$45,$EO$4:$EO$10,0),0)-WEEKDAY(MAX($A106,Settings!$F$45)),7))/7)+1)),IF(AND(IF(Settings!$E$45="",$B106,DATE(YEAR($A106),MONTH($A106),MIN(Settings!$E$45,DAY($B106))))&gt;=MAX($A106,Settings!$F$45),IF(Settings!$E$45="",$B106,DATE(YEAR($A106),MONTH($A106),MIN(Settings!$E$45,DAY($B106))))&lt;=MIN(Settings!$B$5,IF(Settings!$G$45="",Settings!$B$5,Settings!$G$45))),1,0)))))</f>
        <v/>
      </c>
      <c r="EU106">
        <f>IF($E106&lt;&gt;"open",0,IF(AND('Month-End'!$CY$23&lt;&gt;"",NOT(_xlfn.ISFORMULA('Month-End'!$CY$23))),0,IF(OR(Settings!$C$46="",Settings!$D$46=""),0,Settings!$C$46*IF(Settings!$D$46="Weekly",IF(IFERROR(MATCH(Settings!$E$46,$EO$4:$EO$10,0),0)=0,0,IF(MIN(Settings!$B$5,IF(Settings!$G$46="",Settings!$B$5,Settings!$G$46))&lt;MAX($A106,Settings!$F$46),0,INT((MIN(Settings!$B$5,IF(Settings!$G$46="",Settings!$B$5,Settings!$G$46))-MAX($A106,Settings!$F$46)-MOD(IFERROR(MATCH(Settings!$E$46,$EO$4:$EO$10,0),0)-WEEKDAY(MAX($A106,Settings!$F$46)),7))/7)+1)),IF(AND(IF(Settings!$E$46="",$B106,DATE(YEAR($A106),MONTH($A106),MIN(Settings!$E$46,DAY($B106))))&gt;=MAX($A106,Settings!$F$46),IF(Settings!$E$46="",$B106,DATE(YEAR($A106),MONTH($A106),MIN(Settings!$E$46,DAY($B106))))&lt;=MIN(Settings!$B$5,IF(Settings!$G$46="",Settings!$B$5,Settings!$G$46))),1,0)))))</f>
        <v/>
      </c>
      <c r="EV106">
        <f>IF($E106&lt;&gt;"open",0,IF(AND('Month-End'!$CY$24&lt;&gt;"",NOT(_xlfn.ISFORMULA('Month-End'!$CY$24))),0,IF(OR(Settings!$C$47="",Settings!$D$47=""),0,Settings!$C$47*IF(Settings!$D$47="Weekly",IF(IFERROR(MATCH(Settings!$E$47,$EO$4:$EO$10,0),0)=0,0,IF(MIN(Settings!$B$5,IF(Settings!$G$47="",Settings!$B$5,Settings!$G$47))&lt;MAX($A106,Settings!$F$47),0,INT((MIN(Settings!$B$5,IF(Settings!$G$47="",Settings!$B$5,Settings!$G$47))-MAX($A106,Settings!$F$47)-MOD(IFERROR(MATCH(Settings!$E$47,$EO$4:$EO$10,0),0)-WEEKDAY(MAX($A106,Settings!$F$47)),7))/7)+1)),IF(AND(IF(Settings!$E$47="",$B106,DATE(YEAR($A106),MONTH($A106),MIN(Settings!$E$47,DAY($B106))))&gt;=MAX($A106,Settings!$F$47),IF(Settings!$E$47="",$B106,DATE(YEAR($A106),MONTH($A106),MIN(Settings!$E$47,DAY($B106))))&lt;=MIN(Settings!$B$5,IF(Settings!$G$47="",Settings!$B$5,Settings!$G$47))),1,0)))))</f>
        <v/>
      </c>
      <c r="EW106">
        <f>IF($E106&lt;&gt;"open",0,IF(AND('Month-End'!$CY$25&lt;&gt;"",NOT(_xlfn.ISFORMULA('Month-End'!$CY$25))),0,IF(OR(Settings!$C$48="",Settings!$D$48=""),0,Settings!$C$48*IF(Settings!$D$48="Weekly",IF(IFERROR(MATCH(Settings!$E$48,$EO$4:$EO$10,0),0)=0,0,IF(MIN(Settings!$B$5,IF(Settings!$G$48="",Settings!$B$5,Settings!$G$48))&lt;MAX($A106,Settings!$F$48),0,INT((MIN(Settings!$B$5,IF(Settings!$G$48="",Settings!$B$5,Settings!$G$48))-MAX($A106,Settings!$F$48)-MOD(IFERROR(MATCH(Settings!$E$48,$EO$4:$EO$10,0),0)-WEEKDAY(MAX($A106,Settings!$F$48)),7))/7)+1)),IF(AND(IF(Settings!$E$48="",$B106,DATE(YEAR($A106),MONTH($A106),MIN(Settings!$E$48,DAY($B106))))&gt;=MAX($A106,Settings!$F$48),IF(Settings!$E$48="",$B106,DATE(YEAR($A106),MONTH($A106),MIN(Settings!$E$48,DAY($B106))))&lt;=MIN(Settings!$B$5,IF(Settings!$G$48="",Settings!$B$5,Settings!$G$48))),1,0)))))</f>
        <v/>
      </c>
      <c r="EX106">
        <f>IF($E106&lt;&gt;"open",0,IF(AND('Month-End'!$CY$26&lt;&gt;"",NOT(_xlfn.ISFORMULA('Month-End'!$CY$26))),0,IF(OR(Settings!$C$49="",Settings!$D$49=""),0,Settings!$C$49*IF(Settings!$D$49="Weekly",IF(IFERROR(MATCH(Settings!$E$49,$EO$4:$EO$10,0),0)=0,0,IF(MIN(Settings!$B$5,IF(Settings!$G$49="",Settings!$B$5,Settings!$G$49))&lt;MAX($A106,Settings!$F$49),0,INT((MIN(Settings!$B$5,IF(Settings!$G$49="",Settings!$B$5,Settings!$G$49))-MAX($A106,Settings!$F$49)-MOD(IFERROR(MATCH(Settings!$E$49,$EO$4:$EO$10,0),0)-WEEKDAY(MAX($A106,Settings!$F$49)),7))/7)+1)),IF(AND(IF(Settings!$E$49="",$B106,DATE(YEAR($A106),MONTH($A106),MIN(Settings!$E$49,DAY($B106))))&gt;=MAX($A106,Settings!$F$49),IF(Settings!$E$49="",$B106,DATE(YEAR($A106),MONTH($A106),MIN(Settings!$E$49,DAY($B106))))&lt;=MIN(Settings!$B$5,IF(Settings!$G$49="",Settings!$B$5,Settings!$G$49))),1,0)))))</f>
        <v/>
      </c>
      <c r="EY106">
        <f>IF($E106&lt;&gt;"open",0,IF(AND('Month-End'!$CY$27&lt;&gt;"",NOT(_xlfn.ISFORMULA('Month-End'!$CY$27))),0,IF(OR(Settings!$C$50="",Settings!$D$50=""),0,Settings!$C$50*IF(Settings!$D$50="Weekly",IF(IFERROR(MATCH(Settings!$E$50,$EO$4:$EO$10,0),0)=0,0,IF(MIN(Settings!$B$5,IF(Settings!$G$50="",Settings!$B$5,Settings!$G$50))&lt;MAX($A106,Settings!$F$50),0,INT((MIN(Settings!$B$5,IF(Settings!$G$50="",Settings!$B$5,Settings!$G$50))-MAX($A106,Settings!$F$50)-MOD(IFERROR(MATCH(Settings!$E$50,$EO$4:$EO$10,0),0)-WEEKDAY(MAX($A106,Settings!$F$50)),7))/7)+1)),IF(AND(IF(Settings!$E$50="",$B106,DATE(YEAR($A106),MONTH($A106),MIN(Settings!$E$50,DAY($B106))))&gt;=MAX($A106,Settings!$F$50),IF(Settings!$E$50="",$B106,DATE(YEAR($A106),MONTH($A106),MIN(Settings!$E$50,DAY($B106))))&lt;=MIN(Settings!$B$5,IF(Settings!$G$50="",Settings!$B$5,Settings!$G$50))),1,0)))))</f>
        <v/>
      </c>
      <c r="EZ106">
        <f>IF($E106&lt;&gt;"open",0,IF(AND('Month-End'!$CY$28&lt;&gt;"",NOT(_xlfn.ISFORMULA('Month-End'!$CY$28))),0,IF(OR(Settings!$C$51="",Settings!$D$51=""),0,Settings!$C$51*IF(Settings!$D$51="Weekly",IF(IFERROR(MATCH(Settings!$E$51,$EO$4:$EO$10,0),0)=0,0,IF(MIN(Settings!$B$5,IF(Settings!$G$51="",Settings!$B$5,Settings!$G$51))&lt;MAX($A106,Settings!$F$51),0,INT((MIN(Settings!$B$5,IF(Settings!$G$51="",Settings!$B$5,Settings!$G$51))-MAX($A106,Settings!$F$51)-MOD(IFERROR(MATCH(Settings!$E$51,$EO$4:$EO$10,0),0)-WEEKDAY(MAX($A106,Settings!$F$51)),7))/7)+1)),IF(AND(IF(Settings!$E$51="",$B106,DATE(YEAR($A106),MONTH($A106),MIN(Settings!$E$51,DAY($B106))))&gt;=MAX($A106,Settings!$F$51),IF(Settings!$E$51="",$B106,DATE(YEAR($A106),MONTH($A106),MIN(Settings!$E$51,DAY($B106))))&lt;=MIN(Settings!$B$5,IF(Settings!$G$51="",Settings!$B$5,Settings!$G$51))),1,0)))))</f>
        <v/>
      </c>
      <c r="FA106">
        <f>IF($E106&lt;&gt;"open",0,IF(AND('Month-End'!$CY$29&lt;&gt;"",NOT(_xlfn.ISFORMULA('Month-End'!$CY$29))),0,IF(OR(Settings!$C$52="",Settings!$D$52=""),0,Settings!$C$52*IF(Settings!$D$52="Weekly",IF(IFERROR(MATCH(Settings!$E$52,$EO$4:$EO$10,0),0)=0,0,IF(MIN(Settings!$B$5,IF(Settings!$G$52="",Settings!$B$5,Settings!$G$52))&lt;MAX($A106,Settings!$F$52),0,INT((MIN(Settings!$B$5,IF(Settings!$G$52="",Settings!$B$5,Settings!$G$52))-MAX($A106,Settings!$F$52)-MOD(IFERROR(MATCH(Settings!$E$52,$EO$4:$EO$10,0),0)-WEEKDAY(MAX($A106,Settings!$F$52)),7))/7)+1)),IF(AND(IF(Settings!$E$52="",$B106,DATE(YEAR($A106),MONTH($A106),MIN(Settings!$E$52,DAY($B106))))&gt;=MAX($A106,Settings!$F$52),IF(Settings!$E$52="",$B106,DATE(YEAR($A106),MONTH($A106),MIN(Settings!$E$52,DAY($B106))))&lt;=MIN(Settings!$B$5,IF(Settings!$G$52="",Settings!$B$5,Settings!$G$52))),1,0)))))</f>
        <v/>
      </c>
      <c r="FB106">
        <f>IF($E106&lt;&gt;"open",0,IF(AND('Month-End'!$CY$30&lt;&gt;"",NOT(_xlfn.ISFORMULA('Month-End'!$CY$30))),0,IF(OR(Settings!$C$53="",Settings!$D$53=""),0,Settings!$C$53*IF(Settings!$D$53="Weekly",IF(IFERROR(MATCH(Settings!$E$53,$EO$4:$EO$10,0),0)=0,0,IF(MIN(Settings!$B$5,IF(Settings!$G$53="",Settings!$B$5,Settings!$G$53))&lt;MAX($A106,Settings!$F$53),0,INT((MIN(Settings!$B$5,IF(Settings!$G$53="",Settings!$B$5,Settings!$G$53))-MAX($A106,Settings!$F$53)-MOD(IFERROR(MATCH(Settings!$E$53,$EO$4:$EO$10,0),0)-WEEKDAY(MAX($A106,Settings!$F$53)),7))/7)+1)),IF(AND(IF(Settings!$E$53="",$B106,DATE(YEAR($A106),MONTH($A106),MIN(Settings!$E$53,DAY($B106))))&gt;=MAX($A106,Settings!$F$53),IF(Settings!$E$53="",$B106,DATE(YEAR($A106),MONTH($A106),MIN(Settings!$E$53,DAY($B106))))&lt;=MIN(Settings!$B$5,IF(Settings!$G$53="",Settings!$B$5,Settings!$G$53))),1,0)))))</f>
        <v/>
      </c>
      <c r="FC106">
        <f>IF($E106&lt;&gt;"open",0,IF(AND('Month-End'!$CY$31&lt;&gt;"",NOT(_xlfn.ISFORMULA('Month-End'!$CY$31))),0,IF(OR(Settings!$C$54="",Settings!$D$54=""),0,Settings!$C$54*IF(Settings!$D$54="Weekly",IF(IFERROR(MATCH(Settings!$E$54,$EO$4:$EO$10,0),0)=0,0,IF(MIN(Settings!$B$5,IF(Settings!$G$54="",Settings!$B$5,Settings!$G$54))&lt;MAX($A106,Settings!$F$54),0,INT((MIN(Settings!$B$5,IF(Settings!$G$54="",Settings!$B$5,Settings!$G$54))-MAX($A106,Settings!$F$54)-MOD(IFERROR(MATCH(Settings!$E$54,$EO$4:$EO$10,0),0)-WEEKDAY(MAX($A106,Settings!$F$54)),7))/7)+1)),IF(AND(IF(Settings!$E$54="",$B106,DATE(YEAR($A106),MONTH($A106),MIN(Settings!$E$54,DAY($B106))))&gt;=MAX($A106,Settings!$F$54),IF(Settings!$E$54="",$B106,DATE(YEAR($A106),MONTH($A106),MIN(Settings!$E$54,DAY($B106))))&lt;=MIN(Settings!$B$5,IF(Settings!$G$54="",Settings!$B$5,Settings!$G$54))),1,0)))))</f>
        <v/>
      </c>
      <c r="FD106">
        <f>IF($E106&lt;&gt;"open",0,IF(AND('Month-End'!$CY$32&lt;&gt;"",NOT(_xlfn.ISFORMULA('Month-End'!$CY$32))),0,IF(OR(Settings!$C$55="",Settings!$D$55=""),0,Settings!$C$55*IF(Settings!$D$55="Weekly",IF(IFERROR(MATCH(Settings!$E$55,$EO$4:$EO$10,0),0)=0,0,IF(MIN(Settings!$B$5,IF(Settings!$G$55="",Settings!$B$5,Settings!$G$55))&lt;MAX($A106,Settings!$F$55),0,INT((MIN(Settings!$B$5,IF(Settings!$G$55="",Settings!$B$5,Settings!$G$55))-MAX($A106,Settings!$F$55)-MOD(IFERROR(MATCH(Settings!$E$55,$EO$4:$EO$10,0),0)-WEEKDAY(MAX($A106,Settings!$F$55)),7))/7)+1)),IF(AND(IF(Settings!$E$55="",$B106,DATE(YEAR($A106),MONTH($A106),MIN(Settings!$E$55,DAY($B106))))&gt;=MAX($A106,Settings!$F$55),IF(Settings!$E$55="",$B106,DATE(YEAR($A106),MONTH($A106),MIN(Settings!$E$55,DAY($B106))))&lt;=MIN(Settings!$B$5,IF(Settings!$G$55="",Settings!$B$5,Settings!$G$55))),1,0)))))</f>
        <v/>
      </c>
      <c r="FE106">
        <f>IF($E106&lt;&gt;"open",0,IF(AND('Month-End'!$CY$33&lt;&gt;"",NOT(_xlfn.ISFORMULA('Month-End'!$CY$33))),0,IF(OR(Settings!$C$56="",Settings!$D$56=""),0,Settings!$C$56*IF(Settings!$D$56="Weekly",IF(IFERROR(MATCH(Settings!$E$56,$EO$4:$EO$10,0),0)=0,0,IF(MIN(Settings!$B$5,IF(Settings!$G$56="",Settings!$B$5,Settings!$G$56))&lt;MAX($A106,Settings!$F$56),0,INT((MIN(Settings!$B$5,IF(Settings!$G$56="",Settings!$B$5,Settings!$G$56))-MAX($A106,Settings!$F$56)-MOD(IFERROR(MATCH(Settings!$E$56,$EO$4:$EO$10,0),0)-WEEKDAY(MAX($A106,Settings!$F$56)),7))/7)+1)),IF(AND(IF(Settings!$E$56="",$B106,DATE(YEAR($A106),MONTH($A106),MIN(Settings!$E$56,DAY($B106))))&gt;=MAX($A106,Settings!$F$56),IF(Settings!$E$56="",$B106,DATE(YEAR($A106),MONTH($A106),MIN(Settings!$E$56,DAY($B106))))&lt;=MIN(Settings!$B$5,IF(Settings!$G$56="",Settings!$B$5,Settings!$G$56))),1,0)))))</f>
        <v/>
      </c>
      <c r="FF106">
        <f>IF(Settings!$I$45="Yes",$G106,0)+IF(Settings!$I$46="Yes",$H106,0)+IF(Settings!$I$47="Yes",$I106,0)+IF(Settings!$I$48="Yes",$J106,0)+IF(Settings!$I$49="Yes",$K106,0)+IF(Settings!$I$50="Yes",$L106,0)+IF(Settings!$I$51="Yes",$M106,0)+IF(Settings!$I$52="Yes",$N106,0)+IF(Settings!$I$53="Yes",$O106,0)+IF(Settings!$I$54="Yes",$P106,0)+IF(Settings!$I$55="Yes",$Q106,0)+IF(Settings!$I$56="Yes",$R106,0)</f>
        <v/>
      </c>
      <c r="FG106">
        <f>IF(AND(Settings!$I$45="Yes",Settings!$J$45="No"),$G106,0)+IF(AND(Settings!$I$46="Yes",Settings!$J$46="No"),$H106,0)+IF(AND(Settings!$I$47="Yes",Settings!$J$47="No"),$I106,0)+IF(AND(Settings!$I$48="Yes",Settings!$J$48="No"),$J106,0)+IF(AND(Settings!$I$49="Yes",Settings!$J$49="No"),$K106,0)+IF(AND(Settings!$I$50="Yes",Settings!$J$50="No"),$L106,0)+IF(AND(Settings!$I$51="Yes",Settings!$J$51="No"),$M106,0)+IF(AND(Settings!$I$52="Yes",Settings!$J$52="No"),$N106,0)+IF(AND(Settings!$I$53="Yes",Settings!$J$53="No"),$O106,0)+IF(AND(Settings!$I$54="Yes",Settings!$J$54="No"),$P106,0)+IF(AND(Settings!$I$55="Yes",Settings!$J$55="No"),$Q106,0)+IF(AND(Settings!$I$56="Yes",Settings!$J$56="No"),$R106,0)</f>
        <v/>
      </c>
      <c r="FH106">
        <f>SUMIFS(Giving!$B$7:$B$2006,Giving!$A$7:$A$2006,"&gt;="&amp;$A106,Giving!$A$7:$A$2006,"&lt;="&amp;$B106,Giving!$G$7:$G$2006,"Yes")+IF(OR(OR(Settings!$B$60="",Settings!$F$60="No"),Settings!$H$60&lt;&gt;"Yes"),0,Settings!$B$60*IF(AND(IF(Settings!$C$60="",$B106,DATE(YEAR($A106),MONTH($A106),MIN(Settings!$C$60,DAY($B106))))&gt;=MAX($A106,Settings!$D$60),IF(Settings!$C$60="",$B106,DATE(YEAR($A106),MONTH($A106),MIN(Settings!$C$60,DAY($B106))))&lt;=MIN($C106,IF(Settings!$E$60="",$C106,Settings!$E$60))),1,0))+IF(OR(OR(Settings!$B$61="",Settings!$F$61="No"),Settings!$H$61&lt;&gt;"Yes"),0,Settings!$B$61*IF(AND(IF(Settings!$C$61="",$B106,DATE(YEAR($A106),MONTH($A106),MIN(Settings!$C$61,DAY($B106))))&gt;=MAX($A106,Settings!$D$61),IF(Settings!$C$61="",$B106,DATE(YEAR($A106),MONTH($A106),MIN(Settings!$C$61,DAY($B106))))&lt;=MIN($C106,IF(Settings!$E$61="",$C106,Settings!$E$61))),1,0))+IF(OR(OR(Settings!$B$62="",Settings!$F$62="No"),Settings!$H$62&lt;&gt;"Yes"),0,Settings!$B$62*IF(AND(IF(Settings!$C$62="",$B106,DATE(YEAR($A106),MONTH($A106),MIN(Settings!$C$62,DAY($B106))))&gt;=MAX($A106,Settings!$D$62),IF(Settings!$C$62="",$B106,DATE(YEAR($A106),MONTH($A106),MIN(Settings!$C$62,DAY($B106))))&lt;=MIN($C106,IF(Settings!$E$62="",$C106,Settings!$E$62))),1,0))+IF(OR(OR(Settings!$B$63="",Settings!$F$63="No"),Settings!$H$63&lt;&gt;"Yes"),0,Settings!$B$63*IF(AND(IF(Settings!$C$63="",$B106,DATE(YEAR($A106),MONTH($A106),MIN(Settings!$C$63,DAY($B106))))&gt;=MAX($A106,Settings!$D$63),IF(Settings!$C$63="",$B106,DATE(YEAR($A106),MONTH($A106),MIN(Settings!$C$63,DAY($B106))))&lt;=MIN($C106,IF(Settings!$E$63="",$C106,Settings!$E$63))),1,0))+IF(OR(OR(Settings!$B$64="",Settings!$F$64="No"),Settings!$H$64&lt;&gt;"Yes"),0,Settings!$B$64*IF(AND(IF(Settings!$C$64="",$B106,DATE(YEAR($A106),MONTH($A106),MIN(Settings!$C$64,DAY($B106))))&gt;=MAX($A106,Settings!$D$64),IF(Settings!$C$64="",$B106,DATE(YEAR($A106),MONTH($A106),MIN(Settings!$C$64,DAY($B106))))&lt;=MIN($C106,IF(Settings!$E$64="",$C106,Settings!$E$64))),1,0))+IF(OR(OR(Settings!$B$65="",Settings!$F$65="No"),Settings!$H$65&lt;&gt;"Yes"),0,Settings!$B$65*IF(AND(IF(Settings!$C$65="",$B106,DATE(YEAR($A106),MONTH($A106),MIN(Settings!$C$65,DAY($B106))))&gt;=MAX($A106,Settings!$D$65),IF(Settings!$C$65="",$B106,DATE(YEAR($A106),MONTH($A106),MIN(Settings!$C$65,DAY($B106))))&lt;=MIN($C106,IF(Settings!$E$65="",$C106,Settings!$E$65))),1,0))</f>
        <v/>
      </c>
      <c r="FI106">
        <f>IF($DT106=1,IF(OR(Settings!$B$19="Card",Settings!$B$19="Loan"),N($AE106),0)+IF(OR(Settings!$B$20="Card",Settings!$B$20="Loan"),N($AF106),0)+IF(OR(Settings!$B$21="Card",Settings!$B$21="Loan"),N($AG106),0)+IF(OR(Settings!$B$22="Card",Settings!$B$22="Loan"),N($AH106),0)+IF(OR(Settings!$B$23="Card",Settings!$B$23="Loan"),N($AI106),0)+IF(OR(Settings!$B$24="Card",Settings!$B$24="Loan"),N($AJ106),0)+IF(OR(Settings!$B$25="Card",Settings!$B$25="Loan"),N($AK106),0)+IF(OR(Settings!$B$26="Card",Settings!$B$26="Loan"),N($AL106),0)+IF(OR(Settings!$B$27="Card",Settings!$B$27="Loan"),N($AM106),0)+IF(OR(Settings!$B$28="Card",Settings!$B$28="Loan"),N($AN106),0)+IF(OR(Settings!$B$29="Card",Settings!$B$29="Loan"),N($AO106),0)+IF(OR(Settings!$B$30="Card",Settings!$B$30="Loan"),N($AP106),0)+IF(OR(Settings!$B$31="Card",Settings!$B$31="Loan"),N($AQ106),0)+IF(OR(Settings!$B$32="Card",Settings!$B$32="Loan"),N($AR106),0),"")</f>
        <v/>
      </c>
      <c r="FJ106">
        <f>IF($E106="open",$EB$65,IF($E106="post",IF($E105="pre",$EB$65,$FI105),""))</f>
        <v/>
      </c>
      <c r="FK106">
        <f>IF(AND($DT106=1,$DC106=1),IF(ROUND($FI106-$FJ106,2)&gt;0,1,0),0)</f>
        <v/>
      </c>
      <c r="FL106">
        <f>IF($FK106=1,$FL105+1,0)</f>
        <v/>
      </c>
    </row>
    <row r="107">
      <c r="A107">
        <f>'Month-End'!$CZ$4</f>
        <v/>
      </c>
      <c r="B107">
        <f>EOMONTH($A107,0)</f>
        <v/>
      </c>
      <c r="C107">
        <f>MIN($B107,TODAY())</f>
        <v/>
      </c>
      <c r="D107">
        <f>IF($A107&gt;TODAY(),1,0)</f>
        <v/>
      </c>
      <c r="E107">
        <f>IF($B107&lt;=Settings!$B$5,"pre",IF($A107&lt;=Settings!$B$5,"open","post"))</f>
        <v/>
      </c>
      <c r="G107">
        <f>IF('Month-End'!$CZ$22="",$BE107,N('Month-End'!$CZ$22))</f>
        <v/>
      </c>
      <c r="H107">
        <f>IF('Month-End'!$CZ$23="",$BF107,N('Month-End'!$CZ$23))</f>
        <v/>
      </c>
      <c r="I107">
        <f>IF('Month-End'!$CZ$24="",$BG107,N('Month-End'!$CZ$24))</f>
        <v/>
      </c>
      <c r="J107">
        <f>IF('Month-End'!$CZ$25="",$BH107,N('Month-End'!$CZ$25))</f>
        <v/>
      </c>
      <c r="K107">
        <f>IF('Month-End'!$CZ$26="",$BI107,N('Month-End'!$CZ$26))</f>
        <v/>
      </c>
      <c r="L107">
        <f>IF('Month-End'!$CZ$27="",$BJ107,N('Month-End'!$CZ$27))</f>
        <v/>
      </c>
      <c r="M107">
        <f>IF('Month-End'!$CZ$28="",$BK107,N('Month-End'!$CZ$28))</f>
        <v/>
      </c>
      <c r="N107">
        <f>IF('Month-End'!$CZ$29="",$BL107,N('Month-End'!$CZ$29))</f>
        <v/>
      </c>
      <c r="O107">
        <f>IF('Month-End'!$CZ$30="",$BM107,N('Month-End'!$CZ$30))</f>
        <v/>
      </c>
      <c r="P107">
        <f>IF('Month-End'!$CZ$31="",$BN107,N('Month-End'!$CZ$31))</f>
        <v/>
      </c>
      <c r="Q107">
        <f>IF('Month-End'!$CZ$32="",$BO107,N('Month-End'!$CZ$32))</f>
        <v/>
      </c>
      <c r="R107">
        <f>IF('Month-End'!$CZ$33="",$BP107,N('Month-End'!$CZ$33))</f>
        <v/>
      </c>
      <c r="S107">
        <f>$G107+$H107+$I107+$J107+$K107+$L107+$M107+$N107+$O107+$P107+$Q107+$R107</f>
        <v/>
      </c>
      <c r="T107">
        <f>IF($B107&lt;Settings!$B$6,0,IF(Settings!$B$45="Yes",$G107,0)+IF(Settings!$B$46="Yes",$H107,0)+IF(Settings!$B$47="Yes",$I107,0)+IF(Settings!$B$48="Yes",$J107,0)+IF(Settings!$B$49="Yes",$K107,0)+IF(Settings!$B$50="Yes",$L107,0)+IF(Settings!$B$51="Yes",$M107,0)+IF(Settings!$B$52="Yes",$N107,0)+IF(Settings!$B$53="Yes",$O107,0)+IF(Settings!$B$54="Yes",$P107,0)+IF(Settings!$B$55="Yes",$Q107,0)+IF(Settings!$B$56="Yes",$R107,0))</f>
        <v/>
      </c>
      <c r="U107">
        <f>IF(Settings!$B$45="Not Sure",$G107,0)+IF(Settings!$B$46="Not Sure",$H107,0)+IF(Settings!$B$47="Not Sure",$I107,0)+IF(Settings!$B$48="Not Sure",$J107,0)+IF(Settings!$B$49="Not Sure",$K107,0)+IF(Settings!$B$50="Not Sure",$L107,0)+IF(Settings!$B$51="Not Sure",$M107,0)+IF(Settings!$B$52="Not Sure",$N107,0)+IF(Settings!$B$53="Not Sure",$O107,0)+IF(Settings!$B$54="Not Sure",$P107,0)+IF(Settings!$B$55="Not Sure",$Q107,0)+IF(Settings!$B$56="Not Sure",$R107,0)</f>
        <v/>
      </c>
      <c r="V107">
        <f>IF($E107="open",SUM($ET107:$FE107)+N(Settings!$B$13),0)</f>
        <v/>
      </c>
      <c r="W107">
        <f>IF($E107="post",$S107,IF($E107="open",$S107-$V107,0))</f>
        <v/>
      </c>
      <c r="X107">
        <f>SUMIFS(Giving!$B$7:$B$2006,Giving!$A$7:$A$2006,"&gt;="&amp;$A107,Giving!$A$7:$A$2006,"&lt;="&amp;$B107,Giving!$E$7:$E$2006,"&lt;&gt;No")</f>
        <v/>
      </c>
      <c r="Y107">
        <f>SUMIFS(Giving!$B$7:$B$2006,Giving!$A$7:$A$2006,"&gt;="&amp;$A107,Giving!$A$7:$A$2006,"&lt;="&amp;$B107,Giving!$E$7:$E$2006,"No")</f>
        <v/>
      </c>
      <c r="Z107">
        <f>IF(OR(Settings!$B$60="",Settings!$F$60="No"),0,Settings!$B$60*IF(AND(IF(Settings!$C$60="",$B107,DATE(YEAR($A107),MONTH($A107),MIN(Settings!$C$60,DAY($B107))))&gt;=MAX($A107,Settings!$D$60),IF(Settings!$C$60="",$B107,DATE(YEAR($A107),MONTH($A107),MIN(Settings!$C$60,DAY($B107))))&lt;=MIN($C107,IF(Settings!$E$60="",$C107,Settings!$E$60))),1,0))+IF(OR(Settings!$B$61="",Settings!$F$61="No"),0,Settings!$B$61*IF(AND(IF(Settings!$C$61="",$B107,DATE(YEAR($A107),MONTH($A107),MIN(Settings!$C$61,DAY($B107))))&gt;=MAX($A107,Settings!$D$61),IF(Settings!$C$61="",$B107,DATE(YEAR($A107),MONTH($A107),MIN(Settings!$C$61,DAY($B107))))&lt;=MIN($C107,IF(Settings!$E$61="",$C107,Settings!$E$61))),1,0))+IF(OR(Settings!$B$62="",Settings!$F$62="No"),0,Settings!$B$62*IF(AND(IF(Settings!$C$62="",$B107,DATE(YEAR($A107),MONTH($A107),MIN(Settings!$C$62,DAY($B107))))&gt;=MAX($A107,Settings!$D$62),IF(Settings!$C$62="",$B107,DATE(YEAR($A107),MONTH($A107),MIN(Settings!$C$62,DAY($B107))))&lt;=MIN($C107,IF(Settings!$E$62="",$C107,Settings!$E$62))),1,0))+IF(OR(Settings!$B$63="",Settings!$F$63="No"),0,Settings!$B$63*IF(AND(IF(Settings!$C$63="",$B107,DATE(YEAR($A107),MONTH($A107),MIN(Settings!$C$63,DAY($B107))))&gt;=MAX($A107,Settings!$D$63),IF(Settings!$C$63="",$B107,DATE(YEAR($A107),MONTH($A107),MIN(Settings!$C$63,DAY($B107))))&lt;=MIN($C107,IF(Settings!$E$63="",$C107,Settings!$E$63))),1,0))+IF(OR(Settings!$B$64="",Settings!$F$64="No"),0,Settings!$B$64*IF(AND(IF(Settings!$C$64="",$B107,DATE(YEAR($A107),MONTH($A107),MIN(Settings!$C$64,DAY($B107))))&gt;=MAX($A107,Settings!$D$64),IF(Settings!$C$64="",$B107,DATE(YEAR($A107),MONTH($A107),MIN(Settings!$C$64,DAY($B107))))&lt;=MIN($C107,IF(Settings!$E$64="",$C107,Settings!$E$64))),1,0))+IF(OR(Settings!$B$65="",Settings!$F$65="No"),0,Settings!$B$65*IF(AND(IF(Settings!$C$65="",$B107,DATE(YEAR($A107),MONTH($A107),MIN(Settings!$C$65,DAY($B107))))&gt;=MAX($A107,Settings!$D$65),IF(Settings!$C$65="",$B107,DATE(YEAR($A107),MONTH($A107),MIN(Settings!$C$65,DAY($B107))))&lt;=MIN($C107,IF(Settings!$E$65="",$C107,Settings!$E$65))),1,0))</f>
        <v/>
      </c>
      <c r="AA107">
        <f>$X107+$Z107</f>
        <v/>
      </c>
      <c r="AB107">
        <f>IF($E107="post",$AA107,IF($E107="open",SUMIFS(Giving!$B$7:$B$2006,Giving!$A$7:$A$2006,"&gt;"&amp;Settings!$B$5,Giving!$A$7:$A$2006,"&lt;="&amp;$B107,Giving!$E$7:$E$2006,"&lt;&gt;No")+IF(OR(Settings!$B$60="",Settings!$F$60="No"),0,Settings!$B$60*IF(AND(IF(Settings!$C$60="",$B107,DATE(YEAR($A107),MONTH($A107),MIN(Settings!$C$60,DAY($B107))))&gt;=MAX($A107,Settings!$D$60,Settings!$B$5+1),IF(Settings!$C$60="",$B107,DATE(YEAR($A107),MONTH($A107),MIN(Settings!$C$60,DAY($B107))))&lt;=MIN($C107,IF(Settings!$E$60="",$C107,Settings!$E$60))),1,0))+IF(OR(Settings!$B$61="",Settings!$F$61="No"),0,Settings!$B$61*IF(AND(IF(Settings!$C$61="",$B107,DATE(YEAR($A107),MONTH($A107),MIN(Settings!$C$61,DAY($B107))))&gt;=MAX($A107,Settings!$D$61,Settings!$B$5+1),IF(Settings!$C$61="",$B107,DATE(YEAR($A107),MONTH($A107),MIN(Settings!$C$61,DAY($B107))))&lt;=MIN($C107,IF(Settings!$E$61="",$C107,Settings!$E$61))),1,0))+IF(OR(Settings!$B$62="",Settings!$F$62="No"),0,Settings!$B$62*IF(AND(IF(Settings!$C$62="",$B107,DATE(YEAR($A107),MONTH($A107),MIN(Settings!$C$62,DAY($B107))))&gt;=MAX($A107,Settings!$D$62,Settings!$B$5+1),IF(Settings!$C$62="",$B107,DATE(YEAR($A107),MONTH($A107),MIN(Settings!$C$62,DAY($B107))))&lt;=MIN($C107,IF(Settings!$E$62="",$C107,Settings!$E$62))),1,0))+IF(OR(Settings!$B$63="",Settings!$F$63="No"),0,Settings!$B$63*IF(AND(IF(Settings!$C$63="",$B107,DATE(YEAR($A107),MONTH($A107),MIN(Settings!$C$63,DAY($B107))))&gt;=MAX($A107,Settings!$D$63,Settings!$B$5+1),IF(Settings!$C$63="",$B107,DATE(YEAR($A107),MONTH($A107),MIN(Settings!$C$63,DAY($B107))))&lt;=MIN($C107,IF(Settings!$E$63="",$C107,Settings!$E$63))),1,0))+IF(OR(Settings!$B$64="",Settings!$F$64="No"),0,Settings!$B$64*IF(AND(IF(Settings!$C$64="",$B107,DATE(YEAR($A107),MONTH($A107),MIN(Settings!$C$64,DAY($B107))))&gt;=MAX($A107,Settings!$D$64,Settings!$B$5+1),IF(Settings!$C$64="",$B107,DATE(YEAR($A107),MONTH($A107),MIN(Settings!$C$64,DAY($B107))))&lt;=MIN($C107,IF(Settings!$E$64="",$C107,Settings!$E$64))),1,0))+IF(OR(Settings!$B$65="",Settings!$F$65="No"),0,Settings!$B$65*IF(AND(IF(Settings!$C$65="",$B107,DATE(YEAR($A107),MONTH($A107),MIN(Settings!$C$65,DAY($B107))))&gt;=MAX($A107,Settings!$D$65,Settings!$B$5+1),IF(Settings!$C$65="",$B107,DATE(YEAR($A107),MONTH($A107),MIN(Settings!$C$65,DAY($B107))))&lt;=MIN($C107,IF(Settings!$E$65="",$C107,Settings!$E$65))),1,0)),0))</f>
        <v/>
      </c>
      <c r="AC107">
        <f>$AY107+$AZ107+$BA107+$BB107+$BC107+$BD107</f>
        <v/>
      </c>
      <c r="AD107">
        <f>$AC107</f>
        <v/>
      </c>
      <c r="AE107">
        <f>IF(OR(Settings!$A$19="",$E107="pre"),"",IF(AND('Month-End'!$CZ$7&lt;&gt;"",NOT(_xlfn.ISFORMULA('Month-End'!$CZ$7))),N('Month-End'!$CZ$7),IF(OR($E107="open",$E106="pre"),N(Settings!$C$19),N($AE106))))</f>
        <v/>
      </c>
      <c r="AF107">
        <f>IF(OR(Settings!$A$20="",$E107="pre"),"",IF(AND('Month-End'!$CZ$8&lt;&gt;"",NOT(_xlfn.ISFORMULA('Month-End'!$CZ$8))),N('Month-End'!$CZ$8),IF(OR($E107="open",$E106="pre"),N(Settings!$C$20),N($AF106))))</f>
        <v/>
      </c>
      <c r="AG107">
        <f>IF(OR(Settings!$A$21="",$E107="pre"),"",IF(AND('Month-End'!$CZ$9&lt;&gt;"",NOT(_xlfn.ISFORMULA('Month-End'!$CZ$9))),N('Month-End'!$CZ$9),IF(OR($E107="open",$E106="pre"),N(Settings!$C$21),N($AG106))))</f>
        <v/>
      </c>
      <c r="AH107">
        <f>IF(OR(Settings!$A$22="",$E107="pre"),"",IF(AND('Month-End'!$CZ$10&lt;&gt;"",NOT(_xlfn.ISFORMULA('Month-End'!$CZ$10))),N('Month-End'!$CZ$10),IF(OR($E107="open",$E106="pre"),N(Settings!$C$22),N($AH106))))</f>
        <v/>
      </c>
      <c r="AI107">
        <f>IF(OR(Settings!$A$23="",$E107="pre"),"",IF(AND('Month-End'!$CZ$11&lt;&gt;"",NOT(_xlfn.ISFORMULA('Month-End'!$CZ$11))),N('Month-End'!$CZ$11),IF(OR($E107="open",$E106="pre"),N(Settings!$C$23),N($AI106))))</f>
        <v/>
      </c>
      <c r="AJ107">
        <f>IF(OR(Settings!$A$24="",$E107="pre"),"",IF(AND('Month-End'!$CZ$12&lt;&gt;"",NOT(_xlfn.ISFORMULA('Month-End'!$CZ$12))),N('Month-End'!$CZ$12),IF(OR($E107="open",$E106="pre"),N(Settings!$C$24),N($AJ106))))</f>
        <v/>
      </c>
      <c r="AK107">
        <f>IF(OR(Settings!$A$25="",$E107="pre"),"",IF(AND('Month-End'!$CZ$13&lt;&gt;"",NOT(_xlfn.ISFORMULA('Month-End'!$CZ$13))),N('Month-End'!$CZ$13),IF(OR($E107="open",$E106="pre"),N(Settings!$C$25),N($AK106))))</f>
        <v/>
      </c>
      <c r="AL107">
        <f>IF(OR(Settings!$A$26="",$E107="pre"),"",IF(AND('Month-End'!$CZ$14&lt;&gt;"",NOT(_xlfn.ISFORMULA('Month-End'!$CZ$14))),N('Month-End'!$CZ$14),IF(OR($E107="open",$E106="pre"),N(Settings!$C$26),N($AL106))))</f>
        <v/>
      </c>
      <c r="AM107">
        <f>IF(OR(Settings!$A$27="",$E107="pre"),"",IF(AND('Month-End'!$CZ$15&lt;&gt;"",NOT(_xlfn.ISFORMULA('Month-End'!$CZ$15))),N('Month-End'!$CZ$15),IF(OR($E107="open",$E106="pre"),N(Settings!$C$27),N($AM106))))</f>
        <v/>
      </c>
      <c r="AN107">
        <f>IF(OR(Settings!$A$28="",$E107="pre"),"",IF(AND('Month-End'!$CZ$16&lt;&gt;"",NOT(_xlfn.ISFORMULA('Month-End'!$CZ$16))),N('Month-End'!$CZ$16),IF(OR($E107="open",$E106="pre"),N(Settings!$C$28),N($AN106))))</f>
        <v/>
      </c>
      <c r="AO107">
        <f>IF(OR(Settings!$A$29="",$E107="pre"),"",IF(AND('Month-End'!$CZ$17&lt;&gt;"",NOT(_xlfn.ISFORMULA('Month-End'!$CZ$17))),N('Month-End'!$CZ$17),IF(OR($E107="open",$E106="pre"),N(Settings!$C$29),N($AO106))))</f>
        <v/>
      </c>
      <c r="AP107">
        <f>IF(OR(Settings!$A$30="",$E107="pre"),"",IF(AND('Month-End'!$CZ$18&lt;&gt;"",NOT(_xlfn.ISFORMULA('Month-End'!$CZ$18))),N('Month-End'!$CZ$18),IF(OR($E107="open",$E106="pre"),N(Settings!$C$30),N($AP106))))</f>
        <v/>
      </c>
      <c r="AQ107">
        <f>IF(OR(Settings!$A$31="",$E107="pre"),"",IF(AND('Month-End'!$CZ$19&lt;&gt;"",NOT(_xlfn.ISFORMULA('Month-End'!$CZ$19))),N('Month-End'!$CZ$19),IF(OR($E107="open",$E106="pre"),N(Settings!$C$31),N($AQ106))))</f>
        <v/>
      </c>
      <c r="AR107">
        <f>IF(OR(Settings!$A$32="",$E107="pre"),"",IF(AND('Month-End'!$CZ$20&lt;&gt;"",NOT(_xlfn.ISFORMULA('Month-End'!$CZ$20))),N('Month-End'!$CZ$20),IF(OR($E107="open",$E106="pre"),N(Settings!$C$32),N($AR106))))</f>
        <v/>
      </c>
      <c r="AS107">
        <f>IF(OR(Settings!$A$36="",$E107="pre"),"",IF(AND('Month-End'!$CZ$38&lt;&gt;"",NOT(_xlfn.ISFORMULA('Month-End'!$CZ$38))),N('Month-End'!$CZ$38),IF(OR($E107="open",$E106="pre"),N(Settings!$C$36),N($AS106))+$AY107))</f>
        <v/>
      </c>
      <c r="AT107">
        <f>IF(OR(Settings!$A$37="",$E107="pre"),"",IF(AND('Month-End'!$CZ$39&lt;&gt;"",NOT(_xlfn.ISFORMULA('Month-End'!$CZ$39))),N('Month-End'!$CZ$39),IF(OR($E107="open",$E106="pre"),N(Settings!$C$37),N($AT106))+$AZ107))</f>
        <v/>
      </c>
      <c r="AU107">
        <f>IF(OR(Settings!$A$38="",$E107="pre"),"",IF(AND('Month-End'!$CZ$40&lt;&gt;"",NOT(_xlfn.ISFORMULA('Month-End'!$CZ$40))),N('Month-End'!$CZ$40),IF(OR($E107="open",$E106="pre"),N(Settings!$C$38),N($AU106))+$BA107))</f>
        <v/>
      </c>
      <c r="AV107">
        <f>IF(OR(Settings!$A$39="",$E107="pre"),"",IF(AND('Month-End'!$CZ$41&lt;&gt;"",NOT(_xlfn.ISFORMULA('Month-End'!$CZ$41))),N('Month-End'!$CZ$41),IF(OR($E107="open",$E106="pre"),N(Settings!$C$39),N($AV106))+$BB107))</f>
        <v/>
      </c>
      <c r="AW107">
        <f>IF(OR(Settings!$A$40="",$E107="pre"),"",IF(AND('Month-End'!$CZ$42&lt;&gt;"",NOT(_xlfn.ISFORMULA('Month-End'!$CZ$42))),N('Month-End'!$CZ$42),IF(OR($E107="open",$E106="pre"),N(Settings!$C$40),N($AW106))+$BC107))</f>
        <v/>
      </c>
      <c r="AX107">
        <f>IF(OR(Settings!$A$41="",$E107="pre"),"",IF(AND('Month-End'!$CZ$43&lt;&gt;"",NOT(_xlfn.ISFORMULA('Month-End'!$CZ$43))),N('Month-End'!$CZ$43),IF(OR($E107="open",$E106="pre"),N(Settings!$C$41),N($AX106))+$BD107))</f>
        <v/>
      </c>
      <c r="AY107">
        <f>IF($E107="pre",0,N('Month-End'!$CZ$45))</f>
        <v/>
      </c>
      <c r="AZ107">
        <f>IF($E107="pre",0,N('Month-End'!$CZ$46))</f>
        <v/>
      </c>
      <c r="BA107">
        <f>IF($E107="pre",0,N('Month-End'!$CZ$47))</f>
        <v/>
      </c>
      <c r="BB107">
        <f>IF($E107="pre",0,N('Month-End'!$CZ$48))</f>
        <v/>
      </c>
      <c r="BC107">
        <f>IF($E107="pre",0,N('Month-End'!$CZ$49))</f>
        <v/>
      </c>
      <c r="BD107">
        <f>IF($E107="pre",0,N('Month-End'!$CZ$50))</f>
        <v/>
      </c>
      <c r="BE107">
        <f>IF(OR(Settings!$C$45="",Settings!$D$45=""),0,Settings!$C$45*IF(Settings!$D$45="Weekly",IF(IFERROR(MATCH(Settings!$E$45,$EO$4:$EO$10,0),0)=0,0,IF(MIN($C107,IF(Settings!$G$45="",$C107,Settings!$G$45))&lt;MAX($A107,Settings!$F$45),0,INT((MIN($C107,IF(Settings!$G$45="",$C107,Settings!$G$45))-MAX($A107,Settings!$F$45)-MOD(IFERROR(MATCH(Settings!$E$45,$EO$4:$EO$10,0),0)-WEEKDAY(MAX($A107,Settings!$F$45)),7))/7)+1)),IF(AND(IF(Settings!$E$45="",$B107,DATE(YEAR($A107),MONTH($A107),MIN(Settings!$E$45,DAY($B107))))&gt;=MAX($A107,Settings!$F$45),IF(Settings!$E$45="",$B107,DATE(YEAR($A107),MONTH($A107),MIN(Settings!$E$45,DAY($B107))))&lt;=MIN($C107,IF(Settings!$G$45="",$C107,Settings!$G$45))),1,0)))</f>
        <v/>
      </c>
      <c r="BF107">
        <f>IF(OR(Settings!$C$46="",Settings!$D$46=""),0,Settings!$C$46*IF(Settings!$D$46="Weekly",IF(IFERROR(MATCH(Settings!$E$46,$EO$4:$EO$10,0),0)=0,0,IF(MIN($C107,IF(Settings!$G$46="",$C107,Settings!$G$46))&lt;MAX($A107,Settings!$F$46),0,INT((MIN($C107,IF(Settings!$G$46="",$C107,Settings!$G$46))-MAX($A107,Settings!$F$46)-MOD(IFERROR(MATCH(Settings!$E$46,$EO$4:$EO$10,0),0)-WEEKDAY(MAX($A107,Settings!$F$46)),7))/7)+1)),IF(AND(IF(Settings!$E$46="",$B107,DATE(YEAR($A107),MONTH($A107),MIN(Settings!$E$46,DAY($B107))))&gt;=MAX($A107,Settings!$F$46),IF(Settings!$E$46="",$B107,DATE(YEAR($A107),MONTH($A107),MIN(Settings!$E$46,DAY($B107))))&lt;=MIN($C107,IF(Settings!$G$46="",$C107,Settings!$G$46))),1,0)))</f>
        <v/>
      </c>
      <c r="BG107">
        <f>IF(OR(Settings!$C$47="",Settings!$D$47=""),0,Settings!$C$47*IF(Settings!$D$47="Weekly",IF(IFERROR(MATCH(Settings!$E$47,$EO$4:$EO$10,0),0)=0,0,IF(MIN($C107,IF(Settings!$G$47="",$C107,Settings!$G$47))&lt;MAX($A107,Settings!$F$47),0,INT((MIN($C107,IF(Settings!$G$47="",$C107,Settings!$G$47))-MAX($A107,Settings!$F$47)-MOD(IFERROR(MATCH(Settings!$E$47,$EO$4:$EO$10,0),0)-WEEKDAY(MAX($A107,Settings!$F$47)),7))/7)+1)),IF(AND(IF(Settings!$E$47="",$B107,DATE(YEAR($A107),MONTH($A107),MIN(Settings!$E$47,DAY($B107))))&gt;=MAX($A107,Settings!$F$47),IF(Settings!$E$47="",$B107,DATE(YEAR($A107),MONTH($A107),MIN(Settings!$E$47,DAY($B107))))&lt;=MIN($C107,IF(Settings!$G$47="",$C107,Settings!$G$47))),1,0)))</f>
        <v/>
      </c>
      <c r="BH107">
        <f>IF(OR(Settings!$C$48="",Settings!$D$48=""),0,Settings!$C$48*IF(Settings!$D$48="Weekly",IF(IFERROR(MATCH(Settings!$E$48,$EO$4:$EO$10,0),0)=0,0,IF(MIN($C107,IF(Settings!$G$48="",$C107,Settings!$G$48))&lt;MAX($A107,Settings!$F$48),0,INT((MIN($C107,IF(Settings!$G$48="",$C107,Settings!$G$48))-MAX($A107,Settings!$F$48)-MOD(IFERROR(MATCH(Settings!$E$48,$EO$4:$EO$10,0),0)-WEEKDAY(MAX($A107,Settings!$F$48)),7))/7)+1)),IF(AND(IF(Settings!$E$48="",$B107,DATE(YEAR($A107),MONTH($A107),MIN(Settings!$E$48,DAY($B107))))&gt;=MAX($A107,Settings!$F$48),IF(Settings!$E$48="",$B107,DATE(YEAR($A107),MONTH($A107),MIN(Settings!$E$48,DAY($B107))))&lt;=MIN($C107,IF(Settings!$G$48="",$C107,Settings!$G$48))),1,0)))</f>
        <v/>
      </c>
      <c r="BI107">
        <f>IF(OR(Settings!$C$49="",Settings!$D$49=""),0,Settings!$C$49*IF(Settings!$D$49="Weekly",IF(IFERROR(MATCH(Settings!$E$49,$EO$4:$EO$10,0),0)=0,0,IF(MIN($C107,IF(Settings!$G$49="",$C107,Settings!$G$49))&lt;MAX($A107,Settings!$F$49),0,INT((MIN($C107,IF(Settings!$G$49="",$C107,Settings!$G$49))-MAX($A107,Settings!$F$49)-MOD(IFERROR(MATCH(Settings!$E$49,$EO$4:$EO$10,0),0)-WEEKDAY(MAX($A107,Settings!$F$49)),7))/7)+1)),IF(AND(IF(Settings!$E$49="",$B107,DATE(YEAR($A107),MONTH($A107),MIN(Settings!$E$49,DAY($B107))))&gt;=MAX($A107,Settings!$F$49),IF(Settings!$E$49="",$B107,DATE(YEAR($A107),MONTH($A107),MIN(Settings!$E$49,DAY($B107))))&lt;=MIN($C107,IF(Settings!$G$49="",$C107,Settings!$G$49))),1,0)))</f>
        <v/>
      </c>
      <c r="BJ107">
        <f>IF(OR(Settings!$C$50="",Settings!$D$50=""),0,Settings!$C$50*IF(Settings!$D$50="Weekly",IF(IFERROR(MATCH(Settings!$E$50,$EO$4:$EO$10,0),0)=0,0,IF(MIN($C107,IF(Settings!$G$50="",$C107,Settings!$G$50))&lt;MAX($A107,Settings!$F$50),0,INT((MIN($C107,IF(Settings!$G$50="",$C107,Settings!$G$50))-MAX($A107,Settings!$F$50)-MOD(IFERROR(MATCH(Settings!$E$50,$EO$4:$EO$10,0),0)-WEEKDAY(MAX($A107,Settings!$F$50)),7))/7)+1)),IF(AND(IF(Settings!$E$50="",$B107,DATE(YEAR($A107),MONTH($A107),MIN(Settings!$E$50,DAY($B107))))&gt;=MAX($A107,Settings!$F$50),IF(Settings!$E$50="",$B107,DATE(YEAR($A107),MONTH($A107),MIN(Settings!$E$50,DAY($B107))))&lt;=MIN($C107,IF(Settings!$G$50="",$C107,Settings!$G$50))),1,0)))</f>
        <v/>
      </c>
      <c r="BK107">
        <f>IF(OR(Settings!$C$51="",Settings!$D$51=""),0,Settings!$C$51*IF(Settings!$D$51="Weekly",IF(IFERROR(MATCH(Settings!$E$51,$EO$4:$EO$10,0),0)=0,0,IF(MIN($C107,IF(Settings!$G$51="",$C107,Settings!$G$51))&lt;MAX($A107,Settings!$F$51),0,INT((MIN($C107,IF(Settings!$G$51="",$C107,Settings!$G$51))-MAX($A107,Settings!$F$51)-MOD(IFERROR(MATCH(Settings!$E$51,$EO$4:$EO$10,0),0)-WEEKDAY(MAX($A107,Settings!$F$51)),7))/7)+1)),IF(AND(IF(Settings!$E$51="",$B107,DATE(YEAR($A107),MONTH($A107),MIN(Settings!$E$51,DAY($B107))))&gt;=MAX($A107,Settings!$F$51),IF(Settings!$E$51="",$B107,DATE(YEAR($A107),MONTH($A107),MIN(Settings!$E$51,DAY($B107))))&lt;=MIN($C107,IF(Settings!$G$51="",$C107,Settings!$G$51))),1,0)))</f>
        <v/>
      </c>
      <c r="BL107">
        <f>IF(OR(Settings!$C$52="",Settings!$D$52=""),0,Settings!$C$52*IF(Settings!$D$52="Weekly",IF(IFERROR(MATCH(Settings!$E$52,$EO$4:$EO$10,0),0)=0,0,IF(MIN($C107,IF(Settings!$G$52="",$C107,Settings!$G$52))&lt;MAX($A107,Settings!$F$52),0,INT((MIN($C107,IF(Settings!$G$52="",$C107,Settings!$G$52))-MAX($A107,Settings!$F$52)-MOD(IFERROR(MATCH(Settings!$E$52,$EO$4:$EO$10,0),0)-WEEKDAY(MAX($A107,Settings!$F$52)),7))/7)+1)),IF(AND(IF(Settings!$E$52="",$B107,DATE(YEAR($A107),MONTH($A107),MIN(Settings!$E$52,DAY($B107))))&gt;=MAX($A107,Settings!$F$52),IF(Settings!$E$52="",$B107,DATE(YEAR($A107),MONTH($A107),MIN(Settings!$E$52,DAY($B107))))&lt;=MIN($C107,IF(Settings!$G$52="",$C107,Settings!$G$52))),1,0)))</f>
        <v/>
      </c>
      <c r="BM107">
        <f>IF(OR(Settings!$C$53="",Settings!$D$53=""),0,Settings!$C$53*IF(Settings!$D$53="Weekly",IF(IFERROR(MATCH(Settings!$E$53,$EO$4:$EO$10,0),0)=0,0,IF(MIN($C107,IF(Settings!$G$53="",$C107,Settings!$G$53))&lt;MAX($A107,Settings!$F$53),0,INT((MIN($C107,IF(Settings!$G$53="",$C107,Settings!$G$53))-MAX($A107,Settings!$F$53)-MOD(IFERROR(MATCH(Settings!$E$53,$EO$4:$EO$10,0),0)-WEEKDAY(MAX($A107,Settings!$F$53)),7))/7)+1)),IF(AND(IF(Settings!$E$53="",$B107,DATE(YEAR($A107),MONTH($A107),MIN(Settings!$E$53,DAY($B107))))&gt;=MAX($A107,Settings!$F$53),IF(Settings!$E$53="",$B107,DATE(YEAR($A107),MONTH($A107),MIN(Settings!$E$53,DAY($B107))))&lt;=MIN($C107,IF(Settings!$G$53="",$C107,Settings!$G$53))),1,0)))</f>
        <v/>
      </c>
      <c r="BN107">
        <f>IF(OR(Settings!$C$54="",Settings!$D$54=""),0,Settings!$C$54*IF(Settings!$D$54="Weekly",IF(IFERROR(MATCH(Settings!$E$54,$EO$4:$EO$10,0),0)=0,0,IF(MIN($C107,IF(Settings!$G$54="",$C107,Settings!$G$54))&lt;MAX($A107,Settings!$F$54),0,INT((MIN($C107,IF(Settings!$G$54="",$C107,Settings!$G$54))-MAX($A107,Settings!$F$54)-MOD(IFERROR(MATCH(Settings!$E$54,$EO$4:$EO$10,0),0)-WEEKDAY(MAX($A107,Settings!$F$54)),7))/7)+1)),IF(AND(IF(Settings!$E$54="",$B107,DATE(YEAR($A107),MONTH($A107),MIN(Settings!$E$54,DAY($B107))))&gt;=MAX($A107,Settings!$F$54),IF(Settings!$E$54="",$B107,DATE(YEAR($A107),MONTH($A107),MIN(Settings!$E$54,DAY($B107))))&lt;=MIN($C107,IF(Settings!$G$54="",$C107,Settings!$G$54))),1,0)))</f>
        <v/>
      </c>
      <c r="BO107">
        <f>IF(OR(Settings!$C$55="",Settings!$D$55=""),0,Settings!$C$55*IF(Settings!$D$55="Weekly",IF(IFERROR(MATCH(Settings!$E$55,$EO$4:$EO$10,0),0)=0,0,IF(MIN($C107,IF(Settings!$G$55="",$C107,Settings!$G$55))&lt;MAX($A107,Settings!$F$55),0,INT((MIN($C107,IF(Settings!$G$55="",$C107,Settings!$G$55))-MAX($A107,Settings!$F$55)-MOD(IFERROR(MATCH(Settings!$E$55,$EO$4:$EO$10,0),0)-WEEKDAY(MAX($A107,Settings!$F$55)),7))/7)+1)),IF(AND(IF(Settings!$E$55="",$B107,DATE(YEAR($A107),MONTH($A107),MIN(Settings!$E$55,DAY($B107))))&gt;=MAX($A107,Settings!$F$55),IF(Settings!$E$55="",$B107,DATE(YEAR($A107),MONTH($A107),MIN(Settings!$E$55,DAY($B107))))&lt;=MIN($C107,IF(Settings!$G$55="",$C107,Settings!$G$55))),1,0)))</f>
        <v/>
      </c>
      <c r="BP107">
        <f>IF(OR(Settings!$C$56="",Settings!$D$56=""),0,Settings!$C$56*IF(Settings!$D$56="Weekly",IF(IFERROR(MATCH(Settings!$E$56,$EO$4:$EO$10,0),0)=0,0,IF(MIN($C107,IF(Settings!$G$56="",$C107,Settings!$G$56))&lt;MAX($A107,Settings!$F$56),0,INT((MIN($C107,IF(Settings!$G$56="",$C107,Settings!$G$56))-MAX($A107,Settings!$F$56)-MOD(IFERROR(MATCH(Settings!$E$56,$EO$4:$EO$10,0),0)-WEEKDAY(MAX($A107,Settings!$F$56)),7))/7)+1)),IF(AND(IF(Settings!$E$56="",$B107,DATE(YEAR($A107),MONTH($A107),MIN(Settings!$E$56,DAY($B107))))&gt;=MAX($A107,Settings!$F$56),IF(Settings!$E$56="",$B107,DATE(YEAR($A107),MONTH($A107),MIN(Settings!$E$56,DAY($B107))))&lt;=MIN($C107,IF(Settings!$G$56="",$C107,Settings!$G$56))),1,0)))</f>
        <v/>
      </c>
      <c r="BQ107">
        <f>IF(OR(Settings!$B$14="",$D107=1,$E107="pre",$A107&lt;IF(Settings!$B$15="",0,Settings!$B$15)),0,Settings!$B$14)</f>
        <v/>
      </c>
      <c r="BR107">
        <f>IF(AND('Month-End'!$CZ$7&lt;&gt;"",NOT(_xlfn.ISFORMULA('Month-End'!$CZ$7))),1,0)</f>
        <v/>
      </c>
      <c r="BS107">
        <f>IF(AND('Month-End'!$CZ$8&lt;&gt;"",NOT(_xlfn.ISFORMULA('Month-End'!$CZ$8))),1,0)</f>
        <v/>
      </c>
      <c r="BT107">
        <f>IF(AND('Month-End'!$CZ$9&lt;&gt;"",NOT(_xlfn.ISFORMULA('Month-End'!$CZ$9))),1,0)</f>
        <v/>
      </c>
      <c r="BU107">
        <f>IF(AND('Month-End'!$CZ$10&lt;&gt;"",NOT(_xlfn.ISFORMULA('Month-End'!$CZ$10))),1,0)</f>
        <v/>
      </c>
      <c r="BV107">
        <f>IF(AND('Month-End'!$CZ$11&lt;&gt;"",NOT(_xlfn.ISFORMULA('Month-End'!$CZ$11))),1,0)</f>
        <v/>
      </c>
      <c r="BW107">
        <f>IF(AND('Month-End'!$CZ$12&lt;&gt;"",NOT(_xlfn.ISFORMULA('Month-End'!$CZ$12))),1,0)</f>
        <v/>
      </c>
      <c r="BX107">
        <f>IF(AND('Month-End'!$CZ$13&lt;&gt;"",NOT(_xlfn.ISFORMULA('Month-End'!$CZ$13))),1,0)</f>
        <v/>
      </c>
      <c r="BY107">
        <f>IF(AND('Month-End'!$CZ$14&lt;&gt;"",NOT(_xlfn.ISFORMULA('Month-End'!$CZ$14))),1,0)</f>
        <v/>
      </c>
      <c r="BZ107">
        <f>IF(AND('Month-End'!$CZ$15&lt;&gt;"",NOT(_xlfn.ISFORMULA('Month-End'!$CZ$15))),1,0)</f>
        <v/>
      </c>
      <c r="CA107">
        <f>IF(AND('Month-End'!$CZ$16&lt;&gt;"",NOT(_xlfn.ISFORMULA('Month-End'!$CZ$16))),1,0)</f>
        <v/>
      </c>
      <c r="CB107">
        <f>IF(AND('Month-End'!$CZ$17&lt;&gt;"",NOT(_xlfn.ISFORMULA('Month-End'!$CZ$17))),1,0)</f>
        <v/>
      </c>
      <c r="CC107">
        <f>IF(AND('Month-End'!$CZ$18&lt;&gt;"",NOT(_xlfn.ISFORMULA('Month-End'!$CZ$18))),1,0)</f>
        <v/>
      </c>
      <c r="CD107">
        <f>IF(AND('Month-End'!$CZ$19&lt;&gt;"",NOT(_xlfn.ISFORMULA('Month-End'!$CZ$19))),1,0)</f>
        <v/>
      </c>
      <c r="CE107">
        <f>IF(AND('Month-End'!$CZ$20&lt;&gt;"",NOT(_xlfn.ISFORMULA('Month-End'!$CZ$20))),1,0)</f>
        <v/>
      </c>
      <c r="CF107">
        <f>IF(AND('Month-End'!$CZ$38&lt;&gt;"",NOT(_xlfn.ISFORMULA('Month-End'!$CZ$38))),1,0)</f>
        <v/>
      </c>
      <c r="CG107">
        <f>IF(AND('Month-End'!$CZ$39&lt;&gt;"",NOT(_xlfn.ISFORMULA('Month-End'!$CZ$39))),1,0)</f>
        <v/>
      </c>
      <c r="CH107">
        <f>IF(AND('Month-End'!$CZ$40&lt;&gt;"",NOT(_xlfn.ISFORMULA('Month-End'!$CZ$40))),1,0)</f>
        <v/>
      </c>
      <c r="CI107">
        <f>IF(AND('Month-End'!$CZ$41&lt;&gt;"",NOT(_xlfn.ISFORMULA('Month-End'!$CZ$41))),1,0)</f>
        <v/>
      </c>
      <c r="CJ107">
        <f>IF(AND('Month-End'!$CZ$42&lt;&gt;"",NOT(_xlfn.ISFORMULA('Month-End'!$CZ$42))),1,0)</f>
        <v/>
      </c>
      <c r="CK107">
        <f>IF(AND('Month-End'!$CZ$43&lt;&gt;"",NOT(_xlfn.ISFORMULA('Month-End'!$CZ$43))),1,0)</f>
        <v/>
      </c>
      <c r="CL107">
        <f>SUM($CM107:$CZ107)</f>
        <v/>
      </c>
      <c r="CM107">
        <f>IF(AND($E107&lt;&gt;"pre",AND(Settings!$A$19&lt;&gt;"",Settings!$E$19&lt;&gt;"No"),Settings!$F$19="Yes",NOT(AND('Month-End'!$CZ$7&lt;&gt;"",NOT(_xlfn.ISFORMULA('Month-End'!$CZ$7))))),1,0)</f>
        <v/>
      </c>
      <c r="CN107">
        <f>IF(AND($E107&lt;&gt;"pre",AND(Settings!$A$20&lt;&gt;"",Settings!$E$20&lt;&gt;"No"),Settings!$F$20="Yes",NOT(AND('Month-End'!$CZ$8&lt;&gt;"",NOT(_xlfn.ISFORMULA('Month-End'!$CZ$8))))),1,0)</f>
        <v/>
      </c>
      <c r="CO107">
        <f>IF(AND($E107&lt;&gt;"pre",AND(Settings!$A$21&lt;&gt;"",Settings!$E$21&lt;&gt;"No"),Settings!$F$21="Yes",NOT(AND('Month-End'!$CZ$9&lt;&gt;"",NOT(_xlfn.ISFORMULA('Month-End'!$CZ$9))))),1,0)</f>
        <v/>
      </c>
      <c r="CP107">
        <f>IF(AND($E107&lt;&gt;"pre",AND(Settings!$A$22&lt;&gt;"",Settings!$E$22&lt;&gt;"No"),Settings!$F$22="Yes",NOT(AND('Month-End'!$CZ$10&lt;&gt;"",NOT(_xlfn.ISFORMULA('Month-End'!$CZ$10))))),1,0)</f>
        <v/>
      </c>
      <c r="CQ107">
        <f>IF(AND($E107&lt;&gt;"pre",AND(Settings!$A$23&lt;&gt;"",Settings!$E$23&lt;&gt;"No"),Settings!$F$23="Yes",NOT(AND('Month-End'!$CZ$11&lt;&gt;"",NOT(_xlfn.ISFORMULA('Month-End'!$CZ$11))))),1,0)</f>
        <v/>
      </c>
      <c r="CR107">
        <f>IF(AND($E107&lt;&gt;"pre",AND(Settings!$A$24&lt;&gt;"",Settings!$E$24&lt;&gt;"No"),Settings!$F$24="Yes",NOT(AND('Month-End'!$CZ$12&lt;&gt;"",NOT(_xlfn.ISFORMULA('Month-End'!$CZ$12))))),1,0)</f>
        <v/>
      </c>
      <c r="CS107">
        <f>IF(AND($E107&lt;&gt;"pre",AND(Settings!$A$25&lt;&gt;"",Settings!$E$25&lt;&gt;"No"),Settings!$F$25="Yes",NOT(AND('Month-End'!$CZ$13&lt;&gt;"",NOT(_xlfn.ISFORMULA('Month-End'!$CZ$13))))),1,0)</f>
        <v/>
      </c>
      <c r="CT107">
        <f>IF(AND($E107&lt;&gt;"pre",AND(Settings!$A$26&lt;&gt;"",Settings!$E$26&lt;&gt;"No"),Settings!$F$26="Yes",NOT(AND('Month-End'!$CZ$14&lt;&gt;"",NOT(_xlfn.ISFORMULA('Month-End'!$CZ$14))))),1,0)</f>
        <v/>
      </c>
      <c r="CU107">
        <f>IF(AND($E107&lt;&gt;"pre",AND(Settings!$A$27&lt;&gt;"",Settings!$E$27&lt;&gt;"No"),Settings!$F$27="Yes",NOT(AND('Month-End'!$CZ$15&lt;&gt;"",NOT(_xlfn.ISFORMULA('Month-End'!$CZ$15))))),1,0)</f>
        <v/>
      </c>
      <c r="CV107">
        <f>IF(AND($E107&lt;&gt;"pre",AND(Settings!$A$28&lt;&gt;"",Settings!$E$28&lt;&gt;"No"),Settings!$F$28="Yes",NOT(AND('Month-End'!$CZ$16&lt;&gt;"",NOT(_xlfn.ISFORMULA('Month-End'!$CZ$16))))),1,0)</f>
        <v/>
      </c>
      <c r="CW107">
        <f>IF(AND($E107&lt;&gt;"pre",AND(Settings!$A$29&lt;&gt;"",Settings!$E$29&lt;&gt;"No"),Settings!$F$29="Yes",NOT(AND('Month-End'!$CZ$17&lt;&gt;"",NOT(_xlfn.ISFORMULA('Month-End'!$CZ$17))))),1,0)</f>
        <v/>
      </c>
      <c r="CX107">
        <f>IF(AND($E107&lt;&gt;"pre",AND(Settings!$A$30&lt;&gt;"",Settings!$E$30&lt;&gt;"No"),Settings!$F$30="Yes",NOT(AND('Month-End'!$CZ$18&lt;&gt;"",NOT(_xlfn.ISFORMULA('Month-End'!$CZ$18))))),1,0)</f>
        <v/>
      </c>
      <c r="CY107">
        <f>IF(AND($E107&lt;&gt;"pre",AND(Settings!$A$31&lt;&gt;"",Settings!$E$31&lt;&gt;"No"),Settings!$F$31="Yes",NOT(AND('Month-End'!$CZ$19&lt;&gt;"",NOT(_xlfn.ISFORMULA('Month-End'!$CZ$19))))),1,0)</f>
        <v/>
      </c>
      <c r="CZ107">
        <f>IF(AND($E107&lt;&gt;"pre",AND(Settings!$A$32&lt;&gt;"",Settings!$E$32&lt;&gt;"No"),Settings!$F$32="Yes",NOT(AND('Month-End'!$CZ$20&lt;&gt;"",NOT(_xlfn.ISFORMULA('Month-End'!$CZ$20))))),1,0)</f>
        <v/>
      </c>
      <c r="DA107">
        <f>IF($DT107=1,IF(OR(Settings!$B$19="Checking",Settings!$B$19="Savings",Settings!$B$19="Cash"),N($AE107),IF(OR(Settings!$B$19="Card",Settings!$B$19="Loan"),-N($AE107),0))+IF(OR(Settings!$B$20="Checking",Settings!$B$20="Savings",Settings!$B$20="Cash"),N($AF107),IF(OR(Settings!$B$20="Card",Settings!$B$20="Loan"),-N($AF107),0))+IF(OR(Settings!$B$21="Checking",Settings!$B$21="Savings",Settings!$B$21="Cash"),N($AG107),IF(OR(Settings!$B$21="Card",Settings!$B$21="Loan"),-N($AG107),0))+IF(OR(Settings!$B$22="Checking",Settings!$B$22="Savings",Settings!$B$22="Cash"),N($AH107),IF(OR(Settings!$B$22="Card",Settings!$B$22="Loan"),-N($AH107),0))+IF(OR(Settings!$B$23="Checking",Settings!$B$23="Savings",Settings!$B$23="Cash"),N($AI107),IF(OR(Settings!$B$23="Card",Settings!$B$23="Loan"),-N($AI107),0))+IF(OR(Settings!$B$24="Checking",Settings!$B$24="Savings",Settings!$B$24="Cash"),N($AJ107),IF(OR(Settings!$B$24="Card",Settings!$B$24="Loan"),-N($AJ107),0))+IF(OR(Settings!$B$25="Checking",Settings!$B$25="Savings",Settings!$B$25="Cash"),N($AK107),IF(OR(Settings!$B$25="Card",Settings!$B$25="Loan"),-N($AK107),0))+IF(OR(Settings!$B$26="Checking",Settings!$B$26="Savings",Settings!$B$26="Cash"),N($AL107),IF(OR(Settings!$B$26="Card",Settings!$B$26="Loan"),-N($AL107),0))+IF(OR(Settings!$B$27="Checking",Settings!$B$27="Savings",Settings!$B$27="Cash"),N($AM107),IF(OR(Settings!$B$27="Card",Settings!$B$27="Loan"),-N($AM107),0))+IF(OR(Settings!$B$28="Checking",Settings!$B$28="Savings",Settings!$B$28="Cash"),N($AN107),IF(OR(Settings!$B$28="Card",Settings!$B$28="Loan"),-N($AN107),0))+IF(OR(Settings!$B$29="Checking",Settings!$B$29="Savings",Settings!$B$29="Cash"),N($AO107),IF(OR(Settings!$B$29="Card",Settings!$B$29="Loan"),-N($AO107),0))+IF(OR(Settings!$B$30="Checking",Settings!$B$30="Savings",Settings!$B$30="Cash"),N($AP107),IF(OR(Settings!$B$30="Card",Settings!$B$30="Loan"),-N($AP107),0))+IF(OR(Settings!$B$31="Checking",Settings!$B$31="Savings",Settings!$B$31="Cash"),N($AQ107),IF(OR(Settings!$B$31="Card",Settings!$B$31="Loan"),-N($AQ107),0))+IF(OR(Settings!$B$32="Checking",Settings!$B$32="Savings",Settings!$B$32="Cash"),N($AR107),IF(OR(Settings!$B$32="Card",Settings!$B$32="Loan"),-N($AR107),0)),"")</f>
        <v/>
      </c>
      <c r="DB107">
        <f>IF($E107="open",$EB$27,IF($E107="post",IF($E106="pre",$EB$27,$DA106),""))</f>
        <v/>
      </c>
      <c r="DC107">
        <f>IF($E107="open",1,IF($E107="post",IF($E106="pre",1,$DT106),0))</f>
        <v/>
      </c>
      <c r="DD107">
        <f>IF(AND($DT107=1,$DC107=1),ROUND($W107-($DA107-$DB107)-$AD107-$AB107,2),"")</f>
        <v/>
      </c>
      <c r="DE107">
        <f>IF('Month-End'!$CZ$35="",$BQ107,N('Month-End'!$CZ$35))</f>
        <v/>
      </c>
      <c r="DF107">
        <f>N('Month-End'!$CZ$36)</f>
        <v/>
      </c>
      <c r="DG107">
        <f>IF($DD107="","",$DD107+$DE107)</f>
        <v/>
      </c>
      <c r="DH107">
        <f>IF($DG107="","",$DG107-$DF107)</f>
        <v/>
      </c>
      <c r="DI107">
        <f>IF(OR($E107="pre",$D107=1),"",N($AS107)+N($AT107)+N($AU107)+N($AV107)+N($AW107)+N($AX107))</f>
        <v/>
      </c>
      <c r="DJ107">
        <f>IF($DT107=1,$DA107+N($DI107),"")</f>
        <v/>
      </c>
      <c r="DK107">
        <f>IF($DD107="","",$W107-$DD107-$AB107)</f>
        <v/>
      </c>
      <c r="DL107">
        <f>IF(AND($E107="post",$DD107&lt;&gt;"",$B107&lt;TODAY()),1,0)</f>
        <v/>
      </c>
      <c r="DM107">
        <f>IF($DL107=1,COUNTIF($DL107:$DL$183,1),0)</f>
        <v/>
      </c>
      <c r="DN107">
        <f>IF($D107=1,"",IF($E107="pre","History only",IF($DT107=1,IF($DD107="","⚠ Previous month missing",IF($DD107&lt;0,"⚠ Check: spending &lt; 0",IF($E107="open","✓ Done (partial)","✓ Done"))),IF($B107&gt;=TODAY(),"In progress","⚠ Needs balances"))))</f>
        <v/>
      </c>
      <c r="DO107">
        <f>YEAR($A107)</f>
        <v/>
      </c>
      <c r="DP107">
        <f>DATE(YEAR($A107),INT((MONTH($A107)-1)/3)*3+1,1)</f>
        <v/>
      </c>
      <c r="DQ107">
        <f>IF(AND($DT107=1,$DD107&lt;&gt;"",$D107=0),ROW(),0)</f>
        <v/>
      </c>
      <c r="DR107">
        <f>IF(AND($E107&lt;&gt;"pre",$B107&lt;TODAY(),$DT107=0),1,0)</f>
        <v/>
      </c>
      <c r="DS107">
        <f>IF($DJ107="",NA(),$DJ107)</f>
        <v/>
      </c>
      <c r="DT107">
        <f>IF(AND($E107&lt;&gt;"pre",$CL107=0,COUNTIFS(Settings!$F$19:$F$32,"Yes",Settings!$A$19:$A$32,"&lt;&gt;",Settings!$E$19:$E$32,"&lt;&gt;No")&gt;0),1,0)</f>
        <v/>
      </c>
      <c r="DU107">
        <f>IF(AND($B107&lt;TODAY(),$S107&gt;0),1,0)</f>
        <v/>
      </c>
      <c r="DV107">
        <f>IF($DU107=1,COUNTIF($DU107:$DU$183,1),0)</f>
        <v/>
      </c>
      <c r="DW107">
        <f>IF(AND(OR(Settings!$B$19="Card",Settings!$B$19="Loan"),AND('Month-End'!$CZ$7&lt;&gt;"",NOT(_xlfn.ISFORMULA('Month-End'!$CZ$7)))),IF(N('Month-End'!$CZ$7)&lt;0,1,0),0)+IF(AND(OR(Settings!$B$20="Card",Settings!$B$20="Loan"),AND('Month-End'!$CZ$8&lt;&gt;"",NOT(_xlfn.ISFORMULA('Month-End'!$CZ$8)))),IF(N('Month-End'!$CZ$8)&lt;0,1,0),0)+IF(AND(OR(Settings!$B$21="Card",Settings!$B$21="Loan"),AND('Month-End'!$CZ$9&lt;&gt;"",NOT(_xlfn.ISFORMULA('Month-End'!$CZ$9)))),IF(N('Month-End'!$CZ$9)&lt;0,1,0),0)+IF(AND(OR(Settings!$B$22="Card",Settings!$B$22="Loan"),AND('Month-End'!$CZ$10&lt;&gt;"",NOT(_xlfn.ISFORMULA('Month-End'!$CZ$10)))),IF(N('Month-End'!$CZ$10)&lt;0,1,0),0)+IF(AND(OR(Settings!$B$23="Card",Settings!$B$23="Loan"),AND('Month-End'!$CZ$11&lt;&gt;"",NOT(_xlfn.ISFORMULA('Month-End'!$CZ$11)))),IF(N('Month-End'!$CZ$11)&lt;0,1,0),0)+IF(AND(OR(Settings!$B$24="Card",Settings!$B$24="Loan"),AND('Month-End'!$CZ$12&lt;&gt;"",NOT(_xlfn.ISFORMULA('Month-End'!$CZ$12)))),IF(N('Month-End'!$CZ$12)&lt;0,1,0),0)+IF(AND(OR(Settings!$B$25="Card",Settings!$B$25="Loan"),AND('Month-End'!$CZ$13&lt;&gt;"",NOT(_xlfn.ISFORMULA('Month-End'!$CZ$13)))),IF(N('Month-End'!$CZ$13)&lt;0,1,0),0)+IF(AND(OR(Settings!$B$26="Card",Settings!$B$26="Loan"),AND('Month-End'!$CZ$14&lt;&gt;"",NOT(_xlfn.ISFORMULA('Month-End'!$CZ$14)))),IF(N('Month-End'!$CZ$14)&lt;0,1,0),0)+IF(AND(OR(Settings!$B$27="Card",Settings!$B$27="Loan"),AND('Month-End'!$CZ$15&lt;&gt;"",NOT(_xlfn.ISFORMULA('Month-End'!$CZ$15)))),IF(N('Month-End'!$CZ$15)&lt;0,1,0),0)+IF(AND(OR(Settings!$B$28="Card",Settings!$B$28="Loan"),AND('Month-End'!$CZ$16&lt;&gt;"",NOT(_xlfn.ISFORMULA('Month-End'!$CZ$16)))),IF(N('Month-End'!$CZ$16)&lt;0,1,0),0)+IF(AND(OR(Settings!$B$29="Card",Settings!$B$29="Loan"),AND('Month-End'!$CZ$17&lt;&gt;"",NOT(_xlfn.ISFORMULA('Month-End'!$CZ$17)))),IF(N('Month-End'!$CZ$17)&lt;0,1,0),0)+IF(AND(OR(Settings!$B$30="Card",Settings!$B$30="Loan"),AND('Month-End'!$CZ$18&lt;&gt;"",NOT(_xlfn.ISFORMULA('Month-End'!$CZ$18)))),IF(N('Month-End'!$CZ$18)&lt;0,1,0),0)+IF(AND(OR(Settings!$B$31="Card",Settings!$B$31="Loan"),AND('Month-End'!$CZ$19&lt;&gt;"",NOT(_xlfn.ISFORMULA('Month-End'!$CZ$19)))),IF(N('Month-End'!$CZ$19)&lt;0,1,0),0)+IF(AND(OR(Settings!$B$32="Card",Settings!$B$32="Loan"),AND('Month-End'!$CZ$20&lt;&gt;"",NOT(_xlfn.ISFORMULA('Month-End'!$CZ$20)))),IF(N('Month-End'!$CZ$20)&lt;0,1,0),0)</f>
        <v/>
      </c>
      <c r="DX107">
        <f>IF(Settings!$B$36="Retirement",$AY107,0)+IF(Settings!$B$37="Retirement",$AZ107,0)+IF(Settings!$B$38="Retirement",$BA107,0)+IF(Settings!$B$39="Retirement",$BB107,0)+IF(Settings!$B$40="Retirement",$BC107,0)+IF(Settings!$B$41="Retirement",$BD107,0)</f>
        <v/>
      </c>
      <c r="EO107">
        <f>EDATE(DATE(YEAR(TODAY()),MONTH(TODAY()),1),-16)</f>
        <v/>
      </c>
      <c r="ER107">
        <f>IFERROR(IF(INDEX($DJ$6:$DJ$183,MATCH(EO107,$A$6:$A$183,0))="",NA(),INDEX($DJ$6:$DJ$183,MATCH(EO107,$A$6:$A$183,0))),NA())</f>
        <v/>
      </c>
      <c r="ES107">
        <f>TEXT(EO107,"mmm yy")</f>
        <v/>
      </c>
      <c r="ET107">
        <f>IF($E107&lt;&gt;"open",0,IF(AND('Month-End'!$CZ$22&lt;&gt;"",NOT(_xlfn.ISFORMULA('Month-End'!$CZ$22))),0,IF(OR(Settings!$C$45="",Settings!$D$45=""),0,Settings!$C$45*IF(Settings!$D$45="Weekly",IF(IFERROR(MATCH(Settings!$E$45,$EO$4:$EO$10,0),0)=0,0,IF(MIN(Settings!$B$5,IF(Settings!$G$45="",Settings!$B$5,Settings!$G$45))&lt;MAX($A107,Settings!$F$45),0,INT((MIN(Settings!$B$5,IF(Settings!$G$45="",Settings!$B$5,Settings!$G$45))-MAX($A107,Settings!$F$45)-MOD(IFERROR(MATCH(Settings!$E$45,$EO$4:$EO$10,0),0)-WEEKDAY(MAX($A107,Settings!$F$45)),7))/7)+1)),IF(AND(IF(Settings!$E$45="",$B107,DATE(YEAR($A107),MONTH($A107),MIN(Settings!$E$45,DAY($B107))))&gt;=MAX($A107,Settings!$F$45),IF(Settings!$E$45="",$B107,DATE(YEAR($A107),MONTH($A107),MIN(Settings!$E$45,DAY($B107))))&lt;=MIN(Settings!$B$5,IF(Settings!$G$45="",Settings!$B$5,Settings!$G$45))),1,0)))))</f>
        <v/>
      </c>
      <c r="EU107">
        <f>IF($E107&lt;&gt;"open",0,IF(AND('Month-End'!$CZ$23&lt;&gt;"",NOT(_xlfn.ISFORMULA('Month-End'!$CZ$23))),0,IF(OR(Settings!$C$46="",Settings!$D$46=""),0,Settings!$C$46*IF(Settings!$D$46="Weekly",IF(IFERROR(MATCH(Settings!$E$46,$EO$4:$EO$10,0),0)=0,0,IF(MIN(Settings!$B$5,IF(Settings!$G$46="",Settings!$B$5,Settings!$G$46))&lt;MAX($A107,Settings!$F$46),0,INT((MIN(Settings!$B$5,IF(Settings!$G$46="",Settings!$B$5,Settings!$G$46))-MAX($A107,Settings!$F$46)-MOD(IFERROR(MATCH(Settings!$E$46,$EO$4:$EO$10,0),0)-WEEKDAY(MAX($A107,Settings!$F$46)),7))/7)+1)),IF(AND(IF(Settings!$E$46="",$B107,DATE(YEAR($A107),MONTH($A107),MIN(Settings!$E$46,DAY($B107))))&gt;=MAX($A107,Settings!$F$46),IF(Settings!$E$46="",$B107,DATE(YEAR($A107),MONTH($A107),MIN(Settings!$E$46,DAY($B107))))&lt;=MIN(Settings!$B$5,IF(Settings!$G$46="",Settings!$B$5,Settings!$G$46))),1,0)))))</f>
        <v/>
      </c>
      <c r="EV107">
        <f>IF($E107&lt;&gt;"open",0,IF(AND('Month-End'!$CZ$24&lt;&gt;"",NOT(_xlfn.ISFORMULA('Month-End'!$CZ$24))),0,IF(OR(Settings!$C$47="",Settings!$D$47=""),0,Settings!$C$47*IF(Settings!$D$47="Weekly",IF(IFERROR(MATCH(Settings!$E$47,$EO$4:$EO$10,0),0)=0,0,IF(MIN(Settings!$B$5,IF(Settings!$G$47="",Settings!$B$5,Settings!$G$47))&lt;MAX($A107,Settings!$F$47),0,INT((MIN(Settings!$B$5,IF(Settings!$G$47="",Settings!$B$5,Settings!$G$47))-MAX($A107,Settings!$F$47)-MOD(IFERROR(MATCH(Settings!$E$47,$EO$4:$EO$10,0),0)-WEEKDAY(MAX($A107,Settings!$F$47)),7))/7)+1)),IF(AND(IF(Settings!$E$47="",$B107,DATE(YEAR($A107),MONTH($A107),MIN(Settings!$E$47,DAY($B107))))&gt;=MAX($A107,Settings!$F$47),IF(Settings!$E$47="",$B107,DATE(YEAR($A107),MONTH($A107),MIN(Settings!$E$47,DAY($B107))))&lt;=MIN(Settings!$B$5,IF(Settings!$G$47="",Settings!$B$5,Settings!$G$47))),1,0)))))</f>
        <v/>
      </c>
      <c r="EW107">
        <f>IF($E107&lt;&gt;"open",0,IF(AND('Month-End'!$CZ$25&lt;&gt;"",NOT(_xlfn.ISFORMULA('Month-End'!$CZ$25))),0,IF(OR(Settings!$C$48="",Settings!$D$48=""),0,Settings!$C$48*IF(Settings!$D$48="Weekly",IF(IFERROR(MATCH(Settings!$E$48,$EO$4:$EO$10,0),0)=0,0,IF(MIN(Settings!$B$5,IF(Settings!$G$48="",Settings!$B$5,Settings!$G$48))&lt;MAX($A107,Settings!$F$48),0,INT((MIN(Settings!$B$5,IF(Settings!$G$48="",Settings!$B$5,Settings!$G$48))-MAX($A107,Settings!$F$48)-MOD(IFERROR(MATCH(Settings!$E$48,$EO$4:$EO$10,0),0)-WEEKDAY(MAX($A107,Settings!$F$48)),7))/7)+1)),IF(AND(IF(Settings!$E$48="",$B107,DATE(YEAR($A107),MONTH($A107),MIN(Settings!$E$48,DAY($B107))))&gt;=MAX($A107,Settings!$F$48),IF(Settings!$E$48="",$B107,DATE(YEAR($A107),MONTH($A107),MIN(Settings!$E$48,DAY($B107))))&lt;=MIN(Settings!$B$5,IF(Settings!$G$48="",Settings!$B$5,Settings!$G$48))),1,0)))))</f>
        <v/>
      </c>
      <c r="EX107">
        <f>IF($E107&lt;&gt;"open",0,IF(AND('Month-End'!$CZ$26&lt;&gt;"",NOT(_xlfn.ISFORMULA('Month-End'!$CZ$26))),0,IF(OR(Settings!$C$49="",Settings!$D$49=""),0,Settings!$C$49*IF(Settings!$D$49="Weekly",IF(IFERROR(MATCH(Settings!$E$49,$EO$4:$EO$10,0),0)=0,0,IF(MIN(Settings!$B$5,IF(Settings!$G$49="",Settings!$B$5,Settings!$G$49))&lt;MAX($A107,Settings!$F$49),0,INT((MIN(Settings!$B$5,IF(Settings!$G$49="",Settings!$B$5,Settings!$G$49))-MAX($A107,Settings!$F$49)-MOD(IFERROR(MATCH(Settings!$E$49,$EO$4:$EO$10,0),0)-WEEKDAY(MAX($A107,Settings!$F$49)),7))/7)+1)),IF(AND(IF(Settings!$E$49="",$B107,DATE(YEAR($A107),MONTH($A107),MIN(Settings!$E$49,DAY($B107))))&gt;=MAX($A107,Settings!$F$49),IF(Settings!$E$49="",$B107,DATE(YEAR($A107),MONTH($A107),MIN(Settings!$E$49,DAY($B107))))&lt;=MIN(Settings!$B$5,IF(Settings!$G$49="",Settings!$B$5,Settings!$G$49))),1,0)))))</f>
        <v/>
      </c>
      <c r="EY107">
        <f>IF($E107&lt;&gt;"open",0,IF(AND('Month-End'!$CZ$27&lt;&gt;"",NOT(_xlfn.ISFORMULA('Month-End'!$CZ$27))),0,IF(OR(Settings!$C$50="",Settings!$D$50=""),0,Settings!$C$50*IF(Settings!$D$50="Weekly",IF(IFERROR(MATCH(Settings!$E$50,$EO$4:$EO$10,0),0)=0,0,IF(MIN(Settings!$B$5,IF(Settings!$G$50="",Settings!$B$5,Settings!$G$50))&lt;MAX($A107,Settings!$F$50),0,INT((MIN(Settings!$B$5,IF(Settings!$G$50="",Settings!$B$5,Settings!$G$50))-MAX($A107,Settings!$F$50)-MOD(IFERROR(MATCH(Settings!$E$50,$EO$4:$EO$10,0),0)-WEEKDAY(MAX($A107,Settings!$F$50)),7))/7)+1)),IF(AND(IF(Settings!$E$50="",$B107,DATE(YEAR($A107),MONTH($A107),MIN(Settings!$E$50,DAY($B107))))&gt;=MAX($A107,Settings!$F$50),IF(Settings!$E$50="",$B107,DATE(YEAR($A107),MONTH($A107),MIN(Settings!$E$50,DAY($B107))))&lt;=MIN(Settings!$B$5,IF(Settings!$G$50="",Settings!$B$5,Settings!$G$50))),1,0)))))</f>
        <v/>
      </c>
      <c r="EZ107">
        <f>IF($E107&lt;&gt;"open",0,IF(AND('Month-End'!$CZ$28&lt;&gt;"",NOT(_xlfn.ISFORMULA('Month-End'!$CZ$28))),0,IF(OR(Settings!$C$51="",Settings!$D$51=""),0,Settings!$C$51*IF(Settings!$D$51="Weekly",IF(IFERROR(MATCH(Settings!$E$51,$EO$4:$EO$10,0),0)=0,0,IF(MIN(Settings!$B$5,IF(Settings!$G$51="",Settings!$B$5,Settings!$G$51))&lt;MAX($A107,Settings!$F$51),0,INT((MIN(Settings!$B$5,IF(Settings!$G$51="",Settings!$B$5,Settings!$G$51))-MAX($A107,Settings!$F$51)-MOD(IFERROR(MATCH(Settings!$E$51,$EO$4:$EO$10,0),0)-WEEKDAY(MAX($A107,Settings!$F$51)),7))/7)+1)),IF(AND(IF(Settings!$E$51="",$B107,DATE(YEAR($A107),MONTH($A107),MIN(Settings!$E$51,DAY($B107))))&gt;=MAX($A107,Settings!$F$51),IF(Settings!$E$51="",$B107,DATE(YEAR($A107),MONTH($A107),MIN(Settings!$E$51,DAY($B107))))&lt;=MIN(Settings!$B$5,IF(Settings!$G$51="",Settings!$B$5,Settings!$G$51))),1,0)))))</f>
        <v/>
      </c>
      <c r="FA107">
        <f>IF($E107&lt;&gt;"open",0,IF(AND('Month-End'!$CZ$29&lt;&gt;"",NOT(_xlfn.ISFORMULA('Month-End'!$CZ$29))),0,IF(OR(Settings!$C$52="",Settings!$D$52=""),0,Settings!$C$52*IF(Settings!$D$52="Weekly",IF(IFERROR(MATCH(Settings!$E$52,$EO$4:$EO$10,0),0)=0,0,IF(MIN(Settings!$B$5,IF(Settings!$G$52="",Settings!$B$5,Settings!$G$52))&lt;MAX($A107,Settings!$F$52),0,INT((MIN(Settings!$B$5,IF(Settings!$G$52="",Settings!$B$5,Settings!$G$52))-MAX($A107,Settings!$F$52)-MOD(IFERROR(MATCH(Settings!$E$52,$EO$4:$EO$10,0),0)-WEEKDAY(MAX($A107,Settings!$F$52)),7))/7)+1)),IF(AND(IF(Settings!$E$52="",$B107,DATE(YEAR($A107),MONTH($A107),MIN(Settings!$E$52,DAY($B107))))&gt;=MAX($A107,Settings!$F$52),IF(Settings!$E$52="",$B107,DATE(YEAR($A107),MONTH($A107),MIN(Settings!$E$52,DAY($B107))))&lt;=MIN(Settings!$B$5,IF(Settings!$G$52="",Settings!$B$5,Settings!$G$52))),1,0)))))</f>
        <v/>
      </c>
      <c r="FB107">
        <f>IF($E107&lt;&gt;"open",0,IF(AND('Month-End'!$CZ$30&lt;&gt;"",NOT(_xlfn.ISFORMULA('Month-End'!$CZ$30))),0,IF(OR(Settings!$C$53="",Settings!$D$53=""),0,Settings!$C$53*IF(Settings!$D$53="Weekly",IF(IFERROR(MATCH(Settings!$E$53,$EO$4:$EO$10,0),0)=0,0,IF(MIN(Settings!$B$5,IF(Settings!$G$53="",Settings!$B$5,Settings!$G$53))&lt;MAX($A107,Settings!$F$53),0,INT((MIN(Settings!$B$5,IF(Settings!$G$53="",Settings!$B$5,Settings!$G$53))-MAX($A107,Settings!$F$53)-MOD(IFERROR(MATCH(Settings!$E$53,$EO$4:$EO$10,0),0)-WEEKDAY(MAX($A107,Settings!$F$53)),7))/7)+1)),IF(AND(IF(Settings!$E$53="",$B107,DATE(YEAR($A107),MONTH($A107),MIN(Settings!$E$53,DAY($B107))))&gt;=MAX($A107,Settings!$F$53),IF(Settings!$E$53="",$B107,DATE(YEAR($A107),MONTH($A107),MIN(Settings!$E$53,DAY($B107))))&lt;=MIN(Settings!$B$5,IF(Settings!$G$53="",Settings!$B$5,Settings!$G$53))),1,0)))))</f>
        <v/>
      </c>
      <c r="FC107">
        <f>IF($E107&lt;&gt;"open",0,IF(AND('Month-End'!$CZ$31&lt;&gt;"",NOT(_xlfn.ISFORMULA('Month-End'!$CZ$31))),0,IF(OR(Settings!$C$54="",Settings!$D$54=""),0,Settings!$C$54*IF(Settings!$D$54="Weekly",IF(IFERROR(MATCH(Settings!$E$54,$EO$4:$EO$10,0),0)=0,0,IF(MIN(Settings!$B$5,IF(Settings!$G$54="",Settings!$B$5,Settings!$G$54))&lt;MAX($A107,Settings!$F$54),0,INT((MIN(Settings!$B$5,IF(Settings!$G$54="",Settings!$B$5,Settings!$G$54))-MAX($A107,Settings!$F$54)-MOD(IFERROR(MATCH(Settings!$E$54,$EO$4:$EO$10,0),0)-WEEKDAY(MAX($A107,Settings!$F$54)),7))/7)+1)),IF(AND(IF(Settings!$E$54="",$B107,DATE(YEAR($A107),MONTH($A107),MIN(Settings!$E$54,DAY($B107))))&gt;=MAX($A107,Settings!$F$54),IF(Settings!$E$54="",$B107,DATE(YEAR($A107),MONTH($A107),MIN(Settings!$E$54,DAY($B107))))&lt;=MIN(Settings!$B$5,IF(Settings!$G$54="",Settings!$B$5,Settings!$G$54))),1,0)))))</f>
        <v/>
      </c>
      <c r="FD107">
        <f>IF($E107&lt;&gt;"open",0,IF(AND('Month-End'!$CZ$32&lt;&gt;"",NOT(_xlfn.ISFORMULA('Month-End'!$CZ$32))),0,IF(OR(Settings!$C$55="",Settings!$D$55=""),0,Settings!$C$55*IF(Settings!$D$55="Weekly",IF(IFERROR(MATCH(Settings!$E$55,$EO$4:$EO$10,0),0)=0,0,IF(MIN(Settings!$B$5,IF(Settings!$G$55="",Settings!$B$5,Settings!$G$55))&lt;MAX($A107,Settings!$F$55),0,INT((MIN(Settings!$B$5,IF(Settings!$G$55="",Settings!$B$5,Settings!$G$55))-MAX($A107,Settings!$F$55)-MOD(IFERROR(MATCH(Settings!$E$55,$EO$4:$EO$10,0),0)-WEEKDAY(MAX($A107,Settings!$F$55)),7))/7)+1)),IF(AND(IF(Settings!$E$55="",$B107,DATE(YEAR($A107),MONTH($A107),MIN(Settings!$E$55,DAY($B107))))&gt;=MAX($A107,Settings!$F$55),IF(Settings!$E$55="",$B107,DATE(YEAR($A107),MONTH($A107),MIN(Settings!$E$55,DAY($B107))))&lt;=MIN(Settings!$B$5,IF(Settings!$G$55="",Settings!$B$5,Settings!$G$55))),1,0)))))</f>
        <v/>
      </c>
      <c r="FE107">
        <f>IF($E107&lt;&gt;"open",0,IF(AND('Month-End'!$CZ$33&lt;&gt;"",NOT(_xlfn.ISFORMULA('Month-End'!$CZ$33))),0,IF(OR(Settings!$C$56="",Settings!$D$56=""),0,Settings!$C$56*IF(Settings!$D$56="Weekly",IF(IFERROR(MATCH(Settings!$E$56,$EO$4:$EO$10,0),0)=0,0,IF(MIN(Settings!$B$5,IF(Settings!$G$56="",Settings!$B$5,Settings!$G$56))&lt;MAX($A107,Settings!$F$56),0,INT((MIN(Settings!$B$5,IF(Settings!$G$56="",Settings!$B$5,Settings!$G$56))-MAX($A107,Settings!$F$56)-MOD(IFERROR(MATCH(Settings!$E$56,$EO$4:$EO$10,0),0)-WEEKDAY(MAX($A107,Settings!$F$56)),7))/7)+1)),IF(AND(IF(Settings!$E$56="",$B107,DATE(YEAR($A107),MONTH($A107),MIN(Settings!$E$56,DAY($B107))))&gt;=MAX($A107,Settings!$F$56),IF(Settings!$E$56="",$B107,DATE(YEAR($A107),MONTH($A107),MIN(Settings!$E$56,DAY($B107))))&lt;=MIN(Settings!$B$5,IF(Settings!$G$56="",Settings!$B$5,Settings!$G$56))),1,0)))))</f>
        <v/>
      </c>
      <c r="FF107">
        <f>IF(Settings!$I$45="Yes",$G107,0)+IF(Settings!$I$46="Yes",$H107,0)+IF(Settings!$I$47="Yes",$I107,0)+IF(Settings!$I$48="Yes",$J107,0)+IF(Settings!$I$49="Yes",$K107,0)+IF(Settings!$I$50="Yes",$L107,0)+IF(Settings!$I$51="Yes",$M107,0)+IF(Settings!$I$52="Yes",$N107,0)+IF(Settings!$I$53="Yes",$O107,0)+IF(Settings!$I$54="Yes",$P107,0)+IF(Settings!$I$55="Yes",$Q107,0)+IF(Settings!$I$56="Yes",$R107,0)</f>
        <v/>
      </c>
      <c r="FG107">
        <f>IF(AND(Settings!$I$45="Yes",Settings!$J$45="No"),$G107,0)+IF(AND(Settings!$I$46="Yes",Settings!$J$46="No"),$H107,0)+IF(AND(Settings!$I$47="Yes",Settings!$J$47="No"),$I107,0)+IF(AND(Settings!$I$48="Yes",Settings!$J$48="No"),$J107,0)+IF(AND(Settings!$I$49="Yes",Settings!$J$49="No"),$K107,0)+IF(AND(Settings!$I$50="Yes",Settings!$J$50="No"),$L107,0)+IF(AND(Settings!$I$51="Yes",Settings!$J$51="No"),$M107,0)+IF(AND(Settings!$I$52="Yes",Settings!$J$52="No"),$N107,0)+IF(AND(Settings!$I$53="Yes",Settings!$J$53="No"),$O107,0)+IF(AND(Settings!$I$54="Yes",Settings!$J$54="No"),$P107,0)+IF(AND(Settings!$I$55="Yes",Settings!$J$55="No"),$Q107,0)+IF(AND(Settings!$I$56="Yes",Settings!$J$56="No"),$R107,0)</f>
        <v/>
      </c>
      <c r="FH107">
        <f>SUMIFS(Giving!$B$7:$B$2006,Giving!$A$7:$A$2006,"&gt;="&amp;$A107,Giving!$A$7:$A$2006,"&lt;="&amp;$B107,Giving!$G$7:$G$2006,"Yes")+IF(OR(OR(Settings!$B$60="",Settings!$F$60="No"),Settings!$H$60&lt;&gt;"Yes"),0,Settings!$B$60*IF(AND(IF(Settings!$C$60="",$B107,DATE(YEAR($A107),MONTH($A107),MIN(Settings!$C$60,DAY($B107))))&gt;=MAX($A107,Settings!$D$60),IF(Settings!$C$60="",$B107,DATE(YEAR($A107),MONTH($A107),MIN(Settings!$C$60,DAY($B107))))&lt;=MIN($C107,IF(Settings!$E$60="",$C107,Settings!$E$60))),1,0))+IF(OR(OR(Settings!$B$61="",Settings!$F$61="No"),Settings!$H$61&lt;&gt;"Yes"),0,Settings!$B$61*IF(AND(IF(Settings!$C$61="",$B107,DATE(YEAR($A107),MONTH($A107),MIN(Settings!$C$61,DAY($B107))))&gt;=MAX($A107,Settings!$D$61),IF(Settings!$C$61="",$B107,DATE(YEAR($A107),MONTH($A107),MIN(Settings!$C$61,DAY($B107))))&lt;=MIN($C107,IF(Settings!$E$61="",$C107,Settings!$E$61))),1,0))+IF(OR(OR(Settings!$B$62="",Settings!$F$62="No"),Settings!$H$62&lt;&gt;"Yes"),0,Settings!$B$62*IF(AND(IF(Settings!$C$62="",$B107,DATE(YEAR($A107),MONTH($A107),MIN(Settings!$C$62,DAY($B107))))&gt;=MAX($A107,Settings!$D$62),IF(Settings!$C$62="",$B107,DATE(YEAR($A107),MONTH($A107),MIN(Settings!$C$62,DAY($B107))))&lt;=MIN($C107,IF(Settings!$E$62="",$C107,Settings!$E$62))),1,0))+IF(OR(OR(Settings!$B$63="",Settings!$F$63="No"),Settings!$H$63&lt;&gt;"Yes"),0,Settings!$B$63*IF(AND(IF(Settings!$C$63="",$B107,DATE(YEAR($A107),MONTH($A107),MIN(Settings!$C$63,DAY($B107))))&gt;=MAX($A107,Settings!$D$63),IF(Settings!$C$63="",$B107,DATE(YEAR($A107),MONTH($A107),MIN(Settings!$C$63,DAY($B107))))&lt;=MIN($C107,IF(Settings!$E$63="",$C107,Settings!$E$63))),1,0))+IF(OR(OR(Settings!$B$64="",Settings!$F$64="No"),Settings!$H$64&lt;&gt;"Yes"),0,Settings!$B$64*IF(AND(IF(Settings!$C$64="",$B107,DATE(YEAR($A107),MONTH($A107),MIN(Settings!$C$64,DAY($B107))))&gt;=MAX($A107,Settings!$D$64),IF(Settings!$C$64="",$B107,DATE(YEAR($A107),MONTH($A107),MIN(Settings!$C$64,DAY($B107))))&lt;=MIN($C107,IF(Settings!$E$64="",$C107,Settings!$E$64))),1,0))+IF(OR(OR(Settings!$B$65="",Settings!$F$65="No"),Settings!$H$65&lt;&gt;"Yes"),0,Settings!$B$65*IF(AND(IF(Settings!$C$65="",$B107,DATE(YEAR($A107),MONTH($A107),MIN(Settings!$C$65,DAY($B107))))&gt;=MAX($A107,Settings!$D$65),IF(Settings!$C$65="",$B107,DATE(YEAR($A107),MONTH($A107),MIN(Settings!$C$65,DAY($B107))))&lt;=MIN($C107,IF(Settings!$E$65="",$C107,Settings!$E$65))),1,0))</f>
        <v/>
      </c>
      <c r="FI107">
        <f>IF($DT107=1,IF(OR(Settings!$B$19="Card",Settings!$B$19="Loan"),N($AE107),0)+IF(OR(Settings!$B$20="Card",Settings!$B$20="Loan"),N($AF107),0)+IF(OR(Settings!$B$21="Card",Settings!$B$21="Loan"),N($AG107),0)+IF(OR(Settings!$B$22="Card",Settings!$B$22="Loan"),N($AH107),0)+IF(OR(Settings!$B$23="Card",Settings!$B$23="Loan"),N($AI107),0)+IF(OR(Settings!$B$24="Card",Settings!$B$24="Loan"),N($AJ107),0)+IF(OR(Settings!$B$25="Card",Settings!$B$25="Loan"),N($AK107),0)+IF(OR(Settings!$B$26="Card",Settings!$B$26="Loan"),N($AL107),0)+IF(OR(Settings!$B$27="Card",Settings!$B$27="Loan"),N($AM107),0)+IF(OR(Settings!$B$28="Card",Settings!$B$28="Loan"),N($AN107),0)+IF(OR(Settings!$B$29="Card",Settings!$B$29="Loan"),N($AO107),0)+IF(OR(Settings!$B$30="Card",Settings!$B$30="Loan"),N($AP107),0)+IF(OR(Settings!$B$31="Card",Settings!$B$31="Loan"),N($AQ107),0)+IF(OR(Settings!$B$32="Card",Settings!$B$32="Loan"),N($AR107),0),"")</f>
        <v/>
      </c>
      <c r="FJ107">
        <f>IF($E107="open",$EB$65,IF($E107="post",IF($E106="pre",$EB$65,$FI106),""))</f>
        <v/>
      </c>
      <c r="FK107">
        <f>IF(AND($DT107=1,$DC107=1),IF(ROUND($FI107-$FJ107,2)&gt;0,1,0),0)</f>
        <v/>
      </c>
      <c r="FL107">
        <f>IF($FK107=1,$FL106+1,0)</f>
        <v/>
      </c>
    </row>
    <row r="108">
      <c r="A108">
        <f>'Month-End'!$DA$4</f>
        <v/>
      </c>
      <c r="B108">
        <f>EOMONTH($A108,0)</f>
        <v/>
      </c>
      <c r="C108">
        <f>MIN($B108,TODAY())</f>
        <v/>
      </c>
      <c r="D108">
        <f>IF($A108&gt;TODAY(),1,0)</f>
        <v/>
      </c>
      <c r="E108">
        <f>IF($B108&lt;=Settings!$B$5,"pre",IF($A108&lt;=Settings!$B$5,"open","post"))</f>
        <v/>
      </c>
      <c r="G108">
        <f>IF('Month-End'!$DA$22="",$BE108,N('Month-End'!$DA$22))</f>
        <v/>
      </c>
      <c r="H108">
        <f>IF('Month-End'!$DA$23="",$BF108,N('Month-End'!$DA$23))</f>
        <v/>
      </c>
      <c r="I108">
        <f>IF('Month-End'!$DA$24="",$BG108,N('Month-End'!$DA$24))</f>
        <v/>
      </c>
      <c r="J108">
        <f>IF('Month-End'!$DA$25="",$BH108,N('Month-End'!$DA$25))</f>
        <v/>
      </c>
      <c r="K108">
        <f>IF('Month-End'!$DA$26="",$BI108,N('Month-End'!$DA$26))</f>
        <v/>
      </c>
      <c r="L108">
        <f>IF('Month-End'!$DA$27="",$BJ108,N('Month-End'!$DA$27))</f>
        <v/>
      </c>
      <c r="M108">
        <f>IF('Month-End'!$DA$28="",$BK108,N('Month-End'!$DA$28))</f>
        <v/>
      </c>
      <c r="N108">
        <f>IF('Month-End'!$DA$29="",$BL108,N('Month-End'!$DA$29))</f>
        <v/>
      </c>
      <c r="O108">
        <f>IF('Month-End'!$DA$30="",$BM108,N('Month-End'!$DA$30))</f>
        <v/>
      </c>
      <c r="P108">
        <f>IF('Month-End'!$DA$31="",$BN108,N('Month-End'!$DA$31))</f>
        <v/>
      </c>
      <c r="Q108">
        <f>IF('Month-End'!$DA$32="",$BO108,N('Month-End'!$DA$32))</f>
        <v/>
      </c>
      <c r="R108">
        <f>IF('Month-End'!$DA$33="",$BP108,N('Month-End'!$DA$33))</f>
        <v/>
      </c>
      <c r="S108">
        <f>$G108+$H108+$I108+$J108+$K108+$L108+$M108+$N108+$O108+$P108+$Q108+$R108</f>
        <v/>
      </c>
      <c r="T108">
        <f>IF($B108&lt;Settings!$B$6,0,IF(Settings!$B$45="Yes",$G108,0)+IF(Settings!$B$46="Yes",$H108,0)+IF(Settings!$B$47="Yes",$I108,0)+IF(Settings!$B$48="Yes",$J108,0)+IF(Settings!$B$49="Yes",$K108,0)+IF(Settings!$B$50="Yes",$L108,0)+IF(Settings!$B$51="Yes",$M108,0)+IF(Settings!$B$52="Yes",$N108,0)+IF(Settings!$B$53="Yes",$O108,0)+IF(Settings!$B$54="Yes",$P108,0)+IF(Settings!$B$55="Yes",$Q108,0)+IF(Settings!$B$56="Yes",$R108,0))</f>
        <v/>
      </c>
      <c r="U108">
        <f>IF(Settings!$B$45="Not Sure",$G108,0)+IF(Settings!$B$46="Not Sure",$H108,0)+IF(Settings!$B$47="Not Sure",$I108,0)+IF(Settings!$B$48="Not Sure",$J108,0)+IF(Settings!$B$49="Not Sure",$K108,0)+IF(Settings!$B$50="Not Sure",$L108,0)+IF(Settings!$B$51="Not Sure",$M108,0)+IF(Settings!$B$52="Not Sure",$N108,0)+IF(Settings!$B$53="Not Sure",$O108,0)+IF(Settings!$B$54="Not Sure",$P108,0)+IF(Settings!$B$55="Not Sure",$Q108,0)+IF(Settings!$B$56="Not Sure",$R108,0)</f>
        <v/>
      </c>
      <c r="V108">
        <f>IF($E108="open",SUM($ET108:$FE108)+N(Settings!$B$13),0)</f>
        <v/>
      </c>
      <c r="W108">
        <f>IF($E108="post",$S108,IF($E108="open",$S108-$V108,0))</f>
        <v/>
      </c>
      <c r="X108">
        <f>SUMIFS(Giving!$B$7:$B$2006,Giving!$A$7:$A$2006,"&gt;="&amp;$A108,Giving!$A$7:$A$2006,"&lt;="&amp;$B108,Giving!$E$7:$E$2006,"&lt;&gt;No")</f>
        <v/>
      </c>
      <c r="Y108">
        <f>SUMIFS(Giving!$B$7:$B$2006,Giving!$A$7:$A$2006,"&gt;="&amp;$A108,Giving!$A$7:$A$2006,"&lt;="&amp;$B108,Giving!$E$7:$E$2006,"No")</f>
        <v/>
      </c>
      <c r="Z108">
        <f>IF(OR(Settings!$B$60="",Settings!$F$60="No"),0,Settings!$B$60*IF(AND(IF(Settings!$C$60="",$B108,DATE(YEAR($A108),MONTH($A108),MIN(Settings!$C$60,DAY($B108))))&gt;=MAX($A108,Settings!$D$60),IF(Settings!$C$60="",$B108,DATE(YEAR($A108),MONTH($A108),MIN(Settings!$C$60,DAY($B108))))&lt;=MIN($C108,IF(Settings!$E$60="",$C108,Settings!$E$60))),1,0))+IF(OR(Settings!$B$61="",Settings!$F$61="No"),0,Settings!$B$61*IF(AND(IF(Settings!$C$61="",$B108,DATE(YEAR($A108),MONTH($A108),MIN(Settings!$C$61,DAY($B108))))&gt;=MAX($A108,Settings!$D$61),IF(Settings!$C$61="",$B108,DATE(YEAR($A108),MONTH($A108),MIN(Settings!$C$61,DAY($B108))))&lt;=MIN($C108,IF(Settings!$E$61="",$C108,Settings!$E$61))),1,0))+IF(OR(Settings!$B$62="",Settings!$F$62="No"),0,Settings!$B$62*IF(AND(IF(Settings!$C$62="",$B108,DATE(YEAR($A108),MONTH($A108),MIN(Settings!$C$62,DAY($B108))))&gt;=MAX($A108,Settings!$D$62),IF(Settings!$C$62="",$B108,DATE(YEAR($A108),MONTH($A108),MIN(Settings!$C$62,DAY($B108))))&lt;=MIN($C108,IF(Settings!$E$62="",$C108,Settings!$E$62))),1,0))+IF(OR(Settings!$B$63="",Settings!$F$63="No"),0,Settings!$B$63*IF(AND(IF(Settings!$C$63="",$B108,DATE(YEAR($A108),MONTH($A108),MIN(Settings!$C$63,DAY($B108))))&gt;=MAX($A108,Settings!$D$63),IF(Settings!$C$63="",$B108,DATE(YEAR($A108),MONTH($A108),MIN(Settings!$C$63,DAY($B108))))&lt;=MIN($C108,IF(Settings!$E$63="",$C108,Settings!$E$63))),1,0))+IF(OR(Settings!$B$64="",Settings!$F$64="No"),0,Settings!$B$64*IF(AND(IF(Settings!$C$64="",$B108,DATE(YEAR($A108),MONTH($A108),MIN(Settings!$C$64,DAY($B108))))&gt;=MAX($A108,Settings!$D$64),IF(Settings!$C$64="",$B108,DATE(YEAR($A108),MONTH($A108),MIN(Settings!$C$64,DAY($B108))))&lt;=MIN($C108,IF(Settings!$E$64="",$C108,Settings!$E$64))),1,0))+IF(OR(Settings!$B$65="",Settings!$F$65="No"),0,Settings!$B$65*IF(AND(IF(Settings!$C$65="",$B108,DATE(YEAR($A108),MONTH($A108),MIN(Settings!$C$65,DAY($B108))))&gt;=MAX($A108,Settings!$D$65),IF(Settings!$C$65="",$B108,DATE(YEAR($A108),MONTH($A108),MIN(Settings!$C$65,DAY($B108))))&lt;=MIN($C108,IF(Settings!$E$65="",$C108,Settings!$E$65))),1,0))</f>
        <v/>
      </c>
      <c r="AA108">
        <f>$X108+$Z108</f>
        <v/>
      </c>
      <c r="AB108">
        <f>IF($E108="post",$AA108,IF($E108="open",SUMIFS(Giving!$B$7:$B$2006,Giving!$A$7:$A$2006,"&gt;"&amp;Settings!$B$5,Giving!$A$7:$A$2006,"&lt;="&amp;$B108,Giving!$E$7:$E$2006,"&lt;&gt;No")+IF(OR(Settings!$B$60="",Settings!$F$60="No"),0,Settings!$B$60*IF(AND(IF(Settings!$C$60="",$B108,DATE(YEAR($A108),MONTH($A108),MIN(Settings!$C$60,DAY($B108))))&gt;=MAX($A108,Settings!$D$60,Settings!$B$5+1),IF(Settings!$C$60="",$B108,DATE(YEAR($A108),MONTH($A108),MIN(Settings!$C$60,DAY($B108))))&lt;=MIN($C108,IF(Settings!$E$60="",$C108,Settings!$E$60))),1,0))+IF(OR(Settings!$B$61="",Settings!$F$61="No"),0,Settings!$B$61*IF(AND(IF(Settings!$C$61="",$B108,DATE(YEAR($A108),MONTH($A108),MIN(Settings!$C$61,DAY($B108))))&gt;=MAX($A108,Settings!$D$61,Settings!$B$5+1),IF(Settings!$C$61="",$B108,DATE(YEAR($A108),MONTH($A108),MIN(Settings!$C$61,DAY($B108))))&lt;=MIN($C108,IF(Settings!$E$61="",$C108,Settings!$E$61))),1,0))+IF(OR(Settings!$B$62="",Settings!$F$62="No"),0,Settings!$B$62*IF(AND(IF(Settings!$C$62="",$B108,DATE(YEAR($A108),MONTH($A108),MIN(Settings!$C$62,DAY($B108))))&gt;=MAX($A108,Settings!$D$62,Settings!$B$5+1),IF(Settings!$C$62="",$B108,DATE(YEAR($A108),MONTH($A108),MIN(Settings!$C$62,DAY($B108))))&lt;=MIN($C108,IF(Settings!$E$62="",$C108,Settings!$E$62))),1,0))+IF(OR(Settings!$B$63="",Settings!$F$63="No"),0,Settings!$B$63*IF(AND(IF(Settings!$C$63="",$B108,DATE(YEAR($A108),MONTH($A108),MIN(Settings!$C$63,DAY($B108))))&gt;=MAX($A108,Settings!$D$63,Settings!$B$5+1),IF(Settings!$C$63="",$B108,DATE(YEAR($A108),MONTH($A108),MIN(Settings!$C$63,DAY($B108))))&lt;=MIN($C108,IF(Settings!$E$63="",$C108,Settings!$E$63))),1,0))+IF(OR(Settings!$B$64="",Settings!$F$64="No"),0,Settings!$B$64*IF(AND(IF(Settings!$C$64="",$B108,DATE(YEAR($A108),MONTH($A108),MIN(Settings!$C$64,DAY($B108))))&gt;=MAX($A108,Settings!$D$64,Settings!$B$5+1),IF(Settings!$C$64="",$B108,DATE(YEAR($A108),MONTH($A108),MIN(Settings!$C$64,DAY($B108))))&lt;=MIN($C108,IF(Settings!$E$64="",$C108,Settings!$E$64))),1,0))+IF(OR(Settings!$B$65="",Settings!$F$65="No"),0,Settings!$B$65*IF(AND(IF(Settings!$C$65="",$B108,DATE(YEAR($A108),MONTH($A108),MIN(Settings!$C$65,DAY($B108))))&gt;=MAX($A108,Settings!$D$65,Settings!$B$5+1),IF(Settings!$C$65="",$B108,DATE(YEAR($A108),MONTH($A108),MIN(Settings!$C$65,DAY($B108))))&lt;=MIN($C108,IF(Settings!$E$65="",$C108,Settings!$E$65))),1,0)),0))</f>
        <v/>
      </c>
      <c r="AC108">
        <f>$AY108+$AZ108+$BA108+$BB108+$BC108+$BD108</f>
        <v/>
      </c>
      <c r="AD108">
        <f>$AC108</f>
        <v/>
      </c>
      <c r="AE108">
        <f>IF(OR(Settings!$A$19="",$E108="pre"),"",IF(AND('Month-End'!$DA$7&lt;&gt;"",NOT(_xlfn.ISFORMULA('Month-End'!$DA$7))),N('Month-End'!$DA$7),IF(OR($E108="open",$E107="pre"),N(Settings!$C$19),N($AE107))))</f>
        <v/>
      </c>
      <c r="AF108">
        <f>IF(OR(Settings!$A$20="",$E108="pre"),"",IF(AND('Month-End'!$DA$8&lt;&gt;"",NOT(_xlfn.ISFORMULA('Month-End'!$DA$8))),N('Month-End'!$DA$8),IF(OR($E108="open",$E107="pre"),N(Settings!$C$20),N($AF107))))</f>
        <v/>
      </c>
      <c r="AG108">
        <f>IF(OR(Settings!$A$21="",$E108="pre"),"",IF(AND('Month-End'!$DA$9&lt;&gt;"",NOT(_xlfn.ISFORMULA('Month-End'!$DA$9))),N('Month-End'!$DA$9),IF(OR($E108="open",$E107="pre"),N(Settings!$C$21),N($AG107))))</f>
        <v/>
      </c>
      <c r="AH108">
        <f>IF(OR(Settings!$A$22="",$E108="pre"),"",IF(AND('Month-End'!$DA$10&lt;&gt;"",NOT(_xlfn.ISFORMULA('Month-End'!$DA$10))),N('Month-End'!$DA$10),IF(OR($E108="open",$E107="pre"),N(Settings!$C$22),N($AH107))))</f>
        <v/>
      </c>
      <c r="AI108">
        <f>IF(OR(Settings!$A$23="",$E108="pre"),"",IF(AND('Month-End'!$DA$11&lt;&gt;"",NOT(_xlfn.ISFORMULA('Month-End'!$DA$11))),N('Month-End'!$DA$11),IF(OR($E108="open",$E107="pre"),N(Settings!$C$23),N($AI107))))</f>
        <v/>
      </c>
      <c r="AJ108">
        <f>IF(OR(Settings!$A$24="",$E108="pre"),"",IF(AND('Month-End'!$DA$12&lt;&gt;"",NOT(_xlfn.ISFORMULA('Month-End'!$DA$12))),N('Month-End'!$DA$12),IF(OR($E108="open",$E107="pre"),N(Settings!$C$24),N($AJ107))))</f>
        <v/>
      </c>
      <c r="AK108">
        <f>IF(OR(Settings!$A$25="",$E108="pre"),"",IF(AND('Month-End'!$DA$13&lt;&gt;"",NOT(_xlfn.ISFORMULA('Month-End'!$DA$13))),N('Month-End'!$DA$13),IF(OR($E108="open",$E107="pre"),N(Settings!$C$25),N($AK107))))</f>
        <v/>
      </c>
      <c r="AL108">
        <f>IF(OR(Settings!$A$26="",$E108="pre"),"",IF(AND('Month-End'!$DA$14&lt;&gt;"",NOT(_xlfn.ISFORMULA('Month-End'!$DA$14))),N('Month-End'!$DA$14),IF(OR($E108="open",$E107="pre"),N(Settings!$C$26),N($AL107))))</f>
        <v/>
      </c>
      <c r="AM108">
        <f>IF(OR(Settings!$A$27="",$E108="pre"),"",IF(AND('Month-End'!$DA$15&lt;&gt;"",NOT(_xlfn.ISFORMULA('Month-End'!$DA$15))),N('Month-End'!$DA$15),IF(OR($E108="open",$E107="pre"),N(Settings!$C$27),N($AM107))))</f>
        <v/>
      </c>
      <c r="AN108">
        <f>IF(OR(Settings!$A$28="",$E108="pre"),"",IF(AND('Month-End'!$DA$16&lt;&gt;"",NOT(_xlfn.ISFORMULA('Month-End'!$DA$16))),N('Month-End'!$DA$16),IF(OR($E108="open",$E107="pre"),N(Settings!$C$28),N($AN107))))</f>
        <v/>
      </c>
      <c r="AO108">
        <f>IF(OR(Settings!$A$29="",$E108="pre"),"",IF(AND('Month-End'!$DA$17&lt;&gt;"",NOT(_xlfn.ISFORMULA('Month-End'!$DA$17))),N('Month-End'!$DA$17),IF(OR($E108="open",$E107="pre"),N(Settings!$C$29),N($AO107))))</f>
        <v/>
      </c>
      <c r="AP108">
        <f>IF(OR(Settings!$A$30="",$E108="pre"),"",IF(AND('Month-End'!$DA$18&lt;&gt;"",NOT(_xlfn.ISFORMULA('Month-End'!$DA$18))),N('Month-End'!$DA$18),IF(OR($E108="open",$E107="pre"),N(Settings!$C$30),N($AP107))))</f>
        <v/>
      </c>
      <c r="AQ108">
        <f>IF(OR(Settings!$A$31="",$E108="pre"),"",IF(AND('Month-End'!$DA$19&lt;&gt;"",NOT(_xlfn.ISFORMULA('Month-End'!$DA$19))),N('Month-End'!$DA$19),IF(OR($E108="open",$E107="pre"),N(Settings!$C$31),N($AQ107))))</f>
        <v/>
      </c>
      <c r="AR108">
        <f>IF(OR(Settings!$A$32="",$E108="pre"),"",IF(AND('Month-End'!$DA$20&lt;&gt;"",NOT(_xlfn.ISFORMULA('Month-End'!$DA$20))),N('Month-End'!$DA$20),IF(OR($E108="open",$E107="pre"),N(Settings!$C$32),N($AR107))))</f>
        <v/>
      </c>
      <c r="AS108">
        <f>IF(OR(Settings!$A$36="",$E108="pre"),"",IF(AND('Month-End'!$DA$38&lt;&gt;"",NOT(_xlfn.ISFORMULA('Month-End'!$DA$38))),N('Month-End'!$DA$38),IF(OR($E108="open",$E107="pre"),N(Settings!$C$36),N($AS107))+$AY108))</f>
        <v/>
      </c>
      <c r="AT108">
        <f>IF(OR(Settings!$A$37="",$E108="pre"),"",IF(AND('Month-End'!$DA$39&lt;&gt;"",NOT(_xlfn.ISFORMULA('Month-End'!$DA$39))),N('Month-End'!$DA$39),IF(OR($E108="open",$E107="pre"),N(Settings!$C$37),N($AT107))+$AZ108))</f>
        <v/>
      </c>
      <c r="AU108">
        <f>IF(OR(Settings!$A$38="",$E108="pre"),"",IF(AND('Month-End'!$DA$40&lt;&gt;"",NOT(_xlfn.ISFORMULA('Month-End'!$DA$40))),N('Month-End'!$DA$40),IF(OR($E108="open",$E107="pre"),N(Settings!$C$38),N($AU107))+$BA108))</f>
        <v/>
      </c>
      <c r="AV108">
        <f>IF(OR(Settings!$A$39="",$E108="pre"),"",IF(AND('Month-End'!$DA$41&lt;&gt;"",NOT(_xlfn.ISFORMULA('Month-End'!$DA$41))),N('Month-End'!$DA$41),IF(OR($E108="open",$E107="pre"),N(Settings!$C$39),N($AV107))+$BB108))</f>
        <v/>
      </c>
      <c r="AW108">
        <f>IF(OR(Settings!$A$40="",$E108="pre"),"",IF(AND('Month-End'!$DA$42&lt;&gt;"",NOT(_xlfn.ISFORMULA('Month-End'!$DA$42))),N('Month-End'!$DA$42),IF(OR($E108="open",$E107="pre"),N(Settings!$C$40),N($AW107))+$BC108))</f>
        <v/>
      </c>
      <c r="AX108">
        <f>IF(OR(Settings!$A$41="",$E108="pre"),"",IF(AND('Month-End'!$DA$43&lt;&gt;"",NOT(_xlfn.ISFORMULA('Month-End'!$DA$43))),N('Month-End'!$DA$43),IF(OR($E108="open",$E107="pre"),N(Settings!$C$41),N($AX107))+$BD108))</f>
        <v/>
      </c>
      <c r="AY108">
        <f>IF($E108="pre",0,N('Month-End'!$DA$45))</f>
        <v/>
      </c>
      <c r="AZ108">
        <f>IF($E108="pre",0,N('Month-End'!$DA$46))</f>
        <v/>
      </c>
      <c r="BA108">
        <f>IF($E108="pre",0,N('Month-End'!$DA$47))</f>
        <v/>
      </c>
      <c r="BB108">
        <f>IF($E108="pre",0,N('Month-End'!$DA$48))</f>
        <v/>
      </c>
      <c r="BC108">
        <f>IF($E108="pre",0,N('Month-End'!$DA$49))</f>
        <v/>
      </c>
      <c r="BD108">
        <f>IF($E108="pre",0,N('Month-End'!$DA$50))</f>
        <v/>
      </c>
      <c r="BE108">
        <f>IF(OR(Settings!$C$45="",Settings!$D$45=""),0,Settings!$C$45*IF(Settings!$D$45="Weekly",IF(IFERROR(MATCH(Settings!$E$45,$EO$4:$EO$10,0),0)=0,0,IF(MIN($C108,IF(Settings!$G$45="",$C108,Settings!$G$45))&lt;MAX($A108,Settings!$F$45),0,INT((MIN($C108,IF(Settings!$G$45="",$C108,Settings!$G$45))-MAX($A108,Settings!$F$45)-MOD(IFERROR(MATCH(Settings!$E$45,$EO$4:$EO$10,0),0)-WEEKDAY(MAX($A108,Settings!$F$45)),7))/7)+1)),IF(AND(IF(Settings!$E$45="",$B108,DATE(YEAR($A108),MONTH($A108),MIN(Settings!$E$45,DAY($B108))))&gt;=MAX($A108,Settings!$F$45),IF(Settings!$E$45="",$B108,DATE(YEAR($A108),MONTH($A108),MIN(Settings!$E$45,DAY($B108))))&lt;=MIN($C108,IF(Settings!$G$45="",$C108,Settings!$G$45))),1,0)))</f>
        <v/>
      </c>
      <c r="BF108">
        <f>IF(OR(Settings!$C$46="",Settings!$D$46=""),0,Settings!$C$46*IF(Settings!$D$46="Weekly",IF(IFERROR(MATCH(Settings!$E$46,$EO$4:$EO$10,0),0)=0,0,IF(MIN($C108,IF(Settings!$G$46="",$C108,Settings!$G$46))&lt;MAX($A108,Settings!$F$46),0,INT((MIN($C108,IF(Settings!$G$46="",$C108,Settings!$G$46))-MAX($A108,Settings!$F$46)-MOD(IFERROR(MATCH(Settings!$E$46,$EO$4:$EO$10,0),0)-WEEKDAY(MAX($A108,Settings!$F$46)),7))/7)+1)),IF(AND(IF(Settings!$E$46="",$B108,DATE(YEAR($A108),MONTH($A108),MIN(Settings!$E$46,DAY($B108))))&gt;=MAX($A108,Settings!$F$46),IF(Settings!$E$46="",$B108,DATE(YEAR($A108),MONTH($A108),MIN(Settings!$E$46,DAY($B108))))&lt;=MIN($C108,IF(Settings!$G$46="",$C108,Settings!$G$46))),1,0)))</f>
        <v/>
      </c>
      <c r="BG108">
        <f>IF(OR(Settings!$C$47="",Settings!$D$47=""),0,Settings!$C$47*IF(Settings!$D$47="Weekly",IF(IFERROR(MATCH(Settings!$E$47,$EO$4:$EO$10,0),0)=0,0,IF(MIN($C108,IF(Settings!$G$47="",$C108,Settings!$G$47))&lt;MAX($A108,Settings!$F$47),0,INT((MIN($C108,IF(Settings!$G$47="",$C108,Settings!$G$47))-MAX($A108,Settings!$F$47)-MOD(IFERROR(MATCH(Settings!$E$47,$EO$4:$EO$10,0),0)-WEEKDAY(MAX($A108,Settings!$F$47)),7))/7)+1)),IF(AND(IF(Settings!$E$47="",$B108,DATE(YEAR($A108),MONTH($A108),MIN(Settings!$E$47,DAY($B108))))&gt;=MAX($A108,Settings!$F$47),IF(Settings!$E$47="",$B108,DATE(YEAR($A108),MONTH($A108),MIN(Settings!$E$47,DAY($B108))))&lt;=MIN($C108,IF(Settings!$G$47="",$C108,Settings!$G$47))),1,0)))</f>
        <v/>
      </c>
      <c r="BH108">
        <f>IF(OR(Settings!$C$48="",Settings!$D$48=""),0,Settings!$C$48*IF(Settings!$D$48="Weekly",IF(IFERROR(MATCH(Settings!$E$48,$EO$4:$EO$10,0),0)=0,0,IF(MIN($C108,IF(Settings!$G$48="",$C108,Settings!$G$48))&lt;MAX($A108,Settings!$F$48),0,INT((MIN($C108,IF(Settings!$G$48="",$C108,Settings!$G$48))-MAX($A108,Settings!$F$48)-MOD(IFERROR(MATCH(Settings!$E$48,$EO$4:$EO$10,0),0)-WEEKDAY(MAX($A108,Settings!$F$48)),7))/7)+1)),IF(AND(IF(Settings!$E$48="",$B108,DATE(YEAR($A108),MONTH($A108),MIN(Settings!$E$48,DAY($B108))))&gt;=MAX($A108,Settings!$F$48),IF(Settings!$E$48="",$B108,DATE(YEAR($A108),MONTH($A108),MIN(Settings!$E$48,DAY($B108))))&lt;=MIN($C108,IF(Settings!$G$48="",$C108,Settings!$G$48))),1,0)))</f>
        <v/>
      </c>
      <c r="BI108">
        <f>IF(OR(Settings!$C$49="",Settings!$D$49=""),0,Settings!$C$49*IF(Settings!$D$49="Weekly",IF(IFERROR(MATCH(Settings!$E$49,$EO$4:$EO$10,0),0)=0,0,IF(MIN($C108,IF(Settings!$G$49="",$C108,Settings!$G$49))&lt;MAX($A108,Settings!$F$49),0,INT((MIN($C108,IF(Settings!$G$49="",$C108,Settings!$G$49))-MAX($A108,Settings!$F$49)-MOD(IFERROR(MATCH(Settings!$E$49,$EO$4:$EO$10,0),0)-WEEKDAY(MAX($A108,Settings!$F$49)),7))/7)+1)),IF(AND(IF(Settings!$E$49="",$B108,DATE(YEAR($A108),MONTH($A108),MIN(Settings!$E$49,DAY($B108))))&gt;=MAX($A108,Settings!$F$49),IF(Settings!$E$49="",$B108,DATE(YEAR($A108),MONTH($A108),MIN(Settings!$E$49,DAY($B108))))&lt;=MIN($C108,IF(Settings!$G$49="",$C108,Settings!$G$49))),1,0)))</f>
        <v/>
      </c>
      <c r="BJ108">
        <f>IF(OR(Settings!$C$50="",Settings!$D$50=""),0,Settings!$C$50*IF(Settings!$D$50="Weekly",IF(IFERROR(MATCH(Settings!$E$50,$EO$4:$EO$10,0),0)=0,0,IF(MIN($C108,IF(Settings!$G$50="",$C108,Settings!$G$50))&lt;MAX($A108,Settings!$F$50),0,INT((MIN($C108,IF(Settings!$G$50="",$C108,Settings!$G$50))-MAX($A108,Settings!$F$50)-MOD(IFERROR(MATCH(Settings!$E$50,$EO$4:$EO$10,0),0)-WEEKDAY(MAX($A108,Settings!$F$50)),7))/7)+1)),IF(AND(IF(Settings!$E$50="",$B108,DATE(YEAR($A108),MONTH($A108),MIN(Settings!$E$50,DAY($B108))))&gt;=MAX($A108,Settings!$F$50),IF(Settings!$E$50="",$B108,DATE(YEAR($A108),MONTH($A108),MIN(Settings!$E$50,DAY($B108))))&lt;=MIN($C108,IF(Settings!$G$50="",$C108,Settings!$G$50))),1,0)))</f>
        <v/>
      </c>
      <c r="BK108">
        <f>IF(OR(Settings!$C$51="",Settings!$D$51=""),0,Settings!$C$51*IF(Settings!$D$51="Weekly",IF(IFERROR(MATCH(Settings!$E$51,$EO$4:$EO$10,0),0)=0,0,IF(MIN($C108,IF(Settings!$G$51="",$C108,Settings!$G$51))&lt;MAX($A108,Settings!$F$51),0,INT((MIN($C108,IF(Settings!$G$51="",$C108,Settings!$G$51))-MAX($A108,Settings!$F$51)-MOD(IFERROR(MATCH(Settings!$E$51,$EO$4:$EO$10,0),0)-WEEKDAY(MAX($A108,Settings!$F$51)),7))/7)+1)),IF(AND(IF(Settings!$E$51="",$B108,DATE(YEAR($A108),MONTH($A108),MIN(Settings!$E$51,DAY($B108))))&gt;=MAX($A108,Settings!$F$51),IF(Settings!$E$51="",$B108,DATE(YEAR($A108),MONTH($A108),MIN(Settings!$E$51,DAY($B108))))&lt;=MIN($C108,IF(Settings!$G$51="",$C108,Settings!$G$51))),1,0)))</f>
        <v/>
      </c>
      <c r="BL108">
        <f>IF(OR(Settings!$C$52="",Settings!$D$52=""),0,Settings!$C$52*IF(Settings!$D$52="Weekly",IF(IFERROR(MATCH(Settings!$E$52,$EO$4:$EO$10,0),0)=0,0,IF(MIN($C108,IF(Settings!$G$52="",$C108,Settings!$G$52))&lt;MAX($A108,Settings!$F$52),0,INT((MIN($C108,IF(Settings!$G$52="",$C108,Settings!$G$52))-MAX($A108,Settings!$F$52)-MOD(IFERROR(MATCH(Settings!$E$52,$EO$4:$EO$10,0),0)-WEEKDAY(MAX($A108,Settings!$F$52)),7))/7)+1)),IF(AND(IF(Settings!$E$52="",$B108,DATE(YEAR($A108),MONTH($A108),MIN(Settings!$E$52,DAY($B108))))&gt;=MAX($A108,Settings!$F$52),IF(Settings!$E$52="",$B108,DATE(YEAR($A108),MONTH($A108),MIN(Settings!$E$52,DAY($B108))))&lt;=MIN($C108,IF(Settings!$G$52="",$C108,Settings!$G$52))),1,0)))</f>
        <v/>
      </c>
      <c r="BM108">
        <f>IF(OR(Settings!$C$53="",Settings!$D$53=""),0,Settings!$C$53*IF(Settings!$D$53="Weekly",IF(IFERROR(MATCH(Settings!$E$53,$EO$4:$EO$10,0),0)=0,0,IF(MIN($C108,IF(Settings!$G$53="",$C108,Settings!$G$53))&lt;MAX($A108,Settings!$F$53),0,INT((MIN($C108,IF(Settings!$G$53="",$C108,Settings!$G$53))-MAX($A108,Settings!$F$53)-MOD(IFERROR(MATCH(Settings!$E$53,$EO$4:$EO$10,0),0)-WEEKDAY(MAX($A108,Settings!$F$53)),7))/7)+1)),IF(AND(IF(Settings!$E$53="",$B108,DATE(YEAR($A108),MONTH($A108),MIN(Settings!$E$53,DAY($B108))))&gt;=MAX($A108,Settings!$F$53),IF(Settings!$E$53="",$B108,DATE(YEAR($A108),MONTH($A108),MIN(Settings!$E$53,DAY($B108))))&lt;=MIN($C108,IF(Settings!$G$53="",$C108,Settings!$G$53))),1,0)))</f>
        <v/>
      </c>
      <c r="BN108">
        <f>IF(OR(Settings!$C$54="",Settings!$D$54=""),0,Settings!$C$54*IF(Settings!$D$54="Weekly",IF(IFERROR(MATCH(Settings!$E$54,$EO$4:$EO$10,0),0)=0,0,IF(MIN($C108,IF(Settings!$G$54="",$C108,Settings!$G$54))&lt;MAX($A108,Settings!$F$54),0,INT((MIN($C108,IF(Settings!$G$54="",$C108,Settings!$G$54))-MAX($A108,Settings!$F$54)-MOD(IFERROR(MATCH(Settings!$E$54,$EO$4:$EO$10,0),0)-WEEKDAY(MAX($A108,Settings!$F$54)),7))/7)+1)),IF(AND(IF(Settings!$E$54="",$B108,DATE(YEAR($A108),MONTH($A108),MIN(Settings!$E$54,DAY($B108))))&gt;=MAX($A108,Settings!$F$54),IF(Settings!$E$54="",$B108,DATE(YEAR($A108),MONTH($A108),MIN(Settings!$E$54,DAY($B108))))&lt;=MIN($C108,IF(Settings!$G$54="",$C108,Settings!$G$54))),1,0)))</f>
        <v/>
      </c>
      <c r="BO108">
        <f>IF(OR(Settings!$C$55="",Settings!$D$55=""),0,Settings!$C$55*IF(Settings!$D$55="Weekly",IF(IFERROR(MATCH(Settings!$E$55,$EO$4:$EO$10,0),0)=0,0,IF(MIN($C108,IF(Settings!$G$55="",$C108,Settings!$G$55))&lt;MAX($A108,Settings!$F$55),0,INT((MIN($C108,IF(Settings!$G$55="",$C108,Settings!$G$55))-MAX($A108,Settings!$F$55)-MOD(IFERROR(MATCH(Settings!$E$55,$EO$4:$EO$10,0),0)-WEEKDAY(MAX($A108,Settings!$F$55)),7))/7)+1)),IF(AND(IF(Settings!$E$55="",$B108,DATE(YEAR($A108),MONTH($A108),MIN(Settings!$E$55,DAY($B108))))&gt;=MAX($A108,Settings!$F$55),IF(Settings!$E$55="",$B108,DATE(YEAR($A108),MONTH($A108),MIN(Settings!$E$55,DAY($B108))))&lt;=MIN($C108,IF(Settings!$G$55="",$C108,Settings!$G$55))),1,0)))</f>
        <v/>
      </c>
      <c r="BP108">
        <f>IF(OR(Settings!$C$56="",Settings!$D$56=""),0,Settings!$C$56*IF(Settings!$D$56="Weekly",IF(IFERROR(MATCH(Settings!$E$56,$EO$4:$EO$10,0),0)=0,0,IF(MIN($C108,IF(Settings!$G$56="",$C108,Settings!$G$56))&lt;MAX($A108,Settings!$F$56),0,INT((MIN($C108,IF(Settings!$G$56="",$C108,Settings!$G$56))-MAX($A108,Settings!$F$56)-MOD(IFERROR(MATCH(Settings!$E$56,$EO$4:$EO$10,0),0)-WEEKDAY(MAX($A108,Settings!$F$56)),7))/7)+1)),IF(AND(IF(Settings!$E$56="",$B108,DATE(YEAR($A108),MONTH($A108),MIN(Settings!$E$56,DAY($B108))))&gt;=MAX($A108,Settings!$F$56),IF(Settings!$E$56="",$B108,DATE(YEAR($A108),MONTH($A108),MIN(Settings!$E$56,DAY($B108))))&lt;=MIN($C108,IF(Settings!$G$56="",$C108,Settings!$G$56))),1,0)))</f>
        <v/>
      </c>
      <c r="BQ108">
        <f>IF(OR(Settings!$B$14="",$D108=1,$E108="pre",$A108&lt;IF(Settings!$B$15="",0,Settings!$B$15)),0,Settings!$B$14)</f>
        <v/>
      </c>
      <c r="BR108">
        <f>IF(AND('Month-End'!$DA$7&lt;&gt;"",NOT(_xlfn.ISFORMULA('Month-End'!$DA$7))),1,0)</f>
        <v/>
      </c>
      <c r="BS108">
        <f>IF(AND('Month-End'!$DA$8&lt;&gt;"",NOT(_xlfn.ISFORMULA('Month-End'!$DA$8))),1,0)</f>
        <v/>
      </c>
      <c r="BT108">
        <f>IF(AND('Month-End'!$DA$9&lt;&gt;"",NOT(_xlfn.ISFORMULA('Month-End'!$DA$9))),1,0)</f>
        <v/>
      </c>
      <c r="BU108">
        <f>IF(AND('Month-End'!$DA$10&lt;&gt;"",NOT(_xlfn.ISFORMULA('Month-End'!$DA$10))),1,0)</f>
        <v/>
      </c>
      <c r="BV108">
        <f>IF(AND('Month-End'!$DA$11&lt;&gt;"",NOT(_xlfn.ISFORMULA('Month-End'!$DA$11))),1,0)</f>
        <v/>
      </c>
      <c r="BW108">
        <f>IF(AND('Month-End'!$DA$12&lt;&gt;"",NOT(_xlfn.ISFORMULA('Month-End'!$DA$12))),1,0)</f>
        <v/>
      </c>
      <c r="BX108">
        <f>IF(AND('Month-End'!$DA$13&lt;&gt;"",NOT(_xlfn.ISFORMULA('Month-End'!$DA$13))),1,0)</f>
        <v/>
      </c>
      <c r="BY108">
        <f>IF(AND('Month-End'!$DA$14&lt;&gt;"",NOT(_xlfn.ISFORMULA('Month-End'!$DA$14))),1,0)</f>
        <v/>
      </c>
      <c r="BZ108">
        <f>IF(AND('Month-End'!$DA$15&lt;&gt;"",NOT(_xlfn.ISFORMULA('Month-End'!$DA$15))),1,0)</f>
        <v/>
      </c>
      <c r="CA108">
        <f>IF(AND('Month-End'!$DA$16&lt;&gt;"",NOT(_xlfn.ISFORMULA('Month-End'!$DA$16))),1,0)</f>
        <v/>
      </c>
      <c r="CB108">
        <f>IF(AND('Month-End'!$DA$17&lt;&gt;"",NOT(_xlfn.ISFORMULA('Month-End'!$DA$17))),1,0)</f>
        <v/>
      </c>
      <c r="CC108">
        <f>IF(AND('Month-End'!$DA$18&lt;&gt;"",NOT(_xlfn.ISFORMULA('Month-End'!$DA$18))),1,0)</f>
        <v/>
      </c>
      <c r="CD108">
        <f>IF(AND('Month-End'!$DA$19&lt;&gt;"",NOT(_xlfn.ISFORMULA('Month-End'!$DA$19))),1,0)</f>
        <v/>
      </c>
      <c r="CE108">
        <f>IF(AND('Month-End'!$DA$20&lt;&gt;"",NOT(_xlfn.ISFORMULA('Month-End'!$DA$20))),1,0)</f>
        <v/>
      </c>
      <c r="CF108">
        <f>IF(AND('Month-End'!$DA$38&lt;&gt;"",NOT(_xlfn.ISFORMULA('Month-End'!$DA$38))),1,0)</f>
        <v/>
      </c>
      <c r="CG108">
        <f>IF(AND('Month-End'!$DA$39&lt;&gt;"",NOT(_xlfn.ISFORMULA('Month-End'!$DA$39))),1,0)</f>
        <v/>
      </c>
      <c r="CH108">
        <f>IF(AND('Month-End'!$DA$40&lt;&gt;"",NOT(_xlfn.ISFORMULA('Month-End'!$DA$40))),1,0)</f>
        <v/>
      </c>
      <c r="CI108">
        <f>IF(AND('Month-End'!$DA$41&lt;&gt;"",NOT(_xlfn.ISFORMULA('Month-End'!$DA$41))),1,0)</f>
        <v/>
      </c>
      <c r="CJ108">
        <f>IF(AND('Month-End'!$DA$42&lt;&gt;"",NOT(_xlfn.ISFORMULA('Month-End'!$DA$42))),1,0)</f>
        <v/>
      </c>
      <c r="CK108">
        <f>IF(AND('Month-End'!$DA$43&lt;&gt;"",NOT(_xlfn.ISFORMULA('Month-End'!$DA$43))),1,0)</f>
        <v/>
      </c>
      <c r="CL108">
        <f>SUM($CM108:$CZ108)</f>
        <v/>
      </c>
      <c r="CM108">
        <f>IF(AND($E108&lt;&gt;"pre",AND(Settings!$A$19&lt;&gt;"",Settings!$E$19&lt;&gt;"No"),Settings!$F$19="Yes",NOT(AND('Month-End'!$DA$7&lt;&gt;"",NOT(_xlfn.ISFORMULA('Month-End'!$DA$7))))),1,0)</f>
        <v/>
      </c>
      <c r="CN108">
        <f>IF(AND($E108&lt;&gt;"pre",AND(Settings!$A$20&lt;&gt;"",Settings!$E$20&lt;&gt;"No"),Settings!$F$20="Yes",NOT(AND('Month-End'!$DA$8&lt;&gt;"",NOT(_xlfn.ISFORMULA('Month-End'!$DA$8))))),1,0)</f>
        <v/>
      </c>
      <c r="CO108">
        <f>IF(AND($E108&lt;&gt;"pre",AND(Settings!$A$21&lt;&gt;"",Settings!$E$21&lt;&gt;"No"),Settings!$F$21="Yes",NOT(AND('Month-End'!$DA$9&lt;&gt;"",NOT(_xlfn.ISFORMULA('Month-End'!$DA$9))))),1,0)</f>
        <v/>
      </c>
      <c r="CP108">
        <f>IF(AND($E108&lt;&gt;"pre",AND(Settings!$A$22&lt;&gt;"",Settings!$E$22&lt;&gt;"No"),Settings!$F$22="Yes",NOT(AND('Month-End'!$DA$10&lt;&gt;"",NOT(_xlfn.ISFORMULA('Month-End'!$DA$10))))),1,0)</f>
        <v/>
      </c>
      <c r="CQ108">
        <f>IF(AND($E108&lt;&gt;"pre",AND(Settings!$A$23&lt;&gt;"",Settings!$E$23&lt;&gt;"No"),Settings!$F$23="Yes",NOT(AND('Month-End'!$DA$11&lt;&gt;"",NOT(_xlfn.ISFORMULA('Month-End'!$DA$11))))),1,0)</f>
        <v/>
      </c>
      <c r="CR108">
        <f>IF(AND($E108&lt;&gt;"pre",AND(Settings!$A$24&lt;&gt;"",Settings!$E$24&lt;&gt;"No"),Settings!$F$24="Yes",NOT(AND('Month-End'!$DA$12&lt;&gt;"",NOT(_xlfn.ISFORMULA('Month-End'!$DA$12))))),1,0)</f>
        <v/>
      </c>
      <c r="CS108">
        <f>IF(AND($E108&lt;&gt;"pre",AND(Settings!$A$25&lt;&gt;"",Settings!$E$25&lt;&gt;"No"),Settings!$F$25="Yes",NOT(AND('Month-End'!$DA$13&lt;&gt;"",NOT(_xlfn.ISFORMULA('Month-End'!$DA$13))))),1,0)</f>
        <v/>
      </c>
      <c r="CT108">
        <f>IF(AND($E108&lt;&gt;"pre",AND(Settings!$A$26&lt;&gt;"",Settings!$E$26&lt;&gt;"No"),Settings!$F$26="Yes",NOT(AND('Month-End'!$DA$14&lt;&gt;"",NOT(_xlfn.ISFORMULA('Month-End'!$DA$14))))),1,0)</f>
        <v/>
      </c>
      <c r="CU108">
        <f>IF(AND($E108&lt;&gt;"pre",AND(Settings!$A$27&lt;&gt;"",Settings!$E$27&lt;&gt;"No"),Settings!$F$27="Yes",NOT(AND('Month-End'!$DA$15&lt;&gt;"",NOT(_xlfn.ISFORMULA('Month-End'!$DA$15))))),1,0)</f>
        <v/>
      </c>
      <c r="CV108">
        <f>IF(AND($E108&lt;&gt;"pre",AND(Settings!$A$28&lt;&gt;"",Settings!$E$28&lt;&gt;"No"),Settings!$F$28="Yes",NOT(AND('Month-End'!$DA$16&lt;&gt;"",NOT(_xlfn.ISFORMULA('Month-End'!$DA$16))))),1,0)</f>
        <v/>
      </c>
      <c r="CW108">
        <f>IF(AND($E108&lt;&gt;"pre",AND(Settings!$A$29&lt;&gt;"",Settings!$E$29&lt;&gt;"No"),Settings!$F$29="Yes",NOT(AND('Month-End'!$DA$17&lt;&gt;"",NOT(_xlfn.ISFORMULA('Month-End'!$DA$17))))),1,0)</f>
        <v/>
      </c>
      <c r="CX108">
        <f>IF(AND($E108&lt;&gt;"pre",AND(Settings!$A$30&lt;&gt;"",Settings!$E$30&lt;&gt;"No"),Settings!$F$30="Yes",NOT(AND('Month-End'!$DA$18&lt;&gt;"",NOT(_xlfn.ISFORMULA('Month-End'!$DA$18))))),1,0)</f>
        <v/>
      </c>
      <c r="CY108">
        <f>IF(AND($E108&lt;&gt;"pre",AND(Settings!$A$31&lt;&gt;"",Settings!$E$31&lt;&gt;"No"),Settings!$F$31="Yes",NOT(AND('Month-End'!$DA$19&lt;&gt;"",NOT(_xlfn.ISFORMULA('Month-End'!$DA$19))))),1,0)</f>
        <v/>
      </c>
      <c r="CZ108">
        <f>IF(AND($E108&lt;&gt;"pre",AND(Settings!$A$32&lt;&gt;"",Settings!$E$32&lt;&gt;"No"),Settings!$F$32="Yes",NOT(AND('Month-End'!$DA$20&lt;&gt;"",NOT(_xlfn.ISFORMULA('Month-End'!$DA$20))))),1,0)</f>
        <v/>
      </c>
      <c r="DA108">
        <f>IF($DT108=1,IF(OR(Settings!$B$19="Checking",Settings!$B$19="Savings",Settings!$B$19="Cash"),N($AE108),IF(OR(Settings!$B$19="Card",Settings!$B$19="Loan"),-N($AE108),0))+IF(OR(Settings!$B$20="Checking",Settings!$B$20="Savings",Settings!$B$20="Cash"),N($AF108),IF(OR(Settings!$B$20="Card",Settings!$B$20="Loan"),-N($AF108),0))+IF(OR(Settings!$B$21="Checking",Settings!$B$21="Savings",Settings!$B$21="Cash"),N($AG108),IF(OR(Settings!$B$21="Card",Settings!$B$21="Loan"),-N($AG108),0))+IF(OR(Settings!$B$22="Checking",Settings!$B$22="Savings",Settings!$B$22="Cash"),N($AH108),IF(OR(Settings!$B$22="Card",Settings!$B$22="Loan"),-N($AH108),0))+IF(OR(Settings!$B$23="Checking",Settings!$B$23="Savings",Settings!$B$23="Cash"),N($AI108),IF(OR(Settings!$B$23="Card",Settings!$B$23="Loan"),-N($AI108),0))+IF(OR(Settings!$B$24="Checking",Settings!$B$24="Savings",Settings!$B$24="Cash"),N($AJ108),IF(OR(Settings!$B$24="Card",Settings!$B$24="Loan"),-N($AJ108),0))+IF(OR(Settings!$B$25="Checking",Settings!$B$25="Savings",Settings!$B$25="Cash"),N($AK108),IF(OR(Settings!$B$25="Card",Settings!$B$25="Loan"),-N($AK108),0))+IF(OR(Settings!$B$26="Checking",Settings!$B$26="Savings",Settings!$B$26="Cash"),N($AL108),IF(OR(Settings!$B$26="Card",Settings!$B$26="Loan"),-N($AL108),0))+IF(OR(Settings!$B$27="Checking",Settings!$B$27="Savings",Settings!$B$27="Cash"),N($AM108),IF(OR(Settings!$B$27="Card",Settings!$B$27="Loan"),-N($AM108),0))+IF(OR(Settings!$B$28="Checking",Settings!$B$28="Savings",Settings!$B$28="Cash"),N($AN108),IF(OR(Settings!$B$28="Card",Settings!$B$28="Loan"),-N($AN108),0))+IF(OR(Settings!$B$29="Checking",Settings!$B$29="Savings",Settings!$B$29="Cash"),N($AO108),IF(OR(Settings!$B$29="Card",Settings!$B$29="Loan"),-N($AO108),0))+IF(OR(Settings!$B$30="Checking",Settings!$B$30="Savings",Settings!$B$30="Cash"),N($AP108),IF(OR(Settings!$B$30="Card",Settings!$B$30="Loan"),-N($AP108),0))+IF(OR(Settings!$B$31="Checking",Settings!$B$31="Savings",Settings!$B$31="Cash"),N($AQ108),IF(OR(Settings!$B$31="Card",Settings!$B$31="Loan"),-N($AQ108),0))+IF(OR(Settings!$B$32="Checking",Settings!$B$32="Savings",Settings!$B$32="Cash"),N($AR108),IF(OR(Settings!$B$32="Card",Settings!$B$32="Loan"),-N($AR108),0)),"")</f>
        <v/>
      </c>
      <c r="DB108">
        <f>IF($E108="open",$EB$27,IF($E108="post",IF($E107="pre",$EB$27,$DA107),""))</f>
        <v/>
      </c>
      <c r="DC108">
        <f>IF($E108="open",1,IF($E108="post",IF($E107="pre",1,$DT107),0))</f>
        <v/>
      </c>
      <c r="DD108">
        <f>IF(AND($DT108=1,$DC108=1),ROUND($W108-($DA108-$DB108)-$AD108-$AB108,2),"")</f>
        <v/>
      </c>
      <c r="DE108">
        <f>IF('Month-End'!$DA$35="",$BQ108,N('Month-End'!$DA$35))</f>
        <v/>
      </c>
      <c r="DF108">
        <f>N('Month-End'!$DA$36)</f>
        <v/>
      </c>
      <c r="DG108">
        <f>IF($DD108="","",$DD108+$DE108)</f>
        <v/>
      </c>
      <c r="DH108">
        <f>IF($DG108="","",$DG108-$DF108)</f>
        <v/>
      </c>
      <c r="DI108">
        <f>IF(OR($E108="pre",$D108=1),"",N($AS108)+N($AT108)+N($AU108)+N($AV108)+N($AW108)+N($AX108))</f>
        <v/>
      </c>
      <c r="DJ108">
        <f>IF($DT108=1,$DA108+N($DI108),"")</f>
        <v/>
      </c>
      <c r="DK108">
        <f>IF($DD108="","",$W108-$DD108-$AB108)</f>
        <v/>
      </c>
      <c r="DL108">
        <f>IF(AND($E108="post",$DD108&lt;&gt;"",$B108&lt;TODAY()),1,0)</f>
        <v/>
      </c>
      <c r="DM108">
        <f>IF($DL108=1,COUNTIF($DL108:$DL$183,1),0)</f>
        <v/>
      </c>
      <c r="DN108">
        <f>IF($D108=1,"",IF($E108="pre","History only",IF($DT108=1,IF($DD108="","⚠ Previous month missing",IF($DD108&lt;0,"⚠ Check: spending &lt; 0",IF($E108="open","✓ Done (partial)","✓ Done"))),IF($B108&gt;=TODAY(),"In progress","⚠ Needs balances"))))</f>
        <v/>
      </c>
      <c r="DO108">
        <f>YEAR($A108)</f>
        <v/>
      </c>
      <c r="DP108">
        <f>DATE(YEAR($A108),INT((MONTH($A108)-1)/3)*3+1,1)</f>
        <v/>
      </c>
      <c r="DQ108">
        <f>IF(AND($DT108=1,$DD108&lt;&gt;"",$D108=0),ROW(),0)</f>
        <v/>
      </c>
      <c r="DR108">
        <f>IF(AND($E108&lt;&gt;"pre",$B108&lt;TODAY(),$DT108=0),1,0)</f>
        <v/>
      </c>
      <c r="DS108">
        <f>IF($DJ108="",NA(),$DJ108)</f>
        <v/>
      </c>
      <c r="DT108">
        <f>IF(AND($E108&lt;&gt;"pre",$CL108=0,COUNTIFS(Settings!$F$19:$F$32,"Yes",Settings!$A$19:$A$32,"&lt;&gt;",Settings!$E$19:$E$32,"&lt;&gt;No")&gt;0),1,0)</f>
        <v/>
      </c>
      <c r="DU108">
        <f>IF(AND($B108&lt;TODAY(),$S108&gt;0),1,0)</f>
        <v/>
      </c>
      <c r="DV108">
        <f>IF($DU108=1,COUNTIF($DU108:$DU$183,1),0)</f>
        <v/>
      </c>
      <c r="DW108">
        <f>IF(AND(OR(Settings!$B$19="Card",Settings!$B$19="Loan"),AND('Month-End'!$DA$7&lt;&gt;"",NOT(_xlfn.ISFORMULA('Month-End'!$DA$7)))),IF(N('Month-End'!$DA$7)&lt;0,1,0),0)+IF(AND(OR(Settings!$B$20="Card",Settings!$B$20="Loan"),AND('Month-End'!$DA$8&lt;&gt;"",NOT(_xlfn.ISFORMULA('Month-End'!$DA$8)))),IF(N('Month-End'!$DA$8)&lt;0,1,0),0)+IF(AND(OR(Settings!$B$21="Card",Settings!$B$21="Loan"),AND('Month-End'!$DA$9&lt;&gt;"",NOT(_xlfn.ISFORMULA('Month-End'!$DA$9)))),IF(N('Month-End'!$DA$9)&lt;0,1,0),0)+IF(AND(OR(Settings!$B$22="Card",Settings!$B$22="Loan"),AND('Month-End'!$DA$10&lt;&gt;"",NOT(_xlfn.ISFORMULA('Month-End'!$DA$10)))),IF(N('Month-End'!$DA$10)&lt;0,1,0),0)+IF(AND(OR(Settings!$B$23="Card",Settings!$B$23="Loan"),AND('Month-End'!$DA$11&lt;&gt;"",NOT(_xlfn.ISFORMULA('Month-End'!$DA$11)))),IF(N('Month-End'!$DA$11)&lt;0,1,0),0)+IF(AND(OR(Settings!$B$24="Card",Settings!$B$24="Loan"),AND('Month-End'!$DA$12&lt;&gt;"",NOT(_xlfn.ISFORMULA('Month-End'!$DA$12)))),IF(N('Month-End'!$DA$12)&lt;0,1,0),0)+IF(AND(OR(Settings!$B$25="Card",Settings!$B$25="Loan"),AND('Month-End'!$DA$13&lt;&gt;"",NOT(_xlfn.ISFORMULA('Month-End'!$DA$13)))),IF(N('Month-End'!$DA$13)&lt;0,1,0),0)+IF(AND(OR(Settings!$B$26="Card",Settings!$B$26="Loan"),AND('Month-End'!$DA$14&lt;&gt;"",NOT(_xlfn.ISFORMULA('Month-End'!$DA$14)))),IF(N('Month-End'!$DA$14)&lt;0,1,0),0)+IF(AND(OR(Settings!$B$27="Card",Settings!$B$27="Loan"),AND('Month-End'!$DA$15&lt;&gt;"",NOT(_xlfn.ISFORMULA('Month-End'!$DA$15)))),IF(N('Month-End'!$DA$15)&lt;0,1,0),0)+IF(AND(OR(Settings!$B$28="Card",Settings!$B$28="Loan"),AND('Month-End'!$DA$16&lt;&gt;"",NOT(_xlfn.ISFORMULA('Month-End'!$DA$16)))),IF(N('Month-End'!$DA$16)&lt;0,1,0),0)+IF(AND(OR(Settings!$B$29="Card",Settings!$B$29="Loan"),AND('Month-End'!$DA$17&lt;&gt;"",NOT(_xlfn.ISFORMULA('Month-End'!$DA$17)))),IF(N('Month-End'!$DA$17)&lt;0,1,0),0)+IF(AND(OR(Settings!$B$30="Card",Settings!$B$30="Loan"),AND('Month-End'!$DA$18&lt;&gt;"",NOT(_xlfn.ISFORMULA('Month-End'!$DA$18)))),IF(N('Month-End'!$DA$18)&lt;0,1,0),0)+IF(AND(OR(Settings!$B$31="Card",Settings!$B$31="Loan"),AND('Month-End'!$DA$19&lt;&gt;"",NOT(_xlfn.ISFORMULA('Month-End'!$DA$19)))),IF(N('Month-End'!$DA$19)&lt;0,1,0),0)+IF(AND(OR(Settings!$B$32="Card",Settings!$B$32="Loan"),AND('Month-End'!$DA$20&lt;&gt;"",NOT(_xlfn.ISFORMULA('Month-End'!$DA$20)))),IF(N('Month-End'!$DA$20)&lt;0,1,0),0)</f>
        <v/>
      </c>
      <c r="DX108">
        <f>IF(Settings!$B$36="Retirement",$AY108,0)+IF(Settings!$B$37="Retirement",$AZ108,0)+IF(Settings!$B$38="Retirement",$BA108,0)+IF(Settings!$B$39="Retirement",$BB108,0)+IF(Settings!$B$40="Retirement",$BC108,0)+IF(Settings!$B$41="Retirement",$BD108,0)</f>
        <v/>
      </c>
      <c r="EO108">
        <f>EDATE(DATE(YEAR(TODAY()),MONTH(TODAY()),1),-15)</f>
        <v/>
      </c>
      <c r="ER108">
        <f>IFERROR(IF(INDEX($DJ$6:$DJ$183,MATCH(EO108,$A$6:$A$183,0))="",NA(),INDEX($DJ$6:$DJ$183,MATCH(EO108,$A$6:$A$183,0))),NA())</f>
        <v/>
      </c>
      <c r="ES108">
        <f>TEXT(EO108,"mmm yy")</f>
        <v/>
      </c>
      <c r="ET108">
        <f>IF($E108&lt;&gt;"open",0,IF(AND('Month-End'!$DA$22&lt;&gt;"",NOT(_xlfn.ISFORMULA('Month-End'!$DA$22))),0,IF(OR(Settings!$C$45="",Settings!$D$45=""),0,Settings!$C$45*IF(Settings!$D$45="Weekly",IF(IFERROR(MATCH(Settings!$E$45,$EO$4:$EO$10,0),0)=0,0,IF(MIN(Settings!$B$5,IF(Settings!$G$45="",Settings!$B$5,Settings!$G$45))&lt;MAX($A108,Settings!$F$45),0,INT((MIN(Settings!$B$5,IF(Settings!$G$45="",Settings!$B$5,Settings!$G$45))-MAX($A108,Settings!$F$45)-MOD(IFERROR(MATCH(Settings!$E$45,$EO$4:$EO$10,0),0)-WEEKDAY(MAX($A108,Settings!$F$45)),7))/7)+1)),IF(AND(IF(Settings!$E$45="",$B108,DATE(YEAR($A108),MONTH($A108),MIN(Settings!$E$45,DAY($B108))))&gt;=MAX($A108,Settings!$F$45),IF(Settings!$E$45="",$B108,DATE(YEAR($A108),MONTH($A108),MIN(Settings!$E$45,DAY($B108))))&lt;=MIN(Settings!$B$5,IF(Settings!$G$45="",Settings!$B$5,Settings!$G$45))),1,0)))))</f>
        <v/>
      </c>
      <c r="EU108">
        <f>IF($E108&lt;&gt;"open",0,IF(AND('Month-End'!$DA$23&lt;&gt;"",NOT(_xlfn.ISFORMULA('Month-End'!$DA$23))),0,IF(OR(Settings!$C$46="",Settings!$D$46=""),0,Settings!$C$46*IF(Settings!$D$46="Weekly",IF(IFERROR(MATCH(Settings!$E$46,$EO$4:$EO$10,0),0)=0,0,IF(MIN(Settings!$B$5,IF(Settings!$G$46="",Settings!$B$5,Settings!$G$46))&lt;MAX($A108,Settings!$F$46),0,INT((MIN(Settings!$B$5,IF(Settings!$G$46="",Settings!$B$5,Settings!$G$46))-MAX($A108,Settings!$F$46)-MOD(IFERROR(MATCH(Settings!$E$46,$EO$4:$EO$10,0),0)-WEEKDAY(MAX($A108,Settings!$F$46)),7))/7)+1)),IF(AND(IF(Settings!$E$46="",$B108,DATE(YEAR($A108),MONTH($A108),MIN(Settings!$E$46,DAY($B108))))&gt;=MAX($A108,Settings!$F$46),IF(Settings!$E$46="",$B108,DATE(YEAR($A108),MONTH($A108),MIN(Settings!$E$46,DAY($B108))))&lt;=MIN(Settings!$B$5,IF(Settings!$G$46="",Settings!$B$5,Settings!$G$46))),1,0)))))</f>
        <v/>
      </c>
      <c r="EV108">
        <f>IF($E108&lt;&gt;"open",0,IF(AND('Month-End'!$DA$24&lt;&gt;"",NOT(_xlfn.ISFORMULA('Month-End'!$DA$24))),0,IF(OR(Settings!$C$47="",Settings!$D$47=""),0,Settings!$C$47*IF(Settings!$D$47="Weekly",IF(IFERROR(MATCH(Settings!$E$47,$EO$4:$EO$10,0),0)=0,0,IF(MIN(Settings!$B$5,IF(Settings!$G$47="",Settings!$B$5,Settings!$G$47))&lt;MAX($A108,Settings!$F$47),0,INT((MIN(Settings!$B$5,IF(Settings!$G$47="",Settings!$B$5,Settings!$G$47))-MAX($A108,Settings!$F$47)-MOD(IFERROR(MATCH(Settings!$E$47,$EO$4:$EO$10,0),0)-WEEKDAY(MAX($A108,Settings!$F$47)),7))/7)+1)),IF(AND(IF(Settings!$E$47="",$B108,DATE(YEAR($A108),MONTH($A108),MIN(Settings!$E$47,DAY($B108))))&gt;=MAX($A108,Settings!$F$47),IF(Settings!$E$47="",$B108,DATE(YEAR($A108),MONTH($A108),MIN(Settings!$E$47,DAY($B108))))&lt;=MIN(Settings!$B$5,IF(Settings!$G$47="",Settings!$B$5,Settings!$G$47))),1,0)))))</f>
        <v/>
      </c>
      <c r="EW108">
        <f>IF($E108&lt;&gt;"open",0,IF(AND('Month-End'!$DA$25&lt;&gt;"",NOT(_xlfn.ISFORMULA('Month-End'!$DA$25))),0,IF(OR(Settings!$C$48="",Settings!$D$48=""),0,Settings!$C$48*IF(Settings!$D$48="Weekly",IF(IFERROR(MATCH(Settings!$E$48,$EO$4:$EO$10,0),0)=0,0,IF(MIN(Settings!$B$5,IF(Settings!$G$48="",Settings!$B$5,Settings!$G$48))&lt;MAX($A108,Settings!$F$48),0,INT((MIN(Settings!$B$5,IF(Settings!$G$48="",Settings!$B$5,Settings!$G$48))-MAX($A108,Settings!$F$48)-MOD(IFERROR(MATCH(Settings!$E$48,$EO$4:$EO$10,0),0)-WEEKDAY(MAX($A108,Settings!$F$48)),7))/7)+1)),IF(AND(IF(Settings!$E$48="",$B108,DATE(YEAR($A108),MONTH($A108),MIN(Settings!$E$48,DAY($B108))))&gt;=MAX($A108,Settings!$F$48),IF(Settings!$E$48="",$B108,DATE(YEAR($A108),MONTH($A108),MIN(Settings!$E$48,DAY($B108))))&lt;=MIN(Settings!$B$5,IF(Settings!$G$48="",Settings!$B$5,Settings!$G$48))),1,0)))))</f>
        <v/>
      </c>
      <c r="EX108">
        <f>IF($E108&lt;&gt;"open",0,IF(AND('Month-End'!$DA$26&lt;&gt;"",NOT(_xlfn.ISFORMULA('Month-End'!$DA$26))),0,IF(OR(Settings!$C$49="",Settings!$D$49=""),0,Settings!$C$49*IF(Settings!$D$49="Weekly",IF(IFERROR(MATCH(Settings!$E$49,$EO$4:$EO$10,0),0)=0,0,IF(MIN(Settings!$B$5,IF(Settings!$G$49="",Settings!$B$5,Settings!$G$49))&lt;MAX($A108,Settings!$F$49),0,INT((MIN(Settings!$B$5,IF(Settings!$G$49="",Settings!$B$5,Settings!$G$49))-MAX($A108,Settings!$F$49)-MOD(IFERROR(MATCH(Settings!$E$49,$EO$4:$EO$10,0),0)-WEEKDAY(MAX($A108,Settings!$F$49)),7))/7)+1)),IF(AND(IF(Settings!$E$49="",$B108,DATE(YEAR($A108),MONTH($A108),MIN(Settings!$E$49,DAY($B108))))&gt;=MAX($A108,Settings!$F$49),IF(Settings!$E$49="",$B108,DATE(YEAR($A108),MONTH($A108),MIN(Settings!$E$49,DAY($B108))))&lt;=MIN(Settings!$B$5,IF(Settings!$G$49="",Settings!$B$5,Settings!$G$49))),1,0)))))</f>
        <v/>
      </c>
      <c r="EY108">
        <f>IF($E108&lt;&gt;"open",0,IF(AND('Month-End'!$DA$27&lt;&gt;"",NOT(_xlfn.ISFORMULA('Month-End'!$DA$27))),0,IF(OR(Settings!$C$50="",Settings!$D$50=""),0,Settings!$C$50*IF(Settings!$D$50="Weekly",IF(IFERROR(MATCH(Settings!$E$50,$EO$4:$EO$10,0),0)=0,0,IF(MIN(Settings!$B$5,IF(Settings!$G$50="",Settings!$B$5,Settings!$G$50))&lt;MAX($A108,Settings!$F$50),0,INT((MIN(Settings!$B$5,IF(Settings!$G$50="",Settings!$B$5,Settings!$G$50))-MAX($A108,Settings!$F$50)-MOD(IFERROR(MATCH(Settings!$E$50,$EO$4:$EO$10,0),0)-WEEKDAY(MAX($A108,Settings!$F$50)),7))/7)+1)),IF(AND(IF(Settings!$E$50="",$B108,DATE(YEAR($A108),MONTH($A108),MIN(Settings!$E$50,DAY($B108))))&gt;=MAX($A108,Settings!$F$50),IF(Settings!$E$50="",$B108,DATE(YEAR($A108),MONTH($A108),MIN(Settings!$E$50,DAY($B108))))&lt;=MIN(Settings!$B$5,IF(Settings!$G$50="",Settings!$B$5,Settings!$G$50))),1,0)))))</f>
        <v/>
      </c>
      <c r="EZ108">
        <f>IF($E108&lt;&gt;"open",0,IF(AND('Month-End'!$DA$28&lt;&gt;"",NOT(_xlfn.ISFORMULA('Month-End'!$DA$28))),0,IF(OR(Settings!$C$51="",Settings!$D$51=""),0,Settings!$C$51*IF(Settings!$D$51="Weekly",IF(IFERROR(MATCH(Settings!$E$51,$EO$4:$EO$10,0),0)=0,0,IF(MIN(Settings!$B$5,IF(Settings!$G$51="",Settings!$B$5,Settings!$G$51))&lt;MAX($A108,Settings!$F$51),0,INT((MIN(Settings!$B$5,IF(Settings!$G$51="",Settings!$B$5,Settings!$G$51))-MAX($A108,Settings!$F$51)-MOD(IFERROR(MATCH(Settings!$E$51,$EO$4:$EO$10,0),0)-WEEKDAY(MAX($A108,Settings!$F$51)),7))/7)+1)),IF(AND(IF(Settings!$E$51="",$B108,DATE(YEAR($A108),MONTH($A108),MIN(Settings!$E$51,DAY($B108))))&gt;=MAX($A108,Settings!$F$51),IF(Settings!$E$51="",$B108,DATE(YEAR($A108),MONTH($A108),MIN(Settings!$E$51,DAY($B108))))&lt;=MIN(Settings!$B$5,IF(Settings!$G$51="",Settings!$B$5,Settings!$G$51))),1,0)))))</f>
        <v/>
      </c>
      <c r="FA108">
        <f>IF($E108&lt;&gt;"open",0,IF(AND('Month-End'!$DA$29&lt;&gt;"",NOT(_xlfn.ISFORMULA('Month-End'!$DA$29))),0,IF(OR(Settings!$C$52="",Settings!$D$52=""),0,Settings!$C$52*IF(Settings!$D$52="Weekly",IF(IFERROR(MATCH(Settings!$E$52,$EO$4:$EO$10,0),0)=0,0,IF(MIN(Settings!$B$5,IF(Settings!$G$52="",Settings!$B$5,Settings!$G$52))&lt;MAX($A108,Settings!$F$52),0,INT((MIN(Settings!$B$5,IF(Settings!$G$52="",Settings!$B$5,Settings!$G$52))-MAX($A108,Settings!$F$52)-MOD(IFERROR(MATCH(Settings!$E$52,$EO$4:$EO$10,0),0)-WEEKDAY(MAX($A108,Settings!$F$52)),7))/7)+1)),IF(AND(IF(Settings!$E$52="",$B108,DATE(YEAR($A108),MONTH($A108),MIN(Settings!$E$52,DAY($B108))))&gt;=MAX($A108,Settings!$F$52),IF(Settings!$E$52="",$B108,DATE(YEAR($A108),MONTH($A108),MIN(Settings!$E$52,DAY($B108))))&lt;=MIN(Settings!$B$5,IF(Settings!$G$52="",Settings!$B$5,Settings!$G$52))),1,0)))))</f>
        <v/>
      </c>
      <c r="FB108">
        <f>IF($E108&lt;&gt;"open",0,IF(AND('Month-End'!$DA$30&lt;&gt;"",NOT(_xlfn.ISFORMULA('Month-End'!$DA$30))),0,IF(OR(Settings!$C$53="",Settings!$D$53=""),0,Settings!$C$53*IF(Settings!$D$53="Weekly",IF(IFERROR(MATCH(Settings!$E$53,$EO$4:$EO$10,0),0)=0,0,IF(MIN(Settings!$B$5,IF(Settings!$G$53="",Settings!$B$5,Settings!$G$53))&lt;MAX($A108,Settings!$F$53),0,INT((MIN(Settings!$B$5,IF(Settings!$G$53="",Settings!$B$5,Settings!$G$53))-MAX($A108,Settings!$F$53)-MOD(IFERROR(MATCH(Settings!$E$53,$EO$4:$EO$10,0),0)-WEEKDAY(MAX($A108,Settings!$F$53)),7))/7)+1)),IF(AND(IF(Settings!$E$53="",$B108,DATE(YEAR($A108),MONTH($A108),MIN(Settings!$E$53,DAY($B108))))&gt;=MAX($A108,Settings!$F$53),IF(Settings!$E$53="",$B108,DATE(YEAR($A108),MONTH($A108),MIN(Settings!$E$53,DAY($B108))))&lt;=MIN(Settings!$B$5,IF(Settings!$G$53="",Settings!$B$5,Settings!$G$53))),1,0)))))</f>
        <v/>
      </c>
      <c r="FC108">
        <f>IF($E108&lt;&gt;"open",0,IF(AND('Month-End'!$DA$31&lt;&gt;"",NOT(_xlfn.ISFORMULA('Month-End'!$DA$31))),0,IF(OR(Settings!$C$54="",Settings!$D$54=""),0,Settings!$C$54*IF(Settings!$D$54="Weekly",IF(IFERROR(MATCH(Settings!$E$54,$EO$4:$EO$10,0),0)=0,0,IF(MIN(Settings!$B$5,IF(Settings!$G$54="",Settings!$B$5,Settings!$G$54))&lt;MAX($A108,Settings!$F$54),0,INT((MIN(Settings!$B$5,IF(Settings!$G$54="",Settings!$B$5,Settings!$G$54))-MAX($A108,Settings!$F$54)-MOD(IFERROR(MATCH(Settings!$E$54,$EO$4:$EO$10,0),0)-WEEKDAY(MAX($A108,Settings!$F$54)),7))/7)+1)),IF(AND(IF(Settings!$E$54="",$B108,DATE(YEAR($A108),MONTH($A108),MIN(Settings!$E$54,DAY($B108))))&gt;=MAX($A108,Settings!$F$54),IF(Settings!$E$54="",$B108,DATE(YEAR($A108),MONTH($A108),MIN(Settings!$E$54,DAY($B108))))&lt;=MIN(Settings!$B$5,IF(Settings!$G$54="",Settings!$B$5,Settings!$G$54))),1,0)))))</f>
        <v/>
      </c>
      <c r="FD108">
        <f>IF($E108&lt;&gt;"open",0,IF(AND('Month-End'!$DA$32&lt;&gt;"",NOT(_xlfn.ISFORMULA('Month-End'!$DA$32))),0,IF(OR(Settings!$C$55="",Settings!$D$55=""),0,Settings!$C$55*IF(Settings!$D$55="Weekly",IF(IFERROR(MATCH(Settings!$E$55,$EO$4:$EO$10,0),0)=0,0,IF(MIN(Settings!$B$5,IF(Settings!$G$55="",Settings!$B$5,Settings!$G$55))&lt;MAX($A108,Settings!$F$55),0,INT((MIN(Settings!$B$5,IF(Settings!$G$55="",Settings!$B$5,Settings!$G$55))-MAX($A108,Settings!$F$55)-MOD(IFERROR(MATCH(Settings!$E$55,$EO$4:$EO$10,0),0)-WEEKDAY(MAX($A108,Settings!$F$55)),7))/7)+1)),IF(AND(IF(Settings!$E$55="",$B108,DATE(YEAR($A108),MONTH($A108),MIN(Settings!$E$55,DAY($B108))))&gt;=MAX($A108,Settings!$F$55),IF(Settings!$E$55="",$B108,DATE(YEAR($A108),MONTH($A108),MIN(Settings!$E$55,DAY($B108))))&lt;=MIN(Settings!$B$5,IF(Settings!$G$55="",Settings!$B$5,Settings!$G$55))),1,0)))))</f>
        <v/>
      </c>
      <c r="FE108">
        <f>IF($E108&lt;&gt;"open",0,IF(AND('Month-End'!$DA$33&lt;&gt;"",NOT(_xlfn.ISFORMULA('Month-End'!$DA$33))),0,IF(OR(Settings!$C$56="",Settings!$D$56=""),0,Settings!$C$56*IF(Settings!$D$56="Weekly",IF(IFERROR(MATCH(Settings!$E$56,$EO$4:$EO$10,0),0)=0,0,IF(MIN(Settings!$B$5,IF(Settings!$G$56="",Settings!$B$5,Settings!$G$56))&lt;MAX($A108,Settings!$F$56),0,INT((MIN(Settings!$B$5,IF(Settings!$G$56="",Settings!$B$5,Settings!$G$56))-MAX($A108,Settings!$F$56)-MOD(IFERROR(MATCH(Settings!$E$56,$EO$4:$EO$10,0),0)-WEEKDAY(MAX($A108,Settings!$F$56)),7))/7)+1)),IF(AND(IF(Settings!$E$56="",$B108,DATE(YEAR($A108),MONTH($A108),MIN(Settings!$E$56,DAY($B108))))&gt;=MAX($A108,Settings!$F$56),IF(Settings!$E$56="",$B108,DATE(YEAR($A108),MONTH($A108),MIN(Settings!$E$56,DAY($B108))))&lt;=MIN(Settings!$B$5,IF(Settings!$G$56="",Settings!$B$5,Settings!$G$56))),1,0)))))</f>
        <v/>
      </c>
      <c r="FF108">
        <f>IF(Settings!$I$45="Yes",$G108,0)+IF(Settings!$I$46="Yes",$H108,0)+IF(Settings!$I$47="Yes",$I108,0)+IF(Settings!$I$48="Yes",$J108,0)+IF(Settings!$I$49="Yes",$K108,0)+IF(Settings!$I$50="Yes",$L108,0)+IF(Settings!$I$51="Yes",$M108,0)+IF(Settings!$I$52="Yes",$N108,0)+IF(Settings!$I$53="Yes",$O108,0)+IF(Settings!$I$54="Yes",$P108,0)+IF(Settings!$I$55="Yes",$Q108,0)+IF(Settings!$I$56="Yes",$R108,0)</f>
        <v/>
      </c>
      <c r="FG108">
        <f>IF(AND(Settings!$I$45="Yes",Settings!$J$45="No"),$G108,0)+IF(AND(Settings!$I$46="Yes",Settings!$J$46="No"),$H108,0)+IF(AND(Settings!$I$47="Yes",Settings!$J$47="No"),$I108,0)+IF(AND(Settings!$I$48="Yes",Settings!$J$48="No"),$J108,0)+IF(AND(Settings!$I$49="Yes",Settings!$J$49="No"),$K108,0)+IF(AND(Settings!$I$50="Yes",Settings!$J$50="No"),$L108,0)+IF(AND(Settings!$I$51="Yes",Settings!$J$51="No"),$M108,0)+IF(AND(Settings!$I$52="Yes",Settings!$J$52="No"),$N108,0)+IF(AND(Settings!$I$53="Yes",Settings!$J$53="No"),$O108,0)+IF(AND(Settings!$I$54="Yes",Settings!$J$54="No"),$P108,0)+IF(AND(Settings!$I$55="Yes",Settings!$J$55="No"),$Q108,0)+IF(AND(Settings!$I$56="Yes",Settings!$J$56="No"),$R108,0)</f>
        <v/>
      </c>
      <c r="FH108">
        <f>SUMIFS(Giving!$B$7:$B$2006,Giving!$A$7:$A$2006,"&gt;="&amp;$A108,Giving!$A$7:$A$2006,"&lt;="&amp;$B108,Giving!$G$7:$G$2006,"Yes")+IF(OR(OR(Settings!$B$60="",Settings!$F$60="No"),Settings!$H$60&lt;&gt;"Yes"),0,Settings!$B$60*IF(AND(IF(Settings!$C$60="",$B108,DATE(YEAR($A108),MONTH($A108),MIN(Settings!$C$60,DAY($B108))))&gt;=MAX($A108,Settings!$D$60),IF(Settings!$C$60="",$B108,DATE(YEAR($A108),MONTH($A108),MIN(Settings!$C$60,DAY($B108))))&lt;=MIN($C108,IF(Settings!$E$60="",$C108,Settings!$E$60))),1,0))+IF(OR(OR(Settings!$B$61="",Settings!$F$61="No"),Settings!$H$61&lt;&gt;"Yes"),0,Settings!$B$61*IF(AND(IF(Settings!$C$61="",$B108,DATE(YEAR($A108),MONTH($A108),MIN(Settings!$C$61,DAY($B108))))&gt;=MAX($A108,Settings!$D$61),IF(Settings!$C$61="",$B108,DATE(YEAR($A108),MONTH($A108),MIN(Settings!$C$61,DAY($B108))))&lt;=MIN($C108,IF(Settings!$E$61="",$C108,Settings!$E$61))),1,0))+IF(OR(OR(Settings!$B$62="",Settings!$F$62="No"),Settings!$H$62&lt;&gt;"Yes"),0,Settings!$B$62*IF(AND(IF(Settings!$C$62="",$B108,DATE(YEAR($A108),MONTH($A108),MIN(Settings!$C$62,DAY($B108))))&gt;=MAX($A108,Settings!$D$62),IF(Settings!$C$62="",$B108,DATE(YEAR($A108),MONTH($A108),MIN(Settings!$C$62,DAY($B108))))&lt;=MIN($C108,IF(Settings!$E$62="",$C108,Settings!$E$62))),1,0))+IF(OR(OR(Settings!$B$63="",Settings!$F$63="No"),Settings!$H$63&lt;&gt;"Yes"),0,Settings!$B$63*IF(AND(IF(Settings!$C$63="",$B108,DATE(YEAR($A108),MONTH($A108),MIN(Settings!$C$63,DAY($B108))))&gt;=MAX($A108,Settings!$D$63),IF(Settings!$C$63="",$B108,DATE(YEAR($A108),MONTH($A108),MIN(Settings!$C$63,DAY($B108))))&lt;=MIN($C108,IF(Settings!$E$63="",$C108,Settings!$E$63))),1,0))+IF(OR(OR(Settings!$B$64="",Settings!$F$64="No"),Settings!$H$64&lt;&gt;"Yes"),0,Settings!$B$64*IF(AND(IF(Settings!$C$64="",$B108,DATE(YEAR($A108),MONTH($A108),MIN(Settings!$C$64,DAY($B108))))&gt;=MAX($A108,Settings!$D$64),IF(Settings!$C$64="",$B108,DATE(YEAR($A108),MONTH($A108),MIN(Settings!$C$64,DAY($B108))))&lt;=MIN($C108,IF(Settings!$E$64="",$C108,Settings!$E$64))),1,0))+IF(OR(OR(Settings!$B$65="",Settings!$F$65="No"),Settings!$H$65&lt;&gt;"Yes"),0,Settings!$B$65*IF(AND(IF(Settings!$C$65="",$B108,DATE(YEAR($A108),MONTH($A108),MIN(Settings!$C$65,DAY($B108))))&gt;=MAX($A108,Settings!$D$65),IF(Settings!$C$65="",$B108,DATE(YEAR($A108),MONTH($A108),MIN(Settings!$C$65,DAY($B108))))&lt;=MIN($C108,IF(Settings!$E$65="",$C108,Settings!$E$65))),1,0))</f>
        <v/>
      </c>
      <c r="FI108">
        <f>IF($DT108=1,IF(OR(Settings!$B$19="Card",Settings!$B$19="Loan"),N($AE108),0)+IF(OR(Settings!$B$20="Card",Settings!$B$20="Loan"),N($AF108),0)+IF(OR(Settings!$B$21="Card",Settings!$B$21="Loan"),N($AG108),0)+IF(OR(Settings!$B$22="Card",Settings!$B$22="Loan"),N($AH108),0)+IF(OR(Settings!$B$23="Card",Settings!$B$23="Loan"),N($AI108),0)+IF(OR(Settings!$B$24="Card",Settings!$B$24="Loan"),N($AJ108),0)+IF(OR(Settings!$B$25="Card",Settings!$B$25="Loan"),N($AK108),0)+IF(OR(Settings!$B$26="Card",Settings!$B$26="Loan"),N($AL108),0)+IF(OR(Settings!$B$27="Card",Settings!$B$27="Loan"),N($AM108),0)+IF(OR(Settings!$B$28="Card",Settings!$B$28="Loan"),N($AN108),0)+IF(OR(Settings!$B$29="Card",Settings!$B$29="Loan"),N($AO108),0)+IF(OR(Settings!$B$30="Card",Settings!$B$30="Loan"),N($AP108),0)+IF(OR(Settings!$B$31="Card",Settings!$B$31="Loan"),N($AQ108),0)+IF(OR(Settings!$B$32="Card",Settings!$B$32="Loan"),N($AR108),0),"")</f>
        <v/>
      </c>
      <c r="FJ108">
        <f>IF($E108="open",$EB$65,IF($E108="post",IF($E107="pre",$EB$65,$FI107),""))</f>
        <v/>
      </c>
      <c r="FK108">
        <f>IF(AND($DT108=1,$DC108=1),IF(ROUND($FI108-$FJ108,2)&gt;0,1,0),0)</f>
        <v/>
      </c>
      <c r="FL108">
        <f>IF($FK108=1,$FL107+1,0)</f>
        <v/>
      </c>
    </row>
    <row r="109">
      <c r="A109">
        <f>'Month-End'!$DB$4</f>
        <v/>
      </c>
      <c r="B109">
        <f>EOMONTH($A109,0)</f>
        <v/>
      </c>
      <c r="C109">
        <f>MIN($B109,TODAY())</f>
        <v/>
      </c>
      <c r="D109">
        <f>IF($A109&gt;TODAY(),1,0)</f>
        <v/>
      </c>
      <c r="E109">
        <f>IF($B109&lt;=Settings!$B$5,"pre",IF($A109&lt;=Settings!$B$5,"open","post"))</f>
        <v/>
      </c>
      <c r="G109">
        <f>IF('Month-End'!$DB$22="",$BE109,N('Month-End'!$DB$22))</f>
        <v/>
      </c>
      <c r="H109">
        <f>IF('Month-End'!$DB$23="",$BF109,N('Month-End'!$DB$23))</f>
        <v/>
      </c>
      <c r="I109">
        <f>IF('Month-End'!$DB$24="",$BG109,N('Month-End'!$DB$24))</f>
        <v/>
      </c>
      <c r="J109">
        <f>IF('Month-End'!$DB$25="",$BH109,N('Month-End'!$DB$25))</f>
        <v/>
      </c>
      <c r="K109">
        <f>IF('Month-End'!$DB$26="",$BI109,N('Month-End'!$DB$26))</f>
        <v/>
      </c>
      <c r="L109">
        <f>IF('Month-End'!$DB$27="",$BJ109,N('Month-End'!$DB$27))</f>
        <v/>
      </c>
      <c r="M109">
        <f>IF('Month-End'!$DB$28="",$BK109,N('Month-End'!$DB$28))</f>
        <v/>
      </c>
      <c r="N109">
        <f>IF('Month-End'!$DB$29="",$BL109,N('Month-End'!$DB$29))</f>
        <v/>
      </c>
      <c r="O109">
        <f>IF('Month-End'!$DB$30="",$BM109,N('Month-End'!$DB$30))</f>
        <v/>
      </c>
      <c r="P109">
        <f>IF('Month-End'!$DB$31="",$BN109,N('Month-End'!$DB$31))</f>
        <v/>
      </c>
      <c r="Q109">
        <f>IF('Month-End'!$DB$32="",$BO109,N('Month-End'!$DB$32))</f>
        <v/>
      </c>
      <c r="R109">
        <f>IF('Month-End'!$DB$33="",$BP109,N('Month-End'!$DB$33))</f>
        <v/>
      </c>
      <c r="S109">
        <f>$G109+$H109+$I109+$J109+$K109+$L109+$M109+$N109+$O109+$P109+$Q109+$R109</f>
        <v/>
      </c>
      <c r="T109">
        <f>IF($B109&lt;Settings!$B$6,0,IF(Settings!$B$45="Yes",$G109,0)+IF(Settings!$B$46="Yes",$H109,0)+IF(Settings!$B$47="Yes",$I109,0)+IF(Settings!$B$48="Yes",$J109,0)+IF(Settings!$B$49="Yes",$K109,0)+IF(Settings!$B$50="Yes",$L109,0)+IF(Settings!$B$51="Yes",$M109,0)+IF(Settings!$B$52="Yes",$N109,0)+IF(Settings!$B$53="Yes",$O109,0)+IF(Settings!$B$54="Yes",$P109,0)+IF(Settings!$B$55="Yes",$Q109,0)+IF(Settings!$B$56="Yes",$R109,0))</f>
        <v/>
      </c>
      <c r="U109">
        <f>IF(Settings!$B$45="Not Sure",$G109,0)+IF(Settings!$B$46="Not Sure",$H109,0)+IF(Settings!$B$47="Not Sure",$I109,0)+IF(Settings!$B$48="Not Sure",$J109,0)+IF(Settings!$B$49="Not Sure",$K109,0)+IF(Settings!$B$50="Not Sure",$L109,0)+IF(Settings!$B$51="Not Sure",$M109,0)+IF(Settings!$B$52="Not Sure",$N109,0)+IF(Settings!$B$53="Not Sure",$O109,0)+IF(Settings!$B$54="Not Sure",$P109,0)+IF(Settings!$B$55="Not Sure",$Q109,0)+IF(Settings!$B$56="Not Sure",$R109,0)</f>
        <v/>
      </c>
      <c r="V109">
        <f>IF($E109="open",SUM($ET109:$FE109)+N(Settings!$B$13),0)</f>
        <v/>
      </c>
      <c r="W109">
        <f>IF($E109="post",$S109,IF($E109="open",$S109-$V109,0))</f>
        <v/>
      </c>
      <c r="X109">
        <f>SUMIFS(Giving!$B$7:$B$2006,Giving!$A$7:$A$2006,"&gt;="&amp;$A109,Giving!$A$7:$A$2006,"&lt;="&amp;$B109,Giving!$E$7:$E$2006,"&lt;&gt;No")</f>
        <v/>
      </c>
      <c r="Y109">
        <f>SUMIFS(Giving!$B$7:$B$2006,Giving!$A$7:$A$2006,"&gt;="&amp;$A109,Giving!$A$7:$A$2006,"&lt;="&amp;$B109,Giving!$E$7:$E$2006,"No")</f>
        <v/>
      </c>
      <c r="Z109">
        <f>IF(OR(Settings!$B$60="",Settings!$F$60="No"),0,Settings!$B$60*IF(AND(IF(Settings!$C$60="",$B109,DATE(YEAR($A109),MONTH($A109),MIN(Settings!$C$60,DAY($B109))))&gt;=MAX($A109,Settings!$D$60),IF(Settings!$C$60="",$B109,DATE(YEAR($A109),MONTH($A109),MIN(Settings!$C$60,DAY($B109))))&lt;=MIN($C109,IF(Settings!$E$60="",$C109,Settings!$E$60))),1,0))+IF(OR(Settings!$B$61="",Settings!$F$61="No"),0,Settings!$B$61*IF(AND(IF(Settings!$C$61="",$B109,DATE(YEAR($A109),MONTH($A109),MIN(Settings!$C$61,DAY($B109))))&gt;=MAX($A109,Settings!$D$61),IF(Settings!$C$61="",$B109,DATE(YEAR($A109),MONTH($A109),MIN(Settings!$C$61,DAY($B109))))&lt;=MIN($C109,IF(Settings!$E$61="",$C109,Settings!$E$61))),1,0))+IF(OR(Settings!$B$62="",Settings!$F$62="No"),0,Settings!$B$62*IF(AND(IF(Settings!$C$62="",$B109,DATE(YEAR($A109),MONTH($A109),MIN(Settings!$C$62,DAY($B109))))&gt;=MAX($A109,Settings!$D$62),IF(Settings!$C$62="",$B109,DATE(YEAR($A109),MONTH($A109),MIN(Settings!$C$62,DAY($B109))))&lt;=MIN($C109,IF(Settings!$E$62="",$C109,Settings!$E$62))),1,0))+IF(OR(Settings!$B$63="",Settings!$F$63="No"),0,Settings!$B$63*IF(AND(IF(Settings!$C$63="",$B109,DATE(YEAR($A109),MONTH($A109),MIN(Settings!$C$63,DAY($B109))))&gt;=MAX($A109,Settings!$D$63),IF(Settings!$C$63="",$B109,DATE(YEAR($A109),MONTH($A109),MIN(Settings!$C$63,DAY($B109))))&lt;=MIN($C109,IF(Settings!$E$63="",$C109,Settings!$E$63))),1,0))+IF(OR(Settings!$B$64="",Settings!$F$64="No"),0,Settings!$B$64*IF(AND(IF(Settings!$C$64="",$B109,DATE(YEAR($A109),MONTH($A109),MIN(Settings!$C$64,DAY($B109))))&gt;=MAX($A109,Settings!$D$64),IF(Settings!$C$64="",$B109,DATE(YEAR($A109),MONTH($A109),MIN(Settings!$C$64,DAY($B109))))&lt;=MIN($C109,IF(Settings!$E$64="",$C109,Settings!$E$64))),1,0))+IF(OR(Settings!$B$65="",Settings!$F$65="No"),0,Settings!$B$65*IF(AND(IF(Settings!$C$65="",$B109,DATE(YEAR($A109),MONTH($A109),MIN(Settings!$C$65,DAY($B109))))&gt;=MAX($A109,Settings!$D$65),IF(Settings!$C$65="",$B109,DATE(YEAR($A109),MONTH($A109),MIN(Settings!$C$65,DAY($B109))))&lt;=MIN($C109,IF(Settings!$E$65="",$C109,Settings!$E$65))),1,0))</f>
        <v/>
      </c>
      <c r="AA109">
        <f>$X109+$Z109</f>
        <v/>
      </c>
      <c r="AB109">
        <f>IF($E109="post",$AA109,IF($E109="open",SUMIFS(Giving!$B$7:$B$2006,Giving!$A$7:$A$2006,"&gt;"&amp;Settings!$B$5,Giving!$A$7:$A$2006,"&lt;="&amp;$B109,Giving!$E$7:$E$2006,"&lt;&gt;No")+IF(OR(Settings!$B$60="",Settings!$F$60="No"),0,Settings!$B$60*IF(AND(IF(Settings!$C$60="",$B109,DATE(YEAR($A109),MONTH($A109),MIN(Settings!$C$60,DAY($B109))))&gt;=MAX($A109,Settings!$D$60,Settings!$B$5+1),IF(Settings!$C$60="",$B109,DATE(YEAR($A109),MONTH($A109),MIN(Settings!$C$60,DAY($B109))))&lt;=MIN($C109,IF(Settings!$E$60="",$C109,Settings!$E$60))),1,0))+IF(OR(Settings!$B$61="",Settings!$F$61="No"),0,Settings!$B$61*IF(AND(IF(Settings!$C$61="",$B109,DATE(YEAR($A109),MONTH($A109),MIN(Settings!$C$61,DAY($B109))))&gt;=MAX($A109,Settings!$D$61,Settings!$B$5+1),IF(Settings!$C$61="",$B109,DATE(YEAR($A109),MONTH($A109),MIN(Settings!$C$61,DAY($B109))))&lt;=MIN($C109,IF(Settings!$E$61="",$C109,Settings!$E$61))),1,0))+IF(OR(Settings!$B$62="",Settings!$F$62="No"),0,Settings!$B$62*IF(AND(IF(Settings!$C$62="",$B109,DATE(YEAR($A109),MONTH($A109),MIN(Settings!$C$62,DAY($B109))))&gt;=MAX($A109,Settings!$D$62,Settings!$B$5+1),IF(Settings!$C$62="",$B109,DATE(YEAR($A109),MONTH($A109),MIN(Settings!$C$62,DAY($B109))))&lt;=MIN($C109,IF(Settings!$E$62="",$C109,Settings!$E$62))),1,0))+IF(OR(Settings!$B$63="",Settings!$F$63="No"),0,Settings!$B$63*IF(AND(IF(Settings!$C$63="",$B109,DATE(YEAR($A109),MONTH($A109),MIN(Settings!$C$63,DAY($B109))))&gt;=MAX($A109,Settings!$D$63,Settings!$B$5+1),IF(Settings!$C$63="",$B109,DATE(YEAR($A109),MONTH($A109),MIN(Settings!$C$63,DAY($B109))))&lt;=MIN($C109,IF(Settings!$E$63="",$C109,Settings!$E$63))),1,0))+IF(OR(Settings!$B$64="",Settings!$F$64="No"),0,Settings!$B$64*IF(AND(IF(Settings!$C$64="",$B109,DATE(YEAR($A109),MONTH($A109),MIN(Settings!$C$64,DAY($B109))))&gt;=MAX($A109,Settings!$D$64,Settings!$B$5+1),IF(Settings!$C$64="",$B109,DATE(YEAR($A109),MONTH($A109),MIN(Settings!$C$64,DAY($B109))))&lt;=MIN($C109,IF(Settings!$E$64="",$C109,Settings!$E$64))),1,0))+IF(OR(Settings!$B$65="",Settings!$F$65="No"),0,Settings!$B$65*IF(AND(IF(Settings!$C$65="",$B109,DATE(YEAR($A109),MONTH($A109),MIN(Settings!$C$65,DAY($B109))))&gt;=MAX($A109,Settings!$D$65,Settings!$B$5+1),IF(Settings!$C$65="",$B109,DATE(YEAR($A109),MONTH($A109),MIN(Settings!$C$65,DAY($B109))))&lt;=MIN($C109,IF(Settings!$E$65="",$C109,Settings!$E$65))),1,0)),0))</f>
        <v/>
      </c>
      <c r="AC109">
        <f>$AY109+$AZ109+$BA109+$BB109+$BC109+$BD109</f>
        <v/>
      </c>
      <c r="AD109">
        <f>$AC109</f>
        <v/>
      </c>
      <c r="AE109">
        <f>IF(OR(Settings!$A$19="",$E109="pre"),"",IF(AND('Month-End'!$DB$7&lt;&gt;"",NOT(_xlfn.ISFORMULA('Month-End'!$DB$7))),N('Month-End'!$DB$7),IF(OR($E109="open",$E108="pre"),N(Settings!$C$19),N($AE108))))</f>
        <v/>
      </c>
      <c r="AF109">
        <f>IF(OR(Settings!$A$20="",$E109="pre"),"",IF(AND('Month-End'!$DB$8&lt;&gt;"",NOT(_xlfn.ISFORMULA('Month-End'!$DB$8))),N('Month-End'!$DB$8),IF(OR($E109="open",$E108="pre"),N(Settings!$C$20),N($AF108))))</f>
        <v/>
      </c>
      <c r="AG109">
        <f>IF(OR(Settings!$A$21="",$E109="pre"),"",IF(AND('Month-End'!$DB$9&lt;&gt;"",NOT(_xlfn.ISFORMULA('Month-End'!$DB$9))),N('Month-End'!$DB$9),IF(OR($E109="open",$E108="pre"),N(Settings!$C$21),N($AG108))))</f>
        <v/>
      </c>
      <c r="AH109">
        <f>IF(OR(Settings!$A$22="",$E109="pre"),"",IF(AND('Month-End'!$DB$10&lt;&gt;"",NOT(_xlfn.ISFORMULA('Month-End'!$DB$10))),N('Month-End'!$DB$10),IF(OR($E109="open",$E108="pre"),N(Settings!$C$22),N($AH108))))</f>
        <v/>
      </c>
      <c r="AI109">
        <f>IF(OR(Settings!$A$23="",$E109="pre"),"",IF(AND('Month-End'!$DB$11&lt;&gt;"",NOT(_xlfn.ISFORMULA('Month-End'!$DB$11))),N('Month-End'!$DB$11),IF(OR($E109="open",$E108="pre"),N(Settings!$C$23),N($AI108))))</f>
        <v/>
      </c>
      <c r="AJ109">
        <f>IF(OR(Settings!$A$24="",$E109="pre"),"",IF(AND('Month-End'!$DB$12&lt;&gt;"",NOT(_xlfn.ISFORMULA('Month-End'!$DB$12))),N('Month-End'!$DB$12),IF(OR($E109="open",$E108="pre"),N(Settings!$C$24),N($AJ108))))</f>
        <v/>
      </c>
      <c r="AK109">
        <f>IF(OR(Settings!$A$25="",$E109="pre"),"",IF(AND('Month-End'!$DB$13&lt;&gt;"",NOT(_xlfn.ISFORMULA('Month-End'!$DB$13))),N('Month-End'!$DB$13),IF(OR($E109="open",$E108="pre"),N(Settings!$C$25),N($AK108))))</f>
        <v/>
      </c>
      <c r="AL109">
        <f>IF(OR(Settings!$A$26="",$E109="pre"),"",IF(AND('Month-End'!$DB$14&lt;&gt;"",NOT(_xlfn.ISFORMULA('Month-End'!$DB$14))),N('Month-End'!$DB$14),IF(OR($E109="open",$E108="pre"),N(Settings!$C$26),N($AL108))))</f>
        <v/>
      </c>
      <c r="AM109">
        <f>IF(OR(Settings!$A$27="",$E109="pre"),"",IF(AND('Month-End'!$DB$15&lt;&gt;"",NOT(_xlfn.ISFORMULA('Month-End'!$DB$15))),N('Month-End'!$DB$15),IF(OR($E109="open",$E108="pre"),N(Settings!$C$27),N($AM108))))</f>
        <v/>
      </c>
      <c r="AN109">
        <f>IF(OR(Settings!$A$28="",$E109="pre"),"",IF(AND('Month-End'!$DB$16&lt;&gt;"",NOT(_xlfn.ISFORMULA('Month-End'!$DB$16))),N('Month-End'!$DB$16),IF(OR($E109="open",$E108="pre"),N(Settings!$C$28),N($AN108))))</f>
        <v/>
      </c>
      <c r="AO109">
        <f>IF(OR(Settings!$A$29="",$E109="pre"),"",IF(AND('Month-End'!$DB$17&lt;&gt;"",NOT(_xlfn.ISFORMULA('Month-End'!$DB$17))),N('Month-End'!$DB$17),IF(OR($E109="open",$E108="pre"),N(Settings!$C$29),N($AO108))))</f>
        <v/>
      </c>
      <c r="AP109">
        <f>IF(OR(Settings!$A$30="",$E109="pre"),"",IF(AND('Month-End'!$DB$18&lt;&gt;"",NOT(_xlfn.ISFORMULA('Month-End'!$DB$18))),N('Month-End'!$DB$18),IF(OR($E109="open",$E108="pre"),N(Settings!$C$30),N($AP108))))</f>
        <v/>
      </c>
      <c r="AQ109">
        <f>IF(OR(Settings!$A$31="",$E109="pre"),"",IF(AND('Month-End'!$DB$19&lt;&gt;"",NOT(_xlfn.ISFORMULA('Month-End'!$DB$19))),N('Month-End'!$DB$19),IF(OR($E109="open",$E108="pre"),N(Settings!$C$31),N($AQ108))))</f>
        <v/>
      </c>
      <c r="AR109">
        <f>IF(OR(Settings!$A$32="",$E109="pre"),"",IF(AND('Month-End'!$DB$20&lt;&gt;"",NOT(_xlfn.ISFORMULA('Month-End'!$DB$20))),N('Month-End'!$DB$20),IF(OR($E109="open",$E108="pre"),N(Settings!$C$32),N($AR108))))</f>
        <v/>
      </c>
      <c r="AS109">
        <f>IF(OR(Settings!$A$36="",$E109="pre"),"",IF(AND('Month-End'!$DB$38&lt;&gt;"",NOT(_xlfn.ISFORMULA('Month-End'!$DB$38))),N('Month-End'!$DB$38),IF(OR($E109="open",$E108="pre"),N(Settings!$C$36),N($AS108))+$AY109))</f>
        <v/>
      </c>
      <c r="AT109">
        <f>IF(OR(Settings!$A$37="",$E109="pre"),"",IF(AND('Month-End'!$DB$39&lt;&gt;"",NOT(_xlfn.ISFORMULA('Month-End'!$DB$39))),N('Month-End'!$DB$39),IF(OR($E109="open",$E108="pre"),N(Settings!$C$37),N($AT108))+$AZ109))</f>
        <v/>
      </c>
      <c r="AU109">
        <f>IF(OR(Settings!$A$38="",$E109="pre"),"",IF(AND('Month-End'!$DB$40&lt;&gt;"",NOT(_xlfn.ISFORMULA('Month-End'!$DB$40))),N('Month-End'!$DB$40),IF(OR($E109="open",$E108="pre"),N(Settings!$C$38),N($AU108))+$BA109))</f>
        <v/>
      </c>
      <c r="AV109">
        <f>IF(OR(Settings!$A$39="",$E109="pre"),"",IF(AND('Month-End'!$DB$41&lt;&gt;"",NOT(_xlfn.ISFORMULA('Month-End'!$DB$41))),N('Month-End'!$DB$41),IF(OR($E109="open",$E108="pre"),N(Settings!$C$39),N($AV108))+$BB109))</f>
        <v/>
      </c>
      <c r="AW109">
        <f>IF(OR(Settings!$A$40="",$E109="pre"),"",IF(AND('Month-End'!$DB$42&lt;&gt;"",NOT(_xlfn.ISFORMULA('Month-End'!$DB$42))),N('Month-End'!$DB$42),IF(OR($E109="open",$E108="pre"),N(Settings!$C$40),N($AW108))+$BC109))</f>
        <v/>
      </c>
      <c r="AX109">
        <f>IF(OR(Settings!$A$41="",$E109="pre"),"",IF(AND('Month-End'!$DB$43&lt;&gt;"",NOT(_xlfn.ISFORMULA('Month-End'!$DB$43))),N('Month-End'!$DB$43),IF(OR($E109="open",$E108="pre"),N(Settings!$C$41),N($AX108))+$BD109))</f>
        <v/>
      </c>
      <c r="AY109">
        <f>IF($E109="pre",0,N('Month-End'!$DB$45))</f>
        <v/>
      </c>
      <c r="AZ109">
        <f>IF($E109="pre",0,N('Month-End'!$DB$46))</f>
        <v/>
      </c>
      <c r="BA109">
        <f>IF($E109="pre",0,N('Month-End'!$DB$47))</f>
        <v/>
      </c>
      <c r="BB109">
        <f>IF($E109="pre",0,N('Month-End'!$DB$48))</f>
        <v/>
      </c>
      <c r="BC109">
        <f>IF($E109="pre",0,N('Month-End'!$DB$49))</f>
        <v/>
      </c>
      <c r="BD109">
        <f>IF($E109="pre",0,N('Month-End'!$DB$50))</f>
        <v/>
      </c>
      <c r="BE109">
        <f>IF(OR(Settings!$C$45="",Settings!$D$45=""),0,Settings!$C$45*IF(Settings!$D$45="Weekly",IF(IFERROR(MATCH(Settings!$E$45,$EO$4:$EO$10,0),0)=0,0,IF(MIN($C109,IF(Settings!$G$45="",$C109,Settings!$G$45))&lt;MAX($A109,Settings!$F$45),0,INT((MIN($C109,IF(Settings!$G$45="",$C109,Settings!$G$45))-MAX($A109,Settings!$F$45)-MOD(IFERROR(MATCH(Settings!$E$45,$EO$4:$EO$10,0),0)-WEEKDAY(MAX($A109,Settings!$F$45)),7))/7)+1)),IF(AND(IF(Settings!$E$45="",$B109,DATE(YEAR($A109),MONTH($A109),MIN(Settings!$E$45,DAY($B109))))&gt;=MAX($A109,Settings!$F$45),IF(Settings!$E$45="",$B109,DATE(YEAR($A109),MONTH($A109),MIN(Settings!$E$45,DAY($B109))))&lt;=MIN($C109,IF(Settings!$G$45="",$C109,Settings!$G$45))),1,0)))</f>
        <v/>
      </c>
      <c r="BF109">
        <f>IF(OR(Settings!$C$46="",Settings!$D$46=""),0,Settings!$C$46*IF(Settings!$D$46="Weekly",IF(IFERROR(MATCH(Settings!$E$46,$EO$4:$EO$10,0),0)=0,0,IF(MIN($C109,IF(Settings!$G$46="",$C109,Settings!$G$46))&lt;MAX($A109,Settings!$F$46),0,INT((MIN($C109,IF(Settings!$G$46="",$C109,Settings!$G$46))-MAX($A109,Settings!$F$46)-MOD(IFERROR(MATCH(Settings!$E$46,$EO$4:$EO$10,0),0)-WEEKDAY(MAX($A109,Settings!$F$46)),7))/7)+1)),IF(AND(IF(Settings!$E$46="",$B109,DATE(YEAR($A109),MONTH($A109),MIN(Settings!$E$46,DAY($B109))))&gt;=MAX($A109,Settings!$F$46),IF(Settings!$E$46="",$B109,DATE(YEAR($A109),MONTH($A109),MIN(Settings!$E$46,DAY($B109))))&lt;=MIN($C109,IF(Settings!$G$46="",$C109,Settings!$G$46))),1,0)))</f>
        <v/>
      </c>
      <c r="BG109">
        <f>IF(OR(Settings!$C$47="",Settings!$D$47=""),0,Settings!$C$47*IF(Settings!$D$47="Weekly",IF(IFERROR(MATCH(Settings!$E$47,$EO$4:$EO$10,0),0)=0,0,IF(MIN($C109,IF(Settings!$G$47="",$C109,Settings!$G$47))&lt;MAX($A109,Settings!$F$47),0,INT((MIN($C109,IF(Settings!$G$47="",$C109,Settings!$G$47))-MAX($A109,Settings!$F$47)-MOD(IFERROR(MATCH(Settings!$E$47,$EO$4:$EO$10,0),0)-WEEKDAY(MAX($A109,Settings!$F$47)),7))/7)+1)),IF(AND(IF(Settings!$E$47="",$B109,DATE(YEAR($A109),MONTH($A109),MIN(Settings!$E$47,DAY($B109))))&gt;=MAX($A109,Settings!$F$47),IF(Settings!$E$47="",$B109,DATE(YEAR($A109),MONTH($A109),MIN(Settings!$E$47,DAY($B109))))&lt;=MIN($C109,IF(Settings!$G$47="",$C109,Settings!$G$47))),1,0)))</f>
        <v/>
      </c>
      <c r="BH109">
        <f>IF(OR(Settings!$C$48="",Settings!$D$48=""),0,Settings!$C$48*IF(Settings!$D$48="Weekly",IF(IFERROR(MATCH(Settings!$E$48,$EO$4:$EO$10,0),0)=0,0,IF(MIN($C109,IF(Settings!$G$48="",$C109,Settings!$G$48))&lt;MAX($A109,Settings!$F$48),0,INT((MIN($C109,IF(Settings!$G$48="",$C109,Settings!$G$48))-MAX($A109,Settings!$F$48)-MOD(IFERROR(MATCH(Settings!$E$48,$EO$4:$EO$10,0),0)-WEEKDAY(MAX($A109,Settings!$F$48)),7))/7)+1)),IF(AND(IF(Settings!$E$48="",$B109,DATE(YEAR($A109),MONTH($A109),MIN(Settings!$E$48,DAY($B109))))&gt;=MAX($A109,Settings!$F$48),IF(Settings!$E$48="",$B109,DATE(YEAR($A109),MONTH($A109),MIN(Settings!$E$48,DAY($B109))))&lt;=MIN($C109,IF(Settings!$G$48="",$C109,Settings!$G$48))),1,0)))</f>
        <v/>
      </c>
      <c r="BI109">
        <f>IF(OR(Settings!$C$49="",Settings!$D$49=""),0,Settings!$C$49*IF(Settings!$D$49="Weekly",IF(IFERROR(MATCH(Settings!$E$49,$EO$4:$EO$10,0),0)=0,0,IF(MIN($C109,IF(Settings!$G$49="",$C109,Settings!$G$49))&lt;MAX($A109,Settings!$F$49),0,INT((MIN($C109,IF(Settings!$G$49="",$C109,Settings!$G$49))-MAX($A109,Settings!$F$49)-MOD(IFERROR(MATCH(Settings!$E$49,$EO$4:$EO$10,0),0)-WEEKDAY(MAX($A109,Settings!$F$49)),7))/7)+1)),IF(AND(IF(Settings!$E$49="",$B109,DATE(YEAR($A109),MONTH($A109),MIN(Settings!$E$49,DAY($B109))))&gt;=MAX($A109,Settings!$F$49),IF(Settings!$E$49="",$B109,DATE(YEAR($A109),MONTH($A109),MIN(Settings!$E$49,DAY($B109))))&lt;=MIN($C109,IF(Settings!$G$49="",$C109,Settings!$G$49))),1,0)))</f>
        <v/>
      </c>
      <c r="BJ109">
        <f>IF(OR(Settings!$C$50="",Settings!$D$50=""),0,Settings!$C$50*IF(Settings!$D$50="Weekly",IF(IFERROR(MATCH(Settings!$E$50,$EO$4:$EO$10,0),0)=0,0,IF(MIN($C109,IF(Settings!$G$50="",$C109,Settings!$G$50))&lt;MAX($A109,Settings!$F$50),0,INT((MIN($C109,IF(Settings!$G$50="",$C109,Settings!$G$50))-MAX($A109,Settings!$F$50)-MOD(IFERROR(MATCH(Settings!$E$50,$EO$4:$EO$10,0),0)-WEEKDAY(MAX($A109,Settings!$F$50)),7))/7)+1)),IF(AND(IF(Settings!$E$50="",$B109,DATE(YEAR($A109),MONTH($A109),MIN(Settings!$E$50,DAY($B109))))&gt;=MAX($A109,Settings!$F$50),IF(Settings!$E$50="",$B109,DATE(YEAR($A109),MONTH($A109),MIN(Settings!$E$50,DAY($B109))))&lt;=MIN($C109,IF(Settings!$G$50="",$C109,Settings!$G$50))),1,0)))</f>
        <v/>
      </c>
      <c r="BK109">
        <f>IF(OR(Settings!$C$51="",Settings!$D$51=""),0,Settings!$C$51*IF(Settings!$D$51="Weekly",IF(IFERROR(MATCH(Settings!$E$51,$EO$4:$EO$10,0),0)=0,0,IF(MIN($C109,IF(Settings!$G$51="",$C109,Settings!$G$51))&lt;MAX($A109,Settings!$F$51),0,INT((MIN($C109,IF(Settings!$G$51="",$C109,Settings!$G$51))-MAX($A109,Settings!$F$51)-MOD(IFERROR(MATCH(Settings!$E$51,$EO$4:$EO$10,0),0)-WEEKDAY(MAX($A109,Settings!$F$51)),7))/7)+1)),IF(AND(IF(Settings!$E$51="",$B109,DATE(YEAR($A109),MONTH($A109),MIN(Settings!$E$51,DAY($B109))))&gt;=MAX($A109,Settings!$F$51),IF(Settings!$E$51="",$B109,DATE(YEAR($A109),MONTH($A109),MIN(Settings!$E$51,DAY($B109))))&lt;=MIN($C109,IF(Settings!$G$51="",$C109,Settings!$G$51))),1,0)))</f>
        <v/>
      </c>
      <c r="BL109">
        <f>IF(OR(Settings!$C$52="",Settings!$D$52=""),0,Settings!$C$52*IF(Settings!$D$52="Weekly",IF(IFERROR(MATCH(Settings!$E$52,$EO$4:$EO$10,0),0)=0,0,IF(MIN($C109,IF(Settings!$G$52="",$C109,Settings!$G$52))&lt;MAX($A109,Settings!$F$52),0,INT((MIN($C109,IF(Settings!$G$52="",$C109,Settings!$G$52))-MAX($A109,Settings!$F$52)-MOD(IFERROR(MATCH(Settings!$E$52,$EO$4:$EO$10,0),0)-WEEKDAY(MAX($A109,Settings!$F$52)),7))/7)+1)),IF(AND(IF(Settings!$E$52="",$B109,DATE(YEAR($A109),MONTH($A109),MIN(Settings!$E$52,DAY($B109))))&gt;=MAX($A109,Settings!$F$52),IF(Settings!$E$52="",$B109,DATE(YEAR($A109),MONTH($A109),MIN(Settings!$E$52,DAY($B109))))&lt;=MIN($C109,IF(Settings!$G$52="",$C109,Settings!$G$52))),1,0)))</f>
        <v/>
      </c>
      <c r="BM109">
        <f>IF(OR(Settings!$C$53="",Settings!$D$53=""),0,Settings!$C$53*IF(Settings!$D$53="Weekly",IF(IFERROR(MATCH(Settings!$E$53,$EO$4:$EO$10,0),0)=0,0,IF(MIN($C109,IF(Settings!$G$53="",$C109,Settings!$G$53))&lt;MAX($A109,Settings!$F$53),0,INT((MIN($C109,IF(Settings!$G$53="",$C109,Settings!$G$53))-MAX($A109,Settings!$F$53)-MOD(IFERROR(MATCH(Settings!$E$53,$EO$4:$EO$10,0),0)-WEEKDAY(MAX($A109,Settings!$F$53)),7))/7)+1)),IF(AND(IF(Settings!$E$53="",$B109,DATE(YEAR($A109),MONTH($A109),MIN(Settings!$E$53,DAY($B109))))&gt;=MAX($A109,Settings!$F$53),IF(Settings!$E$53="",$B109,DATE(YEAR($A109),MONTH($A109),MIN(Settings!$E$53,DAY($B109))))&lt;=MIN($C109,IF(Settings!$G$53="",$C109,Settings!$G$53))),1,0)))</f>
        <v/>
      </c>
      <c r="BN109">
        <f>IF(OR(Settings!$C$54="",Settings!$D$54=""),0,Settings!$C$54*IF(Settings!$D$54="Weekly",IF(IFERROR(MATCH(Settings!$E$54,$EO$4:$EO$10,0),0)=0,0,IF(MIN($C109,IF(Settings!$G$54="",$C109,Settings!$G$54))&lt;MAX($A109,Settings!$F$54),0,INT((MIN($C109,IF(Settings!$G$54="",$C109,Settings!$G$54))-MAX($A109,Settings!$F$54)-MOD(IFERROR(MATCH(Settings!$E$54,$EO$4:$EO$10,0),0)-WEEKDAY(MAX($A109,Settings!$F$54)),7))/7)+1)),IF(AND(IF(Settings!$E$54="",$B109,DATE(YEAR($A109),MONTH($A109),MIN(Settings!$E$54,DAY($B109))))&gt;=MAX($A109,Settings!$F$54),IF(Settings!$E$54="",$B109,DATE(YEAR($A109),MONTH($A109),MIN(Settings!$E$54,DAY($B109))))&lt;=MIN($C109,IF(Settings!$G$54="",$C109,Settings!$G$54))),1,0)))</f>
        <v/>
      </c>
      <c r="BO109">
        <f>IF(OR(Settings!$C$55="",Settings!$D$55=""),0,Settings!$C$55*IF(Settings!$D$55="Weekly",IF(IFERROR(MATCH(Settings!$E$55,$EO$4:$EO$10,0),0)=0,0,IF(MIN($C109,IF(Settings!$G$55="",$C109,Settings!$G$55))&lt;MAX($A109,Settings!$F$55),0,INT((MIN($C109,IF(Settings!$G$55="",$C109,Settings!$G$55))-MAX($A109,Settings!$F$55)-MOD(IFERROR(MATCH(Settings!$E$55,$EO$4:$EO$10,0),0)-WEEKDAY(MAX($A109,Settings!$F$55)),7))/7)+1)),IF(AND(IF(Settings!$E$55="",$B109,DATE(YEAR($A109),MONTH($A109),MIN(Settings!$E$55,DAY($B109))))&gt;=MAX($A109,Settings!$F$55),IF(Settings!$E$55="",$B109,DATE(YEAR($A109),MONTH($A109),MIN(Settings!$E$55,DAY($B109))))&lt;=MIN($C109,IF(Settings!$G$55="",$C109,Settings!$G$55))),1,0)))</f>
        <v/>
      </c>
      <c r="BP109">
        <f>IF(OR(Settings!$C$56="",Settings!$D$56=""),0,Settings!$C$56*IF(Settings!$D$56="Weekly",IF(IFERROR(MATCH(Settings!$E$56,$EO$4:$EO$10,0),0)=0,0,IF(MIN($C109,IF(Settings!$G$56="",$C109,Settings!$G$56))&lt;MAX($A109,Settings!$F$56),0,INT((MIN($C109,IF(Settings!$G$56="",$C109,Settings!$G$56))-MAX($A109,Settings!$F$56)-MOD(IFERROR(MATCH(Settings!$E$56,$EO$4:$EO$10,0),0)-WEEKDAY(MAX($A109,Settings!$F$56)),7))/7)+1)),IF(AND(IF(Settings!$E$56="",$B109,DATE(YEAR($A109),MONTH($A109),MIN(Settings!$E$56,DAY($B109))))&gt;=MAX($A109,Settings!$F$56),IF(Settings!$E$56="",$B109,DATE(YEAR($A109),MONTH($A109),MIN(Settings!$E$56,DAY($B109))))&lt;=MIN($C109,IF(Settings!$G$56="",$C109,Settings!$G$56))),1,0)))</f>
        <v/>
      </c>
      <c r="BQ109">
        <f>IF(OR(Settings!$B$14="",$D109=1,$E109="pre",$A109&lt;IF(Settings!$B$15="",0,Settings!$B$15)),0,Settings!$B$14)</f>
        <v/>
      </c>
      <c r="BR109">
        <f>IF(AND('Month-End'!$DB$7&lt;&gt;"",NOT(_xlfn.ISFORMULA('Month-End'!$DB$7))),1,0)</f>
        <v/>
      </c>
      <c r="BS109">
        <f>IF(AND('Month-End'!$DB$8&lt;&gt;"",NOT(_xlfn.ISFORMULA('Month-End'!$DB$8))),1,0)</f>
        <v/>
      </c>
      <c r="BT109">
        <f>IF(AND('Month-End'!$DB$9&lt;&gt;"",NOT(_xlfn.ISFORMULA('Month-End'!$DB$9))),1,0)</f>
        <v/>
      </c>
      <c r="BU109">
        <f>IF(AND('Month-End'!$DB$10&lt;&gt;"",NOT(_xlfn.ISFORMULA('Month-End'!$DB$10))),1,0)</f>
        <v/>
      </c>
      <c r="BV109">
        <f>IF(AND('Month-End'!$DB$11&lt;&gt;"",NOT(_xlfn.ISFORMULA('Month-End'!$DB$11))),1,0)</f>
        <v/>
      </c>
      <c r="BW109">
        <f>IF(AND('Month-End'!$DB$12&lt;&gt;"",NOT(_xlfn.ISFORMULA('Month-End'!$DB$12))),1,0)</f>
        <v/>
      </c>
      <c r="BX109">
        <f>IF(AND('Month-End'!$DB$13&lt;&gt;"",NOT(_xlfn.ISFORMULA('Month-End'!$DB$13))),1,0)</f>
        <v/>
      </c>
      <c r="BY109">
        <f>IF(AND('Month-End'!$DB$14&lt;&gt;"",NOT(_xlfn.ISFORMULA('Month-End'!$DB$14))),1,0)</f>
        <v/>
      </c>
      <c r="BZ109">
        <f>IF(AND('Month-End'!$DB$15&lt;&gt;"",NOT(_xlfn.ISFORMULA('Month-End'!$DB$15))),1,0)</f>
        <v/>
      </c>
      <c r="CA109">
        <f>IF(AND('Month-End'!$DB$16&lt;&gt;"",NOT(_xlfn.ISFORMULA('Month-End'!$DB$16))),1,0)</f>
        <v/>
      </c>
      <c r="CB109">
        <f>IF(AND('Month-End'!$DB$17&lt;&gt;"",NOT(_xlfn.ISFORMULA('Month-End'!$DB$17))),1,0)</f>
        <v/>
      </c>
      <c r="CC109">
        <f>IF(AND('Month-End'!$DB$18&lt;&gt;"",NOT(_xlfn.ISFORMULA('Month-End'!$DB$18))),1,0)</f>
        <v/>
      </c>
      <c r="CD109">
        <f>IF(AND('Month-End'!$DB$19&lt;&gt;"",NOT(_xlfn.ISFORMULA('Month-End'!$DB$19))),1,0)</f>
        <v/>
      </c>
      <c r="CE109">
        <f>IF(AND('Month-End'!$DB$20&lt;&gt;"",NOT(_xlfn.ISFORMULA('Month-End'!$DB$20))),1,0)</f>
        <v/>
      </c>
      <c r="CF109">
        <f>IF(AND('Month-End'!$DB$38&lt;&gt;"",NOT(_xlfn.ISFORMULA('Month-End'!$DB$38))),1,0)</f>
        <v/>
      </c>
      <c r="CG109">
        <f>IF(AND('Month-End'!$DB$39&lt;&gt;"",NOT(_xlfn.ISFORMULA('Month-End'!$DB$39))),1,0)</f>
        <v/>
      </c>
      <c r="CH109">
        <f>IF(AND('Month-End'!$DB$40&lt;&gt;"",NOT(_xlfn.ISFORMULA('Month-End'!$DB$40))),1,0)</f>
        <v/>
      </c>
      <c r="CI109">
        <f>IF(AND('Month-End'!$DB$41&lt;&gt;"",NOT(_xlfn.ISFORMULA('Month-End'!$DB$41))),1,0)</f>
        <v/>
      </c>
      <c r="CJ109">
        <f>IF(AND('Month-End'!$DB$42&lt;&gt;"",NOT(_xlfn.ISFORMULA('Month-End'!$DB$42))),1,0)</f>
        <v/>
      </c>
      <c r="CK109">
        <f>IF(AND('Month-End'!$DB$43&lt;&gt;"",NOT(_xlfn.ISFORMULA('Month-End'!$DB$43))),1,0)</f>
        <v/>
      </c>
      <c r="CL109">
        <f>SUM($CM109:$CZ109)</f>
        <v/>
      </c>
      <c r="CM109">
        <f>IF(AND($E109&lt;&gt;"pre",AND(Settings!$A$19&lt;&gt;"",Settings!$E$19&lt;&gt;"No"),Settings!$F$19="Yes",NOT(AND('Month-End'!$DB$7&lt;&gt;"",NOT(_xlfn.ISFORMULA('Month-End'!$DB$7))))),1,0)</f>
        <v/>
      </c>
      <c r="CN109">
        <f>IF(AND($E109&lt;&gt;"pre",AND(Settings!$A$20&lt;&gt;"",Settings!$E$20&lt;&gt;"No"),Settings!$F$20="Yes",NOT(AND('Month-End'!$DB$8&lt;&gt;"",NOT(_xlfn.ISFORMULA('Month-End'!$DB$8))))),1,0)</f>
        <v/>
      </c>
      <c r="CO109">
        <f>IF(AND($E109&lt;&gt;"pre",AND(Settings!$A$21&lt;&gt;"",Settings!$E$21&lt;&gt;"No"),Settings!$F$21="Yes",NOT(AND('Month-End'!$DB$9&lt;&gt;"",NOT(_xlfn.ISFORMULA('Month-End'!$DB$9))))),1,0)</f>
        <v/>
      </c>
      <c r="CP109">
        <f>IF(AND($E109&lt;&gt;"pre",AND(Settings!$A$22&lt;&gt;"",Settings!$E$22&lt;&gt;"No"),Settings!$F$22="Yes",NOT(AND('Month-End'!$DB$10&lt;&gt;"",NOT(_xlfn.ISFORMULA('Month-End'!$DB$10))))),1,0)</f>
        <v/>
      </c>
      <c r="CQ109">
        <f>IF(AND($E109&lt;&gt;"pre",AND(Settings!$A$23&lt;&gt;"",Settings!$E$23&lt;&gt;"No"),Settings!$F$23="Yes",NOT(AND('Month-End'!$DB$11&lt;&gt;"",NOT(_xlfn.ISFORMULA('Month-End'!$DB$11))))),1,0)</f>
        <v/>
      </c>
      <c r="CR109">
        <f>IF(AND($E109&lt;&gt;"pre",AND(Settings!$A$24&lt;&gt;"",Settings!$E$24&lt;&gt;"No"),Settings!$F$24="Yes",NOT(AND('Month-End'!$DB$12&lt;&gt;"",NOT(_xlfn.ISFORMULA('Month-End'!$DB$12))))),1,0)</f>
        <v/>
      </c>
      <c r="CS109">
        <f>IF(AND($E109&lt;&gt;"pre",AND(Settings!$A$25&lt;&gt;"",Settings!$E$25&lt;&gt;"No"),Settings!$F$25="Yes",NOT(AND('Month-End'!$DB$13&lt;&gt;"",NOT(_xlfn.ISFORMULA('Month-End'!$DB$13))))),1,0)</f>
        <v/>
      </c>
      <c r="CT109">
        <f>IF(AND($E109&lt;&gt;"pre",AND(Settings!$A$26&lt;&gt;"",Settings!$E$26&lt;&gt;"No"),Settings!$F$26="Yes",NOT(AND('Month-End'!$DB$14&lt;&gt;"",NOT(_xlfn.ISFORMULA('Month-End'!$DB$14))))),1,0)</f>
        <v/>
      </c>
      <c r="CU109">
        <f>IF(AND($E109&lt;&gt;"pre",AND(Settings!$A$27&lt;&gt;"",Settings!$E$27&lt;&gt;"No"),Settings!$F$27="Yes",NOT(AND('Month-End'!$DB$15&lt;&gt;"",NOT(_xlfn.ISFORMULA('Month-End'!$DB$15))))),1,0)</f>
        <v/>
      </c>
      <c r="CV109">
        <f>IF(AND($E109&lt;&gt;"pre",AND(Settings!$A$28&lt;&gt;"",Settings!$E$28&lt;&gt;"No"),Settings!$F$28="Yes",NOT(AND('Month-End'!$DB$16&lt;&gt;"",NOT(_xlfn.ISFORMULA('Month-End'!$DB$16))))),1,0)</f>
        <v/>
      </c>
      <c r="CW109">
        <f>IF(AND($E109&lt;&gt;"pre",AND(Settings!$A$29&lt;&gt;"",Settings!$E$29&lt;&gt;"No"),Settings!$F$29="Yes",NOT(AND('Month-End'!$DB$17&lt;&gt;"",NOT(_xlfn.ISFORMULA('Month-End'!$DB$17))))),1,0)</f>
        <v/>
      </c>
      <c r="CX109">
        <f>IF(AND($E109&lt;&gt;"pre",AND(Settings!$A$30&lt;&gt;"",Settings!$E$30&lt;&gt;"No"),Settings!$F$30="Yes",NOT(AND('Month-End'!$DB$18&lt;&gt;"",NOT(_xlfn.ISFORMULA('Month-End'!$DB$18))))),1,0)</f>
        <v/>
      </c>
      <c r="CY109">
        <f>IF(AND($E109&lt;&gt;"pre",AND(Settings!$A$31&lt;&gt;"",Settings!$E$31&lt;&gt;"No"),Settings!$F$31="Yes",NOT(AND('Month-End'!$DB$19&lt;&gt;"",NOT(_xlfn.ISFORMULA('Month-End'!$DB$19))))),1,0)</f>
        <v/>
      </c>
      <c r="CZ109">
        <f>IF(AND($E109&lt;&gt;"pre",AND(Settings!$A$32&lt;&gt;"",Settings!$E$32&lt;&gt;"No"),Settings!$F$32="Yes",NOT(AND('Month-End'!$DB$20&lt;&gt;"",NOT(_xlfn.ISFORMULA('Month-End'!$DB$20))))),1,0)</f>
        <v/>
      </c>
      <c r="DA109">
        <f>IF($DT109=1,IF(OR(Settings!$B$19="Checking",Settings!$B$19="Savings",Settings!$B$19="Cash"),N($AE109),IF(OR(Settings!$B$19="Card",Settings!$B$19="Loan"),-N($AE109),0))+IF(OR(Settings!$B$20="Checking",Settings!$B$20="Savings",Settings!$B$20="Cash"),N($AF109),IF(OR(Settings!$B$20="Card",Settings!$B$20="Loan"),-N($AF109),0))+IF(OR(Settings!$B$21="Checking",Settings!$B$21="Savings",Settings!$B$21="Cash"),N($AG109),IF(OR(Settings!$B$21="Card",Settings!$B$21="Loan"),-N($AG109),0))+IF(OR(Settings!$B$22="Checking",Settings!$B$22="Savings",Settings!$B$22="Cash"),N($AH109),IF(OR(Settings!$B$22="Card",Settings!$B$22="Loan"),-N($AH109),0))+IF(OR(Settings!$B$23="Checking",Settings!$B$23="Savings",Settings!$B$23="Cash"),N($AI109),IF(OR(Settings!$B$23="Card",Settings!$B$23="Loan"),-N($AI109),0))+IF(OR(Settings!$B$24="Checking",Settings!$B$24="Savings",Settings!$B$24="Cash"),N($AJ109),IF(OR(Settings!$B$24="Card",Settings!$B$24="Loan"),-N($AJ109),0))+IF(OR(Settings!$B$25="Checking",Settings!$B$25="Savings",Settings!$B$25="Cash"),N($AK109),IF(OR(Settings!$B$25="Card",Settings!$B$25="Loan"),-N($AK109),0))+IF(OR(Settings!$B$26="Checking",Settings!$B$26="Savings",Settings!$B$26="Cash"),N($AL109),IF(OR(Settings!$B$26="Card",Settings!$B$26="Loan"),-N($AL109),0))+IF(OR(Settings!$B$27="Checking",Settings!$B$27="Savings",Settings!$B$27="Cash"),N($AM109),IF(OR(Settings!$B$27="Card",Settings!$B$27="Loan"),-N($AM109),0))+IF(OR(Settings!$B$28="Checking",Settings!$B$28="Savings",Settings!$B$28="Cash"),N($AN109),IF(OR(Settings!$B$28="Card",Settings!$B$28="Loan"),-N($AN109),0))+IF(OR(Settings!$B$29="Checking",Settings!$B$29="Savings",Settings!$B$29="Cash"),N($AO109),IF(OR(Settings!$B$29="Card",Settings!$B$29="Loan"),-N($AO109),0))+IF(OR(Settings!$B$30="Checking",Settings!$B$30="Savings",Settings!$B$30="Cash"),N($AP109),IF(OR(Settings!$B$30="Card",Settings!$B$30="Loan"),-N($AP109),0))+IF(OR(Settings!$B$31="Checking",Settings!$B$31="Savings",Settings!$B$31="Cash"),N($AQ109),IF(OR(Settings!$B$31="Card",Settings!$B$31="Loan"),-N($AQ109),0))+IF(OR(Settings!$B$32="Checking",Settings!$B$32="Savings",Settings!$B$32="Cash"),N($AR109),IF(OR(Settings!$B$32="Card",Settings!$B$32="Loan"),-N($AR109),0)),"")</f>
        <v/>
      </c>
      <c r="DB109">
        <f>IF($E109="open",$EB$27,IF($E109="post",IF($E108="pre",$EB$27,$DA108),""))</f>
        <v/>
      </c>
      <c r="DC109">
        <f>IF($E109="open",1,IF($E109="post",IF($E108="pre",1,$DT108),0))</f>
        <v/>
      </c>
      <c r="DD109">
        <f>IF(AND($DT109=1,$DC109=1),ROUND($W109-($DA109-$DB109)-$AD109-$AB109,2),"")</f>
        <v/>
      </c>
      <c r="DE109">
        <f>IF('Month-End'!$DB$35="",$BQ109,N('Month-End'!$DB$35))</f>
        <v/>
      </c>
      <c r="DF109">
        <f>N('Month-End'!$DB$36)</f>
        <v/>
      </c>
      <c r="DG109">
        <f>IF($DD109="","",$DD109+$DE109)</f>
        <v/>
      </c>
      <c r="DH109">
        <f>IF($DG109="","",$DG109-$DF109)</f>
        <v/>
      </c>
      <c r="DI109">
        <f>IF(OR($E109="pre",$D109=1),"",N($AS109)+N($AT109)+N($AU109)+N($AV109)+N($AW109)+N($AX109))</f>
        <v/>
      </c>
      <c r="DJ109">
        <f>IF($DT109=1,$DA109+N($DI109),"")</f>
        <v/>
      </c>
      <c r="DK109">
        <f>IF($DD109="","",$W109-$DD109-$AB109)</f>
        <v/>
      </c>
      <c r="DL109">
        <f>IF(AND($E109="post",$DD109&lt;&gt;"",$B109&lt;TODAY()),1,0)</f>
        <v/>
      </c>
      <c r="DM109">
        <f>IF($DL109=1,COUNTIF($DL109:$DL$183,1),0)</f>
        <v/>
      </c>
      <c r="DN109">
        <f>IF($D109=1,"",IF($E109="pre","History only",IF($DT109=1,IF($DD109="","⚠ Previous month missing",IF($DD109&lt;0,"⚠ Check: spending &lt; 0",IF($E109="open","✓ Done (partial)","✓ Done"))),IF($B109&gt;=TODAY(),"In progress","⚠ Needs balances"))))</f>
        <v/>
      </c>
      <c r="DO109">
        <f>YEAR($A109)</f>
        <v/>
      </c>
      <c r="DP109">
        <f>DATE(YEAR($A109),INT((MONTH($A109)-1)/3)*3+1,1)</f>
        <v/>
      </c>
      <c r="DQ109">
        <f>IF(AND($DT109=1,$DD109&lt;&gt;"",$D109=0),ROW(),0)</f>
        <v/>
      </c>
      <c r="DR109">
        <f>IF(AND($E109&lt;&gt;"pre",$B109&lt;TODAY(),$DT109=0),1,0)</f>
        <v/>
      </c>
      <c r="DS109">
        <f>IF($DJ109="",NA(),$DJ109)</f>
        <v/>
      </c>
      <c r="DT109">
        <f>IF(AND($E109&lt;&gt;"pre",$CL109=0,COUNTIFS(Settings!$F$19:$F$32,"Yes",Settings!$A$19:$A$32,"&lt;&gt;",Settings!$E$19:$E$32,"&lt;&gt;No")&gt;0),1,0)</f>
        <v/>
      </c>
      <c r="DU109">
        <f>IF(AND($B109&lt;TODAY(),$S109&gt;0),1,0)</f>
        <v/>
      </c>
      <c r="DV109">
        <f>IF($DU109=1,COUNTIF($DU109:$DU$183,1),0)</f>
        <v/>
      </c>
      <c r="DW109">
        <f>IF(AND(OR(Settings!$B$19="Card",Settings!$B$19="Loan"),AND('Month-End'!$DB$7&lt;&gt;"",NOT(_xlfn.ISFORMULA('Month-End'!$DB$7)))),IF(N('Month-End'!$DB$7)&lt;0,1,0),0)+IF(AND(OR(Settings!$B$20="Card",Settings!$B$20="Loan"),AND('Month-End'!$DB$8&lt;&gt;"",NOT(_xlfn.ISFORMULA('Month-End'!$DB$8)))),IF(N('Month-End'!$DB$8)&lt;0,1,0),0)+IF(AND(OR(Settings!$B$21="Card",Settings!$B$21="Loan"),AND('Month-End'!$DB$9&lt;&gt;"",NOT(_xlfn.ISFORMULA('Month-End'!$DB$9)))),IF(N('Month-End'!$DB$9)&lt;0,1,0),0)+IF(AND(OR(Settings!$B$22="Card",Settings!$B$22="Loan"),AND('Month-End'!$DB$10&lt;&gt;"",NOT(_xlfn.ISFORMULA('Month-End'!$DB$10)))),IF(N('Month-End'!$DB$10)&lt;0,1,0),0)+IF(AND(OR(Settings!$B$23="Card",Settings!$B$23="Loan"),AND('Month-End'!$DB$11&lt;&gt;"",NOT(_xlfn.ISFORMULA('Month-End'!$DB$11)))),IF(N('Month-End'!$DB$11)&lt;0,1,0),0)+IF(AND(OR(Settings!$B$24="Card",Settings!$B$24="Loan"),AND('Month-End'!$DB$12&lt;&gt;"",NOT(_xlfn.ISFORMULA('Month-End'!$DB$12)))),IF(N('Month-End'!$DB$12)&lt;0,1,0),0)+IF(AND(OR(Settings!$B$25="Card",Settings!$B$25="Loan"),AND('Month-End'!$DB$13&lt;&gt;"",NOT(_xlfn.ISFORMULA('Month-End'!$DB$13)))),IF(N('Month-End'!$DB$13)&lt;0,1,0),0)+IF(AND(OR(Settings!$B$26="Card",Settings!$B$26="Loan"),AND('Month-End'!$DB$14&lt;&gt;"",NOT(_xlfn.ISFORMULA('Month-End'!$DB$14)))),IF(N('Month-End'!$DB$14)&lt;0,1,0),0)+IF(AND(OR(Settings!$B$27="Card",Settings!$B$27="Loan"),AND('Month-End'!$DB$15&lt;&gt;"",NOT(_xlfn.ISFORMULA('Month-End'!$DB$15)))),IF(N('Month-End'!$DB$15)&lt;0,1,0),0)+IF(AND(OR(Settings!$B$28="Card",Settings!$B$28="Loan"),AND('Month-End'!$DB$16&lt;&gt;"",NOT(_xlfn.ISFORMULA('Month-End'!$DB$16)))),IF(N('Month-End'!$DB$16)&lt;0,1,0),0)+IF(AND(OR(Settings!$B$29="Card",Settings!$B$29="Loan"),AND('Month-End'!$DB$17&lt;&gt;"",NOT(_xlfn.ISFORMULA('Month-End'!$DB$17)))),IF(N('Month-End'!$DB$17)&lt;0,1,0),0)+IF(AND(OR(Settings!$B$30="Card",Settings!$B$30="Loan"),AND('Month-End'!$DB$18&lt;&gt;"",NOT(_xlfn.ISFORMULA('Month-End'!$DB$18)))),IF(N('Month-End'!$DB$18)&lt;0,1,0),0)+IF(AND(OR(Settings!$B$31="Card",Settings!$B$31="Loan"),AND('Month-End'!$DB$19&lt;&gt;"",NOT(_xlfn.ISFORMULA('Month-End'!$DB$19)))),IF(N('Month-End'!$DB$19)&lt;0,1,0),0)+IF(AND(OR(Settings!$B$32="Card",Settings!$B$32="Loan"),AND('Month-End'!$DB$20&lt;&gt;"",NOT(_xlfn.ISFORMULA('Month-End'!$DB$20)))),IF(N('Month-End'!$DB$20)&lt;0,1,0),0)</f>
        <v/>
      </c>
      <c r="DX109">
        <f>IF(Settings!$B$36="Retirement",$AY109,0)+IF(Settings!$B$37="Retirement",$AZ109,0)+IF(Settings!$B$38="Retirement",$BA109,0)+IF(Settings!$B$39="Retirement",$BB109,0)+IF(Settings!$B$40="Retirement",$BC109,0)+IF(Settings!$B$41="Retirement",$BD109,0)</f>
        <v/>
      </c>
      <c r="EO109">
        <f>EDATE(DATE(YEAR(TODAY()),MONTH(TODAY()),1),-14)</f>
        <v/>
      </c>
      <c r="ER109">
        <f>IFERROR(IF(INDEX($DJ$6:$DJ$183,MATCH(EO109,$A$6:$A$183,0))="",NA(),INDEX($DJ$6:$DJ$183,MATCH(EO109,$A$6:$A$183,0))),NA())</f>
        <v/>
      </c>
      <c r="ES109">
        <f>TEXT(EO109,"mmm yy")</f>
        <v/>
      </c>
      <c r="ET109">
        <f>IF($E109&lt;&gt;"open",0,IF(AND('Month-End'!$DB$22&lt;&gt;"",NOT(_xlfn.ISFORMULA('Month-End'!$DB$22))),0,IF(OR(Settings!$C$45="",Settings!$D$45=""),0,Settings!$C$45*IF(Settings!$D$45="Weekly",IF(IFERROR(MATCH(Settings!$E$45,$EO$4:$EO$10,0),0)=0,0,IF(MIN(Settings!$B$5,IF(Settings!$G$45="",Settings!$B$5,Settings!$G$45))&lt;MAX($A109,Settings!$F$45),0,INT((MIN(Settings!$B$5,IF(Settings!$G$45="",Settings!$B$5,Settings!$G$45))-MAX($A109,Settings!$F$45)-MOD(IFERROR(MATCH(Settings!$E$45,$EO$4:$EO$10,0),0)-WEEKDAY(MAX($A109,Settings!$F$45)),7))/7)+1)),IF(AND(IF(Settings!$E$45="",$B109,DATE(YEAR($A109),MONTH($A109),MIN(Settings!$E$45,DAY($B109))))&gt;=MAX($A109,Settings!$F$45),IF(Settings!$E$45="",$B109,DATE(YEAR($A109),MONTH($A109),MIN(Settings!$E$45,DAY($B109))))&lt;=MIN(Settings!$B$5,IF(Settings!$G$45="",Settings!$B$5,Settings!$G$45))),1,0)))))</f>
        <v/>
      </c>
      <c r="EU109">
        <f>IF($E109&lt;&gt;"open",0,IF(AND('Month-End'!$DB$23&lt;&gt;"",NOT(_xlfn.ISFORMULA('Month-End'!$DB$23))),0,IF(OR(Settings!$C$46="",Settings!$D$46=""),0,Settings!$C$46*IF(Settings!$D$46="Weekly",IF(IFERROR(MATCH(Settings!$E$46,$EO$4:$EO$10,0),0)=0,0,IF(MIN(Settings!$B$5,IF(Settings!$G$46="",Settings!$B$5,Settings!$G$46))&lt;MAX($A109,Settings!$F$46),0,INT((MIN(Settings!$B$5,IF(Settings!$G$46="",Settings!$B$5,Settings!$G$46))-MAX($A109,Settings!$F$46)-MOD(IFERROR(MATCH(Settings!$E$46,$EO$4:$EO$10,0),0)-WEEKDAY(MAX($A109,Settings!$F$46)),7))/7)+1)),IF(AND(IF(Settings!$E$46="",$B109,DATE(YEAR($A109),MONTH($A109),MIN(Settings!$E$46,DAY($B109))))&gt;=MAX($A109,Settings!$F$46),IF(Settings!$E$46="",$B109,DATE(YEAR($A109),MONTH($A109),MIN(Settings!$E$46,DAY($B109))))&lt;=MIN(Settings!$B$5,IF(Settings!$G$46="",Settings!$B$5,Settings!$G$46))),1,0)))))</f>
        <v/>
      </c>
      <c r="EV109">
        <f>IF($E109&lt;&gt;"open",0,IF(AND('Month-End'!$DB$24&lt;&gt;"",NOT(_xlfn.ISFORMULA('Month-End'!$DB$24))),0,IF(OR(Settings!$C$47="",Settings!$D$47=""),0,Settings!$C$47*IF(Settings!$D$47="Weekly",IF(IFERROR(MATCH(Settings!$E$47,$EO$4:$EO$10,0),0)=0,0,IF(MIN(Settings!$B$5,IF(Settings!$G$47="",Settings!$B$5,Settings!$G$47))&lt;MAX($A109,Settings!$F$47),0,INT((MIN(Settings!$B$5,IF(Settings!$G$47="",Settings!$B$5,Settings!$G$47))-MAX($A109,Settings!$F$47)-MOD(IFERROR(MATCH(Settings!$E$47,$EO$4:$EO$10,0),0)-WEEKDAY(MAX($A109,Settings!$F$47)),7))/7)+1)),IF(AND(IF(Settings!$E$47="",$B109,DATE(YEAR($A109),MONTH($A109),MIN(Settings!$E$47,DAY($B109))))&gt;=MAX($A109,Settings!$F$47),IF(Settings!$E$47="",$B109,DATE(YEAR($A109),MONTH($A109),MIN(Settings!$E$47,DAY($B109))))&lt;=MIN(Settings!$B$5,IF(Settings!$G$47="",Settings!$B$5,Settings!$G$47))),1,0)))))</f>
        <v/>
      </c>
      <c r="EW109">
        <f>IF($E109&lt;&gt;"open",0,IF(AND('Month-End'!$DB$25&lt;&gt;"",NOT(_xlfn.ISFORMULA('Month-End'!$DB$25))),0,IF(OR(Settings!$C$48="",Settings!$D$48=""),0,Settings!$C$48*IF(Settings!$D$48="Weekly",IF(IFERROR(MATCH(Settings!$E$48,$EO$4:$EO$10,0),0)=0,0,IF(MIN(Settings!$B$5,IF(Settings!$G$48="",Settings!$B$5,Settings!$G$48))&lt;MAX($A109,Settings!$F$48),0,INT((MIN(Settings!$B$5,IF(Settings!$G$48="",Settings!$B$5,Settings!$G$48))-MAX($A109,Settings!$F$48)-MOD(IFERROR(MATCH(Settings!$E$48,$EO$4:$EO$10,0),0)-WEEKDAY(MAX($A109,Settings!$F$48)),7))/7)+1)),IF(AND(IF(Settings!$E$48="",$B109,DATE(YEAR($A109),MONTH($A109),MIN(Settings!$E$48,DAY($B109))))&gt;=MAX($A109,Settings!$F$48),IF(Settings!$E$48="",$B109,DATE(YEAR($A109),MONTH($A109),MIN(Settings!$E$48,DAY($B109))))&lt;=MIN(Settings!$B$5,IF(Settings!$G$48="",Settings!$B$5,Settings!$G$48))),1,0)))))</f>
        <v/>
      </c>
      <c r="EX109">
        <f>IF($E109&lt;&gt;"open",0,IF(AND('Month-End'!$DB$26&lt;&gt;"",NOT(_xlfn.ISFORMULA('Month-End'!$DB$26))),0,IF(OR(Settings!$C$49="",Settings!$D$49=""),0,Settings!$C$49*IF(Settings!$D$49="Weekly",IF(IFERROR(MATCH(Settings!$E$49,$EO$4:$EO$10,0),0)=0,0,IF(MIN(Settings!$B$5,IF(Settings!$G$49="",Settings!$B$5,Settings!$G$49))&lt;MAX($A109,Settings!$F$49),0,INT((MIN(Settings!$B$5,IF(Settings!$G$49="",Settings!$B$5,Settings!$G$49))-MAX($A109,Settings!$F$49)-MOD(IFERROR(MATCH(Settings!$E$49,$EO$4:$EO$10,0),0)-WEEKDAY(MAX($A109,Settings!$F$49)),7))/7)+1)),IF(AND(IF(Settings!$E$49="",$B109,DATE(YEAR($A109),MONTH($A109),MIN(Settings!$E$49,DAY($B109))))&gt;=MAX($A109,Settings!$F$49),IF(Settings!$E$49="",$B109,DATE(YEAR($A109),MONTH($A109),MIN(Settings!$E$49,DAY($B109))))&lt;=MIN(Settings!$B$5,IF(Settings!$G$49="",Settings!$B$5,Settings!$G$49))),1,0)))))</f>
        <v/>
      </c>
      <c r="EY109">
        <f>IF($E109&lt;&gt;"open",0,IF(AND('Month-End'!$DB$27&lt;&gt;"",NOT(_xlfn.ISFORMULA('Month-End'!$DB$27))),0,IF(OR(Settings!$C$50="",Settings!$D$50=""),0,Settings!$C$50*IF(Settings!$D$50="Weekly",IF(IFERROR(MATCH(Settings!$E$50,$EO$4:$EO$10,0),0)=0,0,IF(MIN(Settings!$B$5,IF(Settings!$G$50="",Settings!$B$5,Settings!$G$50))&lt;MAX($A109,Settings!$F$50),0,INT((MIN(Settings!$B$5,IF(Settings!$G$50="",Settings!$B$5,Settings!$G$50))-MAX($A109,Settings!$F$50)-MOD(IFERROR(MATCH(Settings!$E$50,$EO$4:$EO$10,0),0)-WEEKDAY(MAX($A109,Settings!$F$50)),7))/7)+1)),IF(AND(IF(Settings!$E$50="",$B109,DATE(YEAR($A109),MONTH($A109),MIN(Settings!$E$50,DAY($B109))))&gt;=MAX($A109,Settings!$F$50),IF(Settings!$E$50="",$B109,DATE(YEAR($A109),MONTH($A109),MIN(Settings!$E$50,DAY($B109))))&lt;=MIN(Settings!$B$5,IF(Settings!$G$50="",Settings!$B$5,Settings!$G$50))),1,0)))))</f>
        <v/>
      </c>
      <c r="EZ109">
        <f>IF($E109&lt;&gt;"open",0,IF(AND('Month-End'!$DB$28&lt;&gt;"",NOT(_xlfn.ISFORMULA('Month-End'!$DB$28))),0,IF(OR(Settings!$C$51="",Settings!$D$51=""),0,Settings!$C$51*IF(Settings!$D$51="Weekly",IF(IFERROR(MATCH(Settings!$E$51,$EO$4:$EO$10,0),0)=0,0,IF(MIN(Settings!$B$5,IF(Settings!$G$51="",Settings!$B$5,Settings!$G$51))&lt;MAX($A109,Settings!$F$51),0,INT((MIN(Settings!$B$5,IF(Settings!$G$51="",Settings!$B$5,Settings!$G$51))-MAX($A109,Settings!$F$51)-MOD(IFERROR(MATCH(Settings!$E$51,$EO$4:$EO$10,0),0)-WEEKDAY(MAX($A109,Settings!$F$51)),7))/7)+1)),IF(AND(IF(Settings!$E$51="",$B109,DATE(YEAR($A109),MONTH($A109),MIN(Settings!$E$51,DAY($B109))))&gt;=MAX($A109,Settings!$F$51),IF(Settings!$E$51="",$B109,DATE(YEAR($A109),MONTH($A109),MIN(Settings!$E$51,DAY($B109))))&lt;=MIN(Settings!$B$5,IF(Settings!$G$51="",Settings!$B$5,Settings!$G$51))),1,0)))))</f>
        <v/>
      </c>
      <c r="FA109">
        <f>IF($E109&lt;&gt;"open",0,IF(AND('Month-End'!$DB$29&lt;&gt;"",NOT(_xlfn.ISFORMULA('Month-End'!$DB$29))),0,IF(OR(Settings!$C$52="",Settings!$D$52=""),0,Settings!$C$52*IF(Settings!$D$52="Weekly",IF(IFERROR(MATCH(Settings!$E$52,$EO$4:$EO$10,0),0)=0,0,IF(MIN(Settings!$B$5,IF(Settings!$G$52="",Settings!$B$5,Settings!$G$52))&lt;MAX($A109,Settings!$F$52),0,INT((MIN(Settings!$B$5,IF(Settings!$G$52="",Settings!$B$5,Settings!$G$52))-MAX($A109,Settings!$F$52)-MOD(IFERROR(MATCH(Settings!$E$52,$EO$4:$EO$10,0),0)-WEEKDAY(MAX($A109,Settings!$F$52)),7))/7)+1)),IF(AND(IF(Settings!$E$52="",$B109,DATE(YEAR($A109),MONTH($A109),MIN(Settings!$E$52,DAY($B109))))&gt;=MAX($A109,Settings!$F$52),IF(Settings!$E$52="",$B109,DATE(YEAR($A109),MONTH($A109),MIN(Settings!$E$52,DAY($B109))))&lt;=MIN(Settings!$B$5,IF(Settings!$G$52="",Settings!$B$5,Settings!$G$52))),1,0)))))</f>
        <v/>
      </c>
      <c r="FB109">
        <f>IF($E109&lt;&gt;"open",0,IF(AND('Month-End'!$DB$30&lt;&gt;"",NOT(_xlfn.ISFORMULA('Month-End'!$DB$30))),0,IF(OR(Settings!$C$53="",Settings!$D$53=""),0,Settings!$C$53*IF(Settings!$D$53="Weekly",IF(IFERROR(MATCH(Settings!$E$53,$EO$4:$EO$10,0),0)=0,0,IF(MIN(Settings!$B$5,IF(Settings!$G$53="",Settings!$B$5,Settings!$G$53))&lt;MAX($A109,Settings!$F$53),0,INT((MIN(Settings!$B$5,IF(Settings!$G$53="",Settings!$B$5,Settings!$G$53))-MAX($A109,Settings!$F$53)-MOD(IFERROR(MATCH(Settings!$E$53,$EO$4:$EO$10,0),0)-WEEKDAY(MAX($A109,Settings!$F$53)),7))/7)+1)),IF(AND(IF(Settings!$E$53="",$B109,DATE(YEAR($A109),MONTH($A109),MIN(Settings!$E$53,DAY($B109))))&gt;=MAX($A109,Settings!$F$53),IF(Settings!$E$53="",$B109,DATE(YEAR($A109),MONTH($A109),MIN(Settings!$E$53,DAY($B109))))&lt;=MIN(Settings!$B$5,IF(Settings!$G$53="",Settings!$B$5,Settings!$G$53))),1,0)))))</f>
        <v/>
      </c>
      <c r="FC109">
        <f>IF($E109&lt;&gt;"open",0,IF(AND('Month-End'!$DB$31&lt;&gt;"",NOT(_xlfn.ISFORMULA('Month-End'!$DB$31))),0,IF(OR(Settings!$C$54="",Settings!$D$54=""),0,Settings!$C$54*IF(Settings!$D$54="Weekly",IF(IFERROR(MATCH(Settings!$E$54,$EO$4:$EO$10,0),0)=0,0,IF(MIN(Settings!$B$5,IF(Settings!$G$54="",Settings!$B$5,Settings!$G$54))&lt;MAX($A109,Settings!$F$54),0,INT((MIN(Settings!$B$5,IF(Settings!$G$54="",Settings!$B$5,Settings!$G$54))-MAX($A109,Settings!$F$54)-MOD(IFERROR(MATCH(Settings!$E$54,$EO$4:$EO$10,0),0)-WEEKDAY(MAX($A109,Settings!$F$54)),7))/7)+1)),IF(AND(IF(Settings!$E$54="",$B109,DATE(YEAR($A109),MONTH($A109),MIN(Settings!$E$54,DAY($B109))))&gt;=MAX($A109,Settings!$F$54),IF(Settings!$E$54="",$B109,DATE(YEAR($A109),MONTH($A109),MIN(Settings!$E$54,DAY($B109))))&lt;=MIN(Settings!$B$5,IF(Settings!$G$54="",Settings!$B$5,Settings!$G$54))),1,0)))))</f>
        <v/>
      </c>
      <c r="FD109">
        <f>IF($E109&lt;&gt;"open",0,IF(AND('Month-End'!$DB$32&lt;&gt;"",NOT(_xlfn.ISFORMULA('Month-End'!$DB$32))),0,IF(OR(Settings!$C$55="",Settings!$D$55=""),0,Settings!$C$55*IF(Settings!$D$55="Weekly",IF(IFERROR(MATCH(Settings!$E$55,$EO$4:$EO$10,0),0)=0,0,IF(MIN(Settings!$B$5,IF(Settings!$G$55="",Settings!$B$5,Settings!$G$55))&lt;MAX($A109,Settings!$F$55),0,INT((MIN(Settings!$B$5,IF(Settings!$G$55="",Settings!$B$5,Settings!$G$55))-MAX($A109,Settings!$F$55)-MOD(IFERROR(MATCH(Settings!$E$55,$EO$4:$EO$10,0),0)-WEEKDAY(MAX($A109,Settings!$F$55)),7))/7)+1)),IF(AND(IF(Settings!$E$55="",$B109,DATE(YEAR($A109),MONTH($A109),MIN(Settings!$E$55,DAY($B109))))&gt;=MAX($A109,Settings!$F$55),IF(Settings!$E$55="",$B109,DATE(YEAR($A109),MONTH($A109),MIN(Settings!$E$55,DAY($B109))))&lt;=MIN(Settings!$B$5,IF(Settings!$G$55="",Settings!$B$5,Settings!$G$55))),1,0)))))</f>
        <v/>
      </c>
      <c r="FE109">
        <f>IF($E109&lt;&gt;"open",0,IF(AND('Month-End'!$DB$33&lt;&gt;"",NOT(_xlfn.ISFORMULA('Month-End'!$DB$33))),0,IF(OR(Settings!$C$56="",Settings!$D$56=""),0,Settings!$C$56*IF(Settings!$D$56="Weekly",IF(IFERROR(MATCH(Settings!$E$56,$EO$4:$EO$10,0),0)=0,0,IF(MIN(Settings!$B$5,IF(Settings!$G$56="",Settings!$B$5,Settings!$G$56))&lt;MAX($A109,Settings!$F$56),0,INT((MIN(Settings!$B$5,IF(Settings!$G$56="",Settings!$B$5,Settings!$G$56))-MAX($A109,Settings!$F$56)-MOD(IFERROR(MATCH(Settings!$E$56,$EO$4:$EO$10,0),0)-WEEKDAY(MAX($A109,Settings!$F$56)),7))/7)+1)),IF(AND(IF(Settings!$E$56="",$B109,DATE(YEAR($A109),MONTH($A109),MIN(Settings!$E$56,DAY($B109))))&gt;=MAX($A109,Settings!$F$56),IF(Settings!$E$56="",$B109,DATE(YEAR($A109),MONTH($A109),MIN(Settings!$E$56,DAY($B109))))&lt;=MIN(Settings!$B$5,IF(Settings!$G$56="",Settings!$B$5,Settings!$G$56))),1,0)))))</f>
        <v/>
      </c>
      <c r="FF109">
        <f>IF(Settings!$I$45="Yes",$G109,0)+IF(Settings!$I$46="Yes",$H109,0)+IF(Settings!$I$47="Yes",$I109,0)+IF(Settings!$I$48="Yes",$J109,0)+IF(Settings!$I$49="Yes",$K109,0)+IF(Settings!$I$50="Yes",$L109,0)+IF(Settings!$I$51="Yes",$M109,0)+IF(Settings!$I$52="Yes",$N109,0)+IF(Settings!$I$53="Yes",$O109,0)+IF(Settings!$I$54="Yes",$P109,0)+IF(Settings!$I$55="Yes",$Q109,0)+IF(Settings!$I$56="Yes",$R109,0)</f>
        <v/>
      </c>
      <c r="FG109">
        <f>IF(AND(Settings!$I$45="Yes",Settings!$J$45="No"),$G109,0)+IF(AND(Settings!$I$46="Yes",Settings!$J$46="No"),$H109,0)+IF(AND(Settings!$I$47="Yes",Settings!$J$47="No"),$I109,0)+IF(AND(Settings!$I$48="Yes",Settings!$J$48="No"),$J109,0)+IF(AND(Settings!$I$49="Yes",Settings!$J$49="No"),$K109,0)+IF(AND(Settings!$I$50="Yes",Settings!$J$50="No"),$L109,0)+IF(AND(Settings!$I$51="Yes",Settings!$J$51="No"),$M109,0)+IF(AND(Settings!$I$52="Yes",Settings!$J$52="No"),$N109,0)+IF(AND(Settings!$I$53="Yes",Settings!$J$53="No"),$O109,0)+IF(AND(Settings!$I$54="Yes",Settings!$J$54="No"),$P109,0)+IF(AND(Settings!$I$55="Yes",Settings!$J$55="No"),$Q109,0)+IF(AND(Settings!$I$56="Yes",Settings!$J$56="No"),$R109,0)</f>
        <v/>
      </c>
      <c r="FH109">
        <f>SUMIFS(Giving!$B$7:$B$2006,Giving!$A$7:$A$2006,"&gt;="&amp;$A109,Giving!$A$7:$A$2006,"&lt;="&amp;$B109,Giving!$G$7:$G$2006,"Yes")+IF(OR(OR(Settings!$B$60="",Settings!$F$60="No"),Settings!$H$60&lt;&gt;"Yes"),0,Settings!$B$60*IF(AND(IF(Settings!$C$60="",$B109,DATE(YEAR($A109),MONTH($A109),MIN(Settings!$C$60,DAY($B109))))&gt;=MAX($A109,Settings!$D$60),IF(Settings!$C$60="",$B109,DATE(YEAR($A109),MONTH($A109),MIN(Settings!$C$60,DAY($B109))))&lt;=MIN($C109,IF(Settings!$E$60="",$C109,Settings!$E$60))),1,0))+IF(OR(OR(Settings!$B$61="",Settings!$F$61="No"),Settings!$H$61&lt;&gt;"Yes"),0,Settings!$B$61*IF(AND(IF(Settings!$C$61="",$B109,DATE(YEAR($A109),MONTH($A109),MIN(Settings!$C$61,DAY($B109))))&gt;=MAX($A109,Settings!$D$61),IF(Settings!$C$61="",$B109,DATE(YEAR($A109),MONTH($A109),MIN(Settings!$C$61,DAY($B109))))&lt;=MIN($C109,IF(Settings!$E$61="",$C109,Settings!$E$61))),1,0))+IF(OR(OR(Settings!$B$62="",Settings!$F$62="No"),Settings!$H$62&lt;&gt;"Yes"),0,Settings!$B$62*IF(AND(IF(Settings!$C$62="",$B109,DATE(YEAR($A109),MONTH($A109),MIN(Settings!$C$62,DAY($B109))))&gt;=MAX($A109,Settings!$D$62),IF(Settings!$C$62="",$B109,DATE(YEAR($A109),MONTH($A109),MIN(Settings!$C$62,DAY($B109))))&lt;=MIN($C109,IF(Settings!$E$62="",$C109,Settings!$E$62))),1,0))+IF(OR(OR(Settings!$B$63="",Settings!$F$63="No"),Settings!$H$63&lt;&gt;"Yes"),0,Settings!$B$63*IF(AND(IF(Settings!$C$63="",$B109,DATE(YEAR($A109),MONTH($A109),MIN(Settings!$C$63,DAY($B109))))&gt;=MAX($A109,Settings!$D$63),IF(Settings!$C$63="",$B109,DATE(YEAR($A109),MONTH($A109),MIN(Settings!$C$63,DAY($B109))))&lt;=MIN($C109,IF(Settings!$E$63="",$C109,Settings!$E$63))),1,0))+IF(OR(OR(Settings!$B$64="",Settings!$F$64="No"),Settings!$H$64&lt;&gt;"Yes"),0,Settings!$B$64*IF(AND(IF(Settings!$C$64="",$B109,DATE(YEAR($A109),MONTH($A109),MIN(Settings!$C$64,DAY($B109))))&gt;=MAX($A109,Settings!$D$64),IF(Settings!$C$64="",$B109,DATE(YEAR($A109),MONTH($A109),MIN(Settings!$C$64,DAY($B109))))&lt;=MIN($C109,IF(Settings!$E$64="",$C109,Settings!$E$64))),1,0))+IF(OR(OR(Settings!$B$65="",Settings!$F$65="No"),Settings!$H$65&lt;&gt;"Yes"),0,Settings!$B$65*IF(AND(IF(Settings!$C$65="",$B109,DATE(YEAR($A109),MONTH($A109),MIN(Settings!$C$65,DAY($B109))))&gt;=MAX($A109,Settings!$D$65),IF(Settings!$C$65="",$B109,DATE(YEAR($A109),MONTH($A109),MIN(Settings!$C$65,DAY($B109))))&lt;=MIN($C109,IF(Settings!$E$65="",$C109,Settings!$E$65))),1,0))</f>
        <v/>
      </c>
      <c r="FI109">
        <f>IF($DT109=1,IF(OR(Settings!$B$19="Card",Settings!$B$19="Loan"),N($AE109),0)+IF(OR(Settings!$B$20="Card",Settings!$B$20="Loan"),N($AF109),0)+IF(OR(Settings!$B$21="Card",Settings!$B$21="Loan"),N($AG109),0)+IF(OR(Settings!$B$22="Card",Settings!$B$22="Loan"),N($AH109),0)+IF(OR(Settings!$B$23="Card",Settings!$B$23="Loan"),N($AI109),0)+IF(OR(Settings!$B$24="Card",Settings!$B$24="Loan"),N($AJ109),0)+IF(OR(Settings!$B$25="Card",Settings!$B$25="Loan"),N($AK109),0)+IF(OR(Settings!$B$26="Card",Settings!$B$26="Loan"),N($AL109),0)+IF(OR(Settings!$B$27="Card",Settings!$B$27="Loan"),N($AM109),0)+IF(OR(Settings!$B$28="Card",Settings!$B$28="Loan"),N($AN109),0)+IF(OR(Settings!$B$29="Card",Settings!$B$29="Loan"),N($AO109),0)+IF(OR(Settings!$B$30="Card",Settings!$B$30="Loan"),N($AP109),0)+IF(OR(Settings!$B$31="Card",Settings!$B$31="Loan"),N($AQ109),0)+IF(OR(Settings!$B$32="Card",Settings!$B$32="Loan"),N($AR109),0),"")</f>
        <v/>
      </c>
      <c r="FJ109">
        <f>IF($E109="open",$EB$65,IF($E109="post",IF($E108="pre",$EB$65,$FI108),""))</f>
        <v/>
      </c>
      <c r="FK109">
        <f>IF(AND($DT109=1,$DC109=1),IF(ROUND($FI109-$FJ109,2)&gt;0,1,0),0)</f>
        <v/>
      </c>
      <c r="FL109">
        <f>IF($FK109=1,$FL108+1,0)</f>
        <v/>
      </c>
    </row>
    <row r="110">
      <c r="A110">
        <f>'Month-End'!$DC$4</f>
        <v/>
      </c>
      <c r="B110">
        <f>EOMONTH($A110,0)</f>
        <v/>
      </c>
      <c r="C110">
        <f>MIN($B110,TODAY())</f>
        <v/>
      </c>
      <c r="D110">
        <f>IF($A110&gt;TODAY(),1,0)</f>
        <v/>
      </c>
      <c r="E110">
        <f>IF($B110&lt;=Settings!$B$5,"pre",IF($A110&lt;=Settings!$B$5,"open","post"))</f>
        <v/>
      </c>
      <c r="G110">
        <f>IF('Month-End'!$DC$22="",$BE110,N('Month-End'!$DC$22))</f>
        <v/>
      </c>
      <c r="H110">
        <f>IF('Month-End'!$DC$23="",$BF110,N('Month-End'!$DC$23))</f>
        <v/>
      </c>
      <c r="I110">
        <f>IF('Month-End'!$DC$24="",$BG110,N('Month-End'!$DC$24))</f>
        <v/>
      </c>
      <c r="J110">
        <f>IF('Month-End'!$DC$25="",$BH110,N('Month-End'!$DC$25))</f>
        <v/>
      </c>
      <c r="K110">
        <f>IF('Month-End'!$DC$26="",$BI110,N('Month-End'!$DC$26))</f>
        <v/>
      </c>
      <c r="L110">
        <f>IF('Month-End'!$DC$27="",$BJ110,N('Month-End'!$DC$27))</f>
        <v/>
      </c>
      <c r="M110">
        <f>IF('Month-End'!$DC$28="",$BK110,N('Month-End'!$DC$28))</f>
        <v/>
      </c>
      <c r="N110">
        <f>IF('Month-End'!$DC$29="",$BL110,N('Month-End'!$DC$29))</f>
        <v/>
      </c>
      <c r="O110">
        <f>IF('Month-End'!$DC$30="",$BM110,N('Month-End'!$DC$30))</f>
        <v/>
      </c>
      <c r="P110">
        <f>IF('Month-End'!$DC$31="",$BN110,N('Month-End'!$DC$31))</f>
        <v/>
      </c>
      <c r="Q110">
        <f>IF('Month-End'!$DC$32="",$BO110,N('Month-End'!$DC$32))</f>
        <v/>
      </c>
      <c r="R110">
        <f>IF('Month-End'!$DC$33="",$BP110,N('Month-End'!$DC$33))</f>
        <v/>
      </c>
      <c r="S110">
        <f>$G110+$H110+$I110+$J110+$K110+$L110+$M110+$N110+$O110+$P110+$Q110+$R110</f>
        <v/>
      </c>
      <c r="T110">
        <f>IF($B110&lt;Settings!$B$6,0,IF(Settings!$B$45="Yes",$G110,0)+IF(Settings!$B$46="Yes",$H110,0)+IF(Settings!$B$47="Yes",$I110,0)+IF(Settings!$B$48="Yes",$J110,0)+IF(Settings!$B$49="Yes",$K110,0)+IF(Settings!$B$50="Yes",$L110,0)+IF(Settings!$B$51="Yes",$M110,0)+IF(Settings!$B$52="Yes",$N110,0)+IF(Settings!$B$53="Yes",$O110,0)+IF(Settings!$B$54="Yes",$P110,0)+IF(Settings!$B$55="Yes",$Q110,0)+IF(Settings!$B$56="Yes",$R110,0))</f>
        <v/>
      </c>
      <c r="U110">
        <f>IF(Settings!$B$45="Not Sure",$G110,0)+IF(Settings!$B$46="Not Sure",$H110,0)+IF(Settings!$B$47="Not Sure",$I110,0)+IF(Settings!$B$48="Not Sure",$J110,0)+IF(Settings!$B$49="Not Sure",$K110,0)+IF(Settings!$B$50="Not Sure",$L110,0)+IF(Settings!$B$51="Not Sure",$M110,0)+IF(Settings!$B$52="Not Sure",$N110,0)+IF(Settings!$B$53="Not Sure",$O110,0)+IF(Settings!$B$54="Not Sure",$P110,0)+IF(Settings!$B$55="Not Sure",$Q110,0)+IF(Settings!$B$56="Not Sure",$R110,0)</f>
        <v/>
      </c>
      <c r="V110">
        <f>IF($E110="open",SUM($ET110:$FE110)+N(Settings!$B$13),0)</f>
        <v/>
      </c>
      <c r="W110">
        <f>IF($E110="post",$S110,IF($E110="open",$S110-$V110,0))</f>
        <v/>
      </c>
      <c r="X110">
        <f>SUMIFS(Giving!$B$7:$B$2006,Giving!$A$7:$A$2006,"&gt;="&amp;$A110,Giving!$A$7:$A$2006,"&lt;="&amp;$B110,Giving!$E$7:$E$2006,"&lt;&gt;No")</f>
        <v/>
      </c>
      <c r="Y110">
        <f>SUMIFS(Giving!$B$7:$B$2006,Giving!$A$7:$A$2006,"&gt;="&amp;$A110,Giving!$A$7:$A$2006,"&lt;="&amp;$B110,Giving!$E$7:$E$2006,"No")</f>
        <v/>
      </c>
      <c r="Z110">
        <f>IF(OR(Settings!$B$60="",Settings!$F$60="No"),0,Settings!$B$60*IF(AND(IF(Settings!$C$60="",$B110,DATE(YEAR($A110),MONTH($A110),MIN(Settings!$C$60,DAY($B110))))&gt;=MAX($A110,Settings!$D$60),IF(Settings!$C$60="",$B110,DATE(YEAR($A110),MONTH($A110),MIN(Settings!$C$60,DAY($B110))))&lt;=MIN($C110,IF(Settings!$E$60="",$C110,Settings!$E$60))),1,0))+IF(OR(Settings!$B$61="",Settings!$F$61="No"),0,Settings!$B$61*IF(AND(IF(Settings!$C$61="",$B110,DATE(YEAR($A110),MONTH($A110),MIN(Settings!$C$61,DAY($B110))))&gt;=MAX($A110,Settings!$D$61),IF(Settings!$C$61="",$B110,DATE(YEAR($A110),MONTH($A110),MIN(Settings!$C$61,DAY($B110))))&lt;=MIN($C110,IF(Settings!$E$61="",$C110,Settings!$E$61))),1,0))+IF(OR(Settings!$B$62="",Settings!$F$62="No"),0,Settings!$B$62*IF(AND(IF(Settings!$C$62="",$B110,DATE(YEAR($A110),MONTH($A110),MIN(Settings!$C$62,DAY($B110))))&gt;=MAX($A110,Settings!$D$62),IF(Settings!$C$62="",$B110,DATE(YEAR($A110),MONTH($A110),MIN(Settings!$C$62,DAY($B110))))&lt;=MIN($C110,IF(Settings!$E$62="",$C110,Settings!$E$62))),1,0))+IF(OR(Settings!$B$63="",Settings!$F$63="No"),0,Settings!$B$63*IF(AND(IF(Settings!$C$63="",$B110,DATE(YEAR($A110),MONTH($A110),MIN(Settings!$C$63,DAY($B110))))&gt;=MAX($A110,Settings!$D$63),IF(Settings!$C$63="",$B110,DATE(YEAR($A110),MONTH($A110),MIN(Settings!$C$63,DAY($B110))))&lt;=MIN($C110,IF(Settings!$E$63="",$C110,Settings!$E$63))),1,0))+IF(OR(Settings!$B$64="",Settings!$F$64="No"),0,Settings!$B$64*IF(AND(IF(Settings!$C$64="",$B110,DATE(YEAR($A110),MONTH($A110),MIN(Settings!$C$64,DAY($B110))))&gt;=MAX($A110,Settings!$D$64),IF(Settings!$C$64="",$B110,DATE(YEAR($A110),MONTH($A110),MIN(Settings!$C$64,DAY($B110))))&lt;=MIN($C110,IF(Settings!$E$64="",$C110,Settings!$E$64))),1,0))+IF(OR(Settings!$B$65="",Settings!$F$65="No"),0,Settings!$B$65*IF(AND(IF(Settings!$C$65="",$B110,DATE(YEAR($A110),MONTH($A110),MIN(Settings!$C$65,DAY($B110))))&gt;=MAX($A110,Settings!$D$65),IF(Settings!$C$65="",$B110,DATE(YEAR($A110),MONTH($A110),MIN(Settings!$C$65,DAY($B110))))&lt;=MIN($C110,IF(Settings!$E$65="",$C110,Settings!$E$65))),1,0))</f>
        <v/>
      </c>
      <c r="AA110">
        <f>$X110+$Z110</f>
        <v/>
      </c>
      <c r="AB110">
        <f>IF($E110="post",$AA110,IF($E110="open",SUMIFS(Giving!$B$7:$B$2006,Giving!$A$7:$A$2006,"&gt;"&amp;Settings!$B$5,Giving!$A$7:$A$2006,"&lt;="&amp;$B110,Giving!$E$7:$E$2006,"&lt;&gt;No")+IF(OR(Settings!$B$60="",Settings!$F$60="No"),0,Settings!$B$60*IF(AND(IF(Settings!$C$60="",$B110,DATE(YEAR($A110),MONTH($A110),MIN(Settings!$C$60,DAY($B110))))&gt;=MAX($A110,Settings!$D$60,Settings!$B$5+1),IF(Settings!$C$60="",$B110,DATE(YEAR($A110),MONTH($A110),MIN(Settings!$C$60,DAY($B110))))&lt;=MIN($C110,IF(Settings!$E$60="",$C110,Settings!$E$60))),1,0))+IF(OR(Settings!$B$61="",Settings!$F$61="No"),0,Settings!$B$61*IF(AND(IF(Settings!$C$61="",$B110,DATE(YEAR($A110),MONTH($A110),MIN(Settings!$C$61,DAY($B110))))&gt;=MAX($A110,Settings!$D$61,Settings!$B$5+1),IF(Settings!$C$61="",$B110,DATE(YEAR($A110),MONTH($A110),MIN(Settings!$C$61,DAY($B110))))&lt;=MIN($C110,IF(Settings!$E$61="",$C110,Settings!$E$61))),1,0))+IF(OR(Settings!$B$62="",Settings!$F$62="No"),0,Settings!$B$62*IF(AND(IF(Settings!$C$62="",$B110,DATE(YEAR($A110),MONTH($A110),MIN(Settings!$C$62,DAY($B110))))&gt;=MAX($A110,Settings!$D$62,Settings!$B$5+1),IF(Settings!$C$62="",$B110,DATE(YEAR($A110),MONTH($A110),MIN(Settings!$C$62,DAY($B110))))&lt;=MIN($C110,IF(Settings!$E$62="",$C110,Settings!$E$62))),1,0))+IF(OR(Settings!$B$63="",Settings!$F$63="No"),0,Settings!$B$63*IF(AND(IF(Settings!$C$63="",$B110,DATE(YEAR($A110),MONTH($A110),MIN(Settings!$C$63,DAY($B110))))&gt;=MAX($A110,Settings!$D$63,Settings!$B$5+1),IF(Settings!$C$63="",$B110,DATE(YEAR($A110),MONTH($A110),MIN(Settings!$C$63,DAY($B110))))&lt;=MIN($C110,IF(Settings!$E$63="",$C110,Settings!$E$63))),1,0))+IF(OR(Settings!$B$64="",Settings!$F$64="No"),0,Settings!$B$64*IF(AND(IF(Settings!$C$64="",$B110,DATE(YEAR($A110),MONTH($A110),MIN(Settings!$C$64,DAY($B110))))&gt;=MAX($A110,Settings!$D$64,Settings!$B$5+1),IF(Settings!$C$64="",$B110,DATE(YEAR($A110),MONTH($A110),MIN(Settings!$C$64,DAY($B110))))&lt;=MIN($C110,IF(Settings!$E$64="",$C110,Settings!$E$64))),1,0))+IF(OR(Settings!$B$65="",Settings!$F$65="No"),0,Settings!$B$65*IF(AND(IF(Settings!$C$65="",$B110,DATE(YEAR($A110),MONTH($A110),MIN(Settings!$C$65,DAY($B110))))&gt;=MAX($A110,Settings!$D$65,Settings!$B$5+1),IF(Settings!$C$65="",$B110,DATE(YEAR($A110),MONTH($A110),MIN(Settings!$C$65,DAY($B110))))&lt;=MIN($C110,IF(Settings!$E$65="",$C110,Settings!$E$65))),1,0)),0))</f>
        <v/>
      </c>
      <c r="AC110">
        <f>$AY110+$AZ110+$BA110+$BB110+$BC110+$BD110</f>
        <v/>
      </c>
      <c r="AD110">
        <f>$AC110</f>
        <v/>
      </c>
      <c r="AE110">
        <f>IF(OR(Settings!$A$19="",$E110="pre"),"",IF(AND('Month-End'!$DC$7&lt;&gt;"",NOT(_xlfn.ISFORMULA('Month-End'!$DC$7))),N('Month-End'!$DC$7),IF(OR($E110="open",$E109="pre"),N(Settings!$C$19),N($AE109))))</f>
        <v/>
      </c>
      <c r="AF110">
        <f>IF(OR(Settings!$A$20="",$E110="pre"),"",IF(AND('Month-End'!$DC$8&lt;&gt;"",NOT(_xlfn.ISFORMULA('Month-End'!$DC$8))),N('Month-End'!$DC$8),IF(OR($E110="open",$E109="pre"),N(Settings!$C$20),N($AF109))))</f>
        <v/>
      </c>
      <c r="AG110">
        <f>IF(OR(Settings!$A$21="",$E110="pre"),"",IF(AND('Month-End'!$DC$9&lt;&gt;"",NOT(_xlfn.ISFORMULA('Month-End'!$DC$9))),N('Month-End'!$DC$9),IF(OR($E110="open",$E109="pre"),N(Settings!$C$21),N($AG109))))</f>
        <v/>
      </c>
      <c r="AH110">
        <f>IF(OR(Settings!$A$22="",$E110="pre"),"",IF(AND('Month-End'!$DC$10&lt;&gt;"",NOT(_xlfn.ISFORMULA('Month-End'!$DC$10))),N('Month-End'!$DC$10),IF(OR($E110="open",$E109="pre"),N(Settings!$C$22),N($AH109))))</f>
        <v/>
      </c>
      <c r="AI110">
        <f>IF(OR(Settings!$A$23="",$E110="pre"),"",IF(AND('Month-End'!$DC$11&lt;&gt;"",NOT(_xlfn.ISFORMULA('Month-End'!$DC$11))),N('Month-End'!$DC$11),IF(OR($E110="open",$E109="pre"),N(Settings!$C$23),N($AI109))))</f>
        <v/>
      </c>
      <c r="AJ110">
        <f>IF(OR(Settings!$A$24="",$E110="pre"),"",IF(AND('Month-End'!$DC$12&lt;&gt;"",NOT(_xlfn.ISFORMULA('Month-End'!$DC$12))),N('Month-End'!$DC$12),IF(OR($E110="open",$E109="pre"),N(Settings!$C$24),N($AJ109))))</f>
        <v/>
      </c>
      <c r="AK110">
        <f>IF(OR(Settings!$A$25="",$E110="pre"),"",IF(AND('Month-End'!$DC$13&lt;&gt;"",NOT(_xlfn.ISFORMULA('Month-End'!$DC$13))),N('Month-End'!$DC$13),IF(OR($E110="open",$E109="pre"),N(Settings!$C$25),N($AK109))))</f>
        <v/>
      </c>
      <c r="AL110">
        <f>IF(OR(Settings!$A$26="",$E110="pre"),"",IF(AND('Month-End'!$DC$14&lt;&gt;"",NOT(_xlfn.ISFORMULA('Month-End'!$DC$14))),N('Month-End'!$DC$14),IF(OR($E110="open",$E109="pre"),N(Settings!$C$26),N($AL109))))</f>
        <v/>
      </c>
      <c r="AM110">
        <f>IF(OR(Settings!$A$27="",$E110="pre"),"",IF(AND('Month-End'!$DC$15&lt;&gt;"",NOT(_xlfn.ISFORMULA('Month-End'!$DC$15))),N('Month-End'!$DC$15),IF(OR($E110="open",$E109="pre"),N(Settings!$C$27),N($AM109))))</f>
        <v/>
      </c>
      <c r="AN110">
        <f>IF(OR(Settings!$A$28="",$E110="pre"),"",IF(AND('Month-End'!$DC$16&lt;&gt;"",NOT(_xlfn.ISFORMULA('Month-End'!$DC$16))),N('Month-End'!$DC$16),IF(OR($E110="open",$E109="pre"),N(Settings!$C$28),N($AN109))))</f>
        <v/>
      </c>
      <c r="AO110">
        <f>IF(OR(Settings!$A$29="",$E110="pre"),"",IF(AND('Month-End'!$DC$17&lt;&gt;"",NOT(_xlfn.ISFORMULA('Month-End'!$DC$17))),N('Month-End'!$DC$17),IF(OR($E110="open",$E109="pre"),N(Settings!$C$29),N($AO109))))</f>
        <v/>
      </c>
      <c r="AP110">
        <f>IF(OR(Settings!$A$30="",$E110="pre"),"",IF(AND('Month-End'!$DC$18&lt;&gt;"",NOT(_xlfn.ISFORMULA('Month-End'!$DC$18))),N('Month-End'!$DC$18),IF(OR($E110="open",$E109="pre"),N(Settings!$C$30),N($AP109))))</f>
        <v/>
      </c>
      <c r="AQ110">
        <f>IF(OR(Settings!$A$31="",$E110="pre"),"",IF(AND('Month-End'!$DC$19&lt;&gt;"",NOT(_xlfn.ISFORMULA('Month-End'!$DC$19))),N('Month-End'!$DC$19),IF(OR($E110="open",$E109="pre"),N(Settings!$C$31),N($AQ109))))</f>
        <v/>
      </c>
      <c r="AR110">
        <f>IF(OR(Settings!$A$32="",$E110="pre"),"",IF(AND('Month-End'!$DC$20&lt;&gt;"",NOT(_xlfn.ISFORMULA('Month-End'!$DC$20))),N('Month-End'!$DC$20),IF(OR($E110="open",$E109="pre"),N(Settings!$C$32),N($AR109))))</f>
        <v/>
      </c>
      <c r="AS110">
        <f>IF(OR(Settings!$A$36="",$E110="pre"),"",IF(AND('Month-End'!$DC$38&lt;&gt;"",NOT(_xlfn.ISFORMULA('Month-End'!$DC$38))),N('Month-End'!$DC$38),IF(OR($E110="open",$E109="pre"),N(Settings!$C$36),N($AS109))+$AY110))</f>
        <v/>
      </c>
      <c r="AT110">
        <f>IF(OR(Settings!$A$37="",$E110="pre"),"",IF(AND('Month-End'!$DC$39&lt;&gt;"",NOT(_xlfn.ISFORMULA('Month-End'!$DC$39))),N('Month-End'!$DC$39),IF(OR($E110="open",$E109="pre"),N(Settings!$C$37),N($AT109))+$AZ110))</f>
        <v/>
      </c>
      <c r="AU110">
        <f>IF(OR(Settings!$A$38="",$E110="pre"),"",IF(AND('Month-End'!$DC$40&lt;&gt;"",NOT(_xlfn.ISFORMULA('Month-End'!$DC$40))),N('Month-End'!$DC$40),IF(OR($E110="open",$E109="pre"),N(Settings!$C$38),N($AU109))+$BA110))</f>
        <v/>
      </c>
      <c r="AV110">
        <f>IF(OR(Settings!$A$39="",$E110="pre"),"",IF(AND('Month-End'!$DC$41&lt;&gt;"",NOT(_xlfn.ISFORMULA('Month-End'!$DC$41))),N('Month-End'!$DC$41),IF(OR($E110="open",$E109="pre"),N(Settings!$C$39),N($AV109))+$BB110))</f>
        <v/>
      </c>
      <c r="AW110">
        <f>IF(OR(Settings!$A$40="",$E110="pre"),"",IF(AND('Month-End'!$DC$42&lt;&gt;"",NOT(_xlfn.ISFORMULA('Month-End'!$DC$42))),N('Month-End'!$DC$42),IF(OR($E110="open",$E109="pre"),N(Settings!$C$40),N($AW109))+$BC110))</f>
        <v/>
      </c>
      <c r="AX110">
        <f>IF(OR(Settings!$A$41="",$E110="pre"),"",IF(AND('Month-End'!$DC$43&lt;&gt;"",NOT(_xlfn.ISFORMULA('Month-End'!$DC$43))),N('Month-End'!$DC$43),IF(OR($E110="open",$E109="pre"),N(Settings!$C$41),N($AX109))+$BD110))</f>
        <v/>
      </c>
      <c r="AY110">
        <f>IF($E110="pre",0,N('Month-End'!$DC$45))</f>
        <v/>
      </c>
      <c r="AZ110">
        <f>IF($E110="pre",0,N('Month-End'!$DC$46))</f>
        <v/>
      </c>
      <c r="BA110">
        <f>IF($E110="pre",0,N('Month-End'!$DC$47))</f>
        <v/>
      </c>
      <c r="BB110">
        <f>IF($E110="pre",0,N('Month-End'!$DC$48))</f>
        <v/>
      </c>
      <c r="BC110">
        <f>IF($E110="pre",0,N('Month-End'!$DC$49))</f>
        <v/>
      </c>
      <c r="BD110">
        <f>IF($E110="pre",0,N('Month-End'!$DC$50))</f>
        <v/>
      </c>
      <c r="BE110">
        <f>IF(OR(Settings!$C$45="",Settings!$D$45=""),0,Settings!$C$45*IF(Settings!$D$45="Weekly",IF(IFERROR(MATCH(Settings!$E$45,$EO$4:$EO$10,0),0)=0,0,IF(MIN($C110,IF(Settings!$G$45="",$C110,Settings!$G$45))&lt;MAX($A110,Settings!$F$45),0,INT((MIN($C110,IF(Settings!$G$45="",$C110,Settings!$G$45))-MAX($A110,Settings!$F$45)-MOD(IFERROR(MATCH(Settings!$E$45,$EO$4:$EO$10,0),0)-WEEKDAY(MAX($A110,Settings!$F$45)),7))/7)+1)),IF(AND(IF(Settings!$E$45="",$B110,DATE(YEAR($A110),MONTH($A110),MIN(Settings!$E$45,DAY($B110))))&gt;=MAX($A110,Settings!$F$45),IF(Settings!$E$45="",$B110,DATE(YEAR($A110),MONTH($A110),MIN(Settings!$E$45,DAY($B110))))&lt;=MIN($C110,IF(Settings!$G$45="",$C110,Settings!$G$45))),1,0)))</f>
        <v/>
      </c>
      <c r="BF110">
        <f>IF(OR(Settings!$C$46="",Settings!$D$46=""),0,Settings!$C$46*IF(Settings!$D$46="Weekly",IF(IFERROR(MATCH(Settings!$E$46,$EO$4:$EO$10,0),0)=0,0,IF(MIN($C110,IF(Settings!$G$46="",$C110,Settings!$G$46))&lt;MAX($A110,Settings!$F$46),0,INT((MIN($C110,IF(Settings!$G$46="",$C110,Settings!$G$46))-MAX($A110,Settings!$F$46)-MOD(IFERROR(MATCH(Settings!$E$46,$EO$4:$EO$10,0),0)-WEEKDAY(MAX($A110,Settings!$F$46)),7))/7)+1)),IF(AND(IF(Settings!$E$46="",$B110,DATE(YEAR($A110),MONTH($A110),MIN(Settings!$E$46,DAY($B110))))&gt;=MAX($A110,Settings!$F$46),IF(Settings!$E$46="",$B110,DATE(YEAR($A110),MONTH($A110),MIN(Settings!$E$46,DAY($B110))))&lt;=MIN($C110,IF(Settings!$G$46="",$C110,Settings!$G$46))),1,0)))</f>
        <v/>
      </c>
      <c r="BG110">
        <f>IF(OR(Settings!$C$47="",Settings!$D$47=""),0,Settings!$C$47*IF(Settings!$D$47="Weekly",IF(IFERROR(MATCH(Settings!$E$47,$EO$4:$EO$10,0),0)=0,0,IF(MIN($C110,IF(Settings!$G$47="",$C110,Settings!$G$47))&lt;MAX($A110,Settings!$F$47),0,INT((MIN($C110,IF(Settings!$G$47="",$C110,Settings!$G$47))-MAX($A110,Settings!$F$47)-MOD(IFERROR(MATCH(Settings!$E$47,$EO$4:$EO$10,0),0)-WEEKDAY(MAX($A110,Settings!$F$47)),7))/7)+1)),IF(AND(IF(Settings!$E$47="",$B110,DATE(YEAR($A110),MONTH($A110),MIN(Settings!$E$47,DAY($B110))))&gt;=MAX($A110,Settings!$F$47),IF(Settings!$E$47="",$B110,DATE(YEAR($A110),MONTH($A110),MIN(Settings!$E$47,DAY($B110))))&lt;=MIN($C110,IF(Settings!$G$47="",$C110,Settings!$G$47))),1,0)))</f>
        <v/>
      </c>
      <c r="BH110">
        <f>IF(OR(Settings!$C$48="",Settings!$D$48=""),0,Settings!$C$48*IF(Settings!$D$48="Weekly",IF(IFERROR(MATCH(Settings!$E$48,$EO$4:$EO$10,0),0)=0,0,IF(MIN($C110,IF(Settings!$G$48="",$C110,Settings!$G$48))&lt;MAX($A110,Settings!$F$48),0,INT((MIN($C110,IF(Settings!$G$48="",$C110,Settings!$G$48))-MAX($A110,Settings!$F$48)-MOD(IFERROR(MATCH(Settings!$E$48,$EO$4:$EO$10,0),0)-WEEKDAY(MAX($A110,Settings!$F$48)),7))/7)+1)),IF(AND(IF(Settings!$E$48="",$B110,DATE(YEAR($A110),MONTH($A110),MIN(Settings!$E$48,DAY($B110))))&gt;=MAX($A110,Settings!$F$48),IF(Settings!$E$48="",$B110,DATE(YEAR($A110),MONTH($A110),MIN(Settings!$E$48,DAY($B110))))&lt;=MIN($C110,IF(Settings!$G$48="",$C110,Settings!$G$48))),1,0)))</f>
        <v/>
      </c>
      <c r="BI110">
        <f>IF(OR(Settings!$C$49="",Settings!$D$49=""),0,Settings!$C$49*IF(Settings!$D$49="Weekly",IF(IFERROR(MATCH(Settings!$E$49,$EO$4:$EO$10,0),0)=0,0,IF(MIN($C110,IF(Settings!$G$49="",$C110,Settings!$G$49))&lt;MAX($A110,Settings!$F$49),0,INT((MIN($C110,IF(Settings!$G$49="",$C110,Settings!$G$49))-MAX($A110,Settings!$F$49)-MOD(IFERROR(MATCH(Settings!$E$49,$EO$4:$EO$10,0),0)-WEEKDAY(MAX($A110,Settings!$F$49)),7))/7)+1)),IF(AND(IF(Settings!$E$49="",$B110,DATE(YEAR($A110),MONTH($A110),MIN(Settings!$E$49,DAY($B110))))&gt;=MAX($A110,Settings!$F$49),IF(Settings!$E$49="",$B110,DATE(YEAR($A110),MONTH($A110),MIN(Settings!$E$49,DAY($B110))))&lt;=MIN($C110,IF(Settings!$G$49="",$C110,Settings!$G$49))),1,0)))</f>
        <v/>
      </c>
      <c r="BJ110">
        <f>IF(OR(Settings!$C$50="",Settings!$D$50=""),0,Settings!$C$50*IF(Settings!$D$50="Weekly",IF(IFERROR(MATCH(Settings!$E$50,$EO$4:$EO$10,0),0)=0,0,IF(MIN($C110,IF(Settings!$G$50="",$C110,Settings!$G$50))&lt;MAX($A110,Settings!$F$50),0,INT((MIN($C110,IF(Settings!$G$50="",$C110,Settings!$G$50))-MAX($A110,Settings!$F$50)-MOD(IFERROR(MATCH(Settings!$E$50,$EO$4:$EO$10,0),0)-WEEKDAY(MAX($A110,Settings!$F$50)),7))/7)+1)),IF(AND(IF(Settings!$E$50="",$B110,DATE(YEAR($A110),MONTH($A110),MIN(Settings!$E$50,DAY($B110))))&gt;=MAX($A110,Settings!$F$50),IF(Settings!$E$50="",$B110,DATE(YEAR($A110),MONTH($A110),MIN(Settings!$E$50,DAY($B110))))&lt;=MIN($C110,IF(Settings!$G$50="",$C110,Settings!$G$50))),1,0)))</f>
        <v/>
      </c>
      <c r="BK110">
        <f>IF(OR(Settings!$C$51="",Settings!$D$51=""),0,Settings!$C$51*IF(Settings!$D$51="Weekly",IF(IFERROR(MATCH(Settings!$E$51,$EO$4:$EO$10,0),0)=0,0,IF(MIN($C110,IF(Settings!$G$51="",$C110,Settings!$G$51))&lt;MAX($A110,Settings!$F$51),0,INT((MIN($C110,IF(Settings!$G$51="",$C110,Settings!$G$51))-MAX($A110,Settings!$F$51)-MOD(IFERROR(MATCH(Settings!$E$51,$EO$4:$EO$10,0),0)-WEEKDAY(MAX($A110,Settings!$F$51)),7))/7)+1)),IF(AND(IF(Settings!$E$51="",$B110,DATE(YEAR($A110),MONTH($A110),MIN(Settings!$E$51,DAY($B110))))&gt;=MAX($A110,Settings!$F$51),IF(Settings!$E$51="",$B110,DATE(YEAR($A110),MONTH($A110),MIN(Settings!$E$51,DAY($B110))))&lt;=MIN($C110,IF(Settings!$G$51="",$C110,Settings!$G$51))),1,0)))</f>
        <v/>
      </c>
      <c r="BL110">
        <f>IF(OR(Settings!$C$52="",Settings!$D$52=""),0,Settings!$C$52*IF(Settings!$D$52="Weekly",IF(IFERROR(MATCH(Settings!$E$52,$EO$4:$EO$10,0),0)=0,0,IF(MIN($C110,IF(Settings!$G$52="",$C110,Settings!$G$52))&lt;MAX($A110,Settings!$F$52),0,INT((MIN($C110,IF(Settings!$G$52="",$C110,Settings!$G$52))-MAX($A110,Settings!$F$52)-MOD(IFERROR(MATCH(Settings!$E$52,$EO$4:$EO$10,0),0)-WEEKDAY(MAX($A110,Settings!$F$52)),7))/7)+1)),IF(AND(IF(Settings!$E$52="",$B110,DATE(YEAR($A110),MONTH($A110),MIN(Settings!$E$52,DAY($B110))))&gt;=MAX($A110,Settings!$F$52),IF(Settings!$E$52="",$B110,DATE(YEAR($A110),MONTH($A110),MIN(Settings!$E$52,DAY($B110))))&lt;=MIN($C110,IF(Settings!$G$52="",$C110,Settings!$G$52))),1,0)))</f>
        <v/>
      </c>
      <c r="BM110">
        <f>IF(OR(Settings!$C$53="",Settings!$D$53=""),0,Settings!$C$53*IF(Settings!$D$53="Weekly",IF(IFERROR(MATCH(Settings!$E$53,$EO$4:$EO$10,0),0)=0,0,IF(MIN($C110,IF(Settings!$G$53="",$C110,Settings!$G$53))&lt;MAX($A110,Settings!$F$53),0,INT((MIN($C110,IF(Settings!$G$53="",$C110,Settings!$G$53))-MAX($A110,Settings!$F$53)-MOD(IFERROR(MATCH(Settings!$E$53,$EO$4:$EO$10,0),0)-WEEKDAY(MAX($A110,Settings!$F$53)),7))/7)+1)),IF(AND(IF(Settings!$E$53="",$B110,DATE(YEAR($A110),MONTH($A110),MIN(Settings!$E$53,DAY($B110))))&gt;=MAX($A110,Settings!$F$53),IF(Settings!$E$53="",$B110,DATE(YEAR($A110),MONTH($A110),MIN(Settings!$E$53,DAY($B110))))&lt;=MIN($C110,IF(Settings!$G$53="",$C110,Settings!$G$53))),1,0)))</f>
        <v/>
      </c>
      <c r="BN110">
        <f>IF(OR(Settings!$C$54="",Settings!$D$54=""),0,Settings!$C$54*IF(Settings!$D$54="Weekly",IF(IFERROR(MATCH(Settings!$E$54,$EO$4:$EO$10,0),0)=0,0,IF(MIN($C110,IF(Settings!$G$54="",$C110,Settings!$G$54))&lt;MAX($A110,Settings!$F$54),0,INT((MIN($C110,IF(Settings!$G$54="",$C110,Settings!$G$54))-MAX($A110,Settings!$F$54)-MOD(IFERROR(MATCH(Settings!$E$54,$EO$4:$EO$10,0),0)-WEEKDAY(MAX($A110,Settings!$F$54)),7))/7)+1)),IF(AND(IF(Settings!$E$54="",$B110,DATE(YEAR($A110),MONTH($A110),MIN(Settings!$E$54,DAY($B110))))&gt;=MAX($A110,Settings!$F$54),IF(Settings!$E$54="",$B110,DATE(YEAR($A110),MONTH($A110),MIN(Settings!$E$54,DAY($B110))))&lt;=MIN($C110,IF(Settings!$G$54="",$C110,Settings!$G$54))),1,0)))</f>
        <v/>
      </c>
      <c r="BO110">
        <f>IF(OR(Settings!$C$55="",Settings!$D$55=""),0,Settings!$C$55*IF(Settings!$D$55="Weekly",IF(IFERROR(MATCH(Settings!$E$55,$EO$4:$EO$10,0),0)=0,0,IF(MIN($C110,IF(Settings!$G$55="",$C110,Settings!$G$55))&lt;MAX($A110,Settings!$F$55),0,INT((MIN($C110,IF(Settings!$G$55="",$C110,Settings!$G$55))-MAX($A110,Settings!$F$55)-MOD(IFERROR(MATCH(Settings!$E$55,$EO$4:$EO$10,0),0)-WEEKDAY(MAX($A110,Settings!$F$55)),7))/7)+1)),IF(AND(IF(Settings!$E$55="",$B110,DATE(YEAR($A110),MONTH($A110),MIN(Settings!$E$55,DAY($B110))))&gt;=MAX($A110,Settings!$F$55),IF(Settings!$E$55="",$B110,DATE(YEAR($A110),MONTH($A110),MIN(Settings!$E$55,DAY($B110))))&lt;=MIN($C110,IF(Settings!$G$55="",$C110,Settings!$G$55))),1,0)))</f>
        <v/>
      </c>
      <c r="BP110">
        <f>IF(OR(Settings!$C$56="",Settings!$D$56=""),0,Settings!$C$56*IF(Settings!$D$56="Weekly",IF(IFERROR(MATCH(Settings!$E$56,$EO$4:$EO$10,0),0)=0,0,IF(MIN($C110,IF(Settings!$G$56="",$C110,Settings!$G$56))&lt;MAX($A110,Settings!$F$56),0,INT((MIN($C110,IF(Settings!$G$56="",$C110,Settings!$G$56))-MAX($A110,Settings!$F$56)-MOD(IFERROR(MATCH(Settings!$E$56,$EO$4:$EO$10,0),0)-WEEKDAY(MAX($A110,Settings!$F$56)),7))/7)+1)),IF(AND(IF(Settings!$E$56="",$B110,DATE(YEAR($A110),MONTH($A110),MIN(Settings!$E$56,DAY($B110))))&gt;=MAX($A110,Settings!$F$56),IF(Settings!$E$56="",$B110,DATE(YEAR($A110),MONTH($A110),MIN(Settings!$E$56,DAY($B110))))&lt;=MIN($C110,IF(Settings!$G$56="",$C110,Settings!$G$56))),1,0)))</f>
        <v/>
      </c>
      <c r="BQ110">
        <f>IF(OR(Settings!$B$14="",$D110=1,$E110="pre",$A110&lt;IF(Settings!$B$15="",0,Settings!$B$15)),0,Settings!$B$14)</f>
        <v/>
      </c>
      <c r="BR110">
        <f>IF(AND('Month-End'!$DC$7&lt;&gt;"",NOT(_xlfn.ISFORMULA('Month-End'!$DC$7))),1,0)</f>
        <v/>
      </c>
      <c r="BS110">
        <f>IF(AND('Month-End'!$DC$8&lt;&gt;"",NOT(_xlfn.ISFORMULA('Month-End'!$DC$8))),1,0)</f>
        <v/>
      </c>
      <c r="BT110">
        <f>IF(AND('Month-End'!$DC$9&lt;&gt;"",NOT(_xlfn.ISFORMULA('Month-End'!$DC$9))),1,0)</f>
        <v/>
      </c>
      <c r="BU110">
        <f>IF(AND('Month-End'!$DC$10&lt;&gt;"",NOT(_xlfn.ISFORMULA('Month-End'!$DC$10))),1,0)</f>
        <v/>
      </c>
      <c r="BV110">
        <f>IF(AND('Month-End'!$DC$11&lt;&gt;"",NOT(_xlfn.ISFORMULA('Month-End'!$DC$11))),1,0)</f>
        <v/>
      </c>
      <c r="BW110">
        <f>IF(AND('Month-End'!$DC$12&lt;&gt;"",NOT(_xlfn.ISFORMULA('Month-End'!$DC$12))),1,0)</f>
        <v/>
      </c>
      <c r="BX110">
        <f>IF(AND('Month-End'!$DC$13&lt;&gt;"",NOT(_xlfn.ISFORMULA('Month-End'!$DC$13))),1,0)</f>
        <v/>
      </c>
      <c r="BY110">
        <f>IF(AND('Month-End'!$DC$14&lt;&gt;"",NOT(_xlfn.ISFORMULA('Month-End'!$DC$14))),1,0)</f>
        <v/>
      </c>
      <c r="BZ110">
        <f>IF(AND('Month-End'!$DC$15&lt;&gt;"",NOT(_xlfn.ISFORMULA('Month-End'!$DC$15))),1,0)</f>
        <v/>
      </c>
      <c r="CA110">
        <f>IF(AND('Month-End'!$DC$16&lt;&gt;"",NOT(_xlfn.ISFORMULA('Month-End'!$DC$16))),1,0)</f>
        <v/>
      </c>
      <c r="CB110">
        <f>IF(AND('Month-End'!$DC$17&lt;&gt;"",NOT(_xlfn.ISFORMULA('Month-End'!$DC$17))),1,0)</f>
        <v/>
      </c>
      <c r="CC110">
        <f>IF(AND('Month-End'!$DC$18&lt;&gt;"",NOT(_xlfn.ISFORMULA('Month-End'!$DC$18))),1,0)</f>
        <v/>
      </c>
      <c r="CD110">
        <f>IF(AND('Month-End'!$DC$19&lt;&gt;"",NOT(_xlfn.ISFORMULA('Month-End'!$DC$19))),1,0)</f>
        <v/>
      </c>
      <c r="CE110">
        <f>IF(AND('Month-End'!$DC$20&lt;&gt;"",NOT(_xlfn.ISFORMULA('Month-End'!$DC$20))),1,0)</f>
        <v/>
      </c>
      <c r="CF110">
        <f>IF(AND('Month-End'!$DC$38&lt;&gt;"",NOT(_xlfn.ISFORMULA('Month-End'!$DC$38))),1,0)</f>
        <v/>
      </c>
      <c r="CG110">
        <f>IF(AND('Month-End'!$DC$39&lt;&gt;"",NOT(_xlfn.ISFORMULA('Month-End'!$DC$39))),1,0)</f>
        <v/>
      </c>
      <c r="CH110">
        <f>IF(AND('Month-End'!$DC$40&lt;&gt;"",NOT(_xlfn.ISFORMULA('Month-End'!$DC$40))),1,0)</f>
        <v/>
      </c>
      <c r="CI110">
        <f>IF(AND('Month-End'!$DC$41&lt;&gt;"",NOT(_xlfn.ISFORMULA('Month-End'!$DC$41))),1,0)</f>
        <v/>
      </c>
      <c r="CJ110">
        <f>IF(AND('Month-End'!$DC$42&lt;&gt;"",NOT(_xlfn.ISFORMULA('Month-End'!$DC$42))),1,0)</f>
        <v/>
      </c>
      <c r="CK110">
        <f>IF(AND('Month-End'!$DC$43&lt;&gt;"",NOT(_xlfn.ISFORMULA('Month-End'!$DC$43))),1,0)</f>
        <v/>
      </c>
      <c r="CL110">
        <f>SUM($CM110:$CZ110)</f>
        <v/>
      </c>
      <c r="CM110">
        <f>IF(AND($E110&lt;&gt;"pre",AND(Settings!$A$19&lt;&gt;"",Settings!$E$19&lt;&gt;"No"),Settings!$F$19="Yes",NOT(AND('Month-End'!$DC$7&lt;&gt;"",NOT(_xlfn.ISFORMULA('Month-End'!$DC$7))))),1,0)</f>
        <v/>
      </c>
      <c r="CN110">
        <f>IF(AND($E110&lt;&gt;"pre",AND(Settings!$A$20&lt;&gt;"",Settings!$E$20&lt;&gt;"No"),Settings!$F$20="Yes",NOT(AND('Month-End'!$DC$8&lt;&gt;"",NOT(_xlfn.ISFORMULA('Month-End'!$DC$8))))),1,0)</f>
        <v/>
      </c>
      <c r="CO110">
        <f>IF(AND($E110&lt;&gt;"pre",AND(Settings!$A$21&lt;&gt;"",Settings!$E$21&lt;&gt;"No"),Settings!$F$21="Yes",NOT(AND('Month-End'!$DC$9&lt;&gt;"",NOT(_xlfn.ISFORMULA('Month-End'!$DC$9))))),1,0)</f>
        <v/>
      </c>
      <c r="CP110">
        <f>IF(AND($E110&lt;&gt;"pre",AND(Settings!$A$22&lt;&gt;"",Settings!$E$22&lt;&gt;"No"),Settings!$F$22="Yes",NOT(AND('Month-End'!$DC$10&lt;&gt;"",NOT(_xlfn.ISFORMULA('Month-End'!$DC$10))))),1,0)</f>
        <v/>
      </c>
      <c r="CQ110">
        <f>IF(AND($E110&lt;&gt;"pre",AND(Settings!$A$23&lt;&gt;"",Settings!$E$23&lt;&gt;"No"),Settings!$F$23="Yes",NOT(AND('Month-End'!$DC$11&lt;&gt;"",NOT(_xlfn.ISFORMULA('Month-End'!$DC$11))))),1,0)</f>
        <v/>
      </c>
      <c r="CR110">
        <f>IF(AND($E110&lt;&gt;"pre",AND(Settings!$A$24&lt;&gt;"",Settings!$E$24&lt;&gt;"No"),Settings!$F$24="Yes",NOT(AND('Month-End'!$DC$12&lt;&gt;"",NOT(_xlfn.ISFORMULA('Month-End'!$DC$12))))),1,0)</f>
        <v/>
      </c>
      <c r="CS110">
        <f>IF(AND($E110&lt;&gt;"pre",AND(Settings!$A$25&lt;&gt;"",Settings!$E$25&lt;&gt;"No"),Settings!$F$25="Yes",NOT(AND('Month-End'!$DC$13&lt;&gt;"",NOT(_xlfn.ISFORMULA('Month-End'!$DC$13))))),1,0)</f>
        <v/>
      </c>
      <c r="CT110">
        <f>IF(AND($E110&lt;&gt;"pre",AND(Settings!$A$26&lt;&gt;"",Settings!$E$26&lt;&gt;"No"),Settings!$F$26="Yes",NOT(AND('Month-End'!$DC$14&lt;&gt;"",NOT(_xlfn.ISFORMULA('Month-End'!$DC$14))))),1,0)</f>
        <v/>
      </c>
      <c r="CU110">
        <f>IF(AND($E110&lt;&gt;"pre",AND(Settings!$A$27&lt;&gt;"",Settings!$E$27&lt;&gt;"No"),Settings!$F$27="Yes",NOT(AND('Month-End'!$DC$15&lt;&gt;"",NOT(_xlfn.ISFORMULA('Month-End'!$DC$15))))),1,0)</f>
        <v/>
      </c>
      <c r="CV110">
        <f>IF(AND($E110&lt;&gt;"pre",AND(Settings!$A$28&lt;&gt;"",Settings!$E$28&lt;&gt;"No"),Settings!$F$28="Yes",NOT(AND('Month-End'!$DC$16&lt;&gt;"",NOT(_xlfn.ISFORMULA('Month-End'!$DC$16))))),1,0)</f>
        <v/>
      </c>
      <c r="CW110">
        <f>IF(AND($E110&lt;&gt;"pre",AND(Settings!$A$29&lt;&gt;"",Settings!$E$29&lt;&gt;"No"),Settings!$F$29="Yes",NOT(AND('Month-End'!$DC$17&lt;&gt;"",NOT(_xlfn.ISFORMULA('Month-End'!$DC$17))))),1,0)</f>
        <v/>
      </c>
      <c r="CX110">
        <f>IF(AND($E110&lt;&gt;"pre",AND(Settings!$A$30&lt;&gt;"",Settings!$E$30&lt;&gt;"No"),Settings!$F$30="Yes",NOT(AND('Month-End'!$DC$18&lt;&gt;"",NOT(_xlfn.ISFORMULA('Month-End'!$DC$18))))),1,0)</f>
        <v/>
      </c>
      <c r="CY110">
        <f>IF(AND($E110&lt;&gt;"pre",AND(Settings!$A$31&lt;&gt;"",Settings!$E$31&lt;&gt;"No"),Settings!$F$31="Yes",NOT(AND('Month-End'!$DC$19&lt;&gt;"",NOT(_xlfn.ISFORMULA('Month-End'!$DC$19))))),1,0)</f>
        <v/>
      </c>
      <c r="CZ110">
        <f>IF(AND($E110&lt;&gt;"pre",AND(Settings!$A$32&lt;&gt;"",Settings!$E$32&lt;&gt;"No"),Settings!$F$32="Yes",NOT(AND('Month-End'!$DC$20&lt;&gt;"",NOT(_xlfn.ISFORMULA('Month-End'!$DC$20))))),1,0)</f>
        <v/>
      </c>
      <c r="DA110">
        <f>IF($DT110=1,IF(OR(Settings!$B$19="Checking",Settings!$B$19="Savings",Settings!$B$19="Cash"),N($AE110),IF(OR(Settings!$B$19="Card",Settings!$B$19="Loan"),-N($AE110),0))+IF(OR(Settings!$B$20="Checking",Settings!$B$20="Savings",Settings!$B$20="Cash"),N($AF110),IF(OR(Settings!$B$20="Card",Settings!$B$20="Loan"),-N($AF110),0))+IF(OR(Settings!$B$21="Checking",Settings!$B$21="Savings",Settings!$B$21="Cash"),N($AG110),IF(OR(Settings!$B$21="Card",Settings!$B$21="Loan"),-N($AG110),0))+IF(OR(Settings!$B$22="Checking",Settings!$B$22="Savings",Settings!$B$22="Cash"),N($AH110),IF(OR(Settings!$B$22="Card",Settings!$B$22="Loan"),-N($AH110),0))+IF(OR(Settings!$B$23="Checking",Settings!$B$23="Savings",Settings!$B$23="Cash"),N($AI110),IF(OR(Settings!$B$23="Card",Settings!$B$23="Loan"),-N($AI110),0))+IF(OR(Settings!$B$24="Checking",Settings!$B$24="Savings",Settings!$B$24="Cash"),N($AJ110),IF(OR(Settings!$B$24="Card",Settings!$B$24="Loan"),-N($AJ110),0))+IF(OR(Settings!$B$25="Checking",Settings!$B$25="Savings",Settings!$B$25="Cash"),N($AK110),IF(OR(Settings!$B$25="Card",Settings!$B$25="Loan"),-N($AK110),0))+IF(OR(Settings!$B$26="Checking",Settings!$B$26="Savings",Settings!$B$26="Cash"),N($AL110),IF(OR(Settings!$B$26="Card",Settings!$B$26="Loan"),-N($AL110),0))+IF(OR(Settings!$B$27="Checking",Settings!$B$27="Savings",Settings!$B$27="Cash"),N($AM110),IF(OR(Settings!$B$27="Card",Settings!$B$27="Loan"),-N($AM110),0))+IF(OR(Settings!$B$28="Checking",Settings!$B$28="Savings",Settings!$B$28="Cash"),N($AN110),IF(OR(Settings!$B$28="Card",Settings!$B$28="Loan"),-N($AN110),0))+IF(OR(Settings!$B$29="Checking",Settings!$B$29="Savings",Settings!$B$29="Cash"),N($AO110),IF(OR(Settings!$B$29="Card",Settings!$B$29="Loan"),-N($AO110),0))+IF(OR(Settings!$B$30="Checking",Settings!$B$30="Savings",Settings!$B$30="Cash"),N($AP110),IF(OR(Settings!$B$30="Card",Settings!$B$30="Loan"),-N($AP110),0))+IF(OR(Settings!$B$31="Checking",Settings!$B$31="Savings",Settings!$B$31="Cash"),N($AQ110),IF(OR(Settings!$B$31="Card",Settings!$B$31="Loan"),-N($AQ110),0))+IF(OR(Settings!$B$32="Checking",Settings!$B$32="Savings",Settings!$B$32="Cash"),N($AR110),IF(OR(Settings!$B$32="Card",Settings!$B$32="Loan"),-N($AR110),0)),"")</f>
        <v/>
      </c>
      <c r="DB110">
        <f>IF($E110="open",$EB$27,IF($E110="post",IF($E109="pre",$EB$27,$DA109),""))</f>
        <v/>
      </c>
      <c r="DC110">
        <f>IF($E110="open",1,IF($E110="post",IF($E109="pre",1,$DT109),0))</f>
        <v/>
      </c>
      <c r="DD110">
        <f>IF(AND($DT110=1,$DC110=1),ROUND($W110-($DA110-$DB110)-$AD110-$AB110,2),"")</f>
        <v/>
      </c>
      <c r="DE110">
        <f>IF('Month-End'!$DC$35="",$BQ110,N('Month-End'!$DC$35))</f>
        <v/>
      </c>
      <c r="DF110">
        <f>N('Month-End'!$DC$36)</f>
        <v/>
      </c>
      <c r="DG110">
        <f>IF($DD110="","",$DD110+$DE110)</f>
        <v/>
      </c>
      <c r="DH110">
        <f>IF($DG110="","",$DG110-$DF110)</f>
        <v/>
      </c>
      <c r="DI110">
        <f>IF(OR($E110="pre",$D110=1),"",N($AS110)+N($AT110)+N($AU110)+N($AV110)+N($AW110)+N($AX110))</f>
        <v/>
      </c>
      <c r="DJ110">
        <f>IF($DT110=1,$DA110+N($DI110),"")</f>
        <v/>
      </c>
      <c r="DK110">
        <f>IF($DD110="","",$W110-$DD110-$AB110)</f>
        <v/>
      </c>
      <c r="DL110">
        <f>IF(AND($E110="post",$DD110&lt;&gt;"",$B110&lt;TODAY()),1,0)</f>
        <v/>
      </c>
      <c r="DM110">
        <f>IF($DL110=1,COUNTIF($DL110:$DL$183,1),0)</f>
        <v/>
      </c>
      <c r="DN110">
        <f>IF($D110=1,"",IF($E110="pre","History only",IF($DT110=1,IF($DD110="","⚠ Previous month missing",IF($DD110&lt;0,"⚠ Check: spending &lt; 0",IF($E110="open","✓ Done (partial)","✓ Done"))),IF($B110&gt;=TODAY(),"In progress","⚠ Needs balances"))))</f>
        <v/>
      </c>
      <c r="DO110">
        <f>YEAR($A110)</f>
        <v/>
      </c>
      <c r="DP110">
        <f>DATE(YEAR($A110),INT((MONTH($A110)-1)/3)*3+1,1)</f>
        <v/>
      </c>
      <c r="DQ110">
        <f>IF(AND($DT110=1,$DD110&lt;&gt;"",$D110=0),ROW(),0)</f>
        <v/>
      </c>
      <c r="DR110">
        <f>IF(AND($E110&lt;&gt;"pre",$B110&lt;TODAY(),$DT110=0),1,0)</f>
        <v/>
      </c>
      <c r="DS110">
        <f>IF($DJ110="",NA(),$DJ110)</f>
        <v/>
      </c>
      <c r="DT110">
        <f>IF(AND($E110&lt;&gt;"pre",$CL110=0,COUNTIFS(Settings!$F$19:$F$32,"Yes",Settings!$A$19:$A$32,"&lt;&gt;",Settings!$E$19:$E$32,"&lt;&gt;No")&gt;0),1,0)</f>
        <v/>
      </c>
      <c r="DU110">
        <f>IF(AND($B110&lt;TODAY(),$S110&gt;0),1,0)</f>
        <v/>
      </c>
      <c r="DV110">
        <f>IF($DU110=1,COUNTIF($DU110:$DU$183,1),0)</f>
        <v/>
      </c>
      <c r="DW110">
        <f>IF(AND(OR(Settings!$B$19="Card",Settings!$B$19="Loan"),AND('Month-End'!$DC$7&lt;&gt;"",NOT(_xlfn.ISFORMULA('Month-End'!$DC$7)))),IF(N('Month-End'!$DC$7)&lt;0,1,0),0)+IF(AND(OR(Settings!$B$20="Card",Settings!$B$20="Loan"),AND('Month-End'!$DC$8&lt;&gt;"",NOT(_xlfn.ISFORMULA('Month-End'!$DC$8)))),IF(N('Month-End'!$DC$8)&lt;0,1,0),0)+IF(AND(OR(Settings!$B$21="Card",Settings!$B$21="Loan"),AND('Month-End'!$DC$9&lt;&gt;"",NOT(_xlfn.ISFORMULA('Month-End'!$DC$9)))),IF(N('Month-End'!$DC$9)&lt;0,1,0),0)+IF(AND(OR(Settings!$B$22="Card",Settings!$B$22="Loan"),AND('Month-End'!$DC$10&lt;&gt;"",NOT(_xlfn.ISFORMULA('Month-End'!$DC$10)))),IF(N('Month-End'!$DC$10)&lt;0,1,0),0)+IF(AND(OR(Settings!$B$23="Card",Settings!$B$23="Loan"),AND('Month-End'!$DC$11&lt;&gt;"",NOT(_xlfn.ISFORMULA('Month-End'!$DC$11)))),IF(N('Month-End'!$DC$11)&lt;0,1,0),0)+IF(AND(OR(Settings!$B$24="Card",Settings!$B$24="Loan"),AND('Month-End'!$DC$12&lt;&gt;"",NOT(_xlfn.ISFORMULA('Month-End'!$DC$12)))),IF(N('Month-End'!$DC$12)&lt;0,1,0),0)+IF(AND(OR(Settings!$B$25="Card",Settings!$B$25="Loan"),AND('Month-End'!$DC$13&lt;&gt;"",NOT(_xlfn.ISFORMULA('Month-End'!$DC$13)))),IF(N('Month-End'!$DC$13)&lt;0,1,0),0)+IF(AND(OR(Settings!$B$26="Card",Settings!$B$26="Loan"),AND('Month-End'!$DC$14&lt;&gt;"",NOT(_xlfn.ISFORMULA('Month-End'!$DC$14)))),IF(N('Month-End'!$DC$14)&lt;0,1,0),0)+IF(AND(OR(Settings!$B$27="Card",Settings!$B$27="Loan"),AND('Month-End'!$DC$15&lt;&gt;"",NOT(_xlfn.ISFORMULA('Month-End'!$DC$15)))),IF(N('Month-End'!$DC$15)&lt;0,1,0),0)+IF(AND(OR(Settings!$B$28="Card",Settings!$B$28="Loan"),AND('Month-End'!$DC$16&lt;&gt;"",NOT(_xlfn.ISFORMULA('Month-End'!$DC$16)))),IF(N('Month-End'!$DC$16)&lt;0,1,0),0)+IF(AND(OR(Settings!$B$29="Card",Settings!$B$29="Loan"),AND('Month-End'!$DC$17&lt;&gt;"",NOT(_xlfn.ISFORMULA('Month-End'!$DC$17)))),IF(N('Month-End'!$DC$17)&lt;0,1,0),0)+IF(AND(OR(Settings!$B$30="Card",Settings!$B$30="Loan"),AND('Month-End'!$DC$18&lt;&gt;"",NOT(_xlfn.ISFORMULA('Month-End'!$DC$18)))),IF(N('Month-End'!$DC$18)&lt;0,1,0),0)+IF(AND(OR(Settings!$B$31="Card",Settings!$B$31="Loan"),AND('Month-End'!$DC$19&lt;&gt;"",NOT(_xlfn.ISFORMULA('Month-End'!$DC$19)))),IF(N('Month-End'!$DC$19)&lt;0,1,0),0)+IF(AND(OR(Settings!$B$32="Card",Settings!$B$32="Loan"),AND('Month-End'!$DC$20&lt;&gt;"",NOT(_xlfn.ISFORMULA('Month-End'!$DC$20)))),IF(N('Month-End'!$DC$20)&lt;0,1,0),0)</f>
        <v/>
      </c>
      <c r="DX110">
        <f>IF(Settings!$B$36="Retirement",$AY110,0)+IF(Settings!$B$37="Retirement",$AZ110,0)+IF(Settings!$B$38="Retirement",$BA110,0)+IF(Settings!$B$39="Retirement",$BB110,0)+IF(Settings!$B$40="Retirement",$BC110,0)+IF(Settings!$B$41="Retirement",$BD110,0)</f>
        <v/>
      </c>
      <c r="EO110">
        <f>EDATE(DATE(YEAR(TODAY()),MONTH(TODAY()),1),-13)</f>
        <v/>
      </c>
      <c r="ER110">
        <f>IFERROR(IF(INDEX($DJ$6:$DJ$183,MATCH(EO110,$A$6:$A$183,0))="",NA(),INDEX($DJ$6:$DJ$183,MATCH(EO110,$A$6:$A$183,0))),NA())</f>
        <v/>
      </c>
      <c r="ES110">
        <f>TEXT(EO110,"mmm yy")</f>
        <v/>
      </c>
      <c r="ET110">
        <f>IF($E110&lt;&gt;"open",0,IF(AND('Month-End'!$DC$22&lt;&gt;"",NOT(_xlfn.ISFORMULA('Month-End'!$DC$22))),0,IF(OR(Settings!$C$45="",Settings!$D$45=""),0,Settings!$C$45*IF(Settings!$D$45="Weekly",IF(IFERROR(MATCH(Settings!$E$45,$EO$4:$EO$10,0),0)=0,0,IF(MIN(Settings!$B$5,IF(Settings!$G$45="",Settings!$B$5,Settings!$G$45))&lt;MAX($A110,Settings!$F$45),0,INT((MIN(Settings!$B$5,IF(Settings!$G$45="",Settings!$B$5,Settings!$G$45))-MAX($A110,Settings!$F$45)-MOD(IFERROR(MATCH(Settings!$E$45,$EO$4:$EO$10,0),0)-WEEKDAY(MAX($A110,Settings!$F$45)),7))/7)+1)),IF(AND(IF(Settings!$E$45="",$B110,DATE(YEAR($A110),MONTH($A110),MIN(Settings!$E$45,DAY($B110))))&gt;=MAX($A110,Settings!$F$45),IF(Settings!$E$45="",$B110,DATE(YEAR($A110),MONTH($A110),MIN(Settings!$E$45,DAY($B110))))&lt;=MIN(Settings!$B$5,IF(Settings!$G$45="",Settings!$B$5,Settings!$G$45))),1,0)))))</f>
        <v/>
      </c>
      <c r="EU110">
        <f>IF($E110&lt;&gt;"open",0,IF(AND('Month-End'!$DC$23&lt;&gt;"",NOT(_xlfn.ISFORMULA('Month-End'!$DC$23))),0,IF(OR(Settings!$C$46="",Settings!$D$46=""),0,Settings!$C$46*IF(Settings!$D$46="Weekly",IF(IFERROR(MATCH(Settings!$E$46,$EO$4:$EO$10,0),0)=0,0,IF(MIN(Settings!$B$5,IF(Settings!$G$46="",Settings!$B$5,Settings!$G$46))&lt;MAX($A110,Settings!$F$46),0,INT((MIN(Settings!$B$5,IF(Settings!$G$46="",Settings!$B$5,Settings!$G$46))-MAX($A110,Settings!$F$46)-MOD(IFERROR(MATCH(Settings!$E$46,$EO$4:$EO$10,0),0)-WEEKDAY(MAX($A110,Settings!$F$46)),7))/7)+1)),IF(AND(IF(Settings!$E$46="",$B110,DATE(YEAR($A110),MONTH($A110),MIN(Settings!$E$46,DAY($B110))))&gt;=MAX($A110,Settings!$F$46),IF(Settings!$E$46="",$B110,DATE(YEAR($A110),MONTH($A110),MIN(Settings!$E$46,DAY($B110))))&lt;=MIN(Settings!$B$5,IF(Settings!$G$46="",Settings!$B$5,Settings!$G$46))),1,0)))))</f>
        <v/>
      </c>
      <c r="EV110">
        <f>IF($E110&lt;&gt;"open",0,IF(AND('Month-End'!$DC$24&lt;&gt;"",NOT(_xlfn.ISFORMULA('Month-End'!$DC$24))),0,IF(OR(Settings!$C$47="",Settings!$D$47=""),0,Settings!$C$47*IF(Settings!$D$47="Weekly",IF(IFERROR(MATCH(Settings!$E$47,$EO$4:$EO$10,0),0)=0,0,IF(MIN(Settings!$B$5,IF(Settings!$G$47="",Settings!$B$5,Settings!$G$47))&lt;MAX($A110,Settings!$F$47),0,INT((MIN(Settings!$B$5,IF(Settings!$G$47="",Settings!$B$5,Settings!$G$47))-MAX($A110,Settings!$F$47)-MOD(IFERROR(MATCH(Settings!$E$47,$EO$4:$EO$10,0),0)-WEEKDAY(MAX($A110,Settings!$F$47)),7))/7)+1)),IF(AND(IF(Settings!$E$47="",$B110,DATE(YEAR($A110),MONTH($A110),MIN(Settings!$E$47,DAY($B110))))&gt;=MAX($A110,Settings!$F$47),IF(Settings!$E$47="",$B110,DATE(YEAR($A110),MONTH($A110),MIN(Settings!$E$47,DAY($B110))))&lt;=MIN(Settings!$B$5,IF(Settings!$G$47="",Settings!$B$5,Settings!$G$47))),1,0)))))</f>
        <v/>
      </c>
      <c r="EW110">
        <f>IF($E110&lt;&gt;"open",0,IF(AND('Month-End'!$DC$25&lt;&gt;"",NOT(_xlfn.ISFORMULA('Month-End'!$DC$25))),0,IF(OR(Settings!$C$48="",Settings!$D$48=""),0,Settings!$C$48*IF(Settings!$D$48="Weekly",IF(IFERROR(MATCH(Settings!$E$48,$EO$4:$EO$10,0),0)=0,0,IF(MIN(Settings!$B$5,IF(Settings!$G$48="",Settings!$B$5,Settings!$G$48))&lt;MAX($A110,Settings!$F$48),0,INT((MIN(Settings!$B$5,IF(Settings!$G$48="",Settings!$B$5,Settings!$G$48))-MAX($A110,Settings!$F$48)-MOD(IFERROR(MATCH(Settings!$E$48,$EO$4:$EO$10,0),0)-WEEKDAY(MAX($A110,Settings!$F$48)),7))/7)+1)),IF(AND(IF(Settings!$E$48="",$B110,DATE(YEAR($A110),MONTH($A110),MIN(Settings!$E$48,DAY($B110))))&gt;=MAX($A110,Settings!$F$48),IF(Settings!$E$48="",$B110,DATE(YEAR($A110),MONTH($A110),MIN(Settings!$E$48,DAY($B110))))&lt;=MIN(Settings!$B$5,IF(Settings!$G$48="",Settings!$B$5,Settings!$G$48))),1,0)))))</f>
        <v/>
      </c>
      <c r="EX110">
        <f>IF($E110&lt;&gt;"open",0,IF(AND('Month-End'!$DC$26&lt;&gt;"",NOT(_xlfn.ISFORMULA('Month-End'!$DC$26))),0,IF(OR(Settings!$C$49="",Settings!$D$49=""),0,Settings!$C$49*IF(Settings!$D$49="Weekly",IF(IFERROR(MATCH(Settings!$E$49,$EO$4:$EO$10,0),0)=0,0,IF(MIN(Settings!$B$5,IF(Settings!$G$49="",Settings!$B$5,Settings!$G$49))&lt;MAX($A110,Settings!$F$49),0,INT((MIN(Settings!$B$5,IF(Settings!$G$49="",Settings!$B$5,Settings!$G$49))-MAX($A110,Settings!$F$49)-MOD(IFERROR(MATCH(Settings!$E$49,$EO$4:$EO$10,0),0)-WEEKDAY(MAX($A110,Settings!$F$49)),7))/7)+1)),IF(AND(IF(Settings!$E$49="",$B110,DATE(YEAR($A110),MONTH($A110),MIN(Settings!$E$49,DAY($B110))))&gt;=MAX($A110,Settings!$F$49),IF(Settings!$E$49="",$B110,DATE(YEAR($A110),MONTH($A110),MIN(Settings!$E$49,DAY($B110))))&lt;=MIN(Settings!$B$5,IF(Settings!$G$49="",Settings!$B$5,Settings!$G$49))),1,0)))))</f>
        <v/>
      </c>
      <c r="EY110">
        <f>IF($E110&lt;&gt;"open",0,IF(AND('Month-End'!$DC$27&lt;&gt;"",NOT(_xlfn.ISFORMULA('Month-End'!$DC$27))),0,IF(OR(Settings!$C$50="",Settings!$D$50=""),0,Settings!$C$50*IF(Settings!$D$50="Weekly",IF(IFERROR(MATCH(Settings!$E$50,$EO$4:$EO$10,0),0)=0,0,IF(MIN(Settings!$B$5,IF(Settings!$G$50="",Settings!$B$5,Settings!$G$50))&lt;MAX($A110,Settings!$F$50),0,INT((MIN(Settings!$B$5,IF(Settings!$G$50="",Settings!$B$5,Settings!$G$50))-MAX($A110,Settings!$F$50)-MOD(IFERROR(MATCH(Settings!$E$50,$EO$4:$EO$10,0),0)-WEEKDAY(MAX($A110,Settings!$F$50)),7))/7)+1)),IF(AND(IF(Settings!$E$50="",$B110,DATE(YEAR($A110),MONTH($A110),MIN(Settings!$E$50,DAY($B110))))&gt;=MAX($A110,Settings!$F$50),IF(Settings!$E$50="",$B110,DATE(YEAR($A110),MONTH($A110),MIN(Settings!$E$50,DAY($B110))))&lt;=MIN(Settings!$B$5,IF(Settings!$G$50="",Settings!$B$5,Settings!$G$50))),1,0)))))</f>
        <v/>
      </c>
      <c r="EZ110">
        <f>IF($E110&lt;&gt;"open",0,IF(AND('Month-End'!$DC$28&lt;&gt;"",NOT(_xlfn.ISFORMULA('Month-End'!$DC$28))),0,IF(OR(Settings!$C$51="",Settings!$D$51=""),0,Settings!$C$51*IF(Settings!$D$51="Weekly",IF(IFERROR(MATCH(Settings!$E$51,$EO$4:$EO$10,0),0)=0,0,IF(MIN(Settings!$B$5,IF(Settings!$G$51="",Settings!$B$5,Settings!$G$51))&lt;MAX($A110,Settings!$F$51),0,INT((MIN(Settings!$B$5,IF(Settings!$G$51="",Settings!$B$5,Settings!$G$51))-MAX($A110,Settings!$F$51)-MOD(IFERROR(MATCH(Settings!$E$51,$EO$4:$EO$10,0),0)-WEEKDAY(MAX($A110,Settings!$F$51)),7))/7)+1)),IF(AND(IF(Settings!$E$51="",$B110,DATE(YEAR($A110),MONTH($A110),MIN(Settings!$E$51,DAY($B110))))&gt;=MAX($A110,Settings!$F$51),IF(Settings!$E$51="",$B110,DATE(YEAR($A110),MONTH($A110),MIN(Settings!$E$51,DAY($B110))))&lt;=MIN(Settings!$B$5,IF(Settings!$G$51="",Settings!$B$5,Settings!$G$51))),1,0)))))</f>
        <v/>
      </c>
      <c r="FA110">
        <f>IF($E110&lt;&gt;"open",0,IF(AND('Month-End'!$DC$29&lt;&gt;"",NOT(_xlfn.ISFORMULA('Month-End'!$DC$29))),0,IF(OR(Settings!$C$52="",Settings!$D$52=""),0,Settings!$C$52*IF(Settings!$D$52="Weekly",IF(IFERROR(MATCH(Settings!$E$52,$EO$4:$EO$10,0),0)=0,0,IF(MIN(Settings!$B$5,IF(Settings!$G$52="",Settings!$B$5,Settings!$G$52))&lt;MAX($A110,Settings!$F$52),0,INT((MIN(Settings!$B$5,IF(Settings!$G$52="",Settings!$B$5,Settings!$G$52))-MAX($A110,Settings!$F$52)-MOD(IFERROR(MATCH(Settings!$E$52,$EO$4:$EO$10,0),0)-WEEKDAY(MAX($A110,Settings!$F$52)),7))/7)+1)),IF(AND(IF(Settings!$E$52="",$B110,DATE(YEAR($A110),MONTH($A110),MIN(Settings!$E$52,DAY($B110))))&gt;=MAX($A110,Settings!$F$52),IF(Settings!$E$52="",$B110,DATE(YEAR($A110),MONTH($A110),MIN(Settings!$E$52,DAY($B110))))&lt;=MIN(Settings!$B$5,IF(Settings!$G$52="",Settings!$B$5,Settings!$G$52))),1,0)))))</f>
        <v/>
      </c>
      <c r="FB110">
        <f>IF($E110&lt;&gt;"open",0,IF(AND('Month-End'!$DC$30&lt;&gt;"",NOT(_xlfn.ISFORMULA('Month-End'!$DC$30))),0,IF(OR(Settings!$C$53="",Settings!$D$53=""),0,Settings!$C$53*IF(Settings!$D$53="Weekly",IF(IFERROR(MATCH(Settings!$E$53,$EO$4:$EO$10,0),0)=0,0,IF(MIN(Settings!$B$5,IF(Settings!$G$53="",Settings!$B$5,Settings!$G$53))&lt;MAX($A110,Settings!$F$53),0,INT((MIN(Settings!$B$5,IF(Settings!$G$53="",Settings!$B$5,Settings!$G$53))-MAX($A110,Settings!$F$53)-MOD(IFERROR(MATCH(Settings!$E$53,$EO$4:$EO$10,0),0)-WEEKDAY(MAX($A110,Settings!$F$53)),7))/7)+1)),IF(AND(IF(Settings!$E$53="",$B110,DATE(YEAR($A110),MONTH($A110),MIN(Settings!$E$53,DAY($B110))))&gt;=MAX($A110,Settings!$F$53),IF(Settings!$E$53="",$B110,DATE(YEAR($A110),MONTH($A110),MIN(Settings!$E$53,DAY($B110))))&lt;=MIN(Settings!$B$5,IF(Settings!$G$53="",Settings!$B$5,Settings!$G$53))),1,0)))))</f>
        <v/>
      </c>
      <c r="FC110">
        <f>IF($E110&lt;&gt;"open",0,IF(AND('Month-End'!$DC$31&lt;&gt;"",NOT(_xlfn.ISFORMULA('Month-End'!$DC$31))),0,IF(OR(Settings!$C$54="",Settings!$D$54=""),0,Settings!$C$54*IF(Settings!$D$54="Weekly",IF(IFERROR(MATCH(Settings!$E$54,$EO$4:$EO$10,0),0)=0,0,IF(MIN(Settings!$B$5,IF(Settings!$G$54="",Settings!$B$5,Settings!$G$54))&lt;MAX($A110,Settings!$F$54),0,INT((MIN(Settings!$B$5,IF(Settings!$G$54="",Settings!$B$5,Settings!$G$54))-MAX($A110,Settings!$F$54)-MOD(IFERROR(MATCH(Settings!$E$54,$EO$4:$EO$10,0),0)-WEEKDAY(MAX($A110,Settings!$F$54)),7))/7)+1)),IF(AND(IF(Settings!$E$54="",$B110,DATE(YEAR($A110),MONTH($A110),MIN(Settings!$E$54,DAY($B110))))&gt;=MAX($A110,Settings!$F$54),IF(Settings!$E$54="",$B110,DATE(YEAR($A110),MONTH($A110),MIN(Settings!$E$54,DAY($B110))))&lt;=MIN(Settings!$B$5,IF(Settings!$G$54="",Settings!$B$5,Settings!$G$54))),1,0)))))</f>
        <v/>
      </c>
      <c r="FD110">
        <f>IF($E110&lt;&gt;"open",0,IF(AND('Month-End'!$DC$32&lt;&gt;"",NOT(_xlfn.ISFORMULA('Month-End'!$DC$32))),0,IF(OR(Settings!$C$55="",Settings!$D$55=""),0,Settings!$C$55*IF(Settings!$D$55="Weekly",IF(IFERROR(MATCH(Settings!$E$55,$EO$4:$EO$10,0),0)=0,0,IF(MIN(Settings!$B$5,IF(Settings!$G$55="",Settings!$B$5,Settings!$G$55))&lt;MAX($A110,Settings!$F$55),0,INT((MIN(Settings!$B$5,IF(Settings!$G$55="",Settings!$B$5,Settings!$G$55))-MAX($A110,Settings!$F$55)-MOD(IFERROR(MATCH(Settings!$E$55,$EO$4:$EO$10,0),0)-WEEKDAY(MAX($A110,Settings!$F$55)),7))/7)+1)),IF(AND(IF(Settings!$E$55="",$B110,DATE(YEAR($A110),MONTH($A110),MIN(Settings!$E$55,DAY($B110))))&gt;=MAX($A110,Settings!$F$55),IF(Settings!$E$55="",$B110,DATE(YEAR($A110),MONTH($A110),MIN(Settings!$E$55,DAY($B110))))&lt;=MIN(Settings!$B$5,IF(Settings!$G$55="",Settings!$B$5,Settings!$G$55))),1,0)))))</f>
        <v/>
      </c>
      <c r="FE110">
        <f>IF($E110&lt;&gt;"open",0,IF(AND('Month-End'!$DC$33&lt;&gt;"",NOT(_xlfn.ISFORMULA('Month-End'!$DC$33))),0,IF(OR(Settings!$C$56="",Settings!$D$56=""),0,Settings!$C$56*IF(Settings!$D$56="Weekly",IF(IFERROR(MATCH(Settings!$E$56,$EO$4:$EO$10,0),0)=0,0,IF(MIN(Settings!$B$5,IF(Settings!$G$56="",Settings!$B$5,Settings!$G$56))&lt;MAX($A110,Settings!$F$56),0,INT((MIN(Settings!$B$5,IF(Settings!$G$56="",Settings!$B$5,Settings!$G$56))-MAX($A110,Settings!$F$56)-MOD(IFERROR(MATCH(Settings!$E$56,$EO$4:$EO$10,0),0)-WEEKDAY(MAX($A110,Settings!$F$56)),7))/7)+1)),IF(AND(IF(Settings!$E$56="",$B110,DATE(YEAR($A110),MONTH($A110),MIN(Settings!$E$56,DAY($B110))))&gt;=MAX($A110,Settings!$F$56),IF(Settings!$E$56="",$B110,DATE(YEAR($A110),MONTH($A110),MIN(Settings!$E$56,DAY($B110))))&lt;=MIN(Settings!$B$5,IF(Settings!$G$56="",Settings!$B$5,Settings!$G$56))),1,0)))))</f>
        <v/>
      </c>
      <c r="FF110">
        <f>IF(Settings!$I$45="Yes",$G110,0)+IF(Settings!$I$46="Yes",$H110,0)+IF(Settings!$I$47="Yes",$I110,0)+IF(Settings!$I$48="Yes",$J110,0)+IF(Settings!$I$49="Yes",$K110,0)+IF(Settings!$I$50="Yes",$L110,0)+IF(Settings!$I$51="Yes",$M110,0)+IF(Settings!$I$52="Yes",$N110,0)+IF(Settings!$I$53="Yes",$O110,0)+IF(Settings!$I$54="Yes",$P110,0)+IF(Settings!$I$55="Yes",$Q110,0)+IF(Settings!$I$56="Yes",$R110,0)</f>
        <v/>
      </c>
      <c r="FG110">
        <f>IF(AND(Settings!$I$45="Yes",Settings!$J$45="No"),$G110,0)+IF(AND(Settings!$I$46="Yes",Settings!$J$46="No"),$H110,0)+IF(AND(Settings!$I$47="Yes",Settings!$J$47="No"),$I110,0)+IF(AND(Settings!$I$48="Yes",Settings!$J$48="No"),$J110,0)+IF(AND(Settings!$I$49="Yes",Settings!$J$49="No"),$K110,0)+IF(AND(Settings!$I$50="Yes",Settings!$J$50="No"),$L110,0)+IF(AND(Settings!$I$51="Yes",Settings!$J$51="No"),$M110,0)+IF(AND(Settings!$I$52="Yes",Settings!$J$52="No"),$N110,0)+IF(AND(Settings!$I$53="Yes",Settings!$J$53="No"),$O110,0)+IF(AND(Settings!$I$54="Yes",Settings!$J$54="No"),$P110,0)+IF(AND(Settings!$I$55="Yes",Settings!$J$55="No"),$Q110,0)+IF(AND(Settings!$I$56="Yes",Settings!$J$56="No"),$R110,0)</f>
        <v/>
      </c>
      <c r="FH110">
        <f>SUMIFS(Giving!$B$7:$B$2006,Giving!$A$7:$A$2006,"&gt;="&amp;$A110,Giving!$A$7:$A$2006,"&lt;="&amp;$B110,Giving!$G$7:$G$2006,"Yes")+IF(OR(OR(Settings!$B$60="",Settings!$F$60="No"),Settings!$H$60&lt;&gt;"Yes"),0,Settings!$B$60*IF(AND(IF(Settings!$C$60="",$B110,DATE(YEAR($A110),MONTH($A110),MIN(Settings!$C$60,DAY($B110))))&gt;=MAX($A110,Settings!$D$60),IF(Settings!$C$60="",$B110,DATE(YEAR($A110),MONTH($A110),MIN(Settings!$C$60,DAY($B110))))&lt;=MIN($C110,IF(Settings!$E$60="",$C110,Settings!$E$60))),1,0))+IF(OR(OR(Settings!$B$61="",Settings!$F$61="No"),Settings!$H$61&lt;&gt;"Yes"),0,Settings!$B$61*IF(AND(IF(Settings!$C$61="",$B110,DATE(YEAR($A110),MONTH($A110),MIN(Settings!$C$61,DAY($B110))))&gt;=MAX($A110,Settings!$D$61),IF(Settings!$C$61="",$B110,DATE(YEAR($A110),MONTH($A110),MIN(Settings!$C$61,DAY($B110))))&lt;=MIN($C110,IF(Settings!$E$61="",$C110,Settings!$E$61))),1,0))+IF(OR(OR(Settings!$B$62="",Settings!$F$62="No"),Settings!$H$62&lt;&gt;"Yes"),0,Settings!$B$62*IF(AND(IF(Settings!$C$62="",$B110,DATE(YEAR($A110),MONTH($A110),MIN(Settings!$C$62,DAY($B110))))&gt;=MAX($A110,Settings!$D$62),IF(Settings!$C$62="",$B110,DATE(YEAR($A110),MONTH($A110),MIN(Settings!$C$62,DAY($B110))))&lt;=MIN($C110,IF(Settings!$E$62="",$C110,Settings!$E$62))),1,0))+IF(OR(OR(Settings!$B$63="",Settings!$F$63="No"),Settings!$H$63&lt;&gt;"Yes"),0,Settings!$B$63*IF(AND(IF(Settings!$C$63="",$B110,DATE(YEAR($A110),MONTH($A110),MIN(Settings!$C$63,DAY($B110))))&gt;=MAX($A110,Settings!$D$63),IF(Settings!$C$63="",$B110,DATE(YEAR($A110),MONTH($A110),MIN(Settings!$C$63,DAY($B110))))&lt;=MIN($C110,IF(Settings!$E$63="",$C110,Settings!$E$63))),1,0))+IF(OR(OR(Settings!$B$64="",Settings!$F$64="No"),Settings!$H$64&lt;&gt;"Yes"),0,Settings!$B$64*IF(AND(IF(Settings!$C$64="",$B110,DATE(YEAR($A110),MONTH($A110),MIN(Settings!$C$64,DAY($B110))))&gt;=MAX($A110,Settings!$D$64),IF(Settings!$C$64="",$B110,DATE(YEAR($A110),MONTH($A110),MIN(Settings!$C$64,DAY($B110))))&lt;=MIN($C110,IF(Settings!$E$64="",$C110,Settings!$E$64))),1,0))+IF(OR(OR(Settings!$B$65="",Settings!$F$65="No"),Settings!$H$65&lt;&gt;"Yes"),0,Settings!$B$65*IF(AND(IF(Settings!$C$65="",$B110,DATE(YEAR($A110),MONTH($A110),MIN(Settings!$C$65,DAY($B110))))&gt;=MAX($A110,Settings!$D$65),IF(Settings!$C$65="",$B110,DATE(YEAR($A110),MONTH($A110),MIN(Settings!$C$65,DAY($B110))))&lt;=MIN($C110,IF(Settings!$E$65="",$C110,Settings!$E$65))),1,0))</f>
        <v/>
      </c>
      <c r="FI110">
        <f>IF($DT110=1,IF(OR(Settings!$B$19="Card",Settings!$B$19="Loan"),N($AE110),0)+IF(OR(Settings!$B$20="Card",Settings!$B$20="Loan"),N($AF110),0)+IF(OR(Settings!$B$21="Card",Settings!$B$21="Loan"),N($AG110),0)+IF(OR(Settings!$B$22="Card",Settings!$B$22="Loan"),N($AH110),0)+IF(OR(Settings!$B$23="Card",Settings!$B$23="Loan"),N($AI110),0)+IF(OR(Settings!$B$24="Card",Settings!$B$24="Loan"),N($AJ110),0)+IF(OR(Settings!$B$25="Card",Settings!$B$25="Loan"),N($AK110),0)+IF(OR(Settings!$B$26="Card",Settings!$B$26="Loan"),N($AL110),0)+IF(OR(Settings!$B$27="Card",Settings!$B$27="Loan"),N($AM110),0)+IF(OR(Settings!$B$28="Card",Settings!$B$28="Loan"),N($AN110),0)+IF(OR(Settings!$B$29="Card",Settings!$B$29="Loan"),N($AO110),0)+IF(OR(Settings!$B$30="Card",Settings!$B$30="Loan"),N($AP110),0)+IF(OR(Settings!$B$31="Card",Settings!$B$31="Loan"),N($AQ110),0)+IF(OR(Settings!$B$32="Card",Settings!$B$32="Loan"),N($AR110),0),"")</f>
        <v/>
      </c>
      <c r="FJ110">
        <f>IF($E110="open",$EB$65,IF($E110="post",IF($E109="pre",$EB$65,$FI109),""))</f>
        <v/>
      </c>
      <c r="FK110">
        <f>IF(AND($DT110=1,$DC110=1),IF(ROUND($FI110-$FJ110,2)&gt;0,1,0),0)</f>
        <v/>
      </c>
      <c r="FL110">
        <f>IF($FK110=1,$FL109+1,0)</f>
        <v/>
      </c>
    </row>
    <row r="111">
      <c r="A111">
        <f>'Month-End'!$DD$4</f>
        <v/>
      </c>
      <c r="B111">
        <f>EOMONTH($A111,0)</f>
        <v/>
      </c>
      <c r="C111">
        <f>MIN($B111,TODAY())</f>
        <v/>
      </c>
      <c r="D111">
        <f>IF($A111&gt;TODAY(),1,0)</f>
        <v/>
      </c>
      <c r="E111">
        <f>IF($B111&lt;=Settings!$B$5,"pre",IF($A111&lt;=Settings!$B$5,"open","post"))</f>
        <v/>
      </c>
      <c r="G111">
        <f>IF('Month-End'!$DD$22="",$BE111,N('Month-End'!$DD$22))</f>
        <v/>
      </c>
      <c r="H111">
        <f>IF('Month-End'!$DD$23="",$BF111,N('Month-End'!$DD$23))</f>
        <v/>
      </c>
      <c r="I111">
        <f>IF('Month-End'!$DD$24="",$BG111,N('Month-End'!$DD$24))</f>
        <v/>
      </c>
      <c r="J111">
        <f>IF('Month-End'!$DD$25="",$BH111,N('Month-End'!$DD$25))</f>
        <v/>
      </c>
      <c r="K111">
        <f>IF('Month-End'!$DD$26="",$BI111,N('Month-End'!$DD$26))</f>
        <v/>
      </c>
      <c r="L111">
        <f>IF('Month-End'!$DD$27="",$BJ111,N('Month-End'!$DD$27))</f>
        <v/>
      </c>
      <c r="M111">
        <f>IF('Month-End'!$DD$28="",$BK111,N('Month-End'!$DD$28))</f>
        <v/>
      </c>
      <c r="N111">
        <f>IF('Month-End'!$DD$29="",$BL111,N('Month-End'!$DD$29))</f>
        <v/>
      </c>
      <c r="O111">
        <f>IF('Month-End'!$DD$30="",$BM111,N('Month-End'!$DD$30))</f>
        <v/>
      </c>
      <c r="P111">
        <f>IF('Month-End'!$DD$31="",$BN111,N('Month-End'!$DD$31))</f>
        <v/>
      </c>
      <c r="Q111">
        <f>IF('Month-End'!$DD$32="",$BO111,N('Month-End'!$DD$32))</f>
        <v/>
      </c>
      <c r="R111">
        <f>IF('Month-End'!$DD$33="",$BP111,N('Month-End'!$DD$33))</f>
        <v/>
      </c>
      <c r="S111">
        <f>$G111+$H111+$I111+$J111+$K111+$L111+$M111+$N111+$O111+$P111+$Q111+$R111</f>
        <v/>
      </c>
      <c r="T111">
        <f>IF($B111&lt;Settings!$B$6,0,IF(Settings!$B$45="Yes",$G111,0)+IF(Settings!$B$46="Yes",$H111,0)+IF(Settings!$B$47="Yes",$I111,0)+IF(Settings!$B$48="Yes",$J111,0)+IF(Settings!$B$49="Yes",$K111,0)+IF(Settings!$B$50="Yes",$L111,0)+IF(Settings!$B$51="Yes",$M111,0)+IF(Settings!$B$52="Yes",$N111,0)+IF(Settings!$B$53="Yes",$O111,0)+IF(Settings!$B$54="Yes",$P111,0)+IF(Settings!$B$55="Yes",$Q111,0)+IF(Settings!$B$56="Yes",$R111,0))</f>
        <v/>
      </c>
      <c r="U111">
        <f>IF(Settings!$B$45="Not Sure",$G111,0)+IF(Settings!$B$46="Not Sure",$H111,0)+IF(Settings!$B$47="Not Sure",$I111,0)+IF(Settings!$B$48="Not Sure",$J111,0)+IF(Settings!$B$49="Not Sure",$K111,0)+IF(Settings!$B$50="Not Sure",$L111,0)+IF(Settings!$B$51="Not Sure",$M111,0)+IF(Settings!$B$52="Not Sure",$N111,0)+IF(Settings!$B$53="Not Sure",$O111,0)+IF(Settings!$B$54="Not Sure",$P111,0)+IF(Settings!$B$55="Not Sure",$Q111,0)+IF(Settings!$B$56="Not Sure",$R111,0)</f>
        <v/>
      </c>
      <c r="V111">
        <f>IF($E111="open",SUM($ET111:$FE111)+N(Settings!$B$13),0)</f>
        <v/>
      </c>
      <c r="W111">
        <f>IF($E111="post",$S111,IF($E111="open",$S111-$V111,0))</f>
        <v/>
      </c>
      <c r="X111">
        <f>SUMIFS(Giving!$B$7:$B$2006,Giving!$A$7:$A$2006,"&gt;="&amp;$A111,Giving!$A$7:$A$2006,"&lt;="&amp;$B111,Giving!$E$7:$E$2006,"&lt;&gt;No")</f>
        <v/>
      </c>
      <c r="Y111">
        <f>SUMIFS(Giving!$B$7:$B$2006,Giving!$A$7:$A$2006,"&gt;="&amp;$A111,Giving!$A$7:$A$2006,"&lt;="&amp;$B111,Giving!$E$7:$E$2006,"No")</f>
        <v/>
      </c>
      <c r="Z111">
        <f>IF(OR(Settings!$B$60="",Settings!$F$60="No"),0,Settings!$B$60*IF(AND(IF(Settings!$C$60="",$B111,DATE(YEAR($A111),MONTH($A111),MIN(Settings!$C$60,DAY($B111))))&gt;=MAX($A111,Settings!$D$60),IF(Settings!$C$60="",$B111,DATE(YEAR($A111),MONTH($A111),MIN(Settings!$C$60,DAY($B111))))&lt;=MIN($C111,IF(Settings!$E$60="",$C111,Settings!$E$60))),1,0))+IF(OR(Settings!$B$61="",Settings!$F$61="No"),0,Settings!$B$61*IF(AND(IF(Settings!$C$61="",$B111,DATE(YEAR($A111),MONTH($A111),MIN(Settings!$C$61,DAY($B111))))&gt;=MAX($A111,Settings!$D$61),IF(Settings!$C$61="",$B111,DATE(YEAR($A111),MONTH($A111),MIN(Settings!$C$61,DAY($B111))))&lt;=MIN($C111,IF(Settings!$E$61="",$C111,Settings!$E$61))),1,0))+IF(OR(Settings!$B$62="",Settings!$F$62="No"),0,Settings!$B$62*IF(AND(IF(Settings!$C$62="",$B111,DATE(YEAR($A111),MONTH($A111),MIN(Settings!$C$62,DAY($B111))))&gt;=MAX($A111,Settings!$D$62),IF(Settings!$C$62="",$B111,DATE(YEAR($A111),MONTH($A111),MIN(Settings!$C$62,DAY($B111))))&lt;=MIN($C111,IF(Settings!$E$62="",$C111,Settings!$E$62))),1,0))+IF(OR(Settings!$B$63="",Settings!$F$63="No"),0,Settings!$B$63*IF(AND(IF(Settings!$C$63="",$B111,DATE(YEAR($A111),MONTH($A111),MIN(Settings!$C$63,DAY($B111))))&gt;=MAX($A111,Settings!$D$63),IF(Settings!$C$63="",$B111,DATE(YEAR($A111),MONTH($A111),MIN(Settings!$C$63,DAY($B111))))&lt;=MIN($C111,IF(Settings!$E$63="",$C111,Settings!$E$63))),1,0))+IF(OR(Settings!$B$64="",Settings!$F$64="No"),0,Settings!$B$64*IF(AND(IF(Settings!$C$64="",$B111,DATE(YEAR($A111),MONTH($A111),MIN(Settings!$C$64,DAY($B111))))&gt;=MAX($A111,Settings!$D$64),IF(Settings!$C$64="",$B111,DATE(YEAR($A111),MONTH($A111),MIN(Settings!$C$64,DAY($B111))))&lt;=MIN($C111,IF(Settings!$E$64="",$C111,Settings!$E$64))),1,0))+IF(OR(Settings!$B$65="",Settings!$F$65="No"),0,Settings!$B$65*IF(AND(IF(Settings!$C$65="",$B111,DATE(YEAR($A111),MONTH($A111),MIN(Settings!$C$65,DAY($B111))))&gt;=MAX($A111,Settings!$D$65),IF(Settings!$C$65="",$B111,DATE(YEAR($A111),MONTH($A111),MIN(Settings!$C$65,DAY($B111))))&lt;=MIN($C111,IF(Settings!$E$65="",$C111,Settings!$E$65))),1,0))</f>
        <v/>
      </c>
      <c r="AA111">
        <f>$X111+$Z111</f>
        <v/>
      </c>
      <c r="AB111">
        <f>IF($E111="post",$AA111,IF($E111="open",SUMIFS(Giving!$B$7:$B$2006,Giving!$A$7:$A$2006,"&gt;"&amp;Settings!$B$5,Giving!$A$7:$A$2006,"&lt;="&amp;$B111,Giving!$E$7:$E$2006,"&lt;&gt;No")+IF(OR(Settings!$B$60="",Settings!$F$60="No"),0,Settings!$B$60*IF(AND(IF(Settings!$C$60="",$B111,DATE(YEAR($A111),MONTH($A111),MIN(Settings!$C$60,DAY($B111))))&gt;=MAX($A111,Settings!$D$60,Settings!$B$5+1),IF(Settings!$C$60="",$B111,DATE(YEAR($A111),MONTH($A111),MIN(Settings!$C$60,DAY($B111))))&lt;=MIN($C111,IF(Settings!$E$60="",$C111,Settings!$E$60))),1,0))+IF(OR(Settings!$B$61="",Settings!$F$61="No"),0,Settings!$B$61*IF(AND(IF(Settings!$C$61="",$B111,DATE(YEAR($A111),MONTH($A111),MIN(Settings!$C$61,DAY($B111))))&gt;=MAX($A111,Settings!$D$61,Settings!$B$5+1),IF(Settings!$C$61="",$B111,DATE(YEAR($A111),MONTH($A111),MIN(Settings!$C$61,DAY($B111))))&lt;=MIN($C111,IF(Settings!$E$61="",$C111,Settings!$E$61))),1,0))+IF(OR(Settings!$B$62="",Settings!$F$62="No"),0,Settings!$B$62*IF(AND(IF(Settings!$C$62="",$B111,DATE(YEAR($A111),MONTH($A111),MIN(Settings!$C$62,DAY($B111))))&gt;=MAX($A111,Settings!$D$62,Settings!$B$5+1),IF(Settings!$C$62="",$B111,DATE(YEAR($A111),MONTH($A111),MIN(Settings!$C$62,DAY($B111))))&lt;=MIN($C111,IF(Settings!$E$62="",$C111,Settings!$E$62))),1,0))+IF(OR(Settings!$B$63="",Settings!$F$63="No"),0,Settings!$B$63*IF(AND(IF(Settings!$C$63="",$B111,DATE(YEAR($A111),MONTH($A111),MIN(Settings!$C$63,DAY($B111))))&gt;=MAX($A111,Settings!$D$63,Settings!$B$5+1),IF(Settings!$C$63="",$B111,DATE(YEAR($A111),MONTH($A111),MIN(Settings!$C$63,DAY($B111))))&lt;=MIN($C111,IF(Settings!$E$63="",$C111,Settings!$E$63))),1,0))+IF(OR(Settings!$B$64="",Settings!$F$64="No"),0,Settings!$B$64*IF(AND(IF(Settings!$C$64="",$B111,DATE(YEAR($A111),MONTH($A111),MIN(Settings!$C$64,DAY($B111))))&gt;=MAX($A111,Settings!$D$64,Settings!$B$5+1),IF(Settings!$C$64="",$B111,DATE(YEAR($A111),MONTH($A111),MIN(Settings!$C$64,DAY($B111))))&lt;=MIN($C111,IF(Settings!$E$64="",$C111,Settings!$E$64))),1,0))+IF(OR(Settings!$B$65="",Settings!$F$65="No"),0,Settings!$B$65*IF(AND(IF(Settings!$C$65="",$B111,DATE(YEAR($A111),MONTH($A111),MIN(Settings!$C$65,DAY($B111))))&gt;=MAX($A111,Settings!$D$65,Settings!$B$5+1),IF(Settings!$C$65="",$B111,DATE(YEAR($A111),MONTH($A111),MIN(Settings!$C$65,DAY($B111))))&lt;=MIN($C111,IF(Settings!$E$65="",$C111,Settings!$E$65))),1,0)),0))</f>
        <v/>
      </c>
      <c r="AC111">
        <f>$AY111+$AZ111+$BA111+$BB111+$BC111+$BD111</f>
        <v/>
      </c>
      <c r="AD111">
        <f>$AC111</f>
        <v/>
      </c>
      <c r="AE111">
        <f>IF(OR(Settings!$A$19="",$E111="pre"),"",IF(AND('Month-End'!$DD$7&lt;&gt;"",NOT(_xlfn.ISFORMULA('Month-End'!$DD$7))),N('Month-End'!$DD$7),IF(OR($E111="open",$E110="pre"),N(Settings!$C$19),N($AE110))))</f>
        <v/>
      </c>
      <c r="AF111">
        <f>IF(OR(Settings!$A$20="",$E111="pre"),"",IF(AND('Month-End'!$DD$8&lt;&gt;"",NOT(_xlfn.ISFORMULA('Month-End'!$DD$8))),N('Month-End'!$DD$8),IF(OR($E111="open",$E110="pre"),N(Settings!$C$20),N($AF110))))</f>
        <v/>
      </c>
      <c r="AG111">
        <f>IF(OR(Settings!$A$21="",$E111="pre"),"",IF(AND('Month-End'!$DD$9&lt;&gt;"",NOT(_xlfn.ISFORMULA('Month-End'!$DD$9))),N('Month-End'!$DD$9),IF(OR($E111="open",$E110="pre"),N(Settings!$C$21),N($AG110))))</f>
        <v/>
      </c>
      <c r="AH111">
        <f>IF(OR(Settings!$A$22="",$E111="pre"),"",IF(AND('Month-End'!$DD$10&lt;&gt;"",NOT(_xlfn.ISFORMULA('Month-End'!$DD$10))),N('Month-End'!$DD$10),IF(OR($E111="open",$E110="pre"),N(Settings!$C$22),N($AH110))))</f>
        <v/>
      </c>
      <c r="AI111">
        <f>IF(OR(Settings!$A$23="",$E111="pre"),"",IF(AND('Month-End'!$DD$11&lt;&gt;"",NOT(_xlfn.ISFORMULA('Month-End'!$DD$11))),N('Month-End'!$DD$11),IF(OR($E111="open",$E110="pre"),N(Settings!$C$23),N($AI110))))</f>
        <v/>
      </c>
      <c r="AJ111">
        <f>IF(OR(Settings!$A$24="",$E111="pre"),"",IF(AND('Month-End'!$DD$12&lt;&gt;"",NOT(_xlfn.ISFORMULA('Month-End'!$DD$12))),N('Month-End'!$DD$12),IF(OR($E111="open",$E110="pre"),N(Settings!$C$24),N($AJ110))))</f>
        <v/>
      </c>
      <c r="AK111">
        <f>IF(OR(Settings!$A$25="",$E111="pre"),"",IF(AND('Month-End'!$DD$13&lt;&gt;"",NOT(_xlfn.ISFORMULA('Month-End'!$DD$13))),N('Month-End'!$DD$13),IF(OR($E111="open",$E110="pre"),N(Settings!$C$25),N($AK110))))</f>
        <v/>
      </c>
      <c r="AL111">
        <f>IF(OR(Settings!$A$26="",$E111="pre"),"",IF(AND('Month-End'!$DD$14&lt;&gt;"",NOT(_xlfn.ISFORMULA('Month-End'!$DD$14))),N('Month-End'!$DD$14),IF(OR($E111="open",$E110="pre"),N(Settings!$C$26),N($AL110))))</f>
        <v/>
      </c>
      <c r="AM111">
        <f>IF(OR(Settings!$A$27="",$E111="pre"),"",IF(AND('Month-End'!$DD$15&lt;&gt;"",NOT(_xlfn.ISFORMULA('Month-End'!$DD$15))),N('Month-End'!$DD$15),IF(OR($E111="open",$E110="pre"),N(Settings!$C$27),N($AM110))))</f>
        <v/>
      </c>
      <c r="AN111">
        <f>IF(OR(Settings!$A$28="",$E111="pre"),"",IF(AND('Month-End'!$DD$16&lt;&gt;"",NOT(_xlfn.ISFORMULA('Month-End'!$DD$16))),N('Month-End'!$DD$16),IF(OR($E111="open",$E110="pre"),N(Settings!$C$28),N($AN110))))</f>
        <v/>
      </c>
      <c r="AO111">
        <f>IF(OR(Settings!$A$29="",$E111="pre"),"",IF(AND('Month-End'!$DD$17&lt;&gt;"",NOT(_xlfn.ISFORMULA('Month-End'!$DD$17))),N('Month-End'!$DD$17),IF(OR($E111="open",$E110="pre"),N(Settings!$C$29),N($AO110))))</f>
        <v/>
      </c>
      <c r="AP111">
        <f>IF(OR(Settings!$A$30="",$E111="pre"),"",IF(AND('Month-End'!$DD$18&lt;&gt;"",NOT(_xlfn.ISFORMULA('Month-End'!$DD$18))),N('Month-End'!$DD$18),IF(OR($E111="open",$E110="pre"),N(Settings!$C$30),N($AP110))))</f>
        <v/>
      </c>
      <c r="AQ111">
        <f>IF(OR(Settings!$A$31="",$E111="pre"),"",IF(AND('Month-End'!$DD$19&lt;&gt;"",NOT(_xlfn.ISFORMULA('Month-End'!$DD$19))),N('Month-End'!$DD$19),IF(OR($E111="open",$E110="pre"),N(Settings!$C$31),N($AQ110))))</f>
        <v/>
      </c>
      <c r="AR111">
        <f>IF(OR(Settings!$A$32="",$E111="pre"),"",IF(AND('Month-End'!$DD$20&lt;&gt;"",NOT(_xlfn.ISFORMULA('Month-End'!$DD$20))),N('Month-End'!$DD$20),IF(OR($E111="open",$E110="pre"),N(Settings!$C$32),N($AR110))))</f>
        <v/>
      </c>
      <c r="AS111">
        <f>IF(OR(Settings!$A$36="",$E111="pre"),"",IF(AND('Month-End'!$DD$38&lt;&gt;"",NOT(_xlfn.ISFORMULA('Month-End'!$DD$38))),N('Month-End'!$DD$38),IF(OR($E111="open",$E110="pre"),N(Settings!$C$36),N($AS110))+$AY111))</f>
        <v/>
      </c>
      <c r="AT111">
        <f>IF(OR(Settings!$A$37="",$E111="pre"),"",IF(AND('Month-End'!$DD$39&lt;&gt;"",NOT(_xlfn.ISFORMULA('Month-End'!$DD$39))),N('Month-End'!$DD$39),IF(OR($E111="open",$E110="pre"),N(Settings!$C$37),N($AT110))+$AZ111))</f>
        <v/>
      </c>
      <c r="AU111">
        <f>IF(OR(Settings!$A$38="",$E111="pre"),"",IF(AND('Month-End'!$DD$40&lt;&gt;"",NOT(_xlfn.ISFORMULA('Month-End'!$DD$40))),N('Month-End'!$DD$40),IF(OR($E111="open",$E110="pre"),N(Settings!$C$38),N($AU110))+$BA111))</f>
        <v/>
      </c>
      <c r="AV111">
        <f>IF(OR(Settings!$A$39="",$E111="pre"),"",IF(AND('Month-End'!$DD$41&lt;&gt;"",NOT(_xlfn.ISFORMULA('Month-End'!$DD$41))),N('Month-End'!$DD$41),IF(OR($E111="open",$E110="pre"),N(Settings!$C$39),N($AV110))+$BB111))</f>
        <v/>
      </c>
      <c r="AW111">
        <f>IF(OR(Settings!$A$40="",$E111="pre"),"",IF(AND('Month-End'!$DD$42&lt;&gt;"",NOT(_xlfn.ISFORMULA('Month-End'!$DD$42))),N('Month-End'!$DD$42),IF(OR($E111="open",$E110="pre"),N(Settings!$C$40),N($AW110))+$BC111))</f>
        <v/>
      </c>
      <c r="AX111">
        <f>IF(OR(Settings!$A$41="",$E111="pre"),"",IF(AND('Month-End'!$DD$43&lt;&gt;"",NOT(_xlfn.ISFORMULA('Month-End'!$DD$43))),N('Month-End'!$DD$43),IF(OR($E111="open",$E110="pre"),N(Settings!$C$41),N($AX110))+$BD111))</f>
        <v/>
      </c>
      <c r="AY111">
        <f>IF($E111="pre",0,N('Month-End'!$DD$45))</f>
        <v/>
      </c>
      <c r="AZ111">
        <f>IF($E111="pre",0,N('Month-End'!$DD$46))</f>
        <v/>
      </c>
      <c r="BA111">
        <f>IF($E111="pre",0,N('Month-End'!$DD$47))</f>
        <v/>
      </c>
      <c r="BB111">
        <f>IF($E111="pre",0,N('Month-End'!$DD$48))</f>
        <v/>
      </c>
      <c r="BC111">
        <f>IF($E111="pre",0,N('Month-End'!$DD$49))</f>
        <v/>
      </c>
      <c r="BD111">
        <f>IF($E111="pre",0,N('Month-End'!$DD$50))</f>
        <v/>
      </c>
      <c r="BE111">
        <f>IF(OR(Settings!$C$45="",Settings!$D$45=""),0,Settings!$C$45*IF(Settings!$D$45="Weekly",IF(IFERROR(MATCH(Settings!$E$45,$EO$4:$EO$10,0),0)=0,0,IF(MIN($C111,IF(Settings!$G$45="",$C111,Settings!$G$45))&lt;MAX($A111,Settings!$F$45),0,INT((MIN($C111,IF(Settings!$G$45="",$C111,Settings!$G$45))-MAX($A111,Settings!$F$45)-MOD(IFERROR(MATCH(Settings!$E$45,$EO$4:$EO$10,0),0)-WEEKDAY(MAX($A111,Settings!$F$45)),7))/7)+1)),IF(AND(IF(Settings!$E$45="",$B111,DATE(YEAR($A111),MONTH($A111),MIN(Settings!$E$45,DAY($B111))))&gt;=MAX($A111,Settings!$F$45),IF(Settings!$E$45="",$B111,DATE(YEAR($A111),MONTH($A111),MIN(Settings!$E$45,DAY($B111))))&lt;=MIN($C111,IF(Settings!$G$45="",$C111,Settings!$G$45))),1,0)))</f>
        <v/>
      </c>
      <c r="BF111">
        <f>IF(OR(Settings!$C$46="",Settings!$D$46=""),0,Settings!$C$46*IF(Settings!$D$46="Weekly",IF(IFERROR(MATCH(Settings!$E$46,$EO$4:$EO$10,0),0)=0,0,IF(MIN($C111,IF(Settings!$G$46="",$C111,Settings!$G$46))&lt;MAX($A111,Settings!$F$46),0,INT((MIN($C111,IF(Settings!$G$46="",$C111,Settings!$G$46))-MAX($A111,Settings!$F$46)-MOD(IFERROR(MATCH(Settings!$E$46,$EO$4:$EO$10,0),0)-WEEKDAY(MAX($A111,Settings!$F$46)),7))/7)+1)),IF(AND(IF(Settings!$E$46="",$B111,DATE(YEAR($A111),MONTH($A111),MIN(Settings!$E$46,DAY($B111))))&gt;=MAX($A111,Settings!$F$46),IF(Settings!$E$46="",$B111,DATE(YEAR($A111),MONTH($A111),MIN(Settings!$E$46,DAY($B111))))&lt;=MIN($C111,IF(Settings!$G$46="",$C111,Settings!$G$46))),1,0)))</f>
        <v/>
      </c>
      <c r="BG111">
        <f>IF(OR(Settings!$C$47="",Settings!$D$47=""),0,Settings!$C$47*IF(Settings!$D$47="Weekly",IF(IFERROR(MATCH(Settings!$E$47,$EO$4:$EO$10,0),0)=0,0,IF(MIN($C111,IF(Settings!$G$47="",$C111,Settings!$G$47))&lt;MAX($A111,Settings!$F$47),0,INT((MIN($C111,IF(Settings!$G$47="",$C111,Settings!$G$47))-MAX($A111,Settings!$F$47)-MOD(IFERROR(MATCH(Settings!$E$47,$EO$4:$EO$10,0),0)-WEEKDAY(MAX($A111,Settings!$F$47)),7))/7)+1)),IF(AND(IF(Settings!$E$47="",$B111,DATE(YEAR($A111),MONTH($A111),MIN(Settings!$E$47,DAY($B111))))&gt;=MAX($A111,Settings!$F$47),IF(Settings!$E$47="",$B111,DATE(YEAR($A111),MONTH($A111),MIN(Settings!$E$47,DAY($B111))))&lt;=MIN($C111,IF(Settings!$G$47="",$C111,Settings!$G$47))),1,0)))</f>
        <v/>
      </c>
      <c r="BH111">
        <f>IF(OR(Settings!$C$48="",Settings!$D$48=""),0,Settings!$C$48*IF(Settings!$D$48="Weekly",IF(IFERROR(MATCH(Settings!$E$48,$EO$4:$EO$10,0),0)=0,0,IF(MIN($C111,IF(Settings!$G$48="",$C111,Settings!$G$48))&lt;MAX($A111,Settings!$F$48),0,INT((MIN($C111,IF(Settings!$G$48="",$C111,Settings!$G$48))-MAX($A111,Settings!$F$48)-MOD(IFERROR(MATCH(Settings!$E$48,$EO$4:$EO$10,0),0)-WEEKDAY(MAX($A111,Settings!$F$48)),7))/7)+1)),IF(AND(IF(Settings!$E$48="",$B111,DATE(YEAR($A111),MONTH($A111),MIN(Settings!$E$48,DAY($B111))))&gt;=MAX($A111,Settings!$F$48),IF(Settings!$E$48="",$B111,DATE(YEAR($A111),MONTH($A111),MIN(Settings!$E$48,DAY($B111))))&lt;=MIN($C111,IF(Settings!$G$48="",$C111,Settings!$G$48))),1,0)))</f>
        <v/>
      </c>
      <c r="BI111">
        <f>IF(OR(Settings!$C$49="",Settings!$D$49=""),0,Settings!$C$49*IF(Settings!$D$49="Weekly",IF(IFERROR(MATCH(Settings!$E$49,$EO$4:$EO$10,0),0)=0,0,IF(MIN($C111,IF(Settings!$G$49="",$C111,Settings!$G$49))&lt;MAX($A111,Settings!$F$49),0,INT((MIN($C111,IF(Settings!$G$49="",$C111,Settings!$G$49))-MAX($A111,Settings!$F$49)-MOD(IFERROR(MATCH(Settings!$E$49,$EO$4:$EO$10,0),0)-WEEKDAY(MAX($A111,Settings!$F$49)),7))/7)+1)),IF(AND(IF(Settings!$E$49="",$B111,DATE(YEAR($A111),MONTH($A111),MIN(Settings!$E$49,DAY($B111))))&gt;=MAX($A111,Settings!$F$49),IF(Settings!$E$49="",$B111,DATE(YEAR($A111),MONTH($A111),MIN(Settings!$E$49,DAY($B111))))&lt;=MIN($C111,IF(Settings!$G$49="",$C111,Settings!$G$49))),1,0)))</f>
        <v/>
      </c>
      <c r="BJ111">
        <f>IF(OR(Settings!$C$50="",Settings!$D$50=""),0,Settings!$C$50*IF(Settings!$D$50="Weekly",IF(IFERROR(MATCH(Settings!$E$50,$EO$4:$EO$10,0),0)=0,0,IF(MIN($C111,IF(Settings!$G$50="",$C111,Settings!$G$50))&lt;MAX($A111,Settings!$F$50),0,INT((MIN($C111,IF(Settings!$G$50="",$C111,Settings!$G$50))-MAX($A111,Settings!$F$50)-MOD(IFERROR(MATCH(Settings!$E$50,$EO$4:$EO$10,0),0)-WEEKDAY(MAX($A111,Settings!$F$50)),7))/7)+1)),IF(AND(IF(Settings!$E$50="",$B111,DATE(YEAR($A111),MONTH($A111),MIN(Settings!$E$50,DAY($B111))))&gt;=MAX($A111,Settings!$F$50),IF(Settings!$E$50="",$B111,DATE(YEAR($A111),MONTH($A111),MIN(Settings!$E$50,DAY($B111))))&lt;=MIN($C111,IF(Settings!$G$50="",$C111,Settings!$G$50))),1,0)))</f>
        <v/>
      </c>
      <c r="BK111">
        <f>IF(OR(Settings!$C$51="",Settings!$D$51=""),0,Settings!$C$51*IF(Settings!$D$51="Weekly",IF(IFERROR(MATCH(Settings!$E$51,$EO$4:$EO$10,0),0)=0,0,IF(MIN($C111,IF(Settings!$G$51="",$C111,Settings!$G$51))&lt;MAX($A111,Settings!$F$51),0,INT((MIN($C111,IF(Settings!$G$51="",$C111,Settings!$G$51))-MAX($A111,Settings!$F$51)-MOD(IFERROR(MATCH(Settings!$E$51,$EO$4:$EO$10,0),0)-WEEKDAY(MAX($A111,Settings!$F$51)),7))/7)+1)),IF(AND(IF(Settings!$E$51="",$B111,DATE(YEAR($A111),MONTH($A111),MIN(Settings!$E$51,DAY($B111))))&gt;=MAX($A111,Settings!$F$51),IF(Settings!$E$51="",$B111,DATE(YEAR($A111),MONTH($A111),MIN(Settings!$E$51,DAY($B111))))&lt;=MIN($C111,IF(Settings!$G$51="",$C111,Settings!$G$51))),1,0)))</f>
        <v/>
      </c>
      <c r="BL111">
        <f>IF(OR(Settings!$C$52="",Settings!$D$52=""),0,Settings!$C$52*IF(Settings!$D$52="Weekly",IF(IFERROR(MATCH(Settings!$E$52,$EO$4:$EO$10,0),0)=0,0,IF(MIN($C111,IF(Settings!$G$52="",$C111,Settings!$G$52))&lt;MAX($A111,Settings!$F$52),0,INT((MIN($C111,IF(Settings!$G$52="",$C111,Settings!$G$52))-MAX($A111,Settings!$F$52)-MOD(IFERROR(MATCH(Settings!$E$52,$EO$4:$EO$10,0),0)-WEEKDAY(MAX($A111,Settings!$F$52)),7))/7)+1)),IF(AND(IF(Settings!$E$52="",$B111,DATE(YEAR($A111),MONTH($A111),MIN(Settings!$E$52,DAY($B111))))&gt;=MAX($A111,Settings!$F$52),IF(Settings!$E$52="",$B111,DATE(YEAR($A111),MONTH($A111),MIN(Settings!$E$52,DAY($B111))))&lt;=MIN($C111,IF(Settings!$G$52="",$C111,Settings!$G$52))),1,0)))</f>
        <v/>
      </c>
      <c r="BM111">
        <f>IF(OR(Settings!$C$53="",Settings!$D$53=""),0,Settings!$C$53*IF(Settings!$D$53="Weekly",IF(IFERROR(MATCH(Settings!$E$53,$EO$4:$EO$10,0),0)=0,0,IF(MIN($C111,IF(Settings!$G$53="",$C111,Settings!$G$53))&lt;MAX($A111,Settings!$F$53),0,INT((MIN($C111,IF(Settings!$G$53="",$C111,Settings!$G$53))-MAX($A111,Settings!$F$53)-MOD(IFERROR(MATCH(Settings!$E$53,$EO$4:$EO$10,0),0)-WEEKDAY(MAX($A111,Settings!$F$53)),7))/7)+1)),IF(AND(IF(Settings!$E$53="",$B111,DATE(YEAR($A111),MONTH($A111),MIN(Settings!$E$53,DAY($B111))))&gt;=MAX($A111,Settings!$F$53),IF(Settings!$E$53="",$B111,DATE(YEAR($A111),MONTH($A111),MIN(Settings!$E$53,DAY($B111))))&lt;=MIN($C111,IF(Settings!$G$53="",$C111,Settings!$G$53))),1,0)))</f>
        <v/>
      </c>
      <c r="BN111">
        <f>IF(OR(Settings!$C$54="",Settings!$D$54=""),0,Settings!$C$54*IF(Settings!$D$54="Weekly",IF(IFERROR(MATCH(Settings!$E$54,$EO$4:$EO$10,0),0)=0,0,IF(MIN($C111,IF(Settings!$G$54="",$C111,Settings!$G$54))&lt;MAX($A111,Settings!$F$54),0,INT((MIN($C111,IF(Settings!$G$54="",$C111,Settings!$G$54))-MAX($A111,Settings!$F$54)-MOD(IFERROR(MATCH(Settings!$E$54,$EO$4:$EO$10,0),0)-WEEKDAY(MAX($A111,Settings!$F$54)),7))/7)+1)),IF(AND(IF(Settings!$E$54="",$B111,DATE(YEAR($A111),MONTH($A111),MIN(Settings!$E$54,DAY($B111))))&gt;=MAX($A111,Settings!$F$54),IF(Settings!$E$54="",$B111,DATE(YEAR($A111),MONTH($A111),MIN(Settings!$E$54,DAY($B111))))&lt;=MIN($C111,IF(Settings!$G$54="",$C111,Settings!$G$54))),1,0)))</f>
        <v/>
      </c>
      <c r="BO111">
        <f>IF(OR(Settings!$C$55="",Settings!$D$55=""),0,Settings!$C$55*IF(Settings!$D$55="Weekly",IF(IFERROR(MATCH(Settings!$E$55,$EO$4:$EO$10,0),0)=0,0,IF(MIN($C111,IF(Settings!$G$55="",$C111,Settings!$G$55))&lt;MAX($A111,Settings!$F$55),0,INT((MIN($C111,IF(Settings!$G$55="",$C111,Settings!$G$55))-MAX($A111,Settings!$F$55)-MOD(IFERROR(MATCH(Settings!$E$55,$EO$4:$EO$10,0),0)-WEEKDAY(MAX($A111,Settings!$F$55)),7))/7)+1)),IF(AND(IF(Settings!$E$55="",$B111,DATE(YEAR($A111),MONTH($A111),MIN(Settings!$E$55,DAY($B111))))&gt;=MAX($A111,Settings!$F$55),IF(Settings!$E$55="",$B111,DATE(YEAR($A111),MONTH($A111),MIN(Settings!$E$55,DAY($B111))))&lt;=MIN($C111,IF(Settings!$G$55="",$C111,Settings!$G$55))),1,0)))</f>
        <v/>
      </c>
      <c r="BP111">
        <f>IF(OR(Settings!$C$56="",Settings!$D$56=""),0,Settings!$C$56*IF(Settings!$D$56="Weekly",IF(IFERROR(MATCH(Settings!$E$56,$EO$4:$EO$10,0),0)=0,0,IF(MIN($C111,IF(Settings!$G$56="",$C111,Settings!$G$56))&lt;MAX($A111,Settings!$F$56),0,INT((MIN($C111,IF(Settings!$G$56="",$C111,Settings!$G$56))-MAX($A111,Settings!$F$56)-MOD(IFERROR(MATCH(Settings!$E$56,$EO$4:$EO$10,0),0)-WEEKDAY(MAX($A111,Settings!$F$56)),7))/7)+1)),IF(AND(IF(Settings!$E$56="",$B111,DATE(YEAR($A111),MONTH($A111),MIN(Settings!$E$56,DAY($B111))))&gt;=MAX($A111,Settings!$F$56),IF(Settings!$E$56="",$B111,DATE(YEAR($A111),MONTH($A111),MIN(Settings!$E$56,DAY($B111))))&lt;=MIN($C111,IF(Settings!$G$56="",$C111,Settings!$G$56))),1,0)))</f>
        <v/>
      </c>
      <c r="BQ111">
        <f>IF(OR(Settings!$B$14="",$D111=1,$E111="pre",$A111&lt;IF(Settings!$B$15="",0,Settings!$B$15)),0,Settings!$B$14)</f>
        <v/>
      </c>
      <c r="BR111">
        <f>IF(AND('Month-End'!$DD$7&lt;&gt;"",NOT(_xlfn.ISFORMULA('Month-End'!$DD$7))),1,0)</f>
        <v/>
      </c>
      <c r="BS111">
        <f>IF(AND('Month-End'!$DD$8&lt;&gt;"",NOT(_xlfn.ISFORMULA('Month-End'!$DD$8))),1,0)</f>
        <v/>
      </c>
      <c r="BT111">
        <f>IF(AND('Month-End'!$DD$9&lt;&gt;"",NOT(_xlfn.ISFORMULA('Month-End'!$DD$9))),1,0)</f>
        <v/>
      </c>
      <c r="BU111">
        <f>IF(AND('Month-End'!$DD$10&lt;&gt;"",NOT(_xlfn.ISFORMULA('Month-End'!$DD$10))),1,0)</f>
        <v/>
      </c>
      <c r="BV111">
        <f>IF(AND('Month-End'!$DD$11&lt;&gt;"",NOT(_xlfn.ISFORMULA('Month-End'!$DD$11))),1,0)</f>
        <v/>
      </c>
      <c r="BW111">
        <f>IF(AND('Month-End'!$DD$12&lt;&gt;"",NOT(_xlfn.ISFORMULA('Month-End'!$DD$12))),1,0)</f>
        <v/>
      </c>
      <c r="BX111">
        <f>IF(AND('Month-End'!$DD$13&lt;&gt;"",NOT(_xlfn.ISFORMULA('Month-End'!$DD$13))),1,0)</f>
        <v/>
      </c>
      <c r="BY111">
        <f>IF(AND('Month-End'!$DD$14&lt;&gt;"",NOT(_xlfn.ISFORMULA('Month-End'!$DD$14))),1,0)</f>
        <v/>
      </c>
      <c r="BZ111">
        <f>IF(AND('Month-End'!$DD$15&lt;&gt;"",NOT(_xlfn.ISFORMULA('Month-End'!$DD$15))),1,0)</f>
        <v/>
      </c>
      <c r="CA111">
        <f>IF(AND('Month-End'!$DD$16&lt;&gt;"",NOT(_xlfn.ISFORMULA('Month-End'!$DD$16))),1,0)</f>
        <v/>
      </c>
      <c r="CB111">
        <f>IF(AND('Month-End'!$DD$17&lt;&gt;"",NOT(_xlfn.ISFORMULA('Month-End'!$DD$17))),1,0)</f>
        <v/>
      </c>
      <c r="CC111">
        <f>IF(AND('Month-End'!$DD$18&lt;&gt;"",NOT(_xlfn.ISFORMULA('Month-End'!$DD$18))),1,0)</f>
        <v/>
      </c>
      <c r="CD111">
        <f>IF(AND('Month-End'!$DD$19&lt;&gt;"",NOT(_xlfn.ISFORMULA('Month-End'!$DD$19))),1,0)</f>
        <v/>
      </c>
      <c r="CE111">
        <f>IF(AND('Month-End'!$DD$20&lt;&gt;"",NOT(_xlfn.ISFORMULA('Month-End'!$DD$20))),1,0)</f>
        <v/>
      </c>
      <c r="CF111">
        <f>IF(AND('Month-End'!$DD$38&lt;&gt;"",NOT(_xlfn.ISFORMULA('Month-End'!$DD$38))),1,0)</f>
        <v/>
      </c>
      <c r="CG111">
        <f>IF(AND('Month-End'!$DD$39&lt;&gt;"",NOT(_xlfn.ISFORMULA('Month-End'!$DD$39))),1,0)</f>
        <v/>
      </c>
      <c r="CH111">
        <f>IF(AND('Month-End'!$DD$40&lt;&gt;"",NOT(_xlfn.ISFORMULA('Month-End'!$DD$40))),1,0)</f>
        <v/>
      </c>
      <c r="CI111">
        <f>IF(AND('Month-End'!$DD$41&lt;&gt;"",NOT(_xlfn.ISFORMULA('Month-End'!$DD$41))),1,0)</f>
        <v/>
      </c>
      <c r="CJ111">
        <f>IF(AND('Month-End'!$DD$42&lt;&gt;"",NOT(_xlfn.ISFORMULA('Month-End'!$DD$42))),1,0)</f>
        <v/>
      </c>
      <c r="CK111">
        <f>IF(AND('Month-End'!$DD$43&lt;&gt;"",NOT(_xlfn.ISFORMULA('Month-End'!$DD$43))),1,0)</f>
        <v/>
      </c>
      <c r="CL111">
        <f>SUM($CM111:$CZ111)</f>
        <v/>
      </c>
      <c r="CM111">
        <f>IF(AND($E111&lt;&gt;"pre",AND(Settings!$A$19&lt;&gt;"",Settings!$E$19&lt;&gt;"No"),Settings!$F$19="Yes",NOT(AND('Month-End'!$DD$7&lt;&gt;"",NOT(_xlfn.ISFORMULA('Month-End'!$DD$7))))),1,0)</f>
        <v/>
      </c>
      <c r="CN111">
        <f>IF(AND($E111&lt;&gt;"pre",AND(Settings!$A$20&lt;&gt;"",Settings!$E$20&lt;&gt;"No"),Settings!$F$20="Yes",NOT(AND('Month-End'!$DD$8&lt;&gt;"",NOT(_xlfn.ISFORMULA('Month-End'!$DD$8))))),1,0)</f>
        <v/>
      </c>
      <c r="CO111">
        <f>IF(AND($E111&lt;&gt;"pre",AND(Settings!$A$21&lt;&gt;"",Settings!$E$21&lt;&gt;"No"),Settings!$F$21="Yes",NOT(AND('Month-End'!$DD$9&lt;&gt;"",NOT(_xlfn.ISFORMULA('Month-End'!$DD$9))))),1,0)</f>
        <v/>
      </c>
      <c r="CP111">
        <f>IF(AND($E111&lt;&gt;"pre",AND(Settings!$A$22&lt;&gt;"",Settings!$E$22&lt;&gt;"No"),Settings!$F$22="Yes",NOT(AND('Month-End'!$DD$10&lt;&gt;"",NOT(_xlfn.ISFORMULA('Month-End'!$DD$10))))),1,0)</f>
        <v/>
      </c>
      <c r="CQ111">
        <f>IF(AND($E111&lt;&gt;"pre",AND(Settings!$A$23&lt;&gt;"",Settings!$E$23&lt;&gt;"No"),Settings!$F$23="Yes",NOT(AND('Month-End'!$DD$11&lt;&gt;"",NOT(_xlfn.ISFORMULA('Month-End'!$DD$11))))),1,0)</f>
        <v/>
      </c>
      <c r="CR111">
        <f>IF(AND($E111&lt;&gt;"pre",AND(Settings!$A$24&lt;&gt;"",Settings!$E$24&lt;&gt;"No"),Settings!$F$24="Yes",NOT(AND('Month-End'!$DD$12&lt;&gt;"",NOT(_xlfn.ISFORMULA('Month-End'!$DD$12))))),1,0)</f>
        <v/>
      </c>
      <c r="CS111">
        <f>IF(AND($E111&lt;&gt;"pre",AND(Settings!$A$25&lt;&gt;"",Settings!$E$25&lt;&gt;"No"),Settings!$F$25="Yes",NOT(AND('Month-End'!$DD$13&lt;&gt;"",NOT(_xlfn.ISFORMULA('Month-End'!$DD$13))))),1,0)</f>
        <v/>
      </c>
      <c r="CT111">
        <f>IF(AND($E111&lt;&gt;"pre",AND(Settings!$A$26&lt;&gt;"",Settings!$E$26&lt;&gt;"No"),Settings!$F$26="Yes",NOT(AND('Month-End'!$DD$14&lt;&gt;"",NOT(_xlfn.ISFORMULA('Month-End'!$DD$14))))),1,0)</f>
        <v/>
      </c>
      <c r="CU111">
        <f>IF(AND($E111&lt;&gt;"pre",AND(Settings!$A$27&lt;&gt;"",Settings!$E$27&lt;&gt;"No"),Settings!$F$27="Yes",NOT(AND('Month-End'!$DD$15&lt;&gt;"",NOT(_xlfn.ISFORMULA('Month-End'!$DD$15))))),1,0)</f>
        <v/>
      </c>
      <c r="CV111">
        <f>IF(AND($E111&lt;&gt;"pre",AND(Settings!$A$28&lt;&gt;"",Settings!$E$28&lt;&gt;"No"),Settings!$F$28="Yes",NOT(AND('Month-End'!$DD$16&lt;&gt;"",NOT(_xlfn.ISFORMULA('Month-End'!$DD$16))))),1,0)</f>
        <v/>
      </c>
      <c r="CW111">
        <f>IF(AND($E111&lt;&gt;"pre",AND(Settings!$A$29&lt;&gt;"",Settings!$E$29&lt;&gt;"No"),Settings!$F$29="Yes",NOT(AND('Month-End'!$DD$17&lt;&gt;"",NOT(_xlfn.ISFORMULA('Month-End'!$DD$17))))),1,0)</f>
        <v/>
      </c>
      <c r="CX111">
        <f>IF(AND($E111&lt;&gt;"pre",AND(Settings!$A$30&lt;&gt;"",Settings!$E$30&lt;&gt;"No"),Settings!$F$30="Yes",NOT(AND('Month-End'!$DD$18&lt;&gt;"",NOT(_xlfn.ISFORMULA('Month-End'!$DD$18))))),1,0)</f>
        <v/>
      </c>
      <c r="CY111">
        <f>IF(AND($E111&lt;&gt;"pre",AND(Settings!$A$31&lt;&gt;"",Settings!$E$31&lt;&gt;"No"),Settings!$F$31="Yes",NOT(AND('Month-End'!$DD$19&lt;&gt;"",NOT(_xlfn.ISFORMULA('Month-End'!$DD$19))))),1,0)</f>
        <v/>
      </c>
      <c r="CZ111">
        <f>IF(AND($E111&lt;&gt;"pre",AND(Settings!$A$32&lt;&gt;"",Settings!$E$32&lt;&gt;"No"),Settings!$F$32="Yes",NOT(AND('Month-End'!$DD$20&lt;&gt;"",NOT(_xlfn.ISFORMULA('Month-End'!$DD$20))))),1,0)</f>
        <v/>
      </c>
      <c r="DA111">
        <f>IF($DT111=1,IF(OR(Settings!$B$19="Checking",Settings!$B$19="Savings",Settings!$B$19="Cash"),N($AE111),IF(OR(Settings!$B$19="Card",Settings!$B$19="Loan"),-N($AE111),0))+IF(OR(Settings!$B$20="Checking",Settings!$B$20="Savings",Settings!$B$20="Cash"),N($AF111),IF(OR(Settings!$B$20="Card",Settings!$B$20="Loan"),-N($AF111),0))+IF(OR(Settings!$B$21="Checking",Settings!$B$21="Savings",Settings!$B$21="Cash"),N($AG111),IF(OR(Settings!$B$21="Card",Settings!$B$21="Loan"),-N($AG111),0))+IF(OR(Settings!$B$22="Checking",Settings!$B$22="Savings",Settings!$B$22="Cash"),N($AH111),IF(OR(Settings!$B$22="Card",Settings!$B$22="Loan"),-N($AH111),0))+IF(OR(Settings!$B$23="Checking",Settings!$B$23="Savings",Settings!$B$23="Cash"),N($AI111),IF(OR(Settings!$B$23="Card",Settings!$B$23="Loan"),-N($AI111),0))+IF(OR(Settings!$B$24="Checking",Settings!$B$24="Savings",Settings!$B$24="Cash"),N($AJ111),IF(OR(Settings!$B$24="Card",Settings!$B$24="Loan"),-N($AJ111),0))+IF(OR(Settings!$B$25="Checking",Settings!$B$25="Savings",Settings!$B$25="Cash"),N($AK111),IF(OR(Settings!$B$25="Card",Settings!$B$25="Loan"),-N($AK111),0))+IF(OR(Settings!$B$26="Checking",Settings!$B$26="Savings",Settings!$B$26="Cash"),N($AL111),IF(OR(Settings!$B$26="Card",Settings!$B$26="Loan"),-N($AL111),0))+IF(OR(Settings!$B$27="Checking",Settings!$B$27="Savings",Settings!$B$27="Cash"),N($AM111),IF(OR(Settings!$B$27="Card",Settings!$B$27="Loan"),-N($AM111),0))+IF(OR(Settings!$B$28="Checking",Settings!$B$28="Savings",Settings!$B$28="Cash"),N($AN111),IF(OR(Settings!$B$28="Card",Settings!$B$28="Loan"),-N($AN111),0))+IF(OR(Settings!$B$29="Checking",Settings!$B$29="Savings",Settings!$B$29="Cash"),N($AO111),IF(OR(Settings!$B$29="Card",Settings!$B$29="Loan"),-N($AO111),0))+IF(OR(Settings!$B$30="Checking",Settings!$B$30="Savings",Settings!$B$30="Cash"),N($AP111),IF(OR(Settings!$B$30="Card",Settings!$B$30="Loan"),-N($AP111),0))+IF(OR(Settings!$B$31="Checking",Settings!$B$31="Savings",Settings!$B$31="Cash"),N($AQ111),IF(OR(Settings!$B$31="Card",Settings!$B$31="Loan"),-N($AQ111),0))+IF(OR(Settings!$B$32="Checking",Settings!$B$32="Savings",Settings!$B$32="Cash"),N($AR111),IF(OR(Settings!$B$32="Card",Settings!$B$32="Loan"),-N($AR111),0)),"")</f>
        <v/>
      </c>
      <c r="DB111">
        <f>IF($E111="open",$EB$27,IF($E111="post",IF($E110="pre",$EB$27,$DA110),""))</f>
        <v/>
      </c>
      <c r="DC111">
        <f>IF($E111="open",1,IF($E111="post",IF($E110="pre",1,$DT110),0))</f>
        <v/>
      </c>
      <c r="DD111">
        <f>IF(AND($DT111=1,$DC111=1),ROUND($W111-($DA111-$DB111)-$AD111-$AB111,2),"")</f>
        <v/>
      </c>
      <c r="DE111">
        <f>IF('Month-End'!$DD$35="",$BQ111,N('Month-End'!$DD$35))</f>
        <v/>
      </c>
      <c r="DF111">
        <f>N('Month-End'!$DD$36)</f>
        <v/>
      </c>
      <c r="DG111">
        <f>IF($DD111="","",$DD111+$DE111)</f>
        <v/>
      </c>
      <c r="DH111">
        <f>IF($DG111="","",$DG111-$DF111)</f>
        <v/>
      </c>
      <c r="DI111">
        <f>IF(OR($E111="pre",$D111=1),"",N($AS111)+N($AT111)+N($AU111)+N($AV111)+N($AW111)+N($AX111))</f>
        <v/>
      </c>
      <c r="DJ111">
        <f>IF($DT111=1,$DA111+N($DI111),"")</f>
        <v/>
      </c>
      <c r="DK111">
        <f>IF($DD111="","",$W111-$DD111-$AB111)</f>
        <v/>
      </c>
      <c r="DL111">
        <f>IF(AND($E111="post",$DD111&lt;&gt;"",$B111&lt;TODAY()),1,0)</f>
        <v/>
      </c>
      <c r="DM111">
        <f>IF($DL111=1,COUNTIF($DL111:$DL$183,1),0)</f>
        <v/>
      </c>
      <c r="DN111">
        <f>IF($D111=1,"",IF($E111="pre","History only",IF($DT111=1,IF($DD111="","⚠ Previous month missing",IF($DD111&lt;0,"⚠ Check: spending &lt; 0",IF($E111="open","✓ Done (partial)","✓ Done"))),IF($B111&gt;=TODAY(),"In progress","⚠ Needs balances"))))</f>
        <v/>
      </c>
      <c r="DO111">
        <f>YEAR($A111)</f>
        <v/>
      </c>
      <c r="DP111">
        <f>DATE(YEAR($A111),INT((MONTH($A111)-1)/3)*3+1,1)</f>
        <v/>
      </c>
      <c r="DQ111">
        <f>IF(AND($DT111=1,$DD111&lt;&gt;"",$D111=0),ROW(),0)</f>
        <v/>
      </c>
      <c r="DR111">
        <f>IF(AND($E111&lt;&gt;"pre",$B111&lt;TODAY(),$DT111=0),1,0)</f>
        <v/>
      </c>
      <c r="DS111">
        <f>IF($DJ111="",NA(),$DJ111)</f>
        <v/>
      </c>
      <c r="DT111">
        <f>IF(AND($E111&lt;&gt;"pre",$CL111=0,COUNTIFS(Settings!$F$19:$F$32,"Yes",Settings!$A$19:$A$32,"&lt;&gt;",Settings!$E$19:$E$32,"&lt;&gt;No")&gt;0),1,0)</f>
        <v/>
      </c>
      <c r="DU111">
        <f>IF(AND($B111&lt;TODAY(),$S111&gt;0),1,0)</f>
        <v/>
      </c>
      <c r="DV111">
        <f>IF($DU111=1,COUNTIF($DU111:$DU$183,1),0)</f>
        <v/>
      </c>
      <c r="DW111">
        <f>IF(AND(OR(Settings!$B$19="Card",Settings!$B$19="Loan"),AND('Month-End'!$DD$7&lt;&gt;"",NOT(_xlfn.ISFORMULA('Month-End'!$DD$7)))),IF(N('Month-End'!$DD$7)&lt;0,1,0),0)+IF(AND(OR(Settings!$B$20="Card",Settings!$B$20="Loan"),AND('Month-End'!$DD$8&lt;&gt;"",NOT(_xlfn.ISFORMULA('Month-End'!$DD$8)))),IF(N('Month-End'!$DD$8)&lt;0,1,0),0)+IF(AND(OR(Settings!$B$21="Card",Settings!$B$21="Loan"),AND('Month-End'!$DD$9&lt;&gt;"",NOT(_xlfn.ISFORMULA('Month-End'!$DD$9)))),IF(N('Month-End'!$DD$9)&lt;0,1,0),0)+IF(AND(OR(Settings!$B$22="Card",Settings!$B$22="Loan"),AND('Month-End'!$DD$10&lt;&gt;"",NOT(_xlfn.ISFORMULA('Month-End'!$DD$10)))),IF(N('Month-End'!$DD$10)&lt;0,1,0),0)+IF(AND(OR(Settings!$B$23="Card",Settings!$B$23="Loan"),AND('Month-End'!$DD$11&lt;&gt;"",NOT(_xlfn.ISFORMULA('Month-End'!$DD$11)))),IF(N('Month-End'!$DD$11)&lt;0,1,0),0)+IF(AND(OR(Settings!$B$24="Card",Settings!$B$24="Loan"),AND('Month-End'!$DD$12&lt;&gt;"",NOT(_xlfn.ISFORMULA('Month-End'!$DD$12)))),IF(N('Month-End'!$DD$12)&lt;0,1,0),0)+IF(AND(OR(Settings!$B$25="Card",Settings!$B$25="Loan"),AND('Month-End'!$DD$13&lt;&gt;"",NOT(_xlfn.ISFORMULA('Month-End'!$DD$13)))),IF(N('Month-End'!$DD$13)&lt;0,1,0),0)+IF(AND(OR(Settings!$B$26="Card",Settings!$B$26="Loan"),AND('Month-End'!$DD$14&lt;&gt;"",NOT(_xlfn.ISFORMULA('Month-End'!$DD$14)))),IF(N('Month-End'!$DD$14)&lt;0,1,0),0)+IF(AND(OR(Settings!$B$27="Card",Settings!$B$27="Loan"),AND('Month-End'!$DD$15&lt;&gt;"",NOT(_xlfn.ISFORMULA('Month-End'!$DD$15)))),IF(N('Month-End'!$DD$15)&lt;0,1,0),0)+IF(AND(OR(Settings!$B$28="Card",Settings!$B$28="Loan"),AND('Month-End'!$DD$16&lt;&gt;"",NOT(_xlfn.ISFORMULA('Month-End'!$DD$16)))),IF(N('Month-End'!$DD$16)&lt;0,1,0),0)+IF(AND(OR(Settings!$B$29="Card",Settings!$B$29="Loan"),AND('Month-End'!$DD$17&lt;&gt;"",NOT(_xlfn.ISFORMULA('Month-End'!$DD$17)))),IF(N('Month-End'!$DD$17)&lt;0,1,0),0)+IF(AND(OR(Settings!$B$30="Card",Settings!$B$30="Loan"),AND('Month-End'!$DD$18&lt;&gt;"",NOT(_xlfn.ISFORMULA('Month-End'!$DD$18)))),IF(N('Month-End'!$DD$18)&lt;0,1,0),0)+IF(AND(OR(Settings!$B$31="Card",Settings!$B$31="Loan"),AND('Month-End'!$DD$19&lt;&gt;"",NOT(_xlfn.ISFORMULA('Month-End'!$DD$19)))),IF(N('Month-End'!$DD$19)&lt;0,1,0),0)+IF(AND(OR(Settings!$B$32="Card",Settings!$B$32="Loan"),AND('Month-End'!$DD$20&lt;&gt;"",NOT(_xlfn.ISFORMULA('Month-End'!$DD$20)))),IF(N('Month-End'!$DD$20)&lt;0,1,0),0)</f>
        <v/>
      </c>
      <c r="DX111">
        <f>IF(Settings!$B$36="Retirement",$AY111,0)+IF(Settings!$B$37="Retirement",$AZ111,0)+IF(Settings!$B$38="Retirement",$BA111,0)+IF(Settings!$B$39="Retirement",$BB111,0)+IF(Settings!$B$40="Retirement",$BC111,0)+IF(Settings!$B$41="Retirement",$BD111,0)</f>
        <v/>
      </c>
      <c r="EO111">
        <f>EDATE(DATE(YEAR(TODAY()),MONTH(TODAY()),1),-12)</f>
        <v/>
      </c>
      <c r="ER111">
        <f>IFERROR(IF(INDEX($DJ$6:$DJ$183,MATCH(EO111,$A$6:$A$183,0))="",NA(),INDEX($DJ$6:$DJ$183,MATCH(EO111,$A$6:$A$183,0))),NA())</f>
        <v/>
      </c>
      <c r="ES111">
        <f>TEXT(EO111,"mmm yy")</f>
        <v/>
      </c>
      <c r="ET111">
        <f>IF($E111&lt;&gt;"open",0,IF(AND('Month-End'!$DD$22&lt;&gt;"",NOT(_xlfn.ISFORMULA('Month-End'!$DD$22))),0,IF(OR(Settings!$C$45="",Settings!$D$45=""),0,Settings!$C$45*IF(Settings!$D$45="Weekly",IF(IFERROR(MATCH(Settings!$E$45,$EO$4:$EO$10,0),0)=0,0,IF(MIN(Settings!$B$5,IF(Settings!$G$45="",Settings!$B$5,Settings!$G$45))&lt;MAX($A111,Settings!$F$45),0,INT((MIN(Settings!$B$5,IF(Settings!$G$45="",Settings!$B$5,Settings!$G$45))-MAX($A111,Settings!$F$45)-MOD(IFERROR(MATCH(Settings!$E$45,$EO$4:$EO$10,0),0)-WEEKDAY(MAX($A111,Settings!$F$45)),7))/7)+1)),IF(AND(IF(Settings!$E$45="",$B111,DATE(YEAR($A111),MONTH($A111),MIN(Settings!$E$45,DAY($B111))))&gt;=MAX($A111,Settings!$F$45),IF(Settings!$E$45="",$B111,DATE(YEAR($A111),MONTH($A111),MIN(Settings!$E$45,DAY($B111))))&lt;=MIN(Settings!$B$5,IF(Settings!$G$45="",Settings!$B$5,Settings!$G$45))),1,0)))))</f>
        <v/>
      </c>
      <c r="EU111">
        <f>IF($E111&lt;&gt;"open",0,IF(AND('Month-End'!$DD$23&lt;&gt;"",NOT(_xlfn.ISFORMULA('Month-End'!$DD$23))),0,IF(OR(Settings!$C$46="",Settings!$D$46=""),0,Settings!$C$46*IF(Settings!$D$46="Weekly",IF(IFERROR(MATCH(Settings!$E$46,$EO$4:$EO$10,0),0)=0,0,IF(MIN(Settings!$B$5,IF(Settings!$G$46="",Settings!$B$5,Settings!$G$46))&lt;MAX($A111,Settings!$F$46),0,INT((MIN(Settings!$B$5,IF(Settings!$G$46="",Settings!$B$5,Settings!$G$46))-MAX($A111,Settings!$F$46)-MOD(IFERROR(MATCH(Settings!$E$46,$EO$4:$EO$10,0),0)-WEEKDAY(MAX($A111,Settings!$F$46)),7))/7)+1)),IF(AND(IF(Settings!$E$46="",$B111,DATE(YEAR($A111),MONTH($A111),MIN(Settings!$E$46,DAY($B111))))&gt;=MAX($A111,Settings!$F$46),IF(Settings!$E$46="",$B111,DATE(YEAR($A111),MONTH($A111),MIN(Settings!$E$46,DAY($B111))))&lt;=MIN(Settings!$B$5,IF(Settings!$G$46="",Settings!$B$5,Settings!$G$46))),1,0)))))</f>
        <v/>
      </c>
      <c r="EV111">
        <f>IF($E111&lt;&gt;"open",0,IF(AND('Month-End'!$DD$24&lt;&gt;"",NOT(_xlfn.ISFORMULA('Month-End'!$DD$24))),0,IF(OR(Settings!$C$47="",Settings!$D$47=""),0,Settings!$C$47*IF(Settings!$D$47="Weekly",IF(IFERROR(MATCH(Settings!$E$47,$EO$4:$EO$10,0),0)=0,0,IF(MIN(Settings!$B$5,IF(Settings!$G$47="",Settings!$B$5,Settings!$G$47))&lt;MAX($A111,Settings!$F$47),0,INT((MIN(Settings!$B$5,IF(Settings!$G$47="",Settings!$B$5,Settings!$G$47))-MAX($A111,Settings!$F$47)-MOD(IFERROR(MATCH(Settings!$E$47,$EO$4:$EO$10,0),0)-WEEKDAY(MAX($A111,Settings!$F$47)),7))/7)+1)),IF(AND(IF(Settings!$E$47="",$B111,DATE(YEAR($A111),MONTH($A111),MIN(Settings!$E$47,DAY($B111))))&gt;=MAX($A111,Settings!$F$47),IF(Settings!$E$47="",$B111,DATE(YEAR($A111),MONTH($A111),MIN(Settings!$E$47,DAY($B111))))&lt;=MIN(Settings!$B$5,IF(Settings!$G$47="",Settings!$B$5,Settings!$G$47))),1,0)))))</f>
        <v/>
      </c>
      <c r="EW111">
        <f>IF($E111&lt;&gt;"open",0,IF(AND('Month-End'!$DD$25&lt;&gt;"",NOT(_xlfn.ISFORMULA('Month-End'!$DD$25))),0,IF(OR(Settings!$C$48="",Settings!$D$48=""),0,Settings!$C$48*IF(Settings!$D$48="Weekly",IF(IFERROR(MATCH(Settings!$E$48,$EO$4:$EO$10,0),0)=0,0,IF(MIN(Settings!$B$5,IF(Settings!$G$48="",Settings!$B$5,Settings!$G$48))&lt;MAX($A111,Settings!$F$48),0,INT((MIN(Settings!$B$5,IF(Settings!$G$48="",Settings!$B$5,Settings!$G$48))-MAX($A111,Settings!$F$48)-MOD(IFERROR(MATCH(Settings!$E$48,$EO$4:$EO$10,0),0)-WEEKDAY(MAX($A111,Settings!$F$48)),7))/7)+1)),IF(AND(IF(Settings!$E$48="",$B111,DATE(YEAR($A111),MONTH($A111),MIN(Settings!$E$48,DAY($B111))))&gt;=MAX($A111,Settings!$F$48),IF(Settings!$E$48="",$B111,DATE(YEAR($A111),MONTH($A111),MIN(Settings!$E$48,DAY($B111))))&lt;=MIN(Settings!$B$5,IF(Settings!$G$48="",Settings!$B$5,Settings!$G$48))),1,0)))))</f>
        <v/>
      </c>
      <c r="EX111">
        <f>IF($E111&lt;&gt;"open",0,IF(AND('Month-End'!$DD$26&lt;&gt;"",NOT(_xlfn.ISFORMULA('Month-End'!$DD$26))),0,IF(OR(Settings!$C$49="",Settings!$D$49=""),0,Settings!$C$49*IF(Settings!$D$49="Weekly",IF(IFERROR(MATCH(Settings!$E$49,$EO$4:$EO$10,0),0)=0,0,IF(MIN(Settings!$B$5,IF(Settings!$G$49="",Settings!$B$5,Settings!$G$49))&lt;MAX($A111,Settings!$F$49),0,INT((MIN(Settings!$B$5,IF(Settings!$G$49="",Settings!$B$5,Settings!$G$49))-MAX($A111,Settings!$F$49)-MOD(IFERROR(MATCH(Settings!$E$49,$EO$4:$EO$10,0),0)-WEEKDAY(MAX($A111,Settings!$F$49)),7))/7)+1)),IF(AND(IF(Settings!$E$49="",$B111,DATE(YEAR($A111),MONTH($A111),MIN(Settings!$E$49,DAY($B111))))&gt;=MAX($A111,Settings!$F$49),IF(Settings!$E$49="",$B111,DATE(YEAR($A111),MONTH($A111),MIN(Settings!$E$49,DAY($B111))))&lt;=MIN(Settings!$B$5,IF(Settings!$G$49="",Settings!$B$5,Settings!$G$49))),1,0)))))</f>
        <v/>
      </c>
      <c r="EY111">
        <f>IF($E111&lt;&gt;"open",0,IF(AND('Month-End'!$DD$27&lt;&gt;"",NOT(_xlfn.ISFORMULA('Month-End'!$DD$27))),0,IF(OR(Settings!$C$50="",Settings!$D$50=""),0,Settings!$C$50*IF(Settings!$D$50="Weekly",IF(IFERROR(MATCH(Settings!$E$50,$EO$4:$EO$10,0),0)=0,0,IF(MIN(Settings!$B$5,IF(Settings!$G$50="",Settings!$B$5,Settings!$G$50))&lt;MAX($A111,Settings!$F$50),0,INT((MIN(Settings!$B$5,IF(Settings!$G$50="",Settings!$B$5,Settings!$G$50))-MAX($A111,Settings!$F$50)-MOD(IFERROR(MATCH(Settings!$E$50,$EO$4:$EO$10,0),0)-WEEKDAY(MAX($A111,Settings!$F$50)),7))/7)+1)),IF(AND(IF(Settings!$E$50="",$B111,DATE(YEAR($A111),MONTH($A111),MIN(Settings!$E$50,DAY($B111))))&gt;=MAX($A111,Settings!$F$50),IF(Settings!$E$50="",$B111,DATE(YEAR($A111),MONTH($A111),MIN(Settings!$E$50,DAY($B111))))&lt;=MIN(Settings!$B$5,IF(Settings!$G$50="",Settings!$B$5,Settings!$G$50))),1,0)))))</f>
        <v/>
      </c>
      <c r="EZ111">
        <f>IF($E111&lt;&gt;"open",0,IF(AND('Month-End'!$DD$28&lt;&gt;"",NOT(_xlfn.ISFORMULA('Month-End'!$DD$28))),0,IF(OR(Settings!$C$51="",Settings!$D$51=""),0,Settings!$C$51*IF(Settings!$D$51="Weekly",IF(IFERROR(MATCH(Settings!$E$51,$EO$4:$EO$10,0),0)=0,0,IF(MIN(Settings!$B$5,IF(Settings!$G$51="",Settings!$B$5,Settings!$G$51))&lt;MAX($A111,Settings!$F$51),0,INT((MIN(Settings!$B$5,IF(Settings!$G$51="",Settings!$B$5,Settings!$G$51))-MAX($A111,Settings!$F$51)-MOD(IFERROR(MATCH(Settings!$E$51,$EO$4:$EO$10,0),0)-WEEKDAY(MAX($A111,Settings!$F$51)),7))/7)+1)),IF(AND(IF(Settings!$E$51="",$B111,DATE(YEAR($A111),MONTH($A111),MIN(Settings!$E$51,DAY($B111))))&gt;=MAX($A111,Settings!$F$51),IF(Settings!$E$51="",$B111,DATE(YEAR($A111),MONTH($A111),MIN(Settings!$E$51,DAY($B111))))&lt;=MIN(Settings!$B$5,IF(Settings!$G$51="",Settings!$B$5,Settings!$G$51))),1,0)))))</f>
        <v/>
      </c>
      <c r="FA111">
        <f>IF($E111&lt;&gt;"open",0,IF(AND('Month-End'!$DD$29&lt;&gt;"",NOT(_xlfn.ISFORMULA('Month-End'!$DD$29))),0,IF(OR(Settings!$C$52="",Settings!$D$52=""),0,Settings!$C$52*IF(Settings!$D$52="Weekly",IF(IFERROR(MATCH(Settings!$E$52,$EO$4:$EO$10,0),0)=0,0,IF(MIN(Settings!$B$5,IF(Settings!$G$52="",Settings!$B$5,Settings!$G$52))&lt;MAX($A111,Settings!$F$52),0,INT((MIN(Settings!$B$5,IF(Settings!$G$52="",Settings!$B$5,Settings!$G$52))-MAX($A111,Settings!$F$52)-MOD(IFERROR(MATCH(Settings!$E$52,$EO$4:$EO$10,0),0)-WEEKDAY(MAX($A111,Settings!$F$52)),7))/7)+1)),IF(AND(IF(Settings!$E$52="",$B111,DATE(YEAR($A111),MONTH($A111),MIN(Settings!$E$52,DAY($B111))))&gt;=MAX($A111,Settings!$F$52),IF(Settings!$E$52="",$B111,DATE(YEAR($A111),MONTH($A111),MIN(Settings!$E$52,DAY($B111))))&lt;=MIN(Settings!$B$5,IF(Settings!$G$52="",Settings!$B$5,Settings!$G$52))),1,0)))))</f>
        <v/>
      </c>
      <c r="FB111">
        <f>IF($E111&lt;&gt;"open",0,IF(AND('Month-End'!$DD$30&lt;&gt;"",NOT(_xlfn.ISFORMULA('Month-End'!$DD$30))),0,IF(OR(Settings!$C$53="",Settings!$D$53=""),0,Settings!$C$53*IF(Settings!$D$53="Weekly",IF(IFERROR(MATCH(Settings!$E$53,$EO$4:$EO$10,0),0)=0,0,IF(MIN(Settings!$B$5,IF(Settings!$G$53="",Settings!$B$5,Settings!$G$53))&lt;MAX($A111,Settings!$F$53),0,INT((MIN(Settings!$B$5,IF(Settings!$G$53="",Settings!$B$5,Settings!$G$53))-MAX($A111,Settings!$F$53)-MOD(IFERROR(MATCH(Settings!$E$53,$EO$4:$EO$10,0),0)-WEEKDAY(MAX($A111,Settings!$F$53)),7))/7)+1)),IF(AND(IF(Settings!$E$53="",$B111,DATE(YEAR($A111),MONTH($A111),MIN(Settings!$E$53,DAY($B111))))&gt;=MAX($A111,Settings!$F$53),IF(Settings!$E$53="",$B111,DATE(YEAR($A111),MONTH($A111),MIN(Settings!$E$53,DAY($B111))))&lt;=MIN(Settings!$B$5,IF(Settings!$G$53="",Settings!$B$5,Settings!$G$53))),1,0)))))</f>
        <v/>
      </c>
      <c r="FC111">
        <f>IF($E111&lt;&gt;"open",0,IF(AND('Month-End'!$DD$31&lt;&gt;"",NOT(_xlfn.ISFORMULA('Month-End'!$DD$31))),0,IF(OR(Settings!$C$54="",Settings!$D$54=""),0,Settings!$C$54*IF(Settings!$D$54="Weekly",IF(IFERROR(MATCH(Settings!$E$54,$EO$4:$EO$10,0),0)=0,0,IF(MIN(Settings!$B$5,IF(Settings!$G$54="",Settings!$B$5,Settings!$G$54))&lt;MAX($A111,Settings!$F$54),0,INT((MIN(Settings!$B$5,IF(Settings!$G$54="",Settings!$B$5,Settings!$G$54))-MAX($A111,Settings!$F$54)-MOD(IFERROR(MATCH(Settings!$E$54,$EO$4:$EO$10,0),0)-WEEKDAY(MAX($A111,Settings!$F$54)),7))/7)+1)),IF(AND(IF(Settings!$E$54="",$B111,DATE(YEAR($A111),MONTH($A111),MIN(Settings!$E$54,DAY($B111))))&gt;=MAX($A111,Settings!$F$54),IF(Settings!$E$54="",$B111,DATE(YEAR($A111),MONTH($A111),MIN(Settings!$E$54,DAY($B111))))&lt;=MIN(Settings!$B$5,IF(Settings!$G$54="",Settings!$B$5,Settings!$G$54))),1,0)))))</f>
        <v/>
      </c>
      <c r="FD111">
        <f>IF($E111&lt;&gt;"open",0,IF(AND('Month-End'!$DD$32&lt;&gt;"",NOT(_xlfn.ISFORMULA('Month-End'!$DD$32))),0,IF(OR(Settings!$C$55="",Settings!$D$55=""),0,Settings!$C$55*IF(Settings!$D$55="Weekly",IF(IFERROR(MATCH(Settings!$E$55,$EO$4:$EO$10,0),0)=0,0,IF(MIN(Settings!$B$5,IF(Settings!$G$55="",Settings!$B$5,Settings!$G$55))&lt;MAX($A111,Settings!$F$55),0,INT((MIN(Settings!$B$5,IF(Settings!$G$55="",Settings!$B$5,Settings!$G$55))-MAX($A111,Settings!$F$55)-MOD(IFERROR(MATCH(Settings!$E$55,$EO$4:$EO$10,0),0)-WEEKDAY(MAX($A111,Settings!$F$55)),7))/7)+1)),IF(AND(IF(Settings!$E$55="",$B111,DATE(YEAR($A111),MONTH($A111),MIN(Settings!$E$55,DAY($B111))))&gt;=MAX($A111,Settings!$F$55),IF(Settings!$E$55="",$B111,DATE(YEAR($A111),MONTH($A111),MIN(Settings!$E$55,DAY($B111))))&lt;=MIN(Settings!$B$5,IF(Settings!$G$55="",Settings!$B$5,Settings!$G$55))),1,0)))))</f>
        <v/>
      </c>
      <c r="FE111">
        <f>IF($E111&lt;&gt;"open",0,IF(AND('Month-End'!$DD$33&lt;&gt;"",NOT(_xlfn.ISFORMULA('Month-End'!$DD$33))),0,IF(OR(Settings!$C$56="",Settings!$D$56=""),0,Settings!$C$56*IF(Settings!$D$56="Weekly",IF(IFERROR(MATCH(Settings!$E$56,$EO$4:$EO$10,0),0)=0,0,IF(MIN(Settings!$B$5,IF(Settings!$G$56="",Settings!$B$5,Settings!$G$56))&lt;MAX($A111,Settings!$F$56),0,INT((MIN(Settings!$B$5,IF(Settings!$G$56="",Settings!$B$5,Settings!$G$56))-MAX($A111,Settings!$F$56)-MOD(IFERROR(MATCH(Settings!$E$56,$EO$4:$EO$10,0),0)-WEEKDAY(MAX($A111,Settings!$F$56)),7))/7)+1)),IF(AND(IF(Settings!$E$56="",$B111,DATE(YEAR($A111),MONTH($A111),MIN(Settings!$E$56,DAY($B111))))&gt;=MAX($A111,Settings!$F$56),IF(Settings!$E$56="",$B111,DATE(YEAR($A111),MONTH($A111),MIN(Settings!$E$56,DAY($B111))))&lt;=MIN(Settings!$B$5,IF(Settings!$G$56="",Settings!$B$5,Settings!$G$56))),1,0)))))</f>
        <v/>
      </c>
      <c r="FF111">
        <f>IF(Settings!$I$45="Yes",$G111,0)+IF(Settings!$I$46="Yes",$H111,0)+IF(Settings!$I$47="Yes",$I111,0)+IF(Settings!$I$48="Yes",$J111,0)+IF(Settings!$I$49="Yes",$K111,0)+IF(Settings!$I$50="Yes",$L111,0)+IF(Settings!$I$51="Yes",$M111,0)+IF(Settings!$I$52="Yes",$N111,0)+IF(Settings!$I$53="Yes",$O111,0)+IF(Settings!$I$54="Yes",$P111,0)+IF(Settings!$I$55="Yes",$Q111,0)+IF(Settings!$I$56="Yes",$R111,0)</f>
        <v/>
      </c>
      <c r="FG111">
        <f>IF(AND(Settings!$I$45="Yes",Settings!$J$45="No"),$G111,0)+IF(AND(Settings!$I$46="Yes",Settings!$J$46="No"),$H111,0)+IF(AND(Settings!$I$47="Yes",Settings!$J$47="No"),$I111,0)+IF(AND(Settings!$I$48="Yes",Settings!$J$48="No"),$J111,0)+IF(AND(Settings!$I$49="Yes",Settings!$J$49="No"),$K111,0)+IF(AND(Settings!$I$50="Yes",Settings!$J$50="No"),$L111,0)+IF(AND(Settings!$I$51="Yes",Settings!$J$51="No"),$M111,0)+IF(AND(Settings!$I$52="Yes",Settings!$J$52="No"),$N111,0)+IF(AND(Settings!$I$53="Yes",Settings!$J$53="No"),$O111,0)+IF(AND(Settings!$I$54="Yes",Settings!$J$54="No"),$P111,0)+IF(AND(Settings!$I$55="Yes",Settings!$J$55="No"),$Q111,0)+IF(AND(Settings!$I$56="Yes",Settings!$J$56="No"),$R111,0)</f>
        <v/>
      </c>
      <c r="FH111">
        <f>SUMIFS(Giving!$B$7:$B$2006,Giving!$A$7:$A$2006,"&gt;="&amp;$A111,Giving!$A$7:$A$2006,"&lt;="&amp;$B111,Giving!$G$7:$G$2006,"Yes")+IF(OR(OR(Settings!$B$60="",Settings!$F$60="No"),Settings!$H$60&lt;&gt;"Yes"),0,Settings!$B$60*IF(AND(IF(Settings!$C$60="",$B111,DATE(YEAR($A111),MONTH($A111),MIN(Settings!$C$60,DAY($B111))))&gt;=MAX($A111,Settings!$D$60),IF(Settings!$C$60="",$B111,DATE(YEAR($A111),MONTH($A111),MIN(Settings!$C$60,DAY($B111))))&lt;=MIN($C111,IF(Settings!$E$60="",$C111,Settings!$E$60))),1,0))+IF(OR(OR(Settings!$B$61="",Settings!$F$61="No"),Settings!$H$61&lt;&gt;"Yes"),0,Settings!$B$61*IF(AND(IF(Settings!$C$61="",$B111,DATE(YEAR($A111),MONTH($A111),MIN(Settings!$C$61,DAY($B111))))&gt;=MAX($A111,Settings!$D$61),IF(Settings!$C$61="",$B111,DATE(YEAR($A111),MONTH($A111),MIN(Settings!$C$61,DAY($B111))))&lt;=MIN($C111,IF(Settings!$E$61="",$C111,Settings!$E$61))),1,0))+IF(OR(OR(Settings!$B$62="",Settings!$F$62="No"),Settings!$H$62&lt;&gt;"Yes"),0,Settings!$B$62*IF(AND(IF(Settings!$C$62="",$B111,DATE(YEAR($A111),MONTH($A111),MIN(Settings!$C$62,DAY($B111))))&gt;=MAX($A111,Settings!$D$62),IF(Settings!$C$62="",$B111,DATE(YEAR($A111),MONTH($A111),MIN(Settings!$C$62,DAY($B111))))&lt;=MIN($C111,IF(Settings!$E$62="",$C111,Settings!$E$62))),1,0))+IF(OR(OR(Settings!$B$63="",Settings!$F$63="No"),Settings!$H$63&lt;&gt;"Yes"),0,Settings!$B$63*IF(AND(IF(Settings!$C$63="",$B111,DATE(YEAR($A111),MONTH($A111),MIN(Settings!$C$63,DAY($B111))))&gt;=MAX($A111,Settings!$D$63),IF(Settings!$C$63="",$B111,DATE(YEAR($A111),MONTH($A111),MIN(Settings!$C$63,DAY($B111))))&lt;=MIN($C111,IF(Settings!$E$63="",$C111,Settings!$E$63))),1,0))+IF(OR(OR(Settings!$B$64="",Settings!$F$64="No"),Settings!$H$64&lt;&gt;"Yes"),0,Settings!$B$64*IF(AND(IF(Settings!$C$64="",$B111,DATE(YEAR($A111),MONTH($A111),MIN(Settings!$C$64,DAY($B111))))&gt;=MAX($A111,Settings!$D$64),IF(Settings!$C$64="",$B111,DATE(YEAR($A111),MONTH($A111),MIN(Settings!$C$64,DAY($B111))))&lt;=MIN($C111,IF(Settings!$E$64="",$C111,Settings!$E$64))),1,0))+IF(OR(OR(Settings!$B$65="",Settings!$F$65="No"),Settings!$H$65&lt;&gt;"Yes"),0,Settings!$B$65*IF(AND(IF(Settings!$C$65="",$B111,DATE(YEAR($A111),MONTH($A111),MIN(Settings!$C$65,DAY($B111))))&gt;=MAX($A111,Settings!$D$65),IF(Settings!$C$65="",$B111,DATE(YEAR($A111),MONTH($A111),MIN(Settings!$C$65,DAY($B111))))&lt;=MIN($C111,IF(Settings!$E$65="",$C111,Settings!$E$65))),1,0))</f>
        <v/>
      </c>
      <c r="FI111">
        <f>IF($DT111=1,IF(OR(Settings!$B$19="Card",Settings!$B$19="Loan"),N($AE111),0)+IF(OR(Settings!$B$20="Card",Settings!$B$20="Loan"),N($AF111),0)+IF(OR(Settings!$B$21="Card",Settings!$B$21="Loan"),N($AG111),0)+IF(OR(Settings!$B$22="Card",Settings!$B$22="Loan"),N($AH111),0)+IF(OR(Settings!$B$23="Card",Settings!$B$23="Loan"),N($AI111),0)+IF(OR(Settings!$B$24="Card",Settings!$B$24="Loan"),N($AJ111),0)+IF(OR(Settings!$B$25="Card",Settings!$B$25="Loan"),N($AK111),0)+IF(OR(Settings!$B$26="Card",Settings!$B$26="Loan"),N($AL111),0)+IF(OR(Settings!$B$27="Card",Settings!$B$27="Loan"),N($AM111),0)+IF(OR(Settings!$B$28="Card",Settings!$B$28="Loan"),N($AN111),0)+IF(OR(Settings!$B$29="Card",Settings!$B$29="Loan"),N($AO111),0)+IF(OR(Settings!$B$30="Card",Settings!$B$30="Loan"),N($AP111),0)+IF(OR(Settings!$B$31="Card",Settings!$B$31="Loan"),N($AQ111),0)+IF(OR(Settings!$B$32="Card",Settings!$B$32="Loan"),N($AR111),0),"")</f>
        <v/>
      </c>
      <c r="FJ111">
        <f>IF($E111="open",$EB$65,IF($E111="post",IF($E110="pre",$EB$65,$FI110),""))</f>
        <v/>
      </c>
      <c r="FK111">
        <f>IF(AND($DT111=1,$DC111=1),IF(ROUND($FI111-$FJ111,2)&gt;0,1,0),0)</f>
        <v/>
      </c>
      <c r="FL111">
        <f>IF($FK111=1,$FL110+1,0)</f>
        <v/>
      </c>
    </row>
    <row r="112">
      <c r="A112">
        <f>'Month-End'!$DE$4</f>
        <v/>
      </c>
      <c r="B112">
        <f>EOMONTH($A112,0)</f>
        <v/>
      </c>
      <c r="C112">
        <f>MIN($B112,TODAY())</f>
        <v/>
      </c>
      <c r="D112">
        <f>IF($A112&gt;TODAY(),1,0)</f>
        <v/>
      </c>
      <c r="E112">
        <f>IF($B112&lt;=Settings!$B$5,"pre",IF($A112&lt;=Settings!$B$5,"open","post"))</f>
        <v/>
      </c>
      <c r="G112">
        <f>IF('Month-End'!$DE$22="",$BE112,N('Month-End'!$DE$22))</f>
        <v/>
      </c>
      <c r="H112">
        <f>IF('Month-End'!$DE$23="",$BF112,N('Month-End'!$DE$23))</f>
        <v/>
      </c>
      <c r="I112">
        <f>IF('Month-End'!$DE$24="",$BG112,N('Month-End'!$DE$24))</f>
        <v/>
      </c>
      <c r="J112">
        <f>IF('Month-End'!$DE$25="",$BH112,N('Month-End'!$DE$25))</f>
        <v/>
      </c>
      <c r="K112">
        <f>IF('Month-End'!$DE$26="",$BI112,N('Month-End'!$DE$26))</f>
        <v/>
      </c>
      <c r="L112">
        <f>IF('Month-End'!$DE$27="",$BJ112,N('Month-End'!$DE$27))</f>
        <v/>
      </c>
      <c r="M112">
        <f>IF('Month-End'!$DE$28="",$BK112,N('Month-End'!$DE$28))</f>
        <v/>
      </c>
      <c r="N112">
        <f>IF('Month-End'!$DE$29="",$BL112,N('Month-End'!$DE$29))</f>
        <v/>
      </c>
      <c r="O112">
        <f>IF('Month-End'!$DE$30="",$BM112,N('Month-End'!$DE$30))</f>
        <v/>
      </c>
      <c r="P112">
        <f>IF('Month-End'!$DE$31="",$BN112,N('Month-End'!$DE$31))</f>
        <v/>
      </c>
      <c r="Q112">
        <f>IF('Month-End'!$DE$32="",$BO112,N('Month-End'!$DE$32))</f>
        <v/>
      </c>
      <c r="R112">
        <f>IF('Month-End'!$DE$33="",$BP112,N('Month-End'!$DE$33))</f>
        <v/>
      </c>
      <c r="S112">
        <f>$G112+$H112+$I112+$J112+$K112+$L112+$M112+$N112+$O112+$P112+$Q112+$R112</f>
        <v/>
      </c>
      <c r="T112">
        <f>IF($B112&lt;Settings!$B$6,0,IF(Settings!$B$45="Yes",$G112,0)+IF(Settings!$B$46="Yes",$H112,0)+IF(Settings!$B$47="Yes",$I112,0)+IF(Settings!$B$48="Yes",$J112,0)+IF(Settings!$B$49="Yes",$K112,0)+IF(Settings!$B$50="Yes",$L112,0)+IF(Settings!$B$51="Yes",$M112,0)+IF(Settings!$B$52="Yes",$N112,0)+IF(Settings!$B$53="Yes",$O112,0)+IF(Settings!$B$54="Yes",$P112,0)+IF(Settings!$B$55="Yes",$Q112,0)+IF(Settings!$B$56="Yes",$R112,0))</f>
        <v/>
      </c>
      <c r="U112">
        <f>IF(Settings!$B$45="Not Sure",$G112,0)+IF(Settings!$B$46="Not Sure",$H112,0)+IF(Settings!$B$47="Not Sure",$I112,0)+IF(Settings!$B$48="Not Sure",$J112,0)+IF(Settings!$B$49="Not Sure",$K112,0)+IF(Settings!$B$50="Not Sure",$L112,0)+IF(Settings!$B$51="Not Sure",$M112,0)+IF(Settings!$B$52="Not Sure",$N112,0)+IF(Settings!$B$53="Not Sure",$O112,0)+IF(Settings!$B$54="Not Sure",$P112,0)+IF(Settings!$B$55="Not Sure",$Q112,0)+IF(Settings!$B$56="Not Sure",$R112,0)</f>
        <v/>
      </c>
      <c r="V112">
        <f>IF($E112="open",SUM($ET112:$FE112)+N(Settings!$B$13),0)</f>
        <v/>
      </c>
      <c r="W112">
        <f>IF($E112="post",$S112,IF($E112="open",$S112-$V112,0))</f>
        <v/>
      </c>
      <c r="X112">
        <f>SUMIFS(Giving!$B$7:$B$2006,Giving!$A$7:$A$2006,"&gt;="&amp;$A112,Giving!$A$7:$A$2006,"&lt;="&amp;$B112,Giving!$E$7:$E$2006,"&lt;&gt;No")</f>
        <v/>
      </c>
      <c r="Y112">
        <f>SUMIFS(Giving!$B$7:$B$2006,Giving!$A$7:$A$2006,"&gt;="&amp;$A112,Giving!$A$7:$A$2006,"&lt;="&amp;$B112,Giving!$E$7:$E$2006,"No")</f>
        <v/>
      </c>
      <c r="Z112">
        <f>IF(OR(Settings!$B$60="",Settings!$F$60="No"),0,Settings!$B$60*IF(AND(IF(Settings!$C$60="",$B112,DATE(YEAR($A112),MONTH($A112),MIN(Settings!$C$60,DAY($B112))))&gt;=MAX($A112,Settings!$D$60),IF(Settings!$C$60="",$B112,DATE(YEAR($A112),MONTH($A112),MIN(Settings!$C$60,DAY($B112))))&lt;=MIN($C112,IF(Settings!$E$60="",$C112,Settings!$E$60))),1,0))+IF(OR(Settings!$B$61="",Settings!$F$61="No"),0,Settings!$B$61*IF(AND(IF(Settings!$C$61="",$B112,DATE(YEAR($A112),MONTH($A112),MIN(Settings!$C$61,DAY($B112))))&gt;=MAX($A112,Settings!$D$61),IF(Settings!$C$61="",$B112,DATE(YEAR($A112),MONTH($A112),MIN(Settings!$C$61,DAY($B112))))&lt;=MIN($C112,IF(Settings!$E$61="",$C112,Settings!$E$61))),1,0))+IF(OR(Settings!$B$62="",Settings!$F$62="No"),0,Settings!$B$62*IF(AND(IF(Settings!$C$62="",$B112,DATE(YEAR($A112),MONTH($A112),MIN(Settings!$C$62,DAY($B112))))&gt;=MAX($A112,Settings!$D$62),IF(Settings!$C$62="",$B112,DATE(YEAR($A112),MONTH($A112),MIN(Settings!$C$62,DAY($B112))))&lt;=MIN($C112,IF(Settings!$E$62="",$C112,Settings!$E$62))),1,0))+IF(OR(Settings!$B$63="",Settings!$F$63="No"),0,Settings!$B$63*IF(AND(IF(Settings!$C$63="",$B112,DATE(YEAR($A112),MONTH($A112),MIN(Settings!$C$63,DAY($B112))))&gt;=MAX($A112,Settings!$D$63),IF(Settings!$C$63="",$B112,DATE(YEAR($A112),MONTH($A112),MIN(Settings!$C$63,DAY($B112))))&lt;=MIN($C112,IF(Settings!$E$63="",$C112,Settings!$E$63))),1,0))+IF(OR(Settings!$B$64="",Settings!$F$64="No"),0,Settings!$B$64*IF(AND(IF(Settings!$C$64="",$B112,DATE(YEAR($A112),MONTH($A112),MIN(Settings!$C$64,DAY($B112))))&gt;=MAX($A112,Settings!$D$64),IF(Settings!$C$64="",$B112,DATE(YEAR($A112),MONTH($A112),MIN(Settings!$C$64,DAY($B112))))&lt;=MIN($C112,IF(Settings!$E$64="",$C112,Settings!$E$64))),1,0))+IF(OR(Settings!$B$65="",Settings!$F$65="No"),0,Settings!$B$65*IF(AND(IF(Settings!$C$65="",$B112,DATE(YEAR($A112),MONTH($A112),MIN(Settings!$C$65,DAY($B112))))&gt;=MAX($A112,Settings!$D$65),IF(Settings!$C$65="",$B112,DATE(YEAR($A112),MONTH($A112),MIN(Settings!$C$65,DAY($B112))))&lt;=MIN($C112,IF(Settings!$E$65="",$C112,Settings!$E$65))),1,0))</f>
        <v/>
      </c>
      <c r="AA112">
        <f>$X112+$Z112</f>
        <v/>
      </c>
      <c r="AB112">
        <f>IF($E112="post",$AA112,IF($E112="open",SUMIFS(Giving!$B$7:$B$2006,Giving!$A$7:$A$2006,"&gt;"&amp;Settings!$B$5,Giving!$A$7:$A$2006,"&lt;="&amp;$B112,Giving!$E$7:$E$2006,"&lt;&gt;No")+IF(OR(Settings!$B$60="",Settings!$F$60="No"),0,Settings!$B$60*IF(AND(IF(Settings!$C$60="",$B112,DATE(YEAR($A112),MONTH($A112),MIN(Settings!$C$60,DAY($B112))))&gt;=MAX($A112,Settings!$D$60,Settings!$B$5+1),IF(Settings!$C$60="",$B112,DATE(YEAR($A112),MONTH($A112),MIN(Settings!$C$60,DAY($B112))))&lt;=MIN($C112,IF(Settings!$E$60="",$C112,Settings!$E$60))),1,0))+IF(OR(Settings!$B$61="",Settings!$F$61="No"),0,Settings!$B$61*IF(AND(IF(Settings!$C$61="",$B112,DATE(YEAR($A112),MONTH($A112),MIN(Settings!$C$61,DAY($B112))))&gt;=MAX($A112,Settings!$D$61,Settings!$B$5+1),IF(Settings!$C$61="",$B112,DATE(YEAR($A112),MONTH($A112),MIN(Settings!$C$61,DAY($B112))))&lt;=MIN($C112,IF(Settings!$E$61="",$C112,Settings!$E$61))),1,0))+IF(OR(Settings!$B$62="",Settings!$F$62="No"),0,Settings!$B$62*IF(AND(IF(Settings!$C$62="",$B112,DATE(YEAR($A112),MONTH($A112),MIN(Settings!$C$62,DAY($B112))))&gt;=MAX($A112,Settings!$D$62,Settings!$B$5+1),IF(Settings!$C$62="",$B112,DATE(YEAR($A112),MONTH($A112),MIN(Settings!$C$62,DAY($B112))))&lt;=MIN($C112,IF(Settings!$E$62="",$C112,Settings!$E$62))),1,0))+IF(OR(Settings!$B$63="",Settings!$F$63="No"),0,Settings!$B$63*IF(AND(IF(Settings!$C$63="",$B112,DATE(YEAR($A112),MONTH($A112),MIN(Settings!$C$63,DAY($B112))))&gt;=MAX($A112,Settings!$D$63,Settings!$B$5+1),IF(Settings!$C$63="",$B112,DATE(YEAR($A112),MONTH($A112),MIN(Settings!$C$63,DAY($B112))))&lt;=MIN($C112,IF(Settings!$E$63="",$C112,Settings!$E$63))),1,0))+IF(OR(Settings!$B$64="",Settings!$F$64="No"),0,Settings!$B$64*IF(AND(IF(Settings!$C$64="",$B112,DATE(YEAR($A112),MONTH($A112),MIN(Settings!$C$64,DAY($B112))))&gt;=MAX($A112,Settings!$D$64,Settings!$B$5+1),IF(Settings!$C$64="",$B112,DATE(YEAR($A112),MONTH($A112),MIN(Settings!$C$64,DAY($B112))))&lt;=MIN($C112,IF(Settings!$E$64="",$C112,Settings!$E$64))),1,0))+IF(OR(Settings!$B$65="",Settings!$F$65="No"),0,Settings!$B$65*IF(AND(IF(Settings!$C$65="",$B112,DATE(YEAR($A112),MONTH($A112),MIN(Settings!$C$65,DAY($B112))))&gt;=MAX($A112,Settings!$D$65,Settings!$B$5+1),IF(Settings!$C$65="",$B112,DATE(YEAR($A112),MONTH($A112),MIN(Settings!$C$65,DAY($B112))))&lt;=MIN($C112,IF(Settings!$E$65="",$C112,Settings!$E$65))),1,0)),0))</f>
        <v/>
      </c>
      <c r="AC112">
        <f>$AY112+$AZ112+$BA112+$BB112+$BC112+$BD112</f>
        <v/>
      </c>
      <c r="AD112">
        <f>$AC112</f>
        <v/>
      </c>
      <c r="AE112">
        <f>IF(OR(Settings!$A$19="",$E112="pre"),"",IF(AND('Month-End'!$DE$7&lt;&gt;"",NOT(_xlfn.ISFORMULA('Month-End'!$DE$7))),N('Month-End'!$DE$7),IF(OR($E112="open",$E111="pre"),N(Settings!$C$19),N($AE111))))</f>
        <v/>
      </c>
      <c r="AF112">
        <f>IF(OR(Settings!$A$20="",$E112="pre"),"",IF(AND('Month-End'!$DE$8&lt;&gt;"",NOT(_xlfn.ISFORMULA('Month-End'!$DE$8))),N('Month-End'!$DE$8),IF(OR($E112="open",$E111="pre"),N(Settings!$C$20),N($AF111))))</f>
        <v/>
      </c>
      <c r="AG112">
        <f>IF(OR(Settings!$A$21="",$E112="pre"),"",IF(AND('Month-End'!$DE$9&lt;&gt;"",NOT(_xlfn.ISFORMULA('Month-End'!$DE$9))),N('Month-End'!$DE$9),IF(OR($E112="open",$E111="pre"),N(Settings!$C$21),N($AG111))))</f>
        <v/>
      </c>
      <c r="AH112">
        <f>IF(OR(Settings!$A$22="",$E112="pre"),"",IF(AND('Month-End'!$DE$10&lt;&gt;"",NOT(_xlfn.ISFORMULA('Month-End'!$DE$10))),N('Month-End'!$DE$10),IF(OR($E112="open",$E111="pre"),N(Settings!$C$22),N($AH111))))</f>
        <v/>
      </c>
      <c r="AI112">
        <f>IF(OR(Settings!$A$23="",$E112="pre"),"",IF(AND('Month-End'!$DE$11&lt;&gt;"",NOT(_xlfn.ISFORMULA('Month-End'!$DE$11))),N('Month-End'!$DE$11),IF(OR($E112="open",$E111="pre"),N(Settings!$C$23),N($AI111))))</f>
        <v/>
      </c>
      <c r="AJ112">
        <f>IF(OR(Settings!$A$24="",$E112="pre"),"",IF(AND('Month-End'!$DE$12&lt;&gt;"",NOT(_xlfn.ISFORMULA('Month-End'!$DE$12))),N('Month-End'!$DE$12),IF(OR($E112="open",$E111="pre"),N(Settings!$C$24),N($AJ111))))</f>
        <v/>
      </c>
      <c r="AK112">
        <f>IF(OR(Settings!$A$25="",$E112="pre"),"",IF(AND('Month-End'!$DE$13&lt;&gt;"",NOT(_xlfn.ISFORMULA('Month-End'!$DE$13))),N('Month-End'!$DE$13),IF(OR($E112="open",$E111="pre"),N(Settings!$C$25),N($AK111))))</f>
        <v/>
      </c>
      <c r="AL112">
        <f>IF(OR(Settings!$A$26="",$E112="pre"),"",IF(AND('Month-End'!$DE$14&lt;&gt;"",NOT(_xlfn.ISFORMULA('Month-End'!$DE$14))),N('Month-End'!$DE$14),IF(OR($E112="open",$E111="pre"),N(Settings!$C$26),N($AL111))))</f>
        <v/>
      </c>
      <c r="AM112">
        <f>IF(OR(Settings!$A$27="",$E112="pre"),"",IF(AND('Month-End'!$DE$15&lt;&gt;"",NOT(_xlfn.ISFORMULA('Month-End'!$DE$15))),N('Month-End'!$DE$15),IF(OR($E112="open",$E111="pre"),N(Settings!$C$27),N($AM111))))</f>
        <v/>
      </c>
      <c r="AN112">
        <f>IF(OR(Settings!$A$28="",$E112="pre"),"",IF(AND('Month-End'!$DE$16&lt;&gt;"",NOT(_xlfn.ISFORMULA('Month-End'!$DE$16))),N('Month-End'!$DE$16),IF(OR($E112="open",$E111="pre"),N(Settings!$C$28),N($AN111))))</f>
        <v/>
      </c>
      <c r="AO112">
        <f>IF(OR(Settings!$A$29="",$E112="pre"),"",IF(AND('Month-End'!$DE$17&lt;&gt;"",NOT(_xlfn.ISFORMULA('Month-End'!$DE$17))),N('Month-End'!$DE$17),IF(OR($E112="open",$E111="pre"),N(Settings!$C$29),N($AO111))))</f>
        <v/>
      </c>
      <c r="AP112">
        <f>IF(OR(Settings!$A$30="",$E112="pre"),"",IF(AND('Month-End'!$DE$18&lt;&gt;"",NOT(_xlfn.ISFORMULA('Month-End'!$DE$18))),N('Month-End'!$DE$18),IF(OR($E112="open",$E111="pre"),N(Settings!$C$30),N($AP111))))</f>
        <v/>
      </c>
      <c r="AQ112">
        <f>IF(OR(Settings!$A$31="",$E112="pre"),"",IF(AND('Month-End'!$DE$19&lt;&gt;"",NOT(_xlfn.ISFORMULA('Month-End'!$DE$19))),N('Month-End'!$DE$19),IF(OR($E112="open",$E111="pre"),N(Settings!$C$31),N($AQ111))))</f>
        <v/>
      </c>
      <c r="AR112">
        <f>IF(OR(Settings!$A$32="",$E112="pre"),"",IF(AND('Month-End'!$DE$20&lt;&gt;"",NOT(_xlfn.ISFORMULA('Month-End'!$DE$20))),N('Month-End'!$DE$20),IF(OR($E112="open",$E111="pre"),N(Settings!$C$32),N($AR111))))</f>
        <v/>
      </c>
      <c r="AS112">
        <f>IF(OR(Settings!$A$36="",$E112="pre"),"",IF(AND('Month-End'!$DE$38&lt;&gt;"",NOT(_xlfn.ISFORMULA('Month-End'!$DE$38))),N('Month-End'!$DE$38),IF(OR($E112="open",$E111="pre"),N(Settings!$C$36),N($AS111))+$AY112))</f>
        <v/>
      </c>
      <c r="AT112">
        <f>IF(OR(Settings!$A$37="",$E112="pre"),"",IF(AND('Month-End'!$DE$39&lt;&gt;"",NOT(_xlfn.ISFORMULA('Month-End'!$DE$39))),N('Month-End'!$DE$39),IF(OR($E112="open",$E111="pre"),N(Settings!$C$37),N($AT111))+$AZ112))</f>
        <v/>
      </c>
      <c r="AU112">
        <f>IF(OR(Settings!$A$38="",$E112="pre"),"",IF(AND('Month-End'!$DE$40&lt;&gt;"",NOT(_xlfn.ISFORMULA('Month-End'!$DE$40))),N('Month-End'!$DE$40),IF(OR($E112="open",$E111="pre"),N(Settings!$C$38),N($AU111))+$BA112))</f>
        <v/>
      </c>
      <c r="AV112">
        <f>IF(OR(Settings!$A$39="",$E112="pre"),"",IF(AND('Month-End'!$DE$41&lt;&gt;"",NOT(_xlfn.ISFORMULA('Month-End'!$DE$41))),N('Month-End'!$DE$41),IF(OR($E112="open",$E111="pre"),N(Settings!$C$39),N($AV111))+$BB112))</f>
        <v/>
      </c>
      <c r="AW112">
        <f>IF(OR(Settings!$A$40="",$E112="pre"),"",IF(AND('Month-End'!$DE$42&lt;&gt;"",NOT(_xlfn.ISFORMULA('Month-End'!$DE$42))),N('Month-End'!$DE$42),IF(OR($E112="open",$E111="pre"),N(Settings!$C$40),N($AW111))+$BC112))</f>
        <v/>
      </c>
      <c r="AX112">
        <f>IF(OR(Settings!$A$41="",$E112="pre"),"",IF(AND('Month-End'!$DE$43&lt;&gt;"",NOT(_xlfn.ISFORMULA('Month-End'!$DE$43))),N('Month-End'!$DE$43),IF(OR($E112="open",$E111="pre"),N(Settings!$C$41),N($AX111))+$BD112))</f>
        <v/>
      </c>
      <c r="AY112">
        <f>IF($E112="pre",0,N('Month-End'!$DE$45))</f>
        <v/>
      </c>
      <c r="AZ112">
        <f>IF($E112="pre",0,N('Month-End'!$DE$46))</f>
        <v/>
      </c>
      <c r="BA112">
        <f>IF($E112="pre",0,N('Month-End'!$DE$47))</f>
        <v/>
      </c>
      <c r="BB112">
        <f>IF($E112="pre",0,N('Month-End'!$DE$48))</f>
        <v/>
      </c>
      <c r="BC112">
        <f>IF($E112="pre",0,N('Month-End'!$DE$49))</f>
        <v/>
      </c>
      <c r="BD112">
        <f>IF($E112="pre",0,N('Month-End'!$DE$50))</f>
        <v/>
      </c>
      <c r="BE112">
        <f>IF(OR(Settings!$C$45="",Settings!$D$45=""),0,Settings!$C$45*IF(Settings!$D$45="Weekly",IF(IFERROR(MATCH(Settings!$E$45,$EO$4:$EO$10,0),0)=0,0,IF(MIN($C112,IF(Settings!$G$45="",$C112,Settings!$G$45))&lt;MAX($A112,Settings!$F$45),0,INT((MIN($C112,IF(Settings!$G$45="",$C112,Settings!$G$45))-MAX($A112,Settings!$F$45)-MOD(IFERROR(MATCH(Settings!$E$45,$EO$4:$EO$10,0),0)-WEEKDAY(MAX($A112,Settings!$F$45)),7))/7)+1)),IF(AND(IF(Settings!$E$45="",$B112,DATE(YEAR($A112),MONTH($A112),MIN(Settings!$E$45,DAY($B112))))&gt;=MAX($A112,Settings!$F$45),IF(Settings!$E$45="",$B112,DATE(YEAR($A112),MONTH($A112),MIN(Settings!$E$45,DAY($B112))))&lt;=MIN($C112,IF(Settings!$G$45="",$C112,Settings!$G$45))),1,0)))</f>
        <v/>
      </c>
      <c r="BF112">
        <f>IF(OR(Settings!$C$46="",Settings!$D$46=""),0,Settings!$C$46*IF(Settings!$D$46="Weekly",IF(IFERROR(MATCH(Settings!$E$46,$EO$4:$EO$10,0),0)=0,0,IF(MIN($C112,IF(Settings!$G$46="",$C112,Settings!$G$46))&lt;MAX($A112,Settings!$F$46),0,INT((MIN($C112,IF(Settings!$G$46="",$C112,Settings!$G$46))-MAX($A112,Settings!$F$46)-MOD(IFERROR(MATCH(Settings!$E$46,$EO$4:$EO$10,0),0)-WEEKDAY(MAX($A112,Settings!$F$46)),7))/7)+1)),IF(AND(IF(Settings!$E$46="",$B112,DATE(YEAR($A112),MONTH($A112),MIN(Settings!$E$46,DAY($B112))))&gt;=MAX($A112,Settings!$F$46),IF(Settings!$E$46="",$B112,DATE(YEAR($A112),MONTH($A112),MIN(Settings!$E$46,DAY($B112))))&lt;=MIN($C112,IF(Settings!$G$46="",$C112,Settings!$G$46))),1,0)))</f>
        <v/>
      </c>
      <c r="BG112">
        <f>IF(OR(Settings!$C$47="",Settings!$D$47=""),0,Settings!$C$47*IF(Settings!$D$47="Weekly",IF(IFERROR(MATCH(Settings!$E$47,$EO$4:$EO$10,0),0)=0,0,IF(MIN($C112,IF(Settings!$G$47="",$C112,Settings!$G$47))&lt;MAX($A112,Settings!$F$47),0,INT((MIN($C112,IF(Settings!$G$47="",$C112,Settings!$G$47))-MAX($A112,Settings!$F$47)-MOD(IFERROR(MATCH(Settings!$E$47,$EO$4:$EO$10,0),0)-WEEKDAY(MAX($A112,Settings!$F$47)),7))/7)+1)),IF(AND(IF(Settings!$E$47="",$B112,DATE(YEAR($A112),MONTH($A112),MIN(Settings!$E$47,DAY($B112))))&gt;=MAX($A112,Settings!$F$47),IF(Settings!$E$47="",$B112,DATE(YEAR($A112),MONTH($A112),MIN(Settings!$E$47,DAY($B112))))&lt;=MIN($C112,IF(Settings!$G$47="",$C112,Settings!$G$47))),1,0)))</f>
        <v/>
      </c>
      <c r="BH112">
        <f>IF(OR(Settings!$C$48="",Settings!$D$48=""),0,Settings!$C$48*IF(Settings!$D$48="Weekly",IF(IFERROR(MATCH(Settings!$E$48,$EO$4:$EO$10,0),0)=0,0,IF(MIN($C112,IF(Settings!$G$48="",$C112,Settings!$G$48))&lt;MAX($A112,Settings!$F$48),0,INT((MIN($C112,IF(Settings!$G$48="",$C112,Settings!$G$48))-MAX($A112,Settings!$F$48)-MOD(IFERROR(MATCH(Settings!$E$48,$EO$4:$EO$10,0),0)-WEEKDAY(MAX($A112,Settings!$F$48)),7))/7)+1)),IF(AND(IF(Settings!$E$48="",$B112,DATE(YEAR($A112),MONTH($A112),MIN(Settings!$E$48,DAY($B112))))&gt;=MAX($A112,Settings!$F$48),IF(Settings!$E$48="",$B112,DATE(YEAR($A112),MONTH($A112),MIN(Settings!$E$48,DAY($B112))))&lt;=MIN($C112,IF(Settings!$G$48="",$C112,Settings!$G$48))),1,0)))</f>
        <v/>
      </c>
      <c r="BI112">
        <f>IF(OR(Settings!$C$49="",Settings!$D$49=""),0,Settings!$C$49*IF(Settings!$D$49="Weekly",IF(IFERROR(MATCH(Settings!$E$49,$EO$4:$EO$10,0),0)=0,0,IF(MIN($C112,IF(Settings!$G$49="",$C112,Settings!$G$49))&lt;MAX($A112,Settings!$F$49),0,INT((MIN($C112,IF(Settings!$G$49="",$C112,Settings!$G$49))-MAX($A112,Settings!$F$49)-MOD(IFERROR(MATCH(Settings!$E$49,$EO$4:$EO$10,0),0)-WEEKDAY(MAX($A112,Settings!$F$49)),7))/7)+1)),IF(AND(IF(Settings!$E$49="",$B112,DATE(YEAR($A112),MONTH($A112),MIN(Settings!$E$49,DAY($B112))))&gt;=MAX($A112,Settings!$F$49),IF(Settings!$E$49="",$B112,DATE(YEAR($A112),MONTH($A112),MIN(Settings!$E$49,DAY($B112))))&lt;=MIN($C112,IF(Settings!$G$49="",$C112,Settings!$G$49))),1,0)))</f>
        <v/>
      </c>
      <c r="BJ112">
        <f>IF(OR(Settings!$C$50="",Settings!$D$50=""),0,Settings!$C$50*IF(Settings!$D$50="Weekly",IF(IFERROR(MATCH(Settings!$E$50,$EO$4:$EO$10,0),0)=0,0,IF(MIN($C112,IF(Settings!$G$50="",$C112,Settings!$G$50))&lt;MAX($A112,Settings!$F$50),0,INT((MIN($C112,IF(Settings!$G$50="",$C112,Settings!$G$50))-MAX($A112,Settings!$F$50)-MOD(IFERROR(MATCH(Settings!$E$50,$EO$4:$EO$10,0),0)-WEEKDAY(MAX($A112,Settings!$F$50)),7))/7)+1)),IF(AND(IF(Settings!$E$50="",$B112,DATE(YEAR($A112),MONTH($A112),MIN(Settings!$E$50,DAY($B112))))&gt;=MAX($A112,Settings!$F$50),IF(Settings!$E$50="",$B112,DATE(YEAR($A112),MONTH($A112),MIN(Settings!$E$50,DAY($B112))))&lt;=MIN($C112,IF(Settings!$G$50="",$C112,Settings!$G$50))),1,0)))</f>
        <v/>
      </c>
      <c r="BK112">
        <f>IF(OR(Settings!$C$51="",Settings!$D$51=""),0,Settings!$C$51*IF(Settings!$D$51="Weekly",IF(IFERROR(MATCH(Settings!$E$51,$EO$4:$EO$10,0),0)=0,0,IF(MIN($C112,IF(Settings!$G$51="",$C112,Settings!$G$51))&lt;MAX($A112,Settings!$F$51),0,INT((MIN($C112,IF(Settings!$G$51="",$C112,Settings!$G$51))-MAX($A112,Settings!$F$51)-MOD(IFERROR(MATCH(Settings!$E$51,$EO$4:$EO$10,0),0)-WEEKDAY(MAX($A112,Settings!$F$51)),7))/7)+1)),IF(AND(IF(Settings!$E$51="",$B112,DATE(YEAR($A112),MONTH($A112),MIN(Settings!$E$51,DAY($B112))))&gt;=MAX($A112,Settings!$F$51),IF(Settings!$E$51="",$B112,DATE(YEAR($A112),MONTH($A112),MIN(Settings!$E$51,DAY($B112))))&lt;=MIN($C112,IF(Settings!$G$51="",$C112,Settings!$G$51))),1,0)))</f>
        <v/>
      </c>
      <c r="BL112">
        <f>IF(OR(Settings!$C$52="",Settings!$D$52=""),0,Settings!$C$52*IF(Settings!$D$52="Weekly",IF(IFERROR(MATCH(Settings!$E$52,$EO$4:$EO$10,0),0)=0,0,IF(MIN($C112,IF(Settings!$G$52="",$C112,Settings!$G$52))&lt;MAX($A112,Settings!$F$52),0,INT((MIN($C112,IF(Settings!$G$52="",$C112,Settings!$G$52))-MAX($A112,Settings!$F$52)-MOD(IFERROR(MATCH(Settings!$E$52,$EO$4:$EO$10,0),0)-WEEKDAY(MAX($A112,Settings!$F$52)),7))/7)+1)),IF(AND(IF(Settings!$E$52="",$B112,DATE(YEAR($A112),MONTH($A112),MIN(Settings!$E$52,DAY($B112))))&gt;=MAX($A112,Settings!$F$52),IF(Settings!$E$52="",$B112,DATE(YEAR($A112),MONTH($A112),MIN(Settings!$E$52,DAY($B112))))&lt;=MIN($C112,IF(Settings!$G$52="",$C112,Settings!$G$52))),1,0)))</f>
        <v/>
      </c>
      <c r="BM112">
        <f>IF(OR(Settings!$C$53="",Settings!$D$53=""),0,Settings!$C$53*IF(Settings!$D$53="Weekly",IF(IFERROR(MATCH(Settings!$E$53,$EO$4:$EO$10,0),0)=0,0,IF(MIN($C112,IF(Settings!$G$53="",$C112,Settings!$G$53))&lt;MAX($A112,Settings!$F$53),0,INT((MIN($C112,IF(Settings!$G$53="",$C112,Settings!$G$53))-MAX($A112,Settings!$F$53)-MOD(IFERROR(MATCH(Settings!$E$53,$EO$4:$EO$10,0),0)-WEEKDAY(MAX($A112,Settings!$F$53)),7))/7)+1)),IF(AND(IF(Settings!$E$53="",$B112,DATE(YEAR($A112),MONTH($A112),MIN(Settings!$E$53,DAY($B112))))&gt;=MAX($A112,Settings!$F$53),IF(Settings!$E$53="",$B112,DATE(YEAR($A112),MONTH($A112),MIN(Settings!$E$53,DAY($B112))))&lt;=MIN($C112,IF(Settings!$G$53="",$C112,Settings!$G$53))),1,0)))</f>
        <v/>
      </c>
      <c r="BN112">
        <f>IF(OR(Settings!$C$54="",Settings!$D$54=""),0,Settings!$C$54*IF(Settings!$D$54="Weekly",IF(IFERROR(MATCH(Settings!$E$54,$EO$4:$EO$10,0),0)=0,0,IF(MIN($C112,IF(Settings!$G$54="",$C112,Settings!$G$54))&lt;MAX($A112,Settings!$F$54),0,INT((MIN($C112,IF(Settings!$G$54="",$C112,Settings!$G$54))-MAX($A112,Settings!$F$54)-MOD(IFERROR(MATCH(Settings!$E$54,$EO$4:$EO$10,0),0)-WEEKDAY(MAX($A112,Settings!$F$54)),7))/7)+1)),IF(AND(IF(Settings!$E$54="",$B112,DATE(YEAR($A112),MONTH($A112),MIN(Settings!$E$54,DAY($B112))))&gt;=MAX($A112,Settings!$F$54),IF(Settings!$E$54="",$B112,DATE(YEAR($A112),MONTH($A112),MIN(Settings!$E$54,DAY($B112))))&lt;=MIN($C112,IF(Settings!$G$54="",$C112,Settings!$G$54))),1,0)))</f>
        <v/>
      </c>
      <c r="BO112">
        <f>IF(OR(Settings!$C$55="",Settings!$D$55=""),0,Settings!$C$55*IF(Settings!$D$55="Weekly",IF(IFERROR(MATCH(Settings!$E$55,$EO$4:$EO$10,0),0)=0,0,IF(MIN($C112,IF(Settings!$G$55="",$C112,Settings!$G$55))&lt;MAX($A112,Settings!$F$55),0,INT((MIN($C112,IF(Settings!$G$55="",$C112,Settings!$G$55))-MAX($A112,Settings!$F$55)-MOD(IFERROR(MATCH(Settings!$E$55,$EO$4:$EO$10,0),0)-WEEKDAY(MAX($A112,Settings!$F$55)),7))/7)+1)),IF(AND(IF(Settings!$E$55="",$B112,DATE(YEAR($A112),MONTH($A112),MIN(Settings!$E$55,DAY($B112))))&gt;=MAX($A112,Settings!$F$55),IF(Settings!$E$55="",$B112,DATE(YEAR($A112),MONTH($A112),MIN(Settings!$E$55,DAY($B112))))&lt;=MIN($C112,IF(Settings!$G$55="",$C112,Settings!$G$55))),1,0)))</f>
        <v/>
      </c>
      <c r="BP112">
        <f>IF(OR(Settings!$C$56="",Settings!$D$56=""),0,Settings!$C$56*IF(Settings!$D$56="Weekly",IF(IFERROR(MATCH(Settings!$E$56,$EO$4:$EO$10,0),0)=0,0,IF(MIN($C112,IF(Settings!$G$56="",$C112,Settings!$G$56))&lt;MAX($A112,Settings!$F$56),0,INT((MIN($C112,IF(Settings!$G$56="",$C112,Settings!$G$56))-MAX($A112,Settings!$F$56)-MOD(IFERROR(MATCH(Settings!$E$56,$EO$4:$EO$10,0),0)-WEEKDAY(MAX($A112,Settings!$F$56)),7))/7)+1)),IF(AND(IF(Settings!$E$56="",$B112,DATE(YEAR($A112),MONTH($A112),MIN(Settings!$E$56,DAY($B112))))&gt;=MAX($A112,Settings!$F$56),IF(Settings!$E$56="",$B112,DATE(YEAR($A112),MONTH($A112),MIN(Settings!$E$56,DAY($B112))))&lt;=MIN($C112,IF(Settings!$G$56="",$C112,Settings!$G$56))),1,0)))</f>
        <v/>
      </c>
      <c r="BQ112">
        <f>IF(OR(Settings!$B$14="",$D112=1,$E112="pre",$A112&lt;IF(Settings!$B$15="",0,Settings!$B$15)),0,Settings!$B$14)</f>
        <v/>
      </c>
      <c r="BR112">
        <f>IF(AND('Month-End'!$DE$7&lt;&gt;"",NOT(_xlfn.ISFORMULA('Month-End'!$DE$7))),1,0)</f>
        <v/>
      </c>
      <c r="BS112">
        <f>IF(AND('Month-End'!$DE$8&lt;&gt;"",NOT(_xlfn.ISFORMULA('Month-End'!$DE$8))),1,0)</f>
        <v/>
      </c>
      <c r="BT112">
        <f>IF(AND('Month-End'!$DE$9&lt;&gt;"",NOT(_xlfn.ISFORMULA('Month-End'!$DE$9))),1,0)</f>
        <v/>
      </c>
      <c r="BU112">
        <f>IF(AND('Month-End'!$DE$10&lt;&gt;"",NOT(_xlfn.ISFORMULA('Month-End'!$DE$10))),1,0)</f>
        <v/>
      </c>
      <c r="BV112">
        <f>IF(AND('Month-End'!$DE$11&lt;&gt;"",NOT(_xlfn.ISFORMULA('Month-End'!$DE$11))),1,0)</f>
        <v/>
      </c>
      <c r="BW112">
        <f>IF(AND('Month-End'!$DE$12&lt;&gt;"",NOT(_xlfn.ISFORMULA('Month-End'!$DE$12))),1,0)</f>
        <v/>
      </c>
      <c r="BX112">
        <f>IF(AND('Month-End'!$DE$13&lt;&gt;"",NOT(_xlfn.ISFORMULA('Month-End'!$DE$13))),1,0)</f>
        <v/>
      </c>
      <c r="BY112">
        <f>IF(AND('Month-End'!$DE$14&lt;&gt;"",NOT(_xlfn.ISFORMULA('Month-End'!$DE$14))),1,0)</f>
        <v/>
      </c>
      <c r="BZ112">
        <f>IF(AND('Month-End'!$DE$15&lt;&gt;"",NOT(_xlfn.ISFORMULA('Month-End'!$DE$15))),1,0)</f>
        <v/>
      </c>
      <c r="CA112">
        <f>IF(AND('Month-End'!$DE$16&lt;&gt;"",NOT(_xlfn.ISFORMULA('Month-End'!$DE$16))),1,0)</f>
        <v/>
      </c>
      <c r="CB112">
        <f>IF(AND('Month-End'!$DE$17&lt;&gt;"",NOT(_xlfn.ISFORMULA('Month-End'!$DE$17))),1,0)</f>
        <v/>
      </c>
      <c r="CC112">
        <f>IF(AND('Month-End'!$DE$18&lt;&gt;"",NOT(_xlfn.ISFORMULA('Month-End'!$DE$18))),1,0)</f>
        <v/>
      </c>
      <c r="CD112">
        <f>IF(AND('Month-End'!$DE$19&lt;&gt;"",NOT(_xlfn.ISFORMULA('Month-End'!$DE$19))),1,0)</f>
        <v/>
      </c>
      <c r="CE112">
        <f>IF(AND('Month-End'!$DE$20&lt;&gt;"",NOT(_xlfn.ISFORMULA('Month-End'!$DE$20))),1,0)</f>
        <v/>
      </c>
      <c r="CF112">
        <f>IF(AND('Month-End'!$DE$38&lt;&gt;"",NOT(_xlfn.ISFORMULA('Month-End'!$DE$38))),1,0)</f>
        <v/>
      </c>
      <c r="CG112">
        <f>IF(AND('Month-End'!$DE$39&lt;&gt;"",NOT(_xlfn.ISFORMULA('Month-End'!$DE$39))),1,0)</f>
        <v/>
      </c>
      <c r="CH112">
        <f>IF(AND('Month-End'!$DE$40&lt;&gt;"",NOT(_xlfn.ISFORMULA('Month-End'!$DE$40))),1,0)</f>
        <v/>
      </c>
      <c r="CI112">
        <f>IF(AND('Month-End'!$DE$41&lt;&gt;"",NOT(_xlfn.ISFORMULA('Month-End'!$DE$41))),1,0)</f>
        <v/>
      </c>
      <c r="CJ112">
        <f>IF(AND('Month-End'!$DE$42&lt;&gt;"",NOT(_xlfn.ISFORMULA('Month-End'!$DE$42))),1,0)</f>
        <v/>
      </c>
      <c r="CK112">
        <f>IF(AND('Month-End'!$DE$43&lt;&gt;"",NOT(_xlfn.ISFORMULA('Month-End'!$DE$43))),1,0)</f>
        <v/>
      </c>
      <c r="CL112">
        <f>SUM($CM112:$CZ112)</f>
        <v/>
      </c>
      <c r="CM112">
        <f>IF(AND($E112&lt;&gt;"pre",AND(Settings!$A$19&lt;&gt;"",Settings!$E$19&lt;&gt;"No"),Settings!$F$19="Yes",NOT(AND('Month-End'!$DE$7&lt;&gt;"",NOT(_xlfn.ISFORMULA('Month-End'!$DE$7))))),1,0)</f>
        <v/>
      </c>
      <c r="CN112">
        <f>IF(AND($E112&lt;&gt;"pre",AND(Settings!$A$20&lt;&gt;"",Settings!$E$20&lt;&gt;"No"),Settings!$F$20="Yes",NOT(AND('Month-End'!$DE$8&lt;&gt;"",NOT(_xlfn.ISFORMULA('Month-End'!$DE$8))))),1,0)</f>
        <v/>
      </c>
      <c r="CO112">
        <f>IF(AND($E112&lt;&gt;"pre",AND(Settings!$A$21&lt;&gt;"",Settings!$E$21&lt;&gt;"No"),Settings!$F$21="Yes",NOT(AND('Month-End'!$DE$9&lt;&gt;"",NOT(_xlfn.ISFORMULA('Month-End'!$DE$9))))),1,0)</f>
        <v/>
      </c>
      <c r="CP112">
        <f>IF(AND($E112&lt;&gt;"pre",AND(Settings!$A$22&lt;&gt;"",Settings!$E$22&lt;&gt;"No"),Settings!$F$22="Yes",NOT(AND('Month-End'!$DE$10&lt;&gt;"",NOT(_xlfn.ISFORMULA('Month-End'!$DE$10))))),1,0)</f>
        <v/>
      </c>
      <c r="CQ112">
        <f>IF(AND($E112&lt;&gt;"pre",AND(Settings!$A$23&lt;&gt;"",Settings!$E$23&lt;&gt;"No"),Settings!$F$23="Yes",NOT(AND('Month-End'!$DE$11&lt;&gt;"",NOT(_xlfn.ISFORMULA('Month-End'!$DE$11))))),1,0)</f>
        <v/>
      </c>
      <c r="CR112">
        <f>IF(AND($E112&lt;&gt;"pre",AND(Settings!$A$24&lt;&gt;"",Settings!$E$24&lt;&gt;"No"),Settings!$F$24="Yes",NOT(AND('Month-End'!$DE$12&lt;&gt;"",NOT(_xlfn.ISFORMULA('Month-End'!$DE$12))))),1,0)</f>
        <v/>
      </c>
      <c r="CS112">
        <f>IF(AND($E112&lt;&gt;"pre",AND(Settings!$A$25&lt;&gt;"",Settings!$E$25&lt;&gt;"No"),Settings!$F$25="Yes",NOT(AND('Month-End'!$DE$13&lt;&gt;"",NOT(_xlfn.ISFORMULA('Month-End'!$DE$13))))),1,0)</f>
        <v/>
      </c>
      <c r="CT112">
        <f>IF(AND($E112&lt;&gt;"pre",AND(Settings!$A$26&lt;&gt;"",Settings!$E$26&lt;&gt;"No"),Settings!$F$26="Yes",NOT(AND('Month-End'!$DE$14&lt;&gt;"",NOT(_xlfn.ISFORMULA('Month-End'!$DE$14))))),1,0)</f>
        <v/>
      </c>
      <c r="CU112">
        <f>IF(AND($E112&lt;&gt;"pre",AND(Settings!$A$27&lt;&gt;"",Settings!$E$27&lt;&gt;"No"),Settings!$F$27="Yes",NOT(AND('Month-End'!$DE$15&lt;&gt;"",NOT(_xlfn.ISFORMULA('Month-End'!$DE$15))))),1,0)</f>
        <v/>
      </c>
      <c r="CV112">
        <f>IF(AND($E112&lt;&gt;"pre",AND(Settings!$A$28&lt;&gt;"",Settings!$E$28&lt;&gt;"No"),Settings!$F$28="Yes",NOT(AND('Month-End'!$DE$16&lt;&gt;"",NOT(_xlfn.ISFORMULA('Month-End'!$DE$16))))),1,0)</f>
        <v/>
      </c>
      <c r="CW112">
        <f>IF(AND($E112&lt;&gt;"pre",AND(Settings!$A$29&lt;&gt;"",Settings!$E$29&lt;&gt;"No"),Settings!$F$29="Yes",NOT(AND('Month-End'!$DE$17&lt;&gt;"",NOT(_xlfn.ISFORMULA('Month-End'!$DE$17))))),1,0)</f>
        <v/>
      </c>
      <c r="CX112">
        <f>IF(AND($E112&lt;&gt;"pre",AND(Settings!$A$30&lt;&gt;"",Settings!$E$30&lt;&gt;"No"),Settings!$F$30="Yes",NOT(AND('Month-End'!$DE$18&lt;&gt;"",NOT(_xlfn.ISFORMULA('Month-End'!$DE$18))))),1,0)</f>
        <v/>
      </c>
      <c r="CY112">
        <f>IF(AND($E112&lt;&gt;"pre",AND(Settings!$A$31&lt;&gt;"",Settings!$E$31&lt;&gt;"No"),Settings!$F$31="Yes",NOT(AND('Month-End'!$DE$19&lt;&gt;"",NOT(_xlfn.ISFORMULA('Month-End'!$DE$19))))),1,0)</f>
        <v/>
      </c>
      <c r="CZ112">
        <f>IF(AND($E112&lt;&gt;"pre",AND(Settings!$A$32&lt;&gt;"",Settings!$E$32&lt;&gt;"No"),Settings!$F$32="Yes",NOT(AND('Month-End'!$DE$20&lt;&gt;"",NOT(_xlfn.ISFORMULA('Month-End'!$DE$20))))),1,0)</f>
        <v/>
      </c>
      <c r="DA112">
        <f>IF($DT112=1,IF(OR(Settings!$B$19="Checking",Settings!$B$19="Savings",Settings!$B$19="Cash"),N($AE112),IF(OR(Settings!$B$19="Card",Settings!$B$19="Loan"),-N($AE112),0))+IF(OR(Settings!$B$20="Checking",Settings!$B$20="Savings",Settings!$B$20="Cash"),N($AF112),IF(OR(Settings!$B$20="Card",Settings!$B$20="Loan"),-N($AF112),0))+IF(OR(Settings!$B$21="Checking",Settings!$B$21="Savings",Settings!$B$21="Cash"),N($AG112),IF(OR(Settings!$B$21="Card",Settings!$B$21="Loan"),-N($AG112),0))+IF(OR(Settings!$B$22="Checking",Settings!$B$22="Savings",Settings!$B$22="Cash"),N($AH112),IF(OR(Settings!$B$22="Card",Settings!$B$22="Loan"),-N($AH112),0))+IF(OR(Settings!$B$23="Checking",Settings!$B$23="Savings",Settings!$B$23="Cash"),N($AI112),IF(OR(Settings!$B$23="Card",Settings!$B$23="Loan"),-N($AI112),0))+IF(OR(Settings!$B$24="Checking",Settings!$B$24="Savings",Settings!$B$24="Cash"),N($AJ112),IF(OR(Settings!$B$24="Card",Settings!$B$24="Loan"),-N($AJ112),0))+IF(OR(Settings!$B$25="Checking",Settings!$B$25="Savings",Settings!$B$25="Cash"),N($AK112),IF(OR(Settings!$B$25="Card",Settings!$B$25="Loan"),-N($AK112),0))+IF(OR(Settings!$B$26="Checking",Settings!$B$26="Savings",Settings!$B$26="Cash"),N($AL112),IF(OR(Settings!$B$26="Card",Settings!$B$26="Loan"),-N($AL112),0))+IF(OR(Settings!$B$27="Checking",Settings!$B$27="Savings",Settings!$B$27="Cash"),N($AM112),IF(OR(Settings!$B$27="Card",Settings!$B$27="Loan"),-N($AM112),0))+IF(OR(Settings!$B$28="Checking",Settings!$B$28="Savings",Settings!$B$28="Cash"),N($AN112),IF(OR(Settings!$B$28="Card",Settings!$B$28="Loan"),-N($AN112),0))+IF(OR(Settings!$B$29="Checking",Settings!$B$29="Savings",Settings!$B$29="Cash"),N($AO112),IF(OR(Settings!$B$29="Card",Settings!$B$29="Loan"),-N($AO112),0))+IF(OR(Settings!$B$30="Checking",Settings!$B$30="Savings",Settings!$B$30="Cash"),N($AP112),IF(OR(Settings!$B$30="Card",Settings!$B$30="Loan"),-N($AP112),0))+IF(OR(Settings!$B$31="Checking",Settings!$B$31="Savings",Settings!$B$31="Cash"),N($AQ112),IF(OR(Settings!$B$31="Card",Settings!$B$31="Loan"),-N($AQ112),0))+IF(OR(Settings!$B$32="Checking",Settings!$B$32="Savings",Settings!$B$32="Cash"),N($AR112),IF(OR(Settings!$B$32="Card",Settings!$B$32="Loan"),-N($AR112),0)),"")</f>
        <v/>
      </c>
      <c r="DB112">
        <f>IF($E112="open",$EB$27,IF($E112="post",IF($E111="pre",$EB$27,$DA111),""))</f>
        <v/>
      </c>
      <c r="DC112">
        <f>IF($E112="open",1,IF($E112="post",IF($E111="pre",1,$DT111),0))</f>
        <v/>
      </c>
      <c r="DD112">
        <f>IF(AND($DT112=1,$DC112=1),ROUND($W112-($DA112-$DB112)-$AD112-$AB112,2),"")</f>
        <v/>
      </c>
      <c r="DE112">
        <f>IF('Month-End'!$DE$35="",$BQ112,N('Month-End'!$DE$35))</f>
        <v/>
      </c>
      <c r="DF112">
        <f>N('Month-End'!$DE$36)</f>
        <v/>
      </c>
      <c r="DG112">
        <f>IF($DD112="","",$DD112+$DE112)</f>
        <v/>
      </c>
      <c r="DH112">
        <f>IF($DG112="","",$DG112-$DF112)</f>
        <v/>
      </c>
      <c r="DI112">
        <f>IF(OR($E112="pre",$D112=1),"",N($AS112)+N($AT112)+N($AU112)+N($AV112)+N($AW112)+N($AX112))</f>
        <v/>
      </c>
      <c r="DJ112">
        <f>IF($DT112=1,$DA112+N($DI112),"")</f>
        <v/>
      </c>
      <c r="DK112">
        <f>IF($DD112="","",$W112-$DD112-$AB112)</f>
        <v/>
      </c>
      <c r="DL112">
        <f>IF(AND($E112="post",$DD112&lt;&gt;"",$B112&lt;TODAY()),1,0)</f>
        <v/>
      </c>
      <c r="DM112">
        <f>IF($DL112=1,COUNTIF($DL112:$DL$183,1),0)</f>
        <v/>
      </c>
      <c r="DN112">
        <f>IF($D112=1,"",IF($E112="pre","History only",IF($DT112=1,IF($DD112="","⚠ Previous month missing",IF($DD112&lt;0,"⚠ Check: spending &lt; 0",IF($E112="open","✓ Done (partial)","✓ Done"))),IF($B112&gt;=TODAY(),"In progress","⚠ Needs balances"))))</f>
        <v/>
      </c>
      <c r="DO112">
        <f>YEAR($A112)</f>
        <v/>
      </c>
      <c r="DP112">
        <f>DATE(YEAR($A112),INT((MONTH($A112)-1)/3)*3+1,1)</f>
        <v/>
      </c>
      <c r="DQ112">
        <f>IF(AND($DT112=1,$DD112&lt;&gt;"",$D112=0),ROW(),0)</f>
        <v/>
      </c>
      <c r="DR112">
        <f>IF(AND($E112&lt;&gt;"pre",$B112&lt;TODAY(),$DT112=0),1,0)</f>
        <v/>
      </c>
      <c r="DS112">
        <f>IF($DJ112="",NA(),$DJ112)</f>
        <v/>
      </c>
      <c r="DT112">
        <f>IF(AND($E112&lt;&gt;"pre",$CL112=0,COUNTIFS(Settings!$F$19:$F$32,"Yes",Settings!$A$19:$A$32,"&lt;&gt;",Settings!$E$19:$E$32,"&lt;&gt;No")&gt;0),1,0)</f>
        <v/>
      </c>
      <c r="DU112">
        <f>IF(AND($B112&lt;TODAY(),$S112&gt;0),1,0)</f>
        <v/>
      </c>
      <c r="DV112">
        <f>IF($DU112=1,COUNTIF($DU112:$DU$183,1),0)</f>
        <v/>
      </c>
      <c r="DW112">
        <f>IF(AND(OR(Settings!$B$19="Card",Settings!$B$19="Loan"),AND('Month-End'!$DE$7&lt;&gt;"",NOT(_xlfn.ISFORMULA('Month-End'!$DE$7)))),IF(N('Month-End'!$DE$7)&lt;0,1,0),0)+IF(AND(OR(Settings!$B$20="Card",Settings!$B$20="Loan"),AND('Month-End'!$DE$8&lt;&gt;"",NOT(_xlfn.ISFORMULA('Month-End'!$DE$8)))),IF(N('Month-End'!$DE$8)&lt;0,1,0),0)+IF(AND(OR(Settings!$B$21="Card",Settings!$B$21="Loan"),AND('Month-End'!$DE$9&lt;&gt;"",NOT(_xlfn.ISFORMULA('Month-End'!$DE$9)))),IF(N('Month-End'!$DE$9)&lt;0,1,0),0)+IF(AND(OR(Settings!$B$22="Card",Settings!$B$22="Loan"),AND('Month-End'!$DE$10&lt;&gt;"",NOT(_xlfn.ISFORMULA('Month-End'!$DE$10)))),IF(N('Month-End'!$DE$10)&lt;0,1,0),0)+IF(AND(OR(Settings!$B$23="Card",Settings!$B$23="Loan"),AND('Month-End'!$DE$11&lt;&gt;"",NOT(_xlfn.ISFORMULA('Month-End'!$DE$11)))),IF(N('Month-End'!$DE$11)&lt;0,1,0),0)+IF(AND(OR(Settings!$B$24="Card",Settings!$B$24="Loan"),AND('Month-End'!$DE$12&lt;&gt;"",NOT(_xlfn.ISFORMULA('Month-End'!$DE$12)))),IF(N('Month-End'!$DE$12)&lt;0,1,0),0)+IF(AND(OR(Settings!$B$25="Card",Settings!$B$25="Loan"),AND('Month-End'!$DE$13&lt;&gt;"",NOT(_xlfn.ISFORMULA('Month-End'!$DE$13)))),IF(N('Month-End'!$DE$13)&lt;0,1,0),0)+IF(AND(OR(Settings!$B$26="Card",Settings!$B$26="Loan"),AND('Month-End'!$DE$14&lt;&gt;"",NOT(_xlfn.ISFORMULA('Month-End'!$DE$14)))),IF(N('Month-End'!$DE$14)&lt;0,1,0),0)+IF(AND(OR(Settings!$B$27="Card",Settings!$B$27="Loan"),AND('Month-End'!$DE$15&lt;&gt;"",NOT(_xlfn.ISFORMULA('Month-End'!$DE$15)))),IF(N('Month-End'!$DE$15)&lt;0,1,0),0)+IF(AND(OR(Settings!$B$28="Card",Settings!$B$28="Loan"),AND('Month-End'!$DE$16&lt;&gt;"",NOT(_xlfn.ISFORMULA('Month-End'!$DE$16)))),IF(N('Month-End'!$DE$16)&lt;0,1,0),0)+IF(AND(OR(Settings!$B$29="Card",Settings!$B$29="Loan"),AND('Month-End'!$DE$17&lt;&gt;"",NOT(_xlfn.ISFORMULA('Month-End'!$DE$17)))),IF(N('Month-End'!$DE$17)&lt;0,1,0),0)+IF(AND(OR(Settings!$B$30="Card",Settings!$B$30="Loan"),AND('Month-End'!$DE$18&lt;&gt;"",NOT(_xlfn.ISFORMULA('Month-End'!$DE$18)))),IF(N('Month-End'!$DE$18)&lt;0,1,0),0)+IF(AND(OR(Settings!$B$31="Card",Settings!$B$31="Loan"),AND('Month-End'!$DE$19&lt;&gt;"",NOT(_xlfn.ISFORMULA('Month-End'!$DE$19)))),IF(N('Month-End'!$DE$19)&lt;0,1,0),0)+IF(AND(OR(Settings!$B$32="Card",Settings!$B$32="Loan"),AND('Month-End'!$DE$20&lt;&gt;"",NOT(_xlfn.ISFORMULA('Month-End'!$DE$20)))),IF(N('Month-End'!$DE$20)&lt;0,1,0),0)</f>
        <v/>
      </c>
      <c r="DX112">
        <f>IF(Settings!$B$36="Retirement",$AY112,0)+IF(Settings!$B$37="Retirement",$AZ112,0)+IF(Settings!$B$38="Retirement",$BA112,0)+IF(Settings!$B$39="Retirement",$BB112,0)+IF(Settings!$B$40="Retirement",$BC112,0)+IF(Settings!$B$41="Retirement",$BD112,0)</f>
        <v/>
      </c>
      <c r="EO112">
        <f>EDATE(DATE(YEAR(TODAY()),MONTH(TODAY()),1),-11)</f>
        <v/>
      </c>
      <c r="ER112">
        <f>IFERROR(IF(INDEX($DJ$6:$DJ$183,MATCH(EO112,$A$6:$A$183,0))="",NA(),INDEX($DJ$6:$DJ$183,MATCH(EO112,$A$6:$A$183,0))),NA())</f>
        <v/>
      </c>
      <c r="ES112">
        <f>TEXT(EO112,"mmm yy")</f>
        <v/>
      </c>
      <c r="ET112">
        <f>IF($E112&lt;&gt;"open",0,IF(AND('Month-End'!$DE$22&lt;&gt;"",NOT(_xlfn.ISFORMULA('Month-End'!$DE$22))),0,IF(OR(Settings!$C$45="",Settings!$D$45=""),0,Settings!$C$45*IF(Settings!$D$45="Weekly",IF(IFERROR(MATCH(Settings!$E$45,$EO$4:$EO$10,0),0)=0,0,IF(MIN(Settings!$B$5,IF(Settings!$G$45="",Settings!$B$5,Settings!$G$45))&lt;MAX($A112,Settings!$F$45),0,INT((MIN(Settings!$B$5,IF(Settings!$G$45="",Settings!$B$5,Settings!$G$45))-MAX($A112,Settings!$F$45)-MOD(IFERROR(MATCH(Settings!$E$45,$EO$4:$EO$10,0),0)-WEEKDAY(MAX($A112,Settings!$F$45)),7))/7)+1)),IF(AND(IF(Settings!$E$45="",$B112,DATE(YEAR($A112),MONTH($A112),MIN(Settings!$E$45,DAY($B112))))&gt;=MAX($A112,Settings!$F$45),IF(Settings!$E$45="",$B112,DATE(YEAR($A112),MONTH($A112),MIN(Settings!$E$45,DAY($B112))))&lt;=MIN(Settings!$B$5,IF(Settings!$G$45="",Settings!$B$5,Settings!$G$45))),1,0)))))</f>
        <v/>
      </c>
      <c r="EU112">
        <f>IF($E112&lt;&gt;"open",0,IF(AND('Month-End'!$DE$23&lt;&gt;"",NOT(_xlfn.ISFORMULA('Month-End'!$DE$23))),0,IF(OR(Settings!$C$46="",Settings!$D$46=""),0,Settings!$C$46*IF(Settings!$D$46="Weekly",IF(IFERROR(MATCH(Settings!$E$46,$EO$4:$EO$10,0),0)=0,0,IF(MIN(Settings!$B$5,IF(Settings!$G$46="",Settings!$B$5,Settings!$G$46))&lt;MAX($A112,Settings!$F$46),0,INT((MIN(Settings!$B$5,IF(Settings!$G$46="",Settings!$B$5,Settings!$G$46))-MAX($A112,Settings!$F$46)-MOD(IFERROR(MATCH(Settings!$E$46,$EO$4:$EO$10,0),0)-WEEKDAY(MAX($A112,Settings!$F$46)),7))/7)+1)),IF(AND(IF(Settings!$E$46="",$B112,DATE(YEAR($A112),MONTH($A112),MIN(Settings!$E$46,DAY($B112))))&gt;=MAX($A112,Settings!$F$46),IF(Settings!$E$46="",$B112,DATE(YEAR($A112),MONTH($A112),MIN(Settings!$E$46,DAY($B112))))&lt;=MIN(Settings!$B$5,IF(Settings!$G$46="",Settings!$B$5,Settings!$G$46))),1,0)))))</f>
        <v/>
      </c>
      <c r="EV112">
        <f>IF($E112&lt;&gt;"open",0,IF(AND('Month-End'!$DE$24&lt;&gt;"",NOT(_xlfn.ISFORMULA('Month-End'!$DE$24))),0,IF(OR(Settings!$C$47="",Settings!$D$47=""),0,Settings!$C$47*IF(Settings!$D$47="Weekly",IF(IFERROR(MATCH(Settings!$E$47,$EO$4:$EO$10,0),0)=0,0,IF(MIN(Settings!$B$5,IF(Settings!$G$47="",Settings!$B$5,Settings!$G$47))&lt;MAX($A112,Settings!$F$47),0,INT((MIN(Settings!$B$5,IF(Settings!$G$47="",Settings!$B$5,Settings!$G$47))-MAX($A112,Settings!$F$47)-MOD(IFERROR(MATCH(Settings!$E$47,$EO$4:$EO$10,0),0)-WEEKDAY(MAX($A112,Settings!$F$47)),7))/7)+1)),IF(AND(IF(Settings!$E$47="",$B112,DATE(YEAR($A112),MONTH($A112),MIN(Settings!$E$47,DAY($B112))))&gt;=MAX($A112,Settings!$F$47),IF(Settings!$E$47="",$B112,DATE(YEAR($A112),MONTH($A112),MIN(Settings!$E$47,DAY($B112))))&lt;=MIN(Settings!$B$5,IF(Settings!$G$47="",Settings!$B$5,Settings!$G$47))),1,0)))))</f>
        <v/>
      </c>
      <c r="EW112">
        <f>IF($E112&lt;&gt;"open",0,IF(AND('Month-End'!$DE$25&lt;&gt;"",NOT(_xlfn.ISFORMULA('Month-End'!$DE$25))),0,IF(OR(Settings!$C$48="",Settings!$D$48=""),0,Settings!$C$48*IF(Settings!$D$48="Weekly",IF(IFERROR(MATCH(Settings!$E$48,$EO$4:$EO$10,0),0)=0,0,IF(MIN(Settings!$B$5,IF(Settings!$G$48="",Settings!$B$5,Settings!$G$48))&lt;MAX($A112,Settings!$F$48),0,INT((MIN(Settings!$B$5,IF(Settings!$G$48="",Settings!$B$5,Settings!$G$48))-MAX($A112,Settings!$F$48)-MOD(IFERROR(MATCH(Settings!$E$48,$EO$4:$EO$10,0),0)-WEEKDAY(MAX($A112,Settings!$F$48)),7))/7)+1)),IF(AND(IF(Settings!$E$48="",$B112,DATE(YEAR($A112),MONTH($A112),MIN(Settings!$E$48,DAY($B112))))&gt;=MAX($A112,Settings!$F$48),IF(Settings!$E$48="",$B112,DATE(YEAR($A112),MONTH($A112),MIN(Settings!$E$48,DAY($B112))))&lt;=MIN(Settings!$B$5,IF(Settings!$G$48="",Settings!$B$5,Settings!$G$48))),1,0)))))</f>
        <v/>
      </c>
      <c r="EX112">
        <f>IF($E112&lt;&gt;"open",0,IF(AND('Month-End'!$DE$26&lt;&gt;"",NOT(_xlfn.ISFORMULA('Month-End'!$DE$26))),0,IF(OR(Settings!$C$49="",Settings!$D$49=""),0,Settings!$C$49*IF(Settings!$D$49="Weekly",IF(IFERROR(MATCH(Settings!$E$49,$EO$4:$EO$10,0),0)=0,0,IF(MIN(Settings!$B$5,IF(Settings!$G$49="",Settings!$B$5,Settings!$G$49))&lt;MAX($A112,Settings!$F$49),0,INT((MIN(Settings!$B$5,IF(Settings!$G$49="",Settings!$B$5,Settings!$G$49))-MAX($A112,Settings!$F$49)-MOD(IFERROR(MATCH(Settings!$E$49,$EO$4:$EO$10,0),0)-WEEKDAY(MAX($A112,Settings!$F$49)),7))/7)+1)),IF(AND(IF(Settings!$E$49="",$B112,DATE(YEAR($A112),MONTH($A112),MIN(Settings!$E$49,DAY($B112))))&gt;=MAX($A112,Settings!$F$49),IF(Settings!$E$49="",$B112,DATE(YEAR($A112),MONTH($A112),MIN(Settings!$E$49,DAY($B112))))&lt;=MIN(Settings!$B$5,IF(Settings!$G$49="",Settings!$B$5,Settings!$G$49))),1,0)))))</f>
        <v/>
      </c>
      <c r="EY112">
        <f>IF($E112&lt;&gt;"open",0,IF(AND('Month-End'!$DE$27&lt;&gt;"",NOT(_xlfn.ISFORMULA('Month-End'!$DE$27))),0,IF(OR(Settings!$C$50="",Settings!$D$50=""),0,Settings!$C$50*IF(Settings!$D$50="Weekly",IF(IFERROR(MATCH(Settings!$E$50,$EO$4:$EO$10,0),0)=0,0,IF(MIN(Settings!$B$5,IF(Settings!$G$50="",Settings!$B$5,Settings!$G$50))&lt;MAX($A112,Settings!$F$50),0,INT((MIN(Settings!$B$5,IF(Settings!$G$50="",Settings!$B$5,Settings!$G$50))-MAX($A112,Settings!$F$50)-MOD(IFERROR(MATCH(Settings!$E$50,$EO$4:$EO$10,0),0)-WEEKDAY(MAX($A112,Settings!$F$50)),7))/7)+1)),IF(AND(IF(Settings!$E$50="",$B112,DATE(YEAR($A112),MONTH($A112),MIN(Settings!$E$50,DAY($B112))))&gt;=MAX($A112,Settings!$F$50),IF(Settings!$E$50="",$B112,DATE(YEAR($A112),MONTH($A112),MIN(Settings!$E$50,DAY($B112))))&lt;=MIN(Settings!$B$5,IF(Settings!$G$50="",Settings!$B$5,Settings!$G$50))),1,0)))))</f>
        <v/>
      </c>
      <c r="EZ112">
        <f>IF($E112&lt;&gt;"open",0,IF(AND('Month-End'!$DE$28&lt;&gt;"",NOT(_xlfn.ISFORMULA('Month-End'!$DE$28))),0,IF(OR(Settings!$C$51="",Settings!$D$51=""),0,Settings!$C$51*IF(Settings!$D$51="Weekly",IF(IFERROR(MATCH(Settings!$E$51,$EO$4:$EO$10,0),0)=0,0,IF(MIN(Settings!$B$5,IF(Settings!$G$51="",Settings!$B$5,Settings!$G$51))&lt;MAX($A112,Settings!$F$51),0,INT((MIN(Settings!$B$5,IF(Settings!$G$51="",Settings!$B$5,Settings!$G$51))-MAX($A112,Settings!$F$51)-MOD(IFERROR(MATCH(Settings!$E$51,$EO$4:$EO$10,0),0)-WEEKDAY(MAX($A112,Settings!$F$51)),7))/7)+1)),IF(AND(IF(Settings!$E$51="",$B112,DATE(YEAR($A112),MONTH($A112),MIN(Settings!$E$51,DAY($B112))))&gt;=MAX($A112,Settings!$F$51),IF(Settings!$E$51="",$B112,DATE(YEAR($A112),MONTH($A112),MIN(Settings!$E$51,DAY($B112))))&lt;=MIN(Settings!$B$5,IF(Settings!$G$51="",Settings!$B$5,Settings!$G$51))),1,0)))))</f>
        <v/>
      </c>
      <c r="FA112">
        <f>IF($E112&lt;&gt;"open",0,IF(AND('Month-End'!$DE$29&lt;&gt;"",NOT(_xlfn.ISFORMULA('Month-End'!$DE$29))),0,IF(OR(Settings!$C$52="",Settings!$D$52=""),0,Settings!$C$52*IF(Settings!$D$52="Weekly",IF(IFERROR(MATCH(Settings!$E$52,$EO$4:$EO$10,0),0)=0,0,IF(MIN(Settings!$B$5,IF(Settings!$G$52="",Settings!$B$5,Settings!$G$52))&lt;MAX($A112,Settings!$F$52),0,INT((MIN(Settings!$B$5,IF(Settings!$G$52="",Settings!$B$5,Settings!$G$52))-MAX($A112,Settings!$F$52)-MOD(IFERROR(MATCH(Settings!$E$52,$EO$4:$EO$10,0),0)-WEEKDAY(MAX($A112,Settings!$F$52)),7))/7)+1)),IF(AND(IF(Settings!$E$52="",$B112,DATE(YEAR($A112),MONTH($A112),MIN(Settings!$E$52,DAY($B112))))&gt;=MAX($A112,Settings!$F$52),IF(Settings!$E$52="",$B112,DATE(YEAR($A112),MONTH($A112),MIN(Settings!$E$52,DAY($B112))))&lt;=MIN(Settings!$B$5,IF(Settings!$G$52="",Settings!$B$5,Settings!$G$52))),1,0)))))</f>
        <v/>
      </c>
      <c r="FB112">
        <f>IF($E112&lt;&gt;"open",0,IF(AND('Month-End'!$DE$30&lt;&gt;"",NOT(_xlfn.ISFORMULA('Month-End'!$DE$30))),0,IF(OR(Settings!$C$53="",Settings!$D$53=""),0,Settings!$C$53*IF(Settings!$D$53="Weekly",IF(IFERROR(MATCH(Settings!$E$53,$EO$4:$EO$10,0),0)=0,0,IF(MIN(Settings!$B$5,IF(Settings!$G$53="",Settings!$B$5,Settings!$G$53))&lt;MAX($A112,Settings!$F$53),0,INT((MIN(Settings!$B$5,IF(Settings!$G$53="",Settings!$B$5,Settings!$G$53))-MAX($A112,Settings!$F$53)-MOD(IFERROR(MATCH(Settings!$E$53,$EO$4:$EO$10,0),0)-WEEKDAY(MAX($A112,Settings!$F$53)),7))/7)+1)),IF(AND(IF(Settings!$E$53="",$B112,DATE(YEAR($A112),MONTH($A112),MIN(Settings!$E$53,DAY($B112))))&gt;=MAX($A112,Settings!$F$53),IF(Settings!$E$53="",$B112,DATE(YEAR($A112),MONTH($A112),MIN(Settings!$E$53,DAY($B112))))&lt;=MIN(Settings!$B$5,IF(Settings!$G$53="",Settings!$B$5,Settings!$G$53))),1,0)))))</f>
        <v/>
      </c>
      <c r="FC112">
        <f>IF($E112&lt;&gt;"open",0,IF(AND('Month-End'!$DE$31&lt;&gt;"",NOT(_xlfn.ISFORMULA('Month-End'!$DE$31))),0,IF(OR(Settings!$C$54="",Settings!$D$54=""),0,Settings!$C$54*IF(Settings!$D$54="Weekly",IF(IFERROR(MATCH(Settings!$E$54,$EO$4:$EO$10,0),0)=0,0,IF(MIN(Settings!$B$5,IF(Settings!$G$54="",Settings!$B$5,Settings!$G$54))&lt;MAX($A112,Settings!$F$54),0,INT((MIN(Settings!$B$5,IF(Settings!$G$54="",Settings!$B$5,Settings!$G$54))-MAX($A112,Settings!$F$54)-MOD(IFERROR(MATCH(Settings!$E$54,$EO$4:$EO$10,0),0)-WEEKDAY(MAX($A112,Settings!$F$54)),7))/7)+1)),IF(AND(IF(Settings!$E$54="",$B112,DATE(YEAR($A112),MONTH($A112),MIN(Settings!$E$54,DAY($B112))))&gt;=MAX($A112,Settings!$F$54),IF(Settings!$E$54="",$B112,DATE(YEAR($A112),MONTH($A112),MIN(Settings!$E$54,DAY($B112))))&lt;=MIN(Settings!$B$5,IF(Settings!$G$54="",Settings!$B$5,Settings!$G$54))),1,0)))))</f>
        <v/>
      </c>
      <c r="FD112">
        <f>IF($E112&lt;&gt;"open",0,IF(AND('Month-End'!$DE$32&lt;&gt;"",NOT(_xlfn.ISFORMULA('Month-End'!$DE$32))),0,IF(OR(Settings!$C$55="",Settings!$D$55=""),0,Settings!$C$55*IF(Settings!$D$55="Weekly",IF(IFERROR(MATCH(Settings!$E$55,$EO$4:$EO$10,0),0)=0,0,IF(MIN(Settings!$B$5,IF(Settings!$G$55="",Settings!$B$5,Settings!$G$55))&lt;MAX($A112,Settings!$F$55),0,INT((MIN(Settings!$B$5,IF(Settings!$G$55="",Settings!$B$5,Settings!$G$55))-MAX($A112,Settings!$F$55)-MOD(IFERROR(MATCH(Settings!$E$55,$EO$4:$EO$10,0),0)-WEEKDAY(MAX($A112,Settings!$F$55)),7))/7)+1)),IF(AND(IF(Settings!$E$55="",$B112,DATE(YEAR($A112),MONTH($A112),MIN(Settings!$E$55,DAY($B112))))&gt;=MAX($A112,Settings!$F$55),IF(Settings!$E$55="",$B112,DATE(YEAR($A112),MONTH($A112),MIN(Settings!$E$55,DAY($B112))))&lt;=MIN(Settings!$B$5,IF(Settings!$G$55="",Settings!$B$5,Settings!$G$55))),1,0)))))</f>
        <v/>
      </c>
      <c r="FE112">
        <f>IF($E112&lt;&gt;"open",0,IF(AND('Month-End'!$DE$33&lt;&gt;"",NOT(_xlfn.ISFORMULA('Month-End'!$DE$33))),0,IF(OR(Settings!$C$56="",Settings!$D$56=""),0,Settings!$C$56*IF(Settings!$D$56="Weekly",IF(IFERROR(MATCH(Settings!$E$56,$EO$4:$EO$10,0),0)=0,0,IF(MIN(Settings!$B$5,IF(Settings!$G$56="",Settings!$B$5,Settings!$G$56))&lt;MAX($A112,Settings!$F$56),0,INT((MIN(Settings!$B$5,IF(Settings!$G$56="",Settings!$B$5,Settings!$G$56))-MAX($A112,Settings!$F$56)-MOD(IFERROR(MATCH(Settings!$E$56,$EO$4:$EO$10,0),0)-WEEKDAY(MAX($A112,Settings!$F$56)),7))/7)+1)),IF(AND(IF(Settings!$E$56="",$B112,DATE(YEAR($A112),MONTH($A112),MIN(Settings!$E$56,DAY($B112))))&gt;=MAX($A112,Settings!$F$56),IF(Settings!$E$56="",$B112,DATE(YEAR($A112),MONTH($A112),MIN(Settings!$E$56,DAY($B112))))&lt;=MIN(Settings!$B$5,IF(Settings!$G$56="",Settings!$B$5,Settings!$G$56))),1,0)))))</f>
        <v/>
      </c>
      <c r="FF112">
        <f>IF(Settings!$I$45="Yes",$G112,0)+IF(Settings!$I$46="Yes",$H112,0)+IF(Settings!$I$47="Yes",$I112,0)+IF(Settings!$I$48="Yes",$J112,0)+IF(Settings!$I$49="Yes",$K112,0)+IF(Settings!$I$50="Yes",$L112,0)+IF(Settings!$I$51="Yes",$M112,0)+IF(Settings!$I$52="Yes",$N112,0)+IF(Settings!$I$53="Yes",$O112,0)+IF(Settings!$I$54="Yes",$P112,0)+IF(Settings!$I$55="Yes",$Q112,0)+IF(Settings!$I$56="Yes",$R112,0)</f>
        <v/>
      </c>
      <c r="FG112">
        <f>IF(AND(Settings!$I$45="Yes",Settings!$J$45="No"),$G112,0)+IF(AND(Settings!$I$46="Yes",Settings!$J$46="No"),$H112,0)+IF(AND(Settings!$I$47="Yes",Settings!$J$47="No"),$I112,0)+IF(AND(Settings!$I$48="Yes",Settings!$J$48="No"),$J112,0)+IF(AND(Settings!$I$49="Yes",Settings!$J$49="No"),$K112,0)+IF(AND(Settings!$I$50="Yes",Settings!$J$50="No"),$L112,0)+IF(AND(Settings!$I$51="Yes",Settings!$J$51="No"),$M112,0)+IF(AND(Settings!$I$52="Yes",Settings!$J$52="No"),$N112,0)+IF(AND(Settings!$I$53="Yes",Settings!$J$53="No"),$O112,0)+IF(AND(Settings!$I$54="Yes",Settings!$J$54="No"),$P112,0)+IF(AND(Settings!$I$55="Yes",Settings!$J$55="No"),$Q112,0)+IF(AND(Settings!$I$56="Yes",Settings!$J$56="No"),$R112,0)</f>
        <v/>
      </c>
      <c r="FH112">
        <f>SUMIFS(Giving!$B$7:$B$2006,Giving!$A$7:$A$2006,"&gt;="&amp;$A112,Giving!$A$7:$A$2006,"&lt;="&amp;$B112,Giving!$G$7:$G$2006,"Yes")+IF(OR(OR(Settings!$B$60="",Settings!$F$60="No"),Settings!$H$60&lt;&gt;"Yes"),0,Settings!$B$60*IF(AND(IF(Settings!$C$60="",$B112,DATE(YEAR($A112),MONTH($A112),MIN(Settings!$C$60,DAY($B112))))&gt;=MAX($A112,Settings!$D$60),IF(Settings!$C$60="",$B112,DATE(YEAR($A112),MONTH($A112),MIN(Settings!$C$60,DAY($B112))))&lt;=MIN($C112,IF(Settings!$E$60="",$C112,Settings!$E$60))),1,0))+IF(OR(OR(Settings!$B$61="",Settings!$F$61="No"),Settings!$H$61&lt;&gt;"Yes"),0,Settings!$B$61*IF(AND(IF(Settings!$C$61="",$B112,DATE(YEAR($A112),MONTH($A112),MIN(Settings!$C$61,DAY($B112))))&gt;=MAX($A112,Settings!$D$61),IF(Settings!$C$61="",$B112,DATE(YEAR($A112),MONTH($A112),MIN(Settings!$C$61,DAY($B112))))&lt;=MIN($C112,IF(Settings!$E$61="",$C112,Settings!$E$61))),1,0))+IF(OR(OR(Settings!$B$62="",Settings!$F$62="No"),Settings!$H$62&lt;&gt;"Yes"),0,Settings!$B$62*IF(AND(IF(Settings!$C$62="",$B112,DATE(YEAR($A112),MONTH($A112),MIN(Settings!$C$62,DAY($B112))))&gt;=MAX($A112,Settings!$D$62),IF(Settings!$C$62="",$B112,DATE(YEAR($A112),MONTH($A112),MIN(Settings!$C$62,DAY($B112))))&lt;=MIN($C112,IF(Settings!$E$62="",$C112,Settings!$E$62))),1,0))+IF(OR(OR(Settings!$B$63="",Settings!$F$63="No"),Settings!$H$63&lt;&gt;"Yes"),0,Settings!$B$63*IF(AND(IF(Settings!$C$63="",$B112,DATE(YEAR($A112),MONTH($A112),MIN(Settings!$C$63,DAY($B112))))&gt;=MAX($A112,Settings!$D$63),IF(Settings!$C$63="",$B112,DATE(YEAR($A112),MONTH($A112),MIN(Settings!$C$63,DAY($B112))))&lt;=MIN($C112,IF(Settings!$E$63="",$C112,Settings!$E$63))),1,0))+IF(OR(OR(Settings!$B$64="",Settings!$F$64="No"),Settings!$H$64&lt;&gt;"Yes"),0,Settings!$B$64*IF(AND(IF(Settings!$C$64="",$B112,DATE(YEAR($A112),MONTH($A112),MIN(Settings!$C$64,DAY($B112))))&gt;=MAX($A112,Settings!$D$64),IF(Settings!$C$64="",$B112,DATE(YEAR($A112),MONTH($A112),MIN(Settings!$C$64,DAY($B112))))&lt;=MIN($C112,IF(Settings!$E$64="",$C112,Settings!$E$64))),1,0))+IF(OR(OR(Settings!$B$65="",Settings!$F$65="No"),Settings!$H$65&lt;&gt;"Yes"),0,Settings!$B$65*IF(AND(IF(Settings!$C$65="",$B112,DATE(YEAR($A112),MONTH($A112),MIN(Settings!$C$65,DAY($B112))))&gt;=MAX($A112,Settings!$D$65),IF(Settings!$C$65="",$B112,DATE(YEAR($A112),MONTH($A112),MIN(Settings!$C$65,DAY($B112))))&lt;=MIN($C112,IF(Settings!$E$65="",$C112,Settings!$E$65))),1,0))</f>
        <v/>
      </c>
      <c r="FI112">
        <f>IF($DT112=1,IF(OR(Settings!$B$19="Card",Settings!$B$19="Loan"),N($AE112),0)+IF(OR(Settings!$B$20="Card",Settings!$B$20="Loan"),N($AF112),0)+IF(OR(Settings!$B$21="Card",Settings!$B$21="Loan"),N($AG112),0)+IF(OR(Settings!$B$22="Card",Settings!$B$22="Loan"),N($AH112),0)+IF(OR(Settings!$B$23="Card",Settings!$B$23="Loan"),N($AI112),0)+IF(OR(Settings!$B$24="Card",Settings!$B$24="Loan"),N($AJ112),0)+IF(OR(Settings!$B$25="Card",Settings!$B$25="Loan"),N($AK112),0)+IF(OR(Settings!$B$26="Card",Settings!$B$26="Loan"),N($AL112),0)+IF(OR(Settings!$B$27="Card",Settings!$B$27="Loan"),N($AM112),0)+IF(OR(Settings!$B$28="Card",Settings!$B$28="Loan"),N($AN112),0)+IF(OR(Settings!$B$29="Card",Settings!$B$29="Loan"),N($AO112),0)+IF(OR(Settings!$B$30="Card",Settings!$B$30="Loan"),N($AP112),0)+IF(OR(Settings!$B$31="Card",Settings!$B$31="Loan"),N($AQ112),0)+IF(OR(Settings!$B$32="Card",Settings!$B$32="Loan"),N($AR112),0),"")</f>
        <v/>
      </c>
      <c r="FJ112">
        <f>IF($E112="open",$EB$65,IF($E112="post",IF($E111="pre",$EB$65,$FI111),""))</f>
        <v/>
      </c>
      <c r="FK112">
        <f>IF(AND($DT112=1,$DC112=1),IF(ROUND($FI112-$FJ112,2)&gt;0,1,0),0)</f>
        <v/>
      </c>
      <c r="FL112">
        <f>IF($FK112=1,$FL111+1,0)</f>
        <v/>
      </c>
    </row>
    <row r="113">
      <c r="A113">
        <f>'Month-End'!$DF$4</f>
        <v/>
      </c>
      <c r="B113">
        <f>EOMONTH($A113,0)</f>
        <v/>
      </c>
      <c r="C113">
        <f>MIN($B113,TODAY())</f>
        <v/>
      </c>
      <c r="D113">
        <f>IF($A113&gt;TODAY(),1,0)</f>
        <v/>
      </c>
      <c r="E113">
        <f>IF($B113&lt;=Settings!$B$5,"pre",IF($A113&lt;=Settings!$B$5,"open","post"))</f>
        <v/>
      </c>
      <c r="G113">
        <f>IF('Month-End'!$DF$22="",$BE113,N('Month-End'!$DF$22))</f>
        <v/>
      </c>
      <c r="H113">
        <f>IF('Month-End'!$DF$23="",$BF113,N('Month-End'!$DF$23))</f>
        <v/>
      </c>
      <c r="I113">
        <f>IF('Month-End'!$DF$24="",$BG113,N('Month-End'!$DF$24))</f>
        <v/>
      </c>
      <c r="J113">
        <f>IF('Month-End'!$DF$25="",$BH113,N('Month-End'!$DF$25))</f>
        <v/>
      </c>
      <c r="K113">
        <f>IF('Month-End'!$DF$26="",$BI113,N('Month-End'!$DF$26))</f>
        <v/>
      </c>
      <c r="L113">
        <f>IF('Month-End'!$DF$27="",$BJ113,N('Month-End'!$DF$27))</f>
        <v/>
      </c>
      <c r="M113">
        <f>IF('Month-End'!$DF$28="",$BK113,N('Month-End'!$DF$28))</f>
        <v/>
      </c>
      <c r="N113">
        <f>IF('Month-End'!$DF$29="",$BL113,N('Month-End'!$DF$29))</f>
        <v/>
      </c>
      <c r="O113">
        <f>IF('Month-End'!$DF$30="",$BM113,N('Month-End'!$DF$30))</f>
        <v/>
      </c>
      <c r="P113">
        <f>IF('Month-End'!$DF$31="",$BN113,N('Month-End'!$DF$31))</f>
        <v/>
      </c>
      <c r="Q113">
        <f>IF('Month-End'!$DF$32="",$BO113,N('Month-End'!$DF$32))</f>
        <v/>
      </c>
      <c r="R113">
        <f>IF('Month-End'!$DF$33="",$BP113,N('Month-End'!$DF$33))</f>
        <v/>
      </c>
      <c r="S113">
        <f>$G113+$H113+$I113+$J113+$K113+$L113+$M113+$N113+$O113+$P113+$Q113+$R113</f>
        <v/>
      </c>
      <c r="T113">
        <f>IF($B113&lt;Settings!$B$6,0,IF(Settings!$B$45="Yes",$G113,0)+IF(Settings!$B$46="Yes",$H113,0)+IF(Settings!$B$47="Yes",$I113,0)+IF(Settings!$B$48="Yes",$J113,0)+IF(Settings!$B$49="Yes",$K113,0)+IF(Settings!$B$50="Yes",$L113,0)+IF(Settings!$B$51="Yes",$M113,0)+IF(Settings!$B$52="Yes",$N113,0)+IF(Settings!$B$53="Yes",$O113,0)+IF(Settings!$B$54="Yes",$P113,0)+IF(Settings!$B$55="Yes",$Q113,0)+IF(Settings!$B$56="Yes",$R113,0))</f>
        <v/>
      </c>
      <c r="U113">
        <f>IF(Settings!$B$45="Not Sure",$G113,0)+IF(Settings!$B$46="Not Sure",$H113,0)+IF(Settings!$B$47="Not Sure",$I113,0)+IF(Settings!$B$48="Not Sure",$J113,0)+IF(Settings!$B$49="Not Sure",$K113,0)+IF(Settings!$B$50="Not Sure",$L113,0)+IF(Settings!$B$51="Not Sure",$M113,0)+IF(Settings!$B$52="Not Sure",$N113,0)+IF(Settings!$B$53="Not Sure",$O113,0)+IF(Settings!$B$54="Not Sure",$P113,0)+IF(Settings!$B$55="Not Sure",$Q113,0)+IF(Settings!$B$56="Not Sure",$R113,0)</f>
        <v/>
      </c>
      <c r="V113">
        <f>IF($E113="open",SUM($ET113:$FE113)+N(Settings!$B$13),0)</f>
        <v/>
      </c>
      <c r="W113">
        <f>IF($E113="post",$S113,IF($E113="open",$S113-$V113,0))</f>
        <v/>
      </c>
      <c r="X113">
        <f>SUMIFS(Giving!$B$7:$B$2006,Giving!$A$7:$A$2006,"&gt;="&amp;$A113,Giving!$A$7:$A$2006,"&lt;="&amp;$B113,Giving!$E$7:$E$2006,"&lt;&gt;No")</f>
        <v/>
      </c>
      <c r="Y113">
        <f>SUMIFS(Giving!$B$7:$B$2006,Giving!$A$7:$A$2006,"&gt;="&amp;$A113,Giving!$A$7:$A$2006,"&lt;="&amp;$B113,Giving!$E$7:$E$2006,"No")</f>
        <v/>
      </c>
      <c r="Z113">
        <f>IF(OR(Settings!$B$60="",Settings!$F$60="No"),0,Settings!$B$60*IF(AND(IF(Settings!$C$60="",$B113,DATE(YEAR($A113),MONTH($A113),MIN(Settings!$C$60,DAY($B113))))&gt;=MAX($A113,Settings!$D$60),IF(Settings!$C$60="",$B113,DATE(YEAR($A113),MONTH($A113),MIN(Settings!$C$60,DAY($B113))))&lt;=MIN($C113,IF(Settings!$E$60="",$C113,Settings!$E$60))),1,0))+IF(OR(Settings!$B$61="",Settings!$F$61="No"),0,Settings!$B$61*IF(AND(IF(Settings!$C$61="",$B113,DATE(YEAR($A113),MONTH($A113),MIN(Settings!$C$61,DAY($B113))))&gt;=MAX($A113,Settings!$D$61),IF(Settings!$C$61="",$B113,DATE(YEAR($A113),MONTH($A113),MIN(Settings!$C$61,DAY($B113))))&lt;=MIN($C113,IF(Settings!$E$61="",$C113,Settings!$E$61))),1,0))+IF(OR(Settings!$B$62="",Settings!$F$62="No"),0,Settings!$B$62*IF(AND(IF(Settings!$C$62="",$B113,DATE(YEAR($A113),MONTH($A113),MIN(Settings!$C$62,DAY($B113))))&gt;=MAX($A113,Settings!$D$62),IF(Settings!$C$62="",$B113,DATE(YEAR($A113),MONTH($A113),MIN(Settings!$C$62,DAY($B113))))&lt;=MIN($C113,IF(Settings!$E$62="",$C113,Settings!$E$62))),1,0))+IF(OR(Settings!$B$63="",Settings!$F$63="No"),0,Settings!$B$63*IF(AND(IF(Settings!$C$63="",$B113,DATE(YEAR($A113),MONTH($A113),MIN(Settings!$C$63,DAY($B113))))&gt;=MAX($A113,Settings!$D$63),IF(Settings!$C$63="",$B113,DATE(YEAR($A113),MONTH($A113),MIN(Settings!$C$63,DAY($B113))))&lt;=MIN($C113,IF(Settings!$E$63="",$C113,Settings!$E$63))),1,0))+IF(OR(Settings!$B$64="",Settings!$F$64="No"),0,Settings!$B$64*IF(AND(IF(Settings!$C$64="",$B113,DATE(YEAR($A113),MONTH($A113),MIN(Settings!$C$64,DAY($B113))))&gt;=MAX($A113,Settings!$D$64),IF(Settings!$C$64="",$B113,DATE(YEAR($A113),MONTH($A113),MIN(Settings!$C$64,DAY($B113))))&lt;=MIN($C113,IF(Settings!$E$64="",$C113,Settings!$E$64))),1,0))+IF(OR(Settings!$B$65="",Settings!$F$65="No"),0,Settings!$B$65*IF(AND(IF(Settings!$C$65="",$B113,DATE(YEAR($A113),MONTH($A113),MIN(Settings!$C$65,DAY($B113))))&gt;=MAX($A113,Settings!$D$65),IF(Settings!$C$65="",$B113,DATE(YEAR($A113),MONTH($A113),MIN(Settings!$C$65,DAY($B113))))&lt;=MIN($C113,IF(Settings!$E$65="",$C113,Settings!$E$65))),1,0))</f>
        <v/>
      </c>
      <c r="AA113">
        <f>$X113+$Z113</f>
        <v/>
      </c>
      <c r="AB113">
        <f>IF($E113="post",$AA113,IF($E113="open",SUMIFS(Giving!$B$7:$B$2006,Giving!$A$7:$A$2006,"&gt;"&amp;Settings!$B$5,Giving!$A$7:$A$2006,"&lt;="&amp;$B113,Giving!$E$7:$E$2006,"&lt;&gt;No")+IF(OR(Settings!$B$60="",Settings!$F$60="No"),0,Settings!$B$60*IF(AND(IF(Settings!$C$60="",$B113,DATE(YEAR($A113),MONTH($A113),MIN(Settings!$C$60,DAY($B113))))&gt;=MAX($A113,Settings!$D$60,Settings!$B$5+1),IF(Settings!$C$60="",$B113,DATE(YEAR($A113),MONTH($A113),MIN(Settings!$C$60,DAY($B113))))&lt;=MIN($C113,IF(Settings!$E$60="",$C113,Settings!$E$60))),1,0))+IF(OR(Settings!$B$61="",Settings!$F$61="No"),0,Settings!$B$61*IF(AND(IF(Settings!$C$61="",$B113,DATE(YEAR($A113),MONTH($A113),MIN(Settings!$C$61,DAY($B113))))&gt;=MAX($A113,Settings!$D$61,Settings!$B$5+1),IF(Settings!$C$61="",$B113,DATE(YEAR($A113),MONTH($A113),MIN(Settings!$C$61,DAY($B113))))&lt;=MIN($C113,IF(Settings!$E$61="",$C113,Settings!$E$61))),1,0))+IF(OR(Settings!$B$62="",Settings!$F$62="No"),0,Settings!$B$62*IF(AND(IF(Settings!$C$62="",$B113,DATE(YEAR($A113),MONTH($A113),MIN(Settings!$C$62,DAY($B113))))&gt;=MAX($A113,Settings!$D$62,Settings!$B$5+1),IF(Settings!$C$62="",$B113,DATE(YEAR($A113),MONTH($A113),MIN(Settings!$C$62,DAY($B113))))&lt;=MIN($C113,IF(Settings!$E$62="",$C113,Settings!$E$62))),1,0))+IF(OR(Settings!$B$63="",Settings!$F$63="No"),0,Settings!$B$63*IF(AND(IF(Settings!$C$63="",$B113,DATE(YEAR($A113),MONTH($A113),MIN(Settings!$C$63,DAY($B113))))&gt;=MAX($A113,Settings!$D$63,Settings!$B$5+1),IF(Settings!$C$63="",$B113,DATE(YEAR($A113),MONTH($A113),MIN(Settings!$C$63,DAY($B113))))&lt;=MIN($C113,IF(Settings!$E$63="",$C113,Settings!$E$63))),1,0))+IF(OR(Settings!$B$64="",Settings!$F$64="No"),0,Settings!$B$64*IF(AND(IF(Settings!$C$64="",$B113,DATE(YEAR($A113),MONTH($A113),MIN(Settings!$C$64,DAY($B113))))&gt;=MAX($A113,Settings!$D$64,Settings!$B$5+1),IF(Settings!$C$64="",$B113,DATE(YEAR($A113),MONTH($A113),MIN(Settings!$C$64,DAY($B113))))&lt;=MIN($C113,IF(Settings!$E$64="",$C113,Settings!$E$64))),1,0))+IF(OR(Settings!$B$65="",Settings!$F$65="No"),0,Settings!$B$65*IF(AND(IF(Settings!$C$65="",$B113,DATE(YEAR($A113),MONTH($A113),MIN(Settings!$C$65,DAY($B113))))&gt;=MAX($A113,Settings!$D$65,Settings!$B$5+1),IF(Settings!$C$65="",$B113,DATE(YEAR($A113),MONTH($A113),MIN(Settings!$C$65,DAY($B113))))&lt;=MIN($C113,IF(Settings!$E$65="",$C113,Settings!$E$65))),1,0)),0))</f>
        <v/>
      </c>
      <c r="AC113">
        <f>$AY113+$AZ113+$BA113+$BB113+$BC113+$BD113</f>
        <v/>
      </c>
      <c r="AD113">
        <f>$AC113</f>
        <v/>
      </c>
      <c r="AE113">
        <f>IF(OR(Settings!$A$19="",$E113="pre"),"",IF(AND('Month-End'!$DF$7&lt;&gt;"",NOT(_xlfn.ISFORMULA('Month-End'!$DF$7))),N('Month-End'!$DF$7),IF(OR($E113="open",$E112="pre"),N(Settings!$C$19),N($AE112))))</f>
        <v/>
      </c>
      <c r="AF113">
        <f>IF(OR(Settings!$A$20="",$E113="pre"),"",IF(AND('Month-End'!$DF$8&lt;&gt;"",NOT(_xlfn.ISFORMULA('Month-End'!$DF$8))),N('Month-End'!$DF$8),IF(OR($E113="open",$E112="pre"),N(Settings!$C$20),N($AF112))))</f>
        <v/>
      </c>
      <c r="AG113">
        <f>IF(OR(Settings!$A$21="",$E113="pre"),"",IF(AND('Month-End'!$DF$9&lt;&gt;"",NOT(_xlfn.ISFORMULA('Month-End'!$DF$9))),N('Month-End'!$DF$9),IF(OR($E113="open",$E112="pre"),N(Settings!$C$21),N($AG112))))</f>
        <v/>
      </c>
      <c r="AH113">
        <f>IF(OR(Settings!$A$22="",$E113="pre"),"",IF(AND('Month-End'!$DF$10&lt;&gt;"",NOT(_xlfn.ISFORMULA('Month-End'!$DF$10))),N('Month-End'!$DF$10),IF(OR($E113="open",$E112="pre"),N(Settings!$C$22),N($AH112))))</f>
        <v/>
      </c>
      <c r="AI113">
        <f>IF(OR(Settings!$A$23="",$E113="pre"),"",IF(AND('Month-End'!$DF$11&lt;&gt;"",NOT(_xlfn.ISFORMULA('Month-End'!$DF$11))),N('Month-End'!$DF$11),IF(OR($E113="open",$E112="pre"),N(Settings!$C$23),N($AI112))))</f>
        <v/>
      </c>
      <c r="AJ113">
        <f>IF(OR(Settings!$A$24="",$E113="pre"),"",IF(AND('Month-End'!$DF$12&lt;&gt;"",NOT(_xlfn.ISFORMULA('Month-End'!$DF$12))),N('Month-End'!$DF$12),IF(OR($E113="open",$E112="pre"),N(Settings!$C$24),N($AJ112))))</f>
        <v/>
      </c>
      <c r="AK113">
        <f>IF(OR(Settings!$A$25="",$E113="pre"),"",IF(AND('Month-End'!$DF$13&lt;&gt;"",NOT(_xlfn.ISFORMULA('Month-End'!$DF$13))),N('Month-End'!$DF$13),IF(OR($E113="open",$E112="pre"),N(Settings!$C$25),N($AK112))))</f>
        <v/>
      </c>
      <c r="AL113">
        <f>IF(OR(Settings!$A$26="",$E113="pre"),"",IF(AND('Month-End'!$DF$14&lt;&gt;"",NOT(_xlfn.ISFORMULA('Month-End'!$DF$14))),N('Month-End'!$DF$14),IF(OR($E113="open",$E112="pre"),N(Settings!$C$26),N($AL112))))</f>
        <v/>
      </c>
      <c r="AM113">
        <f>IF(OR(Settings!$A$27="",$E113="pre"),"",IF(AND('Month-End'!$DF$15&lt;&gt;"",NOT(_xlfn.ISFORMULA('Month-End'!$DF$15))),N('Month-End'!$DF$15),IF(OR($E113="open",$E112="pre"),N(Settings!$C$27),N($AM112))))</f>
        <v/>
      </c>
      <c r="AN113">
        <f>IF(OR(Settings!$A$28="",$E113="pre"),"",IF(AND('Month-End'!$DF$16&lt;&gt;"",NOT(_xlfn.ISFORMULA('Month-End'!$DF$16))),N('Month-End'!$DF$16),IF(OR($E113="open",$E112="pre"),N(Settings!$C$28),N($AN112))))</f>
        <v/>
      </c>
      <c r="AO113">
        <f>IF(OR(Settings!$A$29="",$E113="pre"),"",IF(AND('Month-End'!$DF$17&lt;&gt;"",NOT(_xlfn.ISFORMULA('Month-End'!$DF$17))),N('Month-End'!$DF$17),IF(OR($E113="open",$E112="pre"),N(Settings!$C$29),N($AO112))))</f>
        <v/>
      </c>
      <c r="AP113">
        <f>IF(OR(Settings!$A$30="",$E113="pre"),"",IF(AND('Month-End'!$DF$18&lt;&gt;"",NOT(_xlfn.ISFORMULA('Month-End'!$DF$18))),N('Month-End'!$DF$18),IF(OR($E113="open",$E112="pre"),N(Settings!$C$30),N($AP112))))</f>
        <v/>
      </c>
      <c r="AQ113">
        <f>IF(OR(Settings!$A$31="",$E113="pre"),"",IF(AND('Month-End'!$DF$19&lt;&gt;"",NOT(_xlfn.ISFORMULA('Month-End'!$DF$19))),N('Month-End'!$DF$19),IF(OR($E113="open",$E112="pre"),N(Settings!$C$31),N($AQ112))))</f>
        <v/>
      </c>
      <c r="AR113">
        <f>IF(OR(Settings!$A$32="",$E113="pre"),"",IF(AND('Month-End'!$DF$20&lt;&gt;"",NOT(_xlfn.ISFORMULA('Month-End'!$DF$20))),N('Month-End'!$DF$20),IF(OR($E113="open",$E112="pre"),N(Settings!$C$32),N($AR112))))</f>
        <v/>
      </c>
      <c r="AS113">
        <f>IF(OR(Settings!$A$36="",$E113="pre"),"",IF(AND('Month-End'!$DF$38&lt;&gt;"",NOT(_xlfn.ISFORMULA('Month-End'!$DF$38))),N('Month-End'!$DF$38),IF(OR($E113="open",$E112="pre"),N(Settings!$C$36),N($AS112))+$AY113))</f>
        <v/>
      </c>
      <c r="AT113">
        <f>IF(OR(Settings!$A$37="",$E113="pre"),"",IF(AND('Month-End'!$DF$39&lt;&gt;"",NOT(_xlfn.ISFORMULA('Month-End'!$DF$39))),N('Month-End'!$DF$39),IF(OR($E113="open",$E112="pre"),N(Settings!$C$37),N($AT112))+$AZ113))</f>
        <v/>
      </c>
      <c r="AU113">
        <f>IF(OR(Settings!$A$38="",$E113="pre"),"",IF(AND('Month-End'!$DF$40&lt;&gt;"",NOT(_xlfn.ISFORMULA('Month-End'!$DF$40))),N('Month-End'!$DF$40),IF(OR($E113="open",$E112="pre"),N(Settings!$C$38),N($AU112))+$BA113))</f>
        <v/>
      </c>
      <c r="AV113">
        <f>IF(OR(Settings!$A$39="",$E113="pre"),"",IF(AND('Month-End'!$DF$41&lt;&gt;"",NOT(_xlfn.ISFORMULA('Month-End'!$DF$41))),N('Month-End'!$DF$41),IF(OR($E113="open",$E112="pre"),N(Settings!$C$39),N($AV112))+$BB113))</f>
        <v/>
      </c>
      <c r="AW113">
        <f>IF(OR(Settings!$A$40="",$E113="pre"),"",IF(AND('Month-End'!$DF$42&lt;&gt;"",NOT(_xlfn.ISFORMULA('Month-End'!$DF$42))),N('Month-End'!$DF$42),IF(OR($E113="open",$E112="pre"),N(Settings!$C$40),N($AW112))+$BC113))</f>
        <v/>
      </c>
      <c r="AX113">
        <f>IF(OR(Settings!$A$41="",$E113="pre"),"",IF(AND('Month-End'!$DF$43&lt;&gt;"",NOT(_xlfn.ISFORMULA('Month-End'!$DF$43))),N('Month-End'!$DF$43),IF(OR($E113="open",$E112="pre"),N(Settings!$C$41),N($AX112))+$BD113))</f>
        <v/>
      </c>
      <c r="AY113">
        <f>IF($E113="pre",0,N('Month-End'!$DF$45))</f>
        <v/>
      </c>
      <c r="AZ113">
        <f>IF($E113="pre",0,N('Month-End'!$DF$46))</f>
        <v/>
      </c>
      <c r="BA113">
        <f>IF($E113="pre",0,N('Month-End'!$DF$47))</f>
        <v/>
      </c>
      <c r="BB113">
        <f>IF($E113="pre",0,N('Month-End'!$DF$48))</f>
        <v/>
      </c>
      <c r="BC113">
        <f>IF($E113="pre",0,N('Month-End'!$DF$49))</f>
        <v/>
      </c>
      <c r="BD113">
        <f>IF($E113="pre",0,N('Month-End'!$DF$50))</f>
        <v/>
      </c>
      <c r="BE113">
        <f>IF(OR(Settings!$C$45="",Settings!$D$45=""),0,Settings!$C$45*IF(Settings!$D$45="Weekly",IF(IFERROR(MATCH(Settings!$E$45,$EO$4:$EO$10,0),0)=0,0,IF(MIN($C113,IF(Settings!$G$45="",$C113,Settings!$G$45))&lt;MAX($A113,Settings!$F$45),0,INT((MIN($C113,IF(Settings!$G$45="",$C113,Settings!$G$45))-MAX($A113,Settings!$F$45)-MOD(IFERROR(MATCH(Settings!$E$45,$EO$4:$EO$10,0),0)-WEEKDAY(MAX($A113,Settings!$F$45)),7))/7)+1)),IF(AND(IF(Settings!$E$45="",$B113,DATE(YEAR($A113),MONTH($A113),MIN(Settings!$E$45,DAY($B113))))&gt;=MAX($A113,Settings!$F$45),IF(Settings!$E$45="",$B113,DATE(YEAR($A113),MONTH($A113),MIN(Settings!$E$45,DAY($B113))))&lt;=MIN($C113,IF(Settings!$G$45="",$C113,Settings!$G$45))),1,0)))</f>
        <v/>
      </c>
      <c r="BF113">
        <f>IF(OR(Settings!$C$46="",Settings!$D$46=""),0,Settings!$C$46*IF(Settings!$D$46="Weekly",IF(IFERROR(MATCH(Settings!$E$46,$EO$4:$EO$10,0),0)=0,0,IF(MIN($C113,IF(Settings!$G$46="",$C113,Settings!$G$46))&lt;MAX($A113,Settings!$F$46),0,INT((MIN($C113,IF(Settings!$G$46="",$C113,Settings!$G$46))-MAX($A113,Settings!$F$46)-MOD(IFERROR(MATCH(Settings!$E$46,$EO$4:$EO$10,0),0)-WEEKDAY(MAX($A113,Settings!$F$46)),7))/7)+1)),IF(AND(IF(Settings!$E$46="",$B113,DATE(YEAR($A113),MONTH($A113),MIN(Settings!$E$46,DAY($B113))))&gt;=MAX($A113,Settings!$F$46),IF(Settings!$E$46="",$B113,DATE(YEAR($A113),MONTH($A113),MIN(Settings!$E$46,DAY($B113))))&lt;=MIN($C113,IF(Settings!$G$46="",$C113,Settings!$G$46))),1,0)))</f>
        <v/>
      </c>
      <c r="BG113">
        <f>IF(OR(Settings!$C$47="",Settings!$D$47=""),0,Settings!$C$47*IF(Settings!$D$47="Weekly",IF(IFERROR(MATCH(Settings!$E$47,$EO$4:$EO$10,0),0)=0,0,IF(MIN($C113,IF(Settings!$G$47="",$C113,Settings!$G$47))&lt;MAX($A113,Settings!$F$47),0,INT((MIN($C113,IF(Settings!$G$47="",$C113,Settings!$G$47))-MAX($A113,Settings!$F$47)-MOD(IFERROR(MATCH(Settings!$E$47,$EO$4:$EO$10,0),0)-WEEKDAY(MAX($A113,Settings!$F$47)),7))/7)+1)),IF(AND(IF(Settings!$E$47="",$B113,DATE(YEAR($A113),MONTH($A113),MIN(Settings!$E$47,DAY($B113))))&gt;=MAX($A113,Settings!$F$47),IF(Settings!$E$47="",$B113,DATE(YEAR($A113),MONTH($A113),MIN(Settings!$E$47,DAY($B113))))&lt;=MIN($C113,IF(Settings!$G$47="",$C113,Settings!$G$47))),1,0)))</f>
        <v/>
      </c>
      <c r="BH113">
        <f>IF(OR(Settings!$C$48="",Settings!$D$48=""),0,Settings!$C$48*IF(Settings!$D$48="Weekly",IF(IFERROR(MATCH(Settings!$E$48,$EO$4:$EO$10,0),0)=0,0,IF(MIN($C113,IF(Settings!$G$48="",$C113,Settings!$G$48))&lt;MAX($A113,Settings!$F$48),0,INT((MIN($C113,IF(Settings!$G$48="",$C113,Settings!$G$48))-MAX($A113,Settings!$F$48)-MOD(IFERROR(MATCH(Settings!$E$48,$EO$4:$EO$10,0),0)-WEEKDAY(MAX($A113,Settings!$F$48)),7))/7)+1)),IF(AND(IF(Settings!$E$48="",$B113,DATE(YEAR($A113),MONTH($A113),MIN(Settings!$E$48,DAY($B113))))&gt;=MAX($A113,Settings!$F$48),IF(Settings!$E$48="",$B113,DATE(YEAR($A113),MONTH($A113),MIN(Settings!$E$48,DAY($B113))))&lt;=MIN($C113,IF(Settings!$G$48="",$C113,Settings!$G$48))),1,0)))</f>
        <v/>
      </c>
      <c r="BI113">
        <f>IF(OR(Settings!$C$49="",Settings!$D$49=""),0,Settings!$C$49*IF(Settings!$D$49="Weekly",IF(IFERROR(MATCH(Settings!$E$49,$EO$4:$EO$10,0),0)=0,0,IF(MIN($C113,IF(Settings!$G$49="",$C113,Settings!$G$49))&lt;MAX($A113,Settings!$F$49),0,INT((MIN($C113,IF(Settings!$G$49="",$C113,Settings!$G$49))-MAX($A113,Settings!$F$49)-MOD(IFERROR(MATCH(Settings!$E$49,$EO$4:$EO$10,0),0)-WEEKDAY(MAX($A113,Settings!$F$49)),7))/7)+1)),IF(AND(IF(Settings!$E$49="",$B113,DATE(YEAR($A113),MONTH($A113),MIN(Settings!$E$49,DAY($B113))))&gt;=MAX($A113,Settings!$F$49),IF(Settings!$E$49="",$B113,DATE(YEAR($A113),MONTH($A113),MIN(Settings!$E$49,DAY($B113))))&lt;=MIN($C113,IF(Settings!$G$49="",$C113,Settings!$G$49))),1,0)))</f>
        <v/>
      </c>
      <c r="BJ113">
        <f>IF(OR(Settings!$C$50="",Settings!$D$50=""),0,Settings!$C$50*IF(Settings!$D$50="Weekly",IF(IFERROR(MATCH(Settings!$E$50,$EO$4:$EO$10,0),0)=0,0,IF(MIN($C113,IF(Settings!$G$50="",$C113,Settings!$G$50))&lt;MAX($A113,Settings!$F$50),0,INT((MIN($C113,IF(Settings!$G$50="",$C113,Settings!$G$50))-MAX($A113,Settings!$F$50)-MOD(IFERROR(MATCH(Settings!$E$50,$EO$4:$EO$10,0),0)-WEEKDAY(MAX($A113,Settings!$F$50)),7))/7)+1)),IF(AND(IF(Settings!$E$50="",$B113,DATE(YEAR($A113),MONTH($A113),MIN(Settings!$E$50,DAY($B113))))&gt;=MAX($A113,Settings!$F$50),IF(Settings!$E$50="",$B113,DATE(YEAR($A113),MONTH($A113),MIN(Settings!$E$50,DAY($B113))))&lt;=MIN($C113,IF(Settings!$G$50="",$C113,Settings!$G$50))),1,0)))</f>
        <v/>
      </c>
      <c r="BK113">
        <f>IF(OR(Settings!$C$51="",Settings!$D$51=""),0,Settings!$C$51*IF(Settings!$D$51="Weekly",IF(IFERROR(MATCH(Settings!$E$51,$EO$4:$EO$10,0),0)=0,0,IF(MIN($C113,IF(Settings!$G$51="",$C113,Settings!$G$51))&lt;MAX($A113,Settings!$F$51),0,INT((MIN($C113,IF(Settings!$G$51="",$C113,Settings!$G$51))-MAX($A113,Settings!$F$51)-MOD(IFERROR(MATCH(Settings!$E$51,$EO$4:$EO$10,0),0)-WEEKDAY(MAX($A113,Settings!$F$51)),7))/7)+1)),IF(AND(IF(Settings!$E$51="",$B113,DATE(YEAR($A113),MONTH($A113),MIN(Settings!$E$51,DAY($B113))))&gt;=MAX($A113,Settings!$F$51),IF(Settings!$E$51="",$B113,DATE(YEAR($A113),MONTH($A113),MIN(Settings!$E$51,DAY($B113))))&lt;=MIN($C113,IF(Settings!$G$51="",$C113,Settings!$G$51))),1,0)))</f>
        <v/>
      </c>
      <c r="BL113">
        <f>IF(OR(Settings!$C$52="",Settings!$D$52=""),0,Settings!$C$52*IF(Settings!$D$52="Weekly",IF(IFERROR(MATCH(Settings!$E$52,$EO$4:$EO$10,0),0)=0,0,IF(MIN($C113,IF(Settings!$G$52="",$C113,Settings!$G$52))&lt;MAX($A113,Settings!$F$52),0,INT((MIN($C113,IF(Settings!$G$52="",$C113,Settings!$G$52))-MAX($A113,Settings!$F$52)-MOD(IFERROR(MATCH(Settings!$E$52,$EO$4:$EO$10,0),0)-WEEKDAY(MAX($A113,Settings!$F$52)),7))/7)+1)),IF(AND(IF(Settings!$E$52="",$B113,DATE(YEAR($A113),MONTH($A113),MIN(Settings!$E$52,DAY($B113))))&gt;=MAX($A113,Settings!$F$52),IF(Settings!$E$52="",$B113,DATE(YEAR($A113),MONTH($A113),MIN(Settings!$E$52,DAY($B113))))&lt;=MIN($C113,IF(Settings!$G$52="",$C113,Settings!$G$52))),1,0)))</f>
        <v/>
      </c>
      <c r="BM113">
        <f>IF(OR(Settings!$C$53="",Settings!$D$53=""),0,Settings!$C$53*IF(Settings!$D$53="Weekly",IF(IFERROR(MATCH(Settings!$E$53,$EO$4:$EO$10,0),0)=0,0,IF(MIN($C113,IF(Settings!$G$53="",$C113,Settings!$G$53))&lt;MAX($A113,Settings!$F$53),0,INT((MIN($C113,IF(Settings!$G$53="",$C113,Settings!$G$53))-MAX($A113,Settings!$F$53)-MOD(IFERROR(MATCH(Settings!$E$53,$EO$4:$EO$10,0),0)-WEEKDAY(MAX($A113,Settings!$F$53)),7))/7)+1)),IF(AND(IF(Settings!$E$53="",$B113,DATE(YEAR($A113),MONTH($A113),MIN(Settings!$E$53,DAY($B113))))&gt;=MAX($A113,Settings!$F$53),IF(Settings!$E$53="",$B113,DATE(YEAR($A113),MONTH($A113),MIN(Settings!$E$53,DAY($B113))))&lt;=MIN($C113,IF(Settings!$G$53="",$C113,Settings!$G$53))),1,0)))</f>
        <v/>
      </c>
      <c r="BN113">
        <f>IF(OR(Settings!$C$54="",Settings!$D$54=""),0,Settings!$C$54*IF(Settings!$D$54="Weekly",IF(IFERROR(MATCH(Settings!$E$54,$EO$4:$EO$10,0),0)=0,0,IF(MIN($C113,IF(Settings!$G$54="",$C113,Settings!$G$54))&lt;MAX($A113,Settings!$F$54),0,INT((MIN($C113,IF(Settings!$G$54="",$C113,Settings!$G$54))-MAX($A113,Settings!$F$54)-MOD(IFERROR(MATCH(Settings!$E$54,$EO$4:$EO$10,0),0)-WEEKDAY(MAX($A113,Settings!$F$54)),7))/7)+1)),IF(AND(IF(Settings!$E$54="",$B113,DATE(YEAR($A113),MONTH($A113),MIN(Settings!$E$54,DAY($B113))))&gt;=MAX($A113,Settings!$F$54),IF(Settings!$E$54="",$B113,DATE(YEAR($A113),MONTH($A113),MIN(Settings!$E$54,DAY($B113))))&lt;=MIN($C113,IF(Settings!$G$54="",$C113,Settings!$G$54))),1,0)))</f>
        <v/>
      </c>
      <c r="BO113">
        <f>IF(OR(Settings!$C$55="",Settings!$D$55=""),0,Settings!$C$55*IF(Settings!$D$55="Weekly",IF(IFERROR(MATCH(Settings!$E$55,$EO$4:$EO$10,0),0)=0,0,IF(MIN($C113,IF(Settings!$G$55="",$C113,Settings!$G$55))&lt;MAX($A113,Settings!$F$55),0,INT((MIN($C113,IF(Settings!$G$55="",$C113,Settings!$G$55))-MAX($A113,Settings!$F$55)-MOD(IFERROR(MATCH(Settings!$E$55,$EO$4:$EO$10,0),0)-WEEKDAY(MAX($A113,Settings!$F$55)),7))/7)+1)),IF(AND(IF(Settings!$E$55="",$B113,DATE(YEAR($A113),MONTH($A113),MIN(Settings!$E$55,DAY($B113))))&gt;=MAX($A113,Settings!$F$55),IF(Settings!$E$55="",$B113,DATE(YEAR($A113),MONTH($A113),MIN(Settings!$E$55,DAY($B113))))&lt;=MIN($C113,IF(Settings!$G$55="",$C113,Settings!$G$55))),1,0)))</f>
        <v/>
      </c>
      <c r="BP113">
        <f>IF(OR(Settings!$C$56="",Settings!$D$56=""),0,Settings!$C$56*IF(Settings!$D$56="Weekly",IF(IFERROR(MATCH(Settings!$E$56,$EO$4:$EO$10,0),0)=0,0,IF(MIN($C113,IF(Settings!$G$56="",$C113,Settings!$G$56))&lt;MAX($A113,Settings!$F$56),0,INT((MIN($C113,IF(Settings!$G$56="",$C113,Settings!$G$56))-MAX($A113,Settings!$F$56)-MOD(IFERROR(MATCH(Settings!$E$56,$EO$4:$EO$10,0),0)-WEEKDAY(MAX($A113,Settings!$F$56)),7))/7)+1)),IF(AND(IF(Settings!$E$56="",$B113,DATE(YEAR($A113),MONTH($A113),MIN(Settings!$E$56,DAY($B113))))&gt;=MAX($A113,Settings!$F$56),IF(Settings!$E$56="",$B113,DATE(YEAR($A113),MONTH($A113),MIN(Settings!$E$56,DAY($B113))))&lt;=MIN($C113,IF(Settings!$G$56="",$C113,Settings!$G$56))),1,0)))</f>
        <v/>
      </c>
      <c r="BQ113">
        <f>IF(OR(Settings!$B$14="",$D113=1,$E113="pre",$A113&lt;IF(Settings!$B$15="",0,Settings!$B$15)),0,Settings!$B$14)</f>
        <v/>
      </c>
      <c r="BR113">
        <f>IF(AND('Month-End'!$DF$7&lt;&gt;"",NOT(_xlfn.ISFORMULA('Month-End'!$DF$7))),1,0)</f>
        <v/>
      </c>
      <c r="BS113">
        <f>IF(AND('Month-End'!$DF$8&lt;&gt;"",NOT(_xlfn.ISFORMULA('Month-End'!$DF$8))),1,0)</f>
        <v/>
      </c>
      <c r="BT113">
        <f>IF(AND('Month-End'!$DF$9&lt;&gt;"",NOT(_xlfn.ISFORMULA('Month-End'!$DF$9))),1,0)</f>
        <v/>
      </c>
      <c r="BU113">
        <f>IF(AND('Month-End'!$DF$10&lt;&gt;"",NOT(_xlfn.ISFORMULA('Month-End'!$DF$10))),1,0)</f>
        <v/>
      </c>
      <c r="BV113">
        <f>IF(AND('Month-End'!$DF$11&lt;&gt;"",NOT(_xlfn.ISFORMULA('Month-End'!$DF$11))),1,0)</f>
        <v/>
      </c>
      <c r="BW113">
        <f>IF(AND('Month-End'!$DF$12&lt;&gt;"",NOT(_xlfn.ISFORMULA('Month-End'!$DF$12))),1,0)</f>
        <v/>
      </c>
      <c r="BX113">
        <f>IF(AND('Month-End'!$DF$13&lt;&gt;"",NOT(_xlfn.ISFORMULA('Month-End'!$DF$13))),1,0)</f>
        <v/>
      </c>
      <c r="BY113">
        <f>IF(AND('Month-End'!$DF$14&lt;&gt;"",NOT(_xlfn.ISFORMULA('Month-End'!$DF$14))),1,0)</f>
        <v/>
      </c>
      <c r="BZ113">
        <f>IF(AND('Month-End'!$DF$15&lt;&gt;"",NOT(_xlfn.ISFORMULA('Month-End'!$DF$15))),1,0)</f>
        <v/>
      </c>
      <c r="CA113">
        <f>IF(AND('Month-End'!$DF$16&lt;&gt;"",NOT(_xlfn.ISFORMULA('Month-End'!$DF$16))),1,0)</f>
        <v/>
      </c>
      <c r="CB113">
        <f>IF(AND('Month-End'!$DF$17&lt;&gt;"",NOT(_xlfn.ISFORMULA('Month-End'!$DF$17))),1,0)</f>
        <v/>
      </c>
      <c r="CC113">
        <f>IF(AND('Month-End'!$DF$18&lt;&gt;"",NOT(_xlfn.ISFORMULA('Month-End'!$DF$18))),1,0)</f>
        <v/>
      </c>
      <c r="CD113">
        <f>IF(AND('Month-End'!$DF$19&lt;&gt;"",NOT(_xlfn.ISFORMULA('Month-End'!$DF$19))),1,0)</f>
        <v/>
      </c>
      <c r="CE113">
        <f>IF(AND('Month-End'!$DF$20&lt;&gt;"",NOT(_xlfn.ISFORMULA('Month-End'!$DF$20))),1,0)</f>
        <v/>
      </c>
      <c r="CF113">
        <f>IF(AND('Month-End'!$DF$38&lt;&gt;"",NOT(_xlfn.ISFORMULA('Month-End'!$DF$38))),1,0)</f>
        <v/>
      </c>
      <c r="CG113">
        <f>IF(AND('Month-End'!$DF$39&lt;&gt;"",NOT(_xlfn.ISFORMULA('Month-End'!$DF$39))),1,0)</f>
        <v/>
      </c>
      <c r="CH113">
        <f>IF(AND('Month-End'!$DF$40&lt;&gt;"",NOT(_xlfn.ISFORMULA('Month-End'!$DF$40))),1,0)</f>
        <v/>
      </c>
      <c r="CI113">
        <f>IF(AND('Month-End'!$DF$41&lt;&gt;"",NOT(_xlfn.ISFORMULA('Month-End'!$DF$41))),1,0)</f>
        <v/>
      </c>
      <c r="CJ113">
        <f>IF(AND('Month-End'!$DF$42&lt;&gt;"",NOT(_xlfn.ISFORMULA('Month-End'!$DF$42))),1,0)</f>
        <v/>
      </c>
      <c r="CK113">
        <f>IF(AND('Month-End'!$DF$43&lt;&gt;"",NOT(_xlfn.ISFORMULA('Month-End'!$DF$43))),1,0)</f>
        <v/>
      </c>
      <c r="CL113">
        <f>SUM($CM113:$CZ113)</f>
        <v/>
      </c>
      <c r="CM113">
        <f>IF(AND($E113&lt;&gt;"pre",AND(Settings!$A$19&lt;&gt;"",Settings!$E$19&lt;&gt;"No"),Settings!$F$19="Yes",NOT(AND('Month-End'!$DF$7&lt;&gt;"",NOT(_xlfn.ISFORMULA('Month-End'!$DF$7))))),1,0)</f>
        <v/>
      </c>
      <c r="CN113">
        <f>IF(AND($E113&lt;&gt;"pre",AND(Settings!$A$20&lt;&gt;"",Settings!$E$20&lt;&gt;"No"),Settings!$F$20="Yes",NOT(AND('Month-End'!$DF$8&lt;&gt;"",NOT(_xlfn.ISFORMULA('Month-End'!$DF$8))))),1,0)</f>
        <v/>
      </c>
      <c r="CO113">
        <f>IF(AND($E113&lt;&gt;"pre",AND(Settings!$A$21&lt;&gt;"",Settings!$E$21&lt;&gt;"No"),Settings!$F$21="Yes",NOT(AND('Month-End'!$DF$9&lt;&gt;"",NOT(_xlfn.ISFORMULA('Month-End'!$DF$9))))),1,0)</f>
        <v/>
      </c>
      <c r="CP113">
        <f>IF(AND($E113&lt;&gt;"pre",AND(Settings!$A$22&lt;&gt;"",Settings!$E$22&lt;&gt;"No"),Settings!$F$22="Yes",NOT(AND('Month-End'!$DF$10&lt;&gt;"",NOT(_xlfn.ISFORMULA('Month-End'!$DF$10))))),1,0)</f>
        <v/>
      </c>
      <c r="CQ113">
        <f>IF(AND($E113&lt;&gt;"pre",AND(Settings!$A$23&lt;&gt;"",Settings!$E$23&lt;&gt;"No"),Settings!$F$23="Yes",NOT(AND('Month-End'!$DF$11&lt;&gt;"",NOT(_xlfn.ISFORMULA('Month-End'!$DF$11))))),1,0)</f>
        <v/>
      </c>
      <c r="CR113">
        <f>IF(AND($E113&lt;&gt;"pre",AND(Settings!$A$24&lt;&gt;"",Settings!$E$24&lt;&gt;"No"),Settings!$F$24="Yes",NOT(AND('Month-End'!$DF$12&lt;&gt;"",NOT(_xlfn.ISFORMULA('Month-End'!$DF$12))))),1,0)</f>
        <v/>
      </c>
      <c r="CS113">
        <f>IF(AND($E113&lt;&gt;"pre",AND(Settings!$A$25&lt;&gt;"",Settings!$E$25&lt;&gt;"No"),Settings!$F$25="Yes",NOT(AND('Month-End'!$DF$13&lt;&gt;"",NOT(_xlfn.ISFORMULA('Month-End'!$DF$13))))),1,0)</f>
        <v/>
      </c>
      <c r="CT113">
        <f>IF(AND($E113&lt;&gt;"pre",AND(Settings!$A$26&lt;&gt;"",Settings!$E$26&lt;&gt;"No"),Settings!$F$26="Yes",NOT(AND('Month-End'!$DF$14&lt;&gt;"",NOT(_xlfn.ISFORMULA('Month-End'!$DF$14))))),1,0)</f>
        <v/>
      </c>
      <c r="CU113">
        <f>IF(AND($E113&lt;&gt;"pre",AND(Settings!$A$27&lt;&gt;"",Settings!$E$27&lt;&gt;"No"),Settings!$F$27="Yes",NOT(AND('Month-End'!$DF$15&lt;&gt;"",NOT(_xlfn.ISFORMULA('Month-End'!$DF$15))))),1,0)</f>
        <v/>
      </c>
      <c r="CV113">
        <f>IF(AND($E113&lt;&gt;"pre",AND(Settings!$A$28&lt;&gt;"",Settings!$E$28&lt;&gt;"No"),Settings!$F$28="Yes",NOT(AND('Month-End'!$DF$16&lt;&gt;"",NOT(_xlfn.ISFORMULA('Month-End'!$DF$16))))),1,0)</f>
        <v/>
      </c>
      <c r="CW113">
        <f>IF(AND($E113&lt;&gt;"pre",AND(Settings!$A$29&lt;&gt;"",Settings!$E$29&lt;&gt;"No"),Settings!$F$29="Yes",NOT(AND('Month-End'!$DF$17&lt;&gt;"",NOT(_xlfn.ISFORMULA('Month-End'!$DF$17))))),1,0)</f>
        <v/>
      </c>
      <c r="CX113">
        <f>IF(AND($E113&lt;&gt;"pre",AND(Settings!$A$30&lt;&gt;"",Settings!$E$30&lt;&gt;"No"),Settings!$F$30="Yes",NOT(AND('Month-End'!$DF$18&lt;&gt;"",NOT(_xlfn.ISFORMULA('Month-End'!$DF$18))))),1,0)</f>
        <v/>
      </c>
      <c r="CY113">
        <f>IF(AND($E113&lt;&gt;"pre",AND(Settings!$A$31&lt;&gt;"",Settings!$E$31&lt;&gt;"No"),Settings!$F$31="Yes",NOT(AND('Month-End'!$DF$19&lt;&gt;"",NOT(_xlfn.ISFORMULA('Month-End'!$DF$19))))),1,0)</f>
        <v/>
      </c>
      <c r="CZ113">
        <f>IF(AND($E113&lt;&gt;"pre",AND(Settings!$A$32&lt;&gt;"",Settings!$E$32&lt;&gt;"No"),Settings!$F$32="Yes",NOT(AND('Month-End'!$DF$20&lt;&gt;"",NOT(_xlfn.ISFORMULA('Month-End'!$DF$20))))),1,0)</f>
        <v/>
      </c>
      <c r="DA113">
        <f>IF($DT113=1,IF(OR(Settings!$B$19="Checking",Settings!$B$19="Savings",Settings!$B$19="Cash"),N($AE113),IF(OR(Settings!$B$19="Card",Settings!$B$19="Loan"),-N($AE113),0))+IF(OR(Settings!$B$20="Checking",Settings!$B$20="Savings",Settings!$B$20="Cash"),N($AF113),IF(OR(Settings!$B$20="Card",Settings!$B$20="Loan"),-N($AF113),0))+IF(OR(Settings!$B$21="Checking",Settings!$B$21="Savings",Settings!$B$21="Cash"),N($AG113),IF(OR(Settings!$B$21="Card",Settings!$B$21="Loan"),-N($AG113),0))+IF(OR(Settings!$B$22="Checking",Settings!$B$22="Savings",Settings!$B$22="Cash"),N($AH113),IF(OR(Settings!$B$22="Card",Settings!$B$22="Loan"),-N($AH113),0))+IF(OR(Settings!$B$23="Checking",Settings!$B$23="Savings",Settings!$B$23="Cash"),N($AI113),IF(OR(Settings!$B$23="Card",Settings!$B$23="Loan"),-N($AI113),0))+IF(OR(Settings!$B$24="Checking",Settings!$B$24="Savings",Settings!$B$24="Cash"),N($AJ113),IF(OR(Settings!$B$24="Card",Settings!$B$24="Loan"),-N($AJ113),0))+IF(OR(Settings!$B$25="Checking",Settings!$B$25="Savings",Settings!$B$25="Cash"),N($AK113),IF(OR(Settings!$B$25="Card",Settings!$B$25="Loan"),-N($AK113),0))+IF(OR(Settings!$B$26="Checking",Settings!$B$26="Savings",Settings!$B$26="Cash"),N($AL113),IF(OR(Settings!$B$26="Card",Settings!$B$26="Loan"),-N($AL113),0))+IF(OR(Settings!$B$27="Checking",Settings!$B$27="Savings",Settings!$B$27="Cash"),N($AM113),IF(OR(Settings!$B$27="Card",Settings!$B$27="Loan"),-N($AM113),0))+IF(OR(Settings!$B$28="Checking",Settings!$B$28="Savings",Settings!$B$28="Cash"),N($AN113),IF(OR(Settings!$B$28="Card",Settings!$B$28="Loan"),-N($AN113),0))+IF(OR(Settings!$B$29="Checking",Settings!$B$29="Savings",Settings!$B$29="Cash"),N($AO113),IF(OR(Settings!$B$29="Card",Settings!$B$29="Loan"),-N($AO113),0))+IF(OR(Settings!$B$30="Checking",Settings!$B$30="Savings",Settings!$B$30="Cash"),N($AP113),IF(OR(Settings!$B$30="Card",Settings!$B$30="Loan"),-N($AP113),0))+IF(OR(Settings!$B$31="Checking",Settings!$B$31="Savings",Settings!$B$31="Cash"),N($AQ113),IF(OR(Settings!$B$31="Card",Settings!$B$31="Loan"),-N($AQ113),0))+IF(OR(Settings!$B$32="Checking",Settings!$B$32="Savings",Settings!$B$32="Cash"),N($AR113),IF(OR(Settings!$B$32="Card",Settings!$B$32="Loan"),-N($AR113),0)),"")</f>
        <v/>
      </c>
      <c r="DB113">
        <f>IF($E113="open",$EB$27,IF($E113="post",IF($E112="pre",$EB$27,$DA112),""))</f>
        <v/>
      </c>
      <c r="DC113">
        <f>IF($E113="open",1,IF($E113="post",IF($E112="pre",1,$DT112),0))</f>
        <v/>
      </c>
      <c r="DD113">
        <f>IF(AND($DT113=1,$DC113=1),ROUND($W113-($DA113-$DB113)-$AD113-$AB113,2),"")</f>
        <v/>
      </c>
      <c r="DE113">
        <f>IF('Month-End'!$DF$35="",$BQ113,N('Month-End'!$DF$35))</f>
        <v/>
      </c>
      <c r="DF113">
        <f>N('Month-End'!$DF$36)</f>
        <v/>
      </c>
      <c r="DG113">
        <f>IF($DD113="","",$DD113+$DE113)</f>
        <v/>
      </c>
      <c r="DH113">
        <f>IF($DG113="","",$DG113-$DF113)</f>
        <v/>
      </c>
      <c r="DI113">
        <f>IF(OR($E113="pre",$D113=1),"",N($AS113)+N($AT113)+N($AU113)+N($AV113)+N($AW113)+N($AX113))</f>
        <v/>
      </c>
      <c r="DJ113">
        <f>IF($DT113=1,$DA113+N($DI113),"")</f>
        <v/>
      </c>
      <c r="DK113">
        <f>IF($DD113="","",$W113-$DD113-$AB113)</f>
        <v/>
      </c>
      <c r="DL113">
        <f>IF(AND($E113="post",$DD113&lt;&gt;"",$B113&lt;TODAY()),1,0)</f>
        <v/>
      </c>
      <c r="DM113">
        <f>IF($DL113=1,COUNTIF($DL113:$DL$183,1),0)</f>
        <v/>
      </c>
      <c r="DN113">
        <f>IF($D113=1,"",IF($E113="pre","History only",IF($DT113=1,IF($DD113="","⚠ Previous month missing",IF($DD113&lt;0,"⚠ Check: spending &lt; 0",IF($E113="open","✓ Done (partial)","✓ Done"))),IF($B113&gt;=TODAY(),"In progress","⚠ Needs balances"))))</f>
        <v/>
      </c>
      <c r="DO113">
        <f>YEAR($A113)</f>
        <v/>
      </c>
      <c r="DP113">
        <f>DATE(YEAR($A113),INT((MONTH($A113)-1)/3)*3+1,1)</f>
        <v/>
      </c>
      <c r="DQ113">
        <f>IF(AND($DT113=1,$DD113&lt;&gt;"",$D113=0),ROW(),0)</f>
        <v/>
      </c>
      <c r="DR113">
        <f>IF(AND($E113&lt;&gt;"pre",$B113&lt;TODAY(),$DT113=0),1,0)</f>
        <v/>
      </c>
      <c r="DS113">
        <f>IF($DJ113="",NA(),$DJ113)</f>
        <v/>
      </c>
      <c r="DT113">
        <f>IF(AND($E113&lt;&gt;"pre",$CL113=0,COUNTIFS(Settings!$F$19:$F$32,"Yes",Settings!$A$19:$A$32,"&lt;&gt;",Settings!$E$19:$E$32,"&lt;&gt;No")&gt;0),1,0)</f>
        <v/>
      </c>
      <c r="DU113">
        <f>IF(AND($B113&lt;TODAY(),$S113&gt;0),1,0)</f>
        <v/>
      </c>
      <c r="DV113">
        <f>IF($DU113=1,COUNTIF($DU113:$DU$183,1),0)</f>
        <v/>
      </c>
      <c r="DW113">
        <f>IF(AND(OR(Settings!$B$19="Card",Settings!$B$19="Loan"),AND('Month-End'!$DF$7&lt;&gt;"",NOT(_xlfn.ISFORMULA('Month-End'!$DF$7)))),IF(N('Month-End'!$DF$7)&lt;0,1,0),0)+IF(AND(OR(Settings!$B$20="Card",Settings!$B$20="Loan"),AND('Month-End'!$DF$8&lt;&gt;"",NOT(_xlfn.ISFORMULA('Month-End'!$DF$8)))),IF(N('Month-End'!$DF$8)&lt;0,1,0),0)+IF(AND(OR(Settings!$B$21="Card",Settings!$B$21="Loan"),AND('Month-End'!$DF$9&lt;&gt;"",NOT(_xlfn.ISFORMULA('Month-End'!$DF$9)))),IF(N('Month-End'!$DF$9)&lt;0,1,0),0)+IF(AND(OR(Settings!$B$22="Card",Settings!$B$22="Loan"),AND('Month-End'!$DF$10&lt;&gt;"",NOT(_xlfn.ISFORMULA('Month-End'!$DF$10)))),IF(N('Month-End'!$DF$10)&lt;0,1,0),0)+IF(AND(OR(Settings!$B$23="Card",Settings!$B$23="Loan"),AND('Month-End'!$DF$11&lt;&gt;"",NOT(_xlfn.ISFORMULA('Month-End'!$DF$11)))),IF(N('Month-End'!$DF$11)&lt;0,1,0),0)+IF(AND(OR(Settings!$B$24="Card",Settings!$B$24="Loan"),AND('Month-End'!$DF$12&lt;&gt;"",NOT(_xlfn.ISFORMULA('Month-End'!$DF$12)))),IF(N('Month-End'!$DF$12)&lt;0,1,0),0)+IF(AND(OR(Settings!$B$25="Card",Settings!$B$25="Loan"),AND('Month-End'!$DF$13&lt;&gt;"",NOT(_xlfn.ISFORMULA('Month-End'!$DF$13)))),IF(N('Month-End'!$DF$13)&lt;0,1,0),0)+IF(AND(OR(Settings!$B$26="Card",Settings!$B$26="Loan"),AND('Month-End'!$DF$14&lt;&gt;"",NOT(_xlfn.ISFORMULA('Month-End'!$DF$14)))),IF(N('Month-End'!$DF$14)&lt;0,1,0),0)+IF(AND(OR(Settings!$B$27="Card",Settings!$B$27="Loan"),AND('Month-End'!$DF$15&lt;&gt;"",NOT(_xlfn.ISFORMULA('Month-End'!$DF$15)))),IF(N('Month-End'!$DF$15)&lt;0,1,0),0)+IF(AND(OR(Settings!$B$28="Card",Settings!$B$28="Loan"),AND('Month-End'!$DF$16&lt;&gt;"",NOT(_xlfn.ISFORMULA('Month-End'!$DF$16)))),IF(N('Month-End'!$DF$16)&lt;0,1,0),0)+IF(AND(OR(Settings!$B$29="Card",Settings!$B$29="Loan"),AND('Month-End'!$DF$17&lt;&gt;"",NOT(_xlfn.ISFORMULA('Month-End'!$DF$17)))),IF(N('Month-End'!$DF$17)&lt;0,1,0),0)+IF(AND(OR(Settings!$B$30="Card",Settings!$B$30="Loan"),AND('Month-End'!$DF$18&lt;&gt;"",NOT(_xlfn.ISFORMULA('Month-End'!$DF$18)))),IF(N('Month-End'!$DF$18)&lt;0,1,0),0)+IF(AND(OR(Settings!$B$31="Card",Settings!$B$31="Loan"),AND('Month-End'!$DF$19&lt;&gt;"",NOT(_xlfn.ISFORMULA('Month-End'!$DF$19)))),IF(N('Month-End'!$DF$19)&lt;0,1,0),0)+IF(AND(OR(Settings!$B$32="Card",Settings!$B$32="Loan"),AND('Month-End'!$DF$20&lt;&gt;"",NOT(_xlfn.ISFORMULA('Month-End'!$DF$20)))),IF(N('Month-End'!$DF$20)&lt;0,1,0),0)</f>
        <v/>
      </c>
      <c r="DX113">
        <f>IF(Settings!$B$36="Retirement",$AY113,0)+IF(Settings!$B$37="Retirement",$AZ113,0)+IF(Settings!$B$38="Retirement",$BA113,0)+IF(Settings!$B$39="Retirement",$BB113,0)+IF(Settings!$B$40="Retirement",$BC113,0)+IF(Settings!$B$41="Retirement",$BD113,0)</f>
        <v/>
      </c>
      <c r="EO113">
        <f>EDATE(DATE(YEAR(TODAY()),MONTH(TODAY()),1),-10)</f>
        <v/>
      </c>
      <c r="ER113">
        <f>IFERROR(IF(INDEX($DJ$6:$DJ$183,MATCH(EO113,$A$6:$A$183,0))="",NA(),INDEX($DJ$6:$DJ$183,MATCH(EO113,$A$6:$A$183,0))),NA())</f>
        <v/>
      </c>
      <c r="ES113">
        <f>TEXT(EO113,"mmm yy")</f>
        <v/>
      </c>
      <c r="ET113">
        <f>IF($E113&lt;&gt;"open",0,IF(AND('Month-End'!$DF$22&lt;&gt;"",NOT(_xlfn.ISFORMULA('Month-End'!$DF$22))),0,IF(OR(Settings!$C$45="",Settings!$D$45=""),0,Settings!$C$45*IF(Settings!$D$45="Weekly",IF(IFERROR(MATCH(Settings!$E$45,$EO$4:$EO$10,0),0)=0,0,IF(MIN(Settings!$B$5,IF(Settings!$G$45="",Settings!$B$5,Settings!$G$45))&lt;MAX($A113,Settings!$F$45),0,INT((MIN(Settings!$B$5,IF(Settings!$G$45="",Settings!$B$5,Settings!$G$45))-MAX($A113,Settings!$F$45)-MOD(IFERROR(MATCH(Settings!$E$45,$EO$4:$EO$10,0),0)-WEEKDAY(MAX($A113,Settings!$F$45)),7))/7)+1)),IF(AND(IF(Settings!$E$45="",$B113,DATE(YEAR($A113),MONTH($A113),MIN(Settings!$E$45,DAY($B113))))&gt;=MAX($A113,Settings!$F$45),IF(Settings!$E$45="",$B113,DATE(YEAR($A113),MONTH($A113),MIN(Settings!$E$45,DAY($B113))))&lt;=MIN(Settings!$B$5,IF(Settings!$G$45="",Settings!$B$5,Settings!$G$45))),1,0)))))</f>
        <v/>
      </c>
      <c r="EU113">
        <f>IF($E113&lt;&gt;"open",0,IF(AND('Month-End'!$DF$23&lt;&gt;"",NOT(_xlfn.ISFORMULA('Month-End'!$DF$23))),0,IF(OR(Settings!$C$46="",Settings!$D$46=""),0,Settings!$C$46*IF(Settings!$D$46="Weekly",IF(IFERROR(MATCH(Settings!$E$46,$EO$4:$EO$10,0),0)=0,0,IF(MIN(Settings!$B$5,IF(Settings!$G$46="",Settings!$B$5,Settings!$G$46))&lt;MAX($A113,Settings!$F$46),0,INT((MIN(Settings!$B$5,IF(Settings!$G$46="",Settings!$B$5,Settings!$G$46))-MAX($A113,Settings!$F$46)-MOD(IFERROR(MATCH(Settings!$E$46,$EO$4:$EO$10,0),0)-WEEKDAY(MAX($A113,Settings!$F$46)),7))/7)+1)),IF(AND(IF(Settings!$E$46="",$B113,DATE(YEAR($A113),MONTH($A113),MIN(Settings!$E$46,DAY($B113))))&gt;=MAX($A113,Settings!$F$46),IF(Settings!$E$46="",$B113,DATE(YEAR($A113),MONTH($A113),MIN(Settings!$E$46,DAY($B113))))&lt;=MIN(Settings!$B$5,IF(Settings!$G$46="",Settings!$B$5,Settings!$G$46))),1,0)))))</f>
        <v/>
      </c>
      <c r="EV113">
        <f>IF($E113&lt;&gt;"open",0,IF(AND('Month-End'!$DF$24&lt;&gt;"",NOT(_xlfn.ISFORMULA('Month-End'!$DF$24))),0,IF(OR(Settings!$C$47="",Settings!$D$47=""),0,Settings!$C$47*IF(Settings!$D$47="Weekly",IF(IFERROR(MATCH(Settings!$E$47,$EO$4:$EO$10,0),0)=0,0,IF(MIN(Settings!$B$5,IF(Settings!$G$47="",Settings!$B$5,Settings!$G$47))&lt;MAX($A113,Settings!$F$47),0,INT((MIN(Settings!$B$5,IF(Settings!$G$47="",Settings!$B$5,Settings!$G$47))-MAX($A113,Settings!$F$47)-MOD(IFERROR(MATCH(Settings!$E$47,$EO$4:$EO$10,0),0)-WEEKDAY(MAX($A113,Settings!$F$47)),7))/7)+1)),IF(AND(IF(Settings!$E$47="",$B113,DATE(YEAR($A113),MONTH($A113),MIN(Settings!$E$47,DAY($B113))))&gt;=MAX($A113,Settings!$F$47),IF(Settings!$E$47="",$B113,DATE(YEAR($A113),MONTH($A113),MIN(Settings!$E$47,DAY($B113))))&lt;=MIN(Settings!$B$5,IF(Settings!$G$47="",Settings!$B$5,Settings!$G$47))),1,0)))))</f>
        <v/>
      </c>
      <c r="EW113">
        <f>IF($E113&lt;&gt;"open",0,IF(AND('Month-End'!$DF$25&lt;&gt;"",NOT(_xlfn.ISFORMULA('Month-End'!$DF$25))),0,IF(OR(Settings!$C$48="",Settings!$D$48=""),0,Settings!$C$48*IF(Settings!$D$48="Weekly",IF(IFERROR(MATCH(Settings!$E$48,$EO$4:$EO$10,0),0)=0,0,IF(MIN(Settings!$B$5,IF(Settings!$G$48="",Settings!$B$5,Settings!$G$48))&lt;MAX($A113,Settings!$F$48),0,INT((MIN(Settings!$B$5,IF(Settings!$G$48="",Settings!$B$5,Settings!$G$48))-MAX($A113,Settings!$F$48)-MOD(IFERROR(MATCH(Settings!$E$48,$EO$4:$EO$10,0),0)-WEEKDAY(MAX($A113,Settings!$F$48)),7))/7)+1)),IF(AND(IF(Settings!$E$48="",$B113,DATE(YEAR($A113),MONTH($A113),MIN(Settings!$E$48,DAY($B113))))&gt;=MAX($A113,Settings!$F$48),IF(Settings!$E$48="",$B113,DATE(YEAR($A113),MONTH($A113),MIN(Settings!$E$48,DAY($B113))))&lt;=MIN(Settings!$B$5,IF(Settings!$G$48="",Settings!$B$5,Settings!$G$48))),1,0)))))</f>
        <v/>
      </c>
      <c r="EX113">
        <f>IF($E113&lt;&gt;"open",0,IF(AND('Month-End'!$DF$26&lt;&gt;"",NOT(_xlfn.ISFORMULA('Month-End'!$DF$26))),0,IF(OR(Settings!$C$49="",Settings!$D$49=""),0,Settings!$C$49*IF(Settings!$D$49="Weekly",IF(IFERROR(MATCH(Settings!$E$49,$EO$4:$EO$10,0),0)=0,0,IF(MIN(Settings!$B$5,IF(Settings!$G$49="",Settings!$B$5,Settings!$G$49))&lt;MAX($A113,Settings!$F$49),0,INT((MIN(Settings!$B$5,IF(Settings!$G$49="",Settings!$B$5,Settings!$G$49))-MAX($A113,Settings!$F$49)-MOD(IFERROR(MATCH(Settings!$E$49,$EO$4:$EO$10,0),0)-WEEKDAY(MAX($A113,Settings!$F$49)),7))/7)+1)),IF(AND(IF(Settings!$E$49="",$B113,DATE(YEAR($A113),MONTH($A113),MIN(Settings!$E$49,DAY($B113))))&gt;=MAX($A113,Settings!$F$49),IF(Settings!$E$49="",$B113,DATE(YEAR($A113),MONTH($A113),MIN(Settings!$E$49,DAY($B113))))&lt;=MIN(Settings!$B$5,IF(Settings!$G$49="",Settings!$B$5,Settings!$G$49))),1,0)))))</f>
        <v/>
      </c>
      <c r="EY113">
        <f>IF($E113&lt;&gt;"open",0,IF(AND('Month-End'!$DF$27&lt;&gt;"",NOT(_xlfn.ISFORMULA('Month-End'!$DF$27))),0,IF(OR(Settings!$C$50="",Settings!$D$50=""),0,Settings!$C$50*IF(Settings!$D$50="Weekly",IF(IFERROR(MATCH(Settings!$E$50,$EO$4:$EO$10,0),0)=0,0,IF(MIN(Settings!$B$5,IF(Settings!$G$50="",Settings!$B$5,Settings!$G$50))&lt;MAX($A113,Settings!$F$50),0,INT((MIN(Settings!$B$5,IF(Settings!$G$50="",Settings!$B$5,Settings!$G$50))-MAX($A113,Settings!$F$50)-MOD(IFERROR(MATCH(Settings!$E$50,$EO$4:$EO$10,0),0)-WEEKDAY(MAX($A113,Settings!$F$50)),7))/7)+1)),IF(AND(IF(Settings!$E$50="",$B113,DATE(YEAR($A113),MONTH($A113),MIN(Settings!$E$50,DAY($B113))))&gt;=MAX($A113,Settings!$F$50),IF(Settings!$E$50="",$B113,DATE(YEAR($A113),MONTH($A113),MIN(Settings!$E$50,DAY($B113))))&lt;=MIN(Settings!$B$5,IF(Settings!$G$50="",Settings!$B$5,Settings!$G$50))),1,0)))))</f>
        <v/>
      </c>
      <c r="EZ113">
        <f>IF($E113&lt;&gt;"open",0,IF(AND('Month-End'!$DF$28&lt;&gt;"",NOT(_xlfn.ISFORMULA('Month-End'!$DF$28))),0,IF(OR(Settings!$C$51="",Settings!$D$51=""),0,Settings!$C$51*IF(Settings!$D$51="Weekly",IF(IFERROR(MATCH(Settings!$E$51,$EO$4:$EO$10,0),0)=0,0,IF(MIN(Settings!$B$5,IF(Settings!$G$51="",Settings!$B$5,Settings!$G$51))&lt;MAX($A113,Settings!$F$51),0,INT((MIN(Settings!$B$5,IF(Settings!$G$51="",Settings!$B$5,Settings!$G$51))-MAX($A113,Settings!$F$51)-MOD(IFERROR(MATCH(Settings!$E$51,$EO$4:$EO$10,0),0)-WEEKDAY(MAX($A113,Settings!$F$51)),7))/7)+1)),IF(AND(IF(Settings!$E$51="",$B113,DATE(YEAR($A113),MONTH($A113),MIN(Settings!$E$51,DAY($B113))))&gt;=MAX($A113,Settings!$F$51),IF(Settings!$E$51="",$B113,DATE(YEAR($A113),MONTH($A113),MIN(Settings!$E$51,DAY($B113))))&lt;=MIN(Settings!$B$5,IF(Settings!$G$51="",Settings!$B$5,Settings!$G$51))),1,0)))))</f>
        <v/>
      </c>
      <c r="FA113">
        <f>IF($E113&lt;&gt;"open",0,IF(AND('Month-End'!$DF$29&lt;&gt;"",NOT(_xlfn.ISFORMULA('Month-End'!$DF$29))),0,IF(OR(Settings!$C$52="",Settings!$D$52=""),0,Settings!$C$52*IF(Settings!$D$52="Weekly",IF(IFERROR(MATCH(Settings!$E$52,$EO$4:$EO$10,0),0)=0,0,IF(MIN(Settings!$B$5,IF(Settings!$G$52="",Settings!$B$5,Settings!$G$52))&lt;MAX($A113,Settings!$F$52),0,INT((MIN(Settings!$B$5,IF(Settings!$G$52="",Settings!$B$5,Settings!$G$52))-MAX($A113,Settings!$F$52)-MOD(IFERROR(MATCH(Settings!$E$52,$EO$4:$EO$10,0),0)-WEEKDAY(MAX($A113,Settings!$F$52)),7))/7)+1)),IF(AND(IF(Settings!$E$52="",$B113,DATE(YEAR($A113),MONTH($A113),MIN(Settings!$E$52,DAY($B113))))&gt;=MAX($A113,Settings!$F$52),IF(Settings!$E$52="",$B113,DATE(YEAR($A113),MONTH($A113),MIN(Settings!$E$52,DAY($B113))))&lt;=MIN(Settings!$B$5,IF(Settings!$G$52="",Settings!$B$5,Settings!$G$52))),1,0)))))</f>
        <v/>
      </c>
      <c r="FB113">
        <f>IF($E113&lt;&gt;"open",0,IF(AND('Month-End'!$DF$30&lt;&gt;"",NOT(_xlfn.ISFORMULA('Month-End'!$DF$30))),0,IF(OR(Settings!$C$53="",Settings!$D$53=""),0,Settings!$C$53*IF(Settings!$D$53="Weekly",IF(IFERROR(MATCH(Settings!$E$53,$EO$4:$EO$10,0),0)=0,0,IF(MIN(Settings!$B$5,IF(Settings!$G$53="",Settings!$B$5,Settings!$G$53))&lt;MAX($A113,Settings!$F$53),0,INT((MIN(Settings!$B$5,IF(Settings!$G$53="",Settings!$B$5,Settings!$G$53))-MAX($A113,Settings!$F$53)-MOD(IFERROR(MATCH(Settings!$E$53,$EO$4:$EO$10,0),0)-WEEKDAY(MAX($A113,Settings!$F$53)),7))/7)+1)),IF(AND(IF(Settings!$E$53="",$B113,DATE(YEAR($A113),MONTH($A113),MIN(Settings!$E$53,DAY($B113))))&gt;=MAX($A113,Settings!$F$53),IF(Settings!$E$53="",$B113,DATE(YEAR($A113),MONTH($A113),MIN(Settings!$E$53,DAY($B113))))&lt;=MIN(Settings!$B$5,IF(Settings!$G$53="",Settings!$B$5,Settings!$G$53))),1,0)))))</f>
        <v/>
      </c>
      <c r="FC113">
        <f>IF($E113&lt;&gt;"open",0,IF(AND('Month-End'!$DF$31&lt;&gt;"",NOT(_xlfn.ISFORMULA('Month-End'!$DF$31))),0,IF(OR(Settings!$C$54="",Settings!$D$54=""),0,Settings!$C$54*IF(Settings!$D$54="Weekly",IF(IFERROR(MATCH(Settings!$E$54,$EO$4:$EO$10,0),0)=0,0,IF(MIN(Settings!$B$5,IF(Settings!$G$54="",Settings!$B$5,Settings!$G$54))&lt;MAX($A113,Settings!$F$54),0,INT((MIN(Settings!$B$5,IF(Settings!$G$54="",Settings!$B$5,Settings!$G$54))-MAX($A113,Settings!$F$54)-MOD(IFERROR(MATCH(Settings!$E$54,$EO$4:$EO$10,0),0)-WEEKDAY(MAX($A113,Settings!$F$54)),7))/7)+1)),IF(AND(IF(Settings!$E$54="",$B113,DATE(YEAR($A113),MONTH($A113),MIN(Settings!$E$54,DAY($B113))))&gt;=MAX($A113,Settings!$F$54),IF(Settings!$E$54="",$B113,DATE(YEAR($A113),MONTH($A113),MIN(Settings!$E$54,DAY($B113))))&lt;=MIN(Settings!$B$5,IF(Settings!$G$54="",Settings!$B$5,Settings!$G$54))),1,0)))))</f>
        <v/>
      </c>
      <c r="FD113">
        <f>IF($E113&lt;&gt;"open",0,IF(AND('Month-End'!$DF$32&lt;&gt;"",NOT(_xlfn.ISFORMULA('Month-End'!$DF$32))),0,IF(OR(Settings!$C$55="",Settings!$D$55=""),0,Settings!$C$55*IF(Settings!$D$55="Weekly",IF(IFERROR(MATCH(Settings!$E$55,$EO$4:$EO$10,0),0)=0,0,IF(MIN(Settings!$B$5,IF(Settings!$G$55="",Settings!$B$5,Settings!$G$55))&lt;MAX($A113,Settings!$F$55),0,INT((MIN(Settings!$B$5,IF(Settings!$G$55="",Settings!$B$5,Settings!$G$55))-MAX($A113,Settings!$F$55)-MOD(IFERROR(MATCH(Settings!$E$55,$EO$4:$EO$10,0),0)-WEEKDAY(MAX($A113,Settings!$F$55)),7))/7)+1)),IF(AND(IF(Settings!$E$55="",$B113,DATE(YEAR($A113),MONTH($A113),MIN(Settings!$E$55,DAY($B113))))&gt;=MAX($A113,Settings!$F$55),IF(Settings!$E$55="",$B113,DATE(YEAR($A113),MONTH($A113),MIN(Settings!$E$55,DAY($B113))))&lt;=MIN(Settings!$B$5,IF(Settings!$G$55="",Settings!$B$5,Settings!$G$55))),1,0)))))</f>
        <v/>
      </c>
      <c r="FE113">
        <f>IF($E113&lt;&gt;"open",0,IF(AND('Month-End'!$DF$33&lt;&gt;"",NOT(_xlfn.ISFORMULA('Month-End'!$DF$33))),0,IF(OR(Settings!$C$56="",Settings!$D$56=""),0,Settings!$C$56*IF(Settings!$D$56="Weekly",IF(IFERROR(MATCH(Settings!$E$56,$EO$4:$EO$10,0),0)=0,0,IF(MIN(Settings!$B$5,IF(Settings!$G$56="",Settings!$B$5,Settings!$G$56))&lt;MAX($A113,Settings!$F$56),0,INT((MIN(Settings!$B$5,IF(Settings!$G$56="",Settings!$B$5,Settings!$G$56))-MAX($A113,Settings!$F$56)-MOD(IFERROR(MATCH(Settings!$E$56,$EO$4:$EO$10,0),0)-WEEKDAY(MAX($A113,Settings!$F$56)),7))/7)+1)),IF(AND(IF(Settings!$E$56="",$B113,DATE(YEAR($A113),MONTH($A113),MIN(Settings!$E$56,DAY($B113))))&gt;=MAX($A113,Settings!$F$56),IF(Settings!$E$56="",$B113,DATE(YEAR($A113),MONTH($A113),MIN(Settings!$E$56,DAY($B113))))&lt;=MIN(Settings!$B$5,IF(Settings!$G$56="",Settings!$B$5,Settings!$G$56))),1,0)))))</f>
        <v/>
      </c>
      <c r="FF113">
        <f>IF(Settings!$I$45="Yes",$G113,0)+IF(Settings!$I$46="Yes",$H113,0)+IF(Settings!$I$47="Yes",$I113,0)+IF(Settings!$I$48="Yes",$J113,0)+IF(Settings!$I$49="Yes",$K113,0)+IF(Settings!$I$50="Yes",$L113,0)+IF(Settings!$I$51="Yes",$M113,0)+IF(Settings!$I$52="Yes",$N113,0)+IF(Settings!$I$53="Yes",$O113,0)+IF(Settings!$I$54="Yes",$P113,0)+IF(Settings!$I$55="Yes",$Q113,0)+IF(Settings!$I$56="Yes",$R113,0)</f>
        <v/>
      </c>
      <c r="FG113">
        <f>IF(AND(Settings!$I$45="Yes",Settings!$J$45="No"),$G113,0)+IF(AND(Settings!$I$46="Yes",Settings!$J$46="No"),$H113,0)+IF(AND(Settings!$I$47="Yes",Settings!$J$47="No"),$I113,0)+IF(AND(Settings!$I$48="Yes",Settings!$J$48="No"),$J113,0)+IF(AND(Settings!$I$49="Yes",Settings!$J$49="No"),$K113,0)+IF(AND(Settings!$I$50="Yes",Settings!$J$50="No"),$L113,0)+IF(AND(Settings!$I$51="Yes",Settings!$J$51="No"),$M113,0)+IF(AND(Settings!$I$52="Yes",Settings!$J$52="No"),$N113,0)+IF(AND(Settings!$I$53="Yes",Settings!$J$53="No"),$O113,0)+IF(AND(Settings!$I$54="Yes",Settings!$J$54="No"),$P113,0)+IF(AND(Settings!$I$55="Yes",Settings!$J$55="No"),$Q113,0)+IF(AND(Settings!$I$56="Yes",Settings!$J$56="No"),$R113,0)</f>
        <v/>
      </c>
      <c r="FH113">
        <f>SUMIFS(Giving!$B$7:$B$2006,Giving!$A$7:$A$2006,"&gt;="&amp;$A113,Giving!$A$7:$A$2006,"&lt;="&amp;$B113,Giving!$G$7:$G$2006,"Yes")+IF(OR(OR(Settings!$B$60="",Settings!$F$60="No"),Settings!$H$60&lt;&gt;"Yes"),0,Settings!$B$60*IF(AND(IF(Settings!$C$60="",$B113,DATE(YEAR($A113),MONTH($A113),MIN(Settings!$C$60,DAY($B113))))&gt;=MAX($A113,Settings!$D$60),IF(Settings!$C$60="",$B113,DATE(YEAR($A113),MONTH($A113),MIN(Settings!$C$60,DAY($B113))))&lt;=MIN($C113,IF(Settings!$E$60="",$C113,Settings!$E$60))),1,0))+IF(OR(OR(Settings!$B$61="",Settings!$F$61="No"),Settings!$H$61&lt;&gt;"Yes"),0,Settings!$B$61*IF(AND(IF(Settings!$C$61="",$B113,DATE(YEAR($A113),MONTH($A113),MIN(Settings!$C$61,DAY($B113))))&gt;=MAX($A113,Settings!$D$61),IF(Settings!$C$61="",$B113,DATE(YEAR($A113),MONTH($A113),MIN(Settings!$C$61,DAY($B113))))&lt;=MIN($C113,IF(Settings!$E$61="",$C113,Settings!$E$61))),1,0))+IF(OR(OR(Settings!$B$62="",Settings!$F$62="No"),Settings!$H$62&lt;&gt;"Yes"),0,Settings!$B$62*IF(AND(IF(Settings!$C$62="",$B113,DATE(YEAR($A113),MONTH($A113),MIN(Settings!$C$62,DAY($B113))))&gt;=MAX($A113,Settings!$D$62),IF(Settings!$C$62="",$B113,DATE(YEAR($A113),MONTH($A113),MIN(Settings!$C$62,DAY($B113))))&lt;=MIN($C113,IF(Settings!$E$62="",$C113,Settings!$E$62))),1,0))+IF(OR(OR(Settings!$B$63="",Settings!$F$63="No"),Settings!$H$63&lt;&gt;"Yes"),0,Settings!$B$63*IF(AND(IF(Settings!$C$63="",$B113,DATE(YEAR($A113),MONTH($A113),MIN(Settings!$C$63,DAY($B113))))&gt;=MAX($A113,Settings!$D$63),IF(Settings!$C$63="",$B113,DATE(YEAR($A113),MONTH($A113),MIN(Settings!$C$63,DAY($B113))))&lt;=MIN($C113,IF(Settings!$E$63="",$C113,Settings!$E$63))),1,0))+IF(OR(OR(Settings!$B$64="",Settings!$F$64="No"),Settings!$H$64&lt;&gt;"Yes"),0,Settings!$B$64*IF(AND(IF(Settings!$C$64="",$B113,DATE(YEAR($A113),MONTH($A113),MIN(Settings!$C$64,DAY($B113))))&gt;=MAX($A113,Settings!$D$64),IF(Settings!$C$64="",$B113,DATE(YEAR($A113),MONTH($A113),MIN(Settings!$C$64,DAY($B113))))&lt;=MIN($C113,IF(Settings!$E$64="",$C113,Settings!$E$64))),1,0))+IF(OR(OR(Settings!$B$65="",Settings!$F$65="No"),Settings!$H$65&lt;&gt;"Yes"),0,Settings!$B$65*IF(AND(IF(Settings!$C$65="",$B113,DATE(YEAR($A113),MONTH($A113),MIN(Settings!$C$65,DAY($B113))))&gt;=MAX($A113,Settings!$D$65),IF(Settings!$C$65="",$B113,DATE(YEAR($A113),MONTH($A113),MIN(Settings!$C$65,DAY($B113))))&lt;=MIN($C113,IF(Settings!$E$65="",$C113,Settings!$E$65))),1,0))</f>
        <v/>
      </c>
      <c r="FI113">
        <f>IF($DT113=1,IF(OR(Settings!$B$19="Card",Settings!$B$19="Loan"),N($AE113),0)+IF(OR(Settings!$B$20="Card",Settings!$B$20="Loan"),N($AF113),0)+IF(OR(Settings!$B$21="Card",Settings!$B$21="Loan"),N($AG113),0)+IF(OR(Settings!$B$22="Card",Settings!$B$22="Loan"),N($AH113),0)+IF(OR(Settings!$B$23="Card",Settings!$B$23="Loan"),N($AI113),0)+IF(OR(Settings!$B$24="Card",Settings!$B$24="Loan"),N($AJ113),0)+IF(OR(Settings!$B$25="Card",Settings!$B$25="Loan"),N($AK113),0)+IF(OR(Settings!$B$26="Card",Settings!$B$26="Loan"),N($AL113),0)+IF(OR(Settings!$B$27="Card",Settings!$B$27="Loan"),N($AM113),0)+IF(OR(Settings!$B$28="Card",Settings!$B$28="Loan"),N($AN113),0)+IF(OR(Settings!$B$29="Card",Settings!$B$29="Loan"),N($AO113),0)+IF(OR(Settings!$B$30="Card",Settings!$B$30="Loan"),N($AP113),0)+IF(OR(Settings!$B$31="Card",Settings!$B$31="Loan"),N($AQ113),0)+IF(OR(Settings!$B$32="Card",Settings!$B$32="Loan"),N($AR113),0),"")</f>
        <v/>
      </c>
      <c r="FJ113">
        <f>IF($E113="open",$EB$65,IF($E113="post",IF($E112="pre",$EB$65,$FI112),""))</f>
        <v/>
      </c>
      <c r="FK113">
        <f>IF(AND($DT113=1,$DC113=1),IF(ROUND($FI113-$FJ113,2)&gt;0,1,0),0)</f>
        <v/>
      </c>
      <c r="FL113">
        <f>IF($FK113=1,$FL112+1,0)</f>
        <v/>
      </c>
    </row>
    <row r="114">
      <c r="A114">
        <f>'Month-End'!$DG$4</f>
        <v/>
      </c>
      <c r="B114">
        <f>EOMONTH($A114,0)</f>
        <v/>
      </c>
      <c r="C114">
        <f>MIN($B114,TODAY())</f>
        <v/>
      </c>
      <c r="D114">
        <f>IF($A114&gt;TODAY(),1,0)</f>
        <v/>
      </c>
      <c r="E114">
        <f>IF($B114&lt;=Settings!$B$5,"pre",IF($A114&lt;=Settings!$B$5,"open","post"))</f>
        <v/>
      </c>
      <c r="G114">
        <f>IF('Month-End'!$DG$22="",$BE114,N('Month-End'!$DG$22))</f>
        <v/>
      </c>
      <c r="H114">
        <f>IF('Month-End'!$DG$23="",$BF114,N('Month-End'!$DG$23))</f>
        <v/>
      </c>
      <c r="I114">
        <f>IF('Month-End'!$DG$24="",$BG114,N('Month-End'!$DG$24))</f>
        <v/>
      </c>
      <c r="J114">
        <f>IF('Month-End'!$DG$25="",$BH114,N('Month-End'!$DG$25))</f>
        <v/>
      </c>
      <c r="K114">
        <f>IF('Month-End'!$DG$26="",$BI114,N('Month-End'!$DG$26))</f>
        <v/>
      </c>
      <c r="L114">
        <f>IF('Month-End'!$DG$27="",$BJ114,N('Month-End'!$DG$27))</f>
        <v/>
      </c>
      <c r="M114">
        <f>IF('Month-End'!$DG$28="",$BK114,N('Month-End'!$DG$28))</f>
        <v/>
      </c>
      <c r="N114">
        <f>IF('Month-End'!$DG$29="",$BL114,N('Month-End'!$DG$29))</f>
        <v/>
      </c>
      <c r="O114">
        <f>IF('Month-End'!$DG$30="",$BM114,N('Month-End'!$DG$30))</f>
        <v/>
      </c>
      <c r="P114">
        <f>IF('Month-End'!$DG$31="",$BN114,N('Month-End'!$DG$31))</f>
        <v/>
      </c>
      <c r="Q114">
        <f>IF('Month-End'!$DG$32="",$BO114,N('Month-End'!$DG$32))</f>
        <v/>
      </c>
      <c r="R114">
        <f>IF('Month-End'!$DG$33="",$BP114,N('Month-End'!$DG$33))</f>
        <v/>
      </c>
      <c r="S114">
        <f>$G114+$H114+$I114+$J114+$K114+$L114+$M114+$N114+$O114+$P114+$Q114+$R114</f>
        <v/>
      </c>
      <c r="T114">
        <f>IF($B114&lt;Settings!$B$6,0,IF(Settings!$B$45="Yes",$G114,0)+IF(Settings!$B$46="Yes",$H114,0)+IF(Settings!$B$47="Yes",$I114,0)+IF(Settings!$B$48="Yes",$J114,0)+IF(Settings!$B$49="Yes",$K114,0)+IF(Settings!$B$50="Yes",$L114,0)+IF(Settings!$B$51="Yes",$M114,0)+IF(Settings!$B$52="Yes",$N114,0)+IF(Settings!$B$53="Yes",$O114,0)+IF(Settings!$B$54="Yes",$P114,0)+IF(Settings!$B$55="Yes",$Q114,0)+IF(Settings!$B$56="Yes",$R114,0))</f>
        <v/>
      </c>
      <c r="U114">
        <f>IF(Settings!$B$45="Not Sure",$G114,0)+IF(Settings!$B$46="Not Sure",$H114,0)+IF(Settings!$B$47="Not Sure",$I114,0)+IF(Settings!$B$48="Not Sure",$J114,0)+IF(Settings!$B$49="Not Sure",$K114,0)+IF(Settings!$B$50="Not Sure",$L114,0)+IF(Settings!$B$51="Not Sure",$M114,0)+IF(Settings!$B$52="Not Sure",$N114,0)+IF(Settings!$B$53="Not Sure",$O114,0)+IF(Settings!$B$54="Not Sure",$P114,0)+IF(Settings!$B$55="Not Sure",$Q114,0)+IF(Settings!$B$56="Not Sure",$R114,0)</f>
        <v/>
      </c>
      <c r="V114">
        <f>IF($E114="open",SUM($ET114:$FE114)+N(Settings!$B$13),0)</f>
        <v/>
      </c>
      <c r="W114">
        <f>IF($E114="post",$S114,IF($E114="open",$S114-$V114,0))</f>
        <v/>
      </c>
      <c r="X114">
        <f>SUMIFS(Giving!$B$7:$B$2006,Giving!$A$7:$A$2006,"&gt;="&amp;$A114,Giving!$A$7:$A$2006,"&lt;="&amp;$B114,Giving!$E$7:$E$2006,"&lt;&gt;No")</f>
        <v/>
      </c>
      <c r="Y114">
        <f>SUMIFS(Giving!$B$7:$B$2006,Giving!$A$7:$A$2006,"&gt;="&amp;$A114,Giving!$A$7:$A$2006,"&lt;="&amp;$B114,Giving!$E$7:$E$2006,"No")</f>
        <v/>
      </c>
      <c r="Z114">
        <f>IF(OR(Settings!$B$60="",Settings!$F$60="No"),0,Settings!$B$60*IF(AND(IF(Settings!$C$60="",$B114,DATE(YEAR($A114),MONTH($A114),MIN(Settings!$C$60,DAY($B114))))&gt;=MAX($A114,Settings!$D$60),IF(Settings!$C$60="",$B114,DATE(YEAR($A114),MONTH($A114),MIN(Settings!$C$60,DAY($B114))))&lt;=MIN($C114,IF(Settings!$E$60="",$C114,Settings!$E$60))),1,0))+IF(OR(Settings!$B$61="",Settings!$F$61="No"),0,Settings!$B$61*IF(AND(IF(Settings!$C$61="",$B114,DATE(YEAR($A114),MONTH($A114),MIN(Settings!$C$61,DAY($B114))))&gt;=MAX($A114,Settings!$D$61),IF(Settings!$C$61="",$B114,DATE(YEAR($A114),MONTH($A114),MIN(Settings!$C$61,DAY($B114))))&lt;=MIN($C114,IF(Settings!$E$61="",$C114,Settings!$E$61))),1,0))+IF(OR(Settings!$B$62="",Settings!$F$62="No"),0,Settings!$B$62*IF(AND(IF(Settings!$C$62="",$B114,DATE(YEAR($A114),MONTH($A114),MIN(Settings!$C$62,DAY($B114))))&gt;=MAX($A114,Settings!$D$62),IF(Settings!$C$62="",$B114,DATE(YEAR($A114),MONTH($A114),MIN(Settings!$C$62,DAY($B114))))&lt;=MIN($C114,IF(Settings!$E$62="",$C114,Settings!$E$62))),1,0))+IF(OR(Settings!$B$63="",Settings!$F$63="No"),0,Settings!$B$63*IF(AND(IF(Settings!$C$63="",$B114,DATE(YEAR($A114),MONTH($A114),MIN(Settings!$C$63,DAY($B114))))&gt;=MAX($A114,Settings!$D$63),IF(Settings!$C$63="",$B114,DATE(YEAR($A114),MONTH($A114),MIN(Settings!$C$63,DAY($B114))))&lt;=MIN($C114,IF(Settings!$E$63="",$C114,Settings!$E$63))),1,0))+IF(OR(Settings!$B$64="",Settings!$F$64="No"),0,Settings!$B$64*IF(AND(IF(Settings!$C$64="",$B114,DATE(YEAR($A114),MONTH($A114),MIN(Settings!$C$64,DAY($B114))))&gt;=MAX($A114,Settings!$D$64),IF(Settings!$C$64="",$B114,DATE(YEAR($A114),MONTH($A114),MIN(Settings!$C$64,DAY($B114))))&lt;=MIN($C114,IF(Settings!$E$64="",$C114,Settings!$E$64))),1,0))+IF(OR(Settings!$B$65="",Settings!$F$65="No"),0,Settings!$B$65*IF(AND(IF(Settings!$C$65="",$B114,DATE(YEAR($A114),MONTH($A114),MIN(Settings!$C$65,DAY($B114))))&gt;=MAX($A114,Settings!$D$65),IF(Settings!$C$65="",$B114,DATE(YEAR($A114),MONTH($A114),MIN(Settings!$C$65,DAY($B114))))&lt;=MIN($C114,IF(Settings!$E$65="",$C114,Settings!$E$65))),1,0))</f>
        <v/>
      </c>
      <c r="AA114">
        <f>$X114+$Z114</f>
        <v/>
      </c>
      <c r="AB114">
        <f>IF($E114="post",$AA114,IF($E114="open",SUMIFS(Giving!$B$7:$B$2006,Giving!$A$7:$A$2006,"&gt;"&amp;Settings!$B$5,Giving!$A$7:$A$2006,"&lt;="&amp;$B114,Giving!$E$7:$E$2006,"&lt;&gt;No")+IF(OR(Settings!$B$60="",Settings!$F$60="No"),0,Settings!$B$60*IF(AND(IF(Settings!$C$60="",$B114,DATE(YEAR($A114),MONTH($A114),MIN(Settings!$C$60,DAY($B114))))&gt;=MAX($A114,Settings!$D$60,Settings!$B$5+1),IF(Settings!$C$60="",$B114,DATE(YEAR($A114),MONTH($A114),MIN(Settings!$C$60,DAY($B114))))&lt;=MIN($C114,IF(Settings!$E$60="",$C114,Settings!$E$60))),1,0))+IF(OR(Settings!$B$61="",Settings!$F$61="No"),0,Settings!$B$61*IF(AND(IF(Settings!$C$61="",$B114,DATE(YEAR($A114),MONTH($A114),MIN(Settings!$C$61,DAY($B114))))&gt;=MAX($A114,Settings!$D$61,Settings!$B$5+1),IF(Settings!$C$61="",$B114,DATE(YEAR($A114),MONTH($A114),MIN(Settings!$C$61,DAY($B114))))&lt;=MIN($C114,IF(Settings!$E$61="",$C114,Settings!$E$61))),1,0))+IF(OR(Settings!$B$62="",Settings!$F$62="No"),0,Settings!$B$62*IF(AND(IF(Settings!$C$62="",$B114,DATE(YEAR($A114),MONTH($A114),MIN(Settings!$C$62,DAY($B114))))&gt;=MAX($A114,Settings!$D$62,Settings!$B$5+1),IF(Settings!$C$62="",$B114,DATE(YEAR($A114),MONTH($A114),MIN(Settings!$C$62,DAY($B114))))&lt;=MIN($C114,IF(Settings!$E$62="",$C114,Settings!$E$62))),1,0))+IF(OR(Settings!$B$63="",Settings!$F$63="No"),0,Settings!$B$63*IF(AND(IF(Settings!$C$63="",$B114,DATE(YEAR($A114),MONTH($A114),MIN(Settings!$C$63,DAY($B114))))&gt;=MAX($A114,Settings!$D$63,Settings!$B$5+1),IF(Settings!$C$63="",$B114,DATE(YEAR($A114),MONTH($A114),MIN(Settings!$C$63,DAY($B114))))&lt;=MIN($C114,IF(Settings!$E$63="",$C114,Settings!$E$63))),1,0))+IF(OR(Settings!$B$64="",Settings!$F$64="No"),0,Settings!$B$64*IF(AND(IF(Settings!$C$64="",$B114,DATE(YEAR($A114),MONTH($A114),MIN(Settings!$C$64,DAY($B114))))&gt;=MAX($A114,Settings!$D$64,Settings!$B$5+1),IF(Settings!$C$64="",$B114,DATE(YEAR($A114),MONTH($A114),MIN(Settings!$C$64,DAY($B114))))&lt;=MIN($C114,IF(Settings!$E$64="",$C114,Settings!$E$64))),1,0))+IF(OR(Settings!$B$65="",Settings!$F$65="No"),0,Settings!$B$65*IF(AND(IF(Settings!$C$65="",$B114,DATE(YEAR($A114),MONTH($A114),MIN(Settings!$C$65,DAY($B114))))&gt;=MAX($A114,Settings!$D$65,Settings!$B$5+1),IF(Settings!$C$65="",$B114,DATE(YEAR($A114),MONTH($A114),MIN(Settings!$C$65,DAY($B114))))&lt;=MIN($C114,IF(Settings!$E$65="",$C114,Settings!$E$65))),1,0)),0))</f>
        <v/>
      </c>
      <c r="AC114">
        <f>$AY114+$AZ114+$BA114+$BB114+$BC114+$BD114</f>
        <v/>
      </c>
      <c r="AD114">
        <f>$AC114</f>
        <v/>
      </c>
      <c r="AE114">
        <f>IF(OR(Settings!$A$19="",$E114="pre"),"",IF(AND('Month-End'!$DG$7&lt;&gt;"",NOT(_xlfn.ISFORMULA('Month-End'!$DG$7))),N('Month-End'!$DG$7),IF(OR($E114="open",$E113="pre"),N(Settings!$C$19),N($AE113))))</f>
        <v/>
      </c>
      <c r="AF114">
        <f>IF(OR(Settings!$A$20="",$E114="pre"),"",IF(AND('Month-End'!$DG$8&lt;&gt;"",NOT(_xlfn.ISFORMULA('Month-End'!$DG$8))),N('Month-End'!$DG$8),IF(OR($E114="open",$E113="pre"),N(Settings!$C$20),N($AF113))))</f>
        <v/>
      </c>
      <c r="AG114">
        <f>IF(OR(Settings!$A$21="",$E114="pre"),"",IF(AND('Month-End'!$DG$9&lt;&gt;"",NOT(_xlfn.ISFORMULA('Month-End'!$DG$9))),N('Month-End'!$DG$9),IF(OR($E114="open",$E113="pre"),N(Settings!$C$21),N($AG113))))</f>
        <v/>
      </c>
      <c r="AH114">
        <f>IF(OR(Settings!$A$22="",$E114="pre"),"",IF(AND('Month-End'!$DG$10&lt;&gt;"",NOT(_xlfn.ISFORMULA('Month-End'!$DG$10))),N('Month-End'!$DG$10),IF(OR($E114="open",$E113="pre"),N(Settings!$C$22),N($AH113))))</f>
        <v/>
      </c>
      <c r="AI114">
        <f>IF(OR(Settings!$A$23="",$E114="pre"),"",IF(AND('Month-End'!$DG$11&lt;&gt;"",NOT(_xlfn.ISFORMULA('Month-End'!$DG$11))),N('Month-End'!$DG$11),IF(OR($E114="open",$E113="pre"),N(Settings!$C$23),N($AI113))))</f>
        <v/>
      </c>
      <c r="AJ114">
        <f>IF(OR(Settings!$A$24="",$E114="pre"),"",IF(AND('Month-End'!$DG$12&lt;&gt;"",NOT(_xlfn.ISFORMULA('Month-End'!$DG$12))),N('Month-End'!$DG$12),IF(OR($E114="open",$E113="pre"),N(Settings!$C$24),N($AJ113))))</f>
        <v/>
      </c>
      <c r="AK114">
        <f>IF(OR(Settings!$A$25="",$E114="pre"),"",IF(AND('Month-End'!$DG$13&lt;&gt;"",NOT(_xlfn.ISFORMULA('Month-End'!$DG$13))),N('Month-End'!$DG$13),IF(OR($E114="open",$E113="pre"),N(Settings!$C$25),N($AK113))))</f>
        <v/>
      </c>
      <c r="AL114">
        <f>IF(OR(Settings!$A$26="",$E114="pre"),"",IF(AND('Month-End'!$DG$14&lt;&gt;"",NOT(_xlfn.ISFORMULA('Month-End'!$DG$14))),N('Month-End'!$DG$14),IF(OR($E114="open",$E113="pre"),N(Settings!$C$26),N($AL113))))</f>
        <v/>
      </c>
      <c r="AM114">
        <f>IF(OR(Settings!$A$27="",$E114="pre"),"",IF(AND('Month-End'!$DG$15&lt;&gt;"",NOT(_xlfn.ISFORMULA('Month-End'!$DG$15))),N('Month-End'!$DG$15),IF(OR($E114="open",$E113="pre"),N(Settings!$C$27),N($AM113))))</f>
        <v/>
      </c>
      <c r="AN114">
        <f>IF(OR(Settings!$A$28="",$E114="pre"),"",IF(AND('Month-End'!$DG$16&lt;&gt;"",NOT(_xlfn.ISFORMULA('Month-End'!$DG$16))),N('Month-End'!$DG$16),IF(OR($E114="open",$E113="pre"),N(Settings!$C$28),N($AN113))))</f>
        <v/>
      </c>
      <c r="AO114">
        <f>IF(OR(Settings!$A$29="",$E114="pre"),"",IF(AND('Month-End'!$DG$17&lt;&gt;"",NOT(_xlfn.ISFORMULA('Month-End'!$DG$17))),N('Month-End'!$DG$17),IF(OR($E114="open",$E113="pre"),N(Settings!$C$29),N($AO113))))</f>
        <v/>
      </c>
      <c r="AP114">
        <f>IF(OR(Settings!$A$30="",$E114="pre"),"",IF(AND('Month-End'!$DG$18&lt;&gt;"",NOT(_xlfn.ISFORMULA('Month-End'!$DG$18))),N('Month-End'!$DG$18),IF(OR($E114="open",$E113="pre"),N(Settings!$C$30),N($AP113))))</f>
        <v/>
      </c>
      <c r="AQ114">
        <f>IF(OR(Settings!$A$31="",$E114="pre"),"",IF(AND('Month-End'!$DG$19&lt;&gt;"",NOT(_xlfn.ISFORMULA('Month-End'!$DG$19))),N('Month-End'!$DG$19),IF(OR($E114="open",$E113="pre"),N(Settings!$C$31),N($AQ113))))</f>
        <v/>
      </c>
      <c r="AR114">
        <f>IF(OR(Settings!$A$32="",$E114="pre"),"",IF(AND('Month-End'!$DG$20&lt;&gt;"",NOT(_xlfn.ISFORMULA('Month-End'!$DG$20))),N('Month-End'!$DG$20),IF(OR($E114="open",$E113="pre"),N(Settings!$C$32),N($AR113))))</f>
        <v/>
      </c>
      <c r="AS114">
        <f>IF(OR(Settings!$A$36="",$E114="pre"),"",IF(AND('Month-End'!$DG$38&lt;&gt;"",NOT(_xlfn.ISFORMULA('Month-End'!$DG$38))),N('Month-End'!$DG$38),IF(OR($E114="open",$E113="pre"),N(Settings!$C$36),N($AS113))+$AY114))</f>
        <v/>
      </c>
      <c r="AT114">
        <f>IF(OR(Settings!$A$37="",$E114="pre"),"",IF(AND('Month-End'!$DG$39&lt;&gt;"",NOT(_xlfn.ISFORMULA('Month-End'!$DG$39))),N('Month-End'!$DG$39),IF(OR($E114="open",$E113="pre"),N(Settings!$C$37),N($AT113))+$AZ114))</f>
        <v/>
      </c>
      <c r="AU114">
        <f>IF(OR(Settings!$A$38="",$E114="pre"),"",IF(AND('Month-End'!$DG$40&lt;&gt;"",NOT(_xlfn.ISFORMULA('Month-End'!$DG$40))),N('Month-End'!$DG$40),IF(OR($E114="open",$E113="pre"),N(Settings!$C$38),N($AU113))+$BA114))</f>
        <v/>
      </c>
      <c r="AV114">
        <f>IF(OR(Settings!$A$39="",$E114="pre"),"",IF(AND('Month-End'!$DG$41&lt;&gt;"",NOT(_xlfn.ISFORMULA('Month-End'!$DG$41))),N('Month-End'!$DG$41),IF(OR($E114="open",$E113="pre"),N(Settings!$C$39),N($AV113))+$BB114))</f>
        <v/>
      </c>
      <c r="AW114">
        <f>IF(OR(Settings!$A$40="",$E114="pre"),"",IF(AND('Month-End'!$DG$42&lt;&gt;"",NOT(_xlfn.ISFORMULA('Month-End'!$DG$42))),N('Month-End'!$DG$42),IF(OR($E114="open",$E113="pre"),N(Settings!$C$40),N($AW113))+$BC114))</f>
        <v/>
      </c>
      <c r="AX114">
        <f>IF(OR(Settings!$A$41="",$E114="pre"),"",IF(AND('Month-End'!$DG$43&lt;&gt;"",NOT(_xlfn.ISFORMULA('Month-End'!$DG$43))),N('Month-End'!$DG$43),IF(OR($E114="open",$E113="pre"),N(Settings!$C$41),N($AX113))+$BD114))</f>
        <v/>
      </c>
      <c r="AY114">
        <f>IF($E114="pre",0,N('Month-End'!$DG$45))</f>
        <v/>
      </c>
      <c r="AZ114">
        <f>IF($E114="pre",0,N('Month-End'!$DG$46))</f>
        <v/>
      </c>
      <c r="BA114">
        <f>IF($E114="pre",0,N('Month-End'!$DG$47))</f>
        <v/>
      </c>
      <c r="BB114">
        <f>IF($E114="pre",0,N('Month-End'!$DG$48))</f>
        <v/>
      </c>
      <c r="BC114">
        <f>IF($E114="pre",0,N('Month-End'!$DG$49))</f>
        <v/>
      </c>
      <c r="BD114">
        <f>IF($E114="pre",0,N('Month-End'!$DG$50))</f>
        <v/>
      </c>
      <c r="BE114">
        <f>IF(OR(Settings!$C$45="",Settings!$D$45=""),0,Settings!$C$45*IF(Settings!$D$45="Weekly",IF(IFERROR(MATCH(Settings!$E$45,$EO$4:$EO$10,0),0)=0,0,IF(MIN($C114,IF(Settings!$G$45="",$C114,Settings!$G$45))&lt;MAX($A114,Settings!$F$45),0,INT((MIN($C114,IF(Settings!$G$45="",$C114,Settings!$G$45))-MAX($A114,Settings!$F$45)-MOD(IFERROR(MATCH(Settings!$E$45,$EO$4:$EO$10,0),0)-WEEKDAY(MAX($A114,Settings!$F$45)),7))/7)+1)),IF(AND(IF(Settings!$E$45="",$B114,DATE(YEAR($A114),MONTH($A114),MIN(Settings!$E$45,DAY($B114))))&gt;=MAX($A114,Settings!$F$45),IF(Settings!$E$45="",$B114,DATE(YEAR($A114),MONTH($A114),MIN(Settings!$E$45,DAY($B114))))&lt;=MIN($C114,IF(Settings!$G$45="",$C114,Settings!$G$45))),1,0)))</f>
        <v/>
      </c>
      <c r="BF114">
        <f>IF(OR(Settings!$C$46="",Settings!$D$46=""),0,Settings!$C$46*IF(Settings!$D$46="Weekly",IF(IFERROR(MATCH(Settings!$E$46,$EO$4:$EO$10,0),0)=0,0,IF(MIN($C114,IF(Settings!$G$46="",$C114,Settings!$G$46))&lt;MAX($A114,Settings!$F$46),0,INT((MIN($C114,IF(Settings!$G$46="",$C114,Settings!$G$46))-MAX($A114,Settings!$F$46)-MOD(IFERROR(MATCH(Settings!$E$46,$EO$4:$EO$10,0),0)-WEEKDAY(MAX($A114,Settings!$F$46)),7))/7)+1)),IF(AND(IF(Settings!$E$46="",$B114,DATE(YEAR($A114),MONTH($A114),MIN(Settings!$E$46,DAY($B114))))&gt;=MAX($A114,Settings!$F$46),IF(Settings!$E$46="",$B114,DATE(YEAR($A114),MONTH($A114),MIN(Settings!$E$46,DAY($B114))))&lt;=MIN($C114,IF(Settings!$G$46="",$C114,Settings!$G$46))),1,0)))</f>
        <v/>
      </c>
      <c r="BG114">
        <f>IF(OR(Settings!$C$47="",Settings!$D$47=""),0,Settings!$C$47*IF(Settings!$D$47="Weekly",IF(IFERROR(MATCH(Settings!$E$47,$EO$4:$EO$10,0),0)=0,0,IF(MIN($C114,IF(Settings!$G$47="",$C114,Settings!$G$47))&lt;MAX($A114,Settings!$F$47),0,INT((MIN($C114,IF(Settings!$G$47="",$C114,Settings!$G$47))-MAX($A114,Settings!$F$47)-MOD(IFERROR(MATCH(Settings!$E$47,$EO$4:$EO$10,0),0)-WEEKDAY(MAX($A114,Settings!$F$47)),7))/7)+1)),IF(AND(IF(Settings!$E$47="",$B114,DATE(YEAR($A114),MONTH($A114),MIN(Settings!$E$47,DAY($B114))))&gt;=MAX($A114,Settings!$F$47),IF(Settings!$E$47="",$B114,DATE(YEAR($A114),MONTH($A114),MIN(Settings!$E$47,DAY($B114))))&lt;=MIN($C114,IF(Settings!$G$47="",$C114,Settings!$G$47))),1,0)))</f>
        <v/>
      </c>
      <c r="BH114">
        <f>IF(OR(Settings!$C$48="",Settings!$D$48=""),0,Settings!$C$48*IF(Settings!$D$48="Weekly",IF(IFERROR(MATCH(Settings!$E$48,$EO$4:$EO$10,0),0)=0,0,IF(MIN($C114,IF(Settings!$G$48="",$C114,Settings!$G$48))&lt;MAX($A114,Settings!$F$48),0,INT((MIN($C114,IF(Settings!$G$48="",$C114,Settings!$G$48))-MAX($A114,Settings!$F$48)-MOD(IFERROR(MATCH(Settings!$E$48,$EO$4:$EO$10,0),0)-WEEKDAY(MAX($A114,Settings!$F$48)),7))/7)+1)),IF(AND(IF(Settings!$E$48="",$B114,DATE(YEAR($A114),MONTH($A114),MIN(Settings!$E$48,DAY($B114))))&gt;=MAX($A114,Settings!$F$48),IF(Settings!$E$48="",$B114,DATE(YEAR($A114),MONTH($A114),MIN(Settings!$E$48,DAY($B114))))&lt;=MIN($C114,IF(Settings!$G$48="",$C114,Settings!$G$48))),1,0)))</f>
        <v/>
      </c>
      <c r="BI114">
        <f>IF(OR(Settings!$C$49="",Settings!$D$49=""),0,Settings!$C$49*IF(Settings!$D$49="Weekly",IF(IFERROR(MATCH(Settings!$E$49,$EO$4:$EO$10,0),0)=0,0,IF(MIN($C114,IF(Settings!$G$49="",$C114,Settings!$G$49))&lt;MAX($A114,Settings!$F$49),0,INT((MIN($C114,IF(Settings!$G$49="",$C114,Settings!$G$49))-MAX($A114,Settings!$F$49)-MOD(IFERROR(MATCH(Settings!$E$49,$EO$4:$EO$10,0),0)-WEEKDAY(MAX($A114,Settings!$F$49)),7))/7)+1)),IF(AND(IF(Settings!$E$49="",$B114,DATE(YEAR($A114),MONTH($A114),MIN(Settings!$E$49,DAY($B114))))&gt;=MAX($A114,Settings!$F$49),IF(Settings!$E$49="",$B114,DATE(YEAR($A114),MONTH($A114),MIN(Settings!$E$49,DAY($B114))))&lt;=MIN($C114,IF(Settings!$G$49="",$C114,Settings!$G$49))),1,0)))</f>
        <v/>
      </c>
      <c r="BJ114">
        <f>IF(OR(Settings!$C$50="",Settings!$D$50=""),0,Settings!$C$50*IF(Settings!$D$50="Weekly",IF(IFERROR(MATCH(Settings!$E$50,$EO$4:$EO$10,0),0)=0,0,IF(MIN($C114,IF(Settings!$G$50="",$C114,Settings!$G$50))&lt;MAX($A114,Settings!$F$50),0,INT((MIN($C114,IF(Settings!$G$50="",$C114,Settings!$G$50))-MAX($A114,Settings!$F$50)-MOD(IFERROR(MATCH(Settings!$E$50,$EO$4:$EO$10,0),0)-WEEKDAY(MAX($A114,Settings!$F$50)),7))/7)+1)),IF(AND(IF(Settings!$E$50="",$B114,DATE(YEAR($A114),MONTH($A114),MIN(Settings!$E$50,DAY($B114))))&gt;=MAX($A114,Settings!$F$50),IF(Settings!$E$50="",$B114,DATE(YEAR($A114),MONTH($A114),MIN(Settings!$E$50,DAY($B114))))&lt;=MIN($C114,IF(Settings!$G$50="",$C114,Settings!$G$50))),1,0)))</f>
        <v/>
      </c>
      <c r="BK114">
        <f>IF(OR(Settings!$C$51="",Settings!$D$51=""),0,Settings!$C$51*IF(Settings!$D$51="Weekly",IF(IFERROR(MATCH(Settings!$E$51,$EO$4:$EO$10,0),0)=0,0,IF(MIN($C114,IF(Settings!$G$51="",$C114,Settings!$G$51))&lt;MAX($A114,Settings!$F$51),0,INT((MIN($C114,IF(Settings!$G$51="",$C114,Settings!$G$51))-MAX($A114,Settings!$F$51)-MOD(IFERROR(MATCH(Settings!$E$51,$EO$4:$EO$10,0),0)-WEEKDAY(MAX($A114,Settings!$F$51)),7))/7)+1)),IF(AND(IF(Settings!$E$51="",$B114,DATE(YEAR($A114),MONTH($A114),MIN(Settings!$E$51,DAY($B114))))&gt;=MAX($A114,Settings!$F$51),IF(Settings!$E$51="",$B114,DATE(YEAR($A114),MONTH($A114),MIN(Settings!$E$51,DAY($B114))))&lt;=MIN($C114,IF(Settings!$G$51="",$C114,Settings!$G$51))),1,0)))</f>
        <v/>
      </c>
      <c r="BL114">
        <f>IF(OR(Settings!$C$52="",Settings!$D$52=""),0,Settings!$C$52*IF(Settings!$D$52="Weekly",IF(IFERROR(MATCH(Settings!$E$52,$EO$4:$EO$10,0),0)=0,0,IF(MIN($C114,IF(Settings!$G$52="",$C114,Settings!$G$52))&lt;MAX($A114,Settings!$F$52),0,INT((MIN($C114,IF(Settings!$G$52="",$C114,Settings!$G$52))-MAX($A114,Settings!$F$52)-MOD(IFERROR(MATCH(Settings!$E$52,$EO$4:$EO$10,0),0)-WEEKDAY(MAX($A114,Settings!$F$52)),7))/7)+1)),IF(AND(IF(Settings!$E$52="",$B114,DATE(YEAR($A114),MONTH($A114),MIN(Settings!$E$52,DAY($B114))))&gt;=MAX($A114,Settings!$F$52),IF(Settings!$E$52="",$B114,DATE(YEAR($A114),MONTH($A114),MIN(Settings!$E$52,DAY($B114))))&lt;=MIN($C114,IF(Settings!$G$52="",$C114,Settings!$G$52))),1,0)))</f>
        <v/>
      </c>
      <c r="BM114">
        <f>IF(OR(Settings!$C$53="",Settings!$D$53=""),0,Settings!$C$53*IF(Settings!$D$53="Weekly",IF(IFERROR(MATCH(Settings!$E$53,$EO$4:$EO$10,0),0)=0,0,IF(MIN($C114,IF(Settings!$G$53="",$C114,Settings!$G$53))&lt;MAX($A114,Settings!$F$53),0,INT((MIN($C114,IF(Settings!$G$53="",$C114,Settings!$G$53))-MAX($A114,Settings!$F$53)-MOD(IFERROR(MATCH(Settings!$E$53,$EO$4:$EO$10,0),0)-WEEKDAY(MAX($A114,Settings!$F$53)),7))/7)+1)),IF(AND(IF(Settings!$E$53="",$B114,DATE(YEAR($A114),MONTH($A114),MIN(Settings!$E$53,DAY($B114))))&gt;=MAX($A114,Settings!$F$53),IF(Settings!$E$53="",$B114,DATE(YEAR($A114),MONTH($A114),MIN(Settings!$E$53,DAY($B114))))&lt;=MIN($C114,IF(Settings!$G$53="",$C114,Settings!$G$53))),1,0)))</f>
        <v/>
      </c>
      <c r="BN114">
        <f>IF(OR(Settings!$C$54="",Settings!$D$54=""),0,Settings!$C$54*IF(Settings!$D$54="Weekly",IF(IFERROR(MATCH(Settings!$E$54,$EO$4:$EO$10,0),0)=0,0,IF(MIN($C114,IF(Settings!$G$54="",$C114,Settings!$G$54))&lt;MAX($A114,Settings!$F$54),0,INT((MIN($C114,IF(Settings!$G$54="",$C114,Settings!$G$54))-MAX($A114,Settings!$F$54)-MOD(IFERROR(MATCH(Settings!$E$54,$EO$4:$EO$10,0),0)-WEEKDAY(MAX($A114,Settings!$F$54)),7))/7)+1)),IF(AND(IF(Settings!$E$54="",$B114,DATE(YEAR($A114),MONTH($A114),MIN(Settings!$E$54,DAY($B114))))&gt;=MAX($A114,Settings!$F$54),IF(Settings!$E$54="",$B114,DATE(YEAR($A114),MONTH($A114),MIN(Settings!$E$54,DAY($B114))))&lt;=MIN($C114,IF(Settings!$G$54="",$C114,Settings!$G$54))),1,0)))</f>
        <v/>
      </c>
      <c r="BO114">
        <f>IF(OR(Settings!$C$55="",Settings!$D$55=""),0,Settings!$C$55*IF(Settings!$D$55="Weekly",IF(IFERROR(MATCH(Settings!$E$55,$EO$4:$EO$10,0),0)=0,0,IF(MIN($C114,IF(Settings!$G$55="",$C114,Settings!$G$55))&lt;MAX($A114,Settings!$F$55),0,INT((MIN($C114,IF(Settings!$G$55="",$C114,Settings!$G$55))-MAX($A114,Settings!$F$55)-MOD(IFERROR(MATCH(Settings!$E$55,$EO$4:$EO$10,0),0)-WEEKDAY(MAX($A114,Settings!$F$55)),7))/7)+1)),IF(AND(IF(Settings!$E$55="",$B114,DATE(YEAR($A114),MONTH($A114),MIN(Settings!$E$55,DAY($B114))))&gt;=MAX($A114,Settings!$F$55),IF(Settings!$E$55="",$B114,DATE(YEAR($A114),MONTH($A114),MIN(Settings!$E$55,DAY($B114))))&lt;=MIN($C114,IF(Settings!$G$55="",$C114,Settings!$G$55))),1,0)))</f>
        <v/>
      </c>
      <c r="BP114">
        <f>IF(OR(Settings!$C$56="",Settings!$D$56=""),0,Settings!$C$56*IF(Settings!$D$56="Weekly",IF(IFERROR(MATCH(Settings!$E$56,$EO$4:$EO$10,0),0)=0,0,IF(MIN($C114,IF(Settings!$G$56="",$C114,Settings!$G$56))&lt;MAX($A114,Settings!$F$56),0,INT((MIN($C114,IF(Settings!$G$56="",$C114,Settings!$G$56))-MAX($A114,Settings!$F$56)-MOD(IFERROR(MATCH(Settings!$E$56,$EO$4:$EO$10,0),0)-WEEKDAY(MAX($A114,Settings!$F$56)),7))/7)+1)),IF(AND(IF(Settings!$E$56="",$B114,DATE(YEAR($A114),MONTH($A114),MIN(Settings!$E$56,DAY($B114))))&gt;=MAX($A114,Settings!$F$56),IF(Settings!$E$56="",$B114,DATE(YEAR($A114),MONTH($A114),MIN(Settings!$E$56,DAY($B114))))&lt;=MIN($C114,IF(Settings!$G$56="",$C114,Settings!$G$56))),1,0)))</f>
        <v/>
      </c>
      <c r="BQ114">
        <f>IF(OR(Settings!$B$14="",$D114=1,$E114="pre",$A114&lt;IF(Settings!$B$15="",0,Settings!$B$15)),0,Settings!$B$14)</f>
        <v/>
      </c>
      <c r="BR114">
        <f>IF(AND('Month-End'!$DG$7&lt;&gt;"",NOT(_xlfn.ISFORMULA('Month-End'!$DG$7))),1,0)</f>
        <v/>
      </c>
      <c r="BS114">
        <f>IF(AND('Month-End'!$DG$8&lt;&gt;"",NOT(_xlfn.ISFORMULA('Month-End'!$DG$8))),1,0)</f>
        <v/>
      </c>
      <c r="BT114">
        <f>IF(AND('Month-End'!$DG$9&lt;&gt;"",NOT(_xlfn.ISFORMULA('Month-End'!$DG$9))),1,0)</f>
        <v/>
      </c>
      <c r="BU114">
        <f>IF(AND('Month-End'!$DG$10&lt;&gt;"",NOT(_xlfn.ISFORMULA('Month-End'!$DG$10))),1,0)</f>
        <v/>
      </c>
      <c r="BV114">
        <f>IF(AND('Month-End'!$DG$11&lt;&gt;"",NOT(_xlfn.ISFORMULA('Month-End'!$DG$11))),1,0)</f>
        <v/>
      </c>
      <c r="BW114">
        <f>IF(AND('Month-End'!$DG$12&lt;&gt;"",NOT(_xlfn.ISFORMULA('Month-End'!$DG$12))),1,0)</f>
        <v/>
      </c>
      <c r="BX114">
        <f>IF(AND('Month-End'!$DG$13&lt;&gt;"",NOT(_xlfn.ISFORMULA('Month-End'!$DG$13))),1,0)</f>
        <v/>
      </c>
      <c r="BY114">
        <f>IF(AND('Month-End'!$DG$14&lt;&gt;"",NOT(_xlfn.ISFORMULA('Month-End'!$DG$14))),1,0)</f>
        <v/>
      </c>
      <c r="BZ114">
        <f>IF(AND('Month-End'!$DG$15&lt;&gt;"",NOT(_xlfn.ISFORMULA('Month-End'!$DG$15))),1,0)</f>
        <v/>
      </c>
      <c r="CA114">
        <f>IF(AND('Month-End'!$DG$16&lt;&gt;"",NOT(_xlfn.ISFORMULA('Month-End'!$DG$16))),1,0)</f>
        <v/>
      </c>
      <c r="CB114">
        <f>IF(AND('Month-End'!$DG$17&lt;&gt;"",NOT(_xlfn.ISFORMULA('Month-End'!$DG$17))),1,0)</f>
        <v/>
      </c>
      <c r="CC114">
        <f>IF(AND('Month-End'!$DG$18&lt;&gt;"",NOT(_xlfn.ISFORMULA('Month-End'!$DG$18))),1,0)</f>
        <v/>
      </c>
      <c r="CD114">
        <f>IF(AND('Month-End'!$DG$19&lt;&gt;"",NOT(_xlfn.ISFORMULA('Month-End'!$DG$19))),1,0)</f>
        <v/>
      </c>
      <c r="CE114">
        <f>IF(AND('Month-End'!$DG$20&lt;&gt;"",NOT(_xlfn.ISFORMULA('Month-End'!$DG$20))),1,0)</f>
        <v/>
      </c>
      <c r="CF114">
        <f>IF(AND('Month-End'!$DG$38&lt;&gt;"",NOT(_xlfn.ISFORMULA('Month-End'!$DG$38))),1,0)</f>
        <v/>
      </c>
      <c r="CG114">
        <f>IF(AND('Month-End'!$DG$39&lt;&gt;"",NOT(_xlfn.ISFORMULA('Month-End'!$DG$39))),1,0)</f>
        <v/>
      </c>
      <c r="CH114">
        <f>IF(AND('Month-End'!$DG$40&lt;&gt;"",NOT(_xlfn.ISFORMULA('Month-End'!$DG$40))),1,0)</f>
        <v/>
      </c>
      <c r="CI114">
        <f>IF(AND('Month-End'!$DG$41&lt;&gt;"",NOT(_xlfn.ISFORMULA('Month-End'!$DG$41))),1,0)</f>
        <v/>
      </c>
      <c r="CJ114">
        <f>IF(AND('Month-End'!$DG$42&lt;&gt;"",NOT(_xlfn.ISFORMULA('Month-End'!$DG$42))),1,0)</f>
        <v/>
      </c>
      <c r="CK114">
        <f>IF(AND('Month-End'!$DG$43&lt;&gt;"",NOT(_xlfn.ISFORMULA('Month-End'!$DG$43))),1,0)</f>
        <v/>
      </c>
      <c r="CL114">
        <f>SUM($CM114:$CZ114)</f>
        <v/>
      </c>
      <c r="CM114">
        <f>IF(AND($E114&lt;&gt;"pre",AND(Settings!$A$19&lt;&gt;"",Settings!$E$19&lt;&gt;"No"),Settings!$F$19="Yes",NOT(AND('Month-End'!$DG$7&lt;&gt;"",NOT(_xlfn.ISFORMULA('Month-End'!$DG$7))))),1,0)</f>
        <v/>
      </c>
      <c r="CN114">
        <f>IF(AND($E114&lt;&gt;"pre",AND(Settings!$A$20&lt;&gt;"",Settings!$E$20&lt;&gt;"No"),Settings!$F$20="Yes",NOT(AND('Month-End'!$DG$8&lt;&gt;"",NOT(_xlfn.ISFORMULA('Month-End'!$DG$8))))),1,0)</f>
        <v/>
      </c>
      <c r="CO114">
        <f>IF(AND($E114&lt;&gt;"pre",AND(Settings!$A$21&lt;&gt;"",Settings!$E$21&lt;&gt;"No"),Settings!$F$21="Yes",NOT(AND('Month-End'!$DG$9&lt;&gt;"",NOT(_xlfn.ISFORMULA('Month-End'!$DG$9))))),1,0)</f>
        <v/>
      </c>
      <c r="CP114">
        <f>IF(AND($E114&lt;&gt;"pre",AND(Settings!$A$22&lt;&gt;"",Settings!$E$22&lt;&gt;"No"),Settings!$F$22="Yes",NOT(AND('Month-End'!$DG$10&lt;&gt;"",NOT(_xlfn.ISFORMULA('Month-End'!$DG$10))))),1,0)</f>
        <v/>
      </c>
      <c r="CQ114">
        <f>IF(AND($E114&lt;&gt;"pre",AND(Settings!$A$23&lt;&gt;"",Settings!$E$23&lt;&gt;"No"),Settings!$F$23="Yes",NOT(AND('Month-End'!$DG$11&lt;&gt;"",NOT(_xlfn.ISFORMULA('Month-End'!$DG$11))))),1,0)</f>
        <v/>
      </c>
      <c r="CR114">
        <f>IF(AND($E114&lt;&gt;"pre",AND(Settings!$A$24&lt;&gt;"",Settings!$E$24&lt;&gt;"No"),Settings!$F$24="Yes",NOT(AND('Month-End'!$DG$12&lt;&gt;"",NOT(_xlfn.ISFORMULA('Month-End'!$DG$12))))),1,0)</f>
        <v/>
      </c>
      <c r="CS114">
        <f>IF(AND($E114&lt;&gt;"pre",AND(Settings!$A$25&lt;&gt;"",Settings!$E$25&lt;&gt;"No"),Settings!$F$25="Yes",NOT(AND('Month-End'!$DG$13&lt;&gt;"",NOT(_xlfn.ISFORMULA('Month-End'!$DG$13))))),1,0)</f>
        <v/>
      </c>
      <c r="CT114">
        <f>IF(AND($E114&lt;&gt;"pre",AND(Settings!$A$26&lt;&gt;"",Settings!$E$26&lt;&gt;"No"),Settings!$F$26="Yes",NOT(AND('Month-End'!$DG$14&lt;&gt;"",NOT(_xlfn.ISFORMULA('Month-End'!$DG$14))))),1,0)</f>
        <v/>
      </c>
      <c r="CU114">
        <f>IF(AND($E114&lt;&gt;"pre",AND(Settings!$A$27&lt;&gt;"",Settings!$E$27&lt;&gt;"No"),Settings!$F$27="Yes",NOT(AND('Month-End'!$DG$15&lt;&gt;"",NOT(_xlfn.ISFORMULA('Month-End'!$DG$15))))),1,0)</f>
        <v/>
      </c>
      <c r="CV114">
        <f>IF(AND($E114&lt;&gt;"pre",AND(Settings!$A$28&lt;&gt;"",Settings!$E$28&lt;&gt;"No"),Settings!$F$28="Yes",NOT(AND('Month-End'!$DG$16&lt;&gt;"",NOT(_xlfn.ISFORMULA('Month-End'!$DG$16))))),1,0)</f>
        <v/>
      </c>
      <c r="CW114">
        <f>IF(AND($E114&lt;&gt;"pre",AND(Settings!$A$29&lt;&gt;"",Settings!$E$29&lt;&gt;"No"),Settings!$F$29="Yes",NOT(AND('Month-End'!$DG$17&lt;&gt;"",NOT(_xlfn.ISFORMULA('Month-End'!$DG$17))))),1,0)</f>
        <v/>
      </c>
      <c r="CX114">
        <f>IF(AND($E114&lt;&gt;"pre",AND(Settings!$A$30&lt;&gt;"",Settings!$E$30&lt;&gt;"No"),Settings!$F$30="Yes",NOT(AND('Month-End'!$DG$18&lt;&gt;"",NOT(_xlfn.ISFORMULA('Month-End'!$DG$18))))),1,0)</f>
        <v/>
      </c>
      <c r="CY114">
        <f>IF(AND($E114&lt;&gt;"pre",AND(Settings!$A$31&lt;&gt;"",Settings!$E$31&lt;&gt;"No"),Settings!$F$31="Yes",NOT(AND('Month-End'!$DG$19&lt;&gt;"",NOT(_xlfn.ISFORMULA('Month-End'!$DG$19))))),1,0)</f>
        <v/>
      </c>
      <c r="CZ114">
        <f>IF(AND($E114&lt;&gt;"pre",AND(Settings!$A$32&lt;&gt;"",Settings!$E$32&lt;&gt;"No"),Settings!$F$32="Yes",NOT(AND('Month-End'!$DG$20&lt;&gt;"",NOT(_xlfn.ISFORMULA('Month-End'!$DG$20))))),1,0)</f>
        <v/>
      </c>
      <c r="DA114">
        <f>IF($DT114=1,IF(OR(Settings!$B$19="Checking",Settings!$B$19="Savings",Settings!$B$19="Cash"),N($AE114),IF(OR(Settings!$B$19="Card",Settings!$B$19="Loan"),-N($AE114),0))+IF(OR(Settings!$B$20="Checking",Settings!$B$20="Savings",Settings!$B$20="Cash"),N($AF114),IF(OR(Settings!$B$20="Card",Settings!$B$20="Loan"),-N($AF114),0))+IF(OR(Settings!$B$21="Checking",Settings!$B$21="Savings",Settings!$B$21="Cash"),N($AG114),IF(OR(Settings!$B$21="Card",Settings!$B$21="Loan"),-N($AG114),0))+IF(OR(Settings!$B$22="Checking",Settings!$B$22="Savings",Settings!$B$22="Cash"),N($AH114),IF(OR(Settings!$B$22="Card",Settings!$B$22="Loan"),-N($AH114),0))+IF(OR(Settings!$B$23="Checking",Settings!$B$23="Savings",Settings!$B$23="Cash"),N($AI114),IF(OR(Settings!$B$23="Card",Settings!$B$23="Loan"),-N($AI114),0))+IF(OR(Settings!$B$24="Checking",Settings!$B$24="Savings",Settings!$B$24="Cash"),N($AJ114),IF(OR(Settings!$B$24="Card",Settings!$B$24="Loan"),-N($AJ114),0))+IF(OR(Settings!$B$25="Checking",Settings!$B$25="Savings",Settings!$B$25="Cash"),N($AK114),IF(OR(Settings!$B$25="Card",Settings!$B$25="Loan"),-N($AK114),0))+IF(OR(Settings!$B$26="Checking",Settings!$B$26="Savings",Settings!$B$26="Cash"),N($AL114),IF(OR(Settings!$B$26="Card",Settings!$B$26="Loan"),-N($AL114),0))+IF(OR(Settings!$B$27="Checking",Settings!$B$27="Savings",Settings!$B$27="Cash"),N($AM114),IF(OR(Settings!$B$27="Card",Settings!$B$27="Loan"),-N($AM114),0))+IF(OR(Settings!$B$28="Checking",Settings!$B$28="Savings",Settings!$B$28="Cash"),N($AN114),IF(OR(Settings!$B$28="Card",Settings!$B$28="Loan"),-N($AN114),0))+IF(OR(Settings!$B$29="Checking",Settings!$B$29="Savings",Settings!$B$29="Cash"),N($AO114),IF(OR(Settings!$B$29="Card",Settings!$B$29="Loan"),-N($AO114),0))+IF(OR(Settings!$B$30="Checking",Settings!$B$30="Savings",Settings!$B$30="Cash"),N($AP114),IF(OR(Settings!$B$30="Card",Settings!$B$30="Loan"),-N($AP114),0))+IF(OR(Settings!$B$31="Checking",Settings!$B$31="Savings",Settings!$B$31="Cash"),N($AQ114),IF(OR(Settings!$B$31="Card",Settings!$B$31="Loan"),-N($AQ114),0))+IF(OR(Settings!$B$32="Checking",Settings!$B$32="Savings",Settings!$B$32="Cash"),N($AR114),IF(OR(Settings!$B$32="Card",Settings!$B$32="Loan"),-N($AR114),0)),"")</f>
        <v/>
      </c>
      <c r="DB114">
        <f>IF($E114="open",$EB$27,IF($E114="post",IF($E113="pre",$EB$27,$DA113),""))</f>
        <v/>
      </c>
      <c r="DC114">
        <f>IF($E114="open",1,IF($E114="post",IF($E113="pre",1,$DT113),0))</f>
        <v/>
      </c>
      <c r="DD114">
        <f>IF(AND($DT114=1,$DC114=1),ROUND($W114-($DA114-$DB114)-$AD114-$AB114,2),"")</f>
        <v/>
      </c>
      <c r="DE114">
        <f>IF('Month-End'!$DG$35="",$BQ114,N('Month-End'!$DG$35))</f>
        <v/>
      </c>
      <c r="DF114">
        <f>N('Month-End'!$DG$36)</f>
        <v/>
      </c>
      <c r="DG114">
        <f>IF($DD114="","",$DD114+$DE114)</f>
        <v/>
      </c>
      <c r="DH114">
        <f>IF($DG114="","",$DG114-$DF114)</f>
        <v/>
      </c>
      <c r="DI114">
        <f>IF(OR($E114="pre",$D114=1),"",N($AS114)+N($AT114)+N($AU114)+N($AV114)+N($AW114)+N($AX114))</f>
        <v/>
      </c>
      <c r="DJ114">
        <f>IF($DT114=1,$DA114+N($DI114),"")</f>
        <v/>
      </c>
      <c r="DK114">
        <f>IF($DD114="","",$W114-$DD114-$AB114)</f>
        <v/>
      </c>
      <c r="DL114">
        <f>IF(AND($E114="post",$DD114&lt;&gt;"",$B114&lt;TODAY()),1,0)</f>
        <v/>
      </c>
      <c r="DM114">
        <f>IF($DL114=1,COUNTIF($DL114:$DL$183,1),0)</f>
        <v/>
      </c>
      <c r="DN114">
        <f>IF($D114=1,"",IF($E114="pre","History only",IF($DT114=1,IF($DD114="","⚠ Previous month missing",IF($DD114&lt;0,"⚠ Check: spending &lt; 0",IF($E114="open","✓ Done (partial)","✓ Done"))),IF($B114&gt;=TODAY(),"In progress","⚠ Needs balances"))))</f>
        <v/>
      </c>
      <c r="DO114">
        <f>YEAR($A114)</f>
        <v/>
      </c>
      <c r="DP114">
        <f>DATE(YEAR($A114),INT((MONTH($A114)-1)/3)*3+1,1)</f>
        <v/>
      </c>
      <c r="DQ114">
        <f>IF(AND($DT114=1,$DD114&lt;&gt;"",$D114=0),ROW(),0)</f>
        <v/>
      </c>
      <c r="DR114">
        <f>IF(AND($E114&lt;&gt;"pre",$B114&lt;TODAY(),$DT114=0),1,0)</f>
        <v/>
      </c>
      <c r="DS114">
        <f>IF($DJ114="",NA(),$DJ114)</f>
        <v/>
      </c>
      <c r="DT114">
        <f>IF(AND($E114&lt;&gt;"pre",$CL114=0,COUNTIFS(Settings!$F$19:$F$32,"Yes",Settings!$A$19:$A$32,"&lt;&gt;",Settings!$E$19:$E$32,"&lt;&gt;No")&gt;0),1,0)</f>
        <v/>
      </c>
      <c r="DU114">
        <f>IF(AND($B114&lt;TODAY(),$S114&gt;0),1,0)</f>
        <v/>
      </c>
      <c r="DV114">
        <f>IF($DU114=1,COUNTIF($DU114:$DU$183,1),0)</f>
        <v/>
      </c>
      <c r="DW114">
        <f>IF(AND(OR(Settings!$B$19="Card",Settings!$B$19="Loan"),AND('Month-End'!$DG$7&lt;&gt;"",NOT(_xlfn.ISFORMULA('Month-End'!$DG$7)))),IF(N('Month-End'!$DG$7)&lt;0,1,0),0)+IF(AND(OR(Settings!$B$20="Card",Settings!$B$20="Loan"),AND('Month-End'!$DG$8&lt;&gt;"",NOT(_xlfn.ISFORMULA('Month-End'!$DG$8)))),IF(N('Month-End'!$DG$8)&lt;0,1,0),0)+IF(AND(OR(Settings!$B$21="Card",Settings!$B$21="Loan"),AND('Month-End'!$DG$9&lt;&gt;"",NOT(_xlfn.ISFORMULA('Month-End'!$DG$9)))),IF(N('Month-End'!$DG$9)&lt;0,1,0),0)+IF(AND(OR(Settings!$B$22="Card",Settings!$B$22="Loan"),AND('Month-End'!$DG$10&lt;&gt;"",NOT(_xlfn.ISFORMULA('Month-End'!$DG$10)))),IF(N('Month-End'!$DG$10)&lt;0,1,0),0)+IF(AND(OR(Settings!$B$23="Card",Settings!$B$23="Loan"),AND('Month-End'!$DG$11&lt;&gt;"",NOT(_xlfn.ISFORMULA('Month-End'!$DG$11)))),IF(N('Month-End'!$DG$11)&lt;0,1,0),0)+IF(AND(OR(Settings!$B$24="Card",Settings!$B$24="Loan"),AND('Month-End'!$DG$12&lt;&gt;"",NOT(_xlfn.ISFORMULA('Month-End'!$DG$12)))),IF(N('Month-End'!$DG$12)&lt;0,1,0),0)+IF(AND(OR(Settings!$B$25="Card",Settings!$B$25="Loan"),AND('Month-End'!$DG$13&lt;&gt;"",NOT(_xlfn.ISFORMULA('Month-End'!$DG$13)))),IF(N('Month-End'!$DG$13)&lt;0,1,0),0)+IF(AND(OR(Settings!$B$26="Card",Settings!$B$26="Loan"),AND('Month-End'!$DG$14&lt;&gt;"",NOT(_xlfn.ISFORMULA('Month-End'!$DG$14)))),IF(N('Month-End'!$DG$14)&lt;0,1,0),0)+IF(AND(OR(Settings!$B$27="Card",Settings!$B$27="Loan"),AND('Month-End'!$DG$15&lt;&gt;"",NOT(_xlfn.ISFORMULA('Month-End'!$DG$15)))),IF(N('Month-End'!$DG$15)&lt;0,1,0),0)+IF(AND(OR(Settings!$B$28="Card",Settings!$B$28="Loan"),AND('Month-End'!$DG$16&lt;&gt;"",NOT(_xlfn.ISFORMULA('Month-End'!$DG$16)))),IF(N('Month-End'!$DG$16)&lt;0,1,0),0)+IF(AND(OR(Settings!$B$29="Card",Settings!$B$29="Loan"),AND('Month-End'!$DG$17&lt;&gt;"",NOT(_xlfn.ISFORMULA('Month-End'!$DG$17)))),IF(N('Month-End'!$DG$17)&lt;0,1,0),0)+IF(AND(OR(Settings!$B$30="Card",Settings!$B$30="Loan"),AND('Month-End'!$DG$18&lt;&gt;"",NOT(_xlfn.ISFORMULA('Month-End'!$DG$18)))),IF(N('Month-End'!$DG$18)&lt;0,1,0),0)+IF(AND(OR(Settings!$B$31="Card",Settings!$B$31="Loan"),AND('Month-End'!$DG$19&lt;&gt;"",NOT(_xlfn.ISFORMULA('Month-End'!$DG$19)))),IF(N('Month-End'!$DG$19)&lt;0,1,0),0)+IF(AND(OR(Settings!$B$32="Card",Settings!$B$32="Loan"),AND('Month-End'!$DG$20&lt;&gt;"",NOT(_xlfn.ISFORMULA('Month-End'!$DG$20)))),IF(N('Month-End'!$DG$20)&lt;0,1,0),0)</f>
        <v/>
      </c>
      <c r="DX114">
        <f>IF(Settings!$B$36="Retirement",$AY114,0)+IF(Settings!$B$37="Retirement",$AZ114,0)+IF(Settings!$B$38="Retirement",$BA114,0)+IF(Settings!$B$39="Retirement",$BB114,0)+IF(Settings!$B$40="Retirement",$BC114,0)+IF(Settings!$B$41="Retirement",$BD114,0)</f>
        <v/>
      </c>
      <c r="EO114">
        <f>EDATE(DATE(YEAR(TODAY()),MONTH(TODAY()),1),-9)</f>
        <v/>
      </c>
      <c r="ER114">
        <f>IFERROR(IF(INDEX($DJ$6:$DJ$183,MATCH(EO114,$A$6:$A$183,0))="",NA(),INDEX($DJ$6:$DJ$183,MATCH(EO114,$A$6:$A$183,0))),NA())</f>
        <v/>
      </c>
      <c r="ES114">
        <f>TEXT(EO114,"mmm yy")</f>
        <v/>
      </c>
      <c r="ET114">
        <f>IF($E114&lt;&gt;"open",0,IF(AND('Month-End'!$DG$22&lt;&gt;"",NOT(_xlfn.ISFORMULA('Month-End'!$DG$22))),0,IF(OR(Settings!$C$45="",Settings!$D$45=""),0,Settings!$C$45*IF(Settings!$D$45="Weekly",IF(IFERROR(MATCH(Settings!$E$45,$EO$4:$EO$10,0),0)=0,0,IF(MIN(Settings!$B$5,IF(Settings!$G$45="",Settings!$B$5,Settings!$G$45))&lt;MAX($A114,Settings!$F$45),0,INT((MIN(Settings!$B$5,IF(Settings!$G$45="",Settings!$B$5,Settings!$G$45))-MAX($A114,Settings!$F$45)-MOD(IFERROR(MATCH(Settings!$E$45,$EO$4:$EO$10,0),0)-WEEKDAY(MAX($A114,Settings!$F$45)),7))/7)+1)),IF(AND(IF(Settings!$E$45="",$B114,DATE(YEAR($A114),MONTH($A114),MIN(Settings!$E$45,DAY($B114))))&gt;=MAX($A114,Settings!$F$45),IF(Settings!$E$45="",$B114,DATE(YEAR($A114),MONTH($A114),MIN(Settings!$E$45,DAY($B114))))&lt;=MIN(Settings!$B$5,IF(Settings!$G$45="",Settings!$B$5,Settings!$G$45))),1,0)))))</f>
        <v/>
      </c>
      <c r="EU114">
        <f>IF($E114&lt;&gt;"open",0,IF(AND('Month-End'!$DG$23&lt;&gt;"",NOT(_xlfn.ISFORMULA('Month-End'!$DG$23))),0,IF(OR(Settings!$C$46="",Settings!$D$46=""),0,Settings!$C$46*IF(Settings!$D$46="Weekly",IF(IFERROR(MATCH(Settings!$E$46,$EO$4:$EO$10,0),0)=0,0,IF(MIN(Settings!$B$5,IF(Settings!$G$46="",Settings!$B$5,Settings!$G$46))&lt;MAX($A114,Settings!$F$46),0,INT((MIN(Settings!$B$5,IF(Settings!$G$46="",Settings!$B$5,Settings!$G$46))-MAX($A114,Settings!$F$46)-MOD(IFERROR(MATCH(Settings!$E$46,$EO$4:$EO$10,0),0)-WEEKDAY(MAX($A114,Settings!$F$46)),7))/7)+1)),IF(AND(IF(Settings!$E$46="",$B114,DATE(YEAR($A114),MONTH($A114),MIN(Settings!$E$46,DAY($B114))))&gt;=MAX($A114,Settings!$F$46),IF(Settings!$E$46="",$B114,DATE(YEAR($A114),MONTH($A114),MIN(Settings!$E$46,DAY($B114))))&lt;=MIN(Settings!$B$5,IF(Settings!$G$46="",Settings!$B$5,Settings!$G$46))),1,0)))))</f>
        <v/>
      </c>
      <c r="EV114">
        <f>IF($E114&lt;&gt;"open",0,IF(AND('Month-End'!$DG$24&lt;&gt;"",NOT(_xlfn.ISFORMULA('Month-End'!$DG$24))),0,IF(OR(Settings!$C$47="",Settings!$D$47=""),0,Settings!$C$47*IF(Settings!$D$47="Weekly",IF(IFERROR(MATCH(Settings!$E$47,$EO$4:$EO$10,0),0)=0,0,IF(MIN(Settings!$B$5,IF(Settings!$G$47="",Settings!$B$5,Settings!$G$47))&lt;MAX($A114,Settings!$F$47),0,INT((MIN(Settings!$B$5,IF(Settings!$G$47="",Settings!$B$5,Settings!$G$47))-MAX($A114,Settings!$F$47)-MOD(IFERROR(MATCH(Settings!$E$47,$EO$4:$EO$10,0),0)-WEEKDAY(MAX($A114,Settings!$F$47)),7))/7)+1)),IF(AND(IF(Settings!$E$47="",$B114,DATE(YEAR($A114),MONTH($A114),MIN(Settings!$E$47,DAY($B114))))&gt;=MAX($A114,Settings!$F$47),IF(Settings!$E$47="",$B114,DATE(YEAR($A114),MONTH($A114),MIN(Settings!$E$47,DAY($B114))))&lt;=MIN(Settings!$B$5,IF(Settings!$G$47="",Settings!$B$5,Settings!$G$47))),1,0)))))</f>
        <v/>
      </c>
      <c r="EW114">
        <f>IF($E114&lt;&gt;"open",0,IF(AND('Month-End'!$DG$25&lt;&gt;"",NOT(_xlfn.ISFORMULA('Month-End'!$DG$25))),0,IF(OR(Settings!$C$48="",Settings!$D$48=""),0,Settings!$C$48*IF(Settings!$D$48="Weekly",IF(IFERROR(MATCH(Settings!$E$48,$EO$4:$EO$10,0),0)=0,0,IF(MIN(Settings!$B$5,IF(Settings!$G$48="",Settings!$B$5,Settings!$G$48))&lt;MAX($A114,Settings!$F$48),0,INT((MIN(Settings!$B$5,IF(Settings!$G$48="",Settings!$B$5,Settings!$G$48))-MAX($A114,Settings!$F$48)-MOD(IFERROR(MATCH(Settings!$E$48,$EO$4:$EO$10,0),0)-WEEKDAY(MAX($A114,Settings!$F$48)),7))/7)+1)),IF(AND(IF(Settings!$E$48="",$B114,DATE(YEAR($A114),MONTH($A114),MIN(Settings!$E$48,DAY($B114))))&gt;=MAX($A114,Settings!$F$48),IF(Settings!$E$48="",$B114,DATE(YEAR($A114),MONTH($A114),MIN(Settings!$E$48,DAY($B114))))&lt;=MIN(Settings!$B$5,IF(Settings!$G$48="",Settings!$B$5,Settings!$G$48))),1,0)))))</f>
        <v/>
      </c>
      <c r="EX114">
        <f>IF($E114&lt;&gt;"open",0,IF(AND('Month-End'!$DG$26&lt;&gt;"",NOT(_xlfn.ISFORMULA('Month-End'!$DG$26))),0,IF(OR(Settings!$C$49="",Settings!$D$49=""),0,Settings!$C$49*IF(Settings!$D$49="Weekly",IF(IFERROR(MATCH(Settings!$E$49,$EO$4:$EO$10,0),0)=0,0,IF(MIN(Settings!$B$5,IF(Settings!$G$49="",Settings!$B$5,Settings!$G$49))&lt;MAX($A114,Settings!$F$49),0,INT((MIN(Settings!$B$5,IF(Settings!$G$49="",Settings!$B$5,Settings!$G$49))-MAX($A114,Settings!$F$49)-MOD(IFERROR(MATCH(Settings!$E$49,$EO$4:$EO$10,0),0)-WEEKDAY(MAX($A114,Settings!$F$49)),7))/7)+1)),IF(AND(IF(Settings!$E$49="",$B114,DATE(YEAR($A114),MONTH($A114),MIN(Settings!$E$49,DAY($B114))))&gt;=MAX($A114,Settings!$F$49),IF(Settings!$E$49="",$B114,DATE(YEAR($A114),MONTH($A114),MIN(Settings!$E$49,DAY($B114))))&lt;=MIN(Settings!$B$5,IF(Settings!$G$49="",Settings!$B$5,Settings!$G$49))),1,0)))))</f>
        <v/>
      </c>
      <c r="EY114">
        <f>IF($E114&lt;&gt;"open",0,IF(AND('Month-End'!$DG$27&lt;&gt;"",NOT(_xlfn.ISFORMULA('Month-End'!$DG$27))),0,IF(OR(Settings!$C$50="",Settings!$D$50=""),0,Settings!$C$50*IF(Settings!$D$50="Weekly",IF(IFERROR(MATCH(Settings!$E$50,$EO$4:$EO$10,0),0)=0,0,IF(MIN(Settings!$B$5,IF(Settings!$G$50="",Settings!$B$5,Settings!$G$50))&lt;MAX($A114,Settings!$F$50),0,INT((MIN(Settings!$B$5,IF(Settings!$G$50="",Settings!$B$5,Settings!$G$50))-MAX($A114,Settings!$F$50)-MOD(IFERROR(MATCH(Settings!$E$50,$EO$4:$EO$10,0),0)-WEEKDAY(MAX($A114,Settings!$F$50)),7))/7)+1)),IF(AND(IF(Settings!$E$50="",$B114,DATE(YEAR($A114),MONTH($A114),MIN(Settings!$E$50,DAY($B114))))&gt;=MAX($A114,Settings!$F$50),IF(Settings!$E$50="",$B114,DATE(YEAR($A114),MONTH($A114),MIN(Settings!$E$50,DAY($B114))))&lt;=MIN(Settings!$B$5,IF(Settings!$G$50="",Settings!$B$5,Settings!$G$50))),1,0)))))</f>
        <v/>
      </c>
      <c r="EZ114">
        <f>IF($E114&lt;&gt;"open",0,IF(AND('Month-End'!$DG$28&lt;&gt;"",NOT(_xlfn.ISFORMULA('Month-End'!$DG$28))),0,IF(OR(Settings!$C$51="",Settings!$D$51=""),0,Settings!$C$51*IF(Settings!$D$51="Weekly",IF(IFERROR(MATCH(Settings!$E$51,$EO$4:$EO$10,0),0)=0,0,IF(MIN(Settings!$B$5,IF(Settings!$G$51="",Settings!$B$5,Settings!$G$51))&lt;MAX($A114,Settings!$F$51),0,INT((MIN(Settings!$B$5,IF(Settings!$G$51="",Settings!$B$5,Settings!$G$51))-MAX($A114,Settings!$F$51)-MOD(IFERROR(MATCH(Settings!$E$51,$EO$4:$EO$10,0),0)-WEEKDAY(MAX($A114,Settings!$F$51)),7))/7)+1)),IF(AND(IF(Settings!$E$51="",$B114,DATE(YEAR($A114),MONTH($A114),MIN(Settings!$E$51,DAY($B114))))&gt;=MAX($A114,Settings!$F$51),IF(Settings!$E$51="",$B114,DATE(YEAR($A114),MONTH($A114),MIN(Settings!$E$51,DAY($B114))))&lt;=MIN(Settings!$B$5,IF(Settings!$G$51="",Settings!$B$5,Settings!$G$51))),1,0)))))</f>
        <v/>
      </c>
      <c r="FA114">
        <f>IF($E114&lt;&gt;"open",0,IF(AND('Month-End'!$DG$29&lt;&gt;"",NOT(_xlfn.ISFORMULA('Month-End'!$DG$29))),0,IF(OR(Settings!$C$52="",Settings!$D$52=""),0,Settings!$C$52*IF(Settings!$D$52="Weekly",IF(IFERROR(MATCH(Settings!$E$52,$EO$4:$EO$10,0),0)=0,0,IF(MIN(Settings!$B$5,IF(Settings!$G$52="",Settings!$B$5,Settings!$G$52))&lt;MAX($A114,Settings!$F$52),0,INT((MIN(Settings!$B$5,IF(Settings!$G$52="",Settings!$B$5,Settings!$G$52))-MAX($A114,Settings!$F$52)-MOD(IFERROR(MATCH(Settings!$E$52,$EO$4:$EO$10,0),0)-WEEKDAY(MAX($A114,Settings!$F$52)),7))/7)+1)),IF(AND(IF(Settings!$E$52="",$B114,DATE(YEAR($A114),MONTH($A114),MIN(Settings!$E$52,DAY($B114))))&gt;=MAX($A114,Settings!$F$52),IF(Settings!$E$52="",$B114,DATE(YEAR($A114),MONTH($A114),MIN(Settings!$E$52,DAY($B114))))&lt;=MIN(Settings!$B$5,IF(Settings!$G$52="",Settings!$B$5,Settings!$G$52))),1,0)))))</f>
        <v/>
      </c>
      <c r="FB114">
        <f>IF($E114&lt;&gt;"open",0,IF(AND('Month-End'!$DG$30&lt;&gt;"",NOT(_xlfn.ISFORMULA('Month-End'!$DG$30))),0,IF(OR(Settings!$C$53="",Settings!$D$53=""),0,Settings!$C$53*IF(Settings!$D$53="Weekly",IF(IFERROR(MATCH(Settings!$E$53,$EO$4:$EO$10,0),0)=0,0,IF(MIN(Settings!$B$5,IF(Settings!$G$53="",Settings!$B$5,Settings!$G$53))&lt;MAX($A114,Settings!$F$53),0,INT((MIN(Settings!$B$5,IF(Settings!$G$53="",Settings!$B$5,Settings!$G$53))-MAX($A114,Settings!$F$53)-MOD(IFERROR(MATCH(Settings!$E$53,$EO$4:$EO$10,0),0)-WEEKDAY(MAX($A114,Settings!$F$53)),7))/7)+1)),IF(AND(IF(Settings!$E$53="",$B114,DATE(YEAR($A114),MONTH($A114),MIN(Settings!$E$53,DAY($B114))))&gt;=MAX($A114,Settings!$F$53),IF(Settings!$E$53="",$B114,DATE(YEAR($A114),MONTH($A114),MIN(Settings!$E$53,DAY($B114))))&lt;=MIN(Settings!$B$5,IF(Settings!$G$53="",Settings!$B$5,Settings!$G$53))),1,0)))))</f>
        <v/>
      </c>
      <c r="FC114">
        <f>IF($E114&lt;&gt;"open",0,IF(AND('Month-End'!$DG$31&lt;&gt;"",NOT(_xlfn.ISFORMULA('Month-End'!$DG$31))),0,IF(OR(Settings!$C$54="",Settings!$D$54=""),0,Settings!$C$54*IF(Settings!$D$54="Weekly",IF(IFERROR(MATCH(Settings!$E$54,$EO$4:$EO$10,0),0)=0,0,IF(MIN(Settings!$B$5,IF(Settings!$G$54="",Settings!$B$5,Settings!$G$54))&lt;MAX($A114,Settings!$F$54),0,INT((MIN(Settings!$B$5,IF(Settings!$G$54="",Settings!$B$5,Settings!$G$54))-MAX($A114,Settings!$F$54)-MOD(IFERROR(MATCH(Settings!$E$54,$EO$4:$EO$10,0),0)-WEEKDAY(MAX($A114,Settings!$F$54)),7))/7)+1)),IF(AND(IF(Settings!$E$54="",$B114,DATE(YEAR($A114),MONTH($A114),MIN(Settings!$E$54,DAY($B114))))&gt;=MAX($A114,Settings!$F$54),IF(Settings!$E$54="",$B114,DATE(YEAR($A114),MONTH($A114),MIN(Settings!$E$54,DAY($B114))))&lt;=MIN(Settings!$B$5,IF(Settings!$G$54="",Settings!$B$5,Settings!$G$54))),1,0)))))</f>
        <v/>
      </c>
      <c r="FD114">
        <f>IF($E114&lt;&gt;"open",0,IF(AND('Month-End'!$DG$32&lt;&gt;"",NOT(_xlfn.ISFORMULA('Month-End'!$DG$32))),0,IF(OR(Settings!$C$55="",Settings!$D$55=""),0,Settings!$C$55*IF(Settings!$D$55="Weekly",IF(IFERROR(MATCH(Settings!$E$55,$EO$4:$EO$10,0),0)=0,0,IF(MIN(Settings!$B$5,IF(Settings!$G$55="",Settings!$B$5,Settings!$G$55))&lt;MAX($A114,Settings!$F$55),0,INT((MIN(Settings!$B$5,IF(Settings!$G$55="",Settings!$B$5,Settings!$G$55))-MAX($A114,Settings!$F$55)-MOD(IFERROR(MATCH(Settings!$E$55,$EO$4:$EO$10,0),0)-WEEKDAY(MAX($A114,Settings!$F$55)),7))/7)+1)),IF(AND(IF(Settings!$E$55="",$B114,DATE(YEAR($A114),MONTH($A114),MIN(Settings!$E$55,DAY($B114))))&gt;=MAX($A114,Settings!$F$55),IF(Settings!$E$55="",$B114,DATE(YEAR($A114),MONTH($A114),MIN(Settings!$E$55,DAY($B114))))&lt;=MIN(Settings!$B$5,IF(Settings!$G$55="",Settings!$B$5,Settings!$G$55))),1,0)))))</f>
        <v/>
      </c>
      <c r="FE114">
        <f>IF($E114&lt;&gt;"open",0,IF(AND('Month-End'!$DG$33&lt;&gt;"",NOT(_xlfn.ISFORMULA('Month-End'!$DG$33))),0,IF(OR(Settings!$C$56="",Settings!$D$56=""),0,Settings!$C$56*IF(Settings!$D$56="Weekly",IF(IFERROR(MATCH(Settings!$E$56,$EO$4:$EO$10,0),0)=0,0,IF(MIN(Settings!$B$5,IF(Settings!$G$56="",Settings!$B$5,Settings!$G$56))&lt;MAX($A114,Settings!$F$56),0,INT((MIN(Settings!$B$5,IF(Settings!$G$56="",Settings!$B$5,Settings!$G$56))-MAX($A114,Settings!$F$56)-MOD(IFERROR(MATCH(Settings!$E$56,$EO$4:$EO$10,0),0)-WEEKDAY(MAX($A114,Settings!$F$56)),7))/7)+1)),IF(AND(IF(Settings!$E$56="",$B114,DATE(YEAR($A114),MONTH($A114),MIN(Settings!$E$56,DAY($B114))))&gt;=MAX($A114,Settings!$F$56),IF(Settings!$E$56="",$B114,DATE(YEAR($A114),MONTH($A114),MIN(Settings!$E$56,DAY($B114))))&lt;=MIN(Settings!$B$5,IF(Settings!$G$56="",Settings!$B$5,Settings!$G$56))),1,0)))))</f>
        <v/>
      </c>
      <c r="FF114">
        <f>IF(Settings!$I$45="Yes",$G114,0)+IF(Settings!$I$46="Yes",$H114,0)+IF(Settings!$I$47="Yes",$I114,0)+IF(Settings!$I$48="Yes",$J114,0)+IF(Settings!$I$49="Yes",$K114,0)+IF(Settings!$I$50="Yes",$L114,0)+IF(Settings!$I$51="Yes",$M114,0)+IF(Settings!$I$52="Yes",$N114,0)+IF(Settings!$I$53="Yes",$O114,0)+IF(Settings!$I$54="Yes",$P114,0)+IF(Settings!$I$55="Yes",$Q114,0)+IF(Settings!$I$56="Yes",$R114,0)</f>
        <v/>
      </c>
      <c r="FG114">
        <f>IF(AND(Settings!$I$45="Yes",Settings!$J$45="No"),$G114,0)+IF(AND(Settings!$I$46="Yes",Settings!$J$46="No"),$H114,0)+IF(AND(Settings!$I$47="Yes",Settings!$J$47="No"),$I114,0)+IF(AND(Settings!$I$48="Yes",Settings!$J$48="No"),$J114,0)+IF(AND(Settings!$I$49="Yes",Settings!$J$49="No"),$K114,0)+IF(AND(Settings!$I$50="Yes",Settings!$J$50="No"),$L114,0)+IF(AND(Settings!$I$51="Yes",Settings!$J$51="No"),$M114,0)+IF(AND(Settings!$I$52="Yes",Settings!$J$52="No"),$N114,0)+IF(AND(Settings!$I$53="Yes",Settings!$J$53="No"),$O114,0)+IF(AND(Settings!$I$54="Yes",Settings!$J$54="No"),$P114,0)+IF(AND(Settings!$I$55="Yes",Settings!$J$55="No"),$Q114,0)+IF(AND(Settings!$I$56="Yes",Settings!$J$56="No"),$R114,0)</f>
        <v/>
      </c>
      <c r="FH114">
        <f>SUMIFS(Giving!$B$7:$B$2006,Giving!$A$7:$A$2006,"&gt;="&amp;$A114,Giving!$A$7:$A$2006,"&lt;="&amp;$B114,Giving!$G$7:$G$2006,"Yes")+IF(OR(OR(Settings!$B$60="",Settings!$F$60="No"),Settings!$H$60&lt;&gt;"Yes"),0,Settings!$B$60*IF(AND(IF(Settings!$C$60="",$B114,DATE(YEAR($A114),MONTH($A114),MIN(Settings!$C$60,DAY($B114))))&gt;=MAX($A114,Settings!$D$60),IF(Settings!$C$60="",$B114,DATE(YEAR($A114),MONTH($A114),MIN(Settings!$C$60,DAY($B114))))&lt;=MIN($C114,IF(Settings!$E$60="",$C114,Settings!$E$60))),1,0))+IF(OR(OR(Settings!$B$61="",Settings!$F$61="No"),Settings!$H$61&lt;&gt;"Yes"),0,Settings!$B$61*IF(AND(IF(Settings!$C$61="",$B114,DATE(YEAR($A114),MONTH($A114),MIN(Settings!$C$61,DAY($B114))))&gt;=MAX($A114,Settings!$D$61),IF(Settings!$C$61="",$B114,DATE(YEAR($A114),MONTH($A114),MIN(Settings!$C$61,DAY($B114))))&lt;=MIN($C114,IF(Settings!$E$61="",$C114,Settings!$E$61))),1,0))+IF(OR(OR(Settings!$B$62="",Settings!$F$62="No"),Settings!$H$62&lt;&gt;"Yes"),0,Settings!$B$62*IF(AND(IF(Settings!$C$62="",$B114,DATE(YEAR($A114),MONTH($A114),MIN(Settings!$C$62,DAY($B114))))&gt;=MAX($A114,Settings!$D$62),IF(Settings!$C$62="",$B114,DATE(YEAR($A114),MONTH($A114),MIN(Settings!$C$62,DAY($B114))))&lt;=MIN($C114,IF(Settings!$E$62="",$C114,Settings!$E$62))),1,0))+IF(OR(OR(Settings!$B$63="",Settings!$F$63="No"),Settings!$H$63&lt;&gt;"Yes"),0,Settings!$B$63*IF(AND(IF(Settings!$C$63="",$B114,DATE(YEAR($A114),MONTH($A114),MIN(Settings!$C$63,DAY($B114))))&gt;=MAX($A114,Settings!$D$63),IF(Settings!$C$63="",$B114,DATE(YEAR($A114),MONTH($A114),MIN(Settings!$C$63,DAY($B114))))&lt;=MIN($C114,IF(Settings!$E$63="",$C114,Settings!$E$63))),1,0))+IF(OR(OR(Settings!$B$64="",Settings!$F$64="No"),Settings!$H$64&lt;&gt;"Yes"),0,Settings!$B$64*IF(AND(IF(Settings!$C$64="",$B114,DATE(YEAR($A114),MONTH($A114),MIN(Settings!$C$64,DAY($B114))))&gt;=MAX($A114,Settings!$D$64),IF(Settings!$C$64="",$B114,DATE(YEAR($A114),MONTH($A114),MIN(Settings!$C$64,DAY($B114))))&lt;=MIN($C114,IF(Settings!$E$64="",$C114,Settings!$E$64))),1,0))+IF(OR(OR(Settings!$B$65="",Settings!$F$65="No"),Settings!$H$65&lt;&gt;"Yes"),0,Settings!$B$65*IF(AND(IF(Settings!$C$65="",$B114,DATE(YEAR($A114),MONTH($A114),MIN(Settings!$C$65,DAY($B114))))&gt;=MAX($A114,Settings!$D$65),IF(Settings!$C$65="",$B114,DATE(YEAR($A114),MONTH($A114),MIN(Settings!$C$65,DAY($B114))))&lt;=MIN($C114,IF(Settings!$E$65="",$C114,Settings!$E$65))),1,0))</f>
        <v/>
      </c>
      <c r="FI114">
        <f>IF($DT114=1,IF(OR(Settings!$B$19="Card",Settings!$B$19="Loan"),N($AE114),0)+IF(OR(Settings!$B$20="Card",Settings!$B$20="Loan"),N($AF114),0)+IF(OR(Settings!$B$21="Card",Settings!$B$21="Loan"),N($AG114),0)+IF(OR(Settings!$B$22="Card",Settings!$B$22="Loan"),N($AH114),0)+IF(OR(Settings!$B$23="Card",Settings!$B$23="Loan"),N($AI114),0)+IF(OR(Settings!$B$24="Card",Settings!$B$24="Loan"),N($AJ114),0)+IF(OR(Settings!$B$25="Card",Settings!$B$25="Loan"),N($AK114),0)+IF(OR(Settings!$B$26="Card",Settings!$B$26="Loan"),N($AL114),0)+IF(OR(Settings!$B$27="Card",Settings!$B$27="Loan"),N($AM114),0)+IF(OR(Settings!$B$28="Card",Settings!$B$28="Loan"),N($AN114),0)+IF(OR(Settings!$B$29="Card",Settings!$B$29="Loan"),N($AO114),0)+IF(OR(Settings!$B$30="Card",Settings!$B$30="Loan"),N($AP114),0)+IF(OR(Settings!$B$31="Card",Settings!$B$31="Loan"),N($AQ114),0)+IF(OR(Settings!$B$32="Card",Settings!$B$32="Loan"),N($AR114),0),"")</f>
        <v/>
      </c>
      <c r="FJ114">
        <f>IF($E114="open",$EB$65,IF($E114="post",IF($E113="pre",$EB$65,$FI113),""))</f>
        <v/>
      </c>
      <c r="FK114">
        <f>IF(AND($DT114=1,$DC114=1),IF(ROUND($FI114-$FJ114,2)&gt;0,1,0),0)</f>
        <v/>
      </c>
      <c r="FL114">
        <f>IF($FK114=1,$FL113+1,0)</f>
        <v/>
      </c>
    </row>
    <row r="115">
      <c r="A115">
        <f>'Month-End'!$DH$4</f>
        <v/>
      </c>
      <c r="B115">
        <f>EOMONTH($A115,0)</f>
        <v/>
      </c>
      <c r="C115">
        <f>MIN($B115,TODAY())</f>
        <v/>
      </c>
      <c r="D115">
        <f>IF($A115&gt;TODAY(),1,0)</f>
        <v/>
      </c>
      <c r="E115">
        <f>IF($B115&lt;=Settings!$B$5,"pre",IF($A115&lt;=Settings!$B$5,"open","post"))</f>
        <v/>
      </c>
      <c r="G115">
        <f>IF('Month-End'!$DH$22="",$BE115,N('Month-End'!$DH$22))</f>
        <v/>
      </c>
      <c r="H115">
        <f>IF('Month-End'!$DH$23="",$BF115,N('Month-End'!$DH$23))</f>
        <v/>
      </c>
      <c r="I115">
        <f>IF('Month-End'!$DH$24="",$BG115,N('Month-End'!$DH$24))</f>
        <v/>
      </c>
      <c r="J115">
        <f>IF('Month-End'!$DH$25="",$BH115,N('Month-End'!$DH$25))</f>
        <v/>
      </c>
      <c r="K115">
        <f>IF('Month-End'!$DH$26="",$BI115,N('Month-End'!$DH$26))</f>
        <v/>
      </c>
      <c r="L115">
        <f>IF('Month-End'!$DH$27="",$BJ115,N('Month-End'!$DH$27))</f>
        <v/>
      </c>
      <c r="M115">
        <f>IF('Month-End'!$DH$28="",$BK115,N('Month-End'!$DH$28))</f>
        <v/>
      </c>
      <c r="N115">
        <f>IF('Month-End'!$DH$29="",$BL115,N('Month-End'!$DH$29))</f>
        <v/>
      </c>
      <c r="O115">
        <f>IF('Month-End'!$DH$30="",$BM115,N('Month-End'!$DH$30))</f>
        <v/>
      </c>
      <c r="P115">
        <f>IF('Month-End'!$DH$31="",$BN115,N('Month-End'!$DH$31))</f>
        <v/>
      </c>
      <c r="Q115">
        <f>IF('Month-End'!$DH$32="",$BO115,N('Month-End'!$DH$32))</f>
        <v/>
      </c>
      <c r="R115">
        <f>IF('Month-End'!$DH$33="",$BP115,N('Month-End'!$DH$33))</f>
        <v/>
      </c>
      <c r="S115">
        <f>$G115+$H115+$I115+$J115+$K115+$L115+$M115+$N115+$O115+$P115+$Q115+$R115</f>
        <v/>
      </c>
      <c r="T115">
        <f>IF($B115&lt;Settings!$B$6,0,IF(Settings!$B$45="Yes",$G115,0)+IF(Settings!$B$46="Yes",$H115,0)+IF(Settings!$B$47="Yes",$I115,0)+IF(Settings!$B$48="Yes",$J115,0)+IF(Settings!$B$49="Yes",$K115,0)+IF(Settings!$B$50="Yes",$L115,0)+IF(Settings!$B$51="Yes",$M115,0)+IF(Settings!$B$52="Yes",$N115,0)+IF(Settings!$B$53="Yes",$O115,0)+IF(Settings!$B$54="Yes",$P115,0)+IF(Settings!$B$55="Yes",$Q115,0)+IF(Settings!$B$56="Yes",$R115,0))</f>
        <v/>
      </c>
      <c r="U115">
        <f>IF(Settings!$B$45="Not Sure",$G115,0)+IF(Settings!$B$46="Not Sure",$H115,0)+IF(Settings!$B$47="Not Sure",$I115,0)+IF(Settings!$B$48="Not Sure",$J115,0)+IF(Settings!$B$49="Not Sure",$K115,0)+IF(Settings!$B$50="Not Sure",$L115,0)+IF(Settings!$B$51="Not Sure",$M115,0)+IF(Settings!$B$52="Not Sure",$N115,0)+IF(Settings!$B$53="Not Sure",$O115,0)+IF(Settings!$B$54="Not Sure",$P115,0)+IF(Settings!$B$55="Not Sure",$Q115,0)+IF(Settings!$B$56="Not Sure",$R115,0)</f>
        <v/>
      </c>
      <c r="V115">
        <f>IF($E115="open",SUM($ET115:$FE115)+N(Settings!$B$13),0)</f>
        <v/>
      </c>
      <c r="W115">
        <f>IF($E115="post",$S115,IF($E115="open",$S115-$V115,0))</f>
        <v/>
      </c>
      <c r="X115">
        <f>SUMIFS(Giving!$B$7:$B$2006,Giving!$A$7:$A$2006,"&gt;="&amp;$A115,Giving!$A$7:$A$2006,"&lt;="&amp;$B115,Giving!$E$7:$E$2006,"&lt;&gt;No")</f>
        <v/>
      </c>
      <c r="Y115">
        <f>SUMIFS(Giving!$B$7:$B$2006,Giving!$A$7:$A$2006,"&gt;="&amp;$A115,Giving!$A$7:$A$2006,"&lt;="&amp;$B115,Giving!$E$7:$E$2006,"No")</f>
        <v/>
      </c>
      <c r="Z115">
        <f>IF(OR(Settings!$B$60="",Settings!$F$60="No"),0,Settings!$B$60*IF(AND(IF(Settings!$C$60="",$B115,DATE(YEAR($A115),MONTH($A115),MIN(Settings!$C$60,DAY($B115))))&gt;=MAX($A115,Settings!$D$60),IF(Settings!$C$60="",$B115,DATE(YEAR($A115),MONTH($A115),MIN(Settings!$C$60,DAY($B115))))&lt;=MIN($C115,IF(Settings!$E$60="",$C115,Settings!$E$60))),1,0))+IF(OR(Settings!$B$61="",Settings!$F$61="No"),0,Settings!$B$61*IF(AND(IF(Settings!$C$61="",$B115,DATE(YEAR($A115),MONTH($A115),MIN(Settings!$C$61,DAY($B115))))&gt;=MAX($A115,Settings!$D$61),IF(Settings!$C$61="",$B115,DATE(YEAR($A115),MONTH($A115),MIN(Settings!$C$61,DAY($B115))))&lt;=MIN($C115,IF(Settings!$E$61="",$C115,Settings!$E$61))),1,0))+IF(OR(Settings!$B$62="",Settings!$F$62="No"),0,Settings!$B$62*IF(AND(IF(Settings!$C$62="",$B115,DATE(YEAR($A115),MONTH($A115),MIN(Settings!$C$62,DAY($B115))))&gt;=MAX($A115,Settings!$D$62),IF(Settings!$C$62="",$B115,DATE(YEAR($A115),MONTH($A115),MIN(Settings!$C$62,DAY($B115))))&lt;=MIN($C115,IF(Settings!$E$62="",$C115,Settings!$E$62))),1,0))+IF(OR(Settings!$B$63="",Settings!$F$63="No"),0,Settings!$B$63*IF(AND(IF(Settings!$C$63="",$B115,DATE(YEAR($A115),MONTH($A115),MIN(Settings!$C$63,DAY($B115))))&gt;=MAX($A115,Settings!$D$63),IF(Settings!$C$63="",$B115,DATE(YEAR($A115),MONTH($A115),MIN(Settings!$C$63,DAY($B115))))&lt;=MIN($C115,IF(Settings!$E$63="",$C115,Settings!$E$63))),1,0))+IF(OR(Settings!$B$64="",Settings!$F$64="No"),0,Settings!$B$64*IF(AND(IF(Settings!$C$64="",$B115,DATE(YEAR($A115),MONTH($A115),MIN(Settings!$C$64,DAY($B115))))&gt;=MAX($A115,Settings!$D$64),IF(Settings!$C$64="",$B115,DATE(YEAR($A115),MONTH($A115),MIN(Settings!$C$64,DAY($B115))))&lt;=MIN($C115,IF(Settings!$E$64="",$C115,Settings!$E$64))),1,0))+IF(OR(Settings!$B$65="",Settings!$F$65="No"),0,Settings!$B$65*IF(AND(IF(Settings!$C$65="",$B115,DATE(YEAR($A115),MONTH($A115),MIN(Settings!$C$65,DAY($B115))))&gt;=MAX($A115,Settings!$D$65),IF(Settings!$C$65="",$B115,DATE(YEAR($A115),MONTH($A115),MIN(Settings!$C$65,DAY($B115))))&lt;=MIN($C115,IF(Settings!$E$65="",$C115,Settings!$E$65))),1,0))</f>
        <v/>
      </c>
      <c r="AA115">
        <f>$X115+$Z115</f>
        <v/>
      </c>
      <c r="AB115">
        <f>IF($E115="post",$AA115,IF($E115="open",SUMIFS(Giving!$B$7:$B$2006,Giving!$A$7:$A$2006,"&gt;"&amp;Settings!$B$5,Giving!$A$7:$A$2006,"&lt;="&amp;$B115,Giving!$E$7:$E$2006,"&lt;&gt;No")+IF(OR(Settings!$B$60="",Settings!$F$60="No"),0,Settings!$B$60*IF(AND(IF(Settings!$C$60="",$B115,DATE(YEAR($A115),MONTH($A115),MIN(Settings!$C$60,DAY($B115))))&gt;=MAX($A115,Settings!$D$60,Settings!$B$5+1),IF(Settings!$C$60="",$B115,DATE(YEAR($A115),MONTH($A115),MIN(Settings!$C$60,DAY($B115))))&lt;=MIN($C115,IF(Settings!$E$60="",$C115,Settings!$E$60))),1,0))+IF(OR(Settings!$B$61="",Settings!$F$61="No"),0,Settings!$B$61*IF(AND(IF(Settings!$C$61="",$B115,DATE(YEAR($A115),MONTH($A115),MIN(Settings!$C$61,DAY($B115))))&gt;=MAX($A115,Settings!$D$61,Settings!$B$5+1),IF(Settings!$C$61="",$B115,DATE(YEAR($A115),MONTH($A115),MIN(Settings!$C$61,DAY($B115))))&lt;=MIN($C115,IF(Settings!$E$61="",$C115,Settings!$E$61))),1,0))+IF(OR(Settings!$B$62="",Settings!$F$62="No"),0,Settings!$B$62*IF(AND(IF(Settings!$C$62="",$B115,DATE(YEAR($A115),MONTH($A115),MIN(Settings!$C$62,DAY($B115))))&gt;=MAX($A115,Settings!$D$62,Settings!$B$5+1),IF(Settings!$C$62="",$B115,DATE(YEAR($A115),MONTH($A115),MIN(Settings!$C$62,DAY($B115))))&lt;=MIN($C115,IF(Settings!$E$62="",$C115,Settings!$E$62))),1,0))+IF(OR(Settings!$B$63="",Settings!$F$63="No"),0,Settings!$B$63*IF(AND(IF(Settings!$C$63="",$B115,DATE(YEAR($A115),MONTH($A115),MIN(Settings!$C$63,DAY($B115))))&gt;=MAX($A115,Settings!$D$63,Settings!$B$5+1),IF(Settings!$C$63="",$B115,DATE(YEAR($A115),MONTH($A115),MIN(Settings!$C$63,DAY($B115))))&lt;=MIN($C115,IF(Settings!$E$63="",$C115,Settings!$E$63))),1,0))+IF(OR(Settings!$B$64="",Settings!$F$64="No"),0,Settings!$B$64*IF(AND(IF(Settings!$C$64="",$B115,DATE(YEAR($A115),MONTH($A115),MIN(Settings!$C$64,DAY($B115))))&gt;=MAX($A115,Settings!$D$64,Settings!$B$5+1),IF(Settings!$C$64="",$B115,DATE(YEAR($A115),MONTH($A115),MIN(Settings!$C$64,DAY($B115))))&lt;=MIN($C115,IF(Settings!$E$64="",$C115,Settings!$E$64))),1,0))+IF(OR(Settings!$B$65="",Settings!$F$65="No"),0,Settings!$B$65*IF(AND(IF(Settings!$C$65="",$B115,DATE(YEAR($A115),MONTH($A115),MIN(Settings!$C$65,DAY($B115))))&gt;=MAX($A115,Settings!$D$65,Settings!$B$5+1),IF(Settings!$C$65="",$B115,DATE(YEAR($A115),MONTH($A115),MIN(Settings!$C$65,DAY($B115))))&lt;=MIN($C115,IF(Settings!$E$65="",$C115,Settings!$E$65))),1,0)),0))</f>
        <v/>
      </c>
      <c r="AC115">
        <f>$AY115+$AZ115+$BA115+$BB115+$BC115+$BD115</f>
        <v/>
      </c>
      <c r="AD115">
        <f>$AC115</f>
        <v/>
      </c>
      <c r="AE115">
        <f>IF(OR(Settings!$A$19="",$E115="pre"),"",IF(AND('Month-End'!$DH$7&lt;&gt;"",NOT(_xlfn.ISFORMULA('Month-End'!$DH$7))),N('Month-End'!$DH$7),IF(OR($E115="open",$E114="pre"),N(Settings!$C$19),N($AE114))))</f>
        <v/>
      </c>
      <c r="AF115">
        <f>IF(OR(Settings!$A$20="",$E115="pre"),"",IF(AND('Month-End'!$DH$8&lt;&gt;"",NOT(_xlfn.ISFORMULA('Month-End'!$DH$8))),N('Month-End'!$DH$8),IF(OR($E115="open",$E114="pre"),N(Settings!$C$20),N($AF114))))</f>
        <v/>
      </c>
      <c r="AG115">
        <f>IF(OR(Settings!$A$21="",$E115="pre"),"",IF(AND('Month-End'!$DH$9&lt;&gt;"",NOT(_xlfn.ISFORMULA('Month-End'!$DH$9))),N('Month-End'!$DH$9),IF(OR($E115="open",$E114="pre"),N(Settings!$C$21),N($AG114))))</f>
        <v/>
      </c>
      <c r="AH115">
        <f>IF(OR(Settings!$A$22="",$E115="pre"),"",IF(AND('Month-End'!$DH$10&lt;&gt;"",NOT(_xlfn.ISFORMULA('Month-End'!$DH$10))),N('Month-End'!$DH$10),IF(OR($E115="open",$E114="pre"),N(Settings!$C$22),N($AH114))))</f>
        <v/>
      </c>
      <c r="AI115">
        <f>IF(OR(Settings!$A$23="",$E115="pre"),"",IF(AND('Month-End'!$DH$11&lt;&gt;"",NOT(_xlfn.ISFORMULA('Month-End'!$DH$11))),N('Month-End'!$DH$11),IF(OR($E115="open",$E114="pre"),N(Settings!$C$23),N($AI114))))</f>
        <v/>
      </c>
      <c r="AJ115">
        <f>IF(OR(Settings!$A$24="",$E115="pre"),"",IF(AND('Month-End'!$DH$12&lt;&gt;"",NOT(_xlfn.ISFORMULA('Month-End'!$DH$12))),N('Month-End'!$DH$12),IF(OR($E115="open",$E114="pre"),N(Settings!$C$24),N($AJ114))))</f>
        <v/>
      </c>
      <c r="AK115">
        <f>IF(OR(Settings!$A$25="",$E115="pre"),"",IF(AND('Month-End'!$DH$13&lt;&gt;"",NOT(_xlfn.ISFORMULA('Month-End'!$DH$13))),N('Month-End'!$DH$13),IF(OR($E115="open",$E114="pre"),N(Settings!$C$25),N($AK114))))</f>
        <v/>
      </c>
      <c r="AL115">
        <f>IF(OR(Settings!$A$26="",$E115="pre"),"",IF(AND('Month-End'!$DH$14&lt;&gt;"",NOT(_xlfn.ISFORMULA('Month-End'!$DH$14))),N('Month-End'!$DH$14),IF(OR($E115="open",$E114="pre"),N(Settings!$C$26),N($AL114))))</f>
        <v/>
      </c>
      <c r="AM115">
        <f>IF(OR(Settings!$A$27="",$E115="pre"),"",IF(AND('Month-End'!$DH$15&lt;&gt;"",NOT(_xlfn.ISFORMULA('Month-End'!$DH$15))),N('Month-End'!$DH$15),IF(OR($E115="open",$E114="pre"),N(Settings!$C$27),N($AM114))))</f>
        <v/>
      </c>
      <c r="AN115">
        <f>IF(OR(Settings!$A$28="",$E115="pre"),"",IF(AND('Month-End'!$DH$16&lt;&gt;"",NOT(_xlfn.ISFORMULA('Month-End'!$DH$16))),N('Month-End'!$DH$16),IF(OR($E115="open",$E114="pre"),N(Settings!$C$28),N($AN114))))</f>
        <v/>
      </c>
      <c r="AO115">
        <f>IF(OR(Settings!$A$29="",$E115="pre"),"",IF(AND('Month-End'!$DH$17&lt;&gt;"",NOT(_xlfn.ISFORMULA('Month-End'!$DH$17))),N('Month-End'!$DH$17),IF(OR($E115="open",$E114="pre"),N(Settings!$C$29),N($AO114))))</f>
        <v/>
      </c>
      <c r="AP115">
        <f>IF(OR(Settings!$A$30="",$E115="pre"),"",IF(AND('Month-End'!$DH$18&lt;&gt;"",NOT(_xlfn.ISFORMULA('Month-End'!$DH$18))),N('Month-End'!$DH$18),IF(OR($E115="open",$E114="pre"),N(Settings!$C$30),N($AP114))))</f>
        <v/>
      </c>
      <c r="AQ115">
        <f>IF(OR(Settings!$A$31="",$E115="pre"),"",IF(AND('Month-End'!$DH$19&lt;&gt;"",NOT(_xlfn.ISFORMULA('Month-End'!$DH$19))),N('Month-End'!$DH$19),IF(OR($E115="open",$E114="pre"),N(Settings!$C$31),N($AQ114))))</f>
        <v/>
      </c>
      <c r="AR115">
        <f>IF(OR(Settings!$A$32="",$E115="pre"),"",IF(AND('Month-End'!$DH$20&lt;&gt;"",NOT(_xlfn.ISFORMULA('Month-End'!$DH$20))),N('Month-End'!$DH$20),IF(OR($E115="open",$E114="pre"),N(Settings!$C$32),N($AR114))))</f>
        <v/>
      </c>
      <c r="AS115">
        <f>IF(OR(Settings!$A$36="",$E115="pre"),"",IF(AND('Month-End'!$DH$38&lt;&gt;"",NOT(_xlfn.ISFORMULA('Month-End'!$DH$38))),N('Month-End'!$DH$38),IF(OR($E115="open",$E114="pre"),N(Settings!$C$36),N($AS114))+$AY115))</f>
        <v/>
      </c>
      <c r="AT115">
        <f>IF(OR(Settings!$A$37="",$E115="pre"),"",IF(AND('Month-End'!$DH$39&lt;&gt;"",NOT(_xlfn.ISFORMULA('Month-End'!$DH$39))),N('Month-End'!$DH$39),IF(OR($E115="open",$E114="pre"),N(Settings!$C$37),N($AT114))+$AZ115))</f>
        <v/>
      </c>
      <c r="AU115">
        <f>IF(OR(Settings!$A$38="",$E115="pre"),"",IF(AND('Month-End'!$DH$40&lt;&gt;"",NOT(_xlfn.ISFORMULA('Month-End'!$DH$40))),N('Month-End'!$DH$40),IF(OR($E115="open",$E114="pre"),N(Settings!$C$38),N($AU114))+$BA115))</f>
        <v/>
      </c>
      <c r="AV115">
        <f>IF(OR(Settings!$A$39="",$E115="pre"),"",IF(AND('Month-End'!$DH$41&lt;&gt;"",NOT(_xlfn.ISFORMULA('Month-End'!$DH$41))),N('Month-End'!$DH$41),IF(OR($E115="open",$E114="pre"),N(Settings!$C$39),N($AV114))+$BB115))</f>
        <v/>
      </c>
      <c r="AW115">
        <f>IF(OR(Settings!$A$40="",$E115="pre"),"",IF(AND('Month-End'!$DH$42&lt;&gt;"",NOT(_xlfn.ISFORMULA('Month-End'!$DH$42))),N('Month-End'!$DH$42),IF(OR($E115="open",$E114="pre"),N(Settings!$C$40),N($AW114))+$BC115))</f>
        <v/>
      </c>
      <c r="AX115">
        <f>IF(OR(Settings!$A$41="",$E115="pre"),"",IF(AND('Month-End'!$DH$43&lt;&gt;"",NOT(_xlfn.ISFORMULA('Month-End'!$DH$43))),N('Month-End'!$DH$43),IF(OR($E115="open",$E114="pre"),N(Settings!$C$41),N($AX114))+$BD115))</f>
        <v/>
      </c>
      <c r="AY115">
        <f>IF($E115="pre",0,N('Month-End'!$DH$45))</f>
        <v/>
      </c>
      <c r="AZ115">
        <f>IF($E115="pre",0,N('Month-End'!$DH$46))</f>
        <v/>
      </c>
      <c r="BA115">
        <f>IF($E115="pre",0,N('Month-End'!$DH$47))</f>
        <v/>
      </c>
      <c r="BB115">
        <f>IF($E115="pre",0,N('Month-End'!$DH$48))</f>
        <v/>
      </c>
      <c r="BC115">
        <f>IF($E115="pre",0,N('Month-End'!$DH$49))</f>
        <v/>
      </c>
      <c r="BD115">
        <f>IF($E115="pre",0,N('Month-End'!$DH$50))</f>
        <v/>
      </c>
      <c r="BE115">
        <f>IF(OR(Settings!$C$45="",Settings!$D$45=""),0,Settings!$C$45*IF(Settings!$D$45="Weekly",IF(IFERROR(MATCH(Settings!$E$45,$EO$4:$EO$10,0),0)=0,0,IF(MIN($C115,IF(Settings!$G$45="",$C115,Settings!$G$45))&lt;MAX($A115,Settings!$F$45),0,INT((MIN($C115,IF(Settings!$G$45="",$C115,Settings!$G$45))-MAX($A115,Settings!$F$45)-MOD(IFERROR(MATCH(Settings!$E$45,$EO$4:$EO$10,0),0)-WEEKDAY(MAX($A115,Settings!$F$45)),7))/7)+1)),IF(AND(IF(Settings!$E$45="",$B115,DATE(YEAR($A115),MONTH($A115),MIN(Settings!$E$45,DAY($B115))))&gt;=MAX($A115,Settings!$F$45),IF(Settings!$E$45="",$B115,DATE(YEAR($A115),MONTH($A115),MIN(Settings!$E$45,DAY($B115))))&lt;=MIN($C115,IF(Settings!$G$45="",$C115,Settings!$G$45))),1,0)))</f>
        <v/>
      </c>
      <c r="BF115">
        <f>IF(OR(Settings!$C$46="",Settings!$D$46=""),0,Settings!$C$46*IF(Settings!$D$46="Weekly",IF(IFERROR(MATCH(Settings!$E$46,$EO$4:$EO$10,0),0)=0,0,IF(MIN($C115,IF(Settings!$G$46="",$C115,Settings!$G$46))&lt;MAX($A115,Settings!$F$46),0,INT((MIN($C115,IF(Settings!$G$46="",$C115,Settings!$G$46))-MAX($A115,Settings!$F$46)-MOD(IFERROR(MATCH(Settings!$E$46,$EO$4:$EO$10,0),0)-WEEKDAY(MAX($A115,Settings!$F$46)),7))/7)+1)),IF(AND(IF(Settings!$E$46="",$B115,DATE(YEAR($A115),MONTH($A115),MIN(Settings!$E$46,DAY($B115))))&gt;=MAX($A115,Settings!$F$46),IF(Settings!$E$46="",$B115,DATE(YEAR($A115),MONTH($A115),MIN(Settings!$E$46,DAY($B115))))&lt;=MIN($C115,IF(Settings!$G$46="",$C115,Settings!$G$46))),1,0)))</f>
        <v/>
      </c>
      <c r="BG115">
        <f>IF(OR(Settings!$C$47="",Settings!$D$47=""),0,Settings!$C$47*IF(Settings!$D$47="Weekly",IF(IFERROR(MATCH(Settings!$E$47,$EO$4:$EO$10,0),0)=0,0,IF(MIN($C115,IF(Settings!$G$47="",$C115,Settings!$G$47))&lt;MAX($A115,Settings!$F$47),0,INT((MIN($C115,IF(Settings!$G$47="",$C115,Settings!$G$47))-MAX($A115,Settings!$F$47)-MOD(IFERROR(MATCH(Settings!$E$47,$EO$4:$EO$10,0),0)-WEEKDAY(MAX($A115,Settings!$F$47)),7))/7)+1)),IF(AND(IF(Settings!$E$47="",$B115,DATE(YEAR($A115),MONTH($A115),MIN(Settings!$E$47,DAY($B115))))&gt;=MAX($A115,Settings!$F$47),IF(Settings!$E$47="",$B115,DATE(YEAR($A115),MONTH($A115),MIN(Settings!$E$47,DAY($B115))))&lt;=MIN($C115,IF(Settings!$G$47="",$C115,Settings!$G$47))),1,0)))</f>
        <v/>
      </c>
      <c r="BH115">
        <f>IF(OR(Settings!$C$48="",Settings!$D$48=""),0,Settings!$C$48*IF(Settings!$D$48="Weekly",IF(IFERROR(MATCH(Settings!$E$48,$EO$4:$EO$10,0),0)=0,0,IF(MIN($C115,IF(Settings!$G$48="",$C115,Settings!$G$48))&lt;MAX($A115,Settings!$F$48),0,INT((MIN($C115,IF(Settings!$G$48="",$C115,Settings!$G$48))-MAX($A115,Settings!$F$48)-MOD(IFERROR(MATCH(Settings!$E$48,$EO$4:$EO$10,0),0)-WEEKDAY(MAX($A115,Settings!$F$48)),7))/7)+1)),IF(AND(IF(Settings!$E$48="",$B115,DATE(YEAR($A115),MONTH($A115),MIN(Settings!$E$48,DAY($B115))))&gt;=MAX($A115,Settings!$F$48),IF(Settings!$E$48="",$B115,DATE(YEAR($A115),MONTH($A115),MIN(Settings!$E$48,DAY($B115))))&lt;=MIN($C115,IF(Settings!$G$48="",$C115,Settings!$G$48))),1,0)))</f>
        <v/>
      </c>
      <c r="BI115">
        <f>IF(OR(Settings!$C$49="",Settings!$D$49=""),0,Settings!$C$49*IF(Settings!$D$49="Weekly",IF(IFERROR(MATCH(Settings!$E$49,$EO$4:$EO$10,0),0)=0,0,IF(MIN($C115,IF(Settings!$G$49="",$C115,Settings!$G$49))&lt;MAX($A115,Settings!$F$49),0,INT((MIN($C115,IF(Settings!$G$49="",$C115,Settings!$G$49))-MAX($A115,Settings!$F$49)-MOD(IFERROR(MATCH(Settings!$E$49,$EO$4:$EO$10,0),0)-WEEKDAY(MAX($A115,Settings!$F$49)),7))/7)+1)),IF(AND(IF(Settings!$E$49="",$B115,DATE(YEAR($A115),MONTH($A115),MIN(Settings!$E$49,DAY($B115))))&gt;=MAX($A115,Settings!$F$49),IF(Settings!$E$49="",$B115,DATE(YEAR($A115),MONTH($A115),MIN(Settings!$E$49,DAY($B115))))&lt;=MIN($C115,IF(Settings!$G$49="",$C115,Settings!$G$49))),1,0)))</f>
        <v/>
      </c>
      <c r="BJ115">
        <f>IF(OR(Settings!$C$50="",Settings!$D$50=""),0,Settings!$C$50*IF(Settings!$D$50="Weekly",IF(IFERROR(MATCH(Settings!$E$50,$EO$4:$EO$10,0),0)=0,0,IF(MIN($C115,IF(Settings!$G$50="",$C115,Settings!$G$50))&lt;MAX($A115,Settings!$F$50),0,INT((MIN($C115,IF(Settings!$G$50="",$C115,Settings!$G$50))-MAX($A115,Settings!$F$50)-MOD(IFERROR(MATCH(Settings!$E$50,$EO$4:$EO$10,0),0)-WEEKDAY(MAX($A115,Settings!$F$50)),7))/7)+1)),IF(AND(IF(Settings!$E$50="",$B115,DATE(YEAR($A115),MONTH($A115),MIN(Settings!$E$50,DAY($B115))))&gt;=MAX($A115,Settings!$F$50),IF(Settings!$E$50="",$B115,DATE(YEAR($A115),MONTH($A115),MIN(Settings!$E$50,DAY($B115))))&lt;=MIN($C115,IF(Settings!$G$50="",$C115,Settings!$G$50))),1,0)))</f>
        <v/>
      </c>
      <c r="BK115">
        <f>IF(OR(Settings!$C$51="",Settings!$D$51=""),0,Settings!$C$51*IF(Settings!$D$51="Weekly",IF(IFERROR(MATCH(Settings!$E$51,$EO$4:$EO$10,0),0)=0,0,IF(MIN($C115,IF(Settings!$G$51="",$C115,Settings!$G$51))&lt;MAX($A115,Settings!$F$51),0,INT((MIN($C115,IF(Settings!$G$51="",$C115,Settings!$G$51))-MAX($A115,Settings!$F$51)-MOD(IFERROR(MATCH(Settings!$E$51,$EO$4:$EO$10,0),0)-WEEKDAY(MAX($A115,Settings!$F$51)),7))/7)+1)),IF(AND(IF(Settings!$E$51="",$B115,DATE(YEAR($A115),MONTH($A115),MIN(Settings!$E$51,DAY($B115))))&gt;=MAX($A115,Settings!$F$51),IF(Settings!$E$51="",$B115,DATE(YEAR($A115),MONTH($A115),MIN(Settings!$E$51,DAY($B115))))&lt;=MIN($C115,IF(Settings!$G$51="",$C115,Settings!$G$51))),1,0)))</f>
        <v/>
      </c>
      <c r="BL115">
        <f>IF(OR(Settings!$C$52="",Settings!$D$52=""),0,Settings!$C$52*IF(Settings!$D$52="Weekly",IF(IFERROR(MATCH(Settings!$E$52,$EO$4:$EO$10,0),0)=0,0,IF(MIN($C115,IF(Settings!$G$52="",$C115,Settings!$G$52))&lt;MAX($A115,Settings!$F$52),0,INT((MIN($C115,IF(Settings!$G$52="",$C115,Settings!$G$52))-MAX($A115,Settings!$F$52)-MOD(IFERROR(MATCH(Settings!$E$52,$EO$4:$EO$10,0),0)-WEEKDAY(MAX($A115,Settings!$F$52)),7))/7)+1)),IF(AND(IF(Settings!$E$52="",$B115,DATE(YEAR($A115),MONTH($A115),MIN(Settings!$E$52,DAY($B115))))&gt;=MAX($A115,Settings!$F$52),IF(Settings!$E$52="",$B115,DATE(YEAR($A115),MONTH($A115),MIN(Settings!$E$52,DAY($B115))))&lt;=MIN($C115,IF(Settings!$G$52="",$C115,Settings!$G$52))),1,0)))</f>
        <v/>
      </c>
      <c r="BM115">
        <f>IF(OR(Settings!$C$53="",Settings!$D$53=""),0,Settings!$C$53*IF(Settings!$D$53="Weekly",IF(IFERROR(MATCH(Settings!$E$53,$EO$4:$EO$10,0),0)=0,0,IF(MIN($C115,IF(Settings!$G$53="",$C115,Settings!$G$53))&lt;MAX($A115,Settings!$F$53),0,INT((MIN($C115,IF(Settings!$G$53="",$C115,Settings!$G$53))-MAX($A115,Settings!$F$53)-MOD(IFERROR(MATCH(Settings!$E$53,$EO$4:$EO$10,0),0)-WEEKDAY(MAX($A115,Settings!$F$53)),7))/7)+1)),IF(AND(IF(Settings!$E$53="",$B115,DATE(YEAR($A115),MONTH($A115),MIN(Settings!$E$53,DAY($B115))))&gt;=MAX($A115,Settings!$F$53),IF(Settings!$E$53="",$B115,DATE(YEAR($A115),MONTH($A115),MIN(Settings!$E$53,DAY($B115))))&lt;=MIN($C115,IF(Settings!$G$53="",$C115,Settings!$G$53))),1,0)))</f>
        <v/>
      </c>
      <c r="BN115">
        <f>IF(OR(Settings!$C$54="",Settings!$D$54=""),0,Settings!$C$54*IF(Settings!$D$54="Weekly",IF(IFERROR(MATCH(Settings!$E$54,$EO$4:$EO$10,0),0)=0,0,IF(MIN($C115,IF(Settings!$G$54="",$C115,Settings!$G$54))&lt;MAX($A115,Settings!$F$54),0,INT((MIN($C115,IF(Settings!$G$54="",$C115,Settings!$G$54))-MAX($A115,Settings!$F$54)-MOD(IFERROR(MATCH(Settings!$E$54,$EO$4:$EO$10,0),0)-WEEKDAY(MAX($A115,Settings!$F$54)),7))/7)+1)),IF(AND(IF(Settings!$E$54="",$B115,DATE(YEAR($A115),MONTH($A115),MIN(Settings!$E$54,DAY($B115))))&gt;=MAX($A115,Settings!$F$54),IF(Settings!$E$54="",$B115,DATE(YEAR($A115),MONTH($A115),MIN(Settings!$E$54,DAY($B115))))&lt;=MIN($C115,IF(Settings!$G$54="",$C115,Settings!$G$54))),1,0)))</f>
        <v/>
      </c>
      <c r="BO115">
        <f>IF(OR(Settings!$C$55="",Settings!$D$55=""),0,Settings!$C$55*IF(Settings!$D$55="Weekly",IF(IFERROR(MATCH(Settings!$E$55,$EO$4:$EO$10,0),0)=0,0,IF(MIN($C115,IF(Settings!$G$55="",$C115,Settings!$G$55))&lt;MAX($A115,Settings!$F$55),0,INT((MIN($C115,IF(Settings!$G$55="",$C115,Settings!$G$55))-MAX($A115,Settings!$F$55)-MOD(IFERROR(MATCH(Settings!$E$55,$EO$4:$EO$10,0),0)-WEEKDAY(MAX($A115,Settings!$F$55)),7))/7)+1)),IF(AND(IF(Settings!$E$55="",$B115,DATE(YEAR($A115),MONTH($A115),MIN(Settings!$E$55,DAY($B115))))&gt;=MAX($A115,Settings!$F$55),IF(Settings!$E$55="",$B115,DATE(YEAR($A115),MONTH($A115),MIN(Settings!$E$55,DAY($B115))))&lt;=MIN($C115,IF(Settings!$G$55="",$C115,Settings!$G$55))),1,0)))</f>
        <v/>
      </c>
      <c r="BP115">
        <f>IF(OR(Settings!$C$56="",Settings!$D$56=""),0,Settings!$C$56*IF(Settings!$D$56="Weekly",IF(IFERROR(MATCH(Settings!$E$56,$EO$4:$EO$10,0),0)=0,0,IF(MIN($C115,IF(Settings!$G$56="",$C115,Settings!$G$56))&lt;MAX($A115,Settings!$F$56),0,INT((MIN($C115,IF(Settings!$G$56="",$C115,Settings!$G$56))-MAX($A115,Settings!$F$56)-MOD(IFERROR(MATCH(Settings!$E$56,$EO$4:$EO$10,0),0)-WEEKDAY(MAX($A115,Settings!$F$56)),7))/7)+1)),IF(AND(IF(Settings!$E$56="",$B115,DATE(YEAR($A115),MONTH($A115),MIN(Settings!$E$56,DAY($B115))))&gt;=MAX($A115,Settings!$F$56),IF(Settings!$E$56="",$B115,DATE(YEAR($A115),MONTH($A115),MIN(Settings!$E$56,DAY($B115))))&lt;=MIN($C115,IF(Settings!$G$56="",$C115,Settings!$G$56))),1,0)))</f>
        <v/>
      </c>
      <c r="BQ115">
        <f>IF(OR(Settings!$B$14="",$D115=1,$E115="pre",$A115&lt;IF(Settings!$B$15="",0,Settings!$B$15)),0,Settings!$B$14)</f>
        <v/>
      </c>
      <c r="BR115">
        <f>IF(AND('Month-End'!$DH$7&lt;&gt;"",NOT(_xlfn.ISFORMULA('Month-End'!$DH$7))),1,0)</f>
        <v/>
      </c>
      <c r="BS115">
        <f>IF(AND('Month-End'!$DH$8&lt;&gt;"",NOT(_xlfn.ISFORMULA('Month-End'!$DH$8))),1,0)</f>
        <v/>
      </c>
      <c r="BT115">
        <f>IF(AND('Month-End'!$DH$9&lt;&gt;"",NOT(_xlfn.ISFORMULA('Month-End'!$DH$9))),1,0)</f>
        <v/>
      </c>
      <c r="BU115">
        <f>IF(AND('Month-End'!$DH$10&lt;&gt;"",NOT(_xlfn.ISFORMULA('Month-End'!$DH$10))),1,0)</f>
        <v/>
      </c>
      <c r="BV115">
        <f>IF(AND('Month-End'!$DH$11&lt;&gt;"",NOT(_xlfn.ISFORMULA('Month-End'!$DH$11))),1,0)</f>
        <v/>
      </c>
      <c r="BW115">
        <f>IF(AND('Month-End'!$DH$12&lt;&gt;"",NOT(_xlfn.ISFORMULA('Month-End'!$DH$12))),1,0)</f>
        <v/>
      </c>
      <c r="BX115">
        <f>IF(AND('Month-End'!$DH$13&lt;&gt;"",NOT(_xlfn.ISFORMULA('Month-End'!$DH$13))),1,0)</f>
        <v/>
      </c>
      <c r="BY115">
        <f>IF(AND('Month-End'!$DH$14&lt;&gt;"",NOT(_xlfn.ISFORMULA('Month-End'!$DH$14))),1,0)</f>
        <v/>
      </c>
      <c r="BZ115">
        <f>IF(AND('Month-End'!$DH$15&lt;&gt;"",NOT(_xlfn.ISFORMULA('Month-End'!$DH$15))),1,0)</f>
        <v/>
      </c>
      <c r="CA115">
        <f>IF(AND('Month-End'!$DH$16&lt;&gt;"",NOT(_xlfn.ISFORMULA('Month-End'!$DH$16))),1,0)</f>
        <v/>
      </c>
      <c r="CB115">
        <f>IF(AND('Month-End'!$DH$17&lt;&gt;"",NOT(_xlfn.ISFORMULA('Month-End'!$DH$17))),1,0)</f>
        <v/>
      </c>
      <c r="CC115">
        <f>IF(AND('Month-End'!$DH$18&lt;&gt;"",NOT(_xlfn.ISFORMULA('Month-End'!$DH$18))),1,0)</f>
        <v/>
      </c>
      <c r="CD115">
        <f>IF(AND('Month-End'!$DH$19&lt;&gt;"",NOT(_xlfn.ISFORMULA('Month-End'!$DH$19))),1,0)</f>
        <v/>
      </c>
      <c r="CE115">
        <f>IF(AND('Month-End'!$DH$20&lt;&gt;"",NOT(_xlfn.ISFORMULA('Month-End'!$DH$20))),1,0)</f>
        <v/>
      </c>
      <c r="CF115">
        <f>IF(AND('Month-End'!$DH$38&lt;&gt;"",NOT(_xlfn.ISFORMULA('Month-End'!$DH$38))),1,0)</f>
        <v/>
      </c>
      <c r="CG115">
        <f>IF(AND('Month-End'!$DH$39&lt;&gt;"",NOT(_xlfn.ISFORMULA('Month-End'!$DH$39))),1,0)</f>
        <v/>
      </c>
      <c r="CH115">
        <f>IF(AND('Month-End'!$DH$40&lt;&gt;"",NOT(_xlfn.ISFORMULA('Month-End'!$DH$40))),1,0)</f>
        <v/>
      </c>
      <c r="CI115">
        <f>IF(AND('Month-End'!$DH$41&lt;&gt;"",NOT(_xlfn.ISFORMULA('Month-End'!$DH$41))),1,0)</f>
        <v/>
      </c>
      <c r="CJ115">
        <f>IF(AND('Month-End'!$DH$42&lt;&gt;"",NOT(_xlfn.ISFORMULA('Month-End'!$DH$42))),1,0)</f>
        <v/>
      </c>
      <c r="CK115">
        <f>IF(AND('Month-End'!$DH$43&lt;&gt;"",NOT(_xlfn.ISFORMULA('Month-End'!$DH$43))),1,0)</f>
        <v/>
      </c>
      <c r="CL115">
        <f>SUM($CM115:$CZ115)</f>
        <v/>
      </c>
      <c r="CM115">
        <f>IF(AND($E115&lt;&gt;"pre",AND(Settings!$A$19&lt;&gt;"",Settings!$E$19&lt;&gt;"No"),Settings!$F$19="Yes",NOT(AND('Month-End'!$DH$7&lt;&gt;"",NOT(_xlfn.ISFORMULA('Month-End'!$DH$7))))),1,0)</f>
        <v/>
      </c>
      <c r="CN115">
        <f>IF(AND($E115&lt;&gt;"pre",AND(Settings!$A$20&lt;&gt;"",Settings!$E$20&lt;&gt;"No"),Settings!$F$20="Yes",NOT(AND('Month-End'!$DH$8&lt;&gt;"",NOT(_xlfn.ISFORMULA('Month-End'!$DH$8))))),1,0)</f>
        <v/>
      </c>
      <c r="CO115">
        <f>IF(AND($E115&lt;&gt;"pre",AND(Settings!$A$21&lt;&gt;"",Settings!$E$21&lt;&gt;"No"),Settings!$F$21="Yes",NOT(AND('Month-End'!$DH$9&lt;&gt;"",NOT(_xlfn.ISFORMULA('Month-End'!$DH$9))))),1,0)</f>
        <v/>
      </c>
      <c r="CP115">
        <f>IF(AND($E115&lt;&gt;"pre",AND(Settings!$A$22&lt;&gt;"",Settings!$E$22&lt;&gt;"No"),Settings!$F$22="Yes",NOT(AND('Month-End'!$DH$10&lt;&gt;"",NOT(_xlfn.ISFORMULA('Month-End'!$DH$10))))),1,0)</f>
        <v/>
      </c>
      <c r="CQ115">
        <f>IF(AND($E115&lt;&gt;"pre",AND(Settings!$A$23&lt;&gt;"",Settings!$E$23&lt;&gt;"No"),Settings!$F$23="Yes",NOT(AND('Month-End'!$DH$11&lt;&gt;"",NOT(_xlfn.ISFORMULA('Month-End'!$DH$11))))),1,0)</f>
        <v/>
      </c>
      <c r="CR115">
        <f>IF(AND($E115&lt;&gt;"pre",AND(Settings!$A$24&lt;&gt;"",Settings!$E$24&lt;&gt;"No"),Settings!$F$24="Yes",NOT(AND('Month-End'!$DH$12&lt;&gt;"",NOT(_xlfn.ISFORMULA('Month-End'!$DH$12))))),1,0)</f>
        <v/>
      </c>
      <c r="CS115">
        <f>IF(AND($E115&lt;&gt;"pre",AND(Settings!$A$25&lt;&gt;"",Settings!$E$25&lt;&gt;"No"),Settings!$F$25="Yes",NOT(AND('Month-End'!$DH$13&lt;&gt;"",NOT(_xlfn.ISFORMULA('Month-End'!$DH$13))))),1,0)</f>
        <v/>
      </c>
      <c r="CT115">
        <f>IF(AND($E115&lt;&gt;"pre",AND(Settings!$A$26&lt;&gt;"",Settings!$E$26&lt;&gt;"No"),Settings!$F$26="Yes",NOT(AND('Month-End'!$DH$14&lt;&gt;"",NOT(_xlfn.ISFORMULA('Month-End'!$DH$14))))),1,0)</f>
        <v/>
      </c>
      <c r="CU115">
        <f>IF(AND($E115&lt;&gt;"pre",AND(Settings!$A$27&lt;&gt;"",Settings!$E$27&lt;&gt;"No"),Settings!$F$27="Yes",NOT(AND('Month-End'!$DH$15&lt;&gt;"",NOT(_xlfn.ISFORMULA('Month-End'!$DH$15))))),1,0)</f>
        <v/>
      </c>
      <c r="CV115">
        <f>IF(AND($E115&lt;&gt;"pre",AND(Settings!$A$28&lt;&gt;"",Settings!$E$28&lt;&gt;"No"),Settings!$F$28="Yes",NOT(AND('Month-End'!$DH$16&lt;&gt;"",NOT(_xlfn.ISFORMULA('Month-End'!$DH$16))))),1,0)</f>
        <v/>
      </c>
      <c r="CW115">
        <f>IF(AND($E115&lt;&gt;"pre",AND(Settings!$A$29&lt;&gt;"",Settings!$E$29&lt;&gt;"No"),Settings!$F$29="Yes",NOT(AND('Month-End'!$DH$17&lt;&gt;"",NOT(_xlfn.ISFORMULA('Month-End'!$DH$17))))),1,0)</f>
        <v/>
      </c>
      <c r="CX115">
        <f>IF(AND($E115&lt;&gt;"pre",AND(Settings!$A$30&lt;&gt;"",Settings!$E$30&lt;&gt;"No"),Settings!$F$30="Yes",NOT(AND('Month-End'!$DH$18&lt;&gt;"",NOT(_xlfn.ISFORMULA('Month-End'!$DH$18))))),1,0)</f>
        <v/>
      </c>
      <c r="CY115">
        <f>IF(AND($E115&lt;&gt;"pre",AND(Settings!$A$31&lt;&gt;"",Settings!$E$31&lt;&gt;"No"),Settings!$F$31="Yes",NOT(AND('Month-End'!$DH$19&lt;&gt;"",NOT(_xlfn.ISFORMULA('Month-End'!$DH$19))))),1,0)</f>
        <v/>
      </c>
      <c r="CZ115">
        <f>IF(AND($E115&lt;&gt;"pre",AND(Settings!$A$32&lt;&gt;"",Settings!$E$32&lt;&gt;"No"),Settings!$F$32="Yes",NOT(AND('Month-End'!$DH$20&lt;&gt;"",NOT(_xlfn.ISFORMULA('Month-End'!$DH$20))))),1,0)</f>
        <v/>
      </c>
      <c r="DA115">
        <f>IF($DT115=1,IF(OR(Settings!$B$19="Checking",Settings!$B$19="Savings",Settings!$B$19="Cash"),N($AE115),IF(OR(Settings!$B$19="Card",Settings!$B$19="Loan"),-N($AE115),0))+IF(OR(Settings!$B$20="Checking",Settings!$B$20="Savings",Settings!$B$20="Cash"),N($AF115),IF(OR(Settings!$B$20="Card",Settings!$B$20="Loan"),-N($AF115),0))+IF(OR(Settings!$B$21="Checking",Settings!$B$21="Savings",Settings!$B$21="Cash"),N($AG115),IF(OR(Settings!$B$21="Card",Settings!$B$21="Loan"),-N($AG115),0))+IF(OR(Settings!$B$22="Checking",Settings!$B$22="Savings",Settings!$B$22="Cash"),N($AH115),IF(OR(Settings!$B$22="Card",Settings!$B$22="Loan"),-N($AH115),0))+IF(OR(Settings!$B$23="Checking",Settings!$B$23="Savings",Settings!$B$23="Cash"),N($AI115),IF(OR(Settings!$B$23="Card",Settings!$B$23="Loan"),-N($AI115),0))+IF(OR(Settings!$B$24="Checking",Settings!$B$24="Savings",Settings!$B$24="Cash"),N($AJ115),IF(OR(Settings!$B$24="Card",Settings!$B$24="Loan"),-N($AJ115),0))+IF(OR(Settings!$B$25="Checking",Settings!$B$25="Savings",Settings!$B$25="Cash"),N($AK115),IF(OR(Settings!$B$25="Card",Settings!$B$25="Loan"),-N($AK115),0))+IF(OR(Settings!$B$26="Checking",Settings!$B$26="Savings",Settings!$B$26="Cash"),N($AL115),IF(OR(Settings!$B$26="Card",Settings!$B$26="Loan"),-N($AL115),0))+IF(OR(Settings!$B$27="Checking",Settings!$B$27="Savings",Settings!$B$27="Cash"),N($AM115),IF(OR(Settings!$B$27="Card",Settings!$B$27="Loan"),-N($AM115),0))+IF(OR(Settings!$B$28="Checking",Settings!$B$28="Savings",Settings!$B$28="Cash"),N($AN115),IF(OR(Settings!$B$28="Card",Settings!$B$28="Loan"),-N($AN115),0))+IF(OR(Settings!$B$29="Checking",Settings!$B$29="Savings",Settings!$B$29="Cash"),N($AO115),IF(OR(Settings!$B$29="Card",Settings!$B$29="Loan"),-N($AO115),0))+IF(OR(Settings!$B$30="Checking",Settings!$B$30="Savings",Settings!$B$30="Cash"),N($AP115),IF(OR(Settings!$B$30="Card",Settings!$B$30="Loan"),-N($AP115),0))+IF(OR(Settings!$B$31="Checking",Settings!$B$31="Savings",Settings!$B$31="Cash"),N($AQ115),IF(OR(Settings!$B$31="Card",Settings!$B$31="Loan"),-N($AQ115),0))+IF(OR(Settings!$B$32="Checking",Settings!$B$32="Savings",Settings!$B$32="Cash"),N($AR115),IF(OR(Settings!$B$32="Card",Settings!$B$32="Loan"),-N($AR115),0)),"")</f>
        <v/>
      </c>
      <c r="DB115">
        <f>IF($E115="open",$EB$27,IF($E115="post",IF($E114="pre",$EB$27,$DA114),""))</f>
        <v/>
      </c>
      <c r="DC115">
        <f>IF($E115="open",1,IF($E115="post",IF($E114="pre",1,$DT114),0))</f>
        <v/>
      </c>
      <c r="DD115">
        <f>IF(AND($DT115=1,$DC115=1),ROUND($W115-($DA115-$DB115)-$AD115-$AB115,2),"")</f>
        <v/>
      </c>
      <c r="DE115">
        <f>IF('Month-End'!$DH$35="",$BQ115,N('Month-End'!$DH$35))</f>
        <v/>
      </c>
      <c r="DF115">
        <f>N('Month-End'!$DH$36)</f>
        <v/>
      </c>
      <c r="DG115">
        <f>IF($DD115="","",$DD115+$DE115)</f>
        <v/>
      </c>
      <c r="DH115">
        <f>IF($DG115="","",$DG115-$DF115)</f>
        <v/>
      </c>
      <c r="DI115">
        <f>IF(OR($E115="pre",$D115=1),"",N($AS115)+N($AT115)+N($AU115)+N($AV115)+N($AW115)+N($AX115))</f>
        <v/>
      </c>
      <c r="DJ115">
        <f>IF($DT115=1,$DA115+N($DI115),"")</f>
        <v/>
      </c>
      <c r="DK115">
        <f>IF($DD115="","",$W115-$DD115-$AB115)</f>
        <v/>
      </c>
      <c r="DL115">
        <f>IF(AND($E115="post",$DD115&lt;&gt;"",$B115&lt;TODAY()),1,0)</f>
        <v/>
      </c>
      <c r="DM115">
        <f>IF($DL115=1,COUNTIF($DL115:$DL$183,1),0)</f>
        <v/>
      </c>
      <c r="DN115">
        <f>IF($D115=1,"",IF($E115="pre","History only",IF($DT115=1,IF($DD115="","⚠ Previous month missing",IF($DD115&lt;0,"⚠ Check: spending &lt; 0",IF($E115="open","✓ Done (partial)","✓ Done"))),IF($B115&gt;=TODAY(),"In progress","⚠ Needs balances"))))</f>
        <v/>
      </c>
      <c r="DO115">
        <f>YEAR($A115)</f>
        <v/>
      </c>
      <c r="DP115">
        <f>DATE(YEAR($A115),INT((MONTH($A115)-1)/3)*3+1,1)</f>
        <v/>
      </c>
      <c r="DQ115">
        <f>IF(AND($DT115=1,$DD115&lt;&gt;"",$D115=0),ROW(),0)</f>
        <v/>
      </c>
      <c r="DR115">
        <f>IF(AND($E115&lt;&gt;"pre",$B115&lt;TODAY(),$DT115=0),1,0)</f>
        <v/>
      </c>
      <c r="DS115">
        <f>IF($DJ115="",NA(),$DJ115)</f>
        <v/>
      </c>
      <c r="DT115">
        <f>IF(AND($E115&lt;&gt;"pre",$CL115=0,COUNTIFS(Settings!$F$19:$F$32,"Yes",Settings!$A$19:$A$32,"&lt;&gt;",Settings!$E$19:$E$32,"&lt;&gt;No")&gt;0),1,0)</f>
        <v/>
      </c>
      <c r="DU115">
        <f>IF(AND($B115&lt;TODAY(),$S115&gt;0),1,0)</f>
        <v/>
      </c>
      <c r="DV115">
        <f>IF($DU115=1,COUNTIF($DU115:$DU$183,1),0)</f>
        <v/>
      </c>
      <c r="DW115">
        <f>IF(AND(OR(Settings!$B$19="Card",Settings!$B$19="Loan"),AND('Month-End'!$DH$7&lt;&gt;"",NOT(_xlfn.ISFORMULA('Month-End'!$DH$7)))),IF(N('Month-End'!$DH$7)&lt;0,1,0),0)+IF(AND(OR(Settings!$B$20="Card",Settings!$B$20="Loan"),AND('Month-End'!$DH$8&lt;&gt;"",NOT(_xlfn.ISFORMULA('Month-End'!$DH$8)))),IF(N('Month-End'!$DH$8)&lt;0,1,0),0)+IF(AND(OR(Settings!$B$21="Card",Settings!$B$21="Loan"),AND('Month-End'!$DH$9&lt;&gt;"",NOT(_xlfn.ISFORMULA('Month-End'!$DH$9)))),IF(N('Month-End'!$DH$9)&lt;0,1,0),0)+IF(AND(OR(Settings!$B$22="Card",Settings!$B$22="Loan"),AND('Month-End'!$DH$10&lt;&gt;"",NOT(_xlfn.ISFORMULA('Month-End'!$DH$10)))),IF(N('Month-End'!$DH$10)&lt;0,1,0),0)+IF(AND(OR(Settings!$B$23="Card",Settings!$B$23="Loan"),AND('Month-End'!$DH$11&lt;&gt;"",NOT(_xlfn.ISFORMULA('Month-End'!$DH$11)))),IF(N('Month-End'!$DH$11)&lt;0,1,0),0)+IF(AND(OR(Settings!$B$24="Card",Settings!$B$24="Loan"),AND('Month-End'!$DH$12&lt;&gt;"",NOT(_xlfn.ISFORMULA('Month-End'!$DH$12)))),IF(N('Month-End'!$DH$12)&lt;0,1,0),0)+IF(AND(OR(Settings!$B$25="Card",Settings!$B$25="Loan"),AND('Month-End'!$DH$13&lt;&gt;"",NOT(_xlfn.ISFORMULA('Month-End'!$DH$13)))),IF(N('Month-End'!$DH$13)&lt;0,1,0),0)+IF(AND(OR(Settings!$B$26="Card",Settings!$B$26="Loan"),AND('Month-End'!$DH$14&lt;&gt;"",NOT(_xlfn.ISFORMULA('Month-End'!$DH$14)))),IF(N('Month-End'!$DH$14)&lt;0,1,0),0)+IF(AND(OR(Settings!$B$27="Card",Settings!$B$27="Loan"),AND('Month-End'!$DH$15&lt;&gt;"",NOT(_xlfn.ISFORMULA('Month-End'!$DH$15)))),IF(N('Month-End'!$DH$15)&lt;0,1,0),0)+IF(AND(OR(Settings!$B$28="Card",Settings!$B$28="Loan"),AND('Month-End'!$DH$16&lt;&gt;"",NOT(_xlfn.ISFORMULA('Month-End'!$DH$16)))),IF(N('Month-End'!$DH$16)&lt;0,1,0),0)+IF(AND(OR(Settings!$B$29="Card",Settings!$B$29="Loan"),AND('Month-End'!$DH$17&lt;&gt;"",NOT(_xlfn.ISFORMULA('Month-End'!$DH$17)))),IF(N('Month-End'!$DH$17)&lt;0,1,0),0)+IF(AND(OR(Settings!$B$30="Card",Settings!$B$30="Loan"),AND('Month-End'!$DH$18&lt;&gt;"",NOT(_xlfn.ISFORMULA('Month-End'!$DH$18)))),IF(N('Month-End'!$DH$18)&lt;0,1,0),0)+IF(AND(OR(Settings!$B$31="Card",Settings!$B$31="Loan"),AND('Month-End'!$DH$19&lt;&gt;"",NOT(_xlfn.ISFORMULA('Month-End'!$DH$19)))),IF(N('Month-End'!$DH$19)&lt;0,1,0),0)+IF(AND(OR(Settings!$B$32="Card",Settings!$B$32="Loan"),AND('Month-End'!$DH$20&lt;&gt;"",NOT(_xlfn.ISFORMULA('Month-End'!$DH$20)))),IF(N('Month-End'!$DH$20)&lt;0,1,0),0)</f>
        <v/>
      </c>
      <c r="DX115">
        <f>IF(Settings!$B$36="Retirement",$AY115,0)+IF(Settings!$B$37="Retirement",$AZ115,0)+IF(Settings!$B$38="Retirement",$BA115,0)+IF(Settings!$B$39="Retirement",$BB115,0)+IF(Settings!$B$40="Retirement",$BC115,0)+IF(Settings!$B$41="Retirement",$BD115,0)</f>
        <v/>
      </c>
      <c r="EO115">
        <f>EDATE(DATE(YEAR(TODAY()),MONTH(TODAY()),1),-8)</f>
        <v/>
      </c>
      <c r="ER115">
        <f>IFERROR(IF(INDEX($DJ$6:$DJ$183,MATCH(EO115,$A$6:$A$183,0))="",NA(),INDEX($DJ$6:$DJ$183,MATCH(EO115,$A$6:$A$183,0))),NA())</f>
        <v/>
      </c>
      <c r="ES115">
        <f>TEXT(EO115,"mmm yy")</f>
        <v/>
      </c>
      <c r="ET115">
        <f>IF($E115&lt;&gt;"open",0,IF(AND('Month-End'!$DH$22&lt;&gt;"",NOT(_xlfn.ISFORMULA('Month-End'!$DH$22))),0,IF(OR(Settings!$C$45="",Settings!$D$45=""),0,Settings!$C$45*IF(Settings!$D$45="Weekly",IF(IFERROR(MATCH(Settings!$E$45,$EO$4:$EO$10,0),0)=0,0,IF(MIN(Settings!$B$5,IF(Settings!$G$45="",Settings!$B$5,Settings!$G$45))&lt;MAX($A115,Settings!$F$45),0,INT((MIN(Settings!$B$5,IF(Settings!$G$45="",Settings!$B$5,Settings!$G$45))-MAX($A115,Settings!$F$45)-MOD(IFERROR(MATCH(Settings!$E$45,$EO$4:$EO$10,0),0)-WEEKDAY(MAX($A115,Settings!$F$45)),7))/7)+1)),IF(AND(IF(Settings!$E$45="",$B115,DATE(YEAR($A115),MONTH($A115),MIN(Settings!$E$45,DAY($B115))))&gt;=MAX($A115,Settings!$F$45),IF(Settings!$E$45="",$B115,DATE(YEAR($A115),MONTH($A115),MIN(Settings!$E$45,DAY($B115))))&lt;=MIN(Settings!$B$5,IF(Settings!$G$45="",Settings!$B$5,Settings!$G$45))),1,0)))))</f>
        <v/>
      </c>
      <c r="EU115">
        <f>IF($E115&lt;&gt;"open",0,IF(AND('Month-End'!$DH$23&lt;&gt;"",NOT(_xlfn.ISFORMULA('Month-End'!$DH$23))),0,IF(OR(Settings!$C$46="",Settings!$D$46=""),0,Settings!$C$46*IF(Settings!$D$46="Weekly",IF(IFERROR(MATCH(Settings!$E$46,$EO$4:$EO$10,0),0)=0,0,IF(MIN(Settings!$B$5,IF(Settings!$G$46="",Settings!$B$5,Settings!$G$46))&lt;MAX($A115,Settings!$F$46),0,INT((MIN(Settings!$B$5,IF(Settings!$G$46="",Settings!$B$5,Settings!$G$46))-MAX($A115,Settings!$F$46)-MOD(IFERROR(MATCH(Settings!$E$46,$EO$4:$EO$10,0),0)-WEEKDAY(MAX($A115,Settings!$F$46)),7))/7)+1)),IF(AND(IF(Settings!$E$46="",$B115,DATE(YEAR($A115),MONTH($A115),MIN(Settings!$E$46,DAY($B115))))&gt;=MAX($A115,Settings!$F$46),IF(Settings!$E$46="",$B115,DATE(YEAR($A115),MONTH($A115),MIN(Settings!$E$46,DAY($B115))))&lt;=MIN(Settings!$B$5,IF(Settings!$G$46="",Settings!$B$5,Settings!$G$46))),1,0)))))</f>
        <v/>
      </c>
      <c r="EV115">
        <f>IF($E115&lt;&gt;"open",0,IF(AND('Month-End'!$DH$24&lt;&gt;"",NOT(_xlfn.ISFORMULA('Month-End'!$DH$24))),0,IF(OR(Settings!$C$47="",Settings!$D$47=""),0,Settings!$C$47*IF(Settings!$D$47="Weekly",IF(IFERROR(MATCH(Settings!$E$47,$EO$4:$EO$10,0),0)=0,0,IF(MIN(Settings!$B$5,IF(Settings!$G$47="",Settings!$B$5,Settings!$G$47))&lt;MAX($A115,Settings!$F$47),0,INT((MIN(Settings!$B$5,IF(Settings!$G$47="",Settings!$B$5,Settings!$G$47))-MAX($A115,Settings!$F$47)-MOD(IFERROR(MATCH(Settings!$E$47,$EO$4:$EO$10,0),0)-WEEKDAY(MAX($A115,Settings!$F$47)),7))/7)+1)),IF(AND(IF(Settings!$E$47="",$B115,DATE(YEAR($A115),MONTH($A115),MIN(Settings!$E$47,DAY($B115))))&gt;=MAX($A115,Settings!$F$47),IF(Settings!$E$47="",$B115,DATE(YEAR($A115),MONTH($A115),MIN(Settings!$E$47,DAY($B115))))&lt;=MIN(Settings!$B$5,IF(Settings!$G$47="",Settings!$B$5,Settings!$G$47))),1,0)))))</f>
        <v/>
      </c>
      <c r="EW115">
        <f>IF($E115&lt;&gt;"open",0,IF(AND('Month-End'!$DH$25&lt;&gt;"",NOT(_xlfn.ISFORMULA('Month-End'!$DH$25))),0,IF(OR(Settings!$C$48="",Settings!$D$48=""),0,Settings!$C$48*IF(Settings!$D$48="Weekly",IF(IFERROR(MATCH(Settings!$E$48,$EO$4:$EO$10,0),0)=0,0,IF(MIN(Settings!$B$5,IF(Settings!$G$48="",Settings!$B$5,Settings!$G$48))&lt;MAX($A115,Settings!$F$48),0,INT((MIN(Settings!$B$5,IF(Settings!$G$48="",Settings!$B$5,Settings!$G$48))-MAX($A115,Settings!$F$48)-MOD(IFERROR(MATCH(Settings!$E$48,$EO$4:$EO$10,0),0)-WEEKDAY(MAX($A115,Settings!$F$48)),7))/7)+1)),IF(AND(IF(Settings!$E$48="",$B115,DATE(YEAR($A115),MONTH($A115),MIN(Settings!$E$48,DAY($B115))))&gt;=MAX($A115,Settings!$F$48),IF(Settings!$E$48="",$B115,DATE(YEAR($A115),MONTH($A115),MIN(Settings!$E$48,DAY($B115))))&lt;=MIN(Settings!$B$5,IF(Settings!$G$48="",Settings!$B$5,Settings!$G$48))),1,0)))))</f>
        <v/>
      </c>
      <c r="EX115">
        <f>IF($E115&lt;&gt;"open",0,IF(AND('Month-End'!$DH$26&lt;&gt;"",NOT(_xlfn.ISFORMULA('Month-End'!$DH$26))),0,IF(OR(Settings!$C$49="",Settings!$D$49=""),0,Settings!$C$49*IF(Settings!$D$49="Weekly",IF(IFERROR(MATCH(Settings!$E$49,$EO$4:$EO$10,0),0)=0,0,IF(MIN(Settings!$B$5,IF(Settings!$G$49="",Settings!$B$5,Settings!$G$49))&lt;MAX($A115,Settings!$F$49),0,INT((MIN(Settings!$B$5,IF(Settings!$G$49="",Settings!$B$5,Settings!$G$49))-MAX($A115,Settings!$F$49)-MOD(IFERROR(MATCH(Settings!$E$49,$EO$4:$EO$10,0),0)-WEEKDAY(MAX($A115,Settings!$F$49)),7))/7)+1)),IF(AND(IF(Settings!$E$49="",$B115,DATE(YEAR($A115),MONTH($A115),MIN(Settings!$E$49,DAY($B115))))&gt;=MAX($A115,Settings!$F$49),IF(Settings!$E$49="",$B115,DATE(YEAR($A115),MONTH($A115),MIN(Settings!$E$49,DAY($B115))))&lt;=MIN(Settings!$B$5,IF(Settings!$G$49="",Settings!$B$5,Settings!$G$49))),1,0)))))</f>
        <v/>
      </c>
      <c r="EY115">
        <f>IF($E115&lt;&gt;"open",0,IF(AND('Month-End'!$DH$27&lt;&gt;"",NOT(_xlfn.ISFORMULA('Month-End'!$DH$27))),0,IF(OR(Settings!$C$50="",Settings!$D$50=""),0,Settings!$C$50*IF(Settings!$D$50="Weekly",IF(IFERROR(MATCH(Settings!$E$50,$EO$4:$EO$10,0),0)=0,0,IF(MIN(Settings!$B$5,IF(Settings!$G$50="",Settings!$B$5,Settings!$G$50))&lt;MAX($A115,Settings!$F$50),0,INT((MIN(Settings!$B$5,IF(Settings!$G$50="",Settings!$B$5,Settings!$G$50))-MAX($A115,Settings!$F$50)-MOD(IFERROR(MATCH(Settings!$E$50,$EO$4:$EO$10,0),0)-WEEKDAY(MAX($A115,Settings!$F$50)),7))/7)+1)),IF(AND(IF(Settings!$E$50="",$B115,DATE(YEAR($A115),MONTH($A115),MIN(Settings!$E$50,DAY($B115))))&gt;=MAX($A115,Settings!$F$50),IF(Settings!$E$50="",$B115,DATE(YEAR($A115),MONTH($A115),MIN(Settings!$E$50,DAY($B115))))&lt;=MIN(Settings!$B$5,IF(Settings!$G$50="",Settings!$B$5,Settings!$G$50))),1,0)))))</f>
        <v/>
      </c>
      <c r="EZ115">
        <f>IF($E115&lt;&gt;"open",0,IF(AND('Month-End'!$DH$28&lt;&gt;"",NOT(_xlfn.ISFORMULA('Month-End'!$DH$28))),0,IF(OR(Settings!$C$51="",Settings!$D$51=""),0,Settings!$C$51*IF(Settings!$D$51="Weekly",IF(IFERROR(MATCH(Settings!$E$51,$EO$4:$EO$10,0),0)=0,0,IF(MIN(Settings!$B$5,IF(Settings!$G$51="",Settings!$B$5,Settings!$G$51))&lt;MAX($A115,Settings!$F$51),0,INT((MIN(Settings!$B$5,IF(Settings!$G$51="",Settings!$B$5,Settings!$G$51))-MAX($A115,Settings!$F$51)-MOD(IFERROR(MATCH(Settings!$E$51,$EO$4:$EO$10,0),0)-WEEKDAY(MAX($A115,Settings!$F$51)),7))/7)+1)),IF(AND(IF(Settings!$E$51="",$B115,DATE(YEAR($A115),MONTH($A115),MIN(Settings!$E$51,DAY($B115))))&gt;=MAX($A115,Settings!$F$51),IF(Settings!$E$51="",$B115,DATE(YEAR($A115),MONTH($A115),MIN(Settings!$E$51,DAY($B115))))&lt;=MIN(Settings!$B$5,IF(Settings!$G$51="",Settings!$B$5,Settings!$G$51))),1,0)))))</f>
        <v/>
      </c>
      <c r="FA115">
        <f>IF($E115&lt;&gt;"open",0,IF(AND('Month-End'!$DH$29&lt;&gt;"",NOT(_xlfn.ISFORMULA('Month-End'!$DH$29))),0,IF(OR(Settings!$C$52="",Settings!$D$52=""),0,Settings!$C$52*IF(Settings!$D$52="Weekly",IF(IFERROR(MATCH(Settings!$E$52,$EO$4:$EO$10,0),0)=0,0,IF(MIN(Settings!$B$5,IF(Settings!$G$52="",Settings!$B$5,Settings!$G$52))&lt;MAX($A115,Settings!$F$52),0,INT((MIN(Settings!$B$5,IF(Settings!$G$52="",Settings!$B$5,Settings!$G$52))-MAX($A115,Settings!$F$52)-MOD(IFERROR(MATCH(Settings!$E$52,$EO$4:$EO$10,0),0)-WEEKDAY(MAX($A115,Settings!$F$52)),7))/7)+1)),IF(AND(IF(Settings!$E$52="",$B115,DATE(YEAR($A115),MONTH($A115),MIN(Settings!$E$52,DAY($B115))))&gt;=MAX($A115,Settings!$F$52),IF(Settings!$E$52="",$B115,DATE(YEAR($A115),MONTH($A115),MIN(Settings!$E$52,DAY($B115))))&lt;=MIN(Settings!$B$5,IF(Settings!$G$52="",Settings!$B$5,Settings!$G$52))),1,0)))))</f>
        <v/>
      </c>
      <c r="FB115">
        <f>IF($E115&lt;&gt;"open",0,IF(AND('Month-End'!$DH$30&lt;&gt;"",NOT(_xlfn.ISFORMULA('Month-End'!$DH$30))),0,IF(OR(Settings!$C$53="",Settings!$D$53=""),0,Settings!$C$53*IF(Settings!$D$53="Weekly",IF(IFERROR(MATCH(Settings!$E$53,$EO$4:$EO$10,0),0)=0,0,IF(MIN(Settings!$B$5,IF(Settings!$G$53="",Settings!$B$5,Settings!$G$53))&lt;MAX($A115,Settings!$F$53),0,INT((MIN(Settings!$B$5,IF(Settings!$G$53="",Settings!$B$5,Settings!$G$53))-MAX($A115,Settings!$F$53)-MOD(IFERROR(MATCH(Settings!$E$53,$EO$4:$EO$10,0),0)-WEEKDAY(MAX($A115,Settings!$F$53)),7))/7)+1)),IF(AND(IF(Settings!$E$53="",$B115,DATE(YEAR($A115),MONTH($A115),MIN(Settings!$E$53,DAY($B115))))&gt;=MAX($A115,Settings!$F$53),IF(Settings!$E$53="",$B115,DATE(YEAR($A115),MONTH($A115),MIN(Settings!$E$53,DAY($B115))))&lt;=MIN(Settings!$B$5,IF(Settings!$G$53="",Settings!$B$5,Settings!$G$53))),1,0)))))</f>
        <v/>
      </c>
      <c r="FC115">
        <f>IF($E115&lt;&gt;"open",0,IF(AND('Month-End'!$DH$31&lt;&gt;"",NOT(_xlfn.ISFORMULA('Month-End'!$DH$31))),0,IF(OR(Settings!$C$54="",Settings!$D$54=""),0,Settings!$C$54*IF(Settings!$D$54="Weekly",IF(IFERROR(MATCH(Settings!$E$54,$EO$4:$EO$10,0),0)=0,0,IF(MIN(Settings!$B$5,IF(Settings!$G$54="",Settings!$B$5,Settings!$G$54))&lt;MAX($A115,Settings!$F$54),0,INT((MIN(Settings!$B$5,IF(Settings!$G$54="",Settings!$B$5,Settings!$G$54))-MAX($A115,Settings!$F$54)-MOD(IFERROR(MATCH(Settings!$E$54,$EO$4:$EO$10,0),0)-WEEKDAY(MAX($A115,Settings!$F$54)),7))/7)+1)),IF(AND(IF(Settings!$E$54="",$B115,DATE(YEAR($A115),MONTH($A115),MIN(Settings!$E$54,DAY($B115))))&gt;=MAX($A115,Settings!$F$54),IF(Settings!$E$54="",$B115,DATE(YEAR($A115),MONTH($A115),MIN(Settings!$E$54,DAY($B115))))&lt;=MIN(Settings!$B$5,IF(Settings!$G$54="",Settings!$B$5,Settings!$G$54))),1,0)))))</f>
        <v/>
      </c>
      <c r="FD115">
        <f>IF($E115&lt;&gt;"open",0,IF(AND('Month-End'!$DH$32&lt;&gt;"",NOT(_xlfn.ISFORMULA('Month-End'!$DH$32))),0,IF(OR(Settings!$C$55="",Settings!$D$55=""),0,Settings!$C$55*IF(Settings!$D$55="Weekly",IF(IFERROR(MATCH(Settings!$E$55,$EO$4:$EO$10,0),0)=0,0,IF(MIN(Settings!$B$5,IF(Settings!$G$55="",Settings!$B$5,Settings!$G$55))&lt;MAX($A115,Settings!$F$55),0,INT((MIN(Settings!$B$5,IF(Settings!$G$55="",Settings!$B$5,Settings!$G$55))-MAX($A115,Settings!$F$55)-MOD(IFERROR(MATCH(Settings!$E$55,$EO$4:$EO$10,0),0)-WEEKDAY(MAX($A115,Settings!$F$55)),7))/7)+1)),IF(AND(IF(Settings!$E$55="",$B115,DATE(YEAR($A115),MONTH($A115),MIN(Settings!$E$55,DAY($B115))))&gt;=MAX($A115,Settings!$F$55),IF(Settings!$E$55="",$B115,DATE(YEAR($A115),MONTH($A115),MIN(Settings!$E$55,DAY($B115))))&lt;=MIN(Settings!$B$5,IF(Settings!$G$55="",Settings!$B$5,Settings!$G$55))),1,0)))))</f>
        <v/>
      </c>
      <c r="FE115">
        <f>IF($E115&lt;&gt;"open",0,IF(AND('Month-End'!$DH$33&lt;&gt;"",NOT(_xlfn.ISFORMULA('Month-End'!$DH$33))),0,IF(OR(Settings!$C$56="",Settings!$D$56=""),0,Settings!$C$56*IF(Settings!$D$56="Weekly",IF(IFERROR(MATCH(Settings!$E$56,$EO$4:$EO$10,0),0)=0,0,IF(MIN(Settings!$B$5,IF(Settings!$G$56="",Settings!$B$5,Settings!$G$56))&lt;MAX($A115,Settings!$F$56),0,INT((MIN(Settings!$B$5,IF(Settings!$G$56="",Settings!$B$5,Settings!$G$56))-MAX($A115,Settings!$F$56)-MOD(IFERROR(MATCH(Settings!$E$56,$EO$4:$EO$10,0),0)-WEEKDAY(MAX($A115,Settings!$F$56)),7))/7)+1)),IF(AND(IF(Settings!$E$56="",$B115,DATE(YEAR($A115),MONTH($A115),MIN(Settings!$E$56,DAY($B115))))&gt;=MAX($A115,Settings!$F$56),IF(Settings!$E$56="",$B115,DATE(YEAR($A115),MONTH($A115),MIN(Settings!$E$56,DAY($B115))))&lt;=MIN(Settings!$B$5,IF(Settings!$G$56="",Settings!$B$5,Settings!$G$56))),1,0)))))</f>
        <v/>
      </c>
      <c r="FF115">
        <f>IF(Settings!$I$45="Yes",$G115,0)+IF(Settings!$I$46="Yes",$H115,0)+IF(Settings!$I$47="Yes",$I115,0)+IF(Settings!$I$48="Yes",$J115,0)+IF(Settings!$I$49="Yes",$K115,0)+IF(Settings!$I$50="Yes",$L115,0)+IF(Settings!$I$51="Yes",$M115,0)+IF(Settings!$I$52="Yes",$N115,0)+IF(Settings!$I$53="Yes",$O115,0)+IF(Settings!$I$54="Yes",$P115,0)+IF(Settings!$I$55="Yes",$Q115,0)+IF(Settings!$I$56="Yes",$R115,0)</f>
        <v/>
      </c>
      <c r="FG115">
        <f>IF(AND(Settings!$I$45="Yes",Settings!$J$45="No"),$G115,0)+IF(AND(Settings!$I$46="Yes",Settings!$J$46="No"),$H115,0)+IF(AND(Settings!$I$47="Yes",Settings!$J$47="No"),$I115,0)+IF(AND(Settings!$I$48="Yes",Settings!$J$48="No"),$J115,0)+IF(AND(Settings!$I$49="Yes",Settings!$J$49="No"),$K115,0)+IF(AND(Settings!$I$50="Yes",Settings!$J$50="No"),$L115,0)+IF(AND(Settings!$I$51="Yes",Settings!$J$51="No"),$M115,0)+IF(AND(Settings!$I$52="Yes",Settings!$J$52="No"),$N115,0)+IF(AND(Settings!$I$53="Yes",Settings!$J$53="No"),$O115,0)+IF(AND(Settings!$I$54="Yes",Settings!$J$54="No"),$P115,0)+IF(AND(Settings!$I$55="Yes",Settings!$J$55="No"),$Q115,0)+IF(AND(Settings!$I$56="Yes",Settings!$J$56="No"),$R115,0)</f>
        <v/>
      </c>
      <c r="FH115">
        <f>SUMIFS(Giving!$B$7:$B$2006,Giving!$A$7:$A$2006,"&gt;="&amp;$A115,Giving!$A$7:$A$2006,"&lt;="&amp;$B115,Giving!$G$7:$G$2006,"Yes")+IF(OR(OR(Settings!$B$60="",Settings!$F$60="No"),Settings!$H$60&lt;&gt;"Yes"),0,Settings!$B$60*IF(AND(IF(Settings!$C$60="",$B115,DATE(YEAR($A115),MONTH($A115),MIN(Settings!$C$60,DAY($B115))))&gt;=MAX($A115,Settings!$D$60),IF(Settings!$C$60="",$B115,DATE(YEAR($A115),MONTH($A115),MIN(Settings!$C$60,DAY($B115))))&lt;=MIN($C115,IF(Settings!$E$60="",$C115,Settings!$E$60))),1,0))+IF(OR(OR(Settings!$B$61="",Settings!$F$61="No"),Settings!$H$61&lt;&gt;"Yes"),0,Settings!$B$61*IF(AND(IF(Settings!$C$61="",$B115,DATE(YEAR($A115),MONTH($A115),MIN(Settings!$C$61,DAY($B115))))&gt;=MAX($A115,Settings!$D$61),IF(Settings!$C$61="",$B115,DATE(YEAR($A115),MONTH($A115),MIN(Settings!$C$61,DAY($B115))))&lt;=MIN($C115,IF(Settings!$E$61="",$C115,Settings!$E$61))),1,0))+IF(OR(OR(Settings!$B$62="",Settings!$F$62="No"),Settings!$H$62&lt;&gt;"Yes"),0,Settings!$B$62*IF(AND(IF(Settings!$C$62="",$B115,DATE(YEAR($A115),MONTH($A115),MIN(Settings!$C$62,DAY($B115))))&gt;=MAX($A115,Settings!$D$62),IF(Settings!$C$62="",$B115,DATE(YEAR($A115),MONTH($A115),MIN(Settings!$C$62,DAY($B115))))&lt;=MIN($C115,IF(Settings!$E$62="",$C115,Settings!$E$62))),1,0))+IF(OR(OR(Settings!$B$63="",Settings!$F$63="No"),Settings!$H$63&lt;&gt;"Yes"),0,Settings!$B$63*IF(AND(IF(Settings!$C$63="",$B115,DATE(YEAR($A115),MONTH($A115),MIN(Settings!$C$63,DAY($B115))))&gt;=MAX($A115,Settings!$D$63),IF(Settings!$C$63="",$B115,DATE(YEAR($A115),MONTH($A115),MIN(Settings!$C$63,DAY($B115))))&lt;=MIN($C115,IF(Settings!$E$63="",$C115,Settings!$E$63))),1,0))+IF(OR(OR(Settings!$B$64="",Settings!$F$64="No"),Settings!$H$64&lt;&gt;"Yes"),0,Settings!$B$64*IF(AND(IF(Settings!$C$64="",$B115,DATE(YEAR($A115),MONTH($A115),MIN(Settings!$C$64,DAY($B115))))&gt;=MAX($A115,Settings!$D$64),IF(Settings!$C$64="",$B115,DATE(YEAR($A115),MONTH($A115),MIN(Settings!$C$64,DAY($B115))))&lt;=MIN($C115,IF(Settings!$E$64="",$C115,Settings!$E$64))),1,0))+IF(OR(OR(Settings!$B$65="",Settings!$F$65="No"),Settings!$H$65&lt;&gt;"Yes"),0,Settings!$B$65*IF(AND(IF(Settings!$C$65="",$B115,DATE(YEAR($A115),MONTH($A115),MIN(Settings!$C$65,DAY($B115))))&gt;=MAX($A115,Settings!$D$65),IF(Settings!$C$65="",$B115,DATE(YEAR($A115),MONTH($A115),MIN(Settings!$C$65,DAY($B115))))&lt;=MIN($C115,IF(Settings!$E$65="",$C115,Settings!$E$65))),1,0))</f>
        <v/>
      </c>
      <c r="FI115">
        <f>IF($DT115=1,IF(OR(Settings!$B$19="Card",Settings!$B$19="Loan"),N($AE115),0)+IF(OR(Settings!$B$20="Card",Settings!$B$20="Loan"),N($AF115),0)+IF(OR(Settings!$B$21="Card",Settings!$B$21="Loan"),N($AG115),0)+IF(OR(Settings!$B$22="Card",Settings!$B$22="Loan"),N($AH115),0)+IF(OR(Settings!$B$23="Card",Settings!$B$23="Loan"),N($AI115),0)+IF(OR(Settings!$B$24="Card",Settings!$B$24="Loan"),N($AJ115),0)+IF(OR(Settings!$B$25="Card",Settings!$B$25="Loan"),N($AK115),0)+IF(OR(Settings!$B$26="Card",Settings!$B$26="Loan"),N($AL115),0)+IF(OR(Settings!$B$27="Card",Settings!$B$27="Loan"),N($AM115),0)+IF(OR(Settings!$B$28="Card",Settings!$B$28="Loan"),N($AN115),0)+IF(OR(Settings!$B$29="Card",Settings!$B$29="Loan"),N($AO115),0)+IF(OR(Settings!$B$30="Card",Settings!$B$30="Loan"),N($AP115),0)+IF(OR(Settings!$B$31="Card",Settings!$B$31="Loan"),N($AQ115),0)+IF(OR(Settings!$B$32="Card",Settings!$B$32="Loan"),N($AR115),0),"")</f>
        <v/>
      </c>
      <c r="FJ115">
        <f>IF($E115="open",$EB$65,IF($E115="post",IF($E114="pre",$EB$65,$FI114),""))</f>
        <v/>
      </c>
      <c r="FK115">
        <f>IF(AND($DT115=1,$DC115=1),IF(ROUND($FI115-$FJ115,2)&gt;0,1,0),0)</f>
        <v/>
      </c>
      <c r="FL115">
        <f>IF($FK115=1,$FL114+1,0)</f>
        <v/>
      </c>
    </row>
    <row r="116">
      <c r="A116">
        <f>'Month-End'!$DI$4</f>
        <v/>
      </c>
      <c r="B116">
        <f>EOMONTH($A116,0)</f>
        <v/>
      </c>
      <c r="C116">
        <f>MIN($B116,TODAY())</f>
        <v/>
      </c>
      <c r="D116">
        <f>IF($A116&gt;TODAY(),1,0)</f>
        <v/>
      </c>
      <c r="E116">
        <f>IF($B116&lt;=Settings!$B$5,"pre",IF($A116&lt;=Settings!$B$5,"open","post"))</f>
        <v/>
      </c>
      <c r="G116">
        <f>IF('Month-End'!$DI$22="",$BE116,N('Month-End'!$DI$22))</f>
        <v/>
      </c>
      <c r="H116">
        <f>IF('Month-End'!$DI$23="",$BF116,N('Month-End'!$DI$23))</f>
        <v/>
      </c>
      <c r="I116">
        <f>IF('Month-End'!$DI$24="",$BG116,N('Month-End'!$DI$24))</f>
        <v/>
      </c>
      <c r="J116">
        <f>IF('Month-End'!$DI$25="",$BH116,N('Month-End'!$DI$25))</f>
        <v/>
      </c>
      <c r="K116">
        <f>IF('Month-End'!$DI$26="",$BI116,N('Month-End'!$DI$26))</f>
        <v/>
      </c>
      <c r="L116">
        <f>IF('Month-End'!$DI$27="",$BJ116,N('Month-End'!$DI$27))</f>
        <v/>
      </c>
      <c r="M116">
        <f>IF('Month-End'!$DI$28="",$BK116,N('Month-End'!$DI$28))</f>
        <v/>
      </c>
      <c r="N116">
        <f>IF('Month-End'!$DI$29="",$BL116,N('Month-End'!$DI$29))</f>
        <v/>
      </c>
      <c r="O116">
        <f>IF('Month-End'!$DI$30="",$BM116,N('Month-End'!$DI$30))</f>
        <v/>
      </c>
      <c r="P116">
        <f>IF('Month-End'!$DI$31="",$BN116,N('Month-End'!$DI$31))</f>
        <v/>
      </c>
      <c r="Q116">
        <f>IF('Month-End'!$DI$32="",$BO116,N('Month-End'!$DI$32))</f>
        <v/>
      </c>
      <c r="R116">
        <f>IF('Month-End'!$DI$33="",$BP116,N('Month-End'!$DI$33))</f>
        <v/>
      </c>
      <c r="S116">
        <f>$G116+$H116+$I116+$J116+$K116+$L116+$M116+$N116+$O116+$P116+$Q116+$R116</f>
        <v/>
      </c>
      <c r="T116">
        <f>IF($B116&lt;Settings!$B$6,0,IF(Settings!$B$45="Yes",$G116,0)+IF(Settings!$B$46="Yes",$H116,0)+IF(Settings!$B$47="Yes",$I116,0)+IF(Settings!$B$48="Yes",$J116,0)+IF(Settings!$B$49="Yes",$K116,0)+IF(Settings!$B$50="Yes",$L116,0)+IF(Settings!$B$51="Yes",$M116,0)+IF(Settings!$B$52="Yes",$N116,0)+IF(Settings!$B$53="Yes",$O116,0)+IF(Settings!$B$54="Yes",$P116,0)+IF(Settings!$B$55="Yes",$Q116,0)+IF(Settings!$B$56="Yes",$R116,0))</f>
        <v/>
      </c>
      <c r="U116">
        <f>IF(Settings!$B$45="Not Sure",$G116,0)+IF(Settings!$B$46="Not Sure",$H116,0)+IF(Settings!$B$47="Not Sure",$I116,0)+IF(Settings!$B$48="Not Sure",$J116,0)+IF(Settings!$B$49="Not Sure",$K116,0)+IF(Settings!$B$50="Not Sure",$L116,0)+IF(Settings!$B$51="Not Sure",$M116,0)+IF(Settings!$B$52="Not Sure",$N116,0)+IF(Settings!$B$53="Not Sure",$O116,0)+IF(Settings!$B$54="Not Sure",$P116,0)+IF(Settings!$B$55="Not Sure",$Q116,0)+IF(Settings!$B$56="Not Sure",$R116,0)</f>
        <v/>
      </c>
      <c r="V116">
        <f>IF($E116="open",SUM($ET116:$FE116)+N(Settings!$B$13),0)</f>
        <v/>
      </c>
      <c r="W116">
        <f>IF($E116="post",$S116,IF($E116="open",$S116-$V116,0))</f>
        <v/>
      </c>
      <c r="X116">
        <f>SUMIFS(Giving!$B$7:$B$2006,Giving!$A$7:$A$2006,"&gt;="&amp;$A116,Giving!$A$7:$A$2006,"&lt;="&amp;$B116,Giving!$E$7:$E$2006,"&lt;&gt;No")</f>
        <v/>
      </c>
      <c r="Y116">
        <f>SUMIFS(Giving!$B$7:$B$2006,Giving!$A$7:$A$2006,"&gt;="&amp;$A116,Giving!$A$7:$A$2006,"&lt;="&amp;$B116,Giving!$E$7:$E$2006,"No")</f>
        <v/>
      </c>
      <c r="Z116">
        <f>IF(OR(Settings!$B$60="",Settings!$F$60="No"),0,Settings!$B$60*IF(AND(IF(Settings!$C$60="",$B116,DATE(YEAR($A116),MONTH($A116),MIN(Settings!$C$60,DAY($B116))))&gt;=MAX($A116,Settings!$D$60),IF(Settings!$C$60="",$B116,DATE(YEAR($A116),MONTH($A116),MIN(Settings!$C$60,DAY($B116))))&lt;=MIN($C116,IF(Settings!$E$60="",$C116,Settings!$E$60))),1,0))+IF(OR(Settings!$B$61="",Settings!$F$61="No"),0,Settings!$B$61*IF(AND(IF(Settings!$C$61="",$B116,DATE(YEAR($A116),MONTH($A116),MIN(Settings!$C$61,DAY($B116))))&gt;=MAX($A116,Settings!$D$61),IF(Settings!$C$61="",$B116,DATE(YEAR($A116),MONTH($A116),MIN(Settings!$C$61,DAY($B116))))&lt;=MIN($C116,IF(Settings!$E$61="",$C116,Settings!$E$61))),1,0))+IF(OR(Settings!$B$62="",Settings!$F$62="No"),0,Settings!$B$62*IF(AND(IF(Settings!$C$62="",$B116,DATE(YEAR($A116),MONTH($A116),MIN(Settings!$C$62,DAY($B116))))&gt;=MAX($A116,Settings!$D$62),IF(Settings!$C$62="",$B116,DATE(YEAR($A116),MONTH($A116),MIN(Settings!$C$62,DAY($B116))))&lt;=MIN($C116,IF(Settings!$E$62="",$C116,Settings!$E$62))),1,0))+IF(OR(Settings!$B$63="",Settings!$F$63="No"),0,Settings!$B$63*IF(AND(IF(Settings!$C$63="",$B116,DATE(YEAR($A116),MONTH($A116),MIN(Settings!$C$63,DAY($B116))))&gt;=MAX($A116,Settings!$D$63),IF(Settings!$C$63="",$B116,DATE(YEAR($A116),MONTH($A116),MIN(Settings!$C$63,DAY($B116))))&lt;=MIN($C116,IF(Settings!$E$63="",$C116,Settings!$E$63))),1,0))+IF(OR(Settings!$B$64="",Settings!$F$64="No"),0,Settings!$B$64*IF(AND(IF(Settings!$C$64="",$B116,DATE(YEAR($A116),MONTH($A116),MIN(Settings!$C$64,DAY($B116))))&gt;=MAX($A116,Settings!$D$64),IF(Settings!$C$64="",$B116,DATE(YEAR($A116),MONTH($A116),MIN(Settings!$C$64,DAY($B116))))&lt;=MIN($C116,IF(Settings!$E$64="",$C116,Settings!$E$64))),1,0))+IF(OR(Settings!$B$65="",Settings!$F$65="No"),0,Settings!$B$65*IF(AND(IF(Settings!$C$65="",$B116,DATE(YEAR($A116),MONTH($A116),MIN(Settings!$C$65,DAY($B116))))&gt;=MAX($A116,Settings!$D$65),IF(Settings!$C$65="",$B116,DATE(YEAR($A116),MONTH($A116),MIN(Settings!$C$65,DAY($B116))))&lt;=MIN($C116,IF(Settings!$E$65="",$C116,Settings!$E$65))),1,0))</f>
        <v/>
      </c>
      <c r="AA116">
        <f>$X116+$Z116</f>
        <v/>
      </c>
      <c r="AB116">
        <f>IF($E116="post",$AA116,IF($E116="open",SUMIFS(Giving!$B$7:$B$2006,Giving!$A$7:$A$2006,"&gt;"&amp;Settings!$B$5,Giving!$A$7:$A$2006,"&lt;="&amp;$B116,Giving!$E$7:$E$2006,"&lt;&gt;No")+IF(OR(Settings!$B$60="",Settings!$F$60="No"),0,Settings!$B$60*IF(AND(IF(Settings!$C$60="",$B116,DATE(YEAR($A116),MONTH($A116),MIN(Settings!$C$60,DAY($B116))))&gt;=MAX($A116,Settings!$D$60,Settings!$B$5+1),IF(Settings!$C$60="",$B116,DATE(YEAR($A116),MONTH($A116),MIN(Settings!$C$60,DAY($B116))))&lt;=MIN($C116,IF(Settings!$E$60="",$C116,Settings!$E$60))),1,0))+IF(OR(Settings!$B$61="",Settings!$F$61="No"),0,Settings!$B$61*IF(AND(IF(Settings!$C$61="",$B116,DATE(YEAR($A116),MONTH($A116),MIN(Settings!$C$61,DAY($B116))))&gt;=MAX($A116,Settings!$D$61,Settings!$B$5+1),IF(Settings!$C$61="",$B116,DATE(YEAR($A116),MONTH($A116),MIN(Settings!$C$61,DAY($B116))))&lt;=MIN($C116,IF(Settings!$E$61="",$C116,Settings!$E$61))),1,0))+IF(OR(Settings!$B$62="",Settings!$F$62="No"),0,Settings!$B$62*IF(AND(IF(Settings!$C$62="",$B116,DATE(YEAR($A116),MONTH($A116),MIN(Settings!$C$62,DAY($B116))))&gt;=MAX($A116,Settings!$D$62,Settings!$B$5+1),IF(Settings!$C$62="",$B116,DATE(YEAR($A116),MONTH($A116),MIN(Settings!$C$62,DAY($B116))))&lt;=MIN($C116,IF(Settings!$E$62="",$C116,Settings!$E$62))),1,0))+IF(OR(Settings!$B$63="",Settings!$F$63="No"),0,Settings!$B$63*IF(AND(IF(Settings!$C$63="",$B116,DATE(YEAR($A116),MONTH($A116),MIN(Settings!$C$63,DAY($B116))))&gt;=MAX($A116,Settings!$D$63,Settings!$B$5+1),IF(Settings!$C$63="",$B116,DATE(YEAR($A116),MONTH($A116),MIN(Settings!$C$63,DAY($B116))))&lt;=MIN($C116,IF(Settings!$E$63="",$C116,Settings!$E$63))),1,0))+IF(OR(Settings!$B$64="",Settings!$F$64="No"),0,Settings!$B$64*IF(AND(IF(Settings!$C$64="",$B116,DATE(YEAR($A116),MONTH($A116),MIN(Settings!$C$64,DAY($B116))))&gt;=MAX($A116,Settings!$D$64,Settings!$B$5+1),IF(Settings!$C$64="",$B116,DATE(YEAR($A116),MONTH($A116),MIN(Settings!$C$64,DAY($B116))))&lt;=MIN($C116,IF(Settings!$E$64="",$C116,Settings!$E$64))),1,0))+IF(OR(Settings!$B$65="",Settings!$F$65="No"),0,Settings!$B$65*IF(AND(IF(Settings!$C$65="",$B116,DATE(YEAR($A116),MONTH($A116),MIN(Settings!$C$65,DAY($B116))))&gt;=MAX($A116,Settings!$D$65,Settings!$B$5+1),IF(Settings!$C$65="",$B116,DATE(YEAR($A116),MONTH($A116),MIN(Settings!$C$65,DAY($B116))))&lt;=MIN($C116,IF(Settings!$E$65="",$C116,Settings!$E$65))),1,0)),0))</f>
        <v/>
      </c>
      <c r="AC116">
        <f>$AY116+$AZ116+$BA116+$BB116+$BC116+$BD116</f>
        <v/>
      </c>
      <c r="AD116">
        <f>$AC116</f>
        <v/>
      </c>
      <c r="AE116">
        <f>IF(OR(Settings!$A$19="",$E116="pre"),"",IF(AND('Month-End'!$DI$7&lt;&gt;"",NOT(_xlfn.ISFORMULA('Month-End'!$DI$7))),N('Month-End'!$DI$7),IF(OR($E116="open",$E115="pre"),N(Settings!$C$19),N($AE115))))</f>
        <v/>
      </c>
      <c r="AF116">
        <f>IF(OR(Settings!$A$20="",$E116="pre"),"",IF(AND('Month-End'!$DI$8&lt;&gt;"",NOT(_xlfn.ISFORMULA('Month-End'!$DI$8))),N('Month-End'!$DI$8),IF(OR($E116="open",$E115="pre"),N(Settings!$C$20),N($AF115))))</f>
        <v/>
      </c>
      <c r="AG116">
        <f>IF(OR(Settings!$A$21="",$E116="pre"),"",IF(AND('Month-End'!$DI$9&lt;&gt;"",NOT(_xlfn.ISFORMULA('Month-End'!$DI$9))),N('Month-End'!$DI$9),IF(OR($E116="open",$E115="pre"),N(Settings!$C$21),N($AG115))))</f>
        <v/>
      </c>
      <c r="AH116">
        <f>IF(OR(Settings!$A$22="",$E116="pre"),"",IF(AND('Month-End'!$DI$10&lt;&gt;"",NOT(_xlfn.ISFORMULA('Month-End'!$DI$10))),N('Month-End'!$DI$10),IF(OR($E116="open",$E115="pre"),N(Settings!$C$22),N($AH115))))</f>
        <v/>
      </c>
      <c r="AI116">
        <f>IF(OR(Settings!$A$23="",$E116="pre"),"",IF(AND('Month-End'!$DI$11&lt;&gt;"",NOT(_xlfn.ISFORMULA('Month-End'!$DI$11))),N('Month-End'!$DI$11),IF(OR($E116="open",$E115="pre"),N(Settings!$C$23),N($AI115))))</f>
        <v/>
      </c>
      <c r="AJ116">
        <f>IF(OR(Settings!$A$24="",$E116="pre"),"",IF(AND('Month-End'!$DI$12&lt;&gt;"",NOT(_xlfn.ISFORMULA('Month-End'!$DI$12))),N('Month-End'!$DI$12),IF(OR($E116="open",$E115="pre"),N(Settings!$C$24),N($AJ115))))</f>
        <v/>
      </c>
      <c r="AK116">
        <f>IF(OR(Settings!$A$25="",$E116="pre"),"",IF(AND('Month-End'!$DI$13&lt;&gt;"",NOT(_xlfn.ISFORMULA('Month-End'!$DI$13))),N('Month-End'!$DI$13),IF(OR($E116="open",$E115="pre"),N(Settings!$C$25),N($AK115))))</f>
        <v/>
      </c>
      <c r="AL116">
        <f>IF(OR(Settings!$A$26="",$E116="pre"),"",IF(AND('Month-End'!$DI$14&lt;&gt;"",NOT(_xlfn.ISFORMULA('Month-End'!$DI$14))),N('Month-End'!$DI$14),IF(OR($E116="open",$E115="pre"),N(Settings!$C$26),N($AL115))))</f>
        <v/>
      </c>
      <c r="AM116">
        <f>IF(OR(Settings!$A$27="",$E116="pre"),"",IF(AND('Month-End'!$DI$15&lt;&gt;"",NOT(_xlfn.ISFORMULA('Month-End'!$DI$15))),N('Month-End'!$DI$15),IF(OR($E116="open",$E115="pre"),N(Settings!$C$27),N($AM115))))</f>
        <v/>
      </c>
      <c r="AN116">
        <f>IF(OR(Settings!$A$28="",$E116="pre"),"",IF(AND('Month-End'!$DI$16&lt;&gt;"",NOT(_xlfn.ISFORMULA('Month-End'!$DI$16))),N('Month-End'!$DI$16),IF(OR($E116="open",$E115="pre"),N(Settings!$C$28),N($AN115))))</f>
        <v/>
      </c>
      <c r="AO116">
        <f>IF(OR(Settings!$A$29="",$E116="pre"),"",IF(AND('Month-End'!$DI$17&lt;&gt;"",NOT(_xlfn.ISFORMULA('Month-End'!$DI$17))),N('Month-End'!$DI$17),IF(OR($E116="open",$E115="pre"),N(Settings!$C$29),N($AO115))))</f>
        <v/>
      </c>
      <c r="AP116">
        <f>IF(OR(Settings!$A$30="",$E116="pre"),"",IF(AND('Month-End'!$DI$18&lt;&gt;"",NOT(_xlfn.ISFORMULA('Month-End'!$DI$18))),N('Month-End'!$DI$18),IF(OR($E116="open",$E115="pre"),N(Settings!$C$30),N($AP115))))</f>
        <v/>
      </c>
      <c r="AQ116">
        <f>IF(OR(Settings!$A$31="",$E116="pre"),"",IF(AND('Month-End'!$DI$19&lt;&gt;"",NOT(_xlfn.ISFORMULA('Month-End'!$DI$19))),N('Month-End'!$DI$19),IF(OR($E116="open",$E115="pre"),N(Settings!$C$31),N($AQ115))))</f>
        <v/>
      </c>
      <c r="AR116">
        <f>IF(OR(Settings!$A$32="",$E116="pre"),"",IF(AND('Month-End'!$DI$20&lt;&gt;"",NOT(_xlfn.ISFORMULA('Month-End'!$DI$20))),N('Month-End'!$DI$20),IF(OR($E116="open",$E115="pre"),N(Settings!$C$32),N($AR115))))</f>
        <v/>
      </c>
      <c r="AS116">
        <f>IF(OR(Settings!$A$36="",$E116="pre"),"",IF(AND('Month-End'!$DI$38&lt;&gt;"",NOT(_xlfn.ISFORMULA('Month-End'!$DI$38))),N('Month-End'!$DI$38),IF(OR($E116="open",$E115="pre"),N(Settings!$C$36),N($AS115))+$AY116))</f>
        <v/>
      </c>
      <c r="AT116">
        <f>IF(OR(Settings!$A$37="",$E116="pre"),"",IF(AND('Month-End'!$DI$39&lt;&gt;"",NOT(_xlfn.ISFORMULA('Month-End'!$DI$39))),N('Month-End'!$DI$39),IF(OR($E116="open",$E115="pre"),N(Settings!$C$37),N($AT115))+$AZ116))</f>
        <v/>
      </c>
      <c r="AU116">
        <f>IF(OR(Settings!$A$38="",$E116="pre"),"",IF(AND('Month-End'!$DI$40&lt;&gt;"",NOT(_xlfn.ISFORMULA('Month-End'!$DI$40))),N('Month-End'!$DI$40),IF(OR($E116="open",$E115="pre"),N(Settings!$C$38),N($AU115))+$BA116))</f>
        <v/>
      </c>
      <c r="AV116">
        <f>IF(OR(Settings!$A$39="",$E116="pre"),"",IF(AND('Month-End'!$DI$41&lt;&gt;"",NOT(_xlfn.ISFORMULA('Month-End'!$DI$41))),N('Month-End'!$DI$41),IF(OR($E116="open",$E115="pre"),N(Settings!$C$39),N($AV115))+$BB116))</f>
        <v/>
      </c>
      <c r="AW116">
        <f>IF(OR(Settings!$A$40="",$E116="pre"),"",IF(AND('Month-End'!$DI$42&lt;&gt;"",NOT(_xlfn.ISFORMULA('Month-End'!$DI$42))),N('Month-End'!$DI$42),IF(OR($E116="open",$E115="pre"),N(Settings!$C$40),N($AW115))+$BC116))</f>
        <v/>
      </c>
      <c r="AX116">
        <f>IF(OR(Settings!$A$41="",$E116="pre"),"",IF(AND('Month-End'!$DI$43&lt;&gt;"",NOT(_xlfn.ISFORMULA('Month-End'!$DI$43))),N('Month-End'!$DI$43),IF(OR($E116="open",$E115="pre"),N(Settings!$C$41),N($AX115))+$BD116))</f>
        <v/>
      </c>
      <c r="AY116">
        <f>IF($E116="pre",0,N('Month-End'!$DI$45))</f>
        <v/>
      </c>
      <c r="AZ116">
        <f>IF($E116="pre",0,N('Month-End'!$DI$46))</f>
        <v/>
      </c>
      <c r="BA116">
        <f>IF($E116="pre",0,N('Month-End'!$DI$47))</f>
        <v/>
      </c>
      <c r="BB116">
        <f>IF($E116="pre",0,N('Month-End'!$DI$48))</f>
        <v/>
      </c>
      <c r="BC116">
        <f>IF($E116="pre",0,N('Month-End'!$DI$49))</f>
        <v/>
      </c>
      <c r="BD116">
        <f>IF($E116="pre",0,N('Month-End'!$DI$50))</f>
        <v/>
      </c>
      <c r="BE116">
        <f>IF(OR(Settings!$C$45="",Settings!$D$45=""),0,Settings!$C$45*IF(Settings!$D$45="Weekly",IF(IFERROR(MATCH(Settings!$E$45,$EO$4:$EO$10,0),0)=0,0,IF(MIN($C116,IF(Settings!$G$45="",$C116,Settings!$G$45))&lt;MAX($A116,Settings!$F$45),0,INT((MIN($C116,IF(Settings!$G$45="",$C116,Settings!$G$45))-MAX($A116,Settings!$F$45)-MOD(IFERROR(MATCH(Settings!$E$45,$EO$4:$EO$10,0),0)-WEEKDAY(MAX($A116,Settings!$F$45)),7))/7)+1)),IF(AND(IF(Settings!$E$45="",$B116,DATE(YEAR($A116),MONTH($A116),MIN(Settings!$E$45,DAY($B116))))&gt;=MAX($A116,Settings!$F$45),IF(Settings!$E$45="",$B116,DATE(YEAR($A116),MONTH($A116),MIN(Settings!$E$45,DAY($B116))))&lt;=MIN($C116,IF(Settings!$G$45="",$C116,Settings!$G$45))),1,0)))</f>
        <v/>
      </c>
      <c r="BF116">
        <f>IF(OR(Settings!$C$46="",Settings!$D$46=""),0,Settings!$C$46*IF(Settings!$D$46="Weekly",IF(IFERROR(MATCH(Settings!$E$46,$EO$4:$EO$10,0),0)=0,0,IF(MIN($C116,IF(Settings!$G$46="",$C116,Settings!$G$46))&lt;MAX($A116,Settings!$F$46),0,INT((MIN($C116,IF(Settings!$G$46="",$C116,Settings!$G$46))-MAX($A116,Settings!$F$46)-MOD(IFERROR(MATCH(Settings!$E$46,$EO$4:$EO$10,0),0)-WEEKDAY(MAX($A116,Settings!$F$46)),7))/7)+1)),IF(AND(IF(Settings!$E$46="",$B116,DATE(YEAR($A116),MONTH($A116),MIN(Settings!$E$46,DAY($B116))))&gt;=MAX($A116,Settings!$F$46),IF(Settings!$E$46="",$B116,DATE(YEAR($A116),MONTH($A116),MIN(Settings!$E$46,DAY($B116))))&lt;=MIN($C116,IF(Settings!$G$46="",$C116,Settings!$G$46))),1,0)))</f>
        <v/>
      </c>
      <c r="BG116">
        <f>IF(OR(Settings!$C$47="",Settings!$D$47=""),0,Settings!$C$47*IF(Settings!$D$47="Weekly",IF(IFERROR(MATCH(Settings!$E$47,$EO$4:$EO$10,0),0)=0,0,IF(MIN($C116,IF(Settings!$G$47="",$C116,Settings!$G$47))&lt;MAX($A116,Settings!$F$47),0,INT((MIN($C116,IF(Settings!$G$47="",$C116,Settings!$G$47))-MAX($A116,Settings!$F$47)-MOD(IFERROR(MATCH(Settings!$E$47,$EO$4:$EO$10,0),0)-WEEKDAY(MAX($A116,Settings!$F$47)),7))/7)+1)),IF(AND(IF(Settings!$E$47="",$B116,DATE(YEAR($A116),MONTH($A116),MIN(Settings!$E$47,DAY($B116))))&gt;=MAX($A116,Settings!$F$47),IF(Settings!$E$47="",$B116,DATE(YEAR($A116),MONTH($A116),MIN(Settings!$E$47,DAY($B116))))&lt;=MIN($C116,IF(Settings!$G$47="",$C116,Settings!$G$47))),1,0)))</f>
        <v/>
      </c>
      <c r="BH116">
        <f>IF(OR(Settings!$C$48="",Settings!$D$48=""),0,Settings!$C$48*IF(Settings!$D$48="Weekly",IF(IFERROR(MATCH(Settings!$E$48,$EO$4:$EO$10,0),0)=0,0,IF(MIN($C116,IF(Settings!$G$48="",$C116,Settings!$G$48))&lt;MAX($A116,Settings!$F$48),0,INT((MIN($C116,IF(Settings!$G$48="",$C116,Settings!$G$48))-MAX($A116,Settings!$F$48)-MOD(IFERROR(MATCH(Settings!$E$48,$EO$4:$EO$10,0),0)-WEEKDAY(MAX($A116,Settings!$F$48)),7))/7)+1)),IF(AND(IF(Settings!$E$48="",$B116,DATE(YEAR($A116),MONTH($A116),MIN(Settings!$E$48,DAY($B116))))&gt;=MAX($A116,Settings!$F$48),IF(Settings!$E$48="",$B116,DATE(YEAR($A116),MONTH($A116),MIN(Settings!$E$48,DAY($B116))))&lt;=MIN($C116,IF(Settings!$G$48="",$C116,Settings!$G$48))),1,0)))</f>
        <v/>
      </c>
      <c r="BI116">
        <f>IF(OR(Settings!$C$49="",Settings!$D$49=""),0,Settings!$C$49*IF(Settings!$D$49="Weekly",IF(IFERROR(MATCH(Settings!$E$49,$EO$4:$EO$10,0),0)=0,0,IF(MIN($C116,IF(Settings!$G$49="",$C116,Settings!$G$49))&lt;MAX($A116,Settings!$F$49),0,INT((MIN($C116,IF(Settings!$G$49="",$C116,Settings!$G$49))-MAX($A116,Settings!$F$49)-MOD(IFERROR(MATCH(Settings!$E$49,$EO$4:$EO$10,0),0)-WEEKDAY(MAX($A116,Settings!$F$49)),7))/7)+1)),IF(AND(IF(Settings!$E$49="",$B116,DATE(YEAR($A116),MONTH($A116),MIN(Settings!$E$49,DAY($B116))))&gt;=MAX($A116,Settings!$F$49),IF(Settings!$E$49="",$B116,DATE(YEAR($A116),MONTH($A116),MIN(Settings!$E$49,DAY($B116))))&lt;=MIN($C116,IF(Settings!$G$49="",$C116,Settings!$G$49))),1,0)))</f>
        <v/>
      </c>
      <c r="BJ116">
        <f>IF(OR(Settings!$C$50="",Settings!$D$50=""),0,Settings!$C$50*IF(Settings!$D$50="Weekly",IF(IFERROR(MATCH(Settings!$E$50,$EO$4:$EO$10,0),0)=0,0,IF(MIN($C116,IF(Settings!$G$50="",$C116,Settings!$G$50))&lt;MAX($A116,Settings!$F$50),0,INT((MIN($C116,IF(Settings!$G$50="",$C116,Settings!$G$50))-MAX($A116,Settings!$F$50)-MOD(IFERROR(MATCH(Settings!$E$50,$EO$4:$EO$10,0),0)-WEEKDAY(MAX($A116,Settings!$F$50)),7))/7)+1)),IF(AND(IF(Settings!$E$50="",$B116,DATE(YEAR($A116),MONTH($A116),MIN(Settings!$E$50,DAY($B116))))&gt;=MAX($A116,Settings!$F$50),IF(Settings!$E$50="",$B116,DATE(YEAR($A116),MONTH($A116),MIN(Settings!$E$50,DAY($B116))))&lt;=MIN($C116,IF(Settings!$G$50="",$C116,Settings!$G$50))),1,0)))</f>
        <v/>
      </c>
      <c r="BK116">
        <f>IF(OR(Settings!$C$51="",Settings!$D$51=""),0,Settings!$C$51*IF(Settings!$D$51="Weekly",IF(IFERROR(MATCH(Settings!$E$51,$EO$4:$EO$10,0),0)=0,0,IF(MIN($C116,IF(Settings!$G$51="",$C116,Settings!$G$51))&lt;MAX($A116,Settings!$F$51),0,INT((MIN($C116,IF(Settings!$G$51="",$C116,Settings!$G$51))-MAX($A116,Settings!$F$51)-MOD(IFERROR(MATCH(Settings!$E$51,$EO$4:$EO$10,0),0)-WEEKDAY(MAX($A116,Settings!$F$51)),7))/7)+1)),IF(AND(IF(Settings!$E$51="",$B116,DATE(YEAR($A116),MONTH($A116),MIN(Settings!$E$51,DAY($B116))))&gt;=MAX($A116,Settings!$F$51),IF(Settings!$E$51="",$B116,DATE(YEAR($A116),MONTH($A116),MIN(Settings!$E$51,DAY($B116))))&lt;=MIN($C116,IF(Settings!$G$51="",$C116,Settings!$G$51))),1,0)))</f>
        <v/>
      </c>
      <c r="BL116">
        <f>IF(OR(Settings!$C$52="",Settings!$D$52=""),0,Settings!$C$52*IF(Settings!$D$52="Weekly",IF(IFERROR(MATCH(Settings!$E$52,$EO$4:$EO$10,0),0)=0,0,IF(MIN($C116,IF(Settings!$G$52="",$C116,Settings!$G$52))&lt;MAX($A116,Settings!$F$52),0,INT((MIN($C116,IF(Settings!$G$52="",$C116,Settings!$G$52))-MAX($A116,Settings!$F$52)-MOD(IFERROR(MATCH(Settings!$E$52,$EO$4:$EO$10,0),0)-WEEKDAY(MAX($A116,Settings!$F$52)),7))/7)+1)),IF(AND(IF(Settings!$E$52="",$B116,DATE(YEAR($A116),MONTH($A116),MIN(Settings!$E$52,DAY($B116))))&gt;=MAX($A116,Settings!$F$52),IF(Settings!$E$52="",$B116,DATE(YEAR($A116),MONTH($A116),MIN(Settings!$E$52,DAY($B116))))&lt;=MIN($C116,IF(Settings!$G$52="",$C116,Settings!$G$52))),1,0)))</f>
        <v/>
      </c>
      <c r="BM116">
        <f>IF(OR(Settings!$C$53="",Settings!$D$53=""),0,Settings!$C$53*IF(Settings!$D$53="Weekly",IF(IFERROR(MATCH(Settings!$E$53,$EO$4:$EO$10,0),0)=0,0,IF(MIN($C116,IF(Settings!$G$53="",$C116,Settings!$G$53))&lt;MAX($A116,Settings!$F$53),0,INT((MIN($C116,IF(Settings!$G$53="",$C116,Settings!$G$53))-MAX($A116,Settings!$F$53)-MOD(IFERROR(MATCH(Settings!$E$53,$EO$4:$EO$10,0),0)-WEEKDAY(MAX($A116,Settings!$F$53)),7))/7)+1)),IF(AND(IF(Settings!$E$53="",$B116,DATE(YEAR($A116),MONTH($A116),MIN(Settings!$E$53,DAY($B116))))&gt;=MAX($A116,Settings!$F$53),IF(Settings!$E$53="",$B116,DATE(YEAR($A116),MONTH($A116),MIN(Settings!$E$53,DAY($B116))))&lt;=MIN($C116,IF(Settings!$G$53="",$C116,Settings!$G$53))),1,0)))</f>
        <v/>
      </c>
      <c r="BN116">
        <f>IF(OR(Settings!$C$54="",Settings!$D$54=""),0,Settings!$C$54*IF(Settings!$D$54="Weekly",IF(IFERROR(MATCH(Settings!$E$54,$EO$4:$EO$10,0),0)=0,0,IF(MIN($C116,IF(Settings!$G$54="",$C116,Settings!$G$54))&lt;MAX($A116,Settings!$F$54),0,INT((MIN($C116,IF(Settings!$G$54="",$C116,Settings!$G$54))-MAX($A116,Settings!$F$54)-MOD(IFERROR(MATCH(Settings!$E$54,$EO$4:$EO$10,0),0)-WEEKDAY(MAX($A116,Settings!$F$54)),7))/7)+1)),IF(AND(IF(Settings!$E$54="",$B116,DATE(YEAR($A116),MONTH($A116),MIN(Settings!$E$54,DAY($B116))))&gt;=MAX($A116,Settings!$F$54),IF(Settings!$E$54="",$B116,DATE(YEAR($A116),MONTH($A116),MIN(Settings!$E$54,DAY($B116))))&lt;=MIN($C116,IF(Settings!$G$54="",$C116,Settings!$G$54))),1,0)))</f>
        <v/>
      </c>
      <c r="BO116">
        <f>IF(OR(Settings!$C$55="",Settings!$D$55=""),0,Settings!$C$55*IF(Settings!$D$55="Weekly",IF(IFERROR(MATCH(Settings!$E$55,$EO$4:$EO$10,0),0)=0,0,IF(MIN($C116,IF(Settings!$G$55="",$C116,Settings!$G$55))&lt;MAX($A116,Settings!$F$55),0,INT((MIN($C116,IF(Settings!$G$55="",$C116,Settings!$G$55))-MAX($A116,Settings!$F$55)-MOD(IFERROR(MATCH(Settings!$E$55,$EO$4:$EO$10,0),0)-WEEKDAY(MAX($A116,Settings!$F$55)),7))/7)+1)),IF(AND(IF(Settings!$E$55="",$B116,DATE(YEAR($A116),MONTH($A116),MIN(Settings!$E$55,DAY($B116))))&gt;=MAX($A116,Settings!$F$55),IF(Settings!$E$55="",$B116,DATE(YEAR($A116),MONTH($A116),MIN(Settings!$E$55,DAY($B116))))&lt;=MIN($C116,IF(Settings!$G$55="",$C116,Settings!$G$55))),1,0)))</f>
        <v/>
      </c>
      <c r="BP116">
        <f>IF(OR(Settings!$C$56="",Settings!$D$56=""),0,Settings!$C$56*IF(Settings!$D$56="Weekly",IF(IFERROR(MATCH(Settings!$E$56,$EO$4:$EO$10,0),0)=0,0,IF(MIN($C116,IF(Settings!$G$56="",$C116,Settings!$G$56))&lt;MAX($A116,Settings!$F$56),0,INT((MIN($C116,IF(Settings!$G$56="",$C116,Settings!$G$56))-MAX($A116,Settings!$F$56)-MOD(IFERROR(MATCH(Settings!$E$56,$EO$4:$EO$10,0),0)-WEEKDAY(MAX($A116,Settings!$F$56)),7))/7)+1)),IF(AND(IF(Settings!$E$56="",$B116,DATE(YEAR($A116),MONTH($A116),MIN(Settings!$E$56,DAY($B116))))&gt;=MAX($A116,Settings!$F$56),IF(Settings!$E$56="",$B116,DATE(YEAR($A116),MONTH($A116),MIN(Settings!$E$56,DAY($B116))))&lt;=MIN($C116,IF(Settings!$G$56="",$C116,Settings!$G$56))),1,0)))</f>
        <v/>
      </c>
      <c r="BQ116">
        <f>IF(OR(Settings!$B$14="",$D116=1,$E116="pre",$A116&lt;IF(Settings!$B$15="",0,Settings!$B$15)),0,Settings!$B$14)</f>
        <v/>
      </c>
      <c r="BR116">
        <f>IF(AND('Month-End'!$DI$7&lt;&gt;"",NOT(_xlfn.ISFORMULA('Month-End'!$DI$7))),1,0)</f>
        <v/>
      </c>
      <c r="BS116">
        <f>IF(AND('Month-End'!$DI$8&lt;&gt;"",NOT(_xlfn.ISFORMULA('Month-End'!$DI$8))),1,0)</f>
        <v/>
      </c>
      <c r="BT116">
        <f>IF(AND('Month-End'!$DI$9&lt;&gt;"",NOT(_xlfn.ISFORMULA('Month-End'!$DI$9))),1,0)</f>
        <v/>
      </c>
      <c r="BU116">
        <f>IF(AND('Month-End'!$DI$10&lt;&gt;"",NOT(_xlfn.ISFORMULA('Month-End'!$DI$10))),1,0)</f>
        <v/>
      </c>
      <c r="BV116">
        <f>IF(AND('Month-End'!$DI$11&lt;&gt;"",NOT(_xlfn.ISFORMULA('Month-End'!$DI$11))),1,0)</f>
        <v/>
      </c>
      <c r="BW116">
        <f>IF(AND('Month-End'!$DI$12&lt;&gt;"",NOT(_xlfn.ISFORMULA('Month-End'!$DI$12))),1,0)</f>
        <v/>
      </c>
      <c r="BX116">
        <f>IF(AND('Month-End'!$DI$13&lt;&gt;"",NOT(_xlfn.ISFORMULA('Month-End'!$DI$13))),1,0)</f>
        <v/>
      </c>
      <c r="BY116">
        <f>IF(AND('Month-End'!$DI$14&lt;&gt;"",NOT(_xlfn.ISFORMULA('Month-End'!$DI$14))),1,0)</f>
        <v/>
      </c>
      <c r="BZ116">
        <f>IF(AND('Month-End'!$DI$15&lt;&gt;"",NOT(_xlfn.ISFORMULA('Month-End'!$DI$15))),1,0)</f>
        <v/>
      </c>
      <c r="CA116">
        <f>IF(AND('Month-End'!$DI$16&lt;&gt;"",NOT(_xlfn.ISFORMULA('Month-End'!$DI$16))),1,0)</f>
        <v/>
      </c>
      <c r="CB116">
        <f>IF(AND('Month-End'!$DI$17&lt;&gt;"",NOT(_xlfn.ISFORMULA('Month-End'!$DI$17))),1,0)</f>
        <v/>
      </c>
      <c r="CC116">
        <f>IF(AND('Month-End'!$DI$18&lt;&gt;"",NOT(_xlfn.ISFORMULA('Month-End'!$DI$18))),1,0)</f>
        <v/>
      </c>
      <c r="CD116">
        <f>IF(AND('Month-End'!$DI$19&lt;&gt;"",NOT(_xlfn.ISFORMULA('Month-End'!$DI$19))),1,0)</f>
        <v/>
      </c>
      <c r="CE116">
        <f>IF(AND('Month-End'!$DI$20&lt;&gt;"",NOT(_xlfn.ISFORMULA('Month-End'!$DI$20))),1,0)</f>
        <v/>
      </c>
      <c r="CF116">
        <f>IF(AND('Month-End'!$DI$38&lt;&gt;"",NOT(_xlfn.ISFORMULA('Month-End'!$DI$38))),1,0)</f>
        <v/>
      </c>
      <c r="CG116">
        <f>IF(AND('Month-End'!$DI$39&lt;&gt;"",NOT(_xlfn.ISFORMULA('Month-End'!$DI$39))),1,0)</f>
        <v/>
      </c>
      <c r="CH116">
        <f>IF(AND('Month-End'!$DI$40&lt;&gt;"",NOT(_xlfn.ISFORMULA('Month-End'!$DI$40))),1,0)</f>
        <v/>
      </c>
      <c r="CI116">
        <f>IF(AND('Month-End'!$DI$41&lt;&gt;"",NOT(_xlfn.ISFORMULA('Month-End'!$DI$41))),1,0)</f>
        <v/>
      </c>
      <c r="CJ116">
        <f>IF(AND('Month-End'!$DI$42&lt;&gt;"",NOT(_xlfn.ISFORMULA('Month-End'!$DI$42))),1,0)</f>
        <v/>
      </c>
      <c r="CK116">
        <f>IF(AND('Month-End'!$DI$43&lt;&gt;"",NOT(_xlfn.ISFORMULA('Month-End'!$DI$43))),1,0)</f>
        <v/>
      </c>
      <c r="CL116">
        <f>SUM($CM116:$CZ116)</f>
        <v/>
      </c>
      <c r="CM116">
        <f>IF(AND($E116&lt;&gt;"pre",AND(Settings!$A$19&lt;&gt;"",Settings!$E$19&lt;&gt;"No"),Settings!$F$19="Yes",NOT(AND('Month-End'!$DI$7&lt;&gt;"",NOT(_xlfn.ISFORMULA('Month-End'!$DI$7))))),1,0)</f>
        <v/>
      </c>
      <c r="CN116">
        <f>IF(AND($E116&lt;&gt;"pre",AND(Settings!$A$20&lt;&gt;"",Settings!$E$20&lt;&gt;"No"),Settings!$F$20="Yes",NOT(AND('Month-End'!$DI$8&lt;&gt;"",NOT(_xlfn.ISFORMULA('Month-End'!$DI$8))))),1,0)</f>
        <v/>
      </c>
      <c r="CO116">
        <f>IF(AND($E116&lt;&gt;"pre",AND(Settings!$A$21&lt;&gt;"",Settings!$E$21&lt;&gt;"No"),Settings!$F$21="Yes",NOT(AND('Month-End'!$DI$9&lt;&gt;"",NOT(_xlfn.ISFORMULA('Month-End'!$DI$9))))),1,0)</f>
        <v/>
      </c>
      <c r="CP116">
        <f>IF(AND($E116&lt;&gt;"pre",AND(Settings!$A$22&lt;&gt;"",Settings!$E$22&lt;&gt;"No"),Settings!$F$22="Yes",NOT(AND('Month-End'!$DI$10&lt;&gt;"",NOT(_xlfn.ISFORMULA('Month-End'!$DI$10))))),1,0)</f>
        <v/>
      </c>
      <c r="CQ116">
        <f>IF(AND($E116&lt;&gt;"pre",AND(Settings!$A$23&lt;&gt;"",Settings!$E$23&lt;&gt;"No"),Settings!$F$23="Yes",NOT(AND('Month-End'!$DI$11&lt;&gt;"",NOT(_xlfn.ISFORMULA('Month-End'!$DI$11))))),1,0)</f>
        <v/>
      </c>
      <c r="CR116">
        <f>IF(AND($E116&lt;&gt;"pre",AND(Settings!$A$24&lt;&gt;"",Settings!$E$24&lt;&gt;"No"),Settings!$F$24="Yes",NOT(AND('Month-End'!$DI$12&lt;&gt;"",NOT(_xlfn.ISFORMULA('Month-End'!$DI$12))))),1,0)</f>
        <v/>
      </c>
      <c r="CS116">
        <f>IF(AND($E116&lt;&gt;"pre",AND(Settings!$A$25&lt;&gt;"",Settings!$E$25&lt;&gt;"No"),Settings!$F$25="Yes",NOT(AND('Month-End'!$DI$13&lt;&gt;"",NOT(_xlfn.ISFORMULA('Month-End'!$DI$13))))),1,0)</f>
        <v/>
      </c>
      <c r="CT116">
        <f>IF(AND($E116&lt;&gt;"pre",AND(Settings!$A$26&lt;&gt;"",Settings!$E$26&lt;&gt;"No"),Settings!$F$26="Yes",NOT(AND('Month-End'!$DI$14&lt;&gt;"",NOT(_xlfn.ISFORMULA('Month-End'!$DI$14))))),1,0)</f>
        <v/>
      </c>
      <c r="CU116">
        <f>IF(AND($E116&lt;&gt;"pre",AND(Settings!$A$27&lt;&gt;"",Settings!$E$27&lt;&gt;"No"),Settings!$F$27="Yes",NOT(AND('Month-End'!$DI$15&lt;&gt;"",NOT(_xlfn.ISFORMULA('Month-End'!$DI$15))))),1,0)</f>
        <v/>
      </c>
      <c r="CV116">
        <f>IF(AND($E116&lt;&gt;"pre",AND(Settings!$A$28&lt;&gt;"",Settings!$E$28&lt;&gt;"No"),Settings!$F$28="Yes",NOT(AND('Month-End'!$DI$16&lt;&gt;"",NOT(_xlfn.ISFORMULA('Month-End'!$DI$16))))),1,0)</f>
        <v/>
      </c>
      <c r="CW116">
        <f>IF(AND($E116&lt;&gt;"pre",AND(Settings!$A$29&lt;&gt;"",Settings!$E$29&lt;&gt;"No"),Settings!$F$29="Yes",NOT(AND('Month-End'!$DI$17&lt;&gt;"",NOT(_xlfn.ISFORMULA('Month-End'!$DI$17))))),1,0)</f>
        <v/>
      </c>
      <c r="CX116">
        <f>IF(AND($E116&lt;&gt;"pre",AND(Settings!$A$30&lt;&gt;"",Settings!$E$30&lt;&gt;"No"),Settings!$F$30="Yes",NOT(AND('Month-End'!$DI$18&lt;&gt;"",NOT(_xlfn.ISFORMULA('Month-End'!$DI$18))))),1,0)</f>
        <v/>
      </c>
      <c r="CY116">
        <f>IF(AND($E116&lt;&gt;"pre",AND(Settings!$A$31&lt;&gt;"",Settings!$E$31&lt;&gt;"No"),Settings!$F$31="Yes",NOT(AND('Month-End'!$DI$19&lt;&gt;"",NOT(_xlfn.ISFORMULA('Month-End'!$DI$19))))),1,0)</f>
        <v/>
      </c>
      <c r="CZ116">
        <f>IF(AND($E116&lt;&gt;"pre",AND(Settings!$A$32&lt;&gt;"",Settings!$E$32&lt;&gt;"No"),Settings!$F$32="Yes",NOT(AND('Month-End'!$DI$20&lt;&gt;"",NOT(_xlfn.ISFORMULA('Month-End'!$DI$20))))),1,0)</f>
        <v/>
      </c>
      <c r="DA116">
        <f>IF($DT116=1,IF(OR(Settings!$B$19="Checking",Settings!$B$19="Savings",Settings!$B$19="Cash"),N($AE116),IF(OR(Settings!$B$19="Card",Settings!$B$19="Loan"),-N($AE116),0))+IF(OR(Settings!$B$20="Checking",Settings!$B$20="Savings",Settings!$B$20="Cash"),N($AF116),IF(OR(Settings!$B$20="Card",Settings!$B$20="Loan"),-N($AF116),0))+IF(OR(Settings!$B$21="Checking",Settings!$B$21="Savings",Settings!$B$21="Cash"),N($AG116),IF(OR(Settings!$B$21="Card",Settings!$B$21="Loan"),-N($AG116),0))+IF(OR(Settings!$B$22="Checking",Settings!$B$22="Savings",Settings!$B$22="Cash"),N($AH116),IF(OR(Settings!$B$22="Card",Settings!$B$22="Loan"),-N($AH116),0))+IF(OR(Settings!$B$23="Checking",Settings!$B$23="Savings",Settings!$B$23="Cash"),N($AI116),IF(OR(Settings!$B$23="Card",Settings!$B$23="Loan"),-N($AI116),0))+IF(OR(Settings!$B$24="Checking",Settings!$B$24="Savings",Settings!$B$24="Cash"),N($AJ116),IF(OR(Settings!$B$24="Card",Settings!$B$24="Loan"),-N($AJ116),0))+IF(OR(Settings!$B$25="Checking",Settings!$B$25="Savings",Settings!$B$25="Cash"),N($AK116),IF(OR(Settings!$B$25="Card",Settings!$B$25="Loan"),-N($AK116),0))+IF(OR(Settings!$B$26="Checking",Settings!$B$26="Savings",Settings!$B$26="Cash"),N($AL116),IF(OR(Settings!$B$26="Card",Settings!$B$26="Loan"),-N($AL116),0))+IF(OR(Settings!$B$27="Checking",Settings!$B$27="Savings",Settings!$B$27="Cash"),N($AM116),IF(OR(Settings!$B$27="Card",Settings!$B$27="Loan"),-N($AM116),0))+IF(OR(Settings!$B$28="Checking",Settings!$B$28="Savings",Settings!$B$28="Cash"),N($AN116),IF(OR(Settings!$B$28="Card",Settings!$B$28="Loan"),-N($AN116),0))+IF(OR(Settings!$B$29="Checking",Settings!$B$29="Savings",Settings!$B$29="Cash"),N($AO116),IF(OR(Settings!$B$29="Card",Settings!$B$29="Loan"),-N($AO116),0))+IF(OR(Settings!$B$30="Checking",Settings!$B$30="Savings",Settings!$B$30="Cash"),N($AP116),IF(OR(Settings!$B$30="Card",Settings!$B$30="Loan"),-N($AP116),0))+IF(OR(Settings!$B$31="Checking",Settings!$B$31="Savings",Settings!$B$31="Cash"),N($AQ116),IF(OR(Settings!$B$31="Card",Settings!$B$31="Loan"),-N($AQ116),0))+IF(OR(Settings!$B$32="Checking",Settings!$B$32="Savings",Settings!$B$32="Cash"),N($AR116),IF(OR(Settings!$B$32="Card",Settings!$B$32="Loan"),-N($AR116),0)),"")</f>
        <v/>
      </c>
      <c r="DB116">
        <f>IF($E116="open",$EB$27,IF($E116="post",IF($E115="pre",$EB$27,$DA115),""))</f>
        <v/>
      </c>
      <c r="DC116">
        <f>IF($E116="open",1,IF($E116="post",IF($E115="pre",1,$DT115),0))</f>
        <v/>
      </c>
      <c r="DD116">
        <f>IF(AND($DT116=1,$DC116=1),ROUND($W116-($DA116-$DB116)-$AD116-$AB116,2),"")</f>
        <v/>
      </c>
      <c r="DE116">
        <f>IF('Month-End'!$DI$35="",$BQ116,N('Month-End'!$DI$35))</f>
        <v/>
      </c>
      <c r="DF116">
        <f>N('Month-End'!$DI$36)</f>
        <v/>
      </c>
      <c r="DG116">
        <f>IF($DD116="","",$DD116+$DE116)</f>
        <v/>
      </c>
      <c r="DH116">
        <f>IF($DG116="","",$DG116-$DF116)</f>
        <v/>
      </c>
      <c r="DI116">
        <f>IF(OR($E116="pre",$D116=1),"",N($AS116)+N($AT116)+N($AU116)+N($AV116)+N($AW116)+N($AX116))</f>
        <v/>
      </c>
      <c r="DJ116">
        <f>IF($DT116=1,$DA116+N($DI116),"")</f>
        <v/>
      </c>
      <c r="DK116">
        <f>IF($DD116="","",$W116-$DD116-$AB116)</f>
        <v/>
      </c>
      <c r="DL116">
        <f>IF(AND($E116="post",$DD116&lt;&gt;"",$B116&lt;TODAY()),1,0)</f>
        <v/>
      </c>
      <c r="DM116">
        <f>IF($DL116=1,COUNTIF($DL116:$DL$183,1),0)</f>
        <v/>
      </c>
      <c r="DN116">
        <f>IF($D116=1,"",IF($E116="pre","History only",IF($DT116=1,IF($DD116="","⚠ Previous month missing",IF($DD116&lt;0,"⚠ Check: spending &lt; 0",IF($E116="open","✓ Done (partial)","✓ Done"))),IF($B116&gt;=TODAY(),"In progress","⚠ Needs balances"))))</f>
        <v/>
      </c>
      <c r="DO116">
        <f>YEAR($A116)</f>
        <v/>
      </c>
      <c r="DP116">
        <f>DATE(YEAR($A116),INT((MONTH($A116)-1)/3)*3+1,1)</f>
        <v/>
      </c>
      <c r="DQ116">
        <f>IF(AND($DT116=1,$DD116&lt;&gt;"",$D116=0),ROW(),0)</f>
        <v/>
      </c>
      <c r="DR116">
        <f>IF(AND($E116&lt;&gt;"pre",$B116&lt;TODAY(),$DT116=0),1,0)</f>
        <v/>
      </c>
      <c r="DS116">
        <f>IF($DJ116="",NA(),$DJ116)</f>
        <v/>
      </c>
      <c r="DT116">
        <f>IF(AND($E116&lt;&gt;"pre",$CL116=0,COUNTIFS(Settings!$F$19:$F$32,"Yes",Settings!$A$19:$A$32,"&lt;&gt;",Settings!$E$19:$E$32,"&lt;&gt;No")&gt;0),1,0)</f>
        <v/>
      </c>
      <c r="DU116">
        <f>IF(AND($B116&lt;TODAY(),$S116&gt;0),1,0)</f>
        <v/>
      </c>
      <c r="DV116">
        <f>IF($DU116=1,COUNTIF($DU116:$DU$183,1),0)</f>
        <v/>
      </c>
      <c r="DW116">
        <f>IF(AND(OR(Settings!$B$19="Card",Settings!$B$19="Loan"),AND('Month-End'!$DI$7&lt;&gt;"",NOT(_xlfn.ISFORMULA('Month-End'!$DI$7)))),IF(N('Month-End'!$DI$7)&lt;0,1,0),0)+IF(AND(OR(Settings!$B$20="Card",Settings!$B$20="Loan"),AND('Month-End'!$DI$8&lt;&gt;"",NOT(_xlfn.ISFORMULA('Month-End'!$DI$8)))),IF(N('Month-End'!$DI$8)&lt;0,1,0),0)+IF(AND(OR(Settings!$B$21="Card",Settings!$B$21="Loan"),AND('Month-End'!$DI$9&lt;&gt;"",NOT(_xlfn.ISFORMULA('Month-End'!$DI$9)))),IF(N('Month-End'!$DI$9)&lt;0,1,0),0)+IF(AND(OR(Settings!$B$22="Card",Settings!$B$22="Loan"),AND('Month-End'!$DI$10&lt;&gt;"",NOT(_xlfn.ISFORMULA('Month-End'!$DI$10)))),IF(N('Month-End'!$DI$10)&lt;0,1,0),0)+IF(AND(OR(Settings!$B$23="Card",Settings!$B$23="Loan"),AND('Month-End'!$DI$11&lt;&gt;"",NOT(_xlfn.ISFORMULA('Month-End'!$DI$11)))),IF(N('Month-End'!$DI$11)&lt;0,1,0),0)+IF(AND(OR(Settings!$B$24="Card",Settings!$B$24="Loan"),AND('Month-End'!$DI$12&lt;&gt;"",NOT(_xlfn.ISFORMULA('Month-End'!$DI$12)))),IF(N('Month-End'!$DI$12)&lt;0,1,0),0)+IF(AND(OR(Settings!$B$25="Card",Settings!$B$25="Loan"),AND('Month-End'!$DI$13&lt;&gt;"",NOT(_xlfn.ISFORMULA('Month-End'!$DI$13)))),IF(N('Month-End'!$DI$13)&lt;0,1,0),0)+IF(AND(OR(Settings!$B$26="Card",Settings!$B$26="Loan"),AND('Month-End'!$DI$14&lt;&gt;"",NOT(_xlfn.ISFORMULA('Month-End'!$DI$14)))),IF(N('Month-End'!$DI$14)&lt;0,1,0),0)+IF(AND(OR(Settings!$B$27="Card",Settings!$B$27="Loan"),AND('Month-End'!$DI$15&lt;&gt;"",NOT(_xlfn.ISFORMULA('Month-End'!$DI$15)))),IF(N('Month-End'!$DI$15)&lt;0,1,0),0)+IF(AND(OR(Settings!$B$28="Card",Settings!$B$28="Loan"),AND('Month-End'!$DI$16&lt;&gt;"",NOT(_xlfn.ISFORMULA('Month-End'!$DI$16)))),IF(N('Month-End'!$DI$16)&lt;0,1,0),0)+IF(AND(OR(Settings!$B$29="Card",Settings!$B$29="Loan"),AND('Month-End'!$DI$17&lt;&gt;"",NOT(_xlfn.ISFORMULA('Month-End'!$DI$17)))),IF(N('Month-End'!$DI$17)&lt;0,1,0),0)+IF(AND(OR(Settings!$B$30="Card",Settings!$B$30="Loan"),AND('Month-End'!$DI$18&lt;&gt;"",NOT(_xlfn.ISFORMULA('Month-End'!$DI$18)))),IF(N('Month-End'!$DI$18)&lt;0,1,0),0)+IF(AND(OR(Settings!$B$31="Card",Settings!$B$31="Loan"),AND('Month-End'!$DI$19&lt;&gt;"",NOT(_xlfn.ISFORMULA('Month-End'!$DI$19)))),IF(N('Month-End'!$DI$19)&lt;0,1,0),0)+IF(AND(OR(Settings!$B$32="Card",Settings!$B$32="Loan"),AND('Month-End'!$DI$20&lt;&gt;"",NOT(_xlfn.ISFORMULA('Month-End'!$DI$20)))),IF(N('Month-End'!$DI$20)&lt;0,1,0),0)</f>
        <v/>
      </c>
      <c r="DX116">
        <f>IF(Settings!$B$36="Retirement",$AY116,0)+IF(Settings!$B$37="Retirement",$AZ116,0)+IF(Settings!$B$38="Retirement",$BA116,0)+IF(Settings!$B$39="Retirement",$BB116,0)+IF(Settings!$B$40="Retirement",$BC116,0)+IF(Settings!$B$41="Retirement",$BD116,0)</f>
        <v/>
      </c>
      <c r="EO116">
        <f>EDATE(DATE(YEAR(TODAY()),MONTH(TODAY()),1),-7)</f>
        <v/>
      </c>
      <c r="ER116">
        <f>IFERROR(IF(INDEX($DJ$6:$DJ$183,MATCH(EO116,$A$6:$A$183,0))="",NA(),INDEX($DJ$6:$DJ$183,MATCH(EO116,$A$6:$A$183,0))),NA())</f>
        <v/>
      </c>
      <c r="ES116">
        <f>TEXT(EO116,"mmm yy")</f>
        <v/>
      </c>
      <c r="ET116">
        <f>IF($E116&lt;&gt;"open",0,IF(AND('Month-End'!$DI$22&lt;&gt;"",NOT(_xlfn.ISFORMULA('Month-End'!$DI$22))),0,IF(OR(Settings!$C$45="",Settings!$D$45=""),0,Settings!$C$45*IF(Settings!$D$45="Weekly",IF(IFERROR(MATCH(Settings!$E$45,$EO$4:$EO$10,0),0)=0,0,IF(MIN(Settings!$B$5,IF(Settings!$G$45="",Settings!$B$5,Settings!$G$45))&lt;MAX($A116,Settings!$F$45),0,INT((MIN(Settings!$B$5,IF(Settings!$G$45="",Settings!$B$5,Settings!$G$45))-MAX($A116,Settings!$F$45)-MOD(IFERROR(MATCH(Settings!$E$45,$EO$4:$EO$10,0),0)-WEEKDAY(MAX($A116,Settings!$F$45)),7))/7)+1)),IF(AND(IF(Settings!$E$45="",$B116,DATE(YEAR($A116),MONTH($A116),MIN(Settings!$E$45,DAY($B116))))&gt;=MAX($A116,Settings!$F$45),IF(Settings!$E$45="",$B116,DATE(YEAR($A116),MONTH($A116),MIN(Settings!$E$45,DAY($B116))))&lt;=MIN(Settings!$B$5,IF(Settings!$G$45="",Settings!$B$5,Settings!$G$45))),1,0)))))</f>
        <v/>
      </c>
      <c r="EU116">
        <f>IF($E116&lt;&gt;"open",0,IF(AND('Month-End'!$DI$23&lt;&gt;"",NOT(_xlfn.ISFORMULA('Month-End'!$DI$23))),0,IF(OR(Settings!$C$46="",Settings!$D$46=""),0,Settings!$C$46*IF(Settings!$D$46="Weekly",IF(IFERROR(MATCH(Settings!$E$46,$EO$4:$EO$10,0),0)=0,0,IF(MIN(Settings!$B$5,IF(Settings!$G$46="",Settings!$B$5,Settings!$G$46))&lt;MAX($A116,Settings!$F$46),0,INT((MIN(Settings!$B$5,IF(Settings!$G$46="",Settings!$B$5,Settings!$G$46))-MAX($A116,Settings!$F$46)-MOD(IFERROR(MATCH(Settings!$E$46,$EO$4:$EO$10,0),0)-WEEKDAY(MAX($A116,Settings!$F$46)),7))/7)+1)),IF(AND(IF(Settings!$E$46="",$B116,DATE(YEAR($A116),MONTH($A116),MIN(Settings!$E$46,DAY($B116))))&gt;=MAX($A116,Settings!$F$46),IF(Settings!$E$46="",$B116,DATE(YEAR($A116),MONTH($A116),MIN(Settings!$E$46,DAY($B116))))&lt;=MIN(Settings!$B$5,IF(Settings!$G$46="",Settings!$B$5,Settings!$G$46))),1,0)))))</f>
        <v/>
      </c>
      <c r="EV116">
        <f>IF($E116&lt;&gt;"open",0,IF(AND('Month-End'!$DI$24&lt;&gt;"",NOT(_xlfn.ISFORMULA('Month-End'!$DI$24))),0,IF(OR(Settings!$C$47="",Settings!$D$47=""),0,Settings!$C$47*IF(Settings!$D$47="Weekly",IF(IFERROR(MATCH(Settings!$E$47,$EO$4:$EO$10,0),0)=0,0,IF(MIN(Settings!$B$5,IF(Settings!$G$47="",Settings!$B$5,Settings!$G$47))&lt;MAX($A116,Settings!$F$47),0,INT((MIN(Settings!$B$5,IF(Settings!$G$47="",Settings!$B$5,Settings!$G$47))-MAX($A116,Settings!$F$47)-MOD(IFERROR(MATCH(Settings!$E$47,$EO$4:$EO$10,0),0)-WEEKDAY(MAX($A116,Settings!$F$47)),7))/7)+1)),IF(AND(IF(Settings!$E$47="",$B116,DATE(YEAR($A116),MONTH($A116),MIN(Settings!$E$47,DAY($B116))))&gt;=MAX($A116,Settings!$F$47),IF(Settings!$E$47="",$B116,DATE(YEAR($A116),MONTH($A116),MIN(Settings!$E$47,DAY($B116))))&lt;=MIN(Settings!$B$5,IF(Settings!$G$47="",Settings!$B$5,Settings!$G$47))),1,0)))))</f>
        <v/>
      </c>
      <c r="EW116">
        <f>IF($E116&lt;&gt;"open",0,IF(AND('Month-End'!$DI$25&lt;&gt;"",NOT(_xlfn.ISFORMULA('Month-End'!$DI$25))),0,IF(OR(Settings!$C$48="",Settings!$D$48=""),0,Settings!$C$48*IF(Settings!$D$48="Weekly",IF(IFERROR(MATCH(Settings!$E$48,$EO$4:$EO$10,0),0)=0,0,IF(MIN(Settings!$B$5,IF(Settings!$G$48="",Settings!$B$5,Settings!$G$48))&lt;MAX($A116,Settings!$F$48),0,INT((MIN(Settings!$B$5,IF(Settings!$G$48="",Settings!$B$5,Settings!$G$48))-MAX($A116,Settings!$F$48)-MOD(IFERROR(MATCH(Settings!$E$48,$EO$4:$EO$10,0),0)-WEEKDAY(MAX($A116,Settings!$F$48)),7))/7)+1)),IF(AND(IF(Settings!$E$48="",$B116,DATE(YEAR($A116),MONTH($A116),MIN(Settings!$E$48,DAY($B116))))&gt;=MAX($A116,Settings!$F$48),IF(Settings!$E$48="",$B116,DATE(YEAR($A116),MONTH($A116),MIN(Settings!$E$48,DAY($B116))))&lt;=MIN(Settings!$B$5,IF(Settings!$G$48="",Settings!$B$5,Settings!$G$48))),1,0)))))</f>
        <v/>
      </c>
      <c r="EX116">
        <f>IF($E116&lt;&gt;"open",0,IF(AND('Month-End'!$DI$26&lt;&gt;"",NOT(_xlfn.ISFORMULA('Month-End'!$DI$26))),0,IF(OR(Settings!$C$49="",Settings!$D$49=""),0,Settings!$C$49*IF(Settings!$D$49="Weekly",IF(IFERROR(MATCH(Settings!$E$49,$EO$4:$EO$10,0),0)=0,0,IF(MIN(Settings!$B$5,IF(Settings!$G$49="",Settings!$B$5,Settings!$G$49))&lt;MAX($A116,Settings!$F$49),0,INT((MIN(Settings!$B$5,IF(Settings!$G$49="",Settings!$B$5,Settings!$G$49))-MAX($A116,Settings!$F$49)-MOD(IFERROR(MATCH(Settings!$E$49,$EO$4:$EO$10,0),0)-WEEKDAY(MAX($A116,Settings!$F$49)),7))/7)+1)),IF(AND(IF(Settings!$E$49="",$B116,DATE(YEAR($A116),MONTH($A116),MIN(Settings!$E$49,DAY($B116))))&gt;=MAX($A116,Settings!$F$49),IF(Settings!$E$49="",$B116,DATE(YEAR($A116),MONTH($A116),MIN(Settings!$E$49,DAY($B116))))&lt;=MIN(Settings!$B$5,IF(Settings!$G$49="",Settings!$B$5,Settings!$G$49))),1,0)))))</f>
        <v/>
      </c>
      <c r="EY116">
        <f>IF($E116&lt;&gt;"open",0,IF(AND('Month-End'!$DI$27&lt;&gt;"",NOT(_xlfn.ISFORMULA('Month-End'!$DI$27))),0,IF(OR(Settings!$C$50="",Settings!$D$50=""),0,Settings!$C$50*IF(Settings!$D$50="Weekly",IF(IFERROR(MATCH(Settings!$E$50,$EO$4:$EO$10,0),0)=0,0,IF(MIN(Settings!$B$5,IF(Settings!$G$50="",Settings!$B$5,Settings!$G$50))&lt;MAX($A116,Settings!$F$50),0,INT((MIN(Settings!$B$5,IF(Settings!$G$50="",Settings!$B$5,Settings!$G$50))-MAX($A116,Settings!$F$50)-MOD(IFERROR(MATCH(Settings!$E$50,$EO$4:$EO$10,0),0)-WEEKDAY(MAX($A116,Settings!$F$50)),7))/7)+1)),IF(AND(IF(Settings!$E$50="",$B116,DATE(YEAR($A116),MONTH($A116),MIN(Settings!$E$50,DAY($B116))))&gt;=MAX($A116,Settings!$F$50),IF(Settings!$E$50="",$B116,DATE(YEAR($A116),MONTH($A116),MIN(Settings!$E$50,DAY($B116))))&lt;=MIN(Settings!$B$5,IF(Settings!$G$50="",Settings!$B$5,Settings!$G$50))),1,0)))))</f>
        <v/>
      </c>
      <c r="EZ116">
        <f>IF($E116&lt;&gt;"open",0,IF(AND('Month-End'!$DI$28&lt;&gt;"",NOT(_xlfn.ISFORMULA('Month-End'!$DI$28))),0,IF(OR(Settings!$C$51="",Settings!$D$51=""),0,Settings!$C$51*IF(Settings!$D$51="Weekly",IF(IFERROR(MATCH(Settings!$E$51,$EO$4:$EO$10,0),0)=0,0,IF(MIN(Settings!$B$5,IF(Settings!$G$51="",Settings!$B$5,Settings!$G$51))&lt;MAX($A116,Settings!$F$51),0,INT((MIN(Settings!$B$5,IF(Settings!$G$51="",Settings!$B$5,Settings!$G$51))-MAX($A116,Settings!$F$51)-MOD(IFERROR(MATCH(Settings!$E$51,$EO$4:$EO$10,0),0)-WEEKDAY(MAX($A116,Settings!$F$51)),7))/7)+1)),IF(AND(IF(Settings!$E$51="",$B116,DATE(YEAR($A116),MONTH($A116),MIN(Settings!$E$51,DAY($B116))))&gt;=MAX($A116,Settings!$F$51),IF(Settings!$E$51="",$B116,DATE(YEAR($A116),MONTH($A116),MIN(Settings!$E$51,DAY($B116))))&lt;=MIN(Settings!$B$5,IF(Settings!$G$51="",Settings!$B$5,Settings!$G$51))),1,0)))))</f>
        <v/>
      </c>
      <c r="FA116">
        <f>IF($E116&lt;&gt;"open",0,IF(AND('Month-End'!$DI$29&lt;&gt;"",NOT(_xlfn.ISFORMULA('Month-End'!$DI$29))),0,IF(OR(Settings!$C$52="",Settings!$D$52=""),0,Settings!$C$52*IF(Settings!$D$52="Weekly",IF(IFERROR(MATCH(Settings!$E$52,$EO$4:$EO$10,0),0)=0,0,IF(MIN(Settings!$B$5,IF(Settings!$G$52="",Settings!$B$5,Settings!$G$52))&lt;MAX($A116,Settings!$F$52),0,INT((MIN(Settings!$B$5,IF(Settings!$G$52="",Settings!$B$5,Settings!$G$52))-MAX($A116,Settings!$F$52)-MOD(IFERROR(MATCH(Settings!$E$52,$EO$4:$EO$10,0),0)-WEEKDAY(MAX($A116,Settings!$F$52)),7))/7)+1)),IF(AND(IF(Settings!$E$52="",$B116,DATE(YEAR($A116),MONTH($A116),MIN(Settings!$E$52,DAY($B116))))&gt;=MAX($A116,Settings!$F$52),IF(Settings!$E$52="",$B116,DATE(YEAR($A116),MONTH($A116),MIN(Settings!$E$52,DAY($B116))))&lt;=MIN(Settings!$B$5,IF(Settings!$G$52="",Settings!$B$5,Settings!$G$52))),1,0)))))</f>
        <v/>
      </c>
      <c r="FB116">
        <f>IF($E116&lt;&gt;"open",0,IF(AND('Month-End'!$DI$30&lt;&gt;"",NOT(_xlfn.ISFORMULA('Month-End'!$DI$30))),0,IF(OR(Settings!$C$53="",Settings!$D$53=""),0,Settings!$C$53*IF(Settings!$D$53="Weekly",IF(IFERROR(MATCH(Settings!$E$53,$EO$4:$EO$10,0),0)=0,0,IF(MIN(Settings!$B$5,IF(Settings!$G$53="",Settings!$B$5,Settings!$G$53))&lt;MAX($A116,Settings!$F$53),0,INT((MIN(Settings!$B$5,IF(Settings!$G$53="",Settings!$B$5,Settings!$G$53))-MAX($A116,Settings!$F$53)-MOD(IFERROR(MATCH(Settings!$E$53,$EO$4:$EO$10,0),0)-WEEKDAY(MAX($A116,Settings!$F$53)),7))/7)+1)),IF(AND(IF(Settings!$E$53="",$B116,DATE(YEAR($A116),MONTH($A116),MIN(Settings!$E$53,DAY($B116))))&gt;=MAX($A116,Settings!$F$53),IF(Settings!$E$53="",$B116,DATE(YEAR($A116),MONTH($A116),MIN(Settings!$E$53,DAY($B116))))&lt;=MIN(Settings!$B$5,IF(Settings!$G$53="",Settings!$B$5,Settings!$G$53))),1,0)))))</f>
        <v/>
      </c>
      <c r="FC116">
        <f>IF($E116&lt;&gt;"open",0,IF(AND('Month-End'!$DI$31&lt;&gt;"",NOT(_xlfn.ISFORMULA('Month-End'!$DI$31))),0,IF(OR(Settings!$C$54="",Settings!$D$54=""),0,Settings!$C$54*IF(Settings!$D$54="Weekly",IF(IFERROR(MATCH(Settings!$E$54,$EO$4:$EO$10,0),0)=0,0,IF(MIN(Settings!$B$5,IF(Settings!$G$54="",Settings!$B$5,Settings!$G$54))&lt;MAX($A116,Settings!$F$54),0,INT((MIN(Settings!$B$5,IF(Settings!$G$54="",Settings!$B$5,Settings!$G$54))-MAX($A116,Settings!$F$54)-MOD(IFERROR(MATCH(Settings!$E$54,$EO$4:$EO$10,0),0)-WEEKDAY(MAX($A116,Settings!$F$54)),7))/7)+1)),IF(AND(IF(Settings!$E$54="",$B116,DATE(YEAR($A116),MONTH($A116),MIN(Settings!$E$54,DAY($B116))))&gt;=MAX($A116,Settings!$F$54),IF(Settings!$E$54="",$B116,DATE(YEAR($A116),MONTH($A116),MIN(Settings!$E$54,DAY($B116))))&lt;=MIN(Settings!$B$5,IF(Settings!$G$54="",Settings!$B$5,Settings!$G$54))),1,0)))))</f>
        <v/>
      </c>
      <c r="FD116">
        <f>IF($E116&lt;&gt;"open",0,IF(AND('Month-End'!$DI$32&lt;&gt;"",NOT(_xlfn.ISFORMULA('Month-End'!$DI$32))),0,IF(OR(Settings!$C$55="",Settings!$D$55=""),0,Settings!$C$55*IF(Settings!$D$55="Weekly",IF(IFERROR(MATCH(Settings!$E$55,$EO$4:$EO$10,0),0)=0,0,IF(MIN(Settings!$B$5,IF(Settings!$G$55="",Settings!$B$5,Settings!$G$55))&lt;MAX($A116,Settings!$F$55),0,INT((MIN(Settings!$B$5,IF(Settings!$G$55="",Settings!$B$5,Settings!$G$55))-MAX($A116,Settings!$F$55)-MOD(IFERROR(MATCH(Settings!$E$55,$EO$4:$EO$10,0),0)-WEEKDAY(MAX($A116,Settings!$F$55)),7))/7)+1)),IF(AND(IF(Settings!$E$55="",$B116,DATE(YEAR($A116),MONTH($A116),MIN(Settings!$E$55,DAY($B116))))&gt;=MAX($A116,Settings!$F$55),IF(Settings!$E$55="",$B116,DATE(YEAR($A116),MONTH($A116),MIN(Settings!$E$55,DAY($B116))))&lt;=MIN(Settings!$B$5,IF(Settings!$G$55="",Settings!$B$5,Settings!$G$55))),1,0)))))</f>
        <v/>
      </c>
      <c r="FE116">
        <f>IF($E116&lt;&gt;"open",0,IF(AND('Month-End'!$DI$33&lt;&gt;"",NOT(_xlfn.ISFORMULA('Month-End'!$DI$33))),0,IF(OR(Settings!$C$56="",Settings!$D$56=""),0,Settings!$C$56*IF(Settings!$D$56="Weekly",IF(IFERROR(MATCH(Settings!$E$56,$EO$4:$EO$10,0),0)=0,0,IF(MIN(Settings!$B$5,IF(Settings!$G$56="",Settings!$B$5,Settings!$G$56))&lt;MAX($A116,Settings!$F$56),0,INT((MIN(Settings!$B$5,IF(Settings!$G$56="",Settings!$B$5,Settings!$G$56))-MAX($A116,Settings!$F$56)-MOD(IFERROR(MATCH(Settings!$E$56,$EO$4:$EO$10,0),0)-WEEKDAY(MAX($A116,Settings!$F$56)),7))/7)+1)),IF(AND(IF(Settings!$E$56="",$B116,DATE(YEAR($A116),MONTH($A116),MIN(Settings!$E$56,DAY($B116))))&gt;=MAX($A116,Settings!$F$56),IF(Settings!$E$56="",$B116,DATE(YEAR($A116),MONTH($A116),MIN(Settings!$E$56,DAY($B116))))&lt;=MIN(Settings!$B$5,IF(Settings!$G$56="",Settings!$B$5,Settings!$G$56))),1,0)))))</f>
        <v/>
      </c>
      <c r="FF116">
        <f>IF(Settings!$I$45="Yes",$G116,0)+IF(Settings!$I$46="Yes",$H116,0)+IF(Settings!$I$47="Yes",$I116,0)+IF(Settings!$I$48="Yes",$J116,0)+IF(Settings!$I$49="Yes",$K116,0)+IF(Settings!$I$50="Yes",$L116,0)+IF(Settings!$I$51="Yes",$M116,0)+IF(Settings!$I$52="Yes",$N116,0)+IF(Settings!$I$53="Yes",$O116,0)+IF(Settings!$I$54="Yes",$P116,0)+IF(Settings!$I$55="Yes",$Q116,0)+IF(Settings!$I$56="Yes",$R116,0)</f>
        <v/>
      </c>
      <c r="FG116">
        <f>IF(AND(Settings!$I$45="Yes",Settings!$J$45="No"),$G116,0)+IF(AND(Settings!$I$46="Yes",Settings!$J$46="No"),$H116,0)+IF(AND(Settings!$I$47="Yes",Settings!$J$47="No"),$I116,0)+IF(AND(Settings!$I$48="Yes",Settings!$J$48="No"),$J116,0)+IF(AND(Settings!$I$49="Yes",Settings!$J$49="No"),$K116,0)+IF(AND(Settings!$I$50="Yes",Settings!$J$50="No"),$L116,0)+IF(AND(Settings!$I$51="Yes",Settings!$J$51="No"),$M116,0)+IF(AND(Settings!$I$52="Yes",Settings!$J$52="No"),$N116,0)+IF(AND(Settings!$I$53="Yes",Settings!$J$53="No"),$O116,0)+IF(AND(Settings!$I$54="Yes",Settings!$J$54="No"),$P116,0)+IF(AND(Settings!$I$55="Yes",Settings!$J$55="No"),$Q116,0)+IF(AND(Settings!$I$56="Yes",Settings!$J$56="No"),$R116,0)</f>
        <v/>
      </c>
      <c r="FH116">
        <f>SUMIFS(Giving!$B$7:$B$2006,Giving!$A$7:$A$2006,"&gt;="&amp;$A116,Giving!$A$7:$A$2006,"&lt;="&amp;$B116,Giving!$G$7:$G$2006,"Yes")+IF(OR(OR(Settings!$B$60="",Settings!$F$60="No"),Settings!$H$60&lt;&gt;"Yes"),0,Settings!$B$60*IF(AND(IF(Settings!$C$60="",$B116,DATE(YEAR($A116),MONTH($A116),MIN(Settings!$C$60,DAY($B116))))&gt;=MAX($A116,Settings!$D$60),IF(Settings!$C$60="",$B116,DATE(YEAR($A116),MONTH($A116),MIN(Settings!$C$60,DAY($B116))))&lt;=MIN($C116,IF(Settings!$E$60="",$C116,Settings!$E$60))),1,0))+IF(OR(OR(Settings!$B$61="",Settings!$F$61="No"),Settings!$H$61&lt;&gt;"Yes"),0,Settings!$B$61*IF(AND(IF(Settings!$C$61="",$B116,DATE(YEAR($A116),MONTH($A116),MIN(Settings!$C$61,DAY($B116))))&gt;=MAX($A116,Settings!$D$61),IF(Settings!$C$61="",$B116,DATE(YEAR($A116),MONTH($A116),MIN(Settings!$C$61,DAY($B116))))&lt;=MIN($C116,IF(Settings!$E$61="",$C116,Settings!$E$61))),1,0))+IF(OR(OR(Settings!$B$62="",Settings!$F$62="No"),Settings!$H$62&lt;&gt;"Yes"),0,Settings!$B$62*IF(AND(IF(Settings!$C$62="",$B116,DATE(YEAR($A116),MONTH($A116),MIN(Settings!$C$62,DAY($B116))))&gt;=MAX($A116,Settings!$D$62),IF(Settings!$C$62="",$B116,DATE(YEAR($A116),MONTH($A116),MIN(Settings!$C$62,DAY($B116))))&lt;=MIN($C116,IF(Settings!$E$62="",$C116,Settings!$E$62))),1,0))+IF(OR(OR(Settings!$B$63="",Settings!$F$63="No"),Settings!$H$63&lt;&gt;"Yes"),0,Settings!$B$63*IF(AND(IF(Settings!$C$63="",$B116,DATE(YEAR($A116),MONTH($A116),MIN(Settings!$C$63,DAY($B116))))&gt;=MAX($A116,Settings!$D$63),IF(Settings!$C$63="",$B116,DATE(YEAR($A116),MONTH($A116),MIN(Settings!$C$63,DAY($B116))))&lt;=MIN($C116,IF(Settings!$E$63="",$C116,Settings!$E$63))),1,0))+IF(OR(OR(Settings!$B$64="",Settings!$F$64="No"),Settings!$H$64&lt;&gt;"Yes"),0,Settings!$B$64*IF(AND(IF(Settings!$C$64="",$B116,DATE(YEAR($A116),MONTH($A116),MIN(Settings!$C$64,DAY($B116))))&gt;=MAX($A116,Settings!$D$64),IF(Settings!$C$64="",$B116,DATE(YEAR($A116),MONTH($A116),MIN(Settings!$C$64,DAY($B116))))&lt;=MIN($C116,IF(Settings!$E$64="",$C116,Settings!$E$64))),1,0))+IF(OR(OR(Settings!$B$65="",Settings!$F$65="No"),Settings!$H$65&lt;&gt;"Yes"),0,Settings!$B$65*IF(AND(IF(Settings!$C$65="",$B116,DATE(YEAR($A116),MONTH($A116),MIN(Settings!$C$65,DAY($B116))))&gt;=MAX($A116,Settings!$D$65),IF(Settings!$C$65="",$B116,DATE(YEAR($A116),MONTH($A116),MIN(Settings!$C$65,DAY($B116))))&lt;=MIN($C116,IF(Settings!$E$65="",$C116,Settings!$E$65))),1,0))</f>
        <v/>
      </c>
      <c r="FI116">
        <f>IF($DT116=1,IF(OR(Settings!$B$19="Card",Settings!$B$19="Loan"),N($AE116),0)+IF(OR(Settings!$B$20="Card",Settings!$B$20="Loan"),N($AF116),0)+IF(OR(Settings!$B$21="Card",Settings!$B$21="Loan"),N($AG116),0)+IF(OR(Settings!$B$22="Card",Settings!$B$22="Loan"),N($AH116),0)+IF(OR(Settings!$B$23="Card",Settings!$B$23="Loan"),N($AI116),0)+IF(OR(Settings!$B$24="Card",Settings!$B$24="Loan"),N($AJ116),0)+IF(OR(Settings!$B$25="Card",Settings!$B$25="Loan"),N($AK116),0)+IF(OR(Settings!$B$26="Card",Settings!$B$26="Loan"),N($AL116),0)+IF(OR(Settings!$B$27="Card",Settings!$B$27="Loan"),N($AM116),0)+IF(OR(Settings!$B$28="Card",Settings!$B$28="Loan"),N($AN116),0)+IF(OR(Settings!$B$29="Card",Settings!$B$29="Loan"),N($AO116),0)+IF(OR(Settings!$B$30="Card",Settings!$B$30="Loan"),N($AP116),0)+IF(OR(Settings!$B$31="Card",Settings!$B$31="Loan"),N($AQ116),0)+IF(OR(Settings!$B$32="Card",Settings!$B$32="Loan"),N($AR116),0),"")</f>
        <v/>
      </c>
      <c r="FJ116">
        <f>IF($E116="open",$EB$65,IF($E116="post",IF($E115="pre",$EB$65,$FI115),""))</f>
        <v/>
      </c>
      <c r="FK116">
        <f>IF(AND($DT116=1,$DC116=1),IF(ROUND($FI116-$FJ116,2)&gt;0,1,0),0)</f>
        <v/>
      </c>
      <c r="FL116">
        <f>IF($FK116=1,$FL115+1,0)</f>
        <v/>
      </c>
    </row>
    <row r="117">
      <c r="A117">
        <f>'Month-End'!$DJ$4</f>
        <v/>
      </c>
      <c r="B117">
        <f>EOMONTH($A117,0)</f>
        <v/>
      </c>
      <c r="C117">
        <f>MIN($B117,TODAY())</f>
        <v/>
      </c>
      <c r="D117">
        <f>IF($A117&gt;TODAY(),1,0)</f>
        <v/>
      </c>
      <c r="E117">
        <f>IF($B117&lt;=Settings!$B$5,"pre",IF($A117&lt;=Settings!$B$5,"open","post"))</f>
        <v/>
      </c>
      <c r="G117">
        <f>IF('Month-End'!$DJ$22="",$BE117,N('Month-End'!$DJ$22))</f>
        <v/>
      </c>
      <c r="H117">
        <f>IF('Month-End'!$DJ$23="",$BF117,N('Month-End'!$DJ$23))</f>
        <v/>
      </c>
      <c r="I117">
        <f>IF('Month-End'!$DJ$24="",$BG117,N('Month-End'!$DJ$24))</f>
        <v/>
      </c>
      <c r="J117">
        <f>IF('Month-End'!$DJ$25="",$BH117,N('Month-End'!$DJ$25))</f>
        <v/>
      </c>
      <c r="K117">
        <f>IF('Month-End'!$DJ$26="",$BI117,N('Month-End'!$DJ$26))</f>
        <v/>
      </c>
      <c r="L117">
        <f>IF('Month-End'!$DJ$27="",$BJ117,N('Month-End'!$DJ$27))</f>
        <v/>
      </c>
      <c r="M117">
        <f>IF('Month-End'!$DJ$28="",$BK117,N('Month-End'!$DJ$28))</f>
        <v/>
      </c>
      <c r="N117">
        <f>IF('Month-End'!$DJ$29="",$BL117,N('Month-End'!$DJ$29))</f>
        <v/>
      </c>
      <c r="O117">
        <f>IF('Month-End'!$DJ$30="",$BM117,N('Month-End'!$DJ$30))</f>
        <v/>
      </c>
      <c r="P117">
        <f>IF('Month-End'!$DJ$31="",$BN117,N('Month-End'!$DJ$31))</f>
        <v/>
      </c>
      <c r="Q117">
        <f>IF('Month-End'!$DJ$32="",$BO117,N('Month-End'!$DJ$32))</f>
        <v/>
      </c>
      <c r="R117">
        <f>IF('Month-End'!$DJ$33="",$BP117,N('Month-End'!$DJ$33))</f>
        <v/>
      </c>
      <c r="S117">
        <f>$G117+$H117+$I117+$J117+$K117+$L117+$M117+$N117+$O117+$P117+$Q117+$R117</f>
        <v/>
      </c>
      <c r="T117">
        <f>IF($B117&lt;Settings!$B$6,0,IF(Settings!$B$45="Yes",$G117,0)+IF(Settings!$B$46="Yes",$H117,0)+IF(Settings!$B$47="Yes",$I117,0)+IF(Settings!$B$48="Yes",$J117,0)+IF(Settings!$B$49="Yes",$K117,0)+IF(Settings!$B$50="Yes",$L117,0)+IF(Settings!$B$51="Yes",$M117,0)+IF(Settings!$B$52="Yes",$N117,0)+IF(Settings!$B$53="Yes",$O117,0)+IF(Settings!$B$54="Yes",$P117,0)+IF(Settings!$B$55="Yes",$Q117,0)+IF(Settings!$B$56="Yes",$R117,0))</f>
        <v/>
      </c>
      <c r="U117">
        <f>IF(Settings!$B$45="Not Sure",$G117,0)+IF(Settings!$B$46="Not Sure",$H117,0)+IF(Settings!$B$47="Not Sure",$I117,0)+IF(Settings!$B$48="Not Sure",$J117,0)+IF(Settings!$B$49="Not Sure",$K117,0)+IF(Settings!$B$50="Not Sure",$L117,0)+IF(Settings!$B$51="Not Sure",$M117,0)+IF(Settings!$B$52="Not Sure",$N117,0)+IF(Settings!$B$53="Not Sure",$O117,0)+IF(Settings!$B$54="Not Sure",$P117,0)+IF(Settings!$B$55="Not Sure",$Q117,0)+IF(Settings!$B$56="Not Sure",$R117,0)</f>
        <v/>
      </c>
      <c r="V117">
        <f>IF($E117="open",SUM($ET117:$FE117)+N(Settings!$B$13),0)</f>
        <v/>
      </c>
      <c r="W117">
        <f>IF($E117="post",$S117,IF($E117="open",$S117-$V117,0))</f>
        <v/>
      </c>
      <c r="X117">
        <f>SUMIFS(Giving!$B$7:$B$2006,Giving!$A$7:$A$2006,"&gt;="&amp;$A117,Giving!$A$7:$A$2006,"&lt;="&amp;$B117,Giving!$E$7:$E$2006,"&lt;&gt;No")</f>
        <v/>
      </c>
      <c r="Y117">
        <f>SUMIFS(Giving!$B$7:$B$2006,Giving!$A$7:$A$2006,"&gt;="&amp;$A117,Giving!$A$7:$A$2006,"&lt;="&amp;$B117,Giving!$E$7:$E$2006,"No")</f>
        <v/>
      </c>
      <c r="Z117">
        <f>IF(OR(Settings!$B$60="",Settings!$F$60="No"),0,Settings!$B$60*IF(AND(IF(Settings!$C$60="",$B117,DATE(YEAR($A117),MONTH($A117),MIN(Settings!$C$60,DAY($B117))))&gt;=MAX($A117,Settings!$D$60),IF(Settings!$C$60="",$B117,DATE(YEAR($A117),MONTH($A117),MIN(Settings!$C$60,DAY($B117))))&lt;=MIN($C117,IF(Settings!$E$60="",$C117,Settings!$E$60))),1,0))+IF(OR(Settings!$B$61="",Settings!$F$61="No"),0,Settings!$B$61*IF(AND(IF(Settings!$C$61="",$B117,DATE(YEAR($A117),MONTH($A117),MIN(Settings!$C$61,DAY($B117))))&gt;=MAX($A117,Settings!$D$61),IF(Settings!$C$61="",$B117,DATE(YEAR($A117),MONTH($A117),MIN(Settings!$C$61,DAY($B117))))&lt;=MIN($C117,IF(Settings!$E$61="",$C117,Settings!$E$61))),1,0))+IF(OR(Settings!$B$62="",Settings!$F$62="No"),0,Settings!$B$62*IF(AND(IF(Settings!$C$62="",$B117,DATE(YEAR($A117),MONTH($A117),MIN(Settings!$C$62,DAY($B117))))&gt;=MAX($A117,Settings!$D$62),IF(Settings!$C$62="",$B117,DATE(YEAR($A117),MONTH($A117),MIN(Settings!$C$62,DAY($B117))))&lt;=MIN($C117,IF(Settings!$E$62="",$C117,Settings!$E$62))),1,0))+IF(OR(Settings!$B$63="",Settings!$F$63="No"),0,Settings!$B$63*IF(AND(IF(Settings!$C$63="",$B117,DATE(YEAR($A117),MONTH($A117),MIN(Settings!$C$63,DAY($B117))))&gt;=MAX($A117,Settings!$D$63),IF(Settings!$C$63="",$B117,DATE(YEAR($A117),MONTH($A117),MIN(Settings!$C$63,DAY($B117))))&lt;=MIN($C117,IF(Settings!$E$63="",$C117,Settings!$E$63))),1,0))+IF(OR(Settings!$B$64="",Settings!$F$64="No"),0,Settings!$B$64*IF(AND(IF(Settings!$C$64="",$B117,DATE(YEAR($A117),MONTH($A117),MIN(Settings!$C$64,DAY($B117))))&gt;=MAX($A117,Settings!$D$64),IF(Settings!$C$64="",$B117,DATE(YEAR($A117),MONTH($A117),MIN(Settings!$C$64,DAY($B117))))&lt;=MIN($C117,IF(Settings!$E$64="",$C117,Settings!$E$64))),1,0))+IF(OR(Settings!$B$65="",Settings!$F$65="No"),0,Settings!$B$65*IF(AND(IF(Settings!$C$65="",$B117,DATE(YEAR($A117),MONTH($A117),MIN(Settings!$C$65,DAY($B117))))&gt;=MAX($A117,Settings!$D$65),IF(Settings!$C$65="",$B117,DATE(YEAR($A117),MONTH($A117),MIN(Settings!$C$65,DAY($B117))))&lt;=MIN($C117,IF(Settings!$E$65="",$C117,Settings!$E$65))),1,0))</f>
        <v/>
      </c>
      <c r="AA117">
        <f>$X117+$Z117</f>
        <v/>
      </c>
      <c r="AB117">
        <f>IF($E117="post",$AA117,IF($E117="open",SUMIFS(Giving!$B$7:$B$2006,Giving!$A$7:$A$2006,"&gt;"&amp;Settings!$B$5,Giving!$A$7:$A$2006,"&lt;="&amp;$B117,Giving!$E$7:$E$2006,"&lt;&gt;No")+IF(OR(Settings!$B$60="",Settings!$F$60="No"),0,Settings!$B$60*IF(AND(IF(Settings!$C$60="",$B117,DATE(YEAR($A117),MONTH($A117),MIN(Settings!$C$60,DAY($B117))))&gt;=MAX($A117,Settings!$D$60,Settings!$B$5+1),IF(Settings!$C$60="",$B117,DATE(YEAR($A117),MONTH($A117),MIN(Settings!$C$60,DAY($B117))))&lt;=MIN($C117,IF(Settings!$E$60="",$C117,Settings!$E$60))),1,0))+IF(OR(Settings!$B$61="",Settings!$F$61="No"),0,Settings!$B$61*IF(AND(IF(Settings!$C$61="",$B117,DATE(YEAR($A117),MONTH($A117),MIN(Settings!$C$61,DAY($B117))))&gt;=MAX($A117,Settings!$D$61,Settings!$B$5+1),IF(Settings!$C$61="",$B117,DATE(YEAR($A117),MONTH($A117),MIN(Settings!$C$61,DAY($B117))))&lt;=MIN($C117,IF(Settings!$E$61="",$C117,Settings!$E$61))),1,0))+IF(OR(Settings!$B$62="",Settings!$F$62="No"),0,Settings!$B$62*IF(AND(IF(Settings!$C$62="",$B117,DATE(YEAR($A117),MONTH($A117),MIN(Settings!$C$62,DAY($B117))))&gt;=MAX($A117,Settings!$D$62,Settings!$B$5+1),IF(Settings!$C$62="",$B117,DATE(YEAR($A117),MONTH($A117),MIN(Settings!$C$62,DAY($B117))))&lt;=MIN($C117,IF(Settings!$E$62="",$C117,Settings!$E$62))),1,0))+IF(OR(Settings!$B$63="",Settings!$F$63="No"),0,Settings!$B$63*IF(AND(IF(Settings!$C$63="",$B117,DATE(YEAR($A117),MONTH($A117),MIN(Settings!$C$63,DAY($B117))))&gt;=MAX($A117,Settings!$D$63,Settings!$B$5+1),IF(Settings!$C$63="",$B117,DATE(YEAR($A117),MONTH($A117),MIN(Settings!$C$63,DAY($B117))))&lt;=MIN($C117,IF(Settings!$E$63="",$C117,Settings!$E$63))),1,0))+IF(OR(Settings!$B$64="",Settings!$F$64="No"),0,Settings!$B$64*IF(AND(IF(Settings!$C$64="",$B117,DATE(YEAR($A117),MONTH($A117),MIN(Settings!$C$64,DAY($B117))))&gt;=MAX($A117,Settings!$D$64,Settings!$B$5+1),IF(Settings!$C$64="",$B117,DATE(YEAR($A117),MONTH($A117),MIN(Settings!$C$64,DAY($B117))))&lt;=MIN($C117,IF(Settings!$E$64="",$C117,Settings!$E$64))),1,0))+IF(OR(Settings!$B$65="",Settings!$F$65="No"),0,Settings!$B$65*IF(AND(IF(Settings!$C$65="",$B117,DATE(YEAR($A117),MONTH($A117),MIN(Settings!$C$65,DAY($B117))))&gt;=MAX($A117,Settings!$D$65,Settings!$B$5+1),IF(Settings!$C$65="",$B117,DATE(YEAR($A117),MONTH($A117),MIN(Settings!$C$65,DAY($B117))))&lt;=MIN($C117,IF(Settings!$E$65="",$C117,Settings!$E$65))),1,0)),0))</f>
        <v/>
      </c>
      <c r="AC117">
        <f>$AY117+$AZ117+$BA117+$BB117+$BC117+$BD117</f>
        <v/>
      </c>
      <c r="AD117">
        <f>$AC117</f>
        <v/>
      </c>
      <c r="AE117">
        <f>IF(OR(Settings!$A$19="",$E117="pre"),"",IF(AND('Month-End'!$DJ$7&lt;&gt;"",NOT(_xlfn.ISFORMULA('Month-End'!$DJ$7))),N('Month-End'!$DJ$7),IF(OR($E117="open",$E116="pre"),N(Settings!$C$19),N($AE116))))</f>
        <v/>
      </c>
      <c r="AF117">
        <f>IF(OR(Settings!$A$20="",$E117="pre"),"",IF(AND('Month-End'!$DJ$8&lt;&gt;"",NOT(_xlfn.ISFORMULA('Month-End'!$DJ$8))),N('Month-End'!$DJ$8),IF(OR($E117="open",$E116="pre"),N(Settings!$C$20),N($AF116))))</f>
        <v/>
      </c>
      <c r="AG117">
        <f>IF(OR(Settings!$A$21="",$E117="pre"),"",IF(AND('Month-End'!$DJ$9&lt;&gt;"",NOT(_xlfn.ISFORMULA('Month-End'!$DJ$9))),N('Month-End'!$DJ$9),IF(OR($E117="open",$E116="pre"),N(Settings!$C$21),N($AG116))))</f>
        <v/>
      </c>
      <c r="AH117">
        <f>IF(OR(Settings!$A$22="",$E117="pre"),"",IF(AND('Month-End'!$DJ$10&lt;&gt;"",NOT(_xlfn.ISFORMULA('Month-End'!$DJ$10))),N('Month-End'!$DJ$10),IF(OR($E117="open",$E116="pre"),N(Settings!$C$22),N($AH116))))</f>
        <v/>
      </c>
      <c r="AI117">
        <f>IF(OR(Settings!$A$23="",$E117="pre"),"",IF(AND('Month-End'!$DJ$11&lt;&gt;"",NOT(_xlfn.ISFORMULA('Month-End'!$DJ$11))),N('Month-End'!$DJ$11),IF(OR($E117="open",$E116="pre"),N(Settings!$C$23),N($AI116))))</f>
        <v/>
      </c>
      <c r="AJ117">
        <f>IF(OR(Settings!$A$24="",$E117="pre"),"",IF(AND('Month-End'!$DJ$12&lt;&gt;"",NOT(_xlfn.ISFORMULA('Month-End'!$DJ$12))),N('Month-End'!$DJ$12),IF(OR($E117="open",$E116="pre"),N(Settings!$C$24),N($AJ116))))</f>
        <v/>
      </c>
      <c r="AK117">
        <f>IF(OR(Settings!$A$25="",$E117="pre"),"",IF(AND('Month-End'!$DJ$13&lt;&gt;"",NOT(_xlfn.ISFORMULA('Month-End'!$DJ$13))),N('Month-End'!$DJ$13),IF(OR($E117="open",$E116="pre"),N(Settings!$C$25),N($AK116))))</f>
        <v/>
      </c>
      <c r="AL117">
        <f>IF(OR(Settings!$A$26="",$E117="pre"),"",IF(AND('Month-End'!$DJ$14&lt;&gt;"",NOT(_xlfn.ISFORMULA('Month-End'!$DJ$14))),N('Month-End'!$DJ$14),IF(OR($E117="open",$E116="pre"),N(Settings!$C$26),N($AL116))))</f>
        <v/>
      </c>
      <c r="AM117">
        <f>IF(OR(Settings!$A$27="",$E117="pre"),"",IF(AND('Month-End'!$DJ$15&lt;&gt;"",NOT(_xlfn.ISFORMULA('Month-End'!$DJ$15))),N('Month-End'!$DJ$15),IF(OR($E117="open",$E116="pre"),N(Settings!$C$27),N($AM116))))</f>
        <v/>
      </c>
      <c r="AN117">
        <f>IF(OR(Settings!$A$28="",$E117="pre"),"",IF(AND('Month-End'!$DJ$16&lt;&gt;"",NOT(_xlfn.ISFORMULA('Month-End'!$DJ$16))),N('Month-End'!$DJ$16),IF(OR($E117="open",$E116="pre"),N(Settings!$C$28),N($AN116))))</f>
        <v/>
      </c>
      <c r="AO117">
        <f>IF(OR(Settings!$A$29="",$E117="pre"),"",IF(AND('Month-End'!$DJ$17&lt;&gt;"",NOT(_xlfn.ISFORMULA('Month-End'!$DJ$17))),N('Month-End'!$DJ$17),IF(OR($E117="open",$E116="pre"),N(Settings!$C$29),N($AO116))))</f>
        <v/>
      </c>
      <c r="AP117">
        <f>IF(OR(Settings!$A$30="",$E117="pre"),"",IF(AND('Month-End'!$DJ$18&lt;&gt;"",NOT(_xlfn.ISFORMULA('Month-End'!$DJ$18))),N('Month-End'!$DJ$18),IF(OR($E117="open",$E116="pre"),N(Settings!$C$30),N($AP116))))</f>
        <v/>
      </c>
      <c r="AQ117">
        <f>IF(OR(Settings!$A$31="",$E117="pre"),"",IF(AND('Month-End'!$DJ$19&lt;&gt;"",NOT(_xlfn.ISFORMULA('Month-End'!$DJ$19))),N('Month-End'!$DJ$19),IF(OR($E117="open",$E116="pre"),N(Settings!$C$31),N($AQ116))))</f>
        <v/>
      </c>
      <c r="AR117">
        <f>IF(OR(Settings!$A$32="",$E117="pre"),"",IF(AND('Month-End'!$DJ$20&lt;&gt;"",NOT(_xlfn.ISFORMULA('Month-End'!$DJ$20))),N('Month-End'!$DJ$20),IF(OR($E117="open",$E116="pre"),N(Settings!$C$32),N($AR116))))</f>
        <v/>
      </c>
      <c r="AS117">
        <f>IF(OR(Settings!$A$36="",$E117="pre"),"",IF(AND('Month-End'!$DJ$38&lt;&gt;"",NOT(_xlfn.ISFORMULA('Month-End'!$DJ$38))),N('Month-End'!$DJ$38),IF(OR($E117="open",$E116="pre"),N(Settings!$C$36),N($AS116))+$AY117))</f>
        <v/>
      </c>
      <c r="AT117">
        <f>IF(OR(Settings!$A$37="",$E117="pre"),"",IF(AND('Month-End'!$DJ$39&lt;&gt;"",NOT(_xlfn.ISFORMULA('Month-End'!$DJ$39))),N('Month-End'!$DJ$39),IF(OR($E117="open",$E116="pre"),N(Settings!$C$37),N($AT116))+$AZ117))</f>
        <v/>
      </c>
      <c r="AU117">
        <f>IF(OR(Settings!$A$38="",$E117="pre"),"",IF(AND('Month-End'!$DJ$40&lt;&gt;"",NOT(_xlfn.ISFORMULA('Month-End'!$DJ$40))),N('Month-End'!$DJ$40),IF(OR($E117="open",$E116="pre"),N(Settings!$C$38),N($AU116))+$BA117))</f>
        <v/>
      </c>
      <c r="AV117">
        <f>IF(OR(Settings!$A$39="",$E117="pre"),"",IF(AND('Month-End'!$DJ$41&lt;&gt;"",NOT(_xlfn.ISFORMULA('Month-End'!$DJ$41))),N('Month-End'!$DJ$41),IF(OR($E117="open",$E116="pre"),N(Settings!$C$39),N($AV116))+$BB117))</f>
        <v/>
      </c>
      <c r="AW117">
        <f>IF(OR(Settings!$A$40="",$E117="pre"),"",IF(AND('Month-End'!$DJ$42&lt;&gt;"",NOT(_xlfn.ISFORMULA('Month-End'!$DJ$42))),N('Month-End'!$DJ$42),IF(OR($E117="open",$E116="pre"),N(Settings!$C$40),N($AW116))+$BC117))</f>
        <v/>
      </c>
      <c r="AX117">
        <f>IF(OR(Settings!$A$41="",$E117="pre"),"",IF(AND('Month-End'!$DJ$43&lt;&gt;"",NOT(_xlfn.ISFORMULA('Month-End'!$DJ$43))),N('Month-End'!$DJ$43),IF(OR($E117="open",$E116="pre"),N(Settings!$C$41),N($AX116))+$BD117))</f>
        <v/>
      </c>
      <c r="AY117">
        <f>IF($E117="pre",0,N('Month-End'!$DJ$45))</f>
        <v/>
      </c>
      <c r="AZ117">
        <f>IF($E117="pre",0,N('Month-End'!$DJ$46))</f>
        <v/>
      </c>
      <c r="BA117">
        <f>IF($E117="pre",0,N('Month-End'!$DJ$47))</f>
        <v/>
      </c>
      <c r="BB117">
        <f>IF($E117="pre",0,N('Month-End'!$DJ$48))</f>
        <v/>
      </c>
      <c r="BC117">
        <f>IF($E117="pre",0,N('Month-End'!$DJ$49))</f>
        <v/>
      </c>
      <c r="BD117">
        <f>IF($E117="pre",0,N('Month-End'!$DJ$50))</f>
        <v/>
      </c>
      <c r="BE117">
        <f>IF(OR(Settings!$C$45="",Settings!$D$45=""),0,Settings!$C$45*IF(Settings!$D$45="Weekly",IF(IFERROR(MATCH(Settings!$E$45,$EO$4:$EO$10,0),0)=0,0,IF(MIN($C117,IF(Settings!$G$45="",$C117,Settings!$G$45))&lt;MAX($A117,Settings!$F$45),0,INT((MIN($C117,IF(Settings!$G$45="",$C117,Settings!$G$45))-MAX($A117,Settings!$F$45)-MOD(IFERROR(MATCH(Settings!$E$45,$EO$4:$EO$10,0),0)-WEEKDAY(MAX($A117,Settings!$F$45)),7))/7)+1)),IF(AND(IF(Settings!$E$45="",$B117,DATE(YEAR($A117),MONTH($A117),MIN(Settings!$E$45,DAY($B117))))&gt;=MAX($A117,Settings!$F$45),IF(Settings!$E$45="",$B117,DATE(YEAR($A117),MONTH($A117),MIN(Settings!$E$45,DAY($B117))))&lt;=MIN($C117,IF(Settings!$G$45="",$C117,Settings!$G$45))),1,0)))</f>
        <v/>
      </c>
      <c r="BF117">
        <f>IF(OR(Settings!$C$46="",Settings!$D$46=""),0,Settings!$C$46*IF(Settings!$D$46="Weekly",IF(IFERROR(MATCH(Settings!$E$46,$EO$4:$EO$10,0),0)=0,0,IF(MIN($C117,IF(Settings!$G$46="",$C117,Settings!$G$46))&lt;MAX($A117,Settings!$F$46),0,INT((MIN($C117,IF(Settings!$G$46="",$C117,Settings!$G$46))-MAX($A117,Settings!$F$46)-MOD(IFERROR(MATCH(Settings!$E$46,$EO$4:$EO$10,0),0)-WEEKDAY(MAX($A117,Settings!$F$46)),7))/7)+1)),IF(AND(IF(Settings!$E$46="",$B117,DATE(YEAR($A117),MONTH($A117),MIN(Settings!$E$46,DAY($B117))))&gt;=MAX($A117,Settings!$F$46),IF(Settings!$E$46="",$B117,DATE(YEAR($A117),MONTH($A117),MIN(Settings!$E$46,DAY($B117))))&lt;=MIN($C117,IF(Settings!$G$46="",$C117,Settings!$G$46))),1,0)))</f>
        <v/>
      </c>
      <c r="BG117">
        <f>IF(OR(Settings!$C$47="",Settings!$D$47=""),0,Settings!$C$47*IF(Settings!$D$47="Weekly",IF(IFERROR(MATCH(Settings!$E$47,$EO$4:$EO$10,0),0)=0,0,IF(MIN($C117,IF(Settings!$G$47="",$C117,Settings!$G$47))&lt;MAX($A117,Settings!$F$47),0,INT((MIN($C117,IF(Settings!$G$47="",$C117,Settings!$G$47))-MAX($A117,Settings!$F$47)-MOD(IFERROR(MATCH(Settings!$E$47,$EO$4:$EO$10,0),0)-WEEKDAY(MAX($A117,Settings!$F$47)),7))/7)+1)),IF(AND(IF(Settings!$E$47="",$B117,DATE(YEAR($A117),MONTH($A117),MIN(Settings!$E$47,DAY($B117))))&gt;=MAX($A117,Settings!$F$47),IF(Settings!$E$47="",$B117,DATE(YEAR($A117),MONTH($A117),MIN(Settings!$E$47,DAY($B117))))&lt;=MIN($C117,IF(Settings!$G$47="",$C117,Settings!$G$47))),1,0)))</f>
        <v/>
      </c>
      <c r="BH117">
        <f>IF(OR(Settings!$C$48="",Settings!$D$48=""),0,Settings!$C$48*IF(Settings!$D$48="Weekly",IF(IFERROR(MATCH(Settings!$E$48,$EO$4:$EO$10,0),0)=0,0,IF(MIN($C117,IF(Settings!$G$48="",$C117,Settings!$G$48))&lt;MAX($A117,Settings!$F$48),0,INT((MIN($C117,IF(Settings!$G$48="",$C117,Settings!$G$48))-MAX($A117,Settings!$F$48)-MOD(IFERROR(MATCH(Settings!$E$48,$EO$4:$EO$10,0),0)-WEEKDAY(MAX($A117,Settings!$F$48)),7))/7)+1)),IF(AND(IF(Settings!$E$48="",$B117,DATE(YEAR($A117),MONTH($A117),MIN(Settings!$E$48,DAY($B117))))&gt;=MAX($A117,Settings!$F$48),IF(Settings!$E$48="",$B117,DATE(YEAR($A117),MONTH($A117),MIN(Settings!$E$48,DAY($B117))))&lt;=MIN($C117,IF(Settings!$G$48="",$C117,Settings!$G$48))),1,0)))</f>
        <v/>
      </c>
      <c r="BI117">
        <f>IF(OR(Settings!$C$49="",Settings!$D$49=""),0,Settings!$C$49*IF(Settings!$D$49="Weekly",IF(IFERROR(MATCH(Settings!$E$49,$EO$4:$EO$10,0),0)=0,0,IF(MIN($C117,IF(Settings!$G$49="",$C117,Settings!$G$49))&lt;MAX($A117,Settings!$F$49),0,INT((MIN($C117,IF(Settings!$G$49="",$C117,Settings!$G$49))-MAX($A117,Settings!$F$49)-MOD(IFERROR(MATCH(Settings!$E$49,$EO$4:$EO$10,0),0)-WEEKDAY(MAX($A117,Settings!$F$49)),7))/7)+1)),IF(AND(IF(Settings!$E$49="",$B117,DATE(YEAR($A117),MONTH($A117),MIN(Settings!$E$49,DAY($B117))))&gt;=MAX($A117,Settings!$F$49),IF(Settings!$E$49="",$B117,DATE(YEAR($A117),MONTH($A117),MIN(Settings!$E$49,DAY($B117))))&lt;=MIN($C117,IF(Settings!$G$49="",$C117,Settings!$G$49))),1,0)))</f>
        <v/>
      </c>
      <c r="BJ117">
        <f>IF(OR(Settings!$C$50="",Settings!$D$50=""),0,Settings!$C$50*IF(Settings!$D$50="Weekly",IF(IFERROR(MATCH(Settings!$E$50,$EO$4:$EO$10,0),0)=0,0,IF(MIN($C117,IF(Settings!$G$50="",$C117,Settings!$G$50))&lt;MAX($A117,Settings!$F$50),0,INT((MIN($C117,IF(Settings!$G$50="",$C117,Settings!$G$50))-MAX($A117,Settings!$F$50)-MOD(IFERROR(MATCH(Settings!$E$50,$EO$4:$EO$10,0),0)-WEEKDAY(MAX($A117,Settings!$F$50)),7))/7)+1)),IF(AND(IF(Settings!$E$50="",$B117,DATE(YEAR($A117),MONTH($A117),MIN(Settings!$E$50,DAY($B117))))&gt;=MAX($A117,Settings!$F$50),IF(Settings!$E$50="",$B117,DATE(YEAR($A117),MONTH($A117),MIN(Settings!$E$50,DAY($B117))))&lt;=MIN($C117,IF(Settings!$G$50="",$C117,Settings!$G$50))),1,0)))</f>
        <v/>
      </c>
      <c r="BK117">
        <f>IF(OR(Settings!$C$51="",Settings!$D$51=""),0,Settings!$C$51*IF(Settings!$D$51="Weekly",IF(IFERROR(MATCH(Settings!$E$51,$EO$4:$EO$10,0),0)=0,0,IF(MIN($C117,IF(Settings!$G$51="",$C117,Settings!$G$51))&lt;MAX($A117,Settings!$F$51),0,INT((MIN($C117,IF(Settings!$G$51="",$C117,Settings!$G$51))-MAX($A117,Settings!$F$51)-MOD(IFERROR(MATCH(Settings!$E$51,$EO$4:$EO$10,0),0)-WEEKDAY(MAX($A117,Settings!$F$51)),7))/7)+1)),IF(AND(IF(Settings!$E$51="",$B117,DATE(YEAR($A117),MONTH($A117),MIN(Settings!$E$51,DAY($B117))))&gt;=MAX($A117,Settings!$F$51),IF(Settings!$E$51="",$B117,DATE(YEAR($A117),MONTH($A117),MIN(Settings!$E$51,DAY($B117))))&lt;=MIN($C117,IF(Settings!$G$51="",$C117,Settings!$G$51))),1,0)))</f>
        <v/>
      </c>
      <c r="BL117">
        <f>IF(OR(Settings!$C$52="",Settings!$D$52=""),0,Settings!$C$52*IF(Settings!$D$52="Weekly",IF(IFERROR(MATCH(Settings!$E$52,$EO$4:$EO$10,0),0)=0,0,IF(MIN($C117,IF(Settings!$G$52="",$C117,Settings!$G$52))&lt;MAX($A117,Settings!$F$52),0,INT((MIN($C117,IF(Settings!$G$52="",$C117,Settings!$G$52))-MAX($A117,Settings!$F$52)-MOD(IFERROR(MATCH(Settings!$E$52,$EO$4:$EO$10,0),0)-WEEKDAY(MAX($A117,Settings!$F$52)),7))/7)+1)),IF(AND(IF(Settings!$E$52="",$B117,DATE(YEAR($A117),MONTH($A117),MIN(Settings!$E$52,DAY($B117))))&gt;=MAX($A117,Settings!$F$52),IF(Settings!$E$52="",$B117,DATE(YEAR($A117),MONTH($A117),MIN(Settings!$E$52,DAY($B117))))&lt;=MIN($C117,IF(Settings!$G$52="",$C117,Settings!$G$52))),1,0)))</f>
        <v/>
      </c>
      <c r="BM117">
        <f>IF(OR(Settings!$C$53="",Settings!$D$53=""),0,Settings!$C$53*IF(Settings!$D$53="Weekly",IF(IFERROR(MATCH(Settings!$E$53,$EO$4:$EO$10,0),0)=0,0,IF(MIN($C117,IF(Settings!$G$53="",$C117,Settings!$G$53))&lt;MAX($A117,Settings!$F$53),0,INT((MIN($C117,IF(Settings!$G$53="",$C117,Settings!$G$53))-MAX($A117,Settings!$F$53)-MOD(IFERROR(MATCH(Settings!$E$53,$EO$4:$EO$10,0),0)-WEEKDAY(MAX($A117,Settings!$F$53)),7))/7)+1)),IF(AND(IF(Settings!$E$53="",$B117,DATE(YEAR($A117),MONTH($A117),MIN(Settings!$E$53,DAY($B117))))&gt;=MAX($A117,Settings!$F$53),IF(Settings!$E$53="",$B117,DATE(YEAR($A117),MONTH($A117),MIN(Settings!$E$53,DAY($B117))))&lt;=MIN($C117,IF(Settings!$G$53="",$C117,Settings!$G$53))),1,0)))</f>
        <v/>
      </c>
      <c r="BN117">
        <f>IF(OR(Settings!$C$54="",Settings!$D$54=""),0,Settings!$C$54*IF(Settings!$D$54="Weekly",IF(IFERROR(MATCH(Settings!$E$54,$EO$4:$EO$10,0),0)=0,0,IF(MIN($C117,IF(Settings!$G$54="",$C117,Settings!$G$54))&lt;MAX($A117,Settings!$F$54),0,INT((MIN($C117,IF(Settings!$G$54="",$C117,Settings!$G$54))-MAX($A117,Settings!$F$54)-MOD(IFERROR(MATCH(Settings!$E$54,$EO$4:$EO$10,0),0)-WEEKDAY(MAX($A117,Settings!$F$54)),7))/7)+1)),IF(AND(IF(Settings!$E$54="",$B117,DATE(YEAR($A117),MONTH($A117),MIN(Settings!$E$54,DAY($B117))))&gt;=MAX($A117,Settings!$F$54),IF(Settings!$E$54="",$B117,DATE(YEAR($A117),MONTH($A117),MIN(Settings!$E$54,DAY($B117))))&lt;=MIN($C117,IF(Settings!$G$54="",$C117,Settings!$G$54))),1,0)))</f>
        <v/>
      </c>
      <c r="BO117">
        <f>IF(OR(Settings!$C$55="",Settings!$D$55=""),0,Settings!$C$55*IF(Settings!$D$55="Weekly",IF(IFERROR(MATCH(Settings!$E$55,$EO$4:$EO$10,0),0)=0,0,IF(MIN($C117,IF(Settings!$G$55="",$C117,Settings!$G$55))&lt;MAX($A117,Settings!$F$55),0,INT((MIN($C117,IF(Settings!$G$55="",$C117,Settings!$G$55))-MAX($A117,Settings!$F$55)-MOD(IFERROR(MATCH(Settings!$E$55,$EO$4:$EO$10,0),0)-WEEKDAY(MAX($A117,Settings!$F$55)),7))/7)+1)),IF(AND(IF(Settings!$E$55="",$B117,DATE(YEAR($A117),MONTH($A117),MIN(Settings!$E$55,DAY($B117))))&gt;=MAX($A117,Settings!$F$55),IF(Settings!$E$55="",$B117,DATE(YEAR($A117),MONTH($A117),MIN(Settings!$E$55,DAY($B117))))&lt;=MIN($C117,IF(Settings!$G$55="",$C117,Settings!$G$55))),1,0)))</f>
        <v/>
      </c>
      <c r="BP117">
        <f>IF(OR(Settings!$C$56="",Settings!$D$56=""),0,Settings!$C$56*IF(Settings!$D$56="Weekly",IF(IFERROR(MATCH(Settings!$E$56,$EO$4:$EO$10,0),0)=0,0,IF(MIN($C117,IF(Settings!$G$56="",$C117,Settings!$G$56))&lt;MAX($A117,Settings!$F$56),0,INT((MIN($C117,IF(Settings!$G$56="",$C117,Settings!$G$56))-MAX($A117,Settings!$F$56)-MOD(IFERROR(MATCH(Settings!$E$56,$EO$4:$EO$10,0),0)-WEEKDAY(MAX($A117,Settings!$F$56)),7))/7)+1)),IF(AND(IF(Settings!$E$56="",$B117,DATE(YEAR($A117),MONTH($A117),MIN(Settings!$E$56,DAY($B117))))&gt;=MAX($A117,Settings!$F$56),IF(Settings!$E$56="",$B117,DATE(YEAR($A117),MONTH($A117),MIN(Settings!$E$56,DAY($B117))))&lt;=MIN($C117,IF(Settings!$G$56="",$C117,Settings!$G$56))),1,0)))</f>
        <v/>
      </c>
      <c r="BQ117">
        <f>IF(OR(Settings!$B$14="",$D117=1,$E117="pre",$A117&lt;IF(Settings!$B$15="",0,Settings!$B$15)),0,Settings!$B$14)</f>
        <v/>
      </c>
      <c r="BR117">
        <f>IF(AND('Month-End'!$DJ$7&lt;&gt;"",NOT(_xlfn.ISFORMULA('Month-End'!$DJ$7))),1,0)</f>
        <v/>
      </c>
      <c r="BS117">
        <f>IF(AND('Month-End'!$DJ$8&lt;&gt;"",NOT(_xlfn.ISFORMULA('Month-End'!$DJ$8))),1,0)</f>
        <v/>
      </c>
      <c r="BT117">
        <f>IF(AND('Month-End'!$DJ$9&lt;&gt;"",NOT(_xlfn.ISFORMULA('Month-End'!$DJ$9))),1,0)</f>
        <v/>
      </c>
      <c r="BU117">
        <f>IF(AND('Month-End'!$DJ$10&lt;&gt;"",NOT(_xlfn.ISFORMULA('Month-End'!$DJ$10))),1,0)</f>
        <v/>
      </c>
      <c r="BV117">
        <f>IF(AND('Month-End'!$DJ$11&lt;&gt;"",NOT(_xlfn.ISFORMULA('Month-End'!$DJ$11))),1,0)</f>
        <v/>
      </c>
      <c r="BW117">
        <f>IF(AND('Month-End'!$DJ$12&lt;&gt;"",NOT(_xlfn.ISFORMULA('Month-End'!$DJ$12))),1,0)</f>
        <v/>
      </c>
      <c r="BX117">
        <f>IF(AND('Month-End'!$DJ$13&lt;&gt;"",NOT(_xlfn.ISFORMULA('Month-End'!$DJ$13))),1,0)</f>
        <v/>
      </c>
      <c r="BY117">
        <f>IF(AND('Month-End'!$DJ$14&lt;&gt;"",NOT(_xlfn.ISFORMULA('Month-End'!$DJ$14))),1,0)</f>
        <v/>
      </c>
      <c r="BZ117">
        <f>IF(AND('Month-End'!$DJ$15&lt;&gt;"",NOT(_xlfn.ISFORMULA('Month-End'!$DJ$15))),1,0)</f>
        <v/>
      </c>
      <c r="CA117">
        <f>IF(AND('Month-End'!$DJ$16&lt;&gt;"",NOT(_xlfn.ISFORMULA('Month-End'!$DJ$16))),1,0)</f>
        <v/>
      </c>
      <c r="CB117">
        <f>IF(AND('Month-End'!$DJ$17&lt;&gt;"",NOT(_xlfn.ISFORMULA('Month-End'!$DJ$17))),1,0)</f>
        <v/>
      </c>
      <c r="CC117">
        <f>IF(AND('Month-End'!$DJ$18&lt;&gt;"",NOT(_xlfn.ISFORMULA('Month-End'!$DJ$18))),1,0)</f>
        <v/>
      </c>
      <c r="CD117">
        <f>IF(AND('Month-End'!$DJ$19&lt;&gt;"",NOT(_xlfn.ISFORMULA('Month-End'!$DJ$19))),1,0)</f>
        <v/>
      </c>
      <c r="CE117">
        <f>IF(AND('Month-End'!$DJ$20&lt;&gt;"",NOT(_xlfn.ISFORMULA('Month-End'!$DJ$20))),1,0)</f>
        <v/>
      </c>
      <c r="CF117">
        <f>IF(AND('Month-End'!$DJ$38&lt;&gt;"",NOT(_xlfn.ISFORMULA('Month-End'!$DJ$38))),1,0)</f>
        <v/>
      </c>
      <c r="CG117">
        <f>IF(AND('Month-End'!$DJ$39&lt;&gt;"",NOT(_xlfn.ISFORMULA('Month-End'!$DJ$39))),1,0)</f>
        <v/>
      </c>
      <c r="CH117">
        <f>IF(AND('Month-End'!$DJ$40&lt;&gt;"",NOT(_xlfn.ISFORMULA('Month-End'!$DJ$40))),1,0)</f>
        <v/>
      </c>
      <c r="CI117">
        <f>IF(AND('Month-End'!$DJ$41&lt;&gt;"",NOT(_xlfn.ISFORMULA('Month-End'!$DJ$41))),1,0)</f>
        <v/>
      </c>
      <c r="CJ117">
        <f>IF(AND('Month-End'!$DJ$42&lt;&gt;"",NOT(_xlfn.ISFORMULA('Month-End'!$DJ$42))),1,0)</f>
        <v/>
      </c>
      <c r="CK117">
        <f>IF(AND('Month-End'!$DJ$43&lt;&gt;"",NOT(_xlfn.ISFORMULA('Month-End'!$DJ$43))),1,0)</f>
        <v/>
      </c>
      <c r="CL117">
        <f>SUM($CM117:$CZ117)</f>
        <v/>
      </c>
      <c r="CM117">
        <f>IF(AND($E117&lt;&gt;"pre",AND(Settings!$A$19&lt;&gt;"",Settings!$E$19&lt;&gt;"No"),Settings!$F$19="Yes",NOT(AND('Month-End'!$DJ$7&lt;&gt;"",NOT(_xlfn.ISFORMULA('Month-End'!$DJ$7))))),1,0)</f>
        <v/>
      </c>
      <c r="CN117">
        <f>IF(AND($E117&lt;&gt;"pre",AND(Settings!$A$20&lt;&gt;"",Settings!$E$20&lt;&gt;"No"),Settings!$F$20="Yes",NOT(AND('Month-End'!$DJ$8&lt;&gt;"",NOT(_xlfn.ISFORMULA('Month-End'!$DJ$8))))),1,0)</f>
        <v/>
      </c>
      <c r="CO117">
        <f>IF(AND($E117&lt;&gt;"pre",AND(Settings!$A$21&lt;&gt;"",Settings!$E$21&lt;&gt;"No"),Settings!$F$21="Yes",NOT(AND('Month-End'!$DJ$9&lt;&gt;"",NOT(_xlfn.ISFORMULA('Month-End'!$DJ$9))))),1,0)</f>
        <v/>
      </c>
      <c r="CP117">
        <f>IF(AND($E117&lt;&gt;"pre",AND(Settings!$A$22&lt;&gt;"",Settings!$E$22&lt;&gt;"No"),Settings!$F$22="Yes",NOT(AND('Month-End'!$DJ$10&lt;&gt;"",NOT(_xlfn.ISFORMULA('Month-End'!$DJ$10))))),1,0)</f>
        <v/>
      </c>
      <c r="CQ117">
        <f>IF(AND($E117&lt;&gt;"pre",AND(Settings!$A$23&lt;&gt;"",Settings!$E$23&lt;&gt;"No"),Settings!$F$23="Yes",NOT(AND('Month-End'!$DJ$11&lt;&gt;"",NOT(_xlfn.ISFORMULA('Month-End'!$DJ$11))))),1,0)</f>
        <v/>
      </c>
      <c r="CR117">
        <f>IF(AND($E117&lt;&gt;"pre",AND(Settings!$A$24&lt;&gt;"",Settings!$E$24&lt;&gt;"No"),Settings!$F$24="Yes",NOT(AND('Month-End'!$DJ$12&lt;&gt;"",NOT(_xlfn.ISFORMULA('Month-End'!$DJ$12))))),1,0)</f>
        <v/>
      </c>
      <c r="CS117">
        <f>IF(AND($E117&lt;&gt;"pre",AND(Settings!$A$25&lt;&gt;"",Settings!$E$25&lt;&gt;"No"),Settings!$F$25="Yes",NOT(AND('Month-End'!$DJ$13&lt;&gt;"",NOT(_xlfn.ISFORMULA('Month-End'!$DJ$13))))),1,0)</f>
        <v/>
      </c>
      <c r="CT117">
        <f>IF(AND($E117&lt;&gt;"pre",AND(Settings!$A$26&lt;&gt;"",Settings!$E$26&lt;&gt;"No"),Settings!$F$26="Yes",NOT(AND('Month-End'!$DJ$14&lt;&gt;"",NOT(_xlfn.ISFORMULA('Month-End'!$DJ$14))))),1,0)</f>
        <v/>
      </c>
      <c r="CU117">
        <f>IF(AND($E117&lt;&gt;"pre",AND(Settings!$A$27&lt;&gt;"",Settings!$E$27&lt;&gt;"No"),Settings!$F$27="Yes",NOT(AND('Month-End'!$DJ$15&lt;&gt;"",NOT(_xlfn.ISFORMULA('Month-End'!$DJ$15))))),1,0)</f>
        <v/>
      </c>
      <c r="CV117">
        <f>IF(AND($E117&lt;&gt;"pre",AND(Settings!$A$28&lt;&gt;"",Settings!$E$28&lt;&gt;"No"),Settings!$F$28="Yes",NOT(AND('Month-End'!$DJ$16&lt;&gt;"",NOT(_xlfn.ISFORMULA('Month-End'!$DJ$16))))),1,0)</f>
        <v/>
      </c>
      <c r="CW117">
        <f>IF(AND($E117&lt;&gt;"pre",AND(Settings!$A$29&lt;&gt;"",Settings!$E$29&lt;&gt;"No"),Settings!$F$29="Yes",NOT(AND('Month-End'!$DJ$17&lt;&gt;"",NOT(_xlfn.ISFORMULA('Month-End'!$DJ$17))))),1,0)</f>
        <v/>
      </c>
      <c r="CX117">
        <f>IF(AND($E117&lt;&gt;"pre",AND(Settings!$A$30&lt;&gt;"",Settings!$E$30&lt;&gt;"No"),Settings!$F$30="Yes",NOT(AND('Month-End'!$DJ$18&lt;&gt;"",NOT(_xlfn.ISFORMULA('Month-End'!$DJ$18))))),1,0)</f>
        <v/>
      </c>
      <c r="CY117">
        <f>IF(AND($E117&lt;&gt;"pre",AND(Settings!$A$31&lt;&gt;"",Settings!$E$31&lt;&gt;"No"),Settings!$F$31="Yes",NOT(AND('Month-End'!$DJ$19&lt;&gt;"",NOT(_xlfn.ISFORMULA('Month-End'!$DJ$19))))),1,0)</f>
        <v/>
      </c>
      <c r="CZ117">
        <f>IF(AND($E117&lt;&gt;"pre",AND(Settings!$A$32&lt;&gt;"",Settings!$E$32&lt;&gt;"No"),Settings!$F$32="Yes",NOT(AND('Month-End'!$DJ$20&lt;&gt;"",NOT(_xlfn.ISFORMULA('Month-End'!$DJ$20))))),1,0)</f>
        <v/>
      </c>
      <c r="DA117">
        <f>IF($DT117=1,IF(OR(Settings!$B$19="Checking",Settings!$B$19="Savings",Settings!$B$19="Cash"),N($AE117),IF(OR(Settings!$B$19="Card",Settings!$B$19="Loan"),-N($AE117),0))+IF(OR(Settings!$B$20="Checking",Settings!$B$20="Savings",Settings!$B$20="Cash"),N($AF117),IF(OR(Settings!$B$20="Card",Settings!$B$20="Loan"),-N($AF117),0))+IF(OR(Settings!$B$21="Checking",Settings!$B$21="Savings",Settings!$B$21="Cash"),N($AG117),IF(OR(Settings!$B$21="Card",Settings!$B$21="Loan"),-N($AG117),0))+IF(OR(Settings!$B$22="Checking",Settings!$B$22="Savings",Settings!$B$22="Cash"),N($AH117),IF(OR(Settings!$B$22="Card",Settings!$B$22="Loan"),-N($AH117),0))+IF(OR(Settings!$B$23="Checking",Settings!$B$23="Savings",Settings!$B$23="Cash"),N($AI117),IF(OR(Settings!$B$23="Card",Settings!$B$23="Loan"),-N($AI117),0))+IF(OR(Settings!$B$24="Checking",Settings!$B$24="Savings",Settings!$B$24="Cash"),N($AJ117),IF(OR(Settings!$B$24="Card",Settings!$B$24="Loan"),-N($AJ117),0))+IF(OR(Settings!$B$25="Checking",Settings!$B$25="Savings",Settings!$B$25="Cash"),N($AK117),IF(OR(Settings!$B$25="Card",Settings!$B$25="Loan"),-N($AK117),0))+IF(OR(Settings!$B$26="Checking",Settings!$B$26="Savings",Settings!$B$26="Cash"),N($AL117),IF(OR(Settings!$B$26="Card",Settings!$B$26="Loan"),-N($AL117),0))+IF(OR(Settings!$B$27="Checking",Settings!$B$27="Savings",Settings!$B$27="Cash"),N($AM117),IF(OR(Settings!$B$27="Card",Settings!$B$27="Loan"),-N($AM117),0))+IF(OR(Settings!$B$28="Checking",Settings!$B$28="Savings",Settings!$B$28="Cash"),N($AN117),IF(OR(Settings!$B$28="Card",Settings!$B$28="Loan"),-N($AN117),0))+IF(OR(Settings!$B$29="Checking",Settings!$B$29="Savings",Settings!$B$29="Cash"),N($AO117),IF(OR(Settings!$B$29="Card",Settings!$B$29="Loan"),-N($AO117),0))+IF(OR(Settings!$B$30="Checking",Settings!$B$30="Savings",Settings!$B$30="Cash"),N($AP117),IF(OR(Settings!$B$30="Card",Settings!$B$30="Loan"),-N($AP117),0))+IF(OR(Settings!$B$31="Checking",Settings!$B$31="Savings",Settings!$B$31="Cash"),N($AQ117),IF(OR(Settings!$B$31="Card",Settings!$B$31="Loan"),-N($AQ117),0))+IF(OR(Settings!$B$32="Checking",Settings!$B$32="Savings",Settings!$B$32="Cash"),N($AR117),IF(OR(Settings!$B$32="Card",Settings!$B$32="Loan"),-N($AR117),0)),"")</f>
        <v/>
      </c>
      <c r="DB117">
        <f>IF($E117="open",$EB$27,IF($E117="post",IF($E116="pre",$EB$27,$DA116),""))</f>
        <v/>
      </c>
      <c r="DC117">
        <f>IF($E117="open",1,IF($E117="post",IF($E116="pre",1,$DT116),0))</f>
        <v/>
      </c>
      <c r="DD117">
        <f>IF(AND($DT117=1,$DC117=1),ROUND($W117-($DA117-$DB117)-$AD117-$AB117,2),"")</f>
        <v/>
      </c>
      <c r="DE117">
        <f>IF('Month-End'!$DJ$35="",$BQ117,N('Month-End'!$DJ$35))</f>
        <v/>
      </c>
      <c r="DF117">
        <f>N('Month-End'!$DJ$36)</f>
        <v/>
      </c>
      <c r="DG117">
        <f>IF($DD117="","",$DD117+$DE117)</f>
        <v/>
      </c>
      <c r="DH117">
        <f>IF($DG117="","",$DG117-$DF117)</f>
        <v/>
      </c>
      <c r="DI117">
        <f>IF(OR($E117="pre",$D117=1),"",N($AS117)+N($AT117)+N($AU117)+N($AV117)+N($AW117)+N($AX117))</f>
        <v/>
      </c>
      <c r="DJ117">
        <f>IF($DT117=1,$DA117+N($DI117),"")</f>
        <v/>
      </c>
      <c r="DK117">
        <f>IF($DD117="","",$W117-$DD117-$AB117)</f>
        <v/>
      </c>
      <c r="DL117">
        <f>IF(AND($E117="post",$DD117&lt;&gt;"",$B117&lt;TODAY()),1,0)</f>
        <v/>
      </c>
      <c r="DM117">
        <f>IF($DL117=1,COUNTIF($DL117:$DL$183,1),0)</f>
        <v/>
      </c>
      <c r="DN117">
        <f>IF($D117=1,"",IF($E117="pre","History only",IF($DT117=1,IF($DD117="","⚠ Previous month missing",IF($DD117&lt;0,"⚠ Check: spending &lt; 0",IF($E117="open","✓ Done (partial)","✓ Done"))),IF($B117&gt;=TODAY(),"In progress","⚠ Needs balances"))))</f>
        <v/>
      </c>
      <c r="DO117">
        <f>YEAR($A117)</f>
        <v/>
      </c>
      <c r="DP117">
        <f>DATE(YEAR($A117),INT((MONTH($A117)-1)/3)*3+1,1)</f>
        <v/>
      </c>
      <c r="DQ117">
        <f>IF(AND($DT117=1,$DD117&lt;&gt;"",$D117=0),ROW(),0)</f>
        <v/>
      </c>
      <c r="DR117">
        <f>IF(AND($E117&lt;&gt;"pre",$B117&lt;TODAY(),$DT117=0),1,0)</f>
        <v/>
      </c>
      <c r="DS117">
        <f>IF($DJ117="",NA(),$DJ117)</f>
        <v/>
      </c>
      <c r="DT117">
        <f>IF(AND($E117&lt;&gt;"pre",$CL117=0,COUNTIFS(Settings!$F$19:$F$32,"Yes",Settings!$A$19:$A$32,"&lt;&gt;",Settings!$E$19:$E$32,"&lt;&gt;No")&gt;0),1,0)</f>
        <v/>
      </c>
      <c r="DU117">
        <f>IF(AND($B117&lt;TODAY(),$S117&gt;0),1,0)</f>
        <v/>
      </c>
      <c r="DV117">
        <f>IF($DU117=1,COUNTIF($DU117:$DU$183,1),0)</f>
        <v/>
      </c>
      <c r="DW117">
        <f>IF(AND(OR(Settings!$B$19="Card",Settings!$B$19="Loan"),AND('Month-End'!$DJ$7&lt;&gt;"",NOT(_xlfn.ISFORMULA('Month-End'!$DJ$7)))),IF(N('Month-End'!$DJ$7)&lt;0,1,0),0)+IF(AND(OR(Settings!$B$20="Card",Settings!$B$20="Loan"),AND('Month-End'!$DJ$8&lt;&gt;"",NOT(_xlfn.ISFORMULA('Month-End'!$DJ$8)))),IF(N('Month-End'!$DJ$8)&lt;0,1,0),0)+IF(AND(OR(Settings!$B$21="Card",Settings!$B$21="Loan"),AND('Month-End'!$DJ$9&lt;&gt;"",NOT(_xlfn.ISFORMULA('Month-End'!$DJ$9)))),IF(N('Month-End'!$DJ$9)&lt;0,1,0),0)+IF(AND(OR(Settings!$B$22="Card",Settings!$B$22="Loan"),AND('Month-End'!$DJ$10&lt;&gt;"",NOT(_xlfn.ISFORMULA('Month-End'!$DJ$10)))),IF(N('Month-End'!$DJ$10)&lt;0,1,0),0)+IF(AND(OR(Settings!$B$23="Card",Settings!$B$23="Loan"),AND('Month-End'!$DJ$11&lt;&gt;"",NOT(_xlfn.ISFORMULA('Month-End'!$DJ$11)))),IF(N('Month-End'!$DJ$11)&lt;0,1,0),0)+IF(AND(OR(Settings!$B$24="Card",Settings!$B$24="Loan"),AND('Month-End'!$DJ$12&lt;&gt;"",NOT(_xlfn.ISFORMULA('Month-End'!$DJ$12)))),IF(N('Month-End'!$DJ$12)&lt;0,1,0),0)+IF(AND(OR(Settings!$B$25="Card",Settings!$B$25="Loan"),AND('Month-End'!$DJ$13&lt;&gt;"",NOT(_xlfn.ISFORMULA('Month-End'!$DJ$13)))),IF(N('Month-End'!$DJ$13)&lt;0,1,0),0)+IF(AND(OR(Settings!$B$26="Card",Settings!$B$26="Loan"),AND('Month-End'!$DJ$14&lt;&gt;"",NOT(_xlfn.ISFORMULA('Month-End'!$DJ$14)))),IF(N('Month-End'!$DJ$14)&lt;0,1,0),0)+IF(AND(OR(Settings!$B$27="Card",Settings!$B$27="Loan"),AND('Month-End'!$DJ$15&lt;&gt;"",NOT(_xlfn.ISFORMULA('Month-End'!$DJ$15)))),IF(N('Month-End'!$DJ$15)&lt;0,1,0),0)+IF(AND(OR(Settings!$B$28="Card",Settings!$B$28="Loan"),AND('Month-End'!$DJ$16&lt;&gt;"",NOT(_xlfn.ISFORMULA('Month-End'!$DJ$16)))),IF(N('Month-End'!$DJ$16)&lt;0,1,0),0)+IF(AND(OR(Settings!$B$29="Card",Settings!$B$29="Loan"),AND('Month-End'!$DJ$17&lt;&gt;"",NOT(_xlfn.ISFORMULA('Month-End'!$DJ$17)))),IF(N('Month-End'!$DJ$17)&lt;0,1,0),0)+IF(AND(OR(Settings!$B$30="Card",Settings!$B$30="Loan"),AND('Month-End'!$DJ$18&lt;&gt;"",NOT(_xlfn.ISFORMULA('Month-End'!$DJ$18)))),IF(N('Month-End'!$DJ$18)&lt;0,1,0),0)+IF(AND(OR(Settings!$B$31="Card",Settings!$B$31="Loan"),AND('Month-End'!$DJ$19&lt;&gt;"",NOT(_xlfn.ISFORMULA('Month-End'!$DJ$19)))),IF(N('Month-End'!$DJ$19)&lt;0,1,0),0)+IF(AND(OR(Settings!$B$32="Card",Settings!$B$32="Loan"),AND('Month-End'!$DJ$20&lt;&gt;"",NOT(_xlfn.ISFORMULA('Month-End'!$DJ$20)))),IF(N('Month-End'!$DJ$20)&lt;0,1,0),0)</f>
        <v/>
      </c>
      <c r="DX117">
        <f>IF(Settings!$B$36="Retirement",$AY117,0)+IF(Settings!$B$37="Retirement",$AZ117,0)+IF(Settings!$B$38="Retirement",$BA117,0)+IF(Settings!$B$39="Retirement",$BB117,0)+IF(Settings!$B$40="Retirement",$BC117,0)+IF(Settings!$B$41="Retirement",$BD117,0)</f>
        <v/>
      </c>
      <c r="EO117">
        <f>EDATE(DATE(YEAR(TODAY()),MONTH(TODAY()),1),-6)</f>
        <v/>
      </c>
      <c r="ER117">
        <f>IFERROR(IF(INDEX($DJ$6:$DJ$183,MATCH(EO117,$A$6:$A$183,0))="",NA(),INDEX($DJ$6:$DJ$183,MATCH(EO117,$A$6:$A$183,0))),NA())</f>
        <v/>
      </c>
      <c r="ES117">
        <f>TEXT(EO117,"mmm yy")</f>
        <v/>
      </c>
      <c r="ET117">
        <f>IF($E117&lt;&gt;"open",0,IF(AND('Month-End'!$DJ$22&lt;&gt;"",NOT(_xlfn.ISFORMULA('Month-End'!$DJ$22))),0,IF(OR(Settings!$C$45="",Settings!$D$45=""),0,Settings!$C$45*IF(Settings!$D$45="Weekly",IF(IFERROR(MATCH(Settings!$E$45,$EO$4:$EO$10,0),0)=0,0,IF(MIN(Settings!$B$5,IF(Settings!$G$45="",Settings!$B$5,Settings!$G$45))&lt;MAX($A117,Settings!$F$45),0,INT((MIN(Settings!$B$5,IF(Settings!$G$45="",Settings!$B$5,Settings!$G$45))-MAX($A117,Settings!$F$45)-MOD(IFERROR(MATCH(Settings!$E$45,$EO$4:$EO$10,0),0)-WEEKDAY(MAX($A117,Settings!$F$45)),7))/7)+1)),IF(AND(IF(Settings!$E$45="",$B117,DATE(YEAR($A117),MONTH($A117),MIN(Settings!$E$45,DAY($B117))))&gt;=MAX($A117,Settings!$F$45),IF(Settings!$E$45="",$B117,DATE(YEAR($A117),MONTH($A117),MIN(Settings!$E$45,DAY($B117))))&lt;=MIN(Settings!$B$5,IF(Settings!$G$45="",Settings!$B$5,Settings!$G$45))),1,0)))))</f>
        <v/>
      </c>
      <c r="EU117">
        <f>IF($E117&lt;&gt;"open",0,IF(AND('Month-End'!$DJ$23&lt;&gt;"",NOT(_xlfn.ISFORMULA('Month-End'!$DJ$23))),0,IF(OR(Settings!$C$46="",Settings!$D$46=""),0,Settings!$C$46*IF(Settings!$D$46="Weekly",IF(IFERROR(MATCH(Settings!$E$46,$EO$4:$EO$10,0),0)=0,0,IF(MIN(Settings!$B$5,IF(Settings!$G$46="",Settings!$B$5,Settings!$G$46))&lt;MAX($A117,Settings!$F$46),0,INT((MIN(Settings!$B$5,IF(Settings!$G$46="",Settings!$B$5,Settings!$G$46))-MAX($A117,Settings!$F$46)-MOD(IFERROR(MATCH(Settings!$E$46,$EO$4:$EO$10,0),0)-WEEKDAY(MAX($A117,Settings!$F$46)),7))/7)+1)),IF(AND(IF(Settings!$E$46="",$B117,DATE(YEAR($A117),MONTH($A117),MIN(Settings!$E$46,DAY($B117))))&gt;=MAX($A117,Settings!$F$46),IF(Settings!$E$46="",$B117,DATE(YEAR($A117),MONTH($A117),MIN(Settings!$E$46,DAY($B117))))&lt;=MIN(Settings!$B$5,IF(Settings!$G$46="",Settings!$B$5,Settings!$G$46))),1,0)))))</f>
        <v/>
      </c>
      <c r="EV117">
        <f>IF($E117&lt;&gt;"open",0,IF(AND('Month-End'!$DJ$24&lt;&gt;"",NOT(_xlfn.ISFORMULA('Month-End'!$DJ$24))),0,IF(OR(Settings!$C$47="",Settings!$D$47=""),0,Settings!$C$47*IF(Settings!$D$47="Weekly",IF(IFERROR(MATCH(Settings!$E$47,$EO$4:$EO$10,0),0)=0,0,IF(MIN(Settings!$B$5,IF(Settings!$G$47="",Settings!$B$5,Settings!$G$47))&lt;MAX($A117,Settings!$F$47),0,INT((MIN(Settings!$B$5,IF(Settings!$G$47="",Settings!$B$5,Settings!$G$47))-MAX($A117,Settings!$F$47)-MOD(IFERROR(MATCH(Settings!$E$47,$EO$4:$EO$10,0),0)-WEEKDAY(MAX($A117,Settings!$F$47)),7))/7)+1)),IF(AND(IF(Settings!$E$47="",$B117,DATE(YEAR($A117),MONTH($A117),MIN(Settings!$E$47,DAY($B117))))&gt;=MAX($A117,Settings!$F$47),IF(Settings!$E$47="",$B117,DATE(YEAR($A117),MONTH($A117),MIN(Settings!$E$47,DAY($B117))))&lt;=MIN(Settings!$B$5,IF(Settings!$G$47="",Settings!$B$5,Settings!$G$47))),1,0)))))</f>
        <v/>
      </c>
      <c r="EW117">
        <f>IF($E117&lt;&gt;"open",0,IF(AND('Month-End'!$DJ$25&lt;&gt;"",NOT(_xlfn.ISFORMULA('Month-End'!$DJ$25))),0,IF(OR(Settings!$C$48="",Settings!$D$48=""),0,Settings!$C$48*IF(Settings!$D$48="Weekly",IF(IFERROR(MATCH(Settings!$E$48,$EO$4:$EO$10,0),0)=0,0,IF(MIN(Settings!$B$5,IF(Settings!$G$48="",Settings!$B$5,Settings!$G$48))&lt;MAX($A117,Settings!$F$48),0,INT((MIN(Settings!$B$5,IF(Settings!$G$48="",Settings!$B$5,Settings!$G$48))-MAX($A117,Settings!$F$48)-MOD(IFERROR(MATCH(Settings!$E$48,$EO$4:$EO$10,0),0)-WEEKDAY(MAX($A117,Settings!$F$48)),7))/7)+1)),IF(AND(IF(Settings!$E$48="",$B117,DATE(YEAR($A117),MONTH($A117),MIN(Settings!$E$48,DAY($B117))))&gt;=MAX($A117,Settings!$F$48),IF(Settings!$E$48="",$B117,DATE(YEAR($A117),MONTH($A117),MIN(Settings!$E$48,DAY($B117))))&lt;=MIN(Settings!$B$5,IF(Settings!$G$48="",Settings!$B$5,Settings!$G$48))),1,0)))))</f>
        <v/>
      </c>
      <c r="EX117">
        <f>IF($E117&lt;&gt;"open",0,IF(AND('Month-End'!$DJ$26&lt;&gt;"",NOT(_xlfn.ISFORMULA('Month-End'!$DJ$26))),0,IF(OR(Settings!$C$49="",Settings!$D$49=""),0,Settings!$C$49*IF(Settings!$D$49="Weekly",IF(IFERROR(MATCH(Settings!$E$49,$EO$4:$EO$10,0),0)=0,0,IF(MIN(Settings!$B$5,IF(Settings!$G$49="",Settings!$B$5,Settings!$G$49))&lt;MAX($A117,Settings!$F$49),0,INT((MIN(Settings!$B$5,IF(Settings!$G$49="",Settings!$B$5,Settings!$G$49))-MAX($A117,Settings!$F$49)-MOD(IFERROR(MATCH(Settings!$E$49,$EO$4:$EO$10,0),0)-WEEKDAY(MAX($A117,Settings!$F$49)),7))/7)+1)),IF(AND(IF(Settings!$E$49="",$B117,DATE(YEAR($A117),MONTH($A117),MIN(Settings!$E$49,DAY($B117))))&gt;=MAX($A117,Settings!$F$49),IF(Settings!$E$49="",$B117,DATE(YEAR($A117),MONTH($A117),MIN(Settings!$E$49,DAY($B117))))&lt;=MIN(Settings!$B$5,IF(Settings!$G$49="",Settings!$B$5,Settings!$G$49))),1,0)))))</f>
        <v/>
      </c>
      <c r="EY117">
        <f>IF($E117&lt;&gt;"open",0,IF(AND('Month-End'!$DJ$27&lt;&gt;"",NOT(_xlfn.ISFORMULA('Month-End'!$DJ$27))),0,IF(OR(Settings!$C$50="",Settings!$D$50=""),0,Settings!$C$50*IF(Settings!$D$50="Weekly",IF(IFERROR(MATCH(Settings!$E$50,$EO$4:$EO$10,0),0)=0,0,IF(MIN(Settings!$B$5,IF(Settings!$G$50="",Settings!$B$5,Settings!$G$50))&lt;MAX($A117,Settings!$F$50),0,INT((MIN(Settings!$B$5,IF(Settings!$G$50="",Settings!$B$5,Settings!$G$50))-MAX($A117,Settings!$F$50)-MOD(IFERROR(MATCH(Settings!$E$50,$EO$4:$EO$10,0),0)-WEEKDAY(MAX($A117,Settings!$F$50)),7))/7)+1)),IF(AND(IF(Settings!$E$50="",$B117,DATE(YEAR($A117),MONTH($A117),MIN(Settings!$E$50,DAY($B117))))&gt;=MAX($A117,Settings!$F$50),IF(Settings!$E$50="",$B117,DATE(YEAR($A117),MONTH($A117),MIN(Settings!$E$50,DAY($B117))))&lt;=MIN(Settings!$B$5,IF(Settings!$G$50="",Settings!$B$5,Settings!$G$50))),1,0)))))</f>
        <v/>
      </c>
      <c r="EZ117">
        <f>IF($E117&lt;&gt;"open",0,IF(AND('Month-End'!$DJ$28&lt;&gt;"",NOT(_xlfn.ISFORMULA('Month-End'!$DJ$28))),0,IF(OR(Settings!$C$51="",Settings!$D$51=""),0,Settings!$C$51*IF(Settings!$D$51="Weekly",IF(IFERROR(MATCH(Settings!$E$51,$EO$4:$EO$10,0),0)=0,0,IF(MIN(Settings!$B$5,IF(Settings!$G$51="",Settings!$B$5,Settings!$G$51))&lt;MAX($A117,Settings!$F$51),0,INT((MIN(Settings!$B$5,IF(Settings!$G$51="",Settings!$B$5,Settings!$G$51))-MAX($A117,Settings!$F$51)-MOD(IFERROR(MATCH(Settings!$E$51,$EO$4:$EO$10,0),0)-WEEKDAY(MAX($A117,Settings!$F$51)),7))/7)+1)),IF(AND(IF(Settings!$E$51="",$B117,DATE(YEAR($A117),MONTH($A117),MIN(Settings!$E$51,DAY($B117))))&gt;=MAX($A117,Settings!$F$51),IF(Settings!$E$51="",$B117,DATE(YEAR($A117),MONTH($A117),MIN(Settings!$E$51,DAY($B117))))&lt;=MIN(Settings!$B$5,IF(Settings!$G$51="",Settings!$B$5,Settings!$G$51))),1,0)))))</f>
        <v/>
      </c>
      <c r="FA117">
        <f>IF($E117&lt;&gt;"open",0,IF(AND('Month-End'!$DJ$29&lt;&gt;"",NOT(_xlfn.ISFORMULA('Month-End'!$DJ$29))),0,IF(OR(Settings!$C$52="",Settings!$D$52=""),0,Settings!$C$52*IF(Settings!$D$52="Weekly",IF(IFERROR(MATCH(Settings!$E$52,$EO$4:$EO$10,0),0)=0,0,IF(MIN(Settings!$B$5,IF(Settings!$G$52="",Settings!$B$5,Settings!$G$52))&lt;MAX($A117,Settings!$F$52),0,INT((MIN(Settings!$B$5,IF(Settings!$G$52="",Settings!$B$5,Settings!$G$52))-MAX($A117,Settings!$F$52)-MOD(IFERROR(MATCH(Settings!$E$52,$EO$4:$EO$10,0),0)-WEEKDAY(MAX($A117,Settings!$F$52)),7))/7)+1)),IF(AND(IF(Settings!$E$52="",$B117,DATE(YEAR($A117),MONTH($A117),MIN(Settings!$E$52,DAY($B117))))&gt;=MAX($A117,Settings!$F$52),IF(Settings!$E$52="",$B117,DATE(YEAR($A117),MONTH($A117),MIN(Settings!$E$52,DAY($B117))))&lt;=MIN(Settings!$B$5,IF(Settings!$G$52="",Settings!$B$5,Settings!$G$52))),1,0)))))</f>
        <v/>
      </c>
      <c r="FB117">
        <f>IF($E117&lt;&gt;"open",0,IF(AND('Month-End'!$DJ$30&lt;&gt;"",NOT(_xlfn.ISFORMULA('Month-End'!$DJ$30))),0,IF(OR(Settings!$C$53="",Settings!$D$53=""),0,Settings!$C$53*IF(Settings!$D$53="Weekly",IF(IFERROR(MATCH(Settings!$E$53,$EO$4:$EO$10,0),0)=0,0,IF(MIN(Settings!$B$5,IF(Settings!$G$53="",Settings!$B$5,Settings!$G$53))&lt;MAX($A117,Settings!$F$53),0,INT((MIN(Settings!$B$5,IF(Settings!$G$53="",Settings!$B$5,Settings!$G$53))-MAX($A117,Settings!$F$53)-MOD(IFERROR(MATCH(Settings!$E$53,$EO$4:$EO$10,0),0)-WEEKDAY(MAX($A117,Settings!$F$53)),7))/7)+1)),IF(AND(IF(Settings!$E$53="",$B117,DATE(YEAR($A117),MONTH($A117),MIN(Settings!$E$53,DAY($B117))))&gt;=MAX($A117,Settings!$F$53),IF(Settings!$E$53="",$B117,DATE(YEAR($A117),MONTH($A117),MIN(Settings!$E$53,DAY($B117))))&lt;=MIN(Settings!$B$5,IF(Settings!$G$53="",Settings!$B$5,Settings!$G$53))),1,0)))))</f>
        <v/>
      </c>
      <c r="FC117">
        <f>IF($E117&lt;&gt;"open",0,IF(AND('Month-End'!$DJ$31&lt;&gt;"",NOT(_xlfn.ISFORMULA('Month-End'!$DJ$31))),0,IF(OR(Settings!$C$54="",Settings!$D$54=""),0,Settings!$C$54*IF(Settings!$D$54="Weekly",IF(IFERROR(MATCH(Settings!$E$54,$EO$4:$EO$10,0),0)=0,0,IF(MIN(Settings!$B$5,IF(Settings!$G$54="",Settings!$B$5,Settings!$G$54))&lt;MAX($A117,Settings!$F$54),0,INT((MIN(Settings!$B$5,IF(Settings!$G$54="",Settings!$B$5,Settings!$G$54))-MAX($A117,Settings!$F$54)-MOD(IFERROR(MATCH(Settings!$E$54,$EO$4:$EO$10,0),0)-WEEKDAY(MAX($A117,Settings!$F$54)),7))/7)+1)),IF(AND(IF(Settings!$E$54="",$B117,DATE(YEAR($A117),MONTH($A117),MIN(Settings!$E$54,DAY($B117))))&gt;=MAX($A117,Settings!$F$54),IF(Settings!$E$54="",$B117,DATE(YEAR($A117),MONTH($A117),MIN(Settings!$E$54,DAY($B117))))&lt;=MIN(Settings!$B$5,IF(Settings!$G$54="",Settings!$B$5,Settings!$G$54))),1,0)))))</f>
        <v/>
      </c>
      <c r="FD117">
        <f>IF($E117&lt;&gt;"open",0,IF(AND('Month-End'!$DJ$32&lt;&gt;"",NOT(_xlfn.ISFORMULA('Month-End'!$DJ$32))),0,IF(OR(Settings!$C$55="",Settings!$D$55=""),0,Settings!$C$55*IF(Settings!$D$55="Weekly",IF(IFERROR(MATCH(Settings!$E$55,$EO$4:$EO$10,0),0)=0,0,IF(MIN(Settings!$B$5,IF(Settings!$G$55="",Settings!$B$5,Settings!$G$55))&lt;MAX($A117,Settings!$F$55),0,INT((MIN(Settings!$B$5,IF(Settings!$G$55="",Settings!$B$5,Settings!$G$55))-MAX($A117,Settings!$F$55)-MOD(IFERROR(MATCH(Settings!$E$55,$EO$4:$EO$10,0),0)-WEEKDAY(MAX($A117,Settings!$F$55)),7))/7)+1)),IF(AND(IF(Settings!$E$55="",$B117,DATE(YEAR($A117),MONTH($A117),MIN(Settings!$E$55,DAY($B117))))&gt;=MAX($A117,Settings!$F$55),IF(Settings!$E$55="",$B117,DATE(YEAR($A117),MONTH($A117),MIN(Settings!$E$55,DAY($B117))))&lt;=MIN(Settings!$B$5,IF(Settings!$G$55="",Settings!$B$5,Settings!$G$55))),1,0)))))</f>
        <v/>
      </c>
      <c r="FE117">
        <f>IF($E117&lt;&gt;"open",0,IF(AND('Month-End'!$DJ$33&lt;&gt;"",NOT(_xlfn.ISFORMULA('Month-End'!$DJ$33))),0,IF(OR(Settings!$C$56="",Settings!$D$56=""),0,Settings!$C$56*IF(Settings!$D$56="Weekly",IF(IFERROR(MATCH(Settings!$E$56,$EO$4:$EO$10,0),0)=0,0,IF(MIN(Settings!$B$5,IF(Settings!$G$56="",Settings!$B$5,Settings!$G$56))&lt;MAX($A117,Settings!$F$56),0,INT((MIN(Settings!$B$5,IF(Settings!$G$56="",Settings!$B$5,Settings!$G$56))-MAX($A117,Settings!$F$56)-MOD(IFERROR(MATCH(Settings!$E$56,$EO$4:$EO$10,0),0)-WEEKDAY(MAX($A117,Settings!$F$56)),7))/7)+1)),IF(AND(IF(Settings!$E$56="",$B117,DATE(YEAR($A117),MONTH($A117),MIN(Settings!$E$56,DAY($B117))))&gt;=MAX($A117,Settings!$F$56),IF(Settings!$E$56="",$B117,DATE(YEAR($A117),MONTH($A117),MIN(Settings!$E$56,DAY($B117))))&lt;=MIN(Settings!$B$5,IF(Settings!$G$56="",Settings!$B$5,Settings!$G$56))),1,0)))))</f>
        <v/>
      </c>
      <c r="FF117">
        <f>IF(Settings!$I$45="Yes",$G117,0)+IF(Settings!$I$46="Yes",$H117,0)+IF(Settings!$I$47="Yes",$I117,0)+IF(Settings!$I$48="Yes",$J117,0)+IF(Settings!$I$49="Yes",$K117,0)+IF(Settings!$I$50="Yes",$L117,0)+IF(Settings!$I$51="Yes",$M117,0)+IF(Settings!$I$52="Yes",$N117,0)+IF(Settings!$I$53="Yes",$O117,0)+IF(Settings!$I$54="Yes",$P117,0)+IF(Settings!$I$55="Yes",$Q117,0)+IF(Settings!$I$56="Yes",$R117,0)</f>
        <v/>
      </c>
      <c r="FG117">
        <f>IF(AND(Settings!$I$45="Yes",Settings!$J$45="No"),$G117,0)+IF(AND(Settings!$I$46="Yes",Settings!$J$46="No"),$H117,0)+IF(AND(Settings!$I$47="Yes",Settings!$J$47="No"),$I117,0)+IF(AND(Settings!$I$48="Yes",Settings!$J$48="No"),$J117,0)+IF(AND(Settings!$I$49="Yes",Settings!$J$49="No"),$K117,0)+IF(AND(Settings!$I$50="Yes",Settings!$J$50="No"),$L117,0)+IF(AND(Settings!$I$51="Yes",Settings!$J$51="No"),$M117,0)+IF(AND(Settings!$I$52="Yes",Settings!$J$52="No"),$N117,0)+IF(AND(Settings!$I$53="Yes",Settings!$J$53="No"),$O117,0)+IF(AND(Settings!$I$54="Yes",Settings!$J$54="No"),$P117,0)+IF(AND(Settings!$I$55="Yes",Settings!$J$55="No"),$Q117,0)+IF(AND(Settings!$I$56="Yes",Settings!$J$56="No"),$R117,0)</f>
        <v/>
      </c>
      <c r="FH117">
        <f>SUMIFS(Giving!$B$7:$B$2006,Giving!$A$7:$A$2006,"&gt;="&amp;$A117,Giving!$A$7:$A$2006,"&lt;="&amp;$B117,Giving!$G$7:$G$2006,"Yes")+IF(OR(OR(Settings!$B$60="",Settings!$F$60="No"),Settings!$H$60&lt;&gt;"Yes"),0,Settings!$B$60*IF(AND(IF(Settings!$C$60="",$B117,DATE(YEAR($A117),MONTH($A117),MIN(Settings!$C$60,DAY($B117))))&gt;=MAX($A117,Settings!$D$60),IF(Settings!$C$60="",$B117,DATE(YEAR($A117),MONTH($A117),MIN(Settings!$C$60,DAY($B117))))&lt;=MIN($C117,IF(Settings!$E$60="",$C117,Settings!$E$60))),1,0))+IF(OR(OR(Settings!$B$61="",Settings!$F$61="No"),Settings!$H$61&lt;&gt;"Yes"),0,Settings!$B$61*IF(AND(IF(Settings!$C$61="",$B117,DATE(YEAR($A117),MONTH($A117),MIN(Settings!$C$61,DAY($B117))))&gt;=MAX($A117,Settings!$D$61),IF(Settings!$C$61="",$B117,DATE(YEAR($A117),MONTH($A117),MIN(Settings!$C$61,DAY($B117))))&lt;=MIN($C117,IF(Settings!$E$61="",$C117,Settings!$E$61))),1,0))+IF(OR(OR(Settings!$B$62="",Settings!$F$62="No"),Settings!$H$62&lt;&gt;"Yes"),0,Settings!$B$62*IF(AND(IF(Settings!$C$62="",$B117,DATE(YEAR($A117),MONTH($A117),MIN(Settings!$C$62,DAY($B117))))&gt;=MAX($A117,Settings!$D$62),IF(Settings!$C$62="",$B117,DATE(YEAR($A117),MONTH($A117),MIN(Settings!$C$62,DAY($B117))))&lt;=MIN($C117,IF(Settings!$E$62="",$C117,Settings!$E$62))),1,0))+IF(OR(OR(Settings!$B$63="",Settings!$F$63="No"),Settings!$H$63&lt;&gt;"Yes"),0,Settings!$B$63*IF(AND(IF(Settings!$C$63="",$B117,DATE(YEAR($A117),MONTH($A117),MIN(Settings!$C$63,DAY($B117))))&gt;=MAX($A117,Settings!$D$63),IF(Settings!$C$63="",$B117,DATE(YEAR($A117),MONTH($A117),MIN(Settings!$C$63,DAY($B117))))&lt;=MIN($C117,IF(Settings!$E$63="",$C117,Settings!$E$63))),1,0))+IF(OR(OR(Settings!$B$64="",Settings!$F$64="No"),Settings!$H$64&lt;&gt;"Yes"),0,Settings!$B$64*IF(AND(IF(Settings!$C$64="",$B117,DATE(YEAR($A117),MONTH($A117),MIN(Settings!$C$64,DAY($B117))))&gt;=MAX($A117,Settings!$D$64),IF(Settings!$C$64="",$B117,DATE(YEAR($A117),MONTH($A117),MIN(Settings!$C$64,DAY($B117))))&lt;=MIN($C117,IF(Settings!$E$64="",$C117,Settings!$E$64))),1,0))+IF(OR(OR(Settings!$B$65="",Settings!$F$65="No"),Settings!$H$65&lt;&gt;"Yes"),0,Settings!$B$65*IF(AND(IF(Settings!$C$65="",$B117,DATE(YEAR($A117),MONTH($A117),MIN(Settings!$C$65,DAY($B117))))&gt;=MAX($A117,Settings!$D$65),IF(Settings!$C$65="",$B117,DATE(YEAR($A117),MONTH($A117),MIN(Settings!$C$65,DAY($B117))))&lt;=MIN($C117,IF(Settings!$E$65="",$C117,Settings!$E$65))),1,0))</f>
        <v/>
      </c>
      <c r="FI117">
        <f>IF($DT117=1,IF(OR(Settings!$B$19="Card",Settings!$B$19="Loan"),N($AE117),0)+IF(OR(Settings!$B$20="Card",Settings!$B$20="Loan"),N($AF117),0)+IF(OR(Settings!$B$21="Card",Settings!$B$21="Loan"),N($AG117),0)+IF(OR(Settings!$B$22="Card",Settings!$B$22="Loan"),N($AH117),0)+IF(OR(Settings!$B$23="Card",Settings!$B$23="Loan"),N($AI117),0)+IF(OR(Settings!$B$24="Card",Settings!$B$24="Loan"),N($AJ117),0)+IF(OR(Settings!$B$25="Card",Settings!$B$25="Loan"),N($AK117),0)+IF(OR(Settings!$B$26="Card",Settings!$B$26="Loan"),N($AL117),0)+IF(OR(Settings!$B$27="Card",Settings!$B$27="Loan"),N($AM117),0)+IF(OR(Settings!$B$28="Card",Settings!$B$28="Loan"),N($AN117),0)+IF(OR(Settings!$B$29="Card",Settings!$B$29="Loan"),N($AO117),0)+IF(OR(Settings!$B$30="Card",Settings!$B$30="Loan"),N($AP117),0)+IF(OR(Settings!$B$31="Card",Settings!$B$31="Loan"),N($AQ117),0)+IF(OR(Settings!$B$32="Card",Settings!$B$32="Loan"),N($AR117),0),"")</f>
        <v/>
      </c>
      <c r="FJ117">
        <f>IF($E117="open",$EB$65,IF($E117="post",IF($E116="pre",$EB$65,$FI116),""))</f>
        <v/>
      </c>
      <c r="FK117">
        <f>IF(AND($DT117=1,$DC117=1),IF(ROUND($FI117-$FJ117,2)&gt;0,1,0),0)</f>
        <v/>
      </c>
      <c r="FL117">
        <f>IF($FK117=1,$FL116+1,0)</f>
        <v/>
      </c>
    </row>
    <row r="118">
      <c r="A118">
        <f>'Month-End'!$DK$4</f>
        <v/>
      </c>
      <c r="B118">
        <f>EOMONTH($A118,0)</f>
        <v/>
      </c>
      <c r="C118">
        <f>MIN($B118,TODAY())</f>
        <v/>
      </c>
      <c r="D118">
        <f>IF($A118&gt;TODAY(),1,0)</f>
        <v/>
      </c>
      <c r="E118">
        <f>IF($B118&lt;=Settings!$B$5,"pre",IF($A118&lt;=Settings!$B$5,"open","post"))</f>
        <v/>
      </c>
      <c r="G118">
        <f>IF('Month-End'!$DK$22="",$BE118,N('Month-End'!$DK$22))</f>
        <v/>
      </c>
      <c r="H118">
        <f>IF('Month-End'!$DK$23="",$BF118,N('Month-End'!$DK$23))</f>
        <v/>
      </c>
      <c r="I118">
        <f>IF('Month-End'!$DK$24="",$BG118,N('Month-End'!$DK$24))</f>
        <v/>
      </c>
      <c r="J118">
        <f>IF('Month-End'!$DK$25="",$BH118,N('Month-End'!$DK$25))</f>
        <v/>
      </c>
      <c r="K118">
        <f>IF('Month-End'!$DK$26="",$BI118,N('Month-End'!$DK$26))</f>
        <v/>
      </c>
      <c r="L118">
        <f>IF('Month-End'!$DK$27="",$BJ118,N('Month-End'!$DK$27))</f>
        <v/>
      </c>
      <c r="M118">
        <f>IF('Month-End'!$DK$28="",$BK118,N('Month-End'!$DK$28))</f>
        <v/>
      </c>
      <c r="N118">
        <f>IF('Month-End'!$DK$29="",$BL118,N('Month-End'!$DK$29))</f>
        <v/>
      </c>
      <c r="O118">
        <f>IF('Month-End'!$DK$30="",$BM118,N('Month-End'!$DK$30))</f>
        <v/>
      </c>
      <c r="P118">
        <f>IF('Month-End'!$DK$31="",$BN118,N('Month-End'!$DK$31))</f>
        <v/>
      </c>
      <c r="Q118">
        <f>IF('Month-End'!$DK$32="",$BO118,N('Month-End'!$DK$32))</f>
        <v/>
      </c>
      <c r="R118">
        <f>IF('Month-End'!$DK$33="",$BP118,N('Month-End'!$DK$33))</f>
        <v/>
      </c>
      <c r="S118">
        <f>$G118+$H118+$I118+$J118+$K118+$L118+$M118+$N118+$O118+$P118+$Q118+$R118</f>
        <v/>
      </c>
      <c r="T118">
        <f>IF($B118&lt;Settings!$B$6,0,IF(Settings!$B$45="Yes",$G118,0)+IF(Settings!$B$46="Yes",$H118,0)+IF(Settings!$B$47="Yes",$I118,0)+IF(Settings!$B$48="Yes",$J118,0)+IF(Settings!$B$49="Yes",$K118,0)+IF(Settings!$B$50="Yes",$L118,0)+IF(Settings!$B$51="Yes",$M118,0)+IF(Settings!$B$52="Yes",$N118,0)+IF(Settings!$B$53="Yes",$O118,0)+IF(Settings!$B$54="Yes",$P118,0)+IF(Settings!$B$55="Yes",$Q118,0)+IF(Settings!$B$56="Yes",$R118,0))</f>
        <v/>
      </c>
      <c r="U118">
        <f>IF(Settings!$B$45="Not Sure",$G118,0)+IF(Settings!$B$46="Not Sure",$H118,0)+IF(Settings!$B$47="Not Sure",$I118,0)+IF(Settings!$B$48="Not Sure",$J118,0)+IF(Settings!$B$49="Not Sure",$K118,0)+IF(Settings!$B$50="Not Sure",$L118,0)+IF(Settings!$B$51="Not Sure",$M118,0)+IF(Settings!$B$52="Not Sure",$N118,0)+IF(Settings!$B$53="Not Sure",$O118,0)+IF(Settings!$B$54="Not Sure",$P118,0)+IF(Settings!$B$55="Not Sure",$Q118,0)+IF(Settings!$B$56="Not Sure",$R118,0)</f>
        <v/>
      </c>
      <c r="V118">
        <f>IF($E118="open",SUM($ET118:$FE118)+N(Settings!$B$13),0)</f>
        <v/>
      </c>
      <c r="W118">
        <f>IF($E118="post",$S118,IF($E118="open",$S118-$V118,0))</f>
        <v/>
      </c>
      <c r="X118">
        <f>SUMIFS(Giving!$B$7:$B$2006,Giving!$A$7:$A$2006,"&gt;="&amp;$A118,Giving!$A$7:$A$2006,"&lt;="&amp;$B118,Giving!$E$7:$E$2006,"&lt;&gt;No")</f>
        <v/>
      </c>
      <c r="Y118">
        <f>SUMIFS(Giving!$B$7:$B$2006,Giving!$A$7:$A$2006,"&gt;="&amp;$A118,Giving!$A$7:$A$2006,"&lt;="&amp;$B118,Giving!$E$7:$E$2006,"No")</f>
        <v/>
      </c>
      <c r="Z118">
        <f>IF(OR(Settings!$B$60="",Settings!$F$60="No"),0,Settings!$B$60*IF(AND(IF(Settings!$C$60="",$B118,DATE(YEAR($A118),MONTH($A118),MIN(Settings!$C$60,DAY($B118))))&gt;=MAX($A118,Settings!$D$60),IF(Settings!$C$60="",$B118,DATE(YEAR($A118),MONTH($A118),MIN(Settings!$C$60,DAY($B118))))&lt;=MIN($C118,IF(Settings!$E$60="",$C118,Settings!$E$60))),1,0))+IF(OR(Settings!$B$61="",Settings!$F$61="No"),0,Settings!$B$61*IF(AND(IF(Settings!$C$61="",$B118,DATE(YEAR($A118),MONTH($A118),MIN(Settings!$C$61,DAY($B118))))&gt;=MAX($A118,Settings!$D$61),IF(Settings!$C$61="",$B118,DATE(YEAR($A118),MONTH($A118),MIN(Settings!$C$61,DAY($B118))))&lt;=MIN($C118,IF(Settings!$E$61="",$C118,Settings!$E$61))),1,0))+IF(OR(Settings!$B$62="",Settings!$F$62="No"),0,Settings!$B$62*IF(AND(IF(Settings!$C$62="",$B118,DATE(YEAR($A118),MONTH($A118),MIN(Settings!$C$62,DAY($B118))))&gt;=MAX($A118,Settings!$D$62),IF(Settings!$C$62="",$B118,DATE(YEAR($A118),MONTH($A118),MIN(Settings!$C$62,DAY($B118))))&lt;=MIN($C118,IF(Settings!$E$62="",$C118,Settings!$E$62))),1,0))+IF(OR(Settings!$B$63="",Settings!$F$63="No"),0,Settings!$B$63*IF(AND(IF(Settings!$C$63="",$B118,DATE(YEAR($A118),MONTH($A118),MIN(Settings!$C$63,DAY($B118))))&gt;=MAX($A118,Settings!$D$63),IF(Settings!$C$63="",$B118,DATE(YEAR($A118),MONTH($A118),MIN(Settings!$C$63,DAY($B118))))&lt;=MIN($C118,IF(Settings!$E$63="",$C118,Settings!$E$63))),1,0))+IF(OR(Settings!$B$64="",Settings!$F$64="No"),0,Settings!$B$64*IF(AND(IF(Settings!$C$64="",$B118,DATE(YEAR($A118),MONTH($A118),MIN(Settings!$C$64,DAY($B118))))&gt;=MAX($A118,Settings!$D$64),IF(Settings!$C$64="",$B118,DATE(YEAR($A118),MONTH($A118),MIN(Settings!$C$64,DAY($B118))))&lt;=MIN($C118,IF(Settings!$E$64="",$C118,Settings!$E$64))),1,0))+IF(OR(Settings!$B$65="",Settings!$F$65="No"),0,Settings!$B$65*IF(AND(IF(Settings!$C$65="",$B118,DATE(YEAR($A118),MONTH($A118),MIN(Settings!$C$65,DAY($B118))))&gt;=MAX($A118,Settings!$D$65),IF(Settings!$C$65="",$B118,DATE(YEAR($A118),MONTH($A118),MIN(Settings!$C$65,DAY($B118))))&lt;=MIN($C118,IF(Settings!$E$65="",$C118,Settings!$E$65))),1,0))</f>
        <v/>
      </c>
      <c r="AA118">
        <f>$X118+$Z118</f>
        <v/>
      </c>
      <c r="AB118">
        <f>IF($E118="post",$AA118,IF($E118="open",SUMIFS(Giving!$B$7:$B$2006,Giving!$A$7:$A$2006,"&gt;"&amp;Settings!$B$5,Giving!$A$7:$A$2006,"&lt;="&amp;$B118,Giving!$E$7:$E$2006,"&lt;&gt;No")+IF(OR(Settings!$B$60="",Settings!$F$60="No"),0,Settings!$B$60*IF(AND(IF(Settings!$C$60="",$B118,DATE(YEAR($A118),MONTH($A118),MIN(Settings!$C$60,DAY($B118))))&gt;=MAX($A118,Settings!$D$60,Settings!$B$5+1),IF(Settings!$C$60="",$B118,DATE(YEAR($A118),MONTH($A118),MIN(Settings!$C$60,DAY($B118))))&lt;=MIN($C118,IF(Settings!$E$60="",$C118,Settings!$E$60))),1,0))+IF(OR(Settings!$B$61="",Settings!$F$61="No"),0,Settings!$B$61*IF(AND(IF(Settings!$C$61="",$B118,DATE(YEAR($A118),MONTH($A118),MIN(Settings!$C$61,DAY($B118))))&gt;=MAX($A118,Settings!$D$61,Settings!$B$5+1),IF(Settings!$C$61="",$B118,DATE(YEAR($A118),MONTH($A118),MIN(Settings!$C$61,DAY($B118))))&lt;=MIN($C118,IF(Settings!$E$61="",$C118,Settings!$E$61))),1,0))+IF(OR(Settings!$B$62="",Settings!$F$62="No"),0,Settings!$B$62*IF(AND(IF(Settings!$C$62="",$B118,DATE(YEAR($A118),MONTH($A118),MIN(Settings!$C$62,DAY($B118))))&gt;=MAX($A118,Settings!$D$62,Settings!$B$5+1),IF(Settings!$C$62="",$B118,DATE(YEAR($A118),MONTH($A118),MIN(Settings!$C$62,DAY($B118))))&lt;=MIN($C118,IF(Settings!$E$62="",$C118,Settings!$E$62))),1,0))+IF(OR(Settings!$B$63="",Settings!$F$63="No"),0,Settings!$B$63*IF(AND(IF(Settings!$C$63="",$B118,DATE(YEAR($A118),MONTH($A118),MIN(Settings!$C$63,DAY($B118))))&gt;=MAX($A118,Settings!$D$63,Settings!$B$5+1),IF(Settings!$C$63="",$B118,DATE(YEAR($A118),MONTH($A118),MIN(Settings!$C$63,DAY($B118))))&lt;=MIN($C118,IF(Settings!$E$63="",$C118,Settings!$E$63))),1,0))+IF(OR(Settings!$B$64="",Settings!$F$64="No"),0,Settings!$B$64*IF(AND(IF(Settings!$C$64="",$B118,DATE(YEAR($A118),MONTH($A118),MIN(Settings!$C$64,DAY($B118))))&gt;=MAX($A118,Settings!$D$64,Settings!$B$5+1),IF(Settings!$C$64="",$B118,DATE(YEAR($A118),MONTH($A118),MIN(Settings!$C$64,DAY($B118))))&lt;=MIN($C118,IF(Settings!$E$64="",$C118,Settings!$E$64))),1,0))+IF(OR(Settings!$B$65="",Settings!$F$65="No"),0,Settings!$B$65*IF(AND(IF(Settings!$C$65="",$B118,DATE(YEAR($A118),MONTH($A118),MIN(Settings!$C$65,DAY($B118))))&gt;=MAX($A118,Settings!$D$65,Settings!$B$5+1),IF(Settings!$C$65="",$B118,DATE(YEAR($A118),MONTH($A118),MIN(Settings!$C$65,DAY($B118))))&lt;=MIN($C118,IF(Settings!$E$65="",$C118,Settings!$E$65))),1,0)),0))</f>
        <v/>
      </c>
      <c r="AC118">
        <f>$AY118+$AZ118+$BA118+$BB118+$BC118+$BD118</f>
        <v/>
      </c>
      <c r="AD118">
        <f>$AC118</f>
        <v/>
      </c>
      <c r="AE118">
        <f>IF(OR(Settings!$A$19="",$E118="pre"),"",IF(AND('Month-End'!$DK$7&lt;&gt;"",NOT(_xlfn.ISFORMULA('Month-End'!$DK$7))),N('Month-End'!$DK$7),IF(OR($E118="open",$E117="pre"),N(Settings!$C$19),N($AE117))))</f>
        <v/>
      </c>
      <c r="AF118">
        <f>IF(OR(Settings!$A$20="",$E118="pre"),"",IF(AND('Month-End'!$DK$8&lt;&gt;"",NOT(_xlfn.ISFORMULA('Month-End'!$DK$8))),N('Month-End'!$DK$8),IF(OR($E118="open",$E117="pre"),N(Settings!$C$20),N($AF117))))</f>
        <v/>
      </c>
      <c r="AG118">
        <f>IF(OR(Settings!$A$21="",$E118="pre"),"",IF(AND('Month-End'!$DK$9&lt;&gt;"",NOT(_xlfn.ISFORMULA('Month-End'!$DK$9))),N('Month-End'!$DK$9),IF(OR($E118="open",$E117="pre"),N(Settings!$C$21),N($AG117))))</f>
        <v/>
      </c>
      <c r="AH118">
        <f>IF(OR(Settings!$A$22="",$E118="pre"),"",IF(AND('Month-End'!$DK$10&lt;&gt;"",NOT(_xlfn.ISFORMULA('Month-End'!$DK$10))),N('Month-End'!$DK$10),IF(OR($E118="open",$E117="pre"),N(Settings!$C$22),N($AH117))))</f>
        <v/>
      </c>
      <c r="AI118">
        <f>IF(OR(Settings!$A$23="",$E118="pre"),"",IF(AND('Month-End'!$DK$11&lt;&gt;"",NOT(_xlfn.ISFORMULA('Month-End'!$DK$11))),N('Month-End'!$DK$11),IF(OR($E118="open",$E117="pre"),N(Settings!$C$23),N($AI117))))</f>
        <v/>
      </c>
      <c r="AJ118">
        <f>IF(OR(Settings!$A$24="",$E118="pre"),"",IF(AND('Month-End'!$DK$12&lt;&gt;"",NOT(_xlfn.ISFORMULA('Month-End'!$DK$12))),N('Month-End'!$DK$12),IF(OR($E118="open",$E117="pre"),N(Settings!$C$24),N($AJ117))))</f>
        <v/>
      </c>
      <c r="AK118">
        <f>IF(OR(Settings!$A$25="",$E118="pre"),"",IF(AND('Month-End'!$DK$13&lt;&gt;"",NOT(_xlfn.ISFORMULA('Month-End'!$DK$13))),N('Month-End'!$DK$13),IF(OR($E118="open",$E117="pre"),N(Settings!$C$25),N($AK117))))</f>
        <v/>
      </c>
      <c r="AL118">
        <f>IF(OR(Settings!$A$26="",$E118="pre"),"",IF(AND('Month-End'!$DK$14&lt;&gt;"",NOT(_xlfn.ISFORMULA('Month-End'!$DK$14))),N('Month-End'!$DK$14),IF(OR($E118="open",$E117="pre"),N(Settings!$C$26),N($AL117))))</f>
        <v/>
      </c>
      <c r="AM118">
        <f>IF(OR(Settings!$A$27="",$E118="pre"),"",IF(AND('Month-End'!$DK$15&lt;&gt;"",NOT(_xlfn.ISFORMULA('Month-End'!$DK$15))),N('Month-End'!$DK$15),IF(OR($E118="open",$E117="pre"),N(Settings!$C$27),N($AM117))))</f>
        <v/>
      </c>
      <c r="AN118">
        <f>IF(OR(Settings!$A$28="",$E118="pre"),"",IF(AND('Month-End'!$DK$16&lt;&gt;"",NOT(_xlfn.ISFORMULA('Month-End'!$DK$16))),N('Month-End'!$DK$16),IF(OR($E118="open",$E117="pre"),N(Settings!$C$28),N($AN117))))</f>
        <v/>
      </c>
      <c r="AO118">
        <f>IF(OR(Settings!$A$29="",$E118="pre"),"",IF(AND('Month-End'!$DK$17&lt;&gt;"",NOT(_xlfn.ISFORMULA('Month-End'!$DK$17))),N('Month-End'!$DK$17),IF(OR($E118="open",$E117="pre"),N(Settings!$C$29),N($AO117))))</f>
        <v/>
      </c>
      <c r="AP118">
        <f>IF(OR(Settings!$A$30="",$E118="pre"),"",IF(AND('Month-End'!$DK$18&lt;&gt;"",NOT(_xlfn.ISFORMULA('Month-End'!$DK$18))),N('Month-End'!$DK$18),IF(OR($E118="open",$E117="pre"),N(Settings!$C$30),N($AP117))))</f>
        <v/>
      </c>
      <c r="AQ118">
        <f>IF(OR(Settings!$A$31="",$E118="pre"),"",IF(AND('Month-End'!$DK$19&lt;&gt;"",NOT(_xlfn.ISFORMULA('Month-End'!$DK$19))),N('Month-End'!$DK$19),IF(OR($E118="open",$E117="pre"),N(Settings!$C$31),N($AQ117))))</f>
        <v/>
      </c>
      <c r="AR118">
        <f>IF(OR(Settings!$A$32="",$E118="pre"),"",IF(AND('Month-End'!$DK$20&lt;&gt;"",NOT(_xlfn.ISFORMULA('Month-End'!$DK$20))),N('Month-End'!$DK$20),IF(OR($E118="open",$E117="pre"),N(Settings!$C$32),N($AR117))))</f>
        <v/>
      </c>
      <c r="AS118">
        <f>IF(OR(Settings!$A$36="",$E118="pre"),"",IF(AND('Month-End'!$DK$38&lt;&gt;"",NOT(_xlfn.ISFORMULA('Month-End'!$DK$38))),N('Month-End'!$DK$38),IF(OR($E118="open",$E117="pre"),N(Settings!$C$36),N($AS117))+$AY118))</f>
        <v/>
      </c>
      <c r="AT118">
        <f>IF(OR(Settings!$A$37="",$E118="pre"),"",IF(AND('Month-End'!$DK$39&lt;&gt;"",NOT(_xlfn.ISFORMULA('Month-End'!$DK$39))),N('Month-End'!$DK$39),IF(OR($E118="open",$E117="pre"),N(Settings!$C$37),N($AT117))+$AZ118))</f>
        <v/>
      </c>
      <c r="AU118">
        <f>IF(OR(Settings!$A$38="",$E118="pre"),"",IF(AND('Month-End'!$DK$40&lt;&gt;"",NOT(_xlfn.ISFORMULA('Month-End'!$DK$40))),N('Month-End'!$DK$40),IF(OR($E118="open",$E117="pre"),N(Settings!$C$38),N($AU117))+$BA118))</f>
        <v/>
      </c>
      <c r="AV118">
        <f>IF(OR(Settings!$A$39="",$E118="pre"),"",IF(AND('Month-End'!$DK$41&lt;&gt;"",NOT(_xlfn.ISFORMULA('Month-End'!$DK$41))),N('Month-End'!$DK$41),IF(OR($E118="open",$E117="pre"),N(Settings!$C$39),N($AV117))+$BB118))</f>
        <v/>
      </c>
      <c r="AW118">
        <f>IF(OR(Settings!$A$40="",$E118="pre"),"",IF(AND('Month-End'!$DK$42&lt;&gt;"",NOT(_xlfn.ISFORMULA('Month-End'!$DK$42))),N('Month-End'!$DK$42),IF(OR($E118="open",$E117="pre"),N(Settings!$C$40),N($AW117))+$BC118))</f>
        <v/>
      </c>
      <c r="AX118">
        <f>IF(OR(Settings!$A$41="",$E118="pre"),"",IF(AND('Month-End'!$DK$43&lt;&gt;"",NOT(_xlfn.ISFORMULA('Month-End'!$DK$43))),N('Month-End'!$DK$43),IF(OR($E118="open",$E117="pre"),N(Settings!$C$41),N($AX117))+$BD118))</f>
        <v/>
      </c>
      <c r="AY118">
        <f>IF($E118="pre",0,N('Month-End'!$DK$45))</f>
        <v/>
      </c>
      <c r="AZ118">
        <f>IF($E118="pre",0,N('Month-End'!$DK$46))</f>
        <v/>
      </c>
      <c r="BA118">
        <f>IF($E118="pre",0,N('Month-End'!$DK$47))</f>
        <v/>
      </c>
      <c r="BB118">
        <f>IF($E118="pre",0,N('Month-End'!$DK$48))</f>
        <v/>
      </c>
      <c r="BC118">
        <f>IF($E118="pre",0,N('Month-End'!$DK$49))</f>
        <v/>
      </c>
      <c r="BD118">
        <f>IF($E118="pre",0,N('Month-End'!$DK$50))</f>
        <v/>
      </c>
      <c r="BE118">
        <f>IF(OR(Settings!$C$45="",Settings!$D$45=""),0,Settings!$C$45*IF(Settings!$D$45="Weekly",IF(IFERROR(MATCH(Settings!$E$45,$EO$4:$EO$10,0),0)=0,0,IF(MIN($C118,IF(Settings!$G$45="",$C118,Settings!$G$45))&lt;MAX($A118,Settings!$F$45),0,INT((MIN($C118,IF(Settings!$G$45="",$C118,Settings!$G$45))-MAX($A118,Settings!$F$45)-MOD(IFERROR(MATCH(Settings!$E$45,$EO$4:$EO$10,0),0)-WEEKDAY(MAX($A118,Settings!$F$45)),7))/7)+1)),IF(AND(IF(Settings!$E$45="",$B118,DATE(YEAR($A118),MONTH($A118),MIN(Settings!$E$45,DAY($B118))))&gt;=MAX($A118,Settings!$F$45),IF(Settings!$E$45="",$B118,DATE(YEAR($A118),MONTH($A118),MIN(Settings!$E$45,DAY($B118))))&lt;=MIN($C118,IF(Settings!$G$45="",$C118,Settings!$G$45))),1,0)))</f>
        <v/>
      </c>
      <c r="BF118">
        <f>IF(OR(Settings!$C$46="",Settings!$D$46=""),0,Settings!$C$46*IF(Settings!$D$46="Weekly",IF(IFERROR(MATCH(Settings!$E$46,$EO$4:$EO$10,0),0)=0,0,IF(MIN($C118,IF(Settings!$G$46="",$C118,Settings!$G$46))&lt;MAX($A118,Settings!$F$46),0,INT((MIN($C118,IF(Settings!$G$46="",$C118,Settings!$G$46))-MAX($A118,Settings!$F$46)-MOD(IFERROR(MATCH(Settings!$E$46,$EO$4:$EO$10,0),0)-WEEKDAY(MAX($A118,Settings!$F$46)),7))/7)+1)),IF(AND(IF(Settings!$E$46="",$B118,DATE(YEAR($A118),MONTH($A118),MIN(Settings!$E$46,DAY($B118))))&gt;=MAX($A118,Settings!$F$46),IF(Settings!$E$46="",$B118,DATE(YEAR($A118),MONTH($A118),MIN(Settings!$E$46,DAY($B118))))&lt;=MIN($C118,IF(Settings!$G$46="",$C118,Settings!$G$46))),1,0)))</f>
        <v/>
      </c>
      <c r="BG118">
        <f>IF(OR(Settings!$C$47="",Settings!$D$47=""),0,Settings!$C$47*IF(Settings!$D$47="Weekly",IF(IFERROR(MATCH(Settings!$E$47,$EO$4:$EO$10,0),0)=0,0,IF(MIN($C118,IF(Settings!$G$47="",$C118,Settings!$G$47))&lt;MAX($A118,Settings!$F$47),0,INT((MIN($C118,IF(Settings!$G$47="",$C118,Settings!$G$47))-MAX($A118,Settings!$F$47)-MOD(IFERROR(MATCH(Settings!$E$47,$EO$4:$EO$10,0),0)-WEEKDAY(MAX($A118,Settings!$F$47)),7))/7)+1)),IF(AND(IF(Settings!$E$47="",$B118,DATE(YEAR($A118),MONTH($A118),MIN(Settings!$E$47,DAY($B118))))&gt;=MAX($A118,Settings!$F$47),IF(Settings!$E$47="",$B118,DATE(YEAR($A118),MONTH($A118),MIN(Settings!$E$47,DAY($B118))))&lt;=MIN($C118,IF(Settings!$G$47="",$C118,Settings!$G$47))),1,0)))</f>
        <v/>
      </c>
      <c r="BH118">
        <f>IF(OR(Settings!$C$48="",Settings!$D$48=""),0,Settings!$C$48*IF(Settings!$D$48="Weekly",IF(IFERROR(MATCH(Settings!$E$48,$EO$4:$EO$10,0),0)=0,0,IF(MIN($C118,IF(Settings!$G$48="",$C118,Settings!$G$48))&lt;MAX($A118,Settings!$F$48),0,INT((MIN($C118,IF(Settings!$G$48="",$C118,Settings!$G$48))-MAX($A118,Settings!$F$48)-MOD(IFERROR(MATCH(Settings!$E$48,$EO$4:$EO$10,0),0)-WEEKDAY(MAX($A118,Settings!$F$48)),7))/7)+1)),IF(AND(IF(Settings!$E$48="",$B118,DATE(YEAR($A118),MONTH($A118),MIN(Settings!$E$48,DAY($B118))))&gt;=MAX($A118,Settings!$F$48),IF(Settings!$E$48="",$B118,DATE(YEAR($A118),MONTH($A118),MIN(Settings!$E$48,DAY($B118))))&lt;=MIN($C118,IF(Settings!$G$48="",$C118,Settings!$G$48))),1,0)))</f>
        <v/>
      </c>
      <c r="BI118">
        <f>IF(OR(Settings!$C$49="",Settings!$D$49=""),0,Settings!$C$49*IF(Settings!$D$49="Weekly",IF(IFERROR(MATCH(Settings!$E$49,$EO$4:$EO$10,0),0)=0,0,IF(MIN($C118,IF(Settings!$G$49="",$C118,Settings!$G$49))&lt;MAX($A118,Settings!$F$49),0,INT((MIN($C118,IF(Settings!$G$49="",$C118,Settings!$G$49))-MAX($A118,Settings!$F$49)-MOD(IFERROR(MATCH(Settings!$E$49,$EO$4:$EO$10,0),0)-WEEKDAY(MAX($A118,Settings!$F$49)),7))/7)+1)),IF(AND(IF(Settings!$E$49="",$B118,DATE(YEAR($A118),MONTH($A118),MIN(Settings!$E$49,DAY($B118))))&gt;=MAX($A118,Settings!$F$49),IF(Settings!$E$49="",$B118,DATE(YEAR($A118),MONTH($A118),MIN(Settings!$E$49,DAY($B118))))&lt;=MIN($C118,IF(Settings!$G$49="",$C118,Settings!$G$49))),1,0)))</f>
        <v/>
      </c>
      <c r="BJ118">
        <f>IF(OR(Settings!$C$50="",Settings!$D$50=""),0,Settings!$C$50*IF(Settings!$D$50="Weekly",IF(IFERROR(MATCH(Settings!$E$50,$EO$4:$EO$10,0),0)=0,0,IF(MIN($C118,IF(Settings!$G$50="",$C118,Settings!$G$50))&lt;MAX($A118,Settings!$F$50),0,INT((MIN($C118,IF(Settings!$G$50="",$C118,Settings!$G$50))-MAX($A118,Settings!$F$50)-MOD(IFERROR(MATCH(Settings!$E$50,$EO$4:$EO$10,0),0)-WEEKDAY(MAX($A118,Settings!$F$50)),7))/7)+1)),IF(AND(IF(Settings!$E$50="",$B118,DATE(YEAR($A118),MONTH($A118),MIN(Settings!$E$50,DAY($B118))))&gt;=MAX($A118,Settings!$F$50),IF(Settings!$E$50="",$B118,DATE(YEAR($A118),MONTH($A118),MIN(Settings!$E$50,DAY($B118))))&lt;=MIN($C118,IF(Settings!$G$50="",$C118,Settings!$G$50))),1,0)))</f>
        <v/>
      </c>
      <c r="BK118">
        <f>IF(OR(Settings!$C$51="",Settings!$D$51=""),0,Settings!$C$51*IF(Settings!$D$51="Weekly",IF(IFERROR(MATCH(Settings!$E$51,$EO$4:$EO$10,0),0)=0,0,IF(MIN($C118,IF(Settings!$G$51="",$C118,Settings!$G$51))&lt;MAX($A118,Settings!$F$51),0,INT((MIN($C118,IF(Settings!$G$51="",$C118,Settings!$G$51))-MAX($A118,Settings!$F$51)-MOD(IFERROR(MATCH(Settings!$E$51,$EO$4:$EO$10,0),0)-WEEKDAY(MAX($A118,Settings!$F$51)),7))/7)+1)),IF(AND(IF(Settings!$E$51="",$B118,DATE(YEAR($A118),MONTH($A118),MIN(Settings!$E$51,DAY($B118))))&gt;=MAX($A118,Settings!$F$51),IF(Settings!$E$51="",$B118,DATE(YEAR($A118),MONTH($A118),MIN(Settings!$E$51,DAY($B118))))&lt;=MIN($C118,IF(Settings!$G$51="",$C118,Settings!$G$51))),1,0)))</f>
        <v/>
      </c>
      <c r="BL118">
        <f>IF(OR(Settings!$C$52="",Settings!$D$52=""),0,Settings!$C$52*IF(Settings!$D$52="Weekly",IF(IFERROR(MATCH(Settings!$E$52,$EO$4:$EO$10,0),0)=0,0,IF(MIN($C118,IF(Settings!$G$52="",$C118,Settings!$G$52))&lt;MAX($A118,Settings!$F$52),0,INT((MIN($C118,IF(Settings!$G$52="",$C118,Settings!$G$52))-MAX($A118,Settings!$F$52)-MOD(IFERROR(MATCH(Settings!$E$52,$EO$4:$EO$10,0),0)-WEEKDAY(MAX($A118,Settings!$F$52)),7))/7)+1)),IF(AND(IF(Settings!$E$52="",$B118,DATE(YEAR($A118),MONTH($A118),MIN(Settings!$E$52,DAY($B118))))&gt;=MAX($A118,Settings!$F$52),IF(Settings!$E$52="",$B118,DATE(YEAR($A118),MONTH($A118),MIN(Settings!$E$52,DAY($B118))))&lt;=MIN($C118,IF(Settings!$G$52="",$C118,Settings!$G$52))),1,0)))</f>
        <v/>
      </c>
      <c r="BM118">
        <f>IF(OR(Settings!$C$53="",Settings!$D$53=""),0,Settings!$C$53*IF(Settings!$D$53="Weekly",IF(IFERROR(MATCH(Settings!$E$53,$EO$4:$EO$10,0),0)=0,0,IF(MIN($C118,IF(Settings!$G$53="",$C118,Settings!$G$53))&lt;MAX($A118,Settings!$F$53),0,INT((MIN($C118,IF(Settings!$G$53="",$C118,Settings!$G$53))-MAX($A118,Settings!$F$53)-MOD(IFERROR(MATCH(Settings!$E$53,$EO$4:$EO$10,0),0)-WEEKDAY(MAX($A118,Settings!$F$53)),7))/7)+1)),IF(AND(IF(Settings!$E$53="",$B118,DATE(YEAR($A118),MONTH($A118),MIN(Settings!$E$53,DAY($B118))))&gt;=MAX($A118,Settings!$F$53),IF(Settings!$E$53="",$B118,DATE(YEAR($A118),MONTH($A118),MIN(Settings!$E$53,DAY($B118))))&lt;=MIN($C118,IF(Settings!$G$53="",$C118,Settings!$G$53))),1,0)))</f>
        <v/>
      </c>
      <c r="BN118">
        <f>IF(OR(Settings!$C$54="",Settings!$D$54=""),0,Settings!$C$54*IF(Settings!$D$54="Weekly",IF(IFERROR(MATCH(Settings!$E$54,$EO$4:$EO$10,0),0)=0,0,IF(MIN($C118,IF(Settings!$G$54="",$C118,Settings!$G$54))&lt;MAX($A118,Settings!$F$54),0,INT((MIN($C118,IF(Settings!$G$54="",$C118,Settings!$G$54))-MAX($A118,Settings!$F$54)-MOD(IFERROR(MATCH(Settings!$E$54,$EO$4:$EO$10,0),0)-WEEKDAY(MAX($A118,Settings!$F$54)),7))/7)+1)),IF(AND(IF(Settings!$E$54="",$B118,DATE(YEAR($A118),MONTH($A118),MIN(Settings!$E$54,DAY($B118))))&gt;=MAX($A118,Settings!$F$54),IF(Settings!$E$54="",$B118,DATE(YEAR($A118),MONTH($A118),MIN(Settings!$E$54,DAY($B118))))&lt;=MIN($C118,IF(Settings!$G$54="",$C118,Settings!$G$54))),1,0)))</f>
        <v/>
      </c>
      <c r="BO118">
        <f>IF(OR(Settings!$C$55="",Settings!$D$55=""),0,Settings!$C$55*IF(Settings!$D$55="Weekly",IF(IFERROR(MATCH(Settings!$E$55,$EO$4:$EO$10,0),0)=0,0,IF(MIN($C118,IF(Settings!$G$55="",$C118,Settings!$G$55))&lt;MAX($A118,Settings!$F$55),0,INT((MIN($C118,IF(Settings!$G$55="",$C118,Settings!$G$55))-MAX($A118,Settings!$F$55)-MOD(IFERROR(MATCH(Settings!$E$55,$EO$4:$EO$10,0),0)-WEEKDAY(MAX($A118,Settings!$F$55)),7))/7)+1)),IF(AND(IF(Settings!$E$55="",$B118,DATE(YEAR($A118),MONTH($A118),MIN(Settings!$E$55,DAY($B118))))&gt;=MAX($A118,Settings!$F$55),IF(Settings!$E$55="",$B118,DATE(YEAR($A118),MONTH($A118),MIN(Settings!$E$55,DAY($B118))))&lt;=MIN($C118,IF(Settings!$G$55="",$C118,Settings!$G$55))),1,0)))</f>
        <v/>
      </c>
      <c r="BP118">
        <f>IF(OR(Settings!$C$56="",Settings!$D$56=""),0,Settings!$C$56*IF(Settings!$D$56="Weekly",IF(IFERROR(MATCH(Settings!$E$56,$EO$4:$EO$10,0),0)=0,0,IF(MIN($C118,IF(Settings!$G$56="",$C118,Settings!$G$56))&lt;MAX($A118,Settings!$F$56),0,INT((MIN($C118,IF(Settings!$G$56="",$C118,Settings!$G$56))-MAX($A118,Settings!$F$56)-MOD(IFERROR(MATCH(Settings!$E$56,$EO$4:$EO$10,0),0)-WEEKDAY(MAX($A118,Settings!$F$56)),7))/7)+1)),IF(AND(IF(Settings!$E$56="",$B118,DATE(YEAR($A118),MONTH($A118),MIN(Settings!$E$56,DAY($B118))))&gt;=MAX($A118,Settings!$F$56),IF(Settings!$E$56="",$B118,DATE(YEAR($A118),MONTH($A118),MIN(Settings!$E$56,DAY($B118))))&lt;=MIN($C118,IF(Settings!$G$56="",$C118,Settings!$G$56))),1,0)))</f>
        <v/>
      </c>
      <c r="BQ118">
        <f>IF(OR(Settings!$B$14="",$D118=1,$E118="pre",$A118&lt;IF(Settings!$B$15="",0,Settings!$B$15)),0,Settings!$B$14)</f>
        <v/>
      </c>
      <c r="BR118">
        <f>IF(AND('Month-End'!$DK$7&lt;&gt;"",NOT(_xlfn.ISFORMULA('Month-End'!$DK$7))),1,0)</f>
        <v/>
      </c>
      <c r="BS118">
        <f>IF(AND('Month-End'!$DK$8&lt;&gt;"",NOT(_xlfn.ISFORMULA('Month-End'!$DK$8))),1,0)</f>
        <v/>
      </c>
      <c r="BT118">
        <f>IF(AND('Month-End'!$DK$9&lt;&gt;"",NOT(_xlfn.ISFORMULA('Month-End'!$DK$9))),1,0)</f>
        <v/>
      </c>
      <c r="BU118">
        <f>IF(AND('Month-End'!$DK$10&lt;&gt;"",NOT(_xlfn.ISFORMULA('Month-End'!$DK$10))),1,0)</f>
        <v/>
      </c>
      <c r="BV118">
        <f>IF(AND('Month-End'!$DK$11&lt;&gt;"",NOT(_xlfn.ISFORMULA('Month-End'!$DK$11))),1,0)</f>
        <v/>
      </c>
      <c r="BW118">
        <f>IF(AND('Month-End'!$DK$12&lt;&gt;"",NOT(_xlfn.ISFORMULA('Month-End'!$DK$12))),1,0)</f>
        <v/>
      </c>
      <c r="BX118">
        <f>IF(AND('Month-End'!$DK$13&lt;&gt;"",NOT(_xlfn.ISFORMULA('Month-End'!$DK$13))),1,0)</f>
        <v/>
      </c>
      <c r="BY118">
        <f>IF(AND('Month-End'!$DK$14&lt;&gt;"",NOT(_xlfn.ISFORMULA('Month-End'!$DK$14))),1,0)</f>
        <v/>
      </c>
      <c r="BZ118">
        <f>IF(AND('Month-End'!$DK$15&lt;&gt;"",NOT(_xlfn.ISFORMULA('Month-End'!$DK$15))),1,0)</f>
        <v/>
      </c>
      <c r="CA118">
        <f>IF(AND('Month-End'!$DK$16&lt;&gt;"",NOT(_xlfn.ISFORMULA('Month-End'!$DK$16))),1,0)</f>
        <v/>
      </c>
      <c r="CB118">
        <f>IF(AND('Month-End'!$DK$17&lt;&gt;"",NOT(_xlfn.ISFORMULA('Month-End'!$DK$17))),1,0)</f>
        <v/>
      </c>
      <c r="CC118">
        <f>IF(AND('Month-End'!$DK$18&lt;&gt;"",NOT(_xlfn.ISFORMULA('Month-End'!$DK$18))),1,0)</f>
        <v/>
      </c>
      <c r="CD118">
        <f>IF(AND('Month-End'!$DK$19&lt;&gt;"",NOT(_xlfn.ISFORMULA('Month-End'!$DK$19))),1,0)</f>
        <v/>
      </c>
      <c r="CE118">
        <f>IF(AND('Month-End'!$DK$20&lt;&gt;"",NOT(_xlfn.ISFORMULA('Month-End'!$DK$20))),1,0)</f>
        <v/>
      </c>
      <c r="CF118">
        <f>IF(AND('Month-End'!$DK$38&lt;&gt;"",NOT(_xlfn.ISFORMULA('Month-End'!$DK$38))),1,0)</f>
        <v/>
      </c>
      <c r="CG118">
        <f>IF(AND('Month-End'!$DK$39&lt;&gt;"",NOT(_xlfn.ISFORMULA('Month-End'!$DK$39))),1,0)</f>
        <v/>
      </c>
      <c r="CH118">
        <f>IF(AND('Month-End'!$DK$40&lt;&gt;"",NOT(_xlfn.ISFORMULA('Month-End'!$DK$40))),1,0)</f>
        <v/>
      </c>
      <c r="CI118">
        <f>IF(AND('Month-End'!$DK$41&lt;&gt;"",NOT(_xlfn.ISFORMULA('Month-End'!$DK$41))),1,0)</f>
        <v/>
      </c>
      <c r="CJ118">
        <f>IF(AND('Month-End'!$DK$42&lt;&gt;"",NOT(_xlfn.ISFORMULA('Month-End'!$DK$42))),1,0)</f>
        <v/>
      </c>
      <c r="CK118">
        <f>IF(AND('Month-End'!$DK$43&lt;&gt;"",NOT(_xlfn.ISFORMULA('Month-End'!$DK$43))),1,0)</f>
        <v/>
      </c>
      <c r="CL118">
        <f>SUM($CM118:$CZ118)</f>
        <v/>
      </c>
      <c r="CM118">
        <f>IF(AND($E118&lt;&gt;"pre",AND(Settings!$A$19&lt;&gt;"",Settings!$E$19&lt;&gt;"No"),Settings!$F$19="Yes",NOT(AND('Month-End'!$DK$7&lt;&gt;"",NOT(_xlfn.ISFORMULA('Month-End'!$DK$7))))),1,0)</f>
        <v/>
      </c>
      <c r="CN118">
        <f>IF(AND($E118&lt;&gt;"pre",AND(Settings!$A$20&lt;&gt;"",Settings!$E$20&lt;&gt;"No"),Settings!$F$20="Yes",NOT(AND('Month-End'!$DK$8&lt;&gt;"",NOT(_xlfn.ISFORMULA('Month-End'!$DK$8))))),1,0)</f>
        <v/>
      </c>
      <c r="CO118">
        <f>IF(AND($E118&lt;&gt;"pre",AND(Settings!$A$21&lt;&gt;"",Settings!$E$21&lt;&gt;"No"),Settings!$F$21="Yes",NOT(AND('Month-End'!$DK$9&lt;&gt;"",NOT(_xlfn.ISFORMULA('Month-End'!$DK$9))))),1,0)</f>
        <v/>
      </c>
      <c r="CP118">
        <f>IF(AND($E118&lt;&gt;"pre",AND(Settings!$A$22&lt;&gt;"",Settings!$E$22&lt;&gt;"No"),Settings!$F$22="Yes",NOT(AND('Month-End'!$DK$10&lt;&gt;"",NOT(_xlfn.ISFORMULA('Month-End'!$DK$10))))),1,0)</f>
        <v/>
      </c>
      <c r="CQ118">
        <f>IF(AND($E118&lt;&gt;"pre",AND(Settings!$A$23&lt;&gt;"",Settings!$E$23&lt;&gt;"No"),Settings!$F$23="Yes",NOT(AND('Month-End'!$DK$11&lt;&gt;"",NOT(_xlfn.ISFORMULA('Month-End'!$DK$11))))),1,0)</f>
        <v/>
      </c>
      <c r="CR118">
        <f>IF(AND($E118&lt;&gt;"pre",AND(Settings!$A$24&lt;&gt;"",Settings!$E$24&lt;&gt;"No"),Settings!$F$24="Yes",NOT(AND('Month-End'!$DK$12&lt;&gt;"",NOT(_xlfn.ISFORMULA('Month-End'!$DK$12))))),1,0)</f>
        <v/>
      </c>
      <c r="CS118">
        <f>IF(AND($E118&lt;&gt;"pre",AND(Settings!$A$25&lt;&gt;"",Settings!$E$25&lt;&gt;"No"),Settings!$F$25="Yes",NOT(AND('Month-End'!$DK$13&lt;&gt;"",NOT(_xlfn.ISFORMULA('Month-End'!$DK$13))))),1,0)</f>
        <v/>
      </c>
      <c r="CT118">
        <f>IF(AND($E118&lt;&gt;"pre",AND(Settings!$A$26&lt;&gt;"",Settings!$E$26&lt;&gt;"No"),Settings!$F$26="Yes",NOT(AND('Month-End'!$DK$14&lt;&gt;"",NOT(_xlfn.ISFORMULA('Month-End'!$DK$14))))),1,0)</f>
        <v/>
      </c>
      <c r="CU118">
        <f>IF(AND($E118&lt;&gt;"pre",AND(Settings!$A$27&lt;&gt;"",Settings!$E$27&lt;&gt;"No"),Settings!$F$27="Yes",NOT(AND('Month-End'!$DK$15&lt;&gt;"",NOT(_xlfn.ISFORMULA('Month-End'!$DK$15))))),1,0)</f>
        <v/>
      </c>
      <c r="CV118">
        <f>IF(AND($E118&lt;&gt;"pre",AND(Settings!$A$28&lt;&gt;"",Settings!$E$28&lt;&gt;"No"),Settings!$F$28="Yes",NOT(AND('Month-End'!$DK$16&lt;&gt;"",NOT(_xlfn.ISFORMULA('Month-End'!$DK$16))))),1,0)</f>
        <v/>
      </c>
      <c r="CW118">
        <f>IF(AND($E118&lt;&gt;"pre",AND(Settings!$A$29&lt;&gt;"",Settings!$E$29&lt;&gt;"No"),Settings!$F$29="Yes",NOT(AND('Month-End'!$DK$17&lt;&gt;"",NOT(_xlfn.ISFORMULA('Month-End'!$DK$17))))),1,0)</f>
        <v/>
      </c>
      <c r="CX118">
        <f>IF(AND($E118&lt;&gt;"pre",AND(Settings!$A$30&lt;&gt;"",Settings!$E$30&lt;&gt;"No"),Settings!$F$30="Yes",NOT(AND('Month-End'!$DK$18&lt;&gt;"",NOT(_xlfn.ISFORMULA('Month-End'!$DK$18))))),1,0)</f>
        <v/>
      </c>
      <c r="CY118">
        <f>IF(AND($E118&lt;&gt;"pre",AND(Settings!$A$31&lt;&gt;"",Settings!$E$31&lt;&gt;"No"),Settings!$F$31="Yes",NOT(AND('Month-End'!$DK$19&lt;&gt;"",NOT(_xlfn.ISFORMULA('Month-End'!$DK$19))))),1,0)</f>
        <v/>
      </c>
      <c r="CZ118">
        <f>IF(AND($E118&lt;&gt;"pre",AND(Settings!$A$32&lt;&gt;"",Settings!$E$32&lt;&gt;"No"),Settings!$F$32="Yes",NOT(AND('Month-End'!$DK$20&lt;&gt;"",NOT(_xlfn.ISFORMULA('Month-End'!$DK$20))))),1,0)</f>
        <v/>
      </c>
      <c r="DA118">
        <f>IF($DT118=1,IF(OR(Settings!$B$19="Checking",Settings!$B$19="Savings",Settings!$B$19="Cash"),N($AE118),IF(OR(Settings!$B$19="Card",Settings!$B$19="Loan"),-N($AE118),0))+IF(OR(Settings!$B$20="Checking",Settings!$B$20="Savings",Settings!$B$20="Cash"),N($AF118),IF(OR(Settings!$B$20="Card",Settings!$B$20="Loan"),-N($AF118),0))+IF(OR(Settings!$B$21="Checking",Settings!$B$21="Savings",Settings!$B$21="Cash"),N($AG118),IF(OR(Settings!$B$21="Card",Settings!$B$21="Loan"),-N($AG118),0))+IF(OR(Settings!$B$22="Checking",Settings!$B$22="Savings",Settings!$B$22="Cash"),N($AH118),IF(OR(Settings!$B$22="Card",Settings!$B$22="Loan"),-N($AH118),0))+IF(OR(Settings!$B$23="Checking",Settings!$B$23="Savings",Settings!$B$23="Cash"),N($AI118),IF(OR(Settings!$B$23="Card",Settings!$B$23="Loan"),-N($AI118),0))+IF(OR(Settings!$B$24="Checking",Settings!$B$24="Savings",Settings!$B$24="Cash"),N($AJ118),IF(OR(Settings!$B$24="Card",Settings!$B$24="Loan"),-N($AJ118),0))+IF(OR(Settings!$B$25="Checking",Settings!$B$25="Savings",Settings!$B$25="Cash"),N($AK118),IF(OR(Settings!$B$25="Card",Settings!$B$25="Loan"),-N($AK118),0))+IF(OR(Settings!$B$26="Checking",Settings!$B$26="Savings",Settings!$B$26="Cash"),N($AL118),IF(OR(Settings!$B$26="Card",Settings!$B$26="Loan"),-N($AL118),0))+IF(OR(Settings!$B$27="Checking",Settings!$B$27="Savings",Settings!$B$27="Cash"),N($AM118),IF(OR(Settings!$B$27="Card",Settings!$B$27="Loan"),-N($AM118),0))+IF(OR(Settings!$B$28="Checking",Settings!$B$28="Savings",Settings!$B$28="Cash"),N($AN118),IF(OR(Settings!$B$28="Card",Settings!$B$28="Loan"),-N($AN118),0))+IF(OR(Settings!$B$29="Checking",Settings!$B$29="Savings",Settings!$B$29="Cash"),N($AO118),IF(OR(Settings!$B$29="Card",Settings!$B$29="Loan"),-N($AO118),0))+IF(OR(Settings!$B$30="Checking",Settings!$B$30="Savings",Settings!$B$30="Cash"),N($AP118),IF(OR(Settings!$B$30="Card",Settings!$B$30="Loan"),-N($AP118),0))+IF(OR(Settings!$B$31="Checking",Settings!$B$31="Savings",Settings!$B$31="Cash"),N($AQ118),IF(OR(Settings!$B$31="Card",Settings!$B$31="Loan"),-N($AQ118),0))+IF(OR(Settings!$B$32="Checking",Settings!$B$32="Savings",Settings!$B$32="Cash"),N($AR118),IF(OR(Settings!$B$32="Card",Settings!$B$32="Loan"),-N($AR118),0)),"")</f>
        <v/>
      </c>
      <c r="DB118">
        <f>IF($E118="open",$EB$27,IF($E118="post",IF($E117="pre",$EB$27,$DA117),""))</f>
        <v/>
      </c>
      <c r="DC118">
        <f>IF($E118="open",1,IF($E118="post",IF($E117="pre",1,$DT117),0))</f>
        <v/>
      </c>
      <c r="DD118">
        <f>IF(AND($DT118=1,$DC118=1),ROUND($W118-($DA118-$DB118)-$AD118-$AB118,2),"")</f>
        <v/>
      </c>
      <c r="DE118">
        <f>IF('Month-End'!$DK$35="",$BQ118,N('Month-End'!$DK$35))</f>
        <v/>
      </c>
      <c r="DF118">
        <f>N('Month-End'!$DK$36)</f>
        <v/>
      </c>
      <c r="DG118">
        <f>IF($DD118="","",$DD118+$DE118)</f>
        <v/>
      </c>
      <c r="DH118">
        <f>IF($DG118="","",$DG118-$DF118)</f>
        <v/>
      </c>
      <c r="DI118">
        <f>IF(OR($E118="pre",$D118=1),"",N($AS118)+N($AT118)+N($AU118)+N($AV118)+N($AW118)+N($AX118))</f>
        <v/>
      </c>
      <c r="DJ118">
        <f>IF($DT118=1,$DA118+N($DI118),"")</f>
        <v/>
      </c>
      <c r="DK118">
        <f>IF($DD118="","",$W118-$DD118-$AB118)</f>
        <v/>
      </c>
      <c r="DL118">
        <f>IF(AND($E118="post",$DD118&lt;&gt;"",$B118&lt;TODAY()),1,0)</f>
        <v/>
      </c>
      <c r="DM118">
        <f>IF($DL118=1,COUNTIF($DL118:$DL$183,1),0)</f>
        <v/>
      </c>
      <c r="DN118">
        <f>IF($D118=1,"",IF($E118="pre","History only",IF($DT118=1,IF($DD118="","⚠ Previous month missing",IF($DD118&lt;0,"⚠ Check: spending &lt; 0",IF($E118="open","✓ Done (partial)","✓ Done"))),IF($B118&gt;=TODAY(),"In progress","⚠ Needs balances"))))</f>
        <v/>
      </c>
      <c r="DO118">
        <f>YEAR($A118)</f>
        <v/>
      </c>
      <c r="DP118">
        <f>DATE(YEAR($A118),INT((MONTH($A118)-1)/3)*3+1,1)</f>
        <v/>
      </c>
      <c r="DQ118">
        <f>IF(AND($DT118=1,$DD118&lt;&gt;"",$D118=0),ROW(),0)</f>
        <v/>
      </c>
      <c r="DR118">
        <f>IF(AND($E118&lt;&gt;"pre",$B118&lt;TODAY(),$DT118=0),1,0)</f>
        <v/>
      </c>
      <c r="DS118">
        <f>IF($DJ118="",NA(),$DJ118)</f>
        <v/>
      </c>
      <c r="DT118">
        <f>IF(AND($E118&lt;&gt;"pre",$CL118=0,COUNTIFS(Settings!$F$19:$F$32,"Yes",Settings!$A$19:$A$32,"&lt;&gt;",Settings!$E$19:$E$32,"&lt;&gt;No")&gt;0),1,0)</f>
        <v/>
      </c>
      <c r="DU118">
        <f>IF(AND($B118&lt;TODAY(),$S118&gt;0),1,0)</f>
        <v/>
      </c>
      <c r="DV118">
        <f>IF($DU118=1,COUNTIF($DU118:$DU$183,1),0)</f>
        <v/>
      </c>
      <c r="DW118">
        <f>IF(AND(OR(Settings!$B$19="Card",Settings!$B$19="Loan"),AND('Month-End'!$DK$7&lt;&gt;"",NOT(_xlfn.ISFORMULA('Month-End'!$DK$7)))),IF(N('Month-End'!$DK$7)&lt;0,1,0),0)+IF(AND(OR(Settings!$B$20="Card",Settings!$B$20="Loan"),AND('Month-End'!$DK$8&lt;&gt;"",NOT(_xlfn.ISFORMULA('Month-End'!$DK$8)))),IF(N('Month-End'!$DK$8)&lt;0,1,0),0)+IF(AND(OR(Settings!$B$21="Card",Settings!$B$21="Loan"),AND('Month-End'!$DK$9&lt;&gt;"",NOT(_xlfn.ISFORMULA('Month-End'!$DK$9)))),IF(N('Month-End'!$DK$9)&lt;0,1,0),0)+IF(AND(OR(Settings!$B$22="Card",Settings!$B$22="Loan"),AND('Month-End'!$DK$10&lt;&gt;"",NOT(_xlfn.ISFORMULA('Month-End'!$DK$10)))),IF(N('Month-End'!$DK$10)&lt;0,1,0),0)+IF(AND(OR(Settings!$B$23="Card",Settings!$B$23="Loan"),AND('Month-End'!$DK$11&lt;&gt;"",NOT(_xlfn.ISFORMULA('Month-End'!$DK$11)))),IF(N('Month-End'!$DK$11)&lt;0,1,0),0)+IF(AND(OR(Settings!$B$24="Card",Settings!$B$24="Loan"),AND('Month-End'!$DK$12&lt;&gt;"",NOT(_xlfn.ISFORMULA('Month-End'!$DK$12)))),IF(N('Month-End'!$DK$12)&lt;0,1,0),0)+IF(AND(OR(Settings!$B$25="Card",Settings!$B$25="Loan"),AND('Month-End'!$DK$13&lt;&gt;"",NOT(_xlfn.ISFORMULA('Month-End'!$DK$13)))),IF(N('Month-End'!$DK$13)&lt;0,1,0),0)+IF(AND(OR(Settings!$B$26="Card",Settings!$B$26="Loan"),AND('Month-End'!$DK$14&lt;&gt;"",NOT(_xlfn.ISFORMULA('Month-End'!$DK$14)))),IF(N('Month-End'!$DK$14)&lt;0,1,0),0)+IF(AND(OR(Settings!$B$27="Card",Settings!$B$27="Loan"),AND('Month-End'!$DK$15&lt;&gt;"",NOT(_xlfn.ISFORMULA('Month-End'!$DK$15)))),IF(N('Month-End'!$DK$15)&lt;0,1,0),0)+IF(AND(OR(Settings!$B$28="Card",Settings!$B$28="Loan"),AND('Month-End'!$DK$16&lt;&gt;"",NOT(_xlfn.ISFORMULA('Month-End'!$DK$16)))),IF(N('Month-End'!$DK$16)&lt;0,1,0),0)+IF(AND(OR(Settings!$B$29="Card",Settings!$B$29="Loan"),AND('Month-End'!$DK$17&lt;&gt;"",NOT(_xlfn.ISFORMULA('Month-End'!$DK$17)))),IF(N('Month-End'!$DK$17)&lt;0,1,0),0)+IF(AND(OR(Settings!$B$30="Card",Settings!$B$30="Loan"),AND('Month-End'!$DK$18&lt;&gt;"",NOT(_xlfn.ISFORMULA('Month-End'!$DK$18)))),IF(N('Month-End'!$DK$18)&lt;0,1,0),0)+IF(AND(OR(Settings!$B$31="Card",Settings!$B$31="Loan"),AND('Month-End'!$DK$19&lt;&gt;"",NOT(_xlfn.ISFORMULA('Month-End'!$DK$19)))),IF(N('Month-End'!$DK$19)&lt;0,1,0),0)+IF(AND(OR(Settings!$B$32="Card",Settings!$B$32="Loan"),AND('Month-End'!$DK$20&lt;&gt;"",NOT(_xlfn.ISFORMULA('Month-End'!$DK$20)))),IF(N('Month-End'!$DK$20)&lt;0,1,0),0)</f>
        <v/>
      </c>
      <c r="DX118">
        <f>IF(Settings!$B$36="Retirement",$AY118,0)+IF(Settings!$B$37="Retirement",$AZ118,0)+IF(Settings!$B$38="Retirement",$BA118,0)+IF(Settings!$B$39="Retirement",$BB118,0)+IF(Settings!$B$40="Retirement",$BC118,0)+IF(Settings!$B$41="Retirement",$BD118,0)</f>
        <v/>
      </c>
      <c r="EO118">
        <f>EDATE(DATE(YEAR(TODAY()),MONTH(TODAY()),1),-5)</f>
        <v/>
      </c>
      <c r="ER118">
        <f>IFERROR(IF(INDEX($DJ$6:$DJ$183,MATCH(EO118,$A$6:$A$183,0))="",NA(),INDEX($DJ$6:$DJ$183,MATCH(EO118,$A$6:$A$183,0))),NA())</f>
        <v/>
      </c>
      <c r="ES118">
        <f>TEXT(EO118,"mmm yy")</f>
        <v/>
      </c>
      <c r="ET118">
        <f>IF($E118&lt;&gt;"open",0,IF(AND('Month-End'!$DK$22&lt;&gt;"",NOT(_xlfn.ISFORMULA('Month-End'!$DK$22))),0,IF(OR(Settings!$C$45="",Settings!$D$45=""),0,Settings!$C$45*IF(Settings!$D$45="Weekly",IF(IFERROR(MATCH(Settings!$E$45,$EO$4:$EO$10,0),0)=0,0,IF(MIN(Settings!$B$5,IF(Settings!$G$45="",Settings!$B$5,Settings!$G$45))&lt;MAX($A118,Settings!$F$45),0,INT((MIN(Settings!$B$5,IF(Settings!$G$45="",Settings!$B$5,Settings!$G$45))-MAX($A118,Settings!$F$45)-MOD(IFERROR(MATCH(Settings!$E$45,$EO$4:$EO$10,0),0)-WEEKDAY(MAX($A118,Settings!$F$45)),7))/7)+1)),IF(AND(IF(Settings!$E$45="",$B118,DATE(YEAR($A118),MONTH($A118),MIN(Settings!$E$45,DAY($B118))))&gt;=MAX($A118,Settings!$F$45),IF(Settings!$E$45="",$B118,DATE(YEAR($A118),MONTH($A118),MIN(Settings!$E$45,DAY($B118))))&lt;=MIN(Settings!$B$5,IF(Settings!$G$45="",Settings!$B$5,Settings!$G$45))),1,0)))))</f>
        <v/>
      </c>
      <c r="EU118">
        <f>IF($E118&lt;&gt;"open",0,IF(AND('Month-End'!$DK$23&lt;&gt;"",NOT(_xlfn.ISFORMULA('Month-End'!$DK$23))),0,IF(OR(Settings!$C$46="",Settings!$D$46=""),0,Settings!$C$46*IF(Settings!$D$46="Weekly",IF(IFERROR(MATCH(Settings!$E$46,$EO$4:$EO$10,0),0)=0,0,IF(MIN(Settings!$B$5,IF(Settings!$G$46="",Settings!$B$5,Settings!$G$46))&lt;MAX($A118,Settings!$F$46),0,INT((MIN(Settings!$B$5,IF(Settings!$G$46="",Settings!$B$5,Settings!$G$46))-MAX($A118,Settings!$F$46)-MOD(IFERROR(MATCH(Settings!$E$46,$EO$4:$EO$10,0),0)-WEEKDAY(MAX($A118,Settings!$F$46)),7))/7)+1)),IF(AND(IF(Settings!$E$46="",$B118,DATE(YEAR($A118),MONTH($A118),MIN(Settings!$E$46,DAY($B118))))&gt;=MAX($A118,Settings!$F$46),IF(Settings!$E$46="",$B118,DATE(YEAR($A118),MONTH($A118),MIN(Settings!$E$46,DAY($B118))))&lt;=MIN(Settings!$B$5,IF(Settings!$G$46="",Settings!$B$5,Settings!$G$46))),1,0)))))</f>
        <v/>
      </c>
      <c r="EV118">
        <f>IF($E118&lt;&gt;"open",0,IF(AND('Month-End'!$DK$24&lt;&gt;"",NOT(_xlfn.ISFORMULA('Month-End'!$DK$24))),0,IF(OR(Settings!$C$47="",Settings!$D$47=""),0,Settings!$C$47*IF(Settings!$D$47="Weekly",IF(IFERROR(MATCH(Settings!$E$47,$EO$4:$EO$10,0),0)=0,0,IF(MIN(Settings!$B$5,IF(Settings!$G$47="",Settings!$B$5,Settings!$G$47))&lt;MAX($A118,Settings!$F$47),0,INT((MIN(Settings!$B$5,IF(Settings!$G$47="",Settings!$B$5,Settings!$G$47))-MAX($A118,Settings!$F$47)-MOD(IFERROR(MATCH(Settings!$E$47,$EO$4:$EO$10,0),0)-WEEKDAY(MAX($A118,Settings!$F$47)),7))/7)+1)),IF(AND(IF(Settings!$E$47="",$B118,DATE(YEAR($A118),MONTH($A118),MIN(Settings!$E$47,DAY($B118))))&gt;=MAX($A118,Settings!$F$47),IF(Settings!$E$47="",$B118,DATE(YEAR($A118),MONTH($A118),MIN(Settings!$E$47,DAY($B118))))&lt;=MIN(Settings!$B$5,IF(Settings!$G$47="",Settings!$B$5,Settings!$G$47))),1,0)))))</f>
        <v/>
      </c>
      <c r="EW118">
        <f>IF($E118&lt;&gt;"open",0,IF(AND('Month-End'!$DK$25&lt;&gt;"",NOT(_xlfn.ISFORMULA('Month-End'!$DK$25))),0,IF(OR(Settings!$C$48="",Settings!$D$48=""),0,Settings!$C$48*IF(Settings!$D$48="Weekly",IF(IFERROR(MATCH(Settings!$E$48,$EO$4:$EO$10,0),0)=0,0,IF(MIN(Settings!$B$5,IF(Settings!$G$48="",Settings!$B$5,Settings!$G$48))&lt;MAX($A118,Settings!$F$48),0,INT((MIN(Settings!$B$5,IF(Settings!$G$48="",Settings!$B$5,Settings!$G$48))-MAX($A118,Settings!$F$48)-MOD(IFERROR(MATCH(Settings!$E$48,$EO$4:$EO$10,0),0)-WEEKDAY(MAX($A118,Settings!$F$48)),7))/7)+1)),IF(AND(IF(Settings!$E$48="",$B118,DATE(YEAR($A118),MONTH($A118),MIN(Settings!$E$48,DAY($B118))))&gt;=MAX($A118,Settings!$F$48),IF(Settings!$E$48="",$B118,DATE(YEAR($A118),MONTH($A118),MIN(Settings!$E$48,DAY($B118))))&lt;=MIN(Settings!$B$5,IF(Settings!$G$48="",Settings!$B$5,Settings!$G$48))),1,0)))))</f>
        <v/>
      </c>
      <c r="EX118">
        <f>IF($E118&lt;&gt;"open",0,IF(AND('Month-End'!$DK$26&lt;&gt;"",NOT(_xlfn.ISFORMULA('Month-End'!$DK$26))),0,IF(OR(Settings!$C$49="",Settings!$D$49=""),0,Settings!$C$49*IF(Settings!$D$49="Weekly",IF(IFERROR(MATCH(Settings!$E$49,$EO$4:$EO$10,0),0)=0,0,IF(MIN(Settings!$B$5,IF(Settings!$G$49="",Settings!$B$5,Settings!$G$49))&lt;MAX($A118,Settings!$F$49),0,INT((MIN(Settings!$B$5,IF(Settings!$G$49="",Settings!$B$5,Settings!$G$49))-MAX($A118,Settings!$F$49)-MOD(IFERROR(MATCH(Settings!$E$49,$EO$4:$EO$10,0),0)-WEEKDAY(MAX($A118,Settings!$F$49)),7))/7)+1)),IF(AND(IF(Settings!$E$49="",$B118,DATE(YEAR($A118),MONTH($A118),MIN(Settings!$E$49,DAY($B118))))&gt;=MAX($A118,Settings!$F$49),IF(Settings!$E$49="",$B118,DATE(YEAR($A118),MONTH($A118),MIN(Settings!$E$49,DAY($B118))))&lt;=MIN(Settings!$B$5,IF(Settings!$G$49="",Settings!$B$5,Settings!$G$49))),1,0)))))</f>
        <v/>
      </c>
      <c r="EY118">
        <f>IF($E118&lt;&gt;"open",0,IF(AND('Month-End'!$DK$27&lt;&gt;"",NOT(_xlfn.ISFORMULA('Month-End'!$DK$27))),0,IF(OR(Settings!$C$50="",Settings!$D$50=""),0,Settings!$C$50*IF(Settings!$D$50="Weekly",IF(IFERROR(MATCH(Settings!$E$50,$EO$4:$EO$10,0),0)=0,0,IF(MIN(Settings!$B$5,IF(Settings!$G$50="",Settings!$B$5,Settings!$G$50))&lt;MAX($A118,Settings!$F$50),0,INT((MIN(Settings!$B$5,IF(Settings!$G$50="",Settings!$B$5,Settings!$G$50))-MAX($A118,Settings!$F$50)-MOD(IFERROR(MATCH(Settings!$E$50,$EO$4:$EO$10,0),0)-WEEKDAY(MAX($A118,Settings!$F$50)),7))/7)+1)),IF(AND(IF(Settings!$E$50="",$B118,DATE(YEAR($A118),MONTH($A118),MIN(Settings!$E$50,DAY($B118))))&gt;=MAX($A118,Settings!$F$50),IF(Settings!$E$50="",$B118,DATE(YEAR($A118),MONTH($A118),MIN(Settings!$E$50,DAY($B118))))&lt;=MIN(Settings!$B$5,IF(Settings!$G$50="",Settings!$B$5,Settings!$G$50))),1,0)))))</f>
        <v/>
      </c>
      <c r="EZ118">
        <f>IF($E118&lt;&gt;"open",0,IF(AND('Month-End'!$DK$28&lt;&gt;"",NOT(_xlfn.ISFORMULA('Month-End'!$DK$28))),0,IF(OR(Settings!$C$51="",Settings!$D$51=""),0,Settings!$C$51*IF(Settings!$D$51="Weekly",IF(IFERROR(MATCH(Settings!$E$51,$EO$4:$EO$10,0),0)=0,0,IF(MIN(Settings!$B$5,IF(Settings!$G$51="",Settings!$B$5,Settings!$G$51))&lt;MAX($A118,Settings!$F$51),0,INT((MIN(Settings!$B$5,IF(Settings!$G$51="",Settings!$B$5,Settings!$G$51))-MAX($A118,Settings!$F$51)-MOD(IFERROR(MATCH(Settings!$E$51,$EO$4:$EO$10,0),0)-WEEKDAY(MAX($A118,Settings!$F$51)),7))/7)+1)),IF(AND(IF(Settings!$E$51="",$B118,DATE(YEAR($A118),MONTH($A118),MIN(Settings!$E$51,DAY($B118))))&gt;=MAX($A118,Settings!$F$51),IF(Settings!$E$51="",$B118,DATE(YEAR($A118),MONTH($A118),MIN(Settings!$E$51,DAY($B118))))&lt;=MIN(Settings!$B$5,IF(Settings!$G$51="",Settings!$B$5,Settings!$G$51))),1,0)))))</f>
        <v/>
      </c>
      <c r="FA118">
        <f>IF($E118&lt;&gt;"open",0,IF(AND('Month-End'!$DK$29&lt;&gt;"",NOT(_xlfn.ISFORMULA('Month-End'!$DK$29))),0,IF(OR(Settings!$C$52="",Settings!$D$52=""),0,Settings!$C$52*IF(Settings!$D$52="Weekly",IF(IFERROR(MATCH(Settings!$E$52,$EO$4:$EO$10,0),0)=0,0,IF(MIN(Settings!$B$5,IF(Settings!$G$52="",Settings!$B$5,Settings!$G$52))&lt;MAX($A118,Settings!$F$52),0,INT((MIN(Settings!$B$5,IF(Settings!$G$52="",Settings!$B$5,Settings!$G$52))-MAX($A118,Settings!$F$52)-MOD(IFERROR(MATCH(Settings!$E$52,$EO$4:$EO$10,0),0)-WEEKDAY(MAX($A118,Settings!$F$52)),7))/7)+1)),IF(AND(IF(Settings!$E$52="",$B118,DATE(YEAR($A118),MONTH($A118),MIN(Settings!$E$52,DAY($B118))))&gt;=MAX($A118,Settings!$F$52),IF(Settings!$E$52="",$B118,DATE(YEAR($A118),MONTH($A118),MIN(Settings!$E$52,DAY($B118))))&lt;=MIN(Settings!$B$5,IF(Settings!$G$52="",Settings!$B$5,Settings!$G$52))),1,0)))))</f>
        <v/>
      </c>
      <c r="FB118">
        <f>IF($E118&lt;&gt;"open",0,IF(AND('Month-End'!$DK$30&lt;&gt;"",NOT(_xlfn.ISFORMULA('Month-End'!$DK$30))),0,IF(OR(Settings!$C$53="",Settings!$D$53=""),0,Settings!$C$53*IF(Settings!$D$53="Weekly",IF(IFERROR(MATCH(Settings!$E$53,$EO$4:$EO$10,0),0)=0,0,IF(MIN(Settings!$B$5,IF(Settings!$G$53="",Settings!$B$5,Settings!$G$53))&lt;MAX($A118,Settings!$F$53),0,INT((MIN(Settings!$B$5,IF(Settings!$G$53="",Settings!$B$5,Settings!$G$53))-MAX($A118,Settings!$F$53)-MOD(IFERROR(MATCH(Settings!$E$53,$EO$4:$EO$10,0),0)-WEEKDAY(MAX($A118,Settings!$F$53)),7))/7)+1)),IF(AND(IF(Settings!$E$53="",$B118,DATE(YEAR($A118),MONTH($A118),MIN(Settings!$E$53,DAY($B118))))&gt;=MAX($A118,Settings!$F$53),IF(Settings!$E$53="",$B118,DATE(YEAR($A118),MONTH($A118),MIN(Settings!$E$53,DAY($B118))))&lt;=MIN(Settings!$B$5,IF(Settings!$G$53="",Settings!$B$5,Settings!$G$53))),1,0)))))</f>
        <v/>
      </c>
      <c r="FC118">
        <f>IF($E118&lt;&gt;"open",0,IF(AND('Month-End'!$DK$31&lt;&gt;"",NOT(_xlfn.ISFORMULA('Month-End'!$DK$31))),0,IF(OR(Settings!$C$54="",Settings!$D$54=""),0,Settings!$C$54*IF(Settings!$D$54="Weekly",IF(IFERROR(MATCH(Settings!$E$54,$EO$4:$EO$10,0),0)=0,0,IF(MIN(Settings!$B$5,IF(Settings!$G$54="",Settings!$B$5,Settings!$G$54))&lt;MAX($A118,Settings!$F$54),0,INT((MIN(Settings!$B$5,IF(Settings!$G$54="",Settings!$B$5,Settings!$G$54))-MAX($A118,Settings!$F$54)-MOD(IFERROR(MATCH(Settings!$E$54,$EO$4:$EO$10,0),0)-WEEKDAY(MAX($A118,Settings!$F$54)),7))/7)+1)),IF(AND(IF(Settings!$E$54="",$B118,DATE(YEAR($A118),MONTH($A118),MIN(Settings!$E$54,DAY($B118))))&gt;=MAX($A118,Settings!$F$54),IF(Settings!$E$54="",$B118,DATE(YEAR($A118),MONTH($A118),MIN(Settings!$E$54,DAY($B118))))&lt;=MIN(Settings!$B$5,IF(Settings!$G$54="",Settings!$B$5,Settings!$G$54))),1,0)))))</f>
        <v/>
      </c>
      <c r="FD118">
        <f>IF($E118&lt;&gt;"open",0,IF(AND('Month-End'!$DK$32&lt;&gt;"",NOT(_xlfn.ISFORMULA('Month-End'!$DK$32))),0,IF(OR(Settings!$C$55="",Settings!$D$55=""),0,Settings!$C$55*IF(Settings!$D$55="Weekly",IF(IFERROR(MATCH(Settings!$E$55,$EO$4:$EO$10,0),0)=0,0,IF(MIN(Settings!$B$5,IF(Settings!$G$55="",Settings!$B$5,Settings!$G$55))&lt;MAX($A118,Settings!$F$55),0,INT((MIN(Settings!$B$5,IF(Settings!$G$55="",Settings!$B$5,Settings!$G$55))-MAX($A118,Settings!$F$55)-MOD(IFERROR(MATCH(Settings!$E$55,$EO$4:$EO$10,0),0)-WEEKDAY(MAX($A118,Settings!$F$55)),7))/7)+1)),IF(AND(IF(Settings!$E$55="",$B118,DATE(YEAR($A118),MONTH($A118),MIN(Settings!$E$55,DAY($B118))))&gt;=MAX($A118,Settings!$F$55),IF(Settings!$E$55="",$B118,DATE(YEAR($A118),MONTH($A118),MIN(Settings!$E$55,DAY($B118))))&lt;=MIN(Settings!$B$5,IF(Settings!$G$55="",Settings!$B$5,Settings!$G$55))),1,0)))))</f>
        <v/>
      </c>
      <c r="FE118">
        <f>IF($E118&lt;&gt;"open",0,IF(AND('Month-End'!$DK$33&lt;&gt;"",NOT(_xlfn.ISFORMULA('Month-End'!$DK$33))),0,IF(OR(Settings!$C$56="",Settings!$D$56=""),0,Settings!$C$56*IF(Settings!$D$56="Weekly",IF(IFERROR(MATCH(Settings!$E$56,$EO$4:$EO$10,0),0)=0,0,IF(MIN(Settings!$B$5,IF(Settings!$G$56="",Settings!$B$5,Settings!$G$56))&lt;MAX($A118,Settings!$F$56),0,INT((MIN(Settings!$B$5,IF(Settings!$G$56="",Settings!$B$5,Settings!$G$56))-MAX($A118,Settings!$F$56)-MOD(IFERROR(MATCH(Settings!$E$56,$EO$4:$EO$10,0),0)-WEEKDAY(MAX($A118,Settings!$F$56)),7))/7)+1)),IF(AND(IF(Settings!$E$56="",$B118,DATE(YEAR($A118),MONTH($A118),MIN(Settings!$E$56,DAY($B118))))&gt;=MAX($A118,Settings!$F$56),IF(Settings!$E$56="",$B118,DATE(YEAR($A118),MONTH($A118),MIN(Settings!$E$56,DAY($B118))))&lt;=MIN(Settings!$B$5,IF(Settings!$G$56="",Settings!$B$5,Settings!$G$56))),1,0)))))</f>
        <v/>
      </c>
      <c r="FF118">
        <f>IF(Settings!$I$45="Yes",$G118,0)+IF(Settings!$I$46="Yes",$H118,0)+IF(Settings!$I$47="Yes",$I118,0)+IF(Settings!$I$48="Yes",$J118,0)+IF(Settings!$I$49="Yes",$K118,0)+IF(Settings!$I$50="Yes",$L118,0)+IF(Settings!$I$51="Yes",$M118,0)+IF(Settings!$I$52="Yes",$N118,0)+IF(Settings!$I$53="Yes",$O118,0)+IF(Settings!$I$54="Yes",$P118,0)+IF(Settings!$I$55="Yes",$Q118,0)+IF(Settings!$I$56="Yes",$R118,0)</f>
        <v/>
      </c>
      <c r="FG118">
        <f>IF(AND(Settings!$I$45="Yes",Settings!$J$45="No"),$G118,0)+IF(AND(Settings!$I$46="Yes",Settings!$J$46="No"),$H118,0)+IF(AND(Settings!$I$47="Yes",Settings!$J$47="No"),$I118,0)+IF(AND(Settings!$I$48="Yes",Settings!$J$48="No"),$J118,0)+IF(AND(Settings!$I$49="Yes",Settings!$J$49="No"),$K118,0)+IF(AND(Settings!$I$50="Yes",Settings!$J$50="No"),$L118,0)+IF(AND(Settings!$I$51="Yes",Settings!$J$51="No"),$M118,0)+IF(AND(Settings!$I$52="Yes",Settings!$J$52="No"),$N118,0)+IF(AND(Settings!$I$53="Yes",Settings!$J$53="No"),$O118,0)+IF(AND(Settings!$I$54="Yes",Settings!$J$54="No"),$P118,0)+IF(AND(Settings!$I$55="Yes",Settings!$J$55="No"),$Q118,0)+IF(AND(Settings!$I$56="Yes",Settings!$J$56="No"),$R118,0)</f>
        <v/>
      </c>
      <c r="FH118">
        <f>SUMIFS(Giving!$B$7:$B$2006,Giving!$A$7:$A$2006,"&gt;="&amp;$A118,Giving!$A$7:$A$2006,"&lt;="&amp;$B118,Giving!$G$7:$G$2006,"Yes")+IF(OR(OR(Settings!$B$60="",Settings!$F$60="No"),Settings!$H$60&lt;&gt;"Yes"),0,Settings!$B$60*IF(AND(IF(Settings!$C$60="",$B118,DATE(YEAR($A118),MONTH($A118),MIN(Settings!$C$60,DAY($B118))))&gt;=MAX($A118,Settings!$D$60),IF(Settings!$C$60="",$B118,DATE(YEAR($A118),MONTH($A118),MIN(Settings!$C$60,DAY($B118))))&lt;=MIN($C118,IF(Settings!$E$60="",$C118,Settings!$E$60))),1,0))+IF(OR(OR(Settings!$B$61="",Settings!$F$61="No"),Settings!$H$61&lt;&gt;"Yes"),0,Settings!$B$61*IF(AND(IF(Settings!$C$61="",$B118,DATE(YEAR($A118),MONTH($A118),MIN(Settings!$C$61,DAY($B118))))&gt;=MAX($A118,Settings!$D$61),IF(Settings!$C$61="",$B118,DATE(YEAR($A118),MONTH($A118),MIN(Settings!$C$61,DAY($B118))))&lt;=MIN($C118,IF(Settings!$E$61="",$C118,Settings!$E$61))),1,0))+IF(OR(OR(Settings!$B$62="",Settings!$F$62="No"),Settings!$H$62&lt;&gt;"Yes"),0,Settings!$B$62*IF(AND(IF(Settings!$C$62="",$B118,DATE(YEAR($A118),MONTH($A118),MIN(Settings!$C$62,DAY($B118))))&gt;=MAX($A118,Settings!$D$62),IF(Settings!$C$62="",$B118,DATE(YEAR($A118),MONTH($A118),MIN(Settings!$C$62,DAY($B118))))&lt;=MIN($C118,IF(Settings!$E$62="",$C118,Settings!$E$62))),1,0))+IF(OR(OR(Settings!$B$63="",Settings!$F$63="No"),Settings!$H$63&lt;&gt;"Yes"),0,Settings!$B$63*IF(AND(IF(Settings!$C$63="",$B118,DATE(YEAR($A118),MONTH($A118),MIN(Settings!$C$63,DAY($B118))))&gt;=MAX($A118,Settings!$D$63),IF(Settings!$C$63="",$B118,DATE(YEAR($A118),MONTH($A118),MIN(Settings!$C$63,DAY($B118))))&lt;=MIN($C118,IF(Settings!$E$63="",$C118,Settings!$E$63))),1,0))+IF(OR(OR(Settings!$B$64="",Settings!$F$64="No"),Settings!$H$64&lt;&gt;"Yes"),0,Settings!$B$64*IF(AND(IF(Settings!$C$64="",$B118,DATE(YEAR($A118),MONTH($A118),MIN(Settings!$C$64,DAY($B118))))&gt;=MAX($A118,Settings!$D$64),IF(Settings!$C$64="",$B118,DATE(YEAR($A118),MONTH($A118),MIN(Settings!$C$64,DAY($B118))))&lt;=MIN($C118,IF(Settings!$E$64="",$C118,Settings!$E$64))),1,0))+IF(OR(OR(Settings!$B$65="",Settings!$F$65="No"),Settings!$H$65&lt;&gt;"Yes"),0,Settings!$B$65*IF(AND(IF(Settings!$C$65="",$B118,DATE(YEAR($A118),MONTH($A118),MIN(Settings!$C$65,DAY($B118))))&gt;=MAX($A118,Settings!$D$65),IF(Settings!$C$65="",$B118,DATE(YEAR($A118),MONTH($A118),MIN(Settings!$C$65,DAY($B118))))&lt;=MIN($C118,IF(Settings!$E$65="",$C118,Settings!$E$65))),1,0))</f>
        <v/>
      </c>
      <c r="FI118">
        <f>IF($DT118=1,IF(OR(Settings!$B$19="Card",Settings!$B$19="Loan"),N($AE118),0)+IF(OR(Settings!$B$20="Card",Settings!$B$20="Loan"),N($AF118),0)+IF(OR(Settings!$B$21="Card",Settings!$B$21="Loan"),N($AG118),0)+IF(OR(Settings!$B$22="Card",Settings!$B$22="Loan"),N($AH118),0)+IF(OR(Settings!$B$23="Card",Settings!$B$23="Loan"),N($AI118),0)+IF(OR(Settings!$B$24="Card",Settings!$B$24="Loan"),N($AJ118),0)+IF(OR(Settings!$B$25="Card",Settings!$B$25="Loan"),N($AK118),0)+IF(OR(Settings!$B$26="Card",Settings!$B$26="Loan"),N($AL118),0)+IF(OR(Settings!$B$27="Card",Settings!$B$27="Loan"),N($AM118),0)+IF(OR(Settings!$B$28="Card",Settings!$B$28="Loan"),N($AN118),0)+IF(OR(Settings!$B$29="Card",Settings!$B$29="Loan"),N($AO118),0)+IF(OR(Settings!$B$30="Card",Settings!$B$30="Loan"),N($AP118),0)+IF(OR(Settings!$B$31="Card",Settings!$B$31="Loan"),N($AQ118),0)+IF(OR(Settings!$B$32="Card",Settings!$B$32="Loan"),N($AR118),0),"")</f>
        <v/>
      </c>
      <c r="FJ118">
        <f>IF($E118="open",$EB$65,IF($E118="post",IF($E117="pre",$EB$65,$FI117),""))</f>
        <v/>
      </c>
      <c r="FK118">
        <f>IF(AND($DT118=1,$DC118=1),IF(ROUND($FI118-$FJ118,2)&gt;0,1,0),0)</f>
        <v/>
      </c>
      <c r="FL118">
        <f>IF($FK118=1,$FL117+1,0)</f>
        <v/>
      </c>
    </row>
    <row r="119">
      <c r="A119">
        <f>'Month-End'!$DL$4</f>
        <v/>
      </c>
      <c r="B119">
        <f>EOMONTH($A119,0)</f>
        <v/>
      </c>
      <c r="C119">
        <f>MIN($B119,TODAY())</f>
        <v/>
      </c>
      <c r="D119">
        <f>IF($A119&gt;TODAY(),1,0)</f>
        <v/>
      </c>
      <c r="E119">
        <f>IF($B119&lt;=Settings!$B$5,"pre",IF($A119&lt;=Settings!$B$5,"open","post"))</f>
        <v/>
      </c>
      <c r="G119">
        <f>IF('Month-End'!$DL$22="",$BE119,N('Month-End'!$DL$22))</f>
        <v/>
      </c>
      <c r="H119">
        <f>IF('Month-End'!$DL$23="",$BF119,N('Month-End'!$DL$23))</f>
        <v/>
      </c>
      <c r="I119">
        <f>IF('Month-End'!$DL$24="",$BG119,N('Month-End'!$DL$24))</f>
        <v/>
      </c>
      <c r="J119">
        <f>IF('Month-End'!$DL$25="",$BH119,N('Month-End'!$DL$25))</f>
        <v/>
      </c>
      <c r="K119">
        <f>IF('Month-End'!$DL$26="",$BI119,N('Month-End'!$DL$26))</f>
        <v/>
      </c>
      <c r="L119">
        <f>IF('Month-End'!$DL$27="",$BJ119,N('Month-End'!$DL$27))</f>
        <v/>
      </c>
      <c r="M119">
        <f>IF('Month-End'!$DL$28="",$BK119,N('Month-End'!$DL$28))</f>
        <v/>
      </c>
      <c r="N119">
        <f>IF('Month-End'!$DL$29="",$BL119,N('Month-End'!$DL$29))</f>
        <v/>
      </c>
      <c r="O119">
        <f>IF('Month-End'!$DL$30="",$BM119,N('Month-End'!$DL$30))</f>
        <v/>
      </c>
      <c r="P119">
        <f>IF('Month-End'!$DL$31="",$BN119,N('Month-End'!$DL$31))</f>
        <v/>
      </c>
      <c r="Q119">
        <f>IF('Month-End'!$DL$32="",$BO119,N('Month-End'!$DL$32))</f>
        <v/>
      </c>
      <c r="R119">
        <f>IF('Month-End'!$DL$33="",$BP119,N('Month-End'!$DL$33))</f>
        <v/>
      </c>
      <c r="S119">
        <f>$G119+$H119+$I119+$J119+$K119+$L119+$M119+$N119+$O119+$P119+$Q119+$R119</f>
        <v/>
      </c>
      <c r="T119">
        <f>IF($B119&lt;Settings!$B$6,0,IF(Settings!$B$45="Yes",$G119,0)+IF(Settings!$B$46="Yes",$H119,0)+IF(Settings!$B$47="Yes",$I119,0)+IF(Settings!$B$48="Yes",$J119,0)+IF(Settings!$B$49="Yes",$K119,0)+IF(Settings!$B$50="Yes",$L119,0)+IF(Settings!$B$51="Yes",$M119,0)+IF(Settings!$B$52="Yes",$N119,0)+IF(Settings!$B$53="Yes",$O119,0)+IF(Settings!$B$54="Yes",$P119,0)+IF(Settings!$B$55="Yes",$Q119,0)+IF(Settings!$B$56="Yes",$R119,0))</f>
        <v/>
      </c>
      <c r="U119">
        <f>IF(Settings!$B$45="Not Sure",$G119,0)+IF(Settings!$B$46="Not Sure",$H119,0)+IF(Settings!$B$47="Not Sure",$I119,0)+IF(Settings!$B$48="Not Sure",$J119,0)+IF(Settings!$B$49="Not Sure",$K119,0)+IF(Settings!$B$50="Not Sure",$L119,0)+IF(Settings!$B$51="Not Sure",$M119,0)+IF(Settings!$B$52="Not Sure",$N119,0)+IF(Settings!$B$53="Not Sure",$O119,0)+IF(Settings!$B$54="Not Sure",$P119,0)+IF(Settings!$B$55="Not Sure",$Q119,0)+IF(Settings!$B$56="Not Sure",$R119,0)</f>
        <v/>
      </c>
      <c r="V119">
        <f>IF($E119="open",SUM($ET119:$FE119)+N(Settings!$B$13),0)</f>
        <v/>
      </c>
      <c r="W119">
        <f>IF($E119="post",$S119,IF($E119="open",$S119-$V119,0))</f>
        <v/>
      </c>
      <c r="X119">
        <f>SUMIFS(Giving!$B$7:$B$2006,Giving!$A$7:$A$2006,"&gt;="&amp;$A119,Giving!$A$7:$A$2006,"&lt;="&amp;$B119,Giving!$E$7:$E$2006,"&lt;&gt;No")</f>
        <v/>
      </c>
      <c r="Y119">
        <f>SUMIFS(Giving!$B$7:$B$2006,Giving!$A$7:$A$2006,"&gt;="&amp;$A119,Giving!$A$7:$A$2006,"&lt;="&amp;$B119,Giving!$E$7:$E$2006,"No")</f>
        <v/>
      </c>
      <c r="Z119">
        <f>IF(OR(Settings!$B$60="",Settings!$F$60="No"),0,Settings!$B$60*IF(AND(IF(Settings!$C$60="",$B119,DATE(YEAR($A119),MONTH($A119),MIN(Settings!$C$60,DAY($B119))))&gt;=MAX($A119,Settings!$D$60),IF(Settings!$C$60="",$B119,DATE(YEAR($A119),MONTH($A119),MIN(Settings!$C$60,DAY($B119))))&lt;=MIN($C119,IF(Settings!$E$60="",$C119,Settings!$E$60))),1,0))+IF(OR(Settings!$B$61="",Settings!$F$61="No"),0,Settings!$B$61*IF(AND(IF(Settings!$C$61="",$B119,DATE(YEAR($A119),MONTH($A119),MIN(Settings!$C$61,DAY($B119))))&gt;=MAX($A119,Settings!$D$61),IF(Settings!$C$61="",$B119,DATE(YEAR($A119),MONTH($A119),MIN(Settings!$C$61,DAY($B119))))&lt;=MIN($C119,IF(Settings!$E$61="",$C119,Settings!$E$61))),1,0))+IF(OR(Settings!$B$62="",Settings!$F$62="No"),0,Settings!$B$62*IF(AND(IF(Settings!$C$62="",$B119,DATE(YEAR($A119),MONTH($A119),MIN(Settings!$C$62,DAY($B119))))&gt;=MAX($A119,Settings!$D$62),IF(Settings!$C$62="",$B119,DATE(YEAR($A119),MONTH($A119),MIN(Settings!$C$62,DAY($B119))))&lt;=MIN($C119,IF(Settings!$E$62="",$C119,Settings!$E$62))),1,0))+IF(OR(Settings!$B$63="",Settings!$F$63="No"),0,Settings!$B$63*IF(AND(IF(Settings!$C$63="",$B119,DATE(YEAR($A119),MONTH($A119),MIN(Settings!$C$63,DAY($B119))))&gt;=MAX($A119,Settings!$D$63),IF(Settings!$C$63="",$B119,DATE(YEAR($A119),MONTH($A119),MIN(Settings!$C$63,DAY($B119))))&lt;=MIN($C119,IF(Settings!$E$63="",$C119,Settings!$E$63))),1,0))+IF(OR(Settings!$B$64="",Settings!$F$64="No"),0,Settings!$B$64*IF(AND(IF(Settings!$C$64="",$B119,DATE(YEAR($A119),MONTH($A119),MIN(Settings!$C$64,DAY($B119))))&gt;=MAX($A119,Settings!$D$64),IF(Settings!$C$64="",$B119,DATE(YEAR($A119),MONTH($A119),MIN(Settings!$C$64,DAY($B119))))&lt;=MIN($C119,IF(Settings!$E$64="",$C119,Settings!$E$64))),1,0))+IF(OR(Settings!$B$65="",Settings!$F$65="No"),0,Settings!$B$65*IF(AND(IF(Settings!$C$65="",$B119,DATE(YEAR($A119),MONTH($A119),MIN(Settings!$C$65,DAY($B119))))&gt;=MAX($A119,Settings!$D$65),IF(Settings!$C$65="",$B119,DATE(YEAR($A119),MONTH($A119),MIN(Settings!$C$65,DAY($B119))))&lt;=MIN($C119,IF(Settings!$E$65="",$C119,Settings!$E$65))),1,0))</f>
        <v/>
      </c>
      <c r="AA119">
        <f>$X119+$Z119</f>
        <v/>
      </c>
      <c r="AB119">
        <f>IF($E119="post",$AA119,IF($E119="open",SUMIFS(Giving!$B$7:$B$2006,Giving!$A$7:$A$2006,"&gt;"&amp;Settings!$B$5,Giving!$A$7:$A$2006,"&lt;="&amp;$B119,Giving!$E$7:$E$2006,"&lt;&gt;No")+IF(OR(Settings!$B$60="",Settings!$F$60="No"),0,Settings!$B$60*IF(AND(IF(Settings!$C$60="",$B119,DATE(YEAR($A119),MONTH($A119),MIN(Settings!$C$60,DAY($B119))))&gt;=MAX($A119,Settings!$D$60,Settings!$B$5+1),IF(Settings!$C$60="",$B119,DATE(YEAR($A119),MONTH($A119),MIN(Settings!$C$60,DAY($B119))))&lt;=MIN($C119,IF(Settings!$E$60="",$C119,Settings!$E$60))),1,0))+IF(OR(Settings!$B$61="",Settings!$F$61="No"),0,Settings!$B$61*IF(AND(IF(Settings!$C$61="",$B119,DATE(YEAR($A119),MONTH($A119),MIN(Settings!$C$61,DAY($B119))))&gt;=MAX($A119,Settings!$D$61,Settings!$B$5+1),IF(Settings!$C$61="",$B119,DATE(YEAR($A119),MONTH($A119),MIN(Settings!$C$61,DAY($B119))))&lt;=MIN($C119,IF(Settings!$E$61="",$C119,Settings!$E$61))),1,0))+IF(OR(Settings!$B$62="",Settings!$F$62="No"),0,Settings!$B$62*IF(AND(IF(Settings!$C$62="",$B119,DATE(YEAR($A119),MONTH($A119),MIN(Settings!$C$62,DAY($B119))))&gt;=MAX($A119,Settings!$D$62,Settings!$B$5+1),IF(Settings!$C$62="",$B119,DATE(YEAR($A119),MONTH($A119),MIN(Settings!$C$62,DAY($B119))))&lt;=MIN($C119,IF(Settings!$E$62="",$C119,Settings!$E$62))),1,0))+IF(OR(Settings!$B$63="",Settings!$F$63="No"),0,Settings!$B$63*IF(AND(IF(Settings!$C$63="",$B119,DATE(YEAR($A119),MONTH($A119),MIN(Settings!$C$63,DAY($B119))))&gt;=MAX($A119,Settings!$D$63,Settings!$B$5+1),IF(Settings!$C$63="",$B119,DATE(YEAR($A119),MONTH($A119),MIN(Settings!$C$63,DAY($B119))))&lt;=MIN($C119,IF(Settings!$E$63="",$C119,Settings!$E$63))),1,0))+IF(OR(Settings!$B$64="",Settings!$F$64="No"),0,Settings!$B$64*IF(AND(IF(Settings!$C$64="",$B119,DATE(YEAR($A119),MONTH($A119),MIN(Settings!$C$64,DAY($B119))))&gt;=MAX($A119,Settings!$D$64,Settings!$B$5+1),IF(Settings!$C$64="",$B119,DATE(YEAR($A119),MONTH($A119),MIN(Settings!$C$64,DAY($B119))))&lt;=MIN($C119,IF(Settings!$E$64="",$C119,Settings!$E$64))),1,0))+IF(OR(Settings!$B$65="",Settings!$F$65="No"),0,Settings!$B$65*IF(AND(IF(Settings!$C$65="",$B119,DATE(YEAR($A119),MONTH($A119),MIN(Settings!$C$65,DAY($B119))))&gt;=MAX($A119,Settings!$D$65,Settings!$B$5+1),IF(Settings!$C$65="",$B119,DATE(YEAR($A119),MONTH($A119),MIN(Settings!$C$65,DAY($B119))))&lt;=MIN($C119,IF(Settings!$E$65="",$C119,Settings!$E$65))),1,0)),0))</f>
        <v/>
      </c>
      <c r="AC119">
        <f>$AY119+$AZ119+$BA119+$BB119+$BC119+$BD119</f>
        <v/>
      </c>
      <c r="AD119">
        <f>$AC119</f>
        <v/>
      </c>
      <c r="AE119">
        <f>IF(OR(Settings!$A$19="",$E119="pre"),"",IF(AND('Month-End'!$DL$7&lt;&gt;"",NOT(_xlfn.ISFORMULA('Month-End'!$DL$7))),N('Month-End'!$DL$7),IF(OR($E119="open",$E118="pre"),N(Settings!$C$19),N($AE118))))</f>
        <v/>
      </c>
      <c r="AF119">
        <f>IF(OR(Settings!$A$20="",$E119="pre"),"",IF(AND('Month-End'!$DL$8&lt;&gt;"",NOT(_xlfn.ISFORMULA('Month-End'!$DL$8))),N('Month-End'!$DL$8),IF(OR($E119="open",$E118="pre"),N(Settings!$C$20),N($AF118))))</f>
        <v/>
      </c>
      <c r="AG119">
        <f>IF(OR(Settings!$A$21="",$E119="pre"),"",IF(AND('Month-End'!$DL$9&lt;&gt;"",NOT(_xlfn.ISFORMULA('Month-End'!$DL$9))),N('Month-End'!$DL$9),IF(OR($E119="open",$E118="pre"),N(Settings!$C$21),N($AG118))))</f>
        <v/>
      </c>
      <c r="AH119">
        <f>IF(OR(Settings!$A$22="",$E119="pre"),"",IF(AND('Month-End'!$DL$10&lt;&gt;"",NOT(_xlfn.ISFORMULA('Month-End'!$DL$10))),N('Month-End'!$DL$10),IF(OR($E119="open",$E118="pre"),N(Settings!$C$22),N($AH118))))</f>
        <v/>
      </c>
      <c r="AI119">
        <f>IF(OR(Settings!$A$23="",$E119="pre"),"",IF(AND('Month-End'!$DL$11&lt;&gt;"",NOT(_xlfn.ISFORMULA('Month-End'!$DL$11))),N('Month-End'!$DL$11),IF(OR($E119="open",$E118="pre"),N(Settings!$C$23),N($AI118))))</f>
        <v/>
      </c>
      <c r="AJ119">
        <f>IF(OR(Settings!$A$24="",$E119="pre"),"",IF(AND('Month-End'!$DL$12&lt;&gt;"",NOT(_xlfn.ISFORMULA('Month-End'!$DL$12))),N('Month-End'!$DL$12),IF(OR($E119="open",$E118="pre"),N(Settings!$C$24),N($AJ118))))</f>
        <v/>
      </c>
      <c r="AK119">
        <f>IF(OR(Settings!$A$25="",$E119="pre"),"",IF(AND('Month-End'!$DL$13&lt;&gt;"",NOT(_xlfn.ISFORMULA('Month-End'!$DL$13))),N('Month-End'!$DL$13),IF(OR($E119="open",$E118="pre"),N(Settings!$C$25),N($AK118))))</f>
        <v/>
      </c>
      <c r="AL119">
        <f>IF(OR(Settings!$A$26="",$E119="pre"),"",IF(AND('Month-End'!$DL$14&lt;&gt;"",NOT(_xlfn.ISFORMULA('Month-End'!$DL$14))),N('Month-End'!$DL$14),IF(OR($E119="open",$E118="pre"),N(Settings!$C$26),N($AL118))))</f>
        <v/>
      </c>
      <c r="AM119">
        <f>IF(OR(Settings!$A$27="",$E119="pre"),"",IF(AND('Month-End'!$DL$15&lt;&gt;"",NOT(_xlfn.ISFORMULA('Month-End'!$DL$15))),N('Month-End'!$DL$15),IF(OR($E119="open",$E118="pre"),N(Settings!$C$27),N($AM118))))</f>
        <v/>
      </c>
      <c r="AN119">
        <f>IF(OR(Settings!$A$28="",$E119="pre"),"",IF(AND('Month-End'!$DL$16&lt;&gt;"",NOT(_xlfn.ISFORMULA('Month-End'!$DL$16))),N('Month-End'!$DL$16),IF(OR($E119="open",$E118="pre"),N(Settings!$C$28),N($AN118))))</f>
        <v/>
      </c>
      <c r="AO119">
        <f>IF(OR(Settings!$A$29="",$E119="pre"),"",IF(AND('Month-End'!$DL$17&lt;&gt;"",NOT(_xlfn.ISFORMULA('Month-End'!$DL$17))),N('Month-End'!$DL$17),IF(OR($E119="open",$E118="pre"),N(Settings!$C$29),N($AO118))))</f>
        <v/>
      </c>
      <c r="AP119">
        <f>IF(OR(Settings!$A$30="",$E119="pre"),"",IF(AND('Month-End'!$DL$18&lt;&gt;"",NOT(_xlfn.ISFORMULA('Month-End'!$DL$18))),N('Month-End'!$DL$18),IF(OR($E119="open",$E118="pre"),N(Settings!$C$30),N($AP118))))</f>
        <v/>
      </c>
      <c r="AQ119">
        <f>IF(OR(Settings!$A$31="",$E119="pre"),"",IF(AND('Month-End'!$DL$19&lt;&gt;"",NOT(_xlfn.ISFORMULA('Month-End'!$DL$19))),N('Month-End'!$DL$19),IF(OR($E119="open",$E118="pre"),N(Settings!$C$31),N($AQ118))))</f>
        <v/>
      </c>
      <c r="AR119">
        <f>IF(OR(Settings!$A$32="",$E119="pre"),"",IF(AND('Month-End'!$DL$20&lt;&gt;"",NOT(_xlfn.ISFORMULA('Month-End'!$DL$20))),N('Month-End'!$DL$20),IF(OR($E119="open",$E118="pre"),N(Settings!$C$32),N($AR118))))</f>
        <v/>
      </c>
      <c r="AS119">
        <f>IF(OR(Settings!$A$36="",$E119="pre"),"",IF(AND('Month-End'!$DL$38&lt;&gt;"",NOT(_xlfn.ISFORMULA('Month-End'!$DL$38))),N('Month-End'!$DL$38),IF(OR($E119="open",$E118="pre"),N(Settings!$C$36),N($AS118))+$AY119))</f>
        <v/>
      </c>
      <c r="AT119">
        <f>IF(OR(Settings!$A$37="",$E119="pre"),"",IF(AND('Month-End'!$DL$39&lt;&gt;"",NOT(_xlfn.ISFORMULA('Month-End'!$DL$39))),N('Month-End'!$DL$39),IF(OR($E119="open",$E118="pre"),N(Settings!$C$37),N($AT118))+$AZ119))</f>
        <v/>
      </c>
      <c r="AU119">
        <f>IF(OR(Settings!$A$38="",$E119="pre"),"",IF(AND('Month-End'!$DL$40&lt;&gt;"",NOT(_xlfn.ISFORMULA('Month-End'!$DL$40))),N('Month-End'!$DL$40),IF(OR($E119="open",$E118="pre"),N(Settings!$C$38),N($AU118))+$BA119))</f>
        <v/>
      </c>
      <c r="AV119">
        <f>IF(OR(Settings!$A$39="",$E119="pre"),"",IF(AND('Month-End'!$DL$41&lt;&gt;"",NOT(_xlfn.ISFORMULA('Month-End'!$DL$41))),N('Month-End'!$DL$41),IF(OR($E119="open",$E118="pre"),N(Settings!$C$39),N($AV118))+$BB119))</f>
        <v/>
      </c>
      <c r="AW119">
        <f>IF(OR(Settings!$A$40="",$E119="pre"),"",IF(AND('Month-End'!$DL$42&lt;&gt;"",NOT(_xlfn.ISFORMULA('Month-End'!$DL$42))),N('Month-End'!$DL$42),IF(OR($E119="open",$E118="pre"),N(Settings!$C$40),N($AW118))+$BC119))</f>
        <v/>
      </c>
      <c r="AX119">
        <f>IF(OR(Settings!$A$41="",$E119="pre"),"",IF(AND('Month-End'!$DL$43&lt;&gt;"",NOT(_xlfn.ISFORMULA('Month-End'!$DL$43))),N('Month-End'!$DL$43),IF(OR($E119="open",$E118="pre"),N(Settings!$C$41),N($AX118))+$BD119))</f>
        <v/>
      </c>
      <c r="AY119">
        <f>IF($E119="pre",0,N('Month-End'!$DL$45))</f>
        <v/>
      </c>
      <c r="AZ119">
        <f>IF($E119="pre",0,N('Month-End'!$DL$46))</f>
        <v/>
      </c>
      <c r="BA119">
        <f>IF($E119="pre",0,N('Month-End'!$DL$47))</f>
        <v/>
      </c>
      <c r="BB119">
        <f>IF($E119="pre",0,N('Month-End'!$DL$48))</f>
        <v/>
      </c>
      <c r="BC119">
        <f>IF($E119="pre",0,N('Month-End'!$DL$49))</f>
        <v/>
      </c>
      <c r="BD119">
        <f>IF($E119="pre",0,N('Month-End'!$DL$50))</f>
        <v/>
      </c>
      <c r="BE119">
        <f>IF(OR(Settings!$C$45="",Settings!$D$45=""),0,Settings!$C$45*IF(Settings!$D$45="Weekly",IF(IFERROR(MATCH(Settings!$E$45,$EO$4:$EO$10,0),0)=0,0,IF(MIN($C119,IF(Settings!$G$45="",$C119,Settings!$G$45))&lt;MAX($A119,Settings!$F$45),0,INT((MIN($C119,IF(Settings!$G$45="",$C119,Settings!$G$45))-MAX($A119,Settings!$F$45)-MOD(IFERROR(MATCH(Settings!$E$45,$EO$4:$EO$10,0),0)-WEEKDAY(MAX($A119,Settings!$F$45)),7))/7)+1)),IF(AND(IF(Settings!$E$45="",$B119,DATE(YEAR($A119),MONTH($A119),MIN(Settings!$E$45,DAY($B119))))&gt;=MAX($A119,Settings!$F$45),IF(Settings!$E$45="",$B119,DATE(YEAR($A119),MONTH($A119),MIN(Settings!$E$45,DAY($B119))))&lt;=MIN($C119,IF(Settings!$G$45="",$C119,Settings!$G$45))),1,0)))</f>
        <v/>
      </c>
      <c r="BF119">
        <f>IF(OR(Settings!$C$46="",Settings!$D$46=""),0,Settings!$C$46*IF(Settings!$D$46="Weekly",IF(IFERROR(MATCH(Settings!$E$46,$EO$4:$EO$10,0),0)=0,0,IF(MIN($C119,IF(Settings!$G$46="",$C119,Settings!$G$46))&lt;MAX($A119,Settings!$F$46),0,INT((MIN($C119,IF(Settings!$G$46="",$C119,Settings!$G$46))-MAX($A119,Settings!$F$46)-MOD(IFERROR(MATCH(Settings!$E$46,$EO$4:$EO$10,0),0)-WEEKDAY(MAX($A119,Settings!$F$46)),7))/7)+1)),IF(AND(IF(Settings!$E$46="",$B119,DATE(YEAR($A119),MONTH($A119),MIN(Settings!$E$46,DAY($B119))))&gt;=MAX($A119,Settings!$F$46),IF(Settings!$E$46="",$B119,DATE(YEAR($A119),MONTH($A119),MIN(Settings!$E$46,DAY($B119))))&lt;=MIN($C119,IF(Settings!$G$46="",$C119,Settings!$G$46))),1,0)))</f>
        <v/>
      </c>
      <c r="BG119">
        <f>IF(OR(Settings!$C$47="",Settings!$D$47=""),0,Settings!$C$47*IF(Settings!$D$47="Weekly",IF(IFERROR(MATCH(Settings!$E$47,$EO$4:$EO$10,0),0)=0,0,IF(MIN($C119,IF(Settings!$G$47="",$C119,Settings!$G$47))&lt;MAX($A119,Settings!$F$47),0,INT((MIN($C119,IF(Settings!$G$47="",$C119,Settings!$G$47))-MAX($A119,Settings!$F$47)-MOD(IFERROR(MATCH(Settings!$E$47,$EO$4:$EO$10,0),0)-WEEKDAY(MAX($A119,Settings!$F$47)),7))/7)+1)),IF(AND(IF(Settings!$E$47="",$B119,DATE(YEAR($A119),MONTH($A119),MIN(Settings!$E$47,DAY($B119))))&gt;=MAX($A119,Settings!$F$47),IF(Settings!$E$47="",$B119,DATE(YEAR($A119),MONTH($A119),MIN(Settings!$E$47,DAY($B119))))&lt;=MIN($C119,IF(Settings!$G$47="",$C119,Settings!$G$47))),1,0)))</f>
        <v/>
      </c>
      <c r="BH119">
        <f>IF(OR(Settings!$C$48="",Settings!$D$48=""),0,Settings!$C$48*IF(Settings!$D$48="Weekly",IF(IFERROR(MATCH(Settings!$E$48,$EO$4:$EO$10,0),0)=0,0,IF(MIN($C119,IF(Settings!$G$48="",$C119,Settings!$G$48))&lt;MAX($A119,Settings!$F$48),0,INT((MIN($C119,IF(Settings!$G$48="",$C119,Settings!$G$48))-MAX($A119,Settings!$F$48)-MOD(IFERROR(MATCH(Settings!$E$48,$EO$4:$EO$10,0),0)-WEEKDAY(MAX($A119,Settings!$F$48)),7))/7)+1)),IF(AND(IF(Settings!$E$48="",$B119,DATE(YEAR($A119),MONTH($A119),MIN(Settings!$E$48,DAY($B119))))&gt;=MAX($A119,Settings!$F$48),IF(Settings!$E$48="",$B119,DATE(YEAR($A119),MONTH($A119),MIN(Settings!$E$48,DAY($B119))))&lt;=MIN($C119,IF(Settings!$G$48="",$C119,Settings!$G$48))),1,0)))</f>
        <v/>
      </c>
      <c r="BI119">
        <f>IF(OR(Settings!$C$49="",Settings!$D$49=""),0,Settings!$C$49*IF(Settings!$D$49="Weekly",IF(IFERROR(MATCH(Settings!$E$49,$EO$4:$EO$10,0),0)=0,0,IF(MIN($C119,IF(Settings!$G$49="",$C119,Settings!$G$49))&lt;MAX($A119,Settings!$F$49),0,INT((MIN($C119,IF(Settings!$G$49="",$C119,Settings!$G$49))-MAX($A119,Settings!$F$49)-MOD(IFERROR(MATCH(Settings!$E$49,$EO$4:$EO$10,0),0)-WEEKDAY(MAX($A119,Settings!$F$49)),7))/7)+1)),IF(AND(IF(Settings!$E$49="",$B119,DATE(YEAR($A119),MONTH($A119),MIN(Settings!$E$49,DAY($B119))))&gt;=MAX($A119,Settings!$F$49),IF(Settings!$E$49="",$B119,DATE(YEAR($A119),MONTH($A119),MIN(Settings!$E$49,DAY($B119))))&lt;=MIN($C119,IF(Settings!$G$49="",$C119,Settings!$G$49))),1,0)))</f>
        <v/>
      </c>
      <c r="BJ119">
        <f>IF(OR(Settings!$C$50="",Settings!$D$50=""),0,Settings!$C$50*IF(Settings!$D$50="Weekly",IF(IFERROR(MATCH(Settings!$E$50,$EO$4:$EO$10,0),0)=0,0,IF(MIN($C119,IF(Settings!$G$50="",$C119,Settings!$G$50))&lt;MAX($A119,Settings!$F$50),0,INT((MIN($C119,IF(Settings!$G$50="",$C119,Settings!$G$50))-MAX($A119,Settings!$F$50)-MOD(IFERROR(MATCH(Settings!$E$50,$EO$4:$EO$10,0),0)-WEEKDAY(MAX($A119,Settings!$F$50)),7))/7)+1)),IF(AND(IF(Settings!$E$50="",$B119,DATE(YEAR($A119),MONTH($A119),MIN(Settings!$E$50,DAY($B119))))&gt;=MAX($A119,Settings!$F$50),IF(Settings!$E$50="",$B119,DATE(YEAR($A119),MONTH($A119),MIN(Settings!$E$50,DAY($B119))))&lt;=MIN($C119,IF(Settings!$G$50="",$C119,Settings!$G$50))),1,0)))</f>
        <v/>
      </c>
      <c r="BK119">
        <f>IF(OR(Settings!$C$51="",Settings!$D$51=""),0,Settings!$C$51*IF(Settings!$D$51="Weekly",IF(IFERROR(MATCH(Settings!$E$51,$EO$4:$EO$10,0),0)=0,0,IF(MIN($C119,IF(Settings!$G$51="",$C119,Settings!$G$51))&lt;MAX($A119,Settings!$F$51),0,INT((MIN($C119,IF(Settings!$G$51="",$C119,Settings!$G$51))-MAX($A119,Settings!$F$51)-MOD(IFERROR(MATCH(Settings!$E$51,$EO$4:$EO$10,0),0)-WEEKDAY(MAX($A119,Settings!$F$51)),7))/7)+1)),IF(AND(IF(Settings!$E$51="",$B119,DATE(YEAR($A119),MONTH($A119),MIN(Settings!$E$51,DAY($B119))))&gt;=MAX($A119,Settings!$F$51),IF(Settings!$E$51="",$B119,DATE(YEAR($A119),MONTH($A119),MIN(Settings!$E$51,DAY($B119))))&lt;=MIN($C119,IF(Settings!$G$51="",$C119,Settings!$G$51))),1,0)))</f>
        <v/>
      </c>
      <c r="BL119">
        <f>IF(OR(Settings!$C$52="",Settings!$D$52=""),0,Settings!$C$52*IF(Settings!$D$52="Weekly",IF(IFERROR(MATCH(Settings!$E$52,$EO$4:$EO$10,0),0)=0,0,IF(MIN($C119,IF(Settings!$G$52="",$C119,Settings!$G$52))&lt;MAX($A119,Settings!$F$52),0,INT((MIN($C119,IF(Settings!$G$52="",$C119,Settings!$G$52))-MAX($A119,Settings!$F$52)-MOD(IFERROR(MATCH(Settings!$E$52,$EO$4:$EO$10,0),0)-WEEKDAY(MAX($A119,Settings!$F$52)),7))/7)+1)),IF(AND(IF(Settings!$E$52="",$B119,DATE(YEAR($A119),MONTH($A119),MIN(Settings!$E$52,DAY($B119))))&gt;=MAX($A119,Settings!$F$52),IF(Settings!$E$52="",$B119,DATE(YEAR($A119),MONTH($A119),MIN(Settings!$E$52,DAY($B119))))&lt;=MIN($C119,IF(Settings!$G$52="",$C119,Settings!$G$52))),1,0)))</f>
        <v/>
      </c>
      <c r="BM119">
        <f>IF(OR(Settings!$C$53="",Settings!$D$53=""),0,Settings!$C$53*IF(Settings!$D$53="Weekly",IF(IFERROR(MATCH(Settings!$E$53,$EO$4:$EO$10,0),0)=0,0,IF(MIN($C119,IF(Settings!$G$53="",$C119,Settings!$G$53))&lt;MAX($A119,Settings!$F$53),0,INT((MIN($C119,IF(Settings!$G$53="",$C119,Settings!$G$53))-MAX($A119,Settings!$F$53)-MOD(IFERROR(MATCH(Settings!$E$53,$EO$4:$EO$10,0),0)-WEEKDAY(MAX($A119,Settings!$F$53)),7))/7)+1)),IF(AND(IF(Settings!$E$53="",$B119,DATE(YEAR($A119),MONTH($A119),MIN(Settings!$E$53,DAY($B119))))&gt;=MAX($A119,Settings!$F$53),IF(Settings!$E$53="",$B119,DATE(YEAR($A119),MONTH($A119),MIN(Settings!$E$53,DAY($B119))))&lt;=MIN($C119,IF(Settings!$G$53="",$C119,Settings!$G$53))),1,0)))</f>
        <v/>
      </c>
      <c r="BN119">
        <f>IF(OR(Settings!$C$54="",Settings!$D$54=""),0,Settings!$C$54*IF(Settings!$D$54="Weekly",IF(IFERROR(MATCH(Settings!$E$54,$EO$4:$EO$10,0),0)=0,0,IF(MIN($C119,IF(Settings!$G$54="",$C119,Settings!$G$54))&lt;MAX($A119,Settings!$F$54),0,INT((MIN($C119,IF(Settings!$G$54="",$C119,Settings!$G$54))-MAX($A119,Settings!$F$54)-MOD(IFERROR(MATCH(Settings!$E$54,$EO$4:$EO$10,0),0)-WEEKDAY(MAX($A119,Settings!$F$54)),7))/7)+1)),IF(AND(IF(Settings!$E$54="",$B119,DATE(YEAR($A119),MONTH($A119),MIN(Settings!$E$54,DAY($B119))))&gt;=MAX($A119,Settings!$F$54),IF(Settings!$E$54="",$B119,DATE(YEAR($A119),MONTH($A119),MIN(Settings!$E$54,DAY($B119))))&lt;=MIN($C119,IF(Settings!$G$54="",$C119,Settings!$G$54))),1,0)))</f>
        <v/>
      </c>
      <c r="BO119">
        <f>IF(OR(Settings!$C$55="",Settings!$D$55=""),0,Settings!$C$55*IF(Settings!$D$55="Weekly",IF(IFERROR(MATCH(Settings!$E$55,$EO$4:$EO$10,0),0)=0,0,IF(MIN($C119,IF(Settings!$G$55="",$C119,Settings!$G$55))&lt;MAX($A119,Settings!$F$55),0,INT((MIN($C119,IF(Settings!$G$55="",$C119,Settings!$G$55))-MAX($A119,Settings!$F$55)-MOD(IFERROR(MATCH(Settings!$E$55,$EO$4:$EO$10,0),0)-WEEKDAY(MAX($A119,Settings!$F$55)),7))/7)+1)),IF(AND(IF(Settings!$E$55="",$B119,DATE(YEAR($A119),MONTH($A119),MIN(Settings!$E$55,DAY($B119))))&gt;=MAX($A119,Settings!$F$55),IF(Settings!$E$55="",$B119,DATE(YEAR($A119),MONTH($A119),MIN(Settings!$E$55,DAY($B119))))&lt;=MIN($C119,IF(Settings!$G$55="",$C119,Settings!$G$55))),1,0)))</f>
        <v/>
      </c>
      <c r="BP119">
        <f>IF(OR(Settings!$C$56="",Settings!$D$56=""),0,Settings!$C$56*IF(Settings!$D$56="Weekly",IF(IFERROR(MATCH(Settings!$E$56,$EO$4:$EO$10,0),0)=0,0,IF(MIN($C119,IF(Settings!$G$56="",$C119,Settings!$G$56))&lt;MAX($A119,Settings!$F$56),0,INT((MIN($C119,IF(Settings!$G$56="",$C119,Settings!$G$56))-MAX($A119,Settings!$F$56)-MOD(IFERROR(MATCH(Settings!$E$56,$EO$4:$EO$10,0),0)-WEEKDAY(MAX($A119,Settings!$F$56)),7))/7)+1)),IF(AND(IF(Settings!$E$56="",$B119,DATE(YEAR($A119),MONTH($A119),MIN(Settings!$E$56,DAY($B119))))&gt;=MAX($A119,Settings!$F$56),IF(Settings!$E$56="",$B119,DATE(YEAR($A119),MONTH($A119),MIN(Settings!$E$56,DAY($B119))))&lt;=MIN($C119,IF(Settings!$G$56="",$C119,Settings!$G$56))),1,0)))</f>
        <v/>
      </c>
      <c r="BQ119">
        <f>IF(OR(Settings!$B$14="",$D119=1,$E119="pre",$A119&lt;IF(Settings!$B$15="",0,Settings!$B$15)),0,Settings!$B$14)</f>
        <v/>
      </c>
      <c r="BR119">
        <f>IF(AND('Month-End'!$DL$7&lt;&gt;"",NOT(_xlfn.ISFORMULA('Month-End'!$DL$7))),1,0)</f>
        <v/>
      </c>
      <c r="BS119">
        <f>IF(AND('Month-End'!$DL$8&lt;&gt;"",NOT(_xlfn.ISFORMULA('Month-End'!$DL$8))),1,0)</f>
        <v/>
      </c>
      <c r="BT119">
        <f>IF(AND('Month-End'!$DL$9&lt;&gt;"",NOT(_xlfn.ISFORMULA('Month-End'!$DL$9))),1,0)</f>
        <v/>
      </c>
      <c r="BU119">
        <f>IF(AND('Month-End'!$DL$10&lt;&gt;"",NOT(_xlfn.ISFORMULA('Month-End'!$DL$10))),1,0)</f>
        <v/>
      </c>
      <c r="BV119">
        <f>IF(AND('Month-End'!$DL$11&lt;&gt;"",NOT(_xlfn.ISFORMULA('Month-End'!$DL$11))),1,0)</f>
        <v/>
      </c>
      <c r="BW119">
        <f>IF(AND('Month-End'!$DL$12&lt;&gt;"",NOT(_xlfn.ISFORMULA('Month-End'!$DL$12))),1,0)</f>
        <v/>
      </c>
      <c r="BX119">
        <f>IF(AND('Month-End'!$DL$13&lt;&gt;"",NOT(_xlfn.ISFORMULA('Month-End'!$DL$13))),1,0)</f>
        <v/>
      </c>
      <c r="BY119">
        <f>IF(AND('Month-End'!$DL$14&lt;&gt;"",NOT(_xlfn.ISFORMULA('Month-End'!$DL$14))),1,0)</f>
        <v/>
      </c>
      <c r="BZ119">
        <f>IF(AND('Month-End'!$DL$15&lt;&gt;"",NOT(_xlfn.ISFORMULA('Month-End'!$DL$15))),1,0)</f>
        <v/>
      </c>
      <c r="CA119">
        <f>IF(AND('Month-End'!$DL$16&lt;&gt;"",NOT(_xlfn.ISFORMULA('Month-End'!$DL$16))),1,0)</f>
        <v/>
      </c>
      <c r="CB119">
        <f>IF(AND('Month-End'!$DL$17&lt;&gt;"",NOT(_xlfn.ISFORMULA('Month-End'!$DL$17))),1,0)</f>
        <v/>
      </c>
      <c r="CC119">
        <f>IF(AND('Month-End'!$DL$18&lt;&gt;"",NOT(_xlfn.ISFORMULA('Month-End'!$DL$18))),1,0)</f>
        <v/>
      </c>
      <c r="CD119">
        <f>IF(AND('Month-End'!$DL$19&lt;&gt;"",NOT(_xlfn.ISFORMULA('Month-End'!$DL$19))),1,0)</f>
        <v/>
      </c>
      <c r="CE119">
        <f>IF(AND('Month-End'!$DL$20&lt;&gt;"",NOT(_xlfn.ISFORMULA('Month-End'!$DL$20))),1,0)</f>
        <v/>
      </c>
      <c r="CF119">
        <f>IF(AND('Month-End'!$DL$38&lt;&gt;"",NOT(_xlfn.ISFORMULA('Month-End'!$DL$38))),1,0)</f>
        <v/>
      </c>
      <c r="CG119">
        <f>IF(AND('Month-End'!$DL$39&lt;&gt;"",NOT(_xlfn.ISFORMULA('Month-End'!$DL$39))),1,0)</f>
        <v/>
      </c>
      <c r="CH119">
        <f>IF(AND('Month-End'!$DL$40&lt;&gt;"",NOT(_xlfn.ISFORMULA('Month-End'!$DL$40))),1,0)</f>
        <v/>
      </c>
      <c r="CI119">
        <f>IF(AND('Month-End'!$DL$41&lt;&gt;"",NOT(_xlfn.ISFORMULA('Month-End'!$DL$41))),1,0)</f>
        <v/>
      </c>
      <c r="CJ119">
        <f>IF(AND('Month-End'!$DL$42&lt;&gt;"",NOT(_xlfn.ISFORMULA('Month-End'!$DL$42))),1,0)</f>
        <v/>
      </c>
      <c r="CK119">
        <f>IF(AND('Month-End'!$DL$43&lt;&gt;"",NOT(_xlfn.ISFORMULA('Month-End'!$DL$43))),1,0)</f>
        <v/>
      </c>
      <c r="CL119">
        <f>SUM($CM119:$CZ119)</f>
        <v/>
      </c>
      <c r="CM119">
        <f>IF(AND($E119&lt;&gt;"pre",AND(Settings!$A$19&lt;&gt;"",Settings!$E$19&lt;&gt;"No"),Settings!$F$19="Yes",NOT(AND('Month-End'!$DL$7&lt;&gt;"",NOT(_xlfn.ISFORMULA('Month-End'!$DL$7))))),1,0)</f>
        <v/>
      </c>
      <c r="CN119">
        <f>IF(AND($E119&lt;&gt;"pre",AND(Settings!$A$20&lt;&gt;"",Settings!$E$20&lt;&gt;"No"),Settings!$F$20="Yes",NOT(AND('Month-End'!$DL$8&lt;&gt;"",NOT(_xlfn.ISFORMULA('Month-End'!$DL$8))))),1,0)</f>
        <v/>
      </c>
      <c r="CO119">
        <f>IF(AND($E119&lt;&gt;"pre",AND(Settings!$A$21&lt;&gt;"",Settings!$E$21&lt;&gt;"No"),Settings!$F$21="Yes",NOT(AND('Month-End'!$DL$9&lt;&gt;"",NOT(_xlfn.ISFORMULA('Month-End'!$DL$9))))),1,0)</f>
        <v/>
      </c>
      <c r="CP119">
        <f>IF(AND($E119&lt;&gt;"pre",AND(Settings!$A$22&lt;&gt;"",Settings!$E$22&lt;&gt;"No"),Settings!$F$22="Yes",NOT(AND('Month-End'!$DL$10&lt;&gt;"",NOT(_xlfn.ISFORMULA('Month-End'!$DL$10))))),1,0)</f>
        <v/>
      </c>
      <c r="CQ119">
        <f>IF(AND($E119&lt;&gt;"pre",AND(Settings!$A$23&lt;&gt;"",Settings!$E$23&lt;&gt;"No"),Settings!$F$23="Yes",NOT(AND('Month-End'!$DL$11&lt;&gt;"",NOT(_xlfn.ISFORMULA('Month-End'!$DL$11))))),1,0)</f>
        <v/>
      </c>
      <c r="CR119">
        <f>IF(AND($E119&lt;&gt;"pre",AND(Settings!$A$24&lt;&gt;"",Settings!$E$24&lt;&gt;"No"),Settings!$F$24="Yes",NOT(AND('Month-End'!$DL$12&lt;&gt;"",NOT(_xlfn.ISFORMULA('Month-End'!$DL$12))))),1,0)</f>
        <v/>
      </c>
      <c r="CS119">
        <f>IF(AND($E119&lt;&gt;"pre",AND(Settings!$A$25&lt;&gt;"",Settings!$E$25&lt;&gt;"No"),Settings!$F$25="Yes",NOT(AND('Month-End'!$DL$13&lt;&gt;"",NOT(_xlfn.ISFORMULA('Month-End'!$DL$13))))),1,0)</f>
        <v/>
      </c>
      <c r="CT119">
        <f>IF(AND($E119&lt;&gt;"pre",AND(Settings!$A$26&lt;&gt;"",Settings!$E$26&lt;&gt;"No"),Settings!$F$26="Yes",NOT(AND('Month-End'!$DL$14&lt;&gt;"",NOT(_xlfn.ISFORMULA('Month-End'!$DL$14))))),1,0)</f>
        <v/>
      </c>
      <c r="CU119">
        <f>IF(AND($E119&lt;&gt;"pre",AND(Settings!$A$27&lt;&gt;"",Settings!$E$27&lt;&gt;"No"),Settings!$F$27="Yes",NOT(AND('Month-End'!$DL$15&lt;&gt;"",NOT(_xlfn.ISFORMULA('Month-End'!$DL$15))))),1,0)</f>
        <v/>
      </c>
      <c r="CV119">
        <f>IF(AND($E119&lt;&gt;"pre",AND(Settings!$A$28&lt;&gt;"",Settings!$E$28&lt;&gt;"No"),Settings!$F$28="Yes",NOT(AND('Month-End'!$DL$16&lt;&gt;"",NOT(_xlfn.ISFORMULA('Month-End'!$DL$16))))),1,0)</f>
        <v/>
      </c>
      <c r="CW119">
        <f>IF(AND($E119&lt;&gt;"pre",AND(Settings!$A$29&lt;&gt;"",Settings!$E$29&lt;&gt;"No"),Settings!$F$29="Yes",NOT(AND('Month-End'!$DL$17&lt;&gt;"",NOT(_xlfn.ISFORMULA('Month-End'!$DL$17))))),1,0)</f>
        <v/>
      </c>
      <c r="CX119">
        <f>IF(AND($E119&lt;&gt;"pre",AND(Settings!$A$30&lt;&gt;"",Settings!$E$30&lt;&gt;"No"),Settings!$F$30="Yes",NOT(AND('Month-End'!$DL$18&lt;&gt;"",NOT(_xlfn.ISFORMULA('Month-End'!$DL$18))))),1,0)</f>
        <v/>
      </c>
      <c r="CY119">
        <f>IF(AND($E119&lt;&gt;"pre",AND(Settings!$A$31&lt;&gt;"",Settings!$E$31&lt;&gt;"No"),Settings!$F$31="Yes",NOT(AND('Month-End'!$DL$19&lt;&gt;"",NOT(_xlfn.ISFORMULA('Month-End'!$DL$19))))),1,0)</f>
        <v/>
      </c>
      <c r="CZ119">
        <f>IF(AND($E119&lt;&gt;"pre",AND(Settings!$A$32&lt;&gt;"",Settings!$E$32&lt;&gt;"No"),Settings!$F$32="Yes",NOT(AND('Month-End'!$DL$20&lt;&gt;"",NOT(_xlfn.ISFORMULA('Month-End'!$DL$20))))),1,0)</f>
        <v/>
      </c>
      <c r="DA119">
        <f>IF($DT119=1,IF(OR(Settings!$B$19="Checking",Settings!$B$19="Savings",Settings!$B$19="Cash"),N($AE119),IF(OR(Settings!$B$19="Card",Settings!$B$19="Loan"),-N($AE119),0))+IF(OR(Settings!$B$20="Checking",Settings!$B$20="Savings",Settings!$B$20="Cash"),N($AF119),IF(OR(Settings!$B$20="Card",Settings!$B$20="Loan"),-N($AF119),0))+IF(OR(Settings!$B$21="Checking",Settings!$B$21="Savings",Settings!$B$21="Cash"),N($AG119),IF(OR(Settings!$B$21="Card",Settings!$B$21="Loan"),-N($AG119),0))+IF(OR(Settings!$B$22="Checking",Settings!$B$22="Savings",Settings!$B$22="Cash"),N($AH119),IF(OR(Settings!$B$22="Card",Settings!$B$22="Loan"),-N($AH119),0))+IF(OR(Settings!$B$23="Checking",Settings!$B$23="Savings",Settings!$B$23="Cash"),N($AI119),IF(OR(Settings!$B$23="Card",Settings!$B$23="Loan"),-N($AI119),0))+IF(OR(Settings!$B$24="Checking",Settings!$B$24="Savings",Settings!$B$24="Cash"),N($AJ119),IF(OR(Settings!$B$24="Card",Settings!$B$24="Loan"),-N($AJ119),0))+IF(OR(Settings!$B$25="Checking",Settings!$B$25="Savings",Settings!$B$25="Cash"),N($AK119),IF(OR(Settings!$B$25="Card",Settings!$B$25="Loan"),-N($AK119),0))+IF(OR(Settings!$B$26="Checking",Settings!$B$26="Savings",Settings!$B$26="Cash"),N($AL119),IF(OR(Settings!$B$26="Card",Settings!$B$26="Loan"),-N($AL119),0))+IF(OR(Settings!$B$27="Checking",Settings!$B$27="Savings",Settings!$B$27="Cash"),N($AM119),IF(OR(Settings!$B$27="Card",Settings!$B$27="Loan"),-N($AM119),0))+IF(OR(Settings!$B$28="Checking",Settings!$B$28="Savings",Settings!$B$28="Cash"),N($AN119),IF(OR(Settings!$B$28="Card",Settings!$B$28="Loan"),-N($AN119),0))+IF(OR(Settings!$B$29="Checking",Settings!$B$29="Savings",Settings!$B$29="Cash"),N($AO119),IF(OR(Settings!$B$29="Card",Settings!$B$29="Loan"),-N($AO119),0))+IF(OR(Settings!$B$30="Checking",Settings!$B$30="Savings",Settings!$B$30="Cash"),N($AP119),IF(OR(Settings!$B$30="Card",Settings!$B$30="Loan"),-N($AP119),0))+IF(OR(Settings!$B$31="Checking",Settings!$B$31="Savings",Settings!$B$31="Cash"),N($AQ119),IF(OR(Settings!$B$31="Card",Settings!$B$31="Loan"),-N($AQ119),0))+IF(OR(Settings!$B$32="Checking",Settings!$B$32="Savings",Settings!$B$32="Cash"),N($AR119),IF(OR(Settings!$B$32="Card",Settings!$B$32="Loan"),-N($AR119),0)),"")</f>
        <v/>
      </c>
      <c r="DB119">
        <f>IF($E119="open",$EB$27,IF($E119="post",IF($E118="pre",$EB$27,$DA118),""))</f>
        <v/>
      </c>
      <c r="DC119">
        <f>IF($E119="open",1,IF($E119="post",IF($E118="pre",1,$DT118),0))</f>
        <v/>
      </c>
      <c r="DD119">
        <f>IF(AND($DT119=1,$DC119=1),ROUND($W119-($DA119-$DB119)-$AD119-$AB119,2),"")</f>
        <v/>
      </c>
      <c r="DE119">
        <f>IF('Month-End'!$DL$35="",$BQ119,N('Month-End'!$DL$35))</f>
        <v/>
      </c>
      <c r="DF119">
        <f>N('Month-End'!$DL$36)</f>
        <v/>
      </c>
      <c r="DG119">
        <f>IF($DD119="","",$DD119+$DE119)</f>
        <v/>
      </c>
      <c r="DH119">
        <f>IF($DG119="","",$DG119-$DF119)</f>
        <v/>
      </c>
      <c r="DI119">
        <f>IF(OR($E119="pre",$D119=1),"",N($AS119)+N($AT119)+N($AU119)+N($AV119)+N($AW119)+N($AX119))</f>
        <v/>
      </c>
      <c r="DJ119">
        <f>IF($DT119=1,$DA119+N($DI119),"")</f>
        <v/>
      </c>
      <c r="DK119">
        <f>IF($DD119="","",$W119-$DD119-$AB119)</f>
        <v/>
      </c>
      <c r="DL119">
        <f>IF(AND($E119="post",$DD119&lt;&gt;"",$B119&lt;TODAY()),1,0)</f>
        <v/>
      </c>
      <c r="DM119">
        <f>IF($DL119=1,COUNTIF($DL119:$DL$183,1),0)</f>
        <v/>
      </c>
      <c r="DN119">
        <f>IF($D119=1,"",IF($E119="pre","History only",IF($DT119=1,IF($DD119="","⚠ Previous month missing",IF($DD119&lt;0,"⚠ Check: spending &lt; 0",IF($E119="open","✓ Done (partial)","✓ Done"))),IF($B119&gt;=TODAY(),"In progress","⚠ Needs balances"))))</f>
        <v/>
      </c>
      <c r="DO119">
        <f>YEAR($A119)</f>
        <v/>
      </c>
      <c r="DP119">
        <f>DATE(YEAR($A119),INT((MONTH($A119)-1)/3)*3+1,1)</f>
        <v/>
      </c>
      <c r="DQ119">
        <f>IF(AND($DT119=1,$DD119&lt;&gt;"",$D119=0),ROW(),0)</f>
        <v/>
      </c>
      <c r="DR119">
        <f>IF(AND($E119&lt;&gt;"pre",$B119&lt;TODAY(),$DT119=0),1,0)</f>
        <v/>
      </c>
      <c r="DS119">
        <f>IF($DJ119="",NA(),$DJ119)</f>
        <v/>
      </c>
      <c r="DT119">
        <f>IF(AND($E119&lt;&gt;"pre",$CL119=0,COUNTIFS(Settings!$F$19:$F$32,"Yes",Settings!$A$19:$A$32,"&lt;&gt;",Settings!$E$19:$E$32,"&lt;&gt;No")&gt;0),1,0)</f>
        <v/>
      </c>
      <c r="DU119">
        <f>IF(AND($B119&lt;TODAY(),$S119&gt;0),1,0)</f>
        <v/>
      </c>
      <c r="DV119">
        <f>IF($DU119=1,COUNTIF($DU119:$DU$183,1),0)</f>
        <v/>
      </c>
      <c r="DW119">
        <f>IF(AND(OR(Settings!$B$19="Card",Settings!$B$19="Loan"),AND('Month-End'!$DL$7&lt;&gt;"",NOT(_xlfn.ISFORMULA('Month-End'!$DL$7)))),IF(N('Month-End'!$DL$7)&lt;0,1,0),0)+IF(AND(OR(Settings!$B$20="Card",Settings!$B$20="Loan"),AND('Month-End'!$DL$8&lt;&gt;"",NOT(_xlfn.ISFORMULA('Month-End'!$DL$8)))),IF(N('Month-End'!$DL$8)&lt;0,1,0),0)+IF(AND(OR(Settings!$B$21="Card",Settings!$B$21="Loan"),AND('Month-End'!$DL$9&lt;&gt;"",NOT(_xlfn.ISFORMULA('Month-End'!$DL$9)))),IF(N('Month-End'!$DL$9)&lt;0,1,0),0)+IF(AND(OR(Settings!$B$22="Card",Settings!$B$22="Loan"),AND('Month-End'!$DL$10&lt;&gt;"",NOT(_xlfn.ISFORMULA('Month-End'!$DL$10)))),IF(N('Month-End'!$DL$10)&lt;0,1,0),0)+IF(AND(OR(Settings!$B$23="Card",Settings!$B$23="Loan"),AND('Month-End'!$DL$11&lt;&gt;"",NOT(_xlfn.ISFORMULA('Month-End'!$DL$11)))),IF(N('Month-End'!$DL$11)&lt;0,1,0),0)+IF(AND(OR(Settings!$B$24="Card",Settings!$B$24="Loan"),AND('Month-End'!$DL$12&lt;&gt;"",NOT(_xlfn.ISFORMULA('Month-End'!$DL$12)))),IF(N('Month-End'!$DL$12)&lt;0,1,0),0)+IF(AND(OR(Settings!$B$25="Card",Settings!$B$25="Loan"),AND('Month-End'!$DL$13&lt;&gt;"",NOT(_xlfn.ISFORMULA('Month-End'!$DL$13)))),IF(N('Month-End'!$DL$13)&lt;0,1,0),0)+IF(AND(OR(Settings!$B$26="Card",Settings!$B$26="Loan"),AND('Month-End'!$DL$14&lt;&gt;"",NOT(_xlfn.ISFORMULA('Month-End'!$DL$14)))),IF(N('Month-End'!$DL$14)&lt;0,1,0),0)+IF(AND(OR(Settings!$B$27="Card",Settings!$B$27="Loan"),AND('Month-End'!$DL$15&lt;&gt;"",NOT(_xlfn.ISFORMULA('Month-End'!$DL$15)))),IF(N('Month-End'!$DL$15)&lt;0,1,0),0)+IF(AND(OR(Settings!$B$28="Card",Settings!$B$28="Loan"),AND('Month-End'!$DL$16&lt;&gt;"",NOT(_xlfn.ISFORMULA('Month-End'!$DL$16)))),IF(N('Month-End'!$DL$16)&lt;0,1,0),0)+IF(AND(OR(Settings!$B$29="Card",Settings!$B$29="Loan"),AND('Month-End'!$DL$17&lt;&gt;"",NOT(_xlfn.ISFORMULA('Month-End'!$DL$17)))),IF(N('Month-End'!$DL$17)&lt;0,1,0),0)+IF(AND(OR(Settings!$B$30="Card",Settings!$B$30="Loan"),AND('Month-End'!$DL$18&lt;&gt;"",NOT(_xlfn.ISFORMULA('Month-End'!$DL$18)))),IF(N('Month-End'!$DL$18)&lt;0,1,0),0)+IF(AND(OR(Settings!$B$31="Card",Settings!$B$31="Loan"),AND('Month-End'!$DL$19&lt;&gt;"",NOT(_xlfn.ISFORMULA('Month-End'!$DL$19)))),IF(N('Month-End'!$DL$19)&lt;0,1,0),0)+IF(AND(OR(Settings!$B$32="Card",Settings!$B$32="Loan"),AND('Month-End'!$DL$20&lt;&gt;"",NOT(_xlfn.ISFORMULA('Month-End'!$DL$20)))),IF(N('Month-End'!$DL$20)&lt;0,1,0),0)</f>
        <v/>
      </c>
      <c r="DX119">
        <f>IF(Settings!$B$36="Retirement",$AY119,0)+IF(Settings!$B$37="Retirement",$AZ119,0)+IF(Settings!$B$38="Retirement",$BA119,0)+IF(Settings!$B$39="Retirement",$BB119,0)+IF(Settings!$B$40="Retirement",$BC119,0)+IF(Settings!$B$41="Retirement",$BD119,0)</f>
        <v/>
      </c>
      <c r="EO119">
        <f>EDATE(DATE(YEAR(TODAY()),MONTH(TODAY()),1),-4)</f>
        <v/>
      </c>
      <c r="ER119">
        <f>IFERROR(IF(INDEX($DJ$6:$DJ$183,MATCH(EO119,$A$6:$A$183,0))="",NA(),INDEX($DJ$6:$DJ$183,MATCH(EO119,$A$6:$A$183,0))),NA())</f>
        <v/>
      </c>
      <c r="ES119">
        <f>TEXT(EO119,"mmm yy")</f>
        <v/>
      </c>
      <c r="ET119">
        <f>IF($E119&lt;&gt;"open",0,IF(AND('Month-End'!$DL$22&lt;&gt;"",NOT(_xlfn.ISFORMULA('Month-End'!$DL$22))),0,IF(OR(Settings!$C$45="",Settings!$D$45=""),0,Settings!$C$45*IF(Settings!$D$45="Weekly",IF(IFERROR(MATCH(Settings!$E$45,$EO$4:$EO$10,0),0)=0,0,IF(MIN(Settings!$B$5,IF(Settings!$G$45="",Settings!$B$5,Settings!$G$45))&lt;MAX($A119,Settings!$F$45),0,INT((MIN(Settings!$B$5,IF(Settings!$G$45="",Settings!$B$5,Settings!$G$45))-MAX($A119,Settings!$F$45)-MOD(IFERROR(MATCH(Settings!$E$45,$EO$4:$EO$10,0),0)-WEEKDAY(MAX($A119,Settings!$F$45)),7))/7)+1)),IF(AND(IF(Settings!$E$45="",$B119,DATE(YEAR($A119),MONTH($A119),MIN(Settings!$E$45,DAY($B119))))&gt;=MAX($A119,Settings!$F$45),IF(Settings!$E$45="",$B119,DATE(YEAR($A119),MONTH($A119),MIN(Settings!$E$45,DAY($B119))))&lt;=MIN(Settings!$B$5,IF(Settings!$G$45="",Settings!$B$5,Settings!$G$45))),1,0)))))</f>
        <v/>
      </c>
      <c r="EU119">
        <f>IF($E119&lt;&gt;"open",0,IF(AND('Month-End'!$DL$23&lt;&gt;"",NOT(_xlfn.ISFORMULA('Month-End'!$DL$23))),0,IF(OR(Settings!$C$46="",Settings!$D$46=""),0,Settings!$C$46*IF(Settings!$D$46="Weekly",IF(IFERROR(MATCH(Settings!$E$46,$EO$4:$EO$10,0),0)=0,0,IF(MIN(Settings!$B$5,IF(Settings!$G$46="",Settings!$B$5,Settings!$G$46))&lt;MAX($A119,Settings!$F$46),0,INT((MIN(Settings!$B$5,IF(Settings!$G$46="",Settings!$B$5,Settings!$G$46))-MAX($A119,Settings!$F$46)-MOD(IFERROR(MATCH(Settings!$E$46,$EO$4:$EO$10,0),0)-WEEKDAY(MAX($A119,Settings!$F$46)),7))/7)+1)),IF(AND(IF(Settings!$E$46="",$B119,DATE(YEAR($A119),MONTH($A119),MIN(Settings!$E$46,DAY($B119))))&gt;=MAX($A119,Settings!$F$46),IF(Settings!$E$46="",$B119,DATE(YEAR($A119),MONTH($A119),MIN(Settings!$E$46,DAY($B119))))&lt;=MIN(Settings!$B$5,IF(Settings!$G$46="",Settings!$B$5,Settings!$G$46))),1,0)))))</f>
        <v/>
      </c>
      <c r="EV119">
        <f>IF($E119&lt;&gt;"open",0,IF(AND('Month-End'!$DL$24&lt;&gt;"",NOT(_xlfn.ISFORMULA('Month-End'!$DL$24))),0,IF(OR(Settings!$C$47="",Settings!$D$47=""),0,Settings!$C$47*IF(Settings!$D$47="Weekly",IF(IFERROR(MATCH(Settings!$E$47,$EO$4:$EO$10,0),0)=0,0,IF(MIN(Settings!$B$5,IF(Settings!$G$47="",Settings!$B$5,Settings!$G$47))&lt;MAX($A119,Settings!$F$47),0,INT((MIN(Settings!$B$5,IF(Settings!$G$47="",Settings!$B$5,Settings!$G$47))-MAX($A119,Settings!$F$47)-MOD(IFERROR(MATCH(Settings!$E$47,$EO$4:$EO$10,0),0)-WEEKDAY(MAX($A119,Settings!$F$47)),7))/7)+1)),IF(AND(IF(Settings!$E$47="",$B119,DATE(YEAR($A119),MONTH($A119),MIN(Settings!$E$47,DAY($B119))))&gt;=MAX($A119,Settings!$F$47),IF(Settings!$E$47="",$B119,DATE(YEAR($A119),MONTH($A119),MIN(Settings!$E$47,DAY($B119))))&lt;=MIN(Settings!$B$5,IF(Settings!$G$47="",Settings!$B$5,Settings!$G$47))),1,0)))))</f>
        <v/>
      </c>
      <c r="EW119">
        <f>IF($E119&lt;&gt;"open",0,IF(AND('Month-End'!$DL$25&lt;&gt;"",NOT(_xlfn.ISFORMULA('Month-End'!$DL$25))),0,IF(OR(Settings!$C$48="",Settings!$D$48=""),0,Settings!$C$48*IF(Settings!$D$48="Weekly",IF(IFERROR(MATCH(Settings!$E$48,$EO$4:$EO$10,0),0)=0,0,IF(MIN(Settings!$B$5,IF(Settings!$G$48="",Settings!$B$5,Settings!$G$48))&lt;MAX($A119,Settings!$F$48),0,INT((MIN(Settings!$B$5,IF(Settings!$G$48="",Settings!$B$5,Settings!$G$48))-MAX($A119,Settings!$F$48)-MOD(IFERROR(MATCH(Settings!$E$48,$EO$4:$EO$10,0),0)-WEEKDAY(MAX($A119,Settings!$F$48)),7))/7)+1)),IF(AND(IF(Settings!$E$48="",$B119,DATE(YEAR($A119),MONTH($A119),MIN(Settings!$E$48,DAY($B119))))&gt;=MAX($A119,Settings!$F$48),IF(Settings!$E$48="",$B119,DATE(YEAR($A119),MONTH($A119),MIN(Settings!$E$48,DAY($B119))))&lt;=MIN(Settings!$B$5,IF(Settings!$G$48="",Settings!$B$5,Settings!$G$48))),1,0)))))</f>
        <v/>
      </c>
      <c r="EX119">
        <f>IF($E119&lt;&gt;"open",0,IF(AND('Month-End'!$DL$26&lt;&gt;"",NOT(_xlfn.ISFORMULA('Month-End'!$DL$26))),0,IF(OR(Settings!$C$49="",Settings!$D$49=""),0,Settings!$C$49*IF(Settings!$D$49="Weekly",IF(IFERROR(MATCH(Settings!$E$49,$EO$4:$EO$10,0),0)=0,0,IF(MIN(Settings!$B$5,IF(Settings!$G$49="",Settings!$B$5,Settings!$G$49))&lt;MAX($A119,Settings!$F$49),0,INT((MIN(Settings!$B$5,IF(Settings!$G$49="",Settings!$B$5,Settings!$G$49))-MAX($A119,Settings!$F$49)-MOD(IFERROR(MATCH(Settings!$E$49,$EO$4:$EO$10,0),0)-WEEKDAY(MAX($A119,Settings!$F$49)),7))/7)+1)),IF(AND(IF(Settings!$E$49="",$B119,DATE(YEAR($A119),MONTH($A119),MIN(Settings!$E$49,DAY($B119))))&gt;=MAX($A119,Settings!$F$49),IF(Settings!$E$49="",$B119,DATE(YEAR($A119),MONTH($A119),MIN(Settings!$E$49,DAY($B119))))&lt;=MIN(Settings!$B$5,IF(Settings!$G$49="",Settings!$B$5,Settings!$G$49))),1,0)))))</f>
        <v/>
      </c>
      <c r="EY119">
        <f>IF($E119&lt;&gt;"open",0,IF(AND('Month-End'!$DL$27&lt;&gt;"",NOT(_xlfn.ISFORMULA('Month-End'!$DL$27))),0,IF(OR(Settings!$C$50="",Settings!$D$50=""),0,Settings!$C$50*IF(Settings!$D$50="Weekly",IF(IFERROR(MATCH(Settings!$E$50,$EO$4:$EO$10,0),0)=0,0,IF(MIN(Settings!$B$5,IF(Settings!$G$50="",Settings!$B$5,Settings!$G$50))&lt;MAX($A119,Settings!$F$50),0,INT((MIN(Settings!$B$5,IF(Settings!$G$50="",Settings!$B$5,Settings!$G$50))-MAX($A119,Settings!$F$50)-MOD(IFERROR(MATCH(Settings!$E$50,$EO$4:$EO$10,0),0)-WEEKDAY(MAX($A119,Settings!$F$50)),7))/7)+1)),IF(AND(IF(Settings!$E$50="",$B119,DATE(YEAR($A119),MONTH($A119),MIN(Settings!$E$50,DAY($B119))))&gt;=MAX($A119,Settings!$F$50),IF(Settings!$E$50="",$B119,DATE(YEAR($A119),MONTH($A119),MIN(Settings!$E$50,DAY($B119))))&lt;=MIN(Settings!$B$5,IF(Settings!$G$50="",Settings!$B$5,Settings!$G$50))),1,0)))))</f>
        <v/>
      </c>
      <c r="EZ119">
        <f>IF($E119&lt;&gt;"open",0,IF(AND('Month-End'!$DL$28&lt;&gt;"",NOT(_xlfn.ISFORMULA('Month-End'!$DL$28))),0,IF(OR(Settings!$C$51="",Settings!$D$51=""),0,Settings!$C$51*IF(Settings!$D$51="Weekly",IF(IFERROR(MATCH(Settings!$E$51,$EO$4:$EO$10,0),0)=0,0,IF(MIN(Settings!$B$5,IF(Settings!$G$51="",Settings!$B$5,Settings!$G$51))&lt;MAX($A119,Settings!$F$51),0,INT((MIN(Settings!$B$5,IF(Settings!$G$51="",Settings!$B$5,Settings!$G$51))-MAX($A119,Settings!$F$51)-MOD(IFERROR(MATCH(Settings!$E$51,$EO$4:$EO$10,0),0)-WEEKDAY(MAX($A119,Settings!$F$51)),7))/7)+1)),IF(AND(IF(Settings!$E$51="",$B119,DATE(YEAR($A119),MONTH($A119),MIN(Settings!$E$51,DAY($B119))))&gt;=MAX($A119,Settings!$F$51),IF(Settings!$E$51="",$B119,DATE(YEAR($A119),MONTH($A119),MIN(Settings!$E$51,DAY($B119))))&lt;=MIN(Settings!$B$5,IF(Settings!$G$51="",Settings!$B$5,Settings!$G$51))),1,0)))))</f>
        <v/>
      </c>
      <c r="FA119">
        <f>IF($E119&lt;&gt;"open",0,IF(AND('Month-End'!$DL$29&lt;&gt;"",NOT(_xlfn.ISFORMULA('Month-End'!$DL$29))),0,IF(OR(Settings!$C$52="",Settings!$D$52=""),0,Settings!$C$52*IF(Settings!$D$52="Weekly",IF(IFERROR(MATCH(Settings!$E$52,$EO$4:$EO$10,0),0)=0,0,IF(MIN(Settings!$B$5,IF(Settings!$G$52="",Settings!$B$5,Settings!$G$52))&lt;MAX($A119,Settings!$F$52),0,INT((MIN(Settings!$B$5,IF(Settings!$G$52="",Settings!$B$5,Settings!$G$52))-MAX($A119,Settings!$F$52)-MOD(IFERROR(MATCH(Settings!$E$52,$EO$4:$EO$10,0),0)-WEEKDAY(MAX($A119,Settings!$F$52)),7))/7)+1)),IF(AND(IF(Settings!$E$52="",$B119,DATE(YEAR($A119),MONTH($A119),MIN(Settings!$E$52,DAY($B119))))&gt;=MAX($A119,Settings!$F$52),IF(Settings!$E$52="",$B119,DATE(YEAR($A119),MONTH($A119),MIN(Settings!$E$52,DAY($B119))))&lt;=MIN(Settings!$B$5,IF(Settings!$G$52="",Settings!$B$5,Settings!$G$52))),1,0)))))</f>
        <v/>
      </c>
      <c r="FB119">
        <f>IF($E119&lt;&gt;"open",0,IF(AND('Month-End'!$DL$30&lt;&gt;"",NOT(_xlfn.ISFORMULA('Month-End'!$DL$30))),0,IF(OR(Settings!$C$53="",Settings!$D$53=""),0,Settings!$C$53*IF(Settings!$D$53="Weekly",IF(IFERROR(MATCH(Settings!$E$53,$EO$4:$EO$10,0),0)=0,0,IF(MIN(Settings!$B$5,IF(Settings!$G$53="",Settings!$B$5,Settings!$G$53))&lt;MAX($A119,Settings!$F$53),0,INT((MIN(Settings!$B$5,IF(Settings!$G$53="",Settings!$B$5,Settings!$G$53))-MAX($A119,Settings!$F$53)-MOD(IFERROR(MATCH(Settings!$E$53,$EO$4:$EO$10,0),0)-WEEKDAY(MAX($A119,Settings!$F$53)),7))/7)+1)),IF(AND(IF(Settings!$E$53="",$B119,DATE(YEAR($A119),MONTH($A119),MIN(Settings!$E$53,DAY($B119))))&gt;=MAX($A119,Settings!$F$53),IF(Settings!$E$53="",$B119,DATE(YEAR($A119),MONTH($A119),MIN(Settings!$E$53,DAY($B119))))&lt;=MIN(Settings!$B$5,IF(Settings!$G$53="",Settings!$B$5,Settings!$G$53))),1,0)))))</f>
        <v/>
      </c>
      <c r="FC119">
        <f>IF($E119&lt;&gt;"open",0,IF(AND('Month-End'!$DL$31&lt;&gt;"",NOT(_xlfn.ISFORMULA('Month-End'!$DL$31))),0,IF(OR(Settings!$C$54="",Settings!$D$54=""),0,Settings!$C$54*IF(Settings!$D$54="Weekly",IF(IFERROR(MATCH(Settings!$E$54,$EO$4:$EO$10,0),0)=0,0,IF(MIN(Settings!$B$5,IF(Settings!$G$54="",Settings!$B$5,Settings!$G$54))&lt;MAX($A119,Settings!$F$54),0,INT((MIN(Settings!$B$5,IF(Settings!$G$54="",Settings!$B$5,Settings!$G$54))-MAX($A119,Settings!$F$54)-MOD(IFERROR(MATCH(Settings!$E$54,$EO$4:$EO$10,0),0)-WEEKDAY(MAX($A119,Settings!$F$54)),7))/7)+1)),IF(AND(IF(Settings!$E$54="",$B119,DATE(YEAR($A119),MONTH($A119),MIN(Settings!$E$54,DAY($B119))))&gt;=MAX($A119,Settings!$F$54),IF(Settings!$E$54="",$B119,DATE(YEAR($A119),MONTH($A119),MIN(Settings!$E$54,DAY($B119))))&lt;=MIN(Settings!$B$5,IF(Settings!$G$54="",Settings!$B$5,Settings!$G$54))),1,0)))))</f>
        <v/>
      </c>
      <c r="FD119">
        <f>IF($E119&lt;&gt;"open",0,IF(AND('Month-End'!$DL$32&lt;&gt;"",NOT(_xlfn.ISFORMULA('Month-End'!$DL$32))),0,IF(OR(Settings!$C$55="",Settings!$D$55=""),0,Settings!$C$55*IF(Settings!$D$55="Weekly",IF(IFERROR(MATCH(Settings!$E$55,$EO$4:$EO$10,0),0)=0,0,IF(MIN(Settings!$B$5,IF(Settings!$G$55="",Settings!$B$5,Settings!$G$55))&lt;MAX($A119,Settings!$F$55),0,INT((MIN(Settings!$B$5,IF(Settings!$G$55="",Settings!$B$5,Settings!$G$55))-MAX($A119,Settings!$F$55)-MOD(IFERROR(MATCH(Settings!$E$55,$EO$4:$EO$10,0),0)-WEEKDAY(MAX($A119,Settings!$F$55)),7))/7)+1)),IF(AND(IF(Settings!$E$55="",$B119,DATE(YEAR($A119),MONTH($A119),MIN(Settings!$E$55,DAY($B119))))&gt;=MAX($A119,Settings!$F$55),IF(Settings!$E$55="",$B119,DATE(YEAR($A119),MONTH($A119),MIN(Settings!$E$55,DAY($B119))))&lt;=MIN(Settings!$B$5,IF(Settings!$G$55="",Settings!$B$5,Settings!$G$55))),1,0)))))</f>
        <v/>
      </c>
      <c r="FE119">
        <f>IF($E119&lt;&gt;"open",0,IF(AND('Month-End'!$DL$33&lt;&gt;"",NOT(_xlfn.ISFORMULA('Month-End'!$DL$33))),0,IF(OR(Settings!$C$56="",Settings!$D$56=""),0,Settings!$C$56*IF(Settings!$D$56="Weekly",IF(IFERROR(MATCH(Settings!$E$56,$EO$4:$EO$10,0),0)=0,0,IF(MIN(Settings!$B$5,IF(Settings!$G$56="",Settings!$B$5,Settings!$G$56))&lt;MAX($A119,Settings!$F$56),0,INT((MIN(Settings!$B$5,IF(Settings!$G$56="",Settings!$B$5,Settings!$G$56))-MAX($A119,Settings!$F$56)-MOD(IFERROR(MATCH(Settings!$E$56,$EO$4:$EO$10,0),0)-WEEKDAY(MAX($A119,Settings!$F$56)),7))/7)+1)),IF(AND(IF(Settings!$E$56="",$B119,DATE(YEAR($A119),MONTH($A119),MIN(Settings!$E$56,DAY($B119))))&gt;=MAX($A119,Settings!$F$56),IF(Settings!$E$56="",$B119,DATE(YEAR($A119),MONTH($A119),MIN(Settings!$E$56,DAY($B119))))&lt;=MIN(Settings!$B$5,IF(Settings!$G$56="",Settings!$B$5,Settings!$G$56))),1,0)))))</f>
        <v/>
      </c>
      <c r="FF119">
        <f>IF(Settings!$I$45="Yes",$G119,0)+IF(Settings!$I$46="Yes",$H119,0)+IF(Settings!$I$47="Yes",$I119,0)+IF(Settings!$I$48="Yes",$J119,0)+IF(Settings!$I$49="Yes",$K119,0)+IF(Settings!$I$50="Yes",$L119,0)+IF(Settings!$I$51="Yes",$M119,0)+IF(Settings!$I$52="Yes",$N119,0)+IF(Settings!$I$53="Yes",$O119,0)+IF(Settings!$I$54="Yes",$P119,0)+IF(Settings!$I$55="Yes",$Q119,0)+IF(Settings!$I$56="Yes",$R119,0)</f>
        <v/>
      </c>
      <c r="FG119">
        <f>IF(AND(Settings!$I$45="Yes",Settings!$J$45="No"),$G119,0)+IF(AND(Settings!$I$46="Yes",Settings!$J$46="No"),$H119,0)+IF(AND(Settings!$I$47="Yes",Settings!$J$47="No"),$I119,0)+IF(AND(Settings!$I$48="Yes",Settings!$J$48="No"),$J119,0)+IF(AND(Settings!$I$49="Yes",Settings!$J$49="No"),$K119,0)+IF(AND(Settings!$I$50="Yes",Settings!$J$50="No"),$L119,0)+IF(AND(Settings!$I$51="Yes",Settings!$J$51="No"),$M119,0)+IF(AND(Settings!$I$52="Yes",Settings!$J$52="No"),$N119,0)+IF(AND(Settings!$I$53="Yes",Settings!$J$53="No"),$O119,0)+IF(AND(Settings!$I$54="Yes",Settings!$J$54="No"),$P119,0)+IF(AND(Settings!$I$55="Yes",Settings!$J$55="No"),$Q119,0)+IF(AND(Settings!$I$56="Yes",Settings!$J$56="No"),$R119,0)</f>
        <v/>
      </c>
      <c r="FH119">
        <f>SUMIFS(Giving!$B$7:$B$2006,Giving!$A$7:$A$2006,"&gt;="&amp;$A119,Giving!$A$7:$A$2006,"&lt;="&amp;$B119,Giving!$G$7:$G$2006,"Yes")+IF(OR(OR(Settings!$B$60="",Settings!$F$60="No"),Settings!$H$60&lt;&gt;"Yes"),0,Settings!$B$60*IF(AND(IF(Settings!$C$60="",$B119,DATE(YEAR($A119),MONTH($A119),MIN(Settings!$C$60,DAY($B119))))&gt;=MAX($A119,Settings!$D$60),IF(Settings!$C$60="",$B119,DATE(YEAR($A119),MONTH($A119),MIN(Settings!$C$60,DAY($B119))))&lt;=MIN($C119,IF(Settings!$E$60="",$C119,Settings!$E$60))),1,0))+IF(OR(OR(Settings!$B$61="",Settings!$F$61="No"),Settings!$H$61&lt;&gt;"Yes"),0,Settings!$B$61*IF(AND(IF(Settings!$C$61="",$B119,DATE(YEAR($A119),MONTH($A119),MIN(Settings!$C$61,DAY($B119))))&gt;=MAX($A119,Settings!$D$61),IF(Settings!$C$61="",$B119,DATE(YEAR($A119),MONTH($A119),MIN(Settings!$C$61,DAY($B119))))&lt;=MIN($C119,IF(Settings!$E$61="",$C119,Settings!$E$61))),1,0))+IF(OR(OR(Settings!$B$62="",Settings!$F$62="No"),Settings!$H$62&lt;&gt;"Yes"),0,Settings!$B$62*IF(AND(IF(Settings!$C$62="",$B119,DATE(YEAR($A119),MONTH($A119),MIN(Settings!$C$62,DAY($B119))))&gt;=MAX($A119,Settings!$D$62),IF(Settings!$C$62="",$B119,DATE(YEAR($A119),MONTH($A119),MIN(Settings!$C$62,DAY($B119))))&lt;=MIN($C119,IF(Settings!$E$62="",$C119,Settings!$E$62))),1,0))+IF(OR(OR(Settings!$B$63="",Settings!$F$63="No"),Settings!$H$63&lt;&gt;"Yes"),0,Settings!$B$63*IF(AND(IF(Settings!$C$63="",$B119,DATE(YEAR($A119),MONTH($A119),MIN(Settings!$C$63,DAY($B119))))&gt;=MAX($A119,Settings!$D$63),IF(Settings!$C$63="",$B119,DATE(YEAR($A119),MONTH($A119),MIN(Settings!$C$63,DAY($B119))))&lt;=MIN($C119,IF(Settings!$E$63="",$C119,Settings!$E$63))),1,0))+IF(OR(OR(Settings!$B$64="",Settings!$F$64="No"),Settings!$H$64&lt;&gt;"Yes"),0,Settings!$B$64*IF(AND(IF(Settings!$C$64="",$B119,DATE(YEAR($A119),MONTH($A119),MIN(Settings!$C$64,DAY($B119))))&gt;=MAX($A119,Settings!$D$64),IF(Settings!$C$64="",$B119,DATE(YEAR($A119),MONTH($A119),MIN(Settings!$C$64,DAY($B119))))&lt;=MIN($C119,IF(Settings!$E$64="",$C119,Settings!$E$64))),1,0))+IF(OR(OR(Settings!$B$65="",Settings!$F$65="No"),Settings!$H$65&lt;&gt;"Yes"),0,Settings!$B$65*IF(AND(IF(Settings!$C$65="",$B119,DATE(YEAR($A119),MONTH($A119),MIN(Settings!$C$65,DAY($B119))))&gt;=MAX($A119,Settings!$D$65),IF(Settings!$C$65="",$B119,DATE(YEAR($A119),MONTH($A119),MIN(Settings!$C$65,DAY($B119))))&lt;=MIN($C119,IF(Settings!$E$65="",$C119,Settings!$E$65))),1,0))</f>
        <v/>
      </c>
      <c r="FI119">
        <f>IF($DT119=1,IF(OR(Settings!$B$19="Card",Settings!$B$19="Loan"),N($AE119),0)+IF(OR(Settings!$B$20="Card",Settings!$B$20="Loan"),N($AF119),0)+IF(OR(Settings!$B$21="Card",Settings!$B$21="Loan"),N($AG119),0)+IF(OR(Settings!$B$22="Card",Settings!$B$22="Loan"),N($AH119),0)+IF(OR(Settings!$B$23="Card",Settings!$B$23="Loan"),N($AI119),0)+IF(OR(Settings!$B$24="Card",Settings!$B$24="Loan"),N($AJ119),0)+IF(OR(Settings!$B$25="Card",Settings!$B$25="Loan"),N($AK119),0)+IF(OR(Settings!$B$26="Card",Settings!$B$26="Loan"),N($AL119),0)+IF(OR(Settings!$B$27="Card",Settings!$B$27="Loan"),N($AM119),0)+IF(OR(Settings!$B$28="Card",Settings!$B$28="Loan"),N($AN119),0)+IF(OR(Settings!$B$29="Card",Settings!$B$29="Loan"),N($AO119),0)+IF(OR(Settings!$B$30="Card",Settings!$B$30="Loan"),N($AP119),0)+IF(OR(Settings!$B$31="Card",Settings!$B$31="Loan"),N($AQ119),0)+IF(OR(Settings!$B$32="Card",Settings!$B$32="Loan"),N($AR119),0),"")</f>
        <v/>
      </c>
      <c r="FJ119">
        <f>IF($E119="open",$EB$65,IF($E119="post",IF($E118="pre",$EB$65,$FI118),""))</f>
        <v/>
      </c>
      <c r="FK119">
        <f>IF(AND($DT119=1,$DC119=1),IF(ROUND($FI119-$FJ119,2)&gt;0,1,0),0)</f>
        <v/>
      </c>
      <c r="FL119">
        <f>IF($FK119=1,$FL118+1,0)</f>
        <v/>
      </c>
    </row>
    <row r="120">
      <c r="A120">
        <f>'Month-End'!$DM$4</f>
        <v/>
      </c>
      <c r="B120">
        <f>EOMONTH($A120,0)</f>
        <v/>
      </c>
      <c r="C120">
        <f>MIN($B120,TODAY())</f>
        <v/>
      </c>
      <c r="D120">
        <f>IF($A120&gt;TODAY(),1,0)</f>
        <v/>
      </c>
      <c r="E120">
        <f>IF($B120&lt;=Settings!$B$5,"pre",IF($A120&lt;=Settings!$B$5,"open","post"))</f>
        <v/>
      </c>
      <c r="G120">
        <f>IF('Month-End'!$DM$22="",$BE120,N('Month-End'!$DM$22))</f>
        <v/>
      </c>
      <c r="H120">
        <f>IF('Month-End'!$DM$23="",$BF120,N('Month-End'!$DM$23))</f>
        <v/>
      </c>
      <c r="I120">
        <f>IF('Month-End'!$DM$24="",$BG120,N('Month-End'!$DM$24))</f>
        <v/>
      </c>
      <c r="J120">
        <f>IF('Month-End'!$DM$25="",$BH120,N('Month-End'!$DM$25))</f>
        <v/>
      </c>
      <c r="K120">
        <f>IF('Month-End'!$DM$26="",$BI120,N('Month-End'!$DM$26))</f>
        <v/>
      </c>
      <c r="L120">
        <f>IF('Month-End'!$DM$27="",$BJ120,N('Month-End'!$DM$27))</f>
        <v/>
      </c>
      <c r="M120">
        <f>IF('Month-End'!$DM$28="",$BK120,N('Month-End'!$DM$28))</f>
        <v/>
      </c>
      <c r="N120">
        <f>IF('Month-End'!$DM$29="",$BL120,N('Month-End'!$DM$29))</f>
        <v/>
      </c>
      <c r="O120">
        <f>IF('Month-End'!$DM$30="",$BM120,N('Month-End'!$DM$30))</f>
        <v/>
      </c>
      <c r="P120">
        <f>IF('Month-End'!$DM$31="",$BN120,N('Month-End'!$DM$31))</f>
        <v/>
      </c>
      <c r="Q120">
        <f>IF('Month-End'!$DM$32="",$BO120,N('Month-End'!$DM$32))</f>
        <v/>
      </c>
      <c r="R120">
        <f>IF('Month-End'!$DM$33="",$BP120,N('Month-End'!$DM$33))</f>
        <v/>
      </c>
      <c r="S120">
        <f>$G120+$H120+$I120+$J120+$K120+$L120+$M120+$N120+$O120+$P120+$Q120+$R120</f>
        <v/>
      </c>
      <c r="T120">
        <f>IF($B120&lt;Settings!$B$6,0,IF(Settings!$B$45="Yes",$G120,0)+IF(Settings!$B$46="Yes",$H120,0)+IF(Settings!$B$47="Yes",$I120,0)+IF(Settings!$B$48="Yes",$J120,0)+IF(Settings!$B$49="Yes",$K120,0)+IF(Settings!$B$50="Yes",$L120,0)+IF(Settings!$B$51="Yes",$M120,0)+IF(Settings!$B$52="Yes",$N120,0)+IF(Settings!$B$53="Yes",$O120,0)+IF(Settings!$B$54="Yes",$P120,0)+IF(Settings!$B$55="Yes",$Q120,0)+IF(Settings!$B$56="Yes",$R120,0))</f>
        <v/>
      </c>
      <c r="U120">
        <f>IF(Settings!$B$45="Not Sure",$G120,0)+IF(Settings!$B$46="Not Sure",$H120,0)+IF(Settings!$B$47="Not Sure",$I120,0)+IF(Settings!$B$48="Not Sure",$J120,0)+IF(Settings!$B$49="Not Sure",$K120,0)+IF(Settings!$B$50="Not Sure",$L120,0)+IF(Settings!$B$51="Not Sure",$M120,0)+IF(Settings!$B$52="Not Sure",$N120,0)+IF(Settings!$B$53="Not Sure",$O120,0)+IF(Settings!$B$54="Not Sure",$P120,0)+IF(Settings!$B$55="Not Sure",$Q120,0)+IF(Settings!$B$56="Not Sure",$R120,0)</f>
        <v/>
      </c>
      <c r="V120">
        <f>IF($E120="open",SUM($ET120:$FE120)+N(Settings!$B$13),0)</f>
        <v/>
      </c>
      <c r="W120">
        <f>IF($E120="post",$S120,IF($E120="open",$S120-$V120,0))</f>
        <v/>
      </c>
      <c r="X120">
        <f>SUMIFS(Giving!$B$7:$B$2006,Giving!$A$7:$A$2006,"&gt;="&amp;$A120,Giving!$A$7:$A$2006,"&lt;="&amp;$B120,Giving!$E$7:$E$2006,"&lt;&gt;No")</f>
        <v/>
      </c>
      <c r="Y120">
        <f>SUMIFS(Giving!$B$7:$B$2006,Giving!$A$7:$A$2006,"&gt;="&amp;$A120,Giving!$A$7:$A$2006,"&lt;="&amp;$B120,Giving!$E$7:$E$2006,"No")</f>
        <v/>
      </c>
      <c r="Z120">
        <f>IF(OR(Settings!$B$60="",Settings!$F$60="No"),0,Settings!$B$60*IF(AND(IF(Settings!$C$60="",$B120,DATE(YEAR($A120),MONTH($A120),MIN(Settings!$C$60,DAY($B120))))&gt;=MAX($A120,Settings!$D$60),IF(Settings!$C$60="",$B120,DATE(YEAR($A120),MONTH($A120),MIN(Settings!$C$60,DAY($B120))))&lt;=MIN($C120,IF(Settings!$E$60="",$C120,Settings!$E$60))),1,0))+IF(OR(Settings!$B$61="",Settings!$F$61="No"),0,Settings!$B$61*IF(AND(IF(Settings!$C$61="",$B120,DATE(YEAR($A120),MONTH($A120),MIN(Settings!$C$61,DAY($B120))))&gt;=MAX($A120,Settings!$D$61),IF(Settings!$C$61="",$B120,DATE(YEAR($A120),MONTH($A120),MIN(Settings!$C$61,DAY($B120))))&lt;=MIN($C120,IF(Settings!$E$61="",$C120,Settings!$E$61))),1,0))+IF(OR(Settings!$B$62="",Settings!$F$62="No"),0,Settings!$B$62*IF(AND(IF(Settings!$C$62="",$B120,DATE(YEAR($A120),MONTH($A120),MIN(Settings!$C$62,DAY($B120))))&gt;=MAX($A120,Settings!$D$62),IF(Settings!$C$62="",$B120,DATE(YEAR($A120),MONTH($A120),MIN(Settings!$C$62,DAY($B120))))&lt;=MIN($C120,IF(Settings!$E$62="",$C120,Settings!$E$62))),1,0))+IF(OR(Settings!$B$63="",Settings!$F$63="No"),0,Settings!$B$63*IF(AND(IF(Settings!$C$63="",$B120,DATE(YEAR($A120),MONTH($A120),MIN(Settings!$C$63,DAY($B120))))&gt;=MAX($A120,Settings!$D$63),IF(Settings!$C$63="",$B120,DATE(YEAR($A120),MONTH($A120),MIN(Settings!$C$63,DAY($B120))))&lt;=MIN($C120,IF(Settings!$E$63="",$C120,Settings!$E$63))),1,0))+IF(OR(Settings!$B$64="",Settings!$F$64="No"),0,Settings!$B$64*IF(AND(IF(Settings!$C$64="",$B120,DATE(YEAR($A120),MONTH($A120),MIN(Settings!$C$64,DAY($B120))))&gt;=MAX($A120,Settings!$D$64),IF(Settings!$C$64="",$B120,DATE(YEAR($A120),MONTH($A120),MIN(Settings!$C$64,DAY($B120))))&lt;=MIN($C120,IF(Settings!$E$64="",$C120,Settings!$E$64))),1,0))+IF(OR(Settings!$B$65="",Settings!$F$65="No"),0,Settings!$B$65*IF(AND(IF(Settings!$C$65="",$B120,DATE(YEAR($A120),MONTH($A120),MIN(Settings!$C$65,DAY($B120))))&gt;=MAX($A120,Settings!$D$65),IF(Settings!$C$65="",$B120,DATE(YEAR($A120),MONTH($A120),MIN(Settings!$C$65,DAY($B120))))&lt;=MIN($C120,IF(Settings!$E$65="",$C120,Settings!$E$65))),1,0))</f>
        <v/>
      </c>
      <c r="AA120">
        <f>$X120+$Z120</f>
        <v/>
      </c>
      <c r="AB120">
        <f>IF($E120="post",$AA120,IF($E120="open",SUMIFS(Giving!$B$7:$B$2006,Giving!$A$7:$A$2006,"&gt;"&amp;Settings!$B$5,Giving!$A$7:$A$2006,"&lt;="&amp;$B120,Giving!$E$7:$E$2006,"&lt;&gt;No")+IF(OR(Settings!$B$60="",Settings!$F$60="No"),0,Settings!$B$60*IF(AND(IF(Settings!$C$60="",$B120,DATE(YEAR($A120),MONTH($A120),MIN(Settings!$C$60,DAY($B120))))&gt;=MAX($A120,Settings!$D$60,Settings!$B$5+1),IF(Settings!$C$60="",$B120,DATE(YEAR($A120),MONTH($A120),MIN(Settings!$C$60,DAY($B120))))&lt;=MIN($C120,IF(Settings!$E$60="",$C120,Settings!$E$60))),1,0))+IF(OR(Settings!$B$61="",Settings!$F$61="No"),0,Settings!$B$61*IF(AND(IF(Settings!$C$61="",$B120,DATE(YEAR($A120),MONTH($A120),MIN(Settings!$C$61,DAY($B120))))&gt;=MAX($A120,Settings!$D$61,Settings!$B$5+1),IF(Settings!$C$61="",$B120,DATE(YEAR($A120),MONTH($A120),MIN(Settings!$C$61,DAY($B120))))&lt;=MIN($C120,IF(Settings!$E$61="",$C120,Settings!$E$61))),1,0))+IF(OR(Settings!$B$62="",Settings!$F$62="No"),0,Settings!$B$62*IF(AND(IF(Settings!$C$62="",$B120,DATE(YEAR($A120),MONTH($A120),MIN(Settings!$C$62,DAY($B120))))&gt;=MAX($A120,Settings!$D$62,Settings!$B$5+1),IF(Settings!$C$62="",$B120,DATE(YEAR($A120),MONTH($A120),MIN(Settings!$C$62,DAY($B120))))&lt;=MIN($C120,IF(Settings!$E$62="",$C120,Settings!$E$62))),1,0))+IF(OR(Settings!$B$63="",Settings!$F$63="No"),0,Settings!$B$63*IF(AND(IF(Settings!$C$63="",$B120,DATE(YEAR($A120),MONTH($A120),MIN(Settings!$C$63,DAY($B120))))&gt;=MAX($A120,Settings!$D$63,Settings!$B$5+1),IF(Settings!$C$63="",$B120,DATE(YEAR($A120),MONTH($A120),MIN(Settings!$C$63,DAY($B120))))&lt;=MIN($C120,IF(Settings!$E$63="",$C120,Settings!$E$63))),1,0))+IF(OR(Settings!$B$64="",Settings!$F$64="No"),0,Settings!$B$64*IF(AND(IF(Settings!$C$64="",$B120,DATE(YEAR($A120),MONTH($A120),MIN(Settings!$C$64,DAY($B120))))&gt;=MAX($A120,Settings!$D$64,Settings!$B$5+1),IF(Settings!$C$64="",$B120,DATE(YEAR($A120),MONTH($A120),MIN(Settings!$C$64,DAY($B120))))&lt;=MIN($C120,IF(Settings!$E$64="",$C120,Settings!$E$64))),1,0))+IF(OR(Settings!$B$65="",Settings!$F$65="No"),0,Settings!$B$65*IF(AND(IF(Settings!$C$65="",$B120,DATE(YEAR($A120),MONTH($A120),MIN(Settings!$C$65,DAY($B120))))&gt;=MAX($A120,Settings!$D$65,Settings!$B$5+1),IF(Settings!$C$65="",$B120,DATE(YEAR($A120),MONTH($A120),MIN(Settings!$C$65,DAY($B120))))&lt;=MIN($C120,IF(Settings!$E$65="",$C120,Settings!$E$65))),1,0)),0))</f>
        <v/>
      </c>
      <c r="AC120">
        <f>$AY120+$AZ120+$BA120+$BB120+$BC120+$BD120</f>
        <v/>
      </c>
      <c r="AD120">
        <f>$AC120</f>
        <v/>
      </c>
      <c r="AE120">
        <f>IF(OR(Settings!$A$19="",$E120="pre"),"",IF(AND('Month-End'!$DM$7&lt;&gt;"",NOT(_xlfn.ISFORMULA('Month-End'!$DM$7))),N('Month-End'!$DM$7),IF(OR($E120="open",$E119="pre"),N(Settings!$C$19),N($AE119))))</f>
        <v/>
      </c>
      <c r="AF120">
        <f>IF(OR(Settings!$A$20="",$E120="pre"),"",IF(AND('Month-End'!$DM$8&lt;&gt;"",NOT(_xlfn.ISFORMULA('Month-End'!$DM$8))),N('Month-End'!$DM$8),IF(OR($E120="open",$E119="pre"),N(Settings!$C$20),N($AF119))))</f>
        <v/>
      </c>
      <c r="AG120">
        <f>IF(OR(Settings!$A$21="",$E120="pre"),"",IF(AND('Month-End'!$DM$9&lt;&gt;"",NOT(_xlfn.ISFORMULA('Month-End'!$DM$9))),N('Month-End'!$DM$9),IF(OR($E120="open",$E119="pre"),N(Settings!$C$21),N($AG119))))</f>
        <v/>
      </c>
      <c r="AH120">
        <f>IF(OR(Settings!$A$22="",$E120="pre"),"",IF(AND('Month-End'!$DM$10&lt;&gt;"",NOT(_xlfn.ISFORMULA('Month-End'!$DM$10))),N('Month-End'!$DM$10),IF(OR($E120="open",$E119="pre"),N(Settings!$C$22),N($AH119))))</f>
        <v/>
      </c>
      <c r="AI120">
        <f>IF(OR(Settings!$A$23="",$E120="pre"),"",IF(AND('Month-End'!$DM$11&lt;&gt;"",NOT(_xlfn.ISFORMULA('Month-End'!$DM$11))),N('Month-End'!$DM$11),IF(OR($E120="open",$E119="pre"),N(Settings!$C$23),N($AI119))))</f>
        <v/>
      </c>
      <c r="AJ120">
        <f>IF(OR(Settings!$A$24="",$E120="pre"),"",IF(AND('Month-End'!$DM$12&lt;&gt;"",NOT(_xlfn.ISFORMULA('Month-End'!$DM$12))),N('Month-End'!$DM$12),IF(OR($E120="open",$E119="pre"),N(Settings!$C$24),N($AJ119))))</f>
        <v/>
      </c>
      <c r="AK120">
        <f>IF(OR(Settings!$A$25="",$E120="pre"),"",IF(AND('Month-End'!$DM$13&lt;&gt;"",NOT(_xlfn.ISFORMULA('Month-End'!$DM$13))),N('Month-End'!$DM$13),IF(OR($E120="open",$E119="pre"),N(Settings!$C$25),N($AK119))))</f>
        <v/>
      </c>
      <c r="AL120">
        <f>IF(OR(Settings!$A$26="",$E120="pre"),"",IF(AND('Month-End'!$DM$14&lt;&gt;"",NOT(_xlfn.ISFORMULA('Month-End'!$DM$14))),N('Month-End'!$DM$14),IF(OR($E120="open",$E119="pre"),N(Settings!$C$26),N($AL119))))</f>
        <v/>
      </c>
      <c r="AM120">
        <f>IF(OR(Settings!$A$27="",$E120="pre"),"",IF(AND('Month-End'!$DM$15&lt;&gt;"",NOT(_xlfn.ISFORMULA('Month-End'!$DM$15))),N('Month-End'!$DM$15),IF(OR($E120="open",$E119="pre"),N(Settings!$C$27),N($AM119))))</f>
        <v/>
      </c>
      <c r="AN120">
        <f>IF(OR(Settings!$A$28="",$E120="pre"),"",IF(AND('Month-End'!$DM$16&lt;&gt;"",NOT(_xlfn.ISFORMULA('Month-End'!$DM$16))),N('Month-End'!$DM$16),IF(OR($E120="open",$E119="pre"),N(Settings!$C$28),N($AN119))))</f>
        <v/>
      </c>
      <c r="AO120">
        <f>IF(OR(Settings!$A$29="",$E120="pre"),"",IF(AND('Month-End'!$DM$17&lt;&gt;"",NOT(_xlfn.ISFORMULA('Month-End'!$DM$17))),N('Month-End'!$DM$17),IF(OR($E120="open",$E119="pre"),N(Settings!$C$29),N($AO119))))</f>
        <v/>
      </c>
      <c r="AP120">
        <f>IF(OR(Settings!$A$30="",$E120="pre"),"",IF(AND('Month-End'!$DM$18&lt;&gt;"",NOT(_xlfn.ISFORMULA('Month-End'!$DM$18))),N('Month-End'!$DM$18),IF(OR($E120="open",$E119="pre"),N(Settings!$C$30),N($AP119))))</f>
        <v/>
      </c>
      <c r="AQ120">
        <f>IF(OR(Settings!$A$31="",$E120="pre"),"",IF(AND('Month-End'!$DM$19&lt;&gt;"",NOT(_xlfn.ISFORMULA('Month-End'!$DM$19))),N('Month-End'!$DM$19),IF(OR($E120="open",$E119="pre"),N(Settings!$C$31),N($AQ119))))</f>
        <v/>
      </c>
      <c r="AR120">
        <f>IF(OR(Settings!$A$32="",$E120="pre"),"",IF(AND('Month-End'!$DM$20&lt;&gt;"",NOT(_xlfn.ISFORMULA('Month-End'!$DM$20))),N('Month-End'!$DM$20),IF(OR($E120="open",$E119="pre"),N(Settings!$C$32),N($AR119))))</f>
        <v/>
      </c>
      <c r="AS120">
        <f>IF(OR(Settings!$A$36="",$E120="pre"),"",IF(AND('Month-End'!$DM$38&lt;&gt;"",NOT(_xlfn.ISFORMULA('Month-End'!$DM$38))),N('Month-End'!$DM$38),IF(OR($E120="open",$E119="pre"),N(Settings!$C$36),N($AS119))+$AY120))</f>
        <v/>
      </c>
      <c r="AT120">
        <f>IF(OR(Settings!$A$37="",$E120="pre"),"",IF(AND('Month-End'!$DM$39&lt;&gt;"",NOT(_xlfn.ISFORMULA('Month-End'!$DM$39))),N('Month-End'!$DM$39),IF(OR($E120="open",$E119="pre"),N(Settings!$C$37),N($AT119))+$AZ120))</f>
        <v/>
      </c>
      <c r="AU120">
        <f>IF(OR(Settings!$A$38="",$E120="pre"),"",IF(AND('Month-End'!$DM$40&lt;&gt;"",NOT(_xlfn.ISFORMULA('Month-End'!$DM$40))),N('Month-End'!$DM$40),IF(OR($E120="open",$E119="pre"),N(Settings!$C$38),N($AU119))+$BA120))</f>
        <v/>
      </c>
      <c r="AV120">
        <f>IF(OR(Settings!$A$39="",$E120="pre"),"",IF(AND('Month-End'!$DM$41&lt;&gt;"",NOT(_xlfn.ISFORMULA('Month-End'!$DM$41))),N('Month-End'!$DM$41),IF(OR($E120="open",$E119="pre"),N(Settings!$C$39),N($AV119))+$BB120))</f>
        <v/>
      </c>
      <c r="AW120">
        <f>IF(OR(Settings!$A$40="",$E120="pre"),"",IF(AND('Month-End'!$DM$42&lt;&gt;"",NOT(_xlfn.ISFORMULA('Month-End'!$DM$42))),N('Month-End'!$DM$42),IF(OR($E120="open",$E119="pre"),N(Settings!$C$40),N($AW119))+$BC120))</f>
        <v/>
      </c>
      <c r="AX120">
        <f>IF(OR(Settings!$A$41="",$E120="pre"),"",IF(AND('Month-End'!$DM$43&lt;&gt;"",NOT(_xlfn.ISFORMULA('Month-End'!$DM$43))),N('Month-End'!$DM$43),IF(OR($E120="open",$E119="pre"),N(Settings!$C$41),N($AX119))+$BD120))</f>
        <v/>
      </c>
      <c r="AY120">
        <f>IF($E120="pre",0,N('Month-End'!$DM$45))</f>
        <v/>
      </c>
      <c r="AZ120">
        <f>IF($E120="pre",0,N('Month-End'!$DM$46))</f>
        <v/>
      </c>
      <c r="BA120">
        <f>IF($E120="pre",0,N('Month-End'!$DM$47))</f>
        <v/>
      </c>
      <c r="BB120">
        <f>IF($E120="pre",0,N('Month-End'!$DM$48))</f>
        <v/>
      </c>
      <c r="BC120">
        <f>IF($E120="pre",0,N('Month-End'!$DM$49))</f>
        <v/>
      </c>
      <c r="BD120">
        <f>IF($E120="pre",0,N('Month-End'!$DM$50))</f>
        <v/>
      </c>
      <c r="BE120">
        <f>IF(OR(Settings!$C$45="",Settings!$D$45=""),0,Settings!$C$45*IF(Settings!$D$45="Weekly",IF(IFERROR(MATCH(Settings!$E$45,$EO$4:$EO$10,0),0)=0,0,IF(MIN($C120,IF(Settings!$G$45="",$C120,Settings!$G$45))&lt;MAX($A120,Settings!$F$45),0,INT((MIN($C120,IF(Settings!$G$45="",$C120,Settings!$G$45))-MAX($A120,Settings!$F$45)-MOD(IFERROR(MATCH(Settings!$E$45,$EO$4:$EO$10,0),0)-WEEKDAY(MAX($A120,Settings!$F$45)),7))/7)+1)),IF(AND(IF(Settings!$E$45="",$B120,DATE(YEAR($A120),MONTH($A120),MIN(Settings!$E$45,DAY($B120))))&gt;=MAX($A120,Settings!$F$45),IF(Settings!$E$45="",$B120,DATE(YEAR($A120),MONTH($A120),MIN(Settings!$E$45,DAY($B120))))&lt;=MIN($C120,IF(Settings!$G$45="",$C120,Settings!$G$45))),1,0)))</f>
        <v/>
      </c>
      <c r="BF120">
        <f>IF(OR(Settings!$C$46="",Settings!$D$46=""),0,Settings!$C$46*IF(Settings!$D$46="Weekly",IF(IFERROR(MATCH(Settings!$E$46,$EO$4:$EO$10,0),0)=0,0,IF(MIN($C120,IF(Settings!$G$46="",$C120,Settings!$G$46))&lt;MAX($A120,Settings!$F$46),0,INT((MIN($C120,IF(Settings!$G$46="",$C120,Settings!$G$46))-MAX($A120,Settings!$F$46)-MOD(IFERROR(MATCH(Settings!$E$46,$EO$4:$EO$10,0),0)-WEEKDAY(MAX($A120,Settings!$F$46)),7))/7)+1)),IF(AND(IF(Settings!$E$46="",$B120,DATE(YEAR($A120),MONTH($A120),MIN(Settings!$E$46,DAY($B120))))&gt;=MAX($A120,Settings!$F$46),IF(Settings!$E$46="",$B120,DATE(YEAR($A120),MONTH($A120),MIN(Settings!$E$46,DAY($B120))))&lt;=MIN($C120,IF(Settings!$G$46="",$C120,Settings!$G$46))),1,0)))</f>
        <v/>
      </c>
      <c r="BG120">
        <f>IF(OR(Settings!$C$47="",Settings!$D$47=""),0,Settings!$C$47*IF(Settings!$D$47="Weekly",IF(IFERROR(MATCH(Settings!$E$47,$EO$4:$EO$10,0),0)=0,0,IF(MIN($C120,IF(Settings!$G$47="",$C120,Settings!$G$47))&lt;MAX($A120,Settings!$F$47),0,INT((MIN($C120,IF(Settings!$G$47="",$C120,Settings!$G$47))-MAX($A120,Settings!$F$47)-MOD(IFERROR(MATCH(Settings!$E$47,$EO$4:$EO$10,0),0)-WEEKDAY(MAX($A120,Settings!$F$47)),7))/7)+1)),IF(AND(IF(Settings!$E$47="",$B120,DATE(YEAR($A120),MONTH($A120),MIN(Settings!$E$47,DAY($B120))))&gt;=MAX($A120,Settings!$F$47),IF(Settings!$E$47="",$B120,DATE(YEAR($A120),MONTH($A120),MIN(Settings!$E$47,DAY($B120))))&lt;=MIN($C120,IF(Settings!$G$47="",$C120,Settings!$G$47))),1,0)))</f>
        <v/>
      </c>
      <c r="BH120">
        <f>IF(OR(Settings!$C$48="",Settings!$D$48=""),0,Settings!$C$48*IF(Settings!$D$48="Weekly",IF(IFERROR(MATCH(Settings!$E$48,$EO$4:$EO$10,0),0)=0,0,IF(MIN($C120,IF(Settings!$G$48="",$C120,Settings!$G$48))&lt;MAX($A120,Settings!$F$48),0,INT((MIN($C120,IF(Settings!$G$48="",$C120,Settings!$G$48))-MAX($A120,Settings!$F$48)-MOD(IFERROR(MATCH(Settings!$E$48,$EO$4:$EO$10,0),0)-WEEKDAY(MAX($A120,Settings!$F$48)),7))/7)+1)),IF(AND(IF(Settings!$E$48="",$B120,DATE(YEAR($A120),MONTH($A120),MIN(Settings!$E$48,DAY($B120))))&gt;=MAX($A120,Settings!$F$48),IF(Settings!$E$48="",$B120,DATE(YEAR($A120),MONTH($A120),MIN(Settings!$E$48,DAY($B120))))&lt;=MIN($C120,IF(Settings!$G$48="",$C120,Settings!$G$48))),1,0)))</f>
        <v/>
      </c>
      <c r="BI120">
        <f>IF(OR(Settings!$C$49="",Settings!$D$49=""),0,Settings!$C$49*IF(Settings!$D$49="Weekly",IF(IFERROR(MATCH(Settings!$E$49,$EO$4:$EO$10,0),0)=0,0,IF(MIN($C120,IF(Settings!$G$49="",$C120,Settings!$G$49))&lt;MAX($A120,Settings!$F$49),0,INT((MIN($C120,IF(Settings!$G$49="",$C120,Settings!$G$49))-MAX($A120,Settings!$F$49)-MOD(IFERROR(MATCH(Settings!$E$49,$EO$4:$EO$10,0),0)-WEEKDAY(MAX($A120,Settings!$F$49)),7))/7)+1)),IF(AND(IF(Settings!$E$49="",$B120,DATE(YEAR($A120),MONTH($A120),MIN(Settings!$E$49,DAY($B120))))&gt;=MAX($A120,Settings!$F$49),IF(Settings!$E$49="",$B120,DATE(YEAR($A120),MONTH($A120),MIN(Settings!$E$49,DAY($B120))))&lt;=MIN($C120,IF(Settings!$G$49="",$C120,Settings!$G$49))),1,0)))</f>
        <v/>
      </c>
      <c r="BJ120">
        <f>IF(OR(Settings!$C$50="",Settings!$D$50=""),0,Settings!$C$50*IF(Settings!$D$50="Weekly",IF(IFERROR(MATCH(Settings!$E$50,$EO$4:$EO$10,0),0)=0,0,IF(MIN($C120,IF(Settings!$G$50="",$C120,Settings!$G$50))&lt;MAX($A120,Settings!$F$50),0,INT((MIN($C120,IF(Settings!$G$50="",$C120,Settings!$G$50))-MAX($A120,Settings!$F$50)-MOD(IFERROR(MATCH(Settings!$E$50,$EO$4:$EO$10,0),0)-WEEKDAY(MAX($A120,Settings!$F$50)),7))/7)+1)),IF(AND(IF(Settings!$E$50="",$B120,DATE(YEAR($A120),MONTH($A120),MIN(Settings!$E$50,DAY($B120))))&gt;=MAX($A120,Settings!$F$50),IF(Settings!$E$50="",$B120,DATE(YEAR($A120),MONTH($A120),MIN(Settings!$E$50,DAY($B120))))&lt;=MIN($C120,IF(Settings!$G$50="",$C120,Settings!$G$50))),1,0)))</f>
        <v/>
      </c>
      <c r="BK120">
        <f>IF(OR(Settings!$C$51="",Settings!$D$51=""),0,Settings!$C$51*IF(Settings!$D$51="Weekly",IF(IFERROR(MATCH(Settings!$E$51,$EO$4:$EO$10,0),0)=0,0,IF(MIN($C120,IF(Settings!$G$51="",$C120,Settings!$G$51))&lt;MAX($A120,Settings!$F$51),0,INT((MIN($C120,IF(Settings!$G$51="",$C120,Settings!$G$51))-MAX($A120,Settings!$F$51)-MOD(IFERROR(MATCH(Settings!$E$51,$EO$4:$EO$10,0),0)-WEEKDAY(MAX($A120,Settings!$F$51)),7))/7)+1)),IF(AND(IF(Settings!$E$51="",$B120,DATE(YEAR($A120),MONTH($A120),MIN(Settings!$E$51,DAY($B120))))&gt;=MAX($A120,Settings!$F$51),IF(Settings!$E$51="",$B120,DATE(YEAR($A120),MONTH($A120),MIN(Settings!$E$51,DAY($B120))))&lt;=MIN($C120,IF(Settings!$G$51="",$C120,Settings!$G$51))),1,0)))</f>
        <v/>
      </c>
      <c r="BL120">
        <f>IF(OR(Settings!$C$52="",Settings!$D$52=""),0,Settings!$C$52*IF(Settings!$D$52="Weekly",IF(IFERROR(MATCH(Settings!$E$52,$EO$4:$EO$10,0),0)=0,0,IF(MIN($C120,IF(Settings!$G$52="",$C120,Settings!$G$52))&lt;MAX($A120,Settings!$F$52),0,INT((MIN($C120,IF(Settings!$G$52="",$C120,Settings!$G$52))-MAX($A120,Settings!$F$52)-MOD(IFERROR(MATCH(Settings!$E$52,$EO$4:$EO$10,0),0)-WEEKDAY(MAX($A120,Settings!$F$52)),7))/7)+1)),IF(AND(IF(Settings!$E$52="",$B120,DATE(YEAR($A120),MONTH($A120),MIN(Settings!$E$52,DAY($B120))))&gt;=MAX($A120,Settings!$F$52),IF(Settings!$E$52="",$B120,DATE(YEAR($A120),MONTH($A120),MIN(Settings!$E$52,DAY($B120))))&lt;=MIN($C120,IF(Settings!$G$52="",$C120,Settings!$G$52))),1,0)))</f>
        <v/>
      </c>
      <c r="BM120">
        <f>IF(OR(Settings!$C$53="",Settings!$D$53=""),0,Settings!$C$53*IF(Settings!$D$53="Weekly",IF(IFERROR(MATCH(Settings!$E$53,$EO$4:$EO$10,0),0)=0,0,IF(MIN($C120,IF(Settings!$G$53="",$C120,Settings!$G$53))&lt;MAX($A120,Settings!$F$53),0,INT((MIN($C120,IF(Settings!$G$53="",$C120,Settings!$G$53))-MAX($A120,Settings!$F$53)-MOD(IFERROR(MATCH(Settings!$E$53,$EO$4:$EO$10,0),0)-WEEKDAY(MAX($A120,Settings!$F$53)),7))/7)+1)),IF(AND(IF(Settings!$E$53="",$B120,DATE(YEAR($A120),MONTH($A120),MIN(Settings!$E$53,DAY($B120))))&gt;=MAX($A120,Settings!$F$53),IF(Settings!$E$53="",$B120,DATE(YEAR($A120),MONTH($A120),MIN(Settings!$E$53,DAY($B120))))&lt;=MIN($C120,IF(Settings!$G$53="",$C120,Settings!$G$53))),1,0)))</f>
        <v/>
      </c>
      <c r="BN120">
        <f>IF(OR(Settings!$C$54="",Settings!$D$54=""),0,Settings!$C$54*IF(Settings!$D$54="Weekly",IF(IFERROR(MATCH(Settings!$E$54,$EO$4:$EO$10,0),0)=0,0,IF(MIN($C120,IF(Settings!$G$54="",$C120,Settings!$G$54))&lt;MAX($A120,Settings!$F$54),0,INT((MIN($C120,IF(Settings!$G$54="",$C120,Settings!$G$54))-MAX($A120,Settings!$F$54)-MOD(IFERROR(MATCH(Settings!$E$54,$EO$4:$EO$10,0),0)-WEEKDAY(MAX($A120,Settings!$F$54)),7))/7)+1)),IF(AND(IF(Settings!$E$54="",$B120,DATE(YEAR($A120),MONTH($A120),MIN(Settings!$E$54,DAY($B120))))&gt;=MAX($A120,Settings!$F$54),IF(Settings!$E$54="",$B120,DATE(YEAR($A120),MONTH($A120),MIN(Settings!$E$54,DAY($B120))))&lt;=MIN($C120,IF(Settings!$G$54="",$C120,Settings!$G$54))),1,0)))</f>
        <v/>
      </c>
      <c r="BO120">
        <f>IF(OR(Settings!$C$55="",Settings!$D$55=""),0,Settings!$C$55*IF(Settings!$D$55="Weekly",IF(IFERROR(MATCH(Settings!$E$55,$EO$4:$EO$10,0),0)=0,0,IF(MIN($C120,IF(Settings!$G$55="",$C120,Settings!$G$55))&lt;MAX($A120,Settings!$F$55),0,INT((MIN($C120,IF(Settings!$G$55="",$C120,Settings!$G$55))-MAX($A120,Settings!$F$55)-MOD(IFERROR(MATCH(Settings!$E$55,$EO$4:$EO$10,0),0)-WEEKDAY(MAX($A120,Settings!$F$55)),7))/7)+1)),IF(AND(IF(Settings!$E$55="",$B120,DATE(YEAR($A120),MONTH($A120),MIN(Settings!$E$55,DAY($B120))))&gt;=MAX($A120,Settings!$F$55),IF(Settings!$E$55="",$B120,DATE(YEAR($A120),MONTH($A120),MIN(Settings!$E$55,DAY($B120))))&lt;=MIN($C120,IF(Settings!$G$55="",$C120,Settings!$G$55))),1,0)))</f>
        <v/>
      </c>
      <c r="BP120">
        <f>IF(OR(Settings!$C$56="",Settings!$D$56=""),0,Settings!$C$56*IF(Settings!$D$56="Weekly",IF(IFERROR(MATCH(Settings!$E$56,$EO$4:$EO$10,0),0)=0,0,IF(MIN($C120,IF(Settings!$G$56="",$C120,Settings!$G$56))&lt;MAX($A120,Settings!$F$56),0,INT((MIN($C120,IF(Settings!$G$56="",$C120,Settings!$G$56))-MAX($A120,Settings!$F$56)-MOD(IFERROR(MATCH(Settings!$E$56,$EO$4:$EO$10,0),0)-WEEKDAY(MAX($A120,Settings!$F$56)),7))/7)+1)),IF(AND(IF(Settings!$E$56="",$B120,DATE(YEAR($A120),MONTH($A120),MIN(Settings!$E$56,DAY($B120))))&gt;=MAX($A120,Settings!$F$56),IF(Settings!$E$56="",$B120,DATE(YEAR($A120),MONTH($A120),MIN(Settings!$E$56,DAY($B120))))&lt;=MIN($C120,IF(Settings!$G$56="",$C120,Settings!$G$56))),1,0)))</f>
        <v/>
      </c>
      <c r="BQ120">
        <f>IF(OR(Settings!$B$14="",$D120=1,$E120="pre",$A120&lt;IF(Settings!$B$15="",0,Settings!$B$15)),0,Settings!$B$14)</f>
        <v/>
      </c>
      <c r="BR120">
        <f>IF(AND('Month-End'!$DM$7&lt;&gt;"",NOT(_xlfn.ISFORMULA('Month-End'!$DM$7))),1,0)</f>
        <v/>
      </c>
      <c r="BS120">
        <f>IF(AND('Month-End'!$DM$8&lt;&gt;"",NOT(_xlfn.ISFORMULA('Month-End'!$DM$8))),1,0)</f>
        <v/>
      </c>
      <c r="BT120">
        <f>IF(AND('Month-End'!$DM$9&lt;&gt;"",NOT(_xlfn.ISFORMULA('Month-End'!$DM$9))),1,0)</f>
        <v/>
      </c>
      <c r="BU120">
        <f>IF(AND('Month-End'!$DM$10&lt;&gt;"",NOT(_xlfn.ISFORMULA('Month-End'!$DM$10))),1,0)</f>
        <v/>
      </c>
      <c r="BV120">
        <f>IF(AND('Month-End'!$DM$11&lt;&gt;"",NOT(_xlfn.ISFORMULA('Month-End'!$DM$11))),1,0)</f>
        <v/>
      </c>
      <c r="BW120">
        <f>IF(AND('Month-End'!$DM$12&lt;&gt;"",NOT(_xlfn.ISFORMULA('Month-End'!$DM$12))),1,0)</f>
        <v/>
      </c>
      <c r="BX120">
        <f>IF(AND('Month-End'!$DM$13&lt;&gt;"",NOT(_xlfn.ISFORMULA('Month-End'!$DM$13))),1,0)</f>
        <v/>
      </c>
      <c r="BY120">
        <f>IF(AND('Month-End'!$DM$14&lt;&gt;"",NOT(_xlfn.ISFORMULA('Month-End'!$DM$14))),1,0)</f>
        <v/>
      </c>
      <c r="BZ120">
        <f>IF(AND('Month-End'!$DM$15&lt;&gt;"",NOT(_xlfn.ISFORMULA('Month-End'!$DM$15))),1,0)</f>
        <v/>
      </c>
      <c r="CA120">
        <f>IF(AND('Month-End'!$DM$16&lt;&gt;"",NOT(_xlfn.ISFORMULA('Month-End'!$DM$16))),1,0)</f>
        <v/>
      </c>
      <c r="CB120">
        <f>IF(AND('Month-End'!$DM$17&lt;&gt;"",NOT(_xlfn.ISFORMULA('Month-End'!$DM$17))),1,0)</f>
        <v/>
      </c>
      <c r="CC120">
        <f>IF(AND('Month-End'!$DM$18&lt;&gt;"",NOT(_xlfn.ISFORMULA('Month-End'!$DM$18))),1,0)</f>
        <v/>
      </c>
      <c r="CD120">
        <f>IF(AND('Month-End'!$DM$19&lt;&gt;"",NOT(_xlfn.ISFORMULA('Month-End'!$DM$19))),1,0)</f>
        <v/>
      </c>
      <c r="CE120">
        <f>IF(AND('Month-End'!$DM$20&lt;&gt;"",NOT(_xlfn.ISFORMULA('Month-End'!$DM$20))),1,0)</f>
        <v/>
      </c>
      <c r="CF120">
        <f>IF(AND('Month-End'!$DM$38&lt;&gt;"",NOT(_xlfn.ISFORMULA('Month-End'!$DM$38))),1,0)</f>
        <v/>
      </c>
      <c r="CG120">
        <f>IF(AND('Month-End'!$DM$39&lt;&gt;"",NOT(_xlfn.ISFORMULA('Month-End'!$DM$39))),1,0)</f>
        <v/>
      </c>
      <c r="CH120">
        <f>IF(AND('Month-End'!$DM$40&lt;&gt;"",NOT(_xlfn.ISFORMULA('Month-End'!$DM$40))),1,0)</f>
        <v/>
      </c>
      <c r="CI120">
        <f>IF(AND('Month-End'!$DM$41&lt;&gt;"",NOT(_xlfn.ISFORMULA('Month-End'!$DM$41))),1,0)</f>
        <v/>
      </c>
      <c r="CJ120">
        <f>IF(AND('Month-End'!$DM$42&lt;&gt;"",NOT(_xlfn.ISFORMULA('Month-End'!$DM$42))),1,0)</f>
        <v/>
      </c>
      <c r="CK120">
        <f>IF(AND('Month-End'!$DM$43&lt;&gt;"",NOT(_xlfn.ISFORMULA('Month-End'!$DM$43))),1,0)</f>
        <v/>
      </c>
      <c r="CL120">
        <f>SUM($CM120:$CZ120)</f>
        <v/>
      </c>
      <c r="CM120">
        <f>IF(AND($E120&lt;&gt;"pre",AND(Settings!$A$19&lt;&gt;"",Settings!$E$19&lt;&gt;"No"),Settings!$F$19="Yes",NOT(AND('Month-End'!$DM$7&lt;&gt;"",NOT(_xlfn.ISFORMULA('Month-End'!$DM$7))))),1,0)</f>
        <v/>
      </c>
      <c r="CN120">
        <f>IF(AND($E120&lt;&gt;"pre",AND(Settings!$A$20&lt;&gt;"",Settings!$E$20&lt;&gt;"No"),Settings!$F$20="Yes",NOT(AND('Month-End'!$DM$8&lt;&gt;"",NOT(_xlfn.ISFORMULA('Month-End'!$DM$8))))),1,0)</f>
        <v/>
      </c>
      <c r="CO120">
        <f>IF(AND($E120&lt;&gt;"pre",AND(Settings!$A$21&lt;&gt;"",Settings!$E$21&lt;&gt;"No"),Settings!$F$21="Yes",NOT(AND('Month-End'!$DM$9&lt;&gt;"",NOT(_xlfn.ISFORMULA('Month-End'!$DM$9))))),1,0)</f>
        <v/>
      </c>
      <c r="CP120">
        <f>IF(AND($E120&lt;&gt;"pre",AND(Settings!$A$22&lt;&gt;"",Settings!$E$22&lt;&gt;"No"),Settings!$F$22="Yes",NOT(AND('Month-End'!$DM$10&lt;&gt;"",NOT(_xlfn.ISFORMULA('Month-End'!$DM$10))))),1,0)</f>
        <v/>
      </c>
      <c r="CQ120">
        <f>IF(AND($E120&lt;&gt;"pre",AND(Settings!$A$23&lt;&gt;"",Settings!$E$23&lt;&gt;"No"),Settings!$F$23="Yes",NOT(AND('Month-End'!$DM$11&lt;&gt;"",NOT(_xlfn.ISFORMULA('Month-End'!$DM$11))))),1,0)</f>
        <v/>
      </c>
      <c r="CR120">
        <f>IF(AND($E120&lt;&gt;"pre",AND(Settings!$A$24&lt;&gt;"",Settings!$E$24&lt;&gt;"No"),Settings!$F$24="Yes",NOT(AND('Month-End'!$DM$12&lt;&gt;"",NOT(_xlfn.ISFORMULA('Month-End'!$DM$12))))),1,0)</f>
        <v/>
      </c>
      <c r="CS120">
        <f>IF(AND($E120&lt;&gt;"pre",AND(Settings!$A$25&lt;&gt;"",Settings!$E$25&lt;&gt;"No"),Settings!$F$25="Yes",NOT(AND('Month-End'!$DM$13&lt;&gt;"",NOT(_xlfn.ISFORMULA('Month-End'!$DM$13))))),1,0)</f>
        <v/>
      </c>
      <c r="CT120">
        <f>IF(AND($E120&lt;&gt;"pre",AND(Settings!$A$26&lt;&gt;"",Settings!$E$26&lt;&gt;"No"),Settings!$F$26="Yes",NOT(AND('Month-End'!$DM$14&lt;&gt;"",NOT(_xlfn.ISFORMULA('Month-End'!$DM$14))))),1,0)</f>
        <v/>
      </c>
      <c r="CU120">
        <f>IF(AND($E120&lt;&gt;"pre",AND(Settings!$A$27&lt;&gt;"",Settings!$E$27&lt;&gt;"No"),Settings!$F$27="Yes",NOT(AND('Month-End'!$DM$15&lt;&gt;"",NOT(_xlfn.ISFORMULA('Month-End'!$DM$15))))),1,0)</f>
        <v/>
      </c>
      <c r="CV120">
        <f>IF(AND($E120&lt;&gt;"pre",AND(Settings!$A$28&lt;&gt;"",Settings!$E$28&lt;&gt;"No"),Settings!$F$28="Yes",NOT(AND('Month-End'!$DM$16&lt;&gt;"",NOT(_xlfn.ISFORMULA('Month-End'!$DM$16))))),1,0)</f>
        <v/>
      </c>
      <c r="CW120">
        <f>IF(AND($E120&lt;&gt;"pre",AND(Settings!$A$29&lt;&gt;"",Settings!$E$29&lt;&gt;"No"),Settings!$F$29="Yes",NOT(AND('Month-End'!$DM$17&lt;&gt;"",NOT(_xlfn.ISFORMULA('Month-End'!$DM$17))))),1,0)</f>
        <v/>
      </c>
      <c r="CX120">
        <f>IF(AND($E120&lt;&gt;"pre",AND(Settings!$A$30&lt;&gt;"",Settings!$E$30&lt;&gt;"No"),Settings!$F$30="Yes",NOT(AND('Month-End'!$DM$18&lt;&gt;"",NOT(_xlfn.ISFORMULA('Month-End'!$DM$18))))),1,0)</f>
        <v/>
      </c>
      <c r="CY120">
        <f>IF(AND($E120&lt;&gt;"pre",AND(Settings!$A$31&lt;&gt;"",Settings!$E$31&lt;&gt;"No"),Settings!$F$31="Yes",NOT(AND('Month-End'!$DM$19&lt;&gt;"",NOT(_xlfn.ISFORMULA('Month-End'!$DM$19))))),1,0)</f>
        <v/>
      </c>
      <c r="CZ120">
        <f>IF(AND($E120&lt;&gt;"pre",AND(Settings!$A$32&lt;&gt;"",Settings!$E$32&lt;&gt;"No"),Settings!$F$32="Yes",NOT(AND('Month-End'!$DM$20&lt;&gt;"",NOT(_xlfn.ISFORMULA('Month-End'!$DM$20))))),1,0)</f>
        <v/>
      </c>
      <c r="DA120">
        <f>IF($DT120=1,IF(OR(Settings!$B$19="Checking",Settings!$B$19="Savings",Settings!$B$19="Cash"),N($AE120),IF(OR(Settings!$B$19="Card",Settings!$B$19="Loan"),-N($AE120),0))+IF(OR(Settings!$B$20="Checking",Settings!$B$20="Savings",Settings!$B$20="Cash"),N($AF120),IF(OR(Settings!$B$20="Card",Settings!$B$20="Loan"),-N($AF120),0))+IF(OR(Settings!$B$21="Checking",Settings!$B$21="Savings",Settings!$B$21="Cash"),N($AG120),IF(OR(Settings!$B$21="Card",Settings!$B$21="Loan"),-N($AG120),0))+IF(OR(Settings!$B$22="Checking",Settings!$B$22="Savings",Settings!$B$22="Cash"),N($AH120),IF(OR(Settings!$B$22="Card",Settings!$B$22="Loan"),-N($AH120),0))+IF(OR(Settings!$B$23="Checking",Settings!$B$23="Savings",Settings!$B$23="Cash"),N($AI120),IF(OR(Settings!$B$23="Card",Settings!$B$23="Loan"),-N($AI120),0))+IF(OR(Settings!$B$24="Checking",Settings!$B$24="Savings",Settings!$B$24="Cash"),N($AJ120),IF(OR(Settings!$B$24="Card",Settings!$B$24="Loan"),-N($AJ120),0))+IF(OR(Settings!$B$25="Checking",Settings!$B$25="Savings",Settings!$B$25="Cash"),N($AK120),IF(OR(Settings!$B$25="Card",Settings!$B$25="Loan"),-N($AK120),0))+IF(OR(Settings!$B$26="Checking",Settings!$B$26="Savings",Settings!$B$26="Cash"),N($AL120),IF(OR(Settings!$B$26="Card",Settings!$B$26="Loan"),-N($AL120),0))+IF(OR(Settings!$B$27="Checking",Settings!$B$27="Savings",Settings!$B$27="Cash"),N($AM120),IF(OR(Settings!$B$27="Card",Settings!$B$27="Loan"),-N($AM120),0))+IF(OR(Settings!$B$28="Checking",Settings!$B$28="Savings",Settings!$B$28="Cash"),N($AN120),IF(OR(Settings!$B$28="Card",Settings!$B$28="Loan"),-N($AN120),0))+IF(OR(Settings!$B$29="Checking",Settings!$B$29="Savings",Settings!$B$29="Cash"),N($AO120),IF(OR(Settings!$B$29="Card",Settings!$B$29="Loan"),-N($AO120),0))+IF(OR(Settings!$B$30="Checking",Settings!$B$30="Savings",Settings!$B$30="Cash"),N($AP120),IF(OR(Settings!$B$30="Card",Settings!$B$30="Loan"),-N($AP120),0))+IF(OR(Settings!$B$31="Checking",Settings!$B$31="Savings",Settings!$B$31="Cash"),N($AQ120),IF(OR(Settings!$B$31="Card",Settings!$B$31="Loan"),-N($AQ120),0))+IF(OR(Settings!$B$32="Checking",Settings!$B$32="Savings",Settings!$B$32="Cash"),N($AR120),IF(OR(Settings!$B$32="Card",Settings!$B$32="Loan"),-N($AR120),0)),"")</f>
        <v/>
      </c>
      <c r="DB120">
        <f>IF($E120="open",$EB$27,IF($E120="post",IF($E119="pre",$EB$27,$DA119),""))</f>
        <v/>
      </c>
      <c r="DC120">
        <f>IF($E120="open",1,IF($E120="post",IF($E119="pre",1,$DT119),0))</f>
        <v/>
      </c>
      <c r="DD120">
        <f>IF(AND($DT120=1,$DC120=1),ROUND($W120-($DA120-$DB120)-$AD120-$AB120,2),"")</f>
        <v/>
      </c>
      <c r="DE120">
        <f>IF('Month-End'!$DM$35="",$BQ120,N('Month-End'!$DM$35))</f>
        <v/>
      </c>
      <c r="DF120">
        <f>N('Month-End'!$DM$36)</f>
        <v/>
      </c>
      <c r="DG120">
        <f>IF($DD120="","",$DD120+$DE120)</f>
        <v/>
      </c>
      <c r="DH120">
        <f>IF($DG120="","",$DG120-$DF120)</f>
        <v/>
      </c>
      <c r="DI120">
        <f>IF(OR($E120="pre",$D120=1),"",N($AS120)+N($AT120)+N($AU120)+N($AV120)+N($AW120)+N($AX120))</f>
        <v/>
      </c>
      <c r="DJ120">
        <f>IF($DT120=1,$DA120+N($DI120),"")</f>
        <v/>
      </c>
      <c r="DK120">
        <f>IF($DD120="","",$W120-$DD120-$AB120)</f>
        <v/>
      </c>
      <c r="DL120">
        <f>IF(AND($E120="post",$DD120&lt;&gt;"",$B120&lt;TODAY()),1,0)</f>
        <v/>
      </c>
      <c r="DM120">
        <f>IF($DL120=1,COUNTIF($DL120:$DL$183,1),0)</f>
        <v/>
      </c>
      <c r="DN120">
        <f>IF($D120=1,"",IF($E120="pre","History only",IF($DT120=1,IF($DD120="","⚠ Previous month missing",IF($DD120&lt;0,"⚠ Check: spending &lt; 0",IF($E120="open","✓ Done (partial)","✓ Done"))),IF($B120&gt;=TODAY(),"In progress","⚠ Needs balances"))))</f>
        <v/>
      </c>
      <c r="DO120">
        <f>YEAR($A120)</f>
        <v/>
      </c>
      <c r="DP120">
        <f>DATE(YEAR($A120),INT((MONTH($A120)-1)/3)*3+1,1)</f>
        <v/>
      </c>
      <c r="DQ120">
        <f>IF(AND($DT120=1,$DD120&lt;&gt;"",$D120=0),ROW(),0)</f>
        <v/>
      </c>
      <c r="DR120">
        <f>IF(AND($E120&lt;&gt;"pre",$B120&lt;TODAY(),$DT120=0),1,0)</f>
        <v/>
      </c>
      <c r="DS120">
        <f>IF($DJ120="",NA(),$DJ120)</f>
        <v/>
      </c>
      <c r="DT120">
        <f>IF(AND($E120&lt;&gt;"pre",$CL120=0,COUNTIFS(Settings!$F$19:$F$32,"Yes",Settings!$A$19:$A$32,"&lt;&gt;",Settings!$E$19:$E$32,"&lt;&gt;No")&gt;0),1,0)</f>
        <v/>
      </c>
      <c r="DU120">
        <f>IF(AND($B120&lt;TODAY(),$S120&gt;0),1,0)</f>
        <v/>
      </c>
      <c r="DV120">
        <f>IF($DU120=1,COUNTIF($DU120:$DU$183,1),0)</f>
        <v/>
      </c>
      <c r="DW120">
        <f>IF(AND(OR(Settings!$B$19="Card",Settings!$B$19="Loan"),AND('Month-End'!$DM$7&lt;&gt;"",NOT(_xlfn.ISFORMULA('Month-End'!$DM$7)))),IF(N('Month-End'!$DM$7)&lt;0,1,0),0)+IF(AND(OR(Settings!$B$20="Card",Settings!$B$20="Loan"),AND('Month-End'!$DM$8&lt;&gt;"",NOT(_xlfn.ISFORMULA('Month-End'!$DM$8)))),IF(N('Month-End'!$DM$8)&lt;0,1,0),0)+IF(AND(OR(Settings!$B$21="Card",Settings!$B$21="Loan"),AND('Month-End'!$DM$9&lt;&gt;"",NOT(_xlfn.ISFORMULA('Month-End'!$DM$9)))),IF(N('Month-End'!$DM$9)&lt;0,1,0),0)+IF(AND(OR(Settings!$B$22="Card",Settings!$B$22="Loan"),AND('Month-End'!$DM$10&lt;&gt;"",NOT(_xlfn.ISFORMULA('Month-End'!$DM$10)))),IF(N('Month-End'!$DM$10)&lt;0,1,0),0)+IF(AND(OR(Settings!$B$23="Card",Settings!$B$23="Loan"),AND('Month-End'!$DM$11&lt;&gt;"",NOT(_xlfn.ISFORMULA('Month-End'!$DM$11)))),IF(N('Month-End'!$DM$11)&lt;0,1,0),0)+IF(AND(OR(Settings!$B$24="Card",Settings!$B$24="Loan"),AND('Month-End'!$DM$12&lt;&gt;"",NOT(_xlfn.ISFORMULA('Month-End'!$DM$12)))),IF(N('Month-End'!$DM$12)&lt;0,1,0),0)+IF(AND(OR(Settings!$B$25="Card",Settings!$B$25="Loan"),AND('Month-End'!$DM$13&lt;&gt;"",NOT(_xlfn.ISFORMULA('Month-End'!$DM$13)))),IF(N('Month-End'!$DM$13)&lt;0,1,0),0)+IF(AND(OR(Settings!$B$26="Card",Settings!$B$26="Loan"),AND('Month-End'!$DM$14&lt;&gt;"",NOT(_xlfn.ISFORMULA('Month-End'!$DM$14)))),IF(N('Month-End'!$DM$14)&lt;0,1,0),0)+IF(AND(OR(Settings!$B$27="Card",Settings!$B$27="Loan"),AND('Month-End'!$DM$15&lt;&gt;"",NOT(_xlfn.ISFORMULA('Month-End'!$DM$15)))),IF(N('Month-End'!$DM$15)&lt;0,1,0),0)+IF(AND(OR(Settings!$B$28="Card",Settings!$B$28="Loan"),AND('Month-End'!$DM$16&lt;&gt;"",NOT(_xlfn.ISFORMULA('Month-End'!$DM$16)))),IF(N('Month-End'!$DM$16)&lt;0,1,0),0)+IF(AND(OR(Settings!$B$29="Card",Settings!$B$29="Loan"),AND('Month-End'!$DM$17&lt;&gt;"",NOT(_xlfn.ISFORMULA('Month-End'!$DM$17)))),IF(N('Month-End'!$DM$17)&lt;0,1,0),0)+IF(AND(OR(Settings!$B$30="Card",Settings!$B$30="Loan"),AND('Month-End'!$DM$18&lt;&gt;"",NOT(_xlfn.ISFORMULA('Month-End'!$DM$18)))),IF(N('Month-End'!$DM$18)&lt;0,1,0),0)+IF(AND(OR(Settings!$B$31="Card",Settings!$B$31="Loan"),AND('Month-End'!$DM$19&lt;&gt;"",NOT(_xlfn.ISFORMULA('Month-End'!$DM$19)))),IF(N('Month-End'!$DM$19)&lt;0,1,0),0)+IF(AND(OR(Settings!$B$32="Card",Settings!$B$32="Loan"),AND('Month-End'!$DM$20&lt;&gt;"",NOT(_xlfn.ISFORMULA('Month-End'!$DM$20)))),IF(N('Month-End'!$DM$20)&lt;0,1,0),0)</f>
        <v/>
      </c>
      <c r="DX120">
        <f>IF(Settings!$B$36="Retirement",$AY120,0)+IF(Settings!$B$37="Retirement",$AZ120,0)+IF(Settings!$B$38="Retirement",$BA120,0)+IF(Settings!$B$39="Retirement",$BB120,0)+IF(Settings!$B$40="Retirement",$BC120,0)+IF(Settings!$B$41="Retirement",$BD120,0)</f>
        <v/>
      </c>
      <c r="EO120">
        <f>EDATE(DATE(YEAR(TODAY()),MONTH(TODAY()),1),-3)</f>
        <v/>
      </c>
      <c r="ER120">
        <f>IFERROR(IF(INDEX($DJ$6:$DJ$183,MATCH(EO120,$A$6:$A$183,0))="",NA(),INDEX($DJ$6:$DJ$183,MATCH(EO120,$A$6:$A$183,0))),NA())</f>
        <v/>
      </c>
      <c r="ES120">
        <f>TEXT(EO120,"mmm yy")</f>
        <v/>
      </c>
      <c r="ET120">
        <f>IF($E120&lt;&gt;"open",0,IF(AND('Month-End'!$DM$22&lt;&gt;"",NOT(_xlfn.ISFORMULA('Month-End'!$DM$22))),0,IF(OR(Settings!$C$45="",Settings!$D$45=""),0,Settings!$C$45*IF(Settings!$D$45="Weekly",IF(IFERROR(MATCH(Settings!$E$45,$EO$4:$EO$10,0),0)=0,0,IF(MIN(Settings!$B$5,IF(Settings!$G$45="",Settings!$B$5,Settings!$G$45))&lt;MAX($A120,Settings!$F$45),0,INT((MIN(Settings!$B$5,IF(Settings!$G$45="",Settings!$B$5,Settings!$G$45))-MAX($A120,Settings!$F$45)-MOD(IFERROR(MATCH(Settings!$E$45,$EO$4:$EO$10,0),0)-WEEKDAY(MAX($A120,Settings!$F$45)),7))/7)+1)),IF(AND(IF(Settings!$E$45="",$B120,DATE(YEAR($A120),MONTH($A120),MIN(Settings!$E$45,DAY($B120))))&gt;=MAX($A120,Settings!$F$45),IF(Settings!$E$45="",$B120,DATE(YEAR($A120),MONTH($A120),MIN(Settings!$E$45,DAY($B120))))&lt;=MIN(Settings!$B$5,IF(Settings!$G$45="",Settings!$B$5,Settings!$G$45))),1,0)))))</f>
        <v/>
      </c>
      <c r="EU120">
        <f>IF($E120&lt;&gt;"open",0,IF(AND('Month-End'!$DM$23&lt;&gt;"",NOT(_xlfn.ISFORMULA('Month-End'!$DM$23))),0,IF(OR(Settings!$C$46="",Settings!$D$46=""),0,Settings!$C$46*IF(Settings!$D$46="Weekly",IF(IFERROR(MATCH(Settings!$E$46,$EO$4:$EO$10,0),0)=0,0,IF(MIN(Settings!$B$5,IF(Settings!$G$46="",Settings!$B$5,Settings!$G$46))&lt;MAX($A120,Settings!$F$46),0,INT((MIN(Settings!$B$5,IF(Settings!$G$46="",Settings!$B$5,Settings!$G$46))-MAX($A120,Settings!$F$46)-MOD(IFERROR(MATCH(Settings!$E$46,$EO$4:$EO$10,0),0)-WEEKDAY(MAX($A120,Settings!$F$46)),7))/7)+1)),IF(AND(IF(Settings!$E$46="",$B120,DATE(YEAR($A120),MONTH($A120),MIN(Settings!$E$46,DAY($B120))))&gt;=MAX($A120,Settings!$F$46),IF(Settings!$E$46="",$B120,DATE(YEAR($A120),MONTH($A120),MIN(Settings!$E$46,DAY($B120))))&lt;=MIN(Settings!$B$5,IF(Settings!$G$46="",Settings!$B$5,Settings!$G$46))),1,0)))))</f>
        <v/>
      </c>
      <c r="EV120">
        <f>IF($E120&lt;&gt;"open",0,IF(AND('Month-End'!$DM$24&lt;&gt;"",NOT(_xlfn.ISFORMULA('Month-End'!$DM$24))),0,IF(OR(Settings!$C$47="",Settings!$D$47=""),0,Settings!$C$47*IF(Settings!$D$47="Weekly",IF(IFERROR(MATCH(Settings!$E$47,$EO$4:$EO$10,0),0)=0,0,IF(MIN(Settings!$B$5,IF(Settings!$G$47="",Settings!$B$5,Settings!$G$47))&lt;MAX($A120,Settings!$F$47),0,INT((MIN(Settings!$B$5,IF(Settings!$G$47="",Settings!$B$5,Settings!$G$47))-MAX($A120,Settings!$F$47)-MOD(IFERROR(MATCH(Settings!$E$47,$EO$4:$EO$10,0),0)-WEEKDAY(MAX($A120,Settings!$F$47)),7))/7)+1)),IF(AND(IF(Settings!$E$47="",$B120,DATE(YEAR($A120),MONTH($A120),MIN(Settings!$E$47,DAY($B120))))&gt;=MAX($A120,Settings!$F$47),IF(Settings!$E$47="",$B120,DATE(YEAR($A120),MONTH($A120),MIN(Settings!$E$47,DAY($B120))))&lt;=MIN(Settings!$B$5,IF(Settings!$G$47="",Settings!$B$5,Settings!$G$47))),1,0)))))</f>
        <v/>
      </c>
      <c r="EW120">
        <f>IF($E120&lt;&gt;"open",0,IF(AND('Month-End'!$DM$25&lt;&gt;"",NOT(_xlfn.ISFORMULA('Month-End'!$DM$25))),0,IF(OR(Settings!$C$48="",Settings!$D$48=""),0,Settings!$C$48*IF(Settings!$D$48="Weekly",IF(IFERROR(MATCH(Settings!$E$48,$EO$4:$EO$10,0),0)=0,0,IF(MIN(Settings!$B$5,IF(Settings!$G$48="",Settings!$B$5,Settings!$G$48))&lt;MAX($A120,Settings!$F$48),0,INT((MIN(Settings!$B$5,IF(Settings!$G$48="",Settings!$B$5,Settings!$G$48))-MAX($A120,Settings!$F$48)-MOD(IFERROR(MATCH(Settings!$E$48,$EO$4:$EO$10,0),0)-WEEKDAY(MAX($A120,Settings!$F$48)),7))/7)+1)),IF(AND(IF(Settings!$E$48="",$B120,DATE(YEAR($A120),MONTH($A120),MIN(Settings!$E$48,DAY($B120))))&gt;=MAX($A120,Settings!$F$48),IF(Settings!$E$48="",$B120,DATE(YEAR($A120),MONTH($A120),MIN(Settings!$E$48,DAY($B120))))&lt;=MIN(Settings!$B$5,IF(Settings!$G$48="",Settings!$B$5,Settings!$G$48))),1,0)))))</f>
        <v/>
      </c>
      <c r="EX120">
        <f>IF($E120&lt;&gt;"open",0,IF(AND('Month-End'!$DM$26&lt;&gt;"",NOT(_xlfn.ISFORMULA('Month-End'!$DM$26))),0,IF(OR(Settings!$C$49="",Settings!$D$49=""),0,Settings!$C$49*IF(Settings!$D$49="Weekly",IF(IFERROR(MATCH(Settings!$E$49,$EO$4:$EO$10,0),0)=0,0,IF(MIN(Settings!$B$5,IF(Settings!$G$49="",Settings!$B$5,Settings!$G$49))&lt;MAX($A120,Settings!$F$49),0,INT((MIN(Settings!$B$5,IF(Settings!$G$49="",Settings!$B$5,Settings!$G$49))-MAX($A120,Settings!$F$49)-MOD(IFERROR(MATCH(Settings!$E$49,$EO$4:$EO$10,0),0)-WEEKDAY(MAX($A120,Settings!$F$49)),7))/7)+1)),IF(AND(IF(Settings!$E$49="",$B120,DATE(YEAR($A120),MONTH($A120),MIN(Settings!$E$49,DAY($B120))))&gt;=MAX($A120,Settings!$F$49),IF(Settings!$E$49="",$B120,DATE(YEAR($A120),MONTH($A120),MIN(Settings!$E$49,DAY($B120))))&lt;=MIN(Settings!$B$5,IF(Settings!$G$49="",Settings!$B$5,Settings!$G$49))),1,0)))))</f>
        <v/>
      </c>
      <c r="EY120">
        <f>IF($E120&lt;&gt;"open",0,IF(AND('Month-End'!$DM$27&lt;&gt;"",NOT(_xlfn.ISFORMULA('Month-End'!$DM$27))),0,IF(OR(Settings!$C$50="",Settings!$D$50=""),0,Settings!$C$50*IF(Settings!$D$50="Weekly",IF(IFERROR(MATCH(Settings!$E$50,$EO$4:$EO$10,0),0)=0,0,IF(MIN(Settings!$B$5,IF(Settings!$G$50="",Settings!$B$5,Settings!$G$50))&lt;MAX($A120,Settings!$F$50),0,INT((MIN(Settings!$B$5,IF(Settings!$G$50="",Settings!$B$5,Settings!$G$50))-MAX($A120,Settings!$F$50)-MOD(IFERROR(MATCH(Settings!$E$50,$EO$4:$EO$10,0),0)-WEEKDAY(MAX($A120,Settings!$F$50)),7))/7)+1)),IF(AND(IF(Settings!$E$50="",$B120,DATE(YEAR($A120),MONTH($A120),MIN(Settings!$E$50,DAY($B120))))&gt;=MAX($A120,Settings!$F$50),IF(Settings!$E$50="",$B120,DATE(YEAR($A120),MONTH($A120),MIN(Settings!$E$50,DAY($B120))))&lt;=MIN(Settings!$B$5,IF(Settings!$G$50="",Settings!$B$5,Settings!$G$50))),1,0)))))</f>
        <v/>
      </c>
      <c r="EZ120">
        <f>IF($E120&lt;&gt;"open",0,IF(AND('Month-End'!$DM$28&lt;&gt;"",NOT(_xlfn.ISFORMULA('Month-End'!$DM$28))),0,IF(OR(Settings!$C$51="",Settings!$D$51=""),0,Settings!$C$51*IF(Settings!$D$51="Weekly",IF(IFERROR(MATCH(Settings!$E$51,$EO$4:$EO$10,0),0)=0,0,IF(MIN(Settings!$B$5,IF(Settings!$G$51="",Settings!$B$5,Settings!$G$51))&lt;MAX($A120,Settings!$F$51),0,INT((MIN(Settings!$B$5,IF(Settings!$G$51="",Settings!$B$5,Settings!$G$51))-MAX($A120,Settings!$F$51)-MOD(IFERROR(MATCH(Settings!$E$51,$EO$4:$EO$10,0),0)-WEEKDAY(MAX($A120,Settings!$F$51)),7))/7)+1)),IF(AND(IF(Settings!$E$51="",$B120,DATE(YEAR($A120),MONTH($A120),MIN(Settings!$E$51,DAY($B120))))&gt;=MAX($A120,Settings!$F$51),IF(Settings!$E$51="",$B120,DATE(YEAR($A120),MONTH($A120),MIN(Settings!$E$51,DAY($B120))))&lt;=MIN(Settings!$B$5,IF(Settings!$G$51="",Settings!$B$5,Settings!$G$51))),1,0)))))</f>
        <v/>
      </c>
      <c r="FA120">
        <f>IF($E120&lt;&gt;"open",0,IF(AND('Month-End'!$DM$29&lt;&gt;"",NOT(_xlfn.ISFORMULA('Month-End'!$DM$29))),0,IF(OR(Settings!$C$52="",Settings!$D$52=""),0,Settings!$C$52*IF(Settings!$D$52="Weekly",IF(IFERROR(MATCH(Settings!$E$52,$EO$4:$EO$10,0),0)=0,0,IF(MIN(Settings!$B$5,IF(Settings!$G$52="",Settings!$B$5,Settings!$G$52))&lt;MAX($A120,Settings!$F$52),0,INT((MIN(Settings!$B$5,IF(Settings!$G$52="",Settings!$B$5,Settings!$G$52))-MAX($A120,Settings!$F$52)-MOD(IFERROR(MATCH(Settings!$E$52,$EO$4:$EO$10,0),0)-WEEKDAY(MAX($A120,Settings!$F$52)),7))/7)+1)),IF(AND(IF(Settings!$E$52="",$B120,DATE(YEAR($A120),MONTH($A120),MIN(Settings!$E$52,DAY($B120))))&gt;=MAX($A120,Settings!$F$52),IF(Settings!$E$52="",$B120,DATE(YEAR($A120),MONTH($A120),MIN(Settings!$E$52,DAY($B120))))&lt;=MIN(Settings!$B$5,IF(Settings!$G$52="",Settings!$B$5,Settings!$G$52))),1,0)))))</f>
        <v/>
      </c>
      <c r="FB120">
        <f>IF($E120&lt;&gt;"open",0,IF(AND('Month-End'!$DM$30&lt;&gt;"",NOT(_xlfn.ISFORMULA('Month-End'!$DM$30))),0,IF(OR(Settings!$C$53="",Settings!$D$53=""),0,Settings!$C$53*IF(Settings!$D$53="Weekly",IF(IFERROR(MATCH(Settings!$E$53,$EO$4:$EO$10,0),0)=0,0,IF(MIN(Settings!$B$5,IF(Settings!$G$53="",Settings!$B$5,Settings!$G$53))&lt;MAX($A120,Settings!$F$53),0,INT((MIN(Settings!$B$5,IF(Settings!$G$53="",Settings!$B$5,Settings!$G$53))-MAX($A120,Settings!$F$53)-MOD(IFERROR(MATCH(Settings!$E$53,$EO$4:$EO$10,0),0)-WEEKDAY(MAX($A120,Settings!$F$53)),7))/7)+1)),IF(AND(IF(Settings!$E$53="",$B120,DATE(YEAR($A120),MONTH($A120),MIN(Settings!$E$53,DAY($B120))))&gt;=MAX($A120,Settings!$F$53),IF(Settings!$E$53="",$B120,DATE(YEAR($A120),MONTH($A120),MIN(Settings!$E$53,DAY($B120))))&lt;=MIN(Settings!$B$5,IF(Settings!$G$53="",Settings!$B$5,Settings!$G$53))),1,0)))))</f>
        <v/>
      </c>
      <c r="FC120">
        <f>IF($E120&lt;&gt;"open",0,IF(AND('Month-End'!$DM$31&lt;&gt;"",NOT(_xlfn.ISFORMULA('Month-End'!$DM$31))),0,IF(OR(Settings!$C$54="",Settings!$D$54=""),0,Settings!$C$54*IF(Settings!$D$54="Weekly",IF(IFERROR(MATCH(Settings!$E$54,$EO$4:$EO$10,0),0)=0,0,IF(MIN(Settings!$B$5,IF(Settings!$G$54="",Settings!$B$5,Settings!$G$54))&lt;MAX($A120,Settings!$F$54),0,INT((MIN(Settings!$B$5,IF(Settings!$G$54="",Settings!$B$5,Settings!$G$54))-MAX($A120,Settings!$F$54)-MOD(IFERROR(MATCH(Settings!$E$54,$EO$4:$EO$10,0),0)-WEEKDAY(MAX($A120,Settings!$F$54)),7))/7)+1)),IF(AND(IF(Settings!$E$54="",$B120,DATE(YEAR($A120),MONTH($A120),MIN(Settings!$E$54,DAY($B120))))&gt;=MAX($A120,Settings!$F$54),IF(Settings!$E$54="",$B120,DATE(YEAR($A120),MONTH($A120),MIN(Settings!$E$54,DAY($B120))))&lt;=MIN(Settings!$B$5,IF(Settings!$G$54="",Settings!$B$5,Settings!$G$54))),1,0)))))</f>
        <v/>
      </c>
      <c r="FD120">
        <f>IF($E120&lt;&gt;"open",0,IF(AND('Month-End'!$DM$32&lt;&gt;"",NOT(_xlfn.ISFORMULA('Month-End'!$DM$32))),0,IF(OR(Settings!$C$55="",Settings!$D$55=""),0,Settings!$C$55*IF(Settings!$D$55="Weekly",IF(IFERROR(MATCH(Settings!$E$55,$EO$4:$EO$10,0),0)=0,0,IF(MIN(Settings!$B$5,IF(Settings!$G$55="",Settings!$B$5,Settings!$G$55))&lt;MAX($A120,Settings!$F$55),0,INT((MIN(Settings!$B$5,IF(Settings!$G$55="",Settings!$B$5,Settings!$G$55))-MAX($A120,Settings!$F$55)-MOD(IFERROR(MATCH(Settings!$E$55,$EO$4:$EO$10,0),0)-WEEKDAY(MAX($A120,Settings!$F$55)),7))/7)+1)),IF(AND(IF(Settings!$E$55="",$B120,DATE(YEAR($A120),MONTH($A120),MIN(Settings!$E$55,DAY($B120))))&gt;=MAX($A120,Settings!$F$55),IF(Settings!$E$55="",$B120,DATE(YEAR($A120),MONTH($A120),MIN(Settings!$E$55,DAY($B120))))&lt;=MIN(Settings!$B$5,IF(Settings!$G$55="",Settings!$B$5,Settings!$G$55))),1,0)))))</f>
        <v/>
      </c>
      <c r="FE120">
        <f>IF($E120&lt;&gt;"open",0,IF(AND('Month-End'!$DM$33&lt;&gt;"",NOT(_xlfn.ISFORMULA('Month-End'!$DM$33))),0,IF(OR(Settings!$C$56="",Settings!$D$56=""),0,Settings!$C$56*IF(Settings!$D$56="Weekly",IF(IFERROR(MATCH(Settings!$E$56,$EO$4:$EO$10,0),0)=0,0,IF(MIN(Settings!$B$5,IF(Settings!$G$56="",Settings!$B$5,Settings!$G$56))&lt;MAX($A120,Settings!$F$56),0,INT((MIN(Settings!$B$5,IF(Settings!$G$56="",Settings!$B$5,Settings!$G$56))-MAX($A120,Settings!$F$56)-MOD(IFERROR(MATCH(Settings!$E$56,$EO$4:$EO$10,0),0)-WEEKDAY(MAX($A120,Settings!$F$56)),7))/7)+1)),IF(AND(IF(Settings!$E$56="",$B120,DATE(YEAR($A120),MONTH($A120),MIN(Settings!$E$56,DAY($B120))))&gt;=MAX($A120,Settings!$F$56),IF(Settings!$E$56="",$B120,DATE(YEAR($A120),MONTH($A120),MIN(Settings!$E$56,DAY($B120))))&lt;=MIN(Settings!$B$5,IF(Settings!$G$56="",Settings!$B$5,Settings!$G$56))),1,0)))))</f>
        <v/>
      </c>
      <c r="FF120">
        <f>IF(Settings!$I$45="Yes",$G120,0)+IF(Settings!$I$46="Yes",$H120,0)+IF(Settings!$I$47="Yes",$I120,0)+IF(Settings!$I$48="Yes",$J120,0)+IF(Settings!$I$49="Yes",$K120,0)+IF(Settings!$I$50="Yes",$L120,0)+IF(Settings!$I$51="Yes",$M120,0)+IF(Settings!$I$52="Yes",$N120,0)+IF(Settings!$I$53="Yes",$O120,0)+IF(Settings!$I$54="Yes",$P120,0)+IF(Settings!$I$55="Yes",$Q120,0)+IF(Settings!$I$56="Yes",$R120,0)</f>
        <v/>
      </c>
      <c r="FG120">
        <f>IF(AND(Settings!$I$45="Yes",Settings!$J$45="No"),$G120,0)+IF(AND(Settings!$I$46="Yes",Settings!$J$46="No"),$H120,0)+IF(AND(Settings!$I$47="Yes",Settings!$J$47="No"),$I120,0)+IF(AND(Settings!$I$48="Yes",Settings!$J$48="No"),$J120,0)+IF(AND(Settings!$I$49="Yes",Settings!$J$49="No"),$K120,0)+IF(AND(Settings!$I$50="Yes",Settings!$J$50="No"),$L120,0)+IF(AND(Settings!$I$51="Yes",Settings!$J$51="No"),$M120,0)+IF(AND(Settings!$I$52="Yes",Settings!$J$52="No"),$N120,0)+IF(AND(Settings!$I$53="Yes",Settings!$J$53="No"),$O120,0)+IF(AND(Settings!$I$54="Yes",Settings!$J$54="No"),$P120,0)+IF(AND(Settings!$I$55="Yes",Settings!$J$55="No"),$Q120,0)+IF(AND(Settings!$I$56="Yes",Settings!$J$56="No"),$R120,0)</f>
        <v/>
      </c>
      <c r="FH120">
        <f>SUMIFS(Giving!$B$7:$B$2006,Giving!$A$7:$A$2006,"&gt;="&amp;$A120,Giving!$A$7:$A$2006,"&lt;="&amp;$B120,Giving!$G$7:$G$2006,"Yes")+IF(OR(OR(Settings!$B$60="",Settings!$F$60="No"),Settings!$H$60&lt;&gt;"Yes"),0,Settings!$B$60*IF(AND(IF(Settings!$C$60="",$B120,DATE(YEAR($A120),MONTH($A120),MIN(Settings!$C$60,DAY($B120))))&gt;=MAX($A120,Settings!$D$60),IF(Settings!$C$60="",$B120,DATE(YEAR($A120),MONTH($A120),MIN(Settings!$C$60,DAY($B120))))&lt;=MIN($C120,IF(Settings!$E$60="",$C120,Settings!$E$60))),1,0))+IF(OR(OR(Settings!$B$61="",Settings!$F$61="No"),Settings!$H$61&lt;&gt;"Yes"),0,Settings!$B$61*IF(AND(IF(Settings!$C$61="",$B120,DATE(YEAR($A120),MONTH($A120),MIN(Settings!$C$61,DAY($B120))))&gt;=MAX($A120,Settings!$D$61),IF(Settings!$C$61="",$B120,DATE(YEAR($A120),MONTH($A120),MIN(Settings!$C$61,DAY($B120))))&lt;=MIN($C120,IF(Settings!$E$61="",$C120,Settings!$E$61))),1,0))+IF(OR(OR(Settings!$B$62="",Settings!$F$62="No"),Settings!$H$62&lt;&gt;"Yes"),0,Settings!$B$62*IF(AND(IF(Settings!$C$62="",$B120,DATE(YEAR($A120),MONTH($A120),MIN(Settings!$C$62,DAY($B120))))&gt;=MAX($A120,Settings!$D$62),IF(Settings!$C$62="",$B120,DATE(YEAR($A120),MONTH($A120),MIN(Settings!$C$62,DAY($B120))))&lt;=MIN($C120,IF(Settings!$E$62="",$C120,Settings!$E$62))),1,0))+IF(OR(OR(Settings!$B$63="",Settings!$F$63="No"),Settings!$H$63&lt;&gt;"Yes"),0,Settings!$B$63*IF(AND(IF(Settings!$C$63="",$B120,DATE(YEAR($A120),MONTH($A120),MIN(Settings!$C$63,DAY($B120))))&gt;=MAX($A120,Settings!$D$63),IF(Settings!$C$63="",$B120,DATE(YEAR($A120),MONTH($A120),MIN(Settings!$C$63,DAY($B120))))&lt;=MIN($C120,IF(Settings!$E$63="",$C120,Settings!$E$63))),1,0))+IF(OR(OR(Settings!$B$64="",Settings!$F$64="No"),Settings!$H$64&lt;&gt;"Yes"),0,Settings!$B$64*IF(AND(IF(Settings!$C$64="",$B120,DATE(YEAR($A120),MONTH($A120),MIN(Settings!$C$64,DAY($B120))))&gt;=MAX($A120,Settings!$D$64),IF(Settings!$C$64="",$B120,DATE(YEAR($A120),MONTH($A120),MIN(Settings!$C$64,DAY($B120))))&lt;=MIN($C120,IF(Settings!$E$64="",$C120,Settings!$E$64))),1,0))+IF(OR(OR(Settings!$B$65="",Settings!$F$65="No"),Settings!$H$65&lt;&gt;"Yes"),0,Settings!$B$65*IF(AND(IF(Settings!$C$65="",$B120,DATE(YEAR($A120),MONTH($A120),MIN(Settings!$C$65,DAY($B120))))&gt;=MAX($A120,Settings!$D$65),IF(Settings!$C$65="",$B120,DATE(YEAR($A120),MONTH($A120),MIN(Settings!$C$65,DAY($B120))))&lt;=MIN($C120,IF(Settings!$E$65="",$C120,Settings!$E$65))),1,0))</f>
        <v/>
      </c>
      <c r="FI120">
        <f>IF($DT120=1,IF(OR(Settings!$B$19="Card",Settings!$B$19="Loan"),N($AE120),0)+IF(OR(Settings!$B$20="Card",Settings!$B$20="Loan"),N($AF120),0)+IF(OR(Settings!$B$21="Card",Settings!$B$21="Loan"),N($AG120),0)+IF(OR(Settings!$B$22="Card",Settings!$B$22="Loan"),N($AH120),0)+IF(OR(Settings!$B$23="Card",Settings!$B$23="Loan"),N($AI120),0)+IF(OR(Settings!$B$24="Card",Settings!$B$24="Loan"),N($AJ120),0)+IF(OR(Settings!$B$25="Card",Settings!$B$25="Loan"),N($AK120),0)+IF(OR(Settings!$B$26="Card",Settings!$B$26="Loan"),N($AL120),0)+IF(OR(Settings!$B$27="Card",Settings!$B$27="Loan"),N($AM120),0)+IF(OR(Settings!$B$28="Card",Settings!$B$28="Loan"),N($AN120),0)+IF(OR(Settings!$B$29="Card",Settings!$B$29="Loan"),N($AO120),0)+IF(OR(Settings!$B$30="Card",Settings!$B$30="Loan"),N($AP120),0)+IF(OR(Settings!$B$31="Card",Settings!$B$31="Loan"),N($AQ120),0)+IF(OR(Settings!$B$32="Card",Settings!$B$32="Loan"),N($AR120),0),"")</f>
        <v/>
      </c>
      <c r="FJ120">
        <f>IF($E120="open",$EB$65,IF($E120="post",IF($E119="pre",$EB$65,$FI119),""))</f>
        <v/>
      </c>
      <c r="FK120">
        <f>IF(AND($DT120=1,$DC120=1),IF(ROUND($FI120-$FJ120,2)&gt;0,1,0),0)</f>
        <v/>
      </c>
      <c r="FL120">
        <f>IF($FK120=1,$FL119+1,0)</f>
        <v/>
      </c>
    </row>
    <row r="121">
      <c r="A121">
        <f>'Month-End'!$DN$4</f>
        <v/>
      </c>
      <c r="B121">
        <f>EOMONTH($A121,0)</f>
        <v/>
      </c>
      <c r="C121">
        <f>MIN($B121,TODAY())</f>
        <v/>
      </c>
      <c r="D121">
        <f>IF($A121&gt;TODAY(),1,0)</f>
        <v/>
      </c>
      <c r="E121">
        <f>IF($B121&lt;=Settings!$B$5,"pre",IF($A121&lt;=Settings!$B$5,"open","post"))</f>
        <v/>
      </c>
      <c r="G121">
        <f>IF('Month-End'!$DN$22="",$BE121,N('Month-End'!$DN$22))</f>
        <v/>
      </c>
      <c r="H121">
        <f>IF('Month-End'!$DN$23="",$BF121,N('Month-End'!$DN$23))</f>
        <v/>
      </c>
      <c r="I121">
        <f>IF('Month-End'!$DN$24="",$BG121,N('Month-End'!$DN$24))</f>
        <v/>
      </c>
      <c r="J121">
        <f>IF('Month-End'!$DN$25="",$BH121,N('Month-End'!$DN$25))</f>
        <v/>
      </c>
      <c r="K121">
        <f>IF('Month-End'!$DN$26="",$BI121,N('Month-End'!$DN$26))</f>
        <v/>
      </c>
      <c r="L121">
        <f>IF('Month-End'!$DN$27="",$BJ121,N('Month-End'!$DN$27))</f>
        <v/>
      </c>
      <c r="M121">
        <f>IF('Month-End'!$DN$28="",$BK121,N('Month-End'!$DN$28))</f>
        <v/>
      </c>
      <c r="N121">
        <f>IF('Month-End'!$DN$29="",$BL121,N('Month-End'!$DN$29))</f>
        <v/>
      </c>
      <c r="O121">
        <f>IF('Month-End'!$DN$30="",$BM121,N('Month-End'!$DN$30))</f>
        <v/>
      </c>
      <c r="P121">
        <f>IF('Month-End'!$DN$31="",$BN121,N('Month-End'!$DN$31))</f>
        <v/>
      </c>
      <c r="Q121">
        <f>IF('Month-End'!$DN$32="",$BO121,N('Month-End'!$DN$32))</f>
        <v/>
      </c>
      <c r="R121">
        <f>IF('Month-End'!$DN$33="",$BP121,N('Month-End'!$DN$33))</f>
        <v/>
      </c>
      <c r="S121">
        <f>$G121+$H121+$I121+$J121+$K121+$L121+$M121+$N121+$O121+$P121+$Q121+$R121</f>
        <v/>
      </c>
      <c r="T121">
        <f>IF($B121&lt;Settings!$B$6,0,IF(Settings!$B$45="Yes",$G121,0)+IF(Settings!$B$46="Yes",$H121,0)+IF(Settings!$B$47="Yes",$I121,0)+IF(Settings!$B$48="Yes",$J121,0)+IF(Settings!$B$49="Yes",$K121,0)+IF(Settings!$B$50="Yes",$L121,0)+IF(Settings!$B$51="Yes",$M121,0)+IF(Settings!$B$52="Yes",$N121,0)+IF(Settings!$B$53="Yes",$O121,0)+IF(Settings!$B$54="Yes",$P121,0)+IF(Settings!$B$55="Yes",$Q121,0)+IF(Settings!$B$56="Yes",$R121,0))</f>
        <v/>
      </c>
      <c r="U121">
        <f>IF(Settings!$B$45="Not Sure",$G121,0)+IF(Settings!$B$46="Not Sure",$H121,0)+IF(Settings!$B$47="Not Sure",$I121,0)+IF(Settings!$B$48="Not Sure",$J121,0)+IF(Settings!$B$49="Not Sure",$K121,0)+IF(Settings!$B$50="Not Sure",$L121,0)+IF(Settings!$B$51="Not Sure",$M121,0)+IF(Settings!$B$52="Not Sure",$N121,0)+IF(Settings!$B$53="Not Sure",$O121,0)+IF(Settings!$B$54="Not Sure",$P121,0)+IF(Settings!$B$55="Not Sure",$Q121,0)+IF(Settings!$B$56="Not Sure",$R121,0)</f>
        <v/>
      </c>
      <c r="V121">
        <f>IF($E121="open",SUM($ET121:$FE121)+N(Settings!$B$13),0)</f>
        <v/>
      </c>
      <c r="W121">
        <f>IF($E121="post",$S121,IF($E121="open",$S121-$V121,0))</f>
        <v/>
      </c>
      <c r="X121">
        <f>SUMIFS(Giving!$B$7:$B$2006,Giving!$A$7:$A$2006,"&gt;="&amp;$A121,Giving!$A$7:$A$2006,"&lt;="&amp;$B121,Giving!$E$7:$E$2006,"&lt;&gt;No")</f>
        <v/>
      </c>
      <c r="Y121">
        <f>SUMIFS(Giving!$B$7:$B$2006,Giving!$A$7:$A$2006,"&gt;="&amp;$A121,Giving!$A$7:$A$2006,"&lt;="&amp;$B121,Giving!$E$7:$E$2006,"No")</f>
        <v/>
      </c>
      <c r="Z121">
        <f>IF(OR(Settings!$B$60="",Settings!$F$60="No"),0,Settings!$B$60*IF(AND(IF(Settings!$C$60="",$B121,DATE(YEAR($A121),MONTH($A121),MIN(Settings!$C$60,DAY($B121))))&gt;=MAX($A121,Settings!$D$60),IF(Settings!$C$60="",$B121,DATE(YEAR($A121),MONTH($A121),MIN(Settings!$C$60,DAY($B121))))&lt;=MIN($C121,IF(Settings!$E$60="",$C121,Settings!$E$60))),1,0))+IF(OR(Settings!$B$61="",Settings!$F$61="No"),0,Settings!$B$61*IF(AND(IF(Settings!$C$61="",$B121,DATE(YEAR($A121),MONTH($A121),MIN(Settings!$C$61,DAY($B121))))&gt;=MAX($A121,Settings!$D$61),IF(Settings!$C$61="",$B121,DATE(YEAR($A121),MONTH($A121),MIN(Settings!$C$61,DAY($B121))))&lt;=MIN($C121,IF(Settings!$E$61="",$C121,Settings!$E$61))),1,0))+IF(OR(Settings!$B$62="",Settings!$F$62="No"),0,Settings!$B$62*IF(AND(IF(Settings!$C$62="",$B121,DATE(YEAR($A121),MONTH($A121),MIN(Settings!$C$62,DAY($B121))))&gt;=MAX($A121,Settings!$D$62),IF(Settings!$C$62="",$B121,DATE(YEAR($A121),MONTH($A121),MIN(Settings!$C$62,DAY($B121))))&lt;=MIN($C121,IF(Settings!$E$62="",$C121,Settings!$E$62))),1,0))+IF(OR(Settings!$B$63="",Settings!$F$63="No"),0,Settings!$B$63*IF(AND(IF(Settings!$C$63="",$B121,DATE(YEAR($A121),MONTH($A121),MIN(Settings!$C$63,DAY($B121))))&gt;=MAX($A121,Settings!$D$63),IF(Settings!$C$63="",$B121,DATE(YEAR($A121),MONTH($A121),MIN(Settings!$C$63,DAY($B121))))&lt;=MIN($C121,IF(Settings!$E$63="",$C121,Settings!$E$63))),1,0))+IF(OR(Settings!$B$64="",Settings!$F$64="No"),0,Settings!$B$64*IF(AND(IF(Settings!$C$64="",$B121,DATE(YEAR($A121),MONTH($A121),MIN(Settings!$C$64,DAY($B121))))&gt;=MAX($A121,Settings!$D$64),IF(Settings!$C$64="",$B121,DATE(YEAR($A121),MONTH($A121),MIN(Settings!$C$64,DAY($B121))))&lt;=MIN($C121,IF(Settings!$E$64="",$C121,Settings!$E$64))),1,0))+IF(OR(Settings!$B$65="",Settings!$F$65="No"),0,Settings!$B$65*IF(AND(IF(Settings!$C$65="",$B121,DATE(YEAR($A121),MONTH($A121),MIN(Settings!$C$65,DAY($B121))))&gt;=MAX($A121,Settings!$D$65),IF(Settings!$C$65="",$B121,DATE(YEAR($A121),MONTH($A121),MIN(Settings!$C$65,DAY($B121))))&lt;=MIN($C121,IF(Settings!$E$65="",$C121,Settings!$E$65))),1,0))</f>
        <v/>
      </c>
      <c r="AA121">
        <f>$X121+$Z121</f>
        <v/>
      </c>
      <c r="AB121">
        <f>IF($E121="post",$AA121,IF($E121="open",SUMIFS(Giving!$B$7:$B$2006,Giving!$A$7:$A$2006,"&gt;"&amp;Settings!$B$5,Giving!$A$7:$A$2006,"&lt;="&amp;$B121,Giving!$E$7:$E$2006,"&lt;&gt;No")+IF(OR(Settings!$B$60="",Settings!$F$60="No"),0,Settings!$B$60*IF(AND(IF(Settings!$C$60="",$B121,DATE(YEAR($A121),MONTH($A121),MIN(Settings!$C$60,DAY($B121))))&gt;=MAX($A121,Settings!$D$60,Settings!$B$5+1),IF(Settings!$C$60="",$B121,DATE(YEAR($A121),MONTH($A121),MIN(Settings!$C$60,DAY($B121))))&lt;=MIN($C121,IF(Settings!$E$60="",$C121,Settings!$E$60))),1,0))+IF(OR(Settings!$B$61="",Settings!$F$61="No"),0,Settings!$B$61*IF(AND(IF(Settings!$C$61="",$B121,DATE(YEAR($A121),MONTH($A121),MIN(Settings!$C$61,DAY($B121))))&gt;=MAX($A121,Settings!$D$61,Settings!$B$5+1),IF(Settings!$C$61="",$B121,DATE(YEAR($A121),MONTH($A121),MIN(Settings!$C$61,DAY($B121))))&lt;=MIN($C121,IF(Settings!$E$61="",$C121,Settings!$E$61))),1,0))+IF(OR(Settings!$B$62="",Settings!$F$62="No"),0,Settings!$B$62*IF(AND(IF(Settings!$C$62="",$B121,DATE(YEAR($A121),MONTH($A121),MIN(Settings!$C$62,DAY($B121))))&gt;=MAX($A121,Settings!$D$62,Settings!$B$5+1),IF(Settings!$C$62="",$B121,DATE(YEAR($A121),MONTH($A121),MIN(Settings!$C$62,DAY($B121))))&lt;=MIN($C121,IF(Settings!$E$62="",$C121,Settings!$E$62))),1,0))+IF(OR(Settings!$B$63="",Settings!$F$63="No"),0,Settings!$B$63*IF(AND(IF(Settings!$C$63="",$B121,DATE(YEAR($A121),MONTH($A121),MIN(Settings!$C$63,DAY($B121))))&gt;=MAX($A121,Settings!$D$63,Settings!$B$5+1),IF(Settings!$C$63="",$B121,DATE(YEAR($A121),MONTH($A121),MIN(Settings!$C$63,DAY($B121))))&lt;=MIN($C121,IF(Settings!$E$63="",$C121,Settings!$E$63))),1,0))+IF(OR(Settings!$B$64="",Settings!$F$64="No"),0,Settings!$B$64*IF(AND(IF(Settings!$C$64="",$B121,DATE(YEAR($A121),MONTH($A121),MIN(Settings!$C$64,DAY($B121))))&gt;=MAX($A121,Settings!$D$64,Settings!$B$5+1),IF(Settings!$C$64="",$B121,DATE(YEAR($A121),MONTH($A121),MIN(Settings!$C$64,DAY($B121))))&lt;=MIN($C121,IF(Settings!$E$64="",$C121,Settings!$E$64))),1,0))+IF(OR(Settings!$B$65="",Settings!$F$65="No"),0,Settings!$B$65*IF(AND(IF(Settings!$C$65="",$B121,DATE(YEAR($A121),MONTH($A121),MIN(Settings!$C$65,DAY($B121))))&gt;=MAX($A121,Settings!$D$65,Settings!$B$5+1),IF(Settings!$C$65="",$B121,DATE(YEAR($A121),MONTH($A121),MIN(Settings!$C$65,DAY($B121))))&lt;=MIN($C121,IF(Settings!$E$65="",$C121,Settings!$E$65))),1,0)),0))</f>
        <v/>
      </c>
      <c r="AC121">
        <f>$AY121+$AZ121+$BA121+$BB121+$BC121+$BD121</f>
        <v/>
      </c>
      <c r="AD121">
        <f>$AC121</f>
        <v/>
      </c>
      <c r="AE121">
        <f>IF(OR(Settings!$A$19="",$E121="pre"),"",IF(AND('Month-End'!$DN$7&lt;&gt;"",NOT(_xlfn.ISFORMULA('Month-End'!$DN$7))),N('Month-End'!$DN$7),IF(OR($E121="open",$E120="pre"),N(Settings!$C$19),N($AE120))))</f>
        <v/>
      </c>
      <c r="AF121">
        <f>IF(OR(Settings!$A$20="",$E121="pre"),"",IF(AND('Month-End'!$DN$8&lt;&gt;"",NOT(_xlfn.ISFORMULA('Month-End'!$DN$8))),N('Month-End'!$DN$8),IF(OR($E121="open",$E120="pre"),N(Settings!$C$20),N($AF120))))</f>
        <v/>
      </c>
      <c r="AG121">
        <f>IF(OR(Settings!$A$21="",$E121="pre"),"",IF(AND('Month-End'!$DN$9&lt;&gt;"",NOT(_xlfn.ISFORMULA('Month-End'!$DN$9))),N('Month-End'!$DN$9),IF(OR($E121="open",$E120="pre"),N(Settings!$C$21),N($AG120))))</f>
        <v/>
      </c>
      <c r="AH121">
        <f>IF(OR(Settings!$A$22="",$E121="pre"),"",IF(AND('Month-End'!$DN$10&lt;&gt;"",NOT(_xlfn.ISFORMULA('Month-End'!$DN$10))),N('Month-End'!$DN$10),IF(OR($E121="open",$E120="pre"),N(Settings!$C$22),N($AH120))))</f>
        <v/>
      </c>
      <c r="AI121">
        <f>IF(OR(Settings!$A$23="",$E121="pre"),"",IF(AND('Month-End'!$DN$11&lt;&gt;"",NOT(_xlfn.ISFORMULA('Month-End'!$DN$11))),N('Month-End'!$DN$11),IF(OR($E121="open",$E120="pre"),N(Settings!$C$23),N($AI120))))</f>
        <v/>
      </c>
      <c r="AJ121">
        <f>IF(OR(Settings!$A$24="",$E121="pre"),"",IF(AND('Month-End'!$DN$12&lt;&gt;"",NOT(_xlfn.ISFORMULA('Month-End'!$DN$12))),N('Month-End'!$DN$12),IF(OR($E121="open",$E120="pre"),N(Settings!$C$24),N($AJ120))))</f>
        <v/>
      </c>
      <c r="AK121">
        <f>IF(OR(Settings!$A$25="",$E121="pre"),"",IF(AND('Month-End'!$DN$13&lt;&gt;"",NOT(_xlfn.ISFORMULA('Month-End'!$DN$13))),N('Month-End'!$DN$13),IF(OR($E121="open",$E120="pre"),N(Settings!$C$25),N($AK120))))</f>
        <v/>
      </c>
      <c r="AL121">
        <f>IF(OR(Settings!$A$26="",$E121="pre"),"",IF(AND('Month-End'!$DN$14&lt;&gt;"",NOT(_xlfn.ISFORMULA('Month-End'!$DN$14))),N('Month-End'!$DN$14),IF(OR($E121="open",$E120="pre"),N(Settings!$C$26),N($AL120))))</f>
        <v/>
      </c>
      <c r="AM121">
        <f>IF(OR(Settings!$A$27="",$E121="pre"),"",IF(AND('Month-End'!$DN$15&lt;&gt;"",NOT(_xlfn.ISFORMULA('Month-End'!$DN$15))),N('Month-End'!$DN$15),IF(OR($E121="open",$E120="pre"),N(Settings!$C$27),N($AM120))))</f>
        <v/>
      </c>
      <c r="AN121">
        <f>IF(OR(Settings!$A$28="",$E121="pre"),"",IF(AND('Month-End'!$DN$16&lt;&gt;"",NOT(_xlfn.ISFORMULA('Month-End'!$DN$16))),N('Month-End'!$DN$16),IF(OR($E121="open",$E120="pre"),N(Settings!$C$28),N($AN120))))</f>
        <v/>
      </c>
      <c r="AO121">
        <f>IF(OR(Settings!$A$29="",$E121="pre"),"",IF(AND('Month-End'!$DN$17&lt;&gt;"",NOT(_xlfn.ISFORMULA('Month-End'!$DN$17))),N('Month-End'!$DN$17),IF(OR($E121="open",$E120="pre"),N(Settings!$C$29),N($AO120))))</f>
        <v/>
      </c>
      <c r="AP121">
        <f>IF(OR(Settings!$A$30="",$E121="pre"),"",IF(AND('Month-End'!$DN$18&lt;&gt;"",NOT(_xlfn.ISFORMULA('Month-End'!$DN$18))),N('Month-End'!$DN$18),IF(OR($E121="open",$E120="pre"),N(Settings!$C$30),N($AP120))))</f>
        <v/>
      </c>
      <c r="AQ121">
        <f>IF(OR(Settings!$A$31="",$E121="pre"),"",IF(AND('Month-End'!$DN$19&lt;&gt;"",NOT(_xlfn.ISFORMULA('Month-End'!$DN$19))),N('Month-End'!$DN$19),IF(OR($E121="open",$E120="pre"),N(Settings!$C$31),N($AQ120))))</f>
        <v/>
      </c>
      <c r="AR121">
        <f>IF(OR(Settings!$A$32="",$E121="pre"),"",IF(AND('Month-End'!$DN$20&lt;&gt;"",NOT(_xlfn.ISFORMULA('Month-End'!$DN$20))),N('Month-End'!$DN$20),IF(OR($E121="open",$E120="pre"),N(Settings!$C$32),N($AR120))))</f>
        <v/>
      </c>
      <c r="AS121">
        <f>IF(OR(Settings!$A$36="",$E121="pre"),"",IF(AND('Month-End'!$DN$38&lt;&gt;"",NOT(_xlfn.ISFORMULA('Month-End'!$DN$38))),N('Month-End'!$DN$38),IF(OR($E121="open",$E120="pre"),N(Settings!$C$36),N($AS120))+$AY121))</f>
        <v/>
      </c>
      <c r="AT121">
        <f>IF(OR(Settings!$A$37="",$E121="pre"),"",IF(AND('Month-End'!$DN$39&lt;&gt;"",NOT(_xlfn.ISFORMULA('Month-End'!$DN$39))),N('Month-End'!$DN$39),IF(OR($E121="open",$E120="pre"),N(Settings!$C$37),N($AT120))+$AZ121))</f>
        <v/>
      </c>
      <c r="AU121">
        <f>IF(OR(Settings!$A$38="",$E121="pre"),"",IF(AND('Month-End'!$DN$40&lt;&gt;"",NOT(_xlfn.ISFORMULA('Month-End'!$DN$40))),N('Month-End'!$DN$40),IF(OR($E121="open",$E120="pre"),N(Settings!$C$38),N($AU120))+$BA121))</f>
        <v/>
      </c>
      <c r="AV121">
        <f>IF(OR(Settings!$A$39="",$E121="pre"),"",IF(AND('Month-End'!$DN$41&lt;&gt;"",NOT(_xlfn.ISFORMULA('Month-End'!$DN$41))),N('Month-End'!$DN$41),IF(OR($E121="open",$E120="pre"),N(Settings!$C$39),N($AV120))+$BB121))</f>
        <v/>
      </c>
      <c r="AW121">
        <f>IF(OR(Settings!$A$40="",$E121="pre"),"",IF(AND('Month-End'!$DN$42&lt;&gt;"",NOT(_xlfn.ISFORMULA('Month-End'!$DN$42))),N('Month-End'!$DN$42),IF(OR($E121="open",$E120="pre"),N(Settings!$C$40),N($AW120))+$BC121))</f>
        <v/>
      </c>
      <c r="AX121">
        <f>IF(OR(Settings!$A$41="",$E121="pre"),"",IF(AND('Month-End'!$DN$43&lt;&gt;"",NOT(_xlfn.ISFORMULA('Month-End'!$DN$43))),N('Month-End'!$DN$43),IF(OR($E121="open",$E120="pre"),N(Settings!$C$41),N($AX120))+$BD121))</f>
        <v/>
      </c>
      <c r="AY121">
        <f>IF($E121="pre",0,N('Month-End'!$DN$45))</f>
        <v/>
      </c>
      <c r="AZ121">
        <f>IF($E121="pre",0,N('Month-End'!$DN$46))</f>
        <v/>
      </c>
      <c r="BA121">
        <f>IF($E121="pre",0,N('Month-End'!$DN$47))</f>
        <v/>
      </c>
      <c r="BB121">
        <f>IF($E121="pre",0,N('Month-End'!$DN$48))</f>
        <v/>
      </c>
      <c r="BC121">
        <f>IF($E121="pre",0,N('Month-End'!$DN$49))</f>
        <v/>
      </c>
      <c r="BD121">
        <f>IF($E121="pre",0,N('Month-End'!$DN$50))</f>
        <v/>
      </c>
      <c r="BE121">
        <f>IF(OR(Settings!$C$45="",Settings!$D$45=""),0,Settings!$C$45*IF(Settings!$D$45="Weekly",IF(IFERROR(MATCH(Settings!$E$45,$EO$4:$EO$10,0),0)=0,0,IF(MIN($C121,IF(Settings!$G$45="",$C121,Settings!$G$45))&lt;MAX($A121,Settings!$F$45),0,INT((MIN($C121,IF(Settings!$G$45="",$C121,Settings!$G$45))-MAX($A121,Settings!$F$45)-MOD(IFERROR(MATCH(Settings!$E$45,$EO$4:$EO$10,0),0)-WEEKDAY(MAX($A121,Settings!$F$45)),7))/7)+1)),IF(AND(IF(Settings!$E$45="",$B121,DATE(YEAR($A121),MONTH($A121),MIN(Settings!$E$45,DAY($B121))))&gt;=MAX($A121,Settings!$F$45),IF(Settings!$E$45="",$B121,DATE(YEAR($A121),MONTH($A121),MIN(Settings!$E$45,DAY($B121))))&lt;=MIN($C121,IF(Settings!$G$45="",$C121,Settings!$G$45))),1,0)))</f>
        <v/>
      </c>
      <c r="BF121">
        <f>IF(OR(Settings!$C$46="",Settings!$D$46=""),0,Settings!$C$46*IF(Settings!$D$46="Weekly",IF(IFERROR(MATCH(Settings!$E$46,$EO$4:$EO$10,0),0)=0,0,IF(MIN($C121,IF(Settings!$G$46="",$C121,Settings!$G$46))&lt;MAX($A121,Settings!$F$46),0,INT((MIN($C121,IF(Settings!$G$46="",$C121,Settings!$G$46))-MAX($A121,Settings!$F$46)-MOD(IFERROR(MATCH(Settings!$E$46,$EO$4:$EO$10,0),0)-WEEKDAY(MAX($A121,Settings!$F$46)),7))/7)+1)),IF(AND(IF(Settings!$E$46="",$B121,DATE(YEAR($A121),MONTH($A121),MIN(Settings!$E$46,DAY($B121))))&gt;=MAX($A121,Settings!$F$46),IF(Settings!$E$46="",$B121,DATE(YEAR($A121),MONTH($A121),MIN(Settings!$E$46,DAY($B121))))&lt;=MIN($C121,IF(Settings!$G$46="",$C121,Settings!$G$46))),1,0)))</f>
        <v/>
      </c>
      <c r="BG121">
        <f>IF(OR(Settings!$C$47="",Settings!$D$47=""),0,Settings!$C$47*IF(Settings!$D$47="Weekly",IF(IFERROR(MATCH(Settings!$E$47,$EO$4:$EO$10,0),0)=0,0,IF(MIN($C121,IF(Settings!$G$47="",$C121,Settings!$G$47))&lt;MAX($A121,Settings!$F$47),0,INT((MIN($C121,IF(Settings!$G$47="",$C121,Settings!$G$47))-MAX($A121,Settings!$F$47)-MOD(IFERROR(MATCH(Settings!$E$47,$EO$4:$EO$10,0),0)-WEEKDAY(MAX($A121,Settings!$F$47)),7))/7)+1)),IF(AND(IF(Settings!$E$47="",$B121,DATE(YEAR($A121),MONTH($A121),MIN(Settings!$E$47,DAY($B121))))&gt;=MAX($A121,Settings!$F$47),IF(Settings!$E$47="",$B121,DATE(YEAR($A121),MONTH($A121),MIN(Settings!$E$47,DAY($B121))))&lt;=MIN($C121,IF(Settings!$G$47="",$C121,Settings!$G$47))),1,0)))</f>
        <v/>
      </c>
      <c r="BH121">
        <f>IF(OR(Settings!$C$48="",Settings!$D$48=""),0,Settings!$C$48*IF(Settings!$D$48="Weekly",IF(IFERROR(MATCH(Settings!$E$48,$EO$4:$EO$10,0),0)=0,0,IF(MIN($C121,IF(Settings!$G$48="",$C121,Settings!$G$48))&lt;MAX($A121,Settings!$F$48),0,INT((MIN($C121,IF(Settings!$G$48="",$C121,Settings!$G$48))-MAX($A121,Settings!$F$48)-MOD(IFERROR(MATCH(Settings!$E$48,$EO$4:$EO$10,0),0)-WEEKDAY(MAX($A121,Settings!$F$48)),7))/7)+1)),IF(AND(IF(Settings!$E$48="",$B121,DATE(YEAR($A121),MONTH($A121),MIN(Settings!$E$48,DAY($B121))))&gt;=MAX($A121,Settings!$F$48),IF(Settings!$E$48="",$B121,DATE(YEAR($A121),MONTH($A121),MIN(Settings!$E$48,DAY($B121))))&lt;=MIN($C121,IF(Settings!$G$48="",$C121,Settings!$G$48))),1,0)))</f>
        <v/>
      </c>
      <c r="BI121">
        <f>IF(OR(Settings!$C$49="",Settings!$D$49=""),0,Settings!$C$49*IF(Settings!$D$49="Weekly",IF(IFERROR(MATCH(Settings!$E$49,$EO$4:$EO$10,0),0)=0,0,IF(MIN($C121,IF(Settings!$G$49="",$C121,Settings!$G$49))&lt;MAX($A121,Settings!$F$49),0,INT((MIN($C121,IF(Settings!$G$49="",$C121,Settings!$G$49))-MAX($A121,Settings!$F$49)-MOD(IFERROR(MATCH(Settings!$E$49,$EO$4:$EO$10,0),0)-WEEKDAY(MAX($A121,Settings!$F$49)),7))/7)+1)),IF(AND(IF(Settings!$E$49="",$B121,DATE(YEAR($A121),MONTH($A121),MIN(Settings!$E$49,DAY($B121))))&gt;=MAX($A121,Settings!$F$49),IF(Settings!$E$49="",$B121,DATE(YEAR($A121),MONTH($A121),MIN(Settings!$E$49,DAY($B121))))&lt;=MIN($C121,IF(Settings!$G$49="",$C121,Settings!$G$49))),1,0)))</f>
        <v/>
      </c>
      <c r="BJ121">
        <f>IF(OR(Settings!$C$50="",Settings!$D$50=""),0,Settings!$C$50*IF(Settings!$D$50="Weekly",IF(IFERROR(MATCH(Settings!$E$50,$EO$4:$EO$10,0),0)=0,0,IF(MIN($C121,IF(Settings!$G$50="",$C121,Settings!$G$50))&lt;MAX($A121,Settings!$F$50),0,INT((MIN($C121,IF(Settings!$G$50="",$C121,Settings!$G$50))-MAX($A121,Settings!$F$50)-MOD(IFERROR(MATCH(Settings!$E$50,$EO$4:$EO$10,0),0)-WEEKDAY(MAX($A121,Settings!$F$50)),7))/7)+1)),IF(AND(IF(Settings!$E$50="",$B121,DATE(YEAR($A121),MONTH($A121),MIN(Settings!$E$50,DAY($B121))))&gt;=MAX($A121,Settings!$F$50),IF(Settings!$E$50="",$B121,DATE(YEAR($A121),MONTH($A121),MIN(Settings!$E$50,DAY($B121))))&lt;=MIN($C121,IF(Settings!$G$50="",$C121,Settings!$G$50))),1,0)))</f>
        <v/>
      </c>
      <c r="BK121">
        <f>IF(OR(Settings!$C$51="",Settings!$D$51=""),0,Settings!$C$51*IF(Settings!$D$51="Weekly",IF(IFERROR(MATCH(Settings!$E$51,$EO$4:$EO$10,0),0)=0,0,IF(MIN($C121,IF(Settings!$G$51="",$C121,Settings!$G$51))&lt;MAX($A121,Settings!$F$51),0,INT((MIN($C121,IF(Settings!$G$51="",$C121,Settings!$G$51))-MAX($A121,Settings!$F$51)-MOD(IFERROR(MATCH(Settings!$E$51,$EO$4:$EO$10,0),0)-WEEKDAY(MAX($A121,Settings!$F$51)),7))/7)+1)),IF(AND(IF(Settings!$E$51="",$B121,DATE(YEAR($A121),MONTH($A121),MIN(Settings!$E$51,DAY($B121))))&gt;=MAX($A121,Settings!$F$51),IF(Settings!$E$51="",$B121,DATE(YEAR($A121),MONTH($A121),MIN(Settings!$E$51,DAY($B121))))&lt;=MIN($C121,IF(Settings!$G$51="",$C121,Settings!$G$51))),1,0)))</f>
        <v/>
      </c>
      <c r="BL121">
        <f>IF(OR(Settings!$C$52="",Settings!$D$52=""),0,Settings!$C$52*IF(Settings!$D$52="Weekly",IF(IFERROR(MATCH(Settings!$E$52,$EO$4:$EO$10,0),0)=0,0,IF(MIN($C121,IF(Settings!$G$52="",$C121,Settings!$G$52))&lt;MAX($A121,Settings!$F$52),0,INT((MIN($C121,IF(Settings!$G$52="",$C121,Settings!$G$52))-MAX($A121,Settings!$F$52)-MOD(IFERROR(MATCH(Settings!$E$52,$EO$4:$EO$10,0),0)-WEEKDAY(MAX($A121,Settings!$F$52)),7))/7)+1)),IF(AND(IF(Settings!$E$52="",$B121,DATE(YEAR($A121),MONTH($A121),MIN(Settings!$E$52,DAY($B121))))&gt;=MAX($A121,Settings!$F$52),IF(Settings!$E$52="",$B121,DATE(YEAR($A121),MONTH($A121),MIN(Settings!$E$52,DAY($B121))))&lt;=MIN($C121,IF(Settings!$G$52="",$C121,Settings!$G$52))),1,0)))</f>
        <v/>
      </c>
      <c r="BM121">
        <f>IF(OR(Settings!$C$53="",Settings!$D$53=""),0,Settings!$C$53*IF(Settings!$D$53="Weekly",IF(IFERROR(MATCH(Settings!$E$53,$EO$4:$EO$10,0),0)=0,0,IF(MIN($C121,IF(Settings!$G$53="",$C121,Settings!$G$53))&lt;MAX($A121,Settings!$F$53),0,INT((MIN($C121,IF(Settings!$G$53="",$C121,Settings!$G$53))-MAX($A121,Settings!$F$53)-MOD(IFERROR(MATCH(Settings!$E$53,$EO$4:$EO$10,0),0)-WEEKDAY(MAX($A121,Settings!$F$53)),7))/7)+1)),IF(AND(IF(Settings!$E$53="",$B121,DATE(YEAR($A121),MONTH($A121),MIN(Settings!$E$53,DAY($B121))))&gt;=MAX($A121,Settings!$F$53),IF(Settings!$E$53="",$B121,DATE(YEAR($A121),MONTH($A121),MIN(Settings!$E$53,DAY($B121))))&lt;=MIN($C121,IF(Settings!$G$53="",$C121,Settings!$G$53))),1,0)))</f>
        <v/>
      </c>
      <c r="BN121">
        <f>IF(OR(Settings!$C$54="",Settings!$D$54=""),0,Settings!$C$54*IF(Settings!$D$54="Weekly",IF(IFERROR(MATCH(Settings!$E$54,$EO$4:$EO$10,0),0)=0,0,IF(MIN($C121,IF(Settings!$G$54="",$C121,Settings!$G$54))&lt;MAX($A121,Settings!$F$54),0,INT((MIN($C121,IF(Settings!$G$54="",$C121,Settings!$G$54))-MAX($A121,Settings!$F$54)-MOD(IFERROR(MATCH(Settings!$E$54,$EO$4:$EO$10,0),0)-WEEKDAY(MAX($A121,Settings!$F$54)),7))/7)+1)),IF(AND(IF(Settings!$E$54="",$B121,DATE(YEAR($A121),MONTH($A121),MIN(Settings!$E$54,DAY($B121))))&gt;=MAX($A121,Settings!$F$54),IF(Settings!$E$54="",$B121,DATE(YEAR($A121),MONTH($A121),MIN(Settings!$E$54,DAY($B121))))&lt;=MIN($C121,IF(Settings!$G$54="",$C121,Settings!$G$54))),1,0)))</f>
        <v/>
      </c>
      <c r="BO121">
        <f>IF(OR(Settings!$C$55="",Settings!$D$55=""),0,Settings!$C$55*IF(Settings!$D$55="Weekly",IF(IFERROR(MATCH(Settings!$E$55,$EO$4:$EO$10,0),0)=0,0,IF(MIN($C121,IF(Settings!$G$55="",$C121,Settings!$G$55))&lt;MAX($A121,Settings!$F$55),0,INT((MIN($C121,IF(Settings!$G$55="",$C121,Settings!$G$55))-MAX($A121,Settings!$F$55)-MOD(IFERROR(MATCH(Settings!$E$55,$EO$4:$EO$10,0),0)-WEEKDAY(MAX($A121,Settings!$F$55)),7))/7)+1)),IF(AND(IF(Settings!$E$55="",$B121,DATE(YEAR($A121),MONTH($A121),MIN(Settings!$E$55,DAY($B121))))&gt;=MAX($A121,Settings!$F$55),IF(Settings!$E$55="",$B121,DATE(YEAR($A121),MONTH($A121),MIN(Settings!$E$55,DAY($B121))))&lt;=MIN($C121,IF(Settings!$G$55="",$C121,Settings!$G$55))),1,0)))</f>
        <v/>
      </c>
      <c r="BP121">
        <f>IF(OR(Settings!$C$56="",Settings!$D$56=""),0,Settings!$C$56*IF(Settings!$D$56="Weekly",IF(IFERROR(MATCH(Settings!$E$56,$EO$4:$EO$10,0),0)=0,0,IF(MIN($C121,IF(Settings!$G$56="",$C121,Settings!$G$56))&lt;MAX($A121,Settings!$F$56),0,INT((MIN($C121,IF(Settings!$G$56="",$C121,Settings!$G$56))-MAX($A121,Settings!$F$56)-MOD(IFERROR(MATCH(Settings!$E$56,$EO$4:$EO$10,0),0)-WEEKDAY(MAX($A121,Settings!$F$56)),7))/7)+1)),IF(AND(IF(Settings!$E$56="",$B121,DATE(YEAR($A121),MONTH($A121),MIN(Settings!$E$56,DAY($B121))))&gt;=MAX($A121,Settings!$F$56),IF(Settings!$E$56="",$B121,DATE(YEAR($A121),MONTH($A121),MIN(Settings!$E$56,DAY($B121))))&lt;=MIN($C121,IF(Settings!$G$56="",$C121,Settings!$G$56))),1,0)))</f>
        <v/>
      </c>
      <c r="BQ121">
        <f>IF(OR(Settings!$B$14="",$D121=1,$E121="pre",$A121&lt;IF(Settings!$B$15="",0,Settings!$B$15)),0,Settings!$B$14)</f>
        <v/>
      </c>
      <c r="BR121">
        <f>IF(AND('Month-End'!$DN$7&lt;&gt;"",NOT(_xlfn.ISFORMULA('Month-End'!$DN$7))),1,0)</f>
        <v/>
      </c>
      <c r="BS121">
        <f>IF(AND('Month-End'!$DN$8&lt;&gt;"",NOT(_xlfn.ISFORMULA('Month-End'!$DN$8))),1,0)</f>
        <v/>
      </c>
      <c r="BT121">
        <f>IF(AND('Month-End'!$DN$9&lt;&gt;"",NOT(_xlfn.ISFORMULA('Month-End'!$DN$9))),1,0)</f>
        <v/>
      </c>
      <c r="BU121">
        <f>IF(AND('Month-End'!$DN$10&lt;&gt;"",NOT(_xlfn.ISFORMULA('Month-End'!$DN$10))),1,0)</f>
        <v/>
      </c>
      <c r="BV121">
        <f>IF(AND('Month-End'!$DN$11&lt;&gt;"",NOT(_xlfn.ISFORMULA('Month-End'!$DN$11))),1,0)</f>
        <v/>
      </c>
      <c r="BW121">
        <f>IF(AND('Month-End'!$DN$12&lt;&gt;"",NOT(_xlfn.ISFORMULA('Month-End'!$DN$12))),1,0)</f>
        <v/>
      </c>
      <c r="BX121">
        <f>IF(AND('Month-End'!$DN$13&lt;&gt;"",NOT(_xlfn.ISFORMULA('Month-End'!$DN$13))),1,0)</f>
        <v/>
      </c>
      <c r="BY121">
        <f>IF(AND('Month-End'!$DN$14&lt;&gt;"",NOT(_xlfn.ISFORMULA('Month-End'!$DN$14))),1,0)</f>
        <v/>
      </c>
      <c r="BZ121">
        <f>IF(AND('Month-End'!$DN$15&lt;&gt;"",NOT(_xlfn.ISFORMULA('Month-End'!$DN$15))),1,0)</f>
        <v/>
      </c>
      <c r="CA121">
        <f>IF(AND('Month-End'!$DN$16&lt;&gt;"",NOT(_xlfn.ISFORMULA('Month-End'!$DN$16))),1,0)</f>
        <v/>
      </c>
      <c r="CB121">
        <f>IF(AND('Month-End'!$DN$17&lt;&gt;"",NOT(_xlfn.ISFORMULA('Month-End'!$DN$17))),1,0)</f>
        <v/>
      </c>
      <c r="CC121">
        <f>IF(AND('Month-End'!$DN$18&lt;&gt;"",NOT(_xlfn.ISFORMULA('Month-End'!$DN$18))),1,0)</f>
        <v/>
      </c>
      <c r="CD121">
        <f>IF(AND('Month-End'!$DN$19&lt;&gt;"",NOT(_xlfn.ISFORMULA('Month-End'!$DN$19))),1,0)</f>
        <v/>
      </c>
      <c r="CE121">
        <f>IF(AND('Month-End'!$DN$20&lt;&gt;"",NOT(_xlfn.ISFORMULA('Month-End'!$DN$20))),1,0)</f>
        <v/>
      </c>
      <c r="CF121">
        <f>IF(AND('Month-End'!$DN$38&lt;&gt;"",NOT(_xlfn.ISFORMULA('Month-End'!$DN$38))),1,0)</f>
        <v/>
      </c>
      <c r="CG121">
        <f>IF(AND('Month-End'!$DN$39&lt;&gt;"",NOT(_xlfn.ISFORMULA('Month-End'!$DN$39))),1,0)</f>
        <v/>
      </c>
      <c r="CH121">
        <f>IF(AND('Month-End'!$DN$40&lt;&gt;"",NOT(_xlfn.ISFORMULA('Month-End'!$DN$40))),1,0)</f>
        <v/>
      </c>
      <c r="CI121">
        <f>IF(AND('Month-End'!$DN$41&lt;&gt;"",NOT(_xlfn.ISFORMULA('Month-End'!$DN$41))),1,0)</f>
        <v/>
      </c>
      <c r="CJ121">
        <f>IF(AND('Month-End'!$DN$42&lt;&gt;"",NOT(_xlfn.ISFORMULA('Month-End'!$DN$42))),1,0)</f>
        <v/>
      </c>
      <c r="CK121">
        <f>IF(AND('Month-End'!$DN$43&lt;&gt;"",NOT(_xlfn.ISFORMULA('Month-End'!$DN$43))),1,0)</f>
        <v/>
      </c>
      <c r="CL121">
        <f>SUM($CM121:$CZ121)</f>
        <v/>
      </c>
      <c r="CM121">
        <f>IF(AND($E121&lt;&gt;"pre",AND(Settings!$A$19&lt;&gt;"",Settings!$E$19&lt;&gt;"No"),Settings!$F$19="Yes",NOT(AND('Month-End'!$DN$7&lt;&gt;"",NOT(_xlfn.ISFORMULA('Month-End'!$DN$7))))),1,0)</f>
        <v/>
      </c>
      <c r="CN121">
        <f>IF(AND($E121&lt;&gt;"pre",AND(Settings!$A$20&lt;&gt;"",Settings!$E$20&lt;&gt;"No"),Settings!$F$20="Yes",NOT(AND('Month-End'!$DN$8&lt;&gt;"",NOT(_xlfn.ISFORMULA('Month-End'!$DN$8))))),1,0)</f>
        <v/>
      </c>
      <c r="CO121">
        <f>IF(AND($E121&lt;&gt;"pre",AND(Settings!$A$21&lt;&gt;"",Settings!$E$21&lt;&gt;"No"),Settings!$F$21="Yes",NOT(AND('Month-End'!$DN$9&lt;&gt;"",NOT(_xlfn.ISFORMULA('Month-End'!$DN$9))))),1,0)</f>
        <v/>
      </c>
      <c r="CP121">
        <f>IF(AND($E121&lt;&gt;"pre",AND(Settings!$A$22&lt;&gt;"",Settings!$E$22&lt;&gt;"No"),Settings!$F$22="Yes",NOT(AND('Month-End'!$DN$10&lt;&gt;"",NOT(_xlfn.ISFORMULA('Month-End'!$DN$10))))),1,0)</f>
        <v/>
      </c>
      <c r="CQ121">
        <f>IF(AND($E121&lt;&gt;"pre",AND(Settings!$A$23&lt;&gt;"",Settings!$E$23&lt;&gt;"No"),Settings!$F$23="Yes",NOT(AND('Month-End'!$DN$11&lt;&gt;"",NOT(_xlfn.ISFORMULA('Month-End'!$DN$11))))),1,0)</f>
        <v/>
      </c>
      <c r="CR121">
        <f>IF(AND($E121&lt;&gt;"pre",AND(Settings!$A$24&lt;&gt;"",Settings!$E$24&lt;&gt;"No"),Settings!$F$24="Yes",NOT(AND('Month-End'!$DN$12&lt;&gt;"",NOT(_xlfn.ISFORMULA('Month-End'!$DN$12))))),1,0)</f>
        <v/>
      </c>
      <c r="CS121">
        <f>IF(AND($E121&lt;&gt;"pre",AND(Settings!$A$25&lt;&gt;"",Settings!$E$25&lt;&gt;"No"),Settings!$F$25="Yes",NOT(AND('Month-End'!$DN$13&lt;&gt;"",NOT(_xlfn.ISFORMULA('Month-End'!$DN$13))))),1,0)</f>
        <v/>
      </c>
      <c r="CT121">
        <f>IF(AND($E121&lt;&gt;"pre",AND(Settings!$A$26&lt;&gt;"",Settings!$E$26&lt;&gt;"No"),Settings!$F$26="Yes",NOT(AND('Month-End'!$DN$14&lt;&gt;"",NOT(_xlfn.ISFORMULA('Month-End'!$DN$14))))),1,0)</f>
        <v/>
      </c>
      <c r="CU121">
        <f>IF(AND($E121&lt;&gt;"pre",AND(Settings!$A$27&lt;&gt;"",Settings!$E$27&lt;&gt;"No"),Settings!$F$27="Yes",NOT(AND('Month-End'!$DN$15&lt;&gt;"",NOT(_xlfn.ISFORMULA('Month-End'!$DN$15))))),1,0)</f>
        <v/>
      </c>
      <c r="CV121">
        <f>IF(AND($E121&lt;&gt;"pre",AND(Settings!$A$28&lt;&gt;"",Settings!$E$28&lt;&gt;"No"),Settings!$F$28="Yes",NOT(AND('Month-End'!$DN$16&lt;&gt;"",NOT(_xlfn.ISFORMULA('Month-End'!$DN$16))))),1,0)</f>
        <v/>
      </c>
      <c r="CW121">
        <f>IF(AND($E121&lt;&gt;"pre",AND(Settings!$A$29&lt;&gt;"",Settings!$E$29&lt;&gt;"No"),Settings!$F$29="Yes",NOT(AND('Month-End'!$DN$17&lt;&gt;"",NOT(_xlfn.ISFORMULA('Month-End'!$DN$17))))),1,0)</f>
        <v/>
      </c>
      <c r="CX121">
        <f>IF(AND($E121&lt;&gt;"pre",AND(Settings!$A$30&lt;&gt;"",Settings!$E$30&lt;&gt;"No"),Settings!$F$30="Yes",NOT(AND('Month-End'!$DN$18&lt;&gt;"",NOT(_xlfn.ISFORMULA('Month-End'!$DN$18))))),1,0)</f>
        <v/>
      </c>
      <c r="CY121">
        <f>IF(AND($E121&lt;&gt;"pre",AND(Settings!$A$31&lt;&gt;"",Settings!$E$31&lt;&gt;"No"),Settings!$F$31="Yes",NOT(AND('Month-End'!$DN$19&lt;&gt;"",NOT(_xlfn.ISFORMULA('Month-End'!$DN$19))))),1,0)</f>
        <v/>
      </c>
      <c r="CZ121">
        <f>IF(AND($E121&lt;&gt;"pre",AND(Settings!$A$32&lt;&gt;"",Settings!$E$32&lt;&gt;"No"),Settings!$F$32="Yes",NOT(AND('Month-End'!$DN$20&lt;&gt;"",NOT(_xlfn.ISFORMULA('Month-End'!$DN$20))))),1,0)</f>
        <v/>
      </c>
      <c r="DA121">
        <f>IF($DT121=1,IF(OR(Settings!$B$19="Checking",Settings!$B$19="Savings",Settings!$B$19="Cash"),N($AE121),IF(OR(Settings!$B$19="Card",Settings!$B$19="Loan"),-N($AE121),0))+IF(OR(Settings!$B$20="Checking",Settings!$B$20="Savings",Settings!$B$20="Cash"),N($AF121),IF(OR(Settings!$B$20="Card",Settings!$B$20="Loan"),-N($AF121),0))+IF(OR(Settings!$B$21="Checking",Settings!$B$21="Savings",Settings!$B$21="Cash"),N($AG121),IF(OR(Settings!$B$21="Card",Settings!$B$21="Loan"),-N($AG121),0))+IF(OR(Settings!$B$22="Checking",Settings!$B$22="Savings",Settings!$B$22="Cash"),N($AH121),IF(OR(Settings!$B$22="Card",Settings!$B$22="Loan"),-N($AH121),0))+IF(OR(Settings!$B$23="Checking",Settings!$B$23="Savings",Settings!$B$23="Cash"),N($AI121),IF(OR(Settings!$B$23="Card",Settings!$B$23="Loan"),-N($AI121),0))+IF(OR(Settings!$B$24="Checking",Settings!$B$24="Savings",Settings!$B$24="Cash"),N($AJ121),IF(OR(Settings!$B$24="Card",Settings!$B$24="Loan"),-N($AJ121),0))+IF(OR(Settings!$B$25="Checking",Settings!$B$25="Savings",Settings!$B$25="Cash"),N($AK121),IF(OR(Settings!$B$25="Card",Settings!$B$25="Loan"),-N($AK121),0))+IF(OR(Settings!$B$26="Checking",Settings!$B$26="Savings",Settings!$B$26="Cash"),N($AL121),IF(OR(Settings!$B$26="Card",Settings!$B$26="Loan"),-N($AL121),0))+IF(OR(Settings!$B$27="Checking",Settings!$B$27="Savings",Settings!$B$27="Cash"),N($AM121),IF(OR(Settings!$B$27="Card",Settings!$B$27="Loan"),-N($AM121),0))+IF(OR(Settings!$B$28="Checking",Settings!$B$28="Savings",Settings!$B$28="Cash"),N($AN121),IF(OR(Settings!$B$28="Card",Settings!$B$28="Loan"),-N($AN121),0))+IF(OR(Settings!$B$29="Checking",Settings!$B$29="Savings",Settings!$B$29="Cash"),N($AO121),IF(OR(Settings!$B$29="Card",Settings!$B$29="Loan"),-N($AO121),0))+IF(OR(Settings!$B$30="Checking",Settings!$B$30="Savings",Settings!$B$30="Cash"),N($AP121),IF(OR(Settings!$B$30="Card",Settings!$B$30="Loan"),-N($AP121),0))+IF(OR(Settings!$B$31="Checking",Settings!$B$31="Savings",Settings!$B$31="Cash"),N($AQ121),IF(OR(Settings!$B$31="Card",Settings!$B$31="Loan"),-N($AQ121),0))+IF(OR(Settings!$B$32="Checking",Settings!$B$32="Savings",Settings!$B$32="Cash"),N($AR121),IF(OR(Settings!$B$32="Card",Settings!$B$32="Loan"),-N($AR121),0)),"")</f>
        <v/>
      </c>
      <c r="DB121">
        <f>IF($E121="open",$EB$27,IF($E121="post",IF($E120="pre",$EB$27,$DA120),""))</f>
        <v/>
      </c>
      <c r="DC121">
        <f>IF($E121="open",1,IF($E121="post",IF($E120="pre",1,$DT120),0))</f>
        <v/>
      </c>
      <c r="DD121">
        <f>IF(AND($DT121=1,$DC121=1),ROUND($W121-($DA121-$DB121)-$AD121-$AB121,2),"")</f>
        <v/>
      </c>
      <c r="DE121">
        <f>IF('Month-End'!$DN$35="",$BQ121,N('Month-End'!$DN$35))</f>
        <v/>
      </c>
      <c r="DF121">
        <f>N('Month-End'!$DN$36)</f>
        <v/>
      </c>
      <c r="DG121">
        <f>IF($DD121="","",$DD121+$DE121)</f>
        <v/>
      </c>
      <c r="DH121">
        <f>IF($DG121="","",$DG121-$DF121)</f>
        <v/>
      </c>
      <c r="DI121">
        <f>IF(OR($E121="pre",$D121=1),"",N($AS121)+N($AT121)+N($AU121)+N($AV121)+N($AW121)+N($AX121))</f>
        <v/>
      </c>
      <c r="DJ121">
        <f>IF($DT121=1,$DA121+N($DI121),"")</f>
        <v/>
      </c>
      <c r="DK121">
        <f>IF($DD121="","",$W121-$DD121-$AB121)</f>
        <v/>
      </c>
      <c r="DL121">
        <f>IF(AND($E121="post",$DD121&lt;&gt;"",$B121&lt;TODAY()),1,0)</f>
        <v/>
      </c>
      <c r="DM121">
        <f>IF($DL121=1,COUNTIF($DL121:$DL$183,1),0)</f>
        <v/>
      </c>
      <c r="DN121">
        <f>IF($D121=1,"",IF($E121="pre","History only",IF($DT121=1,IF($DD121="","⚠ Previous month missing",IF($DD121&lt;0,"⚠ Check: spending &lt; 0",IF($E121="open","✓ Done (partial)","✓ Done"))),IF($B121&gt;=TODAY(),"In progress","⚠ Needs balances"))))</f>
        <v/>
      </c>
      <c r="DO121">
        <f>YEAR($A121)</f>
        <v/>
      </c>
      <c r="DP121">
        <f>DATE(YEAR($A121),INT((MONTH($A121)-1)/3)*3+1,1)</f>
        <v/>
      </c>
      <c r="DQ121">
        <f>IF(AND($DT121=1,$DD121&lt;&gt;"",$D121=0),ROW(),0)</f>
        <v/>
      </c>
      <c r="DR121">
        <f>IF(AND($E121&lt;&gt;"pre",$B121&lt;TODAY(),$DT121=0),1,0)</f>
        <v/>
      </c>
      <c r="DS121">
        <f>IF($DJ121="",NA(),$DJ121)</f>
        <v/>
      </c>
      <c r="DT121">
        <f>IF(AND($E121&lt;&gt;"pre",$CL121=0,COUNTIFS(Settings!$F$19:$F$32,"Yes",Settings!$A$19:$A$32,"&lt;&gt;",Settings!$E$19:$E$32,"&lt;&gt;No")&gt;0),1,0)</f>
        <v/>
      </c>
      <c r="DU121">
        <f>IF(AND($B121&lt;TODAY(),$S121&gt;0),1,0)</f>
        <v/>
      </c>
      <c r="DV121">
        <f>IF($DU121=1,COUNTIF($DU121:$DU$183,1),0)</f>
        <v/>
      </c>
      <c r="DW121">
        <f>IF(AND(OR(Settings!$B$19="Card",Settings!$B$19="Loan"),AND('Month-End'!$DN$7&lt;&gt;"",NOT(_xlfn.ISFORMULA('Month-End'!$DN$7)))),IF(N('Month-End'!$DN$7)&lt;0,1,0),0)+IF(AND(OR(Settings!$B$20="Card",Settings!$B$20="Loan"),AND('Month-End'!$DN$8&lt;&gt;"",NOT(_xlfn.ISFORMULA('Month-End'!$DN$8)))),IF(N('Month-End'!$DN$8)&lt;0,1,0),0)+IF(AND(OR(Settings!$B$21="Card",Settings!$B$21="Loan"),AND('Month-End'!$DN$9&lt;&gt;"",NOT(_xlfn.ISFORMULA('Month-End'!$DN$9)))),IF(N('Month-End'!$DN$9)&lt;0,1,0),0)+IF(AND(OR(Settings!$B$22="Card",Settings!$B$22="Loan"),AND('Month-End'!$DN$10&lt;&gt;"",NOT(_xlfn.ISFORMULA('Month-End'!$DN$10)))),IF(N('Month-End'!$DN$10)&lt;0,1,0),0)+IF(AND(OR(Settings!$B$23="Card",Settings!$B$23="Loan"),AND('Month-End'!$DN$11&lt;&gt;"",NOT(_xlfn.ISFORMULA('Month-End'!$DN$11)))),IF(N('Month-End'!$DN$11)&lt;0,1,0),0)+IF(AND(OR(Settings!$B$24="Card",Settings!$B$24="Loan"),AND('Month-End'!$DN$12&lt;&gt;"",NOT(_xlfn.ISFORMULA('Month-End'!$DN$12)))),IF(N('Month-End'!$DN$12)&lt;0,1,0),0)+IF(AND(OR(Settings!$B$25="Card",Settings!$B$25="Loan"),AND('Month-End'!$DN$13&lt;&gt;"",NOT(_xlfn.ISFORMULA('Month-End'!$DN$13)))),IF(N('Month-End'!$DN$13)&lt;0,1,0),0)+IF(AND(OR(Settings!$B$26="Card",Settings!$B$26="Loan"),AND('Month-End'!$DN$14&lt;&gt;"",NOT(_xlfn.ISFORMULA('Month-End'!$DN$14)))),IF(N('Month-End'!$DN$14)&lt;0,1,0),0)+IF(AND(OR(Settings!$B$27="Card",Settings!$B$27="Loan"),AND('Month-End'!$DN$15&lt;&gt;"",NOT(_xlfn.ISFORMULA('Month-End'!$DN$15)))),IF(N('Month-End'!$DN$15)&lt;0,1,0),0)+IF(AND(OR(Settings!$B$28="Card",Settings!$B$28="Loan"),AND('Month-End'!$DN$16&lt;&gt;"",NOT(_xlfn.ISFORMULA('Month-End'!$DN$16)))),IF(N('Month-End'!$DN$16)&lt;0,1,0),0)+IF(AND(OR(Settings!$B$29="Card",Settings!$B$29="Loan"),AND('Month-End'!$DN$17&lt;&gt;"",NOT(_xlfn.ISFORMULA('Month-End'!$DN$17)))),IF(N('Month-End'!$DN$17)&lt;0,1,0),0)+IF(AND(OR(Settings!$B$30="Card",Settings!$B$30="Loan"),AND('Month-End'!$DN$18&lt;&gt;"",NOT(_xlfn.ISFORMULA('Month-End'!$DN$18)))),IF(N('Month-End'!$DN$18)&lt;0,1,0),0)+IF(AND(OR(Settings!$B$31="Card",Settings!$B$31="Loan"),AND('Month-End'!$DN$19&lt;&gt;"",NOT(_xlfn.ISFORMULA('Month-End'!$DN$19)))),IF(N('Month-End'!$DN$19)&lt;0,1,0),0)+IF(AND(OR(Settings!$B$32="Card",Settings!$B$32="Loan"),AND('Month-End'!$DN$20&lt;&gt;"",NOT(_xlfn.ISFORMULA('Month-End'!$DN$20)))),IF(N('Month-End'!$DN$20)&lt;0,1,0),0)</f>
        <v/>
      </c>
      <c r="DX121">
        <f>IF(Settings!$B$36="Retirement",$AY121,0)+IF(Settings!$B$37="Retirement",$AZ121,0)+IF(Settings!$B$38="Retirement",$BA121,0)+IF(Settings!$B$39="Retirement",$BB121,0)+IF(Settings!$B$40="Retirement",$BC121,0)+IF(Settings!$B$41="Retirement",$BD121,0)</f>
        <v/>
      </c>
      <c r="EO121">
        <f>EDATE(DATE(YEAR(TODAY()),MONTH(TODAY()),1),-2)</f>
        <v/>
      </c>
      <c r="ER121">
        <f>IFERROR(IF(INDEX($DJ$6:$DJ$183,MATCH(EO121,$A$6:$A$183,0))="",NA(),INDEX($DJ$6:$DJ$183,MATCH(EO121,$A$6:$A$183,0))),NA())</f>
        <v/>
      </c>
      <c r="ES121">
        <f>TEXT(EO121,"mmm yy")</f>
        <v/>
      </c>
      <c r="ET121">
        <f>IF($E121&lt;&gt;"open",0,IF(AND('Month-End'!$DN$22&lt;&gt;"",NOT(_xlfn.ISFORMULA('Month-End'!$DN$22))),0,IF(OR(Settings!$C$45="",Settings!$D$45=""),0,Settings!$C$45*IF(Settings!$D$45="Weekly",IF(IFERROR(MATCH(Settings!$E$45,$EO$4:$EO$10,0),0)=0,0,IF(MIN(Settings!$B$5,IF(Settings!$G$45="",Settings!$B$5,Settings!$G$45))&lt;MAX($A121,Settings!$F$45),0,INT((MIN(Settings!$B$5,IF(Settings!$G$45="",Settings!$B$5,Settings!$G$45))-MAX($A121,Settings!$F$45)-MOD(IFERROR(MATCH(Settings!$E$45,$EO$4:$EO$10,0),0)-WEEKDAY(MAX($A121,Settings!$F$45)),7))/7)+1)),IF(AND(IF(Settings!$E$45="",$B121,DATE(YEAR($A121),MONTH($A121),MIN(Settings!$E$45,DAY($B121))))&gt;=MAX($A121,Settings!$F$45),IF(Settings!$E$45="",$B121,DATE(YEAR($A121),MONTH($A121),MIN(Settings!$E$45,DAY($B121))))&lt;=MIN(Settings!$B$5,IF(Settings!$G$45="",Settings!$B$5,Settings!$G$45))),1,0)))))</f>
        <v/>
      </c>
      <c r="EU121">
        <f>IF($E121&lt;&gt;"open",0,IF(AND('Month-End'!$DN$23&lt;&gt;"",NOT(_xlfn.ISFORMULA('Month-End'!$DN$23))),0,IF(OR(Settings!$C$46="",Settings!$D$46=""),0,Settings!$C$46*IF(Settings!$D$46="Weekly",IF(IFERROR(MATCH(Settings!$E$46,$EO$4:$EO$10,0),0)=0,0,IF(MIN(Settings!$B$5,IF(Settings!$G$46="",Settings!$B$5,Settings!$G$46))&lt;MAX($A121,Settings!$F$46),0,INT((MIN(Settings!$B$5,IF(Settings!$G$46="",Settings!$B$5,Settings!$G$46))-MAX($A121,Settings!$F$46)-MOD(IFERROR(MATCH(Settings!$E$46,$EO$4:$EO$10,0),0)-WEEKDAY(MAX($A121,Settings!$F$46)),7))/7)+1)),IF(AND(IF(Settings!$E$46="",$B121,DATE(YEAR($A121),MONTH($A121),MIN(Settings!$E$46,DAY($B121))))&gt;=MAX($A121,Settings!$F$46),IF(Settings!$E$46="",$B121,DATE(YEAR($A121),MONTH($A121),MIN(Settings!$E$46,DAY($B121))))&lt;=MIN(Settings!$B$5,IF(Settings!$G$46="",Settings!$B$5,Settings!$G$46))),1,0)))))</f>
        <v/>
      </c>
      <c r="EV121">
        <f>IF($E121&lt;&gt;"open",0,IF(AND('Month-End'!$DN$24&lt;&gt;"",NOT(_xlfn.ISFORMULA('Month-End'!$DN$24))),0,IF(OR(Settings!$C$47="",Settings!$D$47=""),0,Settings!$C$47*IF(Settings!$D$47="Weekly",IF(IFERROR(MATCH(Settings!$E$47,$EO$4:$EO$10,0),0)=0,0,IF(MIN(Settings!$B$5,IF(Settings!$G$47="",Settings!$B$5,Settings!$G$47))&lt;MAX($A121,Settings!$F$47),0,INT((MIN(Settings!$B$5,IF(Settings!$G$47="",Settings!$B$5,Settings!$G$47))-MAX($A121,Settings!$F$47)-MOD(IFERROR(MATCH(Settings!$E$47,$EO$4:$EO$10,0),0)-WEEKDAY(MAX($A121,Settings!$F$47)),7))/7)+1)),IF(AND(IF(Settings!$E$47="",$B121,DATE(YEAR($A121),MONTH($A121),MIN(Settings!$E$47,DAY($B121))))&gt;=MAX($A121,Settings!$F$47),IF(Settings!$E$47="",$B121,DATE(YEAR($A121),MONTH($A121),MIN(Settings!$E$47,DAY($B121))))&lt;=MIN(Settings!$B$5,IF(Settings!$G$47="",Settings!$B$5,Settings!$G$47))),1,0)))))</f>
        <v/>
      </c>
      <c r="EW121">
        <f>IF($E121&lt;&gt;"open",0,IF(AND('Month-End'!$DN$25&lt;&gt;"",NOT(_xlfn.ISFORMULA('Month-End'!$DN$25))),0,IF(OR(Settings!$C$48="",Settings!$D$48=""),0,Settings!$C$48*IF(Settings!$D$48="Weekly",IF(IFERROR(MATCH(Settings!$E$48,$EO$4:$EO$10,0),0)=0,0,IF(MIN(Settings!$B$5,IF(Settings!$G$48="",Settings!$B$5,Settings!$G$48))&lt;MAX($A121,Settings!$F$48),0,INT((MIN(Settings!$B$5,IF(Settings!$G$48="",Settings!$B$5,Settings!$G$48))-MAX($A121,Settings!$F$48)-MOD(IFERROR(MATCH(Settings!$E$48,$EO$4:$EO$10,0),0)-WEEKDAY(MAX($A121,Settings!$F$48)),7))/7)+1)),IF(AND(IF(Settings!$E$48="",$B121,DATE(YEAR($A121),MONTH($A121),MIN(Settings!$E$48,DAY($B121))))&gt;=MAX($A121,Settings!$F$48),IF(Settings!$E$48="",$B121,DATE(YEAR($A121),MONTH($A121),MIN(Settings!$E$48,DAY($B121))))&lt;=MIN(Settings!$B$5,IF(Settings!$G$48="",Settings!$B$5,Settings!$G$48))),1,0)))))</f>
        <v/>
      </c>
      <c r="EX121">
        <f>IF($E121&lt;&gt;"open",0,IF(AND('Month-End'!$DN$26&lt;&gt;"",NOT(_xlfn.ISFORMULA('Month-End'!$DN$26))),0,IF(OR(Settings!$C$49="",Settings!$D$49=""),0,Settings!$C$49*IF(Settings!$D$49="Weekly",IF(IFERROR(MATCH(Settings!$E$49,$EO$4:$EO$10,0),0)=0,0,IF(MIN(Settings!$B$5,IF(Settings!$G$49="",Settings!$B$5,Settings!$G$49))&lt;MAX($A121,Settings!$F$49),0,INT((MIN(Settings!$B$5,IF(Settings!$G$49="",Settings!$B$5,Settings!$G$49))-MAX($A121,Settings!$F$49)-MOD(IFERROR(MATCH(Settings!$E$49,$EO$4:$EO$10,0),0)-WEEKDAY(MAX($A121,Settings!$F$49)),7))/7)+1)),IF(AND(IF(Settings!$E$49="",$B121,DATE(YEAR($A121),MONTH($A121),MIN(Settings!$E$49,DAY($B121))))&gt;=MAX($A121,Settings!$F$49),IF(Settings!$E$49="",$B121,DATE(YEAR($A121),MONTH($A121),MIN(Settings!$E$49,DAY($B121))))&lt;=MIN(Settings!$B$5,IF(Settings!$G$49="",Settings!$B$5,Settings!$G$49))),1,0)))))</f>
        <v/>
      </c>
      <c r="EY121">
        <f>IF($E121&lt;&gt;"open",0,IF(AND('Month-End'!$DN$27&lt;&gt;"",NOT(_xlfn.ISFORMULA('Month-End'!$DN$27))),0,IF(OR(Settings!$C$50="",Settings!$D$50=""),0,Settings!$C$50*IF(Settings!$D$50="Weekly",IF(IFERROR(MATCH(Settings!$E$50,$EO$4:$EO$10,0),0)=0,0,IF(MIN(Settings!$B$5,IF(Settings!$G$50="",Settings!$B$5,Settings!$G$50))&lt;MAX($A121,Settings!$F$50),0,INT((MIN(Settings!$B$5,IF(Settings!$G$50="",Settings!$B$5,Settings!$G$50))-MAX($A121,Settings!$F$50)-MOD(IFERROR(MATCH(Settings!$E$50,$EO$4:$EO$10,0),0)-WEEKDAY(MAX($A121,Settings!$F$50)),7))/7)+1)),IF(AND(IF(Settings!$E$50="",$B121,DATE(YEAR($A121),MONTH($A121),MIN(Settings!$E$50,DAY($B121))))&gt;=MAX($A121,Settings!$F$50),IF(Settings!$E$50="",$B121,DATE(YEAR($A121),MONTH($A121),MIN(Settings!$E$50,DAY($B121))))&lt;=MIN(Settings!$B$5,IF(Settings!$G$50="",Settings!$B$5,Settings!$G$50))),1,0)))))</f>
        <v/>
      </c>
      <c r="EZ121">
        <f>IF($E121&lt;&gt;"open",0,IF(AND('Month-End'!$DN$28&lt;&gt;"",NOT(_xlfn.ISFORMULA('Month-End'!$DN$28))),0,IF(OR(Settings!$C$51="",Settings!$D$51=""),0,Settings!$C$51*IF(Settings!$D$51="Weekly",IF(IFERROR(MATCH(Settings!$E$51,$EO$4:$EO$10,0),0)=0,0,IF(MIN(Settings!$B$5,IF(Settings!$G$51="",Settings!$B$5,Settings!$G$51))&lt;MAX($A121,Settings!$F$51),0,INT((MIN(Settings!$B$5,IF(Settings!$G$51="",Settings!$B$5,Settings!$G$51))-MAX($A121,Settings!$F$51)-MOD(IFERROR(MATCH(Settings!$E$51,$EO$4:$EO$10,0),0)-WEEKDAY(MAX($A121,Settings!$F$51)),7))/7)+1)),IF(AND(IF(Settings!$E$51="",$B121,DATE(YEAR($A121),MONTH($A121),MIN(Settings!$E$51,DAY($B121))))&gt;=MAX($A121,Settings!$F$51),IF(Settings!$E$51="",$B121,DATE(YEAR($A121),MONTH($A121),MIN(Settings!$E$51,DAY($B121))))&lt;=MIN(Settings!$B$5,IF(Settings!$G$51="",Settings!$B$5,Settings!$G$51))),1,0)))))</f>
        <v/>
      </c>
      <c r="FA121">
        <f>IF($E121&lt;&gt;"open",0,IF(AND('Month-End'!$DN$29&lt;&gt;"",NOT(_xlfn.ISFORMULA('Month-End'!$DN$29))),0,IF(OR(Settings!$C$52="",Settings!$D$52=""),0,Settings!$C$52*IF(Settings!$D$52="Weekly",IF(IFERROR(MATCH(Settings!$E$52,$EO$4:$EO$10,0),0)=0,0,IF(MIN(Settings!$B$5,IF(Settings!$G$52="",Settings!$B$5,Settings!$G$52))&lt;MAX($A121,Settings!$F$52),0,INT((MIN(Settings!$B$5,IF(Settings!$G$52="",Settings!$B$5,Settings!$G$52))-MAX($A121,Settings!$F$52)-MOD(IFERROR(MATCH(Settings!$E$52,$EO$4:$EO$10,0),0)-WEEKDAY(MAX($A121,Settings!$F$52)),7))/7)+1)),IF(AND(IF(Settings!$E$52="",$B121,DATE(YEAR($A121),MONTH($A121),MIN(Settings!$E$52,DAY($B121))))&gt;=MAX($A121,Settings!$F$52),IF(Settings!$E$52="",$B121,DATE(YEAR($A121),MONTH($A121),MIN(Settings!$E$52,DAY($B121))))&lt;=MIN(Settings!$B$5,IF(Settings!$G$52="",Settings!$B$5,Settings!$G$52))),1,0)))))</f>
        <v/>
      </c>
      <c r="FB121">
        <f>IF($E121&lt;&gt;"open",0,IF(AND('Month-End'!$DN$30&lt;&gt;"",NOT(_xlfn.ISFORMULA('Month-End'!$DN$30))),0,IF(OR(Settings!$C$53="",Settings!$D$53=""),0,Settings!$C$53*IF(Settings!$D$53="Weekly",IF(IFERROR(MATCH(Settings!$E$53,$EO$4:$EO$10,0),0)=0,0,IF(MIN(Settings!$B$5,IF(Settings!$G$53="",Settings!$B$5,Settings!$G$53))&lt;MAX($A121,Settings!$F$53),0,INT((MIN(Settings!$B$5,IF(Settings!$G$53="",Settings!$B$5,Settings!$G$53))-MAX($A121,Settings!$F$53)-MOD(IFERROR(MATCH(Settings!$E$53,$EO$4:$EO$10,0),0)-WEEKDAY(MAX($A121,Settings!$F$53)),7))/7)+1)),IF(AND(IF(Settings!$E$53="",$B121,DATE(YEAR($A121),MONTH($A121),MIN(Settings!$E$53,DAY($B121))))&gt;=MAX($A121,Settings!$F$53),IF(Settings!$E$53="",$B121,DATE(YEAR($A121),MONTH($A121),MIN(Settings!$E$53,DAY($B121))))&lt;=MIN(Settings!$B$5,IF(Settings!$G$53="",Settings!$B$5,Settings!$G$53))),1,0)))))</f>
        <v/>
      </c>
      <c r="FC121">
        <f>IF($E121&lt;&gt;"open",0,IF(AND('Month-End'!$DN$31&lt;&gt;"",NOT(_xlfn.ISFORMULA('Month-End'!$DN$31))),0,IF(OR(Settings!$C$54="",Settings!$D$54=""),0,Settings!$C$54*IF(Settings!$D$54="Weekly",IF(IFERROR(MATCH(Settings!$E$54,$EO$4:$EO$10,0),0)=0,0,IF(MIN(Settings!$B$5,IF(Settings!$G$54="",Settings!$B$5,Settings!$G$54))&lt;MAX($A121,Settings!$F$54),0,INT((MIN(Settings!$B$5,IF(Settings!$G$54="",Settings!$B$5,Settings!$G$54))-MAX($A121,Settings!$F$54)-MOD(IFERROR(MATCH(Settings!$E$54,$EO$4:$EO$10,0),0)-WEEKDAY(MAX($A121,Settings!$F$54)),7))/7)+1)),IF(AND(IF(Settings!$E$54="",$B121,DATE(YEAR($A121),MONTH($A121),MIN(Settings!$E$54,DAY($B121))))&gt;=MAX($A121,Settings!$F$54),IF(Settings!$E$54="",$B121,DATE(YEAR($A121),MONTH($A121),MIN(Settings!$E$54,DAY($B121))))&lt;=MIN(Settings!$B$5,IF(Settings!$G$54="",Settings!$B$5,Settings!$G$54))),1,0)))))</f>
        <v/>
      </c>
      <c r="FD121">
        <f>IF($E121&lt;&gt;"open",0,IF(AND('Month-End'!$DN$32&lt;&gt;"",NOT(_xlfn.ISFORMULA('Month-End'!$DN$32))),0,IF(OR(Settings!$C$55="",Settings!$D$55=""),0,Settings!$C$55*IF(Settings!$D$55="Weekly",IF(IFERROR(MATCH(Settings!$E$55,$EO$4:$EO$10,0),0)=0,0,IF(MIN(Settings!$B$5,IF(Settings!$G$55="",Settings!$B$5,Settings!$G$55))&lt;MAX($A121,Settings!$F$55),0,INT((MIN(Settings!$B$5,IF(Settings!$G$55="",Settings!$B$5,Settings!$G$55))-MAX($A121,Settings!$F$55)-MOD(IFERROR(MATCH(Settings!$E$55,$EO$4:$EO$10,0),0)-WEEKDAY(MAX($A121,Settings!$F$55)),7))/7)+1)),IF(AND(IF(Settings!$E$55="",$B121,DATE(YEAR($A121),MONTH($A121),MIN(Settings!$E$55,DAY($B121))))&gt;=MAX($A121,Settings!$F$55),IF(Settings!$E$55="",$B121,DATE(YEAR($A121),MONTH($A121),MIN(Settings!$E$55,DAY($B121))))&lt;=MIN(Settings!$B$5,IF(Settings!$G$55="",Settings!$B$5,Settings!$G$55))),1,0)))))</f>
        <v/>
      </c>
      <c r="FE121">
        <f>IF($E121&lt;&gt;"open",0,IF(AND('Month-End'!$DN$33&lt;&gt;"",NOT(_xlfn.ISFORMULA('Month-End'!$DN$33))),0,IF(OR(Settings!$C$56="",Settings!$D$56=""),0,Settings!$C$56*IF(Settings!$D$56="Weekly",IF(IFERROR(MATCH(Settings!$E$56,$EO$4:$EO$10,0),0)=0,0,IF(MIN(Settings!$B$5,IF(Settings!$G$56="",Settings!$B$5,Settings!$G$56))&lt;MAX($A121,Settings!$F$56),0,INT((MIN(Settings!$B$5,IF(Settings!$G$56="",Settings!$B$5,Settings!$G$56))-MAX($A121,Settings!$F$56)-MOD(IFERROR(MATCH(Settings!$E$56,$EO$4:$EO$10,0),0)-WEEKDAY(MAX($A121,Settings!$F$56)),7))/7)+1)),IF(AND(IF(Settings!$E$56="",$B121,DATE(YEAR($A121),MONTH($A121),MIN(Settings!$E$56,DAY($B121))))&gt;=MAX($A121,Settings!$F$56),IF(Settings!$E$56="",$B121,DATE(YEAR($A121),MONTH($A121),MIN(Settings!$E$56,DAY($B121))))&lt;=MIN(Settings!$B$5,IF(Settings!$G$56="",Settings!$B$5,Settings!$G$56))),1,0)))))</f>
        <v/>
      </c>
      <c r="FF121">
        <f>IF(Settings!$I$45="Yes",$G121,0)+IF(Settings!$I$46="Yes",$H121,0)+IF(Settings!$I$47="Yes",$I121,0)+IF(Settings!$I$48="Yes",$J121,0)+IF(Settings!$I$49="Yes",$K121,0)+IF(Settings!$I$50="Yes",$L121,0)+IF(Settings!$I$51="Yes",$M121,0)+IF(Settings!$I$52="Yes",$N121,0)+IF(Settings!$I$53="Yes",$O121,0)+IF(Settings!$I$54="Yes",$P121,0)+IF(Settings!$I$55="Yes",$Q121,0)+IF(Settings!$I$56="Yes",$R121,0)</f>
        <v/>
      </c>
      <c r="FG121">
        <f>IF(AND(Settings!$I$45="Yes",Settings!$J$45="No"),$G121,0)+IF(AND(Settings!$I$46="Yes",Settings!$J$46="No"),$H121,0)+IF(AND(Settings!$I$47="Yes",Settings!$J$47="No"),$I121,0)+IF(AND(Settings!$I$48="Yes",Settings!$J$48="No"),$J121,0)+IF(AND(Settings!$I$49="Yes",Settings!$J$49="No"),$K121,0)+IF(AND(Settings!$I$50="Yes",Settings!$J$50="No"),$L121,0)+IF(AND(Settings!$I$51="Yes",Settings!$J$51="No"),$M121,0)+IF(AND(Settings!$I$52="Yes",Settings!$J$52="No"),$N121,0)+IF(AND(Settings!$I$53="Yes",Settings!$J$53="No"),$O121,0)+IF(AND(Settings!$I$54="Yes",Settings!$J$54="No"),$P121,0)+IF(AND(Settings!$I$55="Yes",Settings!$J$55="No"),$Q121,0)+IF(AND(Settings!$I$56="Yes",Settings!$J$56="No"),$R121,0)</f>
        <v/>
      </c>
      <c r="FH121">
        <f>SUMIFS(Giving!$B$7:$B$2006,Giving!$A$7:$A$2006,"&gt;="&amp;$A121,Giving!$A$7:$A$2006,"&lt;="&amp;$B121,Giving!$G$7:$G$2006,"Yes")+IF(OR(OR(Settings!$B$60="",Settings!$F$60="No"),Settings!$H$60&lt;&gt;"Yes"),0,Settings!$B$60*IF(AND(IF(Settings!$C$60="",$B121,DATE(YEAR($A121),MONTH($A121),MIN(Settings!$C$60,DAY($B121))))&gt;=MAX($A121,Settings!$D$60),IF(Settings!$C$60="",$B121,DATE(YEAR($A121),MONTH($A121),MIN(Settings!$C$60,DAY($B121))))&lt;=MIN($C121,IF(Settings!$E$60="",$C121,Settings!$E$60))),1,0))+IF(OR(OR(Settings!$B$61="",Settings!$F$61="No"),Settings!$H$61&lt;&gt;"Yes"),0,Settings!$B$61*IF(AND(IF(Settings!$C$61="",$B121,DATE(YEAR($A121),MONTH($A121),MIN(Settings!$C$61,DAY($B121))))&gt;=MAX($A121,Settings!$D$61),IF(Settings!$C$61="",$B121,DATE(YEAR($A121),MONTH($A121),MIN(Settings!$C$61,DAY($B121))))&lt;=MIN($C121,IF(Settings!$E$61="",$C121,Settings!$E$61))),1,0))+IF(OR(OR(Settings!$B$62="",Settings!$F$62="No"),Settings!$H$62&lt;&gt;"Yes"),0,Settings!$B$62*IF(AND(IF(Settings!$C$62="",$B121,DATE(YEAR($A121),MONTH($A121),MIN(Settings!$C$62,DAY($B121))))&gt;=MAX($A121,Settings!$D$62),IF(Settings!$C$62="",$B121,DATE(YEAR($A121),MONTH($A121),MIN(Settings!$C$62,DAY($B121))))&lt;=MIN($C121,IF(Settings!$E$62="",$C121,Settings!$E$62))),1,0))+IF(OR(OR(Settings!$B$63="",Settings!$F$63="No"),Settings!$H$63&lt;&gt;"Yes"),0,Settings!$B$63*IF(AND(IF(Settings!$C$63="",$B121,DATE(YEAR($A121),MONTH($A121),MIN(Settings!$C$63,DAY($B121))))&gt;=MAX($A121,Settings!$D$63),IF(Settings!$C$63="",$B121,DATE(YEAR($A121),MONTH($A121),MIN(Settings!$C$63,DAY($B121))))&lt;=MIN($C121,IF(Settings!$E$63="",$C121,Settings!$E$63))),1,0))+IF(OR(OR(Settings!$B$64="",Settings!$F$64="No"),Settings!$H$64&lt;&gt;"Yes"),0,Settings!$B$64*IF(AND(IF(Settings!$C$64="",$B121,DATE(YEAR($A121),MONTH($A121),MIN(Settings!$C$64,DAY($B121))))&gt;=MAX($A121,Settings!$D$64),IF(Settings!$C$64="",$B121,DATE(YEAR($A121),MONTH($A121),MIN(Settings!$C$64,DAY($B121))))&lt;=MIN($C121,IF(Settings!$E$64="",$C121,Settings!$E$64))),1,0))+IF(OR(OR(Settings!$B$65="",Settings!$F$65="No"),Settings!$H$65&lt;&gt;"Yes"),0,Settings!$B$65*IF(AND(IF(Settings!$C$65="",$B121,DATE(YEAR($A121),MONTH($A121),MIN(Settings!$C$65,DAY($B121))))&gt;=MAX($A121,Settings!$D$65),IF(Settings!$C$65="",$B121,DATE(YEAR($A121),MONTH($A121),MIN(Settings!$C$65,DAY($B121))))&lt;=MIN($C121,IF(Settings!$E$65="",$C121,Settings!$E$65))),1,0))</f>
        <v/>
      </c>
      <c r="FI121">
        <f>IF($DT121=1,IF(OR(Settings!$B$19="Card",Settings!$B$19="Loan"),N($AE121),0)+IF(OR(Settings!$B$20="Card",Settings!$B$20="Loan"),N($AF121),0)+IF(OR(Settings!$B$21="Card",Settings!$B$21="Loan"),N($AG121),0)+IF(OR(Settings!$B$22="Card",Settings!$B$22="Loan"),N($AH121),0)+IF(OR(Settings!$B$23="Card",Settings!$B$23="Loan"),N($AI121),0)+IF(OR(Settings!$B$24="Card",Settings!$B$24="Loan"),N($AJ121),0)+IF(OR(Settings!$B$25="Card",Settings!$B$25="Loan"),N($AK121),0)+IF(OR(Settings!$B$26="Card",Settings!$B$26="Loan"),N($AL121),0)+IF(OR(Settings!$B$27="Card",Settings!$B$27="Loan"),N($AM121),0)+IF(OR(Settings!$B$28="Card",Settings!$B$28="Loan"),N($AN121),0)+IF(OR(Settings!$B$29="Card",Settings!$B$29="Loan"),N($AO121),0)+IF(OR(Settings!$B$30="Card",Settings!$B$30="Loan"),N($AP121),0)+IF(OR(Settings!$B$31="Card",Settings!$B$31="Loan"),N($AQ121),0)+IF(OR(Settings!$B$32="Card",Settings!$B$32="Loan"),N($AR121),0),"")</f>
        <v/>
      </c>
      <c r="FJ121">
        <f>IF($E121="open",$EB$65,IF($E121="post",IF($E120="pre",$EB$65,$FI120),""))</f>
        <v/>
      </c>
      <c r="FK121">
        <f>IF(AND($DT121=1,$DC121=1),IF(ROUND($FI121-$FJ121,2)&gt;0,1,0),0)</f>
        <v/>
      </c>
      <c r="FL121">
        <f>IF($FK121=1,$FL120+1,0)</f>
        <v/>
      </c>
    </row>
    <row r="122">
      <c r="A122">
        <f>'Month-End'!$DO$4</f>
        <v/>
      </c>
      <c r="B122">
        <f>EOMONTH($A122,0)</f>
        <v/>
      </c>
      <c r="C122">
        <f>MIN($B122,TODAY())</f>
        <v/>
      </c>
      <c r="D122">
        <f>IF($A122&gt;TODAY(),1,0)</f>
        <v/>
      </c>
      <c r="E122">
        <f>IF($B122&lt;=Settings!$B$5,"pre",IF($A122&lt;=Settings!$B$5,"open","post"))</f>
        <v/>
      </c>
      <c r="G122">
        <f>IF('Month-End'!$DO$22="",$BE122,N('Month-End'!$DO$22))</f>
        <v/>
      </c>
      <c r="H122">
        <f>IF('Month-End'!$DO$23="",$BF122,N('Month-End'!$DO$23))</f>
        <v/>
      </c>
      <c r="I122">
        <f>IF('Month-End'!$DO$24="",$BG122,N('Month-End'!$DO$24))</f>
        <v/>
      </c>
      <c r="J122">
        <f>IF('Month-End'!$DO$25="",$BH122,N('Month-End'!$DO$25))</f>
        <v/>
      </c>
      <c r="K122">
        <f>IF('Month-End'!$DO$26="",$BI122,N('Month-End'!$DO$26))</f>
        <v/>
      </c>
      <c r="L122">
        <f>IF('Month-End'!$DO$27="",$BJ122,N('Month-End'!$DO$27))</f>
        <v/>
      </c>
      <c r="M122">
        <f>IF('Month-End'!$DO$28="",$BK122,N('Month-End'!$DO$28))</f>
        <v/>
      </c>
      <c r="N122">
        <f>IF('Month-End'!$DO$29="",$BL122,N('Month-End'!$DO$29))</f>
        <v/>
      </c>
      <c r="O122">
        <f>IF('Month-End'!$DO$30="",$BM122,N('Month-End'!$DO$30))</f>
        <v/>
      </c>
      <c r="P122">
        <f>IF('Month-End'!$DO$31="",$BN122,N('Month-End'!$DO$31))</f>
        <v/>
      </c>
      <c r="Q122">
        <f>IF('Month-End'!$DO$32="",$BO122,N('Month-End'!$DO$32))</f>
        <v/>
      </c>
      <c r="R122">
        <f>IF('Month-End'!$DO$33="",$BP122,N('Month-End'!$DO$33))</f>
        <v/>
      </c>
      <c r="S122">
        <f>$G122+$H122+$I122+$J122+$K122+$L122+$M122+$N122+$O122+$P122+$Q122+$R122</f>
        <v/>
      </c>
      <c r="T122">
        <f>IF($B122&lt;Settings!$B$6,0,IF(Settings!$B$45="Yes",$G122,0)+IF(Settings!$B$46="Yes",$H122,0)+IF(Settings!$B$47="Yes",$I122,0)+IF(Settings!$B$48="Yes",$J122,0)+IF(Settings!$B$49="Yes",$K122,0)+IF(Settings!$B$50="Yes",$L122,0)+IF(Settings!$B$51="Yes",$M122,0)+IF(Settings!$B$52="Yes",$N122,0)+IF(Settings!$B$53="Yes",$O122,0)+IF(Settings!$B$54="Yes",$P122,0)+IF(Settings!$B$55="Yes",$Q122,0)+IF(Settings!$B$56="Yes",$R122,0))</f>
        <v/>
      </c>
      <c r="U122">
        <f>IF(Settings!$B$45="Not Sure",$G122,0)+IF(Settings!$B$46="Not Sure",$H122,0)+IF(Settings!$B$47="Not Sure",$I122,0)+IF(Settings!$B$48="Not Sure",$J122,0)+IF(Settings!$B$49="Not Sure",$K122,0)+IF(Settings!$B$50="Not Sure",$L122,0)+IF(Settings!$B$51="Not Sure",$M122,0)+IF(Settings!$B$52="Not Sure",$N122,0)+IF(Settings!$B$53="Not Sure",$O122,0)+IF(Settings!$B$54="Not Sure",$P122,0)+IF(Settings!$B$55="Not Sure",$Q122,0)+IF(Settings!$B$56="Not Sure",$R122,0)</f>
        <v/>
      </c>
      <c r="V122">
        <f>IF($E122="open",SUM($ET122:$FE122)+N(Settings!$B$13),0)</f>
        <v/>
      </c>
      <c r="W122">
        <f>IF($E122="post",$S122,IF($E122="open",$S122-$V122,0))</f>
        <v/>
      </c>
      <c r="X122">
        <f>SUMIFS(Giving!$B$7:$B$2006,Giving!$A$7:$A$2006,"&gt;="&amp;$A122,Giving!$A$7:$A$2006,"&lt;="&amp;$B122,Giving!$E$7:$E$2006,"&lt;&gt;No")</f>
        <v/>
      </c>
      <c r="Y122">
        <f>SUMIFS(Giving!$B$7:$B$2006,Giving!$A$7:$A$2006,"&gt;="&amp;$A122,Giving!$A$7:$A$2006,"&lt;="&amp;$B122,Giving!$E$7:$E$2006,"No")</f>
        <v/>
      </c>
      <c r="Z122">
        <f>IF(OR(Settings!$B$60="",Settings!$F$60="No"),0,Settings!$B$60*IF(AND(IF(Settings!$C$60="",$B122,DATE(YEAR($A122),MONTH($A122),MIN(Settings!$C$60,DAY($B122))))&gt;=MAX($A122,Settings!$D$60),IF(Settings!$C$60="",$B122,DATE(YEAR($A122),MONTH($A122),MIN(Settings!$C$60,DAY($B122))))&lt;=MIN($C122,IF(Settings!$E$60="",$C122,Settings!$E$60))),1,0))+IF(OR(Settings!$B$61="",Settings!$F$61="No"),0,Settings!$B$61*IF(AND(IF(Settings!$C$61="",$B122,DATE(YEAR($A122),MONTH($A122),MIN(Settings!$C$61,DAY($B122))))&gt;=MAX($A122,Settings!$D$61),IF(Settings!$C$61="",$B122,DATE(YEAR($A122),MONTH($A122),MIN(Settings!$C$61,DAY($B122))))&lt;=MIN($C122,IF(Settings!$E$61="",$C122,Settings!$E$61))),1,0))+IF(OR(Settings!$B$62="",Settings!$F$62="No"),0,Settings!$B$62*IF(AND(IF(Settings!$C$62="",$B122,DATE(YEAR($A122),MONTH($A122),MIN(Settings!$C$62,DAY($B122))))&gt;=MAX($A122,Settings!$D$62),IF(Settings!$C$62="",$B122,DATE(YEAR($A122),MONTH($A122),MIN(Settings!$C$62,DAY($B122))))&lt;=MIN($C122,IF(Settings!$E$62="",$C122,Settings!$E$62))),1,0))+IF(OR(Settings!$B$63="",Settings!$F$63="No"),0,Settings!$B$63*IF(AND(IF(Settings!$C$63="",$B122,DATE(YEAR($A122),MONTH($A122),MIN(Settings!$C$63,DAY($B122))))&gt;=MAX($A122,Settings!$D$63),IF(Settings!$C$63="",$B122,DATE(YEAR($A122),MONTH($A122),MIN(Settings!$C$63,DAY($B122))))&lt;=MIN($C122,IF(Settings!$E$63="",$C122,Settings!$E$63))),1,0))+IF(OR(Settings!$B$64="",Settings!$F$64="No"),0,Settings!$B$64*IF(AND(IF(Settings!$C$64="",$B122,DATE(YEAR($A122),MONTH($A122),MIN(Settings!$C$64,DAY($B122))))&gt;=MAX($A122,Settings!$D$64),IF(Settings!$C$64="",$B122,DATE(YEAR($A122),MONTH($A122),MIN(Settings!$C$64,DAY($B122))))&lt;=MIN($C122,IF(Settings!$E$64="",$C122,Settings!$E$64))),1,0))+IF(OR(Settings!$B$65="",Settings!$F$65="No"),0,Settings!$B$65*IF(AND(IF(Settings!$C$65="",$B122,DATE(YEAR($A122),MONTH($A122),MIN(Settings!$C$65,DAY($B122))))&gt;=MAX($A122,Settings!$D$65),IF(Settings!$C$65="",$B122,DATE(YEAR($A122),MONTH($A122),MIN(Settings!$C$65,DAY($B122))))&lt;=MIN($C122,IF(Settings!$E$65="",$C122,Settings!$E$65))),1,0))</f>
        <v/>
      </c>
      <c r="AA122">
        <f>$X122+$Z122</f>
        <v/>
      </c>
      <c r="AB122">
        <f>IF($E122="post",$AA122,IF($E122="open",SUMIFS(Giving!$B$7:$B$2006,Giving!$A$7:$A$2006,"&gt;"&amp;Settings!$B$5,Giving!$A$7:$A$2006,"&lt;="&amp;$B122,Giving!$E$7:$E$2006,"&lt;&gt;No")+IF(OR(Settings!$B$60="",Settings!$F$60="No"),0,Settings!$B$60*IF(AND(IF(Settings!$C$60="",$B122,DATE(YEAR($A122),MONTH($A122),MIN(Settings!$C$60,DAY($B122))))&gt;=MAX($A122,Settings!$D$60,Settings!$B$5+1),IF(Settings!$C$60="",$B122,DATE(YEAR($A122),MONTH($A122),MIN(Settings!$C$60,DAY($B122))))&lt;=MIN($C122,IF(Settings!$E$60="",$C122,Settings!$E$60))),1,0))+IF(OR(Settings!$B$61="",Settings!$F$61="No"),0,Settings!$B$61*IF(AND(IF(Settings!$C$61="",$B122,DATE(YEAR($A122),MONTH($A122),MIN(Settings!$C$61,DAY($B122))))&gt;=MAX($A122,Settings!$D$61,Settings!$B$5+1),IF(Settings!$C$61="",$B122,DATE(YEAR($A122),MONTH($A122),MIN(Settings!$C$61,DAY($B122))))&lt;=MIN($C122,IF(Settings!$E$61="",$C122,Settings!$E$61))),1,0))+IF(OR(Settings!$B$62="",Settings!$F$62="No"),0,Settings!$B$62*IF(AND(IF(Settings!$C$62="",$B122,DATE(YEAR($A122),MONTH($A122),MIN(Settings!$C$62,DAY($B122))))&gt;=MAX($A122,Settings!$D$62,Settings!$B$5+1),IF(Settings!$C$62="",$B122,DATE(YEAR($A122),MONTH($A122),MIN(Settings!$C$62,DAY($B122))))&lt;=MIN($C122,IF(Settings!$E$62="",$C122,Settings!$E$62))),1,0))+IF(OR(Settings!$B$63="",Settings!$F$63="No"),0,Settings!$B$63*IF(AND(IF(Settings!$C$63="",$B122,DATE(YEAR($A122),MONTH($A122),MIN(Settings!$C$63,DAY($B122))))&gt;=MAX($A122,Settings!$D$63,Settings!$B$5+1),IF(Settings!$C$63="",$B122,DATE(YEAR($A122),MONTH($A122),MIN(Settings!$C$63,DAY($B122))))&lt;=MIN($C122,IF(Settings!$E$63="",$C122,Settings!$E$63))),1,0))+IF(OR(Settings!$B$64="",Settings!$F$64="No"),0,Settings!$B$64*IF(AND(IF(Settings!$C$64="",$B122,DATE(YEAR($A122),MONTH($A122),MIN(Settings!$C$64,DAY($B122))))&gt;=MAX($A122,Settings!$D$64,Settings!$B$5+1),IF(Settings!$C$64="",$B122,DATE(YEAR($A122),MONTH($A122),MIN(Settings!$C$64,DAY($B122))))&lt;=MIN($C122,IF(Settings!$E$64="",$C122,Settings!$E$64))),1,0))+IF(OR(Settings!$B$65="",Settings!$F$65="No"),0,Settings!$B$65*IF(AND(IF(Settings!$C$65="",$B122,DATE(YEAR($A122),MONTH($A122),MIN(Settings!$C$65,DAY($B122))))&gt;=MAX($A122,Settings!$D$65,Settings!$B$5+1),IF(Settings!$C$65="",$B122,DATE(YEAR($A122),MONTH($A122),MIN(Settings!$C$65,DAY($B122))))&lt;=MIN($C122,IF(Settings!$E$65="",$C122,Settings!$E$65))),1,0)),0))</f>
        <v/>
      </c>
      <c r="AC122">
        <f>$AY122+$AZ122+$BA122+$BB122+$BC122+$BD122</f>
        <v/>
      </c>
      <c r="AD122">
        <f>$AC122</f>
        <v/>
      </c>
      <c r="AE122">
        <f>IF(OR(Settings!$A$19="",$E122="pre"),"",IF(AND('Month-End'!$DO$7&lt;&gt;"",NOT(_xlfn.ISFORMULA('Month-End'!$DO$7))),N('Month-End'!$DO$7),IF(OR($E122="open",$E121="pre"),N(Settings!$C$19),N($AE121))))</f>
        <v/>
      </c>
      <c r="AF122">
        <f>IF(OR(Settings!$A$20="",$E122="pre"),"",IF(AND('Month-End'!$DO$8&lt;&gt;"",NOT(_xlfn.ISFORMULA('Month-End'!$DO$8))),N('Month-End'!$DO$8),IF(OR($E122="open",$E121="pre"),N(Settings!$C$20),N($AF121))))</f>
        <v/>
      </c>
      <c r="AG122">
        <f>IF(OR(Settings!$A$21="",$E122="pre"),"",IF(AND('Month-End'!$DO$9&lt;&gt;"",NOT(_xlfn.ISFORMULA('Month-End'!$DO$9))),N('Month-End'!$DO$9),IF(OR($E122="open",$E121="pre"),N(Settings!$C$21),N($AG121))))</f>
        <v/>
      </c>
      <c r="AH122">
        <f>IF(OR(Settings!$A$22="",$E122="pre"),"",IF(AND('Month-End'!$DO$10&lt;&gt;"",NOT(_xlfn.ISFORMULA('Month-End'!$DO$10))),N('Month-End'!$DO$10),IF(OR($E122="open",$E121="pre"),N(Settings!$C$22),N($AH121))))</f>
        <v/>
      </c>
      <c r="AI122">
        <f>IF(OR(Settings!$A$23="",$E122="pre"),"",IF(AND('Month-End'!$DO$11&lt;&gt;"",NOT(_xlfn.ISFORMULA('Month-End'!$DO$11))),N('Month-End'!$DO$11),IF(OR($E122="open",$E121="pre"),N(Settings!$C$23),N($AI121))))</f>
        <v/>
      </c>
      <c r="AJ122">
        <f>IF(OR(Settings!$A$24="",$E122="pre"),"",IF(AND('Month-End'!$DO$12&lt;&gt;"",NOT(_xlfn.ISFORMULA('Month-End'!$DO$12))),N('Month-End'!$DO$12),IF(OR($E122="open",$E121="pre"),N(Settings!$C$24),N($AJ121))))</f>
        <v/>
      </c>
      <c r="AK122">
        <f>IF(OR(Settings!$A$25="",$E122="pre"),"",IF(AND('Month-End'!$DO$13&lt;&gt;"",NOT(_xlfn.ISFORMULA('Month-End'!$DO$13))),N('Month-End'!$DO$13),IF(OR($E122="open",$E121="pre"),N(Settings!$C$25),N($AK121))))</f>
        <v/>
      </c>
      <c r="AL122">
        <f>IF(OR(Settings!$A$26="",$E122="pre"),"",IF(AND('Month-End'!$DO$14&lt;&gt;"",NOT(_xlfn.ISFORMULA('Month-End'!$DO$14))),N('Month-End'!$DO$14),IF(OR($E122="open",$E121="pre"),N(Settings!$C$26),N($AL121))))</f>
        <v/>
      </c>
      <c r="AM122">
        <f>IF(OR(Settings!$A$27="",$E122="pre"),"",IF(AND('Month-End'!$DO$15&lt;&gt;"",NOT(_xlfn.ISFORMULA('Month-End'!$DO$15))),N('Month-End'!$DO$15),IF(OR($E122="open",$E121="pre"),N(Settings!$C$27),N($AM121))))</f>
        <v/>
      </c>
      <c r="AN122">
        <f>IF(OR(Settings!$A$28="",$E122="pre"),"",IF(AND('Month-End'!$DO$16&lt;&gt;"",NOT(_xlfn.ISFORMULA('Month-End'!$DO$16))),N('Month-End'!$DO$16),IF(OR($E122="open",$E121="pre"),N(Settings!$C$28),N($AN121))))</f>
        <v/>
      </c>
      <c r="AO122">
        <f>IF(OR(Settings!$A$29="",$E122="pre"),"",IF(AND('Month-End'!$DO$17&lt;&gt;"",NOT(_xlfn.ISFORMULA('Month-End'!$DO$17))),N('Month-End'!$DO$17),IF(OR($E122="open",$E121="pre"),N(Settings!$C$29),N($AO121))))</f>
        <v/>
      </c>
      <c r="AP122">
        <f>IF(OR(Settings!$A$30="",$E122="pre"),"",IF(AND('Month-End'!$DO$18&lt;&gt;"",NOT(_xlfn.ISFORMULA('Month-End'!$DO$18))),N('Month-End'!$DO$18),IF(OR($E122="open",$E121="pre"),N(Settings!$C$30),N($AP121))))</f>
        <v/>
      </c>
      <c r="AQ122">
        <f>IF(OR(Settings!$A$31="",$E122="pre"),"",IF(AND('Month-End'!$DO$19&lt;&gt;"",NOT(_xlfn.ISFORMULA('Month-End'!$DO$19))),N('Month-End'!$DO$19),IF(OR($E122="open",$E121="pre"),N(Settings!$C$31),N($AQ121))))</f>
        <v/>
      </c>
      <c r="AR122">
        <f>IF(OR(Settings!$A$32="",$E122="pre"),"",IF(AND('Month-End'!$DO$20&lt;&gt;"",NOT(_xlfn.ISFORMULA('Month-End'!$DO$20))),N('Month-End'!$DO$20),IF(OR($E122="open",$E121="pre"),N(Settings!$C$32),N($AR121))))</f>
        <v/>
      </c>
      <c r="AS122">
        <f>IF(OR(Settings!$A$36="",$E122="pre"),"",IF(AND('Month-End'!$DO$38&lt;&gt;"",NOT(_xlfn.ISFORMULA('Month-End'!$DO$38))),N('Month-End'!$DO$38),IF(OR($E122="open",$E121="pre"),N(Settings!$C$36),N($AS121))+$AY122))</f>
        <v/>
      </c>
      <c r="AT122">
        <f>IF(OR(Settings!$A$37="",$E122="pre"),"",IF(AND('Month-End'!$DO$39&lt;&gt;"",NOT(_xlfn.ISFORMULA('Month-End'!$DO$39))),N('Month-End'!$DO$39),IF(OR($E122="open",$E121="pre"),N(Settings!$C$37),N($AT121))+$AZ122))</f>
        <v/>
      </c>
      <c r="AU122">
        <f>IF(OR(Settings!$A$38="",$E122="pre"),"",IF(AND('Month-End'!$DO$40&lt;&gt;"",NOT(_xlfn.ISFORMULA('Month-End'!$DO$40))),N('Month-End'!$DO$40),IF(OR($E122="open",$E121="pre"),N(Settings!$C$38),N($AU121))+$BA122))</f>
        <v/>
      </c>
      <c r="AV122">
        <f>IF(OR(Settings!$A$39="",$E122="pre"),"",IF(AND('Month-End'!$DO$41&lt;&gt;"",NOT(_xlfn.ISFORMULA('Month-End'!$DO$41))),N('Month-End'!$DO$41),IF(OR($E122="open",$E121="pre"),N(Settings!$C$39),N($AV121))+$BB122))</f>
        <v/>
      </c>
      <c r="AW122">
        <f>IF(OR(Settings!$A$40="",$E122="pre"),"",IF(AND('Month-End'!$DO$42&lt;&gt;"",NOT(_xlfn.ISFORMULA('Month-End'!$DO$42))),N('Month-End'!$DO$42),IF(OR($E122="open",$E121="pre"),N(Settings!$C$40),N($AW121))+$BC122))</f>
        <v/>
      </c>
      <c r="AX122">
        <f>IF(OR(Settings!$A$41="",$E122="pre"),"",IF(AND('Month-End'!$DO$43&lt;&gt;"",NOT(_xlfn.ISFORMULA('Month-End'!$DO$43))),N('Month-End'!$DO$43),IF(OR($E122="open",$E121="pre"),N(Settings!$C$41),N($AX121))+$BD122))</f>
        <v/>
      </c>
      <c r="AY122">
        <f>IF($E122="pre",0,N('Month-End'!$DO$45))</f>
        <v/>
      </c>
      <c r="AZ122">
        <f>IF($E122="pre",0,N('Month-End'!$DO$46))</f>
        <v/>
      </c>
      <c r="BA122">
        <f>IF($E122="pre",0,N('Month-End'!$DO$47))</f>
        <v/>
      </c>
      <c r="BB122">
        <f>IF($E122="pre",0,N('Month-End'!$DO$48))</f>
        <v/>
      </c>
      <c r="BC122">
        <f>IF($E122="pre",0,N('Month-End'!$DO$49))</f>
        <v/>
      </c>
      <c r="BD122">
        <f>IF($E122="pre",0,N('Month-End'!$DO$50))</f>
        <v/>
      </c>
      <c r="BE122">
        <f>IF(OR(Settings!$C$45="",Settings!$D$45=""),0,Settings!$C$45*IF(Settings!$D$45="Weekly",IF(IFERROR(MATCH(Settings!$E$45,$EO$4:$EO$10,0),0)=0,0,IF(MIN($C122,IF(Settings!$G$45="",$C122,Settings!$G$45))&lt;MAX($A122,Settings!$F$45),0,INT((MIN($C122,IF(Settings!$G$45="",$C122,Settings!$G$45))-MAX($A122,Settings!$F$45)-MOD(IFERROR(MATCH(Settings!$E$45,$EO$4:$EO$10,0),0)-WEEKDAY(MAX($A122,Settings!$F$45)),7))/7)+1)),IF(AND(IF(Settings!$E$45="",$B122,DATE(YEAR($A122),MONTH($A122),MIN(Settings!$E$45,DAY($B122))))&gt;=MAX($A122,Settings!$F$45),IF(Settings!$E$45="",$B122,DATE(YEAR($A122),MONTH($A122),MIN(Settings!$E$45,DAY($B122))))&lt;=MIN($C122,IF(Settings!$G$45="",$C122,Settings!$G$45))),1,0)))</f>
        <v/>
      </c>
      <c r="BF122">
        <f>IF(OR(Settings!$C$46="",Settings!$D$46=""),0,Settings!$C$46*IF(Settings!$D$46="Weekly",IF(IFERROR(MATCH(Settings!$E$46,$EO$4:$EO$10,0),0)=0,0,IF(MIN($C122,IF(Settings!$G$46="",$C122,Settings!$G$46))&lt;MAX($A122,Settings!$F$46),0,INT((MIN($C122,IF(Settings!$G$46="",$C122,Settings!$G$46))-MAX($A122,Settings!$F$46)-MOD(IFERROR(MATCH(Settings!$E$46,$EO$4:$EO$10,0),0)-WEEKDAY(MAX($A122,Settings!$F$46)),7))/7)+1)),IF(AND(IF(Settings!$E$46="",$B122,DATE(YEAR($A122),MONTH($A122),MIN(Settings!$E$46,DAY($B122))))&gt;=MAX($A122,Settings!$F$46),IF(Settings!$E$46="",$B122,DATE(YEAR($A122),MONTH($A122),MIN(Settings!$E$46,DAY($B122))))&lt;=MIN($C122,IF(Settings!$G$46="",$C122,Settings!$G$46))),1,0)))</f>
        <v/>
      </c>
      <c r="BG122">
        <f>IF(OR(Settings!$C$47="",Settings!$D$47=""),0,Settings!$C$47*IF(Settings!$D$47="Weekly",IF(IFERROR(MATCH(Settings!$E$47,$EO$4:$EO$10,0),0)=0,0,IF(MIN($C122,IF(Settings!$G$47="",$C122,Settings!$G$47))&lt;MAX($A122,Settings!$F$47),0,INT((MIN($C122,IF(Settings!$G$47="",$C122,Settings!$G$47))-MAX($A122,Settings!$F$47)-MOD(IFERROR(MATCH(Settings!$E$47,$EO$4:$EO$10,0),0)-WEEKDAY(MAX($A122,Settings!$F$47)),7))/7)+1)),IF(AND(IF(Settings!$E$47="",$B122,DATE(YEAR($A122),MONTH($A122),MIN(Settings!$E$47,DAY($B122))))&gt;=MAX($A122,Settings!$F$47),IF(Settings!$E$47="",$B122,DATE(YEAR($A122),MONTH($A122),MIN(Settings!$E$47,DAY($B122))))&lt;=MIN($C122,IF(Settings!$G$47="",$C122,Settings!$G$47))),1,0)))</f>
        <v/>
      </c>
      <c r="BH122">
        <f>IF(OR(Settings!$C$48="",Settings!$D$48=""),0,Settings!$C$48*IF(Settings!$D$48="Weekly",IF(IFERROR(MATCH(Settings!$E$48,$EO$4:$EO$10,0),0)=0,0,IF(MIN($C122,IF(Settings!$G$48="",$C122,Settings!$G$48))&lt;MAX($A122,Settings!$F$48),0,INT((MIN($C122,IF(Settings!$G$48="",$C122,Settings!$G$48))-MAX($A122,Settings!$F$48)-MOD(IFERROR(MATCH(Settings!$E$48,$EO$4:$EO$10,0),0)-WEEKDAY(MAX($A122,Settings!$F$48)),7))/7)+1)),IF(AND(IF(Settings!$E$48="",$B122,DATE(YEAR($A122),MONTH($A122),MIN(Settings!$E$48,DAY($B122))))&gt;=MAX($A122,Settings!$F$48),IF(Settings!$E$48="",$B122,DATE(YEAR($A122),MONTH($A122),MIN(Settings!$E$48,DAY($B122))))&lt;=MIN($C122,IF(Settings!$G$48="",$C122,Settings!$G$48))),1,0)))</f>
        <v/>
      </c>
      <c r="BI122">
        <f>IF(OR(Settings!$C$49="",Settings!$D$49=""),0,Settings!$C$49*IF(Settings!$D$49="Weekly",IF(IFERROR(MATCH(Settings!$E$49,$EO$4:$EO$10,0),0)=0,0,IF(MIN($C122,IF(Settings!$G$49="",$C122,Settings!$G$49))&lt;MAX($A122,Settings!$F$49),0,INT((MIN($C122,IF(Settings!$G$49="",$C122,Settings!$G$49))-MAX($A122,Settings!$F$49)-MOD(IFERROR(MATCH(Settings!$E$49,$EO$4:$EO$10,0),0)-WEEKDAY(MAX($A122,Settings!$F$49)),7))/7)+1)),IF(AND(IF(Settings!$E$49="",$B122,DATE(YEAR($A122),MONTH($A122),MIN(Settings!$E$49,DAY($B122))))&gt;=MAX($A122,Settings!$F$49),IF(Settings!$E$49="",$B122,DATE(YEAR($A122),MONTH($A122),MIN(Settings!$E$49,DAY($B122))))&lt;=MIN($C122,IF(Settings!$G$49="",$C122,Settings!$G$49))),1,0)))</f>
        <v/>
      </c>
      <c r="BJ122">
        <f>IF(OR(Settings!$C$50="",Settings!$D$50=""),0,Settings!$C$50*IF(Settings!$D$50="Weekly",IF(IFERROR(MATCH(Settings!$E$50,$EO$4:$EO$10,0),0)=0,0,IF(MIN($C122,IF(Settings!$G$50="",$C122,Settings!$G$50))&lt;MAX($A122,Settings!$F$50),0,INT((MIN($C122,IF(Settings!$G$50="",$C122,Settings!$G$50))-MAX($A122,Settings!$F$50)-MOD(IFERROR(MATCH(Settings!$E$50,$EO$4:$EO$10,0),0)-WEEKDAY(MAX($A122,Settings!$F$50)),7))/7)+1)),IF(AND(IF(Settings!$E$50="",$B122,DATE(YEAR($A122),MONTH($A122),MIN(Settings!$E$50,DAY($B122))))&gt;=MAX($A122,Settings!$F$50),IF(Settings!$E$50="",$B122,DATE(YEAR($A122),MONTH($A122),MIN(Settings!$E$50,DAY($B122))))&lt;=MIN($C122,IF(Settings!$G$50="",$C122,Settings!$G$50))),1,0)))</f>
        <v/>
      </c>
      <c r="BK122">
        <f>IF(OR(Settings!$C$51="",Settings!$D$51=""),0,Settings!$C$51*IF(Settings!$D$51="Weekly",IF(IFERROR(MATCH(Settings!$E$51,$EO$4:$EO$10,0),0)=0,0,IF(MIN($C122,IF(Settings!$G$51="",$C122,Settings!$G$51))&lt;MAX($A122,Settings!$F$51),0,INT((MIN($C122,IF(Settings!$G$51="",$C122,Settings!$G$51))-MAX($A122,Settings!$F$51)-MOD(IFERROR(MATCH(Settings!$E$51,$EO$4:$EO$10,0),0)-WEEKDAY(MAX($A122,Settings!$F$51)),7))/7)+1)),IF(AND(IF(Settings!$E$51="",$B122,DATE(YEAR($A122),MONTH($A122),MIN(Settings!$E$51,DAY($B122))))&gt;=MAX($A122,Settings!$F$51),IF(Settings!$E$51="",$B122,DATE(YEAR($A122),MONTH($A122),MIN(Settings!$E$51,DAY($B122))))&lt;=MIN($C122,IF(Settings!$G$51="",$C122,Settings!$G$51))),1,0)))</f>
        <v/>
      </c>
      <c r="BL122">
        <f>IF(OR(Settings!$C$52="",Settings!$D$52=""),0,Settings!$C$52*IF(Settings!$D$52="Weekly",IF(IFERROR(MATCH(Settings!$E$52,$EO$4:$EO$10,0),0)=0,0,IF(MIN($C122,IF(Settings!$G$52="",$C122,Settings!$G$52))&lt;MAX($A122,Settings!$F$52),0,INT((MIN($C122,IF(Settings!$G$52="",$C122,Settings!$G$52))-MAX($A122,Settings!$F$52)-MOD(IFERROR(MATCH(Settings!$E$52,$EO$4:$EO$10,0),0)-WEEKDAY(MAX($A122,Settings!$F$52)),7))/7)+1)),IF(AND(IF(Settings!$E$52="",$B122,DATE(YEAR($A122),MONTH($A122),MIN(Settings!$E$52,DAY($B122))))&gt;=MAX($A122,Settings!$F$52),IF(Settings!$E$52="",$B122,DATE(YEAR($A122),MONTH($A122),MIN(Settings!$E$52,DAY($B122))))&lt;=MIN($C122,IF(Settings!$G$52="",$C122,Settings!$G$52))),1,0)))</f>
        <v/>
      </c>
      <c r="BM122">
        <f>IF(OR(Settings!$C$53="",Settings!$D$53=""),0,Settings!$C$53*IF(Settings!$D$53="Weekly",IF(IFERROR(MATCH(Settings!$E$53,$EO$4:$EO$10,0),0)=0,0,IF(MIN($C122,IF(Settings!$G$53="",$C122,Settings!$G$53))&lt;MAX($A122,Settings!$F$53),0,INT((MIN($C122,IF(Settings!$G$53="",$C122,Settings!$G$53))-MAX($A122,Settings!$F$53)-MOD(IFERROR(MATCH(Settings!$E$53,$EO$4:$EO$10,0),0)-WEEKDAY(MAX($A122,Settings!$F$53)),7))/7)+1)),IF(AND(IF(Settings!$E$53="",$B122,DATE(YEAR($A122),MONTH($A122),MIN(Settings!$E$53,DAY($B122))))&gt;=MAX($A122,Settings!$F$53),IF(Settings!$E$53="",$B122,DATE(YEAR($A122),MONTH($A122),MIN(Settings!$E$53,DAY($B122))))&lt;=MIN($C122,IF(Settings!$G$53="",$C122,Settings!$G$53))),1,0)))</f>
        <v/>
      </c>
      <c r="BN122">
        <f>IF(OR(Settings!$C$54="",Settings!$D$54=""),0,Settings!$C$54*IF(Settings!$D$54="Weekly",IF(IFERROR(MATCH(Settings!$E$54,$EO$4:$EO$10,0),0)=0,0,IF(MIN($C122,IF(Settings!$G$54="",$C122,Settings!$G$54))&lt;MAX($A122,Settings!$F$54),0,INT((MIN($C122,IF(Settings!$G$54="",$C122,Settings!$G$54))-MAX($A122,Settings!$F$54)-MOD(IFERROR(MATCH(Settings!$E$54,$EO$4:$EO$10,0),0)-WEEKDAY(MAX($A122,Settings!$F$54)),7))/7)+1)),IF(AND(IF(Settings!$E$54="",$B122,DATE(YEAR($A122),MONTH($A122),MIN(Settings!$E$54,DAY($B122))))&gt;=MAX($A122,Settings!$F$54),IF(Settings!$E$54="",$B122,DATE(YEAR($A122),MONTH($A122),MIN(Settings!$E$54,DAY($B122))))&lt;=MIN($C122,IF(Settings!$G$54="",$C122,Settings!$G$54))),1,0)))</f>
        <v/>
      </c>
      <c r="BO122">
        <f>IF(OR(Settings!$C$55="",Settings!$D$55=""),0,Settings!$C$55*IF(Settings!$D$55="Weekly",IF(IFERROR(MATCH(Settings!$E$55,$EO$4:$EO$10,0),0)=0,0,IF(MIN($C122,IF(Settings!$G$55="",$C122,Settings!$G$55))&lt;MAX($A122,Settings!$F$55),0,INT((MIN($C122,IF(Settings!$G$55="",$C122,Settings!$G$55))-MAX($A122,Settings!$F$55)-MOD(IFERROR(MATCH(Settings!$E$55,$EO$4:$EO$10,0),0)-WEEKDAY(MAX($A122,Settings!$F$55)),7))/7)+1)),IF(AND(IF(Settings!$E$55="",$B122,DATE(YEAR($A122),MONTH($A122),MIN(Settings!$E$55,DAY($B122))))&gt;=MAX($A122,Settings!$F$55),IF(Settings!$E$55="",$B122,DATE(YEAR($A122),MONTH($A122),MIN(Settings!$E$55,DAY($B122))))&lt;=MIN($C122,IF(Settings!$G$55="",$C122,Settings!$G$55))),1,0)))</f>
        <v/>
      </c>
      <c r="BP122">
        <f>IF(OR(Settings!$C$56="",Settings!$D$56=""),0,Settings!$C$56*IF(Settings!$D$56="Weekly",IF(IFERROR(MATCH(Settings!$E$56,$EO$4:$EO$10,0),0)=0,0,IF(MIN($C122,IF(Settings!$G$56="",$C122,Settings!$G$56))&lt;MAX($A122,Settings!$F$56),0,INT((MIN($C122,IF(Settings!$G$56="",$C122,Settings!$G$56))-MAX($A122,Settings!$F$56)-MOD(IFERROR(MATCH(Settings!$E$56,$EO$4:$EO$10,0),0)-WEEKDAY(MAX($A122,Settings!$F$56)),7))/7)+1)),IF(AND(IF(Settings!$E$56="",$B122,DATE(YEAR($A122),MONTH($A122),MIN(Settings!$E$56,DAY($B122))))&gt;=MAX($A122,Settings!$F$56),IF(Settings!$E$56="",$B122,DATE(YEAR($A122),MONTH($A122),MIN(Settings!$E$56,DAY($B122))))&lt;=MIN($C122,IF(Settings!$G$56="",$C122,Settings!$G$56))),1,0)))</f>
        <v/>
      </c>
      <c r="BQ122">
        <f>IF(OR(Settings!$B$14="",$D122=1,$E122="pre",$A122&lt;IF(Settings!$B$15="",0,Settings!$B$15)),0,Settings!$B$14)</f>
        <v/>
      </c>
      <c r="BR122">
        <f>IF(AND('Month-End'!$DO$7&lt;&gt;"",NOT(_xlfn.ISFORMULA('Month-End'!$DO$7))),1,0)</f>
        <v/>
      </c>
      <c r="BS122">
        <f>IF(AND('Month-End'!$DO$8&lt;&gt;"",NOT(_xlfn.ISFORMULA('Month-End'!$DO$8))),1,0)</f>
        <v/>
      </c>
      <c r="BT122">
        <f>IF(AND('Month-End'!$DO$9&lt;&gt;"",NOT(_xlfn.ISFORMULA('Month-End'!$DO$9))),1,0)</f>
        <v/>
      </c>
      <c r="BU122">
        <f>IF(AND('Month-End'!$DO$10&lt;&gt;"",NOT(_xlfn.ISFORMULA('Month-End'!$DO$10))),1,0)</f>
        <v/>
      </c>
      <c r="BV122">
        <f>IF(AND('Month-End'!$DO$11&lt;&gt;"",NOT(_xlfn.ISFORMULA('Month-End'!$DO$11))),1,0)</f>
        <v/>
      </c>
      <c r="BW122">
        <f>IF(AND('Month-End'!$DO$12&lt;&gt;"",NOT(_xlfn.ISFORMULA('Month-End'!$DO$12))),1,0)</f>
        <v/>
      </c>
      <c r="BX122">
        <f>IF(AND('Month-End'!$DO$13&lt;&gt;"",NOT(_xlfn.ISFORMULA('Month-End'!$DO$13))),1,0)</f>
        <v/>
      </c>
      <c r="BY122">
        <f>IF(AND('Month-End'!$DO$14&lt;&gt;"",NOT(_xlfn.ISFORMULA('Month-End'!$DO$14))),1,0)</f>
        <v/>
      </c>
      <c r="BZ122">
        <f>IF(AND('Month-End'!$DO$15&lt;&gt;"",NOT(_xlfn.ISFORMULA('Month-End'!$DO$15))),1,0)</f>
        <v/>
      </c>
      <c r="CA122">
        <f>IF(AND('Month-End'!$DO$16&lt;&gt;"",NOT(_xlfn.ISFORMULA('Month-End'!$DO$16))),1,0)</f>
        <v/>
      </c>
      <c r="CB122">
        <f>IF(AND('Month-End'!$DO$17&lt;&gt;"",NOT(_xlfn.ISFORMULA('Month-End'!$DO$17))),1,0)</f>
        <v/>
      </c>
      <c r="CC122">
        <f>IF(AND('Month-End'!$DO$18&lt;&gt;"",NOT(_xlfn.ISFORMULA('Month-End'!$DO$18))),1,0)</f>
        <v/>
      </c>
      <c r="CD122">
        <f>IF(AND('Month-End'!$DO$19&lt;&gt;"",NOT(_xlfn.ISFORMULA('Month-End'!$DO$19))),1,0)</f>
        <v/>
      </c>
      <c r="CE122">
        <f>IF(AND('Month-End'!$DO$20&lt;&gt;"",NOT(_xlfn.ISFORMULA('Month-End'!$DO$20))),1,0)</f>
        <v/>
      </c>
      <c r="CF122">
        <f>IF(AND('Month-End'!$DO$38&lt;&gt;"",NOT(_xlfn.ISFORMULA('Month-End'!$DO$38))),1,0)</f>
        <v/>
      </c>
      <c r="CG122">
        <f>IF(AND('Month-End'!$DO$39&lt;&gt;"",NOT(_xlfn.ISFORMULA('Month-End'!$DO$39))),1,0)</f>
        <v/>
      </c>
      <c r="CH122">
        <f>IF(AND('Month-End'!$DO$40&lt;&gt;"",NOT(_xlfn.ISFORMULA('Month-End'!$DO$40))),1,0)</f>
        <v/>
      </c>
      <c r="CI122">
        <f>IF(AND('Month-End'!$DO$41&lt;&gt;"",NOT(_xlfn.ISFORMULA('Month-End'!$DO$41))),1,0)</f>
        <v/>
      </c>
      <c r="CJ122">
        <f>IF(AND('Month-End'!$DO$42&lt;&gt;"",NOT(_xlfn.ISFORMULA('Month-End'!$DO$42))),1,0)</f>
        <v/>
      </c>
      <c r="CK122">
        <f>IF(AND('Month-End'!$DO$43&lt;&gt;"",NOT(_xlfn.ISFORMULA('Month-End'!$DO$43))),1,0)</f>
        <v/>
      </c>
      <c r="CL122">
        <f>SUM($CM122:$CZ122)</f>
        <v/>
      </c>
      <c r="CM122">
        <f>IF(AND($E122&lt;&gt;"pre",AND(Settings!$A$19&lt;&gt;"",Settings!$E$19&lt;&gt;"No"),Settings!$F$19="Yes",NOT(AND('Month-End'!$DO$7&lt;&gt;"",NOT(_xlfn.ISFORMULA('Month-End'!$DO$7))))),1,0)</f>
        <v/>
      </c>
      <c r="CN122">
        <f>IF(AND($E122&lt;&gt;"pre",AND(Settings!$A$20&lt;&gt;"",Settings!$E$20&lt;&gt;"No"),Settings!$F$20="Yes",NOT(AND('Month-End'!$DO$8&lt;&gt;"",NOT(_xlfn.ISFORMULA('Month-End'!$DO$8))))),1,0)</f>
        <v/>
      </c>
      <c r="CO122">
        <f>IF(AND($E122&lt;&gt;"pre",AND(Settings!$A$21&lt;&gt;"",Settings!$E$21&lt;&gt;"No"),Settings!$F$21="Yes",NOT(AND('Month-End'!$DO$9&lt;&gt;"",NOT(_xlfn.ISFORMULA('Month-End'!$DO$9))))),1,0)</f>
        <v/>
      </c>
      <c r="CP122">
        <f>IF(AND($E122&lt;&gt;"pre",AND(Settings!$A$22&lt;&gt;"",Settings!$E$22&lt;&gt;"No"),Settings!$F$22="Yes",NOT(AND('Month-End'!$DO$10&lt;&gt;"",NOT(_xlfn.ISFORMULA('Month-End'!$DO$10))))),1,0)</f>
        <v/>
      </c>
      <c r="CQ122">
        <f>IF(AND($E122&lt;&gt;"pre",AND(Settings!$A$23&lt;&gt;"",Settings!$E$23&lt;&gt;"No"),Settings!$F$23="Yes",NOT(AND('Month-End'!$DO$11&lt;&gt;"",NOT(_xlfn.ISFORMULA('Month-End'!$DO$11))))),1,0)</f>
        <v/>
      </c>
      <c r="CR122">
        <f>IF(AND($E122&lt;&gt;"pre",AND(Settings!$A$24&lt;&gt;"",Settings!$E$24&lt;&gt;"No"),Settings!$F$24="Yes",NOT(AND('Month-End'!$DO$12&lt;&gt;"",NOT(_xlfn.ISFORMULA('Month-End'!$DO$12))))),1,0)</f>
        <v/>
      </c>
      <c r="CS122">
        <f>IF(AND($E122&lt;&gt;"pre",AND(Settings!$A$25&lt;&gt;"",Settings!$E$25&lt;&gt;"No"),Settings!$F$25="Yes",NOT(AND('Month-End'!$DO$13&lt;&gt;"",NOT(_xlfn.ISFORMULA('Month-End'!$DO$13))))),1,0)</f>
        <v/>
      </c>
      <c r="CT122">
        <f>IF(AND($E122&lt;&gt;"pre",AND(Settings!$A$26&lt;&gt;"",Settings!$E$26&lt;&gt;"No"),Settings!$F$26="Yes",NOT(AND('Month-End'!$DO$14&lt;&gt;"",NOT(_xlfn.ISFORMULA('Month-End'!$DO$14))))),1,0)</f>
        <v/>
      </c>
      <c r="CU122">
        <f>IF(AND($E122&lt;&gt;"pre",AND(Settings!$A$27&lt;&gt;"",Settings!$E$27&lt;&gt;"No"),Settings!$F$27="Yes",NOT(AND('Month-End'!$DO$15&lt;&gt;"",NOT(_xlfn.ISFORMULA('Month-End'!$DO$15))))),1,0)</f>
        <v/>
      </c>
      <c r="CV122">
        <f>IF(AND($E122&lt;&gt;"pre",AND(Settings!$A$28&lt;&gt;"",Settings!$E$28&lt;&gt;"No"),Settings!$F$28="Yes",NOT(AND('Month-End'!$DO$16&lt;&gt;"",NOT(_xlfn.ISFORMULA('Month-End'!$DO$16))))),1,0)</f>
        <v/>
      </c>
      <c r="CW122">
        <f>IF(AND($E122&lt;&gt;"pre",AND(Settings!$A$29&lt;&gt;"",Settings!$E$29&lt;&gt;"No"),Settings!$F$29="Yes",NOT(AND('Month-End'!$DO$17&lt;&gt;"",NOT(_xlfn.ISFORMULA('Month-End'!$DO$17))))),1,0)</f>
        <v/>
      </c>
      <c r="CX122">
        <f>IF(AND($E122&lt;&gt;"pre",AND(Settings!$A$30&lt;&gt;"",Settings!$E$30&lt;&gt;"No"),Settings!$F$30="Yes",NOT(AND('Month-End'!$DO$18&lt;&gt;"",NOT(_xlfn.ISFORMULA('Month-End'!$DO$18))))),1,0)</f>
        <v/>
      </c>
      <c r="CY122">
        <f>IF(AND($E122&lt;&gt;"pre",AND(Settings!$A$31&lt;&gt;"",Settings!$E$31&lt;&gt;"No"),Settings!$F$31="Yes",NOT(AND('Month-End'!$DO$19&lt;&gt;"",NOT(_xlfn.ISFORMULA('Month-End'!$DO$19))))),1,0)</f>
        <v/>
      </c>
      <c r="CZ122">
        <f>IF(AND($E122&lt;&gt;"pre",AND(Settings!$A$32&lt;&gt;"",Settings!$E$32&lt;&gt;"No"),Settings!$F$32="Yes",NOT(AND('Month-End'!$DO$20&lt;&gt;"",NOT(_xlfn.ISFORMULA('Month-End'!$DO$20))))),1,0)</f>
        <v/>
      </c>
      <c r="DA122">
        <f>IF($DT122=1,IF(OR(Settings!$B$19="Checking",Settings!$B$19="Savings",Settings!$B$19="Cash"),N($AE122),IF(OR(Settings!$B$19="Card",Settings!$B$19="Loan"),-N($AE122),0))+IF(OR(Settings!$B$20="Checking",Settings!$B$20="Savings",Settings!$B$20="Cash"),N($AF122),IF(OR(Settings!$B$20="Card",Settings!$B$20="Loan"),-N($AF122),0))+IF(OR(Settings!$B$21="Checking",Settings!$B$21="Savings",Settings!$B$21="Cash"),N($AG122),IF(OR(Settings!$B$21="Card",Settings!$B$21="Loan"),-N($AG122),0))+IF(OR(Settings!$B$22="Checking",Settings!$B$22="Savings",Settings!$B$22="Cash"),N($AH122),IF(OR(Settings!$B$22="Card",Settings!$B$22="Loan"),-N($AH122),0))+IF(OR(Settings!$B$23="Checking",Settings!$B$23="Savings",Settings!$B$23="Cash"),N($AI122),IF(OR(Settings!$B$23="Card",Settings!$B$23="Loan"),-N($AI122),0))+IF(OR(Settings!$B$24="Checking",Settings!$B$24="Savings",Settings!$B$24="Cash"),N($AJ122),IF(OR(Settings!$B$24="Card",Settings!$B$24="Loan"),-N($AJ122),0))+IF(OR(Settings!$B$25="Checking",Settings!$B$25="Savings",Settings!$B$25="Cash"),N($AK122),IF(OR(Settings!$B$25="Card",Settings!$B$25="Loan"),-N($AK122),0))+IF(OR(Settings!$B$26="Checking",Settings!$B$26="Savings",Settings!$B$26="Cash"),N($AL122),IF(OR(Settings!$B$26="Card",Settings!$B$26="Loan"),-N($AL122),0))+IF(OR(Settings!$B$27="Checking",Settings!$B$27="Savings",Settings!$B$27="Cash"),N($AM122),IF(OR(Settings!$B$27="Card",Settings!$B$27="Loan"),-N($AM122),0))+IF(OR(Settings!$B$28="Checking",Settings!$B$28="Savings",Settings!$B$28="Cash"),N($AN122),IF(OR(Settings!$B$28="Card",Settings!$B$28="Loan"),-N($AN122),0))+IF(OR(Settings!$B$29="Checking",Settings!$B$29="Savings",Settings!$B$29="Cash"),N($AO122),IF(OR(Settings!$B$29="Card",Settings!$B$29="Loan"),-N($AO122),0))+IF(OR(Settings!$B$30="Checking",Settings!$B$30="Savings",Settings!$B$30="Cash"),N($AP122),IF(OR(Settings!$B$30="Card",Settings!$B$30="Loan"),-N($AP122),0))+IF(OR(Settings!$B$31="Checking",Settings!$B$31="Savings",Settings!$B$31="Cash"),N($AQ122),IF(OR(Settings!$B$31="Card",Settings!$B$31="Loan"),-N($AQ122),0))+IF(OR(Settings!$B$32="Checking",Settings!$B$32="Savings",Settings!$B$32="Cash"),N($AR122),IF(OR(Settings!$B$32="Card",Settings!$B$32="Loan"),-N($AR122),0)),"")</f>
        <v/>
      </c>
      <c r="DB122">
        <f>IF($E122="open",$EB$27,IF($E122="post",IF($E121="pre",$EB$27,$DA121),""))</f>
        <v/>
      </c>
      <c r="DC122">
        <f>IF($E122="open",1,IF($E122="post",IF($E121="pre",1,$DT121),0))</f>
        <v/>
      </c>
      <c r="DD122">
        <f>IF(AND($DT122=1,$DC122=1),ROUND($W122-($DA122-$DB122)-$AD122-$AB122,2),"")</f>
        <v/>
      </c>
      <c r="DE122">
        <f>IF('Month-End'!$DO$35="",$BQ122,N('Month-End'!$DO$35))</f>
        <v/>
      </c>
      <c r="DF122">
        <f>N('Month-End'!$DO$36)</f>
        <v/>
      </c>
      <c r="DG122">
        <f>IF($DD122="","",$DD122+$DE122)</f>
        <v/>
      </c>
      <c r="DH122">
        <f>IF($DG122="","",$DG122-$DF122)</f>
        <v/>
      </c>
      <c r="DI122">
        <f>IF(OR($E122="pre",$D122=1),"",N($AS122)+N($AT122)+N($AU122)+N($AV122)+N($AW122)+N($AX122))</f>
        <v/>
      </c>
      <c r="DJ122">
        <f>IF($DT122=1,$DA122+N($DI122),"")</f>
        <v/>
      </c>
      <c r="DK122">
        <f>IF($DD122="","",$W122-$DD122-$AB122)</f>
        <v/>
      </c>
      <c r="DL122">
        <f>IF(AND($E122="post",$DD122&lt;&gt;"",$B122&lt;TODAY()),1,0)</f>
        <v/>
      </c>
      <c r="DM122">
        <f>IF($DL122=1,COUNTIF($DL122:$DL$183,1),0)</f>
        <v/>
      </c>
      <c r="DN122">
        <f>IF($D122=1,"",IF($E122="pre","History only",IF($DT122=1,IF($DD122="","⚠ Previous month missing",IF($DD122&lt;0,"⚠ Check: spending &lt; 0",IF($E122="open","✓ Done (partial)","✓ Done"))),IF($B122&gt;=TODAY(),"In progress","⚠ Needs balances"))))</f>
        <v/>
      </c>
      <c r="DO122">
        <f>YEAR($A122)</f>
        <v/>
      </c>
      <c r="DP122">
        <f>DATE(YEAR($A122),INT((MONTH($A122)-1)/3)*3+1,1)</f>
        <v/>
      </c>
      <c r="DQ122">
        <f>IF(AND($DT122=1,$DD122&lt;&gt;"",$D122=0),ROW(),0)</f>
        <v/>
      </c>
      <c r="DR122">
        <f>IF(AND($E122&lt;&gt;"pre",$B122&lt;TODAY(),$DT122=0),1,0)</f>
        <v/>
      </c>
      <c r="DS122">
        <f>IF($DJ122="",NA(),$DJ122)</f>
        <v/>
      </c>
      <c r="DT122">
        <f>IF(AND($E122&lt;&gt;"pre",$CL122=0,COUNTIFS(Settings!$F$19:$F$32,"Yes",Settings!$A$19:$A$32,"&lt;&gt;",Settings!$E$19:$E$32,"&lt;&gt;No")&gt;0),1,0)</f>
        <v/>
      </c>
      <c r="DU122">
        <f>IF(AND($B122&lt;TODAY(),$S122&gt;0),1,0)</f>
        <v/>
      </c>
      <c r="DV122">
        <f>IF($DU122=1,COUNTIF($DU122:$DU$183,1),0)</f>
        <v/>
      </c>
      <c r="DW122">
        <f>IF(AND(OR(Settings!$B$19="Card",Settings!$B$19="Loan"),AND('Month-End'!$DO$7&lt;&gt;"",NOT(_xlfn.ISFORMULA('Month-End'!$DO$7)))),IF(N('Month-End'!$DO$7)&lt;0,1,0),0)+IF(AND(OR(Settings!$B$20="Card",Settings!$B$20="Loan"),AND('Month-End'!$DO$8&lt;&gt;"",NOT(_xlfn.ISFORMULA('Month-End'!$DO$8)))),IF(N('Month-End'!$DO$8)&lt;0,1,0),0)+IF(AND(OR(Settings!$B$21="Card",Settings!$B$21="Loan"),AND('Month-End'!$DO$9&lt;&gt;"",NOT(_xlfn.ISFORMULA('Month-End'!$DO$9)))),IF(N('Month-End'!$DO$9)&lt;0,1,0),0)+IF(AND(OR(Settings!$B$22="Card",Settings!$B$22="Loan"),AND('Month-End'!$DO$10&lt;&gt;"",NOT(_xlfn.ISFORMULA('Month-End'!$DO$10)))),IF(N('Month-End'!$DO$10)&lt;0,1,0),0)+IF(AND(OR(Settings!$B$23="Card",Settings!$B$23="Loan"),AND('Month-End'!$DO$11&lt;&gt;"",NOT(_xlfn.ISFORMULA('Month-End'!$DO$11)))),IF(N('Month-End'!$DO$11)&lt;0,1,0),0)+IF(AND(OR(Settings!$B$24="Card",Settings!$B$24="Loan"),AND('Month-End'!$DO$12&lt;&gt;"",NOT(_xlfn.ISFORMULA('Month-End'!$DO$12)))),IF(N('Month-End'!$DO$12)&lt;0,1,0),0)+IF(AND(OR(Settings!$B$25="Card",Settings!$B$25="Loan"),AND('Month-End'!$DO$13&lt;&gt;"",NOT(_xlfn.ISFORMULA('Month-End'!$DO$13)))),IF(N('Month-End'!$DO$13)&lt;0,1,0),0)+IF(AND(OR(Settings!$B$26="Card",Settings!$B$26="Loan"),AND('Month-End'!$DO$14&lt;&gt;"",NOT(_xlfn.ISFORMULA('Month-End'!$DO$14)))),IF(N('Month-End'!$DO$14)&lt;0,1,0),0)+IF(AND(OR(Settings!$B$27="Card",Settings!$B$27="Loan"),AND('Month-End'!$DO$15&lt;&gt;"",NOT(_xlfn.ISFORMULA('Month-End'!$DO$15)))),IF(N('Month-End'!$DO$15)&lt;0,1,0),0)+IF(AND(OR(Settings!$B$28="Card",Settings!$B$28="Loan"),AND('Month-End'!$DO$16&lt;&gt;"",NOT(_xlfn.ISFORMULA('Month-End'!$DO$16)))),IF(N('Month-End'!$DO$16)&lt;0,1,0),0)+IF(AND(OR(Settings!$B$29="Card",Settings!$B$29="Loan"),AND('Month-End'!$DO$17&lt;&gt;"",NOT(_xlfn.ISFORMULA('Month-End'!$DO$17)))),IF(N('Month-End'!$DO$17)&lt;0,1,0),0)+IF(AND(OR(Settings!$B$30="Card",Settings!$B$30="Loan"),AND('Month-End'!$DO$18&lt;&gt;"",NOT(_xlfn.ISFORMULA('Month-End'!$DO$18)))),IF(N('Month-End'!$DO$18)&lt;0,1,0),0)+IF(AND(OR(Settings!$B$31="Card",Settings!$B$31="Loan"),AND('Month-End'!$DO$19&lt;&gt;"",NOT(_xlfn.ISFORMULA('Month-End'!$DO$19)))),IF(N('Month-End'!$DO$19)&lt;0,1,0),0)+IF(AND(OR(Settings!$B$32="Card",Settings!$B$32="Loan"),AND('Month-End'!$DO$20&lt;&gt;"",NOT(_xlfn.ISFORMULA('Month-End'!$DO$20)))),IF(N('Month-End'!$DO$20)&lt;0,1,0),0)</f>
        <v/>
      </c>
      <c r="DX122">
        <f>IF(Settings!$B$36="Retirement",$AY122,0)+IF(Settings!$B$37="Retirement",$AZ122,0)+IF(Settings!$B$38="Retirement",$BA122,0)+IF(Settings!$B$39="Retirement",$BB122,0)+IF(Settings!$B$40="Retirement",$BC122,0)+IF(Settings!$B$41="Retirement",$BD122,0)</f>
        <v/>
      </c>
      <c r="EO122">
        <f>EDATE(DATE(YEAR(TODAY()),MONTH(TODAY()),1),-1)</f>
        <v/>
      </c>
      <c r="ER122">
        <f>IFERROR(IF(INDEX($DJ$6:$DJ$183,MATCH(EO122,$A$6:$A$183,0))="",NA(),INDEX($DJ$6:$DJ$183,MATCH(EO122,$A$6:$A$183,0))),NA())</f>
        <v/>
      </c>
      <c r="ES122">
        <f>TEXT(EO122,"mmm yy")</f>
        <v/>
      </c>
      <c r="ET122">
        <f>IF($E122&lt;&gt;"open",0,IF(AND('Month-End'!$DO$22&lt;&gt;"",NOT(_xlfn.ISFORMULA('Month-End'!$DO$22))),0,IF(OR(Settings!$C$45="",Settings!$D$45=""),0,Settings!$C$45*IF(Settings!$D$45="Weekly",IF(IFERROR(MATCH(Settings!$E$45,$EO$4:$EO$10,0),0)=0,0,IF(MIN(Settings!$B$5,IF(Settings!$G$45="",Settings!$B$5,Settings!$G$45))&lt;MAX($A122,Settings!$F$45),0,INT((MIN(Settings!$B$5,IF(Settings!$G$45="",Settings!$B$5,Settings!$G$45))-MAX($A122,Settings!$F$45)-MOD(IFERROR(MATCH(Settings!$E$45,$EO$4:$EO$10,0),0)-WEEKDAY(MAX($A122,Settings!$F$45)),7))/7)+1)),IF(AND(IF(Settings!$E$45="",$B122,DATE(YEAR($A122),MONTH($A122),MIN(Settings!$E$45,DAY($B122))))&gt;=MAX($A122,Settings!$F$45),IF(Settings!$E$45="",$B122,DATE(YEAR($A122),MONTH($A122),MIN(Settings!$E$45,DAY($B122))))&lt;=MIN(Settings!$B$5,IF(Settings!$G$45="",Settings!$B$5,Settings!$G$45))),1,0)))))</f>
        <v/>
      </c>
      <c r="EU122">
        <f>IF($E122&lt;&gt;"open",0,IF(AND('Month-End'!$DO$23&lt;&gt;"",NOT(_xlfn.ISFORMULA('Month-End'!$DO$23))),0,IF(OR(Settings!$C$46="",Settings!$D$46=""),0,Settings!$C$46*IF(Settings!$D$46="Weekly",IF(IFERROR(MATCH(Settings!$E$46,$EO$4:$EO$10,0),0)=0,0,IF(MIN(Settings!$B$5,IF(Settings!$G$46="",Settings!$B$5,Settings!$G$46))&lt;MAX($A122,Settings!$F$46),0,INT((MIN(Settings!$B$5,IF(Settings!$G$46="",Settings!$B$5,Settings!$G$46))-MAX($A122,Settings!$F$46)-MOD(IFERROR(MATCH(Settings!$E$46,$EO$4:$EO$10,0),0)-WEEKDAY(MAX($A122,Settings!$F$46)),7))/7)+1)),IF(AND(IF(Settings!$E$46="",$B122,DATE(YEAR($A122),MONTH($A122),MIN(Settings!$E$46,DAY($B122))))&gt;=MAX($A122,Settings!$F$46),IF(Settings!$E$46="",$B122,DATE(YEAR($A122),MONTH($A122),MIN(Settings!$E$46,DAY($B122))))&lt;=MIN(Settings!$B$5,IF(Settings!$G$46="",Settings!$B$5,Settings!$G$46))),1,0)))))</f>
        <v/>
      </c>
      <c r="EV122">
        <f>IF($E122&lt;&gt;"open",0,IF(AND('Month-End'!$DO$24&lt;&gt;"",NOT(_xlfn.ISFORMULA('Month-End'!$DO$24))),0,IF(OR(Settings!$C$47="",Settings!$D$47=""),0,Settings!$C$47*IF(Settings!$D$47="Weekly",IF(IFERROR(MATCH(Settings!$E$47,$EO$4:$EO$10,0),0)=0,0,IF(MIN(Settings!$B$5,IF(Settings!$G$47="",Settings!$B$5,Settings!$G$47))&lt;MAX($A122,Settings!$F$47),0,INT((MIN(Settings!$B$5,IF(Settings!$G$47="",Settings!$B$5,Settings!$G$47))-MAX($A122,Settings!$F$47)-MOD(IFERROR(MATCH(Settings!$E$47,$EO$4:$EO$10,0),0)-WEEKDAY(MAX($A122,Settings!$F$47)),7))/7)+1)),IF(AND(IF(Settings!$E$47="",$B122,DATE(YEAR($A122),MONTH($A122),MIN(Settings!$E$47,DAY($B122))))&gt;=MAX($A122,Settings!$F$47),IF(Settings!$E$47="",$B122,DATE(YEAR($A122),MONTH($A122),MIN(Settings!$E$47,DAY($B122))))&lt;=MIN(Settings!$B$5,IF(Settings!$G$47="",Settings!$B$5,Settings!$G$47))),1,0)))))</f>
        <v/>
      </c>
      <c r="EW122">
        <f>IF($E122&lt;&gt;"open",0,IF(AND('Month-End'!$DO$25&lt;&gt;"",NOT(_xlfn.ISFORMULA('Month-End'!$DO$25))),0,IF(OR(Settings!$C$48="",Settings!$D$48=""),0,Settings!$C$48*IF(Settings!$D$48="Weekly",IF(IFERROR(MATCH(Settings!$E$48,$EO$4:$EO$10,0),0)=0,0,IF(MIN(Settings!$B$5,IF(Settings!$G$48="",Settings!$B$5,Settings!$G$48))&lt;MAX($A122,Settings!$F$48),0,INT((MIN(Settings!$B$5,IF(Settings!$G$48="",Settings!$B$5,Settings!$G$48))-MAX($A122,Settings!$F$48)-MOD(IFERROR(MATCH(Settings!$E$48,$EO$4:$EO$10,0),0)-WEEKDAY(MAX($A122,Settings!$F$48)),7))/7)+1)),IF(AND(IF(Settings!$E$48="",$B122,DATE(YEAR($A122),MONTH($A122),MIN(Settings!$E$48,DAY($B122))))&gt;=MAX($A122,Settings!$F$48),IF(Settings!$E$48="",$B122,DATE(YEAR($A122),MONTH($A122),MIN(Settings!$E$48,DAY($B122))))&lt;=MIN(Settings!$B$5,IF(Settings!$G$48="",Settings!$B$5,Settings!$G$48))),1,0)))))</f>
        <v/>
      </c>
      <c r="EX122">
        <f>IF($E122&lt;&gt;"open",0,IF(AND('Month-End'!$DO$26&lt;&gt;"",NOT(_xlfn.ISFORMULA('Month-End'!$DO$26))),0,IF(OR(Settings!$C$49="",Settings!$D$49=""),0,Settings!$C$49*IF(Settings!$D$49="Weekly",IF(IFERROR(MATCH(Settings!$E$49,$EO$4:$EO$10,0),0)=0,0,IF(MIN(Settings!$B$5,IF(Settings!$G$49="",Settings!$B$5,Settings!$G$49))&lt;MAX($A122,Settings!$F$49),0,INT((MIN(Settings!$B$5,IF(Settings!$G$49="",Settings!$B$5,Settings!$G$49))-MAX($A122,Settings!$F$49)-MOD(IFERROR(MATCH(Settings!$E$49,$EO$4:$EO$10,0),0)-WEEKDAY(MAX($A122,Settings!$F$49)),7))/7)+1)),IF(AND(IF(Settings!$E$49="",$B122,DATE(YEAR($A122),MONTH($A122),MIN(Settings!$E$49,DAY($B122))))&gt;=MAX($A122,Settings!$F$49),IF(Settings!$E$49="",$B122,DATE(YEAR($A122),MONTH($A122),MIN(Settings!$E$49,DAY($B122))))&lt;=MIN(Settings!$B$5,IF(Settings!$G$49="",Settings!$B$5,Settings!$G$49))),1,0)))))</f>
        <v/>
      </c>
      <c r="EY122">
        <f>IF($E122&lt;&gt;"open",0,IF(AND('Month-End'!$DO$27&lt;&gt;"",NOT(_xlfn.ISFORMULA('Month-End'!$DO$27))),0,IF(OR(Settings!$C$50="",Settings!$D$50=""),0,Settings!$C$50*IF(Settings!$D$50="Weekly",IF(IFERROR(MATCH(Settings!$E$50,$EO$4:$EO$10,0),0)=0,0,IF(MIN(Settings!$B$5,IF(Settings!$G$50="",Settings!$B$5,Settings!$G$50))&lt;MAX($A122,Settings!$F$50),0,INT((MIN(Settings!$B$5,IF(Settings!$G$50="",Settings!$B$5,Settings!$G$50))-MAX($A122,Settings!$F$50)-MOD(IFERROR(MATCH(Settings!$E$50,$EO$4:$EO$10,0),0)-WEEKDAY(MAX($A122,Settings!$F$50)),7))/7)+1)),IF(AND(IF(Settings!$E$50="",$B122,DATE(YEAR($A122),MONTH($A122),MIN(Settings!$E$50,DAY($B122))))&gt;=MAX($A122,Settings!$F$50),IF(Settings!$E$50="",$B122,DATE(YEAR($A122),MONTH($A122),MIN(Settings!$E$50,DAY($B122))))&lt;=MIN(Settings!$B$5,IF(Settings!$G$50="",Settings!$B$5,Settings!$G$50))),1,0)))))</f>
        <v/>
      </c>
      <c r="EZ122">
        <f>IF($E122&lt;&gt;"open",0,IF(AND('Month-End'!$DO$28&lt;&gt;"",NOT(_xlfn.ISFORMULA('Month-End'!$DO$28))),0,IF(OR(Settings!$C$51="",Settings!$D$51=""),0,Settings!$C$51*IF(Settings!$D$51="Weekly",IF(IFERROR(MATCH(Settings!$E$51,$EO$4:$EO$10,0),0)=0,0,IF(MIN(Settings!$B$5,IF(Settings!$G$51="",Settings!$B$5,Settings!$G$51))&lt;MAX($A122,Settings!$F$51),0,INT((MIN(Settings!$B$5,IF(Settings!$G$51="",Settings!$B$5,Settings!$G$51))-MAX($A122,Settings!$F$51)-MOD(IFERROR(MATCH(Settings!$E$51,$EO$4:$EO$10,0),0)-WEEKDAY(MAX($A122,Settings!$F$51)),7))/7)+1)),IF(AND(IF(Settings!$E$51="",$B122,DATE(YEAR($A122),MONTH($A122),MIN(Settings!$E$51,DAY($B122))))&gt;=MAX($A122,Settings!$F$51),IF(Settings!$E$51="",$B122,DATE(YEAR($A122),MONTH($A122),MIN(Settings!$E$51,DAY($B122))))&lt;=MIN(Settings!$B$5,IF(Settings!$G$51="",Settings!$B$5,Settings!$G$51))),1,0)))))</f>
        <v/>
      </c>
      <c r="FA122">
        <f>IF($E122&lt;&gt;"open",0,IF(AND('Month-End'!$DO$29&lt;&gt;"",NOT(_xlfn.ISFORMULA('Month-End'!$DO$29))),0,IF(OR(Settings!$C$52="",Settings!$D$52=""),0,Settings!$C$52*IF(Settings!$D$52="Weekly",IF(IFERROR(MATCH(Settings!$E$52,$EO$4:$EO$10,0),0)=0,0,IF(MIN(Settings!$B$5,IF(Settings!$G$52="",Settings!$B$5,Settings!$G$52))&lt;MAX($A122,Settings!$F$52),0,INT((MIN(Settings!$B$5,IF(Settings!$G$52="",Settings!$B$5,Settings!$G$52))-MAX($A122,Settings!$F$52)-MOD(IFERROR(MATCH(Settings!$E$52,$EO$4:$EO$10,0),0)-WEEKDAY(MAX($A122,Settings!$F$52)),7))/7)+1)),IF(AND(IF(Settings!$E$52="",$B122,DATE(YEAR($A122),MONTH($A122),MIN(Settings!$E$52,DAY($B122))))&gt;=MAX($A122,Settings!$F$52),IF(Settings!$E$52="",$B122,DATE(YEAR($A122),MONTH($A122),MIN(Settings!$E$52,DAY($B122))))&lt;=MIN(Settings!$B$5,IF(Settings!$G$52="",Settings!$B$5,Settings!$G$52))),1,0)))))</f>
        <v/>
      </c>
      <c r="FB122">
        <f>IF($E122&lt;&gt;"open",0,IF(AND('Month-End'!$DO$30&lt;&gt;"",NOT(_xlfn.ISFORMULA('Month-End'!$DO$30))),0,IF(OR(Settings!$C$53="",Settings!$D$53=""),0,Settings!$C$53*IF(Settings!$D$53="Weekly",IF(IFERROR(MATCH(Settings!$E$53,$EO$4:$EO$10,0),0)=0,0,IF(MIN(Settings!$B$5,IF(Settings!$G$53="",Settings!$B$5,Settings!$G$53))&lt;MAX($A122,Settings!$F$53),0,INT((MIN(Settings!$B$5,IF(Settings!$G$53="",Settings!$B$5,Settings!$G$53))-MAX($A122,Settings!$F$53)-MOD(IFERROR(MATCH(Settings!$E$53,$EO$4:$EO$10,0),0)-WEEKDAY(MAX($A122,Settings!$F$53)),7))/7)+1)),IF(AND(IF(Settings!$E$53="",$B122,DATE(YEAR($A122),MONTH($A122),MIN(Settings!$E$53,DAY($B122))))&gt;=MAX($A122,Settings!$F$53),IF(Settings!$E$53="",$B122,DATE(YEAR($A122),MONTH($A122),MIN(Settings!$E$53,DAY($B122))))&lt;=MIN(Settings!$B$5,IF(Settings!$G$53="",Settings!$B$5,Settings!$G$53))),1,0)))))</f>
        <v/>
      </c>
      <c r="FC122">
        <f>IF($E122&lt;&gt;"open",0,IF(AND('Month-End'!$DO$31&lt;&gt;"",NOT(_xlfn.ISFORMULA('Month-End'!$DO$31))),0,IF(OR(Settings!$C$54="",Settings!$D$54=""),0,Settings!$C$54*IF(Settings!$D$54="Weekly",IF(IFERROR(MATCH(Settings!$E$54,$EO$4:$EO$10,0),0)=0,0,IF(MIN(Settings!$B$5,IF(Settings!$G$54="",Settings!$B$5,Settings!$G$54))&lt;MAX($A122,Settings!$F$54),0,INT((MIN(Settings!$B$5,IF(Settings!$G$54="",Settings!$B$5,Settings!$G$54))-MAX($A122,Settings!$F$54)-MOD(IFERROR(MATCH(Settings!$E$54,$EO$4:$EO$10,0),0)-WEEKDAY(MAX($A122,Settings!$F$54)),7))/7)+1)),IF(AND(IF(Settings!$E$54="",$B122,DATE(YEAR($A122),MONTH($A122),MIN(Settings!$E$54,DAY($B122))))&gt;=MAX($A122,Settings!$F$54),IF(Settings!$E$54="",$B122,DATE(YEAR($A122),MONTH($A122),MIN(Settings!$E$54,DAY($B122))))&lt;=MIN(Settings!$B$5,IF(Settings!$G$54="",Settings!$B$5,Settings!$G$54))),1,0)))))</f>
        <v/>
      </c>
      <c r="FD122">
        <f>IF($E122&lt;&gt;"open",0,IF(AND('Month-End'!$DO$32&lt;&gt;"",NOT(_xlfn.ISFORMULA('Month-End'!$DO$32))),0,IF(OR(Settings!$C$55="",Settings!$D$55=""),0,Settings!$C$55*IF(Settings!$D$55="Weekly",IF(IFERROR(MATCH(Settings!$E$55,$EO$4:$EO$10,0),0)=0,0,IF(MIN(Settings!$B$5,IF(Settings!$G$55="",Settings!$B$5,Settings!$G$55))&lt;MAX($A122,Settings!$F$55),0,INT((MIN(Settings!$B$5,IF(Settings!$G$55="",Settings!$B$5,Settings!$G$55))-MAX($A122,Settings!$F$55)-MOD(IFERROR(MATCH(Settings!$E$55,$EO$4:$EO$10,0),0)-WEEKDAY(MAX($A122,Settings!$F$55)),7))/7)+1)),IF(AND(IF(Settings!$E$55="",$B122,DATE(YEAR($A122),MONTH($A122),MIN(Settings!$E$55,DAY($B122))))&gt;=MAX($A122,Settings!$F$55),IF(Settings!$E$55="",$B122,DATE(YEAR($A122),MONTH($A122),MIN(Settings!$E$55,DAY($B122))))&lt;=MIN(Settings!$B$5,IF(Settings!$G$55="",Settings!$B$5,Settings!$G$55))),1,0)))))</f>
        <v/>
      </c>
      <c r="FE122">
        <f>IF($E122&lt;&gt;"open",0,IF(AND('Month-End'!$DO$33&lt;&gt;"",NOT(_xlfn.ISFORMULA('Month-End'!$DO$33))),0,IF(OR(Settings!$C$56="",Settings!$D$56=""),0,Settings!$C$56*IF(Settings!$D$56="Weekly",IF(IFERROR(MATCH(Settings!$E$56,$EO$4:$EO$10,0),0)=0,0,IF(MIN(Settings!$B$5,IF(Settings!$G$56="",Settings!$B$5,Settings!$G$56))&lt;MAX($A122,Settings!$F$56),0,INT((MIN(Settings!$B$5,IF(Settings!$G$56="",Settings!$B$5,Settings!$G$56))-MAX($A122,Settings!$F$56)-MOD(IFERROR(MATCH(Settings!$E$56,$EO$4:$EO$10,0),0)-WEEKDAY(MAX($A122,Settings!$F$56)),7))/7)+1)),IF(AND(IF(Settings!$E$56="",$B122,DATE(YEAR($A122),MONTH($A122),MIN(Settings!$E$56,DAY($B122))))&gt;=MAX($A122,Settings!$F$56),IF(Settings!$E$56="",$B122,DATE(YEAR($A122),MONTH($A122),MIN(Settings!$E$56,DAY($B122))))&lt;=MIN(Settings!$B$5,IF(Settings!$G$56="",Settings!$B$5,Settings!$G$56))),1,0)))))</f>
        <v/>
      </c>
      <c r="FF122">
        <f>IF(Settings!$I$45="Yes",$G122,0)+IF(Settings!$I$46="Yes",$H122,0)+IF(Settings!$I$47="Yes",$I122,0)+IF(Settings!$I$48="Yes",$J122,0)+IF(Settings!$I$49="Yes",$K122,0)+IF(Settings!$I$50="Yes",$L122,0)+IF(Settings!$I$51="Yes",$M122,0)+IF(Settings!$I$52="Yes",$N122,0)+IF(Settings!$I$53="Yes",$O122,0)+IF(Settings!$I$54="Yes",$P122,0)+IF(Settings!$I$55="Yes",$Q122,0)+IF(Settings!$I$56="Yes",$R122,0)</f>
        <v/>
      </c>
      <c r="FG122">
        <f>IF(AND(Settings!$I$45="Yes",Settings!$J$45="No"),$G122,0)+IF(AND(Settings!$I$46="Yes",Settings!$J$46="No"),$H122,0)+IF(AND(Settings!$I$47="Yes",Settings!$J$47="No"),$I122,0)+IF(AND(Settings!$I$48="Yes",Settings!$J$48="No"),$J122,0)+IF(AND(Settings!$I$49="Yes",Settings!$J$49="No"),$K122,0)+IF(AND(Settings!$I$50="Yes",Settings!$J$50="No"),$L122,0)+IF(AND(Settings!$I$51="Yes",Settings!$J$51="No"),$M122,0)+IF(AND(Settings!$I$52="Yes",Settings!$J$52="No"),$N122,0)+IF(AND(Settings!$I$53="Yes",Settings!$J$53="No"),$O122,0)+IF(AND(Settings!$I$54="Yes",Settings!$J$54="No"),$P122,0)+IF(AND(Settings!$I$55="Yes",Settings!$J$55="No"),$Q122,0)+IF(AND(Settings!$I$56="Yes",Settings!$J$56="No"),$R122,0)</f>
        <v/>
      </c>
      <c r="FH122">
        <f>SUMIFS(Giving!$B$7:$B$2006,Giving!$A$7:$A$2006,"&gt;="&amp;$A122,Giving!$A$7:$A$2006,"&lt;="&amp;$B122,Giving!$G$7:$G$2006,"Yes")+IF(OR(OR(Settings!$B$60="",Settings!$F$60="No"),Settings!$H$60&lt;&gt;"Yes"),0,Settings!$B$60*IF(AND(IF(Settings!$C$60="",$B122,DATE(YEAR($A122),MONTH($A122),MIN(Settings!$C$60,DAY($B122))))&gt;=MAX($A122,Settings!$D$60),IF(Settings!$C$60="",$B122,DATE(YEAR($A122),MONTH($A122),MIN(Settings!$C$60,DAY($B122))))&lt;=MIN($C122,IF(Settings!$E$60="",$C122,Settings!$E$60))),1,0))+IF(OR(OR(Settings!$B$61="",Settings!$F$61="No"),Settings!$H$61&lt;&gt;"Yes"),0,Settings!$B$61*IF(AND(IF(Settings!$C$61="",$B122,DATE(YEAR($A122),MONTH($A122),MIN(Settings!$C$61,DAY($B122))))&gt;=MAX($A122,Settings!$D$61),IF(Settings!$C$61="",$B122,DATE(YEAR($A122),MONTH($A122),MIN(Settings!$C$61,DAY($B122))))&lt;=MIN($C122,IF(Settings!$E$61="",$C122,Settings!$E$61))),1,0))+IF(OR(OR(Settings!$B$62="",Settings!$F$62="No"),Settings!$H$62&lt;&gt;"Yes"),0,Settings!$B$62*IF(AND(IF(Settings!$C$62="",$B122,DATE(YEAR($A122),MONTH($A122),MIN(Settings!$C$62,DAY($B122))))&gt;=MAX($A122,Settings!$D$62),IF(Settings!$C$62="",$B122,DATE(YEAR($A122),MONTH($A122),MIN(Settings!$C$62,DAY($B122))))&lt;=MIN($C122,IF(Settings!$E$62="",$C122,Settings!$E$62))),1,0))+IF(OR(OR(Settings!$B$63="",Settings!$F$63="No"),Settings!$H$63&lt;&gt;"Yes"),0,Settings!$B$63*IF(AND(IF(Settings!$C$63="",$B122,DATE(YEAR($A122),MONTH($A122),MIN(Settings!$C$63,DAY($B122))))&gt;=MAX($A122,Settings!$D$63),IF(Settings!$C$63="",$B122,DATE(YEAR($A122),MONTH($A122),MIN(Settings!$C$63,DAY($B122))))&lt;=MIN($C122,IF(Settings!$E$63="",$C122,Settings!$E$63))),1,0))+IF(OR(OR(Settings!$B$64="",Settings!$F$64="No"),Settings!$H$64&lt;&gt;"Yes"),0,Settings!$B$64*IF(AND(IF(Settings!$C$64="",$B122,DATE(YEAR($A122),MONTH($A122),MIN(Settings!$C$64,DAY($B122))))&gt;=MAX($A122,Settings!$D$64),IF(Settings!$C$64="",$B122,DATE(YEAR($A122),MONTH($A122),MIN(Settings!$C$64,DAY($B122))))&lt;=MIN($C122,IF(Settings!$E$64="",$C122,Settings!$E$64))),1,0))+IF(OR(OR(Settings!$B$65="",Settings!$F$65="No"),Settings!$H$65&lt;&gt;"Yes"),0,Settings!$B$65*IF(AND(IF(Settings!$C$65="",$B122,DATE(YEAR($A122),MONTH($A122),MIN(Settings!$C$65,DAY($B122))))&gt;=MAX($A122,Settings!$D$65),IF(Settings!$C$65="",$B122,DATE(YEAR($A122),MONTH($A122),MIN(Settings!$C$65,DAY($B122))))&lt;=MIN($C122,IF(Settings!$E$65="",$C122,Settings!$E$65))),1,0))</f>
        <v/>
      </c>
      <c r="FI122">
        <f>IF($DT122=1,IF(OR(Settings!$B$19="Card",Settings!$B$19="Loan"),N($AE122),0)+IF(OR(Settings!$B$20="Card",Settings!$B$20="Loan"),N($AF122),0)+IF(OR(Settings!$B$21="Card",Settings!$B$21="Loan"),N($AG122),0)+IF(OR(Settings!$B$22="Card",Settings!$B$22="Loan"),N($AH122),0)+IF(OR(Settings!$B$23="Card",Settings!$B$23="Loan"),N($AI122),0)+IF(OR(Settings!$B$24="Card",Settings!$B$24="Loan"),N($AJ122),0)+IF(OR(Settings!$B$25="Card",Settings!$B$25="Loan"),N($AK122),0)+IF(OR(Settings!$B$26="Card",Settings!$B$26="Loan"),N($AL122),0)+IF(OR(Settings!$B$27="Card",Settings!$B$27="Loan"),N($AM122),0)+IF(OR(Settings!$B$28="Card",Settings!$B$28="Loan"),N($AN122),0)+IF(OR(Settings!$B$29="Card",Settings!$B$29="Loan"),N($AO122),0)+IF(OR(Settings!$B$30="Card",Settings!$B$30="Loan"),N($AP122),0)+IF(OR(Settings!$B$31="Card",Settings!$B$31="Loan"),N($AQ122),0)+IF(OR(Settings!$B$32="Card",Settings!$B$32="Loan"),N($AR122),0),"")</f>
        <v/>
      </c>
      <c r="FJ122">
        <f>IF($E122="open",$EB$65,IF($E122="post",IF($E121="pre",$EB$65,$FI121),""))</f>
        <v/>
      </c>
      <c r="FK122">
        <f>IF(AND($DT122=1,$DC122=1),IF(ROUND($FI122-$FJ122,2)&gt;0,1,0),0)</f>
        <v/>
      </c>
      <c r="FL122">
        <f>IF($FK122=1,$FL121+1,0)</f>
        <v/>
      </c>
    </row>
    <row r="123">
      <c r="A123">
        <f>'Month-End'!$DP$4</f>
        <v/>
      </c>
      <c r="B123">
        <f>EOMONTH($A123,0)</f>
        <v/>
      </c>
      <c r="C123">
        <f>MIN($B123,TODAY())</f>
        <v/>
      </c>
      <c r="D123">
        <f>IF($A123&gt;TODAY(),1,0)</f>
        <v/>
      </c>
      <c r="E123">
        <f>IF($B123&lt;=Settings!$B$5,"pre",IF($A123&lt;=Settings!$B$5,"open","post"))</f>
        <v/>
      </c>
      <c r="G123">
        <f>IF('Month-End'!$DP$22="",$BE123,N('Month-End'!$DP$22))</f>
        <v/>
      </c>
      <c r="H123">
        <f>IF('Month-End'!$DP$23="",$BF123,N('Month-End'!$DP$23))</f>
        <v/>
      </c>
      <c r="I123">
        <f>IF('Month-End'!$DP$24="",$BG123,N('Month-End'!$DP$24))</f>
        <v/>
      </c>
      <c r="J123">
        <f>IF('Month-End'!$DP$25="",$BH123,N('Month-End'!$DP$25))</f>
        <v/>
      </c>
      <c r="K123">
        <f>IF('Month-End'!$DP$26="",$BI123,N('Month-End'!$DP$26))</f>
        <v/>
      </c>
      <c r="L123">
        <f>IF('Month-End'!$DP$27="",$BJ123,N('Month-End'!$DP$27))</f>
        <v/>
      </c>
      <c r="M123">
        <f>IF('Month-End'!$DP$28="",$BK123,N('Month-End'!$DP$28))</f>
        <v/>
      </c>
      <c r="N123">
        <f>IF('Month-End'!$DP$29="",$BL123,N('Month-End'!$DP$29))</f>
        <v/>
      </c>
      <c r="O123">
        <f>IF('Month-End'!$DP$30="",$BM123,N('Month-End'!$DP$30))</f>
        <v/>
      </c>
      <c r="P123">
        <f>IF('Month-End'!$DP$31="",$BN123,N('Month-End'!$DP$31))</f>
        <v/>
      </c>
      <c r="Q123">
        <f>IF('Month-End'!$DP$32="",$BO123,N('Month-End'!$DP$32))</f>
        <v/>
      </c>
      <c r="R123">
        <f>IF('Month-End'!$DP$33="",$BP123,N('Month-End'!$DP$33))</f>
        <v/>
      </c>
      <c r="S123">
        <f>$G123+$H123+$I123+$J123+$K123+$L123+$M123+$N123+$O123+$P123+$Q123+$R123</f>
        <v/>
      </c>
      <c r="T123">
        <f>IF($B123&lt;Settings!$B$6,0,IF(Settings!$B$45="Yes",$G123,0)+IF(Settings!$B$46="Yes",$H123,0)+IF(Settings!$B$47="Yes",$I123,0)+IF(Settings!$B$48="Yes",$J123,0)+IF(Settings!$B$49="Yes",$K123,0)+IF(Settings!$B$50="Yes",$L123,0)+IF(Settings!$B$51="Yes",$M123,0)+IF(Settings!$B$52="Yes",$N123,0)+IF(Settings!$B$53="Yes",$O123,0)+IF(Settings!$B$54="Yes",$P123,0)+IF(Settings!$B$55="Yes",$Q123,0)+IF(Settings!$B$56="Yes",$R123,0))</f>
        <v/>
      </c>
      <c r="U123">
        <f>IF(Settings!$B$45="Not Sure",$G123,0)+IF(Settings!$B$46="Not Sure",$H123,0)+IF(Settings!$B$47="Not Sure",$I123,0)+IF(Settings!$B$48="Not Sure",$J123,0)+IF(Settings!$B$49="Not Sure",$K123,0)+IF(Settings!$B$50="Not Sure",$L123,0)+IF(Settings!$B$51="Not Sure",$M123,0)+IF(Settings!$B$52="Not Sure",$N123,0)+IF(Settings!$B$53="Not Sure",$O123,0)+IF(Settings!$B$54="Not Sure",$P123,0)+IF(Settings!$B$55="Not Sure",$Q123,0)+IF(Settings!$B$56="Not Sure",$R123,0)</f>
        <v/>
      </c>
      <c r="V123">
        <f>IF($E123="open",SUM($ET123:$FE123)+N(Settings!$B$13),0)</f>
        <v/>
      </c>
      <c r="W123">
        <f>IF($E123="post",$S123,IF($E123="open",$S123-$V123,0))</f>
        <v/>
      </c>
      <c r="X123">
        <f>SUMIFS(Giving!$B$7:$B$2006,Giving!$A$7:$A$2006,"&gt;="&amp;$A123,Giving!$A$7:$A$2006,"&lt;="&amp;$B123,Giving!$E$7:$E$2006,"&lt;&gt;No")</f>
        <v/>
      </c>
      <c r="Y123">
        <f>SUMIFS(Giving!$B$7:$B$2006,Giving!$A$7:$A$2006,"&gt;="&amp;$A123,Giving!$A$7:$A$2006,"&lt;="&amp;$B123,Giving!$E$7:$E$2006,"No")</f>
        <v/>
      </c>
      <c r="Z123">
        <f>IF(OR(Settings!$B$60="",Settings!$F$60="No"),0,Settings!$B$60*IF(AND(IF(Settings!$C$60="",$B123,DATE(YEAR($A123),MONTH($A123),MIN(Settings!$C$60,DAY($B123))))&gt;=MAX($A123,Settings!$D$60),IF(Settings!$C$60="",$B123,DATE(YEAR($A123),MONTH($A123),MIN(Settings!$C$60,DAY($B123))))&lt;=MIN($C123,IF(Settings!$E$60="",$C123,Settings!$E$60))),1,0))+IF(OR(Settings!$B$61="",Settings!$F$61="No"),0,Settings!$B$61*IF(AND(IF(Settings!$C$61="",$B123,DATE(YEAR($A123),MONTH($A123),MIN(Settings!$C$61,DAY($B123))))&gt;=MAX($A123,Settings!$D$61),IF(Settings!$C$61="",$B123,DATE(YEAR($A123),MONTH($A123),MIN(Settings!$C$61,DAY($B123))))&lt;=MIN($C123,IF(Settings!$E$61="",$C123,Settings!$E$61))),1,0))+IF(OR(Settings!$B$62="",Settings!$F$62="No"),0,Settings!$B$62*IF(AND(IF(Settings!$C$62="",$B123,DATE(YEAR($A123),MONTH($A123),MIN(Settings!$C$62,DAY($B123))))&gt;=MAX($A123,Settings!$D$62),IF(Settings!$C$62="",$B123,DATE(YEAR($A123),MONTH($A123),MIN(Settings!$C$62,DAY($B123))))&lt;=MIN($C123,IF(Settings!$E$62="",$C123,Settings!$E$62))),1,0))+IF(OR(Settings!$B$63="",Settings!$F$63="No"),0,Settings!$B$63*IF(AND(IF(Settings!$C$63="",$B123,DATE(YEAR($A123),MONTH($A123),MIN(Settings!$C$63,DAY($B123))))&gt;=MAX($A123,Settings!$D$63),IF(Settings!$C$63="",$B123,DATE(YEAR($A123),MONTH($A123),MIN(Settings!$C$63,DAY($B123))))&lt;=MIN($C123,IF(Settings!$E$63="",$C123,Settings!$E$63))),1,0))+IF(OR(Settings!$B$64="",Settings!$F$64="No"),0,Settings!$B$64*IF(AND(IF(Settings!$C$64="",$B123,DATE(YEAR($A123),MONTH($A123),MIN(Settings!$C$64,DAY($B123))))&gt;=MAX($A123,Settings!$D$64),IF(Settings!$C$64="",$B123,DATE(YEAR($A123),MONTH($A123),MIN(Settings!$C$64,DAY($B123))))&lt;=MIN($C123,IF(Settings!$E$64="",$C123,Settings!$E$64))),1,0))+IF(OR(Settings!$B$65="",Settings!$F$65="No"),0,Settings!$B$65*IF(AND(IF(Settings!$C$65="",$B123,DATE(YEAR($A123),MONTH($A123),MIN(Settings!$C$65,DAY($B123))))&gt;=MAX($A123,Settings!$D$65),IF(Settings!$C$65="",$B123,DATE(YEAR($A123),MONTH($A123),MIN(Settings!$C$65,DAY($B123))))&lt;=MIN($C123,IF(Settings!$E$65="",$C123,Settings!$E$65))),1,0))</f>
        <v/>
      </c>
      <c r="AA123">
        <f>$X123+$Z123</f>
        <v/>
      </c>
      <c r="AB123">
        <f>IF($E123="post",$AA123,IF($E123="open",SUMIFS(Giving!$B$7:$B$2006,Giving!$A$7:$A$2006,"&gt;"&amp;Settings!$B$5,Giving!$A$7:$A$2006,"&lt;="&amp;$B123,Giving!$E$7:$E$2006,"&lt;&gt;No")+IF(OR(Settings!$B$60="",Settings!$F$60="No"),0,Settings!$B$60*IF(AND(IF(Settings!$C$60="",$B123,DATE(YEAR($A123),MONTH($A123),MIN(Settings!$C$60,DAY($B123))))&gt;=MAX($A123,Settings!$D$60,Settings!$B$5+1),IF(Settings!$C$60="",$B123,DATE(YEAR($A123),MONTH($A123),MIN(Settings!$C$60,DAY($B123))))&lt;=MIN($C123,IF(Settings!$E$60="",$C123,Settings!$E$60))),1,0))+IF(OR(Settings!$B$61="",Settings!$F$61="No"),0,Settings!$B$61*IF(AND(IF(Settings!$C$61="",$B123,DATE(YEAR($A123),MONTH($A123),MIN(Settings!$C$61,DAY($B123))))&gt;=MAX($A123,Settings!$D$61,Settings!$B$5+1),IF(Settings!$C$61="",$B123,DATE(YEAR($A123),MONTH($A123),MIN(Settings!$C$61,DAY($B123))))&lt;=MIN($C123,IF(Settings!$E$61="",$C123,Settings!$E$61))),1,0))+IF(OR(Settings!$B$62="",Settings!$F$62="No"),0,Settings!$B$62*IF(AND(IF(Settings!$C$62="",$B123,DATE(YEAR($A123),MONTH($A123),MIN(Settings!$C$62,DAY($B123))))&gt;=MAX($A123,Settings!$D$62,Settings!$B$5+1),IF(Settings!$C$62="",$B123,DATE(YEAR($A123),MONTH($A123),MIN(Settings!$C$62,DAY($B123))))&lt;=MIN($C123,IF(Settings!$E$62="",$C123,Settings!$E$62))),1,0))+IF(OR(Settings!$B$63="",Settings!$F$63="No"),0,Settings!$B$63*IF(AND(IF(Settings!$C$63="",$B123,DATE(YEAR($A123),MONTH($A123),MIN(Settings!$C$63,DAY($B123))))&gt;=MAX($A123,Settings!$D$63,Settings!$B$5+1),IF(Settings!$C$63="",$B123,DATE(YEAR($A123),MONTH($A123),MIN(Settings!$C$63,DAY($B123))))&lt;=MIN($C123,IF(Settings!$E$63="",$C123,Settings!$E$63))),1,0))+IF(OR(Settings!$B$64="",Settings!$F$64="No"),0,Settings!$B$64*IF(AND(IF(Settings!$C$64="",$B123,DATE(YEAR($A123),MONTH($A123),MIN(Settings!$C$64,DAY($B123))))&gt;=MAX($A123,Settings!$D$64,Settings!$B$5+1),IF(Settings!$C$64="",$B123,DATE(YEAR($A123),MONTH($A123),MIN(Settings!$C$64,DAY($B123))))&lt;=MIN($C123,IF(Settings!$E$64="",$C123,Settings!$E$64))),1,0))+IF(OR(Settings!$B$65="",Settings!$F$65="No"),0,Settings!$B$65*IF(AND(IF(Settings!$C$65="",$B123,DATE(YEAR($A123),MONTH($A123),MIN(Settings!$C$65,DAY($B123))))&gt;=MAX($A123,Settings!$D$65,Settings!$B$5+1),IF(Settings!$C$65="",$B123,DATE(YEAR($A123),MONTH($A123),MIN(Settings!$C$65,DAY($B123))))&lt;=MIN($C123,IF(Settings!$E$65="",$C123,Settings!$E$65))),1,0)),0))</f>
        <v/>
      </c>
      <c r="AC123">
        <f>$AY123+$AZ123+$BA123+$BB123+$BC123+$BD123</f>
        <v/>
      </c>
      <c r="AD123">
        <f>$AC123</f>
        <v/>
      </c>
      <c r="AE123">
        <f>IF(OR(Settings!$A$19="",$E123="pre"),"",IF(AND('Month-End'!$DP$7&lt;&gt;"",NOT(_xlfn.ISFORMULA('Month-End'!$DP$7))),N('Month-End'!$DP$7),IF(OR($E123="open",$E122="pre"),N(Settings!$C$19),N($AE122))))</f>
        <v/>
      </c>
      <c r="AF123">
        <f>IF(OR(Settings!$A$20="",$E123="pre"),"",IF(AND('Month-End'!$DP$8&lt;&gt;"",NOT(_xlfn.ISFORMULA('Month-End'!$DP$8))),N('Month-End'!$DP$8),IF(OR($E123="open",$E122="pre"),N(Settings!$C$20),N($AF122))))</f>
        <v/>
      </c>
      <c r="AG123">
        <f>IF(OR(Settings!$A$21="",$E123="pre"),"",IF(AND('Month-End'!$DP$9&lt;&gt;"",NOT(_xlfn.ISFORMULA('Month-End'!$DP$9))),N('Month-End'!$DP$9),IF(OR($E123="open",$E122="pre"),N(Settings!$C$21),N($AG122))))</f>
        <v/>
      </c>
      <c r="AH123">
        <f>IF(OR(Settings!$A$22="",$E123="pre"),"",IF(AND('Month-End'!$DP$10&lt;&gt;"",NOT(_xlfn.ISFORMULA('Month-End'!$DP$10))),N('Month-End'!$DP$10),IF(OR($E123="open",$E122="pre"),N(Settings!$C$22),N($AH122))))</f>
        <v/>
      </c>
      <c r="AI123">
        <f>IF(OR(Settings!$A$23="",$E123="pre"),"",IF(AND('Month-End'!$DP$11&lt;&gt;"",NOT(_xlfn.ISFORMULA('Month-End'!$DP$11))),N('Month-End'!$DP$11),IF(OR($E123="open",$E122="pre"),N(Settings!$C$23),N($AI122))))</f>
        <v/>
      </c>
      <c r="AJ123">
        <f>IF(OR(Settings!$A$24="",$E123="pre"),"",IF(AND('Month-End'!$DP$12&lt;&gt;"",NOT(_xlfn.ISFORMULA('Month-End'!$DP$12))),N('Month-End'!$DP$12),IF(OR($E123="open",$E122="pre"),N(Settings!$C$24),N($AJ122))))</f>
        <v/>
      </c>
      <c r="AK123">
        <f>IF(OR(Settings!$A$25="",$E123="pre"),"",IF(AND('Month-End'!$DP$13&lt;&gt;"",NOT(_xlfn.ISFORMULA('Month-End'!$DP$13))),N('Month-End'!$DP$13),IF(OR($E123="open",$E122="pre"),N(Settings!$C$25),N($AK122))))</f>
        <v/>
      </c>
      <c r="AL123">
        <f>IF(OR(Settings!$A$26="",$E123="pre"),"",IF(AND('Month-End'!$DP$14&lt;&gt;"",NOT(_xlfn.ISFORMULA('Month-End'!$DP$14))),N('Month-End'!$DP$14),IF(OR($E123="open",$E122="pre"),N(Settings!$C$26),N($AL122))))</f>
        <v/>
      </c>
      <c r="AM123">
        <f>IF(OR(Settings!$A$27="",$E123="pre"),"",IF(AND('Month-End'!$DP$15&lt;&gt;"",NOT(_xlfn.ISFORMULA('Month-End'!$DP$15))),N('Month-End'!$DP$15),IF(OR($E123="open",$E122="pre"),N(Settings!$C$27),N($AM122))))</f>
        <v/>
      </c>
      <c r="AN123">
        <f>IF(OR(Settings!$A$28="",$E123="pre"),"",IF(AND('Month-End'!$DP$16&lt;&gt;"",NOT(_xlfn.ISFORMULA('Month-End'!$DP$16))),N('Month-End'!$DP$16),IF(OR($E123="open",$E122="pre"),N(Settings!$C$28),N($AN122))))</f>
        <v/>
      </c>
      <c r="AO123">
        <f>IF(OR(Settings!$A$29="",$E123="pre"),"",IF(AND('Month-End'!$DP$17&lt;&gt;"",NOT(_xlfn.ISFORMULA('Month-End'!$DP$17))),N('Month-End'!$DP$17),IF(OR($E123="open",$E122="pre"),N(Settings!$C$29),N($AO122))))</f>
        <v/>
      </c>
      <c r="AP123">
        <f>IF(OR(Settings!$A$30="",$E123="pre"),"",IF(AND('Month-End'!$DP$18&lt;&gt;"",NOT(_xlfn.ISFORMULA('Month-End'!$DP$18))),N('Month-End'!$DP$18),IF(OR($E123="open",$E122="pre"),N(Settings!$C$30),N($AP122))))</f>
        <v/>
      </c>
      <c r="AQ123">
        <f>IF(OR(Settings!$A$31="",$E123="pre"),"",IF(AND('Month-End'!$DP$19&lt;&gt;"",NOT(_xlfn.ISFORMULA('Month-End'!$DP$19))),N('Month-End'!$DP$19),IF(OR($E123="open",$E122="pre"),N(Settings!$C$31),N($AQ122))))</f>
        <v/>
      </c>
      <c r="AR123">
        <f>IF(OR(Settings!$A$32="",$E123="pre"),"",IF(AND('Month-End'!$DP$20&lt;&gt;"",NOT(_xlfn.ISFORMULA('Month-End'!$DP$20))),N('Month-End'!$DP$20),IF(OR($E123="open",$E122="pre"),N(Settings!$C$32),N($AR122))))</f>
        <v/>
      </c>
      <c r="AS123">
        <f>IF(OR(Settings!$A$36="",$E123="pre"),"",IF(AND('Month-End'!$DP$38&lt;&gt;"",NOT(_xlfn.ISFORMULA('Month-End'!$DP$38))),N('Month-End'!$DP$38),IF(OR($E123="open",$E122="pre"),N(Settings!$C$36),N($AS122))+$AY123))</f>
        <v/>
      </c>
      <c r="AT123">
        <f>IF(OR(Settings!$A$37="",$E123="pre"),"",IF(AND('Month-End'!$DP$39&lt;&gt;"",NOT(_xlfn.ISFORMULA('Month-End'!$DP$39))),N('Month-End'!$DP$39),IF(OR($E123="open",$E122="pre"),N(Settings!$C$37),N($AT122))+$AZ123))</f>
        <v/>
      </c>
      <c r="AU123">
        <f>IF(OR(Settings!$A$38="",$E123="pre"),"",IF(AND('Month-End'!$DP$40&lt;&gt;"",NOT(_xlfn.ISFORMULA('Month-End'!$DP$40))),N('Month-End'!$DP$40),IF(OR($E123="open",$E122="pre"),N(Settings!$C$38),N($AU122))+$BA123))</f>
        <v/>
      </c>
      <c r="AV123">
        <f>IF(OR(Settings!$A$39="",$E123="pre"),"",IF(AND('Month-End'!$DP$41&lt;&gt;"",NOT(_xlfn.ISFORMULA('Month-End'!$DP$41))),N('Month-End'!$DP$41),IF(OR($E123="open",$E122="pre"),N(Settings!$C$39),N($AV122))+$BB123))</f>
        <v/>
      </c>
      <c r="AW123">
        <f>IF(OR(Settings!$A$40="",$E123="pre"),"",IF(AND('Month-End'!$DP$42&lt;&gt;"",NOT(_xlfn.ISFORMULA('Month-End'!$DP$42))),N('Month-End'!$DP$42),IF(OR($E123="open",$E122="pre"),N(Settings!$C$40),N($AW122))+$BC123))</f>
        <v/>
      </c>
      <c r="AX123">
        <f>IF(OR(Settings!$A$41="",$E123="pre"),"",IF(AND('Month-End'!$DP$43&lt;&gt;"",NOT(_xlfn.ISFORMULA('Month-End'!$DP$43))),N('Month-End'!$DP$43),IF(OR($E123="open",$E122="pre"),N(Settings!$C$41),N($AX122))+$BD123))</f>
        <v/>
      </c>
      <c r="AY123">
        <f>IF($E123="pre",0,N('Month-End'!$DP$45))</f>
        <v/>
      </c>
      <c r="AZ123">
        <f>IF($E123="pre",0,N('Month-End'!$DP$46))</f>
        <v/>
      </c>
      <c r="BA123">
        <f>IF($E123="pre",0,N('Month-End'!$DP$47))</f>
        <v/>
      </c>
      <c r="BB123">
        <f>IF($E123="pre",0,N('Month-End'!$DP$48))</f>
        <v/>
      </c>
      <c r="BC123">
        <f>IF($E123="pre",0,N('Month-End'!$DP$49))</f>
        <v/>
      </c>
      <c r="BD123">
        <f>IF($E123="pre",0,N('Month-End'!$DP$50))</f>
        <v/>
      </c>
      <c r="BE123">
        <f>IF(OR(Settings!$C$45="",Settings!$D$45=""),0,Settings!$C$45*IF(Settings!$D$45="Weekly",IF(IFERROR(MATCH(Settings!$E$45,$EO$4:$EO$10,0),0)=0,0,IF(MIN($C123,IF(Settings!$G$45="",$C123,Settings!$G$45))&lt;MAX($A123,Settings!$F$45),0,INT((MIN($C123,IF(Settings!$G$45="",$C123,Settings!$G$45))-MAX($A123,Settings!$F$45)-MOD(IFERROR(MATCH(Settings!$E$45,$EO$4:$EO$10,0),0)-WEEKDAY(MAX($A123,Settings!$F$45)),7))/7)+1)),IF(AND(IF(Settings!$E$45="",$B123,DATE(YEAR($A123),MONTH($A123),MIN(Settings!$E$45,DAY($B123))))&gt;=MAX($A123,Settings!$F$45),IF(Settings!$E$45="",$B123,DATE(YEAR($A123),MONTH($A123),MIN(Settings!$E$45,DAY($B123))))&lt;=MIN($C123,IF(Settings!$G$45="",$C123,Settings!$G$45))),1,0)))</f>
        <v/>
      </c>
      <c r="BF123">
        <f>IF(OR(Settings!$C$46="",Settings!$D$46=""),0,Settings!$C$46*IF(Settings!$D$46="Weekly",IF(IFERROR(MATCH(Settings!$E$46,$EO$4:$EO$10,0),0)=0,0,IF(MIN($C123,IF(Settings!$G$46="",$C123,Settings!$G$46))&lt;MAX($A123,Settings!$F$46),0,INT((MIN($C123,IF(Settings!$G$46="",$C123,Settings!$G$46))-MAX($A123,Settings!$F$46)-MOD(IFERROR(MATCH(Settings!$E$46,$EO$4:$EO$10,0),0)-WEEKDAY(MAX($A123,Settings!$F$46)),7))/7)+1)),IF(AND(IF(Settings!$E$46="",$B123,DATE(YEAR($A123),MONTH($A123),MIN(Settings!$E$46,DAY($B123))))&gt;=MAX($A123,Settings!$F$46),IF(Settings!$E$46="",$B123,DATE(YEAR($A123),MONTH($A123),MIN(Settings!$E$46,DAY($B123))))&lt;=MIN($C123,IF(Settings!$G$46="",$C123,Settings!$G$46))),1,0)))</f>
        <v/>
      </c>
      <c r="BG123">
        <f>IF(OR(Settings!$C$47="",Settings!$D$47=""),0,Settings!$C$47*IF(Settings!$D$47="Weekly",IF(IFERROR(MATCH(Settings!$E$47,$EO$4:$EO$10,0),0)=0,0,IF(MIN($C123,IF(Settings!$G$47="",$C123,Settings!$G$47))&lt;MAX($A123,Settings!$F$47),0,INT((MIN($C123,IF(Settings!$G$47="",$C123,Settings!$G$47))-MAX($A123,Settings!$F$47)-MOD(IFERROR(MATCH(Settings!$E$47,$EO$4:$EO$10,0),0)-WEEKDAY(MAX($A123,Settings!$F$47)),7))/7)+1)),IF(AND(IF(Settings!$E$47="",$B123,DATE(YEAR($A123),MONTH($A123),MIN(Settings!$E$47,DAY($B123))))&gt;=MAX($A123,Settings!$F$47),IF(Settings!$E$47="",$B123,DATE(YEAR($A123),MONTH($A123),MIN(Settings!$E$47,DAY($B123))))&lt;=MIN($C123,IF(Settings!$G$47="",$C123,Settings!$G$47))),1,0)))</f>
        <v/>
      </c>
      <c r="BH123">
        <f>IF(OR(Settings!$C$48="",Settings!$D$48=""),0,Settings!$C$48*IF(Settings!$D$48="Weekly",IF(IFERROR(MATCH(Settings!$E$48,$EO$4:$EO$10,0),0)=0,0,IF(MIN($C123,IF(Settings!$G$48="",$C123,Settings!$G$48))&lt;MAX($A123,Settings!$F$48),0,INT((MIN($C123,IF(Settings!$G$48="",$C123,Settings!$G$48))-MAX($A123,Settings!$F$48)-MOD(IFERROR(MATCH(Settings!$E$48,$EO$4:$EO$10,0),0)-WEEKDAY(MAX($A123,Settings!$F$48)),7))/7)+1)),IF(AND(IF(Settings!$E$48="",$B123,DATE(YEAR($A123),MONTH($A123),MIN(Settings!$E$48,DAY($B123))))&gt;=MAX($A123,Settings!$F$48),IF(Settings!$E$48="",$B123,DATE(YEAR($A123),MONTH($A123),MIN(Settings!$E$48,DAY($B123))))&lt;=MIN($C123,IF(Settings!$G$48="",$C123,Settings!$G$48))),1,0)))</f>
        <v/>
      </c>
      <c r="BI123">
        <f>IF(OR(Settings!$C$49="",Settings!$D$49=""),0,Settings!$C$49*IF(Settings!$D$49="Weekly",IF(IFERROR(MATCH(Settings!$E$49,$EO$4:$EO$10,0),0)=0,0,IF(MIN($C123,IF(Settings!$G$49="",$C123,Settings!$G$49))&lt;MAX($A123,Settings!$F$49),0,INT((MIN($C123,IF(Settings!$G$49="",$C123,Settings!$G$49))-MAX($A123,Settings!$F$49)-MOD(IFERROR(MATCH(Settings!$E$49,$EO$4:$EO$10,0),0)-WEEKDAY(MAX($A123,Settings!$F$49)),7))/7)+1)),IF(AND(IF(Settings!$E$49="",$B123,DATE(YEAR($A123),MONTH($A123),MIN(Settings!$E$49,DAY($B123))))&gt;=MAX($A123,Settings!$F$49),IF(Settings!$E$49="",$B123,DATE(YEAR($A123),MONTH($A123),MIN(Settings!$E$49,DAY($B123))))&lt;=MIN($C123,IF(Settings!$G$49="",$C123,Settings!$G$49))),1,0)))</f>
        <v/>
      </c>
      <c r="BJ123">
        <f>IF(OR(Settings!$C$50="",Settings!$D$50=""),0,Settings!$C$50*IF(Settings!$D$50="Weekly",IF(IFERROR(MATCH(Settings!$E$50,$EO$4:$EO$10,0),0)=0,0,IF(MIN($C123,IF(Settings!$G$50="",$C123,Settings!$G$50))&lt;MAX($A123,Settings!$F$50),0,INT((MIN($C123,IF(Settings!$G$50="",$C123,Settings!$G$50))-MAX($A123,Settings!$F$50)-MOD(IFERROR(MATCH(Settings!$E$50,$EO$4:$EO$10,0),0)-WEEKDAY(MAX($A123,Settings!$F$50)),7))/7)+1)),IF(AND(IF(Settings!$E$50="",$B123,DATE(YEAR($A123),MONTH($A123),MIN(Settings!$E$50,DAY($B123))))&gt;=MAX($A123,Settings!$F$50),IF(Settings!$E$50="",$B123,DATE(YEAR($A123),MONTH($A123),MIN(Settings!$E$50,DAY($B123))))&lt;=MIN($C123,IF(Settings!$G$50="",$C123,Settings!$G$50))),1,0)))</f>
        <v/>
      </c>
      <c r="BK123">
        <f>IF(OR(Settings!$C$51="",Settings!$D$51=""),0,Settings!$C$51*IF(Settings!$D$51="Weekly",IF(IFERROR(MATCH(Settings!$E$51,$EO$4:$EO$10,0),0)=0,0,IF(MIN($C123,IF(Settings!$G$51="",$C123,Settings!$G$51))&lt;MAX($A123,Settings!$F$51),0,INT((MIN($C123,IF(Settings!$G$51="",$C123,Settings!$G$51))-MAX($A123,Settings!$F$51)-MOD(IFERROR(MATCH(Settings!$E$51,$EO$4:$EO$10,0),0)-WEEKDAY(MAX($A123,Settings!$F$51)),7))/7)+1)),IF(AND(IF(Settings!$E$51="",$B123,DATE(YEAR($A123),MONTH($A123),MIN(Settings!$E$51,DAY($B123))))&gt;=MAX($A123,Settings!$F$51),IF(Settings!$E$51="",$B123,DATE(YEAR($A123),MONTH($A123),MIN(Settings!$E$51,DAY($B123))))&lt;=MIN($C123,IF(Settings!$G$51="",$C123,Settings!$G$51))),1,0)))</f>
        <v/>
      </c>
      <c r="BL123">
        <f>IF(OR(Settings!$C$52="",Settings!$D$52=""),0,Settings!$C$52*IF(Settings!$D$52="Weekly",IF(IFERROR(MATCH(Settings!$E$52,$EO$4:$EO$10,0),0)=0,0,IF(MIN($C123,IF(Settings!$G$52="",$C123,Settings!$G$52))&lt;MAX($A123,Settings!$F$52),0,INT((MIN($C123,IF(Settings!$G$52="",$C123,Settings!$G$52))-MAX($A123,Settings!$F$52)-MOD(IFERROR(MATCH(Settings!$E$52,$EO$4:$EO$10,0),0)-WEEKDAY(MAX($A123,Settings!$F$52)),7))/7)+1)),IF(AND(IF(Settings!$E$52="",$B123,DATE(YEAR($A123),MONTH($A123),MIN(Settings!$E$52,DAY($B123))))&gt;=MAX($A123,Settings!$F$52),IF(Settings!$E$52="",$B123,DATE(YEAR($A123),MONTH($A123),MIN(Settings!$E$52,DAY($B123))))&lt;=MIN($C123,IF(Settings!$G$52="",$C123,Settings!$G$52))),1,0)))</f>
        <v/>
      </c>
      <c r="BM123">
        <f>IF(OR(Settings!$C$53="",Settings!$D$53=""),0,Settings!$C$53*IF(Settings!$D$53="Weekly",IF(IFERROR(MATCH(Settings!$E$53,$EO$4:$EO$10,0),0)=0,0,IF(MIN($C123,IF(Settings!$G$53="",$C123,Settings!$G$53))&lt;MAX($A123,Settings!$F$53),0,INT((MIN($C123,IF(Settings!$G$53="",$C123,Settings!$G$53))-MAX($A123,Settings!$F$53)-MOD(IFERROR(MATCH(Settings!$E$53,$EO$4:$EO$10,0),0)-WEEKDAY(MAX($A123,Settings!$F$53)),7))/7)+1)),IF(AND(IF(Settings!$E$53="",$B123,DATE(YEAR($A123),MONTH($A123),MIN(Settings!$E$53,DAY($B123))))&gt;=MAX($A123,Settings!$F$53),IF(Settings!$E$53="",$B123,DATE(YEAR($A123),MONTH($A123),MIN(Settings!$E$53,DAY($B123))))&lt;=MIN($C123,IF(Settings!$G$53="",$C123,Settings!$G$53))),1,0)))</f>
        <v/>
      </c>
      <c r="BN123">
        <f>IF(OR(Settings!$C$54="",Settings!$D$54=""),0,Settings!$C$54*IF(Settings!$D$54="Weekly",IF(IFERROR(MATCH(Settings!$E$54,$EO$4:$EO$10,0),0)=0,0,IF(MIN($C123,IF(Settings!$G$54="",$C123,Settings!$G$54))&lt;MAX($A123,Settings!$F$54),0,INT((MIN($C123,IF(Settings!$G$54="",$C123,Settings!$G$54))-MAX($A123,Settings!$F$54)-MOD(IFERROR(MATCH(Settings!$E$54,$EO$4:$EO$10,0),0)-WEEKDAY(MAX($A123,Settings!$F$54)),7))/7)+1)),IF(AND(IF(Settings!$E$54="",$B123,DATE(YEAR($A123),MONTH($A123),MIN(Settings!$E$54,DAY($B123))))&gt;=MAX($A123,Settings!$F$54),IF(Settings!$E$54="",$B123,DATE(YEAR($A123),MONTH($A123),MIN(Settings!$E$54,DAY($B123))))&lt;=MIN($C123,IF(Settings!$G$54="",$C123,Settings!$G$54))),1,0)))</f>
        <v/>
      </c>
      <c r="BO123">
        <f>IF(OR(Settings!$C$55="",Settings!$D$55=""),0,Settings!$C$55*IF(Settings!$D$55="Weekly",IF(IFERROR(MATCH(Settings!$E$55,$EO$4:$EO$10,0),0)=0,0,IF(MIN($C123,IF(Settings!$G$55="",$C123,Settings!$G$55))&lt;MAX($A123,Settings!$F$55),0,INT((MIN($C123,IF(Settings!$G$55="",$C123,Settings!$G$55))-MAX($A123,Settings!$F$55)-MOD(IFERROR(MATCH(Settings!$E$55,$EO$4:$EO$10,0),0)-WEEKDAY(MAX($A123,Settings!$F$55)),7))/7)+1)),IF(AND(IF(Settings!$E$55="",$B123,DATE(YEAR($A123),MONTH($A123),MIN(Settings!$E$55,DAY($B123))))&gt;=MAX($A123,Settings!$F$55),IF(Settings!$E$55="",$B123,DATE(YEAR($A123),MONTH($A123),MIN(Settings!$E$55,DAY($B123))))&lt;=MIN($C123,IF(Settings!$G$55="",$C123,Settings!$G$55))),1,0)))</f>
        <v/>
      </c>
      <c r="BP123">
        <f>IF(OR(Settings!$C$56="",Settings!$D$56=""),0,Settings!$C$56*IF(Settings!$D$56="Weekly",IF(IFERROR(MATCH(Settings!$E$56,$EO$4:$EO$10,0),0)=0,0,IF(MIN($C123,IF(Settings!$G$56="",$C123,Settings!$G$56))&lt;MAX($A123,Settings!$F$56),0,INT((MIN($C123,IF(Settings!$G$56="",$C123,Settings!$G$56))-MAX($A123,Settings!$F$56)-MOD(IFERROR(MATCH(Settings!$E$56,$EO$4:$EO$10,0),0)-WEEKDAY(MAX($A123,Settings!$F$56)),7))/7)+1)),IF(AND(IF(Settings!$E$56="",$B123,DATE(YEAR($A123),MONTH($A123),MIN(Settings!$E$56,DAY($B123))))&gt;=MAX($A123,Settings!$F$56),IF(Settings!$E$56="",$B123,DATE(YEAR($A123),MONTH($A123),MIN(Settings!$E$56,DAY($B123))))&lt;=MIN($C123,IF(Settings!$G$56="",$C123,Settings!$G$56))),1,0)))</f>
        <v/>
      </c>
      <c r="BQ123">
        <f>IF(OR(Settings!$B$14="",$D123=1,$E123="pre",$A123&lt;IF(Settings!$B$15="",0,Settings!$B$15)),0,Settings!$B$14)</f>
        <v/>
      </c>
      <c r="BR123">
        <f>IF(AND('Month-End'!$DP$7&lt;&gt;"",NOT(_xlfn.ISFORMULA('Month-End'!$DP$7))),1,0)</f>
        <v/>
      </c>
      <c r="BS123">
        <f>IF(AND('Month-End'!$DP$8&lt;&gt;"",NOT(_xlfn.ISFORMULA('Month-End'!$DP$8))),1,0)</f>
        <v/>
      </c>
      <c r="BT123">
        <f>IF(AND('Month-End'!$DP$9&lt;&gt;"",NOT(_xlfn.ISFORMULA('Month-End'!$DP$9))),1,0)</f>
        <v/>
      </c>
      <c r="BU123">
        <f>IF(AND('Month-End'!$DP$10&lt;&gt;"",NOT(_xlfn.ISFORMULA('Month-End'!$DP$10))),1,0)</f>
        <v/>
      </c>
      <c r="BV123">
        <f>IF(AND('Month-End'!$DP$11&lt;&gt;"",NOT(_xlfn.ISFORMULA('Month-End'!$DP$11))),1,0)</f>
        <v/>
      </c>
      <c r="BW123">
        <f>IF(AND('Month-End'!$DP$12&lt;&gt;"",NOT(_xlfn.ISFORMULA('Month-End'!$DP$12))),1,0)</f>
        <v/>
      </c>
      <c r="BX123">
        <f>IF(AND('Month-End'!$DP$13&lt;&gt;"",NOT(_xlfn.ISFORMULA('Month-End'!$DP$13))),1,0)</f>
        <v/>
      </c>
      <c r="BY123">
        <f>IF(AND('Month-End'!$DP$14&lt;&gt;"",NOT(_xlfn.ISFORMULA('Month-End'!$DP$14))),1,0)</f>
        <v/>
      </c>
      <c r="BZ123">
        <f>IF(AND('Month-End'!$DP$15&lt;&gt;"",NOT(_xlfn.ISFORMULA('Month-End'!$DP$15))),1,0)</f>
        <v/>
      </c>
      <c r="CA123">
        <f>IF(AND('Month-End'!$DP$16&lt;&gt;"",NOT(_xlfn.ISFORMULA('Month-End'!$DP$16))),1,0)</f>
        <v/>
      </c>
      <c r="CB123">
        <f>IF(AND('Month-End'!$DP$17&lt;&gt;"",NOT(_xlfn.ISFORMULA('Month-End'!$DP$17))),1,0)</f>
        <v/>
      </c>
      <c r="CC123">
        <f>IF(AND('Month-End'!$DP$18&lt;&gt;"",NOT(_xlfn.ISFORMULA('Month-End'!$DP$18))),1,0)</f>
        <v/>
      </c>
      <c r="CD123">
        <f>IF(AND('Month-End'!$DP$19&lt;&gt;"",NOT(_xlfn.ISFORMULA('Month-End'!$DP$19))),1,0)</f>
        <v/>
      </c>
      <c r="CE123">
        <f>IF(AND('Month-End'!$DP$20&lt;&gt;"",NOT(_xlfn.ISFORMULA('Month-End'!$DP$20))),1,0)</f>
        <v/>
      </c>
      <c r="CF123">
        <f>IF(AND('Month-End'!$DP$38&lt;&gt;"",NOT(_xlfn.ISFORMULA('Month-End'!$DP$38))),1,0)</f>
        <v/>
      </c>
      <c r="CG123">
        <f>IF(AND('Month-End'!$DP$39&lt;&gt;"",NOT(_xlfn.ISFORMULA('Month-End'!$DP$39))),1,0)</f>
        <v/>
      </c>
      <c r="CH123">
        <f>IF(AND('Month-End'!$DP$40&lt;&gt;"",NOT(_xlfn.ISFORMULA('Month-End'!$DP$40))),1,0)</f>
        <v/>
      </c>
      <c r="CI123">
        <f>IF(AND('Month-End'!$DP$41&lt;&gt;"",NOT(_xlfn.ISFORMULA('Month-End'!$DP$41))),1,0)</f>
        <v/>
      </c>
      <c r="CJ123">
        <f>IF(AND('Month-End'!$DP$42&lt;&gt;"",NOT(_xlfn.ISFORMULA('Month-End'!$DP$42))),1,0)</f>
        <v/>
      </c>
      <c r="CK123">
        <f>IF(AND('Month-End'!$DP$43&lt;&gt;"",NOT(_xlfn.ISFORMULA('Month-End'!$DP$43))),1,0)</f>
        <v/>
      </c>
      <c r="CL123">
        <f>SUM($CM123:$CZ123)</f>
        <v/>
      </c>
      <c r="CM123">
        <f>IF(AND($E123&lt;&gt;"pre",AND(Settings!$A$19&lt;&gt;"",Settings!$E$19&lt;&gt;"No"),Settings!$F$19="Yes",NOT(AND('Month-End'!$DP$7&lt;&gt;"",NOT(_xlfn.ISFORMULA('Month-End'!$DP$7))))),1,0)</f>
        <v/>
      </c>
      <c r="CN123">
        <f>IF(AND($E123&lt;&gt;"pre",AND(Settings!$A$20&lt;&gt;"",Settings!$E$20&lt;&gt;"No"),Settings!$F$20="Yes",NOT(AND('Month-End'!$DP$8&lt;&gt;"",NOT(_xlfn.ISFORMULA('Month-End'!$DP$8))))),1,0)</f>
        <v/>
      </c>
      <c r="CO123">
        <f>IF(AND($E123&lt;&gt;"pre",AND(Settings!$A$21&lt;&gt;"",Settings!$E$21&lt;&gt;"No"),Settings!$F$21="Yes",NOT(AND('Month-End'!$DP$9&lt;&gt;"",NOT(_xlfn.ISFORMULA('Month-End'!$DP$9))))),1,0)</f>
        <v/>
      </c>
      <c r="CP123">
        <f>IF(AND($E123&lt;&gt;"pre",AND(Settings!$A$22&lt;&gt;"",Settings!$E$22&lt;&gt;"No"),Settings!$F$22="Yes",NOT(AND('Month-End'!$DP$10&lt;&gt;"",NOT(_xlfn.ISFORMULA('Month-End'!$DP$10))))),1,0)</f>
        <v/>
      </c>
      <c r="CQ123">
        <f>IF(AND($E123&lt;&gt;"pre",AND(Settings!$A$23&lt;&gt;"",Settings!$E$23&lt;&gt;"No"),Settings!$F$23="Yes",NOT(AND('Month-End'!$DP$11&lt;&gt;"",NOT(_xlfn.ISFORMULA('Month-End'!$DP$11))))),1,0)</f>
        <v/>
      </c>
      <c r="CR123">
        <f>IF(AND($E123&lt;&gt;"pre",AND(Settings!$A$24&lt;&gt;"",Settings!$E$24&lt;&gt;"No"),Settings!$F$24="Yes",NOT(AND('Month-End'!$DP$12&lt;&gt;"",NOT(_xlfn.ISFORMULA('Month-End'!$DP$12))))),1,0)</f>
        <v/>
      </c>
      <c r="CS123">
        <f>IF(AND($E123&lt;&gt;"pre",AND(Settings!$A$25&lt;&gt;"",Settings!$E$25&lt;&gt;"No"),Settings!$F$25="Yes",NOT(AND('Month-End'!$DP$13&lt;&gt;"",NOT(_xlfn.ISFORMULA('Month-End'!$DP$13))))),1,0)</f>
        <v/>
      </c>
      <c r="CT123">
        <f>IF(AND($E123&lt;&gt;"pre",AND(Settings!$A$26&lt;&gt;"",Settings!$E$26&lt;&gt;"No"),Settings!$F$26="Yes",NOT(AND('Month-End'!$DP$14&lt;&gt;"",NOT(_xlfn.ISFORMULA('Month-End'!$DP$14))))),1,0)</f>
        <v/>
      </c>
      <c r="CU123">
        <f>IF(AND($E123&lt;&gt;"pre",AND(Settings!$A$27&lt;&gt;"",Settings!$E$27&lt;&gt;"No"),Settings!$F$27="Yes",NOT(AND('Month-End'!$DP$15&lt;&gt;"",NOT(_xlfn.ISFORMULA('Month-End'!$DP$15))))),1,0)</f>
        <v/>
      </c>
      <c r="CV123">
        <f>IF(AND($E123&lt;&gt;"pre",AND(Settings!$A$28&lt;&gt;"",Settings!$E$28&lt;&gt;"No"),Settings!$F$28="Yes",NOT(AND('Month-End'!$DP$16&lt;&gt;"",NOT(_xlfn.ISFORMULA('Month-End'!$DP$16))))),1,0)</f>
        <v/>
      </c>
      <c r="CW123">
        <f>IF(AND($E123&lt;&gt;"pre",AND(Settings!$A$29&lt;&gt;"",Settings!$E$29&lt;&gt;"No"),Settings!$F$29="Yes",NOT(AND('Month-End'!$DP$17&lt;&gt;"",NOT(_xlfn.ISFORMULA('Month-End'!$DP$17))))),1,0)</f>
        <v/>
      </c>
      <c r="CX123">
        <f>IF(AND($E123&lt;&gt;"pre",AND(Settings!$A$30&lt;&gt;"",Settings!$E$30&lt;&gt;"No"),Settings!$F$30="Yes",NOT(AND('Month-End'!$DP$18&lt;&gt;"",NOT(_xlfn.ISFORMULA('Month-End'!$DP$18))))),1,0)</f>
        <v/>
      </c>
      <c r="CY123">
        <f>IF(AND($E123&lt;&gt;"pre",AND(Settings!$A$31&lt;&gt;"",Settings!$E$31&lt;&gt;"No"),Settings!$F$31="Yes",NOT(AND('Month-End'!$DP$19&lt;&gt;"",NOT(_xlfn.ISFORMULA('Month-End'!$DP$19))))),1,0)</f>
        <v/>
      </c>
      <c r="CZ123">
        <f>IF(AND($E123&lt;&gt;"pre",AND(Settings!$A$32&lt;&gt;"",Settings!$E$32&lt;&gt;"No"),Settings!$F$32="Yes",NOT(AND('Month-End'!$DP$20&lt;&gt;"",NOT(_xlfn.ISFORMULA('Month-End'!$DP$20))))),1,0)</f>
        <v/>
      </c>
      <c r="DA123">
        <f>IF($DT123=1,IF(OR(Settings!$B$19="Checking",Settings!$B$19="Savings",Settings!$B$19="Cash"),N($AE123),IF(OR(Settings!$B$19="Card",Settings!$B$19="Loan"),-N($AE123),0))+IF(OR(Settings!$B$20="Checking",Settings!$B$20="Savings",Settings!$B$20="Cash"),N($AF123),IF(OR(Settings!$B$20="Card",Settings!$B$20="Loan"),-N($AF123),0))+IF(OR(Settings!$B$21="Checking",Settings!$B$21="Savings",Settings!$B$21="Cash"),N($AG123),IF(OR(Settings!$B$21="Card",Settings!$B$21="Loan"),-N($AG123),0))+IF(OR(Settings!$B$22="Checking",Settings!$B$22="Savings",Settings!$B$22="Cash"),N($AH123),IF(OR(Settings!$B$22="Card",Settings!$B$22="Loan"),-N($AH123),0))+IF(OR(Settings!$B$23="Checking",Settings!$B$23="Savings",Settings!$B$23="Cash"),N($AI123),IF(OR(Settings!$B$23="Card",Settings!$B$23="Loan"),-N($AI123),0))+IF(OR(Settings!$B$24="Checking",Settings!$B$24="Savings",Settings!$B$24="Cash"),N($AJ123),IF(OR(Settings!$B$24="Card",Settings!$B$24="Loan"),-N($AJ123),0))+IF(OR(Settings!$B$25="Checking",Settings!$B$25="Savings",Settings!$B$25="Cash"),N($AK123),IF(OR(Settings!$B$25="Card",Settings!$B$25="Loan"),-N($AK123),0))+IF(OR(Settings!$B$26="Checking",Settings!$B$26="Savings",Settings!$B$26="Cash"),N($AL123),IF(OR(Settings!$B$26="Card",Settings!$B$26="Loan"),-N($AL123),0))+IF(OR(Settings!$B$27="Checking",Settings!$B$27="Savings",Settings!$B$27="Cash"),N($AM123),IF(OR(Settings!$B$27="Card",Settings!$B$27="Loan"),-N($AM123),0))+IF(OR(Settings!$B$28="Checking",Settings!$B$28="Savings",Settings!$B$28="Cash"),N($AN123),IF(OR(Settings!$B$28="Card",Settings!$B$28="Loan"),-N($AN123),0))+IF(OR(Settings!$B$29="Checking",Settings!$B$29="Savings",Settings!$B$29="Cash"),N($AO123),IF(OR(Settings!$B$29="Card",Settings!$B$29="Loan"),-N($AO123),0))+IF(OR(Settings!$B$30="Checking",Settings!$B$30="Savings",Settings!$B$30="Cash"),N($AP123),IF(OR(Settings!$B$30="Card",Settings!$B$30="Loan"),-N($AP123),0))+IF(OR(Settings!$B$31="Checking",Settings!$B$31="Savings",Settings!$B$31="Cash"),N($AQ123),IF(OR(Settings!$B$31="Card",Settings!$B$31="Loan"),-N($AQ123),0))+IF(OR(Settings!$B$32="Checking",Settings!$B$32="Savings",Settings!$B$32="Cash"),N($AR123),IF(OR(Settings!$B$32="Card",Settings!$B$32="Loan"),-N($AR123),0)),"")</f>
        <v/>
      </c>
      <c r="DB123">
        <f>IF($E123="open",$EB$27,IF($E123="post",IF($E122="pre",$EB$27,$DA122),""))</f>
        <v/>
      </c>
      <c r="DC123">
        <f>IF($E123="open",1,IF($E123="post",IF($E122="pre",1,$DT122),0))</f>
        <v/>
      </c>
      <c r="DD123">
        <f>IF(AND($DT123=1,$DC123=1),ROUND($W123-($DA123-$DB123)-$AD123-$AB123,2),"")</f>
        <v/>
      </c>
      <c r="DE123">
        <f>IF('Month-End'!$DP$35="",$BQ123,N('Month-End'!$DP$35))</f>
        <v/>
      </c>
      <c r="DF123">
        <f>N('Month-End'!$DP$36)</f>
        <v/>
      </c>
      <c r="DG123">
        <f>IF($DD123="","",$DD123+$DE123)</f>
        <v/>
      </c>
      <c r="DH123">
        <f>IF($DG123="","",$DG123-$DF123)</f>
        <v/>
      </c>
      <c r="DI123">
        <f>IF(OR($E123="pre",$D123=1),"",N($AS123)+N($AT123)+N($AU123)+N($AV123)+N($AW123)+N($AX123))</f>
        <v/>
      </c>
      <c r="DJ123">
        <f>IF($DT123=1,$DA123+N($DI123),"")</f>
        <v/>
      </c>
      <c r="DK123">
        <f>IF($DD123="","",$W123-$DD123-$AB123)</f>
        <v/>
      </c>
      <c r="DL123">
        <f>IF(AND($E123="post",$DD123&lt;&gt;"",$B123&lt;TODAY()),1,0)</f>
        <v/>
      </c>
      <c r="DM123">
        <f>IF($DL123=1,COUNTIF($DL123:$DL$183,1),0)</f>
        <v/>
      </c>
      <c r="DN123">
        <f>IF($D123=1,"",IF($E123="pre","History only",IF($DT123=1,IF($DD123="","⚠ Previous month missing",IF($DD123&lt;0,"⚠ Check: spending &lt; 0",IF($E123="open","✓ Done (partial)","✓ Done"))),IF($B123&gt;=TODAY(),"In progress","⚠ Needs balances"))))</f>
        <v/>
      </c>
      <c r="DO123">
        <f>YEAR($A123)</f>
        <v/>
      </c>
      <c r="DP123">
        <f>DATE(YEAR($A123),INT((MONTH($A123)-1)/3)*3+1,1)</f>
        <v/>
      </c>
      <c r="DQ123">
        <f>IF(AND($DT123=1,$DD123&lt;&gt;"",$D123=0),ROW(),0)</f>
        <v/>
      </c>
      <c r="DR123">
        <f>IF(AND($E123&lt;&gt;"pre",$B123&lt;TODAY(),$DT123=0),1,0)</f>
        <v/>
      </c>
      <c r="DS123">
        <f>IF($DJ123="",NA(),$DJ123)</f>
        <v/>
      </c>
      <c r="DT123">
        <f>IF(AND($E123&lt;&gt;"pre",$CL123=0,COUNTIFS(Settings!$F$19:$F$32,"Yes",Settings!$A$19:$A$32,"&lt;&gt;",Settings!$E$19:$E$32,"&lt;&gt;No")&gt;0),1,0)</f>
        <v/>
      </c>
      <c r="DU123">
        <f>IF(AND($B123&lt;TODAY(),$S123&gt;0),1,0)</f>
        <v/>
      </c>
      <c r="DV123">
        <f>IF($DU123=1,COUNTIF($DU123:$DU$183,1),0)</f>
        <v/>
      </c>
      <c r="DW123">
        <f>IF(AND(OR(Settings!$B$19="Card",Settings!$B$19="Loan"),AND('Month-End'!$DP$7&lt;&gt;"",NOT(_xlfn.ISFORMULA('Month-End'!$DP$7)))),IF(N('Month-End'!$DP$7)&lt;0,1,0),0)+IF(AND(OR(Settings!$B$20="Card",Settings!$B$20="Loan"),AND('Month-End'!$DP$8&lt;&gt;"",NOT(_xlfn.ISFORMULA('Month-End'!$DP$8)))),IF(N('Month-End'!$DP$8)&lt;0,1,0),0)+IF(AND(OR(Settings!$B$21="Card",Settings!$B$21="Loan"),AND('Month-End'!$DP$9&lt;&gt;"",NOT(_xlfn.ISFORMULA('Month-End'!$DP$9)))),IF(N('Month-End'!$DP$9)&lt;0,1,0),0)+IF(AND(OR(Settings!$B$22="Card",Settings!$B$22="Loan"),AND('Month-End'!$DP$10&lt;&gt;"",NOT(_xlfn.ISFORMULA('Month-End'!$DP$10)))),IF(N('Month-End'!$DP$10)&lt;0,1,0),0)+IF(AND(OR(Settings!$B$23="Card",Settings!$B$23="Loan"),AND('Month-End'!$DP$11&lt;&gt;"",NOT(_xlfn.ISFORMULA('Month-End'!$DP$11)))),IF(N('Month-End'!$DP$11)&lt;0,1,0),0)+IF(AND(OR(Settings!$B$24="Card",Settings!$B$24="Loan"),AND('Month-End'!$DP$12&lt;&gt;"",NOT(_xlfn.ISFORMULA('Month-End'!$DP$12)))),IF(N('Month-End'!$DP$12)&lt;0,1,0),0)+IF(AND(OR(Settings!$B$25="Card",Settings!$B$25="Loan"),AND('Month-End'!$DP$13&lt;&gt;"",NOT(_xlfn.ISFORMULA('Month-End'!$DP$13)))),IF(N('Month-End'!$DP$13)&lt;0,1,0),0)+IF(AND(OR(Settings!$B$26="Card",Settings!$B$26="Loan"),AND('Month-End'!$DP$14&lt;&gt;"",NOT(_xlfn.ISFORMULA('Month-End'!$DP$14)))),IF(N('Month-End'!$DP$14)&lt;0,1,0),0)+IF(AND(OR(Settings!$B$27="Card",Settings!$B$27="Loan"),AND('Month-End'!$DP$15&lt;&gt;"",NOT(_xlfn.ISFORMULA('Month-End'!$DP$15)))),IF(N('Month-End'!$DP$15)&lt;0,1,0),0)+IF(AND(OR(Settings!$B$28="Card",Settings!$B$28="Loan"),AND('Month-End'!$DP$16&lt;&gt;"",NOT(_xlfn.ISFORMULA('Month-End'!$DP$16)))),IF(N('Month-End'!$DP$16)&lt;0,1,0),0)+IF(AND(OR(Settings!$B$29="Card",Settings!$B$29="Loan"),AND('Month-End'!$DP$17&lt;&gt;"",NOT(_xlfn.ISFORMULA('Month-End'!$DP$17)))),IF(N('Month-End'!$DP$17)&lt;0,1,0),0)+IF(AND(OR(Settings!$B$30="Card",Settings!$B$30="Loan"),AND('Month-End'!$DP$18&lt;&gt;"",NOT(_xlfn.ISFORMULA('Month-End'!$DP$18)))),IF(N('Month-End'!$DP$18)&lt;0,1,0),0)+IF(AND(OR(Settings!$B$31="Card",Settings!$B$31="Loan"),AND('Month-End'!$DP$19&lt;&gt;"",NOT(_xlfn.ISFORMULA('Month-End'!$DP$19)))),IF(N('Month-End'!$DP$19)&lt;0,1,0),0)+IF(AND(OR(Settings!$B$32="Card",Settings!$B$32="Loan"),AND('Month-End'!$DP$20&lt;&gt;"",NOT(_xlfn.ISFORMULA('Month-End'!$DP$20)))),IF(N('Month-End'!$DP$20)&lt;0,1,0),0)</f>
        <v/>
      </c>
      <c r="DX123">
        <f>IF(Settings!$B$36="Retirement",$AY123,0)+IF(Settings!$B$37="Retirement",$AZ123,0)+IF(Settings!$B$38="Retirement",$BA123,0)+IF(Settings!$B$39="Retirement",$BB123,0)+IF(Settings!$B$40="Retirement",$BC123,0)+IF(Settings!$B$41="Retirement",$BD123,0)</f>
        <v/>
      </c>
      <c r="EO123">
        <f>EDATE(DATE(YEAR(TODAY()),MONTH(TODAY()),1),0)</f>
        <v/>
      </c>
      <c r="ER123">
        <f>IFERROR(IF(INDEX($DJ$6:$DJ$183,MATCH(EO123,$A$6:$A$183,0))="",NA(),INDEX($DJ$6:$DJ$183,MATCH(EO123,$A$6:$A$183,0))),NA())</f>
        <v/>
      </c>
      <c r="ES123">
        <f>TEXT(EO123,"mmm yy")</f>
        <v/>
      </c>
      <c r="ET123">
        <f>IF($E123&lt;&gt;"open",0,IF(AND('Month-End'!$DP$22&lt;&gt;"",NOT(_xlfn.ISFORMULA('Month-End'!$DP$22))),0,IF(OR(Settings!$C$45="",Settings!$D$45=""),0,Settings!$C$45*IF(Settings!$D$45="Weekly",IF(IFERROR(MATCH(Settings!$E$45,$EO$4:$EO$10,0),0)=0,0,IF(MIN(Settings!$B$5,IF(Settings!$G$45="",Settings!$B$5,Settings!$G$45))&lt;MAX($A123,Settings!$F$45),0,INT((MIN(Settings!$B$5,IF(Settings!$G$45="",Settings!$B$5,Settings!$G$45))-MAX($A123,Settings!$F$45)-MOD(IFERROR(MATCH(Settings!$E$45,$EO$4:$EO$10,0),0)-WEEKDAY(MAX($A123,Settings!$F$45)),7))/7)+1)),IF(AND(IF(Settings!$E$45="",$B123,DATE(YEAR($A123),MONTH($A123),MIN(Settings!$E$45,DAY($B123))))&gt;=MAX($A123,Settings!$F$45),IF(Settings!$E$45="",$B123,DATE(YEAR($A123),MONTH($A123),MIN(Settings!$E$45,DAY($B123))))&lt;=MIN(Settings!$B$5,IF(Settings!$G$45="",Settings!$B$5,Settings!$G$45))),1,0)))))</f>
        <v/>
      </c>
      <c r="EU123">
        <f>IF($E123&lt;&gt;"open",0,IF(AND('Month-End'!$DP$23&lt;&gt;"",NOT(_xlfn.ISFORMULA('Month-End'!$DP$23))),0,IF(OR(Settings!$C$46="",Settings!$D$46=""),0,Settings!$C$46*IF(Settings!$D$46="Weekly",IF(IFERROR(MATCH(Settings!$E$46,$EO$4:$EO$10,0),0)=0,0,IF(MIN(Settings!$B$5,IF(Settings!$G$46="",Settings!$B$5,Settings!$G$46))&lt;MAX($A123,Settings!$F$46),0,INT((MIN(Settings!$B$5,IF(Settings!$G$46="",Settings!$B$5,Settings!$G$46))-MAX($A123,Settings!$F$46)-MOD(IFERROR(MATCH(Settings!$E$46,$EO$4:$EO$10,0),0)-WEEKDAY(MAX($A123,Settings!$F$46)),7))/7)+1)),IF(AND(IF(Settings!$E$46="",$B123,DATE(YEAR($A123),MONTH($A123),MIN(Settings!$E$46,DAY($B123))))&gt;=MAX($A123,Settings!$F$46),IF(Settings!$E$46="",$B123,DATE(YEAR($A123),MONTH($A123),MIN(Settings!$E$46,DAY($B123))))&lt;=MIN(Settings!$B$5,IF(Settings!$G$46="",Settings!$B$5,Settings!$G$46))),1,0)))))</f>
        <v/>
      </c>
      <c r="EV123">
        <f>IF($E123&lt;&gt;"open",0,IF(AND('Month-End'!$DP$24&lt;&gt;"",NOT(_xlfn.ISFORMULA('Month-End'!$DP$24))),0,IF(OR(Settings!$C$47="",Settings!$D$47=""),0,Settings!$C$47*IF(Settings!$D$47="Weekly",IF(IFERROR(MATCH(Settings!$E$47,$EO$4:$EO$10,0),0)=0,0,IF(MIN(Settings!$B$5,IF(Settings!$G$47="",Settings!$B$5,Settings!$G$47))&lt;MAX($A123,Settings!$F$47),0,INT((MIN(Settings!$B$5,IF(Settings!$G$47="",Settings!$B$5,Settings!$G$47))-MAX($A123,Settings!$F$47)-MOD(IFERROR(MATCH(Settings!$E$47,$EO$4:$EO$10,0),0)-WEEKDAY(MAX($A123,Settings!$F$47)),7))/7)+1)),IF(AND(IF(Settings!$E$47="",$B123,DATE(YEAR($A123),MONTH($A123),MIN(Settings!$E$47,DAY($B123))))&gt;=MAX($A123,Settings!$F$47),IF(Settings!$E$47="",$B123,DATE(YEAR($A123),MONTH($A123),MIN(Settings!$E$47,DAY($B123))))&lt;=MIN(Settings!$B$5,IF(Settings!$G$47="",Settings!$B$5,Settings!$G$47))),1,0)))))</f>
        <v/>
      </c>
      <c r="EW123">
        <f>IF($E123&lt;&gt;"open",0,IF(AND('Month-End'!$DP$25&lt;&gt;"",NOT(_xlfn.ISFORMULA('Month-End'!$DP$25))),0,IF(OR(Settings!$C$48="",Settings!$D$48=""),0,Settings!$C$48*IF(Settings!$D$48="Weekly",IF(IFERROR(MATCH(Settings!$E$48,$EO$4:$EO$10,0),0)=0,0,IF(MIN(Settings!$B$5,IF(Settings!$G$48="",Settings!$B$5,Settings!$G$48))&lt;MAX($A123,Settings!$F$48),0,INT((MIN(Settings!$B$5,IF(Settings!$G$48="",Settings!$B$5,Settings!$G$48))-MAX($A123,Settings!$F$48)-MOD(IFERROR(MATCH(Settings!$E$48,$EO$4:$EO$10,0),0)-WEEKDAY(MAX($A123,Settings!$F$48)),7))/7)+1)),IF(AND(IF(Settings!$E$48="",$B123,DATE(YEAR($A123),MONTH($A123),MIN(Settings!$E$48,DAY($B123))))&gt;=MAX($A123,Settings!$F$48),IF(Settings!$E$48="",$B123,DATE(YEAR($A123),MONTH($A123),MIN(Settings!$E$48,DAY($B123))))&lt;=MIN(Settings!$B$5,IF(Settings!$G$48="",Settings!$B$5,Settings!$G$48))),1,0)))))</f>
        <v/>
      </c>
      <c r="EX123">
        <f>IF($E123&lt;&gt;"open",0,IF(AND('Month-End'!$DP$26&lt;&gt;"",NOT(_xlfn.ISFORMULA('Month-End'!$DP$26))),0,IF(OR(Settings!$C$49="",Settings!$D$49=""),0,Settings!$C$49*IF(Settings!$D$49="Weekly",IF(IFERROR(MATCH(Settings!$E$49,$EO$4:$EO$10,0),0)=0,0,IF(MIN(Settings!$B$5,IF(Settings!$G$49="",Settings!$B$5,Settings!$G$49))&lt;MAX($A123,Settings!$F$49),0,INT((MIN(Settings!$B$5,IF(Settings!$G$49="",Settings!$B$5,Settings!$G$49))-MAX($A123,Settings!$F$49)-MOD(IFERROR(MATCH(Settings!$E$49,$EO$4:$EO$10,0),0)-WEEKDAY(MAX($A123,Settings!$F$49)),7))/7)+1)),IF(AND(IF(Settings!$E$49="",$B123,DATE(YEAR($A123),MONTH($A123),MIN(Settings!$E$49,DAY($B123))))&gt;=MAX($A123,Settings!$F$49),IF(Settings!$E$49="",$B123,DATE(YEAR($A123),MONTH($A123),MIN(Settings!$E$49,DAY($B123))))&lt;=MIN(Settings!$B$5,IF(Settings!$G$49="",Settings!$B$5,Settings!$G$49))),1,0)))))</f>
        <v/>
      </c>
      <c r="EY123">
        <f>IF($E123&lt;&gt;"open",0,IF(AND('Month-End'!$DP$27&lt;&gt;"",NOT(_xlfn.ISFORMULA('Month-End'!$DP$27))),0,IF(OR(Settings!$C$50="",Settings!$D$50=""),0,Settings!$C$50*IF(Settings!$D$50="Weekly",IF(IFERROR(MATCH(Settings!$E$50,$EO$4:$EO$10,0),0)=0,0,IF(MIN(Settings!$B$5,IF(Settings!$G$50="",Settings!$B$5,Settings!$G$50))&lt;MAX($A123,Settings!$F$50),0,INT((MIN(Settings!$B$5,IF(Settings!$G$50="",Settings!$B$5,Settings!$G$50))-MAX($A123,Settings!$F$50)-MOD(IFERROR(MATCH(Settings!$E$50,$EO$4:$EO$10,0),0)-WEEKDAY(MAX($A123,Settings!$F$50)),7))/7)+1)),IF(AND(IF(Settings!$E$50="",$B123,DATE(YEAR($A123),MONTH($A123),MIN(Settings!$E$50,DAY($B123))))&gt;=MAX($A123,Settings!$F$50),IF(Settings!$E$50="",$B123,DATE(YEAR($A123),MONTH($A123),MIN(Settings!$E$50,DAY($B123))))&lt;=MIN(Settings!$B$5,IF(Settings!$G$50="",Settings!$B$5,Settings!$G$50))),1,0)))))</f>
        <v/>
      </c>
      <c r="EZ123">
        <f>IF($E123&lt;&gt;"open",0,IF(AND('Month-End'!$DP$28&lt;&gt;"",NOT(_xlfn.ISFORMULA('Month-End'!$DP$28))),0,IF(OR(Settings!$C$51="",Settings!$D$51=""),0,Settings!$C$51*IF(Settings!$D$51="Weekly",IF(IFERROR(MATCH(Settings!$E$51,$EO$4:$EO$10,0),0)=0,0,IF(MIN(Settings!$B$5,IF(Settings!$G$51="",Settings!$B$5,Settings!$G$51))&lt;MAX($A123,Settings!$F$51),0,INT((MIN(Settings!$B$5,IF(Settings!$G$51="",Settings!$B$5,Settings!$G$51))-MAX($A123,Settings!$F$51)-MOD(IFERROR(MATCH(Settings!$E$51,$EO$4:$EO$10,0),0)-WEEKDAY(MAX($A123,Settings!$F$51)),7))/7)+1)),IF(AND(IF(Settings!$E$51="",$B123,DATE(YEAR($A123),MONTH($A123),MIN(Settings!$E$51,DAY($B123))))&gt;=MAX($A123,Settings!$F$51),IF(Settings!$E$51="",$B123,DATE(YEAR($A123),MONTH($A123),MIN(Settings!$E$51,DAY($B123))))&lt;=MIN(Settings!$B$5,IF(Settings!$G$51="",Settings!$B$5,Settings!$G$51))),1,0)))))</f>
        <v/>
      </c>
      <c r="FA123">
        <f>IF($E123&lt;&gt;"open",0,IF(AND('Month-End'!$DP$29&lt;&gt;"",NOT(_xlfn.ISFORMULA('Month-End'!$DP$29))),0,IF(OR(Settings!$C$52="",Settings!$D$52=""),0,Settings!$C$52*IF(Settings!$D$52="Weekly",IF(IFERROR(MATCH(Settings!$E$52,$EO$4:$EO$10,0),0)=0,0,IF(MIN(Settings!$B$5,IF(Settings!$G$52="",Settings!$B$5,Settings!$G$52))&lt;MAX($A123,Settings!$F$52),0,INT((MIN(Settings!$B$5,IF(Settings!$G$52="",Settings!$B$5,Settings!$G$52))-MAX($A123,Settings!$F$52)-MOD(IFERROR(MATCH(Settings!$E$52,$EO$4:$EO$10,0),0)-WEEKDAY(MAX($A123,Settings!$F$52)),7))/7)+1)),IF(AND(IF(Settings!$E$52="",$B123,DATE(YEAR($A123),MONTH($A123),MIN(Settings!$E$52,DAY($B123))))&gt;=MAX($A123,Settings!$F$52),IF(Settings!$E$52="",$B123,DATE(YEAR($A123),MONTH($A123),MIN(Settings!$E$52,DAY($B123))))&lt;=MIN(Settings!$B$5,IF(Settings!$G$52="",Settings!$B$5,Settings!$G$52))),1,0)))))</f>
        <v/>
      </c>
      <c r="FB123">
        <f>IF($E123&lt;&gt;"open",0,IF(AND('Month-End'!$DP$30&lt;&gt;"",NOT(_xlfn.ISFORMULA('Month-End'!$DP$30))),0,IF(OR(Settings!$C$53="",Settings!$D$53=""),0,Settings!$C$53*IF(Settings!$D$53="Weekly",IF(IFERROR(MATCH(Settings!$E$53,$EO$4:$EO$10,0),0)=0,0,IF(MIN(Settings!$B$5,IF(Settings!$G$53="",Settings!$B$5,Settings!$G$53))&lt;MAX($A123,Settings!$F$53),0,INT((MIN(Settings!$B$5,IF(Settings!$G$53="",Settings!$B$5,Settings!$G$53))-MAX($A123,Settings!$F$53)-MOD(IFERROR(MATCH(Settings!$E$53,$EO$4:$EO$10,0),0)-WEEKDAY(MAX($A123,Settings!$F$53)),7))/7)+1)),IF(AND(IF(Settings!$E$53="",$B123,DATE(YEAR($A123),MONTH($A123),MIN(Settings!$E$53,DAY($B123))))&gt;=MAX($A123,Settings!$F$53),IF(Settings!$E$53="",$B123,DATE(YEAR($A123),MONTH($A123),MIN(Settings!$E$53,DAY($B123))))&lt;=MIN(Settings!$B$5,IF(Settings!$G$53="",Settings!$B$5,Settings!$G$53))),1,0)))))</f>
        <v/>
      </c>
      <c r="FC123">
        <f>IF($E123&lt;&gt;"open",0,IF(AND('Month-End'!$DP$31&lt;&gt;"",NOT(_xlfn.ISFORMULA('Month-End'!$DP$31))),0,IF(OR(Settings!$C$54="",Settings!$D$54=""),0,Settings!$C$54*IF(Settings!$D$54="Weekly",IF(IFERROR(MATCH(Settings!$E$54,$EO$4:$EO$10,0),0)=0,0,IF(MIN(Settings!$B$5,IF(Settings!$G$54="",Settings!$B$5,Settings!$G$54))&lt;MAX($A123,Settings!$F$54),0,INT((MIN(Settings!$B$5,IF(Settings!$G$54="",Settings!$B$5,Settings!$G$54))-MAX($A123,Settings!$F$54)-MOD(IFERROR(MATCH(Settings!$E$54,$EO$4:$EO$10,0),0)-WEEKDAY(MAX($A123,Settings!$F$54)),7))/7)+1)),IF(AND(IF(Settings!$E$54="",$B123,DATE(YEAR($A123),MONTH($A123),MIN(Settings!$E$54,DAY($B123))))&gt;=MAX($A123,Settings!$F$54),IF(Settings!$E$54="",$B123,DATE(YEAR($A123),MONTH($A123),MIN(Settings!$E$54,DAY($B123))))&lt;=MIN(Settings!$B$5,IF(Settings!$G$54="",Settings!$B$5,Settings!$G$54))),1,0)))))</f>
        <v/>
      </c>
      <c r="FD123">
        <f>IF($E123&lt;&gt;"open",0,IF(AND('Month-End'!$DP$32&lt;&gt;"",NOT(_xlfn.ISFORMULA('Month-End'!$DP$32))),0,IF(OR(Settings!$C$55="",Settings!$D$55=""),0,Settings!$C$55*IF(Settings!$D$55="Weekly",IF(IFERROR(MATCH(Settings!$E$55,$EO$4:$EO$10,0),0)=0,0,IF(MIN(Settings!$B$5,IF(Settings!$G$55="",Settings!$B$5,Settings!$G$55))&lt;MAX($A123,Settings!$F$55),0,INT((MIN(Settings!$B$5,IF(Settings!$G$55="",Settings!$B$5,Settings!$G$55))-MAX($A123,Settings!$F$55)-MOD(IFERROR(MATCH(Settings!$E$55,$EO$4:$EO$10,0),0)-WEEKDAY(MAX($A123,Settings!$F$55)),7))/7)+1)),IF(AND(IF(Settings!$E$55="",$B123,DATE(YEAR($A123),MONTH($A123),MIN(Settings!$E$55,DAY($B123))))&gt;=MAX($A123,Settings!$F$55),IF(Settings!$E$55="",$B123,DATE(YEAR($A123),MONTH($A123),MIN(Settings!$E$55,DAY($B123))))&lt;=MIN(Settings!$B$5,IF(Settings!$G$55="",Settings!$B$5,Settings!$G$55))),1,0)))))</f>
        <v/>
      </c>
      <c r="FE123">
        <f>IF($E123&lt;&gt;"open",0,IF(AND('Month-End'!$DP$33&lt;&gt;"",NOT(_xlfn.ISFORMULA('Month-End'!$DP$33))),0,IF(OR(Settings!$C$56="",Settings!$D$56=""),0,Settings!$C$56*IF(Settings!$D$56="Weekly",IF(IFERROR(MATCH(Settings!$E$56,$EO$4:$EO$10,0),0)=0,0,IF(MIN(Settings!$B$5,IF(Settings!$G$56="",Settings!$B$5,Settings!$G$56))&lt;MAX($A123,Settings!$F$56),0,INT((MIN(Settings!$B$5,IF(Settings!$G$56="",Settings!$B$5,Settings!$G$56))-MAX($A123,Settings!$F$56)-MOD(IFERROR(MATCH(Settings!$E$56,$EO$4:$EO$10,0),0)-WEEKDAY(MAX($A123,Settings!$F$56)),7))/7)+1)),IF(AND(IF(Settings!$E$56="",$B123,DATE(YEAR($A123),MONTH($A123),MIN(Settings!$E$56,DAY($B123))))&gt;=MAX($A123,Settings!$F$56),IF(Settings!$E$56="",$B123,DATE(YEAR($A123),MONTH($A123),MIN(Settings!$E$56,DAY($B123))))&lt;=MIN(Settings!$B$5,IF(Settings!$G$56="",Settings!$B$5,Settings!$G$56))),1,0)))))</f>
        <v/>
      </c>
      <c r="FF123">
        <f>IF(Settings!$I$45="Yes",$G123,0)+IF(Settings!$I$46="Yes",$H123,0)+IF(Settings!$I$47="Yes",$I123,0)+IF(Settings!$I$48="Yes",$J123,0)+IF(Settings!$I$49="Yes",$K123,0)+IF(Settings!$I$50="Yes",$L123,0)+IF(Settings!$I$51="Yes",$M123,0)+IF(Settings!$I$52="Yes",$N123,0)+IF(Settings!$I$53="Yes",$O123,0)+IF(Settings!$I$54="Yes",$P123,0)+IF(Settings!$I$55="Yes",$Q123,0)+IF(Settings!$I$56="Yes",$R123,0)</f>
        <v/>
      </c>
      <c r="FG123">
        <f>IF(AND(Settings!$I$45="Yes",Settings!$J$45="No"),$G123,0)+IF(AND(Settings!$I$46="Yes",Settings!$J$46="No"),$H123,0)+IF(AND(Settings!$I$47="Yes",Settings!$J$47="No"),$I123,0)+IF(AND(Settings!$I$48="Yes",Settings!$J$48="No"),$J123,0)+IF(AND(Settings!$I$49="Yes",Settings!$J$49="No"),$K123,0)+IF(AND(Settings!$I$50="Yes",Settings!$J$50="No"),$L123,0)+IF(AND(Settings!$I$51="Yes",Settings!$J$51="No"),$M123,0)+IF(AND(Settings!$I$52="Yes",Settings!$J$52="No"),$N123,0)+IF(AND(Settings!$I$53="Yes",Settings!$J$53="No"),$O123,0)+IF(AND(Settings!$I$54="Yes",Settings!$J$54="No"),$P123,0)+IF(AND(Settings!$I$55="Yes",Settings!$J$55="No"),$Q123,0)+IF(AND(Settings!$I$56="Yes",Settings!$J$56="No"),$R123,0)</f>
        <v/>
      </c>
      <c r="FH123">
        <f>SUMIFS(Giving!$B$7:$B$2006,Giving!$A$7:$A$2006,"&gt;="&amp;$A123,Giving!$A$7:$A$2006,"&lt;="&amp;$B123,Giving!$G$7:$G$2006,"Yes")+IF(OR(OR(Settings!$B$60="",Settings!$F$60="No"),Settings!$H$60&lt;&gt;"Yes"),0,Settings!$B$60*IF(AND(IF(Settings!$C$60="",$B123,DATE(YEAR($A123),MONTH($A123),MIN(Settings!$C$60,DAY($B123))))&gt;=MAX($A123,Settings!$D$60),IF(Settings!$C$60="",$B123,DATE(YEAR($A123),MONTH($A123),MIN(Settings!$C$60,DAY($B123))))&lt;=MIN($C123,IF(Settings!$E$60="",$C123,Settings!$E$60))),1,0))+IF(OR(OR(Settings!$B$61="",Settings!$F$61="No"),Settings!$H$61&lt;&gt;"Yes"),0,Settings!$B$61*IF(AND(IF(Settings!$C$61="",$B123,DATE(YEAR($A123),MONTH($A123),MIN(Settings!$C$61,DAY($B123))))&gt;=MAX($A123,Settings!$D$61),IF(Settings!$C$61="",$B123,DATE(YEAR($A123),MONTH($A123),MIN(Settings!$C$61,DAY($B123))))&lt;=MIN($C123,IF(Settings!$E$61="",$C123,Settings!$E$61))),1,0))+IF(OR(OR(Settings!$B$62="",Settings!$F$62="No"),Settings!$H$62&lt;&gt;"Yes"),0,Settings!$B$62*IF(AND(IF(Settings!$C$62="",$B123,DATE(YEAR($A123),MONTH($A123),MIN(Settings!$C$62,DAY($B123))))&gt;=MAX($A123,Settings!$D$62),IF(Settings!$C$62="",$B123,DATE(YEAR($A123),MONTH($A123),MIN(Settings!$C$62,DAY($B123))))&lt;=MIN($C123,IF(Settings!$E$62="",$C123,Settings!$E$62))),1,0))+IF(OR(OR(Settings!$B$63="",Settings!$F$63="No"),Settings!$H$63&lt;&gt;"Yes"),0,Settings!$B$63*IF(AND(IF(Settings!$C$63="",$B123,DATE(YEAR($A123),MONTH($A123),MIN(Settings!$C$63,DAY($B123))))&gt;=MAX($A123,Settings!$D$63),IF(Settings!$C$63="",$B123,DATE(YEAR($A123),MONTH($A123),MIN(Settings!$C$63,DAY($B123))))&lt;=MIN($C123,IF(Settings!$E$63="",$C123,Settings!$E$63))),1,0))+IF(OR(OR(Settings!$B$64="",Settings!$F$64="No"),Settings!$H$64&lt;&gt;"Yes"),0,Settings!$B$64*IF(AND(IF(Settings!$C$64="",$B123,DATE(YEAR($A123),MONTH($A123),MIN(Settings!$C$64,DAY($B123))))&gt;=MAX($A123,Settings!$D$64),IF(Settings!$C$64="",$B123,DATE(YEAR($A123),MONTH($A123),MIN(Settings!$C$64,DAY($B123))))&lt;=MIN($C123,IF(Settings!$E$64="",$C123,Settings!$E$64))),1,0))+IF(OR(OR(Settings!$B$65="",Settings!$F$65="No"),Settings!$H$65&lt;&gt;"Yes"),0,Settings!$B$65*IF(AND(IF(Settings!$C$65="",$B123,DATE(YEAR($A123),MONTH($A123),MIN(Settings!$C$65,DAY($B123))))&gt;=MAX($A123,Settings!$D$65),IF(Settings!$C$65="",$B123,DATE(YEAR($A123),MONTH($A123),MIN(Settings!$C$65,DAY($B123))))&lt;=MIN($C123,IF(Settings!$E$65="",$C123,Settings!$E$65))),1,0))</f>
        <v/>
      </c>
      <c r="FI123">
        <f>IF($DT123=1,IF(OR(Settings!$B$19="Card",Settings!$B$19="Loan"),N($AE123),0)+IF(OR(Settings!$B$20="Card",Settings!$B$20="Loan"),N($AF123),0)+IF(OR(Settings!$B$21="Card",Settings!$B$21="Loan"),N($AG123),0)+IF(OR(Settings!$B$22="Card",Settings!$B$22="Loan"),N($AH123),0)+IF(OR(Settings!$B$23="Card",Settings!$B$23="Loan"),N($AI123),0)+IF(OR(Settings!$B$24="Card",Settings!$B$24="Loan"),N($AJ123),0)+IF(OR(Settings!$B$25="Card",Settings!$B$25="Loan"),N($AK123),0)+IF(OR(Settings!$B$26="Card",Settings!$B$26="Loan"),N($AL123),0)+IF(OR(Settings!$B$27="Card",Settings!$B$27="Loan"),N($AM123),0)+IF(OR(Settings!$B$28="Card",Settings!$B$28="Loan"),N($AN123),0)+IF(OR(Settings!$B$29="Card",Settings!$B$29="Loan"),N($AO123),0)+IF(OR(Settings!$B$30="Card",Settings!$B$30="Loan"),N($AP123),0)+IF(OR(Settings!$B$31="Card",Settings!$B$31="Loan"),N($AQ123),0)+IF(OR(Settings!$B$32="Card",Settings!$B$32="Loan"),N($AR123),0),"")</f>
        <v/>
      </c>
      <c r="FJ123">
        <f>IF($E123="open",$EB$65,IF($E123="post",IF($E122="pre",$EB$65,$FI122),""))</f>
        <v/>
      </c>
      <c r="FK123">
        <f>IF(AND($DT123=1,$DC123=1),IF(ROUND($FI123-$FJ123,2)&gt;0,1,0),0)</f>
        <v/>
      </c>
      <c r="FL123">
        <f>IF($FK123=1,$FL122+1,0)</f>
        <v/>
      </c>
    </row>
    <row r="124">
      <c r="A124">
        <f>'Month-End'!$DQ$4</f>
        <v/>
      </c>
      <c r="B124">
        <f>EOMONTH($A124,0)</f>
        <v/>
      </c>
      <c r="C124">
        <f>MIN($B124,TODAY())</f>
        <v/>
      </c>
      <c r="D124">
        <f>IF($A124&gt;TODAY(),1,0)</f>
        <v/>
      </c>
      <c r="E124">
        <f>IF($B124&lt;=Settings!$B$5,"pre",IF($A124&lt;=Settings!$B$5,"open","post"))</f>
        <v/>
      </c>
      <c r="G124">
        <f>IF('Month-End'!$DQ$22="",$BE124,N('Month-End'!$DQ$22))</f>
        <v/>
      </c>
      <c r="H124">
        <f>IF('Month-End'!$DQ$23="",$BF124,N('Month-End'!$DQ$23))</f>
        <v/>
      </c>
      <c r="I124">
        <f>IF('Month-End'!$DQ$24="",$BG124,N('Month-End'!$DQ$24))</f>
        <v/>
      </c>
      <c r="J124">
        <f>IF('Month-End'!$DQ$25="",$BH124,N('Month-End'!$DQ$25))</f>
        <v/>
      </c>
      <c r="K124">
        <f>IF('Month-End'!$DQ$26="",$BI124,N('Month-End'!$DQ$26))</f>
        <v/>
      </c>
      <c r="L124">
        <f>IF('Month-End'!$DQ$27="",$BJ124,N('Month-End'!$DQ$27))</f>
        <v/>
      </c>
      <c r="M124">
        <f>IF('Month-End'!$DQ$28="",$BK124,N('Month-End'!$DQ$28))</f>
        <v/>
      </c>
      <c r="N124">
        <f>IF('Month-End'!$DQ$29="",$BL124,N('Month-End'!$DQ$29))</f>
        <v/>
      </c>
      <c r="O124">
        <f>IF('Month-End'!$DQ$30="",$BM124,N('Month-End'!$DQ$30))</f>
        <v/>
      </c>
      <c r="P124">
        <f>IF('Month-End'!$DQ$31="",$BN124,N('Month-End'!$DQ$31))</f>
        <v/>
      </c>
      <c r="Q124">
        <f>IF('Month-End'!$DQ$32="",$BO124,N('Month-End'!$DQ$32))</f>
        <v/>
      </c>
      <c r="R124">
        <f>IF('Month-End'!$DQ$33="",$BP124,N('Month-End'!$DQ$33))</f>
        <v/>
      </c>
      <c r="S124">
        <f>$G124+$H124+$I124+$J124+$K124+$L124+$M124+$N124+$O124+$P124+$Q124+$R124</f>
        <v/>
      </c>
      <c r="T124">
        <f>IF($B124&lt;Settings!$B$6,0,IF(Settings!$B$45="Yes",$G124,0)+IF(Settings!$B$46="Yes",$H124,0)+IF(Settings!$B$47="Yes",$I124,0)+IF(Settings!$B$48="Yes",$J124,0)+IF(Settings!$B$49="Yes",$K124,0)+IF(Settings!$B$50="Yes",$L124,0)+IF(Settings!$B$51="Yes",$M124,0)+IF(Settings!$B$52="Yes",$N124,0)+IF(Settings!$B$53="Yes",$O124,0)+IF(Settings!$B$54="Yes",$P124,0)+IF(Settings!$B$55="Yes",$Q124,0)+IF(Settings!$B$56="Yes",$R124,0))</f>
        <v/>
      </c>
      <c r="U124">
        <f>IF(Settings!$B$45="Not Sure",$G124,0)+IF(Settings!$B$46="Not Sure",$H124,0)+IF(Settings!$B$47="Not Sure",$I124,0)+IF(Settings!$B$48="Not Sure",$J124,0)+IF(Settings!$B$49="Not Sure",$K124,0)+IF(Settings!$B$50="Not Sure",$L124,0)+IF(Settings!$B$51="Not Sure",$M124,0)+IF(Settings!$B$52="Not Sure",$N124,0)+IF(Settings!$B$53="Not Sure",$O124,0)+IF(Settings!$B$54="Not Sure",$P124,0)+IF(Settings!$B$55="Not Sure",$Q124,0)+IF(Settings!$B$56="Not Sure",$R124,0)</f>
        <v/>
      </c>
      <c r="V124">
        <f>IF($E124="open",SUM($ET124:$FE124)+N(Settings!$B$13),0)</f>
        <v/>
      </c>
      <c r="W124">
        <f>IF($E124="post",$S124,IF($E124="open",$S124-$V124,0))</f>
        <v/>
      </c>
      <c r="X124">
        <f>SUMIFS(Giving!$B$7:$B$2006,Giving!$A$7:$A$2006,"&gt;="&amp;$A124,Giving!$A$7:$A$2006,"&lt;="&amp;$B124,Giving!$E$7:$E$2006,"&lt;&gt;No")</f>
        <v/>
      </c>
      <c r="Y124">
        <f>SUMIFS(Giving!$B$7:$B$2006,Giving!$A$7:$A$2006,"&gt;="&amp;$A124,Giving!$A$7:$A$2006,"&lt;="&amp;$B124,Giving!$E$7:$E$2006,"No")</f>
        <v/>
      </c>
      <c r="Z124">
        <f>IF(OR(Settings!$B$60="",Settings!$F$60="No"),0,Settings!$B$60*IF(AND(IF(Settings!$C$60="",$B124,DATE(YEAR($A124),MONTH($A124),MIN(Settings!$C$60,DAY($B124))))&gt;=MAX($A124,Settings!$D$60),IF(Settings!$C$60="",$B124,DATE(YEAR($A124),MONTH($A124),MIN(Settings!$C$60,DAY($B124))))&lt;=MIN($C124,IF(Settings!$E$60="",$C124,Settings!$E$60))),1,0))+IF(OR(Settings!$B$61="",Settings!$F$61="No"),0,Settings!$B$61*IF(AND(IF(Settings!$C$61="",$B124,DATE(YEAR($A124),MONTH($A124),MIN(Settings!$C$61,DAY($B124))))&gt;=MAX($A124,Settings!$D$61),IF(Settings!$C$61="",$B124,DATE(YEAR($A124),MONTH($A124),MIN(Settings!$C$61,DAY($B124))))&lt;=MIN($C124,IF(Settings!$E$61="",$C124,Settings!$E$61))),1,0))+IF(OR(Settings!$B$62="",Settings!$F$62="No"),0,Settings!$B$62*IF(AND(IF(Settings!$C$62="",$B124,DATE(YEAR($A124),MONTH($A124),MIN(Settings!$C$62,DAY($B124))))&gt;=MAX($A124,Settings!$D$62),IF(Settings!$C$62="",$B124,DATE(YEAR($A124),MONTH($A124),MIN(Settings!$C$62,DAY($B124))))&lt;=MIN($C124,IF(Settings!$E$62="",$C124,Settings!$E$62))),1,0))+IF(OR(Settings!$B$63="",Settings!$F$63="No"),0,Settings!$B$63*IF(AND(IF(Settings!$C$63="",$B124,DATE(YEAR($A124),MONTH($A124),MIN(Settings!$C$63,DAY($B124))))&gt;=MAX($A124,Settings!$D$63),IF(Settings!$C$63="",$B124,DATE(YEAR($A124),MONTH($A124),MIN(Settings!$C$63,DAY($B124))))&lt;=MIN($C124,IF(Settings!$E$63="",$C124,Settings!$E$63))),1,0))+IF(OR(Settings!$B$64="",Settings!$F$64="No"),0,Settings!$B$64*IF(AND(IF(Settings!$C$64="",$B124,DATE(YEAR($A124),MONTH($A124),MIN(Settings!$C$64,DAY($B124))))&gt;=MAX($A124,Settings!$D$64),IF(Settings!$C$64="",$B124,DATE(YEAR($A124),MONTH($A124),MIN(Settings!$C$64,DAY($B124))))&lt;=MIN($C124,IF(Settings!$E$64="",$C124,Settings!$E$64))),1,0))+IF(OR(Settings!$B$65="",Settings!$F$65="No"),0,Settings!$B$65*IF(AND(IF(Settings!$C$65="",$B124,DATE(YEAR($A124),MONTH($A124),MIN(Settings!$C$65,DAY($B124))))&gt;=MAX($A124,Settings!$D$65),IF(Settings!$C$65="",$B124,DATE(YEAR($A124),MONTH($A124),MIN(Settings!$C$65,DAY($B124))))&lt;=MIN($C124,IF(Settings!$E$65="",$C124,Settings!$E$65))),1,0))</f>
        <v/>
      </c>
      <c r="AA124">
        <f>$X124+$Z124</f>
        <v/>
      </c>
      <c r="AB124">
        <f>IF($E124="post",$AA124,IF($E124="open",SUMIFS(Giving!$B$7:$B$2006,Giving!$A$7:$A$2006,"&gt;"&amp;Settings!$B$5,Giving!$A$7:$A$2006,"&lt;="&amp;$B124,Giving!$E$7:$E$2006,"&lt;&gt;No")+IF(OR(Settings!$B$60="",Settings!$F$60="No"),0,Settings!$B$60*IF(AND(IF(Settings!$C$60="",$B124,DATE(YEAR($A124),MONTH($A124),MIN(Settings!$C$60,DAY($B124))))&gt;=MAX($A124,Settings!$D$60,Settings!$B$5+1),IF(Settings!$C$60="",$B124,DATE(YEAR($A124),MONTH($A124),MIN(Settings!$C$60,DAY($B124))))&lt;=MIN($C124,IF(Settings!$E$60="",$C124,Settings!$E$60))),1,0))+IF(OR(Settings!$B$61="",Settings!$F$61="No"),0,Settings!$B$61*IF(AND(IF(Settings!$C$61="",$B124,DATE(YEAR($A124),MONTH($A124),MIN(Settings!$C$61,DAY($B124))))&gt;=MAX($A124,Settings!$D$61,Settings!$B$5+1),IF(Settings!$C$61="",$B124,DATE(YEAR($A124),MONTH($A124),MIN(Settings!$C$61,DAY($B124))))&lt;=MIN($C124,IF(Settings!$E$61="",$C124,Settings!$E$61))),1,0))+IF(OR(Settings!$B$62="",Settings!$F$62="No"),0,Settings!$B$62*IF(AND(IF(Settings!$C$62="",$B124,DATE(YEAR($A124),MONTH($A124),MIN(Settings!$C$62,DAY($B124))))&gt;=MAX($A124,Settings!$D$62,Settings!$B$5+1),IF(Settings!$C$62="",$B124,DATE(YEAR($A124),MONTH($A124),MIN(Settings!$C$62,DAY($B124))))&lt;=MIN($C124,IF(Settings!$E$62="",$C124,Settings!$E$62))),1,0))+IF(OR(Settings!$B$63="",Settings!$F$63="No"),0,Settings!$B$63*IF(AND(IF(Settings!$C$63="",$B124,DATE(YEAR($A124),MONTH($A124),MIN(Settings!$C$63,DAY($B124))))&gt;=MAX($A124,Settings!$D$63,Settings!$B$5+1),IF(Settings!$C$63="",$B124,DATE(YEAR($A124),MONTH($A124),MIN(Settings!$C$63,DAY($B124))))&lt;=MIN($C124,IF(Settings!$E$63="",$C124,Settings!$E$63))),1,0))+IF(OR(Settings!$B$64="",Settings!$F$64="No"),0,Settings!$B$64*IF(AND(IF(Settings!$C$64="",$B124,DATE(YEAR($A124),MONTH($A124),MIN(Settings!$C$64,DAY($B124))))&gt;=MAX($A124,Settings!$D$64,Settings!$B$5+1),IF(Settings!$C$64="",$B124,DATE(YEAR($A124),MONTH($A124),MIN(Settings!$C$64,DAY($B124))))&lt;=MIN($C124,IF(Settings!$E$64="",$C124,Settings!$E$64))),1,0))+IF(OR(Settings!$B$65="",Settings!$F$65="No"),0,Settings!$B$65*IF(AND(IF(Settings!$C$65="",$B124,DATE(YEAR($A124),MONTH($A124),MIN(Settings!$C$65,DAY($B124))))&gt;=MAX($A124,Settings!$D$65,Settings!$B$5+1),IF(Settings!$C$65="",$B124,DATE(YEAR($A124),MONTH($A124),MIN(Settings!$C$65,DAY($B124))))&lt;=MIN($C124,IF(Settings!$E$65="",$C124,Settings!$E$65))),1,0)),0))</f>
        <v/>
      </c>
      <c r="AC124">
        <f>$AY124+$AZ124+$BA124+$BB124+$BC124+$BD124</f>
        <v/>
      </c>
      <c r="AD124">
        <f>$AC124</f>
        <v/>
      </c>
      <c r="AE124">
        <f>IF(OR(Settings!$A$19="",$E124="pre"),"",IF(AND('Month-End'!$DQ$7&lt;&gt;"",NOT(_xlfn.ISFORMULA('Month-End'!$DQ$7))),N('Month-End'!$DQ$7),IF(OR($E124="open",$E123="pre"),N(Settings!$C$19),N($AE123))))</f>
        <v/>
      </c>
      <c r="AF124">
        <f>IF(OR(Settings!$A$20="",$E124="pre"),"",IF(AND('Month-End'!$DQ$8&lt;&gt;"",NOT(_xlfn.ISFORMULA('Month-End'!$DQ$8))),N('Month-End'!$DQ$8),IF(OR($E124="open",$E123="pre"),N(Settings!$C$20),N($AF123))))</f>
        <v/>
      </c>
      <c r="AG124">
        <f>IF(OR(Settings!$A$21="",$E124="pre"),"",IF(AND('Month-End'!$DQ$9&lt;&gt;"",NOT(_xlfn.ISFORMULA('Month-End'!$DQ$9))),N('Month-End'!$DQ$9),IF(OR($E124="open",$E123="pre"),N(Settings!$C$21),N($AG123))))</f>
        <v/>
      </c>
      <c r="AH124">
        <f>IF(OR(Settings!$A$22="",$E124="pre"),"",IF(AND('Month-End'!$DQ$10&lt;&gt;"",NOT(_xlfn.ISFORMULA('Month-End'!$DQ$10))),N('Month-End'!$DQ$10),IF(OR($E124="open",$E123="pre"),N(Settings!$C$22),N($AH123))))</f>
        <v/>
      </c>
      <c r="AI124">
        <f>IF(OR(Settings!$A$23="",$E124="pre"),"",IF(AND('Month-End'!$DQ$11&lt;&gt;"",NOT(_xlfn.ISFORMULA('Month-End'!$DQ$11))),N('Month-End'!$DQ$11),IF(OR($E124="open",$E123="pre"),N(Settings!$C$23),N($AI123))))</f>
        <v/>
      </c>
      <c r="AJ124">
        <f>IF(OR(Settings!$A$24="",$E124="pre"),"",IF(AND('Month-End'!$DQ$12&lt;&gt;"",NOT(_xlfn.ISFORMULA('Month-End'!$DQ$12))),N('Month-End'!$DQ$12),IF(OR($E124="open",$E123="pre"),N(Settings!$C$24),N($AJ123))))</f>
        <v/>
      </c>
      <c r="AK124">
        <f>IF(OR(Settings!$A$25="",$E124="pre"),"",IF(AND('Month-End'!$DQ$13&lt;&gt;"",NOT(_xlfn.ISFORMULA('Month-End'!$DQ$13))),N('Month-End'!$DQ$13),IF(OR($E124="open",$E123="pre"),N(Settings!$C$25),N($AK123))))</f>
        <v/>
      </c>
      <c r="AL124">
        <f>IF(OR(Settings!$A$26="",$E124="pre"),"",IF(AND('Month-End'!$DQ$14&lt;&gt;"",NOT(_xlfn.ISFORMULA('Month-End'!$DQ$14))),N('Month-End'!$DQ$14),IF(OR($E124="open",$E123="pre"),N(Settings!$C$26),N($AL123))))</f>
        <v/>
      </c>
      <c r="AM124">
        <f>IF(OR(Settings!$A$27="",$E124="pre"),"",IF(AND('Month-End'!$DQ$15&lt;&gt;"",NOT(_xlfn.ISFORMULA('Month-End'!$DQ$15))),N('Month-End'!$DQ$15),IF(OR($E124="open",$E123="pre"),N(Settings!$C$27),N($AM123))))</f>
        <v/>
      </c>
      <c r="AN124">
        <f>IF(OR(Settings!$A$28="",$E124="pre"),"",IF(AND('Month-End'!$DQ$16&lt;&gt;"",NOT(_xlfn.ISFORMULA('Month-End'!$DQ$16))),N('Month-End'!$DQ$16),IF(OR($E124="open",$E123="pre"),N(Settings!$C$28),N($AN123))))</f>
        <v/>
      </c>
      <c r="AO124">
        <f>IF(OR(Settings!$A$29="",$E124="pre"),"",IF(AND('Month-End'!$DQ$17&lt;&gt;"",NOT(_xlfn.ISFORMULA('Month-End'!$DQ$17))),N('Month-End'!$DQ$17),IF(OR($E124="open",$E123="pre"),N(Settings!$C$29),N($AO123))))</f>
        <v/>
      </c>
      <c r="AP124">
        <f>IF(OR(Settings!$A$30="",$E124="pre"),"",IF(AND('Month-End'!$DQ$18&lt;&gt;"",NOT(_xlfn.ISFORMULA('Month-End'!$DQ$18))),N('Month-End'!$DQ$18),IF(OR($E124="open",$E123="pre"),N(Settings!$C$30),N($AP123))))</f>
        <v/>
      </c>
      <c r="AQ124">
        <f>IF(OR(Settings!$A$31="",$E124="pre"),"",IF(AND('Month-End'!$DQ$19&lt;&gt;"",NOT(_xlfn.ISFORMULA('Month-End'!$DQ$19))),N('Month-End'!$DQ$19),IF(OR($E124="open",$E123="pre"),N(Settings!$C$31),N($AQ123))))</f>
        <v/>
      </c>
      <c r="AR124">
        <f>IF(OR(Settings!$A$32="",$E124="pre"),"",IF(AND('Month-End'!$DQ$20&lt;&gt;"",NOT(_xlfn.ISFORMULA('Month-End'!$DQ$20))),N('Month-End'!$DQ$20),IF(OR($E124="open",$E123="pre"),N(Settings!$C$32),N($AR123))))</f>
        <v/>
      </c>
      <c r="AS124">
        <f>IF(OR(Settings!$A$36="",$E124="pre"),"",IF(AND('Month-End'!$DQ$38&lt;&gt;"",NOT(_xlfn.ISFORMULA('Month-End'!$DQ$38))),N('Month-End'!$DQ$38),IF(OR($E124="open",$E123="pre"),N(Settings!$C$36),N($AS123))+$AY124))</f>
        <v/>
      </c>
      <c r="AT124">
        <f>IF(OR(Settings!$A$37="",$E124="pre"),"",IF(AND('Month-End'!$DQ$39&lt;&gt;"",NOT(_xlfn.ISFORMULA('Month-End'!$DQ$39))),N('Month-End'!$DQ$39),IF(OR($E124="open",$E123="pre"),N(Settings!$C$37),N($AT123))+$AZ124))</f>
        <v/>
      </c>
      <c r="AU124">
        <f>IF(OR(Settings!$A$38="",$E124="pre"),"",IF(AND('Month-End'!$DQ$40&lt;&gt;"",NOT(_xlfn.ISFORMULA('Month-End'!$DQ$40))),N('Month-End'!$DQ$40),IF(OR($E124="open",$E123="pre"),N(Settings!$C$38),N($AU123))+$BA124))</f>
        <v/>
      </c>
      <c r="AV124">
        <f>IF(OR(Settings!$A$39="",$E124="pre"),"",IF(AND('Month-End'!$DQ$41&lt;&gt;"",NOT(_xlfn.ISFORMULA('Month-End'!$DQ$41))),N('Month-End'!$DQ$41),IF(OR($E124="open",$E123="pre"),N(Settings!$C$39),N($AV123))+$BB124))</f>
        <v/>
      </c>
      <c r="AW124">
        <f>IF(OR(Settings!$A$40="",$E124="pre"),"",IF(AND('Month-End'!$DQ$42&lt;&gt;"",NOT(_xlfn.ISFORMULA('Month-End'!$DQ$42))),N('Month-End'!$DQ$42),IF(OR($E124="open",$E123="pre"),N(Settings!$C$40),N($AW123))+$BC124))</f>
        <v/>
      </c>
      <c r="AX124">
        <f>IF(OR(Settings!$A$41="",$E124="pre"),"",IF(AND('Month-End'!$DQ$43&lt;&gt;"",NOT(_xlfn.ISFORMULA('Month-End'!$DQ$43))),N('Month-End'!$DQ$43),IF(OR($E124="open",$E123="pre"),N(Settings!$C$41),N($AX123))+$BD124))</f>
        <v/>
      </c>
      <c r="AY124">
        <f>IF($E124="pre",0,N('Month-End'!$DQ$45))</f>
        <v/>
      </c>
      <c r="AZ124">
        <f>IF($E124="pre",0,N('Month-End'!$DQ$46))</f>
        <v/>
      </c>
      <c r="BA124">
        <f>IF($E124="pre",0,N('Month-End'!$DQ$47))</f>
        <v/>
      </c>
      <c r="BB124">
        <f>IF($E124="pre",0,N('Month-End'!$DQ$48))</f>
        <v/>
      </c>
      <c r="BC124">
        <f>IF($E124="pre",0,N('Month-End'!$DQ$49))</f>
        <v/>
      </c>
      <c r="BD124">
        <f>IF($E124="pre",0,N('Month-End'!$DQ$50))</f>
        <v/>
      </c>
      <c r="BE124">
        <f>IF(OR(Settings!$C$45="",Settings!$D$45=""),0,Settings!$C$45*IF(Settings!$D$45="Weekly",IF(IFERROR(MATCH(Settings!$E$45,$EO$4:$EO$10,0),0)=0,0,IF(MIN($C124,IF(Settings!$G$45="",$C124,Settings!$G$45))&lt;MAX($A124,Settings!$F$45),0,INT((MIN($C124,IF(Settings!$G$45="",$C124,Settings!$G$45))-MAX($A124,Settings!$F$45)-MOD(IFERROR(MATCH(Settings!$E$45,$EO$4:$EO$10,0),0)-WEEKDAY(MAX($A124,Settings!$F$45)),7))/7)+1)),IF(AND(IF(Settings!$E$45="",$B124,DATE(YEAR($A124),MONTH($A124),MIN(Settings!$E$45,DAY($B124))))&gt;=MAX($A124,Settings!$F$45),IF(Settings!$E$45="",$B124,DATE(YEAR($A124),MONTH($A124),MIN(Settings!$E$45,DAY($B124))))&lt;=MIN($C124,IF(Settings!$G$45="",$C124,Settings!$G$45))),1,0)))</f>
        <v/>
      </c>
      <c r="BF124">
        <f>IF(OR(Settings!$C$46="",Settings!$D$46=""),0,Settings!$C$46*IF(Settings!$D$46="Weekly",IF(IFERROR(MATCH(Settings!$E$46,$EO$4:$EO$10,0),0)=0,0,IF(MIN($C124,IF(Settings!$G$46="",$C124,Settings!$G$46))&lt;MAX($A124,Settings!$F$46),0,INT((MIN($C124,IF(Settings!$G$46="",$C124,Settings!$G$46))-MAX($A124,Settings!$F$46)-MOD(IFERROR(MATCH(Settings!$E$46,$EO$4:$EO$10,0),0)-WEEKDAY(MAX($A124,Settings!$F$46)),7))/7)+1)),IF(AND(IF(Settings!$E$46="",$B124,DATE(YEAR($A124),MONTH($A124),MIN(Settings!$E$46,DAY($B124))))&gt;=MAX($A124,Settings!$F$46),IF(Settings!$E$46="",$B124,DATE(YEAR($A124),MONTH($A124),MIN(Settings!$E$46,DAY($B124))))&lt;=MIN($C124,IF(Settings!$G$46="",$C124,Settings!$G$46))),1,0)))</f>
        <v/>
      </c>
      <c r="BG124">
        <f>IF(OR(Settings!$C$47="",Settings!$D$47=""),0,Settings!$C$47*IF(Settings!$D$47="Weekly",IF(IFERROR(MATCH(Settings!$E$47,$EO$4:$EO$10,0),0)=0,0,IF(MIN($C124,IF(Settings!$G$47="",$C124,Settings!$G$47))&lt;MAX($A124,Settings!$F$47),0,INT((MIN($C124,IF(Settings!$G$47="",$C124,Settings!$G$47))-MAX($A124,Settings!$F$47)-MOD(IFERROR(MATCH(Settings!$E$47,$EO$4:$EO$10,0),0)-WEEKDAY(MAX($A124,Settings!$F$47)),7))/7)+1)),IF(AND(IF(Settings!$E$47="",$B124,DATE(YEAR($A124),MONTH($A124),MIN(Settings!$E$47,DAY($B124))))&gt;=MAX($A124,Settings!$F$47),IF(Settings!$E$47="",$B124,DATE(YEAR($A124),MONTH($A124),MIN(Settings!$E$47,DAY($B124))))&lt;=MIN($C124,IF(Settings!$G$47="",$C124,Settings!$G$47))),1,0)))</f>
        <v/>
      </c>
      <c r="BH124">
        <f>IF(OR(Settings!$C$48="",Settings!$D$48=""),0,Settings!$C$48*IF(Settings!$D$48="Weekly",IF(IFERROR(MATCH(Settings!$E$48,$EO$4:$EO$10,0),0)=0,0,IF(MIN($C124,IF(Settings!$G$48="",$C124,Settings!$G$48))&lt;MAX($A124,Settings!$F$48),0,INT((MIN($C124,IF(Settings!$G$48="",$C124,Settings!$G$48))-MAX($A124,Settings!$F$48)-MOD(IFERROR(MATCH(Settings!$E$48,$EO$4:$EO$10,0),0)-WEEKDAY(MAX($A124,Settings!$F$48)),7))/7)+1)),IF(AND(IF(Settings!$E$48="",$B124,DATE(YEAR($A124),MONTH($A124),MIN(Settings!$E$48,DAY($B124))))&gt;=MAX($A124,Settings!$F$48),IF(Settings!$E$48="",$B124,DATE(YEAR($A124),MONTH($A124),MIN(Settings!$E$48,DAY($B124))))&lt;=MIN($C124,IF(Settings!$G$48="",$C124,Settings!$G$48))),1,0)))</f>
        <v/>
      </c>
      <c r="BI124">
        <f>IF(OR(Settings!$C$49="",Settings!$D$49=""),0,Settings!$C$49*IF(Settings!$D$49="Weekly",IF(IFERROR(MATCH(Settings!$E$49,$EO$4:$EO$10,0),0)=0,0,IF(MIN($C124,IF(Settings!$G$49="",$C124,Settings!$G$49))&lt;MAX($A124,Settings!$F$49),0,INT((MIN($C124,IF(Settings!$G$49="",$C124,Settings!$G$49))-MAX($A124,Settings!$F$49)-MOD(IFERROR(MATCH(Settings!$E$49,$EO$4:$EO$10,0),0)-WEEKDAY(MAX($A124,Settings!$F$49)),7))/7)+1)),IF(AND(IF(Settings!$E$49="",$B124,DATE(YEAR($A124),MONTH($A124),MIN(Settings!$E$49,DAY($B124))))&gt;=MAX($A124,Settings!$F$49),IF(Settings!$E$49="",$B124,DATE(YEAR($A124),MONTH($A124),MIN(Settings!$E$49,DAY($B124))))&lt;=MIN($C124,IF(Settings!$G$49="",$C124,Settings!$G$49))),1,0)))</f>
        <v/>
      </c>
      <c r="BJ124">
        <f>IF(OR(Settings!$C$50="",Settings!$D$50=""),0,Settings!$C$50*IF(Settings!$D$50="Weekly",IF(IFERROR(MATCH(Settings!$E$50,$EO$4:$EO$10,0),0)=0,0,IF(MIN($C124,IF(Settings!$G$50="",$C124,Settings!$G$50))&lt;MAX($A124,Settings!$F$50),0,INT((MIN($C124,IF(Settings!$G$50="",$C124,Settings!$G$50))-MAX($A124,Settings!$F$50)-MOD(IFERROR(MATCH(Settings!$E$50,$EO$4:$EO$10,0),0)-WEEKDAY(MAX($A124,Settings!$F$50)),7))/7)+1)),IF(AND(IF(Settings!$E$50="",$B124,DATE(YEAR($A124),MONTH($A124),MIN(Settings!$E$50,DAY($B124))))&gt;=MAX($A124,Settings!$F$50),IF(Settings!$E$50="",$B124,DATE(YEAR($A124),MONTH($A124),MIN(Settings!$E$50,DAY($B124))))&lt;=MIN($C124,IF(Settings!$G$50="",$C124,Settings!$G$50))),1,0)))</f>
        <v/>
      </c>
      <c r="BK124">
        <f>IF(OR(Settings!$C$51="",Settings!$D$51=""),0,Settings!$C$51*IF(Settings!$D$51="Weekly",IF(IFERROR(MATCH(Settings!$E$51,$EO$4:$EO$10,0),0)=0,0,IF(MIN($C124,IF(Settings!$G$51="",$C124,Settings!$G$51))&lt;MAX($A124,Settings!$F$51),0,INT((MIN($C124,IF(Settings!$G$51="",$C124,Settings!$G$51))-MAX($A124,Settings!$F$51)-MOD(IFERROR(MATCH(Settings!$E$51,$EO$4:$EO$10,0),0)-WEEKDAY(MAX($A124,Settings!$F$51)),7))/7)+1)),IF(AND(IF(Settings!$E$51="",$B124,DATE(YEAR($A124),MONTH($A124),MIN(Settings!$E$51,DAY($B124))))&gt;=MAX($A124,Settings!$F$51),IF(Settings!$E$51="",$B124,DATE(YEAR($A124),MONTH($A124),MIN(Settings!$E$51,DAY($B124))))&lt;=MIN($C124,IF(Settings!$G$51="",$C124,Settings!$G$51))),1,0)))</f>
        <v/>
      </c>
      <c r="BL124">
        <f>IF(OR(Settings!$C$52="",Settings!$D$52=""),0,Settings!$C$52*IF(Settings!$D$52="Weekly",IF(IFERROR(MATCH(Settings!$E$52,$EO$4:$EO$10,0),0)=0,0,IF(MIN($C124,IF(Settings!$G$52="",$C124,Settings!$G$52))&lt;MAX($A124,Settings!$F$52),0,INT((MIN($C124,IF(Settings!$G$52="",$C124,Settings!$G$52))-MAX($A124,Settings!$F$52)-MOD(IFERROR(MATCH(Settings!$E$52,$EO$4:$EO$10,0),0)-WEEKDAY(MAX($A124,Settings!$F$52)),7))/7)+1)),IF(AND(IF(Settings!$E$52="",$B124,DATE(YEAR($A124),MONTH($A124),MIN(Settings!$E$52,DAY($B124))))&gt;=MAX($A124,Settings!$F$52),IF(Settings!$E$52="",$B124,DATE(YEAR($A124),MONTH($A124),MIN(Settings!$E$52,DAY($B124))))&lt;=MIN($C124,IF(Settings!$G$52="",$C124,Settings!$G$52))),1,0)))</f>
        <v/>
      </c>
      <c r="BM124">
        <f>IF(OR(Settings!$C$53="",Settings!$D$53=""),0,Settings!$C$53*IF(Settings!$D$53="Weekly",IF(IFERROR(MATCH(Settings!$E$53,$EO$4:$EO$10,0),0)=0,0,IF(MIN($C124,IF(Settings!$G$53="",$C124,Settings!$G$53))&lt;MAX($A124,Settings!$F$53),0,INT((MIN($C124,IF(Settings!$G$53="",$C124,Settings!$G$53))-MAX($A124,Settings!$F$53)-MOD(IFERROR(MATCH(Settings!$E$53,$EO$4:$EO$10,0),0)-WEEKDAY(MAX($A124,Settings!$F$53)),7))/7)+1)),IF(AND(IF(Settings!$E$53="",$B124,DATE(YEAR($A124),MONTH($A124),MIN(Settings!$E$53,DAY($B124))))&gt;=MAX($A124,Settings!$F$53),IF(Settings!$E$53="",$B124,DATE(YEAR($A124),MONTH($A124),MIN(Settings!$E$53,DAY($B124))))&lt;=MIN($C124,IF(Settings!$G$53="",$C124,Settings!$G$53))),1,0)))</f>
        <v/>
      </c>
      <c r="BN124">
        <f>IF(OR(Settings!$C$54="",Settings!$D$54=""),0,Settings!$C$54*IF(Settings!$D$54="Weekly",IF(IFERROR(MATCH(Settings!$E$54,$EO$4:$EO$10,0),0)=0,0,IF(MIN($C124,IF(Settings!$G$54="",$C124,Settings!$G$54))&lt;MAX($A124,Settings!$F$54),0,INT((MIN($C124,IF(Settings!$G$54="",$C124,Settings!$G$54))-MAX($A124,Settings!$F$54)-MOD(IFERROR(MATCH(Settings!$E$54,$EO$4:$EO$10,0),0)-WEEKDAY(MAX($A124,Settings!$F$54)),7))/7)+1)),IF(AND(IF(Settings!$E$54="",$B124,DATE(YEAR($A124),MONTH($A124),MIN(Settings!$E$54,DAY($B124))))&gt;=MAX($A124,Settings!$F$54),IF(Settings!$E$54="",$B124,DATE(YEAR($A124),MONTH($A124),MIN(Settings!$E$54,DAY($B124))))&lt;=MIN($C124,IF(Settings!$G$54="",$C124,Settings!$G$54))),1,0)))</f>
        <v/>
      </c>
      <c r="BO124">
        <f>IF(OR(Settings!$C$55="",Settings!$D$55=""),0,Settings!$C$55*IF(Settings!$D$55="Weekly",IF(IFERROR(MATCH(Settings!$E$55,$EO$4:$EO$10,0),0)=0,0,IF(MIN($C124,IF(Settings!$G$55="",$C124,Settings!$G$55))&lt;MAX($A124,Settings!$F$55),0,INT((MIN($C124,IF(Settings!$G$55="",$C124,Settings!$G$55))-MAX($A124,Settings!$F$55)-MOD(IFERROR(MATCH(Settings!$E$55,$EO$4:$EO$10,0),0)-WEEKDAY(MAX($A124,Settings!$F$55)),7))/7)+1)),IF(AND(IF(Settings!$E$55="",$B124,DATE(YEAR($A124),MONTH($A124),MIN(Settings!$E$55,DAY($B124))))&gt;=MAX($A124,Settings!$F$55),IF(Settings!$E$55="",$B124,DATE(YEAR($A124),MONTH($A124),MIN(Settings!$E$55,DAY($B124))))&lt;=MIN($C124,IF(Settings!$G$55="",$C124,Settings!$G$55))),1,0)))</f>
        <v/>
      </c>
      <c r="BP124">
        <f>IF(OR(Settings!$C$56="",Settings!$D$56=""),0,Settings!$C$56*IF(Settings!$D$56="Weekly",IF(IFERROR(MATCH(Settings!$E$56,$EO$4:$EO$10,0),0)=0,0,IF(MIN($C124,IF(Settings!$G$56="",$C124,Settings!$G$56))&lt;MAX($A124,Settings!$F$56),0,INT((MIN($C124,IF(Settings!$G$56="",$C124,Settings!$G$56))-MAX($A124,Settings!$F$56)-MOD(IFERROR(MATCH(Settings!$E$56,$EO$4:$EO$10,0),0)-WEEKDAY(MAX($A124,Settings!$F$56)),7))/7)+1)),IF(AND(IF(Settings!$E$56="",$B124,DATE(YEAR($A124),MONTH($A124),MIN(Settings!$E$56,DAY($B124))))&gt;=MAX($A124,Settings!$F$56),IF(Settings!$E$56="",$B124,DATE(YEAR($A124),MONTH($A124),MIN(Settings!$E$56,DAY($B124))))&lt;=MIN($C124,IF(Settings!$G$56="",$C124,Settings!$G$56))),1,0)))</f>
        <v/>
      </c>
      <c r="BQ124">
        <f>IF(OR(Settings!$B$14="",$D124=1,$E124="pre",$A124&lt;IF(Settings!$B$15="",0,Settings!$B$15)),0,Settings!$B$14)</f>
        <v/>
      </c>
      <c r="BR124">
        <f>IF(AND('Month-End'!$DQ$7&lt;&gt;"",NOT(_xlfn.ISFORMULA('Month-End'!$DQ$7))),1,0)</f>
        <v/>
      </c>
      <c r="BS124">
        <f>IF(AND('Month-End'!$DQ$8&lt;&gt;"",NOT(_xlfn.ISFORMULA('Month-End'!$DQ$8))),1,0)</f>
        <v/>
      </c>
      <c r="BT124">
        <f>IF(AND('Month-End'!$DQ$9&lt;&gt;"",NOT(_xlfn.ISFORMULA('Month-End'!$DQ$9))),1,0)</f>
        <v/>
      </c>
      <c r="BU124">
        <f>IF(AND('Month-End'!$DQ$10&lt;&gt;"",NOT(_xlfn.ISFORMULA('Month-End'!$DQ$10))),1,0)</f>
        <v/>
      </c>
      <c r="BV124">
        <f>IF(AND('Month-End'!$DQ$11&lt;&gt;"",NOT(_xlfn.ISFORMULA('Month-End'!$DQ$11))),1,0)</f>
        <v/>
      </c>
      <c r="BW124">
        <f>IF(AND('Month-End'!$DQ$12&lt;&gt;"",NOT(_xlfn.ISFORMULA('Month-End'!$DQ$12))),1,0)</f>
        <v/>
      </c>
      <c r="BX124">
        <f>IF(AND('Month-End'!$DQ$13&lt;&gt;"",NOT(_xlfn.ISFORMULA('Month-End'!$DQ$13))),1,0)</f>
        <v/>
      </c>
      <c r="BY124">
        <f>IF(AND('Month-End'!$DQ$14&lt;&gt;"",NOT(_xlfn.ISFORMULA('Month-End'!$DQ$14))),1,0)</f>
        <v/>
      </c>
      <c r="BZ124">
        <f>IF(AND('Month-End'!$DQ$15&lt;&gt;"",NOT(_xlfn.ISFORMULA('Month-End'!$DQ$15))),1,0)</f>
        <v/>
      </c>
      <c r="CA124">
        <f>IF(AND('Month-End'!$DQ$16&lt;&gt;"",NOT(_xlfn.ISFORMULA('Month-End'!$DQ$16))),1,0)</f>
        <v/>
      </c>
      <c r="CB124">
        <f>IF(AND('Month-End'!$DQ$17&lt;&gt;"",NOT(_xlfn.ISFORMULA('Month-End'!$DQ$17))),1,0)</f>
        <v/>
      </c>
      <c r="CC124">
        <f>IF(AND('Month-End'!$DQ$18&lt;&gt;"",NOT(_xlfn.ISFORMULA('Month-End'!$DQ$18))),1,0)</f>
        <v/>
      </c>
      <c r="CD124">
        <f>IF(AND('Month-End'!$DQ$19&lt;&gt;"",NOT(_xlfn.ISFORMULA('Month-End'!$DQ$19))),1,0)</f>
        <v/>
      </c>
      <c r="CE124">
        <f>IF(AND('Month-End'!$DQ$20&lt;&gt;"",NOT(_xlfn.ISFORMULA('Month-End'!$DQ$20))),1,0)</f>
        <v/>
      </c>
      <c r="CF124">
        <f>IF(AND('Month-End'!$DQ$38&lt;&gt;"",NOT(_xlfn.ISFORMULA('Month-End'!$DQ$38))),1,0)</f>
        <v/>
      </c>
      <c r="CG124">
        <f>IF(AND('Month-End'!$DQ$39&lt;&gt;"",NOT(_xlfn.ISFORMULA('Month-End'!$DQ$39))),1,0)</f>
        <v/>
      </c>
      <c r="CH124">
        <f>IF(AND('Month-End'!$DQ$40&lt;&gt;"",NOT(_xlfn.ISFORMULA('Month-End'!$DQ$40))),1,0)</f>
        <v/>
      </c>
      <c r="CI124">
        <f>IF(AND('Month-End'!$DQ$41&lt;&gt;"",NOT(_xlfn.ISFORMULA('Month-End'!$DQ$41))),1,0)</f>
        <v/>
      </c>
      <c r="CJ124">
        <f>IF(AND('Month-End'!$DQ$42&lt;&gt;"",NOT(_xlfn.ISFORMULA('Month-End'!$DQ$42))),1,0)</f>
        <v/>
      </c>
      <c r="CK124">
        <f>IF(AND('Month-End'!$DQ$43&lt;&gt;"",NOT(_xlfn.ISFORMULA('Month-End'!$DQ$43))),1,0)</f>
        <v/>
      </c>
      <c r="CL124">
        <f>SUM($CM124:$CZ124)</f>
        <v/>
      </c>
      <c r="CM124">
        <f>IF(AND($E124&lt;&gt;"pre",AND(Settings!$A$19&lt;&gt;"",Settings!$E$19&lt;&gt;"No"),Settings!$F$19="Yes",NOT(AND('Month-End'!$DQ$7&lt;&gt;"",NOT(_xlfn.ISFORMULA('Month-End'!$DQ$7))))),1,0)</f>
        <v/>
      </c>
      <c r="CN124">
        <f>IF(AND($E124&lt;&gt;"pre",AND(Settings!$A$20&lt;&gt;"",Settings!$E$20&lt;&gt;"No"),Settings!$F$20="Yes",NOT(AND('Month-End'!$DQ$8&lt;&gt;"",NOT(_xlfn.ISFORMULA('Month-End'!$DQ$8))))),1,0)</f>
        <v/>
      </c>
      <c r="CO124">
        <f>IF(AND($E124&lt;&gt;"pre",AND(Settings!$A$21&lt;&gt;"",Settings!$E$21&lt;&gt;"No"),Settings!$F$21="Yes",NOT(AND('Month-End'!$DQ$9&lt;&gt;"",NOT(_xlfn.ISFORMULA('Month-End'!$DQ$9))))),1,0)</f>
        <v/>
      </c>
      <c r="CP124">
        <f>IF(AND($E124&lt;&gt;"pre",AND(Settings!$A$22&lt;&gt;"",Settings!$E$22&lt;&gt;"No"),Settings!$F$22="Yes",NOT(AND('Month-End'!$DQ$10&lt;&gt;"",NOT(_xlfn.ISFORMULA('Month-End'!$DQ$10))))),1,0)</f>
        <v/>
      </c>
      <c r="CQ124">
        <f>IF(AND($E124&lt;&gt;"pre",AND(Settings!$A$23&lt;&gt;"",Settings!$E$23&lt;&gt;"No"),Settings!$F$23="Yes",NOT(AND('Month-End'!$DQ$11&lt;&gt;"",NOT(_xlfn.ISFORMULA('Month-End'!$DQ$11))))),1,0)</f>
        <v/>
      </c>
      <c r="CR124">
        <f>IF(AND($E124&lt;&gt;"pre",AND(Settings!$A$24&lt;&gt;"",Settings!$E$24&lt;&gt;"No"),Settings!$F$24="Yes",NOT(AND('Month-End'!$DQ$12&lt;&gt;"",NOT(_xlfn.ISFORMULA('Month-End'!$DQ$12))))),1,0)</f>
        <v/>
      </c>
      <c r="CS124">
        <f>IF(AND($E124&lt;&gt;"pre",AND(Settings!$A$25&lt;&gt;"",Settings!$E$25&lt;&gt;"No"),Settings!$F$25="Yes",NOT(AND('Month-End'!$DQ$13&lt;&gt;"",NOT(_xlfn.ISFORMULA('Month-End'!$DQ$13))))),1,0)</f>
        <v/>
      </c>
      <c r="CT124">
        <f>IF(AND($E124&lt;&gt;"pre",AND(Settings!$A$26&lt;&gt;"",Settings!$E$26&lt;&gt;"No"),Settings!$F$26="Yes",NOT(AND('Month-End'!$DQ$14&lt;&gt;"",NOT(_xlfn.ISFORMULA('Month-End'!$DQ$14))))),1,0)</f>
        <v/>
      </c>
      <c r="CU124">
        <f>IF(AND($E124&lt;&gt;"pre",AND(Settings!$A$27&lt;&gt;"",Settings!$E$27&lt;&gt;"No"),Settings!$F$27="Yes",NOT(AND('Month-End'!$DQ$15&lt;&gt;"",NOT(_xlfn.ISFORMULA('Month-End'!$DQ$15))))),1,0)</f>
        <v/>
      </c>
      <c r="CV124">
        <f>IF(AND($E124&lt;&gt;"pre",AND(Settings!$A$28&lt;&gt;"",Settings!$E$28&lt;&gt;"No"),Settings!$F$28="Yes",NOT(AND('Month-End'!$DQ$16&lt;&gt;"",NOT(_xlfn.ISFORMULA('Month-End'!$DQ$16))))),1,0)</f>
        <v/>
      </c>
      <c r="CW124">
        <f>IF(AND($E124&lt;&gt;"pre",AND(Settings!$A$29&lt;&gt;"",Settings!$E$29&lt;&gt;"No"),Settings!$F$29="Yes",NOT(AND('Month-End'!$DQ$17&lt;&gt;"",NOT(_xlfn.ISFORMULA('Month-End'!$DQ$17))))),1,0)</f>
        <v/>
      </c>
      <c r="CX124">
        <f>IF(AND($E124&lt;&gt;"pre",AND(Settings!$A$30&lt;&gt;"",Settings!$E$30&lt;&gt;"No"),Settings!$F$30="Yes",NOT(AND('Month-End'!$DQ$18&lt;&gt;"",NOT(_xlfn.ISFORMULA('Month-End'!$DQ$18))))),1,0)</f>
        <v/>
      </c>
      <c r="CY124">
        <f>IF(AND($E124&lt;&gt;"pre",AND(Settings!$A$31&lt;&gt;"",Settings!$E$31&lt;&gt;"No"),Settings!$F$31="Yes",NOT(AND('Month-End'!$DQ$19&lt;&gt;"",NOT(_xlfn.ISFORMULA('Month-End'!$DQ$19))))),1,0)</f>
        <v/>
      </c>
      <c r="CZ124">
        <f>IF(AND($E124&lt;&gt;"pre",AND(Settings!$A$32&lt;&gt;"",Settings!$E$32&lt;&gt;"No"),Settings!$F$32="Yes",NOT(AND('Month-End'!$DQ$20&lt;&gt;"",NOT(_xlfn.ISFORMULA('Month-End'!$DQ$20))))),1,0)</f>
        <v/>
      </c>
      <c r="DA124">
        <f>IF($DT124=1,IF(OR(Settings!$B$19="Checking",Settings!$B$19="Savings",Settings!$B$19="Cash"),N($AE124),IF(OR(Settings!$B$19="Card",Settings!$B$19="Loan"),-N($AE124),0))+IF(OR(Settings!$B$20="Checking",Settings!$B$20="Savings",Settings!$B$20="Cash"),N($AF124),IF(OR(Settings!$B$20="Card",Settings!$B$20="Loan"),-N($AF124),0))+IF(OR(Settings!$B$21="Checking",Settings!$B$21="Savings",Settings!$B$21="Cash"),N($AG124),IF(OR(Settings!$B$21="Card",Settings!$B$21="Loan"),-N($AG124),0))+IF(OR(Settings!$B$22="Checking",Settings!$B$22="Savings",Settings!$B$22="Cash"),N($AH124),IF(OR(Settings!$B$22="Card",Settings!$B$22="Loan"),-N($AH124),0))+IF(OR(Settings!$B$23="Checking",Settings!$B$23="Savings",Settings!$B$23="Cash"),N($AI124),IF(OR(Settings!$B$23="Card",Settings!$B$23="Loan"),-N($AI124),0))+IF(OR(Settings!$B$24="Checking",Settings!$B$24="Savings",Settings!$B$24="Cash"),N($AJ124),IF(OR(Settings!$B$24="Card",Settings!$B$24="Loan"),-N($AJ124),0))+IF(OR(Settings!$B$25="Checking",Settings!$B$25="Savings",Settings!$B$25="Cash"),N($AK124),IF(OR(Settings!$B$25="Card",Settings!$B$25="Loan"),-N($AK124),0))+IF(OR(Settings!$B$26="Checking",Settings!$B$26="Savings",Settings!$B$26="Cash"),N($AL124),IF(OR(Settings!$B$26="Card",Settings!$B$26="Loan"),-N($AL124),0))+IF(OR(Settings!$B$27="Checking",Settings!$B$27="Savings",Settings!$B$27="Cash"),N($AM124),IF(OR(Settings!$B$27="Card",Settings!$B$27="Loan"),-N($AM124),0))+IF(OR(Settings!$B$28="Checking",Settings!$B$28="Savings",Settings!$B$28="Cash"),N($AN124),IF(OR(Settings!$B$28="Card",Settings!$B$28="Loan"),-N($AN124),0))+IF(OR(Settings!$B$29="Checking",Settings!$B$29="Savings",Settings!$B$29="Cash"),N($AO124),IF(OR(Settings!$B$29="Card",Settings!$B$29="Loan"),-N($AO124),0))+IF(OR(Settings!$B$30="Checking",Settings!$B$30="Savings",Settings!$B$30="Cash"),N($AP124),IF(OR(Settings!$B$30="Card",Settings!$B$30="Loan"),-N($AP124),0))+IF(OR(Settings!$B$31="Checking",Settings!$B$31="Savings",Settings!$B$31="Cash"),N($AQ124),IF(OR(Settings!$B$31="Card",Settings!$B$31="Loan"),-N($AQ124),0))+IF(OR(Settings!$B$32="Checking",Settings!$B$32="Savings",Settings!$B$32="Cash"),N($AR124),IF(OR(Settings!$B$32="Card",Settings!$B$32="Loan"),-N($AR124),0)),"")</f>
        <v/>
      </c>
      <c r="DB124">
        <f>IF($E124="open",$EB$27,IF($E124="post",IF($E123="pre",$EB$27,$DA123),""))</f>
        <v/>
      </c>
      <c r="DC124">
        <f>IF($E124="open",1,IF($E124="post",IF($E123="pre",1,$DT123),0))</f>
        <v/>
      </c>
      <c r="DD124">
        <f>IF(AND($DT124=1,$DC124=1),ROUND($W124-($DA124-$DB124)-$AD124-$AB124,2),"")</f>
        <v/>
      </c>
      <c r="DE124">
        <f>IF('Month-End'!$DQ$35="",$BQ124,N('Month-End'!$DQ$35))</f>
        <v/>
      </c>
      <c r="DF124">
        <f>N('Month-End'!$DQ$36)</f>
        <v/>
      </c>
      <c r="DG124">
        <f>IF($DD124="","",$DD124+$DE124)</f>
        <v/>
      </c>
      <c r="DH124">
        <f>IF($DG124="","",$DG124-$DF124)</f>
        <v/>
      </c>
      <c r="DI124">
        <f>IF(OR($E124="pre",$D124=1),"",N($AS124)+N($AT124)+N($AU124)+N($AV124)+N($AW124)+N($AX124))</f>
        <v/>
      </c>
      <c r="DJ124">
        <f>IF($DT124=1,$DA124+N($DI124),"")</f>
        <v/>
      </c>
      <c r="DK124">
        <f>IF($DD124="","",$W124-$DD124-$AB124)</f>
        <v/>
      </c>
      <c r="DL124">
        <f>IF(AND($E124="post",$DD124&lt;&gt;"",$B124&lt;TODAY()),1,0)</f>
        <v/>
      </c>
      <c r="DM124">
        <f>IF($DL124=1,COUNTIF($DL124:$DL$183,1),0)</f>
        <v/>
      </c>
      <c r="DN124">
        <f>IF($D124=1,"",IF($E124="pre","History only",IF($DT124=1,IF($DD124="","⚠ Previous month missing",IF($DD124&lt;0,"⚠ Check: spending &lt; 0",IF($E124="open","✓ Done (partial)","✓ Done"))),IF($B124&gt;=TODAY(),"In progress","⚠ Needs balances"))))</f>
        <v/>
      </c>
      <c r="DO124">
        <f>YEAR($A124)</f>
        <v/>
      </c>
      <c r="DP124">
        <f>DATE(YEAR($A124),INT((MONTH($A124)-1)/3)*3+1,1)</f>
        <v/>
      </c>
      <c r="DQ124">
        <f>IF(AND($DT124=1,$DD124&lt;&gt;"",$D124=0),ROW(),0)</f>
        <v/>
      </c>
      <c r="DR124">
        <f>IF(AND($E124&lt;&gt;"pre",$B124&lt;TODAY(),$DT124=0),1,0)</f>
        <v/>
      </c>
      <c r="DS124">
        <f>IF($DJ124="",NA(),$DJ124)</f>
        <v/>
      </c>
      <c r="DT124">
        <f>IF(AND($E124&lt;&gt;"pre",$CL124=0,COUNTIFS(Settings!$F$19:$F$32,"Yes",Settings!$A$19:$A$32,"&lt;&gt;",Settings!$E$19:$E$32,"&lt;&gt;No")&gt;0),1,0)</f>
        <v/>
      </c>
      <c r="DU124">
        <f>IF(AND($B124&lt;TODAY(),$S124&gt;0),1,0)</f>
        <v/>
      </c>
      <c r="DV124">
        <f>IF($DU124=1,COUNTIF($DU124:$DU$183,1),0)</f>
        <v/>
      </c>
      <c r="DW124">
        <f>IF(AND(OR(Settings!$B$19="Card",Settings!$B$19="Loan"),AND('Month-End'!$DQ$7&lt;&gt;"",NOT(_xlfn.ISFORMULA('Month-End'!$DQ$7)))),IF(N('Month-End'!$DQ$7)&lt;0,1,0),0)+IF(AND(OR(Settings!$B$20="Card",Settings!$B$20="Loan"),AND('Month-End'!$DQ$8&lt;&gt;"",NOT(_xlfn.ISFORMULA('Month-End'!$DQ$8)))),IF(N('Month-End'!$DQ$8)&lt;0,1,0),0)+IF(AND(OR(Settings!$B$21="Card",Settings!$B$21="Loan"),AND('Month-End'!$DQ$9&lt;&gt;"",NOT(_xlfn.ISFORMULA('Month-End'!$DQ$9)))),IF(N('Month-End'!$DQ$9)&lt;0,1,0),0)+IF(AND(OR(Settings!$B$22="Card",Settings!$B$22="Loan"),AND('Month-End'!$DQ$10&lt;&gt;"",NOT(_xlfn.ISFORMULA('Month-End'!$DQ$10)))),IF(N('Month-End'!$DQ$10)&lt;0,1,0),0)+IF(AND(OR(Settings!$B$23="Card",Settings!$B$23="Loan"),AND('Month-End'!$DQ$11&lt;&gt;"",NOT(_xlfn.ISFORMULA('Month-End'!$DQ$11)))),IF(N('Month-End'!$DQ$11)&lt;0,1,0),0)+IF(AND(OR(Settings!$B$24="Card",Settings!$B$24="Loan"),AND('Month-End'!$DQ$12&lt;&gt;"",NOT(_xlfn.ISFORMULA('Month-End'!$DQ$12)))),IF(N('Month-End'!$DQ$12)&lt;0,1,0),0)+IF(AND(OR(Settings!$B$25="Card",Settings!$B$25="Loan"),AND('Month-End'!$DQ$13&lt;&gt;"",NOT(_xlfn.ISFORMULA('Month-End'!$DQ$13)))),IF(N('Month-End'!$DQ$13)&lt;0,1,0),0)+IF(AND(OR(Settings!$B$26="Card",Settings!$B$26="Loan"),AND('Month-End'!$DQ$14&lt;&gt;"",NOT(_xlfn.ISFORMULA('Month-End'!$DQ$14)))),IF(N('Month-End'!$DQ$14)&lt;0,1,0),0)+IF(AND(OR(Settings!$B$27="Card",Settings!$B$27="Loan"),AND('Month-End'!$DQ$15&lt;&gt;"",NOT(_xlfn.ISFORMULA('Month-End'!$DQ$15)))),IF(N('Month-End'!$DQ$15)&lt;0,1,0),0)+IF(AND(OR(Settings!$B$28="Card",Settings!$B$28="Loan"),AND('Month-End'!$DQ$16&lt;&gt;"",NOT(_xlfn.ISFORMULA('Month-End'!$DQ$16)))),IF(N('Month-End'!$DQ$16)&lt;0,1,0),0)+IF(AND(OR(Settings!$B$29="Card",Settings!$B$29="Loan"),AND('Month-End'!$DQ$17&lt;&gt;"",NOT(_xlfn.ISFORMULA('Month-End'!$DQ$17)))),IF(N('Month-End'!$DQ$17)&lt;0,1,0),0)+IF(AND(OR(Settings!$B$30="Card",Settings!$B$30="Loan"),AND('Month-End'!$DQ$18&lt;&gt;"",NOT(_xlfn.ISFORMULA('Month-End'!$DQ$18)))),IF(N('Month-End'!$DQ$18)&lt;0,1,0),0)+IF(AND(OR(Settings!$B$31="Card",Settings!$B$31="Loan"),AND('Month-End'!$DQ$19&lt;&gt;"",NOT(_xlfn.ISFORMULA('Month-End'!$DQ$19)))),IF(N('Month-End'!$DQ$19)&lt;0,1,0),0)+IF(AND(OR(Settings!$B$32="Card",Settings!$B$32="Loan"),AND('Month-End'!$DQ$20&lt;&gt;"",NOT(_xlfn.ISFORMULA('Month-End'!$DQ$20)))),IF(N('Month-End'!$DQ$20)&lt;0,1,0),0)</f>
        <v/>
      </c>
      <c r="DX124">
        <f>IF(Settings!$B$36="Retirement",$AY124,0)+IF(Settings!$B$37="Retirement",$AZ124,0)+IF(Settings!$B$38="Retirement",$BA124,0)+IF(Settings!$B$39="Retirement",$BB124,0)+IF(Settings!$B$40="Retirement",$BC124,0)+IF(Settings!$B$41="Retirement",$BD124,0)</f>
        <v/>
      </c>
      <c r="ET124">
        <f>IF($E124&lt;&gt;"open",0,IF(AND('Month-End'!$DQ$22&lt;&gt;"",NOT(_xlfn.ISFORMULA('Month-End'!$DQ$22))),0,IF(OR(Settings!$C$45="",Settings!$D$45=""),0,Settings!$C$45*IF(Settings!$D$45="Weekly",IF(IFERROR(MATCH(Settings!$E$45,$EO$4:$EO$10,0),0)=0,0,IF(MIN(Settings!$B$5,IF(Settings!$G$45="",Settings!$B$5,Settings!$G$45))&lt;MAX($A124,Settings!$F$45),0,INT((MIN(Settings!$B$5,IF(Settings!$G$45="",Settings!$B$5,Settings!$G$45))-MAX($A124,Settings!$F$45)-MOD(IFERROR(MATCH(Settings!$E$45,$EO$4:$EO$10,0),0)-WEEKDAY(MAX($A124,Settings!$F$45)),7))/7)+1)),IF(AND(IF(Settings!$E$45="",$B124,DATE(YEAR($A124),MONTH($A124),MIN(Settings!$E$45,DAY($B124))))&gt;=MAX($A124,Settings!$F$45),IF(Settings!$E$45="",$B124,DATE(YEAR($A124),MONTH($A124),MIN(Settings!$E$45,DAY($B124))))&lt;=MIN(Settings!$B$5,IF(Settings!$G$45="",Settings!$B$5,Settings!$G$45))),1,0)))))</f>
        <v/>
      </c>
      <c r="EU124">
        <f>IF($E124&lt;&gt;"open",0,IF(AND('Month-End'!$DQ$23&lt;&gt;"",NOT(_xlfn.ISFORMULA('Month-End'!$DQ$23))),0,IF(OR(Settings!$C$46="",Settings!$D$46=""),0,Settings!$C$46*IF(Settings!$D$46="Weekly",IF(IFERROR(MATCH(Settings!$E$46,$EO$4:$EO$10,0),0)=0,0,IF(MIN(Settings!$B$5,IF(Settings!$G$46="",Settings!$B$5,Settings!$G$46))&lt;MAX($A124,Settings!$F$46),0,INT((MIN(Settings!$B$5,IF(Settings!$G$46="",Settings!$B$5,Settings!$G$46))-MAX($A124,Settings!$F$46)-MOD(IFERROR(MATCH(Settings!$E$46,$EO$4:$EO$10,0),0)-WEEKDAY(MAX($A124,Settings!$F$46)),7))/7)+1)),IF(AND(IF(Settings!$E$46="",$B124,DATE(YEAR($A124),MONTH($A124),MIN(Settings!$E$46,DAY($B124))))&gt;=MAX($A124,Settings!$F$46),IF(Settings!$E$46="",$B124,DATE(YEAR($A124),MONTH($A124),MIN(Settings!$E$46,DAY($B124))))&lt;=MIN(Settings!$B$5,IF(Settings!$G$46="",Settings!$B$5,Settings!$G$46))),1,0)))))</f>
        <v/>
      </c>
      <c r="EV124">
        <f>IF($E124&lt;&gt;"open",0,IF(AND('Month-End'!$DQ$24&lt;&gt;"",NOT(_xlfn.ISFORMULA('Month-End'!$DQ$24))),0,IF(OR(Settings!$C$47="",Settings!$D$47=""),0,Settings!$C$47*IF(Settings!$D$47="Weekly",IF(IFERROR(MATCH(Settings!$E$47,$EO$4:$EO$10,0),0)=0,0,IF(MIN(Settings!$B$5,IF(Settings!$G$47="",Settings!$B$5,Settings!$G$47))&lt;MAX($A124,Settings!$F$47),0,INT((MIN(Settings!$B$5,IF(Settings!$G$47="",Settings!$B$5,Settings!$G$47))-MAX($A124,Settings!$F$47)-MOD(IFERROR(MATCH(Settings!$E$47,$EO$4:$EO$10,0),0)-WEEKDAY(MAX($A124,Settings!$F$47)),7))/7)+1)),IF(AND(IF(Settings!$E$47="",$B124,DATE(YEAR($A124),MONTH($A124),MIN(Settings!$E$47,DAY($B124))))&gt;=MAX($A124,Settings!$F$47),IF(Settings!$E$47="",$B124,DATE(YEAR($A124),MONTH($A124),MIN(Settings!$E$47,DAY($B124))))&lt;=MIN(Settings!$B$5,IF(Settings!$G$47="",Settings!$B$5,Settings!$G$47))),1,0)))))</f>
        <v/>
      </c>
      <c r="EW124">
        <f>IF($E124&lt;&gt;"open",0,IF(AND('Month-End'!$DQ$25&lt;&gt;"",NOT(_xlfn.ISFORMULA('Month-End'!$DQ$25))),0,IF(OR(Settings!$C$48="",Settings!$D$48=""),0,Settings!$C$48*IF(Settings!$D$48="Weekly",IF(IFERROR(MATCH(Settings!$E$48,$EO$4:$EO$10,0),0)=0,0,IF(MIN(Settings!$B$5,IF(Settings!$G$48="",Settings!$B$5,Settings!$G$48))&lt;MAX($A124,Settings!$F$48),0,INT((MIN(Settings!$B$5,IF(Settings!$G$48="",Settings!$B$5,Settings!$G$48))-MAX($A124,Settings!$F$48)-MOD(IFERROR(MATCH(Settings!$E$48,$EO$4:$EO$10,0),0)-WEEKDAY(MAX($A124,Settings!$F$48)),7))/7)+1)),IF(AND(IF(Settings!$E$48="",$B124,DATE(YEAR($A124),MONTH($A124),MIN(Settings!$E$48,DAY($B124))))&gt;=MAX($A124,Settings!$F$48),IF(Settings!$E$48="",$B124,DATE(YEAR($A124),MONTH($A124),MIN(Settings!$E$48,DAY($B124))))&lt;=MIN(Settings!$B$5,IF(Settings!$G$48="",Settings!$B$5,Settings!$G$48))),1,0)))))</f>
        <v/>
      </c>
      <c r="EX124">
        <f>IF($E124&lt;&gt;"open",0,IF(AND('Month-End'!$DQ$26&lt;&gt;"",NOT(_xlfn.ISFORMULA('Month-End'!$DQ$26))),0,IF(OR(Settings!$C$49="",Settings!$D$49=""),0,Settings!$C$49*IF(Settings!$D$49="Weekly",IF(IFERROR(MATCH(Settings!$E$49,$EO$4:$EO$10,0),0)=0,0,IF(MIN(Settings!$B$5,IF(Settings!$G$49="",Settings!$B$5,Settings!$G$49))&lt;MAX($A124,Settings!$F$49),0,INT((MIN(Settings!$B$5,IF(Settings!$G$49="",Settings!$B$5,Settings!$G$49))-MAX($A124,Settings!$F$49)-MOD(IFERROR(MATCH(Settings!$E$49,$EO$4:$EO$10,0),0)-WEEKDAY(MAX($A124,Settings!$F$49)),7))/7)+1)),IF(AND(IF(Settings!$E$49="",$B124,DATE(YEAR($A124),MONTH($A124),MIN(Settings!$E$49,DAY($B124))))&gt;=MAX($A124,Settings!$F$49),IF(Settings!$E$49="",$B124,DATE(YEAR($A124),MONTH($A124),MIN(Settings!$E$49,DAY($B124))))&lt;=MIN(Settings!$B$5,IF(Settings!$G$49="",Settings!$B$5,Settings!$G$49))),1,0)))))</f>
        <v/>
      </c>
      <c r="EY124">
        <f>IF($E124&lt;&gt;"open",0,IF(AND('Month-End'!$DQ$27&lt;&gt;"",NOT(_xlfn.ISFORMULA('Month-End'!$DQ$27))),0,IF(OR(Settings!$C$50="",Settings!$D$50=""),0,Settings!$C$50*IF(Settings!$D$50="Weekly",IF(IFERROR(MATCH(Settings!$E$50,$EO$4:$EO$10,0),0)=0,0,IF(MIN(Settings!$B$5,IF(Settings!$G$50="",Settings!$B$5,Settings!$G$50))&lt;MAX($A124,Settings!$F$50),0,INT((MIN(Settings!$B$5,IF(Settings!$G$50="",Settings!$B$5,Settings!$G$50))-MAX($A124,Settings!$F$50)-MOD(IFERROR(MATCH(Settings!$E$50,$EO$4:$EO$10,0),0)-WEEKDAY(MAX($A124,Settings!$F$50)),7))/7)+1)),IF(AND(IF(Settings!$E$50="",$B124,DATE(YEAR($A124),MONTH($A124),MIN(Settings!$E$50,DAY($B124))))&gt;=MAX($A124,Settings!$F$50),IF(Settings!$E$50="",$B124,DATE(YEAR($A124),MONTH($A124),MIN(Settings!$E$50,DAY($B124))))&lt;=MIN(Settings!$B$5,IF(Settings!$G$50="",Settings!$B$5,Settings!$G$50))),1,0)))))</f>
        <v/>
      </c>
      <c r="EZ124">
        <f>IF($E124&lt;&gt;"open",0,IF(AND('Month-End'!$DQ$28&lt;&gt;"",NOT(_xlfn.ISFORMULA('Month-End'!$DQ$28))),0,IF(OR(Settings!$C$51="",Settings!$D$51=""),0,Settings!$C$51*IF(Settings!$D$51="Weekly",IF(IFERROR(MATCH(Settings!$E$51,$EO$4:$EO$10,0),0)=0,0,IF(MIN(Settings!$B$5,IF(Settings!$G$51="",Settings!$B$5,Settings!$G$51))&lt;MAX($A124,Settings!$F$51),0,INT((MIN(Settings!$B$5,IF(Settings!$G$51="",Settings!$B$5,Settings!$G$51))-MAX($A124,Settings!$F$51)-MOD(IFERROR(MATCH(Settings!$E$51,$EO$4:$EO$10,0),0)-WEEKDAY(MAX($A124,Settings!$F$51)),7))/7)+1)),IF(AND(IF(Settings!$E$51="",$B124,DATE(YEAR($A124),MONTH($A124),MIN(Settings!$E$51,DAY($B124))))&gt;=MAX($A124,Settings!$F$51),IF(Settings!$E$51="",$B124,DATE(YEAR($A124),MONTH($A124),MIN(Settings!$E$51,DAY($B124))))&lt;=MIN(Settings!$B$5,IF(Settings!$G$51="",Settings!$B$5,Settings!$G$51))),1,0)))))</f>
        <v/>
      </c>
      <c r="FA124">
        <f>IF($E124&lt;&gt;"open",0,IF(AND('Month-End'!$DQ$29&lt;&gt;"",NOT(_xlfn.ISFORMULA('Month-End'!$DQ$29))),0,IF(OR(Settings!$C$52="",Settings!$D$52=""),0,Settings!$C$52*IF(Settings!$D$52="Weekly",IF(IFERROR(MATCH(Settings!$E$52,$EO$4:$EO$10,0),0)=0,0,IF(MIN(Settings!$B$5,IF(Settings!$G$52="",Settings!$B$5,Settings!$G$52))&lt;MAX($A124,Settings!$F$52),0,INT((MIN(Settings!$B$5,IF(Settings!$G$52="",Settings!$B$5,Settings!$G$52))-MAX($A124,Settings!$F$52)-MOD(IFERROR(MATCH(Settings!$E$52,$EO$4:$EO$10,0),0)-WEEKDAY(MAX($A124,Settings!$F$52)),7))/7)+1)),IF(AND(IF(Settings!$E$52="",$B124,DATE(YEAR($A124),MONTH($A124),MIN(Settings!$E$52,DAY($B124))))&gt;=MAX($A124,Settings!$F$52),IF(Settings!$E$52="",$B124,DATE(YEAR($A124),MONTH($A124),MIN(Settings!$E$52,DAY($B124))))&lt;=MIN(Settings!$B$5,IF(Settings!$G$52="",Settings!$B$5,Settings!$G$52))),1,0)))))</f>
        <v/>
      </c>
      <c r="FB124">
        <f>IF($E124&lt;&gt;"open",0,IF(AND('Month-End'!$DQ$30&lt;&gt;"",NOT(_xlfn.ISFORMULA('Month-End'!$DQ$30))),0,IF(OR(Settings!$C$53="",Settings!$D$53=""),0,Settings!$C$53*IF(Settings!$D$53="Weekly",IF(IFERROR(MATCH(Settings!$E$53,$EO$4:$EO$10,0),0)=0,0,IF(MIN(Settings!$B$5,IF(Settings!$G$53="",Settings!$B$5,Settings!$G$53))&lt;MAX($A124,Settings!$F$53),0,INT((MIN(Settings!$B$5,IF(Settings!$G$53="",Settings!$B$5,Settings!$G$53))-MAX($A124,Settings!$F$53)-MOD(IFERROR(MATCH(Settings!$E$53,$EO$4:$EO$10,0),0)-WEEKDAY(MAX($A124,Settings!$F$53)),7))/7)+1)),IF(AND(IF(Settings!$E$53="",$B124,DATE(YEAR($A124),MONTH($A124),MIN(Settings!$E$53,DAY($B124))))&gt;=MAX($A124,Settings!$F$53),IF(Settings!$E$53="",$B124,DATE(YEAR($A124),MONTH($A124),MIN(Settings!$E$53,DAY($B124))))&lt;=MIN(Settings!$B$5,IF(Settings!$G$53="",Settings!$B$5,Settings!$G$53))),1,0)))))</f>
        <v/>
      </c>
      <c r="FC124">
        <f>IF($E124&lt;&gt;"open",0,IF(AND('Month-End'!$DQ$31&lt;&gt;"",NOT(_xlfn.ISFORMULA('Month-End'!$DQ$31))),0,IF(OR(Settings!$C$54="",Settings!$D$54=""),0,Settings!$C$54*IF(Settings!$D$54="Weekly",IF(IFERROR(MATCH(Settings!$E$54,$EO$4:$EO$10,0),0)=0,0,IF(MIN(Settings!$B$5,IF(Settings!$G$54="",Settings!$B$5,Settings!$G$54))&lt;MAX($A124,Settings!$F$54),0,INT((MIN(Settings!$B$5,IF(Settings!$G$54="",Settings!$B$5,Settings!$G$54))-MAX($A124,Settings!$F$54)-MOD(IFERROR(MATCH(Settings!$E$54,$EO$4:$EO$10,0),0)-WEEKDAY(MAX($A124,Settings!$F$54)),7))/7)+1)),IF(AND(IF(Settings!$E$54="",$B124,DATE(YEAR($A124),MONTH($A124),MIN(Settings!$E$54,DAY($B124))))&gt;=MAX($A124,Settings!$F$54),IF(Settings!$E$54="",$B124,DATE(YEAR($A124),MONTH($A124),MIN(Settings!$E$54,DAY($B124))))&lt;=MIN(Settings!$B$5,IF(Settings!$G$54="",Settings!$B$5,Settings!$G$54))),1,0)))))</f>
        <v/>
      </c>
      <c r="FD124">
        <f>IF($E124&lt;&gt;"open",0,IF(AND('Month-End'!$DQ$32&lt;&gt;"",NOT(_xlfn.ISFORMULA('Month-End'!$DQ$32))),0,IF(OR(Settings!$C$55="",Settings!$D$55=""),0,Settings!$C$55*IF(Settings!$D$55="Weekly",IF(IFERROR(MATCH(Settings!$E$55,$EO$4:$EO$10,0),0)=0,0,IF(MIN(Settings!$B$5,IF(Settings!$G$55="",Settings!$B$5,Settings!$G$55))&lt;MAX($A124,Settings!$F$55),0,INT((MIN(Settings!$B$5,IF(Settings!$G$55="",Settings!$B$5,Settings!$G$55))-MAX($A124,Settings!$F$55)-MOD(IFERROR(MATCH(Settings!$E$55,$EO$4:$EO$10,0),0)-WEEKDAY(MAX($A124,Settings!$F$55)),7))/7)+1)),IF(AND(IF(Settings!$E$55="",$B124,DATE(YEAR($A124),MONTH($A124),MIN(Settings!$E$55,DAY($B124))))&gt;=MAX($A124,Settings!$F$55),IF(Settings!$E$55="",$B124,DATE(YEAR($A124),MONTH($A124),MIN(Settings!$E$55,DAY($B124))))&lt;=MIN(Settings!$B$5,IF(Settings!$G$55="",Settings!$B$5,Settings!$G$55))),1,0)))))</f>
        <v/>
      </c>
      <c r="FE124">
        <f>IF($E124&lt;&gt;"open",0,IF(AND('Month-End'!$DQ$33&lt;&gt;"",NOT(_xlfn.ISFORMULA('Month-End'!$DQ$33))),0,IF(OR(Settings!$C$56="",Settings!$D$56=""),0,Settings!$C$56*IF(Settings!$D$56="Weekly",IF(IFERROR(MATCH(Settings!$E$56,$EO$4:$EO$10,0),0)=0,0,IF(MIN(Settings!$B$5,IF(Settings!$G$56="",Settings!$B$5,Settings!$G$56))&lt;MAX($A124,Settings!$F$56),0,INT((MIN(Settings!$B$5,IF(Settings!$G$56="",Settings!$B$5,Settings!$G$56))-MAX($A124,Settings!$F$56)-MOD(IFERROR(MATCH(Settings!$E$56,$EO$4:$EO$10,0),0)-WEEKDAY(MAX($A124,Settings!$F$56)),7))/7)+1)),IF(AND(IF(Settings!$E$56="",$B124,DATE(YEAR($A124),MONTH($A124),MIN(Settings!$E$56,DAY($B124))))&gt;=MAX($A124,Settings!$F$56),IF(Settings!$E$56="",$B124,DATE(YEAR($A124),MONTH($A124),MIN(Settings!$E$56,DAY($B124))))&lt;=MIN(Settings!$B$5,IF(Settings!$G$56="",Settings!$B$5,Settings!$G$56))),1,0)))))</f>
        <v/>
      </c>
      <c r="FF124">
        <f>IF(Settings!$I$45="Yes",$G124,0)+IF(Settings!$I$46="Yes",$H124,0)+IF(Settings!$I$47="Yes",$I124,0)+IF(Settings!$I$48="Yes",$J124,0)+IF(Settings!$I$49="Yes",$K124,0)+IF(Settings!$I$50="Yes",$L124,0)+IF(Settings!$I$51="Yes",$M124,0)+IF(Settings!$I$52="Yes",$N124,0)+IF(Settings!$I$53="Yes",$O124,0)+IF(Settings!$I$54="Yes",$P124,0)+IF(Settings!$I$55="Yes",$Q124,0)+IF(Settings!$I$56="Yes",$R124,0)</f>
        <v/>
      </c>
      <c r="FG124">
        <f>IF(AND(Settings!$I$45="Yes",Settings!$J$45="No"),$G124,0)+IF(AND(Settings!$I$46="Yes",Settings!$J$46="No"),$H124,0)+IF(AND(Settings!$I$47="Yes",Settings!$J$47="No"),$I124,0)+IF(AND(Settings!$I$48="Yes",Settings!$J$48="No"),$J124,0)+IF(AND(Settings!$I$49="Yes",Settings!$J$49="No"),$K124,0)+IF(AND(Settings!$I$50="Yes",Settings!$J$50="No"),$L124,0)+IF(AND(Settings!$I$51="Yes",Settings!$J$51="No"),$M124,0)+IF(AND(Settings!$I$52="Yes",Settings!$J$52="No"),$N124,0)+IF(AND(Settings!$I$53="Yes",Settings!$J$53="No"),$O124,0)+IF(AND(Settings!$I$54="Yes",Settings!$J$54="No"),$P124,0)+IF(AND(Settings!$I$55="Yes",Settings!$J$55="No"),$Q124,0)+IF(AND(Settings!$I$56="Yes",Settings!$J$56="No"),$R124,0)</f>
        <v/>
      </c>
      <c r="FH124">
        <f>SUMIFS(Giving!$B$7:$B$2006,Giving!$A$7:$A$2006,"&gt;="&amp;$A124,Giving!$A$7:$A$2006,"&lt;="&amp;$B124,Giving!$G$7:$G$2006,"Yes")+IF(OR(OR(Settings!$B$60="",Settings!$F$60="No"),Settings!$H$60&lt;&gt;"Yes"),0,Settings!$B$60*IF(AND(IF(Settings!$C$60="",$B124,DATE(YEAR($A124),MONTH($A124),MIN(Settings!$C$60,DAY($B124))))&gt;=MAX($A124,Settings!$D$60),IF(Settings!$C$60="",$B124,DATE(YEAR($A124),MONTH($A124),MIN(Settings!$C$60,DAY($B124))))&lt;=MIN($C124,IF(Settings!$E$60="",$C124,Settings!$E$60))),1,0))+IF(OR(OR(Settings!$B$61="",Settings!$F$61="No"),Settings!$H$61&lt;&gt;"Yes"),0,Settings!$B$61*IF(AND(IF(Settings!$C$61="",$B124,DATE(YEAR($A124),MONTH($A124),MIN(Settings!$C$61,DAY($B124))))&gt;=MAX($A124,Settings!$D$61),IF(Settings!$C$61="",$B124,DATE(YEAR($A124),MONTH($A124),MIN(Settings!$C$61,DAY($B124))))&lt;=MIN($C124,IF(Settings!$E$61="",$C124,Settings!$E$61))),1,0))+IF(OR(OR(Settings!$B$62="",Settings!$F$62="No"),Settings!$H$62&lt;&gt;"Yes"),0,Settings!$B$62*IF(AND(IF(Settings!$C$62="",$B124,DATE(YEAR($A124),MONTH($A124),MIN(Settings!$C$62,DAY($B124))))&gt;=MAX($A124,Settings!$D$62),IF(Settings!$C$62="",$B124,DATE(YEAR($A124),MONTH($A124),MIN(Settings!$C$62,DAY($B124))))&lt;=MIN($C124,IF(Settings!$E$62="",$C124,Settings!$E$62))),1,0))+IF(OR(OR(Settings!$B$63="",Settings!$F$63="No"),Settings!$H$63&lt;&gt;"Yes"),0,Settings!$B$63*IF(AND(IF(Settings!$C$63="",$B124,DATE(YEAR($A124),MONTH($A124),MIN(Settings!$C$63,DAY($B124))))&gt;=MAX($A124,Settings!$D$63),IF(Settings!$C$63="",$B124,DATE(YEAR($A124),MONTH($A124),MIN(Settings!$C$63,DAY($B124))))&lt;=MIN($C124,IF(Settings!$E$63="",$C124,Settings!$E$63))),1,0))+IF(OR(OR(Settings!$B$64="",Settings!$F$64="No"),Settings!$H$64&lt;&gt;"Yes"),0,Settings!$B$64*IF(AND(IF(Settings!$C$64="",$B124,DATE(YEAR($A124),MONTH($A124),MIN(Settings!$C$64,DAY($B124))))&gt;=MAX($A124,Settings!$D$64),IF(Settings!$C$64="",$B124,DATE(YEAR($A124),MONTH($A124),MIN(Settings!$C$64,DAY($B124))))&lt;=MIN($C124,IF(Settings!$E$64="",$C124,Settings!$E$64))),1,0))+IF(OR(OR(Settings!$B$65="",Settings!$F$65="No"),Settings!$H$65&lt;&gt;"Yes"),0,Settings!$B$65*IF(AND(IF(Settings!$C$65="",$B124,DATE(YEAR($A124),MONTH($A124),MIN(Settings!$C$65,DAY($B124))))&gt;=MAX($A124,Settings!$D$65),IF(Settings!$C$65="",$B124,DATE(YEAR($A124),MONTH($A124),MIN(Settings!$C$65,DAY($B124))))&lt;=MIN($C124,IF(Settings!$E$65="",$C124,Settings!$E$65))),1,0))</f>
        <v/>
      </c>
      <c r="FI124">
        <f>IF($DT124=1,IF(OR(Settings!$B$19="Card",Settings!$B$19="Loan"),N($AE124),0)+IF(OR(Settings!$B$20="Card",Settings!$B$20="Loan"),N($AF124),0)+IF(OR(Settings!$B$21="Card",Settings!$B$21="Loan"),N($AG124),0)+IF(OR(Settings!$B$22="Card",Settings!$B$22="Loan"),N($AH124),0)+IF(OR(Settings!$B$23="Card",Settings!$B$23="Loan"),N($AI124),0)+IF(OR(Settings!$B$24="Card",Settings!$B$24="Loan"),N($AJ124),0)+IF(OR(Settings!$B$25="Card",Settings!$B$25="Loan"),N($AK124),0)+IF(OR(Settings!$B$26="Card",Settings!$B$26="Loan"),N($AL124),0)+IF(OR(Settings!$B$27="Card",Settings!$B$27="Loan"),N($AM124),0)+IF(OR(Settings!$B$28="Card",Settings!$B$28="Loan"),N($AN124),0)+IF(OR(Settings!$B$29="Card",Settings!$B$29="Loan"),N($AO124),0)+IF(OR(Settings!$B$30="Card",Settings!$B$30="Loan"),N($AP124),0)+IF(OR(Settings!$B$31="Card",Settings!$B$31="Loan"),N($AQ124),0)+IF(OR(Settings!$B$32="Card",Settings!$B$32="Loan"),N($AR124),0),"")</f>
        <v/>
      </c>
      <c r="FJ124">
        <f>IF($E124="open",$EB$65,IF($E124="post",IF($E123="pre",$EB$65,$FI123),""))</f>
        <v/>
      </c>
      <c r="FK124">
        <f>IF(AND($DT124=1,$DC124=1),IF(ROUND($FI124-$FJ124,2)&gt;0,1,0),0)</f>
        <v/>
      </c>
      <c r="FL124">
        <f>IF($FK124=1,$FL123+1,0)</f>
        <v/>
      </c>
    </row>
    <row r="125">
      <c r="A125">
        <f>'Month-End'!$DR$4</f>
        <v/>
      </c>
      <c r="B125">
        <f>EOMONTH($A125,0)</f>
        <v/>
      </c>
      <c r="C125">
        <f>MIN($B125,TODAY())</f>
        <v/>
      </c>
      <c r="D125">
        <f>IF($A125&gt;TODAY(),1,0)</f>
        <v/>
      </c>
      <c r="E125">
        <f>IF($B125&lt;=Settings!$B$5,"pre",IF($A125&lt;=Settings!$B$5,"open","post"))</f>
        <v/>
      </c>
      <c r="G125">
        <f>IF('Month-End'!$DR$22="",$BE125,N('Month-End'!$DR$22))</f>
        <v/>
      </c>
      <c r="H125">
        <f>IF('Month-End'!$DR$23="",$BF125,N('Month-End'!$DR$23))</f>
        <v/>
      </c>
      <c r="I125">
        <f>IF('Month-End'!$DR$24="",$BG125,N('Month-End'!$DR$24))</f>
        <v/>
      </c>
      <c r="J125">
        <f>IF('Month-End'!$DR$25="",$BH125,N('Month-End'!$DR$25))</f>
        <v/>
      </c>
      <c r="K125">
        <f>IF('Month-End'!$DR$26="",$BI125,N('Month-End'!$DR$26))</f>
        <v/>
      </c>
      <c r="L125">
        <f>IF('Month-End'!$DR$27="",$BJ125,N('Month-End'!$DR$27))</f>
        <v/>
      </c>
      <c r="M125">
        <f>IF('Month-End'!$DR$28="",$BK125,N('Month-End'!$DR$28))</f>
        <v/>
      </c>
      <c r="N125">
        <f>IF('Month-End'!$DR$29="",$BL125,N('Month-End'!$DR$29))</f>
        <v/>
      </c>
      <c r="O125">
        <f>IF('Month-End'!$DR$30="",$BM125,N('Month-End'!$DR$30))</f>
        <v/>
      </c>
      <c r="P125">
        <f>IF('Month-End'!$DR$31="",$BN125,N('Month-End'!$DR$31))</f>
        <v/>
      </c>
      <c r="Q125">
        <f>IF('Month-End'!$DR$32="",$BO125,N('Month-End'!$DR$32))</f>
        <v/>
      </c>
      <c r="R125">
        <f>IF('Month-End'!$DR$33="",$BP125,N('Month-End'!$DR$33))</f>
        <v/>
      </c>
      <c r="S125">
        <f>$G125+$H125+$I125+$J125+$K125+$L125+$M125+$N125+$O125+$P125+$Q125+$R125</f>
        <v/>
      </c>
      <c r="T125">
        <f>IF($B125&lt;Settings!$B$6,0,IF(Settings!$B$45="Yes",$G125,0)+IF(Settings!$B$46="Yes",$H125,0)+IF(Settings!$B$47="Yes",$I125,0)+IF(Settings!$B$48="Yes",$J125,0)+IF(Settings!$B$49="Yes",$K125,0)+IF(Settings!$B$50="Yes",$L125,0)+IF(Settings!$B$51="Yes",$M125,0)+IF(Settings!$B$52="Yes",$N125,0)+IF(Settings!$B$53="Yes",$O125,0)+IF(Settings!$B$54="Yes",$P125,0)+IF(Settings!$B$55="Yes",$Q125,0)+IF(Settings!$B$56="Yes",$R125,0))</f>
        <v/>
      </c>
      <c r="U125">
        <f>IF(Settings!$B$45="Not Sure",$G125,0)+IF(Settings!$B$46="Not Sure",$H125,0)+IF(Settings!$B$47="Not Sure",$I125,0)+IF(Settings!$B$48="Not Sure",$J125,0)+IF(Settings!$B$49="Not Sure",$K125,0)+IF(Settings!$B$50="Not Sure",$L125,0)+IF(Settings!$B$51="Not Sure",$M125,0)+IF(Settings!$B$52="Not Sure",$N125,0)+IF(Settings!$B$53="Not Sure",$O125,0)+IF(Settings!$B$54="Not Sure",$P125,0)+IF(Settings!$B$55="Not Sure",$Q125,0)+IF(Settings!$B$56="Not Sure",$R125,0)</f>
        <v/>
      </c>
      <c r="V125">
        <f>IF($E125="open",SUM($ET125:$FE125)+N(Settings!$B$13),0)</f>
        <v/>
      </c>
      <c r="W125">
        <f>IF($E125="post",$S125,IF($E125="open",$S125-$V125,0))</f>
        <v/>
      </c>
      <c r="X125">
        <f>SUMIFS(Giving!$B$7:$B$2006,Giving!$A$7:$A$2006,"&gt;="&amp;$A125,Giving!$A$7:$A$2006,"&lt;="&amp;$B125,Giving!$E$7:$E$2006,"&lt;&gt;No")</f>
        <v/>
      </c>
      <c r="Y125">
        <f>SUMIFS(Giving!$B$7:$B$2006,Giving!$A$7:$A$2006,"&gt;="&amp;$A125,Giving!$A$7:$A$2006,"&lt;="&amp;$B125,Giving!$E$7:$E$2006,"No")</f>
        <v/>
      </c>
      <c r="Z125">
        <f>IF(OR(Settings!$B$60="",Settings!$F$60="No"),0,Settings!$B$60*IF(AND(IF(Settings!$C$60="",$B125,DATE(YEAR($A125),MONTH($A125),MIN(Settings!$C$60,DAY($B125))))&gt;=MAX($A125,Settings!$D$60),IF(Settings!$C$60="",$B125,DATE(YEAR($A125),MONTH($A125),MIN(Settings!$C$60,DAY($B125))))&lt;=MIN($C125,IF(Settings!$E$60="",$C125,Settings!$E$60))),1,0))+IF(OR(Settings!$B$61="",Settings!$F$61="No"),0,Settings!$B$61*IF(AND(IF(Settings!$C$61="",$B125,DATE(YEAR($A125),MONTH($A125),MIN(Settings!$C$61,DAY($B125))))&gt;=MAX($A125,Settings!$D$61),IF(Settings!$C$61="",$B125,DATE(YEAR($A125),MONTH($A125),MIN(Settings!$C$61,DAY($B125))))&lt;=MIN($C125,IF(Settings!$E$61="",$C125,Settings!$E$61))),1,0))+IF(OR(Settings!$B$62="",Settings!$F$62="No"),0,Settings!$B$62*IF(AND(IF(Settings!$C$62="",$B125,DATE(YEAR($A125),MONTH($A125),MIN(Settings!$C$62,DAY($B125))))&gt;=MAX($A125,Settings!$D$62),IF(Settings!$C$62="",$B125,DATE(YEAR($A125),MONTH($A125),MIN(Settings!$C$62,DAY($B125))))&lt;=MIN($C125,IF(Settings!$E$62="",$C125,Settings!$E$62))),1,0))+IF(OR(Settings!$B$63="",Settings!$F$63="No"),0,Settings!$B$63*IF(AND(IF(Settings!$C$63="",$B125,DATE(YEAR($A125),MONTH($A125),MIN(Settings!$C$63,DAY($B125))))&gt;=MAX($A125,Settings!$D$63),IF(Settings!$C$63="",$B125,DATE(YEAR($A125),MONTH($A125),MIN(Settings!$C$63,DAY($B125))))&lt;=MIN($C125,IF(Settings!$E$63="",$C125,Settings!$E$63))),1,0))+IF(OR(Settings!$B$64="",Settings!$F$64="No"),0,Settings!$B$64*IF(AND(IF(Settings!$C$64="",$B125,DATE(YEAR($A125),MONTH($A125),MIN(Settings!$C$64,DAY($B125))))&gt;=MAX($A125,Settings!$D$64),IF(Settings!$C$64="",$B125,DATE(YEAR($A125),MONTH($A125),MIN(Settings!$C$64,DAY($B125))))&lt;=MIN($C125,IF(Settings!$E$64="",$C125,Settings!$E$64))),1,0))+IF(OR(Settings!$B$65="",Settings!$F$65="No"),0,Settings!$B$65*IF(AND(IF(Settings!$C$65="",$B125,DATE(YEAR($A125),MONTH($A125),MIN(Settings!$C$65,DAY($B125))))&gt;=MAX($A125,Settings!$D$65),IF(Settings!$C$65="",$B125,DATE(YEAR($A125),MONTH($A125),MIN(Settings!$C$65,DAY($B125))))&lt;=MIN($C125,IF(Settings!$E$65="",$C125,Settings!$E$65))),1,0))</f>
        <v/>
      </c>
      <c r="AA125">
        <f>$X125+$Z125</f>
        <v/>
      </c>
      <c r="AB125">
        <f>IF($E125="post",$AA125,IF($E125="open",SUMIFS(Giving!$B$7:$B$2006,Giving!$A$7:$A$2006,"&gt;"&amp;Settings!$B$5,Giving!$A$7:$A$2006,"&lt;="&amp;$B125,Giving!$E$7:$E$2006,"&lt;&gt;No")+IF(OR(Settings!$B$60="",Settings!$F$60="No"),0,Settings!$B$60*IF(AND(IF(Settings!$C$60="",$B125,DATE(YEAR($A125),MONTH($A125),MIN(Settings!$C$60,DAY($B125))))&gt;=MAX($A125,Settings!$D$60,Settings!$B$5+1),IF(Settings!$C$60="",$B125,DATE(YEAR($A125),MONTH($A125),MIN(Settings!$C$60,DAY($B125))))&lt;=MIN($C125,IF(Settings!$E$60="",$C125,Settings!$E$60))),1,0))+IF(OR(Settings!$B$61="",Settings!$F$61="No"),0,Settings!$B$61*IF(AND(IF(Settings!$C$61="",$B125,DATE(YEAR($A125),MONTH($A125),MIN(Settings!$C$61,DAY($B125))))&gt;=MAX($A125,Settings!$D$61,Settings!$B$5+1),IF(Settings!$C$61="",$B125,DATE(YEAR($A125),MONTH($A125),MIN(Settings!$C$61,DAY($B125))))&lt;=MIN($C125,IF(Settings!$E$61="",$C125,Settings!$E$61))),1,0))+IF(OR(Settings!$B$62="",Settings!$F$62="No"),0,Settings!$B$62*IF(AND(IF(Settings!$C$62="",$B125,DATE(YEAR($A125),MONTH($A125),MIN(Settings!$C$62,DAY($B125))))&gt;=MAX($A125,Settings!$D$62,Settings!$B$5+1),IF(Settings!$C$62="",$B125,DATE(YEAR($A125),MONTH($A125),MIN(Settings!$C$62,DAY($B125))))&lt;=MIN($C125,IF(Settings!$E$62="",$C125,Settings!$E$62))),1,0))+IF(OR(Settings!$B$63="",Settings!$F$63="No"),0,Settings!$B$63*IF(AND(IF(Settings!$C$63="",$B125,DATE(YEAR($A125),MONTH($A125),MIN(Settings!$C$63,DAY($B125))))&gt;=MAX($A125,Settings!$D$63,Settings!$B$5+1),IF(Settings!$C$63="",$B125,DATE(YEAR($A125),MONTH($A125),MIN(Settings!$C$63,DAY($B125))))&lt;=MIN($C125,IF(Settings!$E$63="",$C125,Settings!$E$63))),1,0))+IF(OR(Settings!$B$64="",Settings!$F$64="No"),0,Settings!$B$64*IF(AND(IF(Settings!$C$64="",$B125,DATE(YEAR($A125),MONTH($A125),MIN(Settings!$C$64,DAY($B125))))&gt;=MAX($A125,Settings!$D$64,Settings!$B$5+1),IF(Settings!$C$64="",$B125,DATE(YEAR($A125),MONTH($A125),MIN(Settings!$C$64,DAY($B125))))&lt;=MIN($C125,IF(Settings!$E$64="",$C125,Settings!$E$64))),1,0))+IF(OR(Settings!$B$65="",Settings!$F$65="No"),0,Settings!$B$65*IF(AND(IF(Settings!$C$65="",$B125,DATE(YEAR($A125),MONTH($A125),MIN(Settings!$C$65,DAY($B125))))&gt;=MAX($A125,Settings!$D$65,Settings!$B$5+1),IF(Settings!$C$65="",$B125,DATE(YEAR($A125),MONTH($A125),MIN(Settings!$C$65,DAY($B125))))&lt;=MIN($C125,IF(Settings!$E$65="",$C125,Settings!$E$65))),1,0)),0))</f>
        <v/>
      </c>
      <c r="AC125">
        <f>$AY125+$AZ125+$BA125+$BB125+$BC125+$BD125</f>
        <v/>
      </c>
      <c r="AD125">
        <f>$AC125</f>
        <v/>
      </c>
      <c r="AE125">
        <f>IF(OR(Settings!$A$19="",$E125="pre"),"",IF(AND('Month-End'!$DR$7&lt;&gt;"",NOT(_xlfn.ISFORMULA('Month-End'!$DR$7))),N('Month-End'!$DR$7),IF(OR($E125="open",$E124="pre"),N(Settings!$C$19),N($AE124))))</f>
        <v/>
      </c>
      <c r="AF125">
        <f>IF(OR(Settings!$A$20="",$E125="pre"),"",IF(AND('Month-End'!$DR$8&lt;&gt;"",NOT(_xlfn.ISFORMULA('Month-End'!$DR$8))),N('Month-End'!$DR$8),IF(OR($E125="open",$E124="pre"),N(Settings!$C$20),N($AF124))))</f>
        <v/>
      </c>
      <c r="AG125">
        <f>IF(OR(Settings!$A$21="",$E125="pre"),"",IF(AND('Month-End'!$DR$9&lt;&gt;"",NOT(_xlfn.ISFORMULA('Month-End'!$DR$9))),N('Month-End'!$DR$9),IF(OR($E125="open",$E124="pre"),N(Settings!$C$21),N($AG124))))</f>
        <v/>
      </c>
      <c r="AH125">
        <f>IF(OR(Settings!$A$22="",$E125="pre"),"",IF(AND('Month-End'!$DR$10&lt;&gt;"",NOT(_xlfn.ISFORMULA('Month-End'!$DR$10))),N('Month-End'!$DR$10),IF(OR($E125="open",$E124="pre"),N(Settings!$C$22),N($AH124))))</f>
        <v/>
      </c>
      <c r="AI125">
        <f>IF(OR(Settings!$A$23="",$E125="pre"),"",IF(AND('Month-End'!$DR$11&lt;&gt;"",NOT(_xlfn.ISFORMULA('Month-End'!$DR$11))),N('Month-End'!$DR$11),IF(OR($E125="open",$E124="pre"),N(Settings!$C$23),N($AI124))))</f>
        <v/>
      </c>
      <c r="AJ125">
        <f>IF(OR(Settings!$A$24="",$E125="pre"),"",IF(AND('Month-End'!$DR$12&lt;&gt;"",NOT(_xlfn.ISFORMULA('Month-End'!$DR$12))),N('Month-End'!$DR$12),IF(OR($E125="open",$E124="pre"),N(Settings!$C$24),N($AJ124))))</f>
        <v/>
      </c>
      <c r="AK125">
        <f>IF(OR(Settings!$A$25="",$E125="pre"),"",IF(AND('Month-End'!$DR$13&lt;&gt;"",NOT(_xlfn.ISFORMULA('Month-End'!$DR$13))),N('Month-End'!$DR$13),IF(OR($E125="open",$E124="pre"),N(Settings!$C$25),N($AK124))))</f>
        <v/>
      </c>
      <c r="AL125">
        <f>IF(OR(Settings!$A$26="",$E125="pre"),"",IF(AND('Month-End'!$DR$14&lt;&gt;"",NOT(_xlfn.ISFORMULA('Month-End'!$DR$14))),N('Month-End'!$DR$14),IF(OR($E125="open",$E124="pre"),N(Settings!$C$26),N($AL124))))</f>
        <v/>
      </c>
      <c r="AM125">
        <f>IF(OR(Settings!$A$27="",$E125="pre"),"",IF(AND('Month-End'!$DR$15&lt;&gt;"",NOT(_xlfn.ISFORMULA('Month-End'!$DR$15))),N('Month-End'!$DR$15),IF(OR($E125="open",$E124="pre"),N(Settings!$C$27),N($AM124))))</f>
        <v/>
      </c>
      <c r="AN125">
        <f>IF(OR(Settings!$A$28="",$E125="pre"),"",IF(AND('Month-End'!$DR$16&lt;&gt;"",NOT(_xlfn.ISFORMULA('Month-End'!$DR$16))),N('Month-End'!$DR$16),IF(OR($E125="open",$E124="pre"),N(Settings!$C$28),N($AN124))))</f>
        <v/>
      </c>
      <c r="AO125">
        <f>IF(OR(Settings!$A$29="",$E125="pre"),"",IF(AND('Month-End'!$DR$17&lt;&gt;"",NOT(_xlfn.ISFORMULA('Month-End'!$DR$17))),N('Month-End'!$DR$17),IF(OR($E125="open",$E124="pre"),N(Settings!$C$29),N($AO124))))</f>
        <v/>
      </c>
      <c r="AP125">
        <f>IF(OR(Settings!$A$30="",$E125="pre"),"",IF(AND('Month-End'!$DR$18&lt;&gt;"",NOT(_xlfn.ISFORMULA('Month-End'!$DR$18))),N('Month-End'!$DR$18),IF(OR($E125="open",$E124="pre"),N(Settings!$C$30),N($AP124))))</f>
        <v/>
      </c>
      <c r="AQ125">
        <f>IF(OR(Settings!$A$31="",$E125="pre"),"",IF(AND('Month-End'!$DR$19&lt;&gt;"",NOT(_xlfn.ISFORMULA('Month-End'!$DR$19))),N('Month-End'!$DR$19),IF(OR($E125="open",$E124="pre"),N(Settings!$C$31),N($AQ124))))</f>
        <v/>
      </c>
      <c r="AR125">
        <f>IF(OR(Settings!$A$32="",$E125="pre"),"",IF(AND('Month-End'!$DR$20&lt;&gt;"",NOT(_xlfn.ISFORMULA('Month-End'!$DR$20))),N('Month-End'!$DR$20),IF(OR($E125="open",$E124="pre"),N(Settings!$C$32),N($AR124))))</f>
        <v/>
      </c>
      <c r="AS125">
        <f>IF(OR(Settings!$A$36="",$E125="pre"),"",IF(AND('Month-End'!$DR$38&lt;&gt;"",NOT(_xlfn.ISFORMULA('Month-End'!$DR$38))),N('Month-End'!$DR$38),IF(OR($E125="open",$E124="pre"),N(Settings!$C$36),N($AS124))+$AY125))</f>
        <v/>
      </c>
      <c r="AT125">
        <f>IF(OR(Settings!$A$37="",$E125="pre"),"",IF(AND('Month-End'!$DR$39&lt;&gt;"",NOT(_xlfn.ISFORMULA('Month-End'!$DR$39))),N('Month-End'!$DR$39),IF(OR($E125="open",$E124="pre"),N(Settings!$C$37),N($AT124))+$AZ125))</f>
        <v/>
      </c>
      <c r="AU125">
        <f>IF(OR(Settings!$A$38="",$E125="pre"),"",IF(AND('Month-End'!$DR$40&lt;&gt;"",NOT(_xlfn.ISFORMULA('Month-End'!$DR$40))),N('Month-End'!$DR$40),IF(OR($E125="open",$E124="pre"),N(Settings!$C$38),N($AU124))+$BA125))</f>
        <v/>
      </c>
      <c r="AV125">
        <f>IF(OR(Settings!$A$39="",$E125="pre"),"",IF(AND('Month-End'!$DR$41&lt;&gt;"",NOT(_xlfn.ISFORMULA('Month-End'!$DR$41))),N('Month-End'!$DR$41),IF(OR($E125="open",$E124="pre"),N(Settings!$C$39),N($AV124))+$BB125))</f>
        <v/>
      </c>
      <c r="AW125">
        <f>IF(OR(Settings!$A$40="",$E125="pre"),"",IF(AND('Month-End'!$DR$42&lt;&gt;"",NOT(_xlfn.ISFORMULA('Month-End'!$DR$42))),N('Month-End'!$DR$42),IF(OR($E125="open",$E124="pre"),N(Settings!$C$40),N($AW124))+$BC125))</f>
        <v/>
      </c>
      <c r="AX125">
        <f>IF(OR(Settings!$A$41="",$E125="pre"),"",IF(AND('Month-End'!$DR$43&lt;&gt;"",NOT(_xlfn.ISFORMULA('Month-End'!$DR$43))),N('Month-End'!$DR$43),IF(OR($E125="open",$E124="pre"),N(Settings!$C$41),N($AX124))+$BD125))</f>
        <v/>
      </c>
      <c r="AY125">
        <f>IF($E125="pre",0,N('Month-End'!$DR$45))</f>
        <v/>
      </c>
      <c r="AZ125">
        <f>IF($E125="pre",0,N('Month-End'!$DR$46))</f>
        <v/>
      </c>
      <c r="BA125">
        <f>IF($E125="pre",0,N('Month-End'!$DR$47))</f>
        <v/>
      </c>
      <c r="BB125">
        <f>IF($E125="pre",0,N('Month-End'!$DR$48))</f>
        <v/>
      </c>
      <c r="BC125">
        <f>IF($E125="pre",0,N('Month-End'!$DR$49))</f>
        <v/>
      </c>
      <c r="BD125">
        <f>IF($E125="pre",0,N('Month-End'!$DR$50))</f>
        <v/>
      </c>
      <c r="BE125">
        <f>IF(OR(Settings!$C$45="",Settings!$D$45=""),0,Settings!$C$45*IF(Settings!$D$45="Weekly",IF(IFERROR(MATCH(Settings!$E$45,$EO$4:$EO$10,0),0)=0,0,IF(MIN($C125,IF(Settings!$G$45="",$C125,Settings!$G$45))&lt;MAX($A125,Settings!$F$45),0,INT((MIN($C125,IF(Settings!$G$45="",$C125,Settings!$G$45))-MAX($A125,Settings!$F$45)-MOD(IFERROR(MATCH(Settings!$E$45,$EO$4:$EO$10,0),0)-WEEKDAY(MAX($A125,Settings!$F$45)),7))/7)+1)),IF(AND(IF(Settings!$E$45="",$B125,DATE(YEAR($A125),MONTH($A125),MIN(Settings!$E$45,DAY($B125))))&gt;=MAX($A125,Settings!$F$45),IF(Settings!$E$45="",$B125,DATE(YEAR($A125),MONTH($A125),MIN(Settings!$E$45,DAY($B125))))&lt;=MIN($C125,IF(Settings!$G$45="",$C125,Settings!$G$45))),1,0)))</f>
        <v/>
      </c>
      <c r="BF125">
        <f>IF(OR(Settings!$C$46="",Settings!$D$46=""),0,Settings!$C$46*IF(Settings!$D$46="Weekly",IF(IFERROR(MATCH(Settings!$E$46,$EO$4:$EO$10,0),0)=0,0,IF(MIN($C125,IF(Settings!$G$46="",$C125,Settings!$G$46))&lt;MAX($A125,Settings!$F$46),0,INT((MIN($C125,IF(Settings!$G$46="",$C125,Settings!$G$46))-MAX($A125,Settings!$F$46)-MOD(IFERROR(MATCH(Settings!$E$46,$EO$4:$EO$10,0),0)-WEEKDAY(MAX($A125,Settings!$F$46)),7))/7)+1)),IF(AND(IF(Settings!$E$46="",$B125,DATE(YEAR($A125),MONTH($A125),MIN(Settings!$E$46,DAY($B125))))&gt;=MAX($A125,Settings!$F$46),IF(Settings!$E$46="",$B125,DATE(YEAR($A125),MONTH($A125),MIN(Settings!$E$46,DAY($B125))))&lt;=MIN($C125,IF(Settings!$G$46="",$C125,Settings!$G$46))),1,0)))</f>
        <v/>
      </c>
      <c r="BG125">
        <f>IF(OR(Settings!$C$47="",Settings!$D$47=""),0,Settings!$C$47*IF(Settings!$D$47="Weekly",IF(IFERROR(MATCH(Settings!$E$47,$EO$4:$EO$10,0),0)=0,0,IF(MIN($C125,IF(Settings!$G$47="",$C125,Settings!$G$47))&lt;MAX($A125,Settings!$F$47),0,INT((MIN($C125,IF(Settings!$G$47="",$C125,Settings!$G$47))-MAX($A125,Settings!$F$47)-MOD(IFERROR(MATCH(Settings!$E$47,$EO$4:$EO$10,0),0)-WEEKDAY(MAX($A125,Settings!$F$47)),7))/7)+1)),IF(AND(IF(Settings!$E$47="",$B125,DATE(YEAR($A125),MONTH($A125),MIN(Settings!$E$47,DAY($B125))))&gt;=MAX($A125,Settings!$F$47),IF(Settings!$E$47="",$B125,DATE(YEAR($A125),MONTH($A125),MIN(Settings!$E$47,DAY($B125))))&lt;=MIN($C125,IF(Settings!$G$47="",$C125,Settings!$G$47))),1,0)))</f>
        <v/>
      </c>
      <c r="BH125">
        <f>IF(OR(Settings!$C$48="",Settings!$D$48=""),0,Settings!$C$48*IF(Settings!$D$48="Weekly",IF(IFERROR(MATCH(Settings!$E$48,$EO$4:$EO$10,0),0)=0,0,IF(MIN($C125,IF(Settings!$G$48="",$C125,Settings!$G$48))&lt;MAX($A125,Settings!$F$48),0,INT((MIN($C125,IF(Settings!$G$48="",$C125,Settings!$G$48))-MAX($A125,Settings!$F$48)-MOD(IFERROR(MATCH(Settings!$E$48,$EO$4:$EO$10,0),0)-WEEKDAY(MAX($A125,Settings!$F$48)),7))/7)+1)),IF(AND(IF(Settings!$E$48="",$B125,DATE(YEAR($A125),MONTH($A125),MIN(Settings!$E$48,DAY($B125))))&gt;=MAX($A125,Settings!$F$48),IF(Settings!$E$48="",$B125,DATE(YEAR($A125),MONTH($A125),MIN(Settings!$E$48,DAY($B125))))&lt;=MIN($C125,IF(Settings!$G$48="",$C125,Settings!$G$48))),1,0)))</f>
        <v/>
      </c>
      <c r="BI125">
        <f>IF(OR(Settings!$C$49="",Settings!$D$49=""),0,Settings!$C$49*IF(Settings!$D$49="Weekly",IF(IFERROR(MATCH(Settings!$E$49,$EO$4:$EO$10,0),0)=0,0,IF(MIN($C125,IF(Settings!$G$49="",$C125,Settings!$G$49))&lt;MAX($A125,Settings!$F$49),0,INT((MIN($C125,IF(Settings!$G$49="",$C125,Settings!$G$49))-MAX($A125,Settings!$F$49)-MOD(IFERROR(MATCH(Settings!$E$49,$EO$4:$EO$10,0),0)-WEEKDAY(MAX($A125,Settings!$F$49)),7))/7)+1)),IF(AND(IF(Settings!$E$49="",$B125,DATE(YEAR($A125),MONTH($A125),MIN(Settings!$E$49,DAY($B125))))&gt;=MAX($A125,Settings!$F$49),IF(Settings!$E$49="",$B125,DATE(YEAR($A125),MONTH($A125),MIN(Settings!$E$49,DAY($B125))))&lt;=MIN($C125,IF(Settings!$G$49="",$C125,Settings!$G$49))),1,0)))</f>
        <v/>
      </c>
      <c r="BJ125">
        <f>IF(OR(Settings!$C$50="",Settings!$D$50=""),0,Settings!$C$50*IF(Settings!$D$50="Weekly",IF(IFERROR(MATCH(Settings!$E$50,$EO$4:$EO$10,0),0)=0,0,IF(MIN($C125,IF(Settings!$G$50="",$C125,Settings!$G$50))&lt;MAX($A125,Settings!$F$50),0,INT((MIN($C125,IF(Settings!$G$50="",$C125,Settings!$G$50))-MAX($A125,Settings!$F$50)-MOD(IFERROR(MATCH(Settings!$E$50,$EO$4:$EO$10,0),0)-WEEKDAY(MAX($A125,Settings!$F$50)),7))/7)+1)),IF(AND(IF(Settings!$E$50="",$B125,DATE(YEAR($A125),MONTH($A125),MIN(Settings!$E$50,DAY($B125))))&gt;=MAX($A125,Settings!$F$50),IF(Settings!$E$50="",$B125,DATE(YEAR($A125),MONTH($A125),MIN(Settings!$E$50,DAY($B125))))&lt;=MIN($C125,IF(Settings!$G$50="",$C125,Settings!$G$50))),1,0)))</f>
        <v/>
      </c>
      <c r="BK125">
        <f>IF(OR(Settings!$C$51="",Settings!$D$51=""),0,Settings!$C$51*IF(Settings!$D$51="Weekly",IF(IFERROR(MATCH(Settings!$E$51,$EO$4:$EO$10,0),0)=0,0,IF(MIN($C125,IF(Settings!$G$51="",$C125,Settings!$G$51))&lt;MAX($A125,Settings!$F$51),0,INT((MIN($C125,IF(Settings!$G$51="",$C125,Settings!$G$51))-MAX($A125,Settings!$F$51)-MOD(IFERROR(MATCH(Settings!$E$51,$EO$4:$EO$10,0),0)-WEEKDAY(MAX($A125,Settings!$F$51)),7))/7)+1)),IF(AND(IF(Settings!$E$51="",$B125,DATE(YEAR($A125),MONTH($A125),MIN(Settings!$E$51,DAY($B125))))&gt;=MAX($A125,Settings!$F$51),IF(Settings!$E$51="",$B125,DATE(YEAR($A125),MONTH($A125),MIN(Settings!$E$51,DAY($B125))))&lt;=MIN($C125,IF(Settings!$G$51="",$C125,Settings!$G$51))),1,0)))</f>
        <v/>
      </c>
      <c r="BL125">
        <f>IF(OR(Settings!$C$52="",Settings!$D$52=""),0,Settings!$C$52*IF(Settings!$D$52="Weekly",IF(IFERROR(MATCH(Settings!$E$52,$EO$4:$EO$10,0),0)=0,0,IF(MIN($C125,IF(Settings!$G$52="",$C125,Settings!$G$52))&lt;MAX($A125,Settings!$F$52),0,INT((MIN($C125,IF(Settings!$G$52="",$C125,Settings!$G$52))-MAX($A125,Settings!$F$52)-MOD(IFERROR(MATCH(Settings!$E$52,$EO$4:$EO$10,0),0)-WEEKDAY(MAX($A125,Settings!$F$52)),7))/7)+1)),IF(AND(IF(Settings!$E$52="",$B125,DATE(YEAR($A125),MONTH($A125),MIN(Settings!$E$52,DAY($B125))))&gt;=MAX($A125,Settings!$F$52),IF(Settings!$E$52="",$B125,DATE(YEAR($A125),MONTH($A125),MIN(Settings!$E$52,DAY($B125))))&lt;=MIN($C125,IF(Settings!$G$52="",$C125,Settings!$G$52))),1,0)))</f>
        <v/>
      </c>
      <c r="BM125">
        <f>IF(OR(Settings!$C$53="",Settings!$D$53=""),0,Settings!$C$53*IF(Settings!$D$53="Weekly",IF(IFERROR(MATCH(Settings!$E$53,$EO$4:$EO$10,0),0)=0,0,IF(MIN($C125,IF(Settings!$G$53="",$C125,Settings!$G$53))&lt;MAX($A125,Settings!$F$53),0,INT((MIN($C125,IF(Settings!$G$53="",$C125,Settings!$G$53))-MAX($A125,Settings!$F$53)-MOD(IFERROR(MATCH(Settings!$E$53,$EO$4:$EO$10,0),0)-WEEKDAY(MAX($A125,Settings!$F$53)),7))/7)+1)),IF(AND(IF(Settings!$E$53="",$B125,DATE(YEAR($A125),MONTH($A125),MIN(Settings!$E$53,DAY($B125))))&gt;=MAX($A125,Settings!$F$53),IF(Settings!$E$53="",$B125,DATE(YEAR($A125),MONTH($A125),MIN(Settings!$E$53,DAY($B125))))&lt;=MIN($C125,IF(Settings!$G$53="",$C125,Settings!$G$53))),1,0)))</f>
        <v/>
      </c>
      <c r="BN125">
        <f>IF(OR(Settings!$C$54="",Settings!$D$54=""),0,Settings!$C$54*IF(Settings!$D$54="Weekly",IF(IFERROR(MATCH(Settings!$E$54,$EO$4:$EO$10,0),0)=0,0,IF(MIN($C125,IF(Settings!$G$54="",$C125,Settings!$G$54))&lt;MAX($A125,Settings!$F$54),0,INT((MIN($C125,IF(Settings!$G$54="",$C125,Settings!$G$54))-MAX($A125,Settings!$F$54)-MOD(IFERROR(MATCH(Settings!$E$54,$EO$4:$EO$10,0),0)-WEEKDAY(MAX($A125,Settings!$F$54)),7))/7)+1)),IF(AND(IF(Settings!$E$54="",$B125,DATE(YEAR($A125),MONTH($A125),MIN(Settings!$E$54,DAY($B125))))&gt;=MAX($A125,Settings!$F$54),IF(Settings!$E$54="",$B125,DATE(YEAR($A125),MONTH($A125),MIN(Settings!$E$54,DAY($B125))))&lt;=MIN($C125,IF(Settings!$G$54="",$C125,Settings!$G$54))),1,0)))</f>
        <v/>
      </c>
      <c r="BO125">
        <f>IF(OR(Settings!$C$55="",Settings!$D$55=""),0,Settings!$C$55*IF(Settings!$D$55="Weekly",IF(IFERROR(MATCH(Settings!$E$55,$EO$4:$EO$10,0),0)=0,0,IF(MIN($C125,IF(Settings!$G$55="",$C125,Settings!$G$55))&lt;MAX($A125,Settings!$F$55),0,INT((MIN($C125,IF(Settings!$G$55="",$C125,Settings!$G$55))-MAX($A125,Settings!$F$55)-MOD(IFERROR(MATCH(Settings!$E$55,$EO$4:$EO$10,0),0)-WEEKDAY(MAX($A125,Settings!$F$55)),7))/7)+1)),IF(AND(IF(Settings!$E$55="",$B125,DATE(YEAR($A125),MONTH($A125),MIN(Settings!$E$55,DAY($B125))))&gt;=MAX($A125,Settings!$F$55),IF(Settings!$E$55="",$B125,DATE(YEAR($A125),MONTH($A125),MIN(Settings!$E$55,DAY($B125))))&lt;=MIN($C125,IF(Settings!$G$55="",$C125,Settings!$G$55))),1,0)))</f>
        <v/>
      </c>
      <c r="BP125">
        <f>IF(OR(Settings!$C$56="",Settings!$D$56=""),0,Settings!$C$56*IF(Settings!$D$56="Weekly",IF(IFERROR(MATCH(Settings!$E$56,$EO$4:$EO$10,0),0)=0,0,IF(MIN($C125,IF(Settings!$G$56="",$C125,Settings!$G$56))&lt;MAX($A125,Settings!$F$56),0,INT((MIN($C125,IF(Settings!$G$56="",$C125,Settings!$G$56))-MAX($A125,Settings!$F$56)-MOD(IFERROR(MATCH(Settings!$E$56,$EO$4:$EO$10,0),0)-WEEKDAY(MAX($A125,Settings!$F$56)),7))/7)+1)),IF(AND(IF(Settings!$E$56="",$B125,DATE(YEAR($A125),MONTH($A125),MIN(Settings!$E$56,DAY($B125))))&gt;=MAX($A125,Settings!$F$56),IF(Settings!$E$56="",$B125,DATE(YEAR($A125),MONTH($A125),MIN(Settings!$E$56,DAY($B125))))&lt;=MIN($C125,IF(Settings!$G$56="",$C125,Settings!$G$56))),1,0)))</f>
        <v/>
      </c>
      <c r="BQ125">
        <f>IF(OR(Settings!$B$14="",$D125=1,$E125="pre",$A125&lt;IF(Settings!$B$15="",0,Settings!$B$15)),0,Settings!$B$14)</f>
        <v/>
      </c>
      <c r="BR125">
        <f>IF(AND('Month-End'!$DR$7&lt;&gt;"",NOT(_xlfn.ISFORMULA('Month-End'!$DR$7))),1,0)</f>
        <v/>
      </c>
      <c r="BS125">
        <f>IF(AND('Month-End'!$DR$8&lt;&gt;"",NOT(_xlfn.ISFORMULA('Month-End'!$DR$8))),1,0)</f>
        <v/>
      </c>
      <c r="BT125">
        <f>IF(AND('Month-End'!$DR$9&lt;&gt;"",NOT(_xlfn.ISFORMULA('Month-End'!$DR$9))),1,0)</f>
        <v/>
      </c>
      <c r="BU125">
        <f>IF(AND('Month-End'!$DR$10&lt;&gt;"",NOT(_xlfn.ISFORMULA('Month-End'!$DR$10))),1,0)</f>
        <v/>
      </c>
      <c r="BV125">
        <f>IF(AND('Month-End'!$DR$11&lt;&gt;"",NOT(_xlfn.ISFORMULA('Month-End'!$DR$11))),1,0)</f>
        <v/>
      </c>
      <c r="BW125">
        <f>IF(AND('Month-End'!$DR$12&lt;&gt;"",NOT(_xlfn.ISFORMULA('Month-End'!$DR$12))),1,0)</f>
        <v/>
      </c>
      <c r="BX125">
        <f>IF(AND('Month-End'!$DR$13&lt;&gt;"",NOT(_xlfn.ISFORMULA('Month-End'!$DR$13))),1,0)</f>
        <v/>
      </c>
      <c r="BY125">
        <f>IF(AND('Month-End'!$DR$14&lt;&gt;"",NOT(_xlfn.ISFORMULA('Month-End'!$DR$14))),1,0)</f>
        <v/>
      </c>
      <c r="BZ125">
        <f>IF(AND('Month-End'!$DR$15&lt;&gt;"",NOT(_xlfn.ISFORMULA('Month-End'!$DR$15))),1,0)</f>
        <v/>
      </c>
      <c r="CA125">
        <f>IF(AND('Month-End'!$DR$16&lt;&gt;"",NOT(_xlfn.ISFORMULA('Month-End'!$DR$16))),1,0)</f>
        <v/>
      </c>
      <c r="CB125">
        <f>IF(AND('Month-End'!$DR$17&lt;&gt;"",NOT(_xlfn.ISFORMULA('Month-End'!$DR$17))),1,0)</f>
        <v/>
      </c>
      <c r="CC125">
        <f>IF(AND('Month-End'!$DR$18&lt;&gt;"",NOT(_xlfn.ISFORMULA('Month-End'!$DR$18))),1,0)</f>
        <v/>
      </c>
      <c r="CD125">
        <f>IF(AND('Month-End'!$DR$19&lt;&gt;"",NOT(_xlfn.ISFORMULA('Month-End'!$DR$19))),1,0)</f>
        <v/>
      </c>
      <c r="CE125">
        <f>IF(AND('Month-End'!$DR$20&lt;&gt;"",NOT(_xlfn.ISFORMULA('Month-End'!$DR$20))),1,0)</f>
        <v/>
      </c>
      <c r="CF125">
        <f>IF(AND('Month-End'!$DR$38&lt;&gt;"",NOT(_xlfn.ISFORMULA('Month-End'!$DR$38))),1,0)</f>
        <v/>
      </c>
      <c r="CG125">
        <f>IF(AND('Month-End'!$DR$39&lt;&gt;"",NOT(_xlfn.ISFORMULA('Month-End'!$DR$39))),1,0)</f>
        <v/>
      </c>
      <c r="CH125">
        <f>IF(AND('Month-End'!$DR$40&lt;&gt;"",NOT(_xlfn.ISFORMULA('Month-End'!$DR$40))),1,0)</f>
        <v/>
      </c>
      <c r="CI125">
        <f>IF(AND('Month-End'!$DR$41&lt;&gt;"",NOT(_xlfn.ISFORMULA('Month-End'!$DR$41))),1,0)</f>
        <v/>
      </c>
      <c r="CJ125">
        <f>IF(AND('Month-End'!$DR$42&lt;&gt;"",NOT(_xlfn.ISFORMULA('Month-End'!$DR$42))),1,0)</f>
        <v/>
      </c>
      <c r="CK125">
        <f>IF(AND('Month-End'!$DR$43&lt;&gt;"",NOT(_xlfn.ISFORMULA('Month-End'!$DR$43))),1,0)</f>
        <v/>
      </c>
      <c r="CL125">
        <f>SUM($CM125:$CZ125)</f>
        <v/>
      </c>
      <c r="CM125">
        <f>IF(AND($E125&lt;&gt;"pre",AND(Settings!$A$19&lt;&gt;"",Settings!$E$19&lt;&gt;"No"),Settings!$F$19="Yes",NOT(AND('Month-End'!$DR$7&lt;&gt;"",NOT(_xlfn.ISFORMULA('Month-End'!$DR$7))))),1,0)</f>
        <v/>
      </c>
      <c r="CN125">
        <f>IF(AND($E125&lt;&gt;"pre",AND(Settings!$A$20&lt;&gt;"",Settings!$E$20&lt;&gt;"No"),Settings!$F$20="Yes",NOT(AND('Month-End'!$DR$8&lt;&gt;"",NOT(_xlfn.ISFORMULA('Month-End'!$DR$8))))),1,0)</f>
        <v/>
      </c>
      <c r="CO125">
        <f>IF(AND($E125&lt;&gt;"pre",AND(Settings!$A$21&lt;&gt;"",Settings!$E$21&lt;&gt;"No"),Settings!$F$21="Yes",NOT(AND('Month-End'!$DR$9&lt;&gt;"",NOT(_xlfn.ISFORMULA('Month-End'!$DR$9))))),1,0)</f>
        <v/>
      </c>
      <c r="CP125">
        <f>IF(AND($E125&lt;&gt;"pre",AND(Settings!$A$22&lt;&gt;"",Settings!$E$22&lt;&gt;"No"),Settings!$F$22="Yes",NOT(AND('Month-End'!$DR$10&lt;&gt;"",NOT(_xlfn.ISFORMULA('Month-End'!$DR$10))))),1,0)</f>
        <v/>
      </c>
      <c r="CQ125">
        <f>IF(AND($E125&lt;&gt;"pre",AND(Settings!$A$23&lt;&gt;"",Settings!$E$23&lt;&gt;"No"),Settings!$F$23="Yes",NOT(AND('Month-End'!$DR$11&lt;&gt;"",NOT(_xlfn.ISFORMULA('Month-End'!$DR$11))))),1,0)</f>
        <v/>
      </c>
      <c r="CR125">
        <f>IF(AND($E125&lt;&gt;"pre",AND(Settings!$A$24&lt;&gt;"",Settings!$E$24&lt;&gt;"No"),Settings!$F$24="Yes",NOT(AND('Month-End'!$DR$12&lt;&gt;"",NOT(_xlfn.ISFORMULA('Month-End'!$DR$12))))),1,0)</f>
        <v/>
      </c>
      <c r="CS125">
        <f>IF(AND($E125&lt;&gt;"pre",AND(Settings!$A$25&lt;&gt;"",Settings!$E$25&lt;&gt;"No"),Settings!$F$25="Yes",NOT(AND('Month-End'!$DR$13&lt;&gt;"",NOT(_xlfn.ISFORMULA('Month-End'!$DR$13))))),1,0)</f>
        <v/>
      </c>
      <c r="CT125">
        <f>IF(AND($E125&lt;&gt;"pre",AND(Settings!$A$26&lt;&gt;"",Settings!$E$26&lt;&gt;"No"),Settings!$F$26="Yes",NOT(AND('Month-End'!$DR$14&lt;&gt;"",NOT(_xlfn.ISFORMULA('Month-End'!$DR$14))))),1,0)</f>
        <v/>
      </c>
      <c r="CU125">
        <f>IF(AND($E125&lt;&gt;"pre",AND(Settings!$A$27&lt;&gt;"",Settings!$E$27&lt;&gt;"No"),Settings!$F$27="Yes",NOT(AND('Month-End'!$DR$15&lt;&gt;"",NOT(_xlfn.ISFORMULA('Month-End'!$DR$15))))),1,0)</f>
        <v/>
      </c>
      <c r="CV125">
        <f>IF(AND($E125&lt;&gt;"pre",AND(Settings!$A$28&lt;&gt;"",Settings!$E$28&lt;&gt;"No"),Settings!$F$28="Yes",NOT(AND('Month-End'!$DR$16&lt;&gt;"",NOT(_xlfn.ISFORMULA('Month-End'!$DR$16))))),1,0)</f>
        <v/>
      </c>
      <c r="CW125">
        <f>IF(AND($E125&lt;&gt;"pre",AND(Settings!$A$29&lt;&gt;"",Settings!$E$29&lt;&gt;"No"),Settings!$F$29="Yes",NOT(AND('Month-End'!$DR$17&lt;&gt;"",NOT(_xlfn.ISFORMULA('Month-End'!$DR$17))))),1,0)</f>
        <v/>
      </c>
      <c r="CX125">
        <f>IF(AND($E125&lt;&gt;"pre",AND(Settings!$A$30&lt;&gt;"",Settings!$E$30&lt;&gt;"No"),Settings!$F$30="Yes",NOT(AND('Month-End'!$DR$18&lt;&gt;"",NOT(_xlfn.ISFORMULA('Month-End'!$DR$18))))),1,0)</f>
        <v/>
      </c>
      <c r="CY125">
        <f>IF(AND($E125&lt;&gt;"pre",AND(Settings!$A$31&lt;&gt;"",Settings!$E$31&lt;&gt;"No"),Settings!$F$31="Yes",NOT(AND('Month-End'!$DR$19&lt;&gt;"",NOT(_xlfn.ISFORMULA('Month-End'!$DR$19))))),1,0)</f>
        <v/>
      </c>
      <c r="CZ125">
        <f>IF(AND($E125&lt;&gt;"pre",AND(Settings!$A$32&lt;&gt;"",Settings!$E$32&lt;&gt;"No"),Settings!$F$32="Yes",NOT(AND('Month-End'!$DR$20&lt;&gt;"",NOT(_xlfn.ISFORMULA('Month-End'!$DR$20))))),1,0)</f>
        <v/>
      </c>
      <c r="DA125">
        <f>IF($DT125=1,IF(OR(Settings!$B$19="Checking",Settings!$B$19="Savings",Settings!$B$19="Cash"),N($AE125),IF(OR(Settings!$B$19="Card",Settings!$B$19="Loan"),-N($AE125),0))+IF(OR(Settings!$B$20="Checking",Settings!$B$20="Savings",Settings!$B$20="Cash"),N($AF125),IF(OR(Settings!$B$20="Card",Settings!$B$20="Loan"),-N($AF125),0))+IF(OR(Settings!$B$21="Checking",Settings!$B$21="Savings",Settings!$B$21="Cash"),N($AG125),IF(OR(Settings!$B$21="Card",Settings!$B$21="Loan"),-N($AG125),0))+IF(OR(Settings!$B$22="Checking",Settings!$B$22="Savings",Settings!$B$22="Cash"),N($AH125),IF(OR(Settings!$B$22="Card",Settings!$B$22="Loan"),-N($AH125),0))+IF(OR(Settings!$B$23="Checking",Settings!$B$23="Savings",Settings!$B$23="Cash"),N($AI125),IF(OR(Settings!$B$23="Card",Settings!$B$23="Loan"),-N($AI125),0))+IF(OR(Settings!$B$24="Checking",Settings!$B$24="Savings",Settings!$B$24="Cash"),N($AJ125),IF(OR(Settings!$B$24="Card",Settings!$B$24="Loan"),-N($AJ125),0))+IF(OR(Settings!$B$25="Checking",Settings!$B$25="Savings",Settings!$B$25="Cash"),N($AK125),IF(OR(Settings!$B$25="Card",Settings!$B$25="Loan"),-N($AK125),0))+IF(OR(Settings!$B$26="Checking",Settings!$B$26="Savings",Settings!$B$26="Cash"),N($AL125),IF(OR(Settings!$B$26="Card",Settings!$B$26="Loan"),-N($AL125),0))+IF(OR(Settings!$B$27="Checking",Settings!$B$27="Savings",Settings!$B$27="Cash"),N($AM125),IF(OR(Settings!$B$27="Card",Settings!$B$27="Loan"),-N($AM125),0))+IF(OR(Settings!$B$28="Checking",Settings!$B$28="Savings",Settings!$B$28="Cash"),N($AN125),IF(OR(Settings!$B$28="Card",Settings!$B$28="Loan"),-N($AN125),0))+IF(OR(Settings!$B$29="Checking",Settings!$B$29="Savings",Settings!$B$29="Cash"),N($AO125),IF(OR(Settings!$B$29="Card",Settings!$B$29="Loan"),-N($AO125),0))+IF(OR(Settings!$B$30="Checking",Settings!$B$30="Savings",Settings!$B$30="Cash"),N($AP125),IF(OR(Settings!$B$30="Card",Settings!$B$30="Loan"),-N($AP125),0))+IF(OR(Settings!$B$31="Checking",Settings!$B$31="Savings",Settings!$B$31="Cash"),N($AQ125),IF(OR(Settings!$B$31="Card",Settings!$B$31="Loan"),-N($AQ125),0))+IF(OR(Settings!$B$32="Checking",Settings!$B$32="Savings",Settings!$B$32="Cash"),N($AR125),IF(OR(Settings!$B$32="Card",Settings!$B$32="Loan"),-N($AR125),0)),"")</f>
        <v/>
      </c>
      <c r="DB125">
        <f>IF($E125="open",$EB$27,IF($E125="post",IF($E124="pre",$EB$27,$DA124),""))</f>
        <v/>
      </c>
      <c r="DC125">
        <f>IF($E125="open",1,IF($E125="post",IF($E124="pre",1,$DT124),0))</f>
        <v/>
      </c>
      <c r="DD125">
        <f>IF(AND($DT125=1,$DC125=1),ROUND($W125-($DA125-$DB125)-$AD125-$AB125,2),"")</f>
        <v/>
      </c>
      <c r="DE125">
        <f>IF('Month-End'!$DR$35="",$BQ125,N('Month-End'!$DR$35))</f>
        <v/>
      </c>
      <c r="DF125">
        <f>N('Month-End'!$DR$36)</f>
        <v/>
      </c>
      <c r="DG125">
        <f>IF($DD125="","",$DD125+$DE125)</f>
        <v/>
      </c>
      <c r="DH125">
        <f>IF($DG125="","",$DG125-$DF125)</f>
        <v/>
      </c>
      <c r="DI125">
        <f>IF(OR($E125="pre",$D125=1),"",N($AS125)+N($AT125)+N($AU125)+N($AV125)+N($AW125)+N($AX125))</f>
        <v/>
      </c>
      <c r="DJ125">
        <f>IF($DT125=1,$DA125+N($DI125),"")</f>
        <v/>
      </c>
      <c r="DK125">
        <f>IF($DD125="","",$W125-$DD125-$AB125)</f>
        <v/>
      </c>
      <c r="DL125">
        <f>IF(AND($E125="post",$DD125&lt;&gt;"",$B125&lt;TODAY()),1,0)</f>
        <v/>
      </c>
      <c r="DM125">
        <f>IF($DL125=1,COUNTIF($DL125:$DL$183,1),0)</f>
        <v/>
      </c>
      <c r="DN125">
        <f>IF($D125=1,"",IF($E125="pre","History only",IF($DT125=1,IF($DD125="","⚠ Previous month missing",IF($DD125&lt;0,"⚠ Check: spending &lt; 0",IF($E125="open","✓ Done (partial)","✓ Done"))),IF($B125&gt;=TODAY(),"In progress","⚠ Needs balances"))))</f>
        <v/>
      </c>
      <c r="DO125">
        <f>YEAR($A125)</f>
        <v/>
      </c>
      <c r="DP125">
        <f>DATE(YEAR($A125),INT((MONTH($A125)-1)/3)*3+1,1)</f>
        <v/>
      </c>
      <c r="DQ125">
        <f>IF(AND($DT125=1,$DD125&lt;&gt;"",$D125=0),ROW(),0)</f>
        <v/>
      </c>
      <c r="DR125">
        <f>IF(AND($E125&lt;&gt;"pre",$B125&lt;TODAY(),$DT125=0),1,0)</f>
        <v/>
      </c>
      <c r="DS125">
        <f>IF($DJ125="",NA(),$DJ125)</f>
        <v/>
      </c>
      <c r="DT125">
        <f>IF(AND($E125&lt;&gt;"pre",$CL125=0,COUNTIFS(Settings!$F$19:$F$32,"Yes",Settings!$A$19:$A$32,"&lt;&gt;",Settings!$E$19:$E$32,"&lt;&gt;No")&gt;0),1,0)</f>
        <v/>
      </c>
      <c r="DU125">
        <f>IF(AND($B125&lt;TODAY(),$S125&gt;0),1,0)</f>
        <v/>
      </c>
      <c r="DV125">
        <f>IF($DU125=1,COUNTIF($DU125:$DU$183,1),0)</f>
        <v/>
      </c>
      <c r="DW125">
        <f>IF(AND(OR(Settings!$B$19="Card",Settings!$B$19="Loan"),AND('Month-End'!$DR$7&lt;&gt;"",NOT(_xlfn.ISFORMULA('Month-End'!$DR$7)))),IF(N('Month-End'!$DR$7)&lt;0,1,0),0)+IF(AND(OR(Settings!$B$20="Card",Settings!$B$20="Loan"),AND('Month-End'!$DR$8&lt;&gt;"",NOT(_xlfn.ISFORMULA('Month-End'!$DR$8)))),IF(N('Month-End'!$DR$8)&lt;0,1,0),0)+IF(AND(OR(Settings!$B$21="Card",Settings!$B$21="Loan"),AND('Month-End'!$DR$9&lt;&gt;"",NOT(_xlfn.ISFORMULA('Month-End'!$DR$9)))),IF(N('Month-End'!$DR$9)&lt;0,1,0),0)+IF(AND(OR(Settings!$B$22="Card",Settings!$B$22="Loan"),AND('Month-End'!$DR$10&lt;&gt;"",NOT(_xlfn.ISFORMULA('Month-End'!$DR$10)))),IF(N('Month-End'!$DR$10)&lt;0,1,0),0)+IF(AND(OR(Settings!$B$23="Card",Settings!$B$23="Loan"),AND('Month-End'!$DR$11&lt;&gt;"",NOT(_xlfn.ISFORMULA('Month-End'!$DR$11)))),IF(N('Month-End'!$DR$11)&lt;0,1,0),0)+IF(AND(OR(Settings!$B$24="Card",Settings!$B$24="Loan"),AND('Month-End'!$DR$12&lt;&gt;"",NOT(_xlfn.ISFORMULA('Month-End'!$DR$12)))),IF(N('Month-End'!$DR$12)&lt;0,1,0),0)+IF(AND(OR(Settings!$B$25="Card",Settings!$B$25="Loan"),AND('Month-End'!$DR$13&lt;&gt;"",NOT(_xlfn.ISFORMULA('Month-End'!$DR$13)))),IF(N('Month-End'!$DR$13)&lt;0,1,0),0)+IF(AND(OR(Settings!$B$26="Card",Settings!$B$26="Loan"),AND('Month-End'!$DR$14&lt;&gt;"",NOT(_xlfn.ISFORMULA('Month-End'!$DR$14)))),IF(N('Month-End'!$DR$14)&lt;0,1,0),0)+IF(AND(OR(Settings!$B$27="Card",Settings!$B$27="Loan"),AND('Month-End'!$DR$15&lt;&gt;"",NOT(_xlfn.ISFORMULA('Month-End'!$DR$15)))),IF(N('Month-End'!$DR$15)&lt;0,1,0),0)+IF(AND(OR(Settings!$B$28="Card",Settings!$B$28="Loan"),AND('Month-End'!$DR$16&lt;&gt;"",NOT(_xlfn.ISFORMULA('Month-End'!$DR$16)))),IF(N('Month-End'!$DR$16)&lt;0,1,0),0)+IF(AND(OR(Settings!$B$29="Card",Settings!$B$29="Loan"),AND('Month-End'!$DR$17&lt;&gt;"",NOT(_xlfn.ISFORMULA('Month-End'!$DR$17)))),IF(N('Month-End'!$DR$17)&lt;0,1,0),0)+IF(AND(OR(Settings!$B$30="Card",Settings!$B$30="Loan"),AND('Month-End'!$DR$18&lt;&gt;"",NOT(_xlfn.ISFORMULA('Month-End'!$DR$18)))),IF(N('Month-End'!$DR$18)&lt;0,1,0),0)+IF(AND(OR(Settings!$B$31="Card",Settings!$B$31="Loan"),AND('Month-End'!$DR$19&lt;&gt;"",NOT(_xlfn.ISFORMULA('Month-End'!$DR$19)))),IF(N('Month-End'!$DR$19)&lt;0,1,0),0)+IF(AND(OR(Settings!$B$32="Card",Settings!$B$32="Loan"),AND('Month-End'!$DR$20&lt;&gt;"",NOT(_xlfn.ISFORMULA('Month-End'!$DR$20)))),IF(N('Month-End'!$DR$20)&lt;0,1,0),0)</f>
        <v/>
      </c>
      <c r="DX125">
        <f>IF(Settings!$B$36="Retirement",$AY125,0)+IF(Settings!$B$37="Retirement",$AZ125,0)+IF(Settings!$B$38="Retirement",$BA125,0)+IF(Settings!$B$39="Retirement",$BB125,0)+IF(Settings!$B$40="Retirement",$BC125,0)+IF(Settings!$B$41="Retirement",$BD125,0)</f>
        <v/>
      </c>
      <c r="ET125">
        <f>IF($E125&lt;&gt;"open",0,IF(AND('Month-End'!$DR$22&lt;&gt;"",NOT(_xlfn.ISFORMULA('Month-End'!$DR$22))),0,IF(OR(Settings!$C$45="",Settings!$D$45=""),0,Settings!$C$45*IF(Settings!$D$45="Weekly",IF(IFERROR(MATCH(Settings!$E$45,$EO$4:$EO$10,0),0)=0,0,IF(MIN(Settings!$B$5,IF(Settings!$G$45="",Settings!$B$5,Settings!$G$45))&lt;MAX($A125,Settings!$F$45),0,INT((MIN(Settings!$B$5,IF(Settings!$G$45="",Settings!$B$5,Settings!$G$45))-MAX($A125,Settings!$F$45)-MOD(IFERROR(MATCH(Settings!$E$45,$EO$4:$EO$10,0),0)-WEEKDAY(MAX($A125,Settings!$F$45)),7))/7)+1)),IF(AND(IF(Settings!$E$45="",$B125,DATE(YEAR($A125),MONTH($A125),MIN(Settings!$E$45,DAY($B125))))&gt;=MAX($A125,Settings!$F$45),IF(Settings!$E$45="",$B125,DATE(YEAR($A125),MONTH($A125),MIN(Settings!$E$45,DAY($B125))))&lt;=MIN(Settings!$B$5,IF(Settings!$G$45="",Settings!$B$5,Settings!$G$45))),1,0)))))</f>
        <v/>
      </c>
      <c r="EU125">
        <f>IF($E125&lt;&gt;"open",0,IF(AND('Month-End'!$DR$23&lt;&gt;"",NOT(_xlfn.ISFORMULA('Month-End'!$DR$23))),0,IF(OR(Settings!$C$46="",Settings!$D$46=""),0,Settings!$C$46*IF(Settings!$D$46="Weekly",IF(IFERROR(MATCH(Settings!$E$46,$EO$4:$EO$10,0),0)=0,0,IF(MIN(Settings!$B$5,IF(Settings!$G$46="",Settings!$B$5,Settings!$G$46))&lt;MAX($A125,Settings!$F$46),0,INT((MIN(Settings!$B$5,IF(Settings!$G$46="",Settings!$B$5,Settings!$G$46))-MAX($A125,Settings!$F$46)-MOD(IFERROR(MATCH(Settings!$E$46,$EO$4:$EO$10,0),0)-WEEKDAY(MAX($A125,Settings!$F$46)),7))/7)+1)),IF(AND(IF(Settings!$E$46="",$B125,DATE(YEAR($A125),MONTH($A125),MIN(Settings!$E$46,DAY($B125))))&gt;=MAX($A125,Settings!$F$46),IF(Settings!$E$46="",$B125,DATE(YEAR($A125),MONTH($A125),MIN(Settings!$E$46,DAY($B125))))&lt;=MIN(Settings!$B$5,IF(Settings!$G$46="",Settings!$B$5,Settings!$G$46))),1,0)))))</f>
        <v/>
      </c>
      <c r="EV125">
        <f>IF($E125&lt;&gt;"open",0,IF(AND('Month-End'!$DR$24&lt;&gt;"",NOT(_xlfn.ISFORMULA('Month-End'!$DR$24))),0,IF(OR(Settings!$C$47="",Settings!$D$47=""),0,Settings!$C$47*IF(Settings!$D$47="Weekly",IF(IFERROR(MATCH(Settings!$E$47,$EO$4:$EO$10,0),0)=0,0,IF(MIN(Settings!$B$5,IF(Settings!$G$47="",Settings!$B$5,Settings!$G$47))&lt;MAX($A125,Settings!$F$47),0,INT((MIN(Settings!$B$5,IF(Settings!$G$47="",Settings!$B$5,Settings!$G$47))-MAX($A125,Settings!$F$47)-MOD(IFERROR(MATCH(Settings!$E$47,$EO$4:$EO$10,0),0)-WEEKDAY(MAX($A125,Settings!$F$47)),7))/7)+1)),IF(AND(IF(Settings!$E$47="",$B125,DATE(YEAR($A125),MONTH($A125),MIN(Settings!$E$47,DAY($B125))))&gt;=MAX($A125,Settings!$F$47),IF(Settings!$E$47="",$B125,DATE(YEAR($A125),MONTH($A125),MIN(Settings!$E$47,DAY($B125))))&lt;=MIN(Settings!$B$5,IF(Settings!$G$47="",Settings!$B$5,Settings!$G$47))),1,0)))))</f>
        <v/>
      </c>
      <c r="EW125">
        <f>IF($E125&lt;&gt;"open",0,IF(AND('Month-End'!$DR$25&lt;&gt;"",NOT(_xlfn.ISFORMULA('Month-End'!$DR$25))),0,IF(OR(Settings!$C$48="",Settings!$D$48=""),0,Settings!$C$48*IF(Settings!$D$48="Weekly",IF(IFERROR(MATCH(Settings!$E$48,$EO$4:$EO$10,0),0)=0,0,IF(MIN(Settings!$B$5,IF(Settings!$G$48="",Settings!$B$5,Settings!$G$48))&lt;MAX($A125,Settings!$F$48),0,INT((MIN(Settings!$B$5,IF(Settings!$G$48="",Settings!$B$5,Settings!$G$48))-MAX($A125,Settings!$F$48)-MOD(IFERROR(MATCH(Settings!$E$48,$EO$4:$EO$10,0),0)-WEEKDAY(MAX($A125,Settings!$F$48)),7))/7)+1)),IF(AND(IF(Settings!$E$48="",$B125,DATE(YEAR($A125),MONTH($A125),MIN(Settings!$E$48,DAY($B125))))&gt;=MAX($A125,Settings!$F$48),IF(Settings!$E$48="",$B125,DATE(YEAR($A125),MONTH($A125),MIN(Settings!$E$48,DAY($B125))))&lt;=MIN(Settings!$B$5,IF(Settings!$G$48="",Settings!$B$5,Settings!$G$48))),1,0)))))</f>
        <v/>
      </c>
      <c r="EX125">
        <f>IF($E125&lt;&gt;"open",0,IF(AND('Month-End'!$DR$26&lt;&gt;"",NOT(_xlfn.ISFORMULA('Month-End'!$DR$26))),0,IF(OR(Settings!$C$49="",Settings!$D$49=""),0,Settings!$C$49*IF(Settings!$D$49="Weekly",IF(IFERROR(MATCH(Settings!$E$49,$EO$4:$EO$10,0),0)=0,0,IF(MIN(Settings!$B$5,IF(Settings!$G$49="",Settings!$B$5,Settings!$G$49))&lt;MAX($A125,Settings!$F$49),0,INT((MIN(Settings!$B$5,IF(Settings!$G$49="",Settings!$B$5,Settings!$G$49))-MAX($A125,Settings!$F$49)-MOD(IFERROR(MATCH(Settings!$E$49,$EO$4:$EO$10,0),0)-WEEKDAY(MAX($A125,Settings!$F$49)),7))/7)+1)),IF(AND(IF(Settings!$E$49="",$B125,DATE(YEAR($A125),MONTH($A125),MIN(Settings!$E$49,DAY($B125))))&gt;=MAX($A125,Settings!$F$49),IF(Settings!$E$49="",$B125,DATE(YEAR($A125),MONTH($A125),MIN(Settings!$E$49,DAY($B125))))&lt;=MIN(Settings!$B$5,IF(Settings!$G$49="",Settings!$B$5,Settings!$G$49))),1,0)))))</f>
        <v/>
      </c>
      <c r="EY125">
        <f>IF($E125&lt;&gt;"open",0,IF(AND('Month-End'!$DR$27&lt;&gt;"",NOT(_xlfn.ISFORMULA('Month-End'!$DR$27))),0,IF(OR(Settings!$C$50="",Settings!$D$50=""),0,Settings!$C$50*IF(Settings!$D$50="Weekly",IF(IFERROR(MATCH(Settings!$E$50,$EO$4:$EO$10,0),0)=0,0,IF(MIN(Settings!$B$5,IF(Settings!$G$50="",Settings!$B$5,Settings!$G$50))&lt;MAX($A125,Settings!$F$50),0,INT((MIN(Settings!$B$5,IF(Settings!$G$50="",Settings!$B$5,Settings!$G$50))-MAX($A125,Settings!$F$50)-MOD(IFERROR(MATCH(Settings!$E$50,$EO$4:$EO$10,0),0)-WEEKDAY(MAX($A125,Settings!$F$50)),7))/7)+1)),IF(AND(IF(Settings!$E$50="",$B125,DATE(YEAR($A125),MONTH($A125),MIN(Settings!$E$50,DAY($B125))))&gt;=MAX($A125,Settings!$F$50),IF(Settings!$E$50="",$B125,DATE(YEAR($A125),MONTH($A125),MIN(Settings!$E$50,DAY($B125))))&lt;=MIN(Settings!$B$5,IF(Settings!$G$50="",Settings!$B$5,Settings!$G$50))),1,0)))))</f>
        <v/>
      </c>
      <c r="EZ125">
        <f>IF($E125&lt;&gt;"open",0,IF(AND('Month-End'!$DR$28&lt;&gt;"",NOT(_xlfn.ISFORMULA('Month-End'!$DR$28))),0,IF(OR(Settings!$C$51="",Settings!$D$51=""),0,Settings!$C$51*IF(Settings!$D$51="Weekly",IF(IFERROR(MATCH(Settings!$E$51,$EO$4:$EO$10,0),0)=0,0,IF(MIN(Settings!$B$5,IF(Settings!$G$51="",Settings!$B$5,Settings!$G$51))&lt;MAX($A125,Settings!$F$51),0,INT((MIN(Settings!$B$5,IF(Settings!$G$51="",Settings!$B$5,Settings!$G$51))-MAX($A125,Settings!$F$51)-MOD(IFERROR(MATCH(Settings!$E$51,$EO$4:$EO$10,0),0)-WEEKDAY(MAX($A125,Settings!$F$51)),7))/7)+1)),IF(AND(IF(Settings!$E$51="",$B125,DATE(YEAR($A125),MONTH($A125),MIN(Settings!$E$51,DAY($B125))))&gt;=MAX($A125,Settings!$F$51),IF(Settings!$E$51="",$B125,DATE(YEAR($A125),MONTH($A125),MIN(Settings!$E$51,DAY($B125))))&lt;=MIN(Settings!$B$5,IF(Settings!$G$51="",Settings!$B$5,Settings!$G$51))),1,0)))))</f>
        <v/>
      </c>
      <c r="FA125">
        <f>IF($E125&lt;&gt;"open",0,IF(AND('Month-End'!$DR$29&lt;&gt;"",NOT(_xlfn.ISFORMULA('Month-End'!$DR$29))),0,IF(OR(Settings!$C$52="",Settings!$D$52=""),0,Settings!$C$52*IF(Settings!$D$52="Weekly",IF(IFERROR(MATCH(Settings!$E$52,$EO$4:$EO$10,0),0)=0,0,IF(MIN(Settings!$B$5,IF(Settings!$G$52="",Settings!$B$5,Settings!$G$52))&lt;MAX($A125,Settings!$F$52),0,INT((MIN(Settings!$B$5,IF(Settings!$G$52="",Settings!$B$5,Settings!$G$52))-MAX($A125,Settings!$F$52)-MOD(IFERROR(MATCH(Settings!$E$52,$EO$4:$EO$10,0),0)-WEEKDAY(MAX($A125,Settings!$F$52)),7))/7)+1)),IF(AND(IF(Settings!$E$52="",$B125,DATE(YEAR($A125),MONTH($A125),MIN(Settings!$E$52,DAY($B125))))&gt;=MAX($A125,Settings!$F$52),IF(Settings!$E$52="",$B125,DATE(YEAR($A125),MONTH($A125),MIN(Settings!$E$52,DAY($B125))))&lt;=MIN(Settings!$B$5,IF(Settings!$G$52="",Settings!$B$5,Settings!$G$52))),1,0)))))</f>
        <v/>
      </c>
      <c r="FB125">
        <f>IF($E125&lt;&gt;"open",0,IF(AND('Month-End'!$DR$30&lt;&gt;"",NOT(_xlfn.ISFORMULA('Month-End'!$DR$30))),0,IF(OR(Settings!$C$53="",Settings!$D$53=""),0,Settings!$C$53*IF(Settings!$D$53="Weekly",IF(IFERROR(MATCH(Settings!$E$53,$EO$4:$EO$10,0),0)=0,0,IF(MIN(Settings!$B$5,IF(Settings!$G$53="",Settings!$B$5,Settings!$G$53))&lt;MAX($A125,Settings!$F$53),0,INT((MIN(Settings!$B$5,IF(Settings!$G$53="",Settings!$B$5,Settings!$G$53))-MAX($A125,Settings!$F$53)-MOD(IFERROR(MATCH(Settings!$E$53,$EO$4:$EO$10,0),0)-WEEKDAY(MAX($A125,Settings!$F$53)),7))/7)+1)),IF(AND(IF(Settings!$E$53="",$B125,DATE(YEAR($A125),MONTH($A125),MIN(Settings!$E$53,DAY($B125))))&gt;=MAX($A125,Settings!$F$53),IF(Settings!$E$53="",$B125,DATE(YEAR($A125),MONTH($A125),MIN(Settings!$E$53,DAY($B125))))&lt;=MIN(Settings!$B$5,IF(Settings!$G$53="",Settings!$B$5,Settings!$G$53))),1,0)))))</f>
        <v/>
      </c>
      <c r="FC125">
        <f>IF($E125&lt;&gt;"open",0,IF(AND('Month-End'!$DR$31&lt;&gt;"",NOT(_xlfn.ISFORMULA('Month-End'!$DR$31))),0,IF(OR(Settings!$C$54="",Settings!$D$54=""),0,Settings!$C$54*IF(Settings!$D$54="Weekly",IF(IFERROR(MATCH(Settings!$E$54,$EO$4:$EO$10,0),0)=0,0,IF(MIN(Settings!$B$5,IF(Settings!$G$54="",Settings!$B$5,Settings!$G$54))&lt;MAX($A125,Settings!$F$54),0,INT((MIN(Settings!$B$5,IF(Settings!$G$54="",Settings!$B$5,Settings!$G$54))-MAX($A125,Settings!$F$54)-MOD(IFERROR(MATCH(Settings!$E$54,$EO$4:$EO$10,0),0)-WEEKDAY(MAX($A125,Settings!$F$54)),7))/7)+1)),IF(AND(IF(Settings!$E$54="",$B125,DATE(YEAR($A125),MONTH($A125),MIN(Settings!$E$54,DAY($B125))))&gt;=MAX($A125,Settings!$F$54),IF(Settings!$E$54="",$B125,DATE(YEAR($A125),MONTH($A125),MIN(Settings!$E$54,DAY($B125))))&lt;=MIN(Settings!$B$5,IF(Settings!$G$54="",Settings!$B$5,Settings!$G$54))),1,0)))))</f>
        <v/>
      </c>
      <c r="FD125">
        <f>IF($E125&lt;&gt;"open",0,IF(AND('Month-End'!$DR$32&lt;&gt;"",NOT(_xlfn.ISFORMULA('Month-End'!$DR$32))),0,IF(OR(Settings!$C$55="",Settings!$D$55=""),0,Settings!$C$55*IF(Settings!$D$55="Weekly",IF(IFERROR(MATCH(Settings!$E$55,$EO$4:$EO$10,0),0)=0,0,IF(MIN(Settings!$B$5,IF(Settings!$G$55="",Settings!$B$5,Settings!$G$55))&lt;MAX($A125,Settings!$F$55),0,INT((MIN(Settings!$B$5,IF(Settings!$G$55="",Settings!$B$5,Settings!$G$55))-MAX($A125,Settings!$F$55)-MOD(IFERROR(MATCH(Settings!$E$55,$EO$4:$EO$10,0),0)-WEEKDAY(MAX($A125,Settings!$F$55)),7))/7)+1)),IF(AND(IF(Settings!$E$55="",$B125,DATE(YEAR($A125),MONTH($A125),MIN(Settings!$E$55,DAY($B125))))&gt;=MAX($A125,Settings!$F$55),IF(Settings!$E$55="",$B125,DATE(YEAR($A125),MONTH($A125),MIN(Settings!$E$55,DAY($B125))))&lt;=MIN(Settings!$B$5,IF(Settings!$G$55="",Settings!$B$5,Settings!$G$55))),1,0)))))</f>
        <v/>
      </c>
      <c r="FE125">
        <f>IF($E125&lt;&gt;"open",0,IF(AND('Month-End'!$DR$33&lt;&gt;"",NOT(_xlfn.ISFORMULA('Month-End'!$DR$33))),0,IF(OR(Settings!$C$56="",Settings!$D$56=""),0,Settings!$C$56*IF(Settings!$D$56="Weekly",IF(IFERROR(MATCH(Settings!$E$56,$EO$4:$EO$10,0),0)=0,0,IF(MIN(Settings!$B$5,IF(Settings!$G$56="",Settings!$B$5,Settings!$G$56))&lt;MAX($A125,Settings!$F$56),0,INT((MIN(Settings!$B$5,IF(Settings!$G$56="",Settings!$B$5,Settings!$G$56))-MAX($A125,Settings!$F$56)-MOD(IFERROR(MATCH(Settings!$E$56,$EO$4:$EO$10,0),0)-WEEKDAY(MAX($A125,Settings!$F$56)),7))/7)+1)),IF(AND(IF(Settings!$E$56="",$B125,DATE(YEAR($A125),MONTH($A125),MIN(Settings!$E$56,DAY($B125))))&gt;=MAX($A125,Settings!$F$56),IF(Settings!$E$56="",$B125,DATE(YEAR($A125),MONTH($A125),MIN(Settings!$E$56,DAY($B125))))&lt;=MIN(Settings!$B$5,IF(Settings!$G$56="",Settings!$B$5,Settings!$G$56))),1,0)))))</f>
        <v/>
      </c>
      <c r="FF125">
        <f>IF(Settings!$I$45="Yes",$G125,0)+IF(Settings!$I$46="Yes",$H125,0)+IF(Settings!$I$47="Yes",$I125,0)+IF(Settings!$I$48="Yes",$J125,0)+IF(Settings!$I$49="Yes",$K125,0)+IF(Settings!$I$50="Yes",$L125,0)+IF(Settings!$I$51="Yes",$M125,0)+IF(Settings!$I$52="Yes",$N125,0)+IF(Settings!$I$53="Yes",$O125,0)+IF(Settings!$I$54="Yes",$P125,0)+IF(Settings!$I$55="Yes",$Q125,0)+IF(Settings!$I$56="Yes",$R125,0)</f>
        <v/>
      </c>
      <c r="FG125">
        <f>IF(AND(Settings!$I$45="Yes",Settings!$J$45="No"),$G125,0)+IF(AND(Settings!$I$46="Yes",Settings!$J$46="No"),$H125,0)+IF(AND(Settings!$I$47="Yes",Settings!$J$47="No"),$I125,0)+IF(AND(Settings!$I$48="Yes",Settings!$J$48="No"),$J125,0)+IF(AND(Settings!$I$49="Yes",Settings!$J$49="No"),$K125,0)+IF(AND(Settings!$I$50="Yes",Settings!$J$50="No"),$L125,0)+IF(AND(Settings!$I$51="Yes",Settings!$J$51="No"),$M125,0)+IF(AND(Settings!$I$52="Yes",Settings!$J$52="No"),$N125,0)+IF(AND(Settings!$I$53="Yes",Settings!$J$53="No"),$O125,0)+IF(AND(Settings!$I$54="Yes",Settings!$J$54="No"),$P125,0)+IF(AND(Settings!$I$55="Yes",Settings!$J$55="No"),$Q125,0)+IF(AND(Settings!$I$56="Yes",Settings!$J$56="No"),$R125,0)</f>
        <v/>
      </c>
      <c r="FH125">
        <f>SUMIFS(Giving!$B$7:$B$2006,Giving!$A$7:$A$2006,"&gt;="&amp;$A125,Giving!$A$7:$A$2006,"&lt;="&amp;$B125,Giving!$G$7:$G$2006,"Yes")+IF(OR(OR(Settings!$B$60="",Settings!$F$60="No"),Settings!$H$60&lt;&gt;"Yes"),0,Settings!$B$60*IF(AND(IF(Settings!$C$60="",$B125,DATE(YEAR($A125),MONTH($A125),MIN(Settings!$C$60,DAY($B125))))&gt;=MAX($A125,Settings!$D$60),IF(Settings!$C$60="",$B125,DATE(YEAR($A125),MONTH($A125),MIN(Settings!$C$60,DAY($B125))))&lt;=MIN($C125,IF(Settings!$E$60="",$C125,Settings!$E$60))),1,0))+IF(OR(OR(Settings!$B$61="",Settings!$F$61="No"),Settings!$H$61&lt;&gt;"Yes"),0,Settings!$B$61*IF(AND(IF(Settings!$C$61="",$B125,DATE(YEAR($A125),MONTH($A125),MIN(Settings!$C$61,DAY($B125))))&gt;=MAX($A125,Settings!$D$61),IF(Settings!$C$61="",$B125,DATE(YEAR($A125),MONTH($A125),MIN(Settings!$C$61,DAY($B125))))&lt;=MIN($C125,IF(Settings!$E$61="",$C125,Settings!$E$61))),1,0))+IF(OR(OR(Settings!$B$62="",Settings!$F$62="No"),Settings!$H$62&lt;&gt;"Yes"),0,Settings!$B$62*IF(AND(IF(Settings!$C$62="",$B125,DATE(YEAR($A125),MONTH($A125),MIN(Settings!$C$62,DAY($B125))))&gt;=MAX($A125,Settings!$D$62),IF(Settings!$C$62="",$B125,DATE(YEAR($A125),MONTH($A125),MIN(Settings!$C$62,DAY($B125))))&lt;=MIN($C125,IF(Settings!$E$62="",$C125,Settings!$E$62))),1,0))+IF(OR(OR(Settings!$B$63="",Settings!$F$63="No"),Settings!$H$63&lt;&gt;"Yes"),0,Settings!$B$63*IF(AND(IF(Settings!$C$63="",$B125,DATE(YEAR($A125),MONTH($A125),MIN(Settings!$C$63,DAY($B125))))&gt;=MAX($A125,Settings!$D$63),IF(Settings!$C$63="",$B125,DATE(YEAR($A125),MONTH($A125),MIN(Settings!$C$63,DAY($B125))))&lt;=MIN($C125,IF(Settings!$E$63="",$C125,Settings!$E$63))),1,0))+IF(OR(OR(Settings!$B$64="",Settings!$F$64="No"),Settings!$H$64&lt;&gt;"Yes"),0,Settings!$B$64*IF(AND(IF(Settings!$C$64="",$B125,DATE(YEAR($A125),MONTH($A125),MIN(Settings!$C$64,DAY($B125))))&gt;=MAX($A125,Settings!$D$64),IF(Settings!$C$64="",$B125,DATE(YEAR($A125),MONTH($A125),MIN(Settings!$C$64,DAY($B125))))&lt;=MIN($C125,IF(Settings!$E$64="",$C125,Settings!$E$64))),1,0))+IF(OR(OR(Settings!$B$65="",Settings!$F$65="No"),Settings!$H$65&lt;&gt;"Yes"),0,Settings!$B$65*IF(AND(IF(Settings!$C$65="",$B125,DATE(YEAR($A125),MONTH($A125),MIN(Settings!$C$65,DAY($B125))))&gt;=MAX($A125,Settings!$D$65),IF(Settings!$C$65="",$B125,DATE(YEAR($A125),MONTH($A125),MIN(Settings!$C$65,DAY($B125))))&lt;=MIN($C125,IF(Settings!$E$65="",$C125,Settings!$E$65))),1,0))</f>
        <v/>
      </c>
      <c r="FI125">
        <f>IF($DT125=1,IF(OR(Settings!$B$19="Card",Settings!$B$19="Loan"),N($AE125),0)+IF(OR(Settings!$B$20="Card",Settings!$B$20="Loan"),N($AF125),0)+IF(OR(Settings!$B$21="Card",Settings!$B$21="Loan"),N($AG125),0)+IF(OR(Settings!$B$22="Card",Settings!$B$22="Loan"),N($AH125),0)+IF(OR(Settings!$B$23="Card",Settings!$B$23="Loan"),N($AI125),0)+IF(OR(Settings!$B$24="Card",Settings!$B$24="Loan"),N($AJ125),0)+IF(OR(Settings!$B$25="Card",Settings!$B$25="Loan"),N($AK125),0)+IF(OR(Settings!$B$26="Card",Settings!$B$26="Loan"),N($AL125),0)+IF(OR(Settings!$B$27="Card",Settings!$B$27="Loan"),N($AM125),0)+IF(OR(Settings!$B$28="Card",Settings!$B$28="Loan"),N($AN125),0)+IF(OR(Settings!$B$29="Card",Settings!$B$29="Loan"),N($AO125),0)+IF(OR(Settings!$B$30="Card",Settings!$B$30="Loan"),N($AP125),0)+IF(OR(Settings!$B$31="Card",Settings!$B$31="Loan"),N($AQ125),0)+IF(OR(Settings!$B$32="Card",Settings!$B$32="Loan"),N($AR125),0),"")</f>
        <v/>
      </c>
      <c r="FJ125">
        <f>IF($E125="open",$EB$65,IF($E125="post",IF($E124="pre",$EB$65,$FI124),""))</f>
        <v/>
      </c>
      <c r="FK125">
        <f>IF(AND($DT125=1,$DC125=1),IF(ROUND($FI125-$FJ125,2)&gt;0,1,0),0)</f>
        <v/>
      </c>
      <c r="FL125">
        <f>IF($FK125=1,$FL124+1,0)</f>
        <v/>
      </c>
    </row>
    <row r="126">
      <c r="A126">
        <f>'Month-End'!$DS$4</f>
        <v/>
      </c>
      <c r="B126">
        <f>EOMONTH($A126,0)</f>
        <v/>
      </c>
      <c r="C126">
        <f>MIN($B126,TODAY())</f>
        <v/>
      </c>
      <c r="D126">
        <f>IF($A126&gt;TODAY(),1,0)</f>
        <v/>
      </c>
      <c r="E126">
        <f>IF($B126&lt;=Settings!$B$5,"pre",IF($A126&lt;=Settings!$B$5,"open","post"))</f>
        <v/>
      </c>
      <c r="G126">
        <f>IF('Month-End'!$DS$22="",$BE126,N('Month-End'!$DS$22))</f>
        <v/>
      </c>
      <c r="H126">
        <f>IF('Month-End'!$DS$23="",$BF126,N('Month-End'!$DS$23))</f>
        <v/>
      </c>
      <c r="I126">
        <f>IF('Month-End'!$DS$24="",$BG126,N('Month-End'!$DS$24))</f>
        <v/>
      </c>
      <c r="J126">
        <f>IF('Month-End'!$DS$25="",$BH126,N('Month-End'!$DS$25))</f>
        <v/>
      </c>
      <c r="K126">
        <f>IF('Month-End'!$DS$26="",$BI126,N('Month-End'!$DS$26))</f>
        <v/>
      </c>
      <c r="L126">
        <f>IF('Month-End'!$DS$27="",$BJ126,N('Month-End'!$DS$27))</f>
        <v/>
      </c>
      <c r="M126">
        <f>IF('Month-End'!$DS$28="",$BK126,N('Month-End'!$DS$28))</f>
        <v/>
      </c>
      <c r="N126">
        <f>IF('Month-End'!$DS$29="",$BL126,N('Month-End'!$DS$29))</f>
        <v/>
      </c>
      <c r="O126">
        <f>IF('Month-End'!$DS$30="",$BM126,N('Month-End'!$DS$30))</f>
        <v/>
      </c>
      <c r="P126">
        <f>IF('Month-End'!$DS$31="",$BN126,N('Month-End'!$DS$31))</f>
        <v/>
      </c>
      <c r="Q126">
        <f>IF('Month-End'!$DS$32="",$BO126,N('Month-End'!$DS$32))</f>
        <v/>
      </c>
      <c r="R126">
        <f>IF('Month-End'!$DS$33="",$BP126,N('Month-End'!$DS$33))</f>
        <v/>
      </c>
      <c r="S126">
        <f>$G126+$H126+$I126+$J126+$K126+$L126+$M126+$N126+$O126+$P126+$Q126+$R126</f>
        <v/>
      </c>
      <c r="T126">
        <f>IF($B126&lt;Settings!$B$6,0,IF(Settings!$B$45="Yes",$G126,0)+IF(Settings!$B$46="Yes",$H126,0)+IF(Settings!$B$47="Yes",$I126,0)+IF(Settings!$B$48="Yes",$J126,0)+IF(Settings!$B$49="Yes",$K126,0)+IF(Settings!$B$50="Yes",$L126,0)+IF(Settings!$B$51="Yes",$M126,0)+IF(Settings!$B$52="Yes",$N126,0)+IF(Settings!$B$53="Yes",$O126,0)+IF(Settings!$B$54="Yes",$P126,0)+IF(Settings!$B$55="Yes",$Q126,0)+IF(Settings!$B$56="Yes",$R126,0))</f>
        <v/>
      </c>
      <c r="U126">
        <f>IF(Settings!$B$45="Not Sure",$G126,0)+IF(Settings!$B$46="Not Sure",$H126,0)+IF(Settings!$B$47="Not Sure",$I126,0)+IF(Settings!$B$48="Not Sure",$J126,0)+IF(Settings!$B$49="Not Sure",$K126,0)+IF(Settings!$B$50="Not Sure",$L126,0)+IF(Settings!$B$51="Not Sure",$M126,0)+IF(Settings!$B$52="Not Sure",$N126,0)+IF(Settings!$B$53="Not Sure",$O126,0)+IF(Settings!$B$54="Not Sure",$P126,0)+IF(Settings!$B$55="Not Sure",$Q126,0)+IF(Settings!$B$56="Not Sure",$R126,0)</f>
        <v/>
      </c>
      <c r="V126">
        <f>IF($E126="open",SUM($ET126:$FE126)+N(Settings!$B$13),0)</f>
        <v/>
      </c>
      <c r="W126">
        <f>IF($E126="post",$S126,IF($E126="open",$S126-$V126,0))</f>
        <v/>
      </c>
      <c r="X126">
        <f>SUMIFS(Giving!$B$7:$B$2006,Giving!$A$7:$A$2006,"&gt;="&amp;$A126,Giving!$A$7:$A$2006,"&lt;="&amp;$B126,Giving!$E$7:$E$2006,"&lt;&gt;No")</f>
        <v/>
      </c>
      <c r="Y126">
        <f>SUMIFS(Giving!$B$7:$B$2006,Giving!$A$7:$A$2006,"&gt;="&amp;$A126,Giving!$A$7:$A$2006,"&lt;="&amp;$B126,Giving!$E$7:$E$2006,"No")</f>
        <v/>
      </c>
      <c r="Z126">
        <f>IF(OR(Settings!$B$60="",Settings!$F$60="No"),0,Settings!$B$60*IF(AND(IF(Settings!$C$60="",$B126,DATE(YEAR($A126),MONTH($A126),MIN(Settings!$C$60,DAY($B126))))&gt;=MAX($A126,Settings!$D$60),IF(Settings!$C$60="",$B126,DATE(YEAR($A126),MONTH($A126),MIN(Settings!$C$60,DAY($B126))))&lt;=MIN($C126,IF(Settings!$E$60="",$C126,Settings!$E$60))),1,0))+IF(OR(Settings!$B$61="",Settings!$F$61="No"),0,Settings!$B$61*IF(AND(IF(Settings!$C$61="",$B126,DATE(YEAR($A126),MONTH($A126),MIN(Settings!$C$61,DAY($B126))))&gt;=MAX($A126,Settings!$D$61),IF(Settings!$C$61="",$B126,DATE(YEAR($A126),MONTH($A126),MIN(Settings!$C$61,DAY($B126))))&lt;=MIN($C126,IF(Settings!$E$61="",$C126,Settings!$E$61))),1,0))+IF(OR(Settings!$B$62="",Settings!$F$62="No"),0,Settings!$B$62*IF(AND(IF(Settings!$C$62="",$B126,DATE(YEAR($A126),MONTH($A126),MIN(Settings!$C$62,DAY($B126))))&gt;=MAX($A126,Settings!$D$62),IF(Settings!$C$62="",$B126,DATE(YEAR($A126),MONTH($A126),MIN(Settings!$C$62,DAY($B126))))&lt;=MIN($C126,IF(Settings!$E$62="",$C126,Settings!$E$62))),1,0))+IF(OR(Settings!$B$63="",Settings!$F$63="No"),0,Settings!$B$63*IF(AND(IF(Settings!$C$63="",$B126,DATE(YEAR($A126),MONTH($A126),MIN(Settings!$C$63,DAY($B126))))&gt;=MAX($A126,Settings!$D$63),IF(Settings!$C$63="",$B126,DATE(YEAR($A126),MONTH($A126),MIN(Settings!$C$63,DAY($B126))))&lt;=MIN($C126,IF(Settings!$E$63="",$C126,Settings!$E$63))),1,0))+IF(OR(Settings!$B$64="",Settings!$F$64="No"),0,Settings!$B$64*IF(AND(IF(Settings!$C$64="",$B126,DATE(YEAR($A126),MONTH($A126),MIN(Settings!$C$64,DAY($B126))))&gt;=MAX($A126,Settings!$D$64),IF(Settings!$C$64="",$B126,DATE(YEAR($A126),MONTH($A126),MIN(Settings!$C$64,DAY($B126))))&lt;=MIN($C126,IF(Settings!$E$64="",$C126,Settings!$E$64))),1,0))+IF(OR(Settings!$B$65="",Settings!$F$65="No"),0,Settings!$B$65*IF(AND(IF(Settings!$C$65="",$B126,DATE(YEAR($A126),MONTH($A126),MIN(Settings!$C$65,DAY($B126))))&gt;=MAX($A126,Settings!$D$65),IF(Settings!$C$65="",$B126,DATE(YEAR($A126),MONTH($A126),MIN(Settings!$C$65,DAY($B126))))&lt;=MIN($C126,IF(Settings!$E$65="",$C126,Settings!$E$65))),1,0))</f>
        <v/>
      </c>
      <c r="AA126">
        <f>$X126+$Z126</f>
        <v/>
      </c>
      <c r="AB126">
        <f>IF($E126="post",$AA126,IF($E126="open",SUMIFS(Giving!$B$7:$B$2006,Giving!$A$7:$A$2006,"&gt;"&amp;Settings!$B$5,Giving!$A$7:$A$2006,"&lt;="&amp;$B126,Giving!$E$7:$E$2006,"&lt;&gt;No")+IF(OR(Settings!$B$60="",Settings!$F$60="No"),0,Settings!$B$60*IF(AND(IF(Settings!$C$60="",$B126,DATE(YEAR($A126),MONTH($A126),MIN(Settings!$C$60,DAY($B126))))&gt;=MAX($A126,Settings!$D$60,Settings!$B$5+1),IF(Settings!$C$60="",$B126,DATE(YEAR($A126),MONTH($A126),MIN(Settings!$C$60,DAY($B126))))&lt;=MIN($C126,IF(Settings!$E$60="",$C126,Settings!$E$60))),1,0))+IF(OR(Settings!$B$61="",Settings!$F$61="No"),0,Settings!$B$61*IF(AND(IF(Settings!$C$61="",$B126,DATE(YEAR($A126),MONTH($A126),MIN(Settings!$C$61,DAY($B126))))&gt;=MAX($A126,Settings!$D$61,Settings!$B$5+1),IF(Settings!$C$61="",$B126,DATE(YEAR($A126),MONTH($A126),MIN(Settings!$C$61,DAY($B126))))&lt;=MIN($C126,IF(Settings!$E$61="",$C126,Settings!$E$61))),1,0))+IF(OR(Settings!$B$62="",Settings!$F$62="No"),0,Settings!$B$62*IF(AND(IF(Settings!$C$62="",$B126,DATE(YEAR($A126),MONTH($A126),MIN(Settings!$C$62,DAY($B126))))&gt;=MAX($A126,Settings!$D$62,Settings!$B$5+1),IF(Settings!$C$62="",$B126,DATE(YEAR($A126),MONTH($A126),MIN(Settings!$C$62,DAY($B126))))&lt;=MIN($C126,IF(Settings!$E$62="",$C126,Settings!$E$62))),1,0))+IF(OR(Settings!$B$63="",Settings!$F$63="No"),0,Settings!$B$63*IF(AND(IF(Settings!$C$63="",$B126,DATE(YEAR($A126),MONTH($A126),MIN(Settings!$C$63,DAY($B126))))&gt;=MAX($A126,Settings!$D$63,Settings!$B$5+1),IF(Settings!$C$63="",$B126,DATE(YEAR($A126),MONTH($A126),MIN(Settings!$C$63,DAY($B126))))&lt;=MIN($C126,IF(Settings!$E$63="",$C126,Settings!$E$63))),1,0))+IF(OR(Settings!$B$64="",Settings!$F$64="No"),0,Settings!$B$64*IF(AND(IF(Settings!$C$64="",$B126,DATE(YEAR($A126),MONTH($A126),MIN(Settings!$C$64,DAY($B126))))&gt;=MAX($A126,Settings!$D$64,Settings!$B$5+1),IF(Settings!$C$64="",$B126,DATE(YEAR($A126),MONTH($A126),MIN(Settings!$C$64,DAY($B126))))&lt;=MIN($C126,IF(Settings!$E$64="",$C126,Settings!$E$64))),1,0))+IF(OR(Settings!$B$65="",Settings!$F$65="No"),0,Settings!$B$65*IF(AND(IF(Settings!$C$65="",$B126,DATE(YEAR($A126),MONTH($A126),MIN(Settings!$C$65,DAY($B126))))&gt;=MAX($A126,Settings!$D$65,Settings!$B$5+1),IF(Settings!$C$65="",$B126,DATE(YEAR($A126),MONTH($A126),MIN(Settings!$C$65,DAY($B126))))&lt;=MIN($C126,IF(Settings!$E$65="",$C126,Settings!$E$65))),1,0)),0))</f>
        <v/>
      </c>
      <c r="AC126">
        <f>$AY126+$AZ126+$BA126+$BB126+$BC126+$BD126</f>
        <v/>
      </c>
      <c r="AD126">
        <f>$AC126</f>
        <v/>
      </c>
      <c r="AE126">
        <f>IF(OR(Settings!$A$19="",$E126="pre"),"",IF(AND('Month-End'!$DS$7&lt;&gt;"",NOT(_xlfn.ISFORMULA('Month-End'!$DS$7))),N('Month-End'!$DS$7),IF(OR($E126="open",$E125="pre"),N(Settings!$C$19),N($AE125))))</f>
        <v/>
      </c>
      <c r="AF126">
        <f>IF(OR(Settings!$A$20="",$E126="pre"),"",IF(AND('Month-End'!$DS$8&lt;&gt;"",NOT(_xlfn.ISFORMULA('Month-End'!$DS$8))),N('Month-End'!$DS$8),IF(OR($E126="open",$E125="pre"),N(Settings!$C$20),N($AF125))))</f>
        <v/>
      </c>
      <c r="AG126">
        <f>IF(OR(Settings!$A$21="",$E126="pre"),"",IF(AND('Month-End'!$DS$9&lt;&gt;"",NOT(_xlfn.ISFORMULA('Month-End'!$DS$9))),N('Month-End'!$DS$9),IF(OR($E126="open",$E125="pre"),N(Settings!$C$21),N($AG125))))</f>
        <v/>
      </c>
      <c r="AH126">
        <f>IF(OR(Settings!$A$22="",$E126="pre"),"",IF(AND('Month-End'!$DS$10&lt;&gt;"",NOT(_xlfn.ISFORMULA('Month-End'!$DS$10))),N('Month-End'!$DS$10),IF(OR($E126="open",$E125="pre"),N(Settings!$C$22),N($AH125))))</f>
        <v/>
      </c>
      <c r="AI126">
        <f>IF(OR(Settings!$A$23="",$E126="pre"),"",IF(AND('Month-End'!$DS$11&lt;&gt;"",NOT(_xlfn.ISFORMULA('Month-End'!$DS$11))),N('Month-End'!$DS$11),IF(OR($E126="open",$E125="pre"),N(Settings!$C$23),N($AI125))))</f>
        <v/>
      </c>
      <c r="AJ126">
        <f>IF(OR(Settings!$A$24="",$E126="pre"),"",IF(AND('Month-End'!$DS$12&lt;&gt;"",NOT(_xlfn.ISFORMULA('Month-End'!$DS$12))),N('Month-End'!$DS$12),IF(OR($E126="open",$E125="pre"),N(Settings!$C$24),N($AJ125))))</f>
        <v/>
      </c>
      <c r="AK126">
        <f>IF(OR(Settings!$A$25="",$E126="pre"),"",IF(AND('Month-End'!$DS$13&lt;&gt;"",NOT(_xlfn.ISFORMULA('Month-End'!$DS$13))),N('Month-End'!$DS$13),IF(OR($E126="open",$E125="pre"),N(Settings!$C$25),N($AK125))))</f>
        <v/>
      </c>
      <c r="AL126">
        <f>IF(OR(Settings!$A$26="",$E126="pre"),"",IF(AND('Month-End'!$DS$14&lt;&gt;"",NOT(_xlfn.ISFORMULA('Month-End'!$DS$14))),N('Month-End'!$DS$14),IF(OR($E126="open",$E125="pre"),N(Settings!$C$26),N($AL125))))</f>
        <v/>
      </c>
      <c r="AM126">
        <f>IF(OR(Settings!$A$27="",$E126="pre"),"",IF(AND('Month-End'!$DS$15&lt;&gt;"",NOT(_xlfn.ISFORMULA('Month-End'!$DS$15))),N('Month-End'!$DS$15),IF(OR($E126="open",$E125="pre"),N(Settings!$C$27),N($AM125))))</f>
        <v/>
      </c>
      <c r="AN126">
        <f>IF(OR(Settings!$A$28="",$E126="pre"),"",IF(AND('Month-End'!$DS$16&lt;&gt;"",NOT(_xlfn.ISFORMULA('Month-End'!$DS$16))),N('Month-End'!$DS$16),IF(OR($E126="open",$E125="pre"),N(Settings!$C$28),N($AN125))))</f>
        <v/>
      </c>
      <c r="AO126">
        <f>IF(OR(Settings!$A$29="",$E126="pre"),"",IF(AND('Month-End'!$DS$17&lt;&gt;"",NOT(_xlfn.ISFORMULA('Month-End'!$DS$17))),N('Month-End'!$DS$17),IF(OR($E126="open",$E125="pre"),N(Settings!$C$29),N($AO125))))</f>
        <v/>
      </c>
      <c r="AP126">
        <f>IF(OR(Settings!$A$30="",$E126="pre"),"",IF(AND('Month-End'!$DS$18&lt;&gt;"",NOT(_xlfn.ISFORMULA('Month-End'!$DS$18))),N('Month-End'!$DS$18),IF(OR($E126="open",$E125="pre"),N(Settings!$C$30),N($AP125))))</f>
        <v/>
      </c>
      <c r="AQ126">
        <f>IF(OR(Settings!$A$31="",$E126="pre"),"",IF(AND('Month-End'!$DS$19&lt;&gt;"",NOT(_xlfn.ISFORMULA('Month-End'!$DS$19))),N('Month-End'!$DS$19),IF(OR($E126="open",$E125="pre"),N(Settings!$C$31),N($AQ125))))</f>
        <v/>
      </c>
      <c r="AR126">
        <f>IF(OR(Settings!$A$32="",$E126="pre"),"",IF(AND('Month-End'!$DS$20&lt;&gt;"",NOT(_xlfn.ISFORMULA('Month-End'!$DS$20))),N('Month-End'!$DS$20),IF(OR($E126="open",$E125="pre"),N(Settings!$C$32),N($AR125))))</f>
        <v/>
      </c>
      <c r="AS126">
        <f>IF(OR(Settings!$A$36="",$E126="pre"),"",IF(AND('Month-End'!$DS$38&lt;&gt;"",NOT(_xlfn.ISFORMULA('Month-End'!$DS$38))),N('Month-End'!$DS$38),IF(OR($E126="open",$E125="pre"),N(Settings!$C$36),N($AS125))+$AY126))</f>
        <v/>
      </c>
      <c r="AT126">
        <f>IF(OR(Settings!$A$37="",$E126="pre"),"",IF(AND('Month-End'!$DS$39&lt;&gt;"",NOT(_xlfn.ISFORMULA('Month-End'!$DS$39))),N('Month-End'!$DS$39),IF(OR($E126="open",$E125="pre"),N(Settings!$C$37),N($AT125))+$AZ126))</f>
        <v/>
      </c>
      <c r="AU126">
        <f>IF(OR(Settings!$A$38="",$E126="pre"),"",IF(AND('Month-End'!$DS$40&lt;&gt;"",NOT(_xlfn.ISFORMULA('Month-End'!$DS$40))),N('Month-End'!$DS$40),IF(OR($E126="open",$E125="pre"),N(Settings!$C$38),N($AU125))+$BA126))</f>
        <v/>
      </c>
      <c r="AV126">
        <f>IF(OR(Settings!$A$39="",$E126="pre"),"",IF(AND('Month-End'!$DS$41&lt;&gt;"",NOT(_xlfn.ISFORMULA('Month-End'!$DS$41))),N('Month-End'!$DS$41),IF(OR($E126="open",$E125="pre"),N(Settings!$C$39),N($AV125))+$BB126))</f>
        <v/>
      </c>
      <c r="AW126">
        <f>IF(OR(Settings!$A$40="",$E126="pre"),"",IF(AND('Month-End'!$DS$42&lt;&gt;"",NOT(_xlfn.ISFORMULA('Month-End'!$DS$42))),N('Month-End'!$DS$42),IF(OR($E126="open",$E125="pre"),N(Settings!$C$40),N($AW125))+$BC126))</f>
        <v/>
      </c>
      <c r="AX126">
        <f>IF(OR(Settings!$A$41="",$E126="pre"),"",IF(AND('Month-End'!$DS$43&lt;&gt;"",NOT(_xlfn.ISFORMULA('Month-End'!$DS$43))),N('Month-End'!$DS$43),IF(OR($E126="open",$E125="pre"),N(Settings!$C$41),N($AX125))+$BD126))</f>
        <v/>
      </c>
      <c r="AY126">
        <f>IF($E126="pre",0,N('Month-End'!$DS$45))</f>
        <v/>
      </c>
      <c r="AZ126">
        <f>IF($E126="pre",0,N('Month-End'!$DS$46))</f>
        <v/>
      </c>
      <c r="BA126">
        <f>IF($E126="pre",0,N('Month-End'!$DS$47))</f>
        <v/>
      </c>
      <c r="BB126">
        <f>IF($E126="pre",0,N('Month-End'!$DS$48))</f>
        <v/>
      </c>
      <c r="BC126">
        <f>IF($E126="pre",0,N('Month-End'!$DS$49))</f>
        <v/>
      </c>
      <c r="BD126">
        <f>IF($E126="pre",0,N('Month-End'!$DS$50))</f>
        <v/>
      </c>
      <c r="BE126">
        <f>IF(OR(Settings!$C$45="",Settings!$D$45=""),0,Settings!$C$45*IF(Settings!$D$45="Weekly",IF(IFERROR(MATCH(Settings!$E$45,$EO$4:$EO$10,0),0)=0,0,IF(MIN($C126,IF(Settings!$G$45="",$C126,Settings!$G$45))&lt;MAX($A126,Settings!$F$45),0,INT((MIN($C126,IF(Settings!$G$45="",$C126,Settings!$G$45))-MAX($A126,Settings!$F$45)-MOD(IFERROR(MATCH(Settings!$E$45,$EO$4:$EO$10,0),0)-WEEKDAY(MAX($A126,Settings!$F$45)),7))/7)+1)),IF(AND(IF(Settings!$E$45="",$B126,DATE(YEAR($A126),MONTH($A126),MIN(Settings!$E$45,DAY($B126))))&gt;=MAX($A126,Settings!$F$45),IF(Settings!$E$45="",$B126,DATE(YEAR($A126),MONTH($A126),MIN(Settings!$E$45,DAY($B126))))&lt;=MIN($C126,IF(Settings!$G$45="",$C126,Settings!$G$45))),1,0)))</f>
        <v/>
      </c>
      <c r="BF126">
        <f>IF(OR(Settings!$C$46="",Settings!$D$46=""),0,Settings!$C$46*IF(Settings!$D$46="Weekly",IF(IFERROR(MATCH(Settings!$E$46,$EO$4:$EO$10,0),0)=0,0,IF(MIN($C126,IF(Settings!$G$46="",$C126,Settings!$G$46))&lt;MAX($A126,Settings!$F$46),0,INT((MIN($C126,IF(Settings!$G$46="",$C126,Settings!$G$46))-MAX($A126,Settings!$F$46)-MOD(IFERROR(MATCH(Settings!$E$46,$EO$4:$EO$10,0),0)-WEEKDAY(MAX($A126,Settings!$F$46)),7))/7)+1)),IF(AND(IF(Settings!$E$46="",$B126,DATE(YEAR($A126),MONTH($A126),MIN(Settings!$E$46,DAY($B126))))&gt;=MAX($A126,Settings!$F$46),IF(Settings!$E$46="",$B126,DATE(YEAR($A126),MONTH($A126),MIN(Settings!$E$46,DAY($B126))))&lt;=MIN($C126,IF(Settings!$G$46="",$C126,Settings!$G$46))),1,0)))</f>
        <v/>
      </c>
      <c r="BG126">
        <f>IF(OR(Settings!$C$47="",Settings!$D$47=""),0,Settings!$C$47*IF(Settings!$D$47="Weekly",IF(IFERROR(MATCH(Settings!$E$47,$EO$4:$EO$10,0),0)=0,0,IF(MIN($C126,IF(Settings!$G$47="",$C126,Settings!$G$47))&lt;MAX($A126,Settings!$F$47),0,INT((MIN($C126,IF(Settings!$G$47="",$C126,Settings!$G$47))-MAX($A126,Settings!$F$47)-MOD(IFERROR(MATCH(Settings!$E$47,$EO$4:$EO$10,0),0)-WEEKDAY(MAX($A126,Settings!$F$47)),7))/7)+1)),IF(AND(IF(Settings!$E$47="",$B126,DATE(YEAR($A126),MONTH($A126),MIN(Settings!$E$47,DAY($B126))))&gt;=MAX($A126,Settings!$F$47),IF(Settings!$E$47="",$B126,DATE(YEAR($A126),MONTH($A126),MIN(Settings!$E$47,DAY($B126))))&lt;=MIN($C126,IF(Settings!$G$47="",$C126,Settings!$G$47))),1,0)))</f>
        <v/>
      </c>
      <c r="BH126">
        <f>IF(OR(Settings!$C$48="",Settings!$D$48=""),0,Settings!$C$48*IF(Settings!$D$48="Weekly",IF(IFERROR(MATCH(Settings!$E$48,$EO$4:$EO$10,0),0)=0,0,IF(MIN($C126,IF(Settings!$G$48="",$C126,Settings!$G$48))&lt;MAX($A126,Settings!$F$48),0,INT((MIN($C126,IF(Settings!$G$48="",$C126,Settings!$G$48))-MAX($A126,Settings!$F$48)-MOD(IFERROR(MATCH(Settings!$E$48,$EO$4:$EO$10,0),0)-WEEKDAY(MAX($A126,Settings!$F$48)),7))/7)+1)),IF(AND(IF(Settings!$E$48="",$B126,DATE(YEAR($A126),MONTH($A126),MIN(Settings!$E$48,DAY($B126))))&gt;=MAX($A126,Settings!$F$48),IF(Settings!$E$48="",$B126,DATE(YEAR($A126),MONTH($A126),MIN(Settings!$E$48,DAY($B126))))&lt;=MIN($C126,IF(Settings!$G$48="",$C126,Settings!$G$48))),1,0)))</f>
        <v/>
      </c>
      <c r="BI126">
        <f>IF(OR(Settings!$C$49="",Settings!$D$49=""),0,Settings!$C$49*IF(Settings!$D$49="Weekly",IF(IFERROR(MATCH(Settings!$E$49,$EO$4:$EO$10,0),0)=0,0,IF(MIN($C126,IF(Settings!$G$49="",$C126,Settings!$G$49))&lt;MAX($A126,Settings!$F$49),0,INT((MIN($C126,IF(Settings!$G$49="",$C126,Settings!$G$49))-MAX($A126,Settings!$F$49)-MOD(IFERROR(MATCH(Settings!$E$49,$EO$4:$EO$10,0),0)-WEEKDAY(MAX($A126,Settings!$F$49)),7))/7)+1)),IF(AND(IF(Settings!$E$49="",$B126,DATE(YEAR($A126),MONTH($A126),MIN(Settings!$E$49,DAY($B126))))&gt;=MAX($A126,Settings!$F$49),IF(Settings!$E$49="",$B126,DATE(YEAR($A126),MONTH($A126),MIN(Settings!$E$49,DAY($B126))))&lt;=MIN($C126,IF(Settings!$G$49="",$C126,Settings!$G$49))),1,0)))</f>
        <v/>
      </c>
      <c r="BJ126">
        <f>IF(OR(Settings!$C$50="",Settings!$D$50=""),0,Settings!$C$50*IF(Settings!$D$50="Weekly",IF(IFERROR(MATCH(Settings!$E$50,$EO$4:$EO$10,0),0)=0,0,IF(MIN($C126,IF(Settings!$G$50="",$C126,Settings!$G$50))&lt;MAX($A126,Settings!$F$50),0,INT((MIN($C126,IF(Settings!$G$50="",$C126,Settings!$G$50))-MAX($A126,Settings!$F$50)-MOD(IFERROR(MATCH(Settings!$E$50,$EO$4:$EO$10,0),0)-WEEKDAY(MAX($A126,Settings!$F$50)),7))/7)+1)),IF(AND(IF(Settings!$E$50="",$B126,DATE(YEAR($A126),MONTH($A126),MIN(Settings!$E$50,DAY($B126))))&gt;=MAX($A126,Settings!$F$50),IF(Settings!$E$50="",$B126,DATE(YEAR($A126),MONTH($A126),MIN(Settings!$E$50,DAY($B126))))&lt;=MIN($C126,IF(Settings!$G$50="",$C126,Settings!$G$50))),1,0)))</f>
        <v/>
      </c>
      <c r="BK126">
        <f>IF(OR(Settings!$C$51="",Settings!$D$51=""),0,Settings!$C$51*IF(Settings!$D$51="Weekly",IF(IFERROR(MATCH(Settings!$E$51,$EO$4:$EO$10,0),0)=0,0,IF(MIN($C126,IF(Settings!$G$51="",$C126,Settings!$G$51))&lt;MAX($A126,Settings!$F$51),0,INT((MIN($C126,IF(Settings!$G$51="",$C126,Settings!$G$51))-MAX($A126,Settings!$F$51)-MOD(IFERROR(MATCH(Settings!$E$51,$EO$4:$EO$10,0),0)-WEEKDAY(MAX($A126,Settings!$F$51)),7))/7)+1)),IF(AND(IF(Settings!$E$51="",$B126,DATE(YEAR($A126),MONTH($A126),MIN(Settings!$E$51,DAY($B126))))&gt;=MAX($A126,Settings!$F$51),IF(Settings!$E$51="",$B126,DATE(YEAR($A126),MONTH($A126),MIN(Settings!$E$51,DAY($B126))))&lt;=MIN($C126,IF(Settings!$G$51="",$C126,Settings!$G$51))),1,0)))</f>
        <v/>
      </c>
      <c r="BL126">
        <f>IF(OR(Settings!$C$52="",Settings!$D$52=""),0,Settings!$C$52*IF(Settings!$D$52="Weekly",IF(IFERROR(MATCH(Settings!$E$52,$EO$4:$EO$10,0),0)=0,0,IF(MIN($C126,IF(Settings!$G$52="",$C126,Settings!$G$52))&lt;MAX($A126,Settings!$F$52),0,INT((MIN($C126,IF(Settings!$G$52="",$C126,Settings!$G$52))-MAX($A126,Settings!$F$52)-MOD(IFERROR(MATCH(Settings!$E$52,$EO$4:$EO$10,0),0)-WEEKDAY(MAX($A126,Settings!$F$52)),7))/7)+1)),IF(AND(IF(Settings!$E$52="",$B126,DATE(YEAR($A126),MONTH($A126),MIN(Settings!$E$52,DAY($B126))))&gt;=MAX($A126,Settings!$F$52),IF(Settings!$E$52="",$B126,DATE(YEAR($A126),MONTH($A126),MIN(Settings!$E$52,DAY($B126))))&lt;=MIN($C126,IF(Settings!$G$52="",$C126,Settings!$G$52))),1,0)))</f>
        <v/>
      </c>
      <c r="BM126">
        <f>IF(OR(Settings!$C$53="",Settings!$D$53=""),0,Settings!$C$53*IF(Settings!$D$53="Weekly",IF(IFERROR(MATCH(Settings!$E$53,$EO$4:$EO$10,0),0)=0,0,IF(MIN($C126,IF(Settings!$G$53="",$C126,Settings!$G$53))&lt;MAX($A126,Settings!$F$53),0,INT((MIN($C126,IF(Settings!$G$53="",$C126,Settings!$G$53))-MAX($A126,Settings!$F$53)-MOD(IFERROR(MATCH(Settings!$E$53,$EO$4:$EO$10,0),0)-WEEKDAY(MAX($A126,Settings!$F$53)),7))/7)+1)),IF(AND(IF(Settings!$E$53="",$B126,DATE(YEAR($A126),MONTH($A126),MIN(Settings!$E$53,DAY($B126))))&gt;=MAX($A126,Settings!$F$53),IF(Settings!$E$53="",$B126,DATE(YEAR($A126),MONTH($A126),MIN(Settings!$E$53,DAY($B126))))&lt;=MIN($C126,IF(Settings!$G$53="",$C126,Settings!$G$53))),1,0)))</f>
        <v/>
      </c>
      <c r="BN126">
        <f>IF(OR(Settings!$C$54="",Settings!$D$54=""),0,Settings!$C$54*IF(Settings!$D$54="Weekly",IF(IFERROR(MATCH(Settings!$E$54,$EO$4:$EO$10,0),0)=0,0,IF(MIN($C126,IF(Settings!$G$54="",$C126,Settings!$G$54))&lt;MAX($A126,Settings!$F$54),0,INT((MIN($C126,IF(Settings!$G$54="",$C126,Settings!$G$54))-MAX($A126,Settings!$F$54)-MOD(IFERROR(MATCH(Settings!$E$54,$EO$4:$EO$10,0),0)-WEEKDAY(MAX($A126,Settings!$F$54)),7))/7)+1)),IF(AND(IF(Settings!$E$54="",$B126,DATE(YEAR($A126),MONTH($A126),MIN(Settings!$E$54,DAY($B126))))&gt;=MAX($A126,Settings!$F$54),IF(Settings!$E$54="",$B126,DATE(YEAR($A126),MONTH($A126),MIN(Settings!$E$54,DAY($B126))))&lt;=MIN($C126,IF(Settings!$G$54="",$C126,Settings!$G$54))),1,0)))</f>
        <v/>
      </c>
      <c r="BO126">
        <f>IF(OR(Settings!$C$55="",Settings!$D$55=""),0,Settings!$C$55*IF(Settings!$D$55="Weekly",IF(IFERROR(MATCH(Settings!$E$55,$EO$4:$EO$10,0),0)=0,0,IF(MIN($C126,IF(Settings!$G$55="",$C126,Settings!$G$55))&lt;MAX($A126,Settings!$F$55),0,INT((MIN($C126,IF(Settings!$G$55="",$C126,Settings!$G$55))-MAX($A126,Settings!$F$55)-MOD(IFERROR(MATCH(Settings!$E$55,$EO$4:$EO$10,0),0)-WEEKDAY(MAX($A126,Settings!$F$55)),7))/7)+1)),IF(AND(IF(Settings!$E$55="",$B126,DATE(YEAR($A126),MONTH($A126),MIN(Settings!$E$55,DAY($B126))))&gt;=MAX($A126,Settings!$F$55),IF(Settings!$E$55="",$B126,DATE(YEAR($A126),MONTH($A126),MIN(Settings!$E$55,DAY($B126))))&lt;=MIN($C126,IF(Settings!$G$55="",$C126,Settings!$G$55))),1,0)))</f>
        <v/>
      </c>
      <c r="BP126">
        <f>IF(OR(Settings!$C$56="",Settings!$D$56=""),0,Settings!$C$56*IF(Settings!$D$56="Weekly",IF(IFERROR(MATCH(Settings!$E$56,$EO$4:$EO$10,0),0)=0,0,IF(MIN($C126,IF(Settings!$G$56="",$C126,Settings!$G$56))&lt;MAX($A126,Settings!$F$56),0,INT((MIN($C126,IF(Settings!$G$56="",$C126,Settings!$G$56))-MAX($A126,Settings!$F$56)-MOD(IFERROR(MATCH(Settings!$E$56,$EO$4:$EO$10,0),0)-WEEKDAY(MAX($A126,Settings!$F$56)),7))/7)+1)),IF(AND(IF(Settings!$E$56="",$B126,DATE(YEAR($A126),MONTH($A126),MIN(Settings!$E$56,DAY($B126))))&gt;=MAX($A126,Settings!$F$56),IF(Settings!$E$56="",$B126,DATE(YEAR($A126),MONTH($A126),MIN(Settings!$E$56,DAY($B126))))&lt;=MIN($C126,IF(Settings!$G$56="",$C126,Settings!$G$56))),1,0)))</f>
        <v/>
      </c>
      <c r="BQ126">
        <f>IF(OR(Settings!$B$14="",$D126=1,$E126="pre",$A126&lt;IF(Settings!$B$15="",0,Settings!$B$15)),0,Settings!$B$14)</f>
        <v/>
      </c>
      <c r="BR126">
        <f>IF(AND('Month-End'!$DS$7&lt;&gt;"",NOT(_xlfn.ISFORMULA('Month-End'!$DS$7))),1,0)</f>
        <v/>
      </c>
      <c r="BS126">
        <f>IF(AND('Month-End'!$DS$8&lt;&gt;"",NOT(_xlfn.ISFORMULA('Month-End'!$DS$8))),1,0)</f>
        <v/>
      </c>
      <c r="BT126">
        <f>IF(AND('Month-End'!$DS$9&lt;&gt;"",NOT(_xlfn.ISFORMULA('Month-End'!$DS$9))),1,0)</f>
        <v/>
      </c>
      <c r="BU126">
        <f>IF(AND('Month-End'!$DS$10&lt;&gt;"",NOT(_xlfn.ISFORMULA('Month-End'!$DS$10))),1,0)</f>
        <v/>
      </c>
      <c r="BV126">
        <f>IF(AND('Month-End'!$DS$11&lt;&gt;"",NOT(_xlfn.ISFORMULA('Month-End'!$DS$11))),1,0)</f>
        <v/>
      </c>
      <c r="BW126">
        <f>IF(AND('Month-End'!$DS$12&lt;&gt;"",NOT(_xlfn.ISFORMULA('Month-End'!$DS$12))),1,0)</f>
        <v/>
      </c>
      <c r="BX126">
        <f>IF(AND('Month-End'!$DS$13&lt;&gt;"",NOT(_xlfn.ISFORMULA('Month-End'!$DS$13))),1,0)</f>
        <v/>
      </c>
      <c r="BY126">
        <f>IF(AND('Month-End'!$DS$14&lt;&gt;"",NOT(_xlfn.ISFORMULA('Month-End'!$DS$14))),1,0)</f>
        <v/>
      </c>
      <c r="BZ126">
        <f>IF(AND('Month-End'!$DS$15&lt;&gt;"",NOT(_xlfn.ISFORMULA('Month-End'!$DS$15))),1,0)</f>
        <v/>
      </c>
      <c r="CA126">
        <f>IF(AND('Month-End'!$DS$16&lt;&gt;"",NOT(_xlfn.ISFORMULA('Month-End'!$DS$16))),1,0)</f>
        <v/>
      </c>
      <c r="CB126">
        <f>IF(AND('Month-End'!$DS$17&lt;&gt;"",NOT(_xlfn.ISFORMULA('Month-End'!$DS$17))),1,0)</f>
        <v/>
      </c>
      <c r="CC126">
        <f>IF(AND('Month-End'!$DS$18&lt;&gt;"",NOT(_xlfn.ISFORMULA('Month-End'!$DS$18))),1,0)</f>
        <v/>
      </c>
      <c r="CD126">
        <f>IF(AND('Month-End'!$DS$19&lt;&gt;"",NOT(_xlfn.ISFORMULA('Month-End'!$DS$19))),1,0)</f>
        <v/>
      </c>
      <c r="CE126">
        <f>IF(AND('Month-End'!$DS$20&lt;&gt;"",NOT(_xlfn.ISFORMULA('Month-End'!$DS$20))),1,0)</f>
        <v/>
      </c>
      <c r="CF126">
        <f>IF(AND('Month-End'!$DS$38&lt;&gt;"",NOT(_xlfn.ISFORMULA('Month-End'!$DS$38))),1,0)</f>
        <v/>
      </c>
      <c r="CG126">
        <f>IF(AND('Month-End'!$DS$39&lt;&gt;"",NOT(_xlfn.ISFORMULA('Month-End'!$DS$39))),1,0)</f>
        <v/>
      </c>
      <c r="CH126">
        <f>IF(AND('Month-End'!$DS$40&lt;&gt;"",NOT(_xlfn.ISFORMULA('Month-End'!$DS$40))),1,0)</f>
        <v/>
      </c>
      <c r="CI126">
        <f>IF(AND('Month-End'!$DS$41&lt;&gt;"",NOT(_xlfn.ISFORMULA('Month-End'!$DS$41))),1,0)</f>
        <v/>
      </c>
      <c r="CJ126">
        <f>IF(AND('Month-End'!$DS$42&lt;&gt;"",NOT(_xlfn.ISFORMULA('Month-End'!$DS$42))),1,0)</f>
        <v/>
      </c>
      <c r="CK126">
        <f>IF(AND('Month-End'!$DS$43&lt;&gt;"",NOT(_xlfn.ISFORMULA('Month-End'!$DS$43))),1,0)</f>
        <v/>
      </c>
      <c r="CL126">
        <f>SUM($CM126:$CZ126)</f>
        <v/>
      </c>
      <c r="CM126">
        <f>IF(AND($E126&lt;&gt;"pre",AND(Settings!$A$19&lt;&gt;"",Settings!$E$19&lt;&gt;"No"),Settings!$F$19="Yes",NOT(AND('Month-End'!$DS$7&lt;&gt;"",NOT(_xlfn.ISFORMULA('Month-End'!$DS$7))))),1,0)</f>
        <v/>
      </c>
      <c r="CN126">
        <f>IF(AND($E126&lt;&gt;"pre",AND(Settings!$A$20&lt;&gt;"",Settings!$E$20&lt;&gt;"No"),Settings!$F$20="Yes",NOT(AND('Month-End'!$DS$8&lt;&gt;"",NOT(_xlfn.ISFORMULA('Month-End'!$DS$8))))),1,0)</f>
        <v/>
      </c>
      <c r="CO126">
        <f>IF(AND($E126&lt;&gt;"pre",AND(Settings!$A$21&lt;&gt;"",Settings!$E$21&lt;&gt;"No"),Settings!$F$21="Yes",NOT(AND('Month-End'!$DS$9&lt;&gt;"",NOT(_xlfn.ISFORMULA('Month-End'!$DS$9))))),1,0)</f>
        <v/>
      </c>
      <c r="CP126">
        <f>IF(AND($E126&lt;&gt;"pre",AND(Settings!$A$22&lt;&gt;"",Settings!$E$22&lt;&gt;"No"),Settings!$F$22="Yes",NOT(AND('Month-End'!$DS$10&lt;&gt;"",NOT(_xlfn.ISFORMULA('Month-End'!$DS$10))))),1,0)</f>
        <v/>
      </c>
      <c r="CQ126">
        <f>IF(AND($E126&lt;&gt;"pre",AND(Settings!$A$23&lt;&gt;"",Settings!$E$23&lt;&gt;"No"),Settings!$F$23="Yes",NOT(AND('Month-End'!$DS$11&lt;&gt;"",NOT(_xlfn.ISFORMULA('Month-End'!$DS$11))))),1,0)</f>
        <v/>
      </c>
      <c r="CR126">
        <f>IF(AND($E126&lt;&gt;"pre",AND(Settings!$A$24&lt;&gt;"",Settings!$E$24&lt;&gt;"No"),Settings!$F$24="Yes",NOT(AND('Month-End'!$DS$12&lt;&gt;"",NOT(_xlfn.ISFORMULA('Month-End'!$DS$12))))),1,0)</f>
        <v/>
      </c>
      <c r="CS126">
        <f>IF(AND($E126&lt;&gt;"pre",AND(Settings!$A$25&lt;&gt;"",Settings!$E$25&lt;&gt;"No"),Settings!$F$25="Yes",NOT(AND('Month-End'!$DS$13&lt;&gt;"",NOT(_xlfn.ISFORMULA('Month-End'!$DS$13))))),1,0)</f>
        <v/>
      </c>
      <c r="CT126">
        <f>IF(AND($E126&lt;&gt;"pre",AND(Settings!$A$26&lt;&gt;"",Settings!$E$26&lt;&gt;"No"),Settings!$F$26="Yes",NOT(AND('Month-End'!$DS$14&lt;&gt;"",NOT(_xlfn.ISFORMULA('Month-End'!$DS$14))))),1,0)</f>
        <v/>
      </c>
      <c r="CU126">
        <f>IF(AND($E126&lt;&gt;"pre",AND(Settings!$A$27&lt;&gt;"",Settings!$E$27&lt;&gt;"No"),Settings!$F$27="Yes",NOT(AND('Month-End'!$DS$15&lt;&gt;"",NOT(_xlfn.ISFORMULA('Month-End'!$DS$15))))),1,0)</f>
        <v/>
      </c>
      <c r="CV126">
        <f>IF(AND($E126&lt;&gt;"pre",AND(Settings!$A$28&lt;&gt;"",Settings!$E$28&lt;&gt;"No"),Settings!$F$28="Yes",NOT(AND('Month-End'!$DS$16&lt;&gt;"",NOT(_xlfn.ISFORMULA('Month-End'!$DS$16))))),1,0)</f>
        <v/>
      </c>
      <c r="CW126">
        <f>IF(AND($E126&lt;&gt;"pre",AND(Settings!$A$29&lt;&gt;"",Settings!$E$29&lt;&gt;"No"),Settings!$F$29="Yes",NOT(AND('Month-End'!$DS$17&lt;&gt;"",NOT(_xlfn.ISFORMULA('Month-End'!$DS$17))))),1,0)</f>
        <v/>
      </c>
      <c r="CX126">
        <f>IF(AND($E126&lt;&gt;"pre",AND(Settings!$A$30&lt;&gt;"",Settings!$E$30&lt;&gt;"No"),Settings!$F$30="Yes",NOT(AND('Month-End'!$DS$18&lt;&gt;"",NOT(_xlfn.ISFORMULA('Month-End'!$DS$18))))),1,0)</f>
        <v/>
      </c>
      <c r="CY126">
        <f>IF(AND($E126&lt;&gt;"pre",AND(Settings!$A$31&lt;&gt;"",Settings!$E$31&lt;&gt;"No"),Settings!$F$31="Yes",NOT(AND('Month-End'!$DS$19&lt;&gt;"",NOT(_xlfn.ISFORMULA('Month-End'!$DS$19))))),1,0)</f>
        <v/>
      </c>
      <c r="CZ126">
        <f>IF(AND($E126&lt;&gt;"pre",AND(Settings!$A$32&lt;&gt;"",Settings!$E$32&lt;&gt;"No"),Settings!$F$32="Yes",NOT(AND('Month-End'!$DS$20&lt;&gt;"",NOT(_xlfn.ISFORMULA('Month-End'!$DS$20))))),1,0)</f>
        <v/>
      </c>
      <c r="DA126">
        <f>IF($DT126=1,IF(OR(Settings!$B$19="Checking",Settings!$B$19="Savings",Settings!$B$19="Cash"),N($AE126),IF(OR(Settings!$B$19="Card",Settings!$B$19="Loan"),-N($AE126),0))+IF(OR(Settings!$B$20="Checking",Settings!$B$20="Savings",Settings!$B$20="Cash"),N($AF126),IF(OR(Settings!$B$20="Card",Settings!$B$20="Loan"),-N($AF126),0))+IF(OR(Settings!$B$21="Checking",Settings!$B$21="Savings",Settings!$B$21="Cash"),N($AG126),IF(OR(Settings!$B$21="Card",Settings!$B$21="Loan"),-N($AG126),0))+IF(OR(Settings!$B$22="Checking",Settings!$B$22="Savings",Settings!$B$22="Cash"),N($AH126),IF(OR(Settings!$B$22="Card",Settings!$B$22="Loan"),-N($AH126),0))+IF(OR(Settings!$B$23="Checking",Settings!$B$23="Savings",Settings!$B$23="Cash"),N($AI126),IF(OR(Settings!$B$23="Card",Settings!$B$23="Loan"),-N($AI126),0))+IF(OR(Settings!$B$24="Checking",Settings!$B$24="Savings",Settings!$B$24="Cash"),N($AJ126),IF(OR(Settings!$B$24="Card",Settings!$B$24="Loan"),-N($AJ126),0))+IF(OR(Settings!$B$25="Checking",Settings!$B$25="Savings",Settings!$B$25="Cash"),N($AK126),IF(OR(Settings!$B$25="Card",Settings!$B$25="Loan"),-N($AK126),0))+IF(OR(Settings!$B$26="Checking",Settings!$B$26="Savings",Settings!$B$26="Cash"),N($AL126),IF(OR(Settings!$B$26="Card",Settings!$B$26="Loan"),-N($AL126),0))+IF(OR(Settings!$B$27="Checking",Settings!$B$27="Savings",Settings!$B$27="Cash"),N($AM126),IF(OR(Settings!$B$27="Card",Settings!$B$27="Loan"),-N($AM126),0))+IF(OR(Settings!$B$28="Checking",Settings!$B$28="Savings",Settings!$B$28="Cash"),N($AN126),IF(OR(Settings!$B$28="Card",Settings!$B$28="Loan"),-N($AN126),0))+IF(OR(Settings!$B$29="Checking",Settings!$B$29="Savings",Settings!$B$29="Cash"),N($AO126),IF(OR(Settings!$B$29="Card",Settings!$B$29="Loan"),-N($AO126),0))+IF(OR(Settings!$B$30="Checking",Settings!$B$30="Savings",Settings!$B$30="Cash"),N($AP126),IF(OR(Settings!$B$30="Card",Settings!$B$30="Loan"),-N($AP126),0))+IF(OR(Settings!$B$31="Checking",Settings!$B$31="Savings",Settings!$B$31="Cash"),N($AQ126),IF(OR(Settings!$B$31="Card",Settings!$B$31="Loan"),-N($AQ126),0))+IF(OR(Settings!$B$32="Checking",Settings!$B$32="Savings",Settings!$B$32="Cash"),N($AR126),IF(OR(Settings!$B$32="Card",Settings!$B$32="Loan"),-N($AR126),0)),"")</f>
        <v/>
      </c>
      <c r="DB126">
        <f>IF($E126="open",$EB$27,IF($E126="post",IF($E125="pre",$EB$27,$DA125),""))</f>
        <v/>
      </c>
      <c r="DC126">
        <f>IF($E126="open",1,IF($E126="post",IF($E125="pre",1,$DT125),0))</f>
        <v/>
      </c>
      <c r="DD126">
        <f>IF(AND($DT126=1,$DC126=1),ROUND($W126-($DA126-$DB126)-$AD126-$AB126,2),"")</f>
        <v/>
      </c>
      <c r="DE126">
        <f>IF('Month-End'!$DS$35="",$BQ126,N('Month-End'!$DS$35))</f>
        <v/>
      </c>
      <c r="DF126">
        <f>N('Month-End'!$DS$36)</f>
        <v/>
      </c>
      <c r="DG126">
        <f>IF($DD126="","",$DD126+$DE126)</f>
        <v/>
      </c>
      <c r="DH126">
        <f>IF($DG126="","",$DG126-$DF126)</f>
        <v/>
      </c>
      <c r="DI126">
        <f>IF(OR($E126="pre",$D126=1),"",N($AS126)+N($AT126)+N($AU126)+N($AV126)+N($AW126)+N($AX126))</f>
        <v/>
      </c>
      <c r="DJ126">
        <f>IF($DT126=1,$DA126+N($DI126),"")</f>
        <v/>
      </c>
      <c r="DK126">
        <f>IF($DD126="","",$W126-$DD126-$AB126)</f>
        <v/>
      </c>
      <c r="DL126">
        <f>IF(AND($E126="post",$DD126&lt;&gt;"",$B126&lt;TODAY()),1,0)</f>
        <v/>
      </c>
      <c r="DM126">
        <f>IF($DL126=1,COUNTIF($DL126:$DL$183,1),0)</f>
        <v/>
      </c>
      <c r="DN126">
        <f>IF($D126=1,"",IF($E126="pre","History only",IF($DT126=1,IF($DD126="","⚠ Previous month missing",IF($DD126&lt;0,"⚠ Check: spending &lt; 0",IF($E126="open","✓ Done (partial)","✓ Done"))),IF($B126&gt;=TODAY(),"In progress","⚠ Needs balances"))))</f>
        <v/>
      </c>
      <c r="DO126">
        <f>YEAR($A126)</f>
        <v/>
      </c>
      <c r="DP126">
        <f>DATE(YEAR($A126),INT((MONTH($A126)-1)/3)*3+1,1)</f>
        <v/>
      </c>
      <c r="DQ126">
        <f>IF(AND($DT126=1,$DD126&lt;&gt;"",$D126=0),ROW(),0)</f>
        <v/>
      </c>
      <c r="DR126">
        <f>IF(AND($E126&lt;&gt;"pre",$B126&lt;TODAY(),$DT126=0),1,0)</f>
        <v/>
      </c>
      <c r="DS126">
        <f>IF($DJ126="",NA(),$DJ126)</f>
        <v/>
      </c>
      <c r="DT126">
        <f>IF(AND($E126&lt;&gt;"pre",$CL126=0,COUNTIFS(Settings!$F$19:$F$32,"Yes",Settings!$A$19:$A$32,"&lt;&gt;",Settings!$E$19:$E$32,"&lt;&gt;No")&gt;0),1,0)</f>
        <v/>
      </c>
      <c r="DU126">
        <f>IF(AND($B126&lt;TODAY(),$S126&gt;0),1,0)</f>
        <v/>
      </c>
      <c r="DV126">
        <f>IF($DU126=1,COUNTIF($DU126:$DU$183,1),0)</f>
        <v/>
      </c>
      <c r="DW126">
        <f>IF(AND(OR(Settings!$B$19="Card",Settings!$B$19="Loan"),AND('Month-End'!$DS$7&lt;&gt;"",NOT(_xlfn.ISFORMULA('Month-End'!$DS$7)))),IF(N('Month-End'!$DS$7)&lt;0,1,0),0)+IF(AND(OR(Settings!$B$20="Card",Settings!$B$20="Loan"),AND('Month-End'!$DS$8&lt;&gt;"",NOT(_xlfn.ISFORMULA('Month-End'!$DS$8)))),IF(N('Month-End'!$DS$8)&lt;0,1,0),0)+IF(AND(OR(Settings!$B$21="Card",Settings!$B$21="Loan"),AND('Month-End'!$DS$9&lt;&gt;"",NOT(_xlfn.ISFORMULA('Month-End'!$DS$9)))),IF(N('Month-End'!$DS$9)&lt;0,1,0),0)+IF(AND(OR(Settings!$B$22="Card",Settings!$B$22="Loan"),AND('Month-End'!$DS$10&lt;&gt;"",NOT(_xlfn.ISFORMULA('Month-End'!$DS$10)))),IF(N('Month-End'!$DS$10)&lt;0,1,0),0)+IF(AND(OR(Settings!$B$23="Card",Settings!$B$23="Loan"),AND('Month-End'!$DS$11&lt;&gt;"",NOT(_xlfn.ISFORMULA('Month-End'!$DS$11)))),IF(N('Month-End'!$DS$11)&lt;0,1,0),0)+IF(AND(OR(Settings!$B$24="Card",Settings!$B$24="Loan"),AND('Month-End'!$DS$12&lt;&gt;"",NOT(_xlfn.ISFORMULA('Month-End'!$DS$12)))),IF(N('Month-End'!$DS$12)&lt;0,1,0),0)+IF(AND(OR(Settings!$B$25="Card",Settings!$B$25="Loan"),AND('Month-End'!$DS$13&lt;&gt;"",NOT(_xlfn.ISFORMULA('Month-End'!$DS$13)))),IF(N('Month-End'!$DS$13)&lt;0,1,0),0)+IF(AND(OR(Settings!$B$26="Card",Settings!$B$26="Loan"),AND('Month-End'!$DS$14&lt;&gt;"",NOT(_xlfn.ISFORMULA('Month-End'!$DS$14)))),IF(N('Month-End'!$DS$14)&lt;0,1,0),0)+IF(AND(OR(Settings!$B$27="Card",Settings!$B$27="Loan"),AND('Month-End'!$DS$15&lt;&gt;"",NOT(_xlfn.ISFORMULA('Month-End'!$DS$15)))),IF(N('Month-End'!$DS$15)&lt;0,1,0),0)+IF(AND(OR(Settings!$B$28="Card",Settings!$B$28="Loan"),AND('Month-End'!$DS$16&lt;&gt;"",NOT(_xlfn.ISFORMULA('Month-End'!$DS$16)))),IF(N('Month-End'!$DS$16)&lt;0,1,0),0)+IF(AND(OR(Settings!$B$29="Card",Settings!$B$29="Loan"),AND('Month-End'!$DS$17&lt;&gt;"",NOT(_xlfn.ISFORMULA('Month-End'!$DS$17)))),IF(N('Month-End'!$DS$17)&lt;0,1,0),0)+IF(AND(OR(Settings!$B$30="Card",Settings!$B$30="Loan"),AND('Month-End'!$DS$18&lt;&gt;"",NOT(_xlfn.ISFORMULA('Month-End'!$DS$18)))),IF(N('Month-End'!$DS$18)&lt;0,1,0),0)+IF(AND(OR(Settings!$B$31="Card",Settings!$B$31="Loan"),AND('Month-End'!$DS$19&lt;&gt;"",NOT(_xlfn.ISFORMULA('Month-End'!$DS$19)))),IF(N('Month-End'!$DS$19)&lt;0,1,0),0)+IF(AND(OR(Settings!$B$32="Card",Settings!$B$32="Loan"),AND('Month-End'!$DS$20&lt;&gt;"",NOT(_xlfn.ISFORMULA('Month-End'!$DS$20)))),IF(N('Month-End'!$DS$20)&lt;0,1,0),0)</f>
        <v/>
      </c>
      <c r="DX126">
        <f>IF(Settings!$B$36="Retirement",$AY126,0)+IF(Settings!$B$37="Retirement",$AZ126,0)+IF(Settings!$B$38="Retirement",$BA126,0)+IF(Settings!$B$39="Retirement",$BB126,0)+IF(Settings!$B$40="Retirement",$BC126,0)+IF(Settings!$B$41="Retirement",$BD126,0)</f>
        <v/>
      </c>
      <c r="ET126">
        <f>IF($E126&lt;&gt;"open",0,IF(AND('Month-End'!$DS$22&lt;&gt;"",NOT(_xlfn.ISFORMULA('Month-End'!$DS$22))),0,IF(OR(Settings!$C$45="",Settings!$D$45=""),0,Settings!$C$45*IF(Settings!$D$45="Weekly",IF(IFERROR(MATCH(Settings!$E$45,$EO$4:$EO$10,0),0)=0,0,IF(MIN(Settings!$B$5,IF(Settings!$G$45="",Settings!$B$5,Settings!$G$45))&lt;MAX($A126,Settings!$F$45),0,INT((MIN(Settings!$B$5,IF(Settings!$G$45="",Settings!$B$5,Settings!$G$45))-MAX($A126,Settings!$F$45)-MOD(IFERROR(MATCH(Settings!$E$45,$EO$4:$EO$10,0),0)-WEEKDAY(MAX($A126,Settings!$F$45)),7))/7)+1)),IF(AND(IF(Settings!$E$45="",$B126,DATE(YEAR($A126),MONTH($A126),MIN(Settings!$E$45,DAY($B126))))&gt;=MAX($A126,Settings!$F$45),IF(Settings!$E$45="",$B126,DATE(YEAR($A126),MONTH($A126),MIN(Settings!$E$45,DAY($B126))))&lt;=MIN(Settings!$B$5,IF(Settings!$G$45="",Settings!$B$5,Settings!$G$45))),1,0)))))</f>
        <v/>
      </c>
      <c r="EU126">
        <f>IF($E126&lt;&gt;"open",0,IF(AND('Month-End'!$DS$23&lt;&gt;"",NOT(_xlfn.ISFORMULA('Month-End'!$DS$23))),0,IF(OR(Settings!$C$46="",Settings!$D$46=""),0,Settings!$C$46*IF(Settings!$D$46="Weekly",IF(IFERROR(MATCH(Settings!$E$46,$EO$4:$EO$10,0),0)=0,0,IF(MIN(Settings!$B$5,IF(Settings!$G$46="",Settings!$B$5,Settings!$G$46))&lt;MAX($A126,Settings!$F$46),0,INT((MIN(Settings!$B$5,IF(Settings!$G$46="",Settings!$B$5,Settings!$G$46))-MAX($A126,Settings!$F$46)-MOD(IFERROR(MATCH(Settings!$E$46,$EO$4:$EO$10,0),0)-WEEKDAY(MAX($A126,Settings!$F$46)),7))/7)+1)),IF(AND(IF(Settings!$E$46="",$B126,DATE(YEAR($A126),MONTH($A126),MIN(Settings!$E$46,DAY($B126))))&gt;=MAX($A126,Settings!$F$46),IF(Settings!$E$46="",$B126,DATE(YEAR($A126),MONTH($A126),MIN(Settings!$E$46,DAY($B126))))&lt;=MIN(Settings!$B$5,IF(Settings!$G$46="",Settings!$B$5,Settings!$G$46))),1,0)))))</f>
        <v/>
      </c>
      <c r="EV126">
        <f>IF($E126&lt;&gt;"open",0,IF(AND('Month-End'!$DS$24&lt;&gt;"",NOT(_xlfn.ISFORMULA('Month-End'!$DS$24))),0,IF(OR(Settings!$C$47="",Settings!$D$47=""),0,Settings!$C$47*IF(Settings!$D$47="Weekly",IF(IFERROR(MATCH(Settings!$E$47,$EO$4:$EO$10,0),0)=0,0,IF(MIN(Settings!$B$5,IF(Settings!$G$47="",Settings!$B$5,Settings!$G$47))&lt;MAX($A126,Settings!$F$47),0,INT((MIN(Settings!$B$5,IF(Settings!$G$47="",Settings!$B$5,Settings!$G$47))-MAX($A126,Settings!$F$47)-MOD(IFERROR(MATCH(Settings!$E$47,$EO$4:$EO$10,0),0)-WEEKDAY(MAX($A126,Settings!$F$47)),7))/7)+1)),IF(AND(IF(Settings!$E$47="",$B126,DATE(YEAR($A126),MONTH($A126),MIN(Settings!$E$47,DAY($B126))))&gt;=MAX($A126,Settings!$F$47),IF(Settings!$E$47="",$B126,DATE(YEAR($A126),MONTH($A126),MIN(Settings!$E$47,DAY($B126))))&lt;=MIN(Settings!$B$5,IF(Settings!$G$47="",Settings!$B$5,Settings!$G$47))),1,0)))))</f>
        <v/>
      </c>
      <c r="EW126">
        <f>IF($E126&lt;&gt;"open",0,IF(AND('Month-End'!$DS$25&lt;&gt;"",NOT(_xlfn.ISFORMULA('Month-End'!$DS$25))),0,IF(OR(Settings!$C$48="",Settings!$D$48=""),0,Settings!$C$48*IF(Settings!$D$48="Weekly",IF(IFERROR(MATCH(Settings!$E$48,$EO$4:$EO$10,0),0)=0,0,IF(MIN(Settings!$B$5,IF(Settings!$G$48="",Settings!$B$5,Settings!$G$48))&lt;MAX($A126,Settings!$F$48),0,INT((MIN(Settings!$B$5,IF(Settings!$G$48="",Settings!$B$5,Settings!$G$48))-MAX($A126,Settings!$F$48)-MOD(IFERROR(MATCH(Settings!$E$48,$EO$4:$EO$10,0),0)-WEEKDAY(MAX($A126,Settings!$F$48)),7))/7)+1)),IF(AND(IF(Settings!$E$48="",$B126,DATE(YEAR($A126),MONTH($A126),MIN(Settings!$E$48,DAY($B126))))&gt;=MAX($A126,Settings!$F$48),IF(Settings!$E$48="",$B126,DATE(YEAR($A126),MONTH($A126),MIN(Settings!$E$48,DAY($B126))))&lt;=MIN(Settings!$B$5,IF(Settings!$G$48="",Settings!$B$5,Settings!$G$48))),1,0)))))</f>
        <v/>
      </c>
      <c r="EX126">
        <f>IF($E126&lt;&gt;"open",0,IF(AND('Month-End'!$DS$26&lt;&gt;"",NOT(_xlfn.ISFORMULA('Month-End'!$DS$26))),0,IF(OR(Settings!$C$49="",Settings!$D$49=""),0,Settings!$C$49*IF(Settings!$D$49="Weekly",IF(IFERROR(MATCH(Settings!$E$49,$EO$4:$EO$10,0),0)=0,0,IF(MIN(Settings!$B$5,IF(Settings!$G$49="",Settings!$B$5,Settings!$G$49))&lt;MAX($A126,Settings!$F$49),0,INT((MIN(Settings!$B$5,IF(Settings!$G$49="",Settings!$B$5,Settings!$G$49))-MAX($A126,Settings!$F$49)-MOD(IFERROR(MATCH(Settings!$E$49,$EO$4:$EO$10,0),0)-WEEKDAY(MAX($A126,Settings!$F$49)),7))/7)+1)),IF(AND(IF(Settings!$E$49="",$B126,DATE(YEAR($A126),MONTH($A126),MIN(Settings!$E$49,DAY($B126))))&gt;=MAX($A126,Settings!$F$49),IF(Settings!$E$49="",$B126,DATE(YEAR($A126),MONTH($A126),MIN(Settings!$E$49,DAY($B126))))&lt;=MIN(Settings!$B$5,IF(Settings!$G$49="",Settings!$B$5,Settings!$G$49))),1,0)))))</f>
        <v/>
      </c>
      <c r="EY126">
        <f>IF($E126&lt;&gt;"open",0,IF(AND('Month-End'!$DS$27&lt;&gt;"",NOT(_xlfn.ISFORMULA('Month-End'!$DS$27))),0,IF(OR(Settings!$C$50="",Settings!$D$50=""),0,Settings!$C$50*IF(Settings!$D$50="Weekly",IF(IFERROR(MATCH(Settings!$E$50,$EO$4:$EO$10,0),0)=0,0,IF(MIN(Settings!$B$5,IF(Settings!$G$50="",Settings!$B$5,Settings!$G$50))&lt;MAX($A126,Settings!$F$50),0,INT((MIN(Settings!$B$5,IF(Settings!$G$50="",Settings!$B$5,Settings!$G$50))-MAX($A126,Settings!$F$50)-MOD(IFERROR(MATCH(Settings!$E$50,$EO$4:$EO$10,0),0)-WEEKDAY(MAX($A126,Settings!$F$50)),7))/7)+1)),IF(AND(IF(Settings!$E$50="",$B126,DATE(YEAR($A126),MONTH($A126),MIN(Settings!$E$50,DAY($B126))))&gt;=MAX($A126,Settings!$F$50),IF(Settings!$E$50="",$B126,DATE(YEAR($A126),MONTH($A126),MIN(Settings!$E$50,DAY($B126))))&lt;=MIN(Settings!$B$5,IF(Settings!$G$50="",Settings!$B$5,Settings!$G$50))),1,0)))))</f>
        <v/>
      </c>
      <c r="EZ126">
        <f>IF($E126&lt;&gt;"open",0,IF(AND('Month-End'!$DS$28&lt;&gt;"",NOT(_xlfn.ISFORMULA('Month-End'!$DS$28))),0,IF(OR(Settings!$C$51="",Settings!$D$51=""),0,Settings!$C$51*IF(Settings!$D$51="Weekly",IF(IFERROR(MATCH(Settings!$E$51,$EO$4:$EO$10,0),0)=0,0,IF(MIN(Settings!$B$5,IF(Settings!$G$51="",Settings!$B$5,Settings!$G$51))&lt;MAX($A126,Settings!$F$51),0,INT((MIN(Settings!$B$5,IF(Settings!$G$51="",Settings!$B$5,Settings!$G$51))-MAX($A126,Settings!$F$51)-MOD(IFERROR(MATCH(Settings!$E$51,$EO$4:$EO$10,0),0)-WEEKDAY(MAX($A126,Settings!$F$51)),7))/7)+1)),IF(AND(IF(Settings!$E$51="",$B126,DATE(YEAR($A126),MONTH($A126),MIN(Settings!$E$51,DAY($B126))))&gt;=MAX($A126,Settings!$F$51),IF(Settings!$E$51="",$B126,DATE(YEAR($A126),MONTH($A126),MIN(Settings!$E$51,DAY($B126))))&lt;=MIN(Settings!$B$5,IF(Settings!$G$51="",Settings!$B$5,Settings!$G$51))),1,0)))))</f>
        <v/>
      </c>
      <c r="FA126">
        <f>IF($E126&lt;&gt;"open",0,IF(AND('Month-End'!$DS$29&lt;&gt;"",NOT(_xlfn.ISFORMULA('Month-End'!$DS$29))),0,IF(OR(Settings!$C$52="",Settings!$D$52=""),0,Settings!$C$52*IF(Settings!$D$52="Weekly",IF(IFERROR(MATCH(Settings!$E$52,$EO$4:$EO$10,0),0)=0,0,IF(MIN(Settings!$B$5,IF(Settings!$G$52="",Settings!$B$5,Settings!$G$52))&lt;MAX($A126,Settings!$F$52),0,INT((MIN(Settings!$B$5,IF(Settings!$G$52="",Settings!$B$5,Settings!$G$52))-MAX($A126,Settings!$F$52)-MOD(IFERROR(MATCH(Settings!$E$52,$EO$4:$EO$10,0),0)-WEEKDAY(MAX($A126,Settings!$F$52)),7))/7)+1)),IF(AND(IF(Settings!$E$52="",$B126,DATE(YEAR($A126),MONTH($A126),MIN(Settings!$E$52,DAY($B126))))&gt;=MAX($A126,Settings!$F$52),IF(Settings!$E$52="",$B126,DATE(YEAR($A126),MONTH($A126),MIN(Settings!$E$52,DAY($B126))))&lt;=MIN(Settings!$B$5,IF(Settings!$G$52="",Settings!$B$5,Settings!$G$52))),1,0)))))</f>
        <v/>
      </c>
      <c r="FB126">
        <f>IF($E126&lt;&gt;"open",0,IF(AND('Month-End'!$DS$30&lt;&gt;"",NOT(_xlfn.ISFORMULA('Month-End'!$DS$30))),0,IF(OR(Settings!$C$53="",Settings!$D$53=""),0,Settings!$C$53*IF(Settings!$D$53="Weekly",IF(IFERROR(MATCH(Settings!$E$53,$EO$4:$EO$10,0),0)=0,0,IF(MIN(Settings!$B$5,IF(Settings!$G$53="",Settings!$B$5,Settings!$G$53))&lt;MAX($A126,Settings!$F$53),0,INT((MIN(Settings!$B$5,IF(Settings!$G$53="",Settings!$B$5,Settings!$G$53))-MAX($A126,Settings!$F$53)-MOD(IFERROR(MATCH(Settings!$E$53,$EO$4:$EO$10,0),0)-WEEKDAY(MAX($A126,Settings!$F$53)),7))/7)+1)),IF(AND(IF(Settings!$E$53="",$B126,DATE(YEAR($A126),MONTH($A126),MIN(Settings!$E$53,DAY($B126))))&gt;=MAX($A126,Settings!$F$53),IF(Settings!$E$53="",$B126,DATE(YEAR($A126),MONTH($A126),MIN(Settings!$E$53,DAY($B126))))&lt;=MIN(Settings!$B$5,IF(Settings!$G$53="",Settings!$B$5,Settings!$G$53))),1,0)))))</f>
        <v/>
      </c>
      <c r="FC126">
        <f>IF($E126&lt;&gt;"open",0,IF(AND('Month-End'!$DS$31&lt;&gt;"",NOT(_xlfn.ISFORMULA('Month-End'!$DS$31))),0,IF(OR(Settings!$C$54="",Settings!$D$54=""),0,Settings!$C$54*IF(Settings!$D$54="Weekly",IF(IFERROR(MATCH(Settings!$E$54,$EO$4:$EO$10,0),0)=0,0,IF(MIN(Settings!$B$5,IF(Settings!$G$54="",Settings!$B$5,Settings!$G$54))&lt;MAX($A126,Settings!$F$54),0,INT((MIN(Settings!$B$5,IF(Settings!$G$54="",Settings!$B$5,Settings!$G$54))-MAX($A126,Settings!$F$54)-MOD(IFERROR(MATCH(Settings!$E$54,$EO$4:$EO$10,0),0)-WEEKDAY(MAX($A126,Settings!$F$54)),7))/7)+1)),IF(AND(IF(Settings!$E$54="",$B126,DATE(YEAR($A126),MONTH($A126),MIN(Settings!$E$54,DAY($B126))))&gt;=MAX($A126,Settings!$F$54),IF(Settings!$E$54="",$B126,DATE(YEAR($A126),MONTH($A126),MIN(Settings!$E$54,DAY($B126))))&lt;=MIN(Settings!$B$5,IF(Settings!$G$54="",Settings!$B$5,Settings!$G$54))),1,0)))))</f>
        <v/>
      </c>
      <c r="FD126">
        <f>IF($E126&lt;&gt;"open",0,IF(AND('Month-End'!$DS$32&lt;&gt;"",NOT(_xlfn.ISFORMULA('Month-End'!$DS$32))),0,IF(OR(Settings!$C$55="",Settings!$D$55=""),0,Settings!$C$55*IF(Settings!$D$55="Weekly",IF(IFERROR(MATCH(Settings!$E$55,$EO$4:$EO$10,0),0)=0,0,IF(MIN(Settings!$B$5,IF(Settings!$G$55="",Settings!$B$5,Settings!$G$55))&lt;MAX($A126,Settings!$F$55),0,INT((MIN(Settings!$B$5,IF(Settings!$G$55="",Settings!$B$5,Settings!$G$55))-MAX($A126,Settings!$F$55)-MOD(IFERROR(MATCH(Settings!$E$55,$EO$4:$EO$10,0),0)-WEEKDAY(MAX($A126,Settings!$F$55)),7))/7)+1)),IF(AND(IF(Settings!$E$55="",$B126,DATE(YEAR($A126),MONTH($A126),MIN(Settings!$E$55,DAY($B126))))&gt;=MAX($A126,Settings!$F$55),IF(Settings!$E$55="",$B126,DATE(YEAR($A126),MONTH($A126),MIN(Settings!$E$55,DAY($B126))))&lt;=MIN(Settings!$B$5,IF(Settings!$G$55="",Settings!$B$5,Settings!$G$55))),1,0)))))</f>
        <v/>
      </c>
      <c r="FE126">
        <f>IF($E126&lt;&gt;"open",0,IF(AND('Month-End'!$DS$33&lt;&gt;"",NOT(_xlfn.ISFORMULA('Month-End'!$DS$33))),0,IF(OR(Settings!$C$56="",Settings!$D$56=""),0,Settings!$C$56*IF(Settings!$D$56="Weekly",IF(IFERROR(MATCH(Settings!$E$56,$EO$4:$EO$10,0),0)=0,0,IF(MIN(Settings!$B$5,IF(Settings!$G$56="",Settings!$B$5,Settings!$G$56))&lt;MAX($A126,Settings!$F$56),0,INT((MIN(Settings!$B$5,IF(Settings!$G$56="",Settings!$B$5,Settings!$G$56))-MAX($A126,Settings!$F$56)-MOD(IFERROR(MATCH(Settings!$E$56,$EO$4:$EO$10,0),0)-WEEKDAY(MAX($A126,Settings!$F$56)),7))/7)+1)),IF(AND(IF(Settings!$E$56="",$B126,DATE(YEAR($A126),MONTH($A126),MIN(Settings!$E$56,DAY($B126))))&gt;=MAX($A126,Settings!$F$56),IF(Settings!$E$56="",$B126,DATE(YEAR($A126),MONTH($A126),MIN(Settings!$E$56,DAY($B126))))&lt;=MIN(Settings!$B$5,IF(Settings!$G$56="",Settings!$B$5,Settings!$G$56))),1,0)))))</f>
        <v/>
      </c>
      <c r="FF126">
        <f>IF(Settings!$I$45="Yes",$G126,0)+IF(Settings!$I$46="Yes",$H126,0)+IF(Settings!$I$47="Yes",$I126,0)+IF(Settings!$I$48="Yes",$J126,0)+IF(Settings!$I$49="Yes",$K126,0)+IF(Settings!$I$50="Yes",$L126,0)+IF(Settings!$I$51="Yes",$M126,0)+IF(Settings!$I$52="Yes",$N126,0)+IF(Settings!$I$53="Yes",$O126,0)+IF(Settings!$I$54="Yes",$P126,0)+IF(Settings!$I$55="Yes",$Q126,0)+IF(Settings!$I$56="Yes",$R126,0)</f>
        <v/>
      </c>
      <c r="FG126">
        <f>IF(AND(Settings!$I$45="Yes",Settings!$J$45="No"),$G126,0)+IF(AND(Settings!$I$46="Yes",Settings!$J$46="No"),$H126,0)+IF(AND(Settings!$I$47="Yes",Settings!$J$47="No"),$I126,0)+IF(AND(Settings!$I$48="Yes",Settings!$J$48="No"),$J126,0)+IF(AND(Settings!$I$49="Yes",Settings!$J$49="No"),$K126,0)+IF(AND(Settings!$I$50="Yes",Settings!$J$50="No"),$L126,0)+IF(AND(Settings!$I$51="Yes",Settings!$J$51="No"),$M126,0)+IF(AND(Settings!$I$52="Yes",Settings!$J$52="No"),$N126,0)+IF(AND(Settings!$I$53="Yes",Settings!$J$53="No"),$O126,0)+IF(AND(Settings!$I$54="Yes",Settings!$J$54="No"),$P126,0)+IF(AND(Settings!$I$55="Yes",Settings!$J$55="No"),$Q126,0)+IF(AND(Settings!$I$56="Yes",Settings!$J$56="No"),$R126,0)</f>
        <v/>
      </c>
      <c r="FH126">
        <f>SUMIFS(Giving!$B$7:$B$2006,Giving!$A$7:$A$2006,"&gt;="&amp;$A126,Giving!$A$7:$A$2006,"&lt;="&amp;$B126,Giving!$G$7:$G$2006,"Yes")+IF(OR(OR(Settings!$B$60="",Settings!$F$60="No"),Settings!$H$60&lt;&gt;"Yes"),0,Settings!$B$60*IF(AND(IF(Settings!$C$60="",$B126,DATE(YEAR($A126),MONTH($A126),MIN(Settings!$C$60,DAY($B126))))&gt;=MAX($A126,Settings!$D$60),IF(Settings!$C$60="",$B126,DATE(YEAR($A126),MONTH($A126),MIN(Settings!$C$60,DAY($B126))))&lt;=MIN($C126,IF(Settings!$E$60="",$C126,Settings!$E$60))),1,0))+IF(OR(OR(Settings!$B$61="",Settings!$F$61="No"),Settings!$H$61&lt;&gt;"Yes"),0,Settings!$B$61*IF(AND(IF(Settings!$C$61="",$B126,DATE(YEAR($A126),MONTH($A126),MIN(Settings!$C$61,DAY($B126))))&gt;=MAX($A126,Settings!$D$61),IF(Settings!$C$61="",$B126,DATE(YEAR($A126),MONTH($A126),MIN(Settings!$C$61,DAY($B126))))&lt;=MIN($C126,IF(Settings!$E$61="",$C126,Settings!$E$61))),1,0))+IF(OR(OR(Settings!$B$62="",Settings!$F$62="No"),Settings!$H$62&lt;&gt;"Yes"),0,Settings!$B$62*IF(AND(IF(Settings!$C$62="",$B126,DATE(YEAR($A126),MONTH($A126),MIN(Settings!$C$62,DAY($B126))))&gt;=MAX($A126,Settings!$D$62),IF(Settings!$C$62="",$B126,DATE(YEAR($A126),MONTH($A126),MIN(Settings!$C$62,DAY($B126))))&lt;=MIN($C126,IF(Settings!$E$62="",$C126,Settings!$E$62))),1,0))+IF(OR(OR(Settings!$B$63="",Settings!$F$63="No"),Settings!$H$63&lt;&gt;"Yes"),0,Settings!$B$63*IF(AND(IF(Settings!$C$63="",$B126,DATE(YEAR($A126),MONTH($A126),MIN(Settings!$C$63,DAY($B126))))&gt;=MAX($A126,Settings!$D$63),IF(Settings!$C$63="",$B126,DATE(YEAR($A126),MONTH($A126),MIN(Settings!$C$63,DAY($B126))))&lt;=MIN($C126,IF(Settings!$E$63="",$C126,Settings!$E$63))),1,0))+IF(OR(OR(Settings!$B$64="",Settings!$F$64="No"),Settings!$H$64&lt;&gt;"Yes"),0,Settings!$B$64*IF(AND(IF(Settings!$C$64="",$B126,DATE(YEAR($A126),MONTH($A126),MIN(Settings!$C$64,DAY($B126))))&gt;=MAX($A126,Settings!$D$64),IF(Settings!$C$64="",$B126,DATE(YEAR($A126),MONTH($A126),MIN(Settings!$C$64,DAY($B126))))&lt;=MIN($C126,IF(Settings!$E$64="",$C126,Settings!$E$64))),1,0))+IF(OR(OR(Settings!$B$65="",Settings!$F$65="No"),Settings!$H$65&lt;&gt;"Yes"),0,Settings!$B$65*IF(AND(IF(Settings!$C$65="",$B126,DATE(YEAR($A126),MONTH($A126),MIN(Settings!$C$65,DAY($B126))))&gt;=MAX($A126,Settings!$D$65),IF(Settings!$C$65="",$B126,DATE(YEAR($A126),MONTH($A126),MIN(Settings!$C$65,DAY($B126))))&lt;=MIN($C126,IF(Settings!$E$65="",$C126,Settings!$E$65))),1,0))</f>
        <v/>
      </c>
      <c r="FI126">
        <f>IF($DT126=1,IF(OR(Settings!$B$19="Card",Settings!$B$19="Loan"),N($AE126),0)+IF(OR(Settings!$B$20="Card",Settings!$B$20="Loan"),N($AF126),0)+IF(OR(Settings!$B$21="Card",Settings!$B$21="Loan"),N($AG126),0)+IF(OR(Settings!$B$22="Card",Settings!$B$22="Loan"),N($AH126),0)+IF(OR(Settings!$B$23="Card",Settings!$B$23="Loan"),N($AI126),0)+IF(OR(Settings!$B$24="Card",Settings!$B$24="Loan"),N($AJ126),0)+IF(OR(Settings!$B$25="Card",Settings!$B$25="Loan"),N($AK126),0)+IF(OR(Settings!$B$26="Card",Settings!$B$26="Loan"),N($AL126),0)+IF(OR(Settings!$B$27="Card",Settings!$B$27="Loan"),N($AM126),0)+IF(OR(Settings!$B$28="Card",Settings!$B$28="Loan"),N($AN126),0)+IF(OR(Settings!$B$29="Card",Settings!$B$29="Loan"),N($AO126),0)+IF(OR(Settings!$B$30="Card",Settings!$B$30="Loan"),N($AP126),0)+IF(OR(Settings!$B$31="Card",Settings!$B$31="Loan"),N($AQ126),0)+IF(OR(Settings!$B$32="Card",Settings!$B$32="Loan"),N($AR126),0),"")</f>
        <v/>
      </c>
      <c r="FJ126">
        <f>IF($E126="open",$EB$65,IF($E126="post",IF($E125="pre",$EB$65,$FI125),""))</f>
        <v/>
      </c>
      <c r="FK126">
        <f>IF(AND($DT126=1,$DC126=1),IF(ROUND($FI126-$FJ126,2)&gt;0,1,0),0)</f>
        <v/>
      </c>
      <c r="FL126">
        <f>IF($FK126=1,$FL125+1,0)</f>
        <v/>
      </c>
    </row>
    <row r="127">
      <c r="A127">
        <f>'Month-End'!$DT$4</f>
        <v/>
      </c>
      <c r="B127">
        <f>EOMONTH($A127,0)</f>
        <v/>
      </c>
      <c r="C127">
        <f>MIN($B127,TODAY())</f>
        <v/>
      </c>
      <c r="D127">
        <f>IF($A127&gt;TODAY(),1,0)</f>
        <v/>
      </c>
      <c r="E127">
        <f>IF($B127&lt;=Settings!$B$5,"pre",IF($A127&lt;=Settings!$B$5,"open","post"))</f>
        <v/>
      </c>
      <c r="G127">
        <f>IF('Month-End'!$DT$22="",$BE127,N('Month-End'!$DT$22))</f>
        <v/>
      </c>
      <c r="H127">
        <f>IF('Month-End'!$DT$23="",$BF127,N('Month-End'!$DT$23))</f>
        <v/>
      </c>
      <c r="I127">
        <f>IF('Month-End'!$DT$24="",$BG127,N('Month-End'!$DT$24))</f>
        <v/>
      </c>
      <c r="J127">
        <f>IF('Month-End'!$DT$25="",$BH127,N('Month-End'!$DT$25))</f>
        <v/>
      </c>
      <c r="K127">
        <f>IF('Month-End'!$DT$26="",$BI127,N('Month-End'!$DT$26))</f>
        <v/>
      </c>
      <c r="L127">
        <f>IF('Month-End'!$DT$27="",$BJ127,N('Month-End'!$DT$27))</f>
        <v/>
      </c>
      <c r="M127">
        <f>IF('Month-End'!$DT$28="",$BK127,N('Month-End'!$DT$28))</f>
        <v/>
      </c>
      <c r="N127">
        <f>IF('Month-End'!$DT$29="",$BL127,N('Month-End'!$DT$29))</f>
        <v/>
      </c>
      <c r="O127">
        <f>IF('Month-End'!$DT$30="",$BM127,N('Month-End'!$DT$30))</f>
        <v/>
      </c>
      <c r="P127">
        <f>IF('Month-End'!$DT$31="",$BN127,N('Month-End'!$DT$31))</f>
        <v/>
      </c>
      <c r="Q127">
        <f>IF('Month-End'!$DT$32="",$BO127,N('Month-End'!$DT$32))</f>
        <v/>
      </c>
      <c r="R127">
        <f>IF('Month-End'!$DT$33="",$BP127,N('Month-End'!$DT$33))</f>
        <v/>
      </c>
      <c r="S127">
        <f>$G127+$H127+$I127+$J127+$K127+$L127+$M127+$N127+$O127+$P127+$Q127+$R127</f>
        <v/>
      </c>
      <c r="T127">
        <f>IF($B127&lt;Settings!$B$6,0,IF(Settings!$B$45="Yes",$G127,0)+IF(Settings!$B$46="Yes",$H127,0)+IF(Settings!$B$47="Yes",$I127,0)+IF(Settings!$B$48="Yes",$J127,0)+IF(Settings!$B$49="Yes",$K127,0)+IF(Settings!$B$50="Yes",$L127,0)+IF(Settings!$B$51="Yes",$M127,0)+IF(Settings!$B$52="Yes",$N127,0)+IF(Settings!$B$53="Yes",$O127,0)+IF(Settings!$B$54="Yes",$P127,0)+IF(Settings!$B$55="Yes",$Q127,0)+IF(Settings!$B$56="Yes",$R127,0))</f>
        <v/>
      </c>
      <c r="U127">
        <f>IF(Settings!$B$45="Not Sure",$G127,0)+IF(Settings!$B$46="Not Sure",$H127,0)+IF(Settings!$B$47="Not Sure",$I127,0)+IF(Settings!$B$48="Not Sure",$J127,0)+IF(Settings!$B$49="Not Sure",$K127,0)+IF(Settings!$B$50="Not Sure",$L127,0)+IF(Settings!$B$51="Not Sure",$M127,0)+IF(Settings!$B$52="Not Sure",$N127,0)+IF(Settings!$B$53="Not Sure",$O127,0)+IF(Settings!$B$54="Not Sure",$P127,0)+IF(Settings!$B$55="Not Sure",$Q127,0)+IF(Settings!$B$56="Not Sure",$R127,0)</f>
        <v/>
      </c>
      <c r="V127">
        <f>IF($E127="open",SUM($ET127:$FE127)+N(Settings!$B$13),0)</f>
        <v/>
      </c>
      <c r="W127">
        <f>IF($E127="post",$S127,IF($E127="open",$S127-$V127,0))</f>
        <v/>
      </c>
      <c r="X127">
        <f>SUMIFS(Giving!$B$7:$B$2006,Giving!$A$7:$A$2006,"&gt;="&amp;$A127,Giving!$A$7:$A$2006,"&lt;="&amp;$B127,Giving!$E$7:$E$2006,"&lt;&gt;No")</f>
        <v/>
      </c>
      <c r="Y127">
        <f>SUMIFS(Giving!$B$7:$B$2006,Giving!$A$7:$A$2006,"&gt;="&amp;$A127,Giving!$A$7:$A$2006,"&lt;="&amp;$B127,Giving!$E$7:$E$2006,"No")</f>
        <v/>
      </c>
      <c r="Z127">
        <f>IF(OR(Settings!$B$60="",Settings!$F$60="No"),0,Settings!$B$60*IF(AND(IF(Settings!$C$60="",$B127,DATE(YEAR($A127),MONTH($A127),MIN(Settings!$C$60,DAY($B127))))&gt;=MAX($A127,Settings!$D$60),IF(Settings!$C$60="",$B127,DATE(YEAR($A127),MONTH($A127),MIN(Settings!$C$60,DAY($B127))))&lt;=MIN($C127,IF(Settings!$E$60="",$C127,Settings!$E$60))),1,0))+IF(OR(Settings!$B$61="",Settings!$F$61="No"),0,Settings!$B$61*IF(AND(IF(Settings!$C$61="",$B127,DATE(YEAR($A127),MONTH($A127),MIN(Settings!$C$61,DAY($B127))))&gt;=MAX($A127,Settings!$D$61),IF(Settings!$C$61="",$B127,DATE(YEAR($A127),MONTH($A127),MIN(Settings!$C$61,DAY($B127))))&lt;=MIN($C127,IF(Settings!$E$61="",$C127,Settings!$E$61))),1,0))+IF(OR(Settings!$B$62="",Settings!$F$62="No"),0,Settings!$B$62*IF(AND(IF(Settings!$C$62="",$B127,DATE(YEAR($A127),MONTH($A127),MIN(Settings!$C$62,DAY($B127))))&gt;=MAX($A127,Settings!$D$62),IF(Settings!$C$62="",$B127,DATE(YEAR($A127),MONTH($A127),MIN(Settings!$C$62,DAY($B127))))&lt;=MIN($C127,IF(Settings!$E$62="",$C127,Settings!$E$62))),1,0))+IF(OR(Settings!$B$63="",Settings!$F$63="No"),0,Settings!$B$63*IF(AND(IF(Settings!$C$63="",$B127,DATE(YEAR($A127),MONTH($A127),MIN(Settings!$C$63,DAY($B127))))&gt;=MAX($A127,Settings!$D$63),IF(Settings!$C$63="",$B127,DATE(YEAR($A127),MONTH($A127),MIN(Settings!$C$63,DAY($B127))))&lt;=MIN($C127,IF(Settings!$E$63="",$C127,Settings!$E$63))),1,0))+IF(OR(Settings!$B$64="",Settings!$F$64="No"),0,Settings!$B$64*IF(AND(IF(Settings!$C$64="",$B127,DATE(YEAR($A127),MONTH($A127),MIN(Settings!$C$64,DAY($B127))))&gt;=MAX($A127,Settings!$D$64),IF(Settings!$C$64="",$B127,DATE(YEAR($A127),MONTH($A127),MIN(Settings!$C$64,DAY($B127))))&lt;=MIN($C127,IF(Settings!$E$64="",$C127,Settings!$E$64))),1,0))+IF(OR(Settings!$B$65="",Settings!$F$65="No"),0,Settings!$B$65*IF(AND(IF(Settings!$C$65="",$B127,DATE(YEAR($A127),MONTH($A127),MIN(Settings!$C$65,DAY($B127))))&gt;=MAX($A127,Settings!$D$65),IF(Settings!$C$65="",$B127,DATE(YEAR($A127),MONTH($A127),MIN(Settings!$C$65,DAY($B127))))&lt;=MIN($C127,IF(Settings!$E$65="",$C127,Settings!$E$65))),1,0))</f>
        <v/>
      </c>
      <c r="AA127">
        <f>$X127+$Z127</f>
        <v/>
      </c>
      <c r="AB127">
        <f>IF($E127="post",$AA127,IF($E127="open",SUMIFS(Giving!$B$7:$B$2006,Giving!$A$7:$A$2006,"&gt;"&amp;Settings!$B$5,Giving!$A$7:$A$2006,"&lt;="&amp;$B127,Giving!$E$7:$E$2006,"&lt;&gt;No")+IF(OR(Settings!$B$60="",Settings!$F$60="No"),0,Settings!$B$60*IF(AND(IF(Settings!$C$60="",$B127,DATE(YEAR($A127),MONTH($A127),MIN(Settings!$C$60,DAY($B127))))&gt;=MAX($A127,Settings!$D$60,Settings!$B$5+1),IF(Settings!$C$60="",$B127,DATE(YEAR($A127),MONTH($A127),MIN(Settings!$C$60,DAY($B127))))&lt;=MIN($C127,IF(Settings!$E$60="",$C127,Settings!$E$60))),1,0))+IF(OR(Settings!$B$61="",Settings!$F$61="No"),0,Settings!$B$61*IF(AND(IF(Settings!$C$61="",$B127,DATE(YEAR($A127),MONTH($A127),MIN(Settings!$C$61,DAY($B127))))&gt;=MAX($A127,Settings!$D$61,Settings!$B$5+1),IF(Settings!$C$61="",$B127,DATE(YEAR($A127),MONTH($A127),MIN(Settings!$C$61,DAY($B127))))&lt;=MIN($C127,IF(Settings!$E$61="",$C127,Settings!$E$61))),1,0))+IF(OR(Settings!$B$62="",Settings!$F$62="No"),0,Settings!$B$62*IF(AND(IF(Settings!$C$62="",$B127,DATE(YEAR($A127),MONTH($A127),MIN(Settings!$C$62,DAY($B127))))&gt;=MAX($A127,Settings!$D$62,Settings!$B$5+1),IF(Settings!$C$62="",$B127,DATE(YEAR($A127),MONTH($A127),MIN(Settings!$C$62,DAY($B127))))&lt;=MIN($C127,IF(Settings!$E$62="",$C127,Settings!$E$62))),1,0))+IF(OR(Settings!$B$63="",Settings!$F$63="No"),0,Settings!$B$63*IF(AND(IF(Settings!$C$63="",$B127,DATE(YEAR($A127),MONTH($A127),MIN(Settings!$C$63,DAY($B127))))&gt;=MAX($A127,Settings!$D$63,Settings!$B$5+1),IF(Settings!$C$63="",$B127,DATE(YEAR($A127),MONTH($A127),MIN(Settings!$C$63,DAY($B127))))&lt;=MIN($C127,IF(Settings!$E$63="",$C127,Settings!$E$63))),1,0))+IF(OR(Settings!$B$64="",Settings!$F$64="No"),0,Settings!$B$64*IF(AND(IF(Settings!$C$64="",$B127,DATE(YEAR($A127),MONTH($A127),MIN(Settings!$C$64,DAY($B127))))&gt;=MAX($A127,Settings!$D$64,Settings!$B$5+1),IF(Settings!$C$64="",$B127,DATE(YEAR($A127),MONTH($A127),MIN(Settings!$C$64,DAY($B127))))&lt;=MIN($C127,IF(Settings!$E$64="",$C127,Settings!$E$64))),1,0))+IF(OR(Settings!$B$65="",Settings!$F$65="No"),0,Settings!$B$65*IF(AND(IF(Settings!$C$65="",$B127,DATE(YEAR($A127),MONTH($A127),MIN(Settings!$C$65,DAY($B127))))&gt;=MAX($A127,Settings!$D$65,Settings!$B$5+1),IF(Settings!$C$65="",$B127,DATE(YEAR($A127),MONTH($A127),MIN(Settings!$C$65,DAY($B127))))&lt;=MIN($C127,IF(Settings!$E$65="",$C127,Settings!$E$65))),1,0)),0))</f>
        <v/>
      </c>
      <c r="AC127">
        <f>$AY127+$AZ127+$BA127+$BB127+$BC127+$BD127</f>
        <v/>
      </c>
      <c r="AD127">
        <f>$AC127</f>
        <v/>
      </c>
      <c r="AE127">
        <f>IF(OR(Settings!$A$19="",$E127="pre"),"",IF(AND('Month-End'!$DT$7&lt;&gt;"",NOT(_xlfn.ISFORMULA('Month-End'!$DT$7))),N('Month-End'!$DT$7),IF(OR($E127="open",$E126="pre"),N(Settings!$C$19),N($AE126))))</f>
        <v/>
      </c>
      <c r="AF127">
        <f>IF(OR(Settings!$A$20="",$E127="pre"),"",IF(AND('Month-End'!$DT$8&lt;&gt;"",NOT(_xlfn.ISFORMULA('Month-End'!$DT$8))),N('Month-End'!$DT$8),IF(OR($E127="open",$E126="pre"),N(Settings!$C$20),N($AF126))))</f>
        <v/>
      </c>
      <c r="AG127">
        <f>IF(OR(Settings!$A$21="",$E127="pre"),"",IF(AND('Month-End'!$DT$9&lt;&gt;"",NOT(_xlfn.ISFORMULA('Month-End'!$DT$9))),N('Month-End'!$DT$9),IF(OR($E127="open",$E126="pre"),N(Settings!$C$21),N($AG126))))</f>
        <v/>
      </c>
      <c r="AH127">
        <f>IF(OR(Settings!$A$22="",$E127="pre"),"",IF(AND('Month-End'!$DT$10&lt;&gt;"",NOT(_xlfn.ISFORMULA('Month-End'!$DT$10))),N('Month-End'!$DT$10),IF(OR($E127="open",$E126="pre"),N(Settings!$C$22),N($AH126))))</f>
        <v/>
      </c>
      <c r="AI127">
        <f>IF(OR(Settings!$A$23="",$E127="pre"),"",IF(AND('Month-End'!$DT$11&lt;&gt;"",NOT(_xlfn.ISFORMULA('Month-End'!$DT$11))),N('Month-End'!$DT$11),IF(OR($E127="open",$E126="pre"),N(Settings!$C$23),N($AI126))))</f>
        <v/>
      </c>
      <c r="AJ127">
        <f>IF(OR(Settings!$A$24="",$E127="pre"),"",IF(AND('Month-End'!$DT$12&lt;&gt;"",NOT(_xlfn.ISFORMULA('Month-End'!$DT$12))),N('Month-End'!$DT$12),IF(OR($E127="open",$E126="pre"),N(Settings!$C$24),N($AJ126))))</f>
        <v/>
      </c>
      <c r="AK127">
        <f>IF(OR(Settings!$A$25="",$E127="pre"),"",IF(AND('Month-End'!$DT$13&lt;&gt;"",NOT(_xlfn.ISFORMULA('Month-End'!$DT$13))),N('Month-End'!$DT$13),IF(OR($E127="open",$E126="pre"),N(Settings!$C$25),N($AK126))))</f>
        <v/>
      </c>
      <c r="AL127">
        <f>IF(OR(Settings!$A$26="",$E127="pre"),"",IF(AND('Month-End'!$DT$14&lt;&gt;"",NOT(_xlfn.ISFORMULA('Month-End'!$DT$14))),N('Month-End'!$DT$14),IF(OR($E127="open",$E126="pre"),N(Settings!$C$26),N($AL126))))</f>
        <v/>
      </c>
      <c r="AM127">
        <f>IF(OR(Settings!$A$27="",$E127="pre"),"",IF(AND('Month-End'!$DT$15&lt;&gt;"",NOT(_xlfn.ISFORMULA('Month-End'!$DT$15))),N('Month-End'!$DT$15),IF(OR($E127="open",$E126="pre"),N(Settings!$C$27),N($AM126))))</f>
        <v/>
      </c>
      <c r="AN127">
        <f>IF(OR(Settings!$A$28="",$E127="pre"),"",IF(AND('Month-End'!$DT$16&lt;&gt;"",NOT(_xlfn.ISFORMULA('Month-End'!$DT$16))),N('Month-End'!$DT$16),IF(OR($E127="open",$E126="pre"),N(Settings!$C$28),N($AN126))))</f>
        <v/>
      </c>
      <c r="AO127">
        <f>IF(OR(Settings!$A$29="",$E127="pre"),"",IF(AND('Month-End'!$DT$17&lt;&gt;"",NOT(_xlfn.ISFORMULA('Month-End'!$DT$17))),N('Month-End'!$DT$17),IF(OR($E127="open",$E126="pre"),N(Settings!$C$29),N($AO126))))</f>
        <v/>
      </c>
      <c r="AP127">
        <f>IF(OR(Settings!$A$30="",$E127="pre"),"",IF(AND('Month-End'!$DT$18&lt;&gt;"",NOT(_xlfn.ISFORMULA('Month-End'!$DT$18))),N('Month-End'!$DT$18),IF(OR($E127="open",$E126="pre"),N(Settings!$C$30),N($AP126))))</f>
        <v/>
      </c>
      <c r="AQ127">
        <f>IF(OR(Settings!$A$31="",$E127="pre"),"",IF(AND('Month-End'!$DT$19&lt;&gt;"",NOT(_xlfn.ISFORMULA('Month-End'!$DT$19))),N('Month-End'!$DT$19),IF(OR($E127="open",$E126="pre"),N(Settings!$C$31),N($AQ126))))</f>
        <v/>
      </c>
      <c r="AR127">
        <f>IF(OR(Settings!$A$32="",$E127="pre"),"",IF(AND('Month-End'!$DT$20&lt;&gt;"",NOT(_xlfn.ISFORMULA('Month-End'!$DT$20))),N('Month-End'!$DT$20),IF(OR($E127="open",$E126="pre"),N(Settings!$C$32),N($AR126))))</f>
        <v/>
      </c>
      <c r="AS127">
        <f>IF(OR(Settings!$A$36="",$E127="pre"),"",IF(AND('Month-End'!$DT$38&lt;&gt;"",NOT(_xlfn.ISFORMULA('Month-End'!$DT$38))),N('Month-End'!$DT$38),IF(OR($E127="open",$E126="pre"),N(Settings!$C$36),N($AS126))+$AY127))</f>
        <v/>
      </c>
      <c r="AT127">
        <f>IF(OR(Settings!$A$37="",$E127="pre"),"",IF(AND('Month-End'!$DT$39&lt;&gt;"",NOT(_xlfn.ISFORMULA('Month-End'!$DT$39))),N('Month-End'!$DT$39),IF(OR($E127="open",$E126="pre"),N(Settings!$C$37),N($AT126))+$AZ127))</f>
        <v/>
      </c>
      <c r="AU127">
        <f>IF(OR(Settings!$A$38="",$E127="pre"),"",IF(AND('Month-End'!$DT$40&lt;&gt;"",NOT(_xlfn.ISFORMULA('Month-End'!$DT$40))),N('Month-End'!$DT$40),IF(OR($E127="open",$E126="pre"),N(Settings!$C$38),N($AU126))+$BA127))</f>
        <v/>
      </c>
      <c r="AV127">
        <f>IF(OR(Settings!$A$39="",$E127="pre"),"",IF(AND('Month-End'!$DT$41&lt;&gt;"",NOT(_xlfn.ISFORMULA('Month-End'!$DT$41))),N('Month-End'!$DT$41),IF(OR($E127="open",$E126="pre"),N(Settings!$C$39),N($AV126))+$BB127))</f>
        <v/>
      </c>
      <c r="AW127">
        <f>IF(OR(Settings!$A$40="",$E127="pre"),"",IF(AND('Month-End'!$DT$42&lt;&gt;"",NOT(_xlfn.ISFORMULA('Month-End'!$DT$42))),N('Month-End'!$DT$42),IF(OR($E127="open",$E126="pre"),N(Settings!$C$40),N($AW126))+$BC127))</f>
        <v/>
      </c>
      <c r="AX127">
        <f>IF(OR(Settings!$A$41="",$E127="pre"),"",IF(AND('Month-End'!$DT$43&lt;&gt;"",NOT(_xlfn.ISFORMULA('Month-End'!$DT$43))),N('Month-End'!$DT$43),IF(OR($E127="open",$E126="pre"),N(Settings!$C$41),N($AX126))+$BD127))</f>
        <v/>
      </c>
      <c r="AY127">
        <f>IF($E127="pre",0,N('Month-End'!$DT$45))</f>
        <v/>
      </c>
      <c r="AZ127">
        <f>IF($E127="pre",0,N('Month-End'!$DT$46))</f>
        <v/>
      </c>
      <c r="BA127">
        <f>IF($E127="pre",0,N('Month-End'!$DT$47))</f>
        <v/>
      </c>
      <c r="BB127">
        <f>IF($E127="pre",0,N('Month-End'!$DT$48))</f>
        <v/>
      </c>
      <c r="BC127">
        <f>IF($E127="pre",0,N('Month-End'!$DT$49))</f>
        <v/>
      </c>
      <c r="BD127">
        <f>IF($E127="pre",0,N('Month-End'!$DT$50))</f>
        <v/>
      </c>
      <c r="BE127">
        <f>IF(OR(Settings!$C$45="",Settings!$D$45=""),0,Settings!$C$45*IF(Settings!$D$45="Weekly",IF(IFERROR(MATCH(Settings!$E$45,$EO$4:$EO$10,0),0)=0,0,IF(MIN($C127,IF(Settings!$G$45="",$C127,Settings!$G$45))&lt;MAX($A127,Settings!$F$45),0,INT((MIN($C127,IF(Settings!$G$45="",$C127,Settings!$G$45))-MAX($A127,Settings!$F$45)-MOD(IFERROR(MATCH(Settings!$E$45,$EO$4:$EO$10,0),0)-WEEKDAY(MAX($A127,Settings!$F$45)),7))/7)+1)),IF(AND(IF(Settings!$E$45="",$B127,DATE(YEAR($A127),MONTH($A127),MIN(Settings!$E$45,DAY($B127))))&gt;=MAX($A127,Settings!$F$45),IF(Settings!$E$45="",$B127,DATE(YEAR($A127),MONTH($A127),MIN(Settings!$E$45,DAY($B127))))&lt;=MIN($C127,IF(Settings!$G$45="",$C127,Settings!$G$45))),1,0)))</f>
        <v/>
      </c>
      <c r="BF127">
        <f>IF(OR(Settings!$C$46="",Settings!$D$46=""),0,Settings!$C$46*IF(Settings!$D$46="Weekly",IF(IFERROR(MATCH(Settings!$E$46,$EO$4:$EO$10,0),0)=0,0,IF(MIN($C127,IF(Settings!$G$46="",$C127,Settings!$G$46))&lt;MAX($A127,Settings!$F$46),0,INT((MIN($C127,IF(Settings!$G$46="",$C127,Settings!$G$46))-MAX($A127,Settings!$F$46)-MOD(IFERROR(MATCH(Settings!$E$46,$EO$4:$EO$10,0),0)-WEEKDAY(MAX($A127,Settings!$F$46)),7))/7)+1)),IF(AND(IF(Settings!$E$46="",$B127,DATE(YEAR($A127),MONTH($A127),MIN(Settings!$E$46,DAY($B127))))&gt;=MAX($A127,Settings!$F$46),IF(Settings!$E$46="",$B127,DATE(YEAR($A127),MONTH($A127),MIN(Settings!$E$46,DAY($B127))))&lt;=MIN($C127,IF(Settings!$G$46="",$C127,Settings!$G$46))),1,0)))</f>
        <v/>
      </c>
      <c r="BG127">
        <f>IF(OR(Settings!$C$47="",Settings!$D$47=""),0,Settings!$C$47*IF(Settings!$D$47="Weekly",IF(IFERROR(MATCH(Settings!$E$47,$EO$4:$EO$10,0),0)=0,0,IF(MIN($C127,IF(Settings!$G$47="",$C127,Settings!$G$47))&lt;MAX($A127,Settings!$F$47),0,INT((MIN($C127,IF(Settings!$G$47="",$C127,Settings!$G$47))-MAX($A127,Settings!$F$47)-MOD(IFERROR(MATCH(Settings!$E$47,$EO$4:$EO$10,0),0)-WEEKDAY(MAX($A127,Settings!$F$47)),7))/7)+1)),IF(AND(IF(Settings!$E$47="",$B127,DATE(YEAR($A127),MONTH($A127),MIN(Settings!$E$47,DAY($B127))))&gt;=MAX($A127,Settings!$F$47),IF(Settings!$E$47="",$B127,DATE(YEAR($A127),MONTH($A127),MIN(Settings!$E$47,DAY($B127))))&lt;=MIN($C127,IF(Settings!$G$47="",$C127,Settings!$G$47))),1,0)))</f>
        <v/>
      </c>
      <c r="BH127">
        <f>IF(OR(Settings!$C$48="",Settings!$D$48=""),0,Settings!$C$48*IF(Settings!$D$48="Weekly",IF(IFERROR(MATCH(Settings!$E$48,$EO$4:$EO$10,0),0)=0,0,IF(MIN($C127,IF(Settings!$G$48="",$C127,Settings!$G$48))&lt;MAX($A127,Settings!$F$48),0,INT((MIN($C127,IF(Settings!$G$48="",$C127,Settings!$G$48))-MAX($A127,Settings!$F$48)-MOD(IFERROR(MATCH(Settings!$E$48,$EO$4:$EO$10,0),0)-WEEKDAY(MAX($A127,Settings!$F$48)),7))/7)+1)),IF(AND(IF(Settings!$E$48="",$B127,DATE(YEAR($A127),MONTH($A127),MIN(Settings!$E$48,DAY($B127))))&gt;=MAX($A127,Settings!$F$48),IF(Settings!$E$48="",$B127,DATE(YEAR($A127),MONTH($A127),MIN(Settings!$E$48,DAY($B127))))&lt;=MIN($C127,IF(Settings!$G$48="",$C127,Settings!$G$48))),1,0)))</f>
        <v/>
      </c>
      <c r="BI127">
        <f>IF(OR(Settings!$C$49="",Settings!$D$49=""),0,Settings!$C$49*IF(Settings!$D$49="Weekly",IF(IFERROR(MATCH(Settings!$E$49,$EO$4:$EO$10,0),0)=0,0,IF(MIN($C127,IF(Settings!$G$49="",$C127,Settings!$G$49))&lt;MAX($A127,Settings!$F$49),0,INT((MIN($C127,IF(Settings!$G$49="",$C127,Settings!$G$49))-MAX($A127,Settings!$F$49)-MOD(IFERROR(MATCH(Settings!$E$49,$EO$4:$EO$10,0),0)-WEEKDAY(MAX($A127,Settings!$F$49)),7))/7)+1)),IF(AND(IF(Settings!$E$49="",$B127,DATE(YEAR($A127),MONTH($A127),MIN(Settings!$E$49,DAY($B127))))&gt;=MAX($A127,Settings!$F$49),IF(Settings!$E$49="",$B127,DATE(YEAR($A127),MONTH($A127),MIN(Settings!$E$49,DAY($B127))))&lt;=MIN($C127,IF(Settings!$G$49="",$C127,Settings!$G$49))),1,0)))</f>
        <v/>
      </c>
      <c r="BJ127">
        <f>IF(OR(Settings!$C$50="",Settings!$D$50=""),0,Settings!$C$50*IF(Settings!$D$50="Weekly",IF(IFERROR(MATCH(Settings!$E$50,$EO$4:$EO$10,0),0)=0,0,IF(MIN($C127,IF(Settings!$G$50="",$C127,Settings!$G$50))&lt;MAX($A127,Settings!$F$50),0,INT((MIN($C127,IF(Settings!$G$50="",$C127,Settings!$G$50))-MAX($A127,Settings!$F$50)-MOD(IFERROR(MATCH(Settings!$E$50,$EO$4:$EO$10,0),0)-WEEKDAY(MAX($A127,Settings!$F$50)),7))/7)+1)),IF(AND(IF(Settings!$E$50="",$B127,DATE(YEAR($A127),MONTH($A127),MIN(Settings!$E$50,DAY($B127))))&gt;=MAX($A127,Settings!$F$50),IF(Settings!$E$50="",$B127,DATE(YEAR($A127),MONTH($A127),MIN(Settings!$E$50,DAY($B127))))&lt;=MIN($C127,IF(Settings!$G$50="",$C127,Settings!$G$50))),1,0)))</f>
        <v/>
      </c>
      <c r="BK127">
        <f>IF(OR(Settings!$C$51="",Settings!$D$51=""),0,Settings!$C$51*IF(Settings!$D$51="Weekly",IF(IFERROR(MATCH(Settings!$E$51,$EO$4:$EO$10,0),0)=0,0,IF(MIN($C127,IF(Settings!$G$51="",$C127,Settings!$G$51))&lt;MAX($A127,Settings!$F$51),0,INT((MIN($C127,IF(Settings!$G$51="",$C127,Settings!$G$51))-MAX($A127,Settings!$F$51)-MOD(IFERROR(MATCH(Settings!$E$51,$EO$4:$EO$10,0),0)-WEEKDAY(MAX($A127,Settings!$F$51)),7))/7)+1)),IF(AND(IF(Settings!$E$51="",$B127,DATE(YEAR($A127),MONTH($A127),MIN(Settings!$E$51,DAY($B127))))&gt;=MAX($A127,Settings!$F$51),IF(Settings!$E$51="",$B127,DATE(YEAR($A127),MONTH($A127),MIN(Settings!$E$51,DAY($B127))))&lt;=MIN($C127,IF(Settings!$G$51="",$C127,Settings!$G$51))),1,0)))</f>
        <v/>
      </c>
      <c r="BL127">
        <f>IF(OR(Settings!$C$52="",Settings!$D$52=""),0,Settings!$C$52*IF(Settings!$D$52="Weekly",IF(IFERROR(MATCH(Settings!$E$52,$EO$4:$EO$10,0),0)=0,0,IF(MIN($C127,IF(Settings!$G$52="",$C127,Settings!$G$52))&lt;MAX($A127,Settings!$F$52),0,INT((MIN($C127,IF(Settings!$G$52="",$C127,Settings!$G$52))-MAX($A127,Settings!$F$52)-MOD(IFERROR(MATCH(Settings!$E$52,$EO$4:$EO$10,0),0)-WEEKDAY(MAX($A127,Settings!$F$52)),7))/7)+1)),IF(AND(IF(Settings!$E$52="",$B127,DATE(YEAR($A127),MONTH($A127),MIN(Settings!$E$52,DAY($B127))))&gt;=MAX($A127,Settings!$F$52),IF(Settings!$E$52="",$B127,DATE(YEAR($A127),MONTH($A127),MIN(Settings!$E$52,DAY($B127))))&lt;=MIN($C127,IF(Settings!$G$52="",$C127,Settings!$G$52))),1,0)))</f>
        <v/>
      </c>
      <c r="BM127">
        <f>IF(OR(Settings!$C$53="",Settings!$D$53=""),0,Settings!$C$53*IF(Settings!$D$53="Weekly",IF(IFERROR(MATCH(Settings!$E$53,$EO$4:$EO$10,0),0)=0,0,IF(MIN($C127,IF(Settings!$G$53="",$C127,Settings!$G$53))&lt;MAX($A127,Settings!$F$53),0,INT((MIN($C127,IF(Settings!$G$53="",$C127,Settings!$G$53))-MAX($A127,Settings!$F$53)-MOD(IFERROR(MATCH(Settings!$E$53,$EO$4:$EO$10,0),0)-WEEKDAY(MAX($A127,Settings!$F$53)),7))/7)+1)),IF(AND(IF(Settings!$E$53="",$B127,DATE(YEAR($A127),MONTH($A127),MIN(Settings!$E$53,DAY($B127))))&gt;=MAX($A127,Settings!$F$53),IF(Settings!$E$53="",$B127,DATE(YEAR($A127),MONTH($A127),MIN(Settings!$E$53,DAY($B127))))&lt;=MIN($C127,IF(Settings!$G$53="",$C127,Settings!$G$53))),1,0)))</f>
        <v/>
      </c>
      <c r="BN127">
        <f>IF(OR(Settings!$C$54="",Settings!$D$54=""),0,Settings!$C$54*IF(Settings!$D$54="Weekly",IF(IFERROR(MATCH(Settings!$E$54,$EO$4:$EO$10,0),0)=0,0,IF(MIN($C127,IF(Settings!$G$54="",$C127,Settings!$G$54))&lt;MAX($A127,Settings!$F$54),0,INT((MIN($C127,IF(Settings!$G$54="",$C127,Settings!$G$54))-MAX($A127,Settings!$F$54)-MOD(IFERROR(MATCH(Settings!$E$54,$EO$4:$EO$10,0),0)-WEEKDAY(MAX($A127,Settings!$F$54)),7))/7)+1)),IF(AND(IF(Settings!$E$54="",$B127,DATE(YEAR($A127),MONTH($A127),MIN(Settings!$E$54,DAY($B127))))&gt;=MAX($A127,Settings!$F$54),IF(Settings!$E$54="",$B127,DATE(YEAR($A127),MONTH($A127),MIN(Settings!$E$54,DAY($B127))))&lt;=MIN($C127,IF(Settings!$G$54="",$C127,Settings!$G$54))),1,0)))</f>
        <v/>
      </c>
      <c r="BO127">
        <f>IF(OR(Settings!$C$55="",Settings!$D$55=""),0,Settings!$C$55*IF(Settings!$D$55="Weekly",IF(IFERROR(MATCH(Settings!$E$55,$EO$4:$EO$10,0),0)=0,0,IF(MIN($C127,IF(Settings!$G$55="",$C127,Settings!$G$55))&lt;MAX($A127,Settings!$F$55),0,INT((MIN($C127,IF(Settings!$G$55="",$C127,Settings!$G$55))-MAX($A127,Settings!$F$55)-MOD(IFERROR(MATCH(Settings!$E$55,$EO$4:$EO$10,0),0)-WEEKDAY(MAX($A127,Settings!$F$55)),7))/7)+1)),IF(AND(IF(Settings!$E$55="",$B127,DATE(YEAR($A127),MONTH($A127),MIN(Settings!$E$55,DAY($B127))))&gt;=MAX($A127,Settings!$F$55),IF(Settings!$E$55="",$B127,DATE(YEAR($A127),MONTH($A127),MIN(Settings!$E$55,DAY($B127))))&lt;=MIN($C127,IF(Settings!$G$55="",$C127,Settings!$G$55))),1,0)))</f>
        <v/>
      </c>
      <c r="BP127">
        <f>IF(OR(Settings!$C$56="",Settings!$D$56=""),0,Settings!$C$56*IF(Settings!$D$56="Weekly",IF(IFERROR(MATCH(Settings!$E$56,$EO$4:$EO$10,0),0)=0,0,IF(MIN($C127,IF(Settings!$G$56="",$C127,Settings!$G$56))&lt;MAX($A127,Settings!$F$56),0,INT((MIN($C127,IF(Settings!$G$56="",$C127,Settings!$G$56))-MAX($A127,Settings!$F$56)-MOD(IFERROR(MATCH(Settings!$E$56,$EO$4:$EO$10,0),0)-WEEKDAY(MAX($A127,Settings!$F$56)),7))/7)+1)),IF(AND(IF(Settings!$E$56="",$B127,DATE(YEAR($A127),MONTH($A127),MIN(Settings!$E$56,DAY($B127))))&gt;=MAX($A127,Settings!$F$56),IF(Settings!$E$56="",$B127,DATE(YEAR($A127),MONTH($A127),MIN(Settings!$E$56,DAY($B127))))&lt;=MIN($C127,IF(Settings!$G$56="",$C127,Settings!$G$56))),1,0)))</f>
        <v/>
      </c>
      <c r="BQ127">
        <f>IF(OR(Settings!$B$14="",$D127=1,$E127="pre",$A127&lt;IF(Settings!$B$15="",0,Settings!$B$15)),0,Settings!$B$14)</f>
        <v/>
      </c>
      <c r="BR127">
        <f>IF(AND('Month-End'!$DT$7&lt;&gt;"",NOT(_xlfn.ISFORMULA('Month-End'!$DT$7))),1,0)</f>
        <v/>
      </c>
      <c r="BS127">
        <f>IF(AND('Month-End'!$DT$8&lt;&gt;"",NOT(_xlfn.ISFORMULA('Month-End'!$DT$8))),1,0)</f>
        <v/>
      </c>
      <c r="BT127">
        <f>IF(AND('Month-End'!$DT$9&lt;&gt;"",NOT(_xlfn.ISFORMULA('Month-End'!$DT$9))),1,0)</f>
        <v/>
      </c>
      <c r="BU127">
        <f>IF(AND('Month-End'!$DT$10&lt;&gt;"",NOT(_xlfn.ISFORMULA('Month-End'!$DT$10))),1,0)</f>
        <v/>
      </c>
      <c r="BV127">
        <f>IF(AND('Month-End'!$DT$11&lt;&gt;"",NOT(_xlfn.ISFORMULA('Month-End'!$DT$11))),1,0)</f>
        <v/>
      </c>
      <c r="BW127">
        <f>IF(AND('Month-End'!$DT$12&lt;&gt;"",NOT(_xlfn.ISFORMULA('Month-End'!$DT$12))),1,0)</f>
        <v/>
      </c>
      <c r="BX127">
        <f>IF(AND('Month-End'!$DT$13&lt;&gt;"",NOT(_xlfn.ISFORMULA('Month-End'!$DT$13))),1,0)</f>
        <v/>
      </c>
      <c r="BY127">
        <f>IF(AND('Month-End'!$DT$14&lt;&gt;"",NOT(_xlfn.ISFORMULA('Month-End'!$DT$14))),1,0)</f>
        <v/>
      </c>
      <c r="BZ127">
        <f>IF(AND('Month-End'!$DT$15&lt;&gt;"",NOT(_xlfn.ISFORMULA('Month-End'!$DT$15))),1,0)</f>
        <v/>
      </c>
      <c r="CA127">
        <f>IF(AND('Month-End'!$DT$16&lt;&gt;"",NOT(_xlfn.ISFORMULA('Month-End'!$DT$16))),1,0)</f>
        <v/>
      </c>
      <c r="CB127">
        <f>IF(AND('Month-End'!$DT$17&lt;&gt;"",NOT(_xlfn.ISFORMULA('Month-End'!$DT$17))),1,0)</f>
        <v/>
      </c>
      <c r="CC127">
        <f>IF(AND('Month-End'!$DT$18&lt;&gt;"",NOT(_xlfn.ISFORMULA('Month-End'!$DT$18))),1,0)</f>
        <v/>
      </c>
      <c r="CD127">
        <f>IF(AND('Month-End'!$DT$19&lt;&gt;"",NOT(_xlfn.ISFORMULA('Month-End'!$DT$19))),1,0)</f>
        <v/>
      </c>
      <c r="CE127">
        <f>IF(AND('Month-End'!$DT$20&lt;&gt;"",NOT(_xlfn.ISFORMULA('Month-End'!$DT$20))),1,0)</f>
        <v/>
      </c>
      <c r="CF127">
        <f>IF(AND('Month-End'!$DT$38&lt;&gt;"",NOT(_xlfn.ISFORMULA('Month-End'!$DT$38))),1,0)</f>
        <v/>
      </c>
      <c r="CG127">
        <f>IF(AND('Month-End'!$DT$39&lt;&gt;"",NOT(_xlfn.ISFORMULA('Month-End'!$DT$39))),1,0)</f>
        <v/>
      </c>
      <c r="CH127">
        <f>IF(AND('Month-End'!$DT$40&lt;&gt;"",NOT(_xlfn.ISFORMULA('Month-End'!$DT$40))),1,0)</f>
        <v/>
      </c>
      <c r="CI127">
        <f>IF(AND('Month-End'!$DT$41&lt;&gt;"",NOT(_xlfn.ISFORMULA('Month-End'!$DT$41))),1,0)</f>
        <v/>
      </c>
      <c r="CJ127">
        <f>IF(AND('Month-End'!$DT$42&lt;&gt;"",NOT(_xlfn.ISFORMULA('Month-End'!$DT$42))),1,0)</f>
        <v/>
      </c>
      <c r="CK127">
        <f>IF(AND('Month-End'!$DT$43&lt;&gt;"",NOT(_xlfn.ISFORMULA('Month-End'!$DT$43))),1,0)</f>
        <v/>
      </c>
      <c r="CL127">
        <f>SUM($CM127:$CZ127)</f>
        <v/>
      </c>
      <c r="CM127">
        <f>IF(AND($E127&lt;&gt;"pre",AND(Settings!$A$19&lt;&gt;"",Settings!$E$19&lt;&gt;"No"),Settings!$F$19="Yes",NOT(AND('Month-End'!$DT$7&lt;&gt;"",NOT(_xlfn.ISFORMULA('Month-End'!$DT$7))))),1,0)</f>
        <v/>
      </c>
      <c r="CN127">
        <f>IF(AND($E127&lt;&gt;"pre",AND(Settings!$A$20&lt;&gt;"",Settings!$E$20&lt;&gt;"No"),Settings!$F$20="Yes",NOT(AND('Month-End'!$DT$8&lt;&gt;"",NOT(_xlfn.ISFORMULA('Month-End'!$DT$8))))),1,0)</f>
        <v/>
      </c>
      <c r="CO127">
        <f>IF(AND($E127&lt;&gt;"pre",AND(Settings!$A$21&lt;&gt;"",Settings!$E$21&lt;&gt;"No"),Settings!$F$21="Yes",NOT(AND('Month-End'!$DT$9&lt;&gt;"",NOT(_xlfn.ISFORMULA('Month-End'!$DT$9))))),1,0)</f>
        <v/>
      </c>
      <c r="CP127">
        <f>IF(AND($E127&lt;&gt;"pre",AND(Settings!$A$22&lt;&gt;"",Settings!$E$22&lt;&gt;"No"),Settings!$F$22="Yes",NOT(AND('Month-End'!$DT$10&lt;&gt;"",NOT(_xlfn.ISFORMULA('Month-End'!$DT$10))))),1,0)</f>
        <v/>
      </c>
      <c r="CQ127">
        <f>IF(AND($E127&lt;&gt;"pre",AND(Settings!$A$23&lt;&gt;"",Settings!$E$23&lt;&gt;"No"),Settings!$F$23="Yes",NOT(AND('Month-End'!$DT$11&lt;&gt;"",NOT(_xlfn.ISFORMULA('Month-End'!$DT$11))))),1,0)</f>
        <v/>
      </c>
      <c r="CR127">
        <f>IF(AND($E127&lt;&gt;"pre",AND(Settings!$A$24&lt;&gt;"",Settings!$E$24&lt;&gt;"No"),Settings!$F$24="Yes",NOT(AND('Month-End'!$DT$12&lt;&gt;"",NOT(_xlfn.ISFORMULA('Month-End'!$DT$12))))),1,0)</f>
        <v/>
      </c>
      <c r="CS127">
        <f>IF(AND($E127&lt;&gt;"pre",AND(Settings!$A$25&lt;&gt;"",Settings!$E$25&lt;&gt;"No"),Settings!$F$25="Yes",NOT(AND('Month-End'!$DT$13&lt;&gt;"",NOT(_xlfn.ISFORMULA('Month-End'!$DT$13))))),1,0)</f>
        <v/>
      </c>
      <c r="CT127">
        <f>IF(AND($E127&lt;&gt;"pre",AND(Settings!$A$26&lt;&gt;"",Settings!$E$26&lt;&gt;"No"),Settings!$F$26="Yes",NOT(AND('Month-End'!$DT$14&lt;&gt;"",NOT(_xlfn.ISFORMULA('Month-End'!$DT$14))))),1,0)</f>
        <v/>
      </c>
      <c r="CU127">
        <f>IF(AND($E127&lt;&gt;"pre",AND(Settings!$A$27&lt;&gt;"",Settings!$E$27&lt;&gt;"No"),Settings!$F$27="Yes",NOT(AND('Month-End'!$DT$15&lt;&gt;"",NOT(_xlfn.ISFORMULA('Month-End'!$DT$15))))),1,0)</f>
        <v/>
      </c>
      <c r="CV127">
        <f>IF(AND($E127&lt;&gt;"pre",AND(Settings!$A$28&lt;&gt;"",Settings!$E$28&lt;&gt;"No"),Settings!$F$28="Yes",NOT(AND('Month-End'!$DT$16&lt;&gt;"",NOT(_xlfn.ISFORMULA('Month-End'!$DT$16))))),1,0)</f>
        <v/>
      </c>
      <c r="CW127">
        <f>IF(AND($E127&lt;&gt;"pre",AND(Settings!$A$29&lt;&gt;"",Settings!$E$29&lt;&gt;"No"),Settings!$F$29="Yes",NOT(AND('Month-End'!$DT$17&lt;&gt;"",NOT(_xlfn.ISFORMULA('Month-End'!$DT$17))))),1,0)</f>
        <v/>
      </c>
      <c r="CX127">
        <f>IF(AND($E127&lt;&gt;"pre",AND(Settings!$A$30&lt;&gt;"",Settings!$E$30&lt;&gt;"No"),Settings!$F$30="Yes",NOT(AND('Month-End'!$DT$18&lt;&gt;"",NOT(_xlfn.ISFORMULA('Month-End'!$DT$18))))),1,0)</f>
        <v/>
      </c>
      <c r="CY127">
        <f>IF(AND($E127&lt;&gt;"pre",AND(Settings!$A$31&lt;&gt;"",Settings!$E$31&lt;&gt;"No"),Settings!$F$31="Yes",NOT(AND('Month-End'!$DT$19&lt;&gt;"",NOT(_xlfn.ISFORMULA('Month-End'!$DT$19))))),1,0)</f>
        <v/>
      </c>
      <c r="CZ127">
        <f>IF(AND($E127&lt;&gt;"pre",AND(Settings!$A$32&lt;&gt;"",Settings!$E$32&lt;&gt;"No"),Settings!$F$32="Yes",NOT(AND('Month-End'!$DT$20&lt;&gt;"",NOT(_xlfn.ISFORMULA('Month-End'!$DT$20))))),1,0)</f>
        <v/>
      </c>
      <c r="DA127">
        <f>IF($DT127=1,IF(OR(Settings!$B$19="Checking",Settings!$B$19="Savings",Settings!$B$19="Cash"),N($AE127),IF(OR(Settings!$B$19="Card",Settings!$B$19="Loan"),-N($AE127),0))+IF(OR(Settings!$B$20="Checking",Settings!$B$20="Savings",Settings!$B$20="Cash"),N($AF127),IF(OR(Settings!$B$20="Card",Settings!$B$20="Loan"),-N($AF127),0))+IF(OR(Settings!$B$21="Checking",Settings!$B$21="Savings",Settings!$B$21="Cash"),N($AG127),IF(OR(Settings!$B$21="Card",Settings!$B$21="Loan"),-N($AG127),0))+IF(OR(Settings!$B$22="Checking",Settings!$B$22="Savings",Settings!$B$22="Cash"),N($AH127),IF(OR(Settings!$B$22="Card",Settings!$B$22="Loan"),-N($AH127),0))+IF(OR(Settings!$B$23="Checking",Settings!$B$23="Savings",Settings!$B$23="Cash"),N($AI127),IF(OR(Settings!$B$23="Card",Settings!$B$23="Loan"),-N($AI127),0))+IF(OR(Settings!$B$24="Checking",Settings!$B$24="Savings",Settings!$B$24="Cash"),N($AJ127),IF(OR(Settings!$B$24="Card",Settings!$B$24="Loan"),-N($AJ127),0))+IF(OR(Settings!$B$25="Checking",Settings!$B$25="Savings",Settings!$B$25="Cash"),N($AK127),IF(OR(Settings!$B$25="Card",Settings!$B$25="Loan"),-N($AK127),0))+IF(OR(Settings!$B$26="Checking",Settings!$B$26="Savings",Settings!$B$26="Cash"),N($AL127),IF(OR(Settings!$B$26="Card",Settings!$B$26="Loan"),-N($AL127),0))+IF(OR(Settings!$B$27="Checking",Settings!$B$27="Savings",Settings!$B$27="Cash"),N($AM127),IF(OR(Settings!$B$27="Card",Settings!$B$27="Loan"),-N($AM127),0))+IF(OR(Settings!$B$28="Checking",Settings!$B$28="Savings",Settings!$B$28="Cash"),N($AN127),IF(OR(Settings!$B$28="Card",Settings!$B$28="Loan"),-N($AN127),0))+IF(OR(Settings!$B$29="Checking",Settings!$B$29="Savings",Settings!$B$29="Cash"),N($AO127),IF(OR(Settings!$B$29="Card",Settings!$B$29="Loan"),-N($AO127),0))+IF(OR(Settings!$B$30="Checking",Settings!$B$30="Savings",Settings!$B$30="Cash"),N($AP127),IF(OR(Settings!$B$30="Card",Settings!$B$30="Loan"),-N($AP127),0))+IF(OR(Settings!$B$31="Checking",Settings!$B$31="Savings",Settings!$B$31="Cash"),N($AQ127),IF(OR(Settings!$B$31="Card",Settings!$B$31="Loan"),-N($AQ127),0))+IF(OR(Settings!$B$32="Checking",Settings!$B$32="Savings",Settings!$B$32="Cash"),N($AR127),IF(OR(Settings!$B$32="Card",Settings!$B$32="Loan"),-N($AR127),0)),"")</f>
        <v/>
      </c>
      <c r="DB127">
        <f>IF($E127="open",$EB$27,IF($E127="post",IF($E126="pre",$EB$27,$DA126),""))</f>
        <v/>
      </c>
      <c r="DC127">
        <f>IF($E127="open",1,IF($E127="post",IF($E126="pre",1,$DT126),0))</f>
        <v/>
      </c>
      <c r="DD127">
        <f>IF(AND($DT127=1,$DC127=1),ROUND($W127-($DA127-$DB127)-$AD127-$AB127,2),"")</f>
        <v/>
      </c>
      <c r="DE127">
        <f>IF('Month-End'!$DT$35="",$BQ127,N('Month-End'!$DT$35))</f>
        <v/>
      </c>
      <c r="DF127">
        <f>N('Month-End'!$DT$36)</f>
        <v/>
      </c>
      <c r="DG127">
        <f>IF($DD127="","",$DD127+$DE127)</f>
        <v/>
      </c>
      <c r="DH127">
        <f>IF($DG127="","",$DG127-$DF127)</f>
        <v/>
      </c>
      <c r="DI127">
        <f>IF(OR($E127="pre",$D127=1),"",N($AS127)+N($AT127)+N($AU127)+N($AV127)+N($AW127)+N($AX127))</f>
        <v/>
      </c>
      <c r="DJ127">
        <f>IF($DT127=1,$DA127+N($DI127),"")</f>
        <v/>
      </c>
      <c r="DK127">
        <f>IF($DD127="","",$W127-$DD127-$AB127)</f>
        <v/>
      </c>
      <c r="DL127">
        <f>IF(AND($E127="post",$DD127&lt;&gt;"",$B127&lt;TODAY()),1,0)</f>
        <v/>
      </c>
      <c r="DM127">
        <f>IF($DL127=1,COUNTIF($DL127:$DL$183,1),0)</f>
        <v/>
      </c>
      <c r="DN127">
        <f>IF($D127=1,"",IF($E127="pre","History only",IF($DT127=1,IF($DD127="","⚠ Previous month missing",IF($DD127&lt;0,"⚠ Check: spending &lt; 0",IF($E127="open","✓ Done (partial)","✓ Done"))),IF($B127&gt;=TODAY(),"In progress","⚠ Needs balances"))))</f>
        <v/>
      </c>
      <c r="DO127">
        <f>YEAR($A127)</f>
        <v/>
      </c>
      <c r="DP127">
        <f>DATE(YEAR($A127),INT((MONTH($A127)-1)/3)*3+1,1)</f>
        <v/>
      </c>
      <c r="DQ127">
        <f>IF(AND($DT127=1,$DD127&lt;&gt;"",$D127=0),ROW(),0)</f>
        <v/>
      </c>
      <c r="DR127">
        <f>IF(AND($E127&lt;&gt;"pre",$B127&lt;TODAY(),$DT127=0),1,0)</f>
        <v/>
      </c>
      <c r="DS127">
        <f>IF($DJ127="",NA(),$DJ127)</f>
        <v/>
      </c>
      <c r="DT127">
        <f>IF(AND($E127&lt;&gt;"pre",$CL127=0,COUNTIFS(Settings!$F$19:$F$32,"Yes",Settings!$A$19:$A$32,"&lt;&gt;",Settings!$E$19:$E$32,"&lt;&gt;No")&gt;0),1,0)</f>
        <v/>
      </c>
      <c r="DU127">
        <f>IF(AND($B127&lt;TODAY(),$S127&gt;0),1,0)</f>
        <v/>
      </c>
      <c r="DV127">
        <f>IF($DU127=1,COUNTIF($DU127:$DU$183,1),0)</f>
        <v/>
      </c>
      <c r="DW127">
        <f>IF(AND(OR(Settings!$B$19="Card",Settings!$B$19="Loan"),AND('Month-End'!$DT$7&lt;&gt;"",NOT(_xlfn.ISFORMULA('Month-End'!$DT$7)))),IF(N('Month-End'!$DT$7)&lt;0,1,0),0)+IF(AND(OR(Settings!$B$20="Card",Settings!$B$20="Loan"),AND('Month-End'!$DT$8&lt;&gt;"",NOT(_xlfn.ISFORMULA('Month-End'!$DT$8)))),IF(N('Month-End'!$DT$8)&lt;0,1,0),0)+IF(AND(OR(Settings!$B$21="Card",Settings!$B$21="Loan"),AND('Month-End'!$DT$9&lt;&gt;"",NOT(_xlfn.ISFORMULA('Month-End'!$DT$9)))),IF(N('Month-End'!$DT$9)&lt;0,1,0),0)+IF(AND(OR(Settings!$B$22="Card",Settings!$B$22="Loan"),AND('Month-End'!$DT$10&lt;&gt;"",NOT(_xlfn.ISFORMULA('Month-End'!$DT$10)))),IF(N('Month-End'!$DT$10)&lt;0,1,0),0)+IF(AND(OR(Settings!$B$23="Card",Settings!$B$23="Loan"),AND('Month-End'!$DT$11&lt;&gt;"",NOT(_xlfn.ISFORMULA('Month-End'!$DT$11)))),IF(N('Month-End'!$DT$11)&lt;0,1,0),0)+IF(AND(OR(Settings!$B$24="Card",Settings!$B$24="Loan"),AND('Month-End'!$DT$12&lt;&gt;"",NOT(_xlfn.ISFORMULA('Month-End'!$DT$12)))),IF(N('Month-End'!$DT$12)&lt;0,1,0),0)+IF(AND(OR(Settings!$B$25="Card",Settings!$B$25="Loan"),AND('Month-End'!$DT$13&lt;&gt;"",NOT(_xlfn.ISFORMULA('Month-End'!$DT$13)))),IF(N('Month-End'!$DT$13)&lt;0,1,0),0)+IF(AND(OR(Settings!$B$26="Card",Settings!$B$26="Loan"),AND('Month-End'!$DT$14&lt;&gt;"",NOT(_xlfn.ISFORMULA('Month-End'!$DT$14)))),IF(N('Month-End'!$DT$14)&lt;0,1,0),0)+IF(AND(OR(Settings!$B$27="Card",Settings!$B$27="Loan"),AND('Month-End'!$DT$15&lt;&gt;"",NOT(_xlfn.ISFORMULA('Month-End'!$DT$15)))),IF(N('Month-End'!$DT$15)&lt;0,1,0),0)+IF(AND(OR(Settings!$B$28="Card",Settings!$B$28="Loan"),AND('Month-End'!$DT$16&lt;&gt;"",NOT(_xlfn.ISFORMULA('Month-End'!$DT$16)))),IF(N('Month-End'!$DT$16)&lt;0,1,0),0)+IF(AND(OR(Settings!$B$29="Card",Settings!$B$29="Loan"),AND('Month-End'!$DT$17&lt;&gt;"",NOT(_xlfn.ISFORMULA('Month-End'!$DT$17)))),IF(N('Month-End'!$DT$17)&lt;0,1,0),0)+IF(AND(OR(Settings!$B$30="Card",Settings!$B$30="Loan"),AND('Month-End'!$DT$18&lt;&gt;"",NOT(_xlfn.ISFORMULA('Month-End'!$DT$18)))),IF(N('Month-End'!$DT$18)&lt;0,1,0),0)+IF(AND(OR(Settings!$B$31="Card",Settings!$B$31="Loan"),AND('Month-End'!$DT$19&lt;&gt;"",NOT(_xlfn.ISFORMULA('Month-End'!$DT$19)))),IF(N('Month-End'!$DT$19)&lt;0,1,0),0)+IF(AND(OR(Settings!$B$32="Card",Settings!$B$32="Loan"),AND('Month-End'!$DT$20&lt;&gt;"",NOT(_xlfn.ISFORMULA('Month-End'!$DT$20)))),IF(N('Month-End'!$DT$20)&lt;0,1,0),0)</f>
        <v/>
      </c>
      <c r="DX127">
        <f>IF(Settings!$B$36="Retirement",$AY127,0)+IF(Settings!$B$37="Retirement",$AZ127,0)+IF(Settings!$B$38="Retirement",$BA127,0)+IF(Settings!$B$39="Retirement",$BB127,0)+IF(Settings!$B$40="Retirement",$BC127,0)+IF(Settings!$B$41="Retirement",$BD127,0)</f>
        <v/>
      </c>
      <c r="ET127">
        <f>IF($E127&lt;&gt;"open",0,IF(AND('Month-End'!$DT$22&lt;&gt;"",NOT(_xlfn.ISFORMULA('Month-End'!$DT$22))),0,IF(OR(Settings!$C$45="",Settings!$D$45=""),0,Settings!$C$45*IF(Settings!$D$45="Weekly",IF(IFERROR(MATCH(Settings!$E$45,$EO$4:$EO$10,0),0)=0,0,IF(MIN(Settings!$B$5,IF(Settings!$G$45="",Settings!$B$5,Settings!$G$45))&lt;MAX($A127,Settings!$F$45),0,INT((MIN(Settings!$B$5,IF(Settings!$G$45="",Settings!$B$5,Settings!$G$45))-MAX($A127,Settings!$F$45)-MOD(IFERROR(MATCH(Settings!$E$45,$EO$4:$EO$10,0),0)-WEEKDAY(MAX($A127,Settings!$F$45)),7))/7)+1)),IF(AND(IF(Settings!$E$45="",$B127,DATE(YEAR($A127),MONTH($A127),MIN(Settings!$E$45,DAY($B127))))&gt;=MAX($A127,Settings!$F$45),IF(Settings!$E$45="",$B127,DATE(YEAR($A127),MONTH($A127),MIN(Settings!$E$45,DAY($B127))))&lt;=MIN(Settings!$B$5,IF(Settings!$G$45="",Settings!$B$5,Settings!$G$45))),1,0)))))</f>
        <v/>
      </c>
      <c r="EU127">
        <f>IF($E127&lt;&gt;"open",0,IF(AND('Month-End'!$DT$23&lt;&gt;"",NOT(_xlfn.ISFORMULA('Month-End'!$DT$23))),0,IF(OR(Settings!$C$46="",Settings!$D$46=""),0,Settings!$C$46*IF(Settings!$D$46="Weekly",IF(IFERROR(MATCH(Settings!$E$46,$EO$4:$EO$10,0),0)=0,0,IF(MIN(Settings!$B$5,IF(Settings!$G$46="",Settings!$B$5,Settings!$G$46))&lt;MAX($A127,Settings!$F$46),0,INT((MIN(Settings!$B$5,IF(Settings!$G$46="",Settings!$B$5,Settings!$G$46))-MAX($A127,Settings!$F$46)-MOD(IFERROR(MATCH(Settings!$E$46,$EO$4:$EO$10,0),0)-WEEKDAY(MAX($A127,Settings!$F$46)),7))/7)+1)),IF(AND(IF(Settings!$E$46="",$B127,DATE(YEAR($A127),MONTH($A127),MIN(Settings!$E$46,DAY($B127))))&gt;=MAX($A127,Settings!$F$46),IF(Settings!$E$46="",$B127,DATE(YEAR($A127),MONTH($A127),MIN(Settings!$E$46,DAY($B127))))&lt;=MIN(Settings!$B$5,IF(Settings!$G$46="",Settings!$B$5,Settings!$G$46))),1,0)))))</f>
        <v/>
      </c>
      <c r="EV127">
        <f>IF($E127&lt;&gt;"open",0,IF(AND('Month-End'!$DT$24&lt;&gt;"",NOT(_xlfn.ISFORMULA('Month-End'!$DT$24))),0,IF(OR(Settings!$C$47="",Settings!$D$47=""),0,Settings!$C$47*IF(Settings!$D$47="Weekly",IF(IFERROR(MATCH(Settings!$E$47,$EO$4:$EO$10,0),0)=0,0,IF(MIN(Settings!$B$5,IF(Settings!$G$47="",Settings!$B$5,Settings!$G$47))&lt;MAX($A127,Settings!$F$47),0,INT((MIN(Settings!$B$5,IF(Settings!$G$47="",Settings!$B$5,Settings!$G$47))-MAX($A127,Settings!$F$47)-MOD(IFERROR(MATCH(Settings!$E$47,$EO$4:$EO$10,0),0)-WEEKDAY(MAX($A127,Settings!$F$47)),7))/7)+1)),IF(AND(IF(Settings!$E$47="",$B127,DATE(YEAR($A127),MONTH($A127),MIN(Settings!$E$47,DAY($B127))))&gt;=MAX($A127,Settings!$F$47),IF(Settings!$E$47="",$B127,DATE(YEAR($A127),MONTH($A127),MIN(Settings!$E$47,DAY($B127))))&lt;=MIN(Settings!$B$5,IF(Settings!$G$47="",Settings!$B$5,Settings!$G$47))),1,0)))))</f>
        <v/>
      </c>
      <c r="EW127">
        <f>IF($E127&lt;&gt;"open",0,IF(AND('Month-End'!$DT$25&lt;&gt;"",NOT(_xlfn.ISFORMULA('Month-End'!$DT$25))),0,IF(OR(Settings!$C$48="",Settings!$D$48=""),0,Settings!$C$48*IF(Settings!$D$48="Weekly",IF(IFERROR(MATCH(Settings!$E$48,$EO$4:$EO$10,0),0)=0,0,IF(MIN(Settings!$B$5,IF(Settings!$G$48="",Settings!$B$5,Settings!$G$48))&lt;MAX($A127,Settings!$F$48),0,INT((MIN(Settings!$B$5,IF(Settings!$G$48="",Settings!$B$5,Settings!$G$48))-MAX($A127,Settings!$F$48)-MOD(IFERROR(MATCH(Settings!$E$48,$EO$4:$EO$10,0),0)-WEEKDAY(MAX($A127,Settings!$F$48)),7))/7)+1)),IF(AND(IF(Settings!$E$48="",$B127,DATE(YEAR($A127),MONTH($A127),MIN(Settings!$E$48,DAY($B127))))&gt;=MAX($A127,Settings!$F$48),IF(Settings!$E$48="",$B127,DATE(YEAR($A127),MONTH($A127),MIN(Settings!$E$48,DAY($B127))))&lt;=MIN(Settings!$B$5,IF(Settings!$G$48="",Settings!$B$5,Settings!$G$48))),1,0)))))</f>
        <v/>
      </c>
      <c r="EX127">
        <f>IF($E127&lt;&gt;"open",0,IF(AND('Month-End'!$DT$26&lt;&gt;"",NOT(_xlfn.ISFORMULA('Month-End'!$DT$26))),0,IF(OR(Settings!$C$49="",Settings!$D$49=""),0,Settings!$C$49*IF(Settings!$D$49="Weekly",IF(IFERROR(MATCH(Settings!$E$49,$EO$4:$EO$10,0),0)=0,0,IF(MIN(Settings!$B$5,IF(Settings!$G$49="",Settings!$B$5,Settings!$G$49))&lt;MAX($A127,Settings!$F$49),0,INT((MIN(Settings!$B$5,IF(Settings!$G$49="",Settings!$B$5,Settings!$G$49))-MAX($A127,Settings!$F$49)-MOD(IFERROR(MATCH(Settings!$E$49,$EO$4:$EO$10,0),0)-WEEKDAY(MAX($A127,Settings!$F$49)),7))/7)+1)),IF(AND(IF(Settings!$E$49="",$B127,DATE(YEAR($A127),MONTH($A127),MIN(Settings!$E$49,DAY($B127))))&gt;=MAX($A127,Settings!$F$49),IF(Settings!$E$49="",$B127,DATE(YEAR($A127),MONTH($A127),MIN(Settings!$E$49,DAY($B127))))&lt;=MIN(Settings!$B$5,IF(Settings!$G$49="",Settings!$B$5,Settings!$G$49))),1,0)))))</f>
        <v/>
      </c>
      <c r="EY127">
        <f>IF($E127&lt;&gt;"open",0,IF(AND('Month-End'!$DT$27&lt;&gt;"",NOT(_xlfn.ISFORMULA('Month-End'!$DT$27))),0,IF(OR(Settings!$C$50="",Settings!$D$50=""),0,Settings!$C$50*IF(Settings!$D$50="Weekly",IF(IFERROR(MATCH(Settings!$E$50,$EO$4:$EO$10,0),0)=0,0,IF(MIN(Settings!$B$5,IF(Settings!$G$50="",Settings!$B$5,Settings!$G$50))&lt;MAX($A127,Settings!$F$50),0,INT((MIN(Settings!$B$5,IF(Settings!$G$50="",Settings!$B$5,Settings!$G$50))-MAX($A127,Settings!$F$50)-MOD(IFERROR(MATCH(Settings!$E$50,$EO$4:$EO$10,0),0)-WEEKDAY(MAX($A127,Settings!$F$50)),7))/7)+1)),IF(AND(IF(Settings!$E$50="",$B127,DATE(YEAR($A127),MONTH($A127),MIN(Settings!$E$50,DAY($B127))))&gt;=MAX($A127,Settings!$F$50),IF(Settings!$E$50="",$B127,DATE(YEAR($A127),MONTH($A127),MIN(Settings!$E$50,DAY($B127))))&lt;=MIN(Settings!$B$5,IF(Settings!$G$50="",Settings!$B$5,Settings!$G$50))),1,0)))))</f>
        <v/>
      </c>
      <c r="EZ127">
        <f>IF($E127&lt;&gt;"open",0,IF(AND('Month-End'!$DT$28&lt;&gt;"",NOT(_xlfn.ISFORMULA('Month-End'!$DT$28))),0,IF(OR(Settings!$C$51="",Settings!$D$51=""),0,Settings!$C$51*IF(Settings!$D$51="Weekly",IF(IFERROR(MATCH(Settings!$E$51,$EO$4:$EO$10,0),0)=0,0,IF(MIN(Settings!$B$5,IF(Settings!$G$51="",Settings!$B$5,Settings!$G$51))&lt;MAX($A127,Settings!$F$51),0,INT((MIN(Settings!$B$5,IF(Settings!$G$51="",Settings!$B$5,Settings!$G$51))-MAX($A127,Settings!$F$51)-MOD(IFERROR(MATCH(Settings!$E$51,$EO$4:$EO$10,0),0)-WEEKDAY(MAX($A127,Settings!$F$51)),7))/7)+1)),IF(AND(IF(Settings!$E$51="",$B127,DATE(YEAR($A127),MONTH($A127),MIN(Settings!$E$51,DAY($B127))))&gt;=MAX($A127,Settings!$F$51),IF(Settings!$E$51="",$B127,DATE(YEAR($A127),MONTH($A127),MIN(Settings!$E$51,DAY($B127))))&lt;=MIN(Settings!$B$5,IF(Settings!$G$51="",Settings!$B$5,Settings!$G$51))),1,0)))))</f>
        <v/>
      </c>
      <c r="FA127">
        <f>IF($E127&lt;&gt;"open",0,IF(AND('Month-End'!$DT$29&lt;&gt;"",NOT(_xlfn.ISFORMULA('Month-End'!$DT$29))),0,IF(OR(Settings!$C$52="",Settings!$D$52=""),0,Settings!$C$52*IF(Settings!$D$52="Weekly",IF(IFERROR(MATCH(Settings!$E$52,$EO$4:$EO$10,0),0)=0,0,IF(MIN(Settings!$B$5,IF(Settings!$G$52="",Settings!$B$5,Settings!$G$52))&lt;MAX($A127,Settings!$F$52),0,INT((MIN(Settings!$B$5,IF(Settings!$G$52="",Settings!$B$5,Settings!$G$52))-MAX($A127,Settings!$F$52)-MOD(IFERROR(MATCH(Settings!$E$52,$EO$4:$EO$10,0),0)-WEEKDAY(MAX($A127,Settings!$F$52)),7))/7)+1)),IF(AND(IF(Settings!$E$52="",$B127,DATE(YEAR($A127),MONTH($A127),MIN(Settings!$E$52,DAY($B127))))&gt;=MAX($A127,Settings!$F$52),IF(Settings!$E$52="",$B127,DATE(YEAR($A127),MONTH($A127),MIN(Settings!$E$52,DAY($B127))))&lt;=MIN(Settings!$B$5,IF(Settings!$G$52="",Settings!$B$5,Settings!$G$52))),1,0)))))</f>
        <v/>
      </c>
      <c r="FB127">
        <f>IF($E127&lt;&gt;"open",0,IF(AND('Month-End'!$DT$30&lt;&gt;"",NOT(_xlfn.ISFORMULA('Month-End'!$DT$30))),0,IF(OR(Settings!$C$53="",Settings!$D$53=""),0,Settings!$C$53*IF(Settings!$D$53="Weekly",IF(IFERROR(MATCH(Settings!$E$53,$EO$4:$EO$10,0),0)=0,0,IF(MIN(Settings!$B$5,IF(Settings!$G$53="",Settings!$B$5,Settings!$G$53))&lt;MAX($A127,Settings!$F$53),0,INT((MIN(Settings!$B$5,IF(Settings!$G$53="",Settings!$B$5,Settings!$G$53))-MAX($A127,Settings!$F$53)-MOD(IFERROR(MATCH(Settings!$E$53,$EO$4:$EO$10,0),0)-WEEKDAY(MAX($A127,Settings!$F$53)),7))/7)+1)),IF(AND(IF(Settings!$E$53="",$B127,DATE(YEAR($A127),MONTH($A127),MIN(Settings!$E$53,DAY($B127))))&gt;=MAX($A127,Settings!$F$53),IF(Settings!$E$53="",$B127,DATE(YEAR($A127),MONTH($A127),MIN(Settings!$E$53,DAY($B127))))&lt;=MIN(Settings!$B$5,IF(Settings!$G$53="",Settings!$B$5,Settings!$G$53))),1,0)))))</f>
        <v/>
      </c>
      <c r="FC127">
        <f>IF($E127&lt;&gt;"open",0,IF(AND('Month-End'!$DT$31&lt;&gt;"",NOT(_xlfn.ISFORMULA('Month-End'!$DT$31))),0,IF(OR(Settings!$C$54="",Settings!$D$54=""),0,Settings!$C$54*IF(Settings!$D$54="Weekly",IF(IFERROR(MATCH(Settings!$E$54,$EO$4:$EO$10,0),0)=0,0,IF(MIN(Settings!$B$5,IF(Settings!$G$54="",Settings!$B$5,Settings!$G$54))&lt;MAX($A127,Settings!$F$54),0,INT((MIN(Settings!$B$5,IF(Settings!$G$54="",Settings!$B$5,Settings!$G$54))-MAX($A127,Settings!$F$54)-MOD(IFERROR(MATCH(Settings!$E$54,$EO$4:$EO$10,0),0)-WEEKDAY(MAX($A127,Settings!$F$54)),7))/7)+1)),IF(AND(IF(Settings!$E$54="",$B127,DATE(YEAR($A127),MONTH($A127),MIN(Settings!$E$54,DAY($B127))))&gt;=MAX($A127,Settings!$F$54),IF(Settings!$E$54="",$B127,DATE(YEAR($A127),MONTH($A127),MIN(Settings!$E$54,DAY($B127))))&lt;=MIN(Settings!$B$5,IF(Settings!$G$54="",Settings!$B$5,Settings!$G$54))),1,0)))))</f>
        <v/>
      </c>
      <c r="FD127">
        <f>IF($E127&lt;&gt;"open",0,IF(AND('Month-End'!$DT$32&lt;&gt;"",NOT(_xlfn.ISFORMULA('Month-End'!$DT$32))),0,IF(OR(Settings!$C$55="",Settings!$D$55=""),0,Settings!$C$55*IF(Settings!$D$55="Weekly",IF(IFERROR(MATCH(Settings!$E$55,$EO$4:$EO$10,0),0)=0,0,IF(MIN(Settings!$B$5,IF(Settings!$G$55="",Settings!$B$5,Settings!$G$55))&lt;MAX($A127,Settings!$F$55),0,INT((MIN(Settings!$B$5,IF(Settings!$G$55="",Settings!$B$5,Settings!$G$55))-MAX($A127,Settings!$F$55)-MOD(IFERROR(MATCH(Settings!$E$55,$EO$4:$EO$10,0),0)-WEEKDAY(MAX($A127,Settings!$F$55)),7))/7)+1)),IF(AND(IF(Settings!$E$55="",$B127,DATE(YEAR($A127),MONTH($A127),MIN(Settings!$E$55,DAY($B127))))&gt;=MAX($A127,Settings!$F$55),IF(Settings!$E$55="",$B127,DATE(YEAR($A127),MONTH($A127),MIN(Settings!$E$55,DAY($B127))))&lt;=MIN(Settings!$B$5,IF(Settings!$G$55="",Settings!$B$5,Settings!$G$55))),1,0)))))</f>
        <v/>
      </c>
      <c r="FE127">
        <f>IF($E127&lt;&gt;"open",0,IF(AND('Month-End'!$DT$33&lt;&gt;"",NOT(_xlfn.ISFORMULA('Month-End'!$DT$33))),0,IF(OR(Settings!$C$56="",Settings!$D$56=""),0,Settings!$C$56*IF(Settings!$D$56="Weekly",IF(IFERROR(MATCH(Settings!$E$56,$EO$4:$EO$10,0),0)=0,0,IF(MIN(Settings!$B$5,IF(Settings!$G$56="",Settings!$B$5,Settings!$G$56))&lt;MAX($A127,Settings!$F$56),0,INT((MIN(Settings!$B$5,IF(Settings!$G$56="",Settings!$B$5,Settings!$G$56))-MAX($A127,Settings!$F$56)-MOD(IFERROR(MATCH(Settings!$E$56,$EO$4:$EO$10,0),0)-WEEKDAY(MAX($A127,Settings!$F$56)),7))/7)+1)),IF(AND(IF(Settings!$E$56="",$B127,DATE(YEAR($A127),MONTH($A127),MIN(Settings!$E$56,DAY($B127))))&gt;=MAX($A127,Settings!$F$56),IF(Settings!$E$56="",$B127,DATE(YEAR($A127),MONTH($A127),MIN(Settings!$E$56,DAY($B127))))&lt;=MIN(Settings!$B$5,IF(Settings!$G$56="",Settings!$B$5,Settings!$G$56))),1,0)))))</f>
        <v/>
      </c>
      <c r="FF127">
        <f>IF(Settings!$I$45="Yes",$G127,0)+IF(Settings!$I$46="Yes",$H127,0)+IF(Settings!$I$47="Yes",$I127,0)+IF(Settings!$I$48="Yes",$J127,0)+IF(Settings!$I$49="Yes",$K127,0)+IF(Settings!$I$50="Yes",$L127,0)+IF(Settings!$I$51="Yes",$M127,0)+IF(Settings!$I$52="Yes",$N127,0)+IF(Settings!$I$53="Yes",$O127,0)+IF(Settings!$I$54="Yes",$P127,0)+IF(Settings!$I$55="Yes",$Q127,0)+IF(Settings!$I$56="Yes",$R127,0)</f>
        <v/>
      </c>
      <c r="FG127">
        <f>IF(AND(Settings!$I$45="Yes",Settings!$J$45="No"),$G127,0)+IF(AND(Settings!$I$46="Yes",Settings!$J$46="No"),$H127,0)+IF(AND(Settings!$I$47="Yes",Settings!$J$47="No"),$I127,0)+IF(AND(Settings!$I$48="Yes",Settings!$J$48="No"),$J127,0)+IF(AND(Settings!$I$49="Yes",Settings!$J$49="No"),$K127,0)+IF(AND(Settings!$I$50="Yes",Settings!$J$50="No"),$L127,0)+IF(AND(Settings!$I$51="Yes",Settings!$J$51="No"),$M127,0)+IF(AND(Settings!$I$52="Yes",Settings!$J$52="No"),$N127,0)+IF(AND(Settings!$I$53="Yes",Settings!$J$53="No"),$O127,0)+IF(AND(Settings!$I$54="Yes",Settings!$J$54="No"),$P127,0)+IF(AND(Settings!$I$55="Yes",Settings!$J$55="No"),$Q127,0)+IF(AND(Settings!$I$56="Yes",Settings!$J$56="No"),$R127,0)</f>
        <v/>
      </c>
      <c r="FH127">
        <f>SUMIFS(Giving!$B$7:$B$2006,Giving!$A$7:$A$2006,"&gt;="&amp;$A127,Giving!$A$7:$A$2006,"&lt;="&amp;$B127,Giving!$G$7:$G$2006,"Yes")+IF(OR(OR(Settings!$B$60="",Settings!$F$60="No"),Settings!$H$60&lt;&gt;"Yes"),0,Settings!$B$60*IF(AND(IF(Settings!$C$60="",$B127,DATE(YEAR($A127),MONTH($A127),MIN(Settings!$C$60,DAY($B127))))&gt;=MAX($A127,Settings!$D$60),IF(Settings!$C$60="",$B127,DATE(YEAR($A127),MONTH($A127),MIN(Settings!$C$60,DAY($B127))))&lt;=MIN($C127,IF(Settings!$E$60="",$C127,Settings!$E$60))),1,0))+IF(OR(OR(Settings!$B$61="",Settings!$F$61="No"),Settings!$H$61&lt;&gt;"Yes"),0,Settings!$B$61*IF(AND(IF(Settings!$C$61="",$B127,DATE(YEAR($A127),MONTH($A127),MIN(Settings!$C$61,DAY($B127))))&gt;=MAX($A127,Settings!$D$61),IF(Settings!$C$61="",$B127,DATE(YEAR($A127),MONTH($A127),MIN(Settings!$C$61,DAY($B127))))&lt;=MIN($C127,IF(Settings!$E$61="",$C127,Settings!$E$61))),1,0))+IF(OR(OR(Settings!$B$62="",Settings!$F$62="No"),Settings!$H$62&lt;&gt;"Yes"),0,Settings!$B$62*IF(AND(IF(Settings!$C$62="",$B127,DATE(YEAR($A127),MONTH($A127),MIN(Settings!$C$62,DAY($B127))))&gt;=MAX($A127,Settings!$D$62),IF(Settings!$C$62="",$B127,DATE(YEAR($A127),MONTH($A127),MIN(Settings!$C$62,DAY($B127))))&lt;=MIN($C127,IF(Settings!$E$62="",$C127,Settings!$E$62))),1,0))+IF(OR(OR(Settings!$B$63="",Settings!$F$63="No"),Settings!$H$63&lt;&gt;"Yes"),0,Settings!$B$63*IF(AND(IF(Settings!$C$63="",$B127,DATE(YEAR($A127),MONTH($A127),MIN(Settings!$C$63,DAY($B127))))&gt;=MAX($A127,Settings!$D$63),IF(Settings!$C$63="",$B127,DATE(YEAR($A127),MONTH($A127),MIN(Settings!$C$63,DAY($B127))))&lt;=MIN($C127,IF(Settings!$E$63="",$C127,Settings!$E$63))),1,0))+IF(OR(OR(Settings!$B$64="",Settings!$F$64="No"),Settings!$H$64&lt;&gt;"Yes"),0,Settings!$B$64*IF(AND(IF(Settings!$C$64="",$B127,DATE(YEAR($A127),MONTH($A127),MIN(Settings!$C$64,DAY($B127))))&gt;=MAX($A127,Settings!$D$64),IF(Settings!$C$64="",$B127,DATE(YEAR($A127),MONTH($A127),MIN(Settings!$C$64,DAY($B127))))&lt;=MIN($C127,IF(Settings!$E$64="",$C127,Settings!$E$64))),1,0))+IF(OR(OR(Settings!$B$65="",Settings!$F$65="No"),Settings!$H$65&lt;&gt;"Yes"),0,Settings!$B$65*IF(AND(IF(Settings!$C$65="",$B127,DATE(YEAR($A127),MONTH($A127),MIN(Settings!$C$65,DAY($B127))))&gt;=MAX($A127,Settings!$D$65),IF(Settings!$C$65="",$B127,DATE(YEAR($A127),MONTH($A127),MIN(Settings!$C$65,DAY($B127))))&lt;=MIN($C127,IF(Settings!$E$65="",$C127,Settings!$E$65))),1,0))</f>
        <v/>
      </c>
      <c r="FI127">
        <f>IF($DT127=1,IF(OR(Settings!$B$19="Card",Settings!$B$19="Loan"),N($AE127),0)+IF(OR(Settings!$B$20="Card",Settings!$B$20="Loan"),N($AF127),0)+IF(OR(Settings!$B$21="Card",Settings!$B$21="Loan"),N($AG127),0)+IF(OR(Settings!$B$22="Card",Settings!$B$22="Loan"),N($AH127),0)+IF(OR(Settings!$B$23="Card",Settings!$B$23="Loan"),N($AI127),0)+IF(OR(Settings!$B$24="Card",Settings!$B$24="Loan"),N($AJ127),0)+IF(OR(Settings!$B$25="Card",Settings!$B$25="Loan"),N($AK127),0)+IF(OR(Settings!$B$26="Card",Settings!$B$26="Loan"),N($AL127),0)+IF(OR(Settings!$B$27="Card",Settings!$B$27="Loan"),N($AM127),0)+IF(OR(Settings!$B$28="Card",Settings!$B$28="Loan"),N($AN127),0)+IF(OR(Settings!$B$29="Card",Settings!$B$29="Loan"),N($AO127),0)+IF(OR(Settings!$B$30="Card",Settings!$B$30="Loan"),N($AP127),0)+IF(OR(Settings!$B$31="Card",Settings!$B$31="Loan"),N($AQ127),0)+IF(OR(Settings!$B$32="Card",Settings!$B$32="Loan"),N($AR127),0),"")</f>
        <v/>
      </c>
      <c r="FJ127">
        <f>IF($E127="open",$EB$65,IF($E127="post",IF($E126="pre",$EB$65,$FI126),""))</f>
        <v/>
      </c>
      <c r="FK127">
        <f>IF(AND($DT127=1,$DC127=1),IF(ROUND($FI127-$FJ127,2)&gt;0,1,0),0)</f>
        <v/>
      </c>
      <c r="FL127">
        <f>IF($FK127=1,$FL126+1,0)</f>
        <v/>
      </c>
    </row>
    <row r="128">
      <c r="A128">
        <f>'Month-End'!$DU$4</f>
        <v/>
      </c>
      <c r="B128">
        <f>EOMONTH($A128,0)</f>
        <v/>
      </c>
      <c r="C128">
        <f>MIN($B128,TODAY())</f>
        <v/>
      </c>
      <c r="D128">
        <f>IF($A128&gt;TODAY(),1,0)</f>
        <v/>
      </c>
      <c r="E128">
        <f>IF($B128&lt;=Settings!$B$5,"pre",IF($A128&lt;=Settings!$B$5,"open","post"))</f>
        <v/>
      </c>
      <c r="G128">
        <f>IF('Month-End'!$DU$22="",$BE128,N('Month-End'!$DU$22))</f>
        <v/>
      </c>
      <c r="H128">
        <f>IF('Month-End'!$DU$23="",$BF128,N('Month-End'!$DU$23))</f>
        <v/>
      </c>
      <c r="I128">
        <f>IF('Month-End'!$DU$24="",$BG128,N('Month-End'!$DU$24))</f>
        <v/>
      </c>
      <c r="J128">
        <f>IF('Month-End'!$DU$25="",$BH128,N('Month-End'!$DU$25))</f>
        <v/>
      </c>
      <c r="K128">
        <f>IF('Month-End'!$DU$26="",$BI128,N('Month-End'!$DU$26))</f>
        <v/>
      </c>
      <c r="L128">
        <f>IF('Month-End'!$DU$27="",$BJ128,N('Month-End'!$DU$27))</f>
        <v/>
      </c>
      <c r="M128">
        <f>IF('Month-End'!$DU$28="",$BK128,N('Month-End'!$DU$28))</f>
        <v/>
      </c>
      <c r="N128">
        <f>IF('Month-End'!$DU$29="",$BL128,N('Month-End'!$DU$29))</f>
        <v/>
      </c>
      <c r="O128">
        <f>IF('Month-End'!$DU$30="",$BM128,N('Month-End'!$DU$30))</f>
        <v/>
      </c>
      <c r="P128">
        <f>IF('Month-End'!$DU$31="",$BN128,N('Month-End'!$DU$31))</f>
        <v/>
      </c>
      <c r="Q128">
        <f>IF('Month-End'!$DU$32="",$BO128,N('Month-End'!$DU$32))</f>
        <v/>
      </c>
      <c r="R128">
        <f>IF('Month-End'!$DU$33="",$BP128,N('Month-End'!$DU$33))</f>
        <v/>
      </c>
      <c r="S128">
        <f>$G128+$H128+$I128+$J128+$K128+$L128+$M128+$N128+$O128+$P128+$Q128+$R128</f>
        <v/>
      </c>
      <c r="T128">
        <f>IF($B128&lt;Settings!$B$6,0,IF(Settings!$B$45="Yes",$G128,0)+IF(Settings!$B$46="Yes",$H128,0)+IF(Settings!$B$47="Yes",$I128,0)+IF(Settings!$B$48="Yes",$J128,0)+IF(Settings!$B$49="Yes",$K128,0)+IF(Settings!$B$50="Yes",$L128,0)+IF(Settings!$B$51="Yes",$M128,0)+IF(Settings!$B$52="Yes",$N128,0)+IF(Settings!$B$53="Yes",$O128,0)+IF(Settings!$B$54="Yes",$P128,0)+IF(Settings!$B$55="Yes",$Q128,0)+IF(Settings!$B$56="Yes",$R128,0))</f>
        <v/>
      </c>
      <c r="U128">
        <f>IF(Settings!$B$45="Not Sure",$G128,0)+IF(Settings!$B$46="Not Sure",$H128,0)+IF(Settings!$B$47="Not Sure",$I128,0)+IF(Settings!$B$48="Not Sure",$J128,0)+IF(Settings!$B$49="Not Sure",$K128,0)+IF(Settings!$B$50="Not Sure",$L128,0)+IF(Settings!$B$51="Not Sure",$M128,0)+IF(Settings!$B$52="Not Sure",$N128,0)+IF(Settings!$B$53="Not Sure",$O128,0)+IF(Settings!$B$54="Not Sure",$P128,0)+IF(Settings!$B$55="Not Sure",$Q128,0)+IF(Settings!$B$56="Not Sure",$R128,0)</f>
        <v/>
      </c>
      <c r="V128">
        <f>IF($E128="open",SUM($ET128:$FE128)+N(Settings!$B$13),0)</f>
        <v/>
      </c>
      <c r="W128">
        <f>IF($E128="post",$S128,IF($E128="open",$S128-$V128,0))</f>
        <v/>
      </c>
      <c r="X128">
        <f>SUMIFS(Giving!$B$7:$B$2006,Giving!$A$7:$A$2006,"&gt;="&amp;$A128,Giving!$A$7:$A$2006,"&lt;="&amp;$B128,Giving!$E$7:$E$2006,"&lt;&gt;No")</f>
        <v/>
      </c>
      <c r="Y128">
        <f>SUMIFS(Giving!$B$7:$B$2006,Giving!$A$7:$A$2006,"&gt;="&amp;$A128,Giving!$A$7:$A$2006,"&lt;="&amp;$B128,Giving!$E$7:$E$2006,"No")</f>
        <v/>
      </c>
      <c r="Z128">
        <f>IF(OR(Settings!$B$60="",Settings!$F$60="No"),0,Settings!$B$60*IF(AND(IF(Settings!$C$60="",$B128,DATE(YEAR($A128),MONTH($A128),MIN(Settings!$C$60,DAY($B128))))&gt;=MAX($A128,Settings!$D$60),IF(Settings!$C$60="",$B128,DATE(YEAR($A128),MONTH($A128),MIN(Settings!$C$60,DAY($B128))))&lt;=MIN($C128,IF(Settings!$E$60="",$C128,Settings!$E$60))),1,0))+IF(OR(Settings!$B$61="",Settings!$F$61="No"),0,Settings!$B$61*IF(AND(IF(Settings!$C$61="",$B128,DATE(YEAR($A128),MONTH($A128),MIN(Settings!$C$61,DAY($B128))))&gt;=MAX($A128,Settings!$D$61),IF(Settings!$C$61="",$B128,DATE(YEAR($A128),MONTH($A128),MIN(Settings!$C$61,DAY($B128))))&lt;=MIN($C128,IF(Settings!$E$61="",$C128,Settings!$E$61))),1,0))+IF(OR(Settings!$B$62="",Settings!$F$62="No"),0,Settings!$B$62*IF(AND(IF(Settings!$C$62="",$B128,DATE(YEAR($A128),MONTH($A128),MIN(Settings!$C$62,DAY($B128))))&gt;=MAX($A128,Settings!$D$62),IF(Settings!$C$62="",$B128,DATE(YEAR($A128),MONTH($A128),MIN(Settings!$C$62,DAY($B128))))&lt;=MIN($C128,IF(Settings!$E$62="",$C128,Settings!$E$62))),1,0))+IF(OR(Settings!$B$63="",Settings!$F$63="No"),0,Settings!$B$63*IF(AND(IF(Settings!$C$63="",$B128,DATE(YEAR($A128),MONTH($A128),MIN(Settings!$C$63,DAY($B128))))&gt;=MAX($A128,Settings!$D$63),IF(Settings!$C$63="",$B128,DATE(YEAR($A128),MONTH($A128),MIN(Settings!$C$63,DAY($B128))))&lt;=MIN($C128,IF(Settings!$E$63="",$C128,Settings!$E$63))),1,0))+IF(OR(Settings!$B$64="",Settings!$F$64="No"),0,Settings!$B$64*IF(AND(IF(Settings!$C$64="",$B128,DATE(YEAR($A128),MONTH($A128),MIN(Settings!$C$64,DAY($B128))))&gt;=MAX($A128,Settings!$D$64),IF(Settings!$C$64="",$B128,DATE(YEAR($A128),MONTH($A128),MIN(Settings!$C$64,DAY($B128))))&lt;=MIN($C128,IF(Settings!$E$64="",$C128,Settings!$E$64))),1,0))+IF(OR(Settings!$B$65="",Settings!$F$65="No"),0,Settings!$B$65*IF(AND(IF(Settings!$C$65="",$B128,DATE(YEAR($A128),MONTH($A128),MIN(Settings!$C$65,DAY($B128))))&gt;=MAX($A128,Settings!$D$65),IF(Settings!$C$65="",$B128,DATE(YEAR($A128),MONTH($A128),MIN(Settings!$C$65,DAY($B128))))&lt;=MIN($C128,IF(Settings!$E$65="",$C128,Settings!$E$65))),1,0))</f>
        <v/>
      </c>
      <c r="AA128">
        <f>$X128+$Z128</f>
        <v/>
      </c>
      <c r="AB128">
        <f>IF($E128="post",$AA128,IF($E128="open",SUMIFS(Giving!$B$7:$B$2006,Giving!$A$7:$A$2006,"&gt;"&amp;Settings!$B$5,Giving!$A$7:$A$2006,"&lt;="&amp;$B128,Giving!$E$7:$E$2006,"&lt;&gt;No")+IF(OR(Settings!$B$60="",Settings!$F$60="No"),0,Settings!$B$60*IF(AND(IF(Settings!$C$60="",$B128,DATE(YEAR($A128),MONTH($A128),MIN(Settings!$C$60,DAY($B128))))&gt;=MAX($A128,Settings!$D$60,Settings!$B$5+1),IF(Settings!$C$60="",$B128,DATE(YEAR($A128),MONTH($A128),MIN(Settings!$C$60,DAY($B128))))&lt;=MIN($C128,IF(Settings!$E$60="",$C128,Settings!$E$60))),1,0))+IF(OR(Settings!$B$61="",Settings!$F$61="No"),0,Settings!$B$61*IF(AND(IF(Settings!$C$61="",$B128,DATE(YEAR($A128),MONTH($A128),MIN(Settings!$C$61,DAY($B128))))&gt;=MAX($A128,Settings!$D$61,Settings!$B$5+1),IF(Settings!$C$61="",$B128,DATE(YEAR($A128),MONTH($A128),MIN(Settings!$C$61,DAY($B128))))&lt;=MIN($C128,IF(Settings!$E$61="",$C128,Settings!$E$61))),1,0))+IF(OR(Settings!$B$62="",Settings!$F$62="No"),0,Settings!$B$62*IF(AND(IF(Settings!$C$62="",$B128,DATE(YEAR($A128),MONTH($A128),MIN(Settings!$C$62,DAY($B128))))&gt;=MAX($A128,Settings!$D$62,Settings!$B$5+1),IF(Settings!$C$62="",$B128,DATE(YEAR($A128),MONTH($A128),MIN(Settings!$C$62,DAY($B128))))&lt;=MIN($C128,IF(Settings!$E$62="",$C128,Settings!$E$62))),1,0))+IF(OR(Settings!$B$63="",Settings!$F$63="No"),0,Settings!$B$63*IF(AND(IF(Settings!$C$63="",$B128,DATE(YEAR($A128),MONTH($A128),MIN(Settings!$C$63,DAY($B128))))&gt;=MAX($A128,Settings!$D$63,Settings!$B$5+1),IF(Settings!$C$63="",$B128,DATE(YEAR($A128),MONTH($A128),MIN(Settings!$C$63,DAY($B128))))&lt;=MIN($C128,IF(Settings!$E$63="",$C128,Settings!$E$63))),1,0))+IF(OR(Settings!$B$64="",Settings!$F$64="No"),0,Settings!$B$64*IF(AND(IF(Settings!$C$64="",$B128,DATE(YEAR($A128),MONTH($A128),MIN(Settings!$C$64,DAY($B128))))&gt;=MAX($A128,Settings!$D$64,Settings!$B$5+1),IF(Settings!$C$64="",$B128,DATE(YEAR($A128),MONTH($A128),MIN(Settings!$C$64,DAY($B128))))&lt;=MIN($C128,IF(Settings!$E$64="",$C128,Settings!$E$64))),1,0))+IF(OR(Settings!$B$65="",Settings!$F$65="No"),0,Settings!$B$65*IF(AND(IF(Settings!$C$65="",$B128,DATE(YEAR($A128),MONTH($A128),MIN(Settings!$C$65,DAY($B128))))&gt;=MAX($A128,Settings!$D$65,Settings!$B$5+1),IF(Settings!$C$65="",$B128,DATE(YEAR($A128),MONTH($A128),MIN(Settings!$C$65,DAY($B128))))&lt;=MIN($C128,IF(Settings!$E$65="",$C128,Settings!$E$65))),1,0)),0))</f>
        <v/>
      </c>
      <c r="AC128">
        <f>$AY128+$AZ128+$BA128+$BB128+$BC128+$BD128</f>
        <v/>
      </c>
      <c r="AD128">
        <f>$AC128</f>
        <v/>
      </c>
      <c r="AE128">
        <f>IF(OR(Settings!$A$19="",$E128="pre"),"",IF(AND('Month-End'!$DU$7&lt;&gt;"",NOT(_xlfn.ISFORMULA('Month-End'!$DU$7))),N('Month-End'!$DU$7),IF(OR($E128="open",$E127="pre"),N(Settings!$C$19),N($AE127))))</f>
        <v/>
      </c>
      <c r="AF128">
        <f>IF(OR(Settings!$A$20="",$E128="pre"),"",IF(AND('Month-End'!$DU$8&lt;&gt;"",NOT(_xlfn.ISFORMULA('Month-End'!$DU$8))),N('Month-End'!$DU$8),IF(OR($E128="open",$E127="pre"),N(Settings!$C$20),N($AF127))))</f>
        <v/>
      </c>
      <c r="AG128">
        <f>IF(OR(Settings!$A$21="",$E128="pre"),"",IF(AND('Month-End'!$DU$9&lt;&gt;"",NOT(_xlfn.ISFORMULA('Month-End'!$DU$9))),N('Month-End'!$DU$9),IF(OR($E128="open",$E127="pre"),N(Settings!$C$21),N($AG127))))</f>
        <v/>
      </c>
      <c r="AH128">
        <f>IF(OR(Settings!$A$22="",$E128="pre"),"",IF(AND('Month-End'!$DU$10&lt;&gt;"",NOT(_xlfn.ISFORMULA('Month-End'!$DU$10))),N('Month-End'!$DU$10),IF(OR($E128="open",$E127="pre"),N(Settings!$C$22),N($AH127))))</f>
        <v/>
      </c>
      <c r="AI128">
        <f>IF(OR(Settings!$A$23="",$E128="pre"),"",IF(AND('Month-End'!$DU$11&lt;&gt;"",NOT(_xlfn.ISFORMULA('Month-End'!$DU$11))),N('Month-End'!$DU$11),IF(OR($E128="open",$E127="pre"),N(Settings!$C$23),N($AI127))))</f>
        <v/>
      </c>
      <c r="AJ128">
        <f>IF(OR(Settings!$A$24="",$E128="pre"),"",IF(AND('Month-End'!$DU$12&lt;&gt;"",NOT(_xlfn.ISFORMULA('Month-End'!$DU$12))),N('Month-End'!$DU$12),IF(OR($E128="open",$E127="pre"),N(Settings!$C$24),N($AJ127))))</f>
        <v/>
      </c>
      <c r="AK128">
        <f>IF(OR(Settings!$A$25="",$E128="pre"),"",IF(AND('Month-End'!$DU$13&lt;&gt;"",NOT(_xlfn.ISFORMULA('Month-End'!$DU$13))),N('Month-End'!$DU$13),IF(OR($E128="open",$E127="pre"),N(Settings!$C$25),N($AK127))))</f>
        <v/>
      </c>
      <c r="AL128">
        <f>IF(OR(Settings!$A$26="",$E128="pre"),"",IF(AND('Month-End'!$DU$14&lt;&gt;"",NOT(_xlfn.ISFORMULA('Month-End'!$DU$14))),N('Month-End'!$DU$14),IF(OR($E128="open",$E127="pre"),N(Settings!$C$26),N($AL127))))</f>
        <v/>
      </c>
      <c r="AM128">
        <f>IF(OR(Settings!$A$27="",$E128="pre"),"",IF(AND('Month-End'!$DU$15&lt;&gt;"",NOT(_xlfn.ISFORMULA('Month-End'!$DU$15))),N('Month-End'!$DU$15),IF(OR($E128="open",$E127="pre"),N(Settings!$C$27),N($AM127))))</f>
        <v/>
      </c>
      <c r="AN128">
        <f>IF(OR(Settings!$A$28="",$E128="pre"),"",IF(AND('Month-End'!$DU$16&lt;&gt;"",NOT(_xlfn.ISFORMULA('Month-End'!$DU$16))),N('Month-End'!$DU$16),IF(OR($E128="open",$E127="pre"),N(Settings!$C$28),N($AN127))))</f>
        <v/>
      </c>
      <c r="AO128">
        <f>IF(OR(Settings!$A$29="",$E128="pre"),"",IF(AND('Month-End'!$DU$17&lt;&gt;"",NOT(_xlfn.ISFORMULA('Month-End'!$DU$17))),N('Month-End'!$DU$17),IF(OR($E128="open",$E127="pre"),N(Settings!$C$29),N($AO127))))</f>
        <v/>
      </c>
      <c r="AP128">
        <f>IF(OR(Settings!$A$30="",$E128="pre"),"",IF(AND('Month-End'!$DU$18&lt;&gt;"",NOT(_xlfn.ISFORMULA('Month-End'!$DU$18))),N('Month-End'!$DU$18),IF(OR($E128="open",$E127="pre"),N(Settings!$C$30),N($AP127))))</f>
        <v/>
      </c>
      <c r="AQ128">
        <f>IF(OR(Settings!$A$31="",$E128="pre"),"",IF(AND('Month-End'!$DU$19&lt;&gt;"",NOT(_xlfn.ISFORMULA('Month-End'!$DU$19))),N('Month-End'!$DU$19),IF(OR($E128="open",$E127="pre"),N(Settings!$C$31),N($AQ127))))</f>
        <v/>
      </c>
      <c r="AR128">
        <f>IF(OR(Settings!$A$32="",$E128="pre"),"",IF(AND('Month-End'!$DU$20&lt;&gt;"",NOT(_xlfn.ISFORMULA('Month-End'!$DU$20))),N('Month-End'!$DU$20),IF(OR($E128="open",$E127="pre"),N(Settings!$C$32),N($AR127))))</f>
        <v/>
      </c>
      <c r="AS128">
        <f>IF(OR(Settings!$A$36="",$E128="pre"),"",IF(AND('Month-End'!$DU$38&lt;&gt;"",NOT(_xlfn.ISFORMULA('Month-End'!$DU$38))),N('Month-End'!$DU$38),IF(OR($E128="open",$E127="pre"),N(Settings!$C$36),N($AS127))+$AY128))</f>
        <v/>
      </c>
      <c r="AT128">
        <f>IF(OR(Settings!$A$37="",$E128="pre"),"",IF(AND('Month-End'!$DU$39&lt;&gt;"",NOT(_xlfn.ISFORMULA('Month-End'!$DU$39))),N('Month-End'!$DU$39),IF(OR($E128="open",$E127="pre"),N(Settings!$C$37),N($AT127))+$AZ128))</f>
        <v/>
      </c>
      <c r="AU128">
        <f>IF(OR(Settings!$A$38="",$E128="pre"),"",IF(AND('Month-End'!$DU$40&lt;&gt;"",NOT(_xlfn.ISFORMULA('Month-End'!$DU$40))),N('Month-End'!$DU$40),IF(OR($E128="open",$E127="pre"),N(Settings!$C$38),N($AU127))+$BA128))</f>
        <v/>
      </c>
      <c r="AV128">
        <f>IF(OR(Settings!$A$39="",$E128="pre"),"",IF(AND('Month-End'!$DU$41&lt;&gt;"",NOT(_xlfn.ISFORMULA('Month-End'!$DU$41))),N('Month-End'!$DU$41),IF(OR($E128="open",$E127="pre"),N(Settings!$C$39),N($AV127))+$BB128))</f>
        <v/>
      </c>
      <c r="AW128">
        <f>IF(OR(Settings!$A$40="",$E128="pre"),"",IF(AND('Month-End'!$DU$42&lt;&gt;"",NOT(_xlfn.ISFORMULA('Month-End'!$DU$42))),N('Month-End'!$DU$42),IF(OR($E128="open",$E127="pre"),N(Settings!$C$40),N($AW127))+$BC128))</f>
        <v/>
      </c>
      <c r="AX128">
        <f>IF(OR(Settings!$A$41="",$E128="pre"),"",IF(AND('Month-End'!$DU$43&lt;&gt;"",NOT(_xlfn.ISFORMULA('Month-End'!$DU$43))),N('Month-End'!$DU$43),IF(OR($E128="open",$E127="pre"),N(Settings!$C$41),N($AX127))+$BD128))</f>
        <v/>
      </c>
      <c r="AY128">
        <f>IF($E128="pre",0,N('Month-End'!$DU$45))</f>
        <v/>
      </c>
      <c r="AZ128">
        <f>IF($E128="pre",0,N('Month-End'!$DU$46))</f>
        <v/>
      </c>
      <c r="BA128">
        <f>IF($E128="pre",0,N('Month-End'!$DU$47))</f>
        <v/>
      </c>
      <c r="BB128">
        <f>IF($E128="pre",0,N('Month-End'!$DU$48))</f>
        <v/>
      </c>
      <c r="BC128">
        <f>IF($E128="pre",0,N('Month-End'!$DU$49))</f>
        <v/>
      </c>
      <c r="BD128">
        <f>IF($E128="pre",0,N('Month-End'!$DU$50))</f>
        <v/>
      </c>
      <c r="BE128">
        <f>IF(OR(Settings!$C$45="",Settings!$D$45=""),0,Settings!$C$45*IF(Settings!$D$45="Weekly",IF(IFERROR(MATCH(Settings!$E$45,$EO$4:$EO$10,0),0)=0,0,IF(MIN($C128,IF(Settings!$G$45="",$C128,Settings!$G$45))&lt;MAX($A128,Settings!$F$45),0,INT((MIN($C128,IF(Settings!$G$45="",$C128,Settings!$G$45))-MAX($A128,Settings!$F$45)-MOD(IFERROR(MATCH(Settings!$E$45,$EO$4:$EO$10,0),0)-WEEKDAY(MAX($A128,Settings!$F$45)),7))/7)+1)),IF(AND(IF(Settings!$E$45="",$B128,DATE(YEAR($A128),MONTH($A128),MIN(Settings!$E$45,DAY($B128))))&gt;=MAX($A128,Settings!$F$45),IF(Settings!$E$45="",$B128,DATE(YEAR($A128),MONTH($A128),MIN(Settings!$E$45,DAY($B128))))&lt;=MIN($C128,IF(Settings!$G$45="",$C128,Settings!$G$45))),1,0)))</f>
        <v/>
      </c>
      <c r="BF128">
        <f>IF(OR(Settings!$C$46="",Settings!$D$46=""),0,Settings!$C$46*IF(Settings!$D$46="Weekly",IF(IFERROR(MATCH(Settings!$E$46,$EO$4:$EO$10,0),0)=0,0,IF(MIN($C128,IF(Settings!$G$46="",$C128,Settings!$G$46))&lt;MAX($A128,Settings!$F$46),0,INT((MIN($C128,IF(Settings!$G$46="",$C128,Settings!$G$46))-MAX($A128,Settings!$F$46)-MOD(IFERROR(MATCH(Settings!$E$46,$EO$4:$EO$10,0),0)-WEEKDAY(MAX($A128,Settings!$F$46)),7))/7)+1)),IF(AND(IF(Settings!$E$46="",$B128,DATE(YEAR($A128),MONTH($A128),MIN(Settings!$E$46,DAY($B128))))&gt;=MAX($A128,Settings!$F$46),IF(Settings!$E$46="",$B128,DATE(YEAR($A128),MONTH($A128),MIN(Settings!$E$46,DAY($B128))))&lt;=MIN($C128,IF(Settings!$G$46="",$C128,Settings!$G$46))),1,0)))</f>
        <v/>
      </c>
      <c r="BG128">
        <f>IF(OR(Settings!$C$47="",Settings!$D$47=""),0,Settings!$C$47*IF(Settings!$D$47="Weekly",IF(IFERROR(MATCH(Settings!$E$47,$EO$4:$EO$10,0),0)=0,0,IF(MIN($C128,IF(Settings!$G$47="",$C128,Settings!$G$47))&lt;MAX($A128,Settings!$F$47),0,INT((MIN($C128,IF(Settings!$G$47="",$C128,Settings!$G$47))-MAX($A128,Settings!$F$47)-MOD(IFERROR(MATCH(Settings!$E$47,$EO$4:$EO$10,0),0)-WEEKDAY(MAX($A128,Settings!$F$47)),7))/7)+1)),IF(AND(IF(Settings!$E$47="",$B128,DATE(YEAR($A128),MONTH($A128),MIN(Settings!$E$47,DAY($B128))))&gt;=MAX($A128,Settings!$F$47),IF(Settings!$E$47="",$B128,DATE(YEAR($A128),MONTH($A128),MIN(Settings!$E$47,DAY($B128))))&lt;=MIN($C128,IF(Settings!$G$47="",$C128,Settings!$G$47))),1,0)))</f>
        <v/>
      </c>
      <c r="BH128">
        <f>IF(OR(Settings!$C$48="",Settings!$D$48=""),0,Settings!$C$48*IF(Settings!$D$48="Weekly",IF(IFERROR(MATCH(Settings!$E$48,$EO$4:$EO$10,0),0)=0,0,IF(MIN($C128,IF(Settings!$G$48="",$C128,Settings!$G$48))&lt;MAX($A128,Settings!$F$48),0,INT((MIN($C128,IF(Settings!$G$48="",$C128,Settings!$G$48))-MAX($A128,Settings!$F$48)-MOD(IFERROR(MATCH(Settings!$E$48,$EO$4:$EO$10,0),0)-WEEKDAY(MAX($A128,Settings!$F$48)),7))/7)+1)),IF(AND(IF(Settings!$E$48="",$B128,DATE(YEAR($A128),MONTH($A128),MIN(Settings!$E$48,DAY($B128))))&gt;=MAX($A128,Settings!$F$48),IF(Settings!$E$48="",$B128,DATE(YEAR($A128),MONTH($A128),MIN(Settings!$E$48,DAY($B128))))&lt;=MIN($C128,IF(Settings!$G$48="",$C128,Settings!$G$48))),1,0)))</f>
        <v/>
      </c>
      <c r="BI128">
        <f>IF(OR(Settings!$C$49="",Settings!$D$49=""),0,Settings!$C$49*IF(Settings!$D$49="Weekly",IF(IFERROR(MATCH(Settings!$E$49,$EO$4:$EO$10,0),0)=0,0,IF(MIN($C128,IF(Settings!$G$49="",$C128,Settings!$G$49))&lt;MAX($A128,Settings!$F$49),0,INT((MIN($C128,IF(Settings!$G$49="",$C128,Settings!$G$49))-MAX($A128,Settings!$F$49)-MOD(IFERROR(MATCH(Settings!$E$49,$EO$4:$EO$10,0),0)-WEEKDAY(MAX($A128,Settings!$F$49)),7))/7)+1)),IF(AND(IF(Settings!$E$49="",$B128,DATE(YEAR($A128),MONTH($A128),MIN(Settings!$E$49,DAY($B128))))&gt;=MAX($A128,Settings!$F$49),IF(Settings!$E$49="",$B128,DATE(YEAR($A128),MONTH($A128),MIN(Settings!$E$49,DAY($B128))))&lt;=MIN($C128,IF(Settings!$G$49="",$C128,Settings!$G$49))),1,0)))</f>
        <v/>
      </c>
      <c r="BJ128">
        <f>IF(OR(Settings!$C$50="",Settings!$D$50=""),0,Settings!$C$50*IF(Settings!$D$50="Weekly",IF(IFERROR(MATCH(Settings!$E$50,$EO$4:$EO$10,0),0)=0,0,IF(MIN($C128,IF(Settings!$G$50="",$C128,Settings!$G$50))&lt;MAX($A128,Settings!$F$50),0,INT((MIN($C128,IF(Settings!$G$50="",$C128,Settings!$G$50))-MAX($A128,Settings!$F$50)-MOD(IFERROR(MATCH(Settings!$E$50,$EO$4:$EO$10,0),0)-WEEKDAY(MAX($A128,Settings!$F$50)),7))/7)+1)),IF(AND(IF(Settings!$E$50="",$B128,DATE(YEAR($A128),MONTH($A128),MIN(Settings!$E$50,DAY($B128))))&gt;=MAX($A128,Settings!$F$50),IF(Settings!$E$50="",$B128,DATE(YEAR($A128),MONTH($A128),MIN(Settings!$E$50,DAY($B128))))&lt;=MIN($C128,IF(Settings!$G$50="",$C128,Settings!$G$50))),1,0)))</f>
        <v/>
      </c>
      <c r="BK128">
        <f>IF(OR(Settings!$C$51="",Settings!$D$51=""),0,Settings!$C$51*IF(Settings!$D$51="Weekly",IF(IFERROR(MATCH(Settings!$E$51,$EO$4:$EO$10,0),0)=0,0,IF(MIN($C128,IF(Settings!$G$51="",$C128,Settings!$G$51))&lt;MAX($A128,Settings!$F$51),0,INT((MIN($C128,IF(Settings!$G$51="",$C128,Settings!$G$51))-MAX($A128,Settings!$F$51)-MOD(IFERROR(MATCH(Settings!$E$51,$EO$4:$EO$10,0),0)-WEEKDAY(MAX($A128,Settings!$F$51)),7))/7)+1)),IF(AND(IF(Settings!$E$51="",$B128,DATE(YEAR($A128),MONTH($A128),MIN(Settings!$E$51,DAY($B128))))&gt;=MAX($A128,Settings!$F$51),IF(Settings!$E$51="",$B128,DATE(YEAR($A128),MONTH($A128),MIN(Settings!$E$51,DAY($B128))))&lt;=MIN($C128,IF(Settings!$G$51="",$C128,Settings!$G$51))),1,0)))</f>
        <v/>
      </c>
      <c r="BL128">
        <f>IF(OR(Settings!$C$52="",Settings!$D$52=""),0,Settings!$C$52*IF(Settings!$D$52="Weekly",IF(IFERROR(MATCH(Settings!$E$52,$EO$4:$EO$10,0),0)=0,0,IF(MIN($C128,IF(Settings!$G$52="",$C128,Settings!$G$52))&lt;MAX($A128,Settings!$F$52),0,INT((MIN($C128,IF(Settings!$G$52="",$C128,Settings!$G$52))-MAX($A128,Settings!$F$52)-MOD(IFERROR(MATCH(Settings!$E$52,$EO$4:$EO$10,0),0)-WEEKDAY(MAX($A128,Settings!$F$52)),7))/7)+1)),IF(AND(IF(Settings!$E$52="",$B128,DATE(YEAR($A128),MONTH($A128),MIN(Settings!$E$52,DAY($B128))))&gt;=MAX($A128,Settings!$F$52),IF(Settings!$E$52="",$B128,DATE(YEAR($A128),MONTH($A128),MIN(Settings!$E$52,DAY($B128))))&lt;=MIN($C128,IF(Settings!$G$52="",$C128,Settings!$G$52))),1,0)))</f>
        <v/>
      </c>
      <c r="BM128">
        <f>IF(OR(Settings!$C$53="",Settings!$D$53=""),0,Settings!$C$53*IF(Settings!$D$53="Weekly",IF(IFERROR(MATCH(Settings!$E$53,$EO$4:$EO$10,0),0)=0,0,IF(MIN($C128,IF(Settings!$G$53="",$C128,Settings!$G$53))&lt;MAX($A128,Settings!$F$53),0,INT((MIN($C128,IF(Settings!$G$53="",$C128,Settings!$G$53))-MAX($A128,Settings!$F$53)-MOD(IFERROR(MATCH(Settings!$E$53,$EO$4:$EO$10,0),0)-WEEKDAY(MAX($A128,Settings!$F$53)),7))/7)+1)),IF(AND(IF(Settings!$E$53="",$B128,DATE(YEAR($A128),MONTH($A128),MIN(Settings!$E$53,DAY($B128))))&gt;=MAX($A128,Settings!$F$53),IF(Settings!$E$53="",$B128,DATE(YEAR($A128),MONTH($A128),MIN(Settings!$E$53,DAY($B128))))&lt;=MIN($C128,IF(Settings!$G$53="",$C128,Settings!$G$53))),1,0)))</f>
        <v/>
      </c>
      <c r="BN128">
        <f>IF(OR(Settings!$C$54="",Settings!$D$54=""),0,Settings!$C$54*IF(Settings!$D$54="Weekly",IF(IFERROR(MATCH(Settings!$E$54,$EO$4:$EO$10,0),0)=0,0,IF(MIN($C128,IF(Settings!$G$54="",$C128,Settings!$G$54))&lt;MAX($A128,Settings!$F$54),0,INT((MIN($C128,IF(Settings!$G$54="",$C128,Settings!$G$54))-MAX($A128,Settings!$F$54)-MOD(IFERROR(MATCH(Settings!$E$54,$EO$4:$EO$10,0),0)-WEEKDAY(MAX($A128,Settings!$F$54)),7))/7)+1)),IF(AND(IF(Settings!$E$54="",$B128,DATE(YEAR($A128),MONTH($A128),MIN(Settings!$E$54,DAY($B128))))&gt;=MAX($A128,Settings!$F$54),IF(Settings!$E$54="",$B128,DATE(YEAR($A128),MONTH($A128),MIN(Settings!$E$54,DAY($B128))))&lt;=MIN($C128,IF(Settings!$G$54="",$C128,Settings!$G$54))),1,0)))</f>
        <v/>
      </c>
      <c r="BO128">
        <f>IF(OR(Settings!$C$55="",Settings!$D$55=""),0,Settings!$C$55*IF(Settings!$D$55="Weekly",IF(IFERROR(MATCH(Settings!$E$55,$EO$4:$EO$10,0),0)=0,0,IF(MIN($C128,IF(Settings!$G$55="",$C128,Settings!$G$55))&lt;MAX($A128,Settings!$F$55),0,INT((MIN($C128,IF(Settings!$G$55="",$C128,Settings!$G$55))-MAX($A128,Settings!$F$55)-MOD(IFERROR(MATCH(Settings!$E$55,$EO$4:$EO$10,0),0)-WEEKDAY(MAX($A128,Settings!$F$55)),7))/7)+1)),IF(AND(IF(Settings!$E$55="",$B128,DATE(YEAR($A128),MONTH($A128),MIN(Settings!$E$55,DAY($B128))))&gt;=MAX($A128,Settings!$F$55),IF(Settings!$E$55="",$B128,DATE(YEAR($A128),MONTH($A128),MIN(Settings!$E$55,DAY($B128))))&lt;=MIN($C128,IF(Settings!$G$55="",$C128,Settings!$G$55))),1,0)))</f>
        <v/>
      </c>
      <c r="BP128">
        <f>IF(OR(Settings!$C$56="",Settings!$D$56=""),0,Settings!$C$56*IF(Settings!$D$56="Weekly",IF(IFERROR(MATCH(Settings!$E$56,$EO$4:$EO$10,0),0)=0,0,IF(MIN($C128,IF(Settings!$G$56="",$C128,Settings!$G$56))&lt;MAX($A128,Settings!$F$56),0,INT((MIN($C128,IF(Settings!$G$56="",$C128,Settings!$G$56))-MAX($A128,Settings!$F$56)-MOD(IFERROR(MATCH(Settings!$E$56,$EO$4:$EO$10,0),0)-WEEKDAY(MAX($A128,Settings!$F$56)),7))/7)+1)),IF(AND(IF(Settings!$E$56="",$B128,DATE(YEAR($A128),MONTH($A128),MIN(Settings!$E$56,DAY($B128))))&gt;=MAX($A128,Settings!$F$56),IF(Settings!$E$56="",$B128,DATE(YEAR($A128),MONTH($A128),MIN(Settings!$E$56,DAY($B128))))&lt;=MIN($C128,IF(Settings!$G$56="",$C128,Settings!$G$56))),1,0)))</f>
        <v/>
      </c>
      <c r="BQ128">
        <f>IF(OR(Settings!$B$14="",$D128=1,$E128="pre",$A128&lt;IF(Settings!$B$15="",0,Settings!$B$15)),0,Settings!$B$14)</f>
        <v/>
      </c>
      <c r="BR128">
        <f>IF(AND('Month-End'!$DU$7&lt;&gt;"",NOT(_xlfn.ISFORMULA('Month-End'!$DU$7))),1,0)</f>
        <v/>
      </c>
      <c r="BS128">
        <f>IF(AND('Month-End'!$DU$8&lt;&gt;"",NOT(_xlfn.ISFORMULA('Month-End'!$DU$8))),1,0)</f>
        <v/>
      </c>
      <c r="BT128">
        <f>IF(AND('Month-End'!$DU$9&lt;&gt;"",NOT(_xlfn.ISFORMULA('Month-End'!$DU$9))),1,0)</f>
        <v/>
      </c>
      <c r="BU128">
        <f>IF(AND('Month-End'!$DU$10&lt;&gt;"",NOT(_xlfn.ISFORMULA('Month-End'!$DU$10))),1,0)</f>
        <v/>
      </c>
      <c r="BV128">
        <f>IF(AND('Month-End'!$DU$11&lt;&gt;"",NOT(_xlfn.ISFORMULA('Month-End'!$DU$11))),1,0)</f>
        <v/>
      </c>
      <c r="BW128">
        <f>IF(AND('Month-End'!$DU$12&lt;&gt;"",NOT(_xlfn.ISFORMULA('Month-End'!$DU$12))),1,0)</f>
        <v/>
      </c>
      <c r="BX128">
        <f>IF(AND('Month-End'!$DU$13&lt;&gt;"",NOT(_xlfn.ISFORMULA('Month-End'!$DU$13))),1,0)</f>
        <v/>
      </c>
      <c r="BY128">
        <f>IF(AND('Month-End'!$DU$14&lt;&gt;"",NOT(_xlfn.ISFORMULA('Month-End'!$DU$14))),1,0)</f>
        <v/>
      </c>
      <c r="BZ128">
        <f>IF(AND('Month-End'!$DU$15&lt;&gt;"",NOT(_xlfn.ISFORMULA('Month-End'!$DU$15))),1,0)</f>
        <v/>
      </c>
      <c r="CA128">
        <f>IF(AND('Month-End'!$DU$16&lt;&gt;"",NOT(_xlfn.ISFORMULA('Month-End'!$DU$16))),1,0)</f>
        <v/>
      </c>
      <c r="CB128">
        <f>IF(AND('Month-End'!$DU$17&lt;&gt;"",NOT(_xlfn.ISFORMULA('Month-End'!$DU$17))),1,0)</f>
        <v/>
      </c>
      <c r="CC128">
        <f>IF(AND('Month-End'!$DU$18&lt;&gt;"",NOT(_xlfn.ISFORMULA('Month-End'!$DU$18))),1,0)</f>
        <v/>
      </c>
      <c r="CD128">
        <f>IF(AND('Month-End'!$DU$19&lt;&gt;"",NOT(_xlfn.ISFORMULA('Month-End'!$DU$19))),1,0)</f>
        <v/>
      </c>
      <c r="CE128">
        <f>IF(AND('Month-End'!$DU$20&lt;&gt;"",NOT(_xlfn.ISFORMULA('Month-End'!$DU$20))),1,0)</f>
        <v/>
      </c>
      <c r="CF128">
        <f>IF(AND('Month-End'!$DU$38&lt;&gt;"",NOT(_xlfn.ISFORMULA('Month-End'!$DU$38))),1,0)</f>
        <v/>
      </c>
      <c r="CG128">
        <f>IF(AND('Month-End'!$DU$39&lt;&gt;"",NOT(_xlfn.ISFORMULA('Month-End'!$DU$39))),1,0)</f>
        <v/>
      </c>
      <c r="CH128">
        <f>IF(AND('Month-End'!$DU$40&lt;&gt;"",NOT(_xlfn.ISFORMULA('Month-End'!$DU$40))),1,0)</f>
        <v/>
      </c>
      <c r="CI128">
        <f>IF(AND('Month-End'!$DU$41&lt;&gt;"",NOT(_xlfn.ISFORMULA('Month-End'!$DU$41))),1,0)</f>
        <v/>
      </c>
      <c r="CJ128">
        <f>IF(AND('Month-End'!$DU$42&lt;&gt;"",NOT(_xlfn.ISFORMULA('Month-End'!$DU$42))),1,0)</f>
        <v/>
      </c>
      <c r="CK128">
        <f>IF(AND('Month-End'!$DU$43&lt;&gt;"",NOT(_xlfn.ISFORMULA('Month-End'!$DU$43))),1,0)</f>
        <v/>
      </c>
      <c r="CL128">
        <f>SUM($CM128:$CZ128)</f>
        <v/>
      </c>
      <c r="CM128">
        <f>IF(AND($E128&lt;&gt;"pre",AND(Settings!$A$19&lt;&gt;"",Settings!$E$19&lt;&gt;"No"),Settings!$F$19="Yes",NOT(AND('Month-End'!$DU$7&lt;&gt;"",NOT(_xlfn.ISFORMULA('Month-End'!$DU$7))))),1,0)</f>
        <v/>
      </c>
      <c r="CN128">
        <f>IF(AND($E128&lt;&gt;"pre",AND(Settings!$A$20&lt;&gt;"",Settings!$E$20&lt;&gt;"No"),Settings!$F$20="Yes",NOT(AND('Month-End'!$DU$8&lt;&gt;"",NOT(_xlfn.ISFORMULA('Month-End'!$DU$8))))),1,0)</f>
        <v/>
      </c>
      <c r="CO128">
        <f>IF(AND($E128&lt;&gt;"pre",AND(Settings!$A$21&lt;&gt;"",Settings!$E$21&lt;&gt;"No"),Settings!$F$21="Yes",NOT(AND('Month-End'!$DU$9&lt;&gt;"",NOT(_xlfn.ISFORMULA('Month-End'!$DU$9))))),1,0)</f>
        <v/>
      </c>
      <c r="CP128">
        <f>IF(AND($E128&lt;&gt;"pre",AND(Settings!$A$22&lt;&gt;"",Settings!$E$22&lt;&gt;"No"),Settings!$F$22="Yes",NOT(AND('Month-End'!$DU$10&lt;&gt;"",NOT(_xlfn.ISFORMULA('Month-End'!$DU$10))))),1,0)</f>
        <v/>
      </c>
      <c r="CQ128">
        <f>IF(AND($E128&lt;&gt;"pre",AND(Settings!$A$23&lt;&gt;"",Settings!$E$23&lt;&gt;"No"),Settings!$F$23="Yes",NOT(AND('Month-End'!$DU$11&lt;&gt;"",NOT(_xlfn.ISFORMULA('Month-End'!$DU$11))))),1,0)</f>
        <v/>
      </c>
      <c r="CR128">
        <f>IF(AND($E128&lt;&gt;"pre",AND(Settings!$A$24&lt;&gt;"",Settings!$E$24&lt;&gt;"No"),Settings!$F$24="Yes",NOT(AND('Month-End'!$DU$12&lt;&gt;"",NOT(_xlfn.ISFORMULA('Month-End'!$DU$12))))),1,0)</f>
        <v/>
      </c>
      <c r="CS128">
        <f>IF(AND($E128&lt;&gt;"pre",AND(Settings!$A$25&lt;&gt;"",Settings!$E$25&lt;&gt;"No"),Settings!$F$25="Yes",NOT(AND('Month-End'!$DU$13&lt;&gt;"",NOT(_xlfn.ISFORMULA('Month-End'!$DU$13))))),1,0)</f>
        <v/>
      </c>
      <c r="CT128">
        <f>IF(AND($E128&lt;&gt;"pre",AND(Settings!$A$26&lt;&gt;"",Settings!$E$26&lt;&gt;"No"),Settings!$F$26="Yes",NOT(AND('Month-End'!$DU$14&lt;&gt;"",NOT(_xlfn.ISFORMULA('Month-End'!$DU$14))))),1,0)</f>
        <v/>
      </c>
      <c r="CU128">
        <f>IF(AND($E128&lt;&gt;"pre",AND(Settings!$A$27&lt;&gt;"",Settings!$E$27&lt;&gt;"No"),Settings!$F$27="Yes",NOT(AND('Month-End'!$DU$15&lt;&gt;"",NOT(_xlfn.ISFORMULA('Month-End'!$DU$15))))),1,0)</f>
        <v/>
      </c>
      <c r="CV128">
        <f>IF(AND($E128&lt;&gt;"pre",AND(Settings!$A$28&lt;&gt;"",Settings!$E$28&lt;&gt;"No"),Settings!$F$28="Yes",NOT(AND('Month-End'!$DU$16&lt;&gt;"",NOT(_xlfn.ISFORMULA('Month-End'!$DU$16))))),1,0)</f>
        <v/>
      </c>
      <c r="CW128">
        <f>IF(AND($E128&lt;&gt;"pre",AND(Settings!$A$29&lt;&gt;"",Settings!$E$29&lt;&gt;"No"),Settings!$F$29="Yes",NOT(AND('Month-End'!$DU$17&lt;&gt;"",NOT(_xlfn.ISFORMULA('Month-End'!$DU$17))))),1,0)</f>
        <v/>
      </c>
      <c r="CX128">
        <f>IF(AND($E128&lt;&gt;"pre",AND(Settings!$A$30&lt;&gt;"",Settings!$E$30&lt;&gt;"No"),Settings!$F$30="Yes",NOT(AND('Month-End'!$DU$18&lt;&gt;"",NOT(_xlfn.ISFORMULA('Month-End'!$DU$18))))),1,0)</f>
        <v/>
      </c>
      <c r="CY128">
        <f>IF(AND($E128&lt;&gt;"pre",AND(Settings!$A$31&lt;&gt;"",Settings!$E$31&lt;&gt;"No"),Settings!$F$31="Yes",NOT(AND('Month-End'!$DU$19&lt;&gt;"",NOT(_xlfn.ISFORMULA('Month-End'!$DU$19))))),1,0)</f>
        <v/>
      </c>
      <c r="CZ128">
        <f>IF(AND($E128&lt;&gt;"pre",AND(Settings!$A$32&lt;&gt;"",Settings!$E$32&lt;&gt;"No"),Settings!$F$32="Yes",NOT(AND('Month-End'!$DU$20&lt;&gt;"",NOT(_xlfn.ISFORMULA('Month-End'!$DU$20))))),1,0)</f>
        <v/>
      </c>
      <c r="DA128">
        <f>IF($DT128=1,IF(OR(Settings!$B$19="Checking",Settings!$B$19="Savings",Settings!$B$19="Cash"),N($AE128),IF(OR(Settings!$B$19="Card",Settings!$B$19="Loan"),-N($AE128),0))+IF(OR(Settings!$B$20="Checking",Settings!$B$20="Savings",Settings!$B$20="Cash"),N($AF128),IF(OR(Settings!$B$20="Card",Settings!$B$20="Loan"),-N($AF128),0))+IF(OR(Settings!$B$21="Checking",Settings!$B$21="Savings",Settings!$B$21="Cash"),N($AG128),IF(OR(Settings!$B$21="Card",Settings!$B$21="Loan"),-N($AG128),0))+IF(OR(Settings!$B$22="Checking",Settings!$B$22="Savings",Settings!$B$22="Cash"),N($AH128),IF(OR(Settings!$B$22="Card",Settings!$B$22="Loan"),-N($AH128),0))+IF(OR(Settings!$B$23="Checking",Settings!$B$23="Savings",Settings!$B$23="Cash"),N($AI128),IF(OR(Settings!$B$23="Card",Settings!$B$23="Loan"),-N($AI128),0))+IF(OR(Settings!$B$24="Checking",Settings!$B$24="Savings",Settings!$B$24="Cash"),N($AJ128),IF(OR(Settings!$B$24="Card",Settings!$B$24="Loan"),-N($AJ128),0))+IF(OR(Settings!$B$25="Checking",Settings!$B$25="Savings",Settings!$B$25="Cash"),N($AK128),IF(OR(Settings!$B$25="Card",Settings!$B$25="Loan"),-N($AK128),0))+IF(OR(Settings!$B$26="Checking",Settings!$B$26="Savings",Settings!$B$26="Cash"),N($AL128),IF(OR(Settings!$B$26="Card",Settings!$B$26="Loan"),-N($AL128),0))+IF(OR(Settings!$B$27="Checking",Settings!$B$27="Savings",Settings!$B$27="Cash"),N($AM128),IF(OR(Settings!$B$27="Card",Settings!$B$27="Loan"),-N($AM128),0))+IF(OR(Settings!$B$28="Checking",Settings!$B$28="Savings",Settings!$B$28="Cash"),N($AN128),IF(OR(Settings!$B$28="Card",Settings!$B$28="Loan"),-N($AN128),0))+IF(OR(Settings!$B$29="Checking",Settings!$B$29="Savings",Settings!$B$29="Cash"),N($AO128),IF(OR(Settings!$B$29="Card",Settings!$B$29="Loan"),-N($AO128),0))+IF(OR(Settings!$B$30="Checking",Settings!$B$30="Savings",Settings!$B$30="Cash"),N($AP128),IF(OR(Settings!$B$30="Card",Settings!$B$30="Loan"),-N($AP128),0))+IF(OR(Settings!$B$31="Checking",Settings!$B$31="Savings",Settings!$B$31="Cash"),N($AQ128),IF(OR(Settings!$B$31="Card",Settings!$B$31="Loan"),-N($AQ128),0))+IF(OR(Settings!$B$32="Checking",Settings!$B$32="Savings",Settings!$B$32="Cash"),N($AR128),IF(OR(Settings!$B$32="Card",Settings!$B$32="Loan"),-N($AR128),0)),"")</f>
        <v/>
      </c>
      <c r="DB128">
        <f>IF($E128="open",$EB$27,IF($E128="post",IF($E127="pre",$EB$27,$DA127),""))</f>
        <v/>
      </c>
      <c r="DC128">
        <f>IF($E128="open",1,IF($E128="post",IF($E127="pre",1,$DT127),0))</f>
        <v/>
      </c>
      <c r="DD128">
        <f>IF(AND($DT128=1,$DC128=1),ROUND($W128-($DA128-$DB128)-$AD128-$AB128,2),"")</f>
        <v/>
      </c>
      <c r="DE128">
        <f>IF('Month-End'!$DU$35="",$BQ128,N('Month-End'!$DU$35))</f>
        <v/>
      </c>
      <c r="DF128">
        <f>N('Month-End'!$DU$36)</f>
        <v/>
      </c>
      <c r="DG128">
        <f>IF($DD128="","",$DD128+$DE128)</f>
        <v/>
      </c>
      <c r="DH128">
        <f>IF($DG128="","",$DG128-$DF128)</f>
        <v/>
      </c>
      <c r="DI128">
        <f>IF(OR($E128="pre",$D128=1),"",N($AS128)+N($AT128)+N($AU128)+N($AV128)+N($AW128)+N($AX128))</f>
        <v/>
      </c>
      <c r="DJ128">
        <f>IF($DT128=1,$DA128+N($DI128),"")</f>
        <v/>
      </c>
      <c r="DK128">
        <f>IF($DD128="","",$W128-$DD128-$AB128)</f>
        <v/>
      </c>
      <c r="DL128">
        <f>IF(AND($E128="post",$DD128&lt;&gt;"",$B128&lt;TODAY()),1,0)</f>
        <v/>
      </c>
      <c r="DM128">
        <f>IF($DL128=1,COUNTIF($DL128:$DL$183,1),0)</f>
        <v/>
      </c>
      <c r="DN128">
        <f>IF($D128=1,"",IF($E128="pre","History only",IF($DT128=1,IF($DD128="","⚠ Previous month missing",IF($DD128&lt;0,"⚠ Check: spending &lt; 0",IF($E128="open","✓ Done (partial)","✓ Done"))),IF($B128&gt;=TODAY(),"In progress","⚠ Needs balances"))))</f>
        <v/>
      </c>
      <c r="DO128">
        <f>YEAR($A128)</f>
        <v/>
      </c>
      <c r="DP128">
        <f>DATE(YEAR($A128),INT((MONTH($A128)-1)/3)*3+1,1)</f>
        <v/>
      </c>
      <c r="DQ128">
        <f>IF(AND($DT128=1,$DD128&lt;&gt;"",$D128=0),ROW(),0)</f>
        <v/>
      </c>
      <c r="DR128">
        <f>IF(AND($E128&lt;&gt;"pre",$B128&lt;TODAY(),$DT128=0),1,0)</f>
        <v/>
      </c>
      <c r="DS128">
        <f>IF($DJ128="",NA(),$DJ128)</f>
        <v/>
      </c>
      <c r="DT128">
        <f>IF(AND($E128&lt;&gt;"pre",$CL128=0,COUNTIFS(Settings!$F$19:$F$32,"Yes",Settings!$A$19:$A$32,"&lt;&gt;",Settings!$E$19:$E$32,"&lt;&gt;No")&gt;0),1,0)</f>
        <v/>
      </c>
      <c r="DU128">
        <f>IF(AND($B128&lt;TODAY(),$S128&gt;0),1,0)</f>
        <v/>
      </c>
      <c r="DV128">
        <f>IF($DU128=1,COUNTIF($DU128:$DU$183,1),0)</f>
        <v/>
      </c>
      <c r="DW128">
        <f>IF(AND(OR(Settings!$B$19="Card",Settings!$B$19="Loan"),AND('Month-End'!$DU$7&lt;&gt;"",NOT(_xlfn.ISFORMULA('Month-End'!$DU$7)))),IF(N('Month-End'!$DU$7)&lt;0,1,0),0)+IF(AND(OR(Settings!$B$20="Card",Settings!$B$20="Loan"),AND('Month-End'!$DU$8&lt;&gt;"",NOT(_xlfn.ISFORMULA('Month-End'!$DU$8)))),IF(N('Month-End'!$DU$8)&lt;0,1,0),0)+IF(AND(OR(Settings!$B$21="Card",Settings!$B$21="Loan"),AND('Month-End'!$DU$9&lt;&gt;"",NOT(_xlfn.ISFORMULA('Month-End'!$DU$9)))),IF(N('Month-End'!$DU$9)&lt;0,1,0),0)+IF(AND(OR(Settings!$B$22="Card",Settings!$B$22="Loan"),AND('Month-End'!$DU$10&lt;&gt;"",NOT(_xlfn.ISFORMULA('Month-End'!$DU$10)))),IF(N('Month-End'!$DU$10)&lt;0,1,0),0)+IF(AND(OR(Settings!$B$23="Card",Settings!$B$23="Loan"),AND('Month-End'!$DU$11&lt;&gt;"",NOT(_xlfn.ISFORMULA('Month-End'!$DU$11)))),IF(N('Month-End'!$DU$11)&lt;0,1,0),0)+IF(AND(OR(Settings!$B$24="Card",Settings!$B$24="Loan"),AND('Month-End'!$DU$12&lt;&gt;"",NOT(_xlfn.ISFORMULA('Month-End'!$DU$12)))),IF(N('Month-End'!$DU$12)&lt;0,1,0),0)+IF(AND(OR(Settings!$B$25="Card",Settings!$B$25="Loan"),AND('Month-End'!$DU$13&lt;&gt;"",NOT(_xlfn.ISFORMULA('Month-End'!$DU$13)))),IF(N('Month-End'!$DU$13)&lt;0,1,0),0)+IF(AND(OR(Settings!$B$26="Card",Settings!$B$26="Loan"),AND('Month-End'!$DU$14&lt;&gt;"",NOT(_xlfn.ISFORMULA('Month-End'!$DU$14)))),IF(N('Month-End'!$DU$14)&lt;0,1,0),0)+IF(AND(OR(Settings!$B$27="Card",Settings!$B$27="Loan"),AND('Month-End'!$DU$15&lt;&gt;"",NOT(_xlfn.ISFORMULA('Month-End'!$DU$15)))),IF(N('Month-End'!$DU$15)&lt;0,1,0),0)+IF(AND(OR(Settings!$B$28="Card",Settings!$B$28="Loan"),AND('Month-End'!$DU$16&lt;&gt;"",NOT(_xlfn.ISFORMULA('Month-End'!$DU$16)))),IF(N('Month-End'!$DU$16)&lt;0,1,0),0)+IF(AND(OR(Settings!$B$29="Card",Settings!$B$29="Loan"),AND('Month-End'!$DU$17&lt;&gt;"",NOT(_xlfn.ISFORMULA('Month-End'!$DU$17)))),IF(N('Month-End'!$DU$17)&lt;0,1,0),0)+IF(AND(OR(Settings!$B$30="Card",Settings!$B$30="Loan"),AND('Month-End'!$DU$18&lt;&gt;"",NOT(_xlfn.ISFORMULA('Month-End'!$DU$18)))),IF(N('Month-End'!$DU$18)&lt;0,1,0),0)+IF(AND(OR(Settings!$B$31="Card",Settings!$B$31="Loan"),AND('Month-End'!$DU$19&lt;&gt;"",NOT(_xlfn.ISFORMULA('Month-End'!$DU$19)))),IF(N('Month-End'!$DU$19)&lt;0,1,0),0)+IF(AND(OR(Settings!$B$32="Card",Settings!$B$32="Loan"),AND('Month-End'!$DU$20&lt;&gt;"",NOT(_xlfn.ISFORMULA('Month-End'!$DU$20)))),IF(N('Month-End'!$DU$20)&lt;0,1,0),0)</f>
        <v/>
      </c>
      <c r="DX128">
        <f>IF(Settings!$B$36="Retirement",$AY128,0)+IF(Settings!$B$37="Retirement",$AZ128,0)+IF(Settings!$B$38="Retirement",$BA128,0)+IF(Settings!$B$39="Retirement",$BB128,0)+IF(Settings!$B$40="Retirement",$BC128,0)+IF(Settings!$B$41="Retirement",$BD128,0)</f>
        <v/>
      </c>
      <c r="ET128">
        <f>IF($E128&lt;&gt;"open",0,IF(AND('Month-End'!$DU$22&lt;&gt;"",NOT(_xlfn.ISFORMULA('Month-End'!$DU$22))),0,IF(OR(Settings!$C$45="",Settings!$D$45=""),0,Settings!$C$45*IF(Settings!$D$45="Weekly",IF(IFERROR(MATCH(Settings!$E$45,$EO$4:$EO$10,0),0)=0,0,IF(MIN(Settings!$B$5,IF(Settings!$G$45="",Settings!$B$5,Settings!$G$45))&lt;MAX($A128,Settings!$F$45),0,INT((MIN(Settings!$B$5,IF(Settings!$G$45="",Settings!$B$5,Settings!$G$45))-MAX($A128,Settings!$F$45)-MOD(IFERROR(MATCH(Settings!$E$45,$EO$4:$EO$10,0),0)-WEEKDAY(MAX($A128,Settings!$F$45)),7))/7)+1)),IF(AND(IF(Settings!$E$45="",$B128,DATE(YEAR($A128),MONTH($A128),MIN(Settings!$E$45,DAY($B128))))&gt;=MAX($A128,Settings!$F$45),IF(Settings!$E$45="",$B128,DATE(YEAR($A128),MONTH($A128),MIN(Settings!$E$45,DAY($B128))))&lt;=MIN(Settings!$B$5,IF(Settings!$G$45="",Settings!$B$5,Settings!$G$45))),1,0)))))</f>
        <v/>
      </c>
      <c r="EU128">
        <f>IF($E128&lt;&gt;"open",0,IF(AND('Month-End'!$DU$23&lt;&gt;"",NOT(_xlfn.ISFORMULA('Month-End'!$DU$23))),0,IF(OR(Settings!$C$46="",Settings!$D$46=""),0,Settings!$C$46*IF(Settings!$D$46="Weekly",IF(IFERROR(MATCH(Settings!$E$46,$EO$4:$EO$10,0),0)=0,0,IF(MIN(Settings!$B$5,IF(Settings!$G$46="",Settings!$B$5,Settings!$G$46))&lt;MAX($A128,Settings!$F$46),0,INT((MIN(Settings!$B$5,IF(Settings!$G$46="",Settings!$B$5,Settings!$G$46))-MAX($A128,Settings!$F$46)-MOD(IFERROR(MATCH(Settings!$E$46,$EO$4:$EO$10,0),0)-WEEKDAY(MAX($A128,Settings!$F$46)),7))/7)+1)),IF(AND(IF(Settings!$E$46="",$B128,DATE(YEAR($A128),MONTH($A128),MIN(Settings!$E$46,DAY($B128))))&gt;=MAX($A128,Settings!$F$46),IF(Settings!$E$46="",$B128,DATE(YEAR($A128),MONTH($A128),MIN(Settings!$E$46,DAY($B128))))&lt;=MIN(Settings!$B$5,IF(Settings!$G$46="",Settings!$B$5,Settings!$G$46))),1,0)))))</f>
        <v/>
      </c>
      <c r="EV128">
        <f>IF($E128&lt;&gt;"open",0,IF(AND('Month-End'!$DU$24&lt;&gt;"",NOT(_xlfn.ISFORMULA('Month-End'!$DU$24))),0,IF(OR(Settings!$C$47="",Settings!$D$47=""),0,Settings!$C$47*IF(Settings!$D$47="Weekly",IF(IFERROR(MATCH(Settings!$E$47,$EO$4:$EO$10,0),0)=0,0,IF(MIN(Settings!$B$5,IF(Settings!$G$47="",Settings!$B$5,Settings!$G$47))&lt;MAX($A128,Settings!$F$47),0,INT((MIN(Settings!$B$5,IF(Settings!$G$47="",Settings!$B$5,Settings!$G$47))-MAX($A128,Settings!$F$47)-MOD(IFERROR(MATCH(Settings!$E$47,$EO$4:$EO$10,0),0)-WEEKDAY(MAX($A128,Settings!$F$47)),7))/7)+1)),IF(AND(IF(Settings!$E$47="",$B128,DATE(YEAR($A128),MONTH($A128),MIN(Settings!$E$47,DAY($B128))))&gt;=MAX($A128,Settings!$F$47),IF(Settings!$E$47="",$B128,DATE(YEAR($A128),MONTH($A128),MIN(Settings!$E$47,DAY($B128))))&lt;=MIN(Settings!$B$5,IF(Settings!$G$47="",Settings!$B$5,Settings!$G$47))),1,0)))))</f>
        <v/>
      </c>
      <c r="EW128">
        <f>IF($E128&lt;&gt;"open",0,IF(AND('Month-End'!$DU$25&lt;&gt;"",NOT(_xlfn.ISFORMULA('Month-End'!$DU$25))),0,IF(OR(Settings!$C$48="",Settings!$D$48=""),0,Settings!$C$48*IF(Settings!$D$48="Weekly",IF(IFERROR(MATCH(Settings!$E$48,$EO$4:$EO$10,0),0)=0,0,IF(MIN(Settings!$B$5,IF(Settings!$G$48="",Settings!$B$5,Settings!$G$48))&lt;MAX($A128,Settings!$F$48),0,INT((MIN(Settings!$B$5,IF(Settings!$G$48="",Settings!$B$5,Settings!$G$48))-MAX($A128,Settings!$F$48)-MOD(IFERROR(MATCH(Settings!$E$48,$EO$4:$EO$10,0),0)-WEEKDAY(MAX($A128,Settings!$F$48)),7))/7)+1)),IF(AND(IF(Settings!$E$48="",$B128,DATE(YEAR($A128),MONTH($A128),MIN(Settings!$E$48,DAY($B128))))&gt;=MAX($A128,Settings!$F$48),IF(Settings!$E$48="",$B128,DATE(YEAR($A128),MONTH($A128),MIN(Settings!$E$48,DAY($B128))))&lt;=MIN(Settings!$B$5,IF(Settings!$G$48="",Settings!$B$5,Settings!$G$48))),1,0)))))</f>
        <v/>
      </c>
      <c r="EX128">
        <f>IF($E128&lt;&gt;"open",0,IF(AND('Month-End'!$DU$26&lt;&gt;"",NOT(_xlfn.ISFORMULA('Month-End'!$DU$26))),0,IF(OR(Settings!$C$49="",Settings!$D$49=""),0,Settings!$C$49*IF(Settings!$D$49="Weekly",IF(IFERROR(MATCH(Settings!$E$49,$EO$4:$EO$10,0),0)=0,0,IF(MIN(Settings!$B$5,IF(Settings!$G$49="",Settings!$B$5,Settings!$G$49))&lt;MAX($A128,Settings!$F$49),0,INT((MIN(Settings!$B$5,IF(Settings!$G$49="",Settings!$B$5,Settings!$G$49))-MAX($A128,Settings!$F$49)-MOD(IFERROR(MATCH(Settings!$E$49,$EO$4:$EO$10,0),0)-WEEKDAY(MAX($A128,Settings!$F$49)),7))/7)+1)),IF(AND(IF(Settings!$E$49="",$B128,DATE(YEAR($A128),MONTH($A128),MIN(Settings!$E$49,DAY($B128))))&gt;=MAX($A128,Settings!$F$49),IF(Settings!$E$49="",$B128,DATE(YEAR($A128),MONTH($A128),MIN(Settings!$E$49,DAY($B128))))&lt;=MIN(Settings!$B$5,IF(Settings!$G$49="",Settings!$B$5,Settings!$G$49))),1,0)))))</f>
        <v/>
      </c>
      <c r="EY128">
        <f>IF($E128&lt;&gt;"open",0,IF(AND('Month-End'!$DU$27&lt;&gt;"",NOT(_xlfn.ISFORMULA('Month-End'!$DU$27))),0,IF(OR(Settings!$C$50="",Settings!$D$50=""),0,Settings!$C$50*IF(Settings!$D$50="Weekly",IF(IFERROR(MATCH(Settings!$E$50,$EO$4:$EO$10,0),0)=0,0,IF(MIN(Settings!$B$5,IF(Settings!$G$50="",Settings!$B$5,Settings!$G$50))&lt;MAX($A128,Settings!$F$50),0,INT((MIN(Settings!$B$5,IF(Settings!$G$50="",Settings!$B$5,Settings!$G$50))-MAX($A128,Settings!$F$50)-MOD(IFERROR(MATCH(Settings!$E$50,$EO$4:$EO$10,0),0)-WEEKDAY(MAX($A128,Settings!$F$50)),7))/7)+1)),IF(AND(IF(Settings!$E$50="",$B128,DATE(YEAR($A128),MONTH($A128),MIN(Settings!$E$50,DAY($B128))))&gt;=MAX($A128,Settings!$F$50),IF(Settings!$E$50="",$B128,DATE(YEAR($A128),MONTH($A128),MIN(Settings!$E$50,DAY($B128))))&lt;=MIN(Settings!$B$5,IF(Settings!$G$50="",Settings!$B$5,Settings!$G$50))),1,0)))))</f>
        <v/>
      </c>
      <c r="EZ128">
        <f>IF($E128&lt;&gt;"open",0,IF(AND('Month-End'!$DU$28&lt;&gt;"",NOT(_xlfn.ISFORMULA('Month-End'!$DU$28))),0,IF(OR(Settings!$C$51="",Settings!$D$51=""),0,Settings!$C$51*IF(Settings!$D$51="Weekly",IF(IFERROR(MATCH(Settings!$E$51,$EO$4:$EO$10,0),0)=0,0,IF(MIN(Settings!$B$5,IF(Settings!$G$51="",Settings!$B$5,Settings!$G$51))&lt;MAX($A128,Settings!$F$51),0,INT((MIN(Settings!$B$5,IF(Settings!$G$51="",Settings!$B$5,Settings!$G$51))-MAX($A128,Settings!$F$51)-MOD(IFERROR(MATCH(Settings!$E$51,$EO$4:$EO$10,0),0)-WEEKDAY(MAX($A128,Settings!$F$51)),7))/7)+1)),IF(AND(IF(Settings!$E$51="",$B128,DATE(YEAR($A128),MONTH($A128),MIN(Settings!$E$51,DAY($B128))))&gt;=MAX($A128,Settings!$F$51),IF(Settings!$E$51="",$B128,DATE(YEAR($A128),MONTH($A128),MIN(Settings!$E$51,DAY($B128))))&lt;=MIN(Settings!$B$5,IF(Settings!$G$51="",Settings!$B$5,Settings!$G$51))),1,0)))))</f>
        <v/>
      </c>
      <c r="FA128">
        <f>IF($E128&lt;&gt;"open",0,IF(AND('Month-End'!$DU$29&lt;&gt;"",NOT(_xlfn.ISFORMULA('Month-End'!$DU$29))),0,IF(OR(Settings!$C$52="",Settings!$D$52=""),0,Settings!$C$52*IF(Settings!$D$52="Weekly",IF(IFERROR(MATCH(Settings!$E$52,$EO$4:$EO$10,0),0)=0,0,IF(MIN(Settings!$B$5,IF(Settings!$G$52="",Settings!$B$5,Settings!$G$52))&lt;MAX($A128,Settings!$F$52),0,INT((MIN(Settings!$B$5,IF(Settings!$G$52="",Settings!$B$5,Settings!$G$52))-MAX($A128,Settings!$F$52)-MOD(IFERROR(MATCH(Settings!$E$52,$EO$4:$EO$10,0),0)-WEEKDAY(MAX($A128,Settings!$F$52)),7))/7)+1)),IF(AND(IF(Settings!$E$52="",$B128,DATE(YEAR($A128),MONTH($A128),MIN(Settings!$E$52,DAY($B128))))&gt;=MAX($A128,Settings!$F$52),IF(Settings!$E$52="",$B128,DATE(YEAR($A128),MONTH($A128),MIN(Settings!$E$52,DAY($B128))))&lt;=MIN(Settings!$B$5,IF(Settings!$G$52="",Settings!$B$5,Settings!$G$52))),1,0)))))</f>
        <v/>
      </c>
      <c r="FB128">
        <f>IF($E128&lt;&gt;"open",0,IF(AND('Month-End'!$DU$30&lt;&gt;"",NOT(_xlfn.ISFORMULA('Month-End'!$DU$30))),0,IF(OR(Settings!$C$53="",Settings!$D$53=""),0,Settings!$C$53*IF(Settings!$D$53="Weekly",IF(IFERROR(MATCH(Settings!$E$53,$EO$4:$EO$10,0),0)=0,0,IF(MIN(Settings!$B$5,IF(Settings!$G$53="",Settings!$B$5,Settings!$G$53))&lt;MAX($A128,Settings!$F$53),0,INT((MIN(Settings!$B$5,IF(Settings!$G$53="",Settings!$B$5,Settings!$G$53))-MAX($A128,Settings!$F$53)-MOD(IFERROR(MATCH(Settings!$E$53,$EO$4:$EO$10,0),0)-WEEKDAY(MAX($A128,Settings!$F$53)),7))/7)+1)),IF(AND(IF(Settings!$E$53="",$B128,DATE(YEAR($A128),MONTH($A128),MIN(Settings!$E$53,DAY($B128))))&gt;=MAX($A128,Settings!$F$53),IF(Settings!$E$53="",$B128,DATE(YEAR($A128),MONTH($A128),MIN(Settings!$E$53,DAY($B128))))&lt;=MIN(Settings!$B$5,IF(Settings!$G$53="",Settings!$B$5,Settings!$G$53))),1,0)))))</f>
        <v/>
      </c>
      <c r="FC128">
        <f>IF($E128&lt;&gt;"open",0,IF(AND('Month-End'!$DU$31&lt;&gt;"",NOT(_xlfn.ISFORMULA('Month-End'!$DU$31))),0,IF(OR(Settings!$C$54="",Settings!$D$54=""),0,Settings!$C$54*IF(Settings!$D$54="Weekly",IF(IFERROR(MATCH(Settings!$E$54,$EO$4:$EO$10,0),0)=0,0,IF(MIN(Settings!$B$5,IF(Settings!$G$54="",Settings!$B$5,Settings!$G$54))&lt;MAX($A128,Settings!$F$54),0,INT((MIN(Settings!$B$5,IF(Settings!$G$54="",Settings!$B$5,Settings!$G$54))-MAX($A128,Settings!$F$54)-MOD(IFERROR(MATCH(Settings!$E$54,$EO$4:$EO$10,0),0)-WEEKDAY(MAX($A128,Settings!$F$54)),7))/7)+1)),IF(AND(IF(Settings!$E$54="",$B128,DATE(YEAR($A128),MONTH($A128),MIN(Settings!$E$54,DAY($B128))))&gt;=MAX($A128,Settings!$F$54),IF(Settings!$E$54="",$B128,DATE(YEAR($A128),MONTH($A128),MIN(Settings!$E$54,DAY($B128))))&lt;=MIN(Settings!$B$5,IF(Settings!$G$54="",Settings!$B$5,Settings!$G$54))),1,0)))))</f>
        <v/>
      </c>
      <c r="FD128">
        <f>IF($E128&lt;&gt;"open",0,IF(AND('Month-End'!$DU$32&lt;&gt;"",NOT(_xlfn.ISFORMULA('Month-End'!$DU$32))),0,IF(OR(Settings!$C$55="",Settings!$D$55=""),0,Settings!$C$55*IF(Settings!$D$55="Weekly",IF(IFERROR(MATCH(Settings!$E$55,$EO$4:$EO$10,0),0)=0,0,IF(MIN(Settings!$B$5,IF(Settings!$G$55="",Settings!$B$5,Settings!$G$55))&lt;MAX($A128,Settings!$F$55),0,INT((MIN(Settings!$B$5,IF(Settings!$G$55="",Settings!$B$5,Settings!$G$55))-MAX($A128,Settings!$F$55)-MOD(IFERROR(MATCH(Settings!$E$55,$EO$4:$EO$10,0),0)-WEEKDAY(MAX($A128,Settings!$F$55)),7))/7)+1)),IF(AND(IF(Settings!$E$55="",$B128,DATE(YEAR($A128),MONTH($A128),MIN(Settings!$E$55,DAY($B128))))&gt;=MAX($A128,Settings!$F$55),IF(Settings!$E$55="",$B128,DATE(YEAR($A128),MONTH($A128),MIN(Settings!$E$55,DAY($B128))))&lt;=MIN(Settings!$B$5,IF(Settings!$G$55="",Settings!$B$5,Settings!$G$55))),1,0)))))</f>
        <v/>
      </c>
      <c r="FE128">
        <f>IF($E128&lt;&gt;"open",0,IF(AND('Month-End'!$DU$33&lt;&gt;"",NOT(_xlfn.ISFORMULA('Month-End'!$DU$33))),0,IF(OR(Settings!$C$56="",Settings!$D$56=""),0,Settings!$C$56*IF(Settings!$D$56="Weekly",IF(IFERROR(MATCH(Settings!$E$56,$EO$4:$EO$10,0),0)=0,0,IF(MIN(Settings!$B$5,IF(Settings!$G$56="",Settings!$B$5,Settings!$G$56))&lt;MAX($A128,Settings!$F$56),0,INT((MIN(Settings!$B$5,IF(Settings!$G$56="",Settings!$B$5,Settings!$G$56))-MAX($A128,Settings!$F$56)-MOD(IFERROR(MATCH(Settings!$E$56,$EO$4:$EO$10,0),0)-WEEKDAY(MAX($A128,Settings!$F$56)),7))/7)+1)),IF(AND(IF(Settings!$E$56="",$B128,DATE(YEAR($A128),MONTH($A128),MIN(Settings!$E$56,DAY($B128))))&gt;=MAX($A128,Settings!$F$56),IF(Settings!$E$56="",$B128,DATE(YEAR($A128),MONTH($A128),MIN(Settings!$E$56,DAY($B128))))&lt;=MIN(Settings!$B$5,IF(Settings!$G$56="",Settings!$B$5,Settings!$G$56))),1,0)))))</f>
        <v/>
      </c>
      <c r="FF128">
        <f>IF(Settings!$I$45="Yes",$G128,0)+IF(Settings!$I$46="Yes",$H128,0)+IF(Settings!$I$47="Yes",$I128,0)+IF(Settings!$I$48="Yes",$J128,0)+IF(Settings!$I$49="Yes",$K128,0)+IF(Settings!$I$50="Yes",$L128,0)+IF(Settings!$I$51="Yes",$M128,0)+IF(Settings!$I$52="Yes",$N128,0)+IF(Settings!$I$53="Yes",$O128,0)+IF(Settings!$I$54="Yes",$P128,0)+IF(Settings!$I$55="Yes",$Q128,0)+IF(Settings!$I$56="Yes",$R128,0)</f>
        <v/>
      </c>
      <c r="FG128">
        <f>IF(AND(Settings!$I$45="Yes",Settings!$J$45="No"),$G128,0)+IF(AND(Settings!$I$46="Yes",Settings!$J$46="No"),$H128,0)+IF(AND(Settings!$I$47="Yes",Settings!$J$47="No"),$I128,0)+IF(AND(Settings!$I$48="Yes",Settings!$J$48="No"),$J128,0)+IF(AND(Settings!$I$49="Yes",Settings!$J$49="No"),$K128,0)+IF(AND(Settings!$I$50="Yes",Settings!$J$50="No"),$L128,0)+IF(AND(Settings!$I$51="Yes",Settings!$J$51="No"),$M128,0)+IF(AND(Settings!$I$52="Yes",Settings!$J$52="No"),$N128,0)+IF(AND(Settings!$I$53="Yes",Settings!$J$53="No"),$O128,0)+IF(AND(Settings!$I$54="Yes",Settings!$J$54="No"),$P128,0)+IF(AND(Settings!$I$55="Yes",Settings!$J$55="No"),$Q128,0)+IF(AND(Settings!$I$56="Yes",Settings!$J$56="No"),$R128,0)</f>
        <v/>
      </c>
      <c r="FH128">
        <f>SUMIFS(Giving!$B$7:$B$2006,Giving!$A$7:$A$2006,"&gt;="&amp;$A128,Giving!$A$7:$A$2006,"&lt;="&amp;$B128,Giving!$G$7:$G$2006,"Yes")+IF(OR(OR(Settings!$B$60="",Settings!$F$60="No"),Settings!$H$60&lt;&gt;"Yes"),0,Settings!$B$60*IF(AND(IF(Settings!$C$60="",$B128,DATE(YEAR($A128),MONTH($A128),MIN(Settings!$C$60,DAY($B128))))&gt;=MAX($A128,Settings!$D$60),IF(Settings!$C$60="",$B128,DATE(YEAR($A128),MONTH($A128),MIN(Settings!$C$60,DAY($B128))))&lt;=MIN($C128,IF(Settings!$E$60="",$C128,Settings!$E$60))),1,0))+IF(OR(OR(Settings!$B$61="",Settings!$F$61="No"),Settings!$H$61&lt;&gt;"Yes"),0,Settings!$B$61*IF(AND(IF(Settings!$C$61="",$B128,DATE(YEAR($A128),MONTH($A128),MIN(Settings!$C$61,DAY($B128))))&gt;=MAX($A128,Settings!$D$61),IF(Settings!$C$61="",$B128,DATE(YEAR($A128),MONTH($A128),MIN(Settings!$C$61,DAY($B128))))&lt;=MIN($C128,IF(Settings!$E$61="",$C128,Settings!$E$61))),1,0))+IF(OR(OR(Settings!$B$62="",Settings!$F$62="No"),Settings!$H$62&lt;&gt;"Yes"),0,Settings!$B$62*IF(AND(IF(Settings!$C$62="",$B128,DATE(YEAR($A128),MONTH($A128),MIN(Settings!$C$62,DAY($B128))))&gt;=MAX($A128,Settings!$D$62),IF(Settings!$C$62="",$B128,DATE(YEAR($A128),MONTH($A128),MIN(Settings!$C$62,DAY($B128))))&lt;=MIN($C128,IF(Settings!$E$62="",$C128,Settings!$E$62))),1,0))+IF(OR(OR(Settings!$B$63="",Settings!$F$63="No"),Settings!$H$63&lt;&gt;"Yes"),0,Settings!$B$63*IF(AND(IF(Settings!$C$63="",$B128,DATE(YEAR($A128),MONTH($A128),MIN(Settings!$C$63,DAY($B128))))&gt;=MAX($A128,Settings!$D$63),IF(Settings!$C$63="",$B128,DATE(YEAR($A128),MONTH($A128),MIN(Settings!$C$63,DAY($B128))))&lt;=MIN($C128,IF(Settings!$E$63="",$C128,Settings!$E$63))),1,0))+IF(OR(OR(Settings!$B$64="",Settings!$F$64="No"),Settings!$H$64&lt;&gt;"Yes"),0,Settings!$B$64*IF(AND(IF(Settings!$C$64="",$B128,DATE(YEAR($A128),MONTH($A128),MIN(Settings!$C$64,DAY($B128))))&gt;=MAX($A128,Settings!$D$64),IF(Settings!$C$64="",$B128,DATE(YEAR($A128),MONTH($A128),MIN(Settings!$C$64,DAY($B128))))&lt;=MIN($C128,IF(Settings!$E$64="",$C128,Settings!$E$64))),1,0))+IF(OR(OR(Settings!$B$65="",Settings!$F$65="No"),Settings!$H$65&lt;&gt;"Yes"),0,Settings!$B$65*IF(AND(IF(Settings!$C$65="",$B128,DATE(YEAR($A128),MONTH($A128),MIN(Settings!$C$65,DAY($B128))))&gt;=MAX($A128,Settings!$D$65),IF(Settings!$C$65="",$B128,DATE(YEAR($A128),MONTH($A128),MIN(Settings!$C$65,DAY($B128))))&lt;=MIN($C128,IF(Settings!$E$65="",$C128,Settings!$E$65))),1,0))</f>
        <v/>
      </c>
      <c r="FI128">
        <f>IF($DT128=1,IF(OR(Settings!$B$19="Card",Settings!$B$19="Loan"),N($AE128),0)+IF(OR(Settings!$B$20="Card",Settings!$B$20="Loan"),N($AF128),0)+IF(OR(Settings!$B$21="Card",Settings!$B$21="Loan"),N($AG128),0)+IF(OR(Settings!$B$22="Card",Settings!$B$22="Loan"),N($AH128),0)+IF(OR(Settings!$B$23="Card",Settings!$B$23="Loan"),N($AI128),0)+IF(OR(Settings!$B$24="Card",Settings!$B$24="Loan"),N($AJ128),0)+IF(OR(Settings!$B$25="Card",Settings!$B$25="Loan"),N($AK128),0)+IF(OR(Settings!$B$26="Card",Settings!$B$26="Loan"),N($AL128),0)+IF(OR(Settings!$B$27="Card",Settings!$B$27="Loan"),N($AM128),0)+IF(OR(Settings!$B$28="Card",Settings!$B$28="Loan"),N($AN128),0)+IF(OR(Settings!$B$29="Card",Settings!$B$29="Loan"),N($AO128),0)+IF(OR(Settings!$B$30="Card",Settings!$B$30="Loan"),N($AP128),0)+IF(OR(Settings!$B$31="Card",Settings!$B$31="Loan"),N($AQ128),0)+IF(OR(Settings!$B$32="Card",Settings!$B$32="Loan"),N($AR128),0),"")</f>
        <v/>
      </c>
      <c r="FJ128">
        <f>IF($E128="open",$EB$65,IF($E128="post",IF($E127="pre",$EB$65,$FI127),""))</f>
        <v/>
      </c>
      <c r="FK128">
        <f>IF(AND($DT128=1,$DC128=1),IF(ROUND($FI128-$FJ128,2)&gt;0,1,0),0)</f>
        <v/>
      </c>
      <c r="FL128">
        <f>IF($FK128=1,$FL127+1,0)</f>
        <v/>
      </c>
    </row>
    <row r="129">
      <c r="A129">
        <f>'Month-End'!$DV$4</f>
        <v/>
      </c>
      <c r="B129">
        <f>EOMONTH($A129,0)</f>
        <v/>
      </c>
      <c r="C129">
        <f>MIN($B129,TODAY())</f>
        <v/>
      </c>
      <c r="D129">
        <f>IF($A129&gt;TODAY(),1,0)</f>
        <v/>
      </c>
      <c r="E129">
        <f>IF($B129&lt;=Settings!$B$5,"pre",IF($A129&lt;=Settings!$B$5,"open","post"))</f>
        <v/>
      </c>
      <c r="G129">
        <f>IF('Month-End'!$DV$22="",$BE129,N('Month-End'!$DV$22))</f>
        <v/>
      </c>
      <c r="H129">
        <f>IF('Month-End'!$DV$23="",$BF129,N('Month-End'!$DV$23))</f>
        <v/>
      </c>
      <c r="I129">
        <f>IF('Month-End'!$DV$24="",$BG129,N('Month-End'!$DV$24))</f>
        <v/>
      </c>
      <c r="J129">
        <f>IF('Month-End'!$DV$25="",$BH129,N('Month-End'!$DV$25))</f>
        <v/>
      </c>
      <c r="K129">
        <f>IF('Month-End'!$DV$26="",$BI129,N('Month-End'!$DV$26))</f>
        <v/>
      </c>
      <c r="L129">
        <f>IF('Month-End'!$DV$27="",$BJ129,N('Month-End'!$DV$27))</f>
        <v/>
      </c>
      <c r="M129">
        <f>IF('Month-End'!$DV$28="",$BK129,N('Month-End'!$DV$28))</f>
        <v/>
      </c>
      <c r="N129">
        <f>IF('Month-End'!$DV$29="",$BL129,N('Month-End'!$DV$29))</f>
        <v/>
      </c>
      <c r="O129">
        <f>IF('Month-End'!$DV$30="",$BM129,N('Month-End'!$DV$30))</f>
        <v/>
      </c>
      <c r="P129">
        <f>IF('Month-End'!$DV$31="",$BN129,N('Month-End'!$DV$31))</f>
        <v/>
      </c>
      <c r="Q129">
        <f>IF('Month-End'!$DV$32="",$BO129,N('Month-End'!$DV$32))</f>
        <v/>
      </c>
      <c r="R129">
        <f>IF('Month-End'!$DV$33="",$BP129,N('Month-End'!$DV$33))</f>
        <v/>
      </c>
      <c r="S129">
        <f>$G129+$H129+$I129+$J129+$K129+$L129+$M129+$N129+$O129+$P129+$Q129+$R129</f>
        <v/>
      </c>
      <c r="T129">
        <f>IF($B129&lt;Settings!$B$6,0,IF(Settings!$B$45="Yes",$G129,0)+IF(Settings!$B$46="Yes",$H129,0)+IF(Settings!$B$47="Yes",$I129,0)+IF(Settings!$B$48="Yes",$J129,0)+IF(Settings!$B$49="Yes",$K129,0)+IF(Settings!$B$50="Yes",$L129,0)+IF(Settings!$B$51="Yes",$M129,0)+IF(Settings!$B$52="Yes",$N129,0)+IF(Settings!$B$53="Yes",$O129,0)+IF(Settings!$B$54="Yes",$P129,0)+IF(Settings!$B$55="Yes",$Q129,0)+IF(Settings!$B$56="Yes",$R129,0))</f>
        <v/>
      </c>
      <c r="U129">
        <f>IF(Settings!$B$45="Not Sure",$G129,0)+IF(Settings!$B$46="Not Sure",$H129,0)+IF(Settings!$B$47="Not Sure",$I129,0)+IF(Settings!$B$48="Not Sure",$J129,0)+IF(Settings!$B$49="Not Sure",$K129,0)+IF(Settings!$B$50="Not Sure",$L129,0)+IF(Settings!$B$51="Not Sure",$M129,0)+IF(Settings!$B$52="Not Sure",$N129,0)+IF(Settings!$B$53="Not Sure",$O129,0)+IF(Settings!$B$54="Not Sure",$P129,0)+IF(Settings!$B$55="Not Sure",$Q129,0)+IF(Settings!$B$56="Not Sure",$R129,0)</f>
        <v/>
      </c>
      <c r="V129">
        <f>IF($E129="open",SUM($ET129:$FE129)+N(Settings!$B$13),0)</f>
        <v/>
      </c>
      <c r="W129">
        <f>IF($E129="post",$S129,IF($E129="open",$S129-$V129,0))</f>
        <v/>
      </c>
      <c r="X129">
        <f>SUMIFS(Giving!$B$7:$B$2006,Giving!$A$7:$A$2006,"&gt;="&amp;$A129,Giving!$A$7:$A$2006,"&lt;="&amp;$B129,Giving!$E$7:$E$2006,"&lt;&gt;No")</f>
        <v/>
      </c>
      <c r="Y129">
        <f>SUMIFS(Giving!$B$7:$B$2006,Giving!$A$7:$A$2006,"&gt;="&amp;$A129,Giving!$A$7:$A$2006,"&lt;="&amp;$B129,Giving!$E$7:$E$2006,"No")</f>
        <v/>
      </c>
      <c r="Z129">
        <f>IF(OR(Settings!$B$60="",Settings!$F$60="No"),0,Settings!$B$60*IF(AND(IF(Settings!$C$60="",$B129,DATE(YEAR($A129),MONTH($A129),MIN(Settings!$C$60,DAY($B129))))&gt;=MAX($A129,Settings!$D$60),IF(Settings!$C$60="",$B129,DATE(YEAR($A129),MONTH($A129),MIN(Settings!$C$60,DAY($B129))))&lt;=MIN($C129,IF(Settings!$E$60="",$C129,Settings!$E$60))),1,0))+IF(OR(Settings!$B$61="",Settings!$F$61="No"),0,Settings!$B$61*IF(AND(IF(Settings!$C$61="",$B129,DATE(YEAR($A129),MONTH($A129),MIN(Settings!$C$61,DAY($B129))))&gt;=MAX($A129,Settings!$D$61),IF(Settings!$C$61="",$B129,DATE(YEAR($A129),MONTH($A129),MIN(Settings!$C$61,DAY($B129))))&lt;=MIN($C129,IF(Settings!$E$61="",$C129,Settings!$E$61))),1,0))+IF(OR(Settings!$B$62="",Settings!$F$62="No"),0,Settings!$B$62*IF(AND(IF(Settings!$C$62="",$B129,DATE(YEAR($A129),MONTH($A129),MIN(Settings!$C$62,DAY($B129))))&gt;=MAX($A129,Settings!$D$62),IF(Settings!$C$62="",$B129,DATE(YEAR($A129),MONTH($A129),MIN(Settings!$C$62,DAY($B129))))&lt;=MIN($C129,IF(Settings!$E$62="",$C129,Settings!$E$62))),1,0))+IF(OR(Settings!$B$63="",Settings!$F$63="No"),0,Settings!$B$63*IF(AND(IF(Settings!$C$63="",$B129,DATE(YEAR($A129),MONTH($A129),MIN(Settings!$C$63,DAY($B129))))&gt;=MAX($A129,Settings!$D$63),IF(Settings!$C$63="",$B129,DATE(YEAR($A129),MONTH($A129),MIN(Settings!$C$63,DAY($B129))))&lt;=MIN($C129,IF(Settings!$E$63="",$C129,Settings!$E$63))),1,0))+IF(OR(Settings!$B$64="",Settings!$F$64="No"),0,Settings!$B$64*IF(AND(IF(Settings!$C$64="",$B129,DATE(YEAR($A129),MONTH($A129),MIN(Settings!$C$64,DAY($B129))))&gt;=MAX($A129,Settings!$D$64),IF(Settings!$C$64="",$B129,DATE(YEAR($A129),MONTH($A129),MIN(Settings!$C$64,DAY($B129))))&lt;=MIN($C129,IF(Settings!$E$64="",$C129,Settings!$E$64))),1,0))+IF(OR(Settings!$B$65="",Settings!$F$65="No"),0,Settings!$B$65*IF(AND(IF(Settings!$C$65="",$B129,DATE(YEAR($A129),MONTH($A129),MIN(Settings!$C$65,DAY($B129))))&gt;=MAX($A129,Settings!$D$65),IF(Settings!$C$65="",$B129,DATE(YEAR($A129),MONTH($A129),MIN(Settings!$C$65,DAY($B129))))&lt;=MIN($C129,IF(Settings!$E$65="",$C129,Settings!$E$65))),1,0))</f>
        <v/>
      </c>
      <c r="AA129">
        <f>$X129+$Z129</f>
        <v/>
      </c>
      <c r="AB129">
        <f>IF($E129="post",$AA129,IF($E129="open",SUMIFS(Giving!$B$7:$B$2006,Giving!$A$7:$A$2006,"&gt;"&amp;Settings!$B$5,Giving!$A$7:$A$2006,"&lt;="&amp;$B129,Giving!$E$7:$E$2006,"&lt;&gt;No")+IF(OR(Settings!$B$60="",Settings!$F$60="No"),0,Settings!$B$60*IF(AND(IF(Settings!$C$60="",$B129,DATE(YEAR($A129),MONTH($A129),MIN(Settings!$C$60,DAY($B129))))&gt;=MAX($A129,Settings!$D$60,Settings!$B$5+1),IF(Settings!$C$60="",$B129,DATE(YEAR($A129),MONTH($A129),MIN(Settings!$C$60,DAY($B129))))&lt;=MIN($C129,IF(Settings!$E$60="",$C129,Settings!$E$60))),1,0))+IF(OR(Settings!$B$61="",Settings!$F$61="No"),0,Settings!$B$61*IF(AND(IF(Settings!$C$61="",$B129,DATE(YEAR($A129),MONTH($A129),MIN(Settings!$C$61,DAY($B129))))&gt;=MAX($A129,Settings!$D$61,Settings!$B$5+1),IF(Settings!$C$61="",$B129,DATE(YEAR($A129),MONTH($A129),MIN(Settings!$C$61,DAY($B129))))&lt;=MIN($C129,IF(Settings!$E$61="",$C129,Settings!$E$61))),1,0))+IF(OR(Settings!$B$62="",Settings!$F$62="No"),0,Settings!$B$62*IF(AND(IF(Settings!$C$62="",$B129,DATE(YEAR($A129),MONTH($A129),MIN(Settings!$C$62,DAY($B129))))&gt;=MAX($A129,Settings!$D$62,Settings!$B$5+1),IF(Settings!$C$62="",$B129,DATE(YEAR($A129),MONTH($A129),MIN(Settings!$C$62,DAY($B129))))&lt;=MIN($C129,IF(Settings!$E$62="",$C129,Settings!$E$62))),1,0))+IF(OR(Settings!$B$63="",Settings!$F$63="No"),0,Settings!$B$63*IF(AND(IF(Settings!$C$63="",$B129,DATE(YEAR($A129),MONTH($A129),MIN(Settings!$C$63,DAY($B129))))&gt;=MAX($A129,Settings!$D$63,Settings!$B$5+1),IF(Settings!$C$63="",$B129,DATE(YEAR($A129),MONTH($A129),MIN(Settings!$C$63,DAY($B129))))&lt;=MIN($C129,IF(Settings!$E$63="",$C129,Settings!$E$63))),1,0))+IF(OR(Settings!$B$64="",Settings!$F$64="No"),0,Settings!$B$64*IF(AND(IF(Settings!$C$64="",$B129,DATE(YEAR($A129),MONTH($A129),MIN(Settings!$C$64,DAY($B129))))&gt;=MAX($A129,Settings!$D$64,Settings!$B$5+1),IF(Settings!$C$64="",$B129,DATE(YEAR($A129),MONTH($A129),MIN(Settings!$C$64,DAY($B129))))&lt;=MIN($C129,IF(Settings!$E$64="",$C129,Settings!$E$64))),1,0))+IF(OR(Settings!$B$65="",Settings!$F$65="No"),0,Settings!$B$65*IF(AND(IF(Settings!$C$65="",$B129,DATE(YEAR($A129),MONTH($A129),MIN(Settings!$C$65,DAY($B129))))&gt;=MAX($A129,Settings!$D$65,Settings!$B$5+1),IF(Settings!$C$65="",$B129,DATE(YEAR($A129),MONTH($A129),MIN(Settings!$C$65,DAY($B129))))&lt;=MIN($C129,IF(Settings!$E$65="",$C129,Settings!$E$65))),1,0)),0))</f>
        <v/>
      </c>
      <c r="AC129">
        <f>$AY129+$AZ129+$BA129+$BB129+$BC129+$BD129</f>
        <v/>
      </c>
      <c r="AD129">
        <f>$AC129</f>
        <v/>
      </c>
      <c r="AE129">
        <f>IF(OR(Settings!$A$19="",$E129="pre"),"",IF(AND('Month-End'!$DV$7&lt;&gt;"",NOT(_xlfn.ISFORMULA('Month-End'!$DV$7))),N('Month-End'!$DV$7),IF(OR($E129="open",$E128="pre"),N(Settings!$C$19),N($AE128))))</f>
        <v/>
      </c>
      <c r="AF129">
        <f>IF(OR(Settings!$A$20="",$E129="pre"),"",IF(AND('Month-End'!$DV$8&lt;&gt;"",NOT(_xlfn.ISFORMULA('Month-End'!$DV$8))),N('Month-End'!$DV$8),IF(OR($E129="open",$E128="pre"),N(Settings!$C$20),N($AF128))))</f>
        <v/>
      </c>
      <c r="AG129">
        <f>IF(OR(Settings!$A$21="",$E129="pre"),"",IF(AND('Month-End'!$DV$9&lt;&gt;"",NOT(_xlfn.ISFORMULA('Month-End'!$DV$9))),N('Month-End'!$DV$9),IF(OR($E129="open",$E128="pre"),N(Settings!$C$21),N($AG128))))</f>
        <v/>
      </c>
      <c r="AH129">
        <f>IF(OR(Settings!$A$22="",$E129="pre"),"",IF(AND('Month-End'!$DV$10&lt;&gt;"",NOT(_xlfn.ISFORMULA('Month-End'!$DV$10))),N('Month-End'!$DV$10),IF(OR($E129="open",$E128="pre"),N(Settings!$C$22),N($AH128))))</f>
        <v/>
      </c>
      <c r="AI129">
        <f>IF(OR(Settings!$A$23="",$E129="pre"),"",IF(AND('Month-End'!$DV$11&lt;&gt;"",NOT(_xlfn.ISFORMULA('Month-End'!$DV$11))),N('Month-End'!$DV$11),IF(OR($E129="open",$E128="pre"),N(Settings!$C$23),N($AI128))))</f>
        <v/>
      </c>
      <c r="AJ129">
        <f>IF(OR(Settings!$A$24="",$E129="pre"),"",IF(AND('Month-End'!$DV$12&lt;&gt;"",NOT(_xlfn.ISFORMULA('Month-End'!$DV$12))),N('Month-End'!$DV$12),IF(OR($E129="open",$E128="pre"),N(Settings!$C$24),N($AJ128))))</f>
        <v/>
      </c>
      <c r="AK129">
        <f>IF(OR(Settings!$A$25="",$E129="pre"),"",IF(AND('Month-End'!$DV$13&lt;&gt;"",NOT(_xlfn.ISFORMULA('Month-End'!$DV$13))),N('Month-End'!$DV$13),IF(OR($E129="open",$E128="pre"),N(Settings!$C$25),N($AK128))))</f>
        <v/>
      </c>
      <c r="AL129">
        <f>IF(OR(Settings!$A$26="",$E129="pre"),"",IF(AND('Month-End'!$DV$14&lt;&gt;"",NOT(_xlfn.ISFORMULA('Month-End'!$DV$14))),N('Month-End'!$DV$14),IF(OR($E129="open",$E128="pre"),N(Settings!$C$26),N($AL128))))</f>
        <v/>
      </c>
      <c r="AM129">
        <f>IF(OR(Settings!$A$27="",$E129="pre"),"",IF(AND('Month-End'!$DV$15&lt;&gt;"",NOT(_xlfn.ISFORMULA('Month-End'!$DV$15))),N('Month-End'!$DV$15),IF(OR($E129="open",$E128="pre"),N(Settings!$C$27),N($AM128))))</f>
        <v/>
      </c>
      <c r="AN129">
        <f>IF(OR(Settings!$A$28="",$E129="pre"),"",IF(AND('Month-End'!$DV$16&lt;&gt;"",NOT(_xlfn.ISFORMULA('Month-End'!$DV$16))),N('Month-End'!$DV$16),IF(OR($E129="open",$E128="pre"),N(Settings!$C$28),N($AN128))))</f>
        <v/>
      </c>
      <c r="AO129">
        <f>IF(OR(Settings!$A$29="",$E129="pre"),"",IF(AND('Month-End'!$DV$17&lt;&gt;"",NOT(_xlfn.ISFORMULA('Month-End'!$DV$17))),N('Month-End'!$DV$17),IF(OR($E129="open",$E128="pre"),N(Settings!$C$29),N($AO128))))</f>
        <v/>
      </c>
      <c r="AP129">
        <f>IF(OR(Settings!$A$30="",$E129="pre"),"",IF(AND('Month-End'!$DV$18&lt;&gt;"",NOT(_xlfn.ISFORMULA('Month-End'!$DV$18))),N('Month-End'!$DV$18),IF(OR($E129="open",$E128="pre"),N(Settings!$C$30),N($AP128))))</f>
        <v/>
      </c>
      <c r="AQ129">
        <f>IF(OR(Settings!$A$31="",$E129="pre"),"",IF(AND('Month-End'!$DV$19&lt;&gt;"",NOT(_xlfn.ISFORMULA('Month-End'!$DV$19))),N('Month-End'!$DV$19),IF(OR($E129="open",$E128="pre"),N(Settings!$C$31),N($AQ128))))</f>
        <v/>
      </c>
      <c r="AR129">
        <f>IF(OR(Settings!$A$32="",$E129="pre"),"",IF(AND('Month-End'!$DV$20&lt;&gt;"",NOT(_xlfn.ISFORMULA('Month-End'!$DV$20))),N('Month-End'!$DV$20),IF(OR($E129="open",$E128="pre"),N(Settings!$C$32),N($AR128))))</f>
        <v/>
      </c>
      <c r="AS129">
        <f>IF(OR(Settings!$A$36="",$E129="pre"),"",IF(AND('Month-End'!$DV$38&lt;&gt;"",NOT(_xlfn.ISFORMULA('Month-End'!$DV$38))),N('Month-End'!$DV$38),IF(OR($E129="open",$E128="pre"),N(Settings!$C$36),N($AS128))+$AY129))</f>
        <v/>
      </c>
      <c r="AT129">
        <f>IF(OR(Settings!$A$37="",$E129="pre"),"",IF(AND('Month-End'!$DV$39&lt;&gt;"",NOT(_xlfn.ISFORMULA('Month-End'!$DV$39))),N('Month-End'!$DV$39),IF(OR($E129="open",$E128="pre"),N(Settings!$C$37),N($AT128))+$AZ129))</f>
        <v/>
      </c>
      <c r="AU129">
        <f>IF(OR(Settings!$A$38="",$E129="pre"),"",IF(AND('Month-End'!$DV$40&lt;&gt;"",NOT(_xlfn.ISFORMULA('Month-End'!$DV$40))),N('Month-End'!$DV$40),IF(OR($E129="open",$E128="pre"),N(Settings!$C$38),N($AU128))+$BA129))</f>
        <v/>
      </c>
      <c r="AV129">
        <f>IF(OR(Settings!$A$39="",$E129="pre"),"",IF(AND('Month-End'!$DV$41&lt;&gt;"",NOT(_xlfn.ISFORMULA('Month-End'!$DV$41))),N('Month-End'!$DV$41),IF(OR($E129="open",$E128="pre"),N(Settings!$C$39),N($AV128))+$BB129))</f>
        <v/>
      </c>
      <c r="AW129">
        <f>IF(OR(Settings!$A$40="",$E129="pre"),"",IF(AND('Month-End'!$DV$42&lt;&gt;"",NOT(_xlfn.ISFORMULA('Month-End'!$DV$42))),N('Month-End'!$DV$42),IF(OR($E129="open",$E128="pre"),N(Settings!$C$40),N($AW128))+$BC129))</f>
        <v/>
      </c>
      <c r="AX129">
        <f>IF(OR(Settings!$A$41="",$E129="pre"),"",IF(AND('Month-End'!$DV$43&lt;&gt;"",NOT(_xlfn.ISFORMULA('Month-End'!$DV$43))),N('Month-End'!$DV$43),IF(OR($E129="open",$E128="pre"),N(Settings!$C$41),N($AX128))+$BD129))</f>
        <v/>
      </c>
      <c r="AY129">
        <f>IF($E129="pre",0,N('Month-End'!$DV$45))</f>
        <v/>
      </c>
      <c r="AZ129">
        <f>IF($E129="pre",0,N('Month-End'!$DV$46))</f>
        <v/>
      </c>
      <c r="BA129">
        <f>IF($E129="pre",0,N('Month-End'!$DV$47))</f>
        <v/>
      </c>
      <c r="BB129">
        <f>IF($E129="pre",0,N('Month-End'!$DV$48))</f>
        <v/>
      </c>
      <c r="BC129">
        <f>IF($E129="pre",0,N('Month-End'!$DV$49))</f>
        <v/>
      </c>
      <c r="BD129">
        <f>IF($E129="pre",0,N('Month-End'!$DV$50))</f>
        <v/>
      </c>
      <c r="BE129">
        <f>IF(OR(Settings!$C$45="",Settings!$D$45=""),0,Settings!$C$45*IF(Settings!$D$45="Weekly",IF(IFERROR(MATCH(Settings!$E$45,$EO$4:$EO$10,0),0)=0,0,IF(MIN($C129,IF(Settings!$G$45="",$C129,Settings!$G$45))&lt;MAX($A129,Settings!$F$45),0,INT((MIN($C129,IF(Settings!$G$45="",$C129,Settings!$G$45))-MAX($A129,Settings!$F$45)-MOD(IFERROR(MATCH(Settings!$E$45,$EO$4:$EO$10,0),0)-WEEKDAY(MAX($A129,Settings!$F$45)),7))/7)+1)),IF(AND(IF(Settings!$E$45="",$B129,DATE(YEAR($A129),MONTH($A129),MIN(Settings!$E$45,DAY($B129))))&gt;=MAX($A129,Settings!$F$45),IF(Settings!$E$45="",$B129,DATE(YEAR($A129),MONTH($A129),MIN(Settings!$E$45,DAY($B129))))&lt;=MIN($C129,IF(Settings!$G$45="",$C129,Settings!$G$45))),1,0)))</f>
        <v/>
      </c>
      <c r="BF129">
        <f>IF(OR(Settings!$C$46="",Settings!$D$46=""),0,Settings!$C$46*IF(Settings!$D$46="Weekly",IF(IFERROR(MATCH(Settings!$E$46,$EO$4:$EO$10,0),0)=0,0,IF(MIN($C129,IF(Settings!$G$46="",$C129,Settings!$G$46))&lt;MAX($A129,Settings!$F$46),0,INT((MIN($C129,IF(Settings!$G$46="",$C129,Settings!$G$46))-MAX($A129,Settings!$F$46)-MOD(IFERROR(MATCH(Settings!$E$46,$EO$4:$EO$10,0),0)-WEEKDAY(MAX($A129,Settings!$F$46)),7))/7)+1)),IF(AND(IF(Settings!$E$46="",$B129,DATE(YEAR($A129),MONTH($A129),MIN(Settings!$E$46,DAY($B129))))&gt;=MAX($A129,Settings!$F$46),IF(Settings!$E$46="",$B129,DATE(YEAR($A129),MONTH($A129),MIN(Settings!$E$46,DAY($B129))))&lt;=MIN($C129,IF(Settings!$G$46="",$C129,Settings!$G$46))),1,0)))</f>
        <v/>
      </c>
      <c r="BG129">
        <f>IF(OR(Settings!$C$47="",Settings!$D$47=""),0,Settings!$C$47*IF(Settings!$D$47="Weekly",IF(IFERROR(MATCH(Settings!$E$47,$EO$4:$EO$10,0),0)=0,0,IF(MIN($C129,IF(Settings!$G$47="",$C129,Settings!$G$47))&lt;MAX($A129,Settings!$F$47),0,INT((MIN($C129,IF(Settings!$G$47="",$C129,Settings!$G$47))-MAX($A129,Settings!$F$47)-MOD(IFERROR(MATCH(Settings!$E$47,$EO$4:$EO$10,0),0)-WEEKDAY(MAX($A129,Settings!$F$47)),7))/7)+1)),IF(AND(IF(Settings!$E$47="",$B129,DATE(YEAR($A129),MONTH($A129),MIN(Settings!$E$47,DAY($B129))))&gt;=MAX($A129,Settings!$F$47),IF(Settings!$E$47="",$B129,DATE(YEAR($A129),MONTH($A129),MIN(Settings!$E$47,DAY($B129))))&lt;=MIN($C129,IF(Settings!$G$47="",$C129,Settings!$G$47))),1,0)))</f>
        <v/>
      </c>
      <c r="BH129">
        <f>IF(OR(Settings!$C$48="",Settings!$D$48=""),0,Settings!$C$48*IF(Settings!$D$48="Weekly",IF(IFERROR(MATCH(Settings!$E$48,$EO$4:$EO$10,0),0)=0,0,IF(MIN($C129,IF(Settings!$G$48="",$C129,Settings!$G$48))&lt;MAX($A129,Settings!$F$48),0,INT((MIN($C129,IF(Settings!$G$48="",$C129,Settings!$G$48))-MAX($A129,Settings!$F$48)-MOD(IFERROR(MATCH(Settings!$E$48,$EO$4:$EO$10,0),0)-WEEKDAY(MAX($A129,Settings!$F$48)),7))/7)+1)),IF(AND(IF(Settings!$E$48="",$B129,DATE(YEAR($A129),MONTH($A129),MIN(Settings!$E$48,DAY($B129))))&gt;=MAX($A129,Settings!$F$48),IF(Settings!$E$48="",$B129,DATE(YEAR($A129),MONTH($A129),MIN(Settings!$E$48,DAY($B129))))&lt;=MIN($C129,IF(Settings!$G$48="",$C129,Settings!$G$48))),1,0)))</f>
        <v/>
      </c>
      <c r="BI129">
        <f>IF(OR(Settings!$C$49="",Settings!$D$49=""),0,Settings!$C$49*IF(Settings!$D$49="Weekly",IF(IFERROR(MATCH(Settings!$E$49,$EO$4:$EO$10,0),0)=0,0,IF(MIN($C129,IF(Settings!$G$49="",$C129,Settings!$G$49))&lt;MAX($A129,Settings!$F$49),0,INT((MIN($C129,IF(Settings!$G$49="",$C129,Settings!$G$49))-MAX($A129,Settings!$F$49)-MOD(IFERROR(MATCH(Settings!$E$49,$EO$4:$EO$10,0),0)-WEEKDAY(MAX($A129,Settings!$F$49)),7))/7)+1)),IF(AND(IF(Settings!$E$49="",$B129,DATE(YEAR($A129),MONTH($A129),MIN(Settings!$E$49,DAY($B129))))&gt;=MAX($A129,Settings!$F$49),IF(Settings!$E$49="",$B129,DATE(YEAR($A129),MONTH($A129),MIN(Settings!$E$49,DAY($B129))))&lt;=MIN($C129,IF(Settings!$G$49="",$C129,Settings!$G$49))),1,0)))</f>
        <v/>
      </c>
      <c r="BJ129">
        <f>IF(OR(Settings!$C$50="",Settings!$D$50=""),0,Settings!$C$50*IF(Settings!$D$50="Weekly",IF(IFERROR(MATCH(Settings!$E$50,$EO$4:$EO$10,0),0)=0,0,IF(MIN($C129,IF(Settings!$G$50="",$C129,Settings!$G$50))&lt;MAX($A129,Settings!$F$50),0,INT((MIN($C129,IF(Settings!$G$50="",$C129,Settings!$G$50))-MAX($A129,Settings!$F$50)-MOD(IFERROR(MATCH(Settings!$E$50,$EO$4:$EO$10,0),0)-WEEKDAY(MAX($A129,Settings!$F$50)),7))/7)+1)),IF(AND(IF(Settings!$E$50="",$B129,DATE(YEAR($A129),MONTH($A129),MIN(Settings!$E$50,DAY($B129))))&gt;=MAX($A129,Settings!$F$50),IF(Settings!$E$50="",$B129,DATE(YEAR($A129),MONTH($A129),MIN(Settings!$E$50,DAY($B129))))&lt;=MIN($C129,IF(Settings!$G$50="",$C129,Settings!$G$50))),1,0)))</f>
        <v/>
      </c>
      <c r="BK129">
        <f>IF(OR(Settings!$C$51="",Settings!$D$51=""),0,Settings!$C$51*IF(Settings!$D$51="Weekly",IF(IFERROR(MATCH(Settings!$E$51,$EO$4:$EO$10,0),0)=0,0,IF(MIN($C129,IF(Settings!$G$51="",$C129,Settings!$G$51))&lt;MAX($A129,Settings!$F$51),0,INT((MIN($C129,IF(Settings!$G$51="",$C129,Settings!$G$51))-MAX($A129,Settings!$F$51)-MOD(IFERROR(MATCH(Settings!$E$51,$EO$4:$EO$10,0),0)-WEEKDAY(MAX($A129,Settings!$F$51)),7))/7)+1)),IF(AND(IF(Settings!$E$51="",$B129,DATE(YEAR($A129),MONTH($A129),MIN(Settings!$E$51,DAY($B129))))&gt;=MAX($A129,Settings!$F$51),IF(Settings!$E$51="",$B129,DATE(YEAR($A129),MONTH($A129),MIN(Settings!$E$51,DAY($B129))))&lt;=MIN($C129,IF(Settings!$G$51="",$C129,Settings!$G$51))),1,0)))</f>
        <v/>
      </c>
      <c r="BL129">
        <f>IF(OR(Settings!$C$52="",Settings!$D$52=""),0,Settings!$C$52*IF(Settings!$D$52="Weekly",IF(IFERROR(MATCH(Settings!$E$52,$EO$4:$EO$10,0),0)=0,0,IF(MIN($C129,IF(Settings!$G$52="",$C129,Settings!$G$52))&lt;MAX($A129,Settings!$F$52),0,INT((MIN($C129,IF(Settings!$G$52="",$C129,Settings!$G$52))-MAX($A129,Settings!$F$52)-MOD(IFERROR(MATCH(Settings!$E$52,$EO$4:$EO$10,0),0)-WEEKDAY(MAX($A129,Settings!$F$52)),7))/7)+1)),IF(AND(IF(Settings!$E$52="",$B129,DATE(YEAR($A129),MONTH($A129),MIN(Settings!$E$52,DAY($B129))))&gt;=MAX($A129,Settings!$F$52),IF(Settings!$E$52="",$B129,DATE(YEAR($A129),MONTH($A129),MIN(Settings!$E$52,DAY($B129))))&lt;=MIN($C129,IF(Settings!$G$52="",$C129,Settings!$G$52))),1,0)))</f>
        <v/>
      </c>
      <c r="BM129">
        <f>IF(OR(Settings!$C$53="",Settings!$D$53=""),0,Settings!$C$53*IF(Settings!$D$53="Weekly",IF(IFERROR(MATCH(Settings!$E$53,$EO$4:$EO$10,0),0)=0,0,IF(MIN($C129,IF(Settings!$G$53="",$C129,Settings!$G$53))&lt;MAX($A129,Settings!$F$53),0,INT((MIN($C129,IF(Settings!$G$53="",$C129,Settings!$G$53))-MAX($A129,Settings!$F$53)-MOD(IFERROR(MATCH(Settings!$E$53,$EO$4:$EO$10,0),0)-WEEKDAY(MAX($A129,Settings!$F$53)),7))/7)+1)),IF(AND(IF(Settings!$E$53="",$B129,DATE(YEAR($A129),MONTH($A129),MIN(Settings!$E$53,DAY($B129))))&gt;=MAX($A129,Settings!$F$53),IF(Settings!$E$53="",$B129,DATE(YEAR($A129),MONTH($A129),MIN(Settings!$E$53,DAY($B129))))&lt;=MIN($C129,IF(Settings!$G$53="",$C129,Settings!$G$53))),1,0)))</f>
        <v/>
      </c>
      <c r="BN129">
        <f>IF(OR(Settings!$C$54="",Settings!$D$54=""),0,Settings!$C$54*IF(Settings!$D$54="Weekly",IF(IFERROR(MATCH(Settings!$E$54,$EO$4:$EO$10,0),0)=0,0,IF(MIN($C129,IF(Settings!$G$54="",$C129,Settings!$G$54))&lt;MAX($A129,Settings!$F$54),0,INT((MIN($C129,IF(Settings!$G$54="",$C129,Settings!$G$54))-MAX($A129,Settings!$F$54)-MOD(IFERROR(MATCH(Settings!$E$54,$EO$4:$EO$10,0),0)-WEEKDAY(MAX($A129,Settings!$F$54)),7))/7)+1)),IF(AND(IF(Settings!$E$54="",$B129,DATE(YEAR($A129),MONTH($A129),MIN(Settings!$E$54,DAY($B129))))&gt;=MAX($A129,Settings!$F$54),IF(Settings!$E$54="",$B129,DATE(YEAR($A129),MONTH($A129),MIN(Settings!$E$54,DAY($B129))))&lt;=MIN($C129,IF(Settings!$G$54="",$C129,Settings!$G$54))),1,0)))</f>
        <v/>
      </c>
      <c r="BO129">
        <f>IF(OR(Settings!$C$55="",Settings!$D$55=""),0,Settings!$C$55*IF(Settings!$D$55="Weekly",IF(IFERROR(MATCH(Settings!$E$55,$EO$4:$EO$10,0),0)=0,0,IF(MIN($C129,IF(Settings!$G$55="",$C129,Settings!$G$55))&lt;MAX($A129,Settings!$F$55),0,INT((MIN($C129,IF(Settings!$G$55="",$C129,Settings!$G$55))-MAX($A129,Settings!$F$55)-MOD(IFERROR(MATCH(Settings!$E$55,$EO$4:$EO$10,0),0)-WEEKDAY(MAX($A129,Settings!$F$55)),7))/7)+1)),IF(AND(IF(Settings!$E$55="",$B129,DATE(YEAR($A129),MONTH($A129),MIN(Settings!$E$55,DAY($B129))))&gt;=MAX($A129,Settings!$F$55),IF(Settings!$E$55="",$B129,DATE(YEAR($A129),MONTH($A129),MIN(Settings!$E$55,DAY($B129))))&lt;=MIN($C129,IF(Settings!$G$55="",$C129,Settings!$G$55))),1,0)))</f>
        <v/>
      </c>
      <c r="BP129">
        <f>IF(OR(Settings!$C$56="",Settings!$D$56=""),0,Settings!$C$56*IF(Settings!$D$56="Weekly",IF(IFERROR(MATCH(Settings!$E$56,$EO$4:$EO$10,0),0)=0,0,IF(MIN($C129,IF(Settings!$G$56="",$C129,Settings!$G$56))&lt;MAX($A129,Settings!$F$56),0,INT((MIN($C129,IF(Settings!$G$56="",$C129,Settings!$G$56))-MAX($A129,Settings!$F$56)-MOD(IFERROR(MATCH(Settings!$E$56,$EO$4:$EO$10,0),0)-WEEKDAY(MAX($A129,Settings!$F$56)),7))/7)+1)),IF(AND(IF(Settings!$E$56="",$B129,DATE(YEAR($A129),MONTH($A129),MIN(Settings!$E$56,DAY($B129))))&gt;=MAX($A129,Settings!$F$56),IF(Settings!$E$56="",$B129,DATE(YEAR($A129),MONTH($A129),MIN(Settings!$E$56,DAY($B129))))&lt;=MIN($C129,IF(Settings!$G$56="",$C129,Settings!$G$56))),1,0)))</f>
        <v/>
      </c>
      <c r="BQ129">
        <f>IF(OR(Settings!$B$14="",$D129=1,$E129="pre",$A129&lt;IF(Settings!$B$15="",0,Settings!$B$15)),0,Settings!$B$14)</f>
        <v/>
      </c>
      <c r="BR129">
        <f>IF(AND('Month-End'!$DV$7&lt;&gt;"",NOT(_xlfn.ISFORMULA('Month-End'!$DV$7))),1,0)</f>
        <v/>
      </c>
      <c r="BS129">
        <f>IF(AND('Month-End'!$DV$8&lt;&gt;"",NOT(_xlfn.ISFORMULA('Month-End'!$DV$8))),1,0)</f>
        <v/>
      </c>
      <c r="BT129">
        <f>IF(AND('Month-End'!$DV$9&lt;&gt;"",NOT(_xlfn.ISFORMULA('Month-End'!$DV$9))),1,0)</f>
        <v/>
      </c>
      <c r="BU129">
        <f>IF(AND('Month-End'!$DV$10&lt;&gt;"",NOT(_xlfn.ISFORMULA('Month-End'!$DV$10))),1,0)</f>
        <v/>
      </c>
      <c r="BV129">
        <f>IF(AND('Month-End'!$DV$11&lt;&gt;"",NOT(_xlfn.ISFORMULA('Month-End'!$DV$11))),1,0)</f>
        <v/>
      </c>
      <c r="BW129">
        <f>IF(AND('Month-End'!$DV$12&lt;&gt;"",NOT(_xlfn.ISFORMULA('Month-End'!$DV$12))),1,0)</f>
        <v/>
      </c>
      <c r="BX129">
        <f>IF(AND('Month-End'!$DV$13&lt;&gt;"",NOT(_xlfn.ISFORMULA('Month-End'!$DV$13))),1,0)</f>
        <v/>
      </c>
      <c r="BY129">
        <f>IF(AND('Month-End'!$DV$14&lt;&gt;"",NOT(_xlfn.ISFORMULA('Month-End'!$DV$14))),1,0)</f>
        <v/>
      </c>
      <c r="BZ129">
        <f>IF(AND('Month-End'!$DV$15&lt;&gt;"",NOT(_xlfn.ISFORMULA('Month-End'!$DV$15))),1,0)</f>
        <v/>
      </c>
      <c r="CA129">
        <f>IF(AND('Month-End'!$DV$16&lt;&gt;"",NOT(_xlfn.ISFORMULA('Month-End'!$DV$16))),1,0)</f>
        <v/>
      </c>
      <c r="CB129">
        <f>IF(AND('Month-End'!$DV$17&lt;&gt;"",NOT(_xlfn.ISFORMULA('Month-End'!$DV$17))),1,0)</f>
        <v/>
      </c>
      <c r="CC129">
        <f>IF(AND('Month-End'!$DV$18&lt;&gt;"",NOT(_xlfn.ISFORMULA('Month-End'!$DV$18))),1,0)</f>
        <v/>
      </c>
      <c r="CD129">
        <f>IF(AND('Month-End'!$DV$19&lt;&gt;"",NOT(_xlfn.ISFORMULA('Month-End'!$DV$19))),1,0)</f>
        <v/>
      </c>
      <c r="CE129">
        <f>IF(AND('Month-End'!$DV$20&lt;&gt;"",NOT(_xlfn.ISFORMULA('Month-End'!$DV$20))),1,0)</f>
        <v/>
      </c>
      <c r="CF129">
        <f>IF(AND('Month-End'!$DV$38&lt;&gt;"",NOT(_xlfn.ISFORMULA('Month-End'!$DV$38))),1,0)</f>
        <v/>
      </c>
      <c r="CG129">
        <f>IF(AND('Month-End'!$DV$39&lt;&gt;"",NOT(_xlfn.ISFORMULA('Month-End'!$DV$39))),1,0)</f>
        <v/>
      </c>
      <c r="CH129">
        <f>IF(AND('Month-End'!$DV$40&lt;&gt;"",NOT(_xlfn.ISFORMULA('Month-End'!$DV$40))),1,0)</f>
        <v/>
      </c>
      <c r="CI129">
        <f>IF(AND('Month-End'!$DV$41&lt;&gt;"",NOT(_xlfn.ISFORMULA('Month-End'!$DV$41))),1,0)</f>
        <v/>
      </c>
      <c r="CJ129">
        <f>IF(AND('Month-End'!$DV$42&lt;&gt;"",NOT(_xlfn.ISFORMULA('Month-End'!$DV$42))),1,0)</f>
        <v/>
      </c>
      <c r="CK129">
        <f>IF(AND('Month-End'!$DV$43&lt;&gt;"",NOT(_xlfn.ISFORMULA('Month-End'!$DV$43))),1,0)</f>
        <v/>
      </c>
      <c r="CL129">
        <f>SUM($CM129:$CZ129)</f>
        <v/>
      </c>
      <c r="CM129">
        <f>IF(AND($E129&lt;&gt;"pre",AND(Settings!$A$19&lt;&gt;"",Settings!$E$19&lt;&gt;"No"),Settings!$F$19="Yes",NOT(AND('Month-End'!$DV$7&lt;&gt;"",NOT(_xlfn.ISFORMULA('Month-End'!$DV$7))))),1,0)</f>
        <v/>
      </c>
      <c r="CN129">
        <f>IF(AND($E129&lt;&gt;"pre",AND(Settings!$A$20&lt;&gt;"",Settings!$E$20&lt;&gt;"No"),Settings!$F$20="Yes",NOT(AND('Month-End'!$DV$8&lt;&gt;"",NOT(_xlfn.ISFORMULA('Month-End'!$DV$8))))),1,0)</f>
        <v/>
      </c>
      <c r="CO129">
        <f>IF(AND($E129&lt;&gt;"pre",AND(Settings!$A$21&lt;&gt;"",Settings!$E$21&lt;&gt;"No"),Settings!$F$21="Yes",NOT(AND('Month-End'!$DV$9&lt;&gt;"",NOT(_xlfn.ISFORMULA('Month-End'!$DV$9))))),1,0)</f>
        <v/>
      </c>
      <c r="CP129">
        <f>IF(AND($E129&lt;&gt;"pre",AND(Settings!$A$22&lt;&gt;"",Settings!$E$22&lt;&gt;"No"),Settings!$F$22="Yes",NOT(AND('Month-End'!$DV$10&lt;&gt;"",NOT(_xlfn.ISFORMULA('Month-End'!$DV$10))))),1,0)</f>
        <v/>
      </c>
      <c r="CQ129">
        <f>IF(AND($E129&lt;&gt;"pre",AND(Settings!$A$23&lt;&gt;"",Settings!$E$23&lt;&gt;"No"),Settings!$F$23="Yes",NOT(AND('Month-End'!$DV$11&lt;&gt;"",NOT(_xlfn.ISFORMULA('Month-End'!$DV$11))))),1,0)</f>
        <v/>
      </c>
      <c r="CR129">
        <f>IF(AND($E129&lt;&gt;"pre",AND(Settings!$A$24&lt;&gt;"",Settings!$E$24&lt;&gt;"No"),Settings!$F$24="Yes",NOT(AND('Month-End'!$DV$12&lt;&gt;"",NOT(_xlfn.ISFORMULA('Month-End'!$DV$12))))),1,0)</f>
        <v/>
      </c>
      <c r="CS129">
        <f>IF(AND($E129&lt;&gt;"pre",AND(Settings!$A$25&lt;&gt;"",Settings!$E$25&lt;&gt;"No"),Settings!$F$25="Yes",NOT(AND('Month-End'!$DV$13&lt;&gt;"",NOT(_xlfn.ISFORMULA('Month-End'!$DV$13))))),1,0)</f>
        <v/>
      </c>
      <c r="CT129">
        <f>IF(AND($E129&lt;&gt;"pre",AND(Settings!$A$26&lt;&gt;"",Settings!$E$26&lt;&gt;"No"),Settings!$F$26="Yes",NOT(AND('Month-End'!$DV$14&lt;&gt;"",NOT(_xlfn.ISFORMULA('Month-End'!$DV$14))))),1,0)</f>
        <v/>
      </c>
      <c r="CU129">
        <f>IF(AND($E129&lt;&gt;"pre",AND(Settings!$A$27&lt;&gt;"",Settings!$E$27&lt;&gt;"No"),Settings!$F$27="Yes",NOT(AND('Month-End'!$DV$15&lt;&gt;"",NOT(_xlfn.ISFORMULA('Month-End'!$DV$15))))),1,0)</f>
        <v/>
      </c>
      <c r="CV129">
        <f>IF(AND($E129&lt;&gt;"pre",AND(Settings!$A$28&lt;&gt;"",Settings!$E$28&lt;&gt;"No"),Settings!$F$28="Yes",NOT(AND('Month-End'!$DV$16&lt;&gt;"",NOT(_xlfn.ISFORMULA('Month-End'!$DV$16))))),1,0)</f>
        <v/>
      </c>
      <c r="CW129">
        <f>IF(AND($E129&lt;&gt;"pre",AND(Settings!$A$29&lt;&gt;"",Settings!$E$29&lt;&gt;"No"),Settings!$F$29="Yes",NOT(AND('Month-End'!$DV$17&lt;&gt;"",NOT(_xlfn.ISFORMULA('Month-End'!$DV$17))))),1,0)</f>
        <v/>
      </c>
      <c r="CX129">
        <f>IF(AND($E129&lt;&gt;"pre",AND(Settings!$A$30&lt;&gt;"",Settings!$E$30&lt;&gt;"No"),Settings!$F$30="Yes",NOT(AND('Month-End'!$DV$18&lt;&gt;"",NOT(_xlfn.ISFORMULA('Month-End'!$DV$18))))),1,0)</f>
        <v/>
      </c>
      <c r="CY129">
        <f>IF(AND($E129&lt;&gt;"pre",AND(Settings!$A$31&lt;&gt;"",Settings!$E$31&lt;&gt;"No"),Settings!$F$31="Yes",NOT(AND('Month-End'!$DV$19&lt;&gt;"",NOT(_xlfn.ISFORMULA('Month-End'!$DV$19))))),1,0)</f>
        <v/>
      </c>
      <c r="CZ129">
        <f>IF(AND($E129&lt;&gt;"pre",AND(Settings!$A$32&lt;&gt;"",Settings!$E$32&lt;&gt;"No"),Settings!$F$32="Yes",NOT(AND('Month-End'!$DV$20&lt;&gt;"",NOT(_xlfn.ISFORMULA('Month-End'!$DV$20))))),1,0)</f>
        <v/>
      </c>
      <c r="DA129">
        <f>IF($DT129=1,IF(OR(Settings!$B$19="Checking",Settings!$B$19="Savings",Settings!$B$19="Cash"),N($AE129),IF(OR(Settings!$B$19="Card",Settings!$B$19="Loan"),-N($AE129),0))+IF(OR(Settings!$B$20="Checking",Settings!$B$20="Savings",Settings!$B$20="Cash"),N($AF129),IF(OR(Settings!$B$20="Card",Settings!$B$20="Loan"),-N($AF129),0))+IF(OR(Settings!$B$21="Checking",Settings!$B$21="Savings",Settings!$B$21="Cash"),N($AG129),IF(OR(Settings!$B$21="Card",Settings!$B$21="Loan"),-N($AG129),0))+IF(OR(Settings!$B$22="Checking",Settings!$B$22="Savings",Settings!$B$22="Cash"),N($AH129),IF(OR(Settings!$B$22="Card",Settings!$B$22="Loan"),-N($AH129),0))+IF(OR(Settings!$B$23="Checking",Settings!$B$23="Savings",Settings!$B$23="Cash"),N($AI129),IF(OR(Settings!$B$23="Card",Settings!$B$23="Loan"),-N($AI129),0))+IF(OR(Settings!$B$24="Checking",Settings!$B$24="Savings",Settings!$B$24="Cash"),N($AJ129),IF(OR(Settings!$B$24="Card",Settings!$B$24="Loan"),-N($AJ129),0))+IF(OR(Settings!$B$25="Checking",Settings!$B$25="Savings",Settings!$B$25="Cash"),N($AK129),IF(OR(Settings!$B$25="Card",Settings!$B$25="Loan"),-N($AK129),0))+IF(OR(Settings!$B$26="Checking",Settings!$B$26="Savings",Settings!$B$26="Cash"),N($AL129),IF(OR(Settings!$B$26="Card",Settings!$B$26="Loan"),-N($AL129),0))+IF(OR(Settings!$B$27="Checking",Settings!$B$27="Savings",Settings!$B$27="Cash"),N($AM129),IF(OR(Settings!$B$27="Card",Settings!$B$27="Loan"),-N($AM129),0))+IF(OR(Settings!$B$28="Checking",Settings!$B$28="Savings",Settings!$B$28="Cash"),N($AN129),IF(OR(Settings!$B$28="Card",Settings!$B$28="Loan"),-N($AN129),0))+IF(OR(Settings!$B$29="Checking",Settings!$B$29="Savings",Settings!$B$29="Cash"),N($AO129),IF(OR(Settings!$B$29="Card",Settings!$B$29="Loan"),-N($AO129),0))+IF(OR(Settings!$B$30="Checking",Settings!$B$30="Savings",Settings!$B$30="Cash"),N($AP129),IF(OR(Settings!$B$30="Card",Settings!$B$30="Loan"),-N($AP129),0))+IF(OR(Settings!$B$31="Checking",Settings!$B$31="Savings",Settings!$B$31="Cash"),N($AQ129),IF(OR(Settings!$B$31="Card",Settings!$B$31="Loan"),-N($AQ129),0))+IF(OR(Settings!$B$32="Checking",Settings!$B$32="Savings",Settings!$B$32="Cash"),N($AR129),IF(OR(Settings!$B$32="Card",Settings!$B$32="Loan"),-N($AR129),0)),"")</f>
        <v/>
      </c>
      <c r="DB129">
        <f>IF($E129="open",$EB$27,IF($E129="post",IF($E128="pre",$EB$27,$DA128),""))</f>
        <v/>
      </c>
      <c r="DC129">
        <f>IF($E129="open",1,IF($E129="post",IF($E128="pre",1,$DT128),0))</f>
        <v/>
      </c>
      <c r="DD129">
        <f>IF(AND($DT129=1,$DC129=1),ROUND($W129-($DA129-$DB129)-$AD129-$AB129,2),"")</f>
        <v/>
      </c>
      <c r="DE129">
        <f>IF('Month-End'!$DV$35="",$BQ129,N('Month-End'!$DV$35))</f>
        <v/>
      </c>
      <c r="DF129">
        <f>N('Month-End'!$DV$36)</f>
        <v/>
      </c>
      <c r="DG129">
        <f>IF($DD129="","",$DD129+$DE129)</f>
        <v/>
      </c>
      <c r="DH129">
        <f>IF($DG129="","",$DG129-$DF129)</f>
        <v/>
      </c>
      <c r="DI129">
        <f>IF(OR($E129="pre",$D129=1),"",N($AS129)+N($AT129)+N($AU129)+N($AV129)+N($AW129)+N($AX129))</f>
        <v/>
      </c>
      <c r="DJ129">
        <f>IF($DT129=1,$DA129+N($DI129),"")</f>
        <v/>
      </c>
      <c r="DK129">
        <f>IF($DD129="","",$W129-$DD129-$AB129)</f>
        <v/>
      </c>
      <c r="DL129">
        <f>IF(AND($E129="post",$DD129&lt;&gt;"",$B129&lt;TODAY()),1,0)</f>
        <v/>
      </c>
      <c r="DM129">
        <f>IF($DL129=1,COUNTIF($DL129:$DL$183,1),0)</f>
        <v/>
      </c>
      <c r="DN129">
        <f>IF($D129=1,"",IF($E129="pre","History only",IF($DT129=1,IF($DD129="","⚠ Previous month missing",IF($DD129&lt;0,"⚠ Check: spending &lt; 0",IF($E129="open","✓ Done (partial)","✓ Done"))),IF($B129&gt;=TODAY(),"In progress","⚠ Needs balances"))))</f>
        <v/>
      </c>
      <c r="DO129">
        <f>YEAR($A129)</f>
        <v/>
      </c>
      <c r="DP129">
        <f>DATE(YEAR($A129),INT((MONTH($A129)-1)/3)*3+1,1)</f>
        <v/>
      </c>
      <c r="DQ129">
        <f>IF(AND($DT129=1,$DD129&lt;&gt;"",$D129=0),ROW(),0)</f>
        <v/>
      </c>
      <c r="DR129">
        <f>IF(AND($E129&lt;&gt;"pre",$B129&lt;TODAY(),$DT129=0),1,0)</f>
        <v/>
      </c>
      <c r="DS129">
        <f>IF($DJ129="",NA(),$DJ129)</f>
        <v/>
      </c>
      <c r="DT129">
        <f>IF(AND($E129&lt;&gt;"pre",$CL129=0,COUNTIFS(Settings!$F$19:$F$32,"Yes",Settings!$A$19:$A$32,"&lt;&gt;",Settings!$E$19:$E$32,"&lt;&gt;No")&gt;0),1,0)</f>
        <v/>
      </c>
      <c r="DU129">
        <f>IF(AND($B129&lt;TODAY(),$S129&gt;0),1,0)</f>
        <v/>
      </c>
      <c r="DV129">
        <f>IF($DU129=1,COUNTIF($DU129:$DU$183,1),0)</f>
        <v/>
      </c>
      <c r="DW129">
        <f>IF(AND(OR(Settings!$B$19="Card",Settings!$B$19="Loan"),AND('Month-End'!$DV$7&lt;&gt;"",NOT(_xlfn.ISFORMULA('Month-End'!$DV$7)))),IF(N('Month-End'!$DV$7)&lt;0,1,0),0)+IF(AND(OR(Settings!$B$20="Card",Settings!$B$20="Loan"),AND('Month-End'!$DV$8&lt;&gt;"",NOT(_xlfn.ISFORMULA('Month-End'!$DV$8)))),IF(N('Month-End'!$DV$8)&lt;0,1,0),0)+IF(AND(OR(Settings!$B$21="Card",Settings!$B$21="Loan"),AND('Month-End'!$DV$9&lt;&gt;"",NOT(_xlfn.ISFORMULA('Month-End'!$DV$9)))),IF(N('Month-End'!$DV$9)&lt;0,1,0),0)+IF(AND(OR(Settings!$B$22="Card",Settings!$B$22="Loan"),AND('Month-End'!$DV$10&lt;&gt;"",NOT(_xlfn.ISFORMULA('Month-End'!$DV$10)))),IF(N('Month-End'!$DV$10)&lt;0,1,0),0)+IF(AND(OR(Settings!$B$23="Card",Settings!$B$23="Loan"),AND('Month-End'!$DV$11&lt;&gt;"",NOT(_xlfn.ISFORMULA('Month-End'!$DV$11)))),IF(N('Month-End'!$DV$11)&lt;0,1,0),0)+IF(AND(OR(Settings!$B$24="Card",Settings!$B$24="Loan"),AND('Month-End'!$DV$12&lt;&gt;"",NOT(_xlfn.ISFORMULA('Month-End'!$DV$12)))),IF(N('Month-End'!$DV$12)&lt;0,1,0),0)+IF(AND(OR(Settings!$B$25="Card",Settings!$B$25="Loan"),AND('Month-End'!$DV$13&lt;&gt;"",NOT(_xlfn.ISFORMULA('Month-End'!$DV$13)))),IF(N('Month-End'!$DV$13)&lt;0,1,0),0)+IF(AND(OR(Settings!$B$26="Card",Settings!$B$26="Loan"),AND('Month-End'!$DV$14&lt;&gt;"",NOT(_xlfn.ISFORMULA('Month-End'!$DV$14)))),IF(N('Month-End'!$DV$14)&lt;0,1,0),0)+IF(AND(OR(Settings!$B$27="Card",Settings!$B$27="Loan"),AND('Month-End'!$DV$15&lt;&gt;"",NOT(_xlfn.ISFORMULA('Month-End'!$DV$15)))),IF(N('Month-End'!$DV$15)&lt;0,1,0),0)+IF(AND(OR(Settings!$B$28="Card",Settings!$B$28="Loan"),AND('Month-End'!$DV$16&lt;&gt;"",NOT(_xlfn.ISFORMULA('Month-End'!$DV$16)))),IF(N('Month-End'!$DV$16)&lt;0,1,0),0)+IF(AND(OR(Settings!$B$29="Card",Settings!$B$29="Loan"),AND('Month-End'!$DV$17&lt;&gt;"",NOT(_xlfn.ISFORMULA('Month-End'!$DV$17)))),IF(N('Month-End'!$DV$17)&lt;0,1,0),0)+IF(AND(OR(Settings!$B$30="Card",Settings!$B$30="Loan"),AND('Month-End'!$DV$18&lt;&gt;"",NOT(_xlfn.ISFORMULA('Month-End'!$DV$18)))),IF(N('Month-End'!$DV$18)&lt;0,1,0),0)+IF(AND(OR(Settings!$B$31="Card",Settings!$B$31="Loan"),AND('Month-End'!$DV$19&lt;&gt;"",NOT(_xlfn.ISFORMULA('Month-End'!$DV$19)))),IF(N('Month-End'!$DV$19)&lt;0,1,0),0)+IF(AND(OR(Settings!$B$32="Card",Settings!$B$32="Loan"),AND('Month-End'!$DV$20&lt;&gt;"",NOT(_xlfn.ISFORMULA('Month-End'!$DV$20)))),IF(N('Month-End'!$DV$20)&lt;0,1,0),0)</f>
        <v/>
      </c>
      <c r="DX129">
        <f>IF(Settings!$B$36="Retirement",$AY129,0)+IF(Settings!$B$37="Retirement",$AZ129,0)+IF(Settings!$B$38="Retirement",$BA129,0)+IF(Settings!$B$39="Retirement",$BB129,0)+IF(Settings!$B$40="Retirement",$BC129,0)+IF(Settings!$B$41="Retirement",$BD129,0)</f>
        <v/>
      </c>
      <c r="ET129">
        <f>IF($E129&lt;&gt;"open",0,IF(AND('Month-End'!$DV$22&lt;&gt;"",NOT(_xlfn.ISFORMULA('Month-End'!$DV$22))),0,IF(OR(Settings!$C$45="",Settings!$D$45=""),0,Settings!$C$45*IF(Settings!$D$45="Weekly",IF(IFERROR(MATCH(Settings!$E$45,$EO$4:$EO$10,0),0)=0,0,IF(MIN(Settings!$B$5,IF(Settings!$G$45="",Settings!$B$5,Settings!$G$45))&lt;MAX($A129,Settings!$F$45),0,INT((MIN(Settings!$B$5,IF(Settings!$G$45="",Settings!$B$5,Settings!$G$45))-MAX($A129,Settings!$F$45)-MOD(IFERROR(MATCH(Settings!$E$45,$EO$4:$EO$10,0),0)-WEEKDAY(MAX($A129,Settings!$F$45)),7))/7)+1)),IF(AND(IF(Settings!$E$45="",$B129,DATE(YEAR($A129),MONTH($A129),MIN(Settings!$E$45,DAY($B129))))&gt;=MAX($A129,Settings!$F$45),IF(Settings!$E$45="",$B129,DATE(YEAR($A129),MONTH($A129),MIN(Settings!$E$45,DAY($B129))))&lt;=MIN(Settings!$B$5,IF(Settings!$G$45="",Settings!$B$5,Settings!$G$45))),1,0)))))</f>
        <v/>
      </c>
      <c r="EU129">
        <f>IF($E129&lt;&gt;"open",0,IF(AND('Month-End'!$DV$23&lt;&gt;"",NOT(_xlfn.ISFORMULA('Month-End'!$DV$23))),0,IF(OR(Settings!$C$46="",Settings!$D$46=""),0,Settings!$C$46*IF(Settings!$D$46="Weekly",IF(IFERROR(MATCH(Settings!$E$46,$EO$4:$EO$10,0),0)=0,0,IF(MIN(Settings!$B$5,IF(Settings!$G$46="",Settings!$B$5,Settings!$G$46))&lt;MAX($A129,Settings!$F$46),0,INT((MIN(Settings!$B$5,IF(Settings!$G$46="",Settings!$B$5,Settings!$G$46))-MAX($A129,Settings!$F$46)-MOD(IFERROR(MATCH(Settings!$E$46,$EO$4:$EO$10,0),0)-WEEKDAY(MAX($A129,Settings!$F$46)),7))/7)+1)),IF(AND(IF(Settings!$E$46="",$B129,DATE(YEAR($A129),MONTH($A129),MIN(Settings!$E$46,DAY($B129))))&gt;=MAX($A129,Settings!$F$46),IF(Settings!$E$46="",$B129,DATE(YEAR($A129),MONTH($A129),MIN(Settings!$E$46,DAY($B129))))&lt;=MIN(Settings!$B$5,IF(Settings!$G$46="",Settings!$B$5,Settings!$G$46))),1,0)))))</f>
        <v/>
      </c>
      <c r="EV129">
        <f>IF($E129&lt;&gt;"open",0,IF(AND('Month-End'!$DV$24&lt;&gt;"",NOT(_xlfn.ISFORMULA('Month-End'!$DV$24))),0,IF(OR(Settings!$C$47="",Settings!$D$47=""),0,Settings!$C$47*IF(Settings!$D$47="Weekly",IF(IFERROR(MATCH(Settings!$E$47,$EO$4:$EO$10,0),0)=0,0,IF(MIN(Settings!$B$5,IF(Settings!$G$47="",Settings!$B$5,Settings!$G$47))&lt;MAX($A129,Settings!$F$47),0,INT((MIN(Settings!$B$5,IF(Settings!$G$47="",Settings!$B$5,Settings!$G$47))-MAX($A129,Settings!$F$47)-MOD(IFERROR(MATCH(Settings!$E$47,$EO$4:$EO$10,0),0)-WEEKDAY(MAX($A129,Settings!$F$47)),7))/7)+1)),IF(AND(IF(Settings!$E$47="",$B129,DATE(YEAR($A129),MONTH($A129),MIN(Settings!$E$47,DAY($B129))))&gt;=MAX($A129,Settings!$F$47),IF(Settings!$E$47="",$B129,DATE(YEAR($A129),MONTH($A129),MIN(Settings!$E$47,DAY($B129))))&lt;=MIN(Settings!$B$5,IF(Settings!$G$47="",Settings!$B$5,Settings!$G$47))),1,0)))))</f>
        <v/>
      </c>
      <c r="EW129">
        <f>IF($E129&lt;&gt;"open",0,IF(AND('Month-End'!$DV$25&lt;&gt;"",NOT(_xlfn.ISFORMULA('Month-End'!$DV$25))),0,IF(OR(Settings!$C$48="",Settings!$D$48=""),0,Settings!$C$48*IF(Settings!$D$48="Weekly",IF(IFERROR(MATCH(Settings!$E$48,$EO$4:$EO$10,0),0)=0,0,IF(MIN(Settings!$B$5,IF(Settings!$G$48="",Settings!$B$5,Settings!$G$48))&lt;MAX($A129,Settings!$F$48),0,INT((MIN(Settings!$B$5,IF(Settings!$G$48="",Settings!$B$5,Settings!$G$48))-MAX($A129,Settings!$F$48)-MOD(IFERROR(MATCH(Settings!$E$48,$EO$4:$EO$10,0),0)-WEEKDAY(MAX($A129,Settings!$F$48)),7))/7)+1)),IF(AND(IF(Settings!$E$48="",$B129,DATE(YEAR($A129),MONTH($A129),MIN(Settings!$E$48,DAY($B129))))&gt;=MAX($A129,Settings!$F$48),IF(Settings!$E$48="",$B129,DATE(YEAR($A129),MONTH($A129),MIN(Settings!$E$48,DAY($B129))))&lt;=MIN(Settings!$B$5,IF(Settings!$G$48="",Settings!$B$5,Settings!$G$48))),1,0)))))</f>
        <v/>
      </c>
      <c r="EX129">
        <f>IF($E129&lt;&gt;"open",0,IF(AND('Month-End'!$DV$26&lt;&gt;"",NOT(_xlfn.ISFORMULA('Month-End'!$DV$26))),0,IF(OR(Settings!$C$49="",Settings!$D$49=""),0,Settings!$C$49*IF(Settings!$D$49="Weekly",IF(IFERROR(MATCH(Settings!$E$49,$EO$4:$EO$10,0),0)=0,0,IF(MIN(Settings!$B$5,IF(Settings!$G$49="",Settings!$B$5,Settings!$G$49))&lt;MAX($A129,Settings!$F$49),0,INT((MIN(Settings!$B$5,IF(Settings!$G$49="",Settings!$B$5,Settings!$G$49))-MAX($A129,Settings!$F$49)-MOD(IFERROR(MATCH(Settings!$E$49,$EO$4:$EO$10,0),0)-WEEKDAY(MAX($A129,Settings!$F$49)),7))/7)+1)),IF(AND(IF(Settings!$E$49="",$B129,DATE(YEAR($A129),MONTH($A129),MIN(Settings!$E$49,DAY($B129))))&gt;=MAX($A129,Settings!$F$49),IF(Settings!$E$49="",$B129,DATE(YEAR($A129),MONTH($A129),MIN(Settings!$E$49,DAY($B129))))&lt;=MIN(Settings!$B$5,IF(Settings!$G$49="",Settings!$B$5,Settings!$G$49))),1,0)))))</f>
        <v/>
      </c>
      <c r="EY129">
        <f>IF($E129&lt;&gt;"open",0,IF(AND('Month-End'!$DV$27&lt;&gt;"",NOT(_xlfn.ISFORMULA('Month-End'!$DV$27))),0,IF(OR(Settings!$C$50="",Settings!$D$50=""),0,Settings!$C$50*IF(Settings!$D$50="Weekly",IF(IFERROR(MATCH(Settings!$E$50,$EO$4:$EO$10,0),0)=0,0,IF(MIN(Settings!$B$5,IF(Settings!$G$50="",Settings!$B$5,Settings!$G$50))&lt;MAX($A129,Settings!$F$50),0,INT((MIN(Settings!$B$5,IF(Settings!$G$50="",Settings!$B$5,Settings!$G$50))-MAX($A129,Settings!$F$50)-MOD(IFERROR(MATCH(Settings!$E$50,$EO$4:$EO$10,0),0)-WEEKDAY(MAX($A129,Settings!$F$50)),7))/7)+1)),IF(AND(IF(Settings!$E$50="",$B129,DATE(YEAR($A129),MONTH($A129),MIN(Settings!$E$50,DAY($B129))))&gt;=MAX($A129,Settings!$F$50),IF(Settings!$E$50="",$B129,DATE(YEAR($A129),MONTH($A129),MIN(Settings!$E$50,DAY($B129))))&lt;=MIN(Settings!$B$5,IF(Settings!$G$50="",Settings!$B$5,Settings!$G$50))),1,0)))))</f>
        <v/>
      </c>
      <c r="EZ129">
        <f>IF($E129&lt;&gt;"open",0,IF(AND('Month-End'!$DV$28&lt;&gt;"",NOT(_xlfn.ISFORMULA('Month-End'!$DV$28))),0,IF(OR(Settings!$C$51="",Settings!$D$51=""),0,Settings!$C$51*IF(Settings!$D$51="Weekly",IF(IFERROR(MATCH(Settings!$E$51,$EO$4:$EO$10,0),0)=0,0,IF(MIN(Settings!$B$5,IF(Settings!$G$51="",Settings!$B$5,Settings!$G$51))&lt;MAX($A129,Settings!$F$51),0,INT((MIN(Settings!$B$5,IF(Settings!$G$51="",Settings!$B$5,Settings!$G$51))-MAX($A129,Settings!$F$51)-MOD(IFERROR(MATCH(Settings!$E$51,$EO$4:$EO$10,0),0)-WEEKDAY(MAX($A129,Settings!$F$51)),7))/7)+1)),IF(AND(IF(Settings!$E$51="",$B129,DATE(YEAR($A129),MONTH($A129),MIN(Settings!$E$51,DAY($B129))))&gt;=MAX($A129,Settings!$F$51),IF(Settings!$E$51="",$B129,DATE(YEAR($A129),MONTH($A129),MIN(Settings!$E$51,DAY($B129))))&lt;=MIN(Settings!$B$5,IF(Settings!$G$51="",Settings!$B$5,Settings!$G$51))),1,0)))))</f>
        <v/>
      </c>
      <c r="FA129">
        <f>IF($E129&lt;&gt;"open",0,IF(AND('Month-End'!$DV$29&lt;&gt;"",NOT(_xlfn.ISFORMULA('Month-End'!$DV$29))),0,IF(OR(Settings!$C$52="",Settings!$D$52=""),0,Settings!$C$52*IF(Settings!$D$52="Weekly",IF(IFERROR(MATCH(Settings!$E$52,$EO$4:$EO$10,0),0)=0,0,IF(MIN(Settings!$B$5,IF(Settings!$G$52="",Settings!$B$5,Settings!$G$52))&lt;MAX($A129,Settings!$F$52),0,INT((MIN(Settings!$B$5,IF(Settings!$G$52="",Settings!$B$5,Settings!$G$52))-MAX($A129,Settings!$F$52)-MOD(IFERROR(MATCH(Settings!$E$52,$EO$4:$EO$10,0),0)-WEEKDAY(MAX($A129,Settings!$F$52)),7))/7)+1)),IF(AND(IF(Settings!$E$52="",$B129,DATE(YEAR($A129),MONTH($A129),MIN(Settings!$E$52,DAY($B129))))&gt;=MAX($A129,Settings!$F$52),IF(Settings!$E$52="",$B129,DATE(YEAR($A129),MONTH($A129),MIN(Settings!$E$52,DAY($B129))))&lt;=MIN(Settings!$B$5,IF(Settings!$G$52="",Settings!$B$5,Settings!$G$52))),1,0)))))</f>
        <v/>
      </c>
      <c r="FB129">
        <f>IF($E129&lt;&gt;"open",0,IF(AND('Month-End'!$DV$30&lt;&gt;"",NOT(_xlfn.ISFORMULA('Month-End'!$DV$30))),0,IF(OR(Settings!$C$53="",Settings!$D$53=""),0,Settings!$C$53*IF(Settings!$D$53="Weekly",IF(IFERROR(MATCH(Settings!$E$53,$EO$4:$EO$10,0),0)=0,0,IF(MIN(Settings!$B$5,IF(Settings!$G$53="",Settings!$B$5,Settings!$G$53))&lt;MAX($A129,Settings!$F$53),0,INT((MIN(Settings!$B$5,IF(Settings!$G$53="",Settings!$B$5,Settings!$G$53))-MAX($A129,Settings!$F$53)-MOD(IFERROR(MATCH(Settings!$E$53,$EO$4:$EO$10,0),0)-WEEKDAY(MAX($A129,Settings!$F$53)),7))/7)+1)),IF(AND(IF(Settings!$E$53="",$B129,DATE(YEAR($A129),MONTH($A129),MIN(Settings!$E$53,DAY($B129))))&gt;=MAX($A129,Settings!$F$53),IF(Settings!$E$53="",$B129,DATE(YEAR($A129),MONTH($A129),MIN(Settings!$E$53,DAY($B129))))&lt;=MIN(Settings!$B$5,IF(Settings!$G$53="",Settings!$B$5,Settings!$G$53))),1,0)))))</f>
        <v/>
      </c>
      <c r="FC129">
        <f>IF($E129&lt;&gt;"open",0,IF(AND('Month-End'!$DV$31&lt;&gt;"",NOT(_xlfn.ISFORMULA('Month-End'!$DV$31))),0,IF(OR(Settings!$C$54="",Settings!$D$54=""),0,Settings!$C$54*IF(Settings!$D$54="Weekly",IF(IFERROR(MATCH(Settings!$E$54,$EO$4:$EO$10,0),0)=0,0,IF(MIN(Settings!$B$5,IF(Settings!$G$54="",Settings!$B$5,Settings!$G$54))&lt;MAX($A129,Settings!$F$54),0,INT((MIN(Settings!$B$5,IF(Settings!$G$54="",Settings!$B$5,Settings!$G$54))-MAX($A129,Settings!$F$54)-MOD(IFERROR(MATCH(Settings!$E$54,$EO$4:$EO$10,0),0)-WEEKDAY(MAX($A129,Settings!$F$54)),7))/7)+1)),IF(AND(IF(Settings!$E$54="",$B129,DATE(YEAR($A129),MONTH($A129),MIN(Settings!$E$54,DAY($B129))))&gt;=MAX($A129,Settings!$F$54),IF(Settings!$E$54="",$B129,DATE(YEAR($A129),MONTH($A129),MIN(Settings!$E$54,DAY($B129))))&lt;=MIN(Settings!$B$5,IF(Settings!$G$54="",Settings!$B$5,Settings!$G$54))),1,0)))))</f>
        <v/>
      </c>
      <c r="FD129">
        <f>IF($E129&lt;&gt;"open",0,IF(AND('Month-End'!$DV$32&lt;&gt;"",NOT(_xlfn.ISFORMULA('Month-End'!$DV$32))),0,IF(OR(Settings!$C$55="",Settings!$D$55=""),0,Settings!$C$55*IF(Settings!$D$55="Weekly",IF(IFERROR(MATCH(Settings!$E$55,$EO$4:$EO$10,0),0)=0,0,IF(MIN(Settings!$B$5,IF(Settings!$G$55="",Settings!$B$5,Settings!$G$55))&lt;MAX($A129,Settings!$F$55),0,INT((MIN(Settings!$B$5,IF(Settings!$G$55="",Settings!$B$5,Settings!$G$55))-MAX($A129,Settings!$F$55)-MOD(IFERROR(MATCH(Settings!$E$55,$EO$4:$EO$10,0),0)-WEEKDAY(MAX($A129,Settings!$F$55)),7))/7)+1)),IF(AND(IF(Settings!$E$55="",$B129,DATE(YEAR($A129),MONTH($A129),MIN(Settings!$E$55,DAY($B129))))&gt;=MAX($A129,Settings!$F$55),IF(Settings!$E$55="",$B129,DATE(YEAR($A129),MONTH($A129),MIN(Settings!$E$55,DAY($B129))))&lt;=MIN(Settings!$B$5,IF(Settings!$G$55="",Settings!$B$5,Settings!$G$55))),1,0)))))</f>
        <v/>
      </c>
      <c r="FE129">
        <f>IF($E129&lt;&gt;"open",0,IF(AND('Month-End'!$DV$33&lt;&gt;"",NOT(_xlfn.ISFORMULA('Month-End'!$DV$33))),0,IF(OR(Settings!$C$56="",Settings!$D$56=""),0,Settings!$C$56*IF(Settings!$D$56="Weekly",IF(IFERROR(MATCH(Settings!$E$56,$EO$4:$EO$10,0),0)=0,0,IF(MIN(Settings!$B$5,IF(Settings!$G$56="",Settings!$B$5,Settings!$G$56))&lt;MAX($A129,Settings!$F$56),0,INT((MIN(Settings!$B$5,IF(Settings!$G$56="",Settings!$B$5,Settings!$G$56))-MAX($A129,Settings!$F$56)-MOD(IFERROR(MATCH(Settings!$E$56,$EO$4:$EO$10,0),0)-WEEKDAY(MAX($A129,Settings!$F$56)),7))/7)+1)),IF(AND(IF(Settings!$E$56="",$B129,DATE(YEAR($A129),MONTH($A129),MIN(Settings!$E$56,DAY($B129))))&gt;=MAX($A129,Settings!$F$56),IF(Settings!$E$56="",$B129,DATE(YEAR($A129),MONTH($A129),MIN(Settings!$E$56,DAY($B129))))&lt;=MIN(Settings!$B$5,IF(Settings!$G$56="",Settings!$B$5,Settings!$G$56))),1,0)))))</f>
        <v/>
      </c>
      <c r="FF129">
        <f>IF(Settings!$I$45="Yes",$G129,0)+IF(Settings!$I$46="Yes",$H129,0)+IF(Settings!$I$47="Yes",$I129,0)+IF(Settings!$I$48="Yes",$J129,0)+IF(Settings!$I$49="Yes",$K129,0)+IF(Settings!$I$50="Yes",$L129,0)+IF(Settings!$I$51="Yes",$M129,0)+IF(Settings!$I$52="Yes",$N129,0)+IF(Settings!$I$53="Yes",$O129,0)+IF(Settings!$I$54="Yes",$P129,0)+IF(Settings!$I$55="Yes",$Q129,0)+IF(Settings!$I$56="Yes",$R129,0)</f>
        <v/>
      </c>
      <c r="FG129">
        <f>IF(AND(Settings!$I$45="Yes",Settings!$J$45="No"),$G129,0)+IF(AND(Settings!$I$46="Yes",Settings!$J$46="No"),$H129,0)+IF(AND(Settings!$I$47="Yes",Settings!$J$47="No"),$I129,0)+IF(AND(Settings!$I$48="Yes",Settings!$J$48="No"),$J129,0)+IF(AND(Settings!$I$49="Yes",Settings!$J$49="No"),$K129,0)+IF(AND(Settings!$I$50="Yes",Settings!$J$50="No"),$L129,0)+IF(AND(Settings!$I$51="Yes",Settings!$J$51="No"),$M129,0)+IF(AND(Settings!$I$52="Yes",Settings!$J$52="No"),$N129,0)+IF(AND(Settings!$I$53="Yes",Settings!$J$53="No"),$O129,0)+IF(AND(Settings!$I$54="Yes",Settings!$J$54="No"),$P129,0)+IF(AND(Settings!$I$55="Yes",Settings!$J$55="No"),$Q129,0)+IF(AND(Settings!$I$56="Yes",Settings!$J$56="No"),$R129,0)</f>
        <v/>
      </c>
      <c r="FH129">
        <f>SUMIFS(Giving!$B$7:$B$2006,Giving!$A$7:$A$2006,"&gt;="&amp;$A129,Giving!$A$7:$A$2006,"&lt;="&amp;$B129,Giving!$G$7:$G$2006,"Yes")+IF(OR(OR(Settings!$B$60="",Settings!$F$60="No"),Settings!$H$60&lt;&gt;"Yes"),0,Settings!$B$60*IF(AND(IF(Settings!$C$60="",$B129,DATE(YEAR($A129),MONTH($A129),MIN(Settings!$C$60,DAY($B129))))&gt;=MAX($A129,Settings!$D$60),IF(Settings!$C$60="",$B129,DATE(YEAR($A129),MONTH($A129),MIN(Settings!$C$60,DAY($B129))))&lt;=MIN($C129,IF(Settings!$E$60="",$C129,Settings!$E$60))),1,0))+IF(OR(OR(Settings!$B$61="",Settings!$F$61="No"),Settings!$H$61&lt;&gt;"Yes"),0,Settings!$B$61*IF(AND(IF(Settings!$C$61="",$B129,DATE(YEAR($A129),MONTH($A129),MIN(Settings!$C$61,DAY($B129))))&gt;=MAX($A129,Settings!$D$61),IF(Settings!$C$61="",$B129,DATE(YEAR($A129),MONTH($A129),MIN(Settings!$C$61,DAY($B129))))&lt;=MIN($C129,IF(Settings!$E$61="",$C129,Settings!$E$61))),1,0))+IF(OR(OR(Settings!$B$62="",Settings!$F$62="No"),Settings!$H$62&lt;&gt;"Yes"),0,Settings!$B$62*IF(AND(IF(Settings!$C$62="",$B129,DATE(YEAR($A129),MONTH($A129),MIN(Settings!$C$62,DAY($B129))))&gt;=MAX($A129,Settings!$D$62),IF(Settings!$C$62="",$B129,DATE(YEAR($A129),MONTH($A129),MIN(Settings!$C$62,DAY($B129))))&lt;=MIN($C129,IF(Settings!$E$62="",$C129,Settings!$E$62))),1,0))+IF(OR(OR(Settings!$B$63="",Settings!$F$63="No"),Settings!$H$63&lt;&gt;"Yes"),0,Settings!$B$63*IF(AND(IF(Settings!$C$63="",$B129,DATE(YEAR($A129),MONTH($A129),MIN(Settings!$C$63,DAY($B129))))&gt;=MAX($A129,Settings!$D$63),IF(Settings!$C$63="",$B129,DATE(YEAR($A129),MONTH($A129),MIN(Settings!$C$63,DAY($B129))))&lt;=MIN($C129,IF(Settings!$E$63="",$C129,Settings!$E$63))),1,0))+IF(OR(OR(Settings!$B$64="",Settings!$F$64="No"),Settings!$H$64&lt;&gt;"Yes"),0,Settings!$B$64*IF(AND(IF(Settings!$C$64="",$B129,DATE(YEAR($A129),MONTH($A129),MIN(Settings!$C$64,DAY($B129))))&gt;=MAX($A129,Settings!$D$64),IF(Settings!$C$64="",$B129,DATE(YEAR($A129),MONTH($A129),MIN(Settings!$C$64,DAY($B129))))&lt;=MIN($C129,IF(Settings!$E$64="",$C129,Settings!$E$64))),1,0))+IF(OR(OR(Settings!$B$65="",Settings!$F$65="No"),Settings!$H$65&lt;&gt;"Yes"),0,Settings!$B$65*IF(AND(IF(Settings!$C$65="",$B129,DATE(YEAR($A129),MONTH($A129),MIN(Settings!$C$65,DAY($B129))))&gt;=MAX($A129,Settings!$D$65),IF(Settings!$C$65="",$B129,DATE(YEAR($A129),MONTH($A129),MIN(Settings!$C$65,DAY($B129))))&lt;=MIN($C129,IF(Settings!$E$65="",$C129,Settings!$E$65))),1,0))</f>
        <v/>
      </c>
      <c r="FI129">
        <f>IF($DT129=1,IF(OR(Settings!$B$19="Card",Settings!$B$19="Loan"),N($AE129),0)+IF(OR(Settings!$B$20="Card",Settings!$B$20="Loan"),N($AF129),0)+IF(OR(Settings!$B$21="Card",Settings!$B$21="Loan"),N($AG129),0)+IF(OR(Settings!$B$22="Card",Settings!$B$22="Loan"),N($AH129),0)+IF(OR(Settings!$B$23="Card",Settings!$B$23="Loan"),N($AI129),0)+IF(OR(Settings!$B$24="Card",Settings!$B$24="Loan"),N($AJ129),0)+IF(OR(Settings!$B$25="Card",Settings!$B$25="Loan"),N($AK129),0)+IF(OR(Settings!$B$26="Card",Settings!$B$26="Loan"),N($AL129),0)+IF(OR(Settings!$B$27="Card",Settings!$B$27="Loan"),N($AM129),0)+IF(OR(Settings!$B$28="Card",Settings!$B$28="Loan"),N($AN129),0)+IF(OR(Settings!$B$29="Card",Settings!$B$29="Loan"),N($AO129),0)+IF(OR(Settings!$B$30="Card",Settings!$B$30="Loan"),N($AP129),0)+IF(OR(Settings!$B$31="Card",Settings!$B$31="Loan"),N($AQ129),0)+IF(OR(Settings!$B$32="Card",Settings!$B$32="Loan"),N($AR129),0),"")</f>
        <v/>
      </c>
      <c r="FJ129">
        <f>IF($E129="open",$EB$65,IF($E129="post",IF($E128="pre",$EB$65,$FI128),""))</f>
        <v/>
      </c>
      <c r="FK129">
        <f>IF(AND($DT129=1,$DC129=1),IF(ROUND($FI129-$FJ129,2)&gt;0,1,0),0)</f>
        <v/>
      </c>
      <c r="FL129">
        <f>IF($FK129=1,$FL128+1,0)</f>
        <v/>
      </c>
    </row>
    <row r="130">
      <c r="A130">
        <f>'Month-End'!$DW$4</f>
        <v/>
      </c>
      <c r="B130">
        <f>EOMONTH($A130,0)</f>
        <v/>
      </c>
      <c r="C130">
        <f>MIN($B130,TODAY())</f>
        <v/>
      </c>
      <c r="D130">
        <f>IF($A130&gt;TODAY(),1,0)</f>
        <v/>
      </c>
      <c r="E130">
        <f>IF($B130&lt;=Settings!$B$5,"pre",IF($A130&lt;=Settings!$B$5,"open","post"))</f>
        <v/>
      </c>
      <c r="G130">
        <f>IF('Month-End'!$DW$22="",$BE130,N('Month-End'!$DW$22))</f>
        <v/>
      </c>
      <c r="H130">
        <f>IF('Month-End'!$DW$23="",$BF130,N('Month-End'!$DW$23))</f>
        <v/>
      </c>
      <c r="I130">
        <f>IF('Month-End'!$DW$24="",$BG130,N('Month-End'!$DW$24))</f>
        <v/>
      </c>
      <c r="J130">
        <f>IF('Month-End'!$DW$25="",$BH130,N('Month-End'!$DW$25))</f>
        <v/>
      </c>
      <c r="K130">
        <f>IF('Month-End'!$DW$26="",$BI130,N('Month-End'!$DW$26))</f>
        <v/>
      </c>
      <c r="L130">
        <f>IF('Month-End'!$DW$27="",$BJ130,N('Month-End'!$DW$27))</f>
        <v/>
      </c>
      <c r="M130">
        <f>IF('Month-End'!$DW$28="",$BK130,N('Month-End'!$DW$28))</f>
        <v/>
      </c>
      <c r="N130">
        <f>IF('Month-End'!$DW$29="",$BL130,N('Month-End'!$DW$29))</f>
        <v/>
      </c>
      <c r="O130">
        <f>IF('Month-End'!$DW$30="",$BM130,N('Month-End'!$DW$30))</f>
        <v/>
      </c>
      <c r="P130">
        <f>IF('Month-End'!$DW$31="",$BN130,N('Month-End'!$DW$31))</f>
        <v/>
      </c>
      <c r="Q130">
        <f>IF('Month-End'!$DW$32="",$BO130,N('Month-End'!$DW$32))</f>
        <v/>
      </c>
      <c r="R130">
        <f>IF('Month-End'!$DW$33="",$BP130,N('Month-End'!$DW$33))</f>
        <v/>
      </c>
      <c r="S130">
        <f>$G130+$H130+$I130+$J130+$K130+$L130+$M130+$N130+$O130+$P130+$Q130+$R130</f>
        <v/>
      </c>
      <c r="T130">
        <f>IF($B130&lt;Settings!$B$6,0,IF(Settings!$B$45="Yes",$G130,0)+IF(Settings!$B$46="Yes",$H130,0)+IF(Settings!$B$47="Yes",$I130,0)+IF(Settings!$B$48="Yes",$J130,0)+IF(Settings!$B$49="Yes",$K130,0)+IF(Settings!$B$50="Yes",$L130,0)+IF(Settings!$B$51="Yes",$M130,0)+IF(Settings!$B$52="Yes",$N130,0)+IF(Settings!$B$53="Yes",$O130,0)+IF(Settings!$B$54="Yes",$P130,0)+IF(Settings!$B$55="Yes",$Q130,0)+IF(Settings!$B$56="Yes",$R130,0))</f>
        <v/>
      </c>
      <c r="U130">
        <f>IF(Settings!$B$45="Not Sure",$G130,0)+IF(Settings!$B$46="Not Sure",$H130,0)+IF(Settings!$B$47="Not Sure",$I130,0)+IF(Settings!$B$48="Not Sure",$J130,0)+IF(Settings!$B$49="Not Sure",$K130,0)+IF(Settings!$B$50="Not Sure",$L130,0)+IF(Settings!$B$51="Not Sure",$M130,0)+IF(Settings!$B$52="Not Sure",$N130,0)+IF(Settings!$B$53="Not Sure",$O130,0)+IF(Settings!$B$54="Not Sure",$P130,0)+IF(Settings!$B$55="Not Sure",$Q130,0)+IF(Settings!$B$56="Not Sure",$R130,0)</f>
        <v/>
      </c>
      <c r="V130">
        <f>IF($E130="open",SUM($ET130:$FE130)+N(Settings!$B$13),0)</f>
        <v/>
      </c>
      <c r="W130">
        <f>IF($E130="post",$S130,IF($E130="open",$S130-$V130,0))</f>
        <v/>
      </c>
      <c r="X130">
        <f>SUMIFS(Giving!$B$7:$B$2006,Giving!$A$7:$A$2006,"&gt;="&amp;$A130,Giving!$A$7:$A$2006,"&lt;="&amp;$B130,Giving!$E$7:$E$2006,"&lt;&gt;No")</f>
        <v/>
      </c>
      <c r="Y130">
        <f>SUMIFS(Giving!$B$7:$B$2006,Giving!$A$7:$A$2006,"&gt;="&amp;$A130,Giving!$A$7:$A$2006,"&lt;="&amp;$B130,Giving!$E$7:$E$2006,"No")</f>
        <v/>
      </c>
      <c r="Z130">
        <f>IF(OR(Settings!$B$60="",Settings!$F$60="No"),0,Settings!$B$60*IF(AND(IF(Settings!$C$60="",$B130,DATE(YEAR($A130),MONTH($A130),MIN(Settings!$C$60,DAY($B130))))&gt;=MAX($A130,Settings!$D$60),IF(Settings!$C$60="",$B130,DATE(YEAR($A130),MONTH($A130),MIN(Settings!$C$60,DAY($B130))))&lt;=MIN($C130,IF(Settings!$E$60="",$C130,Settings!$E$60))),1,0))+IF(OR(Settings!$B$61="",Settings!$F$61="No"),0,Settings!$B$61*IF(AND(IF(Settings!$C$61="",$B130,DATE(YEAR($A130),MONTH($A130),MIN(Settings!$C$61,DAY($B130))))&gt;=MAX($A130,Settings!$D$61),IF(Settings!$C$61="",$B130,DATE(YEAR($A130),MONTH($A130),MIN(Settings!$C$61,DAY($B130))))&lt;=MIN($C130,IF(Settings!$E$61="",$C130,Settings!$E$61))),1,0))+IF(OR(Settings!$B$62="",Settings!$F$62="No"),0,Settings!$B$62*IF(AND(IF(Settings!$C$62="",$B130,DATE(YEAR($A130),MONTH($A130),MIN(Settings!$C$62,DAY($B130))))&gt;=MAX($A130,Settings!$D$62),IF(Settings!$C$62="",$B130,DATE(YEAR($A130),MONTH($A130),MIN(Settings!$C$62,DAY($B130))))&lt;=MIN($C130,IF(Settings!$E$62="",$C130,Settings!$E$62))),1,0))+IF(OR(Settings!$B$63="",Settings!$F$63="No"),0,Settings!$B$63*IF(AND(IF(Settings!$C$63="",$B130,DATE(YEAR($A130),MONTH($A130),MIN(Settings!$C$63,DAY($B130))))&gt;=MAX($A130,Settings!$D$63),IF(Settings!$C$63="",$B130,DATE(YEAR($A130),MONTH($A130),MIN(Settings!$C$63,DAY($B130))))&lt;=MIN($C130,IF(Settings!$E$63="",$C130,Settings!$E$63))),1,0))+IF(OR(Settings!$B$64="",Settings!$F$64="No"),0,Settings!$B$64*IF(AND(IF(Settings!$C$64="",$B130,DATE(YEAR($A130),MONTH($A130),MIN(Settings!$C$64,DAY($B130))))&gt;=MAX($A130,Settings!$D$64),IF(Settings!$C$64="",$B130,DATE(YEAR($A130),MONTH($A130),MIN(Settings!$C$64,DAY($B130))))&lt;=MIN($C130,IF(Settings!$E$64="",$C130,Settings!$E$64))),1,0))+IF(OR(Settings!$B$65="",Settings!$F$65="No"),0,Settings!$B$65*IF(AND(IF(Settings!$C$65="",$B130,DATE(YEAR($A130),MONTH($A130),MIN(Settings!$C$65,DAY($B130))))&gt;=MAX($A130,Settings!$D$65),IF(Settings!$C$65="",$B130,DATE(YEAR($A130),MONTH($A130),MIN(Settings!$C$65,DAY($B130))))&lt;=MIN($C130,IF(Settings!$E$65="",$C130,Settings!$E$65))),1,0))</f>
        <v/>
      </c>
      <c r="AA130">
        <f>$X130+$Z130</f>
        <v/>
      </c>
      <c r="AB130">
        <f>IF($E130="post",$AA130,IF($E130="open",SUMIFS(Giving!$B$7:$B$2006,Giving!$A$7:$A$2006,"&gt;"&amp;Settings!$B$5,Giving!$A$7:$A$2006,"&lt;="&amp;$B130,Giving!$E$7:$E$2006,"&lt;&gt;No")+IF(OR(Settings!$B$60="",Settings!$F$60="No"),0,Settings!$B$60*IF(AND(IF(Settings!$C$60="",$B130,DATE(YEAR($A130),MONTH($A130),MIN(Settings!$C$60,DAY($B130))))&gt;=MAX($A130,Settings!$D$60,Settings!$B$5+1),IF(Settings!$C$60="",$B130,DATE(YEAR($A130),MONTH($A130),MIN(Settings!$C$60,DAY($B130))))&lt;=MIN($C130,IF(Settings!$E$60="",$C130,Settings!$E$60))),1,0))+IF(OR(Settings!$B$61="",Settings!$F$61="No"),0,Settings!$B$61*IF(AND(IF(Settings!$C$61="",$B130,DATE(YEAR($A130),MONTH($A130),MIN(Settings!$C$61,DAY($B130))))&gt;=MAX($A130,Settings!$D$61,Settings!$B$5+1),IF(Settings!$C$61="",$B130,DATE(YEAR($A130),MONTH($A130),MIN(Settings!$C$61,DAY($B130))))&lt;=MIN($C130,IF(Settings!$E$61="",$C130,Settings!$E$61))),1,0))+IF(OR(Settings!$B$62="",Settings!$F$62="No"),0,Settings!$B$62*IF(AND(IF(Settings!$C$62="",$B130,DATE(YEAR($A130),MONTH($A130),MIN(Settings!$C$62,DAY($B130))))&gt;=MAX($A130,Settings!$D$62,Settings!$B$5+1),IF(Settings!$C$62="",$B130,DATE(YEAR($A130),MONTH($A130),MIN(Settings!$C$62,DAY($B130))))&lt;=MIN($C130,IF(Settings!$E$62="",$C130,Settings!$E$62))),1,0))+IF(OR(Settings!$B$63="",Settings!$F$63="No"),0,Settings!$B$63*IF(AND(IF(Settings!$C$63="",$B130,DATE(YEAR($A130),MONTH($A130),MIN(Settings!$C$63,DAY($B130))))&gt;=MAX($A130,Settings!$D$63,Settings!$B$5+1),IF(Settings!$C$63="",$B130,DATE(YEAR($A130),MONTH($A130),MIN(Settings!$C$63,DAY($B130))))&lt;=MIN($C130,IF(Settings!$E$63="",$C130,Settings!$E$63))),1,0))+IF(OR(Settings!$B$64="",Settings!$F$64="No"),0,Settings!$B$64*IF(AND(IF(Settings!$C$64="",$B130,DATE(YEAR($A130),MONTH($A130),MIN(Settings!$C$64,DAY($B130))))&gt;=MAX($A130,Settings!$D$64,Settings!$B$5+1),IF(Settings!$C$64="",$B130,DATE(YEAR($A130),MONTH($A130),MIN(Settings!$C$64,DAY($B130))))&lt;=MIN($C130,IF(Settings!$E$64="",$C130,Settings!$E$64))),1,0))+IF(OR(Settings!$B$65="",Settings!$F$65="No"),0,Settings!$B$65*IF(AND(IF(Settings!$C$65="",$B130,DATE(YEAR($A130),MONTH($A130),MIN(Settings!$C$65,DAY($B130))))&gt;=MAX($A130,Settings!$D$65,Settings!$B$5+1),IF(Settings!$C$65="",$B130,DATE(YEAR($A130),MONTH($A130),MIN(Settings!$C$65,DAY($B130))))&lt;=MIN($C130,IF(Settings!$E$65="",$C130,Settings!$E$65))),1,0)),0))</f>
        <v/>
      </c>
      <c r="AC130">
        <f>$AY130+$AZ130+$BA130+$BB130+$BC130+$BD130</f>
        <v/>
      </c>
      <c r="AD130">
        <f>$AC130</f>
        <v/>
      </c>
      <c r="AE130">
        <f>IF(OR(Settings!$A$19="",$E130="pre"),"",IF(AND('Month-End'!$DW$7&lt;&gt;"",NOT(_xlfn.ISFORMULA('Month-End'!$DW$7))),N('Month-End'!$DW$7),IF(OR($E130="open",$E129="pre"),N(Settings!$C$19),N($AE129))))</f>
        <v/>
      </c>
      <c r="AF130">
        <f>IF(OR(Settings!$A$20="",$E130="pre"),"",IF(AND('Month-End'!$DW$8&lt;&gt;"",NOT(_xlfn.ISFORMULA('Month-End'!$DW$8))),N('Month-End'!$DW$8),IF(OR($E130="open",$E129="pre"),N(Settings!$C$20),N($AF129))))</f>
        <v/>
      </c>
      <c r="AG130">
        <f>IF(OR(Settings!$A$21="",$E130="pre"),"",IF(AND('Month-End'!$DW$9&lt;&gt;"",NOT(_xlfn.ISFORMULA('Month-End'!$DW$9))),N('Month-End'!$DW$9),IF(OR($E130="open",$E129="pre"),N(Settings!$C$21),N($AG129))))</f>
        <v/>
      </c>
      <c r="AH130">
        <f>IF(OR(Settings!$A$22="",$E130="pre"),"",IF(AND('Month-End'!$DW$10&lt;&gt;"",NOT(_xlfn.ISFORMULA('Month-End'!$DW$10))),N('Month-End'!$DW$10),IF(OR($E130="open",$E129="pre"),N(Settings!$C$22),N($AH129))))</f>
        <v/>
      </c>
      <c r="AI130">
        <f>IF(OR(Settings!$A$23="",$E130="pre"),"",IF(AND('Month-End'!$DW$11&lt;&gt;"",NOT(_xlfn.ISFORMULA('Month-End'!$DW$11))),N('Month-End'!$DW$11),IF(OR($E130="open",$E129="pre"),N(Settings!$C$23),N($AI129))))</f>
        <v/>
      </c>
      <c r="AJ130">
        <f>IF(OR(Settings!$A$24="",$E130="pre"),"",IF(AND('Month-End'!$DW$12&lt;&gt;"",NOT(_xlfn.ISFORMULA('Month-End'!$DW$12))),N('Month-End'!$DW$12),IF(OR($E130="open",$E129="pre"),N(Settings!$C$24),N($AJ129))))</f>
        <v/>
      </c>
      <c r="AK130">
        <f>IF(OR(Settings!$A$25="",$E130="pre"),"",IF(AND('Month-End'!$DW$13&lt;&gt;"",NOT(_xlfn.ISFORMULA('Month-End'!$DW$13))),N('Month-End'!$DW$13),IF(OR($E130="open",$E129="pre"),N(Settings!$C$25),N($AK129))))</f>
        <v/>
      </c>
      <c r="AL130">
        <f>IF(OR(Settings!$A$26="",$E130="pre"),"",IF(AND('Month-End'!$DW$14&lt;&gt;"",NOT(_xlfn.ISFORMULA('Month-End'!$DW$14))),N('Month-End'!$DW$14),IF(OR($E130="open",$E129="pre"),N(Settings!$C$26),N($AL129))))</f>
        <v/>
      </c>
      <c r="AM130">
        <f>IF(OR(Settings!$A$27="",$E130="pre"),"",IF(AND('Month-End'!$DW$15&lt;&gt;"",NOT(_xlfn.ISFORMULA('Month-End'!$DW$15))),N('Month-End'!$DW$15),IF(OR($E130="open",$E129="pre"),N(Settings!$C$27),N($AM129))))</f>
        <v/>
      </c>
      <c r="AN130">
        <f>IF(OR(Settings!$A$28="",$E130="pre"),"",IF(AND('Month-End'!$DW$16&lt;&gt;"",NOT(_xlfn.ISFORMULA('Month-End'!$DW$16))),N('Month-End'!$DW$16),IF(OR($E130="open",$E129="pre"),N(Settings!$C$28),N($AN129))))</f>
        <v/>
      </c>
      <c r="AO130">
        <f>IF(OR(Settings!$A$29="",$E130="pre"),"",IF(AND('Month-End'!$DW$17&lt;&gt;"",NOT(_xlfn.ISFORMULA('Month-End'!$DW$17))),N('Month-End'!$DW$17),IF(OR($E130="open",$E129="pre"),N(Settings!$C$29),N($AO129))))</f>
        <v/>
      </c>
      <c r="AP130">
        <f>IF(OR(Settings!$A$30="",$E130="pre"),"",IF(AND('Month-End'!$DW$18&lt;&gt;"",NOT(_xlfn.ISFORMULA('Month-End'!$DW$18))),N('Month-End'!$DW$18),IF(OR($E130="open",$E129="pre"),N(Settings!$C$30),N($AP129))))</f>
        <v/>
      </c>
      <c r="AQ130">
        <f>IF(OR(Settings!$A$31="",$E130="pre"),"",IF(AND('Month-End'!$DW$19&lt;&gt;"",NOT(_xlfn.ISFORMULA('Month-End'!$DW$19))),N('Month-End'!$DW$19),IF(OR($E130="open",$E129="pre"),N(Settings!$C$31),N($AQ129))))</f>
        <v/>
      </c>
      <c r="AR130">
        <f>IF(OR(Settings!$A$32="",$E130="pre"),"",IF(AND('Month-End'!$DW$20&lt;&gt;"",NOT(_xlfn.ISFORMULA('Month-End'!$DW$20))),N('Month-End'!$DW$20),IF(OR($E130="open",$E129="pre"),N(Settings!$C$32),N($AR129))))</f>
        <v/>
      </c>
      <c r="AS130">
        <f>IF(OR(Settings!$A$36="",$E130="pre"),"",IF(AND('Month-End'!$DW$38&lt;&gt;"",NOT(_xlfn.ISFORMULA('Month-End'!$DW$38))),N('Month-End'!$DW$38),IF(OR($E130="open",$E129="pre"),N(Settings!$C$36),N($AS129))+$AY130))</f>
        <v/>
      </c>
      <c r="AT130">
        <f>IF(OR(Settings!$A$37="",$E130="pre"),"",IF(AND('Month-End'!$DW$39&lt;&gt;"",NOT(_xlfn.ISFORMULA('Month-End'!$DW$39))),N('Month-End'!$DW$39),IF(OR($E130="open",$E129="pre"),N(Settings!$C$37),N($AT129))+$AZ130))</f>
        <v/>
      </c>
      <c r="AU130">
        <f>IF(OR(Settings!$A$38="",$E130="pre"),"",IF(AND('Month-End'!$DW$40&lt;&gt;"",NOT(_xlfn.ISFORMULA('Month-End'!$DW$40))),N('Month-End'!$DW$40),IF(OR($E130="open",$E129="pre"),N(Settings!$C$38),N($AU129))+$BA130))</f>
        <v/>
      </c>
      <c r="AV130">
        <f>IF(OR(Settings!$A$39="",$E130="pre"),"",IF(AND('Month-End'!$DW$41&lt;&gt;"",NOT(_xlfn.ISFORMULA('Month-End'!$DW$41))),N('Month-End'!$DW$41),IF(OR($E130="open",$E129="pre"),N(Settings!$C$39),N($AV129))+$BB130))</f>
        <v/>
      </c>
      <c r="AW130">
        <f>IF(OR(Settings!$A$40="",$E130="pre"),"",IF(AND('Month-End'!$DW$42&lt;&gt;"",NOT(_xlfn.ISFORMULA('Month-End'!$DW$42))),N('Month-End'!$DW$42),IF(OR($E130="open",$E129="pre"),N(Settings!$C$40),N($AW129))+$BC130))</f>
        <v/>
      </c>
      <c r="AX130">
        <f>IF(OR(Settings!$A$41="",$E130="pre"),"",IF(AND('Month-End'!$DW$43&lt;&gt;"",NOT(_xlfn.ISFORMULA('Month-End'!$DW$43))),N('Month-End'!$DW$43),IF(OR($E130="open",$E129="pre"),N(Settings!$C$41),N($AX129))+$BD130))</f>
        <v/>
      </c>
      <c r="AY130">
        <f>IF($E130="pre",0,N('Month-End'!$DW$45))</f>
        <v/>
      </c>
      <c r="AZ130">
        <f>IF($E130="pre",0,N('Month-End'!$DW$46))</f>
        <v/>
      </c>
      <c r="BA130">
        <f>IF($E130="pre",0,N('Month-End'!$DW$47))</f>
        <v/>
      </c>
      <c r="BB130">
        <f>IF($E130="pre",0,N('Month-End'!$DW$48))</f>
        <v/>
      </c>
      <c r="BC130">
        <f>IF($E130="pre",0,N('Month-End'!$DW$49))</f>
        <v/>
      </c>
      <c r="BD130">
        <f>IF($E130="pre",0,N('Month-End'!$DW$50))</f>
        <v/>
      </c>
      <c r="BE130">
        <f>IF(OR(Settings!$C$45="",Settings!$D$45=""),0,Settings!$C$45*IF(Settings!$D$45="Weekly",IF(IFERROR(MATCH(Settings!$E$45,$EO$4:$EO$10,0),0)=0,0,IF(MIN($C130,IF(Settings!$G$45="",$C130,Settings!$G$45))&lt;MAX($A130,Settings!$F$45),0,INT((MIN($C130,IF(Settings!$G$45="",$C130,Settings!$G$45))-MAX($A130,Settings!$F$45)-MOD(IFERROR(MATCH(Settings!$E$45,$EO$4:$EO$10,0),0)-WEEKDAY(MAX($A130,Settings!$F$45)),7))/7)+1)),IF(AND(IF(Settings!$E$45="",$B130,DATE(YEAR($A130),MONTH($A130),MIN(Settings!$E$45,DAY($B130))))&gt;=MAX($A130,Settings!$F$45),IF(Settings!$E$45="",$B130,DATE(YEAR($A130),MONTH($A130),MIN(Settings!$E$45,DAY($B130))))&lt;=MIN($C130,IF(Settings!$G$45="",$C130,Settings!$G$45))),1,0)))</f>
        <v/>
      </c>
      <c r="BF130">
        <f>IF(OR(Settings!$C$46="",Settings!$D$46=""),0,Settings!$C$46*IF(Settings!$D$46="Weekly",IF(IFERROR(MATCH(Settings!$E$46,$EO$4:$EO$10,0),0)=0,0,IF(MIN($C130,IF(Settings!$G$46="",$C130,Settings!$G$46))&lt;MAX($A130,Settings!$F$46),0,INT((MIN($C130,IF(Settings!$G$46="",$C130,Settings!$G$46))-MAX($A130,Settings!$F$46)-MOD(IFERROR(MATCH(Settings!$E$46,$EO$4:$EO$10,0),0)-WEEKDAY(MAX($A130,Settings!$F$46)),7))/7)+1)),IF(AND(IF(Settings!$E$46="",$B130,DATE(YEAR($A130),MONTH($A130),MIN(Settings!$E$46,DAY($B130))))&gt;=MAX($A130,Settings!$F$46),IF(Settings!$E$46="",$B130,DATE(YEAR($A130),MONTH($A130),MIN(Settings!$E$46,DAY($B130))))&lt;=MIN($C130,IF(Settings!$G$46="",$C130,Settings!$G$46))),1,0)))</f>
        <v/>
      </c>
      <c r="BG130">
        <f>IF(OR(Settings!$C$47="",Settings!$D$47=""),0,Settings!$C$47*IF(Settings!$D$47="Weekly",IF(IFERROR(MATCH(Settings!$E$47,$EO$4:$EO$10,0),0)=0,0,IF(MIN($C130,IF(Settings!$G$47="",$C130,Settings!$G$47))&lt;MAX($A130,Settings!$F$47),0,INT((MIN($C130,IF(Settings!$G$47="",$C130,Settings!$G$47))-MAX($A130,Settings!$F$47)-MOD(IFERROR(MATCH(Settings!$E$47,$EO$4:$EO$10,0),0)-WEEKDAY(MAX($A130,Settings!$F$47)),7))/7)+1)),IF(AND(IF(Settings!$E$47="",$B130,DATE(YEAR($A130),MONTH($A130),MIN(Settings!$E$47,DAY($B130))))&gt;=MAX($A130,Settings!$F$47),IF(Settings!$E$47="",$B130,DATE(YEAR($A130),MONTH($A130),MIN(Settings!$E$47,DAY($B130))))&lt;=MIN($C130,IF(Settings!$G$47="",$C130,Settings!$G$47))),1,0)))</f>
        <v/>
      </c>
      <c r="BH130">
        <f>IF(OR(Settings!$C$48="",Settings!$D$48=""),0,Settings!$C$48*IF(Settings!$D$48="Weekly",IF(IFERROR(MATCH(Settings!$E$48,$EO$4:$EO$10,0),0)=0,0,IF(MIN($C130,IF(Settings!$G$48="",$C130,Settings!$G$48))&lt;MAX($A130,Settings!$F$48),0,INT((MIN($C130,IF(Settings!$G$48="",$C130,Settings!$G$48))-MAX($A130,Settings!$F$48)-MOD(IFERROR(MATCH(Settings!$E$48,$EO$4:$EO$10,0),0)-WEEKDAY(MAX($A130,Settings!$F$48)),7))/7)+1)),IF(AND(IF(Settings!$E$48="",$B130,DATE(YEAR($A130),MONTH($A130),MIN(Settings!$E$48,DAY($B130))))&gt;=MAX($A130,Settings!$F$48),IF(Settings!$E$48="",$B130,DATE(YEAR($A130),MONTH($A130),MIN(Settings!$E$48,DAY($B130))))&lt;=MIN($C130,IF(Settings!$G$48="",$C130,Settings!$G$48))),1,0)))</f>
        <v/>
      </c>
      <c r="BI130">
        <f>IF(OR(Settings!$C$49="",Settings!$D$49=""),0,Settings!$C$49*IF(Settings!$D$49="Weekly",IF(IFERROR(MATCH(Settings!$E$49,$EO$4:$EO$10,0),0)=0,0,IF(MIN($C130,IF(Settings!$G$49="",$C130,Settings!$G$49))&lt;MAX($A130,Settings!$F$49),0,INT((MIN($C130,IF(Settings!$G$49="",$C130,Settings!$G$49))-MAX($A130,Settings!$F$49)-MOD(IFERROR(MATCH(Settings!$E$49,$EO$4:$EO$10,0),0)-WEEKDAY(MAX($A130,Settings!$F$49)),7))/7)+1)),IF(AND(IF(Settings!$E$49="",$B130,DATE(YEAR($A130),MONTH($A130),MIN(Settings!$E$49,DAY($B130))))&gt;=MAX($A130,Settings!$F$49),IF(Settings!$E$49="",$B130,DATE(YEAR($A130),MONTH($A130),MIN(Settings!$E$49,DAY($B130))))&lt;=MIN($C130,IF(Settings!$G$49="",$C130,Settings!$G$49))),1,0)))</f>
        <v/>
      </c>
      <c r="BJ130">
        <f>IF(OR(Settings!$C$50="",Settings!$D$50=""),0,Settings!$C$50*IF(Settings!$D$50="Weekly",IF(IFERROR(MATCH(Settings!$E$50,$EO$4:$EO$10,0),0)=0,0,IF(MIN($C130,IF(Settings!$G$50="",$C130,Settings!$G$50))&lt;MAX($A130,Settings!$F$50),0,INT((MIN($C130,IF(Settings!$G$50="",$C130,Settings!$G$50))-MAX($A130,Settings!$F$50)-MOD(IFERROR(MATCH(Settings!$E$50,$EO$4:$EO$10,0),0)-WEEKDAY(MAX($A130,Settings!$F$50)),7))/7)+1)),IF(AND(IF(Settings!$E$50="",$B130,DATE(YEAR($A130),MONTH($A130),MIN(Settings!$E$50,DAY($B130))))&gt;=MAX($A130,Settings!$F$50),IF(Settings!$E$50="",$B130,DATE(YEAR($A130),MONTH($A130),MIN(Settings!$E$50,DAY($B130))))&lt;=MIN($C130,IF(Settings!$G$50="",$C130,Settings!$G$50))),1,0)))</f>
        <v/>
      </c>
      <c r="BK130">
        <f>IF(OR(Settings!$C$51="",Settings!$D$51=""),0,Settings!$C$51*IF(Settings!$D$51="Weekly",IF(IFERROR(MATCH(Settings!$E$51,$EO$4:$EO$10,0),0)=0,0,IF(MIN($C130,IF(Settings!$G$51="",$C130,Settings!$G$51))&lt;MAX($A130,Settings!$F$51),0,INT((MIN($C130,IF(Settings!$G$51="",$C130,Settings!$G$51))-MAX($A130,Settings!$F$51)-MOD(IFERROR(MATCH(Settings!$E$51,$EO$4:$EO$10,0),0)-WEEKDAY(MAX($A130,Settings!$F$51)),7))/7)+1)),IF(AND(IF(Settings!$E$51="",$B130,DATE(YEAR($A130),MONTH($A130),MIN(Settings!$E$51,DAY($B130))))&gt;=MAX($A130,Settings!$F$51),IF(Settings!$E$51="",$B130,DATE(YEAR($A130),MONTH($A130),MIN(Settings!$E$51,DAY($B130))))&lt;=MIN($C130,IF(Settings!$G$51="",$C130,Settings!$G$51))),1,0)))</f>
        <v/>
      </c>
      <c r="BL130">
        <f>IF(OR(Settings!$C$52="",Settings!$D$52=""),0,Settings!$C$52*IF(Settings!$D$52="Weekly",IF(IFERROR(MATCH(Settings!$E$52,$EO$4:$EO$10,0),0)=0,0,IF(MIN($C130,IF(Settings!$G$52="",$C130,Settings!$G$52))&lt;MAX($A130,Settings!$F$52),0,INT((MIN($C130,IF(Settings!$G$52="",$C130,Settings!$G$52))-MAX($A130,Settings!$F$52)-MOD(IFERROR(MATCH(Settings!$E$52,$EO$4:$EO$10,0),0)-WEEKDAY(MAX($A130,Settings!$F$52)),7))/7)+1)),IF(AND(IF(Settings!$E$52="",$B130,DATE(YEAR($A130),MONTH($A130),MIN(Settings!$E$52,DAY($B130))))&gt;=MAX($A130,Settings!$F$52),IF(Settings!$E$52="",$B130,DATE(YEAR($A130),MONTH($A130),MIN(Settings!$E$52,DAY($B130))))&lt;=MIN($C130,IF(Settings!$G$52="",$C130,Settings!$G$52))),1,0)))</f>
        <v/>
      </c>
      <c r="BM130">
        <f>IF(OR(Settings!$C$53="",Settings!$D$53=""),0,Settings!$C$53*IF(Settings!$D$53="Weekly",IF(IFERROR(MATCH(Settings!$E$53,$EO$4:$EO$10,0),0)=0,0,IF(MIN($C130,IF(Settings!$G$53="",$C130,Settings!$G$53))&lt;MAX($A130,Settings!$F$53),0,INT((MIN($C130,IF(Settings!$G$53="",$C130,Settings!$G$53))-MAX($A130,Settings!$F$53)-MOD(IFERROR(MATCH(Settings!$E$53,$EO$4:$EO$10,0),0)-WEEKDAY(MAX($A130,Settings!$F$53)),7))/7)+1)),IF(AND(IF(Settings!$E$53="",$B130,DATE(YEAR($A130),MONTH($A130),MIN(Settings!$E$53,DAY($B130))))&gt;=MAX($A130,Settings!$F$53),IF(Settings!$E$53="",$B130,DATE(YEAR($A130),MONTH($A130),MIN(Settings!$E$53,DAY($B130))))&lt;=MIN($C130,IF(Settings!$G$53="",$C130,Settings!$G$53))),1,0)))</f>
        <v/>
      </c>
      <c r="BN130">
        <f>IF(OR(Settings!$C$54="",Settings!$D$54=""),0,Settings!$C$54*IF(Settings!$D$54="Weekly",IF(IFERROR(MATCH(Settings!$E$54,$EO$4:$EO$10,0),0)=0,0,IF(MIN($C130,IF(Settings!$G$54="",$C130,Settings!$G$54))&lt;MAX($A130,Settings!$F$54),0,INT((MIN($C130,IF(Settings!$G$54="",$C130,Settings!$G$54))-MAX($A130,Settings!$F$54)-MOD(IFERROR(MATCH(Settings!$E$54,$EO$4:$EO$10,0),0)-WEEKDAY(MAX($A130,Settings!$F$54)),7))/7)+1)),IF(AND(IF(Settings!$E$54="",$B130,DATE(YEAR($A130),MONTH($A130),MIN(Settings!$E$54,DAY($B130))))&gt;=MAX($A130,Settings!$F$54),IF(Settings!$E$54="",$B130,DATE(YEAR($A130),MONTH($A130),MIN(Settings!$E$54,DAY($B130))))&lt;=MIN($C130,IF(Settings!$G$54="",$C130,Settings!$G$54))),1,0)))</f>
        <v/>
      </c>
      <c r="BO130">
        <f>IF(OR(Settings!$C$55="",Settings!$D$55=""),0,Settings!$C$55*IF(Settings!$D$55="Weekly",IF(IFERROR(MATCH(Settings!$E$55,$EO$4:$EO$10,0),0)=0,0,IF(MIN($C130,IF(Settings!$G$55="",$C130,Settings!$G$55))&lt;MAX($A130,Settings!$F$55),0,INT((MIN($C130,IF(Settings!$G$55="",$C130,Settings!$G$55))-MAX($A130,Settings!$F$55)-MOD(IFERROR(MATCH(Settings!$E$55,$EO$4:$EO$10,0),0)-WEEKDAY(MAX($A130,Settings!$F$55)),7))/7)+1)),IF(AND(IF(Settings!$E$55="",$B130,DATE(YEAR($A130),MONTH($A130),MIN(Settings!$E$55,DAY($B130))))&gt;=MAX($A130,Settings!$F$55),IF(Settings!$E$55="",$B130,DATE(YEAR($A130),MONTH($A130),MIN(Settings!$E$55,DAY($B130))))&lt;=MIN($C130,IF(Settings!$G$55="",$C130,Settings!$G$55))),1,0)))</f>
        <v/>
      </c>
      <c r="BP130">
        <f>IF(OR(Settings!$C$56="",Settings!$D$56=""),0,Settings!$C$56*IF(Settings!$D$56="Weekly",IF(IFERROR(MATCH(Settings!$E$56,$EO$4:$EO$10,0),0)=0,0,IF(MIN($C130,IF(Settings!$G$56="",$C130,Settings!$G$56))&lt;MAX($A130,Settings!$F$56),0,INT((MIN($C130,IF(Settings!$G$56="",$C130,Settings!$G$56))-MAX($A130,Settings!$F$56)-MOD(IFERROR(MATCH(Settings!$E$56,$EO$4:$EO$10,0),0)-WEEKDAY(MAX($A130,Settings!$F$56)),7))/7)+1)),IF(AND(IF(Settings!$E$56="",$B130,DATE(YEAR($A130),MONTH($A130),MIN(Settings!$E$56,DAY($B130))))&gt;=MAX($A130,Settings!$F$56),IF(Settings!$E$56="",$B130,DATE(YEAR($A130),MONTH($A130),MIN(Settings!$E$56,DAY($B130))))&lt;=MIN($C130,IF(Settings!$G$56="",$C130,Settings!$G$56))),1,0)))</f>
        <v/>
      </c>
      <c r="BQ130">
        <f>IF(OR(Settings!$B$14="",$D130=1,$E130="pre",$A130&lt;IF(Settings!$B$15="",0,Settings!$B$15)),0,Settings!$B$14)</f>
        <v/>
      </c>
      <c r="BR130">
        <f>IF(AND('Month-End'!$DW$7&lt;&gt;"",NOT(_xlfn.ISFORMULA('Month-End'!$DW$7))),1,0)</f>
        <v/>
      </c>
      <c r="BS130">
        <f>IF(AND('Month-End'!$DW$8&lt;&gt;"",NOT(_xlfn.ISFORMULA('Month-End'!$DW$8))),1,0)</f>
        <v/>
      </c>
      <c r="BT130">
        <f>IF(AND('Month-End'!$DW$9&lt;&gt;"",NOT(_xlfn.ISFORMULA('Month-End'!$DW$9))),1,0)</f>
        <v/>
      </c>
      <c r="BU130">
        <f>IF(AND('Month-End'!$DW$10&lt;&gt;"",NOT(_xlfn.ISFORMULA('Month-End'!$DW$10))),1,0)</f>
        <v/>
      </c>
      <c r="BV130">
        <f>IF(AND('Month-End'!$DW$11&lt;&gt;"",NOT(_xlfn.ISFORMULA('Month-End'!$DW$11))),1,0)</f>
        <v/>
      </c>
      <c r="BW130">
        <f>IF(AND('Month-End'!$DW$12&lt;&gt;"",NOT(_xlfn.ISFORMULA('Month-End'!$DW$12))),1,0)</f>
        <v/>
      </c>
      <c r="BX130">
        <f>IF(AND('Month-End'!$DW$13&lt;&gt;"",NOT(_xlfn.ISFORMULA('Month-End'!$DW$13))),1,0)</f>
        <v/>
      </c>
      <c r="BY130">
        <f>IF(AND('Month-End'!$DW$14&lt;&gt;"",NOT(_xlfn.ISFORMULA('Month-End'!$DW$14))),1,0)</f>
        <v/>
      </c>
      <c r="BZ130">
        <f>IF(AND('Month-End'!$DW$15&lt;&gt;"",NOT(_xlfn.ISFORMULA('Month-End'!$DW$15))),1,0)</f>
        <v/>
      </c>
      <c r="CA130">
        <f>IF(AND('Month-End'!$DW$16&lt;&gt;"",NOT(_xlfn.ISFORMULA('Month-End'!$DW$16))),1,0)</f>
        <v/>
      </c>
      <c r="CB130">
        <f>IF(AND('Month-End'!$DW$17&lt;&gt;"",NOT(_xlfn.ISFORMULA('Month-End'!$DW$17))),1,0)</f>
        <v/>
      </c>
      <c r="CC130">
        <f>IF(AND('Month-End'!$DW$18&lt;&gt;"",NOT(_xlfn.ISFORMULA('Month-End'!$DW$18))),1,0)</f>
        <v/>
      </c>
      <c r="CD130">
        <f>IF(AND('Month-End'!$DW$19&lt;&gt;"",NOT(_xlfn.ISFORMULA('Month-End'!$DW$19))),1,0)</f>
        <v/>
      </c>
      <c r="CE130">
        <f>IF(AND('Month-End'!$DW$20&lt;&gt;"",NOT(_xlfn.ISFORMULA('Month-End'!$DW$20))),1,0)</f>
        <v/>
      </c>
      <c r="CF130">
        <f>IF(AND('Month-End'!$DW$38&lt;&gt;"",NOT(_xlfn.ISFORMULA('Month-End'!$DW$38))),1,0)</f>
        <v/>
      </c>
      <c r="CG130">
        <f>IF(AND('Month-End'!$DW$39&lt;&gt;"",NOT(_xlfn.ISFORMULA('Month-End'!$DW$39))),1,0)</f>
        <v/>
      </c>
      <c r="CH130">
        <f>IF(AND('Month-End'!$DW$40&lt;&gt;"",NOT(_xlfn.ISFORMULA('Month-End'!$DW$40))),1,0)</f>
        <v/>
      </c>
      <c r="CI130">
        <f>IF(AND('Month-End'!$DW$41&lt;&gt;"",NOT(_xlfn.ISFORMULA('Month-End'!$DW$41))),1,0)</f>
        <v/>
      </c>
      <c r="CJ130">
        <f>IF(AND('Month-End'!$DW$42&lt;&gt;"",NOT(_xlfn.ISFORMULA('Month-End'!$DW$42))),1,0)</f>
        <v/>
      </c>
      <c r="CK130">
        <f>IF(AND('Month-End'!$DW$43&lt;&gt;"",NOT(_xlfn.ISFORMULA('Month-End'!$DW$43))),1,0)</f>
        <v/>
      </c>
      <c r="CL130">
        <f>SUM($CM130:$CZ130)</f>
        <v/>
      </c>
      <c r="CM130">
        <f>IF(AND($E130&lt;&gt;"pre",AND(Settings!$A$19&lt;&gt;"",Settings!$E$19&lt;&gt;"No"),Settings!$F$19="Yes",NOT(AND('Month-End'!$DW$7&lt;&gt;"",NOT(_xlfn.ISFORMULA('Month-End'!$DW$7))))),1,0)</f>
        <v/>
      </c>
      <c r="CN130">
        <f>IF(AND($E130&lt;&gt;"pre",AND(Settings!$A$20&lt;&gt;"",Settings!$E$20&lt;&gt;"No"),Settings!$F$20="Yes",NOT(AND('Month-End'!$DW$8&lt;&gt;"",NOT(_xlfn.ISFORMULA('Month-End'!$DW$8))))),1,0)</f>
        <v/>
      </c>
      <c r="CO130">
        <f>IF(AND($E130&lt;&gt;"pre",AND(Settings!$A$21&lt;&gt;"",Settings!$E$21&lt;&gt;"No"),Settings!$F$21="Yes",NOT(AND('Month-End'!$DW$9&lt;&gt;"",NOT(_xlfn.ISFORMULA('Month-End'!$DW$9))))),1,0)</f>
        <v/>
      </c>
      <c r="CP130">
        <f>IF(AND($E130&lt;&gt;"pre",AND(Settings!$A$22&lt;&gt;"",Settings!$E$22&lt;&gt;"No"),Settings!$F$22="Yes",NOT(AND('Month-End'!$DW$10&lt;&gt;"",NOT(_xlfn.ISFORMULA('Month-End'!$DW$10))))),1,0)</f>
        <v/>
      </c>
      <c r="CQ130">
        <f>IF(AND($E130&lt;&gt;"pre",AND(Settings!$A$23&lt;&gt;"",Settings!$E$23&lt;&gt;"No"),Settings!$F$23="Yes",NOT(AND('Month-End'!$DW$11&lt;&gt;"",NOT(_xlfn.ISFORMULA('Month-End'!$DW$11))))),1,0)</f>
        <v/>
      </c>
      <c r="CR130">
        <f>IF(AND($E130&lt;&gt;"pre",AND(Settings!$A$24&lt;&gt;"",Settings!$E$24&lt;&gt;"No"),Settings!$F$24="Yes",NOT(AND('Month-End'!$DW$12&lt;&gt;"",NOT(_xlfn.ISFORMULA('Month-End'!$DW$12))))),1,0)</f>
        <v/>
      </c>
      <c r="CS130">
        <f>IF(AND($E130&lt;&gt;"pre",AND(Settings!$A$25&lt;&gt;"",Settings!$E$25&lt;&gt;"No"),Settings!$F$25="Yes",NOT(AND('Month-End'!$DW$13&lt;&gt;"",NOT(_xlfn.ISFORMULA('Month-End'!$DW$13))))),1,0)</f>
        <v/>
      </c>
      <c r="CT130">
        <f>IF(AND($E130&lt;&gt;"pre",AND(Settings!$A$26&lt;&gt;"",Settings!$E$26&lt;&gt;"No"),Settings!$F$26="Yes",NOT(AND('Month-End'!$DW$14&lt;&gt;"",NOT(_xlfn.ISFORMULA('Month-End'!$DW$14))))),1,0)</f>
        <v/>
      </c>
      <c r="CU130">
        <f>IF(AND($E130&lt;&gt;"pre",AND(Settings!$A$27&lt;&gt;"",Settings!$E$27&lt;&gt;"No"),Settings!$F$27="Yes",NOT(AND('Month-End'!$DW$15&lt;&gt;"",NOT(_xlfn.ISFORMULA('Month-End'!$DW$15))))),1,0)</f>
        <v/>
      </c>
      <c r="CV130">
        <f>IF(AND($E130&lt;&gt;"pre",AND(Settings!$A$28&lt;&gt;"",Settings!$E$28&lt;&gt;"No"),Settings!$F$28="Yes",NOT(AND('Month-End'!$DW$16&lt;&gt;"",NOT(_xlfn.ISFORMULA('Month-End'!$DW$16))))),1,0)</f>
        <v/>
      </c>
      <c r="CW130">
        <f>IF(AND($E130&lt;&gt;"pre",AND(Settings!$A$29&lt;&gt;"",Settings!$E$29&lt;&gt;"No"),Settings!$F$29="Yes",NOT(AND('Month-End'!$DW$17&lt;&gt;"",NOT(_xlfn.ISFORMULA('Month-End'!$DW$17))))),1,0)</f>
        <v/>
      </c>
      <c r="CX130">
        <f>IF(AND($E130&lt;&gt;"pre",AND(Settings!$A$30&lt;&gt;"",Settings!$E$30&lt;&gt;"No"),Settings!$F$30="Yes",NOT(AND('Month-End'!$DW$18&lt;&gt;"",NOT(_xlfn.ISFORMULA('Month-End'!$DW$18))))),1,0)</f>
        <v/>
      </c>
      <c r="CY130">
        <f>IF(AND($E130&lt;&gt;"pre",AND(Settings!$A$31&lt;&gt;"",Settings!$E$31&lt;&gt;"No"),Settings!$F$31="Yes",NOT(AND('Month-End'!$DW$19&lt;&gt;"",NOT(_xlfn.ISFORMULA('Month-End'!$DW$19))))),1,0)</f>
        <v/>
      </c>
      <c r="CZ130">
        <f>IF(AND($E130&lt;&gt;"pre",AND(Settings!$A$32&lt;&gt;"",Settings!$E$32&lt;&gt;"No"),Settings!$F$32="Yes",NOT(AND('Month-End'!$DW$20&lt;&gt;"",NOT(_xlfn.ISFORMULA('Month-End'!$DW$20))))),1,0)</f>
        <v/>
      </c>
      <c r="DA130">
        <f>IF($DT130=1,IF(OR(Settings!$B$19="Checking",Settings!$B$19="Savings",Settings!$B$19="Cash"),N($AE130),IF(OR(Settings!$B$19="Card",Settings!$B$19="Loan"),-N($AE130),0))+IF(OR(Settings!$B$20="Checking",Settings!$B$20="Savings",Settings!$B$20="Cash"),N($AF130),IF(OR(Settings!$B$20="Card",Settings!$B$20="Loan"),-N($AF130),0))+IF(OR(Settings!$B$21="Checking",Settings!$B$21="Savings",Settings!$B$21="Cash"),N($AG130),IF(OR(Settings!$B$21="Card",Settings!$B$21="Loan"),-N($AG130),0))+IF(OR(Settings!$B$22="Checking",Settings!$B$22="Savings",Settings!$B$22="Cash"),N($AH130),IF(OR(Settings!$B$22="Card",Settings!$B$22="Loan"),-N($AH130),0))+IF(OR(Settings!$B$23="Checking",Settings!$B$23="Savings",Settings!$B$23="Cash"),N($AI130),IF(OR(Settings!$B$23="Card",Settings!$B$23="Loan"),-N($AI130),0))+IF(OR(Settings!$B$24="Checking",Settings!$B$24="Savings",Settings!$B$24="Cash"),N($AJ130),IF(OR(Settings!$B$24="Card",Settings!$B$24="Loan"),-N($AJ130),0))+IF(OR(Settings!$B$25="Checking",Settings!$B$25="Savings",Settings!$B$25="Cash"),N($AK130),IF(OR(Settings!$B$25="Card",Settings!$B$25="Loan"),-N($AK130),0))+IF(OR(Settings!$B$26="Checking",Settings!$B$26="Savings",Settings!$B$26="Cash"),N($AL130),IF(OR(Settings!$B$26="Card",Settings!$B$26="Loan"),-N($AL130),0))+IF(OR(Settings!$B$27="Checking",Settings!$B$27="Savings",Settings!$B$27="Cash"),N($AM130),IF(OR(Settings!$B$27="Card",Settings!$B$27="Loan"),-N($AM130),0))+IF(OR(Settings!$B$28="Checking",Settings!$B$28="Savings",Settings!$B$28="Cash"),N($AN130),IF(OR(Settings!$B$28="Card",Settings!$B$28="Loan"),-N($AN130),0))+IF(OR(Settings!$B$29="Checking",Settings!$B$29="Savings",Settings!$B$29="Cash"),N($AO130),IF(OR(Settings!$B$29="Card",Settings!$B$29="Loan"),-N($AO130),0))+IF(OR(Settings!$B$30="Checking",Settings!$B$30="Savings",Settings!$B$30="Cash"),N($AP130),IF(OR(Settings!$B$30="Card",Settings!$B$30="Loan"),-N($AP130),0))+IF(OR(Settings!$B$31="Checking",Settings!$B$31="Savings",Settings!$B$31="Cash"),N($AQ130),IF(OR(Settings!$B$31="Card",Settings!$B$31="Loan"),-N($AQ130),0))+IF(OR(Settings!$B$32="Checking",Settings!$B$32="Savings",Settings!$B$32="Cash"),N($AR130),IF(OR(Settings!$B$32="Card",Settings!$B$32="Loan"),-N($AR130),0)),"")</f>
        <v/>
      </c>
      <c r="DB130">
        <f>IF($E130="open",$EB$27,IF($E130="post",IF($E129="pre",$EB$27,$DA129),""))</f>
        <v/>
      </c>
      <c r="DC130">
        <f>IF($E130="open",1,IF($E130="post",IF($E129="pre",1,$DT129),0))</f>
        <v/>
      </c>
      <c r="DD130">
        <f>IF(AND($DT130=1,$DC130=1),ROUND($W130-($DA130-$DB130)-$AD130-$AB130,2),"")</f>
        <v/>
      </c>
      <c r="DE130">
        <f>IF('Month-End'!$DW$35="",$BQ130,N('Month-End'!$DW$35))</f>
        <v/>
      </c>
      <c r="DF130">
        <f>N('Month-End'!$DW$36)</f>
        <v/>
      </c>
      <c r="DG130">
        <f>IF($DD130="","",$DD130+$DE130)</f>
        <v/>
      </c>
      <c r="DH130">
        <f>IF($DG130="","",$DG130-$DF130)</f>
        <v/>
      </c>
      <c r="DI130">
        <f>IF(OR($E130="pre",$D130=1),"",N($AS130)+N($AT130)+N($AU130)+N($AV130)+N($AW130)+N($AX130))</f>
        <v/>
      </c>
      <c r="DJ130">
        <f>IF($DT130=1,$DA130+N($DI130),"")</f>
        <v/>
      </c>
      <c r="DK130">
        <f>IF($DD130="","",$W130-$DD130-$AB130)</f>
        <v/>
      </c>
      <c r="DL130">
        <f>IF(AND($E130="post",$DD130&lt;&gt;"",$B130&lt;TODAY()),1,0)</f>
        <v/>
      </c>
      <c r="DM130">
        <f>IF($DL130=1,COUNTIF($DL130:$DL$183,1),0)</f>
        <v/>
      </c>
      <c r="DN130">
        <f>IF($D130=1,"",IF($E130="pre","History only",IF($DT130=1,IF($DD130="","⚠ Previous month missing",IF($DD130&lt;0,"⚠ Check: spending &lt; 0",IF($E130="open","✓ Done (partial)","✓ Done"))),IF($B130&gt;=TODAY(),"In progress","⚠ Needs balances"))))</f>
        <v/>
      </c>
      <c r="DO130">
        <f>YEAR($A130)</f>
        <v/>
      </c>
      <c r="DP130">
        <f>DATE(YEAR($A130),INT((MONTH($A130)-1)/3)*3+1,1)</f>
        <v/>
      </c>
      <c r="DQ130">
        <f>IF(AND($DT130=1,$DD130&lt;&gt;"",$D130=0),ROW(),0)</f>
        <v/>
      </c>
      <c r="DR130">
        <f>IF(AND($E130&lt;&gt;"pre",$B130&lt;TODAY(),$DT130=0),1,0)</f>
        <v/>
      </c>
      <c r="DS130">
        <f>IF($DJ130="",NA(),$DJ130)</f>
        <v/>
      </c>
      <c r="DT130">
        <f>IF(AND($E130&lt;&gt;"pre",$CL130=0,COUNTIFS(Settings!$F$19:$F$32,"Yes",Settings!$A$19:$A$32,"&lt;&gt;",Settings!$E$19:$E$32,"&lt;&gt;No")&gt;0),1,0)</f>
        <v/>
      </c>
      <c r="DU130">
        <f>IF(AND($B130&lt;TODAY(),$S130&gt;0),1,0)</f>
        <v/>
      </c>
      <c r="DV130">
        <f>IF($DU130=1,COUNTIF($DU130:$DU$183,1),0)</f>
        <v/>
      </c>
      <c r="DW130">
        <f>IF(AND(OR(Settings!$B$19="Card",Settings!$B$19="Loan"),AND('Month-End'!$DW$7&lt;&gt;"",NOT(_xlfn.ISFORMULA('Month-End'!$DW$7)))),IF(N('Month-End'!$DW$7)&lt;0,1,0),0)+IF(AND(OR(Settings!$B$20="Card",Settings!$B$20="Loan"),AND('Month-End'!$DW$8&lt;&gt;"",NOT(_xlfn.ISFORMULA('Month-End'!$DW$8)))),IF(N('Month-End'!$DW$8)&lt;0,1,0),0)+IF(AND(OR(Settings!$B$21="Card",Settings!$B$21="Loan"),AND('Month-End'!$DW$9&lt;&gt;"",NOT(_xlfn.ISFORMULA('Month-End'!$DW$9)))),IF(N('Month-End'!$DW$9)&lt;0,1,0),0)+IF(AND(OR(Settings!$B$22="Card",Settings!$B$22="Loan"),AND('Month-End'!$DW$10&lt;&gt;"",NOT(_xlfn.ISFORMULA('Month-End'!$DW$10)))),IF(N('Month-End'!$DW$10)&lt;0,1,0),0)+IF(AND(OR(Settings!$B$23="Card",Settings!$B$23="Loan"),AND('Month-End'!$DW$11&lt;&gt;"",NOT(_xlfn.ISFORMULA('Month-End'!$DW$11)))),IF(N('Month-End'!$DW$11)&lt;0,1,0),0)+IF(AND(OR(Settings!$B$24="Card",Settings!$B$24="Loan"),AND('Month-End'!$DW$12&lt;&gt;"",NOT(_xlfn.ISFORMULA('Month-End'!$DW$12)))),IF(N('Month-End'!$DW$12)&lt;0,1,0),0)+IF(AND(OR(Settings!$B$25="Card",Settings!$B$25="Loan"),AND('Month-End'!$DW$13&lt;&gt;"",NOT(_xlfn.ISFORMULA('Month-End'!$DW$13)))),IF(N('Month-End'!$DW$13)&lt;0,1,0),0)+IF(AND(OR(Settings!$B$26="Card",Settings!$B$26="Loan"),AND('Month-End'!$DW$14&lt;&gt;"",NOT(_xlfn.ISFORMULA('Month-End'!$DW$14)))),IF(N('Month-End'!$DW$14)&lt;0,1,0),0)+IF(AND(OR(Settings!$B$27="Card",Settings!$B$27="Loan"),AND('Month-End'!$DW$15&lt;&gt;"",NOT(_xlfn.ISFORMULA('Month-End'!$DW$15)))),IF(N('Month-End'!$DW$15)&lt;0,1,0),0)+IF(AND(OR(Settings!$B$28="Card",Settings!$B$28="Loan"),AND('Month-End'!$DW$16&lt;&gt;"",NOT(_xlfn.ISFORMULA('Month-End'!$DW$16)))),IF(N('Month-End'!$DW$16)&lt;0,1,0),0)+IF(AND(OR(Settings!$B$29="Card",Settings!$B$29="Loan"),AND('Month-End'!$DW$17&lt;&gt;"",NOT(_xlfn.ISFORMULA('Month-End'!$DW$17)))),IF(N('Month-End'!$DW$17)&lt;0,1,0),0)+IF(AND(OR(Settings!$B$30="Card",Settings!$B$30="Loan"),AND('Month-End'!$DW$18&lt;&gt;"",NOT(_xlfn.ISFORMULA('Month-End'!$DW$18)))),IF(N('Month-End'!$DW$18)&lt;0,1,0),0)+IF(AND(OR(Settings!$B$31="Card",Settings!$B$31="Loan"),AND('Month-End'!$DW$19&lt;&gt;"",NOT(_xlfn.ISFORMULA('Month-End'!$DW$19)))),IF(N('Month-End'!$DW$19)&lt;0,1,0),0)+IF(AND(OR(Settings!$B$32="Card",Settings!$B$32="Loan"),AND('Month-End'!$DW$20&lt;&gt;"",NOT(_xlfn.ISFORMULA('Month-End'!$DW$20)))),IF(N('Month-End'!$DW$20)&lt;0,1,0),0)</f>
        <v/>
      </c>
      <c r="DX130">
        <f>IF(Settings!$B$36="Retirement",$AY130,0)+IF(Settings!$B$37="Retirement",$AZ130,0)+IF(Settings!$B$38="Retirement",$BA130,0)+IF(Settings!$B$39="Retirement",$BB130,0)+IF(Settings!$B$40="Retirement",$BC130,0)+IF(Settings!$B$41="Retirement",$BD130,0)</f>
        <v/>
      </c>
      <c r="ET130">
        <f>IF($E130&lt;&gt;"open",0,IF(AND('Month-End'!$DW$22&lt;&gt;"",NOT(_xlfn.ISFORMULA('Month-End'!$DW$22))),0,IF(OR(Settings!$C$45="",Settings!$D$45=""),0,Settings!$C$45*IF(Settings!$D$45="Weekly",IF(IFERROR(MATCH(Settings!$E$45,$EO$4:$EO$10,0),0)=0,0,IF(MIN(Settings!$B$5,IF(Settings!$G$45="",Settings!$B$5,Settings!$G$45))&lt;MAX($A130,Settings!$F$45),0,INT((MIN(Settings!$B$5,IF(Settings!$G$45="",Settings!$B$5,Settings!$G$45))-MAX($A130,Settings!$F$45)-MOD(IFERROR(MATCH(Settings!$E$45,$EO$4:$EO$10,0),0)-WEEKDAY(MAX($A130,Settings!$F$45)),7))/7)+1)),IF(AND(IF(Settings!$E$45="",$B130,DATE(YEAR($A130),MONTH($A130),MIN(Settings!$E$45,DAY($B130))))&gt;=MAX($A130,Settings!$F$45),IF(Settings!$E$45="",$B130,DATE(YEAR($A130),MONTH($A130),MIN(Settings!$E$45,DAY($B130))))&lt;=MIN(Settings!$B$5,IF(Settings!$G$45="",Settings!$B$5,Settings!$G$45))),1,0)))))</f>
        <v/>
      </c>
      <c r="EU130">
        <f>IF($E130&lt;&gt;"open",0,IF(AND('Month-End'!$DW$23&lt;&gt;"",NOT(_xlfn.ISFORMULA('Month-End'!$DW$23))),0,IF(OR(Settings!$C$46="",Settings!$D$46=""),0,Settings!$C$46*IF(Settings!$D$46="Weekly",IF(IFERROR(MATCH(Settings!$E$46,$EO$4:$EO$10,0),0)=0,0,IF(MIN(Settings!$B$5,IF(Settings!$G$46="",Settings!$B$5,Settings!$G$46))&lt;MAX($A130,Settings!$F$46),0,INT((MIN(Settings!$B$5,IF(Settings!$G$46="",Settings!$B$5,Settings!$G$46))-MAX($A130,Settings!$F$46)-MOD(IFERROR(MATCH(Settings!$E$46,$EO$4:$EO$10,0),0)-WEEKDAY(MAX($A130,Settings!$F$46)),7))/7)+1)),IF(AND(IF(Settings!$E$46="",$B130,DATE(YEAR($A130),MONTH($A130),MIN(Settings!$E$46,DAY($B130))))&gt;=MAX($A130,Settings!$F$46),IF(Settings!$E$46="",$B130,DATE(YEAR($A130),MONTH($A130),MIN(Settings!$E$46,DAY($B130))))&lt;=MIN(Settings!$B$5,IF(Settings!$G$46="",Settings!$B$5,Settings!$G$46))),1,0)))))</f>
        <v/>
      </c>
      <c r="EV130">
        <f>IF($E130&lt;&gt;"open",0,IF(AND('Month-End'!$DW$24&lt;&gt;"",NOT(_xlfn.ISFORMULA('Month-End'!$DW$24))),0,IF(OR(Settings!$C$47="",Settings!$D$47=""),0,Settings!$C$47*IF(Settings!$D$47="Weekly",IF(IFERROR(MATCH(Settings!$E$47,$EO$4:$EO$10,0),0)=0,0,IF(MIN(Settings!$B$5,IF(Settings!$G$47="",Settings!$B$5,Settings!$G$47))&lt;MAX($A130,Settings!$F$47),0,INT((MIN(Settings!$B$5,IF(Settings!$G$47="",Settings!$B$5,Settings!$G$47))-MAX($A130,Settings!$F$47)-MOD(IFERROR(MATCH(Settings!$E$47,$EO$4:$EO$10,0),0)-WEEKDAY(MAX($A130,Settings!$F$47)),7))/7)+1)),IF(AND(IF(Settings!$E$47="",$B130,DATE(YEAR($A130),MONTH($A130),MIN(Settings!$E$47,DAY($B130))))&gt;=MAX($A130,Settings!$F$47),IF(Settings!$E$47="",$B130,DATE(YEAR($A130),MONTH($A130),MIN(Settings!$E$47,DAY($B130))))&lt;=MIN(Settings!$B$5,IF(Settings!$G$47="",Settings!$B$5,Settings!$G$47))),1,0)))))</f>
        <v/>
      </c>
      <c r="EW130">
        <f>IF($E130&lt;&gt;"open",0,IF(AND('Month-End'!$DW$25&lt;&gt;"",NOT(_xlfn.ISFORMULA('Month-End'!$DW$25))),0,IF(OR(Settings!$C$48="",Settings!$D$48=""),0,Settings!$C$48*IF(Settings!$D$48="Weekly",IF(IFERROR(MATCH(Settings!$E$48,$EO$4:$EO$10,0),0)=0,0,IF(MIN(Settings!$B$5,IF(Settings!$G$48="",Settings!$B$5,Settings!$G$48))&lt;MAX($A130,Settings!$F$48),0,INT((MIN(Settings!$B$5,IF(Settings!$G$48="",Settings!$B$5,Settings!$G$48))-MAX($A130,Settings!$F$48)-MOD(IFERROR(MATCH(Settings!$E$48,$EO$4:$EO$10,0),0)-WEEKDAY(MAX($A130,Settings!$F$48)),7))/7)+1)),IF(AND(IF(Settings!$E$48="",$B130,DATE(YEAR($A130),MONTH($A130),MIN(Settings!$E$48,DAY($B130))))&gt;=MAX($A130,Settings!$F$48),IF(Settings!$E$48="",$B130,DATE(YEAR($A130),MONTH($A130),MIN(Settings!$E$48,DAY($B130))))&lt;=MIN(Settings!$B$5,IF(Settings!$G$48="",Settings!$B$5,Settings!$G$48))),1,0)))))</f>
        <v/>
      </c>
      <c r="EX130">
        <f>IF($E130&lt;&gt;"open",0,IF(AND('Month-End'!$DW$26&lt;&gt;"",NOT(_xlfn.ISFORMULA('Month-End'!$DW$26))),0,IF(OR(Settings!$C$49="",Settings!$D$49=""),0,Settings!$C$49*IF(Settings!$D$49="Weekly",IF(IFERROR(MATCH(Settings!$E$49,$EO$4:$EO$10,0),0)=0,0,IF(MIN(Settings!$B$5,IF(Settings!$G$49="",Settings!$B$5,Settings!$G$49))&lt;MAX($A130,Settings!$F$49),0,INT((MIN(Settings!$B$5,IF(Settings!$G$49="",Settings!$B$5,Settings!$G$49))-MAX($A130,Settings!$F$49)-MOD(IFERROR(MATCH(Settings!$E$49,$EO$4:$EO$10,0),0)-WEEKDAY(MAX($A130,Settings!$F$49)),7))/7)+1)),IF(AND(IF(Settings!$E$49="",$B130,DATE(YEAR($A130),MONTH($A130),MIN(Settings!$E$49,DAY($B130))))&gt;=MAX($A130,Settings!$F$49),IF(Settings!$E$49="",$B130,DATE(YEAR($A130),MONTH($A130),MIN(Settings!$E$49,DAY($B130))))&lt;=MIN(Settings!$B$5,IF(Settings!$G$49="",Settings!$B$5,Settings!$G$49))),1,0)))))</f>
        <v/>
      </c>
      <c r="EY130">
        <f>IF($E130&lt;&gt;"open",0,IF(AND('Month-End'!$DW$27&lt;&gt;"",NOT(_xlfn.ISFORMULA('Month-End'!$DW$27))),0,IF(OR(Settings!$C$50="",Settings!$D$50=""),0,Settings!$C$50*IF(Settings!$D$50="Weekly",IF(IFERROR(MATCH(Settings!$E$50,$EO$4:$EO$10,0),0)=0,0,IF(MIN(Settings!$B$5,IF(Settings!$G$50="",Settings!$B$5,Settings!$G$50))&lt;MAX($A130,Settings!$F$50),0,INT((MIN(Settings!$B$5,IF(Settings!$G$50="",Settings!$B$5,Settings!$G$50))-MAX($A130,Settings!$F$50)-MOD(IFERROR(MATCH(Settings!$E$50,$EO$4:$EO$10,0),0)-WEEKDAY(MAX($A130,Settings!$F$50)),7))/7)+1)),IF(AND(IF(Settings!$E$50="",$B130,DATE(YEAR($A130),MONTH($A130),MIN(Settings!$E$50,DAY($B130))))&gt;=MAX($A130,Settings!$F$50),IF(Settings!$E$50="",$B130,DATE(YEAR($A130),MONTH($A130),MIN(Settings!$E$50,DAY($B130))))&lt;=MIN(Settings!$B$5,IF(Settings!$G$50="",Settings!$B$5,Settings!$G$50))),1,0)))))</f>
        <v/>
      </c>
      <c r="EZ130">
        <f>IF($E130&lt;&gt;"open",0,IF(AND('Month-End'!$DW$28&lt;&gt;"",NOT(_xlfn.ISFORMULA('Month-End'!$DW$28))),0,IF(OR(Settings!$C$51="",Settings!$D$51=""),0,Settings!$C$51*IF(Settings!$D$51="Weekly",IF(IFERROR(MATCH(Settings!$E$51,$EO$4:$EO$10,0),0)=0,0,IF(MIN(Settings!$B$5,IF(Settings!$G$51="",Settings!$B$5,Settings!$G$51))&lt;MAX($A130,Settings!$F$51),0,INT((MIN(Settings!$B$5,IF(Settings!$G$51="",Settings!$B$5,Settings!$G$51))-MAX($A130,Settings!$F$51)-MOD(IFERROR(MATCH(Settings!$E$51,$EO$4:$EO$10,0),0)-WEEKDAY(MAX($A130,Settings!$F$51)),7))/7)+1)),IF(AND(IF(Settings!$E$51="",$B130,DATE(YEAR($A130),MONTH($A130),MIN(Settings!$E$51,DAY($B130))))&gt;=MAX($A130,Settings!$F$51),IF(Settings!$E$51="",$B130,DATE(YEAR($A130),MONTH($A130),MIN(Settings!$E$51,DAY($B130))))&lt;=MIN(Settings!$B$5,IF(Settings!$G$51="",Settings!$B$5,Settings!$G$51))),1,0)))))</f>
        <v/>
      </c>
      <c r="FA130">
        <f>IF($E130&lt;&gt;"open",0,IF(AND('Month-End'!$DW$29&lt;&gt;"",NOT(_xlfn.ISFORMULA('Month-End'!$DW$29))),0,IF(OR(Settings!$C$52="",Settings!$D$52=""),0,Settings!$C$52*IF(Settings!$D$52="Weekly",IF(IFERROR(MATCH(Settings!$E$52,$EO$4:$EO$10,0),0)=0,0,IF(MIN(Settings!$B$5,IF(Settings!$G$52="",Settings!$B$5,Settings!$G$52))&lt;MAX($A130,Settings!$F$52),0,INT((MIN(Settings!$B$5,IF(Settings!$G$52="",Settings!$B$5,Settings!$G$52))-MAX($A130,Settings!$F$52)-MOD(IFERROR(MATCH(Settings!$E$52,$EO$4:$EO$10,0),0)-WEEKDAY(MAX($A130,Settings!$F$52)),7))/7)+1)),IF(AND(IF(Settings!$E$52="",$B130,DATE(YEAR($A130),MONTH($A130),MIN(Settings!$E$52,DAY($B130))))&gt;=MAX($A130,Settings!$F$52),IF(Settings!$E$52="",$B130,DATE(YEAR($A130),MONTH($A130),MIN(Settings!$E$52,DAY($B130))))&lt;=MIN(Settings!$B$5,IF(Settings!$G$52="",Settings!$B$5,Settings!$G$52))),1,0)))))</f>
        <v/>
      </c>
      <c r="FB130">
        <f>IF($E130&lt;&gt;"open",0,IF(AND('Month-End'!$DW$30&lt;&gt;"",NOT(_xlfn.ISFORMULA('Month-End'!$DW$30))),0,IF(OR(Settings!$C$53="",Settings!$D$53=""),0,Settings!$C$53*IF(Settings!$D$53="Weekly",IF(IFERROR(MATCH(Settings!$E$53,$EO$4:$EO$10,0),0)=0,0,IF(MIN(Settings!$B$5,IF(Settings!$G$53="",Settings!$B$5,Settings!$G$53))&lt;MAX($A130,Settings!$F$53),0,INT((MIN(Settings!$B$5,IF(Settings!$G$53="",Settings!$B$5,Settings!$G$53))-MAX($A130,Settings!$F$53)-MOD(IFERROR(MATCH(Settings!$E$53,$EO$4:$EO$10,0),0)-WEEKDAY(MAX($A130,Settings!$F$53)),7))/7)+1)),IF(AND(IF(Settings!$E$53="",$B130,DATE(YEAR($A130),MONTH($A130),MIN(Settings!$E$53,DAY($B130))))&gt;=MAX($A130,Settings!$F$53),IF(Settings!$E$53="",$B130,DATE(YEAR($A130),MONTH($A130),MIN(Settings!$E$53,DAY($B130))))&lt;=MIN(Settings!$B$5,IF(Settings!$G$53="",Settings!$B$5,Settings!$G$53))),1,0)))))</f>
        <v/>
      </c>
      <c r="FC130">
        <f>IF($E130&lt;&gt;"open",0,IF(AND('Month-End'!$DW$31&lt;&gt;"",NOT(_xlfn.ISFORMULA('Month-End'!$DW$31))),0,IF(OR(Settings!$C$54="",Settings!$D$54=""),0,Settings!$C$54*IF(Settings!$D$54="Weekly",IF(IFERROR(MATCH(Settings!$E$54,$EO$4:$EO$10,0),0)=0,0,IF(MIN(Settings!$B$5,IF(Settings!$G$54="",Settings!$B$5,Settings!$G$54))&lt;MAX($A130,Settings!$F$54),0,INT((MIN(Settings!$B$5,IF(Settings!$G$54="",Settings!$B$5,Settings!$G$54))-MAX($A130,Settings!$F$54)-MOD(IFERROR(MATCH(Settings!$E$54,$EO$4:$EO$10,0),0)-WEEKDAY(MAX($A130,Settings!$F$54)),7))/7)+1)),IF(AND(IF(Settings!$E$54="",$B130,DATE(YEAR($A130),MONTH($A130),MIN(Settings!$E$54,DAY($B130))))&gt;=MAX($A130,Settings!$F$54),IF(Settings!$E$54="",$B130,DATE(YEAR($A130),MONTH($A130),MIN(Settings!$E$54,DAY($B130))))&lt;=MIN(Settings!$B$5,IF(Settings!$G$54="",Settings!$B$5,Settings!$G$54))),1,0)))))</f>
        <v/>
      </c>
      <c r="FD130">
        <f>IF($E130&lt;&gt;"open",0,IF(AND('Month-End'!$DW$32&lt;&gt;"",NOT(_xlfn.ISFORMULA('Month-End'!$DW$32))),0,IF(OR(Settings!$C$55="",Settings!$D$55=""),0,Settings!$C$55*IF(Settings!$D$55="Weekly",IF(IFERROR(MATCH(Settings!$E$55,$EO$4:$EO$10,0),0)=0,0,IF(MIN(Settings!$B$5,IF(Settings!$G$55="",Settings!$B$5,Settings!$G$55))&lt;MAX($A130,Settings!$F$55),0,INT((MIN(Settings!$B$5,IF(Settings!$G$55="",Settings!$B$5,Settings!$G$55))-MAX($A130,Settings!$F$55)-MOD(IFERROR(MATCH(Settings!$E$55,$EO$4:$EO$10,0),0)-WEEKDAY(MAX($A130,Settings!$F$55)),7))/7)+1)),IF(AND(IF(Settings!$E$55="",$B130,DATE(YEAR($A130),MONTH($A130),MIN(Settings!$E$55,DAY($B130))))&gt;=MAX($A130,Settings!$F$55),IF(Settings!$E$55="",$B130,DATE(YEAR($A130),MONTH($A130),MIN(Settings!$E$55,DAY($B130))))&lt;=MIN(Settings!$B$5,IF(Settings!$G$55="",Settings!$B$5,Settings!$G$55))),1,0)))))</f>
        <v/>
      </c>
      <c r="FE130">
        <f>IF($E130&lt;&gt;"open",0,IF(AND('Month-End'!$DW$33&lt;&gt;"",NOT(_xlfn.ISFORMULA('Month-End'!$DW$33))),0,IF(OR(Settings!$C$56="",Settings!$D$56=""),0,Settings!$C$56*IF(Settings!$D$56="Weekly",IF(IFERROR(MATCH(Settings!$E$56,$EO$4:$EO$10,0),0)=0,0,IF(MIN(Settings!$B$5,IF(Settings!$G$56="",Settings!$B$5,Settings!$G$56))&lt;MAX($A130,Settings!$F$56),0,INT((MIN(Settings!$B$5,IF(Settings!$G$56="",Settings!$B$5,Settings!$G$56))-MAX($A130,Settings!$F$56)-MOD(IFERROR(MATCH(Settings!$E$56,$EO$4:$EO$10,0),0)-WEEKDAY(MAX($A130,Settings!$F$56)),7))/7)+1)),IF(AND(IF(Settings!$E$56="",$B130,DATE(YEAR($A130),MONTH($A130),MIN(Settings!$E$56,DAY($B130))))&gt;=MAX($A130,Settings!$F$56),IF(Settings!$E$56="",$B130,DATE(YEAR($A130),MONTH($A130),MIN(Settings!$E$56,DAY($B130))))&lt;=MIN(Settings!$B$5,IF(Settings!$G$56="",Settings!$B$5,Settings!$G$56))),1,0)))))</f>
        <v/>
      </c>
      <c r="FF130">
        <f>IF(Settings!$I$45="Yes",$G130,0)+IF(Settings!$I$46="Yes",$H130,0)+IF(Settings!$I$47="Yes",$I130,0)+IF(Settings!$I$48="Yes",$J130,0)+IF(Settings!$I$49="Yes",$K130,0)+IF(Settings!$I$50="Yes",$L130,0)+IF(Settings!$I$51="Yes",$M130,0)+IF(Settings!$I$52="Yes",$N130,0)+IF(Settings!$I$53="Yes",$O130,0)+IF(Settings!$I$54="Yes",$P130,0)+IF(Settings!$I$55="Yes",$Q130,0)+IF(Settings!$I$56="Yes",$R130,0)</f>
        <v/>
      </c>
      <c r="FG130">
        <f>IF(AND(Settings!$I$45="Yes",Settings!$J$45="No"),$G130,0)+IF(AND(Settings!$I$46="Yes",Settings!$J$46="No"),$H130,0)+IF(AND(Settings!$I$47="Yes",Settings!$J$47="No"),$I130,0)+IF(AND(Settings!$I$48="Yes",Settings!$J$48="No"),$J130,0)+IF(AND(Settings!$I$49="Yes",Settings!$J$49="No"),$K130,0)+IF(AND(Settings!$I$50="Yes",Settings!$J$50="No"),$L130,0)+IF(AND(Settings!$I$51="Yes",Settings!$J$51="No"),$M130,0)+IF(AND(Settings!$I$52="Yes",Settings!$J$52="No"),$N130,0)+IF(AND(Settings!$I$53="Yes",Settings!$J$53="No"),$O130,0)+IF(AND(Settings!$I$54="Yes",Settings!$J$54="No"),$P130,0)+IF(AND(Settings!$I$55="Yes",Settings!$J$55="No"),$Q130,0)+IF(AND(Settings!$I$56="Yes",Settings!$J$56="No"),$R130,0)</f>
        <v/>
      </c>
      <c r="FH130">
        <f>SUMIFS(Giving!$B$7:$B$2006,Giving!$A$7:$A$2006,"&gt;="&amp;$A130,Giving!$A$7:$A$2006,"&lt;="&amp;$B130,Giving!$G$7:$G$2006,"Yes")+IF(OR(OR(Settings!$B$60="",Settings!$F$60="No"),Settings!$H$60&lt;&gt;"Yes"),0,Settings!$B$60*IF(AND(IF(Settings!$C$60="",$B130,DATE(YEAR($A130),MONTH($A130),MIN(Settings!$C$60,DAY($B130))))&gt;=MAX($A130,Settings!$D$60),IF(Settings!$C$60="",$B130,DATE(YEAR($A130),MONTH($A130),MIN(Settings!$C$60,DAY($B130))))&lt;=MIN($C130,IF(Settings!$E$60="",$C130,Settings!$E$60))),1,0))+IF(OR(OR(Settings!$B$61="",Settings!$F$61="No"),Settings!$H$61&lt;&gt;"Yes"),0,Settings!$B$61*IF(AND(IF(Settings!$C$61="",$B130,DATE(YEAR($A130),MONTH($A130),MIN(Settings!$C$61,DAY($B130))))&gt;=MAX($A130,Settings!$D$61),IF(Settings!$C$61="",$B130,DATE(YEAR($A130),MONTH($A130),MIN(Settings!$C$61,DAY($B130))))&lt;=MIN($C130,IF(Settings!$E$61="",$C130,Settings!$E$61))),1,0))+IF(OR(OR(Settings!$B$62="",Settings!$F$62="No"),Settings!$H$62&lt;&gt;"Yes"),0,Settings!$B$62*IF(AND(IF(Settings!$C$62="",$B130,DATE(YEAR($A130),MONTH($A130),MIN(Settings!$C$62,DAY($B130))))&gt;=MAX($A130,Settings!$D$62),IF(Settings!$C$62="",$B130,DATE(YEAR($A130),MONTH($A130),MIN(Settings!$C$62,DAY($B130))))&lt;=MIN($C130,IF(Settings!$E$62="",$C130,Settings!$E$62))),1,0))+IF(OR(OR(Settings!$B$63="",Settings!$F$63="No"),Settings!$H$63&lt;&gt;"Yes"),0,Settings!$B$63*IF(AND(IF(Settings!$C$63="",$B130,DATE(YEAR($A130),MONTH($A130),MIN(Settings!$C$63,DAY($B130))))&gt;=MAX($A130,Settings!$D$63),IF(Settings!$C$63="",$B130,DATE(YEAR($A130),MONTH($A130),MIN(Settings!$C$63,DAY($B130))))&lt;=MIN($C130,IF(Settings!$E$63="",$C130,Settings!$E$63))),1,0))+IF(OR(OR(Settings!$B$64="",Settings!$F$64="No"),Settings!$H$64&lt;&gt;"Yes"),0,Settings!$B$64*IF(AND(IF(Settings!$C$64="",$B130,DATE(YEAR($A130),MONTH($A130),MIN(Settings!$C$64,DAY($B130))))&gt;=MAX($A130,Settings!$D$64),IF(Settings!$C$64="",$B130,DATE(YEAR($A130),MONTH($A130),MIN(Settings!$C$64,DAY($B130))))&lt;=MIN($C130,IF(Settings!$E$64="",$C130,Settings!$E$64))),1,0))+IF(OR(OR(Settings!$B$65="",Settings!$F$65="No"),Settings!$H$65&lt;&gt;"Yes"),0,Settings!$B$65*IF(AND(IF(Settings!$C$65="",$B130,DATE(YEAR($A130),MONTH($A130),MIN(Settings!$C$65,DAY($B130))))&gt;=MAX($A130,Settings!$D$65),IF(Settings!$C$65="",$B130,DATE(YEAR($A130),MONTH($A130),MIN(Settings!$C$65,DAY($B130))))&lt;=MIN($C130,IF(Settings!$E$65="",$C130,Settings!$E$65))),1,0))</f>
        <v/>
      </c>
      <c r="FI130">
        <f>IF($DT130=1,IF(OR(Settings!$B$19="Card",Settings!$B$19="Loan"),N($AE130),0)+IF(OR(Settings!$B$20="Card",Settings!$B$20="Loan"),N($AF130),0)+IF(OR(Settings!$B$21="Card",Settings!$B$21="Loan"),N($AG130),0)+IF(OR(Settings!$B$22="Card",Settings!$B$22="Loan"),N($AH130),0)+IF(OR(Settings!$B$23="Card",Settings!$B$23="Loan"),N($AI130),0)+IF(OR(Settings!$B$24="Card",Settings!$B$24="Loan"),N($AJ130),0)+IF(OR(Settings!$B$25="Card",Settings!$B$25="Loan"),N($AK130),0)+IF(OR(Settings!$B$26="Card",Settings!$B$26="Loan"),N($AL130),0)+IF(OR(Settings!$B$27="Card",Settings!$B$27="Loan"),N($AM130),0)+IF(OR(Settings!$B$28="Card",Settings!$B$28="Loan"),N($AN130),0)+IF(OR(Settings!$B$29="Card",Settings!$B$29="Loan"),N($AO130),0)+IF(OR(Settings!$B$30="Card",Settings!$B$30="Loan"),N($AP130),0)+IF(OR(Settings!$B$31="Card",Settings!$B$31="Loan"),N($AQ130),0)+IF(OR(Settings!$B$32="Card",Settings!$B$32="Loan"),N($AR130),0),"")</f>
        <v/>
      </c>
      <c r="FJ130">
        <f>IF($E130="open",$EB$65,IF($E130="post",IF($E129="pre",$EB$65,$FI129),""))</f>
        <v/>
      </c>
      <c r="FK130">
        <f>IF(AND($DT130=1,$DC130=1),IF(ROUND($FI130-$FJ130,2)&gt;0,1,0),0)</f>
        <v/>
      </c>
      <c r="FL130">
        <f>IF($FK130=1,$FL129+1,0)</f>
        <v/>
      </c>
    </row>
    <row r="131">
      <c r="A131">
        <f>'Month-End'!$DX$4</f>
        <v/>
      </c>
      <c r="B131">
        <f>EOMONTH($A131,0)</f>
        <v/>
      </c>
      <c r="C131">
        <f>MIN($B131,TODAY())</f>
        <v/>
      </c>
      <c r="D131">
        <f>IF($A131&gt;TODAY(),1,0)</f>
        <v/>
      </c>
      <c r="E131">
        <f>IF($B131&lt;=Settings!$B$5,"pre",IF($A131&lt;=Settings!$B$5,"open","post"))</f>
        <v/>
      </c>
      <c r="G131">
        <f>IF('Month-End'!$DX$22="",$BE131,N('Month-End'!$DX$22))</f>
        <v/>
      </c>
      <c r="H131">
        <f>IF('Month-End'!$DX$23="",$BF131,N('Month-End'!$DX$23))</f>
        <v/>
      </c>
      <c r="I131">
        <f>IF('Month-End'!$DX$24="",$BG131,N('Month-End'!$DX$24))</f>
        <v/>
      </c>
      <c r="J131">
        <f>IF('Month-End'!$DX$25="",$BH131,N('Month-End'!$DX$25))</f>
        <v/>
      </c>
      <c r="K131">
        <f>IF('Month-End'!$DX$26="",$BI131,N('Month-End'!$DX$26))</f>
        <v/>
      </c>
      <c r="L131">
        <f>IF('Month-End'!$DX$27="",$BJ131,N('Month-End'!$DX$27))</f>
        <v/>
      </c>
      <c r="M131">
        <f>IF('Month-End'!$DX$28="",$BK131,N('Month-End'!$DX$28))</f>
        <v/>
      </c>
      <c r="N131">
        <f>IF('Month-End'!$DX$29="",$BL131,N('Month-End'!$DX$29))</f>
        <v/>
      </c>
      <c r="O131">
        <f>IF('Month-End'!$DX$30="",$BM131,N('Month-End'!$DX$30))</f>
        <v/>
      </c>
      <c r="P131">
        <f>IF('Month-End'!$DX$31="",$BN131,N('Month-End'!$DX$31))</f>
        <v/>
      </c>
      <c r="Q131">
        <f>IF('Month-End'!$DX$32="",$BO131,N('Month-End'!$DX$32))</f>
        <v/>
      </c>
      <c r="R131">
        <f>IF('Month-End'!$DX$33="",$BP131,N('Month-End'!$DX$33))</f>
        <v/>
      </c>
      <c r="S131">
        <f>$G131+$H131+$I131+$J131+$K131+$L131+$M131+$N131+$O131+$P131+$Q131+$R131</f>
        <v/>
      </c>
      <c r="T131">
        <f>IF($B131&lt;Settings!$B$6,0,IF(Settings!$B$45="Yes",$G131,0)+IF(Settings!$B$46="Yes",$H131,0)+IF(Settings!$B$47="Yes",$I131,0)+IF(Settings!$B$48="Yes",$J131,0)+IF(Settings!$B$49="Yes",$K131,0)+IF(Settings!$B$50="Yes",$L131,0)+IF(Settings!$B$51="Yes",$M131,0)+IF(Settings!$B$52="Yes",$N131,0)+IF(Settings!$B$53="Yes",$O131,0)+IF(Settings!$B$54="Yes",$P131,0)+IF(Settings!$B$55="Yes",$Q131,0)+IF(Settings!$B$56="Yes",$R131,0))</f>
        <v/>
      </c>
      <c r="U131">
        <f>IF(Settings!$B$45="Not Sure",$G131,0)+IF(Settings!$B$46="Not Sure",$H131,0)+IF(Settings!$B$47="Not Sure",$I131,0)+IF(Settings!$B$48="Not Sure",$J131,0)+IF(Settings!$B$49="Not Sure",$K131,0)+IF(Settings!$B$50="Not Sure",$L131,0)+IF(Settings!$B$51="Not Sure",$M131,0)+IF(Settings!$B$52="Not Sure",$N131,0)+IF(Settings!$B$53="Not Sure",$O131,0)+IF(Settings!$B$54="Not Sure",$P131,0)+IF(Settings!$B$55="Not Sure",$Q131,0)+IF(Settings!$B$56="Not Sure",$R131,0)</f>
        <v/>
      </c>
      <c r="V131">
        <f>IF($E131="open",SUM($ET131:$FE131)+N(Settings!$B$13),0)</f>
        <v/>
      </c>
      <c r="W131">
        <f>IF($E131="post",$S131,IF($E131="open",$S131-$V131,0))</f>
        <v/>
      </c>
      <c r="X131">
        <f>SUMIFS(Giving!$B$7:$B$2006,Giving!$A$7:$A$2006,"&gt;="&amp;$A131,Giving!$A$7:$A$2006,"&lt;="&amp;$B131,Giving!$E$7:$E$2006,"&lt;&gt;No")</f>
        <v/>
      </c>
      <c r="Y131">
        <f>SUMIFS(Giving!$B$7:$B$2006,Giving!$A$7:$A$2006,"&gt;="&amp;$A131,Giving!$A$7:$A$2006,"&lt;="&amp;$B131,Giving!$E$7:$E$2006,"No")</f>
        <v/>
      </c>
      <c r="Z131">
        <f>IF(OR(Settings!$B$60="",Settings!$F$60="No"),0,Settings!$B$60*IF(AND(IF(Settings!$C$60="",$B131,DATE(YEAR($A131),MONTH($A131),MIN(Settings!$C$60,DAY($B131))))&gt;=MAX($A131,Settings!$D$60),IF(Settings!$C$60="",$B131,DATE(YEAR($A131),MONTH($A131),MIN(Settings!$C$60,DAY($B131))))&lt;=MIN($C131,IF(Settings!$E$60="",$C131,Settings!$E$60))),1,0))+IF(OR(Settings!$B$61="",Settings!$F$61="No"),0,Settings!$B$61*IF(AND(IF(Settings!$C$61="",$B131,DATE(YEAR($A131),MONTH($A131),MIN(Settings!$C$61,DAY($B131))))&gt;=MAX($A131,Settings!$D$61),IF(Settings!$C$61="",$B131,DATE(YEAR($A131),MONTH($A131),MIN(Settings!$C$61,DAY($B131))))&lt;=MIN($C131,IF(Settings!$E$61="",$C131,Settings!$E$61))),1,0))+IF(OR(Settings!$B$62="",Settings!$F$62="No"),0,Settings!$B$62*IF(AND(IF(Settings!$C$62="",$B131,DATE(YEAR($A131),MONTH($A131),MIN(Settings!$C$62,DAY($B131))))&gt;=MAX($A131,Settings!$D$62),IF(Settings!$C$62="",$B131,DATE(YEAR($A131),MONTH($A131),MIN(Settings!$C$62,DAY($B131))))&lt;=MIN($C131,IF(Settings!$E$62="",$C131,Settings!$E$62))),1,0))+IF(OR(Settings!$B$63="",Settings!$F$63="No"),0,Settings!$B$63*IF(AND(IF(Settings!$C$63="",$B131,DATE(YEAR($A131),MONTH($A131),MIN(Settings!$C$63,DAY($B131))))&gt;=MAX($A131,Settings!$D$63),IF(Settings!$C$63="",$B131,DATE(YEAR($A131),MONTH($A131),MIN(Settings!$C$63,DAY($B131))))&lt;=MIN($C131,IF(Settings!$E$63="",$C131,Settings!$E$63))),1,0))+IF(OR(Settings!$B$64="",Settings!$F$64="No"),0,Settings!$B$64*IF(AND(IF(Settings!$C$64="",$B131,DATE(YEAR($A131),MONTH($A131),MIN(Settings!$C$64,DAY($B131))))&gt;=MAX($A131,Settings!$D$64),IF(Settings!$C$64="",$B131,DATE(YEAR($A131),MONTH($A131),MIN(Settings!$C$64,DAY($B131))))&lt;=MIN($C131,IF(Settings!$E$64="",$C131,Settings!$E$64))),1,0))+IF(OR(Settings!$B$65="",Settings!$F$65="No"),0,Settings!$B$65*IF(AND(IF(Settings!$C$65="",$B131,DATE(YEAR($A131),MONTH($A131),MIN(Settings!$C$65,DAY($B131))))&gt;=MAX($A131,Settings!$D$65),IF(Settings!$C$65="",$B131,DATE(YEAR($A131),MONTH($A131),MIN(Settings!$C$65,DAY($B131))))&lt;=MIN($C131,IF(Settings!$E$65="",$C131,Settings!$E$65))),1,0))</f>
        <v/>
      </c>
      <c r="AA131">
        <f>$X131+$Z131</f>
        <v/>
      </c>
      <c r="AB131">
        <f>IF($E131="post",$AA131,IF($E131="open",SUMIFS(Giving!$B$7:$B$2006,Giving!$A$7:$A$2006,"&gt;"&amp;Settings!$B$5,Giving!$A$7:$A$2006,"&lt;="&amp;$B131,Giving!$E$7:$E$2006,"&lt;&gt;No")+IF(OR(Settings!$B$60="",Settings!$F$60="No"),0,Settings!$B$60*IF(AND(IF(Settings!$C$60="",$B131,DATE(YEAR($A131),MONTH($A131),MIN(Settings!$C$60,DAY($B131))))&gt;=MAX($A131,Settings!$D$60,Settings!$B$5+1),IF(Settings!$C$60="",$B131,DATE(YEAR($A131),MONTH($A131),MIN(Settings!$C$60,DAY($B131))))&lt;=MIN($C131,IF(Settings!$E$60="",$C131,Settings!$E$60))),1,0))+IF(OR(Settings!$B$61="",Settings!$F$61="No"),0,Settings!$B$61*IF(AND(IF(Settings!$C$61="",$B131,DATE(YEAR($A131),MONTH($A131),MIN(Settings!$C$61,DAY($B131))))&gt;=MAX($A131,Settings!$D$61,Settings!$B$5+1),IF(Settings!$C$61="",$B131,DATE(YEAR($A131),MONTH($A131),MIN(Settings!$C$61,DAY($B131))))&lt;=MIN($C131,IF(Settings!$E$61="",$C131,Settings!$E$61))),1,0))+IF(OR(Settings!$B$62="",Settings!$F$62="No"),0,Settings!$B$62*IF(AND(IF(Settings!$C$62="",$B131,DATE(YEAR($A131),MONTH($A131),MIN(Settings!$C$62,DAY($B131))))&gt;=MAX($A131,Settings!$D$62,Settings!$B$5+1),IF(Settings!$C$62="",$B131,DATE(YEAR($A131),MONTH($A131),MIN(Settings!$C$62,DAY($B131))))&lt;=MIN($C131,IF(Settings!$E$62="",$C131,Settings!$E$62))),1,0))+IF(OR(Settings!$B$63="",Settings!$F$63="No"),0,Settings!$B$63*IF(AND(IF(Settings!$C$63="",$B131,DATE(YEAR($A131),MONTH($A131),MIN(Settings!$C$63,DAY($B131))))&gt;=MAX($A131,Settings!$D$63,Settings!$B$5+1),IF(Settings!$C$63="",$B131,DATE(YEAR($A131),MONTH($A131),MIN(Settings!$C$63,DAY($B131))))&lt;=MIN($C131,IF(Settings!$E$63="",$C131,Settings!$E$63))),1,0))+IF(OR(Settings!$B$64="",Settings!$F$64="No"),0,Settings!$B$64*IF(AND(IF(Settings!$C$64="",$B131,DATE(YEAR($A131),MONTH($A131),MIN(Settings!$C$64,DAY($B131))))&gt;=MAX($A131,Settings!$D$64,Settings!$B$5+1),IF(Settings!$C$64="",$B131,DATE(YEAR($A131),MONTH($A131),MIN(Settings!$C$64,DAY($B131))))&lt;=MIN($C131,IF(Settings!$E$64="",$C131,Settings!$E$64))),1,0))+IF(OR(Settings!$B$65="",Settings!$F$65="No"),0,Settings!$B$65*IF(AND(IF(Settings!$C$65="",$B131,DATE(YEAR($A131),MONTH($A131),MIN(Settings!$C$65,DAY($B131))))&gt;=MAX($A131,Settings!$D$65,Settings!$B$5+1),IF(Settings!$C$65="",$B131,DATE(YEAR($A131),MONTH($A131),MIN(Settings!$C$65,DAY($B131))))&lt;=MIN($C131,IF(Settings!$E$65="",$C131,Settings!$E$65))),1,0)),0))</f>
        <v/>
      </c>
      <c r="AC131">
        <f>$AY131+$AZ131+$BA131+$BB131+$BC131+$BD131</f>
        <v/>
      </c>
      <c r="AD131">
        <f>$AC131</f>
        <v/>
      </c>
      <c r="AE131">
        <f>IF(OR(Settings!$A$19="",$E131="pre"),"",IF(AND('Month-End'!$DX$7&lt;&gt;"",NOT(_xlfn.ISFORMULA('Month-End'!$DX$7))),N('Month-End'!$DX$7),IF(OR($E131="open",$E130="pre"),N(Settings!$C$19),N($AE130))))</f>
        <v/>
      </c>
      <c r="AF131">
        <f>IF(OR(Settings!$A$20="",$E131="pre"),"",IF(AND('Month-End'!$DX$8&lt;&gt;"",NOT(_xlfn.ISFORMULA('Month-End'!$DX$8))),N('Month-End'!$DX$8),IF(OR($E131="open",$E130="pre"),N(Settings!$C$20),N($AF130))))</f>
        <v/>
      </c>
      <c r="AG131">
        <f>IF(OR(Settings!$A$21="",$E131="pre"),"",IF(AND('Month-End'!$DX$9&lt;&gt;"",NOT(_xlfn.ISFORMULA('Month-End'!$DX$9))),N('Month-End'!$DX$9),IF(OR($E131="open",$E130="pre"),N(Settings!$C$21),N($AG130))))</f>
        <v/>
      </c>
      <c r="AH131">
        <f>IF(OR(Settings!$A$22="",$E131="pre"),"",IF(AND('Month-End'!$DX$10&lt;&gt;"",NOT(_xlfn.ISFORMULA('Month-End'!$DX$10))),N('Month-End'!$DX$10),IF(OR($E131="open",$E130="pre"),N(Settings!$C$22),N($AH130))))</f>
        <v/>
      </c>
      <c r="AI131">
        <f>IF(OR(Settings!$A$23="",$E131="pre"),"",IF(AND('Month-End'!$DX$11&lt;&gt;"",NOT(_xlfn.ISFORMULA('Month-End'!$DX$11))),N('Month-End'!$DX$11),IF(OR($E131="open",$E130="pre"),N(Settings!$C$23),N($AI130))))</f>
        <v/>
      </c>
      <c r="AJ131">
        <f>IF(OR(Settings!$A$24="",$E131="pre"),"",IF(AND('Month-End'!$DX$12&lt;&gt;"",NOT(_xlfn.ISFORMULA('Month-End'!$DX$12))),N('Month-End'!$DX$12),IF(OR($E131="open",$E130="pre"),N(Settings!$C$24),N($AJ130))))</f>
        <v/>
      </c>
      <c r="AK131">
        <f>IF(OR(Settings!$A$25="",$E131="pre"),"",IF(AND('Month-End'!$DX$13&lt;&gt;"",NOT(_xlfn.ISFORMULA('Month-End'!$DX$13))),N('Month-End'!$DX$13),IF(OR($E131="open",$E130="pre"),N(Settings!$C$25),N($AK130))))</f>
        <v/>
      </c>
      <c r="AL131">
        <f>IF(OR(Settings!$A$26="",$E131="pre"),"",IF(AND('Month-End'!$DX$14&lt;&gt;"",NOT(_xlfn.ISFORMULA('Month-End'!$DX$14))),N('Month-End'!$DX$14),IF(OR($E131="open",$E130="pre"),N(Settings!$C$26),N($AL130))))</f>
        <v/>
      </c>
      <c r="AM131">
        <f>IF(OR(Settings!$A$27="",$E131="pre"),"",IF(AND('Month-End'!$DX$15&lt;&gt;"",NOT(_xlfn.ISFORMULA('Month-End'!$DX$15))),N('Month-End'!$DX$15),IF(OR($E131="open",$E130="pre"),N(Settings!$C$27),N($AM130))))</f>
        <v/>
      </c>
      <c r="AN131">
        <f>IF(OR(Settings!$A$28="",$E131="pre"),"",IF(AND('Month-End'!$DX$16&lt;&gt;"",NOT(_xlfn.ISFORMULA('Month-End'!$DX$16))),N('Month-End'!$DX$16),IF(OR($E131="open",$E130="pre"),N(Settings!$C$28),N($AN130))))</f>
        <v/>
      </c>
      <c r="AO131">
        <f>IF(OR(Settings!$A$29="",$E131="pre"),"",IF(AND('Month-End'!$DX$17&lt;&gt;"",NOT(_xlfn.ISFORMULA('Month-End'!$DX$17))),N('Month-End'!$DX$17),IF(OR($E131="open",$E130="pre"),N(Settings!$C$29),N($AO130))))</f>
        <v/>
      </c>
      <c r="AP131">
        <f>IF(OR(Settings!$A$30="",$E131="pre"),"",IF(AND('Month-End'!$DX$18&lt;&gt;"",NOT(_xlfn.ISFORMULA('Month-End'!$DX$18))),N('Month-End'!$DX$18),IF(OR($E131="open",$E130="pre"),N(Settings!$C$30),N($AP130))))</f>
        <v/>
      </c>
      <c r="AQ131">
        <f>IF(OR(Settings!$A$31="",$E131="pre"),"",IF(AND('Month-End'!$DX$19&lt;&gt;"",NOT(_xlfn.ISFORMULA('Month-End'!$DX$19))),N('Month-End'!$DX$19),IF(OR($E131="open",$E130="pre"),N(Settings!$C$31),N($AQ130))))</f>
        <v/>
      </c>
      <c r="AR131">
        <f>IF(OR(Settings!$A$32="",$E131="pre"),"",IF(AND('Month-End'!$DX$20&lt;&gt;"",NOT(_xlfn.ISFORMULA('Month-End'!$DX$20))),N('Month-End'!$DX$20),IF(OR($E131="open",$E130="pre"),N(Settings!$C$32),N($AR130))))</f>
        <v/>
      </c>
      <c r="AS131">
        <f>IF(OR(Settings!$A$36="",$E131="pre"),"",IF(AND('Month-End'!$DX$38&lt;&gt;"",NOT(_xlfn.ISFORMULA('Month-End'!$DX$38))),N('Month-End'!$DX$38),IF(OR($E131="open",$E130="pre"),N(Settings!$C$36),N($AS130))+$AY131))</f>
        <v/>
      </c>
      <c r="AT131">
        <f>IF(OR(Settings!$A$37="",$E131="pre"),"",IF(AND('Month-End'!$DX$39&lt;&gt;"",NOT(_xlfn.ISFORMULA('Month-End'!$DX$39))),N('Month-End'!$DX$39),IF(OR($E131="open",$E130="pre"),N(Settings!$C$37),N($AT130))+$AZ131))</f>
        <v/>
      </c>
      <c r="AU131">
        <f>IF(OR(Settings!$A$38="",$E131="pre"),"",IF(AND('Month-End'!$DX$40&lt;&gt;"",NOT(_xlfn.ISFORMULA('Month-End'!$DX$40))),N('Month-End'!$DX$40),IF(OR($E131="open",$E130="pre"),N(Settings!$C$38),N($AU130))+$BA131))</f>
        <v/>
      </c>
      <c r="AV131">
        <f>IF(OR(Settings!$A$39="",$E131="pre"),"",IF(AND('Month-End'!$DX$41&lt;&gt;"",NOT(_xlfn.ISFORMULA('Month-End'!$DX$41))),N('Month-End'!$DX$41),IF(OR($E131="open",$E130="pre"),N(Settings!$C$39),N($AV130))+$BB131))</f>
        <v/>
      </c>
      <c r="AW131">
        <f>IF(OR(Settings!$A$40="",$E131="pre"),"",IF(AND('Month-End'!$DX$42&lt;&gt;"",NOT(_xlfn.ISFORMULA('Month-End'!$DX$42))),N('Month-End'!$DX$42),IF(OR($E131="open",$E130="pre"),N(Settings!$C$40),N($AW130))+$BC131))</f>
        <v/>
      </c>
      <c r="AX131">
        <f>IF(OR(Settings!$A$41="",$E131="pre"),"",IF(AND('Month-End'!$DX$43&lt;&gt;"",NOT(_xlfn.ISFORMULA('Month-End'!$DX$43))),N('Month-End'!$DX$43),IF(OR($E131="open",$E130="pre"),N(Settings!$C$41),N($AX130))+$BD131))</f>
        <v/>
      </c>
      <c r="AY131">
        <f>IF($E131="pre",0,N('Month-End'!$DX$45))</f>
        <v/>
      </c>
      <c r="AZ131">
        <f>IF($E131="pre",0,N('Month-End'!$DX$46))</f>
        <v/>
      </c>
      <c r="BA131">
        <f>IF($E131="pre",0,N('Month-End'!$DX$47))</f>
        <v/>
      </c>
      <c r="BB131">
        <f>IF($E131="pre",0,N('Month-End'!$DX$48))</f>
        <v/>
      </c>
      <c r="BC131">
        <f>IF($E131="pre",0,N('Month-End'!$DX$49))</f>
        <v/>
      </c>
      <c r="BD131">
        <f>IF($E131="pre",0,N('Month-End'!$DX$50))</f>
        <v/>
      </c>
      <c r="BE131">
        <f>IF(OR(Settings!$C$45="",Settings!$D$45=""),0,Settings!$C$45*IF(Settings!$D$45="Weekly",IF(IFERROR(MATCH(Settings!$E$45,$EO$4:$EO$10,0),0)=0,0,IF(MIN($C131,IF(Settings!$G$45="",$C131,Settings!$G$45))&lt;MAX($A131,Settings!$F$45),0,INT((MIN($C131,IF(Settings!$G$45="",$C131,Settings!$G$45))-MAX($A131,Settings!$F$45)-MOD(IFERROR(MATCH(Settings!$E$45,$EO$4:$EO$10,0),0)-WEEKDAY(MAX($A131,Settings!$F$45)),7))/7)+1)),IF(AND(IF(Settings!$E$45="",$B131,DATE(YEAR($A131),MONTH($A131),MIN(Settings!$E$45,DAY($B131))))&gt;=MAX($A131,Settings!$F$45),IF(Settings!$E$45="",$B131,DATE(YEAR($A131),MONTH($A131),MIN(Settings!$E$45,DAY($B131))))&lt;=MIN($C131,IF(Settings!$G$45="",$C131,Settings!$G$45))),1,0)))</f>
        <v/>
      </c>
      <c r="BF131">
        <f>IF(OR(Settings!$C$46="",Settings!$D$46=""),0,Settings!$C$46*IF(Settings!$D$46="Weekly",IF(IFERROR(MATCH(Settings!$E$46,$EO$4:$EO$10,0),0)=0,0,IF(MIN($C131,IF(Settings!$G$46="",$C131,Settings!$G$46))&lt;MAX($A131,Settings!$F$46),0,INT((MIN($C131,IF(Settings!$G$46="",$C131,Settings!$G$46))-MAX($A131,Settings!$F$46)-MOD(IFERROR(MATCH(Settings!$E$46,$EO$4:$EO$10,0),0)-WEEKDAY(MAX($A131,Settings!$F$46)),7))/7)+1)),IF(AND(IF(Settings!$E$46="",$B131,DATE(YEAR($A131),MONTH($A131),MIN(Settings!$E$46,DAY($B131))))&gt;=MAX($A131,Settings!$F$46),IF(Settings!$E$46="",$B131,DATE(YEAR($A131),MONTH($A131),MIN(Settings!$E$46,DAY($B131))))&lt;=MIN($C131,IF(Settings!$G$46="",$C131,Settings!$G$46))),1,0)))</f>
        <v/>
      </c>
      <c r="BG131">
        <f>IF(OR(Settings!$C$47="",Settings!$D$47=""),0,Settings!$C$47*IF(Settings!$D$47="Weekly",IF(IFERROR(MATCH(Settings!$E$47,$EO$4:$EO$10,0),0)=0,0,IF(MIN($C131,IF(Settings!$G$47="",$C131,Settings!$G$47))&lt;MAX($A131,Settings!$F$47),0,INT((MIN($C131,IF(Settings!$G$47="",$C131,Settings!$G$47))-MAX($A131,Settings!$F$47)-MOD(IFERROR(MATCH(Settings!$E$47,$EO$4:$EO$10,0),0)-WEEKDAY(MAX($A131,Settings!$F$47)),7))/7)+1)),IF(AND(IF(Settings!$E$47="",$B131,DATE(YEAR($A131),MONTH($A131),MIN(Settings!$E$47,DAY($B131))))&gt;=MAX($A131,Settings!$F$47),IF(Settings!$E$47="",$B131,DATE(YEAR($A131),MONTH($A131),MIN(Settings!$E$47,DAY($B131))))&lt;=MIN($C131,IF(Settings!$G$47="",$C131,Settings!$G$47))),1,0)))</f>
        <v/>
      </c>
      <c r="BH131">
        <f>IF(OR(Settings!$C$48="",Settings!$D$48=""),0,Settings!$C$48*IF(Settings!$D$48="Weekly",IF(IFERROR(MATCH(Settings!$E$48,$EO$4:$EO$10,0),0)=0,0,IF(MIN($C131,IF(Settings!$G$48="",$C131,Settings!$G$48))&lt;MAX($A131,Settings!$F$48),0,INT((MIN($C131,IF(Settings!$G$48="",$C131,Settings!$G$48))-MAX($A131,Settings!$F$48)-MOD(IFERROR(MATCH(Settings!$E$48,$EO$4:$EO$10,0),0)-WEEKDAY(MAX($A131,Settings!$F$48)),7))/7)+1)),IF(AND(IF(Settings!$E$48="",$B131,DATE(YEAR($A131),MONTH($A131),MIN(Settings!$E$48,DAY($B131))))&gt;=MAX($A131,Settings!$F$48),IF(Settings!$E$48="",$B131,DATE(YEAR($A131),MONTH($A131),MIN(Settings!$E$48,DAY($B131))))&lt;=MIN($C131,IF(Settings!$G$48="",$C131,Settings!$G$48))),1,0)))</f>
        <v/>
      </c>
      <c r="BI131">
        <f>IF(OR(Settings!$C$49="",Settings!$D$49=""),0,Settings!$C$49*IF(Settings!$D$49="Weekly",IF(IFERROR(MATCH(Settings!$E$49,$EO$4:$EO$10,0),0)=0,0,IF(MIN($C131,IF(Settings!$G$49="",$C131,Settings!$G$49))&lt;MAX($A131,Settings!$F$49),0,INT((MIN($C131,IF(Settings!$G$49="",$C131,Settings!$G$49))-MAX($A131,Settings!$F$49)-MOD(IFERROR(MATCH(Settings!$E$49,$EO$4:$EO$10,0),0)-WEEKDAY(MAX($A131,Settings!$F$49)),7))/7)+1)),IF(AND(IF(Settings!$E$49="",$B131,DATE(YEAR($A131),MONTH($A131),MIN(Settings!$E$49,DAY($B131))))&gt;=MAX($A131,Settings!$F$49),IF(Settings!$E$49="",$B131,DATE(YEAR($A131),MONTH($A131),MIN(Settings!$E$49,DAY($B131))))&lt;=MIN($C131,IF(Settings!$G$49="",$C131,Settings!$G$49))),1,0)))</f>
        <v/>
      </c>
      <c r="BJ131">
        <f>IF(OR(Settings!$C$50="",Settings!$D$50=""),0,Settings!$C$50*IF(Settings!$D$50="Weekly",IF(IFERROR(MATCH(Settings!$E$50,$EO$4:$EO$10,0),0)=0,0,IF(MIN($C131,IF(Settings!$G$50="",$C131,Settings!$G$50))&lt;MAX($A131,Settings!$F$50),0,INT((MIN($C131,IF(Settings!$G$50="",$C131,Settings!$G$50))-MAX($A131,Settings!$F$50)-MOD(IFERROR(MATCH(Settings!$E$50,$EO$4:$EO$10,0),0)-WEEKDAY(MAX($A131,Settings!$F$50)),7))/7)+1)),IF(AND(IF(Settings!$E$50="",$B131,DATE(YEAR($A131),MONTH($A131),MIN(Settings!$E$50,DAY($B131))))&gt;=MAX($A131,Settings!$F$50),IF(Settings!$E$50="",$B131,DATE(YEAR($A131),MONTH($A131),MIN(Settings!$E$50,DAY($B131))))&lt;=MIN($C131,IF(Settings!$G$50="",$C131,Settings!$G$50))),1,0)))</f>
        <v/>
      </c>
      <c r="BK131">
        <f>IF(OR(Settings!$C$51="",Settings!$D$51=""),0,Settings!$C$51*IF(Settings!$D$51="Weekly",IF(IFERROR(MATCH(Settings!$E$51,$EO$4:$EO$10,0),0)=0,0,IF(MIN($C131,IF(Settings!$G$51="",$C131,Settings!$G$51))&lt;MAX($A131,Settings!$F$51),0,INT((MIN($C131,IF(Settings!$G$51="",$C131,Settings!$G$51))-MAX($A131,Settings!$F$51)-MOD(IFERROR(MATCH(Settings!$E$51,$EO$4:$EO$10,0),0)-WEEKDAY(MAX($A131,Settings!$F$51)),7))/7)+1)),IF(AND(IF(Settings!$E$51="",$B131,DATE(YEAR($A131),MONTH($A131),MIN(Settings!$E$51,DAY($B131))))&gt;=MAX($A131,Settings!$F$51),IF(Settings!$E$51="",$B131,DATE(YEAR($A131),MONTH($A131),MIN(Settings!$E$51,DAY($B131))))&lt;=MIN($C131,IF(Settings!$G$51="",$C131,Settings!$G$51))),1,0)))</f>
        <v/>
      </c>
      <c r="BL131">
        <f>IF(OR(Settings!$C$52="",Settings!$D$52=""),0,Settings!$C$52*IF(Settings!$D$52="Weekly",IF(IFERROR(MATCH(Settings!$E$52,$EO$4:$EO$10,0),0)=0,0,IF(MIN($C131,IF(Settings!$G$52="",$C131,Settings!$G$52))&lt;MAX($A131,Settings!$F$52),0,INT((MIN($C131,IF(Settings!$G$52="",$C131,Settings!$G$52))-MAX($A131,Settings!$F$52)-MOD(IFERROR(MATCH(Settings!$E$52,$EO$4:$EO$10,0),0)-WEEKDAY(MAX($A131,Settings!$F$52)),7))/7)+1)),IF(AND(IF(Settings!$E$52="",$B131,DATE(YEAR($A131),MONTH($A131),MIN(Settings!$E$52,DAY($B131))))&gt;=MAX($A131,Settings!$F$52),IF(Settings!$E$52="",$B131,DATE(YEAR($A131),MONTH($A131),MIN(Settings!$E$52,DAY($B131))))&lt;=MIN($C131,IF(Settings!$G$52="",$C131,Settings!$G$52))),1,0)))</f>
        <v/>
      </c>
      <c r="BM131">
        <f>IF(OR(Settings!$C$53="",Settings!$D$53=""),0,Settings!$C$53*IF(Settings!$D$53="Weekly",IF(IFERROR(MATCH(Settings!$E$53,$EO$4:$EO$10,0),0)=0,0,IF(MIN($C131,IF(Settings!$G$53="",$C131,Settings!$G$53))&lt;MAX($A131,Settings!$F$53),0,INT((MIN($C131,IF(Settings!$G$53="",$C131,Settings!$G$53))-MAX($A131,Settings!$F$53)-MOD(IFERROR(MATCH(Settings!$E$53,$EO$4:$EO$10,0),0)-WEEKDAY(MAX($A131,Settings!$F$53)),7))/7)+1)),IF(AND(IF(Settings!$E$53="",$B131,DATE(YEAR($A131),MONTH($A131),MIN(Settings!$E$53,DAY($B131))))&gt;=MAX($A131,Settings!$F$53),IF(Settings!$E$53="",$B131,DATE(YEAR($A131),MONTH($A131),MIN(Settings!$E$53,DAY($B131))))&lt;=MIN($C131,IF(Settings!$G$53="",$C131,Settings!$G$53))),1,0)))</f>
        <v/>
      </c>
      <c r="BN131">
        <f>IF(OR(Settings!$C$54="",Settings!$D$54=""),0,Settings!$C$54*IF(Settings!$D$54="Weekly",IF(IFERROR(MATCH(Settings!$E$54,$EO$4:$EO$10,0),0)=0,0,IF(MIN($C131,IF(Settings!$G$54="",$C131,Settings!$G$54))&lt;MAX($A131,Settings!$F$54),0,INT((MIN($C131,IF(Settings!$G$54="",$C131,Settings!$G$54))-MAX($A131,Settings!$F$54)-MOD(IFERROR(MATCH(Settings!$E$54,$EO$4:$EO$10,0),0)-WEEKDAY(MAX($A131,Settings!$F$54)),7))/7)+1)),IF(AND(IF(Settings!$E$54="",$B131,DATE(YEAR($A131),MONTH($A131),MIN(Settings!$E$54,DAY($B131))))&gt;=MAX($A131,Settings!$F$54),IF(Settings!$E$54="",$B131,DATE(YEAR($A131),MONTH($A131),MIN(Settings!$E$54,DAY($B131))))&lt;=MIN($C131,IF(Settings!$G$54="",$C131,Settings!$G$54))),1,0)))</f>
        <v/>
      </c>
      <c r="BO131">
        <f>IF(OR(Settings!$C$55="",Settings!$D$55=""),0,Settings!$C$55*IF(Settings!$D$55="Weekly",IF(IFERROR(MATCH(Settings!$E$55,$EO$4:$EO$10,0),0)=0,0,IF(MIN($C131,IF(Settings!$G$55="",$C131,Settings!$G$55))&lt;MAX($A131,Settings!$F$55),0,INT((MIN($C131,IF(Settings!$G$55="",$C131,Settings!$G$55))-MAX($A131,Settings!$F$55)-MOD(IFERROR(MATCH(Settings!$E$55,$EO$4:$EO$10,0),0)-WEEKDAY(MAX($A131,Settings!$F$55)),7))/7)+1)),IF(AND(IF(Settings!$E$55="",$B131,DATE(YEAR($A131),MONTH($A131),MIN(Settings!$E$55,DAY($B131))))&gt;=MAX($A131,Settings!$F$55),IF(Settings!$E$55="",$B131,DATE(YEAR($A131),MONTH($A131),MIN(Settings!$E$55,DAY($B131))))&lt;=MIN($C131,IF(Settings!$G$55="",$C131,Settings!$G$55))),1,0)))</f>
        <v/>
      </c>
      <c r="BP131">
        <f>IF(OR(Settings!$C$56="",Settings!$D$56=""),0,Settings!$C$56*IF(Settings!$D$56="Weekly",IF(IFERROR(MATCH(Settings!$E$56,$EO$4:$EO$10,0),0)=0,0,IF(MIN($C131,IF(Settings!$G$56="",$C131,Settings!$G$56))&lt;MAX($A131,Settings!$F$56),0,INT((MIN($C131,IF(Settings!$G$56="",$C131,Settings!$G$56))-MAX($A131,Settings!$F$56)-MOD(IFERROR(MATCH(Settings!$E$56,$EO$4:$EO$10,0),0)-WEEKDAY(MAX($A131,Settings!$F$56)),7))/7)+1)),IF(AND(IF(Settings!$E$56="",$B131,DATE(YEAR($A131),MONTH($A131),MIN(Settings!$E$56,DAY($B131))))&gt;=MAX($A131,Settings!$F$56),IF(Settings!$E$56="",$B131,DATE(YEAR($A131),MONTH($A131),MIN(Settings!$E$56,DAY($B131))))&lt;=MIN($C131,IF(Settings!$G$56="",$C131,Settings!$G$56))),1,0)))</f>
        <v/>
      </c>
      <c r="BQ131">
        <f>IF(OR(Settings!$B$14="",$D131=1,$E131="pre",$A131&lt;IF(Settings!$B$15="",0,Settings!$B$15)),0,Settings!$B$14)</f>
        <v/>
      </c>
      <c r="BR131">
        <f>IF(AND('Month-End'!$DX$7&lt;&gt;"",NOT(_xlfn.ISFORMULA('Month-End'!$DX$7))),1,0)</f>
        <v/>
      </c>
      <c r="BS131">
        <f>IF(AND('Month-End'!$DX$8&lt;&gt;"",NOT(_xlfn.ISFORMULA('Month-End'!$DX$8))),1,0)</f>
        <v/>
      </c>
      <c r="BT131">
        <f>IF(AND('Month-End'!$DX$9&lt;&gt;"",NOT(_xlfn.ISFORMULA('Month-End'!$DX$9))),1,0)</f>
        <v/>
      </c>
      <c r="BU131">
        <f>IF(AND('Month-End'!$DX$10&lt;&gt;"",NOT(_xlfn.ISFORMULA('Month-End'!$DX$10))),1,0)</f>
        <v/>
      </c>
      <c r="BV131">
        <f>IF(AND('Month-End'!$DX$11&lt;&gt;"",NOT(_xlfn.ISFORMULA('Month-End'!$DX$11))),1,0)</f>
        <v/>
      </c>
      <c r="BW131">
        <f>IF(AND('Month-End'!$DX$12&lt;&gt;"",NOT(_xlfn.ISFORMULA('Month-End'!$DX$12))),1,0)</f>
        <v/>
      </c>
      <c r="BX131">
        <f>IF(AND('Month-End'!$DX$13&lt;&gt;"",NOT(_xlfn.ISFORMULA('Month-End'!$DX$13))),1,0)</f>
        <v/>
      </c>
      <c r="BY131">
        <f>IF(AND('Month-End'!$DX$14&lt;&gt;"",NOT(_xlfn.ISFORMULA('Month-End'!$DX$14))),1,0)</f>
        <v/>
      </c>
      <c r="BZ131">
        <f>IF(AND('Month-End'!$DX$15&lt;&gt;"",NOT(_xlfn.ISFORMULA('Month-End'!$DX$15))),1,0)</f>
        <v/>
      </c>
      <c r="CA131">
        <f>IF(AND('Month-End'!$DX$16&lt;&gt;"",NOT(_xlfn.ISFORMULA('Month-End'!$DX$16))),1,0)</f>
        <v/>
      </c>
      <c r="CB131">
        <f>IF(AND('Month-End'!$DX$17&lt;&gt;"",NOT(_xlfn.ISFORMULA('Month-End'!$DX$17))),1,0)</f>
        <v/>
      </c>
      <c r="CC131">
        <f>IF(AND('Month-End'!$DX$18&lt;&gt;"",NOT(_xlfn.ISFORMULA('Month-End'!$DX$18))),1,0)</f>
        <v/>
      </c>
      <c r="CD131">
        <f>IF(AND('Month-End'!$DX$19&lt;&gt;"",NOT(_xlfn.ISFORMULA('Month-End'!$DX$19))),1,0)</f>
        <v/>
      </c>
      <c r="CE131">
        <f>IF(AND('Month-End'!$DX$20&lt;&gt;"",NOT(_xlfn.ISFORMULA('Month-End'!$DX$20))),1,0)</f>
        <v/>
      </c>
      <c r="CF131">
        <f>IF(AND('Month-End'!$DX$38&lt;&gt;"",NOT(_xlfn.ISFORMULA('Month-End'!$DX$38))),1,0)</f>
        <v/>
      </c>
      <c r="CG131">
        <f>IF(AND('Month-End'!$DX$39&lt;&gt;"",NOT(_xlfn.ISFORMULA('Month-End'!$DX$39))),1,0)</f>
        <v/>
      </c>
      <c r="CH131">
        <f>IF(AND('Month-End'!$DX$40&lt;&gt;"",NOT(_xlfn.ISFORMULA('Month-End'!$DX$40))),1,0)</f>
        <v/>
      </c>
      <c r="CI131">
        <f>IF(AND('Month-End'!$DX$41&lt;&gt;"",NOT(_xlfn.ISFORMULA('Month-End'!$DX$41))),1,0)</f>
        <v/>
      </c>
      <c r="CJ131">
        <f>IF(AND('Month-End'!$DX$42&lt;&gt;"",NOT(_xlfn.ISFORMULA('Month-End'!$DX$42))),1,0)</f>
        <v/>
      </c>
      <c r="CK131">
        <f>IF(AND('Month-End'!$DX$43&lt;&gt;"",NOT(_xlfn.ISFORMULA('Month-End'!$DX$43))),1,0)</f>
        <v/>
      </c>
      <c r="CL131">
        <f>SUM($CM131:$CZ131)</f>
        <v/>
      </c>
      <c r="CM131">
        <f>IF(AND($E131&lt;&gt;"pre",AND(Settings!$A$19&lt;&gt;"",Settings!$E$19&lt;&gt;"No"),Settings!$F$19="Yes",NOT(AND('Month-End'!$DX$7&lt;&gt;"",NOT(_xlfn.ISFORMULA('Month-End'!$DX$7))))),1,0)</f>
        <v/>
      </c>
      <c r="CN131">
        <f>IF(AND($E131&lt;&gt;"pre",AND(Settings!$A$20&lt;&gt;"",Settings!$E$20&lt;&gt;"No"),Settings!$F$20="Yes",NOT(AND('Month-End'!$DX$8&lt;&gt;"",NOT(_xlfn.ISFORMULA('Month-End'!$DX$8))))),1,0)</f>
        <v/>
      </c>
      <c r="CO131">
        <f>IF(AND($E131&lt;&gt;"pre",AND(Settings!$A$21&lt;&gt;"",Settings!$E$21&lt;&gt;"No"),Settings!$F$21="Yes",NOT(AND('Month-End'!$DX$9&lt;&gt;"",NOT(_xlfn.ISFORMULA('Month-End'!$DX$9))))),1,0)</f>
        <v/>
      </c>
      <c r="CP131">
        <f>IF(AND($E131&lt;&gt;"pre",AND(Settings!$A$22&lt;&gt;"",Settings!$E$22&lt;&gt;"No"),Settings!$F$22="Yes",NOT(AND('Month-End'!$DX$10&lt;&gt;"",NOT(_xlfn.ISFORMULA('Month-End'!$DX$10))))),1,0)</f>
        <v/>
      </c>
      <c r="CQ131">
        <f>IF(AND($E131&lt;&gt;"pre",AND(Settings!$A$23&lt;&gt;"",Settings!$E$23&lt;&gt;"No"),Settings!$F$23="Yes",NOT(AND('Month-End'!$DX$11&lt;&gt;"",NOT(_xlfn.ISFORMULA('Month-End'!$DX$11))))),1,0)</f>
        <v/>
      </c>
      <c r="CR131">
        <f>IF(AND($E131&lt;&gt;"pre",AND(Settings!$A$24&lt;&gt;"",Settings!$E$24&lt;&gt;"No"),Settings!$F$24="Yes",NOT(AND('Month-End'!$DX$12&lt;&gt;"",NOT(_xlfn.ISFORMULA('Month-End'!$DX$12))))),1,0)</f>
        <v/>
      </c>
      <c r="CS131">
        <f>IF(AND($E131&lt;&gt;"pre",AND(Settings!$A$25&lt;&gt;"",Settings!$E$25&lt;&gt;"No"),Settings!$F$25="Yes",NOT(AND('Month-End'!$DX$13&lt;&gt;"",NOT(_xlfn.ISFORMULA('Month-End'!$DX$13))))),1,0)</f>
        <v/>
      </c>
      <c r="CT131">
        <f>IF(AND($E131&lt;&gt;"pre",AND(Settings!$A$26&lt;&gt;"",Settings!$E$26&lt;&gt;"No"),Settings!$F$26="Yes",NOT(AND('Month-End'!$DX$14&lt;&gt;"",NOT(_xlfn.ISFORMULA('Month-End'!$DX$14))))),1,0)</f>
        <v/>
      </c>
      <c r="CU131">
        <f>IF(AND($E131&lt;&gt;"pre",AND(Settings!$A$27&lt;&gt;"",Settings!$E$27&lt;&gt;"No"),Settings!$F$27="Yes",NOT(AND('Month-End'!$DX$15&lt;&gt;"",NOT(_xlfn.ISFORMULA('Month-End'!$DX$15))))),1,0)</f>
        <v/>
      </c>
      <c r="CV131">
        <f>IF(AND($E131&lt;&gt;"pre",AND(Settings!$A$28&lt;&gt;"",Settings!$E$28&lt;&gt;"No"),Settings!$F$28="Yes",NOT(AND('Month-End'!$DX$16&lt;&gt;"",NOT(_xlfn.ISFORMULA('Month-End'!$DX$16))))),1,0)</f>
        <v/>
      </c>
      <c r="CW131">
        <f>IF(AND($E131&lt;&gt;"pre",AND(Settings!$A$29&lt;&gt;"",Settings!$E$29&lt;&gt;"No"),Settings!$F$29="Yes",NOT(AND('Month-End'!$DX$17&lt;&gt;"",NOT(_xlfn.ISFORMULA('Month-End'!$DX$17))))),1,0)</f>
        <v/>
      </c>
      <c r="CX131">
        <f>IF(AND($E131&lt;&gt;"pre",AND(Settings!$A$30&lt;&gt;"",Settings!$E$30&lt;&gt;"No"),Settings!$F$30="Yes",NOT(AND('Month-End'!$DX$18&lt;&gt;"",NOT(_xlfn.ISFORMULA('Month-End'!$DX$18))))),1,0)</f>
        <v/>
      </c>
      <c r="CY131">
        <f>IF(AND($E131&lt;&gt;"pre",AND(Settings!$A$31&lt;&gt;"",Settings!$E$31&lt;&gt;"No"),Settings!$F$31="Yes",NOT(AND('Month-End'!$DX$19&lt;&gt;"",NOT(_xlfn.ISFORMULA('Month-End'!$DX$19))))),1,0)</f>
        <v/>
      </c>
      <c r="CZ131">
        <f>IF(AND($E131&lt;&gt;"pre",AND(Settings!$A$32&lt;&gt;"",Settings!$E$32&lt;&gt;"No"),Settings!$F$32="Yes",NOT(AND('Month-End'!$DX$20&lt;&gt;"",NOT(_xlfn.ISFORMULA('Month-End'!$DX$20))))),1,0)</f>
        <v/>
      </c>
      <c r="DA131">
        <f>IF($DT131=1,IF(OR(Settings!$B$19="Checking",Settings!$B$19="Savings",Settings!$B$19="Cash"),N($AE131),IF(OR(Settings!$B$19="Card",Settings!$B$19="Loan"),-N($AE131),0))+IF(OR(Settings!$B$20="Checking",Settings!$B$20="Savings",Settings!$B$20="Cash"),N($AF131),IF(OR(Settings!$B$20="Card",Settings!$B$20="Loan"),-N($AF131),0))+IF(OR(Settings!$B$21="Checking",Settings!$B$21="Savings",Settings!$B$21="Cash"),N($AG131),IF(OR(Settings!$B$21="Card",Settings!$B$21="Loan"),-N($AG131),0))+IF(OR(Settings!$B$22="Checking",Settings!$B$22="Savings",Settings!$B$22="Cash"),N($AH131),IF(OR(Settings!$B$22="Card",Settings!$B$22="Loan"),-N($AH131),0))+IF(OR(Settings!$B$23="Checking",Settings!$B$23="Savings",Settings!$B$23="Cash"),N($AI131),IF(OR(Settings!$B$23="Card",Settings!$B$23="Loan"),-N($AI131),0))+IF(OR(Settings!$B$24="Checking",Settings!$B$24="Savings",Settings!$B$24="Cash"),N($AJ131),IF(OR(Settings!$B$24="Card",Settings!$B$24="Loan"),-N($AJ131),0))+IF(OR(Settings!$B$25="Checking",Settings!$B$25="Savings",Settings!$B$25="Cash"),N($AK131),IF(OR(Settings!$B$25="Card",Settings!$B$25="Loan"),-N($AK131),0))+IF(OR(Settings!$B$26="Checking",Settings!$B$26="Savings",Settings!$B$26="Cash"),N($AL131),IF(OR(Settings!$B$26="Card",Settings!$B$26="Loan"),-N($AL131),0))+IF(OR(Settings!$B$27="Checking",Settings!$B$27="Savings",Settings!$B$27="Cash"),N($AM131),IF(OR(Settings!$B$27="Card",Settings!$B$27="Loan"),-N($AM131),0))+IF(OR(Settings!$B$28="Checking",Settings!$B$28="Savings",Settings!$B$28="Cash"),N($AN131),IF(OR(Settings!$B$28="Card",Settings!$B$28="Loan"),-N($AN131),0))+IF(OR(Settings!$B$29="Checking",Settings!$B$29="Savings",Settings!$B$29="Cash"),N($AO131),IF(OR(Settings!$B$29="Card",Settings!$B$29="Loan"),-N($AO131),0))+IF(OR(Settings!$B$30="Checking",Settings!$B$30="Savings",Settings!$B$30="Cash"),N($AP131),IF(OR(Settings!$B$30="Card",Settings!$B$30="Loan"),-N($AP131),0))+IF(OR(Settings!$B$31="Checking",Settings!$B$31="Savings",Settings!$B$31="Cash"),N($AQ131),IF(OR(Settings!$B$31="Card",Settings!$B$31="Loan"),-N($AQ131),0))+IF(OR(Settings!$B$32="Checking",Settings!$B$32="Savings",Settings!$B$32="Cash"),N($AR131),IF(OR(Settings!$B$32="Card",Settings!$B$32="Loan"),-N($AR131),0)),"")</f>
        <v/>
      </c>
      <c r="DB131">
        <f>IF($E131="open",$EB$27,IF($E131="post",IF($E130="pre",$EB$27,$DA130),""))</f>
        <v/>
      </c>
      <c r="DC131">
        <f>IF($E131="open",1,IF($E131="post",IF($E130="pre",1,$DT130),0))</f>
        <v/>
      </c>
      <c r="DD131">
        <f>IF(AND($DT131=1,$DC131=1),ROUND($W131-($DA131-$DB131)-$AD131-$AB131,2),"")</f>
        <v/>
      </c>
      <c r="DE131">
        <f>IF('Month-End'!$DX$35="",$BQ131,N('Month-End'!$DX$35))</f>
        <v/>
      </c>
      <c r="DF131">
        <f>N('Month-End'!$DX$36)</f>
        <v/>
      </c>
      <c r="DG131">
        <f>IF($DD131="","",$DD131+$DE131)</f>
        <v/>
      </c>
      <c r="DH131">
        <f>IF($DG131="","",$DG131-$DF131)</f>
        <v/>
      </c>
      <c r="DI131">
        <f>IF(OR($E131="pre",$D131=1),"",N($AS131)+N($AT131)+N($AU131)+N($AV131)+N($AW131)+N($AX131))</f>
        <v/>
      </c>
      <c r="DJ131">
        <f>IF($DT131=1,$DA131+N($DI131),"")</f>
        <v/>
      </c>
      <c r="DK131">
        <f>IF($DD131="","",$W131-$DD131-$AB131)</f>
        <v/>
      </c>
      <c r="DL131">
        <f>IF(AND($E131="post",$DD131&lt;&gt;"",$B131&lt;TODAY()),1,0)</f>
        <v/>
      </c>
      <c r="DM131">
        <f>IF($DL131=1,COUNTIF($DL131:$DL$183,1),0)</f>
        <v/>
      </c>
      <c r="DN131">
        <f>IF($D131=1,"",IF($E131="pre","History only",IF($DT131=1,IF($DD131="","⚠ Previous month missing",IF($DD131&lt;0,"⚠ Check: spending &lt; 0",IF($E131="open","✓ Done (partial)","✓ Done"))),IF($B131&gt;=TODAY(),"In progress","⚠ Needs balances"))))</f>
        <v/>
      </c>
      <c r="DO131">
        <f>YEAR($A131)</f>
        <v/>
      </c>
      <c r="DP131">
        <f>DATE(YEAR($A131),INT((MONTH($A131)-1)/3)*3+1,1)</f>
        <v/>
      </c>
      <c r="DQ131">
        <f>IF(AND($DT131=1,$DD131&lt;&gt;"",$D131=0),ROW(),0)</f>
        <v/>
      </c>
      <c r="DR131">
        <f>IF(AND($E131&lt;&gt;"pre",$B131&lt;TODAY(),$DT131=0),1,0)</f>
        <v/>
      </c>
      <c r="DS131">
        <f>IF($DJ131="",NA(),$DJ131)</f>
        <v/>
      </c>
      <c r="DT131">
        <f>IF(AND($E131&lt;&gt;"pre",$CL131=0,COUNTIFS(Settings!$F$19:$F$32,"Yes",Settings!$A$19:$A$32,"&lt;&gt;",Settings!$E$19:$E$32,"&lt;&gt;No")&gt;0),1,0)</f>
        <v/>
      </c>
      <c r="DU131">
        <f>IF(AND($B131&lt;TODAY(),$S131&gt;0),1,0)</f>
        <v/>
      </c>
      <c r="DV131">
        <f>IF($DU131=1,COUNTIF($DU131:$DU$183,1),0)</f>
        <v/>
      </c>
      <c r="DW131">
        <f>IF(AND(OR(Settings!$B$19="Card",Settings!$B$19="Loan"),AND('Month-End'!$DX$7&lt;&gt;"",NOT(_xlfn.ISFORMULA('Month-End'!$DX$7)))),IF(N('Month-End'!$DX$7)&lt;0,1,0),0)+IF(AND(OR(Settings!$B$20="Card",Settings!$B$20="Loan"),AND('Month-End'!$DX$8&lt;&gt;"",NOT(_xlfn.ISFORMULA('Month-End'!$DX$8)))),IF(N('Month-End'!$DX$8)&lt;0,1,0),0)+IF(AND(OR(Settings!$B$21="Card",Settings!$B$21="Loan"),AND('Month-End'!$DX$9&lt;&gt;"",NOT(_xlfn.ISFORMULA('Month-End'!$DX$9)))),IF(N('Month-End'!$DX$9)&lt;0,1,0),0)+IF(AND(OR(Settings!$B$22="Card",Settings!$B$22="Loan"),AND('Month-End'!$DX$10&lt;&gt;"",NOT(_xlfn.ISFORMULA('Month-End'!$DX$10)))),IF(N('Month-End'!$DX$10)&lt;0,1,0),0)+IF(AND(OR(Settings!$B$23="Card",Settings!$B$23="Loan"),AND('Month-End'!$DX$11&lt;&gt;"",NOT(_xlfn.ISFORMULA('Month-End'!$DX$11)))),IF(N('Month-End'!$DX$11)&lt;0,1,0),0)+IF(AND(OR(Settings!$B$24="Card",Settings!$B$24="Loan"),AND('Month-End'!$DX$12&lt;&gt;"",NOT(_xlfn.ISFORMULA('Month-End'!$DX$12)))),IF(N('Month-End'!$DX$12)&lt;0,1,0),0)+IF(AND(OR(Settings!$B$25="Card",Settings!$B$25="Loan"),AND('Month-End'!$DX$13&lt;&gt;"",NOT(_xlfn.ISFORMULA('Month-End'!$DX$13)))),IF(N('Month-End'!$DX$13)&lt;0,1,0),0)+IF(AND(OR(Settings!$B$26="Card",Settings!$B$26="Loan"),AND('Month-End'!$DX$14&lt;&gt;"",NOT(_xlfn.ISFORMULA('Month-End'!$DX$14)))),IF(N('Month-End'!$DX$14)&lt;0,1,0),0)+IF(AND(OR(Settings!$B$27="Card",Settings!$B$27="Loan"),AND('Month-End'!$DX$15&lt;&gt;"",NOT(_xlfn.ISFORMULA('Month-End'!$DX$15)))),IF(N('Month-End'!$DX$15)&lt;0,1,0),0)+IF(AND(OR(Settings!$B$28="Card",Settings!$B$28="Loan"),AND('Month-End'!$DX$16&lt;&gt;"",NOT(_xlfn.ISFORMULA('Month-End'!$DX$16)))),IF(N('Month-End'!$DX$16)&lt;0,1,0),0)+IF(AND(OR(Settings!$B$29="Card",Settings!$B$29="Loan"),AND('Month-End'!$DX$17&lt;&gt;"",NOT(_xlfn.ISFORMULA('Month-End'!$DX$17)))),IF(N('Month-End'!$DX$17)&lt;0,1,0),0)+IF(AND(OR(Settings!$B$30="Card",Settings!$B$30="Loan"),AND('Month-End'!$DX$18&lt;&gt;"",NOT(_xlfn.ISFORMULA('Month-End'!$DX$18)))),IF(N('Month-End'!$DX$18)&lt;0,1,0),0)+IF(AND(OR(Settings!$B$31="Card",Settings!$B$31="Loan"),AND('Month-End'!$DX$19&lt;&gt;"",NOT(_xlfn.ISFORMULA('Month-End'!$DX$19)))),IF(N('Month-End'!$DX$19)&lt;0,1,0),0)+IF(AND(OR(Settings!$B$32="Card",Settings!$B$32="Loan"),AND('Month-End'!$DX$20&lt;&gt;"",NOT(_xlfn.ISFORMULA('Month-End'!$DX$20)))),IF(N('Month-End'!$DX$20)&lt;0,1,0),0)</f>
        <v/>
      </c>
      <c r="DX131">
        <f>IF(Settings!$B$36="Retirement",$AY131,0)+IF(Settings!$B$37="Retirement",$AZ131,0)+IF(Settings!$B$38="Retirement",$BA131,0)+IF(Settings!$B$39="Retirement",$BB131,0)+IF(Settings!$B$40="Retirement",$BC131,0)+IF(Settings!$B$41="Retirement",$BD131,0)</f>
        <v/>
      </c>
      <c r="ET131">
        <f>IF($E131&lt;&gt;"open",0,IF(AND('Month-End'!$DX$22&lt;&gt;"",NOT(_xlfn.ISFORMULA('Month-End'!$DX$22))),0,IF(OR(Settings!$C$45="",Settings!$D$45=""),0,Settings!$C$45*IF(Settings!$D$45="Weekly",IF(IFERROR(MATCH(Settings!$E$45,$EO$4:$EO$10,0),0)=0,0,IF(MIN(Settings!$B$5,IF(Settings!$G$45="",Settings!$B$5,Settings!$G$45))&lt;MAX($A131,Settings!$F$45),0,INT((MIN(Settings!$B$5,IF(Settings!$G$45="",Settings!$B$5,Settings!$G$45))-MAX($A131,Settings!$F$45)-MOD(IFERROR(MATCH(Settings!$E$45,$EO$4:$EO$10,0),0)-WEEKDAY(MAX($A131,Settings!$F$45)),7))/7)+1)),IF(AND(IF(Settings!$E$45="",$B131,DATE(YEAR($A131),MONTH($A131),MIN(Settings!$E$45,DAY($B131))))&gt;=MAX($A131,Settings!$F$45),IF(Settings!$E$45="",$B131,DATE(YEAR($A131),MONTH($A131),MIN(Settings!$E$45,DAY($B131))))&lt;=MIN(Settings!$B$5,IF(Settings!$G$45="",Settings!$B$5,Settings!$G$45))),1,0)))))</f>
        <v/>
      </c>
      <c r="EU131">
        <f>IF($E131&lt;&gt;"open",0,IF(AND('Month-End'!$DX$23&lt;&gt;"",NOT(_xlfn.ISFORMULA('Month-End'!$DX$23))),0,IF(OR(Settings!$C$46="",Settings!$D$46=""),0,Settings!$C$46*IF(Settings!$D$46="Weekly",IF(IFERROR(MATCH(Settings!$E$46,$EO$4:$EO$10,0),0)=0,0,IF(MIN(Settings!$B$5,IF(Settings!$G$46="",Settings!$B$5,Settings!$G$46))&lt;MAX($A131,Settings!$F$46),0,INT((MIN(Settings!$B$5,IF(Settings!$G$46="",Settings!$B$5,Settings!$G$46))-MAX($A131,Settings!$F$46)-MOD(IFERROR(MATCH(Settings!$E$46,$EO$4:$EO$10,0),0)-WEEKDAY(MAX($A131,Settings!$F$46)),7))/7)+1)),IF(AND(IF(Settings!$E$46="",$B131,DATE(YEAR($A131),MONTH($A131),MIN(Settings!$E$46,DAY($B131))))&gt;=MAX($A131,Settings!$F$46),IF(Settings!$E$46="",$B131,DATE(YEAR($A131),MONTH($A131),MIN(Settings!$E$46,DAY($B131))))&lt;=MIN(Settings!$B$5,IF(Settings!$G$46="",Settings!$B$5,Settings!$G$46))),1,0)))))</f>
        <v/>
      </c>
      <c r="EV131">
        <f>IF($E131&lt;&gt;"open",0,IF(AND('Month-End'!$DX$24&lt;&gt;"",NOT(_xlfn.ISFORMULA('Month-End'!$DX$24))),0,IF(OR(Settings!$C$47="",Settings!$D$47=""),0,Settings!$C$47*IF(Settings!$D$47="Weekly",IF(IFERROR(MATCH(Settings!$E$47,$EO$4:$EO$10,0),0)=0,0,IF(MIN(Settings!$B$5,IF(Settings!$G$47="",Settings!$B$5,Settings!$G$47))&lt;MAX($A131,Settings!$F$47),0,INT((MIN(Settings!$B$5,IF(Settings!$G$47="",Settings!$B$5,Settings!$G$47))-MAX($A131,Settings!$F$47)-MOD(IFERROR(MATCH(Settings!$E$47,$EO$4:$EO$10,0),0)-WEEKDAY(MAX($A131,Settings!$F$47)),7))/7)+1)),IF(AND(IF(Settings!$E$47="",$B131,DATE(YEAR($A131),MONTH($A131),MIN(Settings!$E$47,DAY($B131))))&gt;=MAX($A131,Settings!$F$47),IF(Settings!$E$47="",$B131,DATE(YEAR($A131),MONTH($A131),MIN(Settings!$E$47,DAY($B131))))&lt;=MIN(Settings!$B$5,IF(Settings!$G$47="",Settings!$B$5,Settings!$G$47))),1,0)))))</f>
        <v/>
      </c>
      <c r="EW131">
        <f>IF($E131&lt;&gt;"open",0,IF(AND('Month-End'!$DX$25&lt;&gt;"",NOT(_xlfn.ISFORMULA('Month-End'!$DX$25))),0,IF(OR(Settings!$C$48="",Settings!$D$48=""),0,Settings!$C$48*IF(Settings!$D$48="Weekly",IF(IFERROR(MATCH(Settings!$E$48,$EO$4:$EO$10,0),0)=0,0,IF(MIN(Settings!$B$5,IF(Settings!$G$48="",Settings!$B$5,Settings!$G$48))&lt;MAX($A131,Settings!$F$48),0,INT((MIN(Settings!$B$5,IF(Settings!$G$48="",Settings!$B$5,Settings!$G$48))-MAX($A131,Settings!$F$48)-MOD(IFERROR(MATCH(Settings!$E$48,$EO$4:$EO$10,0),0)-WEEKDAY(MAX($A131,Settings!$F$48)),7))/7)+1)),IF(AND(IF(Settings!$E$48="",$B131,DATE(YEAR($A131),MONTH($A131),MIN(Settings!$E$48,DAY($B131))))&gt;=MAX($A131,Settings!$F$48),IF(Settings!$E$48="",$B131,DATE(YEAR($A131),MONTH($A131),MIN(Settings!$E$48,DAY($B131))))&lt;=MIN(Settings!$B$5,IF(Settings!$G$48="",Settings!$B$5,Settings!$G$48))),1,0)))))</f>
        <v/>
      </c>
      <c r="EX131">
        <f>IF($E131&lt;&gt;"open",0,IF(AND('Month-End'!$DX$26&lt;&gt;"",NOT(_xlfn.ISFORMULA('Month-End'!$DX$26))),0,IF(OR(Settings!$C$49="",Settings!$D$49=""),0,Settings!$C$49*IF(Settings!$D$49="Weekly",IF(IFERROR(MATCH(Settings!$E$49,$EO$4:$EO$10,0),0)=0,0,IF(MIN(Settings!$B$5,IF(Settings!$G$49="",Settings!$B$5,Settings!$G$49))&lt;MAX($A131,Settings!$F$49),0,INT((MIN(Settings!$B$5,IF(Settings!$G$49="",Settings!$B$5,Settings!$G$49))-MAX($A131,Settings!$F$49)-MOD(IFERROR(MATCH(Settings!$E$49,$EO$4:$EO$10,0),0)-WEEKDAY(MAX($A131,Settings!$F$49)),7))/7)+1)),IF(AND(IF(Settings!$E$49="",$B131,DATE(YEAR($A131),MONTH($A131),MIN(Settings!$E$49,DAY($B131))))&gt;=MAX($A131,Settings!$F$49),IF(Settings!$E$49="",$B131,DATE(YEAR($A131),MONTH($A131),MIN(Settings!$E$49,DAY($B131))))&lt;=MIN(Settings!$B$5,IF(Settings!$G$49="",Settings!$B$5,Settings!$G$49))),1,0)))))</f>
        <v/>
      </c>
      <c r="EY131">
        <f>IF($E131&lt;&gt;"open",0,IF(AND('Month-End'!$DX$27&lt;&gt;"",NOT(_xlfn.ISFORMULA('Month-End'!$DX$27))),0,IF(OR(Settings!$C$50="",Settings!$D$50=""),0,Settings!$C$50*IF(Settings!$D$50="Weekly",IF(IFERROR(MATCH(Settings!$E$50,$EO$4:$EO$10,0),0)=0,0,IF(MIN(Settings!$B$5,IF(Settings!$G$50="",Settings!$B$5,Settings!$G$50))&lt;MAX($A131,Settings!$F$50),0,INT((MIN(Settings!$B$5,IF(Settings!$G$50="",Settings!$B$5,Settings!$G$50))-MAX($A131,Settings!$F$50)-MOD(IFERROR(MATCH(Settings!$E$50,$EO$4:$EO$10,0),0)-WEEKDAY(MAX($A131,Settings!$F$50)),7))/7)+1)),IF(AND(IF(Settings!$E$50="",$B131,DATE(YEAR($A131),MONTH($A131),MIN(Settings!$E$50,DAY($B131))))&gt;=MAX($A131,Settings!$F$50),IF(Settings!$E$50="",$B131,DATE(YEAR($A131),MONTH($A131),MIN(Settings!$E$50,DAY($B131))))&lt;=MIN(Settings!$B$5,IF(Settings!$G$50="",Settings!$B$5,Settings!$G$50))),1,0)))))</f>
        <v/>
      </c>
      <c r="EZ131">
        <f>IF($E131&lt;&gt;"open",0,IF(AND('Month-End'!$DX$28&lt;&gt;"",NOT(_xlfn.ISFORMULA('Month-End'!$DX$28))),0,IF(OR(Settings!$C$51="",Settings!$D$51=""),0,Settings!$C$51*IF(Settings!$D$51="Weekly",IF(IFERROR(MATCH(Settings!$E$51,$EO$4:$EO$10,0),0)=0,0,IF(MIN(Settings!$B$5,IF(Settings!$G$51="",Settings!$B$5,Settings!$G$51))&lt;MAX($A131,Settings!$F$51),0,INT((MIN(Settings!$B$5,IF(Settings!$G$51="",Settings!$B$5,Settings!$G$51))-MAX($A131,Settings!$F$51)-MOD(IFERROR(MATCH(Settings!$E$51,$EO$4:$EO$10,0),0)-WEEKDAY(MAX($A131,Settings!$F$51)),7))/7)+1)),IF(AND(IF(Settings!$E$51="",$B131,DATE(YEAR($A131),MONTH($A131),MIN(Settings!$E$51,DAY($B131))))&gt;=MAX($A131,Settings!$F$51),IF(Settings!$E$51="",$B131,DATE(YEAR($A131),MONTH($A131),MIN(Settings!$E$51,DAY($B131))))&lt;=MIN(Settings!$B$5,IF(Settings!$G$51="",Settings!$B$5,Settings!$G$51))),1,0)))))</f>
        <v/>
      </c>
      <c r="FA131">
        <f>IF($E131&lt;&gt;"open",0,IF(AND('Month-End'!$DX$29&lt;&gt;"",NOT(_xlfn.ISFORMULA('Month-End'!$DX$29))),0,IF(OR(Settings!$C$52="",Settings!$D$52=""),0,Settings!$C$52*IF(Settings!$D$52="Weekly",IF(IFERROR(MATCH(Settings!$E$52,$EO$4:$EO$10,0),0)=0,0,IF(MIN(Settings!$B$5,IF(Settings!$G$52="",Settings!$B$5,Settings!$G$52))&lt;MAX($A131,Settings!$F$52),0,INT((MIN(Settings!$B$5,IF(Settings!$G$52="",Settings!$B$5,Settings!$G$52))-MAX($A131,Settings!$F$52)-MOD(IFERROR(MATCH(Settings!$E$52,$EO$4:$EO$10,0),0)-WEEKDAY(MAX($A131,Settings!$F$52)),7))/7)+1)),IF(AND(IF(Settings!$E$52="",$B131,DATE(YEAR($A131),MONTH($A131),MIN(Settings!$E$52,DAY($B131))))&gt;=MAX($A131,Settings!$F$52),IF(Settings!$E$52="",$B131,DATE(YEAR($A131),MONTH($A131),MIN(Settings!$E$52,DAY($B131))))&lt;=MIN(Settings!$B$5,IF(Settings!$G$52="",Settings!$B$5,Settings!$G$52))),1,0)))))</f>
        <v/>
      </c>
      <c r="FB131">
        <f>IF($E131&lt;&gt;"open",0,IF(AND('Month-End'!$DX$30&lt;&gt;"",NOT(_xlfn.ISFORMULA('Month-End'!$DX$30))),0,IF(OR(Settings!$C$53="",Settings!$D$53=""),0,Settings!$C$53*IF(Settings!$D$53="Weekly",IF(IFERROR(MATCH(Settings!$E$53,$EO$4:$EO$10,0),0)=0,0,IF(MIN(Settings!$B$5,IF(Settings!$G$53="",Settings!$B$5,Settings!$G$53))&lt;MAX($A131,Settings!$F$53),0,INT((MIN(Settings!$B$5,IF(Settings!$G$53="",Settings!$B$5,Settings!$G$53))-MAX($A131,Settings!$F$53)-MOD(IFERROR(MATCH(Settings!$E$53,$EO$4:$EO$10,0),0)-WEEKDAY(MAX($A131,Settings!$F$53)),7))/7)+1)),IF(AND(IF(Settings!$E$53="",$B131,DATE(YEAR($A131),MONTH($A131),MIN(Settings!$E$53,DAY($B131))))&gt;=MAX($A131,Settings!$F$53),IF(Settings!$E$53="",$B131,DATE(YEAR($A131),MONTH($A131),MIN(Settings!$E$53,DAY($B131))))&lt;=MIN(Settings!$B$5,IF(Settings!$G$53="",Settings!$B$5,Settings!$G$53))),1,0)))))</f>
        <v/>
      </c>
      <c r="FC131">
        <f>IF($E131&lt;&gt;"open",0,IF(AND('Month-End'!$DX$31&lt;&gt;"",NOT(_xlfn.ISFORMULA('Month-End'!$DX$31))),0,IF(OR(Settings!$C$54="",Settings!$D$54=""),0,Settings!$C$54*IF(Settings!$D$54="Weekly",IF(IFERROR(MATCH(Settings!$E$54,$EO$4:$EO$10,0),0)=0,0,IF(MIN(Settings!$B$5,IF(Settings!$G$54="",Settings!$B$5,Settings!$G$54))&lt;MAX($A131,Settings!$F$54),0,INT((MIN(Settings!$B$5,IF(Settings!$G$54="",Settings!$B$5,Settings!$G$54))-MAX($A131,Settings!$F$54)-MOD(IFERROR(MATCH(Settings!$E$54,$EO$4:$EO$10,0),0)-WEEKDAY(MAX($A131,Settings!$F$54)),7))/7)+1)),IF(AND(IF(Settings!$E$54="",$B131,DATE(YEAR($A131),MONTH($A131),MIN(Settings!$E$54,DAY($B131))))&gt;=MAX($A131,Settings!$F$54),IF(Settings!$E$54="",$B131,DATE(YEAR($A131),MONTH($A131),MIN(Settings!$E$54,DAY($B131))))&lt;=MIN(Settings!$B$5,IF(Settings!$G$54="",Settings!$B$5,Settings!$G$54))),1,0)))))</f>
        <v/>
      </c>
      <c r="FD131">
        <f>IF($E131&lt;&gt;"open",0,IF(AND('Month-End'!$DX$32&lt;&gt;"",NOT(_xlfn.ISFORMULA('Month-End'!$DX$32))),0,IF(OR(Settings!$C$55="",Settings!$D$55=""),0,Settings!$C$55*IF(Settings!$D$55="Weekly",IF(IFERROR(MATCH(Settings!$E$55,$EO$4:$EO$10,0),0)=0,0,IF(MIN(Settings!$B$5,IF(Settings!$G$55="",Settings!$B$5,Settings!$G$55))&lt;MAX($A131,Settings!$F$55),0,INT((MIN(Settings!$B$5,IF(Settings!$G$55="",Settings!$B$5,Settings!$G$55))-MAX($A131,Settings!$F$55)-MOD(IFERROR(MATCH(Settings!$E$55,$EO$4:$EO$10,0),0)-WEEKDAY(MAX($A131,Settings!$F$55)),7))/7)+1)),IF(AND(IF(Settings!$E$55="",$B131,DATE(YEAR($A131),MONTH($A131),MIN(Settings!$E$55,DAY($B131))))&gt;=MAX($A131,Settings!$F$55),IF(Settings!$E$55="",$B131,DATE(YEAR($A131),MONTH($A131),MIN(Settings!$E$55,DAY($B131))))&lt;=MIN(Settings!$B$5,IF(Settings!$G$55="",Settings!$B$5,Settings!$G$55))),1,0)))))</f>
        <v/>
      </c>
      <c r="FE131">
        <f>IF($E131&lt;&gt;"open",0,IF(AND('Month-End'!$DX$33&lt;&gt;"",NOT(_xlfn.ISFORMULA('Month-End'!$DX$33))),0,IF(OR(Settings!$C$56="",Settings!$D$56=""),0,Settings!$C$56*IF(Settings!$D$56="Weekly",IF(IFERROR(MATCH(Settings!$E$56,$EO$4:$EO$10,0),0)=0,0,IF(MIN(Settings!$B$5,IF(Settings!$G$56="",Settings!$B$5,Settings!$G$56))&lt;MAX($A131,Settings!$F$56),0,INT((MIN(Settings!$B$5,IF(Settings!$G$56="",Settings!$B$5,Settings!$G$56))-MAX($A131,Settings!$F$56)-MOD(IFERROR(MATCH(Settings!$E$56,$EO$4:$EO$10,0),0)-WEEKDAY(MAX($A131,Settings!$F$56)),7))/7)+1)),IF(AND(IF(Settings!$E$56="",$B131,DATE(YEAR($A131),MONTH($A131),MIN(Settings!$E$56,DAY($B131))))&gt;=MAX($A131,Settings!$F$56),IF(Settings!$E$56="",$B131,DATE(YEAR($A131),MONTH($A131),MIN(Settings!$E$56,DAY($B131))))&lt;=MIN(Settings!$B$5,IF(Settings!$G$56="",Settings!$B$5,Settings!$G$56))),1,0)))))</f>
        <v/>
      </c>
      <c r="FF131">
        <f>IF(Settings!$I$45="Yes",$G131,0)+IF(Settings!$I$46="Yes",$H131,0)+IF(Settings!$I$47="Yes",$I131,0)+IF(Settings!$I$48="Yes",$J131,0)+IF(Settings!$I$49="Yes",$K131,0)+IF(Settings!$I$50="Yes",$L131,0)+IF(Settings!$I$51="Yes",$M131,0)+IF(Settings!$I$52="Yes",$N131,0)+IF(Settings!$I$53="Yes",$O131,0)+IF(Settings!$I$54="Yes",$P131,0)+IF(Settings!$I$55="Yes",$Q131,0)+IF(Settings!$I$56="Yes",$R131,0)</f>
        <v/>
      </c>
      <c r="FG131">
        <f>IF(AND(Settings!$I$45="Yes",Settings!$J$45="No"),$G131,0)+IF(AND(Settings!$I$46="Yes",Settings!$J$46="No"),$H131,0)+IF(AND(Settings!$I$47="Yes",Settings!$J$47="No"),$I131,0)+IF(AND(Settings!$I$48="Yes",Settings!$J$48="No"),$J131,0)+IF(AND(Settings!$I$49="Yes",Settings!$J$49="No"),$K131,0)+IF(AND(Settings!$I$50="Yes",Settings!$J$50="No"),$L131,0)+IF(AND(Settings!$I$51="Yes",Settings!$J$51="No"),$M131,0)+IF(AND(Settings!$I$52="Yes",Settings!$J$52="No"),$N131,0)+IF(AND(Settings!$I$53="Yes",Settings!$J$53="No"),$O131,0)+IF(AND(Settings!$I$54="Yes",Settings!$J$54="No"),$P131,0)+IF(AND(Settings!$I$55="Yes",Settings!$J$55="No"),$Q131,0)+IF(AND(Settings!$I$56="Yes",Settings!$J$56="No"),$R131,0)</f>
        <v/>
      </c>
      <c r="FH131">
        <f>SUMIFS(Giving!$B$7:$B$2006,Giving!$A$7:$A$2006,"&gt;="&amp;$A131,Giving!$A$7:$A$2006,"&lt;="&amp;$B131,Giving!$G$7:$G$2006,"Yes")+IF(OR(OR(Settings!$B$60="",Settings!$F$60="No"),Settings!$H$60&lt;&gt;"Yes"),0,Settings!$B$60*IF(AND(IF(Settings!$C$60="",$B131,DATE(YEAR($A131),MONTH($A131),MIN(Settings!$C$60,DAY($B131))))&gt;=MAX($A131,Settings!$D$60),IF(Settings!$C$60="",$B131,DATE(YEAR($A131),MONTH($A131),MIN(Settings!$C$60,DAY($B131))))&lt;=MIN($C131,IF(Settings!$E$60="",$C131,Settings!$E$60))),1,0))+IF(OR(OR(Settings!$B$61="",Settings!$F$61="No"),Settings!$H$61&lt;&gt;"Yes"),0,Settings!$B$61*IF(AND(IF(Settings!$C$61="",$B131,DATE(YEAR($A131),MONTH($A131),MIN(Settings!$C$61,DAY($B131))))&gt;=MAX($A131,Settings!$D$61),IF(Settings!$C$61="",$B131,DATE(YEAR($A131),MONTH($A131),MIN(Settings!$C$61,DAY($B131))))&lt;=MIN($C131,IF(Settings!$E$61="",$C131,Settings!$E$61))),1,0))+IF(OR(OR(Settings!$B$62="",Settings!$F$62="No"),Settings!$H$62&lt;&gt;"Yes"),0,Settings!$B$62*IF(AND(IF(Settings!$C$62="",$B131,DATE(YEAR($A131),MONTH($A131),MIN(Settings!$C$62,DAY($B131))))&gt;=MAX($A131,Settings!$D$62),IF(Settings!$C$62="",$B131,DATE(YEAR($A131),MONTH($A131),MIN(Settings!$C$62,DAY($B131))))&lt;=MIN($C131,IF(Settings!$E$62="",$C131,Settings!$E$62))),1,0))+IF(OR(OR(Settings!$B$63="",Settings!$F$63="No"),Settings!$H$63&lt;&gt;"Yes"),0,Settings!$B$63*IF(AND(IF(Settings!$C$63="",$B131,DATE(YEAR($A131),MONTH($A131),MIN(Settings!$C$63,DAY($B131))))&gt;=MAX($A131,Settings!$D$63),IF(Settings!$C$63="",$B131,DATE(YEAR($A131),MONTH($A131),MIN(Settings!$C$63,DAY($B131))))&lt;=MIN($C131,IF(Settings!$E$63="",$C131,Settings!$E$63))),1,0))+IF(OR(OR(Settings!$B$64="",Settings!$F$64="No"),Settings!$H$64&lt;&gt;"Yes"),0,Settings!$B$64*IF(AND(IF(Settings!$C$64="",$B131,DATE(YEAR($A131),MONTH($A131),MIN(Settings!$C$64,DAY($B131))))&gt;=MAX($A131,Settings!$D$64),IF(Settings!$C$64="",$B131,DATE(YEAR($A131),MONTH($A131),MIN(Settings!$C$64,DAY($B131))))&lt;=MIN($C131,IF(Settings!$E$64="",$C131,Settings!$E$64))),1,0))+IF(OR(OR(Settings!$B$65="",Settings!$F$65="No"),Settings!$H$65&lt;&gt;"Yes"),0,Settings!$B$65*IF(AND(IF(Settings!$C$65="",$B131,DATE(YEAR($A131),MONTH($A131),MIN(Settings!$C$65,DAY($B131))))&gt;=MAX($A131,Settings!$D$65),IF(Settings!$C$65="",$B131,DATE(YEAR($A131),MONTH($A131),MIN(Settings!$C$65,DAY($B131))))&lt;=MIN($C131,IF(Settings!$E$65="",$C131,Settings!$E$65))),1,0))</f>
        <v/>
      </c>
      <c r="FI131">
        <f>IF($DT131=1,IF(OR(Settings!$B$19="Card",Settings!$B$19="Loan"),N($AE131),0)+IF(OR(Settings!$B$20="Card",Settings!$B$20="Loan"),N($AF131),0)+IF(OR(Settings!$B$21="Card",Settings!$B$21="Loan"),N($AG131),0)+IF(OR(Settings!$B$22="Card",Settings!$B$22="Loan"),N($AH131),0)+IF(OR(Settings!$B$23="Card",Settings!$B$23="Loan"),N($AI131),0)+IF(OR(Settings!$B$24="Card",Settings!$B$24="Loan"),N($AJ131),0)+IF(OR(Settings!$B$25="Card",Settings!$B$25="Loan"),N($AK131),0)+IF(OR(Settings!$B$26="Card",Settings!$B$26="Loan"),N($AL131),0)+IF(OR(Settings!$B$27="Card",Settings!$B$27="Loan"),N($AM131),0)+IF(OR(Settings!$B$28="Card",Settings!$B$28="Loan"),N($AN131),0)+IF(OR(Settings!$B$29="Card",Settings!$B$29="Loan"),N($AO131),0)+IF(OR(Settings!$B$30="Card",Settings!$B$30="Loan"),N($AP131),0)+IF(OR(Settings!$B$31="Card",Settings!$B$31="Loan"),N($AQ131),0)+IF(OR(Settings!$B$32="Card",Settings!$B$32="Loan"),N($AR131),0),"")</f>
        <v/>
      </c>
      <c r="FJ131">
        <f>IF($E131="open",$EB$65,IF($E131="post",IF($E130="pre",$EB$65,$FI130),""))</f>
        <v/>
      </c>
      <c r="FK131">
        <f>IF(AND($DT131=1,$DC131=1),IF(ROUND($FI131-$FJ131,2)&gt;0,1,0),0)</f>
        <v/>
      </c>
      <c r="FL131">
        <f>IF($FK131=1,$FL130+1,0)</f>
        <v/>
      </c>
    </row>
    <row r="132">
      <c r="A132">
        <f>'Month-End'!$DY$4</f>
        <v/>
      </c>
      <c r="B132">
        <f>EOMONTH($A132,0)</f>
        <v/>
      </c>
      <c r="C132">
        <f>MIN($B132,TODAY())</f>
        <v/>
      </c>
      <c r="D132">
        <f>IF($A132&gt;TODAY(),1,0)</f>
        <v/>
      </c>
      <c r="E132">
        <f>IF($B132&lt;=Settings!$B$5,"pre",IF($A132&lt;=Settings!$B$5,"open","post"))</f>
        <v/>
      </c>
      <c r="G132">
        <f>IF('Month-End'!$DY$22="",$BE132,N('Month-End'!$DY$22))</f>
        <v/>
      </c>
      <c r="H132">
        <f>IF('Month-End'!$DY$23="",$BF132,N('Month-End'!$DY$23))</f>
        <v/>
      </c>
      <c r="I132">
        <f>IF('Month-End'!$DY$24="",$BG132,N('Month-End'!$DY$24))</f>
        <v/>
      </c>
      <c r="J132">
        <f>IF('Month-End'!$DY$25="",$BH132,N('Month-End'!$DY$25))</f>
        <v/>
      </c>
      <c r="K132">
        <f>IF('Month-End'!$DY$26="",$BI132,N('Month-End'!$DY$26))</f>
        <v/>
      </c>
      <c r="L132">
        <f>IF('Month-End'!$DY$27="",$BJ132,N('Month-End'!$DY$27))</f>
        <v/>
      </c>
      <c r="M132">
        <f>IF('Month-End'!$DY$28="",$BK132,N('Month-End'!$DY$28))</f>
        <v/>
      </c>
      <c r="N132">
        <f>IF('Month-End'!$DY$29="",$BL132,N('Month-End'!$DY$29))</f>
        <v/>
      </c>
      <c r="O132">
        <f>IF('Month-End'!$DY$30="",$BM132,N('Month-End'!$DY$30))</f>
        <v/>
      </c>
      <c r="P132">
        <f>IF('Month-End'!$DY$31="",$BN132,N('Month-End'!$DY$31))</f>
        <v/>
      </c>
      <c r="Q132">
        <f>IF('Month-End'!$DY$32="",$BO132,N('Month-End'!$DY$32))</f>
        <v/>
      </c>
      <c r="R132">
        <f>IF('Month-End'!$DY$33="",$BP132,N('Month-End'!$DY$33))</f>
        <v/>
      </c>
      <c r="S132">
        <f>$G132+$H132+$I132+$J132+$K132+$L132+$M132+$N132+$O132+$P132+$Q132+$R132</f>
        <v/>
      </c>
      <c r="T132">
        <f>IF($B132&lt;Settings!$B$6,0,IF(Settings!$B$45="Yes",$G132,0)+IF(Settings!$B$46="Yes",$H132,0)+IF(Settings!$B$47="Yes",$I132,0)+IF(Settings!$B$48="Yes",$J132,0)+IF(Settings!$B$49="Yes",$K132,0)+IF(Settings!$B$50="Yes",$L132,0)+IF(Settings!$B$51="Yes",$M132,0)+IF(Settings!$B$52="Yes",$N132,0)+IF(Settings!$B$53="Yes",$O132,0)+IF(Settings!$B$54="Yes",$P132,0)+IF(Settings!$B$55="Yes",$Q132,0)+IF(Settings!$B$56="Yes",$R132,0))</f>
        <v/>
      </c>
      <c r="U132">
        <f>IF(Settings!$B$45="Not Sure",$G132,0)+IF(Settings!$B$46="Not Sure",$H132,0)+IF(Settings!$B$47="Not Sure",$I132,0)+IF(Settings!$B$48="Not Sure",$J132,0)+IF(Settings!$B$49="Not Sure",$K132,0)+IF(Settings!$B$50="Not Sure",$L132,0)+IF(Settings!$B$51="Not Sure",$M132,0)+IF(Settings!$B$52="Not Sure",$N132,0)+IF(Settings!$B$53="Not Sure",$O132,0)+IF(Settings!$B$54="Not Sure",$P132,0)+IF(Settings!$B$55="Not Sure",$Q132,0)+IF(Settings!$B$56="Not Sure",$R132,0)</f>
        <v/>
      </c>
      <c r="V132">
        <f>IF($E132="open",SUM($ET132:$FE132)+N(Settings!$B$13),0)</f>
        <v/>
      </c>
      <c r="W132">
        <f>IF($E132="post",$S132,IF($E132="open",$S132-$V132,0))</f>
        <v/>
      </c>
      <c r="X132">
        <f>SUMIFS(Giving!$B$7:$B$2006,Giving!$A$7:$A$2006,"&gt;="&amp;$A132,Giving!$A$7:$A$2006,"&lt;="&amp;$B132,Giving!$E$7:$E$2006,"&lt;&gt;No")</f>
        <v/>
      </c>
      <c r="Y132">
        <f>SUMIFS(Giving!$B$7:$B$2006,Giving!$A$7:$A$2006,"&gt;="&amp;$A132,Giving!$A$7:$A$2006,"&lt;="&amp;$B132,Giving!$E$7:$E$2006,"No")</f>
        <v/>
      </c>
      <c r="Z132">
        <f>IF(OR(Settings!$B$60="",Settings!$F$60="No"),0,Settings!$B$60*IF(AND(IF(Settings!$C$60="",$B132,DATE(YEAR($A132),MONTH($A132),MIN(Settings!$C$60,DAY($B132))))&gt;=MAX($A132,Settings!$D$60),IF(Settings!$C$60="",$B132,DATE(YEAR($A132),MONTH($A132),MIN(Settings!$C$60,DAY($B132))))&lt;=MIN($C132,IF(Settings!$E$60="",$C132,Settings!$E$60))),1,0))+IF(OR(Settings!$B$61="",Settings!$F$61="No"),0,Settings!$B$61*IF(AND(IF(Settings!$C$61="",$B132,DATE(YEAR($A132),MONTH($A132),MIN(Settings!$C$61,DAY($B132))))&gt;=MAX($A132,Settings!$D$61),IF(Settings!$C$61="",$B132,DATE(YEAR($A132),MONTH($A132),MIN(Settings!$C$61,DAY($B132))))&lt;=MIN($C132,IF(Settings!$E$61="",$C132,Settings!$E$61))),1,0))+IF(OR(Settings!$B$62="",Settings!$F$62="No"),0,Settings!$B$62*IF(AND(IF(Settings!$C$62="",$B132,DATE(YEAR($A132),MONTH($A132),MIN(Settings!$C$62,DAY($B132))))&gt;=MAX($A132,Settings!$D$62),IF(Settings!$C$62="",$B132,DATE(YEAR($A132),MONTH($A132),MIN(Settings!$C$62,DAY($B132))))&lt;=MIN($C132,IF(Settings!$E$62="",$C132,Settings!$E$62))),1,0))+IF(OR(Settings!$B$63="",Settings!$F$63="No"),0,Settings!$B$63*IF(AND(IF(Settings!$C$63="",$B132,DATE(YEAR($A132),MONTH($A132),MIN(Settings!$C$63,DAY($B132))))&gt;=MAX($A132,Settings!$D$63),IF(Settings!$C$63="",$B132,DATE(YEAR($A132),MONTH($A132),MIN(Settings!$C$63,DAY($B132))))&lt;=MIN($C132,IF(Settings!$E$63="",$C132,Settings!$E$63))),1,0))+IF(OR(Settings!$B$64="",Settings!$F$64="No"),0,Settings!$B$64*IF(AND(IF(Settings!$C$64="",$B132,DATE(YEAR($A132),MONTH($A132),MIN(Settings!$C$64,DAY($B132))))&gt;=MAX($A132,Settings!$D$64),IF(Settings!$C$64="",$B132,DATE(YEAR($A132),MONTH($A132),MIN(Settings!$C$64,DAY($B132))))&lt;=MIN($C132,IF(Settings!$E$64="",$C132,Settings!$E$64))),1,0))+IF(OR(Settings!$B$65="",Settings!$F$65="No"),0,Settings!$B$65*IF(AND(IF(Settings!$C$65="",$B132,DATE(YEAR($A132),MONTH($A132),MIN(Settings!$C$65,DAY($B132))))&gt;=MAX($A132,Settings!$D$65),IF(Settings!$C$65="",$B132,DATE(YEAR($A132),MONTH($A132),MIN(Settings!$C$65,DAY($B132))))&lt;=MIN($C132,IF(Settings!$E$65="",$C132,Settings!$E$65))),1,0))</f>
        <v/>
      </c>
      <c r="AA132">
        <f>$X132+$Z132</f>
        <v/>
      </c>
      <c r="AB132">
        <f>IF($E132="post",$AA132,IF($E132="open",SUMIFS(Giving!$B$7:$B$2006,Giving!$A$7:$A$2006,"&gt;"&amp;Settings!$B$5,Giving!$A$7:$A$2006,"&lt;="&amp;$B132,Giving!$E$7:$E$2006,"&lt;&gt;No")+IF(OR(Settings!$B$60="",Settings!$F$60="No"),0,Settings!$B$60*IF(AND(IF(Settings!$C$60="",$B132,DATE(YEAR($A132),MONTH($A132),MIN(Settings!$C$60,DAY($B132))))&gt;=MAX($A132,Settings!$D$60,Settings!$B$5+1),IF(Settings!$C$60="",$B132,DATE(YEAR($A132),MONTH($A132),MIN(Settings!$C$60,DAY($B132))))&lt;=MIN($C132,IF(Settings!$E$60="",$C132,Settings!$E$60))),1,0))+IF(OR(Settings!$B$61="",Settings!$F$61="No"),0,Settings!$B$61*IF(AND(IF(Settings!$C$61="",$B132,DATE(YEAR($A132),MONTH($A132),MIN(Settings!$C$61,DAY($B132))))&gt;=MAX($A132,Settings!$D$61,Settings!$B$5+1),IF(Settings!$C$61="",$B132,DATE(YEAR($A132),MONTH($A132),MIN(Settings!$C$61,DAY($B132))))&lt;=MIN($C132,IF(Settings!$E$61="",$C132,Settings!$E$61))),1,0))+IF(OR(Settings!$B$62="",Settings!$F$62="No"),0,Settings!$B$62*IF(AND(IF(Settings!$C$62="",$B132,DATE(YEAR($A132),MONTH($A132),MIN(Settings!$C$62,DAY($B132))))&gt;=MAX($A132,Settings!$D$62,Settings!$B$5+1),IF(Settings!$C$62="",$B132,DATE(YEAR($A132),MONTH($A132),MIN(Settings!$C$62,DAY($B132))))&lt;=MIN($C132,IF(Settings!$E$62="",$C132,Settings!$E$62))),1,0))+IF(OR(Settings!$B$63="",Settings!$F$63="No"),0,Settings!$B$63*IF(AND(IF(Settings!$C$63="",$B132,DATE(YEAR($A132),MONTH($A132),MIN(Settings!$C$63,DAY($B132))))&gt;=MAX($A132,Settings!$D$63,Settings!$B$5+1),IF(Settings!$C$63="",$B132,DATE(YEAR($A132),MONTH($A132),MIN(Settings!$C$63,DAY($B132))))&lt;=MIN($C132,IF(Settings!$E$63="",$C132,Settings!$E$63))),1,0))+IF(OR(Settings!$B$64="",Settings!$F$64="No"),0,Settings!$B$64*IF(AND(IF(Settings!$C$64="",$B132,DATE(YEAR($A132),MONTH($A132),MIN(Settings!$C$64,DAY($B132))))&gt;=MAX($A132,Settings!$D$64,Settings!$B$5+1),IF(Settings!$C$64="",$B132,DATE(YEAR($A132),MONTH($A132),MIN(Settings!$C$64,DAY($B132))))&lt;=MIN($C132,IF(Settings!$E$64="",$C132,Settings!$E$64))),1,0))+IF(OR(Settings!$B$65="",Settings!$F$65="No"),0,Settings!$B$65*IF(AND(IF(Settings!$C$65="",$B132,DATE(YEAR($A132),MONTH($A132),MIN(Settings!$C$65,DAY($B132))))&gt;=MAX($A132,Settings!$D$65,Settings!$B$5+1),IF(Settings!$C$65="",$B132,DATE(YEAR($A132),MONTH($A132),MIN(Settings!$C$65,DAY($B132))))&lt;=MIN($C132,IF(Settings!$E$65="",$C132,Settings!$E$65))),1,0)),0))</f>
        <v/>
      </c>
      <c r="AC132">
        <f>$AY132+$AZ132+$BA132+$BB132+$BC132+$BD132</f>
        <v/>
      </c>
      <c r="AD132">
        <f>$AC132</f>
        <v/>
      </c>
      <c r="AE132">
        <f>IF(OR(Settings!$A$19="",$E132="pre"),"",IF(AND('Month-End'!$DY$7&lt;&gt;"",NOT(_xlfn.ISFORMULA('Month-End'!$DY$7))),N('Month-End'!$DY$7),IF(OR($E132="open",$E131="pre"),N(Settings!$C$19),N($AE131))))</f>
        <v/>
      </c>
      <c r="AF132">
        <f>IF(OR(Settings!$A$20="",$E132="pre"),"",IF(AND('Month-End'!$DY$8&lt;&gt;"",NOT(_xlfn.ISFORMULA('Month-End'!$DY$8))),N('Month-End'!$DY$8),IF(OR($E132="open",$E131="pre"),N(Settings!$C$20),N($AF131))))</f>
        <v/>
      </c>
      <c r="AG132">
        <f>IF(OR(Settings!$A$21="",$E132="pre"),"",IF(AND('Month-End'!$DY$9&lt;&gt;"",NOT(_xlfn.ISFORMULA('Month-End'!$DY$9))),N('Month-End'!$DY$9),IF(OR($E132="open",$E131="pre"),N(Settings!$C$21),N($AG131))))</f>
        <v/>
      </c>
      <c r="AH132">
        <f>IF(OR(Settings!$A$22="",$E132="pre"),"",IF(AND('Month-End'!$DY$10&lt;&gt;"",NOT(_xlfn.ISFORMULA('Month-End'!$DY$10))),N('Month-End'!$DY$10),IF(OR($E132="open",$E131="pre"),N(Settings!$C$22),N($AH131))))</f>
        <v/>
      </c>
      <c r="AI132">
        <f>IF(OR(Settings!$A$23="",$E132="pre"),"",IF(AND('Month-End'!$DY$11&lt;&gt;"",NOT(_xlfn.ISFORMULA('Month-End'!$DY$11))),N('Month-End'!$DY$11),IF(OR($E132="open",$E131="pre"),N(Settings!$C$23),N($AI131))))</f>
        <v/>
      </c>
      <c r="AJ132">
        <f>IF(OR(Settings!$A$24="",$E132="pre"),"",IF(AND('Month-End'!$DY$12&lt;&gt;"",NOT(_xlfn.ISFORMULA('Month-End'!$DY$12))),N('Month-End'!$DY$12),IF(OR($E132="open",$E131="pre"),N(Settings!$C$24),N($AJ131))))</f>
        <v/>
      </c>
      <c r="AK132">
        <f>IF(OR(Settings!$A$25="",$E132="pre"),"",IF(AND('Month-End'!$DY$13&lt;&gt;"",NOT(_xlfn.ISFORMULA('Month-End'!$DY$13))),N('Month-End'!$DY$13),IF(OR($E132="open",$E131="pre"),N(Settings!$C$25),N($AK131))))</f>
        <v/>
      </c>
      <c r="AL132">
        <f>IF(OR(Settings!$A$26="",$E132="pre"),"",IF(AND('Month-End'!$DY$14&lt;&gt;"",NOT(_xlfn.ISFORMULA('Month-End'!$DY$14))),N('Month-End'!$DY$14),IF(OR($E132="open",$E131="pre"),N(Settings!$C$26),N($AL131))))</f>
        <v/>
      </c>
      <c r="AM132">
        <f>IF(OR(Settings!$A$27="",$E132="pre"),"",IF(AND('Month-End'!$DY$15&lt;&gt;"",NOT(_xlfn.ISFORMULA('Month-End'!$DY$15))),N('Month-End'!$DY$15),IF(OR($E132="open",$E131="pre"),N(Settings!$C$27),N($AM131))))</f>
        <v/>
      </c>
      <c r="AN132">
        <f>IF(OR(Settings!$A$28="",$E132="pre"),"",IF(AND('Month-End'!$DY$16&lt;&gt;"",NOT(_xlfn.ISFORMULA('Month-End'!$DY$16))),N('Month-End'!$DY$16),IF(OR($E132="open",$E131="pre"),N(Settings!$C$28),N($AN131))))</f>
        <v/>
      </c>
      <c r="AO132">
        <f>IF(OR(Settings!$A$29="",$E132="pre"),"",IF(AND('Month-End'!$DY$17&lt;&gt;"",NOT(_xlfn.ISFORMULA('Month-End'!$DY$17))),N('Month-End'!$DY$17),IF(OR($E132="open",$E131="pre"),N(Settings!$C$29),N($AO131))))</f>
        <v/>
      </c>
      <c r="AP132">
        <f>IF(OR(Settings!$A$30="",$E132="pre"),"",IF(AND('Month-End'!$DY$18&lt;&gt;"",NOT(_xlfn.ISFORMULA('Month-End'!$DY$18))),N('Month-End'!$DY$18),IF(OR($E132="open",$E131="pre"),N(Settings!$C$30),N($AP131))))</f>
        <v/>
      </c>
      <c r="AQ132">
        <f>IF(OR(Settings!$A$31="",$E132="pre"),"",IF(AND('Month-End'!$DY$19&lt;&gt;"",NOT(_xlfn.ISFORMULA('Month-End'!$DY$19))),N('Month-End'!$DY$19),IF(OR($E132="open",$E131="pre"),N(Settings!$C$31),N($AQ131))))</f>
        <v/>
      </c>
      <c r="AR132">
        <f>IF(OR(Settings!$A$32="",$E132="pre"),"",IF(AND('Month-End'!$DY$20&lt;&gt;"",NOT(_xlfn.ISFORMULA('Month-End'!$DY$20))),N('Month-End'!$DY$20),IF(OR($E132="open",$E131="pre"),N(Settings!$C$32),N($AR131))))</f>
        <v/>
      </c>
      <c r="AS132">
        <f>IF(OR(Settings!$A$36="",$E132="pre"),"",IF(AND('Month-End'!$DY$38&lt;&gt;"",NOT(_xlfn.ISFORMULA('Month-End'!$DY$38))),N('Month-End'!$DY$38),IF(OR($E132="open",$E131="pre"),N(Settings!$C$36),N($AS131))+$AY132))</f>
        <v/>
      </c>
      <c r="AT132">
        <f>IF(OR(Settings!$A$37="",$E132="pre"),"",IF(AND('Month-End'!$DY$39&lt;&gt;"",NOT(_xlfn.ISFORMULA('Month-End'!$DY$39))),N('Month-End'!$DY$39),IF(OR($E132="open",$E131="pre"),N(Settings!$C$37),N($AT131))+$AZ132))</f>
        <v/>
      </c>
      <c r="AU132">
        <f>IF(OR(Settings!$A$38="",$E132="pre"),"",IF(AND('Month-End'!$DY$40&lt;&gt;"",NOT(_xlfn.ISFORMULA('Month-End'!$DY$40))),N('Month-End'!$DY$40),IF(OR($E132="open",$E131="pre"),N(Settings!$C$38),N($AU131))+$BA132))</f>
        <v/>
      </c>
      <c r="AV132">
        <f>IF(OR(Settings!$A$39="",$E132="pre"),"",IF(AND('Month-End'!$DY$41&lt;&gt;"",NOT(_xlfn.ISFORMULA('Month-End'!$DY$41))),N('Month-End'!$DY$41),IF(OR($E132="open",$E131="pre"),N(Settings!$C$39),N($AV131))+$BB132))</f>
        <v/>
      </c>
      <c r="AW132">
        <f>IF(OR(Settings!$A$40="",$E132="pre"),"",IF(AND('Month-End'!$DY$42&lt;&gt;"",NOT(_xlfn.ISFORMULA('Month-End'!$DY$42))),N('Month-End'!$DY$42),IF(OR($E132="open",$E131="pre"),N(Settings!$C$40),N($AW131))+$BC132))</f>
        <v/>
      </c>
      <c r="AX132">
        <f>IF(OR(Settings!$A$41="",$E132="pre"),"",IF(AND('Month-End'!$DY$43&lt;&gt;"",NOT(_xlfn.ISFORMULA('Month-End'!$DY$43))),N('Month-End'!$DY$43),IF(OR($E132="open",$E131="pre"),N(Settings!$C$41),N($AX131))+$BD132))</f>
        <v/>
      </c>
      <c r="AY132">
        <f>IF($E132="pre",0,N('Month-End'!$DY$45))</f>
        <v/>
      </c>
      <c r="AZ132">
        <f>IF($E132="pre",0,N('Month-End'!$DY$46))</f>
        <v/>
      </c>
      <c r="BA132">
        <f>IF($E132="pre",0,N('Month-End'!$DY$47))</f>
        <v/>
      </c>
      <c r="BB132">
        <f>IF($E132="pre",0,N('Month-End'!$DY$48))</f>
        <v/>
      </c>
      <c r="BC132">
        <f>IF($E132="pre",0,N('Month-End'!$DY$49))</f>
        <v/>
      </c>
      <c r="BD132">
        <f>IF($E132="pre",0,N('Month-End'!$DY$50))</f>
        <v/>
      </c>
      <c r="BE132">
        <f>IF(OR(Settings!$C$45="",Settings!$D$45=""),0,Settings!$C$45*IF(Settings!$D$45="Weekly",IF(IFERROR(MATCH(Settings!$E$45,$EO$4:$EO$10,0),0)=0,0,IF(MIN($C132,IF(Settings!$G$45="",$C132,Settings!$G$45))&lt;MAX($A132,Settings!$F$45),0,INT((MIN($C132,IF(Settings!$G$45="",$C132,Settings!$G$45))-MAX($A132,Settings!$F$45)-MOD(IFERROR(MATCH(Settings!$E$45,$EO$4:$EO$10,0),0)-WEEKDAY(MAX($A132,Settings!$F$45)),7))/7)+1)),IF(AND(IF(Settings!$E$45="",$B132,DATE(YEAR($A132),MONTH($A132),MIN(Settings!$E$45,DAY($B132))))&gt;=MAX($A132,Settings!$F$45),IF(Settings!$E$45="",$B132,DATE(YEAR($A132),MONTH($A132),MIN(Settings!$E$45,DAY($B132))))&lt;=MIN($C132,IF(Settings!$G$45="",$C132,Settings!$G$45))),1,0)))</f>
        <v/>
      </c>
      <c r="BF132">
        <f>IF(OR(Settings!$C$46="",Settings!$D$46=""),0,Settings!$C$46*IF(Settings!$D$46="Weekly",IF(IFERROR(MATCH(Settings!$E$46,$EO$4:$EO$10,0),0)=0,0,IF(MIN($C132,IF(Settings!$G$46="",$C132,Settings!$G$46))&lt;MAX($A132,Settings!$F$46),0,INT((MIN($C132,IF(Settings!$G$46="",$C132,Settings!$G$46))-MAX($A132,Settings!$F$46)-MOD(IFERROR(MATCH(Settings!$E$46,$EO$4:$EO$10,0),0)-WEEKDAY(MAX($A132,Settings!$F$46)),7))/7)+1)),IF(AND(IF(Settings!$E$46="",$B132,DATE(YEAR($A132),MONTH($A132),MIN(Settings!$E$46,DAY($B132))))&gt;=MAX($A132,Settings!$F$46),IF(Settings!$E$46="",$B132,DATE(YEAR($A132),MONTH($A132),MIN(Settings!$E$46,DAY($B132))))&lt;=MIN($C132,IF(Settings!$G$46="",$C132,Settings!$G$46))),1,0)))</f>
        <v/>
      </c>
      <c r="BG132">
        <f>IF(OR(Settings!$C$47="",Settings!$D$47=""),0,Settings!$C$47*IF(Settings!$D$47="Weekly",IF(IFERROR(MATCH(Settings!$E$47,$EO$4:$EO$10,0),0)=0,0,IF(MIN($C132,IF(Settings!$G$47="",$C132,Settings!$G$47))&lt;MAX($A132,Settings!$F$47),0,INT((MIN($C132,IF(Settings!$G$47="",$C132,Settings!$G$47))-MAX($A132,Settings!$F$47)-MOD(IFERROR(MATCH(Settings!$E$47,$EO$4:$EO$10,0),0)-WEEKDAY(MAX($A132,Settings!$F$47)),7))/7)+1)),IF(AND(IF(Settings!$E$47="",$B132,DATE(YEAR($A132),MONTH($A132),MIN(Settings!$E$47,DAY($B132))))&gt;=MAX($A132,Settings!$F$47),IF(Settings!$E$47="",$B132,DATE(YEAR($A132),MONTH($A132),MIN(Settings!$E$47,DAY($B132))))&lt;=MIN($C132,IF(Settings!$G$47="",$C132,Settings!$G$47))),1,0)))</f>
        <v/>
      </c>
      <c r="BH132">
        <f>IF(OR(Settings!$C$48="",Settings!$D$48=""),0,Settings!$C$48*IF(Settings!$D$48="Weekly",IF(IFERROR(MATCH(Settings!$E$48,$EO$4:$EO$10,0),0)=0,0,IF(MIN($C132,IF(Settings!$G$48="",$C132,Settings!$G$48))&lt;MAX($A132,Settings!$F$48),0,INT((MIN($C132,IF(Settings!$G$48="",$C132,Settings!$G$48))-MAX($A132,Settings!$F$48)-MOD(IFERROR(MATCH(Settings!$E$48,$EO$4:$EO$10,0),0)-WEEKDAY(MAX($A132,Settings!$F$48)),7))/7)+1)),IF(AND(IF(Settings!$E$48="",$B132,DATE(YEAR($A132),MONTH($A132),MIN(Settings!$E$48,DAY($B132))))&gt;=MAX($A132,Settings!$F$48),IF(Settings!$E$48="",$B132,DATE(YEAR($A132),MONTH($A132),MIN(Settings!$E$48,DAY($B132))))&lt;=MIN($C132,IF(Settings!$G$48="",$C132,Settings!$G$48))),1,0)))</f>
        <v/>
      </c>
      <c r="BI132">
        <f>IF(OR(Settings!$C$49="",Settings!$D$49=""),0,Settings!$C$49*IF(Settings!$D$49="Weekly",IF(IFERROR(MATCH(Settings!$E$49,$EO$4:$EO$10,0),0)=0,0,IF(MIN($C132,IF(Settings!$G$49="",$C132,Settings!$G$49))&lt;MAX($A132,Settings!$F$49),0,INT((MIN($C132,IF(Settings!$G$49="",$C132,Settings!$G$49))-MAX($A132,Settings!$F$49)-MOD(IFERROR(MATCH(Settings!$E$49,$EO$4:$EO$10,0),0)-WEEKDAY(MAX($A132,Settings!$F$49)),7))/7)+1)),IF(AND(IF(Settings!$E$49="",$B132,DATE(YEAR($A132),MONTH($A132),MIN(Settings!$E$49,DAY($B132))))&gt;=MAX($A132,Settings!$F$49),IF(Settings!$E$49="",$B132,DATE(YEAR($A132),MONTH($A132),MIN(Settings!$E$49,DAY($B132))))&lt;=MIN($C132,IF(Settings!$G$49="",$C132,Settings!$G$49))),1,0)))</f>
        <v/>
      </c>
      <c r="BJ132">
        <f>IF(OR(Settings!$C$50="",Settings!$D$50=""),0,Settings!$C$50*IF(Settings!$D$50="Weekly",IF(IFERROR(MATCH(Settings!$E$50,$EO$4:$EO$10,0),0)=0,0,IF(MIN($C132,IF(Settings!$G$50="",$C132,Settings!$G$50))&lt;MAX($A132,Settings!$F$50),0,INT((MIN($C132,IF(Settings!$G$50="",$C132,Settings!$G$50))-MAX($A132,Settings!$F$50)-MOD(IFERROR(MATCH(Settings!$E$50,$EO$4:$EO$10,0),0)-WEEKDAY(MAX($A132,Settings!$F$50)),7))/7)+1)),IF(AND(IF(Settings!$E$50="",$B132,DATE(YEAR($A132),MONTH($A132),MIN(Settings!$E$50,DAY($B132))))&gt;=MAX($A132,Settings!$F$50),IF(Settings!$E$50="",$B132,DATE(YEAR($A132),MONTH($A132),MIN(Settings!$E$50,DAY($B132))))&lt;=MIN($C132,IF(Settings!$G$50="",$C132,Settings!$G$50))),1,0)))</f>
        <v/>
      </c>
      <c r="BK132">
        <f>IF(OR(Settings!$C$51="",Settings!$D$51=""),0,Settings!$C$51*IF(Settings!$D$51="Weekly",IF(IFERROR(MATCH(Settings!$E$51,$EO$4:$EO$10,0),0)=0,0,IF(MIN($C132,IF(Settings!$G$51="",$C132,Settings!$G$51))&lt;MAX($A132,Settings!$F$51),0,INT((MIN($C132,IF(Settings!$G$51="",$C132,Settings!$G$51))-MAX($A132,Settings!$F$51)-MOD(IFERROR(MATCH(Settings!$E$51,$EO$4:$EO$10,0),0)-WEEKDAY(MAX($A132,Settings!$F$51)),7))/7)+1)),IF(AND(IF(Settings!$E$51="",$B132,DATE(YEAR($A132),MONTH($A132),MIN(Settings!$E$51,DAY($B132))))&gt;=MAX($A132,Settings!$F$51),IF(Settings!$E$51="",$B132,DATE(YEAR($A132),MONTH($A132),MIN(Settings!$E$51,DAY($B132))))&lt;=MIN($C132,IF(Settings!$G$51="",$C132,Settings!$G$51))),1,0)))</f>
        <v/>
      </c>
      <c r="BL132">
        <f>IF(OR(Settings!$C$52="",Settings!$D$52=""),0,Settings!$C$52*IF(Settings!$D$52="Weekly",IF(IFERROR(MATCH(Settings!$E$52,$EO$4:$EO$10,0),0)=0,0,IF(MIN($C132,IF(Settings!$G$52="",$C132,Settings!$G$52))&lt;MAX($A132,Settings!$F$52),0,INT((MIN($C132,IF(Settings!$G$52="",$C132,Settings!$G$52))-MAX($A132,Settings!$F$52)-MOD(IFERROR(MATCH(Settings!$E$52,$EO$4:$EO$10,0),0)-WEEKDAY(MAX($A132,Settings!$F$52)),7))/7)+1)),IF(AND(IF(Settings!$E$52="",$B132,DATE(YEAR($A132),MONTH($A132),MIN(Settings!$E$52,DAY($B132))))&gt;=MAX($A132,Settings!$F$52),IF(Settings!$E$52="",$B132,DATE(YEAR($A132),MONTH($A132),MIN(Settings!$E$52,DAY($B132))))&lt;=MIN($C132,IF(Settings!$G$52="",$C132,Settings!$G$52))),1,0)))</f>
        <v/>
      </c>
      <c r="BM132">
        <f>IF(OR(Settings!$C$53="",Settings!$D$53=""),0,Settings!$C$53*IF(Settings!$D$53="Weekly",IF(IFERROR(MATCH(Settings!$E$53,$EO$4:$EO$10,0),0)=0,0,IF(MIN($C132,IF(Settings!$G$53="",$C132,Settings!$G$53))&lt;MAX($A132,Settings!$F$53),0,INT((MIN($C132,IF(Settings!$G$53="",$C132,Settings!$G$53))-MAX($A132,Settings!$F$53)-MOD(IFERROR(MATCH(Settings!$E$53,$EO$4:$EO$10,0),0)-WEEKDAY(MAX($A132,Settings!$F$53)),7))/7)+1)),IF(AND(IF(Settings!$E$53="",$B132,DATE(YEAR($A132),MONTH($A132),MIN(Settings!$E$53,DAY($B132))))&gt;=MAX($A132,Settings!$F$53),IF(Settings!$E$53="",$B132,DATE(YEAR($A132),MONTH($A132),MIN(Settings!$E$53,DAY($B132))))&lt;=MIN($C132,IF(Settings!$G$53="",$C132,Settings!$G$53))),1,0)))</f>
        <v/>
      </c>
      <c r="BN132">
        <f>IF(OR(Settings!$C$54="",Settings!$D$54=""),0,Settings!$C$54*IF(Settings!$D$54="Weekly",IF(IFERROR(MATCH(Settings!$E$54,$EO$4:$EO$10,0),0)=0,0,IF(MIN($C132,IF(Settings!$G$54="",$C132,Settings!$G$54))&lt;MAX($A132,Settings!$F$54),0,INT((MIN($C132,IF(Settings!$G$54="",$C132,Settings!$G$54))-MAX($A132,Settings!$F$54)-MOD(IFERROR(MATCH(Settings!$E$54,$EO$4:$EO$10,0),0)-WEEKDAY(MAX($A132,Settings!$F$54)),7))/7)+1)),IF(AND(IF(Settings!$E$54="",$B132,DATE(YEAR($A132),MONTH($A132),MIN(Settings!$E$54,DAY($B132))))&gt;=MAX($A132,Settings!$F$54),IF(Settings!$E$54="",$B132,DATE(YEAR($A132),MONTH($A132),MIN(Settings!$E$54,DAY($B132))))&lt;=MIN($C132,IF(Settings!$G$54="",$C132,Settings!$G$54))),1,0)))</f>
        <v/>
      </c>
      <c r="BO132">
        <f>IF(OR(Settings!$C$55="",Settings!$D$55=""),0,Settings!$C$55*IF(Settings!$D$55="Weekly",IF(IFERROR(MATCH(Settings!$E$55,$EO$4:$EO$10,0),0)=0,0,IF(MIN($C132,IF(Settings!$G$55="",$C132,Settings!$G$55))&lt;MAX($A132,Settings!$F$55),0,INT((MIN($C132,IF(Settings!$G$55="",$C132,Settings!$G$55))-MAX($A132,Settings!$F$55)-MOD(IFERROR(MATCH(Settings!$E$55,$EO$4:$EO$10,0),0)-WEEKDAY(MAX($A132,Settings!$F$55)),7))/7)+1)),IF(AND(IF(Settings!$E$55="",$B132,DATE(YEAR($A132),MONTH($A132),MIN(Settings!$E$55,DAY($B132))))&gt;=MAX($A132,Settings!$F$55),IF(Settings!$E$55="",$B132,DATE(YEAR($A132),MONTH($A132),MIN(Settings!$E$55,DAY($B132))))&lt;=MIN($C132,IF(Settings!$G$55="",$C132,Settings!$G$55))),1,0)))</f>
        <v/>
      </c>
      <c r="BP132">
        <f>IF(OR(Settings!$C$56="",Settings!$D$56=""),0,Settings!$C$56*IF(Settings!$D$56="Weekly",IF(IFERROR(MATCH(Settings!$E$56,$EO$4:$EO$10,0),0)=0,0,IF(MIN($C132,IF(Settings!$G$56="",$C132,Settings!$G$56))&lt;MAX($A132,Settings!$F$56),0,INT((MIN($C132,IF(Settings!$G$56="",$C132,Settings!$G$56))-MAX($A132,Settings!$F$56)-MOD(IFERROR(MATCH(Settings!$E$56,$EO$4:$EO$10,0),0)-WEEKDAY(MAX($A132,Settings!$F$56)),7))/7)+1)),IF(AND(IF(Settings!$E$56="",$B132,DATE(YEAR($A132),MONTH($A132),MIN(Settings!$E$56,DAY($B132))))&gt;=MAX($A132,Settings!$F$56),IF(Settings!$E$56="",$B132,DATE(YEAR($A132),MONTH($A132),MIN(Settings!$E$56,DAY($B132))))&lt;=MIN($C132,IF(Settings!$G$56="",$C132,Settings!$G$56))),1,0)))</f>
        <v/>
      </c>
      <c r="BQ132">
        <f>IF(OR(Settings!$B$14="",$D132=1,$E132="pre",$A132&lt;IF(Settings!$B$15="",0,Settings!$B$15)),0,Settings!$B$14)</f>
        <v/>
      </c>
      <c r="BR132">
        <f>IF(AND('Month-End'!$DY$7&lt;&gt;"",NOT(_xlfn.ISFORMULA('Month-End'!$DY$7))),1,0)</f>
        <v/>
      </c>
      <c r="BS132">
        <f>IF(AND('Month-End'!$DY$8&lt;&gt;"",NOT(_xlfn.ISFORMULA('Month-End'!$DY$8))),1,0)</f>
        <v/>
      </c>
      <c r="BT132">
        <f>IF(AND('Month-End'!$DY$9&lt;&gt;"",NOT(_xlfn.ISFORMULA('Month-End'!$DY$9))),1,0)</f>
        <v/>
      </c>
      <c r="BU132">
        <f>IF(AND('Month-End'!$DY$10&lt;&gt;"",NOT(_xlfn.ISFORMULA('Month-End'!$DY$10))),1,0)</f>
        <v/>
      </c>
      <c r="BV132">
        <f>IF(AND('Month-End'!$DY$11&lt;&gt;"",NOT(_xlfn.ISFORMULA('Month-End'!$DY$11))),1,0)</f>
        <v/>
      </c>
      <c r="BW132">
        <f>IF(AND('Month-End'!$DY$12&lt;&gt;"",NOT(_xlfn.ISFORMULA('Month-End'!$DY$12))),1,0)</f>
        <v/>
      </c>
      <c r="BX132">
        <f>IF(AND('Month-End'!$DY$13&lt;&gt;"",NOT(_xlfn.ISFORMULA('Month-End'!$DY$13))),1,0)</f>
        <v/>
      </c>
      <c r="BY132">
        <f>IF(AND('Month-End'!$DY$14&lt;&gt;"",NOT(_xlfn.ISFORMULA('Month-End'!$DY$14))),1,0)</f>
        <v/>
      </c>
      <c r="BZ132">
        <f>IF(AND('Month-End'!$DY$15&lt;&gt;"",NOT(_xlfn.ISFORMULA('Month-End'!$DY$15))),1,0)</f>
        <v/>
      </c>
      <c r="CA132">
        <f>IF(AND('Month-End'!$DY$16&lt;&gt;"",NOT(_xlfn.ISFORMULA('Month-End'!$DY$16))),1,0)</f>
        <v/>
      </c>
      <c r="CB132">
        <f>IF(AND('Month-End'!$DY$17&lt;&gt;"",NOT(_xlfn.ISFORMULA('Month-End'!$DY$17))),1,0)</f>
        <v/>
      </c>
      <c r="CC132">
        <f>IF(AND('Month-End'!$DY$18&lt;&gt;"",NOT(_xlfn.ISFORMULA('Month-End'!$DY$18))),1,0)</f>
        <v/>
      </c>
      <c r="CD132">
        <f>IF(AND('Month-End'!$DY$19&lt;&gt;"",NOT(_xlfn.ISFORMULA('Month-End'!$DY$19))),1,0)</f>
        <v/>
      </c>
      <c r="CE132">
        <f>IF(AND('Month-End'!$DY$20&lt;&gt;"",NOT(_xlfn.ISFORMULA('Month-End'!$DY$20))),1,0)</f>
        <v/>
      </c>
      <c r="CF132">
        <f>IF(AND('Month-End'!$DY$38&lt;&gt;"",NOT(_xlfn.ISFORMULA('Month-End'!$DY$38))),1,0)</f>
        <v/>
      </c>
      <c r="CG132">
        <f>IF(AND('Month-End'!$DY$39&lt;&gt;"",NOT(_xlfn.ISFORMULA('Month-End'!$DY$39))),1,0)</f>
        <v/>
      </c>
      <c r="CH132">
        <f>IF(AND('Month-End'!$DY$40&lt;&gt;"",NOT(_xlfn.ISFORMULA('Month-End'!$DY$40))),1,0)</f>
        <v/>
      </c>
      <c r="CI132">
        <f>IF(AND('Month-End'!$DY$41&lt;&gt;"",NOT(_xlfn.ISFORMULA('Month-End'!$DY$41))),1,0)</f>
        <v/>
      </c>
      <c r="CJ132">
        <f>IF(AND('Month-End'!$DY$42&lt;&gt;"",NOT(_xlfn.ISFORMULA('Month-End'!$DY$42))),1,0)</f>
        <v/>
      </c>
      <c r="CK132">
        <f>IF(AND('Month-End'!$DY$43&lt;&gt;"",NOT(_xlfn.ISFORMULA('Month-End'!$DY$43))),1,0)</f>
        <v/>
      </c>
      <c r="CL132">
        <f>SUM($CM132:$CZ132)</f>
        <v/>
      </c>
      <c r="CM132">
        <f>IF(AND($E132&lt;&gt;"pre",AND(Settings!$A$19&lt;&gt;"",Settings!$E$19&lt;&gt;"No"),Settings!$F$19="Yes",NOT(AND('Month-End'!$DY$7&lt;&gt;"",NOT(_xlfn.ISFORMULA('Month-End'!$DY$7))))),1,0)</f>
        <v/>
      </c>
      <c r="CN132">
        <f>IF(AND($E132&lt;&gt;"pre",AND(Settings!$A$20&lt;&gt;"",Settings!$E$20&lt;&gt;"No"),Settings!$F$20="Yes",NOT(AND('Month-End'!$DY$8&lt;&gt;"",NOT(_xlfn.ISFORMULA('Month-End'!$DY$8))))),1,0)</f>
        <v/>
      </c>
      <c r="CO132">
        <f>IF(AND($E132&lt;&gt;"pre",AND(Settings!$A$21&lt;&gt;"",Settings!$E$21&lt;&gt;"No"),Settings!$F$21="Yes",NOT(AND('Month-End'!$DY$9&lt;&gt;"",NOT(_xlfn.ISFORMULA('Month-End'!$DY$9))))),1,0)</f>
        <v/>
      </c>
      <c r="CP132">
        <f>IF(AND($E132&lt;&gt;"pre",AND(Settings!$A$22&lt;&gt;"",Settings!$E$22&lt;&gt;"No"),Settings!$F$22="Yes",NOT(AND('Month-End'!$DY$10&lt;&gt;"",NOT(_xlfn.ISFORMULA('Month-End'!$DY$10))))),1,0)</f>
        <v/>
      </c>
      <c r="CQ132">
        <f>IF(AND($E132&lt;&gt;"pre",AND(Settings!$A$23&lt;&gt;"",Settings!$E$23&lt;&gt;"No"),Settings!$F$23="Yes",NOT(AND('Month-End'!$DY$11&lt;&gt;"",NOT(_xlfn.ISFORMULA('Month-End'!$DY$11))))),1,0)</f>
        <v/>
      </c>
      <c r="CR132">
        <f>IF(AND($E132&lt;&gt;"pre",AND(Settings!$A$24&lt;&gt;"",Settings!$E$24&lt;&gt;"No"),Settings!$F$24="Yes",NOT(AND('Month-End'!$DY$12&lt;&gt;"",NOT(_xlfn.ISFORMULA('Month-End'!$DY$12))))),1,0)</f>
        <v/>
      </c>
      <c r="CS132">
        <f>IF(AND($E132&lt;&gt;"pre",AND(Settings!$A$25&lt;&gt;"",Settings!$E$25&lt;&gt;"No"),Settings!$F$25="Yes",NOT(AND('Month-End'!$DY$13&lt;&gt;"",NOT(_xlfn.ISFORMULA('Month-End'!$DY$13))))),1,0)</f>
        <v/>
      </c>
      <c r="CT132">
        <f>IF(AND($E132&lt;&gt;"pre",AND(Settings!$A$26&lt;&gt;"",Settings!$E$26&lt;&gt;"No"),Settings!$F$26="Yes",NOT(AND('Month-End'!$DY$14&lt;&gt;"",NOT(_xlfn.ISFORMULA('Month-End'!$DY$14))))),1,0)</f>
        <v/>
      </c>
      <c r="CU132">
        <f>IF(AND($E132&lt;&gt;"pre",AND(Settings!$A$27&lt;&gt;"",Settings!$E$27&lt;&gt;"No"),Settings!$F$27="Yes",NOT(AND('Month-End'!$DY$15&lt;&gt;"",NOT(_xlfn.ISFORMULA('Month-End'!$DY$15))))),1,0)</f>
        <v/>
      </c>
      <c r="CV132">
        <f>IF(AND($E132&lt;&gt;"pre",AND(Settings!$A$28&lt;&gt;"",Settings!$E$28&lt;&gt;"No"),Settings!$F$28="Yes",NOT(AND('Month-End'!$DY$16&lt;&gt;"",NOT(_xlfn.ISFORMULA('Month-End'!$DY$16))))),1,0)</f>
        <v/>
      </c>
      <c r="CW132">
        <f>IF(AND($E132&lt;&gt;"pre",AND(Settings!$A$29&lt;&gt;"",Settings!$E$29&lt;&gt;"No"),Settings!$F$29="Yes",NOT(AND('Month-End'!$DY$17&lt;&gt;"",NOT(_xlfn.ISFORMULA('Month-End'!$DY$17))))),1,0)</f>
        <v/>
      </c>
      <c r="CX132">
        <f>IF(AND($E132&lt;&gt;"pre",AND(Settings!$A$30&lt;&gt;"",Settings!$E$30&lt;&gt;"No"),Settings!$F$30="Yes",NOT(AND('Month-End'!$DY$18&lt;&gt;"",NOT(_xlfn.ISFORMULA('Month-End'!$DY$18))))),1,0)</f>
        <v/>
      </c>
      <c r="CY132">
        <f>IF(AND($E132&lt;&gt;"pre",AND(Settings!$A$31&lt;&gt;"",Settings!$E$31&lt;&gt;"No"),Settings!$F$31="Yes",NOT(AND('Month-End'!$DY$19&lt;&gt;"",NOT(_xlfn.ISFORMULA('Month-End'!$DY$19))))),1,0)</f>
        <v/>
      </c>
      <c r="CZ132">
        <f>IF(AND($E132&lt;&gt;"pre",AND(Settings!$A$32&lt;&gt;"",Settings!$E$32&lt;&gt;"No"),Settings!$F$32="Yes",NOT(AND('Month-End'!$DY$20&lt;&gt;"",NOT(_xlfn.ISFORMULA('Month-End'!$DY$20))))),1,0)</f>
        <v/>
      </c>
      <c r="DA132">
        <f>IF($DT132=1,IF(OR(Settings!$B$19="Checking",Settings!$B$19="Savings",Settings!$B$19="Cash"),N($AE132),IF(OR(Settings!$B$19="Card",Settings!$B$19="Loan"),-N($AE132),0))+IF(OR(Settings!$B$20="Checking",Settings!$B$20="Savings",Settings!$B$20="Cash"),N($AF132),IF(OR(Settings!$B$20="Card",Settings!$B$20="Loan"),-N($AF132),0))+IF(OR(Settings!$B$21="Checking",Settings!$B$21="Savings",Settings!$B$21="Cash"),N($AG132),IF(OR(Settings!$B$21="Card",Settings!$B$21="Loan"),-N($AG132),0))+IF(OR(Settings!$B$22="Checking",Settings!$B$22="Savings",Settings!$B$22="Cash"),N($AH132),IF(OR(Settings!$B$22="Card",Settings!$B$22="Loan"),-N($AH132),0))+IF(OR(Settings!$B$23="Checking",Settings!$B$23="Savings",Settings!$B$23="Cash"),N($AI132),IF(OR(Settings!$B$23="Card",Settings!$B$23="Loan"),-N($AI132),0))+IF(OR(Settings!$B$24="Checking",Settings!$B$24="Savings",Settings!$B$24="Cash"),N($AJ132),IF(OR(Settings!$B$24="Card",Settings!$B$24="Loan"),-N($AJ132),0))+IF(OR(Settings!$B$25="Checking",Settings!$B$25="Savings",Settings!$B$25="Cash"),N($AK132),IF(OR(Settings!$B$25="Card",Settings!$B$25="Loan"),-N($AK132),0))+IF(OR(Settings!$B$26="Checking",Settings!$B$26="Savings",Settings!$B$26="Cash"),N($AL132),IF(OR(Settings!$B$26="Card",Settings!$B$26="Loan"),-N($AL132),0))+IF(OR(Settings!$B$27="Checking",Settings!$B$27="Savings",Settings!$B$27="Cash"),N($AM132),IF(OR(Settings!$B$27="Card",Settings!$B$27="Loan"),-N($AM132),0))+IF(OR(Settings!$B$28="Checking",Settings!$B$28="Savings",Settings!$B$28="Cash"),N($AN132),IF(OR(Settings!$B$28="Card",Settings!$B$28="Loan"),-N($AN132),0))+IF(OR(Settings!$B$29="Checking",Settings!$B$29="Savings",Settings!$B$29="Cash"),N($AO132),IF(OR(Settings!$B$29="Card",Settings!$B$29="Loan"),-N($AO132),0))+IF(OR(Settings!$B$30="Checking",Settings!$B$30="Savings",Settings!$B$30="Cash"),N($AP132),IF(OR(Settings!$B$30="Card",Settings!$B$30="Loan"),-N($AP132),0))+IF(OR(Settings!$B$31="Checking",Settings!$B$31="Savings",Settings!$B$31="Cash"),N($AQ132),IF(OR(Settings!$B$31="Card",Settings!$B$31="Loan"),-N($AQ132),0))+IF(OR(Settings!$B$32="Checking",Settings!$B$32="Savings",Settings!$B$32="Cash"),N($AR132),IF(OR(Settings!$B$32="Card",Settings!$B$32="Loan"),-N($AR132),0)),"")</f>
        <v/>
      </c>
      <c r="DB132">
        <f>IF($E132="open",$EB$27,IF($E132="post",IF($E131="pre",$EB$27,$DA131),""))</f>
        <v/>
      </c>
      <c r="DC132">
        <f>IF($E132="open",1,IF($E132="post",IF($E131="pre",1,$DT131),0))</f>
        <v/>
      </c>
      <c r="DD132">
        <f>IF(AND($DT132=1,$DC132=1),ROUND($W132-($DA132-$DB132)-$AD132-$AB132,2),"")</f>
        <v/>
      </c>
      <c r="DE132">
        <f>IF('Month-End'!$DY$35="",$BQ132,N('Month-End'!$DY$35))</f>
        <v/>
      </c>
      <c r="DF132">
        <f>N('Month-End'!$DY$36)</f>
        <v/>
      </c>
      <c r="DG132">
        <f>IF($DD132="","",$DD132+$DE132)</f>
        <v/>
      </c>
      <c r="DH132">
        <f>IF($DG132="","",$DG132-$DF132)</f>
        <v/>
      </c>
      <c r="DI132">
        <f>IF(OR($E132="pre",$D132=1),"",N($AS132)+N($AT132)+N($AU132)+N($AV132)+N($AW132)+N($AX132))</f>
        <v/>
      </c>
      <c r="DJ132">
        <f>IF($DT132=1,$DA132+N($DI132),"")</f>
        <v/>
      </c>
      <c r="DK132">
        <f>IF($DD132="","",$W132-$DD132-$AB132)</f>
        <v/>
      </c>
      <c r="DL132">
        <f>IF(AND($E132="post",$DD132&lt;&gt;"",$B132&lt;TODAY()),1,0)</f>
        <v/>
      </c>
      <c r="DM132">
        <f>IF($DL132=1,COUNTIF($DL132:$DL$183,1),0)</f>
        <v/>
      </c>
      <c r="DN132">
        <f>IF($D132=1,"",IF($E132="pre","History only",IF($DT132=1,IF($DD132="","⚠ Previous month missing",IF($DD132&lt;0,"⚠ Check: spending &lt; 0",IF($E132="open","✓ Done (partial)","✓ Done"))),IF($B132&gt;=TODAY(),"In progress","⚠ Needs balances"))))</f>
        <v/>
      </c>
      <c r="DO132">
        <f>YEAR($A132)</f>
        <v/>
      </c>
      <c r="DP132">
        <f>DATE(YEAR($A132),INT((MONTH($A132)-1)/3)*3+1,1)</f>
        <v/>
      </c>
      <c r="DQ132">
        <f>IF(AND($DT132=1,$DD132&lt;&gt;"",$D132=0),ROW(),0)</f>
        <v/>
      </c>
      <c r="DR132">
        <f>IF(AND($E132&lt;&gt;"pre",$B132&lt;TODAY(),$DT132=0),1,0)</f>
        <v/>
      </c>
      <c r="DS132">
        <f>IF($DJ132="",NA(),$DJ132)</f>
        <v/>
      </c>
      <c r="DT132">
        <f>IF(AND($E132&lt;&gt;"pre",$CL132=0,COUNTIFS(Settings!$F$19:$F$32,"Yes",Settings!$A$19:$A$32,"&lt;&gt;",Settings!$E$19:$E$32,"&lt;&gt;No")&gt;0),1,0)</f>
        <v/>
      </c>
      <c r="DU132">
        <f>IF(AND($B132&lt;TODAY(),$S132&gt;0),1,0)</f>
        <v/>
      </c>
      <c r="DV132">
        <f>IF($DU132=1,COUNTIF($DU132:$DU$183,1),0)</f>
        <v/>
      </c>
      <c r="DW132">
        <f>IF(AND(OR(Settings!$B$19="Card",Settings!$B$19="Loan"),AND('Month-End'!$DY$7&lt;&gt;"",NOT(_xlfn.ISFORMULA('Month-End'!$DY$7)))),IF(N('Month-End'!$DY$7)&lt;0,1,0),0)+IF(AND(OR(Settings!$B$20="Card",Settings!$B$20="Loan"),AND('Month-End'!$DY$8&lt;&gt;"",NOT(_xlfn.ISFORMULA('Month-End'!$DY$8)))),IF(N('Month-End'!$DY$8)&lt;0,1,0),0)+IF(AND(OR(Settings!$B$21="Card",Settings!$B$21="Loan"),AND('Month-End'!$DY$9&lt;&gt;"",NOT(_xlfn.ISFORMULA('Month-End'!$DY$9)))),IF(N('Month-End'!$DY$9)&lt;0,1,0),0)+IF(AND(OR(Settings!$B$22="Card",Settings!$B$22="Loan"),AND('Month-End'!$DY$10&lt;&gt;"",NOT(_xlfn.ISFORMULA('Month-End'!$DY$10)))),IF(N('Month-End'!$DY$10)&lt;0,1,0),0)+IF(AND(OR(Settings!$B$23="Card",Settings!$B$23="Loan"),AND('Month-End'!$DY$11&lt;&gt;"",NOT(_xlfn.ISFORMULA('Month-End'!$DY$11)))),IF(N('Month-End'!$DY$11)&lt;0,1,0),0)+IF(AND(OR(Settings!$B$24="Card",Settings!$B$24="Loan"),AND('Month-End'!$DY$12&lt;&gt;"",NOT(_xlfn.ISFORMULA('Month-End'!$DY$12)))),IF(N('Month-End'!$DY$12)&lt;0,1,0),0)+IF(AND(OR(Settings!$B$25="Card",Settings!$B$25="Loan"),AND('Month-End'!$DY$13&lt;&gt;"",NOT(_xlfn.ISFORMULA('Month-End'!$DY$13)))),IF(N('Month-End'!$DY$13)&lt;0,1,0),0)+IF(AND(OR(Settings!$B$26="Card",Settings!$B$26="Loan"),AND('Month-End'!$DY$14&lt;&gt;"",NOT(_xlfn.ISFORMULA('Month-End'!$DY$14)))),IF(N('Month-End'!$DY$14)&lt;0,1,0),0)+IF(AND(OR(Settings!$B$27="Card",Settings!$B$27="Loan"),AND('Month-End'!$DY$15&lt;&gt;"",NOT(_xlfn.ISFORMULA('Month-End'!$DY$15)))),IF(N('Month-End'!$DY$15)&lt;0,1,0),0)+IF(AND(OR(Settings!$B$28="Card",Settings!$B$28="Loan"),AND('Month-End'!$DY$16&lt;&gt;"",NOT(_xlfn.ISFORMULA('Month-End'!$DY$16)))),IF(N('Month-End'!$DY$16)&lt;0,1,0),0)+IF(AND(OR(Settings!$B$29="Card",Settings!$B$29="Loan"),AND('Month-End'!$DY$17&lt;&gt;"",NOT(_xlfn.ISFORMULA('Month-End'!$DY$17)))),IF(N('Month-End'!$DY$17)&lt;0,1,0),0)+IF(AND(OR(Settings!$B$30="Card",Settings!$B$30="Loan"),AND('Month-End'!$DY$18&lt;&gt;"",NOT(_xlfn.ISFORMULA('Month-End'!$DY$18)))),IF(N('Month-End'!$DY$18)&lt;0,1,0),0)+IF(AND(OR(Settings!$B$31="Card",Settings!$B$31="Loan"),AND('Month-End'!$DY$19&lt;&gt;"",NOT(_xlfn.ISFORMULA('Month-End'!$DY$19)))),IF(N('Month-End'!$DY$19)&lt;0,1,0),0)+IF(AND(OR(Settings!$B$32="Card",Settings!$B$32="Loan"),AND('Month-End'!$DY$20&lt;&gt;"",NOT(_xlfn.ISFORMULA('Month-End'!$DY$20)))),IF(N('Month-End'!$DY$20)&lt;0,1,0),0)</f>
        <v/>
      </c>
      <c r="DX132">
        <f>IF(Settings!$B$36="Retirement",$AY132,0)+IF(Settings!$B$37="Retirement",$AZ132,0)+IF(Settings!$B$38="Retirement",$BA132,0)+IF(Settings!$B$39="Retirement",$BB132,0)+IF(Settings!$B$40="Retirement",$BC132,0)+IF(Settings!$B$41="Retirement",$BD132,0)</f>
        <v/>
      </c>
      <c r="ET132">
        <f>IF($E132&lt;&gt;"open",0,IF(AND('Month-End'!$DY$22&lt;&gt;"",NOT(_xlfn.ISFORMULA('Month-End'!$DY$22))),0,IF(OR(Settings!$C$45="",Settings!$D$45=""),0,Settings!$C$45*IF(Settings!$D$45="Weekly",IF(IFERROR(MATCH(Settings!$E$45,$EO$4:$EO$10,0),0)=0,0,IF(MIN(Settings!$B$5,IF(Settings!$G$45="",Settings!$B$5,Settings!$G$45))&lt;MAX($A132,Settings!$F$45),0,INT((MIN(Settings!$B$5,IF(Settings!$G$45="",Settings!$B$5,Settings!$G$45))-MAX($A132,Settings!$F$45)-MOD(IFERROR(MATCH(Settings!$E$45,$EO$4:$EO$10,0),0)-WEEKDAY(MAX($A132,Settings!$F$45)),7))/7)+1)),IF(AND(IF(Settings!$E$45="",$B132,DATE(YEAR($A132),MONTH($A132),MIN(Settings!$E$45,DAY($B132))))&gt;=MAX($A132,Settings!$F$45),IF(Settings!$E$45="",$B132,DATE(YEAR($A132),MONTH($A132),MIN(Settings!$E$45,DAY($B132))))&lt;=MIN(Settings!$B$5,IF(Settings!$G$45="",Settings!$B$5,Settings!$G$45))),1,0)))))</f>
        <v/>
      </c>
      <c r="EU132">
        <f>IF($E132&lt;&gt;"open",0,IF(AND('Month-End'!$DY$23&lt;&gt;"",NOT(_xlfn.ISFORMULA('Month-End'!$DY$23))),0,IF(OR(Settings!$C$46="",Settings!$D$46=""),0,Settings!$C$46*IF(Settings!$D$46="Weekly",IF(IFERROR(MATCH(Settings!$E$46,$EO$4:$EO$10,0),0)=0,0,IF(MIN(Settings!$B$5,IF(Settings!$G$46="",Settings!$B$5,Settings!$G$46))&lt;MAX($A132,Settings!$F$46),0,INT((MIN(Settings!$B$5,IF(Settings!$G$46="",Settings!$B$5,Settings!$G$46))-MAX($A132,Settings!$F$46)-MOD(IFERROR(MATCH(Settings!$E$46,$EO$4:$EO$10,0),0)-WEEKDAY(MAX($A132,Settings!$F$46)),7))/7)+1)),IF(AND(IF(Settings!$E$46="",$B132,DATE(YEAR($A132),MONTH($A132),MIN(Settings!$E$46,DAY($B132))))&gt;=MAX($A132,Settings!$F$46),IF(Settings!$E$46="",$B132,DATE(YEAR($A132),MONTH($A132),MIN(Settings!$E$46,DAY($B132))))&lt;=MIN(Settings!$B$5,IF(Settings!$G$46="",Settings!$B$5,Settings!$G$46))),1,0)))))</f>
        <v/>
      </c>
      <c r="EV132">
        <f>IF($E132&lt;&gt;"open",0,IF(AND('Month-End'!$DY$24&lt;&gt;"",NOT(_xlfn.ISFORMULA('Month-End'!$DY$24))),0,IF(OR(Settings!$C$47="",Settings!$D$47=""),0,Settings!$C$47*IF(Settings!$D$47="Weekly",IF(IFERROR(MATCH(Settings!$E$47,$EO$4:$EO$10,0),0)=0,0,IF(MIN(Settings!$B$5,IF(Settings!$G$47="",Settings!$B$5,Settings!$G$47))&lt;MAX($A132,Settings!$F$47),0,INT((MIN(Settings!$B$5,IF(Settings!$G$47="",Settings!$B$5,Settings!$G$47))-MAX($A132,Settings!$F$47)-MOD(IFERROR(MATCH(Settings!$E$47,$EO$4:$EO$10,0),0)-WEEKDAY(MAX($A132,Settings!$F$47)),7))/7)+1)),IF(AND(IF(Settings!$E$47="",$B132,DATE(YEAR($A132),MONTH($A132),MIN(Settings!$E$47,DAY($B132))))&gt;=MAX($A132,Settings!$F$47),IF(Settings!$E$47="",$B132,DATE(YEAR($A132),MONTH($A132),MIN(Settings!$E$47,DAY($B132))))&lt;=MIN(Settings!$B$5,IF(Settings!$G$47="",Settings!$B$5,Settings!$G$47))),1,0)))))</f>
        <v/>
      </c>
      <c r="EW132">
        <f>IF($E132&lt;&gt;"open",0,IF(AND('Month-End'!$DY$25&lt;&gt;"",NOT(_xlfn.ISFORMULA('Month-End'!$DY$25))),0,IF(OR(Settings!$C$48="",Settings!$D$48=""),0,Settings!$C$48*IF(Settings!$D$48="Weekly",IF(IFERROR(MATCH(Settings!$E$48,$EO$4:$EO$10,0),0)=0,0,IF(MIN(Settings!$B$5,IF(Settings!$G$48="",Settings!$B$5,Settings!$G$48))&lt;MAX($A132,Settings!$F$48),0,INT((MIN(Settings!$B$5,IF(Settings!$G$48="",Settings!$B$5,Settings!$G$48))-MAX($A132,Settings!$F$48)-MOD(IFERROR(MATCH(Settings!$E$48,$EO$4:$EO$10,0),0)-WEEKDAY(MAX($A132,Settings!$F$48)),7))/7)+1)),IF(AND(IF(Settings!$E$48="",$B132,DATE(YEAR($A132),MONTH($A132),MIN(Settings!$E$48,DAY($B132))))&gt;=MAX($A132,Settings!$F$48),IF(Settings!$E$48="",$B132,DATE(YEAR($A132),MONTH($A132),MIN(Settings!$E$48,DAY($B132))))&lt;=MIN(Settings!$B$5,IF(Settings!$G$48="",Settings!$B$5,Settings!$G$48))),1,0)))))</f>
        <v/>
      </c>
      <c r="EX132">
        <f>IF($E132&lt;&gt;"open",0,IF(AND('Month-End'!$DY$26&lt;&gt;"",NOT(_xlfn.ISFORMULA('Month-End'!$DY$26))),0,IF(OR(Settings!$C$49="",Settings!$D$49=""),0,Settings!$C$49*IF(Settings!$D$49="Weekly",IF(IFERROR(MATCH(Settings!$E$49,$EO$4:$EO$10,0),0)=0,0,IF(MIN(Settings!$B$5,IF(Settings!$G$49="",Settings!$B$5,Settings!$G$49))&lt;MAX($A132,Settings!$F$49),0,INT((MIN(Settings!$B$5,IF(Settings!$G$49="",Settings!$B$5,Settings!$G$49))-MAX($A132,Settings!$F$49)-MOD(IFERROR(MATCH(Settings!$E$49,$EO$4:$EO$10,0),0)-WEEKDAY(MAX($A132,Settings!$F$49)),7))/7)+1)),IF(AND(IF(Settings!$E$49="",$B132,DATE(YEAR($A132),MONTH($A132),MIN(Settings!$E$49,DAY($B132))))&gt;=MAX($A132,Settings!$F$49),IF(Settings!$E$49="",$B132,DATE(YEAR($A132),MONTH($A132),MIN(Settings!$E$49,DAY($B132))))&lt;=MIN(Settings!$B$5,IF(Settings!$G$49="",Settings!$B$5,Settings!$G$49))),1,0)))))</f>
        <v/>
      </c>
      <c r="EY132">
        <f>IF($E132&lt;&gt;"open",0,IF(AND('Month-End'!$DY$27&lt;&gt;"",NOT(_xlfn.ISFORMULA('Month-End'!$DY$27))),0,IF(OR(Settings!$C$50="",Settings!$D$50=""),0,Settings!$C$50*IF(Settings!$D$50="Weekly",IF(IFERROR(MATCH(Settings!$E$50,$EO$4:$EO$10,0),0)=0,0,IF(MIN(Settings!$B$5,IF(Settings!$G$50="",Settings!$B$5,Settings!$G$50))&lt;MAX($A132,Settings!$F$50),0,INT((MIN(Settings!$B$5,IF(Settings!$G$50="",Settings!$B$5,Settings!$G$50))-MAX($A132,Settings!$F$50)-MOD(IFERROR(MATCH(Settings!$E$50,$EO$4:$EO$10,0),0)-WEEKDAY(MAX($A132,Settings!$F$50)),7))/7)+1)),IF(AND(IF(Settings!$E$50="",$B132,DATE(YEAR($A132),MONTH($A132),MIN(Settings!$E$50,DAY($B132))))&gt;=MAX($A132,Settings!$F$50),IF(Settings!$E$50="",$B132,DATE(YEAR($A132),MONTH($A132),MIN(Settings!$E$50,DAY($B132))))&lt;=MIN(Settings!$B$5,IF(Settings!$G$50="",Settings!$B$5,Settings!$G$50))),1,0)))))</f>
        <v/>
      </c>
      <c r="EZ132">
        <f>IF($E132&lt;&gt;"open",0,IF(AND('Month-End'!$DY$28&lt;&gt;"",NOT(_xlfn.ISFORMULA('Month-End'!$DY$28))),0,IF(OR(Settings!$C$51="",Settings!$D$51=""),0,Settings!$C$51*IF(Settings!$D$51="Weekly",IF(IFERROR(MATCH(Settings!$E$51,$EO$4:$EO$10,0),0)=0,0,IF(MIN(Settings!$B$5,IF(Settings!$G$51="",Settings!$B$5,Settings!$G$51))&lt;MAX($A132,Settings!$F$51),0,INT((MIN(Settings!$B$5,IF(Settings!$G$51="",Settings!$B$5,Settings!$G$51))-MAX($A132,Settings!$F$51)-MOD(IFERROR(MATCH(Settings!$E$51,$EO$4:$EO$10,0),0)-WEEKDAY(MAX($A132,Settings!$F$51)),7))/7)+1)),IF(AND(IF(Settings!$E$51="",$B132,DATE(YEAR($A132),MONTH($A132),MIN(Settings!$E$51,DAY($B132))))&gt;=MAX($A132,Settings!$F$51),IF(Settings!$E$51="",$B132,DATE(YEAR($A132),MONTH($A132),MIN(Settings!$E$51,DAY($B132))))&lt;=MIN(Settings!$B$5,IF(Settings!$G$51="",Settings!$B$5,Settings!$G$51))),1,0)))))</f>
        <v/>
      </c>
      <c r="FA132">
        <f>IF($E132&lt;&gt;"open",0,IF(AND('Month-End'!$DY$29&lt;&gt;"",NOT(_xlfn.ISFORMULA('Month-End'!$DY$29))),0,IF(OR(Settings!$C$52="",Settings!$D$52=""),0,Settings!$C$52*IF(Settings!$D$52="Weekly",IF(IFERROR(MATCH(Settings!$E$52,$EO$4:$EO$10,0),0)=0,0,IF(MIN(Settings!$B$5,IF(Settings!$G$52="",Settings!$B$5,Settings!$G$52))&lt;MAX($A132,Settings!$F$52),0,INT((MIN(Settings!$B$5,IF(Settings!$G$52="",Settings!$B$5,Settings!$G$52))-MAX($A132,Settings!$F$52)-MOD(IFERROR(MATCH(Settings!$E$52,$EO$4:$EO$10,0),0)-WEEKDAY(MAX($A132,Settings!$F$52)),7))/7)+1)),IF(AND(IF(Settings!$E$52="",$B132,DATE(YEAR($A132),MONTH($A132),MIN(Settings!$E$52,DAY($B132))))&gt;=MAX($A132,Settings!$F$52),IF(Settings!$E$52="",$B132,DATE(YEAR($A132),MONTH($A132),MIN(Settings!$E$52,DAY($B132))))&lt;=MIN(Settings!$B$5,IF(Settings!$G$52="",Settings!$B$5,Settings!$G$52))),1,0)))))</f>
        <v/>
      </c>
      <c r="FB132">
        <f>IF($E132&lt;&gt;"open",0,IF(AND('Month-End'!$DY$30&lt;&gt;"",NOT(_xlfn.ISFORMULA('Month-End'!$DY$30))),0,IF(OR(Settings!$C$53="",Settings!$D$53=""),0,Settings!$C$53*IF(Settings!$D$53="Weekly",IF(IFERROR(MATCH(Settings!$E$53,$EO$4:$EO$10,0),0)=0,0,IF(MIN(Settings!$B$5,IF(Settings!$G$53="",Settings!$B$5,Settings!$G$53))&lt;MAX($A132,Settings!$F$53),0,INT((MIN(Settings!$B$5,IF(Settings!$G$53="",Settings!$B$5,Settings!$G$53))-MAX($A132,Settings!$F$53)-MOD(IFERROR(MATCH(Settings!$E$53,$EO$4:$EO$10,0),0)-WEEKDAY(MAX($A132,Settings!$F$53)),7))/7)+1)),IF(AND(IF(Settings!$E$53="",$B132,DATE(YEAR($A132),MONTH($A132),MIN(Settings!$E$53,DAY($B132))))&gt;=MAX($A132,Settings!$F$53),IF(Settings!$E$53="",$B132,DATE(YEAR($A132),MONTH($A132),MIN(Settings!$E$53,DAY($B132))))&lt;=MIN(Settings!$B$5,IF(Settings!$G$53="",Settings!$B$5,Settings!$G$53))),1,0)))))</f>
        <v/>
      </c>
      <c r="FC132">
        <f>IF($E132&lt;&gt;"open",0,IF(AND('Month-End'!$DY$31&lt;&gt;"",NOT(_xlfn.ISFORMULA('Month-End'!$DY$31))),0,IF(OR(Settings!$C$54="",Settings!$D$54=""),0,Settings!$C$54*IF(Settings!$D$54="Weekly",IF(IFERROR(MATCH(Settings!$E$54,$EO$4:$EO$10,0),0)=0,0,IF(MIN(Settings!$B$5,IF(Settings!$G$54="",Settings!$B$5,Settings!$G$54))&lt;MAX($A132,Settings!$F$54),0,INT((MIN(Settings!$B$5,IF(Settings!$G$54="",Settings!$B$5,Settings!$G$54))-MAX($A132,Settings!$F$54)-MOD(IFERROR(MATCH(Settings!$E$54,$EO$4:$EO$10,0),0)-WEEKDAY(MAX($A132,Settings!$F$54)),7))/7)+1)),IF(AND(IF(Settings!$E$54="",$B132,DATE(YEAR($A132),MONTH($A132),MIN(Settings!$E$54,DAY($B132))))&gt;=MAX($A132,Settings!$F$54),IF(Settings!$E$54="",$B132,DATE(YEAR($A132),MONTH($A132),MIN(Settings!$E$54,DAY($B132))))&lt;=MIN(Settings!$B$5,IF(Settings!$G$54="",Settings!$B$5,Settings!$G$54))),1,0)))))</f>
        <v/>
      </c>
      <c r="FD132">
        <f>IF($E132&lt;&gt;"open",0,IF(AND('Month-End'!$DY$32&lt;&gt;"",NOT(_xlfn.ISFORMULA('Month-End'!$DY$32))),0,IF(OR(Settings!$C$55="",Settings!$D$55=""),0,Settings!$C$55*IF(Settings!$D$55="Weekly",IF(IFERROR(MATCH(Settings!$E$55,$EO$4:$EO$10,0),0)=0,0,IF(MIN(Settings!$B$5,IF(Settings!$G$55="",Settings!$B$5,Settings!$G$55))&lt;MAX($A132,Settings!$F$55),0,INT((MIN(Settings!$B$5,IF(Settings!$G$55="",Settings!$B$5,Settings!$G$55))-MAX($A132,Settings!$F$55)-MOD(IFERROR(MATCH(Settings!$E$55,$EO$4:$EO$10,0),0)-WEEKDAY(MAX($A132,Settings!$F$55)),7))/7)+1)),IF(AND(IF(Settings!$E$55="",$B132,DATE(YEAR($A132),MONTH($A132),MIN(Settings!$E$55,DAY($B132))))&gt;=MAX($A132,Settings!$F$55),IF(Settings!$E$55="",$B132,DATE(YEAR($A132),MONTH($A132),MIN(Settings!$E$55,DAY($B132))))&lt;=MIN(Settings!$B$5,IF(Settings!$G$55="",Settings!$B$5,Settings!$G$55))),1,0)))))</f>
        <v/>
      </c>
      <c r="FE132">
        <f>IF($E132&lt;&gt;"open",0,IF(AND('Month-End'!$DY$33&lt;&gt;"",NOT(_xlfn.ISFORMULA('Month-End'!$DY$33))),0,IF(OR(Settings!$C$56="",Settings!$D$56=""),0,Settings!$C$56*IF(Settings!$D$56="Weekly",IF(IFERROR(MATCH(Settings!$E$56,$EO$4:$EO$10,0),0)=0,0,IF(MIN(Settings!$B$5,IF(Settings!$G$56="",Settings!$B$5,Settings!$G$56))&lt;MAX($A132,Settings!$F$56),0,INT((MIN(Settings!$B$5,IF(Settings!$G$56="",Settings!$B$5,Settings!$G$56))-MAX($A132,Settings!$F$56)-MOD(IFERROR(MATCH(Settings!$E$56,$EO$4:$EO$10,0),0)-WEEKDAY(MAX($A132,Settings!$F$56)),7))/7)+1)),IF(AND(IF(Settings!$E$56="",$B132,DATE(YEAR($A132),MONTH($A132),MIN(Settings!$E$56,DAY($B132))))&gt;=MAX($A132,Settings!$F$56),IF(Settings!$E$56="",$B132,DATE(YEAR($A132),MONTH($A132),MIN(Settings!$E$56,DAY($B132))))&lt;=MIN(Settings!$B$5,IF(Settings!$G$56="",Settings!$B$5,Settings!$G$56))),1,0)))))</f>
        <v/>
      </c>
      <c r="FF132">
        <f>IF(Settings!$I$45="Yes",$G132,0)+IF(Settings!$I$46="Yes",$H132,0)+IF(Settings!$I$47="Yes",$I132,0)+IF(Settings!$I$48="Yes",$J132,0)+IF(Settings!$I$49="Yes",$K132,0)+IF(Settings!$I$50="Yes",$L132,0)+IF(Settings!$I$51="Yes",$M132,0)+IF(Settings!$I$52="Yes",$N132,0)+IF(Settings!$I$53="Yes",$O132,0)+IF(Settings!$I$54="Yes",$P132,0)+IF(Settings!$I$55="Yes",$Q132,0)+IF(Settings!$I$56="Yes",$R132,0)</f>
        <v/>
      </c>
      <c r="FG132">
        <f>IF(AND(Settings!$I$45="Yes",Settings!$J$45="No"),$G132,0)+IF(AND(Settings!$I$46="Yes",Settings!$J$46="No"),$H132,0)+IF(AND(Settings!$I$47="Yes",Settings!$J$47="No"),$I132,0)+IF(AND(Settings!$I$48="Yes",Settings!$J$48="No"),$J132,0)+IF(AND(Settings!$I$49="Yes",Settings!$J$49="No"),$K132,0)+IF(AND(Settings!$I$50="Yes",Settings!$J$50="No"),$L132,0)+IF(AND(Settings!$I$51="Yes",Settings!$J$51="No"),$M132,0)+IF(AND(Settings!$I$52="Yes",Settings!$J$52="No"),$N132,0)+IF(AND(Settings!$I$53="Yes",Settings!$J$53="No"),$O132,0)+IF(AND(Settings!$I$54="Yes",Settings!$J$54="No"),$P132,0)+IF(AND(Settings!$I$55="Yes",Settings!$J$55="No"),$Q132,0)+IF(AND(Settings!$I$56="Yes",Settings!$J$56="No"),$R132,0)</f>
        <v/>
      </c>
      <c r="FH132">
        <f>SUMIFS(Giving!$B$7:$B$2006,Giving!$A$7:$A$2006,"&gt;="&amp;$A132,Giving!$A$7:$A$2006,"&lt;="&amp;$B132,Giving!$G$7:$G$2006,"Yes")+IF(OR(OR(Settings!$B$60="",Settings!$F$60="No"),Settings!$H$60&lt;&gt;"Yes"),0,Settings!$B$60*IF(AND(IF(Settings!$C$60="",$B132,DATE(YEAR($A132),MONTH($A132),MIN(Settings!$C$60,DAY($B132))))&gt;=MAX($A132,Settings!$D$60),IF(Settings!$C$60="",$B132,DATE(YEAR($A132),MONTH($A132),MIN(Settings!$C$60,DAY($B132))))&lt;=MIN($C132,IF(Settings!$E$60="",$C132,Settings!$E$60))),1,0))+IF(OR(OR(Settings!$B$61="",Settings!$F$61="No"),Settings!$H$61&lt;&gt;"Yes"),0,Settings!$B$61*IF(AND(IF(Settings!$C$61="",$B132,DATE(YEAR($A132),MONTH($A132),MIN(Settings!$C$61,DAY($B132))))&gt;=MAX($A132,Settings!$D$61),IF(Settings!$C$61="",$B132,DATE(YEAR($A132),MONTH($A132),MIN(Settings!$C$61,DAY($B132))))&lt;=MIN($C132,IF(Settings!$E$61="",$C132,Settings!$E$61))),1,0))+IF(OR(OR(Settings!$B$62="",Settings!$F$62="No"),Settings!$H$62&lt;&gt;"Yes"),0,Settings!$B$62*IF(AND(IF(Settings!$C$62="",$B132,DATE(YEAR($A132),MONTH($A132),MIN(Settings!$C$62,DAY($B132))))&gt;=MAX($A132,Settings!$D$62),IF(Settings!$C$62="",$B132,DATE(YEAR($A132),MONTH($A132),MIN(Settings!$C$62,DAY($B132))))&lt;=MIN($C132,IF(Settings!$E$62="",$C132,Settings!$E$62))),1,0))+IF(OR(OR(Settings!$B$63="",Settings!$F$63="No"),Settings!$H$63&lt;&gt;"Yes"),0,Settings!$B$63*IF(AND(IF(Settings!$C$63="",$B132,DATE(YEAR($A132),MONTH($A132),MIN(Settings!$C$63,DAY($B132))))&gt;=MAX($A132,Settings!$D$63),IF(Settings!$C$63="",$B132,DATE(YEAR($A132),MONTH($A132),MIN(Settings!$C$63,DAY($B132))))&lt;=MIN($C132,IF(Settings!$E$63="",$C132,Settings!$E$63))),1,0))+IF(OR(OR(Settings!$B$64="",Settings!$F$64="No"),Settings!$H$64&lt;&gt;"Yes"),0,Settings!$B$64*IF(AND(IF(Settings!$C$64="",$B132,DATE(YEAR($A132),MONTH($A132),MIN(Settings!$C$64,DAY($B132))))&gt;=MAX($A132,Settings!$D$64),IF(Settings!$C$64="",$B132,DATE(YEAR($A132),MONTH($A132),MIN(Settings!$C$64,DAY($B132))))&lt;=MIN($C132,IF(Settings!$E$64="",$C132,Settings!$E$64))),1,0))+IF(OR(OR(Settings!$B$65="",Settings!$F$65="No"),Settings!$H$65&lt;&gt;"Yes"),0,Settings!$B$65*IF(AND(IF(Settings!$C$65="",$B132,DATE(YEAR($A132),MONTH($A132),MIN(Settings!$C$65,DAY($B132))))&gt;=MAX($A132,Settings!$D$65),IF(Settings!$C$65="",$B132,DATE(YEAR($A132),MONTH($A132),MIN(Settings!$C$65,DAY($B132))))&lt;=MIN($C132,IF(Settings!$E$65="",$C132,Settings!$E$65))),1,0))</f>
        <v/>
      </c>
      <c r="FI132">
        <f>IF($DT132=1,IF(OR(Settings!$B$19="Card",Settings!$B$19="Loan"),N($AE132),0)+IF(OR(Settings!$B$20="Card",Settings!$B$20="Loan"),N($AF132),0)+IF(OR(Settings!$B$21="Card",Settings!$B$21="Loan"),N($AG132),0)+IF(OR(Settings!$B$22="Card",Settings!$B$22="Loan"),N($AH132),0)+IF(OR(Settings!$B$23="Card",Settings!$B$23="Loan"),N($AI132),0)+IF(OR(Settings!$B$24="Card",Settings!$B$24="Loan"),N($AJ132),0)+IF(OR(Settings!$B$25="Card",Settings!$B$25="Loan"),N($AK132),0)+IF(OR(Settings!$B$26="Card",Settings!$B$26="Loan"),N($AL132),0)+IF(OR(Settings!$B$27="Card",Settings!$B$27="Loan"),N($AM132),0)+IF(OR(Settings!$B$28="Card",Settings!$B$28="Loan"),N($AN132),0)+IF(OR(Settings!$B$29="Card",Settings!$B$29="Loan"),N($AO132),0)+IF(OR(Settings!$B$30="Card",Settings!$B$30="Loan"),N($AP132),0)+IF(OR(Settings!$B$31="Card",Settings!$B$31="Loan"),N($AQ132),0)+IF(OR(Settings!$B$32="Card",Settings!$B$32="Loan"),N($AR132),0),"")</f>
        <v/>
      </c>
      <c r="FJ132">
        <f>IF($E132="open",$EB$65,IF($E132="post",IF($E131="pre",$EB$65,$FI131),""))</f>
        <v/>
      </c>
      <c r="FK132">
        <f>IF(AND($DT132=1,$DC132=1),IF(ROUND($FI132-$FJ132,2)&gt;0,1,0),0)</f>
        <v/>
      </c>
      <c r="FL132">
        <f>IF($FK132=1,$FL131+1,0)</f>
        <v/>
      </c>
    </row>
    <row r="133">
      <c r="A133">
        <f>'Month-End'!$DZ$4</f>
        <v/>
      </c>
      <c r="B133">
        <f>EOMONTH($A133,0)</f>
        <v/>
      </c>
      <c r="C133">
        <f>MIN($B133,TODAY())</f>
        <v/>
      </c>
      <c r="D133">
        <f>IF($A133&gt;TODAY(),1,0)</f>
        <v/>
      </c>
      <c r="E133">
        <f>IF($B133&lt;=Settings!$B$5,"pre",IF($A133&lt;=Settings!$B$5,"open","post"))</f>
        <v/>
      </c>
      <c r="G133">
        <f>IF('Month-End'!$DZ$22="",$BE133,N('Month-End'!$DZ$22))</f>
        <v/>
      </c>
      <c r="H133">
        <f>IF('Month-End'!$DZ$23="",$BF133,N('Month-End'!$DZ$23))</f>
        <v/>
      </c>
      <c r="I133">
        <f>IF('Month-End'!$DZ$24="",$BG133,N('Month-End'!$DZ$24))</f>
        <v/>
      </c>
      <c r="J133">
        <f>IF('Month-End'!$DZ$25="",$BH133,N('Month-End'!$DZ$25))</f>
        <v/>
      </c>
      <c r="K133">
        <f>IF('Month-End'!$DZ$26="",$BI133,N('Month-End'!$DZ$26))</f>
        <v/>
      </c>
      <c r="L133">
        <f>IF('Month-End'!$DZ$27="",$BJ133,N('Month-End'!$DZ$27))</f>
        <v/>
      </c>
      <c r="M133">
        <f>IF('Month-End'!$DZ$28="",$BK133,N('Month-End'!$DZ$28))</f>
        <v/>
      </c>
      <c r="N133">
        <f>IF('Month-End'!$DZ$29="",$BL133,N('Month-End'!$DZ$29))</f>
        <v/>
      </c>
      <c r="O133">
        <f>IF('Month-End'!$DZ$30="",$BM133,N('Month-End'!$DZ$30))</f>
        <v/>
      </c>
      <c r="P133">
        <f>IF('Month-End'!$DZ$31="",$BN133,N('Month-End'!$DZ$31))</f>
        <v/>
      </c>
      <c r="Q133">
        <f>IF('Month-End'!$DZ$32="",$BO133,N('Month-End'!$DZ$32))</f>
        <v/>
      </c>
      <c r="R133">
        <f>IF('Month-End'!$DZ$33="",$BP133,N('Month-End'!$DZ$33))</f>
        <v/>
      </c>
      <c r="S133">
        <f>$G133+$H133+$I133+$J133+$K133+$L133+$M133+$N133+$O133+$P133+$Q133+$R133</f>
        <v/>
      </c>
      <c r="T133">
        <f>IF($B133&lt;Settings!$B$6,0,IF(Settings!$B$45="Yes",$G133,0)+IF(Settings!$B$46="Yes",$H133,0)+IF(Settings!$B$47="Yes",$I133,0)+IF(Settings!$B$48="Yes",$J133,0)+IF(Settings!$B$49="Yes",$K133,0)+IF(Settings!$B$50="Yes",$L133,0)+IF(Settings!$B$51="Yes",$M133,0)+IF(Settings!$B$52="Yes",$N133,0)+IF(Settings!$B$53="Yes",$O133,0)+IF(Settings!$B$54="Yes",$P133,0)+IF(Settings!$B$55="Yes",$Q133,0)+IF(Settings!$B$56="Yes",$R133,0))</f>
        <v/>
      </c>
      <c r="U133">
        <f>IF(Settings!$B$45="Not Sure",$G133,0)+IF(Settings!$B$46="Not Sure",$H133,0)+IF(Settings!$B$47="Not Sure",$I133,0)+IF(Settings!$B$48="Not Sure",$J133,0)+IF(Settings!$B$49="Not Sure",$K133,0)+IF(Settings!$B$50="Not Sure",$L133,0)+IF(Settings!$B$51="Not Sure",$M133,0)+IF(Settings!$B$52="Not Sure",$N133,0)+IF(Settings!$B$53="Not Sure",$O133,0)+IF(Settings!$B$54="Not Sure",$P133,0)+IF(Settings!$B$55="Not Sure",$Q133,0)+IF(Settings!$B$56="Not Sure",$R133,0)</f>
        <v/>
      </c>
      <c r="V133">
        <f>IF($E133="open",SUM($ET133:$FE133)+N(Settings!$B$13),0)</f>
        <v/>
      </c>
      <c r="W133">
        <f>IF($E133="post",$S133,IF($E133="open",$S133-$V133,0))</f>
        <v/>
      </c>
      <c r="X133">
        <f>SUMIFS(Giving!$B$7:$B$2006,Giving!$A$7:$A$2006,"&gt;="&amp;$A133,Giving!$A$7:$A$2006,"&lt;="&amp;$B133,Giving!$E$7:$E$2006,"&lt;&gt;No")</f>
        <v/>
      </c>
      <c r="Y133">
        <f>SUMIFS(Giving!$B$7:$B$2006,Giving!$A$7:$A$2006,"&gt;="&amp;$A133,Giving!$A$7:$A$2006,"&lt;="&amp;$B133,Giving!$E$7:$E$2006,"No")</f>
        <v/>
      </c>
      <c r="Z133">
        <f>IF(OR(Settings!$B$60="",Settings!$F$60="No"),0,Settings!$B$60*IF(AND(IF(Settings!$C$60="",$B133,DATE(YEAR($A133),MONTH($A133),MIN(Settings!$C$60,DAY($B133))))&gt;=MAX($A133,Settings!$D$60),IF(Settings!$C$60="",$B133,DATE(YEAR($A133),MONTH($A133),MIN(Settings!$C$60,DAY($B133))))&lt;=MIN($C133,IF(Settings!$E$60="",$C133,Settings!$E$60))),1,0))+IF(OR(Settings!$B$61="",Settings!$F$61="No"),0,Settings!$B$61*IF(AND(IF(Settings!$C$61="",$B133,DATE(YEAR($A133),MONTH($A133),MIN(Settings!$C$61,DAY($B133))))&gt;=MAX($A133,Settings!$D$61),IF(Settings!$C$61="",$B133,DATE(YEAR($A133),MONTH($A133),MIN(Settings!$C$61,DAY($B133))))&lt;=MIN($C133,IF(Settings!$E$61="",$C133,Settings!$E$61))),1,0))+IF(OR(Settings!$B$62="",Settings!$F$62="No"),0,Settings!$B$62*IF(AND(IF(Settings!$C$62="",$B133,DATE(YEAR($A133),MONTH($A133),MIN(Settings!$C$62,DAY($B133))))&gt;=MAX($A133,Settings!$D$62),IF(Settings!$C$62="",$B133,DATE(YEAR($A133),MONTH($A133),MIN(Settings!$C$62,DAY($B133))))&lt;=MIN($C133,IF(Settings!$E$62="",$C133,Settings!$E$62))),1,0))+IF(OR(Settings!$B$63="",Settings!$F$63="No"),0,Settings!$B$63*IF(AND(IF(Settings!$C$63="",$B133,DATE(YEAR($A133),MONTH($A133),MIN(Settings!$C$63,DAY($B133))))&gt;=MAX($A133,Settings!$D$63),IF(Settings!$C$63="",$B133,DATE(YEAR($A133),MONTH($A133),MIN(Settings!$C$63,DAY($B133))))&lt;=MIN($C133,IF(Settings!$E$63="",$C133,Settings!$E$63))),1,0))+IF(OR(Settings!$B$64="",Settings!$F$64="No"),0,Settings!$B$64*IF(AND(IF(Settings!$C$64="",$B133,DATE(YEAR($A133),MONTH($A133),MIN(Settings!$C$64,DAY($B133))))&gt;=MAX($A133,Settings!$D$64),IF(Settings!$C$64="",$B133,DATE(YEAR($A133),MONTH($A133),MIN(Settings!$C$64,DAY($B133))))&lt;=MIN($C133,IF(Settings!$E$64="",$C133,Settings!$E$64))),1,0))+IF(OR(Settings!$B$65="",Settings!$F$65="No"),0,Settings!$B$65*IF(AND(IF(Settings!$C$65="",$B133,DATE(YEAR($A133),MONTH($A133),MIN(Settings!$C$65,DAY($B133))))&gt;=MAX($A133,Settings!$D$65),IF(Settings!$C$65="",$B133,DATE(YEAR($A133),MONTH($A133),MIN(Settings!$C$65,DAY($B133))))&lt;=MIN($C133,IF(Settings!$E$65="",$C133,Settings!$E$65))),1,0))</f>
        <v/>
      </c>
      <c r="AA133">
        <f>$X133+$Z133</f>
        <v/>
      </c>
      <c r="AB133">
        <f>IF($E133="post",$AA133,IF($E133="open",SUMIFS(Giving!$B$7:$B$2006,Giving!$A$7:$A$2006,"&gt;"&amp;Settings!$B$5,Giving!$A$7:$A$2006,"&lt;="&amp;$B133,Giving!$E$7:$E$2006,"&lt;&gt;No")+IF(OR(Settings!$B$60="",Settings!$F$60="No"),0,Settings!$B$60*IF(AND(IF(Settings!$C$60="",$B133,DATE(YEAR($A133),MONTH($A133),MIN(Settings!$C$60,DAY($B133))))&gt;=MAX($A133,Settings!$D$60,Settings!$B$5+1),IF(Settings!$C$60="",$B133,DATE(YEAR($A133),MONTH($A133),MIN(Settings!$C$60,DAY($B133))))&lt;=MIN($C133,IF(Settings!$E$60="",$C133,Settings!$E$60))),1,0))+IF(OR(Settings!$B$61="",Settings!$F$61="No"),0,Settings!$B$61*IF(AND(IF(Settings!$C$61="",$B133,DATE(YEAR($A133),MONTH($A133),MIN(Settings!$C$61,DAY($B133))))&gt;=MAX($A133,Settings!$D$61,Settings!$B$5+1),IF(Settings!$C$61="",$B133,DATE(YEAR($A133),MONTH($A133),MIN(Settings!$C$61,DAY($B133))))&lt;=MIN($C133,IF(Settings!$E$61="",$C133,Settings!$E$61))),1,0))+IF(OR(Settings!$B$62="",Settings!$F$62="No"),0,Settings!$B$62*IF(AND(IF(Settings!$C$62="",$B133,DATE(YEAR($A133),MONTH($A133),MIN(Settings!$C$62,DAY($B133))))&gt;=MAX($A133,Settings!$D$62,Settings!$B$5+1),IF(Settings!$C$62="",$B133,DATE(YEAR($A133),MONTH($A133),MIN(Settings!$C$62,DAY($B133))))&lt;=MIN($C133,IF(Settings!$E$62="",$C133,Settings!$E$62))),1,0))+IF(OR(Settings!$B$63="",Settings!$F$63="No"),0,Settings!$B$63*IF(AND(IF(Settings!$C$63="",$B133,DATE(YEAR($A133),MONTH($A133),MIN(Settings!$C$63,DAY($B133))))&gt;=MAX($A133,Settings!$D$63,Settings!$B$5+1),IF(Settings!$C$63="",$B133,DATE(YEAR($A133),MONTH($A133),MIN(Settings!$C$63,DAY($B133))))&lt;=MIN($C133,IF(Settings!$E$63="",$C133,Settings!$E$63))),1,0))+IF(OR(Settings!$B$64="",Settings!$F$64="No"),0,Settings!$B$64*IF(AND(IF(Settings!$C$64="",$B133,DATE(YEAR($A133),MONTH($A133),MIN(Settings!$C$64,DAY($B133))))&gt;=MAX($A133,Settings!$D$64,Settings!$B$5+1),IF(Settings!$C$64="",$B133,DATE(YEAR($A133),MONTH($A133),MIN(Settings!$C$64,DAY($B133))))&lt;=MIN($C133,IF(Settings!$E$64="",$C133,Settings!$E$64))),1,0))+IF(OR(Settings!$B$65="",Settings!$F$65="No"),0,Settings!$B$65*IF(AND(IF(Settings!$C$65="",$B133,DATE(YEAR($A133),MONTH($A133),MIN(Settings!$C$65,DAY($B133))))&gt;=MAX($A133,Settings!$D$65,Settings!$B$5+1),IF(Settings!$C$65="",$B133,DATE(YEAR($A133),MONTH($A133),MIN(Settings!$C$65,DAY($B133))))&lt;=MIN($C133,IF(Settings!$E$65="",$C133,Settings!$E$65))),1,0)),0))</f>
        <v/>
      </c>
      <c r="AC133">
        <f>$AY133+$AZ133+$BA133+$BB133+$BC133+$BD133</f>
        <v/>
      </c>
      <c r="AD133">
        <f>$AC133</f>
        <v/>
      </c>
      <c r="AE133">
        <f>IF(OR(Settings!$A$19="",$E133="pre"),"",IF(AND('Month-End'!$DZ$7&lt;&gt;"",NOT(_xlfn.ISFORMULA('Month-End'!$DZ$7))),N('Month-End'!$DZ$7),IF(OR($E133="open",$E132="pre"),N(Settings!$C$19),N($AE132))))</f>
        <v/>
      </c>
      <c r="AF133">
        <f>IF(OR(Settings!$A$20="",$E133="pre"),"",IF(AND('Month-End'!$DZ$8&lt;&gt;"",NOT(_xlfn.ISFORMULA('Month-End'!$DZ$8))),N('Month-End'!$DZ$8),IF(OR($E133="open",$E132="pre"),N(Settings!$C$20),N($AF132))))</f>
        <v/>
      </c>
      <c r="AG133">
        <f>IF(OR(Settings!$A$21="",$E133="pre"),"",IF(AND('Month-End'!$DZ$9&lt;&gt;"",NOT(_xlfn.ISFORMULA('Month-End'!$DZ$9))),N('Month-End'!$DZ$9),IF(OR($E133="open",$E132="pre"),N(Settings!$C$21),N($AG132))))</f>
        <v/>
      </c>
      <c r="AH133">
        <f>IF(OR(Settings!$A$22="",$E133="pre"),"",IF(AND('Month-End'!$DZ$10&lt;&gt;"",NOT(_xlfn.ISFORMULA('Month-End'!$DZ$10))),N('Month-End'!$DZ$10),IF(OR($E133="open",$E132="pre"),N(Settings!$C$22),N($AH132))))</f>
        <v/>
      </c>
      <c r="AI133">
        <f>IF(OR(Settings!$A$23="",$E133="pre"),"",IF(AND('Month-End'!$DZ$11&lt;&gt;"",NOT(_xlfn.ISFORMULA('Month-End'!$DZ$11))),N('Month-End'!$DZ$11),IF(OR($E133="open",$E132="pre"),N(Settings!$C$23),N($AI132))))</f>
        <v/>
      </c>
      <c r="AJ133">
        <f>IF(OR(Settings!$A$24="",$E133="pre"),"",IF(AND('Month-End'!$DZ$12&lt;&gt;"",NOT(_xlfn.ISFORMULA('Month-End'!$DZ$12))),N('Month-End'!$DZ$12),IF(OR($E133="open",$E132="pre"),N(Settings!$C$24),N($AJ132))))</f>
        <v/>
      </c>
      <c r="AK133">
        <f>IF(OR(Settings!$A$25="",$E133="pre"),"",IF(AND('Month-End'!$DZ$13&lt;&gt;"",NOT(_xlfn.ISFORMULA('Month-End'!$DZ$13))),N('Month-End'!$DZ$13),IF(OR($E133="open",$E132="pre"),N(Settings!$C$25),N($AK132))))</f>
        <v/>
      </c>
      <c r="AL133">
        <f>IF(OR(Settings!$A$26="",$E133="pre"),"",IF(AND('Month-End'!$DZ$14&lt;&gt;"",NOT(_xlfn.ISFORMULA('Month-End'!$DZ$14))),N('Month-End'!$DZ$14),IF(OR($E133="open",$E132="pre"),N(Settings!$C$26),N($AL132))))</f>
        <v/>
      </c>
      <c r="AM133">
        <f>IF(OR(Settings!$A$27="",$E133="pre"),"",IF(AND('Month-End'!$DZ$15&lt;&gt;"",NOT(_xlfn.ISFORMULA('Month-End'!$DZ$15))),N('Month-End'!$DZ$15),IF(OR($E133="open",$E132="pre"),N(Settings!$C$27),N($AM132))))</f>
        <v/>
      </c>
      <c r="AN133">
        <f>IF(OR(Settings!$A$28="",$E133="pre"),"",IF(AND('Month-End'!$DZ$16&lt;&gt;"",NOT(_xlfn.ISFORMULA('Month-End'!$DZ$16))),N('Month-End'!$DZ$16),IF(OR($E133="open",$E132="pre"),N(Settings!$C$28),N($AN132))))</f>
        <v/>
      </c>
      <c r="AO133">
        <f>IF(OR(Settings!$A$29="",$E133="pre"),"",IF(AND('Month-End'!$DZ$17&lt;&gt;"",NOT(_xlfn.ISFORMULA('Month-End'!$DZ$17))),N('Month-End'!$DZ$17),IF(OR($E133="open",$E132="pre"),N(Settings!$C$29),N($AO132))))</f>
        <v/>
      </c>
      <c r="AP133">
        <f>IF(OR(Settings!$A$30="",$E133="pre"),"",IF(AND('Month-End'!$DZ$18&lt;&gt;"",NOT(_xlfn.ISFORMULA('Month-End'!$DZ$18))),N('Month-End'!$DZ$18),IF(OR($E133="open",$E132="pre"),N(Settings!$C$30),N($AP132))))</f>
        <v/>
      </c>
      <c r="AQ133">
        <f>IF(OR(Settings!$A$31="",$E133="pre"),"",IF(AND('Month-End'!$DZ$19&lt;&gt;"",NOT(_xlfn.ISFORMULA('Month-End'!$DZ$19))),N('Month-End'!$DZ$19),IF(OR($E133="open",$E132="pre"),N(Settings!$C$31),N($AQ132))))</f>
        <v/>
      </c>
      <c r="AR133">
        <f>IF(OR(Settings!$A$32="",$E133="pre"),"",IF(AND('Month-End'!$DZ$20&lt;&gt;"",NOT(_xlfn.ISFORMULA('Month-End'!$DZ$20))),N('Month-End'!$DZ$20),IF(OR($E133="open",$E132="pre"),N(Settings!$C$32),N($AR132))))</f>
        <v/>
      </c>
      <c r="AS133">
        <f>IF(OR(Settings!$A$36="",$E133="pre"),"",IF(AND('Month-End'!$DZ$38&lt;&gt;"",NOT(_xlfn.ISFORMULA('Month-End'!$DZ$38))),N('Month-End'!$DZ$38),IF(OR($E133="open",$E132="pre"),N(Settings!$C$36),N($AS132))+$AY133))</f>
        <v/>
      </c>
      <c r="AT133">
        <f>IF(OR(Settings!$A$37="",$E133="pre"),"",IF(AND('Month-End'!$DZ$39&lt;&gt;"",NOT(_xlfn.ISFORMULA('Month-End'!$DZ$39))),N('Month-End'!$DZ$39),IF(OR($E133="open",$E132="pre"),N(Settings!$C$37),N($AT132))+$AZ133))</f>
        <v/>
      </c>
      <c r="AU133">
        <f>IF(OR(Settings!$A$38="",$E133="pre"),"",IF(AND('Month-End'!$DZ$40&lt;&gt;"",NOT(_xlfn.ISFORMULA('Month-End'!$DZ$40))),N('Month-End'!$DZ$40),IF(OR($E133="open",$E132="pre"),N(Settings!$C$38),N($AU132))+$BA133))</f>
        <v/>
      </c>
      <c r="AV133">
        <f>IF(OR(Settings!$A$39="",$E133="pre"),"",IF(AND('Month-End'!$DZ$41&lt;&gt;"",NOT(_xlfn.ISFORMULA('Month-End'!$DZ$41))),N('Month-End'!$DZ$41),IF(OR($E133="open",$E132="pre"),N(Settings!$C$39),N($AV132))+$BB133))</f>
        <v/>
      </c>
      <c r="AW133">
        <f>IF(OR(Settings!$A$40="",$E133="pre"),"",IF(AND('Month-End'!$DZ$42&lt;&gt;"",NOT(_xlfn.ISFORMULA('Month-End'!$DZ$42))),N('Month-End'!$DZ$42),IF(OR($E133="open",$E132="pre"),N(Settings!$C$40),N($AW132))+$BC133))</f>
        <v/>
      </c>
      <c r="AX133">
        <f>IF(OR(Settings!$A$41="",$E133="pre"),"",IF(AND('Month-End'!$DZ$43&lt;&gt;"",NOT(_xlfn.ISFORMULA('Month-End'!$DZ$43))),N('Month-End'!$DZ$43),IF(OR($E133="open",$E132="pre"),N(Settings!$C$41),N($AX132))+$BD133))</f>
        <v/>
      </c>
      <c r="AY133">
        <f>IF($E133="pre",0,N('Month-End'!$DZ$45))</f>
        <v/>
      </c>
      <c r="AZ133">
        <f>IF($E133="pre",0,N('Month-End'!$DZ$46))</f>
        <v/>
      </c>
      <c r="BA133">
        <f>IF($E133="pre",0,N('Month-End'!$DZ$47))</f>
        <v/>
      </c>
      <c r="BB133">
        <f>IF($E133="pre",0,N('Month-End'!$DZ$48))</f>
        <v/>
      </c>
      <c r="BC133">
        <f>IF($E133="pre",0,N('Month-End'!$DZ$49))</f>
        <v/>
      </c>
      <c r="BD133">
        <f>IF($E133="pre",0,N('Month-End'!$DZ$50))</f>
        <v/>
      </c>
      <c r="BE133">
        <f>IF(OR(Settings!$C$45="",Settings!$D$45=""),0,Settings!$C$45*IF(Settings!$D$45="Weekly",IF(IFERROR(MATCH(Settings!$E$45,$EO$4:$EO$10,0),0)=0,0,IF(MIN($C133,IF(Settings!$G$45="",$C133,Settings!$G$45))&lt;MAX($A133,Settings!$F$45),0,INT((MIN($C133,IF(Settings!$G$45="",$C133,Settings!$G$45))-MAX($A133,Settings!$F$45)-MOD(IFERROR(MATCH(Settings!$E$45,$EO$4:$EO$10,0),0)-WEEKDAY(MAX($A133,Settings!$F$45)),7))/7)+1)),IF(AND(IF(Settings!$E$45="",$B133,DATE(YEAR($A133),MONTH($A133),MIN(Settings!$E$45,DAY($B133))))&gt;=MAX($A133,Settings!$F$45),IF(Settings!$E$45="",$B133,DATE(YEAR($A133),MONTH($A133),MIN(Settings!$E$45,DAY($B133))))&lt;=MIN($C133,IF(Settings!$G$45="",$C133,Settings!$G$45))),1,0)))</f>
        <v/>
      </c>
      <c r="BF133">
        <f>IF(OR(Settings!$C$46="",Settings!$D$46=""),0,Settings!$C$46*IF(Settings!$D$46="Weekly",IF(IFERROR(MATCH(Settings!$E$46,$EO$4:$EO$10,0),0)=0,0,IF(MIN($C133,IF(Settings!$G$46="",$C133,Settings!$G$46))&lt;MAX($A133,Settings!$F$46),0,INT((MIN($C133,IF(Settings!$G$46="",$C133,Settings!$G$46))-MAX($A133,Settings!$F$46)-MOD(IFERROR(MATCH(Settings!$E$46,$EO$4:$EO$10,0),0)-WEEKDAY(MAX($A133,Settings!$F$46)),7))/7)+1)),IF(AND(IF(Settings!$E$46="",$B133,DATE(YEAR($A133),MONTH($A133),MIN(Settings!$E$46,DAY($B133))))&gt;=MAX($A133,Settings!$F$46),IF(Settings!$E$46="",$B133,DATE(YEAR($A133),MONTH($A133),MIN(Settings!$E$46,DAY($B133))))&lt;=MIN($C133,IF(Settings!$G$46="",$C133,Settings!$G$46))),1,0)))</f>
        <v/>
      </c>
      <c r="BG133">
        <f>IF(OR(Settings!$C$47="",Settings!$D$47=""),0,Settings!$C$47*IF(Settings!$D$47="Weekly",IF(IFERROR(MATCH(Settings!$E$47,$EO$4:$EO$10,0),0)=0,0,IF(MIN($C133,IF(Settings!$G$47="",$C133,Settings!$G$47))&lt;MAX($A133,Settings!$F$47),0,INT((MIN($C133,IF(Settings!$G$47="",$C133,Settings!$G$47))-MAX($A133,Settings!$F$47)-MOD(IFERROR(MATCH(Settings!$E$47,$EO$4:$EO$10,0),0)-WEEKDAY(MAX($A133,Settings!$F$47)),7))/7)+1)),IF(AND(IF(Settings!$E$47="",$B133,DATE(YEAR($A133),MONTH($A133),MIN(Settings!$E$47,DAY($B133))))&gt;=MAX($A133,Settings!$F$47),IF(Settings!$E$47="",$B133,DATE(YEAR($A133),MONTH($A133),MIN(Settings!$E$47,DAY($B133))))&lt;=MIN($C133,IF(Settings!$G$47="",$C133,Settings!$G$47))),1,0)))</f>
        <v/>
      </c>
      <c r="BH133">
        <f>IF(OR(Settings!$C$48="",Settings!$D$48=""),0,Settings!$C$48*IF(Settings!$D$48="Weekly",IF(IFERROR(MATCH(Settings!$E$48,$EO$4:$EO$10,0),0)=0,0,IF(MIN($C133,IF(Settings!$G$48="",$C133,Settings!$G$48))&lt;MAX($A133,Settings!$F$48),0,INT((MIN($C133,IF(Settings!$G$48="",$C133,Settings!$G$48))-MAX($A133,Settings!$F$48)-MOD(IFERROR(MATCH(Settings!$E$48,$EO$4:$EO$10,0),0)-WEEKDAY(MAX($A133,Settings!$F$48)),7))/7)+1)),IF(AND(IF(Settings!$E$48="",$B133,DATE(YEAR($A133),MONTH($A133),MIN(Settings!$E$48,DAY($B133))))&gt;=MAX($A133,Settings!$F$48),IF(Settings!$E$48="",$B133,DATE(YEAR($A133),MONTH($A133),MIN(Settings!$E$48,DAY($B133))))&lt;=MIN($C133,IF(Settings!$G$48="",$C133,Settings!$G$48))),1,0)))</f>
        <v/>
      </c>
      <c r="BI133">
        <f>IF(OR(Settings!$C$49="",Settings!$D$49=""),0,Settings!$C$49*IF(Settings!$D$49="Weekly",IF(IFERROR(MATCH(Settings!$E$49,$EO$4:$EO$10,0),0)=0,0,IF(MIN($C133,IF(Settings!$G$49="",$C133,Settings!$G$49))&lt;MAX($A133,Settings!$F$49),0,INT((MIN($C133,IF(Settings!$G$49="",$C133,Settings!$G$49))-MAX($A133,Settings!$F$49)-MOD(IFERROR(MATCH(Settings!$E$49,$EO$4:$EO$10,0),0)-WEEKDAY(MAX($A133,Settings!$F$49)),7))/7)+1)),IF(AND(IF(Settings!$E$49="",$B133,DATE(YEAR($A133),MONTH($A133),MIN(Settings!$E$49,DAY($B133))))&gt;=MAX($A133,Settings!$F$49),IF(Settings!$E$49="",$B133,DATE(YEAR($A133),MONTH($A133),MIN(Settings!$E$49,DAY($B133))))&lt;=MIN($C133,IF(Settings!$G$49="",$C133,Settings!$G$49))),1,0)))</f>
        <v/>
      </c>
      <c r="BJ133">
        <f>IF(OR(Settings!$C$50="",Settings!$D$50=""),0,Settings!$C$50*IF(Settings!$D$50="Weekly",IF(IFERROR(MATCH(Settings!$E$50,$EO$4:$EO$10,0),0)=0,0,IF(MIN($C133,IF(Settings!$G$50="",$C133,Settings!$G$50))&lt;MAX($A133,Settings!$F$50),0,INT((MIN($C133,IF(Settings!$G$50="",$C133,Settings!$G$50))-MAX($A133,Settings!$F$50)-MOD(IFERROR(MATCH(Settings!$E$50,$EO$4:$EO$10,0),0)-WEEKDAY(MAX($A133,Settings!$F$50)),7))/7)+1)),IF(AND(IF(Settings!$E$50="",$B133,DATE(YEAR($A133),MONTH($A133),MIN(Settings!$E$50,DAY($B133))))&gt;=MAX($A133,Settings!$F$50),IF(Settings!$E$50="",$B133,DATE(YEAR($A133),MONTH($A133),MIN(Settings!$E$50,DAY($B133))))&lt;=MIN($C133,IF(Settings!$G$50="",$C133,Settings!$G$50))),1,0)))</f>
        <v/>
      </c>
      <c r="BK133">
        <f>IF(OR(Settings!$C$51="",Settings!$D$51=""),0,Settings!$C$51*IF(Settings!$D$51="Weekly",IF(IFERROR(MATCH(Settings!$E$51,$EO$4:$EO$10,0),0)=0,0,IF(MIN($C133,IF(Settings!$G$51="",$C133,Settings!$G$51))&lt;MAX($A133,Settings!$F$51),0,INT((MIN($C133,IF(Settings!$G$51="",$C133,Settings!$G$51))-MAX($A133,Settings!$F$51)-MOD(IFERROR(MATCH(Settings!$E$51,$EO$4:$EO$10,0),0)-WEEKDAY(MAX($A133,Settings!$F$51)),7))/7)+1)),IF(AND(IF(Settings!$E$51="",$B133,DATE(YEAR($A133),MONTH($A133),MIN(Settings!$E$51,DAY($B133))))&gt;=MAX($A133,Settings!$F$51),IF(Settings!$E$51="",$B133,DATE(YEAR($A133),MONTH($A133),MIN(Settings!$E$51,DAY($B133))))&lt;=MIN($C133,IF(Settings!$G$51="",$C133,Settings!$G$51))),1,0)))</f>
        <v/>
      </c>
      <c r="BL133">
        <f>IF(OR(Settings!$C$52="",Settings!$D$52=""),0,Settings!$C$52*IF(Settings!$D$52="Weekly",IF(IFERROR(MATCH(Settings!$E$52,$EO$4:$EO$10,0),0)=0,0,IF(MIN($C133,IF(Settings!$G$52="",$C133,Settings!$G$52))&lt;MAX($A133,Settings!$F$52),0,INT((MIN($C133,IF(Settings!$G$52="",$C133,Settings!$G$52))-MAX($A133,Settings!$F$52)-MOD(IFERROR(MATCH(Settings!$E$52,$EO$4:$EO$10,0),0)-WEEKDAY(MAX($A133,Settings!$F$52)),7))/7)+1)),IF(AND(IF(Settings!$E$52="",$B133,DATE(YEAR($A133),MONTH($A133),MIN(Settings!$E$52,DAY($B133))))&gt;=MAX($A133,Settings!$F$52),IF(Settings!$E$52="",$B133,DATE(YEAR($A133),MONTH($A133),MIN(Settings!$E$52,DAY($B133))))&lt;=MIN($C133,IF(Settings!$G$52="",$C133,Settings!$G$52))),1,0)))</f>
        <v/>
      </c>
      <c r="BM133">
        <f>IF(OR(Settings!$C$53="",Settings!$D$53=""),0,Settings!$C$53*IF(Settings!$D$53="Weekly",IF(IFERROR(MATCH(Settings!$E$53,$EO$4:$EO$10,0),0)=0,0,IF(MIN($C133,IF(Settings!$G$53="",$C133,Settings!$G$53))&lt;MAX($A133,Settings!$F$53),0,INT((MIN($C133,IF(Settings!$G$53="",$C133,Settings!$G$53))-MAX($A133,Settings!$F$53)-MOD(IFERROR(MATCH(Settings!$E$53,$EO$4:$EO$10,0),0)-WEEKDAY(MAX($A133,Settings!$F$53)),7))/7)+1)),IF(AND(IF(Settings!$E$53="",$B133,DATE(YEAR($A133),MONTH($A133),MIN(Settings!$E$53,DAY($B133))))&gt;=MAX($A133,Settings!$F$53),IF(Settings!$E$53="",$B133,DATE(YEAR($A133),MONTH($A133),MIN(Settings!$E$53,DAY($B133))))&lt;=MIN($C133,IF(Settings!$G$53="",$C133,Settings!$G$53))),1,0)))</f>
        <v/>
      </c>
      <c r="BN133">
        <f>IF(OR(Settings!$C$54="",Settings!$D$54=""),0,Settings!$C$54*IF(Settings!$D$54="Weekly",IF(IFERROR(MATCH(Settings!$E$54,$EO$4:$EO$10,0),0)=0,0,IF(MIN($C133,IF(Settings!$G$54="",$C133,Settings!$G$54))&lt;MAX($A133,Settings!$F$54),0,INT((MIN($C133,IF(Settings!$G$54="",$C133,Settings!$G$54))-MAX($A133,Settings!$F$54)-MOD(IFERROR(MATCH(Settings!$E$54,$EO$4:$EO$10,0),0)-WEEKDAY(MAX($A133,Settings!$F$54)),7))/7)+1)),IF(AND(IF(Settings!$E$54="",$B133,DATE(YEAR($A133),MONTH($A133),MIN(Settings!$E$54,DAY($B133))))&gt;=MAX($A133,Settings!$F$54),IF(Settings!$E$54="",$B133,DATE(YEAR($A133),MONTH($A133),MIN(Settings!$E$54,DAY($B133))))&lt;=MIN($C133,IF(Settings!$G$54="",$C133,Settings!$G$54))),1,0)))</f>
        <v/>
      </c>
      <c r="BO133">
        <f>IF(OR(Settings!$C$55="",Settings!$D$55=""),0,Settings!$C$55*IF(Settings!$D$55="Weekly",IF(IFERROR(MATCH(Settings!$E$55,$EO$4:$EO$10,0),0)=0,0,IF(MIN($C133,IF(Settings!$G$55="",$C133,Settings!$G$55))&lt;MAX($A133,Settings!$F$55),0,INT((MIN($C133,IF(Settings!$G$55="",$C133,Settings!$G$55))-MAX($A133,Settings!$F$55)-MOD(IFERROR(MATCH(Settings!$E$55,$EO$4:$EO$10,0),0)-WEEKDAY(MAX($A133,Settings!$F$55)),7))/7)+1)),IF(AND(IF(Settings!$E$55="",$B133,DATE(YEAR($A133),MONTH($A133),MIN(Settings!$E$55,DAY($B133))))&gt;=MAX($A133,Settings!$F$55),IF(Settings!$E$55="",$B133,DATE(YEAR($A133),MONTH($A133),MIN(Settings!$E$55,DAY($B133))))&lt;=MIN($C133,IF(Settings!$G$55="",$C133,Settings!$G$55))),1,0)))</f>
        <v/>
      </c>
      <c r="BP133">
        <f>IF(OR(Settings!$C$56="",Settings!$D$56=""),0,Settings!$C$56*IF(Settings!$D$56="Weekly",IF(IFERROR(MATCH(Settings!$E$56,$EO$4:$EO$10,0),0)=0,0,IF(MIN($C133,IF(Settings!$G$56="",$C133,Settings!$G$56))&lt;MAX($A133,Settings!$F$56),0,INT((MIN($C133,IF(Settings!$G$56="",$C133,Settings!$G$56))-MAX($A133,Settings!$F$56)-MOD(IFERROR(MATCH(Settings!$E$56,$EO$4:$EO$10,0),0)-WEEKDAY(MAX($A133,Settings!$F$56)),7))/7)+1)),IF(AND(IF(Settings!$E$56="",$B133,DATE(YEAR($A133),MONTH($A133),MIN(Settings!$E$56,DAY($B133))))&gt;=MAX($A133,Settings!$F$56),IF(Settings!$E$56="",$B133,DATE(YEAR($A133),MONTH($A133),MIN(Settings!$E$56,DAY($B133))))&lt;=MIN($C133,IF(Settings!$G$56="",$C133,Settings!$G$56))),1,0)))</f>
        <v/>
      </c>
      <c r="BQ133">
        <f>IF(OR(Settings!$B$14="",$D133=1,$E133="pre",$A133&lt;IF(Settings!$B$15="",0,Settings!$B$15)),0,Settings!$B$14)</f>
        <v/>
      </c>
      <c r="BR133">
        <f>IF(AND('Month-End'!$DZ$7&lt;&gt;"",NOT(_xlfn.ISFORMULA('Month-End'!$DZ$7))),1,0)</f>
        <v/>
      </c>
      <c r="BS133">
        <f>IF(AND('Month-End'!$DZ$8&lt;&gt;"",NOT(_xlfn.ISFORMULA('Month-End'!$DZ$8))),1,0)</f>
        <v/>
      </c>
      <c r="BT133">
        <f>IF(AND('Month-End'!$DZ$9&lt;&gt;"",NOT(_xlfn.ISFORMULA('Month-End'!$DZ$9))),1,0)</f>
        <v/>
      </c>
      <c r="BU133">
        <f>IF(AND('Month-End'!$DZ$10&lt;&gt;"",NOT(_xlfn.ISFORMULA('Month-End'!$DZ$10))),1,0)</f>
        <v/>
      </c>
      <c r="BV133">
        <f>IF(AND('Month-End'!$DZ$11&lt;&gt;"",NOT(_xlfn.ISFORMULA('Month-End'!$DZ$11))),1,0)</f>
        <v/>
      </c>
      <c r="BW133">
        <f>IF(AND('Month-End'!$DZ$12&lt;&gt;"",NOT(_xlfn.ISFORMULA('Month-End'!$DZ$12))),1,0)</f>
        <v/>
      </c>
      <c r="BX133">
        <f>IF(AND('Month-End'!$DZ$13&lt;&gt;"",NOT(_xlfn.ISFORMULA('Month-End'!$DZ$13))),1,0)</f>
        <v/>
      </c>
      <c r="BY133">
        <f>IF(AND('Month-End'!$DZ$14&lt;&gt;"",NOT(_xlfn.ISFORMULA('Month-End'!$DZ$14))),1,0)</f>
        <v/>
      </c>
      <c r="BZ133">
        <f>IF(AND('Month-End'!$DZ$15&lt;&gt;"",NOT(_xlfn.ISFORMULA('Month-End'!$DZ$15))),1,0)</f>
        <v/>
      </c>
      <c r="CA133">
        <f>IF(AND('Month-End'!$DZ$16&lt;&gt;"",NOT(_xlfn.ISFORMULA('Month-End'!$DZ$16))),1,0)</f>
        <v/>
      </c>
      <c r="CB133">
        <f>IF(AND('Month-End'!$DZ$17&lt;&gt;"",NOT(_xlfn.ISFORMULA('Month-End'!$DZ$17))),1,0)</f>
        <v/>
      </c>
      <c r="CC133">
        <f>IF(AND('Month-End'!$DZ$18&lt;&gt;"",NOT(_xlfn.ISFORMULA('Month-End'!$DZ$18))),1,0)</f>
        <v/>
      </c>
      <c r="CD133">
        <f>IF(AND('Month-End'!$DZ$19&lt;&gt;"",NOT(_xlfn.ISFORMULA('Month-End'!$DZ$19))),1,0)</f>
        <v/>
      </c>
      <c r="CE133">
        <f>IF(AND('Month-End'!$DZ$20&lt;&gt;"",NOT(_xlfn.ISFORMULA('Month-End'!$DZ$20))),1,0)</f>
        <v/>
      </c>
      <c r="CF133">
        <f>IF(AND('Month-End'!$DZ$38&lt;&gt;"",NOT(_xlfn.ISFORMULA('Month-End'!$DZ$38))),1,0)</f>
        <v/>
      </c>
      <c r="CG133">
        <f>IF(AND('Month-End'!$DZ$39&lt;&gt;"",NOT(_xlfn.ISFORMULA('Month-End'!$DZ$39))),1,0)</f>
        <v/>
      </c>
      <c r="CH133">
        <f>IF(AND('Month-End'!$DZ$40&lt;&gt;"",NOT(_xlfn.ISFORMULA('Month-End'!$DZ$40))),1,0)</f>
        <v/>
      </c>
      <c r="CI133">
        <f>IF(AND('Month-End'!$DZ$41&lt;&gt;"",NOT(_xlfn.ISFORMULA('Month-End'!$DZ$41))),1,0)</f>
        <v/>
      </c>
      <c r="CJ133">
        <f>IF(AND('Month-End'!$DZ$42&lt;&gt;"",NOT(_xlfn.ISFORMULA('Month-End'!$DZ$42))),1,0)</f>
        <v/>
      </c>
      <c r="CK133">
        <f>IF(AND('Month-End'!$DZ$43&lt;&gt;"",NOT(_xlfn.ISFORMULA('Month-End'!$DZ$43))),1,0)</f>
        <v/>
      </c>
      <c r="CL133">
        <f>SUM($CM133:$CZ133)</f>
        <v/>
      </c>
      <c r="CM133">
        <f>IF(AND($E133&lt;&gt;"pre",AND(Settings!$A$19&lt;&gt;"",Settings!$E$19&lt;&gt;"No"),Settings!$F$19="Yes",NOT(AND('Month-End'!$DZ$7&lt;&gt;"",NOT(_xlfn.ISFORMULA('Month-End'!$DZ$7))))),1,0)</f>
        <v/>
      </c>
      <c r="CN133">
        <f>IF(AND($E133&lt;&gt;"pre",AND(Settings!$A$20&lt;&gt;"",Settings!$E$20&lt;&gt;"No"),Settings!$F$20="Yes",NOT(AND('Month-End'!$DZ$8&lt;&gt;"",NOT(_xlfn.ISFORMULA('Month-End'!$DZ$8))))),1,0)</f>
        <v/>
      </c>
      <c r="CO133">
        <f>IF(AND($E133&lt;&gt;"pre",AND(Settings!$A$21&lt;&gt;"",Settings!$E$21&lt;&gt;"No"),Settings!$F$21="Yes",NOT(AND('Month-End'!$DZ$9&lt;&gt;"",NOT(_xlfn.ISFORMULA('Month-End'!$DZ$9))))),1,0)</f>
        <v/>
      </c>
      <c r="CP133">
        <f>IF(AND($E133&lt;&gt;"pre",AND(Settings!$A$22&lt;&gt;"",Settings!$E$22&lt;&gt;"No"),Settings!$F$22="Yes",NOT(AND('Month-End'!$DZ$10&lt;&gt;"",NOT(_xlfn.ISFORMULA('Month-End'!$DZ$10))))),1,0)</f>
        <v/>
      </c>
      <c r="CQ133">
        <f>IF(AND($E133&lt;&gt;"pre",AND(Settings!$A$23&lt;&gt;"",Settings!$E$23&lt;&gt;"No"),Settings!$F$23="Yes",NOT(AND('Month-End'!$DZ$11&lt;&gt;"",NOT(_xlfn.ISFORMULA('Month-End'!$DZ$11))))),1,0)</f>
        <v/>
      </c>
      <c r="CR133">
        <f>IF(AND($E133&lt;&gt;"pre",AND(Settings!$A$24&lt;&gt;"",Settings!$E$24&lt;&gt;"No"),Settings!$F$24="Yes",NOT(AND('Month-End'!$DZ$12&lt;&gt;"",NOT(_xlfn.ISFORMULA('Month-End'!$DZ$12))))),1,0)</f>
        <v/>
      </c>
      <c r="CS133">
        <f>IF(AND($E133&lt;&gt;"pre",AND(Settings!$A$25&lt;&gt;"",Settings!$E$25&lt;&gt;"No"),Settings!$F$25="Yes",NOT(AND('Month-End'!$DZ$13&lt;&gt;"",NOT(_xlfn.ISFORMULA('Month-End'!$DZ$13))))),1,0)</f>
        <v/>
      </c>
      <c r="CT133">
        <f>IF(AND($E133&lt;&gt;"pre",AND(Settings!$A$26&lt;&gt;"",Settings!$E$26&lt;&gt;"No"),Settings!$F$26="Yes",NOT(AND('Month-End'!$DZ$14&lt;&gt;"",NOT(_xlfn.ISFORMULA('Month-End'!$DZ$14))))),1,0)</f>
        <v/>
      </c>
      <c r="CU133">
        <f>IF(AND($E133&lt;&gt;"pre",AND(Settings!$A$27&lt;&gt;"",Settings!$E$27&lt;&gt;"No"),Settings!$F$27="Yes",NOT(AND('Month-End'!$DZ$15&lt;&gt;"",NOT(_xlfn.ISFORMULA('Month-End'!$DZ$15))))),1,0)</f>
        <v/>
      </c>
      <c r="CV133">
        <f>IF(AND($E133&lt;&gt;"pre",AND(Settings!$A$28&lt;&gt;"",Settings!$E$28&lt;&gt;"No"),Settings!$F$28="Yes",NOT(AND('Month-End'!$DZ$16&lt;&gt;"",NOT(_xlfn.ISFORMULA('Month-End'!$DZ$16))))),1,0)</f>
        <v/>
      </c>
      <c r="CW133">
        <f>IF(AND($E133&lt;&gt;"pre",AND(Settings!$A$29&lt;&gt;"",Settings!$E$29&lt;&gt;"No"),Settings!$F$29="Yes",NOT(AND('Month-End'!$DZ$17&lt;&gt;"",NOT(_xlfn.ISFORMULA('Month-End'!$DZ$17))))),1,0)</f>
        <v/>
      </c>
      <c r="CX133">
        <f>IF(AND($E133&lt;&gt;"pre",AND(Settings!$A$30&lt;&gt;"",Settings!$E$30&lt;&gt;"No"),Settings!$F$30="Yes",NOT(AND('Month-End'!$DZ$18&lt;&gt;"",NOT(_xlfn.ISFORMULA('Month-End'!$DZ$18))))),1,0)</f>
        <v/>
      </c>
      <c r="CY133">
        <f>IF(AND($E133&lt;&gt;"pre",AND(Settings!$A$31&lt;&gt;"",Settings!$E$31&lt;&gt;"No"),Settings!$F$31="Yes",NOT(AND('Month-End'!$DZ$19&lt;&gt;"",NOT(_xlfn.ISFORMULA('Month-End'!$DZ$19))))),1,0)</f>
        <v/>
      </c>
      <c r="CZ133">
        <f>IF(AND($E133&lt;&gt;"pre",AND(Settings!$A$32&lt;&gt;"",Settings!$E$32&lt;&gt;"No"),Settings!$F$32="Yes",NOT(AND('Month-End'!$DZ$20&lt;&gt;"",NOT(_xlfn.ISFORMULA('Month-End'!$DZ$20))))),1,0)</f>
        <v/>
      </c>
      <c r="DA133">
        <f>IF($DT133=1,IF(OR(Settings!$B$19="Checking",Settings!$B$19="Savings",Settings!$B$19="Cash"),N($AE133),IF(OR(Settings!$B$19="Card",Settings!$B$19="Loan"),-N($AE133),0))+IF(OR(Settings!$B$20="Checking",Settings!$B$20="Savings",Settings!$B$20="Cash"),N($AF133),IF(OR(Settings!$B$20="Card",Settings!$B$20="Loan"),-N($AF133),0))+IF(OR(Settings!$B$21="Checking",Settings!$B$21="Savings",Settings!$B$21="Cash"),N($AG133),IF(OR(Settings!$B$21="Card",Settings!$B$21="Loan"),-N($AG133),0))+IF(OR(Settings!$B$22="Checking",Settings!$B$22="Savings",Settings!$B$22="Cash"),N($AH133),IF(OR(Settings!$B$22="Card",Settings!$B$22="Loan"),-N($AH133),0))+IF(OR(Settings!$B$23="Checking",Settings!$B$23="Savings",Settings!$B$23="Cash"),N($AI133),IF(OR(Settings!$B$23="Card",Settings!$B$23="Loan"),-N($AI133),0))+IF(OR(Settings!$B$24="Checking",Settings!$B$24="Savings",Settings!$B$24="Cash"),N($AJ133),IF(OR(Settings!$B$24="Card",Settings!$B$24="Loan"),-N($AJ133),0))+IF(OR(Settings!$B$25="Checking",Settings!$B$25="Savings",Settings!$B$25="Cash"),N($AK133),IF(OR(Settings!$B$25="Card",Settings!$B$25="Loan"),-N($AK133),0))+IF(OR(Settings!$B$26="Checking",Settings!$B$26="Savings",Settings!$B$26="Cash"),N($AL133),IF(OR(Settings!$B$26="Card",Settings!$B$26="Loan"),-N($AL133),0))+IF(OR(Settings!$B$27="Checking",Settings!$B$27="Savings",Settings!$B$27="Cash"),N($AM133),IF(OR(Settings!$B$27="Card",Settings!$B$27="Loan"),-N($AM133),0))+IF(OR(Settings!$B$28="Checking",Settings!$B$28="Savings",Settings!$B$28="Cash"),N($AN133),IF(OR(Settings!$B$28="Card",Settings!$B$28="Loan"),-N($AN133),0))+IF(OR(Settings!$B$29="Checking",Settings!$B$29="Savings",Settings!$B$29="Cash"),N($AO133),IF(OR(Settings!$B$29="Card",Settings!$B$29="Loan"),-N($AO133),0))+IF(OR(Settings!$B$30="Checking",Settings!$B$30="Savings",Settings!$B$30="Cash"),N($AP133),IF(OR(Settings!$B$30="Card",Settings!$B$30="Loan"),-N($AP133),0))+IF(OR(Settings!$B$31="Checking",Settings!$B$31="Savings",Settings!$B$31="Cash"),N($AQ133),IF(OR(Settings!$B$31="Card",Settings!$B$31="Loan"),-N($AQ133),0))+IF(OR(Settings!$B$32="Checking",Settings!$B$32="Savings",Settings!$B$32="Cash"),N($AR133),IF(OR(Settings!$B$32="Card",Settings!$B$32="Loan"),-N($AR133),0)),"")</f>
        <v/>
      </c>
      <c r="DB133">
        <f>IF($E133="open",$EB$27,IF($E133="post",IF($E132="pre",$EB$27,$DA132),""))</f>
        <v/>
      </c>
      <c r="DC133">
        <f>IF($E133="open",1,IF($E133="post",IF($E132="pre",1,$DT132),0))</f>
        <v/>
      </c>
      <c r="DD133">
        <f>IF(AND($DT133=1,$DC133=1),ROUND($W133-($DA133-$DB133)-$AD133-$AB133,2),"")</f>
        <v/>
      </c>
      <c r="DE133">
        <f>IF('Month-End'!$DZ$35="",$BQ133,N('Month-End'!$DZ$35))</f>
        <v/>
      </c>
      <c r="DF133">
        <f>N('Month-End'!$DZ$36)</f>
        <v/>
      </c>
      <c r="DG133">
        <f>IF($DD133="","",$DD133+$DE133)</f>
        <v/>
      </c>
      <c r="DH133">
        <f>IF($DG133="","",$DG133-$DF133)</f>
        <v/>
      </c>
      <c r="DI133">
        <f>IF(OR($E133="pre",$D133=1),"",N($AS133)+N($AT133)+N($AU133)+N($AV133)+N($AW133)+N($AX133))</f>
        <v/>
      </c>
      <c r="DJ133">
        <f>IF($DT133=1,$DA133+N($DI133),"")</f>
        <v/>
      </c>
      <c r="DK133">
        <f>IF($DD133="","",$W133-$DD133-$AB133)</f>
        <v/>
      </c>
      <c r="DL133">
        <f>IF(AND($E133="post",$DD133&lt;&gt;"",$B133&lt;TODAY()),1,0)</f>
        <v/>
      </c>
      <c r="DM133">
        <f>IF($DL133=1,COUNTIF($DL133:$DL$183,1),0)</f>
        <v/>
      </c>
      <c r="DN133">
        <f>IF($D133=1,"",IF($E133="pre","History only",IF($DT133=1,IF($DD133="","⚠ Previous month missing",IF($DD133&lt;0,"⚠ Check: spending &lt; 0",IF($E133="open","✓ Done (partial)","✓ Done"))),IF($B133&gt;=TODAY(),"In progress","⚠ Needs balances"))))</f>
        <v/>
      </c>
      <c r="DO133">
        <f>YEAR($A133)</f>
        <v/>
      </c>
      <c r="DP133">
        <f>DATE(YEAR($A133),INT((MONTH($A133)-1)/3)*3+1,1)</f>
        <v/>
      </c>
      <c r="DQ133">
        <f>IF(AND($DT133=1,$DD133&lt;&gt;"",$D133=0),ROW(),0)</f>
        <v/>
      </c>
      <c r="DR133">
        <f>IF(AND($E133&lt;&gt;"pre",$B133&lt;TODAY(),$DT133=0),1,0)</f>
        <v/>
      </c>
      <c r="DS133">
        <f>IF($DJ133="",NA(),$DJ133)</f>
        <v/>
      </c>
      <c r="DT133">
        <f>IF(AND($E133&lt;&gt;"pre",$CL133=0,COUNTIFS(Settings!$F$19:$F$32,"Yes",Settings!$A$19:$A$32,"&lt;&gt;",Settings!$E$19:$E$32,"&lt;&gt;No")&gt;0),1,0)</f>
        <v/>
      </c>
      <c r="DU133">
        <f>IF(AND($B133&lt;TODAY(),$S133&gt;0),1,0)</f>
        <v/>
      </c>
      <c r="DV133">
        <f>IF($DU133=1,COUNTIF($DU133:$DU$183,1),0)</f>
        <v/>
      </c>
      <c r="DW133">
        <f>IF(AND(OR(Settings!$B$19="Card",Settings!$B$19="Loan"),AND('Month-End'!$DZ$7&lt;&gt;"",NOT(_xlfn.ISFORMULA('Month-End'!$DZ$7)))),IF(N('Month-End'!$DZ$7)&lt;0,1,0),0)+IF(AND(OR(Settings!$B$20="Card",Settings!$B$20="Loan"),AND('Month-End'!$DZ$8&lt;&gt;"",NOT(_xlfn.ISFORMULA('Month-End'!$DZ$8)))),IF(N('Month-End'!$DZ$8)&lt;0,1,0),0)+IF(AND(OR(Settings!$B$21="Card",Settings!$B$21="Loan"),AND('Month-End'!$DZ$9&lt;&gt;"",NOT(_xlfn.ISFORMULA('Month-End'!$DZ$9)))),IF(N('Month-End'!$DZ$9)&lt;0,1,0),0)+IF(AND(OR(Settings!$B$22="Card",Settings!$B$22="Loan"),AND('Month-End'!$DZ$10&lt;&gt;"",NOT(_xlfn.ISFORMULA('Month-End'!$DZ$10)))),IF(N('Month-End'!$DZ$10)&lt;0,1,0),0)+IF(AND(OR(Settings!$B$23="Card",Settings!$B$23="Loan"),AND('Month-End'!$DZ$11&lt;&gt;"",NOT(_xlfn.ISFORMULA('Month-End'!$DZ$11)))),IF(N('Month-End'!$DZ$11)&lt;0,1,0),0)+IF(AND(OR(Settings!$B$24="Card",Settings!$B$24="Loan"),AND('Month-End'!$DZ$12&lt;&gt;"",NOT(_xlfn.ISFORMULA('Month-End'!$DZ$12)))),IF(N('Month-End'!$DZ$12)&lt;0,1,0),0)+IF(AND(OR(Settings!$B$25="Card",Settings!$B$25="Loan"),AND('Month-End'!$DZ$13&lt;&gt;"",NOT(_xlfn.ISFORMULA('Month-End'!$DZ$13)))),IF(N('Month-End'!$DZ$13)&lt;0,1,0),0)+IF(AND(OR(Settings!$B$26="Card",Settings!$B$26="Loan"),AND('Month-End'!$DZ$14&lt;&gt;"",NOT(_xlfn.ISFORMULA('Month-End'!$DZ$14)))),IF(N('Month-End'!$DZ$14)&lt;0,1,0),0)+IF(AND(OR(Settings!$B$27="Card",Settings!$B$27="Loan"),AND('Month-End'!$DZ$15&lt;&gt;"",NOT(_xlfn.ISFORMULA('Month-End'!$DZ$15)))),IF(N('Month-End'!$DZ$15)&lt;0,1,0),0)+IF(AND(OR(Settings!$B$28="Card",Settings!$B$28="Loan"),AND('Month-End'!$DZ$16&lt;&gt;"",NOT(_xlfn.ISFORMULA('Month-End'!$DZ$16)))),IF(N('Month-End'!$DZ$16)&lt;0,1,0),0)+IF(AND(OR(Settings!$B$29="Card",Settings!$B$29="Loan"),AND('Month-End'!$DZ$17&lt;&gt;"",NOT(_xlfn.ISFORMULA('Month-End'!$DZ$17)))),IF(N('Month-End'!$DZ$17)&lt;0,1,0),0)+IF(AND(OR(Settings!$B$30="Card",Settings!$B$30="Loan"),AND('Month-End'!$DZ$18&lt;&gt;"",NOT(_xlfn.ISFORMULA('Month-End'!$DZ$18)))),IF(N('Month-End'!$DZ$18)&lt;0,1,0),0)+IF(AND(OR(Settings!$B$31="Card",Settings!$B$31="Loan"),AND('Month-End'!$DZ$19&lt;&gt;"",NOT(_xlfn.ISFORMULA('Month-End'!$DZ$19)))),IF(N('Month-End'!$DZ$19)&lt;0,1,0),0)+IF(AND(OR(Settings!$B$32="Card",Settings!$B$32="Loan"),AND('Month-End'!$DZ$20&lt;&gt;"",NOT(_xlfn.ISFORMULA('Month-End'!$DZ$20)))),IF(N('Month-End'!$DZ$20)&lt;0,1,0),0)</f>
        <v/>
      </c>
      <c r="DX133">
        <f>IF(Settings!$B$36="Retirement",$AY133,0)+IF(Settings!$B$37="Retirement",$AZ133,0)+IF(Settings!$B$38="Retirement",$BA133,0)+IF(Settings!$B$39="Retirement",$BB133,0)+IF(Settings!$B$40="Retirement",$BC133,0)+IF(Settings!$B$41="Retirement",$BD133,0)</f>
        <v/>
      </c>
      <c r="ET133">
        <f>IF($E133&lt;&gt;"open",0,IF(AND('Month-End'!$DZ$22&lt;&gt;"",NOT(_xlfn.ISFORMULA('Month-End'!$DZ$22))),0,IF(OR(Settings!$C$45="",Settings!$D$45=""),0,Settings!$C$45*IF(Settings!$D$45="Weekly",IF(IFERROR(MATCH(Settings!$E$45,$EO$4:$EO$10,0),0)=0,0,IF(MIN(Settings!$B$5,IF(Settings!$G$45="",Settings!$B$5,Settings!$G$45))&lt;MAX($A133,Settings!$F$45),0,INT((MIN(Settings!$B$5,IF(Settings!$G$45="",Settings!$B$5,Settings!$G$45))-MAX($A133,Settings!$F$45)-MOD(IFERROR(MATCH(Settings!$E$45,$EO$4:$EO$10,0),0)-WEEKDAY(MAX($A133,Settings!$F$45)),7))/7)+1)),IF(AND(IF(Settings!$E$45="",$B133,DATE(YEAR($A133),MONTH($A133),MIN(Settings!$E$45,DAY($B133))))&gt;=MAX($A133,Settings!$F$45),IF(Settings!$E$45="",$B133,DATE(YEAR($A133),MONTH($A133),MIN(Settings!$E$45,DAY($B133))))&lt;=MIN(Settings!$B$5,IF(Settings!$G$45="",Settings!$B$5,Settings!$G$45))),1,0)))))</f>
        <v/>
      </c>
      <c r="EU133">
        <f>IF($E133&lt;&gt;"open",0,IF(AND('Month-End'!$DZ$23&lt;&gt;"",NOT(_xlfn.ISFORMULA('Month-End'!$DZ$23))),0,IF(OR(Settings!$C$46="",Settings!$D$46=""),0,Settings!$C$46*IF(Settings!$D$46="Weekly",IF(IFERROR(MATCH(Settings!$E$46,$EO$4:$EO$10,0),0)=0,0,IF(MIN(Settings!$B$5,IF(Settings!$G$46="",Settings!$B$5,Settings!$G$46))&lt;MAX($A133,Settings!$F$46),0,INT((MIN(Settings!$B$5,IF(Settings!$G$46="",Settings!$B$5,Settings!$G$46))-MAX($A133,Settings!$F$46)-MOD(IFERROR(MATCH(Settings!$E$46,$EO$4:$EO$10,0),0)-WEEKDAY(MAX($A133,Settings!$F$46)),7))/7)+1)),IF(AND(IF(Settings!$E$46="",$B133,DATE(YEAR($A133),MONTH($A133),MIN(Settings!$E$46,DAY($B133))))&gt;=MAX($A133,Settings!$F$46),IF(Settings!$E$46="",$B133,DATE(YEAR($A133),MONTH($A133),MIN(Settings!$E$46,DAY($B133))))&lt;=MIN(Settings!$B$5,IF(Settings!$G$46="",Settings!$B$5,Settings!$G$46))),1,0)))))</f>
        <v/>
      </c>
      <c r="EV133">
        <f>IF($E133&lt;&gt;"open",0,IF(AND('Month-End'!$DZ$24&lt;&gt;"",NOT(_xlfn.ISFORMULA('Month-End'!$DZ$24))),0,IF(OR(Settings!$C$47="",Settings!$D$47=""),0,Settings!$C$47*IF(Settings!$D$47="Weekly",IF(IFERROR(MATCH(Settings!$E$47,$EO$4:$EO$10,0),0)=0,0,IF(MIN(Settings!$B$5,IF(Settings!$G$47="",Settings!$B$5,Settings!$G$47))&lt;MAX($A133,Settings!$F$47),0,INT((MIN(Settings!$B$5,IF(Settings!$G$47="",Settings!$B$5,Settings!$G$47))-MAX($A133,Settings!$F$47)-MOD(IFERROR(MATCH(Settings!$E$47,$EO$4:$EO$10,0),0)-WEEKDAY(MAX($A133,Settings!$F$47)),7))/7)+1)),IF(AND(IF(Settings!$E$47="",$B133,DATE(YEAR($A133),MONTH($A133),MIN(Settings!$E$47,DAY($B133))))&gt;=MAX($A133,Settings!$F$47),IF(Settings!$E$47="",$B133,DATE(YEAR($A133),MONTH($A133),MIN(Settings!$E$47,DAY($B133))))&lt;=MIN(Settings!$B$5,IF(Settings!$G$47="",Settings!$B$5,Settings!$G$47))),1,0)))))</f>
        <v/>
      </c>
      <c r="EW133">
        <f>IF($E133&lt;&gt;"open",0,IF(AND('Month-End'!$DZ$25&lt;&gt;"",NOT(_xlfn.ISFORMULA('Month-End'!$DZ$25))),0,IF(OR(Settings!$C$48="",Settings!$D$48=""),0,Settings!$C$48*IF(Settings!$D$48="Weekly",IF(IFERROR(MATCH(Settings!$E$48,$EO$4:$EO$10,0),0)=0,0,IF(MIN(Settings!$B$5,IF(Settings!$G$48="",Settings!$B$5,Settings!$G$48))&lt;MAX($A133,Settings!$F$48),0,INT((MIN(Settings!$B$5,IF(Settings!$G$48="",Settings!$B$5,Settings!$G$48))-MAX($A133,Settings!$F$48)-MOD(IFERROR(MATCH(Settings!$E$48,$EO$4:$EO$10,0),0)-WEEKDAY(MAX($A133,Settings!$F$48)),7))/7)+1)),IF(AND(IF(Settings!$E$48="",$B133,DATE(YEAR($A133),MONTH($A133),MIN(Settings!$E$48,DAY($B133))))&gt;=MAX($A133,Settings!$F$48),IF(Settings!$E$48="",$B133,DATE(YEAR($A133),MONTH($A133),MIN(Settings!$E$48,DAY($B133))))&lt;=MIN(Settings!$B$5,IF(Settings!$G$48="",Settings!$B$5,Settings!$G$48))),1,0)))))</f>
        <v/>
      </c>
      <c r="EX133">
        <f>IF($E133&lt;&gt;"open",0,IF(AND('Month-End'!$DZ$26&lt;&gt;"",NOT(_xlfn.ISFORMULA('Month-End'!$DZ$26))),0,IF(OR(Settings!$C$49="",Settings!$D$49=""),0,Settings!$C$49*IF(Settings!$D$49="Weekly",IF(IFERROR(MATCH(Settings!$E$49,$EO$4:$EO$10,0),0)=0,0,IF(MIN(Settings!$B$5,IF(Settings!$G$49="",Settings!$B$5,Settings!$G$49))&lt;MAX($A133,Settings!$F$49),0,INT((MIN(Settings!$B$5,IF(Settings!$G$49="",Settings!$B$5,Settings!$G$49))-MAX($A133,Settings!$F$49)-MOD(IFERROR(MATCH(Settings!$E$49,$EO$4:$EO$10,0),0)-WEEKDAY(MAX($A133,Settings!$F$49)),7))/7)+1)),IF(AND(IF(Settings!$E$49="",$B133,DATE(YEAR($A133),MONTH($A133),MIN(Settings!$E$49,DAY($B133))))&gt;=MAX($A133,Settings!$F$49),IF(Settings!$E$49="",$B133,DATE(YEAR($A133),MONTH($A133),MIN(Settings!$E$49,DAY($B133))))&lt;=MIN(Settings!$B$5,IF(Settings!$G$49="",Settings!$B$5,Settings!$G$49))),1,0)))))</f>
        <v/>
      </c>
      <c r="EY133">
        <f>IF($E133&lt;&gt;"open",0,IF(AND('Month-End'!$DZ$27&lt;&gt;"",NOT(_xlfn.ISFORMULA('Month-End'!$DZ$27))),0,IF(OR(Settings!$C$50="",Settings!$D$50=""),0,Settings!$C$50*IF(Settings!$D$50="Weekly",IF(IFERROR(MATCH(Settings!$E$50,$EO$4:$EO$10,0),0)=0,0,IF(MIN(Settings!$B$5,IF(Settings!$G$50="",Settings!$B$5,Settings!$G$50))&lt;MAX($A133,Settings!$F$50),0,INT((MIN(Settings!$B$5,IF(Settings!$G$50="",Settings!$B$5,Settings!$G$50))-MAX($A133,Settings!$F$50)-MOD(IFERROR(MATCH(Settings!$E$50,$EO$4:$EO$10,0),0)-WEEKDAY(MAX($A133,Settings!$F$50)),7))/7)+1)),IF(AND(IF(Settings!$E$50="",$B133,DATE(YEAR($A133),MONTH($A133),MIN(Settings!$E$50,DAY($B133))))&gt;=MAX($A133,Settings!$F$50),IF(Settings!$E$50="",$B133,DATE(YEAR($A133),MONTH($A133),MIN(Settings!$E$50,DAY($B133))))&lt;=MIN(Settings!$B$5,IF(Settings!$G$50="",Settings!$B$5,Settings!$G$50))),1,0)))))</f>
        <v/>
      </c>
      <c r="EZ133">
        <f>IF($E133&lt;&gt;"open",0,IF(AND('Month-End'!$DZ$28&lt;&gt;"",NOT(_xlfn.ISFORMULA('Month-End'!$DZ$28))),0,IF(OR(Settings!$C$51="",Settings!$D$51=""),0,Settings!$C$51*IF(Settings!$D$51="Weekly",IF(IFERROR(MATCH(Settings!$E$51,$EO$4:$EO$10,0),0)=0,0,IF(MIN(Settings!$B$5,IF(Settings!$G$51="",Settings!$B$5,Settings!$G$51))&lt;MAX($A133,Settings!$F$51),0,INT((MIN(Settings!$B$5,IF(Settings!$G$51="",Settings!$B$5,Settings!$G$51))-MAX($A133,Settings!$F$51)-MOD(IFERROR(MATCH(Settings!$E$51,$EO$4:$EO$10,0),0)-WEEKDAY(MAX($A133,Settings!$F$51)),7))/7)+1)),IF(AND(IF(Settings!$E$51="",$B133,DATE(YEAR($A133),MONTH($A133),MIN(Settings!$E$51,DAY($B133))))&gt;=MAX($A133,Settings!$F$51),IF(Settings!$E$51="",$B133,DATE(YEAR($A133),MONTH($A133),MIN(Settings!$E$51,DAY($B133))))&lt;=MIN(Settings!$B$5,IF(Settings!$G$51="",Settings!$B$5,Settings!$G$51))),1,0)))))</f>
        <v/>
      </c>
      <c r="FA133">
        <f>IF($E133&lt;&gt;"open",0,IF(AND('Month-End'!$DZ$29&lt;&gt;"",NOT(_xlfn.ISFORMULA('Month-End'!$DZ$29))),0,IF(OR(Settings!$C$52="",Settings!$D$52=""),0,Settings!$C$52*IF(Settings!$D$52="Weekly",IF(IFERROR(MATCH(Settings!$E$52,$EO$4:$EO$10,0),0)=0,0,IF(MIN(Settings!$B$5,IF(Settings!$G$52="",Settings!$B$5,Settings!$G$52))&lt;MAX($A133,Settings!$F$52),0,INT((MIN(Settings!$B$5,IF(Settings!$G$52="",Settings!$B$5,Settings!$G$52))-MAX($A133,Settings!$F$52)-MOD(IFERROR(MATCH(Settings!$E$52,$EO$4:$EO$10,0),0)-WEEKDAY(MAX($A133,Settings!$F$52)),7))/7)+1)),IF(AND(IF(Settings!$E$52="",$B133,DATE(YEAR($A133),MONTH($A133),MIN(Settings!$E$52,DAY($B133))))&gt;=MAX($A133,Settings!$F$52),IF(Settings!$E$52="",$B133,DATE(YEAR($A133),MONTH($A133),MIN(Settings!$E$52,DAY($B133))))&lt;=MIN(Settings!$B$5,IF(Settings!$G$52="",Settings!$B$5,Settings!$G$52))),1,0)))))</f>
        <v/>
      </c>
      <c r="FB133">
        <f>IF($E133&lt;&gt;"open",0,IF(AND('Month-End'!$DZ$30&lt;&gt;"",NOT(_xlfn.ISFORMULA('Month-End'!$DZ$30))),0,IF(OR(Settings!$C$53="",Settings!$D$53=""),0,Settings!$C$53*IF(Settings!$D$53="Weekly",IF(IFERROR(MATCH(Settings!$E$53,$EO$4:$EO$10,0),0)=0,0,IF(MIN(Settings!$B$5,IF(Settings!$G$53="",Settings!$B$5,Settings!$G$53))&lt;MAX($A133,Settings!$F$53),0,INT((MIN(Settings!$B$5,IF(Settings!$G$53="",Settings!$B$5,Settings!$G$53))-MAX($A133,Settings!$F$53)-MOD(IFERROR(MATCH(Settings!$E$53,$EO$4:$EO$10,0),0)-WEEKDAY(MAX($A133,Settings!$F$53)),7))/7)+1)),IF(AND(IF(Settings!$E$53="",$B133,DATE(YEAR($A133),MONTH($A133),MIN(Settings!$E$53,DAY($B133))))&gt;=MAX($A133,Settings!$F$53),IF(Settings!$E$53="",$B133,DATE(YEAR($A133),MONTH($A133),MIN(Settings!$E$53,DAY($B133))))&lt;=MIN(Settings!$B$5,IF(Settings!$G$53="",Settings!$B$5,Settings!$G$53))),1,0)))))</f>
        <v/>
      </c>
      <c r="FC133">
        <f>IF($E133&lt;&gt;"open",0,IF(AND('Month-End'!$DZ$31&lt;&gt;"",NOT(_xlfn.ISFORMULA('Month-End'!$DZ$31))),0,IF(OR(Settings!$C$54="",Settings!$D$54=""),0,Settings!$C$54*IF(Settings!$D$54="Weekly",IF(IFERROR(MATCH(Settings!$E$54,$EO$4:$EO$10,0),0)=0,0,IF(MIN(Settings!$B$5,IF(Settings!$G$54="",Settings!$B$5,Settings!$G$54))&lt;MAX($A133,Settings!$F$54),0,INT((MIN(Settings!$B$5,IF(Settings!$G$54="",Settings!$B$5,Settings!$G$54))-MAX($A133,Settings!$F$54)-MOD(IFERROR(MATCH(Settings!$E$54,$EO$4:$EO$10,0),0)-WEEKDAY(MAX($A133,Settings!$F$54)),7))/7)+1)),IF(AND(IF(Settings!$E$54="",$B133,DATE(YEAR($A133),MONTH($A133),MIN(Settings!$E$54,DAY($B133))))&gt;=MAX($A133,Settings!$F$54),IF(Settings!$E$54="",$B133,DATE(YEAR($A133),MONTH($A133),MIN(Settings!$E$54,DAY($B133))))&lt;=MIN(Settings!$B$5,IF(Settings!$G$54="",Settings!$B$5,Settings!$G$54))),1,0)))))</f>
        <v/>
      </c>
      <c r="FD133">
        <f>IF($E133&lt;&gt;"open",0,IF(AND('Month-End'!$DZ$32&lt;&gt;"",NOT(_xlfn.ISFORMULA('Month-End'!$DZ$32))),0,IF(OR(Settings!$C$55="",Settings!$D$55=""),0,Settings!$C$55*IF(Settings!$D$55="Weekly",IF(IFERROR(MATCH(Settings!$E$55,$EO$4:$EO$10,0),0)=0,0,IF(MIN(Settings!$B$5,IF(Settings!$G$55="",Settings!$B$5,Settings!$G$55))&lt;MAX($A133,Settings!$F$55),0,INT((MIN(Settings!$B$5,IF(Settings!$G$55="",Settings!$B$5,Settings!$G$55))-MAX($A133,Settings!$F$55)-MOD(IFERROR(MATCH(Settings!$E$55,$EO$4:$EO$10,0),0)-WEEKDAY(MAX($A133,Settings!$F$55)),7))/7)+1)),IF(AND(IF(Settings!$E$55="",$B133,DATE(YEAR($A133),MONTH($A133),MIN(Settings!$E$55,DAY($B133))))&gt;=MAX($A133,Settings!$F$55),IF(Settings!$E$55="",$B133,DATE(YEAR($A133),MONTH($A133),MIN(Settings!$E$55,DAY($B133))))&lt;=MIN(Settings!$B$5,IF(Settings!$G$55="",Settings!$B$5,Settings!$G$55))),1,0)))))</f>
        <v/>
      </c>
      <c r="FE133">
        <f>IF($E133&lt;&gt;"open",0,IF(AND('Month-End'!$DZ$33&lt;&gt;"",NOT(_xlfn.ISFORMULA('Month-End'!$DZ$33))),0,IF(OR(Settings!$C$56="",Settings!$D$56=""),0,Settings!$C$56*IF(Settings!$D$56="Weekly",IF(IFERROR(MATCH(Settings!$E$56,$EO$4:$EO$10,0),0)=0,0,IF(MIN(Settings!$B$5,IF(Settings!$G$56="",Settings!$B$5,Settings!$G$56))&lt;MAX($A133,Settings!$F$56),0,INT((MIN(Settings!$B$5,IF(Settings!$G$56="",Settings!$B$5,Settings!$G$56))-MAX($A133,Settings!$F$56)-MOD(IFERROR(MATCH(Settings!$E$56,$EO$4:$EO$10,0),0)-WEEKDAY(MAX($A133,Settings!$F$56)),7))/7)+1)),IF(AND(IF(Settings!$E$56="",$B133,DATE(YEAR($A133),MONTH($A133),MIN(Settings!$E$56,DAY($B133))))&gt;=MAX($A133,Settings!$F$56),IF(Settings!$E$56="",$B133,DATE(YEAR($A133),MONTH($A133),MIN(Settings!$E$56,DAY($B133))))&lt;=MIN(Settings!$B$5,IF(Settings!$G$56="",Settings!$B$5,Settings!$G$56))),1,0)))))</f>
        <v/>
      </c>
      <c r="FF133">
        <f>IF(Settings!$I$45="Yes",$G133,0)+IF(Settings!$I$46="Yes",$H133,0)+IF(Settings!$I$47="Yes",$I133,0)+IF(Settings!$I$48="Yes",$J133,0)+IF(Settings!$I$49="Yes",$K133,0)+IF(Settings!$I$50="Yes",$L133,0)+IF(Settings!$I$51="Yes",$M133,0)+IF(Settings!$I$52="Yes",$N133,0)+IF(Settings!$I$53="Yes",$O133,0)+IF(Settings!$I$54="Yes",$P133,0)+IF(Settings!$I$55="Yes",$Q133,0)+IF(Settings!$I$56="Yes",$R133,0)</f>
        <v/>
      </c>
      <c r="FG133">
        <f>IF(AND(Settings!$I$45="Yes",Settings!$J$45="No"),$G133,0)+IF(AND(Settings!$I$46="Yes",Settings!$J$46="No"),$H133,0)+IF(AND(Settings!$I$47="Yes",Settings!$J$47="No"),$I133,0)+IF(AND(Settings!$I$48="Yes",Settings!$J$48="No"),$J133,0)+IF(AND(Settings!$I$49="Yes",Settings!$J$49="No"),$K133,0)+IF(AND(Settings!$I$50="Yes",Settings!$J$50="No"),$L133,0)+IF(AND(Settings!$I$51="Yes",Settings!$J$51="No"),$M133,0)+IF(AND(Settings!$I$52="Yes",Settings!$J$52="No"),$N133,0)+IF(AND(Settings!$I$53="Yes",Settings!$J$53="No"),$O133,0)+IF(AND(Settings!$I$54="Yes",Settings!$J$54="No"),$P133,0)+IF(AND(Settings!$I$55="Yes",Settings!$J$55="No"),$Q133,0)+IF(AND(Settings!$I$56="Yes",Settings!$J$56="No"),$R133,0)</f>
        <v/>
      </c>
      <c r="FH133">
        <f>SUMIFS(Giving!$B$7:$B$2006,Giving!$A$7:$A$2006,"&gt;="&amp;$A133,Giving!$A$7:$A$2006,"&lt;="&amp;$B133,Giving!$G$7:$G$2006,"Yes")+IF(OR(OR(Settings!$B$60="",Settings!$F$60="No"),Settings!$H$60&lt;&gt;"Yes"),0,Settings!$B$60*IF(AND(IF(Settings!$C$60="",$B133,DATE(YEAR($A133),MONTH($A133),MIN(Settings!$C$60,DAY($B133))))&gt;=MAX($A133,Settings!$D$60),IF(Settings!$C$60="",$B133,DATE(YEAR($A133),MONTH($A133),MIN(Settings!$C$60,DAY($B133))))&lt;=MIN($C133,IF(Settings!$E$60="",$C133,Settings!$E$60))),1,0))+IF(OR(OR(Settings!$B$61="",Settings!$F$61="No"),Settings!$H$61&lt;&gt;"Yes"),0,Settings!$B$61*IF(AND(IF(Settings!$C$61="",$B133,DATE(YEAR($A133),MONTH($A133),MIN(Settings!$C$61,DAY($B133))))&gt;=MAX($A133,Settings!$D$61),IF(Settings!$C$61="",$B133,DATE(YEAR($A133),MONTH($A133),MIN(Settings!$C$61,DAY($B133))))&lt;=MIN($C133,IF(Settings!$E$61="",$C133,Settings!$E$61))),1,0))+IF(OR(OR(Settings!$B$62="",Settings!$F$62="No"),Settings!$H$62&lt;&gt;"Yes"),0,Settings!$B$62*IF(AND(IF(Settings!$C$62="",$B133,DATE(YEAR($A133),MONTH($A133),MIN(Settings!$C$62,DAY($B133))))&gt;=MAX($A133,Settings!$D$62),IF(Settings!$C$62="",$B133,DATE(YEAR($A133),MONTH($A133),MIN(Settings!$C$62,DAY($B133))))&lt;=MIN($C133,IF(Settings!$E$62="",$C133,Settings!$E$62))),1,0))+IF(OR(OR(Settings!$B$63="",Settings!$F$63="No"),Settings!$H$63&lt;&gt;"Yes"),0,Settings!$B$63*IF(AND(IF(Settings!$C$63="",$B133,DATE(YEAR($A133),MONTH($A133),MIN(Settings!$C$63,DAY($B133))))&gt;=MAX($A133,Settings!$D$63),IF(Settings!$C$63="",$B133,DATE(YEAR($A133),MONTH($A133),MIN(Settings!$C$63,DAY($B133))))&lt;=MIN($C133,IF(Settings!$E$63="",$C133,Settings!$E$63))),1,0))+IF(OR(OR(Settings!$B$64="",Settings!$F$64="No"),Settings!$H$64&lt;&gt;"Yes"),0,Settings!$B$64*IF(AND(IF(Settings!$C$64="",$B133,DATE(YEAR($A133),MONTH($A133),MIN(Settings!$C$64,DAY($B133))))&gt;=MAX($A133,Settings!$D$64),IF(Settings!$C$64="",$B133,DATE(YEAR($A133),MONTH($A133),MIN(Settings!$C$64,DAY($B133))))&lt;=MIN($C133,IF(Settings!$E$64="",$C133,Settings!$E$64))),1,0))+IF(OR(OR(Settings!$B$65="",Settings!$F$65="No"),Settings!$H$65&lt;&gt;"Yes"),0,Settings!$B$65*IF(AND(IF(Settings!$C$65="",$B133,DATE(YEAR($A133),MONTH($A133),MIN(Settings!$C$65,DAY($B133))))&gt;=MAX($A133,Settings!$D$65),IF(Settings!$C$65="",$B133,DATE(YEAR($A133),MONTH($A133),MIN(Settings!$C$65,DAY($B133))))&lt;=MIN($C133,IF(Settings!$E$65="",$C133,Settings!$E$65))),1,0))</f>
        <v/>
      </c>
      <c r="FI133">
        <f>IF($DT133=1,IF(OR(Settings!$B$19="Card",Settings!$B$19="Loan"),N($AE133),0)+IF(OR(Settings!$B$20="Card",Settings!$B$20="Loan"),N($AF133),0)+IF(OR(Settings!$B$21="Card",Settings!$B$21="Loan"),N($AG133),0)+IF(OR(Settings!$B$22="Card",Settings!$B$22="Loan"),N($AH133),0)+IF(OR(Settings!$B$23="Card",Settings!$B$23="Loan"),N($AI133),0)+IF(OR(Settings!$B$24="Card",Settings!$B$24="Loan"),N($AJ133),0)+IF(OR(Settings!$B$25="Card",Settings!$B$25="Loan"),N($AK133),0)+IF(OR(Settings!$B$26="Card",Settings!$B$26="Loan"),N($AL133),0)+IF(OR(Settings!$B$27="Card",Settings!$B$27="Loan"),N($AM133),0)+IF(OR(Settings!$B$28="Card",Settings!$B$28="Loan"),N($AN133),0)+IF(OR(Settings!$B$29="Card",Settings!$B$29="Loan"),N($AO133),0)+IF(OR(Settings!$B$30="Card",Settings!$B$30="Loan"),N($AP133),0)+IF(OR(Settings!$B$31="Card",Settings!$B$31="Loan"),N($AQ133),0)+IF(OR(Settings!$B$32="Card",Settings!$B$32="Loan"),N($AR133),0),"")</f>
        <v/>
      </c>
      <c r="FJ133">
        <f>IF($E133="open",$EB$65,IF($E133="post",IF($E132="pre",$EB$65,$FI132),""))</f>
        <v/>
      </c>
      <c r="FK133">
        <f>IF(AND($DT133=1,$DC133=1),IF(ROUND($FI133-$FJ133,2)&gt;0,1,0),0)</f>
        <v/>
      </c>
      <c r="FL133">
        <f>IF($FK133=1,$FL132+1,0)</f>
        <v/>
      </c>
    </row>
    <row r="134">
      <c r="A134">
        <f>'Month-End'!$EA$4</f>
        <v/>
      </c>
      <c r="B134">
        <f>EOMONTH($A134,0)</f>
        <v/>
      </c>
      <c r="C134">
        <f>MIN($B134,TODAY())</f>
        <v/>
      </c>
      <c r="D134">
        <f>IF($A134&gt;TODAY(),1,0)</f>
        <v/>
      </c>
      <c r="E134">
        <f>IF($B134&lt;=Settings!$B$5,"pre",IF($A134&lt;=Settings!$B$5,"open","post"))</f>
        <v/>
      </c>
      <c r="G134">
        <f>IF('Month-End'!$EA$22="",$BE134,N('Month-End'!$EA$22))</f>
        <v/>
      </c>
      <c r="H134">
        <f>IF('Month-End'!$EA$23="",$BF134,N('Month-End'!$EA$23))</f>
        <v/>
      </c>
      <c r="I134">
        <f>IF('Month-End'!$EA$24="",$BG134,N('Month-End'!$EA$24))</f>
        <v/>
      </c>
      <c r="J134">
        <f>IF('Month-End'!$EA$25="",$BH134,N('Month-End'!$EA$25))</f>
        <v/>
      </c>
      <c r="K134">
        <f>IF('Month-End'!$EA$26="",$BI134,N('Month-End'!$EA$26))</f>
        <v/>
      </c>
      <c r="L134">
        <f>IF('Month-End'!$EA$27="",$BJ134,N('Month-End'!$EA$27))</f>
        <v/>
      </c>
      <c r="M134">
        <f>IF('Month-End'!$EA$28="",$BK134,N('Month-End'!$EA$28))</f>
        <v/>
      </c>
      <c r="N134">
        <f>IF('Month-End'!$EA$29="",$BL134,N('Month-End'!$EA$29))</f>
        <v/>
      </c>
      <c r="O134">
        <f>IF('Month-End'!$EA$30="",$BM134,N('Month-End'!$EA$30))</f>
        <v/>
      </c>
      <c r="P134">
        <f>IF('Month-End'!$EA$31="",$BN134,N('Month-End'!$EA$31))</f>
        <v/>
      </c>
      <c r="Q134">
        <f>IF('Month-End'!$EA$32="",$BO134,N('Month-End'!$EA$32))</f>
        <v/>
      </c>
      <c r="R134">
        <f>IF('Month-End'!$EA$33="",$BP134,N('Month-End'!$EA$33))</f>
        <v/>
      </c>
      <c r="S134">
        <f>$G134+$H134+$I134+$J134+$K134+$L134+$M134+$N134+$O134+$P134+$Q134+$R134</f>
        <v/>
      </c>
      <c r="T134">
        <f>IF($B134&lt;Settings!$B$6,0,IF(Settings!$B$45="Yes",$G134,0)+IF(Settings!$B$46="Yes",$H134,0)+IF(Settings!$B$47="Yes",$I134,0)+IF(Settings!$B$48="Yes",$J134,0)+IF(Settings!$B$49="Yes",$K134,0)+IF(Settings!$B$50="Yes",$L134,0)+IF(Settings!$B$51="Yes",$M134,0)+IF(Settings!$B$52="Yes",$N134,0)+IF(Settings!$B$53="Yes",$O134,0)+IF(Settings!$B$54="Yes",$P134,0)+IF(Settings!$B$55="Yes",$Q134,0)+IF(Settings!$B$56="Yes",$R134,0))</f>
        <v/>
      </c>
      <c r="U134">
        <f>IF(Settings!$B$45="Not Sure",$G134,0)+IF(Settings!$B$46="Not Sure",$H134,0)+IF(Settings!$B$47="Not Sure",$I134,0)+IF(Settings!$B$48="Not Sure",$J134,0)+IF(Settings!$B$49="Not Sure",$K134,0)+IF(Settings!$B$50="Not Sure",$L134,0)+IF(Settings!$B$51="Not Sure",$M134,0)+IF(Settings!$B$52="Not Sure",$N134,0)+IF(Settings!$B$53="Not Sure",$O134,0)+IF(Settings!$B$54="Not Sure",$P134,0)+IF(Settings!$B$55="Not Sure",$Q134,0)+IF(Settings!$B$56="Not Sure",$R134,0)</f>
        <v/>
      </c>
      <c r="V134">
        <f>IF($E134="open",SUM($ET134:$FE134)+N(Settings!$B$13),0)</f>
        <v/>
      </c>
      <c r="W134">
        <f>IF($E134="post",$S134,IF($E134="open",$S134-$V134,0))</f>
        <v/>
      </c>
      <c r="X134">
        <f>SUMIFS(Giving!$B$7:$B$2006,Giving!$A$7:$A$2006,"&gt;="&amp;$A134,Giving!$A$7:$A$2006,"&lt;="&amp;$B134,Giving!$E$7:$E$2006,"&lt;&gt;No")</f>
        <v/>
      </c>
      <c r="Y134">
        <f>SUMIFS(Giving!$B$7:$B$2006,Giving!$A$7:$A$2006,"&gt;="&amp;$A134,Giving!$A$7:$A$2006,"&lt;="&amp;$B134,Giving!$E$7:$E$2006,"No")</f>
        <v/>
      </c>
      <c r="Z134">
        <f>IF(OR(Settings!$B$60="",Settings!$F$60="No"),0,Settings!$B$60*IF(AND(IF(Settings!$C$60="",$B134,DATE(YEAR($A134),MONTH($A134),MIN(Settings!$C$60,DAY($B134))))&gt;=MAX($A134,Settings!$D$60),IF(Settings!$C$60="",$B134,DATE(YEAR($A134),MONTH($A134),MIN(Settings!$C$60,DAY($B134))))&lt;=MIN($C134,IF(Settings!$E$60="",$C134,Settings!$E$60))),1,0))+IF(OR(Settings!$B$61="",Settings!$F$61="No"),0,Settings!$B$61*IF(AND(IF(Settings!$C$61="",$B134,DATE(YEAR($A134),MONTH($A134),MIN(Settings!$C$61,DAY($B134))))&gt;=MAX($A134,Settings!$D$61),IF(Settings!$C$61="",$B134,DATE(YEAR($A134),MONTH($A134),MIN(Settings!$C$61,DAY($B134))))&lt;=MIN($C134,IF(Settings!$E$61="",$C134,Settings!$E$61))),1,0))+IF(OR(Settings!$B$62="",Settings!$F$62="No"),0,Settings!$B$62*IF(AND(IF(Settings!$C$62="",$B134,DATE(YEAR($A134),MONTH($A134),MIN(Settings!$C$62,DAY($B134))))&gt;=MAX($A134,Settings!$D$62),IF(Settings!$C$62="",$B134,DATE(YEAR($A134),MONTH($A134),MIN(Settings!$C$62,DAY($B134))))&lt;=MIN($C134,IF(Settings!$E$62="",$C134,Settings!$E$62))),1,0))+IF(OR(Settings!$B$63="",Settings!$F$63="No"),0,Settings!$B$63*IF(AND(IF(Settings!$C$63="",$B134,DATE(YEAR($A134),MONTH($A134),MIN(Settings!$C$63,DAY($B134))))&gt;=MAX($A134,Settings!$D$63),IF(Settings!$C$63="",$B134,DATE(YEAR($A134),MONTH($A134),MIN(Settings!$C$63,DAY($B134))))&lt;=MIN($C134,IF(Settings!$E$63="",$C134,Settings!$E$63))),1,0))+IF(OR(Settings!$B$64="",Settings!$F$64="No"),0,Settings!$B$64*IF(AND(IF(Settings!$C$64="",$B134,DATE(YEAR($A134),MONTH($A134),MIN(Settings!$C$64,DAY($B134))))&gt;=MAX($A134,Settings!$D$64),IF(Settings!$C$64="",$B134,DATE(YEAR($A134),MONTH($A134),MIN(Settings!$C$64,DAY($B134))))&lt;=MIN($C134,IF(Settings!$E$64="",$C134,Settings!$E$64))),1,0))+IF(OR(Settings!$B$65="",Settings!$F$65="No"),0,Settings!$B$65*IF(AND(IF(Settings!$C$65="",$B134,DATE(YEAR($A134),MONTH($A134),MIN(Settings!$C$65,DAY($B134))))&gt;=MAX($A134,Settings!$D$65),IF(Settings!$C$65="",$B134,DATE(YEAR($A134),MONTH($A134),MIN(Settings!$C$65,DAY($B134))))&lt;=MIN($C134,IF(Settings!$E$65="",$C134,Settings!$E$65))),1,0))</f>
        <v/>
      </c>
      <c r="AA134">
        <f>$X134+$Z134</f>
        <v/>
      </c>
      <c r="AB134">
        <f>IF($E134="post",$AA134,IF($E134="open",SUMIFS(Giving!$B$7:$B$2006,Giving!$A$7:$A$2006,"&gt;"&amp;Settings!$B$5,Giving!$A$7:$A$2006,"&lt;="&amp;$B134,Giving!$E$7:$E$2006,"&lt;&gt;No")+IF(OR(Settings!$B$60="",Settings!$F$60="No"),0,Settings!$B$60*IF(AND(IF(Settings!$C$60="",$B134,DATE(YEAR($A134),MONTH($A134),MIN(Settings!$C$60,DAY($B134))))&gt;=MAX($A134,Settings!$D$60,Settings!$B$5+1),IF(Settings!$C$60="",$B134,DATE(YEAR($A134),MONTH($A134),MIN(Settings!$C$60,DAY($B134))))&lt;=MIN($C134,IF(Settings!$E$60="",$C134,Settings!$E$60))),1,0))+IF(OR(Settings!$B$61="",Settings!$F$61="No"),0,Settings!$B$61*IF(AND(IF(Settings!$C$61="",$B134,DATE(YEAR($A134),MONTH($A134),MIN(Settings!$C$61,DAY($B134))))&gt;=MAX($A134,Settings!$D$61,Settings!$B$5+1),IF(Settings!$C$61="",$B134,DATE(YEAR($A134),MONTH($A134),MIN(Settings!$C$61,DAY($B134))))&lt;=MIN($C134,IF(Settings!$E$61="",$C134,Settings!$E$61))),1,0))+IF(OR(Settings!$B$62="",Settings!$F$62="No"),0,Settings!$B$62*IF(AND(IF(Settings!$C$62="",$B134,DATE(YEAR($A134),MONTH($A134),MIN(Settings!$C$62,DAY($B134))))&gt;=MAX($A134,Settings!$D$62,Settings!$B$5+1),IF(Settings!$C$62="",$B134,DATE(YEAR($A134),MONTH($A134),MIN(Settings!$C$62,DAY($B134))))&lt;=MIN($C134,IF(Settings!$E$62="",$C134,Settings!$E$62))),1,0))+IF(OR(Settings!$B$63="",Settings!$F$63="No"),0,Settings!$B$63*IF(AND(IF(Settings!$C$63="",$B134,DATE(YEAR($A134),MONTH($A134),MIN(Settings!$C$63,DAY($B134))))&gt;=MAX($A134,Settings!$D$63,Settings!$B$5+1),IF(Settings!$C$63="",$B134,DATE(YEAR($A134),MONTH($A134),MIN(Settings!$C$63,DAY($B134))))&lt;=MIN($C134,IF(Settings!$E$63="",$C134,Settings!$E$63))),1,0))+IF(OR(Settings!$B$64="",Settings!$F$64="No"),0,Settings!$B$64*IF(AND(IF(Settings!$C$64="",$B134,DATE(YEAR($A134),MONTH($A134),MIN(Settings!$C$64,DAY($B134))))&gt;=MAX($A134,Settings!$D$64,Settings!$B$5+1),IF(Settings!$C$64="",$B134,DATE(YEAR($A134),MONTH($A134),MIN(Settings!$C$64,DAY($B134))))&lt;=MIN($C134,IF(Settings!$E$64="",$C134,Settings!$E$64))),1,0))+IF(OR(Settings!$B$65="",Settings!$F$65="No"),0,Settings!$B$65*IF(AND(IF(Settings!$C$65="",$B134,DATE(YEAR($A134),MONTH($A134),MIN(Settings!$C$65,DAY($B134))))&gt;=MAX($A134,Settings!$D$65,Settings!$B$5+1),IF(Settings!$C$65="",$B134,DATE(YEAR($A134),MONTH($A134),MIN(Settings!$C$65,DAY($B134))))&lt;=MIN($C134,IF(Settings!$E$65="",$C134,Settings!$E$65))),1,0)),0))</f>
        <v/>
      </c>
      <c r="AC134">
        <f>$AY134+$AZ134+$BA134+$BB134+$BC134+$BD134</f>
        <v/>
      </c>
      <c r="AD134">
        <f>$AC134</f>
        <v/>
      </c>
      <c r="AE134">
        <f>IF(OR(Settings!$A$19="",$E134="pre"),"",IF(AND('Month-End'!$EA$7&lt;&gt;"",NOT(_xlfn.ISFORMULA('Month-End'!$EA$7))),N('Month-End'!$EA$7),IF(OR($E134="open",$E133="pre"),N(Settings!$C$19),N($AE133))))</f>
        <v/>
      </c>
      <c r="AF134">
        <f>IF(OR(Settings!$A$20="",$E134="pre"),"",IF(AND('Month-End'!$EA$8&lt;&gt;"",NOT(_xlfn.ISFORMULA('Month-End'!$EA$8))),N('Month-End'!$EA$8),IF(OR($E134="open",$E133="pre"),N(Settings!$C$20),N($AF133))))</f>
        <v/>
      </c>
      <c r="AG134">
        <f>IF(OR(Settings!$A$21="",$E134="pre"),"",IF(AND('Month-End'!$EA$9&lt;&gt;"",NOT(_xlfn.ISFORMULA('Month-End'!$EA$9))),N('Month-End'!$EA$9),IF(OR($E134="open",$E133="pre"),N(Settings!$C$21),N($AG133))))</f>
        <v/>
      </c>
      <c r="AH134">
        <f>IF(OR(Settings!$A$22="",$E134="pre"),"",IF(AND('Month-End'!$EA$10&lt;&gt;"",NOT(_xlfn.ISFORMULA('Month-End'!$EA$10))),N('Month-End'!$EA$10),IF(OR($E134="open",$E133="pre"),N(Settings!$C$22),N($AH133))))</f>
        <v/>
      </c>
      <c r="AI134">
        <f>IF(OR(Settings!$A$23="",$E134="pre"),"",IF(AND('Month-End'!$EA$11&lt;&gt;"",NOT(_xlfn.ISFORMULA('Month-End'!$EA$11))),N('Month-End'!$EA$11),IF(OR($E134="open",$E133="pre"),N(Settings!$C$23),N($AI133))))</f>
        <v/>
      </c>
      <c r="AJ134">
        <f>IF(OR(Settings!$A$24="",$E134="pre"),"",IF(AND('Month-End'!$EA$12&lt;&gt;"",NOT(_xlfn.ISFORMULA('Month-End'!$EA$12))),N('Month-End'!$EA$12),IF(OR($E134="open",$E133="pre"),N(Settings!$C$24),N($AJ133))))</f>
        <v/>
      </c>
      <c r="AK134">
        <f>IF(OR(Settings!$A$25="",$E134="pre"),"",IF(AND('Month-End'!$EA$13&lt;&gt;"",NOT(_xlfn.ISFORMULA('Month-End'!$EA$13))),N('Month-End'!$EA$13),IF(OR($E134="open",$E133="pre"),N(Settings!$C$25),N($AK133))))</f>
        <v/>
      </c>
      <c r="AL134">
        <f>IF(OR(Settings!$A$26="",$E134="pre"),"",IF(AND('Month-End'!$EA$14&lt;&gt;"",NOT(_xlfn.ISFORMULA('Month-End'!$EA$14))),N('Month-End'!$EA$14),IF(OR($E134="open",$E133="pre"),N(Settings!$C$26),N($AL133))))</f>
        <v/>
      </c>
      <c r="AM134">
        <f>IF(OR(Settings!$A$27="",$E134="pre"),"",IF(AND('Month-End'!$EA$15&lt;&gt;"",NOT(_xlfn.ISFORMULA('Month-End'!$EA$15))),N('Month-End'!$EA$15),IF(OR($E134="open",$E133="pre"),N(Settings!$C$27),N($AM133))))</f>
        <v/>
      </c>
      <c r="AN134">
        <f>IF(OR(Settings!$A$28="",$E134="pre"),"",IF(AND('Month-End'!$EA$16&lt;&gt;"",NOT(_xlfn.ISFORMULA('Month-End'!$EA$16))),N('Month-End'!$EA$16),IF(OR($E134="open",$E133="pre"),N(Settings!$C$28),N($AN133))))</f>
        <v/>
      </c>
      <c r="AO134">
        <f>IF(OR(Settings!$A$29="",$E134="pre"),"",IF(AND('Month-End'!$EA$17&lt;&gt;"",NOT(_xlfn.ISFORMULA('Month-End'!$EA$17))),N('Month-End'!$EA$17),IF(OR($E134="open",$E133="pre"),N(Settings!$C$29),N($AO133))))</f>
        <v/>
      </c>
      <c r="AP134">
        <f>IF(OR(Settings!$A$30="",$E134="pre"),"",IF(AND('Month-End'!$EA$18&lt;&gt;"",NOT(_xlfn.ISFORMULA('Month-End'!$EA$18))),N('Month-End'!$EA$18),IF(OR($E134="open",$E133="pre"),N(Settings!$C$30),N($AP133))))</f>
        <v/>
      </c>
      <c r="AQ134">
        <f>IF(OR(Settings!$A$31="",$E134="pre"),"",IF(AND('Month-End'!$EA$19&lt;&gt;"",NOT(_xlfn.ISFORMULA('Month-End'!$EA$19))),N('Month-End'!$EA$19),IF(OR($E134="open",$E133="pre"),N(Settings!$C$31),N($AQ133))))</f>
        <v/>
      </c>
      <c r="AR134">
        <f>IF(OR(Settings!$A$32="",$E134="pre"),"",IF(AND('Month-End'!$EA$20&lt;&gt;"",NOT(_xlfn.ISFORMULA('Month-End'!$EA$20))),N('Month-End'!$EA$20),IF(OR($E134="open",$E133="pre"),N(Settings!$C$32),N($AR133))))</f>
        <v/>
      </c>
      <c r="AS134">
        <f>IF(OR(Settings!$A$36="",$E134="pre"),"",IF(AND('Month-End'!$EA$38&lt;&gt;"",NOT(_xlfn.ISFORMULA('Month-End'!$EA$38))),N('Month-End'!$EA$38),IF(OR($E134="open",$E133="pre"),N(Settings!$C$36),N($AS133))+$AY134))</f>
        <v/>
      </c>
      <c r="AT134">
        <f>IF(OR(Settings!$A$37="",$E134="pre"),"",IF(AND('Month-End'!$EA$39&lt;&gt;"",NOT(_xlfn.ISFORMULA('Month-End'!$EA$39))),N('Month-End'!$EA$39),IF(OR($E134="open",$E133="pre"),N(Settings!$C$37),N($AT133))+$AZ134))</f>
        <v/>
      </c>
      <c r="AU134">
        <f>IF(OR(Settings!$A$38="",$E134="pre"),"",IF(AND('Month-End'!$EA$40&lt;&gt;"",NOT(_xlfn.ISFORMULA('Month-End'!$EA$40))),N('Month-End'!$EA$40),IF(OR($E134="open",$E133="pre"),N(Settings!$C$38),N($AU133))+$BA134))</f>
        <v/>
      </c>
      <c r="AV134">
        <f>IF(OR(Settings!$A$39="",$E134="pre"),"",IF(AND('Month-End'!$EA$41&lt;&gt;"",NOT(_xlfn.ISFORMULA('Month-End'!$EA$41))),N('Month-End'!$EA$41),IF(OR($E134="open",$E133="pre"),N(Settings!$C$39),N($AV133))+$BB134))</f>
        <v/>
      </c>
      <c r="AW134">
        <f>IF(OR(Settings!$A$40="",$E134="pre"),"",IF(AND('Month-End'!$EA$42&lt;&gt;"",NOT(_xlfn.ISFORMULA('Month-End'!$EA$42))),N('Month-End'!$EA$42),IF(OR($E134="open",$E133="pre"),N(Settings!$C$40),N($AW133))+$BC134))</f>
        <v/>
      </c>
      <c r="AX134">
        <f>IF(OR(Settings!$A$41="",$E134="pre"),"",IF(AND('Month-End'!$EA$43&lt;&gt;"",NOT(_xlfn.ISFORMULA('Month-End'!$EA$43))),N('Month-End'!$EA$43),IF(OR($E134="open",$E133="pre"),N(Settings!$C$41),N($AX133))+$BD134))</f>
        <v/>
      </c>
      <c r="AY134">
        <f>IF($E134="pre",0,N('Month-End'!$EA$45))</f>
        <v/>
      </c>
      <c r="AZ134">
        <f>IF($E134="pre",0,N('Month-End'!$EA$46))</f>
        <v/>
      </c>
      <c r="BA134">
        <f>IF($E134="pre",0,N('Month-End'!$EA$47))</f>
        <v/>
      </c>
      <c r="BB134">
        <f>IF($E134="pre",0,N('Month-End'!$EA$48))</f>
        <v/>
      </c>
      <c r="BC134">
        <f>IF($E134="pre",0,N('Month-End'!$EA$49))</f>
        <v/>
      </c>
      <c r="BD134">
        <f>IF($E134="pre",0,N('Month-End'!$EA$50))</f>
        <v/>
      </c>
      <c r="BE134">
        <f>IF(OR(Settings!$C$45="",Settings!$D$45=""),0,Settings!$C$45*IF(Settings!$D$45="Weekly",IF(IFERROR(MATCH(Settings!$E$45,$EO$4:$EO$10,0),0)=0,0,IF(MIN($C134,IF(Settings!$G$45="",$C134,Settings!$G$45))&lt;MAX($A134,Settings!$F$45),0,INT((MIN($C134,IF(Settings!$G$45="",$C134,Settings!$G$45))-MAX($A134,Settings!$F$45)-MOD(IFERROR(MATCH(Settings!$E$45,$EO$4:$EO$10,0),0)-WEEKDAY(MAX($A134,Settings!$F$45)),7))/7)+1)),IF(AND(IF(Settings!$E$45="",$B134,DATE(YEAR($A134),MONTH($A134),MIN(Settings!$E$45,DAY($B134))))&gt;=MAX($A134,Settings!$F$45),IF(Settings!$E$45="",$B134,DATE(YEAR($A134),MONTH($A134),MIN(Settings!$E$45,DAY($B134))))&lt;=MIN($C134,IF(Settings!$G$45="",$C134,Settings!$G$45))),1,0)))</f>
        <v/>
      </c>
      <c r="BF134">
        <f>IF(OR(Settings!$C$46="",Settings!$D$46=""),0,Settings!$C$46*IF(Settings!$D$46="Weekly",IF(IFERROR(MATCH(Settings!$E$46,$EO$4:$EO$10,0),0)=0,0,IF(MIN($C134,IF(Settings!$G$46="",$C134,Settings!$G$46))&lt;MAX($A134,Settings!$F$46),0,INT((MIN($C134,IF(Settings!$G$46="",$C134,Settings!$G$46))-MAX($A134,Settings!$F$46)-MOD(IFERROR(MATCH(Settings!$E$46,$EO$4:$EO$10,0),0)-WEEKDAY(MAX($A134,Settings!$F$46)),7))/7)+1)),IF(AND(IF(Settings!$E$46="",$B134,DATE(YEAR($A134),MONTH($A134),MIN(Settings!$E$46,DAY($B134))))&gt;=MAX($A134,Settings!$F$46),IF(Settings!$E$46="",$B134,DATE(YEAR($A134),MONTH($A134),MIN(Settings!$E$46,DAY($B134))))&lt;=MIN($C134,IF(Settings!$G$46="",$C134,Settings!$G$46))),1,0)))</f>
        <v/>
      </c>
      <c r="BG134">
        <f>IF(OR(Settings!$C$47="",Settings!$D$47=""),0,Settings!$C$47*IF(Settings!$D$47="Weekly",IF(IFERROR(MATCH(Settings!$E$47,$EO$4:$EO$10,0),0)=0,0,IF(MIN($C134,IF(Settings!$G$47="",$C134,Settings!$G$47))&lt;MAX($A134,Settings!$F$47),0,INT((MIN($C134,IF(Settings!$G$47="",$C134,Settings!$G$47))-MAX($A134,Settings!$F$47)-MOD(IFERROR(MATCH(Settings!$E$47,$EO$4:$EO$10,0),0)-WEEKDAY(MAX($A134,Settings!$F$47)),7))/7)+1)),IF(AND(IF(Settings!$E$47="",$B134,DATE(YEAR($A134),MONTH($A134),MIN(Settings!$E$47,DAY($B134))))&gt;=MAX($A134,Settings!$F$47),IF(Settings!$E$47="",$B134,DATE(YEAR($A134),MONTH($A134),MIN(Settings!$E$47,DAY($B134))))&lt;=MIN($C134,IF(Settings!$G$47="",$C134,Settings!$G$47))),1,0)))</f>
        <v/>
      </c>
      <c r="BH134">
        <f>IF(OR(Settings!$C$48="",Settings!$D$48=""),0,Settings!$C$48*IF(Settings!$D$48="Weekly",IF(IFERROR(MATCH(Settings!$E$48,$EO$4:$EO$10,0),0)=0,0,IF(MIN($C134,IF(Settings!$G$48="",$C134,Settings!$G$48))&lt;MAX($A134,Settings!$F$48),0,INT((MIN($C134,IF(Settings!$G$48="",$C134,Settings!$G$48))-MAX($A134,Settings!$F$48)-MOD(IFERROR(MATCH(Settings!$E$48,$EO$4:$EO$10,0),0)-WEEKDAY(MAX($A134,Settings!$F$48)),7))/7)+1)),IF(AND(IF(Settings!$E$48="",$B134,DATE(YEAR($A134),MONTH($A134),MIN(Settings!$E$48,DAY($B134))))&gt;=MAX($A134,Settings!$F$48),IF(Settings!$E$48="",$B134,DATE(YEAR($A134),MONTH($A134),MIN(Settings!$E$48,DAY($B134))))&lt;=MIN($C134,IF(Settings!$G$48="",$C134,Settings!$G$48))),1,0)))</f>
        <v/>
      </c>
      <c r="BI134">
        <f>IF(OR(Settings!$C$49="",Settings!$D$49=""),0,Settings!$C$49*IF(Settings!$D$49="Weekly",IF(IFERROR(MATCH(Settings!$E$49,$EO$4:$EO$10,0),0)=0,0,IF(MIN($C134,IF(Settings!$G$49="",$C134,Settings!$G$49))&lt;MAX($A134,Settings!$F$49),0,INT((MIN($C134,IF(Settings!$G$49="",$C134,Settings!$G$49))-MAX($A134,Settings!$F$49)-MOD(IFERROR(MATCH(Settings!$E$49,$EO$4:$EO$10,0),0)-WEEKDAY(MAX($A134,Settings!$F$49)),7))/7)+1)),IF(AND(IF(Settings!$E$49="",$B134,DATE(YEAR($A134),MONTH($A134),MIN(Settings!$E$49,DAY($B134))))&gt;=MAX($A134,Settings!$F$49),IF(Settings!$E$49="",$B134,DATE(YEAR($A134),MONTH($A134),MIN(Settings!$E$49,DAY($B134))))&lt;=MIN($C134,IF(Settings!$G$49="",$C134,Settings!$G$49))),1,0)))</f>
        <v/>
      </c>
      <c r="BJ134">
        <f>IF(OR(Settings!$C$50="",Settings!$D$50=""),0,Settings!$C$50*IF(Settings!$D$50="Weekly",IF(IFERROR(MATCH(Settings!$E$50,$EO$4:$EO$10,0),0)=0,0,IF(MIN($C134,IF(Settings!$G$50="",$C134,Settings!$G$50))&lt;MAX($A134,Settings!$F$50),0,INT((MIN($C134,IF(Settings!$G$50="",$C134,Settings!$G$50))-MAX($A134,Settings!$F$50)-MOD(IFERROR(MATCH(Settings!$E$50,$EO$4:$EO$10,0),0)-WEEKDAY(MAX($A134,Settings!$F$50)),7))/7)+1)),IF(AND(IF(Settings!$E$50="",$B134,DATE(YEAR($A134),MONTH($A134),MIN(Settings!$E$50,DAY($B134))))&gt;=MAX($A134,Settings!$F$50),IF(Settings!$E$50="",$B134,DATE(YEAR($A134),MONTH($A134),MIN(Settings!$E$50,DAY($B134))))&lt;=MIN($C134,IF(Settings!$G$50="",$C134,Settings!$G$50))),1,0)))</f>
        <v/>
      </c>
      <c r="BK134">
        <f>IF(OR(Settings!$C$51="",Settings!$D$51=""),0,Settings!$C$51*IF(Settings!$D$51="Weekly",IF(IFERROR(MATCH(Settings!$E$51,$EO$4:$EO$10,0),0)=0,0,IF(MIN($C134,IF(Settings!$G$51="",$C134,Settings!$G$51))&lt;MAX($A134,Settings!$F$51),0,INT((MIN($C134,IF(Settings!$G$51="",$C134,Settings!$G$51))-MAX($A134,Settings!$F$51)-MOD(IFERROR(MATCH(Settings!$E$51,$EO$4:$EO$10,0),0)-WEEKDAY(MAX($A134,Settings!$F$51)),7))/7)+1)),IF(AND(IF(Settings!$E$51="",$B134,DATE(YEAR($A134),MONTH($A134),MIN(Settings!$E$51,DAY($B134))))&gt;=MAX($A134,Settings!$F$51),IF(Settings!$E$51="",$B134,DATE(YEAR($A134),MONTH($A134),MIN(Settings!$E$51,DAY($B134))))&lt;=MIN($C134,IF(Settings!$G$51="",$C134,Settings!$G$51))),1,0)))</f>
        <v/>
      </c>
      <c r="BL134">
        <f>IF(OR(Settings!$C$52="",Settings!$D$52=""),0,Settings!$C$52*IF(Settings!$D$52="Weekly",IF(IFERROR(MATCH(Settings!$E$52,$EO$4:$EO$10,0),0)=0,0,IF(MIN($C134,IF(Settings!$G$52="",$C134,Settings!$G$52))&lt;MAX($A134,Settings!$F$52),0,INT((MIN($C134,IF(Settings!$G$52="",$C134,Settings!$G$52))-MAX($A134,Settings!$F$52)-MOD(IFERROR(MATCH(Settings!$E$52,$EO$4:$EO$10,0),0)-WEEKDAY(MAX($A134,Settings!$F$52)),7))/7)+1)),IF(AND(IF(Settings!$E$52="",$B134,DATE(YEAR($A134),MONTH($A134),MIN(Settings!$E$52,DAY($B134))))&gt;=MAX($A134,Settings!$F$52),IF(Settings!$E$52="",$B134,DATE(YEAR($A134),MONTH($A134),MIN(Settings!$E$52,DAY($B134))))&lt;=MIN($C134,IF(Settings!$G$52="",$C134,Settings!$G$52))),1,0)))</f>
        <v/>
      </c>
      <c r="BM134">
        <f>IF(OR(Settings!$C$53="",Settings!$D$53=""),0,Settings!$C$53*IF(Settings!$D$53="Weekly",IF(IFERROR(MATCH(Settings!$E$53,$EO$4:$EO$10,0),0)=0,0,IF(MIN($C134,IF(Settings!$G$53="",$C134,Settings!$G$53))&lt;MAX($A134,Settings!$F$53),0,INT((MIN($C134,IF(Settings!$G$53="",$C134,Settings!$G$53))-MAX($A134,Settings!$F$53)-MOD(IFERROR(MATCH(Settings!$E$53,$EO$4:$EO$10,0),0)-WEEKDAY(MAX($A134,Settings!$F$53)),7))/7)+1)),IF(AND(IF(Settings!$E$53="",$B134,DATE(YEAR($A134),MONTH($A134),MIN(Settings!$E$53,DAY($B134))))&gt;=MAX($A134,Settings!$F$53),IF(Settings!$E$53="",$B134,DATE(YEAR($A134),MONTH($A134),MIN(Settings!$E$53,DAY($B134))))&lt;=MIN($C134,IF(Settings!$G$53="",$C134,Settings!$G$53))),1,0)))</f>
        <v/>
      </c>
      <c r="BN134">
        <f>IF(OR(Settings!$C$54="",Settings!$D$54=""),0,Settings!$C$54*IF(Settings!$D$54="Weekly",IF(IFERROR(MATCH(Settings!$E$54,$EO$4:$EO$10,0),0)=0,0,IF(MIN($C134,IF(Settings!$G$54="",$C134,Settings!$G$54))&lt;MAX($A134,Settings!$F$54),0,INT((MIN($C134,IF(Settings!$G$54="",$C134,Settings!$G$54))-MAX($A134,Settings!$F$54)-MOD(IFERROR(MATCH(Settings!$E$54,$EO$4:$EO$10,0),0)-WEEKDAY(MAX($A134,Settings!$F$54)),7))/7)+1)),IF(AND(IF(Settings!$E$54="",$B134,DATE(YEAR($A134),MONTH($A134),MIN(Settings!$E$54,DAY($B134))))&gt;=MAX($A134,Settings!$F$54),IF(Settings!$E$54="",$B134,DATE(YEAR($A134),MONTH($A134),MIN(Settings!$E$54,DAY($B134))))&lt;=MIN($C134,IF(Settings!$G$54="",$C134,Settings!$G$54))),1,0)))</f>
        <v/>
      </c>
      <c r="BO134">
        <f>IF(OR(Settings!$C$55="",Settings!$D$55=""),0,Settings!$C$55*IF(Settings!$D$55="Weekly",IF(IFERROR(MATCH(Settings!$E$55,$EO$4:$EO$10,0),0)=0,0,IF(MIN($C134,IF(Settings!$G$55="",$C134,Settings!$G$55))&lt;MAX($A134,Settings!$F$55),0,INT((MIN($C134,IF(Settings!$G$55="",$C134,Settings!$G$55))-MAX($A134,Settings!$F$55)-MOD(IFERROR(MATCH(Settings!$E$55,$EO$4:$EO$10,0),0)-WEEKDAY(MAX($A134,Settings!$F$55)),7))/7)+1)),IF(AND(IF(Settings!$E$55="",$B134,DATE(YEAR($A134),MONTH($A134),MIN(Settings!$E$55,DAY($B134))))&gt;=MAX($A134,Settings!$F$55),IF(Settings!$E$55="",$B134,DATE(YEAR($A134),MONTH($A134),MIN(Settings!$E$55,DAY($B134))))&lt;=MIN($C134,IF(Settings!$G$55="",$C134,Settings!$G$55))),1,0)))</f>
        <v/>
      </c>
      <c r="BP134">
        <f>IF(OR(Settings!$C$56="",Settings!$D$56=""),0,Settings!$C$56*IF(Settings!$D$56="Weekly",IF(IFERROR(MATCH(Settings!$E$56,$EO$4:$EO$10,0),0)=0,0,IF(MIN($C134,IF(Settings!$G$56="",$C134,Settings!$G$56))&lt;MAX($A134,Settings!$F$56),0,INT((MIN($C134,IF(Settings!$G$56="",$C134,Settings!$G$56))-MAX($A134,Settings!$F$56)-MOD(IFERROR(MATCH(Settings!$E$56,$EO$4:$EO$10,0),0)-WEEKDAY(MAX($A134,Settings!$F$56)),7))/7)+1)),IF(AND(IF(Settings!$E$56="",$B134,DATE(YEAR($A134),MONTH($A134),MIN(Settings!$E$56,DAY($B134))))&gt;=MAX($A134,Settings!$F$56),IF(Settings!$E$56="",$B134,DATE(YEAR($A134),MONTH($A134),MIN(Settings!$E$56,DAY($B134))))&lt;=MIN($C134,IF(Settings!$G$56="",$C134,Settings!$G$56))),1,0)))</f>
        <v/>
      </c>
      <c r="BQ134">
        <f>IF(OR(Settings!$B$14="",$D134=1,$E134="pre",$A134&lt;IF(Settings!$B$15="",0,Settings!$B$15)),0,Settings!$B$14)</f>
        <v/>
      </c>
      <c r="BR134">
        <f>IF(AND('Month-End'!$EA$7&lt;&gt;"",NOT(_xlfn.ISFORMULA('Month-End'!$EA$7))),1,0)</f>
        <v/>
      </c>
      <c r="BS134">
        <f>IF(AND('Month-End'!$EA$8&lt;&gt;"",NOT(_xlfn.ISFORMULA('Month-End'!$EA$8))),1,0)</f>
        <v/>
      </c>
      <c r="BT134">
        <f>IF(AND('Month-End'!$EA$9&lt;&gt;"",NOT(_xlfn.ISFORMULA('Month-End'!$EA$9))),1,0)</f>
        <v/>
      </c>
      <c r="BU134">
        <f>IF(AND('Month-End'!$EA$10&lt;&gt;"",NOT(_xlfn.ISFORMULA('Month-End'!$EA$10))),1,0)</f>
        <v/>
      </c>
      <c r="BV134">
        <f>IF(AND('Month-End'!$EA$11&lt;&gt;"",NOT(_xlfn.ISFORMULA('Month-End'!$EA$11))),1,0)</f>
        <v/>
      </c>
      <c r="BW134">
        <f>IF(AND('Month-End'!$EA$12&lt;&gt;"",NOT(_xlfn.ISFORMULA('Month-End'!$EA$12))),1,0)</f>
        <v/>
      </c>
      <c r="BX134">
        <f>IF(AND('Month-End'!$EA$13&lt;&gt;"",NOT(_xlfn.ISFORMULA('Month-End'!$EA$13))),1,0)</f>
        <v/>
      </c>
      <c r="BY134">
        <f>IF(AND('Month-End'!$EA$14&lt;&gt;"",NOT(_xlfn.ISFORMULA('Month-End'!$EA$14))),1,0)</f>
        <v/>
      </c>
      <c r="BZ134">
        <f>IF(AND('Month-End'!$EA$15&lt;&gt;"",NOT(_xlfn.ISFORMULA('Month-End'!$EA$15))),1,0)</f>
        <v/>
      </c>
      <c r="CA134">
        <f>IF(AND('Month-End'!$EA$16&lt;&gt;"",NOT(_xlfn.ISFORMULA('Month-End'!$EA$16))),1,0)</f>
        <v/>
      </c>
      <c r="CB134">
        <f>IF(AND('Month-End'!$EA$17&lt;&gt;"",NOT(_xlfn.ISFORMULA('Month-End'!$EA$17))),1,0)</f>
        <v/>
      </c>
      <c r="CC134">
        <f>IF(AND('Month-End'!$EA$18&lt;&gt;"",NOT(_xlfn.ISFORMULA('Month-End'!$EA$18))),1,0)</f>
        <v/>
      </c>
      <c r="CD134">
        <f>IF(AND('Month-End'!$EA$19&lt;&gt;"",NOT(_xlfn.ISFORMULA('Month-End'!$EA$19))),1,0)</f>
        <v/>
      </c>
      <c r="CE134">
        <f>IF(AND('Month-End'!$EA$20&lt;&gt;"",NOT(_xlfn.ISFORMULA('Month-End'!$EA$20))),1,0)</f>
        <v/>
      </c>
      <c r="CF134">
        <f>IF(AND('Month-End'!$EA$38&lt;&gt;"",NOT(_xlfn.ISFORMULA('Month-End'!$EA$38))),1,0)</f>
        <v/>
      </c>
      <c r="CG134">
        <f>IF(AND('Month-End'!$EA$39&lt;&gt;"",NOT(_xlfn.ISFORMULA('Month-End'!$EA$39))),1,0)</f>
        <v/>
      </c>
      <c r="CH134">
        <f>IF(AND('Month-End'!$EA$40&lt;&gt;"",NOT(_xlfn.ISFORMULA('Month-End'!$EA$40))),1,0)</f>
        <v/>
      </c>
      <c r="CI134">
        <f>IF(AND('Month-End'!$EA$41&lt;&gt;"",NOT(_xlfn.ISFORMULA('Month-End'!$EA$41))),1,0)</f>
        <v/>
      </c>
      <c r="CJ134">
        <f>IF(AND('Month-End'!$EA$42&lt;&gt;"",NOT(_xlfn.ISFORMULA('Month-End'!$EA$42))),1,0)</f>
        <v/>
      </c>
      <c r="CK134">
        <f>IF(AND('Month-End'!$EA$43&lt;&gt;"",NOT(_xlfn.ISFORMULA('Month-End'!$EA$43))),1,0)</f>
        <v/>
      </c>
      <c r="CL134">
        <f>SUM($CM134:$CZ134)</f>
        <v/>
      </c>
      <c r="CM134">
        <f>IF(AND($E134&lt;&gt;"pre",AND(Settings!$A$19&lt;&gt;"",Settings!$E$19&lt;&gt;"No"),Settings!$F$19="Yes",NOT(AND('Month-End'!$EA$7&lt;&gt;"",NOT(_xlfn.ISFORMULA('Month-End'!$EA$7))))),1,0)</f>
        <v/>
      </c>
      <c r="CN134">
        <f>IF(AND($E134&lt;&gt;"pre",AND(Settings!$A$20&lt;&gt;"",Settings!$E$20&lt;&gt;"No"),Settings!$F$20="Yes",NOT(AND('Month-End'!$EA$8&lt;&gt;"",NOT(_xlfn.ISFORMULA('Month-End'!$EA$8))))),1,0)</f>
        <v/>
      </c>
      <c r="CO134">
        <f>IF(AND($E134&lt;&gt;"pre",AND(Settings!$A$21&lt;&gt;"",Settings!$E$21&lt;&gt;"No"),Settings!$F$21="Yes",NOT(AND('Month-End'!$EA$9&lt;&gt;"",NOT(_xlfn.ISFORMULA('Month-End'!$EA$9))))),1,0)</f>
        <v/>
      </c>
      <c r="CP134">
        <f>IF(AND($E134&lt;&gt;"pre",AND(Settings!$A$22&lt;&gt;"",Settings!$E$22&lt;&gt;"No"),Settings!$F$22="Yes",NOT(AND('Month-End'!$EA$10&lt;&gt;"",NOT(_xlfn.ISFORMULA('Month-End'!$EA$10))))),1,0)</f>
        <v/>
      </c>
      <c r="CQ134">
        <f>IF(AND($E134&lt;&gt;"pre",AND(Settings!$A$23&lt;&gt;"",Settings!$E$23&lt;&gt;"No"),Settings!$F$23="Yes",NOT(AND('Month-End'!$EA$11&lt;&gt;"",NOT(_xlfn.ISFORMULA('Month-End'!$EA$11))))),1,0)</f>
        <v/>
      </c>
      <c r="CR134">
        <f>IF(AND($E134&lt;&gt;"pre",AND(Settings!$A$24&lt;&gt;"",Settings!$E$24&lt;&gt;"No"),Settings!$F$24="Yes",NOT(AND('Month-End'!$EA$12&lt;&gt;"",NOT(_xlfn.ISFORMULA('Month-End'!$EA$12))))),1,0)</f>
        <v/>
      </c>
      <c r="CS134">
        <f>IF(AND($E134&lt;&gt;"pre",AND(Settings!$A$25&lt;&gt;"",Settings!$E$25&lt;&gt;"No"),Settings!$F$25="Yes",NOT(AND('Month-End'!$EA$13&lt;&gt;"",NOT(_xlfn.ISFORMULA('Month-End'!$EA$13))))),1,0)</f>
        <v/>
      </c>
      <c r="CT134">
        <f>IF(AND($E134&lt;&gt;"pre",AND(Settings!$A$26&lt;&gt;"",Settings!$E$26&lt;&gt;"No"),Settings!$F$26="Yes",NOT(AND('Month-End'!$EA$14&lt;&gt;"",NOT(_xlfn.ISFORMULA('Month-End'!$EA$14))))),1,0)</f>
        <v/>
      </c>
      <c r="CU134">
        <f>IF(AND($E134&lt;&gt;"pre",AND(Settings!$A$27&lt;&gt;"",Settings!$E$27&lt;&gt;"No"),Settings!$F$27="Yes",NOT(AND('Month-End'!$EA$15&lt;&gt;"",NOT(_xlfn.ISFORMULA('Month-End'!$EA$15))))),1,0)</f>
        <v/>
      </c>
      <c r="CV134">
        <f>IF(AND($E134&lt;&gt;"pre",AND(Settings!$A$28&lt;&gt;"",Settings!$E$28&lt;&gt;"No"),Settings!$F$28="Yes",NOT(AND('Month-End'!$EA$16&lt;&gt;"",NOT(_xlfn.ISFORMULA('Month-End'!$EA$16))))),1,0)</f>
        <v/>
      </c>
      <c r="CW134">
        <f>IF(AND($E134&lt;&gt;"pre",AND(Settings!$A$29&lt;&gt;"",Settings!$E$29&lt;&gt;"No"),Settings!$F$29="Yes",NOT(AND('Month-End'!$EA$17&lt;&gt;"",NOT(_xlfn.ISFORMULA('Month-End'!$EA$17))))),1,0)</f>
        <v/>
      </c>
      <c r="CX134">
        <f>IF(AND($E134&lt;&gt;"pre",AND(Settings!$A$30&lt;&gt;"",Settings!$E$30&lt;&gt;"No"),Settings!$F$30="Yes",NOT(AND('Month-End'!$EA$18&lt;&gt;"",NOT(_xlfn.ISFORMULA('Month-End'!$EA$18))))),1,0)</f>
        <v/>
      </c>
      <c r="CY134">
        <f>IF(AND($E134&lt;&gt;"pre",AND(Settings!$A$31&lt;&gt;"",Settings!$E$31&lt;&gt;"No"),Settings!$F$31="Yes",NOT(AND('Month-End'!$EA$19&lt;&gt;"",NOT(_xlfn.ISFORMULA('Month-End'!$EA$19))))),1,0)</f>
        <v/>
      </c>
      <c r="CZ134">
        <f>IF(AND($E134&lt;&gt;"pre",AND(Settings!$A$32&lt;&gt;"",Settings!$E$32&lt;&gt;"No"),Settings!$F$32="Yes",NOT(AND('Month-End'!$EA$20&lt;&gt;"",NOT(_xlfn.ISFORMULA('Month-End'!$EA$20))))),1,0)</f>
        <v/>
      </c>
      <c r="DA134">
        <f>IF($DT134=1,IF(OR(Settings!$B$19="Checking",Settings!$B$19="Savings",Settings!$B$19="Cash"),N($AE134),IF(OR(Settings!$B$19="Card",Settings!$B$19="Loan"),-N($AE134),0))+IF(OR(Settings!$B$20="Checking",Settings!$B$20="Savings",Settings!$B$20="Cash"),N($AF134),IF(OR(Settings!$B$20="Card",Settings!$B$20="Loan"),-N($AF134),0))+IF(OR(Settings!$B$21="Checking",Settings!$B$21="Savings",Settings!$B$21="Cash"),N($AG134),IF(OR(Settings!$B$21="Card",Settings!$B$21="Loan"),-N($AG134),0))+IF(OR(Settings!$B$22="Checking",Settings!$B$22="Savings",Settings!$B$22="Cash"),N($AH134),IF(OR(Settings!$B$22="Card",Settings!$B$22="Loan"),-N($AH134),0))+IF(OR(Settings!$B$23="Checking",Settings!$B$23="Savings",Settings!$B$23="Cash"),N($AI134),IF(OR(Settings!$B$23="Card",Settings!$B$23="Loan"),-N($AI134),0))+IF(OR(Settings!$B$24="Checking",Settings!$B$24="Savings",Settings!$B$24="Cash"),N($AJ134),IF(OR(Settings!$B$24="Card",Settings!$B$24="Loan"),-N($AJ134),0))+IF(OR(Settings!$B$25="Checking",Settings!$B$25="Savings",Settings!$B$25="Cash"),N($AK134),IF(OR(Settings!$B$25="Card",Settings!$B$25="Loan"),-N($AK134),0))+IF(OR(Settings!$B$26="Checking",Settings!$B$26="Savings",Settings!$B$26="Cash"),N($AL134),IF(OR(Settings!$B$26="Card",Settings!$B$26="Loan"),-N($AL134),0))+IF(OR(Settings!$B$27="Checking",Settings!$B$27="Savings",Settings!$B$27="Cash"),N($AM134),IF(OR(Settings!$B$27="Card",Settings!$B$27="Loan"),-N($AM134),0))+IF(OR(Settings!$B$28="Checking",Settings!$B$28="Savings",Settings!$B$28="Cash"),N($AN134),IF(OR(Settings!$B$28="Card",Settings!$B$28="Loan"),-N($AN134),0))+IF(OR(Settings!$B$29="Checking",Settings!$B$29="Savings",Settings!$B$29="Cash"),N($AO134),IF(OR(Settings!$B$29="Card",Settings!$B$29="Loan"),-N($AO134),0))+IF(OR(Settings!$B$30="Checking",Settings!$B$30="Savings",Settings!$B$30="Cash"),N($AP134),IF(OR(Settings!$B$30="Card",Settings!$B$30="Loan"),-N($AP134),0))+IF(OR(Settings!$B$31="Checking",Settings!$B$31="Savings",Settings!$B$31="Cash"),N($AQ134),IF(OR(Settings!$B$31="Card",Settings!$B$31="Loan"),-N($AQ134),0))+IF(OR(Settings!$B$32="Checking",Settings!$B$32="Savings",Settings!$B$32="Cash"),N($AR134),IF(OR(Settings!$B$32="Card",Settings!$B$32="Loan"),-N($AR134),0)),"")</f>
        <v/>
      </c>
      <c r="DB134">
        <f>IF($E134="open",$EB$27,IF($E134="post",IF($E133="pre",$EB$27,$DA133),""))</f>
        <v/>
      </c>
      <c r="DC134">
        <f>IF($E134="open",1,IF($E134="post",IF($E133="pre",1,$DT133),0))</f>
        <v/>
      </c>
      <c r="DD134">
        <f>IF(AND($DT134=1,$DC134=1),ROUND($W134-($DA134-$DB134)-$AD134-$AB134,2),"")</f>
        <v/>
      </c>
      <c r="DE134">
        <f>IF('Month-End'!$EA$35="",$BQ134,N('Month-End'!$EA$35))</f>
        <v/>
      </c>
      <c r="DF134">
        <f>N('Month-End'!$EA$36)</f>
        <v/>
      </c>
      <c r="DG134">
        <f>IF($DD134="","",$DD134+$DE134)</f>
        <v/>
      </c>
      <c r="DH134">
        <f>IF($DG134="","",$DG134-$DF134)</f>
        <v/>
      </c>
      <c r="DI134">
        <f>IF(OR($E134="pre",$D134=1),"",N($AS134)+N($AT134)+N($AU134)+N($AV134)+N($AW134)+N($AX134))</f>
        <v/>
      </c>
      <c r="DJ134">
        <f>IF($DT134=1,$DA134+N($DI134),"")</f>
        <v/>
      </c>
      <c r="DK134">
        <f>IF($DD134="","",$W134-$DD134-$AB134)</f>
        <v/>
      </c>
      <c r="DL134">
        <f>IF(AND($E134="post",$DD134&lt;&gt;"",$B134&lt;TODAY()),1,0)</f>
        <v/>
      </c>
      <c r="DM134">
        <f>IF($DL134=1,COUNTIF($DL134:$DL$183,1),0)</f>
        <v/>
      </c>
      <c r="DN134">
        <f>IF($D134=1,"",IF($E134="pre","History only",IF($DT134=1,IF($DD134="","⚠ Previous month missing",IF($DD134&lt;0,"⚠ Check: spending &lt; 0",IF($E134="open","✓ Done (partial)","✓ Done"))),IF($B134&gt;=TODAY(),"In progress","⚠ Needs balances"))))</f>
        <v/>
      </c>
      <c r="DO134">
        <f>YEAR($A134)</f>
        <v/>
      </c>
      <c r="DP134">
        <f>DATE(YEAR($A134),INT((MONTH($A134)-1)/3)*3+1,1)</f>
        <v/>
      </c>
      <c r="DQ134">
        <f>IF(AND($DT134=1,$DD134&lt;&gt;"",$D134=0),ROW(),0)</f>
        <v/>
      </c>
      <c r="DR134">
        <f>IF(AND($E134&lt;&gt;"pre",$B134&lt;TODAY(),$DT134=0),1,0)</f>
        <v/>
      </c>
      <c r="DS134">
        <f>IF($DJ134="",NA(),$DJ134)</f>
        <v/>
      </c>
      <c r="DT134">
        <f>IF(AND($E134&lt;&gt;"pre",$CL134=0,COUNTIFS(Settings!$F$19:$F$32,"Yes",Settings!$A$19:$A$32,"&lt;&gt;",Settings!$E$19:$E$32,"&lt;&gt;No")&gt;0),1,0)</f>
        <v/>
      </c>
      <c r="DU134">
        <f>IF(AND($B134&lt;TODAY(),$S134&gt;0),1,0)</f>
        <v/>
      </c>
      <c r="DV134">
        <f>IF($DU134=1,COUNTIF($DU134:$DU$183,1),0)</f>
        <v/>
      </c>
      <c r="DW134">
        <f>IF(AND(OR(Settings!$B$19="Card",Settings!$B$19="Loan"),AND('Month-End'!$EA$7&lt;&gt;"",NOT(_xlfn.ISFORMULA('Month-End'!$EA$7)))),IF(N('Month-End'!$EA$7)&lt;0,1,0),0)+IF(AND(OR(Settings!$B$20="Card",Settings!$B$20="Loan"),AND('Month-End'!$EA$8&lt;&gt;"",NOT(_xlfn.ISFORMULA('Month-End'!$EA$8)))),IF(N('Month-End'!$EA$8)&lt;0,1,0),0)+IF(AND(OR(Settings!$B$21="Card",Settings!$B$21="Loan"),AND('Month-End'!$EA$9&lt;&gt;"",NOT(_xlfn.ISFORMULA('Month-End'!$EA$9)))),IF(N('Month-End'!$EA$9)&lt;0,1,0),0)+IF(AND(OR(Settings!$B$22="Card",Settings!$B$22="Loan"),AND('Month-End'!$EA$10&lt;&gt;"",NOT(_xlfn.ISFORMULA('Month-End'!$EA$10)))),IF(N('Month-End'!$EA$10)&lt;0,1,0),0)+IF(AND(OR(Settings!$B$23="Card",Settings!$B$23="Loan"),AND('Month-End'!$EA$11&lt;&gt;"",NOT(_xlfn.ISFORMULA('Month-End'!$EA$11)))),IF(N('Month-End'!$EA$11)&lt;0,1,0),0)+IF(AND(OR(Settings!$B$24="Card",Settings!$B$24="Loan"),AND('Month-End'!$EA$12&lt;&gt;"",NOT(_xlfn.ISFORMULA('Month-End'!$EA$12)))),IF(N('Month-End'!$EA$12)&lt;0,1,0),0)+IF(AND(OR(Settings!$B$25="Card",Settings!$B$25="Loan"),AND('Month-End'!$EA$13&lt;&gt;"",NOT(_xlfn.ISFORMULA('Month-End'!$EA$13)))),IF(N('Month-End'!$EA$13)&lt;0,1,0),0)+IF(AND(OR(Settings!$B$26="Card",Settings!$B$26="Loan"),AND('Month-End'!$EA$14&lt;&gt;"",NOT(_xlfn.ISFORMULA('Month-End'!$EA$14)))),IF(N('Month-End'!$EA$14)&lt;0,1,0),0)+IF(AND(OR(Settings!$B$27="Card",Settings!$B$27="Loan"),AND('Month-End'!$EA$15&lt;&gt;"",NOT(_xlfn.ISFORMULA('Month-End'!$EA$15)))),IF(N('Month-End'!$EA$15)&lt;0,1,0),0)+IF(AND(OR(Settings!$B$28="Card",Settings!$B$28="Loan"),AND('Month-End'!$EA$16&lt;&gt;"",NOT(_xlfn.ISFORMULA('Month-End'!$EA$16)))),IF(N('Month-End'!$EA$16)&lt;0,1,0),0)+IF(AND(OR(Settings!$B$29="Card",Settings!$B$29="Loan"),AND('Month-End'!$EA$17&lt;&gt;"",NOT(_xlfn.ISFORMULA('Month-End'!$EA$17)))),IF(N('Month-End'!$EA$17)&lt;0,1,0),0)+IF(AND(OR(Settings!$B$30="Card",Settings!$B$30="Loan"),AND('Month-End'!$EA$18&lt;&gt;"",NOT(_xlfn.ISFORMULA('Month-End'!$EA$18)))),IF(N('Month-End'!$EA$18)&lt;0,1,0),0)+IF(AND(OR(Settings!$B$31="Card",Settings!$B$31="Loan"),AND('Month-End'!$EA$19&lt;&gt;"",NOT(_xlfn.ISFORMULA('Month-End'!$EA$19)))),IF(N('Month-End'!$EA$19)&lt;0,1,0),0)+IF(AND(OR(Settings!$B$32="Card",Settings!$B$32="Loan"),AND('Month-End'!$EA$20&lt;&gt;"",NOT(_xlfn.ISFORMULA('Month-End'!$EA$20)))),IF(N('Month-End'!$EA$20)&lt;0,1,0),0)</f>
        <v/>
      </c>
      <c r="DX134">
        <f>IF(Settings!$B$36="Retirement",$AY134,0)+IF(Settings!$B$37="Retirement",$AZ134,0)+IF(Settings!$B$38="Retirement",$BA134,0)+IF(Settings!$B$39="Retirement",$BB134,0)+IF(Settings!$B$40="Retirement",$BC134,0)+IF(Settings!$B$41="Retirement",$BD134,0)</f>
        <v/>
      </c>
      <c r="ET134">
        <f>IF($E134&lt;&gt;"open",0,IF(AND('Month-End'!$EA$22&lt;&gt;"",NOT(_xlfn.ISFORMULA('Month-End'!$EA$22))),0,IF(OR(Settings!$C$45="",Settings!$D$45=""),0,Settings!$C$45*IF(Settings!$D$45="Weekly",IF(IFERROR(MATCH(Settings!$E$45,$EO$4:$EO$10,0),0)=0,0,IF(MIN(Settings!$B$5,IF(Settings!$G$45="",Settings!$B$5,Settings!$G$45))&lt;MAX($A134,Settings!$F$45),0,INT((MIN(Settings!$B$5,IF(Settings!$G$45="",Settings!$B$5,Settings!$G$45))-MAX($A134,Settings!$F$45)-MOD(IFERROR(MATCH(Settings!$E$45,$EO$4:$EO$10,0),0)-WEEKDAY(MAX($A134,Settings!$F$45)),7))/7)+1)),IF(AND(IF(Settings!$E$45="",$B134,DATE(YEAR($A134),MONTH($A134),MIN(Settings!$E$45,DAY($B134))))&gt;=MAX($A134,Settings!$F$45),IF(Settings!$E$45="",$B134,DATE(YEAR($A134),MONTH($A134),MIN(Settings!$E$45,DAY($B134))))&lt;=MIN(Settings!$B$5,IF(Settings!$G$45="",Settings!$B$5,Settings!$G$45))),1,0)))))</f>
        <v/>
      </c>
      <c r="EU134">
        <f>IF($E134&lt;&gt;"open",0,IF(AND('Month-End'!$EA$23&lt;&gt;"",NOT(_xlfn.ISFORMULA('Month-End'!$EA$23))),0,IF(OR(Settings!$C$46="",Settings!$D$46=""),0,Settings!$C$46*IF(Settings!$D$46="Weekly",IF(IFERROR(MATCH(Settings!$E$46,$EO$4:$EO$10,0),0)=0,0,IF(MIN(Settings!$B$5,IF(Settings!$G$46="",Settings!$B$5,Settings!$G$46))&lt;MAX($A134,Settings!$F$46),0,INT((MIN(Settings!$B$5,IF(Settings!$G$46="",Settings!$B$5,Settings!$G$46))-MAX($A134,Settings!$F$46)-MOD(IFERROR(MATCH(Settings!$E$46,$EO$4:$EO$10,0),0)-WEEKDAY(MAX($A134,Settings!$F$46)),7))/7)+1)),IF(AND(IF(Settings!$E$46="",$B134,DATE(YEAR($A134),MONTH($A134),MIN(Settings!$E$46,DAY($B134))))&gt;=MAX($A134,Settings!$F$46),IF(Settings!$E$46="",$B134,DATE(YEAR($A134),MONTH($A134),MIN(Settings!$E$46,DAY($B134))))&lt;=MIN(Settings!$B$5,IF(Settings!$G$46="",Settings!$B$5,Settings!$G$46))),1,0)))))</f>
        <v/>
      </c>
      <c r="EV134">
        <f>IF($E134&lt;&gt;"open",0,IF(AND('Month-End'!$EA$24&lt;&gt;"",NOT(_xlfn.ISFORMULA('Month-End'!$EA$24))),0,IF(OR(Settings!$C$47="",Settings!$D$47=""),0,Settings!$C$47*IF(Settings!$D$47="Weekly",IF(IFERROR(MATCH(Settings!$E$47,$EO$4:$EO$10,0),0)=0,0,IF(MIN(Settings!$B$5,IF(Settings!$G$47="",Settings!$B$5,Settings!$G$47))&lt;MAX($A134,Settings!$F$47),0,INT((MIN(Settings!$B$5,IF(Settings!$G$47="",Settings!$B$5,Settings!$G$47))-MAX($A134,Settings!$F$47)-MOD(IFERROR(MATCH(Settings!$E$47,$EO$4:$EO$10,0),0)-WEEKDAY(MAX($A134,Settings!$F$47)),7))/7)+1)),IF(AND(IF(Settings!$E$47="",$B134,DATE(YEAR($A134),MONTH($A134),MIN(Settings!$E$47,DAY($B134))))&gt;=MAX($A134,Settings!$F$47),IF(Settings!$E$47="",$B134,DATE(YEAR($A134),MONTH($A134),MIN(Settings!$E$47,DAY($B134))))&lt;=MIN(Settings!$B$5,IF(Settings!$G$47="",Settings!$B$5,Settings!$G$47))),1,0)))))</f>
        <v/>
      </c>
      <c r="EW134">
        <f>IF($E134&lt;&gt;"open",0,IF(AND('Month-End'!$EA$25&lt;&gt;"",NOT(_xlfn.ISFORMULA('Month-End'!$EA$25))),0,IF(OR(Settings!$C$48="",Settings!$D$48=""),0,Settings!$C$48*IF(Settings!$D$48="Weekly",IF(IFERROR(MATCH(Settings!$E$48,$EO$4:$EO$10,0),0)=0,0,IF(MIN(Settings!$B$5,IF(Settings!$G$48="",Settings!$B$5,Settings!$G$48))&lt;MAX($A134,Settings!$F$48),0,INT((MIN(Settings!$B$5,IF(Settings!$G$48="",Settings!$B$5,Settings!$G$48))-MAX($A134,Settings!$F$48)-MOD(IFERROR(MATCH(Settings!$E$48,$EO$4:$EO$10,0),0)-WEEKDAY(MAX($A134,Settings!$F$48)),7))/7)+1)),IF(AND(IF(Settings!$E$48="",$B134,DATE(YEAR($A134),MONTH($A134),MIN(Settings!$E$48,DAY($B134))))&gt;=MAX($A134,Settings!$F$48),IF(Settings!$E$48="",$B134,DATE(YEAR($A134),MONTH($A134),MIN(Settings!$E$48,DAY($B134))))&lt;=MIN(Settings!$B$5,IF(Settings!$G$48="",Settings!$B$5,Settings!$G$48))),1,0)))))</f>
        <v/>
      </c>
      <c r="EX134">
        <f>IF($E134&lt;&gt;"open",0,IF(AND('Month-End'!$EA$26&lt;&gt;"",NOT(_xlfn.ISFORMULA('Month-End'!$EA$26))),0,IF(OR(Settings!$C$49="",Settings!$D$49=""),0,Settings!$C$49*IF(Settings!$D$49="Weekly",IF(IFERROR(MATCH(Settings!$E$49,$EO$4:$EO$10,0),0)=0,0,IF(MIN(Settings!$B$5,IF(Settings!$G$49="",Settings!$B$5,Settings!$G$49))&lt;MAX($A134,Settings!$F$49),0,INT((MIN(Settings!$B$5,IF(Settings!$G$49="",Settings!$B$5,Settings!$G$49))-MAX($A134,Settings!$F$49)-MOD(IFERROR(MATCH(Settings!$E$49,$EO$4:$EO$10,0),0)-WEEKDAY(MAX($A134,Settings!$F$49)),7))/7)+1)),IF(AND(IF(Settings!$E$49="",$B134,DATE(YEAR($A134),MONTH($A134),MIN(Settings!$E$49,DAY($B134))))&gt;=MAX($A134,Settings!$F$49),IF(Settings!$E$49="",$B134,DATE(YEAR($A134),MONTH($A134),MIN(Settings!$E$49,DAY($B134))))&lt;=MIN(Settings!$B$5,IF(Settings!$G$49="",Settings!$B$5,Settings!$G$49))),1,0)))))</f>
        <v/>
      </c>
      <c r="EY134">
        <f>IF($E134&lt;&gt;"open",0,IF(AND('Month-End'!$EA$27&lt;&gt;"",NOT(_xlfn.ISFORMULA('Month-End'!$EA$27))),0,IF(OR(Settings!$C$50="",Settings!$D$50=""),0,Settings!$C$50*IF(Settings!$D$50="Weekly",IF(IFERROR(MATCH(Settings!$E$50,$EO$4:$EO$10,0),0)=0,0,IF(MIN(Settings!$B$5,IF(Settings!$G$50="",Settings!$B$5,Settings!$G$50))&lt;MAX($A134,Settings!$F$50),0,INT((MIN(Settings!$B$5,IF(Settings!$G$50="",Settings!$B$5,Settings!$G$50))-MAX($A134,Settings!$F$50)-MOD(IFERROR(MATCH(Settings!$E$50,$EO$4:$EO$10,0),0)-WEEKDAY(MAX($A134,Settings!$F$50)),7))/7)+1)),IF(AND(IF(Settings!$E$50="",$B134,DATE(YEAR($A134),MONTH($A134),MIN(Settings!$E$50,DAY($B134))))&gt;=MAX($A134,Settings!$F$50),IF(Settings!$E$50="",$B134,DATE(YEAR($A134),MONTH($A134),MIN(Settings!$E$50,DAY($B134))))&lt;=MIN(Settings!$B$5,IF(Settings!$G$50="",Settings!$B$5,Settings!$G$50))),1,0)))))</f>
        <v/>
      </c>
      <c r="EZ134">
        <f>IF($E134&lt;&gt;"open",0,IF(AND('Month-End'!$EA$28&lt;&gt;"",NOT(_xlfn.ISFORMULA('Month-End'!$EA$28))),0,IF(OR(Settings!$C$51="",Settings!$D$51=""),0,Settings!$C$51*IF(Settings!$D$51="Weekly",IF(IFERROR(MATCH(Settings!$E$51,$EO$4:$EO$10,0),0)=0,0,IF(MIN(Settings!$B$5,IF(Settings!$G$51="",Settings!$B$5,Settings!$G$51))&lt;MAX($A134,Settings!$F$51),0,INT((MIN(Settings!$B$5,IF(Settings!$G$51="",Settings!$B$5,Settings!$G$51))-MAX($A134,Settings!$F$51)-MOD(IFERROR(MATCH(Settings!$E$51,$EO$4:$EO$10,0),0)-WEEKDAY(MAX($A134,Settings!$F$51)),7))/7)+1)),IF(AND(IF(Settings!$E$51="",$B134,DATE(YEAR($A134),MONTH($A134),MIN(Settings!$E$51,DAY($B134))))&gt;=MAX($A134,Settings!$F$51),IF(Settings!$E$51="",$B134,DATE(YEAR($A134),MONTH($A134),MIN(Settings!$E$51,DAY($B134))))&lt;=MIN(Settings!$B$5,IF(Settings!$G$51="",Settings!$B$5,Settings!$G$51))),1,0)))))</f>
        <v/>
      </c>
      <c r="FA134">
        <f>IF($E134&lt;&gt;"open",0,IF(AND('Month-End'!$EA$29&lt;&gt;"",NOT(_xlfn.ISFORMULA('Month-End'!$EA$29))),0,IF(OR(Settings!$C$52="",Settings!$D$52=""),0,Settings!$C$52*IF(Settings!$D$52="Weekly",IF(IFERROR(MATCH(Settings!$E$52,$EO$4:$EO$10,0),0)=0,0,IF(MIN(Settings!$B$5,IF(Settings!$G$52="",Settings!$B$5,Settings!$G$52))&lt;MAX($A134,Settings!$F$52),0,INT((MIN(Settings!$B$5,IF(Settings!$G$52="",Settings!$B$5,Settings!$G$52))-MAX($A134,Settings!$F$52)-MOD(IFERROR(MATCH(Settings!$E$52,$EO$4:$EO$10,0),0)-WEEKDAY(MAX($A134,Settings!$F$52)),7))/7)+1)),IF(AND(IF(Settings!$E$52="",$B134,DATE(YEAR($A134),MONTH($A134),MIN(Settings!$E$52,DAY($B134))))&gt;=MAX($A134,Settings!$F$52),IF(Settings!$E$52="",$B134,DATE(YEAR($A134),MONTH($A134),MIN(Settings!$E$52,DAY($B134))))&lt;=MIN(Settings!$B$5,IF(Settings!$G$52="",Settings!$B$5,Settings!$G$52))),1,0)))))</f>
        <v/>
      </c>
      <c r="FB134">
        <f>IF($E134&lt;&gt;"open",0,IF(AND('Month-End'!$EA$30&lt;&gt;"",NOT(_xlfn.ISFORMULA('Month-End'!$EA$30))),0,IF(OR(Settings!$C$53="",Settings!$D$53=""),0,Settings!$C$53*IF(Settings!$D$53="Weekly",IF(IFERROR(MATCH(Settings!$E$53,$EO$4:$EO$10,0),0)=0,0,IF(MIN(Settings!$B$5,IF(Settings!$G$53="",Settings!$B$5,Settings!$G$53))&lt;MAX($A134,Settings!$F$53),0,INT((MIN(Settings!$B$5,IF(Settings!$G$53="",Settings!$B$5,Settings!$G$53))-MAX($A134,Settings!$F$53)-MOD(IFERROR(MATCH(Settings!$E$53,$EO$4:$EO$10,0),0)-WEEKDAY(MAX($A134,Settings!$F$53)),7))/7)+1)),IF(AND(IF(Settings!$E$53="",$B134,DATE(YEAR($A134),MONTH($A134),MIN(Settings!$E$53,DAY($B134))))&gt;=MAX($A134,Settings!$F$53),IF(Settings!$E$53="",$B134,DATE(YEAR($A134),MONTH($A134),MIN(Settings!$E$53,DAY($B134))))&lt;=MIN(Settings!$B$5,IF(Settings!$G$53="",Settings!$B$5,Settings!$G$53))),1,0)))))</f>
        <v/>
      </c>
      <c r="FC134">
        <f>IF($E134&lt;&gt;"open",0,IF(AND('Month-End'!$EA$31&lt;&gt;"",NOT(_xlfn.ISFORMULA('Month-End'!$EA$31))),0,IF(OR(Settings!$C$54="",Settings!$D$54=""),0,Settings!$C$54*IF(Settings!$D$54="Weekly",IF(IFERROR(MATCH(Settings!$E$54,$EO$4:$EO$10,0),0)=0,0,IF(MIN(Settings!$B$5,IF(Settings!$G$54="",Settings!$B$5,Settings!$G$54))&lt;MAX($A134,Settings!$F$54),0,INT((MIN(Settings!$B$5,IF(Settings!$G$54="",Settings!$B$5,Settings!$G$54))-MAX($A134,Settings!$F$54)-MOD(IFERROR(MATCH(Settings!$E$54,$EO$4:$EO$10,0),0)-WEEKDAY(MAX($A134,Settings!$F$54)),7))/7)+1)),IF(AND(IF(Settings!$E$54="",$B134,DATE(YEAR($A134),MONTH($A134),MIN(Settings!$E$54,DAY($B134))))&gt;=MAX($A134,Settings!$F$54),IF(Settings!$E$54="",$B134,DATE(YEAR($A134),MONTH($A134),MIN(Settings!$E$54,DAY($B134))))&lt;=MIN(Settings!$B$5,IF(Settings!$G$54="",Settings!$B$5,Settings!$G$54))),1,0)))))</f>
        <v/>
      </c>
      <c r="FD134">
        <f>IF($E134&lt;&gt;"open",0,IF(AND('Month-End'!$EA$32&lt;&gt;"",NOT(_xlfn.ISFORMULA('Month-End'!$EA$32))),0,IF(OR(Settings!$C$55="",Settings!$D$55=""),0,Settings!$C$55*IF(Settings!$D$55="Weekly",IF(IFERROR(MATCH(Settings!$E$55,$EO$4:$EO$10,0),0)=0,0,IF(MIN(Settings!$B$5,IF(Settings!$G$55="",Settings!$B$5,Settings!$G$55))&lt;MAX($A134,Settings!$F$55),0,INT((MIN(Settings!$B$5,IF(Settings!$G$55="",Settings!$B$5,Settings!$G$55))-MAX($A134,Settings!$F$55)-MOD(IFERROR(MATCH(Settings!$E$55,$EO$4:$EO$10,0),0)-WEEKDAY(MAX($A134,Settings!$F$55)),7))/7)+1)),IF(AND(IF(Settings!$E$55="",$B134,DATE(YEAR($A134),MONTH($A134),MIN(Settings!$E$55,DAY($B134))))&gt;=MAX($A134,Settings!$F$55),IF(Settings!$E$55="",$B134,DATE(YEAR($A134),MONTH($A134),MIN(Settings!$E$55,DAY($B134))))&lt;=MIN(Settings!$B$5,IF(Settings!$G$55="",Settings!$B$5,Settings!$G$55))),1,0)))))</f>
        <v/>
      </c>
      <c r="FE134">
        <f>IF($E134&lt;&gt;"open",0,IF(AND('Month-End'!$EA$33&lt;&gt;"",NOT(_xlfn.ISFORMULA('Month-End'!$EA$33))),0,IF(OR(Settings!$C$56="",Settings!$D$56=""),0,Settings!$C$56*IF(Settings!$D$56="Weekly",IF(IFERROR(MATCH(Settings!$E$56,$EO$4:$EO$10,0),0)=0,0,IF(MIN(Settings!$B$5,IF(Settings!$G$56="",Settings!$B$5,Settings!$G$56))&lt;MAX($A134,Settings!$F$56),0,INT((MIN(Settings!$B$5,IF(Settings!$G$56="",Settings!$B$5,Settings!$G$56))-MAX($A134,Settings!$F$56)-MOD(IFERROR(MATCH(Settings!$E$56,$EO$4:$EO$10,0),0)-WEEKDAY(MAX($A134,Settings!$F$56)),7))/7)+1)),IF(AND(IF(Settings!$E$56="",$B134,DATE(YEAR($A134),MONTH($A134),MIN(Settings!$E$56,DAY($B134))))&gt;=MAX($A134,Settings!$F$56),IF(Settings!$E$56="",$B134,DATE(YEAR($A134),MONTH($A134),MIN(Settings!$E$56,DAY($B134))))&lt;=MIN(Settings!$B$5,IF(Settings!$G$56="",Settings!$B$5,Settings!$G$56))),1,0)))))</f>
        <v/>
      </c>
      <c r="FF134">
        <f>IF(Settings!$I$45="Yes",$G134,0)+IF(Settings!$I$46="Yes",$H134,0)+IF(Settings!$I$47="Yes",$I134,0)+IF(Settings!$I$48="Yes",$J134,0)+IF(Settings!$I$49="Yes",$K134,0)+IF(Settings!$I$50="Yes",$L134,0)+IF(Settings!$I$51="Yes",$M134,0)+IF(Settings!$I$52="Yes",$N134,0)+IF(Settings!$I$53="Yes",$O134,0)+IF(Settings!$I$54="Yes",$P134,0)+IF(Settings!$I$55="Yes",$Q134,0)+IF(Settings!$I$56="Yes",$R134,0)</f>
        <v/>
      </c>
      <c r="FG134">
        <f>IF(AND(Settings!$I$45="Yes",Settings!$J$45="No"),$G134,0)+IF(AND(Settings!$I$46="Yes",Settings!$J$46="No"),$H134,0)+IF(AND(Settings!$I$47="Yes",Settings!$J$47="No"),$I134,0)+IF(AND(Settings!$I$48="Yes",Settings!$J$48="No"),$J134,0)+IF(AND(Settings!$I$49="Yes",Settings!$J$49="No"),$K134,0)+IF(AND(Settings!$I$50="Yes",Settings!$J$50="No"),$L134,0)+IF(AND(Settings!$I$51="Yes",Settings!$J$51="No"),$M134,0)+IF(AND(Settings!$I$52="Yes",Settings!$J$52="No"),$N134,0)+IF(AND(Settings!$I$53="Yes",Settings!$J$53="No"),$O134,0)+IF(AND(Settings!$I$54="Yes",Settings!$J$54="No"),$P134,0)+IF(AND(Settings!$I$55="Yes",Settings!$J$55="No"),$Q134,0)+IF(AND(Settings!$I$56="Yes",Settings!$J$56="No"),$R134,0)</f>
        <v/>
      </c>
      <c r="FH134">
        <f>SUMIFS(Giving!$B$7:$B$2006,Giving!$A$7:$A$2006,"&gt;="&amp;$A134,Giving!$A$7:$A$2006,"&lt;="&amp;$B134,Giving!$G$7:$G$2006,"Yes")+IF(OR(OR(Settings!$B$60="",Settings!$F$60="No"),Settings!$H$60&lt;&gt;"Yes"),0,Settings!$B$60*IF(AND(IF(Settings!$C$60="",$B134,DATE(YEAR($A134),MONTH($A134),MIN(Settings!$C$60,DAY($B134))))&gt;=MAX($A134,Settings!$D$60),IF(Settings!$C$60="",$B134,DATE(YEAR($A134),MONTH($A134),MIN(Settings!$C$60,DAY($B134))))&lt;=MIN($C134,IF(Settings!$E$60="",$C134,Settings!$E$60))),1,0))+IF(OR(OR(Settings!$B$61="",Settings!$F$61="No"),Settings!$H$61&lt;&gt;"Yes"),0,Settings!$B$61*IF(AND(IF(Settings!$C$61="",$B134,DATE(YEAR($A134),MONTH($A134),MIN(Settings!$C$61,DAY($B134))))&gt;=MAX($A134,Settings!$D$61),IF(Settings!$C$61="",$B134,DATE(YEAR($A134),MONTH($A134),MIN(Settings!$C$61,DAY($B134))))&lt;=MIN($C134,IF(Settings!$E$61="",$C134,Settings!$E$61))),1,0))+IF(OR(OR(Settings!$B$62="",Settings!$F$62="No"),Settings!$H$62&lt;&gt;"Yes"),0,Settings!$B$62*IF(AND(IF(Settings!$C$62="",$B134,DATE(YEAR($A134),MONTH($A134),MIN(Settings!$C$62,DAY($B134))))&gt;=MAX($A134,Settings!$D$62),IF(Settings!$C$62="",$B134,DATE(YEAR($A134),MONTH($A134),MIN(Settings!$C$62,DAY($B134))))&lt;=MIN($C134,IF(Settings!$E$62="",$C134,Settings!$E$62))),1,0))+IF(OR(OR(Settings!$B$63="",Settings!$F$63="No"),Settings!$H$63&lt;&gt;"Yes"),0,Settings!$B$63*IF(AND(IF(Settings!$C$63="",$B134,DATE(YEAR($A134),MONTH($A134),MIN(Settings!$C$63,DAY($B134))))&gt;=MAX($A134,Settings!$D$63),IF(Settings!$C$63="",$B134,DATE(YEAR($A134),MONTH($A134),MIN(Settings!$C$63,DAY($B134))))&lt;=MIN($C134,IF(Settings!$E$63="",$C134,Settings!$E$63))),1,0))+IF(OR(OR(Settings!$B$64="",Settings!$F$64="No"),Settings!$H$64&lt;&gt;"Yes"),0,Settings!$B$64*IF(AND(IF(Settings!$C$64="",$B134,DATE(YEAR($A134),MONTH($A134),MIN(Settings!$C$64,DAY($B134))))&gt;=MAX($A134,Settings!$D$64),IF(Settings!$C$64="",$B134,DATE(YEAR($A134),MONTH($A134),MIN(Settings!$C$64,DAY($B134))))&lt;=MIN($C134,IF(Settings!$E$64="",$C134,Settings!$E$64))),1,0))+IF(OR(OR(Settings!$B$65="",Settings!$F$65="No"),Settings!$H$65&lt;&gt;"Yes"),0,Settings!$B$65*IF(AND(IF(Settings!$C$65="",$B134,DATE(YEAR($A134),MONTH($A134),MIN(Settings!$C$65,DAY($B134))))&gt;=MAX($A134,Settings!$D$65),IF(Settings!$C$65="",$B134,DATE(YEAR($A134),MONTH($A134),MIN(Settings!$C$65,DAY($B134))))&lt;=MIN($C134,IF(Settings!$E$65="",$C134,Settings!$E$65))),1,0))</f>
        <v/>
      </c>
      <c r="FI134">
        <f>IF($DT134=1,IF(OR(Settings!$B$19="Card",Settings!$B$19="Loan"),N($AE134),0)+IF(OR(Settings!$B$20="Card",Settings!$B$20="Loan"),N($AF134),0)+IF(OR(Settings!$B$21="Card",Settings!$B$21="Loan"),N($AG134),0)+IF(OR(Settings!$B$22="Card",Settings!$B$22="Loan"),N($AH134),0)+IF(OR(Settings!$B$23="Card",Settings!$B$23="Loan"),N($AI134),0)+IF(OR(Settings!$B$24="Card",Settings!$B$24="Loan"),N($AJ134),0)+IF(OR(Settings!$B$25="Card",Settings!$B$25="Loan"),N($AK134),0)+IF(OR(Settings!$B$26="Card",Settings!$B$26="Loan"),N($AL134),0)+IF(OR(Settings!$B$27="Card",Settings!$B$27="Loan"),N($AM134),0)+IF(OR(Settings!$B$28="Card",Settings!$B$28="Loan"),N($AN134),0)+IF(OR(Settings!$B$29="Card",Settings!$B$29="Loan"),N($AO134),0)+IF(OR(Settings!$B$30="Card",Settings!$B$30="Loan"),N($AP134),0)+IF(OR(Settings!$B$31="Card",Settings!$B$31="Loan"),N($AQ134),0)+IF(OR(Settings!$B$32="Card",Settings!$B$32="Loan"),N($AR134),0),"")</f>
        <v/>
      </c>
      <c r="FJ134">
        <f>IF($E134="open",$EB$65,IF($E134="post",IF($E133="pre",$EB$65,$FI133),""))</f>
        <v/>
      </c>
      <c r="FK134">
        <f>IF(AND($DT134=1,$DC134=1),IF(ROUND($FI134-$FJ134,2)&gt;0,1,0),0)</f>
        <v/>
      </c>
      <c r="FL134">
        <f>IF($FK134=1,$FL133+1,0)</f>
        <v/>
      </c>
    </row>
    <row r="135">
      <c r="A135">
        <f>'Month-End'!$EB$4</f>
        <v/>
      </c>
      <c r="B135">
        <f>EOMONTH($A135,0)</f>
        <v/>
      </c>
      <c r="C135">
        <f>MIN($B135,TODAY())</f>
        <v/>
      </c>
      <c r="D135">
        <f>IF($A135&gt;TODAY(),1,0)</f>
        <v/>
      </c>
      <c r="E135">
        <f>IF($B135&lt;=Settings!$B$5,"pre",IF($A135&lt;=Settings!$B$5,"open","post"))</f>
        <v/>
      </c>
      <c r="G135">
        <f>IF('Month-End'!$EB$22="",$BE135,N('Month-End'!$EB$22))</f>
        <v/>
      </c>
      <c r="H135">
        <f>IF('Month-End'!$EB$23="",$BF135,N('Month-End'!$EB$23))</f>
        <v/>
      </c>
      <c r="I135">
        <f>IF('Month-End'!$EB$24="",$BG135,N('Month-End'!$EB$24))</f>
        <v/>
      </c>
      <c r="J135">
        <f>IF('Month-End'!$EB$25="",$BH135,N('Month-End'!$EB$25))</f>
        <v/>
      </c>
      <c r="K135">
        <f>IF('Month-End'!$EB$26="",$BI135,N('Month-End'!$EB$26))</f>
        <v/>
      </c>
      <c r="L135">
        <f>IF('Month-End'!$EB$27="",$BJ135,N('Month-End'!$EB$27))</f>
        <v/>
      </c>
      <c r="M135">
        <f>IF('Month-End'!$EB$28="",$BK135,N('Month-End'!$EB$28))</f>
        <v/>
      </c>
      <c r="N135">
        <f>IF('Month-End'!$EB$29="",$BL135,N('Month-End'!$EB$29))</f>
        <v/>
      </c>
      <c r="O135">
        <f>IF('Month-End'!$EB$30="",$BM135,N('Month-End'!$EB$30))</f>
        <v/>
      </c>
      <c r="P135">
        <f>IF('Month-End'!$EB$31="",$BN135,N('Month-End'!$EB$31))</f>
        <v/>
      </c>
      <c r="Q135">
        <f>IF('Month-End'!$EB$32="",$BO135,N('Month-End'!$EB$32))</f>
        <v/>
      </c>
      <c r="R135">
        <f>IF('Month-End'!$EB$33="",$BP135,N('Month-End'!$EB$33))</f>
        <v/>
      </c>
      <c r="S135">
        <f>$G135+$H135+$I135+$J135+$K135+$L135+$M135+$N135+$O135+$P135+$Q135+$R135</f>
        <v/>
      </c>
      <c r="T135">
        <f>IF($B135&lt;Settings!$B$6,0,IF(Settings!$B$45="Yes",$G135,0)+IF(Settings!$B$46="Yes",$H135,0)+IF(Settings!$B$47="Yes",$I135,0)+IF(Settings!$B$48="Yes",$J135,0)+IF(Settings!$B$49="Yes",$K135,0)+IF(Settings!$B$50="Yes",$L135,0)+IF(Settings!$B$51="Yes",$M135,0)+IF(Settings!$B$52="Yes",$N135,0)+IF(Settings!$B$53="Yes",$O135,0)+IF(Settings!$B$54="Yes",$P135,0)+IF(Settings!$B$55="Yes",$Q135,0)+IF(Settings!$B$56="Yes",$R135,0))</f>
        <v/>
      </c>
      <c r="U135">
        <f>IF(Settings!$B$45="Not Sure",$G135,0)+IF(Settings!$B$46="Not Sure",$H135,0)+IF(Settings!$B$47="Not Sure",$I135,0)+IF(Settings!$B$48="Not Sure",$J135,0)+IF(Settings!$B$49="Not Sure",$K135,0)+IF(Settings!$B$50="Not Sure",$L135,0)+IF(Settings!$B$51="Not Sure",$M135,0)+IF(Settings!$B$52="Not Sure",$N135,0)+IF(Settings!$B$53="Not Sure",$O135,0)+IF(Settings!$B$54="Not Sure",$P135,0)+IF(Settings!$B$55="Not Sure",$Q135,0)+IF(Settings!$B$56="Not Sure",$R135,0)</f>
        <v/>
      </c>
      <c r="V135">
        <f>IF($E135="open",SUM($ET135:$FE135)+N(Settings!$B$13),0)</f>
        <v/>
      </c>
      <c r="W135">
        <f>IF($E135="post",$S135,IF($E135="open",$S135-$V135,0))</f>
        <v/>
      </c>
      <c r="X135">
        <f>SUMIFS(Giving!$B$7:$B$2006,Giving!$A$7:$A$2006,"&gt;="&amp;$A135,Giving!$A$7:$A$2006,"&lt;="&amp;$B135,Giving!$E$7:$E$2006,"&lt;&gt;No")</f>
        <v/>
      </c>
      <c r="Y135">
        <f>SUMIFS(Giving!$B$7:$B$2006,Giving!$A$7:$A$2006,"&gt;="&amp;$A135,Giving!$A$7:$A$2006,"&lt;="&amp;$B135,Giving!$E$7:$E$2006,"No")</f>
        <v/>
      </c>
      <c r="Z135">
        <f>IF(OR(Settings!$B$60="",Settings!$F$60="No"),0,Settings!$B$60*IF(AND(IF(Settings!$C$60="",$B135,DATE(YEAR($A135),MONTH($A135),MIN(Settings!$C$60,DAY($B135))))&gt;=MAX($A135,Settings!$D$60),IF(Settings!$C$60="",$B135,DATE(YEAR($A135),MONTH($A135),MIN(Settings!$C$60,DAY($B135))))&lt;=MIN($C135,IF(Settings!$E$60="",$C135,Settings!$E$60))),1,0))+IF(OR(Settings!$B$61="",Settings!$F$61="No"),0,Settings!$B$61*IF(AND(IF(Settings!$C$61="",$B135,DATE(YEAR($A135),MONTH($A135),MIN(Settings!$C$61,DAY($B135))))&gt;=MAX($A135,Settings!$D$61),IF(Settings!$C$61="",$B135,DATE(YEAR($A135),MONTH($A135),MIN(Settings!$C$61,DAY($B135))))&lt;=MIN($C135,IF(Settings!$E$61="",$C135,Settings!$E$61))),1,0))+IF(OR(Settings!$B$62="",Settings!$F$62="No"),0,Settings!$B$62*IF(AND(IF(Settings!$C$62="",$B135,DATE(YEAR($A135),MONTH($A135),MIN(Settings!$C$62,DAY($B135))))&gt;=MAX($A135,Settings!$D$62),IF(Settings!$C$62="",$B135,DATE(YEAR($A135),MONTH($A135),MIN(Settings!$C$62,DAY($B135))))&lt;=MIN($C135,IF(Settings!$E$62="",$C135,Settings!$E$62))),1,0))+IF(OR(Settings!$B$63="",Settings!$F$63="No"),0,Settings!$B$63*IF(AND(IF(Settings!$C$63="",$B135,DATE(YEAR($A135),MONTH($A135),MIN(Settings!$C$63,DAY($B135))))&gt;=MAX($A135,Settings!$D$63),IF(Settings!$C$63="",$B135,DATE(YEAR($A135),MONTH($A135),MIN(Settings!$C$63,DAY($B135))))&lt;=MIN($C135,IF(Settings!$E$63="",$C135,Settings!$E$63))),1,0))+IF(OR(Settings!$B$64="",Settings!$F$64="No"),0,Settings!$B$64*IF(AND(IF(Settings!$C$64="",$B135,DATE(YEAR($A135),MONTH($A135),MIN(Settings!$C$64,DAY($B135))))&gt;=MAX($A135,Settings!$D$64),IF(Settings!$C$64="",$B135,DATE(YEAR($A135),MONTH($A135),MIN(Settings!$C$64,DAY($B135))))&lt;=MIN($C135,IF(Settings!$E$64="",$C135,Settings!$E$64))),1,0))+IF(OR(Settings!$B$65="",Settings!$F$65="No"),0,Settings!$B$65*IF(AND(IF(Settings!$C$65="",$B135,DATE(YEAR($A135),MONTH($A135),MIN(Settings!$C$65,DAY($B135))))&gt;=MAX($A135,Settings!$D$65),IF(Settings!$C$65="",$B135,DATE(YEAR($A135),MONTH($A135),MIN(Settings!$C$65,DAY($B135))))&lt;=MIN($C135,IF(Settings!$E$65="",$C135,Settings!$E$65))),1,0))</f>
        <v/>
      </c>
      <c r="AA135">
        <f>$X135+$Z135</f>
        <v/>
      </c>
      <c r="AB135">
        <f>IF($E135="post",$AA135,IF($E135="open",SUMIFS(Giving!$B$7:$B$2006,Giving!$A$7:$A$2006,"&gt;"&amp;Settings!$B$5,Giving!$A$7:$A$2006,"&lt;="&amp;$B135,Giving!$E$7:$E$2006,"&lt;&gt;No")+IF(OR(Settings!$B$60="",Settings!$F$60="No"),0,Settings!$B$60*IF(AND(IF(Settings!$C$60="",$B135,DATE(YEAR($A135),MONTH($A135),MIN(Settings!$C$60,DAY($B135))))&gt;=MAX($A135,Settings!$D$60,Settings!$B$5+1),IF(Settings!$C$60="",$B135,DATE(YEAR($A135),MONTH($A135),MIN(Settings!$C$60,DAY($B135))))&lt;=MIN($C135,IF(Settings!$E$60="",$C135,Settings!$E$60))),1,0))+IF(OR(Settings!$B$61="",Settings!$F$61="No"),0,Settings!$B$61*IF(AND(IF(Settings!$C$61="",$B135,DATE(YEAR($A135),MONTH($A135),MIN(Settings!$C$61,DAY($B135))))&gt;=MAX($A135,Settings!$D$61,Settings!$B$5+1),IF(Settings!$C$61="",$B135,DATE(YEAR($A135),MONTH($A135),MIN(Settings!$C$61,DAY($B135))))&lt;=MIN($C135,IF(Settings!$E$61="",$C135,Settings!$E$61))),1,0))+IF(OR(Settings!$B$62="",Settings!$F$62="No"),0,Settings!$B$62*IF(AND(IF(Settings!$C$62="",$B135,DATE(YEAR($A135),MONTH($A135),MIN(Settings!$C$62,DAY($B135))))&gt;=MAX($A135,Settings!$D$62,Settings!$B$5+1),IF(Settings!$C$62="",$B135,DATE(YEAR($A135),MONTH($A135),MIN(Settings!$C$62,DAY($B135))))&lt;=MIN($C135,IF(Settings!$E$62="",$C135,Settings!$E$62))),1,0))+IF(OR(Settings!$B$63="",Settings!$F$63="No"),0,Settings!$B$63*IF(AND(IF(Settings!$C$63="",$B135,DATE(YEAR($A135),MONTH($A135),MIN(Settings!$C$63,DAY($B135))))&gt;=MAX($A135,Settings!$D$63,Settings!$B$5+1),IF(Settings!$C$63="",$B135,DATE(YEAR($A135),MONTH($A135),MIN(Settings!$C$63,DAY($B135))))&lt;=MIN($C135,IF(Settings!$E$63="",$C135,Settings!$E$63))),1,0))+IF(OR(Settings!$B$64="",Settings!$F$64="No"),0,Settings!$B$64*IF(AND(IF(Settings!$C$64="",$B135,DATE(YEAR($A135),MONTH($A135),MIN(Settings!$C$64,DAY($B135))))&gt;=MAX($A135,Settings!$D$64,Settings!$B$5+1),IF(Settings!$C$64="",$B135,DATE(YEAR($A135),MONTH($A135),MIN(Settings!$C$64,DAY($B135))))&lt;=MIN($C135,IF(Settings!$E$64="",$C135,Settings!$E$64))),1,0))+IF(OR(Settings!$B$65="",Settings!$F$65="No"),0,Settings!$B$65*IF(AND(IF(Settings!$C$65="",$B135,DATE(YEAR($A135),MONTH($A135),MIN(Settings!$C$65,DAY($B135))))&gt;=MAX($A135,Settings!$D$65,Settings!$B$5+1),IF(Settings!$C$65="",$B135,DATE(YEAR($A135),MONTH($A135),MIN(Settings!$C$65,DAY($B135))))&lt;=MIN($C135,IF(Settings!$E$65="",$C135,Settings!$E$65))),1,0)),0))</f>
        <v/>
      </c>
      <c r="AC135">
        <f>$AY135+$AZ135+$BA135+$BB135+$BC135+$BD135</f>
        <v/>
      </c>
      <c r="AD135">
        <f>$AC135</f>
        <v/>
      </c>
      <c r="AE135">
        <f>IF(OR(Settings!$A$19="",$E135="pre"),"",IF(AND('Month-End'!$EB$7&lt;&gt;"",NOT(_xlfn.ISFORMULA('Month-End'!$EB$7))),N('Month-End'!$EB$7),IF(OR($E135="open",$E134="pre"),N(Settings!$C$19),N($AE134))))</f>
        <v/>
      </c>
      <c r="AF135">
        <f>IF(OR(Settings!$A$20="",$E135="pre"),"",IF(AND('Month-End'!$EB$8&lt;&gt;"",NOT(_xlfn.ISFORMULA('Month-End'!$EB$8))),N('Month-End'!$EB$8),IF(OR($E135="open",$E134="pre"),N(Settings!$C$20),N($AF134))))</f>
        <v/>
      </c>
      <c r="AG135">
        <f>IF(OR(Settings!$A$21="",$E135="pre"),"",IF(AND('Month-End'!$EB$9&lt;&gt;"",NOT(_xlfn.ISFORMULA('Month-End'!$EB$9))),N('Month-End'!$EB$9),IF(OR($E135="open",$E134="pre"),N(Settings!$C$21),N($AG134))))</f>
        <v/>
      </c>
      <c r="AH135">
        <f>IF(OR(Settings!$A$22="",$E135="pre"),"",IF(AND('Month-End'!$EB$10&lt;&gt;"",NOT(_xlfn.ISFORMULA('Month-End'!$EB$10))),N('Month-End'!$EB$10),IF(OR($E135="open",$E134="pre"),N(Settings!$C$22),N($AH134))))</f>
        <v/>
      </c>
      <c r="AI135">
        <f>IF(OR(Settings!$A$23="",$E135="pre"),"",IF(AND('Month-End'!$EB$11&lt;&gt;"",NOT(_xlfn.ISFORMULA('Month-End'!$EB$11))),N('Month-End'!$EB$11),IF(OR($E135="open",$E134="pre"),N(Settings!$C$23),N($AI134))))</f>
        <v/>
      </c>
      <c r="AJ135">
        <f>IF(OR(Settings!$A$24="",$E135="pre"),"",IF(AND('Month-End'!$EB$12&lt;&gt;"",NOT(_xlfn.ISFORMULA('Month-End'!$EB$12))),N('Month-End'!$EB$12),IF(OR($E135="open",$E134="pre"),N(Settings!$C$24),N($AJ134))))</f>
        <v/>
      </c>
      <c r="AK135">
        <f>IF(OR(Settings!$A$25="",$E135="pre"),"",IF(AND('Month-End'!$EB$13&lt;&gt;"",NOT(_xlfn.ISFORMULA('Month-End'!$EB$13))),N('Month-End'!$EB$13),IF(OR($E135="open",$E134="pre"),N(Settings!$C$25),N($AK134))))</f>
        <v/>
      </c>
      <c r="AL135">
        <f>IF(OR(Settings!$A$26="",$E135="pre"),"",IF(AND('Month-End'!$EB$14&lt;&gt;"",NOT(_xlfn.ISFORMULA('Month-End'!$EB$14))),N('Month-End'!$EB$14),IF(OR($E135="open",$E134="pre"),N(Settings!$C$26),N($AL134))))</f>
        <v/>
      </c>
      <c r="AM135">
        <f>IF(OR(Settings!$A$27="",$E135="pre"),"",IF(AND('Month-End'!$EB$15&lt;&gt;"",NOT(_xlfn.ISFORMULA('Month-End'!$EB$15))),N('Month-End'!$EB$15),IF(OR($E135="open",$E134="pre"),N(Settings!$C$27),N($AM134))))</f>
        <v/>
      </c>
      <c r="AN135">
        <f>IF(OR(Settings!$A$28="",$E135="pre"),"",IF(AND('Month-End'!$EB$16&lt;&gt;"",NOT(_xlfn.ISFORMULA('Month-End'!$EB$16))),N('Month-End'!$EB$16),IF(OR($E135="open",$E134="pre"),N(Settings!$C$28),N($AN134))))</f>
        <v/>
      </c>
      <c r="AO135">
        <f>IF(OR(Settings!$A$29="",$E135="pre"),"",IF(AND('Month-End'!$EB$17&lt;&gt;"",NOT(_xlfn.ISFORMULA('Month-End'!$EB$17))),N('Month-End'!$EB$17),IF(OR($E135="open",$E134="pre"),N(Settings!$C$29),N($AO134))))</f>
        <v/>
      </c>
      <c r="AP135">
        <f>IF(OR(Settings!$A$30="",$E135="pre"),"",IF(AND('Month-End'!$EB$18&lt;&gt;"",NOT(_xlfn.ISFORMULA('Month-End'!$EB$18))),N('Month-End'!$EB$18),IF(OR($E135="open",$E134="pre"),N(Settings!$C$30),N($AP134))))</f>
        <v/>
      </c>
      <c r="AQ135">
        <f>IF(OR(Settings!$A$31="",$E135="pre"),"",IF(AND('Month-End'!$EB$19&lt;&gt;"",NOT(_xlfn.ISFORMULA('Month-End'!$EB$19))),N('Month-End'!$EB$19),IF(OR($E135="open",$E134="pre"),N(Settings!$C$31),N($AQ134))))</f>
        <v/>
      </c>
      <c r="AR135">
        <f>IF(OR(Settings!$A$32="",$E135="pre"),"",IF(AND('Month-End'!$EB$20&lt;&gt;"",NOT(_xlfn.ISFORMULA('Month-End'!$EB$20))),N('Month-End'!$EB$20),IF(OR($E135="open",$E134="pre"),N(Settings!$C$32),N($AR134))))</f>
        <v/>
      </c>
      <c r="AS135">
        <f>IF(OR(Settings!$A$36="",$E135="pre"),"",IF(AND('Month-End'!$EB$38&lt;&gt;"",NOT(_xlfn.ISFORMULA('Month-End'!$EB$38))),N('Month-End'!$EB$38),IF(OR($E135="open",$E134="pre"),N(Settings!$C$36),N($AS134))+$AY135))</f>
        <v/>
      </c>
      <c r="AT135">
        <f>IF(OR(Settings!$A$37="",$E135="pre"),"",IF(AND('Month-End'!$EB$39&lt;&gt;"",NOT(_xlfn.ISFORMULA('Month-End'!$EB$39))),N('Month-End'!$EB$39),IF(OR($E135="open",$E134="pre"),N(Settings!$C$37),N($AT134))+$AZ135))</f>
        <v/>
      </c>
      <c r="AU135">
        <f>IF(OR(Settings!$A$38="",$E135="pre"),"",IF(AND('Month-End'!$EB$40&lt;&gt;"",NOT(_xlfn.ISFORMULA('Month-End'!$EB$40))),N('Month-End'!$EB$40),IF(OR($E135="open",$E134="pre"),N(Settings!$C$38),N($AU134))+$BA135))</f>
        <v/>
      </c>
      <c r="AV135">
        <f>IF(OR(Settings!$A$39="",$E135="pre"),"",IF(AND('Month-End'!$EB$41&lt;&gt;"",NOT(_xlfn.ISFORMULA('Month-End'!$EB$41))),N('Month-End'!$EB$41),IF(OR($E135="open",$E134="pre"),N(Settings!$C$39),N($AV134))+$BB135))</f>
        <v/>
      </c>
      <c r="AW135">
        <f>IF(OR(Settings!$A$40="",$E135="pre"),"",IF(AND('Month-End'!$EB$42&lt;&gt;"",NOT(_xlfn.ISFORMULA('Month-End'!$EB$42))),N('Month-End'!$EB$42),IF(OR($E135="open",$E134="pre"),N(Settings!$C$40),N($AW134))+$BC135))</f>
        <v/>
      </c>
      <c r="AX135">
        <f>IF(OR(Settings!$A$41="",$E135="pre"),"",IF(AND('Month-End'!$EB$43&lt;&gt;"",NOT(_xlfn.ISFORMULA('Month-End'!$EB$43))),N('Month-End'!$EB$43),IF(OR($E135="open",$E134="pre"),N(Settings!$C$41),N($AX134))+$BD135))</f>
        <v/>
      </c>
      <c r="AY135">
        <f>IF($E135="pre",0,N('Month-End'!$EB$45))</f>
        <v/>
      </c>
      <c r="AZ135">
        <f>IF($E135="pre",0,N('Month-End'!$EB$46))</f>
        <v/>
      </c>
      <c r="BA135">
        <f>IF($E135="pre",0,N('Month-End'!$EB$47))</f>
        <v/>
      </c>
      <c r="BB135">
        <f>IF($E135="pre",0,N('Month-End'!$EB$48))</f>
        <v/>
      </c>
      <c r="BC135">
        <f>IF($E135="pre",0,N('Month-End'!$EB$49))</f>
        <v/>
      </c>
      <c r="BD135">
        <f>IF($E135="pre",0,N('Month-End'!$EB$50))</f>
        <v/>
      </c>
      <c r="BE135">
        <f>IF(OR(Settings!$C$45="",Settings!$D$45=""),0,Settings!$C$45*IF(Settings!$D$45="Weekly",IF(IFERROR(MATCH(Settings!$E$45,$EO$4:$EO$10,0),0)=0,0,IF(MIN($C135,IF(Settings!$G$45="",$C135,Settings!$G$45))&lt;MAX($A135,Settings!$F$45),0,INT((MIN($C135,IF(Settings!$G$45="",$C135,Settings!$G$45))-MAX($A135,Settings!$F$45)-MOD(IFERROR(MATCH(Settings!$E$45,$EO$4:$EO$10,0),0)-WEEKDAY(MAX($A135,Settings!$F$45)),7))/7)+1)),IF(AND(IF(Settings!$E$45="",$B135,DATE(YEAR($A135),MONTH($A135),MIN(Settings!$E$45,DAY($B135))))&gt;=MAX($A135,Settings!$F$45),IF(Settings!$E$45="",$B135,DATE(YEAR($A135),MONTH($A135),MIN(Settings!$E$45,DAY($B135))))&lt;=MIN($C135,IF(Settings!$G$45="",$C135,Settings!$G$45))),1,0)))</f>
        <v/>
      </c>
      <c r="BF135">
        <f>IF(OR(Settings!$C$46="",Settings!$D$46=""),0,Settings!$C$46*IF(Settings!$D$46="Weekly",IF(IFERROR(MATCH(Settings!$E$46,$EO$4:$EO$10,0),0)=0,0,IF(MIN($C135,IF(Settings!$G$46="",$C135,Settings!$G$46))&lt;MAX($A135,Settings!$F$46),0,INT((MIN($C135,IF(Settings!$G$46="",$C135,Settings!$G$46))-MAX($A135,Settings!$F$46)-MOD(IFERROR(MATCH(Settings!$E$46,$EO$4:$EO$10,0),0)-WEEKDAY(MAX($A135,Settings!$F$46)),7))/7)+1)),IF(AND(IF(Settings!$E$46="",$B135,DATE(YEAR($A135),MONTH($A135),MIN(Settings!$E$46,DAY($B135))))&gt;=MAX($A135,Settings!$F$46),IF(Settings!$E$46="",$B135,DATE(YEAR($A135),MONTH($A135),MIN(Settings!$E$46,DAY($B135))))&lt;=MIN($C135,IF(Settings!$G$46="",$C135,Settings!$G$46))),1,0)))</f>
        <v/>
      </c>
      <c r="BG135">
        <f>IF(OR(Settings!$C$47="",Settings!$D$47=""),0,Settings!$C$47*IF(Settings!$D$47="Weekly",IF(IFERROR(MATCH(Settings!$E$47,$EO$4:$EO$10,0),0)=0,0,IF(MIN($C135,IF(Settings!$G$47="",$C135,Settings!$G$47))&lt;MAX($A135,Settings!$F$47),0,INT((MIN($C135,IF(Settings!$G$47="",$C135,Settings!$G$47))-MAX($A135,Settings!$F$47)-MOD(IFERROR(MATCH(Settings!$E$47,$EO$4:$EO$10,0),0)-WEEKDAY(MAX($A135,Settings!$F$47)),7))/7)+1)),IF(AND(IF(Settings!$E$47="",$B135,DATE(YEAR($A135),MONTH($A135),MIN(Settings!$E$47,DAY($B135))))&gt;=MAX($A135,Settings!$F$47),IF(Settings!$E$47="",$B135,DATE(YEAR($A135),MONTH($A135),MIN(Settings!$E$47,DAY($B135))))&lt;=MIN($C135,IF(Settings!$G$47="",$C135,Settings!$G$47))),1,0)))</f>
        <v/>
      </c>
      <c r="BH135">
        <f>IF(OR(Settings!$C$48="",Settings!$D$48=""),0,Settings!$C$48*IF(Settings!$D$48="Weekly",IF(IFERROR(MATCH(Settings!$E$48,$EO$4:$EO$10,0),0)=0,0,IF(MIN($C135,IF(Settings!$G$48="",$C135,Settings!$G$48))&lt;MAX($A135,Settings!$F$48),0,INT((MIN($C135,IF(Settings!$G$48="",$C135,Settings!$G$48))-MAX($A135,Settings!$F$48)-MOD(IFERROR(MATCH(Settings!$E$48,$EO$4:$EO$10,0),0)-WEEKDAY(MAX($A135,Settings!$F$48)),7))/7)+1)),IF(AND(IF(Settings!$E$48="",$B135,DATE(YEAR($A135),MONTH($A135),MIN(Settings!$E$48,DAY($B135))))&gt;=MAX($A135,Settings!$F$48),IF(Settings!$E$48="",$B135,DATE(YEAR($A135),MONTH($A135),MIN(Settings!$E$48,DAY($B135))))&lt;=MIN($C135,IF(Settings!$G$48="",$C135,Settings!$G$48))),1,0)))</f>
        <v/>
      </c>
      <c r="BI135">
        <f>IF(OR(Settings!$C$49="",Settings!$D$49=""),0,Settings!$C$49*IF(Settings!$D$49="Weekly",IF(IFERROR(MATCH(Settings!$E$49,$EO$4:$EO$10,0),0)=0,0,IF(MIN($C135,IF(Settings!$G$49="",$C135,Settings!$G$49))&lt;MAX($A135,Settings!$F$49),0,INT((MIN($C135,IF(Settings!$G$49="",$C135,Settings!$G$49))-MAX($A135,Settings!$F$49)-MOD(IFERROR(MATCH(Settings!$E$49,$EO$4:$EO$10,0),0)-WEEKDAY(MAX($A135,Settings!$F$49)),7))/7)+1)),IF(AND(IF(Settings!$E$49="",$B135,DATE(YEAR($A135),MONTH($A135),MIN(Settings!$E$49,DAY($B135))))&gt;=MAX($A135,Settings!$F$49),IF(Settings!$E$49="",$B135,DATE(YEAR($A135),MONTH($A135),MIN(Settings!$E$49,DAY($B135))))&lt;=MIN($C135,IF(Settings!$G$49="",$C135,Settings!$G$49))),1,0)))</f>
        <v/>
      </c>
      <c r="BJ135">
        <f>IF(OR(Settings!$C$50="",Settings!$D$50=""),0,Settings!$C$50*IF(Settings!$D$50="Weekly",IF(IFERROR(MATCH(Settings!$E$50,$EO$4:$EO$10,0),0)=0,0,IF(MIN($C135,IF(Settings!$G$50="",$C135,Settings!$G$50))&lt;MAX($A135,Settings!$F$50),0,INT((MIN($C135,IF(Settings!$G$50="",$C135,Settings!$G$50))-MAX($A135,Settings!$F$50)-MOD(IFERROR(MATCH(Settings!$E$50,$EO$4:$EO$10,0),0)-WEEKDAY(MAX($A135,Settings!$F$50)),7))/7)+1)),IF(AND(IF(Settings!$E$50="",$B135,DATE(YEAR($A135),MONTH($A135),MIN(Settings!$E$50,DAY($B135))))&gt;=MAX($A135,Settings!$F$50),IF(Settings!$E$50="",$B135,DATE(YEAR($A135),MONTH($A135),MIN(Settings!$E$50,DAY($B135))))&lt;=MIN($C135,IF(Settings!$G$50="",$C135,Settings!$G$50))),1,0)))</f>
        <v/>
      </c>
      <c r="BK135">
        <f>IF(OR(Settings!$C$51="",Settings!$D$51=""),0,Settings!$C$51*IF(Settings!$D$51="Weekly",IF(IFERROR(MATCH(Settings!$E$51,$EO$4:$EO$10,0),0)=0,0,IF(MIN($C135,IF(Settings!$G$51="",$C135,Settings!$G$51))&lt;MAX($A135,Settings!$F$51),0,INT((MIN($C135,IF(Settings!$G$51="",$C135,Settings!$G$51))-MAX($A135,Settings!$F$51)-MOD(IFERROR(MATCH(Settings!$E$51,$EO$4:$EO$10,0),0)-WEEKDAY(MAX($A135,Settings!$F$51)),7))/7)+1)),IF(AND(IF(Settings!$E$51="",$B135,DATE(YEAR($A135),MONTH($A135),MIN(Settings!$E$51,DAY($B135))))&gt;=MAX($A135,Settings!$F$51),IF(Settings!$E$51="",$B135,DATE(YEAR($A135),MONTH($A135),MIN(Settings!$E$51,DAY($B135))))&lt;=MIN($C135,IF(Settings!$G$51="",$C135,Settings!$G$51))),1,0)))</f>
        <v/>
      </c>
      <c r="BL135">
        <f>IF(OR(Settings!$C$52="",Settings!$D$52=""),0,Settings!$C$52*IF(Settings!$D$52="Weekly",IF(IFERROR(MATCH(Settings!$E$52,$EO$4:$EO$10,0),0)=0,0,IF(MIN($C135,IF(Settings!$G$52="",$C135,Settings!$G$52))&lt;MAX($A135,Settings!$F$52),0,INT((MIN($C135,IF(Settings!$G$52="",$C135,Settings!$G$52))-MAX($A135,Settings!$F$52)-MOD(IFERROR(MATCH(Settings!$E$52,$EO$4:$EO$10,0),0)-WEEKDAY(MAX($A135,Settings!$F$52)),7))/7)+1)),IF(AND(IF(Settings!$E$52="",$B135,DATE(YEAR($A135),MONTH($A135),MIN(Settings!$E$52,DAY($B135))))&gt;=MAX($A135,Settings!$F$52),IF(Settings!$E$52="",$B135,DATE(YEAR($A135),MONTH($A135),MIN(Settings!$E$52,DAY($B135))))&lt;=MIN($C135,IF(Settings!$G$52="",$C135,Settings!$G$52))),1,0)))</f>
        <v/>
      </c>
      <c r="BM135">
        <f>IF(OR(Settings!$C$53="",Settings!$D$53=""),0,Settings!$C$53*IF(Settings!$D$53="Weekly",IF(IFERROR(MATCH(Settings!$E$53,$EO$4:$EO$10,0),0)=0,0,IF(MIN($C135,IF(Settings!$G$53="",$C135,Settings!$G$53))&lt;MAX($A135,Settings!$F$53),0,INT((MIN($C135,IF(Settings!$G$53="",$C135,Settings!$G$53))-MAX($A135,Settings!$F$53)-MOD(IFERROR(MATCH(Settings!$E$53,$EO$4:$EO$10,0),0)-WEEKDAY(MAX($A135,Settings!$F$53)),7))/7)+1)),IF(AND(IF(Settings!$E$53="",$B135,DATE(YEAR($A135),MONTH($A135),MIN(Settings!$E$53,DAY($B135))))&gt;=MAX($A135,Settings!$F$53),IF(Settings!$E$53="",$B135,DATE(YEAR($A135),MONTH($A135),MIN(Settings!$E$53,DAY($B135))))&lt;=MIN($C135,IF(Settings!$G$53="",$C135,Settings!$G$53))),1,0)))</f>
        <v/>
      </c>
      <c r="BN135">
        <f>IF(OR(Settings!$C$54="",Settings!$D$54=""),0,Settings!$C$54*IF(Settings!$D$54="Weekly",IF(IFERROR(MATCH(Settings!$E$54,$EO$4:$EO$10,0),0)=0,0,IF(MIN($C135,IF(Settings!$G$54="",$C135,Settings!$G$54))&lt;MAX($A135,Settings!$F$54),0,INT((MIN($C135,IF(Settings!$G$54="",$C135,Settings!$G$54))-MAX($A135,Settings!$F$54)-MOD(IFERROR(MATCH(Settings!$E$54,$EO$4:$EO$10,0),0)-WEEKDAY(MAX($A135,Settings!$F$54)),7))/7)+1)),IF(AND(IF(Settings!$E$54="",$B135,DATE(YEAR($A135),MONTH($A135),MIN(Settings!$E$54,DAY($B135))))&gt;=MAX($A135,Settings!$F$54),IF(Settings!$E$54="",$B135,DATE(YEAR($A135),MONTH($A135),MIN(Settings!$E$54,DAY($B135))))&lt;=MIN($C135,IF(Settings!$G$54="",$C135,Settings!$G$54))),1,0)))</f>
        <v/>
      </c>
      <c r="BO135">
        <f>IF(OR(Settings!$C$55="",Settings!$D$55=""),0,Settings!$C$55*IF(Settings!$D$55="Weekly",IF(IFERROR(MATCH(Settings!$E$55,$EO$4:$EO$10,0),0)=0,0,IF(MIN($C135,IF(Settings!$G$55="",$C135,Settings!$G$55))&lt;MAX($A135,Settings!$F$55),0,INT((MIN($C135,IF(Settings!$G$55="",$C135,Settings!$G$55))-MAX($A135,Settings!$F$55)-MOD(IFERROR(MATCH(Settings!$E$55,$EO$4:$EO$10,0),0)-WEEKDAY(MAX($A135,Settings!$F$55)),7))/7)+1)),IF(AND(IF(Settings!$E$55="",$B135,DATE(YEAR($A135),MONTH($A135),MIN(Settings!$E$55,DAY($B135))))&gt;=MAX($A135,Settings!$F$55),IF(Settings!$E$55="",$B135,DATE(YEAR($A135),MONTH($A135),MIN(Settings!$E$55,DAY($B135))))&lt;=MIN($C135,IF(Settings!$G$55="",$C135,Settings!$G$55))),1,0)))</f>
        <v/>
      </c>
      <c r="BP135">
        <f>IF(OR(Settings!$C$56="",Settings!$D$56=""),0,Settings!$C$56*IF(Settings!$D$56="Weekly",IF(IFERROR(MATCH(Settings!$E$56,$EO$4:$EO$10,0),0)=0,0,IF(MIN($C135,IF(Settings!$G$56="",$C135,Settings!$G$56))&lt;MAX($A135,Settings!$F$56),0,INT((MIN($C135,IF(Settings!$G$56="",$C135,Settings!$G$56))-MAX($A135,Settings!$F$56)-MOD(IFERROR(MATCH(Settings!$E$56,$EO$4:$EO$10,0),0)-WEEKDAY(MAX($A135,Settings!$F$56)),7))/7)+1)),IF(AND(IF(Settings!$E$56="",$B135,DATE(YEAR($A135),MONTH($A135),MIN(Settings!$E$56,DAY($B135))))&gt;=MAX($A135,Settings!$F$56),IF(Settings!$E$56="",$B135,DATE(YEAR($A135),MONTH($A135),MIN(Settings!$E$56,DAY($B135))))&lt;=MIN($C135,IF(Settings!$G$56="",$C135,Settings!$G$56))),1,0)))</f>
        <v/>
      </c>
      <c r="BQ135">
        <f>IF(OR(Settings!$B$14="",$D135=1,$E135="pre",$A135&lt;IF(Settings!$B$15="",0,Settings!$B$15)),0,Settings!$B$14)</f>
        <v/>
      </c>
      <c r="BR135">
        <f>IF(AND('Month-End'!$EB$7&lt;&gt;"",NOT(_xlfn.ISFORMULA('Month-End'!$EB$7))),1,0)</f>
        <v/>
      </c>
      <c r="BS135">
        <f>IF(AND('Month-End'!$EB$8&lt;&gt;"",NOT(_xlfn.ISFORMULA('Month-End'!$EB$8))),1,0)</f>
        <v/>
      </c>
      <c r="BT135">
        <f>IF(AND('Month-End'!$EB$9&lt;&gt;"",NOT(_xlfn.ISFORMULA('Month-End'!$EB$9))),1,0)</f>
        <v/>
      </c>
      <c r="BU135">
        <f>IF(AND('Month-End'!$EB$10&lt;&gt;"",NOT(_xlfn.ISFORMULA('Month-End'!$EB$10))),1,0)</f>
        <v/>
      </c>
      <c r="BV135">
        <f>IF(AND('Month-End'!$EB$11&lt;&gt;"",NOT(_xlfn.ISFORMULA('Month-End'!$EB$11))),1,0)</f>
        <v/>
      </c>
      <c r="BW135">
        <f>IF(AND('Month-End'!$EB$12&lt;&gt;"",NOT(_xlfn.ISFORMULA('Month-End'!$EB$12))),1,0)</f>
        <v/>
      </c>
      <c r="BX135">
        <f>IF(AND('Month-End'!$EB$13&lt;&gt;"",NOT(_xlfn.ISFORMULA('Month-End'!$EB$13))),1,0)</f>
        <v/>
      </c>
      <c r="BY135">
        <f>IF(AND('Month-End'!$EB$14&lt;&gt;"",NOT(_xlfn.ISFORMULA('Month-End'!$EB$14))),1,0)</f>
        <v/>
      </c>
      <c r="BZ135">
        <f>IF(AND('Month-End'!$EB$15&lt;&gt;"",NOT(_xlfn.ISFORMULA('Month-End'!$EB$15))),1,0)</f>
        <v/>
      </c>
      <c r="CA135">
        <f>IF(AND('Month-End'!$EB$16&lt;&gt;"",NOT(_xlfn.ISFORMULA('Month-End'!$EB$16))),1,0)</f>
        <v/>
      </c>
      <c r="CB135">
        <f>IF(AND('Month-End'!$EB$17&lt;&gt;"",NOT(_xlfn.ISFORMULA('Month-End'!$EB$17))),1,0)</f>
        <v/>
      </c>
      <c r="CC135">
        <f>IF(AND('Month-End'!$EB$18&lt;&gt;"",NOT(_xlfn.ISFORMULA('Month-End'!$EB$18))),1,0)</f>
        <v/>
      </c>
      <c r="CD135">
        <f>IF(AND('Month-End'!$EB$19&lt;&gt;"",NOT(_xlfn.ISFORMULA('Month-End'!$EB$19))),1,0)</f>
        <v/>
      </c>
      <c r="CE135">
        <f>IF(AND('Month-End'!$EB$20&lt;&gt;"",NOT(_xlfn.ISFORMULA('Month-End'!$EB$20))),1,0)</f>
        <v/>
      </c>
      <c r="CF135">
        <f>IF(AND('Month-End'!$EB$38&lt;&gt;"",NOT(_xlfn.ISFORMULA('Month-End'!$EB$38))),1,0)</f>
        <v/>
      </c>
      <c r="CG135">
        <f>IF(AND('Month-End'!$EB$39&lt;&gt;"",NOT(_xlfn.ISFORMULA('Month-End'!$EB$39))),1,0)</f>
        <v/>
      </c>
      <c r="CH135">
        <f>IF(AND('Month-End'!$EB$40&lt;&gt;"",NOT(_xlfn.ISFORMULA('Month-End'!$EB$40))),1,0)</f>
        <v/>
      </c>
      <c r="CI135">
        <f>IF(AND('Month-End'!$EB$41&lt;&gt;"",NOT(_xlfn.ISFORMULA('Month-End'!$EB$41))),1,0)</f>
        <v/>
      </c>
      <c r="CJ135">
        <f>IF(AND('Month-End'!$EB$42&lt;&gt;"",NOT(_xlfn.ISFORMULA('Month-End'!$EB$42))),1,0)</f>
        <v/>
      </c>
      <c r="CK135">
        <f>IF(AND('Month-End'!$EB$43&lt;&gt;"",NOT(_xlfn.ISFORMULA('Month-End'!$EB$43))),1,0)</f>
        <v/>
      </c>
      <c r="CL135">
        <f>SUM($CM135:$CZ135)</f>
        <v/>
      </c>
      <c r="CM135">
        <f>IF(AND($E135&lt;&gt;"pre",AND(Settings!$A$19&lt;&gt;"",Settings!$E$19&lt;&gt;"No"),Settings!$F$19="Yes",NOT(AND('Month-End'!$EB$7&lt;&gt;"",NOT(_xlfn.ISFORMULA('Month-End'!$EB$7))))),1,0)</f>
        <v/>
      </c>
      <c r="CN135">
        <f>IF(AND($E135&lt;&gt;"pre",AND(Settings!$A$20&lt;&gt;"",Settings!$E$20&lt;&gt;"No"),Settings!$F$20="Yes",NOT(AND('Month-End'!$EB$8&lt;&gt;"",NOT(_xlfn.ISFORMULA('Month-End'!$EB$8))))),1,0)</f>
        <v/>
      </c>
      <c r="CO135">
        <f>IF(AND($E135&lt;&gt;"pre",AND(Settings!$A$21&lt;&gt;"",Settings!$E$21&lt;&gt;"No"),Settings!$F$21="Yes",NOT(AND('Month-End'!$EB$9&lt;&gt;"",NOT(_xlfn.ISFORMULA('Month-End'!$EB$9))))),1,0)</f>
        <v/>
      </c>
      <c r="CP135">
        <f>IF(AND($E135&lt;&gt;"pre",AND(Settings!$A$22&lt;&gt;"",Settings!$E$22&lt;&gt;"No"),Settings!$F$22="Yes",NOT(AND('Month-End'!$EB$10&lt;&gt;"",NOT(_xlfn.ISFORMULA('Month-End'!$EB$10))))),1,0)</f>
        <v/>
      </c>
      <c r="CQ135">
        <f>IF(AND($E135&lt;&gt;"pre",AND(Settings!$A$23&lt;&gt;"",Settings!$E$23&lt;&gt;"No"),Settings!$F$23="Yes",NOT(AND('Month-End'!$EB$11&lt;&gt;"",NOT(_xlfn.ISFORMULA('Month-End'!$EB$11))))),1,0)</f>
        <v/>
      </c>
      <c r="CR135">
        <f>IF(AND($E135&lt;&gt;"pre",AND(Settings!$A$24&lt;&gt;"",Settings!$E$24&lt;&gt;"No"),Settings!$F$24="Yes",NOT(AND('Month-End'!$EB$12&lt;&gt;"",NOT(_xlfn.ISFORMULA('Month-End'!$EB$12))))),1,0)</f>
        <v/>
      </c>
      <c r="CS135">
        <f>IF(AND($E135&lt;&gt;"pre",AND(Settings!$A$25&lt;&gt;"",Settings!$E$25&lt;&gt;"No"),Settings!$F$25="Yes",NOT(AND('Month-End'!$EB$13&lt;&gt;"",NOT(_xlfn.ISFORMULA('Month-End'!$EB$13))))),1,0)</f>
        <v/>
      </c>
      <c r="CT135">
        <f>IF(AND($E135&lt;&gt;"pre",AND(Settings!$A$26&lt;&gt;"",Settings!$E$26&lt;&gt;"No"),Settings!$F$26="Yes",NOT(AND('Month-End'!$EB$14&lt;&gt;"",NOT(_xlfn.ISFORMULA('Month-End'!$EB$14))))),1,0)</f>
        <v/>
      </c>
      <c r="CU135">
        <f>IF(AND($E135&lt;&gt;"pre",AND(Settings!$A$27&lt;&gt;"",Settings!$E$27&lt;&gt;"No"),Settings!$F$27="Yes",NOT(AND('Month-End'!$EB$15&lt;&gt;"",NOT(_xlfn.ISFORMULA('Month-End'!$EB$15))))),1,0)</f>
        <v/>
      </c>
      <c r="CV135">
        <f>IF(AND($E135&lt;&gt;"pre",AND(Settings!$A$28&lt;&gt;"",Settings!$E$28&lt;&gt;"No"),Settings!$F$28="Yes",NOT(AND('Month-End'!$EB$16&lt;&gt;"",NOT(_xlfn.ISFORMULA('Month-End'!$EB$16))))),1,0)</f>
        <v/>
      </c>
      <c r="CW135">
        <f>IF(AND($E135&lt;&gt;"pre",AND(Settings!$A$29&lt;&gt;"",Settings!$E$29&lt;&gt;"No"),Settings!$F$29="Yes",NOT(AND('Month-End'!$EB$17&lt;&gt;"",NOT(_xlfn.ISFORMULA('Month-End'!$EB$17))))),1,0)</f>
        <v/>
      </c>
      <c r="CX135">
        <f>IF(AND($E135&lt;&gt;"pre",AND(Settings!$A$30&lt;&gt;"",Settings!$E$30&lt;&gt;"No"),Settings!$F$30="Yes",NOT(AND('Month-End'!$EB$18&lt;&gt;"",NOT(_xlfn.ISFORMULA('Month-End'!$EB$18))))),1,0)</f>
        <v/>
      </c>
      <c r="CY135">
        <f>IF(AND($E135&lt;&gt;"pre",AND(Settings!$A$31&lt;&gt;"",Settings!$E$31&lt;&gt;"No"),Settings!$F$31="Yes",NOT(AND('Month-End'!$EB$19&lt;&gt;"",NOT(_xlfn.ISFORMULA('Month-End'!$EB$19))))),1,0)</f>
        <v/>
      </c>
      <c r="CZ135">
        <f>IF(AND($E135&lt;&gt;"pre",AND(Settings!$A$32&lt;&gt;"",Settings!$E$32&lt;&gt;"No"),Settings!$F$32="Yes",NOT(AND('Month-End'!$EB$20&lt;&gt;"",NOT(_xlfn.ISFORMULA('Month-End'!$EB$20))))),1,0)</f>
        <v/>
      </c>
      <c r="DA135">
        <f>IF($DT135=1,IF(OR(Settings!$B$19="Checking",Settings!$B$19="Savings",Settings!$B$19="Cash"),N($AE135),IF(OR(Settings!$B$19="Card",Settings!$B$19="Loan"),-N($AE135),0))+IF(OR(Settings!$B$20="Checking",Settings!$B$20="Savings",Settings!$B$20="Cash"),N($AF135),IF(OR(Settings!$B$20="Card",Settings!$B$20="Loan"),-N($AF135),0))+IF(OR(Settings!$B$21="Checking",Settings!$B$21="Savings",Settings!$B$21="Cash"),N($AG135),IF(OR(Settings!$B$21="Card",Settings!$B$21="Loan"),-N($AG135),0))+IF(OR(Settings!$B$22="Checking",Settings!$B$22="Savings",Settings!$B$22="Cash"),N($AH135),IF(OR(Settings!$B$22="Card",Settings!$B$22="Loan"),-N($AH135),0))+IF(OR(Settings!$B$23="Checking",Settings!$B$23="Savings",Settings!$B$23="Cash"),N($AI135),IF(OR(Settings!$B$23="Card",Settings!$B$23="Loan"),-N($AI135),0))+IF(OR(Settings!$B$24="Checking",Settings!$B$24="Savings",Settings!$B$24="Cash"),N($AJ135),IF(OR(Settings!$B$24="Card",Settings!$B$24="Loan"),-N($AJ135),0))+IF(OR(Settings!$B$25="Checking",Settings!$B$25="Savings",Settings!$B$25="Cash"),N($AK135),IF(OR(Settings!$B$25="Card",Settings!$B$25="Loan"),-N($AK135),0))+IF(OR(Settings!$B$26="Checking",Settings!$B$26="Savings",Settings!$B$26="Cash"),N($AL135),IF(OR(Settings!$B$26="Card",Settings!$B$26="Loan"),-N($AL135),0))+IF(OR(Settings!$B$27="Checking",Settings!$B$27="Savings",Settings!$B$27="Cash"),N($AM135),IF(OR(Settings!$B$27="Card",Settings!$B$27="Loan"),-N($AM135),0))+IF(OR(Settings!$B$28="Checking",Settings!$B$28="Savings",Settings!$B$28="Cash"),N($AN135),IF(OR(Settings!$B$28="Card",Settings!$B$28="Loan"),-N($AN135),0))+IF(OR(Settings!$B$29="Checking",Settings!$B$29="Savings",Settings!$B$29="Cash"),N($AO135),IF(OR(Settings!$B$29="Card",Settings!$B$29="Loan"),-N($AO135),0))+IF(OR(Settings!$B$30="Checking",Settings!$B$30="Savings",Settings!$B$30="Cash"),N($AP135),IF(OR(Settings!$B$30="Card",Settings!$B$30="Loan"),-N($AP135),0))+IF(OR(Settings!$B$31="Checking",Settings!$B$31="Savings",Settings!$B$31="Cash"),N($AQ135),IF(OR(Settings!$B$31="Card",Settings!$B$31="Loan"),-N($AQ135),0))+IF(OR(Settings!$B$32="Checking",Settings!$B$32="Savings",Settings!$B$32="Cash"),N($AR135),IF(OR(Settings!$B$32="Card",Settings!$B$32="Loan"),-N($AR135),0)),"")</f>
        <v/>
      </c>
      <c r="DB135">
        <f>IF($E135="open",$EB$27,IF($E135="post",IF($E134="pre",$EB$27,$DA134),""))</f>
        <v/>
      </c>
      <c r="DC135">
        <f>IF($E135="open",1,IF($E135="post",IF($E134="pre",1,$DT134),0))</f>
        <v/>
      </c>
      <c r="DD135">
        <f>IF(AND($DT135=1,$DC135=1),ROUND($W135-($DA135-$DB135)-$AD135-$AB135,2),"")</f>
        <v/>
      </c>
      <c r="DE135">
        <f>IF('Month-End'!$EB$35="",$BQ135,N('Month-End'!$EB$35))</f>
        <v/>
      </c>
      <c r="DF135">
        <f>N('Month-End'!$EB$36)</f>
        <v/>
      </c>
      <c r="DG135">
        <f>IF($DD135="","",$DD135+$DE135)</f>
        <v/>
      </c>
      <c r="DH135">
        <f>IF($DG135="","",$DG135-$DF135)</f>
        <v/>
      </c>
      <c r="DI135">
        <f>IF(OR($E135="pre",$D135=1),"",N($AS135)+N($AT135)+N($AU135)+N($AV135)+N($AW135)+N($AX135))</f>
        <v/>
      </c>
      <c r="DJ135">
        <f>IF($DT135=1,$DA135+N($DI135),"")</f>
        <v/>
      </c>
      <c r="DK135">
        <f>IF($DD135="","",$W135-$DD135-$AB135)</f>
        <v/>
      </c>
      <c r="DL135">
        <f>IF(AND($E135="post",$DD135&lt;&gt;"",$B135&lt;TODAY()),1,0)</f>
        <v/>
      </c>
      <c r="DM135">
        <f>IF($DL135=1,COUNTIF($DL135:$DL$183,1),0)</f>
        <v/>
      </c>
      <c r="DN135">
        <f>IF($D135=1,"",IF($E135="pre","History only",IF($DT135=1,IF($DD135="","⚠ Previous month missing",IF($DD135&lt;0,"⚠ Check: spending &lt; 0",IF($E135="open","✓ Done (partial)","✓ Done"))),IF($B135&gt;=TODAY(),"In progress","⚠ Needs balances"))))</f>
        <v/>
      </c>
      <c r="DO135">
        <f>YEAR($A135)</f>
        <v/>
      </c>
      <c r="DP135">
        <f>DATE(YEAR($A135),INT((MONTH($A135)-1)/3)*3+1,1)</f>
        <v/>
      </c>
      <c r="DQ135">
        <f>IF(AND($DT135=1,$DD135&lt;&gt;"",$D135=0),ROW(),0)</f>
        <v/>
      </c>
      <c r="DR135">
        <f>IF(AND($E135&lt;&gt;"pre",$B135&lt;TODAY(),$DT135=0),1,0)</f>
        <v/>
      </c>
      <c r="DS135">
        <f>IF($DJ135="",NA(),$DJ135)</f>
        <v/>
      </c>
      <c r="DT135">
        <f>IF(AND($E135&lt;&gt;"pre",$CL135=0,COUNTIFS(Settings!$F$19:$F$32,"Yes",Settings!$A$19:$A$32,"&lt;&gt;",Settings!$E$19:$E$32,"&lt;&gt;No")&gt;0),1,0)</f>
        <v/>
      </c>
      <c r="DU135">
        <f>IF(AND($B135&lt;TODAY(),$S135&gt;0),1,0)</f>
        <v/>
      </c>
      <c r="DV135">
        <f>IF($DU135=1,COUNTIF($DU135:$DU$183,1),0)</f>
        <v/>
      </c>
      <c r="DW135">
        <f>IF(AND(OR(Settings!$B$19="Card",Settings!$B$19="Loan"),AND('Month-End'!$EB$7&lt;&gt;"",NOT(_xlfn.ISFORMULA('Month-End'!$EB$7)))),IF(N('Month-End'!$EB$7)&lt;0,1,0),0)+IF(AND(OR(Settings!$B$20="Card",Settings!$B$20="Loan"),AND('Month-End'!$EB$8&lt;&gt;"",NOT(_xlfn.ISFORMULA('Month-End'!$EB$8)))),IF(N('Month-End'!$EB$8)&lt;0,1,0),0)+IF(AND(OR(Settings!$B$21="Card",Settings!$B$21="Loan"),AND('Month-End'!$EB$9&lt;&gt;"",NOT(_xlfn.ISFORMULA('Month-End'!$EB$9)))),IF(N('Month-End'!$EB$9)&lt;0,1,0),0)+IF(AND(OR(Settings!$B$22="Card",Settings!$B$22="Loan"),AND('Month-End'!$EB$10&lt;&gt;"",NOT(_xlfn.ISFORMULA('Month-End'!$EB$10)))),IF(N('Month-End'!$EB$10)&lt;0,1,0),0)+IF(AND(OR(Settings!$B$23="Card",Settings!$B$23="Loan"),AND('Month-End'!$EB$11&lt;&gt;"",NOT(_xlfn.ISFORMULA('Month-End'!$EB$11)))),IF(N('Month-End'!$EB$11)&lt;0,1,0),0)+IF(AND(OR(Settings!$B$24="Card",Settings!$B$24="Loan"),AND('Month-End'!$EB$12&lt;&gt;"",NOT(_xlfn.ISFORMULA('Month-End'!$EB$12)))),IF(N('Month-End'!$EB$12)&lt;0,1,0),0)+IF(AND(OR(Settings!$B$25="Card",Settings!$B$25="Loan"),AND('Month-End'!$EB$13&lt;&gt;"",NOT(_xlfn.ISFORMULA('Month-End'!$EB$13)))),IF(N('Month-End'!$EB$13)&lt;0,1,0),0)+IF(AND(OR(Settings!$B$26="Card",Settings!$B$26="Loan"),AND('Month-End'!$EB$14&lt;&gt;"",NOT(_xlfn.ISFORMULA('Month-End'!$EB$14)))),IF(N('Month-End'!$EB$14)&lt;0,1,0),0)+IF(AND(OR(Settings!$B$27="Card",Settings!$B$27="Loan"),AND('Month-End'!$EB$15&lt;&gt;"",NOT(_xlfn.ISFORMULA('Month-End'!$EB$15)))),IF(N('Month-End'!$EB$15)&lt;0,1,0),0)+IF(AND(OR(Settings!$B$28="Card",Settings!$B$28="Loan"),AND('Month-End'!$EB$16&lt;&gt;"",NOT(_xlfn.ISFORMULA('Month-End'!$EB$16)))),IF(N('Month-End'!$EB$16)&lt;0,1,0),0)+IF(AND(OR(Settings!$B$29="Card",Settings!$B$29="Loan"),AND('Month-End'!$EB$17&lt;&gt;"",NOT(_xlfn.ISFORMULA('Month-End'!$EB$17)))),IF(N('Month-End'!$EB$17)&lt;0,1,0),0)+IF(AND(OR(Settings!$B$30="Card",Settings!$B$30="Loan"),AND('Month-End'!$EB$18&lt;&gt;"",NOT(_xlfn.ISFORMULA('Month-End'!$EB$18)))),IF(N('Month-End'!$EB$18)&lt;0,1,0),0)+IF(AND(OR(Settings!$B$31="Card",Settings!$B$31="Loan"),AND('Month-End'!$EB$19&lt;&gt;"",NOT(_xlfn.ISFORMULA('Month-End'!$EB$19)))),IF(N('Month-End'!$EB$19)&lt;0,1,0),0)+IF(AND(OR(Settings!$B$32="Card",Settings!$B$32="Loan"),AND('Month-End'!$EB$20&lt;&gt;"",NOT(_xlfn.ISFORMULA('Month-End'!$EB$20)))),IF(N('Month-End'!$EB$20)&lt;0,1,0),0)</f>
        <v/>
      </c>
      <c r="DX135">
        <f>IF(Settings!$B$36="Retirement",$AY135,0)+IF(Settings!$B$37="Retirement",$AZ135,0)+IF(Settings!$B$38="Retirement",$BA135,0)+IF(Settings!$B$39="Retirement",$BB135,0)+IF(Settings!$B$40="Retirement",$BC135,0)+IF(Settings!$B$41="Retirement",$BD135,0)</f>
        <v/>
      </c>
      <c r="ET135">
        <f>IF($E135&lt;&gt;"open",0,IF(AND('Month-End'!$EB$22&lt;&gt;"",NOT(_xlfn.ISFORMULA('Month-End'!$EB$22))),0,IF(OR(Settings!$C$45="",Settings!$D$45=""),0,Settings!$C$45*IF(Settings!$D$45="Weekly",IF(IFERROR(MATCH(Settings!$E$45,$EO$4:$EO$10,0),0)=0,0,IF(MIN(Settings!$B$5,IF(Settings!$G$45="",Settings!$B$5,Settings!$G$45))&lt;MAX($A135,Settings!$F$45),0,INT((MIN(Settings!$B$5,IF(Settings!$G$45="",Settings!$B$5,Settings!$G$45))-MAX($A135,Settings!$F$45)-MOD(IFERROR(MATCH(Settings!$E$45,$EO$4:$EO$10,0),0)-WEEKDAY(MAX($A135,Settings!$F$45)),7))/7)+1)),IF(AND(IF(Settings!$E$45="",$B135,DATE(YEAR($A135),MONTH($A135),MIN(Settings!$E$45,DAY($B135))))&gt;=MAX($A135,Settings!$F$45),IF(Settings!$E$45="",$B135,DATE(YEAR($A135),MONTH($A135),MIN(Settings!$E$45,DAY($B135))))&lt;=MIN(Settings!$B$5,IF(Settings!$G$45="",Settings!$B$5,Settings!$G$45))),1,0)))))</f>
        <v/>
      </c>
      <c r="EU135">
        <f>IF($E135&lt;&gt;"open",0,IF(AND('Month-End'!$EB$23&lt;&gt;"",NOT(_xlfn.ISFORMULA('Month-End'!$EB$23))),0,IF(OR(Settings!$C$46="",Settings!$D$46=""),0,Settings!$C$46*IF(Settings!$D$46="Weekly",IF(IFERROR(MATCH(Settings!$E$46,$EO$4:$EO$10,0),0)=0,0,IF(MIN(Settings!$B$5,IF(Settings!$G$46="",Settings!$B$5,Settings!$G$46))&lt;MAX($A135,Settings!$F$46),0,INT((MIN(Settings!$B$5,IF(Settings!$G$46="",Settings!$B$5,Settings!$G$46))-MAX($A135,Settings!$F$46)-MOD(IFERROR(MATCH(Settings!$E$46,$EO$4:$EO$10,0),0)-WEEKDAY(MAX($A135,Settings!$F$46)),7))/7)+1)),IF(AND(IF(Settings!$E$46="",$B135,DATE(YEAR($A135),MONTH($A135),MIN(Settings!$E$46,DAY($B135))))&gt;=MAX($A135,Settings!$F$46),IF(Settings!$E$46="",$B135,DATE(YEAR($A135),MONTH($A135),MIN(Settings!$E$46,DAY($B135))))&lt;=MIN(Settings!$B$5,IF(Settings!$G$46="",Settings!$B$5,Settings!$G$46))),1,0)))))</f>
        <v/>
      </c>
      <c r="EV135">
        <f>IF($E135&lt;&gt;"open",0,IF(AND('Month-End'!$EB$24&lt;&gt;"",NOT(_xlfn.ISFORMULA('Month-End'!$EB$24))),0,IF(OR(Settings!$C$47="",Settings!$D$47=""),0,Settings!$C$47*IF(Settings!$D$47="Weekly",IF(IFERROR(MATCH(Settings!$E$47,$EO$4:$EO$10,0),0)=0,0,IF(MIN(Settings!$B$5,IF(Settings!$G$47="",Settings!$B$5,Settings!$G$47))&lt;MAX($A135,Settings!$F$47),0,INT((MIN(Settings!$B$5,IF(Settings!$G$47="",Settings!$B$5,Settings!$G$47))-MAX($A135,Settings!$F$47)-MOD(IFERROR(MATCH(Settings!$E$47,$EO$4:$EO$10,0),0)-WEEKDAY(MAX($A135,Settings!$F$47)),7))/7)+1)),IF(AND(IF(Settings!$E$47="",$B135,DATE(YEAR($A135),MONTH($A135),MIN(Settings!$E$47,DAY($B135))))&gt;=MAX($A135,Settings!$F$47),IF(Settings!$E$47="",$B135,DATE(YEAR($A135),MONTH($A135),MIN(Settings!$E$47,DAY($B135))))&lt;=MIN(Settings!$B$5,IF(Settings!$G$47="",Settings!$B$5,Settings!$G$47))),1,0)))))</f>
        <v/>
      </c>
      <c r="EW135">
        <f>IF($E135&lt;&gt;"open",0,IF(AND('Month-End'!$EB$25&lt;&gt;"",NOT(_xlfn.ISFORMULA('Month-End'!$EB$25))),0,IF(OR(Settings!$C$48="",Settings!$D$48=""),0,Settings!$C$48*IF(Settings!$D$48="Weekly",IF(IFERROR(MATCH(Settings!$E$48,$EO$4:$EO$10,0),0)=0,0,IF(MIN(Settings!$B$5,IF(Settings!$G$48="",Settings!$B$5,Settings!$G$48))&lt;MAX($A135,Settings!$F$48),0,INT((MIN(Settings!$B$5,IF(Settings!$G$48="",Settings!$B$5,Settings!$G$48))-MAX($A135,Settings!$F$48)-MOD(IFERROR(MATCH(Settings!$E$48,$EO$4:$EO$10,0),0)-WEEKDAY(MAX($A135,Settings!$F$48)),7))/7)+1)),IF(AND(IF(Settings!$E$48="",$B135,DATE(YEAR($A135),MONTH($A135),MIN(Settings!$E$48,DAY($B135))))&gt;=MAX($A135,Settings!$F$48),IF(Settings!$E$48="",$B135,DATE(YEAR($A135),MONTH($A135),MIN(Settings!$E$48,DAY($B135))))&lt;=MIN(Settings!$B$5,IF(Settings!$G$48="",Settings!$B$5,Settings!$G$48))),1,0)))))</f>
        <v/>
      </c>
      <c r="EX135">
        <f>IF($E135&lt;&gt;"open",0,IF(AND('Month-End'!$EB$26&lt;&gt;"",NOT(_xlfn.ISFORMULA('Month-End'!$EB$26))),0,IF(OR(Settings!$C$49="",Settings!$D$49=""),0,Settings!$C$49*IF(Settings!$D$49="Weekly",IF(IFERROR(MATCH(Settings!$E$49,$EO$4:$EO$10,0),0)=0,0,IF(MIN(Settings!$B$5,IF(Settings!$G$49="",Settings!$B$5,Settings!$G$49))&lt;MAX($A135,Settings!$F$49),0,INT((MIN(Settings!$B$5,IF(Settings!$G$49="",Settings!$B$5,Settings!$G$49))-MAX($A135,Settings!$F$49)-MOD(IFERROR(MATCH(Settings!$E$49,$EO$4:$EO$10,0),0)-WEEKDAY(MAX($A135,Settings!$F$49)),7))/7)+1)),IF(AND(IF(Settings!$E$49="",$B135,DATE(YEAR($A135),MONTH($A135),MIN(Settings!$E$49,DAY($B135))))&gt;=MAX($A135,Settings!$F$49),IF(Settings!$E$49="",$B135,DATE(YEAR($A135),MONTH($A135),MIN(Settings!$E$49,DAY($B135))))&lt;=MIN(Settings!$B$5,IF(Settings!$G$49="",Settings!$B$5,Settings!$G$49))),1,0)))))</f>
        <v/>
      </c>
      <c r="EY135">
        <f>IF($E135&lt;&gt;"open",0,IF(AND('Month-End'!$EB$27&lt;&gt;"",NOT(_xlfn.ISFORMULA('Month-End'!$EB$27))),0,IF(OR(Settings!$C$50="",Settings!$D$50=""),0,Settings!$C$50*IF(Settings!$D$50="Weekly",IF(IFERROR(MATCH(Settings!$E$50,$EO$4:$EO$10,0),0)=0,0,IF(MIN(Settings!$B$5,IF(Settings!$G$50="",Settings!$B$5,Settings!$G$50))&lt;MAX($A135,Settings!$F$50),0,INT((MIN(Settings!$B$5,IF(Settings!$G$50="",Settings!$B$5,Settings!$G$50))-MAX($A135,Settings!$F$50)-MOD(IFERROR(MATCH(Settings!$E$50,$EO$4:$EO$10,0),0)-WEEKDAY(MAX($A135,Settings!$F$50)),7))/7)+1)),IF(AND(IF(Settings!$E$50="",$B135,DATE(YEAR($A135),MONTH($A135),MIN(Settings!$E$50,DAY($B135))))&gt;=MAX($A135,Settings!$F$50),IF(Settings!$E$50="",$B135,DATE(YEAR($A135),MONTH($A135),MIN(Settings!$E$50,DAY($B135))))&lt;=MIN(Settings!$B$5,IF(Settings!$G$50="",Settings!$B$5,Settings!$G$50))),1,0)))))</f>
        <v/>
      </c>
      <c r="EZ135">
        <f>IF($E135&lt;&gt;"open",0,IF(AND('Month-End'!$EB$28&lt;&gt;"",NOT(_xlfn.ISFORMULA('Month-End'!$EB$28))),0,IF(OR(Settings!$C$51="",Settings!$D$51=""),0,Settings!$C$51*IF(Settings!$D$51="Weekly",IF(IFERROR(MATCH(Settings!$E$51,$EO$4:$EO$10,0),0)=0,0,IF(MIN(Settings!$B$5,IF(Settings!$G$51="",Settings!$B$5,Settings!$G$51))&lt;MAX($A135,Settings!$F$51),0,INT((MIN(Settings!$B$5,IF(Settings!$G$51="",Settings!$B$5,Settings!$G$51))-MAX($A135,Settings!$F$51)-MOD(IFERROR(MATCH(Settings!$E$51,$EO$4:$EO$10,0),0)-WEEKDAY(MAX($A135,Settings!$F$51)),7))/7)+1)),IF(AND(IF(Settings!$E$51="",$B135,DATE(YEAR($A135),MONTH($A135),MIN(Settings!$E$51,DAY($B135))))&gt;=MAX($A135,Settings!$F$51),IF(Settings!$E$51="",$B135,DATE(YEAR($A135),MONTH($A135),MIN(Settings!$E$51,DAY($B135))))&lt;=MIN(Settings!$B$5,IF(Settings!$G$51="",Settings!$B$5,Settings!$G$51))),1,0)))))</f>
        <v/>
      </c>
      <c r="FA135">
        <f>IF($E135&lt;&gt;"open",0,IF(AND('Month-End'!$EB$29&lt;&gt;"",NOT(_xlfn.ISFORMULA('Month-End'!$EB$29))),0,IF(OR(Settings!$C$52="",Settings!$D$52=""),0,Settings!$C$52*IF(Settings!$D$52="Weekly",IF(IFERROR(MATCH(Settings!$E$52,$EO$4:$EO$10,0),0)=0,0,IF(MIN(Settings!$B$5,IF(Settings!$G$52="",Settings!$B$5,Settings!$G$52))&lt;MAX($A135,Settings!$F$52),0,INT((MIN(Settings!$B$5,IF(Settings!$G$52="",Settings!$B$5,Settings!$G$52))-MAX($A135,Settings!$F$52)-MOD(IFERROR(MATCH(Settings!$E$52,$EO$4:$EO$10,0),0)-WEEKDAY(MAX($A135,Settings!$F$52)),7))/7)+1)),IF(AND(IF(Settings!$E$52="",$B135,DATE(YEAR($A135),MONTH($A135),MIN(Settings!$E$52,DAY($B135))))&gt;=MAX($A135,Settings!$F$52),IF(Settings!$E$52="",$B135,DATE(YEAR($A135),MONTH($A135),MIN(Settings!$E$52,DAY($B135))))&lt;=MIN(Settings!$B$5,IF(Settings!$G$52="",Settings!$B$5,Settings!$G$52))),1,0)))))</f>
        <v/>
      </c>
      <c r="FB135">
        <f>IF($E135&lt;&gt;"open",0,IF(AND('Month-End'!$EB$30&lt;&gt;"",NOT(_xlfn.ISFORMULA('Month-End'!$EB$30))),0,IF(OR(Settings!$C$53="",Settings!$D$53=""),0,Settings!$C$53*IF(Settings!$D$53="Weekly",IF(IFERROR(MATCH(Settings!$E$53,$EO$4:$EO$10,0),0)=0,0,IF(MIN(Settings!$B$5,IF(Settings!$G$53="",Settings!$B$5,Settings!$G$53))&lt;MAX($A135,Settings!$F$53),0,INT((MIN(Settings!$B$5,IF(Settings!$G$53="",Settings!$B$5,Settings!$G$53))-MAX($A135,Settings!$F$53)-MOD(IFERROR(MATCH(Settings!$E$53,$EO$4:$EO$10,0),0)-WEEKDAY(MAX($A135,Settings!$F$53)),7))/7)+1)),IF(AND(IF(Settings!$E$53="",$B135,DATE(YEAR($A135),MONTH($A135),MIN(Settings!$E$53,DAY($B135))))&gt;=MAX($A135,Settings!$F$53),IF(Settings!$E$53="",$B135,DATE(YEAR($A135),MONTH($A135),MIN(Settings!$E$53,DAY($B135))))&lt;=MIN(Settings!$B$5,IF(Settings!$G$53="",Settings!$B$5,Settings!$G$53))),1,0)))))</f>
        <v/>
      </c>
      <c r="FC135">
        <f>IF($E135&lt;&gt;"open",0,IF(AND('Month-End'!$EB$31&lt;&gt;"",NOT(_xlfn.ISFORMULA('Month-End'!$EB$31))),0,IF(OR(Settings!$C$54="",Settings!$D$54=""),0,Settings!$C$54*IF(Settings!$D$54="Weekly",IF(IFERROR(MATCH(Settings!$E$54,$EO$4:$EO$10,0),0)=0,0,IF(MIN(Settings!$B$5,IF(Settings!$G$54="",Settings!$B$5,Settings!$G$54))&lt;MAX($A135,Settings!$F$54),0,INT((MIN(Settings!$B$5,IF(Settings!$G$54="",Settings!$B$5,Settings!$G$54))-MAX($A135,Settings!$F$54)-MOD(IFERROR(MATCH(Settings!$E$54,$EO$4:$EO$10,0),0)-WEEKDAY(MAX($A135,Settings!$F$54)),7))/7)+1)),IF(AND(IF(Settings!$E$54="",$B135,DATE(YEAR($A135),MONTH($A135),MIN(Settings!$E$54,DAY($B135))))&gt;=MAX($A135,Settings!$F$54),IF(Settings!$E$54="",$B135,DATE(YEAR($A135),MONTH($A135),MIN(Settings!$E$54,DAY($B135))))&lt;=MIN(Settings!$B$5,IF(Settings!$G$54="",Settings!$B$5,Settings!$G$54))),1,0)))))</f>
        <v/>
      </c>
      <c r="FD135">
        <f>IF($E135&lt;&gt;"open",0,IF(AND('Month-End'!$EB$32&lt;&gt;"",NOT(_xlfn.ISFORMULA('Month-End'!$EB$32))),0,IF(OR(Settings!$C$55="",Settings!$D$55=""),0,Settings!$C$55*IF(Settings!$D$55="Weekly",IF(IFERROR(MATCH(Settings!$E$55,$EO$4:$EO$10,0),0)=0,0,IF(MIN(Settings!$B$5,IF(Settings!$G$55="",Settings!$B$5,Settings!$G$55))&lt;MAX($A135,Settings!$F$55),0,INT((MIN(Settings!$B$5,IF(Settings!$G$55="",Settings!$B$5,Settings!$G$55))-MAX($A135,Settings!$F$55)-MOD(IFERROR(MATCH(Settings!$E$55,$EO$4:$EO$10,0),0)-WEEKDAY(MAX($A135,Settings!$F$55)),7))/7)+1)),IF(AND(IF(Settings!$E$55="",$B135,DATE(YEAR($A135),MONTH($A135),MIN(Settings!$E$55,DAY($B135))))&gt;=MAX($A135,Settings!$F$55),IF(Settings!$E$55="",$B135,DATE(YEAR($A135),MONTH($A135),MIN(Settings!$E$55,DAY($B135))))&lt;=MIN(Settings!$B$5,IF(Settings!$G$55="",Settings!$B$5,Settings!$G$55))),1,0)))))</f>
        <v/>
      </c>
      <c r="FE135">
        <f>IF($E135&lt;&gt;"open",0,IF(AND('Month-End'!$EB$33&lt;&gt;"",NOT(_xlfn.ISFORMULA('Month-End'!$EB$33))),0,IF(OR(Settings!$C$56="",Settings!$D$56=""),0,Settings!$C$56*IF(Settings!$D$56="Weekly",IF(IFERROR(MATCH(Settings!$E$56,$EO$4:$EO$10,0),0)=0,0,IF(MIN(Settings!$B$5,IF(Settings!$G$56="",Settings!$B$5,Settings!$G$56))&lt;MAX($A135,Settings!$F$56),0,INT((MIN(Settings!$B$5,IF(Settings!$G$56="",Settings!$B$5,Settings!$G$56))-MAX($A135,Settings!$F$56)-MOD(IFERROR(MATCH(Settings!$E$56,$EO$4:$EO$10,0),0)-WEEKDAY(MAX($A135,Settings!$F$56)),7))/7)+1)),IF(AND(IF(Settings!$E$56="",$B135,DATE(YEAR($A135),MONTH($A135),MIN(Settings!$E$56,DAY($B135))))&gt;=MAX($A135,Settings!$F$56),IF(Settings!$E$56="",$B135,DATE(YEAR($A135),MONTH($A135),MIN(Settings!$E$56,DAY($B135))))&lt;=MIN(Settings!$B$5,IF(Settings!$G$56="",Settings!$B$5,Settings!$G$56))),1,0)))))</f>
        <v/>
      </c>
      <c r="FF135">
        <f>IF(Settings!$I$45="Yes",$G135,0)+IF(Settings!$I$46="Yes",$H135,0)+IF(Settings!$I$47="Yes",$I135,0)+IF(Settings!$I$48="Yes",$J135,0)+IF(Settings!$I$49="Yes",$K135,0)+IF(Settings!$I$50="Yes",$L135,0)+IF(Settings!$I$51="Yes",$M135,0)+IF(Settings!$I$52="Yes",$N135,0)+IF(Settings!$I$53="Yes",$O135,0)+IF(Settings!$I$54="Yes",$P135,0)+IF(Settings!$I$55="Yes",$Q135,0)+IF(Settings!$I$56="Yes",$R135,0)</f>
        <v/>
      </c>
      <c r="FG135">
        <f>IF(AND(Settings!$I$45="Yes",Settings!$J$45="No"),$G135,0)+IF(AND(Settings!$I$46="Yes",Settings!$J$46="No"),$H135,0)+IF(AND(Settings!$I$47="Yes",Settings!$J$47="No"),$I135,0)+IF(AND(Settings!$I$48="Yes",Settings!$J$48="No"),$J135,0)+IF(AND(Settings!$I$49="Yes",Settings!$J$49="No"),$K135,0)+IF(AND(Settings!$I$50="Yes",Settings!$J$50="No"),$L135,0)+IF(AND(Settings!$I$51="Yes",Settings!$J$51="No"),$M135,0)+IF(AND(Settings!$I$52="Yes",Settings!$J$52="No"),$N135,0)+IF(AND(Settings!$I$53="Yes",Settings!$J$53="No"),$O135,0)+IF(AND(Settings!$I$54="Yes",Settings!$J$54="No"),$P135,0)+IF(AND(Settings!$I$55="Yes",Settings!$J$55="No"),$Q135,0)+IF(AND(Settings!$I$56="Yes",Settings!$J$56="No"),$R135,0)</f>
        <v/>
      </c>
      <c r="FH135">
        <f>SUMIFS(Giving!$B$7:$B$2006,Giving!$A$7:$A$2006,"&gt;="&amp;$A135,Giving!$A$7:$A$2006,"&lt;="&amp;$B135,Giving!$G$7:$G$2006,"Yes")+IF(OR(OR(Settings!$B$60="",Settings!$F$60="No"),Settings!$H$60&lt;&gt;"Yes"),0,Settings!$B$60*IF(AND(IF(Settings!$C$60="",$B135,DATE(YEAR($A135),MONTH($A135),MIN(Settings!$C$60,DAY($B135))))&gt;=MAX($A135,Settings!$D$60),IF(Settings!$C$60="",$B135,DATE(YEAR($A135),MONTH($A135),MIN(Settings!$C$60,DAY($B135))))&lt;=MIN($C135,IF(Settings!$E$60="",$C135,Settings!$E$60))),1,0))+IF(OR(OR(Settings!$B$61="",Settings!$F$61="No"),Settings!$H$61&lt;&gt;"Yes"),0,Settings!$B$61*IF(AND(IF(Settings!$C$61="",$B135,DATE(YEAR($A135),MONTH($A135),MIN(Settings!$C$61,DAY($B135))))&gt;=MAX($A135,Settings!$D$61),IF(Settings!$C$61="",$B135,DATE(YEAR($A135),MONTH($A135),MIN(Settings!$C$61,DAY($B135))))&lt;=MIN($C135,IF(Settings!$E$61="",$C135,Settings!$E$61))),1,0))+IF(OR(OR(Settings!$B$62="",Settings!$F$62="No"),Settings!$H$62&lt;&gt;"Yes"),0,Settings!$B$62*IF(AND(IF(Settings!$C$62="",$B135,DATE(YEAR($A135),MONTH($A135),MIN(Settings!$C$62,DAY($B135))))&gt;=MAX($A135,Settings!$D$62),IF(Settings!$C$62="",$B135,DATE(YEAR($A135),MONTH($A135),MIN(Settings!$C$62,DAY($B135))))&lt;=MIN($C135,IF(Settings!$E$62="",$C135,Settings!$E$62))),1,0))+IF(OR(OR(Settings!$B$63="",Settings!$F$63="No"),Settings!$H$63&lt;&gt;"Yes"),0,Settings!$B$63*IF(AND(IF(Settings!$C$63="",$B135,DATE(YEAR($A135),MONTH($A135),MIN(Settings!$C$63,DAY($B135))))&gt;=MAX($A135,Settings!$D$63),IF(Settings!$C$63="",$B135,DATE(YEAR($A135),MONTH($A135),MIN(Settings!$C$63,DAY($B135))))&lt;=MIN($C135,IF(Settings!$E$63="",$C135,Settings!$E$63))),1,0))+IF(OR(OR(Settings!$B$64="",Settings!$F$64="No"),Settings!$H$64&lt;&gt;"Yes"),0,Settings!$B$64*IF(AND(IF(Settings!$C$64="",$B135,DATE(YEAR($A135),MONTH($A135),MIN(Settings!$C$64,DAY($B135))))&gt;=MAX($A135,Settings!$D$64),IF(Settings!$C$64="",$B135,DATE(YEAR($A135),MONTH($A135),MIN(Settings!$C$64,DAY($B135))))&lt;=MIN($C135,IF(Settings!$E$64="",$C135,Settings!$E$64))),1,0))+IF(OR(OR(Settings!$B$65="",Settings!$F$65="No"),Settings!$H$65&lt;&gt;"Yes"),0,Settings!$B$65*IF(AND(IF(Settings!$C$65="",$B135,DATE(YEAR($A135),MONTH($A135),MIN(Settings!$C$65,DAY($B135))))&gt;=MAX($A135,Settings!$D$65),IF(Settings!$C$65="",$B135,DATE(YEAR($A135),MONTH($A135),MIN(Settings!$C$65,DAY($B135))))&lt;=MIN($C135,IF(Settings!$E$65="",$C135,Settings!$E$65))),1,0))</f>
        <v/>
      </c>
      <c r="FI135">
        <f>IF($DT135=1,IF(OR(Settings!$B$19="Card",Settings!$B$19="Loan"),N($AE135),0)+IF(OR(Settings!$B$20="Card",Settings!$B$20="Loan"),N($AF135),0)+IF(OR(Settings!$B$21="Card",Settings!$B$21="Loan"),N($AG135),0)+IF(OR(Settings!$B$22="Card",Settings!$B$22="Loan"),N($AH135),0)+IF(OR(Settings!$B$23="Card",Settings!$B$23="Loan"),N($AI135),0)+IF(OR(Settings!$B$24="Card",Settings!$B$24="Loan"),N($AJ135),0)+IF(OR(Settings!$B$25="Card",Settings!$B$25="Loan"),N($AK135),0)+IF(OR(Settings!$B$26="Card",Settings!$B$26="Loan"),N($AL135),0)+IF(OR(Settings!$B$27="Card",Settings!$B$27="Loan"),N($AM135),0)+IF(OR(Settings!$B$28="Card",Settings!$B$28="Loan"),N($AN135),0)+IF(OR(Settings!$B$29="Card",Settings!$B$29="Loan"),N($AO135),0)+IF(OR(Settings!$B$30="Card",Settings!$B$30="Loan"),N($AP135),0)+IF(OR(Settings!$B$31="Card",Settings!$B$31="Loan"),N($AQ135),0)+IF(OR(Settings!$B$32="Card",Settings!$B$32="Loan"),N($AR135),0),"")</f>
        <v/>
      </c>
      <c r="FJ135">
        <f>IF($E135="open",$EB$65,IF($E135="post",IF($E134="pre",$EB$65,$FI134),""))</f>
        <v/>
      </c>
      <c r="FK135">
        <f>IF(AND($DT135=1,$DC135=1),IF(ROUND($FI135-$FJ135,2)&gt;0,1,0),0)</f>
        <v/>
      </c>
      <c r="FL135">
        <f>IF($FK135=1,$FL134+1,0)</f>
        <v/>
      </c>
    </row>
    <row r="136">
      <c r="A136">
        <f>'Month-End'!$EC$4</f>
        <v/>
      </c>
      <c r="B136">
        <f>EOMONTH($A136,0)</f>
        <v/>
      </c>
      <c r="C136">
        <f>MIN($B136,TODAY())</f>
        <v/>
      </c>
      <c r="D136">
        <f>IF($A136&gt;TODAY(),1,0)</f>
        <v/>
      </c>
      <c r="E136">
        <f>IF($B136&lt;=Settings!$B$5,"pre",IF($A136&lt;=Settings!$B$5,"open","post"))</f>
        <v/>
      </c>
      <c r="G136">
        <f>IF('Month-End'!$EC$22="",$BE136,N('Month-End'!$EC$22))</f>
        <v/>
      </c>
      <c r="H136">
        <f>IF('Month-End'!$EC$23="",$BF136,N('Month-End'!$EC$23))</f>
        <v/>
      </c>
      <c r="I136">
        <f>IF('Month-End'!$EC$24="",$BG136,N('Month-End'!$EC$24))</f>
        <v/>
      </c>
      <c r="J136">
        <f>IF('Month-End'!$EC$25="",$BH136,N('Month-End'!$EC$25))</f>
        <v/>
      </c>
      <c r="K136">
        <f>IF('Month-End'!$EC$26="",$BI136,N('Month-End'!$EC$26))</f>
        <v/>
      </c>
      <c r="L136">
        <f>IF('Month-End'!$EC$27="",$BJ136,N('Month-End'!$EC$27))</f>
        <v/>
      </c>
      <c r="M136">
        <f>IF('Month-End'!$EC$28="",$BK136,N('Month-End'!$EC$28))</f>
        <v/>
      </c>
      <c r="N136">
        <f>IF('Month-End'!$EC$29="",$BL136,N('Month-End'!$EC$29))</f>
        <v/>
      </c>
      <c r="O136">
        <f>IF('Month-End'!$EC$30="",$BM136,N('Month-End'!$EC$30))</f>
        <v/>
      </c>
      <c r="P136">
        <f>IF('Month-End'!$EC$31="",$BN136,N('Month-End'!$EC$31))</f>
        <v/>
      </c>
      <c r="Q136">
        <f>IF('Month-End'!$EC$32="",$BO136,N('Month-End'!$EC$32))</f>
        <v/>
      </c>
      <c r="R136">
        <f>IF('Month-End'!$EC$33="",$BP136,N('Month-End'!$EC$33))</f>
        <v/>
      </c>
      <c r="S136">
        <f>$G136+$H136+$I136+$J136+$K136+$L136+$M136+$N136+$O136+$P136+$Q136+$R136</f>
        <v/>
      </c>
      <c r="T136">
        <f>IF($B136&lt;Settings!$B$6,0,IF(Settings!$B$45="Yes",$G136,0)+IF(Settings!$B$46="Yes",$H136,0)+IF(Settings!$B$47="Yes",$I136,0)+IF(Settings!$B$48="Yes",$J136,0)+IF(Settings!$B$49="Yes",$K136,0)+IF(Settings!$B$50="Yes",$L136,0)+IF(Settings!$B$51="Yes",$M136,0)+IF(Settings!$B$52="Yes",$N136,0)+IF(Settings!$B$53="Yes",$O136,0)+IF(Settings!$B$54="Yes",$P136,0)+IF(Settings!$B$55="Yes",$Q136,0)+IF(Settings!$B$56="Yes",$R136,0))</f>
        <v/>
      </c>
      <c r="U136">
        <f>IF(Settings!$B$45="Not Sure",$G136,0)+IF(Settings!$B$46="Not Sure",$H136,0)+IF(Settings!$B$47="Not Sure",$I136,0)+IF(Settings!$B$48="Not Sure",$J136,0)+IF(Settings!$B$49="Not Sure",$K136,0)+IF(Settings!$B$50="Not Sure",$L136,0)+IF(Settings!$B$51="Not Sure",$M136,0)+IF(Settings!$B$52="Not Sure",$N136,0)+IF(Settings!$B$53="Not Sure",$O136,0)+IF(Settings!$B$54="Not Sure",$P136,0)+IF(Settings!$B$55="Not Sure",$Q136,0)+IF(Settings!$B$56="Not Sure",$R136,0)</f>
        <v/>
      </c>
      <c r="V136">
        <f>IF($E136="open",SUM($ET136:$FE136)+N(Settings!$B$13),0)</f>
        <v/>
      </c>
      <c r="W136">
        <f>IF($E136="post",$S136,IF($E136="open",$S136-$V136,0))</f>
        <v/>
      </c>
      <c r="X136">
        <f>SUMIFS(Giving!$B$7:$B$2006,Giving!$A$7:$A$2006,"&gt;="&amp;$A136,Giving!$A$7:$A$2006,"&lt;="&amp;$B136,Giving!$E$7:$E$2006,"&lt;&gt;No")</f>
        <v/>
      </c>
      <c r="Y136">
        <f>SUMIFS(Giving!$B$7:$B$2006,Giving!$A$7:$A$2006,"&gt;="&amp;$A136,Giving!$A$7:$A$2006,"&lt;="&amp;$B136,Giving!$E$7:$E$2006,"No")</f>
        <v/>
      </c>
      <c r="Z136">
        <f>IF(OR(Settings!$B$60="",Settings!$F$60="No"),0,Settings!$B$60*IF(AND(IF(Settings!$C$60="",$B136,DATE(YEAR($A136),MONTH($A136),MIN(Settings!$C$60,DAY($B136))))&gt;=MAX($A136,Settings!$D$60),IF(Settings!$C$60="",$B136,DATE(YEAR($A136),MONTH($A136),MIN(Settings!$C$60,DAY($B136))))&lt;=MIN($C136,IF(Settings!$E$60="",$C136,Settings!$E$60))),1,0))+IF(OR(Settings!$B$61="",Settings!$F$61="No"),0,Settings!$B$61*IF(AND(IF(Settings!$C$61="",$B136,DATE(YEAR($A136),MONTH($A136),MIN(Settings!$C$61,DAY($B136))))&gt;=MAX($A136,Settings!$D$61),IF(Settings!$C$61="",$B136,DATE(YEAR($A136),MONTH($A136),MIN(Settings!$C$61,DAY($B136))))&lt;=MIN($C136,IF(Settings!$E$61="",$C136,Settings!$E$61))),1,0))+IF(OR(Settings!$B$62="",Settings!$F$62="No"),0,Settings!$B$62*IF(AND(IF(Settings!$C$62="",$B136,DATE(YEAR($A136),MONTH($A136),MIN(Settings!$C$62,DAY($B136))))&gt;=MAX($A136,Settings!$D$62),IF(Settings!$C$62="",$B136,DATE(YEAR($A136),MONTH($A136),MIN(Settings!$C$62,DAY($B136))))&lt;=MIN($C136,IF(Settings!$E$62="",$C136,Settings!$E$62))),1,0))+IF(OR(Settings!$B$63="",Settings!$F$63="No"),0,Settings!$B$63*IF(AND(IF(Settings!$C$63="",$B136,DATE(YEAR($A136),MONTH($A136),MIN(Settings!$C$63,DAY($B136))))&gt;=MAX($A136,Settings!$D$63),IF(Settings!$C$63="",$B136,DATE(YEAR($A136),MONTH($A136),MIN(Settings!$C$63,DAY($B136))))&lt;=MIN($C136,IF(Settings!$E$63="",$C136,Settings!$E$63))),1,0))+IF(OR(Settings!$B$64="",Settings!$F$64="No"),0,Settings!$B$64*IF(AND(IF(Settings!$C$64="",$B136,DATE(YEAR($A136),MONTH($A136),MIN(Settings!$C$64,DAY($B136))))&gt;=MAX($A136,Settings!$D$64),IF(Settings!$C$64="",$B136,DATE(YEAR($A136),MONTH($A136),MIN(Settings!$C$64,DAY($B136))))&lt;=MIN($C136,IF(Settings!$E$64="",$C136,Settings!$E$64))),1,0))+IF(OR(Settings!$B$65="",Settings!$F$65="No"),0,Settings!$B$65*IF(AND(IF(Settings!$C$65="",$B136,DATE(YEAR($A136),MONTH($A136),MIN(Settings!$C$65,DAY($B136))))&gt;=MAX($A136,Settings!$D$65),IF(Settings!$C$65="",$B136,DATE(YEAR($A136),MONTH($A136),MIN(Settings!$C$65,DAY($B136))))&lt;=MIN($C136,IF(Settings!$E$65="",$C136,Settings!$E$65))),1,0))</f>
        <v/>
      </c>
      <c r="AA136">
        <f>$X136+$Z136</f>
        <v/>
      </c>
      <c r="AB136">
        <f>IF($E136="post",$AA136,IF($E136="open",SUMIFS(Giving!$B$7:$B$2006,Giving!$A$7:$A$2006,"&gt;"&amp;Settings!$B$5,Giving!$A$7:$A$2006,"&lt;="&amp;$B136,Giving!$E$7:$E$2006,"&lt;&gt;No")+IF(OR(Settings!$B$60="",Settings!$F$60="No"),0,Settings!$B$60*IF(AND(IF(Settings!$C$60="",$B136,DATE(YEAR($A136),MONTH($A136),MIN(Settings!$C$60,DAY($B136))))&gt;=MAX($A136,Settings!$D$60,Settings!$B$5+1),IF(Settings!$C$60="",$B136,DATE(YEAR($A136),MONTH($A136),MIN(Settings!$C$60,DAY($B136))))&lt;=MIN($C136,IF(Settings!$E$60="",$C136,Settings!$E$60))),1,0))+IF(OR(Settings!$B$61="",Settings!$F$61="No"),0,Settings!$B$61*IF(AND(IF(Settings!$C$61="",$B136,DATE(YEAR($A136),MONTH($A136),MIN(Settings!$C$61,DAY($B136))))&gt;=MAX($A136,Settings!$D$61,Settings!$B$5+1),IF(Settings!$C$61="",$B136,DATE(YEAR($A136),MONTH($A136),MIN(Settings!$C$61,DAY($B136))))&lt;=MIN($C136,IF(Settings!$E$61="",$C136,Settings!$E$61))),1,0))+IF(OR(Settings!$B$62="",Settings!$F$62="No"),0,Settings!$B$62*IF(AND(IF(Settings!$C$62="",$B136,DATE(YEAR($A136),MONTH($A136),MIN(Settings!$C$62,DAY($B136))))&gt;=MAX($A136,Settings!$D$62,Settings!$B$5+1),IF(Settings!$C$62="",$B136,DATE(YEAR($A136),MONTH($A136),MIN(Settings!$C$62,DAY($B136))))&lt;=MIN($C136,IF(Settings!$E$62="",$C136,Settings!$E$62))),1,0))+IF(OR(Settings!$B$63="",Settings!$F$63="No"),0,Settings!$B$63*IF(AND(IF(Settings!$C$63="",$B136,DATE(YEAR($A136),MONTH($A136),MIN(Settings!$C$63,DAY($B136))))&gt;=MAX($A136,Settings!$D$63,Settings!$B$5+1),IF(Settings!$C$63="",$B136,DATE(YEAR($A136),MONTH($A136),MIN(Settings!$C$63,DAY($B136))))&lt;=MIN($C136,IF(Settings!$E$63="",$C136,Settings!$E$63))),1,0))+IF(OR(Settings!$B$64="",Settings!$F$64="No"),0,Settings!$B$64*IF(AND(IF(Settings!$C$64="",$B136,DATE(YEAR($A136),MONTH($A136),MIN(Settings!$C$64,DAY($B136))))&gt;=MAX($A136,Settings!$D$64,Settings!$B$5+1),IF(Settings!$C$64="",$B136,DATE(YEAR($A136),MONTH($A136),MIN(Settings!$C$64,DAY($B136))))&lt;=MIN($C136,IF(Settings!$E$64="",$C136,Settings!$E$64))),1,0))+IF(OR(Settings!$B$65="",Settings!$F$65="No"),0,Settings!$B$65*IF(AND(IF(Settings!$C$65="",$B136,DATE(YEAR($A136),MONTH($A136),MIN(Settings!$C$65,DAY($B136))))&gt;=MAX($A136,Settings!$D$65,Settings!$B$5+1),IF(Settings!$C$65="",$B136,DATE(YEAR($A136),MONTH($A136),MIN(Settings!$C$65,DAY($B136))))&lt;=MIN($C136,IF(Settings!$E$65="",$C136,Settings!$E$65))),1,0)),0))</f>
        <v/>
      </c>
      <c r="AC136">
        <f>$AY136+$AZ136+$BA136+$BB136+$BC136+$BD136</f>
        <v/>
      </c>
      <c r="AD136">
        <f>$AC136</f>
        <v/>
      </c>
      <c r="AE136">
        <f>IF(OR(Settings!$A$19="",$E136="pre"),"",IF(AND('Month-End'!$EC$7&lt;&gt;"",NOT(_xlfn.ISFORMULA('Month-End'!$EC$7))),N('Month-End'!$EC$7),IF(OR($E136="open",$E135="pre"),N(Settings!$C$19),N($AE135))))</f>
        <v/>
      </c>
      <c r="AF136">
        <f>IF(OR(Settings!$A$20="",$E136="pre"),"",IF(AND('Month-End'!$EC$8&lt;&gt;"",NOT(_xlfn.ISFORMULA('Month-End'!$EC$8))),N('Month-End'!$EC$8),IF(OR($E136="open",$E135="pre"),N(Settings!$C$20),N($AF135))))</f>
        <v/>
      </c>
      <c r="AG136">
        <f>IF(OR(Settings!$A$21="",$E136="pre"),"",IF(AND('Month-End'!$EC$9&lt;&gt;"",NOT(_xlfn.ISFORMULA('Month-End'!$EC$9))),N('Month-End'!$EC$9),IF(OR($E136="open",$E135="pre"),N(Settings!$C$21),N($AG135))))</f>
        <v/>
      </c>
      <c r="AH136">
        <f>IF(OR(Settings!$A$22="",$E136="pre"),"",IF(AND('Month-End'!$EC$10&lt;&gt;"",NOT(_xlfn.ISFORMULA('Month-End'!$EC$10))),N('Month-End'!$EC$10),IF(OR($E136="open",$E135="pre"),N(Settings!$C$22),N($AH135))))</f>
        <v/>
      </c>
      <c r="AI136">
        <f>IF(OR(Settings!$A$23="",$E136="pre"),"",IF(AND('Month-End'!$EC$11&lt;&gt;"",NOT(_xlfn.ISFORMULA('Month-End'!$EC$11))),N('Month-End'!$EC$11),IF(OR($E136="open",$E135="pre"),N(Settings!$C$23),N($AI135))))</f>
        <v/>
      </c>
      <c r="AJ136">
        <f>IF(OR(Settings!$A$24="",$E136="pre"),"",IF(AND('Month-End'!$EC$12&lt;&gt;"",NOT(_xlfn.ISFORMULA('Month-End'!$EC$12))),N('Month-End'!$EC$12),IF(OR($E136="open",$E135="pre"),N(Settings!$C$24),N($AJ135))))</f>
        <v/>
      </c>
      <c r="AK136">
        <f>IF(OR(Settings!$A$25="",$E136="pre"),"",IF(AND('Month-End'!$EC$13&lt;&gt;"",NOT(_xlfn.ISFORMULA('Month-End'!$EC$13))),N('Month-End'!$EC$13),IF(OR($E136="open",$E135="pre"),N(Settings!$C$25),N($AK135))))</f>
        <v/>
      </c>
      <c r="AL136">
        <f>IF(OR(Settings!$A$26="",$E136="pre"),"",IF(AND('Month-End'!$EC$14&lt;&gt;"",NOT(_xlfn.ISFORMULA('Month-End'!$EC$14))),N('Month-End'!$EC$14),IF(OR($E136="open",$E135="pre"),N(Settings!$C$26),N($AL135))))</f>
        <v/>
      </c>
      <c r="AM136">
        <f>IF(OR(Settings!$A$27="",$E136="pre"),"",IF(AND('Month-End'!$EC$15&lt;&gt;"",NOT(_xlfn.ISFORMULA('Month-End'!$EC$15))),N('Month-End'!$EC$15),IF(OR($E136="open",$E135="pre"),N(Settings!$C$27),N($AM135))))</f>
        <v/>
      </c>
      <c r="AN136">
        <f>IF(OR(Settings!$A$28="",$E136="pre"),"",IF(AND('Month-End'!$EC$16&lt;&gt;"",NOT(_xlfn.ISFORMULA('Month-End'!$EC$16))),N('Month-End'!$EC$16),IF(OR($E136="open",$E135="pre"),N(Settings!$C$28),N($AN135))))</f>
        <v/>
      </c>
      <c r="AO136">
        <f>IF(OR(Settings!$A$29="",$E136="pre"),"",IF(AND('Month-End'!$EC$17&lt;&gt;"",NOT(_xlfn.ISFORMULA('Month-End'!$EC$17))),N('Month-End'!$EC$17),IF(OR($E136="open",$E135="pre"),N(Settings!$C$29),N($AO135))))</f>
        <v/>
      </c>
      <c r="AP136">
        <f>IF(OR(Settings!$A$30="",$E136="pre"),"",IF(AND('Month-End'!$EC$18&lt;&gt;"",NOT(_xlfn.ISFORMULA('Month-End'!$EC$18))),N('Month-End'!$EC$18),IF(OR($E136="open",$E135="pre"),N(Settings!$C$30),N($AP135))))</f>
        <v/>
      </c>
      <c r="AQ136">
        <f>IF(OR(Settings!$A$31="",$E136="pre"),"",IF(AND('Month-End'!$EC$19&lt;&gt;"",NOT(_xlfn.ISFORMULA('Month-End'!$EC$19))),N('Month-End'!$EC$19),IF(OR($E136="open",$E135="pre"),N(Settings!$C$31),N($AQ135))))</f>
        <v/>
      </c>
      <c r="AR136">
        <f>IF(OR(Settings!$A$32="",$E136="pre"),"",IF(AND('Month-End'!$EC$20&lt;&gt;"",NOT(_xlfn.ISFORMULA('Month-End'!$EC$20))),N('Month-End'!$EC$20),IF(OR($E136="open",$E135="pre"),N(Settings!$C$32),N($AR135))))</f>
        <v/>
      </c>
      <c r="AS136">
        <f>IF(OR(Settings!$A$36="",$E136="pre"),"",IF(AND('Month-End'!$EC$38&lt;&gt;"",NOT(_xlfn.ISFORMULA('Month-End'!$EC$38))),N('Month-End'!$EC$38),IF(OR($E136="open",$E135="pre"),N(Settings!$C$36),N($AS135))+$AY136))</f>
        <v/>
      </c>
      <c r="AT136">
        <f>IF(OR(Settings!$A$37="",$E136="pre"),"",IF(AND('Month-End'!$EC$39&lt;&gt;"",NOT(_xlfn.ISFORMULA('Month-End'!$EC$39))),N('Month-End'!$EC$39),IF(OR($E136="open",$E135="pre"),N(Settings!$C$37),N($AT135))+$AZ136))</f>
        <v/>
      </c>
      <c r="AU136">
        <f>IF(OR(Settings!$A$38="",$E136="pre"),"",IF(AND('Month-End'!$EC$40&lt;&gt;"",NOT(_xlfn.ISFORMULA('Month-End'!$EC$40))),N('Month-End'!$EC$40),IF(OR($E136="open",$E135="pre"),N(Settings!$C$38),N($AU135))+$BA136))</f>
        <v/>
      </c>
      <c r="AV136">
        <f>IF(OR(Settings!$A$39="",$E136="pre"),"",IF(AND('Month-End'!$EC$41&lt;&gt;"",NOT(_xlfn.ISFORMULA('Month-End'!$EC$41))),N('Month-End'!$EC$41),IF(OR($E136="open",$E135="pre"),N(Settings!$C$39),N($AV135))+$BB136))</f>
        <v/>
      </c>
      <c r="AW136">
        <f>IF(OR(Settings!$A$40="",$E136="pre"),"",IF(AND('Month-End'!$EC$42&lt;&gt;"",NOT(_xlfn.ISFORMULA('Month-End'!$EC$42))),N('Month-End'!$EC$42),IF(OR($E136="open",$E135="pre"),N(Settings!$C$40),N($AW135))+$BC136))</f>
        <v/>
      </c>
      <c r="AX136">
        <f>IF(OR(Settings!$A$41="",$E136="pre"),"",IF(AND('Month-End'!$EC$43&lt;&gt;"",NOT(_xlfn.ISFORMULA('Month-End'!$EC$43))),N('Month-End'!$EC$43),IF(OR($E136="open",$E135="pre"),N(Settings!$C$41),N($AX135))+$BD136))</f>
        <v/>
      </c>
      <c r="AY136">
        <f>IF($E136="pre",0,N('Month-End'!$EC$45))</f>
        <v/>
      </c>
      <c r="AZ136">
        <f>IF($E136="pre",0,N('Month-End'!$EC$46))</f>
        <v/>
      </c>
      <c r="BA136">
        <f>IF($E136="pre",0,N('Month-End'!$EC$47))</f>
        <v/>
      </c>
      <c r="BB136">
        <f>IF($E136="pre",0,N('Month-End'!$EC$48))</f>
        <v/>
      </c>
      <c r="BC136">
        <f>IF($E136="pre",0,N('Month-End'!$EC$49))</f>
        <v/>
      </c>
      <c r="BD136">
        <f>IF($E136="pre",0,N('Month-End'!$EC$50))</f>
        <v/>
      </c>
      <c r="BE136">
        <f>IF(OR(Settings!$C$45="",Settings!$D$45=""),0,Settings!$C$45*IF(Settings!$D$45="Weekly",IF(IFERROR(MATCH(Settings!$E$45,$EO$4:$EO$10,0),0)=0,0,IF(MIN($C136,IF(Settings!$G$45="",$C136,Settings!$G$45))&lt;MAX($A136,Settings!$F$45),0,INT((MIN($C136,IF(Settings!$G$45="",$C136,Settings!$G$45))-MAX($A136,Settings!$F$45)-MOD(IFERROR(MATCH(Settings!$E$45,$EO$4:$EO$10,0),0)-WEEKDAY(MAX($A136,Settings!$F$45)),7))/7)+1)),IF(AND(IF(Settings!$E$45="",$B136,DATE(YEAR($A136),MONTH($A136),MIN(Settings!$E$45,DAY($B136))))&gt;=MAX($A136,Settings!$F$45),IF(Settings!$E$45="",$B136,DATE(YEAR($A136),MONTH($A136),MIN(Settings!$E$45,DAY($B136))))&lt;=MIN($C136,IF(Settings!$G$45="",$C136,Settings!$G$45))),1,0)))</f>
        <v/>
      </c>
      <c r="BF136">
        <f>IF(OR(Settings!$C$46="",Settings!$D$46=""),0,Settings!$C$46*IF(Settings!$D$46="Weekly",IF(IFERROR(MATCH(Settings!$E$46,$EO$4:$EO$10,0),0)=0,0,IF(MIN($C136,IF(Settings!$G$46="",$C136,Settings!$G$46))&lt;MAX($A136,Settings!$F$46),0,INT((MIN($C136,IF(Settings!$G$46="",$C136,Settings!$G$46))-MAX($A136,Settings!$F$46)-MOD(IFERROR(MATCH(Settings!$E$46,$EO$4:$EO$10,0),0)-WEEKDAY(MAX($A136,Settings!$F$46)),7))/7)+1)),IF(AND(IF(Settings!$E$46="",$B136,DATE(YEAR($A136),MONTH($A136),MIN(Settings!$E$46,DAY($B136))))&gt;=MAX($A136,Settings!$F$46),IF(Settings!$E$46="",$B136,DATE(YEAR($A136),MONTH($A136),MIN(Settings!$E$46,DAY($B136))))&lt;=MIN($C136,IF(Settings!$G$46="",$C136,Settings!$G$46))),1,0)))</f>
        <v/>
      </c>
      <c r="BG136">
        <f>IF(OR(Settings!$C$47="",Settings!$D$47=""),0,Settings!$C$47*IF(Settings!$D$47="Weekly",IF(IFERROR(MATCH(Settings!$E$47,$EO$4:$EO$10,0),0)=0,0,IF(MIN($C136,IF(Settings!$G$47="",$C136,Settings!$G$47))&lt;MAX($A136,Settings!$F$47),0,INT((MIN($C136,IF(Settings!$G$47="",$C136,Settings!$G$47))-MAX($A136,Settings!$F$47)-MOD(IFERROR(MATCH(Settings!$E$47,$EO$4:$EO$10,0),0)-WEEKDAY(MAX($A136,Settings!$F$47)),7))/7)+1)),IF(AND(IF(Settings!$E$47="",$B136,DATE(YEAR($A136),MONTH($A136),MIN(Settings!$E$47,DAY($B136))))&gt;=MAX($A136,Settings!$F$47),IF(Settings!$E$47="",$B136,DATE(YEAR($A136),MONTH($A136),MIN(Settings!$E$47,DAY($B136))))&lt;=MIN($C136,IF(Settings!$G$47="",$C136,Settings!$G$47))),1,0)))</f>
        <v/>
      </c>
      <c r="BH136">
        <f>IF(OR(Settings!$C$48="",Settings!$D$48=""),0,Settings!$C$48*IF(Settings!$D$48="Weekly",IF(IFERROR(MATCH(Settings!$E$48,$EO$4:$EO$10,0),0)=0,0,IF(MIN($C136,IF(Settings!$G$48="",$C136,Settings!$G$48))&lt;MAX($A136,Settings!$F$48),0,INT((MIN($C136,IF(Settings!$G$48="",$C136,Settings!$G$48))-MAX($A136,Settings!$F$48)-MOD(IFERROR(MATCH(Settings!$E$48,$EO$4:$EO$10,0),0)-WEEKDAY(MAX($A136,Settings!$F$48)),7))/7)+1)),IF(AND(IF(Settings!$E$48="",$B136,DATE(YEAR($A136),MONTH($A136),MIN(Settings!$E$48,DAY($B136))))&gt;=MAX($A136,Settings!$F$48),IF(Settings!$E$48="",$B136,DATE(YEAR($A136),MONTH($A136),MIN(Settings!$E$48,DAY($B136))))&lt;=MIN($C136,IF(Settings!$G$48="",$C136,Settings!$G$48))),1,0)))</f>
        <v/>
      </c>
      <c r="BI136">
        <f>IF(OR(Settings!$C$49="",Settings!$D$49=""),0,Settings!$C$49*IF(Settings!$D$49="Weekly",IF(IFERROR(MATCH(Settings!$E$49,$EO$4:$EO$10,0),0)=0,0,IF(MIN($C136,IF(Settings!$G$49="",$C136,Settings!$G$49))&lt;MAX($A136,Settings!$F$49),0,INT((MIN($C136,IF(Settings!$G$49="",$C136,Settings!$G$49))-MAX($A136,Settings!$F$49)-MOD(IFERROR(MATCH(Settings!$E$49,$EO$4:$EO$10,0),0)-WEEKDAY(MAX($A136,Settings!$F$49)),7))/7)+1)),IF(AND(IF(Settings!$E$49="",$B136,DATE(YEAR($A136),MONTH($A136),MIN(Settings!$E$49,DAY($B136))))&gt;=MAX($A136,Settings!$F$49),IF(Settings!$E$49="",$B136,DATE(YEAR($A136),MONTH($A136),MIN(Settings!$E$49,DAY($B136))))&lt;=MIN($C136,IF(Settings!$G$49="",$C136,Settings!$G$49))),1,0)))</f>
        <v/>
      </c>
      <c r="BJ136">
        <f>IF(OR(Settings!$C$50="",Settings!$D$50=""),0,Settings!$C$50*IF(Settings!$D$50="Weekly",IF(IFERROR(MATCH(Settings!$E$50,$EO$4:$EO$10,0),0)=0,0,IF(MIN($C136,IF(Settings!$G$50="",$C136,Settings!$G$50))&lt;MAX($A136,Settings!$F$50),0,INT((MIN($C136,IF(Settings!$G$50="",$C136,Settings!$G$50))-MAX($A136,Settings!$F$50)-MOD(IFERROR(MATCH(Settings!$E$50,$EO$4:$EO$10,0),0)-WEEKDAY(MAX($A136,Settings!$F$50)),7))/7)+1)),IF(AND(IF(Settings!$E$50="",$B136,DATE(YEAR($A136),MONTH($A136),MIN(Settings!$E$50,DAY($B136))))&gt;=MAX($A136,Settings!$F$50),IF(Settings!$E$50="",$B136,DATE(YEAR($A136),MONTH($A136),MIN(Settings!$E$50,DAY($B136))))&lt;=MIN($C136,IF(Settings!$G$50="",$C136,Settings!$G$50))),1,0)))</f>
        <v/>
      </c>
      <c r="BK136">
        <f>IF(OR(Settings!$C$51="",Settings!$D$51=""),0,Settings!$C$51*IF(Settings!$D$51="Weekly",IF(IFERROR(MATCH(Settings!$E$51,$EO$4:$EO$10,0),0)=0,0,IF(MIN($C136,IF(Settings!$G$51="",$C136,Settings!$G$51))&lt;MAX($A136,Settings!$F$51),0,INT((MIN($C136,IF(Settings!$G$51="",$C136,Settings!$G$51))-MAX($A136,Settings!$F$51)-MOD(IFERROR(MATCH(Settings!$E$51,$EO$4:$EO$10,0),0)-WEEKDAY(MAX($A136,Settings!$F$51)),7))/7)+1)),IF(AND(IF(Settings!$E$51="",$B136,DATE(YEAR($A136),MONTH($A136),MIN(Settings!$E$51,DAY($B136))))&gt;=MAX($A136,Settings!$F$51),IF(Settings!$E$51="",$B136,DATE(YEAR($A136),MONTH($A136),MIN(Settings!$E$51,DAY($B136))))&lt;=MIN($C136,IF(Settings!$G$51="",$C136,Settings!$G$51))),1,0)))</f>
        <v/>
      </c>
      <c r="BL136">
        <f>IF(OR(Settings!$C$52="",Settings!$D$52=""),0,Settings!$C$52*IF(Settings!$D$52="Weekly",IF(IFERROR(MATCH(Settings!$E$52,$EO$4:$EO$10,0),0)=0,0,IF(MIN($C136,IF(Settings!$G$52="",$C136,Settings!$G$52))&lt;MAX($A136,Settings!$F$52),0,INT((MIN($C136,IF(Settings!$G$52="",$C136,Settings!$G$52))-MAX($A136,Settings!$F$52)-MOD(IFERROR(MATCH(Settings!$E$52,$EO$4:$EO$10,0),0)-WEEKDAY(MAX($A136,Settings!$F$52)),7))/7)+1)),IF(AND(IF(Settings!$E$52="",$B136,DATE(YEAR($A136),MONTH($A136),MIN(Settings!$E$52,DAY($B136))))&gt;=MAX($A136,Settings!$F$52),IF(Settings!$E$52="",$B136,DATE(YEAR($A136),MONTH($A136),MIN(Settings!$E$52,DAY($B136))))&lt;=MIN($C136,IF(Settings!$G$52="",$C136,Settings!$G$52))),1,0)))</f>
        <v/>
      </c>
      <c r="BM136">
        <f>IF(OR(Settings!$C$53="",Settings!$D$53=""),0,Settings!$C$53*IF(Settings!$D$53="Weekly",IF(IFERROR(MATCH(Settings!$E$53,$EO$4:$EO$10,0),0)=0,0,IF(MIN($C136,IF(Settings!$G$53="",$C136,Settings!$G$53))&lt;MAX($A136,Settings!$F$53),0,INT((MIN($C136,IF(Settings!$G$53="",$C136,Settings!$G$53))-MAX($A136,Settings!$F$53)-MOD(IFERROR(MATCH(Settings!$E$53,$EO$4:$EO$10,0),0)-WEEKDAY(MAX($A136,Settings!$F$53)),7))/7)+1)),IF(AND(IF(Settings!$E$53="",$B136,DATE(YEAR($A136),MONTH($A136),MIN(Settings!$E$53,DAY($B136))))&gt;=MAX($A136,Settings!$F$53),IF(Settings!$E$53="",$B136,DATE(YEAR($A136),MONTH($A136),MIN(Settings!$E$53,DAY($B136))))&lt;=MIN($C136,IF(Settings!$G$53="",$C136,Settings!$G$53))),1,0)))</f>
        <v/>
      </c>
      <c r="BN136">
        <f>IF(OR(Settings!$C$54="",Settings!$D$54=""),0,Settings!$C$54*IF(Settings!$D$54="Weekly",IF(IFERROR(MATCH(Settings!$E$54,$EO$4:$EO$10,0),0)=0,0,IF(MIN($C136,IF(Settings!$G$54="",$C136,Settings!$G$54))&lt;MAX($A136,Settings!$F$54),0,INT((MIN($C136,IF(Settings!$G$54="",$C136,Settings!$G$54))-MAX($A136,Settings!$F$54)-MOD(IFERROR(MATCH(Settings!$E$54,$EO$4:$EO$10,0),0)-WEEKDAY(MAX($A136,Settings!$F$54)),7))/7)+1)),IF(AND(IF(Settings!$E$54="",$B136,DATE(YEAR($A136),MONTH($A136),MIN(Settings!$E$54,DAY($B136))))&gt;=MAX($A136,Settings!$F$54),IF(Settings!$E$54="",$B136,DATE(YEAR($A136),MONTH($A136),MIN(Settings!$E$54,DAY($B136))))&lt;=MIN($C136,IF(Settings!$G$54="",$C136,Settings!$G$54))),1,0)))</f>
        <v/>
      </c>
      <c r="BO136">
        <f>IF(OR(Settings!$C$55="",Settings!$D$55=""),0,Settings!$C$55*IF(Settings!$D$55="Weekly",IF(IFERROR(MATCH(Settings!$E$55,$EO$4:$EO$10,0),0)=0,0,IF(MIN($C136,IF(Settings!$G$55="",$C136,Settings!$G$55))&lt;MAX($A136,Settings!$F$55),0,INT((MIN($C136,IF(Settings!$G$55="",$C136,Settings!$G$55))-MAX($A136,Settings!$F$55)-MOD(IFERROR(MATCH(Settings!$E$55,$EO$4:$EO$10,0),0)-WEEKDAY(MAX($A136,Settings!$F$55)),7))/7)+1)),IF(AND(IF(Settings!$E$55="",$B136,DATE(YEAR($A136),MONTH($A136),MIN(Settings!$E$55,DAY($B136))))&gt;=MAX($A136,Settings!$F$55),IF(Settings!$E$55="",$B136,DATE(YEAR($A136),MONTH($A136),MIN(Settings!$E$55,DAY($B136))))&lt;=MIN($C136,IF(Settings!$G$55="",$C136,Settings!$G$55))),1,0)))</f>
        <v/>
      </c>
      <c r="BP136">
        <f>IF(OR(Settings!$C$56="",Settings!$D$56=""),0,Settings!$C$56*IF(Settings!$D$56="Weekly",IF(IFERROR(MATCH(Settings!$E$56,$EO$4:$EO$10,0),0)=0,0,IF(MIN($C136,IF(Settings!$G$56="",$C136,Settings!$G$56))&lt;MAX($A136,Settings!$F$56),0,INT((MIN($C136,IF(Settings!$G$56="",$C136,Settings!$G$56))-MAX($A136,Settings!$F$56)-MOD(IFERROR(MATCH(Settings!$E$56,$EO$4:$EO$10,0),0)-WEEKDAY(MAX($A136,Settings!$F$56)),7))/7)+1)),IF(AND(IF(Settings!$E$56="",$B136,DATE(YEAR($A136),MONTH($A136),MIN(Settings!$E$56,DAY($B136))))&gt;=MAX($A136,Settings!$F$56),IF(Settings!$E$56="",$B136,DATE(YEAR($A136),MONTH($A136),MIN(Settings!$E$56,DAY($B136))))&lt;=MIN($C136,IF(Settings!$G$56="",$C136,Settings!$G$56))),1,0)))</f>
        <v/>
      </c>
      <c r="BQ136">
        <f>IF(OR(Settings!$B$14="",$D136=1,$E136="pre",$A136&lt;IF(Settings!$B$15="",0,Settings!$B$15)),0,Settings!$B$14)</f>
        <v/>
      </c>
      <c r="BR136">
        <f>IF(AND('Month-End'!$EC$7&lt;&gt;"",NOT(_xlfn.ISFORMULA('Month-End'!$EC$7))),1,0)</f>
        <v/>
      </c>
      <c r="BS136">
        <f>IF(AND('Month-End'!$EC$8&lt;&gt;"",NOT(_xlfn.ISFORMULA('Month-End'!$EC$8))),1,0)</f>
        <v/>
      </c>
      <c r="BT136">
        <f>IF(AND('Month-End'!$EC$9&lt;&gt;"",NOT(_xlfn.ISFORMULA('Month-End'!$EC$9))),1,0)</f>
        <v/>
      </c>
      <c r="BU136">
        <f>IF(AND('Month-End'!$EC$10&lt;&gt;"",NOT(_xlfn.ISFORMULA('Month-End'!$EC$10))),1,0)</f>
        <v/>
      </c>
      <c r="BV136">
        <f>IF(AND('Month-End'!$EC$11&lt;&gt;"",NOT(_xlfn.ISFORMULA('Month-End'!$EC$11))),1,0)</f>
        <v/>
      </c>
      <c r="BW136">
        <f>IF(AND('Month-End'!$EC$12&lt;&gt;"",NOT(_xlfn.ISFORMULA('Month-End'!$EC$12))),1,0)</f>
        <v/>
      </c>
      <c r="BX136">
        <f>IF(AND('Month-End'!$EC$13&lt;&gt;"",NOT(_xlfn.ISFORMULA('Month-End'!$EC$13))),1,0)</f>
        <v/>
      </c>
      <c r="BY136">
        <f>IF(AND('Month-End'!$EC$14&lt;&gt;"",NOT(_xlfn.ISFORMULA('Month-End'!$EC$14))),1,0)</f>
        <v/>
      </c>
      <c r="BZ136">
        <f>IF(AND('Month-End'!$EC$15&lt;&gt;"",NOT(_xlfn.ISFORMULA('Month-End'!$EC$15))),1,0)</f>
        <v/>
      </c>
      <c r="CA136">
        <f>IF(AND('Month-End'!$EC$16&lt;&gt;"",NOT(_xlfn.ISFORMULA('Month-End'!$EC$16))),1,0)</f>
        <v/>
      </c>
      <c r="CB136">
        <f>IF(AND('Month-End'!$EC$17&lt;&gt;"",NOT(_xlfn.ISFORMULA('Month-End'!$EC$17))),1,0)</f>
        <v/>
      </c>
      <c r="CC136">
        <f>IF(AND('Month-End'!$EC$18&lt;&gt;"",NOT(_xlfn.ISFORMULA('Month-End'!$EC$18))),1,0)</f>
        <v/>
      </c>
      <c r="CD136">
        <f>IF(AND('Month-End'!$EC$19&lt;&gt;"",NOT(_xlfn.ISFORMULA('Month-End'!$EC$19))),1,0)</f>
        <v/>
      </c>
      <c r="CE136">
        <f>IF(AND('Month-End'!$EC$20&lt;&gt;"",NOT(_xlfn.ISFORMULA('Month-End'!$EC$20))),1,0)</f>
        <v/>
      </c>
      <c r="CF136">
        <f>IF(AND('Month-End'!$EC$38&lt;&gt;"",NOT(_xlfn.ISFORMULA('Month-End'!$EC$38))),1,0)</f>
        <v/>
      </c>
      <c r="CG136">
        <f>IF(AND('Month-End'!$EC$39&lt;&gt;"",NOT(_xlfn.ISFORMULA('Month-End'!$EC$39))),1,0)</f>
        <v/>
      </c>
      <c r="CH136">
        <f>IF(AND('Month-End'!$EC$40&lt;&gt;"",NOT(_xlfn.ISFORMULA('Month-End'!$EC$40))),1,0)</f>
        <v/>
      </c>
      <c r="CI136">
        <f>IF(AND('Month-End'!$EC$41&lt;&gt;"",NOT(_xlfn.ISFORMULA('Month-End'!$EC$41))),1,0)</f>
        <v/>
      </c>
      <c r="CJ136">
        <f>IF(AND('Month-End'!$EC$42&lt;&gt;"",NOT(_xlfn.ISFORMULA('Month-End'!$EC$42))),1,0)</f>
        <v/>
      </c>
      <c r="CK136">
        <f>IF(AND('Month-End'!$EC$43&lt;&gt;"",NOT(_xlfn.ISFORMULA('Month-End'!$EC$43))),1,0)</f>
        <v/>
      </c>
      <c r="CL136">
        <f>SUM($CM136:$CZ136)</f>
        <v/>
      </c>
      <c r="CM136">
        <f>IF(AND($E136&lt;&gt;"pre",AND(Settings!$A$19&lt;&gt;"",Settings!$E$19&lt;&gt;"No"),Settings!$F$19="Yes",NOT(AND('Month-End'!$EC$7&lt;&gt;"",NOT(_xlfn.ISFORMULA('Month-End'!$EC$7))))),1,0)</f>
        <v/>
      </c>
      <c r="CN136">
        <f>IF(AND($E136&lt;&gt;"pre",AND(Settings!$A$20&lt;&gt;"",Settings!$E$20&lt;&gt;"No"),Settings!$F$20="Yes",NOT(AND('Month-End'!$EC$8&lt;&gt;"",NOT(_xlfn.ISFORMULA('Month-End'!$EC$8))))),1,0)</f>
        <v/>
      </c>
      <c r="CO136">
        <f>IF(AND($E136&lt;&gt;"pre",AND(Settings!$A$21&lt;&gt;"",Settings!$E$21&lt;&gt;"No"),Settings!$F$21="Yes",NOT(AND('Month-End'!$EC$9&lt;&gt;"",NOT(_xlfn.ISFORMULA('Month-End'!$EC$9))))),1,0)</f>
        <v/>
      </c>
      <c r="CP136">
        <f>IF(AND($E136&lt;&gt;"pre",AND(Settings!$A$22&lt;&gt;"",Settings!$E$22&lt;&gt;"No"),Settings!$F$22="Yes",NOT(AND('Month-End'!$EC$10&lt;&gt;"",NOT(_xlfn.ISFORMULA('Month-End'!$EC$10))))),1,0)</f>
        <v/>
      </c>
      <c r="CQ136">
        <f>IF(AND($E136&lt;&gt;"pre",AND(Settings!$A$23&lt;&gt;"",Settings!$E$23&lt;&gt;"No"),Settings!$F$23="Yes",NOT(AND('Month-End'!$EC$11&lt;&gt;"",NOT(_xlfn.ISFORMULA('Month-End'!$EC$11))))),1,0)</f>
        <v/>
      </c>
      <c r="CR136">
        <f>IF(AND($E136&lt;&gt;"pre",AND(Settings!$A$24&lt;&gt;"",Settings!$E$24&lt;&gt;"No"),Settings!$F$24="Yes",NOT(AND('Month-End'!$EC$12&lt;&gt;"",NOT(_xlfn.ISFORMULA('Month-End'!$EC$12))))),1,0)</f>
        <v/>
      </c>
      <c r="CS136">
        <f>IF(AND($E136&lt;&gt;"pre",AND(Settings!$A$25&lt;&gt;"",Settings!$E$25&lt;&gt;"No"),Settings!$F$25="Yes",NOT(AND('Month-End'!$EC$13&lt;&gt;"",NOT(_xlfn.ISFORMULA('Month-End'!$EC$13))))),1,0)</f>
        <v/>
      </c>
      <c r="CT136">
        <f>IF(AND($E136&lt;&gt;"pre",AND(Settings!$A$26&lt;&gt;"",Settings!$E$26&lt;&gt;"No"),Settings!$F$26="Yes",NOT(AND('Month-End'!$EC$14&lt;&gt;"",NOT(_xlfn.ISFORMULA('Month-End'!$EC$14))))),1,0)</f>
        <v/>
      </c>
      <c r="CU136">
        <f>IF(AND($E136&lt;&gt;"pre",AND(Settings!$A$27&lt;&gt;"",Settings!$E$27&lt;&gt;"No"),Settings!$F$27="Yes",NOT(AND('Month-End'!$EC$15&lt;&gt;"",NOT(_xlfn.ISFORMULA('Month-End'!$EC$15))))),1,0)</f>
        <v/>
      </c>
      <c r="CV136">
        <f>IF(AND($E136&lt;&gt;"pre",AND(Settings!$A$28&lt;&gt;"",Settings!$E$28&lt;&gt;"No"),Settings!$F$28="Yes",NOT(AND('Month-End'!$EC$16&lt;&gt;"",NOT(_xlfn.ISFORMULA('Month-End'!$EC$16))))),1,0)</f>
        <v/>
      </c>
      <c r="CW136">
        <f>IF(AND($E136&lt;&gt;"pre",AND(Settings!$A$29&lt;&gt;"",Settings!$E$29&lt;&gt;"No"),Settings!$F$29="Yes",NOT(AND('Month-End'!$EC$17&lt;&gt;"",NOT(_xlfn.ISFORMULA('Month-End'!$EC$17))))),1,0)</f>
        <v/>
      </c>
      <c r="CX136">
        <f>IF(AND($E136&lt;&gt;"pre",AND(Settings!$A$30&lt;&gt;"",Settings!$E$30&lt;&gt;"No"),Settings!$F$30="Yes",NOT(AND('Month-End'!$EC$18&lt;&gt;"",NOT(_xlfn.ISFORMULA('Month-End'!$EC$18))))),1,0)</f>
        <v/>
      </c>
      <c r="CY136">
        <f>IF(AND($E136&lt;&gt;"pre",AND(Settings!$A$31&lt;&gt;"",Settings!$E$31&lt;&gt;"No"),Settings!$F$31="Yes",NOT(AND('Month-End'!$EC$19&lt;&gt;"",NOT(_xlfn.ISFORMULA('Month-End'!$EC$19))))),1,0)</f>
        <v/>
      </c>
      <c r="CZ136">
        <f>IF(AND($E136&lt;&gt;"pre",AND(Settings!$A$32&lt;&gt;"",Settings!$E$32&lt;&gt;"No"),Settings!$F$32="Yes",NOT(AND('Month-End'!$EC$20&lt;&gt;"",NOT(_xlfn.ISFORMULA('Month-End'!$EC$20))))),1,0)</f>
        <v/>
      </c>
      <c r="DA136">
        <f>IF($DT136=1,IF(OR(Settings!$B$19="Checking",Settings!$B$19="Savings",Settings!$B$19="Cash"),N($AE136),IF(OR(Settings!$B$19="Card",Settings!$B$19="Loan"),-N($AE136),0))+IF(OR(Settings!$B$20="Checking",Settings!$B$20="Savings",Settings!$B$20="Cash"),N($AF136),IF(OR(Settings!$B$20="Card",Settings!$B$20="Loan"),-N($AF136),0))+IF(OR(Settings!$B$21="Checking",Settings!$B$21="Savings",Settings!$B$21="Cash"),N($AG136),IF(OR(Settings!$B$21="Card",Settings!$B$21="Loan"),-N($AG136),0))+IF(OR(Settings!$B$22="Checking",Settings!$B$22="Savings",Settings!$B$22="Cash"),N($AH136),IF(OR(Settings!$B$22="Card",Settings!$B$22="Loan"),-N($AH136),0))+IF(OR(Settings!$B$23="Checking",Settings!$B$23="Savings",Settings!$B$23="Cash"),N($AI136),IF(OR(Settings!$B$23="Card",Settings!$B$23="Loan"),-N($AI136),0))+IF(OR(Settings!$B$24="Checking",Settings!$B$24="Savings",Settings!$B$24="Cash"),N($AJ136),IF(OR(Settings!$B$24="Card",Settings!$B$24="Loan"),-N($AJ136),0))+IF(OR(Settings!$B$25="Checking",Settings!$B$25="Savings",Settings!$B$25="Cash"),N($AK136),IF(OR(Settings!$B$25="Card",Settings!$B$25="Loan"),-N($AK136),0))+IF(OR(Settings!$B$26="Checking",Settings!$B$26="Savings",Settings!$B$26="Cash"),N($AL136),IF(OR(Settings!$B$26="Card",Settings!$B$26="Loan"),-N($AL136),0))+IF(OR(Settings!$B$27="Checking",Settings!$B$27="Savings",Settings!$B$27="Cash"),N($AM136),IF(OR(Settings!$B$27="Card",Settings!$B$27="Loan"),-N($AM136),0))+IF(OR(Settings!$B$28="Checking",Settings!$B$28="Savings",Settings!$B$28="Cash"),N($AN136),IF(OR(Settings!$B$28="Card",Settings!$B$28="Loan"),-N($AN136),0))+IF(OR(Settings!$B$29="Checking",Settings!$B$29="Savings",Settings!$B$29="Cash"),N($AO136),IF(OR(Settings!$B$29="Card",Settings!$B$29="Loan"),-N($AO136),0))+IF(OR(Settings!$B$30="Checking",Settings!$B$30="Savings",Settings!$B$30="Cash"),N($AP136),IF(OR(Settings!$B$30="Card",Settings!$B$30="Loan"),-N($AP136),0))+IF(OR(Settings!$B$31="Checking",Settings!$B$31="Savings",Settings!$B$31="Cash"),N($AQ136),IF(OR(Settings!$B$31="Card",Settings!$B$31="Loan"),-N($AQ136),0))+IF(OR(Settings!$B$32="Checking",Settings!$B$32="Savings",Settings!$B$32="Cash"),N($AR136),IF(OR(Settings!$B$32="Card",Settings!$B$32="Loan"),-N($AR136),0)),"")</f>
        <v/>
      </c>
      <c r="DB136">
        <f>IF($E136="open",$EB$27,IF($E136="post",IF($E135="pre",$EB$27,$DA135),""))</f>
        <v/>
      </c>
      <c r="DC136">
        <f>IF($E136="open",1,IF($E136="post",IF($E135="pre",1,$DT135),0))</f>
        <v/>
      </c>
      <c r="DD136">
        <f>IF(AND($DT136=1,$DC136=1),ROUND($W136-($DA136-$DB136)-$AD136-$AB136,2),"")</f>
        <v/>
      </c>
      <c r="DE136">
        <f>IF('Month-End'!$EC$35="",$BQ136,N('Month-End'!$EC$35))</f>
        <v/>
      </c>
      <c r="DF136">
        <f>N('Month-End'!$EC$36)</f>
        <v/>
      </c>
      <c r="DG136">
        <f>IF($DD136="","",$DD136+$DE136)</f>
        <v/>
      </c>
      <c r="DH136">
        <f>IF($DG136="","",$DG136-$DF136)</f>
        <v/>
      </c>
      <c r="DI136">
        <f>IF(OR($E136="pre",$D136=1),"",N($AS136)+N($AT136)+N($AU136)+N($AV136)+N($AW136)+N($AX136))</f>
        <v/>
      </c>
      <c r="DJ136">
        <f>IF($DT136=1,$DA136+N($DI136),"")</f>
        <v/>
      </c>
      <c r="DK136">
        <f>IF($DD136="","",$W136-$DD136-$AB136)</f>
        <v/>
      </c>
      <c r="DL136">
        <f>IF(AND($E136="post",$DD136&lt;&gt;"",$B136&lt;TODAY()),1,0)</f>
        <v/>
      </c>
      <c r="DM136">
        <f>IF($DL136=1,COUNTIF($DL136:$DL$183,1),0)</f>
        <v/>
      </c>
      <c r="DN136">
        <f>IF($D136=1,"",IF($E136="pre","History only",IF($DT136=1,IF($DD136="","⚠ Previous month missing",IF($DD136&lt;0,"⚠ Check: spending &lt; 0",IF($E136="open","✓ Done (partial)","✓ Done"))),IF($B136&gt;=TODAY(),"In progress","⚠ Needs balances"))))</f>
        <v/>
      </c>
      <c r="DO136">
        <f>YEAR($A136)</f>
        <v/>
      </c>
      <c r="DP136">
        <f>DATE(YEAR($A136),INT((MONTH($A136)-1)/3)*3+1,1)</f>
        <v/>
      </c>
      <c r="DQ136">
        <f>IF(AND($DT136=1,$DD136&lt;&gt;"",$D136=0),ROW(),0)</f>
        <v/>
      </c>
      <c r="DR136">
        <f>IF(AND($E136&lt;&gt;"pre",$B136&lt;TODAY(),$DT136=0),1,0)</f>
        <v/>
      </c>
      <c r="DS136">
        <f>IF($DJ136="",NA(),$DJ136)</f>
        <v/>
      </c>
      <c r="DT136">
        <f>IF(AND($E136&lt;&gt;"pre",$CL136=0,COUNTIFS(Settings!$F$19:$F$32,"Yes",Settings!$A$19:$A$32,"&lt;&gt;",Settings!$E$19:$E$32,"&lt;&gt;No")&gt;0),1,0)</f>
        <v/>
      </c>
      <c r="DU136">
        <f>IF(AND($B136&lt;TODAY(),$S136&gt;0),1,0)</f>
        <v/>
      </c>
      <c r="DV136">
        <f>IF($DU136=1,COUNTIF($DU136:$DU$183,1),0)</f>
        <v/>
      </c>
      <c r="DW136">
        <f>IF(AND(OR(Settings!$B$19="Card",Settings!$B$19="Loan"),AND('Month-End'!$EC$7&lt;&gt;"",NOT(_xlfn.ISFORMULA('Month-End'!$EC$7)))),IF(N('Month-End'!$EC$7)&lt;0,1,0),0)+IF(AND(OR(Settings!$B$20="Card",Settings!$B$20="Loan"),AND('Month-End'!$EC$8&lt;&gt;"",NOT(_xlfn.ISFORMULA('Month-End'!$EC$8)))),IF(N('Month-End'!$EC$8)&lt;0,1,0),0)+IF(AND(OR(Settings!$B$21="Card",Settings!$B$21="Loan"),AND('Month-End'!$EC$9&lt;&gt;"",NOT(_xlfn.ISFORMULA('Month-End'!$EC$9)))),IF(N('Month-End'!$EC$9)&lt;0,1,0),0)+IF(AND(OR(Settings!$B$22="Card",Settings!$B$22="Loan"),AND('Month-End'!$EC$10&lt;&gt;"",NOT(_xlfn.ISFORMULA('Month-End'!$EC$10)))),IF(N('Month-End'!$EC$10)&lt;0,1,0),0)+IF(AND(OR(Settings!$B$23="Card",Settings!$B$23="Loan"),AND('Month-End'!$EC$11&lt;&gt;"",NOT(_xlfn.ISFORMULA('Month-End'!$EC$11)))),IF(N('Month-End'!$EC$11)&lt;0,1,0),0)+IF(AND(OR(Settings!$B$24="Card",Settings!$B$24="Loan"),AND('Month-End'!$EC$12&lt;&gt;"",NOT(_xlfn.ISFORMULA('Month-End'!$EC$12)))),IF(N('Month-End'!$EC$12)&lt;0,1,0),0)+IF(AND(OR(Settings!$B$25="Card",Settings!$B$25="Loan"),AND('Month-End'!$EC$13&lt;&gt;"",NOT(_xlfn.ISFORMULA('Month-End'!$EC$13)))),IF(N('Month-End'!$EC$13)&lt;0,1,0),0)+IF(AND(OR(Settings!$B$26="Card",Settings!$B$26="Loan"),AND('Month-End'!$EC$14&lt;&gt;"",NOT(_xlfn.ISFORMULA('Month-End'!$EC$14)))),IF(N('Month-End'!$EC$14)&lt;0,1,0),0)+IF(AND(OR(Settings!$B$27="Card",Settings!$B$27="Loan"),AND('Month-End'!$EC$15&lt;&gt;"",NOT(_xlfn.ISFORMULA('Month-End'!$EC$15)))),IF(N('Month-End'!$EC$15)&lt;0,1,0),0)+IF(AND(OR(Settings!$B$28="Card",Settings!$B$28="Loan"),AND('Month-End'!$EC$16&lt;&gt;"",NOT(_xlfn.ISFORMULA('Month-End'!$EC$16)))),IF(N('Month-End'!$EC$16)&lt;0,1,0),0)+IF(AND(OR(Settings!$B$29="Card",Settings!$B$29="Loan"),AND('Month-End'!$EC$17&lt;&gt;"",NOT(_xlfn.ISFORMULA('Month-End'!$EC$17)))),IF(N('Month-End'!$EC$17)&lt;0,1,0),0)+IF(AND(OR(Settings!$B$30="Card",Settings!$B$30="Loan"),AND('Month-End'!$EC$18&lt;&gt;"",NOT(_xlfn.ISFORMULA('Month-End'!$EC$18)))),IF(N('Month-End'!$EC$18)&lt;0,1,0),0)+IF(AND(OR(Settings!$B$31="Card",Settings!$B$31="Loan"),AND('Month-End'!$EC$19&lt;&gt;"",NOT(_xlfn.ISFORMULA('Month-End'!$EC$19)))),IF(N('Month-End'!$EC$19)&lt;0,1,0),0)+IF(AND(OR(Settings!$B$32="Card",Settings!$B$32="Loan"),AND('Month-End'!$EC$20&lt;&gt;"",NOT(_xlfn.ISFORMULA('Month-End'!$EC$20)))),IF(N('Month-End'!$EC$20)&lt;0,1,0),0)</f>
        <v/>
      </c>
      <c r="DX136">
        <f>IF(Settings!$B$36="Retirement",$AY136,0)+IF(Settings!$B$37="Retirement",$AZ136,0)+IF(Settings!$B$38="Retirement",$BA136,0)+IF(Settings!$B$39="Retirement",$BB136,0)+IF(Settings!$B$40="Retirement",$BC136,0)+IF(Settings!$B$41="Retirement",$BD136,0)</f>
        <v/>
      </c>
      <c r="ET136">
        <f>IF($E136&lt;&gt;"open",0,IF(AND('Month-End'!$EC$22&lt;&gt;"",NOT(_xlfn.ISFORMULA('Month-End'!$EC$22))),0,IF(OR(Settings!$C$45="",Settings!$D$45=""),0,Settings!$C$45*IF(Settings!$D$45="Weekly",IF(IFERROR(MATCH(Settings!$E$45,$EO$4:$EO$10,0),0)=0,0,IF(MIN(Settings!$B$5,IF(Settings!$G$45="",Settings!$B$5,Settings!$G$45))&lt;MAX($A136,Settings!$F$45),0,INT((MIN(Settings!$B$5,IF(Settings!$G$45="",Settings!$B$5,Settings!$G$45))-MAX($A136,Settings!$F$45)-MOD(IFERROR(MATCH(Settings!$E$45,$EO$4:$EO$10,0),0)-WEEKDAY(MAX($A136,Settings!$F$45)),7))/7)+1)),IF(AND(IF(Settings!$E$45="",$B136,DATE(YEAR($A136),MONTH($A136),MIN(Settings!$E$45,DAY($B136))))&gt;=MAX($A136,Settings!$F$45),IF(Settings!$E$45="",$B136,DATE(YEAR($A136),MONTH($A136),MIN(Settings!$E$45,DAY($B136))))&lt;=MIN(Settings!$B$5,IF(Settings!$G$45="",Settings!$B$5,Settings!$G$45))),1,0)))))</f>
        <v/>
      </c>
      <c r="EU136">
        <f>IF($E136&lt;&gt;"open",0,IF(AND('Month-End'!$EC$23&lt;&gt;"",NOT(_xlfn.ISFORMULA('Month-End'!$EC$23))),0,IF(OR(Settings!$C$46="",Settings!$D$46=""),0,Settings!$C$46*IF(Settings!$D$46="Weekly",IF(IFERROR(MATCH(Settings!$E$46,$EO$4:$EO$10,0),0)=0,0,IF(MIN(Settings!$B$5,IF(Settings!$G$46="",Settings!$B$5,Settings!$G$46))&lt;MAX($A136,Settings!$F$46),0,INT((MIN(Settings!$B$5,IF(Settings!$G$46="",Settings!$B$5,Settings!$G$46))-MAX($A136,Settings!$F$46)-MOD(IFERROR(MATCH(Settings!$E$46,$EO$4:$EO$10,0),0)-WEEKDAY(MAX($A136,Settings!$F$46)),7))/7)+1)),IF(AND(IF(Settings!$E$46="",$B136,DATE(YEAR($A136),MONTH($A136),MIN(Settings!$E$46,DAY($B136))))&gt;=MAX($A136,Settings!$F$46),IF(Settings!$E$46="",$B136,DATE(YEAR($A136),MONTH($A136),MIN(Settings!$E$46,DAY($B136))))&lt;=MIN(Settings!$B$5,IF(Settings!$G$46="",Settings!$B$5,Settings!$G$46))),1,0)))))</f>
        <v/>
      </c>
      <c r="EV136">
        <f>IF($E136&lt;&gt;"open",0,IF(AND('Month-End'!$EC$24&lt;&gt;"",NOT(_xlfn.ISFORMULA('Month-End'!$EC$24))),0,IF(OR(Settings!$C$47="",Settings!$D$47=""),0,Settings!$C$47*IF(Settings!$D$47="Weekly",IF(IFERROR(MATCH(Settings!$E$47,$EO$4:$EO$10,0),0)=0,0,IF(MIN(Settings!$B$5,IF(Settings!$G$47="",Settings!$B$5,Settings!$G$47))&lt;MAX($A136,Settings!$F$47),0,INT((MIN(Settings!$B$5,IF(Settings!$G$47="",Settings!$B$5,Settings!$G$47))-MAX($A136,Settings!$F$47)-MOD(IFERROR(MATCH(Settings!$E$47,$EO$4:$EO$10,0),0)-WEEKDAY(MAX($A136,Settings!$F$47)),7))/7)+1)),IF(AND(IF(Settings!$E$47="",$B136,DATE(YEAR($A136),MONTH($A136),MIN(Settings!$E$47,DAY($B136))))&gt;=MAX($A136,Settings!$F$47),IF(Settings!$E$47="",$B136,DATE(YEAR($A136),MONTH($A136),MIN(Settings!$E$47,DAY($B136))))&lt;=MIN(Settings!$B$5,IF(Settings!$G$47="",Settings!$B$5,Settings!$G$47))),1,0)))))</f>
        <v/>
      </c>
      <c r="EW136">
        <f>IF($E136&lt;&gt;"open",0,IF(AND('Month-End'!$EC$25&lt;&gt;"",NOT(_xlfn.ISFORMULA('Month-End'!$EC$25))),0,IF(OR(Settings!$C$48="",Settings!$D$48=""),0,Settings!$C$48*IF(Settings!$D$48="Weekly",IF(IFERROR(MATCH(Settings!$E$48,$EO$4:$EO$10,0),0)=0,0,IF(MIN(Settings!$B$5,IF(Settings!$G$48="",Settings!$B$5,Settings!$G$48))&lt;MAX($A136,Settings!$F$48),0,INT((MIN(Settings!$B$5,IF(Settings!$G$48="",Settings!$B$5,Settings!$G$48))-MAX($A136,Settings!$F$48)-MOD(IFERROR(MATCH(Settings!$E$48,$EO$4:$EO$10,0),0)-WEEKDAY(MAX($A136,Settings!$F$48)),7))/7)+1)),IF(AND(IF(Settings!$E$48="",$B136,DATE(YEAR($A136),MONTH($A136),MIN(Settings!$E$48,DAY($B136))))&gt;=MAX($A136,Settings!$F$48),IF(Settings!$E$48="",$B136,DATE(YEAR($A136),MONTH($A136),MIN(Settings!$E$48,DAY($B136))))&lt;=MIN(Settings!$B$5,IF(Settings!$G$48="",Settings!$B$5,Settings!$G$48))),1,0)))))</f>
        <v/>
      </c>
      <c r="EX136">
        <f>IF($E136&lt;&gt;"open",0,IF(AND('Month-End'!$EC$26&lt;&gt;"",NOT(_xlfn.ISFORMULA('Month-End'!$EC$26))),0,IF(OR(Settings!$C$49="",Settings!$D$49=""),0,Settings!$C$49*IF(Settings!$D$49="Weekly",IF(IFERROR(MATCH(Settings!$E$49,$EO$4:$EO$10,0),0)=0,0,IF(MIN(Settings!$B$5,IF(Settings!$G$49="",Settings!$B$5,Settings!$G$49))&lt;MAX($A136,Settings!$F$49),0,INT((MIN(Settings!$B$5,IF(Settings!$G$49="",Settings!$B$5,Settings!$G$49))-MAX($A136,Settings!$F$49)-MOD(IFERROR(MATCH(Settings!$E$49,$EO$4:$EO$10,0),0)-WEEKDAY(MAX($A136,Settings!$F$49)),7))/7)+1)),IF(AND(IF(Settings!$E$49="",$B136,DATE(YEAR($A136),MONTH($A136),MIN(Settings!$E$49,DAY($B136))))&gt;=MAX($A136,Settings!$F$49),IF(Settings!$E$49="",$B136,DATE(YEAR($A136),MONTH($A136),MIN(Settings!$E$49,DAY($B136))))&lt;=MIN(Settings!$B$5,IF(Settings!$G$49="",Settings!$B$5,Settings!$G$49))),1,0)))))</f>
        <v/>
      </c>
      <c r="EY136">
        <f>IF($E136&lt;&gt;"open",0,IF(AND('Month-End'!$EC$27&lt;&gt;"",NOT(_xlfn.ISFORMULA('Month-End'!$EC$27))),0,IF(OR(Settings!$C$50="",Settings!$D$50=""),0,Settings!$C$50*IF(Settings!$D$50="Weekly",IF(IFERROR(MATCH(Settings!$E$50,$EO$4:$EO$10,0),0)=0,0,IF(MIN(Settings!$B$5,IF(Settings!$G$50="",Settings!$B$5,Settings!$G$50))&lt;MAX($A136,Settings!$F$50),0,INT((MIN(Settings!$B$5,IF(Settings!$G$50="",Settings!$B$5,Settings!$G$50))-MAX($A136,Settings!$F$50)-MOD(IFERROR(MATCH(Settings!$E$50,$EO$4:$EO$10,0),0)-WEEKDAY(MAX($A136,Settings!$F$50)),7))/7)+1)),IF(AND(IF(Settings!$E$50="",$B136,DATE(YEAR($A136),MONTH($A136),MIN(Settings!$E$50,DAY($B136))))&gt;=MAX($A136,Settings!$F$50),IF(Settings!$E$50="",$B136,DATE(YEAR($A136),MONTH($A136),MIN(Settings!$E$50,DAY($B136))))&lt;=MIN(Settings!$B$5,IF(Settings!$G$50="",Settings!$B$5,Settings!$G$50))),1,0)))))</f>
        <v/>
      </c>
      <c r="EZ136">
        <f>IF($E136&lt;&gt;"open",0,IF(AND('Month-End'!$EC$28&lt;&gt;"",NOT(_xlfn.ISFORMULA('Month-End'!$EC$28))),0,IF(OR(Settings!$C$51="",Settings!$D$51=""),0,Settings!$C$51*IF(Settings!$D$51="Weekly",IF(IFERROR(MATCH(Settings!$E$51,$EO$4:$EO$10,0),0)=0,0,IF(MIN(Settings!$B$5,IF(Settings!$G$51="",Settings!$B$5,Settings!$G$51))&lt;MAX($A136,Settings!$F$51),0,INT((MIN(Settings!$B$5,IF(Settings!$G$51="",Settings!$B$5,Settings!$G$51))-MAX($A136,Settings!$F$51)-MOD(IFERROR(MATCH(Settings!$E$51,$EO$4:$EO$10,0),0)-WEEKDAY(MAX($A136,Settings!$F$51)),7))/7)+1)),IF(AND(IF(Settings!$E$51="",$B136,DATE(YEAR($A136),MONTH($A136),MIN(Settings!$E$51,DAY($B136))))&gt;=MAX($A136,Settings!$F$51),IF(Settings!$E$51="",$B136,DATE(YEAR($A136),MONTH($A136),MIN(Settings!$E$51,DAY($B136))))&lt;=MIN(Settings!$B$5,IF(Settings!$G$51="",Settings!$B$5,Settings!$G$51))),1,0)))))</f>
        <v/>
      </c>
      <c r="FA136">
        <f>IF($E136&lt;&gt;"open",0,IF(AND('Month-End'!$EC$29&lt;&gt;"",NOT(_xlfn.ISFORMULA('Month-End'!$EC$29))),0,IF(OR(Settings!$C$52="",Settings!$D$52=""),0,Settings!$C$52*IF(Settings!$D$52="Weekly",IF(IFERROR(MATCH(Settings!$E$52,$EO$4:$EO$10,0),0)=0,0,IF(MIN(Settings!$B$5,IF(Settings!$G$52="",Settings!$B$5,Settings!$G$52))&lt;MAX($A136,Settings!$F$52),0,INT((MIN(Settings!$B$5,IF(Settings!$G$52="",Settings!$B$5,Settings!$G$52))-MAX($A136,Settings!$F$52)-MOD(IFERROR(MATCH(Settings!$E$52,$EO$4:$EO$10,0),0)-WEEKDAY(MAX($A136,Settings!$F$52)),7))/7)+1)),IF(AND(IF(Settings!$E$52="",$B136,DATE(YEAR($A136),MONTH($A136),MIN(Settings!$E$52,DAY($B136))))&gt;=MAX($A136,Settings!$F$52),IF(Settings!$E$52="",$B136,DATE(YEAR($A136),MONTH($A136),MIN(Settings!$E$52,DAY($B136))))&lt;=MIN(Settings!$B$5,IF(Settings!$G$52="",Settings!$B$5,Settings!$G$52))),1,0)))))</f>
        <v/>
      </c>
      <c r="FB136">
        <f>IF($E136&lt;&gt;"open",0,IF(AND('Month-End'!$EC$30&lt;&gt;"",NOT(_xlfn.ISFORMULA('Month-End'!$EC$30))),0,IF(OR(Settings!$C$53="",Settings!$D$53=""),0,Settings!$C$53*IF(Settings!$D$53="Weekly",IF(IFERROR(MATCH(Settings!$E$53,$EO$4:$EO$10,0),0)=0,0,IF(MIN(Settings!$B$5,IF(Settings!$G$53="",Settings!$B$5,Settings!$G$53))&lt;MAX($A136,Settings!$F$53),0,INT((MIN(Settings!$B$5,IF(Settings!$G$53="",Settings!$B$5,Settings!$G$53))-MAX($A136,Settings!$F$53)-MOD(IFERROR(MATCH(Settings!$E$53,$EO$4:$EO$10,0),0)-WEEKDAY(MAX($A136,Settings!$F$53)),7))/7)+1)),IF(AND(IF(Settings!$E$53="",$B136,DATE(YEAR($A136),MONTH($A136),MIN(Settings!$E$53,DAY($B136))))&gt;=MAX($A136,Settings!$F$53),IF(Settings!$E$53="",$B136,DATE(YEAR($A136),MONTH($A136),MIN(Settings!$E$53,DAY($B136))))&lt;=MIN(Settings!$B$5,IF(Settings!$G$53="",Settings!$B$5,Settings!$G$53))),1,0)))))</f>
        <v/>
      </c>
      <c r="FC136">
        <f>IF($E136&lt;&gt;"open",0,IF(AND('Month-End'!$EC$31&lt;&gt;"",NOT(_xlfn.ISFORMULA('Month-End'!$EC$31))),0,IF(OR(Settings!$C$54="",Settings!$D$54=""),0,Settings!$C$54*IF(Settings!$D$54="Weekly",IF(IFERROR(MATCH(Settings!$E$54,$EO$4:$EO$10,0),0)=0,0,IF(MIN(Settings!$B$5,IF(Settings!$G$54="",Settings!$B$5,Settings!$G$54))&lt;MAX($A136,Settings!$F$54),0,INT((MIN(Settings!$B$5,IF(Settings!$G$54="",Settings!$B$5,Settings!$G$54))-MAX($A136,Settings!$F$54)-MOD(IFERROR(MATCH(Settings!$E$54,$EO$4:$EO$10,0),0)-WEEKDAY(MAX($A136,Settings!$F$54)),7))/7)+1)),IF(AND(IF(Settings!$E$54="",$B136,DATE(YEAR($A136),MONTH($A136),MIN(Settings!$E$54,DAY($B136))))&gt;=MAX($A136,Settings!$F$54),IF(Settings!$E$54="",$B136,DATE(YEAR($A136),MONTH($A136),MIN(Settings!$E$54,DAY($B136))))&lt;=MIN(Settings!$B$5,IF(Settings!$G$54="",Settings!$B$5,Settings!$G$54))),1,0)))))</f>
        <v/>
      </c>
      <c r="FD136">
        <f>IF($E136&lt;&gt;"open",0,IF(AND('Month-End'!$EC$32&lt;&gt;"",NOT(_xlfn.ISFORMULA('Month-End'!$EC$32))),0,IF(OR(Settings!$C$55="",Settings!$D$55=""),0,Settings!$C$55*IF(Settings!$D$55="Weekly",IF(IFERROR(MATCH(Settings!$E$55,$EO$4:$EO$10,0),0)=0,0,IF(MIN(Settings!$B$5,IF(Settings!$G$55="",Settings!$B$5,Settings!$G$55))&lt;MAX($A136,Settings!$F$55),0,INT((MIN(Settings!$B$5,IF(Settings!$G$55="",Settings!$B$5,Settings!$G$55))-MAX($A136,Settings!$F$55)-MOD(IFERROR(MATCH(Settings!$E$55,$EO$4:$EO$10,0),0)-WEEKDAY(MAX($A136,Settings!$F$55)),7))/7)+1)),IF(AND(IF(Settings!$E$55="",$B136,DATE(YEAR($A136),MONTH($A136),MIN(Settings!$E$55,DAY($B136))))&gt;=MAX($A136,Settings!$F$55),IF(Settings!$E$55="",$B136,DATE(YEAR($A136),MONTH($A136),MIN(Settings!$E$55,DAY($B136))))&lt;=MIN(Settings!$B$5,IF(Settings!$G$55="",Settings!$B$5,Settings!$G$55))),1,0)))))</f>
        <v/>
      </c>
      <c r="FE136">
        <f>IF($E136&lt;&gt;"open",0,IF(AND('Month-End'!$EC$33&lt;&gt;"",NOT(_xlfn.ISFORMULA('Month-End'!$EC$33))),0,IF(OR(Settings!$C$56="",Settings!$D$56=""),0,Settings!$C$56*IF(Settings!$D$56="Weekly",IF(IFERROR(MATCH(Settings!$E$56,$EO$4:$EO$10,0),0)=0,0,IF(MIN(Settings!$B$5,IF(Settings!$G$56="",Settings!$B$5,Settings!$G$56))&lt;MAX($A136,Settings!$F$56),0,INT((MIN(Settings!$B$5,IF(Settings!$G$56="",Settings!$B$5,Settings!$G$56))-MAX($A136,Settings!$F$56)-MOD(IFERROR(MATCH(Settings!$E$56,$EO$4:$EO$10,0),0)-WEEKDAY(MAX($A136,Settings!$F$56)),7))/7)+1)),IF(AND(IF(Settings!$E$56="",$B136,DATE(YEAR($A136),MONTH($A136),MIN(Settings!$E$56,DAY($B136))))&gt;=MAX($A136,Settings!$F$56),IF(Settings!$E$56="",$B136,DATE(YEAR($A136),MONTH($A136),MIN(Settings!$E$56,DAY($B136))))&lt;=MIN(Settings!$B$5,IF(Settings!$G$56="",Settings!$B$5,Settings!$G$56))),1,0)))))</f>
        <v/>
      </c>
      <c r="FF136">
        <f>IF(Settings!$I$45="Yes",$G136,0)+IF(Settings!$I$46="Yes",$H136,0)+IF(Settings!$I$47="Yes",$I136,0)+IF(Settings!$I$48="Yes",$J136,0)+IF(Settings!$I$49="Yes",$K136,0)+IF(Settings!$I$50="Yes",$L136,0)+IF(Settings!$I$51="Yes",$M136,0)+IF(Settings!$I$52="Yes",$N136,0)+IF(Settings!$I$53="Yes",$O136,0)+IF(Settings!$I$54="Yes",$P136,0)+IF(Settings!$I$55="Yes",$Q136,0)+IF(Settings!$I$56="Yes",$R136,0)</f>
        <v/>
      </c>
      <c r="FG136">
        <f>IF(AND(Settings!$I$45="Yes",Settings!$J$45="No"),$G136,0)+IF(AND(Settings!$I$46="Yes",Settings!$J$46="No"),$H136,0)+IF(AND(Settings!$I$47="Yes",Settings!$J$47="No"),$I136,0)+IF(AND(Settings!$I$48="Yes",Settings!$J$48="No"),$J136,0)+IF(AND(Settings!$I$49="Yes",Settings!$J$49="No"),$K136,0)+IF(AND(Settings!$I$50="Yes",Settings!$J$50="No"),$L136,0)+IF(AND(Settings!$I$51="Yes",Settings!$J$51="No"),$M136,0)+IF(AND(Settings!$I$52="Yes",Settings!$J$52="No"),$N136,0)+IF(AND(Settings!$I$53="Yes",Settings!$J$53="No"),$O136,0)+IF(AND(Settings!$I$54="Yes",Settings!$J$54="No"),$P136,0)+IF(AND(Settings!$I$55="Yes",Settings!$J$55="No"),$Q136,0)+IF(AND(Settings!$I$56="Yes",Settings!$J$56="No"),$R136,0)</f>
        <v/>
      </c>
      <c r="FH136">
        <f>SUMIFS(Giving!$B$7:$B$2006,Giving!$A$7:$A$2006,"&gt;="&amp;$A136,Giving!$A$7:$A$2006,"&lt;="&amp;$B136,Giving!$G$7:$G$2006,"Yes")+IF(OR(OR(Settings!$B$60="",Settings!$F$60="No"),Settings!$H$60&lt;&gt;"Yes"),0,Settings!$B$60*IF(AND(IF(Settings!$C$60="",$B136,DATE(YEAR($A136),MONTH($A136),MIN(Settings!$C$60,DAY($B136))))&gt;=MAX($A136,Settings!$D$60),IF(Settings!$C$60="",$B136,DATE(YEAR($A136),MONTH($A136),MIN(Settings!$C$60,DAY($B136))))&lt;=MIN($C136,IF(Settings!$E$60="",$C136,Settings!$E$60))),1,0))+IF(OR(OR(Settings!$B$61="",Settings!$F$61="No"),Settings!$H$61&lt;&gt;"Yes"),0,Settings!$B$61*IF(AND(IF(Settings!$C$61="",$B136,DATE(YEAR($A136),MONTH($A136),MIN(Settings!$C$61,DAY($B136))))&gt;=MAX($A136,Settings!$D$61),IF(Settings!$C$61="",$B136,DATE(YEAR($A136),MONTH($A136),MIN(Settings!$C$61,DAY($B136))))&lt;=MIN($C136,IF(Settings!$E$61="",$C136,Settings!$E$61))),1,0))+IF(OR(OR(Settings!$B$62="",Settings!$F$62="No"),Settings!$H$62&lt;&gt;"Yes"),0,Settings!$B$62*IF(AND(IF(Settings!$C$62="",$B136,DATE(YEAR($A136),MONTH($A136),MIN(Settings!$C$62,DAY($B136))))&gt;=MAX($A136,Settings!$D$62),IF(Settings!$C$62="",$B136,DATE(YEAR($A136),MONTH($A136),MIN(Settings!$C$62,DAY($B136))))&lt;=MIN($C136,IF(Settings!$E$62="",$C136,Settings!$E$62))),1,0))+IF(OR(OR(Settings!$B$63="",Settings!$F$63="No"),Settings!$H$63&lt;&gt;"Yes"),0,Settings!$B$63*IF(AND(IF(Settings!$C$63="",$B136,DATE(YEAR($A136),MONTH($A136),MIN(Settings!$C$63,DAY($B136))))&gt;=MAX($A136,Settings!$D$63),IF(Settings!$C$63="",$B136,DATE(YEAR($A136),MONTH($A136),MIN(Settings!$C$63,DAY($B136))))&lt;=MIN($C136,IF(Settings!$E$63="",$C136,Settings!$E$63))),1,0))+IF(OR(OR(Settings!$B$64="",Settings!$F$64="No"),Settings!$H$64&lt;&gt;"Yes"),0,Settings!$B$64*IF(AND(IF(Settings!$C$64="",$B136,DATE(YEAR($A136),MONTH($A136),MIN(Settings!$C$64,DAY($B136))))&gt;=MAX($A136,Settings!$D$64),IF(Settings!$C$64="",$B136,DATE(YEAR($A136),MONTH($A136),MIN(Settings!$C$64,DAY($B136))))&lt;=MIN($C136,IF(Settings!$E$64="",$C136,Settings!$E$64))),1,0))+IF(OR(OR(Settings!$B$65="",Settings!$F$65="No"),Settings!$H$65&lt;&gt;"Yes"),0,Settings!$B$65*IF(AND(IF(Settings!$C$65="",$B136,DATE(YEAR($A136),MONTH($A136),MIN(Settings!$C$65,DAY($B136))))&gt;=MAX($A136,Settings!$D$65),IF(Settings!$C$65="",$B136,DATE(YEAR($A136),MONTH($A136),MIN(Settings!$C$65,DAY($B136))))&lt;=MIN($C136,IF(Settings!$E$65="",$C136,Settings!$E$65))),1,0))</f>
        <v/>
      </c>
      <c r="FI136">
        <f>IF($DT136=1,IF(OR(Settings!$B$19="Card",Settings!$B$19="Loan"),N($AE136),0)+IF(OR(Settings!$B$20="Card",Settings!$B$20="Loan"),N($AF136),0)+IF(OR(Settings!$B$21="Card",Settings!$B$21="Loan"),N($AG136),0)+IF(OR(Settings!$B$22="Card",Settings!$B$22="Loan"),N($AH136),0)+IF(OR(Settings!$B$23="Card",Settings!$B$23="Loan"),N($AI136),0)+IF(OR(Settings!$B$24="Card",Settings!$B$24="Loan"),N($AJ136),0)+IF(OR(Settings!$B$25="Card",Settings!$B$25="Loan"),N($AK136),0)+IF(OR(Settings!$B$26="Card",Settings!$B$26="Loan"),N($AL136),0)+IF(OR(Settings!$B$27="Card",Settings!$B$27="Loan"),N($AM136),0)+IF(OR(Settings!$B$28="Card",Settings!$B$28="Loan"),N($AN136),0)+IF(OR(Settings!$B$29="Card",Settings!$B$29="Loan"),N($AO136),0)+IF(OR(Settings!$B$30="Card",Settings!$B$30="Loan"),N($AP136),0)+IF(OR(Settings!$B$31="Card",Settings!$B$31="Loan"),N($AQ136),0)+IF(OR(Settings!$B$32="Card",Settings!$B$32="Loan"),N($AR136),0),"")</f>
        <v/>
      </c>
      <c r="FJ136">
        <f>IF($E136="open",$EB$65,IF($E136="post",IF($E135="pre",$EB$65,$FI135),""))</f>
        <v/>
      </c>
      <c r="FK136">
        <f>IF(AND($DT136=1,$DC136=1),IF(ROUND($FI136-$FJ136,2)&gt;0,1,0),0)</f>
        <v/>
      </c>
      <c r="FL136">
        <f>IF($FK136=1,$FL135+1,0)</f>
        <v/>
      </c>
    </row>
    <row r="137">
      <c r="A137">
        <f>'Month-End'!$ED$4</f>
        <v/>
      </c>
      <c r="B137">
        <f>EOMONTH($A137,0)</f>
        <v/>
      </c>
      <c r="C137">
        <f>MIN($B137,TODAY())</f>
        <v/>
      </c>
      <c r="D137">
        <f>IF($A137&gt;TODAY(),1,0)</f>
        <v/>
      </c>
      <c r="E137">
        <f>IF($B137&lt;=Settings!$B$5,"pre",IF($A137&lt;=Settings!$B$5,"open","post"))</f>
        <v/>
      </c>
      <c r="G137">
        <f>IF('Month-End'!$ED$22="",$BE137,N('Month-End'!$ED$22))</f>
        <v/>
      </c>
      <c r="H137">
        <f>IF('Month-End'!$ED$23="",$BF137,N('Month-End'!$ED$23))</f>
        <v/>
      </c>
      <c r="I137">
        <f>IF('Month-End'!$ED$24="",$BG137,N('Month-End'!$ED$24))</f>
        <v/>
      </c>
      <c r="J137">
        <f>IF('Month-End'!$ED$25="",$BH137,N('Month-End'!$ED$25))</f>
        <v/>
      </c>
      <c r="K137">
        <f>IF('Month-End'!$ED$26="",$BI137,N('Month-End'!$ED$26))</f>
        <v/>
      </c>
      <c r="L137">
        <f>IF('Month-End'!$ED$27="",$BJ137,N('Month-End'!$ED$27))</f>
        <v/>
      </c>
      <c r="M137">
        <f>IF('Month-End'!$ED$28="",$BK137,N('Month-End'!$ED$28))</f>
        <v/>
      </c>
      <c r="N137">
        <f>IF('Month-End'!$ED$29="",$BL137,N('Month-End'!$ED$29))</f>
        <v/>
      </c>
      <c r="O137">
        <f>IF('Month-End'!$ED$30="",$BM137,N('Month-End'!$ED$30))</f>
        <v/>
      </c>
      <c r="P137">
        <f>IF('Month-End'!$ED$31="",$BN137,N('Month-End'!$ED$31))</f>
        <v/>
      </c>
      <c r="Q137">
        <f>IF('Month-End'!$ED$32="",$BO137,N('Month-End'!$ED$32))</f>
        <v/>
      </c>
      <c r="R137">
        <f>IF('Month-End'!$ED$33="",$BP137,N('Month-End'!$ED$33))</f>
        <v/>
      </c>
      <c r="S137">
        <f>$G137+$H137+$I137+$J137+$K137+$L137+$M137+$N137+$O137+$P137+$Q137+$R137</f>
        <v/>
      </c>
      <c r="T137">
        <f>IF($B137&lt;Settings!$B$6,0,IF(Settings!$B$45="Yes",$G137,0)+IF(Settings!$B$46="Yes",$H137,0)+IF(Settings!$B$47="Yes",$I137,0)+IF(Settings!$B$48="Yes",$J137,0)+IF(Settings!$B$49="Yes",$K137,0)+IF(Settings!$B$50="Yes",$L137,0)+IF(Settings!$B$51="Yes",$M137,0)+IF(Settings!$B$52="Yes",$N137,0)+IF(Settings!$B$53="Yes",$O137,0)+IF(Settings!$B$54="Yes",$P137,0)+IF(Settings!$B$55="Yes",$Q137,0)+IF(Settings!$B$56="Yes",$R137,0))</f>
        <v/>
      </c>
      <c r="U137">
        <f>IF(Settings!$B$45="Not Sure",$G137,0)+IF(Settings!$B$46="Not Sure",$H137,0)+IF(Settings!$B$47="Not Sure",$I137,0)+IF(Settings!$B$48="Not Sure",$J137,0)+IF(Settings!$B$49="Not Sure",$K137,0)+IF(Settings!$B$50="Not Sure",$L137,0)+IF(Settings!$B$51="Not Sure",$M137,0)+IF(Settings!$B$52="Not Sure",$N137,0)+IF(Settings!$B$53="Not Sure",$O137,0)+IF(Settings!$B$54="Not Sure",$P137,0)+IF(Settings!$B$55="Not Sure",$Q137,0)+IF(Settings!$B$56="Not Sure",$R137,0)</f>
        <v/>
      </c>
      <c r="V137">
        <f>IF($E137="open",SUM($ET137:$FE137)+N(Settings!$B$13),0)</f>
        <v/>
      </c>
      <c r="W137">
        <f>IF($E137="post",$S137,IF($E137="open",$S137-$V137,0))</f>
        <v/>
      </c>
      <c r="X137">
        <f>SUMIFS(Giving!$B$7:$B$2006,Giving!$A$7:$A$2006,"&gt;="&amp;$A137,Giving!$A$7:$A$2006,"&lt;="&amp;$B137,Giving!$E$7:$E$2006,"&lt;&gt;No")</f>
        <v/>
      </c>
      <c r="Y137">
        <f>SUMIFS(Giving!$B$7:$B$2006,Giving!$A$7:$A$2006,"&gt;="&amp;$A137,Giving!$A$7:$A$2006,"&lt;="&amp;$B137,Giving!$E$7:$E$2006,"No")</f>
        <v/>
      </c>
      <c r="Z137">
        <f>IF(OR(Settings!$B$60="",Settings!$F$60="No"),0,Settings!$B$60*IF(AND(IF(Settings!$C$60="",$B137,DATE(YEAR($A137),MONTH($A137),MIN(Settings!$C$60,DAY($B137))))&gt;=MAX($A137,Settings!$D$60),IF(Settings!$C$60="",$B137,DATE(YEAR($A137),MONTH($A137),MIN(Settings!$C$60,DAY($B137))))&lt;=MIN($C137,IF(Settings!$E$60="",$C137,Settings!$E$60))),1,0))+IF(OR(Settings!$B$61="",Settings!$F$61="No"),0,Settings!$B$61*IF(AND(IF(Settings!$C$61="",$B137,DATE(YEAR($A137),MONTH($A137),MIN(Settings!$C$61,DAY($B137))))&gt;=MAX($A137,Settings!$D$61),IF(Settings!$C$61="",$B137,DATE(YEAR($A137),MONTH($A137),MIN(Settings!$C$61,DAY($B137))))&lt;=MIN($C137,IF(Settings!$E$61="",$C137,Settings!$E$61))),1,0))+IF(OR(Settings!$B$62="",Settings!$F$62="No"),0,Settings!$B$62*IF(AND(IF(Settings!$C$62="",$B137,DATE(YEAR($A137),MONTH($A137),MIN(Settings!$C$62,DAY($B137))))&gt;=MAX($A137,Settings!$D$62),IF(Settings!$C$62="",$B137,DATE(YEAR($A137),MONTH($A137),MIN(Settings!$C$62,DAY($B137))))&lt;=MIN($C137,IF(Settings!$E$62="",$C137,Settings!$E$62))),1,0))+IF(OR(Settings!$B$63="",Settings!$F$63="No"),0,Settings!$B$63*IF(AND(IF(Settings!$C$63="",$B137,DATE(YEAR($A137),MONTH($A137),MIN(Settings!$C$63,DAY($B137))))&gt;=MAX($A137,Settings!$D$63),IF(Settings!$C$63="",$B137,DATE(YEAR($A137),MONTH($A137),MIN(Settings!$C$63,DAY($B137))))&lt;=MIN($C137,IF(Settings!$E$63="",$C137,Settings!$E$63))),1,0))+IF(OR(Settings!$B$64="",Settings!$F$64="No"),0,Settings!$B$64*IF(AND(IF(Settings!$C$64="",$B137,DATE(YEAR($A137),MONTH($A137),MIN(Settings!$C$64,DAY($B137))))&gt;=MAX($A137,Settings!$D$64),IF(Settings!$C$64="",$B137,DATE(YEAR($A137),MONTH($A137),MIN(Settings!$C$64,DAY($B137))))&lt;=MIN($C137,IF(Settings!$E$64="",$C137,Settings!$E$64))),1,0))+IF(OR(Settings!$B$65="",Settings!$F$65="No"),0,Settings!$B$65*IF(AND(IF(Settings!$C$65="",$B137,DATE(YEAR($A137),MONTH($A137),MIN(Settings!$C$65,DAY($B137))))&gt;=MAX($A137,Settings!$D$65),IF(Settings!$C$65="",$B137,DATE(YEAR($A137),MONTH($A137),MIN(Settings!$C$65,DAY($B137))))&lt;=MIN($C137,IF(Settings!$E$65="",$C137,Settings!$E$65))),1,0))</f>
        <v/>
      </c>
      <c r="AA137">
        <f>$X137+$Z137</f>
        <v/>
      </c>
      <c r="AB137">
        <f>IF($E137="post",$AA137,IF($E137="open",SUMIFS(Giving!$B$7:$B$2006,Giving!$A$7:$A$2006,"&gt;"&amp;Settings!$B$5,Giving!$A$7:$A$2006,"&lt;="&amp;$B137,Giving!$E$7:$E$2006,"&lt;&gt;No")+IF(OR(Settings!$B$60="",Settings!$F$60="No"),0,Settings!$B$60*IF(AND(IF(Settings!$C$60="",$B137,DATE(YEAR($A137),MONTH($A137),MIN(Settings!$C$60,DAY($B137))))&gt;=MAX($A137,Settings!$D$60,Settings!$B$5+1),IF(Settings!$C$60="",$B137,DATE(YEAR($A137),MONTH($A137),MIN(Settings!$C$60,DAY($B137))))&lt;=MIN($C137,IF(Settings!$E$60="",$C137,Settings!$E$60))),1,0))+IF(OR(Settings!$B$61="",Settings!$F$61="No"),0,Settings!$B$61*IF(AND(IF(Settings!$C$61="",$B137,DATE(YEAR($A137),MONTH($A137),MIN(Settings!$C$61,DAY($B137))))&gt;=MAX($A137,Settings!$D$61,Settings!$B$5+1),IF(Settings!$C$61="",$B137,DATE(YEAR($A137),MONTH($A137),MIN(Settings!$C$61,DAY($B137))))&lt;=MIN($C137,IF(Settings!$E$61="",$C137,Settings!$E$61))),1,0))+IF(OR(Settings!$B$62="",Settings!$F$62="No"),0,Settings!$B$62*IF(AND(IF(Settings!$C$62="",$B137,DATE(YEAR($A137),MONTH($A137),MIN(Settings!$C$62,DAY($B137))))&gt;=MAX($A137,Settings!$D$62,Settings!$B$5+1),IF(Settings!$C$62="",$B137,DATE(YEAR($A137),MONTH($A137),MIN(Settings!$C$62,DAY($B137))))&lt;=MIN($C137,IF(Settings!$E$62="",$C137,Settings!$E$62))),1,0))+IF(OR(Settings!$B$63="",Settings!$F$63="No"),0,Settings!$B$63*IF(AND(IF(Settings!$C$63="",$B137,DATE(YEAR($A137),MONTH($A137),MIN(Settings!$C$63,DAY($B137))))&gt;=MAX($A137,Settings!$D$63,Settings!$B$5+1),IF(Settings!$C$63="",$B137,DATE(YEAR($A137),MONTH($A137),MIN(Settings!$C$63,DAY($B137))))&lt;=MIN($C137,IF(Settings!$E$63="",$C137,Settings!$E$63))),1,0))+IF(OR(Settings!$B$64="",Settings!$F$64="No"),0,Settings!$B$64*IF(AND(IF(Settings!$C$64="",$B137,DATE(YEAR($A137),MONTH($A137),MIN(Settings!$C$64,DAY($B137))))&gt;=MAX($A137,Settings!$D$64,Settings!$B$5+1),IF(Settings!$C$64="",$B137,DATE(YEAR($A137),MONTH($A137),MIN(Settings!$C$64,DAY($B137))))&lt;=MIN($C137,IF(Settings!$E$64="",$C137,Settings!$E$64))),1,0))+IF(OR(Settings!$B$65="",Settings!$F$65="No"),0,Settings!$B$65*IF(AND(IF(Settings!$C$65="",$B137,DATE(YEAR($A137),MONTH($A137),MIN(Settings!$C$65,DAY($B137))))&gt;=MAX($A137,Settings!$D$65,Settings!$B$5+1),IF(Settings!$C$65="",$B137,DATE(YEAR($A137),MONTH($A137),MIN(Settings!$C$65,DAY($B137))))&lt;=MIN($C137,IF(Settings!$E$65="",$C137,Settings!$E$65))),1,0)),0))</f>
        <v/>
      </c>
      <c r="AC137">
        <f>$AY137+$AZ137+$BA137+$BB137+$BC137+$BD137</f>
        <v/>
      </c>
      <c r="AD137">
        <f>$AC137</f>
        <v/>
      </c>
      <c r="AE137">
        <f>IF(OR(Settings!$A$19="",$E137="pre"),"",IF(AND('Month-End'!$ED$7&lt;&gt;"",NOT(_xlfn.ISFORMULA('Month-End'!$ED$7))),N('Month-End'!$ED$7),IF(OR($E137="open",$E136="pre"),N(Settings!$C$19),N($AE136))))</f>
        <v/>
      </c>
      <c r="AF137">
        <f>IF(OR(Settings!$A$20="",$E137="pre"),"",IF(AND('Month-End'!$ED$8&lt;&gt;"",NOT(_xlfn.ISFORMULA('Month-End'!$ED$8))),N('Month-End'!$ED$8),IF(OR($E137="open",$E136="pre"),N(Settings!$C$20),N($AF136))))</f>
        <v/>
      </c>
      <c r="AG137">
        <f>IF(OR(Settings!$A$21="",$E137="pre"),"",IF(AND('Month-End'!$ED$9&lt;&gt;"",NOT(_xlfn.ISFORMULA('Month-End'!$ED$9))),N('Month-End'!$ED$9),IF(OR($E137="open",$E136="pre"),N(Settings!$C$21),N($AG136))))</f>
        <v/>
      </c>
      <c r="AH137">
        <f>IF(OR(Settings!$A$22="",$E137="pre"),"",IF(AND('Month-End'!$ED$10&lt;&gt;"",NOT(_xlfn.ISFORMULA('Month-End'!$ED$10))),N('Month-End'!$ED$10),IF(OR($E137="open",$E136="pre"),N(Settings!$C$22),N($AH136))))</f>
        <v/>
      </c>
      <c r="AI137">
        <f>IF(OR(Settings!$A$23="",$E137="pre"),"",IF(AND('Month-End'!$ED$11&lt;&gt;"",NOT(_xlfn.ISFORMULA('Month-End'!$ED$11))),N('Month-End'!$ED$11),IF(OR($E137="open",$E136="pre"),N(Settings!$C$23),N($AI136))))</f>
        <v/>
      </c>
      <c r="AJ137">
        <f>IF(OR(Settings!$A$24="",$E137="pre"),"",IF(AND('Month-End'!$ED$12&lt;&gt;"",NOT(_xlfn.ISFORMULA('Month-End'!$ED$12))),N('Month-End'!$ED$12),IF(OR($E137="open",$E136="pre"),N(Settings!$C$24),N($AJ136))))</f>
        <v/>
      </c>
      <c r="AK137">
        <f>IF(OR(Settings!$A$25="",$E137="pre"),"",IF(AND('Month-End'!$ED$13&lt;&gt;"",NOT(_xlfn.ISFORMULA('Month-End'!$ED$13))),N('Month-End'!$ED$13),IF(OR($E137="open",$E136="pre"),N(Settings!$C$25),N($AK136))))</f>
        <v/>
      </c>
      <c r="AL137">
        <f>IF(OR(Settings!$A$26="",$E137="pre"),"",IF(AND('Month-End'!$ED$14&lt;&gt;"",NOT(_xlfn.ISFORMULA('Month-End'!$ED$14))),N('Month-End'!$ED$14),IF(OR($E137="open",$E136="pre"),N(Settings!$C$26),N($AL136))))</f>
        <v/>
      </c>
      <c r="AM137">
        <f>IF(OR(Settings!$A$27="",$E137="pre"),"",IF(AND('Month-End'!$ED$15&lt;&gt;"",NOT(_xlfn.ISFORMULA('Month-End'!$ED$15))),N('Month-End'!$ED$15),IF(OR($E137="open",$E136="pre"),N(Settings!$C$27),N($AM136))))</f>
        <v/>
      </c>
      <c r="AN137">
        <f>IF(OR(Settings!$A$28="",$E137="pre"),"",IF(AND('Month-End'!$ED$16&lt;&gt;"",NOT(_xlfn.ISFORMULA('Month-End'!$ED$16))),N('Month-End'!$ED$16),IF(OR($E137="open",$E136="pre"),N(Settings!$C$28),N($AN136))))</f>
        <v/>
      </c>
      <c r="AO137">
        <f>IF(OR(Settings!$A$29="",$E137="pre"),"",IF(AND('Month-End'!$ED$17&lt;&gt;"",NOT(_xlfn.ISFORMULA('Month-End'!$ED$17))),N('Month-End'!$ED$17),IF(OR($E137="open",$E136="pre"),N(Settings!$C$29),N($AO136))))</f>
        <v/>
      </c>
      <c r="AP137">
        <f>IF(OR(Settings!$A$30="",$E137="pre"),"",IF(AND('Month-End'!$ED$18&lt;&gt;"",NOT(_xlfn.ISFORMULA('Month-End'!$ED$18))),N('Month-End'!$ED$18),IF(OR($E137="open",$E136="pre"),N(Settings!$C$30),N($AP136))))</f>
        <v/>
      </c>
      <c r="AQ137">
        <f>IF(OR(Settings!$A$31="",$E137="pre"),"",IF(AND('Month-End'!$ED$19&lt;&gt;"",NOT(_xlfn.ISFORMULA('Month-End'!$ED$19))),N('Month-End'!$ED$19),IF(OR($E137="open",$E136="pre"),N(Settings!$C$31),N($AQ136))))</f>
        <v/>
      </c>
      <c r="AR137">
        <f>IF(OR(Settings!$A$32="",$E137="pre"),"",IF(AND('Month-End'!$ED$20&lt;&gt;"",NOT(_xlfn.ISFORMULA('Month-End'!$ED$20))),N('Month-End'!$ED$20),IF(OR($E137="open",$E136="pre"),N(Settings!$C$32),N($AR136))))</f>
        <v/>
      </c>
      <c r="AS137">
        <f>IF(OR(Settings!$A$36="",$E137="pre"),"",IF(AND('Month-End'!$ED$38&lt;&gt;"",NOT(_xlfn.ISFORMULA('Month-End'!$ED$38))),N('Month-End'!$ED$38),IF(OR($E137="open",$E136="pre"),N(Settings!$C$36),N($AS136))+$AY137))</f>
        <v/>
      </c>
      <c r="AT137">
        <f>IF(OR(Settings!$A$37="",$E137="pre"),"",IF(AND('Month-End'!$ED$39&lt;&gt;"",NOT(_xlfn.ISFORMULA('Month-End'!$ED$39))),N('Month-End'!$ED$39),IF(OR($E137="open",$E136="pre"),N(Settings!$C$37),N($AT136))+$AZ137))</f>
        <v/>
      </c>
      <c r="AU137">
        <f>IF(OR(Settings!$A$38="",$E137="pre"),"",IF(AND('Month-End'!$ED$40&lt;&gt;"",NOT(_xlfn.ISFORMULA('Month-End'!$ED$40))),N('Month-End'!$ED$40),IF(OR($E137="open",$E136="pre"),N(Settings!$C$38),N($AU136))+$BA137))</f>
        <v/>
      </c>
      <c r="AV137">
        <f>IF(OR(Settings!$A$39="",$E137="pre"),"",IF(AND('Month-End'!$ED$41&lt;&gt;"",NOT(_xlfn.ISFORMULA('Month-End'!$ED$41))),N('Month-End'!$ED$41),IF(OR($E137="open",$E136="pre"),N(Settings!$C$39),N($AV136))+$BB137))</f>
        <v/>
      </c>
      <c r="AW137">
        <f>IF(OR(Settings!$A$40="",$E137="pre"),"",IF(AND('Month-End'!$ED$42&lt;&gt;"",NOT(_xlfn.ISFORMULA('Month-End'!$ED$42))),N('Month-End'!$ED$42),IF(OR($E137="open",$E136="pre"),N(Settings!$C$40),N($AW136))+$BC137))</f>
        <v/>
      </c>
      <c r="AX137">
        <f>IF(OR(Settings!$A$41="",$E137="pre"),"",IF(AND('Month-End'!$ED$43&lt;&gt;"",NOT(_xlfn.ISFORMULA('Month-End'!$ED$43))),N('Month-End'!$ED$43),IF(OR($E137="open",$E136="pre"),N(Settings!$C$41),N($AX136))+$BD137))</f>
        <v/>
      </c>
      <c r="AY137">
        <f>IF($E137="pre",0,N('Month-End'!$ED$45))</f>
        <v/>
      </c>
      <c r="AZ137">
        <f>IF($E137="pre",0,N('Month-End'!$ED$46))</f>
        <v/>
      </c>
      <c r="BA137">
        <f>IF($E137="pre",0,N('Month-End'!$ED$47))</f>
        <v/>
      </c>
      <c r="BB137">
        <f>IF($E137="pre",0,N('Month-End'!$ED$48))</f>
        <v/>
      </c>
      <c r="BC137">
        <f>IF($E137="pre",0,N('Month-End'!$ED$49))</f>
        <v/>
      </c>
      <c r="BD137">
        <f>IF($E137="pre",0,N('Month-End'!$ED$50))</f>
        <v/>
      </c>
      <c r="BE137">
        <f>IF(OR(Settings!$C$45="",Settings!$D$45=""),0,Settings!$C$45*IF(Settings!$D$45="Weekly",IF(IFERROR(MATCH(Settings!$E$45,$EO$4:$EO$10,0),0)=0,0,IF(MIN($C137,IF(Settings!$G$45="",$C137,Settings!$G$45))&lt;MAX($A137,Settings!$F$45),0,INT((MIN($C137,IF(Settings!$G$45="",$C137,Settings!$G$45))-MAX($A137,Settings!$F$45)-MOD(IFERROR(MATCH(Settings!$E$45,$EO$4:$EO$10,0),0)-WEEKDAY(MAX($A137,Settings!$F$45)),7))/7)+1)),IF(AND(IF(Settings!$E$45="",$B137,DATE(YEAR($A137),MONTH($A137),MIN(Settings!$E$45,DAY($B137))))&gt;=MAX($A137,Settings!$F$45),IF(Settings!$E$45="",$B137,DATE(YEAR($A137),MONTH($A137),MIN(Settings!$E$45,DAY($B137))))&lt;=MIN($C137,IF(Settings!$G$45="",$C137,Settings!$G$45))),1,0)))</f>
        <v/>
      </c>
      <c r="BF137">
        <f>IF(OR(Settings!$C$46="",Settings!$D$46=""),0,Settings!$C$46*IF(Settings!$D$46="Weekly",IF(IFERROR(MATCH(Settings!$E$46,$EO$4:$EO$10,0),0)=0,0,IF(MIN($C137,IF(Settings!$G$46="",$C137,Settings!$G$46))&lt;MAX($A137,Settings!$F$46),0,INT((MIN($C137,IF(Settings!$G$46="",$C137,Settings!$G$46))-MAX($A137,Settings!$F$46)-MOD(IFERROR(MATCH(Settings!$E$46,$EO$4:$EO$10,0),0)-WEEKDAY(MAX($A137,Settings!$F$46)),7))/7)+1)),IF(AND(IF(Settings!$E$46="",$B137,DATE(YEAR($A137),MONTH($A137),MIN(Settings!$E$46,DAY($B137))))&gt;=MAX($A137,Settings!$F$46),IF(Settings!$E$46="",$B137,DATE(YEAR($A137),MONTH($A137),MIN(Settings!$E$46,DAY($B137))))&lt;=MIN($C137,IF(Settings!$G$46="",$C137,Settings!$G$46))),1,0)))</f>
        <v/>
      </c>
      <c r="BG137">
        <f>IF(OR(Settings!$C$47="",Settings!$D$47=""),0,Settings!$C$47*IF(Settings!$D$47="Weekly",IF(IFERROR(MATCH(Settings!$E$47,$EO$4:$EO$10,0),0)=0,0,IF(MIN($C137,IF(Settings!$G$47="",$C137,Settings!$G$47))&lt;MAX($A137,Settings!$F$47),0,INT((MIN($C137,IF(Settings!$G$47="",$C137,Settings!$G$47))-MAX($A137,Settings!$F$47)-MOD(IFERROR(MATCH(Settings!$E$47,$EO$4:$EO$10,0),0)-WEEKDAY(MAX($A137,Settings!$F$47)),7))/7)+1)),IF(AND(IF(Settings!$E$47="",$B137,DATE(YEAR($A137),MONTH($A137),MIN(Settings!$E$47,DAY($B137))))&gt;=MAX($A137,Settings!$F$47),IF(Settings!$E$47="",$B137,DATE(YEAR($A137),MONTH($A137),MIN(Settings!$E$47,DAY($B137))))&lt;=MIN($C137,IF(Settings!$G$47="",$C137,Settings!$G$47))),1,0)))</f>
        <v/>
      </c>
      <c r="BH137">
        <f>IF(OR(Settings!$C$48="",Settings!$D$48=""),0,Settings!$C$48*IF(Settings!$D$48="Weekly",IF(IFERROR(MATCH(Settings!$E$48,$EO$4:$EO$10,0),0)=0,0,IF(MIN($C137,IF(Settings!$G$48="",$C137,Settings!$G$48))&lt;MAX($A137,Settings!$F$48),0,INT((MIN($C137,IF(Settings!$G$48="",$C137,Settings!$G$48))-MAX($A137,Settings!$F$48)-MOD(IFERROR(MATCH(Settings!$E$48,$EO$4:$EO$10,0),0)-WEEKDAY(MAX($A137,Settings!$F$48)),7))/7)+1)),IF(AND(IF(Settings!$E$48="",$B137,DATE(YEAR($A137),MONTH($A137),MIN(Settings!$E$48,DAY($B137))))&gt;=MAX($A137,Settings!$F$48),IF(Settings!$E$48="",$B137,DATE(YEAR($A137),MONTH($A137),MIN(Settings!$E$48,DAY($B137))))&lt;=MIN($C137,IF(Settings!$G$48="",$C137,Settings!$G$48))),1,0)))</f>
        <v/>
      </c>
      <c r="BI137">
        <f>IF(OR(Settings!$C$49="",Settings!$D$49=""),0,Settings!$C$49*IF(Settings!$D$49="Weekly",IF(IFERROR(MATCH(Settings!$E$49,$EO$4:$EO$10,0),0)=0,0,IF(MIN($C137,IF(Settings!$G$49="",$C137,Settings!$G$49))&lt;MAX($A137,Settings!$F$49),0,INT((MIN($C137,IF(Settings!$G$49="",$C137,Settings!$G$49))-MAX($A137,Settings!$F$49)-MOD(IFERROR(MATCH(Settings!$E$49,$EO$4:$EO$10,0),0)-WEEKDAY(MAX($A137,Settings!$F$49)),7))/7)+1)),IF(AND(IF(Settings!$E$49="",$B137,DATE(YEAR($A137),MONTH($A137),MIN(Settings!$E$49,DAY($B137))))&gt;=MAX($A137,Settings!$F$49),IF(Settings!$E$49="",$B137,DATE(YEAR($A137),MONTH($A137),MIN(Settings!$E$49,DAY($B137))))&lt;=MIN($C137,IF(Settings!$G$49="",$C137,Settings!$G$49))),1,0)))</f>
        <v/>
      </c>
      <c r="BJ137">
        <f>IF(OR(Settings!$C$50="",Settings!$D$50=""),0,Settings!$C$50*IF(Settings!$D$50="Weekly",IF(IFERROR(MATCH(Settings!$E$50,$EO$4:$EO$10,0),0)=0,0,IF(MIN($C137,IF(Settings!$G$50="",$C137,Settings!$G$50))&lt;MAX($A137,Settings!$F$50),0,INT((MIN($C137,IF(Settings!$G$50="",$C137,Settings!$G$50))-MAX($A137,Settings!$F$50)-MOD(IFERROR(MATCH(Settings!$E$50,$EO$4:$EO$10,0),0)-WEEKDAY(MAX($A137,Settings!$F$50)),7))/7)+1)),IF(AND(IF(Settings!$E$50="",$B137,DATE(YEAR($A137),MONTH($A137),MIN(Settings!$E$50,DAY($B137))))&gt;=MAX($A137,Settings!$F$50),IF(Settings!$E$50="",$B137,DATE(YEAR($A137),MONTH($A137),MIN(Settings!$E$50,DAY($B137))))&lt;=MIN($C137,IF(Settings!$G$50="",$C137,Settings!$G$50))),1,0)))</f>
        <v/>
      </c>
      <c r="BK137">
        <f>IF(OR(Settings!$C$51="",Settings!$D$51=""),0,Settings!$C$51*IF(Settings!$D$51="Weekly",IF(IFERROR(MATCH(Settings!$E$51,$EO$4:$EO$10,0),0)=0,0,IF(MIN($C137,IF(Settings!$G$51="",$C137,Settings!$G$51))&lt;MAX($A137,Settings!$F$51),0,INT((MIN($C137,IF(Settings!$G$51="",$C137,Settings!$G$51))-MAX($A137,Settings!$F$51)-MOD(IFERROR(MATCH(Settings!$E$51,$EO$4:$EO$10,0),0)-WEEKDAY(MAX($A137,Settings!$F$51)),7))/7)+1)),IF(AND(IF(Settings!$E$51="",$B137,DATE(YEAR($A137),MONTH($A137),MIN(Settings!$E$51,DAY($B137))))&gt;=MAX($A137,Settings!$F$51),IF(Settings!$E$51="",$B137,DATE(YEAR($A137),MONTH($A137),MIN(Settings!$E$51,DAY($B137))))&lt;=MIN($C137,IF(Settings!$G$51="",$C137,Settings!$G$51))),1,0)))</f>
        <v/>
      </c>
      <c r="BL137">
        <f>IF(OR(Settings!$C$52="",Settings!$D$52=""),0,Settings!$C$52*IF(Settings!$D$52="Weekly",IF(IFERROR(MATCH(Settings!$E$52,$EO$4:$EO$10,0),0)=0,0,IF(MIN($C137,IF(Settings!$G$52="",$C137,Settings!$G$52))&lt;MAX($A137,Settings!$F$52),0,INT((MIN($C137,IF(Settings!$G$52="",$C137,Settings!$G$52))-MAX($A137,Settings!$F$52)-MOD(IFERROR(MATCH(Settings!$E$52,$EO$4:$EO$10,0),0)-WEEKDAY(MAX($A137,Settings!$F$52)),7))/7)+1)),IF(AND(IF(Settings!$E$52="",$B137,DATE(YEAR($A137),MONTH($A137),MIN(Settings!$E$52,DAY($B137))))&gt;=MAX($A137,Settings!$F$52),IF(Settings!$E$52="",$B137,DATE(YEAR($A137),MONTH($A137),MIN(Settings!$E$52,DAY($B137))))&lt;=MIN($C137,IF(Settings!$G$52="",$C137,Settings!$G$52))),1,0)))</f>
        <v/>
      </c>
      <c r="BM137">
        <f>IF(OR(Settings!$C$53="",Settings!$D$53=""),0,Settings!$C$53*IF(Settings!$D$53="Weekly",IF(IFERROR(MATCH(Settings!$E$53,$EO$4:$EO$10,0),0)=0,0,IF(MIN($C137,IF(Settings!$G$53="",$C137,Settings!$G$53))&lt;MAX($A137,Settings!$F$53),0,INT((MIN($C137,IF(Settings!$G$53="",$C137,Settings!$G$53))-MAX($A137,Settings!$F$53)-MOD(IFERROR(MATCH(Settings!$E$53,$EO$4:$EO$10,0),0)-WEEKDAY(MAX($A137,Settings!$F$53)),7))/7)+1)),IF(AND(IF(Settings!$E$53="",$B137,DATE(YEAR($A137),MONTH($A137),MIN(Settings!$E$53,DAY($B137))))&gt;=MAX($A137,Settings!$F$53),IF(Settings!$E$53="",$B137,DATE(YEAR($A137),MONTH($A137),MIN(Settings!$E$53,DAY($B137))))&lt;=MIN($C137,IF(Settings!$G$53="",$C137,Settings!$G$53))),1,0)))</f>
        <v/>
      </c>
      <c r="BN137">
        <f>IF(OR(Settings!$C$54="",Settings!$D$54=""),0,Settings!$C$54*IF(Settings!$D$54="Weekly",IF(IFERROR(MATCH(Settings!$E$54,$EO$4:$EO$10,0),0)=0,0,IF(MIN($C137,IF(Settings!$G$54="",$C137,Settings!$G$54))&lt;MAX($A137,Settings!$F$54),0,INT((MIN($C137,IF(Settings!$G$54="",$C137,Settings!$G$54))-MAX($A137,Settings!$F$54)-MOD(IFERROR(MATCH(Settings!$E$54,$EO$4:$EO$10,0),0)-WEEKDAY(MAX($A137,Settings!$F$54)),7))/7)+1)),IF(AND(IF(Settings!$E$54="",$B137,DATE(YEAR($A137),MONTH($A137),MIN(Settings!$E$54,DAY($B137))))&gt;=MAX($A137,Settings!$F$54),IF(Settings!$E$54="",$B137,DATE(YEAR($A137),MONTH($A137),MIN(Settings!$E$54,DAY($B137))))&lt;=MIN($C137,IF(Settings!$G$54="",$C137,Settings!$G$54))),1,0)))</f>
        <v/>
      </c>
      <c r="BO137">
        <f>IF(OR(Settings!$C$55="",Settings!$D$55=""),0,Settings!$C$55*IF(Settings!$D$55="Weekly",IF(IFERROR(MATCH(Settings!$E$55,$EO$4:$EO$10,0),0)=0,0,IF(MIN($C137,IF(Settings!$G$55="",$C137,Settings!$G$55))&lt;MAX($A137,Settings!$F$55),0,INT((MIN($C137,IF(Settings!$G$55="",$C137,Settings!$G$55))-MAX($A137,Settings!$F$55)-MOD(IFERROR(MATCH(Settings!$E$55,$EO$4:$EO$10,0),0)-WEEKDAY(MAX($A137,Settings!$F$55)),7))/7)+1)),IF(AND(IF(Settings!$E$55="",$B137,DATE(YEAR($A137),MONTH($A137),MIN(Settings!$E$55,DAY($B137))))&gt;=MAX($A137,Settings!$F$55),IF(Settings!$E$55="",$B137,DATE(YEAR($A137),MONTH($A137),MIN(Settings!$E$55,DAY($B137))))&lt;=MIN($C137,IF(Settings!$G$55="",$C137,Settings!$G$55))),1,0)))</f>
        <v/>
      </c>
      <c r="BP137">
        <f>IF(OR(Settings!$C$56="",Settings!$D$56=""),0,Settings!$C$56*IF(Settings!$D$56="Weekly",IF(IFERROR(MATCH(Settings!$E$56,$EO$4:$EO$10,0),0)=0,0,IF(MIN($C137,IF(Settings!$G$56="",$C137,Settings!$G$56))&lt;MAX($A137,Settings!$F$56),0,INT((MIN($C137,IF(Settings!$G$56="",$C137,Settings!$G$56))-MAX($A137,Settings!$F$56)-MOD(IFERROR(MATCH(Settings!$E$56,$EO$4:$EO$10,0),0)-WEEKDAY(MAX($A137,Settings!$F$56)),7))/7)+1)),IF(AND(IF(Settings!$E$56="",$B137,DATE(YEAR($A137),MONTH($A137),MIN(Settings!$E$56,DAY($B137))))&gt;=MAX($A137,Settings!$F$56),IF(Settings!$E$56="",$B137,DATE(YEAR($A137),MONTH($A137),MIN(Settings!$E$56,DAY($B137))))&lt;=MIN($C137,IF(Settings!$G$56="",$C137,Settings!$G$56))),1,0)))</f>
        <v/>
      </c>
      <c r="BQ137">
        <f>IF(OR(Settings!$B$14="",$D137=1,$E137="pre",$A137&lt;IF(Settings!$B$15="",0,Settings!$B$15)),0,Settings!$B$14)</f>
        <v/>
      </c>
      <c r="BR137">
        <f>IF(AND('Month-End'!$ED$7&lt;&gt;"",NOT(_xlfn.ISFORMULA('Month-End'!$ED$7))),1,0)</f>
        <v/>
      </c>
      <c r="BS137">
        <f>IF(AND('Month-End'!$ED$8&lt;&gt;"",NOT(_xlfn.ISFORMULA('Month-End'!$ED$8))),1,0)</f>
        <v/>
      </c>
      <c r="BT137">
        <f>IF(AND('Month-End'!$ED$9&lt;&gt;"",NOT(_xlfn.ISFORMULA('Month-End'!$ED$9))),1,0)</f>
        <v/>
      </c>
      <c r="BU137">
        <f>IF(AND('Month-End'!$ED$10&lt;&gt;"",NOT(_xlfn.ISFORMULA('Month-End'!$ED$10))),1,0)</f>
        <v/>
      </c>
      <c r="BV137">
        <f>IF(AND('Month-End'!$ED$11&lt;&gt;"",NOT(_xlfn.ISFORMULA('Month-End'!$ED$11))),1,0)</f>
        <v/>
      </c>
      <c r="BW137">
        <f>IF(AND('Month-End'!$ED$12&lt;&gt;"",NOT(_xlfn.ISFORMULA('Month-End'!$ED$12))),1,0)</f>
        <v/>
      </c>
      <c r="BX137">
        <f>IF(AND('Month-End'!$ED$13&lt;&gt;"",NOT(_xlfn.ISFORMULA('Month-End'!$ED$13))),1,0)</f>
        <v/>
      </c>
      <c r="BY137">
        <f>IF(AND('Month-End'!$ED$14&lt;&gt;"",NOT(_xlfn.ISFORMULA('Month-End'!$ED$14))),1,0)</f>
        <v/>
      </c>
      <c r="BZ137">
        <f>IF(AND('Month-End'!$ED$15&lt;&gt;"",NOT(_xlfn.ISFORMULA('Month-End'!$ED$15))),1,0)</f>
        <v/>
      </c>
      <c r="CA137">
        <f>IF(AND('Month-End'!$ED$16&lt;&gt;"",NOT(_xlfn.ISFORMULA('Month-End'!$ED$16))),1,0)</f>
        <v/>
      </c>
      <c r="CB137">
        <f>IF(AND('Month-End'!$ED$17&lt;&gt;"",NOT(_xlfn.ISFORMULA('Month-End'!$ED$17))),1,0)</f>
        <v/>
      </c>
      <c r="CC137">
        <f>IF(AND('Month-End'!$ED$18&lt;&gt;"",NOT(_xlfn.ISFORMULA('Month-End'!$ED$18))),1,0)</f>
        <v/>
      </c>
      <c r="CD137">
        <f>IF(AND('Month-End'!$ED$19&lt;&gt;"",NOT(_xlfn.ISFORMULA('Month-End'!$ED$19))),1,0)</f>
        <v/>
      </c>
      <c r="CE137">
        <f>IF(AND('Month-End'!$ED$20&lt;&gt;"",NOT(_xlfn.ISFORMULA('Month-End'!$ED$20))),1,0)</f>
        <v/>
      </c>
      <c r="CF137">
        <f>IF(AND('Month-End'!$ED$38&lt;&gt;"",NOT(_xlfn.ISFORMULA('Month-End'!$ED$38))),1,0)</f>
        <v/>
      </c>
      <c r="CG137">
        <f>IF(AND('Month-End'!$ED$39&lt;&gt;"",NOT(_xlfn.ISFORMULA('Month-End'!$ED$39))),1,0)</f>
        <v/>
      </c>
      <c r="CH137">
        <f>IF(AND('Month-End'!$ED$40&lt;&gt;"",NOT(_xlfn.ISFORMULA('Month-End'!$ED$40))),1,0)</f>
        <v/>
      </c>
      <c r="CI137">
        <f>IF(AND('Month-End'!$ED$41&lt;&gt;"",NOT(_xlfn.ISFORMULA('Month-End'!$ED$41))),1,0)</f>
        <v/>
      </c>
      <c r="CJ137">
        <f>IF(AND('Month-End'!$ED$42&lt;&gt;"",NOT(_xlfn.ISFORMULA('Month-End'!$ED$42))),1,0)</f>
        <v/>
      </c>
      <c r="CK137">
        <f>IF(AND('Month-End'!$ED$43&lt;&gt;"",NOT(_xlfn.ISFORMULA('Month-End'!$ED$43))),1,0)</f>
        <v/>
      </c>
      <c r="CL137">
        <f>SUM($CM137:$CZ137)</f>
        <v/>
      </c>
      <c r="CM137">
        <f>IF(AND($E137&lt;&gt;"pre",AND(Settings!$A$19&lt;&gt;"",Settings!$E$19&lt;&gt;"No"),Settings!$F$19="Yes",NOT(AND('Month-End'!$ED$7&lt;&gt;"",NOT(_xlfn.ISFORMULA('Month-End'!$ED$7))))),1,0)</f>
        <v/>
      </c>
      <c r="CN137">
        <f>IF(AND($E137&lt;&gt;"pre",AND(Settings!$A$20&lt;&gt;"",Settings!$E$20&lt;&gt;"No"),Settings!$F$20="Yes",NOT(AND('Month-End'!$ED$8&lt;&gt;"",NOT(_xlfn.ISFORMULA('Month-End'!$ED$8))))),1,0)</f>
        <v/>
      </c>
      <c r="CO137">
        <f>IF(AND($E137&lt;&gt;"pre",AND(Settings!$A$21&lt;&gt;"",Settings!$E$21&lt;&gt;"No"),Settings!$F$21="Yes",NOT(AND('Month-End'!$ED$9&lt;&gt;"",NOT(_xlfn.ISFORMULA('Month-End'!$ED$9))))),1,0)</f>
        <v/>
      </c>
      <c r="CP137">
        <f>IF(AND($E137&lt;&gt;"pre",AND(Settings!$A$22&lt;&gt;"",Settings!$E$22&lt;&gt;"No"),Settings!$F$22="Yes",NOT(AND('Month-End'!$ED$10&lt;&gt;"",NOT(_xlfn.ISFORMULA('Month-End'!$ED$10))))),1,0)</f>
        <v/>
      </c>
      <c r="CQ137">
        <f>IF(AND($E137&lt;&gt;"pre",AND(Settings!$A$23&lt;&gt;"",Settings!$E$23&lt;&gt;"No"),Settings!$F$23="Yes",NOT(AND('Month-End'!$ED$11&lt;&gt;"",NOT(_xlfn.ISFORMULA('Month-End'!$ED$11))))),1,0)</f>
        <v/>
      </c>
      <c r="CR137">
        <f>IF(AND($E137&lt;&gt;"pre",AND(Settings!$A$24&lt;&gt;"",Settings!$E$24&lt;&gt;"No"),Settings!$F$24="Yes",NOT(AND('Month-End'!$ED$12&lt;&gt;"",NOT(_xlfn.ISFORMULA('Month-End'!$ED$12))))),1,0)</f>
        <v/>
      </c>
      <c r="CS137">
        <f>IF(AND($E137&lt;&gt;"pre",AND(Settings!$A$25&lt;&gt;"",Settings!$E$25&lt;&gt;"No"),Settings!$F$25="Yes",NOT(AND('Month-End'!$ED$13&lt;&gt;"",NOT(_xlfn.ISFORMULA('Month-End'!$ED$13))))),1,0)</f>
        <v/>
      </c>
      <c r="CT137">
        <f>IF(AND($E137&lt;&gt;"pre",AND(Settings!$A$26&lt;&gt;"",Settings!$E$26&lt;&gt;"No"),Settings!$F$26="Yes",NOT(AND('Month-End'!$ED$14&lt;&gt;"",NOT(_xlfn.ISFORMULA('Month-End'!$ED$14))))),1,0)</f>
        <v/>
      </c>
      <c r="CU137">
        <f>IF(AND($E137&lt;&gt;"pre",AND(Settings!$A$27&lt;&gt;"",Settings!$E$27&lt;&gt;"No"),Settings!$F$27="Yes",NOT(AND('Month-End'!$ED$15&lt;&gt;"",NOT(_xlfn.ISFORMULA('Month-End'!$ED$15))))),1,0)</f>
        <v/>
      </c>
      <c r="CV137">
        <f>IF(AND($E137&lt;&gt;"pre",AND(Settings!$A$28&lt;&gt;"",Settings!$E$28&lt;&gt;"No"),Settings!$F$28="Yes",NOT(AND('Month-End'!$ED$16&lt;&gt;"",NOT(_xlfn.ISFORMULA('Month-End'!$ED$16))))),1,0)</f>
        <v/>
      </c>
      <c r="CW137">
        <f>IF(AND($E137&lt;&gt;"pre",AND(Settings!$A$29&lt;&gt;"",Settings!$E$29&lt;&gt;"No"),Settings!$F$29="Yes",NOT(AND('Month-End'!$ED$17&lt;&gt;"",NOT(_xlfn.ISFORMULA('Month-End'!$ED$17))))),1,0)</f>
        <v/>
      </c>
      <c r="CX137">
        <f>IF(AND($E137&lt;&gt;"pre",AND(Settings!$A$30&lt;&gt;"",Settings!$E$30&lt;&gt;"No"),Settings!$F$30="Yes",NOT(AND('Month-End'!$ED$18&lt;&gt;"",NOT(_xlfn.ISFORMULA('Month-End'!$ED$18))))),1,0)</f>
        <v/>
      </c>
      <c r="CY137">
        <f>IF(AND($E137&lt;&gt;"pre",AND(Settings!$A$31&lt;&gt;"",Settings!$E$31&lt;&gt;"No"),Settings!$F$31="Yes",NOT(AND('Month-End'!$ED$19&lt;&gt;"",NOT(_xlfn.ISFORMULA('Month-End'!$ED$19))))),1,0)</f>
        <v/>
      </c>
      <c r="CZ137">
        <f>IF(AND($E137&lt;&gt;"pre",AND(Settings!$A$32&lt;&gt;"",Settings!$E$32&lt;&gt;"No"),Settings!$F$32="Yes",NOT(AND('Month-End'!$ED$20&lt;&gt;"",NOT(_xlfn.ISFORMULA('Month-End'!$ED$20))))),1,0)</f>
        <v/>
      </c>
      <c r="DA137">
        <f>IF($DT137=1,IF(OR(Settings!$B$19="Checking",Settings!$B$19="Savings",Settings!$B$19="Cash"),N($AE137),IF(OR(Settings!$B$19="Card",Settings!$B$19="Loan"),-N($AE137),0))+IF(OR(Settings!$B$20="Checking",Settings!$B$20="Savings",Settings!$B$20="Cash"),N($AF137),IF(OR(Settings!$B$20="Card",Settings!$B$20="Loan"),-N($AF137),0))+IF(OR(Settings!$B$21="Checking",Settings!$B$21="Savings",Settings!$B$21="Cash"),N($AG137),IF(OR(Settings!$B$21="Card",Settings!$B$21="Loan"),-N($AG137),0))+IF(OR(Settings!$B$22="Checking",Settings!$B$22="Savings",Settings!$B$22="Cash"),N($AH137),IF(OR(Settings!$B$22="Card",Settings!$B$22="Loan"),-N($AH137),0))+IF(OR(Settings!$B$23="Checking",Settings!$B$23="Savings",Settings!$B$23="Cash"),N($AI137),IF(OR(Settings!$B$23="Card",Settings!$B$23="Loan"),-N($AI137),0))+IF(OR(Settings!$B$24="Checking",Settings!$B$24="Savings",Settings!$B$24="Cash"),N($AJ137),IF(OR(Settings!$B$24="Card",Settings!$B$24="Loan"),-N($AJ137),0))+IF(OR(Settings!$B$25="Checking",Settings!$B$25="Savings",Settings!$B$25="Cash"),N($AK137),IF(OR(Settings!$B$25="Card",Settings!$B$25="Loan"),-N($AK137),0))+IF(OR(Settings!$B$26="Checking",Settings!$B$26="Savings",Settings!$B$26="Cash"),N($AL137),IF(OR(Settings!$B$26="Card",Settings!$B$26="Loan"),-N($AL137),0))+IF(OR(Settings!$B$27="Checking",Settings!$B$27="Savings",Settings!$B$27="Cash"),N($AM137),IF(OR(Settings!$B$27="Card",Settings!$B$27="Loan"),-N($AM137),0))+IF(OR(Settings!$B$28="Checking",Settings!$B$28="Savings",Settings!$B$28="Cash"),N($AN137),IF(OR(Settings!$B$28="Card",Settings!$B$28="Loan"),-N($AN137),0))+IF(OR(Settings!$B$29="Checking",Settings!$B$29="Savings",Settings!$B$29="Cash"),N($AO137),IF(OR(Settings!$B$29="Card",Settings!$B$29="Loan"),-N($AO137),0))+IF(OR(Settings!$B$30="Checking",Settings!$B$30="Savings",Settings!$B$30="Cash"),N($AP137),IF(OR(Settings!$B$30="Card",Settings!$B$30="Loan"),-N($AP137),0))+IF(OR(Settings!$B$31="Checking",Settings!$B$31="Savings",Settings!$B$31="Cash"),N($AQ137),IF(OR(Settings!$B$31="Card",Settings!$B$31="Loan"),-N($AQ137),0))+IF(OR(Settings!$B$32="Checking",Settings!$B$32="Savings",Settings!$B$32="Cash"),N($AR137),IF(OR(Settings!$B$32="Card",Settings!$B$32="Loan"),-N($AR137),0)),"")</f>
        <v/>
      </c>
      <c r="DB137">
        <f>IF($E137="open",$EB$27,IF($E137="post",IF($E136="pre",$EB$27,$DA136),""))</f>
        <v/>
      </c>
      <c r="DC137">
        <f>IF($E137="open",1,IF($E137="post",IF($E136="pre",1,$DT136),0))</f>
        <v/>
      </c>
      <c r="DD137">
        <f>IF(AND($DT137=1,$DC137=1),ROUND($W137-($DA137-$DB137)-$AD137-$AB137,2),"")</f>
        <v/>
      </c>
      <c r="DE137">
        <f>IF('Month-End'!$ED$35="",$BQ137,N('Month-End'!$ED$35))</f>
        <v/>
      </c>
      <c r="DF137">
        <f>N('Month-End'!$ED$36)</f>
        <v/>
      </c>
      <c r="DG137">
        <f>IF($DD137="","",$DD137+$DE137)</f>
        <v/>
      </c>
      <c r="DH137">
        <f>IF($DG137="","",$DG137-$DF137)</f>
        <v/>
      </c>
      <c r="DI137">
        <f>IF(OR($E137="pre",$D137=1),"",N($AS137)+N($AT137)+N($AU137)+N($AV137)+N($AW137)+N($AX137))</f>
        <v/>
      </c>
      <c r="DJ137">
        <f>IF($DT137=1,$DA137+N($DI137),"")</f>
        <v/>
      </c>
      <c r="DK137">
        <f>IF($DD137="","",$W137-$DD137-$AB137)</f>
        <v/>
      </c>
      <c r="DL137">
        <f>IF(AND($E137="post",$DD137&lt;&gt;"",$B137&lt;TODAY()),1,0)</f>
        <v/>
      </c>
      <c r="DM137">
        <f>IF($DL137=1,COUNTIF($DL137:$DL$183,1),0)</f>
        <v/>
      </c>
      <c r="DN137">
        <f>IF($D137=1,"",IF($E137="pre","History only",IF($DT137=1,IF($DD137="","⚠ Previous month missing",IF($DD137&lt;0,"⚠ Check: spending &lt; 0",IF($E137="open","✓ Done (partial)","✓ Done"))),IF($B137&gt;=TODAY(),"In progress","⚠ Needs balances"))))</f>
        <v/>
      </c>
      <c r="DO137">
        <f>YEAR($A137)</f>
        <v/>
      </c>
      <c r="DP137">
        <f>DATE(YEAR($A137),INT((MONTH($A137)-1)/3)*3+1,1)</f>
        <v/>
      </c>
      <c r="DQ137">
        <f>IF(AND($DT137=1,$DD137&lt;&gt;"",$D137=0),ROW(),0)</f>
        <v/>
      </c>
      <c r="DR137">
        <f>IF(AND($E137&lt;&gt;"pre",$B137&lt;TODAY(),$DT137=0),1,0)</f>
        <v/>
      </c>
      <c r="DS137">
        <f>IF($DJ137="",NA(),$DJ137)</f>
        <v/>
      </c>
      <c r="DT137">
        <f>IF(AND($E137&lt;&gt;"pre",$CL137=0,COUNTIFS(Settings!$F$19:$F$32,"Yes",Settings!$A$19:$A$32,"&lt;&gt;",Settings!$E$19:$E$32,"&lt;&gt;No")&gt;0),1,0)</f>
        <v/>
      </c>
      <c r="DU137">
        <f>IF(AND($B137&lt;TODAY(),$S137&gt;0),1,0)</f>
        <v/>
      </c>
      <c r="DV137">
        <f>IF($DU137=1,COUNTIF($DU137:$DU$183,1),0)</f>
        <v/>
      </c>
      <c r="DW137">
        <f>IF(AND(OR(Settings!$B$19="Card",Settings!$B$19="Loan"),AND('Month-End'!$ED$7&lt;&gt;"",NOT(_xlfn.ISFORMULA('Month-End'!$ED$7)))),IF(N('Month-End'!$ED$7)&lt;0,1,0),0)+IF(AND(OR(Settings!$B$20="Card",Settings!$B$20="Loan"),AND('Month-End'!$ED$8&lt;&gt;"",NOT(_xlfn.ISFORMULA('Month-End'!$ED$8)))),IF(N('Month-End'!$ED$8)&lt;0,1,0),0)+IF(AND(OR(Settings!$B$21="Card",Settings!$B$21="Loan"),AND('Month-End'!$ED$9&lt;&gt;"",NOT(_xlfn.ISFORMULA('Month-End'!$ED$9)))),IF(N('Month-End'!$ED$9)&lt;0,1,0),0)+IF(AND(OR(Settings!$B$22="Card",Settings!$B$22="Loan"),AND('Month-End'!$ED$10&lt;&gt;"",NOT(_xlfn.ISFORMULA('Month-End'!$ED$10)))),IF(N('Month-End'!$ED$10)&lt;0,1,0),0)+IF(AND(OR(Settings!$B$23="Card",Settings!$B$23="Loan"),AND('Month-End'!$ED$11&lt;&gt;"",NOT(_xlfn.ISFORMULA('Month-End'!$ED$11)))),IF(N('Month-End'!$ED$11)&lt;0,1,0),0)+IF(AND(OR(Settings!$B$24="Card",Settings!$B$24="Loan"),AND('Month-End'!$ED$12&lt;&gt;"",NOT(_xlfn.ISFORMULA('Month-End'!$ED$12)))),IF(N('Month-End'!$ED$12)&lt;0,1,0),0)+IF(AND(OR(Settings!$B$25="Card",Settings!$B$25="Loan"),AND('Month-End'!$ED$13&lt;&gt;"",NOT(_xlfn.ISFORMULA('Month-End'!$ED$13)))),IF(N('Month-End'!$ED$13)&lt;0,1,0),0)+IF(AND(OR(Settings!$B$26="Card",Settings!$B$26="Loan"),AND('Month-End'!$ED$14&lt;&gt;"",NOT(_xlfn.ISFORMULA('Month-End'!$ED$14)))),IF(N('Month-End'!$ED$14)&lt;0,1,0),0)+IF(AND(OR(Settings!$B$27="Card",Settings!$B$27="Loan"),AND('Month-End'!$ED$15&lt;&gt;"",NOT(_xlfn.ISFORMULA('Month-End'!$ED$15)))),IF(N('Month-End'!$ED$15)&lt;0,1,0),0)+IF(AND(OR(Settings!$B$28="Card",Settings!$B$28="Loan"),AND('Month-End'!$ED$16&lt;&gt;"",NOT(_xlfn.ISFORMULA('Month-End'!$ED$16)))),IF(N('Month-End'!$ED$16)&lt;0,1,0),0)+IF(AND(OR(Settings!$B$29="Card",Settings!$B$29="Loan"),AND('Month-End'!$ED$17&lt;&gt;"",NOT(_xlfn.ISFORMULA('Month-End'!$ED$17)))),IF(N('Month-End'!$ED$17)&lt;0,1,0),0)+IF(AND(OR(Settings!$B$30="Card",Settings!$B$30="Loan"),AND('Month-End'!$ED$18&lt;&gt;"",NOT(_xlfn.ISFORMULA('Month-End'!$ED$18)))),IF(N('Month-End'!$ED$18)&lt;0,1,0),0)+IF(AND(OR(Settings!$B$31="Card",Settings!$B$31="Loan"),AND('Month-End'!$ED$19&lt;&gt;"",NOT(_xlfn.ISFORMULA('Month-End'!$ED$19)))),IF(N('Month-End'!$ED$19)&lt;0,1,0),0)+IF(AND(OR(Settings!$B$32="Card",Settings!$B$32="Loan"),AND('Month-End'!$ED$20&lt;&gt;"",NOT(_xlfn.ISFORMULA('Month-End'!$ED$20)))),IF(N('Month-End'!$ED$20)&lt;0,1,0),0)</f>
        <v/>
      </c>
      <c r="DX137">
        <f>IF(Settings!$B$36="Retirement",$AY137,0)+IF(Settings!$B$37="Retirement",$AZ137,0)+IF(Settings!$B$38="Retirement",$BA137,0)+IF(Settings!$B$39="Retirement",$BB137,0)+IF(Settings!$B$40="Retirement",$BC137,0)+IF(Settings!$B$41="Retirement",$BD137,0)</f>
        <v/>
      </c>
      <c r="ET137">
        <f>IF($E137&lt;&gt;"open",0,IF(AND('Month-End'!$ED$22&lt;&gt;"",NOT(_xlfn.ISFORMULA('Month-End'!$ED$22))),0,IF(OR(Settings!$C$45="",Settings!$D$45=""),0,Settings!$C$45*IF(Settings!$D$45="Weekly",IF(IFERROR(MATCH(Settings!$E$45,$EO$4:$EO$10,0),0)=0,0,IF(MIN(Settings!$B$5,IF(Settings!$G$45="",Settings!$B$5,Settings!$G$45))&lt;MAX($A137,Settings!$F$45),0,INT((MIN(Settings!$B$5,IF(Settings!$G$45="",Settings!$B$5,Settings!$G$45))-MAX($A137,Settings!$F$45)-MOD(IFERROR(MATCH(Settings!$E$45,$EO$4:$EO$10,0),0)-WEEKDAY(MAX($A137,Settings!$F$45)),7))/7)+1)),IF(AND(IF(Settings!$E$45="",$B137,DATE(YEAR($A137),MONTH($A137),MIN(Settings!$E$45,DAY($B137))))&gt;=MAX($A137,Settings!$F$45),IF(Settings!$E$45="",$B137,DATE(YEAR($A137),MONTH($A137),MIN(Settings!$E$45,DAY($B137))))&lt;=MIN(Settings!$B$5,IF(Settings!$G$45="",Settings!$B$5,Settings!$G$45))),1,0)))))</f>
        <v/>
      </c>
      <c r="EU137">
        <f>IF($E137&lt;&gt;"open",0,IF(AND('Month-End'!$ED$23&lt;&gt;"",NOT(_xlfn.ISFORMULA('Month-End'!$ED$23))),0,IF(OR(Settings!$C$46="",Settings!$D$46=""),0,Settings!$C$46*IF(Settings!$D$46="Weekly",IF(IFERROR(MATCH(Settings!$E$46,$EO$4:$EO$10,0),0)=0,0,IF(MIN(Settings!$B$5,IF(Settings!$G$46="",Settings!$B$5,Settings!$G$46))&lt;MAX($A137,Settings!$F$46),0,INT((MIN(Settings!$B$5,IF(Settings!$G$46="",Settings!$B$5,Settings!$G$46))-MAX($A137,Settings!$F$46)-MOD(IFERROR(MATCH(Settings!$E$46,$EO$4:$EO$10,0),0)-WEEKDAY(MAX($A137,Settings!$F$46)),7))/7)+1)),IF(AND(IF(Settings!$E$46="",$B137,DATE(YEAR($A137),MONTH($A137),MIN(Settings!$E$46,DAY($B137))))&gt;=MAX($A137,Settings!$F$46),IF(Settings!$E$46="",$B137,DATE(YEAR($A137),MONTH($A137),MIN(Settings!$E$46,DAY($B137))))&lt;=MIN(Settings!$B$5,IF(Settings!$G$46="",Settings!$B$5,Settings!$G$46))),1,0)))))</f>
        <v/>
      </c>
      <c r="EV137">
        <f>IF($E137&lt;&gt;"open",0,IF(AND('Month-End'!$ED$24&lt;&gt;"",NOT(_xlfn.ISFORMULA('Month-End'!$ED$24))),0,IF(OR(Settings!$C$47="",Settings!$D$47=""),0,Settings!$C$47*IF(Settings!$D$47="Weekly",IF(IFERROR(MATCH(Settings!$E$47,$EO$4:$EO$10,0),0)=0,0,IF(MIN(Settings!$B$5,IF(Settings!$G$47="",Settings!$B$5,Settings!$G$47))&lt;MAX($A137,Settings!$F$47),0,INT((MIN(Settings!$B$5,IF(Settings!$G$47="",Settings!$B$5,Settings!$G$47))-MAX($A137,Settings!$F$47)-MOD(IFERROR(MATCH(Settings!$E$47,$EO$4:$EO$10,0),0)-WEEKDAY(MAX($A137,Settings!$F$47)),7))/7)+1)),IF(AND(IF(Settings!$E$47="",$B137,DATE(YEAR($A137),MONTH($A137),MIN(Settings!$E$47,DAY($B137))))&gt;=MAX($A137,Settings!$F$47),IF(Settings!$E$47="",$B137,DATE(YEAR($A137),MONTH($A137),MIN(Settings!$E$47,DAY($B137))))&lt;=MIN(Settings!$B$5,IF(Settings!$G$47="",Settings!$B$5,Settings!$G$47))),1,0)))))</f>
        <v/>
      </c>
      <c r="EW137">
        <f>IF($E137&lt;&gt;"open",0,IF(AND('Month-End'!$ED$25&lt;&gt;"",NOT(_xlfn.ISFORMULA('Month-End'!$ED$25))),0,IF(OR(Settings!$C$48="",Settings!$D$48=""),0,Settings!$C$48*IF(Settings!$D$48="Weekly",IF(IFERROR(MATCH(Settings!$E$48,$EO$4:$EO$10,0),0)=0,0,IF(MIN(Settings!$B$5,IF(Settings!$G$48="",Settings!$B$5,Settings!$G$48))&lt;MAX($A137,Settings!$F$48),0,INT((MIN(Settings!$B$5,IF(Settings!$G$48="",Settings!$B$5,Settings!$G$48))-MAX($A137,Settings!$F$48)-MOD(IFERROR(MATCH(Settings!$E$48,$EO$4:$EO$10,0),0)-WEEKDAY(MAX($A137,Settings!$F$48)),7))/7)+1)),IF(AND(IF(Settings!$E$48="",$B137,DATE(YEAR($A137),MONTH($A137),MIN(Settings!$E$48,DAY($B137))))&gt;=MAX($A137,Settings!$F$48),IF(Settings!$E$48="",$B137,DATE(YEAR($A137),MONTH($A137),MIN(Settings!$E$48,DAY($B137))))&lt;=MIN(Settings!$B$5,IF(Settings!$G$48="",Settings!$B$5,Settings!$G$48))),1,0)))))</f>
        <v/>
      </c>
      <c r="EX137">
        <f>IF($E137&lt;&gt;"open",0,IF(AND('Month-End'!$ED$26&lt;&gt;"",NOT(_xlfn.ISFORMULA('Month-End'!$ED$26))),0,IF(OR(Settings!$C$49="",Settings!$D$49=""),0,Settings!$C$49*IF(Settings!$D$49="Weekly",IF(IFERROR(MATCH(Settings!$E$49,$EO$4:$EO$10,0),0)=0,0,IF(MIN(Settings!$B$5,IF(Settings!$G$49="",Settings!$B$5,Settings!$G$49))&lt;MAX($A137,Settings!$F$49),0,INT((MIN(Settings!$B$5,IF(Settings!$G$49="",Settings!$B$5,Settings!$G$49))-MAX($A137,Settings!$F$49)-MOD(IFERROR(MATCH(Settings!$E$49,$EO$4:$EO$10,0),0)-WEEKDAY(MAX($A137,Settings!$F$49)),7))/7)+1)),IF(AND(IF(Settings!$E$49="",$B137,DATE(YEAR($A137),MONTH($A137),MIN(Settings!$E$49,DAY($B137))))&gt;=MAX($A137,Settings!$F$49),IF(Settings!$E$49="",$B137,DATE(YEAR($A137),MONTH($A137),MIN(Settings!$E$49,DAY($B137))))&lt;=MIN(Settings!$B$5,IF(Settings!$G$49="",Settings!$B$5,Settings!$G$49))),1,0)))))</f>
        <v/>
      </c>
      <c r="EY137">
        <f>IF($E137&lt;&gt;"open",0,IF(AND('Month-End'!$ED$27&lt;&gt;"",NOT(_xlfn.ISFORMULA('Month-End'!$ED$27))),0,IF(OR(Settings!$C$50="",Settings!$D$50=""),0,Settings!$C$50*IF(Settings!$D$50="Weekly",IF(IFERROR(MATCH(Settings!$E$50,$EO$4:$EO$10,0),0)=0,0,IF(MIN(Settings!$B$5,IF(Settings!$G$50="",Settings!$B$5,Settings!$G$50))&lt;MAX($A137,Settings!$F$50),0,INT((MIN(Settings!$B$5,IF(Settings!$G$50="",Settings!$B$5,Settings!$G$50))-MAX($A137,Settings!$F$50)-MOD(IFERROR(MATCH(Settings!$E$50,$EO$4:$EO$10,0),0)-WEEKDAY(MAX($A137,Settings!$F$50)),7))/7)+1)),IF(AND(IF(Settings!$E$50="",$B137,DATE(YEAR($A137),MONTH($A137),MIN(Settings!$E$50,DAY($B137))))&gt;=MAX($A137,Settings!$F$50),IF(Settings!$E$50="",$B137,DATE(YEAR($A137),MONTH($A137),MIN(Settings!$E$50,DAY($B137))))&lt;=MIN(Settings!$B$5,IF(Settings!$G$50="",Settings!$B$5,Settings!$G$50))),1,0)))))</f>
        <v/>
      </c>
      <c r="EZ137">
        <f>IF($E137&lt;&gt;"open",0,IF(AND('Month-End'!$ED$28&lt;&gt;"",NOT(_xlfn.ISFORMULA('Month-End'!$ED$28))),0,IF(OR(Settings!$C$51="",Settings!$D$51=""),0,Settings!$C$51*IF(Settings!$D$51="Weekly",IF(IFERROR(MATCH(Settings!$E$51,$EO$4:$EO$10,0),0)=0,0,IF(MIN(Settings!$B$5,IF(Settings!$G$51="",Settings!$B$5,Settings!$G$51))&lt;MAX($A137,Settings!$F$51),0,INT((MIN(Settings!$B$5,IF(Settings!$G$51="",Settings!$B$5,Settings!$G$51))-MAX($A137,Settings!$F$51)-MOD(IFERROR(MATCH(Settings!$E$51,$EO$4:$EO$10,0),0)-WEEKDAY(MAX($A137,Settings!$F$51)),7))/7)+1)),IF(AND(IF(Settings!$E$51="",$B137,DATE(YEAR($A137),MONTH($A137),MIN(Settings!$E$51,DAY($B137))))&gt;=MAX($A137,Settings!$F$51),IF(Settings!$E$51="",$B137,DATE(YEAR($A137),MONTH($A137),MIN(Settings!$E$51,DAY($B137))))&lt;=MIN(Settings!$B$5,IF(Settings!$G$51="",Settings!$B$5,Settings!$G$51))),1,0)))))</f>
        <v/>
      </c>
      <c r="FA137">
        <f>IF($E137&lt;&gt;"open",0,IF(AND('Month-End'!$ED$29&lt;&gt;"",NOT(_xlfn.ISFORMULA('Month-End'!$ED$29))),0,IF(OR(Settings!$C$52="",Settings!$D$52=""),0,Settings!$C$52*IF(Settings!$D$52="Weekly",IF(IFERROR(MATCH(Settings!$E$52,$EO$4:$EO$10,0),0)=0,0,IF(MIN(Settings!$B$5,IF(Settings!$G$52="",Settings!$B$5,Settings!$G$52))&lt;MAX($A137,Settings!$F$52),0,INT((MIN(Settings!$B$5,IF(Settings!$G$52="",Settings!$B$5,Settings!$G$52))-MAX($A137,Settings!$F$52)-MOD(IFERROR(MATCH(Settings!$E$52,$EO$4:$EO$10,0),0)-WEEKDAY(MAX($A137,Settings!$F$52)),7))/7)+1)),IF(AND(IF(Settings!$E$52="",$B137,DATE(YEAR($A137),MONTH($A137),MIN(Settings!$E$52,DAY($B137))))&gt;=MAX($A137,Settings!$F$52),IF(Settings!$E$52="",$B137,DATE(YEAR($A137),MONTH($A137),MIN(Settings!$E$52,DAY($B137))))&lt;=MIN(Settings!$B$5,IF(Settings!$G$52="",Settings!$B$5,Settings!$G$52))),1,0)))))</f>
        <v/>
      </c>
      <c r="FB137">
        <f>IF($E137&lt;&gt;"open",0,IF(AND('Month-End'!$ED$30&lt;&gt;"",NOT(_xlfn.ISFORMULA('Month-End'!$ED$30))),0,IF(OR(Settings!$C$53="",Settings!$D$53=""),0,Settings!$C$53*IF(Settings!$D$53="Weekly",IF(IFERROR(MATCH(Settings!$E$53,$EO$4:$EO$10,0),0)=0,0,IF(MIN(Settings!$B$5,IF(Settings!$G$53="",Settings!$B$5,Settings!$G$53))&lt;MAX($A137,Settings!$F$53),0,INT((MIN(Settings!$B$5,IF(Settings!$G$53="",Settings!$B$5,Settings!$G$53))-MAX($A137,Settings!$F$53)-MOD(IFERROR(MATCH(Settings!$E$53,$EO$4:$EO$10,0),0)-WEEKDAY(MAX($A137,Settings!$F$53)),7))/7)+1)),IF(AND(IF(Settings!$E$53="",$B137,DATE(YEAR($A137),MONTH($A137),MIN(Settings!$E$53,DAY($B137))))&gt;=MAX($A137,Settings!$F$53),IF(Settings!$E$53="",$B137,DATE(YEAR($A137),MONTH($A137),MIN(Settings!$E$53,DAY($B137))))&lt;=MIN(Settings!$B$5,IF(Settings!$G$53="",Settings!$B$5,Settings!$G$53))),1,0)))))</f>
        <v/>
      </c>
      <c r="FC137">
        <f>IF($E137&lt;&gt;"open",0,IF(AND('Month-End'!$ED$31&lt;&gt;"",NOT(_xlfn.ISFORMULA('Month-End'!$ED$31))),0,IF(OR(Settings!$C$54="",Settings!$D$54=""),0,Settings!$C$54*IF(Settings!$D$54="Weekly",IF(IFERROR(MATCH(Settings!$E$54,$EO$4:$EO$10,0),0)=0,0,IF(MIN(Settings!$B$5,IF(Settings!$G$54="",Settings!$B$5,Settings!$G$54))&lt;MAX($A137,Settings!$F$54),0,INT((MIN(Settings!$B$5,IF(Settings!$G$54="",Settings!$B$5,Settings!$G$54))-MAX($A137,Settings!$F$54)-MOD(IFERROR(MATCH(Settings!$E$54,$EO$4:$EO$10,0),0)-WEEKDAY(MAX($A137,Settings!$F$54)),7))/7)+1)),IF(AND(IF(Settings!$E$54="",$B137,DATE(YEAR($A137),MONTH($A137),MIN(Settings!$E$54,DAY($B137))))&gt;=MAX($A137,Settings!$F$54),IF(Settings!$E$54="",$B137,DATE(YEAR($A137),MONTH($A137),MIN(Settings!$E$54,DAY($B137))))&lt;=MIN(Settings!$B$5,IF(Settings!$G$54="",Settings!$B$5,Settings!$G$54))),1,0)))))</f>
        <v/>
      </c>
      <c r="FD137">
        <f>IF($E137&lt;&gt;"open",0,IF(AND('Month-End'!$ED$32&lt;&gt;"",NOT(_xlfn.ISFORMULA('Month-End'!$ED$32))),0,IF(OR(Settings!$C$55="",Settings!$D$55=""),0,Settings!$C$55*IF(Settings!$D$55="Weekly",IF(IFERROR(MATCH(Settings!$E$55,$EO$4:$EO$10,0),0)=0,0,IF(MIN(Settings!$B$5,IF(Settings!$G$55="",Settings!$B$5,Settings!$G$55))&lt;MAX($A137,Settings!$F$55),0,INT((MIN(Settings!$B$5,IF(Settings!$G$55="",Settings!$B$5,Settings!$G$55))-MAX($A137,Settings!$F$55)-MOD(IFERROR(MATCH(Settings!$E$55,$EO$4:$EO$10,0),0)-WEEKDAY(MAX($A137,Settings!$F$55)),7))/7)+1)),IF(AND(IF(Settings!$E$55="",$B137,DATE(YEAR($A137),MONTH($A137),MIN(Settings!$E$55,DAY($B137))))&gt;=MAX($A137,Settings!$F$55),IF(Settings!$E$55="",$B137,DATE(YEAR($A137),MONTH($A137),MIN(Settings!$E$55,DAY($B137))))&lt;=MIN(Settings!$B$5,IF(Settings!$G$55="",Settings!$B$5,Settings!$G$55))),1,0)))))</f>
        <v/>
      </c>
      <c r="FE137">
        <f>IF($E137&lt;&gt;"open",0,IF(AND('Month-End'!$ED$33&lt;&gt;"",NOT(_xlfn.ISFORMULA('Month-End'!$ED$33))),0,IF(OR(Settings!$C$56="",Settings!$D$56=""),0,Settings!$C$56*IF(Settings!$D$56="Weekly",IF(IFERROR(MATCH(Settings!$E$56,$EO$4:$EO$10,0),0)=0,0,IF(MIN(Settings!$B$5,IF(Settings!$G$56="",Settings!$B$5,Settings!$G$56))&lt;MAX($A137,Settings!$F$56),0,INT((MIN(Settings!$B$5,IF(Settings!$G$56="",Settings!$B$5,Settings!$G$56))-MAX($A137,Settings!$F$56)-MOD(IFERROR(MATCH(Settings!$E$56,$EO$4:$EO$10,0),0)-WEEKDAY(MAX($A137,Settings!$F$56)),7))/7)+1)),IF(AND(IF(Settings!$E$56="",$B137,DATE(YEAR($A137),MONTH($A137),MIN(Settings!$E$56,DAY($B137))))&gt;=MAX($A137,Settings!$F$56),IF(Settings!$E$56="",$B137,DATE(YEAR($A137),MONTH($A137),MIN(Settings!$E$56,DAY($B137))))&lt;=MIN(Settings!$B$5,IF(Settings!$G$56="",Settings!$B$5,Settings!$G$56))),1,0)))))</f>
        <v/>
      </c>
      <c r="FF137">
        <f>IF(Settings!$I$45="Yes",$G137,0)+IF(Settings!$I$46="Yes",$H137,0)+IF(Settings!$I$47="Yes",$I137,0)+IF(Settings!$I$48="Yes",$J137,0)+IF(Settings!$I$49="Yes",$K137,0)+IF(Settings!$I$50="Yes",$L137,0)+IF(Settings!$I$51="Yes",$M137,0)+IF(Settings!$I$52="Yes",$N137,0)+IF(Settings!$I$53="Yes",$O137,0)+IF(Settings!$I$54="Yes",$P137,0)+IF(Settings!$I$55="Yes",$Q137,0)+IF(Settings!$I$56="Yes",$R137,0)</f>
        <v/>
      </c>
      <c r="FG137">
        <f>IF(AND(Settings!$I$45="Yes",Settings!$J$45="No"),$G137,0)+IF(AND(Settings!$I$46="Yes",Settings!$J$46="No"),$H137,0)+IF(AND(Settings!$I$47="Yes",Settings!$J$47="No"),$I137,0)+IF(AND(Settings!$I$48="Yes",Settings!$J$48="No"),$J137,0)+IF(AND(Settings!$I$49="Yes",Settings!$J$49="No"),$K137,0)+IF(AND(Settings!$I$50="Yes",Settings!$J$50="No"),$L137,0)+IF(AND(Settings!$I$51="Yes",Settings!$J$51="No"),$M137,0)+IF(AND(Settings!$I$52="Yes",Settings!$J$52="No"),$N137,0)+IF(AND(Settings!$I$53="Yes",Settings!$J$53="No"),$O137,0)+IF(AND(Settings!$I$54="Yes",Settings!$J$54="No"),$P137,0)+IF(AND(Settings!$I$55="Yes",Settings!$J$55="No"),$Q137,0)+IF(AND(Settings!$I$56="Yes",Settings!$J$56="No"),$R137,0)</f>
        <v/>
      </c>
      <c r="FH137">
        <f>SUMIFS(Giving!$B$7:$B$2006,Giving!$A$7:$A$2006,"&gt;="&amp;$A137,Giving!$A$7:$A$2006,"&lt;="&amp;$B137,Giving!$G$7:$G$2006,"Yes")+IF(OR(OR(Settings!$B$60="",Settings!$F$60="No"),Settings!$H$60&lt;&gt;"Yes"),0,Settings!$B$60*IF(AND(IF(Settings!$C$60="",$B137,DATE(YEAR($A137),MONTH($A137),MIN(Settings!$C$60,DAY($B137))))&gt;=MAX($A137,Settings!$D$60),IF(Settings!$C$60="",$B137,DATE(YEAR($A137),MONTH($A137),MIN(Settings!$C$60,DAY($B137))))&lt;=MIN($C137,IF(Settings!$E$60="",$C137,Settings!$E$60))),1,0))+IF(OR(OR(Settings!$B$61="",Settings!$F$61="No"),Settings!$H$61&lt;&gt;"Yes"),0,Settings!$B$61*IF(AND(IF(Settings!$C$61="",$B137,DATE(YEAR($A137),MONTH($A137),MIN(Settings!$C$61,DAY($B137))))&gt;=MAX($A137,Settings!$D$61),IF(Settings!$C$61="",$B137,DATE(YEAR($A137),MONTH($A137),MIN(Settings!$C$61,DAY($B137))))&lt;=MIN($C137,IF(Settings!$E$61="",$C137,Settings!$E$61))),1,0))+IF(OR(OR(Settings!$B$62="",Settings!$F$62="No"),Settings!$H$62&lt;&gt;"Yes"),0,Settings!$B$62*IF(AND(IF(Settings!$C$62="",$B137,DATE(YEAR($A137),MONTH($A137),MIN(Settings!$C$62,DAY($B137))))&gt;=MAX($A137,Settings!$D$62),IF(Settings!$C$62="",$B137,DATE(YEAR($A137),MONTH($A137),MIN(Settings!$C$62,DAY($B137))))&lt;=MIN($C137,IF(Settings!$E$62="",$C137,Settings!$E$62))),1,0))+IF(OR(OR(Settings!$B$63="",Settings!$F$63="No"),Settings!$H$63&lt;&gt;"Yes"),0,Settings!$B$63*IF(AND(IF(Settings!$C$63="",$B137,DATE(YEAR($A137),MONTH($A137),MIN(Settings!$C$63,DAY($B137))))&gt;=MAX($A137,Settings!$D$63),IF(Settings!$C$63="",$B137,DATE(YEAR($A137),MONTH($A137),MIN(Settings!$C$63,DAY($B137))))&lt;=MIN($C137,IF(Settings!$E$63="",$C137,Settings!$E$63))),1,0))+IF(OR(OR(Settings!$B$64="",Settings!$F$64="No"),Settings!$H$64&lt;&gt;"Yes"),0,Settings!$B$64*IF(AND(IF(Settings!$C$64="",$B137,DATE(YEAR($A137),MONTH($A137),MIN(Settings!$C$64,DAY($B137))))&gt;=MAX($A137,Settings!$D$64),IF(Settings!$C$64="",$B137,DATE(YEAR($A137),MONTH($A137),MIN(Settings!$C$64,DAY($B137))))&lt;=MIN($C137,IF(Settings!$E$64="",$C137,Settings!$E$64))),1,0))+IF(OR(OR(Settings!$B$65="",Settings!$F$65="No"),Settings!$H$65&lt;&gt;"Yes"),0,Settings!$B$65*IF(AND(IF(Settings!$C$65="",$B137,DATE(YEAR($A137),MONTH($A137),MIN(Settings!$C$65,DAY($B137))))&gt;=MAX($A137,Settings!$D$65),IF(Settings!$C$65="",$B137,DATE(YEAR($A137),MONTH($A137),MIN(Settings!$C$65,DAY($B137))))&lt;=MIN($C137,IF(Settings!$E$65="",$C137,Settings!$E$65))),1,0))</f>
        <v/>
      </c>
      <c r="FI137">
        <f>IF($DT137=1,IF(OR(Settings!$B$19="Card",Settings!$B$19="Loan"),N($AE137),0)+IF(OR(Settings!$B$20="Card",Settings!$B$20="Loan"),N($AF137),0)+IF(OR(Settings!$B$21="Card",Settings!$B$21="Loan"),N($AG137),0)+IF(OR(Settings!$B$22="Card",Settings!$B$22="Loan"),N($AH137),0)+IF(OR(Settings!$B$23="Card",Settings!$B$23="Loan"),N($AI137),0)+IF(OR(Settings!$B$24="Card",Settings!$B$24="Loan"),N($AJ137),0)+IF(OR(Settings!$B$25="Card",Settings!$B$25="Loan"),N($AK137),0)+IF(OR(Settings!$B$26="Card",Settings!$B$26="Loan"),N($AL137),0)+IF(OR(Settings!$B$27="Card",Settings!$B$27="Loan"),N($AM137),0)+IF(OR(Settings!$B$28="Card",Settings!$B$28="Loan"),N($AN137),0)+IF(OR(Settings!$B$29="Card",Settings!$B$29="Loan"),N($AO137),0)+IF(OR(Settings!$B$30="Card",Settings!$B$30="Loan"),N($AP137),0)+IF(OR(Settings!$B$31="Card",Settings!$B$31="Loan"),N($AQ137),0)+IF(OR(Settings!$B$32="Card",Settings!$B$32="Loan"),N($AR137),0),"")</f>
        <v/>
      </c>
      <c r="FJ137">
        <f>IF($E137="open",$EB$65,IF($E137="post",IF($E136="pre",$EB$65,$FI136),""))</f>
        <v/>
      </c>
      <c r="FK137">
        <f>IF(AND($DT137=1,$DC137=1),IF(ROUND($FI137-$FJ137,2)&gt;0,1,0),0)</f>
        <v/>
      </c>
      <c r="FL137">
        <f>IF($FK137=1,$FL136+1,0)</f>
        <v/>
      </c>
    </row>
    <row r="138">
      <c r="A138">
        <f>'Month-End'!$EE$4</f>
        <v/>
      </c>
      <c r="B138">
        <f>EOMONTH($A138,0)</f>
        <v/>
      </c>
      <c r="C138">
        <f>MIN($B138,TODAY())</f>
        <v/>
      </c>
      <c r="D138">
        <f>IF($A138&gt;TODAY(),1,0)</f>
        <v/>
      </c>
      <c r="E138">
        <f>IF($B138&lt;=Settings!$B$5,"pre",IF($A138&lt;=Settings!$B$5,"open","post"))</f>
        <v/>
      </c>
      <c r="G138">
        <f>IF('Month-End'!$EE$22="",$BE138,N('Month-End'!$EE$22))</f>
        <v/>
      </c>
      <c r="H138">
        <f>IF('Month-End'!$EE$23="",$BF138,N('Month-End'!$EE$23))</f>
        <v/>
      </c>
      <c r="I138">
        <f>IF('Month-End'!$EE$24="",$BG138,N('Month-End'!$EE$24))</f>
        <v/>
      </c>
      <c r="J138">
        <f>IF('Month-End'!$EE$25="",$BH138,N('Month-End'!$EE$25))</f>
        <v/>
      </c>
      <c r="K138">
        <f>IF('Month-End'!$EE$26="",$BI138,N('Month-End'!$EE$26))</f>
        <v/>
      </c>
      <c r="L138">
        <f>IF('Month-End'!$EE$27="",$BJ138,N('Month-End'!$EE$27))</f>
        <v/>
      </c>
      <c r="M138">
        <f>IF('Month-End'!$EE$28="",$BK138,N('Month-End'!$EE$28))</f>
        <v/>
      </c>
      <c r="N138">
        <f>IF('Month-End'!$EE$29="",$BL138,N('Month-End'!$EE$29))</f>
        <v/>
      </c>
      <c r="O138">
        <f>IF('Month-End'!$EE$30="",$BM138,N('Month-End'!$EE$30))</f>
        <v/>
      </c>
      <c r="P138">
        <f>IF('Month-End'!$EE$31="",$BN138,N('Month-End'!$EE$31))</f>
        <v/>
      </c>
      <c r="Q138">
        <f>IF('Month-End'!$EE$32="",$BO138,N('Month-End'!$EE$32))</f>
        <v/>
      </c>
      <c r="R138">
        <f>IF('Month-End'!$EE$33="",$BP138,N('Month-End'!$EE$33))</f>
        <v/>
      </c>
      <c r="S138">
        <f>$G138+$H138+$I138+$J138+$K138+$L138+$M138+$N138+$O138+$P138+$Q138+$R138</f>
        <v/>
      </c>
      <c r="T138">
        <f>IF($B138&lt;Settings!$B$6,0,IF(Settings!$B$45="Yes",$G138,0)+IF(Settings!$B$46="Yes",$H138,0)+IF(Settings!$B$47="Yes",$I138,0)+IF(Settings!$B$48="Yes",$J138,0)+IF(Settings!$B$49="Yes",$K138,0)+IF(Settings!$B$50="Yes",$L138,0)+IF(Settings!$B$51="Yes",$M138,0)+IF(Settings!$B$52="Yes",$N138,0)+IF(Settings!$B$53="Yes",$O138,0)+IF(Settings!$B$54="Yes",$P138,0)+IF(Settings!$B$55="Yes",$Q138,0)+IF(Settings!$B$56="Yes",$R138,0))</f>
        <v/>
      </c>
      <c r="U138">
        <f>IF(Settings!$B$45="Not Sure",$G138,0)+IF(Settings!$B$46="Not Sure",$H138,0)+IF(Settings!$B$47="Not Sure",$I138,0)+IF(Settings!$B$48="Not Sure",$J138,0)+IF(Settings!$B$49="Not Sure",$K138,0)+IF(Settings!$B$50="Not Sure",$L138,0)+IF(Settings!$B$51="Not Sure",$M138,0)+IF(Settings!$B$52="Not Sure",$N138,0)+IF(Settings!$B$53="Not Sure",$O138,0)+IF(Settings!$B$54="Not Sure",$P138,0)+IF(Settings!$B$55="Not Sure",$Q138,0)+IF(Settings!$B$56="Not Sure",$R138,0)</f>
        <v/>
      </c>
      <c r="V138">
        <f>IF($E138="open",SUM($ET138:$FE138)+N(Settings!$B$13),0)</f>
        <v/>
      </c>
      <c r="W138">
        <f>IF($E138="post",$S138,IF($E138="open",$S138-$V138,0))</f>
        <v/>
      </c>
      <c r="X138">
        <f>SUMIFS(Giving!$B$7:$B$2006,Giving!$A$7:$A$2006,"&gt;="&amp;$A138,Giving!$A$7:$A$2006,"&lt;="&amp;$B138,Giving!$E$7:$E$2006,"&lt;&gt;No")</f>
        <v/>
      </c>
      <c r="Y138">
        <f>SUMIFS(Giving!$B$7:$B$2006,Giving!$A$7:$A$2006,"&gt;="&amp;$A138,Giving!$A$7:$A$2006,"&lt;="&amp;$B138,Giving!$E$7:$E$2006,"No")</f>
        <v/>
      </c>
      <c r="Z138">
        <f>IF(OR(Settings!$B$60="",Settings!$F$60="No"),0,Settings!$B$60*IF(AND(IF(Settings!$C$60="",$B138,DATE(YEAR($A138),MONTH($A138),MIN(Settings!$C$60,DAY($B138))))&gt;=MAX($A138,Settings!$D$60),IF(Settings!$C$60="",$B138,DATE(YEAR($A138),MONTH($A138),MIN(Settings!$C$60,DAY($B138))))&lt;=MIN($C138,IF(Settings!$E$60="",$C138,Settings!$E$60))),1,0))+IF(OR(Settings!$B$61="",Settings!$F$61="No"),0,Settings!$B$61*IF(AND(IF(Settings!$C$61="",$B138,DATE(YEAR($A138),MONTH($A138),MIN(Settings!$C$61,DAY($B138))))&gt;=MAX($A138,Settings!$D$61),IF(Settings!$C$61="",$B138,DATE(YEAR($A138),MONTH($A138),MIN(Settings!$C$61,DAY($B138))))&lt;=MIN($C138,IF(Settings!$E$61="",$C138,Settings!$E$61))),1,0))+IF(OR(Settings!$B$62="",Settings!$F$62="No"),0,Settings!$B$62*IF(AND(IF(Settings!$C$62="",$B138,DATE(YEAR($A138),MONTH($A138),MIN(Settings!$C$62,DAY($B138))))&gt;=MAX($A138,Settings!$D$62),IF(Settings!$C$62="",$B138,DATE(YEAR($A138),MONTH($A138),MIN(Settings!$C$62,DAY($B138))))&lt;=MIN($C138,IF(Settings!$E$62="",$C138,Settings!$E$62))),1,0))+IF(OR(Settings!$B$63="",Settings!$F$63="No"),0,Settings!$B$63*IF(AND(IF(Settings!$C$63="",$B138,DATE(YEAR($A138),MONTH($A138),MIN(Settings!$C$63,DAY($B138))))&gt;=MAX($A138,Settings!$D$63),IF(Settings!$C$63="",$B138,DATE(YEAR($A138),MONTH($A138),MIN(Settings!$C$63,DAY($B138))))&lt;=MIN($C138,IF(Settings!$E$63="",$C138,Settings!$E$63))),1,0))+IF(OR(Settings!$B$64="",Settings!$F$64="No"),0,Settings!$B$64*IF(AND(IF(Settings!$C$64="",$B138,DATE(YEAR($A138),MONTH($A138),MIN(Settings!$C$64,DAY($B138))))&gt;=MAX($A138,Settings!$D$64),IF(Settings!$C$64="",$B138,DATE(YEAR($A138),MONTH($A138),MIN(Settings!$C$64,DAY($B138))))&lt;=MIN($C138,IF(Settings!$E$64="",$C138,Settings!$E$64))),1,0))+IF(OR(Settings!$B$65="",Settings!$F$65="No"),0,Settings!$B$65*IF(AND(IF(Settings!$C$65="",$B138,DATE(YEAR($A138),MONTH($A138),MIN(Settings!$C$65,DAY($B138))))&gt;=MAX($A138,Settings!$D$65),IF(Settings!$C$65="",$B138,DATE(YEAR($A138),MONTH($A138),MIN(Settings!$C$65,DAY($B138))))&lt;=MIN($C138,IF(Settings!$E$65="",$C138,Settings!$E$65))),1,0))</f>
        <v/>
      </c>
      <c r="AA138">
        <f>$X138+$Z138</f>
        <v/>
      </c>
      <c r="AB138">
        <f>IF($E138="post",$AA138,IF($E138="open",SUMIFS(Giving!$B$7:$B$2006,Giving!$A$7:$A$2006,"&gt;"&amp;Settings!$B$5,Giving!$A$7:$A$2006,"&lt;="&amp;$B138,Giving!$E$7:$E$2006,"&lt;&gt;No")+IF(OR(Settings!$B$60="",Settings!$F$60="No"),0,Settings!$B$60*IF(AND(IF(Settings!$C$60="",$B138,DATE(YEAR($A138),MONTH($A138),MIN(Settings!$C$60,DAY($B138))))&gt;=MAX($A138,Settings!$D$60,Settings!$B$5+1),IF(Settings!$C$60="",$B138,DATE(YEAR($A138),MONTH($A138),MIN(Settings!$C$60,DAY($B138))))&lt;=MIN($C138,IF(Settings!$E$60="",$C138,Settings!$E$60))),1,0))+IF(OR(Settings!$B$61="",Settings!$F$61="No"),0,Settings!$B$61*IF(AND(IF(Settings!$C$61="",$B138,DATE(YEAR($A138),MONTH($A138),MIN(Settings!$C$61,DAY($B138))))&gt;=MAX($A138,Settings!$D$61,Settings!$B$5+1),IF(Settings!$C$61="",$B138,DATE(YEAR($A138),MONTH($A138),MIN(Settings!$C$61,DAY($B138))))&lt;=MIN($C138,IF(Settings!$E$61="",$C138,Settings!$E$61))),1,0))+IF(OR(Settings!$B$62="",Settings!$F$62="No"),0,Settings!$B$62*IF(AND(IF(Settings!$C$62="",$B138,DATE(YEAR($A138),MONTH($A138),MIN(Settings!$C$62,DAY($B138))))&gt;=MAX($A138,Settings!$D$62,Settings!$B$5+1),IF(Settings!$C$62="",$B138,DATE(YEAR($A138),MONTH($A138),MIN(Settings!$C$62,DAY($B138))))&lt;=MIN($C138,IF(Settings!$E$62="",$C138,Settings!$E$62))),1,0))+IF(OR(Settings!$B$63="",Settings!$F$63="No"),0,Settings!$B$63*IF(AND(IF(Settings!$C$63="",$B138,DATE(YEAR($A138),MONTH($A138),MIN(Settings!$C$63,DAY($B138))))&gt;=MAX($A138,Settings!$D$63,Settings!$B$5+1),IF(Settings!$C$63="",$B138,DATE(YEAR($A138),MONTH($A138),MIN(Settings!$C$63,DAY($B138))))&lt;=MIN($C138,IF(Settings!$E$63="",$C138,Settings!$E$63))),1,0))+IF(OR(Settings!$B$64="",Settings!$F$64="No"),0,Settings!$B$64*IF(AND(IF(Settings!$C$64="",$B138,DATE(YEAR($A138),MONTH($A138),MIN(Settings!$C$64,DAY($B138))))&gt;=MAX($A138,Settings!$D$64,Settings!$B$5+1),IF(Settings!$C$64="",$B138,DATE(YEAR($A138),MONTH($A138),MIN(Settings!$C$64,DAY($B138))))&lt;=MIN($C138,IF(Settings!$E$64="",$C138,Settings!$E$64))),1,0))+IF(OR(Settings!$B$65="",Settings!$F$65="No"),0,Settings!$B$65*IF(AND(IF(Settings!$C$65="",$B138,DATE(YEAR($A138),MONTH($A138),MIN(Settings!$C$65,DAY($B138))))&gt;=MAX($A138,Settings!$D$65,Settings!$B$5+1),IF(Settings!$C$65="",$B138,DATE(YEAR($A138),MONTH($A138),MIN(Settings!$C$65,DAY($B138))))&lt;=MIN($C138,IF(Settings!$E$65="",$C138,Settings!$E$65))),1,0)),0))</f>
        <v/>
      </c>
      <c r="AC138">
        <f>$AY138+$AZ138+$BA138+$BB138+$BC138+$BD138</f>
        <v/>
      </c>
      <c r="AD138">
        <f>$AC138</f>
        <v/>
      </c>
      <c r="AE138">
        <f>IF(OR(Settings!$A$19="",$E138="pre"),"",IF(AND('Month-End'!$EE$7&lt;&gt;"",NOT(_xlfn.ISFORMULA('Month-End'!$EE$7))),N('Month-End'!$EE$7),IF(OR($E138="open",$E137="pre"),N(Settings!$C$19),N($AE137))))</f>
        <v/>
      </c>
      <c r="AF138">
        <f>IF(OR(Settings!$A$20="",$E138="pre"),"",IF(AND('Month-End'!$EE$8&lt;&gt;"",NOT(_xlfn.ISFORMULA('Month-End'!$EE$8))),N('Month-End'!$EE$8),IF(OR($E138="open",$E137="pre"),N(Settings!$C$20),N($AF137))))</f>
        <v/>
      </c>
      <c r="AG138">
        <f>IF(OR(Settings!$A$21="",$E138="pre"),"",IF(AND('Month-End'!$EE$9&lt;&gt;"",NOT(_xlfn.ISFORMULA('Month-End'!$EE$9))),N('Month-End'!$EE$9),IF(OR($E138="open",$E137="pre"),N(Settings!$C$21),N($AG137))))</f>
        <v/>
      </c>
      <c r="AH138">
        <f>IF(OR(Settings!$A$22="",$E138="pre"),"",IF(AND('Month-End'!$EE$10&lt;&gt;"",NOT(_xlfn.ISFORMULA('Month-End'!$EE$10))),N('Month-End'!$EE$10),IF(OR($E138="open",$E137="pre"),N(Settings!$C$22),N($AH137))))</f>
        <v/>
      </c>
      <c r="AI138">
        <f>IF(OR(Settings!$A$23="",$E138="pre"),"",IF(AND('Month-End'!$EE$11&lt;&gt;"",NOT(_xlfn.ISFORMULA('Month-End'!$EE$11))),N('Month-End'!$EE$11),IF(OR($E138="open",$E137="pre"),N(Settings!$C$23),N($AI137))))</f>
        <v/>
      </c>
      <c r="AJ138">
        <f>IF(OR(Settings!$A$24="",$E138="pre"),"",IF(AND('Month-End'!$EE$12&lt;&gt;"",NOT(_xlfn.ISFORMULA('Month-End'!$EE$12))),N('Month-End'!$EE$12),IF(OR($E138="open",$E137="pre"),N(Settings!$C$24),N($AJ137))))</f>
        <v/>
      </c>
      <c r="AK138">
        <f>IF(OR(Settings!$A$25="",$E138="pre"),"",IF(AND('Month-End'!$EE$13&lt;&gt;"",NOT(_xlfn.ISFORMULA('Month-End'!$EE$13))),N('Month-End'!$EE$13),IF(OR($E138="open",$E137="pre"),N(Settings!$C$25),N($AK137))))</f>
        <v/>
      </c>
      <c r="AL138">
        <f>IF(OR(Settings!$A$26="",$E138="pre"),"",IF(AND('Month-End'!$EE$14&lt;&gt;"",NOT(_xlfn.ISFORMULA('Month-End'!$EE$14))),N('Month-End'!$EE$14),IF(OR($E138="open",$E137="pre"),N(Settings!$C$26),N($AL137))))</f>
        <v/>
      </c>
      <c r="AM138">
        <f>IF(OR(Settings!$A$27="",$E138="pre"),"",IF(AND('Month-End'!$EE$15&lt;&gt;"",NOT(_xlfn.ISFORMULA('Month-End'!$EE$15))),N('Month-End'!$EE$15),IF(OR($E138="open",$E137="pre"),N(Settings!$C$27),N($AM137))))</f>
        <v/>
      </c>
      <c r="AN138">
        <f>IF(OR(Settings!$A$28="",$E138="pre"),"",IF(AND('Month-End'!$EE$16&lt;&gt;"",NOT(_xlfn.ISFORMULA('Month-End'!$EE$16))),N('Month-End'!$EE$16),IF(OR($E138="open",$E137="pre"),N(Settings!$C$28),N($AN137))))</f>
        <v/>
      </c>
      <c r="AO138">
        <f>IF(OR(Settings!$A$29="",$E138="pre"),"",IF(AND('Month-End'!$EE$17&lt;&gt;"",NOT(_xlfn.ISFORMULA('Month-End'!$EE$17))),N('Month-End'!$EE$17),IF(OR($E138="open",$E137="pre"),N(Settings!$C$29),N($AO137))))</f>
        <v/>
      </c>
      <c r="AP138">
        <f>IF(OR(Settings!$A$30="",$E138="pre"),"",IF(AND('Month-End'!$EE$18&lt;&gt;"",NOT(_xlfn.ISFORMULA('Month-End'!$EE$18))),N('Month-End'!$EE$18),IF(OR($E138="open",$E137="pre"),N(Settings!$C$30),N($AP137))))</f>
        <v/>
      </c>
      <c r="AQ138">
        <f>IF(OR(Settings!$A$31="",$E138="pre"),"",IF(AND('Month-End'!$EE$19&lt;&gt;"",NOT(_xlfn.ISFORMULA('Month-End'!$EE$19))),N('Month-End'!$EE$19),IF(OR($E138="open",$E137="pre"),N(Settings!$C$31),N($AQ137))))</f>
        <v/>
      </c>
      <c r="AR138">
        <f>IF(OR(Settings!$A$32="",$E138="pre"),"",IF(AND('Month-End'!$EE$20&lt;&gt;"",NOT(_xlfn.ISFORMULA('Month-End'!$EE$20))),N('Month-End'!$EE$20),IF(OR($E138="open",$E137="pre"),N(Settings!$C$32),N($AR137))))</f>
        <v/>
      </c>
      <c r="AS138">
        <f>IF(OR(Settings!$A$36="",$E138="pre"),"",IF(AND('Month-End'!$EE$38&lt;&gt;"",NOT(_xlfn.ISFORMULA('Month-End'!$EE$38))),N('Month-End'!$EE$38),IF(OR($E138="open",$E137="pre"),N(Settings!$C$36),N($AS137))+$AY138))</f>
        <v/>
      </c>
      <c r="AT138">
        <f>IF(OR(Settings!$A$37="",$E138="pre"),"",IF(AND('Month-End'!$EE$39&lt;&gt;"",NOT(_xlfn.ISFORMULA('Month-End'!$EE$39))),N('Month-End'!$EE$39),IF(OR($E138="open",$E137="pre"),N(Settings!$C$37),N($AT137))+$AZ138))</f>
        <v/>
      </c>
      <c r="AU138">
        <f>IF(OR(Settings!$A$38="",$E138="pre"),"",IF(AND('Month-End'!$EE$40&lt;&gt;"",NOT(_xlfn.ISFORMULA('Month-End'!$EE$40))),N('Month-End'!$EE$40),IF(OR($E138="open",$E137="pre"),N(Settings!$C$38),N($AU137))+$BA138))</f>
        <v/>
      </c>
      <c r="AV138">
        <f>IF(OR(Settings!$A$39="",$E138="pre"),"",IF(AND('Month-End'!$EE$41&lt;&gt;"",NOT(_xlfn.ISFORMULA('Month-End'!$EE$41))),N('Month-End'!$EE$41),IF(OR($E138="open",$E137="pre"),N(Settings!$C$39),N($AV137))+$BB138))</f>
        <v/>
      </c>
      <c r="AW138">
        <f>IF(OR(Settings!$A$40="",$E138="pre"),"",IF(AND('Month-End'!$EE$42&lt;&gt;"",NOT(_xlfn.ISFORMULA('Month-End'!$EE$42))),N('Month-End'!$EE$42),IF(OR($E138="open",$E137="pre"),N(Settings!$C$40),N($AW137))+$BC138))</f>
        <v/>
      </c>
      <c r="AX138">
        <f>IF(OR(Settings!$A$41="",$E138="pre"),"",IF(AND('Month-End'!$EE$43&lt;&gt;"",NOT(_xlfn.ISFORMULA('Month-End'!$EE$43))),N('Month-End'!$EE$43),IF(OR($E138="open",$E137="pre"),N(Settings!$C$41),N($AX137))+$BD138))</f>
        <v/>
      </c>
      <c r="AY138">
        <f>IF($E138="pre",0,N('Month-End'!$EE$45))</f>
        <v/>
      </c>
      <c r="AZ138">
        <f>IF($E138="pre",0,N('Month-End'!$EE$46))</f>
        <v/>
      </c>
      <c r="BA138">
        <f>IF($E138="pre",0,N('Month-End'!$EE$47))</f>
        <v/>
      </c>
      <c r="BB138">
        <f>IF($E138="pre",0,N('Month-End'!$EE$48))</f>
        <v/>
      </c>
      <c r="BC138">
        <f>IF($E138="pre",0,N('Month-End'!$EE$49))</f>
        <v/>
      </c>
      <c r="BD138">
        <f>IF($E138="pre",0,N('Month-End'!$EE$50))</f>
        <v/>
      </c>
      <c r="BE138">
        <f>IF(OR(Settings!$C$45="",Settings!$D$45=""),0,Settings!$C$45*IF(Settings!$D$45="Weekly",IF(IFERROR(MATCH(Settings!$E$45,$EO$4:$EO$10,0),0)=0,0,IF(MIN($C138,IF(Settings!$G$45="",$C138,Settings!$G$45))&lt;MAX($A138,Settings!$F$45),0,INT((MIN($C138,IF(Settings!$G$45="",$C138,Settings!$G$45))-MAX($A138,Settings!$F$45)-MOD(IFERROR(MATCH(Settings!$E$45,$EO$4:$EO$10,0),0)-WEEKDAY(MAX($A138,Settings!$F$45)),7))/7)+1)),IF(AND(IF(Settings!$E$45="",$B138,DATE(YEAR($A138),MONTH($A138),MIN(Settings!$E$45,DAY($B138))))&gt;=MAX($A138,Settings!$F$45),IF(Settings!$E$45="",$B138,DATE(YEAR($A138),MONTH($A138),MIN(Settings!$E$45,DAY($B138))))&lt;=MIN($C138,IF(Settings!$G$45="",$C138,Settings!$G$45))),1,0)))</f>
        <v/>
      </c>
      <c r="BF138">
        <f>IF(OR(Settings!$C$46="",Settings!$D$46=""),0,Settings!$C$46*IF(Settings!$D$46="Weekly",IF(IFERROR(MATCH(Settings!$E$46,$EO$4:$EO$10,0),0)=0,0,IF(MIN($C138,IF(Settings!$G$46="",$C138,Settings!$G$46))&lt;MAX($A138,Settings!$F$46),0,INT((MIN($C138,IF(Settings!$G$46="",$C138,Settings!$G$46))-MAX($A138,Settings!$F$46)-MOD(IFERROR(MATCH(Settings!$E$46,$EO$4:$EO$10,0),0)-WEEKDAY(MAX($A138,Settings!$F$46)),7))/7)+1)),IF(AND(IF(Settings!$E$46="",$B138,DATE(YEAR($A138),MONTH($A138),MIN(Settings!$E$46,DAY($B138))))&gt;=MAX($A138,Settings!$F$46),IF(Settings!$E$46="",$B138,DATE(YEAR($A138),MONTH($A138),MIN(Settings!$E$46,DAY($B138))))&lt;=MIN($C138,IF(Settings!$G$46="",$C138,Settings!$G$46))),1,0)))</f>
        <v/>
      </c>
      <c r="BG138">
        <f>IF(OR(Settings!$C$47="",Settings!$D$47=""),0,Settings!$C$47*IF(Settings!$D$47="Weekly",IF(IFERROR(MATCH(Settings!$E$47,$EO$4:$EO$10,0),0)=0,0,IF(MIN($C138,IF(Settings!$G$47="",$C138,Settings!$G$47))&lt;MAX($A138,Settings!$F$47),0,INT((MIN($C138,IF(Settings!$G$47="",$C138,Settings!$G$47))-MAX($A138,Settings!$F$47)-MOD(IFERROR(MATCH(Settings!$E$47,$EO$4:$EO$10,0),0)-WEEKDAY(MAX($A138,Settings!$F$47)),7))/7)+1)),IF(AND(IF(Settings!$E$47="",$B138,DATE(YEAR($A138),MONTH($A138),MIN(Settings!$E$47,DAY($B138))))&gt;=MAX($A138,Settings!$F$47),IF(Settings!$E$47="",$B138,DATE(YEAR($A138),MONTH($A138),MIN(Settings!$E$47,DAY($B138))))&lt;=MIN($C138,IF(Settings!$G$47="",$C138,Settings!$G$47))),1,0)))</f>
        <v/>
      </c>
      <c r="BH138">
        <f>IF(OR(Settings!$C$48="",Settings!$D$48=""),0,Settings!$C$48*IF(Settings!$D$48="Weekly",IF(IFERROR(MATCH(Settings!$E$48,$EO$4:$EO$10,0),0)=0,0,IF(MIN($C138,IF(Settings!$G$48="",$C138,Settings!$G$48))&lt;MAX($A138,Settings!$F$48),0,INT((MIN($C138,IF(Settings!$G$48="",$C138,Settings!$G$48))-MAX($A138,Settings!$F$48)-MOD(IFERROR(MATCH(Settings!$E$48,$EO$4:$EO$10,0),0)-WEEKDAY(MAX($A138,Settings!$F$48)),7))/7)+1)),IF(AND(IF(Settings!$E$48="",$B138,DATE(YEAR($A138),MONTH($A138),MIN(Settings!$E$48,DAY($B138))))&gt;=MAX($A138,Settings!$F$48),IF(Settings!$E$48="",$B138,DATE(YEAR($A138),MONTH($A138),MIN(Settings!$E$48,DAY($B138))))&lt;=MIN($C138,IF(Settings!$G$48="",$C138,Settings!$G$48))),1,0)))</f>
        <v/>
      </c>
      <c r="BI138">
        <f>IF(OR(Settings!$C$49="",Settings!$D$49=""),0,Settings!$C$49*IF(Settings!$D$49="Weekly",IF(IFERROR(MATCH(Settings!$E$49,$EO$4:$EO$10,0),0)=0,0,IF(MIN($C138,IF(Settings!$G$49="",$C138,Settings!$G$49))&lt;MAX($A138,Settings!$F$49),0,INT((MIN($C138,IF(Settings!$G$49="",$C138,Settings!$G$49))-MAX($A138,Settings!$F$49)-MOD(IFERROR(MATCH(Settings!$E$49,$EO$4:$EO$10,0),0)-WEEKDAY(MAX($A138,Settings!$F$49)),7))/7)+1)),IF(AND(IF(Settings!$E$49="",$B138,DATE(YEAR($A138),MONTH($A138),MIN(Settings!$E$49,DAY($B138))))&gt;=MAX($A138,Settings!$F$49),IF(Settings!$E$49="",$B138,DATE(YEAR($A138),MONTH($A138),MIN(Settings!$E$49,DAY($B138))))&lt;=MIN($C138,IF(Settings!$G$49="",$C138,Settings!$G$49))),1,0)))</f>
        <v/>
      </c>
      <c r="BJ138">
        <f>IF(OR(Settings!$C$50="",Settings!$D$50=""),0,Settings!$C$50*IF(Settings!$D$50="Weekly",IF(IFERROR(MATCH(Settings!$E$50,$EO$4:$EO$10,0),0)=0,0,IF(MIN($C138,IF(Settings!$G$50="",$C138,Settings!$G$50))&lt;MAX($A138,Settings!$F$50),0,INT((MIN($C138,IF(Settings!$G$50="",$C138,Settings!$G$50))-MAX($A138,Settings!$F$50)-MOD(IFERROR(MATCH(Settings!$E$50,$EO$4:$EO$10,0),0)-WEEKDAY(MAX($A138,Settings!$F$50)),7))/7)+1)),IF(AND(IF(Settings!$E$50="",$B138,DATE(YEAR($A138),MONTH($A138),MIN(Settings!$E$50,DAY($B138))))&gt;=MAX($A138,Settings!$F$50),IF(Settings!$E$50="",$B138,DATE(YEAR($A138),MONTH($A138),MIN(Settings!$E$50,DAY($B138))))&lt;=MIN($C138,IF(Settings!$G$50="",$C138,Settings!$G$50))),1,0)))</f>
        <v/>
      </c>
      <c r="BK138">
        <f>IF(OR(Settings!$C$51="",Settings!$D$51=""),0,Settings!$C$51*IF(Settings!$D$51="Weekly",IF(IFERROR(MATCH(Settings!$E$51,$EO$4:$EO$10,0),0)=0,0,IF(MIN($C138,IF(Settings!$G$51="",$C138,Settings!$G$51))&lt;MAX($A138,Settings!$F$51),0,INT((MIN($C138,IF(Settings!$G$51="",$C138,Settings!$G$51))-MAX($A138,Settings!$F$51)-MOD(IFERROR(MATCH(Settings!$E$51,$EO$4:$EO$10,0),0)-WEEKDAY(MAX($A138,Settings!$F$51)),7))/7)+1)),IF(AND(IF(Settings!$E$51="",$B138,DATE(YEAR($A138),MONTH($A138),MIN(Settings!$E$51,DAY($B138))))&gt;=MAX($A138,Settings!$F$51),IF(Settings!$E$51="",$B138,DATE(YEAR($A138),MONTH($A138),MIN(Settings!$E$51,DAY($B138))))&lt;=MIN($C138,IF(Settings!$G$51="",$C138,Settings!$G$51))),1,0)))</f>
        <v/>
      </c>
      <c r="BL138">
        <f>IF(OR(Settings!$C$52="",Settings!$D$52=""),0,Settings!$C$52*IF(Settings!$D$52="Weekly",IF(IFERROR(MATCH(Settings!$E$52,$EO$4:$EO$10,0),0)=0,0,IF(MIN($C138,IF(Settings!$G$52="",$C138,Settings!$G$52))&lt;MAX($A138,Settings!$F$52),0,INT((MIN($C138,IF(Settings!$G$52="",$C138,Settings!$G$52))-MAX($A138,Settings!$F$52)-MOD(IFERROR(MATCH(Settings!$E$52,$EO$4:$EO$10,0),0)-WEEKDAY(MAX($A138,Settings!$F$52)),7))/7)+1)),IF(AND(IF(Settings!$E$52="",$B138,DATE(YEAR($A138),MONTH($A138),MIN(Settings!$E$52,DAY($B138))))&gt;=MAX($A138,Settings!$F$52),IF(Settings!$E$52="",$B138,DATE(YEAR($A138),MONTH($A138),MIN(Settings!$E$52,DAY($B138))))&lt;=MIN($C138,IF(Settings!$G$52="",$C138,Settings!$G$52))),1,0)))</f>
        <v/>
      </c>
      <c r="BM138">
        <f>IF(OR(Settings!$C$53="",Settings!$D$53=""),0,Settings!$C$53*IF(Settings!$D$53="Weekly",IF(IFERROR(MATCH(Settings!$E$53,$EO$4:$EO$10,0),0)=0,0,IF(MIN($C138,IF(Settings!$G$53="",$C138,Settings!$G$53))&lt;MAX($A138,Settings!$F$53),0,INT((MIN($C138,IF(Settings!$G$53="",$C138,Settings!$G$53))-MAX($A138,Settings!$F$53)-MOD(IFERROR(MATCH(Settings!$E$53,$EO$4:$EO$10,0),0)-WEEKDAY(MAX($A138,Settings!$F$53)),7))/7)+1)),IF(AND(IF(Settings!$E$53="",$B138,DATE(YEAR($A138),MONTH($A138),MIN(Settings!$E$53,DAY($B138))))&gt;=MAX($A138,Settings!$F$53),IF(Settings!$E$53="",$B138,DATE(YEAR($A138),MONTH($A138),MIN(Settings!$E$53,DAY($B138))))&lt;=MIN($C138,IF(Settings!$G$53="",$C138,Settings!$G$53))),1,0)))</f>
        <v/>
      </c>
      <c r="BN138">
        <f>IF(OR(Settings!$C$54="",Settings!$D$54=""),0,Settings!$C$54*IF(Settings!$D$54="Weekly",IF(IFERROR(MATCH(Settings!$E$54,$EO$4:$EO$10,0),0)=0,0,IF(MIN($C138,IF(Settings!$G$54="",$C138,Settings!$G$54))&lt;MAX($A138,Settings!$F$54),0,INT((MIN($C138,IF(Settings!$G$54="",$C138,Settings!$G$54))-MAX($A138,Settings!$F$54)-MOD(IFERROR(MATCH(Settings!$E$54,$EO$4:$EO$10,0),0)-WEEKDAY(MAX($A138,Settings!$F$54)),7))/7)+1)),IF(AND(IF(Settings!$E$54="",$B138,DATE(YEAR($A138),MONTH($A138),MIN(Settings!$E$54,DAY($B138))))&gt;=MAX($A138,Settings!$F$54),IF(Settings!$E$54="",$B138,DATE(YEAR($A138),MONTH($A138),MIN(Settings!$E$54,DAY($B138))))&lt;=MIN($C138,IF(Settings!$G$54="",$C138,Settings!$G$54))),1,0)))</f>
        <v/>
      </c>
      <c r="BO138">
        <f>IF(OR(Settings!$C$55="",Settings!$D$55=""),0,Settings!$C$55*IF(Settings!$D$55="Weekly",IF(IFERROR(MATCH(Settings!$E$55,$EO$4:$EO$10,0),0)=0,0,IF(MIN($C138,IF(Settings!$G$55="",$C138,Settings!$G$55))&lt;MAX($A138,Settings!$F$55),0,INT((MIN($C138,IF(Settings!$G$55="",$C138,Settings!$G$55))-MAX($A138,Settings!$F$55)-MOD(IFERROR(MATCH(Settings!$E$55,$EO$4:$EO$10,0),0)-WEEKDAY(MAX($A138,Settings!$F$55)),7))/7)+1)),IF(AND(IF(Settings!$E$55="",$B138,DATE(YEAR($A138),MONTH($A138),MIN(Settings!$E$55,DAY($B138))))&gt;=MAX($A138,Settings!$F$55),IF(Settings!$E$55="",$B138,DATE(YEAR($A138),MONTH($A138),MIN(Settings!$E$55,DAY($B138))))&lt;=MIN($C138,IF(Settings!$G$55="",$C138,Settings!$G$55))),1,0)))</f>
        <v/>
      </c>
      <c r="BP138">
        <f>IF(OR(Settings!$C$56="",Settings!$D$56=""),0,Settings!$C$56*IF(Settings!$D$56="Weekly",IF(IFERROR(MATCH(Settings!$E$56,$EO$4:$EO$10,0),0)=0,0,IF(MIN($C138,IF(Settings!$G$56="",$C138,Settings!$G$56))&lt;MAX($A138,Settings!$F$56),0,INT((MIN($C138,IF(Settings!$G$56="",$C138,Settings!$G$56))-MAX($A138,Settings!$F$56)-MOD(IFERROR(MATCH(Settings!$E$56,$EO$4:$EO$10,0),0)-WEEKDAY(MAX($A138,Settings!$F$56)),7))/7)+1)),IF(AND(IF(Settings!$E$56="",$B138,DATE(YEAR($A138),MONTH($A138),MIN(Settings!$E$56,DAY($B138))))&gt;=MAX($A138,Settings!$F$56),IF(Settings!$E$56="",$B138,DATE(YEAR($A138),MONTH($A138),MIN(Settings!$E$56,DAY($B138))))&lt;=MIN($C138,IF(Settings!$G$56="",$C138,Settings!$G$56))),1,0)))</f>
        <v/>
      </c>
      <c r="BQ138">
        <f>IF(OR(Settings!$B$14="",$D138=1,$E138="pre",$A138&lt;IF(Settings!$B$15="",0,Settings!$B$15)),0,Settings!$B$14)</f>
        <v/>
      </c>
      <c r="BR138">
        <f>IF(AND('Month-End'!$EE$7&lt;&gt;"",NOT(_xlfn.ISFORMULA('Month-End'!$EE$7))),1,0)</f>
        <v/>
      </c>
      <c r="BS138">
        <f>IF(AND('Month-End'!$EE$8&lt;&gt;"",NOT(_xlfn.ISFORMULA('Month-End'!$EE$8))),1,0)</f>
        <v/>
      </c>
      <c r="BT138">
        <f>IF(AND('Month-End'!$EE$9&lt;&gt;"",NOT(_xlfn.ISFORMULA('Month-End'!$EE$9))),1,0)</f>
        <v/>
      </c>
      <c r="BU138">
        <f>IF(AND('Month-End'!$EE$10&lt;&gt;"",NOT(_xlfn.ISFORMULA('Month-End'!$EE$10))),1,0)</f>
        <v/>
      </c>
      <c r="BV138">
        <f>IF(AND('Month-End'!$EE$11&lt;&gt;"",NOT(_xlfn.ISFORMULA('Month-End'!$EE$11))),1,0)</f>
        <v/>
      </c>
      <c r="BW138">
        <f>IF(AND('Month-End'!$EE$12&lt;&gt;"",NOT(_xlfn.ISFORMULA('Month-End'!$EE$12))),1,0)</f>
        <v/>
      </c>
      <c r="BX138">
        <f>IF(AND('Month-End'!$EE$13&lt;&gt;"",NOT(_xlfn.ISFORMULA('Month-End'!$EE$13))),1,0)</f>
        <v/>
      </c>
      <c r="BY138">
        <f>IF(AND('Month-End'!$EE$14&lt;&gt;"",NOT(_xlfn.ISFORMULA('Month-End'!$EE$14))),1,0)</f>
        <v/>
      </c>
      <c r="BZ138">
        <f>IF(AND('Month-End'!$EE$15&lt;&gt;"",NOT(_xlfn.ISFORMULA('Month-End'!$EE$15))),1,0)</f>
        <v/>
      </c>
      <c r="CA138">
        <f>IF(AND('Month-End'!$EE$16&lt;&gt;"",NOT(_xlfn.ISFORMULA('Month-End'!$EE$16))),1,0)</f>
        <v/>
      </c>
      <c r="CB138">
        <f>IF(AND('Month-End'!$EE$17&lt;&gt;"",NOT(_xlfn.ISFORMULA('Month-End'!$EE$17))),1,0)</f>
        <v/>
      </c>
      <c r="CC138">
        <f>IF(AND('Month-End'!$EE$18&lt;&gt;"",NOT(_xlfn.ISFORMULA('Month-End'!$EE$18))),1,0)</f>
        <v/>
      </c>
      <c r="CD138">
        <f>IF(AND('Month-End'!$EE$19&lt;&gt;"",NOT(_xlfn.ISFORMULA('Month-End'!$EE$19))),1,0)</f>
        <v/>
      </c>
      <c r="CE138">
        <f>IF(AND('Month-End'!$EE$20&lt;&gt;"",NOT(_xlfn.ISFORMULA('Month-End'!$EE$20))),1,0)</f>
        <v/>
      </c>
      <c r="CF138">
        <f>IF(AND('Month-End'!$EE$38&lt;&gt;"",NOT(_xlfn.ISFORMULA('Month-End'!$EE$38))),1,0)</f>
        <v/>
      </c>
      <c r="CG138">
        <f>IF(AND('Month-End'!$EE$39&lt;&gt;"",NOT(_xlfn.ISFORMULA('Month-End'!$EE$39))),1,0)</f>
        <v/>
      </c>
      <c r="CH138">
        <f>IF(AND('Month-End'!$EE$40&lt;&gt;"",NOT(_xlfn.ISFORMULA('Month-End'!$EE$40))),1,0)</f>
        <v/>
      </c>
      <c r="CI138">
        <f>IF(AND('Month-End'!$EE$41&lt;&gt;"",NOT(_xlfn.ISFORMULA('Month-End'!$EE$41))),1,0)</f>
        <v/>
      </c>
      <c r="CJ138">
        <f>IF(AND('Month-End'!$EE$42&lt;&gt;"",NOT(_xlfn.ISFORMULA('Month-End'!$EE$42))),1,0)</f>
        <v/>
      </c>
      <c r="CK138">
        <f>IF(AND('Month-End'!$EE$43&lt;&gt;"",NOT(_xlfn.ISFORMULA('Month-End'!$EE$43))),1,0)</f>
        <v/>
      </c>
      <c r="CL138">
        <f>SUM($CM138:$CZ138)</f>
        <v/>
      </c>
      <c r="CM138">
        <f>IF(AND($E138&lt;&gt;"pre",AND(Settings!$A$19&lt;&gt;"",Settings!$E$19&lt;&gt;"No"),Settings!$F$19="Yes",NOT(AND('Month-End'!$EE$7&lt;&gt;"",NOT(_xlfn.ISFORMULA('Month-End'!$EE$7))))),1,0)</f>
        <v/>
      </c>
      <c r="CN138">
        <f>IF(AND($E138&lt;&gt;"pre",AND(Settings!$A$20&lt;&gt;"",Settings!$E$20&lt;&gt;"No"),Settings!$F$20="Yes",NOT(AND('Month-End'!$EE$8&lt;&gt;"",NOT(_xlfn.ISFORMULA('Month-End'!$EE$8))))),1,0)</f>
        <v/>
      </c>
      <c r="CO138">
        <f>IF(AND($E138&lt;&gt;"pre",AND(Settings!$A$21&lt;&gt;"",Settings!$E$21&lt;&gt;"No"),Settings!$F$21="Yes",NOT(AND('Month-End'!$EE$9&lt;&gt;"",NOT(_xlfn.ISFORMULA('Month-End'!$EE$9))))),1,0)</f>
        <v/>
      </c>
      <c r="CP138">
        <f>IF(AND($E138&lt;&gt;"pre",AND(Settings!$A$22&lt;&gt;"",Settings!$E$22&lt;&gt;"No"),Settings!$F$22="Yes",NOT(AND('Month-End'!$EE$10&lt;&gt;"",NOT(_xlfn.ISFORMULA('Month-End'!$EE$10))))),1,0)</f>
        <v/>
      </c>
      <c r="CQ138">
        <f>IF(AND($E138&lt;&gt;"pre",AND(Settings!$A$23&lt;&gt;"",Settings!$E$23&lt;&gt;"No"),Settings!$F$23="Yes",NOT(AND('Month-End'!$EE$11&lt;&gt;"",NOT(_xlfn.ISFORMULA('Month-End'!$EE$11))))),1,0)</f>
        <v/>
      </c>
      <c r="CR138">
        <f>IF(AND($E138&lt;&gt;"pre",AND(Settings!$A$24&lt;&gt;"",Settings!$E$24&lt;&gt;"No"),Settings!$F$24="Yes",NOT(AND('Month-End'!$EE$12&lt;&gt;"",NOT(_xlfn.ISFORMULA('Month-End'!$EE$12))))),1,0)</f>
        <v/>
      </c>
      <c r="CS138">
        <f>IF(AND($E138&lt;&gt;"pre",AND(Settings!$A$25&lt;&gt;"",Settings!$E$25&lt;&gt;"No"),Settings!$F$25="Yes",NOT(AND('Month-End'!$EE$13&lt;&gt;"",NOT(_xlfn.ISFORMULA('Month-End'!$EE$13))))),1,0)</f>
        <v/>
      </c>
      <c r="CT138">
        <f>IF(AND($E138&lt;&gt;"pre",AND(Settings!$A$26&lt;&gt;"",Settings!$E$26&lt;&gt;"No"),Settings!$F$26="Yes",NOT(AND('Month-End'!$EE$14&lt;&gt;"",NOT(_xlfn.ISFORMULA('Month-End'!$EE$14))))),1,0)</f>
        <v/>
      </c>
      <c r="CU138">
        <f>IF(AND($E138&lt;&gt;"pre",AND(Settings!$A$27&lt;&gt;"",Settings!$E$27&lt;&gt;"No"),Settings!$F$27="Yes",NOT(AND('Month-End'!$EE$15&lt;&gt;"",NOT(_xlfn.ISFORMULA('Month-End'!$EE$15))))),1,0)</f>
        <v/>
      </c>
      <c r="CV138">
        <f>IF(AND($E138&lt;&gt;"pre",AND(Settings!$A$28&lt;&gt;"",Settings!$E$28&lt;&gt;"No"),Settings!$F$28="Yes",NOT(AND('Month-End'!$EE$16&lt;&gt;"",NOT(_xlfn.ISFORMULA('Month-End'!$EE$16))))),1,0)</f>
        <v/>
      </c>
      <c r="CW138">
        <f>IF(AND($E138&lt;&gt;"pre",AND(Settings!$A$29&lt;&gt;"",Settings!$E$29&lt;&gt;"No"),Settings!$F$29="Yes",NOT(AND('Month-End'!$EE$17&lt;&gt;"",NOT(_xlfn.ISFORMULA('Month-End'!$EE$17))))),1,0)</f>
        <v/>
      </c>
      <c r="CX138">
        <f>IF(AND($E138&lt;&gt;"pre",AND(Settings!$A$30&lt;&gt;"",Settings!$E$30&lt;&gt;"No"),Settings!$F$30="Yes",NOT(AND('Month-End'!$EE$18&lt;&gt;"",NOT(_xlfn.ISFORMULA('Month-End'!$EE$18))))),1,0)</f>
        <v/>
      </c>
      <c r="CY138">
        <f>IF(AND($E138&lt;&gt;"pre",AND(Settings!$A$31&lt;&gt;"",Settings!$E$31&lt;&gt;"No"),Settings!$F$31="Yes",NOT(AND('Month-End'!$EE$19&lt;&gt;"",NOT(_xlfn.ISFORMULA('Month-End'!$EE$19))))),1,0)</f>
        <v/>
      </c>
      <c r="CZ138">
        <f>IF(AND($E138&lt;&gt;"pre",AND(Settings!$A$32&lt;&gt;"",Settings!$E$32&lt;&gt;"No"),Settings!$F$32="Yes",NOT(AND('Month-End'!$EE$20&lt;&gt;"",NOT(_xlfn.ISFORMULA('Month-End'!$EE$20))))),1,0)</f>
        <v/>
      </c>
      <c r="DA138">
        <f>IF($DT138=1,IF(OR(Settings!$B$19="Checking",Settings!$B$19="Savings",Settings!$B$19="Cash"),N($AE138),IF(OR(Settings!$B$19="Card",Settings!$B$19="Loan"),-N($AE138),0))+IF(OR(Settings!$B$20="Checking",Settings!$B$20="Savings",Settings!$B$20="Cash"),N($AF138),IF(OR(Settings!$B$20="Card",Settings!$B$20="Loan"),-N($AF138),0))+IF(OR(Settings!$B$21="Checking",Settings!$B$21="Savings",Settings!$B$21="Cash"),N($AG138),IF(OR(Settings!$B$21="Card",Settings!$B$21="Loan"),-N($AG138),0))+IF(OR(Settings!$B$22="Checking",Settings!$B$22="Savings",Settings!$B$22="Cash"),N($AH138),IF(OR(Settings!$B$22="Card",Settings!$B$22="Loan"),-N($AH138),0))+IF(OR(Settings!$B$23="Checking",Settings!$B$23="Savings",Settings!$B$23="Cash"),N($AI138),IF(OR(Settings!$B$23="Card",Settings!$B$23="Loan"),-N($AI138),0))+IF(OR(Settings!$B$24="Checking",Settings!$B$24="Savings",Settings!$B$24="Cash"),N($AJ138),IF(OR(Settings!$B$24="Card",Settings!$B$24="Loan"),-N($AJ138),0))+IF(OR(Settings!$B$25="Checking",Settings!$B$25="Savings",Settings!$B$25="Cash"),N($AK138),IF(OR(Settings!$B$25="Card",Settings!$B$25="Loan"),-N($AK138),0))+IF(OR(Settings!$B$26="Checking",Settings!$B$26="Savings",Settings!$B$26="Cash"),N($AL138),IF(OR(Settings!$B$26="Card",Settings!$B$26="Loan"),-N($AL138),0))+IF(OR(Settings!$B$27="Checking",Settings!$B$27="Savings",Settings!$B$27="Cash"),N($AM138),IF(OR(Settings!$B$27="Card",Settings!$B$27="Loan"),-N($AM138),0))+IF(OR(Settings!$B$28="Checking",Settings!$B$28="Savings",Settings!$B$28="Cash"),N($AN138),IF(OR(Settings!$B$28="Card",Settings!$B$28="Loan"),-N($AN138),0))+IF(OR(Settings!$B$29="Checking",Settings!$B$29="Savings",Settings!$B$29="Cash"),N($AO138),IF(OR(Settings!$B$29="Card",Settings!$B$29="Loan"),-N($AO138),0))+IF(OR(Settings!$B$30="Checking",Settings!$B$30="Savings",Settings!$B$30="Cash"),N($AP138),IF(OR(Settings!$B$30="Card",Settings!$B$30="Loan"),-N($AP138),0))+IF(OR(Settings!$B$31="Checking",Settings!$B$31="Savings",Settings!$B$31="Cash"),N($AQ138),IF(OR(Settings!$B$31="Card",Settings!$B$31="Loan"),-N($AQ138),0))+IF(OR(Settings!$B$32="Checking",Settings!$B$32="Savings",Settings!$B$32="Cash"),N($AR138),IF(OR(Settings!$B$32="Card",Settings!$B$32="Loan"),-N($AR138),0)),"")</f>
        <v/>
      </c>
      <c r="DB138">
        <f>IF($E138="open",$EB$27,IF($E138="post",IF($E137="pre",$EB$27,$DA137),""))</f>
        <v/>
      </c>
      <c r="DC138">
        <f>IF($E138="open",1,IF($E138="post",IF($E137="pre",1,$DT137),0))</f>
        <v/>
      </c>
      <c r="DD138">
        <f>IF(AND($DT138=1,$DC138=1),ROUND($W138-($DA138-$DB138)-$AD138-$AB138,2),"")</f>
        <v/>
      </c>
      <c r="DE138">
        <f>IF('Month-End'!$EE$35="",$BQ138,N('Month-End'!$EE$35))</f>
        <v/>
      </c>
      <c r="DF138">
        <f>N('Month-End'!$EE$36)</f>
        <v/>
      </c>
      <c r="DG138">
        <f>IF($DD138="","",$DD138+$DE138)</f>
        <v/>
      </c>
      <c r="DH138">
        <f>IF($DG138="","",$DG138-$DF138)</f>
        <v/>
      </c>
      <c r="DI138">
        <f>IF(OR($E138="pre",$D138=1),"",N($AS138)+N($AT138)+N($AU138)+N($AV138)+N($AW138)+N($AX138))</f>
        <v/>
      </c>
      <c r="DJ138">
        <f>IF($DT138=1,$DA138+N($DI138),"")</f>
        <v/>
      </c>
      <c r="DK138">
        <f>IF($DD138="","",$W138-$DD138-$AB138)</f>
        <v/>
      </c>
      <c r="DL138">
        <f>IF(AND($E138="post",$DD138&lt;&gt;"",$B138&lt;TODAY()),1,0)</f>
        <v/>
      </c>
      <c r="DM138">
        <f>IF($DL138=1,COUNTIF($DL138:$DL$183,1),0)</f>
        <v/>
      </c>
      <c r="DN138">
        <f>IF($D138=1,"",IF($E138="pre","History only",IF($DT138=1,IF($DD138="","⚠ Previous month missing",IF($DD138&lt;0,"⚠ Check: spending &lt; 0",IF($E138="open","✓ Done (partial)","✓ Done"))),IF($B138&gt;=TODAY(),"In progress","⚠ Needs balances"))))</f>
        <v/>
      </c>
      <c r="DO138">
        <f>YEAR($A138)</f>
        <v/>
      </c>
      <c r="DP138">
        <f>DATE(YEAR($A138),INT((MONTH($A138)-1)/3)*3+1,1)</f>
        <v/>
      </c>
      <c r="DQ138">
        <f>IF(AND($DT138=1,$DD138&lt;&gt;"",$D138=0),ROW(),0)</f>
        <v/>
      </c>
      <c r="DR138">
        <f>IF(AND($E138&lt;&gt;"pre",$B138&lt;TODAY(),$DT138=0),1,0)</f>
        <v/>
      </c>
      <c r="DS138">
        <f>IF($DJ138="",NA(),$DJ138)</f>
        <v/>
      </c>
      <c r="DT138">
        <f>IF(AND($E138&lt;&gt;"pre",$CL138=0,COUNTIFS(Settings!$F$19:$F$32,"Yes",Settings!$A$19:$A$32,"&lt;&gt;",Settings!$E$19:$E$32,"&lt;&gt;No")&gt;0),1,0)</f>
        <v/>
      </c>
      <c r="DU138">
        <f>IF(AND($B138&lt;TODAY(),$S138&gt;0),1,0)</f>
        <v/>
      </c>
      <c r="DV138">
        <f>IF($DU138=1,COUNTIF($DU138:$DU$183,1),0)</f>
        <v/>
      </c>
      <c r="DW138">
        <f>IF(AND(OR(Settings!$B$19="Card",Settings!$B$19="Loan"),AND('Month-End'!$EE$7&lt;&gt;"",NOT(_xlfn.ISFORMULA('Month-End'!$EE$7)))),IF(N('Month-End'!$EE$7)&lt;0,1,0),0)+IF(AND(OR(Settings!$B$20="Card",Settings!$B$20="Loan"),AND('Month-End'!$EE$8&lt;&gt;"",NOT(_xlfn.ISFORMULA('Month-End'!$EE$8)))),IF(N('Month-End'!$EE$8)&lt;0,1,0),0)+IF(AND(OR(Settings!$B$21="Card",Settings!$B$21="Loan"),AND('Month-End'!$EE$9&lt;&gt;"",NOT(_xlfn.ISFORMULA('Month-End'!$EE$9)))),IF(N('Month-End'!$EE$9)&lt;0,1,0),0)+IF(AND(OR(Settings!$B$22="Card",Settings!$B$22="Loan"),AND('Month-End'!$EE$10&lt;&gt;"",NOT(_xlfn.ISFORMULA('Month-End'!$EE$10)))),IF(N('Month-End'!$EE$10)&lt;0,1,0),0)+IF(AND(OR(Settings!$B$23="Card",Settings!$B$23="Loan"),AND('Month-End'!$EE$11&lt;&gt;"",NOT(_xlfn.ISFORMULA('Month-End'!$EE$11)))),IF(N('Month-End'!$EE$11)&lt;0,1,0),0)+IF(AND(OR(Settings!$B$24="Card",Settings!$B$24="Loan"),AND('Month-End'!$EE$12&lt;&gt;"",NOT(_xlfn.ISFORMULA('Month-End'!$EE$12)))),IF(N('Month-End'!$EE$12)&lt;0,1,0),0)+IF(AND(OR(Settings!$B$25="Card",Settings!$B$25="Loan"),AND('Month-End'!$EE$13&lt;&gt;"",NOT(_xlfn.ISFORMULA('Month-End'!$EE$13)))),IF(N('Month-End'!$EE$13)&lt;0,1,0),0)+IF(AND(OR(Settings!$B$26="Card",Settings!$B$26="Loan"),AND('Month-End'!$EE$14&lt;&gt;"",NOT(_xlfn.ISFORMULA('Month-End'!$EE$14)))),IF(N('Month-End'!$EE$14)&lt;0,1,0),0)+IF(AND(OR(Settings!$B$27="Card",Settings!$B$27="Loan"),AND('Month-End'!$EE$15&lt;&gt;"",NOT(_xlfn.ISFORMULA('Month-End'!$EE$15)))),IF(N('Month-End'!$EE$15)&lt;0,1,0),0)+IF(AND(OR(Settings!$B$28="Card",Settings!$B$28="Loan"),AND('Month-End'!$EE$16&lt;&gt;"",NOT(_xlfn.ISFORMULA('Month-End'!$EE$16)))),IF(N('Month-End'!$EE$16)&lt;0,1,0),0)+IF(AND(OR(Settings!$B$29="Card",Settings!$B$29="Loan"),AND('Month-End'!$EE$17&lt;&gt;"",NOT(_xlfn.ISFORMULA('Month-End'!$EE$17)))),IF(N('Month-End'!$EE$17)&lt;0,1,0),0)+IF(AND(OR(Settings!$B$30="Card",Settings!$B$30="Loan"),AND('Month-End'!$EE$18&lt;&gt;"",NOT(_xlfn.ISFORMULA('Month-End'!$EE$18)))),IF(N('Month-End'!$EE$18)&lt;0,1,0),0)+IF(AND(OR(Settings!$B$31="Card",Settings!$B$31="Loan"),AND('Month-End'!$EE$19&lt;&gt;"",NOT(_xlfn.ISFORMULA('Month-End'!$EE$19)))),IF(N('Month-End'!$EE$19)&lt;0,1,0),0)+IF(AND(OR(Settings!$B$32="Card",Settings!$B$32="Loan"),AND('Month-End'!$EE$20&lt;&gt;"",NOT(_xlfn.ISFORMULA('Month-End'!$EE$20)))),IF(N('Month-End'!$EE$20)&lt;0,1,0),0)</f>
        <v/>
      </c>
      <c r="DX138">
        <f>IF(Settings!$B$36="Retirement",$AY138,0)+IF(Settings!$B$37="Retirement",$AZ138,0)+IF(Settings!$B$38="Retirement",$BA138,0)+IF(Settings!$B$39="Retirement",$BB138,0)+IF(Settings!$B$40="Retirement",$BC138,0)+IF(Settings!$B$41="Retirement",$BD138,0)</f>
        <v/>
      </c>
      <c r="ET138">
        <f>IF($E138&lt;&gt;"open",0,IF(AND('Month-End'!$EE$22&lt;&gt;"",NOT(_xlfn.ISFORMULA('Month-End'!$EE$22))),0,IF(OR(Settings!$C$45="",Settings!$D$45=""),0,Settings!$C$45*IF(Settings!$D$45="Weekly",IF(IFERROR(MATCH(Settings!$E$45,$EO$4:$EO$10,0),0)=0,0,IF(MIN(Settings!$B$5,IF(Settings!$G$45="",Settings!$B$5,Settings!$G$45))&lt;MAX($A138,Settings!$F$45),0,INT((MIN(Settings!$B$5,IF(Settings!$G$45="",Settings!$B$5,Settings!$G$45))-MAX($A138,Settings!$F$45)-MOD(IFERROR(MATCH(Settings!$E$45,$EO$4:$EO$10,0),0)-WEEKDAY(MAX($A138,Settings!$F$45)),7))/7)+1)),IF(AND(IF(Settings!$E$45="",$B138,DATE(YEAR($A138),MONTH($A138),MIN(Settings!$E$45,DAY($B138))))&gt;=MAX($A138,Settings!$F$45),IF(Settings!$E$45="",$B138,DATE(YEAR($A138),MONTH($A138),MIN(Settings!$E$45,DAY($B138))))&lt;=MIN(Settings!$B$5,IF(Settings!$G$45="",Settings!$B$5,Settings!$G$45))),1,0)))))</f>
        <v/>
      </c>
      <c r="EU138">
        <f>IF($E138&lt;&gt;"open",0,IF(AND('Month-End'!$EE$23&lt;&gt;"",NOT(_xlfn.ISFORMULA('Month-End'!$EE$23))),0,IF(OR(Settings!$C$46="",Settings!$D$46=""),0,Settings!$C$46*IF(Settings!$D$46="Weekly",IF(IFERROR(MATCH(Settings!$E$46,$EO$4:$EO$10,0),0)=0,0,IF(MIN(Settings!$B$5,IF(Settings!$G$46="",Settings!$B$5,Settings!$G$46))&lt;MAX($A138,Settings!$F$46),0,INT((MIN(Settings!$B$5,IF(Settings!$G$46="",Settings!$B$5,Settings!$G$46))-MAX($A138,Settings!$F$46)-MOD(IFERROR(MATCH(Settings!$E$46,$EO$4:$EO$10,0),0)-WEEKDAY(MAX($A138,Settings!$F$46)),7))/7)+1)),IF(AND(IF(Settings!$E$46="",$B138,DATE(YEAR($A138),MONTH($A138),MIN(Settings!$E$46,DAY($B138))))&gt;=MAX($A138,Settings!$F$46),IF(Settings!$E$46="",$B138,DATE(YEAR($A138),MONTH($A138),MIN(Settings!$E$46,DAY($B138))))&lt;=MIN(Settings!$B$5,IF(Settings!$G$46="",Settings!$B$5,Settings!$G$46))),1,0)))))</f>
        <v/>
      </c>
      <c r="EV138">
        <f>IF($E138&lt;&gt;"open",0,IF(AND('Month-End'!$EE$24&lt;&gt;"",NOT(_xlfn.ISFORMULA('Month-End'!$EE$24))),0,IF(OR(Settings!$C$47="",Settings!$D$47=""),0,Settings!$C$47*IF(Settings!$D$47="Weekly",IF(IFERROR(MATCH(Settings!$E$47,$EO$4:$EO$10,0),0)=0,0,IF(MIN(Settings!$B$5,IF(Settings!$G$47="",Settings!$B$5,Settings!$G$47))&lt;MAX($A138,Settings!$F$47),0,INT((MIN(Settings!$B$5,IF(Settings!$G$47="",Settings!$B$5,Settings!$G$47))-MAX($A138,Settings!$F$47)-MOD(IFERROR(MATCH(Settings!$E$47,$EO$4:$EO$10,0),0)-WEEKDAY(MAX($A138,Settings!$F$47)),7))/7)+1)),IF(AND(IF(Settings!$E$47="",$B138,DATE(YEAR($A138),MONTH($A138),MIN(Settings!$E$47,DAY($B138))))&gt;=MAX($A138,Settings!$F$47),IF(Settings!$E$47="",$B138,DATE(YEAR($A138),MONTH($A138),MIN(Settings!$E$47,DAY($B138))))&lt;=MIN(Settings!$B$5,IF(Settings!$G$47="",Settings!$B$5,Settings!$G$47))),1,0)))))</f>
        <v/>
      </c>
      <c r="EW138">
        <f>IF($E138&lt;&gt;"open",0,IF(AND('Month-End'!$EE$25&lt;&gt;"",NOT(_xlfn.ISFORMULA('Month-End'!$EE$25))),0,IF(OR(Settings!$C$48="",Settings!$D$48=""),0,Settings!$C$48*IF(Settings!$D$48="Weekly",IF(IFERROR(MATCH(Settings!$E$48,$EO$4:$EO$10,0),0)=0,0,IF(MIN(Settings!$B$5,IF(Settings!$G$48="",Settings!$B$5,Settings!$G$48))&lt;MAX($A138,Settings!$F$48),0,INT((MIN(Settings!$B$5,IF(Settings!$G$48="",Settings!$B$5,Settings!$G$48))-MAX($A138,Settings!$F$48)-MOD(IFERROR(MATCH(Settings!$E$48,$EO$4:$EO$10,0),0)-WEEKDAY(MAX($A138,Settings!$F$48)),7))/7)+1)),IF(AND(IF(Settings!$E$48="",$B138,DATE(YEAR($A138),MONTH($A138),MIN(Settings!$E$48,DAY($B138))))&gt;=MAX($A138,Settings!$F$48),IF(Settings!$E$48="",$B138,DATE(YEAR($A138),MONTH($A138),MIN(Settings!$E$48,DAY($B138))))&lt;=MIN(Settings!$B$5,IF(Settings!$G$48="",Settings!$B$5,Settings!$G$48))),1,0)))))</f>
        <v/>
      </c>
      <c r="EX138">
        <f>IF($E138&lt;&gt;"open",0,IF(AND('Month-End'!$EE$26&lt;&gt;"",NOT(_xlfn.ISFORMULA('Month-End'!$EE$26))),0,IF(OR(Settings!$C$49="",Settings!$D$49=""),0,Settings!$C$49*IF(Settings!$D$49="Weekly",IF(IFERROR(MATCH(Settings!$E$49,$EO$4:$EO$10,0),0)=0,0,IF(MIN(Settings!$B$5,IF(Settings!$G$49="",Settings!$B$5,Settings!$G$49))&lt;MAX($A138,Settings!$F$49),0,INT((MIN(Settings!$B$5,IF(Settings!$G$49="",Settings!$B$5,Settings!$G$49))-MAX($A138,Settings!$F$49)-MOD(IFERROR(MATCH(Settings!$E$49,$EO$4:$EO$10,0),0)-WEEKDAY(MAX($A138,Settings!$F$49)),7))/7)+1)),IF(AND(IF(Settings!$E$49="",$B138,DATE(YEAR($A138),MONTH($A138),MIN(Settings!$E$49,DAY($B138))))&gt;=MAX($A138,Settings!$F$49),IF(Settings!$E$49="",$B138,DATE(YEAR($A138),MONTH($A138),MIN(Settings!$E$49,DAY($B138))))&lt;=MIN(Settings!$B$5,IF(Settings!$G$49="",Settings!$B$5,Settings!$G$49))),1,0)))))</f>
        <v/>
      </c>
      <c r="EY138">
        <f>IF($E138&lt;&gt;"open",0,IF(AND('Month-End'!$EE$27&lt;&gt;"",NOT(_xlfn.ISFORMULA('Month-End'!$EE$27))),0,IF(OR(Settings!$C$50="",Settings!$D$50=""),0,Settings!$C$50*IF(Settings!$D$50="Weekly",IF(IFERROR(MATCH(Settings!$E$50,$EO$4:$EO$10,0),0)=0,0,IF(MIN(Settings!$B$5,IF(Settings!$G$50="",Settings!$B$5,Settings!$G$50))&lt;MAX($A138,Settings!$F$50),0,INT((MIN(Settings!$B$5,IF(Settings!$G$50="",Settings!$B$5,Settings!$G$50))-MAX($A138,Settings!$F$50)-MOD(IFERROR(MATCH(Settings!$E$50,$EO$4:$EO$10,0),0)-WEEKDAY(MAX($A138,Settings!$F$50)),7))/7)+1)),IF(AND(IF(Settings!$E$50="",$B138,DATE(YEAR($A138),MONTH($A138),MIN(Settings!$E$50,DAY($B138))))&gt;=MAX($A138,Settings!$F$50),IF(Settings!$E$50="",$B138,DATE(YEAR($A138),MONTH($A138),MIN(Settings!$E$50,DAY($B138))))&lt;=MIN(Settings!$B$5,IF(Settings!$G$50="",Settings!$B$5,Settings!$G$50))),1,0)))))</f>
        <v/>
      </c>
      <c r="EZ138">
        <f>IF($E138&lt;&gt;"open",0,IF(AND('Month-End'!$EE$28&lt;&gt;"",NOT(_xlfn.ISFORMULA('Month-End'!$EE$28))),0,IF(OR(Settings!$C$51="",Settings!$D$51=""),0,Settings!$C$51*IF(Settings!$D$51="Weekly",IF(IFERROR(MATCH(Settings!$E$51,$EO$4:$EO$10,0),0)=0,0,IF(MIN(Settings!$B$5,IF(Settings!$G$51="",Settings!$B$5,Settings!$G$51))&lt;MAX($A138,Settings!$F$51),0,INT((MIN(Settings!$B$5,IF(Settings!$G$51="",Settings!$B$5,Settings!$G$51))-MAX($A138,Settings!$F$51)-MOD(IFERROR(MATCH(Settings!$E$51,$EO$4:$EO$10,0),0)-WEEKDAY(MAX($A138,Settings!$F$51)),7))/7)+1)),IF(AND(IF(Settings!$E$51="",$B138,DATE(YEAR($A138),MONTH($A138),MIN(Settings!$E$51,DAY($B138))))&gt;=MAX($A138,Settings!$F$51),IF(Settings!$E$51="",$B138,DATE(YEAR($A138),MONTH($A138),MIN(Settings!$E$51,DAY($B138))))&lt;=MIN(Settings!$B$5,IF(Settings!$G$51="",Settings!$B$5,Settings!$G$51))),1,0)))))</f>
        <v/>
      </c>
      <c r="FA138">
        <f>IF($E138&lt;&gt;"open",0,IF(AND('Month-End'!$EE$29&lt;&gt;"",NOT(_xlfn.ISFORMULA('Month-End'!$EE$29))),0,IF(OR(Settings!$C$52="",Settings!$D$52=""),0,Settings!$C$52*IF(Settings!$D$52="Weekly",IF(IFERROR(MATCH(Settings!$E$52,$EO$4:$EO$10,0),0)=0,0,IF(MIN(Settings!$B$5,IF(Settings!$G$52="",Settings!$B$5,Settings!$G$52))&lt;MAX($A138,Settings!$F$52),0,INT((MIN(Settings!$B$5,IF(Settings!$G$52="",Settings!$B$5,Settings!$G$52))-MAX($A138,Settings!$F$52)-MOD(IFERROR(MATCH(Settings!$E$52,$EO$4:$EO$10,0),0)-WEEKDAY(MAX($A138,Settings!$F$52)),7))/7)+1)),IF(AND(IF(Settings!$E$52="",$B138,DATE(YEAR($A138),MONTH($A138),MIN(Settings!$E$52,DAY($B138))))&gt;=MAX($A138,Settings!$F$52),IF(Settings!$E$52="",$B138,DATE(YEAR($A138),MONTH($A138),MIN(Settings!$E$52,DAY($B138))))&lt;=MIN(Settings!$B$5,IF(Settings!$G$52="",Settings!$B$5,Settings!$G$52))),1,0)))))</f>
        <v/>
      </c>
      <c r="FB138">
        <f>IF($E138&lt;&gt;"open",0,IF(AND('Month-End'!$EE$30&lt;&gt;"",NOT(_xlfn.ISFORMULA('Month-End'!$EE$30))),0,IF(OR(Settings!$C$53="",Settings!$D$53=""),0,Settings!$C$53*IF(Settings!$D$53="Weekly",IF(IFERROR(MATCH(Settings!$E$53,$EO$4:$EO$10,0),0)=0,0,IF(MIN(Settings!$B$5,IF(Settings!$G$53="",Settings!$B$5,Settings!$G$53))&lt;MAX($A138,Settings!$F$53),0,INT((MIN(Settings!$B$5,IF(Settings!$G$53="",Settings!$B$5,Settings!$G$53))-MAX($A138,Settings!$F$53)-MOD(IFERROR(MATCH(Settings!$E$53,$EO$4:$EO$10,0),0)-WEEKDAY(MAX($A138,Settings!$F$53)),7))/7)+1)),IF(AND(IF(Settings!$E$53="",$B138,DATE(YEAR($A138),MONTH($A138),MIN(Settings!$E$53,DAY($B138))))&gt;=MAX($A138,Settings!$F$53),IF(Settings!$E$53="",$B138,DATE(YEAR($A138),MONTH($A138),MIN(Settings!$E$53,DAY($B138))))&lt;=MIN(Settings!$B$5,IF(Settings!$G$53="",Settings!$B$5,Settings!$G$53))),1,0)))))</f>
        <v/>
      </c>
      <c r="FC138">
        <f>IF($E138&lt;&gt;"open",0,IF(AND('Month-End'!$EE$31&lt;&gt;"",NOT(_xlfn.ISFORMULA('Month-End'!$EE$31))),0,IF(OR(Settings!$C$54="",Settings!$D$54=""),0,Settings!$C$54*IF(Settings!$D$54="Weekly",IF(IFERROR(MATCH(Settings!$E$54,$EO$4:$EO$10,0),0)=0,0,IF(MIN(Settings!$B$5,IF(Settings!$G$54="",Settings!$B$5,Settings!$G$54))&lt;MAX($A138,Settings!$F$54),0,INT((MIN(Settings!$B$5,IF(Settings!$G$54="",Settings!$B$5,Settings!$G$54))-MAX($A138,Settings!$F$54)-MOD(IFERROR(MATCH(Settings!$E$54,$EO$4:$EO$10,0),0)-WEEKDAY(MAX($A138,Settings!$F$54)),7))/7)+1)),IF(AND(IF(Settings!$E$54="",$B138,DATE(YEAR($A138),MONTH($A138),MIN(Settings!$E$54,DAY($B138))))&gt;=MAX($A138,Settings!$F$54),IF(Settings!$E$54="",$B138,DATE(YEAR($A138),MONTH($A138),MIN(Settings!$E$54,DAY($B138))))&lt;=MIN(Settings!$B$5,IF(Settings!$G$54="",Settings!$B$5,Settings!$G$54))),1,0)))))</f>
        <v/>
      </c>
      <c r="FD138">
        <f>IF($E138&lt;&gt;"open",0,IF(AND('Month-End'!$EE$32&lt;&gt;"",NOT(_xlfn.ISFORMULA('Month-End'!$EE$32))),0,IF(OR(Settings!$C$55="",Settings!$D$55=""),0,Settings!$C$55*IF(Settings!$D$55="Weekly",IF(IFERROR(MATCH(Settings!$E$55,$EO$4:$EO$10,0),0)=0,0,IF(MIN(Settings!$B$5,IF(Settings!$G$55="",Settings!$B$5,Settings!$G$55))&lt;MAX($A138,Settings!$F$55),0,INT((MIN(Settings!$B$5,IF(Settings!$G$55="",Settings!$B$5,Settings!$G$55))-MAX($A138,Settings!$F$55)-MOD(IFERROR(MATCH(Settings!$E$55,$EO$4:$EO$10,0),0)-WEEKDAY(MAX($A138,Settings!$F$55)),7))/7)+1)),IF(AND(IF(Settings!$E$55="",$B138,DATE(YEAR($A138),MONTH($A138),MIN(Settings!$E$55,DAY($B138))))&gt;=MAX($A138,Settings!$F$55),IF(Settings!$E$55="",$B138,DATE(YEAR($A138),MONTH($A138),MIN(Settings!$E$55,DAY($B138))))&lt;=MIN(Settings!$B$5,IF(Settings!$G$55="",Settings!$B$5,Settings!$G$55))),1,0)))))</f>
        <v/>
      </c>
      <c r="FE138">
        <f>IF($E138&lt;&gt;"open",0,IF(AND('Month-End'!$EE$33&lt;&gt;"",NOT(_xlfn.ISFORMULA('Month-End'!$EE$33))),0,IF(OR(Settings!$C$56="",Settings!$D$56=""),0,Settings!$C$56*IF(Settings!$D$56="Weekly",IF(IFERROR(MATCH(Settings!$E$56,$EO$4:$EO$10,0),0)=0,0,IF(MIN(Settings!$B$5,IF(Settings!$G$56="",Settings!$B$5,Settings!$G$56))&lt;MAX($A138,Settings!$F$56),0,INT((MIN(Settings!$B$5,IF(Settings!$G$56="",Settings!$B$5,Settings!$G$56))-MAX($A138,Settings!$F$56)-MOD(IFERROR(MATCH(Settings!$E$56,$EO$4:$EO$10,0),0)-WEEKDAY(MAX($A138,Settings!$F$56)),7))/7)+1)),IF(AND(IF(Settings!$E$56="",$B138,DATE(YEAR($A138),MONTH($A138),MIN(Settings!$E$56,DAY($B138))))&gt;=MAX($A138,Settings!$F$56),IF(Settings!$E$56="",$B138,DATE(YEAR($A138),MONTH($A138),MIN(Settings!$E$56,DAY($B138))))&lt;=MIN(Settings!$B$5,IF(Settings!$G$56="",Settings!$B$5,Settings!$G$56))),1,0)))))</f>
        <v/>
      </c>
      <c r="FF138">
        <f>IF(Settings!$I$45="Yes",$G138,0)+IF(Settings!$I$46="Yes",$H138,0)+IF(Settings!$I$47="Yes",$I138,0)+IF(Settings!$I$48="Yes",$J138,0)+IF(Settings!$I$49="Yes",$K138,0)+IF(Settings!$I$50="Yes",$L138,0)+IF(Settings!$I$51="Yes",$M138,0)+IF(Settings!$I$52="Yes",$N138,0)+IF(Settings!$I$53="Yes",$O138,0)+IF(Settings!$I$54="Yes",$P138,0)+IF(Settings!$I$55="Yes",$Q138,0)+IF(Settings!$I$56="Yes",$R138,0)</f>
        <v/>
      </c>
      <c r="FG138">
        <f>IF(AND(Settings!$I$45="Yes",Settings!$J$45="No"),$G138,0)+IF(AND(Settings!$I$46="Yes",Settings!$J$46="No"),$H138,0)+IF(AND(Settings!$I$47="Yes",Settings!$J$47="No"),$I138,0)+IF(AND(Settings!$I$48="Yes",Settings!$J$48="No"),$J138,0)+IF(AND(Settings!$I$49="Yes",Settings!$J$49="No"),$K138,0)+IF(AND(Settings!$I$50="Yes",Settings!$J$50="No"),$L138,0)+IF(AND(Settings!$I$51="Yes",Settings!$J$51="No"),$M138,0)+IF(AND(Settings!$I$52="Yes",Settings!$J$52="No"),$N138,0)+IF(AND(Settings!$I$53="Yes",Settings!$J$53="No"),$O138,0)+IF(AND(Settings!$I$54="Yes",Settings!$J$54="No"),$P138,0)+IF(AND(Settings!$I$55="Yes",Settings!$J$55="No"),$Q138,0)+IF(AND(Settings!$I$56="Yes",Settings!$J$56="No"),$R138,0)</f>
        <v/>
      </c>
      <c r="FH138">
        <f>SUMIFS(Giving!$B$7:$B$2006,Giving!$A$7:$A$2006,"&gt;="&amp;$A138,Giving!$A$7:$A$2006,"&lt;="&amp;$B138,Giving!$G$7:$G$2006,"Yes")+IF(OR(OR(Settings!$B$60="",Settings!$F$60="No"),Settings!$H$60&lt;&gt;"Yes"),0,Settings!$B$60*IF(AND(IF(Settings!$C$60="",$B138,DATE(YEAR($A138),MONTH($A138),MIN(Settings!$C$60,DAY($B138))))&gt;=MAX($A138,Settings!$D$60),IF(Settings!$C$60="",$B138,DATE(YEAR($A138),MONTH($A138),MIN(Settings!$C$60,DAY($B138))))&lt;=MIN($C138,IF(Settings!$E$60="",$C138,Settings!$E$60))),1,0))+IF(OR(OR(Settings!$B$61="",Settings!$F$61="No"),Settings!$H$61&lt;&gt;"Yes"),0,Settings!$B$61*IF(AND(IF(Settings!$C$61="",$B138,DATE(YEAR($A138),MONTH($A138),MIN(Settings!$C$61,DAY($B138))))&gt;=MAX($A138,Settings!$D$61),IF(Settings!$C$61="",$B138,DATE(YEAR($A138),MONTH($A138),MIN(Settings!$C$61,DAY($B138))))&lt;=MIN($C138,IF(Settings!$E$61="",$C138,Settings!$E$61))),1,0))+IF(OR(OR(Settings!$B$62="",Settings!$F$62="No"),Settings!$H$62&lt;&gt;"Yes"),0,Settings!$B$62*IF(AND(IF(Settings!$C$62="",$B138,DATE(YEAR($A138),MONTH($A138),MIN(Settings!$C$62,DAY($B138))))&gt;=MAX($A138,Settings!$D$62),IF(Settings!$C$62="",$B138,DATE(YEAR($A138),MONTH($A138),MIN(Settings!$C$62,DAY($B138))))&lt;=MIN($C138,IF(Settings!$E$62="",$C138,Settings!$E$62))),1,0))+IF(OR(OR(Settings!$B$63="",Settings!$F$63="No"),Settings!$H$63&lt;&gt;"Yes"),0,Settings!$B$63*IF(AND(IF(Settings!$C$63="",$B138,DATE(YEAR($A138),MONTH($A138),MIN(Settings!$C$63,DAY($B138))))&gt;=MAX($A138,Settings!$D$63),IF(Settings!$C$63="",$B138,DATE(YEAR($A138),MONTH($A138),MIN(Settings!$C$63,DAY($B138))))&lt;=MIN($C138,IF(Settings!$E$63="",$C138,Settings!$E$63))),1,0))+IF(OR(OR(Settings!$B$64="",Settings!$F$64="No"),Settings!$H$64&lt;&gt;"Yes"),0,Settings!$B$64*IF(AND(IF(Settings!$C$64="",$B138,DATE(YEAR($A138),MONTH($A138),MIN(Settings!$C$64,DAY($B138))))&gt;=MAX($A138,Settings!$D$64),IF(Settings!$C$64="",$B138,DATE(YEAR($A138),MONTH($A138),MIN(Settings!$C$64,DAY($B138))))&lt;=MIN($C138,IF(Settings!$E$64="",$C138,Settings!$E$64))),1,0))+IF(OR(OR(Settings!$B$65="",Settings!$F$65="No"),Settings!$H$65&lt;&gt;"Yes"),0,Settings!$B$65*IF(AND(IF(Settings!$C$65="",$B138,DATE(YEAR($A138),MONTH($A138),MIN(Settings!$C$65,DAY($B138))))&gt;=MAX($A138,Settings!$D$65),IF(Settings!$C$65="",$B138,DATE(YEAR($A138),MONTH($A138),MIN(Settings!$C$65,DAY($B138))))&lt;=MIN($C138,IF(Settings!$E$65="",$C138,Settings!$E$65))),1,0))</f>
        <v/>
      </c>
      <c r="FI138">
        <f>IF($DT138=1,IF(OR(Settings!$B$19="Card",Settings!$B$19="Loan"),N($AE138),0)+IF(OR(Settings!$B$20="Card",Settings!$B$20="Loan"),N($AF138),0)+IF(OR(Settings!$B$21="Card",Settings!$B$21="Loan"),N($AG138),0)+IF(OR(Settings!$B$22="Card",Settings!$B$22="Loan"),N($AH138),0)+IF(OR(Settings!$B$23="Card",Settings!$B$23="Loan"),N($AI138),0)+IF(OR(Settings!$B$24="Card",Settings!$B$24="Loan"),N($AJ138),0)+IF(OR(Settings!$B$25="Card",Settings!$B$25="Loan"),N($AK138),0)+IF(OR(Settings!$B$26="Card",Settings!$B$26="Loan"),N($AL138),0)+IF(OR(Settings!$B$27="Card",Settings!$B$27="Loan"),N($AM138),0)+IF(OR(Settings!$B$28="Card",Settings!$B$28="Loan"),N($AN138),0)+IF(OR(Settings!$B$29="Card",Settings!$B$29="Loan"),N($AO138),0)+IF(OR(Settings!$B$30="Card",Settings!$B$30="Loan"),N($AP138),0)+IF(OR(Settings!$B$31="Card",Settings!$B$31="Loan"),N($AQ138),0)+IF(OR(Settings!$B$32="Card",Settings!$B$32="Loan"),N($AR138),0),"")</f>
        <v/>
      </c>
      <c r="FJ138">
        <f>IF($E138="open",$EB$65,IF($E138="post",IF($E137="pre",$EB$65,$FI137),""))</f>
        <v/>
      </c>
      <c r="FK138">
        <f>IF(AND($DT138=1,$DC138=1),IF(ROUND($FI138-$FJ138,2)&gt;0,1,0),0)</f>
        <v/>
      </c>
      <c r="FL138">
        <f>IF($FK138=1,$FL137+1,0)</f>
        <v/>
      </c>
    </row>
    <row r="139">
      <c r="A139">
        <f>'Month-End'!$EF$4</f>
        <v/>
      </c>
      <c r="B139">
        <f>EOMONTH($A139,0)</f>
        <v/>
      </c>
      <c r="C139">
        <f>MIN($B139,TODAY())</f>
        <v/>
      </c>
      <c r="D139">
        <f>IF($A139&gt;TODAY(),1,0)</f>
        <v/>
      </c>
      <c r="E139">
        <f>IF($B139&lt;=Settings!$B$5,"pre",IF($A139&lt;=Settings!$B$5,"open","post"))</f>
        <v/>
      </c>
      <c r="G139">
        <f>IF('Month-End'!$EF$22="",$BE139,N('Month-End'!$EF$22))</f>
        <v/>
      </c>
      <c r="H139">
        <f>IF('Month-End'!$EF$23="",$BF139,N('Month-End'!$EF$23))</f>
        <v/>
      </c>
      <c r="I139">
        <f>IF('Month-End'!$EF$24="",$BG139,N('Month-End'!$EF$24))</f>
        <v/>
      </c>
      <c r="J139">
        <f>IF('Month-End'!$EF$25="",$BH139,N('Month-End'!$EF$25))</f>
        <v/>
      </c>
      <c r="K139">
        <f>IF('Month-End'!$EF$26="",$BI139,N('Month-End'!$EF$26))</f>
        <v/>
      </c>
      <c r="L139">
        <f>IF('Month-End'!$EF$27="",$BJ139,N('Month-End'!$EF$27))</f>
        <v/>
      </c>
      <c r="M139">
        <f>IF('Month-End'!$EF$28="",$BK139,N('Month-End'!$EF$28))</f>
        <v/>
      </c>
      <c r="N139">
        <f>IF('Month-End'!$EF$29="",$BL139,N('Month-End'!$EF$29))</f>
        <v/>
      </c>
      <c r="O139">
        <f>IF('Month-End'!$EF$30="",$BM139,N('Month-End'!$EF$30))</f>
        <v/>
      </c>
      <c r="P139">
        <f>IF('Month-End'!$EF$31="",$BN139,N('Month-End'!$EF$31))</f>
        <v/>
      </c>
      <c r="Q139">
        <f>IF('Month-End'!$EF$32="",$BO139,N('Month-End'!$EF$32))</f>
        <v/>
      </c>
      <c r="R139">
        <f>IF('Month-End'!$EF$33="",$BP139,N('Month-End'!$EF$33))</f>
        <v/>
      </c>
      <c r="S139">
        <f>$G139+$H139+$I139+$J139+$K139+$L139+$M139+$N139+$O139+$P139+$Q139+$R139</f>
        <v/>
      </c>
      <c r="T139">
        <f>IF($B139&lt;Settings!$B$6,0,IF(Settings!$B$45="Yes",$G139,0)+IF(Settings!$B$46="Yes",$H139,0)+IF(Settings!$B$47="Yes",$I139,0)+IF(Settings!$B$48="Yes",$J139,0)+IF(Settings!$B$49="Yes",$K139,0)+IF(Settings!$B$50="Yes",$L139,0)+IF(Settings!$B$51="Yes",$M139,0)+IF(Settings!$B$52="Yes",$N139,0)+IF(Settings!$B$53="Yes",$O139,0)+IF(Settings!$B$54="Yes",$P139,0)+IF(Settings!$B$55="Yes",$Q139,0)+IF(Settings!$B$56="Yes",$R139,0))</f>
        <v/>
      </c>
      <c r="U139">
        <f>IF(Settings!$B$45="Not Sure",$G139,0)+IF(Settings!$B$46="Not Sure",$H139,0)+IF(Settings!$B$47="Not Sure",$I139,0)+IF(Settings!$B$48="Not Sure",$J139,0)+IF(Settings!$B$49="Not Sure",$K139,0)+IF(Settings!$B$50="Not Sure",$L139,0)+IF(Settings!$B$51="Not Sure",$M139,0)+IF(Settings!$B$52="Not Sure",$N139,0)+IF(Settings!$B$53="Not Sure",$O139,0)+IF(Settings!$B$54="Not Sure",$P139,0)+IF(Settings!$B$55="Not Sure",$Q139,0)+IF(Settings!$B$56="Not Sure",$R139,0)</f>
        <v/>
      </c>
      <c r="V139">
        <f>IF($E139="open",SUM($ET139:$FE139)+N(Settings!$B$13),0)</f>
        <v/>
      </c>
      <c r="W139">
        <f>IF($E139="post",$S139,IF($E139="open",$S139-$V139,0))</f>
        <v/>
      </c>
      <c r="X139">
        <f>SUMIFS(Giving!$B$7:$B$2006,Giving!$A$7:$A$2006,"&gt;="&amp;$A139,Giving!$A$7:$A$2006,"&lt;="&amp;$B139,Giving!$E$7:$E$2006,"&lt;&gt;No")</f>
        <v/>
      </c>
      <c r="Y139">
        <f>SUMIFS(Giving!$B$7:$B$2006,Giving!$A$7:$A$2006,"&gt;="&amp;$A139,Giving!$A$7:$A$2006,"&lt;="&amp;$B139,Giving!$E$7:$E$2006,"No")</f>
        <v/>
      </c>
      <c r="Z139">
        <f>IF(OR(Settings!$B$60="",Settings!$F$60="No"),0,Settings!$B$60*IF(AND(IF(Settings!$C$60="",$B139,DATE(YEAR($A139),MONTH($A139),MIN(Settings!$C$60,DAY($B139))))&gt;=MAX($A139,Settings!$D$60),IF(Settings!$C$60="",$B139,DATE(YEAR($A139),MONTH($A139),MIN(Settings!$C$60,DAY($B139))))&lt;=MIN($C139,IF(Settings!$E$60="",$C139,Settings!$E$60))),1,0))+IF(OR(Settings!$B$61="",Settings!$F$61="No"),0,Settings!$B$61*IF(AND(IF(Settings!$C$61="",$B139,DATE(YEAR($A139),MONTH($A139),MIN(Settings!$C$61,DAY($B139))))&gt;=MAX($A139,Settings!$D$61),IF(Settings!$C$61="",$B139,DATE(YEAR($A139),MONTH($A139),MIN(Settings!$C$61,DAY($B139))))&lt;=MIN($C139,IF(Settings!$E$61="",$C139,Settings!$E$61))),1,0))+IF(OR(Settings!$B$62="",Settings!$F$62="No"),0,Settings!$B$62*IF(AND(IF(Settings!$C$62="",$B139,DATE(YEAR($A139),MONTH($A139),MIN(Settings!$C$62,DAY($B139))))&gt;=MAX($A139,Settings!$D$62),IF(Settings!$C$62="",$B139,DATE(YEAR($A139),MONTH($A139),MIN(Settings!$C$62,DAY($B139))))&lt;=MIN($C139,IF(Settings!$E$62="",$C139,Settings!$E$62))),1,0))+IF(OR(Settings!$B$63="",Settings!$F$63="No"),0,Settings!$B$63*IF(AND(IF(Settings!$C$63="",$B139,DATE(YEAR($A139),MONTH($A139),MIN(Settings!$C$63,DAY($B139))))&gt;=MAX($A139,Settings!$D$63),IF(Settings!$C$63="",$B139,DATE(YEAR($A139),MONTH($A139),MIN(Settings!$C$63,DAY($B139))))&lt;=MIN($C139,IF(Settings!$E$63="",$C139,Settings!$E$63))),1,0))+IF(OR(Settings!$B$64="",Settings!$F$64="No"),0,Settings!$B$64*IF(AND(IF(Settings!$C$64="",$B139,DATE(YEAR($A139),MONTH($A139),MIN(Settings!$C$64,DAY($B139))))&gt;=MAX($A139,Settings!$D$64),IF(Settings!$C$64="",$B139,DATE(YEAR($A139),MONTH($A139),MIN(Settings!$C$64,DAY($B139))))&lt;=MIN($C139,IF(Settings!$E$64="",$C139,Settings!$E$64))),1,0))+IF(OR(Settings!$B$65="",Settings!$F$65="No"),0,Settings!$B$65*IF(AND(IF(Settings!$C$65="",$B139,DATE(YEAR($A139),MONTH($A139),MIN(Settings!$C$65,DAY($B139))))&gt;=MAX($A139,Settings!$D$65),IF(Settings!$C$65="",$B139,DATE(YEAR($A139),MONTH($A139),MIN(Settings!$C$65,DAY($B139))))&lt;=MIN($C139,IF(Settings!$E$65="",$C139,Settings!$E$65))),1,0))</f>
        <v/>
      </c>
      <c r="AA139">
        <f>$X139+$Z139</f>
        <v/>
      </c>
      <c r="AB139">
        <f>IF($E139="post",$AA139,IF($E139="open",SUMIFS(Giving!$B$7:$B$2006,Giving!$A$7:$A$2006,"&gt;"&amp;Settings!$B$5,Giving!$A$7:$A$2006,"&lt;="&amp;$B139,Giving!$E$7:$E$2006,"&lt;&gt;No")+IF(OR(Settings!$B$60="",Settings!$F$60="No"),0,Settings!$B$60*IF(AND(IF(Settings!$C$60="",$B139,DATE(YEAR($A139),MONTH($A139),MIN(Settings!$C$60,DAY($B139))))&gt;=MAX($A139,Settings!$D$60,Settings!$B$5+1),IF(Settings!$C$60="",$B139,DATE(YEAR($A139),MONTH($A139),MIN(Settings!$C$60,DAY($B139))))&lt;=MIN($C139,IF(Settings!$E$60="",$C139,Settings!$E$60))),1,0))+IF(OR(Settings!$B$61="",Settings!$F$61="No"),0,Settings!$B$61*IF(AND(IF(Settings!$C$61="",$B139,DATE(YEAR($A139),MONTH($A139),MIN(Settings!$C$61,DAY($B139))))&gt;=MAX($A139,Settings!$D$61,Settings!$B$5+1),IF(Settings!$C$61="",$B139,DATE(YEAR($A139),MONTH($A139),MIN(Settings!$C$61,DAY($B139))))&lt;=MIN($C139,IF(Settings!$E$61="",$C139,Settings!$E$61))),1,0))+IF(OR(Settings!$B$62="",Settings!$F$62="No"),0,Settings!$B$62*IF(AND(IF(Settings!$C$62="",$B139,DATE(YEAR($A139),MONTH($A139),MIN(Settings!$C$62,DAY($B139))))&gt;=MAX($A139,Settings!$D$62,Settings!$B$5+1),IF(Settings!$C$62="",$B139,DATE(YEAR($A139),MONTH($A139),MIN(Settings!$C$62,DAY($B139))))&lt;=MIN($C139,IF(Settings!$E$62="",$C139,Settings!$E$62))),1,0))+IF(OR(Settings!$B$63="",Settings!$F$63="No"),0,Settings!$B$63*IF(AND(IF(Settings!$C$63="",$B139,DATE(YEAR($A139),MONTH($A139),MIN(Settings!$C$63,DAY($B139))))&gt;=MAX($A139,Settings!$D$63,Settings!$B$5+1),IF(Settings!$C$63="",$B139,DATE(YEAR($A139),MONTH($A139),MIN(Settings!$C$63,DAY($B139))))&lt;=MIN($C139,IF(Settings!$E$63="",$C139,Settings!$E$63))),1,0))+IF(OR(Settings!$B$64="",Settings!$F$64="No"),0,Settings!$B$64*IF(AND(IF(Settings!$C$64="",$B139,DATE(YEAR($A139),MONTH($A139),MIN(Settings!$C$64,DAY($B139))))&gt;=MAX($A139,Settings!$D$64,Settings!$B$5+1),IF(Settings!$C$64="",$B139,DATE(YEAR($A139),MONTH($A139),MIN(Settings!$C$64,DAY($B139))))&lt;=MIN($C139,IF(Settings!$E$64="",$C139,Settings!$E$64))),1,0))+IF(OR(Settings!$B$65="",Settings!$F$65="No"),0,Settings!$B$65*IF(AND(IF(Settings!$C$65="",$B139,DATE(YEAR($A139),MONTH($A139),MIN(Settings!$C$65,DAY($B139))))&gt;=MAX($A139,Settings!$D$65,Settings!$B$5+1),IF(Settings!$C$65="",$B139,DATE(YEAR($A139),MONTH($A139),MIN(Settings!$C$65,DAY($B139))))&lt;=MIN($C139,IF(Settings!$E$65="",$C139,Settings!$E$65))),1,0)),0))</f>
        <v/>
      </c>
      <c r="AC139">
        <f>$AY139+$AZ139+$BA139+$BB139+$BC139+$BD139</f>
        <v/>
      </c>
      <c r="AD139">
        <f>$AC139</f>
        <v/>
      </c>
      <c r="AE139">
        <f>IF(OR(Settings!$A$19="",$E139="pre"),"",IF(AND('Month-End'!$EF$7&lt;&gt;"",NOT(_xlfn.ISFORMULA('Month-End'!$EF$7))),N('Month-End'!$EF$7),IF(OR($E139="open",$E138="pre"),N(Settings!$C$19),N($AE138))))</f>
        <v/>
      </c>
      <c r="AF139">
        <f>IF(OR(Settings!$A$20="",$E139="pre"),"",IF(AND('Month-End'!$EF$8&lt;&gt;"",NOT(_xlfn.ISFORMULA('Month-End'!$EF$8))),N('Month-End'!$EF$8),IF(OR($E139="open",$E138="pre"),N(Settings!$C$20),N($AF138))))</f>
        <v/>
      </c>
      <c r="AG139">
        <f>IF(OR(Settings!$A$21="",$E139="pre"),"",IF(AND('Month-End'!$EF$9&lt;&gt;"",NOT(_xlfn.ISFORMULA('Month-End'!$EF$9))),N('Month-End'!$EF$9),IF(OR($E139="open",$E138="pre"),N(Settings!$C$21),N($AG138))))</f>
        <v/>
      </c>
      <c r="AH139">
        <f>IF(OR(Settings!$A$22="",$E139="pre"),"",IF(AND('Month-End'!$EF$10&lt;&gt;"",NOT(_xlfn.ISFORMULA('Month-End'!$EF$10))),N('Month-End'!$EF$10),IF(OR($E139="open",$E138="pre"),N(Settings!$C$22),N($AH138))))</f>
        <v/>
      </c>
      <c r="AI139">
        <f>IF(OR(Settings!$A$23="",$E139="pre"),"",IF(AND('Month-End'!$EF$11&lt;&gt;"",NOT(_xlfn.ISFORMULA('Month-End'!$EF$11))),N('Month-End'!$EF$11),IF(OR($E139="open",$E138="pre"),N(Settings!$C$23),N($AI138))))</f>
        <v/>
      </c>
      <c r="AJ139">
        <f>IF(OR(Settings!$A$24="",$E139="pre"),"",IF(AND('Month-End'!$EF$12&lt;&gt;"",NOT(_xlfn.ISFORMULA('Month-End'!$EF$12))),N('Month-End'!$EF$12),IF(OR($E139="open",$E138="pre"),N(Settings!$C$24),N($AJ138))))</f>
        <v/>
      </c>
      <c r="AK139">
        <f>IF(OR(Settings!$A$25="",$E139="pre"),"",IF(AND('Month-End'!$EF$13&lt;&gt;"",NOT(_xlfn.ISFORMULA('Month-End'!$EF$13))),N('Month-End'!$EF$13),IF(OR($E139="open",$E138="pre"),N(Settings!$C$25),N($AK138))))</f>
        <v/>
      </c>
      <c r="AL139">
        <f>IF(OR(Settings!$A$26="",$E139="pre"),"",IF(AND('Month-End'!$EF$14&lt;&gt;"",NOT(_xlfn.ISFORMULA('Month-End'!$EF$14))),N('Month-End'!$EF$14),IF(OR($E139="open",$E138="pre"),N(Settings!$C$26),N($AL138))))</f>
        <v/>
      </c>
      <c r="AM139">
        <f>IF(OR(Settings!$A$27="",$E139="pre"),"",IF(AND('Month-End'!$EF$15&lt;&gt;"",NOT(_xlfn.ISFORMULA('Month-End'!$EF$15))),N('Month-End'!$EF$15),IF(OR($E139="open",$E138="pre"),N(Settings!$C$27),N($AM138))))</f>
        <v/>
      </c>
      <c r="AN139">
        <f>IF(OR(Settings!$A$28="",$E139="pre"),"",IF(AND('Month-End'!$EF$16&lt;&gt;"",NOT(_xlfn.ISFORMULA('Month-End'!$EF$16))),N('Month-End'!$EF$16),IF(OR($E139="open",$E138="pre"),N(Settings!$C$28),N($AN138))))</f>
        <v/>
      </c>
      <c r="AO139">
        <f>IF(OR(Settings!$A$29="",$E139="pre"),"",IF(AND('Month-End'!$EF$17&lt;&gt;"",NOT(_xlfn.ISFORMULA('Month-End'!$EF$17))),N('Month-End'!$EF$17),IF(OR($E139="open",$E138="pre"),N(Settings!$C$29),N($AO138))))</f>
        <v/>
      </c>
      <c r="AP139">
        <f>IF(OR(Settings!$A$30="",$E139="pre"),"",IF(AND('Month-End'!$EF$18&lt;&gt;"",NOT(_xlfn.ISFORMULA('Month-End'!$EF$18))),N('Month-End'!$EF$18),IF(OR($E139="open",$E138="pre"),N(Settings!$C$30),N($AP138))))</f>
        <v/>
      </c>
      <c r="AQ139">
        <f>IF(OR(Settings!$A$31="",$E139="pre"),"",IF(AND('Month-End'!$EF$19&lt;&gt;"",NOT(_xlfn.ISFORMULA('Month-End'!$EF$19))),N('Month-End'!$EF$19),IF(OR($E139="open",$E138="pre"),N(Settings!$C$31),N($AQ138))))</f>
        <v/>
      </c>
      <c r="AR139">
        <f>IF(OR(Settings!$A$32="",$E139="pre"),"",IF(AND('Month-End'!$EF$20&lt;&gt;"",NOT(_xlfn.ISFORMULA('Month-End'!$EF$20))),N('Month-End'!$EF$20),IF(OR($E139="open",$E138="pre"),N(Settings!$C$32),N($AR138))))</f>
        <v/>
      </c>
      <c r="AS139">
        <f>IF(OR(Settings!$A$36="",$E139="pre"),"",IF(AND('Month-End'!$EF$38&lt;&gt;"",NOT(_xlfn.ISFORMULA('Month-End'!$EF$38))),N('Month-End'!$EF$38),IF(OR($E139="open",$E138="pre"),N(Settings!$C$36),N($AS138))+$AY139))</f>
        <v/>
      </c>
      <c r="AT139">
        <f>IF(OR(Settings!$A$37="",$E139="pre"),"",IF(AND('Month-End'!$EF$39&lt;&gt;"",NOT(_xlfn.ISFORMULA('Month-End'!$EF$39))),N('Month-End'!$EF$39),IF(OR($E139="open",$E138="pre"),N(Settings!$C$37),N($AT138))+$AZ139))</f>
        <v/>
      </c>
      <c r="AU139">
        <f>IF(OR(Settings!$A$38="",$E139="pre"),"",IF(AND('Month-End'!$EF$40&lt;&gt;"",NOT(_xlfn.ISFORMULA('Month-End'!$EF$40))),N('Month-End'!$EF$40),IF(OR($E139="open",$E138="pre"),N(Settings!$C$38),N($AU138))+$BA139))</f>
        <v/>
      </c>
      <c r="AV139">
        <f>IF(OR(Settings!$A$39="",$E139="pre"),"",IF(AND('Month-End'!$EF$41&lt;&gt;"",NOT(_xlfn.ISFORMULA('Month-End'!$EF$41))),N('Month-End'!$EF$41),IF(OR($E139="open",$E138="pre"),N(Settings!$C$39),N($AV138))+$BB139))</f>
        <v/>
      </c>
      <c r="AW139">
        <f>IF(OR(Settings!$A$40="",$E139="pre"),"",IF(AND('Month-End'!$EF$42&lt;&gt;"",NOT(_xlfn.ISFORMULA('Month-End'!$EF$42))),N('Month-End'!$EF$42),IF(OR($E139="open",$E138="pre"),N(Settings!$C$40),N($AW138))+$BC139))</f>
        <v/>
      </c>
      <c r="AX139">
        <f>IF(OR(Settings!$A$41="",$E139="pre"),"",IF(AND('Month-End'!$EF$43&lt;&gt;"",NOT(_xlfn.ISFORMULA('Month-End'!$EF$43))),N('Month-End'!$EF$43),IF(OR($E139="open",$E138="pre"),N(Settings!$C$41),N($AX138))+$BD139))</f>
        <v/>
      </c>
      <c r="AY139">
        <f>IF($E139="pre",0,N('Month-End'!$EF$45))</f>
        <v/>
      </c>
      <c r="AZ139">
        <f>IF($E139="pre",0,N('Month-End'!$EF$46))</f>
        <v/>
      </c>
      <c r="BA139">
        <f>IF($E139="pre",0,N('Month-End'!$EF$47))</f>
        <v/>
      </c>
      <c r="BB139">
        <f>IF($E139="pre",0,N('Month-End'!$EF$48))</f>
        <v/>
      </c>
      <c r="BC139">
        <f>IF($E139="pre",0,N('Month-End'!$EF$49))</f>
        <v/>
      </c>
      <c r="BD139">
        <f>IF($E139="pre",0,N('Month-End'!$EF$50))</f>
        <v/>
      </c>
      <c r="BE139">
        <f>IF(OR(Settings!$C$45="",Settings!$D$45=""),0,Settings!$C$45*IF(Settings!$D$45="Weekly",IF(IFERROR(MATCH(Settings!$E$45,$EO$4:$EO$10,0),0)=0,0,IF(MIN($C139,IF(Settings!$G$45="",$C139,Settings!$G$45))&lt;MAX($A139,Settings!$F$45),0,INT((MIN($C139,IF(Settings!$G$45="",$C139,Settings!$G$45))-MAX($A139,Settings!$F$45)-MOD(IFERROR(MATCH(Settings!$E$45,$EO$4:$EO$10,0),0)-WEEKDAY(MAX($A139,Settings!$F$45)),7))/7)+1)),IF(AND(IF(Settings!$E$45="",$B139,DATE(YEAR($A139),MONTH($A139),MIN(Settings!$E$45,DAY($B139))))&gt;=MAX($A139,Settings!$F$45),IF(Settings!$E$45="",$B139,DATE(YEAR($A139),MONTH($A139),MIN(Settings!$E$45,DAY($B139))))&lt;=MIN($C139,IF(Settings!$G$45="",$C139,Settings!$G$45))),1,0)))</f>
        <v/>
      </c>
      <c r="BF139">
        <f>IF(OR(Settings!$C$46="",Settings!$D$46=""),0,Settings!$C$46*IF(Settings!$D$46="Weekly",IF(IFERROR(MATCH(Settings!$E$46,$EO$4:$EO$10,0),0)=0,0,IF(MIN($C139,IF(Settings!$G$46="",$C139,Settings!$G$46))&lt;MAX($A139,Settings!$F$46),0,INT((MIN($C139,IF(Settings!$G$46="",$C139,Settings!$G$46))-MAX($A139,Settings!$F$46)-MOD(IFERROR(MATCH(Settings!$E$46,$EO$4:$EO$10,0),0)-WEEKDAY(MAX($A139,Settings!$F$46)),7))/7)+1)),IF(AND(IF(Settings!$E$46="",$B139,DATE(YEAR($A139),MONTH($A139),MIN(Settings!$E$46,DAY($B139))))&gt;=MAX($A139,Settings!$F$46),IF(Settings!$E$46="",$B139,DATE(YEAR($A139),MONTH($A139),MIN(Settings!$E$46,DAY($B139))))&lt;=MIN($C139,IF(Settings!$G$46="",$C139,Settings!$G$46))),1,0)))</f>
        <v/>
      </c>
      <c r="BG139">
        <f>IF(OR(Settings!$C$47="",Settings!$D$47=""),0,Settings!$C$47*IF(Settings!$D$47="Weekly",IF(IFERROR(MATCH(Settings!$E$47,$EO$4:$EO$10,0),0)=0,0,IF(MIN($C139,IF(Settings!$G$47="",$C139,Settings!$G$47))&lt;MAX($A139,Settings!$F$47),0,INT((MIN($C139,IF(Settings!$G$47="",$C139,Settings!$G$47))-MAX($A139,Settings!$F$47)-MOD(IFERROR(MATCH(Settings!$E$47,$EO$4:$EO$10,0),0)-WEEKDAY(MAX($A139,Settings!$F$47)),7))/7)+1)),IF(AND(IF(Settings!$E$47="",$B139,DATE(YEAR($A139),MONTH($A139),MIN(Settings!$E$47,DAY($B139))))&gt;=MAX($A139,Settings!$F$47),IF(Settings!$E$47="",$B139,DATE(YEAR($A139),MONTH($A139),MIN(Settings!$E$47,DAY($B139))))&lt;=MIN($C139,IF(Settings!$G$47="",$C139,Settings!$G$47))),1,0)))</f>
        <v/>
      </c>
      <c r="BH139">
        <f>IF(OR(Settings!$C$48="",Settings!$D$48=""),0,Settings!$C$48*IF(Settings!$D$48="Weekly",IF(IFERROR(MATCH(Settings!$E$48,$EO$4:$EO$10,0),0)=0,0,IF(MIN($C139,IF(Settings!$G$48="",$C139,Settings!$G$48))&lt;MAX($A139,Settings!$F$48),0,INT((MIN($C139,IF(Settings!$G$48="",$C139,Settings!$G$48))-MAX($A139,Settings!$F$48)-MOD(IFERROR(MATCH(Settings!$E$48,$EO$4:$EO$10,0),0)-WEEKDAY(MAX($A139,Settings!$F$48)),7))/7)+1)),IF(AND(IF(Settings!$E$48="",$B139,DATE(YEAR($A139),MONTH($A139),MIN(Settings!$E$48,DAY($B139))))&gt;=MAX($A139,Settings!$F$48),IF(Settings!$E$48="",$B139,DATE(YEAR($A139),MONTH($A139),MIN(Settings!$E$48,DAY($B139))))&lt;=MIN($C139,IF(Settings!$G$48="",$C139,Settings!$G$48))),1,0)))</f>
        <v/>
      </c>
      <c r="BI139">
        <f>IF(OR(Settings!$C$49="",Settings!$D$49=""),0,Settings!$C$49*IF(Settings!$D$49="Weekly",IF(IFERROR(MATCH(Settings!$E$49,$EO$4:$EO$10,0),0)=0,0,IF(MIN($C139,IF(Settings!$G$49="",$C139,Settings!$G$49))&lt;MAX($A139,Settings!$F$49),0,INT((MIN($C139,IF(Settings!$G$49="",$C139,Settings!$G$49))-MAX($A139,Settings!$F$49)-MOD(IFERROR(MATCH(Settings!$E$49,$EO$4:$EO$10,0),0)-WEEKDAY(MAX($A139,Settings!$F$49)),7))/7)+1)),IF(AND(IF(Settings!$E$49="",$B139,DATE(YEAR($A139),MONTH($A139),MIN(Settings!$E$49,DAY($B139))))&gt;=MAX($A139,Settings!$F$49),IF(Settings!$E$49="",$B139,DATE(YEAR($A139),MONTH($A139),MIN(Settings!$E$49,DAY($B139))))&lt;=MIN($C139,IF(Settings!$G$49="",$C139,Settings!$G$49))),1,0)))</f>
        <v/>
      </c>
      <c r="BJ139">
        <f>IF(OR(Settings!$C$50="",Settings!$D$50=""),0,Settings!$C$50*IF(Settings!$D$50="Weekly",IF(IFERROR(MATCH(Settings!$E$50,$EO$4:$EO$10,0),0)=0,0,IF(MIN($C139,IF(Settings!$G$50="",$C139,Settings!$G$50))&lt;MAX($A139,Settings!$F$50),0,INT((MIN($C139,IF(Settings!$G$50="",$C139,Settings!$G$50))-MAX($A139,Settings!$F$50)-MOD(IFERROR(MATCH(Settings!$E$50,$EO$4:$EO$10,0),0)-WEEKDAY(MAX($A139,Settings!$F$50)),7))/7)+1)),IF(AND(IF(Settings!$E$50="",$B139,DATE(YEAR($A139),MONTH($A139),MIN(Settings!$E$50,DAY($B139))))&gt;=MAX($A139,Settings!$F$50),IF(Settings!$E$50="",$B139,DATE(YEAR($A139),MONTH($A139),MIN(Settings!$E$50,DAY($B139))))&lt;=MIN($C139,IF(Settings!$G$50="",$C139,Settings!$G$50))),1,0)))</f>
        <v/>
      </c>
      <c r="BK139">
        <f>IF(OR(Settings!$C$51="",Settings!$D$51=""),0,Settings!$C$51*IF(Settings!$D$51="Weekly",IF(IFERROR(MATCH(Settings!$E$51,$EO$4:$EO$10,0),0)=0,0,IF(MIN($C139,IF(Settings!$G$51="",$C139,Settings!$G$51))&lt;MAX($A139,Settings!$F$51),0,INT((MIN($C139,IF(Settings!$G$51="",$C139,Settings!$G$51))-MAX($A139,Settings!$F$51)-MOD(IFERROR(MATCH(Settings!$E$51,$EO$4:$EO$10,0),0)-WEEKDAY(MAX($A139,Settings!$F$51)),7))/7)+1)),IF(AND(IF(Settings!$E$51="",$B139,DATE(YEAR($A139),MONTH($A139),MIN(Settings!$E$51,DAY($B139))))&gt;=MAX($A139,Settings!$F$51),IF(Settings!$E$51="",$B139,DATE(YEAR($A139),MONTH($A139),MIN(Settings!$E$51,DAY($B139))))&lt;=MIN($C139,IF(Settings!$G$51="",$C139,Settings!$G$51))),1,0)))</f>
        <v/>
      </c>
      <c r="BL139">
        <f>IF(OR(Settings!$C$52="",Settings!$D$52=""),0,Settings!$C$52*IF(Settings!$D$52="Weekly",IF(IFERROR(MATCH(Settings!$E$52,$EO$4:$EO$10,0),0)=0,0,IF(MIN($C139,IF(Settings!$G$52="",$C139,Settings!$G$52))&lt;MAX($A139,Settings!$F$52),0,INT((MIN($C139,IF(Settings!$G$52="",$C139,Settings!$G$52))-MAX($A139,Settings!$F$52)-MOD(IFERROR(MATCH(Settings!$E$52,$EO$4:$EO$10,0),0)-WEEKDAY(MAX($A139,Settings!$F$52)),7))/7)+1)),IF(AND(IF(Settings!$E$52="",$B139,DATE(YEAR($A139),MONTH($A139),MIN(Settings!$E$52,DAY($B139))))&gt;=MAX($A139,Settings!$F$52),IF(Settings!$E$52="",$B139,DATE(YEAR($A139),MONTH($A139),MIN(Settings!$E$52,DAY($B139))))&lt;=MIN($C139,IF(Settings!$G$52="",$C139,Settings!$G$52))),1,0)))</f>
        <v/>
      </c>
      <c r="BM139">
        <f>IF(OR(Settings!$C$53="",Settings!$D$53=""),0,Settings!$C$53*IF(Settings!$D$53="Weekly",IF(IFERROR(MATCH(Settings!$E$53,$EO$4:$EO$10,0),0)=0,0,IF(MIN($C139,IF(Settings!$G$53="",$C139,Settings!$G$53))&lt;MAX($A139,Settings!$F$53),0,INT((MIN($C139,IF(Settings!$G$53="",$C139,Settings!$G$53))-MAX($A139,Settings!$F$53)-MOD(IFERROR(MATCH(Settings!$E$53,$EO$4:$EO$10,0),0)-WEEKDAY(MAX($A139,Settings!$F$53)),7))/7)+1)),IF(AND(IF(Settings!$E$53="",$B139,DATE(YEAR($A139),MONTH($A139),MIN(Settings!$E$53,DAY($B139))))&gt;=MAX($A139,Settings!$F$53),IF(Settings!$E$53="",$B139,DATE(YEAR($A139),MONTH($A139),MIN(Settings!$E$53,DAY($B139))))&lt;=MIN($C139,IF(Settings!$G$53="",$C139,Settings!$G$53))),1,0)))</f>
        <v/>
      </c>
      <c r="BN139">
        <f>IF(OR(Settings!$C$54="",Settings!$D$54=""),0,Settings!$C$54*IF(Settings!$D$54="Weekly",IF(IFERROR(MATCH(Settings!$E$54,$EO$4:$EO$10,0),0)=0,0,IF(MIN($C139,IF(Settings!$G$54="",$C139,Settings!$G$54))&lt;MAX($A139,Settings!$F$54),0,INT((MIN($C139,IF(Settings!$G$54="",$C139,Settings!$G$54))-MAX($A139,Settings!$F$54)-MOD(IFERROR(MATCH(Settings!$E$54,$EO$4:$EO$10,0),0)-WEEKDAY(MAX($A139,Settings!$F$54)),7))/7)+1)),IF(AND(IF(Settings!$E$54="",$B139,DATE(YEAR($A139),MONTH($A139),MIN(Settings!$E$54,DAY($B139))))&gt;=MAX($A139,Settings!$F$54),IF(Settings!$E$54="",$B139,DATE(YEAR($A139),MONTH($A139),MIN(Settings!$E$54,DAY($B139))))&lt;=MIN($C139,IF(Settings!$G$54="",$C139,Settings!$G$54))),1,0)))</f>
        <v/>
      </c>
      <c r="BO139">
        <f>IF(OR(Settings!$C$55="",Settings!$D$55=""),0,Settings!$C$55*IF(Settings!$D$55="Weekly",IF(IFERROR(MATCH(Settings!$E$55,$EO$4:$EO$10,0),0)=0,0,IF(MIN($C139,IF(Settings!$G$55="",$C139,Settings!$G$55))&lt;MAX($A139,Settings!$F$55),0,INT((MIN($C139,IF(Settings!$G$55="",$C139,Settings!$G$55))-MAX($A139,Settings!$F$55)-MOD(IFERROR(MATCH(Settings!$E$55,$EO$4:$EO$10,0),0)-WEEKDAY(MAX($A139,Settings!$F$55)),7))/7)+1)),IF(AND(IF(Settings!$E$55="",$B139,DATE(YEAR($A139),MONTH($A139),MIN(Settings!$E$55,DAY($B139))))&gt;=MAX($A139,Settings!$F$55),IF(Settings!$E$55="",$B139,DATE(YEAR($A139),MONTH($A139),MIN(Settings!$E$55,DAY($B139))))&lt;=MIN($C139,IF(Settings!$G$55="",$C139,Settings!$G$55))),1,0)))</f>
        <v/>
      </c>
      <c r="BP139">
        <f>IF(OR(Settings!$C$56="",Settings!$D$56=""),0,Settings!$C$56*IF(Settings!$D$56="Weekly",IF(IFERROR(MATCH(Settings!$E$56,$EO$4:$EO$10,0),0)=0,0,IF(MIN($C139,IF(Settings!$G$56="",$C139,Settings!$G$56))&lt;MAX($A139,Settings!$F$56),0,INT((MIN($C139,IF(Settings!$G$56="",$C139,Settings!$G$56))-MAX($A139,Settings!$F$56)-MOD(IFERROR(MATCH(Settings!$E$56,$EO$4:$EO$10,0),0)-WEEKDAY(MAX($A139,Settings!$F$56)),7))/7)+1)),IF(AND(IF(Settings!$E$56="",$B139,DATE(YEAR($A139),MONTH($A139),MIN(Settings!$E$56,DAY($B139))))&gt;=MAX($A139,Settings!$F$56),IF(Settings!$E$56="",$B139,DATE(YEAR($A139),MONTH($A139),MIN(Settings!$E$56,DAY($B139))))&lt;=MIN($C139,IF(Settings!$G$56="",$C139,Settings!$G$56))),1,0)))</f>
        <v/>
      </c>
      <c r="BQ139">
        <f>IF(OR(Settings!$B$14="",$D139=1,$E139="pre",$A139&lt;IF(Settings!$B$15="",0,Settings!$B$15)),0,Settings!$B$14)</f>
        <v/>
      </c>
      <c r="BR139">
        <f>IF(AND('Month-End'!$EF$7&lt;&gt;"",NOT(_xlfn.ISFORMULA('Month-End'!$EF$7))),1,0)</f>
        <v/>
      </c>
      <c r="BS139">
        <f>IF(AND('Month-End'!$EF$8&lt;&gt;"",NOT(_xlfn.ISFORMULA('Month-End'!$EF$8))),1,0)</f>
        <v/>
      </c>
      <c r="BT139">
        <f>IF(AND('Month-End'!$EF$9&lt;&gt;"",NOT(_xlfn.ISFORMULA('Month-End'!$EF$9))),1,0)</f>
        <v/>
      </c>
      <c r="BU139">
        <f>IF(AND('Month-End'!$EF$10&lt;&gt;"",NOT(_xlfn.ISFORMULA('Month-End'!$EF$10))),1,0)</f>
        <v/>
      </c>
      <c r="BV139">
        <f>IF(AND('Month-End'!$EF$11&lt;&gt;"",NOT(_xlfn.ISFORMULA('Month-End'!$EF$11))),1,0)</f>
        <v/>
      </c>
      <c r="BW139">
        <f>IF(AND('Month-End'!$EF$12&lt;&gt;"",NOT(_xlfn.ISFORMULA('Month-End'!$EF$12))),1,0)</f>
        <v/>
      </c>
      <c r="BX139">
        <f>IF(AND('Month-End'!$EF$13&lt;&gt;"",NOT(_xlfn.ISFORMULA('Month-End'!$EF$13))),1,0)</f>
        <v/>
      </c>
      <c r="BY139">
        <f>IF(AND('Month-End'!$EF$14&lt;&gt;"",NOT(_xlfn.ISFORMULA('Month-End'!$EF$14))),1,0)</f>
        <v/>
      </c>
      <c r="BZ139">
        <f>IF(AND('Month-End'!$EF$15&lt;&gt;"",NOT(_xlfn.ISFORMULA('Month-End'!$EF$15))),1,0)</f>
        <v/>
      </c>
      <c r="CA139">
        <f>IF(AND('Month-End'!$EF$16&lt;&gt;"",NOT(_xlfn.ISFORMULA('Month-End'!$EF$16))),1,0)</f>
        <v/>
      </c>
      <c r="CB139">
        <f>IF(AND('Month-End'!$EF$17&lt;&gt;"",NOT(_xlfn.ISFORMULA('Month-End'!$EF$17))),1,0)</f>
        <v/>
      </c>
      <c r="CC139">
        <f>IF(AND('Month-End'!$EF$18&lt;&gt;"",NOT(_xlfn.ISFORMULA('Month-End'!$EF$18))),1,0)</f>
        <v/>
      </c>
      <c r="CD139">
        <f>IF(AND('Month-End'!$EF$19&lt;&gt;"",NOT(_xlfn.ISFORMULA('Month-End'!$EF$19))),1,0)</f>
        <v/>
      </c>
      <c r="CE139">
        <f>IF(AND('Month-End'!$EF$20&lt;&gt;"",NOT(_xlfn.ISFORMULA('Month-End'!$EF$20))),1,0)</f>
        <v/>
      </c>
      <c r="CF139">
        <f>IF(AND('Month-End'!$EF$38&lt;&gt;"",NOT(_xlfn.ISFORMULA('Month-End'!$EF$38))),1,0)</f>
        <v/>
      </c>
      <c r="CG139">
        <f>IF(AND('Month-End'!$EF$39&lt;&gt;"",NOT(_xlfn.ISFORMULA('Month-End'!$EF$39))),1,0)</f>
        <v/>
      </c>
      <c r="CH139">
        <f>IF(AND('Month-End'!$EF$40&lt;&gt;"",NOT(_xlfn.ISFORMULA('Month-End'!$EF$40))),1,0)</f>
        <v/>
      </c>
      <c r="CI139">
        <f>IF(AND('Month-End'!$EF$41&lt;&gt;"",NOT(_xlfn.ISFORMULA('Month-End'!$EF$41))),1,0)</f>
        <v/>
      </c>
      <c r="CJ139">
        <f>IF(AND('Month-End'!$EF$42&lt;&gt;"",NOT(_xlfn.ISFORMULA('Month-End'!$EF$42))),1,0)</f>
        <v/>
      </c>
      <c r="CK139">
        <f>IF(AND('Month-End'!$EF$43&lt;&gt;"",NOT(_xlfn.ISFORMULA('Month-End'!$EF$43))),1,0)</f>
        <v/>
      </c>
      <c r="CL139">
        <f>SUM($CM139:$CZ139)</f>
        <v/>
      </c>
      <c r="CM139">
        <f>IF(AND($E139&lt;&gt;"pre",AND(Settings!$A$19&lt;&gt;"",Settings!$E$19&lt;&gt;"No"),Settings!$F$19="Yes",NOT(AND('Month-End'!$EF$7&lt;&gt;"",NOT(_xlfn.ISFORMULA('Month-End'!$EF$7))))),1,0)</f>
        <v/>
      </c>
      <c r="CN139">
        <f>IF(AND($E139&lt;&gt;"pre",AND(Settings!$A$20&lt;&gt;"",Settings!$E$20&lt;&gt;"No"),Settings!$F$20="Yes",NOT(AND('Month-End'!$EF$8&lt;&gt;"",NOT(_xlfn.ISFORMULA('Month-End'!$EF$8))))),1,0)</f>
        <v/>
      </c>
      <c r="CO139">
        <f>IF(AND($E139&lt;&gt;"pre",AND(Settings!$A$21&lt;&gt;"",Settings!$E$21&lt;&gt;"No"),Settings!$F$21="Yes",NOT(AND('Month-End'!$EF$9&lt;&gt;"",NOT(_xlfn.ISFORMULA('Month-End'!$EF$9))))),1,0)</f>
        <v/>
      </c>
      <c r="CP139">
        <f>IF(AND($E139&lt;&gt;"pre",AND(Settings!$A$22&lt;&gt;"",Settings!$E$22&lt;&gt;"No"),Settings!$F$22="Yes",NOT(AND('Month-End'!$EF$10&lt;&gt;"",NOT(_xlfn.ISFORMULA('Month-End'!$EF$10))))),1,0)</f>
        <v/>
      </c>
      <c r="CQ139">
        <f>IF(AND($E139&lt;&gt;"pre",AND(Settings!$A$23&lt;&gt;"",Settings!$E$23&lt;&gt;"No"),Settings!$F$23="Yes",NOT(AND('Month-End'!$EF$11&lt;&gt;"",NOT(_xlfn.ISFORMULA('Month-End'!$EF$11))))),1,0)</f>
        <v/>
      </c>
      <c r="CR139">
        <f>IF(AND($E139&lt;&gt;"pre",AND(Settings!$A$24&lt;&gt;"",Settings!$E$24&lt;&gt;"No"),Settings!$F$24="Yes",NOT(AND('Month-End'!$EF$12&lt;&gt;"",NOT(_xlfn.ISFORMULA('Month-End'!$EF$12))))),1,0)</f>
        <v/>
      </c>
      <c r="CS139">
        <f>IF(AND($E139&lt;&gt;"pre",AND(Settings!$A$25&lt;&gt;"",Settings!$E$25&lt;&gt;"No"),Settings!$F$25="Yes",NOT(AND('Month-End'!$EF$13&lt;&gt;"",NOT(_xlfn.ISFORMULA('Month-End'!$EF$13))))),1,0)</f>
        <v/>
      </c>
      <c r="CT139">
        <f>IF(AND($E139&lt;&gt;"pre",AND(Settings!$A$26&lt;&gt;"",Settings!$E$26&lt;&gt;"No"),Settings!$F$26="Yes",NOT(AND('Month-End'!$EF$14&lt;&gt;"",NOT(_xlfn.ISFORMULA('Month-End'!$EF$14))))),1,0)</f>
        <v/>
      </c>
      <c r="CU139">
        <f>IF(AND($E139&lt;&gt;"pre",AND(Settings!$A$27&lt;&gt;"",Settings!$E$27&lt;&gt;"No"),Settings!$F$27="Yes",NOT(AND('Month-End'!$EF$15&lt;&gt;"",NOT(_xlfn.ISFORMULA('Month-End'!$EF$15))))),1,0)</f>
        <v/>
      </c>
      <c r="CV139">
        <f>IF(AND($E139&lt;&gt;"pre",AND(Settings!$A$28&lt;&gt;"",Settings!$E$28&lt;&gt;"No"),Settings!$F$28="Yes",NOT(AND('Month-End'!$EF$16&lt;&gt;"",NOT(_xlfn.ISFORMULA('Month-End'!$EF$16))))),1,0)</f>
        <v/>
      </c>
      <c r="CW139">
        <f>IF(AND($E139&lt;&gt;"pre",AND(Settings!$A$29&lt;&gt;"",Settings!$E$29&lt;&gt;"No"),Settings!$F$29="Yes",NOT(AND('Month-End'!$EF$17&lt;&gt;"",NOT(_xlfn.ISFORMULA('Month-End'!$EF$17))))),1,0)</f>
        <v/>
      </c>
      <c r="CX139">
        <f>IF(AND($E139&lt;&gt;"pre",AND(Settings!$A$30&lt;&gt;"",Settings!$E$30&lt;&gt;"No"),Settings!$F$30="Yes",NOT(AND('Month-End'!$EF$18&lt;&gt;"",NOT(_xlfn.ISFORMULA('Month-End'!$EF$18))))),1,0)</f>
        <v/>
      </c>
      <c r="CY139">
        <f>IF(AND($E139&lt;&gt;"pre",AND(Settings!$A$31&lt;&gt;"",Settings!$E$31&lt;&gt;"No"),Settings!$F$31="Yes",NOT(AND('Month-End'!$EF$19&lt;&gt;"",NOT(_xlfn.ISFORMULA('Month-End'!$EF$19))))),1,0)</f>
        <v/>
      </c>
      <c r="CZ139">
        <f>IF(AND($E139&lt;&gt;"pre",AND(Settings!$A$32&lt;&gt;"",Settings!$E$32&lt;&gt;"No"),Settings!$F$32="Yes",NOT(AND('Month-End'!$EF$20&lt;&gt;"",NOT(_xlfn.ISFORMULA('Month-End'!$EF$20))))),1,0)</f>
        <v/>
      </c>
      <c r="DA139">
        <f>IF($DT139=1,IF(OR(Settings!$B$19="Checking",Settings!$B$19="Savings",Settings!$B$19="Cash"),N($AE139),IF(OR(Settings!$B$19="Card",Settings!$B$19="Loan"),-N($AE139),0))+IF(OR(Settings!$B$20="Checking",Settings!$B$20="Savings",Settings!$B$20="Cash"),N($AF139),IF(OR(Settings!$B$20="Card",Settings!$B$20="Loan"),-N($AF139),0))+IF(OR(Settings!$B$21="Checking",Settings!$B$21="Savings",Settings!$B$21="Cash"),N($AG139),IF(OR(Settings!$B$21="Card",Settings!$B$21="Loan"),-N($AG139),0))+IF(OR(Settings!$B$22="Checking",Settings!$B$22="Savings",Settings!$B$22="Cash"),N($AH139),IF(OR(Settings!$B$22="Card",Settings!$B$22="Loan"),-N($AH139),0))+IF(OR(Settings!$B$23="Checking",Settings!$B$23="Savings",Settings!$B$23="Cash"),N($AI139),IF(OR(Settings!$B$23="Card",Settings!$B$23="Loan"),-N($AI139),0))+IF(OR(Settings!$B$24="Checking",Settings!$B$24="Savings",Settings!$B$24="Cash"),N($AJ139),IF(OR(Settings!$B$24="Card",Settings!$B$24="Loan"),-N($AJ139),0))+IF(OR(Settings!$B$25="Checking",Settings!$B$25="Savings",Settings!$B$25="Cash"),N($AK139),IF(OR(Settings!$B$25="Card",Settings!$B$25="Loan"),-N($AK139),0))+IF(OR(Settings!$B$26="Checking",Settings!$B$26="Savings",Settings!$B$26="Cash"),N($AL139),IF(OR(Settings!$B$26="Card",Settings!$B$26="Loan"),-N($AL139),0))+IF(OR(Settings!$B$27="Checking",Settings!$B$27="Savings",Settings!$B$27="Cash"),N($AM139),IF(OR(Settings!$B$27="Card",Settings!$B$27="Loan"),-N($AM139),0))+IF(OR(Settings!$B$28="Checking",Settings!$B$28="Savings",Settings!$B$28="Cash"),N($AN139),IF(OR(Settings!$B$28="Card",Settings!$B$28="Loan"),-N($AN139),0))+IF(OR(Settings!$B$29="Checking",Settings!$B$29="Savings",Settings!$B$29="Cash"),N($AO139),IF(OR(Settings!$B$29="Card",Settings!$B$29="Loan"),-N($AO139),0))+IF(OR(Settings!$B$30="Checking",Settings!$B$30="Savings",Settings!$B$30="Cash"),N($AP139),IF(OR(Settings!$B$30="Card",Settings!$B$30="Loan"),-N($AP139),0))+IF(OR(Settings!$B$31="Checking",Settings!$B$31="Savings",Settings!$B$31="Cash"),N($AQ139),IF(OR(Settings!$B$31="Card",Settings!$B$31="Loan"),-N($AQ139),0))+IF(OR(Settings!$B$32="Checking",Settings!$B$32="Savings",Settings!$B$32="Cash"),N($AR139),IF(OR(Settings!$B$32="Card",Settings!$B$32="Loan"),-N($AR139),0)),"")</f>
        <v/>
      </c>
      <c r="DB139">
        <f>IF($E139="open",$EB$27,IF($E139="post",IF($E138="pre",$EB$27,$DA138),""))</f>
        <v/>
      </c>
      <c r="DC139">
        <f>IF($E139="open",1,IF($E139="post",IF($E138="pre",1,$DT138),0))</f>
        <v/>
      </c>
      <c r="DD139">
        <f>IF(AND($DT139=1,$DC139=1),ROUND($W139-($DA139-$DB139)-$AD139-$AB139,2),"")</f>
        <v/>
      </c>
      <c r="DE139">
        <f>IF('Month-End'!$EF$35="",$BQ139,N('Month-End'!$EF$35))</f>
        <v/>
      </c>
      <c r="DF139">
        <f>N('Month-End'!$EF$36)</f>
        <v/>
      </c>
      <c r="DG139">
        <f>IF($DD139="","",$DD139+$DE139)</f>
        <v/>
      </c>
      <c r="DH139">
        <f>IF($DG139="","",$DG139-$DF139)</f>
        <v/>
      </c>
      <c r="DI139">
        <f>IF(OR($E139="pre",$D139=1),"",N($AS139)+N($AT139)+N($AU139)+N($AV139)+N($AW139)+N($AX139))</f>
        <v/>
      </c>
      <c r="DJ139">
        <f>IF($DT139=1,$DA139+N($DI139),"")</f>
        <v/>
      </c>
      <c r="DK139">
        <f>IF($DD139="","",$W139-$DD139-$AB139)</f>
        <v/>
      </c>
      <c r="DL139">
        <f>IF(AND($E139="post",$DD139&lt;&gt;"",$B139&lt;TODAY()),1,0)</f>
        <v/>
      </c>
      <c r="DM139">
        <f>IF($DL139=1,COUNTIF($DL139:$DL$183,1),0)</f>
        <v/>
      </c>
      <c r="DN139">
        <f>IF($D139=1,"",IF($E139="pre","History only",IF($DT139=1,IF($DD139="","⚠ Previous month missing",IF($DD139&lt;0,"⚠ Check: spending &lt; 0",IF($E139="open","✓ Done (partial)","✓ Done"))),IF($B139&gt;=TODAY(),"In progress","⚠ Needs balances"))))</f>
        <v/>
      </c>
      <c r="DO139">
        <f>YEAR($A139)</f>
        <v/>
      </c>
      <c r="DP139">
        <f>DATE(YEAR($A139),INT((MONTH($A139)-1)/3)*3+1,1)</f>
        <v/>
      </c>
      <c r="DQ139">
        <f>IF(AND($DT139=1,$DD139&lt;&gt;"",$D139=0),ROW(),0)</f>
        <v/>
      </c>
      <c r="DR139">
        <f>IF(AND($E139&lt;&gt;"pre",$B139&lt;TODAY(),$DT139=0),1,0)</f>
        <v/>
      </c>
      <c r="DS139">
        <f>IF($DJ139="",NA(),$DJ139)</f>
        <v/>
      </c>
      <c r="DT139">
        <f>IF(AND($E139&lt;&gt;"pre",$CL139=0,COUNTIFS(Settings!$F$19:$F$32,"Yes",Settings!$A$19:$A$32,"&lt;&gt;",Settings!$E$19:$E$32,"&lt;&gt;No")&gt;0),1,0)</f>
        <v/>
      </c>
      <c r="DU139">
        <f>IF(AND($B139&lt;TODAY(),$S139&gt;0),1,0)</f>
        <v/>
      </c>
      <c r="DV139">
        <f>IF($DU139=1,COUNTIF($DU139:$DU$183,1),0)</f>
        <v/>
      </c>
      <c r="DW139">
        <f>IF(AND(OR(Settings!$B$19="Card",Settings!$B$19="Loan"),AND('Month-End'!$EF$7&lt;&gt;"",NOT(_xlfn.ISFORMULA('Month-End'!$EF$7)))),IF(N('Month-End'!$EF$7)&lt;0,1,0),0)+IF(AND(OR(Settings!$B$20="Card",Settings!$B$20="Loan"),AND('Month-End'!$EF$8&lt;&gt;"",NOT(_xlfn.ISFORMULA('Month-End'!$EF$8)))),IF(N('Month-End'!$EF$8)&lt;0,1,0),0)+IF(AND(OR(Settings!$B$21="Card",Settings!$B$21="Loan"),AND('Month-End'!$EF$9&lt;&gt;"",NOT(_xlfn.ISFORMULA('Month-End'!$EF$9)))),IF(N('Month-End'!$EF$9)&lt;0,1,0),0)+IF(AND(OR(Settings!$B$22="Card",Settings!$B$22="Loan"),AND('Month-End'!$EF$10&lt;&gt;"",NOT(_xlfn.ISFORMULA('Month-End'!$EF$10)))),IF(N('Month-End'!$EF$10)&lt;0,1,0),0)+IF(AND(OR(Settings!$B$23="Card",Settings!$B$23="Loan"),AND('Month-End'!$EF$11&lt;&gt;"",NOT(_xlfn.ISFORMULA('Month-End'!$EF$11)))),IF(N('Month-End'!$EF$11)&lt;0,1,0),0)+IF(AND(OR(Settings!$B$24="Card",Settings!$B$24="Loan"),AND('Month-End'!$EF$12&lt;&gt;"",NOT(_xlfn.ISFORMULA('Month-End'!$EF$12)))),IF(N('Month-End'!$EF$12)&lt;0,1,0),0)+IF(AND(OR(Settings!$B$25="Card",Settings!$B$25="Loan"),AND('Month-End'!$EF$13&lt;&gt;"",NOT(_xlfn.ISFORMULA('Month-End'!$EF$13)))),IF(N('Month-End'!$EF$13)&lt;0,1,0),0)+IF(AND(OR(Settings!$B$26="Card",Settings!$B$26="Loan"),AND('Month-End'!$EF$14&lt;&gt;"",NOT(_xlfn.ISFORMULA('Month-End'!$EF$14)))),IF(N('Month-End'!$EF$14)&lt;0,1,0),0)+IF(AND(OR(Settings!$B$27="Card",Settings!$B$27="Loan"),AND('Month-End'!$EF$15&lt;&gt;"",NOT(_xlfn.ISFORMULA('Month-End'!$EF$15)))),IF(N('Month-End'!$EF$15)&lt;0,1,0),0)+IF(AND(OR(Settings!$B$28="Card",Settings!$B$28="Loan"),AND('Month-End'!$EF$16&lt;&gt;"",NOT(_xlfn.ISFORMULA('Month-End'!$EF$16)))),IF(N('Month-End'!$EF$16)&lt;0,1,0),0)+IF(AND(OR(Settings!$B$29="Card",Settings!$B$29="Loan"),AND('Month-End'!$EF$17&lt;&gt;"",NOT(_xlfn.ISFORMULA('Month-End'!$EF$17)))),IF(N('Month-End'!$EF$17)&lt;0,1,0),0)+IF(AND(OR(Settings!$B$30="Card",Settings!$B$30="Loan"),AND('Month-End'!$EF$18&lt;&gt;"",NOT(_xlfn.ISFORMULA('Month-End'!$EF$18)))),IF(N('Month-End'!$EF$18)&lt;0,1,0),0)+IF(AND(OR(Settings!$B$31="Card",Settings!$B$31="Loan"),AND('Month-End'!$EF$19&lt;&gt;"",NOT(_xlfn.ISFORMULA('Month-End'!$EF$19)))),IF(N('Month-End'!$EF$19)&lt;0,1,0),0)+IF(AND(OR(Settings!$B$32="Card",Settings!$B$32="Loan"),AND('Month-End'!$EF$20&lt;&gt;"",NOT(_xlfn.ISFORMULA('Month-End'!$EF$20)))),IF(N('Month-End'!$EF$20)&lt;0,1,0),0)</f>
        <v/>
      </c>
      <c r="DX139">
        <f>IF(Settings!$B$36="Retirement",$AY139,0)+IF(Settings!$B$37="Retirement",$AZ139,0)+IF(Settings!$B$38="Retirement",$BA139,0)+IF(Settings!$B$39="Retirement",$BB139,0)+IF(Settings!$B$40="Retirement",$BC139,0)+IF(Settings!$B$41="Retirement",$BD139,0)</f>
        <v/>
      </c>
      <c r="ET139">
        <f>IF($E139&lt;&gt;"open",0,IF(AND('Month-End'!$EF$22&lt;&gt;"",NOT(_xlfn.ISFORMULA('Month-End'!$EF$22))),0,IF(OR(Settings!$C$45="",Settings!$D$45=""),0,Settings!$C$45*IF(Settings!$D$45="Weekly",IF(IFERROR(MATCH(Settings!$E$45,$EO$4:$EO$10,0),0)=0,0,IF(MIN(Settings!$B$5,IF(Settings!$G$45="",Settings!$B$5,Settings!$G$45))&lt;MAX($A139,Settings!$F$45),0,INT((MIN(Settings!$B$5,IF(Settings!$G$45="",Settings!$B$5,Settings!$G$45))-MAX($A139,Settings!$F$45)-MOD(IFERROR(MATCH(Settings!$E$45,$EO$4:$EO$10,0),0)-WEEKDAY(MAX($A139,Settings!$F$45)),7))/7)+1)),IF(AND(IF(Settings!$E$45="",$B139,DATE(YEAR($A139),MONTH($A139),MIN(Settings!$E$45,DAY($B139))))&gt;=MAX($A139,Settings!$F$45),IF(Settings!$E$45="",$B139,DATE(YEAR($A139),MONTH($A139),MIN(Settings!$E$45,DAY($B139))))&lt;=MIN(Settings!$B$5,IF(Settings!$G$45="",Settings!$B$5,Settings!$G$45))),1,0)))))</f>
        <v/>
      </c>
      <c r="EU139">
        <f>IF($E139&lt;&gt;"open",0,IF(AND('Month-End'!$EF$23&lt;&gt;"",NOT(_xlfn.ISFORMULA('Month-End'!$EF$23))),0,IF(OR(Settings!$C$46="",Settings!$D$46=""),0,Settings!$C$46*IF(Settings!$D$46="Weekly",IF(IFERROR(MATCH(Settings!$E$46,$EO$4:$EO$10,0),0)=0,0,IF(MIN(Settings!$B$5,IF(Settings!$G$46="",Settings!$B$5,Settings!$G$46))&lt;MAX($A139,Settings!$F$46),0,INT((MIN(Settings!$B$5,IF(Settings!$G$46="",Settings!$B$5,Settings!$G$46))-MAX($A139,Settings!$F$46)-MOD(IFERROR(MATCH(Settings!$E$46,$EO$4:$EO$10,0),0)-WEEKDAY(MAX($A139,Settings!$F$46)),7))/7)+1)),IF(AND(IF(Settings!$E$46="",$B139,DATE(YEAR($A139),MONTH($A139),MIN(Settings!$E$46,DAY($B139))))&gt;=MAX($A139,Settings!$F$46),IF(Settings!$E$46="",$B139,DATE(YEAR($A139),MONTH($A139),MIN(Settings!$E$46,DAY($B139))))&lt;=MIN(Settings!$B$5,IF(Settings!$G$46="",Settings!$B$5,Settings!$G$46))),1,0)))))</f>
        <v/>
      </c>
      <c r="EV139">
        <f>IF($E139&lt;&gt;"open",0,IF(AND('Month-End'!$EF$24&lt;&gt;"",NOT(_xlfn.ISFORMULA('Month-End'!$EF$24))),0,IF(OR(Settings!$C$47="",Settings!$D$47=""),0,Settings!$C$47*IF(Settings!$D$47="Weekly",IF(IFERROR(MATCH(Settings!$E$47,$EO$4:$EO$10,0),0)=0,0,IF(MIN(Settings!$B$5,IF(Settings!$G$47="",Settings!$B$5,Settings!$G$47))&lt;MAX($A139,Settings!$F$47),0,INT((MIN(Settings!$B$5,IF(Settings!$G$47="",Settings!$B$5,Settings!$G$47))-MAX($A139,Settings!$F$47)-MOD(IFERROR(MATCH(Settings!$E$47,$EO$4:$EO$10,0),0)-WEEKDAY(MAX($A139,Settings!$F$47)),7))/7)+1)),IF(AND(IF(Settings!$E$47="",$B139,DATE(YEAR($A139),MONTH($A139),MIN(Settings!$E$47,DAY($B139))))&gt;=MAX($A139,Settings!$F$47),IF(Settings!$E$47="",$B139,DATE(YEAR($A139),MONTH($A139),MIN(Settings!$E$47,DAY($B139))))&lt;=MIN(Settings!$B$5,IF(Settings!$G$47="",Settings!$B$5,Settings!$G$47))),1,0)))))</f>
        <v/>
      </c>
      <c r="EW139">
        <f>IF($E139&lt;&gt;"open",0,IF(AND('Month-End'!$EF$25&lt;&gt;"",NOT(_xlfn.ISFORMULA('Month-End'!$EF$25))),0,IF(OR(Settings!$C$48="",Settings!$D$48=""),0,Settings!$C$48*IF(Settings!$D$48="Weekly",IF(IFERROR(MATCH(Settings!$E$48,$EO$4:$EO$10,0),0)=0,0,IF(MIN(Settings!$B$5,IF(Settings!$G$48="",Settings!$B$5,Settings!$G$48))&lt;MAX($A139,Settings!$F$48),0,INT((MIN(Settings!$B$5,IF(Settings!$G$48="",Settings!$B$5,Settings!$G$48))-MAX($A139,Settings!$F$48)-MOD(IFERROR(MATCH(Settings!$E$48,$EO$4:$EO$10,0),0)-WEEKDAY(MAX($A139,Settings!$F$48)),7))/7)+1)),IF(AND(IF(Settings!$E$48="",$B139,DATE(YEAR($A139),MONTH($A139),MIN(Settings!$E$48,DAY($B139))))&gt;=MAX($A139,Settings!$F$48),IF(Settings!$E$48="",$B139,DATE(YEAR($A139),MONTH($A139),MIN(Settings!$E$48,DAY($B139))))&lt;=MIN(Settings!$B$5,IF(Settings!$G$48="",Settings!$B$5,Settings!$G$48))),1,0)))))</f>
        <v/>
      </c>
      <c r="EX139">
        <f>IF($E139&lt;&gt;"open",0,IF(AND('Month-End'!$EF$26&lt;&gt;"",NOT(_xlfn.ISFORMULA('Month-End'!$EF$26))),0,IF(OR(Settings!$C$49="",Settings!$D$49=""),0,Settings!$C$49*IF(Settings!$D$49="Weekly",IF(IFERROR(MATCH(Settings!$E$49,$EO$4:$EO$10,0),0)=0,0,IF(MIN(Settings!$B$5,IF(Settings!$G$49="",Settings!$B$5,Settings!$G$49))&lt;MAX($A139,Settings!$F$49),0,INT((MIN(Settings!$B$5,IF(Settings!$G$49="",Settings!$B$5,Settings!$G$49))-MAX($A139,Settings!$F$49)-MOD(IFERROR(MATCH(Settings!$E$49,$EO$4:$EO$10,0),0)-WEEKDAY(MAX($A139,Settings!$F$49)),7))/7)+1)),IF(AND(IF(Settings!$E$49="",$B139,DATE(YEAR($A139),MONTH($A139),MIN(Settings!$E$49,DAY($B139))))&gt;=MAX($A139,Settings!$F$49),IF(Settings!$E$49="",$B139,DATE(YEAR($A139),MONTH($A139),MIN(Settings!$E$49,DAY($B139))))&lt;=MIN(Settings!$B$5,IF(Settings!$G$49="",Settings!$B$5,Settings!$G$49))),1,0)))))</f>
        <v/>
      </c>
      <c r="EY139">
        <f>IF($E139&lt;&gt;"open",0,IF(AND('Month-End'!$EF$27&lt;&gt;"",NOT(_xlfn.ISFORMULA('Month-End'!$EF$27))),0,IF(OR(Settings!$C$50="",Settings!$D$50=""),0,Settings!$C$50*IF(Settings!$D$50="Weekly",IF(IFERROR(MATCH(Settings!$E$50,$EO$4:$EO$10,0),0)=0,0,IF(MIN(Settings!$B$5,IF(Settings!$G$50="",Settings!$B$5,Settings!$G$50))&lt;MAX($A139,Settings!$F$50),0,INT((MIN(Settings!$B$5,IF(Settings!$G$50="",Settings!$B$5,Settings!$G$50))-MAX($A139,Settings!$F$50)-MOD(IFERROR(MATCH(Settings!$E$50,$EO$4:$EO$10,0),0)-WEEKDAY(MAX($A139,Settings!$F$50)),7))/7)+1)),IF(AND(IF(Settings!$E$50="",$B139,DATE(YEAR($A139),MONTH($A139),MIN(Settings!$E$50,DAY($B139))))&gt;=MAX($A139,Settings!$F$50),IF(Settings!$E$50="",$B139,DATE(YEAR($A139),MONTH($A139),MIN(Settings!$E$50,DAY($B139))))&lt;=MIN(Settings!$B$5,IF(Settings!$G$50="",Settings!$B$5,Settings!$G$50))),1,0)))))</f>
        <v/>
      </c>
      <c r="EZ139">
        <f>IF($E139&lt;&gt;"open",0,IF(AND('Month-End'!$EF$28&lt;&gt;"",NOT(_xlfn.ISFORMULA('Month-End'!$EF$28))),0,IF(OR(Settings!$C$51="",Settings!$D$51=""),0,Settings!$C$51*IF(Settings!$D$51="Weekly",IF(IFERROR(MATCH(Settings!$E$51,$EO$4:$EO$10,0),0)=0,0,IF(MIN(Settings!$B$5,IF(Settings!$G$51="",Settings!$B$5,Settings!$G$51))&lt;MAX($A139,Settings!$F$51),0,INT((MIN(Settings!$B$5,IF(Settings!$G$51="",Settings!$B$5,Settings!$G$51))-MAX($A139,Settings!$F$51)-MOD(IFERROR(MATCH(Settings!$E$51,$EO$4:$EO$10,0),0)-WEEKDAY(MAX($A139,Settings!$F$51)),7))/7)+1)),IF(AND(IF(Settings!$E$51="",$B139,DATE(YEAR($A139),MONTH($A139),MIN(Settings!$E$51,DAY($B139))))&gt;=MAX($A139,Settings!$F$51),IF(Settings!$E$51="",$B139,DATE(YEAR($A139),MONTH($A139),MIN(Settings!$E$51,DAY($B139))))&lt;=MIN(Settings!$B$5,IF(Settings!$G$51="",Settings!$B$5,Settings!$G$51))),1,0)))))</f>
        <v/>
      </c>
      <c r="FA139">
        <f>IF($E139&lt;&gt;"open",0,IF(AND('Month-End'!$EF$29&lt;&gt;"",NOT(_xlfn.ISFORMULA('Month-End'!$EF$29))),0,IF(OR(Settings!$C$52="",Settings!$D$52=""),0,Settings!$C$52*IF(Settings!$D$52="Weekly",IF(IFERROR(MATCH(Settings!$E$52,$EO$4:$EO$10,0),0)=0,0,IF(MIN(Settings!$B$5,IF(Settings!$G$52="",Settings!$B$5,Settings!$G$52))&lt;MAX($A139,Settings!$F$52),0,INT((MIN(Settings!$B$5,IF(Settings!$G$52="",Settings!$B$5,Settings!$G$52))-MAX($A139,Settings!$F$52)-MOD(IFERROR(MATCH(Settings!$E$52,$EO$4:$EO$10,0),0)-WEEKDAY(MAX($A139,Settings!$F$52)),7))/7)+1)),IF(AND(IF(Settings!$E$52="",$B139,DATE(YEAR($A139),MONTH($A139),MIN(Settings!$E$52,DAY($B139))))&gt;=MAX($A139,Settings!$F$52),IF(Settings!$E$52="",$B139,DATE(YEAR($A139),MONTH($A139),MIN(Settings!$E$52,DAY($B139))))&lt;=MIN(Settings!$B$5,IF(Settings!$G$52="",Settings!$B$5,Settings!$G$52))),1,0)))))</f>
        <v/>
      </c>
      <c r="FB139">
        <f>IF($E139&lt;&gt;"open",0,IF(AND('Month-End'!$EF$30&lt;&gt;"",NOT(_xlfn.ISFORMULA('Month-End'!$EF$30))),0,IF(OR(Settings!$C$53="",Settings!$D$53=""),0,Settings!$C$53*IF(Settings!$D$53="Weekly",IF(IFERROR(MATCH(Settings!$E$53,$EO$4:$EO$10,0),0)=0,0,IF(MIN(Settings!$B$5,IF(Settings!$G$53="",Settings!$B$5,Settings!$G$53))&lt;MAX($A139,Settings!$F$53),0,INT((MIN(Settings!$B$5,IF(Settings!$G$53="",Settings!$B$5,Settings!$G$53))-MAX($A139,Settings!$F$53)-MOD(IFERROR(MATCH(Settings!$E$53,$EO$4:$EO$10,0),0)-WEEKDAY(MAX($A139,Settings!$F$53)),7))/7)+1)),IF(AND(IF(Settings!$E$53="",$B139,DATE(YEAR($A139),MONTH($A139),MIN(Settings!$E$53,DAY($B139))))&gt;=MAX($A139,Settings!$F$53),IF(Settings!$E$53="",$B139,DATE(YEAR($A139),MONTH($A139),MIN(Settings!$E$53,DAY($B139))))&lt;=MIN(Settings!$B$5,IF(Settings!$G$53="",Settings!$B$5,Settings!$G$53))),1,0)))))</f>
        <v/>
      </c>
      <c r="FC139">
        <f>IF($E139&lt;&gt;"open",0,IF(AND('Month-End'!$EF$31&lt;&gt;"",NOT(_xlfn.ISFORMULA('Month-End'!$EF$31))),0,IF(OR(Settings!$C$54="",Settings!$D$54=""),0,Settings!$C$54*IF(Settings!$D$54="Weekly",IF(IFERROR(MATCH(Settings!$E$54,$EO$4:$EO$10,0),0)=0,0,IF(MIN(Settings!$B$5,IF(Settings!$G$54="",Settings!$B$5,Settings!$G$54))&lt;MAX($A139,Settings!$F$54),0,INT((MIN(Settings!$B$5,IF(Settings!$G$54="",Settings!$B$5,Settings!$G$54))-MAX($A139,Settings!$F$54)-MOD(IFERROR(MATCH(Settings!$E$54,$EO$4:$EO$10,0),0)-WEEKDAY(MAX($A139,Settings!$F$54)),7))/7)+1)),IF(AND(IF(Settings!$E$54="",$B139,DATE(YEAR($A139),MONTH($A139),MIN(Settings!$E$54,DAY($B139))))&gt;=MAX($A139,Settings!$F$54),IF(Settings!$E$54="",$B139,DATE(YEAR($A139),MONTH($A139),MIN(Settings!$E$54,DAY($B139))))&lt;=MIN(Settings!$B$5,IF(Settings!$G$54="",Settings!$B$5,Settings!$G$54))),1,0)))))</f>
        <v/>
      </c>
      <c r="FD139">
        <f>IF($E139&lt;&gt;"open",0,IF(AND('Month-End'!$EF$32&lt;&gt;"",NOT(_xlfn.ISFORMULA('Month-End'!$EF$32))),0,IF(OR(Settings!$C$55="",Settings!$D$55=""),0,Settings!$C$55*IF(Settings!$D$55="Weekly",IF(IFERROR(MATCH(Settings!$E$55,$EO$4:$EO$10,0),0)=0,0,IF(MIN(Settings!$B$5,IF(Settings!$G$55="",Settings!$B$5,Settings!$G$55))&lt;MAX($A139,Settings!$F$55),0,INT((MIN(Settings!$B$5,IF(Settings!$G$55="",Settings!$B$5,Settings!$G$55))-MAX($A139,Settings!$F$55)-MOD(IFERROR(MATCH(Settings!$E$55,$EO$4:$EO$10,0),0)-WEEKDAY(MAX($A139,Settings!$F$55)),7))/7)+1)),IF(AND(IF(Settings!$E$55="",$B139,DATE(YEAR($A139),MONTH($A139),MIN(Settings!$E$55,DAY($B139))))&gt;=MAX($A139,Settings!$F$55),IF(Settings!$E$55="",$B139,DATE(YEAR($A139),MONTH($A139),MIN(Settings!$E$55,DAY($B139))))&lt;=MIN(Settings!$B$5,IF(Settings!$G$55="",Settings!$B$5,Settings!$G$55))),1,0)))))</f>
        <v/>
      </c>
      <c r="FE139">
        <f>IF($E139&lt;&gt;"open",0,IF(AND('Month-End'!$EF$33&lt;&gt;"",NOT(_xlfn.ISFORMULA('Month-End'!$EF$33))),0,IF(OR(Settings!$C$56="",Settings!$D$56=""),0,Settings!$C$56*IF(Settings!$D$56="Weekly",IF(IFERROR(MATCH(Settings!$E$56,$EO$4:$EO$10,0),0)=0,0,IF(MIN(Settings!$B$5,IF(Settings!$G$56="",Settings!$B$5,Settings!$G$56))&lt;MAX($A139,Settings!$F$56),0,INT((MIN(Settings!$B$5,IF(Settings!$G$56="",Settings!$B$5,Settings!$G$56))-MAX($A139,Settings!$F$56)-MOD(IFERROR(MATCH(Settings!$E$56,$EO$4:$EO$10,0),0)-WEEKDAY(MAX($A139,Settings!$F$56)),7))/7)+1)),IF(AND(IF(Settings!$E$56="",$B139,DATE(YEAR($A139),MONTH($A139),MIN(Settings!$E$56,DAY($B139))))&gt;=MAX($A139,Settings!$F$56),IF(Settings!$E$56="",$B139,DATE(YEAR($A139),MONTH($A139),MIN(Settings!$E$56,DAY($B139))))&lt;=MIN(Settings!$B$5,IF(Settings!$G$56="",Settings!$B$5,Settings!$G$56))),1,0)))))</f>
        <v/>
      </c>
      <c r="FF139">
        <f>IF(Settings!$I$45="Yes",$G139,0)+IF(Settings!$I$46="Yes",$H139,0)+IF(Settings!$I$47="Yes",$I139,0)+IF(Settings!$I$48="Yes",$J139,0)+IF(Settings!$I$49="Yes",$K139,0)+IF(Settings!$I$50="Yes",$L139,0)+IF(Settings!$I$51="Yes",$M139,0)+IF(Settings!$I$52="Yes",$N139,0)+IF(Settings!$I$53="Yes",$O139,0)+IF(Settings!$I$54="Yes",$P139,0)+IF(Settings!$I$55="Yes",$Q139,0)+IF(Settings!$I$56="Yes",$R139,0)</f>
        <v/>
      </c>
      <c r="FG139">
        <f>IF(AND(Settings!$I$45="Yes",Settings!$J$45="No"),$G139,0)+IF(AND(Settings!$I$46="Yes",Settings!$J$46="No"),$H139,0)+IF(AND(Settings!$I$47="Yes",Settings!$J$47="No"),$I139,0)+IF(AND(Settings!$I$48="Yes",Settings!$J$48="No"),$J139,0)+IF(AND(Settings!$I$49="Yes",Settings!$J$49="No"),$K139,0)+IF(AND(Settings!$I$50="Yes",Settings!$J$50="No"),$L139,0)+IF(AND(Settings!$I$51="Yes",Settings!$J$51="No"),$M139,0)+IF(AND(Settings!$I$52="Yes",Settings!$J$52="No"),$N139,0)+IF(AND(Settings!$I$53="Yes",Settings!$J$53="No"),$O139,0)+IF(AND(Settings!$I$54="Yes",Settings!$J$54="No"),$P139,0)+IF(AND(Settings!$I$55="Yes",Settings!$J$55="No"),$Q139,0)+IF(AND(Settings!$I$56="Yes",Settings!$J$56="No"),$R139,0)</f>
        <v/>
      </c>
      <c r="FH139">
        <f>SUMIFS(Giving!$B$7:$B$2006,Giving!$A$7:$A$2006,"&gt;="&amp;$A139,Giving!$A$7:$A$2006,"&lt;="&amp;$B139,Giving!$G$7:$G$2006,"Yes")+IF(OR(OR(Settings!$B$60="",Settings!$F$60="No"),Settings!$H$60&lt;&gt;"Yes"),0,Settings!$B$60*IF(AND(IF(Settings!$C$60="",$B139,DATE(YEAR($A139),MONTH($A139),MIN(Settings!$C$60,DAY($B139))))&gt;=MAX($A139,Settings!$D$60),IF(Settings!$C$60="",$B139,DATE(YEAR($A139),MONTH($A139),MIN(Settings!$C$60,DAY($B139))))&lt;=MIN($C139,IF(Settings!$E$60="",$C139,Settings!$E$60))),1,0))+IF(OR(OR(Settings!$B$61="",Settings!$F$61="No"),Settings!$H$61&lt;&gt;"Yes"),0,Settings!$B$61*IF(AND(IF(Settings!$C$61="",$B139,DATE(YEAR($A139),MONTH($A139),MIN(Settings!$C$61,DAY($B139))))&gt;=MAX($A139,Settings!$D$61),IF(Settings!$C$61="",$B139,DATE(YEAR($A139),MONTH($A139),MIN(Settings!$C$61,DAY($B139))))&lt;=MIN($C139,IF(Settings!$E$61="",$C139,Settings!$E$61))),1,0))+IF(OR(OR(Settings!$B$62="",Settings!$F$62="No"),Settings!$H$62&lt;&gt;"Yes"),0,Settings!$B$62*IF(AND(IF(Settings!$C$62="",$B139,DATE(YEAR($A139),MONTH($A139),MIN(Settings!$C$62,DAY($B139))))&gt;=MAX($A139,Settings!$D$62),IF(Settings!$C$62="",$B139,DATE(YEAR($A139),MONTH($A139),MIN(Settings!$C$62,DAY($B139))))&lt;=MIN($C139,IF(Settings!$E$62="",$C139,Settings!$E$62))),1,0))+IF(OR(OR(Settings!$B$63="",Settings!$F$63="No"),Settings!$H$63&lt;&gt;"Yes"),0,Settings!$B$63*IF(AND(IF(Settings!$C$63="",$B139,DATE(YEAR($A139),MONTH($A139),MIN(Settings!$C$63,DAY($B139))))&gt;=MAX($A139,Settings!$D$63),IF(Settings!$C$63="",$B139,DATE(YEAR($A139),MONTH($A139),MIN(Settings!$C$63,DAY($B139))))&lt;=MIN($C139,IF(Settings!$E$63="",$C139,Settings!$E$63))),1,0))+IF(OR(OR(Settings!$B$64="",Settings!$F$64="No"),Settings!$H$64&lt;&gt;"Yes"),0,Settings!$B$64*IF(AND(IF(Settings!$C$64="",$B139,DATE(YEAR($A139),MONTH($A139),MIN(Settings!$C$64,DAY($B139))))&gt;=MAX($A139,Settings!$D$64),IF(Settings!$C$64="",$B139,DATE(YEAR($A139),MONTH($A139),MIN(Settings!$C$64,DAY($B139))))&lt;=MIN($C139,IF(Settings!$E$64="",$C139,Settings!$E$64))),1,0))+IF(OR(OR(Settings!$B$65="",Settings!$F$65="No"),Settings!$H$65&lt;&gt;"Yes"),0,Settings!$B$65*IF(AND(IF(Settings!$C$65="",$B139,DATE(YEAR($A139),MONTH($A139),MIN(Settings!$C$65,DAY($B139))))&gt;=MAX($A139,Settings!$D$65),IF(Settings!$C$65="",$B139,DATE(YEAR($A139),MONTH($A139),MIN(Settings!$C$65,DAY($B139))))&lt;=MIN($C139,IF(Settings!$E$65="",$C139,Settings!$E$65))),1,0))</f>
        <v/>
      </c>
      <c r="FI139">
        <f>IF($DT139=1,IF(OR(Settings!$B$19="Card",Settings!$B$19="Loan"),N($AE139),0)+IF(OR(Settings!$B$20="Card",Settings!$B$20="Loan"),N($AF139),0)+IF(OR(Settings!$B$21="Card",Settings!$B$21="Loan"),N($AG139),0)+IF(OR(Settings!$B$22="Card",Settings!$B$22="Loan"),N($AH139),0)+IF(OR(Settings!$B$23="Card",Settings!$B$23="Loan"),N($AI139),0)+IF(OR(Settings!$B$24="Card",Settings!$B$24="Loan"),N($AJ139),0)+IF(OR(Settings!$B$25="Card",Settings!$B$25="Loan"),N($AK139),0)+IF(OR(Settings!$B$26="Card",Settings!$B$26="Loan"),N($AL139),0)+IF(OR(Settings!$B$27="Card",Settings!$B$27="Loan"),N($AM139),0)+IF(OR(Settings!$B$28="Card",Settings!$B$28="Loan"),N($AN139),0)+IF(OR(Settings!$B$29="Card",Settings!$B$29="Loan"),N($AO139),0)+IF(OR(Settings!$B$30="Card",Settings!$B$30="Loan"),N($AP139),0)+IF(OR(Settings!$B$31="Card",Settings!$B$31="Loan"),N($AQ139),0)+IF(OR(Settings!$B$32="Card",Settings!$B$32="Loan"),N($AR139),0),"")</f>
        <v/>
      </c>
      <c r="FJ139">
        <f>IF($E139="open",$EB$65,IF($E139="post",IF($E138="pre",$EB$65,$FI138),""))</f>
        <v/>
      </c>
      <c r="FK139">
        <f>IF(AND($DT139=1,$DC139=1),IF(ROUND($FI139-$FJ139,2)&gt;0,1,0),0)</f>
        <v/>
      </c>
      <c r="FL139">
        <f>IF($FK139=1,$FL138+1,0)</f>
        <v/>
      </c>
    </row>
    <row r="140">
      <c r="A140">
        <f>'Month-End'!$EG$4</f>
        <v/>
      </c>
      <c r="B140">
        <f>EOMONTH($A140,0)</f>
        <v/>
      </c>
      <c r="C140">
        <f>MIN($B140,TODAY())</f>
        <v/>
      </c>
      <c r="D140">
        <f>IF($A140&gt;TODAY(),1,0)</f>
        <v/>
      </c>
      <c r="E140">
        <f>IF($B140&lt;=Settings!$B$5,"pre",IF($A140&lt;=Settings!$B$5,"open","post"))</f>
        <v/>
      </c>
      <c r="G140">
        <f>IF('Month-End'!$EG$22="",$BE140,N('Month-End'!$EG$22))</f>
        <v/>
      </c>
      <c r="H140">
        <f>IF('Month-End'!$EG$23="",$BF140,N('Month-End'!$EG$23))</f>
        <v/>
      </c>
      <c r="I140">
        <f>IF('Month-End'!$EG$24="",$BG140,N('Month-End'!$EG$24))</f>
        <v/>
      </c>
      <c r="J140">
        <f>IF('Month-End'!$EG$25="",$BH140,N('Month-End'!$EG$25))</f>
        <v/>
      </c>
      <c r="K140">
        <f>IF('Month-End'!$EG$26="",$BI140,N('Month-End'!$EG$26))</f>
        <v/>
      </c>
      <c r="L140">
        <f>IF('Month-End'!$EG$27="",$BJ140,N('Month-End'!$EG$27))</f>
        <v/>
      </c>
      <c r="M140">
        <f>IF('Month-End'!$EG$28="",$BK140,N('Month-End'!$EG$28))</f>
        <v/>
      </c>
      <c r="N140">
        <f>IF('Month-End'!$EG$29="",$BL140,N('Month-End'!$EG$29))</f>
        <v/>
      </c>
      <c r="O140">
        <f>IF('Month-End'!$EG$30="",$BM140,N('Month-End'!$EG$30))</f>
        <v/>
      </c>
      <c r="P140">
        <f>IF('Month-End'!$EG$31="",$BN140,N('Month-End'!$EG$31))</f>
        <v/>
      </c>
      <c r="Q140">
        <f>IF('Month-End'!$EG$32="",$BO140,N('Month-End'!$EG$32))</f>
        <v/>
      </c>
      <c r="R140">
        <f>IF('Month-End'!$EG$33="",$BP140,N('Month-End'!$EG$33))</f>
        <v/>
      </c>
      <c r="S140">
        <f>$G140+$H140+$I140+$J140+$K140+$L140+$M140+$N140+$O140+$P140+$Q140+$R140</f>
        <v/>
      </c>
      <c r="T140">
        <f>IF($B140&lt;Settings!$B$6,0,IF(Settings!$B$45="Yes",$G140,0)+IF(Settings!$B$46="Yes",$H140,0)+IF(Settings!$B$47="Yes",$I140,0)+IF(Settings!$B$48="Yes",$J140,0)+IF(Settings!$B$49="Yes",$K140,0)+IF(Settings!$B$50="Yes",$L140,0)+IF(Settings!$B$51="Yes",$M140,0)+IF(Settings!$B$52="Yes",$N140,0)+IF(Settings!$B$53="Yes",$O140,0)+IF(Settings!$B$54="Yes",$P140,0)+IF(Settings!$B$55="Yes",$Q140,0)+IF(Settings!$B$56="Yes",$R140,0))</f>
        <v/>
      </c>
      <c r="U140">
        <f>IF(Settings!$B$45="Not Sure",$G140,0)+IF(Settings!$B$46="Not Sure",$H140,0)+IF(Settings!$B$47="Not Sure",$I140,0)+IF(Settings!$B$48="Not Sure",$J140,0)+IF(Settings!$B$49="Not Sure",$K140,0)+IF(Settings!$B$50="Not Sure",$L140,0)+IF(Settings!$B$51="Not Sure",$M140,0)+IF(Settings!$B$52="Not Sure",$N140,0)+IF(Settings!$B$53="Not Sure",$O140,0)+IF(Settings!$B$54="Not Sure",$P140,0)+IF(Settings!$B$55="Not Sure",$Q140,0)+IF(Settings!$B$56="Not Sure",$R140,0)</f>
        <v/>
      </c>
      <c r="V140">
        <f>IF($E140="open",SUM($ET140:$FE140)+N(Settings!$B$13),0)</f>
        <v/>
      </c>
      <c r="W140">
        <f>IF($E140="post",$S140,IF($E140="open",$S140-$V140,0))</f>
        <v/>
      </c>
      <c r="X140">
        <f>SUMIFS(Giving!$B$7:$B$2006,Giving!$A$7:$A$2006,"&gt;="&amp;$A140,Giving!$A$7:$A$2006,"&lt;="&amp;$B140,Giving!$E$7:$E$2006,"&lt;&gt;No")</f>
        <v/>
      </c>
      <c r="Y140">
        <f>SUMIFS(Giving!$B$7:$B$2006,Giving!$A$7:$A$2006,"&gt;="&amp;$A140,Giving!$A$7:$A$2006,"&lt;="&amp;$B140,Giving!$E$7:$E$2006,"No")</f>
        <v/>
      </c>
      <c r="Z140">
        <f>IF(OR(Settings!$B$60="",Settings!$F$60="No"),0,Settings!$B$60*IF(AND(IF(Settings!$C$60="",$B140,DATE(YEAR($A140),MONTH($A140),MIN(Settings!$C$60,DAY($B140))))&gt;=MAX($A140,Settings!$D$60),IF(Settings!$C$60="",$B140,DATE(YEAR($A140),MONTH($A140),MIN(Settings!$C$60,DAY($B140))))&lt;=MIN($C140,IF(Settings!$E$60="",$C140,Settings!$E$60))),1,0))+IF(OR(Settings!$B$61="",Settings!$F$61="No"),0,Settings!$B$61*IF(AND(IF(Settings!$C$61="",$B140,DATE(YEAR($A140),MONTH($A140),MIN(Settings!$C$61,DAY($B140))))&gt;=MAX($A140,Settings!$D$61),IF(Settings!$C$61="",$B140,DATE(YEAR($A140),MONTH($A140),MIN(Settings!$C$61,DAY($B140))))&lt;=MIN($C140,IF(Settings!$E$61="",$C140,Settings!$E$61))),1,0))+IF(OR(Settings!$B$62="",Settings!$F$62="No"),0,Settings!$B$62*IF(AND(IF(Settings!$C$62="",$B140,DATE(YEAR($A140),MONTH($A140),MIN(Settings!$C$62,DAY($B140))))&gt;=MAX($A140,Settings!$D$62),IF(Settings!$C$62="",$B140,DATE(YEAR($A140),MONTH($A140),MIN(Settings!$C$62,DAY($B140))))&lt;=MIN($C140,IF(Settings!$E$62="",$C140,Settings!$E$62))),1,0))+IF(OR(Settings!$B$63="",Settings!$F$63="No"),0,Settings!$B$63*IF(AND(IF(Settings!$C$63="",$B140,DATE(YEAR($A140),MONTH($A140),MIN(Settings!$C$63,DAY($B140))))&gt;=MAX($A140,Settings!$D$63),IF(Settings!$C$63="",$B140,DATE(YEAR($A140),MONTH($A140),MIN(Settings!$C$63,DAY($B140))))&lt;=MIN($C140,IF(Settings!$E$63="",$C140,Settings!$E$63))),1,0))+IF(OR(Settings!$B$64="",Settings!$F$64="No"),0,Settings!$B$64*IF(AND(IF(Settings!$C$64="",$B140,DATE(YEAR($A140),MONTH($A140),MIN(Settings!$C$64,DAY($B140))))&gt;=MAX($A140,Settings!$D$64),IF(Settings!$C$64="",$B140,DATE(YEAR($A140),MONTH($A140),MIN(Settings!$C$64,DAY($B140))))&lt;=MIN($C140,IF(Settings!$E$64="",$C140,Settings!$E$64))),1,0))+IF(OR(Settings!$B$65="",Settings!$F$65="No"),0,Settings!$B$65*IF(AND(IF(Settings!$C$65="",$B140,DATE(YEAR($A140),MONTH($A140),MIN(Settings!$C$65,DAY($B140))))&gt;=MAX($A140,Settings!$D$65),IF(Settings!$C$65="",$B140,DATE(YEAR($A140),MONTH($A140),MIN(Settings!$C$65,DAY($B140))))&lt;=MIN($C140,IF(Settings!$E$65="",$C140,Settings!$E$65))),1,0))</f>
        <v/>
      </c>
      <c r="AA140">
        <f>$X140+$Z140</f>
        <v/>
      </c>
      <c r="AB140">
        <f>IF($E140="post",$AA140,IF($E140="open",SUMIFS(Giving!$B$7:$B$2006,Giving!$A$7:$A$2006,"&gt;"&amp;Settings!$B$5,Giving!$A$7:$A$2006,"&lt;="&amp;$B140,Giving!$E$7:$E$2006,"&lt;&gt;No")+IF(OR(Settings!$B$60="",Settings!$F$60="No"),0,Settings!$B$60*IF(AND(IF(Settings!$C$60="",$B140,DATE(YEAR($A140),MONTH($A140),MIN(Settings!$C$60,DAY($B140))))&gt;=MAX($A140,Settings!$D$60,Settings!$B$5+1),IF(Settings!$C$60="",$B140,DATE(YEAR($A140),MONTH($A140),MIN(Settings!$C$60,DAY($B140))))&lt;=MIN($C140,IF(Settings!$E$60="",$C140,Settings!$E$60))),1,0))+IF(OR(Settings!$B$61="",Settings!$F$61="No"),0,Settings!$B$61*IF(AND(IF(Settings!$C$61="",$B140,DATE(YEAR($A140),MONTH($A140),MIN(Settings!$C$61,DAY($B140))))&gt;=MAX($A140,Settings!$D$61,Settings!$B$5+1),IF(Settings!$C$61="",$B140,DATE(YEAR($A140),MONTH($A140),MIN(Settings!$C$61,DAY($B140))))&lt;=MIN($C140,IF(Settings!$E$61="",$C140,Settings!$E$61))),1,0))+IF(OR(Settings!$B$62="",Settings!$F$62="No"),0,Settings!$B$62*IF(AND(IF(Settings!$C$62="",$B140,DATE(YEAR($A140),MONTH($A140),MIN(Settings!$C$62,DAY($B140))))&gt;=MAX($A140,Settings!$D$62,Settings!$B$5+1),IF(Settings!$C$62="",$B140,DATE(YEAR($A140),MONTH($A140),MIN(Settings!$C$62,DAY($B140))))&lt;=MIN($C140,IF(Settings!$E$62="",$C140,Settings!$E$62))),1,0))+IF(OR(Settings!$B$63="",Settings!$F$63="No"),0,Settings!$B$63*IF(AND(IF(Settings!$C$63="",$B140,DATE(YEAR($A140),MONTH($A140),MIN(Settings!$C$63,DAY($B140))))&gt;=MAX($A140,Settings!$D$63,Settings!$B$5+1),IF(Settings!$C$63="",$B140,DATE(YEAR($A140),MONTH($A140),MIN(Settings!$C$63,DAY($B140))))&lt;=MIN($C140,IF(Settings!$E$63="",$C140,Settings!$E$63))),1,0))+IF(OR(Settings!$B$64="",Settings!$F$64="No"),0,Settings!$B$64*IF(AND(IF(Settings!$C$64="",$B140,DATE(YEAR($A140),MONTH($A140),MIN(Settings!$C$64,DAY($B140))))&gt;=MAX($A140,Settings!$D$64,Settings!$B$5+1),IF(Settings!$C$64="",$B140,DATE(YEAR($A140),MONTH($A140),MIN(Settings!$C$64,DAY($B140))))&lt;=MIN($C140,IF(Settings!$E$64="",$C140,Settings!$E$64))),1,0))+IF(OR(Settings!$B$65="",Settings!$F$65="No"),0,Settings!$B$65*IF(AND(IF(Settings!$C$65="",$B140,DATE(YEAR($A140),MONTH($A140),MIN(Settings!$C$65,DAY($B140))))&gt;=MAX($A140,Settings!$D$65,Settings!$B$5+1),IF(Settings!$C$65="",$B140,DATE(YEAR($A140),MONTH($A140),MIN(Settings!$C$65,DAY($B140))))&lt;=MIN($C140,IF(Settings!$E$65="",$C140,Settings!$E$65))),1,0)),0))</f>
        <v/>
      </c>
      <c r="AC140">
        <f>$AY140+$AZ140+$BA140+$BB140+$BC140+$BD140</f>
        <v/>
      </c>
      <c r="AD140">
        <f>$AC140</f>
        <v/>
      </c>
      <c r="AE140">
        <f>IF(OR(Settings!$A$19="",$E140="pre"),"",IF(AND('Month-End'!$EG$7&lt;&gt;"",NOT(_xlfn.ISFORMULA('Month-End'!$EG$7))),N('Month-End'!$EG$7),IF(OR($E140="open",$E139="pre"),N(Settings!$C$19),N($AE139))))</f>
        <v/>
      </c>
      <c r="AF140">
        <f>IF(OR(Settings!$A$20="",$E140="pre"),"",IF(AND('Month-End'!$EG$8&lt;&gt;"",NOT(_xlfn.ISFORMULA('Month-End'!$EG$8))),N('Month-End'!$EG$8),IF(OR($E140="open",$E139="pre"),N(Settings!$C$20),N($AF139))))</f>
        <v/>
      </c>
      <c r="AG140">
        <f>IF(OR(Settings!$A$21="",$E140="pre"),"",IF(AND('Month-End'!$EG$9&lt;&gt;"",NOT(_xlfn.ISFORMULA('Month-End'!$EG$9))),N('Month-End'!$EG$9),IF(OR($E140="open",$E139="pre"),N(Settings!$C$21),N($AG139))))</f>
        <v/>
      </c>
      <c r="AH140">
        <f>IF(OR(Settings!$A$22="",$E140="pre"),"",IF(AND('Month-End'!$EG$10&lt;&gt;"",NOT(_xlfn.ISFORMULA('Month-End'!$EG$10))),N('Month-End'!$EG$10),IF(OR($E140="open",$E139="pre"),N(Settings!$C$22),N($AH139))))</f>
        <v/>
      </c>
      <c r="AI140">
        <f>IF(OR(Settings!$A$23="",$E140="pre"),"",IF(AND('Month-End'!$EG$11&lt;&gt;"",NOT(_xlfn.ISFORMULA('Month-End'!$EG$11))),N('Month-End'!$EG$11),IF(OR($E140="open",$E139="pre"),N(Settings!$C$23),N($AI139))))</f>
        <v/>
      </c>
      <c r="AJ140">
        <f>IF(OR(Settings!$A$24="",$E140="pre"),"",IF(AND('Month-End'!$EG$12&lt;&gt;"",NOT(_xlfn.ISFORMULA('Month-End'!$EG$12))),N('Month-End'!$EG$12),IF(OR($E140="open",$E139="pre"),N(Settings!$C$24),N($AJ139))))</f>
        <v/>
      </c>
      <c r="AK140">
        <f>IF(OR(Settings!$A$25="",$E140="pre"),"",IF(AND('Month-End'!$EG$13&lt;&gt;"",NOT(_xlfn.ISFORMULA('Month-End'!$EG$13))),N('Month-End'!$EG$13),IF(OR($E140="open",$E139="pre"),N(Settings!$C$25),N($AK139))))</f>
        <v/>
      </c>
      <c r="AL140">
        <f>IF(OR(Settings!$A$26="",$E140="pre"),"",IF(AND('Month-End'!$EG$14&lt;&gt;"",NOT(_xlfn.ISFORMULA('Month-End'!$EG$14))),N('Month-End'!$EG$14),IF(OR($E140="open",$E139="pre"),N(Settings!$C$26),N($AL139))))</f>
        <v/>
      </c>
      <c r="AM140">
        <f>IF(OR(Settings!$A$27="",$E140="pre"),"",IF(AND('Month-End'!$EG$15&lt;&gt;"",NOT(_xlfn.ISFORMULA('Month-End'!$EG$15))),N('Month-End'!$EG$15),IF(OR($E140="open",$E139="pre"),N(Settings!$C$27),N($AM139))))</f>
        <v/>
      </c>
      <c r="AN140">
        <f>IF(OR(Settings!$A$28="",$E140="pre"),"",IF(AND('Month-End'!$EG$16&lt;&gt;"",NOT(_xlfn.ISFORMULA('Month-End'!$EG$16))),N('Month-End'!$EG$16),IF(OR($E140="open",$E139="pre"),N(Settings!$C$28),N($AN139))))</f>
        <v/>
      </c>
      <c r="AO140">
        <f>IF(OR(Settings!$A$29="",$E140="pre"),"",IF(AND('Month-End'!$EG$17&lt;&gt;"",NOT(_xlfn.ISFORMULA('Month-End'!$EG$17))),N('Month-End'!$EG$17),IF(OR($E140="open",$E139="pre"),N(Settings!$C$29),N($AO139))))</f>
        <v/>
      </c>
      <c r="AP140">
        <f>IF(OR(Settings!$A$30="",$E140="pre"),"",IF(AND('Month-End'!$EG$18&lt;&gt;"",NOT(_xlfn.ISFORMULA('Month-End'!$EG$18))),N('Month-End'!$EG$18),IF(OR($E140="open",$E139="pre"),N(Settings!$C$30),N($AP139))))</f>
        <v/>
      </c>
      <c r="AQ140">
        <f>IF(OR(Settings!$A$31="",$E140="pre"),"",IF(AND('Month-End'!$EG$19&lt;&gt;"",NOT(_xlfn.ISFORMULA('Month-End'!$EG$19))),N('Month-End'!$EG$19),IF(OR($E140="open",$E139="pre"),N(Settings!$C$31),N($AQ139))))</f>
        <v/>
      </c>
      <c r="AR140">
        <f>IF(OR(Settings!$A$32="",$E140="pre"),"",IF(AND('Month-End'!$EG$20&lt;&gt;"",NOT(_xlfn.ISFORMULA('Month-End'!$EG$20))),N('Month-End'!$EG$20),IF(OR($E140="open",$E139="pre"),N(Settings!$C$32),N($AR139))))</f>
        <v/>
      </c>
      <c r="AS140">
        <f>IF(OR(Settings!$A$36="",$E140="pre"),"",IF(AND('Month-End'!$EG$38&lt;&gt;"",NOT(_xlfn.ISFORMULA('Month-End'!$EG$38))),N('Month-End'!$EG$38),IF(OR($E140="open",$E139="pre"),N(Settings!$C$36),N($AS139))+$AY140))</f>
        <v/>
      </c>
      <c r="AT140">
        <f>IF(OR(Settings!$A$37="",$E140="pre"),"",IF(AND('Month-End'!$EG$39&lt;&gt;"",NOT(_xlfn.ISFORMULA('Month-End'!$EG$39))),N('Month-End'!$EG$39),IF(OR($E140="open",$E139="pre"),N(Settings!$C$37),N($AT139))+$AZ140))</f>
        <v/>
      </c>
      <c r="AU140">
        <f>IF(OR(Settings!$A$38="",$E140="pre"),"",IF(AND('Month-End'!$EG$40&lt;&gt;"",NOT(_xlfn.ISFORMULA('Month-End'!$EG$40))),N('Month-End'!$EG$40),IF(OR($E140="open",$E139="pre"),N(Settings!$C$38),N($AU139))+$BA140))</f>
        <v/>
      </c>
      <c r="AV140">
        <f>IF(OR(Settings!$A$39="",$E140="pre"),"",IF(AND('Month-End'!$EG$41&lt;&gt;"",NOT(_xlfn.ISFORMULA('Month-End'!$EG$41))),N('Month-End'!$EG$41),IF(OR($E140="open",$E139="pre"),N(Settings!$C$39),N($AV139))+$BB140))</f>
        <v/>
      </c>
      <c r="AW140">
        <f>IF(OR(Settings!$A$40="",$E140="pre"),"",IF(AND('Month-End'!$EG$42&lt;&gt;"",NOT(_xlfn.ISFORMULA('Month-End'!$EG$42))),N('Month-End'!$EG$42),IF(OR($E140="open",$E139="pre"),N(Settings!$C$40),N($AW139))+$BC140))</f>
        <v/>
      </c>
      <c r="AX140">
        <f>IF(OR(Settings!$A$41="",$E140="pre"),"",IF(AND('Month-End'!$EG$43&lt;&gt;"",NOT(_xlfn.ISFORMULA('Month-End'!$EG$43))),N('Month-End'!$EG$43),IF(OR($E140="open",$E139="pre"),N(Settings!$C$41),N($AX139))+$BD140))</f>
        <v/>
      </c>
      <c r="AY140">
        <f>IF($E140="pre",0,N('Month-End'!$EG$45))</f>
        <v/>
      </c>
      <c r="AZ140">
        <f>IF($E140="pre",0,N('Month-End'!$EG$46))</f>
        <v/>
      </c>
      <c r="BA140">
        <f>IF($E140="pre",0,N('Month-End'!$EG$47))</f>
        <v/>
      </c>
      <c r="BB140">
        <f>IF($E140="pre",0,N('Month-End'!$EG$48))</f>
        <v/>
      </c>
      <c r="BC140">
        <f>IF($E140="pre",0,N('Month-End'!$EG$49))</f>
        <v/>
      </c>
      <c r="BD140">
        <f>IF($E140="pre",0,N('Month-End'!$EG$50))</f>
        <v/>
      </c>
      <c r="BE140">
        <f>IF(OR(Settings!$C$45="",Settings!$D$45=""),0,Settings!$C$45*IF(Settings!$D$45="Weekly",IF(IFERROR(MATCH(Settings!$E$45,$EO$4:$EO$10,0),0)=0,0,IF(MIN($C140,IF(Settings!$G$45="",$C140,Settings!$G$45))&lt;MAX($A140,Settings!$F$45),0,INT((MIN($C140,IF(Settings!$G$45="",$C140,Settings!$G$45))-MAX($A140,Settings!$F$45)-MOD(IFERROR(MATCH(Settings!$E$45,$EO$4:$EO$10,0),0)-WEEKDAY(MAX($A140,Settings!$F$45)),7))/7)+1)),IF(AND(IF(Settings!$E$45="",$B140,DATE(YEAR($A140),MONTH($A140),MIN(Settings!$E$45,DAY($B140))))&gt;=MAX($A140,Settings!$F$45),IF(Settings!$E$45="",$B140,DATE(YEAR($A140),MONTH($A140),MIN(Settings!$E$45,DAY($B140))))&lt;=MIN($C140,IF(Settings!$G$45="",$C140,Settings!$G$45))),1,0)))</f>
        <v/>
      </c>
      <c r="BF140">
        <f>IF(OR(Settings!$C$46="",Settings!$D$46=""),0,Settings!$C$46*IF(Settings!$D$46="Weekly",IF(IFERROR(MATCH(Settings!$E$46,$EO$4:$EO$10,0),0)=0,0,IF(MIN($C140,IF(Settings!$G$46="",$C140,Settings!$G$46))&lt;MAX($A140,Settings!$F$46),0,INT((MIN($C140,IF(Settings!$G$46="",$C140,Settings!$G$46))-MAX($A140,Settings!$F$46)-MOD(IFERROR(MATCH(Settings!$E$46,$EO$4:$EO$10,0),0)-WEEKDAY(MAX($A140,Settings!$F$46)),7))/7)+1)),IF(AND(IF(Settings!$E$46="",$B140,DATE(YEAR($A140),MONTH($A140),MIN(Settings!$E$46,DAY($B140))))&gt;=MAX($A140,Settings!$F$46),IF(Settings!$E$46="",$B140,DATE(YEAR($A140),MONTH($A140),MIN(Settings!$E$46,DAY($B140))))&lt;=MIN($C140,IF(Settings!$G$46="",$C140,Settings!$G$46))),1,0)))</f>
        <v/>
      </c>
      <c r="BG140">
        <f>IF(OR(Settings!$C$47="",Settings!$D$47=""),0,Settings!$C$47*IF(Settings!$D$47="Weekly",IF(IFERROR(MATCH(Settings!$E$47,$EO$4:$EO$10,0),0)=0,0,IF(MIN($C140,IF(Settings!$G$47="",$C140,Settings!$G$47))&lt;MAX($A140,Settings!$F$47),0,INT((MIN($C140,IF(Settings!$G$47="",$C140,Settings!$G$47))-MAX($A140,Settings!$F$47)-MOD(IFERROR(MATCH(Settings!$E$47,$EO$4:$EO$10,0),0)-WEEKDAY(MAX($A140,Settings!$F$47)),7))/7)+1)),IF(AND(IF(Settings!$E$47="",$B140,DATE(YEAR($A140),MONTH($A140),MIN(Settings!$E$47,DAY($B140))))&gt;=MAX($A140,Settings!$F$47),IF(Settings!$E$47="",$B140,DATE(YEAR($A140),MONTH($A140),MIN(Settings!$E$47,DAY($B140))))&lt;=MIN($C140,IF(Settings!$G$47="",$C140,Settings!$G$47))),1,0)))</f>
        <v/>
      </c>
      <c r="BH140">
        <f>IF(OR(Settings!$C$48="",Settings!$D$48=""),0,Settings!$C$48*IF(Settings!$D$48="Weekly",IF(IFERROR(MATCH(Settings!$E$48,$EO$4:$EO$10,0),0)=0,0,IF(MIN($C140,IF(Settings!$G$48="",$C140,Settings!$G$48))&lt;MAX($A140,Settings!$F$48),0,INT((MIN($C140,IF(Settings!$G$48="",$C140,Settings!$G$48))-MAX($A140,Settings!$F$48)-MOD(IFERROR(MATCH(Settings!$E$48,$EO$4:$EO$10,0),0)-WEEKDAY(MAX($A140,Settings!$F$48)),7))/7)+1)),IF(AND(IF(Settings!$E$48="",$B140,DATE(YEAR($A140),MONTH($A140),MIN(Settings!$E$48,DAY($B140))))&gt;=MAX($A140,Settings!$F$48),IF(Settings!$E$48="",$B140,DATE(YEAR($A140),MONTH($A140),MIN(Settings!$E$48,DAY($B140))))&lt;=MIN($C140,IF(Settings!$G$48="",$C140,Settings!$G$48))),1,0)))</f>
        <v/>
      </c>
      <c r="BI140">
        <f>IF(OR(Settings!$C$49="",Settings!$D$49=""),0,Settings!$C$49*IF(Settings!$D$49="Weekly",IF(IFERROR(MATCH(Settings!$E$49,$EO$4:$EO$10,0),0)=0,0,IF(MIN($C140,IF(Settings!$G$49="",$C140,Settings!$G$49))&lt;MAX($A140,Settings!$F$49),0,INT((MIN($C140,IF(Settings!$G$49="",$C140,Settings!$G$49))-MAX($A140,Settings!$F$49)-MOD(IFERROR(MATCH(Settings!$E$49,$EO$4:$EO$10,0),0)-WEEKDAY(MAX($A140,Settings!$F$49)),7))/7)+1)),IF(AND(IF(Settings!$E$49="",$B140,DATE(YEAR($A140),MONTH($A140),MIN(Settings!$E$49,DAY($B140))))&gt;=MAX($A140,Settings!$F$49),IF(Settings!$E$49="",$B140,DATE(YEAR($A140),MONTH($A140),MIN(Settings!$E$49,DAY($B140))))&lt;=MIN($C140,IF(Settings!$G$49="",$C140,Settings!$G$49))),1,0)))</f>
        <v/>
      </c>
      <c r="BJ140">
        <f>IF(OR(Settings!$C$50="",Settings!$D$50=""),0,Settings!$C$50*IF(Settings!$D$50="Weekly",IF(IFERROR(MATCH(Settings!$E$50,$EO$4:$EO$10,0),0)=0,0,IF(MIN($C140,IF(Settings!$G$50="",$C140,Settings!$G$50))&lt;MAX($A140,Settings!$F$50),0,INT((MIN($C140,IF(Settings!$G$50="",$C140,Settings!$G$50))-MAX($A140,Settings!$F$50)-MOD(IFERROR(MATCH(Settings!$E$50,$EO$4:$EO$10,0),0)-WEEKDAY(MAX($A140,Settings!$F$50)),7))/7)+1)),IF(AND(IF(Settings!$E$50="",$B140,DATE(YEAR($A140),MONTH($A140),MIN(Settings!$E$50,DAY($B140))))&gt;=MAX($A140,Settings!$F$50),IF(Settings!$E$50="",$B140,DATE(YEAR($A140),MONTH($A140),MIN(Settings!$E$50,DAY($B140))))&lt;=MIN($C140,IF(Settings!$G$50="",$C140,Settings!$G$50))),1,0)))</f>
        <v/>
      </c>
      <c r="BK140">
        <f>IF(OR(Settings!$C$51="",Settings!$D$51=""),0,Settings!$C$51*IF(Settings!$D$51="Weekly",IF(IFERROR(MATCH(Settings!$E$51,$EO$4:$EO$10,0),0)=0,0,IF(MIN($C140,IF(Settings!$G$51="",$C140,Settings!$G$51))&lt;MAX($A140,Settings!$F$51),0,INT((MIN($C140,IF(Settings!$G$51="",$C140,Settings!$G$51))-MAX($A140,Settings!$F$51)-MOD(IFERROR(MATCH(Settings!$E$51,$EO$4:$EO$10,0),0)-WEEKDAY(MAX($A140,Settings!$F$51)),7))/7)+1)),IF(AND(IF(Settings!$E$51="",$B140,DATE(YEAR($A140),MONTH($A140),MIN(Settings!$E$51,DAY($B140))))&gt;=MAX($A140,Settings!$F$51),IF(Settings!$E$51="",$B140,DATE(YEAR($A140),MONTH($A140),MIN(Settings!$E$51,DAY($B140))))&lt;=MIN($C140,IF(Settings!$G$51="",$C140,Settings!$G$51))),1,0)))</f>
        <v/>
      </c>
      <c r="BL140">
        <f>IF(OR(Settings!$C$52="",Settings!$D$52=""),0,Settings!$C$52*IF(Settings!$D$52="Weekly",IF(IFERROR(MATCH(Settings!$E$52,$EO$4:$EO$10,0),0)=0,0,IF(MIN($C140,IF(Settings!$G$52="",$C140,Settings!$G$52))&lt;MAX($A140,Settings!$F$52),0,INT((MIN($C140,IF(Settings!$G$52="",$C140,Settings!$G$52))-MAX($A140,Settings!$F$52)-MOD(IFERROR(MATCH(Settings!$E$52,$EO$4:$EO$10,0),0)-WEEKDAY(MAX($A140,Settings!$F$52)),7))/7)+1)),IF(AND(IF(Settings!$E$52="",$B140,DATE(YEAR($A140),MONTH($A140),MIN(Settings!$E$52,DAY($B140))))&gt;=MAX($A140,Settings!$F$52),IF(Settings!$E$52="",$B140,DATE(YEAR($A140),MONTH($A140),MIN(Settings!$E$52,DAY($B140))))&lt;=MIN($C140,IF(Settings!$G$52="",$C140,Settings!$G$52))),1,0)))</f>
        <v/>
      </c>
      <c r="BM140">
        <f>IF(OR(Settings!$C$53="",Settings!$D$53=""),0,Settings!$C$53*IF(Settings!$D$53="Weekly",IF(IFERROR(MATCH(Settings!$E$53,$EO$4:$EO$10,0),0)=0,0,IF(MIN($C140,IF(Settings!$G$53="",$C140,Settings!$G$53))&lt;MAX($A140,Settings!$F$53),0,INT((MIN($C140,IF(Settings!$G$53="",$C140,Settings!$G$53))-MAX($A140,Settings!$F$53)-MOD(IFERROR(MATCH(Settings!$E$53,$EO$4:$EO$10,0),0)-WEEKDAY(MAX($A140,Settings!$F$53)),7))/7)+1)),IF(AND(IF(Settings!$E$53="",$B140,DATE(YEAR($A140),MONTH($A140),MIN(Settings!$E$53,DAY($B140))))&gt;=MAX($A140,Settings!$F$53),IF(Settings!$E$53="",$B140,DATE(YEAR($A140),MONTH($A140),MIN(Settings!$E$53,DAY($B140))))&lt;=MIN($C140,IF(Settings!$G$53="",$C140,Settings!$G$53))),1,0)))</f>
        <v/>
      </c>
      <c r="BN140">
        <f>IF(OR(Settings!$C$54="",Settings!$D$54=""),0,Settings!$C$54*IF(Settings!$D$54="Weekly",IF(IFERROR(MATCH(Settings!$E$54,$EO$4:$EO$10,0),0)=0,0,IF(MIN($C140,IF(Settings!$G$54="",$C140,Settings!$G$54))&lt;MAX($A140,Settings!$F$54),0,INT((MIN($C140,IF(Settings!$G$54="",$C140,Settings!$G$54))-MAX($A140,Settings!$F$54)-MOD(IFERROR(MATCH(Settings!$E$54,$EO$4:$EO$10,0),0)-WEEKDAY(MAX($A140,Settings!$F$54)),7))/7)+1)),IF(AND(IF(Settings!$E$54="",$B140,DATE(YEAR($A140),MONTH($A140),MIN(Settings!$E$54,DAY($B140))))&gt;=MAX($A140,Settings!$F$54),IF(Settings!$E$54="",$B140,DATE(YEAR($A140),MONTH($A140),MIN(Settings!$E$54,DAY($B140))))&lt;=MIN($C140,IF(Settings!$G$54="",$C140,Settings!$G$54))),1,0)))</f>
        <v/>
      </c>
      <c r="BO140">
        <f>IF(OR(Settings!$C$55="",Settings!$D$55=""),0,Settings!$C$55*IF(Settings!$D$55="Weekly",IF(IFERROR(MATCH(Settings!$E$55,$EO$4:$EO$10,0),0)=0,0,IF(MIN($C140,IF(Settings!$G$55="",$C140,Settings!$G$55))&lt;MAX($A140,Settings!$F$55),0,INT((MIN($C140,IF(Settings!$G$55="",$C140,Settings!$G$55))-MAX($A140,Settings!$F$55)-MOD(IFERROR(MATCH(Settings!$E$55,$EO$4:$EO$10,0),0)-WEEKDAY(MAX($A140,Settings!$F$55)),7))/7)+1)),IF(AND(IF(Settings!$E$55="",$B140,DATE(YEAR($A140),MONTH($A140),MIN(Settings!$E$55,DAY($B140))))&gt;=MAX($A140,Settings!$F$55),IF(Settings!$E$55="",$B140,DATE(YEAR($A140),MONTH($A140),MIN(Settings!$E$55,DAY($B140))))&lt;=MIN($C140,IF(Settings!$G$55="",$C140,Settings!$G$55))),1,0)))</f>
        <v/>
      </c>
      <c r="BP140">
        <f>IF(OR(Settings!$C$56="",Settings!$D$56=""),0,Settings!$C$56*IF(Settings!$D$56="Weekly",IF(IFERROR(MATCH(Settings!$E$56,$EO$4:$EO$10,0),0)=0,0,IF(MIN($C140,IF(Settings!$G$56="",$C140,Settings!$G$56))&lt;MAX($A140,Settings!$F$56),0,INT((MIN($C140,IF(Settings!$G$56="",$C140,Settings!$G$56))-MAX($A140,Settings!$F$56)-MOD(IFERROR(MATCH(Settings!$E$56,$EO$4:$EO$10,0),0)-WEEKDAY(MAX($A140,Settings!$F$56)),7))/7)+1)),IF(AND(IF(Settings!$E$56="",$B140,DATE(YEAR($A140),MONTH($A140),MIN(Settings!$E$56,DAY($B140))))&gt;=MAX($A140,Settings!$F$56),IF(Settings!$E$56="",$B140,DATE(YEAR($A140),MONTH($A140),MIN(Settings!$E$56,DAY($B140))))&lt;=MIN($C140,IF(Settings!$G$56="",$C140,Settings!$G$56))),1,0)))</f>
        <v/>
      </c>
      <c r="BQ140">
        <f>IF(OR(Settings!$B$14="",$D140=1,$E140="pre",$A140&lt;IF(Settings!$B$15="",0,Settings!$B$15)),0,Settings!$B$14)</f>
        <v/>
      </c>
      <c r="BR140">
        <f>IF(AND('Month-End'!$EG$7&lt;&gt;"",NOT(_xlfn.ISFORMULA('Month-End'!$EG$7))),1,0)</f>
        <v/>
      </c>
      <c r="BS140">
        <f>IF(AND('Month-End'!$EG$8&lt;&gt;"",NOT(_xlfn.ISFORMULA('Month-End'!$EG$8))),1,0)</f>
        <v/>
      </c>
      <c r="BT140">
        <f>IF(AND('Month-End'!$EG$9&lt;&gt;"",NOT(_xlfn.ISFORMULA('Month-End'!$EG$9))),1,0)</f>
        <v/>
      </c>
      <c r="BU140">
        <f>IF(AND('Month-End'!$EG$10&lt;&gt;"",NOT(_xlfn.ISFORMULA('Month-End'!$EG$10))),1,0)</f>
        <v/>
      </c>
      <c r="BV140">
        <f>IF(AND('Month-End'!$EG$11&lt;&gt;"",NOT(_xlfn.ISFORMULA('Month-End'!$EG$11))),1,0)</f>
        <v/>
      </c>
      <c r="BW140">
        <f>IF(AND('Month-End'!$EG$12&lt;&gt;"",NOT(_xlfn.ISFORMULA('Month-End'!$EG$12))),1,0)</f>
        <v/>
      </c>
      <c r="BX140">
        <f>IF(AND('Month-End'!$EG$13&lt;&gt;"",NOT(_xlfn.ISFORMULA('Month-End'!$EG$13))),1,0)</f>
        <v/>
      </c>
      <c r="BY140">
        <f>IF(AND('Month-End'!$EG$14&lt;&gt;"",NOT(_xlfn.ISFORMULA('Month-End'!$EG$14))),1,0)</f>
        <v/>
      </c>
      <c r="BZ140">
        <f>IF(AND('Month-End'!$EG$15&lt;&gt;"",NOT(_xlfn.ISFORMULA('Month-End'!$EG$15))),1,0)</f>
        <v/>
      </c>
      <c r="CA140">
        <f>IF(AND('Month-End'!$EG$16&lt;&gt;"",NOT(_xlfn.ISFORMULA('Month-End'!$EG$16))),1,0)</f>
        <v/>
      </c>
      <c r="CB140">
        <f>IF(AND('Month-End'!$EG$17&lt;&gt;"",NOT(_xlfn.ISFORMULA('Month-End'!$EG$17))),1,0)</f>
        <v/>
      </c>
      <c r="CC140">
        <f>IF(AND('Month-End'!$EG$18&lt;&gt;"",NOT(_xlfn.ISFORMULA('Month-End'!$EG$18))),1,0)</f>
        <v/>
      </c>
      <c r="CD140">
        <f>IF(AND('Month-End'!$EG$19&lt;&gt;"",NOT(_xlfn.ISFORMULA('Month-End'!$EG$19))),1,0)</f>
        <v/>
      </c>
      <c r="CE140">
        <f>IF(AND('Month-End'!$EG$20&lt;&gt;"",NOT(_xlfn.ISFORMULA('Month-End'!$EG$20))),1,0)</f>
        <v/>
      </c>
      <c r="CF140">
        <f>IF(AND('Month-End'!$EG$38&lt;&gt;"",NOT(_xlfn.ISFORMULA('Month-End'!$EG$38))),1,0)</f>
        <v/>
      </c>
      <c r="CG140">
        <f>IF(AND('Month-End'!$EG$39&lt;&gt;"",NOT(_xlfn.ISFORMULA('Month-End'!$EG$39))),1,0)</f>
        <v/>
      </c>
      <c r="CH140">
        <f>IF(AND('Month-End'!$EG$40&lt;&gt;"",NOT(_xlfn.ISFORMULA('Month-End'!$EG$40))),1,0)</f>
        <v/>
      </c>
      <c r="CI140">
        <f>IF(AND('Month-End'!$EG$41&lt;&gt;"",NOT(_xlfn.ISFORMULA('Month-End'!$EG$41))),1,0)</f>
        <v/>
      </c>
      <c r="CJ140">
        <f>IF(AND('Month-End'!$EG$42&lt;&gt;"",NOT(_xlfn.ISFORMULA('Month-End'!$EG$42))),1,0)</f>
        <v/>
      </c>
      <c r="CK140">
        <f>IF(AND('Month-End'!$EG$43&lt;&gt;"",NOT(_xlfn.ISFORMULA('Month-End'!$EG$43))),1,0)</f>
        <v/>
      </c>
      <c r="CL140">
        <f>SUM($CM140:$CZ140)</f>
        <v/>
      </c>
      <c r="CM140">
        <f>IF(AND($E140&lt;&gt;"pre",AND(Settings!$A$19&lt;&gt;"",Settings!$E$19&lt;&gt;"No"),Settings!$F$19="Yes",NOT(AND('Month-End'!$EG$7&lt;&gt;"",NOT(_xlfn.ISFORMULA('Month-End'!$EG$7))))),1,0)</f>
        <v/>
      </c>
      <c r="CN140">
        <f>IF(AND($E140&lt;&gt;"pre",AND(Settings!$A$20&lt;&gt;"",Settings!$E$20&lt;&gt;"No"),Settings!$F$20="Yes",NOT(AND('Month-End'!$EG$8&lt;&gt;"",NOT(_xlfn.ISFORMULA('Month-End'!$EG$8))))),1,0)</f>
        <v/>
      </c>
      <c r="CO140">
        <f>IF(AND($E140&lt;&gt;"pre",AND(Settings!$A$21&lt;&gt;"",Settings!$E$21&lt;&gt;"No"),Settings!$F$21="Yes",NOT(AND('Month-End'!$EG$9&lt;&gt;"",NOT(_xlfn.ISFORMULA('Month-End'!$EG$9))))),1,0)</f>
        <v/>
      </c>
      <c r="CP140">
        <f>IF(AND($E140&lt;&gt;"pre",AND(Settings!$A$22&lt;&gt;"",Settings!$E$22&lt;&gt;"No"),Settings!$F$22="Yes",NOT(AND('Month-End'!$EG$10&lt;&gt;"",NOT(_xlfn.ISFORMULA('Month-End'!$EG$10))))),1,0)</f>
        <v/>
      </c>
      <c r="CQ140">
        <f>IF(AND($E140&lt;&gt;"pre",AND(Settings!$A$23&lt;&gt;"",Settings!$E$23&lt;&gt;"No"),Settings!$F$23="Yes",NOT(AND('Month-End'!$EG$11&lt;&gt;"",NOT(_xlfn.ISFORMULA('Month-End'!$EG$11))))),1,0)</f>
        <v/>
      </c>
      <c r="CR140">
        <f>IF(AND($E140&lt;&gt;"pre",AND(Settings!$A$24&lt;&gt;"",Settings!$E$24&lt;&gt;"No"),Settings!$F$24="Yes",NOT(AND('Month-End'!$EG$12&lt;&gt;"",NOT(_xlfn.ISFORMULA('Month-End'!$EG$12))))),1,0)</f>
        <v/>
      </c>
      <c r="CS140">
        <f>IF(AND($E140&lt;&gt;"pre",AND(Settings!$A$25&lt;&gt;"",Settings!$E$25&lt;&gt;"No"),Settings!$F$25="Yes",NOT(AND('Month-End'!$EG$13&lt;&gt;"",NOT(_xlfn.ISFORMULA('Month-End'!$EG$13))))),1,0)</f>
        <v/>
      </c>
      <c r="CT140">
        <f>IF(AND($E140&lt;&gt;"pre",AND(Settings!$A$26&lt;&gt;"",Settings!$E$26&lt;&gt;"No"),Settings!$F$26="Yes",NOT(AND('Month-End'!$EG$14&lt;&gt;"",NOT(_xlfn.ISFORMULA('Month-End'!$EG$14))))),1,0)</f>
        <v/>
      </c>
      <c r="CU140">
        <f>IF(AND($E140&lt;&gt;"pre",AND(Settings!$A$27&lt;&gt;"",Settings!$E$27&lt;&gt;"No"),Settings!$F$27="Yes",NOT(AND('Month-End'!$EG$15&lt;&gt;"",NOT(_xlfn.ISFORMULA('Month-End'!$EG$15))))),1,0)</f>
        <v/>
      </c>
      <c r="CV140">
        <f>IF(AND($E140&lt;&gt;"pre",AND(Settings!$A$28&lt;&gt;"",Settings!$E$28&lt;&gt;"No"),Settings!$F$28="Yes",NOT(AND('Month-End'!$EG$16&lt;&gt;"",NOT(_xlfn.ISFORMULA('Month-End'!$EG$16))))),1,0)</f>
        <v/>
      </c>
      <c r="CW140">
        <f>IF(AND($E140&lt;&gt;"pre",AND(Settings!$A$29&lt;&gt;"",Settings!$E$29&lt;&gt;"No"),Settings!$F$29="Yes",NOT(AND('Month-End'!$EG$17&lt;&gt;"",NOT(_xlfn.ISFORMULA('Month-End'!$EG$17))))),1,0)</f>
        <v/>
      </c>
      <c r="CX140">
        <f>IF(AND($E140&lt;&gt;"pre",AND(Settings!$A$30&lt;&gt;"",Settings!$E$30&lt;&gt;"No"),Settings!$F$30="Yes",NOT(AND('Month-End'!$EG$18&lt;&gt;"",NOT(_xlfn.ISFORMULA('Month-End'!$EG$18))))),1,0)</f>
        <v/>
      </c>
      <c r="CY140">
        <f>IF(AND($E140&lt;&gt;"pre",AND(Settings!$A$31&lt;&gt;"",Settings!$E$31&lt;&gt;"No"),Settings!$F$31="Yes",NOT(AND('Month-End'!$EG$19&lt;&gt;"",NOT(_xlfn.ISFORMULA('Month-End'!$EG$19))))),1,0)</f>
        <v/>
      </c>
      <c r="CZ140">
        <f>IF(AND($E140&lt;&gt;"pre",AND(Settings!$A$32&lt;&gt;"",Settings!$E$32&lt;&gt;"No"),Settings!$F$32="Yes",NOT(AND('Month-End'!$EG$20&lt;&gt;"",NOT(_xlfn.ISFORMULA('Month-End'!$EG$20))))),1,0)</f>
        <v/>
      </c>
      <c r="DA140">
        <f>IF($DT140=1,IF(OR(Settings!$B$19="Checking",Settings!$B$19="Savings",Settings!$B$19="Cash"),N($AE140),IF(OR(Settings!$B$19="Card",Settings!$B$19="Loan"),-N($AE140),0))+IF(OR(Settings!$B$20="Checking",Settings!$B$20="Savings",Settings!$B$20="Cash"),N($AF140),IF(OR(Settings!$B$20="Card",Settings!$B$20="Loan"),-N($AF140),0))+IF(OR(Settings!$B$21="Checking",Settings!$B$21="Savings",Settings!$B$21="Cash"),N($AG140),IF(OR(Settings!$B$21="Card",Settings!$B$21="Loan"),-N($AG140),0))+IF(OR(Settings!$B$22="Checking",Settings!$B$22="Savings",Settings!$B$22="Cash"),N($AH140),IF(OR(Settings!$B$22="Card",Settings!$B$22="Loan"),-N($AH140),0))+IF(OR(Settings!$B$23="Checking",Settings!$B$23="Savings",Settings!$B$23="Cash"),N($AI140),IF(OR(Settings!$B$23="Card",Settings!$B$23="Loan"),-N($AI140),0))+IF(OR(Settings!$B$24="Checking",Settings!$B$24="Savings",Settings!$B$24="Cash"),N($AJ140),IF(OR(Settings!$B$24="Card",Settings!$B$24="Loan"),-N($AJ140),0))+IF(OR(Settings!$B$25="Checking",Settings!$B$25="Savings",Settings!$B$25="Cash"),N($AK140),IF(OR(Settings!$B$25="Card",Settings!$B$25="Loan"),-N($AK140),0))+IF(OR(Settings!$B$26="Checking",Settings!$B$26="Savings",Settings!$B$26="Cash"),N($AL140),IF(OR(Settings!$B$26="Card",Settings!$B$26="Loan"),-N($AL140),0))+IF(OR(Settings!$B$27="Checking",Settings!$B$27="Savings",Settings!$B$27="Cash"),N($AM140),IF(OR(Settings!$B$27="Card",Settings!$B$27="Loan"),-N($AM140),0))+IF(OR(Settings!$B$28="Checking",Settings!$B$28="Savings",Settings!$B$28="Cash"),N($AN140),IF(OR(Settings!$B$28="Card",Settings!$B$28="Loan"),-N($AN140),0))+IF(OR(Settings!$B$29="Checking",Settings!$B$29="Savings",Settings!$B$29="Cash"),N($AO140),IF(OR(Settings!$B$29="Card",Settings!$B$29="Loan"),-N($AO140),0))+IF(OR(Settings!$B$30="Checking",Settings!$B$30="Savings",Settings!$B$30="Cash"),N($AP140),IF(OR(Settings!$B$30="Card",Settings!$B$30="Loan"),-N($AP140),0))+IF(OR(Settings!$B$31="Checking",Settings!$B$31="Savings",Settings!$B$31="Cash"),N($AQ140),IF(OR(Settings!$B$31="Card",Settings!$B$31="Loan"),-N($AQ140),0))+IF(OR(Settings!$B$32="Checking",Settings!$B$32="Savings",Settings!$B$32="Cash"),N($AR140),IF(OR(Settings!$B$32="Card",Settings!$B$32="Loan"),-N($AR140),0)),"")</f>
        <v/>
      </c>
      <c r="DB140">
        <f>IF($E140="open",$EB$27,IF($E140="post",IF($E139="pre",$EB$27,$DA139),""))</f>
        <v/>
      </c>
      <c r="DC140">
        <f>IF($E140="open",1,IF($E140="post",IF($E139="pre",1,$DT139),0))</f>
        <v/>
      </c>
      <c r="DD140">
        <f>IF(AND($DT140=1,$DC140=1),ROUND($W140-($DA140-$DB140)-$AD140-$AB140,2),"")</f>
        <v/>
      </c>
      <c r="DE140">
        <f>IF('Month-End'!$EG$35="",$BQ140,N('Month-End'!$EG$35))</f>
        <v/>
      </c>
      <c r="DF140">
        <f>N('Month-End'!$EG$36)</f>
        <v/>
      </c>
      <c r="DG140">
        <f>IF($DD140="","",$DD140+$DE140)</f>
        <v/>
      </c>
      <c r="DH140">
        <f>IF($DG140="","",$DG140-$DF140)</f>
        <v/>
      </c>
      <c r="DI140">
        <f>IF(OR($E140="pre",$D140=1),"",N($AS140)+N($AT140)+N($AU140)+N($AV140)+N($AW140)+N($AX140))</f>
        <v/>
      </c>
      <c r="DJ140">
        <f>IF($DT140=1,$DA140+N($DI140),"")</f>
        <v/>
      </c>
      <c r="DK140">
        <f>IF($DD140="","",$W140-$DD140-$AB140)</f>
        <v/>
      </c>
      <c r="DL140">
        <f>IF(AND($E140="post",$DD140&lt;&gt;"",$B140&lt;TODAY()),1,0)</f>
        <v/>
      </c>
      <c r="DM140">
        <f>IF($DL140=1,COUNTIF($DL140:$DL$183,1),0)</f>
        <v/>
      </c>
      <c r="DN140">
        <f>IF($D140=1,"",IF($E140="pre","History only",IF($DT140=1,IF($DD140="","⚠ Previous month missing",IF($DD140&lt;0,"⚠ Check: spending &lt; 0",IF($E140="open","✓ Done (partial)","✓ Done"))),IF($B140&gt;=TODAY(),"In progress","⚠ Needs balances"))))</f>
        <v/>
      </c>
      <c r="DO140">
        <f>YEAR($A140)</f>
        <v/>
      </c>
      <c r="DP140">
        <f>DATE(YEAR($A140),INT((MONTH($A140)-1)/3)*3+1,1)</f>
        <v/>
      </c>
      <c r="DQ140">
        <f>IF(AND($DT140=1,$DD140&lt;&gt;"",$D140=0),ROW(),0)</f>
        <v/>
      </c>
      <c r="DR140">
        <f>IF(AND($E140&lt;&gt;"pre",$B140&lt;TODAY(),$DT140=0),1,0)</f>
        <v/>
      </c>
      <c r="DS140">
        <f>IF($DJ140="",NA(),$DJ140)</f>
        <v/>
      </c>
      <c r="DT140">
        <f>IF(AND($E140&lt;&gt;"pre",$CL140=0,COUNTIFS(Settings!$F$19:$F$32,"Yes",Settings!$A$19:$A$32,"&lt;&gt;",Settings!$E$19:$E$32,"&lt;&gt;No")&gt;0),1,0)</f>
        <v/>
      </c>
      <c r="DU140">
        <f>IF(AND($B140&lt;TODAY(),$S140&gt;0),1,0)</f>
        <v/>
      </c>
      <c r="DV140">
        <f>IF($DU140=1,COUNTIF($DU140:$DU$183,1),0)</f>
        <v/>
      </c>
      <c r="DW140">
        <f>IF(AND(OR(Settings!$B$19="Card",Settings!$B$19="Loan"),AND('Month-End'!$EG$7&lt;&gt;"",NOT(_xlfn.ISFORMULA('Month-End'!$EG$7)))),IF(N('Month-End'!$EG$7)&lt;0,1,0),0)+IF(AND(OR(Settings!$B$20="Card",Settings!$B$20="Loan"),AND('Month-End'!$EG$8&lt;&gt;"",NOT(_xlfn.ISFORMULA('Month-End'!$EG$8)))),IF(N('Month-End'!$EG$8)&lt;0,1,0),0)+IF(AND(OR(Settings!$B$21="Card",Settings!$B$21="Loan"),AND('Month-End'!$EG$9&lt;&gt;"",NOT(_xlfn.ISFORMULA('Month-End'!$EG$9)))),IF(N('Month-End'!$EG$9)&lt;0,1,0),0)+IF(AND(OR(Settings!$B$22="Card",Settings!$B$22="Loan"),AND('Month-End'!$EG$10&lt;&gt;"",NOT(_xlfn.ISFORMULA('Month-End'!$EG$10)))),IF(N('Month-End'!$EG$10)&lt;0,1,0),0)+IF(AND(OR(Settings!$B$23="Card",Settings!$B$23="Loan"),AND('Month-End'!$EG$11&lt;&gt;"",NOT(_xlfn.ISFORMULA('Month-End'!$EG$11)))),IF(N('Month-End'!$EG$11)&lt;0,1,0),0)+IF(AND(OR(Settings!$B$24="Card",Settings!$B$24="Loan"),AND('Month-End'!$EG$12&lt;&gt;"",NOT(_xlfn.ISFORMULA('Month-End'!$EG$12)))),IF(N('Month-End'!$EG$12)&lt;0,1,0),0)+IF(AND(OR(Settings!$B$25="Card",Settings!$B$25="Loan"),AND('Month-End'!$EG$13&lt;&gt;"",NOT(_xlfn.ISFORMULA('Month-End'!$EG$13)))),IF(N('Month-End'!$EG$13)&lt;0,1,0),0)+IF(AND(OR(Settings!$B$26="Card",Settings!$B$26="Loan"),AND('Month-End'!$EG$14&lt;&gt;"",NOT(_xlfn.ISFORMULA('Month-End'!$EG$14)))),IF(N('Month-End'!$EG$14)&lt;0,1,0),0)+IF(AND(OR(Settings!$B$27="Card",Settings!$B$27="Loan"),AND('Month-End'!$EG$15&lt;&gt;"",NOT(_xlfn.ISFORMULA('Month-End'!$EG$15)))),IF(N('Month-End'!$EG$15)&lt;0,1,0),0)+IF(AND(OR(Settings!$B$28="Card",Settings!$B$28="Loan"),AND('Month-End'!$EG$16&lt;&gt;"",NOT(_xlfn.ISFORMULA('Month-End'!$EG$16)))),IF(N('Month-End'!$EG$16)&lt;0,1,0),0)+IF(AND(OR(Settings!$B$29="Card",Settings!$B$29="Loan"),AND('Month-End'!$EG$17&lt;&gt;"",NOT(_xlfn.ISFORMULA('Month-End'!$EG$17)))),IF(N('Month-End'!$EG$17)&lt;0,1,0),0)+IF(AND(OR(Settings!$B$30="Card",Settings!$B$30="Loan"),AND('Month-End'!$EG$18&lt;&gt;"",NOT(_xlfn.ISFORMULA('Month-End'!$EG$18)))),IF(N('Month-End'!$EG$18)&lt;0,1,0),0)+IF(AND(OR(Settings!$B$31="Card",Settings!$B$31="Loan"),AND('Month-End'!$EG$19&lt;&gt;"",NOT(_xlfn.ISFORMULA('Month-End'!$EG$19)))),IF(N('Month-End'!$EG$19)&lt;0,1,0),0)+IF(AND(OR(Settings!$B$32="Card",Settings!$B$32="Loan"),AND('Month-End'!$EG$20&lt;&gt;"",NOT(_xlfn.ISFORMULA('Month-End'!$EG$20)))),IF(N('Month-End'!$EG$20)&lt;0,1,0),0)</f>
        <v/>
      </c>
      <c r="DX140">
        <f>IF(Settings!$B$36="Retirement",$AY140,0)+IF(Settings!$B$37="Retirement",$AZ140,0)+IF(Settings!$B$38="Retirement",$BA140,0)+IF(Settings!$B$39="Retirement",$BB140,0)+IF(Settings!$B$40="Retirement",$BC140,0)+IF(Settings!$B$41="Retirement",$BD140,0)</f>
        <v/>
      </c>
      <c r="ET140">
        <f>IF($E140&lt;&gt;"open",0,IF(AND('Month-End'!$EG$22&lt;&gt;"",NOT(_xlfn.ISFORMULA('Month-End'!$EG$22))),0,IF(OR(Settings!$C$45="",Settings!$D$45=""),0,Settings!$C$45*IF(Settings!$D$45="Weekly",IF(IFERROR(MATCH(Settings!$E$45,$EO$4:$EO$10,0),0)=0,0,IF(MIN(Settings!$B$5,IF(Settings!$G$45="",Settings!$B$5,Settings!$G$45))&lt;MAX($A140,Settings!$F$45),0,INT((MIN(Settings!$B$5,IF(Settings!$G$45="",Settings!$B$5,Settings!$G$45))-MAX($A140,Settings!$F$45)-MOD(IFERROR(MATCH(Settings!$E$45,$EO$4:$EO$10,0),0)-WEEKDAY(MAX($A140,Settings!$F$45)),7))/7)+1)),IF(AND(IF(Settings!$E$45="",$B140,DATE(YEAR($A140),MONTH($A140),MIN(Settings!$E$45,DAY($B140))))&gt;=MAX($A140,Settings!$F$45),IF(Settings!$E$45="",$B140,DATE(YEAR($A140),MONTH($A140),MIN(Settings!$E$45,DAY($B140))))&lt;=MIN(Settings!$B$5,IF(Settings!$G$45="",Settings!$B$5,Settings!$G$45))),1,0)))))</f>
        <v/>
      </c>
      <c r="EU140">
        <f>IF($E140&lt;&gt;"open",0,IF(AND('Month-End'!$EG$23&lt;&gt;"",NOT(_xlfn.ISFORMULA('Month-End'!$EG$23))),0,IF(OR(Settings!$C$46="",Settings!$D$46=""),0,Settings!$C$46*IF(Settings!$D$46="Weekly",IF(IFERROR(MATCH(Settings!$E$46,$EO$4:$EO$10,0),0)=0,0,IF(MIN(Settings!$B$5,IF(Settings!$G$46="",Settings!$B$5,Settings!$G$46))&lt;MAX($A140,Settings!$F$46),0,INT((MIN(Settings!$B$5,IF(Settings!$G$46="",Settings!$B$5,Settings!$G$46))-MAX($A140,Settings!$F$46)-MOD(IFERROR(MATCH(Settings!$E$46,$EO$4:$EO$10,0),0)-WEEKDAY(MAX($A140,Settings!$F$46)),7))/7)+1)),IF(AND(IF(Settings!$E$46="",$B140,DATE(YEAR($A140),MONTH($A140),MIN(Settings!$E$46,DAY($B140))))&gt;=MAX($A140,Settings!$F$46),IF(Settings!$E$46="",$B140,DATE(YEAR($A140),MONTH($A140),MIN(Settings!$E$46,DAY($B140))))&lt;=MIN(Settings!$B$5,IF(Settings!$G$46="",Settings!$B$5,Settings!$G$46))),1,0)))))</f>
        <v/>
      </c>
      <c r="EV140">
        <f>IF($E140&lt;&gt;"open",0,IF(AND('Month-End'!$EG$24&lt;&gt;"",NOT(_xlfn.ISFORMULA('Month-End'!$EG$24))),0,IF(OR(Settings!$C$47="",Settings!$D$47=""),0,Settings!$C$47*IF(Settings!$D$47="Weekly",IF(IFERROR(MATCH(Settings!$E$47,$EO$4:$EO$10,0),0)=0,0,IF(MIN(Settings!$B$5,IF(Settings!$G$47="",Settings!$B$5,Settings!$G$47))&lt;MAX($A140,Settings!$F$47),0,INT((MIN(Settings!$B$5,IF(Settings!$G$47="",Settings!$B$5,Settings!$G$47))-MAX($A140,Settings!$F$47)-MOD(IFERROR(MATCH(Settings!$E$47,$EO$4:$EO$10,0),0)-WEEKDAY(MAX($A140,Settings!$F$47)),7))/7)+1)),IF(AND(IF(Settings!$E$47="",$B140,DATE(YEAR($A140),MONTH($A140),MIN(Settings!$E$47,DAY($B140))))&gt;=MAX($A140,Settings!$F$47),IF(Settings!$E$47="",$B140,DATE(YEAR($A140),MONTH($A140),MIN(Settings!$E$47,DAY($B140))))&lt;=MIN(Settings!$B$5,IF(Settings!$G$47="",Settings!$B$5,Settings!$G$47))),1,0)))))</f>
        <v/>
      </c>
      <c r="EW140">
        <f>IF($E140&lt;&gt;"open",0,IF(AND('Month-End'!$EG$25&lt;&gt;"",NOT(_xlfn.ISFORMULA('Month-End'!$EG$25))),0,IF(OR(Settings!$C$48="",Settings!$D$48=""),0,Settings!$C$48*IF(Settings!$D$48="Weekly",IF(IFERROR(MATCH(Settings!$E$48,$EO$4:$EO$10,0),0)=0,0,IF(MIN(Settings!$B$5,IF(Settings!$G$48="",Settings!$B$5,Settings!$G$48))&lt;MAX($A140,Settings!$F$48),0,INT((MIN(Settings!$B$5,IF(Settings!$G$48="",Settings!$B$5,Settings!$G$48))-MAX($A140,Settings!$F$48)-MOD(IFERROR(MATCH(Settings!$E$48,$EO$4:$EO$10,0),0)-WEEKDAY(MAX($A140,Settings!$F$48)),7))/7)+1)),IF(AND(IF(Settings!$E$48="",$B140,DATE(YEAR($A140),MONTH($A140),MIN(Settings!$E$48,DAY($B140))))&gt;=MAX($A140,Settings!$F$48),IF(Settings!$E$48="",$B140,DATE(YEAR($A140),MONTH($A140),MIN(Settings!$E$48,DAY($B140))))&lt;=MIN(Settings!$B$5,IF(Settings!$G$48="",Settings!$B$5,Settings!$G$48))),1,0)))))</f>
        <v/>
      </c>
      <c r="EX140">
        <f>IF($E140&lt;&gt;"open",0,IF(AND('Month-End'!$EG$26&lt;&gt;"",NOT(_xlfn.ISFORMULA('Month-End'!$EG$26))),0,IF(OR(Settings!$C$49="",Settings!$D$49=""),0,Settings!$C$49*IF(Settings!$D$49="Weekly",IF(IFERROR(MATCH(Settings!$E$49,$EO$4:$EO$10,0),0)=0,0,IF(MIN(Settings!$B$5,IF(Settings!$G$49="",Settings!$B$5,Settings!$G$49))&lt;MAX($A140,Settings!$F$49),0,INT((MIN(Settings!$B$5,IF(Settings!$G$49="",Settings!$B$5,Settings!$G$49))-MAX($A140,Settings!$F$49)-MOD(IFERROR(MATCH(Settings!$E$49,$EO$4:$EO$10,0),0)-WEEKDAY(MAX($A140,Settings!$F$49)),7))/7)+1)),IF(AND(IF(Settings!$E$49="",$B140,DATE(YEAR($A140),MONTH($A140),MIN(Settings!$E$49,DAY($B140))))&gt;=MAX($A140,Settings!$F$49),IF(Settings!$E$49="",$B140,DATE(YEAR($A140),MONTH($A140),MIN(Settings!$E$49,DAY($B140))))&lt;=MIN(Settings!$B$5,IF(Settings!$G$49="",Settings!$B$5,Settings!$G$49))),1,0)))))</f>
        <v/>
      </c>
      <c r="EY140">
        <f>IF($E140&lt;&gt;"open",0,IF(AND('Month-End'!$EG$27&lt;&gt;"",NOT(_xlfn.ISFORMULA('Month-End'!$EG$27))),0,IF(OR(Settings!$C$50="",Settings!$D$50=""),0,Settings!$C$50*IF(Settings!$D$50="Weekly",IF(IFERROR(MATCH(Settings!$E$50,$EO$4:$EO$10,0),0)=0,0,IF(MIN(Settings!$B$5,IF(Settings!$G$50="",Settings!$B$5,Settings!$G$50))&lt;MAX($A140,Settings!$F$50),0,INT((MIN(Settings!$B$5,IF(Settings!$G$50="",Settings!$B$5,Settings!$G$50))-MAX($A140,Settings!$F$50)-MOD(IFERROR(MATCH(Settings!$E$50,$EO$4:$EO$10,0),0)-WEEKDAY(MAX($A140,Settings!$F$50)),7))/7)+1)),IF(AND(IF(Settings!$E$50="",$B140,DATE(YEAR($A140),MONTH($A140),MIN(Settings!$E$50,DAY($B140))))&gt;=MAX($A140,Settings!$F$50),IF(Settings!$E$50="",$B140,DATE(YEAR($A140),MONTH($A140),MIN(Settings!$E$50,DAY($B140))))&lt;=MIN(Settings!$B$5,IF(Settings!$G$50="",Settings!$B$5,Settings!$G$50))),1,0)))))</f>
        <v/>
      </c>
      <c r="EZ140">
        <f>IF($E140&lt;&gt;"open",0,IF(AND('Month-End'!$EG$28&lt;&gt;"",NOT(_xlfn.ISFORMULA('Month-End'!$EG$28))),0,IF(OR(Settings!$C$51="",Settings!$D$51=""),0,Settings!$C$51*IF(Settings!$D$51="Weekly",IF(IFERROR(MATCH(Settings!$E$51,$EO$4:$EO$10,0),0)=0,0,IF(MIN(Settings!$B$5,IF(Settings!$G$51="",Settings!$B$5,Settings!$G$51))&lt;MAX($A140,Settings!$F$51),0,INT((MIN(Settings!$B$5,IF(Settings!$G$51="",Settings!$B$5,Settings!$G$51))-MAX($A140,Settings!$F$51)-MOD(IFERROR(MATCH(Settings!$E$51,$EO$4:$EO$10,0),0)-WEEKDAY(MAX($A140,Settings!$F$51)),7))/7)+1)),IF(AND(IF(Settings!$E$51="",$B140,DATE(YEAR($A140),MONTH($A140),MIN(Settings!$E$51,DAY($B140))))&gt;=MAX($A140,Settings!$F$51),IF(Settings!$E$51="",$B140,DATE(YEAR($A140),MONTH($A140),MIN(Settings!$E$51,DAY($B140))))&lt;=MIN(Settings!$B$5,IF(Settings!$G$51="",Settings!$B$5,Settings!$G$51))),1,0)))))</f>
        <v/>
      </c>
      <c r="FA140">
        <f>IF($E140&lt;&gt;"open",0,IF(AND('Month-End'!$EG$29&lt;&gt;"",NOT(_xlfn.ISFORMULA('Month-End'!$EG$29))),0,IF(OR(Settings!$C$52="",Settings!$D$52=""),0,Settings!$C$52*IF(Settings!$D$52="Weekly",IF(IFERROR(MATCH(Settings!$E$52,$EO$4:$EO$10,0),0)=0,0,IF(MIN(Settings!$B$5,IF(Settings!$G$52="",Settings!$B$5,Settings!$G$52))&lt;MAX($A140,Settings!$F$52),0,INT((MIN(Settings!$B$5,IF(Settings!$G$52="",Settings!$B$5,Settings!$G$52))-MAX($A140,Settings!$F$52)-MOD(IFERROR(MATCH(Settings!$E$52,$EO$4:$EO$10,0),0)-WEEKDAY(MAX($A140,Settings!$F$52)),7))/7)+1)),IF(AND(IF(Settings!$E$52="",$B140,DATE(YEAR($A140),MONTH($A140),MIN(Settings!$E$52,DAY($B140))))&gt;=MAX($A140,Settings!$F$52),IF(Settings!$E$52="",$B140,DATE(YEAR($A140),MONTH($A140),MIN(Settings!$E$52,DAY($B140))))&lt;=MIN(Settings!$B$5,IF(Settings!$G$52="",Settings!$B$5,Settings!$G$52))),1,0)))))</f>
        <v/>
      </c>
      <c r="FB140">
        <f>IF($E140&lt;&gt;"open",0,IF(AND('Month-End'!$EG$30&lt;&gt;"",NOT(_xlfn.ISFORMULA('Month-End'!$EG$30))),0,IF(OR(Settings!$C$53="",Settings!$D$53=""),0,Settings!$C$53*IF(Settings!$D$53="Weekly",IF(IFERROR(MATCH(Settings!$E$53,$EO$4:$EO$10,0),0)=0,0,IF(MIN(Settings!$B$5,IF(Settings!$G$53="",Settings!$B$5,Settings!$G$53))&lt;MAX($A140,Settings!$F$53),0,INT((MIN(Settings!$B$5,IF(Settings!$G$53="",Settings!$B$5,Settings!$G$53))-MAX($A140,Settings!$F$53)-MOD(IFERROR(MATCH(Settings!$E$53,$EO$4:$EO$10,0),0)-WEEKDAY(MAX($A140,Settings!$F$53)),7))/7)+1)),IF(AND(IF(Settings!$E$53="",$B140,DATE(YEAR($A140),MONTH($A140),MIN(Settings!$E$53,DAY($B140))))&gt;=MAX($A140,Settings!$F$53),IF(Settings!$E$53="",$B140,DATE(YEAR($A140),MONTH($A140),MIN(Settings!$E$53,DAY($B140))))&lt;=MIN(Settings!$B$5,IF(Settings!$G$53="",Settings!$B$5,Settings!$G$53))),1,0)))))</f>
        <v/>
      </c>
      <c r="FC140">
        <f>IF($E140&lt;&gt;"open",0,IF(AND('Month-End'!$EG$31&lt;&gt;"",NOT(_xlfn.ISFORMULA('Month-End'!$EG$31))),0,IF(OR(Settings!$C$54="",Settings!$D$54=""),0,Settings!$C$54*IF(Settings!$D$54="Weekly",IF(IFERROR(MATCH(Settings!$E$54,$EO$4:$EO$10,0),0)=0,0,IF(MIN(Settings!$B$5,IF(Settings!$G$54="",Settings!$B$5,Settings!$G$54))&lt;MAX($A140,Settings!$F$54),0,INT((MIN(Settings!$B$5,IF(Settings!$G$54="",Settings!$B$5,Settings!$G$54))-MAX($A140,Settings!$F$54)-MOD(IFERROR(MATCH(Settings!$E$54,$EO$4:$EO$10,0),0)-WEEKDAY(MAX($A140,Settings!$F$54)),7))/7)+1)),IF(AND(IF(Settings!$E$54="",$B140,DATE(YEAR($A140),MONTH($A140),MIN(Settings!$E$54,DAY($B140))))&gt;=MAX($A140,Settings!$F$54),IF(Settings!$E$54="",$B140,DATE(YEAR($A140),MONTH($A140),MIN(Settings!$E$54,DAY($B140))))&lt;=MIN(Settings!$B$5,IF(Settings!$G$54="",Settings!$B$5,Settings!$G$54))),1,0)))))</f>
        <v/>
      </c>
      <c r="FD140">
        <f>IF($E140&lt;&gt;"open",0,IF(AND('Month-End'!$EG$32&lt;&gt;"",NOT(_xlfn.ISFORMULA('Month-End'!$EG$32))),0,IF(OR(Settings!$C$55="",Settings!$D$55=""),0,Settings!$C$55*IF(Settings!$D$55="Weekly",IF(IFERROR(MATCH(Settings!$E$55,$EO$4:$EO$10,0),0)=0,0,IF(MIN(Settings!$B$5,IF(Settings!$G$55="",Settings!$B$5,Settings!$G$55))&lt;MAX($A140,Settings!$F$55),0,INT((MIN(Settings!$B$5,IF(Settings!$G$55="",Settings!$B$5,Settings!$G$55))-MAX($A140,Settings!$F$55)-MOD(IFERROR(MATCH(Settings!$E$55,$EO$4:$EO$10,0),0)-WEEKDAY(MAX($A140,Settings!$F$55)),7))/7)+1)),IF(AND(IF(Settings!$E$55="",$B140,DATE(YEAR($A140),MONTH($A140),MIN(Settings!$E$55,DAY($B140))))&gt;=MAX($A140,Settings!$F$55),IF(Settings!$E$55="",$B140,DATE(YEAR($A140),MONTH($A140),MIN(Settings!$E$55,DAY($B140))))&lt;=MIN(Settings!$B$5,IF(Settings!$G$55="",Settings!$B$5,Settings!$G$55))),1,0)))))</f>
        <v/>
      </c>
      <c r="FE140">
        <f>IF($E140&lt;&gt;"open",0,IF(AND('Month-End'!$EG$33&lt;&gt;"",NOT(_xlfn.ISFORMULA('Month-End'!$EG$33))),0,IF(OR(Settings!$C$56="",Settings!$D$56=""),0,Settings!$C$56*IF(Settings!$D$56="Weekly",IF(IFERROR(MATCH(Settings!$E$56,$EO$4:$EO$10,0),0)=0,0,IF(MIN(Settings!$B$5,IF(Settings!$G$56="",Settings!$B$5,Settings!$G$56))&lt;MAX($A140,Settings!$F$56),0,INT((MIN(Settings!$B$5,IF(Settings!$G$56="",Settings!$B$5,Settings!$G$56))-MAX($A140,Settings!$F$56)-MOD(IFERROR(MATCH(Settings!$E$56,$EO$4:$EO$10,0),0)-WEEKDAY(MAX($A140,Settings!$F$56)),7))/7)+1)),IF(AND(IF(Settings!$E$56="",$B140,DATE(YEAR($A140),MONTH($A140),MIN(Settings!$E$56,DAY($B140))))&gt;=MAX($A140,Settings!$F$56),IF(Settings!$E$56="",$B140,DATE(YEAR($A140),MONTH($A140),MIN(Settings!$E$56,DAY($B140))))&lt;=MIN(Settings!$B$5,IF(Settings!$G$56="",Settings!$B$5,Settings!$G$56))),1,0)))))</f>
        <v/>
      </c>
      <c r="FF140">
        <f>IF(Settings!$I$45="Yes",$G140,0)+IF(Settings!$I$46="Yes",$H140,0)+IF(Settings!$I$47="Yes",$I140,0)+IF(Settings!$I$48="Yes",$J140,0)+IF(Settings!$I$49="Yes",$K140,0)+IF(Settings!$I$50="Yes",$L140,0)+IF(Settings!$I$51="Yes",$M140,0)+IF(Settings!$I$52="Yes",$N140,0)+IF(Settings!$I$53="Yes",$O140,0)+IF(Settings!$I$54="Yes",$P140,0)+IF(Settings!$I$55="Yes",$Q140,0)+IF(Settings!$I$56="Yes",$R140,0)</f>
        <v/>
      </c>
      <c r="FG140">
        <f>IF(AND(Settings!$I$45="Yes",Settings!$J$45="No"),$G140,0)+IF(AND(Settings!$I$46="Yes",Settings!$J$46="No"),$H140,0)+IF(AND(Settings!$I$47="Yes",Settings!$J$47="No"),$I140,0)+IF(AND(Settings!$I$48="Yes",Settings!$J$48="No"),$J140,0)+IF(AND(Settings!$I$49="Yes",Settings!$J$49="No"),$K140,0)+IF(AND(Settings!$I$50="Yes",Settings!$J$50="No"),$L140,0)+IF(AND(Settings!$I$51="Yes",Settings!$J$51="No"),$M140,0)+IF(AND(Settings!$I$52="Yes",Settings!$J$52="No"),$N140,0)+IF(AND(Settings!$I$53="Yes",Settings!$J$53="No"),$O140,0)+IF(AND(Settings!$I$54="Yes",Settings!$J$54="No"),$P140,0)+IF(AND(Settings!$I$55="Yes",Settings!$J$55="No"),$Q140,0)+IF(AND(Settings!$I$56="Yes",Settings!$J$56="No"),$R140,0)</f>
        <v/>
      </c>
      <c r="FH140">
        <f>SUMIFS(Giving!$B$7:$B$2006,Giving!$A$7:$A$2006,"&gt;="&amp;$A140,Giving!$A$7:$A$2006,"&lt;="&amp;$B140,Giving!$G$7:$G$2006,"Yes")+IF(OR(OR(Settings!$B$60="",Settings!$F$60="No"),Settings!$H$60&lt;&gt;"Yes"),0,Settings!$B$60*IF(AND(IF(Settings!$C$60="",$B140,DATE(YEAR($A140),MONTH($A140),MIN(Settings!$C$60,DAY($B140))))&gt;=MAX($A140,Settings!$D$60),IF(Settings!$C$60="",$B140,DATE(YEAR($A140),MONTH($A140),MIN(Settings!$C$60,DAY($B140))))&lt;=MIN($C140,IF(Settings!$E$60="",$C140,Settings!$E$60))),1,0))+IF(OR(OR(Settings!$B$61="",Settings!$F$61="No"),Settings!$H$61&lt;&gt;"Yes"),0,Settings!$B$61*IF(AND(IF(Settings!$C$61="",$B140,DATE(YEAR($A140),MONTH($A140),MIN(Settings!$C$61,DAY($B140))))&gt;=MAX($A140,Settings!$D$61),IF(Settings!$C$61="",$B140,DATE(YEAR($A140),MONTH($A140),MIN(Settings!$C$61,DAY($B140))))&lt;=MIN($C140,IF(Settings!$E$61="",$C140,Settings!$E$61))),1,0))+IF(OR(OR(Settings!$B$62="",Settings!$F$62="No"),Settings!$H$62&lt;&gt;"Yes"),0,Settings!$B$62*IF(AND(IF(Settings!$C$62="",$B140,DATE(YEAR($A140),MONTH($A140),MIN(Settings!$C$62,DAY($B140))))&gt;=MAX($A140,Settings!$D$62),IF(Settings!$C$62="",$B140,DATE(YEAR($A140),MONTH($A140),MIN(Settings!$C$62,DAY($B140))))&lt;=MIN($C140,IF(Settings!$E$62="",$C140,Settings!$E$62))),1,0))+IF(OR(OR(Settings!$B$63="",Settings!$F$63="No"),Settings!$H$63&lt;&gt;"Yes"),0,Settings!$B$63*IF(AND(IF(Settings!$C$63="",$B140,DATE(YEAR($A140),MONTH($A140),MIN(Settings!$C$63,DAY($B140))))&gt;=MAX($A140,Settings!$D$63),IF(Settings!$C$63="",$B140,DATE(YEAR($A140),MONTH($A140),MIN(Settings!$C$63,DAY($B140))))&lt;=MIN($C140,IF(Settings!$E$63="",$C140,Settings!$E$63))),1,0))+IF(OR(OR(Settings!$B$64="",Settings!$F$64="No"),Settings!$H$64&lt;&gt;"Yes"),0,Settings!$B$64*IF(AND(IF(Settings!$C$64="",$B140,DATE(YEAR($A140),MONTH($A140),MIN(Settings!$C$64,DAY($B140))))&gt;=MAX($A140,Settings!$D$64),IF(Settings!$C$64="",$B140,DATE(YEAR($A140),MONTH($A140),MIN(Settings!$C$64,DAY($B140))))&lt;=MIN($C140,IF(Settings!$E$64="",$C140,Settings!$E$64))),1,0))+IF(OR(OR(Settings!$B$65="",Settings!$F$65="No"),Settings!$H$65&lt;&gt;"Yes"),0,Settings!$B$65*IF(AND(IF(Settings!$C$65="",$B140,DATE(YEAR($A140),MONTH($A140),MIN(Settings!$C$65,DAY($B140))))&gt;=MAX($A140,Settings!$D$65),IF(Settings!$C$65="",$B140,DATE(YEAR($A140),MONTH($A140),MIN(Settings!$C$65,DAY($B140))))&lt;=MIN($C140,IF(Settings!$E$65="",$C140,Settings!$E$65))),1,0))</f>
        <v/>
      </c>
      <c r="FI140">
        <f>IF($DT140=1,IF(OR(Settings!$B$19="Card",Settings!$B$19="Loan"),N($AE140),0)+IF(OR(Settings!$B$20="Card",Settings!$B$20="Loan"),N($AF140),0)+IF(OR(Settings!$B$21="Card",Settings!$B$21="Loan"),N($AG140),0)+IF(OR(Settings!$B$22="Card",Settings!$B$22="Loan"),N($AH140),0)+IF(OR(Settings!$B$23="Card",Settings!$B$23="Loan"),N($AI140),0)+IF(OR(Settings!$B$24="Card",Settings!$B$24="Loan"),N($AJ140),0)+IF(OR(Settings!$B$25="Card",Settings!$B$25="Loan"),N($AK140),0)+IF(OR(Settings!$B$26="Card",Settings!$B$26="Loan"),N($AL140),0)+IF(OR(Settings!$B$27="Card",Settings!$B$27="Loan"),N($AM140),0)+IF(OR(Settings!$B$28="Card",Settings!$B$28="Loan"),N($AN140),0)+IF(OR(Settings!$B$29="Card",Settings!$B$29="Loan"),N($AO140),0)+IF(OR(Settings!$B$30="Card",Settings!$B$30="Loan"),N($AP140),0)+IF(OR(Settings!$B$31="Card",Settings!$B$31="Loan"),N($AQ140),0)+IF(OR(Settings!$B$32="Card",Settings!$B$32="Loan"),N($AR140),0),"")</f>
        <v/>
      </c>
      <c r="FJ140">
        <f>IF($E140="open",$EB$65,IF($E140="post",IF($E139="pre",$EB$65,$FI139),""))</f>
        <v/>
      </c>
      <c r="FK140">
        <f>IF(AND($DT140=1,$DC140=1),IF(ROUND($FI140-$FJ140,2)&gt;0,1,0),0)</f>
        <v/>
      </c>
      <c r="FL140">
        <f>IF($FK140=1,$FL139+1,0)</f>
        <v/>
      </c>
    </row>
    <row r="141">
      <c r="A141">
        <f>'Month-End'!$EH$4</f>
        <v/>
      </c>
      <c r="B141">
        <f>EOMONTH($A141,0)</f>
        <v/>
      </c>
      <c r="C141">
        <f>MIN($B141,TODAY())</f>
        <v/>
      </c>
      <c r="D141">
        <f>IF($A141&gt;TODAY(),1,0)</f>
        <v/>
      </c>
      <c r="E141">
        <f>IF($B141&lt;=Settings!$B$5,"pre",IF($A141&lt;=Settings!$B$5,"open","post"))</f>
        <v/>
      </c>
      <c r="G141">
        <f>IF('Month-End'!$EH$22="",$BE141,N('Month-End'!$EH$22))</f>
        <v/>
      </c>
      <c r="H141">
        <f>IF('Month-End'!$EH$23="",$BF141,N('Month-End'!$EH$23))</f>
        <v/>
      </c>
      <c r="I141">
        <f>IF('Month-End'!$EH$24="",$BG141,N('Month-End'!$EH$24))</f>
        <v/>
      </c>
      <c r="J141">
        <f>IF('Month-End'!$EH$25="",$BH141,N('Month-End'!$EH$25))</f>
        <v/>
      </c>
      <c r="K141">
        <f>IF('Month-End'!$EH$26="",$BI141,N('Month-End'!$EH$26))</f>
        <v/>
      </c>
      <c r="L141">
        <f>IF('Month-End'!$EH$27="",$BJ141,N('Month-End'!$EH$27))</f>
        <v/>
      </c>
      <c r="M141">
        <f>IF('Month-End'!$EH$28="",$BK141,N('Month-End'!$EH$28))</f>
        <v/>
      </c>
      <c r="N141">
        <f>IF('Month-End'!$EH$29="",$BL141,N('Month-End'!$EH$29))</f>
        <v/>
      </c>
      <c r="O141">
        <f>IF('Month-End'!$EH$30="",$BM141,N('Month-End'!$EH$30))</f>
        <v/>
      </c>
      <c r="P141">
        <f>IF('Month-End'!$EH$31="",$BN141,N('Month-End'!$EH$31))</f>
        <v/>
      </c>
      <c r="Q141">
        <f>IF('Month-End'!$EH$32="",$BO141,N('Month-End'!$EH$32))</f>
        <v/>
      </c>
      <c r="R141">
        <f>IF('Month-End'!$EH$33="",$BP141,N('Month-End'!$EH$33))</f>
        <v/>
      </c>
      <c r="S141">
        <f>$G141+$H141+$I141+$J141+$K141+$L141+$M141+$N141+$O141+$P141+$Q141+$R141</f>
        <v/>
      </c>
      <c r="T141">
        <f>IF($B141&lt;Settings!$B$6,0,IF(Settings!$B$45="Yes",$G141,0)+IF(Settings!$B$46="Yes",$H141,0)+IF(Settings!$B$47="Yes",$I141,0)+IF(Settings!$B$48="Yes",$J141,0)+IF(Settings!$B$49="Yes",$K141,0)+IF(Settings!$B$50="Yes",$L141,0)+IF(Settings!$B$51="Yes",$M141,0)+IF(Settings!$B$52="Yes",$N141,0)+IF(Settings!$B$53="Yes",$O141,0)+IF(Settings!$B$54="Yes",$P141,0)+IF(Settings!$B$55="Yes",$Q141,0)+IF(Settings!$B$56="Yes",$R141,0))</f>
        <v/>
      </c>
      <c r="U141">
        <f>IF(Settings!$B$45="Not Sure",$G141,0)+IF(Settings!$B$46="Not Sure",$H141,0)+IF(Settings!$B$47="Not Sure",$I141,0)+IF(Settings!$B$48="Not Sure",$J141,0)+IF(Settings!$B$49="Not Sure",$K141,0)+IF(Settings!$B$50="Not Sure",$L141,0)+IF(Settings!$B$51="Not Sure",$M141,0)+IF(Settings!$B$52="Not Sure",$N141,0)+IF(Settings!$B$53="Not Sure",$O141,0)+IF(Settings!$B$54="Not Sure",$P141,0)+IF(Settings!$B$55="Not Sure",$Q141,0)+IF(Settings!$B$56="Not Sure",$R141,0)</f>
        <v/>
      </c>
      <c r="V141">
        <f>IF($E141="open",SUM($ET141:$FE141)+N(Settings!$B$13),0)</f>
        <v/>
      </c>
      <c r="W141">
        <f>IF($E141="post",$S141,IF($E141="open",$S141-$V141,0))</f>
        <v/>
      </c>
      <c r="X141">
        <f>SUMIFS(Giving!$B$7:$B$2006,Giving!$A$7:$A$2006,"&gt;="&amp;$A141,Giving!$A$7:$A$2006,"&lt;="&amp;$B141,Giving!$E$7:$E$2006,"&lt;&gt;No")</f>
        <v/>
      </c>
      <c r="Y141">
        <f>SUMIFS(Giving!$B$7:$B$2006,Giving!$A$7:$A$2006,"&gt;="&amp;$A141,Giving!$A$7:$A$2006,"&lt;="&amp;$B141,Giving!$E$7:$E$2006,"No")</f>
        <v/>
      </c>
      <c r="Z141">
        <f>IF(OR(Settings!$B$60="",Settings!$F$60="No"),0,Settings!$B$60*IF(AND(IF(Settings!$C$60="",$B141,DATE(YEAR($A141),MONTH($A141),MIN(Settings!$C$60,DAY($B141))))&gt;=MAX($A141,Settings!$D$60),IF(Settings!$C$60="",$B141,DATE(YEAR($A141),MONTH($A141),MIN(Settings!$C$60,DAY($B141))))&lt;=MIN($C141,IF(Settings!$E$60="",$C141,Settings!$E$60))),1,0))+IF(OR(Settings!$B$61="",Settings!$F$61="No"),0,Settings!$B$61*IF(AND(IF(Settings!$C$61="",$B141,DATE(YEAR($A141),MONTH($A141),MIN(Settings!$C$61,DAY($B141))))&gt;=MAX($A141,Settings!$D$61),IF(Settings!$C$61="",$B141,DATE(YEAR($A141),MONTH($A141),MIN(Settings!$C$61,DAY($B141))))&lt;=MIN($C141,IF(Settings!$E$61="",$C141,Settings!$E$61))),1,0))+IF(OR(Settings!$B$62="",Settings!$F$62="No"),0,Settings!$B$62*IF(AND(IF(Settings!$C$62="",$B141,DATE(YEAR($A141),MONTH($A141),MIN(Settings!$C$62,DAY($B141))))&gt;=MAX($A141,Settings!$D$62),IF(Settings!$C$62="",$B141,DATE(YEAR($A141),MONTH($A141),MIN(Settings!$C$62,DAY($B141))))&lt;=MIN($C141,IF(Settings!$E$62="",$C141,Settings!$E$62))),1,0))+IF(OR(Settings!$B$63="",Settings!$F$63="No"),0,Settings!$B$63*IF(AND(IF(Settings!$C$63="",$B141,DATE(YEAR($A141),MONTH($A141),MIN(Settings!$C$63,DAY($B141))))&gt;=MAX($A141,Settings!$D$63),IF(Settings!$C$63="",$B141,DATE(YEAR($A141),MONTH($A141),MIN(Settings!$C$63,DAY($B141))))&lt;=MIN($C141,IF(Settings!$E$63="",$C141,Settings!$E$63))),1,0))+IF(OR(Settings!$B$64="",Settings!$F$64="No"),0,Settings!$B$64*IF(AND(IF(Settings!$C$64="",$B141,DATE(YEAR($A141),MONTH($A141),MIN(Settings!$C$64,DAY($B141))))&gt;=MAX($A141,Settings!$D$64),IF(Settings!$C$64="",$B141,DATE(YEAR($A141),MONTH($A141),MIN(Settings!$C$64,DAY($B141))))&lt;=MIN($C141,IF(Settings!$E$64="",$C141,Settings!$E$64))),1,0))+IF(OR(Settings!$B$65="",Settings!$F$65="No"),0,Settings!$B$65*IF(AND(IF(Settings!$C$65="",$B141,DATE(YEAR($A141),MONTH($A141),MIN(Settings!$C$65,DAY($B141))))&gt;=MAX($A141,Settings!$D$65),IF(Settings!$C$65="",$B141,DATE(YEAR($A141),MONTH($A141),MIN(Settings!$C$65,DAY($B141))))&lt;=MIN($C141,IF(Settings!$E$65="",$C141,Settings!$E$65))),1,0))</f>
        <v/>
      </c>
      <c r="AA141">
        <f>$X141+$Z141</f>
        <v/>
      </c>
      <c r="AB141">
        <f>IF($E141="post",$AA141,IF($E141="open",SUMIFS(Giving!$B$7:$B$2006,Giving!$A$7:$A$2006,"&gt;"&amp;Settings!$B$5,Giving!$A$7:$A$2006,"&lt;="&amp;$B141,Giving!$E$7:$E$2006,"&lt;&gt;No")+IF(OR(Settings!$B$60="",Settings!$F$60="No"),0,Settings!$B$60*IF(AND(IF(Settings!$C$60="",$B141,DATE(YEAR($A141),MONTH($A141),MIN(Settings!$C$60,DAY($B141))))&gt;=MAX($A141,Settings!$D$60,Settings!$B$5+1),IF(Settings!$C$60="",$B141,DATE(YEAR($A141),MONTH($A141),MIN(Settings!$C$60,DAY($B141))))&lt;=MIN($C141,IF(Settings!$E$60="",$C141,Settings!$E$60))),1,0))+IF(OR(Settings!$B$61="",Settings!$F$61="No"),0,Settings!$B$61*IF(AND(IF(Settings!$C$61="",$B141,DATE(YEAR($A141),MONTH($A141),MIN(Settings!$C$61,DAY($B141))))&gt;=MAX($A141,Settings!$D$61,Settings!$B$5+1),IF(Settings!$C$61="",$B141,DATE(YEAR($A141),MONTH($A141),MIN(Settings!$C$61,DAY($B141))))&lt;=MIN($C141,IF(Settings!$E$61="",$C141,Settings!$E$61))),1,0))+IF(OR(Settings!$B$62="",Settings!$F$62="No"),0,Settings!$B$62*IF(AND(IF(Settings!$C$62="",$B141,DATE(YEAR($A141),MONTH($A141),MIN(Settings!$C$62,DAY($B141))))&gt;=MAX($A141,Settings!$D$62,Settings!$B$5+1),IF(Settings!$C$62="",$B141,DATE(YEAR($A141),MONTH($A141),MIN(Settings!$C$62,DAY($B141))))&lt;=MIN($C141,IF(Settings!$E$62="",$C141,Settings!$E$62))),1,0))+IF(OR(Settings!$B$63="",Settings!$F$63="No"),0,Settings!$B$63*IF(AND(IF(Settings!$C$63="",$B141,DATE(YEAR($A141),MONTH($A141),MIN(Settings!$C$63,DAY($B141))))&gt;=MAX($A141,Settings!$D$63,Settings!$B$5+1),IF(Settings!$C$63="",$B141,DATE(YEAR($A141),MONTH($A141),MIN(Settings!$C$63,DAY($B141))))&lt;=MIN($C141,IF(Settings!$E$63="",$C141,Settings!$E$63))),1,0))+IF(OR(Settings!$B$64="",Settings!$F$64="No"),0,Settings!$B$64*IF(AND(IF(Settings!$C$64="",$B141,DATE(YEAR($A141),MONTH($A141),MIN(Settings!$C$64,DAY($B141))))&gt;=MAX($A141,Settings!$D$64,Settings!$B$5+1),IF(Settings!$C$64="",$B141,DATE(YEAR($A141),MONTH($A141),MIN(Settings!$C$64,DAY($B141))))&lt;=MIN($C141,IF(Settings!$E$64="",$C141,Settings!$E$64))),1,0))+IF(OR(Settings!$B$65="",Settings!$F$65="No"),0,Settings!$B$65*IF(AND(IF(Settings!$C$65="",$B141,DATE(YEAR($A141),MONTH($A141),MIN(Settings!$C$65,DAY($B141))))&gt;=MAX($A141,Settings!$D$65,Settings!$B$5+1),IF(Settings!$C$65="",$B141,DATE(YEAR($A141),MONTH($A141),MIN(Settings!$C$65,DAY($B141))))&lt;=MIN($C141,IF(Settings!$E$65="",$C141,Settings!$E$65))),1,0)),0))</f>
        <v/>
      </c>
      <c r="AC141">
        <f>$AY141+$AZ141+$BA141+$BB141+$BC141+$BD141</f>
        <v/>
      </c>
      <c r="AD141">
        <f>$AC141</f>
        <v/>
      </c>
      <c r="AE141">
        <f>IF(OR(Settings!$A$19="",$E141="pre"),"",IF(AND('Month-End'!$EH$7&lt;&gt;"",NOT(_xlfn.ISFORMULA('Month-End'!$EH$7))),N('Month-End'!$EH$7),IF(OR($E141="open",$E140="pre"),N(Settings!$C$19),N($AE140))))</f>
        <v/>
      </c>
      <c r="AF141">
        <f>IF(OR(Settings!$A$20="",$E141="pre"),"",IF(AND('Month-End'!$EH$8&lt;&gt;"",NOT(_xlfn.ISFORMULA('Month-End'!$EH$8))),N('Month-End'!$EH$8),IF(OR($E141="open",$E140="pre"),N(Settings!$C$20),N($AF140))))</f>
        <v/>
      </c>
      <c r="AG141">
        <f>IF(OR(Settings!$A$21="",$E141="pre"),"",IF(AND('Month-End'!$EH$9&lt;&gt;"",NOT(_xlfn.ISFORMULA('Month-End'!$EH$9))),N('Month-End'!$EH$9),IF(OR($E141="open",$E140="pre"),N(Settings!$C$21),N($AG140))))</f>
        <v/>
      </c>
      <c r="AH141">
        <f>IF(OR(Settings!$A$22="",$E141="pre"),"",IF(AND('Month-End'!$EH$10&lt;&gt;"",NOT(_xlfn.ISFORMULA('Month-End'!$EH$10))),N('Month-End'!$EH$10),IF(OR($E141="open",$E140="pre"),N(Settings!$C$22),N($AH140))))</f>
        <v/>
      </c>
      <c r="AI141">
        <f>IF(OR(Settings!$A$23="",$E141="pre"),"",IF(AND('Month-End'!$EH$11&lt;&gt;"",NOT(_xlfn.ISFORMULA('Month-End'!$EH$11))),N('Month-End'!$EH$11),IF(OR($E141="open",$E140="pre"),N(Settings!$C$23),N($AI140))))</f>
        <v/>
      </c>
      <c r="AJ141">
        <f>IF(OR(Settings!$A$24="",$E141="pre"),"",IF(AND('Month-End'!$EH$12&lt;&gt;"",NOT(_xlfn.ISFORMULA('Month-End'!$EH$12))),N('Month-End'!$EH$12),IF(OR($E141="open",$E140="pre"),N(Settings!$C$24),N($AJ140))))</f>
        <v/>
      </c>
      <c r="AK141">
        <f>IF(OR(Settings!$A$25="",$E141="pre"),"",IF(AND('Month-End'!$EH$13&lt;&gt;"",NOT(_xlfn.ISFORMULA('Month-End'!$EH$13))),N('Month-End'!$EH$13),IF(OR($E141="open",$E140="pre"),N(Settings!$C$25),N($AK140))))</f>
        <v/>
      </c>
      <c r="AL141">
        <f>IF(OR(Settings!$A$26="",$E141="pre"),"",IF(AND('Month-End'!$EH$14&lt;&gt;"",NOT(_xlfn.ISFORMULA('Month-End'!$EH$14))),N('Month-End'!$EH$14),IF(OR($E141="open",$E140="pre"),N(Settings!$C$26),N($AL140))))</f>
        <v/>
      </c>
      <c r="AM141">
        <f>IF(OR(Settings!$A$27="",$E141="pre"),"",IF(AND('Month-End'!$EH$15&lt;&gt;"",NOT(_xlfn.ISFORMULA('Month-End'!$EH$15))),N('Month-End'!$EH$15),IF(OR($E141="open",$E140="pre"),N(Settings!$C$27),N($AM140))))</f>
        <v/>
      </c>
      <c r="AN141">
        <f>IF(OR(Settings!$A$28="",$E141="pre"),"",IF(AND('Month-End'!$EH$16&lt;&gt;"",NOT(_xlfn.ISFORMULA('Month-End'!$EH$16))),N('Month-End'!$EH$16),IF(OR($E141="open",$E140="pre"),N(Settings!$C$28),N($AN140))))</f>
        <v/>
      </c>
      <c r="AO141">
        <f>IF(OR(Settings!$A$29="",$E141="pre"),"",IF(AND('Month-End'!$EH$17&lt;&gt;"",NOT(_xlfn.ISFORMULA('Month-End'!$EH$17))),N('Month-End'!$EH$17),IF(OR($E141="open",$E140="pre"),N(Settings!$C$29),N($AO140))))</f>
        <v/>
      </c>
      <c r="AP141">
        <f>IF(OR(Settings!$A$30="",$E141="pre"),"",IF(AND('Month-End'!$EH$18&lt;&gt;"",NOT(_xlfn.ISFORMULA('Month-End'!$EH$18))),N('Month-End'!$EH$18),IF(OR($E141="open",$E140="pre"),N(Settings!$C$30),N($AP140))))</f>
        <v/>
      </c>
      <c r="AQ141">
        <f>IF(OR(Settings!$A$31="",$E141="pre"),"",IF(AND('Month-End'!$EH$19&lt;&gt;"",NOT(_xlfn.ISFORMULA('Month-End'!$EH$19))),N('Month-End'!$EH$19),IF(OR($E141="open",$E140="pre"),N(Settings!$C$31),N($AQ140))))</f>
        <v/>
      </c>
      <c r="AR141">
        <f>IF(OR(Settings!$A$32="",$E141="pre"),"",IF(AND('Month-End'!$EH$20&lt;&gt;"",NOT(_xlfn.ISFORMULA('Month-End'!$EH$20))),N('Month-End'!$EH$20),IF(OR($E141="open",$E140="pre"),N(Settings!$C$32),N($AR140))))</f>
        <v/>
      </c>
      <c r="AS141">
        <f>IF(OR(Settings!$A$36="",$E141="pre"),"",IF(AND('Month-End'!$EH$38&lt;&gt;"",NOT(_xlfn.ISFORMULA('Month-End'!$EH$38))),N('Month-End'!$EH$38),IF(OR($E141="open",$E140="pre"),N(Settings!$C$36),N($AS140))+$AY141))</f>
        <v/>
      </c>
      <c r="AT141">
        <f>IF(OR(Settings!$A$37="",$E141="pre"),"",IF(AND('Month-End'!$EH$39&lt;&gt;"",NOT(_xlfn.ISFORMULA('Month-End'!$EH$39))),N('Month-End'!$EH$39),IF(OR($E141="open",$E140="pre"),N(Settings!$C$37),N($AT140))+$AZ141))</f>
        <v/>
      </c>
      <c r="AU141">
        <f>IF(OR(Settings!$A$38="",$E141="pre"),"",IF(AND('Month-End'!$EH$40&lt;&gt;"",NOT(_xlfn.ISFORMULA('Month-End'!$EH$40))),N('Month-End'!$EH$40),IF(OR($E141="open",$E140="pre"),N(Settings!$C$38),N($AU140))+$BA141))</f>
        <v/>
      </c>
      <c r="AV141">
        <f>IF(OR(Settings!$A$39="",$E141="pre"),"",IF(AND('Month-End'!$EH$41&lt;&gt;"",NOT(_xlfn.ISFORMULA('Month-End'!$EH$41))),N('Month-End'!$EH$41),IF(OR($E141="open",$E140="pre"),N(Settings!$C$39),N($AV140))+$BB141))</f>
        <v/>
      </c>
      <c r="AW141">
        <f>IF(OR(Settings!$A$40="",$E141="pre"),"",IF(AND('Month-End'!$EH$42&lt;&gt;"",NOT(_xlfn.ISFORMULA('Month-End'!$EH$42))),N('Month-End'!$EH$42),IF(OR($E141="open",$E140="pre"),N(Settings!$C$40),N($AW140))+$BC141))</f>
        <v/>
      </c>
      <c r="AX141">
        <f>IF(OR(Settings!$A$41="",$E141="pre"),"",IF(AND('Month-End'!$EH$43&lt;&gt;"",NOT(_xlfn.ISFORMULA('Month-End'!$EH$43))),N('Month-End'!$EH$43),IF(OR($E141="open",$E140="pre"),N(Settings!$C$41),N($AX140))+$BD141))</f>
        <v/>
      </c>
      <c r="AY141">
        <f>IF($E141="pre",0,N('Month-End'!$EH$45))</f>
        <v/>
      </c>
      <c r="AZ141">
        <f>IF($E141="pre",0,N('Month-End'!$EH$46))</f>
        <v/>
      </c>
      <c r="BA141">
        <f>IF($E141="pre",0,N('Month-End'!$EH$47))</f>
        <v/>
      </c>
      <c r="BB141">
        <f>IF($E141="pre",0,N('Month-End'!$EH$48))</f>
        <v/>
      </c>
      <c r="BC141">
        <f>IF($E141="pre",0,N('Month-End'!$EH$49))</f>
        <v/>
      </c>
      <c r="BD141">
        <f>IF($E141="pre",0,N('Month-End'!$EH$50))</f>
        <v/>
      </c>
      <c r="BE141">
        <f>IF(OR(Settings!$C$45="",Settings!$D$45=""),0,Settings!$C$45*IF(Settings!$D$45="Weekly",IF(IFERROR(MATCH(Settings!$E$45,$EO$4:$EO$10,0),0)=0,0,IF(MIN($C141,IF(Settings!$G$45="",$C141,Settings!$G$45))&lt;MAX($A141,Settings!$F$45),0,INT((MIN($C141,IF(Settings!$G$45="",$C141,Settings!$G$45))-MAX($A141,Settings!$F$45)-MOD(IFERROR(MATCH(Settings!$E$45,$EO$4:$EO$10,0),0)-WEEKDAY(MAX($A141,Settings!$F$45)),7))/7)+1)),IF(AND(IF(Settings!$E$45="",$B141,DATE(YEAR($A141),MONTH($A141),MIN(Settings!$E$45,DAY($B141))))&gt;=MAX($A141,Settings!$F$45),IF(Settings!$E$45="",$B141,DATE(YEAR($A141),MONTH($A141),MIN(Settings!$E$45,DAY($B141))))&lt;=MIN($C141,IF(Settings!$G$45="",$C141,Settings!$G$45))),1,0)))</f>
        <v/>
      </c>
      <c r="BF141">
        <f>IF(OR(Settings!$C$46="",Settings!$D$46=""),0,Settings!$C$46*IF(Settings!$D$46="Weekly",IF(IFERROR(MATCH(Settings!$E$46,$EO$4:$EO$10,0),0)=0,0,IF(MIN($C141,IF(Settings!$G$46="",$C141,Settings!$G$46))&lt;MAX($A141,Settings!$F$46),0,INT((MIN($C141,IF(Settings!$G$46="",$C141,Settings!$G$46))-MAX($A141,Settings!$F$46)-MOD(IFERROR(MATCH(Settings!$E$46,$EO$4:$EO$10,0),0)-WEEKDAY(MAX($A141,Settings!$F$46)),7))/7)+1)),IF(AND(IF(Settings!$E$46="",$B141,DATE(YEAR($A141),MONTH($A141),MIN(Settings!$E$46,DAY($B141))))&gt;=MAX($A141,Settings!$F$46),IF(Settings!$E$46="",$B141,DATE(YEAR($A141),MONTH($A141),MIN(Settings!$E$46,DAY($B141))))&lt;=MIN($C141,IF(Settings!$G$46="",$C141,Settings!$G$46))),1,0)))</f>
        <v/>
      </c>
      <c r="BG141">
        <f>IF(OR(Settings!$C$47="",Settings!$D$47=""),0,Settings!$C$47*IF(Settings!$D$47="Weekly",IF(IFERROR(MATCH(Settings!$E$47,$EO$4:$EO$10,0),0)=0,0,IF(MIN($C141,IF(Settings!$G$47="",$C141,Settings!$G$47))&lt;MAX($A141,Settings!$F$47),0,INT((MIN($C141,IF(Settings!$G$47="",$C141,Settings!$G$47))-MAX($A141,Settings!$F$47)-MOD(IFERROR(MATCH(Settings!$E$47,$EO$4:$EO$10,0),0)-WEEKDAY(MAX($A141,Settings!$F$47)),7))/7)+1)),IF(AND(IF(Settings!$E$47="",$B141,DATE(YEAR($A141),MONTH($A141),MIN(Settings!$E$47,DAY($B141))))&gt;=MAX($A141,Settings!$F$47),IF(Settings!$E$47="",$B141,DATE(YEAR($A141),MONTH($A141),MIN(Settings!$E$47,DAY($B141))))&lt;=MIN($C141,IF(Settings!$G$47="",$C141,Settings!$G$47))),1,0)))</f>
        <v/>
      </c>
      <c r="BH141">
        <f>IF(OR(Settings!$C$48="",Settings!$D$48=""),0,Settings!$C$48*IF(Settings!$D$48="Weekly",IF(IFERROR(MATCH(Settings!$E$48,$EO$4:$EO$10,0),0)=0,0,IF(MIN($C141,IF(Settings!$G$48="",$C141,Settings!$G$48))&lt;MAX($A141,Settings!$F$48),0,INT((MIN($C141,IF(Settings!$G$48="",$C141,Settings!$G$48))-MAX($A141,Settings!$F$48)-MOD(IFERROR(MATCH(Settings!$E$48,$EO$4:$EO$10,0),0)-WEEKDAY(MAX($A141,Settings!$F$48)),7))/7)+1)),IF(AND(IF(Settings!$E$48="",$B141,DATE(YEAR($A141),MONTH($A141),MIN(Settings!$E$48,DAY($B141))))&gt;=MAX($A141,Settings!$F$48),IF(Settings!$E$48="",$B141,DATE(YEAR($A141),MONTH($A141),MIN(Settings!$E$48,DAY($B141))))&lt;=MIN($C141,IF(Settings!$G$48="",$C141,Settings!$G$48))),1,0)))</f>
        <v/>
      </c>
      <c r="BI141">
        <f>IF(OR(Settings!$C$49="",Settings!$D$49=""),0,Settings!$C$49*IF(Settings!$D$49="Weekly",IF(IFERROR(MATCH(Settings!$E$49,$EO$4:$EO$10,0),0)=0,0,IF(MIN($C141,IF(Settings!$G$49="",$C141,Settings!$G$49))&lt;MAX($A141,Settings!$F$49),0,INT((MIN($C141,IF(Settings!$G$49="",$C141,Settings!$G$49))-MAX($A141,Settings!$F$49)-MOD(IFERROR(MATCH(Settings!$E$49,$EO$4:$EO$10,0),0)-WEEKDAY(MAX($A141,Settings!$F$49)),7))/7)+1)),IF(AND(IF(Settings!$E$49="",$B141,DATE(YEAR($A141),MONTH($A141),MIN(Settings!$E$49,DAY($B141))))&gt;=MAX($A141,Settings!$F$49),IF(Settings!$E$49="",$B141,DATE(YEAR($A141),MONTH($A141),MIN(Settings!$E$49,DAY($B141))))&lt;=MIN($C141,IF(Settings!$G$49="",$C141,Settings!$G$49))),1,0)))</f>
        <v/>
      </c>
      <c r="BJ141">
        <f>IF(OR(Settings!$C$50="",Settings!$D$50=""),0,Settings!$C$50*IF(Settings!$D$50="Weekly",IF(IFERROR(MATCH(Settings!$E$50,$EO$4:$EO$10,0),0)=0,0,IF(MIN($C141,IF(Settings!$G$50="",$C141,Settings!$G$50))&lt;MAX($A141,Settings!$F$50),0,INT((MIN($C141,IF(Settings!$G$50="",$C141,Settings!$G$50))-MAX($A141,Settings!$F$50)-MOD(IFERROR(MATCH(Settings!$E$50,$EO$4:$EO$10,0),0)-WEEKDAY(MAX($A141,Settings!$F$50)),7))/7)+1)),IF(AND(IF(Settings!$E$50="",$B141,DATE(YEAR($A141),MONTH($A141),MIN(Settings!$E$50,DAY($B141))))&gt;=MAX($A141,Settings!$F$50),IF(Settings!$E$50="",$B141,DATE(YEAR($A141),MONTH($A141),MIN(Settings!$E$50,DAY($B141))))&lt;=MIN($C141,IF(Settings!$G$50="",$C141,Settings!$G$50))),1,0)))</f>
        <v/>
      </c>
      <c r="BK141">
        <f>IF(OR(Settings!$C$51="",Settings!$D$51=""),0,Settings!$C$51*IF(Settings!$D$51="Weekly",IF(IFERROR(MATCH(Settings!$E$51,$EO$4:$EO$10,0),0)=0,0,IF(MIN($C141,IF(Settings!$G$51="",$C141,Settings!$G$51))&lt;MAX($A141,Settings!$F$51),0,INT((MIN($C141,IF(Settings!$G$51="",$C141,Settings!$G$51))-MAX($A141,Settings!$F$51)-MOD(IFERROR(MATCH(Settings!$E$51,$EO$4:$EO$10,0),0)-WEEKDAY(MAX($A141,Settings!$F$51)),7))/7)+1)),IF(AND(IF(Settings!$E$51="",$B141,DATE(YEAR($A141),MONTH($A141),MIN(Settings!$E$51,DAY($B141))))&gt;=MAX($A141,Settings!$F$51),IF(Settings!$E$51="",$B141,DATE(YEAR($A141),MONTH($A141),MIN(Settings!$E$51,DAY($B141))))&lt;=MIN($C141,IF(Settings!$G$51="",$C141,Settings!$G$51))),1,0)))</f>
        <v/>
      </c>
      <c r="BL141">
        <f>IF(OR(Settings!$C$52="",Settings!$D$52=""),0,Settings!$C$52*IF(Settings!$D$52="Weekly",IF(IFERROR(MATCH(Settings!$E$52,$EO$4:$EO$10,0),0)=0,0,IF(MIN($C141,IF(Settings!$G$52="",$C141,Settings!$G$52))&lt;MAX($A141,Settings!$F$52),0,INT((MIN($C141,IF(Settings!$G$52="",$C141,Settings!$G$52))-MAX($A141,Settings!$F$52)-MOD(IFERROR(MATCH(Settings!$E$52,$EO$4:$EO$10,0),0)-WEEKDAY(MAX($A141,Settings!$F$52)),7))/7)+1)),IF(AND(IF(Settings!$E$52="",$B141,DATE(YEAR($A141),MONTH($A141),MIN(Settings!$E$52,DAY($B141))))&gt;=MAX($A141,Settings!$F$52),IF(Settings!$E$52="",$B141,DATE(YEAR($A141),MONTH($A141),MIN(Settings!$E$52,DAY($B141))))&lt;=MIN($C141,IF(Settings!$G$52="",$C141,Settings!$G$52))),1,0)))</f>
        <v/>
      </c>
      <c r="BM141">
        <f>IF(OR(Settings!$C$53="",Settings!$D$53=""),0,Settings!$C$53*IF(Settings!$D$53="Weekly",IF(IFERROR(MATCH(Settings!$E$53,$EO$4:$EO$10,0),0)=0,0,IF(MIN($C141,IF(Settings!$G$53="",$C141,Settings!$G$53))&lt;MAX($A141,Settings!$F$53),0,INT((MIN($C141,IF(Settings!$G$53="",$C141,Settings!$G$53))-MAX($A141,Settings!$F$53)-MOD(IFERROR(MATCH(Settings!$E$53,$EO$4:$EO$10,0),0)-WEEKDAY(MAX($A141,Settings!$F$53)),7))/7)+1)),IF(AND(IF(Settings!$E$53="",$B141,DATE(YEAR($A141),MONTH($A141),MIN(Settings!$E$53,DAY($B141))))&gt;=MAX($A141,Settings!$F$53),IF(Settings!$E$53="",$B141,DATE(YEAR($A141),MONTH($A141),MIN(Settings!$E$53,DAY($B141))))&lt;=MIN($C141,IF(Settings!$G$53="",$C141,Settings!$G$53))),1,0)))</f>
        <v/>
      </c>
      <c r="BN141">
        <f>IF(OR(Settings!$C$54="",Settings!$D$54=""),0,Settings!$C$54*IF(Settings!$D$54="Weekly",IF(IFERROR(MATCH(Settings!$E$54,$EO$4:$EO$10,0),0)=0,0,IF(MIN($C141,IF(Settings!$G$54="",$C141,Settings!$G$54))&lt;MAX($A141,Settings!$F$54),0,INT((MIN($C141,IF(Settings!$G$54="",$C141,Settings!$G$54))-MAX($A141,Settings!$F$54)-MOD(IFERROR(MATCH(Settings!$E$54,$EO$4:$EO$10,0),0)-WEEKDAY(MAX($A141,Settings!$F$54)),7))/7)+1)),IF(AND(IF(Settings!$E$54="",$B141,DATE(YEAR($A141),MONTH($A141),MIN(Settings!$E$54,DAY($B141))))&gt;=MAX($A141,Settings!$F$54),IF(Settings!$E$54="",$B141,DATE(YEAR($A141),MONTH($A141),MIN(Settings!$E$54,DAY($B141))))&lt;=MIN($C141,IF(Settings!$G$54="",$C141,Settings!$G$54))),1,0)))</f>
        <v/>
      </c>
      <c r="BO141">
        <f>IF(OR(Settings!$C$55="",Settings!$D$55=""),0,Settings!$C$55*IF(Settings!$D$55="Weekly",IF(IFERROR(MATCH(Settings!$E$55,$EO$4:$EO$10,0),0)=0,0,IF(MIN($C141,IF(Settings!$G$55="",$C141,Settings!$G$55))&lt;MAX($A141,Settings!$F$55),0,INT((MIN($C141,IF(Settings!$G$55="",$C141,Settings!$G$55))-MAX($A141,Settings!$F$55)-MOD(IFERROR(MATCH(Settings!$E$55,$EO$4:$EO$10,0),0)-WEEKDAY(MAX($A141,Settings!$F$55)),7))/7)+1)),IF(AND(IF(Settings!$E$55="",$B141,DATE(YEAR($A141),MONTH($A141),MIN(Settings!$E$55,DAY($B141))))&gt;=MAX($A141,Settings!$F$55),IF(Settings!$E$55="",$B141,DATE(YEAR($A141),MONTH($A141),MIN(Settings!$E$55,DAY($B141))))&lt;=MIN($C141,IF(Settings!$G$55="",$C141,Settings!$G$55))),1,0)))</f>
        <v/>
      </c>
      <c r="BP141">
        <f>IF(OR(Settings!$C$56="",Settings!$D$56=""),0,Settings!$C$56*IF(Settings!$D$56="Weekly",IF(IFERROR(MATCH(Settings!$E$56,$EO$4:$EO$10,0),0)=0,0,IF(MIN($C141,IF(Settings!$G$56="",$C141,Settings!$G$56))&lt;MAX($A141,Settings!$F$56),0,INT((MIN($C141,IF(Settings!$G$56="",$C141,Settings!$G$56))-MAX($A141,Settings!$F$56)-MOD(IFERROR(MATCH(Settings!$E$56,$EO$4:$EO$10,0),0)-WEEKDAY(MAX($A141,Settings!$F$56)),7))/7)+1)),IF(AND(IF(Settings!$E$56="",$B141,DATE(YEAR($A141),MONTH($A141),MIN(Settings!$E$56,DAY($B141))))&gt;=MAX($A141,Settings!$F$56),IF(Settings!$E$56="",$B141,DATE(YEAR($A141),MONTH($A141),MIN(Settings!$E$56,DAY($B141))))&lt;=MIN($C141,IF(Settings!$G$56="",$C141,Settings!$G$56))),1,0)))</f>
        <v/>
      </c>
      <c r="BQ141">
        <f>IF(OR(Settings!$B$14="",$D141=1,$E141="pre",$A141&lt;IF(Settings!$B$15="",0,Settings!$B$15)),0,Settings!$B$14)</f>
        <v/>
      </c>
      <c r="BR141">
        <f>IF(AND('Month-End'!$EH$7&lt;&gt;"",NOT(_xlfn.ISFORMULA('Month-End'!$EH$7))),1,0)</f>
        <v/>
      </c>
      <c r="BS141">
        <f>IF(AND('Month-End'!$EH$8&lt;&gt;"",NOT(_xlfn.ISFORMULA('Month-End'!$EH$8))),1,0)</f>
        <v/>
      </c>
      <c r="BT141">
        <f>IF(AND('Month-End'!$EH$9&lt;&gt;"",NOT(_xlfn.ISFORMULA('Month-End'!$EH$9))),1,0)</f>
        <v/>
      </c>
      <c r="BU141">
        <f>IF(AND('Month-End'!$EH$10&lt;&gt;"",NOT(_xlfn.ISFORMULA('Month-End'!$EH$10))),1,0)</f>
        <v/>
      </c>
      <c r="BV141">
        <f>IF(AND('Month-End'!$EH$11&lt;&gt;"",NOT(_xlfn.ISFORMULA('Month-End'!$EH$11))),1,0)</f>
        <v/>
      </c>
      <c r="BW141">
        <f>IF(AND('Month-End'!$EH$12&lt;&gt;"",NOT(_xlfn.ISFORMULA('Month-End'!$EH$12))),1,0)</f>
        <v/>
      </c>
      <c r="BX141">
        <f>IF(AND('Month-End'!$EH$13&lt;&gt;"",NOT(_xlfn.ISFORMULA('Month-End'!$EH$13))),1,0)</f>
        <v/>
      </c>
      <c r="BY141">
        <f>IF(AND('Month-End'!$EH$14&lt;&gt;"",NOT(_xlfn.ISFORMULA('Month-End'!$EH$14))),1,0)</f>
        <v/>
      </c>
      <c r="BZ141">
        <f>IF(AND('Month-End'!$EH$15&lt;&gt;"",NOT(_xlfn.ISFORMULA('Month-End'!$EH$15))),1,0)</f>
        <v/>
      </c>
      <c r="CA141">
        <f>IF(AND('Month-End'!$EH$16&lt;&gt;"",NOT(_xlfn.ISFORMULA('Month-End'!$EH$16))),1,0)</f>
        <v/>
      </c>
      <c r="CB141">
        <f>IF(AND('Month-End'!$EH$17&lt;&gt;"",NOT(_xlfn.ISFORMULA('Month-End'!$EH$17))),1,0)</f>
        <v/>
      </c>
      <c r="CC141">
        <f>IF(AND('Month-End'!$EH$18&lt;&gt;"",NOT(_xlfn.ISFORMULA('Month-End'!$EH$18))),1,0)</f>
        <v/>
      </c>
      <c r="CD141">
        <f>IF(AND('Month-End'!$EH$19&lt;&gt;"",NOT(_xlfn.ISFORMULA('Month-End'!$EH$19))),1,0)</f>
        <v/>
      </c>
      <c r="CE141">
        <f>IF(AND('Month-End'!$EH$20&lt;&gt;"",NOT(_xlfn.ISFORMULA('Month-End'!$EH$20))),1,0)</f>
        <v/>
      </c>
      <c r="CF141">
        <f>IF(AND('Month-End'!$EH$38&lt;&gt;"",NOT(_xlfn.ISFORMULA('Month-End'!$EH$38))),1,0)</f>
        <v/>
      </c>
      <c r="CG141">
        <f>IF(AND('Month-End'!$EH$39&lt;&gt;"",NOT(_xlfn.ISFORMULA('Month-End'!$EH$39))),1,0)</f>
        <v/>
      </c>
      <c r="CH141">
        <f>IF(AND('Month-End'!$EH$40&lt;&gt;"",NOT(_xlfn.ISFORMULA('Month-End'!$EH$40))),1,0)</f>
        <v/>
      </c>
      <c r="CI141">
        <f>IF(AND('Month-End'!$EH$41&lt;&gt;"",NOT(_xlfn.ISFORMULA('Month-End'!$EH$41))),1,0)</f>
        <v/>
      </c>
      <c r="CJ141">
        <f>IF(AND('Month-End'!$EH$42&lt;&gt;"",NOT(_xlfn.ISFORMULA('Month-End'!$EH$42))),1,0)</f>
        <v/>
      </c>
      <c r="CK141">
        <f>IF(AND('Month-End'!$EH$43&lt;&gt;"",NOT(_xlfn.ISFORMULA('Month-End'!$EH$43))),1,0)</f>
        <v/>
      </c>
      <c r="CL141">
        <f>SUM($CM141:$CZ141)</f>
        <v/>
      </c>
      <c r="CM141">
        <f>IF(AND($E141&lt;&gt;"pre",AND(Settings!$A$19&lt;&gt;"",Settings!$E$19&lt;&gt;"No"),Settings!$F$19="Yes",NOT(AND('Month-End'!$EH$7&lt;&gt;"",NOT(_xlfn.ISFORMULA('Month-End'!$EH$7))))),1,0)</f>
        <v/>
      </c>
      <c r="CN141">
        <f>IF(AND($E141&lt;&gt;"pre",AND(Settings!$A$20&lt;&gt;"",Settings!$E$20&lt;&gt;"No"),Settings!$F$20="Yes",NOT(AND('Month-End'!$EH$8&lt;&gt;"",NOT(_xlfn.ISFORMULA('Month-End'!$EH$8))))),1,0)</f>
        <v/>
      </c>
      <c r="CO141">
        <f>IF(AND($E141&lt;&gt;"pre",AND(Settings!$A$21&lt;&gt;"",Settings!$E$21&lt;&gt;"No"),Settings!$F$21="Yes",NOT(AND('Month-End'!$EH$9&lt;&gt;"",NOT(_xlfn.ISFORMULA('Month-End'!$EH$9))))),1,0)</f>
        <v/>
      </c>
      <c r="CP141">
        <f>IF(AND($E141&lt;&gt;"pre",AND(Settings!$A$22&lt;&gt;"",Settings!$E$22&lt;&gt;"No"),Settings!$F$22="Yes",NOT(AND('Month-End'!$EH$10&lt;&gt;"",NOT(_xlfn.ISFORMULA('Month-End'!$EH$10))))),1,0)</f>
        <v/>
      </c>
      <c r="CQ141">
        <f>IF(AND($E141&lt;&gt;"pre",AND(Settings!$A$23&lt;&gt;"",Settings!$E$23&lt;&gt;"No"),Settings!$F$23="Yes",NOT(AND('Month-End'!$EH$11&lt;&gt;"",NOT(_xlfn.ISFORMULA('Month-End'!$EH$11))))),1,0)</f>
        <v/>
      </c>
      <c r="CR141">
        <f>IF(AND($E141&lt;&gt;"pre",AND(Settings!$A$24&lt;&gt;"",Settings!$E$24&lt;&gt;"No"),Settings!$F$24="Yes",NOT(AND('Month-End'!$EH$12&lt;&gt;"",NOT(_xlfn.ISFORMULA('Month-End'!$EH$12))))),1,0)</f>
        <v/>
      </c>
      <c r="CS141">
        <f>IF(AND($E141&lt;&gt;"pre",AND(Settings!$A$25&lt;&gt;"",Settings!$E$25&lt;&gt;"No"),Settings!$F$25="Yes",NOT(AND('Month-End'!$EH$13&lt;&gt;"",NOT(_xlfn.ISFORMULA('Month-End'!$EH$13))))),1,0)</f>
        <v/>
      </c>
      <c r="CT141">
        <f>IF(AND($E141&lt;&gt;"pre",AND(Settings!$A$26&lt;&gt;"",Settings!$E$26&lt;&gt;"No"),Settings!$F$26="Yes",NOT(AND('Month-End'!$EH$14&lt;&gt;"",NOT(_xlfn.ISFORMULA('Month-End'!$EH$14))))),1,0)</f>
        <v/>
      </c>
      <c r="CU141">
        <f>IF(AND($E141&lt;&gt;"pre",AND(Settings!$A$27&lt;&gt;"",Settings!$E$27&lt;&gt;"No"),Settings!$F$27="Yes",NOT(AND('Month-End'!$EH$15&lt;&gt;"",NOT(_xlfn.ISFORMULA('Month-End'!$EH$15))))),1,0)</f>
        <v/>
      </c>
      <c r="CV141">
        <f>IF(AND($E141&lt;&gt;"pre",AND(Settings!$A$28&lt;&gt;"",Settings!$E$28&lt;&gt;"No"),Settings!$F$28="Yes",NOT(AND('Month-End'!$EH$16&lt;&gt;"",NOT(_xlfn.ISFORMULA('Month-End'!$EH$16))))),1,0)</f>
        <v/>
      </c>
      <c r="CW141">
        <f>IF(AND($E141&lt;&gt;"pre",AND(Settings!$A$29&lt;&gt;"",Settings!$E$29&lt;&gt;"No"),Settings!$F$29="Yes",NOT(AND('Month-End'!$EH$17&lt;&gt;"",NOT(_xlfn.ISFORMULA('Month-End'!$EH$17))))),1,0)</f>
        <v/>
      </c>
      <c r="CX141">
        <f>IF(AND($E141&lt;&gt;"pre",AND(Settings!$A$30&lt;&gt;"",Settings!$E$30&lt;&gt;"No"),Settings!$F$30="Yes",NOT(AND('Month-End'!$EH$18&lt;&gt;"",NOT(_xlfn.ISFORMULA('Month-End'!$EH$18))))),1,0)</f>
        <v/>
      </c>
      <c r="CY141">
        <f>IF(AND($E141&lt;&gt;"pre",AND(Settings!$A$31&lt;&gt;"",Settings!$E$31&lt;&gt;"No"),Settings!$F$31="Yes",NOT(AND('Month-End'!$EH$19&lt;&gt;"",NOT(_xlfn.ISFORMULA('Month-End'!$EH$19))))),1,0)</f>
        <v/>
      </c>
      <c r="CZ141">
        <f>IF(AND($E141&lt;&gt;"pre",AND(Settings!$A$32&lt;&gt;"",Settings!$E$32&lt;&gt;"No"),Settings!$F$32="Yes",NOT(AND('Month-End'!$EH$20&lt;&gt;"",NOT(_xlfn.ISFORMULA('Month-End'!$EH$20))))),1,0)</f>
        <v/>
      </c>
      <c r="DA141">
        <f>IF($DT141=1,IF(OR(Settings!$B$19="Checking",Settings!$B$19="Savings",Settings!$B$19="Cash"),N($AE141),IF(OR(Settings!$B$19="Card",Settings!$B$19="Loan"),-N($AE141),0))+IF(OR(Settings!$B$20="Checking",Settings!$B$20="Savings",Settings!$B$20="Cash"),N($AF141),IF(OR(Settings!$B$20="Card",Settings!$B$20="Loan"),-N($AF141),0))+IF(OR(Settings!$B$21="Checking",Settings!$B$21="Savings",Settings!$B$21="Cash"),N($AG141),IF(OR(Settings!$B$21="Card",Settings!$B$21="Loan"),-N($AG141),0))+IF(OR(Settings!$B$22="Checking",Settings!$B$22="Savings",Settings!$B$22="Cash"),N($AH141),IF(OR(Settings!$B$22="Card",Settings!$B$22="Loan"),-N($AH141),0))+IF(OR(Settings!$B$23="Checking",Settings!$B$23="Savings",Settings!$B$23="Cash"),N($AI141),IF(OR(Settings!$B$23="Card",Settings!$B$23="Loan"),-N($AI141),0))+IF(OR(Settings!$B$24="Checking",Settings!$B$24="Savings",Settings!$B$24="Cash"),N($AJ141),IF(OR(Settings!$B$24="Card",Settings!$B$24="Loan"),-N($AJ141),0))+IF(OR(Settings!$B$25="Checking",Settings!$B$25="Savings",Settings!$B$25="Cash"),N($AK141),IF(OR(Settings!$B$25="Card",Settings!$B$25="Loan"),-N($AK141),0))+IF(OR(Settings!$B$26="Checking",Settings!$B$26="Savings",Settings!$B$26="Cash"),N($AL141),IF(OR(Settings!$B$26="Card",Settings!$B$26="Loan"),-N($AL141),0))+IF(OR(Settings!$B$27="Checking",Settings!$B$27="Savings",Settings!$B$27="Cash"),N($AM141),IF(OR(Settings!$B$27="Card",Settings!$B$27="Loan"),-N($AM141),0))+IF(OR(Settings!$B$28="Checking",Settings!$B$28="Savings",Settings!$B$28="Cash"),N($AN141),IF(OR(Settings!$B$28="Card",Settings!$B$28="Loan"),-N($AN141),0))+IF(OR(Settings!$B$29="Checking",Settings!$B$29="Savings",Settings!$B$29="Cash"),N($AO141),IF(OR(Settings!$B$29="Card",Settings!$B$29="Loan"),-N($AO141),0))+IF(OR(Settings!$B$30="Checking",Settings!$B$30="Savings",Settings!$B$30="Cash"),N($AP141),IF(OR(Settings!$B$30="Card",Settings!$B$30="Loan"),-N($AP141),0))+IF(OR(Settings!$B$31="Checking",Settings!$B$31="Savings",Settings!$B$31="Cash"),N($AQ141),IF(OR(Settings!$B$31="Card",Settings!$B$31="Loan"),-N($AQ141),0))+IF(OR(Settings!$B$32="Checking",Settings!$B$32="Savings",Settings!$B$32="Cash"),N($AR141),IF(OR(Settings!$B$32="Card",Settings!$B$32="Loan"),-N($AR141),0)),"")</f>
        <v/>
      </c>
      <c r="DB141">
        <f>IF($E141="open",$EB$27,IF($E141="post",IF($E140="pre",$EB$27,$DA140),""))</f>
        <v/>
      </c>
      <c r="DC141">
        <f>IF($E141="open",1,IF($E141="post",IF($E140="pre",1,$DT140),0))</f>
        <v/>
      </c>
      <c r="DD141">
        <f>IF(AND($DT141=1,$DC141=1),ROUND($W141-($DA141-$DB141)-$AD141-$AB141,2),"")</f>
        <v/>
      </c>
      <c r="DE141">
        <f>IF('Month-End'!$EH$35="",$BQ141,N('Month-End'!$EH$35))</f>
        <v/>
      </c>
      <c r="DF141">
        <f>N('Month-End'!$EH$36)</f>
        <v/>
      </c>
      <c r="DG141">
        <f>IF($DD141="","",$DD141+$DE141)</f>
        <v/>
      </c>
      <c r="DH141">
        <f>IF($DG141="","",$DG141-$DF141)</f>
        <v/>
      </c>
      <c r="DI141">
        <f>IF(OR($E141="pre",$D141=1),"",N($AS141)+N($AT141)+N($AU141)+N($AV141)+N($AW141)+N($AX141))</f>
        <v/>
      </c>
      <c r="DJ141">
        <f>IF($DT141=1,$DA141+N($DI141),"")</f>
        <v/>
      </c>
      <c r="DK141">
        <f>IF($DD141="","",$W141-$DD141-$AB141)</f>
        <v/>
      </c>
      <c r="DL141">
        <f>IF(AND($E141="post",$DD141&lt;&gt;"",$B141&lt;TODAY()),1,0)</f>
        <v/>
      </c>
      <c r="DM141">
        <f>IF($DL141=1,COUNTIF($DL141:$DL$183,1),0)</f>
        <v/>
      </c>
      <c r="DN141">
        <f>IF($D141=1,"",IF($E141="pre","History only",IF($DT141=1,IF($DD141="","⚠ Previous month missing",IF($DD141&lt;0,"⚠ Check: spending &lt; 0",IF($E141="open","✓ Done (partial)","✓ Done"))),IF($B141&gt;=TODAY(),"In progress","⚠ Needs balances"))))</f>
        <v/>
      </c>
      <c r="DO141">
        <f>YEAR($A141)</f>
        <v/>
      </c>
      <c r="DP141">
        <f>DATE(YEAR($A141),INT((MONTH($A141)-1)/3)*3+1,1)</f>
        <v/>
      </c>
      <c r="DQ141">
        <f>IF(AND($DT141=1,$DD141&lt;&gt;"",$D141=0),ROW(),0)</f>
        <v/>
      </c>
      <c r="DR141">
        <f>IF(AND($E141&lt;&gt;"pre",$B141&lt;TODAY(),$DT141=0),1,0)</f>
        <v/>
      </c>
      <c r="DS141">
        <f>IF($DJ141="",NA(),$DJ141)</f>
        <v/>
      </c>
      <c r="DT141">
        <f>IF(AND($E141&lt;&gt;"pre",$CL141=0,COUNTIFS(Settings!$F$19:$F$32,"Yes",Settings!$A$19:$A$32,"&lt;&gt;",Settings!$E$19:$E$32,"&lt;&gt;No")&gt;0),1,0)</f>
        <v/>
      </c>
      <c r="DU141">
        <f>IF(AND($B141&lt;TODAY(),$S141&gt;0),1,0)</f>
        <v/>
      </c>
      <c r="DV141">
        <f>IF($DU141=1,COUNTIF($DU141:$DU$183,1),0)</f>
        <v/>
      </c>
      <c r="DW141">
        <f>IF(AND(OR(Settings!$B$19="Card",Settings!$B$19="Loan"),AND('Month-End'!$EH$7&lt;&gt;"",NOT(_xlfn.ISFORMULA('Month-End'!$EH$7)))),IF(N('Month-End'!$EH$7)&lt;0,1,0),0)+IF(AND(OR(Settings!$B$20="Card",Settings!$B$20="Loan"),AND('Month-End'!$EH$8&lt;&gt;"",NOT(_xlfn.ISFORMULA('Month-End'!$EH$8)))),IF(N('Month-End'!$EH$8)&lt;0,1,0),0)+IF(AND(OR(Settings!$B$21="Card",Settings!$B$21="Loan"),AND('Month-End'!$EH$9&lt;&gt;"",NOT(_xlfn.ISFORMULA('Month-End'!$EH$9)))),IF(N('Month-End'!$EH$9)&lt;0,1,0),0)+IF(AND(OR(Settings!$B$22="Card",Settings!$B$22="Loan"),AND('Month-End'!$EH$10&lt;&gt;"",NOT(_xlfn.ISFORMULA('Month-End'!$EH$10)))),IF(N('Month-End'!$EH$10)&lt;0,1,0),0)+IF(AND(OR(Settings!$B$23="Card",Settings!$B$23="Loan"),AND('Month-End'!$EH$11&lt;&gt;"",NOT(_xlfn.ISFORMULA('Month-End'!$EH$11)))),IF(N('Month-End'!$EH$11)&lt;0,1,0),0)+IF(AND(OR(Settings!$B$24="Card",Settings!$B$24="Loan"),AND('Month-End'!$EH$12&lt;&gt;"",NOT(_xlfn.ISFORMULA('Month-End'!$EH$12)))),IF(N('Month-End'!$EH$12)&lt;0,1,0),0)+IF(AND(OR(Settings!$B$25="Card",Settings!$B$25="Loan"),AND('Month-End'!$EH$13&lt;&gt;"",NOT(_xlfn.ISFORMULA('Month-End'!$EH$13)))),IF(N('Month-End'!$EH$13)&lt;0,1,0),0)+IF(AND(OR(Settings!$B$26="Card",Settings!$B$26="Loan"),AND('Month-End'!$EH$14&lt;&gt;"",NOT(_xlfn.ISFORMULA('Month-End'!$EH$14)))),IF(N('Month-End'!$EH$14)&lt;0,1,0),0)+IF(AND(OR(Settings!$B$27="Card",Settings!$B$27="Loan"),AND('Month-End'!$EH$15&lt;&gt;"",NOT(_xlfn.ISFORMULA('Month-End'!$EH$15)))),IF(N('Month-End'!$EH$15)&lt;0,1,0),0)+IF(AND(OR(Settings!$B$28="Card",Settings!$B$28="Loan"),AND('Month-End'!$EH$16&lt;&gt;"",NOT(_xlfn.ISFORMULA('Month-End'!$EH$16)))),IF(N('Month-End'!$EH$16)&lt;0,1,0),0)+IF(AND(OR(Settings!$B$29="Card",Settings!$B$29="Loan"),AND('Month-End'!$EH$17&lt;&gt;"",NOT(_xlfn.ISFORMULA('Month-End'!$EH$17)))),IF(N('Month-End'!$EH$17)&lt;0,1,0),0)+IF(AND(OR(Settings!$B$30="Card",Settings!$B$30="Loan"),AND('Month-End'!$EH$18&lt;&gt;"",NOT(_xlfn.ISFORMULA('Month-End'!$EH$18)))),IF(N('Month-End'!$EH$18)&lt;0,1,0),0)+IF(AND(OR(Settings!$B$31="Card",Settings!$B$31="Loan"),AND('Month-End'!$EH$19&lt;&gt;"",NOT(_xlfn.ISFORMULA('Month-End'!$EH$19)))),IF(N('Month-End'!$EH$19)&lt;0,1,0),0)+IF(AND(OR(Settings!$B$32="Card",Settings!$B$32="Loan"),AND('Month-End'!$EH$20&lt;&gt;"",NOT(_xlfn.ISFORMULA('Month-End'!$EH$20)))),IF(N('Month-End'!$EH$20)&lt;0,1,0),0)</f>
        <v/>
      </c>
      <c r="DX141">
        <f>IF(Settings!$B$36="Retirement",$AY141,0)+IF(Settings!$B$37="Retirement",$AZ141,0)+IF(Settings!$B$38="Retirement",$BA141,0)+IF(Settings!$B$39="Retirement",$BB141,0)+IF(Settings!$B$40="Retirement",$BC141,0)+IF(Settings!$B$41="Retirement",$BD141,0)</f>
        <v/>
      </c>
      <c r="ET141">
        <f>IF($E141&lt;&gt;"open",0,IF(AND('Month-End'!$EH$22&lt;&gt;"",NOT(_xlfn.ISFORMULA('Month-End'!$EH$22))),0,IF(OR(Settings!$C$45="",Settings!$D$45=""),0,Settings!$C$45*IF(Settings!$D$45="Weekly",IF(IFERROR(MATCH(Settings!$E$45,$EO$4:$EO$10,0),0)=0,0,IF(MIN(Settings!$B$5,IF(Settings!$G$45="",Settings!$B$5,Settings!$G$45))&lt;MAX($A141,Settings!$F$45),0,INT((MIN(Settings!$B$5,IF(Settings!$G$45="",Settings!$B$5,Settings!$G$45))-MAX($A141,Settings!$F$45)-MOD(IFERROR(MATCH(Settings!$E$45,$EO$4:$EO$10,0),0)-WEEKDAY(MAX($A141,Settings!$F$45)),7))/7)+1)),IF(AND(IF(Settings!$E$45="",$B141,DATE(YEAR($A141),MONTH($A141),MIN(Settings!$E$45,DAY($B141))))&gt;=MAX($A141,Settings!$F$45),IF(Settings!$E$45="",$B141,DATE(YEAR($A141),MONTH($A141),MIN(Settings!$E$45,DAY($B141))))&lt;=MIN(Settings!$B$5,IF(Settings!$G$45="",Settings!$B$5,Settings!$G$45))),1,0)))))</f>
        <v/>
      </c>
      <c r="EU141">
        <f>IF($E141&lt;&gt;"open",0,IF(AND('Month-End'!$EH$23&lt;&gt;"",NOT(_xlfn.ISFORMULA('Month-End'!$EH$23))),0,IF(OR(Settings!$C$46="",Settings!$D$46=""),0,Settings!$C$46*IF(Settings!$D$46="Weekly",IF(IFERROR(MATCH(Settings!$E$46,$EO$4:$EO$10,0),0)=0,0,IF(MIN(Settings!$B$5,IF(Settings!$G$46="",Settings!$B$5,Settings!$G$46))&lt;MAX($A141,Settings!$F$46),0,INT((MIN(Settings!$B$5,IF(Settings!$G$46="",Settings!$B$5,Settings!$G$46))-MAX($A141,Settings!$F$46)-MOD(IFERROR(MATCH(Settings!$E$46,$EO$4:$EO$10,0),0)-WEEKDAY(MAX($A141,Settings!$F$46)),7))/7)+1)),IF(AND(IF(Settings!$E$46="",$B141,DATE(YEAR($A141),MONTH($A141),MIN(Settings!$E$46,DAY($B141))))&gt;=MAX($A141,Settings!$F$46),IF(Settings!$E$46="",$B141,DATE(YEAR($A141),MONTH($A141),MIN(Settings!$E$46,DAY($B141))))&lt;=MIN(Settings!$B$5,IF(Settings!$G$46="",Settings!$B$5,Settings!$G$46))),1,0)))))</f>
        <v/>
      </c>
      <c r="EV141">
        <f>IF($E141&lt;&gt;"open",0,IF(AND('Month-End'!$EH$24&lt;&gt;"",NOT(_xlfn.ISFORMULA('Month-End'!$EH$24))),0,IF(OR(Settings!$C$47="",Settings!$D$47=""),0,Settings!$C$47*IF(Settings!$D$47="Weekly",IF(IFERROR(MATCH(Settings!$E$47,$EO$4:$EO$10,0),0)=0,0,IF(MIN(Settings!$B$5,IF(Settings!$G$47="",Settings!$B$5,Settings!$G$47))&lt;MAX($A141,Settings!$F$47),0,INT((MIN(Settings!$B$5,IF(Settings!$G$47="",Settings!$B$5,Settings!$G$47))-MAX($A141,Settings!$F$47)-MOD(IFERROR(MATCH(Settings!$E$47,$EO$4:$EO$10,0),0)-WEEKDAY(MAX($A141,Settings!$F$47)),7))/7)+1)),IF(AND(IF(Settings!$E$47="",$B141,DATE(YEAR($A141),MONTH($A141),MIN(Settings!$E$47,DAY($B141))))&gt;=MAX($A141,Settings!$F$47),IF(Settings!$E$47="",$B141,DATE(YEAR($A141),MONTH($A141),MIN(Settings!$E$47,DAY($B141))))&lt;=MIN(Settings!$B$5,IF(Settings!$G$47="",Settings!$B$5,Settings!$G$47))),1,0)))))</f>
        <v/>
      </c>
      <c r="EW141">
        <f>IF($E141&lt;&gt;"open",0,IF(AND('Month-End'!$EH$25&lt;&gt;"",NOT(_xlfn.ISFORMULA('Month-End'!$EH$25))),0,IF(OR(Settings!$C$48="",Settings!$D$48=""),0,Settings!$C$48*IF(Settings!$D$48="Weekly",IF(IFERROR(MATCH(Settings!$E$48,$EO$4:$EO$10,0),0)=0,0,IF(MIN(Settings!$B$5,IF(Settings!$G$48="",Settings!$B$5,Settings!$G$48))&lt;MAX($A141,Settings!$F$48),0,INT((MIN(Settings!$B$5,IF(Settings!$G$48="",Settings!$B$5,Settings!$G$48))-MAX($A141,Settings!$F$48)-MOD(IFERROR(MATCH(Settings!$E$48,$EO$4:$EO$10,0),0)-WEEKDAY(MAX($A141,Settings!$F$48)),7))/7)+1)),IF(AND(IF(Settings!$E$48="",$B141,DATE(YEAR($A141),MONTH($A141),MIN(Settings!$E$48,DAY($B141))))&gt;=MAX($A141,Settings!$F$48),IF(Settings!$E$48="",$B141,DATE(YEAR($A141),MONTH($A141),MIN(Settings!$E$48,DAY($B141))))&lt;=MIN(Settings!$B$5,IF(Settings!$G$48="",Settings!$B$5,Settings!$G$48))),1,0)))))</f>
        <v/>
      </c>
      <c r="EX141">
        <f>IF($E141&lt;&gt;"open",0,IF(AND('Month-End'!$EH$26&lt;&gt;"",NOT(_xlfn.ISFORMULA('Month-End'!$EH$26))),0,IF(OR(Settings!$C$49="",Settings!$D$49=""),0,Settings!$C$49*IF(Settings!$D$49="Weekly",IF(IFERROR(MATCH(Settings!$E$49,$EO$4:$EO$10,0),0)=0,0,IF(MIN(Settings!$B$5,IF(Settings!$G$49="",Settings!$B$5,Settings!$G$49))&lt;MAX($A141,Settings!$F$49),0,INT((MIN(Settings!$B$5,IF(Settings!$G$49="",Settings!$B$5,Settings!$G$49))-MAX($A141,Settings!$F$49)-MOD(IFERROR(MATCH(Settings!$E$49,$EO$4:$EO$10,0),0)-WEEKDAY(MAX($A141,Settings!$F$49)),7))/7)+1)),IF(AND(IF(Settings!$E$49="",$B141,DATE(YEAR($A141),MONTH($A141),MIN(Settings!$E$49,DAY($B141))))&gt;=MAX($A141,Settings!$F$49),IF(Settings!$E$49="",$B141,DATE(YEAR($A141),MONTH($A141),MIN(Settings!$E$49,DAY($B141))))&lt;=MIN(Settings!$B$5,IF(Settings!$G$49="",Settings!$B$5,Settings!$G$49))),1,0)))))</f>
        <v/>
      </c>
      <c r="EY141">
        <f>IF($E141&lt;&gt;"open",0,IF(AND('Month-End'!$EH$27&lt;&gt;"",NOT(_xlfn.ISFORMULA('Month-End'!$EH$27))),0,IF(OR(Settings!$C$50="",Settings!$D$50=""),0,Settings!$C$50*IF(Settings!$D$50="Weekly",IF(IFERROR(MATCH(Settings!$E$50,$EO$4:$EO$10,0),0)=0,0,IF(MIN(Settings!$B$5,IF(Settings!$G$50="",Settings!$B$5,Settings!$G$50))&lt;MAX($A141,Settings!$F$50),0,INT((MIN(Settings!$B$5,IF(Settings!$G$50="",Settings!$B$5,Settings!$G$50))-MAX($A141,Settings!$F$50)-MOD(IFERROR(MATCH(Settings!$E$50,$EO$4:$EO$10,0),0)-WEEKDAY(MAX($A141,Settings!$F$50)),7))/7)+1)),IF(AND(IF(Settings!$E$50="",$B141,DATE(YEAR($A141),MONTH($A141),MIN(Settings!$E$50,DAY($B141))))&gt;=MAX($A141,Settings!$F$50),IF(Settings!$E$50="",$B141,DATE(YEAR($A141),MONTH($A141),MIN(Settings!$E$50,DAY($B141))))&lt;=MIN(Settings!$B$5,IF(Settings!$G$50="",Settings!$B$5,Settings!$G$50))),1,0)))))</f>
        <v/>
      </c>
      <c r="EZ141">
        <f>IF($E141&lt;&gt;"open",0,IF(AND('Month-End'!$EH$28&lt;&gt;"",NOT(_xlfn.ISFORMULA('Month-End'!$EH$28))),0,IF(OR(Settings!$C$51="",Settings!$D$51=""),0,Settings!$C$51*IF(Settings!$D$51="Weekly",IF(IFERROR(MATCH(Settings!$E$51,$EO$4:$EO$10,0),0)=0,0,IF(MIN(Settings!$B$5,IF(Settings!$G$51="",Settings!$B$5,Settings!$G$51))&lt;MAX($A141,Settings!$F$51),0,INT((MIN(Settings!$B$5,IF(Settings!$G$51="",Settings!$B$5,Settings!$G$51))-MAX($A141,Settings!$F$51)-MOD(IFERROR(MATCH(Settings!$E$51,$EO$4:$EO$10,0),0)-WEEKDAY(MAX($A141,Settings!$F$51)),7))/7)+1)),IF(AND(IF(Settings!$E$51="",$B141,DATE(YEAR($A141),MONTH($A141),MIN(Settings!$E$51,DAY($B141))))&gt;=MAX($A141,Settings!$F$51),IF(Settings!$E$51="",$B141,DATE(YEAR($A141),MONTH($A141),MIN(Settings!$E$51,DAY($B141))))&lt;=MIN(Settings!$B$5,IF(Settings!$G$51="",Settings!$B$5,Settings!$G$51))),1,0)))))</f>
        <v/>
      </c>
      <c r="FA141">
        <f>IF($E141&lt;&gt;"open",0,IF(AND('Month-End'!$EH$29&lt;&gt;"",NOT(_xlfn.ISFORMULA('Month-End'!$EH$29))),0,IF(OR(Settings!$C$52="",Settings!$D$52=""),0,Settings!$C$52*IF(Settings!$D$52="Weekly",IF(IFERROR(MATCH(Settings!$E$52,$EO$4:$EO$10,0),0)=0,0,IF(MIN(Settings!$B$5,IF(Settings!$G$52="",Settings!$B$5,Settings!$G$52))&lt;MAX($A141,Settings!$F$52),0,INT((MIN(Settings!$B$5,IF(Settings!$G$52="",Settings!$B$5,Settings!$G$52))-MAX($A141,Settings!$F$52)-MOD(IFERROR(MATCH(Settings!$E$52,$EO$4:$EO$10,0),0)-WEEKDAY(MAX($A141,Settings!$F$52)),7))/7)+1)),IF(AND(IF(Settings!$E$52="",$B141,DATE(YEAR($A141),MONTH($A141),MIN(Settings!$E$52,DAY($B141))))&gt;=MAX($A141,Settings!$F$52),IF(Settings!$E$52="",$B141,DATE(YEAR($A141),MONTH($A141),MIN(Settings!$E$52,DAY($B141))))&lt;=MIN(Settings!$B$5,IF(Settings!$G$52="",Settings!$B$5,Settings!$G$52))),1,0)))))</f>
        <v/>
      </c>
      <c r="FB141">
        <f>IF($E141&lt;&gt;"open",0,IF(AND('Month-End'!$EH$30&lt;&gt;"",NOT(_xlfn.ISFORMULA('Month-End'!$EH$30))),0,IF(OR(Settings!$C$53="",Settings!$D$53=""),0,Settings!$C$53*IF(Settings!$D$53="Weekly",IF(IFERROR(MATCH(Settings!$E$53,$EO$4:$EO$10,0),0)=0,0,IF(MIN(Settings!$B$5,IF(Settings!$G$53="",Settings!$B$5,Settings!$G$53))&lt;MAX($A141,Settings!$F$53),0,INT((MIN(Settings!$B$5,IF(Settings!$G$53="",Settings!$B$5,Settings!$G$53))-MAX($A141,Settings!$F$53)-MOD(IFERROR(MATCH(Settings!$E$53,$EO$4:$EO$10,0),0)-WEEKDAY(MAX($A141,Settings!$F$53)),7))/7)+1)),IF(AND(IF(Settings!$E$53="",$B141,DATE(YEAR($A141),MONTH($A141),MIN(Settings!$E$53,DAY($B141))))&gt;=MAX($A141,Settings!$F$53),IF(Settings!$E$53="",$B141,DATE(YEAR($A141),MONTH($A141),MIN(Settings!$E$53,DAY($B141))))&lt;=MIN(Settings!$B$5,IF(Settings!$G$53="",Settings!$B$5,Settings!$G$53))),1,0)))))</f>
        <v/>
      </c>
      <c r="FC141">
        <f>IF($E141&lt;&gt;"open",0,IF(AND('Month-End'!$EH$31&lt;&gt;"",NOT(_xlfn.ISFORMULA('Month-End'!$EH$31))),0,IF(OR(Settings!$C$54="",Settings!$D$54=""),0,Settings!$C$54*IF(Settings!$D$54="Weekly",IF(IFERROR(MATCH(Settings!$E$54,$EO$4:$EO$10,0),0)=0,0,IF(MIN(Settings!$B$5,IF(Settings!$G$54="",Settings!$B$5,Settings!$G$54))&lt;MAX($A141,Settings!$F$54),0,INT((MIN(Settings!$B$5,IF(Settings!$G$54="",Settings!$B$5,Settings!$G$54))-MAX($A141,Settings!$F$54)-MOD(IFERROR(MATCH(Settings!$E$54,$EO$4:$EO$10,0),0)-WEEKDAY(MAX($A141,Settings!$F$54)),7))/7)+1)),IF(AND(IF(Settings!$E$54="",$B141,DATE(YEAR($A141),MONTH($A141),MIN(Settings!$E$54,DAY($B141))))&gt;=MAX($A141,Settings!$F$54),IF(Settings!$E$54="",$B141,DATE(YEAR($A141),MONTH($A141),MIN(Settings!$E$54,DAY($B141))))&lt;=MIN(Settings!$B$5,IF(Settings!$G$54="",Settings!$B$5,Settings!$G$54))),1,0)))))</f>
        <v/>
      </c>
      <c r="FD141">
        <f>IF($E141&lt;&gt;"open",0,IF(AND('Month-End'!$EH$32&lt;&gt;"",NOT(_xlfn.ISFORMULA('Month-End'!$EH$32))),0,IF(OR(Settings!$C$55="",Settings!$D$55=""),0,Settings!$C$55*IF(Settings!$D$55="Weekly",IF(IFERROR(MATCH(Settings!$E$55,$EO$4:$EO$10,0),0)=0,0,IF(MIN(Settings!$B$5,IF(Settings!$G$55="",Settings!$B$5,Settings!$G$55))&lt;MAX($A141,Settings!$F$55),0,INT((MIN(Settings!$B$5,IF(Settings!$G$55="",Settings!$B$5,Settings!$G$55))-MAX($A141,Settings!$F$55)-MOD(IFERROR(MATCH(Settings!$E$55,$EO$4:$EO$10,0),0)-WEEKDAY(MAX($A141,Settings!$F$55)),7))/7)+1)),IF(AND(IF(Settings!$E$55="",$B141,DATE(YEAR($A141),MONTH($A141),MIN(Settings!$E$55,DAY($B141))))&gt;=MAX($A141,Settings!$F$55),IF(Settings!$E$55="",$B141,DATE(YEAR($A141),MONTH($A141),MIN(Settings!$E$55,DAY($B141))))&lt;=MIN(Settings!$B$5,IF(Settings!$G$55="",Settings!$B$5,Settings!$G$55))),1,0)))))</f>
        <v/>
      </c>
      <c r="FE141">
        <f>IF($E141&lt;&gt;"open",0,IF(AND('Month-End'!$EH$33&lt;&gt;"",NOT(_xlfn.ISFORMULA('Month-End'!$EH$33))),0,IF(OR(Settings!$C$56="",Settings!$D$56=""),0,Settings!$C$56*IF(Settings!$D$56="Weekly",IF(IFERROR(MATCH(Settings!$E$56,$EO$4:$EO$10,0),0)=0,0,IF(MIN(Settings!$B$5,IF(Settings!$G$56="",Settings!$B$5,Settings!$G$56))&lt;MAX($A141,Settings!$F$56),0,INT((MIN(Settings!$B$5,IF(Settings!$G$56="",Settings!$B$5,Settings!$G$56))-MAX($A141,Settings!$F$56)-MOD(IFERROR(MATCH(Settings!$E$56,$EO$4:$EO$10,0),0)-WEEKDAY(MAX($A141,Settings!$F$56)),7))/7)+1)),IF(AND(IF(Settings!$E$56="",$B141,DATE(YEAR($A141),MONTH($A141),MIN(Settings!$E$56,DAY($B141))))&gt;=MAX($A141,Settings!$F$56),IF(Settings!$E$56="",$B141,DATE(YEAR($A141),MONTH($A141),MIN(Settings!$E$56,DAY($B141))))&lt;=MIN(Settings!$B$5,IF(Settings!$G$56="",Settings!$B$5,Settings!$G$56))),1,0)))))</f>
        <v/>
      </c>
      <c r="FF141">
        <f>IF(Settings!$I$45="Yes",$G141,0)+IF(Settings!$I$46="Yes",$H141,0)+IF(Settings!$I$47="Yes",$I141,0)+IF(Settings!$I$48="Yes",$J141,0)+IF(Settings!$I$49="Yes",$K141,0)+IF(Settings!$I$50="Yes",$L141,0)+IF(Settings!$I$51="Yes",$M141,0)+IF(Settings!$I$52="Yes",$N141,0)+IF(Settings!$I$53="Yes",$O141,0)+IF(Settings!$I$54="Yes",$P141,0)+IF(Settings!$I$55="Yes",$Q141,0)+IF(Settings!$I$56="Yes",$R141,0)</f>
        <v/>
      </c>
      <c r="FG141">
        <f>IF(AND(Settings!$I$45="Yes",Settings!$J$45="No"),$G141,0)+IF(AND(Settings!$I$46="Yes",Settings!$J$46="No"),$H141,0)+IF(AND(Settings!$I$47="Yes",Settings!$J$47="No"),$I141,0)+IF(AND(Settings!$I$48="Yes",Settings!$J$48="No"),$J141,0)+IF(AND(Settings!$I$49="Yes",Settings!$J$49="No"),$K141,0)+IF(AND(Settings!$I$50="Yes",Settings!$J$50="No"),$L141,0)+IF(AND(Settings!$I$51="Yes",Settings!$J$51="No"),$M141,0)+IF(AND(Settings!$I$52="Yes",Settings!$J$52="No"),$N141,0)+IF(AND(Settings!$I$53="Yes",Settings!$J$53="No"),$O141,0)+IF(AND(Settings!$I$54="Yes",Settings!$J$54="No"),$P141,0)+IF(AND(Settings!$I$55="Yes",Settings!$J$55="No"),$Q141,0)+IF(AND(Settings!$I$56="Yes",Settings!$J$56="No"),$R141,0)</f>
        <v/>
      </c>
      <c r="FH141">
        <f>SUMIFS(Giving!$B$7:$B$2006,Giving!$A$7:$A$2006,"&gt;="&amp;$A141,Giving!$A$7:$A$2006,"&lt;="&amp;$B141,Giving!$G$7:$G$2006,"Yes")+IF(OR(OR(Settings!$B$60="",Settings!$F$60="No"),Settings!$H$60&lt;&gt;"Yes"),0,Settings!$B$60*IF(AND(IF(Settings!$C$60="",$B141,DATE(YEAR($A141),MONTH($A141),MIN(Settings!$C$60,DAY($B141))))&gt;=MAX($A141,Settings!$D$60),IF(Settings!$C$60="",$B141,DATE(YEAR($A141),MONTH($A141),MIN(Settings!$C$60,DAY($B141))))&lt;=MIN($C141,IF(Settings!$E$60="",$C141,Settings!$E$60))),1,0))+IF(OR(OR(Settings!$B$61="",Settings!$F$61="No"),Settings!$H$61&lt;&gt;"Yes"),0,Settings!$B$61*IF(AND(IF(Settings!$C$61="",$B141,DATE(YEAR($A141),MONTH($A141),MIN(Settings!$C$61,DAY($B141))))&gt;=MAX($A141,Settings!$D$61),IF(Settings!$C$61="",$B141,DATE(YEAR($A141),MONTH($A141),MIN(Settings!$C$61,DAY($B141))))&lt;=MIN($C141,IF(Settings!$E$61="",$C141,Settings!$E$61))),1,0))+IF(OR(OR(Settings!$B$62="",Settings!$F$62="No"),Settings!$H$62&lt;&gt;"Yes"),0,Settings!$B$62*IF(AND(IF(Settings!$C$62="",$B141,DATE(YEAR($A141),MONTH($A141),MIN(Settings!$C$62,DAY($B141))))&gt;=MAX($A141,Settings!$D$62),IF(Settings!$C$62="",$B141,DATE(YEAR($A141),MONTH($A141),MIN(Settings!$C$62,DAY($B141))))&lt;=MIN($C141,IF(Settings!$E$62="",$C141,Settings!$E$62))),1,0))+IF(OR(OR(Settings!$B$63="",Settings!$F$63="No"),Settings!$H$63&lt;&gt;"Yes"),0,Settings!$B$63*IF(AND(IF(Settings!$C$63="",$B141,DATE(YEAR($A141),MONTH($A141),MIN(Settings!$C$63,DAY($B141))))&gt;=MAX($A141,Settings!$D$63),IF(Settings!$C$63="",$B141,DATE(YEAR($A141),MONTH($A141),MIN(Settings!$C$63,DAY($B141))))&lt;=MIN($C141,IF(Settings!$E$63="",$C141,Settings!$E$63))),1,0))+IF(OR(OR(Settings!$B$64="",Settings!$F$64="No"),Settings!$H$64&lt;&gt;"Yes"),0,Settings!$B$64*IF(AND(IF(Settings!$C$64="",$B141,DATE(YEAR($A141),MONTH($A141),MIN(Settings!$C$64,DAY($B141))))&gt;=MAX($A141,Settings!$D$64),IF(Settings!$C$64="",$B141,DATE(YEAR($A141),MONTH($A141),MIN(Settings!$C$64,DAY($B141))))&lt;=MIN($C141,IF(Settings!$E$64="",$C141,Settings!$E$64))),1,0))+IF(OR(OR(Settings!$B$65="",Settings!$F$65="No"),Settings!$H$65&lt;&gt;"Yes"),0,Settings!$B$65*IF(AND(IF(Settings!$C$65="",$B141,DATE(YEAR($A141),MONTH($A141),MIN(Settings!$C$65,DAY($B141))))&gt;=MAX($A141,Settings!$D$65),IF(Settings!$C$65="",$B141,DATE(YEAR($A141),MONTH($A141),MIN(Settings!$C$65,DAY($B141))))&lt;=MIN($C141,IF(Settings!$E$65="",$C141,Settings!$E$65))),1,0))</f>
        <v/>
      </c>
      <c r="FI141">
        <f>IF($DT141=1,IF(OR(Settings!$B$19="Card",Settings!$B$19="Loan"),N($AE141),0)+IF(OR(Settings!$B$20="Card",Settings!$B$20="Loan"),N($AF141),0)+IF(OR(Settings!$B$21="Card",Settings!$B$21="Loan"),N($AG141),0)+IF(OR(Settings!$B$22="Card",Settings!$B$22="Loan"),N($AH141),0)+IF(OR(Settings!$B$23="Card",Settings!$B$23="Loan"),N($AI141),0)+IF(OR(Settings!$B$24="Card",Settings!$B$24="Loan"),N($AJ141),0)+IF(OR(Settings!$B$25="Card",Settings!$B$25="Loan"),N($AK141),0)+IF(OR(Settings!$B$26="Card",Settings!$B$26="Loan"),N($AL141),0)+IF(OR(Settings!$B$27="Card",Settings!$B$27="Loan"),N($AM141),0)+IF(OR(Settings!$B$28="Card",Settings!$B$28="Loan"),N($AN141),0)+IF(OR(Settings!$B$29="Card",Settings!$B$29="Loan"),N($AO141),0)+IF(OR(Settings!$B$30="Card",Settings!$B$30="Loan"),N($AP141),0)+IF(OR(Settings!$B$31="Card",Settings!$B$31="Loan"),N($AQ141),0)+IF(OR(Settings!$B$32="Card",Settings!$B$32="Loan"),N($AR141),0),"")</f>
        <v/>
      </c>
      <c r="FJ141">
        <f>IF($E141="open",$EB$65,IF($E141="post",IF($E140="pre",$EB$65,$FI140),""))</f>
        <v/>
      </c>
      <c r="FK141">
        <f>IF(AND($DT141=1,$DC141=1),IF(ROUND($FI141-$FJ141,2)&gt;0,1,0),0)</f>
        <v/>
      </c>
      <c r="FL141">
        <f>IF($FK141=1,$FL140+1,0)</f>
        <v/>
      </c>
    </row>
    <row r="142">
      <c r="A142">
        <f>'Month-End'!$EI$4</f>
        <v/>
      </c>
      <c r="B142">
        <f>EOMONTH($A142,0)</f>
        <v/>
      </c>
      <c r="C142">
        <f>MIN($B142,TODAY())</f>
        <v/>
      </c>
      <c r="D142">
        <f>IF($A142&gt;TODAY(),1,0)</f>
        <v/>
      </c>
      <c r="E142">
        <f>IF($B142&lt;=Settings!$B$5,"pre",IF($A142&lt;=Settings!$B$5,"open","post"))</f>
        <v/>
      </c>
      <c r="G142">
        <f>IF('Month-End'!$EI$22="",$BE142,N('Month-End'!$EI$22))</f>
        <v/>
      </c>
      <c r="H142">
        <f>IF('Month-End'!$EI$23="",$BF142,N('Month-End'!$EI$23))</f>
        <v/>
      </c>
      <c r="I142">
        <f>IF('Month-End'!$EI$24="",$BG142,N('Month-End'!$EI$24))</f>
        <v/>
      </c>
      <c r="J142">
        <f>IF('Month-End'!$EI$25="",$BH142,N('Month-End'!$EI$25))</f>
        <v/>
      </c>
      <c r="K142">
        <f>IF('Month-End'!$EI$26="",$BI142,N('Month-End'!$EI$26))</f>
        <v/>
      </c>
      <c r="L142">
        <f>IF('Month-End'!$EI$27="",$BJ142,N('Month-End'!$EI$27))</f>
        <v/>
      </c>
      <c r="M142">
        <f>IF('Month-End'!$EI$28="",$BK142,N('Month-End'!$EI$28))</f>
        <v/>
      </c>
      <c r="N142">
        <f>IF('Month-End'!$EI$29="",$BL142,N('Month-End'!$EI$29))</f>
        <v/>
      </c>
      <c r="O142">
        <f>IF('Month-End'!$EI$30="",$BM142,N('Month-End'!$EI$30))</f>
        <v/>
      </c>
      <c r="P142">
        <f>IF('Month-End'!$EI$31="",$BN142,N('Month-End'!$EI$31))</f>
        <v/>
      </c>
      <c r="Q142">
        <f>IF('Month-End'!$EI$32="",$BO142,N('Month-End'!$EI$32))</f>
        <v/>
      </c>
      <c r="R142">
        <f>IF('Month-End'!$EI$33="",$BP142,N('Month-End'!$EI$33))</f>
        <v/>
      </c>
      <c r="S142">
        <f>$G142+$H142+$I142+$J142+$K142+$L142+$M142+$N142+$O142+$P142+$Q142+$R142</f>
        <v/>
      </c>
      <c r="T142">
        <f>IF($B142&lt;Settings!$B$6,0,IF(Settings!$B$45="Yes",$G142,0)+IF(Settings!$B$46="Yes",$H142,0)+IF(Settings!$B$47="Yes",$I142,0)+IF(Settings!$B$48="Yes",$J142,0)+IF(Settings!$B$49="Yes",$K142,0)+IF(Settings!$B$50="Yes",$L142,0)+IF(Settings!$B$51="Yes",$M142,0)+IF(Settings!$B$52="Yes",$N142,0)+IF(Settings!$B$53="Yes",$O142,0)+IF(Settings!$B$54="Yes",$P142,0)+IF(Settings!$B$55="Yes",$Q142,0)+IF(Settings!$B$56="Yes",$R142,0))</f>
        <v/>
      </c>
      <c r="U142">
        <f>IF(Settings!$B$45="Not Sure",$G142,0)+IF(Settings!$B$46="Not Sure",$H142,0)+IF(Settings!$B$47="Not Sure",$I142,0)+IF(Settings!$B$48="Not Sure",$J142,0)+IF(Settings!$B$49="Not Sure",$K142,0)+IF(Settings!$B$50="Not Sure",$L142,0)+IF(Settings!$B$51="Not Sure",$M142,0)+IF(Settings!$B$52="Not Sure",$N142,0)+IF(Settings!$B$53="Not Sure",$O142,0)+IF(Settings!$B$54="Not Sure",$P142,0)+IF(Settings!$B$55="Not Sure",$Q142,0)+IF(Settings!$B$56="Not Sure",$R142,0)</f>
        <v/>
      </c>
      <c r="V142">
        <f>IF($E142="open",SUM($ET142:$FE142)+N(Settings!$B$13),0)</f>
        <v/>
      </c>
      <c r="W142">
        <f>IF($E142="post",$S142,IF($E142="open",$S142-$V142,0))</f>
        <v/>
      </c>
      <c r="X142">
        <f>SUMIFS(Giving!$B$7:$B$2006,Giving!$A$7:$A$2006,"&gt;="&amp;$A142,Giving!$A$7:$A$2006,"&lt;="&amp;$B142,Giving!$E$7:$E$2006,"&lt;&gt;No")</f>
        <v/>
      </c>
      <c r="Y142">
        <f>SUMIFS(Giving!$B$7:$B$2006,Giving!$A$7:$A$2006,"&gt;="&amp;$A142,Giving!$A$7:$A$2006,"&lt;="&amp;$B142,Giving!$E$7:$E$2006,"No")</f>
        <v/>
      </c>
      <c r="Z142">
        <f>IF(OR(Settings!$B$60="",Settings!$F$60="No"),0,Settings!$B$60*IF(AND(IF(Settings!$C$60="",$B142,DATE(YEAR($A142),MONTH($A142),MIN(Settings!$C$60,DAY($B142))))&gt;=MAX($A142,Settings!$D$60),IF(Settings!$C$60="",$B142,DATE(YEAR($A142),MONTH($A142),MIN(Settings!$C$60,DAY($B142))))&lt;=MIN($C142,IF(Settings!$E$60="",$C142,Settings!$E$60))),1,0))+IF(OR(Settings!$B$61="",Settings!$F$61="No"),0,Settings!$B$61*IF(AND(IF(Settings!$C$61="",$B142,DATE(YEAR($A142),MONTH($A142),MIN(Settings!$C$61,DAY($B142))))&gt;=MAX($A142,Settings!$D$61),IF(Settings!$C$61="",$B142,DATE(YEAR($A142),MONTH($A142),MIN(Settings!$C$61,DAY($B142))))&lt;=MIN($C142,IF(Settings!$E$61="",$C142,Settings!$E$61))),1,0))+IF(OR(Settings!$B$62="",Settings!$F$62="No"),0,Settings!$B$62*IF(AND(IF(Settings!$C$62="",$B142,DATE(YEAR($A142),MONTH($A142),MIN(Settings!$C$62,DAY($B142))))&gt;=MAX($A142,Settings!$D$62),IF(Settings!$C$62="",$B142,DATE(YEAR($A142),MONTH($A142),MIN(Settings!$C$62,DAY($B142))))&lt;=MIN($C142,IF(Settings!$E$62="",$C142,Settings!$E$62))),1,0))+IF(OR(Settings!$B$63="",Settings!$F$63="No"),0,Settings!$B$63*IF(AND(IF(Settings!$C$63="",$B142,DATE(YEAR($A142),MONTH($A142),MIN(Settings!$C$63,DAY($B142))))&gt;=MAX($A142,Settings!$D$63),IF(Settings!$C$63="",$B142,DATE(YEAR($A142),MONTH($A142),MIN(Settings!$C$63,DAY($B142))))&lt;=MIN($C142,IF(Settings!$E$63="",$C142,Settings!$E$63))),1,0))+IF(OR(Settings!$B$64="",Settings!$F$64="No"),0,Settings!$B$64*IF(AND(IF(Settings!$C$64="",$B142,DATE(YEAR($A142),MONTH($A142),MIN(Settings!$C$64,DAY($B142))))&gt;=MAX($A142,Settings!$D$64),IF(Settings!$C$64="",$B142,DATE(YEAR($A142),MONTH($A142),MIN(Settings!$C$64,DAY($B142))))&lt;=MIN($C142,IF(Settings!$E$64="",$C142,Settings!$E$64))),1,0))+IF(OR(Settings!$B$65="",Settings!$F$65="No"),0,Settings!$B$65*IF(AND(IF(Settings!$C$65="",$B142,DATE(YEAR($A142),MONTH($A142),MIN(Settings!$C$65,DAY($B142))))&gt;=MAX($A142,Settings!$D$65),IF(Settings!$C$65="",$B142,DATE(YEAR($A142),MONTH($A142),MIN(Settings!$C$65,DAY($B142))))&lt;=MIN($C142,IF(Settings!$E$65="",$C142,Settings!$E$65))),1,0))</f>
        <v/>
      </c>
      <c r="AA142">
        <f>$X142+$Z142</f>
        <v/>
      </c>
      <c r="AB142">
        <f>IF($E142="post",$AA142,IF($E142="open",SUMIFS(Giving!$B$7:$B$2006,Giving!$A$7:$A$2006,"&gt;"&amp;Settings!$B$5,Giving!$A$7:$A$2006,"&lt;="&amp;$B142,Giving!$E$7:$E$2006,"&lt;&gt;No")+IF(OR(Settings!$B$60="",Settings!$F$60="No"),0,Settings!$B$60*IF(AND(IF(Settings!$C$60="",$B142,DATE(YEAR($A142),MONTH($A142),MIN(Settings!$C$60,DAY($B142))))&gt;=MAX($A142,Settings!$D$60,Settings!$B$5+1),IF(Settings!$C$60="",$B142,DATE(YEAR($A142),MONTH($A142),MIN(Settings!$C$60,DAY($B142))))&lt;=MIN($C142,IF(Settings!$E$60="",$C142,Settings!$E$60))),1,0))+IF(OR(Settings!$B$61="",Settings!$F$61="No"),0,Settings!$B$61*IF(AND(IF(Settings!$C$61="",$B142,DATE(YEAR($A142),MONTH($A142),MIN(Settings!$C$61,DAY($B142))))&gt;=MAX($A142,Settings!$D$61,Settings!$B$5+1),IF(Settings!$C$61="",$B142,DATE(YEAR($A142),MONTH($A142),MIN(Settings!$C$61,DAY($B142))))&lt;=MIN($C142,IF(Settings!$E$61="",$C142,Settings!$E$61))),1,0))+IF(OR(Settings!$B$62="",Settings!$F$62="No"),0,Settings!$B$62*IF(AND(IF(Settings!$C$62="",$B142,DATE(YEAR($A142),MONTH($A142),MIN(Settings!$C$62,DAY($B142))))&gt;=MAX($A142,Settings!$D$62,Settings!$B$5+1),IF(Settings!$C$62="",$B142,DATE(YEAR($A142),MONTH($A142),MIN(Settings!$C$62,DAY($B142))))&lt;=MIN($C142,IF(Settings!$E$62="",$C142,Settings!$E$62))),1,0))+IF(OR(Settings!$B$63="",Settings!$F$63="No"),0,Settings!$B$63*IF(AND(IF(Settings!$C$63="",$B142,DATE(YEAR($A142),MONTH($A142),MIN(Settings!$C$63,DAY($B142))))&gt;=MAX($A142,Settings!$D$63,Settings!$B$5+1),IF(Settings!$C$63="",$B142,DATE(YEAR($A142),MONTH($A142),MIN(Settings!$C$63,DAY($B142))))&lt;=MIN($C142,IF(Settings!$E$63="",$C142,Settings!$E$63))),1,0))+IF(OR(Settings!$B$64="",Settings!$F$64="No"),0,Settings!$B$64*IF(AND(IF(Settings!$C$64="",$B142,DATE(YEAR($A142),MONTH($A142),MIN(Settings!$C$64,DAY($B142))))&gt;=MAX($A142,Settings!$D$64,Settings!$B$5+1),IF(Settings!$C$64="",$B142,DATE(YEAR($A142),MONTH($A142),MIN(Settings!$C$64,DAY($B142))))&lt;=MIN($C142,IF(Settings!$E$64="",$C142,Settings!$E$64))),1,0))+IF(OR(Settings!$B$65="",Settings!$F$65="No"),0,Settings!$B$65*IF(AND(IF(Settings!$C$65="",$B142,DATE(YEAR($A142),MONTH($A142),MIN(Settings!$C$65,DAY($B142))))&gt;=MAX($A142,Settings!$D$65,Settings!$B$5+1),IF(Settings!$C$65="",$B142,DATE(YEAR($A142),MONTH($A142),MIN(Settings!$C$65,DAY($B142))))&lt;=MIN($C142,IF(Settings!$E$65="",$C142,Settings!$E$65))),1,0)),0))</f>
        <v/>
      </c>
      <c r="AC142">
        <f>$AY142+$AZ142+$BA142+$BB142+$BC142+$BD142</f>
        <v/>
      </c>
      <c r="AD142">
        <f>$AC142</f>
        <v/>
      </c>
      <c r="AE142">
        <f>IF(OR(Settings!$A$19="",$E142="pre"),"",IF(AND('Month-End'!$EI$7&lt;&gt;"",NOT(_xlfn.ISFORMULA('Month-End'!$EI$7))),N('Month-End'!$EI$7),IF(OR($E142="open",$E141="pre"),N(Settings!$C$19),N($AE141))))</f>
        <v/>
      </c>
      <c r="AF142">
        <f>IF(OR(Settings!$A$20="",$E142="pre"),"",IF(AND('Month-End'!$EI$8&lt;&gt;"",NOT(_xlfn.ISFORMULA('Month-End'!$EI$8))),N('Month-End'!$EI$8),IF(OR($E142="open",$E141="pre"),N(Settings!$C$20),N($AF141))))</f>
        <v/>
      </c>
      <c r="AG142">
        <f>IF(OR(Settings!$A$21="",$E142="pre"),"",IF(AND('Month-End'!$EI$9&lt;&gt;"",NOT(_xlfn.ISFORMULA('Month-End'!$EI$9))),N('Month-End'!$EI$9),IF(OR($E142="open",$E141="pre"),N(Settings!$C$21),N($AG141))))</f>
        <v/>
      </c>
      <c r="AH142">
        <f>IF(OR(Settings!$A$22="",$E142="pre"),"",IF(AND('Month-End'!$EI$10&lt;&gt;"",NOT(_xlfn.ISFORMULA('Month-End'!$EI$10))),N('Month-End'!$EI$10),IF(OR($E142="open",$E141="pre"),N(Settings!$C$22),N($AH141))))</f>
        <v/>
      </c>
      <c r="AI142">
        <f>IF(OR(Settings!$A$23="",$E142="pre"),"",IF(AND('Month-End'!$EI$11&lt;&gt;"",NOT(_xlfn.ISFORMULA('Month-End'!$EI$11))),N('Month-End'!$EI$11),IF(OR($E142="open",$E141="pre"),N(Settings!$C$23),N($AI141))))</f>
        <v/>
      </c>
      <c r="AJ142">
        <f>IF(OR(Settings!$A$24="",$E142="pre"),"",IF(AND('Month-End'!$EI$12&lt;&gt;"",NOT(_xlfn.ISFORMULA('Month-End'!$EI$12))),N('Month-End'!$EI$12),IF(OR($E142="open",$E141="pre"),N(Settings!$C$24),N($AJ141))))</f>
        <v/>
      </c>
      <c r="AK142">
        <f>IF(OR(Settings!$A$25="",$E142="pre"),"",IF(AND('Month-End'!$EI$13&lt;&gt;"",NOT(_xlfn.ISFORMULA('Month-End'!$EI$13))),N('Month-End'!$EI$13),IF(OR($E142="open",$E141="pre"),N(Settings!$C$25),N($AK141))))</f>
        <v/>
      </c>
      <c r="AL142">
        <f>IF(OR(Settings!$A$26="",$E142="pre"),"",IF(AND('Month-End'!$EI$14&lt;&gt;"",NOT(_xlfn.ISFORMULA('Month-End'!$EI$14))),N('Month-End'!$EI$14),IF(OR($E142="open",$E141="pre"),N(Settings!$C$26),N($AL141))))</f>
        <v/>
      </c>
      <c r="AM142">
        <f>IF(OR(Settings!$A$27="",$E142="pre"),"",IF(AND('Month-End'!$EI$15&lt;&gt;"",NOT(_xlfn.ISFORMULA('Month-End'!$EI$15))),N('Month-End'!$EI$15),IF(OR($E142="open",$E141="pre"),N(Settings!$C$27),N($AM141))))</f>
        <v/>
      </c>
      <c r="AN142">
        <f>IF(OR(Settings!$A$28="",$E142="pre"),"",IF(AND('Month-End'!$EI$16&lt;&gt;"",NOT(_xlfn.ISFORMULA('Month-End'!$EI$16))),N('Month-End'!$EI$16),IF(OR($E142="open",$E141="pre"),N(Settings!$C$28),N($AN141))))</f>
        <v/>
      </c>
      <c r="AO142">
        <f>IF(OR(Settings!$A$29="",$E142="pre"),"",IF(AND('Month-End'!$EI$17&lt;&gt;"",NOT(_xlfn.ISFORMULA('Month-End'!$EI$17))),N('Month-End'!$EI$17),IF(OR($E142="open",$E141="pre"),N(Settings!$C$29),N($AO141))))</f>
        <v/>
      </c>
      <c r="AP142">
        <f>IF(OR(Settings!$A$30="",$E142="pre"),"",IF(AND('Month-End'!$EI$18&lt;&gt;"",NOT(_xlfn.ISFORMULA('Month-End'!$EI$18))),N('Month-End'!$EI$18),IF(OR($E142="open",$E141="pre"),N(Settings!$C$30),N($AP141))))</f>
        <v/>
      </c>
      <c r="AQ142">
        <f>IF(OR(Settings!$A$31="",$E142="pre"),"",IF(AND('Month-End'!$EI$19&lt;&gt;"",NOT(_xlfn.ISFORMULA('Month-End'!$EI$19))),N('Month-End'!$EI$19),IF(OR($E142="open",$E141="pre"),N(Settings!$C$31),N($AQ141))))</f>
        <v/>
      </c>
      <c r="AR142">
        <f>IF(OR(Settings!$A$32="",$E142="pre"),"",IF(AND('Month-End'!$EI$20&lt;&gt;"",NOT(_xlfn.ISFORMULA('Month-End'!$EI$20))),N('Month-End'!$EI$20),IF(OR($E142="open",$E141="pre"),N(Settings!$C$32),N($AR141))))</f>
        <v/>
      </c>
      <c r="AS142">
        <f>IF(OR(Settings!$A$36="",$E142="pre"),"",IF(AND('Month-End'!$EI$38&lt;&gt;"",NOT(_xlfn.ISFORMULA('Month-End'!$EI$38))),N('Month-End'!$EI$38),IF(OR($E142="open",$E141="pre"),N(Settings!$C$36),N($AS141))+$AY142))</f>
        <v/>
      </c>
      <c r="AT142">
        <f>IF(OR(Settings!$A$37="",$E142="pre"),"",IF(AND('Month-End'!$EI$39&lt;&gt;"",NOT(_xlfn.ISFORMULA('Month-End'!$EI$39))),N('Month-End'!$EI$39),IF(OR($E142="open",$E141="pre"),N(Settings!$C$37),N($AT141))+$AZ142))</f>
        <v/>
      </c>
      <c r="AU142">
        <f>IF(OR(Settings!$A$38="",$E142="pre"),"",IF(AND('Month-End'!$EI$40&lt;&gt;"",NOT(_xlfn.ISFORMULA('Month-End'!$EI$40))),N('Month-End'!$EI$40),IF(OR($E142="open",$E141="pre"),N(Settings!$C$38),N($AU141))+$BA142))</f>
        <v/>
      </c>
      <c r="AV142">
        <f>IF(OR(Settings!$A$39="",$E142="pre"),"",IF(AND('Month-End'!$EI$41&lt;&gt;"",NOT(_xlfn.ISFORMULA('Month-End'!$EI$41))),N('Month-End'!$EI$41),IF(OR($E142="open",$E141="pre"),N(Settings!$C$39),N($AV141))+$BB142))</f>
        <v/>
      </c>
      <c r="AW142">
        <f>IF(OR(Settings!$A$40="",$E142="pre"),"",IF(AND('Month-End'!$EI$42&lt;&gt;"",NOT(_xlfn.ISFORMULA('Month-End'!$EI$42))),N('Month-End'!$EI$42),IF(OR($E142="open",$E141="pre"),N(Settings!$C$40),N($AW141))+$BC142))</f>
        <v/>
      </c>
      <c r="AX142">
        <f>IF(OR(Settings!$A$41="",$E142="pre"),"",IF(AND('Month-End'!$EI$43&lt;&gt;"",NOT(_xlfn.ISFORMULA('Month-End'!$EI$43))),N('Month-End'!$EI$43),IF(OR($E142="open",$E141="pre"),N(Settings!$C$41),N($AX141))+$BD142))</f>
        <v/>
      </c>
      <c r="AY142">
        <f>IF($E142="pre",0,N('Month-End'!$EI$45))</f>
        <v/>
      </c>
      <c r="AZ142">
        <f>IF($E142="pre",0,N('Month-End'!$EI$46))</f>
        <v/>
      </c>
      <c r="BA142">
        <f>IF($E142="pre",0,N('Month-End'!$EI$47))</f>
        <v/>
      </c>
      <c r="BB142">
        <f>IF($E142="pre",0,N('Month-End'!$EI$48))</f>
        <v/>
      </c>
      <c r="BC142">
        <f>IF($E142="pre",0,N('Month-End'!$EI$49))</f>
        <v/>
      </c>
      <c r="BD142">
        <f>IF($E142="pre",0,N('Month-End'!$EI$50))</f>
        <v/>
      </c>
      <c r="BE142">
        <f>IF(OR(Settings!$C$45="",Settings!$D$45=""),0,Settings!$C$45*IF(Settings!$D$45="Weekly",IF(IFERROR(MATCH(Settings!$E$45,$EO$4:$EO$10,0),0)=0,0,IF(MIN($C142,IF(Settings!$G$45="",$C142,Settings!$G$45))&lt;MAX($A142,Settings!$F$45),0,INT((MIN($C142,IF(Settings!$G$45="",$C142,Settings!$G$45))-MAX($A142,Settings!$F$45)-MOD(IFERROR(MATCH(Settings!$E$45,$EO$4:$EO$10,0),0)-WEEKDAY(MAX($A142,Settings!$F$45)),7))/7)+1)),IF(AND(IF(Settings!$E$45="",$B142,DATE(YEAR($A142),MONTH($A142),MIN(Settings!$E$45,DAY($B142))))&gt;=MAX($A142,Settings!$F$45),IF(Settings!$E$45="",$B142,DATE(YEAR($A142),MONTH($A142),MIN(Settings!$E$45,DAY($B142))))&lt;=MIN($C142,IF(Settings!$G$45="",$C142,Settings!$G$45))),1,0)))</f>
        <v/>
      </c>
      <c r="BF142">
        <f>IF(OR(Settings!$C$46="",Settings!$D$46=""),0,Settings!$C$46*IF(Settings!$D$46="Weekly",IF(IFERROR(MATCH(Settings!$E$46,$EO$4:$EO$10,0),0)=0,0,IF(MIN($C142,IF(Settings!$G$46="",$C142,Settings!$G$46))&lt;MAX($A142,Settings!$F$46),0,INT((MIN($C142,IF(Settings!$G$46="",$C142,Settings!$G$46))-MAX($A142,Settings!$F$46)-MOD(IFERROR(MATCH(Settings!$E$46,$EO$4:$EO$10,0),0)-WEEKDAY(MAX($A142,Settings!$F$46)),7))/7)+1)),IF(AND(IF(Settings!$E$46="",$B142,DATE(YEAR($A142),MONTH($A142),MIN(Settings!$E$46,DAY($B142))))&gt;=MAX($A142,Settings!$F$46),IF(Settings!$E$46="",$B142,DATE(YEAR($A142),MONTH($A142),MIN(Settings!$E$46,DAY($B142))))&lt;=MIN($C142,IF(Settings!$G$46="",$C142,Settings!$G$46))),1,0)))</f>
        <v/>
      </c>
      <c r="BG142">
        <f>IF(OR(Settings!$C$47="",Settings!$D$47=""),0,Settings!$C$47*IF(Settings!$D$47="Weekly",IF(IFERROR(MATCH(Settings!$E$47,$EO$4:$EO$10,0),0)=0,0,IF(MIN($C142,IF(Settings!$G$47="",$C142,Settings!$G$47))&lt;MAX($A142,Settings!$F$47),0,INT((MIN($C142,IF(Settings!$G$47="",$C142,Settings!$G$47))-MAX($A142,Settings!$F$47)-MOD(IFERROR(MATCH(Settings!$E$47,$EO$4:$EO$10,0),0)-WEEKDAY(MAX($A142,Settings!$F$47)),7))/7)+1)),IF(AND(IF(Settings!$E$47="",$B142,DATE(YEAR($A142),MONTH($A142),MIN(Settings!$E$47,DAY($B142))))&gt;=MAX($A142,Settings!$F$47),IF(Settings!$E$47="",$B142,DATE(YEAR($A142),MONTH($A142),MIN(Settings!$E$47,DAY($B142))))&lt;=MIN($C142,IF(Settings!$G$47="",$C142,Settings!$G$47))),1,0)))</f>
        <v/>
      </c>
      <c r="BH142">
        <f>IF(OR(Settings!$C$48="",Settings!$D$48=""),0,Settings!$C$48*IF(Settings!$D$48="Weekly",IF(IFERROR(MATCH(Settings!$E$48,$EO$4:$EO$10,0),0)=0,0,IF(MIN($C142,IF(Settings!$G$48="",$C142,Settings!$G$48))&lt;MAX($A142,Settings!$F$48),0,INT((MIN($C142,IF(Settings!$G$48="",$C142,Settings!$G$48))-MAX($A142,Settings!$F$48)-MOD(IFERROR(MATCH(Settings!$E$48,$EO$4:$EO$10,0),0)-WEEKDAY(MAX($A142,Settings!$F$48)),7))/7)+1)),IF(AND(IF(Settings!$E$48="",$B142,DATE(YEAR($A142),MONTH($A142),MIN(Settings!$E$48,DAY($B142))))&gt;=MAX($A142,Settings!$F$48),IF(Settings!$E$48="",$B142,DATE(YEAR($A142),MONTH($A142),MIN(Settings!$E$48,DAY($B142))))&lt;=MIN($C142,IF(Settings!$G$48="",$C142,Settings!$G$48))),1,0)))</f>
        <v/>
      </c>
      <c r="BI142">
        <f>IF(OR(Settings!$C$49="",Settings!$D$49=""),0,Settings!$C$49*IF(Settings!$D$49="Weekly",IF(IFERROR(MATCH(Settings!$E$49,$EO$4:$EO$10,0),0)=0,0,IF(MIN($C142,IF(Settings!$G$49="",$C142,Settings!$G$49))&lt;MAX($A142,Settings!$F$49),0,INT((MIN($C142,IF(Settings!$G$49="",$C142,Settings!$G$49))-MAX($A142,Settings!$F$49)-MOD(IFERROR(MATCH(Settings!$E$49,$EO$4:$EO$10,0),0)-WEEKDAY(MAX($A142,Settings!$F$49)),7))/7)+1)),IF(AND(IF(Settings!$E$49="",$B142,DATE(YEAR($A142),MONTH($A142),MIN(Settings!$E$49,DAY($B142))))&gt;=MAX($A142,Settings!$F$49),IF(Settings!$E$49="",$B142,DATE(YEAR($A142),MONTH($A142),MIN(Settings!$E$49,DAY($B142))))&lt;=MIN($C142,IF(Settings!$G$49="",$C142,Settings!$G$49))),1,0)))</f>
        <v/>
      </c>
      <c r="BJ142">
        <f>IF(OR(Settings!$C$50="",Settings!$D$50=""),0,Settings!$C$50*IF(Settings!$D$50="Weekly",IF(IFERROR(MATCH(Settings!$E$50,$EO$4:$EO$10,0),0)=0,0,IF(MIN($C142,IF(Settings!$G$50="",$C142,Settings!$G$50))&lt;MAX($A142,Settings!$F$50),0,INT((MIN($C142,IF(Settings!$G$50="",$C142,Settings!$G$50))-MAX($A142,Settings!$F$50)-MOD(IFERROR(MATCH(Settings!$E$50,$EO$4:$EO$10,0),0)-WEEKDAY(MAX($A142,Settings!$F$50)),7))/7)+1)),IF(AND(IF(Settings!$E$50="",$B142,DATE(YEAR($A142),MONTH($A142),MIN(Settings!$E$50,DAY($B142))))&gt;=MAX($A142,Settings!$F$50),IF(Settings!$E$50="",$B142,DATE(YEAR($A142),MONTH($A142),MIN(Settings!$E$50,DAY($B142))))&lt;=MIN($C142,IF(Settings!$G$50="",$C142,Settings!$G$50))),1,0)))</f>
        <v/>
      </c>
      <c r="BK142">
        <f>IF(OR(Settings!$C$51="",Settings!$D$51=""),0,Settings!$C$51*IF(Settings!$D$51="Weekly",IF(IFERROR(MATCH(Settings!$E$51,$EO$4:$EO$10,0),0)=0,0,IF(MIN($C142,IF(Settings!$G$51="",$C142,Settings!$G$51))&lt;MAX($A142,Settings!$F$51),0,INT((MIN($C142,IF(Settings!$G$51="",$C142,Settings!$G$51))-MAX($A142,Settings!$F$51)-MOD(IFERROR(MATCH(Settings!$E$51,$EO$4:$EO$10,0),0)-WEEKDAY(MAX($A142,Settings!$F$51)),7))/7)+1)),IF(AND(IF(Settings!$E$51="",$B142,DATE(YEAR($A142),MONTH($A142),MIN(Settings!$E$51,DAY($B142))))&gt;=MAX($A142,Settings!$F$51),IF(Settings!$E$51="",$B142,DATE(YEAR($A142),MONTH($A142),MIN(Settings!$E$51,DAY($B142))))&lt;=MIN($C142,IF(Settings!$G$51="",$C142,Settings!$G$51))),1,0)))</f>
        <v/>
      </c>
      <c r="BL142">
        <f>IF(OR(Settings!$C$52="",Settings!$D$52=""),0,Settings!$C$52*IF(Settings!$D$52="Weekly",IF(IFERROR(MATCH(Settings!$E$52,$EO$4:$EO$10,0),0)=0,0,IF(MIN($C142,IF(Settings!$G$52="",$C142,Settings!$G$52))&lt;MAX($A142,Settings!$F$52),0,INT((MIN($C142,IF(Settings!$G$52="",$C142,Settings!$G$52))-MAX($A142,Settings!$F$52)-MOD(IFERROR(MATCH(Settings!$E$52,$EO$4:$EO$10,0),0)-WEEKDAY(MAX($A142,Settings!$F$52)),7))/7)+1)),IF(AND(IF(Settings!$E$52="",$B142,DATE(YEAR($A142),MONTH($A142),MIN(Settings!$E$52,DAY($B142))))&gt;=MAX($A142,Settings!$F$52),IF(Settings!$E$52="",$B142,DATE(YEAR($A142),MONTH($A142),MIN(Settings!$E$52,DAY($B142))))&lt;=MIN($C142,IF(Settings!$G$52="",$C142,Settings!$G$52))),1,0)))</f>
        <v/>
      </c>
      <c r="BM142">
        <f>IF(OR(Settings!$C$53="",Settings!$D$53=""),0,Settings!$C$53*IF(Settings!$D$53="Weekly",IF(IFERROR(MATCH(Settings!$E$53,$EO$4:$EO$10,0),0)=0,0,IF(MIN($C142,IF(Settings!$G$53="",$C142,Settings!$G$53))&lt;MAX($A142,Settings!$F$53),0,INT((MIN($C142,IF(Settings!$G$53="",$C142,Settings!$G$53))-MAX($A142,Settings!$F$53)-MOD(IFERROR(MATCH(Settings!$E$53,$EO$4:$EO$10,0),0)-WEEKDAY(MAX($A142,Settings!$F$53)),7))/7)+1)),IF(AND(IF(Settings!$E$53="",$B142,DATE(YEAR($A142),MONTH($A142),MIN(Settings!$E$53,DAY($B142))))&gt;=MAX($A142,Settings!$F$53),IF(Settings!$E$53="",$B142,DATE(YEAR($A142),MONTH($A142),MIN(Settings!$E$53,DAY($B142))))&lt;=MIN($C142,IF(Settings!$G$53="",$C142,Settings!$G$53))),1,0)))</f>
        <v/>
      </c>
      <c r="BN142">
        <f>IF(OR(Settings!$C$54="",Settings!$D$54=""),0,Settings!$C$54*IF(Settings!$D$54="Weekly",IF(IFERROR(MATCH(Settings!$E$54,$EO$4:$EO$10,0),0)=0,0,IF(MIN($C142,IF(Settings!$G$54="",$C142,Settings!$G$54))&lt;MAX($A142,Settings!$F$54),0,INT((MIN($C142,IF(Settings!$G$54="",$C142,Settings!$G$54))-MAX($A142,Settings!$F$54)-MOD(IFERROR(MATCH(Settings!$E$54,$EO$4:$EO$10,0),0)-WEEKDAY(MAX($A142,Settings!$F$54)),7))/7)+1)),IF(AND(IF(Settings!$E$54="",$B142,DATE(YEAR($A142),MONTH($A142),MIN(Settings!$E$54,DAY($B142))))&gt;=MAX($A142,Settings!$F$54),IF(Settings!$E$54="",$B142,DATE(YEAR($A142),MONTH($A142),MIN(Settings!$E$54,DAY($B142))))&lt;=MIN($C142,IF(Settings!$G$54="",$C142,Settings!$G$54))),1,0)))</f>
        <v/>
      </c>
      <c r="BO142">
        <f>IF(OR(Settings!$C$55="",Settings!$D$55=""),0,Settings!$C$55*IF(Settings!$D$55="Weekly",IF(IFERROR(MATCH(Settings!$E$55,$EO$4:$EO$10,0),0)=0,0,IF(MIN($C142,IF(Settings!$G$55="",$C142,Settings!$G$55))&lt;MAX($A142,Settings!$F$55),0,INT((MIN($C142,IF(Settings!$G$55="",$C142,Settings!$G$55))-MAX($A142,Settings!$F$55)-MOD(IFERROR(MATCH(Settings!$E$55,$EO$4:$EO$10,0),0)-WEEKDAY(MAX($A142,Settings!$F$55)),7))/7)+1)),IF(AND(IF(Settings!$E$55="",$B142,DATE(YEAR($A142),MONTH($A142),MIN(Settings!$E$55,DAY($B142))))&gt;=MAX($A142,Settings!$F$55),IF(Settings!$E$55="",$B142,DATE(YEAR($A142),MONTH($A142),MIN(Settings!$E$55,DAY($B142))))&lt;=MIN($C142,IF(Settings!$G$55="",$C142,Settings!$G$55))),1,0)))</f>
        <v/>
      </c>
      <c r="BP142">
        <f>IF(OR(Settings!$C$56="",Settings!$D$56=""),0,Settings!$C$56*IF(Settings!$D$56="Weekly",IF(IFERROR(MATCH(Settings!$E$56,$EO$4:$EO$10,0),0)=0,0,IF(MIN($C142,IF(Settings!$G$56="",$C142,Settings!$G$56))&lt;MAX($A142,Settings!$F$56),0,INT((MIN($C142,IF(Settings!$G$56="",$C142,Settings!$G$56))-MAX($A142,Settings!$F$56)-MOD(IFERROR(MATCH(Settings!$E$56,$EO$4:$EO$10,0),0)-WEEKDAY(MAX($A142,Settings!$F$56)),7))/7)+1)),IF(AND(IF(Settings!$E$56="",$B142,DATE(YEAR($A142),MONTH($A142),MIN(Settings!$E$56,DAY($B142))))&gt;=MAX($A142,Settings!$F$56),IF(Settings!$E$56="",$B142,DATE(YEAR($A142),MONTH($A142),MIN(Settings!$E$56,DAY($B142))))&lt;=MIN($C142,IF(Settings!$G$56="",$C142,Settings!$G$56))),1,0)))</f>
        <v/>
      </c>
      <c r="BQ142">
        <f>IF(OR(Settings!$B$14="",$D142=1,$E142="pre",$A142&lt;IF(Settings!$B$15="",0,Settings!$B$15)),0,Settings!$B$14)</f>
        <v/>
      </c>
      <c r="BR142">
        <f>IF(AND('Month-End'!$EI$7&lt;&gt;"",NOT(_xlfn.ISFORMULA('Month-End'!$EI$7))),1,0)</f>
        <v/>
      </c>
      <c r="BS142">
        <f>IF(AND('Month-End'!$EI$8&lt;&gt;"",NOT(_xlfn.ISFORMULA('Month-End'!$EI$8))),1,0)</f>
        <v/>
      </c>
      <c r="BT142">
        <f>IF(AND('Month-End'!$EI$9&lt;&gt;"",NOT(_xlfn.ISFORMULA('Month-End'!$EI$9))),1,0)</f>
        <v/>
      </c>
      <c r="BU142">
        <f>IF(AND('Month-End'!$EI$10&lt;&gt;"",NOT(_xlfn.ISFORMULA('Month-End'!$EI$10))),1,0)</f>
        <v/>
      </c>
      <c r="BV142">
        <f>IF(AND('Month-End'!$EI$11&lt;&gt;"",NOT(_xlfn.ISFORMULA('Month-End'!$EI$11))),1,0)</f>
        <v/>
      </c>
      <c r="BW142">
        <f>IF(AND('Month-End'!$EI$12&lt;&gt;"",NOT(_xlfn.ISFORMULA('Month-End'!$EI$12))),1,0)</f>
        <v/>
      </c>
      <c r="BX142">
        <f>IF(AND('Month-End'!$EI$13&lt;&gt;"",NOT(_xlfn.ISFORMULA('Month-End'!$EI$13))),1,0)</f>
        <v/>
      </c>
      <c r="BY142">
        <f>IF(AND('Month-End'!$EI$14&lt;&gt;"",NOT(_xlfn.ISFORMULA('Month-End'!$EI$14))),1,0)</f>
        <v/>
      </c>
      <c r="BZ142">
        <f>IF(AND('Month-End'!$EI$15&lt;&gt;"",NOT(_xlfn.ISFORMULA('Month-End'!$EI$15))),1,0)</f>
        <v/>
      </c>
      <c r="CA142">
        <f>IF(AND('Month-End'!$EI$16&lt;&gt;"",NOT(_xlfn.ISFORMULA('Month-End'!$EI$16))),1,0)</f>
        <v/>
      </c>
      <c r="CB142">
        <f>IF(AND('Month-End'!$EI$17&lt;&gt;"",NOT(_xlfn.ISFORMULA('Month-End'!$EI$17))),1,0)</f>
        <v/>
      </c>
      <c r="CC142">
        <f>IF(AND('Month-End'!$EI$18&lt;&gt;"",NOT(_xlfn.ISFORMULA('Month-End'!$EI$18))),1,0)</f>
        <v/>
      </c>
      <c r="CD142">
        <f>IF(AND('Month-End'!$EI$19&lt;&gt;"",NOT(_xlfn.ISFORMULA('Month-End'!$EI$19))),1,0)</f>
        <v/>
      </c>
      <c r="CE142">
        <f>IF(AND('Month-End'!$EI$20&lt;&gt;"",NOT(_xlfn.ISFORMULA('Month-End'!$EI$20))),1,0)</f>
        <v/>
      </c>
      <c r="CF142">
        <f>IF(AND('Month-End'!$EI$38&lt;&gt;"",NOT(_xlfn.ISFORMULA('Month-End'!$EI$38))),1,0)</f>
        <v/>
      </c>
      <c r="CG142">
        <f>IF(AND('Month-End'!$EI$39&lt;&gt;"",NOT(_xlfn.ISFORMULA('Month-End'!$EI$39))),1,0)</f>
        <v/>
      </c>
      <c r="CH142">
        <f>IF(AND('Month-End'!$EI$40&lt;&gt;"",NOT(_xlfn.ISFORMULA('Month-End'!$EI$40))),1,0)</f>
        <v/>
      </c>
      <c r="CI142">
        <f>IF(AND('Month-End'!$EI$41&lt;&gt;"",NOT(_xlfn.ISFORMULA('Month-End'!$EI$41))),1,0)</f>
        <v/>
      </c>
      <c r="CJ142">
        <f>IF(AND('Month-End'!$EI$42&lt;&gt;"",NOT(_xlfn.ISFORMULA('Month-End'!$EI$42))),1,0)</f>
        <v/>
      </c>
      <c r="CK142">
        <f>IF(AND('Month-End'!$EI$43&lt;&gt;"",NOT(_xlfn.ISFORMULA('Month-End'!$EI$43))),1,0)</f>
        <v/>
      </c>
      <c r="CL142">
        <f>SUM($CM142:$CZ142)</f>
        <v/>
      </c>
      <c r="CM142">
        <f>IF(AND($E142&lt;&gt;"pre",AND(Settings!$A$19&lt;&gt;"",Settings!$E$19&lt;&gt;"No"),Settings!$F$19="Yes",NOT(AND('Month-End'!$EI$7&lt;&gt;"",NOT(_xlfn.ISFORMULA('Month-End'!$EI$7))))),1,0)</f>
        <v/>
      </c>
      <c r="CN142">
        <f>IF(AND($E142&lt;&gt;"pre",AND(Settings!$A$20&lt;&gt;"",Settings!$E$20&lt;&gt;"No"),Settings!$F$20="Yes",NOT(AND('Month-End'!$EI$8&lt;&gt;"",NOT(_xlfn.ISFORMULA('Month-End'!$EI$8))))),1,0)</f>
        <v/>
      </c>
      <c r="CO142">
        <f>IF(AND($E142&lt;&gt;"pre",AND(Settings!$A$21&lt;&gt;"",Settings!$E$21&lt;&gt;"No"),Settings!$F$21="Yes",NOT(AND('Month-End'!$EI$9&lt;&gt;"",NOT(_xlfn.ISFORMULA('Month-End'!$EI$9))))),1,0)</f>
        <v/>
      </c>
      <c r="CP142">
        <f>IF(AND($E142&lt;&gt;"pre",AND(Settings!$A$22&lt;&gt;"",Settings!$E$22&lt;&gt;"No"),Settings!$F$22="Yes",NOT(AND('Month-End'!$EI$10&lt;&gt;"",NOT(_xlfn.ISFORMULA('Month-End'!$EI$10))))),1,0)</f>
        <v/>
      </c>
      <c r="CQ142">
        <f>IF(AND($E142&lt;&gt;"pre",AND(Settings!$A$23&lt;&gt;"",Settings!$E$23&lt;&gt;"No"),Settings!$F$23="Yes",NOT(AND('Month-End'!$EI$11&lt;&gt;"",NOT(_xlfn.ISFORMULA('Month-End'!$EI$11))))),1,0)</f>
        <v/>
      </c>
      <c r="CR142">
        <f>IF(AND($E142&lt;&gt;"pre",AND(Settings!$A$24&lt;&gt;"",Settings!$E$24&lt;&gt;"No"),Settings!$F$24="Yes",NOT(AND('Month-End'!$EI$12&lt;&gt;"",NOT(_xlfn.ISFORMULA('Month-End'!$EI$12))))),1,0)</f>
        <v/>
      </c>
      <c r="CS142">
        <f>IF(AND($E142&lt;&gt;"pre",AND(Settings!$A$25&lt;&gt;"",Settings!$E$25&lt;&gt;"No"),Settings!$F$25="Yes",NOT(AND('Month-End'!$EI$13&lt;&gt;"",NOT(_xlfn.ISFORMULA('Month-End'!$EI$13))))),1,0)</f>
        <v/>
      </c>
      <c r="CT142">
        <f>IF(AND($E142&lt;&gt;"pre",AND(Settings!$A$26&lt;&gt;"",Settings!$E$26&lt;&gt;"No"),Settings!$F$26="Yes",NOT(AND('Month-End'!$EI$14&lt;&gt;"",NOT(_xlfn.ISFORMULA('Month-End'!$EI$14))))),1,0)</f>
        <v/>
      </c>
      <c r="CU142">
        <f>IF(AND($E142&lt;&gt;"pre",AND(Settings!$A$27&lt;&gt;"",Settings!$E$27&lt;&gt;"No"),Settings!$F$27="Yes",NOT(AND('Month-End'!$EI$15&lt;&gt;"",NOT(_xlfn.ISFORMULA('Month-End'!$EI$15))))),1,0)</f>
        <v/>
      </c>
      <c r="CV142">
        <f>IF(AND($E142&lt;&gt;"pre",AND(Settings!$A$28&lt;&gt;"",Settings!$E$28&lt;&gt;"No"),Settings!$F$28="Yes",NOT(AND('Month-End'!$EI$16&lt;&gt;"",NOT(_xlfn.ISFORMULA('Month-End'!$EI$16))))),1,0)</f>
        <v/>
      </c>
      <c r="CW142">
        <f>IF(AND($E142&lt;&gt;"pre",AND(Settings!$A$29&lt;&gt;"",Settings!$E$29&lt;&gt;"No"),Settings!$F$29="Yes",NOT(AND('Month-End'!$EI$17&lt;&gt;"",NOT(_xlfn.ISFORMULA('Month-End'!$EI$17))))),1,0)</f>
        <v/>
      </c>
      <c r="CX142">
        <f>IF(AND($E142&lt;&gt;"pre",AND(Settings!$A$30&lt;&gt;"",Settings!$E$30&lt;&gt;"No"),Settings!$F$30="Yes",NOT(AND('Month-End'!$EI$18&lt;&gt;"",NOT(_xlfn.ISFORMULA('Month-End'!$EI$18))))),1,0)</f>
        <v/>
      </c>
      <c r="CY142">
        <f>IF(AND($E142&lt;&gt;"pre",AND(Settings!$A$31&lt;&gt;"",Settings!$E$31&lt;&gt;"No"),Settings!$F$31="Yes",NOT(AND('Month-End'!$EI$19&lt;&gt;"",NOT(_xlfn.ISFORMULA('Month-End'!$EI$19))))),1,0)</f>
        <v/>
      </c>
      <c r="CZ142">
        <f>IF(AND($E142&lt;&gt;"pre",AND(Settings!$A$32&lt;&gt;"",Settings!$E$32&lt;&gt;"No"),Settings!$F$32="Yes",NOT(AND('Month-End'!$EI$20&lt;&gt;"",NOT(_xlfn.ISFORMULA('Month-End'!$EI$20))))),1,0)</f>
        <v/>
      </c>
      <c r="DA142">
        <f>IF($DT142=1,IF(OR(Settings!$B$19="Checking",Settings!$B$19="Savings",Settings!$B$19="Cash"),N($AE142),IF(OR(Settings!$B$19="Card",Settings!$B$19="Loan"),-N($AE142),0))+IF(OR(Settings!$B$20="Checking",Settings!$B$20="Savings",Settings!$B$20="Cash"),N($AF142),IF(OR(Settings!$B$20="Card",Settings!$B$20="Loan"),-N($AF142),0))+IF(OR(Settings!$B$21="Checking",Settings!$B$21="Savings",Settings!$B$21="Cash"),N($AG142),IF(OR(Settings!$B$21="Card",Settings!$B$21="Loan"),-N($AG142),0))+IF(OR(Settings!$B$22="Checking",Settings!$B$22="Savings",Settings!$B$22="Cash"),N($AH142),IF(OR(Settings!$B$22="Card",Settings!$B$22="Loan"),-N($AH142),0))+IF(OR(Settings!$B$23="Checking",Settings!$B$23="Savings",Settings!$B$23="Cash"),N($AI142),IF(OR(Settings!$B$23="Card",Settings!$B$23="Loan"),-N($AI142),0))+IF(OR(Settings!$B$24="Checking",Settings!$B$24="Savings",Settings!$B$24="Cash"),N($AJ142),IF(OR(Settings!$B$24="Card",Settings!$B$24="Loan"),-N($AJ142),0))+IF(OR(Settings!$B$25="Checking",Settings!$B$25="Savings",Settings!$B$25="Cash"),N($AK142),IF(OR(Settings!$B$25="Card",Settings!$B$25="Loan"),-N($AK142),0))+IF(OR(Settings!$B$26="Checking",Settings!$B$26="Savings",Settings!$B$26="Cash"),N($AL142),IF(OR(Settings!$B$26="Card",Settings!$B$26="Loan"),-N($AL142),0))+IF(OR(Settings!$B$27="Checking",Settings!$B$27="Savings",Settings!$B$27="Cash"),N($AM142),IF(OR(Settings!$B$27="Card",Settings!$B$27="Loan"),-N($AM142),0))+IF(OR(Settings!$B$28="Checking",Settings!$B$28="Savings",Settings!$B$28="Cash"),N($AN142),IF(OR(Settings!$B$28="Card",Settings!$B$28="Loan"),-N($AN142),0))+IF(OR(Settings!$B$29="Checking",Settings!$B$29="Savings",Settings!$B$29="Cash"),N($AO142),IF(OR(Settings!$B$29="Card",Settings!$B$29="Loan"),-N($AO142),0))+IF(OR(Settings!$B$30="Checking",Settings!$B$30="Savings",Settings!$B$30="Cash"),N($AP142),IF(OR(Settings!$B$30="Card",Settings!$B$30="Loan"),-N($AP142),0))+IF(OR(Settings!$B$31="Checking",Settings!$B$31="Savings",Settings!$B$31="Cash"),N($AQ142),IF(OR(Settings!$B$31="Card",Settings!$B$31="Loan"),-N($AQ142),0))+IF(OR(Settings!$B$32="Checking",Settings!$B$32="Savings",Settings!$B$32="Cash"),N($AR142),IF(OR(Settings!$B$32="Card",Settings!$B$32="Loan"),-N($AR142),0)),"")</f>
        <v/>
      </c>
      <c r="DB142">
        <f>IF($E142="open",$EB$27,IF($E142="post",IF($E141="pre",$EB$27,$DA141),""))</f>
        <v/>
      </c>
      <c r="DC142">
        <f>IF($E142="open",1,IF($E142="post",IF($E141="pre",1,$DT141),0))</f>
        <v/>
      </c>
      <c r="DD142">
        <f>IF(AND($DT142=1,$DC142=1),ROUND($W142-($DA142-$DB142)-$AD142-$AB142,2),"")</f>
        <v/>
      </c>
      <c r="DE142">
        <f>IF('Month-End'!$EI$35="",$BQ142,N('Month-End'!$EI$35))</f>
        <v/>
      </c>
      <c r="DF142">
        <f>N('Month-End'!$EI$36)</f>
        <v/>
      </c>
      <c r="DG142">
        <f>IF($DD142="","",$DD142+$DE142)</f>
        <v/>
      </c>
      <c r="DH142">
        <f>IF($DG142="","",$DG142-$DF142)</f>
        <v/>
      </c>
      <c r="DI142">
        <f>IF(OR($E142="pre",$D142=1),"",N($AS142)+N($AT142)+N($AU142)+N($AV142)+N($AW142)+N($AX142))</f>
        <v/>
      </c>
      <c r="DJ142">
        <f>IF($DT142=1,$DA142+N($DI142),"")</f>
        <v/>
      </c>
      <c r="DK142">
        <f>IF($DD142="","",$W142-$DD142-$AB142)</f>
        <v/>
      </c>
      <c r="DL142">
        <f>IF(AND($E142="post",$DD142&lt;&gt;"",$B142&lt;TODAY()),1,0)</f>
        <v/>
      </c>
      <c r="DM142">
        <f>IF($DL142=1,COUNTIF($DL142:$DL$183,1),0)</f>
        <v/>
      </c>
      <c r="DN142">
        <f>IF($D142=1,"",IF($E142="pre","History only",IF($DT142=1,IF($DD142="","⚠ Previous month missing",IF($DD142&lt;0,"⚠ Check: spending &lt; 0",IF($E142="open","✓ Done (partial)","✓ Done"))),IF($B142&gt;=TODAY(),"In progress","⚠ Needs balances"))))</f>
        <v/>
      </c>
      <c r="DO142">
        <f>YEAR($A142)</f>
        <v/>
      </c>
      <c r="DP142">
        <f>DATE(YEAR($A142),INT((MONTH($A142)-1)/3)*3+1,1)</f>
        <v/>
      </c>
      <c r="DQ142">
        <f>IF(AND($DT142=1,$DD142&lt;&gt;"",$D142=0),ROW(),0)</f>
        <v/>
      </c>
      <c r="DR142">
        <f>IF(AND($E142&lt;&gt;"pre",$B142&lt;TODAY(),$DT142=0),1,0)</f>
        <v/>
      </c>
      <c r="DS142">
        <f>IF($DJ142="",NA(),$DJ142)</f>
        <v/>
      </c>
      <c r="DT142">
        <f>IF(AND($E142&lt;&gt;"pre",$CL142=0,COUNTIFS(Settings!$F$19:$F$32,"Yes",Settings!$A$19:$A$32,"&lt;&gt;",Settings!$E$19:$E$32,"&lt;&gt;No")&gt;0),1,0)</f>
        <v/>
      </c>
      <c r="DU142">
        <f>IF(AND($B142&lt;TODAY(),$S142&gt;0),1,0)</f>
        <v/>
      </c>
      <c r="DV142">
        <f>IF($DU142=1,COUNTIF($DU142:$DU$183,1),0)</f>
        <v/>
      </c>
      <c r="DW142">
        <f>IF(AND(OR(Settings!$B$19="Card",Settings!$B$19="Loan"),AND('Month-End'!$EI$7&lt;&gt;"",NOT(_xlfn.ISFORMULA('Month-End'!$EI$7)))),IF(N('Month-End'!$EI$7)&lt;0,1,0),0)+IF(AND(OR(Settings!$B$20="Card",Settings!$B$20="Loan"),AND('Month-End'!$EI$8&lt;&gt;"",NOT(_xlfn.ISFORMULA('Month-End'!$EI$8)))),IF(N('Month-End'!$EI$8)&lt;0,1,0),0)+IF(AND(OR(Settings!$B$21="Card",Settings!$B$21="Loan"),AND('Month-End'!$EI$9&lt;&gt;"",NOT(_xlfn.ISFORMULA('Month-End'!$EI$9)))),IF(N('Month-End'!$EI$9)&lt;0,1,0),0)+IF(AND(OR(Settings!$B$22="Card",Settings!$B$22="Loan"),AND('Month-End'!$EI$10&lt;&gt;"",NOT(_xlfn.ISFORMULA('Month-End'!$EI$10)))),IF(N('Month-End'!$EI$10)&lt;0,1,0),0)+IF(AND(OR(Settings!$B$23="Card",Settings!$B$23="Loan"),AND('Month-End'!$EI$11&lt;&gt;"",NOT(_xlfn.ISFORMULA('Month-End'!$EI$11)))),IF(N('Month-End'!$EI$11)&lt;0,1,0),0)+IF(AND(OR(Settings!$B$24="Card",Settings!$B$24="Loan"),AND('Month-End'!$EI$12&lt;&gt;"",NOT(_xlfn.ISFORMULA('Month-End'!$EI$12)))),IF(N('Month-End'!$EI$12)&lt;0,1,0),0)+IF(AND(OR(Settings!$B$25="Card",Settings!$B$25="Loan"),AND('Month-End'!$EI$13&lt;&gt;"",NOT(_xlfn.ISFORMULA('Month-End'!$EI$13)))),IF(N('Month-End'!$EI$13)&lt;0,1,0),0)+IF(AND(OR(Settings!$B$26="Card",Settings!$B$26="Loan"),AND('Month-End'!$EI$14&lt;&gt;"",NOT(_xlfn.ISFORMULA('Month-End'!$EI$14)))),IF(N('Month-End'!$EI$14)&lt;0,1,0),0)+IF(AND(OR(Settings!$B$27="Card",Settings!$B$27="Loan"),AND('Month-End'!$EI$15&lt;&gt;"",NOT(_xlfn.ISFORMULA('Month-End'!$EI$15)))),IF(N('Month-End'!$EI$15)&lt;0,1,0),0)+IF(AND(OR(Settings!$B$28="Card",Settings!$B$28="Loan"),AND('Month-End'!$EI$16&lt;&gt;"",NOT(_xlfn.ISFORMULA('Month-End'!$EI$16)))),IF(N('Month-End'!$EI$16)&lt;0,1,0),0)+IF(AND(OR(Settings!$B$29="Card",Settings!$B$29="Loan"),AND('Month-End'!$EI$17&lt;&gt;"",NOT(_xlfn.ISFORMULA('Month-End'!$EI$17)))),IF(N('Month-End'!$EI$17)&lt;0,1,0),0)+IF(AND(OR(Settings!$B$30="Card",Settings!$B$30="Loan"),AND('Month-End'!$EI$18&lt;&gt;"",NOT(_xlfn.ISFORMULA('Month-End'!$EI$18)))),IF(N('Month-End'!$EI$18)&lt;0,1,0),0)+IF(AND(OR(Settings!$B$31="Card",Settings!$B$31="Loan"),AND('Month-End'!$EI$19&lt;&gt;"",NOT(_xlfn.ISFORMULA('Month-End'!$EI$19)))),IF(N('Month-End'!$EI$19)&lt;0,1,0),0)+IF(AND(OR(Settings!$B$32="Card",Settings!$B$32="Loan"),AND('Month-End'!$EI$20&lt;&gt;"",NOT(_xlfn.ISFORMULA('Month-End'!$EI$20)))),IF(N('Month-End'!$EI$20)&lt;0,1,0),0)</f>
        <v/>
      </c>
      <c r="DX142">
        <f>IF(Settings!$B$36="Retirement",$AY142,0)+IF(Settings!$B$37="Retirement",$AZ142,0)+IF(Settings!$B$38="Retirement",$BA142,0)+IF(Settings!$B$39="Retirement",$BB142,0)+IF(Settings!$B$40="Retirement",$BC142,0)+IF(Settings!$B$41="Retirement",$BD142,0)</f>
        <v/>
      </c>
      <c r="ET142">
        <f>IF($E142&lt;&gt;"open",0,IF(AND('Month-End'!$EI$22&lt;&gt;"",NOT(_xlfn.ISFORMULA('Month-End'!$EI$22))),0,IF(OR(Settings!$C$45="",Settings!$D$45=""),0,Settings!$C$45*IF(Settings!$D$45="Weekly",IF(IFERROR(MATCH(Settings!$E$45,$EO$4:$EO$10,0),0)=0,0,IF(MIN(Settings!$B$5,IF(Settings!$G$45="",Settings!$B$5,Settings!$G$45))&lt;MAX($A142,Settings!$F$45),0,INT((MIN(Settings!$B$5,IF(Settings!$G$45="",Settings!$B$5,Settings!$G$45))-MAX($A142,Settings!$F$45)-MOD(IFERROR(MATCH(Settings!$E$45,$EO$4:$EO$10,0),0)-WEEKDAY(MAX($A142,Settings!$F$45)),7))/7)+1)),IF(AND(IF(Settings!$E$45="",$B142,DATE(YEAR($A142),MONTH($A142),MIN(Settings!$E$45,DAY($B142))))&gt;=MAX($A142,Settings!$F$45),IF(Settings!$E$45="",$B142,DATE(YEAR($A142),MONTH($A142),MIN(Settings!$E$45,DAY($B142))))&lt;=MIN(Settings!$B$5,IF(Settings!$G$45="",Settings!$B$5,Settings!$G$45))),1,0)))))</f>
        <v/>
      </c>
      <c r="EU142">
        <f>IF($E142&lt;&gt;"open",0,IF(AND('Month-End'!$EI$23&lt;&gt;"",NOT(_xlfn.ISFORMULA('Month-End'!$EI$23))),0,IF(OR(Settings!$C$46="",Settings!$D$46=""),0,Settings!$C$46*IF(Settings!$D$46="Weekly",IF(IFERROR(MATCH(Settings!$E$46,$EO$4:$EO$10,0),0)=0,0,IF(MIN(Settings!$B$5,IF(Settings!$G$46="",Settings!$B$5,Settings!$G$46))&lt;MAX($A142,Settings!$F$46),0,INT((MIN(Settings!$B$5,IF(Settings!$G$46="",Settings!$B$5,Settings!$G$46))-MAX($A142,Settings!$F$46)-MOD(IFERROR(MATCH(Settings!$E$46,$EO$4:$EO$10,0),0)-WEEKDAY(MAX($A142,Settings!$F$46)),7))/7)+1)),IF(AND(IF(Settings!$E$46="",$B142,DATE(YEAR($A142),MONTH($A142),MIN(Settings!$E$46,DAY($B142))))&gt;=MAX($A142,Settings!$F$46),IF(Settings!$E$46="",$B142,DATE(YEAR($A142),MONTH($A142),MIN(Settings!$E$46,DAY($B142))))&lt;=MIN(Settings!$B$5,IF(Settings!$G$46="",Settings!$B$5,Settings!$G$46))),1,0)))))</f>
        <v/>
      </c>
      <c r="EV142">
        <f>IF($E142&lt;&gt;"open",0,IF(AND('Month-End'!$EI$24&lt;&gt;"",NOT(_xlfn.ISFORMULA('Month-End'!$EI$24))),0,IF(OR(Settings!$C$47="",Settings!$D$47=""),0,Settings!$C$47*IF(Settings!$D$47="Weekly",IF(IFERROR(MATCH(Settings!$E$47,$EO$4:$EO$10,0),0)=0,0,IF(MIN(Settings!$B$5,IF(Settings!$G$47="",Settings!$B$5,Settings!$G$47))&lt;MAX($A142,Settings!$F$47),0,INT((MIN(Settings!$B$5,IF(Settings!$G$47="",Settings!$B$5,Settings!$G$47))-MAX($A142,Settings!$F$47)-MOD(IFERROR(MATCH(Settings!$E$47,$EO$4:$EO$10,0),0)-WEEKDAY(MAX($A142,Settings!$F$47)),7))/7)+1)),IF(AND(IF(Settings!$E$47="",$B142,DATE(YEAR($A142),MONTH($A142),MIN(Settings!$E$47,DAY($B142))))&gt;=MAX($A142,Settings!$F$47),IF(Settings!$E$47="",$B142,DATE(YEAR($A142),MONTH($A142),MIN(Settings!$E$47,DAY($B142))))&lt;=MIN(Settings!$B$5,IF(Settings!$G$47="",Settings!$B$5,Settings!$G$47))),1,0)))))</f>
        <v/>
      </c>
      <c r="EW142">
        <f>IF($E142&lt;&gt;"open",0,IF(AND('Month-End'!$EI$25&lt;&gt;"",NOT(_xlfn.ISFORMULA('Month-End'!$EI$25))),0,IF(OR(Settings!$C$48="",Settings!$D$48=""),0,Settings!$C$48*IF(Settings!$D$48="Weekly",IF(IFERROR(MATCH(Settings!$E$48,$EO$4:$EO$10,0),0)=0,0,IF(MIN(Settings!$B$5,IF(Settings!$G$48="",Settings!$B$5,Settings!$G$48))&lt;MAX($A142,Settings!$F$48),0,INT((MIN(Settings!$B$5,IF(Settings!$G$48="",Settings!$B$5,Settings!$G$48))-MAX($A142,Settings!$F$48)-MOD(IFERROR(MATCH(Settings!$E$48,$EO$4:$EO$10,0),0)-WEEKDAY(MAX($A142,Settings!$F$48)),7))/7)+1)),IF(AND(IF(Settings!$E$48="",$B142,DATE(YEAR($A142),MONTH($A142),MIN(Settings!$E$48,DAY($B142))))&gt;=MAX($A142,Settings!$F$48),IF(Settings!$E$48="",$B142,DATE(YEAR($A142),MONTH($A142),MIN(Settings!$E$48,DAY($B142))))&lt;=MIN(Settings!$B$5,IF(Settings!$G$48="",Settings!$B$5,Settings!$G$48))),1,0)))))</f>
        <v/>
      </c>
      <c r="EX142">
        <f>IF($E142&lt;&gt;"open",0,IF(AND('Month-End'!$EI$26&lt;&gt;"",NOT(_xlfn.ISFORMULA('Month-End'!$EI$26))),0,IF(OR(Settings!$C$49="",Settings!$D$49=""),0,Settings!$C$49*IF(Settings!$D$49="Weekly",IF(IFERROR(MATCH(Settings!$E$49,$EO$4:$EO$10,0),0)=0,0,IF(MIN(Settings!$B$5,IF(Settings!$G$49="",Settings!$B$5,Settings!$G$49))&lt;MAX($A142,Settings!$F$49),0,INT((MIN(Settings!$B$5,IF(Settings!$G$49="",Settings!$B$5,Settings!$G$49))-MAX($A142,Settings!$F$49)-MOD(IFERROR(MATCH(Settings!$E$49,$EO$4:$EO$10,0),0)-WEEKDAY(MAX($A142,Settings!$F$49)),7))/7)+1)),IF(AND(IF(Settings!$E$49="",$B142,DATE(YEAR($A142),MONTH($A142),MIN(Settings!$E$49,DAY($B142))))&gt;=MAX($A142,Settings!$F$49),IF(Settings!$E$49="",$B142,DATE(YEAR($A142),MONTH($A142),MIN(Settings!$E$49,DAY($B142))))&lt;=MIN(Settings!$B$5,IF(Settings!$G$49="",Settings!$B$5,Settings!$G$49))),1,0)))))</f>
        <v/>
      </c>
      <c r="EY142">
        <f>IF($E142&lt;&gt;"open",0,IF(AND('Month-End'!$EI$27&lt;&gt;"",NOT(_xlfn.ISFORMULA('Month-End'!$EI$27))),0,IF(OR(Settings!$C$50="",Settings!$D$50=""),0,Settings!$C$50*IF(Settings!$D$50="Weekly",IF(IFERROR(MATCH(Settings!$E$50,$EO$4:$EO$10,0),0)=0,0,IF(MIN(Settings!$B$5,IF(Settings!$G$50="",Settings!$B$5,Settings!$G$50))&lt;MAX($A142,Settings!$F$50),0,INT((MIN(Settings!$B$5,IF(Settings!$G$50="",Settings!$B$5,Settings!$G$50))-MAX($A142,Settings!$F$50)-MOD(IFERROR(MATCH(Settings!$E$50,$EO$4:$EO$10,0),0)-WEEKDAY(MAX($A142,Settings!$F$50)),7))/7)+1)),IF(AND(IF(Settings!$E$50="",$B142,DATE(YEAR($A142),MONTH($A142),MIN(Settings!$E$50,DAY($B142))))&gt;=MAX($A142,Settings!$F$50),IF(Settings!$E$50="",$B142,DATE(YEAR($A142),MONTH($A142),MIN(Settings!$E$50,DAY($B142))))&lt;=MIN(Settings!$B$5,IF(Settings!$G$50="",Settings!$B$5,Settings!$G$50))),1,0)))))</f>
        <v/>
      </c>
      <c r="EZ142">
        <f>IF($E142&lt;&gt;"open",0,IF(AND('Month-End'!$EI$28&lt;&gt;"",NOT(_xlfn.ISFORMULA('Month-End'!$EI$28))),0,IF(OR(Settings!$C$51="",Settings!$D$51=""),0,Settings!$C$51*IF(Settings!$D$51="Weekly",IF(IFERROR(MATCH(Settings!$E$51,$EO$4:$EO$10,0),0)=0,0,IF(MIN(Settings!$B$5,IF(Settings!$G$51="",Settings!$B$5,Settings!$G$51))&lt;MAX($A142,Settings!$F$51),0,INT((MIN(Settings!$B$5,IF(Settings!$G$51="",Settings!$B$5,Settings!$G$51))-MAX($A142,Settings!$F$51)-MOD(IFERROR(MATCH(Settings!$E$51,$EO$4:$EO$10,0),0)-WEEKDAY(MAX($A142,Settings!$F$51)),7))/7)+1)),IF(AND(IF(Settings!$E$51="",$B142,DATE(YEAR($A142),MONTH($A142),MIN(Settings!$E$51,DAY($B142))))&gt;=MAX($A142,Settings!$F$51),IF(Settings!$E$51="",$B142,DATE(YEAR($A142),MONTH($A142),MIN(Settings!$E$51,DAY($B142))))&lt;=MIN(Settings!$B$5,IF(Settings!$G$51="",Settings!$B$5,Settings!$G$51))),1,0)))))</f>
        <v/>
      </c>
      <c r="FA142">
        <f>IF($E142&lt;&gt;"open",0,IF(AND('Month-End'!$EI$29&lt;&gt;"",NOT(_xlfn.ISFORMULA('Month-End'!$EI$29))),0,IF(OR(Settings!$C$52="",Settings!$D$52=""),0,Settings!$C$52*IF(Settings!$D$52="Weekly",IF(IFERROR(MATCH(Settings!$E$52,$EO$4:$EO$10,0),0)=0,0,IF(MIN(Settings!$B$5,IF(Settings!$G$52="",Settings!$B$5,Settings!$G$52))&lt;MAX($A142,Settings!$F$52),0,INT((MIN(Settings!$B$5,IF(Settings!$G$52="",Settings!$B$5,Settings!$G$52))-MAX($A142,Settings!$F$52)-MOD(IFERROR(MATCH(Settings!$E$52,$EO$4:$EO$10,0),0)-WEEKDAY(MAX($A142,Settings!$F$52)),7))/7)+1)),IF(AND(IF(Settings!$E$52="",$B142,DATE(YEAR($A142),MONTH($A142),MIN(Settings!$E$52,DAY($B142))))&gt;=MAX($A142,Settings!$F$52),IF(Settings!$E$52="",$B142,DATE(YEAR($A142),MONTH($A142),MIN(Settings!$E$52,DAY($B142))))&lt;=MIN(Settings!$B$5,IF(Settings!$G$52="",Settings!$B$5,Settings!$G$52))),1,0)))))</f>
        <v/>
      </c>
      <c r="FB142">
        <f>IF($E142&lt;&gt;"open",0,IF(AND('Month-End'!$EI$30&lt;&gt;"",NOT(_xlfn.ISFORMULA('Month-End'!$EI$30))),0,IF(OR(Settings!$C$53="",Settings!$D$53=""),0,Settings!$C$53*IF(Settings!$D$53="Weekly",IF(IFERROR(MATCH(Settings!$E$53,$EO$4:$EO$10,0),0)=0,0,IF(MIN(Settings!$B$5,IF(Settings!$G$53="",Settings!$B$5,Settings!$G$53))&lt;MAX($A142,Settings!$F$53),0,INT((MIN(Settings!$B$5,IF(Settings!$G$53="",Settings!$B$5,Settings!$G$53))-MAX($A142,Settings!$F$53)-MOD(IFERROR(MATCH(Settings!$E$53,$EO$4:$EO$10,0),0)-WEEKDAY(MAX($A142,Settings!$F$53)),7))/7)+1)),IF(AND(IF(Settings!$E$53="",$B142,DATE(YEAR($A142),MONTH($A142),MIN(Settings!$E$53,DAY($B142))))&gt;=MAX($A142,Settings!$F$53),IF(Settings!$E$53="",$B142,DATE(YEAR($A142),MONTH($A142),MIN(Settings!$E$53,DAY($B142))))&lt;=MIN(Settings!$B$5,IF(Settings!$G$53="",Settings!$B$5,Settings!$G$53))),1,0)))))</f>
        <v/>
      </c>
      <c r="FC142">
        <f>IF($E142&lt;&gt;"open",0,IF(AND('Month-End'!$EI$31&lt;&gt;"",NOT(_xlfn.ISFORMULA('Month-End'!$EI$31))),0,IF(OR(Settings!$C$54="",Settings!$D$54=""),0,Settings!$C$54*IF(Settings!$D$54="Weekly",IF(IFERROR(MATCH(Settings!$E$54,$EO$4:$EO$10,0),0)=0,0,IF(MIN(Settings!$B$5,IF(Settings!$G$54="",Settings!$B$5,Settings!$G$54))&lt;MAX($A142,Settings!$F$54),0,INT((MIN(Settings!$B$5,IF(Settings!$G$54="",Settings!$B$5,Settings!$G$54))-MAX($A142,Settings!$F$54)-MOD(IFERROR(MATCH(Settings!$E$54,$EO$4:$EO$10,0),0)-WEEKDAY(MAX($A142,Settings!$F$54)),7))/7)+1)),IF(AND(IF(Settings!$E$54="",$B142,DATE(YEAR($A142),MONTH($A142),MIN(Settings!$E$54,DAY($B142))))&gt;=MAX($A142,Settings!$F$54),IF(Settings!$E$54="",$B142,DATE(YEAR($A142),MONTH($A142),MIN(Settings!$E$54,DAY($B142))))&lt;=MIN(Settings!$B$5,IF(Settings!$G$54="",Settings!$B$5,Settings!$G$54))),1,0)))))</f>
        <v/>
      </c>
      <c r="FD142">
        <f>IF($E142&lt;&gt;"open",0,IF(AND('Month-End'!$EI$32&lt;&gt;"",NOT(_xlfn.ISFORMULA('Month-End'!$EI$32))),0,IF(OR(Settings!$C$55="",Settings!$D$55=""),0,Settings!$C$55*IF(Settings!$D$55="Weekly",IF(IFERROR(MATCH(Settings!$E$55,$EO$4:$EO$10,0),0)=0,0,IF(MIN(Settings!$B$5,IF(Settings!$G$55="",Settings!$B$5,Settings!$G$55))&lt;MAX($A142,Settings!$F$55),0,INT((MIN(Settings!$B$5,IF(Settings!$G$55="",Settings!$B$5,Settings!$G$55))-MAX($A142,Settings!$F$55)-MOD(IFERROR(MATCH(Settings!$E$55,$EO$4:$EO$10,0),0)-WEEKDAY(MAX($A142,Settings!$F$55)),7))/7)+1)),IF(AND(IF(Settings!$E$55="",$B142,DATE(YEAR($A142),MONTH($A142),MIN(Settings!$E$55,DAY($B142))))&gt;=MAX($A142,Settings!$F$55),IF(Settings!$E$55="",$B142,DATE(YEAR($A142),MONTH($A142),MIN(Settings!$E$55,DAY($B142))))&lt;=MIN(Settings!$B$5,IF(Settings!$G$55="",Settings!$B$5,Settings!$G$55))),1,0)))))</f>
        <v/>
      </c>
      <c r="FE142">
        <f>IF($E142&lt;&gt;"open",0,IF(AND('Month-End'!$EI$33&lt;&gt;"",NOT(_xlfn.ISFORMULA('Month-End'!$EI$33))),0,IF(OR(Settings!$C$56="",Settings!$D$56=""),0,Settings!$C$56*IF(Settings!$D$56="Weekly",IF(IFERROR(MATCH(Settings!$E$56,$EO$4:$EO$10,0),0)=0,0,IF(MIN(Settings!$B$5,IF(Settings!$G$56="",Settings!$B$5,Settings!$G$56))&lt;MAX($A142,Settings!$F$56),0,INT((MIN(Settings!$B$5,IF(Settings!$G$56="",Settings!$B$5,Settings!$G$56))-MAX($A142,Settings!$F$56)-MOD(IFERROR(MATCH(Settings!$E$56,$EO$4:$EO$10,0),0)-WEEKDAY(MAX($A142,Settings!$F$56)),7))/7)+1)),IF(AND(IF(Settings!$E$56="",$B142,DATE(YEAR($A142),MONTH($A142),MIN(Settings!$E$56,DAY($B142))))&gt;=MAX($A142,Settings!$F$56),IF(Settings!$E$56="",$B142,DATE(YEAR($A142),MONTH($A142),MIN(Settings!$E$56,DAY($B142))))&lt;=MIN(Settings!$B$5,IF(Settings!$G$56="",Settings!$B$5,Settings!$G$56))),1,0)))))</f>
        <v/>
      </c>
      <c r="FF142">
        <f>IF(Settings!$I$45="Yes",$G142,0)+IF(Settings!$I$46="Yes",$H142,0)+IF(Settings!$I$47="Yes",$I142,0)+IF(Settings!$I$48="Yes",$J142,0)+IF(Settings!$I$49="Yes",$K142,0)+IF(Settings!$I$50="Yes",$L142,0)+IF(Settings!$I$51="Yes",$M142,0)+IF(Settings!$I$52="Yes",$N142,0)+IF(Settings!$I$53="Yes",$O142,0)+IF(Settings!$I$54="Yes",$P142,0)+IF(Settings!$I$55="Yes",$Q142,0)+IF(Settings!$I$56="Yes",$R142,0)</f>
        <v/>
      </c>
      <c r="FG142">
        <f>IF(AND(Settings!$I$45="Yes",Settings!$J$45="No"),$G142,0)+IF(AND(Settings!$I$46="Yes",Settings!$J$46="No"),$H142,0)+IF(AND(Settings!$I$47="Yes",Settings!$J$47="No"),$I142,0)+IF(AND(Settings!$I$48="Yes",Settings!$J$48="No"),$J142,0)+IF(AND(Settings!$I$49="Yes",Settings!$J$49="No"),$K142,0)+IF(AND(Settings!$I$50="Yes",Settings!$J$50="No"),$L142,0)+IF(AND(Settings!$I$51="Yes",Settings!$J$51="No"),$M142,0)+IF(AND(Settings!$I$52="Yes",Settings!$J$52="No"),$N142,0)+IF(AND(Settings!$I$53="Yes",Settings!$J$53="No"),$O142,0)+IF(AND(Settings!$I$54="Yes",Settings!$J$54="No"),$P142,0)+IF(AND(Settings!$I$55="Yes",Settings!$J$55="No"),$Q142,0)+IF(AND(Settings!$I$56="Yes",Settings!$J$56="No"),$R142,0)</f>
        <v/>
      </c>
      <c r="FH142">
        <f>SUMIFS(Giving!$B$7:$B$2006,Giving!$A$7:$A$2006,"&gt;="&amp;$A142,Giving!$A$7:$A$2006,"&lt;="&amp;$B142,Giving!$G$7:$G$2006,"Yes")+IF(OR(OR(Settings!$B$60="",Settings!$F$60="No"),Settings!$H$60&lt;&gt;"Yes"),0,Settings!$B$60*IF(AND(IF(Settings!$C$60="",$B142,DATE(YEAR($A142),MONTH($A142),MIN(Settings!$C$60,DAY($B142))))&gt;=MAX($A142,Settings!$D$60),IF(Settings!$C$60="",$B142,DATE(YEAR($A142),MONTH($A142),MIN(Settings!$C$60,DAY($B142))))&lt;=MIN($C142,IF(Settings!$E$60="",$C142,Settings!$E$60))),1,0))+IF(OR(OR(Settings!$B$61="",Settings!$F$61="No"),Settings!$H$61&lt;&gt;"Yes"),0,Settings!$B$61*IF(AND(IF(Settings!$C$61="",$B142,DATE(YEAR($A142),MONTH($A142),MIN(Settings!$C$61,DAY($B142))))&gt;=MAX($A142,Settings!$D$61),IF(Settings!$C$61="",$B142,DATE(YEAR($A142),MONTH($A142),MIN(Settings!$C$61,DAY($B142))))&lt;=MIN($C142,IF(Settings!$E$61="",$C142,Settings!$E$61))),1,0))+IF(OR(OR(Settings!$B$62="",Settings!$F$62="No"),Settings!$H$62&lt;&gt;"Yes"),0,Settings!$B$62*IF(AND(IF(Settings!$C$62="",$B142,DATE(YEAR($A142),MONTH($A142),MIN(Settings!$C$62,DAY($B142))))&gt;=MAX($A142,Settings!$D$62),IF(Settings!$C$62="",$B142,DATE(YEAR($A142),MONTH($A142),MIN(Settings!$C$62,DAY($B142))))&lt;=MIN($C142,IF(Settings!$E$62="",$C142,Settings!$E$62))),1,0))+IF(OR(OR(Settings!$B$63="",Settings!$F$63="No"),Settings!$H$63&lt;&gt;"Yes"),0,Settings!$B$63*IF(AND(IF(Settings!$C$63="",$B142,DATE(YEAR($A142),MONTH($A142),MIN(Settings!$C$63,DAY($B142))))&gt;=MAX($A142,Settings!$D$63),IF(Settings!$C$63="",$B142,DATE(YEAR($A142),MONTH($A142),MIN(Settings!$C$63,DAY($B142))))&lt;=MIN($C142,IF(Settings!$E$63="",$C142,Settings!$E$63))),1,0))+IF(OR(OR(Settings!$B$64="",Settings!$F$64="No"),Settings!$H$64&lt;&gt;"Yes"),0,Settings!$B$64*IF(AND(IF(Settings!$C$64="",$B142,DATE(YEAR($A142),MONTH($A142),MIN(Settings!$C$64,DAY($B142))))&gt;=MAX($A142,Settings!$D$64),IF(Settings!$C$64="",$B142,DATE(YEAR($A142),MONTH($A142),MIN(Settings!$C$64,DAY($B142))))&lt;=MIN($C142,IF(Settings!$E$64="",$C142,Settings!$E$64))),1,0))+IF(OR(OR(Settings!$B$65="",Settings!$F$65="No"),Settings!$H$65&lt;&gt;"Yes"),0,Settings!$B$65*IF(AND(IF(Settings!$C$65="",$B142,DATE(YEAR($A142),MONTH($A142),MIN(Settings!$C$65,DAY($B142))))&gt;=MAX($A142,Settings!$D$65),IF(Settings!$C$65="",$B142,DATE(YEAR($A142),MONTH($A142),MIN(Settings!$C$65,DAY($B142))))&lt;=MIN($C142,IF(Settings!$E$65="",$C142,Settings!$E$65))),1,0))</f>
        <v/>
      </c>
      <c r="FI142">
        <f>IF($DT142=1,IF(OR(Settings!$B$19="Card",Settings!$B$19="Loan"),N($AE142),0)+IF(OR(Settings!$B$20="Card",Settings!$B$20="Loan"),N($AF142),0)+IF(OR(Settings!$B$21="Card",Settings!$B$21="Loan"),N($AG142),0)+IF(OR(Settings!$B$22="Card",Settings!$B$22="Loan"),N($AH142),0)+IF(OR(Settings!$B$23="Card",Settings!$B$23="Loan"),N($AI142),0)+IF(OR(Settings!$B$24="Card",Settings!$B$24="Loan"),N($AJ142),0)+IF(OR(Settings!$B$25="Card",Settings!$B$25="Loan"),N($AK142),0)+IF(OR(Settings!$B$26="Card",Settings!$B$26="Loan"),N($AL142),0)+IF(OR(Settings!$B$27="Card",Settings!$B$27="Loan"),N($AM142),0)+IF(OR(Settings!$B$28="Card",Settings!$B$28="Loan"),N($AN142),0)+IF(OR(Settings!$B$29="Card",Settings!$B$29="Loan"),N($AO142),0)+IF(OR(Settings!$B$30="Card",Settings!$B$30="Loan"),N($AP142),0)+IF(OR(Settings!$B$31="Card",Settings!$B$31="Loan"),N($AQ142),0)+IF(OR(Settings!$B$32="Card",Settings!$B$32="Loan"),N($AR142),0),"")</f>
        <v/>
      </c>
      <c r="FJ142">
        <f>IF($E142="open",$EB$65,IF($E142="post",IF($E141="pre",$EB$65,$FI141),""))</f>
        <v/>
      </c>
      <c r="FK142">
        <f>IF(AND($DT142=1,$DC142=1),IF(ROUND($FI142-$FJ142,2)&gt;0,1,0),0)</f>
        <v/>
      </c>
      <c r="FL142">
        <f>IF($FK142=1,$FL141+1,0)</f>
        <v/>
      </c>
    </row>
    <row r="143">
      <c r="A143">
        <f>'Month-End'!$EJ$4</f>
        <v/>
      </c>
      <c r="B143">
        <f>EOMONTH($A143,0)</f>
        <v/>
      </c>
      <c r="C143">
        <f>MIN($B143,TODAY())</f>
        <v/>
      </c>
      <c r="D143">
        <f>IF($A143&gt;TODAY(),1,0)</f>
        <v/>
      </c>
      <c r="E143">
        <f>IF($B143&lt;=Settings!$B$5,"pre",IF($A143&lt;=Settings!$B$5,"open","post"))</f>
        <v/>
      </c>
      <c r="G143">
        <f>IF('Month-End'!$EJ$22="",$BE143,N('Month-End'!$EJ$22))</f>
        <v/>
      </c>
      <c r="H143">
        <f>IF('Month-End'!$EJ$23="",$BF143,N('Month-End'!$EJ$23))</f>
        <v/>
      </c>
      <c r="I143">
        <f>IF('Month-End'!$EJ$24="",$BG143,N('Month-End'!$EJ$24))</f>
        <v/>
      </c>
      <c r="J143">
        <f>IF('Month-End'!$EJ$25="",$BH143,N('Month-End'!$EJ$25))</f>
        <v/>
      </c>
      <c r="K143">
        <f>IF('Month-End'!$EJ$26="",$BI143,N('Month-End'!$EJ$26))</f>
        <v/>
      </c>
      <c r="L143">
        <f>IF('Month-End'!$EJ$27="",$BJ143,N('Month-End'!$EJ$27))</f>
        <v/>
      </c>
      <c r="M143">
        <f>IF('Month-End'!$EJ$28="",$BK143,N('Month-End'!$EJ$28))</f>
        <v/>
      </c>
      <c r="N143">
        <f>IF('Month-End'!$EJ$29="",$BL143,N('Month-End'!$EJ$29))</f>
        <v/>
      </c>
      <c r="O143">
        <f>IF('Month-End'!$EJ$30="",$BM143,N('Month-End'!$EJ$30))</f>
        <v/>
      </c>
      <c r="P143">
        <f>IF('Month-End'!$EJ$31="",$BN143,N('Month-End'!$EJ$31))</f>
        <v/>
      </c>
      <c r="Q143">
        <f>IF('Month-End'!$EJ$32="",$BO143,N('Month-End'!$EJ$32))</f>
        <v/>
      </c>
      <c r="R143">
        <f>IF('Month-End'!$EJ$33="",$BP143,N('Month-End'!$EJ$33))</f>
        <v/>
      </c>
      <c r="S143">
        <f>$G143+$H143+$I143+$J143+$K143+$L143+$M143+$N143+$O143+$P143+$Q143+$R143</f>
        <v/>
      </c>
      <c r="T143">
        <f>IF($B143&lt;Settings!$B$6,0,IF(Settings!$B$45="Yes",$G143,0)+IF(Settings!$B$46="Yes",$H143,0)+IF(Settings!$B$47="Yes",$I143,0)+IF(Settings!$B$48="Yes",$J143,0)+IF(Settings!$B$49="Yes",$K143,0)+IF(Settings!$B$50="Yes",$L143,0)+IF(Settings!$B$51="Yes",$M143,0)+IF(Settings!$B$52="Yes",$N143,0)+IF(Settings!$B$53="Yes",$O143,0)+IF(Settings!$B$54="Yes",$P143,0)+IF(Settings!$B$55="Yes",$Q143,0)+IF(Settings!$B$56="Yes",$R143,0))</f>
        <v/>
      </c>
      <c r="U143">
        <f>IF(Settings!$B$45="Not Sure",$G143,0)+IF(Settings!$B$46="Not Sure",$H143,0)+IF(Settings!$B$47="Not Sure",$I143,0)+IF(Settings!$B$48="Not Sure",$J143,0)+IF(Settings!$B$49="Not Sure",$K143,0)+IF(Settings!$B$50="Not Sure",$L143,0)+IF(Settings!$B$51="Not Sure",$M143,0)+IF(Settings!$B$52="Not Sure",$N143,0)+IF(Settings!$B$53="Not Sure",$O143,0)+IF(Settings!$B$54="Not Sure",$P143,0)+IF(Settings!$B$55="Not Sure",$Q143,0)+IF(Settings!$B$56="Not Sure",$R143,0)</f>
        <v/>
      </c>
      <c r="V143">
        <f>IF($E143="open",SUM($ET143:$FE143)+N(Settings!$B$13),0)</f>
        <v/>
      </c>
      <c r="W143">
        <f>IF($E143="post",$S143,IF($E143="open",$S143-$V143,0))</f>
        <v/>
      </c>
      <c r="X143">
        <f>SUMIFS(Giving!$B$7:$B$2006,Giving!$A$7:$A$2006,"&gt;="&amp;$A143,Giving!$A$7:$A$2006,"&lt;="&amp;$B143,Giving!$E$7:$E$2006,"&lt;&gt;No")</f>
        <v/>
      </c>
      <c r="Y143">
        <f>SUMIFS(Giving!$B$7:$B$2006,Giving!$A$7:$A$2006,"&gt;="&amp;$A143,Giving!$A$7:$A$2006,"&lt;="&amp;$B143,Giving!$E$7:$E$2006,"No")</f>
        <v/>
      </c>
      <c r="Z143">
        <f>IF(OR(Settings!$B$60="",Settings!$F$60="No"),0,Settings!$B$60*IF(AND(IF(Settings!$C$60="",$B143,DATE(YEAR($A143),MONTH($A143),MIN(Settings!$C$60,DAY($B143))))&gt;=MAX($A143,Settings!$D$60),IF(Settings!$C$60="",$B143,DATE(YEAR($A143),MONTH($A143),MIN(Settings!$C$60,DAY($B143))))&lt;=MIN($C143,IF(Settings!$E$60="",$C143,Settings!$E$60))),1,0))+IF(OR(Settings!$B$61="",Settings!$F$61="No"),0,Settings!$B$61*IF(AND(IF(Settings!$C$61="",$B143,DATE(YEAR($A143),MONTH($A143),MIN(Settings!$C$61,DAY($B143))))&gt;=MAX($A143,Settings!$D$61),IF(Settings!$C$61="",$B143,DATE(YEAR($A143),MONTH($A143),MIN(Settings!$C$61,DAY($B143))))&lt;=MIN($C143,IF(Settings!$E$61="",$C143,Settings!$E$61))),1,0))+IF(OR(Settings!$B$62="",Settings!$F$62="No"),0,Settings!$B$62*IF(AND(IF(Settings!$C$62="",$B143,DATE(YEAR($A143),MONTH($A143),MIN(Settings!$C$62,DAY($B143))))&gt;=MAX($A143,Settings!$D$62),IF(Settings!$C$62="",$B143,DATE(YEAR($A143),MONTH($A143),MIN(Settings!$C$62,DAY($B143))))&lt;=MIN($C143,IF(Settings!$E$62="",$C143,Settings!$E$62))),1,0))+IF(OR(Settings!$B$63="",Settings!$F$63="No"),0,Settings!$B$63*IF(AND(IF(Settings!$C$63="",$B143,DATE(YEAR($A143),MONTH($A143),MIN(Settings!$C$63,DAY($B143))))&gt;=MAX($A143,Settings!$D$63),IF(Settings!$C$63="",$B143,DATE(YEAR($A143),MONTH($A143),MIN(Settings!$C$63,DAY($B143))))&lt;=MIN($C143,IF(Settings!$E$63="",$C143,Settings!$E$63))),1,0))+IF(OR(Settings!$B$64="",Settings!$F$64="No"),0,Settings!$B$64*IF(AND(IF(Settings!$C$64="",$B143,DATE(YEAR($A143),MONTH($A143),MIN(Settings!$C$64,DAY($B143))))&gt;=MAX($A143,Settings!$D$64),IF(Settings!$C$64="",$B143,DATE(YEAR($A143),MONTH($A143),MIN(Settings!$C$64,DAY($B143))))&lt;=MIN($C143,IF(Settings!$E$64="",$C143,Settings!$E$64))),1,0))+IF(OR(Settings!$B$65="",Settings!$F$65="No"),0,Settings!$B$65*IF(AND(IF(Settings!$C$65="",$B143,DATE(YEAR($A143),MONTH($A143),MIN(Settings!$C$65,DAY($B143))))&gt;=MAX($A143,Settings!$D$65),IF(Settings!$C$65="",$B143,DATE(YEAR($A143),MONTH($A143),MIN(Settings!$C$65,DAY($B143))))&lt;=MIN($C143,IF(Settings!$E$65="",$C143,Settings!$E$65))),1,0))</f>
        <v/>
      </c>
      <c r="AA143">
        <f>$X143+$Z143</f>
        <v/>
      </c>
      <c r="AB143">
        <f>IF($E143="post",$AA143,IF($E143="open",SUMIFS(Giving!$B$7:$B$2006,Giving!$A$7:$A$2006,"&gt;"&amp;Settings!$B$5,Giving!$A$7:$A$2006,"&lt;="&amp;$B143,Giving!$E$7:$E$2006,"&lt;&gt;No")+IF(OR(Settings!$B$60="",Settings!$F$60="No"),0,Settings!$B$60*IF(AND(IF(Settings!$C$60="",$B143,DATE(YEAR($A143),MONTH($A143),MIN(Settings!$C$60,DAY($B143))))&gt;=MAX($A143,Settings!$D$60,Settings!$B$5+1),IF(Settings!$C$60="",$B143,DATE(YEAR($A143),MONTH($A143),MIN(Settings!$C$60,DAY($B143))))&lt;=MIN($C143,IF(Settings!$E$60="",$C143,Settings!$E$60))),1,0))+IF(OR(Settings!$B$61="",Settings!$F$61="No"),0,Settings!$B$61*IF(AND(IF(Settings!$C$61="",$B143,DATE(YEAR($A143),MONTH($A143),MIN(Settings!$C$61,DAY($B143))))&gt;=MAX($A143,Settings!$D$61,Settings!$B$5+1),IF(Settings!$C$61="",$B143,DATE(YEAR($A143),MONTH($A143),MIN(Settings!$C$61,DAY($B143))))&lt;=MIN($C143,IF(Settings!$E$61="",$C143,Settings!$E$61))),1,0))+IF(OR(Settings!$B$62="",Settings!$F$62="No"),0,Settings!$B$62*IF(AND(IF(Settings!$C$62="",$B143,DATE(YEAR($A143),MONTH($A143),MIN(Settings!$C$62,DAY($B143))))&gt;=MAX($A143,Settings!$D$62,Settings!$B$5+1),IF(Settings!$C$62="",$B143,DATE(YEAR($A143),MONTH($A143),MIN(Settings!$C$62,DAY($B143))))&lt;=MIN($C143,IF(Settings!$E$62="",$C143,Settings!$E$62))),1,0))+IF(OR(Settings!$B$63="",Settings!$F$63="No"),0,Settings!$B$63*IF(AND(IF(Settings!$C$63="",$B143,DATE(YEAR($A143),MONTH($A143),MIN(Settings!$C$63,DAY($B143))))&gt;=MAX($A143,Settings!$D$63,Settings!$B$5+1),IF(Settings!$C$63="",$B143,DATE(YEAR($A143),MONTH($A143),MIN(Settings!$C$63,DAY($B143))))&lt;=MIN($C143,IF(Settings!$E$63="",$C143,Settings!$E$63))),1,0))+IF(OR(Settings!$B$64="",Settings!$F$64="No"),0,Settings!$B$64*IF(AND(IF(Settings!$C$64="",$B143,DATE(YEAR($A143),MONTH($A143),MIN(Settings!$C$64,DAY($B143))))&gt;=MAX($A143,Settings!$D$64,Settings!$B$5+1),IF(Settings!$C$64="",$B143,DATE(YEAR($A143),MONTH($A143),MIN(Settings!$C$64,DAY($B143))))&lt;=MIN($C143,IF(Settings!$E$64="",$C143,Settings!$E$64))),1,0))+IF(OR(Settings!$B$65="",Settings!$F$65="No"),0,Settings!$B$65*IF(AND(IF(Settings!$C$65="",$B143,DATE(YEAR($A143),MONTH($A143),MIN(Settings!$C$65,DAY($B143))))&gt;=MAX($A143,Settings!$D$65,Settings!$B$5+1),IF(Settings!$C$65="",$B143,DATE(YEAR($A143),MONTH($A143),MIN(Settings!$C$65,DAY($B143))))&lt;=MIN($C143,IF(Settings!$E$65="",$C143,Settings!$E$65))),1,0)),0))</f>
        <v/>
      </c>
      <c r="AC143">
        <f>$AY143+$AZ143+$BA143+$BB143+$BC143+$BD143</f>
        <v/>
      </c>
      <c r="AD143">
        <f>$AC143</f>
        <v/>
      </c>
      <c r="AE143">
        <f>IF(OR(Settings!$A$19="",$E143="pre"),"",IF(AND('Month-End'!$EJ$7&lt;&gt;"",NOT(_xlfn.ISFORMULA('Month-End'!$EJ$7))),N('Month-End'!$EJ$7),IF(OR($E143="open",$E142="pre"),N(Settings!$C$19),N($AE142))))</f>
        <v/>
      </c>
      <c r="AF143">
        <f>IF(OR(Settings!$A$20="",$E143="pre"),"",IF(AND('Month-End'!$EJ$8&lt;&gt;"",NOT(_xlfn.ISFORMULA('Month-End'!$EJ$8))),N('Month-End'!$EJ$8),IF(OR($E143="open",$E142="pre"),N(Settings!$C$20),N($AF142))))</f>
        <v/>
      </c>
      <c r="AG143">
        <f>IF(OR(Settings!$A$21="",$E143="pre"),"",IF(AND('Month-End'!$EJ$9&lt;&gt;"",NOT(_xlfn.ISFORMULA('Month-End'!$EJ$9))),N('Month-End'!$EJ$9),IF(OR($E143="open",$E142="pre"),N(Settings!$C$21),N($AG142))))</f>
        <v/>
      </c>
      <c r="AH143">
        <f>IF(OR(Settings!$A$22="",$E143="pre"),"",IF(AND('Month-End'!$EJ$10&lt;&gt;"",NOT(_xlfn.ISFORMULA('Month-End'!$EJ$10))),N('Month-End'!$EJ$10),IF(OR($E143="open",$E142="pre"),N(Settings!$C$22),N($AH142))))</f>
        <v/>
      </c>
      <c r="AI143">
        <f>IF(OR(Settings!$A$23="",$E143="pre"),"",IF(AND('Month-End'!$EJ$11&lt;&gt;"",NOT(_xlfn.ISFORMULA('Month-End'!$EJ$11))),N('Month-End'!$EJ$11),IF(OR($E143="open",$E142="pre"),N(Settings!$C$23),N($AI142))))</f>
        <v/>
      </c>
      <c r="AJ143">
        <f>IF(OR(Settings!$A$24="",$E143="pre"),"",IF(AND('Month-End'!$EJ$12&lt;&gt;"",NOT(_xlfn.ISFORMULA('Month-End'!$EJ$12))),N('Month-End'!$EJ$12),IF(OR($E143="open",$E142="pre"),N(Settings!$C$24),N($AJ142))))</f>
        <v/>
      </c>
      <c r="AK143">
        <f>IF(OR(Settings!$A$25="",$E143="pre"),"",IF(AND('Month-End'!$EJ$13&lt;&gt;"",NOT(_xlfn.ISFORMULA('Month-End'!$EJ$13))),N('Month-End'!$EJ$13),IF(OR($E143="open",$E142="pre"),N(Settings!$C$25),N($AK142))))</f>
        <v/>
      </c>
      <c r="AL143">
        <f>IF(OR(Settings!$A$26="",$E143="pre"),"",IF(AND('Month-End'!$EJ$14&lt;&gt;"",NOT(_xlfn.ISFORMULA('Month-End'!$EJ$14))),N('Month-End'!$EJ$14),IF(OR($E143="open",$E142="pre"),N(Settings!$C$26),N($AL142))))</f>
        <v/>
      </c>
      <c r="AM143">
        <f>IF(OR(Settings!$A$27="",$E143="pre"),"",IF(AND('Month-End'!$EJ$15&lt;&gt;"",NOT(_xlfn.ISFORMULA('Month-End'!$EJ$15))),N('Month-End'!$EJ$15),IF(OR($E143="open",$E142="pre"),N(Settings!$C$27),N($AM142))))</f>
        <v/>
      </c>
      <c r="AN143">
        <f>IF(OR(Settings!$A$28="",$E143="pre"),"",IF(AND('Month-End'!$EJ$16&lt;&gt;"",NOT(_xlfn.ISFORMULA('Month-End'!$EJ$16))),N('Month-End'!$EJ$16),IF(OR($E143="open",$E142="pre"),N(Settings!$C$28),N($AN142))))</f>
        <v/>
      </c>
      <c r="AO143">
        <f>IF(OR(Settings!$A$29="",$E143="pre"),"",IF(AND('Month-End'!$EJ$17&lt;&gt;"",NOT(_xlfn.ISFORMULA('Month-End'!$EJ$17))),N('Month-End'!$EJ$17),IF(OR($E143="open",$E142="pre"),N(Settings!$C$29),N($AO142))))</f>
        <v/>
      </c>
      <c r="AP143">
        <f>IF(OR(Settings!$A$30="",$E143="pre"),"",IF(AND('Month-End'!$EJ$18&lt;&gt;"",NOT(_xlfn.ISFORMULA('Month-End'!$EJ$18))),N('Month-End'!$EJ$18),IF(OR($E143="open",$E142="pre"),N(Settings!$C$30),N($AP142))))</f>
        <v/>
      </c>
      <c r="AQ143">
        <f>IF(OR(Settings!$A$31="",$E143="pre"),"",IF(AND('Month-End'!$EJ$19&lt;&gt;"",NOT(_xlfn.ISFORMULA('Month-End'!$EJ$19))),N('Month-End'!$EJ$19),IF(OR($E143="open",$E142="pre"),N(Settings!$C$31),N($AQ142))))</f>
        <v/>
      </c>
      <c r="AR143">
        <f>IF(OR(Settings!$A$32="",$E143="pre"),"",IF(AND('Month-End'!$EJ$20&lt;&gt;"",NOT(_xlfn.ISFORMULA('Month-End'!$EJ$20))),N('Month-End'!$EJ$20),IF(OR($E143="open",$E142="pre"),N(Settings!$C$32),N($AR142))))</f>
        <v/>
      </c>
      <c r="AS143">
        <f>IF(OR(Settings!$A$36="",$E143="pre"),"",IF(AND('Month-End'!$EJ$38&lt;&gt;"",NOT(_xlfn.ISFORMULA('Month-End'!$EJ$38))),N('Month-End'!$EJ$38),IF(OR($E143="open",$E142="pre"),N(Settings!$C$36),N($AS142))+$AY143))</f>
        <v/>
      </c>
      <c r="AT143">
        <f>IF(OR(Settings!$A$37="",$E143="pre"),"",IF(AND('Month-End'!$EJ$39&lt;&gt;"",NOT(_xlfn.ISFORMULA('Month-End'!$EJ$39))),N('Month-End'!$EJ$39),IF(OR($E143="open",$E142="pre"),N(Settings!$C$37),N($AT142))+$AZ143))</f>
        <v/>
      </c>
      <c r="AU143">
        <f>IF(OR(Settings!$A$38="",$E143="pre"),"",IF(AND('Month-End'!$EJ$40&lt;&gt;"",NOT(_xlfn.ISFORMULA('Month-End'!$EJ$40))),N('Month-End'!$EJ$40),IF(OR($E143="open",$E142="pre"),N(Settings!$C$38),N($AU142))+$BA143))</f>
        <v/>
      </c>
      <c r="AV143">
        <f>IF(OR(Settings!$A$39="",$E143="pre"),"",IF(AND('Month-End'!$EJ$41&lt;&gt;"",NOT(_xlfn.ISFORMULA('Month-End'!$EJ$41))),N('Month-End'!$EJ$41),IF(OR($E143="open",$E142="pre"),N(Settings!$C$39),N($AV142))+$BB143))</f>
        <v/>
      </c>
      <c r="AW143">
        <f>IF(OR(Settings!$A$40="",$E143="pre"),"",IF(AND('Month-End'!$EJ$42&lt;&gt;"",NOT(_xlfn.ISFORMULA('Month-End'!$EJ$42))),N('Month-End'!$EJ$42),IF(OR($E143="open",$E142="pre"),N(Settings!$C$40),N($AW142))+$BC143))</f>
        <v/>
      </c>
      <c r="AX143">
        <f>IF(OR(Settings!$A$41="",$E143="pre"),"",IF(AND('Month-End'!$EJ$43&lt;&gt;"",NOT(_xlfn.ISFORMULA('Month-End'!$EJ$43))),N('Month-End'!$EJ$43),IF(OR($E143="open",$E142="pre"),N(Settings!$C$41),N($AX142))+$BD143))</f>
        <v/>
      </c>
      <c r="AY143">
        <f>IF($E143="pre",0,N('Month-End'!$EJ$45))</f>
        <v/>
      </c>
      <c r="AZ143">
        <f>IF($E143="pre",0,N('Month-End'!$EJ$46))</f>
        <v/>
      </c>
      <c r="BA143">
        <f>IF($E143="pre",0,N('Month-End'!$EJ$47))</f>
        <v/>
      </c>
      <c r="BB143">
        <f>IF($E143="pre",0,N('Month-End'!$EJ$48))</f>
        <v/>
      </c>
      <c r="BC143">
        <f>IF($E143="pre",0,N('Month-End'!$EJ$49))</f>
        <v/>
      </c>
      <c r="BD143">
        <f>IF($E143="pre",0,N('Month-End'!$EJ$50))</f>
        <v/>
      </c>
      <c r="BE143">
        <f>IF(OR(Settings!$C$45="",Settings!$D$45=""),0,Settings!$C$45*IF(Settings!$D$45="Weekly",IF(IFERROR(MATCH(Settings!$E$45,$EO$4:$EO$10,0),0)=0,0,IF(MIN($C143,IF(Settings!$G$45="",$C143,Settings!$G$45))&lt;MAX($A143,Settings!$F$45),0,INT((MIN($C143,IF(Settings!$G$45="",$C143,Settings!$G$45))-MAX($A143,Settings!$F$45)-MOD(IFERROR(MATCH(Settings!$E$45,$EO$4:$EO$10,0),0)-WEEKDAY(MAX($A143,Settings!$F$45)),7))/7)+1)),IF(AND(IF(Settings!$E$45="",$B143,DATE(YEAR($A143),MONTH($A143),MIN(Settings!$E$45,DAY($B143))))&gt;=MAX($A143,Settings!$F$45),IF(Settings!$E$45="",$B143,DATE(YEAR($A143),MONTH($A143),MIN(Settings!$E$45,DAY($B143))))&lt;=MIN($C143,IF(Settings!$G$45="",$C143,Settings!$G$45))),1,0)))</f>
        <v/>
      </c>
      <c r="BF143">
        <f>IF(OR(Settings!$C$46="",Settings!$D$46=""),0,Settings!$C$46*IF(Settings!$D$46="Weekly",IF(IFERROR(MATCH(Settings!$E$46,$EO$4:$EO$10,0),0)=0,0,IF(MIN($C143,IF(Settings!$G$46="",$C143,Settings!$G$46))&lt;MAX($A143,Settings!$F$46),0,INT((MIN($C143,IF(Settings!$G$46="",$C143,Settings!$G$46))-MAX($A143,Settings!$F$46)-MOD(IFERROR(MATCH(Settings!$E$46,$EO$4:$EO$10,0),0)-WEEKDAY(MAX($A143,Settings!$F$46)),7))/7)+1)),IF(AND(IF(Settings!$E$46="",$B143,DATE(YEAR($A143),MONTH($A143),MIN(Settings!$E$46,DAY($B143))))&gt;=MAX($A143,Settings!$F$46),IF(Settings!$E$46="",$B143,DATE(YEAR($A143),MONTH($A143),MIN(Settings!$E$46,DAY($B143))))&lt;=MIN($C143,IF(Settings!$G$46="",$C143,Settings!$G$46))),1,0)))</f>
        <v/>
      </c>
      <c r="BG143">
        <f>IF(OR(Settings!$C$47="",Settings!$D$47=""),0,Settings!$C$47*IF(Settings!$D$47="Weekly",IF(IFERROR(MATCH(Settings!$E$47,$EO$4:$EO$10,0),0)=0,0,IF(MIN($C143,IF(Settings!$G$47="",$C143,Settings!$G$47))&lt;MAX($A143,Settings!$F$47),0,INT((MIN($C143,IF(Settings!$G$47="",$C143,Settings!$G$47))-MAX($A143,Settings!$F$47)-MOD(IFERROR(MATCH(Settings!$E$47,$EO$4:$EO$10,0),0)-WEEKDAY(MAX($A143,Settings!$F$47)),7))/7)+1)),IF(AND(IF(Settings!$E$47="",$B143,DATE(YEAR($A143),MONTH($A143),MIN(Settings!$E$47,DAY($B143))))&gt;=MAX($A143,Settings!$F$47),IF(Settings!$E$47="",$B143,DATE(YEAR($A143),MONTH($A143),MIN(Settings!$E$47,DAY($B143))))&lt;=MIN($C143,IF(Settings!$G$47="",$C143,Settings!$G$47))),1,0)))</f>
        <v/>
      </c>
      <c r="BH143">
        <f>IF(OR(Settings!$C$48="",Settings!$D$48=""),0,Settings!$C$48*IF(Settings!$D$48="Weekly",IF(IFERROR(MATCH(Settings!$E$48,$EO$4:$EO$10,0),0)=0,0,IF(MIN($C143,IF(Settings!$G$48="",$C143,Settings!$G$48))&lt;MAX($A143,Settings!$F$48),0,INT((MIN($C143,IF(Settings!$G$48="",$C143,Settings!$G$48))-MAX($A143,Settings!$F$48)-MOD(IFERROR(MATCH(Settings!$E$48,$EO$4:$EO$10,0),0)-WEEKDAY(MAX($A143,Settings!$F$48)),7))/7)+1)),IF(AND(IF(Settings!$E$48="",$B143,DATE(YEAR($A143),MONTH($A143),MIN(Settings!$E$48,DAY($B143))))&gt;=MAX($A143,Settings!$F$48),IF(Settings!$E$48="",$B143,DATE(YEAR($A143),MONTH($A143),MIN(Settings!$E$48,DAY($B143))))&lt;=MIN($C143,IF(Settings!$G$48="",$C143,Settings!$G$48))),1,0)))</f>
        <v/>
      </c>
      <c r="BI143">
        <f>IF(OR(Settings!$C$49="",Settings!$D$49=""),0,Settings!$C$49*IF(Settings!$D$49="Weekly",IF(IFERROR(MATCH(Settings!$E$49,$EO$4:$EO$10,0),0)=0,0,IF(MIN($C143,IF(Settings!$G$49="",$C143,Settings!$G$49))&lt;MAX($A143,Settings!$F$49),0,INT((MIN($C143,IF(Settings!$G$49="",$C143,Settings!$G$49))-MAX($A143,Settings!$F$49)-MOD(IFERROR(MATCH(Settings!$E$49,$EO$4:$EO$10,0),0)-WEEKDAY(MAX($A143,Settings!$F$49)),7))/7)+1)),IF(AND(IF(Settings!$E$49="",$B143,DATE(YEAR($A143),MONTH($A143),MIN(Settings!$E$49,DAY($B143))))&gt;=MAX($A143,Settings!$F$49),IF(Settings!$E$49="",$B143,DATE(YEAR($A143),MONTH($A143),MIN(Settings!$E$49,DAY($B143))))&lt;=MIN($C143,IF(Settings!$G$49="",$C143,Settings!$G$49))),1,0)))</f>
        <v/>
      </c>
      <c r="BJ143">
        <f>IF(OR(Settings!$C$50="",Settings!$D$50=""),0,Settings!$C$50*IF(Settings!$D$50="Weekly",IF(IFERROR(MATCH(Settings!$E$50,$EO$4:$EO$10,0),0)=0,0,IF(MIN($C143,IF(Settings!$G$50="",$C143,Settings!$G$50))&lt;MAX($A143,Settings!$F$50),0,INT((MIN($C143,IF(Settings!$G$50="",$C143,Settings!$G$50))-MAX($A143,Settings!$F$50)-MOD(IFERROR(MATCH(Settings!$E$50,$EO$4:$EO$10,0),0)-WEEKDAY(MAX($A143,Settings!$F$50)),7))/7)+1)),IF(AND(IF(Settings!$E$50="",$B143,DATE(YEAR($A143),MONTH($A143),MIN(Settings!$E$50,DAY($B143))))&gt;=MAX($A143,Settings!$F$50),IF(Settings!$E$50="",$B143,DATE(YEAR($A143),MONTH($A143),MIN(Settings!$E$50,DAY($B143))))&lt;=MIN($C143,IF(Settings!$G$50="",$C143,Settings!$G$50))),1,0)))</f>
        <v/>
      </c>
      <c r="BK143">
        <f>IF(OR(Settings!$C$51="",Settings!$D$51=""),0,Settings!$C$51*IF(Settings!$D$51="Weekly",IF(IFERROR(MATCH(Settings!$E$51,$EO$4:$EO$10,0),0)=0,0,IF(MIN($C143,IF(Settings!$G$51="",$C143,Settings!$G$51))&lt;MAX($A143,Settings!$F$51),0,INT((MIN($C143,IF(Settings!$G$51="",$C143,Settings!$G$51))-MAX($A143,Settings!$F$51)-MOD(IFERROR(MATCH(Settings!$E$51,$EO$4:$EO$10,0),0)-WEEKDAY(MAX($A143,Settings!$F$51)),7))/7)+1)),IF(AND(IF(Settings!$E$51="",$B143,DATE(YEAR($A143),MONTH($A143),MIN(Settings!$E$51,DAY($B143))))&gt;=MAX($A143,Settings!$F$51),IF(Settings!$E$51="",$B143,DATE(YEAR($A143),MONTH($A143),MIN(Settings!$E$51,DAY($B143))))&lt;=MIN($C143,IF(Settings!$G$51="",$C143,Settings!$G$51))),1,0)))</f>
        <v/>
      </c>
      <c r="BL143">
        <f>IF(OR(Settings!$C$52="",Settings!$D$52=""),0,Settings!$C$52*IF(Settings!$D$52="Weekly",IF(IFERROR(MATCH(Settings!$E$52,$EO$4:$EO$10,0),0)=0,0,IF(MIN($C143,IF(Settings!$G$52="",$C143,Settings!$G$52))&lt;MAX($A143,Settings!$F$52),0,INT((MIN($C143,IF(Settings!$G$52="",$C143,Settings!$G$52))-MAX($A143,Settings!$F$52)-MOD(IFERROR(MATCH(Settings!$E$52,$EO$4:$EO$10,0),0)-WEEKDAY(MAX($A143,Settings!$F$52)),7))/7)+1)),IF(AND(IF(Settings!$E$52="",$B143,DATE(YEAR($A143),MONTH($A143),MIN(Settings!$E$52,DAY($B143))))&gt;=MAX($A143,Settings!$F$52),IF(Settings!$E$52="",$B143,DATE(YEAR($A143),MONTH($A143),MIN(Settings!$E$52,DAY($B143))))&lt;=MIN($C143,IF(Settings!$G$52="",$C143,Settings!$G$52))),1,0)))</f>
        <v/>
      </c>
      <c r="BM143">
        <f>IF(OR(Settings!$C$53="",Settings!$D$53=""),0,Settings!$C$53*IF(Settings!$D$53="Weekly",IF(IFERROR(MATCH(Settings!$E$53,$EO$4:$EO$10,0),0)=0,0,IF(MIN($C143,IF(Settings!$G$53="",$C143,Settings!$G$53))&lt;MAX($A143,Settings!$F$53),0,INT((MIN($C143,IF(Settings!$G$53="",$C143,Settings!$G$53))-MAX($A143,Settings!$F$53)-MOD(IFERROR(MATCH(Settings!$E$53,$EO$4:$EO$10,0),0)-WEEKDAY(MAX($A143,Settings!$F$53)),7))/7)+1)),IF(AND(IF(Settings!$E$53="",$B143,DATE(YEAR($A143),MONTH($A143),MIN(Settings!$E$53,DAY($B143))))&gt;=MAX($A143,Settings!$F$53),IF(Settings!$E$53="",$B143,DATE(YEAR($A143),MONTH($A143),MIN(Settings!$E$53,DAY($B143))))&lt;=MIN($C143,IF(Settings!$G$53="",$C143,Settings!$G$53))),1,0)))</f>
        <v/>
      </c>
      <c r="BN143">
        <f>IF(OR(Settings!$C$54="",Settings!$D$54=""),0,Settings!$C$54*IF(Settings!$D$54="Weekly",IF(IFERROR(MATCH(Settings!$E$54,$EO$4:$EO$10,0),0)=0,0,IF(MIN($C143,IF(Settings!$G$54="",$C143,Settings!$G$54))&lt;MAX($A143,Settings!$F$54),0,INT((MIN($C143,IF(Settings!$G$54="",$C143,Settings!$G$54))-MAX($A143,Settings!$F$54)-MOD(IFERROR(MATCH(Settings!$E$54,$EO$4:$EO$10,0),0)-WEEKDAY(MAX($A143,Settings!$F$54)),7))/7)+1)),IF(AND(IF(Settings!$E$54="",$B143,DATE(YEAR($A143),MONTH($A143),MIN(Settings!$E$54,DAY($B143))))&gt;=MAX($A143,Settings!$F$54),IF(Settings!$E$54="",$B143,DATE(YEAR($A143),MONTH($A143),MIN(Settings!$E$54,DAY($B143))))&lt;=MIN($C143,IF(Settings!$G$54="",$C143,Settings!$G$54))),1,0)))</f>
        <v/>
      </c>
      <c r="BO143">
        <f>IF(OR(Settings!$C$55="",Settings!$D$55=""),0,Settings!$C$55*IF(Settings!$D$55="Weekly",IF(IFERROR(MATCH(Settings!$E$55,$EO$4:$EO$10,0),0)=0,0,IF(MIN($C143,IF(Settings!$G$55="",$C143,Settings!$G$55))&lt;MAX($A143,Settings!$F$55),0,INT((MIN($C143,IF(Settings!$G$55="",$C143,Settings!$G$55))-MAX($A143,Settings!$F$55)-MOD(IFERROR(MATCH(Settings!$E$55,$EO$4:$EO$10,0),0)-WEEKDAY(MAX($A143,Settings!$F$55)),7))/7)+1)),IF(AND(IF(Settings!$E$55="",$B143,DATE(YEAR($A143),MONTH($A143),MIN(Settings!$E$55,DAY($B143))))&gt;=MAX($A143,Settings!$F$55),IF(Settings!$E$55="",$B143,DATE(YEAR($A143),MONTH($A143),MIN(Settings!$E$55,DAY($B143))))&lt;=MIN($C143,IF(Settings!$G$55="",$C143,Settings!$G$55))),1,0)))</f>
        <v/>
      </c>
      <c r="BP143">
        <f>IF(OR(Settings!$C$56="",Settings!$D$56=""),0,Settings!$C$56*IF(Settings!$D$56="Weekly",IF(IFERROR(MATCH(Settings!$E$56,$EO$4:$EO$10,0),0)=0,0,IF(MIN($C143,IF(Settings!$G$56="",$C143,Settings!$G$56))&lt;MAX($A143,Settings!$F$56),0,INT((MIN($C143,IF(Settings!$G$56="",$C143,Settings!$G$56))-MAX($A143,Settings!$F$56)-MOD(IFERROR(MATCH(Settings!$E$56,$EO$4:$EO$10,0),0)-WEEKDAY(MAX($A143,Settings!$F$56)),7))/7)+1)),IF(AND(IF(Settings!$E$56="",$B143,DATE(YEAR($A143),MONTH($A143),MIN(Settings!$E$56,DAY($B143))))&gt;=MAX($A143,Settings!$F$56),IF(Settings!$E$56="",$B143,DATE(YEAR($A143),MONTH($A143),MIN(Settings!$E$56,DAY($B143))))&lt;=MIN($C143,IF(Settings!$G$56="",$C143,Settings!$G$56))),1,0)))</f>
        <v/>
      </c>
      <c r="BQ143">
        <f>IF(OR(Settings!$B$14="",$D143=1,$E143="pre",$A143&lt;IF(Settings!$B$15="",0,Settings!$B$15)),0,Settings!$B$14)</f>
        <v/>
      </c>
      <c r="BR143">
        <f>IF(AND('Month-End'!$EJ$7&lt;&gt;"",NOT(_xlfn.ISFORMULA('Month-End'!$EJ$7))),1,0)</f>
        <v/>
      </c>
      <c r="BS143">
        <f>IF(AND('Month-End'!$EJ$8&lt;&gt;"",NOT(_xlfn.ISFORMULA('Month-End'!$EJ$8))),1,0)</f>
        <v/>
      </c>
      <c r="BT143">
        <f>IF(AND('Month-End'!$EJ$9&lt;&gt;"",NOT(_xlfn.ISFORMULA('Month-End'!$EJ$9))),1,0)</f>
        <v/>
      </c>
      <c r="BU143">
        <f>IF(AND('Month-End'!$EJ$10&lt;&gt;"",NOT(_xlfn.ISFORMULA('Month-End'!$EJ$10))),1,0)</f>
        <v/>
      </c>
      <c r="BV143">
        <f>IF(AND('Month-End'!$EJ$11&lt;&gt;"",NOT(_xlfn.ISFORMULA('Month-End'!$EJ$11))),1,0)</f>
        <v/>
      </c>
      <c r="BW143">
        <f>IF(AND('Month-End'!$EJ$12&lt;&gt;"",NOT(_xlfn.ISFORMULA('Month-End'!$EJ$12))),1,0)</f>
        <v/>
      </c>
      <c r="BX143">
        <f>IF(AND('Month-End'!$EJ$13&lt;&gt;"",NOT(_xlfn.ISFORMULA('Month-End'!$EJ$13))),1,0)</f>
        <v/>
      </c>
      <c r="BY143">
        <f>IF(AND('Month-End'!$EJ$14&lt;&gt;"",NOT(_xlfn.ISFORMULA('Month-End'!$EJ$14))),1,0)</f>
        <v/>
      </c>
      <c r="BZ143">
        <f>IF(AND('Month-End'!$EJ$15&lt;&gt;"",NOT(_xlfn.ISFORMULA('Month-End'!$EJ$15))),1,0)</f>
        <v/>
      </c>
      <c r="CA143">
        <f>IF(AND('Month-End'!$EJ$16&lt;&gt;"",NOT(_xlfn.ISFORMULA('Month-End'!$EJ$16))),1,0)</f>
        <v/>
      </c>
      <c r="CB143">
        <f>IF(AND('Month-End'!$EJ$17&lt;&gt;"",NOT(_xlfn.ISFORMULA('Month-End'!$EJ$17))),1,0)</f>
        <v/>
      </c>
      <c r="CC143">
        <f>IF(AND('Month-End'!$EJ$18&lt;&gt;"",NOT(_xlfn.ISFORMULA('Month-End'!$EJ$18))),1,0)</f>
        <v/>
      </c>
      <c r="CD143">
        <f>IF(AND('Month-End'!$EJ$19&lt;&gt;"",NOT(_xlfn.ISFORMULA('Month-End'!$EJ$19))),1,0)</f>
        <v/>
      </c>
      <c r="CE143">
        <f>IF(AND('Month-End'!$EJ$20&lt;&gt;"",NOT(_xlfn.ISFORMULA('Month-End'!$EJ$20))),1,0)</f>
        <v/>
      </c>
      <c r="CF143">
        <f>IF(AND('Month-End'!$EJ$38&lt;&gt;"",NOT(_xlfn.ISFORMULA('Month-End'!$EJ$38))),1,0)</f>
        <v/>
      </c>
      <c r="CG143">
        <f>IF(AND('Month-End'!$EJ$39&lt;&gt;"",NOT(_xlfn.ISFORMULA('Month-End'!$EJ$39))),1,0)</f>
        <v/>
      </c>
      <c r="CH143">
        <f>IF(AND('Month-End'!$EJ$40&lt;&gt;"",NOT(_xlfn.ISFORMULA('Month-End'!$EJ$40))),1,0)</f>
        <v/>
      </c>
      <c r="CI143">
        <f>IF(AND('Month-End'!$EJ$41&lt;&gt;"",NOT(_xlfn.ISFORMULA('Month-End'!$EJ$41))),1,0)</f>
        <v/>
      </c>
      <c r="CJ143">
        <f>IF(AND('Month-End'!$EJ$42&lt;&gt;"",NOT(_xlfn.ISFORMULA('Month-End'!$EJ$42))),1,0)</f>
        <v/>
      </c>
      <c r="CK143">
        <f>IF(AND('Month-End'!$EJ$43&lt;&gt;"",NOT(_xlfn.ISFORMULA('Month-End'!$EJ$43))),1,0)</f>
        <v/>
      </c>
      <c r="CL143">
        <f>SUM($CM143:$CZ143)</f>
        <v/>
      </c>
      <c r="CM143">
        <f>IF(AND($E143&lt;&gt;"pre",AND(Settings!$A$19&lt;&gt;"",Settings!$E$19&lt;&gt;"No"),Settings!$F$19="Yes",NOT(AND('Month-End'!$EJ$7&lt;&gt;"",NOT(_xlfn.ISFORMULA('Month-End'!$EJ$7))))),1,0)</f>
        <v/>
      </c>
      <c r="CN143">
        <f>IF(AND($E143&lt;&gt;"pre",AND(Settings!$A$20&lt;&gt;"",Settings!$E$20&lt;&gt;"No"),Settings!$F$20="Yes",NOT(AND('Month-End'!$EJ$8&lt;&gt;"",NOT(_xlfn.ISFORMULA('Month-End'!$EJ$8))))),1,0)</f>
        <v/>
      </c>
      <c r="CO143">
        <f>IF(AND($E143&lt;&gt;"pre",AND(Settings!$A$21&lt;&gt;"",Settings!$E$21&lt;&gt;"No"),Settings!$F$21="Yes",NOT(AND('Month-End'!$EJ$9&lt;&gt;"",NOT(_xlfn.ISFORMULA('Month-End'!$EJ$9))))),1,0)</f>
        <v/>
      </c>
      <c r="CP143">
        <f>IF(AND($E143&lt;&gt;"pre",AND(Settings!$A$22&lt;&gt;"",Settings!$E$22&lt;&gt;"No"),Settings!$F$22="Yes",NOT(AND('Month-End'!$EJ$10&lt;&gt;"",NOT(_xlfn.ISFORMULA('Month-End'!$EJ$10))))),1,0)</f>
        <v/>
      </c>
      <c r="CQ143">
        <f>IF(AND($E143&lt;&gt;"pre",AND(Settings!$A$23&lt;&gt;"",Settings!$E$23&lt;&gt;"No"),Settings!$F$23="Yes",NOT(AND('Month-End'!$EJ$11&lt;&gt;"",NOT(_xlfn.ISFORMULA('Month-End'!$EJ$11))))),1,0)</f>
        <v/>
      </c>
      <c r="CR143">
        <f>IF(AND($E143&lt;&gt;"pre",AND(Settings!$A$24&lt;&gt;"",Settings!$E$24&lt;&gt;"No"),Settings!$F$24="Yes",NOT(AND('Month-End'!$EJ$12&lt;&gt;"",NOT(_xlfn.ISFORMULA('Month-End'!$EJ$12))))),1,0)</f>
        <v/>
      </c>
      <c r="CS143">
        <f>IF(AND($E143&lt;&gt;"pre",AND(Settings!$A$25&lt;&gt;"",Settings!$E$25&lt;&gt;"No"),Settings!$F$25="Yes",NOT(AND('Month-End'!$EJ$13&lt;&gt;"",NOT(_xlfn.ISFORMULA('Month-End'!$EJ$13))))),1,0)</f>
        <v/>
      </c>
      <c r="CT143">
        <f>IF(AND($E143&lt;&gt;"pre",AND(Settings!$A$26&lt;&gt;"",Settings!$E$26&lt;&gt;"No"),Settings!$F$26="Yes",NOT(AND('Month-End'!$EJ$14&lt;&gt;"",NOT(_xlfn.ISFORMULA('Month-End'!$EJ$14))))),1,0)</f>
        <v/>
      </c>
      <c r="CU143">
        <f>IF(AND($E143&lt;&gt;"pre",AND(Settings!$A$27&lt;&gt;"",Settings!$E$27&lt;&gt;"No"),Settings!$F$27="Yes",NOT(AND('Month-End'!$EJ$15&lt;&gt;"",NOT(_xlfn.ISFORMULA('Month-End'!$EJ$15))))),1,0)</f>
        <v/>
      </c>
      <c r="CV143">
        <f>IF(AND($E143&lt;&gt;"pre",AND(Settings!$A$28&lt;&gt;"",Settings!$E$28&lt;&gt;"No"),Settings!$F$28="Yes",NOT(AND('Month-End'!$EJ$16&lt;&gt;"",NOT(_xlfn.ISFORMULA('Month-End'!$EJ$16))))),1,0)</f>
        <v/>
      </c>
      <c r="CW143">
        <f>IF(AND($E143&lt;&gt;"pre",AND(Settings!$A$29&lt;&gt;"",Settings!$E$29&lt;&gt;"No"),Settings!$F$29="Yes",NOT(AND('Month-End'!$EJ$17&lt;&gt;"",NOT(_xlfn.ISFORMULA('Month-End'!$EJ$17))))),1,0)</f>
        <v/>
      </c>
      <c r="CX143">
        <f>IF(AND($E143&lt;&gt;"pre",AND(Settings!$A$30&lt;&gt;"",Settings!$E$30&lt;&gt;"No"),Settings!$F$30="Yes",NOT(AND('Month-End'!$EJ$18&lt;&gt;"",NOT(_xlfn.ISFORMULA('Month-End'!$EJ$18))))),1,0)</f>
        <v/>
      </c>
      <c r="CY143">
        <f>IF(AND($E143&lt;&gt;"pre",AND(Settings!$A$31&lt;&gt;"",Settings!$E$31&lt;&gt;"No"),Settings!$F$31="Yes",NOT(AND('Month-End'!$EJ$19&lt;&gt;"",NOT(_xlfn.ISFORMULA('Month-End'!$EJ$19))))),1,0)</f>
        <v/>
      </c>
      <c r="CZ143">
        <f>IF(AND($E143&lt;&gt;"pre",AND(Settings!$A$32&lt;&gt;"",Settings!$E$32&lt;&gt;"No"),Settings!$F$32="Yes",NOT(AND('Month-End'!$EJ$20&lt;&gt;"",NOT(_xlfn.ISFORMULA('Month-End'!$EJ$20))))),1,0)</f>
        <v/>
      </c>
      <c r="DA143">
        <f>IF($DT143=1,IF(OR(Settings!$B$19="Checking",Settings!$B$19="Savings",Settings!$B$19="Cash"),N($AE143),IF(OR(Settings!$B$19="Card",Settings!$B$19="Loan"),-N($AE143),0))+IF(OR(Settings!$B$20="Checking",Settings!$B$20="Savings",Settings!$B$20="Cash"),N($AF143),IF(OR(Settings!$B$20="Card",Settings!$B$20="Loan"),-N($AF143),0))+IF(OR(Settings!$B$21="Checking",Settings!$B$21="Savings",Settings!$B$21="Cash"),N($AG143),IF(OR(Settings!$B$21="Card",Settings!$B$21="Loan"),-N($AG143),0))+IF(OR(Settings!$B$22="Checking",Settings!$B$22="Savings",Settings!$B$22="Cash"),N($AH143),IF(OR(Settings!$B$22="Card",Settings!$B$22="Loan"),-N($AH143),0))+IF(OR(Settings!$B$23="Checking",Settings!$B$23="Savings",Settings!$B$23="Cash"),N($AI143),IF(OR(Settings!$B$23="Card",Settings!$B$23="Loan"),-N($AI143),0))+IF(OR(Settings!$B$24="Checking",Settings!$B$24="Savings",Settings!$B$24="Cash"),N($AJ143),IF(OR(Settings!$B$24="Card",Settings!$B$24="Loan"),-N($AJ143),0))+IF(OR(Settings!$B$25="Checking",Settings!$B$25="Savings",Settings!$B$25="Cash"),N($AK143),IF(OR(Settings!$B$25="Card",Settings!$B$25="Loan"),-N($AK143),0))+IF(OR(Settings!$B$26="Checking",Settings!$B$26="Savings",Settings!$B$26="Cash"),N($AL143),IF(OR(Settings!$B$26="Card",Settings!$B$26="Loan"),-N($AL143),0))+IF(OR(Settings!$B$27="Checking",Settings!$B$27="Savings",Settings!$B$27="Cash"),N($AM143),IF(OR(Settings!$B$27="Card",Settings!$B$27="Loan"),-N($AM143),0))+IF(OR(Settings!$B$28="Checking",Settings!$B$28="Savings",Settings!$B$28="Cash"),N($AN143),IF(OR(Settings!$B$28="Card",Settings!$B$28="Loan"),-N($AN143),0))+IF(OR(Settings!$B$29="Checking",Settings!$B$29="Savings",Settings!$B$29="Cash"),N($AO143),IF(OR(Settings!$B$29="Card",Settings!$B$29="Loan"),-N($AO143),0))+IF(OR(Settings!$B$30="Checking",Settings!$B$30="Savings",Settings!$B$30="Cash"),N($AP143),IF(OR(Settings!$B$30="Card",Settings!$B$30="Loan"),-N($AP143),0))+IF(OR(Settings!$B$31="Checking",Settings!$B$31="Savings",Settings!$B$31="Cash"),N($AQ143),IF(OR(Settings!$B$31="Card",Settings!$B$31="Loan"),-N($AQ143),0))+IF(OR(Settings!$B$32="Checking",Settings!$B$32="Savings",Settings!$B$32="Cash"),N($AR143),IF(OR(Settings!$B$32="Card",Settings!$B$32="Loan"),-N($AR143),0)),"")</f>
        <v/>
      </c>
      <c r="DB143">
        <f>IF($E143="open",$EB$27,IF($E143="post",IF($E142="pre",$EB$27,$DA142),""))</f>
        <v/>
      </c>
      <c r="DC143">
        <f>IF($E143="open",1,IF($E143="post",IF($E142="pre",1,$DT142),0))</f>
        <v/>
      </c>
      <c r="DD143">
        <f>IF(AND($DT143=1,$DC143=1),ROUND($W143-($DA143-$DB143)-$AD143-$AB143,2),"")</f>
        <v/>
      </c>
      <c r="DE143">
        <f>IF('Month-End'!$EJ$35="",$BQ143,N('Month-End'!$EJ$35))</f>
        <v/>
      </c>
      <c r="DF143">
        <f>N('Month-End'!$EJ$36)</f>
        <v/>
      </c>
      <c r="DG143">
        <f>IF($DD143="","",$DD143+$DE143)</f>
        <v/>
      </c>
      <c r="DH143">
        <f>IF($DG143="","",$DG143-$DF143)</f>
        <v/>
      </c>
      <c r="DI143">
        <f>IF(OR($E143="pre",$D143=1),"",N($AS143)+N($AT143)+N($AU143)+N($AV143)+N($AW143)+N($AX143))</f>
        <v/>
      </c>
      <c r="DJ143">
        <f>IF($DT143=1,$DA143+N($DI143),"")</f>
        <v/>
      </c>
      <c r="DK143">
        <f>IF($DD143="","",$W143-$DD143-$AB143)</f>
        <v/>
      </c>
      <c r="DL143">
        <f>IF(AND($E143="post",$DD143&lt;&gt;"",$B143&lt;TODAY()),1,0)</f>
        <v/>
      </c>
      <c r="DM143">
        <f>IF($DL143=1,COUNTIF($DL143:$DL$183,1),0)</f>
        <v/>
      </c>
      <c r="DN143">
        <f>IF($D143=1,"",IF($E143="pre","History only",IF($DT143=1,IF($DD143="","⚠ Previous month missing",IF($DD143&lt;0,"⚠ Check: spending &lt; 0",IF($E143="open","✓ Done (partial)","✓ Done"))),IF($B143&gt;=TODAY(),"In progress","⚠ Needs balances"))))</f>
        <v/>
      </c>
      <c r="DO143">
        <f>YEAR($A143)</f>
        <v/>
      </c>
      <c r="DP143">
        <f>DATE(YEAR($A143),INT((MONTH($A143)-1)/3)*3+1,1)</f>
        <v/>
      </c>
      <c r="DQ143">
        <f>IF(AND($DT143=1,$DD143&lt;&gt;"",$D143=0),ROW(),0)</f>
        <v/>
      </c>
      <c r="DR143">
        <f>IF(AND($E143&lt;&gt;"pre",$B143&lt;TODAY(),$DT143=0),1,0)</f>
        <v/>
      </c>
      <c r="DS143">
        <f>IF($DJ143="",NA(),$DJ143)</f>
        <v/>
      </c>
      <c r="DT143">
        <f>IF(AND($E143&lt;&gt;"pre",$CL143=0,COUNTIFS(Settings!$F$19:$F$32,"Yes",Settings!$A$19:$A$32,"&lt;&gt;",Settings!$E$19:$E$32,"&lt;&gt;No")&gt;0),1,0)</f>
        <v/>
      </c>
      <c r="DU143">
        <f>IF(AND($B143&lt;TODAY(),$S143&gt;0),1,0)</f>
        <v/>
      </c>
      <c r="DV143">
        <f>IF($DU143=1,COUNTIF($DU143:$DU$183,1),0)</f>
        <v/>
      </c>
      <c r="DW143">
        <f>IF(AND(OR(Settings!$B$19="Card",Settings!$B$19="Loan"),AND('Month-End'!$EJ$7&lt;&gt;"",NOT(_xlfn.ISFORMULA('Month-End'!$EJ$7)))),IF(N('Month-End'!$EJ$7)&lt;0,1,0),0)+IF(AND(OR(Settings!$B$20="Card",Settings!$B$20="Loan"),AND('Month-End'!$EJ$8&lt;&gt;"",NOT(_xlfn.ISFORMULA('Month-End'!$EJ$8)))),IF(N('Month-End'!$EJ$8)&lt;0,1,0),0)+IF(AND(OR(Settings!$B$21="Card",Settings!$B$21="Loan"),AND('Month-End'!$EJ$9&lt;&gt;"",NOT(_xlfn.ISFORMULA('Month-End'!$EJ$9)))),IF(N('Month-End'!$EJ$9)&lt;0,1,0),0)+IF(AND(OR(Settings!$B$22="Card",Settings!$B$22="Loan"),AND('Month-End'!$EJ$10&lt;&gt;"",NOT(_xlfn.ISFORMULA('Month-End'!$EJ$10)))),IF(N('Month-End'!$EJ$10)&lt;0,1,0),0)+IF(AND(OR(Settings!$B$23="Card",Settings!$B$23="Loan"),AND('Month-End'!$EJ$11&lt;&gt;"",NOT(_xlfn.ISFORMULA('Month-End'!$EJ$11)))),IF(N('Month-End'!$EJ$11)&lt;0,1,0),0)+IF(AND(OR(Settings!$B$24="Card",Settings!$B$24="Loan"),AND('Month-End'!$EJ$12&lt;&gt;"",NOT(_xlfn.ISFORMULA('Month-End'!$EJ$12)))),IF(N('Month-End'!$EJ$12)&lt;0,1,0),0)+IF(AND(OR(Settings!$B$25="Card",Settings!$B$25="Loan"),AND('Month-End'!$EJ$13&lt;&gt;"",NOT(_xlfn.ISFORMULA('Month-End'!$EJ$13)))),IF(N('Month-End'!$EJ$13)&lt;0,1,0),0)+IF(AND(OR(Settings!$B$26="Card",Settings!$B$26="Loan"),AND('Month-End'!$EJ$14&lt;&gt;"",NOT(_xlfn.ISFORMULA('Month-End'!$EJ$14)))),IF(N('Month-End'!$EJ$14)&lt;0,1,0),0)+IF(AND(OR(Settings!$B$27="Card",Settings!$B$27="Loan"),AND('Month-End'!$EJ$15&lt;&gt;"",NOT(_xlfn.ISFORMULA('Month-End'!$EJ$15)))),IF(N('Month-End'!$EJ$15)&lt;0,1,0),0)+IF(AND(OR(Settings!$B$28="Card",Settings!$B$28="Loan"),AND('Month-End'!$EJ$16&lt;&gt;"",NOT(_xlfn.ISFORMULA('Month-End'!$EJ$16)))),IF(N('Month-End'!$EJ$16)&lt;0,1,0),0)+IF(AND(OR(Settings!$B$29="Card",Settings!$B$29="Loan"),AND('Month-End'!$EJ$17&lt;&gt;"",NOT(_xlfn.ISFORMULA('Month-End'!$EJ$17)))),IF(N('Month-End'!$EJ$17)&lt;0,1,0),0)+IF(AND(OR(Settings!$B$30="Card",Settings!$B$30="Loan"),AND('Month-End'!$EJ$18&lt;&gt;"",NOT(_xlfn.ISFORMULA('Month-End'!$EJ$18)))),IF(N('Month-End'!$EJ$18)&lt;0,1,0),0)+IF(AND(OR(Settings!$B$31="Card",Settings!$B$31="Loan"),AND('Month-End'!$EJ$19&lt;&gt;"",NOT(_xlfn.ISFORMULA('Month-End'!$EJ$19)))),IF(N('Month-End'!$EJ$19)&lt;0,1,0),0)+IF(AND(OR(Settings!$B$32="Card",Settings!$B$32="Loan"),AND('Month-End'!$EJ$20&lt;&gt;"",NOT(_xlfn.ISFORMULA('Month-End'!$EJ$20)))),IF(N('Month-End'!$EJ$20)&lt;0,1,0),0)</f>
        <v/>
      </c>
      <c r="DX143">
        <f>IF(Settings!$B$36="Retirement",$AY143,0)+IF(Settings!$B$37="Retirement",$AZ143,0)+IF(Settings!$B$38="Retirement",$BA143,0)+IF(Settings!$B$39="Retirement",$BB143,0)+IF(Settings!$B$40="Retirement",$BC143,0)+IF(Settings!$B$41="Retirement",$BD143,0)</f>
        <v/>
      </c>
      <c r="ET143">
        <f>IF($E143&lt;&gt;"open",0,IF(AND('Month-End'!$EJ$22&lt;&gt;"",NOT(_xlfn.ISFORMULA('Month-End'!$EJ$22))),0,IF(OR(Settings!$C$45="",Settings!$D$45=""),0,Settings!$C$45*IF(Settings!$D$45="Weekly",IF(IFERROR(MATCH(Settings!$E$45,$EO$4:$EO$10,0),0)=0,0,IF(MIN(Settings!$B$5,IF(Settings!$G$45="",Settings!$B$5,Settings!$G$45))&lt;MAX($A143,Settings!$F$45),0,INT((MIN(Settings!$B$5,IF(Settings!$G$45="",Settings!$B$5,Settings!$G$45))-MAX($A143,Settings!$F$45)-MOD(IFERROR(MATCH(Settings!$E$45,$EO$4:$EO$10,0),0)-WEEKDAY(MAX($A143,Settings!$F$45)),7))/7)+1)),IF(AND(IF(Settings!$E$45="",$B143,DATE(YEAR($A143),MONTH($A143),MIN(Settings!$E$45,DAY($B143))))&gt;=MAX($A143,Settings!$F$45),IF(Settings!$E$45="",$B143,DATE(YEAR($A143),MONTH($A143),MIN(Settings!$E$45,DAY($B143))))&lt;=MIN(Settings!$B$5,IF(Settings!$G$45="",Settings!$B$5,Settings!$G$45))),1,0)))))</f>
        <v/>
      </c>
      <c r="EU143">
        <f>IF($E143&lt;&gt;"open",0,IF(AND('Month-End'!$EJ$23&lt;&gt;"",NOT(_xlfn.ISFORMULA('Month-End'!$EJ$23))),0,IF(OR(Settings!$C$46="",Settings!$D$46=""),0,Settings!$C$46*IF(Settings!$D$46="Weekly",IF(IFERROR(MATCH(Settings!$E$46,$EO$4:$EO$10,0),0)=0,0,IF(MIN(Settings!$B$5,IF(Settings!$G$46="",Settings!$B$5,Settings!$G$46))&lt;MAX($A143,Settings!$F$46),0,INT((MIN(Settings!$B$5,IF(Settings!$G$46="",Settings!$B$5,Settings!$G$46))-MAX($A143,Settings!$F$46)-MOD(IFERROR(MATCH(Settings!$E$46,$EO$4:$EO$10,0),0)-WEEKDAY(MAX($A143,Settings!$F$46)),7))/7)+1)),IF(AND(IF(Settings!$E$46="",$B143,DATE(YEAR($A143),MONTH($A143),MIN(Settings!$E$46,DAY($B143))))&gt;=MAX($A143,Settings!$F$46),IF(Settings!$E$46="",$B143,DATE(YEAR($A143),MONTH($A143),MIN(Settings!$E$46,DAY($B143))))&lt;=MIN(Settings!$B$5,IF(Settings!$G$46="",Settings!$B$5,Settings!$G$46))),1,0)))))</f>
        <v/>
      </c>
      <c r="EV143">
        <f>IF($E143&lt;&gt;"open",0,IF(AND('Month-End'!$EJ$24&lt;&gt;"",NOT(_xlfn.ISFORMULA('Month-End'!$EJ$24))),0,IF(OR(Settings!$C$47="",Settings!$D$47=""),0,Settings!$C$47*IF(Settings!$D$47="Weekly",IF(IFERROR(MATCH(Settings!$E$47,$EO$4:$EO$10,0),0)=0,0,IF(MIN(Settings!$B$5,IF(Settings!$G$47="",Settings!$B$5,Settings!$G$47))&lt;MAX($A143,Settings!$F$47),0,INT((MIN(Settings!$B$5,IF(Settings!$G$47="",Settings!$B$5,Settings!$G$47))-MAX($A143,Settings!$F$47)-MOD(IFERROR(MATCH(Settings!$E$47,$EO$4:$EO$10,0),0)-WEEKDAY(MAX($A143,Settings!$F$47)),7))/7)+1)),IF(AND(IF(Settings!$E$47="",$B143,DATE(YEAR($A143),MONTH($A143),MIN(Settings!$E$47,DAY($B143))))&gt;=MAX($A143,Settings!$F$47),IF(Settings!$E$47="",$B143,DATE(YEAR($A143),MONTH($A143),MIN(Settings!$E$47,DAY($B143))))&lt;=MIN(Settings!$B$5,IF(Settings!$G$47="",Settings!$B$5,Settings!$G$47))),1,0)))))</f>
        <v/>
      </c>
      <c r="EW143">
        <f>IF($E143&lt;&gt;"open",0,IF(AND('Month-End'!$EJ$25&lt;&gt;"",NOT(_xlfn.ISFORMULA('Month-End'!$EJ$25))),0,IF(OR(Settings!$C$48="",Settings!$D$48=""),0,Settings!$C$48*IF(Settings!$D$48="Weekly",IF(IFERROR(MATCH(Settings!$E$48,$EO$4:$EO$10,0),0)=0,0,IF(MIN(Settings!$B$5,IF(Settings!$G$48="",Settings!$B$5,Settings!$G$48))&lt;MAX($A143,Settings!$F$48),0,INT((MIN(Settings!$B$5,IF(Settings!$G$48="",Settings!$B$5,Settings!$G$48))-MAX($A143,Settings!$F$48)-MOD(IFERROR(MATCH(Settings!$E$48,$EO$4:$EO$10,0),0)-WEEKDAY(MAX($A143,Settings!$F$48)),7))/7)+1)),IF(AND(IF(Settings!$E$48="",$B143,DATE(YEAR($A143),MONTH($A143),MIN(Settings!$E$48,DAY($B143))))&gt;=MAX($A143,Settings!$F$48),IF(Settings!$E$48="",$B143,DATE(YEAR($A143),MONTH($A143),MIN(Settings!$E$48,DAY($B143))))&lt;=MIN(Settings!$B$5,IF(Settings!$G$48="",Settings!$B$5,Settings!$G$48))),1,0)))))</f>
        <v/>
      </c>
      <c r="EX143">
        <f>IF($E143&lt;&gt;"open",0,IF(AND('Month-End'!$EJ$26&lt;&gt;"",NOT(_xlfn.ISFORMULA('Month-End'!$EJ$26))),0,IF(OR(Settings!$C$49="",Settings!$D$49=""),0,Settings!$C$49*IF(Settings!$D$49="Weekly",IF(IFERROR(MATCH(Settings!$E$49,$EO$4:$EO$10,0),0)=0,0,IF(MIN(Settings!$B$5,IF(Settings!$G$49="",Settings!$B$5,Settings!$G$49))&lt;MAX($A143,Settings!$F$49),0,INT((MIN(Settings!$B$5,IF(Settings!$G$49="",Settings!$B$5,Settings!$G$49))-MAX($A143,Settings!$F$49)-MOD(IFERROR(MATCH(Settings!$E$49,$EO$4:$EO$10,0),0)-WEEKDAY(MAX($A143,Settings!$F$49)),7))/7)+1)),IF(AND(IF(Settings!$E$49="",$B143,DATE(YEAR($A143),MONTH($A143),MIN(Settings!$E$49,DAY($B143))))&gt;=MAX($A143,Settings!$F$49),IF(Settings!$E$49="",$B143,DATE(YEAR($A143),MONTH($A143),MIN(Settings!$E$49,DAY($B143))))&lt;=MIN(Settings!$B$5,IF(Settings!$G$49="",Settings!$B$5,Settings!$G$49))),1,0)))))</f>
        <v/>
      </c>
      <c r="EY143">
        <f>IF($E143&lt;&gt;"open",0,IF(AND('Month-End'!$EJ$27&lt;&gt;"",NOT(_xlfn.ISFORMULA('Month-End'!$EJ$27))),0,IF(OR(Settings!$C$50="",Settings!$D$50=""),0,Settings!$C$50*IF(Settings!$D$50="Weekly",IF(IFERROR(MATCH(Settings!$E$50,$EO$4:$EO$10,0),0)=0,0,IF(MIN(Settings!$B$5,IF(Settings!$G$50="",Settings!$B$5,Settings!$G$50))&lt;MAX($A143,Settings!$F$50),0,INT((MIN(Settings!$B$5,IF(Settings!$G$50="",Settings!$B$5,Settings!$G$50))-MAX($A143,Settings!$F$50)-MOD(IFERROR(MATCH(Settings!$E$50,$EO$4:$EO$10,0),0)-WEEKDAY(MAX($A143,Settings!$F$50)),7))/7)+1)),IF(AND(IF(Settings!$E$50="",$B143,DATE(YEAR($A143),MONTH($A143),MIN(Settings!$E$50,DAY($B143))))&gt;=MAX($A143,Settings!$F$50),IF(Settings!$E$50="",$B143,DATE(YEAR($A143),MONTH($A143),MIN(Settings!$E$50,DAY($B143))))&lt;=MIN(Settings!$B$5,IF(Settings!$G$50="",Settings!$B$5,Settings!$G$50))),1,0)))))</f>
        <v/>
      </c>
      <c r="EZ143">
        <f>IF($E143&lt;&gt;"open",0,IF(AND('Month-End'!$EJ$28&lt;&gt;"",NOT(_xlfn.ISFORMULA('Month-End'!$EJ$28))),0,IF(OR(Settings!$C$51="",Settings!$D$51=""),0,Settings!$C$51*IF(Settings!$D$51="Weekly",IF(IFERROR(MATCH(Settings!$E$51,$EO$4:$EO$10,0),0)=0,0,IF(MIN(Settings!$B$5,IF(Settings!$G$51="",Settings!$B$5,Settings!$G$51))&lt;MAX($A143,Settings!$F$51),0,INT((MIN(Settings!$B$5,IF(Settings!$G$51="",Settings!$B$5,Settings!$G$51))-MAX($A143,Settings!$F$51)-MOD(IFERROR(MATCH(Settings!$E$51,$EO$4:$EO$10,0),0)-WEEKDAY(MAX($A143,Settings!$F$51)),7))/7)+1)),IF(AND(IF(Settings!$E$51="",$B143,DATE(YEAR($A143),MONTH($A143),MIN(Settings!$E$51,DAY($B143))))&gt;=MAX($A143,Settings!$F$51),IF(Settings!$E$51="",$B143,DATE(YEAR($A143),MONTH($A143),MIN(Settings!$E$51,DAY($B143))))&lt;=MIN(Settings!$B$5,IF(Settings!$G$51="",Settings!$B$5,Settings!$G$51))),1,0)))))</f>
        <v/>
      </c>
      <c r="FA143">
        <f>IF($E143&lt;&gt;"open",0,IF(AND('Month-End'!$EJ$29&lt;&gt;"",NOT(_xlfn.ISFORMULA('Month-End'!$EJ$29))),0,IF(OR(Settings!$C$52="",Settings!$D$52=""),0,Settings!$C$52*IF(Settings!$D$52="Weekly",IF(IFERROR(MATCH(Settings!$E$52,$EO$4:$EO$10,0),0)=0,0,IF(MIN(Settings!$B$5,IF(Settings!$G$52="",Settings!$B$5,Settings!$G$52))&lt;MAX($A143,Settings!$F$52),0,INT((MIN(Settings!$B$5,IF(Settings!$G$52="",Settings!$B$5,Settings!$G$52))-MAX($A143,Settings!$F$52)-MOD(IFERROR(MATCH(Settings!$E$52,$EO$4:$EO$10,0),0)-WEEKDAY(MAX($A143,Settings!$F$52)),7))/7)+1)),IF(AND(IF(Settings!$E$52="",$B143,DATE(YEAR($A143),MONTH($A143),MIN(Settings!$E$52,DAY($B143))))&gt;=MAX($A143,Settings!$F$52),IF(Settings!$E$52="",$B143,DATE(YEAR($A143),MONTH($A143),MIN(Settings!$E$52,DAY($B143))))&lt;=MIN(Settings!$B$5,IF(Settings!$G$52="",Settings!$B$5,Settings!$G$52))),1,0)))))</f>
        <v/>
      </c>
      <c r="FB143">
        <f>IF($E143&lt;&gt;"open",0,IF(AND('Month-End'!$EJ$30&lt;&gt;"",NOT(_xlfn.ISFORMULA('Month-End'!$EJ$30))),0,IF(OR(Settings!$C$53="",Settings!$D$53=""),0,Settings!$C$53*IF(Settings!$D$53="Weekly",IF(IFERROR(MATCH(Settings!$E$53,$EO$4:$EO$10,0),0)=0,0,IF(MIN(Settings!$B$5,IF(Settings!$G$53="",Settings!$B$5,Settings!$G$53))&lt;MAX($A143,Settings!$F$53),0,INT((MIN(Settings!$B$5,IF(Settings!$G$53="",Settings!$B$5,Settings!$G$53))-MAX($A143,Settings!$F$53)-MOD(IFERROR(MATCH(Settings!$E$53,$EO$4:$EO$10,0),0)-WEEKDAY(MAX($A143,Settings!$F$53)),7))/7)+1)),IF(AND(IF(Settings!$E$53="",$B143,DATE(YEAR($A143),MONTH($A143),MIN(Settings!$E$53,DAY($B143))))&gt;=MAX($A143,Settings!$F$53),IF(Settings!$E$53="",$B143,DATE(YEAR($A143),MONTH($A143),MIN(Settings!$E$53,DAY($B143))))&lt;=MIN(Settings!$B$5,IF(Settings!$G$53="",Settings!$B$5,Settings!$G$53))),1,0)))))</f>
        <v/>
      </c>
      <c r="FC143">
        <f>IF($E143&lt;&gt;"open",0,IF(AND('Month-End'!$EJ$31&lt;&gt;"",NOT(_xlfn.ISFORMULA('Month-End'!$EJ$31))),0,IF(OR(Settings!$C$54="",Settings!$D$54=""),0,Settings!$C$54*IF(Settings!$D$54="Weekly",IF(IFERROR(MATCH(Settings!$E$54,$EO$4:$EO$10,0),0)=0,0,IF(MIN(Settings!$B$5,IF(Settings!$G$54="",Settings!$B$5,Settings!$G$54))&lt;MAX($A143,Settings!$F$54),0,INT((MIN(Settings!$B$5,IF(Settings!$G$54="",Settings!$B$5,Settings!$G$54))-MAX($A143,Settings!$F$54)-MOD(IFERROR(MATCH(Settings!$E$54,$EO$4:$EO$10,0),0)-WEEKDAY(MAX($A143,Settings!$F$54)),7))/7)+1)),IF(AND(IF(Settings!$E$54="",$B143,DATE(YEAR($A143),MONTH($A143),MIN(Settings!$E$54,DAY($B143))))&gt;=MAX($A143,Settings!$F$54),IF(Settings!$E$54="",$B143,DATE(YEAR($A143),MONTH($A143),MIN(Settings!$E$54,DAY($B143))))&lt;=MIN(Settings!$B$5,IF(Settings!$G$54="",Settings!$B$5,Settings!$G$54))),1,0)))))</f>
        <v/>
      </c>
      <c r="FD143">
        <f>IF($E143&lt;&gt;"open",0,IF(AND('Month-End'!$EJ$32&lt;&gt;"",NOT(_xlfn.ISFORMULA('Month-End'!$EJ$32))),0,IF(OR(Settings!$C$55="",Settings!$D$55=""),0,Settings!$C$55*IF(Settings!$D$55="Weekly",IF(IFERROR(MATCH(Settings!$E$55,$EO$4:$EO$10,0),0)=0,0,IF(MIN(Settings!$B$5,IF(Settings!$G$55="",Settings!$B$5,Settings!$G$55))&lt;MAX($A143,Settings!$F$55),0,INT((MIN(Settings!$B$5,IF(Settings!$G$55="",Settings!$B$5,Settings!$G$55))-MAX($A143,Settings!$F$55)-MOD(IFERROR(MATCH(Settings!$E$55,$EO$4:$EO$10,0),0)-WEEKDAY(MAX($A143,Settings!$F$55)),7))/7)+1)),IF(AND(IF(Settings!$E$55="",$B143,DATE(YEAR($A143),MONTH($A143),MIN(Settings!$E$55,DAY($B143))))&gt;=MAX($A143,Settings!$F$55),IF(Settings!$E$55="",$B143,DATE(YEAR($A143),MONTH($A143),MIN(Settings!$E$55,DAY($B143))))&lt;=MIN(Settings!$B$5,IF(Settings!$G$55="",Settings!$B$5,Settings!$G$55))),1,0)))))</f>
        <v/>
      </c>
      <c r="FE143">
        <f>IF($E143&lt;&gt;"open",0,IF(AND('Month-End'!$EJ$33&lt;&gt;"",NOT(_xlfn.ISFORMULA('Month-End'!$EJ$33))),0,IF(OR(Settings!$C$56="",Settings!$D$56=""),0,Settings!$C$56*IF(Settings!$D$56="Weekly",IF(IFERROR(MATCH(Settings!$E$56,$EO$4:$EO$10,0),0)=0,0,IF(MIN(Settings!$B$5,IF(Settings!$G$56="",Settings!$B$5,Settings!$G$56))&lt;MAX($A143,Settings!$F$56),0,INT((MIN(Settings!$B$5,IF(Settings!$G$56="",Settings!$B$5,Settings!$G$56))-MAX($A143,Settings!$F$56)-MOD(IFERROR(MATCH(Settings!$E$56,$EO$4:$EO$10,0),0)-WEEKDAY(MAX($A143,Settings!$F$56)),7))/7)+1)),IF(AND(IF(Settings!$E$56="",$B143,DATE(YEAR($A143),MONTH($A143),MIN(Settings!$E$56,DAY($B143))))&gt;=MAX($A143,Settings!$F$56),IF(Settings!$E$56="",$B143,DATE(YEAR($A143),MONTH($A143),MIN(Settings!$E$56,DAY($B143))))&lt;=MIN(Settings!$B$5,IF(Settings!$G$56="",Settings!$B$5,Settings!$G$56))),1,0)))))</f>
        <v/>
      </c>
      <c r="FF143">
        <f>IF(Settings!$I$45="Yes",$G143,0)+IF(Settings!$I$46="Yes",$H143,0)+IF(Settings!$I$47="Yes",$I143,0)+IF(Settings!$I$48="Yes",$J143,0)+IF(Settings!$I$49="Yes",$K143,0)+IF(Settings!$I$50="Yes",$L143,0)+IF(Settings!$I$51="Yes",$M143,0)+IF(Settings!$I$52="Yes",$N143,0)+IF(Settings!$I$53="Yes",$O143,0)+IF(Settings!$I$54="Yes",$P143,0)+IF(Settings!$I$55="Yes",$Q143,0)+IF(Settings!$I$56="Yes",$R143,0)</f>
        <v/>
      </c>
      <c r="FG143">
        <f>IF(AND(Settings!$I$45="Yes",Settings!$J$45="No"),$G143,0)+IF(AND(Settings!$I$46="Yes",Settings!$J$46="No"),$H143,0)+IF(AND(Settings!$I$47="Yes",Settings!$J$47="No"),$I143,0)+IF(AND(Settings!$I$48="Yes",Settings!$J$48="No"),$J143,0)+IF(AND(Settings!$I$49="Yes",Settings!$J$49="No"),$K143,0)+IF(AND(Settings!$I$50="Yes",Settings!$J$50="No"),$L143,0)+IF(AND(Settings!$I$51="Yes",Settings!$J$51="No"),$M143,0)+IF(AND(Settings!$I$52="Yes",Settings!$J$52="No"),$N143,0)+IF(AND(Settings!$I$53="Yes",Settings!$J$53="No"),$O143,0)+IF(AND(Settings!$I$54="Yes",Settings!$J$54="No"),$P143,0)+IF(AND(Settings!$I$55="Yes",Settings!$J$55="No"),$Q143,0)+IF(AND(Settings!$I$56="Yes",Settings!$J$56="No"),$R143,0)</f>
        <v/>
      </c>
      <c r="FH143">
        <f>SUMIFS(Giving!$B$7:$B$2006,Giving!$A$7:$A$2006,"&gt;="&amp;$A143,Giving!$A$7:$A$2006,"&lt;="&amp;$B143,Giving!$G$7:$G$2006,"Yes")+IF(OR(OR(Settings!$B$60="",Settings!$F$60="No"),Settings!$H$60&lt;&gt;"Yes"),0,Settings!$B$60*IF(AND(IF(Settings!$C$60="",$B143,DATE(YEAR($A143),MONTH($A143),MIN(Settings!$C$60,DAY($B143))))&gt;=MAX($A143,Settings!$D$60),IF(Settings!$C$60="",$B143,DATE(YEAR($A143),MONTH($A143),MIN(Settings!$C$60,DAY($B143))))&lt;=MIN($C143,IF(Settings!$E$60="",$C143,Settings!$E$60))),1,0))+IF(OR(OR(Settings!$B$61="",Settings!$F$61="No"),Settings!$H$61&lt;&gt;"Yes"),0,Settings!$B$61*IF(AND(IF(Settings!$C$61="",$B143,DATE(YEAR($A143),MONTH($A143),MIN(Settings!$C$61,DAY($B143))))&gt;=MAX($A143,Settings!$D$61),IF(Settings!$C$61="",$B143,DATE(YEAR($A143),MONTH($A143),MIN(Settings!$C$61,DAY($B143))))&lt;=MIN($C143,IF(Settings!$E$61="",$C143,Settings!$E$61))),1,0))+IF(OR(OR(Settings!$B$62="",Settings!$F$62="No"),Settings!$H$62&lt;&gt;"Yes"),0,Settings!$B$62*IF(AND(IF(Settings!$C$62="",$B143,DATE(YEAR($A143),MONTH($A143),MIN(Settings!$C$62,DAY($B143))))&gt;=MAX($A143,Settings!$D$62),IF(Settings!$C$62="",$B143,DATE(YEAR($A143),MONTH($A143),MIN(Settings!$C$62,DAY($B143))))&lt;=MIN($C143,IF(Settings!$E$62="",$C143,Settings!$E$62))),1,0))+IF(OR(OR(Settings!$B$63="",Settings!$F$63="No"),Settings!$H$63&lt;&gt;"Yes"),0,Settings!$B$63*IF(AND(IF(Settings!$C$63="",$B143,DATE(YEAR($A143),MONTH($A143),MIN(Settings!$C$63,DAY($B143))))&gt;=MAX($A143,Settings!$D$63),IF(Settings!$C$63="",$B143,DATE(YEAR($A143),MONTH($A143),MIN(Settings!$C$63,DAY($B143))))&lt;=MIN($C143,IF(Settings!$E$63="",$C143,Settings!$E$63))),1,0))+IF(OR(OR(Settings!$B$64="",Settings!$F$64="No"),Settings!$H$64&lt;&gt;"Yes"),0,Settings!$B$64*IF(AND(IF(Settings!$C$64="",$B143,DATE(YEAR($A143),MONTH($A143),MIN(Settings!$C$64,DAY($B143))))&gt;=MAX($A143,Settings!$D$64),IF(Settings!$C$64="",$B143,DATE(YEAR($A143),MONTH($A143),MIN(Settings!$C$64,DAY($B143))))&lt;=MIN($C143,IF(Settings!$E$64="",$C143,Settings!$E$64))),1,0))+IF(OR(OR(Settings!$B$65="",Settings!$F$65="No"),Settings!$H$65&lt;&gt;"Yes"),0,Settings!$B$65*IF(AND(IF(Settings!$C$65="",$B143,DATE(YEAR($A143),MONTH($A143),MIN(Settings!$C$65,DAY($B143))))&gt;=MAX($A143,Settings!$D$65),IF(Settings!$C$65="",$B143,DATE(YEAR($A143),MONTH($A143),MIN(Settings!$C$65,DAY($B143))))&lt;=MIN($C143,IF(Settings!$E$65="",$C143,Settings!$E$65))),1,0))</f>
        <v/>
      </c>
      <c r="FI143">
        <f>IF($DT143=1,IF(OR(Settings!$B$19="Card",Settings!$B$19="Loan"),N($AE143),0)+IF(OR(Settings!$B$20="Card",Settings!$B$20="Loan"),N($AF143),0)+IF(OR(Settings!$B$21="Card",Settings!$B$21="Loan"),N($AG143),0)+IF(OR(Settings!$B$22="Card",Settings!$B$22="Loan"),N($AH143),0)+IF(OR(Settings!$B$23="Card",Settings!$B$23="Loan"),N($AI143),0)+IF(OR(Settings!$B$24="Card",Settings!$B$24="Loan"),N($AJ143),0)+IF(OR(Settings!$B$25="Card",Settings!$B$25="Loan"),N($AK143),0)+IF(OR(Settings!$B$26="Card",Settings!$B$26="Loan"),N($AL143),0)+IF(OR(Settings!$B$27="Card",Settings!$B$27="Loan"),N($AM143),0)+IF(OR(Settings!$B$28="Card",Settings!$B$28="Loan"),N($AN143),0)+IF(OR(Settings!$B$29="Card",Settings!$B$29="Loan"),N($AO143),0)+IF(OR(Settings!$B$30="Card",Settings!$B$30="Loan"),N($AP143),0)+IF(OR(Settings!$B$31="Card",Settings!$B$31="Loan"),N($AQ143),0)+IF(OR(Settings!$B$32="Card",Settings!$B$32="Loan"),N($AR143),0),"")</f>
        <v/>
      </c>
      <c r="FJ143">
        <f>IF($E143="open",$EB$65,IF($E143="post",IF($E142="pre",$EB$65,$FI142),""))</f>
        <v/>
      </c>
      <c r="FK143">
        <f>IF(AND($DT143=1,$DC143=1),IF(ROUND($FI143-$FJ143,2)&gt;0,1,0),0)</f>
        <v/>
      </c>
      <c r="FL143">
        <f>IF($FK143=1,$FL142+1,0)</f>
        <v/>
      </c>
    </row>
    <row r="144">
      <c r="A144">
        <f>'Month-End'!$EK$4</f>
        <v/>
      </c>
      <c r="B144">
        <f>EOMONTH($A144,0)</f>
        <v/>
      </c>
      <c r="C144">
        <f>MIN($B144,TODAY())</f>
        <v/>
      </c>
      <c r="D144">
        <f>IF($A144&gt;TODAY(),1,0)</f>
        <v/>
      </c>
      <c r="E144">
        <f>IF($B144&lt;=Settings!$B$5,"pre",IF($A144&lt;=Settings!$B$5,"open","post"))</f>
        <v/>
      </c>
      <c r="G144">
        <f>IF('Month-End'!$EK$22="",$BE144,N('Month-End'!$EK$22))</f>
        <v/>
      </c>
      <c r="H144">
        <f>IF('Month-End'!$EK$23="",$BF144,N('Month-End'!$EK$23))</f>
        <v/>
      </c>
      <c r="I144">
        <f>IF('Month-End'!$EK$24="",$BG144,N('Month-End'!$EK$24))</f>
        <v/>
      </c>
      <c r="J144">
        <f>IF('Month-End'!$EK$25="",$BH144,N('Month-End'!$EK$25))</f>
        <v/>
      </c>
      <c r="K144">
        <f>IF('Month-End'!$EK$26="",$BI144,N('Month-End'!$EK$26))</f>
        <v/>
      </c>
      <c r="L144">
        <f>IF('Month-End'!$EK$27="",$BJ144,N('Month-End'!$EK$27))</f>
        <v/>
      </c>
      <c r="M144">
        <f>IF('Month-End'!$EK$28="",$BK144,N('Month-End'!$EK$28))</f>
        <v/>
      </c>
      <c r="N144">
        <f>IF('Month-End'!$EK$29="",$BL144,N('Month-End'!$EK$29))</f>
        <v/>
      </c>
      <c r="O144">
        <f>IF('Month-End'!$EK$30="",$BM144,N('Month-End'!$EK$30))</f>
        <v/>
      </c>
      <c r="P144">
        <f>IF('Month-End'!$EK$31="",$BN144,N('Month-End'!$EK$31))</f>
        <v/>
      </c>
      <c r="Q144">
        <f>IF('Month-End'!$EK$32="",$BO144,N('Month-End'!$EK$32))</f>
        <v/>
      </c>
      <c r="R144">
        <f>IF('Month-End'!$EK$33="",$BP144,N('Month-End'!$EK$33))</f>
        <v/>
      </c>
      <c r="S144">
        <f>$G144+$H144+$I144+$J144+$K144+$L144+$M144+$N144+$O144+$P144+$Q144+$R144</f>
        <v/>
      </c>
      <c r="T144">
        <f>IF($B144&lt;Settings!$B$6,0,IF(Settings!$B$45="Yes",$G144,0)+IF(Settings!$B$46="Yes",$H144,0)+IF(Settings!$B$47="Yes",$I144,0)+IF(Settings!$B$48="Yes",$J144,0)+IF(Settings!$B$49="Yes",$K144,0)+IF(Settings!$B$50="Yes",$L144,0)+IF(Settings!$B$51="Yes",$M144,0)+IF(Settings!$B$52="Yes",$N144,0)+IF(Settings!$B$53="Yes",$O144,0)+IF(Settings!$B$54="Yes",$P144,0)+IF(Settings!$B$55="Yes",$Q144,0)+IF(Settings!$B$56="Yes",$R144,0))</f>
        <v/>
      </c>
      <c r="U144">
        <f>IF(Settings!$B$45="Not Sure",$G144,0)+IF(Settings!$B$46="Not Sure",$H144,0)+IF(Settings!$B$47="Not Sure",$I144,0)+IF(Settings!$B$48="Not Sure",$J144,0)+IF(Settings!$B$49="Not Sure",$K144,0)+IF(Settings!$B$50="Not Sure",$L144,0)+IF(Settings!$B$51="Not Sure",$M144,0)+IF(Settings!$B$52="Not Sure",$N144,0)+IF(Settings!$B$53="Not Sure",$O144,0)+IF(Settings!$B$54="Not Sure",$P144,0)+IF(Settings!$B$55="Not Sure",$Q144,0)+IF(Settings!$B$56="Not Sure",$R144,0)</f>
        <v/>
      </c>
      <c r="V144">
        <f>IF($E144="open",SUM($ET144:$FE144)+N(Settings!$B$13),0)</f>
        <v/>
      </c>
      <c r="W144">
        <f>IF($E144="post",$S144,IF($E144="open",$S144-$V144,0))</f>
        <v/>
      </c>
      <c r="X144">
        <f>SUMIFS(Giving!$B$7:$B$2006,Giving!$A$7:$A$2006,"&gt;="&amp;$A144,Giving!$A$7:$A$2006,"&lt;="&amp;$B144,Giving!$E$7:$E$2006,"&lt;&gt;No")</f>
        <v/>
      </c>
      <c r="Y144">
        <f>SUMIFS(Giving!$B$7:$B$2006,Giving!$A$7:$A$2006,"&gt;="&amp;$A144,Giving!$A$7:$A$2006,"&lt;="&amp;$B144,Giving!$E$7:$E$2006,"No")</f>
        <v/>
      </c>
      <c r="Z144">
        <f>IF(OR(Settings!$B$60="",Settings!$F$60="No"),0,Settings!$B$60*IF(AND(IF(Settings!$C$60="",$B144,DATE(YEAR($A144),MONTH($A144),MIN(Settings!$C$60,DAY($B144))))&gt;=MAX($A144,Settings!$D$60),IF(Settings!$C$60="",$B144,DATE(YEAR($A144),MONTH($A144),MIN(Settings!$C$60,DAY($B144))))&lt;=MIN($C144,IF(Settings!$E$60="",$C144,Settings!$E$60))),1,0))+IF(OR(Settings!$B$61="",Settings!$F$61="No"),0,Settings!$B$61*IF(AND(IF(Settings!$C$61="",$B144,DATE(YEAR($A144),MONTH($A144),MIN(Settings!$C$61,DAY($B144))))&gt;=MAX($A144,Settings!$D$61),IF(Settings!$C$61="",$B144,DATE(YEAR($A144),MONTH($A144),MIN(Settings!$C$61,DAY($B144))))&lt;=MIN($C144,IF(Settings!$E$61="",$C144,Settings!$E$61))),1,0))+IF(OR(Settings!$B$62="",Settings!$F$62="No"),0,Settings!$B$62*IF(AND(IF(Settings!$C$62="",$B144,DATE(YEAR($A144),MONTH($A144),MIN(Settings!$C$62,DAY($B144))))&gt;=MAX($A144,Settings!$D$62),IF(Settings!$C$62="",$B144,DATE(YEAR($A144),MONTH($A144),MIN(Settings!$C$62,DAY($B144))))&lt;=MIN($C144,IF(Settings!$E$62="",$C144,Settings!$E$62))),1,0))+IF(OR(Settings!$B$63="",Settings!$F$63="No"),0,Settings!$B$63*IF(AND(IF(Settings!$C$63="",$B144,DATE(YEAR($A144),MONTH($A144),MIN(Settings!$C$63,DAY($B144))))&gt;=MAX($A144,Settings!$D$63),IF(Settings!$C$63="",$B144,DATE(YEAR($A144),MONTH($A144),MIN(Settings!$C$63,DAY($B144))))&lt;=MIN($C144,IF(Settings!$E$63="",$C144,Settings!$E$63))),1,0))+IF(OR(Settings!$B$64="",Settings!$F$64="No"),0,Settings!$B$64*IF(AND(IF(Settings!$C$64="",$B144,DATE(YEAR($A144),MONTH($A144),MIN(Settings!$C$64,DAY($B144))))&gt;=MAX($A144,Settings!$D$64),IF(Settings!$C$64="",$B144,DATE(YEAR($A144),MONTH($A144),MIN(Settings!$C$64,DAY($B144))))&lt;=MIN($C144,IF(Settings!$E$64="",$C144,Settings!$E$64))),1,0))+IF(OR(Settings!$B$65="",Settings!$F$65="No"),0,Settings!$B$65*IF(AND(IF(Settings!$C$65="",$B144,DATE(YEAR($A144),MONTH($A144),MIN(Settings!$C$65,DAY($B144))))&gt;=MAX($A144,Settings!$D$65),IF(Settings!$C$65="",$B144,DATE(YEAR($A144),MONTH($A144),MIN(Settings!$C$65,DAY($B144))))&lt;=MIN($C144,IF(Settings!$E$65="",$C144,Settings!$E$65))),1,0))</f>
        <v/>
      </c>
      <c r="AA144">
        <f>$X144+$Z144</f>
        <v/>
      </c>
      <c r="AB144">
        <f>IF($E144="post",$AA144,IF($E144="open",SUMIFS(Giving!$B$7:$B$2006,Giving!$A$7:$A$2006,"&gt;"&amp;Settings!$B$5,Giving!$A$7:$A$2006,"&lt;="&amp;$B144,Giving!$E$7:$E$2006,"&lt;&gt;No")+IF(OR(Settings!$B$60="",Settings!$F$60="No"),0,Settings!$B$60*IF(AND(IF(Settings!$C$60="",$B144,DATE(YEAR($A144),MONTH($A144),MIN(Settings!$C$60,DAY($B144))))&gt;=MAX($A144,Settings!$D$60,Settings!$B$5+1),IF(Settings!$C$60="",$B144,DATE(YEAR($A144),MONTH($A144),MIN(Settings!$C$60,DAY($B144))))&lt;=MIN($C144,IF(Settings!$E$60="",$C144,Settings!$E$60))),1,0))+IF(OR(Settings!$B$61="",Settings!$F$61="No"),0,Settings!$B$61*IF(AND(IF(Settings!$C$61="",$B144,DATE(YEAR($A144),MONTH($A144),MIN(Settings!$C$61,DAY($B144))))&gt;=MAX($A144,Settings!$D$61,Settings!$B$5+1),IF(Settings!$C$61="",$B144,DATE(YEAR($A144),MONTH($A144),MIN(Settings!$C$61,DAY($B144))))&lt;=MIN($C144,IF(Settings!$E$61="",$C144,Settings!$E$61))),1,0))+IF(OR(Settings!$B$62="",Settings!$F$62="No"),0,Settings!$B$62*IF(AND(IF(Settings!$C$62="",$B144,DATE(YEAR($A144),MONTH($A144),MIN(Settings!$C$62,DAY($B144))))&gt;=MAX($A144,Settings!$D$62,Settings!$B$5+1),IF(Settings!$C$62="",$B144,DATE(YEAR($A144),MONTH($A144),MIN(Settings!$C$62,DAY($B144))))&lt;=MIN($C144,IF(Settings!$E$62="",$C144,Settings!$E$62))),1,0))+IF(OR(Settings!$B$63="",Settings!$F$63="No"),0,Settings!$B$63*IF(AND(IF(Settings!$C$63="",$B144,DATE(YEAR($A144),MONTH($A144),MIN(Settings!$C$63,DAY($B144))))&gt;=MAX($A144,Settings!$D$63,Settings!$B$5+1),IF(Settings!$C$63="",$B144,DATE(YEAR($A144),MONTH($A144),MIN(Settings!$C$63,DAY($B144))))&lt;=MIN($C144,IF(Settings!$E$63="",$C144,Settings!$E$63))),1,0))+IF(OR(Settings!$B$64="",Settings!$F$64="No"),0,Settings!$B$64*IF(AND(IF(Settings!$C$64="",$B144,DATE(YEAR($A144),MONTH($A144),MIN(Settings!$C$64,DAY($B144))))&gt;=MAX($A144,Settings!$D$64,Settings!$B$5+1),IF(Settings!$C$64="",$B144,DATE(YEAR($A144),MONTH($A144),MIN(Settings!$C$64,DAY($B144))))&lt;=MIN($C144,IF(Settings!$E$64="",$C144,Settings!$E$64))),1,0))+IF(OR(Settings!$B$65="",Settings!$F$65="No"),0,Settings!$B$65*IF(AND(IF(Settings!$C$65="",$B144,DATE(YEAR($A144),MONTH($A144),MIN(Settings!$C$65,DAY($B144))))&gt;=MAX($A144,Settings!$D$65,Settings!$B$5+1),IF(Settings!$C$65="",$B144,DATE(YEAR($A144),MONTH($A144),MIN(Settings!$C$65,DAY($B144))))&lt;=MIN($C144,IF(Settings!$E$65="",$C144,Settings!$E$65))),1,0)),0))</f>
        <v/>
      </c>
      <c r="AC144">
        <f>$AY144+$AZ144+$BA144+$BB144+$BC144+$BD144</f>
        <v/>
      </c>
      <c r="AD144">
        <f>$AC144</f>
        <v/>
      </c>
      <c r="AE144">
        <f>IF(OR(Settings!$A$19="",$E144="pre"),"",IF(AND('Month-End'!$EK$7&lt;&gt;"",NOT(_xlfn.ISFORMULA('Month-End'!$EK$7))),N('Month-End'!$EK$7),IF(OR($E144="open",$E143="pre"),N(Settings!$C$19),N($AE143))))</f>
        <v/>
      </c>
      <c r="AF144">
        <f>IF(OR(Settings!$A$20="",$E144="pre"),"",IF(AND('Month-End'!$EK$8&lt;&gt;"",NOT(_xlfn.ISFORMULA('Month-End'!$EK$8))),N('Month-End'!$EK$8),IF(OR($E144="open",$E143="pre"),N(Settings!$C$20),N($AF143))))</f>
        <v/>
      </c>
      <c r="AG144">
        <f>IF(OR(Settings!$A$21="",$E144="pre"),"",IF(AND('Month-End'!$EK$9&lt;&gt;"",NOT(_xlfn.ISFORMULA('Month-End'!$EK$9))),N('Month-End'!$EK$9),IF(OR($E144="open",$E143="pre"),N(Settings!$C$21),N($AG143))))</f>
        <v/>
      </c>
      <c r="AH144">
        <f>IF(OR(Settings!$A$22="",$E144="pre"),"",IF(AND('Month-End'!$EK$10&lt;&gt;"",NOT(_xlfn.ISFORMULA('Month-End'!$EK$10))),N('Month-End'!$EK$10),IF(OR($E144="open",$E143="pre"),N(Settings!$C$22),N($AH143))))</f>
        <v/>
      </c>
      <c r="AI144">
        <f>IF(OR(Settings!$A$23="",$E144="pre"),"",IF(AND('Month-End'!$EK$11&lt;&gt;"",NOT(_xlfn.ISFORMULA('Month-End'!$EK$11))),N('Month-End'!$EK$11),IF(OR($E144="open",$E143="pre"),N(Settings!$C$23),N($AI143))))</f>
        <v/>
      </c>
      <c r="AJ144">
        <f>IF(OR(Settings!$A$24="",$E144="pre"),"",IF(AND('Month-End'!$EK$12&lt;&gt;"",NOT(_xlfn.ISFORMULA('Month-End'!$EK$12))),N('Month-End'!$EK$12),IF(OR($E144="open",$E143="pre"),N(Settings!$C$24),N($AJ143))))</f>
        <v/>
      </c>
      <c r="AK144">
        <f>IF(OR(Settings!$A$25="",$E144="pre"),"",IF(AND('Month-End'!$EK$13&lt;&gt;"",NOT(_xlfn.ISFORMULA('Month-End'!$EK$13))),N('Month-End'!$EK$13),IF(OR($E144="open",$E143="pre"),N(Settings!$C$25),N($AK143))))</f>
        <v/>
      </c>
      <c r="AL144">
        <f>IF(OR(Settings!$A$26="",$E144="pre"),"",IF(AND('Month-End'!$EK$14&lt;&gt;"",NOT(_xlfn.ISFORMULA('Month-End'!$EK$14))),N('Month-End'!$EK$14),IF(OR($E144="open",$E143="pre"),N(Settings!$C$26),N($AL143))))</f>
        <v/>
      </c>
      <c r="AM144">
        <f>IF(OR(Settings!$A$27="",$E144="pre"),"",IF(AND('Month-End'!$EK$15&lt;&gt;"",NOT(_xlfn.ISFORMULA('Month-End'!$EK$15))),N('Month-End'!$EK$15),IF(OR($E144="open",$E143="pre"),N(Settings!$C$27),N($AM143))))</f>
        <v/>
      </c>
      <c r="AN144">
        <f>IF(OR(Settings!$A$28="",$E144="pre"),"",IF(AND('Month-End'!$EK$16&lt;&gt;"",NOT(_xlfn.ISFORMULA('Month-End'!$EK$16))),N('Month-End'!$EK$16),IF(OR($E144="open",$E143="pre"),N(Settings!$C$28),N($AN143))))</f>
        <v/>
      </c>
      <c r="AO144">
        <f>IF(OR(Settings!$A$29="",$E144="pre"),"",IF(AND('Month-End'!$EK$17&lt;&gt;"",NOT(_xlfn.ISFORMULA('Month-End'!$EK$17))),N('Month-End'!$EK$17),IF(OR($E144="open",$E143="pre"),N(Settings!$C$29),N($AO143))))</f>
        <v/>
      </c>
      <c r="AP144">
        <f>IF(OR(Settings!$A$30="",$E144="pre"),"",IF(AND('Month-End'!$EK$18&lt;&gt;"",NOT(_xlfn.ISFORMULA('Month-End'!$EK$18))),N('Month-End'!$EK$18),IF(OR($E144="open",$E143="pre"),N(Settings!$C$30),N($AP143))))</f>
        <v/>
      </c>
      <c r="AQ144">
        <f>IF(OR(Settings!$A$31="",$E144="pre"),"",IF(AND('Month-End'!$EK$19&lt;&gt;"",NOT(_xlfn.ISFORMULA('Month-End'!$EK$19))),N('Month-End'!$EK$19),IF(OR($E144="open",$E143="pre"),N(Settings!$C$31),N($AQ143))))</f>
        <v/>
      </c>
      <c r="AR144">
        <f>IF(OR(Settings!$A$32="",$E144="pre"),"",IF(AND('Month-End'!$EK$20&lt;&gt;"",NOT(_xlfn.ISFORMULA('Month-End'!$EK$20))),N('Month-End'!$EK$20),IF(OR($E144="open",$E143="pre"),N(Settings!$C$32),N($AR143))))</f>
        <v/>
      </c>
      <c r="AS144">
        <f>IF(OR(Settings!$A$36="",$E144="pre"),"",IF(AND('Month-End'!$EK$38&lt;&gt;"",NOT(_xlfn.ISFORMULA('Month-End'!$EK$38))),N('Month-End'!$EK$38),IF(OR($E144="open",$E143="pre"),N(Settings!$C$36),N($AS143))+$AY144))</f>
        <v/>
      </c>
      <c r="AT144">
        <f>IF(OR(Settings!$A$37="",$E144="pre"),"",IF(AND('Month-End'!$EK$39&lt;&gt;"",NOT(_xlfn.ISFORMULA('Month-End'!$EK$39))),N('Month-End'!$EK$39),IF(OR($E144="open",$E143="pre"),N(Settings!$C$37),N($AT143))+$AZ144))</f>
        <v/>
      </c>
      <c r="AU144">
        <f>IF(OR(Settings!$A$38="",$E144="pre"),"",IF(AND('Month-End'!$EK$40&lt;&gt;"",NOT(_xlfn.ISFORMULA('Month-End'!$EK$40))),N('Month-End'!$EK$40),IF(OR($E144="open",$E143="pre"),N(Settings!$C$38),N($AU143))+$BA144))</f>
        <v/>
      </c>
      <c r="AV144">
        <f>IF(OR(Settings!$A$39="",$E144="pre"),"",IF(AND('Month-End'!$EK$41&lt;&gt;"",NOT(_xlfn.ISFORMULA('Month-End'!$EK$41))),N('Month-End'!$EK$41),IF(OR($E144="open",$E143="pre"),N(Settings!$C$39),N($AV143))+$BB144))</f>
        <v/>
      </c>
      <c r="AW144">
        <f>IF(OR(Settings!$A$40="",$E144="pre"),"",IF(AND('Month-End'!$EK$42&lt;&gt;"",NOT(_xlfn.ISFORMULA('Month-End'!$EK$42))),N('Month-End'!$EK$42),IF(OR($E144="open",$E143="pre"),N(Settings!$C$40),N($AW143))+$BC144))</f>
        <v/>
      </c>
      <c r="AX144">
        <f>IF(OR(Settings!$A$41="",$E144="pre"),"",IF(AND('Month-End'!$EK$43&lt;&gt;"",NOT(_xlfn.ISFORMULA('Month-End'!$EK$43))),N('Month-End'!$EK$43),IF(OR($E144="open",$E143="pre"),N(Settings!$C$41),N($AX143))+$BD144))</f>
        <v/>
      </c>
      <c r="AY144">
        <f>IF($E144="pre",0,N('Month-End'!$EK$45))</f>
        <v/>
      </c>
      <c r="AZ144">
        <f>IF($E144="pre",0,N('Month-End'!$EK$46))</f>
        <v/>
      </c>
      <c r="BA144">
        <f>IF($E144="pre",0,N('Month-End'!$EK$47))</f>
        <v/>
      </c>
      <c r="BB144">
        <f>IF($E144="pre",0,N('Month-End'!$EK$48))</f>
        <v/>
      </c>
      <c r="BC144">
        <f>IF($E144="pre",0,N('Month-End'!$EK$49))</f>
        <v/>
      </c>
      <c r="BD144">
        <f>IF($E144="pre",0,N('Month-End'!$EK$50))</f>
        <v/>
      </c>
      <c r="BE144">
        <f>IF(OR(Settings!$C$45="",Settings!$D$45=""),0,Settings!$C$45*IF(Settings!$D$45="Weekly",IF(IFERROR(MATCH(Settings!$E$45,$EO$4:$EO$10,0),0)=0,0,IF(MIN($C144,IF(Settings!$G$45="",$C144,Settings!$G$45))&lt;MAX($A144,Settings!$F$45),0,INT((MIN($C144,IF(Settings!$G$45="",$C144,Settings!$G$45))-MAX($A144,Settings!$F$45)-MOD(IFERROR(MATCH(Settings!$E$45,$EO$4:$EO$10,0),0)-WEEKDAY(MAX($A144,Settings!$F$45)),7))/7)+1)),IF(AND(IF(Settings!$E$45="",$B144,DATE(YEAR($A144),MONTH($A144),MIN(Settings!$E$45,DAY($B144))))&gt;=MAX($A144,Settings!$F$45),IF(Settings!$E$45="",$B144,DATE(YEAR($A144),MONTH($A144),MIN(Settings!$E$45,DAY($B144))))&lt;=MIN($C144,IF(Settings!$G$45="",$C144,Settings!$G$45))),1,0)))</f>
        <v/>
      </c>
      <c r="BF144">
        <f>IF(OR(Settings!$C$46="",Settings!$D$46=""),0,Settings!$C$46*IF(Settings!$D$46="Weekly",IF(IFERROR(MATCH(Settings!$E$46,$EO$4:$EO$10,0),0)=0,0,IF(MIN($C144,IF(Settings!$G$46="",$C144,Settings!$G$46))&lt;MAX($A144,Settings!$F$46),0,INT((MIN($C144,IF(Settings!$G$46="",$C144,Settings!$G$46))-MAX($A144,Settings!$F$46)-MOD(IFERROR(MATCH(Settings!$E$46,$EO$4:$EO$10,0),0)-WEEKDAY(MAX($A144,Settings!$F$46)),7))/7)+1)),IF(AND(IF(Settings!$E$46="",$B144,DATE(YEAR($A144),MONTH($A144),MIN(Settings!$E$46,DAY($B144))))&gt;=MAX($A144,Settings!$F$46),IF(Settings!$E$46="",$B144,DATE(YEAR($A144),MONTH($A144),MIN(Settings!$E$46,DAY($B144))))&lt;=MIN($C144,IF(Settings!$G$46="",$C144,Settings!$G$46))),1,0)))</f>
        <v/>
      </c>
      <c r="BG144">
        <f>IF(OR(Settings!$C$47="",Settings!$D$47=""),0,Settings!$C$47*IF(Settings!$D$47="Weekly",IF(IFERROR(MATCH(Settings!$E$47,$EO$4:$EO$10,0),0)=0,0,IF(MIN($C144,IF(Settings!$G$47="",$C144,Settings!$G$47))&lt;MAX($A144,Settings!$F$47),0,INT((MIN($C144,IF(Settings!$G$47="",$C144,Settings!$G$47))-MAX($A144,Settings!$F$47)-MOD(IFERROR(MATCH(Settings!$E$47,$EO$4:$EO$10,0),0)-WEEKDAY(MAX($A144,Settings!$F$47)),7))/7)+1)),IF(AND(IF(Settings!$E$47="",$B144,DATE(YEAR($A144),MONTH($A144),MIN(Settings!$E$47,DAY($B144))))&gt;=MAX($A144,Settings!$F$47),IF(Settings!$E$47="",$B144,DATE(YEAR($A144),MONTH($A144),MIN(Settings!$E$47,DAY($B144))))&lt;=MIN($C144,IF(Settings!$G$47="",$C144,Settings!$G$47))),1,0)))</f>
        <v/>
      </c>
      <c r="BH144">
        <f>IF(OR(Settings!$C$48="",Settings!$D$48=""),0,Settings!$C$48*IF(Settings!$D$48="Weekly",IF(IFERROR(MATCH(Settings!$E$48,$EO$4:$EO$10,0),0)=0,0,IF(MIN($C144,IF(Settings!$G$48="",$C144,Settings!$G$48))&lt;MAX($A144,Settings!$F$48),0,INT((MIN($C144,IF(Settings!$G$48="",$C144,Settings!$G$48))-MAX($A144,Settings!$F$48)-MOD(IFERROR(MATCH(Settings!$E$48,$EO$4:$EO$10,0),0)-WEEKDAY(MAX($A144,Settings!$F$48)),7))/7)+1)),IF(AND(IF(Settings!$E$48="",$B144,DATE(YEAR($A144),MONTH($A144),MIN(Settings!$E$48,DAY($B144))))&gt;=MAX($A144,Settings!$F$48),IF(Settings!$E$48="",$B144,DATE(YEAR($A144),MONTH($A144),MIN(Settings!$E$48,DAY($B144))))&lt;=MIN($C144,IF(Settings!$G$48="",$C144,Settings!$G$48))),1,0)))</f>
        <v/>
      </c>
      <c r="BI144">
        <f>IF(OR(Settings!$C$49="",Settings!$D$49=""),0,Settings!$C$49*IF(Settings!$D$49="Weekly",IF(IFERROR(MATCH(Settings!$E$49,$EO$4:$EO$10,0),0)=0,0,IF(MIN($C144,IF(Settings!$G$49="",$C144,Settings!$G$49))&lt;MAX($A144,Settings!$F$49),0,INT((MIN($C144,IF(Settings!$G$49="",$C144,Settings!$G$49))-MAX($A144,Settings!$F$49)-MOD(IFERROR(MATCH(Settings!$E$49,$EO$4:$EO$10,0),0)-WEEKDAY(MAX($A144,Settings!$F$49)),7))/7)+1)),IF(AND(IF(Settings!$E$49="",$B144,DATE(YEAR($A144),MONTH($A144),MIN(Settings!$E$49,DAY($B144))))&gt;=MAX($A144,Settings!$F$49),IF(Settings!$E$49="",$B144,DATE(YEAR($A144),MONTH($A144),MIN(Settings!$E$49,DAY($B144))))&lt;=MIN($C144,IF(Settings!$G$49="",$C144,Settings!$G$49))),1,0)))</f>
        <v/>
      </c>
      <c r="BJ144">
        <f>IF(OR(Settings!$C$50="",Settings!$D$50=""),0,Settings!$C$50*IF(Settings!$D$50="Weekly",IF(IFERROR(MATCH(Settings!$E$50,$EO$4:$EO$10,0),0)=0,0,IF(MIN($C144,IF(Settings!$G$50="",$C144,Settings!$G$50))&lt;MAX($A144,Settings!$F$50),0,INT((MIN($C144,IF(Settings!$G$50="",$C144,Settings!$G$50))-MAX($A144,Settings!$F$50)-MOD(IFERROR(MATCH(Settings!$E$50,$EO$4:$EO$10,0),0)-WEEKDAY(MAX($A144,Settings!$F$50)),7))/7)+1)),IF(AND(IF(Settings!$E$50="",$B144,DATE(YEAR($A144),MONTH($A144),MIN(Settings!$E$50,DAY($B144))))&gt;=MAX($A144,Settings!$F$50),IF(Settings!$E$50="",$B144,DATE(YEAR($A144),MONTH($A144),MIN(Settings!$E$50,DAY($B144))))&lt;=MIN($C144,IF(Settings!$G$50="",$C144,Settings!$G$50))),1,0)))</f>
        <v/>
      </c>
      <c r="BK144">
        <f>IF(OR(Settings!$C$51="",Settings!$D$51=""),0,Settings!$C$51*IF(Settings!$D$51="Weekly",IF(IFERROR(MATCH(Settings!$E$51,$EO$4:$EO$10,0),0)=0,0,IF(MIN($C144,IF(Settings!$G$51="",$C144,Settings!$G$51))&lt;MAX($A144,Settings!$F$51),0,INT((MIN($C144,IF(Settings!$G$51="",$C144,Settings!$G$51))-MAX($A144,Settings!$F$51)-MOD(IFERROR(MATCH(Settings!$E$51,$EO$4:$EO$10,0),0)-WEEKDAY(MAX($A144,Settings!$F$51)),7))/7)+1)),IF(AND(IF(Settings!$E$51="",$B144,DATE(YEAR($A144),MONTH($A144),MIN(Settings!$E$51,DAY($B144))))&gt;=MAX($A144,Settings!$F$51),IF(Settings!$E$51="",$B144,DATE(YEAR($A144),MONTH($A144),MIN(Settings!$E$51,DAY($B144))))&lt;=MIN($C144,IF(Settings!$G$51="",$C144,Settings!$G$51))),1,0)))</f>
        <v/>
      </c>
      <c r="BL144">
        <f>IF(OR(Settings!$C$52="",Settings!$D$52=""),0,Settings!$C$52*IF(Settings!$D$52="Weekly",IF(IFERROR(MATCH(Settings!$E$52,$EO$4:$EO$10,0),0)=0,0,IF(MIN($C144,IF(Settings!$G$52="",$C144,Settings!$G$52))&lt;MAX($A144,Settings!$F$52),0,INT((MIN($C144,IF(Settings!$G$52="",$C144,Settings!$G$52))-MAX($A144,Settings!$F$52)-MOD(IFERROR(MATCH(Settings!$E$52,$EO$4:$EO$10,0),0)-WEEKDAY(MAX($A144,Settings!$F$52)),7))/7)+1)),IF(AND(IF(Settings!$E$52="",$B144,DATE(YEAR($A144),MONTH($A144),MIN(Settings!$E$52,DAY($B144))))&gt;=MAX($A144,Settings!$F$52),IF(Settings!$E$52="",$B144,DATE(YEAR($A144),MONTH($A144),MIN(Settings!$E$52,DAY($B144))))&lt;=MIN($C144,IF(Settings!$G$52="",$C144,Settings!$G$52))),1,0)))</f>
        <v/>
      </c>
      <c r="BM144">
        <f>IF(OR(Settings!$C$53="",Settings!$D$53=""),0,Settings!$C$53*IF(Settings!$D$53="Weekly",IF(IFERROR(MATCH(Settings!$E$53,$EO$4:$EO$10,0),0)=0,0,IF(MIN($C144,IF(Settings!$G$53="",$C144,Settings!$G$53))&lt;MAX($A144,Settings!$F$53),0,INT((MIN($C144,IF(Settings!$G$53="",$C144,Settings!$G$53))-MAX($A144,Settings!$F$53)-MOD(IFERROR(MATCH(Settings!$E$53,$EO$4:$EO$10,0),0)-WEEKDAY(MAX($A144,Settings!$F$53)),7))/7)+1)),IF(AND(IF(Settings!$E$53="",$B144,DATE(YEAR($A144),MONTH($A144),MIN(Settings!$E$53,DAY($B144))))&gt;=MAX($A144,Settings!$F$53),IF(Settings!$E$53="",$B144,DATE(YEAR($A144),MONTH($A144),MIN(Settings!$E$53,DAY($B144))))&lt;=MIN($C144,IF(Settings!$G$53="",$C144,Settings!$G$53))),1,0)))</f>
        <v/>
      </c>
      <c r="BN144">
        <f>IF(OR(Settings!$C$54="",Settings!$D$54=""),0,Settings!$C$54*IF(Settings!$D$54="Weekly",IF(IFERROR(MATCH(Settings!$E$54,$EO$4:$EO$10,0),0)=0,0,IF(MIN($C144,IF(Settings!$G$54="",$C144,Settings!$G$54))&lt;MAX($A144,Settings!$F$54),0,INT((MIN($C144,IF(Settings!$G$54="",$C144,Settings!$G$54))-MAX($A144,Settings!$F$54)-MOD(IFERROR(MATCH(Settings!$E$54,$EO$4:$EO$10,0),0)-WEEKDAY(MAX($A144,Settings!$F$54)),7))/7)+1)),IF(AND(IF(Settings!$E$54="",$B144,DATE(YEAR($A144),MONTH($A144),MIN(Settings!$E$54,DAY($B144))))&gt;=MAX($A144,Settings!$F$54),IF(Settings!$E$54="",$B144,DATE(YEAR($A144),MONTH($A144),MIN(Settings!$E$54,DAY($B144))))&lt;=MIN($C144,IF(Settings!$G$54="",$C144,Settings!$G$54))),1,0)))</f>
        <v/>
      </c>
      <c r="BO144">
        <f>IF(OR(Settings!$C$55="",Settings!$D$55=""),0,Settings!$C$55*IF(Settings!$D$55="Weekly",IF(IFERROR(MATCH(Settings!$E$55,$EO$4:$EO$10,0),0)=0,0,IF(MIN($C144,IF(Settings!$G$55="",$C144,Settings!$G$55))&lt;MAX($A144,Settings!$F$55),0,INT((MIN($C144,IF(Settings!$G$55="",$C144,Settings!$G$55))-MAX($A144,Settings!$F$55)-MOD(IFERROR(MATCH(Settings!$E$55,$EO$4:$EO$10,0),0)-WEEKDAY(MAX($A144,Settings!$F$55)),7))/7)+1)),IF(AND(IF(Settings!$E$55="",$B144,DATE(YEAR($A144),MONTH($A144),MIN(Settings!$E$55,DAY($B144))))&gt;=MAX($A144,Settings!$F$55),IF(Settings!$E$55="",$B144,DATE(YEAR($A144),MONTH($A144),MIN(Settings!$E$55,DAY($B144))))&lt;=MIN($C144,IF(Settings!$G$55="",$C144,Settings!$G$55))),1,0)))</f>
        <v/>
      </c>
      <c r="BP144">
        <f>IF(OR(Settings!$C$56="",Settings!$D$56=""),0,Settings!$C$56*IF(Settings!$D$56="Weekly",IF(IFERROR(MATCH(Settings!$E$56,$EO$4:$EO$10,0),0)=0,0,IF(MIN($C144,IF(Settings!$G$56="",$C144,Settings!$G$56))&lt;MAX($A144,Settings!$F$56),0,INT((MIN($C144,IF(Settings!$G$56="",$C144,Settings!$G$56))-MAX($A144,Settings!$F$56)-MOD(IFERROR(MATCH(Settings!$E$56,$EO$4:$EO$10,0),0)-WEEKDAY(MAX($A144,Settings!$F$56)),7))/7)+1)),IF(AND(IF(Settings!$E$56="",$B144,DATE(YEAR($A144),MONTH($A144),MIN(Settings!$E$56,DAY($B144))))&gt;=MAX($A144,Settings!$F$56),IF(Settings!$E$56="",$B144,DATE(YEAR($A144),MONTH($A144),MIN(Settings!$E$56,DAY($B144))))&lt;=MIN($C144,IF(Settings!$G$56="",$C144,Settings!$G$56))),1,0)))</f>
        <v/>
      </c>
      <c r="BQ144">
        <f>IF(OR(Settings!$B$14="",$D144=1,$E144="pre",$A144&lt;IF(Settings!$B$15="",0,Settings!$B$15)),0,Settings!$B$14)</f>
        <v/>
      </c>
      <c r="BR144">
        <f>IF(AND('Month-End'!$EK$7&lt;&gt;"",NOT(_xlfn.ISFORMULA('Month-End'!$EK$7))),1,0)</f>
        <v/>
      </c>
      <c r="BS144">
        <f>IF(AND('Month-End'!$EK$8&lt;&gt;"",NOT(_xlfn.ISFORMULA('Month-End'!$EK$8))),1,0)</f>
        <v/>
      </c>
      <c r="BT144">
        <f>IF(AND('Month-End'!$EK$9&lt;&gt;"",NOT(_xlfn.ISFORMULA('Month-End'!$EK$9))),1,0)</f>
        <v/>
      </c>
      <c r="BU144">
        <f>IF(AND('Month-End'!$EK$10&lt;&gt;"",NOT(_xlfn.ISFORMULA('Month-End'!$EK$10))),1,0)</f>
        <v/>
      </c>
      <c r="BV144">
        <f>IF(AND('Month-End'!$EK$11&lt;&gt;"",NOT(_xlfn.ISFORMULA('Month-End'!$EK$11))),1,0)</f>
        <v/>
      </c>
      <c r="BW144">
        <f>IF(AND('Month-End'!$EK$12&lt;&gt;"",NOT(_xlfn.ISFORMULA('Month-End'!$EK$12))),1,0)</f>
        <v/>
      </c>
      <c r="BX144">
        <f>IF(AND('Month-End'!$EK$13&lt;&gt;"",NOT(_xlfn.ISFORMULA('Month-End'!$EK$13))),1,0)</f>
        <v/>
      </c>
      <c r="BY144">
        <f>IF(AND('Month-End'!$EK$14&lt;&gt;"",NOT(_xlfn.ISFORMULA('Month-End'!$EK$14))),1,0)</f>
        <v/>
      </c>
      <c r="BZ144">
        <f>IF(AND('Month-End'!$EK$15&lt;&gt;"",NOT(_xlfn.ISFORMULA('Month-End'!$EK$15))),1,0)</f>
        <v/>
      </c>
      <c r="CA144">
        <f>IF(AND('Month-End'!$EK$16&lt;&gt;"",NOT(_xlfn.ISFORMULA('Month-End'!$EK$16))),1,0)</f>
        <v/>
      </c>
      <c r="CB144">
        <f>IF(AND('Month-End'!$EK$17&lt;&gt;"",NOT(_xlfn.ISFORMULA('Month-End'!$EK$17))),1,0)</f>
        <v/>
      </c>
      <c r="CC144">
        <f>IF(AND('Month-End'!$EK$18&lt;&gt;"",NOT(_xlfn.ISFORMULA('Month-End'!$EK$18))),1,0)</f>
        <v/>
      </c>
      <c r="CD144">
        <f>IF(AND('Month-End'!$EK$19&lt;&gt;"",NOT(_xlfn.ISFORMULA('Month-End'!$EK$19))),1,0)</f>
        <v/>
      </c>
      <c r="CE144">
        <f>IF(AND('Month-End'!$EK$20&lt;&gt;"",NOT(_xlfn.ISFORMULA('Month-End'!$EK$20))),1,0)</f>
        <v/>
      </c>
      <c r="CF144">
        <f>IF(AND('Month-End'!$EK$38&lt;&gt;"",NOT(_xlfn.ISFORMULA('Month-End'!$EK$38))),1,0)</f>
        <v/>
      </c>
      <c r="CG144">
        <f>IF(AND('Month-End'!$EK$39&lt;&gt;"",NOT(_xlfn.ISFORMULA('Month-End'!$EK$39))),1,0)</f>
        <v/>
      </c>
      <c r="CH144">
        <f>IF(AND('Month-End'!$EK$40&lt;&gt;"",NOT(_xlfn.ISFORMULA('Month-End'!$EK$40))),1,0)</f>
        <v/>
      </c>
      <c r="CI144">
        <f>IF(AND('Month-End'!$EK$41&lt;&gt;"",NOT(_xlfn.ISFORMULA('Month-End'!$EK$41))),1,0)</f>
        <v/>
      </c>
      <c r="CJ144">
        <f>IF(AND('Month-End'!$EK$42&lt;&gt;"",NOT(_xlfn.ISFORMULA('Month-End'!$EK$42))),1,0)</f>
        <v/>
      </c>
      <c r="CK144">
        <f>IF(AND('Month-End'!$EK$43&lt;&gt;"",NOT(_xlfn.ISFORMULA('Month-End'!$EK$43))),1,0)</f>
        <v/>
      </c>
      <c r="CL144">
        <f>SUM($CM144:$CZ144)</f>
        <v/>
      </c>
      <c r="CM144">
        <f>IF(AND($E144&lt;&gt;"pre",AND(Settings!$A$19&lt;&gt;"",Settings!$E$19&lt;&gt;"No"),Settings!$F$19="Yes",NOT(AND('Month-End'!$EK$7&lt;&gt;"",NOT(_xlfn.ISFORMULA('Month-End'!$EK$7))))),1,0)</f>
        <v/>
      </c>
      <c r="CN144">
        <f>IF(AND($E144&lt;&gt;"pre",AND(Settings!$A$20&lt;&gt;"",Settings!$E$20&lt;&gt;"No"),Settings!$F$20="Yes",NOT(AND('Month-End'!$EK$8&lt;&gt;"",NOT(_xlfn.ISFORMULA('Month-End'!$EK$8))))),1,0)</f>
        <v/>
      </c>
      <c r="CO144">
        <f>IF(AND($E144&lt;&gt;"pre",AND(Settings!$A$21&lt;&gt;"",Settings!$E$21&lt;&gt;"No"),Settings!$F$21="Yes",NOT(AND('Month-End'!$EK$9&lt;&gt;"",NOT(_xlfn.ISFORMULA('Month-End'!$EK$9))))),1,0)</f>
        <v/>
      </c>
      <c r="CP144">
        <f>IF(AND($E144&lt;&gt;"pre",AND(Settings!$A$22&lt;&gt;"",Settings!$E$22&lt;&gt;"No"),Settings!$F$22="Yes",NOT(AND('Month-End'!$EK$10&lt;&gt;"",NOT(_xlfn.ISFORMULA('Month-End'!$EK$10))))),1,0)</f>
        <v/>
      </c>
      <c r="CQ144">
        <f>IF(AND($E144&lt;&gt;"pre",AND(Settings!$A$23&lt;&gt;"",Settings!$E$23&lt;&gt;"No"),Settings!$F$23="Yes",NOT(AND('Month-End'!$EK$11&lt;&gt;"",NOT(_xlfn.ISFORMULA('Month-End'!$EK$11))))),1,0)</f>
        <v/>
      </c>
      <c r="CR144">
        <f>IF(AND($E144&lt;&gt;"pre",AND(Settings!$A$24&lt;&gt;"",Settings!$E$24&lt;&gt;"No"),Settings!$F$24="Yes",NOT(AND('Month-End'!$EK$12&lt;&gt;"",NOT(_xlfn.ISFORMULA('Month-End'!$EK$12))))),1,0)</f>
        <v/>
      </c>
      <c r="CS144">
        <f>IF(AND($E144&lt;&gt;"pre",AND(Settings!$A$25&lt;&gt;"",Settings!$E$25&lt;&gt;"No"),Settings!$F$25="Yes",NOT(AND('Month-End'!$EK$13&lt;&gt;"",NOT(_xlfn.ISFORMULA('Month-End'!$EK$13))))),1,0)</f>
        <v/>
      </c>
      <c r="CT144">
        <f>IF(AND($E144&lt;&gt;"pre",AND(Settings!$A$26&lt;&gt;"",Settings!$E$26&lt;&gt;"No"),Settings!$F$26="Yes",NOT(AND('Month-End'!$EK$14&lt;&gt;"",NOT(_xlfn.ISFORMULA('Month-End'!$EK$14))))),1,0)</f>
        <v/>
      </c>
      <c r="CU144">
        <f>IF(AND($E144&lt;&gt;"pre",AND(Settings!$A$27&lt;&gt;"",Settings!$E$27&lt;&gt;"No"),Settings!$F$27="Yes",NOT(AND('Month-End'!$EK$15&lt;&gt;"",NOT(_xlfn.ISFORMULA('Month-End'!$EK$15))))),1,0)</f>
        <v/>
      </c>
      <c r="CV144">
        <f>IF(AND($E144&lt;&gt;"pre",AND(Settings!$A$28&lt;&gt;"",Settings!$E$28&lt;&gt;"No"),Settings!$F$28="Yes",NOT(AND('Month-End'!$EK$16&lt;&gt;"",NOT(_xlfn.ISFORMULA('Month-End'!$EK$16))))),1,0)</f>
        <v/>
      </c>
      <c r="CW144">
        <f>IF(AND($E144&lt;&gt;"pre",AND(Settings!$A$29&lt;&gt;"",Settings!$E$29&lt;&gt;"No"),Settings!$F$29="Yes",NOT(AND('Month-End'!$EK$17&lt;&gt;"",NOT(_xlfn.ISFORMULA('Month-End'!$EK$17))))),1,0)</f>
        <v/>
      </c>
      <c r="CX144">
        <f>IF(AND($E144&lt;&gt;"pre",AND(Settings!$A$30&lt;&gt;"",Settings!$E$30&lt;&gt;"No"),Settings!$F$30="Yes",NOT(AND('Month-End'!$EK$18&lt;&gt;"",NOT(_xlfn.ISFORMULA('Month-End'!$EK$18))))),1,0)</f>
        <v/>
      </c>
      <c r="CY144">
        <f>IF(AND($E144&lt;&gt;"pre",AND(Settings!$A$31&lt;&gt;"",Settings!$E$31&lt;&gt;"No"),Settings!$F$31="Yes",NOT(AND('Month-End'!$EK$19&lt;&gt;"",NOT(_xlfn.ISFORMULA('Month-End'!$EK$19))))),1,0)</f>
        <v/>
      </c>
      <c r="CZ144">
        <f>IF(AND($E144&lt;&gt;"pre",AND(Settings!$A$32&lt;&gt;"",Settings!$E$32&lt;&gt;"No"),Settings!$F$32="Yes",NOT(AND('Month-End'!$EK$20&lt;&gt;"",NOT(_xlfn.ISFORMULA('Month-End'!$EK$20))))),1,0)</f>
        <v/>
      </c>
      <c r="DA144">
        <f>IF($DT144=1,IF(OR(Settings!$B$19="Checking",Settings!$B$19="Savings",Settings!$B$19="Cash"),N($AE144),IF(OR(Settings!$B$19="Card",Settings!$B$19="Loan"),-N($AE144),0))+IF(OR(Settings!$B$20="Checking",Settings!$B$20="Savings",Settings!$B$20="Cash"),N($AF144),IF(OR(Settings!$B$20="Card",Settings!$B$20="Loan"),-N($AF144),0))+IF(OR(Settings!$B$21="Checking",Settings!$B$21="Savings",Settings!$B$21="Cash"),N($AG144),IF(OR(Settings!$B$21="Card",Settings!$B$21="Loan"),-N($AG144),0))+IF(OR(Settings!$B$22="Checking",Settings!$B$22="Savings",Settings!$B$22="Cash"),N($AH144),IF(OR(Settings!$B$22="Card",Settings!$B$22="Loan"),-N($AH144),0))+IF(OR(Settings!$B$23="Checking",Settings!$B$23="Savings",Settings!$B$23="Cash"),N($AI144),IF(OR(Settings!$B$23="Card",Settings!$B$23="Loan"),-N($AI144),0))+IF(OR(Settings!$B$24="Checking",Settings!$B$24="Savings",Settings!$B$24="Cash"),N($AJ144),IF(OR(Settings!$B$24="Card",Settings!$B$24="Loan"),-N($AJ144),0))+IF(OR(Settings!$B$25="Checking",Settings!$B$25="Savings",Settings!$B$25="Cash"),N($AK144),IF(OR(Settings!$B$25="Card",Settings!$B$25="Loan"),-N($AK144),0))+IF(OR(Settings!$B$26="Checking",Settings!$B$26="Savings",Settings!$B$26="Cash"),N($AL144),IF(OR(Settings!$B$26="Card",Settings!$B$26="Loan"),-N($AL144),0))+IF(OR(Settings!$B$27="Checking",Settings!$B$27="Savings",Settings!$B$27="Cash"),N($AM144),IF(OR(Settings!$B$27="Card",Settings!$B$27="Loan"),-N($AM144),0))+IF(OR(Settings!$B$28="Checking",Settings!$B$28="Savings",Settings!$B$28="Cash"),N($AN144),IF(OR(Settings!$B$28="Card",Settings!$B$28="Loan"),-N($AN144),0))+IF(OR(Settings!$B$29="Checking",Settings!$B$29="Savings",Settings!$B$29="Cash"),N($AO144),IF(OR(Settings!$B$29="Card",Settings!$B$29="Loan"),-N($AO144),0))+IF(OR(Settings!$B$30="Checking",Settings!$B$30="Savings",Settings!$B$30="Cash"),N($AP144),IF(OR(Settings!$B$30="Card",Settings!$B$30="Loan"),-N($AP144),0))+IF(OR(Settings!$B$31="Checking",Settings!$B$31="Savings",Settings!$B$31="Cash"),N($AQ144),IF(OR(Settings!$B$31="Card",Settings!$B$31="Loan"),-N($AQ144),0))+IF(OR(Settings!$B$32="Checking",Settings!$B$32="Savings",Settings!$B$32="Cash"),N($AR144),IF(OR(Settings!$B$32="Card",Settings!$B$32="Loan"),-N($AR144),0)),"")</f>
        <v/>
      </c>
      <c r="DB144">
        <f>IF($E144="open",$EB$27,IF($E144="post",IF($E143="pre",$EB$27,$DA143),""))</f>
        <v/>
      </c>
      <c r="DC144">
        <f>IF($E144="open",1,IF($E144="post",IF($E143="pre",1,$DT143),0))</f>
        <v/>
      </c>
      <c r="DD144">
        <f>IF(AND($DT144=1,$DC144=1),ROUND($W144-($DA144-$DB144)-$AD144-$AB144,2),"")</f>
        <v/>
      </c>
      <c r="DE144">
        <f>IF('Month-End'!$EK$35="",$BQ144,N('Month-End'!$EK$35))</f>
        <v/>
      </c>
      <c r="DF144">
        <f>N('Month-End'!$EK$36)</f>
        <v/>
      </c>
      <c r="DG144">
        <f>IF($DD144="","",$DD144+$DE144)</f>
        <v/>
      </c>
      <c r="DH144">
        <f>IF($DG144="","",$DG144-$DF144)</f>
        <v/>
      </c>
      <c r="DI144">
        <f>IF(OR($E144="pre",$D144=1),"",N($AS144)+N($AT144)+N($AU144)+N($AV144)+N($AW144)+N($AX144))</f>
        <v/>
      </c>
      <c r="DJ144">
        <f>IF($DT144=1,$DA144+N($DI144),"")</f>
        <v/>
      </c>
      <c r="DK144">
        <f>IF($DD144="","",$W144-$DD144-$AB144)</f>
        <v/>
      </c>
      <c r="DL144">
        <f>IF(AND($E144="post",$DD144&lt;&gt;"",$B144&lt;TODAY()),1,0)</f>
        <v/>
      </c>
      <c r="DM144">
        <f>IF($DL144=1,COUNTIF($DL144:$DL$183,1),0)</f>
        <v/>
      </c>
      <c r="DN144">
        <f>IF($D144=1,"",IF($E144="pre","History only",IF($DT144=1,IF($DD144="","⚠ Previous month missing",IF($DD144&lt;0,"⚠ Check: spending &lt; 0",IF($E144="open","✓ Done (partial)","✓ Done"))),IF($B144&gt;=TODAY(),"In progress","⚠ Needs balances"))))</f>
        <v/>
      </c>
      <c r="DO144">
        <f>YEAR($A144)</f>
        <v/>
      </c>
      <c r="DP144">
        <f>DATE(YEAR($A144),INT((MONTH($A144)-1)/3)*3+1,1)</f>
        <v/>
      </c>
      <c r="DQ144">
        <f>IF(AND($DT144=1,$DD144&lt;&gt;"",$D144=0),ROW(),0)</f>
        <v/>
      </c>
      <c r="DR144">
        <f>IF(AND($E144&lt;&gt;"pre",$B144&lt;TODAY(),$DT144=0),1,0)</f>
        <v/>
      </c>
      <c r="DS144">
        <f>IF($DJ144="",NA(),$DJ144)</f>
        <v/>
      </c>
      <c r="DT144">
        <f>IF(AND($E144&lt;&gt;"pre",$CL144=0,COUNTIFS(Settings!$F$19:$F$32,"Yes",Settings!$A$19:$A$32,"&lt;&gt;",Settings!$E$19:$E$32,"&lt;&gt;No")&gt;0),1,0)</f>
        <v/>
      </c>
      <c r="DU144">
        <f>IF(AND($B144&lt;TODAY(),$S144&gt;0),1,0)</f>
        <v/>
      </c>
      <c r="DV144">
        <f>IF($DU144=1,COUNTIF($DU144:$DU$183,1),0)</f>
        <v/>
      </c>
      <c r="DW144">
        <f>IF(AND(OR(Settings!$B$19="Card",Settings!$B$19="Loan"),AND('Month-End'!$EK$7&lt;&gt;"",NOT(_xlfn.ISFORMULA('Month-End'!$EK$7)))),IF(N('Month-End'!$EK$7)&lt;0,1,0),0)+IF(AND(OR(Settings!$B$20="Card",Settings!$B$20="Loan"),AND('Month-End'!$EK$8&lt;&gt;"",NOT(_xlfn.ISFORMULA('Month-End'!$EK$8)))),IF(N('Month-End'!$EK$8)&lt;0,1,0),0)+IF(AND(OR(Settings!$B$21="Card",Settings!$B$21="Loan"),AND('Month-End'!$EK$9&lt;&gt;"",NOT(_xlfn.ISFORMULA('Month-End'!$EK$9)))),IF(N('Month-End'!$EK$9)&lt;0,1,0),0)+IF(AND(OR(Settings!$B$22="Card",Settings!$B$22="Loan"),AND('Month-End'!$EK$10&lt;&gt;"",NOT(_xlfn.ISFORMULA('Month-End'!$EK$10)))),IF(N('Month-End'!$EK$10)&lt;0,1,0),0)+IF(AND(OR(Settings!$B$23="Card",Settings!$B$23="Loan"),AND('Month-End'!$EK$11&lt;&gt;"",NOT(_xlfn.ISFORMULA('Month-End'!$EK$11)))),IF(N('Month-End'!$EK$11)&lt;0,1,0),0)+IF(AND(OR(Settings!$B$24="Card",Settings!$B$24="Loan"),AND('Month-End'!$EK$12&lt;&gt;"",NOT(_xlfn.ISFORMULA('Month-End'!$EK$12)))),IF(N('Month-End'!$EK$12)&lt;0,1,0),0)+IF(AND(OR(Settings!$B$25="Card",Settings!$B$25="Loan"),AND('Month-End'!$EK$13&lt;&gt;"",NOT(_xlfn.ISFORMULA('Month-End'!$EK$13)))),IF(N('Month-End'!$EK$13)&lt;0,1,0),0)+IF(AND(OR(Settings!$B$26="Card",Settings!$B$26="Loan"),AND('Month-End'!$EK$14&lt;&gt;"",NOT(_xlfn.ISFORMULA('Month-End'!$EK$14)))),IF(N('Month-End'!$EK$14)&lt;0,1,0),0)+IF(AND(OR(Settings!$B$27="Card",Settings!$B$27="Loan"),AND('Month-End'!$EK$15&lt;&gt;"",NOT(_xlfn.ISFORMULA('Month-End'!$EK$15)))),IF(N('Month-End'!$EK$15)&lt;0,1,0),0)+IF(AND(OR(Settings!$B$28="Card",Settings!$B$28="Loan"),AND('Month-End'!$EK$16&lt;&gt;"",NOT(_xlfn.ISFORMULA('Month-End'!$EK$16)))),IF(N('Month-End'!$EK$16)&lt;0,1,0),0)+IF(AND(OR(Settings!$B$29="Card",Settings!$B$29="Loan"),AND('Month-End'!$EK$17&lt;&gt;"",NOT(_xlfn.ISFORMULA('Month-End'!$EK$17)))),IF(N('Month-End'!$EK$17)&lt;0,1,0),0)+IF(AND(OR(Settings!$B$30="Card",Settings!$B$30="Loan"),AND('Month-End'!$EK$18&lt;&gt;"",NOT(_xlfn.ISFORMULA('Month-End'!$EK$18)))),IF(N('Month-End'!$EK$18)&lt;0,1,0),0)+IF(AND(OR(Settings!$B$31="Card",Settings!$B$31="Loan"),AND('Month-End'!$EK$19&lt;&gt;"",NOT(_xlfn.ISFORMULA('Month-End'!$EK$19)))),IF(N('Month-End'!$EK$19)&lt;0,1,0),0)+IF(AND(OR(Settings!$B$32="Card",Settings!$B$32="Loan"),AND('Month-End'!$EK$20&lt;&gt;"",NOT(_xlfn.ISFORMULA('Month-End'!$EK$20)))),IF(N('Month-End'!$EK$20)&lt;0,1,0),0)</f>
        <v/>
      </c>
      <c r="DX144">
        <f>IF(Settings!$B$36="Retirement",$AY144,0)+IF(Settings!$B$37="Retirement",$AZ144,0)+IF(Settings!$B$38="Retirement",$BA144,0)+IF(Settings!$B$39="Retirement",$BB144,0)+IF(Settings!$B$40="Retirement",$BC144,0)+IF(Settings!$B$41="Retirement",$BD144,0)</f>
        <v/>
      </c>
      <c r="ET144">
        <f>IF($E144&lt;&gt;"open",0,IF(AND('Month-End'!$EK$22&lt;&gt;"",NOT(_xlfn.ISFORMULA('Month-End'!$EK$22))),0,IF(OR(Settings!$C$45="",Settings!$D$45=""),0,Settings!$C$45*IF(Settings!$D$45="Weekly",IF(IFERROR(MATCH(Settings!$E$45,$EO$4:$EO$10,0),0)=0,0,IF(MIN(Settings!$B$5,IF(Settings!$G$45="",Settings!$B$5,Settings!$G$45))&lt;MAX($A144,Settings!$F$45),0,INT((MIN(Settings!$B$5,IF(Settings!$G$45="",Settings!$B$5,Settings!$G$45))-MAX($A144,Settings!$F$45)-MOD(IFERROR(MATCH(Settings!$E$45,$EO$4:$EO$10,0),0)-WEEKDAY(MAX($A144,Settings!$F$45)),7))/7)+1)),IF(AND(IF(Settings!$E$45="",$B144,DATE(YEAR($A144),MONTH($A144),MIN(Settings!$E$45,DAY($B144))))&gt;=MAX($A144,Settings!$F$45),IF(Settings!$E$45="",$B144,DATE(YEAR($A144),MONTH($A144),MIN(Settings!$E$45,DAY($B144))))&lt;=MIN(Settings!$B$5,IF(Settings!$G$45="",Settings!$B$5,Settings!$G$45))),1,0)))))</f>
        <v/>
      </c>
      <c r="EU144">
        <f>IF($E144&lt;&gt;"open",0,IF(AND('Month-End'!$EK$23&lt;&gt;"",NOT(_xlfn.ISFORMULA('Month-End'!$EK$23))),0,IF(OR(Settings!$C$46="",Settings!$D$46=""),0,Settings!$C$46*IF(Settings!$D$46="Weekly",IF(IFERROR(MATCH(Settings!$E$46,$EO$4:$EO$10,0),0)=0,0,IF(MIN(Settings!$B$5,IF(Settings!$G$46="",Settings!$B$5,Settings!$G$46))&lt;MAX($A144,Settings!$F$46),0,INT((MIN(Settings!$B$5,IF(Settings!$G$46="",Settings!$B$5,Settings!$G$46))-MAX($A144,Settings!$F$46)-MOD(IFERROR(MATCH(Settings!$E$46,$EO$4:$EO$10,0),0)-WEEKDAY(MAX($A144,Settings!$F$46)),7))/7)+1)),IF(AND(IF(Settings!$E$46="",$B144,DATE(YEAR($A144),MONTH($A144),MIN(Settings!$E$46,DAY($B144))))&gt;=MAX($A144,Settings!$F$46),IF(Settings!$E$46="",$B144,DATE(YEAR($A144),MONTH($A144),MIN(Settings!$E$46,DAY($B144))))&lt;=MIN(Settings!$B$5,IF(Settings!$G$46="",Settings!$B$5,Settings!$G$46))),1,0)))))</f>
        <v/>
      </c>
      <c r="EV144">
        <f>IF($E144&lt;&gt;"open",0,IF(AND('Month-End'!$EK$24&lt;&gt;"",NOT(_xlfn.ISFORMULA('Month-End'!$EK$24))),0,IF(OR(Settings!$C$47="",Settings!$D$47=""),0,Settings!$C$47*IF(Settings!$D$47="Weekly",IF(IFERROR(MATCH(Settings!$E$47,$EO$4:$EO$10,0),0)=0,0,IF(MIN(Settings!$B$5,IF(Settings!$G$47="",Settings!$B$5,Settings!$G$47))&lt;MAX($A144,Settings!$F$47),0,INT((MIN(Settings!$B$5,IF(Settings!$G$47="",Settings!$B$5,Settings!$G$47))-MAX($A144,Settings!$F$47)-MOD(IFERROR(MATCH(Settings!$E$47,$EO$4:$EO$10,0),0)-WEEKDAY(MAX($A144,Settings!$F$47)),7))/7)+1)),IF(AND(IF(Settings!$E$47="",$B144,DATE(YEAR($A144),MONTH($A144),MIN(Settings!$E$47,DAY($B144))))&gt;=MAX($A144,Settings!$F$47),IF(Settings!$E$47="",$B144,DATE(YEAR($A144),MONTH($A144),MIN(Settings!$E$47,DAY($B144))))&lt;=MIN(Settings!$B$5,IF(Settings!$G$47="",Settings!$B$5,Settings!$G$47))),1,0)))))</f>
        <v/>
      </c>
      <c r="EW144">
        <f>IF($E144&lt;&gt;"open",0,IF(AND('Month-End'!$EK$25&lt;&gt;"",NOT(_xlfn.ISFORMULA('Month-End'!$EK$25))),0,IF(OR(Settings!$C$48="",Settings!$D$48=""),0,Settings!$C$48*IF(Settings!$D$48="Weekly",IF(IFERROR(MATCH(Settings!$E$48,$EO$4:$EO$10,0),0)=0,0,IF(MIN(Settings!$B$5,IF(Settings!$G$48="",Settings!$B$5,Settings!$G$48))&lt;MAX($A144,Settings!$F$48),0,INT((MIN(Settings!$B$5,IF(Settings!$G$48="",Settings!$B$5,Settings!$G$48))-MAX($A144,Settings!$F$48)-MOD(IFERROR(MATCH(Settings!$E$48,$EO$4:$EO$10,0),0)-WEEKDAY(MAX($A144,Settings!$F$48)),7))/7)+1)),IF(AND(IF(Settings!$E$48="",$B144,DATE(YEAR($A144),MONTH($A144),MIN(Settings!$E$48,DAY($B144))))&gt;=MAX($A144,Settings!$F$48),IF(Settings!$E$48="",$B144,DATE(YEAR($A144),MONTH($A144),MIN(Settings!$E$48,DAY($B144))))&lt;=MIN(Settings!$B$5,IF(Settings!$G$48="",Settings!$B$5,Settings!$G$48))),1,0)))))</f>
        <v/>
      </c>
      <c r="EX144">
        <f>IF($E144&lt;&gt;"open",0,IF(AND('Month-End'!$EK$26&lt;&gt;"",NOT(_xlfn.ISFORMULA('Month-End'!$EK$26))),0,IF(OR(Settings!$C$49="",Settings!$D$49=""),0,Settings!$C$49*IF(Settings!$D$49="Weekly",IF(IFERROR(MATCH(Settings!$E$49,$EO$4:$EO$10,0),0)=0,0,IF(MIN(Settings!$B$5,IF(Settings!$G$49="",Settings!$B$5,Settings!$G$49))&lt;MAX($A144,Settings!$F$49),0,INT((MIN(Settings!$B$5,IF(Settings!$G$49="",Settings!$B$5,Settings!$G$49))-MAX($A144,Settings!$F$49)-MOD(IFERROR(MATCH(Settings!$E$49,$EO$4:$EO$10,0),0)-WEEKDAY(MAX($A144,Settings!$F$49)),7))/7)+1)),IF(AND(IF(Settings!$E$49="",$B144,DATE(YEAR($A144),MONTH($A144),MIN(Settings!$E$49,DAY($B144))))&gt;=MAX($A144,Settings!$F$49),IF(Settings!$E$49="",$B144,DATE(YEAR($A144),MONTH($A144),MIN(Settings!$E$49,DAY($B144))))&lt;=MIN(Settings!$B$5,IF(Settings!$G$49="",Settings!$B$5,Settings!$G$49))),1,0)))))</f>
        <v/>
      </c>
      <c r="EY144">
        <f>IF($E144&lt;&gt;"open",0,IF(AND('Month-End'!$EK$27&lt;&gt;"",NOT(_xlfn.ISFORMULA('Month-End'!$EK$27))),0,IF(OR(Settings!$C$50="",Settings!$D$50=""),0,Settings!$C$50*IF(Settings!$D$50="Weekly",IF(IFERROR(MATCH(Settings!$E$50,$EO$4:$EO$10,0),0)=0,0,IF(MIN(Settings!$B$5,IF(Settings!$G$50="",Settings!$B$5,Settings!$G$50))&lt;MAX($A144,Settings!$F$50),0,INT((MIN(Settings!$B$5,IF(Settings!$G$50="",Settings!$B$5,Settings!$G$50))-MAX($A144,Settings!$F$50)-MOD(IFERROR(MATCH(Settings!$E$50,$EO$4:$EO$10,0),0)-WEEKDAY(MAX($A144,Settings!$F$50)),7))/7)+1)),IF(AND(IF(Settings!$E$50="",$B144,DATE(YEAR($A144),MONTH($A144),MIN(Settings!$E$50,DAY($B144))))&gt;=MAX($A144,Settings!$F$50),IF(Settings!$E$50="",$B144,DATE(YEAR($A144),MONTH($A144),MIN(Settings!$E$50,DAY($B144))))&lt;=MIN(Settings!$B$5,IF(Settings!$G$50="",Settings!$B$5,Settings!$G$50))),1,0)))))</f>
        <v/>
      </c>
      <c r="EZ144">
        <f>IF($E144&lt;&gt;"open",0,IF(AND('Month-End'!$EK$28&lt;&gt;"",NOT(_xlfn.ISFORMULA('Month-End'!$EK$28))),0,IF(OR(Settings!$C$51="",Settings!$D$51=""),0,Settings!$C$51*IF(Settings!$D$51="Weekly",IF(IFERROR(MATCH(Settings!$E$51,$EO$4:$EO$10,0),0)=0,0,IF(MIN(Settings!$B$5,IF(Settings!$G$51="",Settings!$B$5,Settings!$G$51))&lt;MAX($A144,Settings!$F$51),0,INT((MIN(Settings!$B$5,IF(Settings!$G$51="",Settings!$B$5,Settings!$G$51))-MAX($A144,Settings!$F$51)-MOD(IFERROR(MATCH(Settings!$E$51,$EO$4:$EO$10,0),0)-WEEKDAY(MAX($A144,Settings!$F$51)),7))/7)+1)),IF(AND(IF(Settings!$E$51="",$B144,DATE(YEAR($A144),MONTH($A144),MIN(Settings!$E$51,DAY($B144))))&gt;=MAX($A144,Settings!$F$51),IF(Settings!$E$51="",$B144,DATE(YEAR($A144),MONTH($A144),MIN(Settings!$E$51,DAY($B144))))&lt;=MIN(Settings!$B$5,IF(Settings!$G$51="",Settings!$B$5,Settings!$G$51))),1,0)))))</f>
        <v/>
      </c>
      <c r="FA144">
        <f>IF($E144&lt;&gt;"open",0,IF(AND('Month-End'!$EK$29&lt;&gt;"",NOT(_xlfn.ISFORMULA('Month-End'!$EK$29))),0,IF(OR(Settings!$C$52="",Settings!$D$52=""),0,Settings!$C$52*IF(Settings!$D$52="Weekly",IF(IFERROR(MATCH(Settings!$E$52,$EO$4:$EO$10,0),0)=0,0,IF(MIN(Settings!$B$5,IF(Settings!$G$52="",Settings!$B$5,Settings!$G$52))&lt;MAX($A144,Settings!$F$52),0,INT((MIN(Settings!$B$5,IF(Settings!$G$52="",Settings!$B$5,Settings!$G$52))-MAX($A144,Settings!$F$52)-MOD(IFERROR(MATCH(Settings!$E$52,$EO$4:$EO$10,0),0)-WEEKDAY(MAX($A144,Settings!$F$52)),7))/7)+1)),IF(AND(IF(Settings!$E$52="",$B144,DATE(YEAR($A144),MONTH($A144),MIN(Settings!$E$52,DAY($B144))))&gt;=MAX($A144,Settings!$F$52),IF(Settings!$E$52="",$B144,DATE(YEAR($A144),MONTH($A144),MIN(Settings!$E$52,DAY($B144))))&lt;=MIN(Settings!$B$5,IF(Settings!$G$52="",Settings!$B$5,Settings!$G$52))),1,0)))))</f>
        <v/>
      </c>
      <c r="FB144">
        <f>IF($E144&lt;&gt;"open",0,IF(AND('Month-End'!$EK$30&lt;&gt;"",NOT(_xlfn.ISFORMULA('Month-End'!$EK$30))),0,IF(OR(Settings!$C$53="",Settings!$D$53=""),0,Settings!$C$53*IF(Settings!$D$53="Weekly",IF(IFERROR(MATCH(Settings!$E$53,$EO$4:$EO$10,0),0)=0,0,IF(MIN(Settings!$B$5,IF(Settings!$G$53="",Settings!$B$5,Settings!$G$53))&lt;MAX($A144,Settings!$F$53),0,INT((MIN(Settings!$B$5,IF(Settings!$G$53="",Settings!$B$5,Settings!$G$53))-MAX($A144,Settings!$F$53)-MOD(IFERROR(MATCH(Settings!$E$53,$EO$4:$EO$10,0),0)-WEEKDAY(MAX($A144,Settings!$F$53)),7))/7)+1)),IF(AND(IF(Settings!$E$53="",$B144,DATE(YEAR($A144),MONTH($A144),MIN(Settings!$E$53,DAY($B144))))&gt;=MAX($A144,Settings!$F$53),IF(Settings!$E$53="",$B144,DATE(YEAR($A144),MONTH($A144),MIN(Settings!$E$53,DAY($B144))))&lt;=MIN(Settings!$B$5,IF(Settings!$G$53="",Settings!$B$5,Settings!$G$53))),1,0)))))</f>
        <v/>
      </c>
      <c r="FC144">
        <f>IF($E144&lt;&gt;"open",0,IF(AND('Month-End'!$EK$31&lt;&gt;"",NOT(_xlfn.ISFORMULA('Month-End'!$EK$31))),0,IF(OR(Settings!$C$54="",Settings!$D$54=""),0,Settings!$C$54*IF(Settings!$D$54="Weekly",IF(IFERROR(MATCH(Settings!$E$54,$EO$4:$EO$10,0),0)=0,0,IF(MIN(Settings!$B$5,IF(Settings!$G$54="",Settings!$B$5,Settings!$G$54))&lt;MAX($A144,Settings!$F$54),0,INT((MIN(Settings!$B$5,IF(Settings!$G$54="",Settings!$B$5,Settings!$G$54))-MAX($A144,Settings!$F$54)-MOD(IFERROR(MATCH(Settings!$E$54,$EO$4:$EO$10,0),0)-WEEKDAY(MAX($A144,Settings!$F$54)),7))/7)+1)),IF(AND(IF(Settings!$E$54="",$B144,DATE(YEAR($A144),MONTH($A144),MIN(Settings!$E$54,DAY($B144))))&gt;=MAX($A144,Settings!$F$54),IF(Settings!$E$54="",$B144,DATE(YEAR($A144),MONTH($A144),MIN(Settings!$E$54,DAY($B144))))&lt;=MIN(Settings!$B$5,IF(Settings!$G$54="",Settings!$B$5,Settings!$G$54))),1,0)))))</f>
        <v/>
      </c>
      <c r="FD144">
        <f>IF($E144&lt;&gt;"open",0,IF(AND('Month-End'!$EK$32&lt;&gt;"",NOT(_xlfn.ISFORMULA('Month-End'!$EK$32))),0,IF(OR(Settings!$C$55="",Settings!$D$55=""),0,Settings!$C$55*IF(Settings!$D$55="Weekly",IF(IFERROR(MATCH(Settings!$E$55,$EO$4:$EO$10,0),0)=0,0,IF(MIN(Settings!$B$5,IF(Settings!$G$55="",Settings!$B$5,Settings!$G$55))&lt;MAX($A144,Settings!$F$55),0,INT((MIN(Settings!$B$5,IF(Settings!$G$55="",Settings!$B$5,Settings!$G$55))-MAX($A144,Settings!$F$55)-MOD(IFERROR(MATCH(Settings!$E$55,$EO$4:$EO$10,0),0)-WEEKDAY(MAX($A144,Settings!$F$55)),7))/7)+1)),IF(AND(IF(Settings!$E$55="",$B144,DATE(YEAR($A144),MONTH($A144),MIN(Settings!$E$55,DAY($B144))))&gt;=MAX($A144,Settings!$F$55),IF(Settings!$E$55="",$B144,DATE(YEAR($A144),MONTH($A144),MIN(Settings!$E$55,DAY($B144))))&lt;=MIN(Settings!$B$5,IF(Settings!$G$55="",Settings!$B$5,Settings!$G$55))),1,0)))))</f>
        <v/>
      </c>
      <c r="FE144">
        <f>IF($E144&lt;&gt;"open",0,IF(AND('Month-End'!$EK$33&lt;&gt;"",NOT(_xlfn.ISFORMULA('Month-End'!$EK$33))),0,IF(OR(Settings!$C$56="",Settings!$D$56=""),0,Settings!$C$56*IF(Settings!$D$56="Weekly",IF(IFERROR(MATCH(Settings!$E$56,$EO$4:$EO$10,0),0)=0,0,IF(MIN(Settings!$B$5,IF(Settings!$G$56="",Settings!$B$5,Settings!$G$56))&lt;MAX($A144,Settings!$F$56),0,INT((MIN(Settings!$B$5,IF(Settings!$G$56="",Settings!$B$5,Settings!$G$56))-MAX($A144,Settings!$F$56)-MOD(IFERROR(MATCH(Settings!$E$56,$EO$4:$EO$10,0),0)-WEEKDAY(MAX($A144,Settings!$F$56)),7))/7)+1)),IF(AND(IF(Settings!$E$56="",$B144,DATE(YEAR($A144),MONTH($A144),MIN(Settings!$E$56,DAY($B144))))&gt;=MAX($A144,Settings!$F$56),IF(Settings!$E$56="",$B144,DATE(YEAR($A144),MONTH($A144),MIN(Settings!$E$56,DAY($B144))))&lt;=MIN(Settings!$B$5,IF(Settings!$G$56="",Settings!$B$5,Settings!$G$56))),1,0)))))</f>
        <v/>
      </c>
      <c r="FF144">
        <f>IF(Settings!$I$45="Yes",$G144,0)+IF(Settings!$I$46="Yes",$H144,0)+IF(Settings!$I$47="Yes",$I144,0)+IF(Settings!$I$48="Yes",$J144,0)+IF(Settings!$I$49="Yes",$K144,0)+IF(Settings!$I$50="Yes",$L144,0)+IF(Settings!$I$51="Yes",$M144,0)+IF(Settings!$I$52="Yes",$N144,0)+IF(Settings!$I$53="Yes",$O144,0)+IF(Settings!$I$54="Yes",$P144,0)+IF(Settings!$I$55="Yes",$Q144,0)+IF(Settings!$I$56="Yes",$R144,0)</f>
        <v/>
      </c>
      <c r="FG144">
        <f>IF(AND(Settings!$I$45="Yes",Settings!$J$45="No"),$G144,0)+IF(AND(Settings!$I$46="Yes",Settings!$J$46="No"),$H144,0)+IF(AND(Settings!$I$47="Yes",Settings!$J$47="No"),$I144,0)+IF(AND(Settings!$I$48="Yes",Settings!$J$48="No"),$J144,0)+IF(AND(Settings!$I$49="Yes",Settings!$J$49="No"),$K144,0)+IF(AND(Settings!$I$50="Yes",Settings!$J$50="No"),$L144,0)+IF(AND(Settings!$I$51="Yes",Settings!$J$51="No"),$M144,0)+IF(AND(Settings!$I$52="Yes",Settings!$J$52="No"),$N144,0)+IF(AND(Settings!$I$53="Yes",Settings!$J$53="No"),$O144,0)+IF(AND(Settings!$I$54="Yes",Settings!$J$54="No"),$P144,0)+IF(AND(Settings!$I$55="Yes",Settings!$J$55="No"),$Q144,0)+IF(AND(Settings!$I$56="Yes",Settings!$J$56="No"),$R144,0)</f>
        <v/>
      </c>
      <c r="FH144">
        <f>SUMIFS(Giving!$B$7:$B$2006,Giving!$A$7:$A$2006,"&gt;="&amp;$A144,Giving!$A$7:$A$2006,"&lt;="&amp;$B144,Giving!$G$7:$G$2006,"Yes")+IF(OR(OR(Settings!$B$60="",Settings!$F$60="No"),Settings!$H$60&lt;&gt;"Yes"),0,Settings!$B$60*IF(AND(IF(Settings!$C$60="",$B144,DATE(YEAR($A144),MONTH($A144),MIN(Settings!$C$60,DAY($B144))))&gt;=MAX($A144,Settings!$D$60),IF(Settings!$C$60="",$B144,DATE(YEAR($A144),MONTH($A144),MIN(Settings!$C$60,DAY($B144))))&lt;=MIN($C144,IF(Settings!$E$60="",$C144,Settings!$E$60))),1,0))+IF(OR(OR(Settings!$B$61="",Settings!$F$61="No"),Settings!$H$61&lt;&gt;"Yes"),0,Settings!$B$61*IF(AND(IF(Settings!$C$61="",$B144,DATE(YEAR($A144),MONTH($A144),MIN(Settings!$C$61,DAY($B144))))&gt;=MAX($A144,Settings!$D$61),IF(Settings!$C$61="",$B144,DATE(YEAR($A144),MONTH($A144),MIN(Settings!$C$61,DAY($B144))))&lt;=MIN($C144,IF(Settings!$E$61="",$C144,Settings!$E$61))),1,0))+IF(OR(OR(Settings!$B$62="",Settings!$F$62="No"),Settings!$H$62&lt;&gt;"Yes"),0,Settings!$B$62*IF(AND(IF(Settings!$C$62="",$B144,DATE(YEAR($A144),MONTH($A144),MIN(Settings!$C$62,DAY($B144))))&gt;=MAX($A144,Settings!$D$62),IF(Settings!$C$62="",$B144,DATE(YEAR($A144),MONTH($A144),MIN(Settings!$C$62,DAY($B144))))&lt;=MIN($C144,IF(Settings!$E$62="",$C144,Settings!$E$62))),1,0))+IF(OR(OR(Settings!$B$63="",Settings!$F$63="No"),Settings!$H$63&lt;&gt;"Yes"),0,Settings!$B$63*IF(AND(IF(Settings!$C$63="",$B144,DATE(YEAR($A144),MONTH($A144),MIN(Settings!$C$63,DAY($B144))))&gt;=MAX($A144,Settings!$D$63),IF(Settings!$C$63="",$B144,DATE(YEAR($A144),MONTH($A144),MIN(Settings!$C$63,DAY($B144))))&lt;=MIN($C144,IF(Settings!$E$63="",$C144,Settings!$E$63))),1,0))+IF(OR(OR(Settings!$B$64="",Settings!$F$64="No"),Settings!$H$64&lt;&gt;"Yes"),0,Settings!$B$64*IF(AND(IF(Settings!$C$64="",$B144,DATE(YEAR($A144),MONTH($A144),MIN(Settings!$C$64,DAY($B144))))&gt;=MAX($A144,Settings!$D$64),IF(Settings!$C$64="",$B144,DATE(YEAR($A144),MONTH($A144),MIN(Settings!$C$64,DAY($B144))))&lt;=MIN($C144,IF(Settings!$E$64="",$C144,Settings!$E$64))),1,0))+IF(OR(OR(Settings!$B$65="",Settings!$F$65="No"),Settings!$H$65&lt;&gt;"Yes"),0,Settings!$B$65*IF(AND(IF(Settings!$C$65="",$B144,DATE(YEAR($A144),MONTH($A144),MIN(Settings!$C$65,DAY($B144))))&gt;=MAX($A144,Settings!$D$65),IF(Settings!$C$65="",$B144,DATE(YEAR($A144),MONTH($A144),MIN(Settings!$C$65,DAY($B144))))&lt;=MIN($C144,IF(Settings!$E$65="",$C144,Settings!$E$65))),1,0))</f>
        <v/>
      </c>
      <c r="FI144">
        <f>IF($DT144=1,IF(OR(Settings!$B$19="Card",Settings!$B$19="Loan"),N($AE144),0)+IF(OR(Settings!$B$20="Card",Settings!$B$20="Loan"),N($AF144),0)+IF(OR(Settings!$B$21="Card",Settings!$B$21="Loan"),N($AG144),0)+IF(OR(Settings!$B$22="Card",Settings!$B$22="Loan"),N($AH144),0)+IF(OR(Settings!$B$23="Card",Settings!$B$23="Loan"),N($AI144),0)+IF(OR(Settings!$B$24="Card",Settings!$B$24="Loan"),N($AJ144),0)+IF(OR(Settings!$B$25="Card",Settings!$B$25="Loan"),N($AK144),0)+IF(OR(Settings!$B$26="Card",Settings!$B$26="Loan"),N($AL144),0)+IF(OR(Settings!$B$27="Card",Settings!$B$27="Loan"),N($AM144),0)+IF(OR(Settings!$B$28="Card",Settings!$B$28="Loan"),N($AN144),0)+IF(OR(Settings!$B$29="Card",Settings!$B$29="Loan"),N($AO144),0)+IF(OR(Settings!$B$30="Card",Settings!$B$30="Loan"),N($AP144),0)+IF(OR(Settings!$B$31="Card",Settings!$B$31="Loan"),N($AQ144),0)+IF(OR(Settings!$B$32="Card",Settings!$B$32="Loan"),N($AR144),0),"")</f>
        <v/>
      </c>
      <c r="FJ144">
        <f>IF($E144="open",$EB$65,IF($E144="post",IF($E143="pre",$EB$65,$FI143),""))</f>
        <v/>
      </c>
      <c r="FK144">
        <f>IF(AND($DT144=1,$DC144=1),IF(ROUND($FI144-$FJ144,2)&gt;0,1,0),0)</f>
        <v/>
      </c>
      <c r="FL144">
        <f>IF($FK144=1,$FL143+1,0)</f>
        <v/>
      </c>
    </row>
    <row r="145">
      <c r="A145">
        <f>'Month-End'!$EL$4</f>
        <v/>
      </c>
      <c r="B145">
        <f>EOMONTH($A145,0)</f>
        <v/>
      </c>
      <c r="C145">
        <f>MIN($B145,TODAY())</f>
        <v/>
      </c>
      <c r="D145">
        <f>IF($A145&gt;TODAY(),1,0)</f>
        <v/>
      </c>
      <c r="E145">
        <f>IF($B145&lt;=Settings!$B$5,"pre",IF($A145&lt;=Settings!$B$5,"open","post"))</f>
        <v/>
      </c>
      <c r="G145">
        <f>IF('Month-End'!$EL$22="",$BE145,N('Month-End'!$EL$22))</f>
        <v/>
      </c>
      <c r="H145">
        <f>IF('Month-End'!$EL$23="",$BF145,N('Month-End'!$EL$23))</f>
        <v/>
      </c>
      <c r="I145">
        <f>IF('Month-End'!$EL$24="",$BG145,N('Month-End'!$EL$24))</f>
        <v/>
      </c>
      <c r="J145">
        <f>IF('Month-End'!$EL$25="",$BH145,N('Month-End'!$EL$25))</f>
        <v/>
      </c>
      <c r="K145">
        <f>IF('Month-End'!$EL$26="",$BI145,N('Month-End'!$EL$26))</f>
        <v/>
      </c>
      <c r="L145">
        <f>IF('Month-End'!$EL$27="",$BJ145,N('Month-End'!$EL$27))</f>
        <v/>
      </c>
      <c r="M145">
        <f>IF('Month-End'!$EL$28="",$BK145,N('Month-End'!$EL$28))</f>
        <v/>
      </c>
      <c r="N145">
        <f>IF('Month-End'!$EL$29="",$BL145,N('Month-End'!$EL$29))</f>
        <v/>
      </c>
      <c r="O145">
        <f>IF('Month-End'!$EL$30="",$BM145,N('Month-End'!$EL$30))</f>
        <v/>
      </c>
      <c r="P145">
        <f>IF('Month-End'!$EL$31="",$BN145,N('Month-End'!$EL$31))</f>
        <v/>
      </c>
      <c r="Q145">
        <f>IF('Month-End'!$EL$32="",$BO145,N('Month-End'!$EL$32))</f>
        <v/>
      </c>
      <c r="R145">
        <f>IF('Month-End'!$EL$33="",$BP145,N('Month-End'!$EL$33))</f>
        <v/>
      </c>
      <c r="S145">
        <f>$G145+$H145+$I145+$J145+$K145+$L145+$M145+$N145+$O145+$P145+$Q145+$R145</f>
        <v/>
      </c>
      <c r="T145">
        <f>IF($B145&lt;Settings!$B$6,0,IF(Settings!$B$45="Yes",$G145,0)+IF(Settings!$B$46="Yes",$H145,0)+IF(Settings!$B$47="Yes",$I145,0)+IF(Settings!$B$48="Yes",$J145,0)+IF(Settings!$B$49="Yes",$K145,0)+IF(Settings!$B$50="Yes",$L145,0)+IF(Settings!$B$51="Yes",$M145,0)+IF(Settings!$B$52="Yes",$N145,0)+IF(Settings!$B$53="Yes",$O145,0)+IF(Settings!$B$54="Yes",$P145,0)+IF(Settings!$B$55="Yes",$Q145,0)+IF(Settings!$B$56="Yes",$R145,0))</f>
        <v/>
      </c>
      <c r="U145">
        <f>IF(Settings!$B$45="Not Sure",$G145,0)+IF(Settings!$B$46="Not Sure",$H145,0)+IF(Settings!$B$47="Not Sure",$I145,0)+IF(Settings!$B$48="Not Sure",$J145,0)+IF(Settings!$B$49="Not Sure",$K145,0)+IF(Settings!$B$50="Not Sure",$L145,0)+IF(Settings!$B$51="Not Sure",$M145,0)+IF(Settings!$B$52="Not Sure",$N145,0)+IF(Settings!$B$53="Not Sure",$O145,0)+IF(Settings!$B$54="Not Sure",$P145,0)+IF(Settings!$B$55="Not Sure",$Q145,0)+IF(Settings!$B$56="Not Sure",$R145,0)</f>
        <v/>
      </c>
      <c r="V145">
        <f>IF($E145="open",SUM($ET145:$FE145)+N(Settings!$B$13),0)</f>
        <v/>
      </c>
      <c r="W145">
        <f>IF($E145="post",$S145,IF($E145="open",$S145-$V145,0))</f>
        <v/>
      </c>
      <c r="X145">
        <f>SUMIFS(Giving!$B$7:$B$2006,Giving!$A$7:$A$2006,"&gt;="&amp;$A145,Giving!$A$7:$A$2006,"&lt;="&amp;$B145,Giving!$E$7:$E$2006,"&lt;&gt;No")</f>
        <v/>
      </c>
      <c r="Y145">
        <f>SUMIFS(Giving!$B$7:$B$2006,Giving!$A$7:$A$2006,"&gt;="&amp;$A145,Giving!$A$7:$A$2006,"&lt;="&amp;$B145,Giving!$E$7:$E$2006,"No")</f>
        <v/>
      </c>
      <c r="Z145">
        <f>IF(OR(Settings!$B$60="",Settings!$F$60="No"),0,Settings!$B$60*IF(AND(IF(Settings!$C$60="",$B145,DATE(YEAR($A145),MONTH($A145),MIN(Settings!$C$60,DAY($B145))))&gt;=MAX($A145,Settings!$D$60),IF(Settings!$C$60="",$B145,DATE(YEAR($A145),MONTH($A145),MIN(Settings!$C$60,DAY($B145))))&lt;=MIN($C145,IF(Settings!$E$60="",$C145,Settings!$E$60))),1,0))+IF(OR(Settings!$B$61="",Settings!$F$61="No"),0,Settings!$B$61*IF(AND(IF(Settings!$C$61="",$B145,DATE(YEAR($A145),MONTH($A145),MIN(Settings!$C$61,DAY($B145))))&gt;=MAX($A145,Settings!$D$61),IF(Settings!$C$61="",$B145,DATE(YEAR($A145),MONTH($A145),MIN(Settings!$C$61,DAY($B145))))&lt;=MIN($C145,IF(Settings!$E$61="",$C145,Settings!$E$61))),1,0))+IF(OR(Settings!$B$62="",Settings!$F$62="No"),0,Settings!$B$62*IF(AND(IF(Settings!$C$62="",$B145,DATE(YEAR($A145),MONTH($A145),MIN(Settings!$C$62,DAY($B145))))&gt;=MAX($A145,Settings!$D$62),IF(Settings!$C$62="",$B145,DATE(YEAR($A145),MONTH($A145),MIN(Settings!$C$62,DAY($B145))))&lt;=MIN($C145,IF(Settings!$E$62="",$C145,Settings!$E$62))),1,0))+IF(OR(Settings!$B$63="",Settings!$F$63="No"),0,Settings!$B$63*IF(AND(IF(Settings!$C$63="",$B145,DATE(YEAR($A145),MONTH($A145),MIN(Settings!$C$63,DAY($B145))))&gt;=MAX($A145,Settings!$D$63),IF(Settings!$C$63="",$B145,DATE(YEAR($A145),MONTH($A145),MIN(Settings!$C$63,DAY($B145))))&lt;=MIN($C145,IF(Settings!$E$63="",$C145,Settings!$E$63))),1,0))+IF(OR(Settings!$B$64="",Settings!$F$64="No"),0,Settings!$B$64*IF(AND(IF(Settings!$C$64="",$B145,DATE(YEAR($A145),MONTH($A145),MIN(Settings!$C$64,DAY($B145))))&gt;=MAX($A145,Settings!$D$64),IF(Settings!$C$64="",$B145,DATE(YEAR($A145),MONTH($A145),MIN(Settings!$C$64,DAY($B145))))&lt;=MIN($C145,IF(Settings!$E$64="",$C145,Settings!$E$64))),1,0))+IF(OR(Settings!$B$65="",Settings!$F$65="No"),0,Settings!$B$65*IF(AND(IF(Settings!$C$65="",$B145,DATE(YEAR($A145),MONTH($A145),MIN(Settings!$C$65,DAY($B145))))&gt;=MAX($A145,Settings!$D$65),IF(Settings!$C$65="",$B145,DATE(YEAR($A145),MONTH($A145),MIN(Settings!$C$65,DAY($B145))))&lt;=MIN($C145,IF(Settings!$E$65="",$C145,Settings!$E$65))),1,0))</f>
        <v/>
      </c>
      <c r="AA145">
        <f>$X145+$Z145</f>
        <v/>
      </c>
      <c r="AB145">
        <f>IF($E145="post",$AA145,IF($E145="open",SUMIFS(Giving!$B$7:$B$2006,Giving!$A$7:$A$2006,"&gt;"&amp;Settings!$B$5,Giving!$A$7:$A$2006,"&lt;="&amp;$B145,Giving!$E$7:$E$2006,"&lt;&gt;No")+IF(OR(Settings!$B$60="",Settings!$F$60="No"),0,Settings!$B$60*IF(AND(IF(Settings!$C$60="",$B145,DATE(YEAR($A145),MONTH($A145),MIN(Settings!$C$60,DAY($B145))))&gt;=MAX($A145,Settings!$D$60,Settings!$B$5+1),IF(Settings!$C$60="",$B145,DATE(YEAR($A145),MONTH($A145),MIN(Settings!$C$60,DAY($B145))))&lt;=MIN($C145,IF(Settings!$E$60="",$C145,Settings!$E$60))),1,0))+IF(OR(Settings!$B$61="",Settings!$F$61="No"),0,Settings!$B$61*IF(AND(IF(Settings!$C$61="",$B145,DATE(YEAR($A145),MONTH($A145),MIN(Settings!$C$61,DAY($B145))))&gt;=MAX($A145,Settings!$D$61,Settings!$B$5+1),IF(Settings!$C$61="",$B145,DATE(YEAR($A145),MONTH($A145),MIN(Settings!$C$61,DAY($B145))))&lt;=MIN($C145,IF(Settings!$E$61="",$C145,Settings!$E$61))),1,0))+IF(OR(Settings!$B$62="",Settings!$F$62="No"),0,Settings!$B$62*IF(AND(IF(Settings!$C$62="",$B145,DATE(YEAR($A145),MONTH($A145),MIN(Settings!$C$62,DAY($B145))))&gt;=MAX($A145,Settings!$D$62,Settings!$B$5+1),IF(Settings!$C$62="",$B145,DATE(YEAR($A145),MONTH($A145),MIN(Settings!$C$62,DAY($B145))))&lt;=MIN($C145,IF(Settings!$E$62="",$C145,Settings!$E$62))),1,0))+IF(OR(Settings!$B$63="",Settings!$F$63="No"),0,Settings!$B$63*IF(AND(IF(Settings!$C$63="",$B145,DATE(YEAR($A145),MONTH($A145),MIN(Settings!$C$63,DAY($B145))))&gt;=MAX($A145,Settings!$D$63,Settings!$B$5+1),IF(Settings!$C$63="",$B145,DATE(YEAR($A145),MONTH($A145),MIN(Settings!$C$63,DAY($B145))))&lt;=MIN($C145,IF(Settings!$E$63="",$C145,Settings!$E$63))),1,0))+IF(OR(Settings!$B$64="",Settings!$F$64="No"),0,Settings!$B$64*IF(AND(IF(Settings!$C$64="",$B145,DATE(YEAR($A145),MONTH($A145),MIN(Settings!$C$64,DAY($B145))))&gt;=MAX($A145,Settings!$D$64,Settings!$B$5+1),IF(Settings!$C$64="",$B145,DATE(YEAR($A145),MONTH($A145),MIN(Settings!$C$64,DAY($B145))))&lt;=MIN($C145,IF(Settings!$E$64="",$C145,Settings!$E$64))),1,0))+IF(OR(Settings!$B$65="",Settings!$F$65="No"),0,Settings!$B$65*IF(AND(IF(Settings!$C$65="",$B145,DATE(YEAR($A145),MONTH($A145),MIN(Settings!$C$65,DAY($B145))))&gt;=MAX($A145,Settings!$D$65,Settings!$B$5+1),IF(Settings!$C$65="",$B145,DATE(YEAR($A145),MONTH($A145),MIN(Settings!$C$65,DAY($B145))))&lt;=MIN($C145,IF(Settings!$E$65="",$C145,Settings!$E$65))),1,0)),0))</f>
        <v/>
      </c>
      <c r="AC145">
        <f>$AY145+$AZ145+$BA145+$BB145+$BC145+$BD145</f>
        <v/>
      </c>
      <c r="AD145">
        <f>$AC145</f>
        <v/>
      </c>
      <c r="AE145">
        <f>IF(OR(Settings!$A$19="",$E145="pre"),"",IF(AND('Month-End'!$EL$7&lt;&gt;"",NOT(_xlfn.ISFORMULA('Month-End'!$EL$7))),N('Month-End'!$EL$7),IF(OR($E145="open",$E144="pre"),N(Settings!$C$19),N($AE144))))</f>
        <v/>
      </c>
      <c r="AF145">
        <f>IF(OR(Settings!$A$20="",$E145="pre"),"",IF(AND('Month-End'!$EL$8&lt;&gt;"",NOT(_xlfn.ISFORMULA('Month-End'!$EL$8))),N('Month-End'!$EL$8),IF(OR($E145="open",$E144="pre"),N(Settings!$C$20),N($AF144))))</f>
        <v/>
      </c>
      <c r="AG145">
        <f>IF(OR(Settings!$A$21="",$E145="pre"),"",IF(AND('Month-End'!$EL$9&lt;&gt;"",NOT(_xlfn.ISFORMULA('Month-End'!$EL$9))),N('Month-End'!$EL$9),IF(OR($E145="open",$E144="pre"),N(Settings!$C$21),N($AG144))))</f>
        <v/>
      </c>
      <c r="AH145">
        <f>IF(OR(Settings!$A$22="",$E145="pre"),"",IF(AND('Month-End'!$EL$10&lt;&gt;"",NOT(_xlfn.ISFORMULA('Month-End'!$EL$10))),N('Month-End'!$EL$10),IF(OR($E145="open",$E144="pre"),N(Settings!$C$22),N($AH144))))</f>
        <v/>
      </c>
      <c r="AI145">
        <f>IF(OR(Settings!$A$23="",$E145="pre"),"",IF(AND('Month-End'!$EL$11&lt;&gt;"",NOT(_xlfn.ISFORMULA('Month-End'!$EL$11))),N('Month-End'!$EL$11),IF(OR($E145="open",$E144="pre"),N(Settings!$C$23),N($AI144))))</f>
        <v/>
      </c>
      <c r="AJ145">
        <f>IF(OR(Settings!$A$24="",$E145="pre"),"",IF(AND('Month-End'!$EL$12&lt;&gt;"",NOT(_xlfn.ISFORMULA('Month-End'!$EL$12))),N('Month-End'!$EL$12),IF(OR($E145="open",$E144="pre"),N(Settings!$C$24),N($AJ144))))</f>
        <v/>
      </c>
      <c r="AK145">
        <f>IF(OR(Settings!$A$25="",$E145="pre"),"",IF(AND('Month-End'!$EL$13&lt;&gt;"",NOT(_xlfn.ISFORMULA('Month-End'!$EL$13))),N('Month-End'!$EL$13),IF(OR($E145="open",$E144="pre"),N(Settings!$C$25),N($AK144))))</f>
        <v/>
      </c>
      <c r="AL145">
        <f>IF(OR(Settings!$A$26="",$E145="pre"),"",IF(AND('Month-End'!$EL$14&lt;&gt;"",NOT(_xlfn.ISFORMULA('Month-End'!$EL$14))),N('Month-End'!$EL$14),IF(OR($E145="open",$E144="pre"),N(Settings!$C$26),N($AL144))))</f>
        <v/>
      </c>
      <c r="AM145">
        <f>IF(OR(Settings!$A$27="",$E145="pre"),"",IF(AND('Month-End'!$EL$15&lt;&gt;"",NOT(_xlfn.ISFORMULA('Month-End'!$EL$15))),N('Month-End'!$EL$15),IF(OR($E145="open",$E144="pre"),N(Settings!$C$27),N($AM144))))</f>
        <v/>
      </c>
      <c r="AN145">
        <f>IF(OR(Settings!$A$28="",$E145="pre"),"",IF(AND('Month-End'!$EL$16&lt;&gt;"",NOT(_xlfn.ISFORMULA('Month-End'!$EL$16))),N('Month-End'!$EL$16),IF(OR($E145="open",$E144="pre"),N(Settings!$C$28),N($AN144))))</f>
        <v/>
      </c>
      <c r="AO145">
        <f>IF(OR(Settings!$A$29="",$E145="pre"),"",IF(AND('Month-End'!$EL$17&lt;&gt;"",NOT(_xlfn.ISFORMULA('Month-End'!$EL$17))),N('Month-End'!$EL$17),IF(OR($E145="open",$E144="pre"),N(Settings!$C$29),N($AO144))))</f>
        <v/>
      </c>
      <c r="AP145">
        <f>IF(OR(Settings!$A$30="",$E145="pre"),"",IF(AND('Month-End'!$EL$18&lt;&gt;"",NOT(_xlfn.ISFORMULA('Month-End'!$EL$18))),N('Month-End'!$EL$18),IF(OR($E145="open",$E144="pre"),N(Settings!$C$30),N($AP144))))</f>
        <v/>
      </c>
      <c r="AQ145">
        <f>IF(OR(Settings!$A$31="",$E145="pre"),"",IF(AND('Month-End'!$EL$19&lt;&gt;"",NOT(_xlfn.ISFORMULA('Month-End'!$EL$19))),N('Month-End'!$EL$19),IF(OR($E145="open",$E144="pre"),N(Settings!$C$31),N($AQ144))))</f>
        <v/>
      </c>
      <c r="AR145">
        <f>IF(OR(Settings!$A$32="",$E145="pre"),"",IF(AND('Month-End'!$EL$20&lt;&gt;"",NOT(_xlfn.ISFORMULA('Month-End'!$EL$20))),N('Month-End'!$EL$20),IF(OR($E145="open",$E144="pre"),N(Settings!$C$32),N($AR144))))</f>
        <v/>
      </c>
      <c r="AS145">
        <f>IF(OR(Settings!$A$36="",$E145="pre"),"",IF(AND('Month-End'!$EL$38&lt;&gt;"",NOT(_xlfn.ISFORMULA('Month-End'!$EL$38))),N('Month-End'!$EL$38),IF(OR($E145="open",$E144="pre"),N(Settings!$C$36),N($AS144))+$AY145))</f>
        <v/>
      </c>
      <c r="AT145">
        <f>IF(OR(Settings!$A$37="",$E145="pre"),"",IF(AND('Month-End'!$EL$39&lt;&gt;"",NOT(_xlfn.ISFORMULA('Month-End'!$EL$39))),N('Month-End'!$EL$39),IF(OR($E145="open",$E144="pre"),N(Settings!$C$37),N($AT144))+$AZ145))</f>
        <v/>
      </c>
      <c r="AU145">
        <f>IF(OR(Settings!$A$38="",$E145="pre"),"",IF(AND('Month-End'!$EL$40&lt;&gt;"",NOT(_xlfn.ISFORMULA('Month-End'!$EL$40))),N('Month-End'!$EL$40),IF(OR($E145="open",$E144="pre"),N(Settings!$C$38),N($AU144))+$BA145))</f>
        <v/>
      </c>
      <c r="AV145">
        <f>IF(OR(Settings!$A$39="",$E145="pre"),"",IF(AND('Month-End'!$EL$41&lt;&gt;"",NOT(_xlfn.ISFORMULA('Month-End'!$EL$41))),N('Month-End'!$EL$41),IF(OR($E145="open",$E144="pre"),N(Settings!$C$39),N($AV144))+$BB145))</f>
        <v/>
      </c>
      <c r="AW145">
        <f>IF(OR(Settings!$A$40="",$E145="pre"),"",IF(AND('Month-End'!$EL$42&lt;&gt;"",NOT(_xlfn.ISFORMULA('Month-End'!$EL$42))),N('Month-End'!$EL$42),IF(OR($E145="open",$E144="pre"),N(Settings!$C$40),N($AW144))+$BC145))</f>
        <v/>
      </c>
      <c r="AX145">
        <f>IF(OR(Settings!$A$41="",$E145="pre"),"",IF(AND('Month-End'!$EL$43&lt;&gt;"",NOT(_xlfn.ISFORMULA('Month-End'!$EL$43))),N('Month-End'!$EL$43),IF(OR($E145="open",$E144="pre"),N(Settings!$C$41),N($AX144))+$BD145))</f>
        <v/>
      </c>
      <c r="AY145">
        <f>IF($E145="pre",0,N('Month-End'!$EL$45))</f>
        <v/>
      </c>
      <c r="AZ145">
        <f>IF($E145="pre",0,N('Month-End'!$EL$46))</f>
        <v/>
      </c>
      <c r="BA145">
        <f>IF($E145="pre",0,N('Month-End'!$EL$47))</f>
        <v/>
      </c>
      <c r="BB145">
        <f>IF($E145="pre",0,N('Month-End'!$EL$48))</f>
        <v/>
      </c>
      <c r="BC145">
        <f>IF($E145="pre",0,N('Month-End'!$EL$49))</f>
        <v/>
      </c>
      <c r="BD145">
        <f>IF($E145="pre",0,N('Month-End'!$EL$50))</f>
        <v/>
      </c>
      <c r="BE145">
        <f>IF(OR(Settings!$C$45="",Settings!$D$45=""),0,Settings!$C$45*IF(Settings!$D$45="Weekly",IF(IFERROR(MATCH(Settings!$E$45,$EO$4:$EO$10,0),0)=0,0,IF(MIN($C145,IF(Settings!$G$45="",$C145,Settings!$G$45))&lt;MAX($A145,Settings!$F$45),0,INT((MIN($C145,IF(Settings!$G$45="",$C145,Settings!$G$45))-MAX($A145,Settings!$F$45)-MOD(IFERROR(MATCH(Settings!$E$45,$EO$4:$EO$10,0),0)-WEEKDAY(MAX($A145,Settings!$F$45)),7))/7)+1)),IF(AND(IF(Settings!$E$45="",$B145,DATE(YEAR($A145),MONTH($A145),MIN(Settings!$E$45,DAY($B145))))&gt;=MAX($A145,Settings!$F$45),IF(Settings!$E$45="",$B145,DATE(YEAR($A145),MONTH($A145),MIN(Settings!$E$45,DAY($B145))))&lt;=MIN($C145,IF(Settings!$G$45="",$C145,Settings!$G$45))),1,0)))</f>
        <v/>
      </c>
      <c r="BF145">
        <f>IF(OR(Settings!$C$46="",Settings!$D$46=""),0,Settings!$C$46*IF(Settings!$D$46="Weekly",IF(IFERROR(MATCH(Settings!$E$46,$EO$4:$EO$10,0),0)=0,0,IF(MIN($C145,IF(Settings!$G$46="",$C145,Settings!$G$46))&lt;MAX($A145,Settings!$F$46),0,INT((MIN($C145,IF(Settings!$G$46="",$C145,Settings!$G$46))-MAX($A145,Settings!$F$46)-MOD(IFERROR(MATCH(Settings!$E$46,$EO$4:$EO$10,0),0)-WEEKDAY(MAX($A145,Settings!$F$46)),7))/7)+1)),IF(AND(IF(Settings!$E$46="",$B145,DATE(YEAR($A145),MONTH($A145),MIN(Settings!$E$46,DAY($B145))))&gt;=MAX($A145,Settings!$F$46),IF(Settings!$E$46="",$B145,DATE(YEAR($A145),MONTH($A145),MIN(Settings!$E$46,DAY($B145))))&lt;=MIN($C145,IF(Settings!$G$46="",$C145,Settings!$G$46))),1,0)))</f>
        <v/>
      </c>
      <c r="BG145">
        <f>IF(OR(Settings!$C$47="",Settings!$D$47=""),0,Settings!$C$47*IF(Settings!$D$47="Weekly",IF(IFERROR(MATCH(Settings!$E$47,$EO$4:$EO$10,0),0)=0,0,IF(MIN($C145,IF(Settings!$G$47="",$C145,Settings!$G$47))&lt;MAX($A145,Settings!$F$47),0,INT((MIN($C145,IF(Settings!$G$47="",$C145,Settings!$G$47))-MAX($A145,Settings!$F$47)-MOD(IFERROR(MATCH(Settings!$E$47,$EO$4:$EO$10,0),0)-WEEKDAY(MAX($A145,Settings!$F$47)),7))/7)+1)),IF(AND(IF(Settings!$E$47="",$B145,DATE(YEAR($A145),MONTH($A145),MIN(Settings!$E$47,DAY($B145))))&gt;=MAX($A145,Settings!$F$47),IF(Settings!$E$47="",$B145,DATE(YEAR($A145),MONTH($A145),MIN(Settings!$E$47,DAY($B145))))&lt;=MIN($C145,IF(Settings!$G$47="",$C145,Settings!$G$47))),1,0)))</f>
        <v/>
      </c>
      <c r="BH145">
        <f>IF(OR(Settings!$C$48="",Settings!$D$48=""),0,Settings!$C$48*IF(Settings!$D$48="Weekly",IF(IFERROR(MATCH(Settings!$E$48,$EO$4:$EO$10,0),0)=0,0,IF(MIN($C145,IF(Settings!$G$48="",$C145,Settings!$G$48))&lt;MAX($A145,Settings!$F$48),0,INT((MIN($C145,IF(Settings!$G$48="",$C145,Settings!$G$48))-MAX($A145,Settings!$F$48)-MOD(IFERROR(MATCH(Settings!$E$48,$EO$4:$EO$10,0),0)-WEEKDAY(MAX($A145,Settings!$F$48)),7))/7)+1)),IF(AND(IF(Settings!$E$48="",$B145,DATE(YEAR($A145),MONTH($A145),MIN(Settings!$E$48,DAY($B145))))&gt;=MAX($A145,Settings!$F$48),IF(Settings!$E$48="",$B145,DATE(YEAR($A145),MONTH($A145),MIN(Settings!$E$48,DAY($B145))))&lt;=MIN($C145,IF(Settings!$G$48="",$C145,Settings!$G$48))),1,0)))</f>
        <v/>
      </c>
      <c r="BI145">
        <f>IF(OR(Settings!$C$49="",Settings!$D$49=""),0,Settings!$C$49*IF(Settings!$D$49="Weekly",IF(IFERROR(MATCH(Settings!$E$49,$EO$4:$EO$10,0),0)=0,0,IF(MIN($C145,IF(Settings!$G$49="",$C145,Settings!$G$49))&lt;MAX($A145,Settings!$F$49),0,INT((MIN($C145,IF(Settings!$G$49="",$C145,Settings!$G$49))-MAX($A145,Settings!$F$49)-MOD(IFERROR(MATCH(Settings!$E$49,$EO$4:$EO$10,0),0)-WEEKDAY(MAX($A145,Settings!$F$49)),7))/7)+1)),IF(AND(IF(Settings!$E$49="",$B145,DATE(YEAR($A145),MONTH($A145),MIN(Settings!$E$49,DAY($B145))))&gt;=MAX($A145,Settings!$F$49),IF(Settings!$E$49="",$B145,DATE(YEAR($A145),MONTH($A145),MIN(Settings!$E$49,DAY($B145))))&lt;=MIN($C145,IF(Settings!$G$49="",$C145,Settings!$G$49))),1,0)))</f>
        <v/>
      </c>
      <c r="BJ145">
        <f>IF(OR(Settings!$C$50="",Settings!$D$50=""),0,Settings!$C$50*IF(Settings!$D$50="Weekly",IF(IFERROR(MATCH(Settings!$E$50,$EO$4:$EO$10,0),0)=0,0,IF(MIN($C145,IF(Settings!$G$50="",$C145,Settings!$G$50))&lt;MAX($A145,Settings!$F$50),0,INT((MIN($C145,IF(Settings!$G$50="",$C145,Settings!$G$50))-MAX($A145,Settings!$F$50)-MOD(IFERROR(MATCH(Settings!$E$50,$EO$4:$EO$10,0),0)-WEEKDAY(MAX($A145,Settings!$F$50)),7))/7)+1)),IF(AND(IF(Settings!$E$50="",$B145,DATE(YEAR($A145),MONTH($A145),MIN(Settings!$E$50,DAY($B145))))&gt;=MAX($A145,Settings!$F$50),IF(Settings!$E$50="",$B145,DATE(YEAR($A145),MONTH($A145),MIN(Settings!$E$50,DAY($B145))))&lt;=MIN($C145,IF(Settings!$G$50="",$C145,Settings!$G$50))),1,0)))</f>
        <v/>
      </c>
      <c r="BK145">
        <f>IF(OR(Settings!$C$51="",Settings!$D$51=""),0,Settings!$C$51*IF(Settings!$D$51="Weekly",IF(IFERROR(MATCH(Settings!$E$51,$EO$4:$EO$10,0),0)=0,0,IF(MIN($C145,IF(Settings!$G$51="",$C145,Settings!$G$51))&lt;MAX($A145,Settings!$F$51),0,INT((MIN($C145,IF(Settings!$G$51="",$C145,Settings!$G$51))-MAX($A145,Settings!$F$51)-MOD(IFERROR(MATCH(Settings!$E$51,$EO$4:$EO$10,0),0)-WEEKDAY(MAX($A145,Settings!$F$51)),7))/7)+1)),IF(AND(IF(Settings!$E$51="",$B145,DATE(YEAR($A145),MONTH($A145),MIN(Settings!$E$51,DAY($B145))))&gt;=MAX($A145,Settings!$F$51),IF(Settings!$E$51="",$B145,DATE(YEAR($A145),MONTH($A145),MIN(Settings!$E$51,DAY($B145))))&lt;=MIN($C145,IF(Settings!$G$51="",$C145,Settings!$G$51))),1,0)))</f>
        <v/>
      </c>
      <c r="BL145">
        <f>IF(OR(Settings!$C$52="",Settings!$D$52=""),0,Settings!$C$52*IF(Settings!$D$52="Weekly",IF(IFERROR(MATCH(Settings!$E$52,$EO$4:$EO$10,0),0)=0,0,IF(MIN($C145,IF(Settings!$G$52="",$C145,Settings!$G$52))&lt;MAX($A145,Settings!$F$52),0,INT((MIN($C145,IF(Settings!$G$52="",$C145,Settings!$G$52))-MAX($A145,Settings!$F$52)-MOD(IFERROR(MATCH(Settings!$E$52,$EO$4:$EO$10,0),0)-WEEKDAY(MAX($A145,Settings!$F$52)),7))/7)+1)),IF(AND(IF(Settings!$E$52="",$B145,DATE(YEAR($A145),MONTH($A145),MIN(Settings!$E$52,DAY($B145))))&gt;=MAX($A145,Settings!$F$52),IF(Settings!$E$52="",$B145,DATE(YEAR($A145),MONTH($A145),MIN(Settings!$E$52,DAY($B145))))&lt;=MIN($C145,IF(Settings!$G$52="",$C145,Settings!$G$52))),1,0)))</f>
        <v/>
      </c>
      <c r="BM145">
        <f>IF(OR(Settings!$C$53="",Settings!$D$53=""),0,Settings!$C$53*IF(Settings!$D$53="Weekly",IF(IFERROR(MATCH(Settings!$E$53,$EO$4:$EO$10,0),0)=0,0,IF(MIN($C145,IF(Settings!$G$53="",$C145,Settings!$G$53))&lt;MAX($A145,Settings!$F$53),0,INT((MIN($C145,IF(Settings!$G$53="",$C145,Settings!$G$53))-MAX($A145,Settings!$F$53)-MOD(IFERROR(MATCH(Settings!$E$53,$EO$4:$EO$10,0),0)-WEEKDAY(MAX($A145,Settings!$F$53)),7))/7)+1)),IF(AND(IF(Settings!$E$53="",$B145,DATE(YEAR($A145),MONTH($A145),MIN(Settings!$E$53,DAY($B145))))&gt;=MAX($A145,Settings!$F$53),IF(Settings!$E$53="",$B145,DATE(YEAR($A145),MONTH($A145),MIN(Settings!$E$53,DAY($B145))))&lt;=MIN($C145,IF(Settings!$G$53="",$C145,Settings!$G$53))),1,0)))</f>
        <v/>
      </c>
      <c r="BN145">
        <f>IF(OR(Settings!$C$54="",Settings!$D$54=""),0,Settings!$C$54*IF(Settings!$D$54="Weekly",IF(IFERROR(MATCH(Settings!$E$54,$EO$4:$EO$10,0),0)=0,0,IF(MIN($C145,IF(Settings!$G$54="",$C145,Settings!$G$54))&lt;MAX($A145,Settings!$F$54),0,INT((MIN($C145,IF(Settings!$G$54="",$C145,Settings!$G$54))-MAX($A145,Settings!$F$54)-MOD(IFERROR(MATCH(Settings!$E$54,$EO$4:$EO$10,0),0)-WEEKDAY(MAX($A145,Settings!$F$54)),7))/7)+1)),IF(AND(IF(Settings!$E$54="",$B145,DATE(YEAR($A145),MONTH($A145),MIN(Settings!$E$54,DAY($B145))))&gt;=MAX($A145,Settings!$F$54),IF(Settings!$E$54="",$B145,DATE(YEAR($A145),MONTH($A145),MIN(Settings!$E$54,DAY($B145))))&lt;=MIN($C145,IF(Settings!$G$54="",$C145,Settings!$G$54))),1,0)))</f>
        <v/>
      </c>
      <c r="BO145">
        <f>IF(OR(Settings!$C$55="",Settings!$D$55=""),0,Settings!$C$55*IF(Settings!$D$55="Weekly",IF(IFERROR(MATCH(Settings!$E$55,$EO$4:$EO$10,0),0)=0,0,IF(MIN($C145,IF(Settings!$G$55="",$C145,Settings!$G$55))&lt;MAX($A145,Settings!$F$55),0,INT((MIN($C145,IF(Settings!$G$55="",$C145,Settings!$G$55))-MAX($A145,Settings!$F$55)-MOD(IFERROR(MATCH(Settings!$E$55,$EO$4:$EO$10,0),0)-WEEKDAY(MAX($A145,Settings!$F$55)),7))/7)+1)),IF(AND(IF(Settings!$E$55="",$B145,DATE(YEAR($A145),MONTH($A145),MIN(Settings!$E$55,DAY($B145))))&gt;=MAX($A145,Settings!$F$55),IF(Settings!$E$55="",$B145,DATE(YEAR($A145),MONTH($A145),MIN(Settings!$E$55,DAY($B145))))&lt;=MIN($C145,IF(Settings!$G$55="",$C145,Settings!$G$55))),1,0)))</f>
        <v/>
      </c>
      <c r="BP145">
        <f>IF(OR(Settings!$C$56="",Settings!$D$56=""),0,Settings!$C$56*IF(Settings!$D$56="Weekly",IF(IFERROR(MATCH(Settings!$E$56,$EO$4:$EO$10,0),0)=0,0,IF(MIN($C145,IF(Settings!$G$56="",$C145,Settings!$G$56))&lt;MAX($A145,Settings!$F$56),0,INT((MIN($C145,IF(Settings!$G$56="",$C145,Settings!$G$56))-MAX($A145,Settings!$F$56)-MOD(IFERROR(MATCH(Settings!$E$56,$EO$4:$EO$10,0),0)-WEEKDAY(MAX($A145,Settings!$F$56)),7))/7)+1)),IF(AND(IF(Settings!$E$56="",$B145,DATE(YEAR($A145),MONTH($A145),MIN(Settings!$E$56,DAY($B145))))&gt;=MAX($A145,Settings!$F$56),IF(Settings!$E$56="",$B145,DATE(YEAR($A145),MONTH($A145),MIN(Settings!$E$56,DAY($B145))))&lt;=MIN($C145,IF(Settings!$G$56="",$C145,Settings!$G$56))),1,0)))</f>
        <v/>
      </c>
      <c r="BQ145">
        <f>IF(OR(Settings!$B$14="",$D145=1,$E145="pre",$A145&lt;IF(Settings!$B$15="",0,Settings!$B$15)),0,Settings!$B$14)</f>
        <v/>
      </c>
      <c r="BR145">
        <f>IF(AND('Month-End'!$EL$7&lt;&gt;"",NOT(_xlfn.ISFORMULA('Month-End'!$EL$7))),1,0)</f>
        <v/>
      </c>
      <c r="BS145">
        <f>IF(AND('Month-End'!$EL$8&lt;&gt;"",NOT(_xlfn.ISFORMULA('Month-End'!$EL$8))),1,0)</f>
        <v/>
      </c>
      <c r="BT145">
        <f>IF(AND('Month-End'!$EL$9&lt;&gt;"",NOT(_xlfn.ISFORMULA('Month-End'!$EL$9))),1,0)</f>
        <v/>
      </c>
      <c r="BU145">
        <f>IF(AND('Month-End'!$EL$10&lt;&gt;"",NOT(_xlfn.ISFORMULA('Month-End'!$EL$10))),1,0)</f>
        <v/>
      </c>
      <c r="BV145">
        <f>IF(AND('Month-End'!$EL$11&lt;&gt;"",NOT(_xlfn.ISFORMULA('Month-End'!$EL$11))),1,0)</f>
        <v/>
      </c>
      <c r="BW145">
        <f>IF(AND('Month-End'!$EL$12&lt;&gt;"",NOT(_xlfn.ISFORMULA('Month-End'!$EL$12))),1,0)</f>
        <v/>
      </c>
      <c r="BX145">
        <f>IF(AND('Month-End'!$EL$13&lt;&gt;"",NOT(_xlfn.ISFORMULA('Month-End'!$EL$13))),1,0)</f>
        <v/>
      </c>
      <c r="BY145">
        <f>IF(AND('Month-End'!$EL$14&lt;&gt;"",NOT(_xlfn.ISFORMULA('Month-End'!$EL$14))),1,0)</f>
        <v/>
      </c>
      <c r="BZ145">
        <f>IF(AND('Month-End'!$EL$15&lt;&gt;"",NOT(_xlfn.ISFORMULA('Month-End'!$EL$15))),1,0)</f>
        <v/>
      </c>
      <c r="CA145">
        <f>IF(AND('Month-End'!$EL$16&lt;&gt;"",NOT(_xlfn.ISFORMULA('Month-End'!$EL$16))),1,0)</f>
        <v/>
      </c>
      <c r="CB145">
        <f>IF(AND('Month-End'!$EL$17&lt;&gt;"",NOT(_xlfn.ISFORMULA('Month-End'!$EL$17))),1,0)</f>
        <v/>
      </c>
      <c r="CC145">
        <f>IF(AND('Month-End'!$EL$18&lt;&gt;"",NOT(_xlfn.ISFORMULA('Month-End'!$EL$18))),1,0)</f>
        <v/>
      </c>
      <c r="CD145">
        <f>IF(AND('Month-End'!$EL$19&lt;&gt;"",NOT(_xlfn.ISFORMULA('Month-End'!$EL$19))),1,0)</f>
        <v/>
      </c>
      <c r="CE145">
        <f>IF(AND('Month-End'!$EL$20&lt;&gt;"",NOT(_xlfn.ISFORMULA('Month-End'!$EL$20))),1,0)</f>
        <v/>
      </c>
      <c r="CF145">
        <f>IF(AND('Month-End'!$EL$38&lt;&gt;"",NOT(_xlfn.ISFORMULA('Month-End'!$EL$38))),1,0)</f>
        <v/>
      </c>
      <c r="CG145">
        <f>IF(AND('Month-End'!$EL$39&lt;&gt;"",NOT(_xlfn.ISFORMULA('Month-End'!$EL$39))),1,0)</f>
        <v/>
      </c>
      <c r="CH145">
        <f>IF(AND('Month-End'!$EL$40&lt;&gt;"",NOT(_xlfn.ISFORMULA('Month-End'!$EL$40))),1,0)</f>
        <v/>
      </c>
      <c r="CI145">
        <f>IF(AND('Month-End'!$EL$41&lt;&gt;"",NOT(_xlfn.ISFORMULA('Month-End'!$EL$41))),1,0)</f>
        <v/>
      </c>
      <c r="CJ145">
        <f>IF(AND('Month-End'!$EL$42&lt;&gt;"",NOT(_xlfn.ISFORMULA('Month-End'!$EL$42))),1,0)</f>
        <v/>
      </c>
      <c r="CK145">
        <f>IF(AND('Month-End'!$EL$43&lt;&gt;"",NOT(_xlfn.ISFORMULA('Month-End'!$EL$43))),1,0)</f>
        <v/>
      </c>
      <c r="CL145">
        <f>SUM($CM145:$CZ145)</f>
        <v/>
      </c>
      <c r="CM145">
        <f>IF(AND($E145&lt;&gt;"pre",AND(Settings!$A$19&lt;&gt;"",Settings!$E$19&lt;&gt;"No"),Settings!$F$19="Yes",NOT(AND('Month-End'!$EL$7&lt;&gt;"",NOT(_xlfn.ISFORMULA('Month-End'!$EL$7))))),1,0)</f>
        <v/>
      </c>
      <c r="CN145">
        <f>IF(AND($E145&lt;&gt;"pre",AND(Settings!$A$20&lt;&gt;"",Settings!$E$20&lt;&gt;"No"),Settings!$F$20="Yes",NOT(AND('Month-End'!$EL$8&lt;&gt;"",NOT(_xlfn.ISFORMULA('Month-End'!$EL$8))))),1,0)</f>
        <v/>
      </c>
      <c r="CO145">
        <f>IF(AND($E145&lt;&gt;"pre",AND(Settings!$A$21&lt;&gt;"",Settings!$E$21&lt;&gt;"No"),Settings!$F$21="Yes",NOT(AND('Month-End'!$EL$9&lt;&gt;"",NOT(_xlfn.ISFORMULA('Month-End'!$EL$9))))),1,0)</f>
        <v/>
      </c>
      <c r="CP145">
        <f>IF(AND($E145&lt;&gt;"pre",AND(Settings!$A$22&lt;&gt;"",Settings!$E$22&lt;&gt;"No"),Settings!$F$22="Yes",NOT(AND('Month-End'!$EL$10&lt;&gt;"",NOT(_xlfn.ISFORMULA('Month-End'!$EL$10))))),1,0)</f>
        <v/>
      </c>
      <c r="CQ145">
        <f>IF(AND($E145&lt;&gt;"pre",AND(Settings!$A$23&lt;&gt;"",Settings!$E$23&lt;&gt;"No"),Settings!$F$23="Yes",NOT(AND('Month-End'!$EL$11&lt;&gt;"",NOT(_xlfn.ISFORMULA('Month-End'!$EL$11))))),1,0)</f>
        <v/>
      </c>
      <c r="CR145">
        <f>IF(AND($E145&lt;&gt;"pre",AND(Settings!$A$24&lt;&gt;"",Settings!$E$24&lt;&gt;"No"),Settings!$F$24="Yes",NOT(AND('Month-End'!$EL$12&lt;&gt;"",NOT(_xlfn.ISFORMULA('Month-End'!$EL$12))))),1,0)</f>
        <v/>
      </c>
      <c r="CS145">
        <f>IF(AND($E145&lt;&gt;"pre",AND(Settings!$A$25&lt;&gt;"",Settings!$E$25&lt;&gt;"No"),Settings!$F$25="Yes",NOT(AND('Month-End'!$EL$13&lt;&gt;"",NOT(_xlfn.ISFORMULA('Month-End'!$EL$13))))),1,0)</f>
        <v/>
      </c>
      <c r="CT145">
        <f>IF(AND($E145&lt;&gt;"pre",AND(Settings!$A$26&lt;&gt;"",Settings!$E$26&lt;&gt;"No"),Settings!$F$26="Yes",NOT(AND('Month-End'!$EL$14&lt;&gt;"",NOT(_xlfn.ISFORMULA('Month-End'!$EL$14))))),1,0)</f>
        <v/>
      </c>
      <c r="CU145">
        <f>IF(AND($E145&lt;&gt;"pre",AND(Settings!$A$27&lt;&gt;"",Settings!$E$27&lt;&gt;"No"),Settings!$F$27="Yes",NOT(AND('Month-End'!$EL$15&lt;&gt;"",NOT(_xlfn.ISFORMULA('Month-End'!$EL$15))))),1,0)</f>
        <v/>
      </c>
      <c r="CV145">
        <f>IF(AND($E145&lt;&gt;"pre",AND(Settings!$A$28&lt;&gt;"",Settings!$E$28&lt;&gt;"No"),Settings!$F$28="Yes",NOT(AND('Month-End'!$EL$16&lt;&gt;"",NOT(_xlfn.ISFORMULA('Month-End'!$EL$16))))),1,0)</f>
        <v/>
      </c>
      <c r="CW145">
        <f>IF(AND($E145&lt;&gt;"pre",AND(Settings!$A$29&lt;&gt;"",Settings!$E$29&lt;&gt;"No"),Settings!$F$29="Yes",NOT(AND('Month-End'!$EL$17&lt;&gt;"",NOT(_xlfn.ISFORMULA('Month-End'!$EL$17))))),1,0)</f>
        <v/>
      </c>
      <c r="CX145">
        <f>IF(AND($E145&lt;&gt;"pre",AND(Settings!$A$30&lt;&gt;"",Settings!$E$30&lt;&gt;"No"),Settings!$F$30="Yes",NOT(AND('Month-End'!$EL$18&lt;&gt;"",NOT(_xlfn.ISFORMULA('Month-End'!$EL$18))))),1,0)</f>
        <v/>
      </c>
      <c r="CY145">
        <f>IF(AND($E145&lt;&gt;"pre",AND(Settings!$A$31&lt;&gt;"",Settings!$E$31&lt;&gt;"No"),Settings!$F$31="Yes",NOT(AND('Month-End'!$EL$19&lt;&gt;"",NOT(_xlfn.ISFORMULA('Month-End'!$EL$19))))),1,0)</f>
        <v/>
      </c>
      <c r="CZ145">
        <f>IF(AND($E145&lt;&gt;"pre",AND(Settings!$A$32&lt;&gt;"",Settings!$E$32&lt;&gt;"No"),Settings!$F$32="Yes",NOT(AND('Month-End'!$EL$20&lt;&gt;"",NOT(_xlfn.ISFORMULA('Month-End'!$EL$20))))),1,0)</f>
        <v/>
      </c>
      <c r="DA145">
        <f>IF($DT145=1,IF(OR(Settings!$B$19="Checking",Settings!$B$19="Savings",Settings!$B$19="Cash"),N($AE145),IF(OR(Settings!$B$19="Card",Settings!$B$19="Loan"),-N($AE145),0))+IF(OR(Settings!$B$20="Checking",Settings!$B$20="Savings",Settings!$B$20="Cash"),N($AF145),IF(OR(Settings!$B$20="Card",Settings!$B$20="Loan"),-N($AF145),0))+IF(OR(Settings!$B$21="Checking",Settings!$B$21="Savings",Settings!$B$21="Cash"),N($AG145),IF(OR(Settings!$B$21="Card",Settings!$B$21="Loan"),-N($AG145),0))+IF(OR(Settings!$B$22="Checking",Settings!$B$22="Savings",Settings!$B$22="Cash"),N($AH145),IF(OR(Settings!$B$22="Card",Settings!$B$22="Loan"),-N($AH145),0))+IF(OR(Settings!$B$23="Checking",Settings!$B$23="Savings",Settings!$B$23="Cash"),N($AI145),IF(OR(Settings!$B$23="Card",Settings!$B$23="Loan"),-N($AI145),0))+IF(OR(Settings!$B$24="Checking",Settings!$B$24="Savings",Settings!$B$24="Cash"),N($AJ145),IF(OR(Settings!$B$24="Card",Settings!$B$24="Loan"),-N($AJ145),0))+IF(OR(Settings!$B$25="Checking",Settings!$B$25="Savings",Settings!$B$25="Cash"),N($AK145),IF(OR(Settings!$B$25="Card",Settings!$B$25="Loan"),-N($AK145),0))+IF(OR(Settings!$B$26="Checking",Settings!$B$26="Savings",Settings!$B$26="Cash"),N($AL145),IF(OR(Settings!$B$26="Card",Settings!$B$26="Loan"),-N($AL145),0))+IF(OR(Settings!$B$27="Checking",Settings!$B$27="Savings",Settings!$B$27="Cash"),N($AM145),IF(OR(Settings!$B$27="Card",Settings!$B$27="Loan"),-N($AM145),0))+IF(OR(Settings!$B$28="Checking",Settings!$B$28="Savings",Settings!$B$28="Cash"),N($AN145),IF(OR(Settings!$B$28="Card",Settings!$B$28="Loan"),-N($AN145),0))+IF(OR(Settings!$B$29="Checking",Settings!$B$29="Savings",Settings!$B$29="Cash"),N($AO145),IF(OR(Settings!$B$29="Card",Settings!$B$29="Loan"),-N($AO145),0))+IF(OR(Settings!$B$30="Checking",Settings!$B$30="Savings",Settings!$B$30="Cash"),N($AP145),IF(OR(Settings!$B$30="Card",Settings!$B$30="Loan"),-N($AP145),0))+IF(OR(Settings!$B$31="Checking",Settings!$B$31="Savings",Settings!$B$31="Cash"),N($AQ145),IF(OR(Settings!$B$31="Card",Settings!$B$31="Loan"),-N($AQ145),0))+IF(OR(Settings!$B$32="Checking",Settings!$B$32="Savings",Settings!$B$32="Cash"),N($AR145),IF(OR(Settings!$B$32="Card",Settings!$B$32="Loan"),-N($AR145),0)),"")</f>
        <v/>
      </c>
      <c r="DB145">
        <f>IF($E145="open",$EB$27,IF($E145="post",IF($E144="pre",$EB$27,$DA144),""))</f>
        <v/>
      </c>
      <c r="DC145">
        <f>IF($E145="open",1,IF($E145="post",IF($E144="pre",1,$DT144),0))</f>
        <v/>
      </c>
      <c r="DD145">
        <f>IF(AND($DT145=1,$DC145=1),ROUND($W145-($DA145-$DB145)-$AD145-$AB145,2),"")</f>
        <v/>
      </c>
      <c r="DE145">
        <f>IF('Month-End'!$EL$35="",$BQ145,N('Month-End'!$EL$35))</f>
        <v/>
      </c>
      <c r="DF145">
        <f>N('Month-End'!$EL$36)</f>
        <v/>
      </c>
      <c r="DG145">
        <f>IF($DD145="","",$DD145+$DE145)</f>
        <v/>
      </c>
      <c r="DH145">
        <f>IF($DG145="","",$DG145-$DF145)</f>
        <v/>
      </c>
      <c r="DI145">
        <f>IF(OR($E145="pre",$D145=1),"",N($AS145)+N($AT145)+N($AU145)+N($AV145)+N($AW145)+N($AX145))</f>
        <v/>
      </c>
      <c r="DJ145">
        <f>IF($DT145=1,$DA145+N($DI145),"")</f>
        <v/>
      </c>
      <c r="DK145">
        <f>IF($DD145="","",$W145-$DD145-$AB145)</f>
        <v/>
      </c>
      <c r="DL145">
        <f>IF(AND($E145="post",$DD145&lt;&gt;"",$B145&lt;TODAY()),1,0)</f>
        <v/>
      </c>
      <c r="DM145">
        <f>IF($DL145=1,COUNTIF($DL145:$DL$183,1),0)</f>
        <v/>
      </c>
      <c r="DN145">
        <f>IF($D145=1,"",IF($E145="pre","History only",IF($DT145=1,IF($DD145="","⚠ Previous month missing",IF($DD145&lt;0,"⚠ Check: spending &lt; 0",IF($E145="open","✓ Done (partial)","✓ Done"))),IF($B145&gt;=TODAY(),"In progress","⚠ Needs balances"))))</f>
        <v/>
      </c>
      <c r="DO145">
        <f>YEAR($A145)</f>
        <v/>
      </c>
      <c r="DP145">
        <f>DATE(YEAR($A145),INT((MONTH($A145)-1)/3)*3+1,1)</f>
        <v/>
      </c>
      <c r="DQ145">
        <f>IF(AND($DT145=1,$DD145&lt;&gt;"",$D145=0),ROW(),0)</f>
        <v/>
      </c>
      <c r="DR145">
        <f>IF(AND($E145&lt;&gt;"pre",$B145&lt;TODAY(),$DT145=0),1,0)</f>
        <v/>
      </c>
      <c r="DS145">
        <f>IF($DJ145="",NA(),$DJ145)</f>
        <v/>
      </c>
      <c r="DT145">
        <f>IF(AND($E145&lt;&gt;"pre",$CL145=0,COUNTIFS(Settings!$F$19:$F$32,"Yes",Settings!$A$19:$A$32,"&lt;&gt;",Settings!$E$19:$E$32,"&lt;&gt;No")&gt;0),1,0)</f>
        <v/>
      </c>
      <c r="DU145">
        <f>IF(AND($B145&lt;TODAY(),$S145&gt;0),1,0)</f>
        <v/>
      </c>
      <c r="DV145">
        <f>IF($DU145=1,COUNTIF($DU145:$DU$183,1),0)</f>
        <v/>
      </c>
      <c r="DW145">
        <f>IF(AND(OR(Settings!$B$19="Card",Settings!$B$19="Loan"),AND('Month-End'!$EL$7&lt;&gt;"",NOT(_xlfn.ISFORMULA('Month-End'!$EL$7)))),IF(N('Month-End'!$EL$7)&lt;0,1,0),0)+IF(AND(OR(Settings!$B$20="Card",Settings!$B$20="Loan"),AND('Month-End'!$EL$8&lt;&gt;"",NOT(_xlfn.ISFORMULA('Month-End'!$EL$8)))),IF(N('Month-End'!$EL$8)&lt;0,1,0),0)+IF(AND(OR(Settings!$B$21="Card",Settings!$B$21="Loan"),AND('Month-End'!$EL$9&lt;&gt;"",NOT(_xlfn.ISFORMULA('Month-End'!$EL$9)))),IF(N('Month-End'!$EL$9)&lt;0,1,0),0)+IF(AND(OR(Settings!$B$22="Card",Settings!$B$22="Loan"),AND('Month-End'!$EL$10&lt;&gt;"",NOT(_xlfn.ISFORMULA('Month-End'!$EL$10)))),IF(N('Month-End'!$EL$10)&lt;0,1,0),0)+IF(AND(OR(Settings!$B$23="Card",Settings!$B$23="Loan"),AND('Month-End'!$EL$11&lt;&gt;"",NOT(_xlfn.ISFORMULA('Month-End'!$EL$11)))),IF(N('Month-End'!$EL$11)&lt;0,1,0),0)+IF(AND(OR(Settings!$B$24="Card",Settings!$B$24="Loan"),AND('Month-End'!$EL$12&lt;&gt;"",NOT(_xlfn.ISFORMULA('Month-End'!$EL$12)))),IF(N('Month-End'!$EL$12)&lt;0,1,0),0)+IF(AND(OR(Settings!$B$25="Card",Settings!$B$25="Loan"),AND('Month-End'!$EL$13&lt;&gt;"",NOT(_xlfn.ISFORMULA('Month-End'!$EL$13)))),IF(N('Month-End'!$EL$13)&lt;0,1,0),0)+IF(AND(OR(Settings!$B$26="Card",Settings!$B$26="Loan"),AND('Month-End'!$EL$14&lt;&gt;"",NOT(_xlfn.ISFORMULA('Month-End'!$EL$14)))),IF(N('Month-End'!$EL$14)&lt;0,1,0),0)+IF(AND(OR(Settings!$B$27="Card",Settings!$B$27="Loan"),AND('Month-End'!$EL$15&lt;&gt;"",NOT(_xlfn.ISFORMULA('Month-End'!$EL$15)))),IF(N('Month-End'!$EL$15)&lt;0,1,0),0)+IF(AND(OR(Settings!$B$28="Card",Settings!$B$28="Loan"),AND('Month-End'!$EL$16&lt;&gt;"",NOT(_xlfn.ISFORMULA('Month-End'!$EL$16)))),IF(N('Month-End'!$EL$16)&lt;0,1,0),0)+IF(AND(OR(Settings!$B$29="Card",Settings!$B$29="Loan"),AND('Month-End'!$EL$17&lt;&gt;"",NOT(_xlfn.ISFORMULA('Month-End'!$EL$17)))),IF(N('Month-End'!$EL$17)&lt;0,1,0),0)+IF(AND(OR(Settings!$B$30="Card",Settings!$B$30="Loan"),AND('Month-End'!$EL$18&lt;&gt;"",NOT(_xlfn.ISFORMULA('Month-End'!$EL$18)))),IF(N('Month-End'!$EL$18)&lt;0,1,0),0)+IF(AND(OR(Settings!$B$31="Card",Settings!$B$31="Loan"),AND('Month-End'!$EL$19&lt;&gt;"",NOT(_xlfn.ISFORMULA('Month-End'!$EL$19)))),IF(N('Month-End'!$EL$19)&lt;0,1,0),0)+IF(AND(OR(Settings!$B$32="Card",Settings!$B$32="Loan"),AND('Month-End'!$EL$20&lt;&gt;"",NOT(_xlfn.ISFORMULA('Month-End'!$EL$20)))),IF(N('Month-End'!$EL$20)&lt;0,1,0),0)</f>
        <v/>
      </c>
      <c r="DX145">
        <f>IF(Settings!$B$36="Retirement",$AY145,0)+IF(Settings!$B$37="Retirement",$AZ145,0)+IF(Settings!$B$38="Retirement",$BA145,0)+IF(Settings!$B$39="Retirement",$BB145,0)+IF(Settings!$B$40="Retirement",$BC145,0)+IF(Settings!$B$41="Retirement",$BD145,0)</f>
        <v/>
      </c>
      <c r="ET145">
        <f>IF($E145&lt;&gt;"open",0,IF(AND('Month-End'!$EL$22&lt;&gt;"",NOT(_xlfn.ISFORMULA('Month-End'!$EL$22))),0,IF(OR(Settings!$C$45="",Settings!$D$45=""),0,Settings!$C$45*IF(Settings!$D$45="Weekly",IF(IFERROR(MATCH(Settings!$E$45,$EO$4:$EO$10,0),0)=0,0,IF(MIN(Settings!$B$5,IF(Settings!$G$45="",Settings!$B$5,Settings!$G$45))&lt;MAX($A145,Settings!$F$45),0,INT((MIN(Settings!$B$5,IF(Settings!$G$45="",Settings!$B$5,Settings!$G$45))-MAX($A145,Settings!$F$45)-MOD(IFERROR(MATCH(Settings!$E$45,$EO$4:$EO$10,0),0)-WEEKDAY(MAX($A145,Settings!$F$45)),7))/7)+1)),IF(AND(IF(Settings!$E$45="",$B145,DATE(YEAR($A145),MONTH($A145),MIN(Settings!$E$45,DAY($B145))))&gt;=MAX($A145,Settings!$F$45),IF(Settings!$E$45="",$B145,DATE(YEAR($A145),MONTH($A145),MIN(Settings!$E$45,DAY($B145))))&lt;=MIN(Settings!$B$5,IF(Settings!$G$45="",Settings!$B$5,Settings!$G$45))),1,0)))))</f>
        <v/>
      </c>
      <c r="EU145">
        <f>IF($E145&lt;&gt;"open",0,IF(AND('Month-End'!$EL$23&lt;&gt;"",NOT(_xlfn.ISFORMULA('Month-End'!$EL$23))),0,IF(OR(Settings!$C$46="",Settings!$D$46=""),0,Settings!$C$46*IF(Settings!$D$46="Weekly",IF(IFERROR(MATCH(Settings!$E$46,$EO$4:$EO$10,0),0)=0,0,IF(MIN(Settings!$B$5,IF(Settings!$G$46="",Settings!$B$5,Settings!$G$46))&lt;MAX($A145,Settings!$F$46),0,INT((MIN(Settings!$B$5,IF(Settings!$G$46="",Settings!$B$5,Settings!$G$46))-MAX($A145,Settings!$F$46)-MOD(IFERROR(MATCH(Settings!$E$46,$EO$4:$EO$10,0),0)-WEEKDAY(MAX($A145,Settings!$F$46)),7))/7)+1)),IF(AND(IF(Settings!$E$46="",$B145,DATE(YEAR($A145),MONTH($A145),MIN(Settings!$E$46,DAY($B145))))&gt;=MAX($A145,Settings!$F$46),IF(Settings!$E$46="",$B145,DATE(YEAR($A145),MONTH($A145),MIN(Settings!$E$46,DAY($B145))))&lt;=MIN(Settings!$B$5,IF(Settings!$G$46="",Settings!$B$5,Settings!$G$46))),1,0)))))</f>
        <v/>
      </c>
      <c r="EV145">
        <f>IF($E145&lt;&gt;"open",0,IF(AND('Month-End'!$EL$24&lt;&gt;"",NOT(_xlfn.ISFORMULA('Month-End'!$EL$24))),0,IF(OR(Settings!$C$47="",Settings!$D$47=""),0,Settings!$C$47*IF(Settings!$D$47="Weekly",IF(IFERROR(MATCH(Settings!$E$47,$EO$4:$EO$10,0),0)=0,0,IF(MIN(Settings!$B$5,IF(Settings!$G$47="",Settings!$B$5,Settings!$G$47))&lt;MAX($A145,Settings!$F$47),0,INT((MIN(Settings!$B$5,IF(Settings!$G$47="",Settings!$B$5,Settings!$G$47))-MAX($A145,Settings!$F$47)-MOD(IFERROR(MATCH(Settings!$E$47,$EO$4:$EO$10,0),0)-WEEKDAY(MAX($A145,Settings!$F$47)),7))/7)+1)),IF(AND(IF(Settings!$E$47="",$B145,DATE(YEAR($A145),MONTH($A145),MIN(Settings!$E$47,DAY($B145))))&gt;=MAX($A145,Settings!$F$47),IF(Settings!$E$47="",$B145,DATE(YEAR($A145),MONTH($A145),MIN(Settings!$E$47,DAY($B145))))&lt;=MIN(Settings!$B$5,IF(Settings!$G$47="",Settings!$B$5,Settings!$G$47))),1,0)))))</f>
        <v/>
      </c>
      <c r="EW145">
        <f>IF($E145&lt;&gt;"open",0,IF(AND('Month-End'!$EL$25&lt;&gt;"",NOT(_xlfn.ISFORMULA('Month-End'!$EL$25))),0,IF(OR(Settings!$C$48="",Settings!$D$48=""),0,Settings!$C$48*IF(Settings!$D$48="Weekly",IF(IFERROR(MATCH(Settings!$E$48,$EO$4:$EO$10,0),0)=0,0,IF(MIN(Settings!$B$5,IF(Settings!$G$48="",Settings!$B$5,Settings!$G$48))&lt;MAX($A145,Settings!$F$48),0,INT((MIN(Settings!$B$5,IF(Settings!$G$48="",Settings!$B$5,Settings!$G$48))-MAX($A145,Settings!$F$48)-MOD(IFERROR(MATCH(Settings!$E$48,$EO$4:$EO$10,0),0)-WEEKDAY(MAX($A145,Settings!$F$48)),7))/7)+1)),IF(AND(IF(Settings!$E$48="",$B145,DATE(YEAR($A145),MONTH($A145),MIN(Settings!$E$48,DAY($B145))))&gt;=MAX($A145,Settings!$F$48),IF(Settings!$E$48="",$B145,DATE(YEAR($A145),MONTH($A145),MIN(Settings!$E$48,DAY($B145))))&lt;=MIN(Settings!$B$5,IF(Settings!$G$48="",Settings!$B$5,Settings!$G$48))),1,0)))))</f>
        <v/>
      </c>
      <c r="EX145">
        <f>IF($E145&lt;&gt;"open",0,IF(AND('Month-End'!$EL$26&lt;&gt;"",NOT(_xlfn.ISFORMULA('Month-End'!$EL$26))),0,IF(OR(Settings!$C$49="",Settings!$D$49=""),0,Settings!$C$49*IF(Settings!$D$49="Weekly",IF(IFERROR(MATCH(Settings!$E$49,$EO$4:$EO$10,0),0)=0,0,IF(MIN(Settings!$B$5,IF(Settings!$G$49="",Settings!$B$5,Settings!$G$49))&lt;MAX($A145,Settings!$F$49),0,INT((MIN(Settings!$B$5,IF(Settings!$G$49="",Settings!$B$5,Settings!$G$49))-MAX($A145,Settings!$F$49)-MOD(IFERROR(MATCH(Settings!$E$49,$EO$4:$EO$10,0),0)-WEEKDAY(MAX($A145,Settings!$F$49)),7))/7)+1)),IF(AND(IF(Settings!$E$49="",$B145,DATE(YEAR($A145),MONTH($A145),MIN(Settings!$E$49,DAY($B145))))&gt;=MAX($A145,Settings!$F$49),IF(Settings!$E$49="",$B145,DATE(YEAR($A145),MONTH($A145),MIN(Settings!$E$49,DAY($B145))))&lt;=MIN(Settings!$B$5,IF(Settings!$G$49="",Settings!$B$5,Settings!$G$49))),1,0)))))</f>
        <v/>
      </c>
      <c r="EY145">
        <f>IF($E145&lt;&gt;"open",0,IF(AND('Month-End'!$EL$27&lt;&gt;"",NOT(_xlfn.ISFORMULA('Month-End'!$EL$27))),0,IF(OR(Settings!$C$50="",Settings!$D$50=""),0,Settings!$C$50*IF(Settings!$D$50="Weekly",IF(IFERROR(MATCH(Settings!$E$50,$EO$4:$EO$10,0),0)=0,0,IF(MIN(Settings!$B$5,IF(Settings!$G$50="",Settings!$B$5,Settings!$G$50))&lt;MAX($A145,Settings!$F$50),0,INT((MIN(Settings!$B$5,IF(Settings!$G$50="",Settings!$B$5,Settings!$G$50))-MAX($A145,Settings!$F$50)-MOD(IFERROR(MATCH(Settings!$E$50,$EO$4:$EO$10,0),0)-WEEKDAY(MAX($A145,Settings!$F$50)),7))/7)+1)),IF(AND(IF(Settings!$E$50="",$B145,DATE(YEAR($A145),MONTH($A145),MIN(Settings!$E$50,DAY($B145))))&gt;=MAX($A145,Settings!$F$50),IF(Settings!$E$50="",$B145,DATE(YEAR($A145),MONTH($A145),MIN(Settings!$E$50,DAY($B145))))&lt;=MIN(Settings!$B$5,IF(Settings!$G$50="",Settings!$B$5,Settings!$G$50))),1,0)))))</f>
        <v/>
      </c>
      <c r="EZ145">
        <f>IF($E145&lt;&gt;"open",0,IF(AND('Month-End'!$EL$28&lt;&gt;"",NOT(_xlfn.ISFORMULA('Month-End'!$EL$28))),0,IF(OR(Settings!$C$51="",Settings!$D$51=""),0,Settings!$C$51*IF(Settings!$D$51="Weekly",IF(IFERROR(MATCH(Settings!$E$51,$EO$4:$EO$10,0),0)=0,0,IF(MIN(Settings!$B$5,IF(Settings!$G$51="",Settings!$B$5,Settings!$G$51))&lt;MAX($A145,Settings!$F$51),0,INT((MIN(Settings!$B$5,IF(Settings!$G$51="",Settings!$B$5,Settings!$G$51))-MAX($A145,Settings!$F$51)-MOD(IFERROR(MATCH(Settings!$E$51,$EO$4:$EO$10,0),0)-WEEKDAY(MAX($A145,Settings!$F$51)),7))/7)+1)),IF(AND(IF(Settings!$E$51="",$B145,DATE(YEAR($A145),MONTH($A145),MIN(Settings!$E$51,DAY($B145))))&gt;=MAX($A145,Settings!$F$51),IF(Settings!$E$51="",$B145,DATE(YEAR($A145),MONTH($A145),MIN(Settings!$E$51,DAY($B145))))&lt;=MIN(Settings!$B$5,IF(Settings!$G$51="",Settings!$B$5,Settings!$G$51))),1,0)))))</f>
        <v/>
      </c>
      <c r="FA145">
        <f>IF($E145&lt;&gt;"open",0,IF(AND('Month-End'!$EL$29&lt;&gt;"",NOT(_xlfn.ISFORMULA('Month-End'!$EL$29))),0,IF(OR(Settings!$C$52="",Settings!$D$52=""),0,Settings!$C$52*IF(Settings!$D$52="Weekly",IF(IFERROR(MATCH(Settings!$E$52,$EO$4:$EO$10,0),0)=0,0,IF(MIN(Settings!$B$5,IF(Settings!$G$52="",Settings!$B$5,Settings!$G$52))&lt;MAX($A145,Settings!$F$52),0,INT((MIN(Settings!$B$5,IF(Settings!$G$52="",Settings!$B$5,Settings!$G$52))-MAX($A145,Settings!$F$52)-MOD(IFERROR(MATCH(Settings!$E$52,$EO$4:$EO$10,0),0)-WEEKDAY(MAX($A145,Settings!$F$52)),7))/7)+1)),IF(AND(IF(Settings!$E$52="",$B145,DATE(YEAR($A145),MONTH($A145),MIN(Settings!$E$52,DAY($B145))))&gt;=MAX($A145,Settings!$F$52),IF(Settings!$E$52="",$B145,DATE(YEAR($A145),MONTH($A145),MIN(Settings!$E$52,DAY($B145))))&lt;=MIN(Settings!$B$5,IF(Settings!$G$52="",Settings!$B$5,Settings!$G$52))),1,0)))))</f>
        <v/>
      </c>
      <c r="FB145">
        <f>IF($E145&lt;&gt;"open",0,IF(AND('Month-End'!$EL$30&lt;&gt;"",NOT(_xlfn.ISFORMULA('Month-End'!$EL$30))),0,IF(OR(Settings!$C$53="",Settings!$D$53=""),0,Settings!$C$53*IF(Settings!$D$53="Weekly",IF(IFERROR(MATCH(Settings!$E$53,$EO$4:$EO$10,0),0)=0,0,IF(MIN(Settings!$B$5,IF(Settings!$G$53="",Settings!$B$5,Settings!$G$53))&lt;MAX($A145,Settings!$F$53),0,INT((MIN(Settings!$B$5,IF(Settings!$G$53="",Settings!$B$5,Settings!$G$53))-MAX($A145,Settings!$F$53)-MOD(IFERROR(MATCH(Settings!$E$53,$EO$4:$EO$10,0),0)-WEEKDAY(MAX($A145,Settings!$F$53)),7))/7)+1)),IF(AND(IF(Settings!$E$53="",$B145,DATE(YEAR($A145),MONTH($A145),MIN(Settings!$E$53,DAY($B145))))&gt;=MAX($A145,Settings!$F$53),IF(Settings!$E$53="",$B145,DATE(YEAR($A145),MONTH($A145),MIN(Settings!$E$53,DAY($B145))))&lt;=MIN(Settings!$B$5,IF(Settings!$G$53="",Settings!$B$5,Settings!$G$53))),1,0)))))</f>
        <v/>
      </c>
      <c r="FC145">
        <f>IF($E145&lt;&gt;"open",0,IF(AND('Month-End'!$EL$31&lt;&gt;"",NOT(_xlfn.ISFORMULA('Month-End'!$EL$31))),0,IF(OR(Settings!$C$54="",Settings!$D$54=""),0,Settings!$C$54*IF(Settings!$D$54="Weekly",IF(IFERROR(MATCH(Settings!$E$54,$EO$4:$EO$10,0),0)=0,0,IF(MIN(Settings!$B$5,IF(Settings!$G$54="",Settings!$B$5,Settings!$G$54))&lt;MAX($A145,Settings!$F$54),0,INT((MIN(Settings!$B$5,IF(Settings!$G$54="",Settings!$B$5,Settings!$G$54))-MAX($A145,Settings!$F$54)-MOD(IFERROR(MATCH(Settings!$E$54,$EO$4:$EO$10,0),0)-WEEKDAY(MAX($A145,Settings!$F$54)),7))/7)+1)),IF(AND(IF(Settings!$E$54="",$B145,DATE(YEAR($A145),MONTH($A145),MIN(Settings!$E$54,DAY($B145))))&gt;=MAX($A145,Settings!$F$54),IF(Settings!$E$54="",$B145,DATE(YEAR($A145),MONTH($A145),MIN(Settings!$E$54,DAY($B145))))&lt;=MIN(Settings!$B$5,IF(Settings!$G$54="",Settings!$B$5,Settings!$G$54))),1,0)))))</f>
        <v/>
      </c>
      <c r="FD145">
        <f>IF($E145&lt;&gt;"open",0,IF(AND('Month-End'!$EL$32&lt;&gt;"",NOT(_xlfn.ISFORMULA('Month-End'!$EL$32))),0,IF(OR(Settings!$C$55="",Settings!$D$55=""),0,Settings!$C$55*IF(Settings!$D$55="Weekly",IF(IFERROR(MATCH(Settings!$E$55,$EO$4:$EO$10,0),0)=0,0,IF(MIN(Settings!$B$5,IF(Settings!$G$55="",Settings!$B$5,Settings!$G$55))&lt;MAX($A145,Settings!$F$55),0,INT((MIN(Settings!$B$5,IF(Settings!$G$55="",Settings!$B$5,Settings!$G$55))-MAX($A145,Settings!$F$55)-MOD(IFERROR(MATCH(Settings!$E$55,$EO$4:$EO$10,0),0)-WEEKDAY(MAX($A145,Settings!$F$55)),7))/7)+1)),IF(AND(IF(Settings!$E$55="",$B145,DATE(YEAR($A145),MONTH($A145),MIN(Settings!$E$55,DAY($B145))))&gt;=MAX($A145,Settings!$F$55),IF(Settings!$E$55="",$B145,DATE(YEAR($A145),MONTH($A145),MIN(Settings!$E$55,DAY($B145))))&lt;=MIN(Settings!$B$5,IF(Settings!$G$55="",Settings!$B$5,Settings!$G$55))),1,0)))))</f>
        <v/>
      </c>
      <c r="FE145">
        <f>IF($E145&lt;&gt;"open",0,IF(AND('Month-End'!$EL$33&lt;&gt;"",NOT(_xlfn.ISFORMULA('Month-End'!$EL$33))),0,IF(OR(Settings!$C$56="",Settings!$D$56=""),0,Settings!$C$56*IF(Settings!$D$56="Weekly",IF(IFERROR(MATCH(Settings!$E$56,$EO$4:$EO$10,0),0)=0,0,IF(MIN(Settings!$B$5,IF(Settings!$G$56="",Settings!$B$5,Settings!$G$56))&lt;MAX($A145,Settings!$F$56),0,INT((MIN(Settings!$B$5,IF(Settings!$G$56="",Settings!$B$5,Settings!$G$56))-MAX($A145,Settings!$F$56)-MOD(IFERROR(MATCH(Settings!$E$56,$EO$4:$EO$10,0),0)-WEEKDAY(MAX($A145,Settings!$F$56)),7))/7)+1)),IF(AND(IF(Settings!$E$56="",$B145,DATE(YEAR($A145),MONTH($A145),MIN(Settings!$E$56,DAY($B145))))&gt;=MAX($A145,Settings!$F$56),IF(Settings!$E$56="",$B145,DATE(YEAR($A145),MONTH($A145),MIN(Settings!$E$56,DAY($B145))))&lt;=MIN(Settings!$B$5,IF(Settings!$G$56="",Settings!$B$5,Settings!$G$56))),1,0)))))</f>
        <v/>
      </c>
      <c r="FF145">
        <f>IF(Settings!$I$45="Yes",$G145,0)+IF(Settings!$I$46="Yes",$H145,0)+IF(Settings!$I$47="Yes",$I145,0)+IF(Settings!$I$48="Yes",$J145,0)+IF(Settings!$I$49="Yes",$K145,0)+IF(Settings!$I$50="Yes",$L145,0)+IF(Settings!$I$51="Yes",$M145,0)+IF(Settings!$I$52="Yes",$N145,0)+IF(Settings!$I$53="Yes",$O145,0)+IF(Settings!$I$54="Yes",$P145,0)+IF(Settings!$I$55="Yes",$Q145,0)+IF(Settings!$I$56="Yes",$R145,0)</f>
        <v/>
      </c>
      <c r="FG145">
        <f>IF(AND(Settings!$I$45="Yes",Settings!$J$45="No"),$G145,0)+IF(AND(Settings!$I$46="Yes",Settings!$J$46="No"),$H145,0)+IF(AND(Settings!$I$47="Yes",Settings!$J$47="No"),$I145,0)+IF(AND(Settings!$I$48="Yes",Settings!$J$48="No"),$J145,0)+IF(AND(Settings!$I$49="Yes",Settings!$J$49="No"),$K145,0)+IF(AND(Settings!$I$50="Yes",Settings!$J$50="No"),$L145,0)+IF(AND(Settings!$I$51="Yes",Settings!$J$51="No"),$M145,0)+IF(AND(Settings!$I$52="Yes",Settings!$J$52="No"),$N145,0)+IF(AND(Settings!$I$53="Yes",Settings!$J$53="No"),$O145,0)+IF(AND(Settings!$I$54="Yes",Settings!$J$54="No"),$P145,0)+IF(AND(Settings!$I$55="Yes",Settings!$J$55="No"),$Q145,0)+IF(AND(Settings!$I$56="Yes",Settings!$J$56="No"),$R145,0)</f>
        <v/>
      </c>
      <c r="FH145">
        <f>SUMIFS(Giving!$B$7:$B$2006,Giving!$A$7:$A$2006,"&gt;="&amp;$A145,Giving!$A$7:$A$2006,"&lt;="&amp;$B145,Giving!$G$7:$G$2006,"Yes")+IF(OR(OR(Settings!$B$60="",Settings!$F$60="No"),Settings!$H$60&lt;&gt;"Yes"),0,Settings!$B$60*IF(AND(IF(Settings!$C$60="",$B145,DATE(YEAR($A145),MONTH($A145),MIN(Settings!$C$60,DAY($B145))))&gt;=MAX($A145,Settings!$D$60),IF(Settings!$C$60="",$B145,DATE(YEAR($A145),MONTH($A145),MIN(Settings!$C$60,DAY($B145))))&lt;=MIN($C145,IF(Settings!$E$60="",$C145,Settings!$E$60))),1,0))+IF(OR(OR(Settings!$B$61="",Settings!$F$61="No"),Settings!$H$61&lt;&gt;"Yes"),0,Settings!$B$61*IF(AND(IF(Settings!$C$61="",$B145,DATE(YEAR($A145),MONTH($A145),MIN(Settings!$C$61,DAY($B145))))&gt;=MAX($A145,Settings!$D$61),IF(Settings!$C$61="",$B145,DATE(YEAR($A145),MONTH($A145),MIN(Settings!$C$61,DAY($B145))))&lt;=MIN($C145,IF(Settings!$E$61="",$C145,Settings!$E$61))),1,0))+IF(OR(OR(Settings!$B$62="",Settings!$F$62="No"),Settings!$H$62&lt;&gt;"Yes"),0,Settings!$B$62*IF(AND(IF(Settings!$C$62="",$B145,DATE(YEAR($A145),MONTH($A145),MIN(Settings!$C$62,DAY($B145))))&gt;=MAX($A145,Settings!$D$62),IF(Settings!$C$62="",$B145,DATE(YEAR($A145),MONTH($A145),MIN(Settings!$C$62,DAY($B145))))&lt;=MIN($C145,IF(Settings!$E$62="",$C145,Settings!$E$62))),1,0))+IF(OR(OR(Settings!$B$63="",Settings!$F$63="No"),Settings!$H$63&lt;&gt;"Yes"),0,Settings!$B$63*IF(AND(IF(Settings!$C$63="",$B145,DATE(YEAR($A145),MONTH($A145),MIN(Settings!$C$63,DAY($B145))))&gt;=MAX($A145,Settings!$D$63),IF(Settings!$C$63="",$B145,DATE(YEAR($A145),MONTH($A145),MIN(Settings!$C$63,DAY($B145))))&lt;=MIN($C145,IF(Settings!$E$63="",$C145,Settings!$E$63))),1,0))+IF(OR(OR(Settings!$B$64="",Settings!$F$64="No"),Settings!$H$64&lt;&gt;"Yes"),0,Settings!$B$64*IF(AND(IF(Settings!$C$64="",$B145,DATE(YEAR($A145),MONTH($A145),MIN(Settings!$C$64,DAY($B145))))&gt;=MAX($A145,Settings!$D$64),IF(Settings!$C$64="",$B145,DATE(YEAR($A145),MONTH($A145),MIN(Settings!$C$64,DAY($B145))))&lt;=MIN($C145,IF(Settings!$E$64="",$C145,Settings!$E$64))),1,0))+IF(OR(OR(Settings!$B$65="",Settings!$F$65="No"),Settings!$H$65&lt;&gt;"Yes"),0,Settings!$B$65*IF(AND(IF(Settings!$C$65="",$B145,DATE(YEAR($A145),MONTH($A145),MIN(Settings!$C$65,DAY($B145))))&gt;=MAX($A145,Settings!$D$65),IF(Settings!$C$65="",$B145,DATE(YEAR($A145),MONTH($A145),MIN(Settings!$C$65,DAY($B145))))&lt;=MIN($C145,IF(Settings!$E$65="",$C145,Settings!$E$65))),1,0))</f>
        <v/>
      </c>
      <c r="FI145">
        <f>IF($DT145=1,IF(OR(Settings!$B$19="Card",Settings!$B$19="Loan"),N($AE145),0)+IF(OR(Settings!$B$20="Card",Settings!$B$20="Loan"),N($AF145),0)+IF(OR(Settings!$B$21="Card",Settings!$B$21="Loan"),N($AG145),0)+IF(OR(Settings!$B$22="Card",Settings!$B$22="Loan"),N($AH145),0)+IF(OR(Settings!$B$23="Card",Settings!$B$23="Loan"),N($AI145),0)+IF(OR(Settings!$B$24="Card",Settings!$B$24="Loan"),N($AJ145),0)+IF(OR(Settings!$B$25="Card",Settings!$B$25="Loan"),N($AK145),0)+IF(OR(Settings!$B$26="Card",Settings!$B$26="Loan"),N($AL145),0)+IF(OR(Settings!$B$27="Card",Settings!$B$27="Loan"),N($AM145),0)+IF(OR(Settings!$B$28="Card",Settings!$B$28="Loan"),N($AN145),0)+IF(OR(Settings!$B$29="Card",Settings!$B$29="Loan"),N($AO145),0)+IF(OR(Settings!$B$30="Card",Settings!$B$30="Loan"),N($AP145),0)+IF(OR(Settings!$B$31="Card",Settings!$B$31="Loan"),N($AQ145),0)+IF(OR(Settings!$B$32="Card",Settings!$B$32="Loan"),N($AR145),0),"")</f>
        <v/>
      </c>
      <c r="FJ145">
        <f>IF($E145="open",$EB$65,IF($E145="post",IF($E144="pre",$EB$65,$FI144),""))</f>
        <v/>
      </c>
      <c r="FK145">
        <f>IF(AND($DT145=1,$DC145=1),IF(ROUND($FI145-$FJ145,2)&gt;0,1,0),0)</f>
        <v/>
      </c>
      <c r="FL145">
        <f>IF($FK145=1,$FL144+1,0)</f>
        <v/>
      </c>
    </row>
    <row r="146">
      <c r="A146">
        <f>'Month-End'!$EM$4</f>
        <v/>
      </c>
      <c r="B146">
        <f>EOMONTH($A146,0)</f>
        <v/>
      </c>
      <c r="C146">
        <f>MIN($B146,TODAY())</f>
        <v/>
      </c>
      <c r="D146">
        <f>IF($A146&gt;TODAY(),1,0)</f>
        <v/>
      </c>
      <c r="E146">
        <f>IF($B146&lt;=Settings!$B$5,"pre",IF($A146&lt;=Settings!$B$5,"open","post"))</f>
        <v/>
      </c>
      <c r="G146">
        <f>IF('Month-End'!$EM$22="",$BE146,N('Month-End'!$EM$22))</f>
        <v/>
      </c>
      <c r="H146">
        <f>IF('Month-End'!$EM$23="",$BF146,N('Month-End'!$EM$23))</f>
        <v/>
      </c>
      <c r="I146">
        <f>IF('Month-End'!$EM$24="",$BG146,N('Month-End'!$EM$24))</f>
        <v/>
      </c>
      <c r="J146">
        <f>IF('Month-End'!$EM$25="",$BH146,N('Month-End'!$EM$25))</f>
        <v/>
      </c>
      <c r="K146">
        <f>IF('Month-End'!$EM$26="",$BI146,N('Month-End'!$EM$26))</f>
        <v/>
      </c>
      <c r="L146">
        <f>IF('Month-End'!$EM$27="",$BJ146,N('Month-End'!$EM$27))</f>
        <v/>
      </c>
      <c r="M146">
        <f>IF('Month-End'!$EM$28="",$BK146,N('Month-End'!$EM$28))</f>
        <v/>
      </c>
      <c r="N146">
        <f>IF('Month-End'!$EM$29="",$BL146,N('Month-End'!$EM$29))</f>
        <v/>
      </c>
      <c r="O146">
        <f>IF('Month-End'!$EM$30="",$BM146,N('Month-End'!$EM$30))</f>
        <v/>
      </c>
      <c r="P146">
        <f>IF('Month-End'!$EM$31="",$BN146,N('Month-End'!$EM$31))</f>
        <v/>
      </c>
      <c r="Q146">
        <f>IF('Month-End'!$EM$32="",$BO146,N('Month-End'!$EM$32))</f>
        <v/>
      </c>
      <c r="R146">
        <f>IF('Month-End'!$EM$33="",$BP146,N('Month-End'!$EM$33))</f>
        <v/>
      </c>
      <c r="S146">
        <f>$G146+$H146+$I146+$J146+$K146+$L146+$M146+$N146+$O146+$P146+$Q146+$R146</f>
        <v/>
      </c>
      <c r="T146">
        <f>IF($B146&lt;Settings!$B$6,0,IF(Settings!$B$45="Yes",$G146,0)+IF(Settings!$B$46="Yes",$H146,0)+IF(Settings!$B$47="Yes",$I146,0)+IF(Settings!$B$48="Yes",$J146,0)+IF(Settings!$B$49="Yes",$K146,0)+IF(Settings!$B$50="Yes",$L146,0)+IF(Settings!$B$51="Yes",$M146,0)+IF(Settings!$B$52="Yes",$N146,0)+IF(Settings!$B$53="Yes",$O146,0)+IF(Settings!$B$54="Yes",$P146,0)+IF(Settings!$B$55="Yes",$Q146,0)+IF(Settings!$B$56="Yes",$R146,0))</f>
        <v/>
      </c>
      <c r="U146">
        <f>IF(Settings!$B$45="Not Sure",$G146,0)+IF(Settings!$B$46="Not Sure",$H146,0)+IF(Settings!$B$47="Not Sure",$I146,0)+IF(Settings!$B$48="Not Sure",$J146,0)+IF(Settings!$B$49="Not Sure",$K146,0)+IF(Settings!$B$50="Not Sure",$L146,0)+IF(Settings!$B$51="Not Sure",$M146,0)+IF(Settings!$B$52="Not Sure",$N146,0)+IF(Settings!$B$53="Not Sure",$O146,0)+IF(Settings!$B$54="Not Sure",$P146,0)+IF(Settings!$B$55="Not Sure",$Q146,0)+IF(Settings!$B$56="Not Sure",$R146,0)</f>
        <v/>
      </c>
      <c r="V146">
        <f>IF($E146="open",SUM($ET146:$FE146)+N(Settings!$B$13),0)</f>
        <v/>
      </c>
      <c r="W146">
        <f>IF($E146="post",$S146,IF($E146="open",$S146-$V146,0))</f>
        <v/>
      </c>
      <c r="X146">
        <f>SUMIFS(Giving!$B$7:$B$2006,Giving!$A$7:$A$2006,"&gt;="&amp;$A146,Giving!$A$7:$A$2006,"&lt;="&amp;$B146,Giving!$E$7:$E$2006,"&lt;&gt;No")</f>
        <v/>
      </c>
      <c r="Y146">
        <f>SUMIFS(Giving!$B$7:$B$2006,Giving!$A$7:$A$2006,"&gt;="&amp;$A146,Giving!$A$7:$A$2006,"&lt;="&amp;$B146,Giving!$E$7:$E$2006,"No")</f>
        <v/>
      </c>
      <c r="Z146">
        <f>IF(OR(Settings!$B$60="",Settings!$F$60="No"),0,Settings!$B$60*IF(AND(IF(Settings!$C$60="",$B146,DATE(YEAR($A146),MONTH($A146),MIN(Settings!$C$60,DAY($B146))))&gt;=MAX($A146,Settings!$D$60),IF(Settings!$C$60="",$B146,DATE(YEAR($A146),MONTH($A146),MIN(Settings!$C$60,DAY($B146))))&lt;=MIN($C146,IF(Settings!$E$60="",$C146,Settings!$E$60))),1,0))+IF(OR(Settings!$B$61="",Settings!$F$61="No"),0,Settings!$B$61*IF(AND(IF(Settings!$C$61="",$B146,DATE(YEAR($A146),MONTH($A146),MIN(Settings!$C$61,DAY($B146))))&gt;=MAX($A146,Settings!$D$61),IF(Settings!$C$61="",$B146,DATE(YEAR($A146),MONTH($A146),MIN(Settings!$C$61,DAY($B146))))&lt;=MIN($C146,IF(Settings!$E$61="",$C146,Settings!$E$61))),1,0))+IF(OR(Settings!$B$62="",Settings!$F$62="No"),0,Settings!$B$62*IF(AND(IF(Settings!$C$62="",$B146,DATE(YEAR($A146),MONTH($A146),MIN(Settings!$C$62,DAY($B146))))&gt;=MAX($A146,Settings!$D$62),IF(Settings!$C$62="",$B146,DATE(YEAR($A146),MONTH($A146),MIN(Settings!$C$62,DAY($B146))))&lt;=MIN($C146,IF(Settings!$E$62="",$C146,Settings!$E$62))),1,0))+IF(OR(Settings!$B$63="",Settings!$F$63="No"),0,Settings!$B$63*IF(AND(IF(Settings!$C$63="",$B146,DATE(YEAR($A146),MONTH($A146),MIN(Settings!$C$63,DAY($B146))))&gt;=MAX($A146,Settings!$D$63),IF(Settings!$C$63="",$B146,DATE(YEAR($A146),MONTH($A146),MIN(Settings!$C$63,DAY($B146))))&lt;=MIN($C146,IF(Settings!$E$63="",$C146,Settings!$E$63))),1,0))+IF(OR(Settings!$B$64="",Settings!$F$64="No"),0,Settings!$B$64*IF(AND(IF(Settings!$C$64="",$B146,DATE(YEAR($A146),MONTH($A146),MIN(Settings!$C$64,DAY($B146))))&gt;=MAX($A146,Settings!$D$64),IF(Settings!$C$64="",$B146,DATE(YEAR($A146),MONTH($A146),MIN(Settings!$C$64,DAY($B146))))&lt;=MIN($C146,IF(Settings!$E$64="",$C146,Settings!$E$64))),1,0))+IF(OR(Settings!$B$65="",Settings!$F$65="No"),0,Settings!$B$65*IF(AND(IF(Settings!$C$65="",$B146,DATE(YEAR($A146),MONTH($A146),MIN(Settings!$C$65,DAY($B146))))&gt;=MAX($A146,Settings!$D$65),IF(Settings!$C$65="",$B146,DATE(YEAR($A146),MONTH($A146),MIN(Settings!$C$65,DAY($B146))))&lt;=MIN($C146,IF(Settings!$E$65="",$C146,Settings!$E$65))),1,0))</f>
        <v/>
      </c>
      <c r="AA146">
        <f>$X146+$Z146</f>
        <v/>
      </c>
      <c r="AB146">
        <f>IF($E146="post",$AA146,IF($E146="open",SUMIFS(Giving!$B$7:$B$2006,Giving!$A$7:$A$2006,"&gt;"&amp;Settings!$B$5,Giving!$A$7:$A$2006,"&lt;="&amp;$B146,Giving!$E$7:$E$2006,"&lt;&gt;No")+IF(OR(Settings!$B$60="",Settings!$F$60="No"),0,Settings!$B$60*IF(AND(IF(Settings!$C$60="",$B146,DATE(YEAR($A146),MONTH($A146),MIN(Settings!$C$60,DAY($B146))))&gt;=MAX($A146,Settings!$D$60,Settings!$B$5+1),IF(Settings!$C$60="",$B146,DATE(YEAR($A146),MONTH($A146),MIN(Settings!$C$60,DAY($B146))))&lt;=MIN($C146,IF(Settings!$E$60="",$C146,Settings!$E$60))),1,0))+IF(OR(Settings!$B$61="",Settings!$F$61="No"),0,Settings!$B$61*IF(AND(IF(Settings!$C$61="",$B146,DATE(YEAR($A146),MONTH($A146),MIN(Settings!$C$61,DAY($B146))))&gt;=MAX($A146,Settings!$D$61,Settings!$B$5+1),IF(Settings!$C$61="",$B146,DATE(YEAR($A146),MONTH($A146),MIN(Settings!$C$61,DAY($B146))))&lt;=MIN($C146,IF(Settings!$E$61="",$C146,Settings!$E$61))),1,0))+IF(OR(Settings!$B$62="",Settings!$F$62="No"),0,Settings!$B$62*IF(AND(IF(Settings!$C$62="",$B146,DATE(YEAR($A146),MONTH($A146),MIN(Settings!$C$62,DAY($B146))))&gt;=MAX($A146,Settings!$D$62,Settings!$B$5+1),IF(Settings!$C$62="",$B146,DATE(YEAR($A146),MONTH($A146),MIN(Settings!$C$62,DAY($B146))))&lt;=MIN($C146,IF(Settings!$E$62="",$C146,Settings!$E$62))),1,0))+IF(OR(Settings!$B$63="",Settings!$F$63="No"),0,Settings!$B$63*IF(AND(IF(Settings!$C$63="",$B146,DATE(YEAR($A146),MONTH($A146),MIN(Settings!$C$63,DAY($B146))))&gt;=MAX($A146,Settings!$D$63,Settings!$B$5+1),IF(Settings!$C$63="",$B146,DATE(YEAR($A146),MONTH($A146),MIN(Settings!$C$63,DAY($B146))))&lt;=MIN($C146,IF(Settings!$E$63="",$C146,Settings!$E$63))),1,0))+IF(OR(Settings!$B$64="",Settings!$F$64="No"),0,Settings!$B$64*IF(AND(IF(Settings!$C$64="",$B146,DATE(YEAR($A146),MONTH($A146),MIN(Settings!$C$64,DAY($B146))))&gt;=MAX($A146,Settings!$D$64,Settings!$B$5+1),IF(Settings!$C$64="",$B146,DATE(YEAR($A146),MONTH($A146),MIN(Settings!$C$64,DAY($B146))))&lt;=MIN($C146,IF(Settings!$E$64="",$C146,Settings!$E$64))),1,0))+IF(OR(Settings!$B$65="",Settings!$F$65="No"),0,Settings!$B$65*IF(AND(IF(Settings!$C$65="",$B146,DATE(YEAR($A146),MONTH($A146),MIN(Settings!$C$65,DAY($B146))))&gt;=MAX($A146,Settings!$D$65,Settings!$B$5+1),IF(Settings!$C$65="",$B146,DATE(YEAR($A146),MONTH($A146),MIN(Settings!$C$65,DAY($B146))))&lt;=MIN($C146,IF(Settings!$E$65="",$C146,Settings!$E$65))),1,0)),0))</f>
        <v/>
      </c>
      <c r="AC146">
        <f>$AY146+$AZ146+$BA146+$BB146+$BC146+$BD146</f>
        <v/>
      </c>
      <c r="AD146">
        <f>$AC146</f>
        <v/>
      </c>
      <c r="AE146">
        <f>IF(OR(Settings!$A$19="",$E146="pre"),"",IF(AND('Month-End'!$EM$7&lt;&gt;"",NOT(_xlfn.ISFORMULA('Month-End'!$EM$7))),N('Month-End'!$EM$7),IF(OR($E146="open",$E145="pre"),N(Settings!$C$19),N($AE145))))</f>
        <v/>
      </c>
      <c r="AF146">
        <f>IF(OR(Settings!$A$20="",$E146="pre"),"",IF(AND('Month-End'!$EM$8&lt;&gt;"",NOT(_xlfn.ISFORMULA('Month-End'!$EM$8))),N('Month-End'!$EM$8),IF(OR($E146="open",$E145="pre"),N(Settings!$C$20),N($AF145))))</f>
        <v/>
      </c>
      <c r="AG146">
        <f>IF(OR(Settings!$A$21="",$E146="pre"),"",IF(AND('Month-End'!$EM$9&lt;&gt;"",NOT(_xlfn.ISFORMULA('Month-End'!$EM$9))),N('Month-End'!$EM$9),IF(OR($E146="open",$E145="pre"),N(Settings!$C$21),N($AG145))))</f>
        <v/>
      </c>
      <c r="AH146">
        <f>IF(OR(Settings!$A$22="",$E146="pre"),"",IF(AND('Month-End'!$EM$10&lt;&gt;"",NOT(_xlfn.ISFORMULA('Month-End'!$EM$10))),N('Month-End'!$EM$10),IF(OR($E146="open",$E145="pre"),N(Settings!$C$22),N($AH145))))</f>
        <v/>
      </c>
      <c r="AI146">
        <f>IF(OR(Settings!$A$23="",$E146="pre"),"",IF(AND('Month-End'!$EM$11&lt;&gt;"",NOT(_xlfn.ISFORMULA('Month-End'!$EM$11))),N('Month-End'!$EM$11),IF(OR($E146="open",$E145="pre"),N(Settings!$C$23),N($AI145))))</f>
        <v/>
      </c>
      <c r="AJ146">
        <f>IF(OR(Settings!$A$24="",$E146="pre"),"",IF(AND('Month-End'!$EM$12&lt;&gt;"",NOT(_xlfn.ISFORMULA('Month-End'!$EM$12))),N('Month-End'!$EM$12),IF(OR($E146="open",$E145="pre"),N(Settings!$C$24),N($AJ145))))</f>
        <v/>
      </c>
      <c r="AK146">
        <f>IF(OR(Settings!$A$25="",$E146="pre"),"",IF(AND('Month-End'!$EM$13&lt;&gt;"",NOT(_xlfn.ISFORMULA('Month-End'!$EM$13))),N('Month-End'!$EM$13),IF(OR($E146="open",$E145="pre"),N(Settings!$C$25),N($AK145))))</f>
        <v/>
      </c>
      <c r="AL146">
        <f>IF(OR(Settings!$A$26="",$E146="pre"),"",IF(AND('Month-End'!$EM$14&lt;&gt;"",NOT(_xlfn.ISFORMULA('Month-End'!$EM$14))),N('Month-End'!$EM$14),IF(OR($E146="open",$E145="pre"),N(Settings!$C$26),N($AL145))))</f>
        <v/>
      </c>
      <c r="AM146">
        <f>IF(OR(Settings!$A$27="",$E146="pre"),"",IF(AND('Month-End'!$EM$15&lt;&gt;"",NOT(_xlfn.ISFORMULA('Month-End'!$EM$15))),N('Month-End'!$EM$15),IF(OR($E146="open",$E145="pre"),N(Settings!$C$27),N($AM145))))</f>
        <v/>
      </c>
      <c r="AN146">
        <f>IF(OR(Settings!$A$28="",$E146="pre"),"",IF(AND('Month-End'!$EM$16&lt;&gt;"",NOT(_xlfn.ISFORMULA('Month-End'!$EM$16))),N('Month-End'!$EM$16),IF(OR($E146="open",$E145="pre"),N(Settings!$C$28),N($AN145))))</f>
        <v/>
      </c>
      <c r="AO146">
        <f>IF(OR(Settings!$A$29="",$E146="pre"),"",IF(AND('Month-End'!$EM$17&lt;&gt;"",NOT(_xlfn.ISFORMULA('Month-End'!$EM$17))),N('Month-End'!$EM$17),IF(OR($E146="open",$E145="pre"),N(Settings!$C$29),N($AO145))))</f>
        <v/>
      </c>
      <c r="AP146">
        <f>IF(OR(Settings!$A$30="",$E146="pre"),"",IF(AND('Month-End'!$EM$18&lt;&gt;"",NOT(_xlfn.ISFORMULA('Month-End'!$EM$18))),N('Month-End'!$EM$18),IF(OR($E146="open",$E145="pre"),N(Settings!$C$30),N($AP145))))</f>
        <v/>
      </c>
      <c r="AQ146">
        <f>IF(OR(Settings!$A$31="",$E146="pre"),"",IF(AND('Month-End'!$EM$19&lt;&gt;"",NOT(_xlfn.ISFORMULA('Month-End'!$EM$19))),N('Month-End'!$EM$19),IF(OR($E146="open",$E145="pre"),N(Settings!$C$31),N($AQ145))))</f>
        <v/>
      </c>
      <c r="AR146">
        <f>IF(OR(Settings!$A$32="",$E146="pre"),"",IF(AND('Month-End'!$EM$20&lt;&gt;"",NOT(_xlfn.ISFORMULA('Month-End'!$EM$20))),N('Month-End'!$EM$20),IF(OR($E146="open",$E145="pre"),N(Settings!$C$32),N($AR145))))</f>
        <v/>
      </c>
      <c r="AS146">
        <f>IF(OR(Settings!$A$36="",$E146="pre"),"",IF(AND('Month-End'!$EM$38&lt;&gt;"",NOT(_xlfn.ISFORMULA('Month-End'!$EM$38))),N('Month-End'!$EM$38),IF(OR($E146="open",$E145="pre"),N(Settings!$C$36),N($AS145))+$AY146))</f>
        <v/>
      </c>
      <c r="AT146">
        <f>IF(OR(Settings!$A$37="",$E146="pre"),"",IF(AND('Month-End'!$EM$39&lt;&gt;"",NOT(_xlfn.ISFORMULA('Month-End'!$EM$39))),N('Month-End'!$EM$39),IF(OR($E146="open",$E145="pre"),N(Settings!$C$37),N($AT145))+$AZ146))</f>
        <v/>
      </c>
      <c r="AU146">
        <f>IF(OR(Settings!$A$38="",$E146="pre"),"",IF(AND('Month-End'!$EM$40&lt;&gt;"",NOT(_xlfn.ISFORMULA('Month-End'!$EM$40))),N('Month-End'!$EM$40),IF(OR($E146="open",$E145="pre"),N(Settings!$C$38),N($AU145))+$BA146))</f>
        <v/>
      </c>
      <c r="AV146">
        <f>IF(OR(Settings!$A$39="",$E146="pre"),"",IF(AND('Month-End'!$EM$41&lt;&gt;"",NOT(_xlfn.ISFORMULA('Month-End'!$EM$41))),N('Month-End'!$EM$41),IF(OR($E146="open",$E145="pre"),N(Settings!$C$39),N($AV145))+$BB146))</f>
        <v/>
      </c>
      <c r="AW146">
        <f>IF(OR(Settings!$A$40="",$E146="pre"),"",IF(AND('Month-End'!$EM$42&lt;&gt;"",NOT(_xlfn.ISFORMULA('Month-End'!$EM$42))),N('Month-End'!$EM$42),IF(OR($E146="open",$E145="pre"),N(Settings!$C$40),N($AW145))+$BC146))</f>
        <v/>
      </c>
      <c r="AX146">
        <f>IF(OR(Settings!$A$41="",$E146="pre"),"",IF(AND('Month-End'!$EM$43&lt;&gt;"",NOT(_xlfn.ISFORMULA('Month-End'!$EM$43))),N('Month-End'!$EM$43),IF(OR($E146="open",$E145="pre"),N(Settings!$C$41),N($AX145))+$BD146))</f>
        <v/>
      </c>
      <c r="AY146">
        <f>IF($E146="pre",0,N('Month-End'!$EM$45))</f>
        <v/>
      </c>
      <c r="AZ146">
        <f>IF($E146="pre",0,N('Month-End'!$EM$46))</f>
        <v/>
      </c>
      <c r="BA146">
        <f>IF($E146="pre",0,N('Month-End'!$EM$47))</f>
        <v/>
      </c>
      <c r="BB146">
        <f>IF($E146="pre",0,N('Month-End'!$EM$48))</f>
        <v/>
      </c>
      <c r="BC146">
        <f>IF($E146="pre",0,N('Month-End'!$EM$49))</f>
        <v/>
      </c>
      <c r="BD146">
        <f>IF($E146="pre",0,N('Month-End'!$EM$50))</f>
        <v/>
      </c>
      <c r="BE146">
        <f>IF(OR(Settings!$C$45="",Settings!$D$45=""),0,Settings!$C$45*IF(Settings!$D$45="Weekly",IF(IFERROR(MATCH(Settings!$E$45,$EO$4:$EO$10,0),0)=0,0,IF(MIN($C146,IF(Settings!$G$45="",$C146,Settings!$G$45))&lt;MAX($A146,Settings!$F$45),0,INT((MIN($C146,IF(Settings!$G$45="",$C146,Settings!$G$45))-MAX($A146,Settings!$F$45)-MOD(IFERROR(MATCH(Settings!$E$45,$EO$4:$EO$10,0),0)-WEEKDAY(MAX($A146,Settings!$F$45)),7))/7)+1)),IF(AND(IF(Settings!$E$45="",$B146,DATE(YEAR($A146),MONTH($A146),MIN(Settings!$E$45,DAY($B146))))&gt;=MAX($A146,Settings!$F$45),IF(Settings!$E$45="",$B146,DATE(YEAR($A146),MONTH($A146),MIN(Settings!$E$45,DAY($B146))))&lt;=MIN($C146,IF(Settings!$G$45="",$C146,Settings!$G$45))),1,0)))</f>
        <v/>
      </c>
      <c r="BF146">
        <f>IF(OR(Settings!$C$46="",Settings!$D$46=""),0,Settings!$C$46*IF(Settings!$D$46="Weekly",IF(IFERROR(MATCH(Settings!$E$46,$EO$4:$EO$10,0),0)=0,0,IF(MIN($C146,IF(Settings!$G$46="",$C146,Settings!$G$46))&lt;MAX($A146,Settings!$F$46),0,INT((MIN($C146,IF(Settings!$G$46="",$C146,Settings!$G$46))-MAX($A146,Settings!$F$46)-MOD(IFERROR(MATCH(Settings!$E$46,$EO$4:$EO$10,0),0)-WEEKDAY(MAX($A146,Settings!$F$46)),7))/7)+1)),IF(AND(IF(Settings!$E$46="",$B146,DATE(YEAR($A146),MONTH($A146),MIN(Settings!$E$46,DAY($B146))))&gt;=MAX($A146,Settings!$F$46),IF(Settings!$E$46="",$B146,DATE(YEAR($A146),MONTH($A146),MIN(Settings!$E$46,DAY($B146))))&lt;=MIN($C146,IF(Settings!$G$46="",$C146,Settings!$G$46))),1,0)))</f>
        <v/>
      </c>
      <c r="BG146">
        <f>IF(OR(Settings!$C$47="",Settings!$D$47=""),0,Settings!$C$47*IF(Settings!$D$47="Weekly",IF(IFERROR(MATCH(Settings!$E$47,$EO$4:$EO$10,0),0)=0,0,IF(MIN($C146,IF(Settings!$G$47="",$C146,Settings!$G$47))&lt;MAX($A146,Settings!$F$47),0,INT((MIN($C146,IF(Settings!$G$47="",$C146,Settings!$G$47))-MAX($A146,Settings!$F$47)-MOD(IFERROR(MATCH(Settings!$E$47,$EO$4:$EO$10,0),0)-WEEKDAY(MAX($A146,Settings!$F$47)),7))/7)+1)),IF(AND(IF(Settings!$E$47="",$B146,DATE(YEAR($A146),MONTH($A146),MIN(Settings!$E$47,DAY($B146))))&gt;=MAX($A146,Settings!$F$47),IF(Settings!$E$47="",$B146,DATE(YEAR($A146),MONTH($A146),MIN(Settings!$E$47,DAY($B146))))&lt;=MIN($C146,IF(Settings!$G$47="",$C146,Settings!$G$47))),1,0)))</f>
        <v/>
      </c>
      <c r="BH146">
        <f>IF(OR(Settings!$C$48="",Settings!$D$48=""),0,Settings!$C$48*IF(Settings!$D$48="Weekly",IF(IFERROR(MATCH(Settings!$E$48,$EO$4:$EO$10,0),0)=0,0,IF(MIN($C146,IF(Settings!$G$48="",$C146,Settings!$G$48))&lt;MAX($A146,Settings!$F$48),0,INT((MIN($C146,IF(Settings!$G$48="",$C146,Settings!$G$48))-MAX($A146,Settings!$F$48)-MOD(IFERROR(MATCH(Settings!$E$48,$EO$4:$EO$10,0),0)-WEEKDAY(MAX($A146,Settings!$F$48)),7))/7)+1)),IF(AND(IF(Settings!$E$48="",$B146,DATE(YEAR($A146),MONTH($A146),MIN(Settings!$E$48,DAY($B146))))&gt;=MAX($A146,Settings!$F$48),IF(Settings!$E$48="",$B146,DATE(YEAR($A146),MONTH($A146),MIN(Settings!$E$48,DAY($B146))))&lt;=MIN($C146,IF(Settings!$G$48="",$C146,Settings!$G$48))),1,0)))</f>
        <v/>
      </c>
      <c r="BI146">
        <f>IF(OR(Settings!$C$49="",Settings!$D$49=""),0,Settings!$C$49*IF(Settings!$D$49="Weekly",IF(IFERROR(MATCH(Settings!$E$49,$EO$4:$EO$10,0),0)=0,0,IF(MIN($C146,IF(Settings!$G$49="",$C146,Settings!$G$49))&lt;MAX($A146,Settings!$F$49),0,INT((MIN($C146,IF(Settings!$G$49="",$C146,Settings!$G$49))-MAX($A146,Settings!$F$49)-MOD(IFERROR(MATCH(Settings!$E$49,$EO$4:$EO$10,0),0)-WEEKDAY(MAX($A146,Settings!$F$49)),7))/7)+1)),IF(AND(IF(Settings!$E$49="",$B146,DATE(YEAR($A146),MONTH($A146),MIN(Settings!$E$49,DAY($B146))))&gt;=MAX($A146,Settings!$F$49),IF(Settings!$E$49="",$B146,DATE(YEAR($A146),MONTH($A146),MIN(Settings!$E$49,DAY($B146))))&lt;=MIN($C146,IF(Settings!$G$49="",$C146,Settings!$G$49))),1,0)))</f>
        <v/>
      </c>
      <c r="BJ146">
        <f>IF(OR(Settings!$C$50="",Settings!$D$50=""),0,Settings!$C$50*IF(Settings!$D$50="Weekly",IF(IFERROR(MATCH(Settings!$E$50,$EO$4:$EO$10,0),0)=0,0,IF(MIN($C146,IF(Settings!$G$50="",$C146,Settings!$G$50))&lt;MAX($A146,Settings!$F$50),0,INT((MIN($C146,IF(Settings!$G$50="",$C146,Settings!$G$50))-MAX($A146,Settings!$F$50)-MOD(IFERROR(MATCH(Settings!$E$50,$EO$4:$EO$10,0),0)-WEEKDAY(MAX($A146,Settings!$F$50)),7))/7)+1)),IF(AND(IF(Settings!$E$50="",$B146,DATE(YEAR($A146),MONTH($A146),MIN(Settings!$E$50,DAY($B146))))&gt;=MAX($A146,Settings!$F$50),IF(Settings!$E$50="",$B146,DATE(YEAR($A146),MONTH($A146),MIN(Settings!$E$50,DAY($B146))))&lt;=MIN($C146,IF(Settings!$G$50="",$C146,Settings!$G$50))),1,0)))</f>
        <v/>
      </c>
      <c r="BK146">
        <f>IF(OR(Settings!$C$51="",Settings!$D$51=""),0,Settings!$C$51*IF(Settings!$D$51="Weekly",IF(IFERROR(MATCH(Settings!$E$51,$EO$4:$EO$10,0),0)=0,0,IF(MIN($C146,IF(Settings!$G$51="",$C146,Settings!$G$51))&lt;MAX($A146,Settings!$F$51),0,INT((MIN($C146,IF(Settings!$G$51="",$C146,Settings!$G$51))-MAX($A146,Settings!$F$51)-MOD(IFERROR(MATCH(Settings!$E$51,$EO$4:$EO$10,0),0)-WEEKDAY(MAX($A146,Settings!$F$51)),7))/7)+1)),IF(AND(IF(Settings!$E$51="",$B146,DATE(YEAR($A146),MONTH($A146),MIN(Settings!$E$51,DAY($B146))))&gt;=MAX($A146,Settings!$F$51),IF(Settings!$E$51="",$B146,DATE(YEAR($A146),MONTH($A146),MIN(Settings!$E$51,DAY($B146))))&lt;=MIN($C146,IF(Settings!$G$51="",$C146,Settings!$G$51))),1,0)))</f>
        <v/>
      </c>
      <c r="BL146">
        <f>IF(OR(Settings!$C$52="",Settings!$D$52=""),0,Settings!$C$52*IF(Settings!$D$52="Weekly",IF(IFERROR(MATCH(Settings!$E$52,$EO$4:$EO$10,0),0)=0,0,IF(MIN($C146,IF(Settings!$G$52="",$C146,Settings!$G$52))&lt;MAX($A146,Settings!$F$52),0,INT((MIN($C146,IF(Settings!$G$52="",$C146,Settings!$G$52))-MAX($A146,Settings!$F$52)-MOD(IFERROR(MATCH(Settings!$E$52,$EO$4:$EO$10,0),0)-WEEKDAY(MAX($A146,Settings!$F$52)),7))/7)+1)),IF(AND(IF(Settings!$E$52="",$B146,DATE(YEAR($A146),MONTH($A146),MIN(Settings!$E$52,DAY($B146))))&gt;=MAX($A146,Settings!$F$52),IF(Settings!$E$52="",$B146,DATE(YEAR($A146),MONTH($A146),MIN(Settings!$E$52,DAY($B146))))&lt;=MIN($C146,IF(Settings!$G$52="",$C146,Settings!$G$52))),1,0)))</f>
        <v/>
      </c>
      <c r="BM146">
        <f>IF(OR(Settings!$C$53="",Settings!$D$53=""),0,Settings!$C$53*IF(Settings!$D$53="Weekly",IF(IFERROR(MATCH(Settings!$E$53,$EO$4:$EO$10,0),0)=0,0,IF(MIN($C146,IF(Settings!$G$53="",$C146,Settings!$G$53))&lt;MAX($A146,Settings!$F$53),0,INT((MIN($C146,IF(Settings!$G$53="",$C146,Settings!$G$53))-MAX($A146,Settings!$F$53)-MOD(IFERROR(MATCH(Settings!$E$53,$EO$4:$EO$10,0),0)-WEEKDAY(MAX($A146,Settings!$F$53)),7))/7)+1)),IF(AND(IF(Settings!$E$53="",$B146,DATE(YEAR($A146),MONTH($A146),MIN(Settings!$E$53,DAY($B146))))&gt;=MAX($A146,Settings!$F$53),IF(Settings!$E$53="",$B146,DATE(YEAR($A146),MONTH($A146),MIN(Settings!$E$53,DAY($B146))))&lt;=MIN($C146,IF(Settings!$G$53="",$C146,Settings!$G$53))),1,0)))</f>
        <v/>
      </c>
      <c r="BN146">
        <f>IF(OR(Settings!$C$54="",Settings!$D$54=""),0,Settings!$C$54*IF(Settings!$D$54="Weekly",IF(IFERROR(MATCH(Settings!$E$54,$EO$4:$EO$10,0),0)=0,0,IF(MIN($C146,IF(Settings!$G$54="",$C146,Settings!$G$54))&lt;MAX($A146,Settings!$F$54),0,INT((MIN($C146,IF(Settings!$G$54="",$C146,Settings!$G$54))-MAX($A146,Settings!$F$54)-MOD(IFERROR(MATCH(Settings!$E$54,$EO$4:$EO$10,0),0)-WEEKDAY(MAX($A146,Settings!$F$54)),7))/7)+1)),IF(AND(IF(Settings!$E$54="",$B146,DATE(YEAR($A146),MONTH($A146),MIN(Settings!$E$54,DAY($B146))))&gt;=MAX($A146,Settings!$F$54),IF(Settings!$E$54="",$B146,DATE(YEAR($A146),MONTH($A146),MIN(Settings!$E$54,DAY($B146))))&lt;=MIN($C146,IF(Settings!$G$54="",$C146,Settings!$G$54))),1,0)))</f>
        <v/>
      </c>
      <c r="BO146">
        <f>IF(OR(Settings!$C$55="",Settings!$D$55=""),0,Settings!$C$55*IF(Settings!$D$55="Weekly",IF(IFERROR(MATCH(Settings!$E$55,$EO$4:$EO$10,0),0)=0,0,IF(MIN($C146,IF(Settings!$G$55="",$C146,Settings!$G$55))&lt;MAX($A146,Settings!$F$55),0,INT((MIN($C146,IF(Settings!$G$55="",$C146,Settings!$G$55))-MAX($A146,Settings!$F$55)-MOD(IFERROR(MATCH(Settings!$E$55,$EO$4:$EO$10,0),0)-WEEKDAY(MAX($A146,Settings!$F$55)),7))/7)+1)),IF(AND(IF(Settings!$E$55="",$B146,DATE(YEAR($A146),MONTH($A146),MIN(Settings!$E$55,DAY($B146))))&gt;=MAX($A146,Settings!$F$55),IF(Settings!$E$55="",$B146,DATE(YEAR($A146),MONTH($A146),MIN(Settings!$E$55,DAY($B146))))&lt;=MIN($C146,IF(Settings!$G$55="",$C146,Settings!$G$55))),1,0)))</f>
        <v/>
      </c>
      <c r="BP146">
        <f>IF(OR(Settings!$C$56="",Settings!$D$56=""),0,Settings!$C$56*IF(Settings!$D$56="Weekly",IF(IFERROR(MATCH(Settings!$E$56,$EO$4:$EO$10,0),0)=0,0,IF(MIN($C146,IF(Settings!$G$56="",$C146,Settings!$G$56))&lt;MAX($A146,Settings!$F$56),0,INT((MIN($C146,IF(Settings!$G$56="",$C146,Settings!$G$56))-MAX($A146,Settings!$F$56)-MOD(IFERROR(MATCH(Settings!$E$56,$EO$4:$EO$10,0),0)-WEEKDAY(MAX($A146,Settings!$F$56)),7))/7)+1)),IF(AND(IF(Settings!$E$56="",$B146,DATE(YEAR($A146),MONTH($A146),MIN(Settings!$E$56,DAY($B146))))&gt;=MAX($A146,Settings!$F$56),IF(Settings!$E$56="",$B146,DATE(YEAR($A146),MONTH($A146),MIN(Settings!$E$56,DAY($B146))))&lt;=MIN($C146,IF(Settings!$G$56="",$C146,Settings!$G$56))),1,0)))</f>
        <v/>
      </c>
      <c r="BQ146">
        <f>IF(OR(Settings!$B$14="",$D146=1,$E146="pre",$A146&lt;IF(Settings!$B$15="",0,Settings!$B$15)),0,Settings!$B$14)</f>
        <v/>
      </c>
      <c r="BR146">
        <f>IF(AND('Month-End'!$EM$7&lt;&gt;"",NOT(_xlfn.ISFORMULA('Month-End'!$EM$7))),1,0)</f>
        <v/>
      </c>
      <c r="BS146">
        <f>IF(AND('Month-End'!$EM$8&lt;&gt;"",NOT(_xlfn.ISFORMULA('Month-End'!$EM$8))),1,0)</f>
        <v/>
      </c>
      <c r="BT146">
        <f>IF(AND('Month-End'!$EM$9&lt;&gt;"",NOT(_xlfn.ISFORMULA('Month-End'!$EM$9))),1,0)</f>
        <v/>
      </c>
      <c r="BU146">
        <f>IF(AND('Month-End'!$EM$10&lt;&gt;"",NOT(_xlfn.ISFORMULA('Month-End'!$EM$10))),1,0)</f>
        <v/>
      </c>
      <c r="BV146">
        <f>IF(AND('Month-End'!$EM$11&lt;&gt;"",NOT(_xlfn.ISFORMULA('Month-End'!$EM$11))),1,0)</f>
        <v/>
      </c>
      <c r="BW146">
        <f>IF(AND('Month-End'!$EM$12&lt;&gt;"",NOT(_xlfn.ISFORMULA('Month-End'!$EM$12))),1,0)</f>
        <v/>
      </c>
      <c r="BX146">
        <f>IF(AND('Month-End'!$EM$13&lt;&gt;"",NOT(_xlfn.ISFORMULA('Month-End'!$EM$13))),1,0)</f>
        <v/>
      </c>
      <c r="BY146">
        <f>IF(AND('Month-End'!$EM$14&lt;&gt;"",NOT(_xlfn.ISFORMULA('Month-End'!$EM$14))),1,0)</f>
        <v/>
      </c>
      <c r="BZ146">
        <f>IF(AND('Month-End'!$EM$15&lt;&gt;"",NOT(_xlfn.ISFORMULA('Month-End'!$EM$15))),1,0)</f>
        <v/>
      </c>
      <c r="CA146">
        <f>IF(AND('Month-End'!$EM$16&lt;&gt;"",NOT(_xlfn.ISFORMULA('Month-End'!$EM$16))),1,0)</f>
        <v/>
      </c>
      <c r="CB146">
        <f>IF(AND('Month-End'!$EM$17&lt;&gt;"",NOT(_xlfn.ISFORMULA('Month-End'!$EM$17))),1,0)</f>
        <v/>
      </c>
      <c r="CC146">
        <f>IF(AND('Month-End'!$EM$18&lt;&gt;"",NOT(_xlfn.ISFORMULA('Month-End'!$EM$18))),1,0)</f>
        <v/>
      </c>
      <c r="CD146">
        <f>IF(AND('Month-End'!$EM$19&lt;&gt;"",NOT(_xlfn.ISFORMULA('Month-End'!$EM$19))),1,0)</f>
        <v/>
      </c>
      <c r="CE146">
        <f>IF(AND('Month-End'!$EM$20&lt;&gt;"",NOT(_xlfn.ISFORMULA('Month-End'!$EM$20))),1,0)</f>
        <v/>
      </c>
      <c r="CF146">
        <f>IF(AND('Month-End'!$EM$38&lt;&gt;"",NOT(_xlfn.ISFORMULA('Month-End'!$EM$38))),1,0)</f>
        <v/>
      </c>
      <c r="CG146">
        <f>IF(AND('Month-End'!$EM$39&lt;&gt;"",NOT(_xlfn.ISFORMULA('Month-End'!$EM$39))),1,0)</f>
        <v/>
      </c>
      <c r="CH146">
        <f>IF(AND('Month-End'!$EM$40&lt;&gt;"",NOT(_xlfn.ISFORMULA('Month-End'!$EM$40))),1,0)</f>
        <v/>
      </c>
      <c r="CI146">
        <f>IF(AND('Month-End'!$EM$41&lt;&gt;"",NOT(_xlfn.ISFORMULA('Month-End'!$EM$41))),1,0)</f>
        <v/>
      </c>
      <c r="CJ146">
        <f>IF(AND('Month-End'!$EM$42&lt;&gt;"",NOT(_xlfn.ISFORMULA('Month-End'!$EM$42))),1,0)</f>
        <v/>
      </c>
      <c r="CK146">
        <f>IF(AND('Month-End'!$EM$43&lt;&gt;"",NOT(_xlfn.ISFORMULA('Month-End'!$EM$43))),1,0)</f>
        <v/>
      </c>
      <c r="CL146">
        <f>SUM($CM146:$CZ146)</f>
        <v/>
      </c>
      <c r="CM146">
        <f>IF(AND($E146&lt;&gt;"pre",AND(Settings!$A$19&lt;&gt;"",Settings!$E$19&lt;&gt;"No"),Settings!$F$19="Yes",NOT(AND('Month-End'!$EM$7&lt;&gt;"",NOT(_xlfn.ISFORMULA('Month-End'!$EM$7))))),1,0)</f>
        <v/>
      </c>
      <c r="CN146">
        <f>IF(AND($E146&lt;&gt;"pre",AND(Settings!$A$20&lt;&gt;"",Settings!$E$20&lt;&gt;"No"),Settings!$F$20="Yes",NOT(AND('Month-End'!$EM$8&lt;&gt;"",NOT(_xlfn.ISFORMULA('Month-End'!$EM$8))))),1,0)</f>
        <v/>
      </c>
      <c r="CO146">
        <f>IF(AND($E146&lt;&gt;"pre",AND(Settings!$A$21&lt;&gt;"",Settings!$E$21&lt;&gt;"No"),Settings!$F$21="Yes",NOT(AND('Month-End'!$EM$9&lt;&gt;"",NOT(_xlfn.ISFORMULA('Month-End'!$EM$9))))),1,0)</f>
        <v/>
      </c>
      <c r="CP146">
        <f>IF(AND($E146&lt;&gt;"pre",AND(Settings!$A$22&lt;&gt;"",Settings!$E$22&lt;&gt;"No"),Settings!$F$22="Yes",NOT(AND('Month-End'!$EM$10&lt;&gt;"",NOT(_xlfn.ISFORMULA('Month-End'!$EM$10))))),1,0)</f>
        <v/>
      </c>
      <c r="CQ146">
        <f>IF(AND($E146&lt;&gt;"pre",AND(Settings!$A$23&lt;&gt;"",Settings!$E$23&lt;&gt;"No"),Settings!$F$23="Yes",NOT(AND('Month-End'!$EM$11&lt;&gt;"",NOT(_xlfn.ISFORMULA('Month-End'!$EM$11))))),1,0)</f>
        <v/>
      </c>
      <c r="CR146">
        <f>IF(AND($E146&lt;&gt;"pre",AND(Settings!$A$24&lt;&gt;"",Settings!$E$24&lt;&gt;"No"),Settings!$F$24="Yes",NOT(AND('Month-End'!$EM$12&lt;&gt;"",NOT(_xlfn.ISFORMULA('Month-End'!$EM$12))))),1,0)</f>
        <v/>
      </c>
      <c r="CS146">
        <f>IF(AND($E146&lt;&gt;"pre",AND(Settings!$A$25&lt;&gt;"",Settings!$E$25&lt;&gt;"No"),Settings!$F$25="Yes",NOT(AND('Month-End'!$EM$13&lt;&gt;"",NOT(_xlfn.ISFORMULA('Month-End'!$EM$13))))),1,0)</f>
        <v/>
      </c>
      <c r="CT146">
        <f>IF(AND($E146&lt;&gt;"pre",AND(Settings!$A$26&lt;&gt;"",Settings!$E$26&lt;&gt;"No"),Settings!$F$26="Yes",NOT(AND('Month-End'!$EM$14&lt;&gt;"",NOT(_xlfn.ISFORMULA('Month-End'!$EM$14))))),1,0)</f>
        <v/>
      </c>
      <c r="CU146">
        <f>IF(AND($E146&lt;&gt;"pre",AND(Settings!$A$27&lt;&gt;"",Settings!$E$27&lt;&gt;"No"),Settings!$F$27="Yes",NOT(AND('Month-End'!$EM$15&lt;&gt;"",NOT(_xlfn.ISFORMULA('Month-End'!$EM$15))))),1,0)</f>
        <v/>
      </c>
      <c r="CV146">
        <f>IF(AND($E146&lt;&gt;"pre",AND(Settings!$A$28&lt;&gt;"",Settings!$E$28&lt;&gt;"No"),Settings!$F$28="Yes",NOT(AND('Month-End'!$EM$16&lt;&gt;"",NOT(_xlfn.ISFORMULA('Month-End'!$EM$16))))),1,0)</f>
        <v/>
      </c>
      <c r="CW146">
        <f>IF(AND($E146&lt;&gt;"pre",AND(Settings!$A$29&lt;&gt;"",Settings!$E$29&lt;&gt;"No"),Settings!$F$29="Yes",NOT(AND('Month-End'!$EM$17&lt;&gt;"",NOT(_xlfn.ISFORMULA('Month-End'!$EM$17))))),1,0)</f>
        <v/>
      </c>
      <c r="CX146">
        <f>IF(AND($E146&lt;&gt;"pre",AND(Settings!$A$30&lt;&gt;"",Settings!$E$30&lt;&gt;"No"),Settings!$F$30="Yes",NOT(AND('Month-End'!$EM$18&lt;&gt;"",NOT(_xlfn.ISFORMULA('Month-End'!$EM$18))))),1,0)</f>
        <v/>
      </c>
      <c r="CY146">
        <f>IF(AND($E146&lt;&gt;"pre",AND(Settings!$A$31&lt;&gt;"",Settings!$E$31&lt;&gt;"No"),Settings!$F$31="Yes",NOT(AND('Month-End'!$EM$19&lt;&gt;"",NOT(_xlfn.ISFORMULA('Month-End'!$EM$19))))),1,0)</f>
        <v/>
      </c>
      <c r="CZ146">
        <f>IF(AND($E146&lt;&gt;"pre",AND(Settings!$A$32&lt;&gt;"",Settings!$E$32&lt;&gt;"No"),Settings!$F$32="Yes",NOT(AND('Month-End'!$EM$20&lt;&gt;"",NOT(_xlfn.ISFORMULA('Month-End'!$EM$20))))),1,0)</f>
        <v/>
      </c>
      <c r="DA146">
        <f>IF($DT146=1,IF(OR(Settings!$B$19="Checking",Settings!$B$19="Savings",Settings!$B$19="Cash"),N($AE146),IF(OR(Settings!$B$19="Card",Settings!$B$19="Loan"),-N($AE146),0))+IF(OR(Settings!$B$20="Checking",Settings!$B$20="Savings",Settings!$B$20="Cash"),N($AF146),IF(OR(Settings!$B$20="Card",Settings!$B$20="Loan"),-N($AF146),0))+IF(OR(Settings!$B$21="Checking",Settings!$B$21="Savings",Settings!$B$21="Cash"),N($AG146),IF(OR(Settings!$B$21="Card",Settings!$B$21="Loan"),-N($AG146),0))+IF(OR(Settings!$B$22="Checking",Settings!$B$22="Savings",Settings!$B$22="Cash"),N($AH146),IF(OR(Settings!$B$22="Card",Settings!$B$22="Loan"),-N($AH146),0))+IF(OR(Settings!$B$23="Checking",Settings!$B$23="Savings",Settings!$B$23="Cash"),N($AI146),IF(OR(Settings!$B$23="Card",Settings!$B$23="Loan"),-N($AI146),0))+IF(OR(Settings!$B$24="Checking",Settings!$B$24="Savings",Settings!$B$24="Cash"),N($AJ146),IF(OR(Settings!$B$24="Card",Settings!$B$24="Loan"),-N($AJ146),0))+IF(OR(Settings!$B$25="Checking",Settings!$B$25="Savings",Settings!$B$25="Cash"),N($AK146),IF(OR(Settings!$B$25="Card",Settings!$B$25="Loan"),-N($AK146),0))+IF(OR(Settings!$B$26="Checking",Settings!$B$26="Savings",Settings!$B$26="Cash"),N($AL146),IF(OR(Settings!$B$26="Card",Settings!$B$26="Loan"),-N($AL146),0))+IF(OR(Settings!$B$27="Checking",Settings!$B$27="Savings",Settings!$B$27="Cash"),N($AM146),IF(OR(Settings!$B$27="Card",Settings!$B$27="Loan"),-N($AM146),0))+IF(OR(Settings!$B$28="Checking",Settings!$B$28="Savings",Settings!$B$28="Cash"),N($AN146),IF(OR(Settings!$B$28="Card",Settings!$B$28="Loan"),-N($AN146),0))+IF(OR(Settings!$B$29="Checking",Settings!$B$29="Savings",Settings!$B$29="Cash"),N($AO146),IF(OR(Settings!$B$29="Card",Settings!$B$29="Loan"),-N($AO146),0))+IF(OR(Settings!$B$30="Checking",Settings!$B$30="Savings",Settings!$B$30="Cash"),N($AP146),IF(OR(Settings!$B$30="Card",Settings!$B$30="Loan"),-N($AP146),0))+IF(OR(Settings!$B$31="Checking",Settings!$B$31="Savings",Settings!$B$31="Cash"),N($AQ146),IF(OR(Settings!$B$31="Card",Settings!$B$31="Loan"),-N($AQ146),0))+IF(OR(Settings!$B$32="Checking",Settings!$B$32="Savings",Settings!$B$32="Cash"),N($AR146),IF(OR(Settings!$B$32="Card",Settings!$B$32="Loan"),-N($AR146),0)),"")</f>
        <v/>
      </c>
      <c r="DB146">
        <f>IF($E146="open",$EB$27,IF($E146="post",IF($E145="pre",$EB$27,$DA145),""))</f>
        <v/>
      </c>
      <c r="DC146">
        <f>IF($E146="open",1,IF($E146="post",IF($E145="pre",1,$DT145),0))</f>
        <v/>
      </c>
      <c r="DD146">
        <f>IF(AND($DT146=1,$DC146=1),ROUND($W146-($DA146-$DB146)-$AD146-$AB146,2),"")</f>
        <v/>
      </c>
      <c r="DE146">
        <f>IF('Month-End'!$EM$35="",$BQ146,N('Month-End'!$EM$35))</f>
        <v/>
      </c>
      <c r="DF146">
        <f>N('Month-End'!$EM$36)</f>
        <v/>
      </c>
      <c r="DG146">
        <f>IF($DD146="","",$DD146+$DE146)</f>
        <v/>
      </c>
      <c r="DH146">
        <f>IF($DG146="","",$DG146-$DF146)</f>
        <v/>
      </c>
      <c r="DI146">
        <f>IF(OR($E146="pre",$D146=1),"",N($AS146)+N($AT146)+N($AU146)+N($AV146)+N($AW146)+N($AX146))</f>
        <v/>
      </c>
      <c r="DJ146">
        <f>IF($DT146=1,$DA146+N($DI146),"")</f>
        <v/>
      </c>
      <c r="DK146">
        <f>IF($DD146="","",$W146-$DD146-$AB146)</f>
        <v/>
      </c>
      <c r="DL146">
        <f>IF(AND($E146="post",$DD146&lt;&gt;"",$B146&lt;TODAY()),1,0)</f>
        <v/>
      </c>
      <c r="DM146">
        <f>IF($DL146=1,COUNTIF($DL146:$DL$183,1),0)</f>
        <v/>
      </c>
      <c r="DN146">
        <f>IF($D146=1,"",IF($E146="pre","History only",IF($DT146=1,IF($DD146="","⚠ Previous month missing",IF($DD146&lt;0,"⚠ Check: spending &lt; 0",IF($E146="open","✓ Done (partial)","✓ Done"))),IF($B146&gt;=TODAY(),"In progress","⚠ Needs balances"))))</f>
        <v/>
      </c>
      <c r="DO146">
        <f>YEAR($A146)</f>
        <v/>
      </c>
      <c r="DP146">
        <f>DATE(YEAR($A146),INT((MONTH($A146)-1)/3)*3+1,1)</f>
        <v/>
      </c>
      <c r="DQ146">
        <f>IF(AND($DT146=1,$DD146&lt;&gt;"",$D146=0),ROW(),0)</f>
        <v/>
      </c>
      <c r="DR146">
        <f>IF(AND($E146&lt;&gt;"pre",$B146&lt;TODAY(),$DT146=0),1,0)</f>
        <v/>
      </c>
      <c r="DS146">
        <f>IF($DJ146="",NA(),$DJ146)</f>
        <v/>
      </c>
      <c r="DT146">
        <f>IF(AND($E146&lt;&gt;"pre",$CL146=0,COUNTIFS(Settings!$F$19:$F$32,"Yes",Settings!$A$19:$A$32,"&lt;&gt;",Settings!$E$19:$E$32,"&lt;&gt;No")&gt;0),1,0)</f>
        <v/>
      </c>
      <c r="DU146">
        <f>IF(AND($B146&lt;TODAY(),$S146&gt;0),1,0)</f>
        <v/>
      </c>
      <c r="DV146">
        <f>IF($DU146=1,COUNTIF($DU146:$DU$183,1),0)</f>
        <v/>
      </c>
      <c r="DW146">
        <f>IF(AND(OR(Settings!$B$19="Card",Settings!$B$19="Loan"),AND('Month-End'!$EM$7&lt;&gt;"",NOT(_xlfn.ISFORMULA('Month-End'!$EM$7)))),IF(N('Month-End'!$EM$7)&lt;0,1,0),0)+IF(AND(OR(Settings!$B$20="Card",Settings!$B$20="Loan"),AND('Month-End'!$EM$8&lt;&gt;"",NOT(_xlfn.ISFORMULA('Month-End'!$EM$8)))),IF(N('Month-End'!$EM$8)&lt;0,1,0),0)+IF(AND(OR(Settings!$B$21="Card",Settings!$B$21="Loan"),AND('Month-End'!$EM$9&lt;&gt;"",NOT(_xlfn.ISFORMULA('Month-End'!$EM$9)))),IF(N('Month-End'!$EM$9)&lt;0,1,0),0)+IF(AND(OR(Settings!$B$22="Card",Settings!$B$22="Loan"),AND('Month-End'!$EM$10&lt;&gt;"",NOT(_xlfn.ISFORMULA('Month-End'!$EM$10)))),IF(N('Month-End'!$EM$10)&lt;0,1,0),0)+IF(AND(OR(Settings!$B$23="Card",Settings!$B$23="Loan"),AND('Month-End'!$EM$11&lt;&gt;"",NOT(_xlfn.ISFORMULA('Month-End'!$EM$11)))),IF(N('Month-End'!$EM$11)&lt;0,1,0),0)+IF(AND(OR(Settings!$B$24="Card",Settings!$B$24="Loan"),AND('Month-End'!$EM$12&lt;&gt;"",NOT(_xlfn.ISFORMULA('Month-End'!$EM$12)))),IF(N('Month-End'!$EM$12)&lt;0,1,0),0)+IF(AND(OR(Settings!$B$25="Card",Settings!$B$25="Loan"),AND('Month-End'!$EM$13&lt;&gt;"",NOT(_xlfn.ISFORMULA('Month-End'!$EM$13)))),IF(N('Month-End'!$EM$13)&lt;0,1,0),0)+IF(AND(OR(Settings!$B$26="Card",Settings!$B$26="Loan"),AND('Month-End'!$EM$14&lt;&gt;"",NOT(_xlfn.ISFORMULA('Month-End'!$EM$14)))),IF(N('Month-End'!$EM$14)&lt;0,1,0),0)+IF(AND(OR(Settings!$B$27="Card",Settings!$B$27="Loan"),AND('Month-End'!$EM$15&lt;&gt;"",NOT(_xlfn.ISFORMULA('Month-End'!$EM$15)))),IF(N('Month-End'!$EM$15)&lt;0,1,0),0)+IF(AND(OR(Settings!$B$28="Card",Settings!$B$28="Loan"),AND('Month-End'!$EM$16&lt;&gt;"",NOT(_xlfn.ISFORMULA('Month-End'!$EM$16)))),IF(N('Month-End'!$EM$16)&lt;0,1,0),0)+IF(AND(OR(Settings!$B$29="Card",Settings!$B$29="Loan"),AND('Month-End'!$EM$17&lt;&gt;"",NOT(_xlfn.ISFORMULA('Month-End'!$EM$17)))),IF(N('Month-End'!$EM$17)&lt;0,1,0),0)+IF(AND(OR(Settings!$B$30="Card",Settings!$B$30="Loan"),AND('Month-End'!$EM$18&lt;&gt;"",NOT(_xlfn.ISFORMULA('Month-End'!$EM$18)))),IF(N('Month-End'!$EM$18)&lt;0,1,0),0)+IF(AND(OR(Settings!$B$31="Card",Settings!$B$31="Loan"),AND('Month-End'!$EM$19&lt;&gt;"",NOT(_xlfn.ISFORMULA('Month-End'!$EM$19)))),IF(N('Month-End'!$EM$19)&lt;0,1,0),0)+IF(AND(OR(Settings!$B$32="Card",Settings!$B$32="Loan"),AND('Month-End'!$EM$20&lt;&gt;"",NOT(_xlfn.ISFORMULA('Month-End'!$EM$20)))),IF(N('Month-End'!$EM$20)&lt;0,1,0),0)</f>
        <v/>
      </c>
      <c r="DX146">
        <f>IF(Settings!$B$36="Retirement",$AY146,0)+IF(Settings!$B$37="Retirement",$AZ146,0)+IF(Settings!$B$38="Retirement",$BA146,0)+IF(Settings!$B$39="Retirement",$BB146,0)+IF(Settings!$B$40="Retirement",$BC146,0)+IF(Settings!$B$41="Retirement",$BD146,0)</f>
        <v/>
      </c>
      <c r="ET146">
        <f>IF($E146&lt;&gt;"open",0,IF(AND('Month-End'!$EM$22&lt;&gt;"",NOT(_xlfn.ISFORMULA('Month-End'!$EM$22))),0,IF(OR(Settings!$C$45="",Settings!$D$45=""),0,Settings!$C$45*IF(Settings!$D$45="Weekly",IF(IFERROR(MATCH(Settings!$E$45,$EO$4:$EO$10,0),0)=0,0,IF(MIN(Settings!$B$5,IF(Settings!$G$45="",Settings!$B$5,Settings!$G$45))&lt;MAX($A146,Settings!$F$45),0,INT((MIN(Settings!$B$5,IF(Settings!$G$45="",Settings!$B$5,Settings!$G$45))-MAX($A146,Settings!$F$45)-MOD(IFERROR(MATCH(Settings!$E$45,$EO$4:$EO$10,0),0)-WEEKDAY(MAX($A146,Settings!$F$45)),7))/7)+1)),IF(AND(IF(Settings!$E$45="",$B146,DATE(YEAR($A146),MONTH($A146),MIN(Settings!$E$45,DAY($B146))))&gt;=MAX($A146,Settings!$F$45),IF(Settings!$E$45="",$B146,DATE(YEAR($A146),MONTH($A146),MIN(Settings!$E$45,DAY($B146))))&lt;=MIN(Settings!$B$5,IF(Settings!$G$45="",Settings!$B$5,Settings!$G$45))),1,0)))))</f>
        <v/>
      </c>
      <c r="EU146">
        <f>IF($E146&lt;&gt;"open",0,IF(AND('Month-End'!$EM$23&lt;&gt;"",NOT(_xlfn.ISFORMULA('Month-End'!$EM$23))),0,IF(OR(Settings!$C$46="",Settings!$D$46=""),0,Settings!$C$46*IF(Settings!$D$46="Weekly",IF(IFERROR(MATCH(Settings!$E$46,$EO$4:$EO$10,0),0)=0,0,IF(MIN(Settings!$B$5,IF(Settings!$G$46="",Settings!$B$5,Settings!$G$46))&lt;MAX($A146,Settings!$F$46),0,INT((MIN(Settings!$B$5,IF(Settings!$G$46="",Settings!$B$5,Settings!$G$46))-MAX($A146,Settings!$F$46)-MOD(IFERROR(MATCH(Settings!$E$46,$EO$4:$EO$10,0),0)-WEEKDAY(MAX($A146,Settings!$F$46)),7))/7)+1)),IF(AND(IF(Settings!$E$46="",$B146,DATE(YEAR($A146),MONTH($A146),MIN(Settings!$E$46,DAY($B146))))&gt;=MAX($A146,Settings!$F$46),IF(Settings!$E$46="",$B146,DATE(YEAR($A146),MONTH($A146),MIN(Settings!$E$46,DAY($B146))))&lt;=MIN(Settings!$B$5,IF(Settings!$G$46="",Settings!$B$5,Settings!$G$46))),1,0)))))</f>
        <v/>
      </c>
      <c r="EV146">
        <f>IF($E146&lt;&gt;"open",0,IF(AND('Month-End'!$EM$24&lt;&gt;"",NOT(_xlfn.ISFORMULA('Month-End'!$EM$24))),0,IF(OR(Settings!$C$47="",Settings!$D$47=""),0,Settings!$C$47*IF(Settings!$D$47="Weekly",IF(IFERROR(MATCH(Settings!$E$47,$EO$4:$EO$10,0),0)=0,0,IF(MIN(Settings!$B$5,IF(Settings!$G$47="",Settings!$B$5,Settings!$G$47))&lt;MAX($A146,Settings!$F$47),0,INT((MIN(Settings!$B$5,IF(Settings!$G$47="",Settings!$B$5,Settings!$G$47))-MAX($A146,Settings!$F$47)-MOD(IFERROR(MATCH(Settings!$E$47,$EO$4:$EO$10,0),0)-WEEKDAY(MAX($A146,Settings!$F$47)),7))/7)+1)),IF(AND(IF(Settings!$E$47="",$B146,DATE(YEAR($A146),MONTH($A146),MIN(Settings!$E$47,DAY($B146))))&gt;=MAX($A146,Settings!$F$47),IF(Settings!$E$47="",$B146,DATE(YEAR($A146),MONTH($A146),MIN(Settings!$E$47,DAY($B146))))&lt;=MIN(Settings!$B$5,IF(Settings!$G$47="",Settings!$B$5,Settings!$G$47))),1,0)))))</f>
        <v/>
      </c>
      <c r="EW146">
        <f>IF($E146&lt;&gt;"open",0,IF(AND('Month-End'!$EM$25&lt;&gt;"",NOT(_xlfn.ISFORMULA('Month-End'!$EM$25))),0,IF(OR(Settings!$C$48="",Settings!$D$48=""),0,Settings!$C$48*IF(Settings!$D$48="Weekly",IF(IFERROR(MATCH(Settings!$E$48,$EO$4:$EO$10,0),0)=0,0,IF(MIN(Settings!$B$5,IF(Settings!$G$48="",Settings!$B$5,Settings!$G$48))&lt;MAX($A146,Settings!$F$48),0,INT((MIN(Settings!$B$5,IF(Settings!$G$48="",Settings!$B$5,Settings!$G$48))-MAX($A146,Settings!$F$48)-MOD(IFERROR(MATCH(Settings!$E$48,$EO$4:$EO$10,0),0)-WEEKDAY(MAX($A146,Settings!$F$48)),7))/7)+1)),IF(AND(IF(Settings!$E$48="",$B146,DATE(YEAR($A146),MONTH($A146),MIN(Settings!$E$48,DAY($B146))))&gt;=MAX($A146,Settings!$F$48),IF(Settings!$E$48="",$B146,DATE(YEAR($A146),MONTH($A146),MIN(Settings!$E$48,DAY($B146))))&lt;=MIN(Settings!$B$5,IF(Settings!$G$48="",Settings!$B$5,Settings!$G$48))),1,0)))))</f>
        <v/>
      </c>
      <c r="EX146">
        <f>IF($E146&lt;&gt;"open",0,IF(AND('Month-End'!$EM$26&lt;&gt;"",NOT(_xlfn.ISFORMULA('Month-End'!$EM$26))),0,IF(OR(Settings!$C$49="",Settings!$D$49=""),0,Settings!$C$49*IF(Settings!$D$49="Weekly",IF(IFERROR(MATCH(Settings!$E$49,$EO$4:$EO$10,0),0)=0,0,IF(MIN(Settings!$B$5,IF(Settings!$G$49="",Settings!$B$5,Settings!$G$49))&lt;MAX($A146,Settings!$F$49),0,INT((MIN(Settings!$B$5,IF(Settings!$G$49="",Settings!$B$5,Settings!$G$49))-MAX($A146,Settings!$F$49)-MOD(IFERROR(MATCH(Settings!$E$49,$EO$4:$EO$10,0),0)-WEEKDAY(MAX($A146,Settings!$F$49)),7))/7)+1)),IF(AND(IF(Settings!$E$49="",$B146,DATE(YEAR($A146),MONTH($A146),MIN(Settings!$E$49,DAY($B146))))&gt;=MAX($A146,Settings!$F$49),IF(Settings!$E$49="",$B146,DATE(YEAR($A146),MONTH($A146),MIN(Settings!$E$49,DAY($B146))))&lt;=MIN(Settings!$B$5,IF(Settings!$G$49="",Settings!$B$5,Settings!$G$49))),1,0)))))</f>
        <v/>
      </c>
      <c r="EY146">
        <f>IF($E146&lt;&gt;"open",0,IF(AND('Month-End'!$EM$27&lt;&gt;"",NOT(_xlfn.ISFORMULA('Month-End'!$EM$27))),0,IF(OR(Settings!$C$50="",Settings!$D$50=""),0,Settings!$C$50*IF(Settings!$D$50="Weekly",IF(IFERROR(MATCH(Settings!$E$50,$EO$4:$EO$10,0),0)=0,0,IF(MIN(Settings!$B$5,IF(Settings!$G$50="",Settings!$B$5,Settings!$G$50))&lt;MAX($A146,Settings!$F$50),0,INT((MIN(Settings!$B$5,IF(Settings!$G$50="",Settings!$B$5,Settings!$G$50))-MAX($A146,Settings!$F$50)-MOD(IFERROR(MATCH(Settings!$E$50,$EO$4:$EO$10,0),0)-WEEKDAY(MAX($A146,Settings!$F$50)),7))/7)+1)),IF(AND(IF(Settings!$E$50="",$B146,DATE(YEAR($A146),MONTH($A146),MIN(Settings!$E$50,DAY($B146))))&gt;=MAX($A146,Settings!$F$50),IF(Settings!$E$50="",$B146,DATE(YEAR($A146),MONTH($A146),MIN(Settings!$E$50,DAY($B146))))&lt;=MIN(Settings!$B$5,IF(Settings!$G$50="",Settings!$B$5,Settings!$G$50))),1,0)))))</f>
        <v/>
      </c>
      <c r="EZ146">
        <f>IF($E146&lt;&gt;"open",0,IF(AND('Month-End'!$EM$28&lt;&gt;"",NOT(_xlfn.ISFORMULA('Month-End'!$EM$28))),0,IF(OR(Settings!$C$51="",Settings!$D$51=""),0,Settings!$C$51*IF(Settings!$D$51="Weekly",IF(IFERROR(MATCH(Settings!$E$51,$EO$4:$EO$10,0),0)=0,0,IF(MIN(Settings!$B$5,IF(Settings!$G$51="",Settings!$B$5,Settings!$G$51))&lt;MAX($A146,Settings!$F$51),0,INT((MIN(Settings!$B$5,IF(Settings!$G$51="",Settings!$B$5,Settings!$G$51))-MAX($A146,Settings!$F$51)-MOD(IFERROR(MATCH(Settings!$E$51,$EO$4:$EO$10,0),0)-WEEKDAY(MAX($A146,Settings!$F$51)),7))/7)+1)),IF(AND(IF(Settings!$E$51="",$B146,DATE(YEAR($A146),MONTH($A146),MIN(Settings!$E$51,DAY($B146))))&gt;=MAX($A146,Settings!$F$51),IF(Settings!$E$51="",$B146,DATE(YEAR($A146),MONTH($A146),MIN(Settings!$E$51,DAY($B146))))&lt;=MIN(Settings!$B$5,IF(Settings!$G$51="",Settings!$B$5,Settings!$G$51))),1,0)))))</f>
        <v/>
      </c>
      <c r="FA146">
        <f>IF($E146&lt;&gt;"open",0,IF(AND('Month-End'!$EM$29&lt;&gt;"",NOT(_xlfn.ISFORMULA('Month-End'!$EM$29))),0,IF(OR(Settings!$C$52="",Settings!$D$52=""),0,Settings!$C$52*IF(Settings!$D$52="Weekly",IF(IFERROR(MATCH(Settings!$E$52,$EO$4:$EO$10,0),0)=0,0,IF(MIN(Settings!$B$5,IF(Settings!$G$52="",Settings!$B$5,Settings!$G$52))&lt;MAX($A146,Settings!$F$52),0,INT((MIN(Settings!$B$5,IF(Settings!$G$52="",Settings!$B$5,Settings!$G$52))-MAX($A146,Settings!$F$52)-MOD(IFERROR(MATCH(Settings!$E$52,$EO$4:$EO$10,0),0)-WEEKDAY(MAX($A146,Settings!$F$52)),7))/7)+1)),IF(AND(IF(Settings!$E$52="",$B146,DATE(YEAR($A146),MONTH($A146),MIN(Settings!$E$52,DAY($B146))))&gt;=MAX($A146,Settings!$F$52),IF(Settings!$E$52="",$B146,DATE(YEAR($A146),MONTH($A146),MIN(Settings!$E$52,DAY($B146))))&lt;=MIN(Settings!$B$5,IF(Settings!$G$52="",Settings!$B$5,Settings!$G$52))),1,0)))))</f>
        <v/>
      </c>
      <c r="FB146">
        <f>IF($E146&lt;&gt;"open",0,IF(AND('Month-End'!$EM$30&lt;&gt;"",NOT(_xlfn.ISFORMULA('Month-End'!$EM$30))),0,IF(OR(Settings!$C$53="",Settings!$D$53=""),0,Settings!$C$53*IF(Settings!$D$53="Weekly",IF(IFERROR(MATCH(Settings!$E$53,$EO$4:$EO$10,0),0)=0,0,IF(MIN(Settings!$B$5,IF(Settings!$G$53="",Settings!$B$5,Settings!$G$53))&lt;MAX($A146,Settings!$F$53),0,INT((MIN(Settings!$B$5,IF(Settings!$G$53="",Settings!$B$5,Settings!$G$53))-MAX($A146,Settings!$F$53)-MOD(IFERROR(MATCH(Settings!$E$53,$EO$4:$EO$10,0),0)-WEEKDAY(MAX($A146,Settings!$F$53)),7))/7)+1)),IF(AND(IF(Settings!$E$53="",$B146,DATE(YEAR($A146),MONTH($A146),MIN(Settings!$E$53,DAY($B146))))&gt;=MAX($A146,Settings!$F$53),IF(Settings!$E$53="",$B146,DATE(YEAR($A146),MONTH($A146),MIN(Settings!$E$53,DAY($B146))))&lt;=MIN(Settings!$B$5,IF(Settings!$G$53="",Settings!$B$5,Settings!$G$53))),1,0)))))</f>
        <v/>
      </c>
      <c r="FC146">
        <f>IF($E146&lt;&gt;"open",0,IF(AND('Month-End'!$EM$31&lt;&gt;"",NOT(_xlfn.ISFORMULA('Month-End'!$EM$31))),0,IF(OR(Settings!$C$54="",Settings!$D$54=""),0,Settings!$C$54*IF(Settings!$D$54="Weekly",IF(IFERROR(MATCH(Settings!$E$54,$EO$4:$EO$10,0),0)=0,0,IF(MIN(Settings!$B$5,IF(Settings!$G$54="",Settings!$B$5,Settings!$G$54))&lt;MAX($A146,Settings!$F$54),0,INT((MIN(Settings!$B$5,IF(Settings!$G$54="",Settings!$B$5,Settings!$G$54))-MAX($A146,Settings!$F$54)-MOD(IFERROR(MATCH(Settings!$E$54,$EO$4:$EO$10,0),0)-WEEKDAY(MAX($A146,Settings!$F$54)),7))/7)+1)),IF(AND(IF(Settings!$E$54="",$B146,DATE(YEAR($A146),MONTH($A146),MIN(Settings!$E$54,DAY($B146))))&gt;=MAX($A146,Settings!$F$54),IF(Settings!$E$54="",$B146,DATE(YEAR($A146),MONTH($A146),MIN(Settings!$E$54,DAY($B146))))&lt;=MIN(Settings!$B$5,IF(Settings!$G$54="",Settings!$B$5,Settings!$G$54))),1,0)))))</f>
        <v/>
      </c>
      <c r="FD146">
        <f>IF($E146&lt;&gt;"open",0,IF(AND('Month-End'!$EM$32&lt;&gt;"",NOT(_xlfn.ISFORMULA('Month-End'!$EM$32))),0,IF(OR(Settings!$C$55="",Settings!$D$55=""),0,Settings!$C$55*IF(Settings!$D$55="Weekly",IF(IFERROR(MATCH(Settings!$E$55,$EO$4:$EO$10,0),0)=0,0,IF(MIN(Settings!$B$5,IF(Settings!$G$55="",Settings!$B$5,Settings!$G$55))&lt;MAX($A146,Settings!$F$55),0,INT((MIN(Settings!$B$5,IF(Settings!$G$55="",Settings!$B$5,Settings!$G$55))-MAX($A146,Settings!$F$55)-MOD(IFERROR(MATCH(Settings!$E$55,$EO$4:$EO$10,0),0)-WEEKDAY(MAX($A146,Settings!$F$55)),7))/7)+1)),IF(AND(IF(Settings!$E$55="",$B146,DATE(YEAR($A146),MONTH($A146),MIN(Settings!$E$55,DAY($B146))))&gt;=MAX($A146,Settings!$F$55),IF(Settings!$E$55="",$B146,DATE(YEAR($A146),MONTH($A146),MIN(Settings!$E$55,DAY($B146))))&lt;=MIN(Settings!$B$5,IF(Settings!$G$55="",Settings!$B$5,Settings!$G$55))),1,0)))))</f>
        <v/>
      </c>
      <c r="FE146">
        <f>IF($E146&lt;&gt;"open",0,IF(AND('Month-End'!$EM$33&lt;&gt;"",NOT(_xlfn.ISFORMULA('Month-End'!$EM$33))),0,IF(OR(Settings!$C$56="",Settings!$D$56=""),0,Settings!$C$56*IF(Settings!$D$56="Weekly",IF(IFERROR(MATCH(Settings!$E$56,$EO$4:$EO$10,0),0)=0,0,IF(MIN(Settings!$B$5,IF(Settings!$G$56="",Settings!$B$5,Settings!$G$56))&lt;MAX($A146,Settings!$F$56),0,INT((MIN(Settings!$B$5,IF(Settings!$G$56="",Settings!$B$5,Settings!$G$56))-MAX($A146,Settings!$F$56)-MOD(IFERROR(MATCH(Settings!$E$56,$EO$4:$EO$10,0),0)-WEEKDAY(MAX($A146,Settings!$F$56)),7))/7)+1)),IF(AND(IF(Settings!$E$56="",$B146,DATE(YEAR($A146),MONTH($A146),MIN(Settings!$E$56,DAY($B146))))&gt;=MAX($A146,Settings!$F$56),IF(Settings!$E$56="",$B146,DATE(YEAR($A146),MONTH($A146),MIN(Settings!$E$56,DAY($B146))))&lt;=MIN(Settings!$B$5,IF(Settings!$G$56="",Settings!$B$5,Settings!$G$56))),1,0)))))</f>
        <v/>
      </c>
      <c r="FF146">
        <f>IF(Settings!$I$45="Yes",$G146,0)+IF(Settings!$I$46="Yes",$H146,0)+IF(Settings!$I$47="Yes",$I146,0)+IF(Settings!$I$48="Yes",$J146,0)+IF(Settings!$I$49="Yes",$K146,0)+IF(Settings!$I$50="Yes",$L146,0)+IF(Settings!$I$51="Yes",$M146,0)+IF(Settings!$I$52="Yes",$N146,0)+IF(Settings!$I$53="Yes",$O146,0)+IF(Settings!$I$54="Yes",$P146,0)+IF(Settings!$I$55="Yes",$Q146,0)+IF(Settings!$I$56="Yes",$R146,0)</f>
        <v/>
      </c>
      <c r="FG146">
        <f>IF(AND(Settings!$I$45="Yes",Settings!$J$45="No"),$G146,0)+IF(AND(Settings!$I$46="Yes",Settings!$J$46="No"),$H146,0)+IF(AND(Settings!$I$47="Yes",Settings!$J$47="No"),$I146,0)+IF(AND(Settings!$I$48="Yes",Settings!$J$48="No"),$J146,0)+IF(AND(Settings!$I$49="Yes",Settings!$J$49="No"),$K146,0)+IF(AND(Settings!$I$50="Yes",Settings!$J$50="No"),$L146,0)+IF(AND(Settings!$I$51="Yes",Settings!$J$51="No"),$M146,0)+IF(AND(Settings!$I$52="Yes",Settings!$J$52="No"),$N146,0)+IF(AND(Settings!$I$53="Yes",Settings!$J$53="No"),$O146,0)+IF(AND(Settings!$I$54="Yes",Settings!$J$54="No"),$P146,0)+IF(AND(Settings!$I$55="Yes",Settings!$J$55="No"),$Q146,0)+IF(AND(Settings!$I$56="Yes",Settings!$J$56="No"),$R146,0)</f>
        <v/>
      </c>
      <c r="FH146">
        <f>SUMIFS(Giving!$B$7:$B$2006,Giving!$A$7:$A$2006,"&gt;="&amp;$A146,Giving!$A$7:$A$2006,"&lt;="&amp;$B146,Giving!$G$7:$G$2006,"Yes")+IF(OR(OR(Settings!$B$60="",Settings!$F$60="No"),Settings!$H$60&lt;&gt;"Yes"),0,Settings!$B$60*IF(AND(IF(Settings!$C$60="",$B146,DATE(YEAR($A146),MONTH($A146),MIN(Settings!$C$60,DAY($B146))))&gt;=MAX($A146,Settings!$D$60),IF(Settings!$C$60="",$B146,DATE(YEAR($A146),MONTH($A146),MIN(Settings!$C$60,DAY($B146))))&lt;=MIN($C146,IF(Settings!$E$60="",$C146,Settings!$E$60))),1,0))+IF(OR(OR(Settings!$B$61="",Settings!$F$61="No"),Settings!$H$61&lt;&gt;"Yes"),0,Settings!$B$61*IF(AND(IF(Settings!$C$61="",$B146,DATE(YEAR($A146),MONTH($A146),MIN(Settings!$C$61,DAY($B146))))&gt;=MAX($A146,Settings!$D$61),IF(Settings!$C$61="",$B146,DATE(YEAR($A146),MONTH($A146),MIN(Settings!$C$61,DAY($B146))))&lt;=MIN($C146,IF(Settings!$E$61="",$C146,Settings!$E$61))),1,0))+IF(OR(OR(Settings!$B$62="",Settings!$F$62="No"),Settings!$H$62&lt;&gt;"Yes"),0,Settings!$B$62*IF(AND(IF(Settings!$C$62="",$B146,DATE(YEAR($A146),MONTH($A146),MIN(Settings!$C$62,DAY($B146))))&gt;=MAX($A146,Settings!$D$62),IF(Settings!$C$62="",$B146,DATE(YEAR($A146),MONTH($A146),MIN(Settings!$C$62,DAY($B146))))&lt;=MIN($C146,IF(Settings!$E$62="",$C146,Settings!$E$62))),1,0))+IF(OR(OR(Settings!$B$63="",Settings!$F$63="No"),Settings!$H$63&lt;&gt;"Yes"),0,Settings!$B$63*IF(AND(IF(Settings!$C$63="",$B146,DATE(YEAR($A146),MONTH($A146),MIN(Settings!$C$63,DAY($B146))))&gt;=MAX($A146,Settings!$D$63),IF(Settings!$C$63="",$B146,DATE(YEAR($A146),MONTH($A146),MIN(Settings!$C$63,DAY($B146))))&lt;=MIN($C146,IF(Settings!$E$63="",$C146,Settings!$E$63))),1,0))+IF(OR(OR(Settings!$B$64="",Settings!$F$64="No"),Settings!$H$64&lt;&gt;"Yes"),0,Settings!$B$64*IF(AND(IF(Settings!$C$64="",$B146,DATE(YEAR($A146),MONTH($A146),MIN(Settings!$C$64,DAY($B146))))&gt;=MAX($A146,Settings!$D$64),IF(Settings!$C$64="",$B146,DATE(YEAR($A146),MONTH($A146),MIN(Settings!$C$64,DAY($B146))))&lt;=MIN($C146,IF(Settings!$E$64="",$C146,Settings!$E$64))),1,0))+IF(OR(OR(Settings!$B$65="",Settings!$F$65="No"),Settings!$H$65&lt;&gt;"Yes"),0,Settings!$B$65*IF(AND(IF(Settings!$C$65="",$B146,DATE(YEAR($A146),MONTH($A146),MIN(Settings!$C$65,DAY($B146))))&gt;=MAX($A146,Settings!$D$65),IF(Settings!$C$65="",$B146,DATE(YEAR($A146),MONTH($A146),MIN(Settings!$C$65,DAY($B146))))&lt;=MIN($C146,IF(Settings!$E$65="",$C146,Settings!$E$65))),1,0))</f>
        <v/>
      </c>
      <c r="FI146">
        <f>IF($DT146=1,IF(OR(Settings!$B$19="Card",Settings!$B$19="Loan"),N($AE146),0)+IF(OR(Settings!$B$20="Card",Settings!$B$20="Loan"),N($AF146),0)+IF(OR(Settings!$B$21="Card",Settings!$B$21="Loan"),N($AG146),0)+IF(OR(Settings!$B$22="Card",Settings!$B$22="Loan"),N($AH146),0)+IF(OR(Settings!$B$23="Card",Settings!$B$23="Loan"),N($AI146),0)+IF(OR(Settings!$B$24="Card",Settings!$B$24="Loan"),N($AJ146),0)+IF(OR(Settings!$B$25="Card",Settings!$B$25="Loan"),N($AK146),0)+IF(OR(Settings!$B$26="Card",Settings!$B$26="Loan"),N($AL146),0)+IF(OR(Settings!$B$27="Card",Settings!$B$27="Loan"),N($AM146),0)+IF(OR(Settings!$B$28="Card",Settings!$B$28="Loan"),N($AN146),0)+IF(OR(Settings!$B$29="Card",Settings!$B$29="Loan"),N($AO146),0)+IF(OR(Settings!$B$30="Card",Settings!$B$30="Loan"),N($AP146),0)+IF(OR(Settings!$B$31="Card",Settings!$B$31="Loan"),N($AQ146),0)+IF(OR(Settings!$B$32="Card",Settings!$B$32="Loan"),N($AR146),0),"")</f>
        <v/>
      </c>
      <c r="FJ146">
        <f>IF($E146="open",$EB$65,IF($E146="post",IF($E145="pre",$EB$65,$FI145),""))</f>
        <v/>
      </c>
      <c r="FK146">
        <f>IF(AND($DT146=1,$DC146=1),IF(ROUND($FI146-$FJ146,2)&gt;0,1,0),0)</f>
        <v/>
      </c>
      <c r="FL146">
        <f>IF($FK146=1,$FL145+1,0)</f>
        <v/>
      </c>
    </row>
    <row r="147">
      <c r="A147">
        <f>'Month-End'!$EN$4</f>
        <v/>
      </c>
      <c r="B147">
        <f>EOMONTH($A147,0)</f>
        <v/>
      </c>
      <c r="C147">
        <f>MIN($B147,TODAY())</f>
        <v/>
      </c>
      <c r="D147">
        <f>IF($A147&gt;TODAY(),1,0)</f>
        <v/>
      </c>
      <c r="E147">
        <f>IF($B147&lt;=Settings!$B$5,"pre",IF($A147&lt;=Settings!$B$5,"open","post"))</f>
        <v/>
      </c>
      <c r="G147">
        <f>IF('Month-End'!$EN$22="",$BE147,N('Month-End'!$EN$22))</f>
        <v/>
      </c>
      <c r="H147">
        <f>IF('Month-End'!$EN$23="",$BF147,N('Month-End'!$EN$23))</f>
        <v/>
      </c>
      <c r="I147">
        <f>IF('Month-End'!$EN$24="",$BG147,N('Month-End'!$EN$24))</f>
        <v/>
      </c>
      <c r="J147">
        <f>IF('Month-End'!$EN$25="",$BH147,N('Month-End'!$EN$25))</f>
        <v/>
      </c>
      <c r="K147">
        <f>IF('Month-End'!$EN$26="",$BI147,N('Month-End'!$EN$26))</f>
        <v/>
      </c>
      <c r="L147">
        <f>IF('Month-End'!$EN$27="",$BJ147,N('Month-End'!$EN$27))</f>
        <v/>
      </c>
      <c r="M147">
        <f>IF('Month-End'!$EN$28="",$BK147,N('Month-End'!$EN$28))</f>
        <v/>
      </c>
      <c r="N147">
        <f>IF('Month-End'!$EN$29="",$BL147,N('Month-End'!$EN$29))</f>
        <v/>
      </c>
      <c r="O147">
        <f>IF('Month-End'!$EN$30="",$BM147,N('Month-End'!$EN$30))</f>
        <v/>
      </c>
      <c r="P147">
        <f>IF('Month-End'!$EN$31="",$BN147,N('Month-End'!$EN$31))</f>
        <v/>
      </c>
      <c r="Q147">
        <f>IF('Month-End'!$EN$32="",$BO147,N('Month-End'!$EN$32))</f>
        <v/>
      </c>
      <c r="R147">
        <f>IF('Month-End'!$EN$33="",$BP147,N('Month-End'!$EN$33))</f>
        <v/>
      </c>
      <c r="S147">
        <f>$G147+$H147+$I147+$J147+$K147+$L147+$M147+$N147+$O147+$P147+$Q147+$R147</f>
        <v/>
      </c>
      <c r="T147">
        <f>IF($B147&lt;Settings!$B$6,0,IF(Settings!$B$45="Yes",$G147,0)+IF(Settings!$B$46="Yes",$H147,0)+IF(Settings!$B$47="Yes",$I147,0)+IF(Settings!$B$48="Yes",$J147,0)+IF(Settings!$B$49="Yes",$K147,0)+IF(Settings!$B$50="Yes",$L147,0)+IF(Settings!$B$51="Yes",$M147,0)+IF(Settings!$B$52="Yes",$N147,0)+IF(Settings!$B$53="Yes",$O147,0)+IF(Settings!$B$54="Yes",$P147,0)+IF(Settings!$B$55="Yes",$Q147,0)+IF(Settings!$B$56="Yes",$R147,0))</f>
        <v/>
      </c>
      <c r="U147">
        <f>IF(Settings!$B$45="Not Sure",$G147,0)+IF(Settings!$B$46="Not Sure",$H147,0)+IF(Settings!$B$47="Not Sure",$I147,0)+IF(Settings!$B$48="Not Sure",$J147,0)+IF(Settings!$B$49="Not Sure",$K147,0)+IF(Settings!$B$50="Not Sure",$L147,0)+IF(Settings!$B$51="Not Sure",$M147,0)+IF(Settings!$B$52="Not Sure",$N147,0)+IF(Settings!$B$53="Not Sure",$O147,0)+IF(Settings!$B$54="Not Sure",$P147,0)+IF(Settings!$B$55="Not Sure",$Q147,0)+IF(Settings!$B$56="Not Sure",$R147,0)</f>
        <v/>
      </c>
      <c r="V147">
        <f>IF($E147="open",SUM($ET147:$FE147)+N(Settings!$B$13),0)</f>
        <v/>
      </c>
      <c r="W147">
        <f>IF($E147="post",$S147,IF($E147="open",$S147-$V147,0))</f>
        <v/>
      </c>
      <c r="X147">
        <f>SUMIFS(Giving!$B$7:$B$2006,Giving!$A$7:$A$2006,"&gt;="&amp;$A147,Giving!$A$7:$A$2006,"&lt;="&amp;$B147,Giving!$E$7:$E$2006,"&lt;&gt;No")</f>
        <v/>
      </c>
      <c r="Y147">
        <f>SUMIFS(Giving!$B$7:$B$2006,Giving!$A$7:$A$2006,"&gt;="&amp;$A147,Giving!$A$7:$A$2006,"&lt;="&amp;$B147,Giving!$E$7:$E$2006,"No")</f>
        <v/>
      </c>
      <c r="Z147">
        <f>IF(OR(Settings!$B$60="",Settings!$F$60="No"),0,Settings!$B$60*IF(AND(IF(Settings!$C$60="",$B147,DATE(YEAR($A147),MONTH($A147),MIN(Settings!$C$60,DAY($B147))))&gt;=MAX($A147,Settings!$D$60),IF(Settings!$C$60="",$B147,DATE(YEAR($A147),MONTH($A147),MIN(Settings!$C$60,DAY($B147))))&lt;=MIN($C147,IF(Settings!$E$60="",$C147,Settings!$E$60))),1,0))+IF(OR(Settings!$B$61="",Settings!$F$61="No"),0,Settings!$B$61*IF(AND(IF(Settings!$C$61="",$B147,DATE(YEAR($A147),MONTH($A147),MIN(Settings!$C$61,DAY($B147))))&gt;=MAX($A147,Settings!$D$61),IF(Settings!$C$61="",$B147,DATE(YEAR($A147),MONTH($A147),MIN(Settings!$C$61,DAY($B147))))&lt;=MIN($C147,IF(Settings!$E$61="",$C147,Settings!$E$61))),1,0))+IF(OR(Settings!$B$62="",Settings!$F$62="No"),0,Settings!$B$62*IF(AND(IF(Settings!$C$62="",$B147,DATE(YEAR($A147),MONTH($A147),MIN(Settings!$C$62,DAY($B147))))&gt;=MAX($A147,Settings!$D$62),IF(Settings!$C$62="",$B147,DATE(YEAR($A147),MONTH($A147),MIN(Settings!$C$62,DAY($B147))))&lt;=MIN($C147,IF(Settings!$E$62="",$C147,Settings!$E$62))),1,0))+IF(OR(Settings!$B$63="",Settings!$F$63="No"),0,Settings!$B$63*IF(AND(IF(Settings!$C$63="",$B147,DATE(YEAR($A147),MONTH($A147),MIN(Settings!$C$63,DAY($B147))))&gt;=MAX($A147,Settings!$D$63),IF(Settings!$C$63="",$B147,DATE(YEAR($A147),MONTH($A147),MIN(Settings!$C$63,DAY($B147))))&lt;=MIN($C147,IF(Settings!$E$63="",$C147,Settings!$E$63))),1,0))+IF(OR(Settings!$B$64="",Settings!$F$64="No"),0,Settings!$B$64*IF(AND(IF(Settings!$C$64="",$B147,DATE(YEAR($A147),MONTH($A147),MIN(Settings!$C$64,DAY($B147))))&gt;=MAX($A147,Settings!$D$64),IF(Settings!$C$64="",$B147,DATE(YEAR($A147),MONTH($A147),MIN(Settings!$C$64,DAY($B147))))&lt;=MIN($C147,IF(Settings!$E$64="",$C147,Settings!$E$64))),1,0))+IF(OR(Settings!$B$65="",Settings!$F$65="No"),0,Settings!$B$65*IF(AND(IF(Settings!$C$65="",$B147,DATE(YEAR($A147),MONTH($A147),MIN(Settings!$C$65,DAY($B147))))&gt;=MAX($A147,Settings!$D$65),IF(Settings!$C$65="",$B147,DATE(YEAR($A147),MONTH($A147),MIN(Settings!$C$65,DAY($B147))))&lt;=MIN($C147,IF(Settings!$E$65="",$C147,Settings!$E$65))),1,0))</f>
        <v/>
      </c>
      <c r="AA147">
        <f>$X147+$Z147</f>
        <v/>
      </c>
      <c r="AB147">
        <f>IF($E147="post",$AA147,IF($E147="open",SUMIFS(Giving!$B$7:$B$2006,Giving!$A$7:$A$2006,"&gt;"&amp;Settings!$B$5,Giving!$A$7:$A$2006,"&lt;="&amp;$B147,Giving!$E$7:$E$2006,"&lt;&gt;No")+IF(OR(Settings!$B$60="",Settings!$F$60="No"),0,Settings!$B$60*IF(AND(IF(Settings!$C$60="",$B147,DATE(YEAR($A147),MONTH($A147),MIN(Settings!$C$60,DAY($B147))))&gt;=MAX($A147,Settings!$D$60,Settings!$B$5+1),IF(Settings!$C$60="",$B147,DATE(YEAR($A147),MONTH($A147),MIN(Settings!$C$60,DAY($B147))))&lt;=MIN($C147,IF(Settings!$E$60="",$C147,Settings!$E$60))),1,0))+IF(OR(Settings!$B$61="",Settings!$F$61="No"),0,Settings!$B$61*IF(AND(IF(Settings!$C$61="",$B147,DATE(YEAR($A147),MONTH($A147),MIN(Settings!$C$61,DAY($B147))))&gt;=MAX($A147,Settings!$D$61,Settings!$B$5+1),IF(Settings!$C$61="",$B147,DATE(YEAR($A147),MONTH($A147),MIN(Settings!$C$61,DAY($B147))))&lt;=MIN($C147,IF(Settings!$E$61="",$C147,Settings!$E$61))),1,0))+IF(OR(Settings!$B$62="",Settings!$F$62="No"),0,Settings!$B$62*IF(AND(IF(Settings!$C$62="",$B147,DATE(YEAR($A147),MONTH($A147),MIN(Settings!$C$62,DAY($B147))))&gt;=MAX($A147,Settings!$D$62,Settings!$B$5+1),IF(Settings!$C$62="",$B147,DATE(YEAR($A147),MONTH($A147),MIN(Settings!$C$62,DAY($B147))))&lt;=MIN($C147,IF(Settings!$E$62="",$C147,Settings!$E$62))),1,0))+IF(OR(Settings!$B$63="",Settings!$F$63="No"),0,Settings!$B$63*IF(AND(IF(Settings!$C$63="",$B147,DATE(YEAR($A147),MONTH($A147),MIN(Settings!$C$63,DAY($B147))))&gt;=MAX($A147,Settings!$D$63,Settings!$B$5+1),IF(Settings!$C$63="",$B147,DATE(YEAR($A147),MONTH($A147),MIN(Settings!$C$63,DAY($B147))))&lt;=MIN($C147,IF(Settings!$E$63="",$C147,Settings!$E$63))),1,0))+IF(OR(Settings!$B$64="",Settings!$F$64="No"),0,Settings!$B$64*IF(AND(IF(Settings!$C$64="",$B147,DATE(YEAR($A147),MONTH($A147),MIN(Settings!$C$64,DAY($B147))))&gt;=MAX($A147,Settings!$D$64,Settings!$B$5+1),IF(Settings!$C$64="",$B147,DATE(YEAR($A147),MONTH($A147),MIN(Settings!$C$64,DAY($B147))))&lt;=MIN($C147,IF(Settings!$E$64="",$C147,Settings!$E$64))),1,0))+IF(OR(Settings!$B$65="",Settings!$F$65="No"),0,Settings!$B$65*IF(AND(IF(Settings!$C$65="",$B147,DATE(YEAR($A147),MONTH($A147),MIN(Settings!$C$65,DAY($B147))))&gt;=MAX($A147,Settings!$D$65,Settings!$B$5+1),IF(Settings!$C$65="",$B147,DATE(YEAR($A147),MONTH($A147),MIN(Settings!$C$65,DAY($B147))))&lt;=MIN($C147,IF(Settings!$E$65="",$C147,Settings!$E$65))),1,0)),0))</f>
        <v/>
      </c>
      <c r="AC147">
        <f>$AY147+$AZ147+$BA147+$BB147+$BC147+$BD147</f>
        <v/>
      </c>
      <c r="AD147">
        <f>$AC147</f>
        <v/>
      </c>
      <c r="AE147">
        <f>IF(OR(Settings!$A$19="",$E147="pre"),"",IF(AND('Month-End'!$EN$7&lt;&gt;"",NOT(_xlfn.ISFORMULA('Month-End'!$EN$7))),N('Month-End'!$EN$7),IF(OR($E147="open",$E146="pre"),N(Settings!$C$19),N($AE146))))</f>
        <v/>
      </c>
      <c r="AF147">
        <f>IF(OR(Settings!$A$20="",$E147="pre"),"",IF(AND('Month-End'!$EN$8&lt;&gt;"",NOT(_xlfn.ISFORMULA('Month-End'!$EN$8))),N('Month-End'!$EN$8),IF(OR($E147="open",$E146="pre"),N(Settings!$C$20),N($AF146))))</f>
        <v/>
      </c>
      <c r="AG147">
        <f>IF(OR(Settings!$A$21="",$E147="pre"),"",IF(AND('Month-End'!$EN$9&lt;&gt;"",NOT(_xlfn.ISFORMULA('Month-End'!$EN$9))),N('Month-End'!$EN$9),IF(OR($E147="open",$E146="pre"),N(Settings!$C$21),N($AG146))))</f>
        <v/>
      </c>
      <c r="AH147">
        <f>IF(OR(Settings!$A$22="",$E147="pre"),"",IF(AND('Month-End'!$EN$10&lt;&gt;"",NOT(_xlfn.ISFORMULA('Month-End'!$EN$10))),N('Month-End'!$EN$10),IF(OR($E147="open",$E146="pre"),N(Settings!$C$22),N($AH146))))</f>
        <v/>
      </c>
      <c r="AI147">
        <f>IF(OR(Settings!$A$23="",$E147="pre"),"",IF(AND('Month-End'!$EN$11&lt;&gt;"",NOT(_xlfn.ISFORMULA('Month-End'!$EN$11))),N('Month-End'!$EN$11),IF(OR($E147="open",$E146="pre"),N(Settings!$C$23),N($AI146))))</f>
        <v/>
      </c>
      <c r="AJ147">
        <f>IF(OR(Settings!$A$24="",$E147="pre"),"",IF(AND('Month-End'!$EN$12&lt;&gt;"",NOT(_xlfn.ISFORMULA('Month-End'!$EN$12))),N('Month-End'!$EN$12),IF(OR($E147="open",$E146="pre"),N(Settings!$C$24),N($AJ146))))</f>
        <v/>
      </c>
      <c r="AK147">
        <f>IF(OR(Settings!$A$25="",$E147="pre"),"",IF(AND('Month-End'!$EN$13&lt;&gt;"",NOT(_xlfn.ISFORMULA('Month-End'!$EN$13))),N('Month-End'!$EN$13),IF(OR($E147="open",$E146="pre"),N(Settings!$C$25),N($AK146))))</f>
        <v/>
      </c>
      <c r="AL147">
        <f>IF(OR(Settings!$A$26="",$E147="pre"),"",IF(AND('Month-End'!$EN$14&lt;&gt;"",NOT(_xlfn.ISFORMULA('Month-End'!$EN$14))),N('Month-End'!$EN$14),IF(OR($E147="open",$E146="pre"),N(Settings!$C$26),N($AL146))))</f>
        <v/>
      </c>
      <c r="AM147">
        <f>IF(OR(Settings!$A$27="",$E147="pre"),"",IF(AND('Month-End'!$EN$15&lt;&gt;"",NOT(_xlfn.ISFORMULA('Month-End'!$EN$15))),N('Month-End'!$EN$15),IF(OR($E147="open",$E146="pre"),N(Settings!$C$27),N($AM146))))</f>
        <v/>
      </c>
      <c r="AN147">
        <f>IF(OR(Settings!$A$28="",$E147="pre"),"",IF(AND('Month-End'!$EN$16&lt;&gt;"",NOT(_xlfn.ISFORMULA('Month-End'!$EN$16))),N('Month-End'!$EN$16),IF(OR($E147="open",$E146="pre"),N(Settings!$C$28),N($AN146))))</f>
        <v/>
      </c>
      <c r="AO147">
        <f>IF(OR(Settings!$A$29="",$E147="pre"),"",IF(AND('Month-End'!$EN$17&lt;&gt;"",NOT(_xlfn.ISFORMULA('Month-End'!$EN$17))),N('Month-End'!$EN$17),IF(OR($E147="open",$E146="pre"),N(Settings!$C$29),N($AO146))))</f>
        <v/>
      </c>
      <c r="AP147">
        <f>IF(OR(Settings!$A$30="",$E147="pre"),"",IF(AND('Month-End'!$EN$18&lt;&gt;"",NOT(_xlfn.ISFORMULA('Month-End'!$EN$18))),N('Month-End'!$EN$18),IF(OR($E147="open",$E146="pre"),N(Settings!$C$30),N($AP146))))</f>
        <v/>
      </c>
      <c r="AQ147">
        <f>IF(OR(Settings!$A$31="",$E147="pre"),"",IF(AND('Month-End'!$EN$19&lt;&gt;"",NOT(_xlfn.ISFORMULA('Month-End'!$EN$19))),N('Month-End'!$EN$19),IF(OR($E147="open",$E146="pre"),N(Settings!$C$31),N($AQ146))))</f>
        <v/>
      </c>
      <c r="AR147">
        <f>IF(OR(Settings!$A$32="",$E147="pre"),"",IF(AND('Month-End'!$EN$20&lt;&gt;"",NOT(_xlfn.ISFORMULA('Month-End'!$EN$20))),N('Month-End'!$EN$20),IF(OR($E147="open",$E146="pre"),N(Settings!$C$32),N($AR146))))</f>
        <v/>
      </c>
      <c r="AS147">
        <f>IF(OR(Settings!$A$36="",$E147="pre"),"",IF(AND('Month-End'!$EN$38&lt;&gt;"",NOT(_xlfn.ISFORMULA('Month-End'!$EN$38))),N('Month-End'!$EN$38),IF(OR($E147="open",$E146="pre"),N(Settings!$C$36),N($AS146))+$AY147))</f>
        <v/>
      </c>
      <c r="AT147">
        <f>IF(OR(Settings!$A$37="",$E147="pre"),"",IF(AND('Month-End'!$EN$39&lt;&gt;"",NOT(_xlfn.ISFORMULA('Month-End'!$EN$39))),N('Month-End'!$EN$39),IF(OR($E147="open",$E146="pre"),N(Settings!$C$37),N($AT146))+$AZ147))</f>
        <v/>
      </c>
      <c r="AU147">
        <f>IF(OR(Settings!$A$38="",$E147="pre"),"",IF(AND('Month-End'!$EN$40&lt;&gt;"",NOT(_xlfn.ISFORMULA('Month-End'!$EN$40))),N('Month-End'!$EN$40),IF(OR($E147="open",$E146="pre"),N(Settings!$C$38),N($AU146))+$BA147))</f>
        <v/>
      </c>
      <c r="AV147">
        <f>IF(OR(Settings!$A$39="",$E147="pre"),"",IF(AND('Month-End'!$EN$41&lt;&gt;"",NOT(_xlfn.ISFORMULA('Month-End'!$EN$41))),N('Month-End'!$EN$41),IF(OR($E147="open",$E146="pre"),N(Settings!$C$39),N($AV146))+$BB147))</f>
        <v/>
      </c>
      <c r="AW147">
        <f>IF(OR(Settings!$A$40="",$E147="pre"),"",IF(AND('Month-End'!$EN$42&lt;&gt;"",NOT(_xlfn.ISFORMULA('Month-End'!$EN$42))),N('Month-End'!$EN$42),IF(OR($E147="open",$E146="pre"),N(Settings!$C$40),N($AW146))+$BC147))</f>
        <v/>
      </c>
      <c r="AX147">
        <f>IF(OR(Settings!$A$41="",$E147="pre"),"",IF(AND('Month-End'!$EN$43&lt;&gt;"",NOT(_xlfn.ISFORMULA('Month-End'!$EN$43))),N('Month-End'!$EN$43),IF(OR($E147="open",$E146="pre"),N(Settings!$C$41),N($AX146))+$BD147))</f>
        <v/>
      </c>
      <c r="AY147">
        <f>IF($E147="pre",0,N('Month-End'!$EN$45))</f>
        <v/>
      </c>
      <c r="AZ147">
        <f>IF($E147="pre",0,N('Month-End'!$EN$46))</f>
        <v/>
      </c>
      <c r="BA147">
        <f>IF($E147="pre",0,N('Month-End'!$EN$47))</f>
        <v/>
      </c>
      <c r="BB147">
        <f>IF($E147="pre",0,N('Month-End'!$EN$48))</f>
        <v/>
      </c>
      <c r="BC147">
        <f>IF($E147="pre",0,N('Month-End'!$EN$49))</f>
        <v/>
      </c>
      <c r="BD147">
        <f>IF($E147="pre",0,N('Month-End'!$EN$50))</f>
        <v/>
      </c>
      <c r="BE147">
        <f>IF(OR(Settings!$C$45="",Settings!$D$45=""),0,Settings!$C$45*IF(Settings!$D$45="Weekly",IF(IFERROR(MATCH(Settings!$E$45,$EO$4:$EO$10,0),0)=0,0,IF(MIN($C147,IF(Settings!$G$45="",$C147,Settings!$G$45))&lt;MAX($A147,Settings!$F$45),0,INT((MIN($C147,IF(Settings!$G$45="",$C147,Settings!$G$45))-MAX($A147,Settings!$F$45)-MOD(IFERROR(MATCH(Settings!$E$45,$EO$4:$EO$10,0),0)-WEEKDAY(MAX($A147,Settings!$F$45)),7))/7)+1)),IF(AND(IF(Settings!$E$45="",$B147,DATE(YEAR($A147),MONTH($A147),MIN(Settings!$E$45,DAY($B147))))&gt;=MAX($A147,Settings!$F$45),IF(Settings!$E$45="",$B147,DATE(YEAR($A147),MONTH($A147),MIN(Settings!$E$45,DAY($B147))))&lt;=MIN($C147,IF(Settings!$G$45="",$C147,Settings!$G$45))),1,0)))</f>
        <v/>
      </c>
      <c r="BF147">
        <f>IF(OR(Settings!$C$46="",Settings!$D$46=""),0,Settings!$C$46*IF(Settings!$D$46="Weekly",IF(IFERROR(MATCH(Settings!$E$46,$EO$4:$EO$10,0),0)=0,0,IF(MIN($C147,IF(Settings!$G$46="",$C147,Settings!$G$46))&lt;MAX($A147,Settings!$F$46),0,INT((MIN($C147,IF(Settings!$G$46="",$C147,Settings!$G$46))-MAX($A147,Settings!$F$46)-MOD(IFERROR(MATCH(Settings!$E$46,$EO$4:$EO$10,0),0)-WEEKDAY(MAX($A147,Settings!$F$46)),7))/7)+1)),IF(AND(IF(Settings!$E$46="",$B147,DATE(YEAR($A147),MONTH($A147),MIN(Settings!$E$46,DAY($B147))))&gt;=MAX($A147,Settings!$F$46),IF(Settings!$E$46="",$B147,DATE(YEAR($A147),MONTH($A147),MIN(Settings!$E$46,DAY($B147))))&lt;=MIN($C147,IF(Settings!$G$46="",$C147,Settings!$G$46))),1,0)))</f>
        <v/>
      </c>
      <c r="BG147">
        <f>IF(OR(Settings!$C$47="",Settings!$D$47=""),0,Settings!$C$47*IF(Settings!$D$47="Weekly",IF(IFERROR(MATCH(Settings!$E$47,$EO$4:$EO$10,0),0)=0,0,IF(MIN($C147,IF(Settings!$G$47="",$C147,Settings!$G$47))&lt;MAX($A147,Settings!$F$47),0,INT((MIN($C147,IF(Settings!$G$47="",$C147,Settings!$G$47))-MAX($A147,Settings!$F$47)-MOD(IFERROR(MATCH(Settings!$E$47,$EO$4:$EO$10,0),0)-WEEKDAY(MAX($A147,Settings!$F$47)),7))/7)+1)),IF(AND(IF(Settings!$E$47="",$B147,DATE(YEAR($A147),MONTH($A147),MIN(Settings!$E$47,DAY($B147))))&gt;=MAX($A147,Settings!$F$47),IF(Settings!$E$47="",$B147,DATE(YEAR($A147),MONTH($A147),MIN(Settings!$E$47,DAY($B147))))&lt;=MIN($C147,IF(Settings!$G$47="",$C147,Settings!$G$47))),1,0)))</f>
        <v/>
      </c>
      <c r="BH147">
        <f>IF(OR(Settings!$C$48="",Settings!$D$48=""),0,Settings!$C$48*IF(Settings!$D$48="Weekly",IF(IFERROR(MATCH(Settings!$E$48,$EO$4:$EO$10,0),0)=0,0,IF(MIN($C147,IF(Settings!$G$48="",$C147,Settings!$G$48))&lt;MAX($A147,Settings!$F$48),0,INT((MIN($C147,IF(Settings!$G$48="",$C147,Settings!$G$48))-MAX($A147,Settings!$F$48)-MOD(IFERROR(MATCH(Settings!$E$48,$EO$4:$EO$10,0),0)-WEEKDAY(MAX($A147,Settings!$F$48)),7))/7)+1)),IF(AND(IF(Settings!$E$48="",$B147,DATE(YEAR($A147),MONTH($A147),MIN(Settings!$E$48,DAY($B147))))&gt;=MAX($A147,Settings!$F$48),IF(Settings!$E$48="",$B147,DATE(YEAR($A147),MONTH($A147),MIN(Settings!$E$48,DAY($B147))))&lt;=MIN($C147,IF(Settings!$G$48="",$C147,Settings!$G$48))),1,0)))</f>
        <v/>
      </c>
      <c r="BI147">
        <f>IF(OR(Settings!$C$49="",Settings!$D$49=""),0,Settings!$C$49*IF(Settings!$D$49="Weekly",IF(IFERROR(MATCH(Settings!$E$49,$EO$4:$EO$10,0),0)=0,0,IF(MIN($C147,IF(Settings!$G$49="",$C147,Settings!$G$49))&lt;MAX($A147,Settings!$F$49),0,INT((MIN($C147,IF(Settings!$G$49="",$C147,Settings!$G$49))-MAX($A147,Settings!$F$49)-MOD(IFERROR(MATCH(Settings!$E$49,$EO$4:$EO$10,0),0)-WEEKDAY(MAX($A147,Settings!$F$49)),7))/7)+1)),IF(AND(IF(Settings!$E$49="",$B147,DATE(YEAR($A147),MONTH($A147),MIN(Settings!$E$49,DAY($B147))))&gt;=MAX($A147,Settings!$F$49),IF(Settings!$E$49="",$B147,DATE(YEAR($A147),MONTH($A147),MIN(Settings!$E$49,DAY($B147))))&lt;=MIN($C147,IF(Settings!$G$49="",$C147,Settings!$G$49))),1,0)))</f>
        <v/>
      </c>
      <c r="BJ147">
        <f>IF(OR(Settings!$C$50="",Settings!$D$50=""),0,Settings!$C$50*IF(Settings!$D$50="Weekly",IF(IFERROR(MATCH(Settings!$E$50,$EO$4:$EO$10,0),0)=0,0,IF(MIN($C147,IF(Settings!$G$50="",$C147,Settings!$G$50))&lt;MAX($A147,Settings!$F$50),0,INT((MIN($C147,IF(Settings!$G$50="",$C147,Settings!$G$50))-MAX($A147,Settings!$F$50)-MOD(IFERROR(MATCH(Settings!$E$50,$EO$4:$EO$10,0),0)-WEEKDAY(MAX($A147,Settings!$F$50)),7))/7)+1)),IF(AND(IF(Settings!$E$50="",$B147,DATE(YEAR($A147),MONTH($A147),MIN(Settings!$E$50,DAY($B147))))&gt;=MAX($A147,Settings!$F$50),IF(Settings!$E$50="",$B147,DATE(YEAR($A147),MONTH($A147),MIN(Settings!$E$50,DAY($B147))))&lt;=MIN($C147,IF(Settings!$G$50="",$C147,Settings!$G$50))),1,0)))</f>
        <v/>
      </c>
      <c r="BK147">
        <f>IF(OR(Settings!$C$51="",Settings!$D$51=""),0,Settings!$C$51*IF(Settings!$D$51="Weekly",IF(IFERROR(MATCH(Settings!$E$51,$EO$4:$EO$10,0),0)=0,0,IF(MIN($C147,IF(Settings!$G$51="",$C147,Settings!$G$51))&lt;MAX($A147,Settings!$F$51),0,INT((MIN($C147,IF(Settings!$G$51="",$C147,Settings!$G$51))-MAX($A147,Settings!$F$51)-MOD(IFERROR(MATCH(Settings!$E$51,$EO$4:$EO$10,0),0)-WEEKDAY(MAX($A147,Settings!$F$51)),7))/7)+1)),IF(AND(IF(Settings!$E$51="",$B147,DATE(YEAR($A147),MONTH($A147),MIN(Settings!$E$51,DAY($B147))))&gt;=MAX($A147,Settings!$F$51),IF(Settings!$E$51="",$B147,DATE(YEAR($A147),MONTH($A147),MIN(Settings!$E$51,DAY($B147))))&lt;=MIN($C147,IF(Settings!$G$51="",$C147,Settings!$G$51))),1,0)))</f>
        <v/>
      </c>
      <c r="BL147">
        <f>IF(OR(Settings!$C$52="",Settings!$D$52=""),0,Settings!$C$52*IF(Settings!$D$52="Weekly",IF(IFERROR(MATCH(Settings!$E$52,$EO$4:$EO$10,0),0)=0,0,IF(MIN($C147,IF(Settings!$G$52="",$C147,Settings!$G$52))&lt;MAX($A147,Settings!$F$52),0,INT((MIN($C147,IF(Settings!$G$52="",$C147,Settings!$G$52))-MAX($A147,Settings!$F$52)-MOD(IFERROR(MATCH(Settings!$E$52,$EO$4:$EO$10,0),0)-WEEKDAY(MAX($A147,Settings!$F$52)),7))/7)+1)),IF(AND(IF(Settings!$E$52="",$B147,DATE(YEAR($A147),MONTH($A147),MIN(Settings!$E$52,DAY($B147))))&gt;=MAX($A147,Settings!$F$52),IF(Settings!$E$52="",$B147,DATE(YEAR($A147),MONTH($A147),MIN(Settings!$E$52,DAY($B147))))&lt;=MIN($C147,IF(Settings!$G$52="",$C147,Settings!$G$52))),1,0)))</f>
        <v/>
      </c>
      <c r="BM147">
        <f>IF(OR(Settings!$C$53="",Settings!$D$53=""),0,Settings!$C$53*IF(Settings!$D$53="Weekly",IF(IFERROR(MATCH(Settings!$E$53,$EO$4:$EO$10,0),0)=0,0,IF(MIN($C147,IF(Settings!$G$53="",$C147,Settings!$G$53))&lt;MAX($A147,Settings!$F$53),0,INT((MIN($C147,IF(Settings!$G$53="",$C147,Settings!$G$53))-MAX($A147,Settings!$F$53)-MOD(IFERROR(MATCH(Settings!$E$53,$EO$4:$EO$10,0),0)-WEEKDAY(MAX($A147,Settings!$F$53)),7))/7)+1)),IF(AND(IF(Settings!$E$53="",$B147,DATE(YEAR($A147),MONTH($A147),MIN(Settings!$E$53,DAY($B147))))&gt;=MAX($A147,Settings!$F$53),IF(Settings!$E$53="",$B147,DATE(YEAR($A147),MONTH($A147),MIN(Settings!$E$53,DAY($B147))))&lt;=MIN($C147,IF(Settings!$G$53="",$C147,Settings!$G$53))),1,0)))</f>
        <v/>
      </c>
      <c r="BN147">
        <f>IF(OR(Settings!$C$54="",Settings!$D$54=""),0,Settings!$C$54*IF(Settings!$D$54="Weekly",IF(IFERROR(MATCH(Settings!$E$54,$EO$4:$EO$10,0),0)=0,0,IF(MIN($C147,IF(Settings!$G$54="",$C147,Settings!$G$54))&lt;MAX($A147,Settings!$F$54),0,INT((MIN($C147,IF(Settings!$G$54="",$C147,Settings!$G$54))-MAX($A147,Settings!$F$54)-MOD(IFERROR(MATCH(Settings!$E$54,$EO$4:$EO$10,0),0)-WEEKDAY(MAX($A147,Settings!$F$54)),7))/7)+1)),IF(AND(IF(Settings!$E$54="",$B147,DATE(YEAR($A147),MONTH($A147),MIN(Settings!$E$54,DAY($B147))))&gt;=MAX($A147,Settings!$F$54),IF(Settings!$E$54="",$B147,DATE(YEAR($A147),MONTH($A147),MIN(Settings!$E$54,DAY($B147))))&lt;=MIN($C147,IF(Settings!$G$54="",$C147,Settings!$G$54))),1,0)))</f>
        <v/>
      </c>
      <c r="BO147">
        <f>IF(OR(Settings!$C$55="",Settings!$D$55=""),0,Settings!$C$55*IF(Settings!$D$55="Weekly",IF(IFERROR(MATCH(Settings!$E$55,$EO$4:$EO$10,0),0)=0,0,IF(MIN($C147,IF(Settings!$G$55="",$C147,Settings!$G$55))&lt;MAX($A147,Settings!$F$55),0,INT((MIN($C147,IF(Settings!$G$55="",$C147,Settings!$G$55))-MAX($A147,Settings!$F$55)-MOD(IFERROR(MATCH(Settings!$E$55,$EO$4:$EO$10,0),0)-WEEKDAY(MAX($A147,Settings!$F$55)),7))/7)+1)),IF(AND(IF(Settings!$E$55="",$B147,DATE(YEAR($A147),MONTH($A147),MIN(Settings!$E$55,DAY($B147))))&gt;=MAX($A147,Settings!$F$55),IF(Settings!$E$55="",$B147,DATE(YEAR($A147),MONTH($A147),MIN(Settings!$E$55,DAY($B147))))&lt;=MIN($C147,IF(Settings!$G$55="",$C147,Settings!$G$55))),1,0)))</f>
        <v/>
      </c>
      <c r="BP147">
        <f>IF(OR(Settings!$C$56="",Settings!$D$56=""),0,Settings!$C$56*IF(Settings!$D$56="Weekly",IF(IFERROR(MATCH(Settings!$E$56,$EO$4:$EO$10,0),0)=0,0,IF(MIN($C147,IF(Settings!$G$56="",$C147,Settings!$G$56))&lt;MAX($A147,Settings!$F$56),0,INT((MIN($C147,IF(Settings!$G$56="",$C147,Settings!$G$56))-MAX($A147,Settings!$F$56)-MOD(IFERROR(MATCH(Settings!$E$56,$EO$4:$EO$10,0),0)-WEEKDAY(MAX($A147,Settings!$F$56)),7))/7)+1)),IF(AND(IF(Settings!$E$56="",$B147,DATE(YEAR($A147),MONTH($A147),MIN(Settings!$E$56,DAY($B147))))&gt;=MAX($A147,Settings!$F$56),IF(Settings!$E$56="",$B147,DATE(YEAR($A147),MONTH($A147),MIN(Settings!$E$56,DAY($B147))))&lt;=MIN($C147,IF(Settings!$G$56="",$C147,Settings!$G$56))),1,0)))</f>
        <v/>
      </c>
      <c r="BQ147">
        <f>IF(OR(Settings!$B$14="",$D147=1,$E147="pre",$A147&lt;IF(Settings!$B$15="",0,Settings!$B$15)),0,Settings!$B$14)</f>
        <v/>
      </c>
      <c r="BR147">
        <f>IF(AND('Month-End'!$EN$7&lt;&gt;"",NOT(_xlfn.ISFORMULA('Month-End'!$EN$7))),1,0)</f>
        <v/>
      </c>
      <c r="BS147">
        <f>IF(AND('Month-End'!$EN$8&lt;&gt;"",NOT(_xlfn.ISFORMULA('Month-End'!$EN$8))),1,0)</f>
        <v/>
      </c>
      <c r="BT147">
        <f>IF(AND('Month-End'!$EN$9&lt;&gt;"",NOT(_xlfn.ISFORMULA('Month-End'!$EN$9))),1,0)</f>
        <v/>
      </c>
      <c r="BU147">
        <f>IF(AND('Month-End'!$EN$10&lt;&gt;"",NOT(_xlfn.ISFORMULA('Month-End'!$EN$10))),1,0)</f>
        <v/>
      </c>
      <c r="BV147">
        <f>IF(AND('Month-End'!$EN$11&lt;&gt;"",NOT(_xlfn.ISFORMULA('Month-End'!$EN$11))),1,0)</f>
        <v/>
      </c>
      <c r="BW147">
        <f>IF(AND('Month-End'!$EN$12&lt;&gt;"",NOT(_xlfn.ISFORMULA('Month-End'!$EN$12))),1,0)</f>
        <v/>
      </c>
      <c r="BX147">
        <f>IF(AND('Month-End'!$EN$13&lt;&gt;"",NOT(_xlfn.ISFORMULA('Month-End'!$EN$13))),1,0)</f>
        <v/>
      </c>
      <c r="BY147">
        <f>IF(AND('Month-End'!$EN$14&lt;&gt;"",NOT(_xlfn.ISFORMULA('Month-End'!$EN$14))),1,0)</f>
        <v/>
      </c>
      <c r="BZ147">
        <f>IF(AND('Month-End'!$EN$15&lt;&gt;"",NOT(_xlfn.ISFORMULA('Month-End'!$EN$15))),1,0)</f>
        <v/>
      </c>
      <c r="CA147">
        <f>IF(AND('Month-End'!$EN$16&lt;&gt;"",NOT(_xlfn.ISFORMULA('Month-End'!$EN$16))),1,0)</f>
        <v/>
      </c>
      <c r="CB147">
        <f>IF(AND('Month-End'!$EN$17&lt;&gt;"",NOT(_xlfn.ISFORMULA('Month-End'!$EN$17))),1,0)</f>
        <v/>
      </c>
      <c r="CC147">
        <f>IF(AND('Month-End'!$EN$18&lt;&gt;"",NOT(_xlfn.ISFORMULA('Month-End'!$EN$18))),1,0)</f>
        <v/>
      </c>
      <c r="CD147">
        <f>IF(AND('Month-End'!$EN$19&lt;&gt;"",NOT(_xlfn.ISFORMULA('Month-End'!$EN$19))),1,0)</f>
        <v/>
      </c>
      <c r="CE147">
        <f>IF(AND('Month-End'!$EN$20&lt;&gt;"",NOT(_xlfn.ISFORMULA('Month-End'!$EN$20))),1,0)</f>
        <v/>
      </c>
      <c r="CF147">
        <f>IF(AND('Month-End'!$EN$38&lt;&gt;"",NOT(_xlfn.ISFORMULA('Month-End'!$EN$38))),1,0)</f>
        <v/>
      </c>
      <c r="CG147">
        <f>IF(AND('Month-End'!$EN$39&lt;&gt;"",NOT(_xlfn.ISFORMULA('Month-End'!$EN$39))),1,0)</f>
        <v/>
      </c>
      <c r="CH147">
        <f>IF(AND('Month-End'!$EN$40&lt;&gt;"",NOT(_xlfn.ISFORMULA('Month-End'!$EN$40))),1,0)</f>
        <v/>
      </c>
      <c r="CI147">
        <f>IF(AND('Month-End'!$EN$41&lt;&gt;"",NOT(_xlfn.ISFORMULA('Month-End'!$EN$41))),1,0)</f>
        <v/>
      </c>
      <c r="CJ147">
        <f>IF(AND('Month-End'!$EN$42&lt;&gt;"",NOT(_xlfn.ISFORMULA('Month-End'!$EN$42))),1,0)</f>
        <v/>
      </c>
      <c r="CK147">
        <f>IF(AND('Month-End'!$EN$43&lt;&gt;"",NOT(_xlfn.ISFORMULA('Month-End'!$EN$43))),1,0)</f>
        <v/>
      </c>
      <c r="CL147">
        <f>SUM($CM147:$CZ147)</f>
        <v/>
      </c>
      <c r="CM147">
        <f>IF(AND($E147&lt;&gt;"pre",AND(Settings!$A$19&lt;&gt;"",Settings!$E$19&lt;&gt;"No"),Settings!$F$19="Yes",NOT(AND('Month-End'!$EN$7&lt;&gt;"",NOT(_xlfn.ISFORMULA('Month-End'!$EN$7))))),1,0)</f>
        <v/>
      </c>
      <c r="CN147">
        <f>IF(AND($E147&lt;&gt;"pre",AND(Settings!$A$20&lt;&gt;"",Settings!$E$20&lt;&gt;"No"),Settings!$F$20="Yes",NOT(AND('Month-End'!$EN$8&lt;&gt;"",NOT(_xlfn.ISFORMULA('Month-End'!$EN$8))))),1,0)</f>
        <v/>
      </c>
      <c r="CO147">
        <f>IF(AND($E147&lt;&gt;"pre",AND(Settings!$A$21&lt;&gt;"",Settings!$E$21&lt;&gt;"No"),Settings!$F$21="Yes",NOT(AND('Month-End'!$EN$9&lt;&gt;"",NOT(_xlfn.ISFORMULA('Month-End'!$EN$9))))),1,0)</f>
        <v/>
      </c>
      <c r="CP147">
        <f>IF(AND($E147&lt;&gt;"pre",AND(Settings!$A$22&lt;&gt;"",Settings!$E$22&lt;&gt;"No"),Settings!$F$22="Yes",NOT(AND('Month-End'!$EN$10&lt;&gt;"",NOT(_xlfn.ISFORMULA('Month-End'!$EN$10))))),1,0)</f>
        <v/>
      </c>
      <c r="CQ147">
        <f>IF(AND($E147&lt;&gt;"pre",AND(Settings!$A$23&lt;&gt;"",Settings!$E$23&lt;&gt;"No"),Settings!$F$23="Yes",NOT(AND('Month-End'!$EN$11&lt;&gt;"",NOT(_xlfn.ISFORMULA('Month-End'!$EN$11))))),1,0)</f>
        <v/>
      </c>
      <c r="CR147">
        <f>IF(AND($E147&lt;&gt;"pre",AND(Settings!$A$24&lt;&gt;"",Settings!$E$24&lt;&gt;"No"),Settings!$F$24="Yes",NOT(AND('Month-End'!$EN$12&lt;&gt;"",NOT(_xlfn.ISFORMULA('Month-End'!$EN$12))))),1,0)</f>
        <v/>
      </c>
      <c r="CS147">
        <f>IF(AND($E147&lt;&gt;"pre",AND(Settings!$A$25&lt;&gt;"",Settings!$E$25&lt;&gt;"No"),Settings!$F$25="Yes",NOT(AND('Month-End'!$EN$13&lt;&gt;"",NOT(_xlfn.ISFORMULA('Month-End'!$EN$13))))),1,0)</f>
        <v/>
      </c>
      <c r="CT147">
        <f>IF(AND($E147&lt;&gt;"pre",AND(Settings!$A$26&lt;&gt;"",Settings!$E$26&lt;&gt;"No"),Settings!$F$26="Yes",NOT(AND('Month-End'!$EN$14&lt;&gt;"",NOT(_xlfn.ISFORMULA('Month-End'!$EN$14))))),1,0)</f>
        <v/>
      </c>
      <c r="CU147">
        <f>IF(AND($E147&lt;&gt;"pre",AND(Settings!$A$27&lt;&gt;"",Settings!$E$27&lt;&gt;"No"),Settings!$F$27="Yes",NOT(AND('Month-End'!$EN$15&lt;&gt;"",NOT(_xlfn.ISFORMULA('Month-End'!$EN$15))))),1,0)</f>
        <v/>
      </c>
      <c r="CV147">
        <f>IF(AND($E147&lt;&gt;"pre",AND(Settings!$A$28&lt;&gt;"",Settings!$E$28&lt;&gt;"No"),Settings!$F$28="Yes",NOT(AND('Month-End'!$EN$16&lt;&gt;"",NOT(_xlfn.ISFORMULA('Month-End'!$EN$16))))),1,0)</f>
        <v/>
      </c>
      <c r="CW147">
        <f>IF(AND($E147&lt;&gt;"pre",AND(Settings!$A$29&lt;&gt;"",Settings!$E$29&lt;&gt;"No"),Settings!$F$29="Yes",NOT(AND('Month-End'!$EN$17&lt;&gt;"",NOT(_xlfn.ISFORMULA('Month-End'!$EN$17))))),1,0)</f>
        <v/>
      </c>
      <c r="CX147">
        <f>IF(AND($E147&lt;&gt;"pre",AND(Settings!$A$30&lt;&gt;"",Settings!$E$30&lt;&gt;"No"),Settings!$F$30="Yes",NOT(AND('Month-End'!$EN$18&lt;&gt;"",NOT(_xlfn.ISFORMULA('Month-End'!$EN$18))))),1,0)</f>
        <v/>
      </c>
      <c r="CY147">
        <f>IF(AND($E147&lt;&gt;"pre",AND(Settings!$A$31&lt;&gt;"",Settings!$E$31&lt;&gt;"No"),Settings!$F$31="Yes",NOT(AND('Month-End'!$EN$19&lt;&gt;"",NOT(_xlfn.ISFORMULA('Month-End'!$EN$19))))),1,0)</f>
        <v/>
      </c>
      <c r="CZ147">
        <f>IF(AND($E147&lt;&gt;"pre",AND(Settings!$A$32&lt;&gt;"",Settings!$E$32&lt;&gt;"No"),Settings!$F$32="Yes",NOT(AND('Month-End'!$EN$20&lt;&gt;"",NOT(_xlfn.ISFORMULA('Month-End'!$EN$20))))),1,0)</f>
        <v/>
      </c>
      <c r="DA147">
        <f>IF($DT147=1,IF(OR(Settings!$B$19="Checking",Settings!$B$19="Savings",Settings!$B$19="Cash"),N($AE147),IF(OR(Settings!$B$19="Card",Settings!$B$19="Loan"),-N($AE147),0))+IF(OR(Settings!$B$20="Checking",Settings!$B$20="Savings",Settings!$B$20="Cash"),N($AF147),IF(OR(Settings!$B$20="Card",Settings!$B$20="Loan"),-N($AF147),0))+IF(OR(Settings!$B$21="Checking",Settings!$B$21="Savings",Settings!$B$21="Cash"),N($AG147),IF(OR(Settings!$B$21="Card",Settings!$B$21="Loan"),-N($AG147),0))+IF(OR(Settings!$B$22="Checking",Settings!$B$22="Savings",Settings!$B$22="Cash"),N($AH147),IF(OR(Settings!$B$22="Card",Settings!$B$22="Loan"),-N($AH147),0))+IF(OR(Settings!$B$23="Checking",Settings!$B$23="Savings",Settings!$B$23="Cash"),N($AI147),IF(OR(Settings!$B$23="Card",Settings!$B$23="Loan"),-N($AI147),0))+IF(OR(Settings!$B$24="Checking",Settings!$B$24="Savings",Settings!$B$24="Cash"),N($AJ147),IF(OR(Settings!$B$24="Card",Settings!$B$24="Loan"),-N($AJ147),0))+IF(OR(Settings!$B$25="Checking",Settings!$B$25="Savings",Settings!$B$25="Cash"),N($AK147),IF(OR(Settings!$B$25="Card",Settings!$B$25="Loan"),-N($AK147),0))+IF(OR(Settings!$B$26="Checking",Settings!$B$26="Savings",Settings!$B$26="Cash"),N($AL147),IF(OR(Settings!$B$26="Card",Settings!$B$26="Loan"),-N($AL147),0))+IF(OR(Settings!$B$27="Checking",Settings!$B$27="Savings",Settings!$B$27="Cash"),N($AM147),IF(OR(Settings!$B$27="Card",Settings!$B$27="Loan"),-N($AM147),0))+IF(OR(Settings!$B$28="Checking",Settings!$B$28="Savings",Settings!$B$28="Cash"),N($AN147),IF(OR(Settings!$B$28="Card",Settings!$B$28="Loan"),-N($AN147),0))+IF(OR(Settings!$B$29="Checking",Settings!$B$29="Savings",Settings!$B$29="Cash"),N($AO147),IF(OR(Settings!$B$29="Card",Settings!$B$29="Loan"),-N($AO147),0))+IF(OR(Settings!$B$30="Checking",Settings!$B$30="Savings",Settings!$B$30="Cash"),N($AP147),IF(OR(Settings!$B$30="Card",Settings!$B$30="Loan"),-N($AP147),0))+IF(OR(Settings!$B$31="Checking",Settings!$B$31="Savings",Settings!$B$31="Cash"),N($AQ147),IF(OR(Settings!$B$31="Card",Settings!$B$31="Loan"),-N($AQ147),0))+IF(OR(Settings!$B$32="Checking",Settings!$B$32="Savings",Settings!$B$32="Cash"),N($AR147),IF(OR(Settings!$B$32="Card",Settings!$B$32="Loan"),-N($AR147),0)),"")</f>
        <v/>
      </c>
      <c r="DB147">
        <f>IF($E147="open",$EB$27,IF($E147="post",IF($E146="pre",$EB$27,$DA146),""))</f>
        <v/>
      </c>
      <c r="DC147">
        <f>IF($E147="open",1,IF($E147="post",IF($E146="pre",1,$DT146),0))</f>
        <v/>
      </c>
      <c r="DD147">
        <f>IF(AND($DT147=1,$DC147=1),ROUND($W147-($DA147-$DB147)-$AD147-$AB147,2),"")</f>
        <v/>
      </c>
      <c r="DE147">
        <f>IF('Month-End'!$EN$35="",$BQ147,N('Month-End'!$EN$35))</f>
        <v/>
      </c>
      <c r="DF147">
        <f>N('Month-End'!$EN$36)</f>
        <v/>
      </c>
      <c r="DG147">
        <f>IF($DD147="","",$DD147+$DE147)</f>
        <v/>
      </c>
      <c r="DH147">
        <f>IF($DG147="","",$DG147-$DF147)</f>
        <v/>
      </c>
      <c r="DI147">
        <f>IF(OR($E147="pre",$D147=1),"",N($AS147)+N($AT147)+N($AU147)+N($AV147)+N($AW147)+N($AX147))</f>
        <v/>
      </c>
      <c r="DJ147">
        <f>IF($DT147=1,$DA147+N($DI147),"")</f>
        <v/>
      </c>
      <c r="DK147">
        <f>IF($DD147="","",$W147-$DD147-$AB147)</f>
        <v/>
      </c>
      <c r="DL147">
        <f>IF(AND($E147="post",$DD147&lt;&gt;"",$B147&lt;TODAY()),1,0)</f>
        <v/>
      </c>
      <c r="DM147">
        <f>IF($DL147=1,COUNTIF($DL147:$DL$183,1),0)</f>
        <v/>
      </c>
      <c r="DN147">
        <f>IF($D147=1,"",IF($E147="pre","History only",IF($DT147=1,IF($DD147="","⚠ Previous month missing",IF($DD147&lt;0,"⚠ Check: spending &lt; 0",IF($E147="open","✓ Done (partial)","✓ Done"))),IF($B147&gt;=TODAY(),"In progress","⚠ Needs balances"))))</f>
        <v/>
      </c>
      <c r="DO147">
        <f>YEAR($A147)</f>
        <v/>
      </c>
      <c r="DP147">
        <f>DATE(YEAR($A147),INT((MONTH($A147)-1)/3)*3+1,1)</f>
        <v/>
      </c>
      <c r="DQ147">
        <f>IF(AND($DT147=1,$DD147&lt;&gt;"",$D147=0),ROW(),0)</f>
        <v/>
      </c>
      <c r="DR147">
        <f>IF(AND($E147&lt;&gt;"pre",$B147&lt;TODAY(),$DT147=0),1,0)</f>
        <v/>
      </c>
      <c r="DS147">
        <f>IF($DJ147="",NA(),$DJ147)</f>
        <v/>
      </c>
      <c r="DT147">
        <f>IF(AND($E147&lt;&gt;"pre",$CL147=0,COUNTIFS(Settings!$F$19:$F$32,"Yes",Settings!$A$19:$A$32,"&lt;&gt;",Settings!$E$19:$E$32,"&lt;&gt;No")&gt;0),1,0)</f>
        <v/>
      </c>
      <c r="DU147">
        <f>IF(AND($B147&lt;TODAY(),$S147&gt;0),1,0)</f>
        <v/>
      </c>
      <c r="DV147">
        <f>IF($DU147=1,COUNTIF($DU147:$DU$183,1),0)</f>
        <v/>
      </c>
      <c r="DW147">
        <f>IF(AND(OR(Settings!$B$19="Card",Settings!$B$19="Loan"),AND('Month-End'!$EN$7&lt;&gt;"",NOT(_xlfn.ISFORMULA('Month-End'!$EN$7)))),IF(N('Month-End'!$EN$7)&lt;0,1,0),0)+IF(AND(OR(Settings!$B$20="Card",Settings!$B$20="Loan"),AND('Month-End'!$EN$8&lt;&gt;"",NOT(_xlfn.ISFORMULA('Month-End'!$EN$8)))),IF(N('Month-End'!$EN$8)&lt;0,1,0),0)+IF(AND(OR(Settings!$B$21="Card",Settings!$B$21="Loan"),AND('Month-End'!$EN$9&lt;&gt;"",NOT(_xlfn.ISFORMULA('Month-End'!$EN$9)))),IF(N('Month-End'!$EN$9)&lt;0,1,0),0)+IF(AND(OR(Settings!$B$22="Card",Settings!$B$22="Loan"),AND('Month-End'!$EN$10&lt;&gt;"",NOT(_xlfn.ISFORMULA('Month-End'!$EN$10)))),IF(N('Month-End'!$EN$10)&lt;0,1,0),0)+IF(AND(OR(Settings!$B$23="Card",Settings!$B$23="Loan"),AND('Month-End'!$EN$11&lt;&gt;"",NOT(_xlfn.ISFORMULA('Month-End'!$EN$11)))),IF(N('Month-End'!$EN$11)&lt;0,1,0),0)+IF(AND(OR(Settings!$B$24="Card",Settings!$B$24="Loan"),AND('Month-End'!$EN$12&lt;&gt;"",NOT(_xlfn.ISFORMULA('Month-End'!$EN$12)))),IF(N('Month-End'!$EN$12)&lt;0,1,0),0)+IF(AND(OR(Settings!$B$25="Card",Settings!$B$25="Loan"),AND('Month-End'!$EN$13&lt;&gt;"",NOT(_xlfn.ISFORMULA('Month-End'!$EN$13)))),IF(N('Month-End'!$EN$13)&lt;0,1,0),0)+IF(AND(OR(Settings!$B$26="Card",Settings!$B$26="Loan"),AND('Month-End'!$EN$14&lt;&gt;"",NOT(_xlfn.ISFORMULA('Month-End'!$EN$14)))),IF(N('Month-End'!$EN$14)&lt;0,1,0),0)+IF(AND(OR(Settings!$B$27="Card",Settings!$B$27="Loan"),AND('Month-End'!$EN$15&lt;&gt;"",NOT(_xlfn.ISFORMULA('Month-End'!$EN$15)))),IF(N('Month-End'!$EN$15)&lt;0,1,0),0)+IF(AND(OR(Settings!$B$28="Card",Settings!$B$28="Loan"),AND('Month-End'!$EN$16&lt;&gt;"",NOT(_xlfn.ISFORMULA('Month-End'!$EN$16)))),IF(N('Month-End'!$EN$16)&lt;0,1,0),0)+IF(AND(OR(Settings!$B$29="Card",Settings!$B$29="Loan"),AND('Month-End'!$EN$17&lt;&gt;"",NOT(_xlfn.ISFORMULA('Month-End'!$EN$17)))),IF(N('Month-End'!$EN$17)&lt;0,1,0),0)+IF(AND(OR(Settings!$B$30="Card",Settings!$B$30="Loan"),AND('Month-End'!$EN$18&lt;&gt;"",NOT(_xlfn.ISFORMULA('Month-End'!$EN$18)))),IF(N('Month-End'!$EN$18)&lt;0,1,0),0)+IF(AND(OR(Settings!$B$31="Card",Settings!$B$31="Loan"),AND('Month-End'!$EN$19&lt;&gt;"",NOT(_xlfn.ISFORMULA('Month-End'!$EN$19)))),IF(N('Month-End'!$EN$19)&lt;0,1,0),0)+IF(AND(OR(Settings!$B$32="Card",Settings!$B$32="Loan"),AND('Month-End'!$EN$20&lt;&gt;"",NOT(_xlfn.ISFORMULA('Month-End'!$EN$20)))),IF(N('Month-End'!$EN$20)&lt;0,1,0),0)</f>
        <v/>
      </c>
      <c r="DX147">
        <f>IF(Settings!$B$36="Retirement",$AY147,0)+IF(Settings!$B$37="Retirement",$AZ147,0)+IF(Settings!$B$38="Retirement",$BA147,0)+IF(Settings!$B$39="Retirement",$BB147,0)+IF(Settings!$B$40="Retirement",$BC147,0)+IF(Settings!$B$41="Retirement",$BD147,0)</f>
        <v/>
      </c>
      <c r="ET147">
        <f>IF($E147&lt;&gt;"open",0,IF(AND('Month-End'!$EN$22&lt;&gt;"",NOT(_xlfn.ISFORMULA('Month-End'!$EN$22))),0,IF(OR(Settings!$C$45="",Settings!$D$45=""),0,Settings!$C$45*IF(Settings!$D$45="Weekly",IF(IFERROR(MATCH(Settings!$E$45,$EO$4:$EO$10,0),0)=0,0,IF(MIN(Settings!$B$5,IF(Settings!$G$45="",Settings!$B$5,Settings!$G$45))&lt;MAX($A147,Settings!$F$45),0,INT((MIN(Settings!$B$5,IF(Settings!$G$45="",Settings!$B$5,Settings!$G$45))-MAX($A147,Settings!$F$45)-MOD(IFERROR(MATCH(Settings!$E$45,$EO$4:$EO$10,0),0)-WEEKDAY(MAX($A147,Settings!$F$45)),7))/7)+1)),IF(AND(IF(Settings!$E$45="",$B147,DATE(YEAR($A147),MONTH($A147),MIN(Settings!$E$45,DAY($B147))))&gt;=MAX($A147,Settings!$F$45),IF(Settings!$E$45="",$B147,DATE(YEAR($A147),MONTH($A147),MIN(Settings!$E$45,DAY($B147))))&lt;=MIN(Settings!$B$5,IF(Settings!$G$45="",Settings!$B$5,Settings!$G$45))),1,0)))))</f>
        <v/>
      </c>
      <c r="EU147">
        <f>IF($E147&lt;&gt;"open",0,IF(AND('Month-End'!$EN$23&lt;&gt;"",NOT(_xlfn.ISFORMULA('Month-End'!$EN$23))),0,IF(OR(Settings!$C$46="",Settings!$D$46=""),0,Settings!$C$46*IF(Settings!$D$46="Weekly",IF(IFERROR(MATCH(Settings!$E$46,$EO$4:$EO$10,0),0)=0,0,IF(MIN(Settings!$B$5,IF(Settings!$G$46="",Settings!$B$5,Settings!$G$46))&lt;MAX($A147,Settings!$F$46),0,INT((MIN(Settings!$B$5,IF(Settings!$G$46="",Settings!$B$5,Settings!$G$46))-MAX($A147,Settings!$F$46)-MOD(IFERROR(MATCH(Settings!$E$46,$EO$4:$EO$10,0),0)-WEEKDAY(MAX($A147,Settings!$F$46)),7))/7)+1)),IF(AND(IF(Settings!$E$46="",$B147,DATE(YEAR($A147),MONTH($A147),MIN(Settings!$E$46,DAY($B147))))&gt;=MAX($A147,Settings!$F$46),IF(Settings!$E$46="",$B147,DATE(YEAR($A147),MONTH($A147),MIN(Settings!$E$46,DAY($B147))))&lt;=MIN(Settings!$B$5,IF(Settings!$G$46="",Settings!$B$5,Settings!$G$46))),1,0)))))</f>
        <v/>
      </c>
      <c r="EV147">
        <f>IF($E147&lt;&gt;"open",0,IF(AND('Month-End'!$EN$24&lt;&gt;"",NOT(_xlfn.ISFORMULA('Month-End'!$EN$24))),0,IF(OR(Settings!$C$47="",Settings!$D$47=""),0,Settings!$C$47*IF(Settings!$D$47="Weekly",IF(IFERROR(MATCH(Settings!$E$47,$EO$4:$EO$10,0),0)=0,0,IF(MIN(Settings!$B$5,IF(Settings!$G$47="",Settings!$B$5,Settings!$G$47))&lt;MAX($A147,Settings!$F$47),0,INT((MIN(Settings!$B$5,IF(Settings!$G$47="",Settings!$B$5,Settings!$G$47))-MAX($A147,Settings!$F$47)-MOD(IFERROR(MATCH(Settings!$E$47,$EO$4:$EO$10,0),0)-WEEKDAY(MAX($A147,Settings!$F$47)),7))/7)+1)),IF(AND(IF(Settings!$E$47="",$B147,DATE(YEAR($A147),MONTH($A147),MIN(Settings!$E$47,DAY($B147))))&gt;=MAX($A147,Settings!$F$47),IF(Settings!$E$47="",$B147,DATE(YEAR($A147),MONTH($A147),MIN(Settings!$E$47,DAY($B147))))&lt;=MIN(Settings!$B$5,IF(Settings!$G$47="",Settings!$B$5,Settings!$G$47))),1,0)))))</f>
        <v/>
      </c>
      <c r="EW147">
        <f>IF($E147&lt;&gt;"open",0,IF(AND('Month-End'!$EN$25&lt;&gt;"",NOT(_xlfn.ISFORMULA('Month-End'!$EN$25))),0,IF(OR(Settings!$C$48="",Settings!$D$48=""),0,Settings!$C$48*IF(Settings!$D$48="Weekly",IF(IFERROR(MATCH(Settings!$E$48,$EO$4:$EO$10,0),0)=0,0,IF(MIN(Settings!$B$5,IF(Settings!$G$48="",Settings!$B$5,Settings!$G$48))&lt;MAX($A147,Settings!$F$48),0,INT((MIN(Settings!$B$5,IF(Settings!$G$48="",Settings!$B$5,Settings!$G$48))-MAX($A147,Settings!$F$48)-MOD(IFERROR(MATCH(Settings!$E$48,$EO$4:$EO$10,0),0)-WEEKDAY(MAX($A147,Settings!$F$48)),7))/7)+1)),IF(AND(IF(Settings!$E$48="",$B147,DATE(YEAR($A147),MONTH($A147),MIN(Settings!$E$48,DAY($B147))))&gt;=MAX($A147,Settings!$F$48),IF(Settings!$E$48="",$B147,DATE(YEAR($A147),MONTH($A147),MIN(Settings!$E$48,DAY($B147))))&lt;=MIN(Settings!$B$5,IF(Settings!$G$48="",Settings!$B$5,Settings!$G$48))),1,0)))))</f>
        <v/>
      </c>
      <c r="EX147">
        <f>IF($E147&lt;&gt;"open",0,IF(AND('Month-End'!$EN$26&lt;&gt;"",NOT(_xlfn.ISFORMULA('Month-End'!$EN$26))),0,IF(OR(Settings!$C$49="",Settings!$D$49=""),0,Settings!$C$49*IF(Settings!$D$49="Weekly",IF(IFERROR(MATCH(Settings!$E$49,$EO$4:$EO$10,0),0)=0,0,IF(MIN(Settings!$B$5,IF(Settings!$G$49="",Settings!$B$5,Settings!$G$49))&lt;MAX($A147,Settings!$F$49),0,INT((MIN(Settings!$B$5,IF(Settings!$G$49="",Settings!$B$5,Settings!$G$49))-MAX($A147,Settings!$F$49)-MOD(IFERROR(MATCH(Settings!$E$49,$EO$4:$EO$10,0),0)-WEEKDAY(MAX($A147,Settings!$F$49)),7))/7)+1)),IF(AND(IF(Settings!$E$49="",$B147,DATE(YEAR($A147),MONTH($A147),MIN(Settings!$E$49,DAY($B147))))&gt;=MAX($A147,Settings!$F$49),IF(Settings!$E$49="",$B147,DATE(YEAR($A147),MONTH($A147),MIN(Settings!$E$49,DAY($B147))))&lt;=MIN(Settings!$B$5,IF(Settings!$G$49="",Settings!$B$5,Settings!$G$49))),1,0)))))</f>
        <v/>
      </c>
      <c r="EY147">
        <f>IF($E147&lt;&gt;"open",0,IF(AND('Month-End'!$EN$27&lt;&gt;"",NOT(_xlfn.ISFORMULA('Month-End'!$EN$27))),0,IF(OR(Settings!$C$50="",Settings!$D$50=""),0,Settings!$C$50*IF(Settings!$D$50="Weekly",IF(IFERROR(MATCH(Settings!$E$50,$EO$4:$EO$10,0),0)=0,0,IF(MIN(Settings!$B$5,IF(Settings!$G$50="",Settings!$B$5,Settings!$G$50))&lt;MAX($A147,Settings!$F$50),0,INT((MIN(Settings!$B$5,IF(Settings!$G$50="",Settings!$B$5,Settings!$G$50))-MAX($A147,Settings!$F$50)-MOD(IFERROR(MATCH(Settings!$E$50,$EO$4:$EO$10,0),0)-WEEKDAY(MAX($A147,Settings!$F$50)),7))/7)+1)),IF(AND(IF(Settings!$E$50="",$B147,DATE(YEAR($A147),MONTH($A147),MIN(Settings!$E$50,DAY($B147))))&gt;=MAX($A147,Settings!$F$50),IF(Settings!$E$50="",$B147,DATE(YEAR($A147),MONTH($A147),MIN(Settings!$E$50,DAY($B147))))&lt;=MIN(Settings!$B$5,IF(Settings!$G$50="",Settings!$B$5,Settings!$G$50))),1,0)))))</f>
        <v/>
      </c>
      <c r="EZ147">
        <f>IF($E147&lt;&gt;"open",0,IF(AND('Month-End'!$EN$28&lt;&gt;"",NOT(_xlfn.ISFORMULA('Month-End'!$EN$28))),0,IF(OR(Settings!$C$51="",Settings!$D$51=""),0,Settings!$C$51*IF(Settings!$D$51="Weekly",IF(IFERROR(MATCH(Settings!$E$51,$EO$4:$EO$10,0),0)=0,0,IF(MIN(Settings!$B$5,IF(Settings!$G$51="",Settings!$B$5,Settings!$G$51))&lt;MAX($A147,Settings!$F$51),0,INT((MIN(Settings!$B$5,IF(Settings!$G$51="",Settings!$B$5,Settings!$G$51))-MAX($A147,Settings!$F$51)-MOD(IFERROR(MATCH(Settings!$E$51,$EO$4:$EO$10,0),0)-WEEKDAY(MAX($A147,Settings!$F$51)),7))/7)+1)),IF(AND(IF(Settings!$E$51="",$B147,DATE(YEAR($A147),MONTH($A147),MIN(Settings!$E$51,DAY($B147))))&gt;=MAX($A147,Settings!$F$51),IF(Settings!$E$51="",$B147,DATE(YEAR($A147),MONTH($A147),MIN(Settings!$E$51,DAY($B147))))&lt;=MIN(Settings!$B$5,IF(Settings!$G$51="",Settings!$B$5,Settings!$G$51))),1,0)))))</f>
        <v/>
      </c>
      <c r="FA147">
        <f>IF($E147&lt;&gt;"open",0,IF(AND('Month-End'!$EN$29&lt;&gt;"",NOT(_xlfn.ISFORMULA('Month-End'!$EN$29))),0,IF(OR(Settings!$C$52="",Settings!$D$52=""),0,Settings!$C$52*IF(Settings!$D$52="Weekly",IF(IFERROR(MATCH(Settings!$E$52,$EO$4:$EO$10,0),0)=0,0,IF(MIN(Settings!$B$5,IF(Settings!$G$52="",Settings!$B$5,Settings!$G$52))&lt;MAX($A147,Settings!$F$52),0,INT((MIN(Settings!$B$5,IF(Settings!$G$52="",Settings!$B$5,Settings!$G$52))-MAX($A147,Settings!$F$52)-MOD(IFERROR(MATCH(Settings!$E$52,$EO$4:$EO$10,0),0)-WEEKDAY(MAX($A147,Settings!$F$52)),7))/7)+1)),IF(AND(IF(Settings!$E$52="",$B147,DATE(YEAR($A147),MONTH($A147),MIN(Settings!$E$52,DAY($B147))))&gt;=MAX($A147,Settings!$F$52),IF(Settings!$E$52="",$B147,DATE(YEAR($A147),MONTH($A147),MIN(Settings!$E$52,DAY($B147))))&lt;=MIN(Settings!$B$5,IF(Settings!$G$52="",Settings!$B$5,Settings!$G$52))),1,0)))))</f>
        <v/>
      </c>
      <c r="FB147">
        <f>IF($E147&lt;&gt;"open",0,IF(AND('Month-End'!$EN$30&lt;&gt;"",NOT(_xlfn.ISFORMULA('Month-End'!$EN$30))),0,IF(OR(Settings!$C$53="",Settings!$D$53=""),0,Settings!$C$53*IF(Settings!$D$53="Weekly",IF(IFERROR(MATCH(Settings!$E$53,$EO$4:$EO$10,0),0)=0,0,IF(MIN(Settings!$B$5,IF(Settings!$G$53="",Settings!$B$5,Settings!$G$53))&lt;MAX($A147,Settings!$F$53),0,INT((MIN(Settings!$B$5,IF(Settings!$G$53="",Settings!$B$5,Settings!$G$53))-MAX($A147,Settings!$F$53)-MOD(IFERROR(MATCH(Settings!$E$53,$EO$4:$EO$10,0),0)-WEEKDAY(MAX($A147,Settings!$F$53)),7))/7)+1)),IF(AND(IF(Settings!$E$53="",$B147,DATE(YEAR($A147),MONTH($A147),MIN(Settings!$E$53,DAY($B147))))&gt;=MAX($A147,Settings!$F$53),IF(Settings!$E$53="",$B147,DATE(YEAR($A147),MONTH($A147),MIN(Settings!$E$53,DAY($B147))))&lt;=MIN(Settings!$B$5,IF(Settings!$G$53="",Settings!$B$5,Settings!$G$53))),1,0)))))</f>
        <v/>
      </c>
      <c r="FC147">
        <f>IF($E147&lt;&gt;"open",0,IF(AND('Month-End'!$EN$31&lt;&gt;"",NOT(_xlfn.ISFORMULA('Month-End'!$EN$31))),0,IF(OR(Settings!$C$54="",Settings!$D$54=""),0,Settings!$C$54*IF(Settings!$D$54="Weekly",IF(IFERROR(MATCH(Settings!$E$54,$EO$4:$EO$10,0),0)=0,0,IF(MIN(Settings!$B$5,IF(Settings!$G$54="",Settings!$B$5,Settings!$G$54))&lt;MAX($A147,Settings!$F$54),0,INT((MIN(Settings!$B$5,IF(Settings!$G$54="",Settings!$B$5,Settings!$G$54))-MAX($A147,Settings!$F$54)-MOD(IFERROR(MATCH(Settings!$E$54,$EO$4:$EO$10,0),0)-WEEKDAY(MAX($A147,Settings!$F$54)),7))/7)+1)),IF(AND(IF(Settings!$E$54="",$B147,DATE(YEAR($A147),MONTH($A147),MIN(Settings!$E$54,DAY($B147))))&gt;=MAX($A147,Settings!$F$54),IF(Settings!$E$54="",$B147,DATE(YEAR($A147),MONTH($A147),MIN(Settings!$E$54,DAY($B147))))&lt;=MIN(Settings!$B$5,IF(Settings!$G$54="",Settings!$B$5,Settings!$G$54))),1,0)))))</f>
        <v/>
      </c>
      <c r="FD147">
        <f>IF($E147&lt;&gt;"open",0,IF(AND('Month-End'!$EN$32&lt;&gt;"",NOT(_xlfn.ISFORMULA('Month-End'!$EN$32))),0,IF(OR(Settings!$C$55="",Settings!$D$55=""),0,Settings!$C$55*IF(Settings!$D$55="Weekly",IF(IFERROR(MATCH(Settings!$E$55,$EO$4:$EO$10,0),0)=0,0,IF(MIN(Settings!$B$5,IF(Settings!$G$55="",Settings!$B$5,Settings!$G$55))&lt;MAX($A147,Settings!$F$55),0,INT((MIN(Settings!$B$5,IF(Settings!$G$55="",Settings!$B$5,Settings!$G$55))-MAX($A147,Settings!$F$55)-MOD(IFERROR(MATCH(Settings!$E$55,$EO$4:$EO$10,0),0)-WEEKDAY(MAX($A147,Settings!$F$55)),7))/7)+1)),IF(AND(IF(Settings!$E$55="",$B147,DATE(YEAR($A147),MONTH($A147),MIN(Settings!$E$55,DAY($B147))))&gt;=MAX($A147,Settings!$F$55),IF(Settings!$E$55="",$B147,DATE(YEAR($A147),MONTH($A147),MIN(Settings!$E$55,DAY($B147))))&lt;=MIN(Settings!$B$5,IF(Settings!$G$55="",Settings!$B$5,Settings!$G$55))),1,0)))))</f>
        <v/>
      </c>
      <c r="FE147">
        <f>IF($E147&lt;&gt;"open",0,IF(AND('Month-End'!$EN$33&lt;&gt;"",NOT(_xlfn.ISFORMULA('Month-End'!$EN$33))),0,IF(OR(Settings!$C$56="",Settings!$D$56=""),0,Settings!$C$56*IF(Settings!$D$56="Weekly",IF(IFERROR(MATCH(Settings!$E$56,$EO$4:$EO$10,0),0)=0,0,IF(MIN(Settings!$B$5,IF(Settings!$G$56="",Settings!$B$5,Settings!$G$56))&lt;MAX($A147,Settings!$F$56),0,INT((MIN(Settings!$B$5,IF(Settings!$G$56="",Settings!$B$5,Settings!$G$56))-MAX($A147,Settings!$F$56)-MOD(IFERROR(MATCH(Settings!$E$56,$EO$4:$EO$10,0),0)-WEEKDAY(MAX($A147,Settings!$F$56)),7))/7)+1)),IF(AND(IF(Settings!$E$56="",$B147,DATE(YEAR($A147),MONTH($A147),MIN(Settings!$E$56,DAY($B147))))&gt;=MAX($A147,Settings!$F$56),IF(Settings!$E$56="",$B147,DATE(YEAR($A147),MONTH($A147),MIN(Settings!$E$56,DAY($B147))))&lt;=MIN(Settings!$B$5,IF(Settings!$G$56="",Settings!$B$5,Settings!$G$56))),1,0)))))</f>
        <v/>
      </c>
      <c r="FF147">
        <f>IF(Settings!$I$45="Yes",$G147,0)+IF(Settings!$I$46="Yes",$H147,0)+IF(Settings!$I$47="Yes",$I147,0)+IF(Settings!$I$48="Yes",$J147,0)+IF(Settings!$I$49="Yes",$K147,0)+IF(Settings!$I$50="Yes",$L147,0)+IF(Settings!$I$51="Yes",$M147,0)+IF(Settings!$I$52="Yes",$N147,0)+IF(Settings!$I$53="Yes",$O147,0)+IF(Settings!$I$54="Yes",$P147,0)+IF(Settings!$I$55="Yes",$Q147,0)+IF(Settings!$I$56="Yes",$R147,0)</f>
        <v/>
      </c>
      <c r="FG147">
        <f>IF(AND(Settings!$I$45="Yes",Settings!$J$45="No"),$G147,0)+IF(AND(Settings!$I$46="Yes",Settings!$J$46="No"),$H147,0)+IF(AND(Settings!$I$47="Yes",Settings!$J$47="No"),$I147,0)+IF(AND(Settings!$I$48="Yes",Settings!$J$48="No"),$J147,0)+IF(AND(Settings!$I$49="Yes",Settings!$J$49="No"),$K147,0)+IF(AND(Settings!$I$50="Yes",Settings!$J$50="No"),$L147,0)+IF(AND(Settings!$I$51="Yes",Settings!$J$51="No"),$M147,0)+IF(AND(Settings!$I$52="Yes",Settings!$J$52="No"),$N147,0)+IF(AND(Settings!$I$53="Yes",Settings!$J$53="No"),$O147,0)+IF(AND(Settings!$I$54="Yes",Settings!$J$54="No"),$P147,0)+IF(AND(Settings!$I$55="Yes",Settings!$J$55="No"),$Q147,0)+IF(AND(Settings!$I$56="Yes",Settings!$J$56="No"),$R147,0)</f>
        <v/>
      </c>
      <c r="FH147">
        <f>SUMIFS(Giving!$B$7:$B$2006,Giving!$A$7:$A$2006,"&gt;="&amp;$A147,Giving!$A$7:$A$2006,"&lt;="&amp;$B147,Giving!$G$7:$G$2006,"Yes")+IF(OR(OR(Settings!$B$60="",Settings!$F$60="No"),Settings!$H$60&lt;&gt;"Yes"),0,Settings!$B$60*IF(AND(IF(Settings!$C$60="",$B147,DATE(YEAR($A147),MONTH($A147),MIN(Settings!$C$60,DAY($B147))))&gt;=MAX($A147,Settings!$D$60),IF(Settings!$C$60="",$B147,DATE(YEAR($A147),MONTH($A147),MIN(Settings!$C$60,DAY($B147))))&lt;=MIN($C147,IF(Settings!$E$60="",$C147,Settings!$E$60))),1,0))+IF(OR(OR(Settings!$B$61="",Settings!$F$61="No"),Settings!$H$61&lt;&gt;"Yes"),0,Settings!$B$61*IF(AND(IF(Settings!$C$61="",$B147,DATE(YEAR($A147),MONTH($A147),MIN(Settings!$C$61,DAY($B147))))&gt;=MAX($A147,Settings!$D$61),IF(Settings!$C$61="",$B147,DATE(YEAR($A147),MONTH($A147),MIN(Settings!$C$61,DAY($B147))))&lt;=MIN($C147,IF(Settings!$E$61="",$C147,Settings!$E$61))),1,0))+IF(OR(OR(Settings!$B$62="",Settings!$F$62="No"),Settings!$H$62&lt;&gt;"Yes"),0,Settings!$B$62*IF(AND(IF(Settings!$C$62="",$B147,DATE(YEAR($A147),MONTH($A147),MIN(Settings!$C$62,DAY($B147))))&gt;=MAX($A147,Settings!$D$62),IF(Settings!$C$62="",$B147,DATE(YEAR($A147),MONTH($A147),MIN(Settings!$C$62,DAY($B147))))&lt;=MIN($C147,IF(Settings!$E$62="",$C147,Settings!$E$62))),1,0))+IF(OR(OR(Settings!$B$63="",Settings!$F$63="No"),Settings!$H$63&lt;&gt;"Yes"),0,Settings!$B$63*IF(AND(IF(Settings!$C$63="",$B147,DATE(YEAR($A147),MONTH($A147),MIN(Settings!$C$63,DAY($B147))))&gt;=MAX($A147,Settings!$D$63),IF(Settings!$C$63="",$B147,DATE(YEAR($A147),MONTH($A147),MIN(Settings!$C$63,DAY($B147))))&lt;=MIN($C147,IF(Settings!$E$63="",$C147,Settings!$E$63))),1,0))+IF(OR(OR(Settings!$B$64="",Settings!$F$64="No"),Settings!$H$64&lt;&gt;"Yes"),0,Settings!$B$64*IF(AND(IF(Settings!$C$64="",$B147,DATE(YEAR($A147),MONTH($A147),MIN(Settings!$C$64,DAY($B147))))&gt;=MAX($A147,Settings!$D$64),IF(Settings!$C$64="",$B147,DATE(YEAR($A147),MONTH($A147),MIN(Settings!$C$64,DAY($B147))))&lt;=MIN($C147,IF(Settings!$E$64="",$C147,Settings!$E$64))),1,0))+IF(OR(OR(Settings!$B$65="",Settings!$F$65="No"),Settings!$H$65&lt;&gt;"Yes"),0,Settings!$B$65*IF(AND(IF(Settings!$C$65="",$B147,DATE(YEAR($A147),MONTH($A147),MIN(Settings!$C$65,DAY($B147))))&gt;=MAX($A147,Settings!$D$65),IF(Settings!$C$65="",$B147,DATE(YEAR($A147),MONTH($A147),MIN(Settings!$C$65,DAY($B147))))&lt;=MIN($C147,IF(Settings!$E$65="",$C147,Settings!$E$65))),1,0))</f>
        <v/>
      </c>
      <c r="FI147">
        <f>IF($DT147=1,IF(OR(Settings!$B$19="Card",Settings!$B$19="Loan"),N($AE147),0)+IF(OR(Settings!$B$20="Card",Settings!$B$20="Loan"),N($AF147),0)+IF(OR(Settings!$B$21="Card",Settings!$B$21="Loan"),N($AG147),0)+IF(OR(Settings!$B$22="Card",Settings!$B$22="Loan"),N($AH147),0)+IF(OR(Settings!$B$23="Card",Settings!$B$23="Loan"),N($AI147),0)+IF(OR(Settings!$B$24="Card",Settings!$B$24="Loan"),N($AJ147),0)+IF(OR(Settings!$B$25="Card",Settings!$B$25="Loan"),N($AK147),0)+IF(OR(Settings!$B$26="Card",Settings!$B$26="Loan"),N($AL147),0)+IF(OR(Settings!$B$27="Card",Settings!$B$27="Loan"),N($AM147),0)+IF(OR(Settings!$B$28="Card",Settings!$B$28="Loan"),N($AN147),0)+IF(OR(Settings!$B$29="Card",Settings!$B$29="Loan"),N($AO147),0)+IF(OR(Settings!$B$30="Card",Settings!$B$30="Loan"),N($AP147),0)+IF(OR(Settings!$B$31="Card",Settings!$B$31="Loan"),N($AQ147),0)+IF(OR(Settings!$B$32="Card",Settings!$B$32="Loan"),N($AR147),0),"")</f>
        <v/>
      </c>
      <c r="FJ147">
        <f>IF($E147="open",$EB$65,IF($E147="post",IF($E146="pre",$EB$65,$FI146),""))</f>
        <v/>
      </c>
      <c r="FK147">
        <f>IF(AND($DT147=1,$DC147=1),IF(ROUND($FI147-$FJ147,2)&gt;0,1,0),0)</f>
        <v/>
      </c>
      <c r="FL147">
        <f>IF($FK147=1,$FL146+1,0)</f>
        <v/>
      </c>
    </row>
    <row r="148">
      <c r="A148">
        <f>'Month-End'!$EO$4</f>
        <v/>
      </c>
      <c r="B148">
        <f>EOMONTH($A148,0)</f>
        <v/>
      </c>
      <c r="C148">
        <f>MIN($B148,TODAY())</f>
        <v/>
      </c>
      <c r="D148">
        <f>IF($A148&gt;TODAY(),1,0)</f>
        <v/>
      </c>
      <c r="E148">
        <f>IF($B148&lt;=Settings!$B$5,"pre",IF($A148&lt;=Settings!$B$5,"open","post"))</f>
        <v/>
      </c>
      <c r="G148">
        <f>IF('Month-End'!$EO$22="",$BE148,N('Month-End'!$EO$22))</f>
        <v/>
      </c>
      <c r="H148">
        <f>IF('Month-End'!$EO$23="",$BF148,N('Month-End'!$EO$23))</f>
        <v/>
      </c>
      <c r="I148">
        <f>IF('Month-End'!$EO$24="",$BG148,N('Month-End'!$EO$24))</f>
        <v/>
      </c>
      <c r="J148">
        <f>IF('Month-End'!$EO$25="",$BH148,N('Month-End'!$EO$25))</f>
        <v/>
      </c>
      <c r="K148">
        <f>IF('Month-End'!$EO$26="",$BI148,N('Month-End'!$EO$26))</f>
        <v/>
      </c>
      <c r="L148">
        <f>IF('Month-End'!$EO$27="",$BJ148,N('Month-End'!$EO$27))</f>
        <v/>
      </c>
      <c r="M148">
        <f>IF('Month-End'!$EO$28="",$BK148,N('Month-End'!$EO$28))</f>
        <v/>
      </c>
      <c r="N148">
        <f>IF('Month-End'!$EO$29="",$BL148,N('Month-End'!$EO$29))</f>
        <v/>
      </c>
      <c r="O148">
        <f>IF('Month-End'!$EO$30="",$BM148,N('Month-End'!$EO$30))</f>
        <v/>
      </c>
      <c r="P148">
        <f>IF('Month-End'!$EO$31="",$BN148,N('Month-End'!$EO$31))</f>
        <v/>
      </c>
      <c r="Q148">
        <f>IF('Month-End'!$EO$32="",$BO148,N('Month-End'!$EO$32))</f>
        <v/>
      </c>
      <c r="R148">
        <f>IF('Month-End'!$EO$33="",$BP148,N('Month-End'!$EO$33))</f>
        <v/>
      </c>
      <c r="S148">
        <f>$G148+$H148+$I148+$J148+$K148+$L148+$M148+$N148+$O148+$P148+$Q148+$R148</f>
        <v/>
      </c>
      <c r="T148">
        <f>IF($B148&lt;Settings!$B$6,0,IF(Settings!$B$45="Yes",$G148,0)+IF(Settings!$B$46="Yes",$H148,0)+IF(Settings!$B$47="Yes",$I148,0)+IF(Settings!$B$48="Yes",$J148,0)+IF(Settings!$B$49="Yes",$K148,0)+IF(Settings!$B$50="Yes",$L148,0)+IF(Settings!$B$51="Yes",$M148,0)+IF(Settings!$B$52="Yes",$N148,0)+IF(Settings!$B$53="Yes",$O148,0)+IF(Settings!$B$54="Yes",$P148,0)+IF(Settings!$B$55="Yes",$Q148,0)+IF(Settings!$B$56="Yes",$R148,0))</f>
        <v/>
      </c>
      <c r="U148">
        <f>IF(Settings!$B$45="Not Sure",$G148,0)+IF(Settings!$B$46="Not Sure",$H148,0)+IF(Settings!$B$47="Not Sure",$I148,0)+IF(Settings!$B$48="Not Sure",$J148,0)+IF(Settings!$B$49="Not Sure",$K148,0)+IF(Settings!$B$50="Not Sure",$L148,0)+IF(Settings!$B$51="Not Sure",$M148,0)+IF(Settings!$B$52="Not Sure",$N148,0)+IF(Settings!$B$53="Not Sure",$O148,0)+IF(Settings!$B$54="Not Sure",$P148,0)+IF(Settings!$B$55="Not Sure",$Q148,0)+IF(Settings!$B$56="Not Sure",$R148,0)</f>
        <v/>
      </c>
      <c r="V148">
        <f>IF($E148="open",SUM($ET148:$FE148)+N(Settings!$B$13),0)</f>
        <v/>
      </c>
      <c r="W148">
        <f>IF($E148="post",$S148,IF($E148="open",$S148-$V148,0))</f>
        <v/>
      </c>
      <c r="X148">
        <f>SUMIFS(Giving!$B$7:$B$2006,Giving!$A$7:$A$2006,"&gt;="&amp;$A148,Giving!$A$7:$A$2006,"&lt;="&amp;$B148,Giving!$E$7:$E$2006,"&lt;&gt;No")</f>
        <v/>
      </c>
      <c r="Y148">
        <f>SUMIFS(Giving!$B$7:$B$2006,Giving!$A$7:$A$2006,"&gt;="&amp;$A148,Giving!$A$7:$A$2006,"&lt;="&amp;$B148,Giving!$E$7:$E$2006,"No")</f>
        <v/>
      </c>
      <c r="Z148">
        <f>IF(OR(Settings!$B$60="",Settings!$F$60="No"),0,Settings!$B$60*IF(AND(IF(Settings!$C$60="",$B148,DATE(YEAR($A148),MONTH($A148),MIN(Settings!$C$60,DAY($B148))))&gt;=MAX($A148,Settings!$D$60),IF(Settings!$C$60="",$B148,DATE(YEAR($A148),MONTH($A148),MIN(Settings!$C$60,DAY($B148))))&lt;=MIN($C148,IF(Settings!$E$60="",$C148,Settings!$E$60))),1,0))+IF(OR(Settings!$B$61="",Settings!$F$61="No"),0,Settings!$B$61*IF(AND(IF(Settings!$C$61="",$B148,DATE(YEAR($A148),MONTH($A148),MIN(Settings!$C$61,DAY($B148))))&gt;=MAX($A148,Settings!$D$61),IF(Settings!$C$61="",$B148,DATE(YEAR($A148),MONTH($A148),MIN(Settings!$C$61,DAY($B148))))&lt;=MIN($C148,IF(Settings!$E$61="",$C148,Settings!$E$61))),1,0))+IF(OR(Settings!$B$62="",Settings!$F$62="No"),0,Settings!$B$62*IF(AND(IF(Settings!$C$62="",$B148,DATE(YEAR($A148),MONTH($A148),MIN(Settings!$C$62,DAY($B148))))&gt;=MAX($A148,Settings!$D$62),IF(Settings!$C$62="",$B148,DATE(YEAR($A148),MONTH($A148),MIN(Settings!$C$62,DAY($B148))))&lt;=MIN($C148,IF(Settings!$E$62="",$C148,Settings!$E$62))),1,0))+IF(OR(Settings!$B$63="",Settings!$F$63="No"),0,Settings!$B$63*IF(AND(IF(Settings!$C$63="",$B148,DATE(YEAR($A148),MONTH($A148),MIN(Settings!$C$63,DAY($B148))))&gt;=MAX($A148,Settings!$D$63),IF(Settings!$C$63="",$B148,DATE(YEAR($A148),MONTH($A148),MIN(Settings!$C$63,DAY($B148))))&lt;=MIN($C148,IF(Settings!$E$63="",$C148,Settings!$E$63))),1,0))+IF(OR(Settings!$B$64="",Settings!$F$64="No"),0,Settings!$B$64*IF(AND(IF(Settings!$C$64="",$B148,DATE(YEAR($A148),MONTH($A148),MIN(Settings!$C$64,DAY($B148))))&gt;=MAX($A148,Settings!$D$64),IF(Settings!$C$64="",$B148,DATE(YEAR($A148),MONTH($A148),MIN(Settings!$C$64,DAY($B148))))&lt;=MIN($C148,IF(Settings!$E$64="",$C148,Settings!$E$64))),1,0))+IF(OR(Settings!$B$65="",Settings!$F$65="No"),0,Settings!$B$65*IF(AND(IF(Settings!$C$65="",$B148,DATE(YEAR($A148),MONTH($A148),MIN(Settings!$C$65,DAY($B148))))&gt;=MAX($A148,Settings!$D$65),IF(Settings!$C$65="",$B148,DATE(YEAR($A148),MONTH($A148),MIN(Settings!$C$65,DAY($B148))))&lt;=MIN($C148,IF(Settings!$E$65="",$C148,Settings!$E$65))),1,0))</f>
        <v/>
      </c>
      <c r="AA148">
        <f>$X148+$Z148</f>
        <v/>
      </c>
      <c r="AB148">
        <f>IF($E148="post",$AA148,IF($E148="open",SUMIFS(Giving!$B$7:$B$2006,Giving!$A$7:$A$2006,"&gt;"&amp;Settings!$B$5,Giving!$A$7:$A$2006,"&lt;="&amp;$B148,Giving!$E$7:$E$2006,"&lt;&gt;No")+IF(OR(Settings!$B$60="",Settings!$F$60="No"),0,Settings!$B$60*IF(AND(IF(Settings!$C$60="",$B148,DATE(YEAR($A148),MONTH($A148),MIN(Settings!$C$60,DAY($B148))))&gt;=MAX($A148,Settings!$D$60,Settings!$B$5+1),IF(Settings!$C$60="",$B148,DATE(YEAR($A148),MONTH($A148),MIN(Settings!$C$60,DAY($B148))))&lt;=MIN($C148,IF(Settings!$E$60="",$C148,Settings!$E$60))),1,0))+IF(OR(Settings!$B$61="",Settings!$F$61="No"),0,Settings!$B$61*IF(AND(IF(Settings!$C$61="",$B148,DATE(YEAR($A148),MONTH($A148),MIN(Settings!$C$61,DAY($B148))))&gt;=MAX($A148,Settings!$D$61,Settings!$B$5+1),IF(Settings!$C$61="",$B148,DATE(YEAR($A148),MONTH($A148),MIN(Settings!$C$61,DAY($B148))))&lt;=MIN($C148,IF(Settings!$E$61="",$C148,Settings!$E$61))),1,0))+IF(OR(Settings!$B$62="",Settings!$F$62="No"),0,Settings!$B$62*IF(AND(IF(Settings!$C$62="",$B148,DATE(YEAR($A148),MONTH($A148),MIN(Settings!$C$62,DAY($B148))))&gt;=MAX($A148,Settings!$D$62,Settings!$B$5+1),IF(Settings!$C$62="",$B148,DATE(YEAR($A148),MONTH($A148),MIN(Settings!$C$62,DAY($B148))))&lt;=MIN($C148,IF(Settings!$E$62="",$C148,Settings!$E$62))),1,0))+IF(OR(Settings!$B$63="",Settings!$F$63="No"),0,Settings!$B$63*IF(AND(IF(Settings!$C$63="",$B148,DATE(YEAR($A148),MONTH($A148),MIN(Settings!$C$63,DAY($B148))))&gt;=MAX($A148,Settings!$D$63,Settings!$B$5+1),IF(Settings!$C$63="",$B148,DATE(YEAR($A148),MONTH($A148),MIN(Settings!$C$63,DAY($B148))))&lt;=MIN($C148,IF(Settings!$E$63="",$C148,Settings!$E$63))),1,0))+IF(OR(Settings!$B$64="",Settings!$F$64="No"),0,Settings!$B$64*IF(AND(IF(Settings!$C$64="",$B148,DATE(YEAR($A148),MONTH($A148),MIN(Settings!$C$64,DAY($B148))))&gt;=MAX($A148,Settings!$D$64,Settings!$B$5+1),IF(Settings!$C$64="",$B148,DATE(YEAR($A148),MONTH($A148),MIN(Settings!$C$64,DAY($B148))))&lt;=MIN($C148,IF(Settings!$E$64="",$C148,Settings!$E$64))),1,0))+IF(OR(Settings!$B$65="",Settings!$F$65="No"),0,Settings!$B$65*IF(AND(IF(Settings!$C$65="",$B148,DATE(YEAR($A148),MONTH($A148),MIN(Settings!$C$65,DAY($B148))))&gt;=MAX($A148,Settings!$D$65,Settings!$B$5+1),IF(Settings!$C$65="",$B148,DATE(YEAR($A148),MONTH($A148),MIN(Settings!$C$65,DAY($B148))))&lt;=MIN($C148,IF(Settings!$E$65="",$C148,Settings!$E$65))),1,0)),0))</f>
        <v/>
      </c>
      <c r="AC148">
        <f>$AY148+$AZ148+$BA148+$BB148+$BC148+$BD148</f>
        <v/>
      </c>
      <c r="AD148">
        <f>$AC148</f>
        <v/>
      </c>
      <c r="AE148">
        <f>IF(OR(Settings!$A$19="",$E148="pre"),"",IF(AND('Month-End'!$EO$7&lt;&gt;"",NOT(_xlfn.ISFORMULA('Month-End'!$EO$7))),N('Month-End'!$EO$7),IF(OR($E148="open",$E147="pre"),N(Settings!$C$19),N($AE147))))</f>
        <v/>
      </c>
      <c r="AF148">
        <f>IF(OR(Settings!$A$20="",$E148="pre"),"",IF(AND('Month-End'!$EO$8&lt;&gt;"",NOT(_xlfn.ISFORMULA('Month-End'!$EO$8))),N('Month-End'!$EO$8),IF(OR($E148="open",$E147="pre"),N(Settings!$C$20),N($AF147))))</f>
        <v/>
      </c>
      <c r="AG148">
        <f>IF(OR(Settings!$A$21="",$E148="pre"),"",IF(AND('Month-End'!$EO$9&lt;&gt;"",NOT(_xlfn.ISFORMULA('Month-End'!$EO$9))),N('Month-End'!$EO$9),IF(OR($E148="open",$E147="pre"),N(Settings!$C$21),N($AG147))))</f>
        <v/>
      </c>
      <c r="AH148">
        <f>IF(OR(Settings!$A$22="",$E148="pre"),"",IF(AND('Month-End'!$EO$10&lt;&gt;"",NOT(_xlfn.ISFORMULA('Month-End'!$EO$10))),N('Month-End'!$EO$10),IF(OR($E148="open",$E147="pre"),N(Settings!$C$22),N($AH147))))</f>
        <v/>
      </c>
      <c r="AI148">
        <f>IF(OR(Settings!$A$23="",$E148="pre"),"",IF(AND('Month-End'!$EO$11&lt;&gt;"",NOT(_xlfn.ISFORMULA('Month-End'!$EO$11))),N('Month-End'!$EO$11),IF(OR($E148="open",$E147="pre"),N(Settings!$C$23),N($AI147))))</f>
        <v/>
      </c>
      <c r="AJ148">
        <f>IF(OR(Settings!$A$24="",$E148="pre"),"",IF(AND('Month-End'!$EO$12&lt;&gt;"",NOT(_xlfn.ISFORMULA('Month-End'!$EO$12))),N('Month-End'!$EO$12),IF(OR($E148="open",$E147="pre"),N(Settings!$C$24),N($AJ147))))</f>
        <v/>
      </c>
      <c r="AK148">
        <f>IF(OR(Settings!$A$25="",$E148="pre"),"",IF(AND('Month-End'!$EO$13&lt;&gt;"",NOT(_xlfn.ISFORMULA('Month-End'!$EO$13))),N('Month-End'!$EO$13),IF(OR($E148="open",$E147="pre"),N(Settings!$C$25),N($AK147))))</f>
        <v/>
      </c>
      <c r="AL148">
        <f>IF(OR(Settings!$A$26="",$E148="pre"),"",IF(AND('Month-End'!$EO$14&lt;&gt;"",NOT(_xlfn.ISFORMULA('Month-End'!$EO$14))),N('Month-End'!$EO$14),IF(OR($E148="open",$E147="pre"),N(Settings!$C$26),N($AL147))))</f>
        <v/>
      </c>
      <c r="AM148">
        <f>IF(OR(Settings!$A$27="",$E148="pre"),"",IF(AND('Month-End'!$EO$15&lt;&gt;"",NOT(_xlfn.ISFORMULA('Month-End'!$EO$15))),N('Month-End'!$EO$15),IF(OR($E148="open",$E147="pre"),N(Settings!$C$27),N($AM147))))</f>
        <v/>
      </c>
      <c r="AN148">
        <f>IF(OR(Settings!$A$28="",$E148="pre"),"",IF(AND('Month-End'!$EO$16&lt;&gt;"",NOT(_xlfn.ISFORMULA('Month-End'!$EO$16))),N('Month-End'!$EO$16),IF(OR($E148="open",$E147="pre"),N(Settings!$C$28),N($AN147))))</f>
        <v/>
      </c>
      <c r="AO148">
        <f>IF(OR(Settings!$A$29="",$E148="pre"),"",IF(AND('Month-End'!$EO$17&lt;&gt;"",NOT(_xlfn.ISFORMULA('Month-End'!$EO$17))),N('Month-End'!$EO$17),IF(OR($E148="open",$E147="pre"),N(Settings!$C$29),N($AO147))))</f>
        <v/>
      </c>
      <c r="AP148">
        <f>IF(OR(Settings!$A$30="",$E148="pre"),"",IF(AND('Month-End'!$EO$18&lt;&gt;"",NOT(_xlfn.ISFORMULA('Month-End'!$EO$18))),N('Month-End'!$EO$18),IF(OR($E148="open",$E147="pre"),N(Settings!$C$30),N($AP147))))</f>
        <v/>
      </c>
      <c r="AQ148">
        <f>IF(OR(Settings!$A$31="",$E148="pre"),"",IF(AND('Month-End'!$EO$19&lt;&gt;"",NOT(_xlfn.ISFORMULA('Month-End'!$EO$19))),N('Month-End'!$EO$19),IF(OR($E148="open",$E147="pre"),N(Settings!$C$31),N($AQ147))))</f>
        <v/>
      </c>
      <c r="AR148">
        <f>IF(OR(Settings!$A$32="",$E148="pre"),"",IF(AND('Month-End'!$EO$20&lt;&gt;"",NOT(_xlfn.ISFORMULA('Month-End'!$EO$20))),N('Month-End'!$EO$20),IF(OR($E148="open",$E147="pre"),N(Settings!$C$32),N($AR147))))</f>
        <v/>
      </c>
      <c r="AS148">
        <f>IF(OR(Settings!$A$36="",$E148="pre"),"",IF(AND('Month-End'!$EO$38&lt;&gt;"",NOT(_xlfn.ISFORMULA('Month-End'!$EO$38))),N('Month-End'!$EO$38),IF(OR($E148="open",$E147="pre"),N(Settings!$C$36),N($AS147))+$AY148))</f>
        <v/>
      </c>
      <c r="AT148">
        <f>IF(OR(Settings!$A$37="",$E148="pre"),"",IF(AND('Month-End'!$EO$39&lt;&gt;"",NOT(_xlfn.ISFORMULA('Month-End'!$EO$39))),N('Month-End'!$EO$39),IF(OR($E148="open",$E147="pre"),N(Settings!$C$37),N($AT147))+$AZ148))</f>
        <v/>
      </c>
      <c r="AU148">
        <f>IF(OR(Settings!$A$38="",$E148="pre"),"",IF(AND('Month-End'!$EO$40&lt;&gt;"",NOT(_xlfn.ISFORMULA('Month-End'!$EO$40))),N('Month-End'!$EO$40),IF(OR($E148="open",$E147="pre"),N(Settings!$C$38),N($AU147))+$BA148))</f>
        <v/>
      </c>
      <c r="AV148">
        <f>IF(OR(Settings!$A$39="",$E148="pre"),"",IF(AND('Month-End'!$EO$41&lt;&gt;"",NOT(_xlfn.ISFORMULA('Month-End'!$EO$41))),N('Month-End'!$EO$41),IF(OR($E148="open",$E147="pre"),N(Settings!$C$39),N($AV147))+$BB148))</f>
        <v/>
      </c>
      <c r="AW148">
        <f>IF(OR(Settings!$A$40="",$E148="pre"),"",IF(AND('Month-End'!$EO$42&lt;&gt;"",NOT(_xlfn.ISFORMULA('Month-End'!$EO$42))),N('Month-End'!$EO$42),IF(OR($E148="open",$E147="pre"),N(Settings!$C$40),N($AW147))+$BC148))</f>
        <v/>
      </c>
      <c r="AX148">
        <f>IF(OR(Settings!$A$41="",$E148="pre"),"",IF(AND('Month-End'!$EO$43&lt;&gt;"",NOT(_xlfn.ISFORMULA('Month-End'!$EO$43))),N('Month-End'!$EO$43),IF(OR($E148="open",$E147="pre"),N(Settings!$C$41),N($AX147))+$BD148))</f>
        <v/>
      </c>
      <c r="AY148">
        <f>IF($E148="pre",0,N('Month-End'!$EO$45))</f>
        <v/>
      </c>
      <c r="AZ148">
        <f>IF($E148="pre",0,N('Month-End'!$EO$46))</f>
        <v/>
      </c>
      <c r="BA148">
        <f>IF($E148="pre",0,N('Month-End'!$EO$47))</f>
        <v/>
      </c>
      <c r="BB148">
        <f>IF($E148="pre",0,N('Month-End'!$EO$48))</f>
        <v/>
      </c>
      <c r="BC148">
        <f>IF($E148="pre",0,N('Month-End'!$EO$49))</f>
        <v/>
      </c>
      <c r="BD148">
        <f>IF($E148="pre",0,N('Month-End'!$EO$50))</f>
        <v/>
      </c>
      <c r="BE148">
        <f>IF(OR(Settings!$C$45="",Settings!$D$45=""),0,Settings!$C$45*IF(Settings!$D$45="Weekly",IF(IFERROR(MATCH(Settings!$E$45,$EO$4:$EO$10,0),0)=0,0,IF(MIN($C148,IF(Settings!$G$45="",$C148,Settings!$G$45))&lt;MAX($A148,Settings!$F$45),0,INT((MIN($C148,IF(Settings!$G$45="",$C148,Settings!$G$45))-MAX($A148,Settings!$F$45)-MOD(IFERROR(MATCH(Settings!$E$45,$EO$4:$EO$10,0),0)-WEEKDAY(MAX($A148,Settings!$F$45)),7))/7)+1)),IF(AND(IF(Settings!$E$45="",$B148,DATE(YEAR($A148),MONTH($A148),MIN(Settings!$E$45,DAY($B148))))&gt;=MAX($A148,Settings!$F$45),IF(Settings!$E$45="",$B148,DATE(YEAR($A148),MONTH($A148),MIN(Settings!$E$45,DAY($B148))))&lt;=MIN($C148,IF(Settings!$G$45="",$C148,Settings!$G$45))),1,0)))</f>
        <v/>
      </c>
      <c r="BF148">
        <f>IF(OR(Settings!$C$46="",Settings!$D$46=""),0,Settings!$C$46*IF(Settings!$D$46="Weekly",IF(IFERROR(MATCH(Settings!$E$46,$EO$4:$EO$10,0),0)=0,0,IF(MIN($C148,IF(Settings!$G$46="",$C148,Settings!$G$46))&lt;MAX($A148,Settings!$F$46),0,INT((MIN($C148,IF(Settings!$G$46="",$C148,Settings!$G$46))-MAX($A148,Settings!$F$46)-MOD(IFERROR(MATCH(Settings!$E$46,$EO$4:$EO$10,0),0)-WEEKDAY(MAX($A148,Settings!$F$46)),7))/7)+1)),IF(AND(IF(Settings!$E$46="",$B148,DATE(YEAR($A148),MONTH($A148),MIN(Settings!$E$46,DAY($B148))))&gt;=MAX($A148,Settings!$F$46),IF(Settings!$E$46="",$B148,DATE(YEAR($A148),MONTH($A148),MIN(Settings!$E$46,DAY($B148))))&lt;=MIN($C148,IF(Settings!$G$46="",$C148,Settings!$G$46))),1,0)))</f>
        <v/>
      </c>
      <c r="BG148">
        <f>IF(OR(Settings!$C$47="",Settings!$D$47=""),0,Settings!$C$47*IF(Settings!$D$47="Weekly",IF(IFERROR(MATCH(Settings!$E$47,$EO$4:$EO$10,0),0)=0,0,IF(MIN($C148,IF(Settings!$G$47="",$C148,Settings!$G$47))&lt;MAX($A148,Settings!$F$47),0,INT((MIN($C148,IF(Settings!$G$47="",$C148,Settings!$G$47))-MAX($A148,Settings!$F$47)-MOD(IFERROR(MATCH(Settings!$E$47,$EO$4:$EO$10,0),0)-WEEKDAY(MAX($A148,Settings!$F$47)),7))/7)+1)),IF(AND(IF(Settings!$E$47="",$B148,DATE(YEAR($A148),MONTH($A148),MIN(Settings!$E$47,DAY($B148))))&gt;=MAX($A148,Settings!$F$47),IF(Settings!$E$47="",$B148,DATE(YEAR($A148),MONTH($A148),MIN(Settings!$E$47,DAY($B148))))&lt;=MIN($C148,IF(Settings!$G$47="",$C148,Settings!$G$47))),1,0)))</f>
        <v/>
      </c>
      <c r="BH148">
        <f>IF(OR(Settings!$C$48="",Settings!$D$48=""),0,Settings!$C$48*IF(Settings!$D$48="Weekly",IF(IFERROR(MATCH(Settings!$E$48,$EO$4:$EO$10,0),0)=0,0,IF(MIN($C148,IF(Settings!$G$48="",$C148,Settings!$G$48))&lt;MAX($A148,Settings!$F$48),0,INT((MIN($C148,IF(Settings!$G$48="",$C148,Settings!$G$48))-MAX($A148,Settings!$F$48)-MOD(IFERROR(MATCH(Settings!$E$48,$EO$4:$EO$10,0),0)-WEEKDAY(MAX($A148,Settings!$F$48)),7))/7)+1)),IF(AND(IF(Settings!$E$48="",$B148,DATE(YEAR($A148),MONTH($A148),MIN(Settings!$E$48,DAY($B148))))&gt;=MAX($A148,Settings!$F$48),IF(Settings!$E$48="",$B148,DATE(YEAR($A148),MONTH($A148),MIN(Settings!$E$48,DAY($B148))))&lt;=MIN($C148,IF(Settings!$G$48="",$C148,Settings!$G$48))),1,0)))</f>
        <v/>
      </c>
      <c r="BI148">
        <f>IF(OR(Settings!$C$49="",Settings!$D$49=""),0,Settings!$C$49*IF(Settings!$D$49="Weekly",IF(IFERROR(MATCH(Settings!$E$49,$EO$4:$EO$10,0),0)=0,0,IF(MIN($C148,IF(Settings!$G$49="",$C148,Settings!$G$49))&lt;MAX($A148,Settings!$F$49),0,INT((MIN($C148,IF(Settings!$G$49="",$C148,Settings!$G$49))-MAX($A148,Settings!$F$49)-MOD(IFERROR(MATCH(Settings!$E$49,$EO$4:$EO$10,0),0)-WEEKDAY(MAX($A148,Settings!$F$49)),7))/7)+1)),IF(AND(IF(Settings!$E$49="",$B148,DATE(YEAR($A148),MONTH($A148),MIN(Settings!$E$49,DAY($B148))))&gt;=MAX($A148,Settings!$F$49),IF(Settings!$E$49="",$B148,DATE(YEAR($A148),MONTH($A148),MIN(Settings!$E$49,DAY($B148))))&lt;=MIN($C148,IF(Settings!$G$49="",$C148,Settings!$G$49))),1,0)))</f>
        <v/>
      </c>
      <c r="BJ148">
        <f>IF(OR(Settings!$C$50="",Settings!$D$50=""),0,Settings!$C$50*IF(Settings!$D$50="Weekly",IF(IFERROR(MATCH(Settings!$E$50,$EO$4:$EO$10,0),0)=0,0,IF(MIN($C148,IF(Settings!$G$50="",$C148,Settings!$G$50))&lt;MAX($A148,Settings!$F$50),0,INT((MIN($C148,IF(Settings!$G$50="",$C148,Settings!$G$50))-MAX($A148,Settings!$F$50)-MOD(IFERROR(MATCH(Settings!$E$50,$EO$4:$EO$10,0),0)-WEEKDAY(MAX($A148,Settings!$F$50)),7))/7)+1)),IF(AND(IF(Settings!$E$50="",$B148,DATE(YEAR($A148),MONTH($A148),MIN(Settings!$E$50,DAY($B148))))&gt;=MAX($A148,Settings!$F$50),IF(Settings!$E$50="",$B148,DATE(YEAR($A148),MONTH($A148),MIN(Settings!$E$50,DAY($B148))))&lt;=MIN($C148,IF(Settings!$G$50="",$C148,Settings!$G$50))),1,0)))</f>
        <v/>
      </c>
      <c r="BK148">
        <f>IF(OR(Settings!$C$51="",Settings!$D$51=""),0,Settings!$C$51*IF(Settings!$D$51="Weekly",IF(IFERROR(MATCH(Settings!$E$51,$EO$4:$EO$10,0),0)=0,0,IF(MIN($C148,IF(Settings!$G$51="",$C148,Settings!$G$51))&lt;MAX($A148,Settings!$F$51),0,INT((MIN($C148,IF(Settings!$G$51="",$C148,Settings!$G$51))-MAX($A148,Settings!$F$51)-MOD(IFERROR(MATCH(Settings!$E$51,$EO$4:$EO$10,0),0)-WEEKDAY(MAX($A148,Settings!$F$51)),7))/7)+1)),IF(AND(IF(Settings!$E$51="",$B148,DATE(YEAR($A148),MONTH($A148),MIN(Settings!$E$51,DAY($B148))))&gt;=MAX($A148,Settings!$F$51),IF(Settings!$E$51="",$B148,DATE(YEAR($A148),MONTH($A148),MIN(Settings!$E$51,DAY($B148))))&lt;=MIN($C148,IF(Settings!$G$51="",$C148,Settings!$G$51))),1,0)))</f>
        <v/>
      </c>
      <c r="BL148">
        <f>IF(OR(Settings!$C$52="",Settings!$D$52=""),0,Settings!$C$52*IF(Settings!$D$52="Weekly",IF(IFERROR(MATCH(Settings!$E$52,$EO$4:$EO$10,0),0)=0,0,IF(MIN($C148,IF(Settings!$G$52="",$C148,Settings!$G$52))&lt;MAX($A148,Settings!$F$52),0,INT((MIN($C148,IF(Settings!$G$52="",$C148,Settings!$G$52))-MAX($A148,Settings!$F$52)-MOD(IFERROR(MATCH(Settings!$E$52,$EO$4:$EO$10,0),0)-WEEKDAY(MAX($A148,Settings!$F$52)),7))/7)+1)),IF(AND(IF(Settings!$E$52="",$B148,DATE(YEAR($A148),MONTH($A148),MIN(Settings!$E$52,DAY($B148))))&gt;=MAX($A148,Settings!$F$52),IF(Settings!$E$52="",$B148,DATE(YEAR($A148),MONTH($A148),MIN(Settings!$E$52,DAY($B148))))&lt;=MIN($C148,IF(Settings!$G$52="",$C148,Settings!$G$52))),1,0)))</f>
        <v/>
      </c>
      <c r="BM148">
        <f>IF(OR(Settings!$C$53="",Settings!$D$53=""),0,Settings!$C$53*IF(Settings!$D$53="Weekly",IF(IFERROR(MATCH(Settings!$E$53,$EO$4:$EO$10,0),0)=0,0,IF(MIN($C148,IF(Settings!$G$53="",$C148,Settings!$G$53))&lt;MAX($A148,Settings!$F$53),0,INT((MIN($C148,IF(Settings!$G$53="",$C148,Settings!$G$53))-MAX($A148,Settings!$F$53)-MOD(IFERROR(MATCH(Settings!$E$53,$EO$4:$EO$10,0),0)-WEEKDAY(MAX($A148,Settings!$F$53)),7))/7)+1)),IF(AND(IF(Settings!$E$53="",$B148,DATE(YEAR($A148),MONTH($A148),MIN(Settings!$E$53,DAY($B148))))&gt;=MAX($A148,Settings!$F$53),IF(Settings!$E$53="",$B148,DATE(YEAR($A148),MONTH($A148),MIN(Settings!$E$53,DAY($B148))))&lt;=MIN($C148,IF(Settings!$G$53="",$C148,Settings!$G$53))),1,0)))</f>
        <v/>
      </c>
      <c r="BN148">
        <f>IF(OR(Settings!$C$54="",Settings!$D$54=""),0,Settings!$C$54*IF(Settings!$D$54="Weekly",IF(IFERROR(MATCH(Settings!$E$54,$EO$4:$EO$10,0),0)=0,0,IF(MIN($C148,IF(Settings!$G$54="",$C148,Settings!$G$54))&lt;MAX($A148,Settings!$F$54),0,INT((MIN($C148,IF(Settings!$G$54="",$C148,Settings!$G$54))-MAX($A148,Settings!$F$54)-MOD(IFERROR(MATCH(Settings!$E$54,$EO$4:$EO$10,0),0)-WEEKDAY(MAX($A148,Settings!$F$54)),7))/7)+1)),IF(AND(IF(Settings!$E$54="",$B148,DATE(YEAR($A148),MONTH($A148),MIN(Settings!$E$54,DAY($B148))))&gt;=MAX($A148,Settings!$F$54),IF(Settings!$E$54="",$B148,DATE(YEAR($A148),MONTH($A148),MIN(Settings!$E$54,DAY($B148))))&lt;=MIN($C148,IF(Settings!$G$54="",$C148,Settings!$G$54))),1,0)))</f>
        <v/>
      </c>
      <c r="BO148">
        <f>IF(OR(Settings!$C$55="",Settings!$D$55=""),0,Settings!$C$55*IF(Settings!$D$55="Weekly",IF(IFERROR(MATCH(Settings!$E$55,$EO$4:$EO$10,0),0)=0,0,IF(MIN($C148,IF(Settings!$G$55="",$C148,Settings!$G$55))&lt;MAX($A148,Settings!$F$55),0,INT((MIN($C148,IF(Settings!$G$55="",$C148,Settings!$G$55))-MAX($A148,Settings!$F$55)-MOD(IFERROR(MATCH(Settings!$E$55,$EO$4:$EO$10,0),0)-WEEKDAY(MAX($A148,Settings!$F$55)),7))/7)+1)),IF(AND(IF(Settings!$E$55="",$B148,DATE(YEAR($A148),MONTH($A148),MIN(Settings!$E$55,DAY($B148))))&gt;=MAX($A148,Settings!$F$55),IF(Settings!$E$55="",$B148,DATE(YEAR($A148),MONTH($A148),MIN(Settings!$E$55,DAY($B148))))&lt;=MIN($C148,IF(Settings!$G$55="",$C148,Settings!$G$55))),1,0)))</f>
        <v/>
      </c>
      <c r="BP148">
        <f>IF(OR(Settings!$C$56="",Settings!$D$56=""),0,Settings!$C$56*IF(Settings!$D$56="Weekly",IF(IFERROR(MATCH(Settings!$E$56,$EO$4:$EO$10,0),0)=0,0,IF(MIN($C148,IF(Settings!$G$56="",$C148,Settings!$G$56))&lt;MAX($A148,Settings!$F$56),0,INT((MIN($C148,IF(Settings!$G$56="",$C148,Settings!$G$56))-MAX($A148,Settings!$F$56)-MOD(IFERROR(MATCH(Settings!$E$56,$EO$4:$EO$10,0),0)-WEEKDAY(MAX($A148,Settings!$F$56)),7))/7)+1)),IF(AND(IF(Settings!$E$56="",$B148,DATE(YEAR($A148),MONTH($A148),MIN(Settings!$E$56,DAY($B148))))&gt;=MAX($A148,Settings!$F$56),IF(Settings!$E$56="",$B148,DATE(YEAR($A148),MONTH($A148),MIN(Settings!$E$56,DAY($B148))))&lt;=MIN($C148,IF(Settings!$G$56="",$C148,Settings!$G$56))),1,0)))</f>
        <v/>
      </c>
      <c r="BQ148">
        <f>IF(OR(Settings!$B$14="",$D148=1,$E148="pre",$A148&lt;IF(Settings!$B$15="",0,Settings!$B$15)),0,Settings!$B$14)</f>
        <v/>
      </c>
      <c r="BR148">
        <f>IF(AND('Month-End'!$EO$7&lt;&gt;"",NOT(_xlfn.ISFORMULA('Month-End'!$EO$7))),1,0)</f>
        <v/>
      </c>
      <c r="BS148">
        <f>IF(AND('Month-End'!$EO$8&lt;&gt;"",NOT(_xlfn.ISFORMULA('Month-End'!$EO$8))),1,0)</f>
        <v/>
      </c>
      <c r="BT148">
        <f>IF(AND('Month-End'!$EO$9&lt;&gt;"",NOT(_xlfn.ISFORMULA('Month-End'!$EO$9))),1,0)</f>
        <v/>
      </c>
      <c r="BU148">
        <f>IF(AND('Month-End'!$EO$10&lt;&gt;"",NOT(_xlfn.ISFORMULA('Month-End'!$EO$10))),1,0)</f>
        <v/>
      </c>
      <c r="BV148">
        <f>IF(AND('Month-End'!$EO$11&lt;&gt;"",NOT(_xlfn.ISFORMULA('Month-End'!$EO$11))),1,0)</f>
        <v/>
      </c>
      <c r="BW148">
        <f>IF(AND('Month-End'!$EO$12&lt;&gt;"",NOT(_xlfn.ISFORMULA('Month-End'!$EO$12))),1,0)</f>
        <v/>
      </c>
      <c r="BX148">
        <f>IF(AND('Month-End'!$EO$13&lt;&gt;"",NOT(_xlfn.ISFORMULA('Month-End'!$EO$13))),1,0)</f>
        <v/>
      </c>
      <c r="BY148">
        <f>IF(AND('Month-End'!$EO$14&lt;&gt;"",NOT(_xlfn.ISFORMULA('Month-End'!$EO$14))),1,0)</f>
        <v/>
      </c>
      <c r="BZ148">
        <f>IF(AND('Month-End'!$EO$15&lt;&gt;"",NOT(_xlfn.ISFORMULA('Month-End'!$EO$15))),1,0)</f>
        <v/>
      </c>
      <c r="CA148">
        <f>IF(AND('Month-End'!$EO$16&lt;&gt;"",NOT(_xlfn.ISFORMULA('Month-End'!$EO$16))),1,0)</f>
        <v/>
      </c>
      <c r="CB148">
        <f>IF(AND('Month-End'!$EO$17&lt;&gt;"",NOT(_xlfn.ISFORMULA('Month-End'!$EO$17))),1,0)</f>
        <v/>
      </c>
      <c r="CC148">
        <f>IF(AND('Month-End'!$EO$18&lt;&gt;"",NOT(_xlfn.ISFORMULA('Month-End'!$EO$18))),1,0)</f>
        <v/>
      </c>
      <c r="CD148">
        <f>IF(AND('Month-End'!$EO$19&lt;&gt;"",NOT(_xlfn.ISFORMULA('Month-End'!$EO$19))),1,0)</f>
        <v/>
      </c>
      <c r="CE148">
        <f>IF(AND('Month-End'!$EO$20&lt;&gt;"",NOT(_xlfn.ISFORMULA('Month-End'!$EO$20))),1,0)</f>
        <v/>
      </c>
      <c r="CF148">
        <f>IF(AND('Month-End'!$EO$38&lt;&gt;"",NOT(_xlfn.ISFORMULA('Month-End'!$EO$38))),1,0)</f>
        <v/>
      </c>
      <c r="CG148">
        <f>IF(AND('Month-End'!$EO$39&lt;&gt;"",NOT(_xlfn.ISFORMULA('Month-End'!$EO$39))),1,0)</f>
        <v/>
      </c>
      <c r="CH148">
        <f>IF(AND('Month-End'!$EO$40&lt;&gt;"",NOT(_xlfn.ISFORMULA('Month-End'!$EO$40))),1,0)</f>
        <v/>
      </c>
      <c r="CI148">
        <f>IF(AND('Month-End'!$EO$41&lt;&gt;"",NOT(_xlfn.ISFORMULA('Month-End'!$EO$41))),1,0)</f>
        <v/>
      </c>
      <c r="CJ148">
        <f>IF(AND('Month-End'!$EO$42&lt;&gt;"",NOT(_xlfn.ISFORMULA('Month-End'!$EO$42))),1,0)</f>
        <v/>
      </c>
      <c r="CK148">
        <f>IF(AND('Month-End'!$EO$43&lt;&gt;"",NOT(_xlfn.ISFORMULA('Month-End'!$EO$43))),1,0)</f>
        <v/>
      </c>
      <c r="CL148">
        <f>SUM($CM148:$CZ148)</f>
        <v/>
      </c>
      <c r="CM148">
        <f>IF(AND($E148&lt;&gt;"pre",AND(Settings!$A$19&lt;&gt;"",Settings!$E$19&lt;&gt;"No"),Settings!$F$19="Yes",NOT(AND('Month-End'!$EO$7&lt;&gt;"",NOT(_xlfn.ISFORMULA('Month-End'!$EO$7))))),1,0)</f>
        <v/>
      </c>
      <c r="CN148">
        <f>IF(AND($E148&lt;&gt;"pre",AND(Settings!$A$20&lt;&gt;"",Settings!$E$20&lt;&gt;"No"),Settings!$F$20="Yes",NOT(AND('Month-End'!$EO$8&lt;&gt;"",NOT(_xlfn.ISFORMULA('Month-End'!$EO$8))))),1,0)</f>
        <v/>
      </c>
      <c r="CO148">
        <f>IF(AND($E148&lt;&gt;"pre",AND(Settings!$A$21&lt;&gt;"",Settings!$E$21&lt;&gt;"No"),Settings!$F$21="Yes",NOT(AND('Month-End'!$EO$9&lt;&gt;"",NOT(_xlfn.ISFORMULA('Month-End'!$EO$9))))),1,0)</f>
        <v/>
      </c>
      <c r="CP148">
        <f>IF(AND($E148&lt;&gt;"pre",AND(Settings!$A$22&lt;&gt;"",Settings!$E$22&lt;&gt;"No"),Settings!$F$22="Yes",NOT(AND('Month-End'!$EO$10&lt;&gt;"",NOT(_xlfn.ISFORMULA('Month-End'!$EO$10))))),1,0)</f>
        <v/>
      </c>
      <c r="CQ148">
        <f>IF(AND($E148&lt;&gt;"pre",AND(Settings!$A$23&lt;&gt;"",Settings!$E$23&lt;&gt;"No"),Settings!$F$23="Yes",NOT(AND('Month-End'!$EO$11&lt;&gt;"",NOT(_xlfn.ISFORMULA('Month-End'!$EO$11))))),1,0)</f>
        <v/>
      </c>
      <c r="CR148">
        <f>IF(AND($E148&lt;&gt;"pre",AND(Settings!$A$24&lt;&gt;"",Settings!$E$24&lt;&gt;"No"),Settings!$F$24="Yes",NOT(AND('Month-End'!$EO$12&lt;&gt;"",NOT(_xlfn.ISFORMULA('Month-End'!$EO$12))))),1,0)</f>
        <v/>
      </c>
      <c r="CS148">
        <f>IF(AND($E148&lt;&gt;"pre",AND(Settings!$A$25&lt;&gt;"",Settings!$E$25&lt;&gt;"No"),Settings!$F$25="Yes",NOT(AND('Month-End'!$EO$13&lt;&gt;"",NOT(_xlfn.ISFORMULA('Month-End'!$EO$13))))),1,0)</f>
        <v/>
      </c>
      <c r="CT148">
        <f>IF(AND($E148&lt;&gt;"pre",AND(Settings!$A$26&lt;&gt;"",Settings!$E$26&lt;&gt;"No"),Settings!$F$26="Yes",NOT(AND('Month-End'!$EO$14&lt;&gt;"",NOT(_xlfn.ISFORMULA('Month-End'!$EO$14))))),1,0)</f>
        <v/>
      </c>
      <c r="CU148">
        <f>IF(AND($E148&lt;&gt;"pre",AND(Settings!$A$27&lt;&gt;"",Settings!$E$27&lt;&gt;"No"),Settings!$F$27="Yes",NOT(AND('Month-End'!$EO$15&lt;&gt;"",NOT(_xlfn.ISFORMULA('Month-End'!$EO$15))))),1,0)</f>
        <v/>
      </c>
      <c r="CV148">
        <f>IF(AND($E148&lt;&gt;"pre",AND(Settings!$A$28&lt;&gt;"",Settings!$E$28&lt;&gt;"No"),Settings!$F$28="Yes",NOT(AND('Month-End'!$EO$16&lt;&gt;"",NOT(_xlfn.ISFORMULA('Month-End'!$EO$16))))),1,0)</f>
        <v/>
      </c>
      <c r="CW148">
        <f>IF(AND($E148&lt;&gt;"pre",AND(Settings!$A$29&lt;&gt;"",Settings!$E$29&lt;&gt;"No"),Settings!$F$29="Yes",NOT(AND('Month-End'!$EO$17&lt;&gt;"",NOT(_xlfn.ISFORMULA('Month-End'!$EO$17))))),1,0)</f>
        <v/>
      </c>
      <c r="CX148">
        <f>IF(AND($E148&lt;&gt;"pre",AND(Settings!$A$30&lt;&gt;"",Settings!$E$30&lt;&gt;"No"),Settings!$F$30="Yes",NOT(AND('Month-End'!$EO$18&lt;&gt;"",NOT(_xlfn.ISFORMULA('Month-End'!$EO$18))))),1,0)</f>
        <v/>
      </c>
      <c r="CY148">
        <f>IF(AND($E148&lt;&gt;"pre",AND(Settings!$A$31&lt;&gt;"",Settings!$E$31&lt;&gt;"No"),Settings!$F$31="Yes",NOT(AND('Month-End'!$EO$19&lt;&gt;"",NOT(_xlfn.ISFORMULA('Month-End'!$EO$19))))),1,0)</f>
        <v/>
      </c>
      <c r="CZ148">
        <f>IF(AND($E148&lt;&gt;"pre",AND(Settings!$A$32&lt;&gt;"",Settings!$E$32&lt;&gt;"No"),Settings!$F$32="Yes",NOT(AND('Month-End'!$EO$20&lt;&gt;"",NOT(_xlfn.ISFORMULA('Month-End'!$EO$20))))),1,0)</f>
        <v/>
      </c>
      <c r="DA148">
        <f>IF($DT148=1,IF(OR(Settings!$B$19="Checking",Settings!$B$19="Savings",Settings!$B$19="Cash"),N($AE148),IF(OR(Settings!$B$19="Card",Settings!$B$19="Loan"),-N($AE148),0))+IF(OR(Settings!$B$20="Checking",Settings!$B$20="Savings",Settings!$B$20="Cash"),N($AF148),IF(OR(Settings!$B$20="Card",Settings!$B$20="Loan"),-N($AF148),0))+IF(OR(Settings!$B$21="Checking",Settings!$B$21="Savings",Settings!$B$21="Cash"),N($AG148),IF(OR(Settings!$B$21="Card",Settings!$B$21="Loan"),-N($AG148),0))+IF(OR(Settings!$B$22="Checking",Settings!$B$22="Savings",Settings!$B$22="Cash"),N($AH148),IF(OR(Settings!$B$22="Card",Settings!$B$22="Loan"),-N($AH148),0))+IF(OR(Settings!$B$23="Checking",Settings!$B$23="Savings",Settings!$B$23="Cash"),N($AI148),IF(OR(Settings!$B$23="Card",Settings!$B$23="Loan"),-N($AI148),0))+IF(OR(Settings!$B$24="Checking",Settings!$B$24="Savings",Settings!$B$24="Cash"),N($AJ148),IF(OR(Settings!$B$24="Card",Settings!$B$24="Loan"),-N($AJ148),0))+IF(OR(Settings!$B$25="Checking",Settings!$B$25="Savings",Settings!$B$25="Cash"),N($AK148),IF(OR(Settings!$B$25="Card",Settings!$B$25="Loan"),-N($AK148),0))+IF(OR(Settings!$B$26="Checking",Settings!$B$26="Savings",Settings!$B$26="Cash"),N($AL148),IF(OR(Settings!$B$26="Card",Settings!$B$26="Loan"),-N($AL148),0))+IF(OR(Settings!$B$27="Checking",Settings!$B$27="Savings",Settings!$B$27="Cash"),N($AM148),IF(OR(Settings!$B$27="Card",Settings!$B$27="Loan"),-N($AM148),0))+IF(OR(Settings!$B$28="Checking",Settings!$B$28="Savings",Settings!$B$28="Cash"),N($AN148),IF(OR(Settings!$B$28="Card",Settings!$B$28="Loan"),-N($AN148),0))+IF(OR(Settings!$B$29="Checking",Settings!$B$29="Savings",Settings!$B$29="Cash"),N($AO148),IF(OR(Settings!$B$29="Card",Settings!$B$29="Loan"),-N($AO148),0))+IF(OR(Settings!$B$30="Checking",Settings!$B$30="Savings",Settings!$B$30="Cash"),N($AP148),IF(OR(Settings!$B$30="Card",Settings!$B$30="Loan"),-N($AP148),0))+IF(OR(Settings!$B$31="Checking",Settings!$B$31="Savings",Settings!$B$31="Cash"),N($AQ148),IF(OR(Settings!$B$31="Card",Settings!$B$31="Loan"),-N($AQ148),0))+IF(OR(Settings!$B$32="Checking",Settings!$B$32="Savings",Settings!$B$32="Cash"),N($AR148),IF(OR(Settings!$B$32="Card",Settings!$B$32="Loan"),-N($AR148),0)),"")</f>
        <v/>
      </c>
      <c r="DB148">
        <f>IF($E148="open",$EB$27,IF($E148="post",IF($E147="pre",$EB$27,$DA147),""))</f>
        <v/>
      </c>
      <c r="DC148">
        <f>IF($E148="open",1,IF($E148="post",IF($E147="pre",1,$DT147),0))</f>
        <v/>
      </c>
      <c r="DD148">
        <f>IF(AND($DT148=1,$DC148=1),ROUND($W148-($DA148-$DB148)-$AD148-$AB148,2),"")</f>
        <v/>
      </c>
      <c r="DE148">
        <f>IF('Month-End'!$EO$35="",$BQ148,N('Month-End'!$EO$35))</f>
        <v/>
      </c>
      <c r="DF148">
        <f>N('Month-End'!$EO$36)</f>
        <v/>
      </c>
      <c r="DG148">
        <f>IF($DD148="","",$DD148+$DE148)</f>
        <v/>
      </c>
      <c r="DH148">
        <f>IF($DG148="","",$DG148-$DF148)</f>
        <v/>
      </c>
      <c r="DI148">
        <f>IF(OR($E148="pre",$D148=1),"",N($AS148)+N($AT148)+N($AU148)+N($AV148)+N($AW148)+N($AX148))</f>
        <v/>
      </c>
      <c r="DJ148">
        <f>IF($DT148=1,$DA148+N($DI148),"")</f>
        <v/>
      </c>
      <c r="DK148">
        <f>IF($DD148="","",$W148-$DD148-$AB148)</f>
        <v/>
      </c>
      <c r="DL148">
        <f>IF(AND($E148="post",$DD148&lt;&gt;"",$B148&lt;TODAY()),1,0)</f>
        <v/>
      </c>
      <c r="DM148">
        <f>IF($DL148=1,COUNTIF($DL148:$DL$183,1),0)</f>
        <v/>
      </c>
      <c r="DN148">
        <f>IF($D148=1,"",IF($E148="pre","History only",IF($DT148=1,IF($DD148="","⚠ Previous month missing",IF($DD148&lt;0,"⚠ Check: spending &lt; 0",IF($E148="open","✓ Done (partial)","✓ Done"))),IF($B148&gt;=TODAY(),"In progress","⚠ Needs balances"))))</f>
        <v/>
      </c>
      <c r="DO148">
        <f>YEAR($A148)</f>
        <v/>
      </c>
      <c r="DP148">
        <f>DATE(YEAR($A148),INT((MONTH($A148)-1)/3)*3+1,1)</f>
        <v/>
      </c>
      <c r="DQ148">
        <f>IF(AND($DT148=1,$DD148&lt;&gt;"",$D148=0),ROW(),0)</f>
        <v/>
      </c>
      <c r="DR148">
        <f>IF(AND($E148&lt;&gt;"pre",$B148&lt;TODAY(),$DT148=0),1,0)</f>
        <v/>
      </c>
      <c r="DS148">
        <f>IF($DJ148="",NA(),$DJ148)</f>
        <v/>
      </c>
      <c r="DT148">
        <f>IF(AND($E148&lt;&gt;"pre",$CL148=0,COUNTIFS(Settings!$F$19:$F$32,"Yes",Settings!$A$19:$A$32,"&lt;&gt;",Settings!$E$19:$E$32,"&lt;&gt;No")&gt;0),1,0)</f>
        <v/>
      </c>
      <c r="DU148">
        <f>IF(AND($B148&lt;TODAY(),$S148&gt;0),1,0)</f>
        <v/>
      </c>
      <c r="DV148">
        <f>IF($DU148=1,COUNTIF($DU148:$DU$183,1),0)</f>
        <v/>
      </c>
      <c r="DW148">
        <f>IF(AND(OR(Settings!$B$19="Card",Settings!$B$19="Loan"),AND('Month-End'!$EO$7&lt;&gt;"",NOT(_xlfn.ISFORMULA('Month-End'!$EO$7)))),IF(N('Month-End'!$EO$7)&lt;0,1,0),0)+IF(AND(OR(Settings!$B$20="Card",Settings!$B$20="Loan"),AND('Month-End'!$EO$8&lt;&gt;"",NOT(_xlfn.ISFORMULA('Month-End'!$EO$8)))),IF(N('Month-End'!$EO$8)&lt;0,1,0),0)+IF(AND(OR(Settings!$B$21="Card",Settings!$B$21="Loan"),AND('Month-End'!$EO$9&lt;&gt;"",NOT(_xlfn.ISFORMULA('Month-End'!$EO$9)))),IF(N('Month-End'!$EO$9)&lt;0,1,0),0)+IF(AND(OR(Settings!$B$22="Card",Settings!$B$22="Loan"),AND('Month-End'!$EO$10&lt;&gt;"",NOT(_xlfn.ISFORMULA('Month-End'!$EO$10)))),IF(N('Month-End'!$EO$10)&lt;0,1,0),0)+IF(AND(OR(Settings!$B$23="Card",Settings!$B$23="Loan"),AND('Month-End'!$EO$11&lt;&gt;"",NOT(_xlfn.ISFORMULA('Month-End'!$EO$11)))),IF(N('Month-End'!$EO$11)&lt;0,1,0),0)+IF(AND(OR(Settings!$B$24="Card",Settings!$B$24="Loan"),AND('Month-End'!$EO$12&lt;&gt;"",NOT(_xlfn.ISFORMULA('Month-End'!$EO$12)))),IF(N('Month-End'!$EO$12)&lt;0,1,0),0)+IF(AND(OR(Settings!$B$25="Card",Settings!$B$25="Loan"),AND('Month-End'!$EO$13&lt;&gt;"",NOT(_xlfn.ISFORMULA('Month-End'!$EO$13)))),IF(N('Month-End'!$EO$13)&lt;0,1,0),0)+IF(AND(OR(Settings!$B$26="Card",Settings!$B$26="Loan"),AND('Month-End'!$EO$14&lt;&gt;"",NOT(_xlfn.ISFORMULA('Month-End'!$EO$14)))),IF(N('Month-End'!$EO$14)&lt;0,1,0),0)+IF(AND(OR(Settings!$B$27="Card",Settings!$B$27="Loan"),AND('Month-End'!$EO$15&lt;&gt;"",NOT(_xlfn.ISFORMULA('Month-End'!$EO$15)))),IF(N('Month-End'!$EO$15)&lt;0,1,0),0)+IF(AND(OR(Settings!$B$28="Card",Settings!$B$28="Loan"),AND('Month-End'!$EO$16&lt;&gt;"",NOT(_xlfn.ISFORMULA('Month-End'!$EO$16)))),IF(N('Month-End'!$EO$16)&lt;0,1,0),0)+IF(AND(OR(Settings!$B$29="Card",Settings!$B$29="Loan"),AND('Month-End'!$EO$17&lt;&gt;"",NOT(_xlfn.ISFORMULA('Month-End'!$EO$17)))),IF(N('Month-End'!$EO$17)&lt;0,1,0),0)+IF(AND(OR(Settings!$B$30="Card",Settings!$B$30="Loan"),AND('Month-End'!$EO$18&lt;&gt;"",NOT(_xlfn.ISFORMULA('Month-End'!$EO$18)))),IF(N('Month-End'!$EO$18)&lt;0,1,0),0)+IF(AND(OR(Settings!$B$31="Card",Settings!$B$31="Loan"),AND('Month-End'!$EO$19&lt;&gt;"",NOT(_xlfn.ISFORMULA('Month-End'!$EO$19)))),IF(N('Month-End'!$EO$19)&lt;0,1,0),0)+IF(AND(OR(Settings!$B$32="Card",Settings!$B$32="Loan"),AND('Month-End'!$EO$20&lt;&gt;"",NOT(_xlfn.ISFORMULA('Month-End'!$EO$20)))),IF(N('Month-End'!$EO$20)&lt;0,1,0),0)</f>
        <v/>
      </c>
      <c r="DX148">
        <f>IF(Settings!$B$36="Retirement",$AY148,0)+IF(Settings!$B$37="Retirement",$AZ148,0)+IF(Settings!$B$38="Retirement",$BA148,0)+IF(Settings!$B$39="Retirement",$BB148,0)+IF(Settings!$B$40="Retirement",$BC148,0)+IF(Settings!$B$41="Retirement",$BD148,0)</f>
        <v/>
      </c>
      <c r="ET148">
        <f>IF($E148&lt;&gt;"open",0,IF(AND('Month-End'!$EO$22&lt;&gt;"",NOT(_xlfn.ISFORMULA('Month-End'!$EO$22))),0,IF(OR(Settings!$C$45="",Settings!$D$45=""),0,Settings!$C$45*IF(Settings!$D$45="Weekly",IF(IFERROR(MATCH(Settings!$E$45,$EO$4:$EO$10,0),0)=0,0,IF(MIN(Settings!$B$5,IF(Settings!$G$45="",Settings!$B$5,Settings!$G$45))&lt;MAX($A148,Settings!$F$45),0,INT((MIN(Settings!$B$5,IF(Settings!$G$45="",Settings!$B$5,Settings!$G$45))-MAX($A148,Settings!$F$45)-MOD(IFERROR(MATCH(Settings!$E$45,$EO$4:$EO$10,0),0)-WEEKDAY(MAX($A148,Settings!$F$45)),7))/7)+1)),IF(AND(IF(Settings!$E$45="",$B148,DATE(YEAR($A148),MONTH($A148),MIN(Settings!$E$45,DAY($B148))))&gt;=MAX($A148,Settings!$F$45),IF(Settings!$E$45="",$B148,DATE(YEAR($A148),MONTH($A148),MIN(Settings!$E$45,DAY($B148))))&lt;=MIN(Settings!$B$5,IF(Settings!$G$45="",Settings!$B$5,Settings!$G$45))),1,0)))))</f>
        <v/>
      </c>
      <c r="EU148">
        <f>IF($E148&lt;&gt;"open",0,IF(AND('Month-End'!$EO$23&lt;&gt;"",NOT(_xlfn.ISFORMULA('Month-End'!$EO$23))),0,IF(OR(Settings!$C$46="",Settings!$D$46=""),0,Settings!$C$46*IF(Settings!$D$46="Weekly",IF(IFERROR(MATCH(Settings!$E$46,$EO$4:$EO$10,0),0)=0,0,IF(MIN(Settings!$B$5,IF(Settings!$G$46="",Settings!$B$5,Settings!$G$46))&lt;MAX($A148,Settings!$F$46),0,INT((MIN(Settings!$B$5,IF(Settings!$G$46="",Settings!$B$5,Settings!$G$46))-MAX($A148,Settings!$F$46)-MOD(IFERROR(MATCH(Settings!$E$46,$EO$4:$EO$10,0),0)-WEEKDAY(MAX($A148,Settings!$F$46)),7))/7)+1)),IF(AND(IF(Settings!$E$46="",$B148,DATE(YEAR($A148),MONTH($A148),MIN(Settings!$E$46,DAY($B148))))&gt;=MAX($A148,Settings!$F$46),IF(Settings!$E$46="",$B148,DATE(YEAR($A148),MONTH($A148),MIN(Settings!$E$46,DAY($B148))))&lt;=MIN(Settings!$B$5,IF(Settings!$G$46="",Settings!$B$5,Settings!$G$46))),1,0)))))</f>
        <v/>
      </c>
      <c r="EV148">
        <f>IF($E148&lt;&gt;"open",0,IF(AND('Month-End'!$EO$24&lt;&gt;"",NOT(_xlfn.ISFORMULA('Month-End'!$EO$24))),0,IF(OR(Settings!$C$47="",Settings!$D$47=""),0,Settings!$C$47*IF(Settings!$D$47="Weekly",IF(IFERROR(MATCH(Settings!$E$47,$EO$4:$EO$10,0),0)=0,0,IF(MIN(Settings!$B$5,IF(Settings!$G$47="",Settings!$B$5,Settings!$G$47))&lt;MAX($A148,Settings!$F$47),0,INT((MIN(Settings!$B$5,IF(Settings!$G$47="",Settings!$B$5,Settings!$G$47))-MAX($A148,Settings!$F$47)-MOD(IFERROR(MATCH(Settings!$E$47,$EO$4:$EO$10,0),0)-WEEKDAY(MAX($A148,Settings!$F$47)),7))/7)+1)),IF(AND(IF(Settings!$E$47="",$B148,DATE(YEAR($A148),MONTH($A148),MIN(Settings!$E$47,DAY($B148))))&gt;=MAX($A148,Settings!$F$47),IF(Settings!$E$47="",$B148,DATE(YEAR($A148),MONTH($A148),MIN(Settings!$E$47,DAY($B148))))&lt;=MIN(Settings!$B$5,IF(Settings!$G$47="",Settings!$B$5,Settings!$G$47))),1,0)))))</f>
        <v/>
      </c>
      <c r="EW148">
        <f>IF($E148&lt;&gt;"open",0,IF(AND('Month-End'!$EO$25&lt;&gt;"",NOT(_xlfn.ISFORMULA('Month-End'!$EO$25))),0,IF(OR(Settings!$C$48="",Settings!$D$48=""),0,Settings!$C$48*IF(Settings!$D$48="Weekly",IF(IFERROR(MATCH(Settings!$E$48,$EO$4:$EO$10,0),0)=0,0,IF(MIN(Settings!$B$5,IF(Settings!$G$48="",Settings!$B$5,Settings!$G$48))&lt;MAX($A148,Settings!$F$48),0,INT((MIN(Settings!$B$5,IF(Settings!$G$48="",Settings!$B$5,Settings!$G$48))-MAX($A148,Settings!$F$48)-MOD(IFERROR(MATCH(Settings!$E$48,$EO$4:$EO$10,0),0)-WEEKDAY(MAX($A148,Settings!$F$48)),7))/7)+1)),IF(AND(IF(Settings!$E$48="",$B148,DATE(YEAR($A148),MONTH($A148),MIN(Settings!$E$48,DAY($B148))))&gt;=MAX($A148,Settings!$F$48),IF(Settings!$E$48="",$B148,DATE(YEAR($A148),MONTH($A148),MIN(Settings!$E$48,DAY($B148))))&lt;=MIN(Settings!$B$5,IF(Settings!$G$48="",Settings!$B$5,Settings!$G$48))),1,0)))))</f>
        <v/>
      </c>
      <c r="EX148">
        <f>IF($E148&lt;&gt;"open",0,IF(AND('Month-End'!$EO$26&lt;&gt;"",NOT(_xlfn.ISFORMULA('Month-End'!$EO$26))),0,IF(OR(Settings!$C$49="",Settings!$D$49=""),0,Settings!$C$49*IF(Settings!$D$49="Weekly",IF(IFERROR(MATCH(Settings!$E$49,$EO$4:$EO$10,0),0)=0,0,IF(MIN(Settings!$B$5,IF(Settings!$G$49="",Settings!$B$5,Settings!$G$49))&lt;MAX($A148,Settings!$F$49),0,INT((MIN(Settings!$B$5,IF(Settings!$G$49="",Settings!$B$5,Settings!$G$49))-MAX($A148,Settings!$F$49)-MOD(IFERROR(MATCH(Settings!$E$49,$EO$4:$EO$10,0),0)-WEEKDAY(MAX($A148,Settings!$F$49)),7))/7)+1)),IF(AND(IF(Settings!$E$49="",$B148,DATE(YEAR($A148),MONTH($A148),MIN(Settings!$E$49,DAY($B148))))&gt;=MAX($A148,Settings!$F$49),IF(Settings!$E$49="",$B148,DATE(YEAR($A148),MONTH($A148),MIN(Settings!$E$49,DAY($B148))))&lt;=MIN(Settings!$B$5,IF(Settings!$G$49="",Settings!$B$5,Settings!$G$49))),1,0)))))</f>
        <v/>
      </c>
      <c r="EY148">
        <f>IF($E148&lt;&gt;"open",0,IF(AND('Month-End'!$EO$27&lt;&gt;"",NOT(_xlfn.ISFORMULA('Month-End'!$EO$27))),0,IF(OR(Settings!$C$50="",Settings!$D$50=""),0,Settings!$C$50*IF(Settings!$D$50="Weekly",IF(IFERROR(MATCH(Settings!$E$50,$EO$4:$EO$10,0),0)=0,0,IF(MIN(Settings!$B$5,IF(Settings!$G$50="",Settings!$B$5,Settings!$G$50))&lt;MAX($A148,Settings!$F$50),0,INT((MIN(Settings!$B$5,IF(Settings!$G$50="",Settings!$B$5,Settings!$G$50))-MAX($A148,Settings!$F$50)-MOD(IFERROR(MATCH(Settings!$E$50,$EO$4:$EO$10,0),0)-WEEKDAY(MAX($A148,Settings!$F$50)),7))/7)+1)),IF(AND(IF(Settings!$E$50="",$B148,DATE(YEAR($A148),MONTH($A148),MIN(Settings!$E$50,DAY($B148))))&gt;=MAX($A148,Settings!$F$50),IF(Settings!$E$50="",$B148,DATE(YEAR($A148),MONTH($A148),MIN(Settings!$E$50,DAY($B148))))&lt;=MIN(Settings!$B$5,IF(Settings!$G$50="",Settings!$B$5,Settings!$G$50))),1,0)))))</f>
        <v/>
      </c>
      <c r="EZ148">
        <f>IF($E148&lt;&gt;"open",0,IF(AND('Month-End'!$EO$28&lt;&gt;"",NOT(_xlfn.ISFORMULA('Month-End'!$EO$28))),0,IF(OR(Settings!$C$51="",Settings!$D$51=""),0,Settings!$C$51*IF(Settings!$D$51="Weekly",IF(IFERROR(MATCH(Settings!$E$51,$EO$4:$EO$10,0),0)=0,0,IF(MIN(Settings!$B$5,IF(Settings!$G$51="",Settings!$B$5,Settings!$G$51))&lt;MAX($A148,Settings!$F$51),0,INT((MIN(Settings!$B$5,IF(Settings!$G$51="",Settings!$B$5,Settings!$G$51))-MAX($A148,Settings!$F$51)-MOD(IFERROR(MATCH(Settings!$E$51,$EO$4:$EO$10,0),0)-WEEKDAY(MAX($A148,Settings!$F$51)),7))/7)+1)),IF(AND(IF(Settings!$E$51="",$B148,DATE(YEAR($A148),MONTH($A148),MIN(Settings!$E$51,DAY($B148))))&gt;=MAX($A148,Settings!$F$51),IF(Settings!$E$51="",$B148,DATE(YEAR($A148),MONTH($A148),MIN(Settings!$E$51,DAY($B148))))&lt;=MIN(Settings!$B$5,IF(Settings!$G$51="",Settings!$B$5,Settings!$G$51))),1,0)))))</f>
        <v/>
      </c>
      <c r="FA148">
        <f>IF($E148&lt;&gt;"open",0,IF(AND('Month-End'!$EO$29&lt;&gt;"",NOT(_xlfn.ISFORMULA('Month-End'!$EO$29))),0,IF(OR(Settings!$C$52="",Settings!$D$52=""),0,Settings!$C$52*IF(Settings!$D$52="Weekly",IF(IFERROR(MATCH(Settings!$E$52,$EO$4:$EO$10,0),0)=0,0,IF(MIN(Settings!$B$5,IF(Settings!$G$52="",Settings!$B$5,Settings!$G$52))&lt;MAX($A148,Settings!$F$52),0,INT((MIN(Settings!$B$5,IF(Settings!$G$52="",Settings!$B$5,Settings!$G$52))-MAX($A148,Settings!$F$52)-MOD(IFERROR(MATCH(Settings!$E$52,$EO$4:$EO$10,0),0)-WEEKDAY(MAX($A148,Settings!$F$52)),7))/7)+1)),IF(AND(IF(Settings!$E$52="",$B148,DATE(YEAR($A148),MONTH($A148),MIN(Settings!$E$52,DAY($B148))))&gt;=MAX($A148,Settings!$F$52),IF(Settings!$E$52="",$B148,DATE(YEAR($A148),MONTH($A148),MIN(Settings!$E$52,DAY($B148))))&lt;=MIN(Settings!$B$5,IF(Settings!$G$52="",Settings!$B$5,Settings!$G$52))),1,0)))))</f>
        <v/>
      </c>
      <c r="FB148">
        <f>IF($E148&lt;&gt;"open",0,IF(AND('Month-End'!$EO$30&lt;&gt;"",NOT(_xlfn.ISFORMULA('Month-End'!$EO$30))),0,IF(OR(Settings!$C$53="",Settings!$D$53=""),0,Settings!$C$53*IF(Settings!$D$53="Weekly",IF(IFERROR(MATCH(Settings!$E$53,$EO$4:$EO$10,0),0)=0,0,IF(MIN(Settings!$B$5,IF(Settings!$G$53="",Settings!$B$5,Settings!$G$53))&lt;MAX($A148,Settings!$F$53),0,INT((MIN(Settings!$B$5,IF(Settings!$G$53="",Settings!$B$5,Settings!$G$53))-MAX($A148,Settings!$F$53)-MOD(IFERROR(MATCH(Settings!$E$53,$EO$4:$EO$10,0),0)-WEEKDAY(MAX($A148,Settings!$F$53)),7))/7)+1)),IF(AND(IF(Settings!$E$53="",$B148,DATE(YEAR($A148),MONTH($A148),MIN(Settings!$E$53,DAY($B148))))&gt;=MAX($A148,Settings!$F$53),IF(Settings!$E$53="",$B148,DATE(YEAR($A148),MONTH($A148),MIN(Settings!$E$53,DAY($B148))))&lt;=MIN(Settings!$B$5,IF(Settings!$G$53="",Settings!$B$5,Settings!$G$53))),1,0)))))</f>
        <v/>
      </c>
      <c r="FC148">
        <f>IF($E148&lt;&gt;"open",0,IF(AND('Month-End'!$EO$31&lt;&gt;"",NOT(_xlfn.ISFORMULA('Month-End'!$EO$31))),0,IF(OR(Settings!$C$54="",Settings!$D$54=""),0,Settings!$C$54*IF(Settings!$D$54="Weekly",IF(IFERROR(MATCH(Settings!$E$54,$EO$4:$EO$10,0),0)=0,0,IF(MIN(Settings!$B$5,IF(Settings!$G$54="",Settings!$B$5,Settings!$G$54))&lt;MAX($A148,Settings!$F$54),0,INT((MIN(Settings!$B$5,IF(Settings!$G$54="",Settings!$B$5,Settings!$G$54))-MAX($A148,Settings!$F$54)-MOD(IFERROR(MATCH(Settings!$E$54,$EO$4:$EO$10,0),0)-WEEKDAY(MAX($A148,Settings!$F$54)),7))/7)+1)),IF(AND(IF(Settings!$E$54="",$B148,DATE(YEAR($A148),MONTH($A148),MIN(Settings!$E$54,DAY($B148))))&gt;=MAX($A148,Settings!$F$54),IF(Settings!$E$54="",$B148,DATE(YEAR($A148),MONTH($A148),MIN(Settings!$E$54,DAY($B148))))&lt;=MIN(Settings!$B$5,IF(Settings!$G$54="",Settings!$B$5,Settings!$G$54))),1,0)))))</f>
        <v/>
      </c>
      <c r="FD148">
        <f>IF($E148&lt;&gt;"open",0,IF(AND('Month-End'!$EO$32&lt;&gt;"",NOT(_xlfn.ISFORMULA('Month-End'!$EO$32))),0,IF(OR(Settings!$C$55="",Settings!$D$55=""),0,Settings!$C$55*IF(Settings!$D$55="Weekly",IF(IFERROR(MATCH(Settings!$E$55,$EO$4:$EO$10,0),0)=0,0,IF(MIN(Settings!$B$5,IF(Settings!$G$55="",Settings!$B$5,Settings!$G$55))&lt;MAX($A148,Settings!$F$55),0,INT((MIN(Settings!$B$5,IF(Settings!$G$55="",Settings!$B$5,Settings!$G$55))-MAX($A148,Settings!$F$55)-MOD(IFERROR(MATCH(Settings!$E$55,$EO$4:$EO$10,0),0)-WEEKDAY(MAX($A148,Settings!$F$55)),7))/7)+1)),IF(AND(IF(Settings!$E$55="",$B148,DATE(YEAR($A148),MONTH($A148),MIN(Settings!$E$55,DAY($B148))))&gt;=MAX($A148,Settings!$F$55),IF(Settings!$E$55="",$B148,DATE(YEAR($A148),MONTH($A148),MIN(Settings!$E$55,DAY($B148))))&lt;=MIN(Settings!$B$5,IF(Settings!$G$55="",Settings!$B$5,Settings!$G$55))),1,0)))))</f>
        <v/>
      </c>
      <c r="FE148">
        <f>IF($E148&lt;&gt;"open",0,IF(AND('Month-End'!$EO$33&lt;&gt;"",NOT(_xlfn.ISFORMULA('Month-End'!$EO$33))),0,IF(OR(Settings!$C$56="",Settings!$D$56=""),0,Settings!$C$56*IF(Settings!$D$56="Weekly",IF(IFERROR(MATCH(Settings!$E$56,$EO$4:$EO$10,0),0)=0,0,IF(MIN(Settings!$B$5,IF(Settings!$G$56="",Settings!$B$5,Settings!$G$56))&lt;MAX($A148,Settings!$F$56),0,INT((MIN(Settings!$B$5,IF(Settings!$G$56="",Settings!$B$5,Settings!$G$56))-MAX($A148,Settings!$F$56)-MOD(IFERROR(MATCH(Settings!$E$56,$EO$4:$EO$10,0),0)-WEEKDAY(MAX($A148,Settings!$F$56)),7))/7)+1)),IF(AND(IF(Settings!$E$56="",$B148,DATE(YEAR($A148),MONTH($A148),MIN(Settings!$E$56,DAY($B148))))&gt;=MAX($A148,Settings!$F$56),IF(Settings!$E$56="",$B148,DATE(YEAR($A148),MONTH($A148),MIN(Settings!$E$56,DAY($B148))))&lt;=MIN(Settings!$B$5,IF(Settings!$G$56="",Settings!$B$5,Settings!$G$56))),1,0)))))</f>
        <v/>
      </c>
      <c r="FF148">
        <f>IF(Settings!$I$45="Yes",$G148,0)+IF(Settings!$I$46="Yes",$H148,0)+IF(Settings!$I$47="Yes",$I148,0)+IF(Settings!$I$48="Yes",$J148,0)+IF(Settings!$I$49="Yes",$K148,0)+IF(Settings!$I$50="Yes",$L148,0)+IF(Settings!$I$51="Yes",$M148,0)+IF(Settings!$I$52="Yes",$N148,0)+IF(Settings!$I$53="Yes",$O148,0)+IF(Settings!$I$54="Yes",$P148,0)+IF(Settings!$I$55="Yes",$Q148,0)+IF(Settings!$I$56="Yes",$R148,0)</f>
        <v/>
      </c>
      <c r="FG148">
        <f>IF(AND(Settings!$I$45="Yes",Settings!$J$45="No"),$G148,0)+IF(AND(Settings!$I$46="Yes",Settings!$J$46="No"),$H148,0)+IF(AND(Settings!$I$47="Yes",Settings!$J$47="No"),$I148,0)+IF(AND(Settings!$I$48="Yes",Settings!$J$48="No"),$J148,0)+IF(AND(Settings!$I$49="Yes",Settings!$J$49="No"),$K148,0)+IF(AND(Settings!$I$50="Yes",Settings!$J$50="No"),$L148,0)+IF(AND(Settings!$I$51="Yes",Settings!$J$51="No"),$M148,0)+IF(AND(Settings!$I$52="Yes",Settings!$J$52="No"),$N148,0)+IF(AND(Settings!$I$53="Yes",Settings!$J$53="No"),$O148,0)+IF(AND(Settings!$I$54="Yes",Settings!$J$54="No"),$P148,0)+IF(AND(Settings!$I$55="Yes",Settings!$J$55="No"),$Q148,0)+IF(AND(Settings!$I$56="Yes",Settings!$J$56="No"),$R148,0)</f>
        <v/>
      </c>
      <c r="FH148">
        <f>SUMIFS(Giving!$B$7:$B$2006,Giving!$A$7:$A$2006,"&gt;="&amp;$A148,Giving!$A$7:$A$2006,"&lt;="&amp;$B148,Giving!$G$7:$G$2006,"Yes")+IF(OR(OR(Settings!$B$60="",Settings!$F$60="No"),Settings!$H$60&lt;&gt;"Yes"),0,Settings!$B$60*IF(AND(IF(Settings!$C$60="",$B148,DATE(YEAR($A148),MONTH($A148),MIN(Settings!$C$60,DAY($B148))))&gt;=MAX($A148,Settings!$D$60),IF(Settings!$C$60="",$B148,DATE(YEAR($A148),MONTH($A148),MIN(Settings!$C$60,DAY($B148))))&lt;=MIN($C148,IF(Settings!$E$60="",$C148,Settings!$E$60))),1,0))+IF(OR(OR(Settings!$B$61="",Settings!$F$61="No"),Settings!$H$61&lt;&gt;"Yes"),0,Settings!$B$61*IF(AND(IF(Settings!$C$61="",$B148,DATE(YEAR($A148),MONTH($A148),MIN(Settings!$C$61,DAY($B148))))&gt;=MAX($A148,Settings!$D$61),IF(Settings!$C$61="",$B148,DATE(YEAR($A148),MONTH($A148),MIN(Settings!$C$61,DAY($B148))))&lt;=MIN($C148,IF(Settings!$E$61="",$C148,Settings!$E$61))),1,0))+IF(OR(OR(Settings!$B$62="",Settings!$F$62="No"),Settings!$H$62&lt;&gt;"Yes"),0,Settings!$B$62*IF(AND(IF(Settings!$C$62="",$B148,DATE(YEAR($A148),MONTH($A148),MIN(Settings!$C$62,DAY($B148))))&gt;=MAX($A148,Settings!$D$62),IF(Settings!$C$62="",$B148,DATE(YEAR($A148),MONTH($A148),MIN(Settings!$C$62,DAY($B148))))&lt;=MIN($C148,IF(Settings!$E$62="",$C148,Settings!$E$62))),1,0))+IF(OR(OR(Settings!$B$63="",Settings!$F$63="No"),Settings!$H$63&lt;&gt;"Yes"),0,Settings!$B$63*IF(AND(IF(Settings!$C$63="",$B148,DATE(YEAR($A148),MONTH($A148),MIN(Settings!$C$63,DAY($B148))))&gt;=MAX($A148,Settings!$D$63),IF(Settings!$C$63="",$B148,DATE(YEAR($A148),MONTH($A148),MIN(Settings!$C$63,DAY($B148))))&lt;=MIN($C148,IF(Settings!$E$63="",$C148,Settings!$E$63))),1,0))+IF(OR(OR(Settings!$B$64="",Settings!$F$64="No"),Settings!$H$64&lt;&gt;"Yes"),0,Settings!$B$64*IF(AND(IF(Settings!$C$64="",$B148,DATE(YEAR($A148),MONTH($A148),MIN(Settings!$C$64,DAY($B148))))&gt;=MAX($A148,Settings!$D$64),IF(Settings!$C$64="",$B148,DATE(YEAR($A148),MONTH($A148),MIN(Settings!$C$64,DAY($B148))))&lt;=MIN($C148,IF(Settings!$E$64="",$C148,Settings!$E$64))),1,0))+IF(OR(OR(Settings!$B$65="",Settings!$F$65="No"),Settings!$H$65&lt;&gt;"Yes"),0,Settings!$B$65*IF(AND(IF(Settings!$C$65="",$B148,DATE(YEAR($A148),MONTH($A148),MIN(Settings!$C$65,DAY($B148))))&gt;=MAX($A148,Settings!$D$65),IF(Settings!$C$65="",$B148,DATE(YEAR($A148),MONTH($A148),MIN(Settings!$C$65,DAY($B148))))&lt;=MIN($C148,IF(Settings!$E$65="",$C148,Settings!$E$65))),1,0))</f>
        <v/>
      </c>
      <c r="FI148">
        <f>IF($DT148=1,IF(OR(Settings!$B$19="Card",Settings!$B$19="Loan"),N($AE148),0)+IF(OR(Settings!$B$20="Card",Settings!$B$20="Loan"),N($AF148),0)+IF(OR(Settings!$B$21="Card",Settings!$B$21="Loan"),N($AG148),0)+IF(OR(Settings!$B$22="Card",Settings!$B$22="Loan"),N($AH148),0)+IF(OR(Settings!$B$23="Card",Settings!$B$23="Loan"),N($AI148),0)+IF(OR(Settings!$B$24="Card",Settings!$B$24="Loan"),N($AJ148),0)+IF(OR(Settings!$B$25="Card",Settings!$B$25="Loan"),N($AK148),0)+IF(OR(Settings!$B$26="Card",Settings!$B$26="Loan"),N($AL148),0)+IF(OR(Settings!$B$27="Card",Settings!$B$27="Loan"),N($AM148),0)+IF(OR(Settings!$B$28="Card",Settings!$B$28="Loan"),N($AN148),0)+IF(OR(Settings!$B$29="Card",Settings!$B$29="Loan"),N($AO148),0)+IF(OR(Settings!$B$30="Card",Settings!$B$30="Loan"),N($AP148),0)+IF(OR(Settings!$B$31="Card",Settings!$B$31="Loan"),N($AQ148),0)+IF(OR(Settings!$B$32="Card",Settings!$B$32="Loan"),N($AR148),0),"")</f>
        <v/>
      </c>
      <c r="FJ148">
        <f>IF($E148="open",$EB$65,IF($E148="post",IF($E147="pre",$EB$65,$FI147),""))</f>
        <v/>
      </c>
      <c r="FK148">
        <f>IF(AND($DT148=1,$DC148=1),IF(ROUND($FI148-$FJ148,2)&gt;0,1,0),0)</f>
        <v/>
      </c>
      <c r="FL148">
        <f>IF($FK148=1,$FL147+1,0)</f>
        <v/>
      </c>
    </row>
    <row r="149">
      <c r="A149">
        <f>'Month-End'!$EP$4</f>
        <v/>
      </c>
      <c r="B149">
        <f>EOMONTH($A149,0)</f>
        <v/>
      </c>
      <c r="C149">
        <f>MIN($B149,TODAY())</f>
        <v/>
      </c>
      <c r="D149">
        <f>IF($A149&gt;TODAY(),1,0)</f>
        <v/>
      </c>
      <c r="E149">
        <f>IF($B149&lt;=Settings!$B$5,"pre",IF($A149&lt;=Settings!$B$5,"open","post"))</f>
        <v/>
      </c>
      <c r="G149">
        <f>IF('Month-End'!$EP$22="",$BE149,N('Month-End'!$EP$22))</f>
        <v/>
      </c>
      <c r="H149">
        <f>IF('Month-End'!$EP$23="",$BF149,N('Month-End'!$EP$23))</f>
        <v/>
      </c>
      <c r="I149">
        <f>IF('Month-End'!$EP$24="",$BG149,N('Month-End'!$EP$24))</f>
        <v/>
      </c>
      <c r="J149">
        <f>IF('Month-End'!$EP$25="",$BH149,N('Month-End'!$EP$25))</f>
        <v/>
      </c>
      <c r="K149">
        <f>IF('Month-End'!$EP$26="",$BI149,N('Month-End'!$EP$26))</f>
        <v/>
      </c>
      <c r="L149">
        <f>IF('Month-End'!$EP$27="",$BJ149,N('Month-End'!$EP$27))</f>
        <v/>
      </c>
      <c r="M149">
        <f>IF('Month-End'!$EP$28="",$BK149,N('Month-End'!$EP$28))</f>
        <v/>
      </c>
      <c r="N149">
        <f>IF('Month-End'!$EP$29="",$BL149,N('Month-End'!$EP$29))</f>
        <v/>
      </c>
      <c r="O149">
        <f>IF('Month-End'!$EP$30="",$BM149,N('Month-End'!$EP$30))</f>
        <v/>
      </c>
      <c r="P149">
        <f>IF('Month-End'!$EP$31="",$BN149,N('Month-End'!$EP$31))</f>
        <v/>
      </c>
      <c r="Q149">
        <f>IF('Month-End'!$EP$32="",$BO149,N('Month-End'!$EP$32))</f>
        <v/>
      </c>
      <c r="R149">
        <f>IF('Month-End'!$EP$33="",$BP149,N('Month-End'!$EP$33))</f>
        <v/>
      </c>
      <c r="S149">
        <f>$G149+$H149+$I149+$J149+$K149+$L149+$M149+$N149+$O149+$P149+$Q149+$R149</f>
        <v/>
      </c>
      <c r="T149">
        <f>IF($B149&lt;Settings!$B$6,0,IF(Settings!$B$45="Yes",$G149,0)+IF(Settings!$B$46="Yes",$H149,0)+IF(Settings!$B$47="Yes",$I149,0)+IF(Settings!$B$48="Yes",$J149,0)+IF(Settings!$B$49="Yes",$K149,0)+IF(Settings!$B$50="Yes",$L149,0)+IF(Settings!$B$51="Yes",$M149,0)+IF(Settings!$B$52="Yes",$N149,0)+IF(Settings!$B$53="Yes",$O149,0)+IF(Settings!$B$54="Yes",$P149,0)+IF(Settings!$B$55="Yes",$Q149,0)+IF(Settings!$B$56="Yes",$R149,0))</f>
        <v/>
      </c>
      <c r="U149">
        <f>IF(Settings!$B$45="Not Sure",$G149,0)+IF(Settings!$B$46="Not Sure",$H149,0)+IF(Settings!$B$47="Not Sure",$I149,0)+IF(Settings!$B$48="Not Sure",$J149,0)+IF(Settings!$B$49="Not Sure",$K149,0)+IF(Settings!$B$50="Not Sure",$L149,0)+IF(Settings!$B$51="Not Sure",$M149,0)+IF(Settings!$B$52="Not Sure",$N149,0)+IF(Settings!$B$53="Not Sure",$O149,0)+IF(Settings!$B$54="Not Sure",$P149,0)+IF(Settings!$B$55="Not Sure",$Q149,0)+IF(Settings!$B$56="Not Sure",$R149,0)</f>
        <v/>
      </c>
      <c r="V149">
        <f>IF($E149="open",SUM($ET149:$FE149)+N(Settings!$B$13),0)</f>
        <v/>
      </c>
      <c r="W149">
        <f>IF($E149="post",$S149,IF($E149="open",$S149-$V149,0))</f>
        <v/>
      </c>
      <c r="X149">
        <f>SUMIFS(Giving!$B$7:$B$2006,Giving!$A$7:$A$2006,"&gt;="&amp;$A149,Giving!$A$7:$A$2006,"&lt;="&amp;$B149,Giving!$E$7:$E$2006,"&lt;&gt;No")</f>
        <v/>
      </c>
      <c r="Y149">
        <f>SUMIFS(Giving!$B$7:$B$2006,Giving!$A$7:$A$2006,"&gt;="&amp;$A149,Giving!$A$7:$A$2006,"&lt;="&amp;$B149,Giving!$E$7:$E$2006,"No")</f>
        <v/>
      </c>
      <c r="Z149">
        <f>IF(OR(Settings!$B$60="",Settings!$F$60="No"),0,Settings!$B$60*IF(AND(IF(Settings!$C$60="",$B149,DATE(YEAR($A149),MONTH($A149),MIN(Settings!$C$60,DAY($B149))))&gt;=MAX($A149,Settings!$D$60),IF(Settings!$C$60="",$B149,DATE(YEAR($A149),MONTH($A149),MIN(Settings!$C$60,DAY($B149))))&lt;=MIN($C149,IF(Settings!$E$60="",$C149,Settings!$E$60))),1,0))+IF(OR(Settings!$B$61="",Settings!$F$61="No"),0,Settings!$B$61*IF(AND(IF(Settings!$C$61="",$B149,DATE(YEAR($A149),MONTH($A149),MIN(Settings!$C$61,DAY($B149))))&gt;=MAX($A149,Settings!$D$61),IF(Settings!$C$61="",$B149,DATE(YEAR($A149),MONTH($A149),MIN(Settings!$C$61,DAY($B149))))&lt;=MIN($C149,IF(Settings!$E$61="",$C149,Settings!$E$61))),1,0))+IF(OR(Settings!$B$62="",Settings!$F$62="No"),0,Settings!$B$62*IF(AND(IF(Settings!$C$62="",$B149,DATE(YEAR($A149),MONTH($A149),MIN(Settings!$C$62,DAY($B149))))&gt;=MAX($A149,Settings!$D$62),IF(Settings!$C$62="",$B149,DATE(YEAR($A149),MONTH($A149),MIN(Settings!$C$62,DAY($B149))))&lt;=MIN($C149,IF(Settings!$E$62="",$C149,Settings!$E$62))),1,0))+IF(OR(Settings!$B$63="",Settings!$F$63="No"),0,Settings!$B$63*IF(AND(IF(Settings!$C$63="",$B149,DATE(YEAR($A149),MONTH($A149),MIN(Settings!$C$63,DAY($B149))))&gt;=MAX($A149,Settings!$D$63),IF(Settings!$C$63="",$B149,DATE(YEAR($A149),MONTH($A149),MIN(Settings!$C$63,DAY($B149))))&lt;=MIN($C149,IF(Settings!$E$63="",$C149,Settings!$E$63))),1,0))+IF(OR(Settings!$B$64="",Settings!$F$64="No"),0,Settings!$B$64*IF(AND(IF(Settings!$C$64="",$B149,DATE(YEAR($A149),MONTH($A149),MIN(Settings!$C$64,DAY($B149))))&gt;=MAX($A149,Settings!$D$64),IF(Settings!$C$64="",$B149,DATE(YEAR($A149),MONTH($A149),MIN(Settings!$C$64,DAY($B149))))&lt;=MIN($C149,IF(Settings!$E$64="",$C149,Settings!$E$64))),1,0))+IF(OR(Settings!$B$65="",Settings!$F$65="No"),0,Settings!$B$65*IF(AND(IF(Settings!$C$65="",$B149,DATE(YEAR($A149),MONTH($A149),MIN(Settings!$C$65,DAY($B149))))&gt;=MAX($A149,Settings!$D$65),IF(Settings!$C$65="",$B149,DATE(YEAR($A149),MONTH($A149),MIN(Settings!$C$65,DAY($B149))))&lt;=MIN($C149,IF(Settings!$E$65="",$C149,Settings!$E$65))),1,0))</f>
        <v/>
      </c>
      <c r="AA149">
        <f>$X149+$Z149</f>
        <v/>
      </c>
      <c r="AB149">
        <f>IF($E149="post",$AA149,IF($E149="open",SUMIFS(Giving!$B$7:$B$2006,Giving!$A$7:$A$2006,"&gt;"&amp;Settings!$B$5,Giving!$A$7:$A$2006,"&lt;="&amp;$B149,Giving!$E$7:$E$2006,"&lt;&gt;No")+IF(OR(Settings!$B$60="",Settings!$F$60="No"),0,Settings!$B$60*IF(AND(IF(Settings!$C$60="",$B149,DATE(YEAR($A149),MONTH($A149),MIN(Settings!$C$60,DAY($B149))))&gt;=MAX($A149,Settings!$D$60,Settings!$B$5+1),IF(Settings!$C$60="",$B149,DATE(YEAR($A149),MONTH($A149),MIN(Settings!$C$60,DAY($B149))))&lt;=MIN($C149,IF(Settings!$E$60="",$C149,Settings!$E$60))),1,0))+IF(OR(Settings!$B$61="",Settings!$F$61="No"),0,Settings!$B$61*IF(AND(IF(Settings!$C$61="",$B149,DATE(YEAR($A149),MONTH($A149),MIN(Settings!$C$61,DAY($B149))))&gt;=MAX($A149,Settings!$D$61,Settings!$B$5+1),IF(Settings!$C$61="",$B149,DATE(YEAR($A149),MONTH($A149),MIN(Settings!$C$61,DAY($B149))))&lt;=MIN($C149,IF(Settings!$E$61="",$C149,Settings!$E$61))),1,0))+IF(OR(Settings!$B$62="",Settings!$F$62="No"),0,Settings!$B$62*IF(AND(IF(Settings!$C$62="",$B149,DATE(YEAR($A149),MONTH($A149),MIN(Settings!$C$62,DAY($B149))))&gt;=MAX($A149,Settings!$D$62,Settings!$B$5+1),IF(Settings!$C$62="",$B149,DATE(YEAR($A149),MONTH($A149),MIN(Settings!$C$62,DAY($B149))))&lt;=MIN($C149,IF(Settings!$E$62="",$C149,Settings!$E$62))),1,0))+IF(OR(Settings!$B$63="",Settings!$F$63="No"),0,Settings!$B$63*IF(AND(IF(Settings!$C$63="",$B149,DATE(YEAR($A149),MONTH($A149),MIN(Settings!$C$63,DAY($B149))))&gt;=MAX($A149,Settings!$D$63,Settings!$B$5+1),IF(Settings!$C$63="",$B149,DATE(YEAR($A149),MONTH($A149),MIN(Settings!$C$63,DAY($B149))))&lt;=MIN($C149,IF(Settings!$E$63="",$C149,Settings!$E$63))),1,0))+IF(OR(Settings!$B$64="",Settings!$F$64="No"),0,Settings!$B$64*IF(AND(IF(Settings!$C$64="",$B149,DATE(YEAR($A149),MONTH($A149),MIN(Settings!$C$64,DAY($B149))))&gt;=MAX($A149,Settings!$D$64,Settings!$B$5+1),IF(Settings!$C$64="",$B149,DATE(YEAR($A149),MONTH($A149),MIN(Settings!$C$64,DAY($B149))))&lt;=MIN($C149,IF(Settings!$E$64="",$C149,Settings!$E$64))),1,0))+IF(OR(Settings!$B$65="",Settings!$F$65="No"),0,Settings!$B$65*IF(AND(IF(Settings!$C$65="",$B149,DATE(YEAR($A149),MONTH($A149),MIN(Settings!$C$65,DAY($B149))))&gt;=MAX($A149,Settings!$D$65,Settings!$B$5+1),IF(Settings!$C$65="",$B149,DATE(YEAR($A149),MONTH($A149),MIN(Settings!$C$65,DAY($B149))))&lt;=MIN($C149,IF(Settings!$E$65="",$C149,Settings!$E$65))),1,0)),0))</f>
        <v/>
      </c>
      <c r="AC149">
        <f>$AY149+$AZ149+$BA149+$BB149+$BC149+$BD149</f>
        <v/>
      </c>
      <c r="AD149">
        <f>$AC149</f>
        <v/>
      </c>
      <c r="AE149">
        <f>IF(OR(Settings!$A$19="",$E149="pre"),"",IF(AND('Month-End'!$EP$7&lt;&gt;"",NOT(_xlfn.ISFORMULA('Month-End'!$EP$7))),N('Month-End'!$EP$7),IF(OR($E149="open",$E148="pre"),N(Settings!$C$19),N($AE148))))</f>
        <v/>
      </c>
      <c r="AF149">
        <f>IF(OR(Settings!$A$20="",$E149="pre"),"",IF(AND('Month-End'!$EP$8&lt;&gt;"",NOT(_xlfn.ISFORMULA('Month-End'!$EP$8))),N('Month-End'!$EP$8),IF(OR($E149="open",$E148="pre"),N(Settings!$C$20),N($AF148))))</f>
        <v/>
      </c>
      <c r="AG149">
        <f>IF(OR(Settings!$A$21="",$E149="pre"),"",IF(AND('Month-End'!$EP$9&lt;&gt;"",NOT(_xlfn.ISFORMULA('Month-End'!$EP$9))),N('Month-End'!$EP$9),IF(OR($E149="open",$E148="pre"),N(Settings!$C$21),N($AG148))))</f>
        <v/>
      </c>
      <c r="AH149">
        <f>IF(OR(Settings!$A$22="",$E149="pre"),"",IF(AND('Month-End'!$EP$10&lt;&gt;"",NOT(_xlfn.ISFORMULA('Month-End'!$EP$10))),N('Month-End'!$EP$10),IF(OR($E149="open",$E148="pre"),N(Settings!$C$22),N($AH148))))</f>
        <v/>
      </c>
      <c r="AI149">
        <f>IF(OR(Settings!$A$23="",$E149="pre"),"",IF(AND('Month-End'!$EP$11&lt;&gt;"",NOT(_xlfn.ISFORMULA('Month-End'!$EP$11))),N('Month-End'!$EP$11),IF(OR($E149="open",$E148="pre"),N(Settings!$C$23),N($AI148))))</f>
        <v/>
      </c>
      <c r="AJ149">
        <f>IF(OR(Settings!$A$24="",$E149="pre"),"",IF(AND('Month-End'!$EP$12&lt;&gt;"",NOT(_xlfn.ISFORMULA('Month-End'!$EP$12))),N('Month-End'!$EP$12),IF(OR($E149="open",$E148="pre"),N(Settings!$C$24),N($AJ148))))</f>
        <v/>
      </c>
      <c r="AK149">
        <f>IF(OR(Settings!$A$25="",$E149="pre"),"",IF(AND('Month-End'!$EP$13&lt;&gt;"",NOT(_xlfn.ISFORMULA('Month-End'!$EP$13))),N('Month-End'!$EP$13),IF(OR($E149="open",$E148="pre"),N(Settings!$C$25),N($AK148))))</f>
        <v/>
      </c>
      <c r="AL149">
        <f>IF(OR(Settings!$A$26="",$E149="pre"),"",IF(AND('Month-End'!$EP$14&lt;&gt;"",NOT(_xlfn.ISFORMULA('Month-End'!$EP$14))),N('Month-End'!$EP$14),IF(OR($E149="open",$E148="pre"),N(Settings!$C$26),N($AL148))))</f>
        <v/>
      </c>
      <c r="AM149">
        <f>IF(OR(Settings!$A$27="",$E149="pre"),"",IF(AND('Month-End'!$EP$15&lt;&gt;"",NOT(_xlfn.ISFORMULA('Month-End'!$EP$15))),N('Month-End'!$EP$15),IF(OR($E149="open",$E148="pre"),N(Settings!$C$27),N($AM148))))</f>
        <v/>
      </c>
      <c r="AN149">
        <f>IF(OR(Settings!$A$28="",$E149="pre"),"",IF(AND('Month-End'!$EP$16&lt;&gt;"",NOT(_xlfn.ISFORMULA('Month-End'!$EP$16))),N('Month-End'!$EP$16),IF(OR($E149="open",$E148="pre"),N(Settings!$C$28),N($AN148))))</f>
        <v/>
      </c>
      <c r="AO149">
        <f>IF(OR(Settings!$A$29="",$E149="pre"),"",IF(AND('Month-End'!$EP$17&lt;&gt;"",NOT(_xlfn.ISFORMULA('Month-End'!$EP$17))),N('Month-End'!$EP$17),IF(OR($E149="open",$E148="pre"),N(Settings!$C$29),N($AO148))))</f>
        <v/>
      </c>
      <c r="AP149">
        <f>IF(OR(Settings!$A$30="",$E149="pre"),"",IF(AND('Month-End'!$EP$18&lt;&gt;"",NOT(_xlfn.ISFORMULA('Month-End'!$EP$18))),N('Month-End'!$EP$18),IF(OR($E149="open",$E148="pre"),N(Settings!$C$30),N($AP148))))</f>
        <v/>
      </c>
      <c r="AQ149">
        <f>IF(OR(Settings!$A$31="",$E149="pre"),"",IF(AND('Month-End'!$EP$19&lt;&gt;"",NOT(_xlfn.ISFORMULA('Month-End'!$EP$19))),N('Month-End'!$EP$19),IF(OR($E149="open",$E148="pre"),N(Settings!$C$31),N($AQ148))))</f>
        <v/>
      </c>
      <c r="AR149">
        <f>IF(OR(Settings!$A$32="",$E149="pre"),"",IF(AND('Month-End'!$EP$20&lt;&gt;"",NOT(_xlfn.ISFORMULA('Month-End'!$EP$20))),N('Month-End'!$EP$20),IF(OR($E149="open",$E148="pre"),N(Settings!$C$32),N($AR148))))</f>
        <v/>
      </c>
      <c r="AS149">
        <f>IF(OR(Settings!$A$36="",$E149="pre"),"",IF(AND('Month-End'!$EP$38&lt;&gt;"",NOT(_xlfn.ISFORMULA('Month-End'!$EP$38))),N('Month-End'!$EP$38),IF(OR($E149="open",$E148="pre"),N(Settings!$C$36),N($AS148))+$AY149))</f>
        <v/>
      </c>
      <c r="AT149">
        <f>IF(OR(Settings!$A$37="",$E149="pre"),"",IF(AND('Month-End'!$EP$39&lt;&gt;"",NOT(_xlfn.ISFORMULA('Month-End'!$EP$39))),N('Month-End'!$EP$39),IF(OR($E149="open",$E148="pre"),N(Settings!$C$37),N($AT148))+$AZ149))</f>
        <v/>
      </c>
      <c r="AU149">
        <f>IF(OR(Settings!$A$38="",$E149="pre"),"",IF(AND('Month-End'!$EP$40&lt;&gt;"",NOT(_xlfn.ISFORMULA('Month-End'!$EP$40))),N('Month-End'!$EP$40),IF(OR($E149="open",$E148="pre"),N(Settings!$C$38),N($AU148))+$BA149))</f>
        <v/>
      </c>
      <c r="AV149">
        <f>IF(OR(Settings!$A$39="",$E149="pre"),"",IF(AND('Month-End'!$EP$41&lt;&gt;"",NOT(_xlfn.ISFORMULA('Month-End'!$EP$41))),N('Month-End'!$EP$41),IF(OR($E149="open",$E148="pre"),N(Settings!$C$39),N($AV148))+$BB149))</f>
        <v/>
      </c>
      <c r="AW149">
        <f>IF(OR(Settings!$A$40="",$E149="pre"),"",IF(AND('Month-End'!$EP$42&lt;&gt;"",NOT(_xlfn.ISFORMULA('Month-End'!$EP$42))),N('Month-End'!$EP$42),IF(OR($E149="open",$E148="pre"),N(Settings!$C$40),N($AW148))+$BC149))</f>
        <v/>
      </c>
      <c r="AX149">
        <f>IF(OR(Settings!$A$41="",$E149="pre"),"",IF(AND('Month-End'!$EP$43&lt;&gt;"",NOT(_xlfn.ISFORMULA('Month-End'!$EP$43))),N('Month-End'!$EP$43),IF(OR($E149="open",$E148="pre"),N(Settings!$C$41),N($AX148))+$BD149))</f>
        <v/>
      </c>
      <c r="AY149">
        <f>IF($E149="pre",0,N('Month-End'!$EP$45))</f>
        <v/>
      </c>
      <c r="AZ149">
        <f>IF($E149="pre",0,N('Month-End'!$EP$46))</f>
        <v/>
      </c>
      <c r="BA149">
        <f>IF($E149="pre",0,N('Month-End'!$EP$47))</f>
        <v/>
      </c>
      <c r="BB149">
        <f>IF($E149="pre",0,N('Month-End'!$EP$48))</f>
        <v/>
      </c>
      <c r="BC149">
        <f>IF($E149="pre",0,N('Month-End'!$EP$49))</f>
        <v/>
      </c>
      <c r="BD149">
        <f>IF($E149="pre",0,N('Month-End'!$EP$50))</f>
        <v/>
      </c>
      <c r="BE149">
        <f>IF(OR(Settings!$C$45="",Settings!$D$45=""),0,Settings!$C$45*IF(Settings!$D$45="Weekly",IF(IFERROR(MATCH(Settings!$E$45,$EO$4:$EO$10,0),0)=0,0,IF(MIN($C149,IF(Settings!$G$45="",$C149,Settings!$G$45))&lt;MAX($A149,Settings!$F$45),0,INT((MIN($C149,IF(Settings!$G$45="",$C149,Settings!$G$45))-MAX($A149,Settings!$F$45)-MOD(IFERROR(MATCH(Settings!$E$45,$EO$4:$EO$10,0),0)-WEEKDAY(MAX($A149,Settings!$F$45)),7))/7)+1)),IF(AND(IF(Settings!$E$45="",$B149,DATE(YEAR($A149),MONTH($A149),MIN(Settings!$E$45,DAY($B149))))&gt;=MAX($A149,Settings!$F$45),IF(Settings!$E$45="",$B149,DATE(YEAR($A149),MONTH($A149),MIN(Settings!$E$45,DAY($B149))))&lt;=MIN($C149,IF(Settings!$G$45="",$C149,Settings!$G$45))),1,0)))</f>
        <v/>
      </c>
      <c r="BF149">
        <f>IF(OR(Settings!$C$46="",Settings!$D$46=""),0,Settings!$C$46*IF(Settings!$D$46="Weekly",IF(IFERROR(MATCH(Settings!$E$46,$EO$4:$EO$10,0),0)=0,0,IF(MIN($C149,IF(Settings!$G$46="",$C149,Settings!$G$46))&lt;MAX($A149,Settings!$F$46),0,INT((MIN($C149,IF(Settings!$G$46="",$C149,Settings!$G$46))-MAX($A149,Settings!$F$46)-MOD(IFERROR(MATCH(Settings!$E$46,$EO$4:$EO$10,0),0)-WEEKDAY(MAX($A149,Settings!$F$46)),7))/7)+1)),IF(AND(IF(Settings!$E$46="",$B149,DATE(YEAR($A149),MONTH($A149),MIN(Settings!$E$46,DAY($B149))))&gt;=MAX($A149,Settings!$F$46),IF(Settings!$E$46="",$B149,DATE(YEAR($A149),MONTH($A149),MIN(Settings!$E$46,DAY($B149))))&lt;=MIN($C149,IF(Settings!$G$46="",$C149,Settings!$G$46))),1,0)))</f>
        <v/>
      </c>
      <c r="BG149">
        <f>IF(OR(Settings!$C$47="",Settings!$D$47=""),0,Settings!$C$47*IF(Settings!$D$47="Weekly",IF(IFERROR(MATCH(Settings!$E$47,$EO$4:$EO$10,0),0)=0,0,IF(MIN($C149,IF(Settings!$G$47="",$C149,Settings!$G$47))&lt;MAX($A149,Settings!$F$47),0,INT((MIN($C149,IF(Settings!$G$47="",$C149,Settings!$G$47))-MAX($A149,Settings!$F$47)-MOD(IFERROR(MATCH(Settings!$E$47,$EO$4:$EO$10,0),0)-WEEKDAY(MAX($A149,Settings!$F$47)),7))/7)+1)),IF(AND(IF(Settings!$E$47="",$B149,DATE(YEAR($A149),MONTH($A149),MIN(Settings!$E$47,DAY($B149))))&gt;=MAX($A149,Settings!$F$47),IF(Settings!$E$47="",$B149,DATE(YEAR($A149),MONTH($A149),MIN(Settings!$E$47,DAY($B149))))&lt;=MIN($C149,IF(Settings!$G$47="",$C149,Settings!$G$47))),1,0)))</f>
        <v/>
      </c>
      <c r="BH149">
        <f>IF(OR(Settings!$C$48="",Settings!$D$48=""),0,Settings!$C$48*IF(Settings!$D$48="Weekly",IF(IFERROR(MATCH(Settings!$E$48,$EO$4:$EO$10,0),0)=0,0,IF(MIN($C149,IF(Settings!$G$48="",$C149,Settings!$G$48))&lt;MAX($A149,Settings!$F$48),0,INT((MIN($C149,IF(Settings!$G$48="",$C149,Settings!$G$48))-MAX($A149,Settings!$F$48)-MOD(IFERROR(MATCH(Settings!$E$48,$EO$4:$EO$10,0),0)-WEEKDAY(MAX($A149,Settings!$F$48)),7))/7)+1)),IF(AND(IF(Settings!$E$48="",$B149,DATE(YEAR($A149),MONTH($A149),MIN(Settings!$E$48,DAY($B149))))&gt;=MAX($A149,Settings!$F$48),IF(Settings!$E$48="",$B149,DATE(YEAR($A149),MONTH($A149),MIN(Settings!$E$48,DAY($B149))))&lt;=MIN($C149,IF(Settings!$G$48="",$C149,Settings!$G$48))),1,0)))</f>
        <v/>
      </c>
      <c r="BI149">
        <f>IF(OR(Settings!$C$49="",Settings!$D$49=""),0,Settings!$C$49*IF(Settings!$D$49="Weekly",IF(IFERROR(MATCH(Settings!$E$49,$EO$4:$EO$10,0),0)=0,0,IF(MIN($C149,IF(Settings!$G$49="",$C149,Settings!$G$49))&lt;MAX($A149,Settings!$F$49),0,INT((MIN($C149,IF(Settings!$G$49="",$C149,Settings!$G$49))-MAX($A149,Settings!$F$49)-MOD(IFERROR(MATCH(Settings!$E$49,$EO$4:$EO$10,0),0)-WEEKDAY(MAX($A149,Settings!$F$49)),7))/7)+1)),IF(AND(IF(Settings!$E$49="",$B149,DATE(YEAR($A149),MONTH($A149),MIN(Settings!$E$49,DAY($B149))))&gt;=MAX($A149,Settings!$F$49),IF(Settings!$E$49="",$B149,DATE(YEAR($A149),MONTH($A149),MIN(Settings!$E$49,DAY($B149))))&lt;=MIN($C149,IF(Settings!$G$49="",$C149,Settings!$G$49))),1,0)))</f>
        <v/>
      </c>
      <c r="BJ149">
        <f>IF(OR(Settings!$C$50="",Settings!$D$50=""),0,Settings!$C$50*IF(Settings!$D$50="Weekly",IF(IFERROR(MATCH(Settings!$E$50,$EO$4:$EO$10,0),0)=0,0,IF(MIN($C149,IF(Settings!$G$50="",$C149,Settings!$G$50))&lt;MAX($A149,Settings!$F$50),0,INT((MIN($C149,IF(Settings!$G$50="",$C149,Settings!$G$50))-MAX($A149,Settings!$F$50)-MOD(IFERROR(MATCH(Settings!$E$50,$EO$4:$EO$10,0),0)-WEEKDAY(MAX($A149,Settings!$F$50)),7))/7)+1)),IF(AND(IF(Settings!$E$50="",$B149,DATE(YEAR($A149),MONTH($A149),MIN(Settings!$E$50,DAY($B149))))&gt;=MAX($A149,Settings!$F$50),IF(Settings!$E$50="",$B149,DATE(YEAR($A149),MONTH($A149),MIN(Settings!$E$50,DAY($B149))))&lt;=MIN($C149,IF(Settings!$G$50="",$C149,Settings!$G$50))),1,0)))</f>
        <v/>
      </c>
      <c r="BK149">
        <f>IF(OR(Settings!$C$51="",Settings!$D$51=""),0,Settings!$C$51*IF(Settings!$D$51="Weekly",IF(IFERROR(MATCH(Settings!$E$51,$EO$4:$EO$10,0),0)=0,0,IF(MIN($C149,IF(Settings!$G$51="",$C149,Settings!$G$51))&lt;MAX($A149,Settings!$F$51),0,INT((MIN($C149,IF(Settings!$G$51="",$C149,Settings!$G$51))-MAX($A149,Settings!$F$51)-MOD(IFERROR(MATCH(Settings!$E$51,$EO$4:$EO$10,0),0)-WEEKDAY(MAX($A149,Settings!$F$51)),7))/7)+1)),IF(AND(IF(Settings!$E$51="",$B149,DATE(YEAR($A149),MONTH($A149),MIN(Settings!$E$51,DAY($B149))))&gt;=MAX($A149,Settings!$F$51),IF(Settings!$E$51="",$B149,DATE(YEAR($A149),MONTH($A149),MIN(Settings!$E$51,DAY($B149))))&lt;=MIN($C149,IF(Settings!$G$51="",$C149,Settings!$G$51))),1,0)))</f>
        <v/>
      </c>
      <c r="BL149">
        <f>IF(OR(Settings!$C$52="",Settings!$D$52=""),0,Settings!$C$52*IF(Settings!$D$52="Weekly",IF(IFERROR(MATCH(Settings!$E$52,$EO$4:$EO$10,0),0)=0,0,IF(MIN($C149,IF(Settings!$G$52="",$C149,Settings!$G$52))&lt;MAX($A149,Settings!$F$52),0,INT((MIN($C149,IF(Settings!$G$52="",$C149,Settings!$G$52))-MAX($A149,Settings!$F$52)-MOD(IFERROR(MATCH(Settings!$E$52,$EO$4:$EO$10,0),0)-WEEKDAY(MAX($A149,Settings!$F$52)),7))/7)+1)),IF(AND(IF(Settings!$E$52="",$B149,DATE(YEAR($A149),MONTH($A149),MIN(Settings!$E$52,DAY($B149))))&gt;=MAX($A149,Settings!$F$52),IF(Settings!$E$52="",$B149,DATE(YEAR($A149),MONTH($A149),MIN(Settings!$E$52,DAY($B149))))&lt;=MIN($C149,IF(Settings!$G$52="",$C149,Settings!$G$52))),1,0)))</f>
        <v/>
      </c>
      <c r="BM149">
        <f>IF(OR(Settings!$C$53="",Settings!$D$53=""),0,Settings!$C$53*IF(Settings!$D$53="Weekly",IF(IFERROR(MATCH(Settings!$E$53,$EO$4:$EO$10,0),0)=0,0,IF(MIN($C149,IF(Settings!$G$53="",$C149,Settings!$G$53))&lt;MAX($A149,Settings!$F$53),0,INT((MIN($C149,IF(Settings!$G$53="",$C149,Settings!$G$53))-MAX($A149,Settings!$F$53)-MOD(IFERROR(MATCH(Settings!$E$53,$EO$4:$EO$10,0),0)-WEEKDAY(MAX($A149,Settings!$F$53)),7))/7)+1)),IF(AND(IF(Settings!$E$53="",$B149,DATE(YEAR($A149),MONTH($A149),MIN(Settings!$E$53,DAY($B149))))&gt;=MAX($A149,Settings!$F$53),IF(Settings!$E$53="",$B149,DATE(YEAR($A149),MONTH($A149),MIN(Settings!$E$53,DAY($B149))))&lt;=MIN($C149,IF(Settings!$G$53="",$C149,Settings!$G$53))),1,0)))</f>
        <v/>
      </c>
      <c r="BN149">
        <f>IF(OR(Settings!$C$54="",Settings!$D$54=""),0,Settings!$C$54*IF(Settings!$D$54="Weekly",IF(IFERROR(MATCH(Settings!$E$54,$EO$4:$EO$10,0),0)=0,0,IF(MIN($C149,IF(Settings!$G$54="",$C149,Settings!$G$54))&lt;MAX($A149,Settings!$F$54),0,INT((MIN($C149,IF(Settings!$G$54="",$C149,Settings!$G$54))-MAX($A149,Settings!$F$54)-MOD(IFERROR(MATCH(Settings!$E$54,$EO$4:$EO$10,0),0)-WEEKDAY(MAX($A149,Settings!$F$54)),7))/7)+1)),IF(AND(IF(Settings!$E$54="",$B149,DATE(YEAR($A149),MONTH($A149),MIN(Settings!$E$54,DAY($B149))))&gt;=MAX($A149,Settings!$F$54),IF(Settings!$E$54="",$B149,DATE(YEAR($A149),MONTH($A149),MIN(Settings!$E$54,DAY($B149))))&lt;=MIN($C149,IF(Settings!$G$54="",$C149,Settings!$G$54))),1,0)))</f>
        <v/>
      </c>
      <c r="BO149">
        <f>IF(OR(Settings!$C$55="",Settings!$D$55=""),0,Settings!$C$55*IF(Settings!$D$55="Weekly",IF(IFERROR(MATCH(Settings!$E$55,$EO$4:$EO$10,0),0)=0,0,IF(MIN($C149,IF(Settings!$G$55="",$C149,Settings!$G$55))&lt;MAX($A149,Settings!$F$55),0,INT((MIN($C149,IF(Settings!$G$55="",$C149,Settings!$G$55))-MAX($A149,Settings!$F$55)-MOD(IFERROR(MATCH(Settings!$E$55,$EO$4:$EO$10,0),0)-WEEKDAY(MAX($A149,Settings!$F$55)),7))/7)+1)),IF(AND(IF(Settings!$E$55="",$B149,DATE(YEAR($A149),MONTH($A149),MIN(Settings!$E$55,DAY($B149))))&gt;=MAX($A149,Settings!$F$55),IF(Settings!$E$55="",$B149,DATE(YEAR($A149),MONTH($A149),MIN(Settings!$E$55,DAY($B149))))&lt;=MIN($C149,IF(Settings!$G$55="",$C149,Settings!$G$55))),1,0)))</f>
        <v/>
      </c>
      <c r="BP149">
        <f>IF(OR(Settings!$C$56="",Settings!$D$56=""),0,Settings!$C$56*IF(Settings!$D$56="Weekly",IF(IFERROR(MATCH(Settings!$E$56,$EO$4:$EO$10,0),0)=0,0,IF(MIN($C149,IF(Settings!$G$56="",$C149,Settings!$G$56))&lt;MAX($A149,Settings!$F$56),0,INT((MIN($C149,IF(Settings!$G$56="",$C149,Settings!$G$56))-MAX($A149,Settings!$F$56)-MOD(IFERROR(MATCH(Settings!$E$56,$EO$4:$EO$10,0),0)-WEEKDAY(MAX($A149,Settings!$F$56)),7))/7)+1)),IF(AND(IF(Settings!$E$56="",$B149,DATE(YEAR($A149),MONTH($A149),MIN(Settings!$E$56,DAY($B149))))&gt;=MAX($A149,Settings!$F$56),IF(Settings!$E$56="",$B149,DATE(YEAR($A149),MONTH($A149),MIN(Settings!$E$56,DAY($B149))))&lt;=MIN($C149,IF(Settings!$G$56="",$C149,Settings!$G$56))),1,0)))</f>
        <v/>
      </c>
      <c r="BQ149">
        <f>IF(OR(Settings!$B$14="",$D149=1,$E149="pre",$A149&lt;IF(Settings!$B$15="",0,Settings!$B$15)),0,Settings!$B$14)</f>
        <v/>
      </c>
      <c r="BR149">
        <f>IF(AND('Month-End'!$EP$7&lt;&gt;"",NOT(_xlfn.ISFORMULA('Month-End'!$EP$7))),1,0)</f>
        <v/>
      </c>
      <c r="BS149">
        <f>IF(AND('Month-End'!$EP$8&lt;&gt;"",NOT(_xlfn.ISFORMULA('Month-End'!$EP$8))),1,0)</f>
        <v/>
      </c>
      <c r="BT149">
        <f>IF(AND('Month-End'!$EP$9&lt;&gt;"",NOT(_xlfn.ISFORMULA('Month-End'!$EP$9))),1,0)</f>
        <v/>
      </c>
      <c r="BU149">
        <f>IF(AND('Month-End'!$EP$10&lt;&gt;"",NOT(_xlfn.ISFORMULA('Month-End'!$EP$10))),1,0)</f>
        <v/>
      </c>
      <c r="BV149">
        <f>IF(AND('Month-End'!$EP$11&lt;&gt;"",NOT(_xlfn.ISFORMULA('Month-End'!$EP$11))),1,0)</f>
        <v/>
      </c>
      <c r="BW149">
        <f>IF(AND('Month-End'!$EP$12&lt;&gt;"",NOT(_xlfn.ISFORMULA('Month-End'!$EP$12))),1,0)</f>
        <v/>
      </c>
      <c r="BX149">
        <f>IF(AND('Month-End'!$EP$13&lt;&gt;"",NOT(_xlfn.ISFORMULA('Month-End'!$EP$13))),1,0)</f>
        <v/>
      </c>
      <c r="BY149">
        <f>IF(AND('Month-End'!$EP$14&lt;&gt;"",NOT(_xlfn.ISFORMULA('Month-End'!$EP$14))),1,0)</f>
        <v/>
      </c>
      <c r="BZ149">
        <f>IF(AND('Month-End'!$EP$15&lt;&gt;"",NOT(_xlfn.ISFORMULA('Month-End'!$EP$15))),1,0)</f>
        <v/>
      </c>
      <c r="CA149">
        <f>IF(AND('Month-End'!$EP$16&lt;&gt;"",NOT(_xlfn.ISFORMULA('Month-End'!$EP$16))),1,0)</f>
        <v/>
      </c>
      <c r="CB149">
        <f>IF(AND('Month-End'!$EP$17&lt;&gt;"",NOT(_xlfn.ISFORMULA('Month-End'!$EP$17))),1,0)</f>
        <v/>
      </c>
      <c r="CC149">
        <f>IF(AND('Month-End'!$EP$18&lt;&gt;"",NOT(_xlfn.ISFORMULA('Month-End'!$EP$18))),1,0)</f>
        <v/>
      </c>
      <c r="CD149">
        <f>IF(AND('Month-End'!$EP$19&lt;&gt;"",NOT(_xlfn.ISFORMULA('Month-End'!$EP$19))),1,0)</f>
        <v/>
      </c>
      <c r="CE149">
        <f>IF(AND('Month-End'!$EP$20&lt;&gt;"",NOT(_xlfn.ISFORMULA('Month-End'!$EP$20))),1,0)</f>
        <v/>
      </c>
      <c r="CF149">
        <f>IF(AND('Month-End'!$EP$38&lt;&gt;"",NOT(_xlfn.ISFORMULA('Month-End'!$EP$38))),1,0)</f>
        <v/>
      </c>
      <c r="CG149">
        <f>IF(AND('Month-End'!$EP$39&lt;&gt;"",NOT(_xlfn.ISFORMULA('Month-End'!$EP$39))),1,0)</f>
        <v/>
      </c>
      <c r="CH149">
        <f>IF(AND('Month-End'!$EP$40&lt;&gt;"",NOT(_xlfn.ISFORMULA('Month-End'!$EP$40))),1,0)</f>
        <v/>
      </c>
      <c r="CI149">
        <f>IF(AND('Month-End'!$EP$41&lt;&gt;"",NOT(_xlfn.ISFORMULA('Month-End'!$EP$41))),1,0)</f>
        <v/>
      </c>
      <c r="CJ149">
        <f>IF(AND('Month-End'!$EP$42&lt;&gt;"",NOT(_xlfn.ISFORMULA('Month-End'!$EP$42))),1,0)</f>
        <v/>
      </c>
      <c r="CK149">
        <f>IF(AND('Month-End'!$EP$43&lt;&gt;"",NOT(_xlfn.ISFORMULA('Month-End'!$EP$43))),1,0)</f>
        <v/>
      </c>
      <c r="CL149">
        <f>SUM($CM149:$CZ149)</f>
        <v/>
      </c>
      <c r="CM149">
        <f>IF(AND($E149&lt;&gt;"pre",AND(Settings!$A$19&lt;&gt;"",Settings!$E$19&lt;&gt;"No"),Settings!$F$19="Yes",NOT(AND('Month-End'!$EP$7&lt;&gt;"",NOT(_xlfn.ISFORMULA('Month-End'!$EP$7))))),1,0)</f>
        <v/>
      </c>
      <c r="CN149">
        <f>IF(AND($E149&lt;&gt;"pre",AND(Settings!$A$20&lt;&gt;"",Settings!$E$20&lt;&gt;"No"),Settings!$F$20="Yes",NOT(AND('Month-End'!$EP$8&lt;&gt;"",NOT(_xlfn.ISFORMULA('Month-End'!$EP$8))))),1,0)</f>
        <v/>
      </c>
      <c r="CO149">
        <f>IF(AND($E149&lt;&gt;"pre",AND(Settings!$A$21&lt;&gt;"",Settings!$E$21&lt;&gt;"No"),Settings!$F$21="Yes",NOT(AND('Month-End'!$EP$9&lt;&gt;"",NOT(_xlfn.ISFORMULA('Month-End'!$EP$9))))),1,0)</f>
        <v/>
      </c>
      <c r="CP149">
        <f>IF(AND($E149&lt;&gt;"pre",AND(Settings!$A$22&lt;&gt;"",Settings!$E$22&lt;&gt;"No"),Settings!$F$22="Yes",NOT(AND('Month-End'!$EP$10&lt;&gt;"",NOT(_xlfn.ISFORMULA('Month-End'!$EP$10))))),1,0)</f>
        <v/>
      </c>
      <c r="CQ149">
        <f>IF(AND($E149&lt;&gt;"pre",AND(Settings!$A$23&lt;&gt;"",Settings!$E$23&lt;&gt;"No"),Settings!$F$23="Yes",NOT(AND('Month-End'!$EP$11&lt;&gt;"",NOT(_xlfn.ISFORMULA('Month-End'!$EP$11))))),1,0)</f>
        <v/>
      </c>
      <c r="CR149">
        <f>IF(AND($E149&lt;&gt;"pre",AND(Settings!$A$24&lt;&gt;"",Settings!$E$24&lt;&gt;"No"),Settings!$F$24="Yes",NOT(AND('Month-End'!$EP$12&lt;&gt;"",NOT(_xlfn.ISFORMULA('Month-End'!$EP$12))))),1,0)</f>
        <v/>
      </c>
      <c r="CS149">
        <f>IF(AND($E149&lt;&gt;"pre",AND(Settings!$A$25&lt;&gt;"",Settings!$E$25&lt;&gt;"No"),Settings!$F$25="Yes",NOT(AND('Month-End'!$EP$13&lt;&gt;"",NOT(_xlfn.ISFORMULA('Month-End'!$EP$13))))),1,0)</f>
        <v/>
      </c>
      <c r="CT149">
        <f>IF(AND($E149&lt;&gt;"pre",AND(Settings!$A$26&lt;&gt;"",Settings!$E$26&lt;&gt;"No"),Settings!$F$26="Yes",NOT(AND('Month-End'!$EP$14&lt;&gt;"",NOT(_xlfn.ISFORMULA('Month-End'!$EP$14))))),1,0)</f>
        <v/>
      </c>
      <c r="CU149">
        <f>IF(AND($E149&lt;&gt;"pre",AND(Settings!$A$27&lt;&gt;"",Settings!$E$27&lt;&gt;"No"),Settings!$F$27="Yes",NOT(AND('Month-End'!$EP$15&lt;&gt;"",NOT(_xlfn.ISFORMULA('Month-End'!$EP$15))))),1,0)</f>
        <v/>
      </c>
      <c r="CV149">
        <f>IF(AND($E149&lt;&gt;"pre",AND(Settings!$A$28&lt;&gt;"",Settings!$E$28&lt;&gt;"No"),Settings!$F$28="Yes",NOT(AND('Month-End'!$EP$16&lt;&gt;"",NOT(_xlfn.ISFORMULA('Month-End'!$EP$16))))),1,0)</f>
        <v/>
      </c>
      <c r="CW149">
        <f>IF(AND($E149&lt;&gt;"pre",AND(Settings!$A$29&lt;&gt;"",Settings!$E$29&lt;&gt;"No"),Settings!$F$29="Yes",NOT(AND('Month-End'!$EP$17&lt;&gt;"",NOT(_xlfn.ISFORMULA('Month-End'!$EP$17))))),1,0)</f>
        <v/>
      </c>
      <c r="CX149">
        <f>IF(AND($E149&lt;&gt;"pre",AND(Settings!$A$30&lt;&gt;"",Settings!$E$30&lt;&gt;"No"),Settings!$F$30="Yes",NOT(AND('Month-End'!$EP$18&lt;&gt;"",NOT(_xlfn.ISFORMULA('Month-End'!$EP$18))))),1,0)</f>
        <v/>
      </c>
      <c r="CY149">
        <f>IF(AND($E149&lt;&gt;"pre",AND(Settings!$A$31&lt;&gt;"",Settings!$E$31&lt;&gt;"No"),Settings!$F$31="Yes",NOT(AND('Month-End'!$EP$19&lt;&gt;"",NOT(_xlfn.ISFORMULA('Month-End'!$EP$19))))),1,0)</f>
        <v/>
      </c>
      <c r="CZ149">
        <f>IF(AND($E149&lt;&gt;"pre",AND(Settings!$A$32&lt;&gt;"",Settings!$E$32&lt;&gt;"No"),Settings!$F$32="Yes",NOT(AND('Month-End'!$EP$20&lt;&gt;"",NOT(_xlfn.ISFORMULA('Month-End'!$EP$20))))),1,0)</f>
        <v/>
      </c>
      <c r="DA149">
        <f>IF($DT149=1,IF(OR(Settings!$B$19="Checking",Settings!$B$19="Savings",Settings!$B$19="Cash"),N($AE149),IF(OR(Settings!$B$19="Card",Settings!$B$19="Loan"),-N($AE149),0))+IF(OR(Settings!$B$20="Checking",Settings!$B$20="Savings",Settings!$B$20="Cash"),N($AF149),IF(OR(Settings!$B$20="Card",Settings!$B$20="Loan"),-N($AF149),0))+IF(OR(Settings!$B$21="Checking",Settings!$B$21="Savings",Settings!$B$21="Cash"),N($AG149),IF(OR(Settings!$B$21="Card",Settings!$B$21="Loan"),-N($AG149),0))+IF(OR(Settings!$B$22="Checking",Settings!$B$22="Savings",Settings!$B$22="Cash"),N($AH149),IF(OR(Settings!$B$22="Card",Settings!$B$22="Loan"),-N($AH149),0))+IF(OR(Settings!$B$23="Checking",Settings!$B$23="Savings",Settings!$B$23="Cash"),N($AI149),IF(OR(Settings!$B$23="Card",Settings!$B$23="Loan"),-N($AI149),0))+IF(OR(Settings!$B$24="Checking",Settings!$B$24="Savings",Settings!$B$24="Cash"),N($AJ149),IF(OR(Settings!$B$24="Card",Settings!$B$24="Loan"),-N($AJ149),0))+IF(OR(Settings!$B$25="Checking",Settings!$B$25="Savings",Settings!$B$25="Cash"),N($AK149),IF(OR(Settings!$B$25="Card",Settings!$B$25="Loan"),-N($AK149),0))+IF(OR(Settings!$B$26="Checking",Settings!$B$26="Savings",Settings!$B$26="Cash"),N($AL149),IF(OR(Settings!$B$26="Card",Settings!$B$26="Loan"),-N($AL149),0))+IF(OR(Settings!$B$27="Checking",Settings!$B$27="Savings",Settings!$B$27="Cash"),N($AM149),IF(OR(Settings!$B$27="Card",Settings!$B$27="Loan"),-N($AM149),0))+IF(OR(Settings!$B$28="Checking",Settings!$B$28="Savings",Settings!$B$28="Cash"),N($AN149),IF(OR(Settings!$B$28="Card",Settings!$B$28="Loan"),-N($AN149),0))+IF(OR(Settings!$B$29="Checking",Settings!$B$29="Savings",Settings!$B$29="Cash"),N($AO149),IF(OR(Settings!$B$29="Card",Settings!$B$29="Loan"),-N($AO149),0))+IF(OR(Settings!$B$30="Checking",Settings!$B$30="Savings",Settings!$B$30="Cash"),N($AP149),IF(OR(Settings!$B$30="Card",Settings!$B$30="Loan"),-N($AP149),0))+IF(OR(Settings!$B$31="Checking",Settings!$B$31="Savings",Settings!$B$31="Cash"),N($AQ149),IF(OR(Settings!$B$31="Card",Settings!$B$31="Loan"),-N($AQ149),0))+IF(OR(Settings!$B$32="Checking",Settings!$B$32="Savings",Settings!$B$32="Cash"),N($AR149),IF(OR(Settings!$B$32="Card",Settings!$B$32="Loan"),-N($AR149),0)),"")</f>
        <v/>
      </c>
      <c r="DB149">
        <f>IF($E149="open",$EB$27,IF($E149="post",IF($E148="pre",$EB$27,$DA148),""))</f>
        <v/>
      </c>
      <c r="DC149">
        <f>IF($E149="open",1,IF($E149="post",IF($E148="pre",1,$DT148),0))</f>
        <v/>
      </c>
      <c r="DD149">
        <f>IF(AND($DT149=1,$DC149=1),ROUND($W149-($DA149-$DB149)-$AD149-$AB149,2),"")</f>
        <v/>
      </c>
      <c r="DE149">
        <f>IF('Month-End'!$EP$35="",$BQ149,N('Month-End'!$EP$35))</f>
        <v/>
      </c>
      <c r="DF149">
        <f>N('Month-End'!$EP$36)</f>
        <v/>
      </c>
      <c r="DG149">
        <f>IF($DD149="","",$DD149+$DE149)</f>
        <v/>
      </c>
      <c r="DH149">
        <f>IF($DG149="","",$DG149-$DF149)</f>
        <v/>
      </c>
      <c r="DI149">
        <f>IF(OR($E149="pre",$D149=1),"",N($AS149)+N($AT149)+N($AU149)+N($AV149)+N($AW149)+N($AX149))</f>
        <v/>
      </c>
      <c r="DJ149">
        <f>IF($DT149=1,$DA149+N($DI149),"")</f>
        <v/>
      </c>
      <c r="DK149">
        <f>IF($DD149="","",$W149-$DD149-$AB149)</f>
        <v/>
      </c>
      <c r="DL149">
        <f>IF(AND($E149="post",$DD149&lt;&gt;"",$B149&lt;TODAY()),1,0)</f>
        <v/>
      </c>
      <c r="DM149">
        <f>IF($DL149=1,COUNTIF($DL149:$DL$183,1),0)</f>
        <v/>
      </c>
      <c r="DN149">
        <f>IF($D149=1,"",IF($E149="pre","History only",IF($DT149=1,IF($DD149="","⚠ Previous month missing",IF($DD149&lt;0,"⚠ Check: spending &lt; 0",IF($E149="open","✓ Done (partial)","✓ Done"))),IF($B149&gt;=TODAY(),"In progress","⚠ Needs balances"))))</f>
        <v/>
      </c>
      <c r="DO149">
        <f>YEAR($A149)</f>
        <v/>
      </c>
      <c r="DP149">
        <f>DATE(YEAR($A149),INT((MONTH($A149)-1)/3)*3+1,1)</f>
        <v/>
      </c>
      <c r="DQ149">
        <f>IF(AND($DT149=1,$DD149&lt;&gt;"",$D149=0),ROW(),0)</f>
        <v/>
      </c>
      <c r="DR149">
        <f>IF(AND($E149&lt;&gt;"pre",$B149&lt;TODAY(),$DT149=0),1,0)</f>
        <v/>
      </c>
      <c r="DS149">
        <f>IF($DJ149="",NA(),$DJ149)</f>
        <v/>
      </c>
      <c r="DT149">
        <f>IF(AND($E149&lt;&gt;"pre",$CL149=0,COUNTIFS(Settings!$F$19:$F$32,"Yes",Settings!$A$19:$A$32,"&lt;&gt;",Settings!$E$19:$E$32,"&lt;&gt;No")&gt;0),1,0)</f>
        <v/>
      </c>
      <c r="DU149">
        <f>IF(AND($B149&lt;TODAY(),$S149&gt;0),1,0)</f>
        <v/>
      </c>
      <c r="DV149">
        <f>IF($DU149=1,COUNTIF($DU149:$DU$183,1),0)</f>
        <v/>
      </c>
      <c r="DW149">
        <f>IF(AND(OR(Settings!$B$19="Card",Settings!$B$19="Loan"),AND('Month-End'!$EP$7&lt;&gt;"",NOT(_xlfn.ISFORMULA('Month-End'!$EP$7)))),IF(N('Month-End'!$EP$7)&lt;0,1,0),0)+IF(AND(OR(Settings!$B$20="Card",Settings!$B$20="Loan"),AND('Month-End'!$EP$8&lt;&gt;"",NOT(_xlfn.ISFORMULA('Month-End'!$EP$8)))),IF(N('Month-End'!$EP$8)&lt;0,1,0),0)+IF(AND(OR(Settings!$B$21="Card",Settings!$B$21="Loan"),AND('Month-End'!$EP$9&lt;&gt;"",NOT(_xlfn.ISFORMULA('Month-End'!$EP$9)))),IF(N('Month-End'!$EP$9)&lt;0,1,0),0)+IF(AND(OR(Settings!$B$22="Card",Settings!$B$22="Loan"),AND('Month-End'!$EP$10&lt;&gt;"",NOT(_xlfn.ISFORMULA('Month-End'!$EP$10)))),IF(N('Month-End'!$EP$10)&lt;0,1,0),0)+IF(AND(OR(Settings!$B$23="Card",Settings!$B$23="Loan"),AND('Month-End'!$EP$11&lt;&gt;"",NOT(_xlfn.ISFORMULA('Month-End'!$EP$11)))),IF(N('Month-End'!$EP$11)&lt;0,1,0),0)+IF(AND(OR(Settings!$B$24="Card",Settings!$B$24="Loan"),AND('Month-End'!$EP$12&lt;&gt;"",NOT(_xlfn.ISFORMULA('Month-End'!$EP$12)))),IF(N('Month-End'!$EP$12)&lt;0,1,0),0)+IF(AND(OR(Settings!$B$25="Card",Settings!$B$25="Loan"),AND('Month-End'!$EP$13&lt;&gt;"",NOT(_xlfn.ISFORMULA('Month-End'!$EP$13)))),IF(N('Month-End'!$EP$13)&lt;0,1,0),0)+IF(AND(OR(Settings!$B$26="Card",Settings!$B$26="Loan"),AND('Month-End'!$EP$14&lt;&gt;"",NOT(_xlfn.ISFORMULA('Month-End'!$EP$14)))),IF(N('Month-End'!$EP$14)&lt;0,1,0),0)+IF(AND(OR(Settings!$B$27="Card",Settings!$B$27="Loan"),AND('Month-End'!$EP$15&lt;&gt;"",NOT(_xlfn.ISFORMULA('Month-End'!$EP$15)))),IF(N('Month-End'!$EP$15)&lt;0,1,0),0)+IF(AND(OR(Settings!$B$28="Card",Settings!$B$28="Loan"),AND('Month-End'!$EP$16&lt;&gt;"",NOT(_xlfn.ISFORMULA('Month-End'!$EP$16)))),IF(N('Month-End'!$EP$16)&lt;0,1,0),0)+IF(AND(OR(Settings!$B$29="Card",Settings!$B$29="Loan"),AND('Month-End'!$EP$17&lt;&gt;"",NOT(_xlfn.ISFORMULA('Month-End'!$EP$17)))),IF(N('Month-End'!$EP$17)&lt;0,1,0),0)+IF(AND(OR(Settings!$B$30="Card",Settings!$B$30="Loan"),AND('Month-End'!$EP$18&lt;&gt;"",NOT(_xlfn.ISFORMULA('Month-End'!$EP$18)))),IF(N('Month-End'!$EP$18)&lt;0,1,0),0)+IF(AND(OR(Settings!$B$31="Card",Settings!$B$31="Loan"),AND('Month-End'!$EP$19&lt;&gt;"",NOT(_xlfn.ISFORMULA('Month-End'!$EP$19)))),IF(N('Month-End'!$EP$19)&lt;0,1,0),0)+IF(AND(OR(Settings!$B$32="Card",Settings!$B$32="Loan"),AND('Month-End'!$EP$20&lt;&gt;"",NOT(_xlfn.ISFORMULA('Month-End'!$EP$20)))),IF(N('Month-End'!$EP$20)&lt;0,1,0),0)</f>
        <v/>
      </c>
      <c r="DX149">
        <f>IF(Settings!$B$36="Retirement",$AY149,0)+IF(Settings!$B$37="Retirement",$AZ149,0)+IF(Settings!$B$38="Retirement",$BA149,0)+IF(Settings!$B$39="Retirement",$BB149,0)+IF(Settings!$B$40="Retirement",$BC149,0)+IF(Settings!$B$41="Retirement",$BD149,0)</f>
        <v/>
      </c>
      <c r="ET149">
        <f>IF($E149&lt;&gt;"open",0,IF(AND('Month-End'!$EP$22&lt;&gt;"",NOT(_xlfn.ISFORMULA('Month-End'!$EP$22))),0,IF(OR(Settings!$C$45="",Settings!$D$45=""),0,Settings!$C$45*IF(Settings!$D$45="Weekly",IF(IFERROR(MATCH(Settings!$E$45,$EO$4:$EO$10,0),0)=0,0,IF(MIN(Settings!$B$5,IF(Settings!$G$45="",Settings!$B$5,Settings!$G$45))&lt;MAX($A149,Settings!$F$45),0,INT((MIN(Settings!$B$5,IF(Settings!$G$45="",Settings!$B$5,Settings!$G$45))-MAX($A149,Settings!$F$45)-MOD(IFERROR(MATCH(Settings!$E$45,$EO$4:$EO$10,0),0)-WEEKDAY(MAX($A149,Settings!$F$45)),7))/7)+1)),IF(AND(IF(Settings!$E$45="",$B149,DATE(YEAR($A149),MONTH($A149),MIN(Settings!$E$45,DAY($B149))))&gt;=MAX($A149,Settings!$F$45),IF(Settings!$E$45="",$B149,DATE(YEAR($A149),MONTH($A149),MIN(Settings!$E$45,DAY($B149))))&lt;=MIN(Settings!$B$5,IF(Settings!$G$45="",Settings!$B$5,Settings!$G$45))),1,0)))))</f>
        <v/>
      </c>
      <c r="EU149">
        <f>IF($E149&lt;&gt;"open",0,IF(AND('Month-End'!$EP$23&lt;&gt;"",NOT(_xlfn.ISFORMULA('Month-End'!$EP$23))),0,IF(OR(Settings!$C$46="",Settings!$D$46=""),0,Settings!$C$46*IF(Settings!$D$46="Weekly",IF(IFERROR(MATCH(Settings!$E$46,$EO$4:$EO$10,0),0)=0,0,IF(MIN(Settings!$B$5,IF(Settings!$G$46="",Settings!$B$5,Settings!$G$46))&lt;MAX($A149,Settings!$F$46),0,INT((MIN(Settings!$B$5,IF(Settings!$G$46="",Settings!$B$5,Settings!$G$46))-MAX($A149,Settings!$F$46)-MOD(IFERROR(MATCH(Settings!$E$46,$EO$4:$EO$10,0),0)-WEEKDAY(MAX($A149,Settings!$F$46)),7))/7)+1)),IF(AND(IF(Settings!$E$46="",$B149,DATE(YEAR($A149),MONTH($A149),MIN(Settings!$E$46,DAY($B149))))&gt;=MAX($A149,Settings!$F$46),IF(Settings!$E$46="",$B149,DATE(YEAR($A149),MONTH($A149),MIN(Settings!$E$46,DAY($B149))))&lt;=MIN(Settings!$B$5,IF(Settings!$G$46="",Settings!$B$5,Settings!$G$46))),1,0)))))</f>
        <v/>
      </c>
      <c r="EV149">
        <f>IF($E149&lt;&gt;"open",0,IF(AND('Month-End'!$EP$24&lt;&gt;"",NOT(_xlfn.ISFORMULA('Month-End'!$EP$24))),0,IF(OR(Settings!$C$47="",Settings!$D$47=""),0,Settings!$C$47*IF(Settings!$D$47="Weekly",IF(IFERROR(MATCH(Settings!$E$47,$EO$4:$EO$10,0),0)=0,0,IF(MIN(Settings!$B$5,IF(Settings!$G$47="",Settings!$B$5,Settings!$G$47))&lt;MAX($A149,Settings!$F$47),0,INT((MIN(Settings!$B$5,IF(Settings!$G$47="",Settings!$B$5,Settings!$G$47))-MAX($A149,Settings!$F$47)-MOD(IFERROR(MATCH(Settings!$E$47,$EO$4:$EO$10,0),0)-WEEKDAY(MAX($A149,Settings!$F$47)),7))/7)+1)),IF(AND(IF(Settings!$E$47="",$B149,DATE(YEAR($A149),MONTH($A149),MIN(Settings!$E$47,DAY($B149))))&gt;=MAX($A149,Settings!$F$47),IF(Settings!$E$47="",$B149,DATE(YEAR($A149),MONTH($A149),MIN(Settings!$E$47,DAY($B149))))&lt;=MIN(Settings!$B$5,IF(Settings!$G$47="",Settings!$B$5,Settings!$G$47))),1,0)))))</f>
        <v/>
      </c>
      <c r="EW149">
        <f>IF($E149&lt;&gt;"open",0,IF(AND('Month-End'!$EP$25&lt;&gt;"",NOT(_xlfn.ISFORMULA('Month-End'!$EP$25))),0,IF(OR(Settings!$C$48="",Settings!$D$48=""),0,Settings!$C$48*IF(Settings!$D$48="Weekly",IF(IFERROR(MATCH(Settings!$E$48,$EO$4:$EO$10,0),0)=0,0,IF(MIN(Settings!$B$5,IF(Settings!$G$48="",Settings!$B$5,Settings!$G$48))&lt;MAX($A149,Settings!$F$48),0,INT((MIN(Settings!$B$5,IF(Settings!$G$48="",Settings!$B$5,Settings!$G$48))-MAX($A149,Settings!$F$48)-MOD(IFERROR(MATCH(Settings!$E$48,$EO$4:$EO$10,0),0)-WEEKDAY(MAX($A149,Settings!$F$48)),7))/7)+1)),IF(AND(IF(Settings!$E$48="",$B149,DATE(YEAR($A149),MONTH($A149),MIN(Settings!$E$48,DAY($B149))))&gt;=MAX($A149,Settings!$F$48),IF(Settings!$E$48="",$B149,DATE(YEAR($A149),MONTH($A149),MIN(Settings!$E$48,DAY($B149))))&lt;=MIN(Settings!$B$5,IF(Settings!$G$48="",Settings!$B$5,Settings!$G$48))),1,0)))))</f>
        <v/>
      </c>
      <c r="EX149">
        <f>IF($E149&lt;&gt;"open",0,IF(AND('Month-End'!$EP$26&lt;&gt;"",NOT(_xlfn.ISFORMULA('Month-End'!$EP$26))),0,IF(OR(Settings!$C$49="",Settings!$D$49=""),0,Settings!$C$49*IF(Settings!$D$49="Weekly",IF(IFERROR(MATCH(Settings!$E$49,$EO$4:$EO$10,0),0)=0,0,IF(MIN(Settings!$B$5,IF(Settings!$G$49="",Settings!$B$5,Settings!$G$49))&lt;MAX($A149,Settings!$F$49),0,INT((MIN(Settings!$B$5,IF(Settings!$G$49="",Settings!$B$5,Settings!$G$49))-MAX($A149,Settings!$F$49)-MOD(IFERROR(MATCH(Settings!$E$49,$EO$4:$EO$10,0),0)-WEEKDAY(MAX($A149,Settings!$F$49)),7))/7)+1)),IF(AND(IF(Settings!$E$49="",$B149,DATE(YEAR($A149),MONTH($A149),MIN(Settings!$E$49,DAY($B149))))&gt;=MAX($A149,Settings!$F$49),IF(Settings!$E$49="",$B149,DATE(YEAR($A149),MONTH($A149),MIN(Settings!$E$49,DAY($B149))))&lt;=MIN(Settings!$B$5,IF(Settings!$G$49="",Settings!$B$5,Settings!$G$49))),1,0)))))</f>
        <v/>
      </c>
      <c r="EY149">
        <f>IF($E149&lt;&gt;"open",0,IF(AND('Month-End'!$EP$27&lt;&gt;"",NOT(_xlfn.ISFORMULA('Month-End'!$EP$27))),0,IF(OR(Settings!$C$50="",Settings!$D$50=""),0,Settings!$C$50*IF(Settings!$D$50="Weekly",IF(IFERROR(MATCH(Settings!$E$50,$EO$4:$EO$10,0),0)=0,0,IF(MIN(Settings!$B$5,IF(Settings!$G$50="",Settings!$B$5,Settings!$G$50))&lt;MAX($A149,Settings!$F$50),0,INT((MIN(Settings!$B$5,IF(Settings!$G$50="",Settings!$B$5,Settings!$G$50))-MAX($A149,Settings!$F$50)-MOD(IFERROR(MATCH(Settings!$E$50,$EO$4:$EO$10,0),0)-WEEKDAY(MAX($A149,Settings!$F$50)),7))/7)+1)),IF(AND(IF(Settings!$E$50="",$B149,DATE(YEAR($A149),MONTH($A149),MIN(Settings!$E$50,DAY($B149))))&gt;=MAX($A149,Settings!$F$50),IF(Settings!$E$50="",$B149,DATE(YEAR($A149),MONTH($A149),MIN(Settings!$E$50,DAY($B149))))&lt;=MIN(Settings!$B$5,IF(Settings!$G$50="",Settings!$B$5,Settings!$G$50))),1,0)))))</f>
        <v/>
      </c>
      <c r="EZ149">
        <f>IF($E149&lt;&gt;"open",0,IF(AND('Month-End'!$EP$28&lt;&gt;"",NOT(_xlfn.ISFORMULA('Month-End'!$EP$28))),0,IF(OR(Settings!$C$51="",Settings!$D$51=""),0,Settings!$C$51*IF(Settings!$D$51="Weekly",IF(IFERROR(MATCH(Settings!$E$51,$EO$4:$EO$10,0),0)=0,0,IF(MIN(Settings!$B$5,IF(Settings!$G$51="",Settings!$B$5,Settings!$G$51))&lt;MAX($A149,Settings!$F$51),0,INT((MIN(Settings!$B$5,IF(Settings!$G$51="",Settings!$B$5,Settings!$G$51))-MAX($A149,Settings!$F$51)-MOD(IFERROR(MATCH(Settings!$E$51,$EO$4:$EO$10,0),0)-WEEKDAY(MAX($A149,Settings!$F$51)),7))/7)+1)),IF(AND(IF(Settings!$E$51="",$B149,DATE(YEAR($A149),MONTH($A149),MIN(Settings!$E$51,DAY($B149))))&gt;=MAX($A149,Settings!$F$51),IF(Settings!$E$51="",$B149,DATE(YEAR($A149),MONTH($A149),MIN(Settings!$E$51,DAY($B149))))&lt;=MIN(Settings!$B$5,IF(Settings!$G$51="",Settings!$B$5,Settings!$G$51))),1,0)))))</f>
        <v/>
      </c>
      <c r="FA149">
        <f>IF($E149&lt;&gt;"open",0,IF(AND('Month-End'!$EP$29&lt;&gt;"",NOT(_xlfn.ISFORMULA('Month-End'!$EP$29))),0,IF(OR(Settings!$C$52="",Settings!$D$52=""),0,Settings!$C$52*IF(Settings!$D$52="Weekly",IF(IFERROR(MATCH(Settings!$E$52,$EO$4:$EO$10,0),0)=0,0,IF(MIN(Settings!$B$5,IF(Settings!$G$52="",Settings!$B$5,Settings!$G$52))&lt;MAX($A149,Settings!$F$52),0,INT((MIN(Settings!$B$5,IF(Settings!$G$52="",Settings!$B$5,Settings!$G$52))-MAX($A149,Settings!$F$52)-MOD(IFERROR(MATCH(Settings!$E$52,$EO$4:$EO$10,0),0)-WEEKDAY(MAX($A149,Settings!$F$52)),7))/7)+1)),IF(AND(IF(Settings!$E$52="",$B149,DATE(YEAR($A149),MONTH($A149),MIN(Settings!$E$52,DAY($B149))))&gt;=MAX($A149,Settings!$F$52),IF(Settings!$E$52="",$B149,DATE(YEAR($A149),MONTH($A149),MIN(Settings!$E$52,DAY($B149))))&lt;=MIN(Settings!$B$5,IF(Settings!$G$52="",Settings!$B$5,Settings!$G$52))),1,0)))))</f>
        <v/>
      </c>
      <c r="FB149">
        <f>IF($E149&lt;&gt;"open",0,IF(AND('Month-End'!$EP$30&lt;&gt;"",NOT(_xlfn.ISFORMULA('Month-End'!$EP$30))),0,IF(OR(Settings!$C$53="",Settings!$D$53=""),0,Settings!$C$53*IF(Settings!$D$53="Weekly",IF(IFERROR(MATCH(Settings!$E$53,$EO$4:$EO$10,0),0)=0,0,IF(MIN(Settings!$B$5,IF(Settings!$G$53="",Settings!$B$5,Settings!$G$53))&lt;MAX($A149,Settings!$F$53),0,INT((MIN(Settings!$B$5,IF(Settings!$G$53="",Settings!$B$5,Settings!$G$53))-MAX($A149,Settings!$F$53)-MOD(IFERROR(MATCH(Settings!$E$53,$EO$4:$EO$10,0),0)-WEEKDAY(MAX($A149,Settings!$F$53)),7))/7)+1)),IF(AND(IF(Settings!$E$53="",$B149,DATE(YEAR($A149),MONTH($A149),MIN(Settings!$E$53,DAY($B149))))&gt;=MAX($A149,Settings!$F$53),IF(Settings!$E$53="",$B149,DATE(YEAR($A149),MONTH($A149),MIN(Settings!$E$53,DAY($B149))))&lt;=MIN(Settings!$B$5,IF(Settings!$G$53="",Settings!$B$5,Settings!$G$53))),1,0)))))</f>
        <v/>
      </c>
      <c r="FC149">
        <f>IF($E149&lt;&gt;"open",0,IF(AND('Month-End'!$EP$31&lt;&gt;"",NOT(_xlfn.ISFORMULA('Month-End'!$EP$31))),0,IF(OR(Settings!$C$54="",Settings!$D$54=""),0,Settings!$C$54*IF(Settings!$D$54="Weekly",IF(IFERROR(MATCH(Settings!$E$54,$EO$4:$EO$10,0),0)=0,0,IF(MIN(Settings!$B$5,IF(Settings!$G$54="",Settings!$B$5,Settings!$G$54))&lt;MAX($A149,Settings!$F$54),0,INT((MIN(Settings!$B$5,IF(Settings!$G$54="",Settings!$B$5,Settings!$G$54))-MAX($A149,Settings!$F$54)-MOD(IFERROR(MATCH(Settings!$E$54,$EO$4:$EO$10,0),0)-WEEKDAY(MAX($A149,Settings!$F$54)),7))/7)+1)),IF(AND(IF(Settings!$E$54="",$B149,DATE(YEAR($A149),MONTH($A149),MIN(Settings!$E$54,DAY($B149))))&gt;=MAX($A149,Settings!$F$54),IF(Settings!$E$54="",$B149,DATE(YEAR($A149),MONTH($A149),MIN(Settings!$E$54,DAY($B149))))&lt;=MIN(Settings!$B$5,IF(Settings!$G$54="",Settings!$B$5,Settings!$G$54))),1,0)))))</f>
        <v/>
      </c>
      <c r="FD149">
        <f>IF($E149&lt;&gt;"open",0,IF(AND('Month-End'!$EP$32&lt;&gt;"",NOT(_xlfn.ISFORMULA('Month-End'!$EP$32))),0,IF(OR(Settings!$C$55="",Settings!$D$55=""),0,Settings!$C$55*IF(Settings!$D$55="Weekly",IF(IFERROR(MATCH(Settings!$E$55,$EO$4:$EO$10,0),0)=0,0,IF(MIN(Settings!$B$5,IF(Settings!$G$55="",Settings!$B$5,Settings!$G$55))&lt;MAX($A149,Settings!$F$55),0,INT((MIN(Settings!$B$5,IF(Settings!$G$55="",Settings!$B$5,Settings!$G$55))-MAX($A149,Settings!$F$55)-MOD(IFERROR(MATCH(Settings!$E$55,$EO$4:$EO$10,0),0)-WEEKDAY(MAX($A149,Settings!$F$55)),7))/7)+1)),IF(AND(IF(Settings!$E$55="",$B149,DATE(YEAR($A149),MONTH($A149),MIN(Settings!$E$55,DAY($B149))))&gt;=MAX($A149,Settings!$F$55),IF(Settings!$E$55="",$B149,DATE(YEAR($A149),MONTH($A149),MIN(Settings!$E$55,DAY($B149))))&lt;=MIN(Settings!$B$5,IF(Settings!$G$55="",Settings!$B$5,Settings!$G$55))),1,0)))))</f>
        <v/>
      </c>
      <c r="FE149">
        <f>IF($E149&lt;&gt;"open",0,IF(AND('Month-End'!$EP$33&lt;&gt;"",NOT(_xlfn.ISFORMULA('Month-End'!$EP$33))),0,IF(OR(Settings!$C$56="",Settings!$D$56=""),0,Settings!$C$56*IF(Settings!$D$56="Weekly",IF(IFERROR(MATCH(Settings!$E$56,$EO$4:$EO$10,0),0)=0,0,IF(MIN(Settings!$B$5,IF(Settings!$G$56="",Settings!$B$5,Settings!$G$56))&lt;MAX($A149,Settings!$F$56),0,INT((MIN(Settings!$B$5,IF(Settings!$G$56="",Settings!$B$5,Settings!$G$56))-MAX($A149,Settings!$F$56)-MOD(IFERROR(MATCH(Settings!$E$56,$EO$4:$EO$10,0),0)-WEEKDAY(MAX($A149,Settings!$F$56)),7))/7)+1)),IF(AND(IF(Settings!$E$56="",$B149,DATE(YEAR($A149),MONTH($A149),MIN(Settings!$E$56,DAY($B149))))&gt;=MAX($A149,Settings!$F$56),IF(Settings!$E$56="",$B149,DATE(YEAR($A149),MONTH($A149),MIN(Settings!$E$56,DAY($B149))))&lt;=MIN(Settings!$B$5,IF(Settings!$G$56="",Settings!$B$5,Settings!$G$56))),1,0)))))</f>
        <v/>
      </c>
      <c r="FF149">
        <f>IF(Settings!$I$45="Yes",$G149,0)+IF(Settings!$I$46="Yes",$H149,0)+IF(Settings!$I$47="Yes",$I149,0)+IF(Settings!$I$48="Yes",$J149,0)+IF(Settings!$I$49="Yes",$K149,0)+IF(Settings!$I$50="Yes",$L149,0)+IF(Settings!$I$51="Yes",$M149,0)+IF(Settings!$I$52="Yes",$N149,0)+IF(Settings!$I$53="Yes",$O149,0)+IF(Settings!$I$54="Yes",$P149,0)+IF(Settings!$I$55="Yes",$Q149,0)+IF(Settings!$I$56="Yes",$R149,0)</f>
        <v/>
      </c>
      <c r="FG149">
        <f>IF(AND(Settings!$I$45="Yes",Settings!$J$45="No"),$G149,0)+IF(AND(Settings!$I$46="Yes",Settings!$J$46="No"),$H149,0)+IF(AND(Settings!$I$47="Yes",Settings!$J$47="No"),$I149,0)+IF(AND(Settings!$I$48="Yes",Settings!$J$48="No"),$J149,0)+IF(AND(Settings!$I$49="Yes",Settings!$J$49="No"),$K149,0)+IF(AND(Settings!$I$50="Yes",Settings!$J$50="No"),$L149,0)+IF(AND(Settings!$I$51="Yes",Settings!$J$51="No"),$M149,0)+IF(AND(Settings!$I$52="Yes",Settings!$J$52="No"),$N149,0)+IF(AND(Settings!$I$53="Yes",Settings!$J$53="No"),$O149,0)+IF(AND(Settings!$I$54="Yes",Settings!$J$54="No"),$P149,0)+IF(AND(Settings!$I$55="Yes",Settings!$J$55="No"),$Q149,0)+IF(AND(Settings!$I$56="Yes",Settings!$J$56="No"),$R149,0)</f>
        <v/>
      </c>
      <c r="FH149">
        <f>SUMIFS(Giving!$B$7:$B$2006,Giving!$A$7:$A$2006,"&gt;="&amp;$A149,Giving!$A$7:$A$2006,"&lt;="&amp;$B149,Giving!$G$7:$G$2006,"Yes")+IF(OR(OR(Settings!$B$60="",Settings!$F$60="No"),Settings!$H$60&lt;&gt;"Yes"),0,Settings!$B$60*IF(AND(IF(Settings!$C$60="",$B149,DATE(YEAR($A149),MONTH($A149),MIN(Settings!$C$60,DAY($B149))))&gt;=MAX($A149,Settings!$D$60),IF(Settings!$C$60="",$B149,DATE(YEAR($A149),MONTH($A149),MIN(Settings!$C$60,DAY($B149))))&lt;=MIN($C149,IF(Settings!$E$60="",$C149,Settings!$E$60))),1,0))+IF(OR(OR(Settings!$B$61="",Settings!$F$61="No"),Settings!$H$61&lt;&gt;"Yes"),0,Settings!$B$61*IF(AND(IF(Settings!$C$61="",$B149,DATE(YEAR($A149),MONTH($A149),MIN(Settings!$C$61,DAY($B149))))&gt;=MAX($A149,Settings!$D$61),IF(Settings!$C$61="",$B149,DATE(YEAR($A149),MONTH($A149),MIN(Settings!$C$61,DAY($B149))))&lt;=MIN($C149,IF(Settings!$E$61="",$C149,Settings!$E$61))),1,0))+IF(OR(OR(Settings!$B$62="",Settings!$F$62="No"),Settings!$H$62&lt;&gt;"Yes"),0,Settings!$B$62*IF(AND(IF(Settings!$C$62="",$B149,DATE(YEAR($A149),MONTH($A149),MIN(Settings!$C$62,DAY($B149))))&gt;=MAX($A149,Settings!$D$62),IF(Settings!$C$62="",$B149,DATE(YEAR($A149),MONTH($A149),MIN(Settings!$C$62,DAY($B149))))&lt;=MIN($C149,IF(Settings!$E$62="",$C149,Settings!$E$62))),1,0))+IF(OR(OR(Settings!$B$63="",Settings!$F$63="No"),Settings!$H$63&lt;&gt;"Yes"),0,Settings!$B$63*IF(AND(IF(Settings!$C$63="",$B149,DATE(YEAR($A149),MONTH($A149),MIN(Settings!$C$63,DAY($B149))))&gt;=MAX($A149,Settings!$D$63),IF(Settings!$C$63="",$B149,DATE(YEAR($A149),MONTH($A149),MIN(Settings!$C$63,DAY($B149))))&lt;=MIN($C149,IF(Settings!$E$63="",$C149,Settings!$E$63))),1,0))+IF(OR(OR(Settings!$B$64="",Settings!$F$64="No"),Settings!$H$64&lt;&gt;"Yes"),0,Settings!$B$64*IF(AND(IF(Settings!$C$64="",$B149,DATE(YEAR($A149),MONTH($A149),MIN(Settings!$C$64,DAY($B149))))&gt;=MAX($A149,Settings!$D$64),IF(Settings!$C$64="",$B149,DATE(YEAR($A149),MONTH($A149),MIN(Settings!$C$64,DAY($B149))))&lt;=MIN($C149,IF(Settings!$E$64="",$C149,Settings!$E$64))),1,0))+IF(OR(OR(Settings!$B$65="",Settings!$F$65="No"),Settings!$H$65&lt;&gt;"Yes"),0,Settings!$B$65*IF(AND(IF(Settings!$C$65="",$B149,DATE(YEAR($A149),MONTH($A149),MIN(Settings!$C$65,DAY($B149))))&gt;=MAX($A149,Settings!$D$65),IF(Settings!$C$65="",$B149,DATE(YEAR($A149),MONTH($A149),MIN(Settings!$C$65,DAY($B149))))&lt;=MIN($C149,IF(Settings!$E$65="",$C149,Settings!$E$65))),1,0))</f>
        <v/>
      </c>
      <c r="FI149">
        <f>IF($DT149=1,IF(OR(Settings!$B$19="Card",Settings!$B$19="Loan"),N($AE149),0)+IF(OR(Settings!$B$20="Card",Settings!$B$20="Loan"),N($AF149),0)+IF(OR(Settings!$B$21="Card",Settings!$B$21="Loan"),N($AG149),0)+IF(OR(Settings!$B$22="Card",Settings!$B$22="Loan"),N($AH149),0)+IF(OR(Settings!$B$23="Card",Settings!$B$23="Loan"),N($AI149),0)+IF(OR(Settings!$B$24="Card",Settings!$B$24="Loan"),N($AJ149),0)+IF(OR(Settings!$B$25="Card",Settings!$B$25="Loan"),N($AK149),0)+IF(OR(Settings!$B$26="Card",Settings!$B$26="Loan"),N($AL149),0)+IF(OR(Settings!$B$27="Card",Settings!$B$27="Loan"),N($AM149),0)+IF(OR(Settings!$B$28="Card",Settings!$B$28="Loan"),N($AN149),0)+IF(OR(Settings!$B$29="Card",Settings!$B$29="Loan"),N($AO149),0)+IF(OR(Settings!$B$30="Card",Settings!$B$30="Loan"),N($AP149),0)+IF(OR(Settings!$B$31="Card",Settings!$B$31="Loan"),N($AQ149),0)+IF(OR(Settings!$B$32="Card",Settings!$B$32="Loan"),N($AR149),0),"")</f>
        <v/>
      </c>
      <c r="FJ149">
        <f>IF($E149="open",$EB$65,IF($E149="post",IF($E148="pre",$EB$65,$FI148),""))</f>
        <v/>
      </c>
      <c r="FK149">
        <f>IF(AND($DT149=1,$DC149=1),IF(ROUND($FI149-$FJ149,2)&gt;0,1,0),0)</f>
        <v/>
      </c>
      <c r="FL149">
        <f>IF($FK149=1,$FL148+1,0)</f>
        <v/>
      </c>
    </row>
    <row r="150">
      <c r="A150">
        <f>'Month-End'!$EQ$4</f>
        <v/>
      </c>
      <c r="B150">
        <f>EOMONTH($A150,0)</f>
        <v/>
      </c>
      <c r="C150">
        <f>MIN($B150,TODAY())</f>
        <v/>
      </c>
      <c r="D150">
        <f>IF($A150&gt;TODAY(),1,0)</f>
        <v/>
      </c>
      <c r="E150">
        <f>IF($B150&lt;=Settings!$B$5,"pre",IF($A150&lt;=Settings!$B$5,"open","post"))</f>
        <v/>
      </c>
      <c r="G150">
        <f>IF('Month-End'!$EQ$22="",$BE150,N('Month-End'!$EQ$22))</f>
        <v/>
      </c>
      <c r="H150">
        <f>IF('Month-End'!$EQ$23="",$BF150,N('Month-End'!$EQ$23))</f>
        <v/>
      </c>
      <c r="I150">
        <f>IF('Month-End'!$EQ$24="",$BG150,N('Month-End'!$EQ$24))</f>
        <v/>
      </c>
      <c r="J150">
        <f>IF('Month-End'!$EQ$25="",$BH150,N('Month-End'!$EQ$25))</f>
        <v/>
      </c>
      <c r="K150">
        <f>IF('Month-End'!$EQ$26="",$BI150,N('Month-End'!$EQ$26))</f>
        <v/>
      </c>
      <c r="L150">
        <f>IF('Month-End'!$EQ$27="",$BJ150,N('Month-End'!$EQ$27))</f>
        <v/>
      </c>
      <c r="M150">
        <f>IF('Month-End'!$EQ$28="",$BK150,N('Month-End'!$EQ$28))</f>
        <v/>
      </c>
      <c r="N150">
        <f>IF('Month-End'!$EQ$29="",$BL150,N('Month-End'!$EQ$29))</f>
        <v/>
      </c>
      <c r="O150">
        <f>IF('Month-End'!$EQ$30="",$BM150,N('Month-End'!$EQ$30))</f>
        <v/>
      </c>
      <c r="P150">
        <f>IF('Month-End'!$EQ$31="",$BN150,N('Month-End'!$EQ$31))</f>
        <v/>
      </c>
      <c r="Q150">
        <f>IF('Month-End'!$EQ$32="",$BO150,N('Month-End'!$EQ$32))</f>
        <v/>
      </c>
      <c r="R150">
        <f>IF('Month-End'!$EQ$33="",$BP150,N('Month-End'!$EQ$33))</f>
        <v/>
      </c>
      <c r="S150">
        <f>$G150+$H150+$I150+$J150+$K150+$L150+$M150+$N150+$O150+$P150+$Q150+$R150</f>
        <v/>
      </c>
      <c r="T150">
        <f>IF($B150&lt;Settings!$B$6,0,IF(Settings!$B$45="Yes",$G150,0)+IF(Settings!$B$46="Yes",$H150,0)+IF(Settings!$B$47="Yes",$I150,0)+IF(Settings!$B$48="Yes",$J150,0)+IF(Settings!$B$49="Yes",$K150,0)+IF(Settings!$B$50="Yes",$L150,0)+IF(Settings!$B$51="Yes",$M150,0)+IF(Settings!$B$52="Yes",$N150,0)+IF(Settings!$B$53="Yes",$O150,0)+IF(Settings!$B$54="Yes",$P150,0)+IF(Settings!$B$55="Yes",$Q150,0)+IF(Settings!$B$56="Yes",$R150,0))</f>
        <v/>
      </c>
      <c r="U150">
        <f>IF(Settings!$B$45="Not Sure",$G150,0)+IF(Settings!$B$46="Not Sure",$H150,0)+IF(Settings!$B$47="Not Sure",$I150,0)+IF(Settings!$B$48="Not Sure",$J150,0)+IF(Settings!$B$49="Not Sure",$K150,0)+IF(Settings!$B$50="Not Sure",$L150,0)+IF(Settings!$B$51="Not Sure",$M150,0)+IF(Settings!$B$52="Not Sure",$N150,0)+IF(Settings!$B$53="Not Sure",$O150,0)+IF(Settings!$B$54="Not Sure",$P150,0)+IF(Settings!$B$55="Not Sure",$Q150,0)+IF(Settings!$B$56="Not Sure",$R150,0)</f>
        <v/>
      </c>
      <c r="V150">
        <f>IF($E150="open",SUM($ET150:$FE150)+N(Settings!$B$13),0)</f>
        <v/>
      </c>
      <c r="W150">
        <f>IF($E150="post",$S150,IF($E150="open",$S150-$V150,0))</f>
        <v/>
      </c>
      <c r="X150">
        <f>SUMIFS(Giving!$B$7:$B$2006,Giving!$A$7:$A$2006,"&gt;="&amp;$A150,Giving!$A$7:$A$2006,"&lt;="&amp;$B150,Giving!$E$7:$E$2006,"&lt;&gt;No")</f>
        <v/>
      </c>
      <c r="Y150">
        <f>SUMIFS(Giving!$B$7:$B$2006,Giving!$A$7:$A$2006,"&gt;="&amp;$A150,Giving!$A$7:$A$2006,"&lt;="&amp;$B150,Giving!$E$7:$E$2006,"No")</f>
        <v/>
      </c>
      <c r="Z150">
        <f>IF(OR(Settings!$B$60="",Settings!$F$60="No"),0,Settings!$B$60*IF(AND(IF(Settings!$C$60="",$B150,DATE(YEAR($A150),MONTH($A150),MIN(Settings!$C$60,DAY($B150))))&gt;=MAX($A150,Settings!$D$60),IF(Settings!$C$60="",$B150,DATE(YEAR($A150),MONTH($A150),MIN(Settings!$C$60,DAY($B150))))&lt;=MIN($C150,IF(Settings!$E$60="",$C150,Settings!$E$60))),1,0))+IF(OR(Settings!$B$61="",Settings!$F$61="No"),0,Settings!$B$61*IF(AND(IF(Settings!$C$61="",$B150,DATE(YEAR($A150),MONTH($A150),MIN(Settings!$C$61,DAY($B150))))&gt;=MAX($A150,Settings!$D$61),IF(Settings!$C$61="",$B150,DATE(YEAR($A150),MONTH($A150),MIN(Settings!$C$61,DAY($B150))))&lt;=MIN($C150,IF(Settings!$E$61="",$C150,Settings!$E$61))),1,0))+IF(OR(Settings!$B$62="",Settings!$F$62="No"),0,Settings!$B$62*IF(AND(IF(Settings!$C$62="",$B150,DATE(YEAR($A150),MONTH($A150),MIN(Settings!$C$62,DAY($B150))))&gt;=MAX($A150,Settings!$D$62),IF(Settings!$C$62="",$B150,DATE(YEAR($A150),MONTH($A150),MIN(Settings!$C$62,DAY($B150))))&lt;=MIN($C150,IF(Settings!$E$62="",$C150,Settings!$E$62))),1,0))+IF(OR(Settings!$B$63="",Settings!$F$63="No"),0,Settings!$B$63*IF(AND(IF(Settings!$C$63="",$B150,DATE(YEAR($A150),MONTH($A150),MIN(Settings!$C$63,DAY($B150))))&gt;=MAX($A150,Settings!$D$63),IF(Settings!$C$63="",$B150,DATE(YEAR($A150),MONTH($A150),MIN(Settings!$C$63,DAY($B150))))&lt;=MIN($C150,IF(Settings!$E$63="",$C150,Settings!$E$63))),1,0))+IF(OR(Settings!$B$64="",Settings!$F$64="No"),0,Settings!$B$64*IF(AND(IF(Settings!$C$64="",$B150,DATE(YEAR($A150),MONTH($A150),MIN(Settings!$C$64,DAY($B150))))&gt;=MAX($A150,Settings!$D$64),IF(Settings!$C$64="",$B150,DATE(YEAR($A150),MONTH($A150),MIN(Settings!$C$64,DAY($B150))))&lt;=MIN($C150,IF(Settings!$E$64="",$C150,Settings!$E$64))),1,0))+IF(OR(Settings!$B$65="",Settings!$F$65="No"),0,Settings!$B$65*IF(AND(IF(Settings!$C$65="",$B150,DATE(YEAR($A150),MONTH($A150),MIN(Settings!$C$65,DAY($B150))))&gt;=MAX($A150,Settings!$D$65),IF(Settings!$C$65="",$B150,DATE(YEAR($A150),MONTH($A150),MIN(Settings!$C$65,DAY($B150))))&lt;=MIN($C150,IF(Settings!$E$65="",$C150,Settings!$E$65))),1,0))</f>
        <v/>
      </c>
      <c r="AA150">
        <f>$X150+$Z150</f>
        <v/>
      </c>
      <c r="AB150">
        <f>IF($E150="post",$AA150,IF($E150="open",SUMIFS(Giving!$B$7:$B$2006,Giving!$A$7:$A$2006,"&gt;"&amp;Settings!$B$5,Giving!$A$7:$A$2006,"&lt;="&amp;$B150,Giving!$E$7:$E$2006,"&lt;&gt;No")+IF(OR(Settings!$B$60="",Settings!$F$60="No"),0,Settings!$B$60*IF(AND(IF(Settings!$C$60="",$B150,DATE(YEAR($A150),MONTH($A150),MIN(Settings!$C$60,DAY($B150))))&gt;=MAX($A150,Settings!$D$60,Settings!$B$5+1),IF(Settings!$C$60="",$B150,DATE(YEAR($A150),MONTH($A150),MIN(Settings!$C$60,DAY($B150))))&lt;=MIN($C150,IF(Settings!$E$60="",$C150,Settings!$E$60))),1,0))+IF(OR(Settings!$B$61="",Settings!$F$61="No"),0,Settings!$B$61*IF(AND(IF(Settings!$C$61="",$B150,DATE(YEAR($A150),MONTH($A150),MIN(Settings!$C$61,DAY($B150))))&gt;=MAX($A150,Settings!$D$61,Settings!$B$5+1),IF(Settings!$C$61="",$B150,DATE(YEAR($A150),MONTH($A150),MIN(Settings!$C$61,DAY($B150))))&lt;=MIN($C150,IF(Settings!$E$61="",$C150,Settings!$E$61))),1,0))+IF(OR(Settings!$B$62="",Settings!$F$62="No"),0,Settings!$B$62*IF(AND(IF(Settings!$C$62="",$B150,DATE(YEAR($A150),MONTH($A150),MIN(Settings!$C$62,DAY($B150))))&gt;=MAX($A150,Settings!$D$62,Settings!$B$5+1),IF(Settings!$C$62="",$B150,DATE(YEAR($A150),MONTH($A150),MIN(Settings!$C$62,DAY($B150))))&lt;=MIN($C150,IF(Settings!$E$62="",$C150,Settings!$E$62))),1,0))+IF(OR(Settings!$B$63="",Settings!$F$63="No"),0,Settings!$B$63*IF(AND(IF(Settings!$C$63="",$B150,DATE(YEAR($A150),MONTH($A150),MIN(Settings!$C$63,DAY($B150))))&gt;=MAX($A150,Settings!$D$63,Settings!$B$5+1),IF(Settings!$C$63="",$B150,DATE(YEAR($A150),MONTH($A150),MIN(Settings!$C$63,DAY($B150))))&lt;=MIN($C150,IF(Settings!$E$63="",$C150,Settings!$E$63))),1,0))+IF(OR(Settings!$B$64="",Settings!$F$64="No"),0,Settings!$B$64*IF(AND(IF(Settings!$C$64="",$B150,DATE(YEAR($A150),MONTH($A150),MIN(Settings!$C$64,DAY($B150))))&gt;=MAX($A150,Settings!$D$64,Settings!$B$5+1),IF(Settings!$C$64="",$B150,DATE(YEAR($A150),MONTH($A150),MIN(Settings!$C$64,DAY($B150))))&lt;=MIN($C150,IF(Settings!$E$64="",$C150,Settings!$E$64))),1,0))+IF(OR(Settings!$B$65="",Settings!$F$65="No"),0,Settings!$B$65*IF(AND(IF(Settings!$C$65="",$B150,DATE(YEAR($A150),MONTH($A150),MIN(Settings!$C$65,DAY($B150))))&gt;=MAX($A150,Settings!$D$65,Settings!$B$5+1),IF(Settings!$C$65="",$B150,DATE(YEAR($A150),MONTH($A150),MIN(Settings!$C$65,DAY($B150))))&lt;=MIN($C150,IF(Settings!$E$65="",$C150,Settings!$E$65))),1,0)),0))</f>
        <v/>
      </c>
      <c r="AC150">
        <f>$AY150+$AZ150+$BA150+$BB150+$BC150+$BD150</f>
        <v/>
      </c>
      <c r="AD150">
        <f>$AC150</f>
        <v/>
      </c>
      <c r="AE150">
        <f>IF(OR(Settings!$A$19="",$E150="pre"),"",IF(AND('Month-End'!$EQ$7&lt;&gt;"",NOT(_xlfn.ISFORMULA('Month-End'!$EQ$7))),N('Month-End'!$EQ$7),IF(OR($E150="open",$E149="pre"),N(Settings!$C$19),N($AE149))))</f>
        <v/>
      </c>
      <c r="AF150">
        <f>IF(OR(Settings!$A$20="",$E150="pre"),"",IF(AND('Month-End'!$EQ$8&lt;&gt;"",NOT(_xlfn.ISFORMULA('Month-End'!$EQ$8))),N('Month-End'!$EQ$8),IF(OR($E150="open",$E149="pre"),N(Settings!$C$20),N($AF149))))</f>
        <v/>
      </c>
      <c r="AG150">
        <f>IF(OR(Settings!$A$21="",$E150="pre"),"",IF(AND('Month-End'!$EQ$9&lt;&gt;"",NOT(_xlfn.ISFORMULA('Month-End'!$EQ$9))),N('Month-End'!$EQ$9),IF(OR($E150="open",$E149="pre"),N(Settings!$C$21),N($AG149))))</f>
        <v/>
      </c>
      <c r="AH150">
        <f>IF(OR(Settings!$A$22="",$E150="pre"),"",IF(AND('Month-End'!$EQ$10&lt;&gt;"",NOT(_xlfn.ISFORMULA('Month-End'!$EQ$10))),N('Month-End'!$EQ$10),IF(OR($E150="open",$E149="pre"),N(Settings!$C$22),N($AH149))))</f>
        <v/>
      </c>
      <c r="AI150">
        <f>IF(OR(Settings!$A$23="",$E150="pre"),"",IF(AND('Month-End'!$EQ$11&lt;&gt;"",NOT(_xlfn.ISFORMULA('Month-End'!$EQ$11))),N('Month-End'!$EQ$11),IF(OR($E150="open",$E149="pre"),N(Settings!$C$23),N($AI149))))</f>
        <v/>
      </c>
      <c r="AJ150">
        <f>IF(OR(Settings!$A$24="",$E150="pre"),"",IF(AND('Month-End'!$EQ$12&lt;&gt;"",NOT(_xlfn.ISFORMULA('Month-End'!$EQ$12))),N('Month-End'!$EQ$12),IF(OR($E150="open",$E149="pre"),N(Settings!$C$24),N($AJ149))))</f>
        <v/>
      </c>
      <c r="AK150">
        <f>IF(OR(Settings!$A$25="",$E150="pre"),"",IF(AND('Month-End'!$EQ$13&lt;&gt;"",NOT(_xlfn.ISFORMULA('Month-End'!$EQ$13))),N('Month-End'!$EQ$13),IF(OR($E150="open",$E149="pre"),N(Settings!$C$25),N($AK149))))</f>
        <v/>
      </c>
      <c r="AL150">
        <f>IF(OR(Settings!$A$26="",$E150="pre"),"",IF(AND('Month-End'!$EQ$14&lt;&gt;"",NOT(_xlfn.ISFORMULA('Month-End'!$EQ$14))),N('Month-End'!$EQ$14),IF(OR($E150="open",$E149="pre"),N(Settings!$C$26),N($AL149))))</f>
        <v/>
      </c>
      <c r="AM150">
        <f>IF(OR(Settings!$A$27="",$E150="pre"),"",IF(AND('Month-End'!$EQ$15&lt;&gt;"",NOT(_xlfn.ISFORMULA('Month-End'!$EQ$15))),N('Month-End'!$EQ$15),IF(OR($E150="open",$E149="pre"),N(Settings!$C$27),N($AM149))))</f>
        <v/>
      </c>
      <c r="AN150">
        <f>IF(OR(Settings!$A$28="",$E150="pre"),"",IF(AND('Month-End'!$EQ$16&lt;&gt;"",NOT(_xlfn.ISFORMULA('Month-End'!$EQ$16))),N('Month-End'!$EQ$16),IF(OR($E150="open",$E149="pre"),N(Settings!$C$28),N($AN149))))</f>
        <v/>
      </c>
      <c r="AO150">
        <f>IF(OR(Settings!$A$29="",$E150="pre"),"",IF(AND('Month-End'!$EQ$17&lt;&gt;"",NOT(_xlfn.ISFORMULA('Month-End'!$EQ$17))),N('Month-End'!$EQ$17),IF(OR($E150="open",$E149="pre"),N(Settings!$C$29),N($AO149))))</f>
        <v/>
      </c>
      <c r="AP150">
        <f>IF(OR(Settings!$A$30="",$E150="pre"),"",IF(AND('Month-End'!$EQ$18&lt;&gt;"",NOT(_xlfn.ISFORMULA('Month-End'!$EQ$18))),N('Month-End'!$EQ$18),IF(OR($E150="open",$E149="pre"),N(Settings!$C$30),N($AP149))))</f>
        <v/>
      </c>
      <c r="AQ150">
        <f>IF(OR(Settings!$A$31="",$E150="pre"),"",IF(AND('Month-End'!$EQ$19&lt;&gt;"",NOT(_xlfn.ISFORMULA('Month-End'!$EQ$19))),N('Month-End'!$EQ$19),IF(OR($E150="open",$E149="pre"),N(Settings!$C$31),N($AQ149))))</f>
        <v/>
      </c>
      <c r="AR150">
        <f>IF(OR(Settings!$A$32="",$E150="pre"),"",IF(AND('Month-End'!$EQ$20&lt;&gt;"",NOT(_xlfn.ISFORMULA('Month-End'!$EQ$20))),N('Month-End'!$EQ$20),IF(OR($E150="open",$E149="pre"),N(Settings!$C$32),N($AR149))))</f>
        <v/>
      </c>
      <c r="AS150">
        <f>IF(OR(Settings!$A$36="",$E150="pre"),"",IF(AND('Month-End'!$EQ$38&lt;&gt;"",NOT(_xlfn.ISFORMULA('Month-End'!$EQ$38))),N('Month-End'!$EQ$38),IF(OR($E150="open",$E149="pre"),N(Settings!$C$36),N($AS149))+$AY150))</f>
        <v/>
      </c>
      <c r="AT150">
        <f>IF(OR(Settings!$A$37="",$E150="pre"),"",IF(AND('Month-End'!$EQ$39&lt;&gt;"",NOT(_xlfn.ISFORMULA('Month-End'!$EQ$39))),N('Month-End'!$EQ$39),IF(OR($E150="open",$E149="pre"),N(Settings!$C$37),N($AT149))+$AZ150))</f>
        <v/>
      </c>
      <c r="AU150">
        <f>IF(OR(Settings!$A$38="",$E150="pre"),"",IF(AND('Month-End'!$EQ$40&lt;&gt;"",NOT(_xlfn.ISFORMULA('Month-End'!$EQ$40))),N('Month-End'!$EQ$40),IF(OR($E150="open",$E149="pre"),N(Settings!$C$38),N($AU149))+$BA150))</f>
        <v/>
      </c>
      <c r="AV150">
        <f>IF(OR(Settings!$A$39="",$E150="pre"),"",IF(AND('Month-End'!$EQ$41&lt;&gt;"",NOT(_xlfn.ISFORMULA('Month-End'!$EQ$41))),N('Month-End'!$EQ$41),IF(OR($E150="open",$E149="pre"),N(Settings!$C$39),N($AV149))+$BB150))</f>
        <v/>
      </c>
      <c r="AW150">
        <f>IF(OR(Settings!$A$40="",$E150="pre"),"",IF(AND('Month-End'!$EQ$42&lt;&gt;"",NOT(_xlfn.ISFORMULA('Month-End'!$EQ$42))),N('Month-End'!$EQ$42),IF(OR($E150="open",$E149="pre"),N(Settings!$C$40),N($AW149))+$BC150))</f>
        <v/>
      </c>
      <c r="AX150">
        <f>IF(OR(Settings!$A$41="",$E150="pre"),"",IF(AND('Month-End'!$EQ$43&lt;&gt;"",NOT(_xlfn.ISFORMULA('Month-End'!$EQ$43))),N('Month-End'!$EQ$43),IF(OR($E150="open",$E149="pre"),N(Settings!$C$41),N($AX149))+$BD150))</f>
        <v/>
      </c>
      <c r="AY150">
        <f>IF($E150="pre",0,N('Month-End'!$EQ$45))</f>
        <v/>
      </c>
      <c r="AZ150">
        <f>IF($E150="pre",0,N('Month-End'!$EQ$46))</f>
        <v/>
      </c>
      <c r="BA150">
        <f>IF($E150="pre",0,N('Month-End'!$EQ$47))</f>
        <v/>
      </c>
      <c r="BB150">
        <f>IF($E150="pre",0,N('Month-End'!$EQ$48))</f>
        <v/>
      </c>
      <c r="BC150">
        <f>IF($E150="pre",0,N('Month-End'!$EQ$49))</f>
        <v/>
      </c>
      <c r="BD150">
        <f>IF($E150="pre",0,N('Month-End'!$EQ$50))</f>
        <v/>
      </c>
      <c r="BE150">
        <f>IF(OR(Settings!$C$45="",Settings!$D$45=""),0,Settings!$C$45*IF(Settings!$D$45="Weekly",IF(IFERROR(MATCH(Settings!$E$45,$EO$4:$EO$10,0),0)=0,0,IF(MIN($C150,IF(Settings!$G$45="",$C150,Settings!$G$45))&lt;MAX($A150,Settings!$F$45),0,INT((MIN($C150,IF(Settings!$G$45="",$C150,Settings!$G$45))-MAX($A150,Settings!$F$45)-MOD(IFERROR(MATCH(Settings!$E$45,$EO$4:$EO$10,0),0)-WEEKDAY(MAX($A150,Settings!$F$45)),7))/7)+1)),IF(AND(IF(Settings!$E$45="",$B150,DATE(YEAR($A150),MONTH($A150),MIN(Settings!$E$45,DAY($B150))))&gt;=MAX($A150,Settings!$F$45),IF(Settings!$E$45="",$B150,DATE(YEAR($A150),MONTH($A150),MIN(Settings!$E$45,DAY($B150))))&lt;=MIN($C150,IF(Settings!$G$45="",$C150,Settings!$G$45))),1,0)))</f>
        <v/>
      </c>
      <c r="BF150">
        <f>IF(OR(Settings!$C$46="",Settings!$D$46=""),0,Settings!$C$46*IF(Settings!$D$46="Weekly",IF(IFERROR(MATCH(Settings!$E$46,$EO$4:$EO$10,0),0)=0,0,IF(MIN($C150,IF(Settings!$G$46="",$C150,Settings!$G$46))&lt;MAX($A150,Settings!$F$46),0,INT((MIN($C150,IF(Settings!$G$46="",$C150,Settings!$G$46))-MAX($A150,Settings!$F$46)-MOD(IFERROR(MATCH(Settings!$E$46,$EO$4:$EO$10,0),0)-WEEKDAY(MAX($A150,Settings!$F$46)),7))/7)+1)),IF(AND(IF(Settings!$E$46="",$B150,DATE(YEAR($A150),MONTH($A150),MIN(Settings!$E$46,DAY($B150))))&gt;=MAX($A150,Settings!$F$46),IF(Settings!$E$46="",$B150,DATE(YEAR($A150),MONTH($A150),MIN(Settings!$E$46,DAY($B150))))&lt;=MIN($C150,IF(Settings!$G$46="",$C150,Settings!$G$46))),1,0)))</f>
        <v/>
      </c>
      <c r="BG150">
        <f>IF(OR(Settings!$C$47="",Settings!$D$47=""),0,Settings!$C$47*IF(Settings!$D$47="Weekly",IF(IFERROR(MATCH(Settings!$E$47,$EO$4:$EO$10,0),0)=0,0,IF(MIN($C150,IF(Settings!$G$47="",$C150,Settings!$G$47))&lt;MAX($A150,Settings!$F$47),0,INT((MIN($C150,IF(Settings!$G$47="",$C150,Settings!$G$47))-MAX($A150,Settings!$F$47)-MOD(IFERROR(MATCH(Settings!$E$47,$EO$4:$EO$10,0),0)-WEEKDAY(MAX($A150,Settings!$F$47)),7))/7)+1)),IF(AND(IF(Settings!$E$47="",$B150,DATE(YEAR($A150),MONTH($A150),MIN(Settings!$E$47,DAY($B150))))&gt;=MAX($A150,Settings!$F$47),IF(Settings!$E$47="",$B150,DATE(YEAR($A150),MONTH($A150),MIN(Settings!$E$47,DAY($B150))))&lt;=MIN($C150,IF(Settings!$G$47="",$C150,Settings!$G$47))),1,0)))</f>
        <v/>
      </c>
      <c r="BH150">
        <f>IF(OR(Settings!$C$48="",Settings!$D$48=""),0,Settings!$C$48*IF(Settings!$D$48="Weekly",IF(IFERROR(MATCH(Settings!$E$48,$EO$4:$EO$10,0),0)=0,0,IF(MIN($C150,IF(Settings!$G$48="",$C150,Settings!$G$48))&lt;MAX($A150,Settings!$F$48),0,INT((MIN($C150,IF(Settings!$G$48="",$C150,Settings!$G$48))-MAX($A150,Settings!$F$48)-MOD(IFERROR(MATCH(Settings!$E$48,$EO$4:$EO$10,0),0)-WEEKDAY(MAX($A150,Settings!$F$48)),7))/7)+1)),IF(AND(IF(Settings!$E$48="",$B150,DATE(YEAR($A150),MONTH($A150),MIN(Settings!$E$48,DAY($B150))))&gt;=MAX($A150,Settings!$F$48),IF(Settings!$E$48="",$B150,DATE(YEAR($A150),MONTH($A150),MIN(Settings!$E$48,DAY($B150))))&lt;=MIN($C150,IF(Settings!$G$48="",$C150,Settings!$G$48))),1,0)))</f>
        <v/>
      </c>
      <c r="BI150">
        <f>IF(OR(Settings!$C$49="",Settings!$D$49=""),0,Settings!$C$49*IF(Settings!$D$49="Weekly",IF(IFERROR(MATCH(Settings!$E$49,$EO$4:$EO$10,0),0)=0,0,IF(MIN($C150,IF(Settings!$G$49="",$C150,Settings!$G$49))&lt;MAX($A150,Settings!$F$49),0,INT((MIN($C150,IF(Settings!$G$49="",$C150,Settings!$G$49))-MAX($A150,Settings!$F$49)-MOD(IFERROR(MATCH(Settings!$E$49,$EO$4:$EO$10,0),0)-WEEKDAY(MAX($A150,Settings!$F$49)),7))/7)+1)),IF(AND(IF(Settings!$E$49="",$B150,DATE(YEAR($A150),MONTH($A150),MIN(Settings!$E$49,DAY($B150))))&gt;=MAX($A150,Settings!$F$49),IF(Settings!$E$49="",$B150,DATE(YEAR($A150),MONTH($A150),MIN(Settings!$E$49,DAY($B150))))&lt;=MIN($C150,IF(Settings!$G$49="",$C150,Settings!$G$49))),1,0)))</f>
        <v/>
      </c>
      <c r="BJ150">
        <f>IF(OR(Settings!$C$50="",Settings!$D$50=""),0,Settings!$C$50*IF(Settings!$D$50="Weekly",IF(IFERROR(MATCH(Settings!$E$50,$EO$4:$EO$10,0),0)=0,0,IF(MIN($C150,IF(Settings!$G$50="",$C150,Settings!$G$50))&lt;MAX($A150,Settings!$F$50),0,INT((MIN($C150,IF(Settings!$G$50="",$C150,Settings!$G$50))-MAX($A150,Settings!$F$50)-MOD(IFERROR(MATCH(Settings!$E$50,$EO$4:$EO$10,0),0)-WEEKDAY(MAX($A150,Settings!$F$50)),7))/7)+1)),IF(AND(IF(Settings!$E$50="",$B150,DATE(YEAR($A150),MONTH($A150),MIN(Settings!$E$50,DAY($B150))))&gt;=MAX($A150,Settings!$F$50),IF(Settings!$E$50="",$B150,DATE(YEAR($A150),MONTH($A150),MIN(Settings!$E$50,DAY($B150))))&lt;=MIN($C150,IF(Settings!$G$50="",$C150,Settings!$G$50))),1,0)))</f>
        <v/>
      </c>
      <c r="BK150">
        <f>IF(OR(Settings!$C$51="",Settings!$D$51=""),0,Settings!$C$51*IF(Settings!$D$51="Weekly",IF(IFERROR(MATCH(Settings!$E$51,$EO$4:$EO$10,0),0)=0,0,IF(MIN($C150,IF(Settings!$G$51="",$C150,Settings!$G$51))&lt;MAX($A150,Settings!$F$51),0,INT((MIN($C150,IF(Settings!$G$51="",$C150,Settings!$G$51))-MAX($A150,Settings!$F$51)-MOD(IFERROR(MATCH(Settings!$E$51,$EO$4:$EO$10,0),0)-WEEKDAY(MAX($A150,Settings!$F$51)),7))/7)+1)),IF(AND(IF(Settings!$E$51="",$B150,DATE(YEAR($A150),MONTH($A150),MIN(Settings!$E$51,DAY($B150))))&gt;=MAX($A150,Settings!$F$51),IF(Settings!$E$51="",$B150,DATE(YEAR($A150),MONTH($A150),MIN(Settings!$E$51,DAY($B150))))&lt;=MIN($C150,IF(Settings!$G$51="",$C150,Settings!$G$51))),1,0)))</f>
        <v/>
      </c>
      <c r="BL150">
        <f>IF(OR(Settings!$C$52="",Settings!$D$52=""),0,Settings!$C$52*IF(Settings!$D$52="Weekly",IF(IFERROR(MATCH(Settings!$E$52,$EO$4:$EO$10,0),0)=0,0,IF(MIN($C150,IF(Settings!$G$52="",$C150,Settings!$G$52))&lt;MAX($A150,Settings!$F$52),0,INT((MIN($C150,IF(Settings!$G$52="",$C150,Settings!$G$52))-MAX($A150,Settings!$F$52)-MOD(IFERROR(MATCH(Settings!$E$52,$EO$4:$EO$10,0),0)-WEEKDAY(MAX($A150,Settings!$F$52)),7))/7)+1)),IF(AND(IF(Settings!$E$52="",$B150,DATE(YEAR($A150),MONTH($A150),MIN(Settings!$E$52,DAY($B150))))&gt;=MAX($A150,Settings!$F$52),IF(Settings!$E$52="",$B150,DATE(YEAR($A150),MONTH($A150),MIN(Settings!$E$52,DAY($B150))))&lt;=MIN($C150,IF(Settings!$G$52="",$C150,Settings!$G$52))),1,0)))</f>
        <v/>
      </c>
      <c r="BM150">
        <f>IF(OR(Settings!$C$53="",Settings!$D$53=""),0,Settings!$C$53*IF(Settings!$D$53="Weekly",IF(IFERROR(MATCH(Settings!$E$53,$EO$4:$EO$10,0),0)=0,0,IF(MIN($C150,IF(Settings!$G$53="",$C150,Settings!$G$53))&lt;MAX($A150,Settings!$F$53),0,INT((MIN($C150,IF(Settings!$G$53="",$C150,Settings!$G$53))-MAX($A150,Settings!$F$53)-MOD(IFERROR(MATCH(Settings!$E$53,$EO$4:$EO$10,0),0)-WEEKDAY(MAX($A150,Settings!$F$53)),7))/7)+1)),IF(AND(IF(Settings!$E$53="",$B150,DATE(YEAR($A150),MONTH($A150),MIN(Settings!$E$53,DAY($B150))))&gt;=MAX($A150,Settings!$F$53),IF(Settings!$E$53="",$B150,DATE(YEAR($A150),MONTH($A150),MIN(Settings!$E$53,DAY($B150))))&lt;=MIN($C150,IF(Settings!$G$53="",$C150,Settings!$G$53))),1,0)))</f>
        <v/>
      </c>
      <c r="BN150">
        <f>IF(OR(Settings!$C$54="",Settings!$D$54=""),0,Settings!$C$54*IF(Settings!$D$54="Weekly",IF(IFERROR(MATCH(Settings!$E$54,$EO$4:$EO$10,0),0)=0,0,IF(MIN($C150,IF(Settings!$G$54="",$C150,Settings!$G$54))&lt;MAX($A150,Settings!$F$54),0,INT((MIN($C150,IF(Settings!$G$54="",$C150,Settings!$G$54))-MAX($A150,Settings!$F$54)-MOD(IFERROR(MATCH(Settings!$E$54,$EO$4:$EO$10,0),0)-WEEKDAY(MAX($A150,Settings!$F$54)),7))/7)+1)),IF(AND(IF(Settings!$E$54="",$B150,DATE(YEAR($A150),MONTH($A150),MIN(Settings!$E$54,DAY($B150))))&gt;=MAX($A150,Settings!$F$54),IF(Settings!$E$54="",$B150,DATE(YEAR($A150),MONTH($A150),MIN(Settings!$E$54,DAY($B150))))&lt;=MIN($C150,IF(Settings!$G$54="",$C150,Settings!$G$54))),1,0)))</f>
        <v/>
      </c>
      <c r="BO150">
        <f>IF(OR(Settings!$C$55="",Settings!$D$55=""),0,Settings!$C$55*IF(Settings!$D$55="Weekly",IF(IFERROR(MATCH(Settings!$E$55,$EO$4:$EO$10,0),0)=0,0,IF(MIN($C150,IF(Settings!$G$55="",$C150,Settings!$G$55))&lt;MAX($A150,Settings!$F$55),0,INT((MIN($C150,IF(Settings!$G$55="",$C150,Settings!$G$55))-MAX($A150,Settings!$F$55)-MOD(IFERROR(MATCH(Settings!$E$55,$EO$4:$EO$10,0),0)-WEEKDAY(MAX($A150,Settings!$F$55)),7))/7)+1)),IF(AND(IF(Settings!$E$55="",$B150,DATE(YEAR($A150),MONTH($A150),MIN(Settings!$E$55,DAY($B150))))&gt;=MAX($A150,Settings!$F$55),IF(Settings!$E$55="",$B150,DATE(YEAR($A150),MONTH($A150),MIN(Settings!$E$55,DAY($B150))))&lt;=MIN($C150,IF(Settings!$G$55="",$C150,Settings!$G$55))),1,0)))</f>
        <v/>
      </c>
      <c r="BP150">
        <f>IF(OR(Settings!$C$56="",Settings!$D$56=""),0,Settings!$C$56*IF(Settings!$D$56="Weekly",IF(IFERROR(MATCH(Settings!$E$56,$EO$4:$EO$10,0),0)=0,0,IF(MIN($C150,IF(Settings!$G$56="",$C150,Settings!$G$56))&lt;MAX($A150,Settings!$F$56),0,INT((MIN($C150,IF(Settings!$G$56="",$C150,Settings!$G$56))-MAX($A150,Settings!$F$56)-MOD(IFERROR(MATCH(Settings!$E$56,$EO$4:$EO$10,0),0)-WEEKDAY(MAX($A150,Settings!$F$56)),7))/7)+1)),IF(AND(IF(Settings!$E$56="",$B150,DATE(YEAR($A150),MONTH($A150),MIN(Settings!$E$56,DAY($B150))))&gt;=MAX($A150,Settings!$F$56),IF(Settings!$E$56="",$B150,DATE(YEAR($A150),MONTH($A150),MIN(Settings!$E$56,DAY($B150))))&lt;=MIN($C150,IF(Settings!$G$56="",$C150,Settings!$G$56))),1,0)))</f>
        <v/>
      </c>
      <c r="BQ150">
        <f>IF(OR(Settings!$B$14="",$D150=1,$E150="pre",$A150&lt;IF(Settings!$B$15="",0,Settings!$B$15)),0,Settings!$B$14)</f>
        <v/>
      </c>
      <c r="BR150">
        <f>IF(AND('Month-End'!$EQ$7&lt;&gt;"",NOT(_xlfn.ISFORMULA('Month-End'!$EQ$7))),1,0)</f>
        <v/>
      </c>
      <c r="BS150">
        <f>IF(AND('Month-End'!$EQ$8&lt;&gt;"",NOT(_xlfn.ISFORMULA('Month-End'!$EQ$8))),1,0)</f>
        <v/>
      </c>
      <c r="BT150">
        <f>IF(AND('Month-End'!$EQ$9&lt;&gt;"",NOT(_xlfn.ISFORMULA('Month-End'!$EQ$9))),1,0)</f>
        <v/>
      </c>
      <c r="BU150">
        <f>IF(AND('Month-End'!$EQ$10&lt;&gt;"",NOT(_xlfn.ISFORMULA('Month-End'!$EQ$10))),1,0)</f>
        <v/>
      </c>
      <c r="BV150">
        <f>IF(AND('Month-End'!$EQ$11&lt;&gt;"",NOT(_xlfn.ISFORMULA('Month-End'!$EQ$11))),1,0)</f>
        <v/>
      </c>
      <c r="BW150">
        <f>IF(AND('Month-End'!$EQ$12&lt;&gt;"",NOT(_xlfn.ISFORMULA('Month-End'!$EQ$12))),1,0)</f>
        <v/>
      </c>
      <c r="BX150">
        <f>IF(AND('Month-End'!$EQ$13&lt;&gt;"",NOT(_xlfn.ISFORMULA('Month-End'!$EQ$13))),1,0)</f>
        <v/>
      </c>
      <c r="BY150">
        <f>IF(AND('Month-End'!$EQ$14&lt;&gt;"",NOT(_xlfn.ISFORMULA('Month-End'!$EQ$14))),1,0)</f>
        <v/>
      </c>
      <c r="BZ150">
        <f>IF(AND('Month-End'!$EQ$15&lt;&gt;"",NOT(_xlfn.ISFORMULA('Month-End'!$EQ$15))),1,0)</f>
        <v/>
      </c>
      <c r="CA150">
        <f>IF(AND('Month-End'!$EQ$16&lt;&gt;"",NOT(_xlfn.ISFORMULA('Month-End'!$EQ$16))),1,0)</f>
        <v/>
      </c>
      <c r="CB150">
        <f>IF(AND('Month-End'!$EQ$17&lt;&gt;"",NOT(_xlfn.ISFORMULA('Month-End'!$EQ$17))),1,0)</f>
        <v/>
      </c>
      <c r="CC150">
        <f>IF(AND('Month-End'!$EQ$18&lt;&gt;"",NOT(_xlfn.ISFORMULA('Month-End'!$EQ$18))),1,0)</f>
        <v/>
      </c>
      <c r="CD150">
        <f>IF(AND('Month-End'!$EQ$19&lt;&gt;"",NOT(_xlfn.ISFORMULA('Month-End'!$EQ$19))),1,0)</f>
        <v/>
      </c>
      <c r="CE150">
        <f>IF(AND('Month-End'!$EQ$20&lt;&gt;"",NOT(_xlfn.ISFORMULA('Month-End'!$EQ$20))),1,0)</f>
        <v/>
      </c>
      <c r="CF150">
        <f>IF(AND('Month-End'!$EQ$38&lt;&gt;"",NOT(_xlfn.ISFORMULA('Month-End'!$EQ$38))),1,0)</f>
        <v/>
      </c>
      <c r="CG150">
        <f>IF(AND('Month-End'!$EQ$39&lt;&gt;"",NOT(_xlfn.ISFORMULA('Month-End'!$EQ$39))),1,0)</f>
        <v/>
      </c>
      <c r="CH150">
        <f>IF(AND('Month-End'!$EQ$40&lt;&gt;"",NOT(_xlfn.ISFORMULA('Month-End'!$EQ$40))),1,0)</f>
        <v/>
      </c>
      <c r="CI150">
        <f>IF(AND('Month-End'!$EQ$41&lt;&gt;"",NOT(_xlfn.ISFORMULA('Month-End'!$EQ$41))),1,0)</f>
        <v/>
      </c>
      <c r="CJ150">
        <f>IF(AND('Month-End'!$EQ$42&lt;&gt;"",NOT(_xlfn.ISFORMULA('Month-End'!$EQ$42))),1,0)</f>
        <v/>
      </c>
      <c r="CK150">
        <f>IF(AND('Month-End'!$EQ$43&lt;&gt;"",NOT(_xlfn.ISFORMULA('Month-End'!$EQ$43))),1,0)</f>
        <v/>
      </c>
      <c r="CL150">
        <f>SUM($CM150:$CZ150)</f>
        <v/>
      </c>
      <c r="CM150">
        <f>IF(AND($E150&lt;&gt;"pre",AND(Settings!$A$19&lt;&gt;"",Settings!$E$19&lt;&gt;"No"),Settings!$F$19="Yes",NOT(AND('Month-End'!$EQ$7&lt;&gt;"",NOT(_xlfn.ISFORMULA('Month-End'!$EQ$7))))),1,0)</f>
        <v/>
      </c>
      <c r="CN150">
        <f>IF(AND($E150&lt;&gt;"pre",AND(Settings!$A$20&lt;&gt;"",Settings!$E$20&lt;&gt;"No"),Settings!$F$20="Yes",NOT(AND('Month-End'!$EQ$8&lt;&gt;"",NOT(_xlfn.ISFORMULA('Month-End'!$EQ$8))))),1,0)</f>
        <v/>
      </c>
      <c r="CO150">
        <f>IF(AND($E150&lt;&gt;"pre",AND(Settings!$A$21&lt;&gt;"",Settings!$E$21&lt;&gt;"No"),Settings!$F$21="Yes",NOT(AND('Month-End'!$EQ$9&lt;&gt;"",NOT(_xlfn.ISFORMULA('Month-End'!$EQ$9))))),1,0)</f>
        <v/>
      </c>
      <c r="CP150">
        <f>IF(AND($E150&lt;&gt;"pre",AND(Settings!$A$22&lt;&gt;"",Settings!$E$22&lt;&gt;"No"),Settings!$F$22="Yes",NOT(AND('Month-End'!$EQ$10&lt;&gt;"",NOT(_xlfn.ISFORMULA('Month-End'!$EQ$10))))),1,0)</f>
        <v/>
      </c>
      <c r="CQ150">
        <f>IF(AND($E150&lt;&gt;"pre",AND(Settings!$A$23&lt;&gt;"",Settings!$E$23&lt;&gt;"No"),Settings!$F$23="Yes",NOT(AND('Month-End'!$EQ$11&lt;&gt;"",NOT(_xlfn.ISFORMULA('Month-End'!$EQ$11))))),1,0)</f>
        <v/>
      </c>
      <c r="CR150">
        <f>IF(AND($E150&lt;&gt;"pre",AND(Settings!$A$24&lt;&gt;"",Settings!$E$24&lt;&gt;"No"),Settings!$F$24="Yes",NOT(AND('Month-End'!$EQ$12&lt;&gt;"",NOT(_xlfn.ISFORMULA('Month-End'!$EQ$12))))),1,0)</f>
        <v/>
      </c>
      <c r="CS150">
        <f>IF(AND($E150&lt;&gt;"pre",AND(Settings!$A$25&lt;&gt;"",Settings!$E$25&lt;&gt;"No"),Settings!$F$25="Yes",NOT(AND('Month-End'!$EQ$13&lt;&gt;"",NOT(_xlfn.ISFORMULA('Month-End'!$EQ$13))))),1,0)</f>
        <v/>
      </c>
      <c r="CT150">
        <f>IF(AND($E150&lt;&gt;"pre",AND(Settings!$A$26&lt;&gt;"",Settings!$E$26&lt;&gt;"No"),Settings!$F$26="Yes",NOT(AND('Month-End'!$EQ$14&lt;&gt;"",NOT(_xlfn.ISFORMULA('Month-End'!$EQ$14))))),1,0)</f>
        <v/>
      </c>
      <c r="CU150">
        <f>IF(AND($E150&lt;&gt;"pre",AND(Settings!$A$27&lt;&gt;"",Settings!$E$27&lt;&gt;"No"),Settings!$F$27="Yes",NOT(AND('Month-End'!$EQ$15&lt;&gt;"",NOT(_xlfn.ISFORMULA('Month-End'!$EQ$15))))),1,0)</f>
        <v/>
      </c>
      <c r="CV150">
        <f>IF(AND($E150&lt;&gt;"pre",AND(Settings!$A$28&lt;&gt;"",Settings!$E$28&lt;&gt;"No"),Settings!$F$28="Yes",NOT(AND('Month-End'!$EQ$16&lt;&gt;"",NOT(_xlfn.ISFORMULA('Month-End'!$EQ$16))))),1,0)</f>
        <v/>
      </c>
      <c r="CW150">
        <f>IF(AND($E150&lt;&gt;"pre",AND(Settings!$A$29&lt;&gt;"",Settings!$E$29&lt;&gt;"No"),Settings!$F$29="Yes",NOT(AND('Month-End'!$EQ$17&lt;&gt;"",NOT(_xlfn.ISFORMULA('Month-End'!$EQ$17))))),1,0)</f>
        <v/>
      </c>
      <c r="CX150">
        <f>IF(AND($E150&lt;&gt;"pre",AND(Settings!$A$30&lt;&gt;"",Settings!$E$30&lt;&gt;"No"),Settings!$F$30="Yes",NOT(AND('Month-End'!$EQ$18&lt;&gt;"",NOT(_xlfn.ISFORMULA('Month-End'!$EQ$18))))),1,0)</f>
        <v/>
      </c>
      <c r="CY150">
        <f>IF(AND($E150&lt;&gt;"pre",AND(Settings!$A$31&lt;&gt;"",Settings!$E$31&lt;&gt;"No"),Settings!$F$31="Yes",NOT(AND('Month-End'!$EQ$19&lt;&gt;"",NOT(_xlfn.ISFORMULA('Month-End'!$EQ$19))))),1,0)</f>
        <v/>
      </c>
      <c r="CZ150">
        <f>IF(AND($E150&lt;&gt;"pre",AND(Settings!$A$32&lt;&gt;"",Settings!$E$32&lt;&gt;"No"),Settings!$F$32="Yes",NOT(AND('Month-End'!$EQ$20&lt;&gt;"",NOT(_xlfn.ISFORMULA('Month-End'!$EQ$20))))),1,0)</f>
        <v/>
      </c>
      <c r="DA150">
        <f>IF($DT150=1,IF(OR(Settings!$B$19="Checking",Settings!$B$19="Savings",Settings!$B$19="Cash"),N($AE150),IF(OR(Settings!$B$19="Card",Settings!$B$19="Loan"),-N($AE150),0))+IF(OR(Settings!$B$20="Checking",Settings!$B$20="Savings",Settings!$B$20="Cash"),N($AF150),IF(OR(Settings!$B$20="Card",Settings!$B$20="Loan"),-N($AF150),0))+IF(OR(Settings!$B$21="Checking",Settings!$B$21="Savings",Settings!$B$21="Cash"),N($AG150),IF(OR(Settings!$B$21="Card",Settings!$B$21="Loan"),-N($AG150),0))+IF(OR(Settings!$B$22="Checking",Settings!$B$22="Savings",Settings!$B$22="Cash"),N($AH150),IF(OR(Settings!$B$22="Card",Settings!$B$22="Loan"),-N($AH150),0))+IF(OR(Settings!$B$23="Checking",Settings!$B$23="Savings",Settings!$B$23="Cash"),N($AI150),IF(OR(Settings!$B$23="Card",Settings!$B$23="Loan"),-N($AI150),0))+IF(OR(Settings!$B$24="Checking",Settings!$B$24="Savings",Settings!$B$24="Cash"),N($AJ150),IF(OR(Settings!$B$24="Card",Settings!$B$24="Loan"),-N($AJ150),0))+IF(OR(Settings!$B$25="Checking",Settings!$B$25="Savings",Settings!$B$25="Cash"),N($AK150),IF(OR(Settings!$B$25="Card",Settings!$B$25="Loan"),-N($AK150),0))+IF(OR(Settings!$B$26="Checking",Settings!$B$26="Savings",Settings!$B$26="Cash"),N($AL150),IF(OR(Settings!$B$26="Card",Settings!$B$26="Loan"),-N($AL150),0))+IF(OR(Settings!$B$27="Checking",Settings!$B$27="Savings",Settings!$B$27="Cash"),N($AM150),IF(OR(Settings!$B$27="Card",Settings!$B$27="Loan"),-N($AM150),0))+IF(OR(Settings!$B$28="Checking",Settings!$B$28="Savings",Settings!$B$28="Cash"),N($AN150),IF(OR(Settings!$B$28="Card",Settings!$B$28="Loan"),-N($AN150),0))+IF(OR(Settings!$B$29="Checking",Settings!$B$29="Savings",Settings!$B$29="Cash"),N($AO150),IF(OR(Settings!$B$29="Card",Settings!$B$29="Loan"),-N($AO150),0))+IF(OR(Settings!$B$30="Checking",Settings!$B$30="Savings",Settings!$B$30="Cash"),N($AP150),IF(OR(Settings!$B$30="Card",Settings!$B$30="Loan"),-N($AP150),0))+IF(OR(Settings!$B$31="Checking",Settings!$B$31="Savings",Settings!$B$31="Cash"),N($AQ150),IF(OR(Settings!$B$31="Card",Settings!$B$31="Loan"),-N($AQ150),0))+IF(OR(Settings!$B$32="Checking",Settings!$B$32="Savings",Settings!$B$32="Cash"),N($AR150),IF(OR(Settings!$B$32="Card",Settings!$B$32="Loan"),-N($AR150),0)),"")</f>
        <v/>
      </c>
      <c r="DB150">
        <f>IF($E150="open",$EB$27,IF($E150="post",IF($E149="pre",$EB$27,$DA149),""))</f>
        <v/>
      </c>
      <c r="DC150">
        <f>IF($E150="open",1,IF($E150="post",IF($E149="pre",1,$DT149),0))</f>
        <v/>
      </c>
      <c r="DD150">
        <f>IF(AND($DT150=1,$DC150=1),ROUND($W150-($DA150-$DB150)-$AD150-$AB150,2),"")</f>
        <v/>
      </c>
      <c r="DE150">
        <f>IF('Month-End'!$EQ$35="",$BQ150,N('Month-End'!$EQ$35))</f>
        <v/>
      </c>
      <c r="DF150">
        <f>N('Month-End'!$EQ$36)</f>
        <v/>
      </c>
      <c r="DG150">
        <f>IF($DD150="","",$DD150+$DE150)</f>
        <v/>
      </c>
      <c r="DH150">
        <f>IF($DG150="","",$DG150-$DF150)</f>
        <v/>
      </c>
      <c r="DI150">
        <f>IF(OR($E150="pre",$D150=1),"",N($AS150)+N($AT150)+N($AU150)+N($AV150)+N($AW150)+N($AX150))</f>
        <v/>
      </c>
      <c r="DJ150">
        <f>IF($DT150=1,$DA150+N($DI150),"")</f>
        <v/>
      </c>
      <c r="DK150">
        <f>IF($DD150="","",$W150-$DD150-$AB150)</f>
        <v/>
      </c>
      <c r="DL150">
        <f>IF(AND($E150="post",$DD150&lt;&gt;"",$B150&lt;TODAY()),1,0)</f>
        <v/>
      </c>
      <c r="DM150">
        <f>IF($DL150=1,COUNTIF($DL150:$DL$183,1),0)</f>
        <v/>
      </c>
      <c r="DN150">
        <f>IF($D150=1,"",IF($E150="pre","History only",IF($DT150=1,IF($DD150="","⚠ Previous month missing",IF($DD150&lt;0,"⚠ Check: spending &lt; 0",IF($E150="open","✓ Done (partial)","✓ Done"))),IF($B150&gt;=TODAY(),"In progress","⚠ Needs balances"))))</f>
        <v/>
      </c>
      <c r="DO150">
        <f>YEAR($A150)</f>
        <v/>
      </c>
      <c r="DP150">
        <f>DATE(YEAR($A150),INT((MONTH($A150)-1)/3)*3+1,1)</f>
        <v/>
      </c>
      <c r="DQ150">
        <f>IF(AND($DT150=1,$DD150&lt;&gt;"",$D150=0),ROW(),0)</f>
        <v/>
      </c>
      <c r="DR150">
        <f>IF(AND($E150&lt;&gt;"pre",$B150&lt;TODAY(),$DT150=0),1,0)</f>
        <v/>
      </c>
      <c r="DS150">
        <f>IF($DJ150="",NA(),$DJ150)</f>
        <v/>
      </c>
      <c r="DT150">
        <f>IF(AND($E150&lt;&gt;"pre",$CL150=0,COUNTIFS(Settings!$F$19:$F$32,"Yes",Settings!$A$19:$A$32,"&lt;&gt;",Settings!$E$19:$E$32,"&lt;&gt;No")&gt;0),1,0)</f>
        <v/>
      </c>
      <c r="DU150">
        <f>IF(AND($B150&lt;TODAY(),$S150&gt;0),1,0)</f>
        <v/>
      </c>
      <c r="DV150">
        <f>IF($DU150=1,COUNTIF($DU150:$DU$183,1),0)</f>
        <v/>
      </c>
      <c r="DW150">
        <f>IF(AND(OR(Settings!$B$19="Card",Settings!$B$19="Loan"),AND('Month-End'!$EQ$7&lt;&gt;"",NOT(_xlfn.ISFORMULA('Month-End'!$EQ$7)))),IF(N('Month-End'!$EQ$7)&lt;0,1,0),0)+IF(AND(OR(Settings!$B$20="Card",Settings!$B$20="Loan"),AND('Month-End'!$EQ$8&lt;&gt;"",NOT(_xlfn.ISFORMULA('Month-End'!$EQ$8)))),IF(N('Month-End'!$EQ$8)&lt;0,1,0),0)+IF(AND(OR(Settings!$B$21="Card",Settings!$B$21="Loan"),AND('Month-End'!$EQ$9&lt;&gt;"",NOT(_xlfn.ISFORMULA('Month-End'!$EQ$9)))),IF(N('Month-End'!$EQ$9)&lt;0,1,0),0)+IF(AND(OR(Settings!$B$22="Card",Settings!$B$22="Loan"),AND('Month-End'!$EQ$10&lt;&gt;"",NOT(_xlfn.ISFORMULA('Month-End'!$EQ$10)))),IF(N('Month-End'!$EQ$10)&lt;0,1,0),0)+IF(AND(OR(Settings!$B$23="Card",Settings!$B$23="Loan"),AND('Month-End'!$EQ$11&lt;&gt;"",NOT(_xlfn.ISFORMULA('Month-End'!$EQ$11)))),IF(N('Month-End'!$EQ$11)&lt;0,1,0),0)+IF(AND(OR(Settings!$B$24="Card",Settings!$B$24="Loan"),AND('Month-End'!$EQ$12&lt;&gt;"",NOT(_xlfn.ISFORMULA('Month-End'!$EQ$12)))),IF(N('Month-End'!$EQ$12)&lt;0,1,0),0)+IF(AND(OR(Settings!$B$25="Card",Settings!$B$25="Loan"),AND('Month-End'!$EQ$13&lt;&gt;"",NOT(_xlfn.ISFORMULA('Month-End'!$EQ$13)))),IF(N('Month-End'!$EQ$13)&lt;0,1,0),0)+IF(AND(OR(Settings!$B$26="Card",Settings!$B$26="Loan"),AND('Month-End'!$EQ$14&lt;&gt;"",NOT(_xlfn.ISFORMULA('Month-End'!$EQ$14)))),IF(N('Month-End'!$EQ$14)&lt;0,1,0),0)+IF(AND(OR(Settings!$B$27="Card",Settings!$B$27="Loan"),AND('Month-End'!$EQ$15&lt;&gt;"",NOT(_xlfn.ISFORMULA('Month-End'!$EQ$15)))),IF(N('Month-End'!$EQ$15)&lt;0,1,0),0)+IF(AND(OR(Settings!$B$28="Card",Settings!$B$28="Loan"),AND('Month-End'!$EQ$16&lt;&gt;"",NOT(_xlfn.ISFORMULA('Month-End'!$EQ$16)))),IF(N('Month-End'!$EQ$16)&lt;0,1,0),0)+IF(AND(OR(Settings!$B$29="Card",Settings!$B$29="Loan"),AND('Month-End'!$EQ$17&lt;&gt;"",NOT(_xlfn.ISFORMULA('Month-End'!$EQ$17)))),IF(N('Month-End'!$EQ$17)&lt;0,1,0),0)+IF(AND(OR(Settings!$B$30="Card",Settings!$B$30="Loan"),AND('Month-End'!$EQ$18&lt;&gt;"",NOT(_xlfn.ISFORMULA('Month-End'!$EQ$18)))),IF(N('Month-End'!$EQ$18)&lt;0,1,0),0)+IF(AND(OR(Settings!$B$31="Card",Settings!$B$31="Loan"),AND('Month-End'!$EQ$19&lt;&gt;"",NOT(_xlfn.ISFORMULA('Month-End'!$EQ$19)))),IF(N('Month-End'!$EQ$19)&lt;0,1,0),0)+IF(AND(OR(Settings!$B$32="Card",Settings!$B$32="Loan"),AND('Month-End'!$EQ$20&lt;&gt;"",NOT(_xlfn.ISFORMULA('Month-End'!$EQ$20)))),IF(N('Month-End'!$EQ$20)&lt;0,1,0),0)</f>
        <v/>
      </c>
      <c r="DX150">
        <f>IF(Settings!$B$36="Retirement",$AY150,0)+IF(Settings!$B$37="Retirement",$AZ150,0)+IF(Settings!$B$38="Retirement",$BA150,0)+IF(Settings!$B$39="Retirement",$BB150,0)+IF(Settings!$B$40="Retirement",$BC150,0)+IF(Settings!$B$41="Retirement",$BD150,0)</f>
        <v/>
      </c>
      <c r="ET150">
        <f>IF($E150&lt;&gt;"open",0,IF(AND('Month-End'!$EQ$22&lt;&gt;"",NOT(_xlfn.ISFORMULA('Month-End'!$EQ$22))),0,IF(OR(Settings!$C$45="",Settings!$D$45=""),0,Settings!$C$45*IF(Settings!$D$45="Weekly",IF(IFERROR(MATCH(Settings!$E$45,$EO$4:$EO$10,0),0)=0,0,IF(MIN(Settings!$B$5,IF(Settings!$G$45="",Settings!$B$5,Settings!$G$45))&lt;MAX($A150,Settings!$F$45),0,INT((MIN(Settings!$B$5,IF(Settings!$G$45="",Settings!$B$5,Settings!$G$45))-MAX($A150,Settings!$F$45)-MOD(IFERROR(MATCH(Settings!$E$45,$EO$4:$EO$10,0),0)-WEEKDAY(MAX($A150,Settings!$F$45)),7))/7)+1)),IF(AND(IF(Settings!$E$45="",$B150,DATE(YEAR($A150),MONTH($A150),MIN(Settings!$E$45,DAY($B150))))&gt;=MAX($A150,Settings!$F$45),IF(Settings!$E$45="",$B150,DATE(YEAR($A150),MONTH($A150),MIN(Settings!$E$45,DAY($B150))))&lt;=MIN(Settings!$B$5,IF(Settings!$G$45="",Settings!$B$5,Settings!$G$45))),1,0)))))</f>
        <v/>
      </c>
      <c r="EU150">
        <f>IF($E150&lt;&gt;"open",0,IF(AND('Month-End'!$EQ$23&lt;&gt;"",NOT(_xlfn.ISFORMULA('Month-End'!$EQ$23))),0,IF(OR(Settings!$C$46="",Settings!$D$46=""),0,Settings!$C$46*IF(Settings!$D$46="Weekly",IF(IFERROR(MATCH(Settings!$E$46,$EO$4:$EO$10,0),0)=0,0,IF(MIN(Settings!$B$5,IF(Settings!$G$46="",Settings!$B$5,Settings!$G$46))&lt;MAX($A150,Settings!$F$46),0,INT((MIN(Settings!$B$5,IF(Settings!$G$46="",Settings!$B$5,Settings!$G$46))-MAX($A150,Settings!$F$46)-MOD(IFERROR(MATCH(Settings!$E$46,$EO$4:$EO$10,0),0)-WEEKDAY(MAX($A150,Settings!$F$46)),7))/7)+1)),IF(AND(IF(Settings!$E$46="",$B150,DATE(YEAR($A150),MONTH($A150),MIN(Settings!$E$46,DAY($B150))))&gt;=MAX($A150,Settings!$F$46),IF(Settings!$E$46="",$B150,DATE(YEAR($A150),MONTH($A150),MIN(Settings!$E$46,DAY($B150))))&lt;=MIN(Settings!$B$5,IF(Settings!$G$46="",Settings!$B$5,Settings!$G$46))),1,0)))))</f>
        <v/>
      </c>
      <c r="EV150">
        <f>IF($E150&lt;&gt;"open",0,IF(AND('Month-End'!$EQ$24&lt;&gt;"",NOT(_xlfn.ISFORMULA('Month-End'!$EQ$24))),0,IF(OR(Settings!$C$47="",Settings!$D$47=""),0,Settings!$C$47*IF(Settings!$D$47="Weekly",IF(IFERROR(MATCH(Settings!$E$47,$EO$4:$EO$10,0),0)=0,0,IF(MIN(Settings!$B$5,IF(Settings!$G$47="",Settings!$B$5,Settings!$G$47))&lt;MAX($A150,Settings!$F$47),0,INT((MIN(Settings!$B$5,IF(Settings!$G$47="",Settings!$B$5,Settings!$G$47))-MAX($A150,Settings!$F$47)-MOD(IFERROR(MATCH(Settings!$E$47,$EO$4:$EO$10,0),0)-WEEKDAY(MAX($A150,Settings!$F$47)),7))/7)+1)),IF(AND(IF(Settings!$E$47="",$B150,DATE(YEAR($A150),MONTH($A150),MIN(Settings!$E$47,DAY($B150))))&gt;=MAX($A150,Settings!$F$47),IF(Settings!$E$47="",$B150,DATE(YEAR($A150),MONTH($A150),MIN(Settings!$E$47,DAY($B150))))&lt;=MIN(Settings!$B$5,IF(Settings!$G$47="",Settings!$B$5,Settings!$G$47))),1,0)))))</f>
        <v/>
      </c>
      <c r="EW150">
        <f>IF($E150&lt;&gt;"open",0,IF(AND('Month-End'!$EQ$25&lt;&gt;"",NOT(_xlfn.ISFORMULA('Month-End'!$EQ$25))),0,IF(OR(Settings!$C$48="",Settings!$D$48=""),0,Settings!$C$48*IF(Settings!$D$48="Weekly",IF(IFERROR(MATCH(Settings!$E$48,$EO$4:$EO$10,0),0)=0,0,IF(MIN(Settings!$B$5,IF(Settings!$G$48="",Settings!$B$5,Settings!$G$48))&lt;MAX($A150,Settings!$F$48),0,INT((MIN(Settings!$B$5,IF(Settings!$G$48="",Settings!$B$5,Settings!$G$48))-MAX($A150,Settings!$F$48)-MOD(IFERROR(MATCH(Settings!$E$48,$EO$4:$EO$10,0),0)-WEEKDAY(MAX($A150,Settings!$F$48)),7))/7)+1)),IF(AND(IF(Settings!$E$48="",$B150,DATE(YEAR($A150),MONTH($A150),MIN(Settings!$E$48,DAY($B150))))&gt;=MAX($A150,Settings!$F$48),IF(Settings!$E$48="",$B150,DATE(YEAR($A150),MONTH($A150),MIN(Settings!$E$48,DAY($B150))))&lt;=MIN(Settings!$B$5,IF(Settings!$G$48="",Settings!$B$5,Settings!$G$48))),1,0)))))</f>
        <v/>
      </c>
      <c r="EX150">
        <f>IF($E150&lt;&gt;"open",0,IF(AND('Month-End'!$EQ$26&lt;&gt;"",NOT(_xlfn.ISFORMULA('Month-End'!$EQ$26))),0,IF(OR(Settings!$C$49="",Settings!$D$49=""),0,Settings!$C$49*IF(Settings!$D$49="Weekly",IF(IFERROR(MATCH(Settings!$E$49,$EO$4:$EO$10,0),0)=0,0,IF(MIN(Settings!$B$5,IF(Settings!$G$49="",Settings!$B$5,Settings!$G$49))&lt;MAX($A150,Settings!$F$49),0,INT((MIN(Settings!$B$5,IF(Settings!$G$49="",Settings!$B$5,Settings!$G$49))-MAX($A150,Settings!$F$49)-MOD(IFERROR(MATCH(Settings!$E$49,$EO$4:$EO$10,0),0)-WEEKDAY(MAX($A150,Settings!$F$49)),7))/7)+1)),IF(AND(IF(Settings!$E$49="",$B150,DATE(YEAR($A150),MONTH($A150),MIN(Settings!$E$49,DAY($B150))))&gt;=MAX($A150,Settings!$F$49),IF(Settings!$E$49="",$B150,DATE(YEAR($A150),MONTH($A150),MIN(Settings!$E$49,DAY($B150))))&lt;=MIN(Settings!$B$5,IF(Settings!$G$49="",Settings!$B$5,Settings!$G$49))),1,0)))))</f>
        <v/>
      </c>
      <c r="EY150">
        <f>IF($E150&lt;&gt;"open",0,IF(AND('Month-End'!$EQ$27&lt;&gt;"",NOT(_xlfn.ISFORMULA('Month-End'!$EQ$27))),0,IF(OR(Settings!$C$50="",Settings!$D$50=""),0,Settings!$C$50*IF(Settings!$D$50="Weekly",IF(IFERROR(MATCH(Settings!$E$50,$EO$4:$EO$10,0),0)=0,0,IF(MIN(Settings!$B$5,IF(Settings!$G$50="",Settings!$B$5,Settings!$G$50))&lt;MAX($A150,Settings!$F$50),0,INT((MIN(Settings!$B$5,IF(Settings!$G$50="",Settings!$B$5,Settings!$G$50))-MAX($A150,Settings!$F$50)-MOD(IFERROR(MATCH(Settings!$E$50,$EO$4:$EO$10,0),0)-WEEKDAY(MAX($A150,Settings!$F$50)),7))/7)+1)),IF(AND(IF(Settings!$E$50="",$B150,DATE(YEAR($A150),MONTH($A150),MIN(Settings!$E$50,DAY($B150))))&gt;=MAX($A150,Settings!$F$50),IF(Settings!$E$50="",$B150,DATE(YEAR($A150),MONTH($A150),MIN(Settings!$E$50,DAY($B150))))&lt;=MIN(Settings!$B$5,IF(Settings!$G$50="",Settings!$B$5,Settings!$G$50))),1,0)))))</f>
        <v/>
      </c>
      <c r="EZ150">
        <f>IF($E150&lt;&gt;"open",0,IF(AND('Month-End'!$EQ$28&lt;&gt;"",NOT(_xlfn.ISFORMULA('Month-End'!$EQ$28))),0,IF(OR(Settings!$C$51="",Settings!$D$51=""),0,Settings!$C$51*IF(Settings!$D$51="Weekly",IF(IFERROR(MATCH(Settings!$E$51,$EO$4:$EO$10,0),0)=0,0,IF(MIN(Settings!$B$5,IF(Settings!$G$51="",Settings!$B$5,Settings!$G$51))&lt;MAX($A150,Settings!$F$51),0,INT((MIN(Settings!$B$5,IF(Settings!$G$51="",Settings!$B$5,Settings!$G$51))-MAX($A150,Settings!$F$51)-MOD(IFERROR(MATCH(Settings!$E$51,$EO$4:$EO$10,0),0)-WEEKDAY(MAX($A150,Settings!$F$51)),7))/7)+1)),IF(AND(IF(Settings!$E$51="",$B150,DATE(YEAR($A150),MONTH($A150),MIN(Settings!$E$51,DAY($B150))))&gt;=MAX($A150,Settings!$F$51),IF(Settings!$E$51="",$B150,DATE(YEAR($A150),MONTH($A150),MIN(Settings!$E$51,DAY($B150))))&lt;=MIN(Settings!$B$5,IF(Settings!$G$51="",Settings!$B$5,Settings!$G$51))),1,0)))))</f>
        <v/>
      </c>
      <c r="FA150">
        <f>IF($E150&lt;&gt;"open",0,IF(AND('Month-End'!$EQ$29&lt;&gt;"",NOT(_xlfn.ISFORMULA('Month-End'!$EQ$29))),0,IF(OR(Settings!$C$52="",Settings!$D$52=""),0,Settings!$C$52*IF(Settings!$D$52="Weekly",IF(IFERROR(MATCH(Settings!$E$52,$EO$4:$EO$10,0),0)=0,0,IF(MIN(Settings!$B$5,IF(Settings!$G$52="",Settings!$B$5,Settings!$G$52))&lt;MAX($A150,Settings!$F$52),0,INT((MIN(Settings!$B$5,IF(Settings!$G$52="",Settings!$B$5,Settings!$G$52))-MAX($A150,Settings!$F$52)-MOD(IFERROR(MATCH(Settings!$E$52,$EO$4:$EO$10,0),0)-WEEKDAY(MAX($A150,Settings!$F$52)),7))/7)+1)),IF(AND(IF(Settings!$E$52="",$B150,DATE(YEAR($A150),MONTH($A150),MIN(Settings!$E$52,DAY($B150))))&gt;=MAX($A150,Settings!$F$52),IF(Settings!$E$52="",$B150,DATE(YEAR($A150),MONTH($A150),MIN(Settings!$E$52,DAY($B150))))&lt;=MIN(Settings!$B$5,IF(Settings!$G$52="",Settings!$B$5,Settings!$G$52))),1,0)))))</f>
        <v/>
      </c>
      <c r="FB150">
        <f>IF($E150&lt;&gt;"open",0,IF(AND('Month-End'!$EQ$30&lt;&gt;"",NOT(_xlfn.ISFORMULA('Month-End'!$EQ$30))),0,IF(OR(Settings!$C$53="",Settings!$D$53=""),0,Settings!$C$53*IF(Settings!$D$53="Weekly",IF(IFERROR(MATCH(Settings!$E$53,$EO$4:$EO$10,0),0)=0,0,IF(MIN(Settings!$B$5,IF(Settings!$G$53="",Settings!$B$5,Settings!$G$53))&lt;MAX($A150,Settings!$F$53),0,INT((MIN(Settings!$B$5,IF(Settings!$G$53="",Settings!$B$5,Settings!$G$53))-MAX($A150,Settings!$F$53)-MOD(IFERROR(MATCH(Settings!$E$53,$EO$4:$EO$10,0),0)-WEEKDAY(MAX($A150,Settings!$F$53)),7))/7)+1)),IF(AND(IF(Settings!$E$53="",$B150,DATE(YEAR($A150),MONTH($A150),MIN(Settings!$E$53,DAY($B150))))&gt;=MAX($A150,Settings!$F$53),IF(Settings!$E$53="",$B150,DATE(YEAR($A150),MONTH($A150),MIN(Settings!$E$53,DAY($B150))))&lt;=MIN(Settings!$B$5,IF(Settings!$G$53="",Settings!$B$5,Settings!$G$53))),1,0)))))</f>
        <v/>
      </c>
      <c r="FC150">
        <f>IF($E150&lt;&gt;"open",0,IF(AND('Month-End'!$EQ$31&lt;&gt;"",NOT(_xlfn.ISFORMULA('Month-End'!$EQ$31))),0,IF(OR(Settings!$C$54="",Settings!$D$54=""),0,Settings!$C$54*IF(Settings!$D$54="Weekly",IF(IFERROR(MATCH(Settings!$E$54,$EO$4:$EO$10,0),0)=0,0,IF(MIN(Settings!$B$5,IF(Settings!$G$54="",Settings!$B$5,Settings!$G$54))&lt;MAX($A150,Settings!$F$54),0,INT((MIN(Settings!$B$5,IF(Settings!$G$54="",Settings!$B$5,Settings!$G$54))-MAX($A150,Settings!$F$54)-MOD(IFERROR(MATCH(Settings!$E$54,$EO$4:$EO$10,0),0)-WEEKDAY(MAX($A150,Settings!$F$54)),7))/7)+1)),IF(AND(IF(Settings!$E$54="",$B150,DATE(YEAR($A150),MONTH($A150),MIN(Settings!$E$54,DAY($B150))))&gt;=MAX($A150,Settings!$F$54),IF(Settings!$E$54="",$B150,DATE(YEAR($A150),MONTH($A150),MIN(Settings!$E$54,DAY($B150))))&lt;=MIN(Settings!$B$5,IF(Settings!$G$54="",Settings!$B$5,Settings!$G$54))),1,0)))))</f>
        <v/>
      </c>
      <c r="FD150">
        <f>IF($E150&lt;&gt;"open",0,IF(AND('Month-End'!$EQ$32&lt;&gt;"",NOT(_xlfn.ISFORMULA('Month-End'!$EQ$32))),0,IF(OR(Settings!$C$55="",Settings!$D$55=""),0,Settings!$C$55*IF(Settings!$D$55="Weekly",IF(IFERROR(MATCH(Settings!$E$55,$EO$4:$EO$10,0),0)=0,0,IF(MIN(Settings!$B$5,IF(Settings!$G$55="",Settings!$B$5,Settings!$G$55))&lt;MAX($A150,Settings!$F$55),0,INT((MIN(Settings!$B$5,IF(Settings!$G$55="",Settings!$B$5,Settings!$G$55))-MAX($A150,Settings!$F$55)-MOD(IFERROR(MATCH(Settings!$E$55,$EO$4:$EO$10,0),0)-WEEKDAY(MAX($A150,Settings!$F$55)),7))/7)+1)),IF(AND(IF(Settings!$E$55="",$B150,DATE(YEAR($A150),MONTH($A150),MIN(Settings!$E$55,DAY($B150))))&gt;=MAX($A150,Settings!$F$55),IF(Settings!$E$55="",$B150,DATE(YEAR($A150),MONTH($A150),MIN(Settings!$E$55,DAY($B150))))&lt;=MIN(Settings!$B$5,IF(Settings!$G$55="",Settings!$B$5,Settings!$G$55))),1,0)))))</f>
        <v/>
      </c>
      <c r="FE150">
        <f>IF($E150&lt;&gt;"open",0,IF(AND('Month-End'!$EQ$33&lt;&gt;"",NOT(_xlfn.ISFORMULA('Month-End'!$EQ$33))),0,IF(OR(Settings!$C$56="",Settings!$D$56=""),0,Settings!$C$56*IF(Settings!$D$56="Weekly",IF(IFERROR(MATCH(Settings!$E$56,$EO$4:$EO$10,0),0)=0,0,IF(MIN(Settings!$B$5,IF(Settings!$G$56="",Settings!$B$5,Settings!$G$56))&lt;MAX($A150,Settings!$F$56),0,INT((MIN(Settings!$B$5,IF(Settings!$G$56="",Settings!$B$5,Settings!$G$56))-MAX($A150,Settings!$F$56)-MOD(IFERROR(MATCH(Settings!$E$56,$EO$4:$EO$10,0),0)-WEEKDAY(MAX($A150,Settings!$F$56)),7))/7)+1)),IF(AND(IF(Settings!$E$56="",$B150,DATE(YEAR($A150),MONTH($A150),MIN(Settings!$E$56,DAY($B150))))&gt;=MAX($A150,Settings!$F$56),IF(Settings!$E$56="",$B150,DATE(YEAR($A150),MONTH($A150),MIN(Settings!$E$56,DAY($B150))))&lt;=MIN(Settings!$B$5,IF(Settings!$G$56="",Settings!$B$5,Settings!$G$56))),1,0)))))</f>
        <v/>
      </c>
      <c r="FF150">
        <f>IF(Settings!$I$45="Yes",$G150,0)+IF(Settings!$I$46="Yes",$H150,0)+IF(Settings!$I$47="Yes",$I150,0)+IF(Settings!$I$48="Yes",$J150,0)+IF(Settings!$I$49="Yes",$K150,0)+IF(Settings!$I$50="Yes",$L150,0)+IF(Settings!$I$51="Yes",$M150,0)+IF(Settings!$I$52="Yes",$N150,0)+IF(Settings!$I$53="Yes",$O150,0)+IF(Settings!$I$54="Yes",$P150,0)+IF(Settings!$I$55="Yes",$Q150,0)+IF(Settings!$I$56="Yes",$R150,0)</f>
        <v/>
      </c>
      <c r="FG150">
        <f>IF(AND(Settings!$I$45="Yes",Settings!$J$45="No"),$G150,0)+IF(AND(Settings!$I$46="Yes",Settings!$J$46="No"),$H150,0)+IF(AND(Settings!$I$47="Yes",Settings!$J$47="No"),$I150,0)+IF(AND(Settings!$I$48="Yes",Settings!$J$48="No"),$J150,0)+IF(AND(Settings!$I$49="Yes",Settings!$J$49="No"),$K150,0)+IF(AND(Settings!$I$50="Yes",Settings!$J$50="No"),$L150,0)+IF(AND(Settings!$I$51="Yes",Settings!$J$51="No"),$M150,0)+IF(AND(Settings!$I$52="Yes",Settings!$J$52="No"),$N150,0)+IF(AND(Settings!$I$53="Yes",Settings!$J$53="No"),$O150,0)+IF(AND(Settings!$I$54="Yes",Settings!$J$54="No"),$P150,0)+IF(AND(Settings!$I$55="Yes",Settings!$J$55="No"),$Q150,0)+IF(AND(Settings!$I$56="Yes",Settings!$J$56="No"),$R150,0)</f>
        <v/>
      </c>
      <c r="FH150">
        <f>SUMIFS(Giving!$B$7:$B$2006,Giving!$A$7:$A$2006,"&gt;="&amp;$A150,Giving!$A$7:$A$2006,"&lt;="&amp;$B150,Giving!$G$7:$G$2006,"Yes")+IF(OR(OR(Settings!$B$60="",Settings!$F$60="No"),Settings!$H$60&lt;&gt;"Yes"),0,Settings!$B$60*IF(AND(IF(Settings!$C$60="",$B150,DATE(YEAR($A150),MONTH($A150),MIN(Settings!$C$60,DAY($B150))))&gt;=MAX($A150,Settings!$D$60),IF(Settings!$C$60="",$B150,DATE(YEAR($A150),MONTH($A150),MIN(Settings!$C$60,DAY($B150))))&lt;=MIN($C150,IF(Settings!$E$60="",$C150,Settings!$E$60))),1,0))+IF(OR(OR(Settings!$B$61="",Settings!$F$61="No"),Settings!$H$61&lt;&gt;"Yes"),0,Settings!$B$61*IF(AND(IF(Settings!$C$61="",$B150,DATE(YEAR($A150),MONTH($A150),MIN(Settings!$C$61,DAY($B150))))&gt;=MAX($A150,Settings!$D$61),IF(Settings!$C$61="",$B150,DATE(YEAR($A150),MONTH($A150),MIN(Settings!$C$61,DAY($B150))))&lt;=MIN($C150,IF(Settings!$E$61="",$C150,Settings!$E$61))),1,0))+IF(OR(OR(Settings!$B$62="",Settings!$F$62="No"),Settings!$H$62&lt;&gt;"Yes"),0,Settings!$B$62*IF(AND(IF(Settings!$C$62="",$B150,DATE(YEAR($A150),MONTH($A150),MIN(Settings!$C$62,DAY($B150))))&gt;=MAX($A150,Settings!$D$62),IF(Settings!$C$62="",$B150,DATE(YEAR($A150),MONTH($A150),MIN(Settings!$C$62,DAY($B150))))&lt;=MIN($C150,IF(Settings!$E$62="",$C150,Settings!$E$62))),1,0))+IF(OR(OR(Settings!$B$63="",Settings!$F$63="No"),Settings!$H$63&lt;&gt;"Yes"),0,Settings!$B$63*IF(AND(IF(Settings!$C$63="",$B150,DATE(YEAR($A150),MONTH($A150),MIN(Settings!$C$63,DAY($B150))))&gt;=MAX($A150,Settings!$D$63),IF(Settings!$C$63="",$B150,DATE(YEAR($A150),MONTH($A150),MIN(Settings!$C$63,DAY($B150))))&lt;=MIN($C150,IF(Settings!$E$63="",$C150,Settings!$E$63))),1,0))+IF(OR(OR(Settings!$B$64="",Settings!$F$64="No"),Settings!$H$64&lt;&gt;"Yes"),0,Settings!$B$64*IF(AND(IF(Settings!$C$64="",$B150,DATE(YEAR($A150),MONTH($A150),MIN(Settings!$C$64,DAY($B150))))&gt;=MAX($A150,Settings!$D$64),IF(Settings!$C$64="",$B150,DATE(YEAR($A150),MONTH($A150),MIN(Settings!$C$64,DAY($B150))))&lt;=MIN($C150,IF(Settings!$E$64="",$C150,Settings!$E$64))),1,0))+IF(OR(OR(Settings!$B$65="",Settings!$F$65="No"),Settings!$H$65&lt;&gt;"Yes"),0,Settings!$B$65*IF(AND(IF(Settings!$C$65="",$B150,DATE(YEAR($A150),MONTH($A150),MIN(Settings!$C$65,DAY($B150))))&gt;=MAX($A150,Settings!$D$65),IF(Settings!$C$65="",$B150,DATE(YEAR($A150),MONTH($A150),MIN(Settings!$C$65,DAY($B150))))&lt;=MIN($C150,IF(Settings!$E$65="",$C150,Settings!$E$65))),1,0))</f>
        <v/>
      </c>
      <c r="FI150">
        <f>IF($DT150=1,IF(OR(Settings!$B$19="Card",Settings!$B$19="Loan"),N($AE150),0)+IF(OR(Settings!$B$20="Card",Settings!$B$20="Loan"),N($AF150),0)+IF(OR(Settings!$B$21="Card",Settings!$B$21="Loan"),N($AG150),0)+IF(OR(Settings!$B$22="Card",Settings!$B$22="Loan"),N($AH150),0)+IF(OR(Settings!$B$23="Card",Settings!$B$23="Loan"),N($AI150),0)+IF(OR(Settings!$B$24="Card",Settings!$B$24="Loan"),N($AJ150),0)+IF(OR(Settings!$B$25="Card",Settings!$B$25="Loan"),N($AK150),0)+IF(OR(Settings!$B$26="Card",Settings!$B$26="Loan"),N($AL150),0)+IF(OR(Settings!$B$27="Card",Settings!$B$27="Loan"),N($AM150),0)+IF(OR(Settings!$B$28="Card",Settings!$B$28="Loan"),N($AN150),0)+IF(OR(Settings!$B$29="Card",Settings!$B$29="Loan"),N($AO150),0)+IF(OR(Settings!$B$30="Card",Settings!$B$30="Loan"),N($AP150),0)+IF(OR(Settings!$B$31="Card",Settings!$B$31="Loan"),N($AQ150),0)+IF(OR(Settings!$B$32="Card",Settings!$B$32="Loan"),N($AR150),0),"")</f>
        <v/>
      </c>
      <c r="FJ150">
        <f>IF($E150="open",$EB$65,IF($E150="post",IF($E149="pre",$EB$65,$FI149),""))</f>
        <v/>
      </c>
      <c r="FK150">
        <f>IF(AND($DT150=1,$DC150=1),IF(ROUND($FI150-$FJ150,2)&gt;0,1,0),0)</f>
        <v/>
      </c>
      <c r="FL150">
        <f>IF($FK150=1,$FL149+1,0)</f>
        <v/>
      </c>
    </row>
    <row r="151">
      <c r="A151">
        <f>'Month-End'!$ER$4</f>
        <v/>
      </c>
      <c r="B151">
        <f>EOMONTH($A151,0)</f>
        <v/>
      </c>
      <c r="C151">
        <f>MIN($B151,TODAY())</f>
        <v/>
      </c>
      <c r="D151">
        <f>IF($A151&gt;TODAY(),1,0)</f>
        <v/>
      </c>
      <c r="E151">
        <f>IF($B151&lt;=Settings!$B$5,"pre",IF($A151&lt;=Settings!$B$5,"open","post"))</f>
        <v/>
      </c>
      <c r="G151">
        <f>IF('Month-End'!$ER$22="",$BE151,N('Month-End'!$ER$22))</f>
        <v/>
      </c>
      <c r="H151">
        <f>IF('Month-End'!$ER$23="",$BF151,N('Month-End'!$ER$23))</f>
        <v/>
      </c>
      <c r="I151">
        <f>IF('Month-End'!$ER$24="",$BG151,N('Month-End'!$ER$24))</f>
        <v/>
      </c>
      <c r="J151">
        <f>IF('Month-End'!$ER$25="",$BH151,N('Month-End'!$ER$25))</f>
        <v/>
      </c>
      <c r="K151">
        <f>IF('Month-End'!$ER$26="",$BI151,N('Month-End'!$ER$26))</f>
        <v/>
      </c>
      <c r="L151">
        <f>IF('Month-End'!$ER$27="",$BJ151,N('Month-End'!$ER$27))</f>
        <v/>
      </c>
      <c r="M151">
        <f>IF('Month-End'!$ER$28="",$BK151,N('Month-End'!$ER$28))</f>
        <v/>
      </c>
      <c r="N151">
        <f>IF('Month-End'!$ER$29="",$BL151,N('Month-End'!$ER$29))</f>
        <v/>
      </c>
      <c r="O151">
        <f>IF('Month-End'!$ER$30="",$BM151,N('Month-End'!$ER$30))</f>
        <v/>
      </c>
      <c r="P151">
        <f>IF('Month-End'!$ER$31="",$BN151,N('Month-End'!$ER$31))</f>
        <v/>
      </c>
      <c r="Q151">
        <f>IF('Month-End'!$ER$32="",$BO151,N('Month-End'!$ER$32))</f>
        <v/>
      </c>
      <c r="R151">
        <f>IF('Month-End'!$ER$33="",$BP151,N('Month-End'!$ER$33))</f>
        <v/>
      </c>
      <c r="S151">
        <f>$G151+$H151+$I151+$J151+$K151+$L151+$M151+$N151+$O151+$P151+$Q151+$R151</f>
        <v/>
      </c>
      <c r="T151">
        <f>IF($B151&lt;Settings!$B$6,0,IF(Settings!$B$45="Yes",$G151,0)+IF(Settings!$B$46="Yes",$H151,0)+IF(Settings!$B$47="Yes",$I151,0)+IF(Settings!$B$48="Yes",$J151,0)+IF(Settings!$B$49="Yes",$K151,0)+IF(Settings!$B$50="Yes",$L151,0)+IF(Settings!$B$51="Yes",$M151,0)+IF(Settings!$B$52="Yes",$N151,0)+IF(Settings!$B$53="Yes",$O151,0)+IF(Settings!$B$54="Yes",$P151,0)+IF(Settings!$B$55="Yes",$Q151,0)+IF(Settings!$B$56="Yes",$R151,0))</f>
        <v/>
      </c>
      <c r="U151">
        <f>IF(Settings!$B$45="Not Sure",$G151,0)+IF(Settings!$B$46="Not Sure",$H151,0)+IF(Settings!$B$47="Not Sure",$I151,0)+IF(Settings!$B$48="Not Sure",$J151,0)+IF(Settings!$B$49="Not Sure",$K151,0)+IF(Settings!$B$50="Not Sure",$L151,0)+IF(Settings!$B$51="Not Sure",$M151,0)+IF(Settings!$B$52="Not Sure",$N151,0)+IF(Settings!$B$53="Not Sure",$O151,0)+IF(Settings!$B$54="Not Sure",$P151,0)+IF(Settings!$B$55="Not Sure",$Q151,0)+IF(Settings!$B$56="Not Sure",$R151,0)</f>
        <v/>
      </c>
      <c r="V151">
        <f>IF($E151="open",SUM($ET151:$FE151)+N(Settings!$B$13),0)</f>
        <v/>
      </c>
      <c r="W151">
        <f>IF($E151="post",$S151,IF($E151="open",$S151-$V151,0))</f>
        <v/>
      </c>
      <c r="X151">
        <f>SUMIFS(Giving!$B$7:$B$2006,Giving!$A$7:$A$2006,"&gt;="&amp;$A151,Giving!$A$7:$A$2006,"&lt;="&amp;$B151,Giving!$E$7:$E$2006,"&lt;&gt;No")</f>
        <v/>
      </c>
      <c r="Y151">
        <f>SUMIFS(Giving!$B$7:$B$2006,Giving!$A$7:$A$2006,"&gt;="&amp;$A151,Giving!$A$7:$A$2006,"&lt;="&amp;$B151,Giving!$E$7:$E$2006,"No")</f>
        <v/>
      </c>
      <c r="Z151">
        <f>IF(OR(Settings!$B$60="",Settings!$F$60="No"),0,Settings!$B$60*IF(AND(IF(Settings!$C$60="",$B151,DATE(YEAR($A151),MONTH($A151),MIN(Settings!$C$60,DAY($B151))))&gt;=MAX($A151,Settings!$D$60),IF(Settings!$C$60="",$B151,DATE(YEAR($A151),MONTH($A151),MIN(Settings!$C$60,DAY($B151))))&lt;=MIN($C151,IF(Settings!$E$60="",$C151,Settings!$E$60))),1,0))+IF(OR(Settings!$B$61="",Settings!$F$61="No"),0,Settings!$B$61*IF(AND(IF(Settings!$C$61="",$B151,DATE(YEAR($A151),MONTH($A151),MIN(Settings!$C$61,DAY($B151))))&gt;=MAX($A151,Settings!$D$61),IF(Settings!$C$61="",$B151,DATE(YEAR($A151),MONTH($A151),MIN(Settings!$C$61,DAY($B151))))&lt;=MIN($C151,IF(Settings!$E$61="",$C151,Settings!$E$61))),1,0))+IF(OR(Settings!$B$62="",Settings!$F$62="No"),0,Settings!$B$62*IF(AND(IF(Settings!$C$62="",$B151,DATE(YEAR($A151),MONTH($A151),MIN(Settings!$C$62,DAY($B151))))&gt;=MAX($A151,Settings!$D$62),IF(Settings!$C$62="",$B151,DATE(YEAR($A151),MONTH($A151),MIN(Settings!$C$62,DAY($B151))))&lt;=MIN($C151,IF(Settings!$E$62="",$C151,Settings!$E$62))),1,0))+IF(OR(Settings!$B$63="",Settings!$F$63="No"),0,Settings!$B$63*IF(AND(IF(Settings!$C$63="",$B151,DATE(YEAR($A151),MONTH($A151),MIN(Settings!$C$63,DAY($B151))))&gt;=MAX($A151,Settings!$D$63),IF(Settings!$C$63="",$B151,DATE(YEAR($A151),MONTH($A151),MIN(Settings!$C$63,DAY($B151))))&lt;=MIN($C151,IF(Settings!$E$63="",$C151,Settings!$E$63))),1,0))+IF(OR(Settings!$B$64="",Settings!$F$64="No"),0,Settings!$B$64*IF(AND(IF(Settings!$C$64="",$B151,DATE(YEAR($A151),MONTH($A151),MIN(Settings!$C$64,DAY($B151))))&gt;=MAX($A151,Settings!$D$64),IF(Settings!$C$64="",$B151,DATE(YEAR($A151),MONTH($A151),MIN(Settings!$C$64,DAY($B151))))&lt;=MIN($C151,IF(Settings!$E$64="",$C151,Settings!$E$64))),1,0))+IF(OR(Settings!$B$65="",Settings!$F$65="No"),0,Settings!$B$65*IF(AND(IF(Settings!$C$65="",$B151,DATE(YEAR($A151),MONTH($A151),MIN(Settings!$C$65,DAY($B151))))&gt;=MAX($A151,Settings!$D$65),IF(Settings!$C$65="",$B151,DATE(YEAR($A151),MONTH($A151),MIN(Settings!$C$65,DAY($B151))))&lt;=MIN($C151,IF(Settings!$E$65="",$C151,Settings!$E$65))),1,0))</f>
        <v/>
      </c>
      <c r="AA151">
        <f>$X151+$Z151</f>
        <v/>
      </c>
      <c r="AB151">
        <f>IF($E151="post",$AA151,IF($E151="open",SUMIFS(Giving!$B$7:$B$2006,Giving!$A$7:$A$2006,"&gt;"&amp;Settings!$B$5,Giving!$A$7:$A$2006,"&lt;="&amp;$B151,Giving!$E$7:$E$2006,"&lt;&gt;No")+IF(OR(Settings!$B$60="",Settings!$F$60="No"),0,Settings!$B$60*IF(AND(IF(Settings!$C$60="",$B151,DATE(YEAR($A151),MONTH($A151),MIN(Settings!$C$60,DAY($B151))))&gt;=MAX($A151,Settings!$D$60,Settings!$B$5+1),IF(Settings!$C$60="",$B151,DATE(YEAR($A151),MONTH($A151),MIN(Settings!$C$60,DAY($B151))))&lt;=MIN($C151,IF(Settings!$E$60="",$C151,Settings!$E$60))),1,0))+IF(OR(Settings!$B$61="",Settings!$F$61="No"),0,Settings!$B$61*IF(AND(IF(Settings!$C$61="",$B151,DATE(YEAR($A151),MONTH($A151),MIN(Settings!$C$61,DAY($B151))))&gt;=MAX($A151,Settings!$D$61,Settings!$B$5+1),IF(Settings!$C$61="",$B151,DATE(YEAR($A151),MONTH($A151),MIN(Settings!$C$61,DAY($B151))))&lt;=MIN($C151,IF(Settings!$E$61="",$C151,Settings!$E$61))),1,0))+IF(OR(Settings!$B$62="",Settings!$F$62="No"),0,Settings!$B$62*IF(AND(IF(Settings!$C$62="",$B151,DATE(YEAR($A151),MONTH($A151),MIN(Settings!$C$62,DAY($B151))))&gt;=MAX($A151,Settings!$D$62,Settings!$B$5+1),IF(Settings!$C$62="",$B151,DATE(YEAR($A151),MONTH($A151),MIN(Settings!$C$62,DAY($B151))))&lt;=MIN($C151,IF(Settings!$E$62="",$C151,Settings!$E$62))),1,0))+IF(OR(Settings!$B$63="",Settings!$F$63="No"),0,Settings!$B$63*IF(AND(IF(Settings!$C$63="",$B151,DATE(YEAR($A151),MONTH($A151),MIN(Settings!$C$63,DAY($B151))))&gt;=MAX($A151,Settings!$D$63,Settings!$B$5+1),IF(Settings!$C$63="",$B151,DATE(YEAR($A151),MONTH($A151),MIN(Settings!$C$63,DAY($B151))))&lt;=MIN($C151,IF(Settings!$E$63="",$C151,Settings!$E$63))),1,0))+IF(OR(Settings!$B$64="",Settings!$F$64="No"),0,Settings!$B$64*IF(AND(IF(Settings!$C$64="",$B151,DATE(YEAR($A151),MONTH($A151),MIN(Settings!$C$64,DAY($B151))))&gt;=MAX($A151,Settings!$D$64,Settings!$B$5+1),IF(Settings!$C$64="",$B151,DATE(YEAR($A151),MONTH($A151),MIN(Settings!$C$64,DAY($B151))))&lt;=MIN($C151,IF(Settings!$E$64="",$C151,Settings!$E$64))),1,0))+IF(OR(Settings!$B$65="",Settings!$F$65="No"),0,Settings!$B$65*IF(AND(IF(Settings!$C$65="",$B151,DATE(YEAR($A151),MONTH($A151),MIN(Settings!$C$65,DAY($B151))))&gt;=MAX($A151,Settings!$D$65,Settings!$B$5+1),IF(Settings!$C$65="",$B151,DATE(YEAR($A151),MONTH($A151),MIN(Settings!$C$65,DAY($B151))))&lt;=MIN($C151,IF(Settings!$E$65="",$C151,Settings!$E$65))),1,0)),0))</f>
        <v/>
      </c>
      <c r="AC151">
        <f>$AY151+$AZ151+$BA151+$BB151+$BC151+$BD151</f>
        <v/>
      </c>
      <c r="AD151">
        <f>$AC151</f>
        <v/>
      </c>
      <c r="AE151">
        <f>IF(OR(Settings!$A$19="",$E151="pre"),"",IF(AND('Month-End'!$ER$7&lt;&gt;"",NOT(_xlfn.ISFORMULA('Month-End'!$ER$7))),N('Month-End'!$ER$7),IF(OR($E151="open",$E150="pre"),N(Settings!$C$19),N($AE150))))</f>
        <v/>
      </c>
      <c r="AF151">
        <f>IF(OR(Settings!$A$20="",$E151="pre"),"",IF(AND('Month-End'!$ER$8&lt;&gt;"",NOT(_xlfn.ISFORMULA('Month-End'!$ER$8))),N('Month-End'!$ER$8),IF(OR($E151="open",$E150="pre"),N(Settings!$C$20),N($AF150))))</f>
        <v/>
      </c>
      <c r="AG151">
        <f>IF(OR(Settings!$A$21="",$E151="pre"),"",IF(AND('Month-End'!$ER$9&lt;&gt;"",NOT(_xlfn.ISFORMULA('Month-End'!$ER$9))),N('Month-End'!$ER$9),IF(OR($E151="open",$E150="pre"),N(Settings!$C$21),N($AG150))))</f>
        <v/>
      </c>
      <c r="AH151">
        <f>IF(OR(Settings!$A$22="",$E151="pre"),"",IF(AND('Month-End'!$ER$10&lt;&gt;"",NOT(_xlfn.ISFORMULA('Month-End'!$ER$10))),N('Month-End'!$ER$10),IF(OR($E151="open",$E150="pre"),N(Settings!$C$22),N($AH150))))</f>
        <v/>
      </c>
      <c r="AI151">
        <f>IF(OR(Settings!$A$23="",$E151="pre"),"",IF(AND('Month-End'!$ER$11&lt;&gt;"",NOT(_xlfn.ISFORMULA('Month-End'!$ER$11))),N('Month-End'!$ER$11),IF(OR($E151="open",$E150="pre"),N(Settings!$C$23),N($AI150))))</f>
        <v/>
      </c>
      <c r="AJ151">
        <f>IF(OR(Settings!$A$24="",$E151="pre"),"",IF(AND('Month-End'!$ER$12&lt;&gt;"",NOT(_xlfn.ISFORMULA('Month-End'!$ER$12))),N('Month-End'!$ER$12),IF(OR($E151="open",$E150="pre"),N(Settings!$C$24),N($AJ150))))</f>
        <v/>
      </c>
      <c r="AK151">
        <f>IF(OR(Settings!$A$25="",$E151="pre"),"",IF(AND('Month-End'!$ER$13&lt;&gt;"",NOT(_xlfn.ISFORMULA('Month-End'!$ER$13))),N('Month-End'!$ER$13),IF(OR($E151="open",$E150="pre"),N(Settings!$C$25),N($AK150))))</f>
        <v/>
      </c>
      <c r="AL151">
        <f>IF(OR(Settings!$A$26="",$E151="pre"),"",IF(AND('Month-End'!$ER$14&lt;&gt;"",NOT(_xlfn.ISFORMULA('Month-End'!$ER$14))),N('Month-End'!$ER$14),IF(OR($E151="open",$E150="pre"),N(Settings!$C$26),N($AL150))))</f>
        <v/>
      </c>
      <c r="AM151">
        <f>IF(OR(Settings!$A$27="",$E151="pre"),"",IF(AND('Month-End'!$ER$15&lt;&gt;"",NOT(_xlfn.ISFORMULA('Month-End'!$ER$15))),N('Month-End'!$ER$15),IF(OR($E151="open",$E150="pre"),N(Settings!$C$27),N($AM150))))</f>
        <v/>
      </c>
      <c r="AN151">
        <f>IF(OR(Settings!$A$28="",$E151="pre"),"",IF(AND('Month-End'!$ER$16&lt;&gt;"",NOT(_xlfn.ISFORMULA('Month-End'!$ER$16))),N('Month-End'!$ER$16),IF(OR($E151="open",$E150="pre"),N(Settings!$C$28),N($AN150))))</f>
        <v/>
      </c>
      <c r="AO151">
        <f>IF(OR(Settings!$A$29="",$E151="pre"),"",IF(AND('Month-End'!$ER$17&lt;&gt;"",NOT(_xlfn.ISFORMULA('Month-End'!$ER$17))),N('Month-End'!$ER$17),IF(OR($E151="open",$E150="pre"),N(Settings!$C$29),N($AO150))))</f>
        <v/>
      </c>
      <c r="AP151">
        <f>IF(OR(Settings!$A$30="",$E151="pre"),"",IF(AND('Month-End'!$ER$18&lt;&gt;"",NOT(_xlfn.ISFORMULA('Month-End'!$ER$18))),N('Month-End'!$ER$18),IF(OR($E151="open",$E150="pre"),N(Settings!$C$30),N($AP150))))</f>
        <v/>
      </c>
      <c r="AQ151">
        <f>IF(OR(Settings!$A$31="",$E151="pre"),"",IF(AND('Month-End'!$ER$19&lt;&gt;"",NOT(_xlfn.ISFORMULA('Month-End'!$ER$19))),N('Month-End'!$ER$19),IF(OR($E151="open",$E150="pre"),N(Settings!$C$31),N($AQ150))))</f>
        <v/>
      </c>
      <c r="AR151">
        <f>IF(OR(Settings!$A$32="",$E151="pre"),"",IF(AND('Month-End'!$ER$20&lt;&gt;"",NOT(_xlfn.ISFORMULA('Month-End'!$ER$20))),N('Month-End'!$ER$20),IF(OR($E151="open",$E150="pre"),N(Settings!$C$32),N($AR150))))</f>
        <v/>
      </c>
      <c r="AS151">
        <f>IF(OR(Settings!$A$36="",$E151="pre"),"",IF(AND('Month-End'!$ER$38&lt;&gt;"",NOT(_xlfn.ISFORMULA('Month-End'!$ER$38))),N('Month-End'!$ER$38),IF(OR($E151="open",$E150="pre"),N(Settings!$C$36),N($AS150))+$AY151))</f>
        <v/>
      </c>
      <c r="AT151">
        <f>IF(OR(Settings!$A$37="",$E151="pre"),"",IF(AND('Month-End'!$ER$39&lt;&gt;"",NOT(_xlfn.ISFORMULA('Month-End'!$ER$39))),N('Month-End'!$ER$39),IF(OR($E151="open",$E150="pre"),N(Settings!$C$37),N($AT150))+$AZ151))</f>
        <v/>
      </c>
      <c r="AU151">
        <f>IF(OR(Settings!$A$38="",$E151="pre"),"",IF(AND('Month-End'!$ER$40&lt;&gt;"",NOT(_xlfn.ISFORMULA('Month-End'!$ER$40))),N('Month-End'!$ER$40),IF(OR($E151="open",$E150="pre"),N(Settings!$C$38),N($AU150))+$BA151))</f>
        <v/>
      </c>
      <c r="AV151">
        <f>IF(OR(Settings!$A$39="",$E151="pre"),"",IF(AND('Month-End'!$ER$41&lt;&gt;"",NOT(_xlfn.ISFORMULA('Month-End'!$ER$41))),N('Month-End'!$ER$41),IF(OR($E151="open",$E150="pre"),N(Settings!$C$39),N($AV150))+$BB151))</f>
        <v/>
      </c>
      <c r="AW151">
        <f>IF(OR(Settings!$A$40="",$E151="pre"),"",IF(AND('Month-End'!$ER$42&lt;&gt;"",NOT(_xlfn.ISFORMULA('Month-End'!$ER$42))),N('Month-End'!$ER$42),IF(OR($E151="open",$E150="pre"),N(Settings!$C$40),N($AW150))+$BC151))</f>
        <v/>
      </c>
      <c r="AX151">
        <f>IF(OR(Settings!$A$41="",$E151="pre"),"",IF(AND('Month-End'!$ER$43&lt;&gt;"",NOT(_xlfn.ISFORMULA('Month-End'!$ER$43))),N('Month-End'!$ER$43),IF(OR($E151="open",$E150="pre"),N(Settings!$C$41),N($AX150))+$BD151))</f>
        <v/>
      </c>
      <c r="AY151">
        <f>IF($E151="pre",0,N('Month-End'!$ER$45))</f>
        <v/>
      </c>
      <c r="AZ151">
        <f>IF($E151="pre",0,N('Month-End'!$ER$46))</f>
        <v/>
      </c>
      <c r="BA151">
        <f>IF($E151="pre",0,N('Month-End'!$ER$47))</f>
        <v/>
      </c>
      <c r="BB151">
        <f>IF($E151="pre",0,N('Month-End'!$ER$48))</f>
        <v/>
      </c>
      <c r="BC151">
        <f>IF($E151="pre",0,N('Month-End'!$ER$49))</f>
        <v/>
      </c>
      <c r="BD151">
        <f>IF($E151="pre",0,N('Month-End'!$ER$50))</f>
        <v/>
      </c>
      <c r="BE151">
        <f>IF(OR(Settings!$C$45="",Settings!$D$45=""),0,Settings!$C$45*IF(Settings!$D$45="Weekly",IF(IFERROR(MATCH(Settings!$E$45,$EO$4:$EO$10,0),0)=0,0,IF(MIN($C151,IF(Settings!$G$45="",$C151,Settings!$G$45))&lt;MAX($A151,Settings!$F$45),0,INT((MIN($C151,IF(Settings!$G$45="",$C151,Settings!$G$45))-MAX($A151,Settings!$F$45)-MOD(IFERROR(MATCH(Settings!$E$45,$EO$4:$EO$10,0),0)-WEEKDAY(MAX($A151,Settings!$F$45)),7))/7)+1)),IF(AND(IF(Settings!$E$45="",$B151,DATE(YEAR($A151),MONTH($A151),MIN(Settings!$E$45,DAY($B151))))&gt;=MAX($A151,Settings!$F$45),IF(Settings!$E$45="",$B151,DATE(YEAR($A151),MONTH($A151),MIN(Settings!$E$45,DAY($B151))))&lt;=MIN($C151,IF(Settings!$G$45="",$C151,Settings!$G$45))),1,0)))</f>
        <v/>
      </c>
      <c r="BF151">
        <f>IF(OR(Settings!$C$46="",Settings!$D$46=""),0,Settings!$C$46*IF(Settings!$D$46="Weekly",IF(IFERROR(MATCH(Settings!$E$46,$EO$4:$EO$10,0),0)=0,0,IF(MIN($C151,IF(Settings!$G$46="",$C151,Settings!$G$46))&lt;MAX($A151,Settings!$F$46),0,INT((MIN($C151,IF(Settings!$G$46="",$C151,Settings!$G$46))-MAX($A151,Settings!$F$46)-MOD(IFERROR(MATCH(Settings!$E$46,$EO$4:$EO$10,0),0)-WEEKDAY(MAX($A151,Settings!$F$46)),7))/7)+1)),IF(AND(IF(Settings!$E$46="",$B151,DATE(YEAR($A151),MONTH($A151),MIN(Settings!$E$46,DAY($B151))))&gt;=MAX($A151,Settings!$F$46),IF(Settings!$E$46="",$B151,DATE(YEAR($A151),MONTH($A151),MIN(Settings!$E$46,DAY($B151))))&lt;=MIN($C151,IF(Settings!$G$46="",$C151,Settings!$G$46))),1,0)))</f>
        <v/>
      </c>
      <c r="BG151">
        <f>IF(OR(Settings!$C$47="",Settings!$D$47=""),0,Settings!$C$47*IF(Settings!$D$47="Weekly",IF(IFERROR(MATCH(Settings!$E$47,$EO$4:$EO$10,0),0)=0,0,IF(MIN($C151,IF(Settings!$G$47="",$C151,Settings!$G$47))&lt;MAX($A151,Settings!$F$47),0,INT((MIN($C151,IF(Settings!$G$47="",$C151,Settings!$G$47))-MAX($A151,Settings!$F$47)-MOD(IFERROR(MATCH(Settings!$E$47,$EO$4:$EO$10,0),0)-WEEKDAY(MAX($A151,Settings!$F$47)),7))/7)+1)),IF(AND(IF(Settings!$E$47="",$B151,DATE(YEAR($A151),MONTH($A151),MIN(Settings!$E$47,DAY($B151))))&gt;=MAX($A151,Settings!$F$47),IF(Settings!$E$47="",$B151,DATE(YEAR($A151),MONTH($A151),MIN(Settings!$E$47,DAY($B151))))&lt;=MIN($C151,IF(Settings!$G$47="",$C151,Settings!$G$47))),1,0)))</f>
        <v/>
      </c>
      <c r="BH151">
        <f>IF(OR(Settings!$C$48="",Settings!$D$48=""),0,Settings!$C$48*IF(Settings!$D$48="Weekly",IF(IFERROR(MATCH(Settings!$E$48,$EO$4:$EO$10,0),0)=0,0,IF(MIN($C151,IF(Settings!$G$48="",$C151,Settings!$G$48))&lt;MAX($A151,Settings!$F$48),0,INT((MIN($C151,IF(Settings!$G$48="",$C151,Settings!$G$48))-MAX($A151,Settings!$F$48)-MOD(IFERROR(MATCH(Settings!$E$48,$EO$4:$EO$10,0),0)-WEEKDAY(MAX($A151,Settings!$F$48)),7))/7)+1)),IF(AND(IF(Settings!$E$48="",$B151,DATE(YEAR($A151),MONTH($A151),MIN(Settings!$E$48,DAY($B151))))&gt;=MAX($A151,Settings!$F$48),IF(Settings!$E$48="",$B151,DATE(YEAR($A151),MONTH($A151),MIN(Settings!$E$48,DAY($B151))))&lt;=MIN($C151,IF(Settings!$G$48="",$C151,Settings!$G$48))),1,0)))</f>
        <v/>
      </c>
      <c r="BI151">
        <f>IF(OR(Settings!$C$49="",Settings!$D$49=""),0,Settings!$C$49*IF(Settings!$D$49="Weekly",IF(IFERROR(MATCH(Settings!$E$49,$EO$4:$EO$10,0),0)=0,0,IF(MIN($C151,IF(Settings!$G$49="",$C151,Settings!$G$49))&lt;MAX($A151,Settings!$F$49),0,INT((MIN($C151,IF(Settings!$G$49="",$C151,Settings!$G$49))-MAX($A151,Settings!$F$49)-MOD(IFERROR(MATCH(Settings!$E$49,$EO$4:$EO$10,0),0)-WEEKDAY(MAX($A151,Settings!$F$49)),7))/7)+1)),IF(AND(IF(Settings!$E$49="",$B151,DATE(YEAR($A151),MONTH($A151),MIN(Settings!$E$49,DAY($B151))))&gt;=MAX($A151,Settings!$F$49),IF(Settings!$E$49="",$B151,DATE(YEAR($A151),MONTH($A151),MIN(Settings!$E$49,DAY($B151))))&lt;=MIN($C151,IF(Settings!$G$49="",$C151,Settings!$G$49))),1,0)))</f>
        <v/>
      </c>
      <c r="BJ151">
        <f>IF(OR(Settings!$C$50="",Settings!$D$50=""),0,Settings!$C$50*IF(Settings!$D$50="Weekly",IF(IFERROR(MATCH(Settings!$E$50,$EO$4:$EO$10,0),0)=0,0,IF(MIN($C151,IF(Settings!$G$50="",$C151,Settings!$G$50))&lt;MAX($A151,Settings!$F$50),0,INT((MIN($C151,IF(Settings!$G$50="",$C151,Settings!$G$50))-MAX($A151,Settings!$F$50)-MOD(IFERROR(MATCH(Settings!$E$50,$EO$4:$EO$10,0),0)-WEEKDAY(MAX($A151,Settings!$F$50)),7))/7)+1)),IF(AND(IF(Settings!$E$50="",$B151,DATE(YEAR($A151),MONTH($A151),MIN(Settings!$E$50,DAY($B151))))&gt;=MAX($A151,Settings!$F$50),IF(Settings!$E$50="",$B151,DATE(YEAR($A151),MONTH($A151),MIN(Settings!$E$50,DAY($B151))))&lt;=MIN($C151,IF(Settings!$G$50="",$C151,Settings!$G$50))),1,0)))</f>
        <v/>
      </c>
      <c r="BK151">
        <f>IF(OR(Settings!$C$51="",Settings!$D$51=""),0,Settings!$C$51*IF(Settings!$D$51="Weekly",IF(IFERROR(MATCH(Settings!$E$51,$EO$4:$EO$10,0),0)=0,0,IF(MIN($C151,IF(Settings!$G$51="",$C151,Settings!$G$51))&lt;MAX($A151,Settings!$F$51),0,INT((MIN($C151,IF(Settings!$G$51="",$C151,Settings!$G$51))-MAX($A151,Settings!$F$51)-MOD(IFERROR(MATCH(Settings!$E$51,$EO$4:$EO$10,0),0)-WEEKDAY(MAX($A151,Settings!$F$51)),7))/7)+1)),IF(AND(IF(Settings!$E$51="",$B151,DATE(YEAR($A151),MONTH($A151),MIN(Settings!$E$51,DAY($B151))))&gt;=MAX($A151,Settings!$F$51),IF(Settings!$E$51="",$B151,DATE(YEAR($A151),MONTH($A151),MIN(Settings!$E$51,DAY($B151))))&lt;=MIN($C151,IF(Settings!$G$51="",$C151,Settings!$G$51))),1,0)))</f>
        <v/>
      </c>
      <c r="BL151">
        <f>IF(OR(Settings!$C$52="",Settings!$D$52=""),0,Settings!$C$52*IF(Settings!$D$52="Weekly",IF(IFERROR(MATCH(Settings!$E$52,$EO$4:$EO$10,0),0)=0,0,IF(MIN($C151,IF(Settings!$G$52="",$C151,Settings!$G$52))&lt;MAX($A151,Settings!$F$52),0,INT((MIN($C151,IF(Settings!$G$52="",$C151,Settings!$G$52))-MAX($A151,Settings!$F$52)-MOD(IFERROR(MATCH(Settings!$E$52,$EO$4:$EO$10,0),0)-WEEKDAY(MAX($A151,Settings!$F$52)),7))/7)+1)),IF(AND(IF(Settings!$E$52="",$B151,DATE(YEAR($A151),MONTH($A151),MIN(Settings!$E$52,DAY($B151))))&gt;=MAX($A151,Settings!$F$52),IF(Settings!$E$52="",$B151,DATE(YEAR($A151),MONTH($A151),MIN(Settings!$E$52,DAY($B151))))&lt;=MIN($C151,IF(Settings!$G$52="",$C151,Settings!$G$52))),1,0)))</f>
        <v/>
      </c>
      <c r="BM151">
        <f>IF(OR(Settings!$C$53="",Settings!$D$53=""),0,Settings!$C$53*IF(Settings!$D$53="Weekly",IF(IFERROR(MATCH(Settings!$E$53,$EO$4:$EO$10,0),0)=0,0,IF(MIN($C151,IF(Settings!$G$53="",$C151,Settings!$G$53))&lt;MAX($A151,Settings!$F$53),0,INT((MIN($C151,IF(Settings!$G$53="",$C151,Settings!$G$53))-MAX($A151,Settings!$F$53)-MOD(IFERROR(MATCH(Settings!$E$53,$EO$4:$EO$10,0),0)-WEEKDAY(MAX($A151,Settings!$F$53)),7))/7)+1)),IF(AND(IF(Settings!$E$53="",$B151,DATE(YEAR($A151),MONTH($A151),MIN(Settings!$E$53,DAY($B151))))&gt;=MAX($A151,Settings!$F$53),IF(Settings!$E$53="",$B151,DATE(YEAR($A151),MONTH($A151),MIN(Settings!$E$53,DAY($B151))))&lt;=MIN($C151,IF(Settings!$G$53="",$C151,Settings!$G$53))),1,0)))</f>
        <v/>
      </c>
      <c r="BN151">
        <f>IF(OR(Settings!$C$54="",Settings!$D$54=""),0,Settings!$C$54*IF(Settings!$D$54="Weekly",IF(IFERROR(MATCH(Settings!$E$54,$EO$4:$EO$10,0),0)=0,0,IF(MIN($C151,IF(Settings!$G$54="",$C151,Settings!$G$54))&lt;MAX($A151,Settings!$F$54),0,INT((MIN($C151,IF(Settings!$G$54="",$C151,Settings!$G$54))-MAX($A151,Settings!$F$54)-MOD(IFERROR(MATCH(Settings!$E$54,$EO$4:$EO$10,0),0)-WEEKDAY(MAX($A151,Settings!$F$54)),7))/7)+1)),IF(AND(IF(Settings!$E$54="",$B151,DATE(YEAR($A151),MONTH($A151),MIN(Settings!$E$54,DAY($B151))))&gt;=MAX($A151,Settings!$F$54),IF(Settings!$E$54="",$B151,DATE(YEAR($A151),MONTH($A151),MIN(Settings!$E$54,DAY($B151))))&lt;=MIN($C151,IF(Settings!$G$54="",$C151,Settings!$G$54))),1,0)))</f>
        <v/>
      </c>
      <c r="BO151">
        <f>IF(OR(Settings!$C$55="",Settings!$D$55=""),0,Settings!$C$55*IF(Settings!$D$55="Weekly",IF(IFERROR(MATCH(Settings!$E$55,$EO$4:$EO$10,0),0)=0,0,IF(MIN($C151,IF(Settings!$G$55="",$C151,Settings!$G$55))&lt;MAX($A151,Settings!$F$55),0,INT((MIN($C151,IF(Settings!$G$55="",$C151,Settings!$G$55))-MAX($A151,Settings!$F$55)-MOD(IFERROR(MATCH(Settings!$E$55,$EO$4:$EO$10,0),0)-WEEKDAY(MAX($A151,Settings!$F$55)),7))/7)+1)),IF(AND(IF(Settings!$E$55="",$B151,DATE(YEAR($A151),MONTH($A151),MIN(Settings!$E$55,DAY($B151))))&gt;=MAX($A151,Settings!$F$55),IF(Settings!$E$55="",$B151,DATE(YEAR($A151),MONTH($A151),MIN(Settings!$E$55,DAY($B151))))&lt;=MIN($C151,IF(Settings!$G$55="",$C151,Settings!$G$55))),1,0)))</f>
        <v/>
      </c>
      <c r="BP151">
        <f>IF(OR(Settings!$C$56="",Settings!$D$56=""),0,Settings!$C$56*IF(Settings!$D$56="Weekly",IF(IFERROR(MATCH(Settings!$E$56,$EO$4:$EO$10,0),0)=0,0,IF(MIN($C151,IF(Settings!$G$56="",$C151,Settings!$G$56))&lt;MAX($A151,Settings!$F$56),0,INT((MIN($C151,IF(Settings!$G$56="",$C151,Settings!$G$56))-MAX($A151,Settings!$F$56)-MOD(IFERROR(MATCH(Settings!$E$56,$EO$4:$EO$10,0),0)-WEEKDAY(MAX($A151,Settings!$F$56)),7))/7)+1)),IF(AND(IF(Settings!$E$56="",$B151,DATE(YEAR($A151),MONTH($A151),MIN(Settings!$E$56,DAY($B151))))&gt;=MAX($A151,Settings!$F$56),IF(Settings!$E$56="",$B151,DATE(YEAR($A151),MONTH($A151),MIN(Settings!$E$56,DAY($B151))))&lt;=MIN($C151,IF(Settings!$G$56="",$C151,Settings!$G$56))),1,0)))</f>
        <v/>
      </c>
      <c r="BQ151">
        <f>IF(OR(Settings!$B$14="",$D151=1,$E151="pre",$A151&lt;IF(Settings!$B$15="",0,Settings!$B$15)),0,Settings!$B$14)</f>
        <v/>
      </c>
      <c r="BR151">
        <f>IF(AND('Month-End'!$ER$7&lt;&gt;"",NOT(_xlfn.ISFORMULA('Month-End'!$ER$7))),1,0)</f>
        <v/>
      </c>
      <c r="BS151">
        <f>IF(AND('Month-End'!$ER$8&lt;&gt;"",NOT(_xlfn.ISFORMULA('Month-End'!$ER$8))),1,0)</f>
        <v/>
      </c>
      <c r="BT151">
        <f>IF(AND('Month-End'!$ER$9&lt;&gt;"",NOT(_xlfn.ISFORMULA('Month-End'!$ER$9))),1,0)</f>
        <v/>
      </c>
      <c r="BU151">
        <f>IF(AND('Month-End'!$ER$10&lt;&gt;"",NOT(_xlfn.ISFORMULA('Month-End'!$ER$10))),1,0)</f>
        <v/>
      </c>
      <c r="BV151">
        <f>IF(AND('Month-End'!$ER$11&lt;&gt;"",NOT(_xlfn.ISFORMULA('Month-End'!$ER$11))),1,0)</f>
        <v/>
      </c>
      <c r="BW151">
        <f>IF(AND('Month-End'!$ER$12&lt;&gt;"",NOT(_xlfn.ISFORMULA('Month-End'!$ER$12))),1,0)</f>
        <v/>
      </c>
      <c r="BX151">
        <f>IF(AND('Month-End'!$ER$13&lt;&gt;"",NOT(_xlfn.ISFORMULA('Month-End'!$ER$13))),1,0)</f>
        <v/>
      </c>
      <c r="BY151">
        <f>IF(AND('Month-End'!$ER$14&lt;&gt;"",NOT(_xlfn.ISFORMULA('Month-End'!$ER$14))),1,0)</f>
        <v/>
      </c>
      <c r="BZ151">
        <f>IF(AND('Month-End'!$ER$15&lt;&gt;"",NOT(_xlfn.ISFORMULA('Month-End'!$ER$15))),1,0)</f>
        <v/>
      </c>
      <c r="CA151">
        <f>IF(AND('Month-End'!$ER$16&lt;&gt;"",NOT(_xlfn.ISFORMULA('Month-End'!$ER$16))),1,0)</f>
        <v/>
      </c>
      <c r="CB151">
        <f>IF(AND('Month-End'!$ER$17&lt;&gt;"",NOT(_xlfn.ISFORMULA('Month-End'!$ER$17))),1,0)</f>
        <v/>
      </c>
      <c r="CC151">
        <f>IF(AND('Month-End'!$ER$18&lt;&gt;"",NOT(_xlfn.ISFORMULA('Month-End'!$ER$18))),1,0)</f>
        <v/>
      </c>
      <c r="CD151">
        <f>IF(AND('Month-End'!$ER$19&lt;&gt;"",NOT(_xlfn.ISFORMULA('Month-End'!$ER$19))),1,0)</f>
        <v/>
      </c>
      <c r="CE151">
        <f>IF(AND('Month-End'!$ER$20&lt;&gt;"",NOT(_xlfn.ISFORMULA('Month-End'!$ER$20))),1,0)</f>
        <v/>
      </c>
      <c r="CF151">
        <f>IF(AND('Month-End'!$ER$38&lt;&gt;"",NOT(_xlfn.ISFORMULA('Month-End'!$ER$38))),1,0)</f>
        <v/>
      </c>
      <c r="CG151">
        <f>IF(AND('Month-End'!$ER$39&lt;&gt;"",NOT(_xlfn.ISFORMULA('Month-End'!$ER$39))),1,0)</f>
        <v/>
      </c>
      <c r="CH151">
        <f>IF(AND('Month-End'!$ER$40&lt;&gt;"",NOT(_xlfn.ISFORMULA('Month-End'!$ER$40))),1,0)</f>
        <v/>
      </c>
      <c r="CI151">
        <f>IF(AND('Month-End'!$ER$41&lt;&gt;"",NOT(_xlfn.ISFORMULA('Month-End'!$ER$41))),1,0)</f>
        <v/>
      </c>
      <c r="CJ151">
        <f>IF(AND('Month-End'!$ER$42&lt;&gt;"",NOT(_xlfn.ISFORMULA('Month-End'!$ER$42))),1,0)</f>
        <v/>
      </c>
      <c r="CK151">
        <f>IF(AND('Month-End'!$ER$43&lt;&gt;"",NOT(_xlfn.ISFORMULA('Month-End'!$ER$43))),1,0)</f>
        <v/>
      </c>
      <c r="CL151">
        <f>SUM($CM151:$CZ151)</f>
        <v/>
      </c>
      <c r="CM151">
        <f>IF(AND($E151&lt;&gt;"pre",AND(Settings!$A$19&lt;&gt;"",Settings!$E$19&lt;&gt;"No"),Settings!$F$19="Yes",NOT(AND('Month-End'!$ER$7&lt;&gt;"",NOT(_xlfn.ISFORMULA('Month-End'!$ER$7))))),1,0)</f>
        <v/>
      </c>
      <c r="CN151">
        <f>IF(AND($E151&lt;&gt;"pre",AND(Settings!$A$20&lt;&gt;"",Settings!$E$20&lt;&gt;"No"),Settings!$F$20="Yes",NOT(AND('Month-End'!$ER$8&lt;&gt;"",NOT(_xlfn.ISFORMULA('Month-End'!$ER$8))))),1,0)</f>
        <v/>
      </c>
      <c r="CO151">
        <f>IF(AND($E151&lt;&gt;"pre",AND(Settings!$A$21&lt;&gt;"",Settings!$E$21&lt;&gt;"No"),Settings!$F$21="Yes",NOT(AND('Month-End'!$ER$9&lt;&gt;"",NOT(_xlfn.ISFORMULA('Month-End'!$ER$9))))),1,0)</f>
        <v/>
      </c>
      <c r="CP151">
        <f>IF(AND($E151&lt;&gt;"pre",AND(Settings!$A$22&lt;&gt;"",Settings!$E$22&lt;&gt;"No"),Settings!$F$22="Yes",NOT(AND('Month-End'!$ER$10&lt;&gt;"",NOT(_xlfn.ISFORMULA('Month-End'!$ER$10))))),1,0)</f>
        <v/>
      </c>
      <c r="CQ151">
        <f>IF(AND($E151&lt;&gt;"pre",AND(Settings!$A$23&lt;&gt;"",Settings!$E$23&lt;&gt;"No"),Settings!$F$23="Yes",NOT(AND('Month-End'!$ER$11&lt;&gt;"",NOT(_xlfn.ISFORMULA('Month-End'!$ER$11))))),1,0)</f>
        <v/>
      </c>
      <c r="CR151">
        <f>IF(AND($E151&lt;&gt;"pre",AND(Settings!$A$24&lt;&gt;"",Settings!$E$24&lt;&gt;"No"),Settings!$F$24="Yes",NOT(AND('Month-End'!$ER$12&lt;&gt;"",NOT(_xlfn.ISFORMULA('Month-End'!$ER$12))))),1,0)</f>
        <v/>
      </c>
      <c r="CS151">
        <f>IF(AND($E151&lt;&gt;"pre",AND(Settings!$A$25&lt;&gt;"",Settings!$E$25&lt;&gt;"No"),Settings!$F$25="Yes",NOT(AND('Month-End'!$ER$13&lt;&gt;"",NOT(_xlfn.ISFORMULA('Month-End'!$ER$13))))),1,0)</f>
        <v/>
      </c>
      <c r="CT151">
        <f>IF(AND($E151&lt;&gt;"pre",AND(Settings!$A$26&lt;&gt;"",Settings!$E$26&lt;&gt;"No"),Settings!$F$26="Yes",NOT(AND('Month-End'!$ER$14&lt;&gt;"",NOT(_xlfn.ISFORMULA('Month-End'!$ER$14))))),1,0)</f>
        <v/>
      </c>
      <c r="CU151">
        <f>IF(AND($E151&lt;&gt;"pre",AND(Settings!$A$27&lt;&gt;"",Settings!$E$27&lt;&gt;"No"),Settings!$F$27="Yes",NOT(AND('Month-End'!$ER$15&lt;&gt;"",NOT(_xlfn.ISFORMULA('Month-End'!$ER$15))))),1,0)</f>
        <v/>
      </c>
      <c r="CV151">
        <f>IF(AND($E151&lt;&gt;"pre",AND(Settings!$A$28&lt;&gt;"",Settings!$E$28&lt;&gt;"No"),Settings!$F$28="Yes",NOT(AND('Month-End'!$ER$16&lt;&gt;"",NOT(_xlfn.ISFORMULA('Month-End'!$ER$16))))),1,0)</f>
        <v/>
      </c>
      <c r="CW151">
        <f>IF(AND($E151&lt;&gt;"pre",AND(Settings!$A$29&lt;&gt;"",Settings!$E$29&lt;&gt;"No"),Settings!$F$29="Yes",NOT(AND('Month-End'!$ER$17&lt;&gt;"",NOT(_xlfn.ISFORMULA('Month-End'!$ER$17))))),1,0)</f>
        <v/>
      </c>
      <c r="CX151">
        <f>IF(AND($E151&lt;&gt;"pre",AND(Settings!$A$30&lt;&gt;"",Settings!$E$30&lt;&gt;"No"),Settings!$F$30="Yes",NOT(AND('Month-End'!$ER$18&lt;&gt;"",NOT(_xlfn.ISFORMULA('Month-End'!$ER$18))))),1,0)</f>
        <v/>
      </c>
      <c r="CY151">
        <f>IF(AND($E151&lt;&gt;"pre",AND(Settings!$A$31&lt;&gt;"",Settings!$E$31&lt;&gt;"No"),Settings!$F$31="Yes",NOT(AND('Month-End'!$ER$19&lt;&gt;"",NOT(_xlfn.ISFORMULA('Month-End'!$ER$19))))),1,0)</f>
        <v/>
      </c>
      <c r="CZ151">
        <f>IF(AND($E151&lt;&gt;"pre",AND(Settings!$A$32&lt;&gt;"",Settings!$E$32&lt;&gt;"No"),Settings!$F$32="Yes",NOT(AND('Month-End'!$ER$20&lt;&gt;"",NOT(_xlfn.ISFORMULA('Month-End'!$ER$20))))),1,0)</f>
        <v/>
      </c>
      <c r="DA151">
        <f>IF($DT151=1,IF(OR(Settings!$B$19="Checking",Settings!$B$19="Savings",Settings!$B$19="Cash"),N($AE151),IF(OR(Settings!$B$19="Card",Settings!$B$19="Loan"),-N($AE151),0))+IF(OR(Settings!$B$20="Checking",Settings!$B$20="Savings",Settings!$B$20="Cash"),N($AF151),IF(OR(Settings!$B$20="Card",Settings!$B$20="Loan"),-N($AF151),0))+IF(OR(Settings!$B$21="Checking",Settings!$B$21="Savings",Settings!$B$21="Cash"),N($AG151),IF(OR(Settings!$B$21="Card",Settings!$B$21="Loan"),-N($AG151),0))+IF(OR(Settings!$B$22="Checking",Settings!$B$22="Savings",Settings!$B$22="Cash"),N($AH151),IF(OR(Settings!$B$22="Card",Settings!$B$22="Loan"),-N($AH151),0))+IF(OR(Settings!$B$23="Checking",Settings!$B$23="Savings",Settings!$B$23="Cash"),N($AI151),IF(OR(Settings!$B$23="Card",Settings!$B$23="Loan"),-N($AI151),0))+IF(OR(Settings!$B$24="Checking",Settings!$B$24="Savings",Settings!$B$24="Cash"),N($AJ151),IF(OR(Settings!$B$24="Card",Settings!$B$24="Loan"),-N($AJ151),0))+IF(OR(Settings!$B$25="Checking",Settings!$B$25="Savings",Settings!$B$25="Cash"),N($AK151),IF(OR(Settings!$B$25="Card",Settings!$B$25="Loan"),-N($AK151),0))+IF(OR(Settings!$B$26="Checking",Settings!$B$26="Savings",Settings!$B$26="Cash"),N($AL151),IF(OR(Settings!$B$26="Card",Settings!$B$26="Loan"),-N($AL151),0))+IF(OR(Settings!$B$27="Checking",Settings!$B$27="Savings",Settings!$B$27="Cash"),N($AM151),IF(OR(Settings!$B$27="Card",Settings!$B$27="Loan"),-N($AM151),0))+IF(OR(Settings!$B$28="Checking",Settings!$B$28="Savings",Settings!$B$28="Cash"),N($AN151),IF(OR(Settings!$B$28="Card",Settings!$B$28="Loan"),-N($AN151),0))+IF(OR(Settings!$B$29="Checking",Settings!$B$29="Savings",Settings!$B$29="Cash"),N($AO151),IF(OR(Settings!$B$29="Card",Settings!$B$29="Loan"),-N($AO151),0))+IF(OR(Settings!$B$30="Checking",Settings!$B$30="Savings",Settings!$B$30="Cash"),N($AP151),IF(OR(Settings!$B$30="Card",Settings!$B$30="Loan"),-N($AP151),0))+IF(OR(Settings!$B$31="Checking",Settings!$B$31="Savings",Settings!$B$31="Cash"),N($AQ151),IF(OR(Settings!$B$31="Card",Settings!$B$31="Loan"),-N($AQ151),0))+IF(OR(Settings!$B$32="Checking",Settings!$B$32="Savings",Settings!$B$32="Cash"),N($AR151),IF(OR(Settings!$B$32="Card",Settings!$B$32="Loan"),-N($AR151),0)),"")</f>
        <v/>
      </c>
      <c r="DB151">
        <f>IF($E151="open",$EB$27,IF($E151="post",IF($E150="pre",$EB$27,$DA150),""))</f>
        <v/>
      </c>
      <c r="DC151">
        <f>IF($E151="open",1,IF($E151="post",IF($E150="pre",1,$DT150),0))</f>
        <v/>
      </c>
      <c r="DD151">
        <f>IF(AND($DT151=1,$DC151=1),ROUND($W151-($DA151-$DB151)-$AD151-$AB151,2),"")</f>
        <v/>
      </c>
      <c r="DE151">
        <f>IF('Month-End'!$ER$35="",$BQ151,N('Month-End'!$ER$35))</f>
        <v/>
      </c>
      <c r="DF151">
        <f>N('Month-End'!$ER$36)</f>
        <v/>
      </c>
      <c r="DG151">
        <f>IF($DD151="","",$DD151+$DE151)</f>
        <v/>
      </c>
      <c r="DH151">
        <f>IF($DG151="","",$DG151-$DF151)</f>
        <v/>
      </c>
      <c r="DI151">
        <f>IF(OR($E151="pre",$D151=1),"",N($AS151)+N($AT151)+N($AU151)+N($AV151)+N($AW151)+N($AX151))</f>
        <v/>
      </c>
      <c r="DJ151">
        <f>IF($DT151=1,$DA151+N($DI151),"")</f>
        <v/>
      </c>
      <c r="DK151">
        <f>IF($DD151="","",$W151-$DD151-$AB151)</f>
        <v/>
      </c>
      <c r="DL151">
        <f>IF(AND($E151="post",$DD151&lt;&gt;"",$B151&lt;TODAY()),1,0)</f>
        <v/>
      </c>
      <c r="DM151">
        <f>IF($DL151=1,COUNTIF($DL151:$DL$183,1),0)</f>
        <v/>
      </c>
      <c r="DN151">
        <f>IF($D151=1,"",IF($E151="pre","History only",IF($DT151=1,IF($DD151="","⚠ Previous month missing",IF($DD151&lt;0,"⚠ Check: spending &lt; 0",IF($E151="open","✓ Done (partial)","✓ Done"))),IF($B151&gt;=TODAY(),"In progress","⚠ Needs balances"))))</f>
        <v/>
      </c>
      <c r="DO151">
        <f>YEAR($A151)</f>
        <v/>
      </c>
      <c r="DP151">
        <f>DATE(YEAR($A151),INT((MONTH($A151)-1)/3)*3+1,1)</f>
        <v/>
      </c>
      <c r="DQ151">
        <f>IF(AND($DT151=1,$DD151&lt;&gt;"",$D151=0),ROW(),0)</f>
        <v/>
      </c>
      <c r="DR151">
        <f>IF(AND($E151&lt;&gt;"pre",$B151&lt;TODAY(),$DT151=0),1,0)</f>
        <v/>
      </c>
      <c r="DS151">
        <f>IF($DJ151="",NA(),$DJ151)</f>
        <v/>
      </c>
      <c r="DT151">
        <f>IF(AND($E151&lt;&gt;"pre",$CL151=0,COUNTIFS(Settings!$F$19:$F$32,"Yes",Settings!$A$19:$A$32,"&lt;&gt;",Settings!$E$19:$E$32,"&lt;&gt;No")&gt;0),1,0)</f>
        <v/>
      </c>
      <c r="DU151">
        <f>IF(AND($B151&lt;TODAY(),$S151&gt;0),1,0)</f>
        <v/>
      </c>
      <c r="DV151">
        <f>IF($DU151=1,COUNTIF($DU151:$DU$183,1),0)</f>
        <v/>
      </c>
      <c r="DW151">
        <f>IF(AND(OR(Settings!$B$19="Card",Settings!$B$19="Loan"),AND('Month-End'!$ER$7&lt;&gt;"",NOT(_xlfn.ISFORMULA('Month-End'!$ER$7)))),IF(N('Month-End'!$ER$7)&lt;0,1,0),0)+IF(AND(OR(Settings!$B$20="Card",Settings!$B$20="Loan"),AND('Month-End'!$ER$8&lt;&gt;"",NOT(_xlfn.ISFORMULA('Month-End'!$ER$8)))),IF(N('Month-End'!$ER$8)&lt;0,1,0),0)+IF(AND(OR(Settings!$B$21="Card",Settings!$B$21="Loan"),AND('Month-End'!$ER$9&lt;&gt;"",NOT(_xlfn.ISFORMULA('Month-End'!$ER$9)))),IF(N('Month-End'!$ER$9)&lt;0,1,0),0)+IF(AND(OR(Settings!$B$22="Card",Settings!$B$22="Loan"),AND('Month-End'!$ER$10&lt;&gt;"",NOT(_xlfn.ISFORMULA('Month-End'!$ER$10)))),IF(N('Month-End'!$ER$10)&lt;0,1,0),0)+IF(AND(OR(Settings!$B$23="Card",Settings!$B$23="Loan"),AND('Month-End'!$ER$11&lt;&gt;"",NOT(_xlfn.ISFORMULA('Month-End'!$ER$11)))),IF(N('Month-End'!$ER$11)&lt;0,1,0),0)+IF(AND(OR(Settings!$B$24="Card",Settings!$B$24="Loan"),AND('Month-End'!$ER$12&lt;&gt;"",NOT(_xlfn.ISFORMULA('Month-End'!$ER$12)))),IF(N('Month-End'!$ER$12)&lt;0,1,0),0)+IF(AND(OR(Settings!$B$25="Card",Settings!$B$25="Loan"),AND('Month-End'!$ER$13&lt;&gt;"",NOT(_xlfn.ISFORMULA('Month-End'!$ER$13)))),IF(N('Month-End'!$ER$13)&lt;0,1,0),0)+IF(AND(OR(Settings!$B$26="Card",Settings!$B$26="Loan"),AND('Month-End'!$ER$14&lt;&gt;"",NOT(_xlfn.ISFORMULA('Month-End'!$ER$14)))),IF(N('Month-End'!$ER$14)&lt;0,1,0),0)+IF(AND(OR(Settings!$B$27="Card",Settings!$B$27="Loan"),AND('Month-End'!$ER$15&lt;&gt;"",NOT(_xlfn.ISFORMULA('Month-End'!$ER$15)))),IF(N('Month-End'!$ER$15)&lt;0,1,0),0)+IF(AND(OR(Settings!$B$28="Card",Settings!$B$28="Loan"),AND('Month-End'!$ER$16&lt;&gt;"",NOT(_xlfn.ISFORMULA('Month-End'!$ER$16)))),IF(N('Month-End'!$ER$16)&lt;0,1,0),0)+IF(AND(OR(Settings!$B$29="Card",Settings!$B$29="Loan"),AND('Month-End'!$ER$17&lt;&gt;"",NOT(_xlfn.ISFORMULA('Month-End'!$ER$17)))),IF(N('Month-End'!$ER$17)&lt;0,1,0),0)+IF(AND(OR(Settings!$B$30="Card",Settings!$B$30="Loan"),AND('Month-End'!$ER$18&lt;&gt;"",NOT(_xlfn.ISFORMULA('Month-End'!$ER$18)))),IF(N('Month-End'!$ER$18)&lt;0,1,0),0)+IF(AND(OR(Settings!$B$31="Card",Settings!$B$31="Loan"),AND('Month-End'!$ER$19&lt;&gt;"",NOT(_xlfn.ISFORMULA('Month-End'!$ER$19)))),IF(N('Month-End'!$ER$19)&lt;0,1,0),0)+IF(AND(OR(Settings!$B$32="Card",Settings!$B$32="Loan"),AND('Month-End'!$ER$20&lt;&gt;"",NOT(_xlfn.ISFORMULA('Month-End'!$ER$20)))),IF(N('Month-End'!$ER$20)&lt;0,1,0),0)</f>
        <v/>
      </c>
      <c r="DX151">
        <f>IF(Settings!$B$36="Retirement",$AY151,0)+IF(Settings!$B$37="Retirement",$AZ151,0)+IF(Settings!$B$38="Retirement",$BA151,0)+IF(Settings!$B$39="Retirement",$BB151,0)+IF(Settings!$B$40="Retirement",$BC151,0)+IF(Settings!$B$41="Retirement",$BD151,0)</f>
        <v/>
      </c>
      <c r="ET151">
        <f>IF($E151&lt;&gt;"open",0,IF(AND('Month-End'!$ER$22&lt;&gt;"",NOT(_xlfn.ISFORMULA('Month-End'!$ER$22))),0,IF(OR(Settings!$C$45="",Settings!$D$45=""),0,Settings!$C$45*IF(Settings!$D$45="Weekly",IF(IFERROR(MATCH(Settings!$E$45,$EO$4:$EO$10,0),0)=0,0,IF(MIN(Settings!$B$5,IF(Settings!$G$45="",Settings!$B$5,Settings!$G$45))&lt;MAX($A151,Settings!$F$45),0,INT((MIN(Settings!$B$5,IF(Settings!$G$45="",Settings!$B$5,Settings!$G$45))-MAX($A151,Settings!$F$45)-MOD(IFERROR(MATCH(Settings!$E$45,$EO$4:$EO$10,0),0)-WEEKDAY(MAX($A151,Settings!$F$45)),7))/7)+1)),IF(AND(IF(Settings!$E$45="",$B151,DATE(YEAR($A151),MONTH($A151),MIN(Settings!$E$45,DAY($B151))))&gt;=MAX($A151,Settings!$F$45),IF(Settings!$E$45="",$B151,DATE(YEAR($A151),MONTH($A151),MIN(Settings!$E$45,DAY($B151))))&lt;=MIN(Settings!$B$5,IF(Settings!$G$45="",Settings!$B$5,Settings!$G$45))),1,0)))))</f>
        <v/>
      </c>
      <c r="EU151">
        <f>IF($E151&lt;&gt;"open",0,IF(AND('Month-End'!$ER$23&lt;&gt;"",NOT(_xlfn.ISFORMULA('Month-End'!$ER$23))),0,IF(OR(Settings!$C$46="",Settings!$D$46=""),0,Settings!$C$46*IF(Settings!$D$46="Weekly",IF(IFERROR(MATCH(Settings!$E$46,$EO$4:$EO$10,0),0)=0,0,IF(MIN(Settings!$B$5,IF(Settings!$G$46="",Settings!$B$5,Settings!$G$46))&lt;MAX($A151,Settings!$F$46),0,INT((MIN(Settings!$B$5,IF(Settings!$G$46="",Settings!$B$5,Settings!$G$46))-MAX($A151,Settings!$F$46)-MOD(IFERROR(MATCH(Settings!$E$46,$EO$4:$EO$10,0),0)-WEEKDAY(MAX($A151,Settings!$F$46)),7))/7)+1)),IF(AND(IF(Settings!$E$46="",$B151,DATE(YEAR($A151),MONTH($A151),MIN(Settings!$E$46,DAY($B151))))&gt;=MAX($A151,Settings!$F$46),IF(Settings!$E$46="",$B151,DATE(YEAR($A151),MONTH($A151),MIN(Settings!$E$46,DAY($B151))))&lt;=MIN(Settings!$B$5,IF(Settings!$G$46="",Settings!$B$5,Settings!$G$46))),1,0)))))</f>
        <v/>
      </c>
      <c r="EV151">
        <f>IF($E151&lt;&gt;"open",0,IF(AND('Month-End'!$ER$24&lt;&gt;"",NOT(_xlfn.ISFORMULA('Month-End'!$ER$24))),0,IF(OR(Settings!$C$47="",Settings!$D$47=""),0,Settings!$C$47*IF(Settings!$D$47="Weekly",IF(IFERROR(MATCH(Settings!$E$47,$EO$4:$EO$10,0),0)=0,0,IF(MIN(Settings!$B$5,IF(Settings!$G$47="",Settings!$B$5,Settings!$G$47))&lt;MAX($A151,Settings!$F$47),0,INT((MIN(Settings!$B$5,IF(Settings!$G$47="",Settings!$B$5,Settings!$G$47))-MAX($A151,Settings!$F$47)-MOD(IFERROR(MATCH(Settings!$E$47,$EO$4:$EO$10,0),0)-WEEKDAY(MAX($A151,Settings!$F$47)),7))/7)+1)),IF(AND(IF(Settings!$E$47="",$B151,DATE(YEAR($A151),MONTH($A151),MIN(Settings!$E$47,DAY($B151))))&gt;=MAX($A151,Settings!$F$47),IF(Settings!$E$47="",$B151,DATE(YEAR($A151),MONTH($A151),MIN(Settings!$E$47,DAY($B151))))&lt;=MIN(Settings!$B$5,IF(Settings!$G$47="",Settings!$B$5,Settings!$G$47))),1,0)))))</f>
        <v/>
      </c>
      <c r="EW151">
        <f>IF($E151&lt;&gt;"open",0,IF(AND('Month-End'!$ER$25&lt;&gt;"",NOT(_xlfn.ISFORMULA('Month-End'!$ER$25))),0,IF(OR(Settings!$C$48="",Settings!$D$48=""),0,Settings!$C$48*IF(Settings!$D$48="Weekly",IF(IFERROR(MATCH(Settings!$E$48,$EO$4:$EO$10,0),0)=0,0,IF(MIN(Settings!$B$5,IF(Settings!$G$48="",Settings!$B$5,Settings!$G$48))&lt;MAX($A151,Settings!$F$48),0,INT((MIN(Settings!$B$5,IF(Settings!$G$48="",Settings!$B$5,Settings!$G$48))-MAX($A151,Settings!$F$48)-MOD(IFERROR(MATCH(Settings!$E$48,$EO$4:$EO$10,0),0)-WEEKDAY(MAX($A151,Settings!$F$48)),7))/7)+1)),IF(AND(IF(Settings!$E$48="",$B151,DATE(YEAR($A151),MONTH($A151),MIN(Settings!$E$48,DAY($B151))))&gt;=MAX($A151,Settings!$F$48),IF(Settings!$E$48="",$B151,DATE(YEAR($A151),MONTH($A151),MIN(Settings!$E$48,DAY($B151))))&lt;=MIN(Settings!$B$5,IF(Settings!$G$48="",Settings!$B$5,Settings!$G$48))),1,0)))))</f>
        <v/>
      </c>
      <c r="EX151">
        <f>IF($E151&lt;&gt;"open",0,IF(AND('Month-End'!$ER$26&lt;&gt;"",NOT(_xlfn.ISFORMULA('Month-End'!$ER$26))),0,IF(OR(Settings!$C$49="",Settings!$D$49=""),0,Settings!$C$49*IF(Settings!$D$49="Weekly",IF(IFERROR(MATCH(Settings!$E$49,$EO$4:$EO$10,0),0)=0,0,IF(MIN(Settings!$B$5,IF(Settings!$G$49="",Settings!$B$5,Settings!$G$49))&lt;MAX($A151,Settings!$F$49),0,INT((MIN(Settings!$B$5,IF(Settings!$G$49="",Settings!$B$5,Settings!$G$49))-MAX($A151,Settings!$F$49)-MOD(IFERROR(MATCH(Settings!$E$49,$EO$4:$EO$10,0),0)-WEEKDAY(MAX($A151,Settings!$F$49)),7))/7)+1)),IF(AND(IF(Settings!$E$49="",$B151,DATE(YEAR($A151),MONTH($A151),MIN(Settings!$E$49,DAY($B151))))&gt;=MAX($A151,Settings!$F$49),IF(Settings!$E$49="",$B151,DATE(YEAR($A151),MONTH($A151),MIN(Settings!$E$49,DAY($B151))))&lt;=MIN(Settings!$B$5,IF(Settings!$G$49="",Settings!$B$5,Settings!$G$49))),1,0)))))</f>
        <v/>
      </c>
      <c r="EY151">
        <f>IF($E151&lt;&gt;"open",0,IF(AND('Month-End'!$ER$27&lt;&gt;"",NOT(_xlfn.ISFORMULA('Month-End'!$ER$27))),0,IF(OR(Settings!$C$50="",Settings!$D$50=""),0,Settings!$C$50*IF(Settings!$D$50="Weekly",IF(IFERROR(MATCH(Settings!$E$50,$EO$4:$EO$10,0),0)=0,0,IF(MIN(Settings!$B$5,IF(Settings!$G$50="",Settings!$B$5,Settings!$G$50))&lt;MAX($A151,Settings!$F$50),0,INT((MIN(Settings!$B$5,IF(Settings!$G$50="",Settings!$B$5,Settings!$G$50))-MAX($A151,Settings!$F$50)-MOD(IFERROR(MATCH(Settings!$E$50,$EO$4:$EO$10,0),0)-WEEKDAY(MAX($A151,Settings!$F$50)),7))/7)+1)),IF(AND(IF(Settings!$E$50="",$B151,DATE(YEAR($A151),MONTH($A151),MIN(Settings!$E$50,DAY($B151))))&gt;=MAX($A151,Settings!$F$50),IF(Settings!$E$50="",$B151,DATE(YEAR($A151),MONTH($A151),MIN(Settings!$E$50,DAY($B151))))&lt;=MIN(Settings!$B$5,IF(Settings!$G$50="",Settings!$B$5,Settings!$G$50))),1,0)))))</f>
        <v/>
      </c>
      <c r="EZ151">
        <f>IF($E151&lt;&gt;"open",0,IF(AND('Month-End'!$ER$28&lt;&gt;"",NOT(_xlfn.ISFORMULA('Month-End'!$ER$28))),0,IF(OR(Settings!$C$51="",Settings!$D$51=""),0,Settings!$C$51*IF(Settings!$D$51="Weekly",IF(IFERROR(MATCH(Settings!$E$51,$EO$4:$EO$10,0),0)=0,0,IF(MIN(Settings!$B$5,IF(Settings!$G$51="",Settings!$B$5,Settings!$G$51))&lt;MAX($A151,Settings!$F$51),0,INT((MIN(Settings!$B$5,IF(Settings!$G$51="",Settings!$B$5,Settings!$G$51))-MAX($A151,Settings!$F$51)-MOD(IFERROR(MATCH(Settings!$E$51,$EO$4:$EO$10,0),0)-WEEKDAY(MAX($A151,Settings!$F$51)),7))/7)+1)),IF(AND(IF(Settings!$E$51="",$B151,DATE(YEAR($A151),MONTH($A151),MIN(Settings!$E$51,DAY($B151))))&gt;=MAX($A151,Settings!$F$51),IF(Settings!$E$51="",$B151,DATE(YEAR($A151),MONTH($A151),MIN(Settings!$E$51,DAY($B151))))&lt;=MIN(Settings!$B$5,IF(Settings!$G$51="",Settings!$B$5,Settings!$G$51))),1,0)))))</f>
        <v/>
      </c>
      <c r="FA151">
        <f>IF($E151&lt;&gt;"open",0,IF(AND('Month-End'!$ER$29&lt;&gt;"",NOT(_xlfn.ISFORMULA('Month-End'!$ER$29))),0,IF(OR(Settings!$C$52="",Settings!$D$52=""),0,Settings!$C$52*IF(Settings!$D$52="Weekly",IF(IFERROR(MATCH(Settings!$E$52,$EO$4:$EO$10,0),0)=0,0,IF(MIN(Settings!$B$5,IF(Settings!$G$52="",Settings!$B$5,Settings!$G$52))&lt;MAX($A151,Settings!$F$52),0,INT((MIN(Settings!$B$5,IF(Settings!$G$52="",Settings!$B$5,Settings!$G$52))-MAX($A151,Settings!$F$52)-MOD(IFERROR(MATCH(Settings!$E$52,$EO$4:$EO$10,0),0)-WEEKDAY(MAX($A151,Settings!$F$52)),7))/7)+1)),IF(AND(IF(Settings!$E$52="",$B151,DATE(YEAR($A151),MONTH($A151),MIN(Settings!$E$52,DAY($B151))))&gt;=MAX($A151,Settings!$F$52),IF(Settings!$E$52="",$B151,DATE(YEAR($A151),MONTH($A151),MIN(Settings!$E$52,DAY($B151))))&lt;=MIN(Settings!$B$5,IF(Settings!$G$52="",Settings!$B$5,Settings!$G$52))),1,0)))))</f>
        <v/>
      </c>
      <c r="FB151">
        <f>IF($E151&lt;&gt;"open",0,IF(AND('Month-End'!$ER$30&lt;&gt;"",NOT(_xlfn.ISFORMULA('Month-End'!$ER$30))),0,IF(OR(Settings!$C$53="",Settings!$D$53=""),0,Settings!$C$53*IF(Settings!$D$53="Weekly",IF(IFERROR(MATCH(Settings!$E$53,$EO$4:$EO$10,0),0)=0,0,IF(MIN(Settings!$B$5,IF(Settings!$G$53="",Settings!$B$5,Settings!$G$53))&lt;MAX($A151,Settings!$F$53),0,INT((MIN(Settings!$B$5,IF(Settings!$G$53="",Settings!$B$5,Settings!$G$53))-MAX($A151,Settings!$F$53)-MOD(IFERROR(MATCH(Settings!$E$53,$EO$4:$EO$10,0),0)-WEEKDAY(MAX($A151,Settings!$F$53)),7))/7)+1)),IF(AND(IF(Settings!$E$53="",$B151,DATE(YEAR($A151),MONTH($A151),MIN(Settings!$E$53,DAY($B151))))&gt;=MAX($A151,Settings!$F$53),IF(Settings!$E$53="",$B151,DATE(YEAR($A151),MONTH($A151),MIN(Settings!$E$53,DAY($B151))))&lt;=MIN(Settings!$B$5,IF(Settings!$G$53="",Settings!$B$5,Settings!$G$53))),1,0)))))</f>
        <v/>
      </c>
      <c r="FC151">
        <f>IF($E151&lt;&gt;"open",0,IF(AND('Month-End'!$ER$31&lt;&gt;"",NOT(_xlfn.ISFORMULA('Month-End'!$ER$31))),0,IF(OR(Settings!$C$54="",Settings!$D$54=""),0,Settings!$C$54*IF(Settings!$D$54="Weekly",IF(IFERROR(MATCH(Settings!$E$54,$EO$4:$EO$10,0),0)=0,0,IF(MIN(Settings!$B$5,IF(Settings!$G$54="",Settings!$B$5,Settings!$G$54))&lt;MAX($A151,Settings!$F$54),0,INT((MIN(Settings!$B$5,IF(Settings!$G$54="",Settings!$B$5,Settings!$G$54))-MAX($A151,Settings!$F$54)-MOD(IFERROR(MATCH(Settings!$E$54,$EO$4:$EO$10,0),0)-WEEKDAY(MAX($A151,Settings!$F$54)),7))/7)+1)),IF(AND(IF(Settings!$E$54="",$B151,DATE(YEAR($A151),MONTH($A151),MIN(Settings!$E$54,DAY($B151))))&gt;=MAX($A151,Settings!$F$54),IF(Settings!$E$54="",$B151,DATE(YEAR($A151),MONTH($A151),MIN(Settings!$E$54,DAY($B151))))&lt;=MIN(Settings!$B$5,IF(Settings!$G$54="",Settings!$B$5,Settings!$G$54))),1,0)))))</f>
        <v/>
      </c>
      <c r="FD151">
        <f>IF($E151&lt;&gt;"open",0,IF(AND('Month-End'!$ER$32&lt;&gt;"",NOT(_xlfn.ISFORMULA('Month-End'!$ER$32))),0,IF(OR(Settings!$C$55="",Settings!$D$55=""),0,Settings!$C$55*IF(Settings!$D$55="Weekly",IF(IFERROR(MATCH(Settings!$E$55,$EO$4:$EO$10,0),0)=0,0,IF(MIN(Settings!$B$5,IF(Settings!$G$55="",Settings!$B$5,Settings!$G$55))&lt;MAX($A151,Settings!$F$55),0,INT((MIN(Settings!$B$5,IF(Settings!$G$55="",Settings!$B$5,Settings!$G$55))-MAX($A151,Settings!$F$55)-MOD(IFERROR(MATCH(Settings!$E$55,$EO$4:$EO$10,0),0)-WEEKDAY(MAX($A151,Settings!$F$55)),7))/7)+1)),IF(AND(IF(Settings!$E$55="",$B151,DATE(YEAR($A151),MONTH($A151),MIN(Settings!$E$55,DAY($B151))))&gt;=MAX($A151,Settings!$F$55),IF(Settings!$E$55="",$B151,DATE(YEAR($A151),MONTH($A151),MIN(Settings!$E$55,DAY($B151))))&lt;=MIN(Settings!$B$5,IF(Settings!$G$55="",Settings!$B$5,Settings!$G$55))),1,0)))))</f>
        <v/>
      </c>
      <c r="FE151">
        <f>IF($E151&lt;&gt;"open",0,IF(AND('Month-End'!$ER$33&lt;&gt;"",NOT(_xlfn.ISFORMULA('Month-End'!$ER$33))),0,IF(OR(Settings!$C$56="",Settings!$D$56=""),0,Settings!$C$56*IF(Settings!$D$56="Weekly",IF(IFERROR(MATCH(Settings!$E$56,$EO$4:$EO$10,0),0)=0,0,IF(MIN(Settings!$B$5,IF(Settings!$G$56="",Settings!$B$5,Settings!$G$56))&lt;MAX($A151,Settings!$F$56),0,INT((MIN(Settings!$B$5,IF(Settings!$G$56="",Settings!$B$5,Settings!$G$56))-MAX($A151,Settings!$F$56)-MOD(IFERROR(MATCH(Settings!$E$56,$EO$4:$EO$10,0),0)-WEEKDAY(MAX($A151,Settings!$F$56)),7))/7)+1)),IF(AND(IF(Settings!$E$56="",$B151,DATE(YEAR($A151),MONTH($A151),MIN(Settings!$E$56,DAY($B151))))&gt;=MAX($A151,Settings!$F$56),IF(Settings!$E$56="",$B151,DATE(YEAR($A151),MONTH($A151),MIN(Settings!$E$56,DAY($B151))))&lt;=MIN(Settings!$B$5,IF(Settings!$G$56="",Settings!$B$5,Settings!$G$56))),1,0)))))</f>
        <v/>
      </c>
      <c r="FF151">
        <f>IF(Settings!$I$45="Yes",$G151,0)+IF(Settings!$I$46="Yes",$H151,0)+IF(Settings!$I$47="Yes",$I151,0)+IF(Settings!$I$48="Yes",$J151,0)+IF(Settings!$I$49="Yes",$K151,0)+IF(Settings!$I$50="Yes",$L151,0)+IF(Settings!$I$51="Yes",$M151,0)+IF(Settings!$I$52="Yes",$N151,0)+IF(Settings!$I$53="Yes",$O151,0)+IF(Settings!$I$54="Yes",$P151,0)+IF(Settings!$I$55="Yes",$Q151,0)+IF(Settings!$I$56="Yes",$R151,0)</f>
        <v/>
      </c>
      <c r="FG151">
        <f>IF(AND(Settings!$I$45="Yes",Settings!$J$45="No"),$G151,0)+IF(AND(Settings!$I$46="Yes",Settings!$J$46="No"),$H151,0)+IF(AND(Settings!$I$47="Yes",Settings!$J$47="No"),$I151,0)+IF(AND(Settings!$I$48="Yes",Settings!$J$48="No"),$J151,0)+IF(AND(Settings!$I$49="Yes",Settings!$J$49="No"),$K151,0)+IF(AND(Settings!$I$50="Yes",Settings!$J$50="No"),$L151,0)+IF(AND(Settings!$I$51="Yes",Settings!$J$51="No"),$M151,0)+IF(AND(Settings!$I$52="Yes",Settings!$J$52="No"),$N151,0)+IF(AND(Settings!$I$53="Yes",Settings!$J$53="No"),$O151,0)+IF(AND(Settings!$I$54="Yes",Settings!$J$54="No"),$P151,0)+IF(AND(Settings!$I$55="Yes",Settings!$J$55="No"),$Q151,0)+IF(AND(Settings!$I$56="Yes",Settings!$J$56="No"),$R151,0)</f>
        <v/>
      </c>
      <c r="FH151">
        <f>SUMIFS(Giving!$B$7:$B$2006,Giving!$A$7:$A$2006,"&gt;="&amp;$A151,Giving!$A$7:$A$2006,"&lt;="&amp;$B151,Giving!$G$7:$G$2006,"Yes")+IF(OR(OR(Settings!$B$60="",Settings!$F$60="No"),Settings!$H$60&lt;&gt;"Yes"),0,Settings!$B$60*IF(AND(IF(Settings!$C$60="",$B151,DATE(YEAR($A151),MONTH($A151),MIN(Settings!$C$60,DAY($B151))))&gt;=MAX($A151,Settings!$D$60),IF(Settings!$C$60="",$B151,DATE(YEAR($A151),MONTH($A151),MIN(Settings!$C$60,DAY($B151))))&lt;=MIN($C151,IF(Settings!$E$60="",$C151,Settings!$E$60))),1,0))+IF(OR(OR(Settings!$B$61="",Settings!$F$61="No"),Settings!$H$61&lt;&gt;"Yes"),0,Settings!$B$61*IF(AND(IF(Settings!$C$61="",$B151,DATE(YEAR($A151),MONTH($A151),MIN(Settings!$C$61,DAY($B151))))&gt;=MAX($A151,Settings!$D$61),IF(Settings!$C$61="",$B151,DATE(YEAR($A151),MONTH($A151),MIN(Settings!$C$61,DAY($B151))))&lt;=MIN($C151,IF(Settings!$E$61="",$C151,Settings!$E$61))),1,0))+IF(OR(OR(Settings!$B$62="",Settings!$F$62="No"),Settings!$H$62&lt;&gt;"Yes"),0,Settings!$B$62*IF(AND(IF(Settings!$C$62="",$B151,DATE(YEAR($A151),MONTH($A151),MIN(Settings!$C$62,DAY($B151))))&gt;=MAX($A151,Settings!$D$62),IF(Settings!$C$62="",$B151,DATE(YEAR($A151),MONTH($A151),MIN(Settings!$C$62,DAY($B151))))&lt;=MIN($C151,IF(Settings!$E$62="",$C151,Settings!$E$62))),1,0))+IF(OR(OR(Settings!$B$63="",Settings!$F$63="No"),Settings!$H$63&lt;&gt;"Yes"),0,Settings!$B$63*IF(AND(IF(Settings!$C$63="",$B151,DATE(YEAR($A151),MONTH($A151),MIN(Settings!$C$63,DAY($B151))))&gt;=MAX($A151,Settings!$D$63),IF(Settings!$C$63="",$B151,DATE(YEAR($A151),MONTH($A151),MIN(Settings!$C$63,DAY($B151))))&lt;=MIN($C151,IF(Settings!$E$63="",$C151,Settings!$E$63))),1,0))+IF(OR(OR(Settings!$B$64="",Settings!$F$64="No"),Settings!$H$64&lt;&gt;"Yes"),0,Settings!$B$64*IF(AND(IF(Settings!$C$64="",$B151,DATE(YEAR($A151),MONTH($A151),MIN(Settings!$C$64,DAY($B151))))&gt;=MAX($A151,Settings!$D$64),IF(Settings!$C$64="",$B151,DATE(YEAR($A151),MONTH($A151),MIN(Settings!$C$64,DAY($B151))))&lt;=MIN($C151,IF(Settings!$E$64="",$C151,Settings!$E$64))),1,0))+IF(OR(OR(Settings!$B$65="",Settings!$F$65="No"),Settings!$H$65&lt;&gt;"Yes"),0,Settings!$B$65*IF(AND(IF(Settings!$C$65="",$B151,DATE(YEAR($A151),MONTH($A151),MIN(Settings!$C$65,DAY($B151))))&gt;=MAX($A151,Settings!$D$65),IF(Settings!$C$65="",$B151,DATE(YEAR($A151),MONTH($A151),MIN(Settings!$C$65,DAY($B151))))&lt;=MIN($C151,IF(Settings!$E$65="",$C151,Settings!$E$65))),1,0))</f>
        <v/>
      </c>
      <c r="FI151">
        <f>IF($DT151=1,IF(OR(Settings!$B$19="Card",Settings!$B$19="Loan"),N($AE151),0)+IF(OR(Settings!$B$20="Card",Settings!$B$20="Loan"),N($AF151),0)+IF(OR(Settings!$B$21="Card",Settings!$B$21="Loan"),N($AG151),0)+IF(OR(Settings!$B$22="Card",Settings!$B$22="Loan"),N($AH151),0)+IF(OR(Settings!$B$23="Card",Settings!$B$23="Loan"),N($AI151),0)+IF(OR(Settings!$B$24="Card",Settings!$B$24="Loan"),N($AJ151),0)+IF(OR(Settings!$B$25="Card",Settings!$B$25="Loan"),N($AK151),0)+IF(OR(Settings!$B$26="Card",Settings!$B$26="Loan"),N($AL151),0)+IF(OR(Settings!$B$27="Card",Settings!$B$27="Loan"),N($AM151),0)+IF(OR(Settings!$B$28="Card",Settings!$B$28="Loan"),N($AN151),0)+IF(OR(Settings!$B$29="Card",Settings!$B$29="Loan"),N($AO151),0)+IF(OR(Settings!$B$30="Card",Settings!$B$30="Loan"),N($AP151),0)+IF(OR(Settings!$B$31="Card",Settings!$B$31="Loan"),N($AQ151),0)+IF(OR(Settings!$B$32="Card",Settings!$B$32="Loan"),N($AR151),0),"")</f>
        <v/>
      </c>
      <c r="FJ151">
        <f>IF($E151="open",$EB$65,IF($E151="post",IF($E150="pre",$EB$65,$FI150),""))</f>
        <v/>
      </c>
      <c r="FK151">
        <f>IF(AND($DT151=1,$DC151=1),IF(ROUND($FI151-$FJ151,2)&gt;0,1,0),0)</f>
        <v/>
      </c>
      <c r="FL151">
        <f>IF($FK151=1,$FL150+1,0)</f>
        <v/>
      </c>
    </row>
    <row r="152">
      <c r="A152">
        <f>'Month-End'!$ES$4</f>
        <v/>
      </c>
      <c r="B152">
        <f>EOMONTH($A152,0)</f>
        <v/>
      </c>
      <c r="C152">
        <f>MIN($B152,TODAY())</f>
        <v/>
      </c>
      <c r="D152">
        <f>IF($A152&gt;TODAY(),1,0)</f>
        <v/>
      </c>
      <c r="E152">
        <f>IF($B152&lt;=Settings!$B$5,"pre",IF($A152&lt;=Settings!$B$5,"open","post"))</f>
        <v/>
      </c>
      <c r="G152">
        <f>IF('Month-End'!$ES$22="",$BE152,N('Month-End'!$ES$22))</f>
        <v/>
      </c>
      <c r="H152">
        <f>IF('Month-End'!$ES$23="",$BF152,N('Month-End'!$ES$23))</f>
        <v/>
      </c>
      <c r="I152">
        <f>IF('Month-End'!$ES$24="",$BG152,N('Month-End'!$ES$24))</f>
        <v/>
      </c>
      <c r="J152">
        <f>IF('Month-End'!$ES$25="",$BH152,N('Month-End'!$ES$25))</f>
        <v/>
      </c>
      <c r="K152">
        <f>IF('Month-End'!$ES$26="",$BI152,N('Month-End'!$ES$26))</f>
        <v/>
      </c>
      <c r="L152">
        <f>IF('Month-End'!$ES$27="",$BJ152,N('Month-End'!$ES$27))</f>
        <v/>
      </c>
      <c r="M152">
        <f>IF('Month-End'!$ES$28="",$BK152,N('Month-End'!$ES$28))</f>
        <v/>
      </c>
      <c r="N152">
        <f>IF('Month-End'!$ES$29="",$BL152,N('Month-End'!$ES$29))</f>
        <v/>
      </c>
      <c r="O152">
        <f>IF('Month-End'!$ES$30="",$BM152,N('Month-End'!$ES$30))</f>
        <v/>
      </c>
      <c r="P152">
        <f>IF('Month-End'!$ES$31="",$BN152,N('Month-End'!$ES$31))</f>
        <v/>
      </c>
      <c r="Q152">
        <f>IF('Month-End'!$ES$32="",$BO152,N('Month-End'!$ES$32))</f>
        <v/>
      </c>
      <c r="R152">
        <f>IF('Month-End'!$ES$33="",$BP152,N('Month-End'!$ES$33))</f>
        <v/>
      </c>
      <c r="S152">
        <f>$G152+$H152+$I152+$J152+$K152+$L152+$M152+$N152+$O152+$P152+$Q152+$R152</f>
        <v/>
      </c>
      <c r="T152">
        <f>IF($B152&lt;Settings!$B$6,0,IF(Settings!$B$45="Yes",$G152,0)+IF(Settings!$B$46="Yes",$H152,0)+IF(Settings!$B$47="Yes",$I152,0)+IF(Settings!$B$48="Yes",$J152,0)+IF(Settings!$B$49="Yes",$K152,0)+IF(Settings!$B$50="Yes",$L152,0)+IF(Settings!$B$51="Yes",$M152,0)+IF(Settings!$B$52="Yes",$N152,0)+IF(Settings!$B$53="Yes",$O152,0)+IF(Settings!$B$54="Yes",$P152,0)+IF(Settings!$B$55="Yes",$Q152,0)+IF(Settings!$B$56="Yes",$R152,0))</f>
        <v/>
      </c>
      <c r="U152">
        <f>IF(Settings!$B$45="Not Sure",$G152,0)+IF(Settings!$B$46="Not Sure",$H152,0)+IF(Settings!$B$47="Not Sure",$I152,0)+IF(Settings!$B$48="Not Sure",$J152,0)+IF(Settings!$B$49="Not Sure",$K152,0)+IF(Settings!$B$50="Not Sure",$L152,0)+IF(Settings!$B$51="Not Sure",$M152,0)+IF(Settings!$B$52="Not Sure",$N152,0)+IF(Settings!$B$53="Not Sure",$O152,0)+IF(Settings!$B$54="Not Sure",$P152,0)+IF(Settings!$B$55="Not Sure",$Q152,0)+IF(Settings!$B$56="Not Sure",$R152,0)</f>
        <v/>
      </c>
      <c r="V152">
        <f>IF($E152="open",SUM($ET152:$FE152)+N(Settings!$B$13),0)</f>
        <v/>
      </c>
      <c r="W152">
        <f>IF($E152="post",$S152,IF($E152="open",$S152-$V152,0))</f>
        <v/>
      </c>
      <c r="X152">
        <f>SUMIFS(Giving!$B$7:$B$2006,Giving!$A$7:$A$2006,"&gt;="&amp;$A152,Giving!$A$7:$A$2006,"&lt;="&amp;$B152,Giving!$E$7:$E$2006,"&lt;&gt;No")</f>
        <v/>
      </c>
      <c r="Y152">
        <f>SUMIFS(Giving!$B$7:$B$2006,Giving!$A$7:$A$2006,"&gt;="&amp;$A152,Giving!$A$7:$A$2006,"&lt;="&amp;$B152,Giving!$E$7:$E$2006,"No")</f>
        <v/>
      </c>
      <c r="Z152">
        <f>IF(OR(Settings!$B$60="",Settings!$F$60="No"),0,Settings!$B$60*IF(AND(IF(Settings!$C$60="",$B152,DATE(YEAR($A152),MONTH($A152),MIN(Settings!$C$60,DAY($B152))))&gt;=MAX($A152,Settings!$D$60),IF(Settings!$C$60="",$B152,DATE(YEAR($A152),MONTH($A152),MIN(Settings!$C$60,DAY($B152))))&lt;=MIN($C152,IF(Settings!$E$60="",$C152,Settings!$E$60))),1,0))+IF(OR(Settings!$B$61="",Settings!$F$61="No"),0,Settings!$B$61*IF(AND(IF(Settings!$C$61="",$B152,DATE(YEAR($A152),MONTH($A152),MIN(Settings!$C$61,DAY($B152))))&gt;=MAX($A152,Settings!$D$61),IF(Settings!$C$61="",$B152,DATE(YEAR($A152),MONTH($A152),MIN(Settings!$C$61,DAY($B152))))&lt;=MIN($C152,IF(Settings!$E$61="",$C152,Settings!$E$61))),1,0))+IF(OR(Settings!$B$62="",Settings!$F$62="No"),0,Settings!$B$62*IF(AND(IF(Settings!$C$62="",$B152,DATE(YEAR($A152),MONTH($A152),MIN(Settings!$C$62,DAY($B152))))&gt;=MAX($A152,Settings!$D$62),IF(Settings!$C$62="",$B152,DATE(YEAR($A152),MONTH($A152),MIN(Settings!$C$62,DAY($B152))))&lt;=MIN($C152,IF(Settings!$E$62="",$C152,Settings!$E$62))),1,0))+IF(OR(Settings!$B$63="",Settings!$F$63="No"),0,Settings!$B$63*IF(AND(IF(Settings!$C$63="",$B152,DATE(YEAR($A152),MONTH($A152),MIN(Settings!$C$63,DAY($B152))))&gt;=MAX($A152,Settings!$D$63),IF(Settings!$C$63="",$B152,DATE(YEAR($A152),MONTH($A152),MIN(Settings!$C$63,DAY($B152))))&lt;=MIN($C152,IF(Settings!$E$63="",$C152,Settings!$E$63))),1,0))+IF(OR(Settings!$B$64="",Settings!$F$64="No"),0,Settings!$B$64*IF(AND(IF(Settings!$C$64="",$B152,DATE(YEAR($A152),MONTH($A152),MIN(Settings!$C$64,DAY($B152))))&gt;=MAX($A152,Settings!$D$64),IF(Settings!$C$64="",$B152,DATE(YEAR($A152),MONTH($A152),MIN(Settings!$C$64,DAY($B152))))&lt;=MIN($C152,IF(Settings!$E$64="",$C152,Settings!$E$64))),1,0))+IF(OR(Settings!$B$65="",Settings!$F$65="No"),0,Settings!$B$65*IF(AND(IF(Settings!$C$65="",$B152,DATE(YEAR($A152),MONTH($A152),MIN(Settings!$C$65,DAY($B152))))&gt;=MAX($A152,Settings!$D$65),IF(Settings!$C$65="",$B152,DATE(YEAR($A152),MONTH($A152),MIN(Settings!$C$65,DAY($B152))))&lt;=MIN($C152,IF(Settings!$E$65="",$C152,Settings!$E$65))),1,0))</f>
        <v/>
      </c>
      <c r="AA152">
        <f>$X152+$Z152</f>
        <v/>
      </c>
      <c r="AB152">
        <f>IF($E152="post",$AA152,IF($E152="open",SUMIFS(Giving!$B$7:$B$2006,Giving!$A$7:$A$2006,"&gt;"&amp;Settings!$B$5,Giving!$A$7:$A$2006,"&lt;="&amp;$B152,Giving!$E$7:$E$2006,"&lt;&gt;No")+IF(OR(Settings!$B$60="",Settings!$F$60="No"),0,Settings!$B$60*IF(AND(IF(Settings!$C$60="",$B152,DATE(YEAR($A152),MONTH($A152),MIN(Settings!$C$60,DAY($B152))))&gt;=MAX($A152,Settings!$D$60,Settings!$B$5+1),IF(Settings!$C$60="",$B152,DATE(YEAR($A152),MONTH($A152),MIN(Settings!$C$60,DAY($B152))))&lt;=MIN($C152,IF(Settings!$E$60="",$C152,Settings!$E$60))),1,0))+IF(OR(Settings!$B$61="",Settings!$F$61="No"),0,Settings!$B$61*IF(AND(IF(Settings!$C$61="",$B152,DATE(YEAR($A152),MONTH($A152),MIN(Settings!$C$61,DAY($B152))))&gt;=MAX($A152,Settings!$D$61,Settings!$B$5+1),IF(Settings!$C$61="",$B152,DATE(YEAR($A152),MONTH($A152),MIN(Settings!$C$61,DAY($B152))))&lt;=MIN($C152,IF(Settings!$E$61="",$C152,Settings!$E$61))),1,0))+IF(OR(Settings!$B$62="",Settings!$F$62="No"),0,Settings!$B$62*IF(AND(IF(Settings!$C$62="",$B152,DATE(YEAR($A152),MONTH($A152),MIN(Settings!$C$62,DAY($B152))))&gt;=MAX($A152,Settings!$D$62,Settings!$B$5+1),IF(Settings!$C$62="",$B152,DATE(YEAR($A152),MONTH($A152),MIN(Settings!$C$62,DAY($B152))))&lt;=MIN($C152,IF(Settings!$E$62="",$C152,Settings!$E$62))),1,0))+IF(OR(Settings!$B$63="",Settings!$F$63="No"),0,Settings!$B$63*IF(AND(IF(Settings!$C$63="",$B152,DATE(YEAR($A152),MONTH($A152),MIN(Settings!$C$63,DAY($B152))))&gt;=MAX($A152,Settings!$D$63,Settings!$B$5+1),IF(Settings!$C$63="",$B152,DATE(YEAR($A152),MONTH($A152),MIN(Settings!$C$63,DAY($B152))))&lt;=MIN($C152,IF(Settings!$E$63="",$C152,Settings!$E$63))),1,0))+IF(OR(Settings!$B$64="",Settings!$F$64="No"),0,Settings!$B$64*IF(AND(IF(Settings!$C$64="",$B152,DATE(YEAR($A152),MONTH($A152),MIN(Settings!$C$64,DAY($B152))))&gt;=MAX($A152,Settings!$D$64,Settings!$B$5+1),IF(Settings!$C$64="",$B152,DATE(YEAR($A152),MONTH($A152),MIN(Settings!$C$64,DAY($B152))))&lt;=MIN($C152,IF(Settings!$E$64="",$C152,Settings!$E$64))),1,0))+IF(OR(Settings!$B$65="",Settings!$F$65="No"),0,Settings!$B$65*IF(AND(IF(Settings!$C$65="",$B152,DATE(YEAR($A152),MONTH($A152),MIN(Settings!$C$65,DAY($B152))))&gt;=MAX($A152,Settings!$D$65,Settings!$B$5+1),IF(Settings!$C$65="",$B152,DATE(YEAR($A152),MONTH($A152),MIN(Settings!$C$65,DAY($B152))))&lt;=MIN($C152,IF(Settings!$E$65="",$C152,Settings!$E$65))),1,0)),0))</f>
        <v/>
      </c>
      <c r="AC152">
        <f>$AY152+$AZ152+$BA152+$BB152+$BC152+$BD152</f>
        <v/>
      </c>
      <c r="AD152">
        <f>$AC152</f>
        <v/>
      </c>
      <c r="AE152">
        <f>IF(OR(Settings!$A$19="",$E152="pre"),"",IF(AND('Month-End'!$ES$7&lt;&gt;"",NOT(_xlfn.ISFORMULA('Month-End'!$ES$7))),N('Month-End'!$ES$7),IF(OR($E152="open",$E151="pre"),N(Settings!$C$19),N($AE151))))</f>
        <v/>
      </c>
      <c r="AF152">
        <f>IF(OR(Settings!$A$20="",$E152="pre"),"",IF(AND('Month-End'!$ES$8&lt;&gt;"",NOT(_xlfn.ISFORMULA('Month-End'!$ES$8))),N('Month-End'!$ES$8),IF(OR($E152="open",$E151="pre"),N(Settings!$C$20),N($AF151))))</f>
        <v/>
      </c>
      <c r="AG152">
        <f>IF(OR(Settings!$A$21="",$E152="pre"),"",IF(AND('Month-End'!$ES$9&lt;&gt;"",NOT(_xlfn.ISFORMULA('Month-End'!$ES$9))),N('Month-End'!$ES$9),IF(OR($E152="open",$E151="pre"),N(Settings!$C$21),N($AG151))))</f>
        <v/>
      </c>
      <c r="AH152">
        <f>IF(OR(Settings!$A$22="",$E152="pre"),"",IF(AND('Month-End'!$ES$10&lt;&gt;"",NOT(_xlfn.ISFORMULA('Month-End'!$ES$10))),N('Month-End'!$ES$10),IF(OR($E152="open",$E151="pre"),N(Settings!$C$22),N($AH151))))</f>
        <v/>
      </c>
      <c r="AI152">
        <f>IF(OR(Settings!$A$23="",$E152="pre"),"",IF(AND('Month-End'!$ES$11&lt;&gt;"",NOT(_xlfn.ISFORMULA('Month-End'!$ES$11))),N('Month-End'!$ES$11),IF(OR($E152="open",$E151="pre"),N(Settings!$C$23),N($AI151))))</f>
        <v/>
      </c>
      <c r="AJ152">
        <f>IF(OR(Settings!$A$24="",$E152="pre"),"",IF(AND('Month-End'!$ES$12&lt;&gt;"",NOT(_xlfn.ISFORMULA('Month-End'!$ES$12))),N('Month-End'!$ES$12),IF(OR($E152="open",$E151="pre"),N(Settings!$C$24),N($AJ151))))</f>
        <v/>
      </c>
      <c r="AK152">
        <f>IF(OR(Settings!$A$25="",$E152="pre"),"",IF(AND('Month-End'!$ES$13&lt;&gt;"",NOT(_xlfn.ISFORMULA('Month-End'!$ES$13))),N('Month-End'!$ES$13),IF(OR($E152="open",$E151="pre"),N(Settings!$C$25),N($AK151))))</f>
        <v/>
      </c>
      <c r="AL152">
        <f>IF(OR(Settings!$A$26="",$E152="pre"),"",IF(AND('Month-End'!$ES$14&lt;&gt;"",NOT(_xlfn.ISFORMULA('Month-End'!$ES$14))),N('Month-End'!$ES$14),IF(OR($E152="open",$E151="pre"),N(Settings!$C$26),N($AL151))))</f>
        <v/>
      </c>
      <c r="AM152">
        <f>IF(OR(Settings!$A$27="",$E152="pre"),"",IF(AND('Month-End'!$ES$15&lt;&gt;"",NOT(_xlfn.ISFORMULA('Month-End'!$ES$15))),N('Month-End'!$ES$15),IF(OR($E152="open",$E151="pre"),N(Settings!$C$27),N($AM151))))</f>
        <v/>
      </c>
      <c r="AN152">
        <f>IF(OR(Settings!$A$28="",$E152="pre"),"",IF(AND('Month-End'!$ES$16&lt;&gt;"",NOT(_xlfn.ISFORMULA('Month-End'!$ES$16))),N('Month-End'!$ES$16),IF(OR($E152="open",$E151="pre"),N(Settings!$C$28),N($AN151))))</f>
        <v/>
      </c>
      <c r="AO152">
        <f>IF(OR(Settings!$A$29="",$E152="pre"),"",IF(AND('Month-End'!$ES$17&lt;&gt;"",NOT(_xlfn.ISFORMULA('Month-End'!$ES$17))),N('Month-End'!$ES$17),IF(OR($E152="open",$E151="pre"),N(Settings!$C$29),N($AO151))))</f>
        <v/>
      </c>
      <c r="AP152">
        <f>IF(OR(Settings!$A$30="",$E152="pre"),"",IF(AND('Month-End'!$ES$18&lt;&gt;"",NOT(_xlfn.ISFORMULA('Month-End'!$ES$18))),N('Month-End'!$ES$18),IF(OR($E152="open",$E151="pre"),N(Settings!$C$30),N($AP151))))</f>
        <v/>
      </c>
      <c r="AQ152">
        <f>IF(OR(Settings!$A$31="",$E152="pre"),"",IF(AND('Month-End'!$ES$19&lt;&gt;"",NOT(_xlfn.ISFORMULA('Month-End'!$ES$19))),N('Month-End'!$ES$19),IF(OR($E152="open",$E151="pre"),N(Settings!$C$31),N($AQ151))))</f>
        <v/>
      </c>
      <c r="AR152">
        <f>IF(OR(Settings!$A$32="",$E152="pre"),"",IF(AND('Month-End'!$ES$20&lt;&gt;"",NOT(_xlfn.ISFORMULA('Month-End'!$ES$20))),N('Month-End'!$ES$20),IF(OR($E152="open",$E151="pre"),N(Settings!$C$32),N($AR151))))</f>
        <v/>
      </c>
      <c r="AS152">
        <f>IF(OR(Settings!$A$36="",$E152="pre"),"",IF(AND('Month-End'!$ES$38&lt;&gt;"",NOT(_xlfn.ISFORMULA('Month-End'!$ES$38))),N('Month-End'!$ES$38),IF(OR($E152="open",$E151="pre"),N(Settings!$C$36),N($AS151))+$AY152))</f>
        <v/>
      </c>
      <c r="AT152">
        <f>IF(OR(Settings!$A$37="",$E152="pre"),"",IF(AND('Month-End'!$ES$39&lt;&gt;"",NOT(_xlfn.ISFORMULA('Month-End'!$ES$39))),N('Month-End'!$ES$39),IF(OR($E152="open",$E151="pre"),N(Settings!$C$37),N($AT151))+$AZ152))</f>
        <v/>
      </c>
      <c r="AU152">
        <f>IF(OR(Settings!$A$38="",$E152="pre"),"",IF(AND('Month-End'!$ES$40&lt;&gt;"",NOT(_xlfn.ISFORMULA('Month-End'!$ES$40))),N('Month-End'!$ES$40),IF(OR($E152="open",$E151="pre"),N(Settings!$C$38),N($AU151))+$BA152))</f>
        <v/>
      </c>
      <c r="AV152">
        <f>IF(OR(Settings!$A$39="",$E152="pre"),"",IF(AND('Month-End'!$ES$41&lt;&gt;"",NOT(_xlfn.ISFORMULA('Month-End'!$ES$41))),N('Month-End'!$ES$41),IF(OR($E152="open",$E151="pre"),N(Settings!$C$39),N($AV151))+$BB152))</f>
        <v/>
      </c>
      <c r="AW152">
        <f>IF(OR(Settings!$A$40="",$E152="pre"),"",IF(AND('Month-End'!$ES$42&lt;&gt;"",NOT(_xlfn.ISFORMULA('Month-End'!$ES$42))),N('Month-End'!$ES$42),IF(OR($E152="open",$E151="pre"),N(Settings!$C$40),N($AW151))+$BC152))</f>
        <v/>
      </c>
      <c r="AX152">
        <f>IF(OR(Settings!$A$41="",$E152="pre"),"",IF(AND('Month-End'!$ES$43&lt;&gt;"",NOT(_xlfn.ISFORMULA('Month-End'!$ES$43))),N('Month-End'!$ES$43),IF(OR($E152="open",$E151="pre"),N(Settings!$C$41),N($AX151))+$BD152))</f>
        <v/>
      </c>
      <c r="AY152">
        <f>IF($E152="pre",0,N('Month-End'!$ES$45))</f>
        <v/>
      </c>
      <c r="AZ152">
        <f>IF($E152="pre",0,N('Month-End'!$ES$46))</f>
        <v/>
      </c>
      <c r="BA152">
        <f>IF($E152="pre",0,N('Month-End'!$ES$47))</f>
        <v/>
      </c>
      <c r="BB152">
        <f>IF($E152="pre",0,N('Month-End'!$ES$48))</f>
        <v/>
      </c>
      <c r="BC152">
        <f>IF($E152="pre",0,N('Month-End'!$ES$49))</f>
        <v/>
      </c>
      <c r="BD152">
        <f>IF($E152="pre",0,N('Month-End'!$ES$50))</f>
        <v/>
      </c>
      <c r="BE152">
        <f>IF(OR(Settings!$C$45="",Settings!$D$45=""),0,Settings!$C$45*IF(Settings!$D$45="Weekly",IF(IFERROR(MATCH(Settings!$E$45,$EO$4:$EO$10,0),0)=0,0,IF(MIN($C152,IF(Settings!$G$45="",$C152,Settings!$G$45))&lt;MAX($A152,Settings!$F$45),0,INT((MIN($C152,IF(Settings!$G$45="",$C152,Settings!$G$45))-MAX($A152,Settings!$F$45)-MOD(IFERROR(MATCH(Settings!$E$45,$EO$4:$EO$10,0),0)-WEEKDAY(MAX($A152,Settings!$F$45)),7))/7)+1)),IF(AND(IF(Settings!$E$45="",$B152,DATE(YEAR($A152),MONTH($A152),MIN(Settings!$E$45,DAY($B152))))&gt;=MAX($A152,Settings!$F$45),IF(Settings!$E$45="",$B152,DATE(YEAR($A152),MONTH($A152),MIN(Settings!$E$45,DAY($B152))))&lt;=MIN($C152,IF(Settings!$G$45="",$C152,Settings!$G$45))),1,0)))</f>
        <v/>
      </c>
      <c r="BF152">
        <f>IF(OR(Settings!$C$46="",Settings!$D$46=""),0,Settings!$C$46*IF(Settings!$D$46="Weekly",IF(IFERROR(MATCH(Settings!$E$46,$EO$4:$EO$10,0),0)=0,0,IF(MIN($C152,IF(Settings!$G$46="",$C152,Settings!$G$46))&lt;MAX($A152,Settings!$F$46),0,INT((MIN($C152,IF(Settings!$G$46="",$C152,Settings!$G$46))-MAX($A152,Settings!$F$46)-MOD(IFERROR(MATCH(Settings!$E$46,$EO$4:$EO$10,0),0)-WEEKDAY(MAX($A152,Settings!$F$46)),7))/7)+1)),IF(AND(IF(Settings!$E$46="",$B152,DATE(YEAR($A152),MONTH($A152),MIN(Settings!$E$46,DAY($B152))))&gt;=MAX($A152,Settings!$F$46),IF(Settings!$E$46="",$B152,DATE(YEAR($A152),MONTH($A152),MIN(Settings!$E$46,DAY($B152))))&lt;=MIN($C152,IF(Settings!$G$46="",$C152,Settings!$G$46))),1,0)))</f>
        <v/>
      </c>
      <c r="BG152">
        <f>IF(OR(Settings!$C$47="",Settings!$D$47=""),0,Settings!$C$47*IF(Settings!$D$47="Weekly",IF(IFERROR(MATCH(Settings!$E$47,$EO$4:$EO$10,0),0)=0,0,IF(MIN($C152,IF(Settings!$G$47="",$C152,Settings!$G$47))&lt;MAX($A152,Settings!$F$47),0,INT((MIN($C152,IF(Settings!$G$47="",$C152,Settings!$G$47))-MAX($A152,Settings!$F$47)-MOD(IFERROR(MATCH(Settings!$E$47,$EO$4:$EO$10,0),0)-WEEKDAY(MAX($A152,Settings!$F$47)),7))/7)+1)),IF(AND(IF(Settings!$E$47="",$B152,DATE(YEAR($A152),MONTH($A152),MIN(Settings!$E$47,DAY($B152))))&gt;=MAX($A152,Settings!$F$47),IF(Settings!$E$47="",$B152,DATE(YEAR($A152),MONTH($A152),MIN(Settings!$E$47,DAY($B152))))&lt;=MIN($C152,IF(Settings!$G$47="",$C152,Settings!$G$47))),1,0)))</f>
        <v/>
      </c>
      <c r="BH152">
        <f>IF(OR(Settings!$C$48="",Settings!$D$48=""),0,Settings!$C$48*IF(Settings!$D$48="Weekly",IF(IFERROR(MATCH(Settings!$E$48,$EO$4:$EO$10,0),0)=0,0,IF(MIN($C152,IF(Settings!$G$48="",$C152,Settings!$G$48))&lt;MAX($A152,Settings!$F$48),0,INT((MIN($C152,IF(Settings!$G$48="",$C152,Settings!$G$48))-MAX($A152,Settings!$F$48)-MOD(IFERROR(MATCH(Settings!$E$48,$EO$4:$EO$10,0),0)-WEEKDAY(MAX($A152,Settings!$F$48)),7))/7)+1)),IF(AND(IF(Settings!$E$48="",$B152,DATE(YEAR($A152),MONTH($A152),MIN(Settings!$E$48,DAY($B152))))&gt;=MAX($A152,Settings!$F$48),IF(Settings!$E$48="",$B152,DATE(YEAR($A152),MONTH($A152),MIN(Settings!$E$48,DAY($B152))))&lt;=MIN($C152,IF(Settings!$G$48="",$C152,Settings!$G$48))),1,0)))</f>
        <v/>
      </c>
      <c r="BI152">
        <f>IF(OR(Settings!$C$49="",Settings!$D$49=""),0,Settings!$C$49*IF(Settings!$D$49="Weekly",IF(IFERROR(MATCH(Settings!$E$49,$EO$4:$EO$10,0),0)=0,0,IF(MIN($C152,IF(Settings!$G$49="",$C152,Settings!$G$49))&lt;MAX($A152,Settings!$F$49),0,INT((MIN($C152,IF(Settings!$G$49="",$C152,Settings!$G$49))-MAX($A152,Settings!$F$49)-MOD(IFERROR(MATCH(Settings!$E$49,$EO$4:$EO$10,0),0)-WEEKDAY(MAX($A152,Settings!$F$49)),7))/7)+1)),IF(AND(IF(Settings!$E$49="",$B152,DATE(YEAR($A152),MONTH($A152),MIN(Settings!$E$49,DAY($B152))))&gt;=MAX($A152,Settings!$F$49),IF(Settings!$E$49="",$B152,DATE(YEAR($A152),MONTH($A152),MIN(Settings!$E$49,DAY($B152))))&lt;=MIN($C152,IF(Settings!$G$49="",$C152,Settings!$G$49))),1,0)))</f>
        <v/>
      </c>
      <c r="BJ152">
        <f>IF(OR(Settings!$C$50="",Settings!$D$50=""),0,Settings!$C$50*IF(Settings!$D$50="Weekly",IF(IFERROR(MATCH(Settings!$E$50,$EO$4:$EO$10,0),0)=0,0,IF(MIN($C152,IF(Settings!$G$50="",$C152,Settings!$G$50))&lt;MAX($A152,Settings!$F$50),0,INT((MIN($C152,IF(Settings!$G$50="",$C152,Settings!$G$50))-MAX($A152,Settings!$F$50)-MOD(IFERROR(MATCH(Settings!$E$50,$EO$4:$EO$10,0),0)-WEEKDAY(MAX($A152,Settings!$F$50)),7))/7)+1)),IF(AND(IF(Settings!$E$50="",$B152,DATE(YEAR($A152),MONTH($A152),MIN(Settings!$E$50,DAY($B152))))&gt;=MAX($A152,Settings!$F$50),IF(Settings!$E$50="",$B152,DATE(YEAR($A152),MONTH($A152),MIN(Settings!$E$50,DAY($B152))))&lt;=MIN($C152,IF(Settings!$G$50="",$C152,Settings!$G$50))),1,0)))</f>
        <v/>
      </c>
      <c r="BK152">
        <f>IF(OR(Settings!$C$51="",Settings!$D$51=""),0,Settings!$C$51*IF(Settings!$D$51="Weekly",IF(IFERROR(MATCH(Settings!$E$51,$EO$4:$EO$10,0),0)=0,0,IF(MIN($C152,IF(Settings!$G$51="",$C152,Settings!$G$51))&lt;MAX($A152,Settings!$F$51),0,INT((MIN($C152,IF(Settings!$G$51="",$C152,Settings!$G$51))-MAX($A152,Settings!$F$51)-MOD(IFERROR(MATCH(Settings!$E$51,$EO$4:$EO$10,0),0)-WEEKDAY(MAX($A152,Settings!$F$51)),7))/7)+1)),IF(AND(IF(Settings!$E$51="",$B152,DATE(YEAR($A152),MONTH($A152),MIN(Settings!$E$51,DAY($B152))))&gt;=MAX($A152,Settings!$F$51),IF(Settings!$E$51="",$B152,DATE(YEAR($A152),MONTH($A152),MIN(Settings!$E$51,DAY($B152))))&lt;=MIN($C152,IF(Settings!$G$51="",$C152,Settings!$G$51))),1,0)))</f>
        <v/>
      </c>
      <c r="BL152">
        <f>IF(OR(Settings!$C$52="",Settings!$D$52=""),0,Settings!$C$52*IF(Settings!$D$52="Weekly",IF(IFERROR(MATCH(Settings!$E$52,$EO$4:$EO$10,0),0)=0,0,IF(MIN($C152,IF(Settings!$G$52="",$C152,Settings!$G$52))&lt;MAX($A152,Settings!$F$52),0,INT((MIN($C152,IF(Settings!$G$52="",$C152,Settings!$G$52))-MAX($A152,Settings!$F$52)-MOD(IFERROR(MATCH(Settings!$E$52,$EO$4:$EO$10,0),0)-WEEKDAY(MAX($A152,Settings!$F$52)),7))/7)+1)),IF(AND(IF(Settings!$E$52="",$B152,DATE(YEAR($A152),MONTH($A152),MIN(Settings!$E$52,DAY($B152))))&gt;=MAX($A152,Settings!$F$52),IF(Settings!$E$52="",$B152,DATE(YEAR($A152),MONTH($A152),MIN(Settings!$E$52,DAY($B152))))&lt;=MIN($C152,IF(Settings!$G$52="",$C152,Settings!$G$52))),1,0)))</f>
        <v/>
      </c>
      <c r="BM152">
        <f>IF(OR(Settings!$C$53="",Settings!$D$53=""),0,Settings!$C$53*IF(Settings!$D$53="Weekly",IF(IFERROR(MATCH(Settings!$E$53,$EO$4:$EO$10,0),0)=0,0,IF(MIN($C152,IF(Settings!$G$53="",$C152,Settings!$G$53))&lt;MAX($A152,Settings!$F$53),0,INT((MIN($C152,IF(Settings!$G$53="",$C152,Settings!$G$53))-MAX($A152,Settings!$F$53)-MOD(IFERROR(MATCH(Settings!$E$53,$EO$4:$EO$10,0),0)-WEEKDAY(MAX($A152,Settings!$F$53)),7))/7)+1)),IF(AND(IF(Settings!$E$53="",$B152,DATE(YEAR($A152),MONTH($A152),MIN(Settings!$E$53,DAY($B152))))&gt;=MAX($A152,Settings!$F$53),IF(Settings!$E$53="",$B152,DATE(YEAR($A152),MONTH($A152),MIN(Settings!$E$53,DAY($B152))))&lt;=MIN($C152,IF(Settings!$G$53="",$C152,Settings!$G$53))),1,0)))</f>
        <v/>
      </c>
      <c r="BN152">
        <f>IF(OR(Settings!$C$54="",Settings!$D$54=""),0,Settings!$C$54*IF(Settings!$D$54="Weekly",IF(IFERROR(MATCH(Settings!$E$54,$EO$4:$EO$10,0),0)=0,0,IF(MIN($C152,IF(Settings!$G$54="",$C152,Settings!$G$54))&lt;MAX($A152,Settings!$F$54),0,INT((MIN($C152,IF(Settings!$G$54="",$C152,Settings!$G$54))-MAX($A152,Settings!$F$54)-MOD(IFERROR(MATCH(Settings!$E$54,$EO$4:$EO$10,0),0)-WEEKDAY(MAX($A152,Settings!$F$54)),7))/7)+1)),IF(AND(IF(Settings!$E$54="",$B152,DATE(YEAR($A152),MONTH($A152),MIN(Settings!$E$54,DAY($B152))))&gt;=MAX($A152,Settings!$F$54),IF(Settings!$E$54="",$B152,DATE(YEAR($A152),MONTH($A152),MIN(Settings!$E$54,DAY($B152))))&lt;=MIN($C152,IF(Settings!$G$54="",$C152,Settings!$G$54))),1,0)))</f>
        <v/>
      </c>
      <c r="BO152">
        <f>IF(OR(Settings!$C$55="",Settings!$D$55=""),0,Settings!$C$55*IF(Settings!$D$55="Weekly",IF(IFERROR(MATCH(Settings!$E$55,$EO$4:$EO$10,0),0)=0,0,IF(MIN($C152,IF(Settings!$G$55="",$C152,Settings!$G$55))&lt;MAX($A152,Settings!$F$55),0,INT((MIN($C152,IF(Settings!$G$55="",$C152,Settings!$G$55))-MAX($A152,Settings!$F$55)-MOD(IFERROR(MATCH(Settings!$E$55,$EO$4:$EO$10,0),0)-WEEKDAY(MAX($A152,Settings!$F$55)),7))/7)+1)),IF(AND(IF(Settings!$E$55="",$B152,DATE(YEAR($A152),MONTH($A152),MIN(Settings!$E$55,DAY($B152))))&gt;=MAX($A152,Settings!$F$55),IF(Settings!$E$55="",$B152,DATE(YEAR($A152),MONTH($A152),MIN(Settings!$E$55,DAY($B152))))&lt;=MIN($C152,IF(Settings!$G$55="",$C152,Settings!$G$55))),1,0)))</f>
        <v/>
      </c>
      <c r="BP152">
        <f>IF(OR(Settings!$C$56="",Settings!$D$56=""),0,Settings!$C$56*IF(Settings!$D$56="Weekly",IF(IFERROR(MATCH(Settings!$E$56,$EO$4:$EO$10,0),0)=0,0,IF(MIN($C152,IF(Settings!$G$56="",$C152,Settings!$G$56))&lt;MAX($A152,Settings!$F$56),0,INT((MIN($C152,IF(Settings!$G$56="",$C152,Settings!$G$56))-MAX($A152,Settings!$F$56)-MOD(IFERROR(MATCH(Settings!$E$56,$EO$4:$EO$10,0),0)-WEEKDAY(MAX($A152,Settings!$F$56)),7))/7)+1)),IF(AND(IF(Settings!$E$56="",$B152,DATE(YEAR($A152),MONTH($A152),MIN(Settings!$E$56,DAY($B152))))&gt;=MAX($A152,Settings!$F$56),IF(Settings!$E$56="",$B152,DATE(YEAR($A152),MONTH($A152),MIN(Settings!$E$56,DAY($B152))))&lt;=MIN($C152,IF(Settings!$G$56="",$C152,Settings!$G$56))),1,0)))</f>
        <v/>
      </c>
      <c r="BQ152">
        <f>IF(OR(Settings!$B$14="",$D152=1,$E152="pre",$A152&lt;IF(Settings!$B$15="",0,Settings!$B$15)),0,Settings!$B$14)</f>
        <v/>
      </c>
      <c r="BR152">
        <f>IF(AND('Month-End'!$ES$7&lt;&gt;"",NOT(_xlfn.ISFORMULA('Month-End'!$ES$7))),1,0)</f>
        <v/>
      </c>
      <c r="BS152">
        <f>IF(AND('Month-End'!$ES$8&lt;&gt;"",NOT(_xlfn.ISFORMULA('Month-End'!$ES$8))),1,0)</f>
        <v/>
      </c>
      <c r="BT152">
        <f>IF(AND('Month-End'!$ES$9&lt;&gt;"",NOT(_xlfn.ISFORMULA('Month-End'!$ES$9))),1,0)</f>
        <v/>
      </c>
      <c r="BU152">
        <f>IF(AND('Month-End'!$ES$10&lt;&gt;"",NOT(_xlfn.ISFORMULA('Month-End'!$ES$10))),1,0)</f>
        <v/>
      </c>
      <c r="BV152">
        <f>IF(AND('Month-End'!$ES$11&lt;&gt;"",NOT(_xlfn.ISFORMULA('Month-End'!$ES$11))),1,0)</f>
        <v/>
      </c>
      <c r="BW152">
        <f>IF(AND('Month-End'!$ES$12&lt;&gt;"",NOT(_xlfn.ISFORMULA('Month-End'!$ES$12))),1,0)</f>
        <v/>
      </c>
      <c r="BX152">
        <f>IF(AND('Month-End'!$ES$13&lt;&gt;"",NOT(_xlfn.ISFORMULA('Month-End'!$ES$13))),1,0)</f>
        <v/>
      </c>
      <c r="BY152">
        <f>IF(AND('Month-End'!$ES$14&lt;&gt;"",NOT(_xlfn.ISFORMULA('Month-End'!$ES$14))),1,0)</f>
        <v/>
      </c>
      <c r="BZ152">
        <f>IF(AND('Month-End'!$ES$15&lt;&gt;"",NOT(_xlfn.ISFORMULA('Month-End'!$ES$15))),1,0)</f>
        <v/>
      </c>
      <c r="CA152">
        <f>IF(AND('Month-End'!$ES$16&lt;&gt;"",NOT(_xlfn.ISFORMULA('Month-End'!$ES$16))),1,0)</f>
        <v/>
      </c>
      <c r="CB152">
        <f>IF(AND('Month-End'!$ES$17&lt;&gt;"",NOT(_xlfn.ISFORMULA('Month-End'!$ES$17))),1,0)</f>
        <v/>
      </c>
      <c r="CC152">
        <f>IF(AND('Month-End'!$ES$18&lt;&gt;"",NOT(_xlfn.ISFORMULA('Month-End'!$ES$18))),1,0)</f>
        <v/>
      </c>
      <c r="CD152">
        <f>IF(AND('Month-End'!$ES$19&lt;&gt;"",NOT(_xlfn.ISFORMULA('Month-End'!$ES$19))),1,0)</f>
        <v/>
      </c>
      <c r="CE152">
        <f>IF(AND('Month-End'!$ES$20&lt;&gt;"",NOT(_xlfn.ISFORMULA('Month-End'!$ES$20))),1,0)</f>
        <v/>
      </c>
      <c r="CF152">
        <f>IF(AND('Month-End'!$ES$38&lt;&gt;"",NOT(_xlfn.ISFORMULA('Month-End'!$ES$38))),1,0)</f>
        <v/>
      </c>
      <c r="CG152">
        <f>IF(AND('Month-End'!$ES$39&lt;&gt;"",NOT(_xlfn.ISFORMULA('Month-End'!$ES$39))),1,0)</f>
        <v/>
      </c>
      <c r="CH152">
        <f>IF(AND('Month-End'!$ES$40&lt;&gt;"",NOT(_xlfn.ISFORMULA('Month-End'!$ES$40))),1,0)</f>
        <v/>
      </c>
      <c r="CI152">
        <f>IF(AND('Month-End'!$ES$41&lt;&gt;"",NOT(_xlfn.ISFORMULA('Month-End'!$ES$41))),1,0)</f>
        <v/>
      </c>
      <c r="CJ152">
        <f>IF(AND('Month-End'!$ES$42&lt;&gt;"",NOT(_xlfn.ISFORMULA('Month-End'!$ES$42))),1,0)</f>
        <v/>
      </c>
      <c r="CK152">
        <f>IF(AND('Month-End'!$ES$43&lt;&gt;"",NOT(_xlfn.ISFORMULA('Month-End'!$ES$43))),1,0)</f>
        <v/>
      </c>
      <c r="CL152">
        <f>SUM($CM152:$CZ152)</f>
        <v/>
      </c>
      <c r="CM152">
        <f>IF(AND($E152&lt;&gt;"pre",AND(Settings!$A$19&lt;&gt;"",Settings!$E$19&lt;&gt;"No"),Settings!$F$19="Yes",NOT(AND('Month-End'!$ES$7&lt;&gt;"",NOT(_xlfn.ISFORMULA('Month-End'!$ES$7))))),1,0)</f>
        <v/>
      </c>
      <c r="CN152">
        <f>IF(AND($E152&lt;&gt;"pre",AND(Settings!$A$20&lt;&gt;"",Settings!$E$20&lt;&gt;"No"),Settings!$F$20="Yes",NOT(AND('Month-End'!$ES$8&lt;&gt;"",NOT(_xlfn.ISFORMULA('Month-End'!$ES$8))))),1,0)</f>
        <v/>
      </c>
      <c r="CO152">
        <f>IF(AND($E152&lt;&gt;"pre",AND(Settings!$A$21&lt;&gt;"",Settings!$E$21&lt;&gt;"No"),Settings!$F$21="Yes",NOT(AND('Month-End'!$ES$9&lt;&gt;"",NOT(_xlfn.ISFORMULA('Month-End'!$ES$9))))),1,0)</f>
        <v/>
      </c>
      <c r="CP152">
        <f>IF(AND($E152&lt;&gt;"pre",AND(Settings!$A$22&lt;&gt;"",Settings!$E$22&lt;&gt;"No"),Settings!$F$22="Yes",NOT(AND('Month-End'!$ES$10&lt;&gt;"",NOT(_xlfn.ISFORMULA('Month-End'!$ES$10))))),1,0)</f>
        <v/>
      </c>
      <c r="CQ152">
        <f>IF(AND($E152&lt;&gt;"pre",AND(Settings!$A$23&lt;&gt;"",Settings!$E$23&lt;&gt;"No"),Settings!$F$23="Yes",NOT(AND('Month-End'!$ES$11&lt;&gt;"",NOT(_xlfn.ISFORMULA('Month-End'!$ES$11))))),1,0)</f>
        <v/>
      </c>
      <c r="CR152">
        <f>IF(AND($E152&lt;&gt;"pre",AND(Settings!$A$24&lt;&gt;"",Settings!$E$24&lt;&gt;"No"),Settings!$F$24="Yes",NOT(AND('Month-End'!$ES$12&lt;&gt;"",NOT(_xlfn.ISFORMULA('Month-End'!$ES$12))))),1,0)</f>
        <v/>
      </c>
      <c r="CS152">
        <f>IF(AND($E152&lt;&gt;"pre",AND(Settings!$A$25&lt;&gt;"",Settings!$E$25&lt;&gt;"No"),Settings!$F$25="Yes",NOT(AND('Month-End'!$ES$13&lt;&gt;"",NOT(_xlfn.ISFORMULA('Month-End'!$ES$13))))),1,0)</f>
        <v/>
      </c>
      <c r="CT152">
        <f>IF(AND($E152&lt;&gt;"pre",AND(Settings!$A$26&lt;&gt;"",Settings!$E$26&lt;&gt;"No"),Settings!$F$26="Yes",NOT(AND('Month-End'!$ES$14&lt;&gt;"",NOT(_xlfn.ISFORMULA('Month-End'!$ES$14))))),1,0)</f>
        <v/>
      </c>
      <c r="CU152">
        <f>IF(AND($E152&lt;&gt;"pre",AND(Settings!$A$27&lt;&gt;"",Settings!$E$27&lt;&gt;"No"),Settings!$F$27="Yes",NOT(AND('Month-End'!$ES$15&lt;&gt;"",NOT(_xlfn.ISFORMULA('Month-End'!$ES$15))))),1,0)</f>
        <v/>
      </c>
      <c r="CV152">
        <f>IF(AND($E152&lt;&gt;"pre",AND(Settings!$A$28&lt;&gt;"",Settings!$E$28&lt;&gt;"No"),Settings!$F$28="Yes",NOT(AND('Month-End'!$ES$16&lt;&gt;"",NOT(_xlfn.ISFORMULA('Month-End'!$ES$16))))),1,0)</f>
        <v/>
      </c>
      <c r="CW152">
        <f>IF(AND($E152&lt;&gt;"pre",AND(Settings!$A$29&lt;&gt;"",Settings!$E$29&lt;&gt;"No"),Settings!$F$29="Yes",NOT(AND('Month-End'!$ES$17&lt;&gt;"",NOT(_xlfn.ISFORMULA('Month-End'!$ES$17))))),1,0)</f>
        <v/>
      </c>
      <c r="CX152">
        <f>IF(AND($E152&lt;&gt;"pre",AND(Settings!$A$30&lt;&gt;"",Settings!$E$30&lt;&gt;"No"),Settings!$F$30="Yes",NOT(AND('Month-End'!$ES$18&lt;&gt;"",NOT(_xlfn.ISFORMULA('Month-End'!$ES$18))))),1,0)</f>
        <v/>
      </c>
      <c r="CY152">
        <f>IF(AND($E152&lt;&gt;"pre",AND(Settings!$A$31&lt;&gt;"",Settings!$E$31&lt;&gt;"No"),Settings!$F$31="Yes",NOT(AND('Month-End'!$ES$19&lt;&gt;"",NOT(_xlfn.ISFORMULA('Month-End'!$ES$19))))),1,0)</f>
        <v/>
      </c>
      <c r="CZ152">
        <f>IF(AND($E152&lt;&gt;"pre",AND(Settings!$A$32&lt;&gt;"",Settings!$E$32&lt;&gt;"No"),Settings!$F$32="Yes",NOT(AND('Month-End'!$ES$20&lt;&gt;"",NOT(_xlfn.ISFORMULA('Month-End'!$ES$20))))),1,0)</f>
        <v/>
      </c>
      <c r="DA152">
        <f>IF($DT152=1,IF(OR(Settings!$B$19="Checking",Settings!$B$19="Savings",Settings!$B$19="Cash"),N($AE152),IF(OR(Settings!$B$19="Card",Settings!$B$19="Loan"),-N($AE152),0))+IF(OR(Settings!$B$20="Checking",Settings!$B$20="Savings",Settings!$B$20="Cash"),N($AF152),IF(OR(Settings!$B$20="Card",Settings!$B$20="Loan"),-N($AF152),0))+IF(OR(Settings!$B$21="Checking",Settings!$B$21="Savings",Settings!$B$21="Cash"),N($AG152),IF(OR(Settings!$B$21="Card",Settings!$B$21="Loan"),-N($AG152),0))+IF(OR(Settings!$B$22="Checking",Settings!$B$22="Savings",Settings!$B$22="Cash"),N($AH152),IF(OR(Settings!$B$22="Card",Settings!$B$22="Loan"),-N($AH152),0))+IF(OR(Settings!$B$23="Checking",Settings!$B$23="Savings",Settings!$B$23="Cash"),N($AI152),IF(OR(Settings!$B$23="Card",Settings!$B$23="Loan"),-N($AI152),0))+IF(OR(Settings!$B$24="Checking",Settings!$B$24="Savings",Settings!$B$24="Cash"),N($AJ152),IF(OR(Settings!$B$24="Card",Settings!$B$24="Loan"),-N($AJ152),0))+IF(OR(Settings!$B$25="Checking",Settings!$B$25="Savings",Settings!$B$25="Cash"),N($AK152),IF(OR(Settings!$B$25="Card",Settings!$B$25="Loan"),-N($AK152),0))+IF(OR(Settings!$B$26="Checking",Settings!$B$26="Savings",Settings!$B$26="Cash"),N($AL152),IF(OR(Settings!$B$26="Card",Settings!$B$26="Loan"),-N($AL152),0))+IF(OR(Settings!$B$27="Checking",Settings!$B$27="Savings",Settings!$B$27="Cash"),N($AM152),IF(OR(Settings!$B$27="Card",Settings!$B$27="Loan"),-N($AM152),0))+IF(OR(Settings!$B$28="Checking",Settings!$B$28="Savings",Settings!$B$28="Cash"),N($AN152),IF(OR(Settings!$B$28="Card",Settings!$B$28="Loan"),-N($AN152),0))+IF(OR(Settings!$B$29="Checking",Settings!$B$29="Savings",Settings!$B$29="Cash"),N($AO152),IF(OR(Settings!$B$29="Card",Settings!$B$29="Loan"),-N($AO152),0))+IF(OR(Settings!$B$30="Checking",Settings!$B$30="Savings",Settings!$B$30="Cash"),N($AP152),IF(OR(Settings!$B$30="Card",Settings!$B$30="Loan"),-N($AP152),0))+IF(OR(Settings!$B$31="Checking",Settings!$B$31="Savings",Settings!$B$31="Cash"),N($AQ152),IF(OR(Settings!$B$31="Card",Settings!$B$31="Loan"),-N($AQ152),0))+IF(OR(Settings!$B$32="Checking",Settings!$B$32="Savings",Settings!$B$32="Cash"),N($AR152),IF(OR(Settings!$B$32="Card",Settings!$B$32="Loan"),-N($AR152),0)),"")</f>
        <v/>
      </c>
      <c r="DB152">
        <f>IF($E152="open",$EB$27,IF($E152="post",IF($E151="pre",$EB$27,$DA151),""))</f>
        <v/>
      </c>
      <c r="DC152">
        <f>IF($E152="open",1,IF($E152="post",IF($E151="pre",1,$DT151),0))</f>
        <v/>
      </c>
      <c r="DD152">
        <f>IF(AND($DT152=1,$DC152=1),ROUND($W152-($DA152-$DB152)-$AD152-$AB152,2),"")</f>
        <v/>
      </c>
      <c r="DE152">
        <f>IF('Month-End'!$ES$35="",$BQ152,N('Month-End'!$ES$35))</f>
        <v/>
      </c>
      <c r="DF152">
        <f>N('Month-End'!$ES$36)</f>
        <v/>
      </c>
      <c r="DG152">
        <f>IF($DD152="","",$DD152+$DE152)</f>
        <v/>
      </c>
      <c r="DH152">
        <f>IF($DG152="","",$DG152-$DF152)</f>
        <v/>
      </c>
      <c r="DI152">
        <f>IF(OR($E152="pre",$D152=1),"",N($AS152)+N($AT152)+N($AU152)+N($AV152)+N($AW152)+N($AX152))</f>
        <v/>
      </c>
      <c r="DJ152">
        <f>IF($DT152=1,$DA152+N($DI152),"")</f>
        <v/>
      </c>
      <c r="DK152">
        <f>IF($DD152="","",$W152-$DD152-$AB152)</f>
        <v/>
      </c>
      <c r="DL152">
        <f>IF(AND($E152="post",$DD152&lt;&gt;"",$B152&lt;TODAY()),1,0)</f>
        <v/>
      </c>
      <c r="DM152">
        <f>IF($DL152=1,COUNTIF($DL152:$DL$183,1),0)</f>
        <v/>
      </c>
      <c r="DN152">
        <f>IF($D152=1,"",IF($E152="pre","History only",IF($DT152=1,IF($DD152="","⚠ Previous month missing",IF($DD152&lt;0,"⚠ Check: spending &lt; 0",IF($E152="open","✓ Done (partial)","✓ Done"))),IF($B152&gt;=TODAY(),"In progress","⚠ Needs balances"))))</f>
        <v/>
      </c>
      <c r="DO152">
        <f>YEAR($A152)</f>
        <v/>
      </c>
      <c r="DP152">
        <f>DATE(YEAR($A152),INT((MONTH($A152)-1)/3)*3+1,1)</f>
        <v/>
      </c>
      <c r="DQ152">
        <f>IF(AND($DT152=1,$DD152&lt;&gt;"",$D152=0),ROW(),0)</f>
        <v/>
      </c>
      <c r="DR152">
        <f>IF(AND($E152&lt;&gt;"pre",$B152&lt;TODAY(),$DT152=0),1,0)</f>
        <v/>
      </c>
      <c r="DS152">
        <f>IF($DJ152="",NA(),$DJ152)</f>
        <v/>
      </c>
      <c r="DT152">
        <f>IF(AND($E152&lt;&gt;"pre",$CL152=0,COUNTIFS(Settings!$F$19:$F$32,"Yes",Settings!$A$19:$A$32,"&lt;&gt;",Settings!$E$19:$E$32,"&lt;&gt;No")&gt;0),1,0)</f>
        <v/>
      </c>
      <c r="DU152">
        <f>IF(AND($B152&lt;TODAY(),$S152&gt;0),1,0)</f>
        <v/>
      </c>
      <c r="DV152">
        <f>IF($DU152=1,COUNTIF($DU152:$DU$183,1),0)</f>
        <v/>
      </c>
      <c r="DW152">
        <f>IF(AND(OR(Settings!$B$19="Card",Settings!$B$19="Loan"),AND('Month-End'!$ES$7&lt;&gt;"",NOT(_xlfn.ISFORMULA('Month-End'!$ES$7)))),IF(N('Month-End'!$ES$7)&lt;0,1,0),0)+IF(AND(OR(Settings!$B$20="Card",Settings!$B$20="Loan"),AND('Month-End'!$ES$8&lt;&gt;"",NOT(_xlfn.ISFORMULA('Month-End'!$ES$8)))),IF(N('Month-End'!$ES$8)&lt;0,1,0),0)+IF(AND(OR(Settings!$B$21="Card",Settings!$B$21="Loan"),AND('Month-End'!$ES$9&lt;&gt;"",NOT(_xlfn.ISFORMULA('Month-End'!$ES$9)))),IF(N('Month-End'!$ES$9)&lt;0,1,0),0)+IF(AND(OR(Settings!$B$22="Card",Settings!$B$22="Loan"),AND('Month-End'!$ES$10&lt;&gt;"",NOT(_xlfn.ISFORMULA('Month-End'!$ES$10)))),IF(N('Month-End'!$ES$10)&lt;0,1,0),0)+IF(AND(OR(Settings!$B$23="Card",Settings!$B$23="Loan"),AND('Month-End'!$ES$11&lt;&gt;"",NOT(_xlfn.ISFORMULA('Month-End'!$ES$11)))),IF(N('Month-End'!$ES$11)&lt;0,1,0),0)+IF(AND(OR(Settings!$B$24="Card",Settings!$B$24="Loan"),AND('Month-End'!$ES$12&lt;&gt;"",NOT(_xlfn.ISFORMULA('Month-End'!$ES$12)))),IF(N('Month-End'!$ES$12)&lt;0,1,0),0)+IF(AND(OR(Settings!$B$25="Card",Settings!$B$25="Loan"),AND('Month-End'!$ES$13&lt;&gt;"",NOT(_xlfn.ISFORMULA('Month-End'!$ES$13)))),IF(N('Month-End'!$ES$13)&lt;0,1,0),0)+IF(AND(OR(Settings!$B$26="Card",Settings!$B$26="Loan"),AND('Month-End'!$ES$14&lt;&gt;"",NOT(_xlfn.ISFORMULA('Month-End'!$ES$14)))),IF(N('Month-End'!$ES$14)&lt;0,1,0),0)+IF(AND(OR(Settings!$B$27="Card",Settings!$B$27="Loan"),AND('Month-End'!$ES$15&lt;&gt;"",NOT(_xlfn.ISFORMULA('Month-End'!$ES$15)))),IF(N('Month-End'!$ES$15)&lt;0,1,0),0)+IF(AND(OR(Settings!$B$28="Card",Settings!$B$28="Loan"),AND('Month-End'!$ES$16&lt;&gt;"",NOT(_xlfn.ISFORMULA('Month-End'!$ES$16)))),IF(N('Month-End'!$ES$16)&lt;0,1,0),0)+IF(AND(OR(Settings!$B$29="Card",Settings!$B$29="Loan"),AND('Month-End'!$ES$17&lt;&gt;"",NOT(_xlfn.ISFORMULA('Month-End'!$ES$17)))),IF(N('Month-End'!$ES$17)&lt;0,1,0),0)+IF(AND(OR(Settings!$B$30="Card",Settings!$B$30="Loan"),AND('Month-End'!$ES$18&lt;&gt;"",NOT(_xlfn.ISFORMULA('Month-End'!$ES$18)))),IF(N('Month-End'!$ES$18)&lt;0,1,0),0)+IF(AND(OR(Settings!$B$31="Card",Settings!$B$31="Loan"),AND('Month-End'!$ES$19&lt;&gt;"",NOT(_xlfn.ISFORMULA('Month-End'!$ES$19)))),IF(N('Month-End'!$ES$19)&lt;0,1,0),0)+IF(AND(OR(Settings!$B$32="Card",Settings!$B$32="Loan"),AND('Month-End'!$ES$20&lt;&gt;"",NOT(_xlfn.ISFORMULA('Month-End'!$ES$20)))),IF(N('Month-End'!$ES$20)&lt;0,1,0),0)</f>
        <v/>
      </c>
      <c r="DX152">
        <f>IF(Settings!$B$36="Retirement",$AY152,0)+IF(Settings!$B$37="Retirement",$AZ152,0)+IF(Settings!$B$38="Retirement",$BA152,0)+IF(Settings!$B$39="Retirement",$BB152,0)+IF(Settings!$B$40="Retirement",$BC152,0)+IF(Settings!$B$41="Retirement",$BD152,0)</f>
        <v/>
      </c>
      <c r="ET152">
        <f>IF($E152&lt;&gt;"open",0,IF(AND('Month-End'!$ES$22&lt;&gt;"",NOT(_xlfn.ISFORMULA('Month-End'!$ES$22))),0,IF(OR(Settings!$C$45="",Settings!$D$45=""),0,Settings!$C$45*IF(Settings!$D$45="Weekly",IF(IFERROR(MATCH(Settings!$E$45,$EO$4:$EO$10,0),0)=0,0,IF(MIN(Settings!$B$5,IF(Settings!$G$45="",Settings!$B$5,Settings!$G$45))&lt;MAX($A152,Settings!$F$45),0,INT((MIN(Settings!$B$5,IF(Settings!$G$45="",Settings!$B$5,Settings!$G$45))-MAX($A152,Settings!$F$45)-MOD(IFERROR(MATCH(Settings!$E$45,$EO$4:$EO$10,0),0)-WEEKDAY(MAX($A152,Settings!$F$45)),7))/7)+1)),IF(AND(IF(Settings!$E$45="",$B152,DATE(YEAR($A152),MONTH($A152),MIN(Settings!$E$45,DAY($B152))))&gt;=MAX($A152,Settings!$F$45),IF(Settings!$E$45="",$B152,DATE(YEAR($A152),MONTH($A152),MIN(Settings!$E$45,DAY($B152))))&lt;=MIN(Settings!$B$5,IF(Settings!$G$45="",Settings!$B$5,Settings!$G$45))),1,0)))))</f>
        <v/>
      </c>
      <c r="EU152">
        <f>IF($E152&lt;&gt;"open",0,IF(AND('Month-End'!$ES$23&lt;&gt;"",NOT(_xlfn.ISFORMULA('Month-End'!$ES$23))),0,IF(OR(Settings!$C$46="",Settings!$D$46=""),0,Settings!$C$46*IF(Settings!$D$46="Weekly",IF(IFERROR(MATCH(Settings!$E$46,$EO$4:$EO$10,0),0)=0,0,IF(MIN(Settings!$B$5,IF(Settings!$G$46="",Settings!$B$5,Settings!$G$46))&lt;MAX($A152,Settings!$F$46),0,INT((MIN(Settings!$B$5,IF(Settings!$G$46="",Settings!$B$5,Settings!$G$46))-MAX($A152,Settings!$F$46)-MOD(IFERROR(MATCH(Settings!$E$46,$EO$4:$EO$10,0),0)-WEEKDAY(MAX($A152,Settings!$F$46)),7))/7)+1)),IF(AND(IF(Settings!$E$46="",$B152,DATE(YEAR($A152),MONTH($A152),MIN(Settings!$E$46,DAY($B152))))&gt;=MAX($A152,Settings!$F$46),IF(Settings!$E$46="",$B152,DATE(YEAR($A152),MONTH($A152),MIN(Settings!$E$46,DAY($B152))))&lt;=MIN(Settings!$B$5,IF(Settings!$G$46="",Settings!$B$5,Settings!$G$46))),1,0)))))</f>
        <v/>
      </c>
      <c r="EV152">
        <f>IF($E152&lt;&gt;"open",0,IF(AND('Month-End'!$ES$24&lt;&gt;"",NOT(_xlfn.ISFORMULA('Month-End'!$ES$24))),0,IF(OR(Settings!$C$47="",Settings!$D$47=""),0,Settings!$C$47*IF(Settings!$D$47="Weekly",IF(IFERROR(MATCH(Settings!$E$47,$EO$4:$EO$10,0),0)=0,0,IF(MIN(Settings!$B$5,IF(Settings!$G$47="",Settings!$B$5,Settings!$G$47))&lt;MAX($A152,Settings!$F$47),0,INT((MIN(Settings!$B$5,IF(Settings!$G$47="",Settings!$B$5,Settings!$G$47))-MAX($A152,Settings!$F$47)-MOD(IFERROR(MATCH(Settings!$E$47,$EO$4:$EO$10,0),0)-WEEKDAY(MAX($A152,Settings!$F$47)),7))/7)+1)),IF(AND(IF(Settings!$E$47="",$B152,DATE(YEAR($A152),MONTH($A152),MIN(Settings!$E$47,DAY($B152))))&gt;=MAX($A152,Settings!$F$47),IF(Settings!$E$47="",$B152,DATE(YEAR($A152),MONTH($A152),MIN(Settings!$E$47,DAY($B152))))&lt;=MIN(Settings!$B$5,IF(Settings!$G$47="",Settings!$B$5,Settings!$G$47))),1,0)))))</f>
        <v/>
      </c>
      <c r="EW152">
        <f>IF($E152&lt;&gt;"open",0,IF(AND('Month-End'!$ES$25&lt;&gt;"",NOT(_xlfn.ISFORMULA('Month-End'!$ES$25))),0,IF(OR(Settings!$C$48="",Settings!$D$48=""),0,Settings!$C$48*IF(Settings!$D$48="Weekly",IF(IFERROR(MATCH(Settings!$E$48,$EO$4:$EO$10,0),0)=0,0,IF(MIN(Settings!$B$5,IF(Settings!$G$48="",Settings!$B$5,Settings!$G$48))&lt;MAX($A152,Settings!$F$48),0,INT((MIN(Settings!$B$5,IF(Settings!$G$48="",Settings!$B$5,Settings!$G$48))-MAX($A152,Settings!$F$48)-MOD(IFERROR(MATCH(Settings!$E$48,$EO$4:$EO$10,0),0)-WEEKDAY(MAX($A152,Settings!$F$48)),7))/7)+1)),IF(AND(IF(Settings!$E$48="",$B152,DATE(YEAR($A152),MONTH($A152),MIN(Settings!$E$48,DAY($B152))))&gt;=MAX($A152,Settings!$F$48),IF(Settings!$E$48="",$B152,DATE(YEAR($A152),MONTH($A152),MIN(Settings!$E$48,DAY($B152))))&lt;=MIN(Settings!$B$5,IF(Settings!$G$48="",Settings!$B$5,Settings!$G$48))),1,0)))))</f>
        <v/>
      </c>
      <c r="EX152">
        <f>IF($E152&lt;&gt;"open",0,IF(AND('Month-End'!$ES$26&lt;&gt;"",NOT(_xlfn.ISFORMULA('Month-End'!$ES$26))),0,IF(OR(Settings!$C$49="",Settings!$D$49=""),0,Settings!$C$49*IF(Settings!$D$49="Weekly",IF(IFERROR(MATCH(Settings!$E$49,$EO$4:$EO$10,0),0)=0,0,IF(MIN(Settings!$B$5,IF(Settings!$G$49="",Settings!$B$5,Settings!$G$49))&lt;MAX($A152,Settings!$F$49),0,INT((MIN(Settings!$B$5,IF(Settings!$G$49="",Settings!$B$5,Settings!$G$49))-MAX($A152,Settings!$F$49)-MOD(IFERROR(MATCH(Settings!$E$49,$EO$4:$EO$10,0),0)-WEEKDAY(MAX($A152,Settings!$F$49)),7))/7)+1)),IF(AND(IF(Settings!$E$49="",$B152,DATE(YEAR($A152),MONTH($A152),MIN(Settings!$E$49,DAY($B152))))&gt;=MAX($A152,Settings!$F$49),IF(Settings!$E$49="",$B152,DATE(YEAR($A152),MONTH($A152),MIN(Settings!$E$49,DAY($B152))))&lt;=MIN(Settings!$B$5,IF(Settings!$G$49="",Settings!$B$5,Settings!$G$49))),1,0)))))</f>
        <v/>
      </c>
      <c r="EY152">
        <f>IF($E152&lt;&gt;"open",0,IF(AND('Month-End'!$ES$27&lt;&gt;"",NOT(_xlfn.ISFORMULA('Month-End'!$ES$27))),0,IF(OR(Settings!$C$50="",Settings!$D$50=""),0,Settings!$C$50*IF(Settings!$D$50="Weekly",IF(IFERROR(MATCH(Settings!$E$50,$EO$4:$EO$10,0),0)=0,0,IF(MIN(Settings!$B$5,IF(Settings!$G$50="",Settings!$B$5,Settings!$G$50))&lt;MAX($A152,Settings!$F$50),0,INT((MIN(Settings!$B$5,IF(Settings!$G$50="",Settings!$B$5,Settings!$G$50))-MAX($A152,Settings!$F$50)-MOD(IFERROR(MATCH(Settings!$E$50,$EO$4:$EO$10,0),0)-WEEKDAY(MAX($A152,Settings!$F$50)),7))/7)+1)),IF(AND(IF(Settings!$E$50="",$B152,DATE(YEAR($A152),MONTH($A152),MIN(Settings!$E$50,DAY($B152))))&gt;=MAX($A152,Settings!$F$50),IF(Settings!$E$50="",$B152,DATE(YEAR($A152),MONTH($A152),MIN(Settings!$E$50,DAY($B152))))&lt;=MIN(Settings!$B$5,IF(Settings!$G$50="",Settings!$B$5,Settings!$G$50))),1,0)))))</f>
        <v/>
      </c>
      <c r="EZ152">
        <f>IF($E152&lt;&gt;"open",0,IF(AND('Month-End'!$ES$28&lt;&gt;"",NOT(_xlfn.ISFORMULA('Month-End'!$ES$28))),0,IF(OR(Settings!$C$51="",Settings!$D$51=""),0,Settings!$C$51*IF(Settings!$D$51="Weekly",IF(IFERROR(MATCH(Settings!$E$51,$EO$4:$EO$10,0),0)=0,0,IF(MIN(Settings!$B$5,IF(Settings!$G$51="",Settings!$B$5,Settings!$G$51))&lt;MAX($A152,Settings!$F$51),0,INT((MIN(Settings!$B$5,IF(Settings!$G$51="",Settings!$B$5,Settings!$G$51))-MAX($A152,Settings!$F$51)-MOD(IFERROR(MATCH(Settings!$E$51,$EO$4:$EO$10,0),0)-WEEKDAY(MAX($A152,Settings!$F$51)),7))/7)+1)),IF(AND(IF(Settings!$E$51="",$B152,DATE(YEAR($A152),MONTH($A152),MIN(Settings!$E$51,DAY($B152))))&gt;=MAX($A152,Settings!$F$51),IF(Settings!$E$51="",$B152,DATE(YEAR($A152),MONTH($A152),MIN(Settings!$E$51,DAY($B152))))&lt;=MIN(Settings!$B$5,IF(Settings!$G$51="",Settings!$B$5,Settings!$G$51))),1,0)))))</f>
        <v/>
      </c>
      <c r="FA152">
        <f>IF($E152&lt;&gt;"open",0,IF(AND('Month-End'!$ES$29&lt;&gt;"",NOT(_xlfn.ISFORMULA('Month-End'!$ES$29))),0,IF(OR(Settings!$C$52="",Settings!$D$52=""),0,Settings!$C$52*IF(Settings!$D$52="Weekly",IF(IFERROR(MATCH(Settings!$E$52,$EO$4:$EO$10,0),0)=0,0,IF(MIN(Settings!$B$5,IF(Settings!$G$52="",Settings!$B$5,Settings!$G$52))&lt;MAX($A152,Settings!$F$52),0,INT((MIN(Settings!$B$5,IF(Settings!$G$52="",Settings!$B$5,Settings!$G$52))-MAX($A152,Settings!$F$52)-MOD(IFERROR(MATCH(Settings!$E$52,$EO$4:$EO$10,0),0)-WEEKDAY(MAX($A152,Settings!$F$52)),7))/7)+1)),IF(AND(IF(Settings!$E$52="",$B152,DATE(YEAR($A152),MONTH($A152),MIN(Settings!$E$52,DAY($B152))))&gt;=MAX($A152,Settings!$F$52),IF(Settings!$E$52="",$B152,DATE(YEAR($A152),MONTH($A152),MIN(Settings!$E$52,DAY($B152))))&lt;=MIN(Settings!$B$5,IF(Settings!$G$52="",Settings!$B$5,Settings!$G$52))),1,0)))))</f>
        <v/>
      </c>
      <c r="FB152">
        <f>IF($E152&lt;&gt;"open",0,IF(AND('Month-End'!$ES$30&lt;&gt;"",NOT(_xlfn.ISFORMULA('Month-End'!$ES$30))),0,IF(OR(Settings!$C$53="",Settings!$D$53=""),0,Settings!$C$53*IF(Settings!$D$53="Weekly",IF(IFERROR(MATCH(Settings!$E$53,$EO$4:$EO$10,0),0)=0,0,IF(MIN(Settings!$B$5,IF(Settings!$G$53="",Settings!$B$5,Settings!$G$53))&lt;MAX($A152,Settings!$F$53),0,INT((MIN(Settings!$B$5,IF(Settings!$G$53="",Settings!$B$5,Settings!$G$53))-MAX($A152,Settings!$F$53)-MOD(IFERROR(MATCH(Settings!$E$53,$EO$4:$EO$10,0),0)-WEEKDAY(MAX($A152,Settings!$F$53)),7))/7)+1)),IF(AND(IF(Settings!$E$53="",$B152,DATE(YEAR($A152),MONTH($A152),MIN(Settings!$E$53,DAY($B152))))&gt;=MAX($A152,Settings!$F$53),IF(Settings!$E$53="",$B152,DATE(YEAR($A152),MONTH($A152),MIN(Settings!$E$53,DAY($B152))))&lt;=MIN(Settings!$B$5,IF(Settings!$G$53="",Settings!$B$5,Settings!$G$53))),1,0)))))</f>
        <v/>
      </c>
      <c r="FC152">
        <f>IF($E152&lt;&gt;"open",0,IF(AND('Month-End'!$ES$31&lt;&gt;"",NOT(_xlfn.ISFORMULA('Month-End'!$ES$31))),0,IF(OR(Settings!$C$54="",Settings!$D$54=""),0,Settings!$C$54*IF(Settings!$D$54="Weekly",IF(IFERROR(MATCH(Settings!$E$54,$EO$4:$EO$10,0),0)=0,0,IF(MIN(Settings!$B$5,IF(Settings!$G$54="",Settings!$B$5,Settings!$G$54))&lt;MAX($A152,Settings!$F$54),0,INT((MIN(Settings!$B$5,IF(Settings!$G$54="",Settings!$B$5,Settings!$G$54))-MAX($A152,Settings!$F$54)-MOD(IFERROR(MATCH(Settings!$E$54,$EO$4:$EO$10,0),0)-WEEKDAY(MAX($A152,Settings!$F$54)),7))/7)+1)),IF(AND(IF(Settings!$E$54="",$B152,DATE(YEAR($A152),MONTH($A152),MIN(Settings!$E$54,DAY($B152))))&gt;=MAX($A152,Settings!$F$54),IF(Settings!$E$54="",$B152,DATE(YEAR($A152),MONTH($A152),MIN(Settings!$E$54,DAY($B152))))&lt;=MIN(Settings!$B$5,IF(Settings!$G$54="",Settings!$B$5,Settings!$G$54))),1,0)))))</f>
        <v/>
      </c>
      <c r="FD152">
        <f>IF($E152&lt;&gt;"open",0,IF(AND('Month-End'!$ES$32&lt;&gt;"",NOT(_xlfn.ISFORMULA('Month-End'!$ES$32))),0,IF(OR(Settings!$C$55="",Settings!$D$55=""),0,Settings!$C$55*IF(Settings!$D$55="Weekly",IF(IFERROR(MATCH(Settings!$E$55,$EO$4:$EO$10,0),0)=0,0,IF(MIN(Settings!$B$5,IF(Settings!$G$55="",Settings!$B$5,Settings!$G$55))&lt;MAX($A152,Settings!$F$55),0,INT((MIN(Settings!$B$5,IF(Settings!$G$55="",Settings!$B$5,Settings!$G$55))-MAX($A152,Settings!$F$55)-MOD(IFERROR(MATCH(Settings!$E$55,$EO$4:$EO$10,0),0)-WEEKDAY(MAX($A152,Settings!$F$55)),7))/7)+1)),IF(AND(IF(Settings!$E$55="",$B152,DATE(YEAR($A152),MONTH($A152),MIN(Settings!$E$55,DAY($B152))))&gt;=MAX($A152,Settings!$F$55),IF(Settings!$E$55="",$B152,DATE(YEAR($A152),MONTH($A152),MIN(Settings!$E$55,DAY($B152))))&lt;=MIN(Settings!$B$5,IF(Settings!$G$55="",Settings!$B$5,Settings!$G$55))),1,0)))))</f>
        <v/>
      </c>
      <c r="FE152">
        <f>IF($E152&lt;&gt;"open",0,IF(AND('Month-End'!$ES$33&lt;&gt;"",NOT(_xlfn.ISFORMULA('Month-End'!$ES$33))),0,IF(OR(Settings!$C$56="",Settings!$D$56=""),0,Settings!$C$56*IF(Settings!$D$56="Weekly",IF(IFERROR(MATCH(Settings!$E$56,$EO$4:$EO$10,0),0)=0,0,IF(MIN(Settings!$B$5,IF(Settings!$G$56="",Settings!$B$5,Settings!$G$56))&lt;MAX($A152,Settings!$F$56),0,INT((MIN(Settings!$B$5,IF(Settings!$G$56="",Settings!$B$5,Settings!$G$56))-MAX($A152,Settings!$F$56)-MOD(IFERROR(MATCH(Settings!$E$56,$EO$4:$EO$10,0),0)-WEEKDAY(MAX($A152,Settings!$F$56)),7))/7)+1)),IF(AND(IF(Settings!$E$56="",$B152,DATE(YEAR($A152),MONTH($A152),MIN(Settings!$E$56,DAY($B152))))&gt;=MAX($A152,Settings!$F$56),IF(Settings!$E$56="",$B152,DATE(YEAR($A152),MONTH($A152),MIN(Settings!$E$56,DAY($B152))))&lt;=MIN(Settings!$B$5,IF(Settings!$G$56="",Settings!$B$5,Settings!$G$56))),1,0)))))</f>
        <v/>
      </c>
      <c r="FF152">
        <f>IF(Settings!$I$45="Yes",$G152,0)+IF(Settings!$I$46="Yes",$H152,0)+IF(Settings!$I$47="Yes",$I152,0)+IF(Settings!$I$48="Yes",$J152,0)+IF(Settings!$I$49="Yes",$K152,0)+IF(Settings!$I$50="Yes",$L152,0)+IF(Settings!$I$51="Yes",$M152,0)+IF(Settings!$I$52="Yes",$N152,0)+IF(Settings!$I$53="Yes",$O152,0)+IF(Settings!$I$54="Yes",$P152,0)+IF(Settings!$I$55="Yes",$Q152,0)+IF(Settings!$I$56="Yes",$R152,0)</f>
        <v/>
      </c>
      <c r="FG152">
        <f>IF(AND(Settings!$I$45="Yes",Settings!$J$45="No"),$G152,0)+IF(AND(Settings!$I$46="Yes",Settings!$J$46="No"),$H152,0)+IF(AND(Settings!$I$47="Yes",Settings!$J$47="No"),$I152,0)+IF(AND(Settings!$I$48="Yes",Settings!$J$48="No"),$J152,0)+IF(AND(Settings!$I$49="Yes",Settings!$J$49="No"),$K152,0)+IF(AND(Settings!$I$50="Yes",Settings!$J$50="No"),$L152,0)+IF(AND(Settings!$I$51="Yes",Settings!$J$51="No"),$M152,0)+IF(AND(Settings!$I$52="Yes",Settings!$J$52="No"),$N152,0)+IF(AND(Settings!$I$53="Yes",Settings!$J$53="No"),$O152,0)+IF(AND(Settings!$I$54="Yes",Settings!$J$54="No"),$P152,0)+IF(AND(Settings!$I$55="Yes",Settings!$J$55="No"),$Q152,0)+IF(AND(Settings!$I$56="Yes",Settings!$J$56="No"),$R152,0)</f>
        <v/>
      </c>
      <c r="FH152">
        <f>SUMIFS(Giving!$B$7:$B$2006,Giving!$A$7:$A$2006,"&gt;="&amp;$A152,Giving!$A$7:$A$2006,"&lt;="&amp;$B152,Giving!$G$7:$G$2006,"Yes")+IF(OR(OR(Settings!$B$60="",Settings!$F$60="No"),Settings!$H$60&lt;&gt;"Yes"),0,Settings!$B$60*IF(AND(IF(Settings!$C$60="",$B152,DATE(YEAR($A152),MONTH($A152),MIN(Settings!$C$60,DAY($B152))))&gt;=MAX($A152,Settings!$D$60),IF(Settings!$C$60="",$B152,DATE(YEAR($A152),MONTH($A152),MIN(Settings!$C$60,DAY($B152))))&lt;=MIN($C152,IF(Settings!$E$60="",$C152,Settings!$E$60))),1,0))+IF(OR(OR(Settings!$B$61="",Settings!$F$61="No"),Settings!$H$61&lt;&gt;"Yes"),0,Settings!$B$61*IF(AND(IF(Settings!$C$61="",$B152,DATE(YEAR($A152),MONTH($A152),MIN(Settings!$C$61,DAY($B152))))&gt;=MAX($A152,Settings!$D$61),IF(Settings!$C$61="",$B152,DATE(YEAR($A152),MONTH($A152),MIN(Settings!$C$61,DAY($B152))))&lt;=MIN($C152,IF(Settings!$E$61="",$C152,Settings!$E$61))),1,0))+IF(OR(OR(Settings!$B$62="",Settings!$F$62="No"),Settings!$H$62&lt;&gt;"Yes"),0,Settings!$B$62*IF(AND(IF(Settings!$C$62="",$B152,DATE(YEAR($A152),MONTH($A152),MIN(Settings!$C$62,DAY($B152))))&gt;=MAX($A152,Settings!$D$62),IF(Settings!$C$62="",$B152,DATE(YEAR($A152),MONTH($A152),MIN(Settings!$C$62,DAY($B152))))&lt;=MIN($C152,IF(Settings!$E$62="",$C152,Settings!$E$62))),1,0))+IF(OR(OR(Settings!$B$63="",Settings!$F$63="No"),Settings!$H$63&lt;&gt;"Yes"),0,Settings!$B$63*IF(AND(IF(Settings!$C$63="",$B152,DATE(YEAR($A152),MONTH($A152),MIN(Settings!$C$63,DAY($B152))))&gt;=MAX($A152,Settings!$D$63),IF(Settings!$C$63="",$B152,DATE(YEAR($A152),MONTH($A152),MIN(Settings!$C$63,DAY($B152))))&lt;=MIN($C152,IF(Settings!$E$63="",$C152,Settings!$E$63))),1,0))+IF(OR(OR(Settings!$B$64="",Settings!$F$64="No"),Settings!$H$64&lt;&gt;"Yes"),0,Settings!$B$64*IF(AND(IF(Settings!$C$64="",$B152,DATE(YEAR($A152),MONTH($A152),MIN(Settings!$C$64,DAY($B152))))&gt;=MAX($A152,Settings!$D$64),IF(Settings!$C$64="",$B152,DATE(YEAR($A152),MONTH($A152),MIN(Settings!$C$64,DAY($B152))))&lt;=MIN($C152,IF(Settings!$E$64="",$C152,Settings!$E$64))),1,0))+IF(OR(OR(Settings!$B$65="",Settings!$F$65="No"),Settings!$H$65&lt;&gt;"Yes"),0,Settings!$B$65*IF(AND(IF(Settings!$C$65="",$B152,DATE(YEAR($A152),MONTH($A152),MIN(Settings!$C$65,DAY($B152))))&gt;=MAX($A152,Settings!$D$65),IF(Settings!$C$65="",$B152,DATE(YEAR($A152),MONTH($A152),MIN(Settings!$C$65,DAY($B152))))&lt;=MIN($C152,IF(Settings!$E$65="",$C152,Settings!$E$65))),1,0))</f>
        <v/>
      </c>
      <c r="FI152">
        <f>IF($DT152=1,IF(OR(Settings!$B$19="Card",Settings!$B$19="Loan"),N($AE152),0)+IF(OR(Settings!$B$20="Card",Settings!$B$20="Loan"),N($AF152),0)+IF(OR(Settings!$B$21="Card",Settings!$B$21="Loan"),N($AG152),0)+IF(OR(Settings!$B$22="Card",Settings!$B$22="Loan"),N($AH152),0)+IF(OR(Settings!$B$23="Card",Settings!$B$23="Loan"),N($AI152),0)+IF(OR(Settings!$B$24="Card",Settings!$B$24="Loan"),N($AJ152),0)+IF(OR(Settings!$B$25="Card",Settings!$B$25="Loan"),N($AK152),0)+IF(OR(Settings!$B$26="Card",Settings!$B$26="Loan"),N($AL152),0)+IF(OR(Settings!$B$27="Card",Settings!$B$27="Loan"),N($AM152),0)+IF(OR(Settings!$B$28="Card",Settings!$B$28="Loan"),N($AN152),0)+IF(OR(Settings!$B$29="Card",Settings!$B$29="Loan"),N($AO152),0)+IF(OR(Settings!$B$30="Card",Settings!$B$30="Loan"),N($AP152),0)+IF(OR(Settings!$B$31="Card",Settings!$B$31="Loan"),N($AQ152),0)+IF(OR(Settings!$B$32="Card",Settings!$B$32="Loan"),N($AR152),0),"")</f>
        <v/>
      </c>
      <c r="FJ152">
        <f>IF($E152="open",$EB$65,IF($E152="post",IF($E151="pre",$EB$65,$FI151),""))</f>
        <v/>
      </c>
      <c r="FK152">
        <f>IF(AND($DT152=1,$DC152=1),IF(ROUND($FI152-$FJ152,2)&gt;0,1,0),0)</f>
        <v/>
      </c>
      <c r="FL152">
        <f>IF($FK152=1,$FL151+1,0)</f>
        <v/>
      </c>
    </row>
    <row r="153">
      <c r="A153">
        <f>'Month-End'!$ET$4</f>
        <v/>
      </c>
      <c r="B153">
        <f>EOMONTH($A153,0)</f>
        <v/>
      </c>
      <c r="C153">
        <f>MIN($B153,TODAY())</f>
        <v/>
      </c>
      <c r="D153">
        <f>IF($A153&gt;TODAY(),1,0)</f>
        <v/>
      </c>
      <c r="E153">
        <f>IF($B153&lt;=Settings!$B$5,"pre",IF($A153&lt;=Settings!$B$5,"open","post"))</f>
        <v/>
      </c>
      <c r="G153">
        <f>IF('Month-End'!$ET$22="",$BE153,N('Month-End'!$ET$22))</f>
        <v/>
      </c>
      <c r="H153">
        <f>IF('Month-End'!$ET$23="",$BF153,N('Month-End'!$ET$23))</f>
        <v/>
      </c>
      <c r="I153">
        <f>IF('Month-End'!$ET$24="",$BG153,N('Month-End'!$ET$24))</f>
        <v/>
      </c>
      <c r="J153">
        <f>IF('Month-End'!$ET$25="",$BH153,N('Month-End'!$ET$25))</f>
        <v/>
      </c>
      <c r="K153">
        <f>IF('Month-End'!$ET$26="",$BI153,N('Month-End'!$ET$26))</f>
        <v/>
      </c>
      <c r="L153">
        <f>IF('Month-End'!$ET$27="",$BJ153,N('Month-End'!$ET$27))</f>
        <v/>
      </c>
      <c r="M153">
        <f>IF('Month-End'!$ET$28="",$BK153,N('Month-End'!$ET$28))</f>
        <v/>
      </c>
      <c r="N153">
        <f>IF('Month-End'!$ET$29="",$BL153,N('Month-End'!$ET$29))</f>
        <v/>
      </c>
      <c r="O153">
        <f>IF('Month-End'!$ET$30="",$BM153,N('Month-End'!$ET$30))</f>
        <v/>
      </c>
      <c r="P153">
        <f>IF('Month-End'!$ET$31="",$BN153,N('Month-End'!$ET$31))</f>
        <v/>
      </c>
      <c r="Q153">
        <f>IF('Month-End'!$ET$32="",$BO153,N('Month-End'!$ET$32))</f>
        <v/>
      </c>
      <c r="R153">
        <f>IF('Month-End'!$ET$33="",$BP153,N('Month-End'!$ET$33))</f>
        <v/>
      </c>
      <c r="S153">
        <f>$G153+$H153+$I153+$J153+$K153+$L153+$M153+$N153+$O153+$P153+$Q153+$R153</f>
        <v/>
      </c>
      <c r="T153">
        <f>IF($B153&lt;Settings!$B$6,0,IF(Settings!$B$45="Yes",$G153,0)+IF(Settings!$B$46="Yes",$H153,0)+IF(Settings!$B$47="Yes",$I153,0)+IF(Settings!$B$48="Yes",$J153,0)+IF(Settings!$B$49="Yes",$K153,0)+IF(Settings!$B$50="Yes",$L153,0)+IF(Settings!$B$51="Yes",$M153,0)+IF(Settings!$B$52="Yes",$N153,0)+IF(Settings!$B$53="Yes",$O153,0)+IF(Settings!$B$54="Yes",$P153,0)+IF(Settings!$B$55="Yes",$Q153,0)+IF(Settings!$B$56="Yes",$R153,0))</f>
        <v/>
      </c>
      <c r="U153">
        <f>IF(Settings!$B$45="Not Sure",$G153,0)+IF(Settings!$B$46="Not Sure",$H153,0)+IF(Settings!$B$47="Not Sure",$I153,0)+IF(Settings!$B$48="Not Sure",$J153,0)+IF(Settings!$B$49="Not Sure",$K153,0)+IF(Settings!$B$50="Not Sure",$L153,0)+IF(Settings!$B$51="Not Sure",$M153,0)+IF(Settings!$B$52="Not Sure",$N153,0)+IF(Settings!$B$53="Not Sure",$O153,0)+IF(Settings!$B$54="Not Sure",$P153,0)+IF(Settings!$B$55="Not Sure",$Q153,0)+IF(Settings!$B$56="Not Sure",$R153,0)</f>
        <v/>
      </c>
      <c r="V153">
        <f>IF($E153="open",SUM($ET153:$FE153)+N(Settings!$B$13),0)</f>
        <v/>
      </c>
      <c r="W153">
        <f>IF($E153="post",$S153,IF($E153="open",$S153-$V153,0))</f>
        <v/>
      </c>
      <c r="X153">
        <f>SUMIFS(Giving!$B$7:$B$2006,Giving!$A$7:$A$2006,"&gt;="&amp;$A153,Giving!$A$7:$A$2006,"&lt;="&amp;$B153,Giving!$E$7:$E$2006,"&lt;&gt;No")</f>
        <v/>
      </c>
      <c r="Y153">
        <f>SUMIFS(Giving!$B$7:$B$2006,Giving!$A$7:$A$2006,"&gt;="&amp;$A153,Giving!$A$7:$A$2006,"&lt;="&amp;$B153,Giving!$E$7:$E$2006,"No")</f>
        <v/>
      </c>
      <c r="Z153">
        <f>IF(OR(Settings!$B$60="",Settings!$F$60="No"),0,Settings!$B$60*IF(AND(IF(Settings!$C$60="",$B153,DATE(YEAR($A153),MONTH($A153),MIN(Settings!$C$60,DAY($B153))))&gt;=MAX($A153,Settings!$D$60),IF(Settings!$C$60="",$B153,DATE(YEAR($A153),MONTH($A153),MIN(Settings!$C$60,DAY($B153))))&lt;=MIN($C153,IF(Settings!$E$60="",$C153,Settings!$E$60))),1,0))+IF(OR(Settings!$B$61="",Settings!$F$61="No"),0,Settings!$B$61*IF(AND(IF(Settings!$C$61="",$B153,DATE(YEAR($A153),MONTH($A153),MIN(Settings!$C$61,DAY($B153))))&gt;=MAX($A153,Settings!$D$61),IF(Settings!$C$61="",$B153,DATE(YEAR($A153),MONTH($A153),MIN(Settings!$C$61,DAY($B153))))&lt;=MIN($C153,IF(Settings!$E$61="",$C153,Settings!$E$61))),1,0))+IF(OR(Settings!$B$62="",Settings!$F$62="No"),0,Settings!$B$62*IF(AND(IF(Settings!$C$62="",$B153,DATE(YEAR($A153),MONTH($A153),MIN(Settings!$C$62,DAY($B153))))&gt;=MAX($A153,Settings!$D$62),IF(Settings!$C$62="",$B153,DATE(YEAR($A153),MONTH($A153),MIN(Settings!$C$62,DAY($B153))))&lt;=MIN($C153,IF(Settings!$E$62="",$C153,Settings!$E$62))),1,0))+IF(OR(Settings!$B$63="",Settings!$F$63="No"),0,Settings!$B$63*IF(AND(IF(Settings!$C$63="",$B153,DATE(YEAR($A153),MONTH($A153),MIN(Settings!$C$63,DAY($B153))))&gt;=MAX($A153,Settings!$D$63),IF(Settings!$C$63="",$B153,DATE(YEAR($A153),MONTH($A153),MIN(Settings!$C$63,DAY($B153))))&lt;=MIN($C153,IF(Settings!$E$63="",$C153,Settings!$E$63))),1,0))+IF(OR(Settings!$B$64="",Settings!$F$64="No"),0,Settings!$B$64*IF(AND(IF(Settings!$C$64="",$B153,DATE(YEAR($A153),MONTH($A153),MIN(Settings!$C$64,DAY($B153))))&gt;=MAX($A153,Settings!$D$64),IF(Settings!$C$64="",$B153,DATE(YEAR($A153),MONTH($A153),MIN(Settings!$C$64,DAY($B153))))&lt;=MIN($C153,IF(Settings!$E$64="",$C153,Settings!$E$64))),1,0))+IF(OR(Settings!$B$65="",Settings!$F$65="No"),0,Settings!$B$65*IF(AND(IF(Settings!$C$65="",$B153,DATE(YEAR($A153),MONTH($A153),MIN(Settings!$C$65,DAY($B153))))&gt;=MAX($A153,Settings!$D$65),IF(Settings!$C$65="",$B153,DATE(YEAR($A153),MONTH($A153),MIN(Settings!$C$65,DAY($B153))))&lt;=MIN($C153,IF(Settings!$E$65="",$C153,Settings!$E$65))),1,0))</f>
        <v/>
      </c>
      <c r="AA153">
        <f>$X153+$Z153</f>
        <v/>
      </c>
      <c r="AB153">
        <f>IF($E153="post",$AA153,IF($E153="open",SUMIFS(Giving!$B$7:$B$2006,Giving!$A$7:$A$2006,"&gt;"&amp;Settings!$B$5,Giving!$A$7:$A$2006,"&lt;="&amp;$B153,Giving!$E$7:$E$2006,"&lt;&gt;No")+IF(OR(Settings!$B$60="",Settings!$F$60="No"),0,Settings!$B$60*IF(AND(IF(Settings!$C$60="",$B153,DATE(YEAR($A153),MONTH($A153),MIN(Settings!$C$60,DAY($B153))))&gt;=MAX($A153,Settings!$D$60,Settings!$B$5+1),IF(Settings!$C$60="",$B153,DATE(YEAR($A153),MONTH($A153),MIN(Settings!$C$60,DAY($B153))))&lt;=MIN($C153,IF(Settings!$E$60="",$C153,Settings!$E$60))),1,0))+IF(OR(Settings!$B$61="",Settings!$F$61="No"),0,Settings!$B$61*IF(AND(IF(Settings!$C$61="",$B153,DATE(YEAR($A153),MONTH($A153),MIN(Settings!$C$61,DAY($B153))))&gt;=MAX($A153,Settings!$D$61,Settings!$B$5+1),IF(Settings!$C$61="",$B153,DATE(YEAR($A153),MONTH($A153),MIN(Settings!$C$61,DAY($B153))))&lt;=MIN($C153,IF(Settings!$E$61="",$C153,Settings!$E$61))),1,0))+IF(OR(Settings!$B$62="",Settings!$F$62="No"),0,Settings!$B$62*IF(AND(IF(Settings!$C$62="",$B153,DATE(YEAR($A153),MONTH($A153),MIN(Settings!$C$62,DAY($B153))))&gt;=MAX($A153,Settings!$D$62,Settings!$B$5+1),IF(Settings!$C$62="",$B153,DATE(YEAR($A153),MONTH($A153),MIN(Settings!$C$62,DAY($B153))))&lt;=MIN($C153,IF(Settings!$E$62="",$C153,Settings!$E$62))),1,0))+IF(OR(Settings!$B$63="",Settings!$F$63="No"),0,Settings!$B$63*IF(AND(IF(Settings!$C$63="",$B153,DATE(YEAR($A153),MONTH($A153),MIN(Settings!$C$63,DAY($B153))))&gt;=MAX($A153,Settings!$D$63,Settings!$B$5+1),IF(Settings!$C$63="",$B153,DATE(YEAR($A153),MONTH($A153),MIN(Settings!$C$63,DAY($B153))))&lt;=MIN($C153,IF(Settings!$E$63="",$C153,Settings!$E$63))),1,0))+IF(OR(Settings!$B$64="",Settings!$F$64="No"),0,Settings!$B$64*IF(AND(IF(Settings!$C$64="",$B153,DATE(YEAR($A153),MONTH($A153),MIN(Settings!$C$64,DAY($B153))))&gt;=MAX($A153,Settings!$D$64,Settings!$B$5+1),IF(Settings!$C$64="",$B153,DATE(YEAR($A153),MONTH($A153),MIN(Settings!$C$64,DAY($B153))))&lt;=MIN($C153,IF(Settings!$E$64="",$C153,Settings!$E$64))),1,0))+IF(OR(Settings!$B$65="",Settings!$F$65="No"),0,Settings!$B$65*IF(AND(IF(Settings!$C$65="",$B153,DATE(YEAR($A153),MONTH($A153),MIN(Settings!$C$65,DAY($B153))))&gt;=MAX($A153,Settings!$D$65,Settings!$B$5+1),IF(Settings!$C$65="",$B153,DATE(YEAR($A153),MONTH($A153),MIN(Settings!$C$65,DAY($B153))))&lt;=MIN($C153,IF(Settings!$E$65="",$C153,Settings!$E$65))),1,0)),0))</f>
        <v/>
      </c>
      <c r="AC153">
        <f>$AY153+$AZ153+$BA153+$BB153+$BC153+$BD153</f>
        <v/>
      </c>
      <c r="AD153">
        <f>$AC153</f>
        <v/>
      </c>
      <c r="AE153">
        <f>IF(OR(Settings!$A$19="",$E153="pre"),"",IF(AND('Month-End'!$ET$7&lt;&gt;"",NOT(_xlfn.ISFORMULA('Month-End'!$ET$7))),N('Month-End'!$ET$7),IF(OR($E153="open",$E152="pre"),N(Settings!$C$19),N($AE152))))</f>
        <v/>
      </c>
      <c r="AF153">
        <f>IF(OR(Settings!$A$20="",$E153="pre"),"",IF(AND('Month-End'!$ET$8&lt;&gt;"",NOT(_xlfn.ISFORMULA('Month-End'!$ET$8))),N('Month-End'!$ET$8),IF(OR($E153="open",$E152="pre"),N(Settings!$C$20),N($AF152))))</f>
        <v/>
      </c>
      <c r="AG153">
        <f>IF(OR(Settings!$A$21="",$E153="pre"),"",IF(AND('Month-End'!$ET$9&lt;&gt;"",NOT(_xlfn.ISFORMULA('Month-End'!$ET$9))),N('Month-End'!$ET$9),IF(OR($E153="open",$E152="pre"),N(Settings!$C$21),N($AG152))))</f>
        <v/>
      </c>
      <c r="AH153">
        <f>IF(OR(Settings!$A$22="",$E153="pre"),"",IF(AND('Month-End'!$ET$10&lt;&gt;"",NOT(_xlfn.ISFORMULA('Month-End'!$ET$10))),N('Month-End'!$ET$10),IF(OR($E153="open",$E152="pre"),N(Settings!$C$22),N($AH152))))</f>
        <v/>
      </c>
      <c r="AI153">
        <f>IF(OR(Settings!$A$23="",$E153="pre"),"",IF(AND('Month-End'!$ET$11&lt;&gt;"",NOT(_xlfn.ISFORMULA('Month-End'!$ET$11))),N('Month-End'!$ET$11),IF(OR($E153="open",$E152="pre"),N(Settings!$C$23),N($AI152))))</f>
        <v/>
      </c>
      <c r="AJ153">
        <f>IF(OR(Settings!$A$24="",$E153="pre"),"",IF(AND('Month-End'!$ET$12&lt;&gt;"",NOT(_xlfn.ISFORMULA('Month-End'!$ET$12))),N('Month-End'!$ET$12),IF(OR($E153="open",$E152="pre"),N(Settings!$C$24),N($AJ152))))</f>
        <v/>
      </c>
      <c r="AK153">
        <f>IF(OR(Settings!$A$25="",$E153="pre"),"",IF(AND('Month-End'!$ET$13&lt;&gt;"",NOT(_xlfn.ISFORMULA('Month-End'!$ET$13))),N('Month-End'!$ET$13),IF(OR($E153="open",$E152="pre"),N(Settings!$C$25),N($AK152))))</f>
        <v/>
      </c>
      <c r="AL153">
        <f>IF(OR(Settings!$A$26="",$E153="pre"),"",IF(AND('Month-End'!$ET$14&lt;&gt;"",NOT(_xlfn.ISFORMULA('Month-End'!$ET$14))),N('Month-End'!$ET$14),IF(OR($E153="open",$E152="pre"),N(Settings!$C$26),N($AL152))))</f>
        <v/>
      </c>
      <c r="AM153">
        <f>IF(OR(Settings!$A$27="",$E153="pre"),"",IF(AND('Month-End'!$ET$15&lt;&gt;"",NOT(_xlfn.ISFORMULA('Month-End'!$ET$15))),N('Month-End'!$ET$15),IF(OR($E153="open",$E152="pre"),N(Settings!$C$27),N($AM152))))</f>
        <v/>
      </c>
      <c r="AN153">
        <f>IF(OR(Settings!$A$28="",$E153="pre"),"",IF(AND('Month-End'!$ET$16&lt;&gt;"",NOT(_xlfn.ISFORMULA('Month-End'!$ET$16))),N('Month-End'!$ET$16),IF(OR($E153="open",$E152="pre"),N(Settings!$C$28),N($AN152))))</f>
        <v/>
      </c>
      <c r="AO153">
        <f>IF(OR(Settings!$A$29="",$E153="pre"),"",IF(AND('Month-End'!$ET$17&lt;&gt;"",NOT(_xlfn.ISFORMULA('Month-End'!$ET$17))),N('Month-End'!$ET$17),IF(OR($E153="open",$E152="pre"),N(Settings!$C$29),N($AO152))))</f>
        <v/>
      </c>
      <c r="AP153">
        <f>IF(OR(Settings!$A$30="",$E153="pre"),"",IF(AND('Month-End'!$ET$18&lt;&gt;"",NOT(_xlfn.ISFORMULA('Month-End'!$ET$18))),N('Month-End'!$ET$18),IF(OR($E153="open",$E152="pre"),N(Settings!$C$30),N($AP152))))</f>
        <v/>
      </c>
      <c r="AQ153">
        <f>IF(OR(Settings!$A$31="",$E153="pre"),"",IF(AND('Month-End'!$ET$19&lt;&gt;"",NOT(_xlfn.ISFORMULA('Month-End'!$ET$19))),N('Month-End'!$ET$19),IF(OR($E153="open",$E152="pre"),N(Settings!$C$31),N($AQ152))))</f>
        <v/>
      </c>
      <c r="AR153">
        <f>IF(OR(Settings!$A$32="",$E153="pre"),"",IF(AND('Month-End'!$ET$20&lt;&gt;"",NOT(_xlfn.ISFORMULA('Month-End'!$ET$20))),N('Month-End'!$ET$20),IF(OR($E153="open",$E152="pre"),N(Settings!$C$32),N($AR152))))</f>
        <v/>
      </c>
      <c r="AS153">
        <f>IF(OR(Settings!$A$36="",$E153="pre"),"",IF(AND('Month-End'!$ET$38&lt;&gt;"",NOT(_xlfn.ISFORMULA('Month-End'!$ET$38))),N('Month-End'!$ET$38),IF(OR($E153="open",$E152="pre"),N(Settings!$C$36),N($AS152))+$AY153))</f>
        <v/>
      </c>
      <c r="AT153">
        <f>IF(OR(Settings!$A$37="",$E153="pre"),"",IF(AND('Month-End'!$ET$39&lt;&gt;"",NOT(_xlfn.ISFORMULA('Month-End'!$ET$39))),N('Month-End'!$ET$39),IF(OR($E153="open",$E152="pre"),N(Settings!$C$37),N($AT152))+$AZ153))</f>
        <v/>
      </c>
      <c r="AU153">
        <f>IF(OR(Settings!$A$38="",$E153="pre"),"",IF(AND('Month-End'!$ET$40&lt;&gt;"",NOT(_xlfn.ISFORMULA('Month-End'!$ET$40))),N('Month-End'!$ET$40),IF(OR($E153="open",$E152="pre"),N(Settings!$C$38),N($AU152))+$BA153))</f>
        <v/>
      </c>
      <c r="AV153">
        <f>IF(OR(Settings!$A$39="",$E153="pre"),"",IF(AND('Month-End'!$ET$41&lt;&gt;"",NOT(_xlfn.ISFORMULA('Month-End'!$ET$41))),N('Month-End'!$ET$41),IF(OR($E153="open",$E152="pre"),N(Settings!$C$39),N($AV152))+$BB153))</f>
        <v/>
      </c>
      <c r="AW153">
        <f>IF(OR(Settings!$A$40="",$E153="pre"),"",IF(AND('Month-End'!$ET$42&lt;&gt;"",NOT(_xlfn.ISFORMULA('Month-End'!$ET$42))),N('Month-End'!$ET$42),IF(OR($E153="open",$E152="pre"),N(Settings!$C$40),N($AW152))+$BC153))</f>
        <v/>
      </c>
      <c r="AX153">
        <f>IF(OR(Settings!$A$41="",$E153="pre"),"",IF(AND('Month-End'!$ET$43&lt;&gt;"",NOT(_xlfn.ISFORMULA('Month-End'!$ET$43))),N('Month-End'!$ET$43),IF(OR($E153="open",$E152="pre"),N(Settings!$C$41),N($AX152))+$BD153))</f>
        <v/>
      </c>
      <c r="AY153">
        <f>IF($E153="pre",0,N('Month-End'!$ET$45))</f>
        <v/>
      </c>
      <c r="AZ153">
        <f>IF($E153="pre",0,N('Month-End'!$ET$46))</f>
        <v/>
      </c>
      <c r="BA153">
        <f>IF($E153="pre",0,N('Month-End'!$ET$47))</f>
        <v/>
      </c>
      <c r="BB153">
        <f>IF($E153="pre",0,N('Month-End'!$ET$48))</f>
        <v/>
      </c>
      <c r="BC153">
        <f>IF($E153="pre",0,N('Month-End'!$ET$49))</f>
        <v/>
      </c>
      <c r="BD153">
        <f>IF($E153="pre",0,N('Month-End'!$ET$50))</f>
        <v/>
      </c>
      <c r="BE153">
        <f>IF(OR(Settings!$C$45="",Settings!$D$45=""),0,Settings!$C$45*IF(Settings!$D$45="Weekly",IF(IFERROR(MATCH(Settings!$E$45,$EO$4:$EO$10,0),0)=0,0,IF(MIN($C153,IF(Settings!$G$45="",$C153,Settings!$G$45))&lt;MAX($A153,Settings!$F$45),0,INT((MIN($C153,IF(Settings!$G$45="",$C153,Settings!$G$45))-MAX($A153,Settings!$F$45)-MOD(IFERROR(MATCH(Settings!$E$45,$EO$4:$EO$10,0),0)-WEEKDAY(MAX($A153,Settings!$F$45)),7))/7)+1)),IF(AND(IF(Settings!$E$45="",$B153,DATE(YEAR($A153),MONTH($A153),MIN(Settings!$E$45,DAY($B153))))&gt;=MAX($A153,Settings!$F$45),IF(Settings!$E$45="",$B153,DATE(YEAR($A153),MONTH($A153),MIN(Settings!$E$45,DAY($B153))))&lt;=MIN($C153,IF(Settings!$G$45="",$C153,Settings!$G$45))),1,0)))</f>
        <v/>
      </c>
      <c r="BF153">
        <f>IF(OR(Settings!$C$46="",Settings!$D$46=""),0,Settings!$C$46*IF(Settings!$D$46="Weekly",IF(IFERROR(MATCH(Settings!$E$46,$EO$4:$EO$10,0),0)=0,0,IF(MIN($C153,IF(Settings!$G$46="",$C153,Settings!$G$46))&lt;MAX($A153,Settings!$F$46),0,INT((MIN($C153,IF(Settings!$G$46="",$C153,Settings!$G$46))-MAX($A153,Settings!$F$46)-MOD(IFERROR(MATCH(Settings!$E$46,$EO$4:$EO$10,0),0)-WEEKDAY(MAX($A153,Settings!$F$46)),7))/7)+1)),IF(AND(IF(Settings!$E$46="",$B153,DATE(YEAR($A153),MONTH($A153),MIN(Settings!$E$46,DAY($B153))))&gt;=MAX($A153,Settings!$F$46),IF(Settings!$E$46="",$B153,DATE(YEAR($A153),MONTH($A153),MIN(Settings!$E$46,DAY($B153))))&lt;=MIN($C153,IF(Settings!$G$46="",$C153,Settings!$G$46))),1,0)))</f>
        <v/>
      </c>
      <c r="BG153">
        <f>IF(OR(Settings!$C$47="",Settings!$D$47=""),0,Settings!$C$47*IF(Settings!$D$47="Weekly",IF(IFERROR(MATCH(Settings!$E$47,$EO$4:$EO$10,0),0)=0,0,IF(MIN($C153,IF(Settings!$G$47="",$C153,Settings!$G$47))&lt;MAX($A153,Settings!$F$47),0,INT((MIN($C153,IF(Settings!$G$47="",$C153,Settings!$G$47))-MAX($A153,Settings!$F$47)-MOD(IFERROR(MATCH(Settings!$E$47,$EO$4:$EO$10,0),0)-WEEKDAY(MAX($A153,Settings!$F$47)),7))/7)+1)),IF(AND(IF(Settings!$E$47="",$B153,DATE(YEAR($A153),MONTH($A153),MIN(Settings!$E$47,DAY($B153))))&gt;=MAX($A153,Settings!$F$47),IF(Settings!$E$47="",$B153,DATE(YEAR($A153),MONTH($A153),MIN(Settings!$E$47,DAY($B153))))&lt;=MIN($C153,IF(Settings!$G$47="",$C153,Settings!$G$47))),1,0)))</f>
        <v/>
      </c>
      <c r="BH153">
        <f>IF(OR(Settings!$C$48="",Settings!$D$48=""),0,Settings!$C$48*IF(Settings!$D$48="Weekly",IF(IFERROR(MATCH(Settings!$E$48,$EO$4:$EO$10,0),0)=0,0,IF(MIN($C153,IF(Settings!$G$48="",$C153,Settings!$G$48))&lt;MAX($A153,Settings!$F$48),0,INT((MIN($C153,IF(Settings!$G$48="",$C153,Settings!$G$48))-MAX($A153,Settings!$F$48)-MOD(IFERROR(MATCH(Settings!$E$48,$EO$4:$EO$10,0),0)-WEEKDAY(MAX($A153,Settings!$F$48)),7))/7)+1)),IF(AND(IF(Settings!$E$48="",$B153,DATE(YEAR($A153),MONTH($A153),MIN(Settings!$E$48,DAY($B153))))&gt;=MAX($A153,Settings!$F$48),IF(Settings!$E$48="",$B153,DATE(YEAR($A153),MONTH($A153),MIN(Settings!$E$48,DAY($B153))))&lt;=MIN($C153,IF(Settings!$G$48="",$C153,Settings!$G$48))),1,0)))</f>
        <v/>
      </c>
      <c r="BI153">
        <f>IF(OR(Settings!$C$49="",Settings!$D$49=""),0,Settings!$C$49*IF(Settings!$D$49="Weekly",IF(IFERROR(MATCH(Settings!$E$49,$EO$4:$EO$10,0),0)=0,0,IF(MIN($C153,IF(Settings!$G$49="",$C153,Settings!$G$49))&lt;MAX($A153,Settings!$F$49),0,INT((MIN($C153,IF(Settings!$G$49="",$C153,Settings!$G$49))-MAX($A153,Settings!$F$49)-MOD(IFERROR(MATCH(Settings!$E$49,$EO$4:$EO$10,0),0)-WEEKDAY(MAX($A153,Settings!$F$49)),7))/7)+1)),IF(AND(IF(Settings!$E$49="",$B153,DATE(YEAR($A153),MONTH($A153),MIN(Settings!$E$49,DAY($B153))))&gt;=MAX($A153,Settings!$F$49),IF(Settings!$E$49="",$B153,DATE(YEAR($A153),MONTH($A153),MIN(Settings!$E$49,DAY($B153))))&lt;=MIN($C153,IF(Settings!$G$49="",$C153,Settings!$G$49))),1,0)))</f>
        <v/>
      </c>
      <c r="BJ153">
        <f>IF(OR(Settings!$C$50="",Settings!$D$50=""),0,Settings!$C$50*IF(Settings!$D$50="Weekly",IF(IFERROR(MATCH(Settings!$E$50,$EO$4:$EO$10,0),0)=0,0,IF(MIN($C153,IF(Settings!$G$50="",$C153,Settings!$G$50))&lt;MAX($A153,Settings!$F$50),0,INT((MIN($C153,IF(Settings!$G$50="",$C153,Settings!$G$50))-MAX($A153,Settings!$F$50)-MOD(IFERROR(MATCH(Settings!$E$50,$EO$4:$EO$10,0),0)-WEEKDAY(MAX($A153,Settings!$F$50)),7))/7)+1)),IF(AND(IF(Settings!$E$50="",$B153,DATE(YEAR($A153),MONTH($A153),MIN(Settings!$E$50,DAY($B153))))&gt;=MAX($A153,Settings!$F$50),IF(Settings!$E$50="",$B153,DATE(YEAR($A153),MONTH($A153),MIN(Settings!$E$50,DAY($B153))))&lt;=MIN($C153,IF(Settings!$G$50="",$C153,Settings!$G$50))),1,0)))</f>
        <v/>
      </c>
      <c r="BK153">
        <f>IF(OR(Settings!$C$51="",Settings!$D$51=""),0,Settings!$C$51*IF(Settings!$D$51="Weekly",IF(IFERROR(MATCH(Settings!$E$51,$EO$4:$EO$10,0),0)=0,0,IF(MIN($C153,IF(Settings!$G$51="",$C153,Settings!$G$51))&lt;MAX($A153,Settings!$F$51),0,INT((MIN($C153,IF(Settings!$G$51="",$C153,Settings!$G$51))-MAX($A153,Settings!$F$51)-MOD(IFERROR(MATCH(Settings!$E$51,$EO$4:$EO$10,0),0)-WEEKDAY(MAX($A153,Settings!$F$51)),7))/7)+1)),IF(AND(IF(Settings!$E$51="",$B153,DATE(YEAR($A153),MONTH($A153),MIN(Settings!$E$51,DAY($B153))))&gt;=MAX($A153,Settings!$F$51),IF(Settings!$E$51="",$B153,DATE(YEAR($A153),MONTH($A153),MIN(Settings!$E$51,DAY($B153))))&lt;=MIN($C153,IF(Settings!$G$51="",$C153,Settings!$G$51))),1,0)))</f>
        <v/>
      </c>
      <c r="BL153">
        <f>IF(OR(Settings!$C$52="",Settings!$D$52=""),0,Settings!$C$52*IF(Settings!$D$52="Weekly",IF(IFERROR(MATCH(Settings!$E$52,$EO$4:$EO$10,0),0)=0,0,IF(MIN($C153,IF(Settings!$G$52="",$C153,Settings!$G$52))&lt;MAX($A153,Settings!$F$52),0,INT((MIN($C153,IF(Settings!$G$52="",$C153,Settings!$G$52))-MAX($A153,Settings!$F$52)-MOD(IFERROR(MATCH(Settings!$E$52,$EO$4:$EO$10,0),0)-WEEKDAY(MAX($A153,Settings!$F$52)),7))/7)+1)),IF(AND(IF(Settings!$E$52="",$B153,DATE(YEAR($A153),MONTH($A153),MIN(Settings!$E$52,DAY($B153))))&gt;=MAX($A153,Settings!$F$52),IF(Settings!$E$52="",$B153,DATE(YEAR($A153),MONTH($A153),MIN(Settings!$E$52,DAY($B153))))&lt;=MIN($C153,IF(Settings!$G$52="",$C153,Settings!$G$52))),1,0)))</f>
        <v/>
      </c>
      <c r="BM153">
        <f>IF(OR(Settings!$C$53="",Settings!$D$53=""),0,Settings!$C$53*IF(Settings!$D$53="Weekly",IF(IFERROR(MATCH(Settings!$E$53,$EO$4:$EO$10,0),0)=0,0,IF(MIN($C153,IF(Settings!$G$53="",$C153,Settings!$G$53))&lt;MAX($A153,Settings!$F$53),0,INT((MIN($C153,IF(Settings!$G$53="",$C153,Settings!$G$53))-MAX($A153,Settings!$F$53)-MOD(IFERROR(MATCH(Settings!$E$53,$EO$4:$EO$10,0),0)-WEEKDAY(MAX($A153,Settings!$F$53)),7))/7)+1)),IF(AND(IF(Settings!$E$53="",$B153,DATE(YEAR($A153),MONTH($A153),MIN(Settings!$E$53,DAY($B153))))&gt;=MAX($A153,Settings!$F$53),IF(Settings!$E$53="",$B153,DATE(YEAR($A153),MONTH($A153),MIN(Settings!$E$53,DAY($B153))))&lt;=MIN($C153,IF(Settings!$G$53="",$C153,Settings!$G$53))),1,0)))</f>
        <v/>
      </c>
      <c r="BN153">
        <f>IF(OR(Settings!$C$54="",Settings!$D$54=""),0,Settings!$C$54*IF(Settings!$D$54="Weekly",IF(IFERROR(MATCH(Settings!$E$54,$EO$4:$EO$10,0),0)=0,0,IF(MIN($C153,IF(Settings!$G$54="",$C153,Settings!$G$54))&lt;MAX($A153,Settings!$F$54),0,INT((MIN($C153,IF(Settings!$G$54="",$C153,Settings!$G$54))-MAX($A153,Settings!$F$54)-MOD(IFERROR(MATCH(Settings!$E$54,$EO$4:$EO$10,0),0)-WEEKDAY(MAX($A153,Settings!$F$54)),7))/7)+1)),IF(AND(IF(Settings!$E$54="",$B153,DATE(YEAR($A153),MONTH($A153),MIN(Settings!$E$54,DAY($B153))))&gt;=MAX($A153,Settings!$F$54),IF(Settings!$E$54="",$B153,DATE(YEAR($A153),MONTH($A153),MIN(Settings!$E$54,DAY($B153))))&lt;=MIN($C153,IF(Settings!$G$54="",$C153,Settings!$G$54))),1,0)))</f>
        <v/>
      </c>
      <c r="BO153">
        <f>IF(OR(Settings!$C$55="",Settings!$D$55=""),0,Settings!$C$55*IF(Settings!$D$55="Weekly",IF(IFERROR(MATCH(Settings!$E$55,$EO$4:$EO$10,0),0)=0,0,IF(MIN($C153,IF(Settings!$G$55="",$C153,Settings!$G$55))&lt;MAX($A153,Settings!$F$55),0,INT((MIN($C153,IF(Settings!$G$55="",$C153,Settings!$G$55))-MAX($A153,Settings!$F$55)-MOD(IFERROR(MATCH(Settings!$E$55,$EO$4:$EO$10,0),0)-WEEKDAY(MAX($A153,Settings!$F$55)),7))/7)+1)),IF(AND(IF(Settings!$E$55="",$B153,DATE(YEAR($A153),MONTH($A153),MIN(Settings!$E$55,DAY($B153))))&gt;=MAX($A153,Settings!$F$55),IF(Settings!$E$55="",$B153,DATE(YEAR($A153),MONTH($A153),MIN(Settings!$E$55,DAY($B153))))&lt;=MIN($C153,IF(Settings!$G$55="",$C153,Settings!$G$55))),1,0)))</f>
        <v/>
      </c>
      <c r="BP153">
        <f>IF(OR(Settings!$C$56="",Settings!$D$56=""),0,Settings!$C$56*IF(Settings!$D$56="Weekly",IF(IFERROR(MATCH(Settings!$E$56,$EO$4:$EO$10,0),0)=0,0,IF(MIN($C153,IF(Settings!$G$56="",$C153,Settings!$G$56))&lt;MAX($A153,Settings!$F$56),0,INT((MIN($C153,IF(Settings!$G$56="",$C153,Settings!$G$56))-MAX($A153,Settings!$F$56)-MOD(IFERROR(MATCH(Settings!$E$56,$EO$4:$EO$10,0),0)-WEEKDAY(MAX($A153,Settings!$F$56)),7))/7)+1)),IF(AND(IF(Settings!$E$56="",$B153,DATE(YEAR($A153),MONTH($A153),MIN(Settings!$E$56,DAY($B153))))&gt;=MAX($A153,Settings!$F$56),IF(Settings!$E$56="",$B153,DATE(YEAR($A153),MONTH($A153),MIN(Settings!$E$56,DAY($B153))))&lt;=MIN($C153,IF(Settings!$G$56="",$C153,Settings!$G$56))),1,0)))</f>
        <v/>
      </c>
      <c r="BQ153">
        <f>IF(OR(Settings!$B$14="",$D153=1,$E153="pre",$A153&lt;IF(Settings!$B$15="",0,Settings!$B$15)),0,Settings!$B$14)</f>
        <v/>
      </c>
      <c r="BR153">
        <f>IF(AND('Month-End'!$ET$7&lt;&gt;"",NOT(_xlfn.ISFORMULA('Month-End'!$ET$7))),1,0)</f>
        <v/>
      </c>
      <c r="BS153">
        <f>IF(AND('Month-End'!$ET$8&lt;&gt;"",NOT(_xlfn.ISFORMULA('Month-End'!$ET$8))),1,0)</f>
        <v/>
      </c>
      <c r="BT153">
        <f>IF(AND('Month-End'!$ET$9&lt;&gt;"",NOT(_xlfn.ISFORMULA('Month-End'!$ET$9))),1,0)</f>
        <v/>
      </c>
      <c r="BU153">
        <f>IF(AND('Month-End'!$ET$10&lt;&gt;"",NOT(_xlfn.ISFORMULA('Month-End'!$ET$10))),1,0)</f>
        <v/>
      </c>
      <c r="BV153">
        <f>IF(AND('Month-End'!$ET$11&lt;&gt;"",NOT(_xlfn.ISFORMULA('Month-End'!$ET$11))),1,0)</f>
        <v/>
      </c>
      <c r="BW153">
        <f>IF(AND('Month-End'!$ET$12&lt;&gt;"",NOT(_xlfn.ISFORMULA('Month-End'!$ET$12))),1,0)</f>
        <v/>
      </c>
      <c r="BX153">
        <f>IF(AND('Month-End'!$ET$13&lt;&gt;"",NOT(_xlfn.ISFORMULA('Month-End'!$ET$13))),1,0)</f>
        <v/>
      </c>
      <c r="BY153">
        <f>IF(AND('Month-End'!$ET$14&lt;&gt;"",NOT(_xlfn.ISFORMULA('Month-End'!$ET$14))),1,0)</f>
        <v/>
      </c>
      <c r="BZ153">
        <f>IF(AND('Month-End'!$ET$15&lt;&gt;"",NOT(_xlfn.ISFORMULA('Month-End'!$ET$15))),1,0)</f>
        <v/>
      </c>
      <c r="CA153">
        <f>IF(AND('Month-End'!$ET$16&lt;&gt;"",NOT(_xlfn.ISFORMULA('Month-End'!$ET$16))),1,0)</f>
        <v/>
      </c>
      <c r="CB153">
        <f>IF(AND('Month-End'!$ET$17&lt;&gt;"",NOT(_xlfn.ISFORMULA('Month-End'!$ET$17))),1,0)</f>
        <v/>
      </c>
      <c r="CC153">
        <f>IF(AND('Month-End'!$ET$18&lt;&gt;"",NOT(_xlfn.ISFORMULA('Month-End'!$ET$18))),1,0)</f>
        <v/>
      </c>
      <c r="CD153">
        <f>IF(AND('Month-End'!$ET$19&lt;&gt;"",NOT(_xlfn.ISFORMULA('Month-End'!$ET$19))),1,0)</f>
        <v/>
      </c>
      <c r="CE153">
        <f>IF(AND('Month-End'!$ET$20&lt;&gt;"",NOT(_xlfn.ISFORMULA('Month-End'!$ET$20))),1,0)</f>
        <v/>
      </c>
      <c r="CF153">
        <f>IF(AND('Month-End'!$ET$38&lt;&gt;"",NOT(_xlfn.ISFORMULA('Month-End'!$ET$38))),1,0)</f>
        <v/>
      </c>
      <c r="CG153">
        <f>IF(AND('Month-End'!$ET$39&lt;&gt;"",NOT(_xlfn.ISFORMULA('Month-End'!$ET$39))),1,0)</f>
        <v/>
      </c>
      <c r="CH153">
        <f>IF(AND('Month-End'!$ET$40&lt;&gt;"",NOT(_xlfn.ISFORMULA('Month-End'!$ET$40))),1,0)</f>
        <v/>
      </c>
      <c r="CI153">
        <f>IF(AND('Month-End'!$ET$41&lt;&gt;"",NOT(_xlfn.ISFORMULA('Month-End'!$ET$41))),1,0)</f>
        <v/>
      </c>
      <c r="CJ153">
        <f>IF(AND('Month-End'!$ET$42&lt;&gt;"",NOT(_xlfn.ISFORMULA('Month-End'!$ET$42))),1,0)</f>
        <v/>
      </c>
      <c r="CK153">
        <f>IF(AND('Month-End'!$ET$43&lt;&gt;"",NOT(_xlfn.ISFORMULA('Month-End'!$ET$43))),1,0)</f>
        <v/>
      </c>
      <c r="CL153">
        <f>SUM($CM153:$CZ153)</f>
        <v/>
      </c>
      <c r="CM153">
        <f>IF(AND($E153&lt;&gt;"pre",AND(Settings!$A$19&lt;&gt;"",Settings!$E$19&lt;&gt;"No"),Settings!$F$19="Yes",NOT(AND('Month-End'!$ET$7&lt;&gt;"",NOT(_xlfn.ISFORMULA('Month-End'!$ET$7))))),1,0)</f>
        <v/>
      </c>
      <c r="CN153">
        <f>IF(AND($E153&lt;&gt;"pre",AND(Settings!$A$20&lt;&gt;"",Settings!$E$20&lt;&gt;"No"),Settings!$F$20="Yes",NOT(AND('Month-End'!$ET$8&lt;&gt;"",NOT(_xlfn.ISFORMULA('Month-End'!$ET$8))))),1,0)</f>
        <v/>
      </c>
      <c r="CO153">
        <f>IF(AND($E153&lt;&gt;"pre",AND(Settings!$A$21&lt;&gt;"",Settings!$E$21&lt;&gt;"No"),Settings!$F$21="Yes",NOT(AND('Month-End'!$ET$9&lt;&gt;"",NOT(_xlfn.ISFORMULA('Month-End'!$ET$9))))),1,0)</f>
        <v/>
      </c>
      <c r="CP153">
        <f>IF(AND($E153&lt;&gt;"pre",AND(Settings!$A$22&lt;&gt;"",Settings!$E$22&lt;&gt;"No"),Settings!$F$22="Yes",NOT(AND('Month-End'!$ET$10&lt;&gt;"",NOT(_xlfn.ISFORMULA('Month-End'!$ET$10))))),1,0)</f>
        <v/>
      </c>
      <c r="CQ153">
        <f>IF(AND($E153&lt;&gt;"pre",AND(Settings!$A$23&lt;&gt;"",Settings!$E$23&lt;&gt;"No"),Settings!$F$23="Yes",NOT(AND('Month-End'!$ET$11&lt;&gt;"",NOT(_xlfn.ISFORMULA('Month-End'!$ET$11))))),1,0)</f>
        <v/>
      </c>
      <c r="CR153">
        <f>IF(AND($E153&lt;&gt;"pre",AND(Settings!$A$24&lt;&gt;"",Settings!$E$24&lt;&gt;"No"),Settings!$F$24="Yes",NOT(AND('Month-End'!$ET$12&lt;&gt;"",NOT(_xlfn.ISFORMULA('Month-End'!$ET$12))))),1,0)</f>
        <v/>
      </c>
      <c r="CS153">
        <f>IF(AND($E153&lt;&gt;"pre",AND(Settings!$A$25&lt;&gt;"",Settings!$E$25&lt;&gt;"No"),Settings!$F$25="Yes",NOT(AND('Month-End'!$ET$13&lt;&gt;"",NOT(_xlfn.ISFORMULA('Month-End'!$ET$13))))),1,0)</f>
        <v/>
      </c>
      <c r="CT153">
        <f>IF(AND($E153&lt;&gt;"pre",AND(Settings!$A$26&lt;&gt;"",Settings!$E$26&lt;&gt;"No"),Settings!$F$26="Yes",NOT(AND('Month-End'!$ET$14&lt;&gt;"",NOT(_xlfn.ISFORMULA('Month-End'!$ET$14))))),1,0)</f>
        <v/>
      </c>
      <c r="CU153">
        <f>IF(AND($E153&lt;&gt;"pre",AND(Settings!$A$27&lt;&gt;"",Settings!$E$27&lt;&gt;"No"),Settings!$F$27="Yes",NOT(AND('Month-End'!$ET$15&lt;&gt;"",NOT(_xlfn.ISFORMULA('Month-End'!$ET$15))))),1,0)</f>
        <v/>
      </c>
      <c r="CV153">
        <f>IF(AND($E153&lt;&gt;"pre",AND(Settings!$A$28&lt;&gt;"",Settings!$E$28&lt;&gt;"No"),Settings!$F$28="Yes",NOT(AND('Month-End'!$ET$16&lt;&gt;"",NOT(_xlfn.ISFORMULA('Month-End'!$ET$16))))),1,0)</f>
        <v/>
      </c>
      <c r="CW153">
        <f>IF(AND($E153&lt;&gt;"pre",AND(Settings!$A$29&lt;&gt;"",Settings!$E$29&lt;&gt;"No"),Settings!$F$29="Yes",NOT(AND('Month-End'!$ET$17&lt;&gt;"",NOT(_xlfn.ISFORMULA('Month-End'!$ET$17))))),1,0)</f>
        <v/>
      </c>
      <c r="CX153">
        <f>IF(AND($E153&lt;&gt;"pre",AND(Settings!$A$30&lt;&gt;"",Settings!$E$30&lt;&gt;"No"),Settings!$F$30="Yes",NOT(AND('Month-End'!$ET$18&lt;&gt;"",NOT(_xlfn.ISFORMULA('Month-End'!$ET$18))))),1,0)</f>
        <v/>
      </c>
      <c r="CY153">
        <f>IF(AND($E153&lt;&gt;"pre",AND(Settings!$A$31&lt;&gt;"",Settings!$E$31&lt;&gt;"No"),Settings!$F$31="Yes",NOT(AND('Month-End'!$ET$19&lt;&gt;"",NOT(_xlfn.ISFORMULA('Month-End'!$ET$19))))),1,0)</f>
        <v/>
      </c>
      <c r="CZ153">
        <f>IF(AND($E153&lt;&gt;"pre",AND(Settings!$A$32&lt;&gt;"",Settings!$E$32&lt;&gt;"No"),Settings!$F$32="Yes",NOT(AND('Month-End'!$ET$20&lt;&gt;"",NOT(_xlfn.ISFORMULA('Month-End'!$ET$20))))),1,0)</f>
        <v/>
      </c>
      <c r="DA153">
        <f>IF($DT153=1,IF(OR(Settings!$B$19="Checking",Settings!$B$19="Savings",Settings!$B$19="Cash"),N($AE153),IF(OR(Settings!$B$19="Card",Settings!$B$19="Loan"),-N($AE153),0))+IF(OR(Settings!$B$20="Checking",Settings!$B$20="Savings",Settings!$B$20="Cash"),N($AF153),IF(OR(Settings!$B$20="Card",Settings!$B$20="Loan"),-N($AF153),0))+IF(OR(Settings!$B$21="Checking",Settings!$B$21="Savings",Settings!$B$21="Cash"),N($AG153),IF(OR(Settings!$B$21="Card",Settings!$B$21="Loan"),-N($AG153),0))+IF(OR(Settings!$B$22="Checking",Settings!$B$22="Savings",Settings!$B$22="Cash"),N($AH153),IF(OR(Settings!$B$22="Card",Settings!$B$22="Loan"),-N($AH153),0))+IF(OR(Settings!$B$23="Checking",Settings!$B$23="Savings",Settings!$B$23="Cash"),N($AI153),IF(OR(Settings!$B$23="Card",Settings!$B$23="Loan"),-N($AI153),0))+IF(OR(Settings!$B$24="Checking",Settings!$B$24="Savings",Settings!$B$24="Cash"),N($AJ153),IF(OR(Settings!$B$24="Card",Settings!$B$24="Loan"),-N($AJ153),0))+IF(OR(Settings!$B$25="Checking",Settings!$B$25="Savings",Settings!$B$25="Cash"),N($AK153),IF(OR(Settings!$B$25="Card",Settings!$B$25="Loan"),-N($AK153),0))+IF(OR(Settings!$B$26="Checking",Settings!$B$26="Savings",Settings!$B$26="Cash"),N($AL153),IF(OR(Settings!$B$26="Card",Settings!$B$26="Loan"),-N($AL153),0))+IF(OR(Settings!$B$27="Checking",Settings!$B$27="Savings",Settings!$B$27="Cash"),N($AM153),IF(OR(Settings!$B$27="Card",Settings!$B$27="Loan"),-N($AM153),0))+IF(OR(Settings!$B$28="Checking",Settings!$B$28="Savings",Settings!$B$28="Cash"),N($AN153),IF(OR(Settings!$B$28="Card",Settings!$B$28="Loan"),-N($AN153),0))+IF(OR(Settings!$B$29="Checking",Settings!$B$29="Savings",Settings!$B$29="Cash"),N($AO153),IF(OR(Settings!$B$29="Card",Settings!$B$29="Loan"),-N($AO153),0))+IF(OR(Settings!$B$30="Checking",Settings!$B$30="Savings",Settings!$B$30="Cash"),N($AP153),IF(OR(Settings!$B$30="Card",Settings!$B$30="Loan"),-N($AP153),0))+IF(OR(Settings!$B$31="Checking",Settings!$B$31="Savings",Settings!$B$31="Cash"),N($AQ153),IF(OR(Settings!$B$31="Card",Settings!$B$31="Loan"),-N($AQ153),0))+IF(OR(Settings!$B$32="Checking",Settings!$B$32="Savings",Settings!$B$32="Cash"),N($AR153),IF(OR(Settings!$B$32="Card",Settings!$B$32="Loan"),-N($AR153),0)),"")</f>
        <v/>
      </c>
      <c r="DB153">
        <f>IF($E153="open",$EB$27,IF($E153="post",IF($E152="pre",$EB$27,$DA152),""))</f>
        <v/>
      </c>
      <c r="DC153">
        <f>IF($E153="open",1,IF($E153="post",IF($E152="pre",1,$DT152),0))</f>
        <v/>
      </c>
      <c r="DD153">
        <f>IF(AND($DT153=1,$DC153=1),ROUND($W153-($DA153-$DB153)-$AD153-$AB153,2),"")</f>
        <v/>
      </c>
      <c r="DE153">
        <f>IF('Month-End'!$ET$35="",$BQ153,N('Month-End'!$ET$35))</f>
        <v/>
      </c>
      <c r="DF153">
        <f>N('Month-End'!$ET$36)</f>
        <v/>
      </c>
      <c r="DG153">
        <f>IF($DD153="","",$DD153+$DE153)</f>
        <v/>
      </c>
      <c r="DH153">
        <f>IF($DG153="","",$DG153-$DF153)</f>
        <v/>
      </c>
      <c r="DI153">
        <f>IF(OR($E153="pre",$D153=1),"",N($AS153)+N($AT153)+N($AU153)+N($AV153)+N($AW153)+N($AX153))</f>
        <v/>
      </c>
      <c r="DJ153">
        <f>IF($DT153=1,$DA153+N($DI153),"")</f>
        <v/>
      </c>
      <c r="DK153">
        <f>IF($DD153="","",$W153-$DD153-$AB153)</f>
        <v/>
      </c>
      <c r="DL153">
        <f>IF(AND($E153="post",$DD153&lt;&gt;"",$B153&lt;TODAY()),1,0)</f>
        <v/>
      </c>
      <c r="DM153">
        <f>IF($DL153=1,COUNTIF($DL153:$DL$183,1),0)</f>
        <v/>
      </c>
      <c r="DN153">
        <f>IF($D153=1,"",IF($E153="pre","History only",IF($DT153=1,IF($DD153="","⚠ Previous month missing",IF($DD153&lt;0,"⚠ Check: spending &lt; 0",IF($E153="open","✓ Done (partial)","✓ Done"))),IF($B153&gt;=TODAY(),"In progress","⚠ Needs balances"))))</f>
        <v/>
      </c>
      <c r="DO153">
        <f>YEAR($A153)</f>
        <v/>
      </c>
      <c r="DP153">
        <f>DATE(YEAR($A153),INT((MONTH($A153)-1)/3)*3+1,1)</f>
        <v/>
      </c>
      <c r="DQ153">
        <f>IF(AND($DT153=1,$DD153&lt;&gt;"",$D153=0),ROW(),0)</f>
        <v/>
      </c>
      <c r="DR153">
        <f>IF(AND($E153&lt;&gt;"pre",$B153&lt;TODAY(),$DT153=0),1,0)</f>
        <v/>
      </c>
      <c r="DS153">
        <f>IF($DJ153="",NA(),$DJ153)</f>
        <v/>
      </c>
      <c r="DT153">
        <f>IF(AND($E153&lt;&gt;"pre",$CL153=0,COUNTIFS(Settings!$F$19:$F$32,"Yes",Settings!$A$19:$A$32,"&lt;&gt;",Settings!$E$19:$E$32,"&lt;&gt;No")&gt;0),1,0)</f>
        <v/>
      </c>
      <c r="DU153">
        <f>IF(AND($B153&lt;TODAY(),$S153&gt;0),1,0)</f>
        <v/>
      </c>
      <c r="DV153">
        <f>IF($DU153=1,COUNTIF($DU153:$DU$183,1),0)</f>
        <v/>
      </c>
      <c r="DW153">
        <f>IF(AND(OR(Settings!$B$19="Card",Settings!$B$19="Loan"),AND('Month-End'!$ET$7&lt;&gt;"",NOT(_xlfn.ISFORMULA('Month-End'!$ET$7)))),IF(N('Month-End'!$ET$7)&lt;0,1,0),0)+IF(AND(OR(Settings!$B$20="Card",Settings!$B$20="Loan"),AND('Month-End'!$ET$8&lt;&gt;"",NOT(_xlfn.ISFORMULA('Month-End'!$ET$8)))),IF(N('Month-End'!$ET$8)&lt;0,1,0),0)+IF(AND(OR(Settings!$B$21="Card",Settings!$B$21="Loan"),AND('Month-End'!$ET$9&lt;&gt;"",NOT(_xlfn.ISFORMULA('Month-End'!$ET$9)))),IF(N('Month-End'!$ET$9)&lt;0,1,0),0)+IF(AND(OR(Settings!$B$22="Card",Settings!$B$22="Loan"),AND('Month-End'!$ET$10&lt;&gt;"",NOT(_xlfn.ISFORMULA('Month-End'!$ET$10)))),IF(N('Month-End'!$ET$10)&lt;0,1,0),0)+IF(AND(OR(Settings!$B$23="Card",Settings!$B$23="Loan"),AND('Month-End'!$ET$11&lt;&gt;"",NOT(_xlfn.ISFORMULA('Month-End'!$ET$11)))),IF(N('Month-End'!$ET$11)&lt;0,1,0),0)+IF(AND(OR(Settings!$B$24="Card",Settings!$B$24="Loan"),AND('Month-End'!$ET$12&lt;&gt;"",NOT(_xlfn.ISFORMULA('Month-End'!$ET$12)))),IF(N('Month-End'!$ET$12)&lt;0,1,0),0)+IF(AND(OR(Settings!$B$25="Card",Settings!$B$25="Loan"),AND('Month-End'!$ET$13&lt;&gt;"",NOT(_xlfn.ISFORMULA('Month-End'!$ET$13)))),IF(N('Month-End'!$ET$13)&lt;0,1,0),0)+IF(AND(OR(Settings!$B$26="Card",Settings!$B$26="Loan"),AND('Month-End'!$ET$14&lt;&gt;"",NOT(_xlfn.ISFORMULA('Month-End'!$ET$14)))),IF(N('Month-End'!$ET$14)&lt;0,1,0),0)+IF(AND(OR(Settings!$B$27="Card",Settings!$B$27="Loan"),AND('Month-End'!$ET$15&lt;&gt;"",NOT(_xlfn.ISFORMULA('Month-End'!$ET$15)))),IF(N('Month-End'!$ET$15)&lt;0,1,0),0)+IF(AND(OR(Settings!$B$28="Card",Settings!$B$28="Loan"),AND('Month-End'!$ET$16&lt;&gt;"",NOT(_xlfn.ISFORMULA('Month-End'!$ET$16)))),IF(N('Month-End'!$ET$16)&lt;0,1,0),0)+IF(AND(OR(Settings!$B$29="Card",Settings!$B$29="Loan"),AND('Month-End'!$ET$17&lt;&gt;"",NOT(_xlfn.ISFORMULA('Month-End'!$ET$17)))),IF(N('Month-End'!$ET$17)&lt;0,1,0),0)+IF(AND(OR(Settings!$B$30="Card",Settings!$B$30="Loan"),AND('Month-End'!$ET$18&lt;&gt;"",NOT(_xlfn.ISFORMULA('Month-End'!$ET$18)))),IF(N('Month-End'!$ET$18)&lt;0,1,0),0)+IF(AND(OR(Settings!$B$31="Card",Settings!$B$31="Loan"),AND('Month-End'!$ET$19&lt;&gt;"",NOT(_xlfn.ISFORMULA('Month-End'!$ET$19)))),IF(N('Month-End'!$ET$19)&lt;0,1,0),0)+IF(AND(OR(Settings!$B$32="Card",Settings!$B$32="Loan"),AND('Month-End'!$ET$20&lt;&gt;"",NOT(_xlfn.ISFORMULA('Month-End'!$ET$20)))),IF(N('Month-End'!$ET$20)&lt;0,1,0),0)</f>
        <v/>
      </c>
      <c r="DX153">
        <f>IF(Settings!$B$36="Retirement",$AY153,0)+IF(Settings!$B$37="Retirement",$AZ153,0)+IF(Settings!$B$38="Retirement",$BA153,0)+IF(Settings!$B$39="Retirement",$BB153,0)+IF(Settings!$B$40="Retirement",$BC153,0)+IF(Settings!$B$41="Retirement",$BD153,0)</f>
        <v/>
      </c>
      <c r="ET153">
        <f>IF($E153&lt;&gt;"open",0,IF(AND('Month-End'!$ET$22&lt;&gt;"",NOT(_xlfn.ISFORMULA('Month-End'!$ET$22))),0,IF(OR(Settings!$C$45="",Settings!$D$45=""),0,Settings!$C$45*IF(Settings!$D$45="Weekly",IF(IFERROR(MATCH(Settings!$E$45,$EO$4:$EO$10,0),0)=0,0,IF(MIN(Settings!$B$5,IF(Settings!$G$45="",Settings!$B$5,Settings!$G$45))&lt;MAX($A153,Settings!$F$45),0,INT((MIN(Settings!$B$5,IF(Settings!$G$45="",Settings!$B$5,Settings!$G$45))-MAX($A153,Settings!$F$45)-MOD(IFERROR(MATCH(Settings!$E$45,$EO$4:$EO$10,0),0)-WEEKDAY(MAX($A153,Settings!$F$45)),7))/7)+1)),IF(AND(IF(Settings!$E$45="",$B153,DATE(YEAR($A153),MONTH($A153),MIN(Settings!$E$45,DAY($B153))))&gt;=MAX($A153,Settings!$F$45),IF(Settings!$E$45="",$B153,DATE(YEAR($A153),MONTH($A153),MIN(Settings!$E$45,DAY($B153))))&lt;=MIN(Settings!$B$5,IF(Settings!$G$45="",Settings!$B$5,Settings!$G$45))),1,0)))))</f>
        <v/>
      </c>
      <c r="EU153">
        <f>IF($E153&lt;&gt;"open",0,IF(AND('Month-End'!$ET$23&lt;&gt;"",NOT(_xlfn.ISFORMULA('Month-End'!$ET$23))),0,IF(OR(Settings!$C$46="",Settings!$D$46=""),0,Settings!$C$46*IF(Settings!$D$46="Weekly",IF(IFERROR(MATCH(Settings!$E$46,$EO$4:$EO$10,0),0)=0,0,IF(MIN(Settings!$B$5,IF(Settings!$G$46="",Settings!$B$5,Settings!$G$46))&lt;MAX($A153,Settings!$F$46),0,INT((MIN(Settings!$B$5,IF(Settings!$G$46="",Settings!$B$5,Settings!$G$46))-MAX($A153,Settings!$F$46)-MOD(IFERROR(MATCH(Settings!$E$46,$EO$4:$EO$10,0),0)-WEEKDAY(MAX($A153,Settings!$F$46)),7))/7)+1)),IF(AND(IF(Settings!$E$46="",$B153,DATE(YEAR($A153),MONTH($A153),MIN(Settings!$E$46,DAY($B153))))&gt;=MAX($A153,Settings!$F$46),IF(Settings!$E$46="",$B153,DATE(YEAR($A153),MONTH($A153),MIN(Settings!$E$46,DAY($B153))))&lt;=MIN(Settings!$B$5,IF(Settings!$G$46="",Settings!$B$5,Settings!$G$46))),1,0)))))</f>
        <v/>
      </c>
      <c r="EV153">
        <f>IF($E153&lt;&gt;"open",0,IF(AND('Month-End'!$ET$24&lt;&gt;"",NOT(_xlfn.ISFORMULA('Month-End'!$ET$24))),0,IF(OR(Settings!$C$47="",Settings!$D$47=""),0,Settings!$C$47*IF(Settings!$D$47="Weekly",IF(IFERROR(MATCH(Settings!$E$47,$EO$4:$EO$10,0),0)=0,0,IF(MIN(Settings!$B$5,IF(Settings!$G$47="",Settings!$B$5,Settings!$G$47))&lt;MAX($A153,Settings!$F$47),0,INT((MIN(Settings!$B$5,IF(Settings!$G$47="",Settings!$B$5,Settings!$G$47))-MAX($A153,Settings!$F$47)-MOD(IFERROR(MATCH(Settings!$E$47,$EO$4:$EO$10,0),0)-WEEKDAY(MAX($A153,Settings!$F$47)),7))/7)+1)),IF(AND(IF(Settings!$E$47="",$B153,DATE(YEAR($A153),MONTH($A153),MIN(Settings!$E$47,DAY($B153))))&gt;=MAX($A153,Settings!$F$47),IF(Settings!$E$47="",$B153,DATE(YEAR($A153),MONTH($A153),MIN(Settings!$E$47,DAY($B153))))&lt;=MIN(Settings!$B$5,IF(Settings!$G$47="",Settings!$B$5,Settings!$G$47))),1,0)))))</f>
        <v/>
      </c>
      <c r="EW153">
        <f>IF($E153&lt;&gt;"open",0,IF(AND('Month-End'!$ET$25&lt;&gt;"",NOT(_xlfn.ISFORMULA('Month-End'!$ET$25))),0,IF(OR(Settings!$C$48="",Settings!$D$48=""),0,Settings!$C$48*IF(Settings!$D$48="Weekly",IF(IFERROR(MATCH(Settings!$E$48,$EO$4:$EO$10,0),0)=0,0,IF(MIN(Settings!$B$5,IF(Settings!$G$48="",Settings!$B$5,Settings!$G$48))&lt;MAX($A153,Settings!$F$48),0,INT((MIN(Settings!$B$5,IF(Settings!$G$48="",Settings!$B$5,Settings!$G$48))-MAX($A153,Settings!$F$48)-MOD(IFERROR(MATCH(Settings!$E$48,$EO$4:$EO$10,0),0)-WEEKDAY(MAX($A153,Settings!$F$48)),7))/7)+1)),IF(AND(IF(Settings!$E$48="",$B153,DATE(YEAR($A153),MONTH($A153),MIN(Settings!$E$48,DAY($B153))))&gt;=MAX($A153,Settings!$F$48),IF(Settings!$E$48="",$B153,DATE(YEAR($A153),MONTH($A153),MIN(Settings!$E$48,DAY($B153))))&lt;=MIN(Settings!$B$5,IF(Settings!$G$48="",Settings!$B$5,Settings!$G$48))),1,0)))))</f>
        <v/>
      </c>
      <c r="EX153">
        <f>IF($E153&lt;&gt;"open",0,IF(AND('Month-End'!$ET$26&lt;&gt;"",NOT(_xlfn.ISFORMULA('Month-End'!$ET$26))),0,IF(OR(Settings!$C$49="",Settings!$D$49=""),0,Settings!$C$49*IF(Settings!$D$49="Weekly",IF(IFERROR(MATCH(Settings!$E$49,$EO$4:$EO$10,0),0)=0,0,IF(MIN(Settings!$B$5,IF(Settings!$G$49="",Settings!$B$5,Settings!$G$49))&lt;MAX($A153,Settings!$F$49),0,INT((MIN(Settings!$B$5,IF(Settings!$G$49="",Settings!$B$5,Settings!$G$49))-MAX($A153,Settings!$F$49)-MOD(IFERROR(MATCH(Settings!$E$49,$EO$4:$EO$10,0),0)-WEEKDAY(MAX($A153,Settings!$F$49)),7))/7)+1)),IF(AND(IF(Settings!$E$49="",$B153,DATE(YEAR($A153),MONTH($A153),MIN(Settings!$E$49,DAY($B153))))&gt;=MAX($A153,Settings!$F$49),IF(Settings!$E$49="",$B153,DATE(YEAR($A153),MONTH($A153),MIN(Settings!$E$49,DAY($B153))))&lt;=MIN(Settings!$B$5,IF(Settings!$G$49="",Settings!$B$5,Settings!$G$49))),1,0)))))</f>
        <v/>
      </c>
      <c r="EY153">
        <f>IF($E153&lt;&gt;"open",0,IF(AND('Month-End'!$ET$27&lt;&gt;"",NOT(_xlfn.ISFORMULA('Month-End'!$ET$27))),0,IF(OR(Settings!$C$50="",Settings!$D$50=""),0,Settings!$C$50*IF(Settings!$D$50="Weekly",IF(IFERROR(MATCH(Settings!$E$50,$EO$4:$EO$10,0),0)=0,0,IF(MIN(Settings!$B$5,IF(Settings!$G$50="",Settings!$B$5,Settings!$G$50))&lt;MAX($A153,Settings!$F$50),0,INT((MIN(Settings!$B$5,IF(Settings!$G$50="",Settings!$B$5,Settings!$G$50))-MAX($A153,Settings!$F$50)-MOD(IFERROR(MATCH(Settings!$E$50,$EO$4:$EO$10,0),0)-WEEKDAY(MAX($A153,Settings!$F$50)),7))/7)+1)),IF(AND(IF(Settings!$E$50="",$B153,DATE(YEAR($A153),MONTH($A153),MIN(Settings!$E$50,DAY($B153))))&gt;=MAX($A153,Settings!$F$50),IF(Settings!$E$50="",$B153,DATE(YEAR($A153),MONTH($A153),MIN(Settings!$E$50,DAY($B153))))&lt;=MIN(Settings!$B$5,IF(Settings!$G$50="",Settings!$B$5,Settings!$G$50))),1,0)))))</f>
        <v/>
      </c>
      <c r="EZ153">
        <f>IF($E153&lt;&gt;"open",0,IF(AND('Month-End'!$ET$28&lt;&gt;"",NOT(_xlfn.ISFORMULA('Month-End'!$ET$28))),0,IF(OR(Settings!$C$51="",Settings!$D$51=""),0,Settings!$C$51*IF(Settings!$D$51="Weekly",IF(IFERROR(MATCH(Settings!$E$51,$EO$4:$EO$10,0),0)=0,0,IF(MIN(Settings!$B$5,IF(Settings!$G$51="",Settings!$B$5,Settings!$G$51))&lt;MAX($A153,Settings!$F$51),0,INT((MIN(Settings!$B$5,IF(Settings!$G$51="",Settings!$B$5,Settings!$G$51))-MAX($A153,Settings!$F$51)-MOD(IFERROR(MATCH(Settings!$E$51,$EO$4:$EO$10,0),0)-WEEKDAY(MAX($A153,Settings!$F$51)),7))/7)+1)),IF(AND(IF(Settings!$E$51="",$B153,DATE(YEAR($A153),MONTH($A153),MIN(Settings!$E$51,DAY($B153))))&gt;=MAX($A153,Settings!$F$51),IF(Settings!$E$51="",$B153,DATE(YEAR($A153),MONTH($A153),MIN(Settings!$E$51,DAY($B153))))&lt;=MIN(Settings!$B$5,IF(Settings!$G$51="",Settings!$B$5,Settings!$G$51))),1,0)))))</f>
        <v/>
      </c>
      <c r="FA153">
        <f>IF($E153&lt;&gt;"open",0,IF(AND('Month-End'!$ET$29&lt;&gt;"",NOT(_xlfn.ISFORMULA('Month-End'!$ET$29))),0,IF(OR(Settings!$C$52="",Settings!$D$52=""),0,Settings!$C$52*IF(Settings!$D$52="Weekly",IF(IFERROR(MATCH(Settings!$E$52,$EO$4:$EO$10,0),0)=0,0,IF(MIN(Settings!$B$5,IF(Settings!$G$52="",Settings!$B$5,Settings!$G$52))&lt;MAX($A153,Settings!$F$52),0,INT((MIN(Settings!$B$5,IF(Settings!$G$52="",Settings!$B$5,Settings!$G$52))-MAX($A153,Settings!$F$52)-MOD(IFERROR(MATCH(Settings!$E$52,$EO$4:$EO$10,0),0)-WEEKDAY(MAX($A153,Settings!$F$52)),7))/7)+1)),IF(AND(IF(Settings!$E$52="",$B153,DATE(YEAR($A153),MONTH($A153),MIN(Settings!$E$52,DAY($B153))))&gt;=MAX($A153,Settings!$F$52),IF(Settings!$E$52="",$B153,DATE(YEAR($A153),MONTH($A153),MIN(Settings!$E$52,DAY($B153))))&lt;=MIN(Settings!$B$5,IF(Settings!$G$52="",Settings!$B$5,Settings!$G$52))),1,0)))))</f>
        <v/>
      </c>
      <c r="FB153">
        <f>IF($E153&lt;&gt;"open",0,IF(AND('Month-End'!$ET$30&lt;&gt;"",NOT(_xlfn.ISFORMULA('Month-End'!$ET$30))),0,IF(OR(Settings!$C$53="",Settings!$D$53=""),0,Settings!$C$53*IF(Settings!$D$53="Weekly",IF(IFERROR(MATCH(Settings!$E$53,$EO$4:$EO$10,0),0)=0,0,IF(MIN(Settings!$B$5,IF(Settings!$G$53="",Settings!$B$5,Settings!$G$53))&lt;MAX($A153,Settings!$F$53),0,INT((MIN(Settings!$B$5,IF(Settings!$G$53="",Settings!$B$5,Settings!$G$53))-MAX($A153,Settings!$F$53)-MOD(IFERROR(MATCH(Settings!$E$53,$EO$4:$EO$10,0),0)-WEEKDAY(MAX($A153,Settings!$F$53)),7))/7)+1)),IF(AND(IF(Settings!$E$53="",$B153,DATE(YEAR($A153),MONTH($A153),MIN(Settings!$E$53,DAY($B153))))&gt;=MAX($A153,Settings!$F$53),IF(Settings!$E$53="",$B153,DATE(YEAR($A153),MONTH($A153),MIN(Settings!$E$53,DAY($B153))))&lt;=MIN(Settings!$B$5,IF(Settings!$G$53="",Settings!$B$5,Settings!$G$53))),1,0)))))</f>
        <v/>
      </c>
      <c r="FC153">
        <f>IF($E153&lt;&gt;"open",0,IF(AND('Month-End'!$ET$31&lt;&gt;"",NOT(_xlfn.ISFORMULA('Month-End'!$ET$31))),0,IF(OR(Settings!$C$54="",Settings!$D$54=""),0,Settings!$C$54*IF(Settings!$D$54="Weekly",IF(IFERROR(MATCH(Settings!$E$54,$EO$4:$EO$10,0),0)=0,0,IF(MIN(Settings!$B$5,IF(Settings!$G$54="",Settings!$B$5,Settings!$G$54))&lt;MAX($A153,Settings!$F$54),0,INT((MIN(Settings!$B$5,IF(Settings!$G$54="",Settings!$B$5,Settings!$G$54))-MAX($A153,Settings!$F$54)-MOD(IFERROR(MATCH(Settings!$E$54,$EO$4:$EO$10,0),0)-WEEKDAY(MAX($A153,Settings!$F$54)),7))/7)+1)),IF(AND(IF(Settings!$E$54="",$B153,DATE(YEAR($A153),MONTH($A153),MIN(Settings!$E$54,DAY($B153))))&gt;=MAX($A153,Settings!$F$54),IF(Settings!$E$54="",$B153,DATE(YEAR($A153),MONTH($A153),MIN(Settings!$E$54,DAY($B153))))&lt;=MIN(Settings!$B$5,IF(Settings!$G$54="",Settings!$B$5,Settings!$G$54))),1,0)))))</f>
        <v/>
      </c>
      <c r="FD153">
        <f>IF($E153&lt;&gt;"open",0,IF(AND('Month-End'!$ET$32&lt;&gt;"",NOT(_xlfn.ISFORMULA('Month-End'!$ET$32))),0,IF(OR(Settings!$C$55="",Settings!$D$55=""),0,Settings!$C$55*IF(Settings!$D$55="Weekly",IF(IFERROR(MATCH(Settings!$E$55,$EO$4:$EO$10,0),0)=0,0,IF(MIN(Settings!$B$5,IF(Settings!$G$55="",Settings!$B$5,Settings!$G$55))&lt;MAX($A153,Settings!$F$55),0,INT((MIN(Settings!$B$5,IF(Settings!$G$55="",Settings!$B$5,Settings!$G$55))-MAX($A153,Settings!$F$55)-MOD(IFERROR(MATCH(Settings!$E$55,$EO$4:$EO$10,0),0)-WEEKDAY(MAX($A153,Settings!$F$55)),7))/7)+1)),IF(AND(IF(Settings!$E$55="",$B153,DATE(YEAR($A153),MONTH($A153),MIN(Settings!$E$55,DAY($B153))))&gt;=MAX($A153,Settings!$F$55),IF(Settings!$E$55="",$B153,DATE(YEAR($A153),MONTH($A153),MIN(Settings!$E$55,DAY($B153))))&lt;=MIN(Settings!$B$5,IF(Settings!$G$55="",Settings!$B$5,Settings!$G$55))),1,0)))))</f>
        <v/>
      </c>
      <c r="FE153">
        <f>IF($E153&lt;&gt;"open",0,IF(AND('Month-End'!$ET$33&lt;&gt;"",NOT(_xlfn.ISFORMULA('Month-End'!$ET$33))),0,IF(OR(Settings!$C$56="",Settings!$D$56=""),0,Settings!$C$56*IF(Settings!$D$56="Weekly",IF(IFERROR(MATCH(Settings!$E$56,$EO$4:$EO$10,0),0)=0,0,IF(MIN(Settings!$B$5,IF(Settings!$G$56="",Settings!$B$5,Settings!$G$56))&lt;MAX($A153,Settings!$F$56),0,INT((MIN(Settings!$B$5,IF(Settings!$G$56="",Settings!$B$5,Settings!$G$56))-MAX($A153,Settings!$F$56)-MOD(IFERROR(MATCH(Settings!$E$56,$EO$4:$EO$10,0),0)-WEEKDAY(MAX($A153,Settings!$F$56)),7))/7)+1)),IF(AND(IF(Settings!$E$56="",$B153,DATE(YEAR($A153),MONTH($A153),MIN(Settings!$E$56,DAY($B153))))&gt;=MAX($A153,Settings!$F$56),IF(Settings!$E$56="",$B153,DATE(YEAR($A153),MONTH($A153),MIN(Settings!$E$56,DAY($B153))))&lt;=MIN(Settings!$B$5,IF(Settings!$G$56="",Settings!$B$5,Settings!$G$56))),1,0)))))</f>
        <v/>
      </c>
      <c r="FF153">
        <f>IF(Settings!$I$45="Yes",$G153,0)+IF(Settings!$I$46="Yes",$H153,0)+IF(Settings!$I$47="Yes",$I153,0)+IF(Settings!$I$48="Yes",$J153,0)+IF(Settings!$I$49="Yes",$K153,0)+IF(Settings!$I$50="Yes",$L153,0)+IF(Settings!$I$51="Yes",$M153,0)+IF(Settings!$I$52="Yes",$N153,0)+IF(Settings!$I$53="Yes",$O153,0)+IF(Settings!$I$54="Yes",$P153,0)+IF(Settings!$I$55="Yes",$Q153,0)+IF(Settings!$I$56="Yes",$R153,0)</f>
        <v/>
      </c>
      <c r="FG153">
        <f>IF(AND(Settings!$I$45="Yes",Settings!$J$45="No"),$G153,0)+IF(AND(Settings!$I$46="Yes",Settings!$J$46="No"),$H153,0)+IF(AND(Settings!$I$47="Yes",Settings!$J$47="No"),$I153,0)+IF(AND(Settings!$I$48="Yes",Settings!$J$48="No"),$J153,0)+IF(AND(Settings!$I$49="Yes",Settings!$J$49="No"),$K153,0)+IF(AND(Settings!$I$50="Yes",Settings!$J$50="No"),$L153,0)+IF(AND(Settings!$I$51="Yes",Settings!$J$51="No"),$M153,0)+IF(AND(Settings!$I$52="Yes",Settings!$J$52="No"),$N153,0)+IF(AND(Settings!$I$53="Yes",Settings!$J$53="No"),$O153,0)+IF(AND(Settings!$I$54="Yes",Settings!$J$54="No"),$P153,0)+IF(AND(Settings!$I$55="Yes",Settings!$J$55="No"),$Q153,0)+IF(AND(Settings!$I$56="Yes",Settings!$J$56="No"),$R153,0)</f>
        <v/>
      </c>
      <c r="FH153">
        <f>SUMIFS(Giving!$B$7:$B$2006,Giving!$A$7:$A$2006,"&gt;="&amp;$A153,Giving!$A$7:$A$2006,"&lt;="&amp;$B153,Giving!$G$7:$G$2006,"Yes")+IF(OR(OR(Settings!$B$60="",Settings!$F$60="No"),Settings!$H$60&lt;&gt;"Yes"),0,Settings!$B$60*IF(AND(IF(Settings!$C$60="",$B153,DATE(YEAR($A153),MONTH($A153),MIN(Settings!$C$60,DAY($B153))))&gt;=MAX($A153,Settings!$D$60),IF(Settings!$C$60="",$B153,DATE(YEAR($A153),MONTH($A153),MIN(Settings!$C$60,DAY($B153))))&lt;=MIN($C153,IF(Settings!$E$60="",$C153,Settings!$E$60))),1,0))+IF(OR(OR(Settings!$B$61="",Settings!$F$61="No"),Settings!$H$61&lt;&gt;"Yes"),0,Settings!$B$61*IF(AND(IF(Settings!$C$61="",$B153,DATE(YEAR($A153),MONTH($A153),MIN(Settings!$C$61,DAY($B153))))&gt;=MAX($A153,Settings!$D$61),IF(Settings!$C$61="",$B153,DATE(YEAR($A153),MONTH($A153),MIN(Settings!$C$61,DAY($B153))))&lt;=MIN($C153,IF(Settings!$E$61="",$C153,Settings!$E$61))),1,0))+IF(OR(OR(Settings!$B$62="",Settings!$F$62="No"),Settings!$H$62&lt;&gt;"Yes"),0,Settings!$B$62*IF(AND(IF(Settings!$C$62="",$B153,DATE(YEAR($A153),MONTH($A153),MIN(Settings!$C$62,DAY($B153))))&gt;=MAX($A153,Settings!$D$62),IF(Settings!$C$62="",$B153,DATE(YEAR($A153),MONTH($A153),MIN(Settings!$C$62,DAY($B153))))&lt;=MIN($C153,IF(Settings!$E$62="",$C153,Settings!$E$62))),1,0))+IF(OR(OR(Settings!$B$63="",Settings!$F$63="No"),Settings!$H$63&lt;&gt;"Yes"),0,Settings!$B$63*IF(AND(IF(Settings!$C$63="",$B153,DATE(YEAR($A153),MONTH($A153),MIN(Settings!$C$63,DAY($B153))))&gt;=MAX($A153,Settings!$D$63),IF(Settings!$C$63="",$B153,DATE(YEAR($A153),MONTH($A153),MIN(Settings!$C$63,DAY($B153))))&lt;=MIN($C153,IF(Settings!$E$63="",$C153,Settings!$E$63))),1,0))+IF(OR(OR(Settings!$B$64="",Settings!$F$64="No"),Settings!$H$64&lt;&gt;"Yes"),0,Settings!$B$64*IF(AND(IF(Settings!$C$64="",$B153,DATE(YEAR($A153),MONTH($A153),MIN(Settings!$C$64,DAY($B153))))&gt;=MAX($A153,Settings!$D$64),IF(Settings!$C$64="",$B153,DATE(YEAR($A153),MONTH($A153),MIN(Settings!$C$64,DAY($B153))))&lt;=MIN($C153,IF(Settings!$E$64="",$C153,Settings!$E$64))),1,0))+IF(OR(OR(Settings!$B$65="",Settings!$F$65="No"),Settings!$H$65&lt;&gt;"Yes"),0,Settings!$B$65*IF(AND(IF(Settings!$C$65="",$B153,DATE(YEAR($A153),MONTH($A153),MIN(Settings!$C$65,DAY($B153))))&gt;=MAX($A153,Settings!$D$65),IF(Settings!$C$65="",$B153,DATE(YEAR($A153),MONTH($A153),MIN(Settings!$C$65,DAY($B153))))&lt;=MIN($C153,IF(Settings!$E$65="",$C153,Settings!$E$65))),1,0))</f>
        <v/>
      </c>
      <c r="FI153">
        <f>IF($DT153=1,IF(OR(Settings!$B$19="Card",Settings!$B$19="Loan"),N($AE153),0)+IF(OR(Settings!$B$20="Card",Settings!$B$20="Loan"),N($AF153),0)+IF(OR(Settings!$B$21="Card",Settings!$B$21="Loan"),N($AG153),0)+IF(OR(Settings!$B$22="Card",Settings!$B$22="Loan"),N($AH153),0)+IF(OR(Settings!$B$23="Card",Settings!$B$23="Loan"),N($AI153),0)+IF(OR(Settings!$B$24="Card",Settings!$B$24="Loan"),N($AJ153),0)+IF(OR(Settings!$B$25="Card",Settings!$B$25="Loan"),N($AK153),0)+IF(OR(Settings!$B$26="Card",Settings!$B$26="Loan"),N($AL153),0)+IF(OR(Settings!$B$27="Card",Settings!$B$27="Loan"),N($AM153),0)+IF(OR(Settings!$B$28="Card",Settings!$B$28="Loan"),N($AN153),0)+IF(OR(Settings!$B$29="Card",Settings!$B$29="Loan"),N($AO153),0)+IF(OR(Settings!$B$30="Card",Settings!$B$30="Loan"),N($AP153),0)+IF(OR(Settings!$B$31="Card",Settings!$B$31="Loan"),N($AQ153),0)+IF(OR(Settings!$B$32="Card",Settings!$B$32="Loan"),N($AR153),0),"")</f>
        <v/>
      </c>
      <c r="FJ153">
        <f>IF($E153="open",$EB$65,IF($E153="post",IF($E152="pre",$EB$65,$FI152),""))</f>
        <v/>
      </c>
      <c r="FK153">
        <f>IF(AND($DT153=1,$DC153=1),IF(ROUND($FI153-$FJ153,2)&gt;0,1,0),0)</f>
        <v/>
      </c>
      <c r="FL153">
        <f>IF($FK153=1,$FL152+1,0)</f>
        <v/>
      </c>
    </row>
    <row r="154">
      <c r="A154">
        <f>'Month-End'!$EU$4</f>
        <v/>
      </c>
      <c r="B154">
        <f>EOMONTH($A154,0)</f>
        <v/>
      </c>
      <c r="C154">
        <f>MIN($B154,TODAY())</f>
        <v/>
      </c>
      <c r="D154">
        <f>IF($A154&gt;TODAY(),1,0)</f>
        <v/>
      </c>
      <c r="E154">
        <f>IF($B154&lt;=Settings!$B$5,"pre",IF($A154&lt;=Settings!$B$5,"open","post"))</f>
        <v/>
      </c>
      <c r="G154">
        <f>IF('Month-End'!$EU$22="",$BE154,N('Month-End'!$EU$22))</f>
        <v/>
      </c>
      <c r="H154">
        <f>IF('Month-End'!$EU$23="",$BF154,N('Month-End'!$EU$23))</f>
        <v/>
      </c>
      <c r="I154">
        <f>IF('Month-End'!$EU$24="",$BG154,N('Month-End'!$EU$24))</f>
        <v/>
      </c>
      <c r="J154">
        <f>IF('Month-End'!$EU$25="",$BH154,N('Month-End'!$EU$25))</f>
        <v/>
      </c>
      <c r="K154">
        <f>IF('Month-End'!$EU$26="",$BI154,N('Month-End'!$EU$26))</f>
        <v/>
      </c>
      <c r="L154">
        <f>IF('Month-End'!$EU$27="",$BJ154,N('Month-End'!$EU$27))</f>
        <v/>
      </c>
      <c r="M154">
        <f>IF('Month-End'!$EU$28="",$BK154,N('Month-End'!$EU$28))</f>
        <v/>
      </c>
      <c r="N154">
        <f>IF('Month-End'!$EU$29="",$BL154,N('Month-End'!$EU$29))</f>
        <v/>
      </c>
      <c r="O154">
        <f>IF('Month-End'!$EU$30="",$BM154,N('Month-End'!$EU$30))</f>
        <v/>
      </c>
      <c r="P154">
        <f>IF('Month-End'!$EU$31="",$BN154,N('Month-End'!$EU$31))</f>
        <v/>
      </c>
      <c r="Q154">
        <f>IF('Month-End'!$EU$32="",$BO154,N('Month-End'!$EU$32))</f>
        <v/>
      </c>
      <c r="R154">
        <f>IF('Month-End'!$EU$33="",$BP154,N('Month-End'!$EU$33))</f>
        <v/>
      </c>
      <c r="S154">
        <f>$G154+$H154+$I154+$J154+$K154+$L154+$M154+$N154+$O154+$P154+$Q154+$R154</f>
        <v/>
      </c>
      <c r="T154">
        <f>IF($B154&lt;Settings!$B$6,0,IF(Settings!$B$45="Yes",$G154,0)+IF(Settings!$B$46="Yes",$H154,0)+IF(Settings!$B$47="Yes",$I154,0)+IF(Settings!$B$48="Yes",$J154,0)+IF(Settings!$B$49="Yes",$K154,0)+IF(Settings!$B$50="Yes",$L154,0)+IF(Settings!$B$51="Yes",$M154,0)+IF(Settings!$B$52="Yes",$N154,0)+IF(Settings!$B$53="Yes",$O154,0)+IF(Settings!$B$54="Yes",$P154,0)+IF(Settings!$B$55="Yes",$Q154,0)+IF(Settings!$B$56="Yes",$R154,0))</f>
        <v/>
      </c>
      <c r="U154">
        <f>IF(Settings!$B$45="Not Sure",$G154,0)+IF(Settings!$B$46="Not Sure",$H154,0)+IF(Settings!$B$47="Not Sure",$I154,0)+IF(Settings!$B$48="Not Sure",$J154,0)+IF(Settings!$B$49="Not Sure",$K154,0)+IF(Settings!$B$50="Not Sure",$L154,0)+IF(Settings!$B$51="Not Sure",$M154,0)+IF(Settings!$B$52="Not Sure",$N154,0)+IF(Settings!$B$53="Not Sure",$O154,0)+IF(Settings!$B$54="Not Sure",$P154,0)+IF(Settings!$B$55="Not Sure",$Q154,0)+IF(Settings!$B$56="Not Sure",$R154,0)</f>
        <v/>
      </c>
      <c r="V154">
        <f>IF($E154="open",SUM($ET154:$FE154)+N(Settings!$B$13),0)</f>
        <v/>
      </c>
      <c r="W154">
        <f>IF($E154="post",$S154,IF($E154="open",$S154-$V154,0))</f>
        <v/>
      </c>
      <c r="X154">
        <f>SUMIFS(Giving!$B$7:$B$2006,Giving!$A$7:$A$2006,"&gt;="&amp;$A154,Giving!$A$7:$A$2006,"&lt;="&amp;$B154,Giving!$E$7:$E$2006,"&lt;&gt;No")</f>
        <v/>
      </c>
      <c r="Y154">
        <f>SUMIFS(Giving!$B$7:$B$2006,Giving!$A$7:$A$2006,"&gt;="&amp;$A154,Giving!$A$7:$A$2006,"&lt;="&amp;$B154,Giving!$E$7:$E$2006,"No")</f>
        <v/>
      </c>
      <c r="Z154">
        <f>IF(OR(Settings!$B$60="",Settings!$F$60="No"),0,Settings!$B$60*IF(AND(IF(Settings!$C$60="",$B154,DATE(YEAR($A154),MONTH($A154),MIN(Settings!$C$60,DAY($B154))))&gt;=MAX($A154,Settings!$D$60),IF(Settings!$C$60="",$B154,DATE(YEAR($A154),MONTH($A154),MIN(Settings!$C$60,DAY($B154))))&lt;=MIN($C154,IF(Settings!$E$60="",$C154,Settings!$E$60))),1,0))+IF(OR(Settings!$B$61="",Settings!$F$61="No"),0,Settings!$B$61*IF(AND(IF(Settings!$C$61="",$B154,DATE(YEAR($A154),MONTH($A154),MIN(Settings!$C$61,DAY($B154))))&gt;=MAX($A154,Settings!$D$61),IF(Settings!$C$61="",$B154,DATE(YEAR($A154),MONTH($A154),MIN(Settings!$C$61,DAY($B154))))&lt;=MIN($C154,IF(Settings!$E$61="",$C154,Settings!$E$61))),1,0))+IF(OR(Settings!$B$62="",Settings!$F$62="No"),0,Settings!$B$62*IF(AND(IF(Settings!$C$62="",$B154,DATE(YEAR($A154),MONTH($A154),MIN(Settings!$C$62,DAY($B154))))&gt;=MAX($A154,Settings!$D$62),IF(Settings!$C$62="",$B154,DATE(YEAR($A154),MONTH($A154),MIN(Settings!$C$62,DAY($B154))))&lt;=MIN($C154,IF(Settings!$E$62="",$C154,Settings!$E$62))),1,0))+IF(OR(Settings!$B$63="",Settings!$F$63="No"),0,Settings!$B$63*IF(AND(IF(Settings!$C$63="",$B154,DATE(YEAR($A154),MONTH($A154),MIN(Settings!$C$63,DAY($B154))))&gt;=MAX($A154,Settings!$D$63),IF(Settings!$C$63="",$B154,DATE(YEAR($A154),MONTH($A154),MIN(Settings!$C$63,DAY($B154))))&lt;=MIN($C154,IF(Settings!$E$63="",$C154,Settings!$E$63))),1,0))+IF(OR(Settings!$B$64="",Settings!$F$64="No"),0,Settings!$B$64*IF(AND(IF(Settings!$C$64="",$B154,DATE(YEAR($A154),MONTH($A154),MIN(Settings!$C$64,DAY($B154))))&gt;=MAX($A154,Settings!$D$64),IF(Settings!$C$64="",$B154,DATE(YEAR($A154),MONTH($A154),MIN(Settings!$C$64,DAY($B154))))&lt;=MIN($C154,IF(Settings!$E$64="",$C154,Settings!$E$64))),1,0))+IF(OR(Settings!$B$65="",Settings!$F$65="No"),0,Settings!$B$65*IF(AND(IF(Settings!$C$65="",$B154,DATE(YEAR($A154),MONTH($A154),MIN(Settings!$C$65,DAY($B154))))&gt;=MAX($A154,Settings!$D$65),IF(Settings!$C$65="",$B154,DATE(YEAR($A154),MONTH($A154),MIN(Settings!$C$65,DAY($B154))))&lt;=MIN($C154,IF(Settings!$E$65="",$C154,Settings!$E$65))),1,0))</f>
        <v/>
      </c>
      <c r="AA154">
        <f>$X154+$Z154</f>
        <v/>
      </c>
      <c r="AB154">
        <f>IF($E154="post",$AA154,IF($E154="open",SUMIFS(Giving!$B$7:$B$2006,Giving!$A$7:$A$2006,"&gt;"&amp;Settings!$B$5,Giving!$A$7:$A$2006,"&lt;="&amp;$B154,Giving!$E$7:$E$2006,"&lt;&gt;No")+IF(OR(Settings!$B$60="",Settings!$F$60="No"),0,Settings!$B$60*IF(AND(IF(Settings!$C$60="",$B154,DATE(YEAR($A154),MONTH($A154),MIN(Settings!$C$60,DAY($B154))))&gt;=MAX($A154,Settings!$D$60,Settings!$B$5+1),IF(Settings!$C$60="",$B154,DATE(YEAR($A154),MONTH($A154),MIN(Settings!$C$60,DAY($B154))))&lt;=MIN($C154,IF(Settings!$E$60="",$C154,Settings!$E$60))),1,0))+IF(OR(Settings!$B$61="",Settings!$F$61="No"),0,Settings!$B$61*IF(AND(IF(Settings!$C$61="",$B154,DATE(YEAR($A154),MONTH($A154),MIN(Settings!$C$61,DAY($B154))))&gt;=MAX($A154,Settings!$D$61,Settings!$B$5+1),IF(Settings!$C$61="",$B154,DATE(YEAR($A154),MONTH($A154),MIN(Settings!$C$61,DAY($B154))))&lt;=MIN($C154,IF(Settings!$E$61="",$C154,Settings!$E$61))),1,0))+IF(OR(Settings!$B$62="",Settings!$F$62="No"),0,Settings!$B$62*IF(AND(IF(Settings!$C$62="",$B154,DATE(YEAR($A154),MONTH($A154),MIN(Settings!$C$62,DAY($B154))))&gt;=MAX($A154,Settings!$D$62,Settings!$B$5+1),IF(Settings!$C$62="",$B154,DATE(YEAR($A154),MONTH($A154),MIN(Settings!$C$62,DAY($B154))))&lt;=MIN($C154,IF(Settings!$E$62="",$C154,Settings!$E$62))),1,0))+IF(OR(Settings!$B$63="",Settings!$F$63="No"),0,Settings!$B$63*IF(AND(IF(Settings!$C$63="",$B154,DATE(YEAR($A154),MONTH($A154),MIN(Settings!$C$63,DAY($B154))))&gt;=MAX($A154,Settings!$D$63,Settings!$B$5+1),IF(Settings!$C$63="",$B154,DATE(YEAR($A154),MONTH($A154),MIN(Settings!$C$63,DAY($B154))))&lt;=MIN($C154,IF(Settings!$E$63="",$C154,Settings!$E$63))),1,0))+IF(OR(Settings!$B$64="",Settings!$F$64="No"),0,Settings!$B$64*IF(AND(IF(Settings!$C$64="",$B154,DATE(YEAR($A154),MONTH($A154),MIN(Settings!$C$64,DAY($B154))))&gt;=MAX($A154,Settings!$D$64,Settings!$B$5+1),IF(Settings!$C$64="",$B154,DATE(YEAR($A154),MONTH($A154),MIN(Settings!$C$64,DAY($B154))))&lt;=MIN($C154,IF(Settings!$E$64="",$C154,Settings!$E$64))),1,0))+IF(OR(Settings!$B$65="",Settings!$F$65="No"),0,Settings!$B$65*IF(AND(IF(Settings!$C$65="",$B154,DATE(YEAR($A154),MONTH($A154),MIN(Settings!$C$65,DAY($B154))))&gt;=MAX($A154,Settings!$D$65,Settings!$B$5+1),IF(Settings!$C$65="",$B154,DATE(YEAR($A154),MONTH($A154),MIN(Settings!$C$65,DAY($B154))))&lt;=MIN($C154,IF(Settings!$E$65="",$C154,Settings!$E$65))),1,0)),0))</f>
        <v/>
      </c>
      <c r="AC154">
        <f>$AY154+$AZ154+$BA154+$BB154+$BC154+$BD154</f>
        <v/>
      </c>
      <c r="AD154">
        <f>$AC154</f>
        <v/>
      </c>
      <c r="AE154">
        <f>IF(OR(Settings!$A$19="",$E154="pre"),"",IF(AND('Month-End'!$EU$7&lt;&gt;"",NOT(_xlfn.ISFORMULA('Month-End'!$EU$7))),N('Month-End'!$EU$7),IF(OR($E154="open",$E153="pre"),N(Settings!$C$19),N($AE153))))</f>
        <v/>
      </c>
      <c r="AF154">
        <f>IF(OR(Settings!$A$20="",$E154="pre"),"",IF(AND('Month-End'!$EU$8&lt;&gt;"",NOT(_xlfn.ISFORMULA('Month-End'!$EU$8))),N('Month-End'!$EU$8),IF(OR($E154="open",$E153="pre"),N(Settings!$C$20),N($AF153))))</f>
        <v/>
      </c>
      <c r="AG154">
        <f>IF(OR(Settings!$A$21="",$E154="pre"),"",IF(AND('Month-End'!$EU$9&lt;&gt;"",NOT(_xlfn.ISFORMULA('Month-End'!$EU$9))),N('Month-End'!$EU$9),IF(OR($E154="open",$E153="pre"),N(Settings!$C$21),N($AG153))))</f>
        <v/>
      </c>
      <c r="AH154">
        <f>IF(OR(Settings!$A$22="",$E154="pre"),"",IF(AND('Month-End'!$EU$10&lt;&gt;"",NOT(_xlfn.ISFORMULA('Month-End'!$EU$10))),N('Month-End'!$EU$10),IF(OR($E154="open",$E153="pre"),N(Settings!$C$22),N($AH153))))</f>
        <v/>
      </c>
      <c r="AI154">
        <f>IF(OR(Settings!$A$23="",$E154="pre"),"",IF(AND('Month-End'!$EU$11&lt;&gt;"",NOT(_xlfn.ISFORMULA('Month-End'!$EU$11))),N('Month-End'!$EU$11),IF(OR($E154="open",$E153="pre"),N(Settings!$C$23),N($AI153))))</f>
        <v/>
      </c>
      <c r="AJ154">
        <f>IF(OR(Settings!$A$24="",$E154="pre"),"",IF(AND('Month-End'!$EU$12&lt;&gt;"",NOT(_xlfn.ISFORMULA('Month-End'!$EU$12))),N('Month-End'!$EU$12),IF(OR($E154="open",$E153="pre"),N(Settings!$C$24),N($AJ153))))</f>
        <v/>
      </c>
      <c r="AK154">
        <f>IF(OR(Settings!$A$25="",$E154="pre"),"",IF(AND('Month-End'!$EU$13&lt;&gt;"",NOT(_xlfn.ISFORMULA('Month-End'!$EU$13))),N('Month-End'!$EU$13),IF(OR($E154="open",$E153="pre"),N(Settings!$C$25),N($AK153))))</f>
        <v/>
      </c>
      <c r="AL154">
        <f>IF(OR(Settings!$A$26="",$E154="pre"),"",IF(AND('Month-End'!$EU$14&lt;&gt;"",NOT(_xlfn.ISFORMULA('Month-End'!$EU$14))),N('Month-End'!$EU$14),IF(OR($E154="open",$E153="pre"),N(Settings!$C$26),N($AL153))))</f>
        <v/>
      </c>
      <c r="AM154">
        <f>IF(OR(Settings!$A$27="",$E154="pre"),"",IF(AND('Month-End'!$EU$15&lt;&gt;"",NOT(_xlfn.ISFORMULA('Month-End'!$EU$15))),N('Month-End'!$EU$15),IF(OR($E154="open",$E153="pre"),N(Settings!$C$27),N($AM153))))</f>
        <v/>
      </c>
      <c r="AN154">
        <f>IF(OR(Settings!$A$28="",$E154="pre"),"",IF(AND('Month-End'!$EU$16&lt;&gt;"",NOT(_xlfn.ISFORMULA('Month-End'!$EU$16))),N('Month-End'!$EU$16),IF(OR($E154="open",$E153="pre"),N(Settings!$C$28),N($AN153))))</f>
        <v/>
      </c>
      <c r="AO154">
        <f>IF(OR(Settings!$A$29="",$E154="pre"),"",IF(AND('Month-End'!$EU$17&lt;&gt;"",NOT(_xlfn.ISFORMULA('Month-End'!$EU$17))),N('Month-End'!$EU$17),IF(OR($E154="open",$E153="pre"),N(Settings!$C$29),N($AO153))))</f>
        <v/>
      </c>
      <c r="AP154">
        <f>IF(OR(Settings!$A$30="",$E154="pre"),"",IF(AND('Month-End'!$EU$18&lt;&gt;"",NOT(_xlfn.ISFORMULA('Month-End'!$EU$18))),N('Month-End'!$EU$18),IF(OR($E154="open",$E153="pre"),N(Settings!$C$30),N($AP153))))</f>
        <v/>
      </c>
      <c r="AQ154">
        <f>IF(OR(Settings!$A$31="",$E154="pre"),"",IF(AND('Month-End'!$EU$19&lt;&gt;"",NOT(_xlfn.ISFORMULA('Month-End'!$EU$19))),N('Month-End'!$EU$19),IF(OR($E154="open",$E153="pre"),N(Settings!$C$31),N($AQ153))))</f>
        <v/>
      </c>
      <c r="AR154">
        <f>IF(OR(Settings!$A$32="",$E154="pre"),"",IF(AND('Month-End'!$EU$20&lt;&gt;"",NOT(_xlfn.ISFORMULA('Month-End'!$EU$20))),N('Month-End'!$EU$20),IF(OR($E154="open",$E153="pre"),N(Settings!$C$32),N($AR153))))</f>
        <v/>
      </c>
      <c r="AS154">
        <f>IF(OR(Settings!$A$36="",$E154="pre"),"",IF(AND('Month-End'!$EU$38&lt;&gt;"",NOT(_xlfn.ISFORMULA('Month-End'!$EU$38))),N('Month-End'!$EU$38),IF(OR($E154="open",$E153="pre"),N(Settings!$C$36),N($AS153))+$AY154))</f>
        <v/>
      </c>
      <c r="AT154">
        <f>IF(OR(Settings!$A$37="",$E154="pre"),"",IF(AND('Month-End'!$EU$39&lt;&gt;"",NOT(_xlfn.ISFORMULA('Month-End'!$EU$39))),N('Month-End'!$EU$39),IF(OR($E154="open",$E153="pre"),N(Settings!$C$37),N($AT153))+$AZ154))</f>
        <v/>
      </c>
      <c r="AU154">
        <f>IF(OR(Settings!$A$38="",$E154="pre"),"",IF(AND('Month-End'!$EU$40&lt;&gt;"",NOT(_xlfn.ISFORMULA('Month-End'!$EU$40))),N('Month-End'!$EU$40),IF(OR($E154="open",$E153="pre"),N(Settings!$C$38),N($AU153))+$BA154))</f>
        <v/>
      </c>
      <c r="AV154">
        <f>IF(OR(Settings!$A$39="",$E154="pre"),"",IF(AND('Month-End'!$EU$41&lt;&gt;"",NOT(_xlfn.ISFORMULA('Month-End'!$EU$41))),N('Month-End'!$EU$41),IF(OR($E154="open",$E153="pre"),N(Settings!$C$39),N($AV153))+$BB154))</f>
        <v/>
      </c>
      <c r="AW154">
        <f>IF(OR(Settings!$A$40="",$E154="pre"),"",IF(AND('Month-End'!$EU$42&lt;&gt;"",NOT(_xlfn.ISFORMULA('Month-End'!$EU$42))),N('Month-End'!$EU$42),IF(OR($E154="open",$E153="pre"),N(Settings!$C$40),N($AW153))+$BC154))</f>
        <v/>
      </c>
      <c r="AX154">
        <f>IF(OR(Settings!$A$41="",$E154="pre"),"",IF(AND('Month-End'!$EU$43&lt;&gt;"",NOT(_xlfn.ISFORMULA('Month-End'!$EU$43))),N('Month-End'!$EU$43),IF(OR($E154="open",$E153="pre"),N(Settings!$C$41),N($AX153))+$BD154))</f>
        <v/>
      </c>
      <c r="AY154">
        <f>IF($E154="pre",0,N('Month-End'!$EU$45))</f>
        <v/>
      </c>
      <c r="AZ154">
        <f>IF($E154="pre",0,N('Month-End'!$EU$46))</f>
        <v/>
      </c>
      <c r="BA154">
        <f>IF($E154="pre",0,N('Month-End'!$EU$47))</f>
        <v/>
      </c>
      <c r="BB154">
        <f>IF($E154="pre",0,N('Month-End'!$EU$48))</f>
        <v/>
      </c>
      <c r="BC154">
        <f>IF($E154="pre",0,N('Month-End'!$EU$49))</f>
        <v/>
      </c>
      <c r="BD154">
        <f>IF($E154="pre",0,N('Month-End'!$EU$50))</f>
        <v/>
      </c>
      <c r="BE154">
        <f>IF(OR(Settings!$C$45="",Settings!$D$45=""),0,Settings!$C$45*IF(Settings!$D$45="Weekly",IF(IFERROR(MATCH(Settings!$E$45,$EO$4:$EO$10,0),0)=0,0,IF(MIN($C154,IF(Settings!$G$45="",$C154,Settings!$G$45))&lt;MAX($A154,Settings!$F$45),0,INT((MIN($C154,IF(Settings!$G$45="",$C154,Settings!$G$45))-MAX($A154,Settings!$F$45)-MOD(IFERROR(MATCH(Settings!$E$45,$EO$4:$EO$10,0),0)-WEEKDAY(MAX($A154,Settings!$F$45)),7))/7)+1)),IF(AND(IF(Settings!$E$45="",$B154,DATE(YEAR($A154),MONTH($A154),MIN(Settings!$E$45,DAY($B154))))&gt;=MAX($A154,Settings!$F$45),IF(Settings!$E$45="",$B154,DATE(YEAR($A154),MONTH($A154),MIN(Settings!$E$45,DAY($B154))))&lt;=MIN($C154,IF(Settings!$G$45="",$C154,Settings!$G$45))),1,0)))</f>
        <v/>
      </c>
      <c r="BF154">
        <f>IF(OR(Settings!$C$46="",Settings!$D$46=""),0,Settings!$C$46*IF(Settings!$D$46="Weekly",IF(IFERROR(MATCH(Settings!$E$46,$EO$4:$EO$10,0),0)=0,0,IF(MIN($C154,IF(Settings!$G$46="",$C154,Settings!$G$46))&lt;MAX($A154,Settings!$F$46),0,INT((MIN($C154,IF(Settings!$G$46="",$C154,Settings!$G$46))-MAX($A154,Settings!$F$46)-MOD(IFERROR(MATCH(Settings!$E$46,$EO$4:$EO$10,0),0)-WEEKDAY(MAX($A154,Settings!$F$46)),7))/7)+1)),IF(AND(IF(Settings!$E$46="",$B154,DATE(YEAR($A154),MONTH($A154),MIN(Settings!$E$46,DAY($B154))))&gt;=MAX($A154,Settings!$F$46),IF(Settings!$E$46="",$B154,DATE(YEAR($A154),MONTH($A154),MIN(Settings!$E$46,DAY($B154))))&lt;=MIN($C154,IF(Settings!$G$46="",$C154,Settings!$G$46))),1,0)))</f>
        <v/>
      </c>
      <c r="BG154">
        <f>IF(OR(Settings!$C$47="",Settings!$D$47=""),0,Settings!$C$47*IF(Settings!$D$47="Weekly",IF(IFERROR(MATCH(Settings!$E$47,$EO$4:$EO$10,0),0)=0,0,IF(MIN($C154,IF(Settings!$G$47="",$C154,Settings!$G$47))&lt;MAX($A154,Settings!$F$47),0,INT((MIN($C154,IF(Settings!$G$47="",$C154,Settings!$G$47))-MAX($A154,Settings!$F$47)-MOD(IFERROR(MATCH(Settings!$E$47,$EO$4:$EO$10,0),0)-WEEKDAY(MAX($A154,Settings!$F$47)),7))/7)+1)),IF(AND(IF(Settings!$E$47="",$B154,DATE(YEAR($A154),MONTH($A154),MIN(Settings!$E$47,DAY($B154))))&gt;=MAX($A154,Settings!$F$47),IF(Settings!$E$47="",$B154,DATE(YEAR($A154),MONTH($A154),MIN(Settings!$E$47,DAY($B154))))&lt;=MIN($C154,IF(Settings!$G$47="",$C154,Settings!$G$47))),1,0)))</f>
        <v/>
      </c>
      <c r="BH154">
        <f>IF(OR(Settings!$C$48="",Settings!$D$48=""),0,Settings!$C$48*IF(Settings!$D$48="Weekly",IF(IFERROR(MATCH(Settings!$E$48,$EO$4:$EO$10,0),0)=0,0,IF(MIN($C154,IF(Settings!$G$48="",$C154,Settings!$G$48))&lt;MAX($A154,Settings!$F$48),0,INT((MIN($C154,IF(Settings!$G$48="",$C154,Settings!$G$48))-MAX($A154,Settings!$F$48)-MOD(IFERROR(MATCH(Settings!$E$48,$EO$4:$EO$10,0),0)-WEEKDAY(MAX($A154,Settings!$F$48)),7))/7)+1)),IF(AND(IF(Settings!$E$48="",$B154,DATE(YEAR($A154),MONTH($A154),MIN(Settings!$E$48,DAY($B154))))&gt;=MAX($A154,Settings!$F$48),IF(Settings!$E$48="",$B154,DATE(YEAR($A154),MONTH($A154),MIN(Settings!$E$48,DAY($B154))))&lt;=MIN($C154,IF(Settings!$G$48="",$C154,Settings!$G$48))),1,0)))</f>
        <v/>
      </c>
      <c r="BI154">
        <f>IF(OR(Settings!$C$49="",Settings!$D$49=""),0,Settings!$C$49*IF(Settings!$D$49="Weekly",IF(IFERROR(MATCH(Settings!$E$49,$EO$4:$EO$10,0),0)=0,0,IF(MIN($C154,IF(Settings!$G$49="",$C154,Settings!$G$49))&lt;MAX($A154,Settings!$F$49),0,INT((MIN($C154,IF(Settings!$G$49="",$C154,Settings!$G$49))-MAX($A154,Settings!$F$49)-MOD(IFERROR(MATCH(Settings!$E$49,$EO$4:$EO$10,0),0)-WEEKDAY(MAX($A154,Settings!$F$49)),7))/7)+1)),IF(AND(IF(Settings!$E$49="",$B154,DATE(YEAR($A154),MONTH($A154),MIN(Settings!$E$49,DAY($B154))))&gt;=MAX($A154,Settings!$F$49),IF(Settings!$E$49="",$B154,DATE(YEAR($A154),MONTH($A154),MIN(Settings!$E$49,DAY($B154))))&lt;=MIN($C154,IF(Settings!$G$49="",$C154,Settings!$G$49))),1,0)))</f>
        <v/>
      </c>
      <c r="BJ154">
        <f>IF(OR(Settings!$C$50="",Settings!$D$50=""),0,Settings!$C$50*IF(Settings!$D$50="Weekly",IF(IFERROR(MATCH(Settings!$E$50,$EO$4:$EO$10,0),0)=0,0,IF(MIN($C154,IF(Settings!$G$50="",$C154,Settings!$G$50))&lt;MAX($A154,Settings!$F$50),0,INT((MIN($C154,IF(Settings!$G$50="",$C154,Settings!$G$50))-MAX($A154,Settings!$F$50)-MOD(IFERROR(MATCH(Settings!$E$50,$EO$4:$EO$10,0),0)-WEEKDAY(MAX($A154,Settings!$F$50)),7))/7)+1)),IF(AND(IF(Settings!$E$50="",$B154,DATE(YEAR($A154),MONTH($A154),MIN(Settings!$E$50,DAY($B154))))&gt;=MAX($A154,Settings!$F$50),IF(Settings!$E$50="",$B154,DATE(YEAR($A154),MONTH($A154),MIN(Settings!$E$50,DAY($B154))))&lt;=MIN($C154,IF(Settings!$G$50="",$C154,Settings!$G$50))),1,0)))</f>
        <v/>
      </c>
      <c r="BK154">
        <f>IF(OR(Settings!$C$51="",Settings!$D$51=""),0,Settings!$C$51*IF(Settings!$D$51="Weekly",IF(IFERROR(MATCH(Settings!$E$51,$EO$4:$EO$10,0),0)=0,0,IF(MIN($C154,IF(Settings!$G$51="",$C154,Settings!$G$51))&lt;MAX($A154,Settings!$F$51),0,INT((MIN($C154,IF(Settings!$G$51="",$C154,Settings!$G$51))-MAX($A154,Settings!$F$51)-MOD(IFERROR(MATCH(Settings!$E$51,$EO$4:$EO$10,0),0)-WEEKDAY(MAX($A154,Settings!$F$51)),7))/7)+1)),IF(AND(IF(Settings!$E$51="",$B154,DATE(YEAR($A154),MONTH($A154),MIN(Settings!$E$51,DAY($B154))))&gt;=MAX($A154,Settings!$F$51),IF(Settings!$E$51="",$B154,DATE(YEAR($A154),MONTH($A154),MIN(Settings!$E$51,DAY($B154))))&lt;=MIN($C154,IF(Settings!$G$51="",$C154,Settings!$G$51))),1,0)))</f>
        <v/>
      </c>
      <c r="BL154">
        <f>IF(OR(Settings!$C$52="",Settings!$D$52=""),0,Settings!$C$52*IF(Settings!$D$52="Weekly",IF(IFERROR(MATCH(Settings!$E$52,$EO$4:$EO$10,0),0)=0,0,IF(MIN($C154,IF(Settings!$G$52="",$C154,Settings!$G$52))&lt;MAX($A154,Settings!$F$52),0,INT((MIN($C154,IF(Settings!$G$52="",$C154,Settings!$G$52))-MAX($A154,Settings!$F$52)-MOD(IFERROR(MATCH(Settings!$E$52,$EO$4:$EO$10,0),0)-WEEKDAY(MAX($A154,Settings!$F$52)),7))/7)+1)),IF(AND(IF(Settings!$E$52="",$B154,DATE(YEAR($A154),MONTH($A154),MIN(Settings!$E$52,DAY($B154))))&gt;=MAX($A154,Settings!$F$52),IF(Settings!$E$52="",$B154,DATE(YEAR($A154),MONTH($A154),MIN(Settings!$E$52,DAY($B154))))&lt;=MIN($C154,IF(Settings!$G$52="",$C154,Settings!$G$52))),1,0)))</f>
        <v/>
      </c>
      <c r="BM154">
        <f>IF(OR(Settings!$C$53="",Settings!$D$53=""),0,Settings!$C$53*IF(Settings!$D$53="Weekly",IF(IFERROR(MATCH(Settings!$E$53,$EO$4:$EO$10,0),0)=0,0,IF(MIN($C154,IF(Settings!$G$53="",$C154,Settings!$G$53))&lt;MAX($A154,Settings!$F$53),0,INT((MIN($C154,IF(Settings!$G$53="",$C154,Settings!$G$53))-MAX($A154,Settings!$F$53)-MOD(IFERROR(MATCH(Settings!$E$53,$EO$4:$EO$10,0),0)-WEEKDAY(MAX($A154,Settings!$F$53)),7))/7)+1)),IF(AND(IF(Settings!$E$53="",$B154,DATE(YEAR($A154),MONTH($A154),MIN(Settings!$E$53,DAY($B154))))&gt;=MAX($A154,Settings!$F$53),IF(Settings!$E$53="",$B154,DATE(YEAR($A154),MONTH($A154),MIN(Settings!$E$53,DAY($B154))))&lt;=MIN($C154,IF(Settings!$G$53="",$C154,Settings!$G$53))),1,0)))</f>
        <v/>
      </c>
      <c r="BN154">
        <f>IF(OR(Settings!$C$54="",Settings!$D$54=""),0,Settings!$C$54*IF(Settings!$D$54="Weekly",IF(IFERROR(MATCH(Settings!$E$54,$EO$4:$EO$10,0),0)=0,0,IF(MIN($C154,IF(Settings!$G$54="",$C154,Settings!$G$54))&lt;MAX($A154,Settings!$F$54),0,INT((MIN($C154,IF(Settings!$G$54="",$C154,Settings!$G$54))-MAX($A154,Settings!$F$54)-MOD(IFERROR(MATCH(Settings!$E$54,$EO$4:$EO$10,0),0)-WEEKDAY(MAX($A154,Settings!$F$54)),7))/7)+1)),IF(AND(IF(Settings!$E$54="",$B154,DATE(YEAR($A154),MONTH($A154),MIN(Settings!$E$54,DAY($B154))))&gt;=MAX($A154,Settings!$F$54),IF(Settings!$E$54="",$B154,DATE(YEAR($A154),MONTH($A154),MIN(Settings!$E$54,DAY($B154))))&lt;=MIN($C154,IF(Settings!$G$54="",$C154,Settings!$G$54))),1,0)))</f>
        <v/>
      </c>
      <c r="BO154">
        <f>IF(OR(Settings!$C$55="",Settings!$D$55=""),0,Settings!$C$55*IF(Settings!$D$55="Weekly",IF(IFERROR(MATCH(Settings!$E$55,$EO$4:$EO$10,0),0)=0,0,IF(MIN($C154,IF(Settings!$G$55="",$C154,Settings!$G$55))&lt;MAX($A154,Settings!$F$55),0,INT((MIN($C154,IF(Settings!$G$55="",$C154,Settings!$G$55))-MAX($A154,Settings!$F$55)-MOD(IFERROR(MATCH(Settings!$E$55,$EO$4:$EO$10,0),0)-WEEKDAY(MAX($A154,Settings!$F$55)),7))/7)+1)),IF(AND(IF(Settings!$E$55="",$B154,DATE(YEAR($A154),MONTH($A154),MIN(Settings!$E$55,DAY($B154))))&gt;=MAX($A154,Settings!$F$55),IF(Settings!$E$55="",$B154,DATE(YEAR($A154),MONTH($A154),MIN(Settings!$E$55,DAY($B154))))&lt;=MIN($C154,IF(Settings!$G$55="",$C154,Settings!$G$55))),1,0)))</f>
        <v/>
      </c>
      <c r="BP154">
        <f>IF(OR(Settings!$C$56="",Settings!$D$56=""),0,Settings!$C$56*IF(Settings!$D$56="Weekly",IF(IFERROR(MATCH(Settings!$E$56,$EO$4:$EO$10,0),0)=0,0,IF(MIN($C154,IF(Settings!$G$56="",$C154,Settings!$G$56))&lt;MAX($A154,Settings!$F$56),0,INT((MIN($C154,IF(Settings!$G$56="",$C154,Settings!$G$56))-MAX($A154,Settings!$F$56)-MOD(IFERROR(MATCH(Settings!$E$56,$EO$4:$EO$10,0),0)-WEEKDAY(MAX($A154,Settings!$F$56)),7))/7)+1)),IF(AND(IF(Settings!$E$56="",$B154,DATE(YEAR($A154),MONTH($A154),MIN(Settings!$E$56,DAY($B154))))&gt;=MAX($A154,Settings!$F$56),IF(Settings!$E$56="",$B154,DATE(YEAR($A154),MONTH($A154),MIN(Settings!$E$56,DAY($B154))))&lt;=MIN($C154,IF(Settings!$G$56="",$C154,Settings!$G$56))),1,0)))</f>
        <v/>
      </c>
      <c r="BQ154">
        <f>IF(OR(Settings!$B$14="",$D154=1,$E154="pre",$A154&lt;IF(Settings!$B$15="",0,Settings!$B$15)),0,Settings!$B$14)</f>
        <v/>
      </c>
      <c r="BR154">
        <f>IF(AND('Month-End'!$EU$7&lt;&gt;"",NOT(_xlfn.ISFORMULA('Month-End'!$EU$7))),1,0)</f>
        <v/>
      </c>
      <c r="BS154">
        <f>IF(AND('Month-End'!$EU$8&lt;&gt;"",NOT(_xlfn.ISFORMULA('Month-End'!$EU$8))),1,0)</f>
        <v/>
      </c>
      <c r="BT154">
        <f>IF(AND('Month-End'!$EU$9&lt;&gt;"",NOT(_xlfn.ISFORMULA('Month-End'!$EU$9))),1,0)</f>
        <v/>
      </c>
      <c r="BU154">
        <f>IF(AND('Month-End'!$EU$10&lt;&gt;"",NOT(_xlfn.ISFORMULA('Month-End'!$EU$10))),1,0)</f>
        <v/>
      </c>
      <c r="BV154">
        <f>IF(AND('Month-End'!$EU$11&lt;&gt;"",NOT(_xlfn.ISFORMULA('Month-End'!$EU$11))),1,0)</f>
        <v/>
      </c>
      <c r="BW154">
        <f>IF(AND('Month-End'!$EU$12&lt;&gt;"",NOT(_xlfn.ISFORMULA('Month-End'!$EU$12))),1,0)</f>
        <v/>
      </c>
      <c r="BX154">
        <f>IF(AND('Month-End'!$EU$13&lt;&gt;"",NOT(_xlfn.ISFORMULA('Month-End'!$EU$13))),1,0)</f>
        <v/>
      </c>
      <c r="BY154">
        <f>IF(AND('Month-End'!$EU$14&lt;&gt;"",NOT(_xlfn.ISFORMULA('Month-End'!$EU$14))),1,0)</f>
        <v/>
      </c>
      <c r="BZ154">
        <f>IF(AND('Month-End'!$EU$15&lt;&gt;"",NOT(_xlfn.ISFORMULA('Month-End'!$EU$15))),1,0)</f>
        <v/>
      </c>
      <c r="CA154">
        <f>IF(AND('Month-End'!$EU$16&lt;&gt;"",NOT(_xlfn.ISFORMULA('Month-End'!$EU$16))),1,0)</f>
        <v/>
      </c>
      <c r="CB154">
        <f>IF(AND('Month-End'!$EU$17&lt;&gt;"",NOT(_xlfn.ISFORMULA('Month-End'!$EU$17))),1,0)</f>
        <v/>
      </c>
      <c r="CC154">
        <f>IF(AND('Month-End'!$EU$18&lt;&gt;"",NOT(_xlfn.ISFORMULA('Month-End'!$EU$18))),1,0)</f>
        <v/>
      </c>
      <c r="CD154">
        <f>IF(AND('Month-End'!$EU$19&lt;&gt;"",NOT(_xlfn.ISFORMULA('Month-End'!$EU$19))),1,0)</f>
        <v/>
      </c>
      <c r="CE154">
        <f>IF(AND('Month-End'!$EU$20&lt;&gt;"",NOT(_xlfn.ISFORMULA('Month-End'!$EU$20))),1,0)</f>
        <v/>
      </c>
      <c r="CF154">
        <f>IF(AND('Month-End'!$EU$38&lt;&gt;"",NOT(_xlfn.ISFORMULA('Month-End'!$EU$38))),1,0)</f>
        <v/>
      </c>
      <c r="CG154">
        <f>IF(AND('Month-End'!$EU$39&lt;&gt;"",NOT(_xlfn.ISFORMULA('Month-End'!$EU$39))),1,0)</f>
        <v/>
      </c>
      <c r="CH154">
        <f>IF(AND('Month-End'!$EU$40&lt;&gt;"",NOT(_xlfn.ISFORMULA('Month-End'!$EU$40))),1,0)</f>
        <v/>
      </c>
      <c r="CI154">
        <f>IF(AND('Month-End'!$EU$41&lt;&gt;"",NOT(_xlfn.ISFORMULA('Month-End'!$EU$41))),1,0)</f>
        <v/>
      </c>
      <c r="CJ154">
        <f>IF(AND('Month-End'!$EU$42&lt;&gt;"",NOT(_xlfn.ISFORMULA('Month-End'!$EU$42))),1,0)</f>
        <v/>
      </c>
      <c r="CK154">
        <f>IF(AND('Month-End'!$EU$43&lt;&gt;"",NOT(_xlfn.ISFORMULA('Month-End'!$EU$43))),1,0)</f>
        <v/>
      </c>
      <c r="CL154">
        <f>SUM($CM154:$CZ154)</f>
        <v/>
      </c>
      <c r="CM154">
        <f>IF(AND($E154&lt;&gt;"pre",AND(Settings!$A$19&lt;&gt;"",Settings!$E$19&lt;&gt;"No"),Settings!$F$19="Yes",NOT(AND('Month-End'!$EU$7&lt;&gt;"",NOT(_xlfn.ISFORMULA('Month-End'!$EU$7))))),1,0)</f>
        <v/>
      </c>
      <c r="CN154">
        <f>IF(AND($E154&lt;&gt;"pre",AND(Settings!$A$20&lt;&gt;"",Settings!$E$20&lt;&gt;"No"),Settings!$F$20="Yes",NOT(AND('Month-End'!$EU$8&lt;&gt;"",NOT(_xlfn.ISFORMULA('Month-End'!$EU$8))))),1,0)</f>
        <v/>
      </c>
      <c r="CO154">
        <f>IF(AND($E154&lt;&gt;"pre",AND(Settings!$A$21&lt;&gt;"",Settings!$E$21&lt;&gt;"No"),Settings!$F$21="Yes",NOT(AND('Month-End'!$EU$9&lt;&gt;"",NOT(_xlfn.ISFORMULA('Month-End'!$EU$9))))),1,0)</f>
        <v/>
      </c>
      <c r="CP154">
        <f>IF(AND($E154&lt;&gt;"pre",AND(Settings!$A$22&lt;&gt;"",Settings!$E$22&lt;&gt;"No"),Settings!$F$22="Yes",NOT(AND('Month-End'!$EU$10&lt;&gt;"",NOT(_xlfn.ISFORMULA('Month-End'!$EU$10))))),1,0)</f>
        <v/>
      </c>
      <c r="CQ154">
        <f>IF(AND($E154&lt;&gt;"pre",AND(Settings!$A$23&lt;&gt;"",Settings!$E$23&lt;&gt;"No"),Settings!$F$23="Yes",NOT(AND('Month-End'!$EU$11&lt;&gt;"",NOT(_xlfn.ISFORMULA('Month-End'!$EU$11))))),1,0)</f>
        <v/>
      </c>
      <c r="CR154">
        <f>IF(AND($E154&lt;&gt;"pre",AND(Settings!$A$24&lt;&gt;"",Settings!$E$24&lt;&gt;"No"),Settings!$F$24="Yes",NOT(AND('Month-End'!$EU$12&lt;&gt;"",NOT(_xlfn.ISFORMULA('Month-End'!$EU$12))))),1,0)</f>
        <v/>
      </c>
      <c r="CS154">
        <f>IF(AND($E154&lt;&gt;"pre",AND(Settings!$A$25&lt;&gt;"",Settings!$E$25&lt;&gt;"No"),Settings!$F$25="Yes",NOT(AND('Month-End'!$EU$13&lt;&gt;"",NOT(_xlfn.ISFORMULA('Month-End'!$EU$13))))),1,0)</f>
        <v/>
      </c>
      <c r="CT154">
        <f>IF(AND($E154&lt;&gt;"pre",AND(Settings!$A$26&lt;&gt;"",Settings!$E$26&lt;&gt;"No"),Settings!$F$26="Yes",NOT(AND('Month-End'!$EU$14&lt;&gt;"",NOT(_xlfn.ISFORMULA('Month-End'!$EU$14))))),1,0)</f>
        <v/>
      </c>
      <c r="CU154">
        <f>IF(AND($E154&lt;&gt;"pre",AND(Settings!$A$27&lt;&gt;"",Settings!$E$27&lt;&gt;"No"),Settings!$F$27="Yes",NOT(AND('Month-End'!$EU$15&lt;&gt;"",NOT(_xlfn.ISFORMULA('Month-End'!$EU$15))))),1,0)</f>
        <v/>
      </c>
      <c r="CV154">
        <f>IF(AND($E154&lt;&gt;"pre",AND(Settings!$A$28&lt;&gt;"",Settings!$E$28&lt;&gt;"No"),Settings!$F$28="Yes",NOT(AND('Month-End'!$EU$16&lt;&gt;"",NOT(_xlfn.ISFORMULA('Month-End'!$EU$16))))),1,0)</f>
        <v/>
      </c>
      <c r="CW154">
        <f>IF(AND($E154&lt;&gt;"pre",AND(Settings!$A$29&lt;&gt;"",Settings!$E$29&lt;&gt;"No"),Settings!$F$29="Yes",NOT(AND('Month-End'!$EU$17&lt;&gt;"",NOT(_xlfn.ISFORMULA('Month-End'!$EU$17))))),1,0)</f>
        <v/>
      </c>
      <c r="CX154">
        <f>IF(AND($E154&lt;&gt;"pre",AND(Settings!$A$30&lt;&gt;"",Settings!$E$30&lt;&gt;"No"),Settings!$F$30="Yes",NOT(AND('Month-End'!$EU$18&lt;&gt;"",NOT(_xlfn.ISFORMULA('Month-End'!$EU$18))))),1,0)</f>
        <v/>
      </c>
      <c r="CY154">
        <f>IF(AND($E154&lt;&gt;"pre",AND(Settings!$A$31&lt;&gt;"",Settings!$E$31&lt;&gt;"No"),Settings!$F$31="Yes",NOT(AND('Month-End'!$EU$19&lt;&gt;"",NOT(_xlfn.ISFORMULA('Month-End'!$EU$19))))),1,0)</f>
        <v/>
      </c>
      <c r="CZ154">
        <f>IF(AND($E154&lt;&gt;"pre",AND(Settings!$A$32&lt;&gt;"",Settings!$E$32&lt;&gt;"No"),Settings!$F$32="Yes",NOT(AND('Month-End'!$EU$20&lt;&gt;"",NOT(_xlfn.ISFORMULA('Month-End'!$EU$20))))),1,0)</f>
        <v/>
      </c>
      <c r="DA154">
        <f>IF($DT154=1,IF(OR(Settings!$B$19="Checking",Settings!$B$19="Savings",Settings!$B$19="Cash"),N($AE154),IF(OR(Settings!$B$19="Card",Settings!$B$19="Loan"),-N($AE154),0))+IF(OR(Settings!$B$20="Checking",Settings!$B$20="Savings",Settings!$B$20="Cash"),N($AF154),IF(OR(Settings!$B$20="Card",Settings!$B$20="Loan"),-N($AF154),0))+IF(OR(Settings!$B$21="Checking",Settings!$B$21="Savings",Settings!$B$21="Cash"),N($AG154),IF(OR(Settings!$B$21="Card",Settings!$B$21="Loan"),-N($AG154),0))+IF(OR(Settings!$B$22="Checking",Settings!$B$22="Savings",Settings!$B$22="Cash"),N($AH154),IF(OR(Settings!$B$22="Card",Settings!$B$22="Loan"),-N($AH154),0))+IF(OR(Settings!$B$23="Checking",Settings!$B$23="Savings",Settings!$B$23="Cash"),N($AI154),IF(OR(Settings!$B$23="Card",Settings!$B$23="Loan"),-N($AI154),0))+IF(OR(Settings!$B$24="Checking",Settings!$B$24="Savings",Settings!$B$24="Cash"),N($AJ154),IF(OR(Settings!$B$24="Card",Settings!$B$24="Loan"),-N($AJ154),0))+IF(OR(Settings!$B$25="Checking",Settings!$B$25="Savings",Settings!$B$25="Cash"),N($AK154),IF(OR(Settings!$B$25="Card",Settings!$B$25="Loan"),-N($AK154),0))+IF(OR(Settings!$B$26="Checking",Settings!$B$26="Savings",Settings!$B$26="Cash"),N($AL154),IF(OR(Settings!$B$26="Card",Settings!$B$26="Loan"),-N($AL154),0))+IF(OR(Settings!$B$27="Checking",Settings!$B$27="Savings",Settings!$B$27="Cash"),N($AM154),IF(OR(Settings!$B$27="Card",Settings!$B$27="Loan"),-N($AM154),0))+IF(OR(Settings!$B$28="Checking",Settings!$B$28="Savings",Settings!$B$28="Cash"),N($AN154),IF(OR(Settings!$B$28="Card",Settings!$B$28="Loan"),-N($AN154),0))+IF(OR(Settings!$B$29="Checking",Settings!$B$29="Savings",Settings!$B$29="Cash"),N($AO154),IF(OR(Settings!$B$29="Card",Settings!$B$29="Loan"),-N($AO154),0))+IF(OR(Settings!$B$30="Checking",Settings!$B$30="Savings",Settings!$B$30="Cash"),N($AP154),IF(OR(Settings!$B$30="Card",Settings!$B$30="Loan"),-N($AP154),0))+IF(OR(Settings!$B$31="Checking",Settings!$B$31="Savings",Settings!$B$31="Cash"),N($AQ154),IF(OR(Settings!$B$31="Card",Settings!$B$31="Loan"),-N($AQ154),0))+IF(OR(Settings!$B$32="Checking",Settings!$B$32="Savings",Settings!$B$32="Cash"),N($AR154),IF(OR(Settings!$B$32="Card",Settings!$B$32="Loan"),-N($AR154),0)),"")</f>
        <v/>
      </c>
      <c r="DB154">
        <f>IF($E154="open",$EB$27,IF($E154="post",IF($E153="pre",$EB$27,$DA153),""))</f>
        <v/>
      </c>
      <c r="DC154">
        <f>IF($E154="open",1,IF($E154="post",IF($E153="pre",1,$DT153),0))</f>
        <v/>
      </c>
      <c r="DD154">
        <f>IF(AND($DT154=1,$DC154=1),ROUND($W154-($DA154-$DB154)-$AD154-$AB154,2),"")</f>
        <v/>
      </c>
      <c r="DE154">
        <f>IF('Month-End'!$EU$35="",$BQ154,N('Month-End'!$EU$35))</f>
        <v/>
      </c>
      <c r="DF154">
        <f>N('Month-End'!$EU$36)</f>
        <v/>
      </c>
      <c r="DG154">
        <f>IF($DD154="","",$DD154+$DE154)</f>
        <v/>
      </c>
      <c r="DH154">
        <f>IF($DG154="","",$DG154-$DF154)</f>
        <v/>
      </c>
      <c r="DI154">
        <f>IF(OR($E154="pre",$D154=1),"",N($AS154)+N($AT154)+N($AU154)+N($AV154)+N($AW154)+N($AX154))</f>
        <v/>
      </c>
      <c r="DJ154">
        <f>IF($DT154=1,$DA154+N($DI154),"")</f>
        <v/>
      </c>
      <c r="DK154">
        <f>IF($DD154="","",$W154-$DD154-$AB154)</f>
        <v/>
      </c>
      <c r="DL154">
        <f>IF(AND($E154="post",$DD154&lt;&gt;"",$B154&lt;TODAY()),1,0)</f>
        <v/>
      </c>
      <c r="DM154">
        <f>IF($DL154=1,COUNTIF($DL154:$DL$183,1),0)</f>
        <v/>
      </c>
      <c r="DN154">
        <f>IF($D154=1,"",IF($E154="pre","History only",IF($DT154=1,IF($DD154="","⚠ Previous month missing",IF($DD154&lt;0,"⚠ Check: spending &lt; 0",IF($E154="open","✓ Done (partial)","✓ Done"))),IF($B154&gt;=TODAY(),"In progress","⚠ Needs balances"))))</f>
        <v/>
      </c>
      <c r="DO154">
        <f>YEAR($A154)</f>
        <v/>
      </c>
      <c r="DP154">
        <f>DATE(YEAR($A154),INT((MONTH($A154)-1)/3)*3+1,1)</f>
        <v/>
      </c>
      <c r="DQ154">
        <f>IF(AND($DT154=1,$DD154&lt;&gt;"",$D154=0),ROW(),0)</f>
        <v/>
      </c>
      <c r="DR154">
        <f>IF(AND($E154&lt;&gt;"pre",$B154&lt;TODAY(),$DT154=0),1,0)</f>
        <v/>
      </c>
      <c r="DS154">
        <f>IF($DJ154="",NA(),$DJ154)</f>
        <v/>
      </c>
      <c r="DT154">
        <f>IF(AND($E154&lt;&gt;"pre",$CL154=0,COUNTIFS(Settings!$F$19:$F$32,"Yes",Settings!$A$19:$A$32,"&lt;&gt;",Settings!$E$19:$E$32,"&lt;&gt;No")&gt;0),1,0)</f>
        <v/>
      </c>
      <c r="DU154">
        <f>IF(AND($B154&lt;TODAY(),$S154&gt;0),1,0)</f>
        <v/>
      </c>
      <c r="DV154">
        <f>IF($DU154=1,COUNTIF($DU154:$DU$183,1),0)</f>
        <v/>
      </c>
      <c r="DW154">
        <f>IF(AND(OR(Settings!$B$19="Card",Settings!$B$19="Loan"),AND('Month-End'!$EU$7&lt;&gt;"",NOT(_xlfn.ISFORMULA('Month-End'!$EU$7)))),IF(N('Month-End'!$EU$7)&lt;0,1,0),0)+IF(AND(OR(Settings!$B$20="Card",Settings!$B$20="Loan"),AND('Month-End'!$EU$8&lt;&gt;"",NOT(_xlfn.ISFORMULA('Month-End'!$EU$8)))),IF(N('Month-End'!$EU$8)&lt;0,1,0),0)+IF(AND(OR(Settings!$B$21="Card",Settings!$B$21="Loan"),AND('Month-End'!$EU$9&lt;&gt;"",NOT(_xlfn.ISFORMULA('Month-End'!$EU$9)))),IF(N('Month-End'!$EU$9)&lt;0,1,0),0)+IF(AND(OR(Settings!$B$22="Card",Settings!$B$22="Loan"),AND('Month-End'!$EU$10&lt;&gt;"",NOT(_xlfn.ISFORMULA('Month-End'!$EU$10)))),IF(N('Month-End'!$EU$10)&lt;0,1,0),0)+IF(AND(OR(Settings!$B$23="Card",Settings!$B$23="Loan"),AND('Month-End'!$EU$11&lt;&gt;"",NOT(_xlfn.ISFORMULA('Month-End'!$EU$11)))),IF(N('Month-End'!$EU$11)&lt;0,1,0),0)+IF(AND(OR(Settings!$B$24="Card",Settings!$B$24="Loan"),AND('Month-End'!$EU$12&lt;&gt;"",NOT(_xlfn.ISFORMULA('Month-End'!$EU$12)))),IF(N('Month-End'!$EU$12)&lt;0,1,0),0)+IF(AND(OR(Settings!$B$25="Card",Settings!$B$25="Loan"),AND('Month-End'!$EU$13&lt;&gt;"",NOT(_xlfn.ISFORMULA('Month-End'!$EU$13)))),IF(N('Month-End'!$EU$13)&lt;0,1,0),0)+IF(AND(OR(Settings!$B$26="Card",Settings!$B$26="Loan"),AND('Month-End'!$EU$14&lt;&gt;"",NOT(_xlfn.ISFORMULA('Month-End'!$EU$14)))),IF(N('Month-End'!$EU$14)&lt;0,1,0),0)+IF(AND(OR(Settings!$B$27="Card",Settings!$B$27="Loan"),AND('Month-End'!$EU$15&lt;&gt;"",NOT(_xlfn.ISFORMULA('Month-End'!$EU$15)))),IF(N('Month-End'!$EU$15)&lt;0,1,0),0)+IF(AND(OR(Settings!$B$28="Card",Settings!$B$28="Loan"),AND('Month-End'!$EU$16&lt;&gt;"",NOT(_xlfn.ISFORMULA('Month-End'!$EU$16)))),IF(N('Month-End'!$EU$16)&lt;0,1,0),0)+IF(AND(OR(Settings!$B$29="Card",Settings!$B$29="Loan"),AND('Month-End'!$EU$17&lt;&gt;"",NOT(_xlfn.ISFORMULA('Month-End'!$EU$17)))),IF(N('Month-End'!$EU$17)&lt;0,1,0),0)+IF(AND(OR(Settings!$B$30="Card",Settings!$B$30="Loan"),AND('Month-End'!$EU$18&lt;&gt;"",NOT(_xlfn.ISFORMULA('Month-End'!$EU$18)))),IF(N('Month-End'!$EU$18)&lt;0,1,0),0)+IF(AND(OR(Settings!$B$31="Card",Settings!$B$31="Loan"),AND('Month-End'!$EU$19&lt;&gt;"",NOT(_xlfn.ISFORMULA('Month-End'!$EU$19)))),IF(N('Month-End'!$EU$19)&lt;0,1,0),0)+IF(AND(OR(Settings!$B$32="Card",Settings!$B$32="Loan"),AND('Month-End'!$EU$20&lt;&gt;"",NOT(_xlfn.ISFORMULA('Month-End'!$EU$20)))),IF(N('Month-End'!$EU$20)&lt;0,1,0),0)</f>
        <v/>
      </c>
      <c r="DX154">
        <f>IF(Settings!$B$36="Retirement",$AY154,0)+IF(Settings!$B$37="Retirement",$AZ154,0)+IF(Settings!$B$38="Retirement",$BA154,0)+IF(Settings!$B$39="Retirement",$BB154,0)+IF(Settings!$B$40="Retirement",$BC154,0)+IF(Settings!$B$41="Retirement",$BD154,0)</f>
        <v/>
      </c>
      <c r="ET154">
        <f>IF($E154&lt;&gt;"open",0,IF(AND('Month-End'!$EU$22&lt;&gt;"",NOT(_xlfn.ISFORMULA('Month-End'!$EU$22))),0,IF(OR(Settings!$C$45="",Settings!$D$45=""),0,Settings!$C$45*IF(Settings!$D$45="Weekly",IF(IFERROR(MATCH(Settings!$E$45,$EO$4:$EO$10,0),0)=0,0,IF(MIN(Settings!$B$5,IF(Settings!$G$45="",Settings!$B$5,Settings!$G$45))&lt;MAX($A154,Settings!$F$45),0,INT((MIN(Settings!$B$5,IF(Settings!$G$45="",Settings!$B$5,Settings!$G$45))-MAX($A154,Settings!$F$45)-MOD(IFERROR(MATCH(Settings!$E$45,$EO$4:$EO$10,0),0)-WEEKDAY(MAX($A154,Settings!$F$45)),7))/7)+1)),IF(AND(IF(Settings!$E$45="",$B154,DATE(YEAR($A154),MONTH($A154),MIN(Settings!$E$45,DAY($B154))))&gt;=MAX($A154,Settings!$F$45),IF(Settings!$E$45="",$B154,DATE(YEAR($A154),MONTH($A154),MIN(Settings!$E$45,DAY($B154))))&lt;=MIN(Settings!$B$5,IF(Settings!$G$45="",Settings!$B$5,Settings!$G$45))),1,0)))))</f>
        <v/>
      </c>
      <c r="EU154">
        <f>IF($E154&lt;&gt;"open",0,IF(AND('Month-End'!$EU$23&lt;&gt;"",NOT(_xlfn.ISFORMULA('Month-End'!$EU$23))),0,IF(OR(Settings!$C$46="",Settings!$D$46=""),0,Settings!$C$46*IF(Settings!$D$46="Weekly",IF(IFERROR(MATCH(Settings!$E$46,$EO$4:$EO$10,0),0)=0,0,IF(MIN(Settings!$B$5,IF(Settings!$G$46="",Settings!$B$5,Settings!$G$46))&lt;MAX($A154,Settings!$F$46),0,INT((MIN(Settings!$B$5,IF(Settings!$G$46="",Settings!$B$5,Settings!$G$46))-MAX($A154,Settings!$F$46)-MOD(IFERROR(MATCH(Settings!$E$46,$EO$4:$EO$10,0),0)-WEEKDAY(MAX($A154,Settings!$F$46)),7))/7)+1)),IF(AND(IF(Settings!$E$46="",$B154,DATE(YEAR($A154),MONTH($A154),MIN(Settings!$E$46,DAY($B154))))&gt;=MAX($A154,Settings!$F$46),IF(Settings!$E$46="",$B154,DATE(YEAR($A154),MONTH($A154),MIN(Settings!$E$46,DAY($B154))))&lt;=MIN(Settings!$B$5,IF(Settings!$G$46="",Settings!$B$5,Settings!$G$46))),1,0)))))</f>
        <v/>
      </c>
      <c r="EV154">
        <f>IF($E154&lt;&gt;"open",0,IF(AND('Month-End'!$EU$24&lt;&gt;"",NOT(_xlfn.ISFORMULA('Month-End'!$EU$24))),0,IF(OR(Settings!$C$47="",Settings!$D$47=""),0,Settings!$C$47*IF(Settings!$D$47="Weekly",IF(IFERROR(MATCH(Settings!$E$47,$EO$4:$EO$10,0),0)=0,0,IF(MIN(Settings!$B$5,IF(Settings!$G$47="",Settings!$B$5,Settings!$G$47))&lt;MAX($A154,Settings!$F$47),0,INT((MIN(Settings!$B$5,IF(Settings!$G$47="",Settings!$B$5,Settings!$G$47))-MAX($A154,Settings!$F$47)-MOD(IFERROR(MATCH(Settings!$E$47,$EO$4:$EO$10,0),0)-WEEKDAY(MAX($A154,Settings!$F$47)),7))/7)+1)),IF(AND(IF(Settings!$E$47="",$B154,DATE(YEAR($A154),MONTH($A154),MIN(Settings!$E$47,DAY($B154))))&gt;=MAX($A154,Settings!$F$47),IF(Settings!$E$47="",$B154,DATE(YEAR($A154),MONTH($A154),MIN(Settings!$E$47,DAY($B154))))&lt;=MIN(Settings!$B$5,IF(Settings!$G$47="",Settings!$B$5,Settings!$G$47))),1,0)))))</f>
        <v/>
      </c>
      <c r="EW154">
        <f>IF($E154&lt;&gt;"open",0,IF(AND('Month-End'!$EU$25&lt;&gt;"",NOT(_xlfn.ISFORMULA('Month-End'!$EU$25))),0,IF(OR(Settings!$C$48="",Settings!$D$48=""),0,Settings!$C$48*IF(Settings!$D$48="Weekly",IF(IFERROR(MATCH(Settings!$E$48,$EO$4:$EO$10,0),0)=0,0,IF(MIN(Settings!$B$5,IF(Settings!$G$48="",Settings!$B$5,Settings!$G$48))&lt;MAX($A154,Settings!$F$48),0,INT((MIN(Settings!$B$5,IF(Settings!$G$48="",Settings!$B$5,Settings!$G$48))-MAX($A154,Settings!$F$48)-MOD(IFERROR(MATCH(Settings!$E$48,$EO$4:$EO$10,0),0)-WEEKDAY(MAX($A154,Settings!$F$48)),7))/7)+1)),IF(AND(IF(Settings!$E$48="",$B154,DATE(YEAR($A154),MONTH($A154),MIN(Settings!$E$48,DAY($B154))))&gt;=MAX($A154,Settings!$F$48),IF(Settings!$E$48="",$B154,DATE(YEAR($A154),MONTH($A154),MIN(Settings!$E$48,DAY($B154))))&lt;=MIN(Settings!$B$5,IF(Settings!$G$48="",Settings!$B$5,Settings!$G$48))),1,0)))))</f>
        <v/>
      </c>
      <c r="EX154">
        <f>IF($E154&lt;&gt;"open",0,IF(AND('Month-End'!$EU$26&lt;&gt;"",NOT(_xlfn.ISFORMULA('Month-End'!$EU$26))),0,IF(OR(Settings!$C$49="",Settings!$D$49=""),0,Settings!$C$49*IF(Settings!$D$49="Weekly",IF(IFERROR(MATCH(Settings!$E$49,$EO$4:$EO$10,0),0)=0,0,IF(MIN(Settings!$B$5,IF(Settings!$G$49="",Settings!$B$5,Settings!$G$49))&lt;MAX($A154,Settings!$F$49),0,INT((MIN(Settings!$B$5,IF(Settings!$G$49="",Settings!$B$5,Settings!$G$49))-MAX($A154,Settings!$F$49)-MOD(IFERROR(MATCH(Settings!$E$49,$EO$4:$EO$10,0),0)-WEEKDAY(MAX($A154,Settings!$F$49)),7))/7)+1)),IF(AND(IF(Settings!$E$49="",$B154,DATE(YEAR($A154),MONTH($A154),MIN(Settings!$E$49,DAY($B154))))&gt;=MAX($A154,Settings!$F$49),IF(Settings!$E$49="",$B154,DATE(YEAR($A154),MONTH($A154),MIN(Settings!$E$49,DAY($B154))))&lt;=MIN(Settings!$B$5,IF(Settings!$G$49="",Settings!$B$5,Settings!$G$49))),1,0)))))</f>
        <v/>
      </c>
      <c r="EY154">
        <f>IF($E154&lt;&gt;"open",0,IF(AND('Month-End'!$EU$27&lt;&gt;"",NOT(_xlfn.ISFORMULA('Month-End'!$EU$27))),0,IF(OR(Settings!$C$50="",Settings!$D$50=""),0,Settings!$C$50*IF(Settings!$D$50="Weekly",IF(IFERROR(MATCH(Settings!$E$50,$EO$4:$EO$10,0),0)=0,0,IF(MIN(Settings!$B$5,IF(Settings!$G$50="",Settings!$B$5,Settings!$G$50))&lt;MAX($A154,Settings!$F$50),0,INT((MIN(Settings!$B$5,IF(Settings!$G$50="",Settings!$B$5,Settings!$G$50))-MAX($A154,Settings!$F$50)-MOD(IFERROR(MATCH(Settings!$E$50,$EO$4:$EO$10,0),0)-WEEKDAY(MAX($A154,Settings!$F$50)),7))/7)+1)),IF(AND(IF(Settings!$E$50="",$B154,DATE(YEAR($A154),MONTH($A154),MIN(Settings!$E$50,DAY($B154))))&gt;=MAX($A154,Settings!$F$50),IF(Settings!$E$50="",$B154,DATE(YEAR($A154),MONTH($A154),MIN(Settings!$E$50,DAY($B154))))&lt;=MIN(Settings!$B$5,IF(Settings!$G$50="",Settings!$B$5,Settings!$G$50))),1,0)))))</f>
        <v/>
      </c>
      <c r="EZ154">
        <f>IF($E154&lt;&gt;"open",0,IF(AND('Month-End'!$EU$28&lt;&gt;"",NOT(_xlfn.ISFORMULA('Month-End'!$EU$28))),0,IF(OR(Settings!$C$51="",Settings!$D$51=""),0,Settings!$C$51*IF(Settings!$D$51="Weekly",IF(IFERROR(MATCH(Settings!$E$51,$EO$4:$EO$10,0),0)=0,0,IF(MIN(Settings!$B$5,IF(Settings!$G$51="",Settings!$B$5,Settings!$G$51))&lt;MAX($A154,Settings!$F$51),0,INT((MIN(Settings!$B$5,IF(Settings!$G$51="",Settings!$B$5,Settings!$G$51))-MAX($A154,Settings!$F$51)-MOD(IFERROR(MATCH(Settings!$E$51,$EO$4:$EO$10,0),0)-WEEKDAY(MAX($A154,Settings!$F$51)),7))/7)+1)),IF(AND(IF(Settings!$E$51="",$B154,DATE(YEAR($A154),MONTH($A154),MIN(Settings!$E$51,DAY($B154))))&gt;=MAX($A154,Settings!$F$51),IF(Settings!$E$51="",$B154,DATE(YEAR($A154),MONTH($A154),MIN(Settings!$E$51,DAY($B154))))&lt;=MIN(Settings!$B$5,IF(Settings!$G$51="",Settings!$B$5,Settings!$G$51))),1,0)))))</f>
        <v/>
      </c>
      <c r="FA154">
        <f>IF($E154&lt;&gt;"open",0,IF(AND('Month-End'!$EU$29&lt;&gt;"",NOT(_xlfn.ISFORMULA('Month-End'!$EU$29))),0,IF(OR(Settings!$C$52="",Settings!$D$52=""),0,Settings!$C$52*IF(Settings!$D$52="Weekly",IF(IFERROR(MATCH(Settings!$E$52,$EO$4:$EO$10,0),0)=0,0,IF(MIN(Settings!$B$5,IF(Settings!$G$52="",Settings!$B$5,Settings!$G$52))&lt;MAX($A154,Settings!$F$52),0,INT((MIN(Settings!$B$5,IF(Settings!$G$52="",Settings!$B$5,Settings!$G$52))-MAX($A154,Settings!$F$52)-MOD(IFERROR(MATCH(Settings!$E$52,$EO$4:$EO$10,0),0)-WEEKDAY(MAX($A154,Settings!$F$52)),7))/7)+1)),IF(AND(IF(Settings!$E$52="",$B154,DATE(YEAR($A154),MONTH($A154),MIN(Settings!$E$52,DAY($B154))))&gt;=MAX($A154,Settings!$F$52),IF(Settings!$E$52="",$B154,DATE(YEAR($A154),MONTH($A154),MIN(Settings!$E$52,DAY($B154))))&lt;=MIN(Settings!$B$5,IF(Settings!$G$52="",Settings!$B$5,Settings!$G$52))),1,0)))))</f>
        <v/>
      </c>
      <c r="FB154">
        <f>IF($E154&lt;&gt;"open",0,IF(AND('Month-End'!$EU$30&lt;&gt;"",NOT(_xlfn.ISFORMULA('Month-End'!$EU$30))),0,IF(OR(Settings!$C$53="",Settings!$D$53=""),0,Settings!$C$53*IF(Settings!$D$53="Weekly",IF(IFERROR(MATCH(Settings!$E$53,$EO$4:$EO$10,0),0)=0,0,IF(MIN(Settings!$B$5,IF(Settings!$G$53="",Settings!$B$5,Settings!$G$53))&lt;MAX($A154,Settings!$F$53),0,INT((MIN(Settings!$B$5,IF(Settings!$G$53="",Settings!$B$5,Settings!$G$53))-MAX($A154,Settings!$F$53)-MOD(IFERROR(MATCH(Settings!$E$53,$EO$4:$EO$10,0),0)-WEEKDAY(MAX($A154,Settings!$F$53)),7))/7)+1)),IF(AND(IF(Settings!$E$53="",$B154,DATE(YEAR($A154),MONTH($A154),MIN(Settings!$E$53,DAY($B154))))&gt;=MAX($A154,Settings!$F$53),IF(Settings!$E$53="",$B154,DATE(YEAR($A154),MONTH($A154),MIN(Settings!$E$53,DAY($B154))))&lt;=MIN(Settings!$B$5,IF(Settings!$G$53="",Settings!$B$5,Settings!$G$53))),1,0)))))</f>
        <v/>
      </c>
      <c r="FC154">
        <f>IF($E154&lt;&gt;"open",0,IF(AND('Month-End'!$EU$31&lt;&gt;"",NOT(_xlfn.ISFORMULA('Month-End'!$EU$31))),0,IF(OR(Settings!$C$54="",Settings!$D$54=""),0,Settings!$C$54*IF(Settings!$D$54="Weekly",IF(IFERROR(MATCH(Settings!$E$54,$EO$4:$EO$10,0),0)=0,0,IF(MIN(Settings!$B$5,IF(Settings!$G$54="",Settings!$B$5,Settings!$G$54))&lt;MAX($A154,Settings!$F$54),0,INT((MIN(Settings!$B$5,IF(Settings!$G$54="",Settings!$B$5,Settings!$G$54))-MAX($A154,Settings!$F$54)-MOD(IFERROR(MATCH(Settings!$E$54,$EO$4:$EO$10,0),0)-WEEKDAY(MAX($A154,Settings!$F$54)),7))/7)+1)),IF(AND(IF(Settings!$E$54="",$B154,DATE(YEAR($A154),MONTH($A154),MIN(Settings!$E$54,DAY($B154))))&gt;=MAX($A154,Settings!$F$54),IF(Settings!$E$54="",$B154,DATE(YEAR($A154),MONTH($A154),MIN(Settings!$E$54,DAY($B154))))&lt;=MIN(Settings!$B$5,IF(Settings!$G$54="",Settings!$B$5,Settings!$G$54))),1,0)))))</f>
        <v/>
      </c>
      <c r="FD154">
        <f>IF($E154&lt;&gt;"open",0,IF(AND('Month-End'!$EU$32&lt;&gt;"",NOT(_xlfn.ISFORMULA('Month-End'!$EU$32))),0,IF(OR(Settings!$C$55="",Settings!$D$55=""),0,Settings!$C$55*IF(Settings!$D$55="Weekly",IF(IFERROR(MATCH(Settings!$E$55,$EO$4:$EO$10,0),0)=0,0,IF(MIN(Settings!$B$5,IF(Settings!$G$55="",Settings!$B$5,Settings!$G$55))&lt;MAX($A154,Settings!$F$55),0,INT((MIN(Settings!$B$5,IF(Settings!$G$55="",Settings!$B$5,Settings!$G$55))-MAX($A154,Settings!$F$55)-MOD(IFERROR(MATCH(Settings!$E$55,$EO$4:$EO$10,0),0)-WEEKDAY(MAX($A154,Settings!$F$55)),7))/7)+1)),IF(AND(IF(Settings!$E$55="",$B154,DATE(YEAR($A154),MONTH($A154),MIN(Settings!$E$55,DAY($B154))))&gt;=MAX($A154,Settings!$F$55),IF(Settings!$E$55="",$B154,DATE(YEAR($A154),MONTH($A154),MIN(Settings!$E$55,DAY($B154))))&lt;=MIN(Settings!$B$5,IF(Settings!$G$55="",Settings!$B$5,Settings!$G$55))),1,0)))))</f>
        <v/>
      </c>
      <c r="FE154">
        <f>IF($E154&lt;&gt;"open",0,IF(AND('Month-End'!$EU$33&lt;&gt;"",NOT(_xlfn.ISFORMULA('Month-End'!$EU$33))),0,IF(OR(Settings!$C$56="",Settings!$D$56=""),0,Settings!$C$56*IF(Settings!$D$56="Weekly",IF(IFERROR(MATCH(Settings!$E$56,$EO$4:$EO$10,0),0)=0,0,IF(MIN(Settings!$B$5,IF(Settings!$G$56="",Settings!$B$5,Settings!$G$56))&lt;MAX($A154,Settings!$F$56),0,INT((MIN(Settings!$B$5,IF(Settings!$G$56="",Settings!$B$5,Settings!$G$56))-MAX($A154,Settings!$F$56)-MOD(IFERROR(MATCH(Settings!$E$56,$EO$4:$EO$10,0),0)-WEEKDAY(MAX($A154,Settings!$F$56)),7))/7)+1)),IF(AND(IF(Settings!$E$56="",$B154,DATE(YEAR($A154),MONTH($A154),MIN(Settings!$E$56,DAY($B154))))&gt;=MAX($A154,Settings!$F$56),IF(Settings!$E$56="",$B154,DATE(YEAR($A154),MONTH($A154),MIN(Settings!$E$56,DAY($B154))))&lt;=MIN(Settings!$B$5,IF(Settings!$G$56="",Settings!$B$5,Settings!$G$56))),1,0)))))</f>
        <v/>
      </c>
      <c r="FF154">
        <f>IF(Settings!$I$45="Yes",$G154,0)+IF(Settings!$I$46="Yes",$H154,0)+IF(Settings!$I$47="Yes",$I154,0)+IF(Settings!$I$48="Yes",$J154,0)+IF(Settings!$I$49="Yes",$K154,0)+IF(Settings!$I$50="Yes",$L154,0)+IF(Settings!$I$51="Yes",$M154,0)+IF(Settings!$I$52="Yes",$N154,0)+IF(Settings!$I$53="Yes",$O154,0)+IF(Settings!$I$54="Yes",$P154,0)+IF(Settings!$I$55="Yes",$Q154,0)+IF(Settings!$I$56="Yes",$R154,0)</f>
        <v/>
      </c>
      <c r="FG154">
        <f>IF(AND(Settings!$I$45="Yes",Settings!$J$45="No"),$G154,0)+IF(AND(Settings!$I$46="Yes",Settings!$J$46="No"),$H154,0)+IF(AND(Settings!$I$47="Yes",Settings!$J$47="No"),$I154,0)+IF(AND(Settings!$I$48="Yes",Settings!$J$48="No"),$J154,0)+IF(AND(Settings!$I$49="Yes",Settings!$J$49="No"),$K154,0)+IF(AND(Settings!$I$50="Yes",Settings!$J$50="No"),$L154,0)+IF(AND(Settings!$I$51="Yes",Settings!$J$51="No"),$M154,0)+IF(AND(Settings!$I$52="Yes",Settings!$J$52="No"),$N154,0)+IF(AND(Settings!$I$53="Yes",Settings!$J$53="No"),$O154,0)+IF(AND(Settings!$I$54="Yes",Settings!$J$54="No"),$P154,0)+IF(AND(Settings!$I$55="Yes",Settings!$J$55="No"),$Q154,0)+IF(AND(Settings!$I$56="Yes",Settings!$J$56="No"),$R154,0)</f>
        <v/>
      </c>
      <c r="FH154">
        <f>SUMIFS(Giving!$B$7:$B$2006,Giving!$A$7:$A$2006,"&gt;="&amp;$A154,Giving!$A$7:$A$2006,"&lt;="&amp;$B154,Giving!$G$7:$G$2006,"Yes")+IF(OR(OR(Settings!$B$60="",Settings!$F$60="No"),Settings!$H$60&lt;&gt;"Yes"),0,Settings!$B$60*IF(AND(IF(Settings!$C$60="",$B154,DATE(YEAR($A154),MONTH($A154),MIN(Settings!$C$60,DAY($B154))))&gt;=MAX($A154,Settings!$D$60),IF(Settings!$C$60="",$B154,DATE(YEAR($A154),MONTH($A154),MIN(Settings!$C$60,DAY($B154))))&lt;=MIN($C154,IF(Settings!$E$60="",$C154,Settings!$E$60))),1,0))+IF(OR(OR(Settings!$B$61="",Settings!$F$61="No"),Settings!$H$61&lt;&gt;"Yes"),0,Settings!$B$61*IF(AND(IF(Settings!$C$61="",$B154,DATE(YEAR($A154),MONTH($A154),MIN(Settings!$C$61,DAY($B154))))&gt;=MAX($A154,Settings!$D$61),IF(Settings!$C$61="",$B154,DATE(YEAR($A154),MONTH($A154),MIN(Settings!$C$61,DAY($B154))))&lt;=MIN($C154,IF(Settings!$E$61="",$C154,Settings!$E$61))),1,0))+IF(OR(OR(Settings!$B$62="",Settings!$F$62="No"),Settings!$H$62&lt;&gt;"Yes"),0,Settings!$B$62*IF(AND(IF(Settings!$C$62="",$B154,DATE(YEAR($A154),MONTH($A154),MIN(Settings!$C$62,DAY($B154))))&gt;=MAX($A154,Settings!$D$62),IF(Settings!$C$62="",$B154,DATE(YEAR($A154),MONTH($A154),MIN(Settings!$C$62,DAY($B154))))&lt;=MIN($C154,IF(Settings!$E$62="",$C154,Settings!$E$62))),1,0))+IF(OR(OR(Settings!$B$63="",Settings!$F$63="No"),Settings!$H$63&lt;&gt;"Yes"),0,Settings!$B$63*IF(AND(IF(Settings!$C$63="",$B154,DATE(YEAR($A154),MONTH($A154),MIN(Settings!$C$63,DAY($B154))))&gt;=MAX($A154,Settings!$D$63),IF(Settings!$C$63="",$B154,DATE(YEAR($A154),MONTH($A154),MIN(Settings!$C$63,DAY($B154))))&lt;=MIN($C154,IF(Settings!$E$63="",$C154,Settings!$E$63))),1,0))+IF(OR(OR(Settings!$B$64="",Settings!$F$64="No"),Settings!$H$64&lt;&gt;"Yes"),0,Settings!$B$64*IF(AND(IF(Settings!$C$64="",$B154,DATE(YEAR($A154),MONTH($A154),MIN(Settings!$C$64,DAY($B154))))&gt;=MAX($A154,Settings!$D$64),IF(Settings!$C$64="",$B154,DATE(YEAR($A154),MONTH($A154),MIN(Settings!$C$64,DAY($B154))))&lt;=MIN($C154,IF(Settings!$E$64="",$C154,Settings!$E$64))),1,0))+IF(OR(OR(Settings!$B$65="",Settings!$F$65="No"),Settings!$H$65&lt;&gt;"Yes"),0,Settings!$B$65*IF(AND(IF(Settings!$C$65="",$B154,DATE(YEAR($A154),MONTH($A154),MIN(Settings!$C$65,DAY($B154))))&gt;=MAX($A154,Settings!$D$65),IF(Settings!$C$65="",$B154,DATE(YEAR($A154),MONTH($A154),MIN(Settings!$C$65,DAY($B154))))&lt;=MIN($C154,IF(Settings!$E$65="",$C154,Settings!$E$65))),1,0))</f>
        <v/>
      </c>
      <c r="FI154">
        <f>IF($DT154=1,IF(OR(Settings!$B$19="Card",Settings!$B$19="Loan"),N($AE154),0)+IF(OR(Settings!$B$20="Card",Settings!$B$20="Loan"),N($AF154),0)+IF(OR(Settings!$B$21="Card",Settings!$B$21="Loan"),N($AG154),0)+IF(OR(Settings!$B$22="Card",Settings!$B$22="Loan"),N($AH154),0)+IF(OR(Settings!$B$23="Card",Settings!$B$23="Loan"),N($AI154),0)+IF(OR(Settings!$B$24="Card",Settings!$B$24="Loan"),N($AJ154),0)+IF(OR(Settings!$B$25="Card",Settings!$B$25="Loan"),N($AK154),0)+IF(OR(Settings!$B$26="Card",Settings!$B$26="Loan"),N($AL154),0)+IF(OR(Settings!$B$27="Card",Settings!$B$27="Loan"),N($AM154),0)+IF(OR(Settings!$B$28="Card",Settings!$B$28="Loan"),N($AN154),0)+IF(OR(Settings!$B$29="Card",Settings!$B$29="Loan"),N($AO154),0)+IF(OR(Settings!$B$30="Card",Settings!$B$30="Loan"),N($AP154),0)+IF(OR(Settings!$B$31="Card",Settings!$B$31="Loan"),N($AQ154),0)+IF(OR(Settings!$B$32="Card",Settings!$B$32="Loan"),N($AR154),0),"")</f>
        <v/>
      </c>
      <c r="FJ154">
        <f>IF($E154="open",$EB$65,IF($E154="post",IF($E153="pre",$EB$65,$FI153),""))</f>
        <v/>
      </c>
      <c r="FK154">
        <f>IF(AND($DT154=1,$DC154=1),IF(ROUND($FI154-$FJ154,2)&gt;0,1,0),0)</f>
        <v/>
      </c>
      <c r="FL154">
        <f>IF($FK154=1,$FL153+1,0)</f>
        <v/>
      </c>
    </row>
    <row r="155">
      <c r="A155">
        <f>'Month-End'!$EV$4</f>
        <v/>
      </c>
      <c r="B155">
        <f>EOMONTH($A155,0)</f>
        <v/>
      </c>
      <c r="C155">
        <f>MIN($B155,TODAY())</f>
        <v/>
      </c>
      <c r="D155">
        <f>IF($A155&gt;TODAY(),1,0)</f>
        <v/>
      </c>
      <c r="E155">
        <f>IF($B155&lt;=Settings!$B$5,"pre",IF($A155&lt;=Settings!$B$5,"open","post"))</f>
        <v/>
      </c>
      <c r="G155">
        <f>IF('Month-End'!$EV$22="",$BE155,N('Month-End'!$EV$22))</f>
        <v/>
      </c>
      <c r="H155">
        <f>IF('Month-End'!$EV$23="",$BF155,N('Month-End'!$EV$23))</f>
        <v/>
      </c>
      <c r="I155">
        <f>IF('Month-End'!$EV$24="",$BG155,N('Month-End'!$EV$24))</f>
        <v/>
      </c>
      <c r="J155">
        <f>IF('Month-End'!$EV$25="",$BH155,N('Month-End'!$EV$25))</f>
        <v/>
      </c>
      <c r="K155">
        <f>IF('Month-End'!$EV$26="",$BI155,N('Month-End'!$EV$26))</f>
        <v/>
      </c>
      <c r="L155">
        <f>IF('Month-End'!$EV$27="",$BJ155,N('Month-End'!$EV$27))</f>
        <v/>
      </c>
      <c r="M155">
        <f>IF('Month-End'!$EV$28="",$BK155,N('Month-End'!$EV$28))</f>
        <v/>
      </c>
      <c r="N155">
        <f>IF('Month-End'!$EV$29="",$BL155,N('Month-End'!$EV$29))</f>
        <v/>
      </c>
      <c r="O155">
        <f>IF('Month-End'!$EV$30="",$BM155,N('Month-End'!$EV$30))</f>
        <v/>
      </c>
      <c r="P155">
        <f>IF('Month-End'!$EV$31="",$BN155,N('Month-End'!$EV$31))</f>
        <v/>
      </c>
      <c r="Q155">
        <f>IF('Month-End'!$EV$32="",$BO155,N('Month-End'!$EV$32))</f>
        <v/>
      </c>
      <c r="R155">
        <f>IF('Month-End'!$EV$33="",$BP155,N('Month-End'!$EV$33))</f>
        <v/>
      </c>
      <c r="S155">
        <f>$G155+$H155+$I155+$J155+$K155+$L155+$M155+$N155+$O155+$P155+$Q155+$R155</f>
        <v/>
      </c>
      <c r="T155">
        <f>IF($B155&lt;Settings!$B$6,0,IF(Settings!$B$45="Yes",$G155,0)+IF(Settings!$B$46="Yes",$H155,0)+IF(Settings!$B$47="Yes",$I155,0)+IF(Settings!$B$48="Yes",$J155,0)+IF(Settings!$B$49="Yes",$K155,0)+IF(Settings!$B$50="Yes",$L155,0)+IF(Settings!$B$51="Yes",$M155,0)+IF(Settings!$B$52="Yes",$N155,0)+IF(Settings!$B$53="Yes",$O155,0)+IF(Settings!$B$54="Yes",$P155,0)+IF(Settings!$B$55="Yes",$Q155,0)+IF(Settings!$B$56="Yes",$R155,0))</f>
        <v/>
      </c>
      <c r="U155">
        <f>IF(Settings!$B$45="Not Sure",$G155,0)+IF(Settings!$B$46="Not Sure",$H155,0)+IF(Settings!$B$47="Not Sure",$I155,0)+IF(Settings!$B$48="Not Sure",$J155,0)+IF(Settings!$B$49="Not Sure",$K155,0)+IF(Settings!$B$50="Not Sure",$L155,0)+IF(Settings!$B$51="Not Sure",$M155,0)+IF(Settings!$B$52="Not Sure",$N155,0)+IF(Settings!$B$53="Not Sure",$O155,0)+IF(Settings!$B$54="Not Sure",$P155,0)+IF(Settings!$B$55="Not Sure",$Q155,0)+IF(Settings!$B$56="Not Sure",$R155,0)</f>
        <v/>
      </c>
      <c r="V155">
        <f>IF($E155="open",SUM($ET155:$FE155)+N(Settings!$B$13),0)</f>
        <v/>
      </c>
      <c r="W155">
        <f>IF($E155="post",$S155,IF($E155="open",$S155-$V155,0))</f>
        <v/>
      </c>
      <c r="X155">
        <f>SUMIFS(Giving!$B$7:$B$2006,Giving!$A$7:$A$2006,"&gt;="&amp;$A155,Giving!$A$7:$A$2006,"&lt;="&amp;$B155,Giving!$E$7:$E$2006,"&lt;&gt;No")</f>
        <v/>
      </c>
      <c r="Y155">
        <f>SUMIFS(Giving!$B$7:$B$2006,Giving!$A$7:$A$2006,"&gt;="&amp;$A155,Giving!$A$7:$A$2006,"&lt;="&amp;$B155,Giving!$E$7:$E$2006,"No")</f>
        <v/>
      </c>
      <c r="Z155">
        <f>IF(OR(Settings!$B$60="",Settings!$F$60="No"),0,Settings!$B$60*IF(AND(IF(Settings!$C$60="",$B155,DATE(YEAR($A155),MONTH($A155),MIN(Settings!$C$60,DAY($B155))))&gt;=MAX($A155,Settings!$D$60),IF(Settings!$C$60="",$B155,DATE(YEAR($A155),MONTH($A155),MIN(Settings!$C$60,DAY($B155))))&lt;=MIN($C155,IF(Settings!$E$60="",$C155,Settings!$E$60))),1,0))+IF(OR(Settings!$B$61="",Settings!$F$61="No"),0,Settings!$B$61*IF(AND(IF(Settings!$C$61="",$B155,DATE(YEAR($A155),MONTH($A155),MIN(Settings!$C$61,DAY($B155))))&gt;=MAX($A155,Settings!$D$61),IF(Settings!$C$61="",$B155,DATE(YEAR($A155),MONTH($A155),MIN(Settings!$C$61,DAY($B155))))&lt;=MIN($C155,IF(Settings!$E$61="",$C155,Settings!$E$61))),1,0))+IF(OR(Settings!$B$62="",Settings!$F$62="No"),0,Settings!$B$62*IF(AND(IF(Settings!$C$62="",$B155,DATE(YEAR($A155),MONTH($A155),MIN(Settings!$C$62,DAY($B155))))&gt;=MAX($A155,Settings!$D$62),IF(Settings!$C$62="",$B155,DATE(YEAR($A155),MONTH($A155),MIN(Settings!$C$62,DAY($B155))))&lt;=MIN($C155,IF(Settings!$E$62="",$C155,Settings!$E$62))),1,0))+IF(OR(Settings!$B$63="",Settings!$F$63="No"),0,Settings!$B$63*IF(AND(IF(Settings!$C$63="",$B155,DATE(YEAR($A155),MONTH($A155),MIN(Settings!$C$63,DAY($B155))))&gt;=MAX($A155,Settings!$D$63),IF(Settings!$C$63="",$B155,DATE(YEAR($A155),MONTH($A155),MIN(Settings!$C$63,DAY($B155))))&lt;=MIN($C155,IF(Settings!$E$63="",$C155,Settings!$E$63))),1,0))+IF(OR(Settings!$B$64="",Settings!$F$64="No"),0,Settings!$B$64*IF(AND(IF(Settings!$C$64="",$B155,DATE(YEAR($A155),MONTH($A155),MIN(Settings!$C$64,DAY($B155))))&gt;=MAX($A155,Settings!$D$64),IF(Settings!$C$64="",$B155,DATE(YEAR($A155),MONTH($A155),MIN(Settings!$C$64,DAY($B155))))&lt;=MIN($C155,IF(Settings!$E$64="",$C155,Settings!$E$64))),1,0))+IF(OR(Settings!$B$65="",Settings!$F$65="No"),0,Settings!$B$65*IF(AND(IF(Settings!$C$65="",$B155,DATE(YEAR($A155),MONTH($A155),MIN(Settings!$C$65,DAY($B155))))&gt;=MAX($A155,Settings!$D$65),IF(Settings!$C$65="",$B155,DATE(YEAR($A155),MONTH($A155),MIN(Settings!$C$65,DAY($B155))))&lt;=MIN($C155,IF(Settings!$E$65="",$C155,Settings!$E$65))),1,0))</f>
        <v/>
      </c>
      <c r="AA155">
        <f>$X155+$Z155</f>
        <v/>
      </c>
      <c r="AB155">
        <f>IF($E155="post",$AA155,IF($E155="open",SUMIFS(Giving!$B$7:$B$2006,Giving!$A$7:$A$2006,"&gt;"&amp;Settings!$B$5,Giving!$A$7:$A$2006,"&lt;="&amp;$B155,Giving!$E$7:$E$2006,"&lt;&gt;No")+IF(OR(Settings!$B$60="",Settings!$F$60="No"),0,Settings!$B$60*IF(AND(IF(Settings!$C$60="",$B155,DATE(YEAR($A155),MONTH($A155),MIN(Settings!$C$60,DAY($B155))))&gt;=MAX($A155,Settings!$D$60,Settings!$B$5+1),IF(Settings!$C$60="",$B155,DATE(YEAR($A155),MONTH($A155),MIN(Settings!$C$60,DAY($B155))))&lt;=MIN($C155,IF(Settings!$E$60="",$C155,Settings!$E$60))),1,0))+IF(OR(Settings!$B$61="",Settings!$F$61="No"),0,Settings!$B$61*IF(AND(IF(Settings!$C$61="",$B155,DATE(YEAR($A155),MONTH($A155),MIN(Settings!$C$61,DAY($B155))))&gt;=MAX($A155,Settings!$D$61,Settings!$B$5+1),IF(Settings!$C$61="",$B155,DATE(YEAR($A155),MONTH($A155),MIN(Settings!$C$61,DAY($B155))))&lt;=MIN($C155,IF(Settings!$E$61="",$C155,Settings!$E$61))),1,0))+IF(OR(Settings!$B$62="",Settings!$F$62="No"),0,Settings!$B$62*IF(AND(IF(Settings!$C$62="",$B155,DATE(YEAR($A155),MONTH($A155),MIN(Settings!$C$62,DAY($B155))))&gt;=MAX($A155,Settings!$D$62,Settings!$B$5+1),IF(Settings!$C$62="",$B155,DATE(YEAR($A155),MONTH($A155),MIN(Settings!$C$62,DAY($B155))))&lt;=MIN($C155,IF(Settings!$E$62="",$C155,Settings!$E$62))),1,0))+IF(OR(Settings!$B$63="",Settings!$F$63="No"),0,Settings!$B$63*IF(AND(IF(Settings!$C$63="",$B155,DATE(YEAR($A155),MONTH($A155),MIN(Settings!$C$63,DAY($B155))))&gt;=MAX($A155,Settings!$D$63,Settings!$B$5+1),IF(Settings!$C$63="",$B155,DATE(YEAR($A155),MONTH($A155),MIN(Settings!$C$63,DAY($B155))))&lt;=MIN($C155,IF(Settings!$E$63="",$C155,Settings!$E$63))),1,0))+IF(OR(Settings!$B$64="",Settings!$F$64="No"),0,Settings!$B$64*IF(AND(IF(Settings!$C$64="",$B155,DATE(YEAR($A155),MONTH($A155),MIN(Settings!$C$64,DAY($B155))))&gt;=MAX($A155,Settings!$D$64,Settings!$B$5+1),IF(Settings!$C$64="",$B155,DATE(YEAR($A155),MONTH($A155),MIN(Settings!$C$64,DAY($B155))))&lt;=MIN($C155,IF(Settings!$E$64="",$C155,Settings!$E$64))),1,0))+IF(OR(Settings!$B$65="",Settings!$F$65="No"),0,Settings!$B$65*IF(AND(IF(Settings!$C$65="",$B155,DATE(YEAR($A155),MONTH($A155),MIN(Settings!$C$65,DAY($B155))))&gt;=MAX($A155,Settings!$D$65,Settings!$B$5+1),IF(Settings!$C$65="",$B155,DATE(YEAR($A155),MONTH($A155),MIN(Settings!$C$65,DAY($B155))))&lt;=MIN($C155,IF(Settings!$E$65="",$C155,Settings!$E$65))),1,0)),0))</f>
        <v/>
      </c>
      <c r="AC155">
        <f>$AY155+$AZ155+$BA155+$BB155+$BC155+$BD155</f>
        <v/>
      </c>
      <c r="AD155">
        <f>$AC155</f>
        <v/>
      </c>
      <c r="AE155">
        <f>IF(OR(Settings!$A$19="",$E155="pre"),"",IF(AND('Month-End'!$EV$7&lt;&gt;"",NOT(_xlfn.ISFORMULA('Month-End'!$EV$7))),N('Month-End'!$EV$7),IF(OR($E155="open",$E154="pre"),N(Settings!$C$19),N($AE154))))</f>
        <v/>
      </c>
      <c r="AF155">
        <f>IF(OR(Settings!$A$20="",$E155="pre"),"",IF(AND('Month-End'!$EV$8&lt;&gt;"",NOT(_xlfn.ISFORMULA('Month-End'!$EV$8))),N('Month-End'!$EV$8),IF(OR($E155="open",$E154="pre"),N(Settings!$C$20),N($AF154))))</f>
        <v/>
      </c>
      <c r="AG155">
        <f>IF(OR(Settings!$A$21="",$E155="pre"),"",IF(AND('Month-End'!$EV$9&lt;&gt;"",NOT(_xlfn.ISFORMULA('Month-End'!$EV$9))),N('Month-End'!$EV$9),IF(OR($E155="open",$E154="pre"),N(Settings!$C$21),N($AG154))))</f>
        <v/>
      </c>
      <c r="AH155">
        <f>IF(OR(Settings!$A$22="",$E155="pre"),"",IF(AND('Month-End'!$EV$10&lt;&gt;"",NOT(_xlfn.ISFORMULA('Month-End'!$EV$10))),N('Month-End'!$EV$10),IF(OR($E155="open",$E154="pre"),N(Settings!$C$22),N($AH154))))</f>
        <v/>
      </c>
      <c r="AI155">
        <f>IF(OR(Settings!$A$23="",$E155="pre"),"",IF(AND('Month-End'!$EV$11&lt;&gt;"",NOT(_xlfn.ISFORMULA('Month-End'!$EV$11))),N('Month-End'!$EV$11),IF(OR($E155="open",$E154="pre"),N(Settings!$C$23),N($AI154))))</f>
        <v/>
      </c>
      <c r="AJ155">
        <f>IF(OR(Settings!$A$24="",$E155="pre"),"",IF(AND('Month-End'!$EV$12&lt;&gt;"",NOT(_xlfn.ISFORMULA('Month-End'!$EV$12))),N('Month-End'!$EV$12),IF(OR($E155="open",$E154="pre"),N(Settings!$C$24),N($AJ154))))</f>
        <v/>
      </c>
      <c r="AK155">
        <f>IF(OR(Settings!$A$25="",$E155="pre"),"",IF(AND('Month-End'!$EV$13&lt;&gt;"",NOT(_xlfn.ISFORMULA('Month-End'!$EV$13))),N('Month-End'!$EV$13),IF(OR($E155="open",$E154="pre"),N(Settings!$C$25),N($AK154))))</f>
        <v/>
      </c>
      <c r="AL155">
        <f>IF(OR(Settings!$A$26="",$E155="pre"),"",IF(AND('Month-End'!$EV$14&lt;&gt;"",NOT(_xlfn.ISFORMULA('Month-End'!$EV$14))),N('Month-End'!$EV$14),IF(OR($E155="open",$E154="pre"),N(Settings!$C$26),N($AL154))))</f>
        <v/>
      </c>
      <c r="AM155">
        <f>IF(OR(Settings!$A$27="",$E155="pre"),"",IF(AND('Month-End'!$EV$15&lt;&gt;"",NOT(_xlfn.ISFORMULA('Month-End'!$EV$15))),N('Month-End'!$EV$15),IF(OR($E155="open",$E154="pre"),N(Settings!$C$27),N($AM154))))</f>
        <v/>
      </c>
      <c r="AN155">
        <f>IF(OR(Settings!$A$28="",$E155="pre"),"",IF(AND('Month-End'!$EV$16&lt;&gt;"",NOT(_xlfn.ISFORMULA('Month-End'!$EV$16))),N('Month-End'!$EV$16),IF(OR($E155="open",$E154="pre"),N(Settings!$C$28),N($AN154))))</f>
        <v/>
      </c>
      <c r="AO155">
        <f>IF(OR(Settings!$A$29="",$E155="pre"),"",IF(AND('Month-End'!$EV$17&lt;&gt;"",NOT(_xlfn.ISFORMULA('Month-End'!$EV$17))),N('Month-End'!$EV$17),IF(OR($E155="open",$E154="pre"),N(Settings!$C$29),N($AO154))))</f>
        <v/>
      </c>
      <c r="AP155">
        <f>IF(OR(Settings!$A$30="",$E155="pre"),"",IF(AND('Month-End'!$EV$18&lt;&gt;"",NOT(_xlfn.ISFORMULA('Month-End'!$EV$18))),N('Month-End'!$EV$18),IF(OR($E155="open",$E154="pre"),N(Settings!$C$30),N($AP154))))</f>
        <v/>
      </c>
      <c r="AQ155">
        <f>IF(OR(Settings!$A$31="",$E155="pre"),"",IF(AND('Month-End'!$EV$19&lt;&gt;"",NOT(_xlfn.ISFORMULA('Month-End'!$EV$19))),N('Month-End'!$EV$19),IF(OR($E155="open",$E154="pre"),N(Settings!$C$31),N($AQ154))))</f>
        <v/>
      </c>
      <c r="AR155">
        <f>IF(OR(Settings!$A$32="",$E155="pre"),"",IF(AND('Month-End'!$EV$20&lt;&gt;"",NOT(_xlfn.ISFORMULA('Month-End'!$EV$20))),N('Month-End'!$EV$20),IF(OR($E155="open",$E154="pre"),N(Settings!$C$32),N($AR154))))</f>
        <v/>
      </c>
      <c r="AS155">
        <f>IF(OR(Settings!$A$36="",$E155="pre"),"",IF(AND('Month-End'!$EV$38&lt;&gt;"",NOT(_xlfn.ISFORMULA('Month-End'!$EV$38))),N('Month-End'!$EV$38),IF(OR($E155="open",$E154="pre"),N(Settings!$C$36),N($AS154))+$AY155))</f>
        <v/>
      </c>
      <c r="AT155">
        <f>IF(OR(Settings!$A$37="",$E155="pre"),"",IF(AND('Month-End'!$EV$39&lt;&gt;"",NOT(_xlfn.ISFORMULA('Month-End'!$EV$39))),N('Month-End'!$EV$39),IF(OR($E155="open",$E154="pre"),N(Settings!$C$37),N($AT154))+$AZ155))</f>
        <v/>
      </c>
      <c r="AU155">
        <f>IF(OR(Settings!$A$38="",$E155="pre"),"",IF(AND('Month-End'!$EV$40&lt;&gt;"",NOT(_xlfn.ISFORMULA('Month-End'!$EV$40))),N('Month-End'!$EV$40),IF(OR($E155="open",$E154="pre"),N(Settings!$C$38),N($AU154))+$BA155))</f>
        <v/>
      </c>
      <c r="AV155">
        <f>IF(OR(Settings!$A$39="",$E155="pre"),"",IF(AND('Month-End'!$EV$41&lt;&gt;"",NOT(_xlfn.ISFORMULA('Month-End'!$EV$41))),N('Month-End'!$EV$41),IF(OR($E155="open",$E154="pre"),N(Settings!$C$39),N($AV154))+$BB155))</f>
        <v/>
      </c>
      <c r="AW155">
        <f>IF(OR(Settings!$A$40="",$E155="pre"),"",IF(AND('Month-End'!$EV$42&lt;&gt;"",NOT(_xlfn.ISFORMULA('Month-End'!$EV$42))),N('Month-End'!$EV$42),IF(OR($E155="open",$E154="pre"),N(Settings!$C$40),N($AW154))+$BC155))</f>
        <v/>
      </c>
      <c r="AX155">
        <f>IF(OR(Settings!$A$41="",$E155="pre"),"",IF(AND('Month-End'!$EV$43&lt;&gt;"",NOT(_xlfn.ISFORMULA('Month-End'!$EV$43))),N('Month-End'!$EV$43),IF(OR($E155="open",$E154="pre"),N(Settings!$C$41),N($AX154))+$BD155))</f>
        <v/>
      </c>
      <c r="AY155">
        <f>IF($E155="pre",0,N('Month-End'!$EV$45))</f>
        <v/>
      </c>
      <c r="AZ155">
        <f>IF($E155="pre",0,N('Month-End'!$EV$46))</f>
        <v/>
      </c>
      <c r="BA155">
        <f>IF($E155="pre",0,N('Month-End'!$EV$47))</f>
        <v/>
      </c>
      <c r="BB155">
        <f>IF($E155="pre",0,N('Month-End'!$EV$48))</f>
        <v/>
      </c>
      <c r="BC155">
        <f>IF($E155="pre",0,N('Month-End'!$EV$49))</f>
        <v/>
      </c>
      <c r="BD155">
        <f>IF($E155="pre",0,N('Month-End'!$EV$50))</f>
        <v/>
      </c>
      <c r="BE155">
        <f>IF(OR(Settings!$C$45="",Settings!$D$45=""),0,Settings!$C$45*IF(Settings!$D$45="Weekly",IF(IFERROR(MATCH(Settings!$E$45,$EO$4:$EO$10,0),0)=0,0,IF(MIN($C155,IF(Settings!$G$45="",$C155,Settings!$G$45))&lt;MAX($A155,Settings!$F$45),0,INT((MIN($C155,IF(Settings!$G$45="",$C155,Settings!$G$45))-MAX($A155,Settings!$F$45)-MOD(IFERROR(MATCH(Settings!$E$45,$EO$4:$EO$10,0),0)-WEEKDAY(MAX($A155,Settings!$F$45)),7))/7)+1)),IF(AND(IF(Settings!$E$45="",$B155,DATE(YEAR($A155),MONTH($A155),MIN(Settings!$E$45,DAY($B155))))&gt;=MAX($A155,Settings!$F$45),IF(Settings!$E$45="",$B155,DATE(YEAR($A155),MONTH($A155),MIN(Settings!$E$45,DAY($B155))))&lt;=MIN($C155,IF(Settings!$G$45="",$C155,Settings!$G$45))),1,0)))</f>
        <v/>
      </c>
      <c r="BF155">
        <f>IF(OR(Settings!$C$46="",Settings!$D$46=""),0,Settings!$C$46*IF(Settings!$D$46="Weekly",IF(IFERROR(MATCH(Settings!$E$46,$EO$4:$EO$10,0),0)=0,0,IF(MIN($C155,IF(Settings!$G$46="",$C155,Settings!$G$46))&lt;MAX($A155,Settings!$F$46),0,INT((MIN($C155,IF(Settings!$G$46="",$C155,Settings!$G$46))-MAX($A155,Settings!$F$46)-MOD(IFERROR(MATCH(Settings!$E$46,$EO$4:$EO$10,0),0)-WEEKDAY(MAX($A155,Settings!$F$46)),7))/7)+1)),IF(AND(IF(Settings!$E$46="",$B155,DATE(YEAR($A155),MONTH($A155),MIN(Settings!$E$46,DAY($B155))))&gt;=MAX($A155,Settings!$F$46),IF(Settings!$E$46="",$B155,DATE(YEAR($A155),MONTH($A155),MIN(Settings!$E$46,DAY($B155))))&lt;=MIN($C155,IF(Settings!$G$46="",$C155,Settings!$G$46))),1,0)))</f>
        <v/>
      </c>
      <c r="BG155">
        <f>IF(OR(Settings!$C$47="",Settings!$D$47=""),0,Settings!$C$47*IF(Settings!$D$47="Weekly",IF(IFERROR(MATCH(Settings!$E$47,$EO$4:$EO$10,0),0)=0,0,IF(MIN($C155,IF(Settings!$G$47="",$C155,Settings!$G$47))&lt;MAX($A155,Settings!$F$47),0,INT((MIN($C155,IF(Settings!$G$47="",$C155,Settings!$G$47))-MAX($A155,Settings!$F$47)-MOD(IFERROR(MATCH(Settings!$E$47,$EO$4:$EO$10,0),0)-WEEKDAY(MAX($A155,Settings!$F$47)),7))/7)+1)),IF(AND(IF(Settings!$E$47="",$B155,DATE(YEAR($A155),MONTH($A155),MIN(Settings!$E$47,DAY($B155))))&gt;=MAX($A155,Settings!$F$47),IF(Settings!$E$47="",$B155,DATE(YEAR($A155),MONTH($A155),MIN(Settings!$E$47,DAY($B155))))&lt;=MIN($C155,IF(Settings!$G$47="",$C155,Settings!$G$47))),1,0)))</f>
        <v/>
      </c>
      <c r="BH155">
        <f>IF(OR(Settings!$C$48="",Settings!$D$48=""),0,Settings!$C$48*IF(Settings!$D$48="Weekly",IF(IFERROR(MATCH(Settings!$E$48,$EO$4:$EO$10,0),0)=0,0,IF(MIN($C155,IF(Settings!$G$48="",$C155,Settings!$G$48))&lt;MAX($A155,Settings!$F$48),0,INT((MIN($C155,IF(Settings!$G$48="",$C155,Settings!$G$48))-MAX($A155,Settings!$F$48)-MOD(IFERROR(MATCH(Settings!$E$48,$EO$4:$EO$10,0),0)-WEEKDAY(MAX($A155,Settings!$F$48)),7))/7)+1)),IF(AND(IF(Settings!$E$48="",$B155,DATE(YEAR($A155),MONTH($A155),MIN(Settings!$E$48,DAY($B155))))&gt;=MAX($A155,Settings!$F$48),IF(Settings!$E$48="",$B155,DATE(YEAR($A155),MONTH($A155),MIN(Settings!$E$48,DAY($B155))))&lt;=MIN($C155,IF(Settings!$G$48="",$C155,Settings!$G$48))),1,0)))</f>
        <v/>
      </c>
      <c r="BI155">
        <f>IF(OR(Settings!$C$49="",Settings!$D$49=""),0,Settings!$C$49*IF(Settings!$D$49="Weekly",IF(IFERROR(MATCH(Settings!$E$49,$EO$4:$EO$10,0),0)=0,0,IF(MIN($C155,IF(Settings!$G$49="",$C155,Settings!$G$49))&lt;MAX($A155,Settings!$F$49),0,INT((MIN($C155,IF(Settings!$G$49="",$C155,Settings!$G$49))-MAX($A155,Settings!$F$49)-MOD(IFERROR(MATCH(Settings!$E$49,$EO$4:$EO$10,0),0)-WEEKDAY(MAX($A155,Settings!$F$49)),7))/7)+1)),IF(AND(IF(Settings!$E$49="",$B155,DATE(YEAR($A155),MONTH($A155),MIN(Settings!$E$49,DAY($B155))))&gt;=MAX($A155,Settings!$F$49),IF(Settings!$E$49="",$B155,DATE(YEAR($A155),MONTH($A155),MIN(Settings!$E$49,DAY($B155))))&lt;=MIN($C155,IF(Settings!$G$49="",$C155,Settings!$G$49))),1,0)))</f>
        <v/>
      </c>
      <c r="BJ155">
        <f>IF(OR(Settings!$C$50="",Settings!$D$50=""),0,Settings!$C$50*IF(Settings!$D$50="Weekly",IF(IFERROR(MATCH(Settings!$E$50,$EO$4:$EO$10,0),0)=0,0,IF(MIN($C155,IF(Settings!$G$50="",$C155,Settings!$G$50))&lt;MAX($A155,Settings!$F$50),0,INT((MIN($C155,IF(Settings!$G$50="",$C155,Settings!$G$50))-MAX($A155,Settings!$F$50)-MOD(IFERROR(MATCH(Settings!$E$50,$EO$4:$EO$10,0),0)-WEEKDAY(MAX($A155,Settings!$F$50)),7))/7)+1)),IF(AND(IF(Settings!$E$50="",$B155,DATE(YEAR($A155),MONTH($A155),MIN(Settings!$E$50,DAY($B155))))&gt;=MAX($A155,Settings!$F$50),IF(Settings!$E$50="",$B155,DATE(YEAR($A155),MONTH($A155),MIN(Settings!$E$50,DAY($B155))))&lt;=MIN($C155,IF(Settings!$G$50="",$C155,Settings!$G$50))),1,0)))</f>
        <v/>
      </c>
      <c r="BK155">
        <f>IF(OR(Settings!$C$51="",Settings!$D$51=""),0,Settings!$C$51*IF(Settings!$D$51="Weekly",IF(IFERROR(MATCH(Settings!$E$51,$EO$4:$EO$10,0),0)=0,0,IF(MIN($C155,IF(Settings!$G$51="",$C155,Settings!$G$51))&lt;MAX($A155,Settings!$F$51),0,INT((MIN($C155,IF(Settings!$G$51="",$C155,Settings!$G$51))-MAX($A155,Settings!$F$51)-MOD(IFERROR(MATCH(Settings!$E$51,$EO$4:$EO$10,0),0)-WEEKDAY(MAX($A155,Settings!$F$51)),7))/7)+1)),IF(AND(IF(Settings!$E$51="",$B155,DATE(YEAR($A155),MONTH($A155),MIN(Settings!$E$51,DAY($B155))))&gt;=MAX($A155,Settings!$F$51),IF(Settings!$E$51="",$B155,DATE(YEAR($A155),MONTH($A155),MIN(Settings!$E$51,DAY($B155))))&lt;=MIN($C155,IF(Settings!$G$51="",$C155,Settings!$G$51))),1,0)))</f>
        <v/>
      </c>
      <c r="BL155">
        <f>IF(OR(Settings!$C$52="",Settings!$D$52=""),0,Settings!$C$52*IF(Settings!$D$52="Weekly",IF(IFERROR(MATCH(Settings!$E$52,$EO$4:$EO$10,0),0)=0,0,IF(MIN($C155,IF(Settings!$G$52="",$C155,Settings!$G$52))&lt;MAX($A155,Settings!$F$52),0,INT((MIN($C155,IF(Settings!$G$52="",$C155,Settings!$G$52))-MAX($A155,Settings!$F$52)-MOD(IFERROR(MATCH(Settings!$E$52,$EO$4:$EO$10,0),0)-WEEKDAY(MAX($A155,Settings!$F$52)),7))/7)+1)),IF(AND(IF(Settings!$E$52="",$B155,DATE(YEAR($A155),MONTH($A155),MIN(Settings!$E$52,DAY($B155))))&gt;=MAX($A155,Settings!$F$52),IF(Settings!$E$52="",$B155,DATE(YEAR($A155),MONTH($A155),MIN(Settings!$E$52,DAY($B155))))&lt;=MIN($C155,IF(Settings!$G$52="",$C155,Settings!$G$52))),1,0)))</f>
        <v/>
      </c>
      <c r="BM155">
        <f>IF(OR(Settings!$C$53="",Settings!$D$53=""),0,Settings!$C$53*IF(Settings!$D$53="Weekly",IF(IFERROR(MATCH(Settings!$E$53,$EO$4:$EO$10,0),0)=0,0,IF(MIN($C155,IF(Settings!$G$53="",$C155,Settings!$G$53))&lt;MAX($A155,Settings!$F$53),0,INT((MIN($C155,IF(Settings!$G$53="",$C155,Settings!$G$53))-MAX($A155,Settings!$F$53)-MOD(IFERROR(MATCH(Settings!$E$53,$EO$4:$EO$10,0),0)-WEEKDAY(MAX($A155,Settings!$F$53)),7))/7)+1)),IF(AND(IF(Settings!$E$53="",$B155,DATE(YEAR($A155),MONTH($A155),MIN(Settings!$E$53,DAY($B155))))&gt;=MAX($A155,Settings!$F$53),IF(Settings!$E$53="",$B155,DATE(YEAR($A155),MONTH($A155),MIN(Settings!$E$53,DAY($B155))))&lt;=MIN($C155,IF(Settings!$G$53="",$C155,Settings!$G$53))),1,0)))</f>
        <v/>
      </c>
      <c r="BN155">
        <f>IF(OR(Settings!$C$54="",Settings!$D$54=""),0,Settings!$C$54*IF(Settings!$D$54="Weekly",IF(IFERROR(MATCH(Settings!$E$54,$EO$4:$EO$10,0),0)=0,0,IF(MIN($C155,IF(Settings!$G$54="",$C155,Settings!$G$54))&lt;MAX($A155,Settings!$F$54),0,INT((MIN($C155,IF(Settings!$G$54="",$C155,Settings!$G$54))-MAX($A155,Settings!$F$54)-MOD(IFERROR(MATCH(Settings!$E$54,$EO$4:$EO$10,0),0)-WEEKDAY(MAX($A155,Settings!$F$54)),7))/7)+1)),IF(AND(IF(Settings!$E$54="",$B155,DATE(YEAR($A155),MONTH($A155),MIN(Settings!$E$54,DAY($B155))))&gt;=MAX($A155,Settings!$F$54),IF(Settings!$E$54="",$B155,DATE(YEAR($A155),MONTH($A155),MIN(Settings!$E$54,DAY($B155))))&lt;=MIN($C155,IF(Settings!$G$54="",$C155,Settings!$G$54))),1,0)))</f>
        <v/>
      </c>
      <c r="BO155">
        <f>IF(OR(Settings!$C$55="",Settings!$D$55=""),0,Settings!$C$55*IF(Settings!$D$55="Weekly",IF(IFERROR(MATCH(Settings!$E$55,$EO$4:$EO$10,0),0)=0,0,IF(MIN($C155,IF(Settings!$G$55="",$C155,Settings!$G$55))&lt;MAX($A155,Settings!$F$55),0,INT((MIN($C155,IF(Settings!$G$55="",$C155,Settings!$G$55))-MAX($A155,Settings!$F$55)-MOD(IFERROR(MATCH(Settings!$E$55,$EO$4:$EO$10,0),0)-WEEKDAY(MAX($A155,Settings!$F$55)),7))/7)+1)),IF(AND(IF(Settings!$E$55="",$B155,DATE(YEAR($A155),MONTH($A155),MIN(Settings!$E$55,DAY($B155))))&gt;=MAX($A155,Settings!$F$55),IF(Settings!$E$55="",$B155,DATE(YEAR($A155),MONTH($A155),MIN(Settings!$E$55,DAY($B155))))&lt;=MIN($C155,IF(Settings!$G$55="",$C155,Settings!$G$55))),1,0)))</f>
        <v/>
      </c>
      <c r="BP155">
        <f>IF(OR(Settings!$C$56="",Settings!$D$56=""),0,Settings!$C$56*IF(Settings!$D$56="Weekly",IF(IFERROR(MATCH(Settings!$E$56,$EO$4:$EO$10,0),0)=0,0,IF(MIN($C155,IF(Settings!$G$56="",$C155,Settings!$G$56))&lt;MAX($A155,Settings!$F$56),0,INT((MIN($C155,IF(Settings!$G$56="",$C155,Settings!$G$56))-MAX($A155,Settings!$F$56)-MOD(IFERROR(MATCH(Settings!$E$56,$EO$4:$EO$10,0),0)-WEEKDAY(MAX($A155,Settings!$F$56)),7))/7)+1)),IF(AND(IF(Settings!$E$56="",$B155,DATE(YEAR($A155),MONTH($A155),MIN(Settings!$E$56,DAY($B155))))&gt;=MAX($A155,Settings!$F$56),IF(Settings!$E$56="",$B155,DATE(YEAR($A155),MONTH($A155),MIN(Settings!$E$56,DAY($B155))))&lt;=MIN($C155,IF(Settings!$G$56="",$C155,Settings!$G$56))),1,0)))</f>
        <v/>
      </c>
      <c r="BQ155">
        <f>IF(OR(Settings!$B$14="",$D155=1,$E155="pre",$A155&lt;IF(Settings!$B$15="",0,Settings!$B$15)),0,Settings!$B$14)</f>
        <v/>
      </c>
      <c r="BR155">
        <f>IF(AND('Month-End'!$EV$7&lt;&gt;"",NOT(_xlfn.ISFORMULA('Month-End'!$EV$7))),1,0)</f>
        <v/>
      </c>
      <c r="BS155">
        <f>IF(AND('Month-End'!$EV$8&lt;&gt;"",NOT(_xlfn.ISFORMULA('Month-End'!$EV$8))),1,0)</f>
        <v/>
      </c>
      <c r="BT155">
        <f>IF(AND('Month-End'!$EV$9&lt;&gt;"",NOT(_xlfn.ISFORMULA('Month-End'!$EV$9))),1,0)</f>
        <v/>
      </c>
      <c r="BU155">
        <f>IF(AND('Month-End'!$EV$10&lt;&gt;"",NOT(_xlfn.ISFORMULA('Month-End'!$EV$10))),1,0)</f>
        <v/>
      </c>
      <c r="BV155">
        <f>IF(AND('Month-End'!$EV$11&lt;&gt;"",NOT(_xlfn.ISFORMULA('Month-End'!$EV$11))),1,0)</f>
        <v/>
      </c>
      <c r="BW155">
        <f>IF(AND('Month-End'!$EV$12&lt;&gt;"",NOT(_xlfn.ISFORMULA('Month-End'!$EV$12))),1,0)</f>
        <v/>
      </c>
      <c r="BX155">
        <f>IF(AND('Month-End'!$EV$13&lt;&gt;"",NOT(_xlfn.ISFORMULA('Month-End'!$EV$13))),1,0)</f>
        <v/>
      </c>
      <c r="BY155">
        <f>IF(AND('Month-End'!$EV$14&lt;&gt;"",NOT(_xlfn.ISFORMULA('Month-End'!$EV$14))),1,0)</f>
        <v/>
      </c>
      <c r="BZ155">
        <f>IF(AND('Month-End'!$EV$15&lt;&gt;"",NOT(_xlfn.ISFORMULA('Month-End'!$EV$15))),1,0)</f>
        <v/>
      </c>
      <c r="CA155">
        <f>IF(AND('Month-End'!$EV$16&lt;&gt;"",NOT(_xlfn.ISFORMULA('Month-End'!$EV$16))),1,0)</f>
        <v/>
      </c>
      <c r="CB155">
        <f>IF(AND('Month-End'!$EV$17&lt;&gt;"",NOT(_xlfn.ISFORMULA('Month-End'!$EV$17))),1,0)</f>
        <v/>
      </c>
      <c r="CC155">
        <f>IF(AND('Month-End'!$EV$18&lt;&gt;"",NOT(_xlfn.ISFORMULA('Month-End'!$EV$18))),1,0)</f>
        <v/>
      </c>
      <c r="CD155">
        <f>IF(AND('Month-End'!$EV$19&lt;&gt;"",NOT(_xlfn.ISFORMULA('Month-End'!$EV$19))),1,0)</f>
        <v/>
      </c>
      <c r="CE155">
        <f>IF(AND('Month-End'!$EV$20&lt;&gt;"",NOT(_xlfn.ISFORMULA('Month-End'!$EV$20))),1,0)</f>
        <v/>
      </c>
      <c r="CF155">
        <f>IF(AND('Month-End'!$EV$38&lt;&gt;"",NOT(_xlfn.ISFORMULA('Month-End'!$EV$38))),1,0)</f>
        <v/>
      </c>
      <c r="CG155">
        <f>IF(AND('Month-End'!$EV$39&lt;&gt;"",NOT(_xlfn.ISFORMULA('Month-End'!$EV$39))),1,0)</f>
        <v/>
      </c>
      <c r="CH155">
        <f>IF(AND('Month-End'!$EV$40&lt;&gt;"",NOT(_xlfn.ISFORMULA('Month-End'!$EV$40))),1,0)</f>
        <v/>
      </c>
      <c r="CI155">
        <f>IF(AND('Month-End'!$EV$41&lt;&gt;"",NOT(_xlfn.ISFORMULA('Month-End'!$EV$41))),1,0)</f>
        <v/>
      </c>
      <c r="CJ155">
        <f>IF(AND('Month-End'!$EV$42&lt;&gt;"",NOT(_xlfn.ISFORMULA('Month-End'!$EV$42))),1,0)</f>
        <v/>
      </c>
      <c r="CK155">
        <f>IF(AND('Month-End'!$EV$43&lt;&gt;"",NOT(_xlfn.ISFORMULA('Month-End'!$EV$43))),1,0)</f>
        <v/>
      </c>
      <c r="CL155">
        <f>SUM($CM155:$CZ155)</f>
        <v/>
      </c>
      <c r="CM155">
        <f>IF(AND($E155&lt;&gt;"pre",AND(Settings!$A$19&lt;&gt;"",Settings!$E$19&lt;&gt;"No"),Settings!$F$19="Yes",NOT(AND('Month-End'!$EV$7&lt;&gt;"",NOT(_xlfn.ISFORMULA('Month-End'!$EV$7))))),1,0)</f>
        <v/>
      </c>
      <c r="CN155">
        <f>IF(AND($E155&lt;&gt;"pre",AND(Settings!$A$20&lt;&gt;"",Settings!$E$20&lt;&gt;"No"),Settings!$F$20="Yes",NOT(AND('Month-End'!$EV$8&lt;&gt;"",NOT(_xlfn.ISFORMULA('Month-End'!$EV$8))))),1,0)</f>
        <v/>
      </c>
      <c r="CO155">
        <f>IF(AND($E155&lt;&gt;"pre",AND(Settings!$A$21&lt;&gt;"",Settings!$E$21&lt;&gt;"No"),Settings!$F$21="Yes",NOT(AND('Month-End'!$EV$9&lt;&gt;"",NOT(_xlfn.ISFORMULA('Month-End'!$EV$9))))),1,0)</f>
        <v/>
      </c>
      <c r="CP155">
        <f>IF(AND($E155&lt;&gt;"pre",AND(Settings!$A$22&lt;&gt;"",Settings!$E$22&lt;&gt;"No"),Settings!$F$22="Yes",NOT(AND('Month-End'!$EV$10&lt;&gt;"",NOT(_xlfn.ISFORMULA('Month-End'!$EV$10))))),1,0)</f>
        <v/>
      </c>
      <c r="CQ155">
        <f>IF(AND($E155&lt;&gt;"pre",AND(Settings!$A$23&lt;&gt;"",Settings!$E$23&lt;&gt;"No"),Settings!$F$23="Yes",NOT(AND('Month-End'!$EV$11&lt;&gt;"",NOT(_xlfn.ISFORMULA('Month-End'!$EV$11))))),1,0)</f>
        <v/>
      </c>
      <c r="CR155">
        <f>IF(AND($E155&lt;&gt;"pre",AND(Settings!$A$24&lt;&gt;"",Settings!$E$24&lt;&gt;"No"),Settings!$F$24="Yes",NOT(AND('Month-End'!$EV$12&lt;&gt;"",NOT(_xlfn.ISFORMULA('Month-End'!$EV$12))))),1,0)</f>
        <v/>
      </c>
      <c r="CS155">
        <f>IF(AND($E155&lt;&gt;"pre",AND(Settings!$A$25&lt;&gt;"",Settings!$E$25&lt;&gt;"No"),Settings!$F$25="Yes",NOT(AND('Month-End'!$EV$13&lt;&gt;"",NOT(_xlfn.ISFORMULA('Month-End'!$EV$13))))),1,0)</f>
        <v/>
      </c>
      <c r="CT155">
        <f>IF(AND($E155&lt;&gt;"pre",AND(Settings!$A$26&lt;&gt;"",Settings!$E$26&lt;&gt;"No"),Settings!$F$26="Yes",NOT(AND('Month-End'!$EV$14&lt;&gt;"",NOT(_xlfn.ISFORMULA('Month-End'!$EV$14))))),1,0)</f>
        <v/>
      </c>
      <c r="CU155">
        <f>IF(AND($E155&lt;&gt;"pre",AND(Settings!$A$27&lt;&gt;"",Settings!$E$27&lt;&gt;"No"),Settings!$F$27="Yes",NOT(AND('Month-End'!$EV$15&lt;&gt;"",NOT(_xlfn.ISFORMULA('Month-End'!$EV$15))))),1,0)</f>
        <v/>
      </c>
      <c r="CV155">
        <f>IF(AND($E155&lt;&gt;"pre",AND(Settings!$A$28&lt;&gt;"",Settings!$E$28&lt;&gt;"No"),Settings!$F$28="Yes",NOT(AND('Month-End'!$EV$16&lt;&gt;"",NOT(_xlfn.ISFORMULA('Month-End'!$EV$16))))),1,0)</f>
        <v/>
      </c>
      <c r="CW155">
        <f>IF(AND($E155&lt;&gt;"pre",AND(Settings!$A$29&lt;&gt;"",Settings!$E$29&lt;&gt;"No"),Settings!$F$29="Yes",NOT(AND('Month-End'!$EV$17&lt;&gt;"",NOT(_xlfn.ISFORMULA('Month-End'!$EV$17))))),1,0)</f>
        <v/>
      </c>
      <c r="CX155">
        <f>IF(AND($E155&lt;&gt;"pre",AND(Settings!$A$30&lt;&gt;"",Settings!$E$30&lt;&gt;"No"),Settings!$F$30="Yes",NOT(AND('Month-End'!$EV$18&lt;&gt;"",NOT(_xlfn.ISFORMULA('Month-End'!$EV$18))))),1,0)</f>
        <v/>
      </c>
      <c r="CY155">
        <f>IF(AND($E155&lt;&gt;"pre",AND(Settings!$A$31&lt;&gt;"",Settings!$E$31&lt;&gt;"No"),Settings!$F$31="Yes",NOT(AND('Month-End'!$EV$19&lt;&gt;"",NOT(_xlfn.ISFORMULA('Month-End'!$EV$19))))),1,0)</f>
        <v/>
      </c>
      <c r="CZ155">
        <f>IF(AND($E155&lt;&gt;"pre",AND(Settings!$A$32&lt;&gt;"",Settings!$E$32&lt;&gt;"No"),Settings!$F$32="Yes",NOT(AND('Month-End'!$EV$20&lt;&gt;"",NOT(_xlfn.ISFORMULA('Month-End'!$EV$20))))),1,0)</f>
        <v/>
      </c>
      <c r="DA155">
        <f>IF($DT155=1,IF(OR(Settings!$B$19="Checking",Settings!$B$19="Savings",Settings!$B$19="Cash"),N($AE155),IF(OR(Settings!$B$19="Card",Settings!$B$19="Loan"),-N($AE155),0))+IF(OR(Settings!$B$20="Checking",Settings!$B$20="Savings",Settings!$B$20="Cash"),N($AF155),IF(OR(Settings!$B$20="Card",Settings!$B$20="Loan"),-N($AF155),0))+IF(OR(Settings!$B$21="Checking",Settings!$B$21="Savings",Settings!$B$21="Cash"),N($AG155),IF(OR(Settings!$B$21="Card",Settings!$B$21="Loan"),-N($AG155),0))+IF(OR(Settings!$B$22="Checking",Settings!$B$22="Savings",Settings!$B$22="Cash"),N($AH155),IF(OR(Settings!$B$22="Card",Settings!$B$22="Loan"),-N($AH155),0))+IF(OR(Settings!$B$23="Checking",Settings!$B$23="Savings",Settings!$B$23="Cash"),N($AI155),IF(OR(Settings!$B$23="Card",Settings!$B$23="Loan"),-N($AI155),0))+IF(OR(Settings!$B$24="Checking",Settings!$B$24="Savings",Settings!$B$24="Cash"),N($AJ155),IF(OR(Settings!$B$24="Card",Settings!$B$24="Loan"),-N($AJ155),0))+IF(OR(Settings!$B$25="Checking",Settings!$B$25="Savings",Settings!$B$25="Cash"),N($AK155),IF(OR(Settings!$B$25="Card",Settings!$B$25="Loan"),-N($AK155),0))+IF(OR(Settings!$B$26="Checking",Settings!$B$26="Savings",Settings!$B$26="Cash"),N($AL155),IF(OR(Settings!$B$26="Card",Settings!$B$26="Loan"),-N($AL155),0))+IF(OR(Settings!$B$27="Checking",Settings!$B$27="Savings",Settings!$B$27="Cash"),N($AM155),IF(OR(Settings!$B$27="Card",Settings!$B$27="Loan"),-N($AM155),0))+IF(OR(Settings!$B$28="Checking",Settings!$B$28="Savings",Settings!$B$28="Cash"),N($AN155),IF(OR(Settings!$B$28="Card",Settings!$B$28="Loan"),-N($AN155),0))+IF(OR(Settings!$B$29="Checking",Settings!$B$29="Savings",Settings!$B$29="Cash"),N($AO155),IF(OR(Settings!$B$29="Card",Settings!$B$29="Loan"),-N($AO155),0))+IF(OR(Settings!$B$30="Checking",Settings!$B$30="Savings",Settings!$B$30="Cash"),N($AP155),IF(OR(Settings!$B$30="Card",Settings!$B$30="Loan"),-N($AP155),0))+IF(OR(Settings!$B$31="Checking",Settings!$B$31="Savings",Settings!$B$31="Cash"),N($AQ155),IF(OR(Settings!$B$31="Card",Settings!$B$31="Loan"),-N($AQ155),0))+IF(OR(Settings!$B$32="Checking",Settings!$B$32="Savings",Settings!$B$32="Cash"),N($AR155),IF(OR(Settings!$B$32="Card",Settings!$B$32="Loan"),-N($AR155),0)),"")</f>
        <v/>
      </c>
      <c r="DB155">
        <f>IF($E155="open",$EB$27,IF($E155="post",IF($E154="pre",$EB$27,$DA154),""))</f>
        <v/>
      </c>
      <c r="DC155">
        <f>IF($E155="open",1,IF($E155="post",IF($E154="pre",1,$DT154),0))</f>
        <v/>
      </c>
      <c r="DD155">
        <f>IF(AND($DT155=1,$DC155=1),ROUND($W155-($DA155-$DB155)-$AD155-$AB155,2),"")</f>
        <v/>
      </c>
      <c r="DE155">
        <f>IF('Month-End'!$EV$35="",$BQ155,N('Month-End'!$EV$35))</f>
        <v/>
      </c>
      <c r="DF155">
        <f>N('Month-End'!$EV$36)</f>
        <v/>
      </c>
      <c r="DG155">
        <f>IF($DD155="","",$DD155+$DE155)</f>
        <v/>
      </c>
      <c r="DH155">
        <f>IF($DG155="","",$DG155-$DF155)</f>
        <v/>
      </c>
      <c r="DI155">
        <f>IF(OR($E155="pre",$D155=1),"",N($AS155)+N($AT155)+N($AU155)+N($AV155)+N($AW155)+N($AX155))</f>
        <v/>
      </c>
      <c r="DJ155">
        <f>IF($DT155=1,$DA155+N($DI155),"")</f>
        <v/>
      </c>
      <c r="DK155">
        <f>IF($DD155="","",$W155-$DD155-$AB155)</f>
        <v/>
      </c>
      <c r="DL155">
        <f>IF(AND($E155="post",$DD155&lt;&gt;"",$B155&lt;TODAY()),1,0)</f>
        <v/>
      </c>
      <c r="DM155">
        <f>IF($DL155=1,COUNTIF($DL155:$DL$183,1),0)</f>
        <v/>
      </c>
      <c r="DN155">
        <f>IF($D155=1,"",IF($E155="pre","History only",IF($DT155=1,IF($DD155="","⚠ Previous month missing",IF($DD155&lt;0,"⚠ Check: spending &lt; 0",IF($E155="open","✓ Done (partial)","✓ Done"))),IF($B155&gt;=TODAY(),"In progress","⚠ Needs balances"))))</f>
        <v/>
      </c>
      <c r="DO155">
        <f>YEAR($A155)</f>
        <v/>
      </c>
      <c r="DP155">
        <f>DATE(YEAR($A155),INT((MONTH($A155)-1)/3)*3+1,1)</f>
        <v/>
      </c>
      <c r="DQ155">
        <f>IF(AND($DT155=1,$DD155&lt;&gt;"",$D155=0),ROW(),0)</f>
        <v/>
      </c>
      <c r="DR155">
        <f>IF(AND($E155&lt;&gt;"pre",$B155&lt;TODAY(),$DT155=0),1,0)</f>
        <v/>
      </c>
      <c r="DS155">
        <f>IF($DJ155="",NA(),$DJ155)</f>
        <v/>
      </c>
      <c r="DT155">
        <f>IF(AND($E155&lt;&gt;"pre",$CL155=0,COUNTIFS(Settings!$F$19:$F$32,"Yes",Settings!$A$19:$A$32,"&lt;&gt;",Settings!$E$19:$E$32,"&lt;&gt;No")&gt;0),1,0)</f>
        <v/>
      </c>
      <c r="DU155">
        <f>IF(AND($B155&lt;TODAY(),$S155&gt;0),1,0)</f>
        <v/>
      </c>
      <c r="DV155">
        <f>IF($DU155=1,COUNTIF($DU155:$DU$183,1),0)</f>
        <v/>
      </c>
      <c r="DW155">
        <f>IF(AND(OR(Settings!$B$19="Card",Settings!$B$19="Loan"),AND('Month-End'!$EV$7&lt;&gt;"",NOT(_xlfn.ISFORMULA('Month-End'!$EV$7)))),IF(N('Month-End'!$EV$7)&lt;0,1,0),0)+IF(AND(OR(Settings!$B$20="Card",Settings!$B$20="Loan"),AND('Month-End'!$EV$8&lt;&gt;"",NOT(_xlfn.ISFORMULA('Month-End'!$EV$8)))),IF(N('Month-End'!$EV$8)&lt;0,1,0),0)+IF(AND(OR(Settings!$B$21="Card",Settings!$B$21="Loan"),AND('Month-End'!$EV$9&lt;&gt;"",NOT(_xlfn.ISFORMULA('Month-End'!$EV$9)))),IF(N('Month-End'!$EV$9)&lt;0,1,0),0)+IF(AND(OR(Settings!$B$22="Card",Settings!$B$22="Loan"),AND('Month-End'!$EV$10&lt;&gt;"",NOT(_xlfn.ISFORMULA('Month-End'!$EV$10)))),IF(N('Month-End'!$EV$10)&lt;0,1,0),0)+IF(AND(OR(Settings!$B$23="Card",Settings!$B$23="Loan"),AND('Month-End'!$EV$11&lt;&gt;"",NOT(_xlfn.ISFORMULA('Month-End'!$EV$11)))),IF(N('Month-End'!$EV$11)&lt;0,1,0),0)+IF(AND(OR(Settings!$B$24="Card",Settings!$B$24="Loan"),AND('Month-End'!$EV$12&lt;&gt;"",NOT(_xlfn.ISFORMULA('Month-End'!$EV$12)))),IF(N('Month-End'!$EV$12)&lt;0,1,0),0)+IF(AND(OR(Settings!$B$25="Card",Settings!$B$25="Loan"),AND('Month-End'!$EV$13&lt;&gt;"",NOT(_xlfn.ISFORMULA('Month-End'!$EV$13)))),IF(N('Month-End'!$EV$13)&lt;0,1,0),0)+IF(AND(OR(Settings!$B$26="Card",Settings!$B$26="Loan"),AND('Month-End'!$EV$14&lt;&gt;"",NOT(_xlfn.ISFORMULA('Month-End'!$EV$14)))),IF(N('Month-End'!$EV$14)&lt;0,1,0),0)+IF(AND(OR(Settings!$B$27="Card",Settings!$B$27="Loan"),AND('Month-End'!$EV$15&lt;&gt;"",NOT(_xlfn.ISFORMULA('Month-End'!$EV$15)))),IF(N('Month-End'!$EV$15)&lt;0,1,0),0)+IF(AND(OR(Settings!$B$28="Card",Settings!$B$28="Loan"),AND('Month-End'!$EV$16&lt;&gt;"",NOT(_xlfn.ISFORMULA('Month-End'!$EV$16)))),IF(N('Month-End'!$EV$16)&lt;0,1,0),0)+IF(AND(OR(Settings!$B$29="Card",Settings!$B$29="Loan"),AND('Month-End'!$EV$17&lt;&gt;"",NOT(_xlfn.ISFORMULA('Month-End'!$EV$17)))),IF(N('Month-End'!$EV$17)&lt;0,1,0),0)+IF(AND(OR(Settings!$B$30="Card",Settings!$B$30="Loan"),AND('Month-End'!$EV$18&lt;&gt;"",NOT(_xlfn.ISFORMULA('Month-End'!$EV$18)))),IF(N('Month-End'!$EV$18)&lt;0,1,0),0)+IF(AND(OR(Settings!$B$31="Card",Settings!$B$31="Loan"),AND('Month-End'!$EV$19&lt;&gt;"",NOT(_xlfn.ISFORMULA('Month-End'!$EV$19)))),IF(N('Month-End'!$EV$19)&lt;0,1,0),0)+IF(AND(OR(Settings!$B$32="Card",Settings!$B$32="Loan"),AND('Month-End'!$EV$20&lt;&gt;"",NOT(_xlfn.ISFORMULA('Month-End'!$EV$20)))),IF(N('Month-End'!$EV$20)&lt;0,1,0),0)</f>
        <v/>
      </c>
      <c r="DX155">
        <f>IF(Settings!$B$36="Retirement",$AY155,0)+IF(Settings!$B$37="Retirement",$AZ155,0)+IF(Settings!$B$38="Retirement",$BA155,0)+IF(Settings!$B$39="Retirement",$BB155,0)+IF(Settings!$B$40="Retirement",$BC155,0)+IF(Settings!$B$41="Retirement",$BD155,0)</f>
        <v/>
      </c>
      <c r="ET155">
        <f>IF($E155&lt;&gt;"open",0,IF(AND('Month-End'!$EV$22&lt;&gt;"",NOT(_xlfn.ISFORMULA('Month-End'!$EV$22))),0,IF(OR(Settings!$C$45="",Settings!$D$45=""),0,Settings!$C$45*IF(Settings!$D$45="Weekly",IF(IFERROR(MATCH(Settings!$E$45,$EO$4:$EO$10,0),0)=0,0,IF(MIN(Settings!$B$5,IF(Settings!$G$45="",Settings!$B$5,Settings!$G$45))&lt;MAX($A155,Settings!$F$45),0,INT((MIN(Settings!$B$5,IF(Settings!$G$45="",Settings!$B$5,Settings!$G$45))-MAX($A155,Settings!$F$45)-MOD(IFERROR(MATCH(Settings!$E$45,$EO$4:$EO$10,0),0)-WEEKDAY(MAX($A155,Settings!$F$45)),7))/7)+1)),IF(AND(IF(Settings!$E$45="",$B155,DATE(YEAR($A155),MONTH($A155),MIN(Settings!$E$45,DAY($B155))))&gt;=MAX($A155,Settings!$F$45),IF(Settings!$E$45="",$B155,DATE(YEAR($A155),MONTH($A155),MIN(Settings!$E$45,DAY($B155))))&lt;=MIN(Settings!$B$5,IF(Settings!$G$45="",Settings!$B$5,Settings!$G$45))),1,0)))))</f>
        <v/>
      </c>
      <c r="EU155">
        <f>IF($E155&lt;&gt;"open",0,IF(AND('Month-End'!$EV$23&lt;&gt;"",NOT(_xlfn.ISFORMULA('Month-End'!$EV$23))),0,IF(OR(Settings!$C$46="",Settings!$D$46=""),0,Settings!$C$46*IF(Settings!$D$46="Weekly",IF(IFERROR(MATCH(Settings!$E$46,$EO$4:$EO$10,0),0)=0,0,IF(MIN(Settings!$B$5,IF(Settings!$G$46="",Settings!$B$5,Settings!$G$46))&lt;MAX($A155,Settings!$F$46),0,INT((MIN(Settings!$B$5,IF(Settings!$G$46="",Settings!$B$5,Settings!$G$46))-MAX($A155,Settings!$F$46)-MOD(IFERROR(MATCH(Settings!$E$46,$EO$4:$EO$10,0),0)-WEEKDAY(MAX($A155,Settings!$F$46)),7))/7)+1)),IF(AND(IF(Settings!$E$46="",$B155,DATE(YEAR($A155),MONTH($A155),MIN(Settings!$E$46,DAY($B155))))&gt;=MAX($A155,Settings!$F$46),IF(Settings!$E$46="",$B155,DATE(YEAR($A155),MONTH($A155),MIN(Settings!$E$46,DAY($B155))))&lt;=MIN(Settings!$B$5,IF(Settings!$G$46="",Settings!$B$5,Settings!$G$46))),1,0)))))</f>
        <v/>
      </c>
      <c r="EV155">
        <f>IF($E155&lt;&gt;"open",0,IF(AND('Month-End'!$EV$24&lt;&gt;"",NOT(_xlfn.ISFORMULA('Month-End'!$EV$24))),0,IF(OR(Settings!$C$47="",Settings!$D$47=""),0,Settings!$C$47*IF(Settings!$D$47="Weekly",IF(IFERROR(MATCH(Settings!$E$47,$EO$4:$EO$10,0),0)=0,0,IF(MIN(Settings!$B$5,IF(Settings!$G$47="",Settings!$B$5,Settings!$G$47))&lt;MAX($A155,Settings!$F$47),0,INT((MIN(Settings!$B$5,IF(Settings!$G$47="",Settings!$B$5,Settings!$G$47))-MAX($A155,Settings!$F$47)-MOD(IFERROR(MATCH(Settings!$E$47,$EO$4:$EO$10,0),0)-WEEKDAY(MAX($A155,Settings!$F$47)),7))/7)+1)),IF(AND(IF(Settings!$E$47="",$B155,DATE(YEAR($A155),MONTH($A155),MIN(Settings!$E$47,DAY($B155))))&gt;=MAX($A155,Settings!$F$47),IF(Settings!$E$47="",$B155,DATE(YEAR($A155),MONTH($A155),MIN(Settings!$E$47,DAY($B155))))&lt;=MIN(Settings!$B$5,IF(Settings!$G$47="",Settings!$B$5,Settings!$G$47))),1,0)))))</f>
        <v/>
      </c>
      <c r="EW155">
        <f>IF($E155&lt;&gt;"open",0,IF(AND('Month-End'!$EV$25&lt;&gt;"",NOT(_xlfn.ISFORMULA('Month-End'!$EV$25))),0,IF(OR(Settings!$C$48="",Settings!$D$48=""),0,Settings!$C$48*IF(Settings!$D$48="Weekly",IF(IFERROR(MATCH(Settings!$E$48,$EO$4:$EO$10,0),0)=0,0,IF(MIN(Settings!$B$5,IF(Settings!$G$48="",Settings!$B$5,Settings!$G$48))&lt;MAX($A155,Settings!$F$48),0,INT((MIN(Settings!$B$5,IF(Settings!$G$48="",Settings!$B$5,Settings!$G$48))-MAX($A155,Settings!$F$48)-MOD(IFERROR(MATCH(Settings!$E$48,$EO$4:$EO$10,0),0)-WEEKDAY(MAX($A155,Settings!$F$48)),7))/7)+1)),IF(AND(IF(Settings!$E$48="",$B155,DATE(YEAR($A155),MONTH($A155),MIN(Settings!$E$48,DAY($B155))))&gt;=MAX($A155,Settings!$F$48),IF(Settings!$E$48="",$B155,DATE(YEAR($A155),MONTH($A155),MIN(Settings!$E$48,DAY($B155))))&lt;=MIN(Settings!$B$5,IF(Settings!$G$48="",Settings!$B$5,Settings!$G$48))),1,0)))))</f>
        <v/>
      </c>
      <c r="EX155">
        <f>IF($E155&lt;&gt;"open",0,IF(AND('Month-End'!$EV$26&lt;&gt;"",NOT(_xlfn.ISFORMULA('Month-End'!$EV$26))),0,IF(OR(Settings!$C$49="",Settings!$D$49=""),0,Settings!$C$49*IF(Settings!$D$49="Weekly",IF(IFERROR(MATCH(Settings!$E$49,$EO$4:$EO$10,0),0)=0,0,IF(MIN(Settings!$B$5,IF(Settings!$G$49="",Settings!$B$5,Settings!$G$49))&lt;MAX($A155,Settings!$F$49),0,INT((MIN(Settings!$B$5,IF(Settings!$G$49="",Settings!$B$5,Settings!$G$49))-MAX($A155,Settings!$F$49)-MOD(IFERROR(MATCH(Settings!$E$49,$EO$4:$EO$10,0),0)-WEEKDAY(MAX($A155,Settings!$F$49)),7))/7)+1)),IF(AND(IF(Settings!$E$49="",$B155,DATE(YEAR($A155),MONTH($A155),MIN(Settings!$E$49,DAY($B155))))&gt;=MAX($A155,Settings!$F$49),IF(Settings!$E$49="",$B155,DATE(YEAR($A155),MONTH($A155),MIN(Settings!$E$49,DAY($B155))))&lt;=MIN(Settings!$B$5,IF(Settings!$G$49="",Settings!$B$5,Settings!$G$49))),1,0)))))</f>
        <v/>
      </c>
      <c r="EY155">
        <f>IF($E155&lt;&gt;"open",0,IF(AND('Month-End'!$EV$27&lt;&gt;"",NOT(_xlfn.ISFORMULA('Month-End'!$EV$27))),0,IF(OR(Settings!$C$50="",Settings!$D$50=""),0,Settings!$C$50*IF(Settings!$D$50="Weekly",IF(IFERROR(MATCH(Settings!$E$50,$EO$4:$EO$10,0),0)=0,0,IF(MIN(Settings!$B$5,IF(Settings!$G$50="",Settings!$B$5,Settings!$G$50))&lt;MAX($A155,Settings!$F$50),0,INT((MIN(Settings!$B$5,IF(Settings!$G$50="",Settings!$B$5,Settings!$G$50))-MAX($A155,Settings!$F$50)-MOD(IFERROR(MATCH(Settings!$E$50,$EO$4:$EO$10,0),0)-WEEKDAY(MAX($A155,Settings!$F$50)),7))/7)+1)),IF(AND(IF(Settings!$E$50="",$B155,DATE(YEAR($A155),MONTH($A155),MIN(Settings!$E$50,DAY($B155))))&gt;=MAX($A155,Settings!$F$50),IF(Settings!$E$50="",$B155,DATE(YEAR($A155),MONTH($A155),MIN(Settings!$E$50,DAY($B155))))&lt;=MIN(Settings!$B$5,IF(Settings!$G$50="",Settings!$B$5,Settings!$G$50))),1,0)))))</f>
        <v/>
      </c>
      <c r="EZ155">
        <f>IF($E155&lt;&gt;"open",0,IF(AND('Month-End'!$EV$28&lt;&gt;"",NOT(_xlfn.ISFORMULA('Month-End'!$EV$28))),0,IF(OR(Settings!$C$51="",Settings!$D$51=""),0,Settings!$C$51*IF(Settings!$D$51="Weekly",IF(IFERROR(MATCH(Settings!$E$51,$EO$4:$EO$10,0),0)=0,0,IF(MIN(Settings!$B$5,IF(Settings!$G$51="",Settings!$B$5,Settings!$G$51))&lt;MAX($A155,Settings!$F$51),0,INT((MIN(Settings!$B$5,IF(Settings!$G$51="",Settings!$B$5,Settings!$G$51))-MAX($A155,Settings!$F$51)-MOD(IFERROR(MATCH(Settings!$E$51,$EO$4:$EO$10,0),0)-WEEKDAY(MAX($A155,Settings!$F$51)),7))/7)+1)),IF(AND(IF(Settings!$E$51="",$B155,DATE(YEAR($A155),MONTH($A155),MIN(Settings!$E$51,DAY($B155))))&gt;=MAX($A155,Settings!$F$51),IF(Settings!$E$51="",$B155,DATE(YEAR($A155),MONTH($A155),MIN(Settings!$E$51,DAY($B155))))&lt;=MIN(Settings!$B$5,IF(Settings!$G$51="",Settings!$B$5,Settings!$G$51))),1,0)))))</f>
        <v/>
      </c>
      <c r="FA155">
        <f>IF($E155&lt;&gt;"open",0,IF(AND('Month-End'!$EV$29&lt;&gt;"",NOT(_xlfn.ISFORMULA('Month-End'!$EV$29))),0,IF(OR(Settings!$C$52="",Settings!$D$52=""),0,Settings!$C$52*IF(Settings!$D$52="Weekly",IF(IFERROR(MATCH(Settings!$E$52,$EO$4:$EO$10,0),0)=0,0,IF(MIN(Settings!$B$5,IF(Settings!$G$52="",Settings!$B$5,Settings!$G$52))&lt;MAX($A155,Settings!$F$52),0,INT((MIN(Settings!$B$5,IF(Settings!$G$52="",Settings!$B$5,Settings!$G$52))-MAX($A155,Settings!$F$52)-MOD(IFERROR(MATCH(Settings!$E$52,$EO$4:$EO$10,0),0)-WEEKDAY(MAX($A155,Settings!$F$52)),7))/7)+1)),IF(AND(IF(Settings!$E$52="",$B155,DATE(YEAR($A155),MONTH($A155),MIN(Settings!$E$52,DAY($B155))))&gt;=MAX($A155,Settings!$F$52),IF(Settings!$E$52="",$B155,DATE(YEAR($A155),MONTH($A155),MIN(Settings!$E$52,DAY($B155))))&lt;=MIN(Settings!$B$5,IF(Settings!$G$52="",Settings!$B$5,Settings!$G$52))),1,0)))))</f>
        <v/>
      </c>
      <c r="FB155">
        <f>IF($E155&lt;&gt;"open",0,IF(AND('Month-End'!$EV$30&lt;&gt;"",NOT(_xlfn.ISFORMULA('Month-End'!$EV$30))),0,IF(OR(Settings!$C$53="",Settings!$D$53=""),0,Settings!$C$53*IF(Settings!$D$53="Weekly",IF(IFERROR(MATCH(Settings!$E$53,$EO$4:$EO$10,0),0)=0,0,IF(MIN(Settings!$B$5,IF(Settings!$G$53="",Settings!$B$5,Settings!$G$53))&lt;MAX($A155,Settings!$F$53),0,INT((MIN(Settings!$B$5,IF(Settings!$G$53="",Settings!$B$5,Settings!$G$53))-MAX($A155,Settings!$F$53)-MOD(IFERROR(MATCH(Settings!$E$53,$EO$4:$EO$10,0),0)-WEEKDAY(MAX($A155,Settings!$F$53)),7))/7)+1)),IF(AND(IF(Settings!$E$53="",$B155,DATE(YEAR($A155),MONTH($A155),MIN(Settings!$E$53,DAY($B155))))&gt;=MAX($A155,Settings!$F$53),IF(Settings!$E$53="",$B155,DATE(YEAR($A155),MONTH($A155),MIN(Settings!$E$53,DAY($B155))))&lt;=MIN(Settings!$B$5,IF(Settings!$G$53="",Settings!$B$5,Settings!$G$53))),1,0)))))</f>
        <v/>
      </c>
      <c r="FC155">
        <f>IF($E155&lt;&gt;"open",0,IF(AND('Month-End'!$EV$31&lt;&gt;"",NOT(_xlfn.ISFORMULA('Month-End'!$EV$31))),0,IF(OR(Settings!$C$54="",Settings!$D$54=""),0,Settings!$C$54*IF(Settings!$D$54="Weekly",IF(IFERROR(MATCH(Settings!$E$54,$EO$4:$EO$10,0),0)=0,0,IF(MIN(Settings!$B$5,IF(Settings!$G$54="",Settings!$B$5,Settings!$G$54))&lt;MAX($A155,Settings!$F$54),0,INT((MIN(Settings!$B$5,IF(Settings!$G$54="",Settings!$B$5,Settings!$G$54))-MAX($A155,Settings!$F$54)-MOD(IFERROR(MATCH(Settings!$E$54,$EO$4:$EO$10,0),0)-WEEKDAY(MAX($A155,Settings!$F$54)),7))/7)+1)),IF(AND(IF(Settings!$E$54="",$B155,DATE(YEAR($A155),MONTH($A155),MIN(Settings!$E$54,DAY($B155))))&gt;=MAX($A155,Settings!$F$54),IF(Settings!$E$54="",$B155,DATE(YEAR($A155),MONTH($A155),MIN(Settings!$E$54,DAY($B155))))&lt;=MIN(Settings!$B$5,IF(Settings!$G$54="",Settings!$B$5,Settings!$G$54))),1,0)))))</f>
        <v/>
      </c>
      <c r="FD155">
        <f>IF($E155&lt;&gt;"open",0,IF(AND('Month-End'!$EV$32&lt;&gt;"",NOT(_xlfn.ISFORMULA('Month-End'!$EV$32))),0,IF(OR(Settings!$C$55="",Settings!$D$55=""),0,Settings!$C$55*IF(Settings!$D$55="Weekly",IF(IFERROR(MATCH(Settings!$E$55,$EO$4:$EO$10,0),0)=0,0,IF(MIN(Settings!$B$5,IF(Settings!$G$55="",Settings!$B$5,Settings!$G$55))&lt;MAX($A155,Settings!$F$55),0,INT((MIN(Settings!$B$5,IF(Settings!$G$55="",Settings!$B$5,Settings!$G$55))-MAX($A155,Settings!$F$55)-MOD(IFERROR(MATCH(Settings!$E$55,$EO$4:$EO$10,0),0)-WEEKDAY(MAX($A155,Settings!$F$55)),7))/7)+1)),IF(AND(IF(Settings!$E$55="",$B155,DATE(YEAR($A155),MONTH($A155),MIN(Settings!$E$55,DAY($B155))))&gt;=MAX($A155,Settings!$F$55),IF(Settings!$E$55="",$B155,DATE(YEAR($A155),MONTH($A155),MIN(Settings!$E$55,DAY($B155))))&lt;=MIN(Settings!$B$5,IF(Settings!$G$55="",Settings!$B$5,Settings!$G$55))),1,0)))))</f>
        <v/>
      </c>
      <c r="FE155">
        <f>IF($E155&lt;&gt;"open",0,IF(AND('Month-End'!$EV$33&lt;&gt;"",NOT(_xlfn.ISFORMULA('Month-End'!$EV$33))),0,IF(OR(Settings!$C$56="",Settings!$D$56=""),0,Settings!$C$56*IF(Settings!$D$56="Weekly",IF(IFERROR(MATCH(Settings!$E$56,$EO$4:$EO$10,0),0)=0,0,IF(MIN(Settings!$B$5,IF(Settings!$G$56="",Settings!$B$5,Settings!$G$56))&lt;MAX($A155,Settings!$F$56),0,INT((MIN(Settings!$B$5,IF(Settings!$G$56="",Settings!$B$5,Settings!$G$56))-MAX($A155,Settings!$F$56)-MOD(IFERROR(MATCH(Settings!$E$56,$EO$4:$EO$10,0),0)-WEEKDAY(MAX($A155,Settings!$F$56)),7))/7)+1)),IF(AND(IF(Settings!$E$56="",$B155,DATE(YEAR($A155),MONTH($A155),MIN(Settings!$E$56,DAY($B155))))&gt;=MAX($A155,Settings!$F$56),IF(Settings!$E$56="",$B155,DATE(YEAR($A155),MONTH($A155),MIN(Settings!$E$56,DAY($B155))))&lt;=MIN(Settings!$B$5,IF(Settings!$G$56="",Settings!$B$5,Settings!$G$56))),1,0)))))</f>
        <v/>
      </c>
      <c r="FF155">
        <f>IF(Settings!$I$45="Yes",$G155,0)+IF(Settings!$I$46="Yes",$H155,0)+IF(Settings!$I$47="Yes",$I155,0)+IF(Settings!$I$48="Yes",$J155,0)+IF(Settings!$I$49="Yes",$K155,0)+IF(Settings!$I$50="Yes",$L155,0)+IF(Settings!$I$51="Yes",$M155,0)+IF(Settings!$I$52="Yes",$N155,0)+IF(Settings!$I$53="Yes",$O155,0)+IF(Settings!$I$54="Yes",$P155,0)+IF(Settings!$I$55="Yes",$Q155,0)+IF(Settings!$I$56="Yes",$R155,0)</f>
        <v/>
      </c>
      <c r="FG155">
        <f>IF(AND(Settings!$I$45="Yes",Settings!$J$45="No"),$G155,0)+IF(AND(Settings!$I$46="Yes",Settings!$J$46="No"),$H155,0)+IF(AND(Settings!$I$47="Yes",Settings!$J$47="No"),$I155,0)+IF(AND(Settings!$I$48="Yes",Settings!$J$48="No"),$J155,0)+IF(AND(Settings!$I$49="Yes",Settings!$J$49="No"),$K155,0)+IF(AND(Settings!$I$50="Yes",Settings!$J$50="No"),$L155,0)+IF(AND(Settings!$I$51="Yes",Settings!$J$51="No"),$M155,0)+IF(AND(Settings!$I$52="Yes",Settings!$J$52="No"),$N155,0)+IF(AND(Settings!$I$53="Yes",Settings!$J$53="No"),$O155,0)+IF(AND(Settings!$I$54="Yes",Settings!$J$54="No"),$P155,0)+IF(AND(Settings!$I$55="Yes",Settings!$J$55="No"),$Q155,0)+IF(AND(Settings!$I$56="Yes",Settings!$J$56="No"),$R155,0)</f>
        <v/>
      </c>
      <c r="FH155">
        <f>SUMIFS(Giving!$B$7:$B$2006,Giving!$A$7:$A$2006,"&gt;="&amp;$A155,Giving!$A$7:$A$2006,"&lt;="&amp;$B155,Giving!$G$7:$G$2006,"Yes")+IF(OR(OR(Settings!$B$60="",Settings!$F$60="No"),Settings!$H$60&lt;&gt;"Yes"),0,Settings!$B$60*IF(AND(IF(Settings!$C$60="",$B155,DATE(YEAR($A155),MONTH($A155),MIN(Settings!$C$60,DAY($B155))))&gt;=MAX($A155,Settings!$D$60),IF(Settings!$C$60="",$B155,DATE(YEAR($A155),MONTH($A155),MIN(Settings!$C$60,DAY($B155))))&lt;=MIN($C155,IF(Settings!$E$60="",$C155,Settings!$E$60))),1,0))+IF(OR(OR(Settings!$B$61="",Settings!$F$61="No"),Settings!$H$61&lt;&gt;"Yes"),0,Settings!$B$61*IF(AND(IF(Settings!$C$61="",$B155,DATE(YEAR($A155),MONTH($A155),MIN(Settings!$C$61,DAY($B155))))&gt;=MAX($A155,Settings!$D$61),IF(Settings!$C$61="",$B155,DATE(YEAR($A155),MONTH($A155),MIN(Settings!$C$61,DAY($B155))))&lt;=MIN($C155,IF(Settings!$E$61="",$C155,Settings!$E$61))),1,0))+IF(OR(OR(Settings!$B$62="",Settings!$F$62="No"),Settings!$H$62&lt;&gt;"Yes"),0,Settings!$B$62*IF(AND(IF(Settings!$C$62="",$B155,DATE(YEAR($A155),MONTH($A155),MIN(Settings!$C$62,DAY($B155))))&gt;=MAX($A155,Settings!$D$62),IF(Settings!$C$62="",$B155,DATE(YEAR($A155),MONTH($A155),MIN(Settings!$C$62,DAY($B155))))&lt;=MIN($C155,IF(Settings!$E$62="",$C155,Settings!$E$62))),1,0))+IF(OR(OR(Settings!$B$63="",Settings!$F$63="No"),Settings!$H$63&lt;&gt;"Yes"),0,Settings!$B$63*IF(AND(IF(Settings!$C$63="",$B155,DATE(YEAR($A155),MONTH($A155),MIN(Settings!$C$63,DAY($B155))))&gt;=MAX($A155,Settings!$D$63),IF(Settings!$C$63="",$B155,DATE(YEAR($A155),MONTH($A155),MIN(Settings!$C$63,DAY($B155))))&lt;=MIN($C155,IF(Settings!$E$63="",$C155,Settings!$E$63))),1,0))+IF(OR(OR(Settings!$B$64="",Settings!$F$64="No"),Settings!$H$64&lt;&gt;"Yes"),0,Settings!$B$64*IF(AND(IF(Settings!$C$64="",$B155,DATE(YEAR($A155),MONTH($A155),MIN(Settings!$C$64,DAY($B155))))&gt;=MAX($A155,Settings!$D$64),IF(Settings!$C$64="",$B155,DATE(YEAR($A155),MONTH($A155),MIN(Settings!$C$64,DAY($B155))))&lt;=MIN($C155,IF(Settings!$E$64="",$C155,Settings!$E$64))),1,0))+IF(OR(OR(Settings!$B$65="",Settings!$F$65="No"),Settings!$H$65&lt;&gt;"Yes"),0,Settings!$B$65*IF(AND(IF(Settings!$C$65="",$B155,DATE(YEAR($A155),MONTH($A155),MIN(Settings!$C$65,DAY($B155))))&gt;=MAX($A155,Settings!$D$65),IF(Settings!$C$65="",$B155,DATE(YEAR($A155),MONTH($A155),MIN(Settings!$C$65,DAY($B155))))&lt;=MIN($C155,IF(Settings!$E$65="",$C155,Settings!$E$65))),1,0))</f>
        <v/>
      </c>
      <c r="FI155">
        <f>IF($DT155=1,IF(OR(Settings!$B$19="Card",Settings!$B$19="Loan"),N($AE155),0)+IF(OR(Settings!$B$20="Card",Settings!$B$20="Loan"),N($AF155),0)+IF(OR(Settings!$B$21="Card",Settings!$B$21="Loan"),N($AG155),0)+IF(OR(Settings!$B$22="Card",Settings!$B$22="Loan"),N($AH155),0)+IF(OR(Settings!$B$23="Card",Settings!$B$23="Loan"),N($AI155),0)+IF(OR(Settings!$B$24="Card",Settings!$B$24="Loan"),N($AJ155),0)+IF(OR(Settings!$B$25="Card",Settings!$B$25="Loan"),N($AK155),0)+IF(OR(Settings!$B$26="Card",Settings!$B$26="Loan"),N($AL155),0)+IF(OR(Settings!$B$27="Card",Settings!$B$27="Loan"),N($AM155),0)+IF(OR(Settings!$B$28="Card",Settings!$B$28="Loan"),N($AN155),0)+IF(OR(Settings!$B$29="Card",Settings!$B$29="Loan"),N($AO155),0)+IF(OR(Settings!$B$30="Card",Settings!$B$30="Loan"),N($AP155),0)+IF(OR(Settings!$B$31="Card",Settings!$B$31="Loan"),N($AQ155),0)+IF(OR(Settings!$B$32="Card",Settings!$B$32="Loan"),N($AR155),0),"")</f>
        <v/>
      </c>
      <c r="FJ155">
        <f>IF($E155="open",$EB$65,IF($E155="post",IF($E154="pre",$EB$65,$FI154),""))</f>
        <v/>
      </c>
      <c r="FK155">
        <f>IF(AND($DT155=1,$DC155=1),IF(ROUND($FI155-$FJ155,2)&gt;0,1,0),0)</f>
        <v/>
      </c>
      <c r="FL155">
        <f>IF($FK155=1,$FL154+1,0)</f>
        <v/>
      </c>
    </row>
    <row r="156">
      <c r="A156">
        <f>'Month-End'!$EW$4</f>
        <v/>
      </c>
      <c r="B156">
        <f>EOMONTH($A156,0)</f>
        <v/>
      </c>
      <c r="C156">
        <f>MIN($B156,TODAY())</f>
        <v/>
      </c>
      <c r="D156">
        <f>IF($A156&gt;TODAY(),1,0)</f>
        <v/>
      </c>
      <c r="E156">
        <f>IF($B156&lt;=Settings!$B$5,"pre",IF($A156&lt;=Settings!$B$5,"open","post"))</f>
        <v/>
      </c>
      <c r="G156">
        <f>IF('Month-End'!$EW$22="",$BE156,N('Month-End'!$EW$22))</f>
        <v/>
      </c>
      <c r="H156">
        <f>IF('Month-End'!$EW$23="",$BF156,N('Month-End'!$EW$23))</f>
        <v/>
      </c>
      <c r="I156">
        <f>IF('Month-End'!$EW$24="",$BG156,N('Month-End'!$EW$24))</f>
        <v/>
      </c>
      <c r="J156">
        <f>IF('Month-End'!$EW$25="",$BH156,N('Month-End'!$EW$25))</f>
        <v/>
      </c>
      <c r="K156">
        <f>IF('Month-End'!$EW$26="",$BI156,N('Month-End'!$EW$26))</f>
        <v/>
      </c>
      <c r="L156">
        <f>IF('Month-End'!$EW$27="",$BJ156,N('Month-End'!$EW$27))</f>
        <v/>
      </c>
      <c r="M156">
        <f>IF('Month-End'!$EW$28="",$BK156,N('Month-End'!$EW$28))</f>
        <v/>
      </c>
      <c r="N156">
        <f>IF('Month-End'!$EW$29="",$BL156,N('Month-End'!$EW$29))</f>
        <v/>
      </c>
      <c r="O156">
        <f>IF('Month-End'!$EW$30="",$BM156,N('Month-End'!$EW$30))</f>
        <v/>
      </c>
      <c r="P156">
        <f>IF('Month-End'!$EW$31="",$BN156,N('Month-End'!$EW$31))</f>
        <v/>
      </c>
      <c r="Q156">
        <f>IF('Month-End'!$EW$32="",$BO156,N('Month-End'!$EW$32))</f>
        <v/>
      </c>
      <c r="R156">
        <f>IF('Month-End'!$EW$33="",$BP156,N('Month-End'!$EW$33))</f>
        <v/>
      </c>
      <c r="S156">
        <f>$G156+$H156+$I156+$J156+$K156+$L156+$M156+$N156+$O156+$P156+$Q156+$R156</f>
        <v/>
      </c>
      <c r="T156">
        <f>IF($B156&lt;Settings!$B$6,0,IF(Settings!$B$45="Yes",$G156,0)+IF(Settings!$B$46="Yes",$H156,0)+IF(Settings!$B$47="Yes",$I156,0)+IF(Settings!$B$48="Yes",$J156,0)+IF(Settings!$B$49="Yes",$K156,0)+IF(Settings!$B$50="Yes",$L156,0)+IF(Settings!$B$51="Yes",$M156,0)+IF(Settings!$B$52="Yes",$N156,0)+IF(Settings!$B$53="Yes",$O156,0)+IF(Settings!$B$54="Yes",$P156,0)+IF(Settings!$B$55="Yes",$Q156,0)+IF(Settings!$B$56="Yes",$R156,0))</f>
        <v/>
      </c>
      <c r="U156">
        <f>IF(Settings!$B$45="Not Sure",$G156,0)+IF(Settings!$B$46="Not Sure",$H156,0)+IF(Settings!$B$47="Not Sure",$I156,0)+IF(Settings!$B$48="Not Sure",$J156,0)+IF(Settings!$B$49="Not Sure",$K156,0)+IF(Settings!$B$50="Not Sure",$L156,0)+IF(Settings!$B$51="Not Sure",$M156,0)+IF(Settings!$B$52="Not Sure",$N156,0)+IF(Settings!$B$53="Not Sure",$O156,0)+IF(Settings!$B$54="Not Sure",$P156,0)+IF(Settings!$B$55="Not Sure",$Q156,0)+IF(Settings!$B$56="Not Sure",$R156,0)</f>
        <v/>
      </c>
      <c r="V156">
        <f>IF($E156="open",SUM($ET156:$FE156)+N(Settings!$B$13),0)</f>
        <v/>
      </c>
      <c r="W156">
        <f>IF($E156="post",$S156,IF($E156="open",$S156-$V156,0))</f>
        <v/>
      </c>
      <c r="X156">
        <f>SUMIFS(Giving!$B$7:$B$2006,Giving!$A$7:$A$2006,"&gt;="&amp;$A156,Giving!$A$7:$A$2006,"&lt;="&amp;$B156,Giving!$E$7:$E$2006,"&lt;&gt;No")</f>
        <v/>
      </c>
      <c r="Y156">
        <f>SUMIFS(Giving!$B$7:$B$2006,Giving!$A$7:$A$2006,"&gt;="&amp;$A156,Giving!$A$7:$A$2006,"&lt;="&amp;$B156,Giving!$E$7:$E$2006,"No")</f>
        <v/>
      </c>
      <c r="Z156">
        <f>IF(OR(Settings!$B$60="",Settings!$F$60="No"),0,Settings!$B$60*IF(AND(IF(Settings!$C$60="",$B156,DATE(YEAR($A156),MONTH($A156),MIN(Settings!$C$60,DAY($B156))))&gt;=MAX($A156,Settings!$D$60),IF(Settings!$C$60="",$B156,DATE(YEAR($A156),MONTH($A156),MIN(Settings!$C$60,DAY($B156))))&lt;=MIN($C156,IF(Settings!$E$60="",$C156,Settings!$E$60))),1,0))+IF(OR(Settings!$B$61="",Settings!$F$61="No"),0,Settings!$B$61*IF(AND(IF(Settings!$C$61="",$B156,DATE(YEAR($A156),MONTH($A156),MIN(Settings!$C$61,DAY($B156))))&gt;=MAX($A156,Settings!$D$61),IF(Settings!$C$61="",$B156,DATE(YEAR($A156),MONTH($A156),MIN(Settings!$C$61,DAY($B156))))&lt;=MIN($C156,IF(Settings!$E$61="",$C156,Settings!$E$61))),1,0))+IF(OR(Settings!$B$62="",Settings!$F$62="No"),0,Settings!$B$62*IF(AND(IF(Settings!$C$62="",$B156,DATE(YEAR($A156),MONTH($A156),MIN(Settings!$C$62,DAY($B156))))&gt;=MAX($A156,Settings!$D$62),IF(Settings!$C$62="",$B156,DATE(YEAR($A156),MONTH($A156),MIN(Settings!$C$62,DAY($B156))))&lt;=MIN($C156,IF(Settings!$E$62="",$C156,Settings!$E$62))),1,0))+IF(OR(Settings!$B$63="",Settings!$F$63="No"),0,Settings!$B$63*IF(AND(IF(Settings!$C$63="",$B156,DATE(YEAR($A156),MONTH($A156),MIN(Settings!$C$63,DAY($B156))))&gt;=MAX($A156,Settings!$D$63),IF(Settings!$C$63="",$B156,DATE(YEAR($A156),MONTH($A156),MIN(Settings!$C$63,DAY($B156))))&lt;=MIN($C156,IF(Settings!$E$63="",$C156,Settings!$E$63))),1,0))+IF(OR(Settings!$B$64="",Settings!$F$64="No"),0,Settings!$B$64*IF(AND(IF(Settings!$C$64="",$B156,DATE(YEAR($A156),MONTH($A156),MIN(Settings!$C$64,DAY($B156))))&gt;=MAX($A156,Settings!$D$64),IF(Settings!$C$64="",$B156,DATE(YEAR($A156),MONTH($A156),MIN(Settings!$C$64,DAY($B156))))&lt;=MIN($C156,IF(Settings!$E$64="",$C156,Settings!$E$64))),1,0))+IF(OR(Settings!$B$65="",Settings!$F$65="No"),0,Settings!$B$65*IF(AND(IF(Settings!$C$65="",$B156,DATE(YEAR($A156),MONTH($A156),MIN(Settings!$C$65,DAY($B156))))&gt;=MAX($A156,Settings!$D$65),IF(Settings!$C$65="",$B156,DATE(YEAR($A156),MONTH($A156),MIN(Settings!$C$65,DAY($B156))))&lt;=MIN($C156,IF(Settings!$E$65="",$C156,Settings!$E$65))),1,0))</f>
        <v/>
      </c>
      <c r="AA156">
        <f>$X156+$Z156</f>
        <v/>
      </c>
      <c r="AB156">
        <f>IF($E156="post",$AA156,IF($E156="open",SUMIFS(Giving!$B$7:$B$2006,Giving!$A$7:$A$2006,"&gt;"&amp;Settings!$B$5,Giving!$A$7:$A$2006,"&lt;="&amp;$B156,Giving!$E$7:$E$2006,"&lt;&gt;No")+IF(OR(Settings!$B$60="",Settings!$F$60="No"),0,Settings!$B$60*IF(AND(IF(Settings!$C$60="",$B156,DATE(YEAR($A156),MONTH($A156),MIN(Settings!$C$60,DAY($B156))))&gt;=MAX($A156,Settings!$D$60,Settings!$B$5+1),IF(Settings!$C$60="",$B156,DATE(YEAR($A156),MONTH($A156),MIN(Settings!$C$60,DAY($B156))))&lt;=MIN($C156,IF(Settings!$E$60="",$C156,Settings!$E$60))),1,0))+IF(OR(Settings!$B$61="",Settings!$F$61="No"),0,Settings!$B$61*IF(AND(IF(Settings!$C$61="",$B156,DATE(YEAR($A156),MONTH($A156),MIN(Settings!$C$61,DAY($B156))))&gt;=MAX($A156,Settings!$D$61,Settings!$B$5+1),IF(Settings!$C$61="",$B156,DATE(YEAR($A156),MONTH($A156),MIN(Settings!$C$61,DAY($B156))))&lt;=MIN($C156,IF(Settings!$E$61="",$C156,Settings!$E$61))),1,0))+IF(OR(Settings!$B$62="",Settings!$F$62="No"),0,Settings!$B$62*IF(AND(IF(Settings!$C$62="",$B156,DATE(YEAR($A156),MONTH($A156),MIN(Settings!$C$62,DAY($B156))))&gt;=MAX($A156,Settings!$D$62,Settings!$B$5+1),IF(Settings!$C$62="",$B156,DATE(YEAR($A156),MONTH($A156),MIN(Settings!$C$62,DAY($B156))))&lt;=MIN($C156,IF(Settings!$E$62="",$C156,Settings!$E$62))),1,0))+IF(OR(Settings!$B$63="",Settings!$F$63="No"),0,Settings!$B$63*IF(AND(IF(Settings!$C$63="",$B156,DATE(YEAR($A156),MONTH($A156),MIN(Settings!$C$63,DAY($B156))))&gt;=MAX($A156,Settings!$D$63,Settings!$B$5+1),IF(Settings!$C$63="",$B156,DATE(YEAR($A156),MONTH($A156),MIN(Settings!$C$63,DAY($B156))))&lt;=MIN($C156,IF(Settings!$E$63="",$C156,Settings!$E$63))),1,0))+IF(OR(Settings!$B$64="",Settings!$F$64="No"),0,Settings!$B$64*IF(AND(IF(Settings!$C$64="",$B156,DATE(YEAR($A156),MONTH($A156),MIN(Settings!$C$64,DAY($B156))))&gt;=MAX($A156,Settings!$D$64,Settings!$B$5+1),IF(Settings!$C$64="",$B156,DATE(YEAR($A156),MONTH($A156),MIN(Settings!$C$64,DAY($B156))))&lt;=MIN($C156,IF(Settings!$E$64="",$C156,Settings!$E$64))),1,0))+IF(OR(Settings!$B$65="",Settings!$F$65="No"),0,Settings!$B$65*IF(AND(IF(Settings!$C$65="",$B156,DATE(YEAR($A156),MONTH($A156),MIN(Settings!$C$65,DAY($B156))))&gt;=MAX($A156,Settings!$D$65,Settings!$B$5+1),IF(Settings!$C$65="",$B156,DATE(YEAR($A156),MONTH($A156),MIN(Settings!$C$65,DAY($B156))))&lt;=MIN($C156,IF(Settings!$E$65="",$C156,Settings!$E$65))),1,0)),0))</f>
        <v/>
      </c>
      <c r="AC156">
        <f>$AY156+$AZ156+$BA156+$BB156+$BC156+$BD156</f>
        <v/>
      </c>
      <c r="AD156">
        <f>$AC156</f>
        <v/>
      </c>
      <c r="AE156">
        <f>IF(OR(Settings!$A$19="",$E156="pre"),"",IF(AND('Month-End'!$EW$7&lt;&gt;"",NOT(_xlfn.ISFORMULA('Month-End'!$EW$7))),N('Month-End'!$EW$7),IF(OR($E156="open",$E155="pre"),N(Settings!$C$19),N($AE155))))</f>
        <v/>
      </c>
      <c r="AF156">
        <f>IF(OR(Settings!$A$20="",$E156="pre"),"",IF(AND('Month-End'!$EW$8&lt;&gt;"",NOT(_xlfn.ISFORMULA('Month-End'!$EW$8))),N('Month-End'!$EW$8),IF(OR($E156="open",$E155="pre"),N(Settings!$C$20),N($AF155))))</f>
        <v/>
      </c>
      <c r="AG156">
        <f>IF(OR(Settings!$A$21="",$E156="pre"),"",IF(AND('Month-End'!$EW$9&lt;&gt;"",NOT(_xlfn.ISFORMULA('Month-End'!$EW$9))),N('Month-End'!$EW$9),IF(OR($E156="open",$E155="pre"),N(Settings!$C$21),N($AG155))))</f>
        <v/>
      </c>
      <c r="AH156">
        <f>IF(OR(Settings!$A$22="",$E156="pre"),"",IF(AND('Month-End'!$EW$10&lt;&gt;"",NOT(_xlfn.ISFORMULA('Month-End'!$EW$10))),N('Month-End'!$EW$10),IF(OR($E156="open",$E155="pre"),N(Settings!$C$22),N($AH155))))</f>
        <v/>
      </c>
      <c r="AI156">
        <f>IF(OR(Settings!$A$23="",$E156="pre"),"",IF(AND('Month-End'!$EW$11&lt;&gt;"",NOT(_xlfn.ISFORMULA('Month-End'!$EW$11))),N('Month-End'!$EW$11),IF(OR($E156="open",$E155="pre"),N(Settings!$C$23),N($AI155))))</f>
        <v/>
      </c>
      <c r="AJ156">
        <f>IF(OR(Settings!$A$24="",$E156="pre"),"",IF(AND('Month-End'!$EW$12&lt;&gt;"",NOT(_xlfn.ISFORMULA('Month-End'!$EW$12))),N('Month-End'!$EW$12),IF(OR($E156="open",$E155="pre"),N(Settings!$C$24),N($AJ155))))</f>
        <v/>
      </c>
      <c r="AK156">
        <f>IF(OR(Settings!$A$25="",$E156="pre"),"",IF(AND('Month-End'!$EW$13&lt;&gt;"",NOT(_xlfn.ISFORMULA('Month-End'!$EW$13))),N('Month-End'!$EW$13),IF(OR($E156="open",$E155="pre"),N(Settings!$C$25),N($AK155))))</f>
        <v/>
      </c>
      <c r="AL156">
        <f>IF(OR(Settings!$A$26="",$E156="pre"),"",IF(AND('Month-End'!$EW$14&lt;&gt;"",NOT(_xlfn.ISFORMULA('Month-End'!$EW$14))),N('Month-End'!$EW$14),IF(OR($E156="open",$E155="pre"),N(Settings!$C$26),N($AL155))))</f>
        <v/>
      </c>
      <c r="AM156">
        <f>IF(OR(Settings!$A$27="",$E156="pre"),"",IF(AND('Month-End'!$EW$15&lt;&gt;"",NOT(_xlfn.ISFORMULA('Month-End'!$EW$15))),N('Month-End'!$EW$15),IF(OR($E156="open",$E155="pre"),N(Settings!$C$27),N($AM155))))</f>
        <v/>
      </c>
      <c r="AN156">
        <f>IF(OR(Settings!$A$28="",$E156="pre"),"",IF(AND('Month-End'!$EW$16&lt;&gt;"",NOT(_xlfn.ISFORMULA('Month-End'!$EW$16))),N('Month-End'!$EW$16),IF(OR($E156="open",$E155="pre"),N(Settings!$C$28),N($AN155))))</f>
        <v/>
      </c>
      <c r="AO156">
        <f>IF(OR(Settings!$A$29="",$E156="pre"),"",IF(AND('Month-End'!$EW$17&lt;&gt;"",NOT(_xlfn.ISFORMULA('Month-End'!$EW$17))),N('Month-End'!$EW$17),IF(OR($E156="open",$E155="pre"),N(Settings!$C$29),N($AO155))))</f>
        <v/>
      </c>
      <c r="AP156">
        <f>IF(OR(Settings!$A$30="",$E156="pre"),"",IF(AND('Month-End'!$EW$18&lt;&gt;"",NOT(_xlfn.ISFORMULA('Month-End'!$EW$18))),N('Month-End'!$EW$18),IF(OR($E156="open",$E155="pre"),N(Settings!$C$30),N($AP155))))</f>
        <v/>
      </c>
      <c r="AQ156">
        <f>IF(OR(Settings!$A$31="",$E156="pre"),"",IF(AND('Month-End'!$EW$19&lt;&gt;"",NOT(_xlfn.ISFORMULA('Month-End'!$EW$19))),N('Month-End'!$EW$19),IF(OR($E156="open",$E155="pre"),N(Settings!$C$31),N($AQ155))))</f>
        <v/>
      </c>
      <c r="AR156">
        <f>IF(OR(Settings!$A$32="",$E156="pre"),"",IF(AND('Month-End'!$EW$20&lt;&gt;"",NOT(_xlfn.ISFORMULA('Month-End'!$EW$20))),N('Month-End'!$EW$20),IF(OR($E156="open",$E155="pre"),N(Settings!$C$32),N($AR155))))</f>
        <v/>
      </c>
      <c r="AS156">
        <f>IF(OR(Settings!$A$36="",$E156="pre"),"",IF(AND('Month-End'!$EW$38&lt;&gt;"",NOT(_xlfn.ISFORMULA('Month-End'!$EW$38))),N('Month-End'!$EW$38),IF(OR($E156="open",$E155="pre"),N(Settings!$C$36),N($AS155))+$AY156))</f>
        <v/>
      </c>
      <c r="AT156">
        <f>IF(OR(Settings!$A$37="",$E156="pre"),"",IF(AND('Month-End'!$EW$39&lt;&gt;"",NOT(_xlfn.ISFORMULA('Month-End'!$EW$39))),N('Month-End'!$EW$39),IF(OR($E156="open",$E155="pre"),N(Settings!$C$37),N($AT155))+$AZ156))</f>
        <v/>
      </c>
      <c r="AU156">
        <f>IF(OR(Settings!$A$38="",$E156="pre"),"",IF(AND('Month-End'!$EW$40&lt;&gt;"",NOT(_xlfn.ISFORMULA('Month-End'!$EW$40))),N('Month-End'!$EW$40),IF(OR($E156="open",$E155="pre"),N(Settings!$C$38),N($AU155))+$BA156))</f>
        <v/>
      </c>
      <c r="AV156">
        <f>IF(OR(Settings!$A$39="",$E156="pre"),"",IF(AND('Month-End'!$EW$41&lt;&gt;"",NOT(_xlfn.ISFORMULA('Month-End'!$EW$41))),N('Month-End'!$EW$41),IF(OR($E156="open",$E155="pre"),N(Settings!$C$39),N($AV155))+$BB156))</f>
        <v/>
      </c>
      <c r="AW156">
        <f>IF(OR(Settings!$A$40="",$E156="pre"),"",IF(AND('Month-End'!$EW$42&lt;&gt;"",NOT(_xlfn.ISFORMULA('Month-End'!$EW$42))),N('Month-End'!$EW$42),IF(OR($E156="open",$E155="pre"),N(Settings!$C$40),N($AW155))+$BC156))</f>
        <v/>
      </c>
      <c r="AX156">
        <f>IF(OR(Settings!$A$41="",$E156="pre"),"",IF(AND('Month-End'!$EW$43&lt;&gt;"",NOT(_xlfn.ISFORMULA('Month-End'!$EW$43))),N('Month-End'!$EW$43),IF(OR($E156="open",$E155="pre"),N(Settings!$C$41),N($AX155))+$BD156))</f>
        <v/>
      </c>
      <c r="AY156">
        <f>IF($E156="pre",0,N('Month-End'!$EW$45))</f>
        <v/>
      </c>
      <c r="AZ156">
        <f>IF($E156="pre",0,N('Month-End'!$EW$46))</f>
        <v/>
      </c>
      <c r="BA156">
        <f>IF($E156="pre",0,N('Month-End'!$EW$47))</f>
        <v/>
      </c>
      <c r="BB156">
        <f>IF($E156="pre",0,N('Month-End'!$EW$48))</f>
        <v/>
      </c>
      <c r="BC156">
        <f>IF($E156="pre",0,N('Month-End'!$EW$49))</f>
        <v/>
      </c>
      <c r="BD156">
        <f>IF($E156="pre",0,N('Month-End'!$EW$50))</f>
        <v/>
      </c>
      <c r="BE156">
        <f>IF(OR(Settings!$C$45="",Settings!$D$45=""),0,Settings!$C$45*IF(Settings!$D$45="Weekly",IF(IFERROR(MATCH(Settings!$E$45,$EO$4:$EO$10,0),0)=0,0,IF(MIN($C156,IF(Settings!$G$45="",$C156,Settings!$G$45))&lt;MAX($A156,Settings!$F$45),0,INT((MIN($C156,IF(Settings!$G$45="",$C156,Settings!$G$45))-MAX($A156,Settings!$F$45)-MOD(IFERROR(MATCH(Settings!$E$45,$EO$4:$EO$10,0),0)-WEEKDAY(MAX($A156,Settings!$F$45)),7))/7)+1)),IF(AND(IF(Settings!$E$45="",$B156,DATE(YEAR($A156),MONTH($A156),MIN(Settings!$E$45,DAY($B156))))&gt;=MAX($A156,Settings!$F$45),IF(Settings!$E$45="",$B156,DATE(YEAR($A156),MONTH($A156),MIN(Settings!$E$45,DAY($B156))))&lt;=MIN($C156,IF(Settings!$G$45="",$C156,Settings!$G$45))),1,0)))</f>
        <v/>
      </c>
      <c r="BF156">
        <f>IF(OR(Settings!$C$46="",Settings!$D$46=""),0,Settings!$C$46*IF(Settings!$D$46="Weekly",IF(IFERROR(MATCH(Settings!$E$46,$EO$4:$EO$10,0),0)=0,0,IF(MIN($C156,IF(Settings!$G$46="",$C156,Settings!$G$46))&lt;MAX($A156,Settings!$F$46),0,INT((MIN($C156,IF(Settings!$G$46="",$C156,Settings!$G$46))-MAX($A156,Settings!$F$46)-MOD(IFERROR(MATCH(Settings!$E$46,$EO$4:$EO$10,0),0)-WEEKDAY(MAX($A156,Settings!$F$46)),7))/7)+1)),IF(AND(IF(Settings!$E$46="",$B156,DATE(YEAR($A156),MONTH($A156),MIN(Settings!$E$46,DAY($B156))))&gt;=MAX($A156,Settings!$F$46),IF(Settings!$E$46="",$B156,DATE(YEAR($A156),MONTH($A156),MIN(Settings!$E$46,DAY($B156))))&lt;=MIN($C156,IF(Settings!$G$46="",$C156,Settings!$G$46))),1,0)))</f>
        <v/>
      </c>
      <c r="BG156">
        <f>IF(OR(Settings!$C$47="",Settings!$D$47=""),0,Settings!$C$47*IF(Settings!$D$47="Weekly",IF(IFERROR(MATCH(Settings!$E$47,$EO$4:$EO$10,0),0)=0,0,IF(MIN($C156,IF(Settings!$G$47="",$C156,Settings!$G$47))&lt;MAX($A156,Settings!$F$47),0,INT((MIN($C156,IF(Settings!$G$47="",$C156,Settings!$G$47))-MAX($A156,Settings!$F$47)-MOD(IFERROR(MATCH(Settings!$E$47,$EO$4:$EO$10,0),0)-WEEKDAY(MAX($A156,Settings!$F$47)),7))/7)+1)),IF(AND(IF(Settings!$E$47="",$B156,DATE(YEAR($A156),MONTH($A156),MIN(Settings!$E$47,DAY($B156))))&gt;=MAX($A156,Settings!$F$47),IF(Settings!$E$47="",$B156,DATE(YEAR($A156),MONTH($A156),MIN(Settings!$E$47,DAY($B156))))&lt;=MIN($C156,IF(Settings!$G$47="",$C156,Settings!$G$47))),1,0)))</f>
        <v/>
      </c>
      <c r="BH156">
        <f>IF(OR(Settings!$C$48="",Settings!$D$48=""),0,Settings!$C$48*IF(Settings!$D$48="Weekly",IF(IFERROR(MATCH(Settings!$E$48,$EO$4:$EO$10,0),0)=0,0,IF(MIN($C156,IF(Settings!$G$48="",$C156,Settings!$G$48))&lt;MAX($A156,Settings!$F$48),0,INT((MIN($C156,IF(Settings!$G$48="",$C156,Settings!$G$48))-MAX($A156,Settings!$F$48)-MOD(IFERROR(MATCH(Settings!$E$48,$EO$4:$EO$10,0),0)-WEEKDAY(MAX($A156,Settings!$F$48)),7))/7)+1)),IF(AND(IF(Settings!$E$48="",$B156,DATE(YEAR($A156),MONTH($A156),MIN(Settings!$E$48,DAY($B156))))&gt;=MAX($A156,Settings!$F$48),IF(Settings!$E$48="",$B156,DATE(YEAR($A156),MONTH($A156),MIN(Settings!$E$48,DAY($B156))))&lt;=MIN($C156,IF(Settings!$G$48="",$C156,Settings!$G$48))),1,0)))</f>
        <v/>
      </c>
      <c r="BI156">
        <f>IF(OR(Settings!$C$49="",Settings!$D$49=""),0,Settings!$C$49*IF(Settings!$D$49="Weekly",IF(IFERROR(MATCH(Settings!$E$49,$EO$4:$EO$10,0),0)=0,0,IF(MIN($C156,IF(Settings!$G$49="",$C156,Settings!$G$49))&lt;MAX($A156,Settings!$F$49),0,INT((MIN($C156,IF(Settings!$G$49="",$C156,Settings!$G$49))-MAX($A156,Settings!$F$49)-MOD(IFERROR(MATCH(Settings!$E$49,$EO$4:$EO$10,0),0)-WEEKDAY(MAX($A156,Settings!$F$49)),7))/7)+1)),IF(AND(IF(Settings!$E$49="",$B156,DATE(YEAR($A156),MONTH($A156),MIN(Settings!$E$49,DAY($B156))))&gt;=MAX($A156,Settings!$F$49),IF(Settings!$E$49="",$B156,DATE(YEAR($A156),MONTH($A156),MIN(Settings!$E$49,DAY($B156))))&lt;=MIN($C156,IF(Settings!$G$49="",$C156,Settings!$G$49))),1,0)))</f>
        <v/>
      </c>
      <c r="BJ156">
        <f>IF(OR(Settings!$C$50="",Settings!$D$50=""),0,Settings!$C$50*IF(Settings!$D$50="Weekly",IF(IFERROR(MATCH(Settings!$E$50,$EO$4:$EO$10,0),0)=0,0,IF(MIN($C156,IF(Settings!$G$50="",$C156,Settings!$G$50))&lt;MAX($A156,Settings!$F$50),0,INT((MIN($C156,IF(Settings!$G$50="",$C156,Settings!$G$50))-MAX($A156,Settings!$F$50)-MOD(IFERROR(MATCH(Settings!$E$50,$EO$4:$EO$10,0),0)-WEEKDAY(MAX($A156,Settings!$F$50)),7))/7)+1)),IF(AND(IF(Settings!$E$50="",$B156,DATE(YEAR($A156),MONTH($A156),MIN(Settings!$E$50,DAY($B156))))&gt;=MAX($A156,Settings!$F$50),IF(Settings!$E$50="",$B156,DATE(YEAR($A156),MONTH($A156),MIN(Settings!$E$50,DAY($B156))))&lt;=MIN($C156,IF(Settings!$G$50="",$C156,Settings!$G$50))),1,0)))</f>
        <v/>
      </c>
      <c r="BK156">
        <f>IF(OR(Settings!$C$51="",Settings!$D$51=""),0,Settings!$C$51*IF(Settings!$D$51="Weekly",IF(IFERROR(MATCH(Settings!$E$51,$EO$4:$EO$10,0),0)=0,0,IF(MIN($C156,IF(Settings!$G$51="",$C156,Settings!$G$51))&lt;MAX($A156,Settings!$F$51),0,INT((MIN($C156,IF(Settings!$G$51="",$C156,Settings!$G$51))-MAX($A156,Settings!$F$51)-MOD(IFERROR(MATCH(Settings!$E$51,$EO$4:$EO$10,0),0)-WEEKDAY(MAX($A156,Settings!$F$51)),7))/7)+1)),IF(AND(IF(Settings!$E$51="",$B156,DATE(YEAR($A156),MONTH($A156),MIN(Settings!$E$51,DAY($B156))))&gt;=MAX($A156,Settings!$F$51),IF(Settings!$E$51="",$B156,DATE(YEAR($A156),MONTH($A156),MIN(Settings!$E$51,DAY($B156))))&lt;=MIN($C156,IF(Settings!$G$51="",$C156,Settings!$G$51))),1,0)))</f>
        <v/>
      </c>
      <c r="BL156">
        <f>IF(OR(Settings!$C$52="",Settings!$D$52=""),0,Settings!$C$52*IF(Settings!$D$52="Weekly",IF(IFERROR(MATCH(Settings!$E$52,$EO$4:$EO$10,0),0)=0,0,IF(MIN($C156,IF(Settings!$G$52="",$C156,Settings!$G$52))&lt;MAX($A156,Settings!$F$52),0,INT((MIN($C156,IF(Settings!$G$52="",$C156,Settings!$G$52))-MAX($A156,Settings!$F$52)-MOD(IFERROR(MATCH(Settings!$E$52,$EO$4:$EO$10,0),0)-WEEKDAY(MAX($A156,Settings!$F$52)),7))/7)+1)),IF(AND(IF(Settings!$E$52="",$B156,DATE(YEAR($A156),MONTH($A156),MIN(Settings!$E$52,DAY($B156))))&gt;=MAX($A156,Settings!$F$52),IF(Settings!$E$52="",$B156,DATE(YEAR($A156),MONTH($A156),MIN(Settings!$E$52,DAY($B156))))&lt;=MIN($C156,IF(Settings!$G$52="",$C156,Settings!$G$52))),1,0)))</f>
        <v/>
      </c>
      <c r="BM156">
        <f>IF(OR(Settings!$C$53="",Settings!$D$53=""),0,Settings!$C$53*IF(Settings!$D$53="Weekly",IF(IFERROR(MATCH(Settings!$E$53,$EO$4:$EO$10,0),0)=0,0,IF(MIN($C156,IF(Settings!$G$53="",$C156,Settings!$G$53))&lt;MAX($A156,Settings!$F$53),0,INT((MIN($C156,IF(Settings!$G$53="",$C156,Settings!$G$53))-MAX($A156,Settings!$F$53)-MOD(IFERROR(MATCH(Settings!$E$53,$EO$4:$EO$10,0),0)-WEEKDAY(MAX($A156,Settings!$F$53)),7))/7)+1)),IF(AND(IF(Settings!$E$53="",$B156,DATE(YEAR($A156),MONTH($A156),MIN(Settings!$E$53,DAY($B156))))&gt;=MAX($A156,Settings!$F$53),IF(Settings!$E$53="",$B156,DATE(YEAR($A156),MONTH($A156),MIN(Settings!$E$53,DAY($B156))))&lt;=MIN($C156,IF(Settings!$G$53="",$C156,Settings!$G$53))),1,0)))</f>
        <v/>
      </c>
      <c r="BN156">
        <f>IF(OR(Settings!$C$54="",Settings!$D$54=""),0,Settings!$C$54*IF(Settings!$D$54="Weekly",IF(IFERROR(MATCH(Settings!$E$54,$EO$4:$EO$10,0),0)=0,0,IF(MIN($C156,IF(Settings!$G$54="",$C156,Settings!$G$54))&lt;MAX($A156,Settings!$F$54),0,INT((MIN($C156,IF(Settings!$G$54="",$C156,Settings!$G$54))-MAX($A156,Settings!$F$54)-MOD(IFERROR(MATCH(Settings!$E$54,$EO$4:$EO$10,0),0)-WEEKDAY(MAX($A156,Settings!$F$54)),7))/7)+1)),IF(AND(IF(Settings!$E$54="",$B156,DATE(YEAR($A156),MONTH($A156),MIN(Settings!$E$54,DAY($B156))))&gt;=MAX($A156,Settings!$F$54),IF(Settings!$E$54="",$B156,DATE(YEAR($A156),MONTH($A156),MIN(Settings!$E$54,DAY($B156))))&lt;=MIN($C156,IF(Settings!$G$54="",$C156,Settings!$G$54))),1,0)))</f>
        <v/>
      </c>
      <c r="BO156">
        <f>IF(OR(Settings!$C$55="",Settings!$D$55=""),0,Settings!$C$55*IF(Settings!$D$55="Weekly",IF(IFERROR(MATCH(Settings!$E$55,$EO$4:$EO$10,0),0)=0,0,IF(MIN($C156,IF(Settings!$G$55="",$C156,Settings!$G$55))&lt;MAX($A156,Settings!$F$55),0,INT((MIN($C156,IF(Settings!$G$55="",$C156,Settings!$G$55))-MAX($A156,Settings!$F$55)-MOD(IFERROR(MATCH(Settings!$E$55,$EO$4:$EO$10,0),0)-WEEKDAY(MAX($A156,Settings!$F$55)),7))/7)+1)),IF(AND(IF(Settings!$E$55="",$B156,DATE(YEAR($A156),MONTH($A156),MIN(Settings!$E$55,DAY($B156))))&gt;=MAX($A156,Settings!$F$55),IF(Settings!$E$55="",$B156,DATE(YEAR($A156),MONTH($A156),MIN(Settings!$E$55,DAY($B156))))&lt;=MIN($C156,IF(Settings!$G$55="",$C156,Settings!$G$55))),1,0)))</f>
        <v/>
      </c>
      <c r="BP156">
        <f>IF(OR(Settings!$C$56="",Settings!$D$56=""),0,Settings!$C$56*IF(Settings!$D$56="Weekly",IF(IFERROR(MATCH(Settings!$E$56,$EO$4:$EO$10,0),0)=0,0,IF(MIN($C156,IF(Settings!$G$56="",$C156,Settings!$G$56))&lt;MAX($A156,Settings!$F$56),0,INT((MIN($C156,IF(Settings!$G$56="",$C156,Settings!$G$56))-MAX($A156,Settings!$F$56)-MOD(IFERROR(MATCH(Settings!$E$56,$EO$4:$EO$10,0),0)-WEEKDAY(MAX($A156,Settings!$F$56)),7))/7)+1)),IF(AND(IF(Settings!$E$56="",$B156,DATE(YEAR($A156),MONTH($A156),MIN(Settings!$E$56,DAY($B156))))&gt;=MAX($A156,Settings!$F$56),IF(Settings!$E$56="",$B156,DATE(YEAR($A156),MONTH($A156),MIN(Settings!$E$56,DAY($B156))))&lt;=MIN($C156,IF(Settings!$G$56="",$C156,Settings!$G$56))),1,0)))</f>
        <v/>
      </c>
      <c r="BQ156">
        <f>IF(OR(Settings!$B$14="",$D156=1,$E156="pre",$A156&lt;IF(Settings!$B$15="",0,Settings!$B$15)),0,Settings!$B$14)</f>
        <v/>
      </c>
      <c r="BR156">
        <f>IF(AND('Month-End'!$EW$7&lt;&gt;"",NOT(_xlfn.ISFORMULA('Month-End'!$EW$7))),1,0)</f>
        <v/>
      </c>
      <c r="BS156">
        <f>IF(AND('Month-End'!$EW$8&lt;&gt;"",NOT(_xlfn.ISFORMULA('Month-End'!$EW$8))),1,0)</f>
        <v/>
      </c>
      <c r="BT156">
        <f>IF(AND('Month-End'!$EW$9&lt;&gt;"",NOT(_xlfn.ISFORMULA('Month-End'!$EW$9))),1,0)</f>
        <v/>
      </c>
      <c r="BU156">
        <f>IF(AND('Month-End'!$EW$10&lt;&gt;"",NOT(_xlfn.ISFORMULA('Month-End'!$EW$10))),1,0)</f>
        <v/>
      </c>
      <c r="BV156">
        <f>IF(AND('Month-End'!$EW$11&lt;&gt;"",NOT(_xlfn.ISFORMULA('Month-End'!$EW$11))),1,0)</f>
        <v/>
      </c>
      <c r="BW156">
        <f>IF(AND('Month-End'!$EW$12&lt;&gt;"",NOT(_xlfn.ISFORMULA('Month-End'!$EW$12))),1,0)</f>
        <v/>
      </c>
      <c r="BX156">
        <f>IF(AND('Month-End'!$EW$13&lt;&gt;"",NOT(_xlfn.ISFORMULA('Month-End'!$EW$13))),1,0)</f>
        <v/>
      </c>
      <c r="BY156">
        <f>IF(AND('Month-End'!$EW$14&lt;&gt;"",NOT(_xlfn.ISFORMULA('Month-End'!$EW$14))),1,0)</f>
        <v/>
      </c>
      <c r="BZ156">
        <f>IF(AND('Month-End'!$EW$15&lt;&gt;"",NOT(_xlfn.ISFORMULA('Month-End'!$EW$15))),1,0)</f>
        <v/>
      </c>
      <c r="CA156">
        <f>IF(AND('Month-End'!$EW$16&lt;&gt;"",NOT(_xlfn.ISFORMULA('Month-End'!$EW$16))),1,0)</f>
        <v/>
      </c>
      <c r="CB156">
        <f>IF(AND('Month-End'!$EW$17&lt;&gt;"",NOT(_xlfn.ISFORMULA('Month-End'!$EW$17))),1,0)</f>
        <v/>
      </c>
      <c r="CC156">
        <f>IF(AND('Month-End'!$EW$18&lt;&gt;"",NOT(_xlfn.ISFORMULA('Month-End'!$EW$18))),1,0)</f>
        <v/>
      </c>
      <c r="CD156">
        <f>IF(AND('Month-End'!$EW$19&lt;&gt;"",NOT(_xlfn.ISFORMULA('Month-End'!$EW$19))),1,0)</f>
        <v/>
      </c>
      <c r="CE156">
        <f>IF(AND('Month-End'!$EW$20&lt;&gt;"",NOT(_xlfn.ISFORMULA('Month-End'!$EW$20))),1,0)</f>
        <v/>
      </c>
      <c r="CF156">
        <f>IF(AND('Month-End'!$EW$38&lt;&gt;"",NOT(_xlfn.ISFORMULA('Month-End'!$EW$38))),1,0)</f>
        <v/>
      </c>
      <c r="CG156">
        <f>IF(AND('Month-End'!$EW$39&lt;&gt;"",NOT(_xlfn.ISFORMULA('Month-End'!$EW$39))),1,0)</f>
        <v/>
      </c>
      <c r="CH156">
        <f>IF(AND('Month-End'!$EW$40&lt;&gt;"",NOT(_xlfn.ISFORMULA('Month-End'!$EW$40))),1,0)</f>
        <v/>
      </c>
      <c r="CI156">
        <f>IF(AND('Month-End'!$EW$41&lt;&gt;"",NOT(_xlfn.ISFORMULA('Month-End'!$EW$41))),1,0)</f>
        <v/>
      </c>
      <c r="CJ156">
        <f>IF(AND('Month-End'!$EW$42&lt;&gt;"",NOT(_xlfn.ISFORMULA('Month-End'!$EW$42))),1,0)</f>
        <v/>
      </c>
      <c r="CK156">
        <f>IF(AND('Month-End'!$EW$43&lt;&gt;"",NOT(_xlfn.ISFORMULA('Month-End'!$EW$43))),1,0)</f>
        <v/>
      </c>
      <c r="CL156">
        <f>SUM($CM156:$CZ156)</f>
        <v/>
      </c>
      <c r="CM156">
        <f>IF(AND($E156&lt;&gt;"pre",AND(Settings!$A$19&lt;&gt;"",Settings!$E$19&lt;&gt;"No"),Settings!$F$19="Yes",NOT(AND('Month-End'!$EW$7&lt;&gt;"",NOT(_xlfn.ISFORMULA('Month-End'!$EW$7))))),1,0)</f>
        <v/>
      </c>
      <c r="CN156">
        <f>IF(AND($E156&lt;&gt;"pre",AND(Settings!$A$20&lt;&gt;"",Settings!$E$20&lt;&gt;"No"),Settings!$F$20="Yes",NOT(AND('Month-End'!$EW$8&lt;&gt;"",NOT(_xlfn.ISFORMULA('Month-End'!$EW$8))))),1,0)</f>
        <v/>
      </c>
      <c r="CO156">
        <f>IF(AND($E156&lt;&gt;"pre",AND(Settings!$A$21&lt;&gt;"",Settings!$E$21&lt;&gt;"No"),Settings!$F$21="Yes",NOT(AND('Month-End'!$EW$9&lt;&gt;"",NOT(_xlfn.ISFORMULA('Month-End'!$EW$9))))),1,0)</f>
        <v/>
      </c>
      <c r="CP156">
        <f>IF(AND($E156&lt;&gt;"pre",AND(Settings!$A$22&lt;&gt;"",Settings!$E$22&lt;&gt;"No"),Settings!$F$22="Yes",NOT(AND('Month-End'!$EW$10&lt;&gt;"",NOT(_xlfn.ISFORMULA('Month-End'!$EW$10))))),1,0)</f>
        <v/>
      </c>
      <c r="CQ156">
        <f>IF(AND($E156&lt;&gt;"pre",AND(Settings!$A$23&lt;&gt;"",Settings!$E$23&lt;&gt;"No"),Settings!$F$23="Yes",NOT(AND('Month-End'!$EW$11&lt;&gt;"",NOT(_xlfn.ISFORMULA('Month-End'!$EW$11))))),1,0)</f>
        <v/>
      </c>
      <c r="CR156">
        <f>IF(AND($E156&lt;&gt;"pre",AND(Settings!$A$24&lt;&gt;"",Settings!$E$24&lt;&gt;"No"),Settings!$F$24="Yes",NOT(AND('Month-End'!$EW$12&lt;&gt;"",NOT(_xlfn.ISFORMULA('Month-End'!$EW$12))))),1,0)</f>
        <v/>
      </c>
      <c r="CS156">
        <f>IF(AND($E156&lt;&gt;"pre",AND(Settings!$A$25&lt;&gt;"",Settings!$E$25&lt;&gt;"No"),Settings!$F$25="Yes",NOT(AND('Month-End'!$EW$13&lt;&gt;"",NOT(_xlfn.ISFORMULA('Month-End'!$EW$13))))),1,0)</f>
        <v/>
      </c>
      <c r="CT156">
        <f>IF(AND($E156&lt;&gt;"pre",AND(Settings!$A$26&lt;&gt;"",Settings!$E$26&lt;&gt;"No"),Settings!$F$26="Yes",NOT(AND('Month-End'!$EW$14&lt;&gt;"",NOT(_xlfn.ISFORMULA('Month-End'!$EW$14))))),1,0)</f>
        <v/>
      </c>
      <c r="CU156">
        <f>IF(AND($E156&lt;&gt;"pre",AND(Settings!$A$27&lt;&gt;"",Settings!$E$27&lt;&gt;"No"),Settings!$F$27="Yes",NOT(AND('Month-End'!$EW$15&lt;&gt;"",NOT(_xlfn.ISFORMULA('Month-End'!$EW$15))))),1,0)</f>
        <v/>
      </c>
      <c r="CV156">
        <f>IF(AND($E156&lt;&gt;"pre",AND(Settings!$A$28&lt;&gt;"",Settings!$E$28&lt;&gt;"No"),Settings!$F$28="Yes",NOT(AND('Month-End'!$EW$16&lt;&gt;"",NOT(_xlfn.ISFORMULA('Month-End'!$EW$16))))),1,0)</f>
        <v/>
      </c>
      <c r="CW156">
        <f>IF(AND($E156&lt;&gt;"pre",AND(Settings!$A$29&lt;&gt;"",Settings!$E$29&lt;&gt;"No"),Settings!$F$29="Yes",NOT(AND('Month-End'!$EW$17&lt;&gt;"",NOT(_xlfn.ISFORMULA('Month-End'!$EW$17))))),1,0)</f>
        <v/>
      </c>
      <c r="CX156">
        <f>IF(AND($E156&lt;&gt;"pre",AND(Settings!$A$30&lt;&gt;"",Settings!$E$30&lt;&gt;"No"),Settings!$F$30="Yes",NOT(AND('Month-End'!$EW$18&lt;&gt;"",NOT(_xlfn.ISFORMULA('Month-End'!$EW$18))))),1,0)</f>
        <v/>
      </c>
      <c r="CY156">
        <f>IF(AND($E156&lt;&gt;"pre",AND(Settings!$A$31&lt;&gt;"",Settings!$E$31&lt;&gt;"No"),Settings!$F$31="Yes",NOT(AND('Month-End'!$EW$19&lt;&gt;"",NOT(_xlfn.ISFORMULA('Month-End'!$EW$19))))),1,0)</f>
        <v/>
      </c>
      <c r="CZ156">
        <f>IF(AND($E156&lt;&gt;"pre",AND(Settings!$A$32&lt;&gt;"",Settings!$E$32&lt;&gt;"No"),Settings!$F$32="Yes",NOT(AND('Month-End'!$EW$20&lt;&gt;"",NOT(_xlfn.ISFORMULA('Month-End'!$EW$20))))),1,0)</f>
        <v/>
      </c>
      <c r="DA156">
        <f>IF($DT156=1,IF(OR(Settings!$B$19="Checking",Settings!$B$19="Savings",Settings!$B$19="Cash"),N($AE156),IF(OR(Settings!$B$19="Card",Settings!$B$19="Loan"),-N($AE156),0))+IF(OR(Settings!$B$20="Checking",Settings!$B$20="Savings",Settings!$B$20="Cash"),N($AF156),IF(OR(Settings!$B$20="Card",Settings!$B$20="Loan"),-N($AF156),0))+IF(OR(Settings!$B$21="Checking",Settings!$B$21="Savings",Settings!$B$21="Cash"),N($AG156),IF(OR(Settings!$B$21="Card",Settings!$B$21="Loan"),-N($AG156),0))+IF(OR(Settings!$B$22="Checking",Settings!$B$22="Savings",Settings!$B$22="Cash"),N($AH156),IF(OR(Settings!$B$22="Card",Settings!$B$22="Loan"),-N($AH156),0))+IF(OR(Settings!$B$23="Checking",Settings!$B$23="Savings",Settings!$B$23="Cash"),N($AI156),IF(OR(Settings!$B$23="Card",Settings!$B$23="Loan"),-N($AI156),0))+IF(OR(Settings!$B$24="Checking",Settings!$B$24="Savings",Settings!$B$24="Cash"),N($AJ156),IF(OR(Settings!$B$24="Card",Settings!$B$24="Loan"),-N($AJ156),0))+IF(OR(Settings!$B$25="Checking",Settings!$B$25="Savings",Settings!$B$25="Cash"),N($AK156),IF(OR(Settings!$B$25="Card",Settings!$B$25="Loan"),-N($AK156),0))+IF(OR(Settings!$B$26="Checking",Settings!$B$26="Savings",Settings!$B$26="Cash"),N($AL156),IF(OR(Settings!$B$26="Card",Settings!$B$26="Loan"),-N($AL156),0))+IF(OR(Settings!$B$27="Checking",Settings!$B$27="Savings",Settings!$B$27="Cash"),N($AM156),IF(OR(Settings!$B$27="Card",Settings!$B$27="Loan"),-N($AM156),0))+IF(OR(Settings!$B$28="Checking",Settings!$B$28="Savings",Settings!$B$28="Cash"),N($AN156),IF(OR(Settings!$B$28="Card",Settings!$B$28="Loan"),-N($AN156),0))+IF(OR(Settings!$B$29="Checking",Settings!$B$29="Savings",Settings!$B$29="Cash"),N($AO156),IF(OR(Settings!$B$29="Card",Settings!$B$29="Loan"),-N($AO156),0))+IF(OR(Settings!$B$30="Checking",Settings!$B$30="Savings",Settings!$B$30="Cash"),N($AP156),IF(OR(Settings!$B$30="Card",Settings!$B$30="Loan"),-N($AP156),0))+IF(OR(Settings!$B$31="Checking",Settings!$B$31="Savings",Settings!$B$31="Cash"),N($AQ156),IF(OR(Settings!$B$31="Card",Settings!$B$31="Loan"),-N($AQ156),0))+IF(OR(Settings!$B$32="Checking",Settings!$B$32="Savings",Settings!$B$32="Cash"),N($AR156),IF(OR(Settings!$B$32="Card",Settings!$B$32="Loan"),-N($AR156),0)),"")</f>
        <v/>
      </c>
      <c r="DB156">
        <f>IF($E156="open",$EB$27,IF($E156="post",IF($E155="pre",$EB$27,$DA155),""))</f>
        <v/>
      </c>
      <c r="DC156">
        <f>IF($E156="open",1,IF($E156="post",IF($E155="pre",1,$DT155),0))</f>
        <v/>
      </c>
      <c r="DD156">
        <f>IF(AND($DT156=1,$DC156=1),ROUND($W156-($DA156-$DB156)-$AD156-$AB156,2),"")</f>
        <v/>
      </c>
      <c r="DE156">
        <f>IF('Month-End'!$EW$35="",$BQ156,N('Month-End'!$EW$35))</f>
        <v/>
      </c>
      <c r="DF156">
        <f>N('Month-End'!$EW$36)</f>
        <v/>
      </c>
      <c r="DG156">
        <f>IF($DD156="","",$DD156+$DE156)</f>
        <v/>
      </c>
      <c r="DH156">
        <f>IF($DG156="","",$DG156-$DF156)</f>
        <v/>
      </c>
      <c r="DI156">
        <f>IF(OR($E156="pre",$D156=1),"",N($AS156)+N($AT156)+N($AU156)+N($AV156)+N($AW156)+N($AX156))</f>
        <v/>
      </c>
      <c r="DJ156">
        <f>IF($DT156=1,$DA156+N($DI156),"")</f>
        <v/>
      </c>
      <c r="DK156">
        <f>IF($DD156="","",$W156-$DD156-$AB156)</f>
        <v/>
      </c>
      <c r="DL156">
        <f>IF(AND($E156="post",$DD156&lt;&gt;"",$B156&lt;TODAY()),1,0)</f>
        <v/>
      </c>
      <c r="DM156">
        <f>IF($DL156=1,COUNTIF($DL156:$DL$183,1),0)</f>
        <v/>
      </c>
      <c r="DN156">
        <f>IF($D156=1,"",IF($E156="pre","History only",IF($DT156=1,IF($DD156="","⚠ Previous month missing",IF($DD156&lt;0,"⚠ Check: spending &lt; 0",IF($E156="open","✓ Done (partial)","✓ Done"))),IF($B156&gt;=TODAY(),"In progress","⚠ Needs balances"))))</f>
        <v/>
      </c>
      <c r="DO156">
        <f>YEAR($A156)</f>
        <v/>
      </c>
      <c r="DP156">
        <f>DATE(YEAR($A156),INT((MONTH($A156)-1)/3)*3+1,1)</f>
        <v/>
      </c>
      <c r="DQ156">
        <f>IF(AND($DT156=1,$DD156&lt;&gt;"",$D156=0),ROW(),0)</f>
        <v/>
      </c>
      <c r="DR156">
        <f>IF(AND($E156&lt;&gt;"pre",$B156&lt;TODAY(),$DT156=0),1,0)</f>
        <v/>
      </c>
      <c r="DS156">
        <f>IF($DJ156="",NA(),$DJ156)</f>
        <v/>
      </c>
      <c r="DT156">
        <f>IF(AND($E156&lt;&gt;"pre",$CL156=0,COUNTIFS(Settings!$F$19:$F$32,"Yes",Settings!$A$19:$A$32,"&lt;&gt;",Settings!$E$19:$E$32,"&lt;&gt;No")&gt;0),1,0)</f>
        <v/>
      </c>
      <c r="DU156">
        <f>IF(AND($B156&lt;TODAY(),$S156&gt;0),1,0)</f>
        <v/>
      </c>
      <c r="DV156">
        <f>IF($DU156=1,COUNTIF($DU156:$DU$183,1),0)</f>
        <v/>
      </c>
      <c r="DW156">
        <f>IF(AND(OR(Settings!$B$19="Card",Settings!$B$19="Loan"),AND('Month-End'!$EW$7&lt;&gt;"",NOT(_xlfn.ISFORMULA('Month-End'!$EW$7)))),IF(N('Month-End'!$EW$7)&lt;0,1,0),0)+IF(AND(OR(Settings!$B$20="Card",Settings!$B$20="Loan"),AND('Month-End'!$EW$8&lt;&gt;"",NOT(_xlfn.ISFORMULA('Month-End'!$EW$8)))),IF(N('Month-End'!$EW$8)&lt;0,1,0),0)+IF(AND(OR(Settings!$B$21="Card",Settings!$B$21="Loan"),AND('Month-End'!$EW$9&lt;&gt;"",NOT(_xlfn.ISFORMULA('Month-End'!$EW$9)))),IF(N('Month-End'!$EW$9)&lt;0,1,0),0)+IF(AND(OR(Settings!$B$22="Card",Settings!$B$22="Loan"),AND('Month-End'!$EW$10&lt;&gt;"",NOT(_xlfn.ISFORMULA('Month-End'!$EW$10)))),IF(N('Month-End'!$EW$10)&lt;0,1,0),0)+IF(AND(OR(Settings!$B$23="Card",Settings!$B$23="Loan"),AND('Month-End'!$EW$11&lt;&gt;"",NOT(_xlfn.ISFORMULA('Month-End'!$EW$11)))),IF(N('Month-End'!$EW$11)&lt;0,1,0),0)+IF(AND(OR(Settings!$B$24="Card",Settings!$B$24="Loan"),AND('Month-End'!$EW$12&lt;&gt;"",NOT(_xlfn.ISFORMULA('Month-End'!$EW$12)))),IF(N('Month-End'!$EW$12)&lt;0,1,0),0)+IF(AND(OR(Settings!$B$25="Card",Settings!$B$25="Loan"),AND('Month-End'!$EW$13&lt;&gt;"",NOT(_xlfn.ISFORMULA('Month-End'!$EW$13)))),IF(N('Month-End'!$EW$13)&lt;0,1,0),0)+IF(AND(OR(Settings!$B$26="Card",Settings!$B$26="Loan"),AND('Month-End'!$EW$14&lt;&gt;"",NOT(_xlfn.ISFORMULA('Month-End'!$EW$14)))),IF(N('Month-End'!$EW$14)&lt;0,1,0),0)+IF(AND(OR(Settings!$B$27="Card",Settings!$B$27="Loan"),AND('Month-End'!$EW$15&lt;&gt;"",NOT(_xlfn.ISFORMULA('Month-End'!$EW$15)))),IF(N('Month-End'!$EW$15)&lt;0,1,0),0)+IF(AND(OR(Settings!$B$28="Card",Settings!$B$28="Loan"),AND('Month-End'!$EW$16&lt;&gt;"",NOT(_xlfn.ISFORMULA('Month-End'!$EW$16)))),IF(N('Month-End'!$EW$16)&lt;0,1,0),0)+IF(AND(OR(Settings!$B$29="Card",Settings!$B$29="Loan"),AND('Month-End'!$EW$17&lt;&gt;"",NOT(_xlfn.ISFORMULA('Month-End'!$EW$17)))),IF(N('Month-End'!$EW$17)&lt;0,1,0),0)+IF(AND(OR(Settings!$B$30="Card",Settings!$B$30="Loan"),AND('Month-End'!$EW$18&lt;&gt;"",NOT(_xlfn.ISFORMULA('Month-End'!$EW$18)))),IF(N('Month-End'!$EW$18)&lt;0,1,0),0)+IF(AND(OR(Settings!$B$31="Card",Settings!$B$31="Loan"),AND('Month-End'!$EW$19&lt;&gt;"",NOT(_xlfn.ISFORMULA('Month-End'!$EW$19)))),IF(N('Month-End'!$EW$19)&lt;0,1,0),0)+IF(AND(OR(Settings!$B$32="Card",Settings!$B$32="Loan"),AND('Month-End'!$EW$20&lt;&gt;"",NOT(_xlfn.ISFORMULA('Month-End'!$EW$20)))),IF(N('Month-End'!$EW$20)&lt;0,1,0),0)</f>
        <v/>
      </c>
      <c r="DX156">
        <f>IF(Settings!$B$36="Retirement",$AY156,0)+IF(Settings!$B$37="Retirement",$AZ156,0)+IF(Settings!$B$38="Retirement",$BA156,0)+IF(Settings!$B$39="Retirement",$BB156,0)+IF(Settings!$B$40="Retirement",$BC156,0)+IF(Settings!$B$41="Retirement",$BD156,0)</f>
        <v/>
      </c>
      <c r="ET156">
        <f>IF($E156&lt;&gt;"open",0,IF(AND('Month-End'!$EW$22&lt;&gt;"",NOT(_xlfn.ISFORMULA('Month-End'!$EW$22))),0,IF(OR(Settings!$C$45="",Settings!$D$45=""),0,Settings!$C$45*IF(Settings!$D$45="Weekly",IF(IFERROR(MATCH(Settings!$E$45,$EO$4:$EO$10,0),0)=0,0,IF(MIN(Settings!$B$5,IF(Settings!$G$45="",Settings!$B$5,Settings!$G$45))&lt;MAX($A156,Settings!$F$45),0,INT((MIN(Settings!$B$5,IF(Settings!$G$45="",Settings!$B$5,Settings!$G$45))-MAX($A156,Settings!$F$45)-MOD(IFERROR(MATCH(Settings!$E$45,$EO$4:$EO$10,0),0)-WEEKDAY(MAX($A156,Settings!$F$45)),7))/7)+1)),IF(AND(IF(Settings!$E$45="",$B156,DATE(YEAR($A156),MONTH($A156),MIN(Settings!$E$45,DAY($B156))))&gt;=MAX($A156,Settings!$F$45),IF(Settings!$E$45="",$B156,DATE(YEAR($A156),MONTH($A156),MIN(Settings!$E$45,DAY($B156))))&lt;=MIN(Settings!$B$5,IF(Settings!$G$45="",Settings!$B$5,Settings!$G$45))),1,0)))))</f>
        <v/>
      </c>
      <c r="EU156">
        <f>IF($E156&lt;&gt;"open",0,IF(AND('Month-End'!$EW$23&lt;&gt;"",NOT(_xlfn.ISFORMULA('Month-End'!$EW$23))),0,IF(OR(Settings!$C$46="",Settings!$D$46=""),0,Settings!$C$46*IF(Settings!$D$46="Weekly",IF(IFERROR(MATCH(Settings!$E$46,$EO$4:$EO$10,0),0)=0,0,IF(MIN(Settings!$B$5,IF(Settings!$G$46="",Settings!$B$5,Settings!$G$46))&lt;MAX($A156,Settings!$F$46),0,INT((MIN(Settings!$B$5,IF(Settings!$G$46="",Settings!$B$5,Settings!$G$46))-MAX($A156,Settings!$F$46)-MOD(IFERROR(MATCH(Settings!$E$46,$EO$4:$EO$10,0),0)-WEEKDAY(MAX($A156,Settings!$F$46)),7))/7)+1)),IF(AND(IF(Settings!$E$46="",$B156,DATE(YEAR($A156),MONTH($A156),MIN(Settings!$E$46,DAY($B156))))&gt;=MAX($A156,Settings!$F$46),IF(Settings!$E$46="",$B156,DATE(YEAR($A156),MONTH($A156),MIN(Settings!$E$46,DAY($B156))))&lt;=MIN(Settings!$B$5,IF(Settings!$G$46="",Settings!$B$5,Settings!$G$46))),1,0)))))</f>
        <v/>
      </c>
      <c r="EV156">
        <f>IF($E156&lt;&gt;"open",0,IF(AND('Month-End'!$EW$24&lt;&gt;"",NOT(_xlfn.ISFORMULA('Month-End'!$EW$24))),0,IF(OR(Settings!$C$47="",Settings!$D$47=""),0,Settings!$C$47*IF(Settings!$D$47="Weekly",IF(IFERROR(MATCH(Settings!$E$47,$EO$4:$EO$10,0),0)=0,0,IF(MIN(Settings!$B$5,IF(Settings!$G$47="",Settings!$B$5,Settings!$G$47))&lt;MAX($A156,Settings!$F$47),0,INT((MIN(Settings!$B$5,IF(Settings!$G$47="",Settings!$B$5,Settings!$G$47))-MAX($A156,Settings!$F$47)-MOD(IFERROR(MATCH(Settings!$E$47,$EO$4:$EO$10,0),0)-WEEKDAY(MAX($A156,Settings!$F$47)),7))/7)+1)),IF(AND(IF(Settings!$E$47="",$B156,DATE(YEAR($A156),MONTH($A156),MIN(Settings!$E$47,DAY($B156))))&gt;=MAX($A156,Settings!$F$47),IF(Settings!$E$47="",$B156,DATE(YEAR($A156),MONTH($A156),MIN(Settings!$E$47,DAY($B156))))&lt;=MIN(Settings!$B$5,IF(Settings!$G$47="",Settings!$B$5,Settings!$G$47))),1,0)))))</f>
        <v/>
      </c>
      <c r="EW156">
        <f>IF($E156&lt;&gt;"open",0,IF(AND('Month-End'!$EW$25&lt;&gt;"",NOT(_xlfn.ISFORMULA('Month-End'!$EW$25))),0,IF(OR(Settings!$C$48="",Settings!$D$48=""),0,Settings!$C$48*IF(Settings!$D$48="Weekly",IF(IFERROR(MATCH(Settings!$E$48,$EO$4:$EO$10,0),0)=0,0,IF(MIN(Settings!$B$5,IF(Settings!$G$48="",Settings!$B$5,Settings!$G$48))&lt;MAX($A156,Settings!$F$48),0,INT((MIN(Settings!$B$5,IF(Settings!$G$48="",Settings!$B$5,Settings!$G$48))-MAX($A156,Settings!$F$48)-MOD(IFERROR(MATCH(Settings!$E$48,$EO$4:$EO$10,0),0)-WEEKDAY(MAX($A156,Settings!$F$48)),7))/7)+1)),IF(AND(IF(Settings!$E$48="",$B156,DATE(YEAR($A156),MONTH($A156),MIN(Settings!$E$48,DAY($B156))))&gt;=MAX($A156,Settings!$F$48),IF(Settings!$E$48="",$B156,DATE(YEAR($A156),MONTH($A156),MIN(Settings!$E$48,DAY($B156))))&lt;=MIN(Settings!$B$5,IF(Settings!$G$48="",Settings!$B$5,Settings!$G$48))),1,0)))))</f>
        <v/>
      </c>
      <c r="EX156">
        <f>IF($E156&lt;&gt;"open",0,IF(AND('Month-End'!$EW$26&lt;&gt;"",NOT(_xlfn.ISFORMULA('Month-End'!$EW$26))),0,IF(OR(Settings!$C$49="",Settings!$D$49=""),0,Settings!$C$49*IF(Settings!$D$49="Weekly",IF(IFERROR(MATCH(Settings!$E$49,$EO$4:$EO$10,0),0)=0,0,IF(MIN(Settings!$B$5,IF(Settings!$G$49="",Settings!$B$5,Settings!$G$49))&lt;MAX($A156,Settings!$F$49),0,INT((MIN(Settings!$B$5,IF(Settings!$G$49="",Settings!$B$5,Settings!$G$49))-MAX($A156,Settings!$F$49)-MOD(IFERROR(MATCH(Settings!$E$49,$EO$4:$EO$10,0),0)-WEEKDAY(MAX($A156,Settings!$F$49)),7))/7)+1)),IF(AND(IF(Settings!$E$49="",$B156,DATE(YEAR($A156),MONTH($A156),MIN(Settings!$E$49,DAY($B156))))&gt;=MAX($A156,Settings!$F$49),IF(Settings!$E$49="",$B156,DATE(YEAR($A156),MONTH($A156),MIN(Settings!$E$49,DAY($B156))))&lt;=MIN(Settings!$B$5,IF(Settings!$G$49="",Settings!$B$5,Settings!$G$49))),1,0)))))</f>
        <v/>
      </c>
      <c r="EY156">
        <f>IF($E156&lt;&gt;"open",0,IF(AND('Month-End'!$EW$27&lt;&gt;"",NOT(_xlfn.ISFORMULA('Month-End'!$EW$27))),0,IF(OR(Settings!$C$50="",Settings!$D$50=""),0,Settings!$C$50*IF(Settings!$D$50="Weekly",IF(IFERROR(MATCH(Settings!$E$50,$EO$4:$EO$10,0),0)=0,0,IF(MIN(Settings!$B$5,IF(Settings!$G$50="",Settings!$B$5,Settings!$G$50))&lt;MAX($A156,Settings!$F$50),0,INT((MIN(Settings!$B$5,IF(Settings!$G$50="",Settings!$B$5,Settings!$G$50))-MAX($A156,Settings!$F$50)-MOD(IFERROR(MATCH(Settings!$E$50,$EO$4:$EO$10,0),0)-WEEKDAY(MAX($A156,Settings!$F$50)),7))/7)+1)),IF(AND(IF(Settings!$E$50="",$B156,DATE(YEAR($A156),MONTH($A156),MIN(Settings!$E$50,DAY($B156))))&gt;=MAX($A156,Settings!$F$50),IF(Settings!$E$50="",$B156,DATE(YEAR($A156),MONTH($A156),MIN(Settings!$E$50,DAY($B156))))&lt;=MIN(Settings!$B$5,IF(Settings!$G$50="",Settings!$B$5,Settings!$G$50))),1,0)))))</f>
        <v/>
      </c>
      <c r="EZ156">
        <f>IF($E156&lt;&gt;"open",0,IF(AND('Month-End'!$EW$28&lt;&gt;"",NOT(_xlfn.ISFORMULA('Month-End'!$EW$28))),0,IF(OR(Settings!$C$51="",Settings!$D$51=""),0,Settings!$C$51*IF(Settings!$D$51="Weekly",IF(IFERROR(MATCH(Settings!$E$51,$EO$4:$EO$10,0),0)=0,0,IF(MIN(Settings!$B$5,IF(Settings!$G$51="",Settings!$B$5,Settings!$G$51))&lt;MAX($A156,Settings!$F$51),0,INT((MIN(Settings!$B$5,IF(Settings!$G$51="",Settings!$B$5,Settings!$G$51))-MAX($A156,Settings!$F$51)-MOD(IFERROR(MATCH(Settings!$E$51,$EO$4:$EO$10,0),0)-WEEKDAY(MAX($A156,Settings!$F$51)),7))/7)+1)),IF(AND(IF(Settings!$E$51="",$B156,DATE(YEAR($A156),MONTH($A156),MIN(Settings!$E$51,DAY($B156))))&gt;=MAX($A156,Settings!$F$51),IF(Settings!$E$51="",$B156,DATE(YEAR($A156),MONTH($A156),MIN(Settings!$E$51,DAY($B156))))&lt;=MIN(Settings!$B$5,IF(Settings!$G$51="",Settings!$B$5,Settings!$G$51))),1,0)))))</f>
        <v/>
      </c>
      <c r="FA156">
        <f>IF($E156&lt;&gt;"open",0,IF(AND('Month-End'!$EW$29&lt;&gt;"",NOT(_xlfn.ISFORMULA('Month-End'!$EW$29))),0,IF(OR(Settings!$C$52="",Settings!$D$52=""),0,Settings!$C$52*IF(Settings!$D$52="Weekly",IF(IFERROR(MATCH(Settings!$E$52,$EO$4:$EO$10,0),0)=0,0,IF(MIN(Settings!$B$5,IF(Settings!$G$52="",Settings!$B$5,Settings!$G$52))&lt;MAX($A156,Settings!$F$52),0,INT((MIN(Settings!$B$5,IF(Settings!$G$52="",Settings!$B$5,Settings!$G$52))-MAX($A156,Settings!$F$52)-MOD(IFERROR(MATCH(Settings!$E$52,$EO$4:$EO$10,0),0)-WEEKDAY(MAX($A156,Settings!$F$52)),7))/7)+1)),IF(AND(IF(Settings!$E$52="",$B156,DATE(YEAR($A156),MONTH($A156),MIN(Settings!$E$52,DAY($B156))))&gt;=MAX($A156,Settings!$F$52),IF(Settings!$E$52="",$B156,DATE(YEAR($A156),MONTH($A156),MIN(Settings!$E$52,DAY($B156))))&lt;=MIN(Settings!$B$5,IF(Settings!$G$52="",Settings!$B$5,Settings!$G$52))),1,0)))))</f>
        <v/>
      </c>
      <c r="FB156">
        <f>IF($E156&lt;&gt;"open",0,IF(AND('Month-End'!$EW$30&lt;&gt;"",NOT(_xlfn.ISFORMULA('Month-End'!$EW$30))),0,IF(OR(Settings!$C$53="",Settings!$D$53=""),0,Settings!$C$53*IF(Settings!$D$53="Weekly",IF(IFERROR(MATCH(Settings!$E$53,$EO$4:$EO$10,0),0)=0,0,IF(MIN(Settings!$B$5,IF(Settings!$G$53="",Settings!$B$5,Settings!$G$53))&lt;MAX($A156,Settings!$F$53),0,INT((MIN(Settings!$B$5,IF(Settings!$G$53="",Settings!$B$5,Settings!$G$53))-MAX($A156,Settings!$F$53)-MOD(IFERROR(MATCH(Settings!$E$53,$EO$4:$EO$10,0),0)-WEEKDAY(MAX($A156,Settings!$F$53)),7))/7)+1)),IF(AND(IF(Settings!$E$53="",$B156,DATE(YEAR($A156),MONTH($A156),MIN(Settings!$E$53,DAY($B156))))&gt;=MAX($A156,Settings!$F$53),IF(Settings!$E$53="",$B156,DATE(YEAR($A156),MONTH($A156),MIN(Settings!$E$53,DAY($B156))))&lt;=MIN(Settings!$B$5,IF(Settings!$G$53="",Settings!$B$5,Settings!$G$53))),1,0)))))</f>
        <v/>
      </c>
      <c r="FC156">
        <f>IF($E156&lt;&gt;"open",0,IF(AND('Month-End'!$EW$31&lt;&gt;"",NOT(_xlfn.ISFORMULA('Month-End'!$EW$31))),0,IF(OR(Settings!$C$54="",Settings!$D$54=""),0,Settings!$C$54*IF(Settings!$D$54="Weekly",IF(IFERROR(MATCH(Settings!$E$54,$EO$4:$EO$10,0),0)=0,0,IF(MIN(Settings!$B$5,IF(Settings!$G$54="",Settings!$B$5,Settings!$G$54))&lt;MAX($A156,Settings!$F$54),0,INT((MIN(Settings!$B$5,IF(Settings!$G$54="",Settings!$B$5,Settings!$G$54))-MAX($A156,Settings!$F$54)-MOD(IFERROR(MATCH(Settings!$E$54,$EO$4:$EO$10,0),0)-WEEKDAY(MAX($A156,Settings!$F$54)),7))/7)+1)),IF(AND(IF(Settings!$E$54="",$B156,DATE(YEAR($A156),MONTH($A156),MIN(Settings!$E$54,DAY($B156))))&gt;=MAX($A156,Settings!$F$54),IF(Settings!$E$54="",$B156,DATE(YEAR($A156),MONTH($A156),MIN(Settings!$E$54,DAY($B156))))&lt;=MIN(Settings!$B$5,IF(Settings!$G$54="",Settings!$B$5,Settings!$G$54))),1,0)))))</f>
        <v/>
      </c>
      <c r="FD156">
        <f>IF($E156&lt;&gt;"open",0,IF(AND('Month-End'!$EW$32&lt;&gt;"",NOT(_xlfn.ISFORMULA('Month-End'!$EW$32))),0,IF(OR(Settings!$C$55="",Settings!$D$55=""),0,Settings!$C$55*IF(Settings!$D$55="Weekly",IF(IFERROR(MATCH(Settings!$E$55,$EO$4:$EO$10,0),0)=0,0,IF(MIN(Settings!$B$5,IF(Settings!$G$55="",Settings!$B$5,Settings!$G$55))&lt;MAX($A156,Settings!$F$55),0,INT((MIN(Settings!$B$5,IF(Settings!$G$55="",Settings!$B$5,Settings!$G$55))-MAX($A156,Settings!$F$55)-MOD(IFERROR(MATCH(Settings!$E$55,$EO$4:$EO$10,0),0)-WEEKDAY(MAX($A156,Settings!$F$55)),7))/7)+1)),IF(AND(IF(Settings!$E$55="",$B156,DATE(YEAR($A156),MONTH($A156),MIN(Settings!$E$55,DAY($B156))))&gt;=MAX($A156,Settings!$F$55),IF(Settings!$E$55="",$B156,DATE(YEAR($A156),MONTH($A156),MIN(Settings!$E$55,DAY($B156))))&lt;=MIN(Settings!$B$5,IF(Settings!$G$55="",Settings!$B$5,Settings!$G$55))),1,0)))))</f>
        <v/>
      </c>
      <c r="FE156">
        <f>IF($E156&lt;&gt;"open",0,IF(AND('Month-End'!$EW$33&lt;&gt;"",NOT(_xlfn.ISFORMULA('Month-End'!$EW$33))),0,IF(OR(Settings!$C$56="",Settings!$D$56=""),0,Settings!$C$56*IF(Settings!$D$56="Weekly",IF(IFERROR(MATCH(Settings!$E$56,$EO$4:$EO$10,0),0)=0,0,IF(MIN(Settings!$B$5,IF(Settings!$G$56="",Settings!$B$5,Settings!$G$56))&lt;MAX($A156,Settings!$F$56),0,INT((MIN(Settings!$B$5,IF(Settings!$G$56="",Settings!$B$5,Settings!$G$56))-MAX($A156,Settings!$F$56)-MOD(IFERROR(MATCH(Settings!$E$56,$EO$4:$EO$10,0),0)-WEEKDAY(MAX($A156,Settings!$F$56)),7))/7)+1)),IF(AND(IF(Settings!$E$56="",$B156,DATE(YEAR($A156),MONTH($A156),MIN(Settings!$E$56,DAY($B156))))&gt;=MAX($A156,Settings!$F$56),IF(Settings!$E$56="",$B156,DATE(YEAR($A156),MONTH($A156),MIN(Settings!$E$56,DAY($B156))))&lt;=MIN(Settings!$B$5,IF(Settings!$G$56="",Settings!$B$5,Settings!$G$56))),1,0)))))</f>
        <v/>
      </c>
      <c r="FF156">
        <f>IF(Settings!$I$45="Yes",$G156,0)+IF(Settings!$I$46="Yes",$H156,0)+IF(Settings!$I$47="Yes",$I156,0)+IF(Settings!$I$48="Yes",$J156,0)+IF(Settings!$I$49="Yes",$K156,0)+IF(Settings!$I$50="Yes",$L156,0)+IF(Settings!$I$51="Yes",$M156,0)+IF(Settings!$I$52="Yes",$N156,0)+IF(Settings!$I$53="Yes",$O156,0)+IF(Settings!$I$54="Yes",$P156,0)+IF(Settings!$I$55="Yes",$Q156,0)+IF(Settings!$I$56="Yes",$R156,0)</f>
        <v/>
      </c>
      <c r="FG156">
        <f>IF(AND(Settings!$I$45="Yes",Settings!$J$45="No"),$G156,0)+IF(AND(Settings!$I$46="Yes",Settings!$J$46="No"),$H156,0)+IF(AND(Settings!$I$47="Yes",Settings!$J$47="No"),$I156,0)+IF(AND(Settings!$I$48="Yes",Settings!$J$48="No"),$J156,0)+IF(AND(Settings!$I$49="Yes",Settings!$J$49="No"),$K156,0)+IF(AND(Settings!$I$50="Yes",Settings!$J$50="No"),$L156,0)+IF(AND(Settings!$I$51="Yes",Settings!$J$51="No"),$M156,0)+IF(AND(Settings!$I$52="Yes",Settings!$J$52="No"),$N156,0)+IF(AND(Settings!$I$53="Yes",Settings!$J$53="No"),$O156,0)+IF(AND(Settings!$I$54="Yes",Settings!$J$54="No"),$P156,0)+IF(AND(Settings!$I$55="Yes",Settings!$J$55="No"),$Q156,0)+IF(AND(Settings!$I$56="Yes",Settings!$J$56="No"),$R156,0)</f>
        <v/>
      </c>
      <c r="FH156">
        <f>SUMIFS(Giving!$B$7:$B$2006,Giving!$A$7:$A$2006,"&gt;="&amp;$A156,Giving!$A$7:$A$2006,"&lt;="&amp;$B156,Giving!$G$7:$G$2006,"Yes")+IF(OR(OR(Settings!$B$60="",Settings!$F$60="No"),Settings!$H$60&lt;&gt;"Yes"),0,Settings!$B$60*IF(AND(IF(Settings!$C$60="",$B156,DATE(YEAR($A156),MONTH($A156),MIN(Settings!$C$60,DAY($B156))))&gt;=MAX($A156,Settings!$D$60),IF(Settings!$C$60="",$B156,DATE(YEAR($A156),MONTH($A156),MIN(Settings!$C$60,DAY($B156))))&lt;=MIN($C156,IF(Settings!$E$60="",$C156,Settings!$E$60))),1,0))+IF(OR(OR(Settings!$B$61="",Settings!$F$61="No"),Settings!$H$61&lt;&gt;"Yes"),0,Settings!$B$61*IF(AND(IF(Settings!$C$61="",$B156,DATE(YEAR($A156),MONTH($A156),MIN(Settings!$C$61,DAY($B156))))&gt;=MAX($A156,Settings!$D$61),IF(Settings!$C$61="",$B156,DATE(YEAR($A156),MONTH($A156),MIN(Settings!$C$61,DAY($B156))))&lt;=MIN($C156,IF(Settings!$E$61="",$C156,Settings!$E$61))),1,0))+IF(OR(OR(Settings!$B$62="",Settings!$F$62="No"),Settings!$H$62&lt;&gt;"Yes"),0,Settings!$B$62*IF(AND(IF(Settings!$C$62="",$B156,DATE(YEAR($A156),MONTH($A156),MIN(Settings!$C$62,DAY($B156))))&gt;=MAX($A156,Settings!$D$62),IF(Settings!$C$62="",$B156,DATE(YEAR($A156),MONTH($A156),MIN(Settings!$C$62,DAY($B156))))&lt;=MIN($C156,IF(Settings!$E$62="",$C156,Settings!$E$62))),1,0))+IF(OR(OR(Settings!$B$63="",Settings!$F$63="No"),Settings!$H$63&lt;&gt;"Yes"),0,Settings!$B$63*IF(AND(IF(Settings!$C$63="",$B156,DATE(YEAR($A156),MONTH($A156),MIN(Settings!$C$63,DAY($B156))))&gt;=MAX($A156,Settings!$D$63),IF(Settings!$C$63="",$B156,DATE(YEAR($A156),MONTH($A156),MIN(Settings!$C$63,DAY($B156))))&lt;=MIN($C156,IF(Settings!$E$63="",$C156,Settings!$E$63))),1,0))+IF(OR(OR(Settings!$B$64="",Settings!$F$64="No"),Settings!$H$64&lt;&gt;"Yes"),0,Settings!$B$64*IF(AND(IF(Settings!$C$64="",$B156,DATE(YEAR($A156),MONTH($A156),MIN(Settings!$C$64,DAY($B156))))&gt;=MAX($A156,Settings!$D$64),IF(Settings!$C$64="",$B156,DATE(YEAR($A156),MONTH($A156),MIN(Settings!$C$64,DAY($B156))))&lt;=MIN($C156,IF(Settings!$E$64="",$C156,Settings!$E$64))),1,0))+IF(OR(OR(Settings!$B$65="",Settings!$F$65="No"),Settings!$H$65&lt;&gt;"Yes"),0,Settings!$B$65*IF(AND(IF(Settings!$C$65="",$B156,DATE(YEAR($A156),MONTH($A156),MIN(Settings!$C$65,DAY($B156))))&gt;=MAX($A156,Settings!$D$65),IF(Settings!$C$65="",$B156,DATE(YEAR($A156),MONTH($A156),MIN(Settings!$C$65,DAY($B156))))&lt;=MIN($C156,IF(Settings!$E$65="",$C156,Settings!$E$65))),1,0))</f>
        <v/>
      </c>
      <c r="FI156">
        <f>IF($DT156=1,IF(OR(Settings!$B$19="Card",Settings!$B$19="Loan"),N($AE156),0)+IF(OR(Settings!$B$20="Card",Settings!$B$20="Loan"),N($AF156),0)+IF(OR(Settings!$B$21="Card",Settings!$B$21="Loan"),N($AG156),0)+IF(OR(Settings!$B$22="Card",Settings!$B$22="Loan"),N($AH156),0)+IF(OR(Settings!$B$23="Card",Settings!$B$23="Loan"),N($AI156),0)+IF(OR(Settings!$B$24="Card",Settings!$B$24="Loan"),N($AJ156),0)+IF(OR(Settings!$B$25="Card",Settings!$B$25="Loan"),N($AK156),0)+IF(OR(Settings!$B$26="Card",Settings!$B$26="Loan"),N($AL156),0)+IF(OR(Settings!$B$27="Card",Settings!$B$27="Loan"),N($AM156),0)+IF(OR(Settings!$B$28="Card",Settings!$B$28="Loan"),N($AN156),0)+IF(OR(Settings!$B$29="Card",Settings!$B$29="Loan"),N($AO156),0)+IF(OR(Settings!$B$30="Card",Settings!$B$30="Loan"),N($AP156),0)+IF(OR(Settings!$B$31="Card",Settings!$B$31="Loan"),N($AQ156),0)+IF(OR(Settings!$B$32="Card",Settings!$B$32="Loan"),N($AR156),0),"")</f>
        <v/>
      </c>
      <c r="FJ156">
        <f>IF($E156="open",$EB$65,IF($E156="post",IF($E155="pre",$EB$65,$FI155),""))</f>
        <v/>
      </c>
      <c r="FK156">
        <f>IF(AND($DT156=1,$DC156=1),IF(ROUND($FI156-$FJ156,2)&gt;0,1,0),0)</f>
        <v/>
      </c>
      <c r="FL156">
        <f>IF($FK156=1,$FL155+1,0)</f>
        <v/>
      </c>
    </row>
    <row r="157">
      <c r="A157">
        <f>'Month-End'!$EX$4</f>
        <v/>
      </c>
      <c r="B157">
        <f>EOMONTH($A157,0)</f>
        <v/>
      </c>
      <c r="C157">
        <f>MIN($B157,TODAY())</f>
        <v/>
      </c>
      <c r="D157">
        <f>IF($A157&gt;TODAY(),1,0)</f>
        <v/>
      </c>
      <c r="E157">
        <f>IF($B157&lt;=Settings!$B$5,"pre",IF($A157&lt;=Settings!$B$5,"open","post"))</f>
        <v/>
      </c>
      <c r="G157">
        <f>IF('Month-End'!$EX$22="",$BE157,N('Month-End'!$EX$22))</f>
        <v/>
      </c>
      <c r="H157">
        <f>IF('Month-End'!$EX$23="",$BF157,N('Month-End'!$EX$23))</f>
        <v/>
      </c>
      <c r="I157">
        <f>IF('Month-End'!$EX$24="",$BG157,N('Month-End'!$EX$24))</f>
        <v/>
      </c>
      <c r="J157">
        <f>IF('Month-End'!$EX$25="",$BH157,N('Month-End'!$EX$25))</f>
        <v/>
      </c>
      <c r="K157">
        <f>IF('Month-End'!$EX$26="",$BI157,N('Month-End'!$EX$26))</f>
        <v/>
      </c>
      <c r="L157">
        <f>IF('Month-End'!$EX$27="",$BJ157,N('Month-End'!$EX$27))</f>
        <v/>
      </c>
      <c r="M157">
        <f>IF('Month-End'!$EX$28="",$BK157,N('Month-End'!$EX$28))</f>
        <v/>
      </c>
      <c r="N157">
        <f>IF('Month-End'!$EX$29="",$BL157,N('Month-End'!$EX$29))</f>
        <v/>
      </c>
      <c r="O157">
        <f>IF('Month-End'!$EX$30="",$BM157,N('Month-End'!$EX$30))</f>
        <v/>
      </c>
      <c r="P157">
        <f>IF('Month-End'!$EX$31="",$BN157,N('Month-End'!$EX$31))</f>
        <v/>
      </c>
      <c r="Q157">
        <f>IF('Month-End'!$EX$32="",$BO157,N('Month-End'!$EX$32))</f>
        <v/>
      </c>
      <c r="R157">
        <f>IF('Month-End'!$EX$33="",$BP157,N('Month-End'!$EX$33))</f>
        <v/>
      </c>
      <c r="S157">
        <f>$G157+$H157+$I157+$J157+$K157+$L157+$M157+$N157+$O157+$P157+$Q157+$R157</f>
        <v/>
      </c>
      <c r="T157">
        <f>IF($B157&lt;Settings!$B$6,0,IF(Settings!$B$45="Yes",$G157,0)+IF(Settings!$B$46="Yes",$H157,0)+IF(Settings!$B$47="Yes",$I157,0)+IF(Settings!$B$48="Yes",$J157,0)+IF(Settings!$B$49="Yes",$K157,0)+IF(Settings!$B$50="Yes",$L157,0)+IF(Settings!$B$51="Yes",$M157,0)+IF(Settings!$B$52="Yes",$N157,0)+IF(Settings!$B$53="Yes",$O157,0)+IF(Settings!$B$54="Yes",$P157,0)+IF(Settings!$B$55="Yes",$Q157,0)+IF(Settings!$B$56="Yes",$R157,0))</f>
        <v/>
      </c>
      <c r="U157">
        <f>IF(Settings!$B$45="Not Sure",$G157,0)+IF(Settings!$B$46="Not Sure",$H157,0)+IF(Settings!$B$47="Not Sure",$I157,0)+IF(Settings!$B$48="Not Sure",$J157,0)+IF(Settings!$B$49="Not Sure",$K157,0)+IF(Settings!$B$50="Not Sure",$L157,0)+IF(Settings!$B$51="Not Sure",$M157,0)+IF(Settings!$B$52="Not Sure",$N157,0)+IF(Settings!$B$53="Not Sure",$O157,0)+IF(Settings!$B$54="Not Sure",$P157,0)+IF(Settings!$B$55="Not Sure",$Q157,0)+IF(Settings!$B$56="Not Sure",$R157,0)</f>
        <v/>
      </c>
      <c r="V157">
        <f>IF($E157="open",SUM($ET157:$FE157)+N(Settings!$B$13),0)</f>
        <v/>
      </c>
      <c r="W157">
        <f>IF($E157="post",$S157,IF($E157="open",$S157-$V157,0))</f>
        <v/>
      </c>
      <c r="X157">
        <f>SUMIFS(Giving!$B$7:$B$2006,Giving!$A$7:$A$2006,"&gt;="&amp;$A157,Giving!$A$7:$A$2006,"&lt;="&amp;$B157,Giving!$E$7:$E$2006,"&lt;&gt;No")</f>
        <v/>
      </c>
      <c r="Y157">
        <f>SUMIFS(Giving!$B$7:$B$2006,Giving!$A$7:$A$2006,"&gt;="&amp;$A157,Giving!$A$7:$A$2006,"&lt;="&amp;$B157,Giving!$E$7:$E$2006,"No")</f>
        <v/>
      </c>
      <c r="Z157">
        <f>IF(OR(Settings!$B$60="",Settings!$F$60="No"),0,Settings!$B$60*IF(AND(IF(Settings!$C$60="",$B157,DATE(YEAR($A157),MONTH($A157),MIN(Settings!$C$60,DAY($B157))))&gt;=MAX($A157,Settings!$D$60),IF(Settings!$C$60="",$B157,DATE(YEAR($A157),MONTH($A157),MIN(Settings!$C$60,DAY($B157))))&lt;=MIN($C157,IF(Settings!$E$60="",$C157,Settings!$E$60))),1,0))+IF(OR(Settings!$B$61="",Settings!$F$61="No"),0,Settings!$B$61*IF(AND(IF(Settings!$C$61="",$B157,DATE(YEAR($A157),MONTH($A157),MIN(Settings!$C$61,DAY($B157))))&gt;=MAX($A157,Settings!$D$61),IF(Settings!$C$61="",$B157,DATE(YEAR($A157),MONTH($A157),MIN(Settings!$C$61,DAY($B157))))&lt;=MIN($C157,IF(Settings!$E$61="",$C157,Settings!$E$61))),1,0))+IF(OR(Settings!$B$62="",Settings!$F$62="No"),0,Settings!$B$62*IF(AND(IF(Settings!$C$62="",$B157,DATE(YEAR($A157),MONTH($A157),MIN(Settings!$C$62,DAY($B157))))&gt;=MAX($A157,Settings!$D$62),IF(Settings!$C$62="",$B157,DATE(YEAR($A157),MONTH($A157),MIN(Settings!$C$62,DAY($B157))))&lt;=MIN($C157,IF(Settings!$E$62="",$C157,Settings!$E$62))),1,0))+IF(OR(Settings!$B$63="",Settings!$F$63="No"),0,Settings!$B$63*IF(AND(IF(Settings!$C$63="",$B157,DATE(YEAR($A157),MONTH($A157),MIN(Settings!$C$63,DAY($B157))))&gt;=MAX($A157,Settings!$D$63),IF(Settings!$C$63="",$B157,DATE(YEAR($A157),MONTH($A157),MIN(Settings!$C$63,DAY($B157))))&lt;=MIN($C157,IF(Settings!$E$63="",$C157,Settings!$E$63))),1,0))+IF(OR(Settings!$B$64="",Settings!$F$64="No"),0,Settings!$B$64*IF(AND(IF(Settings!$C$64="",$B157,DATE(YEAR($A157),MONTH($A157),MIN(Settings!$C$64,DAY($B157))))&gt;=MAX($A157,Settings!$D$64),IF(Settings!$C$64="",$B157,DATE(YEAR($A157),MONTH($A157),MIN(Settings!$C$64,DAY($B157))))&lt;=MIN($C157,IF(Settings!$E$64="",$C157,Settings!$E$64))),1,0))+IF(OR(Settings!$B$65="",Settings!$F$65="No"),0,Settings!$B$65*IF(AND(IF(Settings!$C$65="",$B157,DATE(YEAR($A157),MONTH($A157),MIN(Settings!$C$65,DAY($B157))))&gt;=MAX($A157,Settings!$D$65),IF(Settings!$C$65="",$B157,DATE(YEAR($A157),MONTH($A157),MIN(Settings!$C$65,DAY($B157))))&lt;=MIN($C157,IF(Settings!$E$65="",$C157,Settings!$E$65))),1,0))</f>
        <v/>
      </c>
      <c r="AA157">
        <f>$X157+$Z157</f>
        <v/>
      </c>
      <c r="AB157">
        <f>IF($E157="post",$AA157,IF($E157="open",SUMIFS(Giving!$B$7:$B$2006,Giving!$A$7:$A$2006,"&gt;"&amp;Settings!$B$5,Giving!$A$7:$A$2006,"&lt;="&amp;$B157,Giving!$E$7:$E$2006,"&lt;&gt;No")+IF(OR(Settings!$B$60="",Settings!$F$60="No"),0,Settings!$B$60*IF(AND(IF(Settings!$C$60="",$B157,DATE(YEAR($A157),MONTH($A157),MIN(Settings!$C$60,DAY($B157))))&gt;=MAX($A157,Settings!$D$60,Settings!$B$5+1),IF(Settings!$C$60="",$B157,DATE(YEAR($A157),MONTH($A157),MIN(Settings!$C$60,DAY($B157))))&lt;=MIN($C157,IF(Settings!$E$60="",$C157,Settings!$E$60))),1,0))+IF(OR(Settings!$B$61="",Settings!$F$61="No"),0,Settings!$B$61*IF(AND(IF(Settings!$C$61="",$B157,DATE(YEAR($A157),MONTH($A157),MIN(Settings!$C$61,DAY($B157))))&gt;=MAX($A157,Settings!$D$61,Settings!$B$5+1),IF(Settings!$C$61="",$B157,DATE(YEAR($A157),MONTH($A157),MIN(Settings!$C$61,DAY($B157))))&lt;=MIN($C157,IF(Settings!$E$61="",$C157,Settings!$E$61))),1,0))+IF(OR(Settings!$B$62="",Settings!$F$62="No"),0,Settings!$B$62*IF(AND(IF(Settings!$C$62="",$B157,DATE(YEAR($A157),MONTH($A157),MIN(Settings!$C$62,DAY($B157))))&gt;=MAX($A157,Settings!$D$62,Settings!$B$5+1),IF(Settings!$C$62="",$B157,DATE(YEAR($A157),MONTH($A157),MIN(Settings!$C$62,DAY($B157))))&lt;=MIN($C157,IF(Settings!$E$62="",$C157,Settings!$E$62))),1,0))+IF(OR(Settings!$B$63="",Settings!$F$63="No"),0,Settings!$B$63*IF(AND(IF(Settings!$C$63="",$B157,DATE(YEAR($A157),MONTH($A157),MIN(Settings!$C$63,DAY($B157))))&gt;=MAX($A157,Settings!$D$63,Settings!$B$5+1),IF(Settings!$C$63="",$B157,DATE(YEAR($A157),MONTH($A157),MIN(Settings!$C$63,DAY($B157))))&lt;=MIN($C157,IF(Settings!$E$63="",$C157,Settings!$E$63))),1,0))+IF(OR(Settings!$B$64="",Settings!$F$64="No"),0,Settings!$B$64*IF(AND(IF(Settings!$C$64="",$B157,DATE(YEAR($A157),MONTH($A157),MIN(Settings!$C$64,DAY($B157))))&gt;=MAX($A157,Settings!$D$64,Settings!$B$5+1),IF(Settings!$C$64="",$B157,DATE(YEAR($A157),MONTH($A157),MIN(Settings!$C$64,DAY($B157))))&lt;=MIN($C157,IF(Settings!$E$64="",$C157,Settings!$E$64))),1,0))+IF(OR(Settings!$B$65="",Settings!$F$65="No"),0,Settings!$B$65*IF(AND(IF(Settings!$C$65="",$B157,DATE(YEAR($A157),MONTH($A157),MIN(Settings!$C$65,DAY($B157))))&gt;=MAX($A157,Settings!$D$65,Settings!$B$5+1),IF(Settings!$C$65="",$B157,DATE(YEAR($A157),MONTH($A157),MIN(Settings!$C$65,DAY($B157))))&lt;=MIN($C157,IF(Settings!$E$65="",$C157,Settings!$E$65))),1,0)),0))</f>
        <v/>
      </c>
      <c r="AC157">
        <f>$AY157+$AZ157+$BA157+$BB157+$BC157+$BD157</f>
        <v/>
      </c>
      <c r="AD157">
        <f>$AC157</f>
        <v/>
      </c>
      <c r="AE157">
        <f>IF(OR(Settings!$A$19="",$E157="pre"),"",IF(AND('Month-End'!$EX$7&lt;&gt;"",NOT(_xlfn.ISFORMULA('Month-End'!$EX$7))),N('Month-End'!$EX$7),IF(OR($E157="open",$E156="pre"),N(Settings!$C$19),N($AE156))))</f>
        <v/>
      </c>
      <c r="AF157">
        <f>IF(OR(Settings!$A$20="",$E157="pre"),"",IF(AND('Month-End'!$EX$8&lt;&gt;"",NOT(_xlfn.ISFORMULA('Month-End'!$EX$8))),N('Month-End'!$EX$8),IF(OR($E157="open",$E156="pre"),N(Settings!$C$20),N($AF156))))</f>
        <v/>
      </c>
      <c r="AG157">
        <f>IF(OR(Settings!$A$21="",$E157="pre"),"",IF(AND('Month-End'!$EX$9&lt;&gt;"",NOT(_xlfn.ISFORMULA('Month-End'!$EX$9))),N('Month-End'!$EX$9),IF(OR($E157="open",$E156="pre"),N(Settings!$C$21),N($AG156))))</f>
        <v/>
      </c>
      <c r="AH157">
        <f>IF(OR(Settings!$A$22="",$E157="pre"),"",IF(AND('Month-End'!$EX$10&lt;&gt;"",NOT(_xlfn.ISFORMULA('Month-End'!$EX$10))),N('Month-End'!$EX$10),IF(OR($E157="open",$E156="pre"),N(Settings!$C$22),N($AH156))))</f>
        <v/>
      </c>
      <c r="AI157">
        <f>IF(OR(Settings!$A$23="",$E157="pre"),"",IF(AND('Month-End'!$EX$11&lt;&gt;"",NOT(_xlfn.ISFORMULA('Month-End'!$EX$11))),N('Month-End'!$EX$11),IF(OR($E157="open",$E156="pre"),N(Settings!$C$23),N($AI156))))</f>
        <v/>
      </c>
      <c r="AJ157">
        <f>IF(OR(Settings!$A$24="",$E157="pre"),"",IF(AND('Month-End'!$EX$12&lt;&gt;"",NOT(_xlfn.ISFORMULA('Month-End'!$EX$12))),N('Month-End'!$EX$12),IF(OR($E157="open",$E156="pre"),N(Settings!$C$24),N($AJ156))))</f>
        <v/>
      </c>
      <c r="AK157">
        <f>IF(OR(Settings!$A$25="",$E157="pre"),"",IF(AND('Month-End'!$EX$13&lt;&gt;"",NOT(_xlfn.ISFORMULA('Month-End'!$EX$13))),N('Month-End'!$EX$13),IF(OR($E157="open",$E156="pre"),N(Settings!$C$25),N($AK156))))</f>
        <v/>
      </c>
      <c r="AL157">
        <f>IF(OR(Settings!$A$26="",$E157="pre"),"",IF(AND('Month-End'!$EX$14&lt;&gt;"",NOT(_xlfn.ISFORMULA('Month-End'!$EX$14))),N('Month-End'!$EX$14),IF(OR($E157="open",$E156="pre"),N(Settings!$C$26),N($AL156))))</f>
        <v/>
      </c>
      <c r="AM157">
        <f>IF(OR(Settings!$A$27="",$E157="pre"),"",IF(AND('Month-End'!$EX$15&lt;&gt;"",NOT(_xlfn.ISFORMULA('Month-End'!$EX$15))),N('Month-End'!$EX$15),IF(OR($E157="open",$E156="pre"),N(Settings!$C$27),N($AM156))))</f>
        <v/>
      </c>
      <c r="AN157">
        <f>IF(OR(Settings!$A$28="",$E157="pre"),"",IF(AND('Month-End'!$EX$16&lt;&gt;"",NOT(_xlfn.ISFORMULA('Month-End'!$EX$16))),N('Month-End'!$EX$16),IF(OR($E157="open",$E156="pre"),N(Settings!$C$28),N($AN156))))</f>
        <v/>
      </c>
      <c r="AO157">
        <f>IF(OR(Settings!$A$29="",$E157="pre"),"",IF(AND('Month-End'!$EX$17&lt;&gt;"",NOT(_xlfn.ISFORMULA('Month-End'!$EX$17))),N('Month-End'!$EX$17),IF(OR($E157="open",$E156="pre"),N(Settings!$C$29),N($AO156))))</f>
        <v/>
      </c>
      <c r="AP157">
        <f>IF(OR(Settings!$A$30="",$E157="pre"),"",IF(AND('Month-End'!$EX$18&lt;&gt;"",NOT(_xlfn.ISFORMULA('Month-End'!$EX$18))),N('Month-End'!$EX$18),IF(OR($E157="open",$E156="pre"),N(Settings!$C$30),N($AP156))))</f>
        <v/>
      </c>
      <c r="AQ157">
        <f>IF(OR(Settings!$A$31="",$E157="pre"),"",IF(AND('Month-End'!$EX$19&lt;&gt;"",NOT(_xlfn.ISFORMULA('Month-End'!$EX$19))),N('Month-End'!$EX$19),IF(OR($E157="open",$E156="pre"),N(Settings!$C$31),N($AQ156))))</f>
        <v/>
      </c>
      <c r="AR157">
        <f>IF(OR(Settings!$A$32="",$E157="pre"),"",IF(AND('Month-End'!$EX$20&lt;&gt;"",NOT(_xlfn.ISFORMULA('Month-End'!$EX$20))),N('Month-End'!$EX$20),IF(OR($E157="open",$E156="pre"),N(Settings!$C$32),N($AR156))))</f>
        <v/>
      </c>
      <c r="AS157">
        <f>IF(OR(Settings!$A$36="",$E157="pre"),"",IF(AND('Month-End'!$EX$38&lt;&gt;"",NOT(_xlfn.ISFORMULA('Month-End'!$EX$38))),N('Month-End'!$EX$38),IF(OR($E157="open",$E156="pre"),N(Settings!$C$36),N($AS156))+$AY157))</f>
        <v/>
      </c>
      <c r="AT157">
        <f>IF(OR(Settings!$A$37="",$E157="pre"),"",IF(AND('Month-End'!$EX$39&lt;&gt;"",NOT(_xlfn.ISFORMULA('Month-End'!$EX$39))),N('Month-End'!$EX$39),IF(OR($E157="open",$E156="pre"),N(Settings!$C$37),N($AT156))+$AZ157))</f>
        <v/>
      </c>
      <c r="AU157">
        <f>IF(OR(Settings!$A$38="",$E157="pre"),"",IF(AND('Month-End'!$EX$40&lt;&gt;"",NOT(_xlfn.ISFORMULA('Month-End'!$EX$40))),N('Month-End'!$EX$40),IF(OR($E157="open",$E156="pre"),N(Settings!$C$38),N($AU156))+$BA157))</f>
        <v/>
      </c>
      <c r="AV157">
        <f>IF(OR(Settings!$A$39="",$E157="pre"),"",IF(AND('Month-End'!$EX$41&lt;&gt;"",NOT(_xlfn.ISFORMULA('Month-End'!$EX$41))),N('Month-End'!$EX$41),IF(OR($E157="open",$E156="pre"),N(Settings!$C$39),N($AV156))+$BB157))</f>
        <v/>
      </c>
      <c r="AW157">
        <f>IF(OR(Settings!$A$40="",$E157="pre"),"",IF(AND('Month-End'!$EX$42&lt;&gt;"",NOT(_xlfn.ISFORMULA('Month-End'!$EX$42))),N('Month-End'!$EX$42),IF(OR($E157="open",$E156="pre"),N(Settings!$C$40),N($AW156))+$BC157))</f>
        <v/>
      </c>
      <c r="AX157">
        <f>IF(OR(Settings!$A$41="",$E157="pre"),"",IF(AND('Month-End'!$EX$43&lt;&gt;"",NOT(_xlfn.ISFORMULA('Month-End'!$EX$43))),N('Month-End'!$EX$43),IF(OR($E157="open",$E156="pre"),N(Settings!$C$41),N($AX156))+$BD157))</f>
        <v/>
      </c>
      <c r="AY157">
        <f>IF($E157="pre",0,N('Month-End'!$EX$45))</f>
        <v/>
      </c>
      <c r="AZ157">
        <f>IF($E157="pre",0,N('Month-End'!$EX$46))</f>
        <v/>
      </c>
      <c r="BA157">
        <f>IF($E157="pre",0,N('Month-End'!$EX$47))</f>
        <v/>
      </c>
      <c r="BB157">
        <f>IF($E157="pre",0,N('Month-End'!$EX$48))</f>
        <v/>
      </c>
      <c r="BC157">
        <f>IF($E157="pre",0,N('Month-End'!$EX$49))</f>
        <v/>
      </c>
      <c r="BD157">
        <f>IF($E157="pre",0,N('Month-End'!$EX$50))</f>
        <v/>
      </c>
      <c r="BE157">
        <f>IF(OR(Settings!$C$45="",Settings!$D$45=""),0,Settings!$C$45*IF(Settings!$D$45="Weekly",IF(IFERROR(MATCH(Settings!$E$45,$EO$4:$EO$10,0),0)=0,0,IF(MIN($C157,IF(Settings!$G$45="",$C157,Settings!$G$45))&lt;MAX($A157,Settings!$F$45),0,INT((MIN($C157,IF(Settings!$G$45="",$C157,Settings!$G$45))-MAX($A157,Settings!$F$45)-MOD(IFERROR(MATCH(Settings!$E$45,$EO$4:$EO$10,0),0)-WEEKDAY(MAX($A157,Settings!$F$45)),7))/7)+1)),IF(AND(IF(Settings!$E$45="",$B157,DATE(YEAR($A157),MONTH($A157),MIN(Settings!$E$45,DAY($B157))))&gt;=MAX($A157,Settings!$F$45),IF(Settings!$E$45="",$B157,DATE(YEAR($A157),MONTH($A157),MIN(Settings!$E$45,DAY($B157))))&lt;=MIN($C157,IF(Settings!$G$45="",$C157,Settings!$G$45))),1,0)))</f>
        <v/>
      </c>
      <c r="BF157">
        <f>IF(OR(Settings!$C$46="",Settings!$D$46=""),0,Settings!$C$46*IF(Settings!$D$46="Weekly",IF(IFERROR(MATCH(Settings!$E$46,$EO$4:$EO$10,0),0)=0,0,IF(MIN($C157,IF(Settings!$G$46="",$C157,Settings!$G$46))&lt;MAX($A157,Settings!$F$46),0,INT((MIN($C157,IF(Settings!$G$46="",$C157,Settings!$G$46))-MAX($A157,Settings!$F$46)-MOD(IFERROR(MATCH(Settings!$E$46,$EO$4:$EO$10,0),0)-WEEKDAY(MAX($A157,Settings!$F$46)),7))/7)+1)),IF(AND(IF(Settings!$E$46="",$B157,DATE(YEAR($A157),MONTH($A157),MIN(Settings!$E$46,DAY($B157))))&gt;=MAX($A157,Settings!$F$46),IF(Settings!$E$46="",$B157,DATE(YEAR($A157),MONTH($A157),MIN(Settings!$E$46,DAY($B157))))&lt;=MIN($C157,IF(Settings!$G$46="",$C157,Settings!$G$46))),1,0)))</f>
        <v/>
      </c>
      <c r="BG157">
        <f>IF(OR(Settings!$C$47="",Settings!$D$47=""),0,Settings!$C$47*IF(Settings!$D$47="Weekly",IF(IFERROR(MATCH(Settings!$E$47,$EO$4:$EO$10,0),0)=0,0,IF(MIN($C157,IF(Settings!$G$47="",$C157,Settings!$G$47))&lt;MAX($A157,Settings!$F$47),0,INT((MIN($C157,IF(Settings!$G$47="",$C157,Settings!$G$47))-MAX($A157,Settings!$F$47)-MOD(IFERROR(MATCH(Settings!$E$47,$EO$4:$EO$10,0),0)-WEEKDAY(MAX($A157,Settings!$F$47)),7))/7)+1)),IF(AND(IF(Settings!$E$47="",$B157,DATE(YEAR($A157),MONTH($A157),MIN(Settings!$E$47,DAY($B157))))&gt;=MAX($A157,Settings!$F$47),IF(Settings!$E$47="",$B157,DATE(YEAR($A157),MONTH($A157),MIN(Settings!$E$47,DAY($B157))))&lt;=MIN($C157,IF(Settings!$G$47="",$C157,Settings!$G$47))),1,0)))</f>
        <v/>
      </c>
      <c r="BH157">
        <f>IF(OR(Settings!$C$48="",Settings!$D$48=""),0,Settings!$C$48*IF(Settings!$D$48="Weekly",IF(IFERROR(MATCH(Settings!$E$48,$EO$4:$EO$10,0),0)=0,0,IF(MIN($C157,IF(Settings!$G$48="",$C157,Settings!$G$48))&lt;MAX($A157,Settings!$F$48),0,INT((MIN($C157,IF(Settings!$G$48="",$C157,Settings!$G$48))-MAX($A157,Settings!$F$48)-MOD(IFERROR(MATCH(Settings!$E$48,$EO$4:$EO$10,0),0)-WEEKDAY(MAX($A157,Settings!$F$48)),7))/7)+1)),IF(AND(IF(Settings!$E$48="",$B157,DATE(YEAR($A157),MONTH($A157),MIN(Settings!$E$48,DAY($B157))))&gt;=MAX($A157,Settings!$F$48),IF(Settings!$E$48="",$B157,DATE(YEAR($A157),MONTH($A157),MIN(Settings!$E$48,DAY($B157))))&lt;=MIN($C157,IF(Settings!$G$48="",$C157,Settings!$G$48))),1,0)))</f>
        <v/>
      </c>
      <c r="BI157">
        <f>IF(OR(Settings!$C$49="",Settings!$D$49=""),0,Settings!$C$49*IF(Settings!$D$49="Weekly",IF(IFERROR(MATCH(Settings!$E$49,$EO$4:$EO$10,0),0)=0,0,IF(MIN($C157,IF(Settings!$G$49="",$C157,Settings!$G$49))&lt;MAX($A157,Settings!$F$49),0,INT((MIN($C157,IF(Settings!$G$49="",$C157,Settings!$G$49))-MAX($A157,Settings!$F$49)-MOD(IFERROR(MATCH(Settings!$E$49,$EO$4:$EO$10,0),0)-WEEKDAY(MAX($A157,Settings!$F$49)),7))/7)+1)),IF(AND(IF(Settings!$E$49="",$B157,DATE(YEAR($A157),MONTH($A157),MIN(Settings!$E$49,DAY($B157))))&gt;=MAX($A157,Settings!$F$49),IF(Settings!$E$49="",$B157,DATE(YEAR($A157),MONTH($A157),MIN(Settings!$E$49,DAY($B157))))&lt;=MIN($C157,IF(Settings!$G$49="",$C157,Settings!$G$49))),1,0)))</f>
        <v/>
      </c>
      <c r="BJ157">
        <f>IF(OR(Settings!$C$50="",Settings!$D$50=""),0,Settings!$C$50*IF(Settings!$D$50="Weekly",IF(IFERROR(MATCH(Settings!$E$50,$EO$4:$EO$10,0),0)=0,0,IF(MIN($C157,IF(Settings!$G$50="",$C157,Settings!$G$50))&lt;MAX($A157,Settings!$F$50),0,INT((MIN($C157,IF(Settings!$G$50="",$C157,Settings!$G$50))-MAX($A157,Settings!$F$50)-MOD(IFERROR(MATCH(Settings!$E$50,$EO$4:$EO$10,0),0)-WEEKDAY(MAX($A157,Settings!$F$50)),7))/7)+1)),IF(AND(IF(Settings!$E$50="",$B157,DATE(YEAR($A157),MONTH($A157),MIN(Settings!$E$50,DAY($B157))))&gt;=MAX($A157,Settings!$F$50),IF(Settings!$E$50="",$B157,DATE(YEAR($A157),MONTH($A157),MIN(Settings!$E$50,DAY($B157))))&lt;=MIN($C157,IF(Settings!$G$50="",$C157,Settings!$G$50))),1,0)))</f>
        <v/>
      </c>
      <c r="BK157">
        <f>IF(OR(Settings!$C$51="",Settings!$D$51=""),0,Settings!$C$51*IF(Settings!$D$51="Weekly",IF(IFERROR(MATCH(Settings!$E$51,$EO$4:$EO$10,0),0)=0,0,IF(MIN($C157,IF(Settings!$G$51="",$C157,Settings!$G$51))&lt;MAX($A157,Settings!$F$51),0,INT((MIN($C157,IF(Settings!$G$51="",$C157,Settings!$G$51))-MAX($A157,Settings!$F$51)-MOD(IFERROR(MATCH(Settings!$E$51,$EO$4:$EO$10,0),0)-WEEKDAY(MAX($A157,Settings!$F$51)),7))/7)+1)),IF(AND(IF(Settings!$E$51="",$B157,DATE(YEAR($A157),MONTH($A157),MIN(Settings!$E$51,DAY($B157))))&gt;=MAX($A157,Settings!$F$51),IF(Settings!$E$51="",$B157,DATE(YEAR($A157),MONTH($A157),MIN(Settings!$E$51,DAY($B157))))&lt;=MIN($C157,IF(Settings!$G$51="",$C157,Settings!$G$51))),1,0)))</f>
        <v/>
      </c>
      <c r="BL157">
        <f>IF(OR(Settings!$C$52="",Settings!$D$52=""),0,Settings!$C$52*IF(Settings!$D$52="Weekly",IF(IFERROR(MATCH(Settings!$E$52,$EO$4:$EO$10,0),0)=0,0,IF(MIN($C157,IF(Settings!$G$52="",$C157,Settings!$G$52))&lt;MAX($A157,Settings!$F$52),0,INT((MIN($C157,IF(Settings!$G$52="",$C157,Settings!$G$52))-MAX($A157,Settings!$F$52)-MOD(IFERROR(MATCH(Settings!$E$52,$EO$4:$EO$10,0),0)-WEEKDAY(MAX($A157,Settings!$F$52)),7))/7)+1)),IF(AND(IF(Settings!$E$52="",$B157,DATE(YEAR($A157),MONTH($A157),MIN(Settings!$E$52,DAY($B157))))&gt;=MAX($A157,Settings!$F$52),IF(Settings!$E$52="",$B157,DATE(YEAR($A157),MONTH($A157),MIN(Settings!$E$52,DAY($B157))))&lt;=MIN($C157,IF(Settings!$G$52="",$C157,Settings!$G$52))),1,0)))</f>
        <v/>
      </c>
      <c r="BM157">
        <f>IF(OR(Settings!$C$53="",Settings!$D$53=""),0,Settings!$C$53*IF(Settings!$D$53="Weekly",IF(IFERROR(MATCH(Settings!$E$53,$EO$4:$EO$10,0),0)=0,0,IF(MIN($C157,IF(Settings!$G$53="",$C157,Settings!$G$53))&lt;MAX($A157,Settings!$F$53),0,INT((MIN($C157,IF(Settings!$G$53="",$C157,Settings!$G$53))-MAX($A157,Settings!$F$53)-MOD(IFERROR(MATCH(Settings!$E$53,$EO$4:$EO$10,0),0)-WEEKDAY(MAX($A157,Settings!$F$53)),7))/7)+1)),IF(AND(IF(Settings!$E$53="",$B157,DATE(YEAR($A157),MONTH($A157),MIN(Settings!$E$53,DAY($B157))))&gt;=MAX($A157,Settings!$F$53),IF(Settings!$E$53="",$B157,DATE(YEAR($A157),MONTH($A157),MIN(Settings!$E$53,DAY($B157))))&lt;=MIN($C157,IF(Settings!$G$53="",$C157,Settings!$G$53))),1,0)))</f>
        <v/>
      </c>
      <c r="BN157">
        <f>IF(OR(Settings!$C$54="",Settings!$D$54=""),0,Settings!$C$54*IF(Settings!$D$54="Weekly",IF(IFERROR(MATCH(Settings!$E$54,$EO$4:$EO$10,0),0)=0,0,IF(MIN($C157,IF(Settings!$G$54="",$C157,Settings!$G$54))&lt;MAX($A157,Settings!$F$54),0,INT((MIN($C157,IF(Settings!$G$54="",$C157,Settings!$G$54))-MAX($A157,Settings!$F$54)-MOD(IFERROR(MATCH(Settings!$E$54,$EO$4:$EO$10,0),0)-WEEKDAY(MAX($A157,Settings!$F$54)),7))/7)+1)),IF(AND(IF(Settings!$E$54="",$B157,DATE(YEAR($A157),MONTH($A157),MIN(Settings!$E$54,DAY($B157))))&gt;=MAX($A157,Settings!$F$54),IF(Settings!$E$54="",$B157,DATE(YEAR($A157),MONTH($A157),MIN(Settings!$E$54,DAY($B157))))&lt;=MIN($C157,IF(Settings!$G$54="",$C157,Settings!$G$54))),1,0)))</f>
        <v/>
      </c>
      <c r="BO157">
        <f>IF(OR(Settings!$C$55="",Settings!$D$55=""),0,Settings!$C$55*IF(Settings!$D$55="Weekly",IF(IFERROR(MATCH(Settings!$E$55,$EO$4:$EO$10,0),0)=0,0,IF(MIN($C157,IF(Settings!$G$55="",$C157,Settings!$G$55))&lt;MAX($A157,Settings!$F$55),0,INT((MIN($C157,IF(Settings!$G$55="",$C157,Settings!$G$55))-MAX($A157,Settings!$F$55)-MOD(IFERROR(MATCH(Settings!$E$55,$EO$4:$EO$10,0),0)-WEEKDAY(MAX($A157,Settings!$F$55)),7))/7)+1)),IF(AND(IF(Settings!$E$55="",$B157,DATE(YEAR($A157),MONTH($A157),MIN(Settings!$E$55,DAY($B157))))&gt;=MAX($A157,Settings!$F$55),IF(Settings!$E$55="",$B157,DATE(YEAR($A157),MONTH($A157),MIN(Settings!$E$55,DAY($B157))))&lt;=MIN($C157,IF(Settings!$G$55="",$C157,Settings!$G$55))),1,0)))</f>
        <v/>
      </c>
      <c r="BP157">
        <f>IF(OR(Settings!$C$56="",Settings!$D$56=""),0,Settings!$C$56*IF(Settings!$D$56="Weekly",IF(IFERROR(MATCH(Settings!$E$56,$EO$4:$EO$10,0),0)=0,0,IF(MIN($C157,IF(Settings!$G$56="",$C157,Settings!$G$56))&lt;MAX($A157,Settings!$F$56),0,INT((MIN($C157,IF(Settings!$G$56="",$C157,Settings!$G$56))-MAX($A157,Settings!$F$56)-MOD(IFERROR(MATCH(Settings!$E$56,$EO$4:$EO$10,0),0)-WEEKDAY(MAX($A157,Settings!$F$56)),7))/7)+1)),IF(AND(IF(Settings!$E$56="",$B157,DATE(YEAR($A157),MONTH($A157),MIN(Settings!$E$56,DAY($B157))))&gt;=MAX($A157,Settings!$F$56),IF(Settings!$E$56="",$B157,DATE(YEAR($A157),MONTH($A157),MIN(Settings!$E$56,DAY($B157))))&lt;=MIN($C157,IF(Settings!$G$56="",$C157,Settings!$G$56))),1,0)))</f>
        <v/>
      </c>
      <c r="BQ157">
        <f>IF(OR(Settings!$B$14="",$D157=1,$E157="pre",$A157&lt;IF(Settings!$B$15="",0,Settings!$B$15)),0,Settings!$B$14)</f>
        <v/>
      </c>
      <c r="BR157">
        <f>IF(AND('Month-End'!$EX$7&lt;&gt;"",NOT(_xlfn.ISFORMULA('Month-End'!$EX$7))),1,0)</f>
        <v/>
      </c>
      <c r="BS157">
        <f>IF(AND('Month-End'!$EX$8&lt;&gt;"",NOT(_xlfn.ISFORMULA('Month-End'!$EX$8))),1,0)</f>
        <v/>
      </c>
      <c r="BT157">
        <f>IF(AND('Month-End'!$EX$9&lt;&gt;"",NOT(_xlfn.ISFORMULA('Month-End'!$EX$9))),1,0)</f>
        <v/>
      </c>
      <c r="BU157">
        <f>IF(AND('Month-End'!$EX$10&lt;&gt;"",NOT(_xlfn.ISFORMULA('Month-End'!$EX$10))),1,0)</f>
        <v/>
      </c>
      <c r="BV157">
        <f>IF(AND('Month-End'!$EX$11&lt;&gt;"",NOT(_xlfn.ISFORMULA('Month-End'!$EX$11))),1,0)</f>
        <v/>
      </c>
      <c r="BW157">
        <f>IF(AND('Month-End'!$EX$12&lt;&gt;"",NOT(_xlfn.ISFORMULA('Month-End'!$EX$12))),1,0)</f>
        <v/>
      </c>
      <c r="BX157">
        <f>IF(AND('Month-End'!$EX$13&lt;&gt;"",NOT(_xlfn.ISFORMULA('Month-End'!$EX$13))),1,0)</f>
        <v/>
      </c>
      <c r="BY157">
        <f>IF(AND('Month-End'!$EX$14&lt;&gt;"",NOT(_xlfn.ISFORMULA('Month-End'!$EX$14))),1,0)</f>
        <v/>
      </c>
      <c r="BZ157">
        <f>IF(AND('Month-End'!$EX$15&lt;&gt;"",NOT(_xlfn.ISFORMULA('Month-End'!$EX$15))),1,0)</f>
        <v/>
      </c>
      <c r="CA157">
        <f>IF(AND('Month-End'!$EX$16&lt;&gt;"",NOT(_xlfn.ISFORMULA('Month-End'!$EX$16))),1,0)</f>
        <v/>
      </c>
      <c r="CB157">
        <f>IF(AND('Month-End'!$EX$17&lt;&gt;"",NOT(_xlfn.ISFORMULA('Month-End'!$EX$17))),1,0)</f>
        <v/>
      </c>
      <c r="CC157">
        <f>IF(AND('Month-End'!$EX$18&lt;&gt;"",NOT(_xlfn.ISFORMULA('Month-End'!$EX$18))),1,0)</f>
        <v/>
      </c>
      <c r="CD157">
        <f>IF(AND('Month-End'!$EX$19&lt;&gt;"",NOT(_xlfn.ISFORMULA('Month-End'!$EX$19))),1,0)</f>
        <v/>
      </c>
      <c r="CE157">
        <f>IF(AND('Month-End'!$EX$20&lt;&gt;"",NOT(_xlfn.ISFORMULA('Month-End'!$EX$20))),1,0)</f>
        <v/>
      </c>
      <c r="CF157">
        <f>IF(AND('Month-End'!$EX$38&lt;&gt;"",NOT(_xlfn.ISFORMULA('Month-End'!$EX$38))),1,0)</f>
        <v/>
      </c>
      <c r="CG157">
        <f>IF(AND('Month-End'!$EX$39&lt;&gt;"",NOT(_xlfn.ISFORMULA('Month-End'!$EX$39))),1,0)</f>
        <v/>
      </c>
      <c r="CH157">
        <f>IF(AND('Month-End'!$EX$40&lt;&gt;"",NOT(_xlfn.ISFORMULA('Month-End'!$EX$40))),1,0)</f>
        <v/>
      </c>
      <c r="CI157">
        <f>IF(AND('Month-End'!$EX$41&lt;&gt;"",NOT(_xlfn.ISFORMULA('Month-End'!$EX$41))),1,0)</f>
        <v/>
      </c>
      <c r="CJ157">
        <f>IF(AND('Month-End'!$EX$42&lt;&gt;"",NOT(_xlfn.ISFORMULA('Month-End'!$EX$42))),1,0)</f>
        <v/>
      </c>
      <c r="CK157">
        <f>IF(AND('Month-End'!$EX$43&lt;&gt;"",NOT(_xlfn.ISFORMULA('Month-End'!$EX$43))),1,0)</f>
        <v/>
      </c>
      <c r="CL157">
        <f>SUM($CM157:$CZ157)</f>
        <v/>
      </c>
      <c r="CM157">
        <f>IF(AND($E157&lt;&gt;"pre",AND(Settings!$A$19&lt;&gt;"",Settings!$E$19&lt;&gt;"No"),Settings!$F$19="Yes",NOT(AND('Month-End'!$EX$7&lt;&gt;"",NOT(_xlfn.ISFORMULA('Month-End'!$EX$7))))),1,0)</f>
        <v/>
      </c>
      <c r="CN157">
        <f>IF(AND($E157&lt;&gt;"pre",AND(Settings!$A$20&lt;&gt;"",Settings!$E$20&lt;&gt;"No"),Settings!$F$20="Yes",NOT(AND('Month-End'!$EX$8&lt;&gt;"",NOT(_xlfn.ISFORMULA('Month-End'!$EX$8))))),1,0)</f>
        <v/>
      </c>
      <c r="CO157">
        <f>IF(AND($E157&lt;&gt;"pre",AND(Settings!$A$21&lt;&gt;"",Settings!$E$21&lt;&gt;"No"),Settings!$F$21="Yes",NOT(AND('Month-End'!$EX$9&lt;&gt;"",NOT(_xlfn.ISFORMULA('Month-End'!$EX$9))))),1,0)</f>
        <v/>
      </c>
      <c r="CP157">
        <f>IF(AND($E157&lt;&gt;"pre",AND(Settings!$A$22&lt;&gt;"",Settings!$E$22&lt;&gt;"No"),Settings!$F$22="Yes",NOT(AND('Month-End'!$EX$10&lt;&gt;"",NOT(_xlfn.ISFORMULA('Month-End'!$EX$10))))),1,0)</f>
        <v/>
      </c>
      <c r="CQ157">
        <f>IF(AND($E157&lt;&gt;"pre",AND(Settings!$A$23&lt;&gt;"",Settings!$E$23&lt;&gt;"No"),Settings!$F$23="Yes",NOT(AND('Month-End'!$EX$11&lt;&gt;"",NOT(_xlfn.ISFORMULA('Month-End'!$EX$11))))),1,0)</f>
        <v/>
      </c>
      <c r="CR157">
        <f>IF(AND($E157&lt;&gt;"pre",AND(Settings!$A$24&lt;&gt;"",Settings!$E$24&lt;&gt;"No"),Settings!$F$24="Yes",NOT(AND('Month-End'!$EX$12&lt;&gt;"",NOT(_xlfn.ISFORMULA('Month-End'!$EX$12))))),1,0)</f>
        <v/>
      </c>
      <c r="CS157">
        <f>IF(AND($E157&lt;&gt;"pre",AND(Settings!$A$25&lt;&gt;"",Settings!$E$25&lt;&gt;"No"),Settings!$F$25="Yes",NOT(AND('Month-End'!$EX$13&lt;&gt;"",NOT(_xlfn.ISFORMULA('Month-End'!$EX$13))))),1,0)</f>
        <v/>
      </c>
      <c r="CT157">
        <f>IF(AND($E157&lt;&gt;"pre",AND(Settings!$A$26&lt;&gt;"",Settings!$E$26&lt;&gt;"No"),Settings!$F$26="Yes",NOT(AND('Month-End'!$EX$14&lt;&gt;"",NOT(_xlfn.ISFORMULA('Month-End'!$EX$14))))),1,0)</f>
        <v/>
      </c>
      <c r="CU157">
        <f>IF(AND($E157&lt;&gt;"pre",AND(Settings!$A$27&lt;&gt;"",Settings!$E$27&lt;&gt;"No"),Settings!$F$27="Yes",NOT(AND('Month-End'!$EX$15&lt;&gt;"",NOT(_xlfn.ISFORMULA('Month-End'!$EX$15))))),1,0)</f>
        <v/>
      </c>
      <c r="CV157">
        <f>IF(AND($E157&lt;&gt;"pre",AND(Settings!$A$28&lt;&gt;"",Settings!$E$28&lt;&gt;"No"),Settings!$F$28="Yes",NOT(AND('Month-End'!$EX$16&lt;&gt;"",NOT(_xlfn.ISFORMULA('Month-End'!$EX$16))))),1,0)</f>
        <v/>
      </c>
      <c r="CW157">
        <f>IF(AND($E157&lt;&gt;"pre",AND(Settings!$A$29&lt;&gt;"",Settings!$E$29&lt;&gt;"No"),Settings!$F$29="Yes",NOT(AND('Month-End'!$EX$17&lt;&gt;"",NOT(_xlfn.ISFORMULA('Month-End'!$EX$17))))),1,0)</f>
        <v/>
      </c>
      <c r="CX157">
        <f>IF(AND($E157&lt;&gt;"pre",AND(Settings!$A$30&lt;&gt;"",Settings!$E$30&lt;&gt;"No"),Settings!$F$30="Yes",NOT(AND('Month-End'!$EX$18&lt;&gt;"",NOT(_xlfn.ISFORMULA('Month-End'!$EX$18))))),1,0)</f>
        <v/>
      </c>
      <c r="CY157">
        <f>IF(AND($E157&lt;&gt;"pre",AND(Settings!$A$31&lt;&gt;"",Settings!$E$31&lt;&gt;"No"),Settings!$F$31="Yes",NOT(AND('Month-End'!$EX$19&lt;&gt;"",NOT(_xlfn.ISFORMULA('Month-End'!$EX$19))))),1,0)</f>
        <v/>
      </c>
      <c r="CZ157">
        <f>IF(AND($E157&lt;&gt;"pre",AND(Settings!$A$32&lt;&gt;"",Settings!$E$32&lt;&gt;"No"),Settings!$F$32="Yes",NOT(AND('Month-End'!$EX$20&lt;&gt;"",NOT(_xlfn.ISFORMULA('Month-End'!$EX$20))))),1,0)</f>
        <v/>
      </c>
      <c r="DA157">
        <f>IF($DT157=1,IF(OR(Settings!$B$19="Checking",Settings!$B$19="Savings",Settings!$B$19="Cash"),N($AE157),IF(OR(Settings!$B$19="Card",Settings!$B$19="Loan"),-N($AE157),0))+IF(OR(Settings!$B$20="Checking",Settings!$B$20="Savings",Settings!$B$20="Cash"),N($AF157),IF(OR(Settings!$B$20="Card",Settings!$B$20="Loan"),-N($AF157),0))+IF(OR(Settings!$B$21="Checking",Settings!$B$21="Savings",Settings!$B$21="Cash"),N($AG157),IF(OR(Settings!$B$21="Card",Settings!$B$21="Loan"),-N($AG157),0))+IF(OR(Settings!$B$22="Checking",Settings!$B$22="Savings",Settings!$B$22="Cash"),N($AH157),IF(OR(Settings!$B$22="Card",Settings!$B$22="Loan"),-N($AH157),0))+IF(OR(Settings!$B$23="Checking",Settings!$B$23="Savings",Settings!$B$23="Cash"),N($AI157),IF(OR(Settings!$B$23="Card",Settings!$B$23="Loan"),-N($AI157),0))+IF(OR(Settings!$B$24="Checking",Settings!$B$24="Savings",Settings!$B$24="Cash"),N($AJ157),IF(OR(Settings!$B$24="Card",Settings!$B$24="Loan"),-N($AJ157),0))+IF(OR(Settings!$B$25="Checking",Settings!$B$25="Savings",Settings!$B$25="Cash"),N($AK157),IF(OR(Settings!$B$25="Card",Settings!$B$25="Loan"),-N($AK157),0))+IF(OR(Settings!$B$26="Checking",Settings!$B$26="Savings",Settings!$B$26="Cash"),N($AL157),IF(OR(Settings!$B$26="Card",Settings!$B$26="Loan"),-N($AL157),0))+IF(OR(Settings!$B$27="Checking",Settings!$B$27="Savings",Settings!$B$27="Cash"),N($AM157),IF(OR(Settings!$B$27="Card",Settings!$B$27="Loan"),-N($AM157),0))+IF(OR(Settings!$B$28="Checking",Settings!$B$28="Savings",Settings!$B$28="Cash"),N($AN157),IF(OR(Settings!$B$28="Card",Settings!$B$28="Loan"),-N($AN157),0))+IF(OR(Settings!$B$29="Checking",Settings!$B$29="Savings",Settings!$B$29="Cash"),N($AO157),IF(OR(Settings!$B$29="Card",Settings!$B$29="Loan"),-N($AO157),0))+IF(OR(Settings!$B$30="Checking",Settings!$B$30="Savings",Settings!$B$30="Cash"),N($AP157),IF(OR(Settings!$B$30="Card",Settings!$B$30="Loan"),-N($AP157),0))+IF(OR(Settings!$B$31="Checking",Settings!$B$31="Savings",Settings!$B$31="Cash"),N($AQ157),IF(OR(Settings!$B$31="Card",Settings!$B$31="Loan"),-N($AQ157),0))+IF(OR(Settings!$B$32="Checking",Settings!$B$32="Savings",Settings!$B$32="Cash"),N($AR157),IF(OR(Settings!$B$32="Card",Settings!$B$32="Loan"),-N($AR157),0)),"")</f>
        <v/>
      </c>
      <c r="DB157">
        <f>IF($E157="open",$EB$27,IF($E157="post",IF($E156="pre",$EB$27,$DA156),""))</f>
        <v/>
      </c>
      <c r="DC157">
        <f>IF($E157="open",1,IF($E157="post",IF($E156="pre",1,$DT156),0))</f>
        <v/>
      </c>
      <c r="DD157">
        <f>IF(AND($DT157=1,$DC157=1),ROUND($W157-($DA157-$DB157)-$AD157-$AB157,2),"")</f>
        <v/>
      </c>
      <c r="DE157">
        <f>IF('Month-End'!$EX$35="",$BQ157,N('Month-End'!$EX$35))</f>
        <v/>
      </c>
      <c r="DF157">
        <f>N('Month-End'!$EX$36)</f>
        <v/>
      </c>
      <c r="DG157">
        <f>IF($DD157="","",$DD157+$DE157)</f>
        <v/>
      </c>
      <c r="DH157">
        <f>IF($DG157="","",$DG157-$DF157)</f>
        <v/>
      </c>
      <c r="DI157">
        <f>IF(OR($E157="pre",$D157=1),"",N($AS157)+N($AT157)+N($AU157)+N($AV157)+N($AW157)+N($AX157))</f>
        <v/>
      </c>
      <c r="DJ157">
        <f>IF($DT157=1,$DA157+N($DI157),"")</f>
        <v/>
      </c>
      <c r="DK157">
        <f>IF($DD157="","",$W157-$DD157-$AB157)</f>
        <v/>
      </c>
      <c r="DL157">
        <f>IF(AND($E157="post",$DD157&lt;&gt;"",$B157&lt;TODAY()),1,0)</f>
        <v/>
      </c>
      <c r="DM157">
        <f>IF($DL157=1,COUNTIF($DL157:$DL$183,1),0)</f>
        <v/>
      </c>
      <c r="DN157">
        <f>IF($D157=1,"",IF($E157="pre","History only",IF($DT157=1,IF($DD157="","⚠ Previous month missing",IF($DD157&lt;0,"⚠ Check: spending &lt; 0",IF($E157="open","✓ Done (partial)","✓ Done"))),IF($B157&gt;=TODAY(),"In progress","⚠ Needs balances"))))</f>
        <v/>
      </c>
      <c r="DO157">
        <f>YEAR($A157)</f>
        <v/>
      </c>
      <c r="DP157">
        <f>DATE(YEAR($A157),INT((MONTH($A157)-1)/3)*3+1,1)</f>
        <v/>
      </c>
      <c r="DQ157">
        <f>IF(AND($DT157=1,$DD157&lt;&gt;"",$D157=0),ROW(),0)</f>
        <v/>
      </c>
      <c r="DR157">
        <f>IF(AND($E157&lt;&gt;"pre",$B157&lt;TODAY(),$DT157=0),1,0)</f>
        <v/>
      </c>
      <c r="DS157">
        <f>IF($DJ157="",NA(),$DJ157)</f>
        <v/>
      </c>
      <c r="DT157">
        <f>IF(AND($E157&lt;&gt;"pre",$CL157=0,COUNTIFS(Settings!$F$19:$F$32,"Yes",Settings!$A$19:$A$32,"&lt;&gt;",Settings!$E$19:$E$32,"&lt;&gt;No")&gt;0),1,0)</f>
        <v/>
      </c>
      <c r="DU157">
        <f>IF(AND($B157&lt;TODAY(),$S157&gt;0),1,0)</f>
        <v/>
      </c>
      <c r="DV157">
        <f>IF($DU157=1,COUNTIF($DU157:$DU$183,1),0)</f>
        <v/>
      </c>
      <c r="DW157">
        <f>IF(AND(OR(Settings!$B$19="Card",Settings!$B$19="Loan"),AND('Month-End'!$EX$7&lt;&gt;"",NOT(_xlfn.ISFORMULA('Month-End'!$EX$7)))),IF(N('Month-End'!$EX$7)&lt;0,1,0),0)+IF(AND(OR(Settings!$B$20="Card",Settings!$B$20="Loan"),AND('Month-End'!$EX$8&lt;&gt;"",NOT(_xlfn.ISFORMULA('Month-End'!$EX$8)))),IF(N('Month-End'!$EX$8)&lt;0,1,0),0)+IF(AND(OR(Settings!$B$21="Card",Settings!$B$21="Loan"),AND('Month-End'!$EX$9&lt;&gt;"",NOT(_xlfn.ISFORMULA('Month-End'!$EX$9)))),IF(N('Month-End'!$EX$9)&lt;0,1,0),0)+IF(AND(OR(Settings!$B$22="Card",Settings!$B$22="Loan"),AND('Month-End'!$EX$10&lt;&gt;"",NOT(_xlfn.ISFORMULA('Month-End'!$EX$10)))),IF(N('Month-End'!$EX$10)&lt;0,1,0),0)+IF(AND(OR(Settings!$B$23="Card",Settings!$B$23="Loan"),AND('Month-End'!$EX$11&lt;&gt;"",NOT(_xlfn.ISFORMULA('Month-End'!$EX$11)))),IF(N('Month-End'!$EX$11)&lt;0,1,0),0)+IF(AND(OR(Settings!$B$24="Card",Settings!$B$24="Loan"),AND('Month-End'!$EX$12&lt;&gt;"",NOT(_xlfn.ISFORMULA('Month-End'!$EX$12)))),IF(N('Month-End'!$EX$12)&lt;0,1,0),0)+IF(AND(OR(Settings!$B$25="Card",Settings!$B$25="Loan"),AND('Month-End'!$EX$13&lt;&gt;"",NOT(_xlfn.ISFORMULA('Month-End'!$EX$13)))),IF(N('Month-End'!$EX$13)&lt;0,1,0),0)+IF(AND(OR(Settings!$B$26="Card",Settings!$B$26="Loan"),AND('Month-End'!$EX$14&lt;&gt;"",NOT(_xlfn.ISFORMULA('Month-End'!$EX$14)))),IF(N('Month-End'!$EX$14)&lt;0,1,0),0)+IF(AND(OR(Settings!$B$27="Card",Settings!$B$27="Loan"),AND('Month-End'!$EX$15&lt;&gt;"",NOT(_xlfn.ISFORMULA('Month-End'!$EX$15)))),IF(N('Month-End'!$EX$15)&lt;0,1,0),0)+IF(AND(OR(Settings!$B$28="Card",Settings!$B$28="Loan"),AND('Month-End'!$EX$16&lt;&gt;"",NOT(_xlfn.ISFORMULA('Month-End'!$EX$16)))),IF(N('Month-End'!$EX$16)&lt;0,1,0),0)+IF(AND(OR(Settings!$B$29="Card",Settings!$B$29="Loan"),AND('Month-End'!$EX$17&lt;&gt;"",NOT(_xlfn.ISFORMULA('Month-End'!$EX$17)))),IF(N('Month-End'!$EX$17)&lt;0,1,0),0)+IF(AND(OR(Settings!$B$30="Card",Settings!$B$30="Loan"),AND('Month-End'!$EX$18&lt;&gt;"",NOT(_xlfn.ISFORMULA('Month-End'!$EX$18)))),IF(N('Month-End'!$EX$18)&lt;0,1,0),0)+IF(AND(OR(Settings!$B$31="Card",Settings!$B$31="Loan"),AND('Month-End'!$EX$19&lt;&gt;"",NOT(_xlfn.ISFORMULA('Month-End'!$EX$19)))),IF(N('Month-End'!$EX$19)&lt;0,1,0),0)+IF(AND(OR(Settings!$B$32="Card",Settings!$B$32="Loan"),AND('Month-End'!$EX$20&lt;&gt;"",NOT(_xlfn.ISFORMULA('Month-End'!$EX$20)))),IF(N('Month-End'!$EX$20)&lt;0,1,0),0)</f>
        <v/>
      </c>
      <c r="DX157">
        <f>IF(Settings!$B$36="Retirement",$AY157,0)+IF(Settings!$B$37="Retirement",$AZ157,0)+IF(Settings!$B$38="Retirement",$BA157,0)+IF(Settings!$B$39="Retirement",$BB157,0)+IF(Settings!$B$40="Retirement",$BC157,0)+IF(Settings!$B$41="Retirement",$BD157,0)</f>
        <v/>
      </c>
      <c r="ET157">
        <f>IF($E157&lt;&gt;"open",0,IF(AND('Month-End'!$EX$22&lt;&gt;"",NOT(_xlfn.ISFORMULA('Month-End'!$EX$22))),0,IF(OR(Settings!$C$45="",Settings!$D$45=""),0,Settings!$C$45*IF(Settings!$D$45="Weekly",IF(IFERROR(MATCH(Settings!$E$45,$EO$4:$EO$10,0),0)=0,0,IF(MIN(Settings!$B$5,IF(Settings!$G$45="",Settings!$B$5,Settings!$G$45))&lt;MAX($A157,Settings!$F$45),0,INT((MIN(Settings!$B$5,IF(Settings!$G$45="",Settings!$B$5,Settings!$G$45))-MAX($A157,Settings!$F$45)-MOD(IFERROR(MATCH(Settings!$E$45,$EO$4:$EO$10,0),0)-WEEKDAY(MAX($A157,Settings!$F$45)),7))/7)+1)),IF(AND(IF(Settings!$E$45="",$B157,DATE(YEAR($A157),MONTH($A157),MIN(Settings!$E$45,DAY($B157))))&gt;=MAX($A157,Settings!$F$45),IF(Settings!$E$45="",$B157,DATE(YEAR($A157),MONTH($A157),MIN(Settings!$E$45,DAY($B157))))&lt;=MIN(Settings!$B$5,IF(Settings!$G$45="",Settings!$B$5,Settings!$G$45))),1,0)))))</f>
        <v/>
      </c>
      <c r="EU157">
        <f>IF($E157&lt;&gt;"open",0,IF(AND('Month-End'!$EX$23&lt;&gt;"",NOT(_xlfn.ISFORMULA('Month-End'!$EX$23))),0,IF(OR(Settings!$C$46="",Settings!$D$46=""),0,Settings!$C$46*IF(Settings!$D$46="Weekly",IF(IFERROR(MATCH(Settings!$E$46,$EO$4:$EO$10,0),0)=0,0,IF(MIN(Settings!$B$5,IF(Settings!$G$46="",Settings!$B$5,Settings!$G$46))&lt;MAX($A157,Settings!$F$46),0,INT((MIN(Settings!$B$5,IF(Settings!$G$46="",Settings!$B$5,Settings!$G$46))-MAX($A157,Settings!$F$46)-MOD(IFERROR(MATCH(Settings!$E$46,$EO$4:$EO$10,0),0)-WEEKDAY(MAX($A157,Settings!$F$46)),7))/7)+1)),IF(AND(IF(Settings!$E$46="",$B157,DATE(YEAR($A157),MONTH($A157),MIN(Settings!$E$46,DAY($B157))))&gt;=MAX($A157,Settings!$F$46),IF(Settings!$E$46="",$B157,DATE(YEAR($A157),MONTH($A157),MIN(Settings!$E$46,DAY($B157))))&lt;=MIN(Settings!$B$5,IF(Settings!$G$46="",Settings!$B$5,Settings!$G$46))),1,0)))))</f>
        <v/>
      </c>
      <c r="EV157">
        <f>IF($E157&lt;&gt;"open",0,IF(AND('Month-End'!$EX$24&lt;&gt;"",NOT(_xlfn.ISFORMULA('Month-End'!$EX$24))),0,IF(OR(Settings!$C$47="",Settings!$D$47=""),0,Settings!$C$47*IF(Settings!$D$47="Weekly",IF(IFERROR(MATCH(Settings!$E$47,$EO$4:$EO$10,0),0)=0,0,IF(MIN(Settings!$B$5,IF(Settings!$G$47="",Settings!$B$5,Settings!$G$47))&lt;MAX($A157,Settings!$F$47),0,INT((MIN(Settings!$B$5,IF(Settings!$G$47="",Settings!$B$5,Settings!$G$47))-MAX($A157,Settings!$F$47)-MOD(IFERROR(MATCH(Settings!$E$47,$EO$4:$EO$10,0),0)-WEEKDAY(MAX($A157,Settings!$F$47)),7))/7)+1)),IF(AND(IF(Settings!$E$47="",$B157,DATE(YEAR($A157),MONTH($A157),MIN(Settings!$E$47,DAY($B157))))&gt;=MAX($A157,Settings!$F$47),IF(Settings!$E$47="",$B157,DATE(YEAR($A157),MONTH($A157),MIN(Settings!$E$47,DAY($B157))))&lt;=MIN(Settings!$B$5,IF(Settings!$G$47="",Settings!$B$5,Settings!$G$47))),1,0)))))</f>
        <v/>
      </c>
      <c r="EW157">
        <f>IF($E157&lt;&gt;"open",0,IF(AND('Month-End'!$EX$25&lt;&gt;"",NOT(_xlfn.ISFORMULA('Month-End'!$EX$25))),0,IF(OR(Settings!$C$48="",Settings!$D$48=""),0,Settings!$C$48*IF(Settings!$D$48="Weekly",IF(IFERROR(MATCH(Settings!$E$48,$EO$4:$EO$10,0),0)=0,0,IF(MIN(Settings!$B$5,IF(Settings!$G$48="",Settings!$B$5,Settings!$G$48))&lt;MAX($A157,Settings!$F$48),0,INT((MIN(Settings!$B$5,IF(Settings!$G$48="",Settings!$B$5,Settings!$G$48))-MAX($A157,Settings!$F$48)-MOD(IFERROR(MATCH(Settings!$E$48,$EO$4:$EO$10,0),0)-WEEKDAY(MAX($A157,Settings!$F$48)),7))/7)+1)),IF(AND(IF(Settings!$E$48="",$B157,DATE(YEAR($A157),MONTH($A157),MIN(Settings!$E$48,DAY($B157))))&gt;=MAX($A157,Settings!$F$48),IF(Settings!$E$48="",$B157,DATE(YEAR($A157),MONTH($A157),MIN(Settings!$E$48,DAY($B157))))&lt;=MIN(Settings!$B$5,IF(Settings!$G$48="",Settings!$B$5,Settings!$G$48))),1,0)))))</f>
        <v/>
      </c>
      <c r="EX157">
        <f>IF($E157&lt;&gt;"open",0,IF(AND('Month-End'!$EX$26&lt;&gt;"",NOT(_xlfn.ISFORMULA('Month-End'!$EX$26))),0,IF(OR(Settings!$C$49="",Settings!$D$49=""),0,Settings!$C$49*IF(Settings!$D$49="Weekly",IF(IFERROR(MATCH(Settings!$E$49,$EO$4:$EO$10,0),0)=0,0,IF(MIN(Settings!$B$5,IF(Settings!$G$49="",Settings!$B$5,Settings!$G$49))&lt;MAX($A157,Settings!$F$49),0,INT((MIN(Settings!$B$5,IF(Settings!$G$49="",Settings!$B$5,Settings!$G$49))-MAX($A157,Settings!$F$49)-MOD(IFERROR(MATCH(Settings!$E$49,$EO$4:$EO$10,0),0)-WEEKDAY(MAX($A157,Settings!$F$49)),7))/7)+1)),IF(AND(IF(Settings!$E$49="",$B157,DATE(YEAR($A157),MONTH($A157),MIN(Settings!$E$49,DAY($B157))))&gt;=MAX($A157,Settings!$F$49),IF(Settings!$E$49="",$B157,DATE(YEAR($A157),MONTH($A157),MIN(Settings!$E$49,DAY($B157))))&lt;=MIN(Settings!$B$5,IF(Settings!$G$49="",Settings!$B$5,Settings!$G$49))),1,0)))))</f>
        <v/>
      </c>
      <c r="EY157">
        <f>IF($E157&lt;&gt;"open",0,IF(AND('Month-End'!$EX$27&lt;&gt;"",NOT(_xlfn.ISFORMULA('Month-End'!$EX$27))),0,IF(OR(Settings!$C$50="",Settings!$D$50=""),0,Settings!$C$50*IF(Settings!$D$50="Weekly",IF(IFERROR(MATCH(Settings!$E$50,$EO$4:$EO$10,0),0)=0,0,IF(MIN(Settings!$B$5,IF(Settings!$G$50="",Settings!$B$5,Settings!$G$50))&lt;MAX($A157,Settings!$F$50),0,INT((MIN(Settings!$B$5,IF(Settings!$G$50="",Settings!$B$5,Settings!$G$50))-MAX($A157,Settings!$F$50)-MOD(IFERROR(MATCH(Settings!$E$50,$EO$4:$EO$10,0),0)-WEEKDAY(MAX($A157,Settings!$F$50)),7))/7)+1)),IF(AND(IF(Settings!$E$50="",$B157,DATE(YEAR($A157),MONTH($A157),MIN(Settings!$E$50,DAY($B157))))&gt;=MAX($A157,Settings!$F$50),IF(Settings!$E$50="",$B157,DATE(YEAR($A157),MONTH($A157),MIN(Settings!$E$50,DAY($B157))))&lt;=MIN(Settings!$B$5,IF(Settings!$G$50="",Settings!$B$5,Settings!$G$50))),1,0)))))</f>
        <v/>
      </c>
      <c r="EZ157">
        <f>IF($E157&lt;&gt;"open",0,IF(AND('Month-End'!$EX$28&lt;&gt;"",NOT(_xlfn.ISFORMULA('Month-End'!$EX$28))),0,IF(OR(Settings!$C$51="",Settings!$D$51=""),0,Settings!$C$51*IF(Settings!$D$51="Weekly",IF(IFERROR(MATCH(Settings!$E$51,$EO$4:$EO$10,0),0)=0,0,IF(MIN(Settings!$B$5,IF(Settings!$G$51="",Settings!$B$5,Settings!$G$51))&lt;MAX($A157,Settings!$F$51),0,INT((MIN(Settings!$B$5,IF(Settings!$G$51="",Settings!$B$5,Settings!$G$51))-MAX($A157,Settings!$F$51)-MOD(IFERROR(MATCH(Settings!$E$51,$EO$4:$EO$10,0),0)-WEEKDAY(MAX($A157,Settings!$F$51)),7))/7)+1)),IF(AND(IF(Settings!$E$51="",$B157,DATE(YEAR($A157),MONTH($A157),MIN(Settings!$E$51,DAY($B157))))&gt;=MAX($A157,Settings!$F$51),IF(Settings!$E$51="",$B157,DATE(YEAR($A157),MONTH($A157),MIN(Settings!$E$51,DAY($B157))))&lt;=MIN(Settings!$B$5,IF(Settings!$G$51="",Settings!$B$5,Settings!$G$51))),1,0)))))</f>
        <v/>
      </c>
      <c r="FA157">
        <f>IF($E157&lt;&gt;"open",0,IF(AND('Month-End'!$EX$29&lt;&gt;"",NOT(_xlfn.ISFORMULA('Month-End'!$EX$29))),0,IF(OR(Settings!$C$52="",Settings!$D$52=""),0,Settings!$C$52*IF(Settings!$D$52="Weekly",IF(IFERROR(MATCH(Settings!$E$52,$EO$4:$EO$10,0),0)=0,0,IF(MIN(Settings!$B$5,IF(Settings!$G$52="",Settings!$B$5,Settings!$G$52))&lt;MAX($A157,Settings!$F$52),0,INT((MIN(Settings!$B$5,IF(Settings!$G$52="",Settings!$B$5,Settings!$G$52))-MAX($A157,Settings!$F$52)-MOD(IFERROR(MATCH(Settings!$E$52,$EO$4:$EO$10,0),0)-WEEKDAY(MAX($A157,Settings!$F$52)),7))/7)+1)),IF(AND(IF(Settings!$E$52="",$B157,DATE(YEAR($A157),MONTH($A157),MIN(Settings!$E$52,DAY($B157))))&gt;=MAX($A157,Settings!$F$52),IF(Settings!$E$52="",$B157,DATE(YEAR($A157),MONTH($A157),MIN(Settings!$E$52,DAY($B157))))&lt;=MIN(Settings!$B$5,IF(Settings!$G$52="",Settings!$B$5,Settings!$G$52))),1,0)))))</f>
        <v/>
      </c>
      <c r="FB157">
        <f>IF($E157&lt;&gt;"open",0,IF(AND('Month-End'!$EX$30&lt;&gt;"",NOT(_xlfn.ISFORMULA('Month-End'!$EX$30))),0,IF(OR(Settings!$C$53="",Settings!$D$53=""),0,Settings!$C$53*IF(Settings!$D$53="Weekly",IF(IFERROR(MATCH(Settings!$E$53,$EO$4:$EO$10,0),0)=0,0,IF(MIN(Settings!$B$5,IF(Settings!$G$53="",Settings!$B$5,Settings!$G$53))&lt;MAX($A157,Settings!$F$53),0,INT((MIN(Settings!$B$5,IF(Settings!$G$53="",Settings!$B$5,Settings!$G$53))-MAX($A157,Settings!$F$53)-MOD(IFERROR(MATCH(Settings!$E$53,$EO$4:$EO$10,0),0)-WEEKDAY(MAX($A157,Settings!$F$53)),7))/7)+1)),IF(AND(IF(Settings!$E$53="",$B157,DATE(YEAR($A157),MONTH($A157),MIN(Settings!$E$53,DAY($B157))))&gt;=MAX($A157,Settings!$F$53),IF(Settings!$E$53="",$B157,DATE(YEAR($A157),MONTH($A157),MIN(Settings!$E$53,DAY($B157))))&lt;=MIN(Settings!$B$5,IF(Settings!$G$53="",Settings!$B$5,Settings!$G$53))),1,0)))))</f>
        <v/>
      </c>
      <c r="FC157">
        <f>IF($E157&lt;&gt;"open",0,IF(AND('Month-End'!$EX$31&lt;&gt;"",NOT(_xlfn.ISFORMULA('Month-End'!$EX$31))),0,IF(OR(Settings!$C$54="",Settings!$D$54=""),0,Settings!$C$54*IF(Settings!$D$54="Weekly",IF(IFERROR(MATCH(Settings!$E$54,$EO$4:$EO$10,0),0)=0,0,IF(MIN(Settings!$B$5,IF(Settings!$G$54="",Settings!$B$5,Settings!$G$54))&lt;MAX($A157,Settings!$F$54),0,INT((MIN(Settings!$B$5,IF(Settings!$G$54="",Settings!$B$5,Settings!$G$54))-MAX($A157,Settings!$F$54)-MOD(IFERROR(MATCH(Settings!$E$54,$EO$4:$EO$10,0),0)-WEEKDAY(MAX($A157,Settings!$F$54)),7))/7)+1)),IF(AND(IF(Settings!$E$54="",$B157,DATE(YEAR($A157),MONTH($A157),MIN(Settings!$E$54,DAY($B157))))&gt;=MAX($A157,Settings!$F$54),IF(Settings!$E$54="",$B157,DATE(YEAR($A157),MONTH($A157),MIN(Settings!$E$54,DAY($B157))))&lt;=MIN(Settings!$B$5,IF(Settings!$G$54="",Settings!$B$5,Settings!$G$54))),1,0)))))</f>
        <v/>
      </c>
      <c r="FD157">
        <f>IF($E157&lt;&gt;"open",0,IF(AND('Month-End'!$EX$32&lt;&gt;"",NOT(_xlfn.ISFORMULA('Month-End'!$EX$32))),0,IF(OR(Settings!$C$55="",Settings!$D$55=""),0,Settings!$C$55*IF(Settings!$D$55="Weekly",IF(IFERROR(MATCH(Settings!$E$55,$EO$4:$EO$10,0),0)=0,0,IF(MIN(Settings!$B$5,IF(Settings!$G$55="",Settings!$B$5,Settings!$G$55))&lt;MAX($A157,Settings!$F$55),0,INT((MIN(Settings!$B$5,IF(Settings!$G$55="",Settings!$B$5,Settings!$G$55))-MAX($A157,Settings!$F$55)-MOD(IFERROR(MATCH(Settings!$E$55,$EO$4:$EO$10,0),0)-WEEKDAY(MAX($A157,Settings!$F$55)),7))/7)+1)),IF(AND(IF(Settings!$E$55="",$B157,DATE(YEAR($A157),MONTH($A157),MIN(Settings!$E$55,DAY($B157))))&gt;=MAX($A157,Settings!$F$55),IF(Settings!$E$55="",$B157,DATE(YEAR($A157),MONTH($A157),MIN(Settings!$E$55,DAY($B157))))&lt;=MIN(Settings!$B$5,IF(Settings!$G$55="",Settings!$B$5,Settings!$G$55))),1,0)))))</f>
        <v/>
      </c>
      <c r="FE157">
        <f>IF($E157&lt;&gt;"open",0,IF(AND('Month-End'!$EX$33&lt;&gt;"",NOT(_xlfn.ISFORMULA('Month-End'!$EX$33))),0,IF(OR(Settings!$C$56="",Settings!$D$56=""),0,Settings!$C$56*IF(Settings!$D$56="Weekly",IF(IFERROR(MATCH(Settings!$E$56,$EO$4:$EO$10,0),0)=0,0,IF(MIN(Settings!$B$5,IF(Settings!$G$56="",Settings!$B$5,Settings!$G$56))&lt;MAX($A157,Settings!$F$56),0,INT((MIN(Settings!$B$5,IF(Settings!$G$56="",Settings!$B$5,Settings!$G$56))-MAX($A157,Settings!$F$56)-MOD(IFERROR(MATCH(Settings!$E$56,$EO$4:$EO$10,0),0)-WEEKDAY(MAX($A157,Settings!$F$56)),7))/7)+1)),IF(AND(IF(Settings!$E$56="",$B157,DATE(YEAR($A157),MONTH($A157),MIN(Settings!$E$56,DAY($B157))))&gt;=MAX($A157,Settings!$F$56),IF(Settings!$E$56="",$B157,DATE(YEAR($A157),MONTH($A157),MIN(Settings!$E$56,DAY($B157))))&lt;=MIN(Settings!$B$5,IF(Settings!$G$56="",Settings!$B$5,Settings!$G$56))),1,0)))))</f>
        <v/>
      </c>
      <c r="FF157">
        <f>IF(Settings!$I$45="Yes",$G157,0)+IF(Settings!$I$46="Yes",$H157,0)+IF(Settings!$I$47="Yes",$I157,0)+IF(Settings!$I$48="Yes",$J157,0)+IF(Settings!$I$49="Yes",$K157,0)+IF(Settings!$I$50="Yes",$L157,0)+IF(Settings!$I$51="Yes",$M157,0)+IF(Settings!$I$52="Yes",$N157,0)+IF(Settings!$I$53="Yes",$O157,0)+IF(Settings!$I$54="Yes",$P157,0)+IF(Settings!$I$55="Yes",$Q157,0)+IF(Settings!$I$56="Yes",$R157,0)</f>
        <v/>
      </c>
      <c r="FG157">
        <f>IF(AND(Settings!$I$45="Yes",Settings!$J$45="No"),$G157,0)+IF(AND(Settings!$I$46="Yes",Settings!$J$46="No"),$H157,0)+IF(AND(Settings!$I$47="Yes",Settings!$J$47="No"),$I157,0)+IF(AND(Settings!$I$48="Yes",Settings!$J$48="No"),$J157,0)+IF(AND(Settings!$I$49="Yes",Settings!$J$49="No"),$K157,0)+IF(AND(Settings!$I$50="Yes",Settings!$J$50="No"),$L157,0)+IF(AND(Settings!$I$51="Yes",Settings!$J$51="No"),$M157,0)+IF(AND(Settings!$I$52="Yes",Settings!$J$52="No"),$N157,0)+IF(AND(Settings!$I$53="Yes",Settings!$J$53="No"),$O157,0)+IF(AND(Settings!$I$54="Yes",Settings!$J$54="No"),$P157,0)+IF(AND(Settings!$I$55="Yes",Settings!$J$55="No"),$Q157,0)+IF(AND(Settings!$I$56="Yes",Settings!$J$56="No"),$R157,0)</f>
        <v/>
      </c>
      <c r="FH157">
        <f>SUMIFS(Giving!$B$7:$B$2006,Giving!$A$7:$A$2006,"&gt;="&amp;$A157,Giving!$A$7:$A$2006,"&lt;="&amp;$B157,Giving!$G$7:$G$2006,"Yes")+IF(OR(OR(Settings!$B$60="",Settings!$F$60="No"),Settings!$H$60&lt;&gt;"Yes"),0,Settings!$B$60*IF(AND(IF(Settings!$C$60="",$B157,DATE(YEAR($A157),MONTH($A157),MIN(Settings!$C$60,DAY($B157))))&gt;=MAX($A157,Settings!$D$60),IF(Settings!$C$60="",$B157,DATE(YEAR($A157),MONTH($A157),MIN(Settings!$C$60,DAY($B157))))&lt;=MIN($C157,IF(Settings!$E$60="",$C157,Settings!$E$60))),1,0))+IF(OR(OR(Settings!$B$61="",Settings!$F$61="No"),Settings!$H$61&lt;&gt;"Yes"),0,Settings!$B$61*IF(AND(IF(Settings!$C$61="",$B157,DATE(YEAR($A157),MONTH($A157),MIN(Settings!$C$61,DAY($B157))))&gt;=MAX($A157,Settings!$D$61),IF(Settings!$C$61="",$B157,DATE(YEAR($A157),MONTH($A157),MIN(Settings!$C$61,DAY($B157))))&lt;=MIN($C157,IF(Settings!$E$61="",$C157,Settings!$E$61))),1,0))+IF(OR(OR(Settings!$B$62="",Settings!$F$62="No"),Settings!$H$62&lt;&gt;"Yes"),0,Settings!$B$62*IF(AND(IF(Settings!$C$62="",$B157,DATE(YEAR($A157),MONTH($A157),MIN(Settings!$C$62,DAY($B157))))&gt;=MAX($A157,Settings!$D$62),IF(Settings!$C$62="",$B157,DATE(YEAR($A157),MONTH($A157),MIN(Settings!$C$62,DAY($B157))))&lt;=MIN($C157,IF(Settings!$E$62="",$C157,Settings!$E$62))),1,0))+IF(OR(OR(Settings!$B$63="",Settings!$F$63="No"),Settings!$H$63&lt;&gt;"Yes"),0,Settings!$B$63*IF(AND(IF(Settings!$C$63="",$B157,DATE(YEAR($A157),MONTH($A157),MIN(Settings!$C$63,DAY($B157))))&gt;=MAX($A157,Settings!$D$63),IF(Settings!$C$63="",$B157,DATE(YEAR($A157),MONTH($A157),MIN(Settings!$C$63,DAY($B157))))&lt;=MIN($C157,IF(Settings!$E$63="",$C157,Settings!$E$63))),1,0))+IF(OR(OR(Settings!$B$64="",Settings!$F$64="No"),Settings!$H$64&lt;&gt;"Yes"),0,Settings!$B$64*IF(AND(IF(Settings!$C$64="",$B157,DATE(YEAR($A157),MONTH($A157),MIN(Settings!$C$64,DAY($B157))))&gt;=MAX($A157,Settings!$D$64),IF(Settings!$C$64="",$B157,DATE(YEAR($A157),MONTH($A157),MIN(Settings!$C$64,DAY($B157))))&lt;=MIN($C157,IF(Settings!$E$64="",$C157,Settings!$E$64))),1,0))+IF(OR(OR(Settings!$B$65="",Settings!$F$65="No"),Settings!$H$65&lt;&gt;"Yes"),0,Settings!$B$65*IF(AND(IF(Settings!$C$65="",$B157,DATE(YEAR($A157),MONTH($A157),MIN(Settings!$C$65,DAY($B157))))&gt;=MAX($A157,Settings!$D$65),IF(Settings!$C$65="",$B157,DATE(YEAR($A157),MONTH($A157),MIN(Settings!$C$65,DAY($B157))))&lt;=MIN($C157,IF(Settings!$E$65="",$C157,Settings!$E$65))),1,0))</f>
        <v/>
      </c>
      <c r="FI157">
        <f>IF($DT157=1,IF(OR(Settings!$B$19="Card",Settings!$B$19="Loan"),N($AE157),0)+IF(OR(Settings!$B$20="Card",Settings!$B$20="Loan"),N($AF157),0)+IF(OR(Settings!$B$21="Card",Settings!$B$21="Loan"),N($AG157),0)+IF(OR(Settings!$B$22="Card",Settings!$B$22="Loan"),N($AH157),0)+IF(OR(Settings!$B$23="Card",Settings!$B$23="Loan"),N($AI157),0)+IF(OR(Settings!$B$24="Card",Settings!$B$24="Loan"),N($AJ157),0)+IF(OR(Settings!$B$25="Card",Settings!$B$25="Loan"),N($AK157),0)+IF(OR(Settings!$B$26="Card",Settings!$B$26="Loan"),N($AL157),0)+IF(OR(Settings!$B$27="Card",Settings!$B$27="Loan"),N($AM157),0)+IF(OR(Settings!$B$28="Card",Settings!$B$28="Loan"),N($AN157),0)+IF(OR(Settings!$B$29="Card",Settings!$B$29="Loan"),N($AO157),0)+IF(OR(Settings!$B$30="Card",Settings!$B$30="Loan"),N($AP157),0)+IF(OR(Settings!$B$31="Card",Settings!$B$31="Loan"),N($AQ157),0)+IF(OR(Settings!$B$32="Card",Settings!$B$32="Loan"),N($AR157),0),"")</f>
        <v/>
      </c>
      <c r="FJ157">
        <f>IF($E157="open",$EB$65,IF($E157="post",IF($E156="pre",$EB$65,$FI156),""))</f>
        <v/>
      </c>
      <c r="FK157">
        <f>IF(AND($DT157=1,$DC157=1),IF(ROUND($FI157-$FJ157,2)&gt;0,1,0),0)</f>
        <v/>
      </c>
      <c r="FL157">
        <f>IF($FK157=1,$FL156+1,0)</f>
        <v/>
      </c>
    </row>
    <row r="158">
      <c r="A158">
        <f>'Month-End'!$EY$4</f>
        <v/>
      </c>
      <c r="B158">
        <f>EOMONTH($A158,0)</f>
        <v/>
      </c>
      <c r="C158">
        <f>MIN($B158,TODAY())</f>
        <v/>
      </c>
      <c r="D158">
        <f>IF($A158&gt;TODAY(),1,0)</f>
        <v/>
      </c>
      <c r="E158">
        <f>IF($B158&lt;=Settings!$B$5,"pre",IF($A158&lt;=Settings!$B$5,"open","post"))</f>
        <v/>
      </c>
      <c r="G158">
        <f>IF('Month-End'!$EY$22="",$BE158,N('Month-End'!$EY$22))</f>
        <v/>
      </c>
      <c r="H158">
        <f>IF('Month-End'!$EY$23="",$BF158,N('Month-End'!$EY$23))</f>
        <v/>
      </c>
      <c r="I158">
        <f>IF('Month-End'!$EY$24="",$BG158,N('Month-End'!$EY$24))</f>
        <v/>
      </c>
      <c r="J158">
        <f>IF('Month-End'!$EY$25="",$BH158,N('Month-End'!$EY$25))</f>
        <v/>
      </c>
      <c r="K158">
        <f>IF('Month-End'!$EY$26="",$BI158,N('Month-End'!$EY$26))</f>
        <v/>
      </c>
      <c r="L158">
        <f>IF('Month-End'!$EY$27="",$BJ158,N('Month-End'!$EY$27))</f>
        <v/>
      </c>
      <c r="M158">
        <f>IF('Month-End'!$EY$28="",$BK158,N('Month-End'!$EY$28))</f>
        <v/>
      </c>
      <c r="N158">
        <f>IF('Month-End'!$EY$29="",$BL158,N('Month-End'!$EY$29))</f>
        <v/>
      </c>
      <c r="O158">
        <f>IF('Month-End'!$EY$30="",$BM158,N('Month-End'!$EY$30))</f>
        <v/>
      </c>
      <c r="P158">
        <f>IF('Month-End'!$EY$31="",$BN158,N('Month-End'!$EY$31))</f>
        <v/>
      </c>
      <c r="Q158">
        <f>IF('Month-End'!$EY$32="",$BO158,N('Month-End'!$EY$32))</f>
        <v/>
      </c>
      <c r="R158">
        <f>IF('Month-End'!$EY$33="",$BP158,N('Month-End'!$EY$33))</f>
        <v/>
      </c>
      <c r="S158">
        <f>$G158+$H158+$I158+$J158+$K158+$L158+$M158+$N158+$O158+$P158+$Q158+$R158</f>
        <v/>
      </c>
      <c r="T158">
        <f>IF($B158&lt;Settings!$B$6,0,IF(Settings!$B$45="Yes",$G158,0)+IF(Settings!$B$46="Yes",$H158,0)+IF(Settings!$B$47="Yes",$I158,0)+IF(Settings!$B$48="Yes",$J158,0)+IF(Settings!$B$49="Yes",$K158,0)+IF(Settings!$B$50="Yes",$L158,0)+IF(Settings!$B$51="Yes",$M158,0)+IF(Settings!$B$52="Yes",$N158,0)+IF(Settings!$B$53="Yes",$O158,0)+IF(Settings!$B$54="Yes",$P158,0)+IF(Settings!$B$55="Yes",$Q158,0)+IF(Settings!$B$56="Yes",$R158,0))</f>
        <v/>
      </c>
      <c r="U158">
        <f>IF(Settings!$B$45="Not Sure",$G158,0)+IF(Settings!$B$46="Not Sure",$H158,0)+IF(Settings!$B$47="Not Sure",$I158,0)+IF(Settings!$B$48="Not Sure",$J158,0)+IF(Settings!$B$49="Not Sure",$K158,0)+IF(Settings!$B$50="Not Sure",$L158,0)+IF(Settings!$B$51="Not Sure",$M158,0)+IF(Settings!$B$52="Not Sure",$N158,0)+IF(Settings!$B$53="Not Sure",$O158,0)+IF(Settings!$B$54="Not Sure",$P158,0)+IF(Settings!$B$55="Not Sure",$Q158,0)+IF(Settings!$B$56="Not Sure",$R158,0)</f>
        <v/>
      </c>
      <c r="V158">
        <f>IF($E158="open",SUM($ET158:$FE158)+N(Settings!$B$13),0)</f>
        <v/>
      </c>
      <c r="W158">
        <f>IF($E158="post",$S158,IF($E158="open",$S158-$V158,0))</f>
        <v/>
      </c>
      <c r="X158">
        <f>SUMIFS(Giving!$B$7:$B$2006,Giving!$A$7:$A$2006,"&gt;="&amp;$A158,Giving!$A$7:$A$2006,"&lt;="&amp;$B158,Giving!$E$7:$E$2006,"&lt;&gt;No")</f>
        <v/>
      </c>
      <c r="Y158">
        <f>SUMIFS(Giving!$B$7:$B$2006,Giving!$A$7:$A$2006,"&gt;="&amp;$A158,Giving!$A$7:$A$2006,"&lt;="&amp;$B158,Giving!$E$7:$E$2006,"No")</f>
        <v/>
      </c>
      <c r="Z158">
        <f>IF(OR(Settings!$B$60="",Settings!$F$60="No"),0,Settings!$B$60*IF(AND(IF(Settings!$C$60="",$B158,DATE(YEAR($A158),MONTH($A158),MIN(Settings!$C$60,DAY($B158))))&gt;=MAX($A158,Settings!$D$60),IF(Settings!$C$60="",$B158,DATE(YEAR($A158),MONTH($A158),MIN(Settings!$C$60,DAY($B158))))&lt;=MIN($C158,IF(Settings!$E$60="",$C158,Settings!$E$60))),1,0))+IF(OR(Settings!$B$61="",Settings!$F$61="No"),0,Settings!$B$61*IF(AND(IF(Settings!$C$61="",$B158,DATE(YEAR($A158),MONTH($A158),MIN(Settings!$C$61,DAY($B158))))&gt;=MAX($A158,Settings!$D$61),IF(Settings!$C$61="",$B158,DATE(YEAR($A158),MONTH($A158),MIN(Settings!$C$61,DAY($B158))))&lt;=MIN($C158,IF(Settings!$E$61="",$C158,Settings!$E$61))),1,0))+IF(OR(Settings!$B$62="",Settings!$F$62="No"),0,Settings!$B$62*IF(AND(IF(Settings!$C$62="",$B158,DATE(YEAR($A158),MONTH($A158),MIN(Settings!$C$62,DAY($B158))))&gt;=MAX($A158,Settings!$D$62),IF(Settings!$C$62="",$B158,DATE(YEAR($A158),MONTH($A158),MIN(Settings!$C$62,DAY($B158))))&lt;=MIN($C158,IF(Settings!$E$62="",$C158,Settings!$E$62))),1,0))+IF(OR(Settings!$B$63="",Settings!$F$63="No"),0,Settings!$B$63*IF(AND(IF(Settings!$C$63="",$B158,DATE(YEAR($A158),MONTH($A158),MIN(Settings!$C$63,DAY($B158))))&gt;=MAX($A158,Settings!$D$63),IF(Settings!$C$63="",$B158,DATE(YEAR($A158),MONTH($A158),MIN(Settings!$C$63,DAY($B158))))&lt;=MIN($C158,IF(Settings!$E$63="",$C158,Settings!$E$63))),1,0))+IF(OR(Settings!$B$64="",Settings!$F$64="No"),0,Settings!$B$64*IF(AND(IF(Settings!$C$64="",$B158,DATE(YEAR($A158),MONTH($A158),MIN(Settings!$C$64,DAY($B158))))&gt;=MAX($A158,Settings!$D$64),IF(Settings!$C$64="",$B158,DATE(YEAR($A158),MONTH($A158),MIN(Settings!$C$64,DAY($B158))))&lt;=MIN($C158,IF(Settings!$E$64="",$C158,Settings!$E$64))),1,0))+IF(OR(Settings!$B$65="",Settings!$F$65="No"),0,Settings!$B$65*IF(AND(IF(Settings!$C$65="",$B158,DATE(YEAR($A158),MONTH($A158),MIN(Settings!$C$65,DAY($B158))))&gt;=MAX($A158,Settings!$D$65),IF(Settings!$C$65="",$B158,DATE(YEAR($A158),MONTH($A158),MIN(Settings!$C$65,DAY($B158))))&lt;=MIN($C158,IF(Settings!$E$65="",$C158,Settings!$E$65))),1,0))</f>
        <v/>
      </c>
      <c r="AA158">
        <f>$X158+$Z158</f>
        <v/>
      </c>
      <c r="AB158">
        <f>IF($E158="post",$AA158,IF($E158="open",SUMIFS(Giving!$B$7:$B$2006,Giving!$A$7:$A$2006,"&gt;"&amp;Settings!$B$5,Giving!$A$7:$A$2006,"&lt;="&amp;$B158,Giving!$E$7:$E$2006,"&lt;&gt;No")+IF(OR(Settings!$B$60="",Settings!$F$60="No"),0,Settings!$B$60*IF(AND(IF(Settings!$C$60="",$B158,DATE(YEAR($A158),MONTH($A158),MIN(Settings!$C$60,DAY($B158))))&gt;=MAX($A158,Settings!$D$60,Settings!$B$5+1),IF(Settings!$C$60="",$B158,DATE(YEAR($A158),MONTH($A158),MIN(Settings!$C$60,DAY($B158))))&lt;=MIN($C158,IF(Settings!$E$60="",$C158,Settings!$E$60))),1,0))+IF(OR(Settings!$B$61="",Settings!$F$61="No"),0,Settings!$B$61*IF(AND(IF(Settings!$C$61="",$B158,DATE(YEAR($A158),MONTH($A158),MIN(Settings!$C$61,DAY($B158))))&gt;=MAX($A158,Settings!$D$61,Settings!$B$5+1),IF(Settings!$C$61="",$B158,DATE(YEAR($A158),MONTH($A158),MIN(Settings!$C$61,DAY($B158))))&lt;=MIN($C158,IF(Settings!$E$61="",$C158,Settings!$E$61))),1,0))+IF(OR(Settings!$B$62="",Settings!$F$62="No"),0,Settings!$B$62*IF(AND(IF(Settings!$C$62="",$B158,DATE(YEAR($A158),MONTH($A158),MIN(Settings!$C$62,DAY($B158))))&gt;=MAX($A158,Settings!$D$62,Settings!$B$5+1),IF(Settings!$C$62="",$B158,DATE(YEAR($A158),MONTH($A158),MIN(Settings!$C$62,DAY($B158))))&lt;=MIN($C158,IF(Settings!$E$62="",$C158,Settings!$E$62))),1,0))+IF(OR(Settings!$B$63="",Settings!$F$63="No"),0,Settings!$B$63*IF(AND(IF(Settings!$C$63="",$B158,DATE(YEAR($A158),MONTH($A158),MIN(Settings!$C$63,DAY($B158))))&gt;=MAX($A158,Settings!$D$63,Settings!$B$5+1),IF(Settings!$C$63="",$B158,DATE(YEAR($A158),MONTH($A158),MIN(Settings!$C$63,DAY($B158))))&lt;=MIN($C158,IF(Settings!$E$63="",$C158,Settings!$E$63))),1,0))+IF(OR(Settings!$B$64="",Settings!$F$64="No"),0,Settings!$B$64*IF(AND(IF(Settings!$C$64="",$B158,DATE(YEAR($A158),MONTH($A158),MIN(Settings!$C$64,DAY($B158))))&gt;=MAX($A158,Settings!$D$64,Settings!$B$5+1),IF(Settings!$C$64="",$B158,DATE(YEAR($A158),MONTH($A158),MIN(Settings!$C$64,DAY($B158))))&lt;=MIN($C158,IF(Settings!$E$64="",$C158,Settings!$E$64))),1,0))+IF(OR(Settings!$B$65="",Settings!$F$65="No"),0,Settings!$B$65*IF(AND(IF(Settings!$C$65="",$B158,DATE(YEAR($A158),MONTH($A158),MIN(Settings!$C$65,DAY($B158))))&gt;=MAX($A158,Settings!$D$65,Settings!$B$5+1),IF(Settings!$C$65="",$B158,DATE(YEAR($A158),MONTH($A158),MIN(Settings!$C$65,DAY($B158))))&lt;=MIN($C158,IF(Settings!$E$65="",$C158,Settings!$E$65))),1,0)),0))</f>
        <v/>
      </c>
      <c r="AC158">
        <f>$AY158+$AZ158+$BA158+$BB158+$BC158+$BD158</f>
        <v/>
      </c>
      <c r="AD158">
        <f>$AC158</f>
        <v/>
      </c>
      <c r="AE158">
        <f>IF(OR(Settings!$A$19="",$E158="pre"),"",IF(AND('Month-End'!$EY$7&lt;&gt;"",NOT(_xlfn.ISFORMULA('Month-End'!$EY$7))),N('Month-End'!$EY$7),IF(OR($E158="open",$E157="pre"),N(Settings!$C$19),N($AE157))))</f>
        <v/>
      </c>
      <c r="AF158">
        <f>IF(OR(Settings!$A$20="",$E158="pre"),"",IF(AND('Month-End'!$EY$8&lt;&gt;"",NOT(_xlfn.ISFORMULA('Month-End'!$EY$8))),N('Month-End'!$EY$8),IF(OR($E158="open",$E157="pre"),N(Settings!$C$20),N($AF157))))</f>
        <v/>
      </c>
      <c r="AG158">
        <f>IF(OR(Settings!$A$21="",$E158="pre"),"",IF(AND('Month-End'!$EY$9&lt;&gt;"",NOT(_xlfn.ISFORMULA('Month-End'!$EY$9))),N('Month-End'!$EY$9),IF(OR($E158="open",$E157="pre"),N(Settings!$C$21),N($AG157))))</f>
        <v/>
      </c>
      <c r="AH158">
        <f>IF(OR(Settings!$A$22="",$E158="pre"),"",IF(AND('Month-End'!$EY$10&lt;&gt;"",NOT(_xlfn.ISFORMULA('Month-End'!$EY$10))),N('Month-End'!$EY$10),IF(OR($E158="open",$E157="pre"),N(Settings!$C$22),N($AH157))))</f>
        <v/>
      </c>
      <c r="AI158">
        <f>IF(OR(Settings!$A$23="",$E158="pre"),"",IF(AND('Month-End'!$EY$11&lt;&gt;"",NOT(_xlfn.ISFORMULA('Month-End'!$EY$11))),N('Month-End'!$EY$11),IF(OR($E158="open",$E157="pre"),N(Settings!$C$23),N($AI157))))</f>
        <v/>
      </c>
      <c r="AJ158">
        <f>IF(OR(Settings!$A$24="",$E158="pre"),"",IF(AND('Month-End'!$EY$12&lt;&gt;"",NOT(_xlfn.ISFORMULA('Month-End'!$EY$12))),N('Month-End'!$EY$12),IF(OR($E158="open",$E157="pre"),N(Settings!$C$24),N($AJ157))))</f>
        <v/>
      </c>
      <c r="AK158">
        <f>IF(OR(Settings!$A$25="",$E158="pre"),"",IF(AND('Month-End'!$EY$13&lt;&gt;"",NOT(_xlfn.ISFORMULA('Month-End'!$EY$13))),N('Month-End'!$EY$13),IF(OR($E158="open",$E157="pre"),N(Settings!$C$25),N($AK157))))</f>
        <v/>
      </c>
      <c r="AL158">
        <f>IF(OR(Settings!$A$26="",$E158="pre"),"",IF(AND('Month-End'!$EY$14&lt;&gt;"",NOT(_xlfn.ISFORMULA('Month-End'!$EY$14))),N('Month-End'!$EY$14),IF(OR($E158="open",$E157="pre"),N(Settings!$C$26),N($AL157))))</f>
        <v/>
      </c>
      <c r="AM158">
        <f>IF(OR(Settings!$A$27="",$E158="pre"),"",IF(AND('Month-End'!$EY$15&lt;&gt;"",NOT(_xlfn.ISFORMULA('Month-End'!$EY$15))),N('Month-End'!$EY$15),IF(OR($E158="open",$E157="pre"),N(Settings!$C$27),N($AM157))))</f>
        <v/>
      </c>
      <c r="AN158">
        <f>IF(OR(Settings!$A$28="",$E158="pre"),"",IF(AND('Month-End'!$EY$16&lt;&gt;"",NOT(_xlfn.ISFORMULA('Month-End'!$EY$16))),N('Month-End'!$EY$16),IF(OR($E158="open",$E157="pre"),N(Settings!$C$28),N($AN157))))</f>
        <v/>
      </c>
      <c r="AO158">
        <f>IF(OR(Settings!$A$29="",$E158="pre"),"",IF(AND('Month-End'!$EY$17&lt;&gt;"",NOT(_xlfn.ISFORMULA('Month-End'!$EY$17))),N('Month-End'!$EY$17),IF(OR($E158="open",$E157="pre"),N(Settings!$C$29),N($AO157))))</f>
        <v/>
      </c>
      <c r="AP158">
        <f>IF(OR(Settings!$A$30="",$E158="pre"),"",IF(AND('Month-End'!$EY$18&lt;&gt;"",NOT(_xlfn.ISFORMULA('Month-End'!$EY$18))),N('Month-End'!$EY$18),IF(OR($E158="open",$E157="pre"),N(Settings!$C$30),N($AP157))))</f>
        <v/>
      </c>
      <c r="AQ158">
        <f>IF(OR(Settings!$A$31="",$E158="pre"),"",IF(AND('Month-End'!$EY$19&lt;&gt;"",NOT(_xlfn.ISFORMULA('Month-End'!$EY$19))),N('Month-End'!$EY$19),IF(OR($E158="open",$E157="pre"),N(Settings!$C$31),N($AQ157))))</f>
        <v/>
      </c>
      <c r="AR158">
        <f>IF(OR(Settings!$A$32="",$E158="pre"),"",IF(AND('Month-End'!$EY$20&lt;&gt;"",NOT(_xlfn.ISFORMULA('Month-End'!$EY$20))),N('Month-End'!$EY$20),IF(OR($E158="open",$E157="pre"),N(Settings!$C$32),N($AR157))))</f>
        <v/>
      </c>
      <c r="AS158">
        <f>IF(OR(Settings!$A$36="",$E158="pre"),"",IF(AND('Month-End'!$EY$38&lt;&gt;"",NOT(_xlfn.ISFORMULA('Month-End'!$EY$38))),N('Month-End'!$EY$38),IF(OR($E158="open",$E157="pre"),N(Settings!$C$36),N($AS157))+$AY158))</f>
        <v/>
      </c>
      <c r="AT158">
        <f>IF(OR(Settings!$A$37="",$E158="pre"),"",IF(AND('Month-End'!$EY$39&lt;&gt;"",NOT(_xlfn.ISFORMULA('Month-End'!$EY$39))),N('Month-End'!$EY$39),IF(OR($E158="open",$E157="pre"),N(Settings!$C$37),N($AT157))+$AZ158))</f>
        <v/>
      </c>
      <c r="AU158">
        <f>IF(OR(Settings!$A$38="",$E158="pre"),"",IF(AND('Month-End'!$EY$40&lt;&gt;"",NOT(_xlfn.ISFORMULA('Month-End'!$EY$40))),N('Month-End'!$EY$40),IF(OR($E158="open",$E157="pre"),N(Settings!$C$38),N($AU157))+$BA158))</f>
        <v/>
      </c>
      <c r="AV158">
        <f>IF(OR(Settings!$A$39="",$E158="pre"),"",IF(AND('Month-End'!$EY$41&lt;&gt;"",NOT(_xlfn.ISFORMULA('Month-End'!$EY$41))),N('Month-End'!$EY$41),IF(OR($E158="open",$E157="pre"),N(Settings!$C$39),N($AV157))+$BB158))</f>
        <v/>
      </c>
      <c r="AW158">
        <f>IF(OR(Settings!$A$40="",$E158="pre"),"",IF(AND('Month-End'!$EY$42&lt;&gt;"",NOT(_xlfn.ISFORMULA('Month-End'!$EY$42))),N('Month-End'!$EY$42),IF(OR($E158="open",$E157="pre"),N(Settings!$C$40),N($AW157))+$BC158))</f>
        <v/>
      </c>
      <c r="AX158">
        <f>IF(OR(Settings!$A$41="",$E158="pre"),"",IF(AND('Month-End'!$EY$43&lt;&gt;"",NOT(_xlfn.ISFORMULA('Month-End'!$EY$43))),N('Month-End'!$EY$43),IF(OR($E158="open",$E157="pre"),N(Settings!$C$41),N($AX157))+$BD158))</f>
        <v/>
      </c>
      <c r="AY158">
        <f>IF($E158="pre",0,N('Month-End'!$EY$45))</f>
        <v/>
      </c>
      <c r="AZ158">
        <f>IF($E158="pre",0,N('Month-End'!$EY$46))</f>
        <v/>
      </c>
      <c r="BA158">
        <f>IF($E158="pre",0,N('Month-End'!$EY$47))</f>
        <v/>
      </c>
      <c r="BB158">
        <f>IF($E158="pre",0,N('Month-End'!$EY$48))</f>
        <v/>
      </c>
      <c r="BC158">
        <f>IF($E158="pre",0,N('Month-End'!$EY$49))</f>
        <v/>
      </c>
      <c r="BD158">
        <f>IF($E158="pre",0,N('Month-End'!$EY$50))</f>
        <v/>
      </c>
      <c r="BE158">
        <f>IF(OR(Settings!$C$45="",Settings!$D$45=""),0,Settings!$C$45*IF(Settings!$D$45="Weekly",IF(IFERROR(MATCH(Settings!$E$45,$EO$4:$EO$10,0),0)=0,0,IF(MIN($C158,IF(Settings!$G$45="",$C158,Settings!$G$45))&lt;MAX($A158,Settings!$F$45),0,INT((MIN($C158,IF(Settings!$G$45="",$C158,Settings!$G$45))-MAX($A158,Settings!$F$45)-MOD(IFERROR(MATCH(Settings!$E$45,$EO$4:$EO$10,0),0)-WEEKDAY(MAX($A158,Settings!$F$45)),7))/7)+1)),IF(AND(IF(Settings!$E$45="",$B158,DATE(YEAR($A158),MONTH($A158),MIN(Settings!$E$45,DAY($B158))))&gt;=MAX($A158,Settings!$F$45),IF(Settings!$E$45="",$B158,DATE(YEAR($A158),MONTH($A158),MIN(Settings!$E$45,DAY($B158))))&lt;=MIN($C158,IF(Settings!$G$45="",$C158,Settings!$G$45))),1,0)))</f>
        <v/>
      </c>
      <c r="BF158">
        <f>IF(OR(Settings!$C$46="",Settings!$D$46=""),0,Settings!$C$46*IF(Settings!$D$46="Weekly",IF(IFERROR(MATCH(Settings!$E$46,$EO$4:$EO$10,0),0)=0,0,IF(MIN($C158,IF(Settings!$G$46="",$C158,Settings!$G$46))&lt;MAX($A158,Settings!$F$46),0,INT((MIN($C158,IF(Settings!$G$46="",$C158,Settings!$G$46))-MAX($A158,Settings!$F$46)-MOD(IFERROR(MATCH(Settings!$E$46,$EO$4:$EO$10,0),0)-WEEKDAY(MAX($A158,Settings!$F$46)),7))/7)+1)),IF(AND(IF(Settings!$E$46="",$B158,DATE(YEAR($A158),MONTH($A158),MIN(Settings!$E$46,DAY($B158))))&gt;=MAX($A158,Settings!$F$46),IF(Settings!$E$46="",$B158,DATE(YEAR($A158),MONTH($A158),MIN(Settings!$E$46,DAY($B158))))&lt;=MIN($C158,IF(Settings!$G$46="",$C158,Settings!$G$46))),1,0)))</f>
        <v/>
      </c>
      <c r="BG158">
        <f>IF(OR(Settings!$C$47="",Settings!$D$47=""),0,Settings!$C$47*IF(Settings!$D$47="Weekly",IF(IFERROR(MATCH(Settings!$E$47,$EO$4:$EO$10,0),0)=0,0,IF(MIN($C158,IF(Settings!$G$47="",$C158,Settings!$G$47))&lt;MAX($A158,Settings!$F$47),0,INT((MIN($C158,IF(Settings!$G$47="",$C158,Settings!$G$47))-MAX($A158,Settings!$F$47)-MOD(IFERROR(MATCH(Settings!$E$47,$EO$4:$EO$10,0),0)-WEEKDAY(MAX($A158,Settings!$F$47)),7))/7)+1)),IF(AND(IF(Settings!$E$47="",$B158,DATE(YEAR($A158),MONTH($A158),MIN(Settings!$E$47,DAY($B158))))&gt;=MAX($A158,Settings!$F$47),IF(Settings!$E$47="",$B158,DATE(YEAR($A158),MONTH($A158),MIN(Settings!$E$47,DAY($B158))))&lt;=MIN($C158,IF(Settings!$G$47="",$C158,Settings!$G$47))),1,0)))</f>
        <v/>
      </c>
      <c r="BH158">
        <f>IF(OR(Settings!$C$48="",Settings!$D$48=""),0,Settings!$C$48*IF(Settings!$D$48="Weekly",IF(IFERROR(MATCH(Settings!$E$48,$EO$4:$EO$10,0),0)=0,0,IF(MIN($C158,IF(Settings!$G$48="",$C158,Settings!$G$48))&lt;MAX($A158,Settings!$F$48),0,INT((MIN($C158,IF(Settings!$G$48="",$C158,Settings!$G$48))-MAX($A158,Settings!$F$48)-MOD(IFERROR(MATCH(Settings!$E$48,$EO$4:$EO$10,0),0)-WEEKDAY(MAX($A158,Settings!$F$48)),7))/7)+1)),IF(AND(IF(Settings!$E$48="",$B158,DATE(YEAR($A158),MONTH($A158),MIN(Settings!$E$48,DAY($B158))))&gt;=MAX($A158,Settings!$F$48),IF(Settings!$E$48="",$B158,DATE(YEAR($A158),MONTH($A158),MIN(Settings!$E$48,DAY($B158))))&lt;=MIN($C158,IF(Settings!$G$48="",$C158,Settings!$G$48))),1,0)))</f>
        <v/>
      </c>
      <c r="BI158">
        <f>IF(OR(Settings!$C$49="",Settings!$D$49=""),0,Settings!$C$49*IF(Settings!$D$49="Weekly",IF(IFERROR(MATCH(Settings!$E$49,$EO$4:$EO$10,0),0)=0,0,IF(MIN($C158,IF(Settings!$G$49="",$C158,Settings!$G$49))&lt;MAX($A158,Settings!$F$49),0,INT((MIN($C158,IF(Settings!$G$49="",$C158,Settings!$G$49))-MAX($A158,Settings!$F$49)-MOD(IFERROR(MATCH(Settings!$E$49,$EO$4:$EO$10,0),0)-WEEKDAY(MAX($A158,Settings!$F$49)),7))/7)+1)),IF(AND(IF(Settings!$E$49="",$B158,DATE(YEAR($A158),MONTH($A158),MIN(Settings!$E$49,DAY($B158))))&gt;=MAX($A158,Settings!$F$49),IF(Settings!$E$49="",$B158,DATE(YEAR($A158),MONTH($A158),MIN(Settings!$E$49,DAY($B158))))&lt;=MIN($C158,IF(Settings!$G$49="",$C158,Settings!$G$49))),1,0)))</f>
        <v/>
      </c>
      <c r="BJ158">
        <f>IF(OR(Settings!$C$50="",Settings!$D$50=""),0,Settings!$C$50*IF(Settings!$D$50="Weekly",IF(IFERROR(MATCH(Settings!$E$50,$EO$4:$EO$10,0),0)=0,0,IF(MIN($C158,IF(Settings!$G$50="",$C158,Settings!$G$50))&lt;MAX($A158,Settings!$F$50),0,INT((MIN($C158,IF(Settings!$G$50="",$C158,Settings!$G$50))-MAX($A158,Settings!$F$50)-MOD(IFERROR(MATCH(Settings!$E$50,$EO$4:$EO$10,0),0)-WEEKDAY(MAX($A158,Settings!$F$50)),7))/7)+1)),IF(AND(IF(Settings!$E$50="",$B158,DATE(YEAR($A158),MONTH($A158),MIN(Settings!$E$50,DAY($B158))))&gt;=MAX($A158,Settings!$F$50),IF(Settings!$E$50="",$B158,DATE(YEAR($A158),MONTH($A158),MIN(Settings!$E$50,DAY($B158))))&lt;=MIN($C158,IF(Settings!$G$50="",$C158,Settings!$G$50))),1,0)))</f>
        <v/>
      </c>
      <c r="BK158">
        <f>IF(OR(Settings!$C$51="",Settings!$D$51=""),0,Settings!$C$51*IF(Settings!$D$51="Weekly",IF(IFERROR(MATCH(Settings!$E$51,$EO$4:$EO$10,0),0)=0,0,IF(MIN($C158,IF(Settings!$G$51="",$C158,Settings!$G$51))&lt;MAX($A158,Settings!$F$51),0,INT((MIN($C158,IF(Settings!$G$51="",$C158,Settings!$G$51))-MAX($A158,Settings!$F$51)-MOD(IFERROR(MATCH(Settings!$E$51,$EO$4:$EO$10,0),0)-WEEKDAY(MAX($A158,Settings!$F$51)),7))/7)+1)),IF(AND(IF(Settings!$E$51="",$B158,DATE(YEAR($A158),MONTH($A158),MIN(Settings!$E$51,DAY($B158))))&gt;=MAX($A158,Settings!$F$51),IF(Settings!$E$51="",$B158,DATE(YEAR($A158),MONTH($A158),MIN(Settings!$E$51,DAY($B158))))&lt;=MIN($C158,IF(Settings!$G$51="",$C158,Settings!$G$51))),1,0)))</f>
        <v/>
      </c>
      <c r="BL158">
        <f>IF(OR(Settings!$C$52="",Settings!$D$52=""),0,Settings!$C$52*IF(Settings!$D$52="Weekly",IF(IFERROR(MATCH(Settings!$E$52,$EO$4:$EO$10,0),0)=0,0,IF(MIN($C158,IF(Settings!$G$52="",$C158,Settings!$G$52))&lt;MAX($A158,Settings!$F$52),0,INT((MIN($C158,IF(Settings!$G$52="",$C158,Settings!$G$52))-MAX($A158,Settings!$F$52)-MOD(IFERROR(MATCH(Settings!$E$52,$EO$4:$EO$10,0),0)-WEEKDAY(MAX($A158,Settings!$F$52)),7))/7)+1)),IF(AND(IF(Settings!$E$52="",$B158,DATE(YEAR($A158),MONTH($A158),MIN(Settings!$E$52,DAY($B158))))&gt;=MAX($A158,Settings!$F$52),IF(Settings!$E$52="",$B158,DATE(YEAR($A158),MONTH($A158),MIN(Settings!$E$52,DAY($B158))))&lt;=MIN($C158,IF(Settings!$G$52="",$C158,Settings!$G$52))),1,0)))</f>
        <v/>
      </c>
      <c r="BM158">
        <f>IF(OR(Settings!$C$53="",Settings!$D$53=""),0,Settings!$C$53*IF(Settings!$D$53="Weekly",IF(IFERROR(MATCH(Settings!$E$53,$EO$4:$EO$10,0),0)=0,0,IF(MIN($C158,IF(Settings!$G$53="",$C158,Settings!$G$53))&lt;MAX($A158,Settings!$F$53),0,INT((MIN($C158,IF(Settings!$G$53="",$C158,Settings!$G$53))-MAX($A158,Settings!$F$53)-MOD(IFERROR(MATCH(Settings!$E$53,$EO$4:$EO$10,0),0)-WEEKDAY(MAX($A158,Settings!$F$53)),7))/7)+1)),IF(AND(IF(Settings!$E$53="",$B158,DATE(YEAR($A158),MONTH($A158),MIN(Settings!$E$53,DAY($B158))))&gt;=MAX($A158,Settings!$F$53),IF(Settings!$E$53="",$B158,DATE(YEAR($A158),MONTH($A158),MIN(Settings!$E$53,DAY($B158))))&lt;=MIN($C158,IF(Settings!$G$53="",$C158,Settings!$G$53))),1,0)))</f>
        <v/>
      </c>
      <c r="BN158">
        <f>IF(OR(Settings!$C$54="",Settings!$D$54=""),0,Settings!$C$54*IF(Settings!$D$54="Weekly",IF(IFERROR(MATCH(Settings!$E$54,$EO$4:$EO$10,0),0)=0,0,IF(MIN($C158,IF(Settings!$G$54="",$C158,Settings!$G$54))&lt;MAX($A158,Settings!$F$54),0,INT((MIN($C158,IF(Settings!$G$54="",$C158,Settings!$G$54))-MAX($A158,Settings!$F$54)-MOD(IFERROR(MATCH(Settings!$E$54,$EO$4:$EO$10,0),0)-WEEKDAY(MAX($A158,Settings!$F$54)),7))/7)+1)),IF(AND(IF(Settings!$E$54="",$B158,DATE(YEAR($A158),MONTH($A158),MIN(Settings!$E$54,DAY($B158))))&gt;=MAX($A158,Settings!$F$54),IF(Settings!$E$54="",$B158,DATE(YEAR($A158),MONTH($A158),MIN(Settings!$E$54,DAY($B158))))&lt;=MIN($C158,IF(Settings!$G$54="",$C158,Settings!$G$54))),1,0)))</f>
        <v/>
      </c>
      <c r="BO158">
        <f>IF(OR(Settings!$C$55="",Settings!$D$55=""),0,Settings!$C$55*IF(Settings!$D$55="Weekly",IF(IFERROR(MATCH(Settings!$E$55,$EO$4:$EO$10,0),0)=0,0,IF(MIN($C158,IF(Settings!$G$55="",$C158,Settings!$G$55))&lt;MAX($A158,Settings!$F$55),0,INT((MIN($C158,IF(Settings!$G$55="",$C158,Settings!$G$55))-MAX($A158,Settings!$F$55)-MOD(IFERROR(MATCH(Settings!$E$55,$EO$4:$EO$10,0),0)-WEEKDAY(MAX($A158,Settings!$F$55)),7))/7)+1)),IF(AND(IF(Settings!$E$55="",$B158,DATE(YEAR($A158),MONTH($A158),MIN(Settings!$E$55,DAY($B158))))&gt;=MAX($A158,Settings!$F$55),IF(Settings!$E$55="",$B158,DATE(YEAR($A158),MONTH($A158),MIN(Settings!$E$55,DAY($B158))))&lt;=MIN($C158,IF(Settings!$G$55="",$C158,Settings!$G$55))),1,0)))</f>
        <v/>
      </c>
      <c r="BP158">
        <f>IF(OR(Settings!$C$56="",Settings!$D$56=""),0,Settings!$C$56*IF(Settings!$D$56="Weekly",IF(IFERROR(MATCH(Settings!$E$56,$EO$4:$EO$10,0),0)=0,0,IF(MIN($C158,IF(Settings!$G$56="",$C158,Settings!$G$56))&lt;MAX($A158,Settings!$F$56),0,INT((MIN($C158,IF(Settings!$G$56="",$C158,Settings!$G$56))-MAX($A158,Settings!$F$56)-MOD(IFERROR(MATCH(Settings!$E$56,$EO$4:$EO$10,0),0)-WEEKDAY(MAX($A158,Settings!$F$56)),7))/7)+1)),IF(AND(IF(Settings!$E$56="",$B158,DATE(YEAR($A158),MONTH($A158),MIN(Settings!$E$56,DAY($B158))))&gt;=MAX($A158,Settings!$F$56),IF(Settings!$E$56="",$B158,DATE(YEAR($A158),MONTH($A158),MIN(Settings!$E$56,DAY($B158))))&lt;=MIN($C158,IF(Settings!$G$56="",$C158,Settings!$G$56))),1,0)))</f>
        <v/>
      </c>
      <c r="BQ158">
        <f>IF(OR(Settings!$B$14="",$D158=1,$E158="pre",$A158&lt;IF(Settings!$B$15="",0,Settings!$B$15)),0,Settings!$B$14)</f>
        <v/>
      </c>
      <c r="BR158">
        <f>IF(AND('Month-End'!$EY$7&lt;&gt;"",NOT(_xlfn.ISFORMULA('Month-End'!$EY$7))),1,0)</f>
        <v/>
      </c>
      <c r="BS158">
        <f>IF(AND('Month-End'!$EY$8&lt;&gt;"",NOT(_xlfn.ISFORMULA('Month-End'!$EY$8))),1,0)</f>
        <v/>
      </c>
      <c r="BT158">
        <f>IF(AND('Month-End'!$EY$9&lt;&gt;"",NOT(_xlfn.ISFORMULA('Month-End'!$EY$9))),1,0)</f>
        <v/>
      </c>
      <c r="BU158">
        <f>IF(AND('Month-End'!$EY$10&lt;&gt;"",NOT(_xlfn.ISFORMULA('Month-End'!$EY$10))),1,0)</f>
        <v/>
      </c>
      <c r="BV158">
        <f>IF(AND('Month-End'!$EY$11&lt;&gt;"",NOT(_xlfn.ISFORMULA('Month-End'!$EY$11))),1,0)</f>
        <v/>
      </c>
      <c r="BW158">
        <f>IF(AND('Month-End'!$EY$12&lt;&gt;"",NOT(_xlfn.ISFORMULA('Month-End'!$EY$12))),1,0)</f>
        <v/>
      </c>
      <c r="BX158">
        <f>IF(AND('Month-End'!$EY$13&lt;&gt;"",NOT(_xlfn.ISFORMULA('Month-End'!$EY$13))),1,0)</f>
        <v/>
      </c>
      <c r="BY158">
        <f>IF(AND('Month-End'!$EY$14&lt;&gt;"",NOT(_xlfn.ISFORMULA('Month-End'!$EY$14))),1,0)</f>
        <v/>
      </c>
      <c r="BZ158">
        <f>IF(AND('Month-End'!$EY$15&lt;&gt;"",NOT(_xlfn.ISFORMULA('Month-End'!$EY$15))),1,0)</f>
        <v/>
      </c>
      <c r="CA158">
        <f>IF(AND('Month-End'!$EY$16&lt;&gt;"",NOT(_xlfn.ISFORMULA('Month-End'!$EY$16))),1,0)</f>
        <v/>
      </c>
      <c r="CB158">
        <f>IF(AND('Month-End'!$EY$17&lt;&gt;"",NOT(_xlfn.ISFORMULA('Month-End'!$EY$17))),1,0)</f>
        <v/>
      </c>
      <c r="CC158">
        <f>IF(AND('Month-End'!$EY$18&lt;&gt;"",NOT(_xlfn.ISFORMULA('Month-End'!$EY$18))),1,0)</f>
        <v/>
      </c>
      <c r="CD158">
        <f>IF(AND('Month-End'!$EY$19&lt;&gt;"",NOT(_xlfn.ISFORMULA('Month-End'!$EY$19))),1,0)</f>
        <v/>
      </c>
      <c r="CE158">
        <f>IF(AND('Month-End'!$EY$20&lt;&gt;"",NOT(_xlfn.ISFORMULA('Month-End'!$EY$20))),1,0)</f>
        <v/>
      </c>
      <c r="CF158">
        <f>IF(AND('Month-End'!$EY$38&lt;&gt;"",NOT(_xlfn.ISFORMULA('Month-End'!$EY$38))),1,0)</f>
        <v/>
      </c>
      <c r="CG158">
        <f>IF(AND('Month-End'!$EY$39&lt;&gt;"",NOT(_xlfn.ISFORMULA('Month-End'!$EY$39))),1,0)</f>
        <v/>
      </c>
      <c r="CH158">
        <f>IF(AND('Month-End'!$EY$40&lt;&gt;"",NOT(_xlfn.ISFORMULA('Month-End'!$EY$40))),1,0)</f>
        <v/>
      </c>
      <c r="CI158">
        <f>IF(AND('Month-End'!$EY$41&lt;&gt;"",NOT(_xlfn.ISFORMULA('Month-End'!$EY$41))),1,0)</f>
        <v/>
      </c>
      <c r="CJ158">
        <f>IF(AND('Month-End'!$EY$42&lt;&gt;"",NOT(_xlfn.ISFORMULA('Month-End'!$EY$42))),1,0)</f>
        <v/>
      </c>
      <c r="CK158">
        <f>IF(AND('Month-End'!$EY$43&lt;&gt;"",NOT(_xlfn.ISFORMULA('Month-End'!$EY$43))),1,0)</f>
        <v/>
      </c>
      <c r="CL158">
        <f>SUM($CM158:$CZ158)</f>
        <v/>
      </c>
      <c r="CM158">
        <f>IF(AND($E158&lt;&gt;"pre",AND(Settings!$A$19&lt;&gt;"",Settings!$E$19&lt;&gt;"No"),Settings!$F$19="Yes",NOT(AND('Month-End'!$EY$7&lt;&gt;"",NOT(_xlfn.ISFORMULA('Month-End'!$EY$7))))),1,0)</f>
        <v/>
      </c>
      <c r="CN158">
        <f>IF(AND($E158&lt;&gt;"pre",AND(Settings!$A$20&lt;&gt;"",Settings!$E$20&lt;&gt;"No"),Settings!$F$20="Yes",NOT(AND('Month-End'!$EY$8&lt;&gt;"",NOT(_xlfn.ISFORMULA('Month-End'!$EY$8))))),1,0)</f>
        <v/>
      </c>
      <c r="CO158">
        <f>IF(AND($E158&lt;&gt;"pre",AND(Settings!$A$21&lt;&gt;"",Settings!$E$21&lt;&gt;"No"),Settings!$F$21="Yes",NOT(AND('Month-End'!$EY$9&lt;&gt;"",NOT(_xlfn.ISFORMULA('Month-End'!$EY$9))))),1,0)</f>
        <v/>
      </c>
      <c r="CP158">
        <f>IF(AND($E158&lt;&gt;"pre",AND(Settings!$A$22&lt;&gt;"",Settings!$E$22&lt;&gt;"No"),Settings!$F$22="Yes",NOT(AND('Month-End'!$EY$10&lt;&gt;"",NOT(_xlfn.ISFORMULA('Month-End'!$EY$10))))),1,0)</f>
        <v/>
      </c>
      <c r="CQ158">
        <f>IF(AND($E158&lt;&gt;"pre",AND(Settings!$A$23&lt;&gt;"",Settings!$E$23&lt;&gt;"No"),Settings!$F$23="Yes",NOT(AND('Month-End'!$EY$11&lt;&gt;"",NOT(_xlfn.ISFORMULA('Month-End'!$EY$11))))),1,0)</f>
        <v/>
      </c>
      <c r="CR158">
        <f>IF(AND($E158&lt;&gt;"pre",AND(Settings!$A$24&lt;&gt;"",Settings!$E$24&lt;&gt;"No"),Settings!$F$24="Yes",NOT(AND('Month-End'!$EY$12&lt;&gt;"",NOT(_xlfn.ISFORMULA('Month-End'!$EY$12))))),1,0)</f>
        <v/>
      </c>
      <c r="CS158">
        <f>IF(AND($E158&lt;&gt;"pre",AND(Settings!$A$25&lt;&gt;"",Settings!$E$25&lt;&gt;"No"),Settings!$F$25="Yes",NOT(AND('Month-End'!$EY$13&lt;&gt;"",NOT(_xlfn.ISFORMULA('Month-End'!$EY$13))))),1,0)</f>
        <v/>
      </c>
      <c r="CT158">
        <f>IF(AND($E158&lt;&gt;"pre",AND(Settings!$A$26&lt;&gt;"",Settings!$E$26&lt;&gt;"No"),Settings!$F$26="Yes",NOT(AND('Month-End'!$EY$14&lt;&gt;"",NOT(_xlfn.ISFORMULA('Month-End'!$EY$14))))),1,0)</f>
        <v/>
      </c>
      <c r="CU158">
        <f>IF(AND($E158&lt;&gt;"pre",AND(Settings!$A$27&lt;&gt;"",Settings!$E$27&lt;&gt;"No"),Settings!$F$27="Yes",NOT(AND('Month-End'!$EY$15&lt;&gt;"",NOT(_xlfn.ISFORMULA('Month-End'!$EY$15))))),1,0)</f>
        <v/>
      </c>
      <c r="CV158">
        <f>IF(AND($E158&lt;&gt;"pre",AND(Settings!$A$28&lt;&gt;"",Settings!$E$28&lt;&gt;"No"),Settings!$F$28="Yes",NOT(AND('Month-End'!$EY$16&lt;&gt;"",NOT(_xlfn.ISFORMULA('Month-End'!$EY$16))))),1,0)</f>
        <v/>
      </c>
      <c r="CW158">
        <f>IF(AND($E158&lt;&gt;"pre",AND(Settings!$A$29&lt;&gt;"",Settings!$E$29&lt;&gt;"No"),Settings!$F$29="Yes",NOT(AND('Month-End'!$EY$17&lt;&gt;"",NOT(_xlfn.ISFORMULA('Month-End'!$EY$17))))),1,0)</f>
        <v/>
      </c>
      <c r="CX158">
        <f>IF(AND($E158&lt;&gt;"pre",AND(Settings!$A$30&lt;&gt;"",Settings!$E$30&lt;&gt;"No"),Settings!$F$30="Yes",NOT(AND('Month-End'!$EY$18&lt;&gt;"",NOT(_xlfn.ISFORMULA('Month-End'!$EY$18))))),1,0)</f>
        <v/>
      </c>
      <c r="CY158">
        <f>IF(AND($E158&lt;&gt;"pre",AND(Settings!$A$31&lt;&gt;"",Settings!$E$31&lt;&gt;"No"),Settings!$F$31="Yes",NOT(AND('Month-End'!$EY$19&lt;&gt;"",NOT(_xlfn.ISFORMULA('Month-End'!$EY$19))))),1,0)</f>
        <v/>
      </c>
      <c r="CZ158">
        <f>IF(AND($E158&lt;&gt;"pre",AND(Settings!$A$32&lt;&gt;"",Settings!$E$32&lt;&gt;"No"),Settings!$F$32="Yes",NOT(AND('Month-End'!$EY$20&lt;&gt;"",NOT(_xlfn.ISFORMULA('Month-End'!$EY$20))))),1,0)</f>
        <v/>
      </c>
      <c r="DA158">
        <f>IF($DT158=1,IF(OR(Settings!$B$19="Checking",Settings!$B$19="Savings",Settings!$B$19="Cash"),N($AE158),IF(OR(Settings!$B$19="Card",Settings!$B$19="Loan"),-N($AE158),0))+IF(OR(Settings!$B$20="Checking",Settings!$B$20="Savings",Settings!$B$20="Cash"),N($AF158),IF(OR(Settings!$B$20="Card",Settings!$B$20="Loan"),-N($AF158),0))+IF(OR(Settings!$B$21="Checking",Settings!$B$21="Savings",Settings!$B$21="Cash"),N($AG158),IF(OR(Settings!$B$21="Card",Settings!$B$21="Loan"),-N($AG158),0))+IF(OR(Settings!$B$22="Checking",Settings!$B$22="Savings",Settings!$B$22="Cash"),N($AH158),IF(OR(Settings!$B$22="Card",Settings!$B$22="Loan"),-N($AH158),0))+IF(OR(Settings!$B$23="Checking",Settings!$B$23="Savings",Settings!$B$23="Cash"),N($AI158),IF(OR(Settings!$B$23="Card",Settings!$B$23="Loan"),-N($AI158),0))+IF(OR(Settings!$B$24="Checking",Settings!$B$24="Savings",Settings!$B$24="Cash"),N($AJ158),IF(OR(Settings!$B$24="Card",Settings!$B$24="Loan"),-N($AJ158),0))+IF(OR(Settings!$B$25="Checking",Settings!$B$25="Savings",Settings!$B$25="Cash"),N($AK158),IF(OR(Settings!$B$25="Card",Settings!$B$25="Loan"),-N($AK158),0))+IF(OR(Settings!$B$26="Checking",Settings!$B$26="Savings",Settings!$B$26="Cash"),N($AL158),IF(OR(Settings!$B$26="Card",Settings!$B$26="Loan"),-N($AL158),0))+IF(OR(Settings!$B$27="Checking",Settings!$B$27="Savings",Settings!$B$27="Cash"),N($AM158),IF(OR(Settings!$B$27="Card",Settings!$B$27="Loan"),-N($AM158),0))+IF(OR(Settings!$B$28="Checking",Settings!$B$28="Savings",Settings!$B$28="Cash"),N($AN158),IF(OR(Settings!$B$28="Card",Settings!$B$28="Loan"),-N($AN158),0))+IF(OR(Settings!$B$29="Checking",Settings!$B$29="Savings",Settings!$B$29="Cash"),N($AO158),IF(OR(Settings!$B$29="Card",Settings!$B$29="Loan"),-N($AO158),0))+IF(OR(Settings!$B$30="Checking",Settings!$B$30="Savings",Settings!$B$30="Cash"),N($AP158),IF(OR(Settings!$B$30="Card",Settings!$B$30="Loan"),-N($AP158),0))+IF(OR(Settings!$B$31="Checking",Settings!$B$31="Savings",Settings!$B$31="Cash"),N($AQ158),IF(OR(Settings!$B$31="Card",Settings!$B$31="Loan"),-N($AQ158),0))+IF(OR(Settings!$B$32="Checking",Settings!$B$32="Savings",Settings!$B$32="Cash"),N($AR158),IF(OR(Settings!$B$32="Card",Settings!$B$32="Loan"),-N($AR158),0)),"")</f>
        <v/>
      </c>
      <c r="DB158">
        <f>IF($E158="open",$EB$27,IF($E158="post",IF($E157="pre",$EB$27,$DA157),""))</f>
        <v/>
      </c>
      <c r="DC158">
        <f>IF($E158="open",1,IF($E158="post",IF($E157="pre",1,$DT157),0))</f>
        <v/>
      </c>
      <c r="DD158">
        <f>IF(AND($DT158=1,$DC158=1),ROUND($W158-($DA158-$DB158)-$AD158-$AB158,2),"")</f>
        <v/>
      </c>
      <c r="DE158">
        <f>IF('Month-End'!$EY$35="",$BQ158,N('Month-End'!$EY$35))</f>
        <v/>
      </c>
      <c r="DF158">
        <f>N('Month-End'!$EY$36)</f>
        <v/>
      </c>
      <c r="DG158">
        <f>IF($DD158="","",$DD158+$DE158)</f>
        <v/>
      </c>
      <c r="DH158">
        <f>IF($DG158="","",$DG158-$DF158)</f>
        <v/>
      </c>
      <c r="DI158">
        <f>IF(OR($E158="pre",$D158=1),"",N($AS158)+N($AT158)+N($AU158)+N($AV158)+N($AW158)+N($AX158))</f>
        <v/>
      </c>
      <c r="DJ158">
        <f>IF($DT158=1,$DA158+N($DI158),"")</f>
        <v/>
      </c>
      <c r="DK158">
        <f>IF($DD158="","",$W158-$DD158-$AB158)</f>
        <v/>
      </c>
      <c r="DL158">
        <f>IF(AND($E158="post",$DD158&lt;&gt;"",$B158&lt;TODAY()),1,0)</f>
        <v/>
      </c>
      <c r="DM158">
        <f>IF($DL158=1,COUNTIF($DL158:$DL$183,1),0)</f>
        <v/>
      </c>
      <c r="DN158">
        <f>IF($D158=1,"",IF($E158="pre","History only",IF($DT158=1,IF($DD158="","⚠ Previous month missing",IF($DD158&lt;0,"⚠ Check: spending &lt; 0",IF($E158="open","✓ Done (partial)","✓ Done"))),IF($B158&gt;=TODAY(),"In progress","⚠ Needs balances"))))</f>
        <v/>
      </c>
      <c r="DO158">
        <f>YEAR($A158)</f>
        <v/>
      </c>
      <c r="DP158">
        <f>DATE(YEAR($A158),INT((MONTH($A158)-1)/3)*3+1,1)</f>
        <v/>
      </c>
      <c r="DQ158">
        <f>IF(AND($DT158=1,$DD158&lt;&gt;"",$D158=0),ROW(),0)</f>
        <v/>
      </c>
      <c r="DR158">
        <f>IF(AND($E158&lt;&gt;"pre",$B158&lt;TODAY(),$DT158=0),1,0)</f>
        <v/>
      </c>
      <c r="DS158">
        <f>IF($DJ158="",NA(),$DJ158)</f>
        <v/>
      </c>
      <c r="DT158">
        <f>IF(AND($E158&lt;&gt;"pre",$CL158=0,COUNTIFS(Settings!$F$19:$F$32,"Yes",Settings!$A$19:$A$32,"&lt;&gt;",Settings!$E$19:$E$32,"&lt;&gt;No")&gt;0),1,0)</f>
        <v/>
      </c>
      <c r="DU158">
        <f>IF(AND($B158&lt;TODAY(),$S158&gt;0),1,0)</f>
        <v/>
      </c>
      <c r="DV158">
        <f>IF($DU158=1,COUNTIF($DU158:$DU$183,1),0)</f>
        <v/>
      </c>
      <c r="DW158">
        <f>IF(AND(OR(Settings!$B$19="Card",Settings!$B$19="Loan"),AND('Month-End'!$EY$7&lt;&gt;"",NOT(_xlfn.ISFORMULA('Month-End'!$EY$7)))),IF(N('Month-End'!$EY$7)&lt;0,1,0),0)+IF(AND(OR(Settings!$B$20="Card",Settings!$B$20="Loan"),AND('Month-End'!$EY$8&lt;&gt;"",NOT(_xlfn.ISFORMULA('Month-End'!$EY$8)))),IF(N('Month-End'!$EY$8)&lt;0,1,0),0)+IF(AND(OR(Settings!$B$21="Card",Settings!$B$21="Loan"),AND('Month-End'!$EY$9&lt;&gt;"",NOT(_xlfn.ISFORMULA('Month-End'!$EY$9)))),IF(N('Month-End'!$EY$9)&lt;0,1,0),0)+IF(AND(OR(Settings!$B$22="Card",Settings!$B$22="Loan"),AND('Month-End'!$EY$10&lt;&gt;"",NOT(_xlfn.ISFORMULA('Month-End'!$EY$10)))),IF(N('Month-End'!$EY$10)&lt;0,1,0),0)+IF(AND(OR(Settings!$B$23="Card",Settings!$B$23="Loan"),AND('Month-End'!$EY$11&lt;&gt;"",NOT(_xlfn.ISFORMULA('Month-End'!$EY$11)))),IF(N('Month-End'!$EY$11)&lt;0,1,0),0)+IF(AND(OR(Settings!$B$24="Card",Settings!$B$24="Loan"),AND('Month-End'!$EY$12&lt;&gt;"",NOT(_xlfn.ISFORMULA('Month-End'!$EY$12)))),IF(N('Month-End'!$EY$12)&lt;0,1,0),0)+IF(AND(OR(Settings!$B$25="Card",Settings!$B$25="Loan"),AND('Month-End'!$EY$13&lt;&gt;"",NOT(_xlfn.ISFORMULA('Month-End'!$EY$13)))),IF(N('Month-End'!$EY$13)&lt;0,1,0),0)+IF(AND(OR(Settings!$B$26="Card",Settings!$B$26="Loan"),AND('Month-End'!$EY$14&lt;&gt;"",NOT(_xlfn.ISFORMULA('Month-End'!$EY$14)))),IF(N('Month-End'!$EY$14)&lt;0,1,0),0)+IF(AND(OR(Settings!$B$27="Card",Settings!$B$27="Loan"),AND('Month-End'!$EY$15&lt;&gt;"",NOT(_xlfn.ISFORMULA('Month-End'!$EY$15)))),IF(N('Month-End'!$EY$15)&lt;0,1,0),0)+IF(AND(OR(Settings!$B$28="Card",Settings!$B$28="Loan"),AND('Month-End'!$EY$16&lt;&gt;"",NOT(_xlfn.ISFORMULA('Month-End'!$EY$16)))),IF(N('Month-End'!$EY$16)&lt;0,1,0),0)+IF(AND(OR(Settings!$B$29="Card",Settings!$B$29="Loan"),AND('Month-End'!$EY$17&lt;&gt;"",NOT(_xlfn.ISFORMULA('Month-End'!$EY$17)))),IF(N('Month-End'!$EY$17)&lt;0,1,0),0)+IF(AND(OR(Settings!$B$30="Card",Settings!$B$30="Loan"),AND('Month-End'!$EY$18&lt;&gt;"",NOT(_xlfn.ISFORMULA('Month-End'!$EY$18)))),IF(N('Month-End'!$EY$18)&lt;0,1,0),0)+IF(AND(OR(Settings!$B$31="Card",Settings!$B$31="Loan"),AND('Month-End'!$EY$19&lt;&gt;"",NOT(_xlfn.ISFORMULA('Month-End'!$EY$19)))),IF(N('Month-End'!$EY$19)&lt;0,1,0),0)+IF(AND(OR(Settings!$B$32="Card",Settings!$B$32="Loan"),AND('Month-End'!$EY$20&lt;&gt;"",NOT(_xlfn.ISFORMULA('Month-End'!$EY$20)))),IF(N('Month-End'!$EY$20)&lt;0,1,0),0)</f>
        <v/>
      </c>
      <c r="DX158">
        <f>IF(Settings!$B$36="Retirement",$AY158,0)+IF(Settings!$B$37="Retirement",$AZ158,0)+IF(Settings!$B$38="Retirement",$BA158,0)+IF(Settings!$B$39="Retirement",$BB158,0)+IF(Settings!$B$40="Retirement",$BC158,0)+IF(Settings!$B$41="Retirement",$BD158,0)</f>
        <v/>
      </c>
      <c r="ET158">
        <f>IF($E158&lt;&gt;"open",0,IF(AND('Month-End'!$EY$22&lt;&gt;"",NOT(_xlfn.ISFORMULA('Month-End'!$EY$22))),0,IF(OR(Settings!$C$45="",Settings!$D$45=""),0,Settings!$C$45*IF(Settings!$D$45="Weekly",IF(IFERROR(MATCH(Settings!$E$45,$EO$4:$EO$10,0),0)=0,0,IF(MIN(Settings!$B$5,IF(Settings!$G$45="",Settings!$B$5,Settings!$G$45))&lt;MAX($A158,Settings!$F$45),0,INT((MIN(Settings!$B$5,IF(Settings!$G$45="",Settings!$B$5,Settings!$G$45))-MAX($A158,Settings!$F$45)-MOD(IFERROR(MATCH(Settings!$E$45,$EO$4:$EO$10,0),0)-WEEKDAY(MAX($A158,Settings!$F$45)),7))/7)+1)),IF(AND(IF(Settings!$E$45="",$B158,DATE(YEAR($A158),MONTH($A158),MIN(Settings!$E$45,DAY($B158))))&gt;=MAX($A158,Settings!$F$45),IF(Settings!$E$45="",$B158,DATE(YEAR($A158),MONTH($A158),MIN(Settings!$E$45,DAY($B158))))&lt;=MIN(Settings!$B$5,IF(Settings!$G$45="",Settings!$B$5,Settings!$G$45))),1,0)))))</f>
        <v/>
      </c>
      <c r="EU158">
        <f>IF($E158&lt;&gt;"open",0,IF(AND('Month-End'!$EY$23&lt;&gt;"",NOT(_xlfn.ISFORMULA('Month-End'!$EY$23))),0,IF(OR(Settings!$C$46="",Settings!$D$46=""),0,Settings!$C$46*IF(Settings!$D$46="Weekly",IF(IFERROR(MATCH(Settings!$E$46,$EO$4:$EO$10,0),0)=0,0,IF(MIN(Settings!$B$5,IF(Settings!$G$46="",Settings!$B$5,Settings!$G$46))&lt;MAX($A158,Settings!$F$46),0,INT((MIN(Settings!$B$5,IF(Settings!$G$46="",Settings!$B$5,Settings!$G$46))-MAX($A158,Settings!$F$46)-MOD(IFERROR(MATCH(Settings!$E$46,$EO$4:$EO$10,0),0)-WEEKDAY(MAX($A158,Settings!$F$46)),7))/7)+1)),IF(AND(IF(Settings!$E$46="",$B158,DATE(YEAR($A158),MONTH($A158),MIN(Settings!$E$46,DAY($B158))))&gt;=MAX($A158,Settings!$F$46),IF(Settings!$E$46="",$B158,DATE(YEAR($A158),MONTH($A158),MIN(Settings!$E$46,DAY($B158))))&lt;=MIN(Settings!$B$5,IF(Settings!$G$46="",Settings!$B$5,Settings!$G$46))),1,0)))))</f>
        <v/>
      </c>
      <c r="EV158">
        <f>IF($E158&lt;&gt;"open",0,IF(AND('Month-End'!$EY$24&lt;&gt;"",NOT(_xlfn.ISFORMULA('Month-End'!$EY$24))),0,IF(OR(Settings!$C$47="",Settings!$D$47=""),0,Settings!$C$47*IF(Settings!$D$47="Weekly",IF(IFERROR(MATCH(Settings!$E$47,$EO$4:$EO$10,0),0)=0,0,IF(MIN(Settings!$B$5,IF(Settings!$G$47="",Settings!$B$5,Settings!$G$47))&lt;MAX($A158,Settings!$F$47),0,INT((MIN(Settings!$B$5,IF(Settings!$G$47="",Settings!$B$5,Settings!$G$47))-MAX($A158,Settings!$F$47)-MOD(IFERROR(MATCH(Settings!$E$47,$EO$4:$EO$10,0),0)-WEEKDAY(MAX($A158,Settings!$F$47)),7))/7)+1)),IF(AND(IF(Settings!$E$47="",$B158,DATE(YEAR($A158),MONTH($A158),MIN(Settings!$E$47,DAY($B158))))&gt;=MAX($A158,Settings!$F$47),IF(Settings!$E$47="",$B158,DATE(YEAR($A158),MONTH($A158),MIN(Settings!$E$47,DAY($B158))))&lt;=MIN(Settings!$B$5,IF(Settings!$G$47="",Settings!$B$5,Settings!$G$47))),1,0)))))</f>
        <v/>
      </c>
      <c r="EW158">
        <f>IF($E158&lt;&gt;"open",0,IF(AND('Month-End'!$EY$25&lt;&gt;"",NOT(_xlfn.ISFORMULA('Month-End'!$EY$25))),0,IF(OR(Settings!$C$48="",Settings!$D$48=""),0,Settings!$C$48*IF(Settings!$D$48="Weekly",IF(IFERROR(MATCH(Settings!$E$48,$EO$4:$EO$10,0),0)=0,0,IF(MIN(Settings!$B$5,IF(Settings!$G$48="",Settings!$B$5,Settings!$G$48))&lt;MAX($A158,Settings!$F$48),0,INT((MIN(Settings!$B$5,IF(Settings!$G$48="",Settings!$B$5,Settings!$G$48))-MAX($A158,Settings!$F$48)-MOD(IFERROR(MATCH(Settings!$E$48,$EO$4:$EO$10,0),0)-WEEKDAY(MAX($A158,Settings!$F$48)),7))/7)+1)),IF(AND(IF(Settings!$E$48="",$B158,DATE(YEAR($A158),MONTH($A158),MIN(Settings!$E$48,DAY($B158))))&gt;=MAX($A158,Settings!$F$48),IF(Settings!$E$48="",$B158,DATE(YEAR($A158),MONTH($A158),MIN(Settings!$E$48,DAY($B158))))&lt;=MIN(Settings!$B$5,IF(Settings!$G$48="",Settings!$B$5,Settings!$G$48))),1,0)))))</f>
        <v/>
      </c>
      <c r="EX158">
        <f>IF($E158&lt;&gt;"open",0,IF(AND('Month-End'!$EY$26&lt;&gt;"",NOT(_xlfn.ISFORMULA('Month-End'!$EY$26))),0,IF(OR(Settings!$C$49="",Settings!$D$49=""),0,Settings!$C$49*IF(Settings!$D$49="Weekly",IF(IFERROR(MATCH(Settings!$E$49,$EO$4:$EO$10,0),0)=0,0,IF(MIN(Settings!$B$5,IF(Settings!$G$49="",Settings!$B$5,Settings!$G$49))&lt;MAX($A158,Settings!$F$49),0,INT((MIN(Settings!$B$5,IF(Settings!$G$49="",Settings!$B$5,Settings!$G$49))-MAX($A158,Settings!$F$49)-MOD(IFERROR(MATCH(Settings!$E$49,$EO$4:$EO$10,0),0)-WEEKDAY(MAX($A158,Settings!$F$49)),7))/7)+1)),IF(AND(IF(Settings!$E$49="",$B158,DATE(YEAR($A158),MONTH($A158),MIN(Settings!$E$49,DAY($B158))))&gt;=MAX($A158,Settings!$F$49),IF(Settings!$E$49="",$B158,DATE(YEAR($A158),MONTH($A158),MIN(Settings!$E$49,DAY($B158))))&lt;=MIN(Settings!$B$5,IF(Settings!$G$49="",Settings!$B$5,Settings!$G$49))),1,0)))))</f>
        <v/>
      </c>
      <c r="EY158">
        <f>IF($E158&lt;&gt;"open",0,IF(AND('Month-End'!$EY$27&lt;&gt;"",NOT(_xlfn.ISFORMULA('Month-End'!$EY$27))),0,IF(OR(Settings!$C$50="",Settings!$D$50=""),0,Settings!$C$50*IF(Settings!$D$50="Weekly",IF(IFERROR(MATCH(Settings!$E$50,$EO$4:$EO$10,0),0)=0,0,IF(MIN(Settings!$B$5,IF(Settings!$G$50="",Settings!$B$5,Settings!$G$50))&lt;MAX($A158,Settings!$F$50),0,INT((MIN(Settings!$B$5,IF(Settings!$G$50="",Settings!$B$5,Settings!$G$50))-MAX($A158,Settings!$F$50)-MOD(IFERROR(MATCH(Settings!$E$50,$EO$4:$EO$10,0),0)-WEEKDAY(MAX($A158,Settings!$F$50)),7))/7)+1)),IF(AND(IF(Settings!$E$50="",$B158,DATE(YEAR($A158),MONTH($A158),MIN(Settings!$E$50,DAY($B158))))&gt;=MAX($A158,Settings!$F$50),IF(Settings!$E$50="",$B158,DATE(YEAR($A158),MONTH($A158),MIN(Settings!$E$50,DAY($B158))))&lt;=MIN(Settings!$B$5,IF(Settings!$G$50="",Settings!$B$5,Settings!$G$50))),1,0)))))</f>
        <v/>
      </c>
      <c r="EZ158">
        <f>IF($E158&lt;&gt;"open",0,IF(AND('Month-End'!$EY$28&lt;&gt;"",NOT(_xlfn.ISFORMULA('Month-End'!$EY$28))),0,IF(OR(Settings!$C$51="",Settings!$D$51=""),0,Settings!$C$51*IF(Settings!$D$51="Weekly",IF(IFERROR(MATCH(Settings!$E$51,$EO$4:$EO$10,0),0)=0,0,IF(MIN(Settings!$B$5,IF(Settings!$G$51="",Settings!$B$5,Settings!$G$51))&lt;MAX($A158,Settings!$F$51),0,INT((MIN(Settings!$B$5,IF(Settings!$G$51="",Settings!$B$5,Settings!$G$51))-MAX($A158,Settings!$F$51)-MOD(IFERROR(MATCH(Settings!$E$51,$EO$4:$EO$10,0),0)-WEEKDAY(MAX($A158,Settings!$F$51)),7))/7)+1)),IF(AND(IF(Settings!$E$51="",$B158,DATE(YEAR($A158),MONTH($A158),MIN(Settings!$E$51,DAY($B158))))&gt;=MAX($A158,Settings!$F$51),IF(Settings!$E$51="",$B158,DATE(YEAR($A158),MONTH($A158),MIN(Settings!$E$51,DAY($B158))))&lt;=MIN(Settings!$B$5,IF(Settings!$G$51="",Settings!$B$5,Settings!$G$51))),1,0)))))</f>
        <v/>
      </c>
      <c r="FA158">
        <f>IF($E158&lt;&gt;"open",0,IF(AND('Month-End'!$EY$29&lt;&gt;"",NOT(_xlfn.ISFORMULA('Month-End'!$EY$29))),0,IF(OR(Settings!$C$52="",Settings!$D$52=""),0,Settings!$C$52*IF(Settings!$D$52="Weekly",IF(IFERROR(MATCH(Settings!$E$52,$EO$4:$EO$10,0),0)=0,0,IF(MIN(Settings!$B$5,IF(Settings!$G$52="",Settings!$B$5,Settings!$G$52))&lt;MAX($A158,Settings!$F$52),0,INT((MIN(Settings!$B$5,IF(Settings!$G$52="",Settings!$B$5,Settings!$G$52))-MAX($A158,Settings!$F$52)-MOD(IFERROR(MATCH(Settings!$E$52,$EO$4:$EO$10,0),0)-WEEKDAY(MAX($A158,Settings!$F$52)),7))/7)+1)),IF(AND(IF(Settings!$E$52="",$B158,DATE(YEAR($A158),MONTH($A158),MIN(Settings!$E$52,DAY($B158))))&gt;=MAX($A158,Settings!$F$52),IF(Settings!$E$52="",$B158,DATE(YEAR($A158),MONTH($A158),MIN(Settings!$E$52,DAY($B158))))&lt;=MIN(Settings!$B$5,IF(Settings!$G$52="",Settings!$B$5,Settings!$G$52))),1,0)))))</f>
        <v/>
      </c>
      <c r="FB158">
        <f>IF($E158&lt;&gt;"open",0,IF(AND('Month-End'!$EY$30&lt;&gt;"",NOT(_xlfn.ISFORMULA('Month-End'!$EY$30))),0,IF(OR(Settings!$C$53="",Settings!$D$53=""),0,Settings!$C$53*IF(Settings!$D$53="Weekly",IF(IFERROR(MATCH(Settings!$E$53,$EO$4:$EO$10,0),0)=0,0,IF(MIN(Settings!$B$5,IF(Settings!$G$53="",Settings!$B$5,Settings!$G$53))&lt;MAX($A158,Settings!$F$53),0,INT((MIN(Settings!$B$5,IF(Settings!$G$53="",Settings!$B$5,Settings!$G$53))-MAX($A158,Settings!$F$53)-MOD(IFERROR(MATCH(Settings!$E$53,$EO$4:$EO$10,0),0)-WEEKDAY(MAX($A158,Settings!$F$53)),7))/7)+1)),IF(AND(IF(Settings!$E$53="",$B158,DATE(YEAR($A158),MONTH($A158),MIN(Settings!$E$53,DAY($B158))))&gt;=MAX($A158,Settings!$F$53),IF(Settings!$E$53="",$B158,DATE(YEAR($A158),MONTH($A158),MIN(Settings!$E$53,DAY($B158))))&lt;=MIN(Settings!$B$5,IF(Settings!$G$53="",Settings!$B$5,Settings!$G$53))),1,0)))))</f>
        <v/>
      </c>
      <c r="FC158">
        <f>IF($E158&lt;&gt;"open",0,IF(AND('Month-End'!$EY$31&lt;&gt;"",NOT(_xlfn.ISFORMULA('Month-End'!$EY$31))),0,IF(OR(Settings!$C$54="",Settings!$D$54=""),0,Settings!$C$54*IF(Settings!$D$54="Weekly",IF(IFERROR(MATCH(Settings!$E$54,$EO$4:$EO$10,0),0)=0,0,IF(MIN(Settings!$B$5,IF(Settings!$G$54="",Settings!$B$5,Settings!$G$54))&lt;MAX($A158,Settings!$F$54),0,INT((MIN(Settings!$B$5,IF(Settings!$G$54="",Settings!$B$5,Settings!$G$54))-MAX($A158,Settings!$F$54)-MOD(IFERROR(MATCH(Settings!$E$54,$EO$4:$EO$10,0),0)-WEEKDAY(MAX($A158,Settings!$F$54)),7))/7)+1)),IF(AND(IF(Settings!$E$54="",$B158,DATE(YEAR($A158),MONTH($A158),MIN(Settings!$E$54,DAY($B158))))&gt;=MAX($A158,Settings!$F$54),IF(Settings!$E$54="",$B158,DATE(YEAR($A158),MONTH($A158),MIN(Settings!$E$54,DAY($B158))))&lt;=MIN(Settings!$B$5,IF(Settings!$G$54="",Settings!$B$5,Settings!$G$54))),1,0)))))</f>
        <v/>
      </c>
      <c r="FD158">
        <f>IF($E158&lt;&gt;"open",0,IF(AND('Month-End'!$EY$32&lt;&gt;"",NOT(_xlfn.ISFORMULA('Month-End'!$EY$32))),0,IF(OR(Settings!$C$55="",Settings!$D$55=""),0,Settings!$C$55*IF(Settings!$D$55="Weekly",IF(IFERROR(MATCH(Settings!$E$55,$EO$4:$EO$10,0),0)=0,0,IF(MIN(Settings!$B$5,IF(Settings!$G$55="",Settings!$B$5,Settings!$G$55))&lt;MAX($A158,Settings!$F$55),0,INT((MIN(Settings!$B$5,IF(Settings!$G$55="",Settings!$B$5,Settings!$G$55))-MAX($A158,Settings!$F$55)-MOD(IFERROR(MATCH(Settings!$E$55,$EO$4:$EO$10,0),0)-WEEKDAY(MAX($A158,Settings!$F$55)),7))/7)+1)),IF(AND(IF(Settings!$E$55="",$B158,DATE(YEAR($A158),MONTH($A158),MIN(Settings!$E$55,DAY($B158))))&gt;=MAX($A158,Settings!$F$55),IF(Settings!$E$55="",$B158,DATE(YEAR($A158),MONTH($A158),MIN(Settings!$E$55,DAY($B158))))&lt;=MIN(Settings!$B$5,IF(Settings!$G$55="",Settings!$B$5,Settings!$G$55))),1,0)))))</f>
        <v/>
      </c>
      <c r="FE158">
        <f>IF($E158&lt;&gt;"open",0,IF(AND('Month-End'!$EY$33&lt;&gt;"",NOT(_xlfn.ISFORMULA('Month-End'!$EY$33))),0,IF(OR(Settings!$C$56="",Settings!$D$56=""),0,Settings!$C$56*IF(Settings!$D$56="Weekly",IF(IFERROR(MATCH(Settings!$E$56,$EO$4:$EO$10,0),0)=0,0,IF(MIN(Settings!$B$5,IF(Settings!$G$56="",Settings!$B$5,Settings!$G$56))&lt;MAX($A158,Settings!$F$56),0,INT((MIN(Settings!$B$5,IF(Settings!$G$56="",Settings!$B$5,Settings!$G$56))-MAX($A158,Settings!$F$56)-MOD(IFERROR(MATCH(Settings!$E$56,$EO$4:$EO$10,0),0)-WEEKDAY(MAX($A158,Settings!$F$56)),7))/7)+1)),IF(AND(IF(Settings!$E$56="",$B158,DATE(YEAR($A158),MONTH($A158),MIN(Settings!$E$56,DAY($B158))))&gt;=MAX($A158,Settings!$F$56),IF(Settings!$E$56="",$B158,DATE(YEAR($A158),MONTH($A158),MIN(Settings!$E$56,DAY($B158))))&lt;=MIN(Settings!$B$5,IF(Settings!$G$56="",Settings!$B$5,Settings!$G$56))),1,0)))))</f>
        <v/>
      </c>
      <c r="FF158">
        <f>IF(Settings!$I$45="Yes",$G158,0)+IF(Settings!$I$46="Yes",$H158,0)+IF(Settings!$I$47="Yes",$I158,0)+IF(Settings!$I$48="Yes",$J158,0)+IF(Settings!$I$49="Yes",$K158,0)+IF(Settings!$I$50="Yes",$L158,0)+IF(Settings!$I$51="Yes",$M158,0)+IF(Settings!$I$52="Yes",$N158,0)+IF(Settings!$I$53="Yes",$O158,0)+IF(Settings!$I$54="Yes",$P158,0)+IF(Settings!$I$55="Yes",$Q158,0)+IF(Settings!$I$56="Yes",$R158,0)</f>
        <v/>
      </c>
      <c r="FG158">
        <f>IF(AND(Settings!$I$45="Yes",Settings!$J$45="No"),$G158,0)+IF(AND(Settings!$I$46="Yes",Settings!$J$46="No"),$H158,0)+IF(AND(Settings!$I$47="Yes",Settings!$J$47="No"),$I158,0)+IF(AND(Settings!$I$48="Yes",Settings!$J$48="No"),$J158,0)+IF(AND(Settings!$I$49="Yes",Settings!$J$49="No"),$K158,0)+IF(AND(Settings!$I$50="Yes",Settings!$J$50="No"),$L158,0)+IF(AND(Settings!$I$51="Yes",Settings!$J$51="No"),$M158,0)+IF(AND(Settings!$I$52="Yes",Settings!$J$52="No"),$N158,0)+IF(AND(Settings!$I$53="Yes",Settings!$J$53="No"),$O158,0)+IF(AND(Settings!$I$54="Yes",Settings!$J$54="No"),$P158,0)+IF(AND(Settings!$I$55="Yes",Settings!$J$55="No"),$Q158,0)+IF(AND(Settings!$I$56="Yes",Settings!$J$56="No"),$R158,0)</f>
        <v/>
      </c>
      <c r="FH158">
        <f>SUMIFS(Giving!$B$7:$B$2006,Giving!$A$7:$A$2006,"&gt;="&amp;$A158,Giving!$A$7:$A$2006,"&lt;="&amp;$B158,Giving!$G$7:$G$2006,"Yes")+IF(OR(OR(Settings!$B$60="",Settings!$F$60="No"),Settings!$H$60&lt;&gt;"Yes"),0,Settings!$B$60*IF(AND(IF(Settings!$C$60="",$B158,DATE(YEAR($A158),MONTH($A158),MIN(Settings!$C$60,DAY($B158))))&gt;=MAX($A158,Settings!$D$60),IF(Settings!$C$60="",$B158,DATE(YEAR($A158),MONTH($A158),MIN(Settings!$C$60,DAY($B158))))&lt;=MIN($C158,IF(Settings!$E$60="",$C158,Settings!$E$60))),1,0))+IF(OR(OR(Settings!$B$61="",Settings!$F$61="No"),Settings!$H$61&lt;&gt;"Yes"),0,Settings!$B$61*IF(AND(IF(Settings!$C$61="",$B158,DATE(YEAR($A158),MONTH($A158),MIN(Settings!$C$61,DAY($B158))))&gt;=MAX($A158,Settings!$D$61),IF(Settings!$C$61="",$B158,DATE(YEAR($A158),MONTH($A158),MIN(Settings!$C$61,DAY($B158))))&lt;=MIN($C158,IF(Settings!$E$61="",$C158,Settings!$E$61))),1,0))+IF(OR(OR(Settings!$B$62="",Settings!$F$62="No"),Settings!$H$62&lt;&gt;"Yes"),0,Settings!$B$62*IF(AND(IF(Settings!$C$62="",$B158,DATE(YEAR($A158),MONTH($A158),MIN(Settings!$C$62,DAY($B158))))&gt;=MAX($A158,Settings!$D$62),IF(Settings!$C$62="",$B158,DATE(YEAR($A158),MONTH($A158),MIN(Settings!$C$62,DAY($B158))))&lt;=MIN($C158,IF(Settings!$E$62="",$C158,Settings!$E$62))),1,0))+IF(OR(OR(Settings!$B$63="",Settings!$F$63="No"),Settings!$H$63&lt;&gt;"Yes"),0,Settings!$B$63*IF(AND(IF(Settings!$C$63="",$B158,DATE(YEAR($A158),MONTH($A158),MIN(Settings!$C$63,DAY($B158))))&gt;=MAX($A158,Settings!$D$63),IF(Settings!$C$63="",$B158,DATE(YEAR($A158),MONTH($A158),MIN(Settings!$C$63,DAY($B158))))&lt;=MIN($C158,IF(Settings!$E$63="",$C158,Settings!$E$63))),1,0))+IF(OR(OR(Settings!$B$64="",Settings!$F$64="No"),Settings!$H$64&lt;&gt;"Yes"),0,Settings!$B$64*IF(AND(IF(Settings!$C$64="",$B158,DATE(YEAR($A158),MONTH($A158),MIN(Settings!$C$64,DAY($B158))))&gt;=MAX($A158,Settings!$D$64),IF(Settings!$C$64="",$B158,DATE(YEAR($A158),MONTH($A158),MIN(Settings!$C$64,DAY($B158))))&lt;=MIN($C158,IF(Settings!$E$64="",$C158,Settings!$E$64))),1,0))+IF(OR(OR(Settings!$B$65="",Settings!$F$65="No"),Settings!$H$65&lt;&gt;"Yes"),0,Settings!$B$65*IF(AND(IF(Settings!$C$65="",$B158,DATE(YEAR($A158),MONTH($A158),MIN(Settings!$C$65,DAY($B158))))&gt;=MAX($A158,Settings!$D$65),IF(Settings!$C$65="",$B158,DATE(YEAR($A158),MONTH($A158),MIN(Settings!$C$65,DAY($B158))))&lt;=MIN($C158,IF(Settings!$E$65="",$C158,Settings!$E$65))),1,0))</f>
        <v/>
      </c>
      <c r="FI158">
        <f>IF($DT158=1,IF(OR(Settings!$B$19="Card",Settings!$B$19="Loan"),N($AE158),0)+IF(OR(Settings!$B$20="Card",Settings!$B$20="Loan"),N($AF158),0)+IF(OR(Settings!$B$21="Card",Settings!$B$21="Loan"),N($AG158),0)+IF(OR(Settings!$B$22="Card",Settings!$B$22="Loan"),N($AH158),0)+IF(OR(Settings!$B$23="Card",Settings!$B$23="Loan"),N($AI158),0)+IF(OR(Settings!$B$24="Card",Settings!$B$24="Loan"),N($AJ158),0)+IF(OR(Settings!$B$25="Card",Settings!$B$25="Loan"),N($AK158),0)+IF(OR(Settings!$B$26="Card",Settings!$B$26="Loan"),N($AL158),0)+IF(OR(Settings!$B$27="Card",Settings!$B$27="Loan"),N($AM158),0)+IF(OR(Settings!$B$28="Card",Settings!$B$28="Loan"),N($AN158),0)+IF(OR(Settings!$B$29="Card",Settings!$B$29="Loan"),N($AO158),0)+IF(OR(Settings!$B$30="Card",Settings!$B$30="Loan"),N($AP158),0)+IF(OR(Settings!$B$31="Card",Settings!$B$31="Loan"),N($AQ158),0)+IF(OR(Settings!$B$32="Card",Settings!$B$32="Loan"),N($AR158),0),"")</f>
        <v/>
      </c>
      <c r="FJ158">
        <f>IF($E158="open",$EB$65,IF($E158="post",IF($E157="pre",$EB$65,$FI157),""))</f>
        <v/>
      </c>
      <c r="FK158">
        <f>IF(AND($DT158=1,$DC158=1),IF(ROUND($FI158-$FJ158,2)&gt;0,1,0),0)</f>
        <v/>
      </c>
      <c r="FL158">
        <f>IF($FK158=1,$FL157+1,0)</f>
        <v/>
      </c>
    </row>
    <row r="159">
      <c r="A159">
        <f>'Month-End'!$EZ$4</f>
        <v/>
      </c>
      <c r="B159">
        <f>EOMONTH($A159,0)</f>
        <v/>
      </c>
      <c r="C159">
        <f>MIN($B159,TODAY())</f>
        <v/>
      </c>
      <c r="D159">
        <f>IF($A159&gt;TODAY(),1,0)</f>
        <v/>
      </c>
      <c r="E159">
        <f>IF($B159&lt;=Settings!$B$5,"pre",IF($A159&lt;=Settings!$B$5,"open","post"))</f>
        <v/>
      </c>
      <c r="G159">
        <f>IF('Month-End'!$EZ$22="",$BE159,N('Month-End'!$EZ$22))</f>
        <v/>
      </c>
      <c r="H159">
        <f>IF('Month-End'!$EZ$23="",$BF159,N('Month-End'!$EZ$23))</f>
        <v/>
      </c>
      <c r="I159">
        <f>IF('Month-End'!$EZ$24="",$BG159,N('Month-End'!$EZ$24))</f>
        <v/>
      </c>
      <c r="J159">
        <f>IF('Month-End'!$EZ$25="",$BH159,N('Month-End'!$EZ$25))</f>
        <v/>
      </c>
      <c r="K159">
        <f>IF('Month-End'!$EZ$26="",$BI159,N('Month-End'!$EZ$26))</f>
        <v/>
      </c>
      <c r="L159">
        <f>IF('Month-End'!$EZ$27="",$BJ159,N('Month-End'!$EZ$27))</f>
        <v/>
      </c>
      <c r="M159">
        <f>IF('Month-End'!$EZ$28="",$BK159,N('Month-End'!$EZ$28))</f>
        <v/>
      </c>
      <c r="N159">
        <f>IF('Month-End'!$EZ$29="",$BL159,N('Month-End'!$EZ$29))</f>
        <v/>
      </c>
      <c r="O159">
        <f>IF('Month-End'!$EZ$30="",$BM159,N('Month-End'!$EZ$30))</f>
        <v/>
      </c>
      <c r="P159">
        <f>IF('Month-End'!$EZ$31="",$BN159,N('Month-End'!$EZ$31))</f>
        <v/>
      </c>
      <c r="Q159">
        <f>IF('Month-End'!$EZ$32="",$BO159,N('Month-End'!$EZ$32))</f>
        <v/>
      </c>
      <c r="R159">
        <f>IF('Month-End'!$EZ$33="",$BP159,N('Month-End'!$EZ$33))</f>
        <v/>
      </c>
      <c r="S159">
        <f>$G159+$H159+$I159+$J159+$K159+$L159+$M159+$N159+$O159+$P159+$Q159+$R159</f>
        <v/>
      </c>
      <c r="T159">
        <f>IF($B159&lt;Settings!$B$6,0,IF(Settings!$B$45="Yes",$G159,0)+IF(Settings!$B$46="Yes",$H159,0)+IF(Settings!$B$47="Yes",$I159,0)+IF(Settings!$B$48="Yes",$J159,0)+IF(Settings!$B$49="Yes",$K159,0)+IF(Settings!$B$50="Yes",$L159,0)+IF(Settings!$B$51="Yes",$M159,0)+IF(Settings!$B$52="Yes",$N159,0)+IF(Settings!$B$53="Yes",$O159,0)+IF(Settings!$B$54="Yes",$P159,0)+IF(Settings!$B$55="Yes",$Q159,0)+IF(Settings!$B$56="Yes",$R159,0))</f>
        <v/>
      </c>
      <c r="U159">
        <f>IF(Settings!$B$45="Not Sure",$G159,0)+IF(Settings!$B$46="Not Sure",$H159,0)+IF(Settings!$B$47="Not Sure",$I159,0)+IF(Settings!$B$48="Not Sure",$J159,0)+IF(Settings!$B$49="Not Sure",$K159,0)+IF(Settings!$B$50="Not Sure",$L159,0)+IF(Settings!$B$51="Not Sure",$M159,0)+IF(Settings!$B$52="Not Sure",$N159,0)+IF(Settings!$B$53="Not Sure",$O159,0)+IF(Settings!$B$54="Not Sure",$P159,0)+IF(Settings!$B$55="Not Sure",$Q159,0)+IF(Settings!$B$56="Not Sure",$R159,0)</f>
        <v/>
      </c>
      <c r="V159">
        <f>IF($E159="open",SUM($ET159:$FE159)+N(Settings!$B$13),0)</f>
        <v/>
      </c>
      <c r="W159">
        <f>IF($E159="post",$S159,IF($E159="open",$S159-$V159,0))</f>
        <v/>
      </c>
      <c r="X159">
        <f>SUMIFS(Giving!$B$7:$B$2006,Giving!$A$7:$A$2006,"&gt;="&amp;$A159,Giving!$A$7:$A$2006,"&lt;="&amp;$B159,Giving!$E$7:$E$2006,"&lt;&gt;No")</f>
        <v/>
      </c>
      <c r="Y159">
        <f>SUMIFS(Giving!$B$7:$B$2006,Giving!$A$7:$A$2006,"&gt;="&amp;$A159,Giving!$A$7:$A$2006,"&lt;="&amp;$B159,Giving!$E$7:$E$2006,"No")</f>
        <v/>
      </c>
      <c r="Z159">
        <f>IF(OR(Settings!$B$60="",Settings!$F$60="No"),0,Settings!$B$60*IF(AND(IF(Settings!$C$60="",$B159,DATE(YEAR($A159),MONTH($A159),MIN(Settings!$C$60,DAY($B159))))&gt;=MAX($A159,Settings!$D$60),IF(Settings!$C$60="",$B159,DATE(YEAR($A159),MONTH($A159),MIN(Settings!$C$60,DAY($B159))))&lt;=MIN($C159,IF(Settings!$E$60="",$C159,Settings!$E$60))),1,0))+IF(OR(Settings!$B$61="",Settings!$F$61="No"),0,Settings!$B$61*IF(AND(IF(Settings!$C$61="",$B159,DATE(YEAR($A159),MONTH($A159),MIN(Settings!$C$61,DAY($B159))))&gt;=MAX($A159,Settings!$D$61),IF(Settings!$C$61="",$B159,DATE(YEAR($A159),MONTH($A159),MIN(Settings!$C$61,DAY($B159))))&lt;=MIN($C159,IF(Settings!$E$61="",$C159,Settings!$E$61))),1,0))+IF(OR(Settings!$B$62="",Settings!$F$62="No"),0,Settings!$B$62*IF(AND(IF(Settings!$C$62="",$B159,DATE(YEAR($A159),MONTH($A159),MIN(Settings!$C$62,DAY($B159))))&gt;=MAX($A159,Settings!$D$62),IF(Settings!$C$62="",$B159,DATE(YEAR($A159),MONTH($A159),MIN(Settings!$C$62,DAY($B159))))&lt;=MIN($C159,IF(Settings!$E$62="",$C159,Settings!$E$62))),1,0))+IF(OR(Settings!$B$63="",Settings!$F$63="No"),0,Settings!$B$63*IF(AND(IF(Settings!$C$63="",$B159,DATE(YEAR($A159),MONTH($A159),MIN(Settings!$C$63,DAY($B159))))&gt;=MAX($A159,Settings!$D$63),IF(Settings!$C$63="",$B159,DATE(YEAR($A159),MONTH($A159),MIN(Settings!$C$63,DAY($B159))))&lt;=MIN($C159,IF(Settings!$E$63="",$C159,Settings!$E$63))),1,0))+IF(OR(Settings!$B$64="",Settings!$F$64="No"),0,Settings!$B$64*IF(AND(IF(Settings!$C$64="",$B159,DATE(YEAR($A159),MONTH($A159),MIN(Settings!$C$64,DAY($B159))))&gt;=MAX($A159,Settings!$D$64),IF(Settings!$C$64="",$B159,DATE(YEAR($A159),MONTH($A159),MIN(Settings!$C$64,DAY($B159))))&lt;=MIN($C159,IF(Settings!$E$64="",$C159,Settings!$E$64))),1,0))+IF(OR(Settings!$B$65="",Settings!$F$65="No"),0,Settings!$B$65*IF(AND(IF(Settings!$C$65="",$B159,DATE(YEAR($A159),MONTH($A159),MIN(Settings!$C$65,DAY($B159))))&gt;=MAX($A159,Settings!$D$65),IF(Settings!$C$65="",$B159,DATE(YEAR($A159),MONTH($A159),MIN(Settings!$C$65,DAY($B159))))&lt;=MIN($C159,IF(Settings!$E$65="",$C159,Settings!$E$65))),1,0))</f>
        <v/>
      </c>
      <c r="AA159">
        <f>$X159+$Z159</f>
        <v/>
      </c>
      <c r="AB159">
        <f>IF($E159="post",$AA159,IF($E159="open",SUMIFS(Giving!$B$7:$B$2006,Giving!$A$7:$A$2006,"&gt;"&amp;Settings!$B$5,Giving!$A$7:$A$2006,"&lt;="&amp;$B159,Giving!$E$7:$E$2006,"&lt;&gt;No")+IF(OR(Settings!$B$60="",Settings!$F$60="No"),0,Settings!$B$60*IF(AND(IF(Settings!$C$60="",$B159,DATE(YEAR($A159),MONTH($A159),MIN(Settings!$C$60,DAY($B159))))&gt;=MAX($A159,Settings!$D$60,Settings!$B$5+1),IF(Settings!$C$60="",$B159,DATE(YEAR($A159),MONTH($A159),MIN(Settings!$C$60,DAY($B159))))&lt;=MIN($C159,IF(Settings!$E$60="",$C159,Settings!$E$60))),1,0))+IF(OR(Settings!$B$61="",Settings!$F$61="No"),0,Settings!$B$61*IF(AND(IF(Settings!$C$61="",$B159,DATE(YEAR($A159),MONTH($A159),MIN(Settings!$C$61,DAY($B159))))&gt;=MAX($A159,Settings!$D$61,Settings!$B$5+1),IF(Settings!$C$61="",$B159,DATE(YEAR($A159),MONTH($A159),MIN(Settings!$C$61,DAY($B159))))&lt;=MIN($C159,IF(Settings!$E$61="",$C159,Settings!$E$61))),1,0))+IF(OR(Settings!$B$62="",Settings!$F$62="No"),0,Settings!$B$62*IF(AND(IF(Settings!$C$62="",$B159,DATE(YEAR($A159),MONTH($A159),MIN(Settings!$C$62,DAY($B159))))&gt;=MAX($A159,Settings!$D$62,Settings!$B$5+1),IF(Settings!$C$62="",$B159,DATE(YEAR($A159),MONTH($A159),MIN(Settings!$C$62,DAY($B159))))&lt;=MIN($C159,IF(Settings!$E$62="",$C159,Settings!$E$62))),1,0))+IF(OR(Settings!$B$63="",Settings!$F$63="No"),0,Settings!$B$63*IF(AND(IF(Settings!$C$63="",$B159,DATE(YEAR($A159),MONTH($A159),MIN(Settings!$C$63,DAY($B159))))&gt;=MAX($A159,Settings!$D$63,Settings!$B$5+1),IF(Settings!$C$63="",$B159,DATE(YEAR($A159),MONTH($A159),MIN(Settings!$C$63,DAY($B159))))&lt;=MIN($C159,IF(Settings!$E$63="",$C159,Settings!$E$63))),1,0))+IF(OR(Settings!$B$64="",Settings!$F$64="No"),0,Settings!$B$64*IF(AND(IF(Settings!$C$64="",$B159,DATE(YEAR($A159),MONTH($A159),MIN(Settings!$C$64,DAY($B159))))&gt;=MAX($A159,Settings!$D$64,Settings!$B$5+1),IF(Settings!$C$64="",$B159,DATE(YEAR($A159),MONTH($A159),MIN(Settings!$C$64,DAY($B159))))&lt;=MIN($C159,IF(Settings!$E$64="",$C159,Settings!$E$64))),1,0))+IF(OR(Settings!$B$65="",Settings!$F$65="No"),0,Settings!$B$65*IF(AND(IF(Settings!$C$65="",$B159,DATE(YEAR($A159),MONTH($A159),MIN(Settings!$C$65,DAY($B159))))&gt;=MAX($A159,Settings!$D$65,Settings!$B$5+1),IF(Settings!$C$65="",$B159,DATE(YEAR($A159),MONTH($A159),MIN(Settings!$C$65,DAY($B159))))&lt;=MIN($C159,IF(Settings!$E$65="",$C159,Settings!$E$65))),1,0)),0))</f>
        <v/>
      </c>
      <c r="AC159">
        <f>$AY159+$AZ159+$BA159+$BB159+$BC159+$BD159</f>
        <v/>
      </c>
      <c r="AD159">
        <f>$AC159</f>
        <v/>
      </c>
      <c r="AE159">
        <f>IF(OR(Settings!$A$19="",$E159="pre"),"",IF(AND('Month-End'!$EZ$7&lt;&gt;"",NOT(_xlfn.ISFORMULA('Month-End'!$EZ$7))),N('Month-End'!$EZ$7),IF(OR($E159="open",$E158="pre"),N(Settings!$C$19),N($AE158))))</f>
        <v/>
      </c>
      <c r="AF159">
        <f>IF(OR(Settings!$A$20="",$E159="pre"),"",IF(AND('Month-End'!$EZ$8&lt;&gt;"",NOT(_xlfn.ISFORMULA('Month-End'!$EZ$8))),N('Month-End'!$EZ$8),IF(OR($E159="open",$E158="pre"),N(Settings!$C$20),N($AF158))))</f>
        <v/>
      </c>
      <c r="AG159">
        <f>IF(OR(Settings!$A$21="",$E159="pre"),"",IF(AND('Month-End'!$EZ$9&lt;&gt;"",NOT(_xlfn.ISFORMULA('Month-End'!$EZ$9))),N('Month-End'!$EZ$9),IF(OR($E159="open",$E158="pre"),N(Settings!$C$21),N($AG158))))</f>
        <v/>
      </c>
      <c r="AH159">
        <f>IF(OR(Settings!$A$22="",$E159="pre"),"",IF(AND('Month-End'!$EZ$10&lt;&gt;"",NOT(_xlfn.ISFORMULA('Month-End'!$EZ$10))),N('Month-End'!$EZ$10),IF(OR($E159="open",$E158="pre"),N(Settings!$C$22),N($AH158))))</f>
        <v/>
      </c>
      <c r="AI159">
        <f>IF(OR(Settings!$A$23="",$E159="pre"),"",IF(AND('Month-End'!$EZ$11&lt;&gt;"",NOT(_xlfn.ISFORMULA('Month-End'!$EZ$11))),N('Month-End'!$EZ$11),IF(OR($E159="open",$E158="pre"),N(Settings!$C$23),N($AI158))))</f>
        <v/>
      </c>
      <c r="AJ159">
        <f>IF(OR(Settings!$A$24="",$E159="pre"),"",IF(AND('Month-End'!$EZ$12&lt;&gt;"",NOT(_xlfn.ISFORMULA('Month-End'!$EZ$12))),N('Month-End'!$EZ$12),IF(OR($E159="open",$E158="pre"),N(Settings!$C$24),N($AJ158))))</f>
        <v/>
      </c>
      <c r="AK159">
        <f>IF(OR(Settings!$A$25="",$E159="pre"),"",IF(AND('Month-End'!$EZ$13&lt;&gt;"",NOT(_xlfn.ISFORMULA('Month-End'!$EZ$13))),N('Month-End'!$EZ$13),IF(OR($E159="open",$E158="pre"),N(Settings!$C$25),N($AK158))))</f>
        <v/>
      </c>
      <c r="AL159">
        <f>IF(OR(Settings!$A$26="",$E159="pre"),"",IF(AND('Month-End'!$EZ$14&lt;&gt;"",NOT(_xlfn.ISFORMULA('Month-End'!$EZ$14))),N('Month-End'!$EZ$14),IF(OR($E159="open",$E158="pre"),N(Settings!$C$26),N($AL158))))</f>
        <v/>
      </c>
      <c r="AM159">
        <f>IF(OR(Settings!$A$27="",$E159="pre"),"",IF(AND('Month-End'!$EZ$15&lt;&gt;"",NOT(_xlfn.ISFORMULA('Month-End'!$EZ$15))),N('Month-End'!$EZ$15),IF(OR($E159="open",$E158="pre"),N(Settings!$C$27),N($AM158))))</f>
        <v/>
      </c>
      <c r="AN159">
        <f>IF(OR(Settings!$A$28="",$E159="pre"),"",IF(AND('Month-End'!$EZ$16&lt;&gt;"",NOT(_xlfn.ISFORMULA('Month-End'!$EZ$16))),N('Month-End'!$EZ$16),IF(OR($E159="open",$E158="pre"),N(Settings!$C$28),N($AN158))))</f>
        <v/>
      </c>
      <c r="AO159">
        <f>IF(OR(Settings!$A$29="",$E159="pre"),"",IF(AND('Month-End'!$EZ$17&lt;&gt;"",NOT(_xlfn.ISFORMULA('Month-End'!$EZ$17))),N('Month-End'!$EZ$17),IF(OR($E159="open",$E158="pre"),N(Settings!$C$29),N($AO158))))</f>
        <v/>
      </c>
      <c r="AP159">
        <f>IF(OR(Settings!$A$30="",$E159="pre"),"",IF(AND('Month-End'!$EZ$18&lt;&gt;"",NOT(_xlfn.ISFORMULA('Month-End'!$EZ$18))),N('Month-End'!$EZ$18),IF(OR($E159="open",$E158="pre"),N(Settings!$C$30),N($AP158))))</f>
        <v/>
      </c>
      <c r="AQ159">
        <f>IF(OR(Settings!$A$31="",$E159="pre"),"",IF(AND('Month-End'!$EZ$19&lt;&gt;"",NOT(_xlfn.ISFORMULA('Month-End'!$EZ$19))),N('Month-End'!$EZ$19),IF(OR($E159="open",$E158="pre"),N(Settings!$C$31),N($AQ158))))</f>
        <v/>
      </c>
      <c r="AR159">
        <f>IF(OR(Settings!$A$32="",$E159="pre"),"",IF(AND('Month-End'!$EZ$20&lt;&gt;"",NOT(_xlfn.ISFORMULA('Month-End'!$EZ$20))),N('Month-End'!$EZ$20),IF(OR($E159="open",$E158="pre"),N(Settings!$C$32),N($AR158))))</f>
        <v/>
      </c>
      <c r="AS159">
        <f>IF(OR(Settings!$A$36="",$E159="pre"),"",IF(AND('Month-End'!$EZ$38&lt;&gt;"",NOT(_xlfn.ISFORMULA('Month-End'!$EZ$38))),N('Month-End'!$EZ$38),IF(OR($E159="open",$E158="pre"),N(Settings!$C$36),N($AS158))+$AY159))</f>
        <v/>
      </c>
      <c r="AT159">
        <f>IF(OR(Settings!$A$37="",$E159="pre"),"",IF(AND('Month-End'!$EZ$39&lt;&gt;"",NOT(_xlfn.ISFORMULA('Month-End'!$EZ$39))),N('Month-End'!$EZ$39),IF(OR($E159="open",$E158="pre"),N(Settings!$C$37),N($AT158))+$AZ159))</f>
        <v/>
      </c>
      <c r="AU159">
        <f>IF(OR(Settings!$A$38="",$E159="pre"),"",IF(AND('Month-End'!$EZ$40&lt;&gt;"",NOT(_xlfn.ISFORMULA('Month-End'!$EZ$40))),N('Month-End'!$EZ$40),IF(OR($E159="open",$E158="pre"),N(Settings!$C$38),N($AU158))+$BA159))</f>
        <v/>
      </c>
      <c r="AV159">
        <f>IF(OR(Settings!$A$39="",$E159="pre"),"",IF(AND('Month-End'!$EZ$41&lt;&gt;"",NOT(_xlfn.ISFORMULA('Month-End'!$EZ$41))),N('Month-End'!$EZ$41),IF(OR($E159="open",$E158="pre"),N(Settings!$C$39),N($AV158))+$BB159))</f>
        <v/>
      </c>
      <c r="AW159">
        <f>IF(OR(Settings!$A$40="",$E159="pre"),"",IF(AND('Month-End'!$EZ$42&lt;&gt;"",NOT(_xlfn.ISFORMULA('Month-End'!$EZ$42))),N('Month-End'!$EZ$42),IF(OR($E159="open",$E158="pre"),N(Settings!$C$40),N($AW158))+$BC159))</f>
        <v/>
      </c>
      <c r="AX159">
        <f>IF(OR(Settings!$A$41="",$E159="pre"),"",IF(AND('Month-End'!$EZ$43&lt;&gt;"",NOT(_xlfn.ISFORMULA('Month-End'!$EZ$43))),N('Month-End'!$EZ$43),IF(OR($E159="open",$E158="pre"),N(Settings!$C$41),N($AX158))+$BD159))</f>
        <v/>
      </c>
      <c r="AY159">
        <f>IF($E159="pre",0,N('Month-End'!$EZ$45))</f>
        <v/>
      </c>
      <c r="AZ159">
        <f>IF($E159="pre",0,N('Month-End'!$EZ$46))</f>
        <v/>
      </c>
      <c r="BA159">
        <f>IF($E159="pre",0,N('Month-End'!$EZ$47))</f>
        <v/>
      </c>
      <c r="BB159">
        <f>IF($E159="pre",0,N('Month-End'!$EZ$48))</f>
        <v/>
      </c>
      <c r="BC159">
        <f>IF($E159="pre",0,N('Month-End'!$EZ$49))</f>
        <v/>
      </c>
      <c r="BD159">
        <f>IF($E159="pre",0,N('Month-End'!$EZ$50))</f>
        <v/>
      </c>
      <c r="BE159">
        <f>IF(OR(Settings!$C$45="",Settings!$D$45=""),0,Settings!$C$45*IF(Settings!$D$45="Weekly",IF(IFERROR(MATCH(Settings!$E$45,$EO$4:$EO$10,0),0)=0,0,IF(MIN($C159,IF(Settings!$G$45="",$C159,Settings!$G$45))&lt;MAX($A159,Settings!$F$45),0,INT((MIN($C159,IF(Settings!$G$45="",$C159,Settings!$G$45))-MAX($A159,Settings!$F$45)-MOD(IFERROR(MATCH(Settings!$E$45,$EO$4:$EO$10,0),0)-WEEKDAY(MAX($A159,Settings!$F$45)),7))/7)+1)),IF(AND(IF(Settings!$E$45="",$B159,DATE(YEAR($A159),MONTH($A159),MIN(Settings!$E$45,DAY($B159))))&gt;=MAX($A159,Settings!$F$45),IF(Settings!$E$45="",$B159,DATE(YEAR($A159),MONTH($A159),MIN(Settings!$E$45,DAY($B159))))&lt;=MIN($C159,IF(Settings!$G$45="",$C159,Settings!$G$45))),1,0)))</f>
        <v/>
      </c>
      <c r="BF159">
        <f>IF(OR(Settings!$C$46="",Settings!$D$46=""),0,Settings!$C$46*IF(Settings!$D$46="Weekly",IF(IFERROR(MATCH(Settings!$E$46,$EO$4:$EO$10,0),0)=0,0,IF(MIN($C159,IF(Settings!$G$46="",$C159,Settings!$G$46))&lt;MAX($A159,Settings!$F$46),0,INT((MIN($C159,IF(Settings!$G$46="",$C159,Settings!$G$46))-MAX($A159,Settings!$F$46)-MOD(IFERROR(MATCH(Settings!$E$46,$EO$4:$EO$10,0),0)-WEEKDAY(MAX($A159,Settings!$F$46)),7))/7)+1)),IF(AND(IF(Settings!$E$46="",$B159,DATE(YEAR($A159),MONTH($A159),MIN(Settings!$E$46,DAY($B159))))&gt;=MAX($A159,Settings!$F$46),IF(Settings!$E$46="",$B159,DATE(YEAR($A159),MONTH($A159),MIN(Settings!$E$46,DAY($B159))))&lt;=MIN($C159,IF(Settings!$G$46="",$C159,Settings!$G$46))),1,0)))</f>
        <v/>
      </c>
      <c r="BG159">
        <f>IF(OR(Settings!$C$47="",Settings!$D$47=""),0,Settings!$C$47*IF(Settings!$D$47="Weekly",IF(IFERROR(MATCH(Settings!$E$47,$EO$4:$EO$10,0),0)=0,0,IF(MIN($C159,IF(Settings!$G$47="",$C159,Settings!$G$47))&lt;MAX($A159,Settings!$F$47),0,INT((MIN($C159,IF(Settings!$G$47="",$C159,Settings!$G$47))-MAX($A159,Settings!$F$47)-MOD(IFERROR(MATCH(Settings!$E$47,$EO$4:$EO$10,0),0)-WEEKDAY(MAX($A159,Settings!$F$47)),7))/7)+1)),IF(AND(IF(Settings!$E$47="",$B159,DATE(YEAR($A159),MONTH($A159),MIN(Settings!$E$47,DAY($B159))))&gt;=MAX($A159,Settings!$F$47),IF(Settings!$E$47="",$B159,DATE(YEAR($A159),MONTH($A159),MIN(Settings!$E$47,DAY($B159))))&lt;=MIN($C159,IF(Settings!$G$47="",$C159,Settings!$G$47))),1,0)))</f>
        <v/>
      </c>
      <c r="BH159">
        <f>IF(OR(Settings!$C$48="",Settings!$D$48=""),0,Settings!$C$48*IF(Settings!$D$48="Weekly",IF(IFERROR(MATCH(Settings!$E$48,$EO$4:$EO$10,0),0)=0,0,IF(MIN($C159,IF(Settings!$G$48="",$C159,Settings!$G$48))&lt;MAX($A159,Settings!$F$48),0,INT((MIN($C159,IF(Settings!$G$48="",$C159,Settings!$G$48))-MAX($A159,Settings!$F$48)-MOD(IFERROR(MATCH(Settings!$E$48,$EO$4:$EO$10,0),0)-WEEKDAY(MAX($A159,Settings!$F$48)),7))/7)+1)),IF(AND(IF(Settings!$E$48="",$B159,DATE(YEAR($A159),MONTH($A159),MIN(Settings!$E$48,DAY($B159))))&gt;=MAX($A159,Settings!$F$48),IF(Settings!$E$48="",$B159,DATE(YEAR($A159),MONTH($A159),MIN(Settings!$E$48,DAY($B159))))&lt;=MIN($C159,IF(Settings!$G$48="",$C159,Settings!$G$48))),1,0)))</f>
        <v/>
      </c>
      <c r="BI159">
        <f>IF(OR(Settings!$C$49="",Settings!$D$49=""),0,Settings!$C$49*IF(Settings!$D$49="Weekly",IF(IFERROR(MATCH(Settings!$E$49,$EO$4:$EO$10,0),0)=0,0,IF(MIN($C159,IF(Settings!$G$49="",$C159,Settings!$G$49))&lt;MAX($A159,Settings!$F$49),0,INT((MIN($C159,IF(Settings!$G$49="",$C159,Settings!$G$49))-MAX($A159,Settings!$F$49)-MOD(IFERROR(MATCH(Settings!$E$49,$EO$4:$EO$10,0),0)-WEEKDAY(MAX($A159,Settings!$F$49)),7))/7)+1)),IF(AND(IF(Settings!$E$49="",$B159,DATE(YEAR($A159),MONTH($A159),MIN(Settings!$E$49,DAY($B159))))&gt;=MAX($A159,Settings!$F$49),IF(Settings!$E$49="",$B159,DATE(YEAR($A159),MONTH($A159),MIN(Settings!$E$49,DAY($B159))))&lt;=MIN($C159,IF(Settings!$G$49="",$C159,Settings!$G$49))),1,0)))</f>
        <v/>
      </c>
      <c r="BJ159">
        <f>IF(OR(Settings!$C$50="",Settings!$D$50=""),0,Settings!$C$50*IF(Settings!$D$50="Weekly",IF(IFERROR(MATCH(Settings!$E$50,$EO$4:$EO$10,0),0)=0,0,IF(MIN($C159,IF(Settings!$G$50="",$C159,Settings!$G$50))&lt;MAX($A159,Settings!$F$50),0,INT((MIN($C159,IF(Settings!$G$50="",$C159,Settings!$G$50))-MAX($A159,Settings!$F$50)-MOD(IFERROR(MATCH(Settings!$E$50,$EO$4:$EO$10,0),0)-WEEKDAY(MAX($A159,Settings!$F$50)),7))/7)+1)),IF(AND(IF(Settings!$E$50="",$B159,DATE(YEAR($A159),MONTH($A159),MIN(Settings!$E$50,DAY($B159))))&gt;=MAX($A159,Settings!$F$50),IF(Settings!$E$50="",$B159,DATE(YEAR($A159),MONTH($A159),MIN(Settings!$E$50,DAY($B159))))&lt;=MIN($C159,IF(Settings!$G$50="",$C159,Settings!$G$50))),1,0)))</f>
        <v/>
      </c>
      <c r="BK159">
        <f>IF(OR(Settings!$C$51="",Settings!$D$51=""),0,Settings!$C$51*IF(Settings!$D$51="Weekly",IF(IFERROR(MATCH(Settings!$E$51,$EO$4:$EO$10,0),0)=0,0,IF(MIN($C159,IF(Settings!$G$51="",$C159,Settings!$G$51))&lt;MAX($A159,Settings!$F$51),0,INT((MIN($C159,IF(Settings!$G$51="",$C159,Settings!$G$51))-MAX($A159,Settings!$F$51)-MOD(IFERROR(MATCH(Settings!$E$51,$EO$4:$EO$10,0),0)-WEEKDAY(MAX($A159,Settings!$F$51)),7))/7)+1)),IF(AND(IF(Settings!$E$51="",$B159,DATE(YEAR($A159),MONTH($A159),MIN(Settings!$E$51,DAY($B159))))&gt;=MAX($A159,Settings!$F$51),IF(Settings!$E$51="",$B159,DATE(YEAR($A159),MONTH($A159),MIN(Settings!$E$51,DAY($B159))))&lt;=MIN($C159,IF(Settings!$G$51="",$C159,Settings!$G$51))),1,0)))</f>
        <v/>
      </c>
      <c r="BL159">
        <f>IF(OR(Settings!$C$52="",Settings!$D$52=""),0,Settings!$C$52*IF(Settings!$D$52="Weekly",IF(IFERROR(MATCH(Settings!$E$52,$EO$4:$EO$10,0),0)=0,0,IF(MIN($C159,IF(Settings!$G$52="",$C159,Settings!$G$52))&lt;MAX($A159,Settings!$F$52),0,INT((MIN($C159,IF(Settings!$G$52="",$C159,Settings!$G$52))-MAX($A159,Settings!$F$52)-MOD(IFERROR(MATCH(Settings!$E$52,$EO$4:$EO$10,0),0)-WEEKDAY(MAX($A159,Settings!$F$52)),7))/7)+1)),IF(AND(IF(Settings!$E$52="",$B159,DATE(YEAR($A159),MONTH($A159),MIN(Settings!$E$52,DAY($B159))))&gt;=MAX($A159,Settings!$F$52),IF(Settings!$E$52="",$B159,DATE(YEAR($A159),MONTH($A159),MIN(Settings!$E$52,DAY($B159))))&lt;=MIN($C159,IF(Settings!$G$52="",$C159,Settings!$G$52))),1,0)))</f>
        <v/>
      </c>
      <c r="BM159">
        <f>IF(OR(Settings!$C$53="",Settings!$D$53=""),0,Settings!$C$53*IF(Settings!$D$53="Weekly",IF(IFERROR(MATCH(Settings!$E$53,$EO$4:$EO$10,0),0)=0,0,IF(MIN($C159,IF(Settings!$G$53="",$C159,Settings!$G$53))&lt;MAX($A159,Settings!$F$53),0,INT((MIN($C159,IF(Settings!$G$53="",$C159,Settings!$G$53))-MAX($A159,Settings!$F$53)-MOD(IFERROR(MATCH(Settings!$E$53,$EO$4:$EO$10,0),0)-WEEKDAY(MAX($A159,Settings!$F$53)),7))/7)+1)),IF(AND(IF(Settings!$E$53="",$B159,DATE(YEAR($A159),MONTH($A159),MIN(Settings!$E$53,DAY($B159))))&gt;=MAX($A159,Settings!$F$53),IF(Settings!$E$53="",$B159,DATE(YEAR($A159),MONTH($A159),MIN(Settings!$E$53,DAY($B159))))&lt;=MIN($C159,IF(Settings!$G$53="",$C159,Settings!$G$53))),1,0)))</f>
        <v/>
      </c>
      <c r="BN159">
        <f>IF(OR(Settings!$C$54="",Settings!$D$54=""),0,Settings!$C$54*IF(Settings!$D$54="Weekly",IF(IFERROR(MATCH(Settings!$E$54,$EO$4:$EO$10,0),0)=0,0,IF(MIN($C159,IF(Settings!$G$54="",$C159,Settings!$G$54))&lt;MAX($A159,Settings!$F$54),0,INT((MIN($C159,IF(Settings!$G$54="",$C159,Settings!$G$54))-MAX($A159,Settings!$F$54)-MOD(IFERROR(MATCH(Settings!$E$54,$EO$4:$EO$10,0),0)-WEEKDAY(MAX($A159,Settings!$F$54)),7))/7)+1)),IF(AND(IF(Settings!$E$54="",$B159,DATE(YEAR($A159),MONTH($A159),MIN(Settings!$E$54,DAY($B159))))&gt;=MAX($A159,Settings!$F$54),IF(Settings!$E$54="",$B159,DATE(YEAR($A159),MONTH($A159),MIN(Settings!$E$54,DAY($B159))))&lt;=MIN($C159,IF(Settings!$G$54="",$C159,Settings!$G$54))),1,0)))</f>
        <v/>
      </c>
      <c r="BO159">
        <f>IF(OR(Settings!$C$55="",Settings!$D$55=""),0,Settings!$C$55*IF(Settings!$D$55="Weekly",IF(IFERROR(MATCH(Settings!$E$55,$EO$4:$EO$10,0),0)=0,0,IF(MIN($C159,IF(Settings!$G$55="",$C159,Settings!$G$55))&lt;MAX($A159,Settings!$F$55),0,INT((MIN($C159,IF(Settings!$G$55="",$C159,Settings!$G$55))-MAX($A159,Settings!$F$55)-MOD(IFERROR(MATCH(Settings!$E$55,$EO$4:$EO$10,0),0)-WEEKDAY(MAX($A159,Settings!$F$55)),7))/7)+1)),IF(AND(IF(Settings!$E$55="",$B159,DATE(YEAR($A159),MONTH($A159),MIN(Settings!$E$55,DAY($B159))))&gt;=MAX($A159,Settings!$F$55),IF(Settings!$E$55="",$B159,DATE(YEAR($A159),MONTH($A159),MIN(Settings!$E$55,DAY($B159))))&lt;=MIN($C159,IF(Settings!$G$55="",$C159,Settings!$G$55))),1,0)))</f>
        <v/>
      </c>
      <c r="BP159">
        <f>IF(OR(Settings!$C$56="",Settings!$D$56=""),0,Settings!$C$56*IF(Settings!$D$56="Weekly",IF(IFERROR(MATCH(Settings!$E$56,$EO$4:$EO$10,0),0)=0,0,IF(MIN($C159,IF(Settings!$G$56="",$C159,Settings!$G$56))&lt;MAX($A159,Settings!$F$56),0,INT((MIN($C159,IF(Settings!$G$56="",$C159,Settings!$G$56))-MAX($A159,Settings!$F$56)-MOD(IFERROR(MATCH(Settings!$E$56,$EO$4:$EO$10,0),0)-WEEKDAY(MAX($A159,Settings!$F$56)),7))/7)+1)),IF(AND(IF(Settings!$E$56="",$B159,DATE(YEAR($A159),MONTH($A159),MIN(Settings!$E$56,DAY($B159))))&gt;=MAX($A159,Settings!$F$56),IF(Settings!$E$56="",$B159,DATE(YEAR($A159),MONTH($A159),MIN(Settings!$E$56,DAY($B159))))&lt;=MIN($C159,IF(Settings!$G$56="",$C159,Settings!$G$56))),1,0)))</f>
        <v/>
      </c>
      <c r="BQ159">
        <f>IF(OR(Settings!$B$14="",$D159=1,$E159="pre",$A159&lt;IF(Settings!$B$15="",0,Settings!$B$15)),0,Settings!$B$14)</f>
        <v/>
      </c>
      <c r="BR159">
        <f>IF(AND('Month-End'!$EZ$7&lt;&gt;"",NOT(_xlfn.ISFORMULA('Month-End'!$EZ$7))),1,0)</f>
        <v/>
      </c>
      <c r="BS159">
        <f>IF(AND('Month-End'!$EZ$8&lt;&gt;"",NOT(_xlfn.ISFORMULA('Month-End'!$EZ$8))),1,0)</f>
        <v/>
      </c>
      <c r="BT159">
        <f>IF(AND('Month-End'!$EZ$9&lt;&gt;"",NOT(_xlfn.ISFORMULA('Month-End'!$EZ$9))),1,0)</f>
        <v/>
      </c>
      <c r="BU159">
        <f>IF(AND('Month-End'!$EZ$10&lt;&gt;"",NOT(_xlfn.ISFORMULA('Month-End'!$EZ$10))),1,0)</f>
        <v/>
      </c>
      <c r="BV159">
        <f>IF(AND('Month-End'!$EZ$11&lt;&gt;"",NOT(_xlfn.ISFORMULA('Month-End'!$EZ$11))),1,0)</f>
        <v/>
      </c>
      <c r="BW159">
        <f>IF(AND('Month-End'!$EZ$12&lt;&gt;"",NOT(_xlfn.ISFORMULA('Month-End'!$EZ$12))),1,0)</f>
        <v/>
      </c>
      <c r="BX159">
        <f>IF(AND('Month-End'!$EZ$13&lt;&gt;"",NOT(_xlfn.ISFORMULA('Month-End'!$EZ$13))),1,0)</f>
        <v/>
      </c>
      <c r="BY159">
        <f>IF(AND('Month-End'!$EZ$14&lt;&gt;"",NOT(_xlfn.ISFORMULA('Month-End'!$EZ$14))),1,0)</f>
        <v/>
      </c>
      <c r="BZ159">
        <f>IF(AND('Month-End'!$EZ$15&lt;&gt;"",NOT(_xlfn.ISFORMULA('Month-End'!$EZ$15))),1,0)</f>
        <v/>
      </c>
      <c r="CA159">
        <f>IF(AND('Month-End'!$EZ$16&lt;&gt;"",NOT(_xlfn.ISFORMULA('Month-End'!$EZ$16))),1,0)</f>
        <v/>
      </c>
      <c r="CB159">
        <f>IF(AND('Month-End'!$EZ$17&lt;&gt;"",NOT(_xlfn.ISFORMULA('Month-End'!$EZ$17))),1,0)</f>
        <v/>
      </c>
      <c r="CC159">
        <f>IF(AND('Month-End'!$EZ$18&lt;&gt;"",NOT(_xlfn.ISFORMULA('Month-End'!$EZ$18))),1,0)</f>
        <v/>
      </c>
      <c r="CD159">
        <f>IF(AND('Month-End'!$EZ$19&lt;&gt;"",NOT(_xlfn.ISFORMULA('Month-End'!$EZ$19))),1,0)</f>
        <v/>
      </c>
      <c r="CE159">
        <f>IF(AND('Month-End'!$EZ$20&lt;&gt;"",NOT(_xlfn.ISFORMULA('Month-End'!$EZ$20))),1,0)</f>
        <v/>
      </c>
      <c r="CF159">
        <f>IF(AND('Month-End'!$EZ$38&lt;&gt;"",NOT(_xlfn.ISFORMULA('Month-End'!$EZ$38))),1,0)</f>
        <v/>
      </c>
      <c r="CG159">
        <f>IF(AND('Month-End'!$EZ$39&lt;&gt;"",NOT(_xlfn.ISFORMULA('Month-End'!$EZ$39))),1,0)</f>
        <v/>
      </c>
      <c r="CH159">
        <f>IF(AND('Month-End'!$EZ$40&lt;&gt;"",NOT(_xlfn.ISFORMULA('Month-End'!$EZ$40))),1,0)</f>
        <v/>
      </c>
      <c r="CI159">
        <f>IF(AND('Month-End'!$EZ$41&lt;&gt;"",NOT(_xlfn.ISFORMULA('Month-End'!$EZ$41))),1,0)</f>
        <v/>
      </c>
      <c r="CJ159">
        <f>IF(AND('Month-End'!$EZ$42&lt;&gt;"",NOT(_xlfn.ISFORMULA('Month-End'!$EZ$42))),1,0)</f>
        <v/>
      </c>
      <c r="CK159">
        <f>IF(AND('Month-End'!$EZ$43&lt;&gt;"",NOT(_xlfn.ISFORMULA('Month-End'!$EZ$43))),1,0)</f>
        <v/>
      </c>
      <c r="CL159">
        <f>SUM($CM159:$CZ159)</f>
        <v/>
      </c>
      <c r="CM159">
        <f>IF(AND($E159&lt;&gt;"pre",AND(Settings!$A$19&lt;&gt;"",Settings!$E$19&lt;&gt;"No"),Settings!$F$19="Yes",NOT(AND('Month-End'!$EZ$7&lt;&gt;"",NOT(_xlfn.ISFORMULA('Month-End'!$EZ$7))))),1,0)</f>
        <v/>
      </c>
      <c r="CN159">
        <f>IF(AND($E159&lt;&gt;"pre",AND(Settings!$A$20&lt;&gt;"",Settings!$E$20&lt;&gt;"No"),Settings!$F$20="Yes",NOT(AND('Month-End'!$EZ$8&lt;&gt;"",NOT(_xlfn.ISFORMULA('Month-End'!$EZ$8))))),1,0)</f>
        <v/>
      </c>
      <c r="CO159">
        <f>IF(AND($E159&lt;&gt;"pre",AND(Settings!$A$21&lt;&gt;"",Settings!$E$21&lt;&gt;"No"),Settings!$F$21="Yes",NOT(AND('Month-End'!$EZ$9&lt;&gt;"",NOT(_xlfn.ISFORMULA('Month-End'!$EZ$9))))),1,0)</f>
        <v/>
      </c>
      <c r="CP159">
        <f>IF(AND($E159&lt;&gt;"pre",AND(Settings!$A$22&lt;&gt;"",Settings!$E$22&lt;&gt;"No"),Settings!$F$22="Yes",NOT(AND('Month-End'!$EZ$10&lt;&gt;"",NOT(_xlfn.ISFORMULA('Month-End'!$EZ$10))))),1,0)</f>
        <v/>
      </c>
      <c r="CQ159">
        <f>IF(AND($E159&lt;&gt;"pre",AND(Settings!$A$23&lt;&gt;"",Settings!$E$23&lt;&gt;"No"),Settings!$F$23="Yes",NOT(AND('Month-End'!$EZ$11&lt;&gt;"",NOT(_xlfn.ISFORMULA('Month-End'!$EZ$11))))),1,0)</f>
        <v/>
      </c>
      <c r="CR159">
        <f>IF(AND($E159&lt;&gt;"pre",AND(Settings!$A$24&lt;&gt;"",Settings!$E$24&lt;&gt;"No"),Settings!$F$24="Yes",NOT(AND('Month-End'!$EZ$12&lt;&gt;"",NOT(_xlfn.ISFORMULA('Month-End'!$EZ$12))))),1,0)</f>
        <v/>
      </c>
      <c r="CS159">
        <f>IF(AND($E159&lt;&gt;"pre",AND(Settings!$A$25&lt;&gt;"",Settings!$E$25&lt;&gt;"No"),Settings!$F$25="Yes",NOT(AND('Month-End'!$EZ$13&lt;&gt;"",NOT(_xlfn.ISFORMULA('Month-End'!$EZ$13))))),1,0)</f>
        <v/>
      </c>
      <c r="CT159">
        <f>IF(AND($E159&lt;&gt;"pre",AND(Settings!$A$26&lt;&gt;"",Settings!$E$26&lt;&gt;"No"),Settings!$F$26="Yes",NOT(AND('Month-End'!$EZ$14&lt;&gt;"",NOT(_xlfn.ISFORMULA('Month-End'!$EZ$14))))),1,0)</f>
        <v/>
      </c>
      <c r="CU159">
        <f>IF(AND($E159&lt;&gt;"pre",AND(Settings!$A$27&lt;&gt;"",Settings!$E$27&lt;&gt;"No"),Settings!$F$27="Yes",NOT(AND('Month-End'!$EZ$15&lt;&gt;"",NOT(_xlfn.ISFORMULA('Month-End'!$EZ$15))))),1,0)</f>
        <v/>
      </c>
      <c r="CV159">
        <f>IF(AND($E159&lt;&gt;"pre",AND(Settings!$A$28&lt;&gt;"",Settings!$E$28&lt;&gt;"No"),Settings!$F$28="Yes",NOT(AND('Month-End'!$EZ$16&lt;&gt;"",NOT(_xlfn.ISFORMULA('Month-End'!$EZ$16))))),1,0)</f>
        <v/>
      </c>
      <c r="CW159">
        <f>IF(AND($E159&lt;&gt;"pre",AND(Settings!$A$29&lt;&gt;"",Settings!$E$29&lt;&gt;"No"),Settings!$F$29="Yes",NOT(AND('Month-End'!$EZ$17&lt;&gt;"",NOT(_xlfn.ISFORMULA('Month-End'!$EZ$17))))),1,0)</f>
        <v/>
      </c>
      <c r="CX159">
        <f>IF(AND($E159&lt;&gt;"pre",AND(Settings!$A$30&lt;&gt;"",Settings!$E$30&lt;&gt;"No"),Settings!$F$30="Yes",NOT(AND('Month-End'!$EZ$18&lt;&gt;"",NOT(_xlfn.ISFORMULA('Month-End'!$EZ$18))))),1,0)</f>
        <v/>
      </c>
      <c r="CY159">
        <f>IF(AND($E159&lt;&gt;"pre",AND(Settings!$A$31&lt;&gt;"",Settings!$E$31&lt;&gt;"No"),Settings!$F$31="Yes",NOT(AND('Month-End'!$EZ$19&lt;&gt;"",NOT(_xlfn.ISFORMULA('Month-End'!$EZ$19))))),1,0)</f>
        <v/>
      </c>
      <c r="CZ159">
        <f>IF(AND($E159&lt;&gt;"pre",AND(Settings!$A$32&lt;&gt;"",Settings!$E$32&lt;&gt;"No"),Settings!$F$32="Yes",NOT(AND('Month-End'!$EZ$20&lt;&gt;"",NOT(_xlfn.ISFORMULA('Month-End'!$EZ$20))))),1,0)</f>
        <v/>
      </c>
      <c r="DA159">
        <f>IF($DT159=1,IF(OR(Settings!$B$19="Checking",Settings!$B$19="Savings",Settings!$B$19="Cash"),N($AE159),IF(OR(Settings!$B$19="Card",Settings!$B$19="Loan"),-N($AE159),0))+IF(OR(Settings!$B$20="Checking",Settings!$B$20="Savings",Settings!$B$20="Cash"),N($AF159),IF(OR(Settings!$B$20="Card",Settings!$B$20="Loan"),-N($AF159),0))+IF(OR(Settings!$B$21="Checking",Settings!$B$21="Savings",Settings!$B$21="Cash"),N($AG159),IF(OR(Settings!$B$21="Card",Settings!$B$21="Loan"),-N($AG159),0))+IF(OR(Settings!$B$22="Checking",Settings!$B$22="Savings",Settings!$B$22="Cash"),N($AH159),IF(OR(Settings!$B$22="Card",Settings!$B$22="Loan"),-N($AH159),0))+IF(OR(Settings!$B$23="Checking",Settings!$B$23="Savings",Settings!$B$23="Cash"),N($AI159),IF(OR(Settings!$B$23="Card",Settings!$B$23="Loan"),-N($AI159),0))+IF(OR(Settings!$B$24="Checking",Settings!$B$24="Savings",Settings!$B$24="Cash"),N($AJ159),IF(OR(Settings!$B$24="Card",Settings!$B$24="Loan"),-N($AJ159),0))+IF(OR(Settings!$B$25="Checking",Settings!$B$25="Savings",Settings!$B$25="Cash"),N($AK159),IF(OR(Settings!$B$25="Card",Settings!$B$25="Loan"),-N($AK159),0))+IF(OR(Settings!$B$26="Checking",Settings!$B$26="Savings",Settings!$B$26="Cash"),N($AL159),IF(OR(Settings!$B$26="Card",Settings!$B$26="Loan"),-N($AL159),0))+IF(OR(Settings!$B$27="Checking",Settings!$B$27="Savings",Settings!$B$27="Cash"),N($AM159),IF(OR(Settings!$B$27="Card",Settings!$B$27="Loan"),-N($AM159),0))+IF(OR(Settings!$B$28="Checking",Settings!$B$28="Savings",Settings!$B$28="Cash"),N($AN159),IF(OR(Settings!$B$28="Card",Settings!$B$28="Loan"),-N($AN159),0))+IF(OR(Settings!$B$29="Checking",Settings!$B$29="Savings",Settings!$B$29="Cash"),N($AO159),IF(OR(Settings!$B$29="Card",Settings!$B$29="Loan"),-N($AO159),0))+IF(OR(Settings!$B$30="Checking",Settings!$B$30="Savings",Settings!$B$30="Cash"),N($AP159),IF(OR(Settings!$B$30="Card",Settings!$B$30="Loan"),-N($AP159),0))+IF(OR(Settings!$B$31="Checking",Settings!$B$31="Savings",Settings!$B$31="Cash"),N($AQ159),IF(OR(Settings!$B$31="Card",Settings!$B$31="Loan"),-N($AQ159),0))+IF(OR(Settings!$B$32="Checking",Settings!$B$32="Savings",Settings!$B$32="Cash"),N($AR159),IF(OR(Settings!$B$32="Card",Settings!$B$32="Loan"),-N($AR159),0)),"")</f>
        <v/>
      </c>
      <c r="DB159">
        <f>IF($E159="open",$EB$27,IF($E159="post",IF($E158="pre",$EB$27,$DA158),""))</f>
        <v/>
      </c>
      <c r="DC159">
        <f>IF($E159="open",1,IF($E159="post",IF($E158="pre",1,$DT158),0))</f>
        <v/>
      </c>
      <c r="DD159">
        <f>IF(AND($DT159=1,$DC159=1),ROUND($W159-($DA159-$DB159)-$AD159-$AB159,2),"")</f>
        <v/>
      </c>
      <c r="DE159">
        <f>IF('Month-End'!$EZ$35="",$BQ159,N('Month-End'!$EZ$35))</f>
        <v/>
      </c>
      <c r="DF159">
        <f>N('Month-End'!$EZ$36)</f>
        <v/>
      </c>
      <c r="DG159">
        <f>IF($DD159="","",$DD159+$DE159)</f>
        <v/>
      </c>
      <c r="DH159">
        <f>IF($DG159="","",$DG159-$DF159)</f>
        <v/>
      </c>
      <c r="DI159">
        <f>IF(OR($E159="pre",$D159=1),"",N($AS159)+N($AT159)+N($AU159)+N($AV159)+N($AW159)+N($AX159))</f>
        <v/>
      </c>
      <c r="DJ159">
        <f>IF($DT159=1,$DA159+N($DI159),"")</f>
        <v/>
      </c>
      <c r="DK159">
        <f>IF($DD159="","",$W159-$DD159-$AB159)</f>
        <v/>
      </c>
      <c r="DL159">
        <f>IF(AND($E159="post",$DD159&lt;&gt;"",$B159&lt;TODAY()),1,0)</f>
        <v/>
      </c>
      <c r="DM159">
        <f>IF($DL159=1,COUNTIF($DL159:$DL$183,1),0)</f>
        <v/>
      </c>
      <c r="DN159">
        <f>IF($D159=1,"",IF($E159="pre","History only",IF($DT159=1,IF($DD159="","⚠ Previous month missing",IF($DD159&lt;0,"⚠ Check: spending &lt; 0",IF($E159="open","✓ Done (partial)","✓ Done"))),IF($B159&gt;=TODAY(),"In progress","⚠ Needs balances"))))</f>
        <v/>
      </c>
      <c r="DO159">
        <f>YEAR($A159)</f>
        <v/>
      </c>
      <c r="DP159">
        <f>DATE(YEAR($A159),INT((MONTH($A159)-1)/3)*3+1,1)</f>
        <v/>
      </c>
      <c r="DQ159">
        <f>IF(AND($DT159=1,$DD159&lt;&gt;"",$D159=0),ROW(),0)</f>
        <v/>
      </c>
      <c r="DR159">
        <f>IF(AND($E159&lt;&gt;"pre",$B159&lt;TODAY(),$DT159=0),1,0)</f>
        <v/>
      </c>
      <c r="DS159">
        <f>IF($DJ159="",NA(),$DJ159)</f>
        <v/>
      </c>
      <c r="DT159">
        <f>IF(AND($E159&lt;&gt;"pre",$CL159=0,COUNTIFS(Settings!$F$19:$F$32,"Yes",Settings!$A$19:$A$32,"&lt;&gt;",Settings!$E$19:$E$32,"&lt;&gt;No")&gt;0),1,0)</f>
        <v/>
      </c>
      <c r="DU159">
        <f>IF(AND($B159&lt;TODAY(),$S159&gt;0),1,0)</f>
        <v/>
      </c>
      <c r="DV159">
        <f>IF($DU159=1,COUNTIF($DU159:$DU$183,1),0)</f>
        <v/>
      </c>
      <c r="DW159">
        <f>IF(AND(OR(Settings!$B$19="Card",Settings!$B$19="Loan"),AND('Month-End'!$EZ$7&lt;&gt;"",NOT(_xlfn.ISFORMULA('Month-End'!$EZ$7)))),IF(N('Month-End'!$EZ$7)&lt;0,1,0),0)+IF(AND(OR(Settings!$B$20="Card",Settings!$B$20="Loan"),AND('Month-End'!$EZ$8&lt;&gt;"",NOT(_xlfn.ISFORMULA('Month-End'!$EZ$8)))),IF(N('Month-End'!$EZ$8)&lt;0,1,0),0)+IF(AND(OR(Settings!$B$21="Card",Settings!$B$21="Loan"),AND('Month-End'!$EZ$9&lt;&gt;"",NOT(_xlfn.ISFORMULA('Month-End'!$EZ$9)))),IF(N('Month-End'!$EZ$9)&lt;0,1,0),0)+IF(AND(OR(Settings!$B$22="Card",Settings!$B$22="Loan"),AND('Month-End'!$EZ$10&lt;&gt;"",NOT(_xlfn.ISFORMULA('Month-End'!$EZ$10)))),IF(N('Month-End'!$EZ$10)&lt;0,1,0),0)+IF(AND(OR(Settings!$B$23="Card",Settings!$B$23="Loan"),AND('Month-End'!$EZ$11&lt;&gt;"",NOT(_xlfn.ISFORMULA('Month-End'!$EZ$11)))),IF(N('Month-End'!$EZ$11)&lt;0,1,0),0)+IF(AND(OR(Settings!$B$24="Card",Settings!$B$24="Loan"),AND('Month-End'!$EZ$12&lt;&gt;"",NOT(_xlfn.ISFORMULA('Month-End'!$EZ$12)))),IF(N('Month-End'!$EZ$12)&lt;0,1,0),0)+IF(AND(OR(Settings!$B$25="Card",Settings!$B$25="Loan"),AND('Month-End'!$EZ$13&lt;&gt;"",NOT(_xlfn.ISFORMULA('Month-End'!$EZ$13)))),IF(N('Month-End'!$EZ$13)&lt;0,1,0),0)+IF(AND(OR(Settings!$B$26="Card",Settings!$B$26="Loan"),AND('Month-End'!$EZ$14&lt;&gt;"",NOT(_xlfn.ISFORMULA('Month-End'!$EZ$14)))),IF(N('Month-End'!$EZ$14)&lt;0,1,0),0)+IF(AND(OR(Settings!$B$27="Card",Settings!$B$27="Loan"),AND('Month-End'!$EZ$15&lt;&gt;"",NOT(_xlfn.ISFORMULA('Month-End'!$EZ$15)))),IF(N('Month-End'!$EZ$15)&lt;0,1,0),0)+IF(AND(OR(Settings!$B$28="Card",Settings!$B$28="Loan"),AND('Month-End'!$EZ$16&lt;&gt;"",NOT(_xlfn.ISFORMULA('Month-End'!$EZ$16)))),IF(N('Month-End'!$EZ$16)&lt;0,1,0),0)+IF(AND(OR(Settings!$B$29="Card",Settings!$B$29="Loan"),AND('Month-End'!$EZ$17&lt;&gt;"",NOT(_xlfn.ISFORMULA('Month-End'!$EZ$17)))),IF(N('Month-End'!$EZ$17)&lt;0,1,0),0)+IF(AND(OR(Settings!$B$30="Card",Settings!$B$30="Loan"),AND('Month-End'!$EZ$18&lt;&gt;"",NOT(_xlfn.ISFORMULA('Month-End'!$EZ$18)))),IF(N('Month-End'!$EZ$18)&lt;0,1,0),0)+IF(AND(OR(Settings!$B$31="Card",Settings!$B$31="Loan"),AND('Month-End'!$EZ$19&lt;&gt;"",NOT(_xlfn.ISFORMULA('Month-End'!$EZ$19)))),IF(N('Month-End'!$EZ$19)&lt;0,1,0),0)+IF(AND(OR(Settings!$B$32="Card",Settings!$B$32="Loan"),AND('Month-End'!$EZ$20&lt;&gt;"",NOT(_xlfn.ISFORMULA('Month-End'!$EZ$20)))),IF(N('Month-End'!$EZ$20)&lt;0,1,0),0)</f>
        <v/>
      </c>
      <c r="DX159">
        <f>IF(Settings!$B$36="Retirement",$AY159,0)+IF(Settings!$B$37="Retirement",$AZ159,0)+IF(Settings!$B$38="Retirement",$BA159,0)+IF(Settings!$B$39="Retirement",$BB159,0)+IF(Settings!$B$40="Retirement",$BC159,0)+IF(Settings!$B$41="Retirement",$BD159,0)</f>
        <v/>
      </c>
      <c r="ET159">
        <f>IF($E159&lt;&gt;"open",0,IF(AND('Month-End'!$EZ$22&lt;&gt;"",NOT(_xlfn.ISFORMULA('Month-End'!$EZ$22))),0,IF(OR(Settings!$C$45="",Settings!$D$45=""),0,Settings!$C$45*IF(Settings!$D$45="Weekly",IF(IFERROR(MATCH(Settings!$E$45,$EO$4:$EO$10,0),0)=0,0,IF(MIN(Settings!$B$5,IF(Settings!$G$45="",Settings!$B$5,Settings!$G$45))&lt;MAX($A159,Settings!$F$45),0,INT((MIN(Settings!$B$5,IF(Settings!$G$45="",Settings!$B$5,Settings!$G$45))-MAX($A159,Settings!$F$45)-MOD(IFERROR(MATCH(Settings!$E$45,$EO$4:$EO$10,0),0)-WEEKDAY(MAX($A159,Settings!$F$45)),7))/7)+1)),IF(AND(IF(Settings!$E$45="",$B159,DATE(YEAR($A159),MONTH($A159),MIN(Settings!$E$45,DAY($B159))))&gt;=MAX($A159,Settings!$F$45),IF(Settings!$E$45="",$B159,DATE(YEAR($A159),MONTH($A159),MIN(Settings!$E$45,DAY($B159))))&lt;=MIN(Settings!$B$5,IF(Settings!$G$45="",Settings!$B$5,Settings!$G$45))),1,0)))))</f>
        <v/>
      </c>
      <c r="EU159">
        <f>IF($E159&lt;&gt;"open",0,IF(AND('Month-End'!$EZ$23&lt;&gt;"",NOT(_xlfn.ISFORMULA('Month-End'!$EZ$23))),0,IF(OR(Settings!$C$46="",Settings!$D$46=""),0,Settings!$C$46*IF(Settings!$D$46="Weekly",IF(IFERROR(MATCH(Settings!$E$46,$EO$4:$EO$10,0),0)=0,0,IF(MIN(Settings!$B$5,IF(Settings!$G$46="",Settings!$B$5,Settings!$G$46))&lt;MAX($A159,Settings!$F$46),0,INT((MIN(Settings!$B$5,IF(Settings!$G$46="",Settings!$B$5,Settings!$G$46))-MAX($A159,Settings!$F$46)-MOD(IFERROR(MATCH(Settings!$E$46,$EO$4:$EO$10,0),0)-WEEKDAY(MAX($A159,Settings!$F$46)),7))/7)+1)),IF(AND(IF(Settings!$E$46="",$B159,DATE(YEAR($A159),MONTH($A159),MIN(Settings!$E$46,DAY($B159))))&gt;=MAX($A159,Settings!$F$46),IF(Settings!$E$46="",$B159,DATE(YEAR($A159),MONTH($A159),MIN(Settings!$E$46,DAY($B159))))&lt;=MIN(Settings!$B$5,IF(Settings!$G$46="",Settings!$B$5,Settings!$G$46))),1,0)))))</f>
        <v/>
      </c>
      <c r="EV159">
        <f>IF($E159&lt;&gt;"open",0,IF(AND('Month-End'!$EZ$24&lt;&gt;"",NOT(_xlfn.ISFORMULA('Month-End'!$EZ$24))),0,IF(OR(Settings!$C$47="",Settings!$D$47=""),0,Settings!$C$47*IF(Settings!$D$47="Weekly",IF(IFERROR(MATCH(Settings!$E$47,$EO$4:$EO$10,0),0)=0,0,IF(MIN(Settings!$B$5,IF(Settings!$G$47="",Settings!$B$5,Settings!$G$47))&lt;MAX($A159,Settings!$F$47),0,INT((MIN(Settings!$B$5,IF(Settings!$G$47="",Settings!$B$5,Settings!$G$47))-MAX($A159,Settings!$F$47)-MOD(IFERROR(MATCH(Settings!$E$47,$EO$4:$EO$10,0),0)-WEEKDAY(MAX($A159,Settings!$F$47)),7))/7)+1)),IF(AND(IF(Settings!$E$47="",$B159,DATE(YEAR($A159),MONTH($A159),MIN(Settings!$E$47,DAY($B159))))&gt;=MAX($A159,Settings!$F$47),IF(Settings!$E$47="",$B159,DATE(YEAR($A159),MONTH($A159),MIN(Settings!$E$47,DAY($B159))))&lt;=MIN(Settings!$B$5,IF(Settings!$G$47="",Settings!$B$5,Settings!$G$47))),1,0)))))</f>
        <v/>
      </c>
      <c r="EW159">
        <f>IF($E159&lt;&gt;"open",0,IF(AND('Month-End'!$EZ$25&lt;&gt;"",NOT(_xlfn.ISFORMULA('Month-End'!$EZ$25))),0,IF(OR(Settings!$C$48="",Settings!$D$48=""),0,Settings!$C$48*IF(Settings!$D$48="Weekly",IF(IFERROR(MATCH(Settings!$E$48,$EO$4:$EO$10,0),0)=0,0,IF(MIN(Settings!$B$5,IF(Settings!$G$48="",Settings!$B$5,Settings!$G$48))&lt;MAX($A159,Settings!$F$48),0,INT((MIN(Settings!$B$5,IF(Settings!$G$48="",Settings!$B$5,Settings!$G$48))-MAX($A159,Settings!$F$48)-MOD(IFERROR(MATCH(Settings!$E$48,$EO$4:$EO$10,0),0)-WEEKDAY(MAX($A159,Settings!$F$48)),7))/7)+1)),IF(AND(IF(Settings!$E$48="",$B159,DATE(YEAR($A159),MONTH($A159),MIN(Settings!$E$48,DAY($B159))))&gt;=MAX($A159,Settings!$F$48),IF(Settings!$E$48="",$B159,DATE(YEAR($A159),MONTH($A159),MIN(Settings!$E$48,DAY($B159))))&lt;=MIN(Settings!$B$5,IF(Settings!$G$48="",Settings!$B$5,Settings!$G$48))),1,0)))))</f>
        <v/>
      </c>
      <c r="EX159">
        <f>IF($E159&lt;&gt;"open",0,IF(AND('Month-End'!$EZ$26&lt;&gt;"",NOT(_xlfn.ISFORMULA('Month-End'!$EZ$26))),0,IF(OR(Settings!$C$49="",Settings!$D$49=""),0,Settings!$C$49*IF(Settings!$D$49="Weekly",IF(IFERROR(MATCH(Settings!$E$49,$EO$4:$EO$10,0),0)=0,0,IF(MIN(Settings!$B$5,IF(Settings!$G$49="",Settings!$B$5,Settings!$G$49))&lt;MAX($A159,Settings!$F$49),0,INT((MIN(Settings!$B$5,IF(Settings!$G$49="",Settings!$B$5,Settings!$G$49))-MAX($A159,Settings!$F$49)-MOD(IFERROR(MATCH(Settings!$E$49,$EO$4:$EO$10,0),0)-WEEKDAY(MAX($A159,Settings!$F$49)),7))/7)+1)),IF(AND(IF(Settings!$E$49="",$B159,DATE(YEAR($A159),MONTH($A159),MIN(Settings!$E$49,DAY($B159))))&gt;=MAX($A159,Settings!$F$49),IF(Settings!$E$49="",$B159,DATE(YEAR($A159),MONTH($A159),MIN(Settings!$E$49,DAY($B159))))&lt;=MIN(Settings!$B$5,IF(Settings!$G$49="",Settings!$B$5,Settings!$G$49))),1,0)))))</f>
        <v/>
      </c>
      <c r="EY159">
        <f>IF($E159&lt;&gt;"open",0,IF(AND('Month-End'!$EZ$27&lt;&gt;"",NOT(_xlfn.ISFORMULA('Month-End'!$EZ$27))),0,IF(OR(Settings!$C$50="",Settings!$D$50=""),0,Settings!$C$50*IF(Settings!$D$50="Weekly",IF(IFERROR(MATCH(Settings!$E$50,$EO$4:$EO$10,0),0)=0,0,IF(MIN(Settings!$B$5,IF(Settings!$G$50="",Settings!$B$5,Settings!$G$50))&lt;MAX($A159,Settings!$F$50),0,INT((MIN(Settings!$B$5,IF(Settings!$G$50="",Settings!$B$5,Settings!$G$50))-MAX($A159,Settings!$F$50)-MOD(IFERROR(MATCH(Settings!$E$50,$EO$4:$EO$10,0),0)-WEEKDAY(MAX($A159,Settings!$F$50)),7))/7)+1)),IF(AND(IF(Settings!$E$50="",$B159,DATE(YEAR($A159),MONTH($A159),MIN(Settings!$E$50,DAY($B159))))&gt;=MAX($A159,Settings!$F$50),IF(Settings!$E$50="",$B159,DATE(YEAR($A159),MONTH($A159),MIN(Settings!$E$50,DAY($B159))))&lt;=MIN(Settings!$B$5,IF(Settings!$G$50="",Settings!$B$5,Settings!$G$50))),1,0)))))</f>
        <v/>
      </c>
      <c r="EZ159">
        <f>IF($E159&lt;&gt;"open",0,IF(AND('Month-End'!$EZ$28&lt;&gt;"",NOT(_xlfn.ISFORMULA('Month-End'!$EZ$28))),0,IF(OR(Settings!$C$51="",Settings!$D$51=""),0,Settings!$C$51*IF(Settings!$D$51="Weekly",IF(IFERROR(MATCH(Settings!$E$51,$EO$4:$EO$10,0),0)=0,0,IF(MIN(Settings!$B$5,IF(Settings!$G$51="",Settings!$B$5,Settings!$G$51))&lt;MAX($A159,Settings!$F$51),0,INT((MIN(Settings!$B$5,IF(Settings!$G$51="",Settings!$B$5,Settings!$G$51))-MAX($A159,Settings!$F$51)-MOD(IFERROR(MATCH(Settings!$E$51,$EO$4:$EO$10,0),0)-WEEKDAY(MAX($A159,Settings!$F$51)),7))/7)+1)),IF(AND(IF(Settings!$E$51="",$B159,DATE(YEAR($A159),MONTH($A159),MIN(Settings!$E$51,DAY($B159))))&gt;=MAX($A159,Settings!$F$51),IF(Settings!$E$51="",$B159,DATE(YEAR($A159),MONTH($A159),MIN(Settings!$E$51,DAY($B159))))&lt;=MIN(Settings!$B$5,IF(Settings!$G$51="",Settings!$B$5,Settings!$G$51))),1,0)))))</f>
        <v/>
      </c>
      <c r="FA159">
        <f>IF($E159&lt;&gt;"open",0,IF(AND('Month-End'!$EZ$29&lt;&gt;"",NOT(_xlfn.ISFORMULA('Month-End'!$EZ$29))),0,IF(OR(Settings!$C$52="",Settings!$D$52=""),0,Settings!$C$52*IF(Settings!$D$52="Weekly",IF(IFERROR(MATCH(Settings!$E$52,$EO$4:$EO$10,0),0)=0,0,IF(MIN(Settings!$B$5,IF(Settings!$G$52="",Settings!$B$5,Settings!$G$52))&lt;MAX($A159,Settings!$F$52),0,INT((MIN(Settings!$B$5,IF(Settings!$G$52="",Settings!$B$5,Settings!$G$52))-MAX($A159,Settings!$F$52)-MOD(IFERROR(MATCH(Settings!$E$52,$EO$4:$EO$10,0),0)-WEEKDAY(MAX($A159,Settings!$F$52)),7))/7)+1)),IF(AND(IF(Settings!$E$52="",$B159,DATE(YEAR($A159),MONTH($A159),MIN(Settings!$E$52,DAY($B159))))&gt;=MAX($A159,Settings!$F$52),IF(Settings!$E$52="",$B159,DATE(YEAR($A159),MONTH($A159),MIN(Settings!$E$52,DAY($B159))))&lt;=MIN(Settings!$B$5,IF(Settings!$G$52="",Settings!$B$5,Settings!$G$52))),1,0)))))</f>
        <v/>
      </c>
      <c r="FB159">
        <f>IF($E159&lt;&gt;"open",0,IF(AND('Month-End'!$EZ$30&lt;&gt;"",NOT(_xlfn.ISFORMULA('Month-End'!$EZ$30))),0,IF(OR(Settings!$C$53="",Settings!$D$53=""),0,Settings!$C$53*IF(Settings!$D$53="Weekly",IF(IFERROR(MATCH(Settings!$E$53,$EO$4:$EO$10,0),0)=0,0,IF(MIN(Settings!$B$5,IF(Settings!$G$53="",Settings!$B$5,Settings!$G$53))&lt;MAX($A159,Settings!$F$53),0,INT((MIN(Settings!$B$5,IF(Settings!$G$53="",Settings!$B$5,Settings!$G$53))-MAX($A159,Settings!$F$53)-MOD(IFERROR(MATCH(Settings!$E$53,$EO$4:$EO$10,0),0)-WEEKDAY(MAX($A159,Settings!$F$53)),7))/7)+1)),IF(AND(IF(Settings!$E$53="",$B159,DATE(YEAR($A159),MONTH($A159),MIN(Settings!$E$53,DAY($B159))))&gt;=MAX($A159,Settings!$F$53),IF(Settings!$E$53="",$B159,DATE(YEAR($A159),MONTH($A159),MIN(Settings!$E$53,DAY($B159))))&lt;=MIN(Settings!$B$5,IF(Settings!$G$53="",Settings!$B$5,Settings!$G$53))),1,0)))))</f>
        <v/>
      </c>
      <c r="FC159">
        <f>IF($E159&lt;&gt;"open",0,IF(AND('Month-End'!$EZ$31&lt;&gt;"",NOT(_xlfn.ISFORMULA('Month-End'!$EZ$31))),0,IF(OR(Settings!$C$54="",Settings!$D$54=""),0,Settings!$C$54*IF(Settings!$D$54="Weekly",IF(IFERROR(MATCH(Settings!$E$54,$EO$4:$EO$10,0),0)=0,0,IF(MIN(Settings!$B$5,IF(Settings!$G$54="",Settings!$B$5,Settings!$G$54))&lt;MAX($A159,Settings!$F$54),0,INT((MIN(Settings!$B$5,IF(Settings!$G$54="",Settings!$B$5,Settings!$G$54))-MAX($A159,Settings!$F$54)-MOD(IFERROR(MATCH(Settings!$E$54,$EO$4:$EO$10,0),0)-WEEKDAY(MAX($A159,Settings!$F$54)),7))/7)+1)),IF(AND(IF(Settings!$E$54="",$B159,DATE(YEAR($A159),MONTH($A159),MIN(Settings!$E$54,DAY($B159))))&gt;=MAX($A159,Settings!$F$54),IF(Settings!$E$54="",$B159,DATE(YEAR($A159),MONTH($A159),MIN(Settings!$E$54,DAY($B159))))&lt;=MIN(Settings!$B$5,IF(Settings!$G$54="",Settings!$B$5,Settings!$G$54))),1,0)))))</f>
        <v/>
      </c>
      <c r="FD159">
        <f>IF($E159&lt;&gt;"open",0,IF(AND('Month-End'!$EZ$32&lt;&gt;"",NOT(_xlfn.ISFORMULA('Month-End'!$EZ$32))),0,IF(OR(Settings!$C$55="",Settings!$D$55=""),0,Settings!$C$55*IF(Settings!$D$55="Weekly",IF(IFERROR(MATCH(Settings!$E$55,$EO$4:$EO$10,0),0)=0,0,IF(MIN(Settings!$B$5,IF(Settings!$G$55="",Settings!$B$5,Settings!$G$55))&lt;MAX($A159,Settings!$F$55),0,INT((MIN(Settings!$B$5,IF(Settings!$G$55="",Settings!$B$5,Settings!$G$55))-MAX($A159,Settings!$F$55)-MOD(IFERROR(MATCH(Settings!$E$55,$EO$4:$EO$10,0),0)-WEEKDAY(MAX($A159,Settings!$F$55)),7))/7)+1)),IF(AND(IF(Settings!$E$55="",$B159,DATE(YEAR($A159),MONTH($A159),MIN(Settings!$E$55,DAY($B159))))&gt;=MAX($A159,Settings!$F$55),IF(Settings!$E$55="",$B159,DATE(YEAR($A159),MONTH($A159),MIN(Settings!$E$55,DAY($B159))))&lt;=MIN(Settings!$B$5,IF(Settings!$G$55="",Settings!$B$5,Settings!$G$55))),1,0)))))</f>
        <v/>
      </c>
      <c r="FE159">
        <f>IF($E159&lt;&gt;"open",0,IF(AND('Month-End'!$EZ$33&lt;&gt;"",NOT(_xlfn.ISFORMULA('Month-End'!$EZ$33))),0,IF(OR(Settings!$C$56="",Settings!$D$56=""),0,Settings!$C$56*IF(Settings!$D$56="Weekly",IF(IFERROR(MATCH(Settings!$E$56,$EO$4:$EO$10,0),0)=0,0,IF(MIN(Settings!$B$5,IF(Settings!$G$56="",Settings!$B$5,Settings!$G$56))&lt;MAX($A159,Settings!$F$56),0,INT((MIN(Settings!$B$5,IF(Settings!$G$56="",Settings!$B$5,Settings!$G$56))-MAX($A159,Settings!$F$56)-MOD(IFERROR(MATCH(Settings!$E$56,$EO$4:$EO$10,0),0)-WEEKDAY(MAX($A159,Settings!$F$56)),7))/7)+1)),IF(AND(IF(Settings!$E$56="",$B159,DATE(YEAR($A159),MONTH($A159),MIN(Settings!$E$56,DAY($B159))))&gt;=MAX($A159,Settings!$F$56),IF(Settings!$E$56="",$B159,DATE(YEAR($A159),MONTH($A159),MIN(Settings!$E$56,DAY($B159))))&lt;=MIN(Settings!$B$5,IF(Settings!$G$56="",Settings!$B$5,Settings!$G$56))),1,0)))))</f>
        <v/>
      </c>
      <c r="FF159">
        <f>IF(Settings!$I$45="Yes",$G159,0)+IF(Settings!$I$46="Yes",$H159,0)+IF(Settings!$I$47="Yes",$I159,0)+IF(Settings!$I$48="Yes",$J159,0)+IF(Settings!$I$49="Yes",$K159,0)+IF(Settings!$I$50="Yes",$L159,0)+IF(Settings!$I$51="Yes",$M159,0)+IF(Settings!$I$52="Yes",$N159,0)+IF(Settings!$I$53="Yes",$O159,0)+IF(Settings!$I$54="Yes",$P159,0)+IF(Settings!$I$55="Yes",$Q159,0)+IF(Settings!$I$56="Yes",$R159,0)</f>
        <v/>
      </c>
      <c r="FG159">
        <f>IF(AND(Settings!$I$45="Yes",Settings!$J$45="No"),$G159,0)+IF(AND(Settings!$I$46="Yes",Settings!$J$46="No"),$H159,0)+IF(AND(Settings!$I$47="Yes",Settings!$J$47="No"),$I159,0)+IF(AND(Settings!$I$48="Yes",Settings!$J$48="No"),$J159,0)+IF(AND(Settings!$I$49="Yes",Settings!$J$49="No"),$K159,0)+IF(AND(Settings!$I$50="Yes",Settings!$J$50="No"),$L159,0)+IF(AND(Settings!$I$51="Yes",Settings!$J$51="No"),$M159,0)+IF(AND(Settings!$I$52="Yes",Settings!$J$52="No"),$N159,0)+IF(AND(Settings!$I$53="Yes",Settings!$J$53="No"),$O159,0)+IF(AND(Settings!$I$54="Yes",Settings!$J$54="No"),$P159,0)+IF(AND(Settings!$I$55="Yes",Settings!$J$55="No"),$Q159,0)+IF(AND(Settings!$I$56="Yes",Settings!$J$56="No"),$R159,0)</f>
        <v/>
      </c>
      <c r="FH159">
        <f>SUMIFS(Giving!$B$7:$B$2006,Giving!$A$7:$A$2006,"&gt;="&amp;$A159,Giving!$A$7:$A$2006,"&lt;="&amp;$B159,Giving!$G$7:$G$2006,"Yes")+IF(OR(OR(Settings!$B$60="",Settings!$F$60="No"),Settings!$H$60&lt;&gt;"Yes"),0,Settings!$B$60*IF(AND(IF(Settings!$C$60="",$B159,DATE(YEAR($A159),MONTH($A159),MIN(Settings!$C$60,DAY($B159))))&gt;=MAX($A159,Settings!$D$60),IF(Settings!$C$60="",$B159,DATE(YEAR($A159),MONTH($A159),MIN(Settings!$C$60,DAY($B159))))&lt;=MIN($C159,IF(Settings!$E$60="",$C159,Settings!$E$60))),1,0))+IF(OR(OR(Settings!$B$61="",Settings!$F$61="No"),Settings!$H$61&lt;&gt;"Yes"),0,Settings!$B$61*IF(AND(IF(Settings!$C$61="",$B159,DATE(YEAR($A159),MONTH($A159),MIN(Settings!$C$61,DAY($B159))))&gt;=MAX($A159,Settings!$D$61),IF(Settings!$C$61="",$B159,DATE(YEAR($A159),MONTH($A159),MIN(Settings!$C$61,DAY($B159))))&lt;=MIN($C159,IF(Settings!$E$61="",$C159,Settings!$E$61))),1,0))+IF(OR(OR(Settings!$B$62="",Settings!$F$62="No"),Settings!$H$62&lt;&gt;"Yes"),0,Settings!$B$62*IF(AND(IF(Settings!$C$62="",$B159,DATE(YEAR($A159),MONTH($A159),MIN(Settings!$C$62,DAY($B159))))&gt;=MAX($A159,Settings!$D$62),IF(Settings!$C$62="",$B159,DATE(YEAR($A159),MONTH($A159),MIN(Settings!$C$62,DAY($B159))))&lt;=MIN($C159,IF(Settings!$E$62="",$C159,Settings!$E$62))),1,0))+IF(OR(OR(Settings!$B$63="",Settings!$F$63="No"),Settings!$H$63&lt;&gt;"Yes"),0,Settings!$B$63*IF(AND(IF(Settings!$C$63="",$B159,DATE(YEAR($A159),MONTH($A159),MIN(Settings!$C$63,DAY($B159))))&gt;=MAX($A159,Settings!$D$63),IF(Settings!$C$63="",$B159,DATE(YEAR($A159),MONTH($A159),MIN(Settings!$C$63,DAY($B159))))&lt;=MIN($C159,IF(Settings!$E$63="",$C159,Settings!$E$63))),1,0))+IF(OR(OR(Settings!$B$64="",Settings!$F$64="No"),Settings!$H$64&lt;&gt;"Yes"),0,Settings!$B$64*IF(AND(IF(Settings!$C$64="",$B159,DATE(YEAR($A159),MONTH($A159),MIN(Settings!$C$64,DAY($B159))))&gt;=MAX($A159,Settings!$D$64),IF(Settings!$C$64="",$B159,DATE(YEAR($A159),MONTH($A159),MIN(Settings!$C$64,DAY($B159))))&lt;=MIN($C159,IF(Settings!$E$64="",$C159,Settings!$E$64))),1,0))+IF(OR(OR(Settings!$B$65="",Settings!$F$65="No"),Settings!$H$65&lt;&gt;"Yes"),0,Settings!$B$65*IF(AND(IF(Settings!$C$65="",$B159,DATE(YEAR($A159),MONTH($A159),MIN(Settings!$C$65,DAY($B159))))&gt;=MAX($A159,Settings!$D$65),IF(Settings!$C$65="",$B159,DATE(YEAR($A159),MONTH($A159),MIN(Settings!$C$65,DAY($B159))))&lt;=MIN($C159,IF(Settings!$E$65="",$C159,Settings!$E$65))),1,0))</f>
        <v/>
      </c>
      <c r="FI159">
        <f>IF($DT159=1,IF(OR(Settings!$B$19="Card",Settings!$B$19="Loan"),N($AE159),0)+IF(OR(Settings!$B$20="Card",Settings!$B$20="Loan"),N($AF159),0)+IF(OR(Settings!$B$21="Card",Settings!$B$21="Loan"),N($AG159),0)+IF(OR(Settings!$B$22="Card",Settings!$B$22="Loan"),N($AH159),0)+IF(OR(Settings!$B$23="Card",Settings!$B$23="Loan"),N($AI159),0)+IF(OR(Settings!$B$24="Card",Settings!$B$24="Loan"),N($AJ159),0)+IF(OR(Settings!$B$25="Card",Settings!$B$25="Loan"),N($AK159),0)+IF(OR(Settings!$B$26="Card",Settings!$B$26="Loan"),N($AL159),0)+IF(OR(Settings!$B$27="Card",Settings!$B$27="Loan"),N($AM159),0)+IF(OR(Settings!$B$28="Card",Settings!$B$28="Loan"),N($AN159),0)+IF(OR(Settings!$B$29="Card",Settings!$B$29="Loan"),N($AO159),0)+IF(OR(Settings!$B$30="Card",Settings!$B$30="Loan"),N($AP159),0)+IF(OR(Settings!$B$31="Card",Settings!$B$31="Loan"),N($AQ159),0)+IF(OR(Settings!$B$32="Card",Settings!$B$32="Loan"),N($AR159),0),"")</f>
        <v/>
      </c>
      <c r="FJ159">
        <f>IF($E159="open",$EB$65,IF($E159="post",IF($E158="pre",$EB$65,$FI158),""))</f>
        <v/>
      </c>
      <c r="FK159">
        <f>IF(AND($DT159=1,$DC159=1),IF(ROUND($FI159-$FJ159,2)&gt;0,1,0),0)</f>
        <v/>
      </c>
      <c r="FL159">
        <f>IF($FK159=1,$FL158+1,0)</f>
        <v/>
      </c>
    </row>
    <row r="160">
      <c r="A160">
        <f>'Month-End'!$FA$4</f>
        <v/>
      </c>
      <c r="B160">
        <f>EOMONTH($A160,0)</f>
        <v/>
      </c>
      <c r="C160">
        <f>MIN($B160,TODAY())</f>
        <v/>
      </c>
      <c r="D160">
        <f>IF($A160&gt;TODAY(),1,0)</f>
        <v/>
      </c>
      <c r="E160">
        <f>IF($B160&lt;=Settings!$B$5,"pre",IF($A160&lt;=Settings!$B$5,"open","post"))</f>
        <v/>
      </c>
      <c r="G160">
        <f>IF('Month-End'!$FA$22="",$BE160,N('Month-End'!$FA$22))</f>
        <v/>
      </c>
      <c r="H160">
        <f>IF('Month-End'!$FA$23="",$BF160,N('Month-End'!$FA$23))</f>
        <v/>
      </c>
      <c r="I160">
        <f>IF('Month-End'!$FA$24="",$BG160,N('Month-End'!$FA$24))</f>
        <v/>
      </c>
      <c r="J160">
        <f>IF('Month-End'!$FA$25="",$BH160,N('Month-End'!$FA$25))</f>
        <v/>
      </c>
      <c r="K160">
        <f>IF('Month-End'!$FA$26="",$BI160,N('Month-End'!$FA$26))</f>
        <v/>
      </c>
      <c r="L160">
        <f>IF('Month-End'!$FA$27="",$BJ160,N('Month-End'!$FA$27))</f>
        <v/>
      </c>
      <c r="M160">
        <f>IF('Month-End'!$FA$28="",$BK160,N('Month-End'!$FA$28))</f>
        <v/>
      </c>
      <c r="N160">
        <f>IF('Month-End'!$FA$29="",$BL160,N('Month-End'!$FA$29))</f>
        <v/>
      </c>
      <c r="O160">
        <f>IF('Month-End'!$FA$30="",$BM160,N('Month-End'!$FA$30))</f>
        <v/>
      </c>
      <c r="P160">
        <f>IF('Month-End'!$FA$31="",$BN160,N('Month-End'!$FA$31))</f>
        <v/>
      </c>
      <c r="Q160">
        <f>IF('Month-End'!$FA$32="",$BO160,N('Month-End'!$FA$32))</f>
        <v/>
      </c>
      <c r="R160">
        <f>IF('Month-End'!$FA$33="",$BP160,N('Month-End'!$FA$33))</f>
        <v/>
      </c>
      <c r="S160">
        <f>$G160+$H160+$I160+$J160+$K160+$L160+$M160+$N160+$O160+$P160+$Q160+$R160</f>
        <v/>
      </c>
      <c r="T160">
        <f>IF($B160&lt;Settings!$B$6,0,IF(Settings!$B$45="Yes",$G160,0)+IF(Settings!$B$46="Yes",$H160,0)+IF(Settings!$B$47="Yes",$I160,0)+IF(Settings!$B$48="Yes",$J160,0)+IF(Settings!$B$49="Yes",$K160,0)+IF(Settings!$B$50="Yes",$L160,0)+IF(Settings!$B$51="Yes",$M160,0)+IF(Settings!$B$52="Yes",$N160,0)+IF(Settings!$B$53="Yes",$O160,0)+IF(Settings!$B$54="Yes",$P160,0)+IF(Settings!$B$55="Yes",$Q160,0)+IF(Settings!$B$56="Yes",$R160,0))</f>
        <v/>
      </c>
      <c r="U160">
        <f>IF(Settings!$B$45="Not Sure",$G160,0)+IF(Settings!$B$46="Not Sure",$H160,0)+IF(Settings!$B$47="Not Sure",$I160,0)+IF(Settings!$B$48="Not Sure",$J160,0)+IF(Settings!$B$49="Not Sure",$K160,0)+IF(Settings!$B$50="Not Sure",$L160,0)+IF(Settings!$B$51="Not Sure",$M160,0)+IF(Settings!$B$52="Not Sure",$N160,0)+IF(Settings!$B$53="Not Sure",$O160,0)+IF(Settings!$B$54="Not Sure",$P160,0)+IF(Settings!$B$55="Not Sure",$Q160,0)+IF(Settings!$B$56="Not Sure",$R160,0)</f>
        <v/>
      </c>
      <c r="V160">
        <f>IF($E160="open",SUM($ET160:$FE160)+N(Settings!$B$13),0)</f>
        <v/>
      </c>
      <c r="W160">
        <f>IF($E160="post",$S160,IF($E160="open",$S160-$V160,0))</f>
        <v/>
      </c>
      <c r="X160">
        <f>SUMIFS(Giving!$B$7:$B$2006,Giving!$A$7:$A$2006,"&gt;="&amp;$A160,Giving!$A$7:$A$2006,"&lt;="&amp;$B160,Giving!$E$7:$E$2006,"&lt;&gt;No")</f>
        <v/>
      </c>
      <c r="Y160">
        <f>SUMIFS(Giving!$B$7:$B$2006,Giving!$A$7:$A$2006,"&gt;="&amp;$A160,Giving!$A$7:$A$2006,"&lt;="&amp;$B160,Giving!$E$7:$E$2006,"No")</f>
        <v/>
      </c>
      <c r="Z160">
        <f>IF(OR(Settings!$B$60="",Settings!$F$60="No"),0,Settings!$B$60*IF(AND(IF(Settings!$C$60="",$B160,DATE(YEAR($A160),MONTH($A160),MIN(Settings!$C$60,DAY($B160))))&gt;=MAX($A160,Settings!$D$60),IF(Settings!$C$60="",$B160,DATE(YEAR($A160),MONTH($A160),MIN(Settings!$C$60,DAY($B160))))&lt;=MIN($C160,IF(Settings!$E$60="",$C160,Settings!$E$60))),1,0))+IF(OR(Settings!$B$61="",Settings!$F$61="No"),0,Settings!$B$61*IF(AND(IF(Settings!$C$61="",$B160,DATE(YEAR($A160),MONTH($A160),MIN(Settings!$C$61,DAY($B160))))&gt;=MAX($A160,Settings!$D$61),IF(Settings!$C$61="",$B160,DATE(YEAR($A160),MONTH($A160),MIN(Settings!$C$61,DAY($B160))))&lt;=MIN($C160,IF(Settings!$E$61="",$C160,Settings!$E$61))),1,0))+IF(OR(Settings!$B$62="",Settings!$F$62="No"),0,Settings!$B$62*IF(AND(IF(Settings!$C$62="",$B160,DATE(YEAR($A160),MONTH($A160),MIN(Settings!$C$62,DAY($B160))))&gt;=MAX($A160,Settings!$D$62),IF(Settings!$C$62="",$B160,DATE(YEAR($A160),MONTH($A160),MIN(Settings!$C$62,DAY($B160))))&lt;=MIN($C160,IF(Settings!$E$62="",$C160,Settings!$E$62))),1,0))+IF(OR(Settings!$B$63="",Settings!$F$63="No"),0,Settings!$B$63*IF(AND(IF(Settings!$C$63="",$B160,DATE(YEAR($A160),MONTH($A160),MIN(Settings!$C$63,DAY($B160))))&gt;=MAX($A160,Settings!$D$63),IF(Settings!$C$63="",$B160,DATE(YEAR($A160),MONTH($A160),MIN(Settings!$C$63,DAY($B160))))&lt;=MIN($C160,IF(Settings!$E$63="",$C160,Settings!$E$63))),1,0))+IF(OR(Settings!$B$64="",Settings!$F$64="No"),0,Settings!$B$64*IF(AND(IF(Settings!$C$64="",$B160,DATE(YEAR($A160),MONTH($A160),MIN(Settings!$C$64,DAY($B160))))&gt;=MAX($A160,Settings!$D$64),IF(Settings!$C$64="",$B160,DATE(YEAR($A160),MONTH($A160),MIN(Settings!$C$64,DAY($B160))))&lt;=MIN($C160,IF(Settings!$E$64="",$C160,Settings!$E$64))),1,0))+IF(OR(Settings!$B$65="",Settings!$F$65="No"),0,Settings!$B$65*IF(AND(IF(Settings!$C$65="",$B160,DATE(YEAR($A160),MONTH($A160),MIN(Settings!$C$65,DAY($B160))))&gt;=MAX($A160,Settings!$D$65),IF(Settings!$C$65="",$B160,DATE(YEAR($A160),MONTH($A160),MIN(Settings!$C$65,DAY($B160))))&lt;=MIN($C160,IF(Settings!$E$65="",$C160,Settings!$E$65))),1,0))</f>
        <v/>
      </c>
      <c r="AA160">
        <f>$X160+$Z160</f>
        <v/>
      </c>
      <c r="AB160">
        <f>IF($E160="post",$AA160,IF($E160="open",SUMIFS(Giving!$B$7:$B$2006,Giving!$A$7:$A$2006,"&gt;"&amp;Settings!$B$5,Giving!$A$7:$A$2006,"&lt;="&amp;$B160,Giving!$E$7:$E$2006,"&lt;&gt;No")+IF(OR(Settings!$B$60="",Settings!$F$60="No"),0,Settings!$B$60*IF(AND(IF(Settings!$C$60="",$B160,DATE(YEAR($A160),MONTH($A160),MIN(Settings!$C$60,DAY($B160))))&gt;=MAX($A160,Settings!$D$60,Settings!$B$5+1),IF(Settings!$C$60="",$B160,DATE(YEAR($A160),MONTH($A160),MIN(Settings!$C$60,DAY($B160))))&lt;=MIN($C160,IF(Settings!$E$60="",$C160,Settings!$E$60))),1,0))+IF(OR(Settings!$B$61="",Settings!$F$61="No"),0,Settings!$B$61*IF(AND(IF(Settings!$C$61="",$B160,DATE(YEAR($A160),MONTH($A160),MIN(Settings!$C$61,DAY($B160))))&gt;=MAX($A160,Settings!$D$61,Settings!$B$5+1),IF(Settings!$C$61="",$B160,DATE(YEAR($A160),MONTH($A160),MIN(Settings!$C$61,DAY($B160))))&lt;=MIN($C160,IF(Settings!$E$61="",$C160,Settings!$E$61))),1,0))+IF(OR(Settings!$B$62="",Settings!$F$62="No"),0,Settings!$B$62*IF(AND(IF(Settings!$C$62="",$B160,DATE(YEAR($A160),MONTH($A160),MIN(Settings!$C$62,DAY($B160))))&gt;=MAX($A160,Settings!$D$62,Settings!$B$5+1),IF(Settings!$C$62="",$B160,DATE(YEAR($A160),MONTH($A160),MIN(Settings!$C$62,DAY($B160))))&lt;=MIN($C160,IF(Settings!$E$62="",$C160,Settings!$E$62))),1,0))+IF(OR(Settings!$B$63="",Settings!$F$63="No"),0,Settings!$B$63*IF(AND(IF(Settings!$C$63="",$B160,DATE(YEAR($A160),MONTH($A160),MIN(Settings!$C$63,DAY($B160))))&gt;=MAX($A160,Settings!$D$63,Settings!$B$5+1),IF(Settings!$C$63="",$B160,DATE(YEAR($A160),MONTH($A160),MIN(Settings!$C$63,DAY($B160))))&lt;=MIN($C160,IF(Settings!$E$63="",$C160,Settings!$E$63))),1,0))+IF(OR(Settings!$B$64="",Settings!$F$64="No"),0,Settings!$B$64*IF(AND(IF(Settings!$C$64="",$B160,DATE(YEAR($A160),MONTH($A160),MIN(Settings!$C$64,DAY($B160))))&gt;=MAX($A160,Settings!$D$64,Settings!$B$5+1),IF(Settings!$C$64="",$B160,DATE(YEAR($A160),MONTH($A160),MIN(Settings!$C$64,DAY($B160))))&lt;=MIN($C160,IF(Settings!$E$64="",$C160,Settings!$E$64))),1,0))+IF(OR(Settings!$B$65="",Settings!$F$65="No"),0,Settings!$B$65*IF(AND(IF(Settings!$C$65="",$B160,DATE(YEAR($A160),MONTH($A160),MIN(Settings!$C$65,DAY($B160))))&gt;=MAX($A160,Settings!$D$65,Settings!$B$5+1),IF(Settings!$C$65="",$B160,DATE(YEAR($A160),MONTH($A160),MIN(Settings!$C$65,DAY($B160))))&lt;=MIN($C160,IF(Settings!$E$65="",$C160,Settings!$E$65))),1,0)),0))</f>
        <v/>
      </c>
      <c r="AC160">
        <f>$AY160+$AZ160+$BA160+$BB160+$BC160+$BD160</f>
        <v/>
      </c>
      <c r="AD160">
        <f>$AC160</f>
        <v/>
      </c>
      <c r="AE160">
        <f>IF(OR(Settings!$A$19="",$E160="pre"),"",IF(AND('Month-End'!$FA$7&lt;&gt;"",NOT(_xlfn.ISFORMULA('Month-End'!$FA$7))),N('Month-End'!$FA$7),IF(OR($E160="open",$E159="pre"),N(Settings!$C$19),N($AE159))))</f>
        <v/>
      </c>
      <c r="AF160">
        <f>IF(OR(Settings!$A$20="",$E160="pre"),"",IF(AND('Month-End'!$FA$8&lt;&gt;"",NOT(_xlfn.ISFORMULA('Month-End'!$FA$8))),N('Month-End'!$FA$8),IF(OR($E160="open",$E159="pre"),N(Settings!$C$20),N($AF159))))</f>
        <v/>
      </c>
      <c r="AG160">
        <f>IF(OR(Settings!$A$21="",$E160="pre"),"",IF(AND('Month-End'!$FA$9&lt;&gt;"",NOT(_xlfn.ISFORMULA('Month-End'!$FA$9))),N('Month-End'!$FA$9),IF(OR($E160="open",$E159="pre"),N(Settings!$C$21),N($AG159))))</f>
        <v/>
      </c>
      <c r="AH160">
        <f>IF(OR(Settings!$A$22="",$E160="pre"),"",IF(AND('Month-End'!$FA$10&lt;&gt;"",NOT(_xlfn.ISFORMULA('Month-End'!$FA$10))),N('Month-End'!$FA$10),IF(OR($E160="open",$E159="pre"),N(Settings!$C$22),N($AH159))))</f>
        <v/>
      </c>
      <c r="AI160">
        <f>IF(OR(Settings!$A$23="",$E160="pre"),"",IF(AND('Month-End'!$FA$11&lt;&gt;"",NOT(_xlfn.ISFORMULA('Month-End'!$FA$11))),N('Month-End'!$FA$11),IF(OR($E160="open",$E159="pre"),N(Settings!$C$23),N($AI159))))</f>
        <v/>
      </c>
      <c r="AJ160">
        <f>IF(OR(Settings!$A$24="",$E160="pre"),"",IF(AND('Month-End'!$FA$12&lt;&gt;"",NOT(_xlfn.ISFORMULA('Month-End'!$FA$12))),N('Month-End'!$FA$12),IF(OR($E160="open",$E159="pre"),N(Settings!$C$24),N($AJ159))))</f>
        <v/>
      </c>
      <c r="AK160">
        <f>IF(OR(Settings!$A$25="",$E160="pre"),"",IF(AND('Month-End'!$FA$13&lt;&gt;"",NOT(_xlfn.ISFORMULA('Month-End'!$FA$13))),N('Month-End'!$FA$13),IF(OR($E160="open",$E159="pre"),N(Settings!$C$25),N($AK159))))</f>
        <v/>
      </c>
      <c r="AL160">
        <f>IF(OR(Settings!$A$26="",$E160="pre"),"",IF(AND('Month-End'!$FA$14&lt;&gt;"",NOT(_xlfn.ISFORMULA('Month-End'!$FA$14))),N('Month-End'!$FA$14),IF(OR($E160="open",$E159="pre"),N(Settings!$C$26),N($AL159))))</f>
        <v/>
      </c>
      <c r="AM160">
        <f>IF(OR(Settings!$A$27="",$E160="pre"),"",IF(AND('Month-End'!$FA$15&lt;&gt;"",NOT(_xlfn.ISFORMULA('Month-End'!$FA$15))),N('Month-End'!$FA$15),IF(OR($E160="open",$E159="pre"),N(Settings!$C$27),N($AM159))))</f>
        <v/>
      </c>
      <c r="AN160">
        <f>IF(OR(Settings!$A$28="",$E160="pre"),"",IF(AND('Month-End'!$FA$16&lt;&gt;"",NOT(_xlfn.ISFORMULA('Month-End'!$FA$16))),N('Month-End'!$FA$16),IF(OR($E160="open",$E159="pre"),N(Settings!$C$28),N($AN159))))</f>
        <v/>
      </c>
      <c r="AO160">
        <f>IF(OR(Settings!$A$29="",$E160="pre"),"",IF(AND('Month-End'!$FA$17&lt;&gt;"",NOT(_xlfn.ISFORMULA('Month-End'!$FA$17))),N('Month-End'!$FA$17),IF(OR($E160="open",$E159="pre"),N(Settings!$C$29),N($AO159))))</f>
        <v/>
      </c>
      <c r="AP160">
        <f>IF(OR(Settings!$A$30="",$E160="pre"),"",IF(AND('Month-End'!$FA$18&lt;&gt;"",NOT(_xlfn.ISFORMULA('Month-End'!$FA$18))),N('Month-End'!$FA$18),IF(OR($E160="open",$E159="pre"),N(Settings!$C$30),N($AP159))))</f>
        <v/>
      </c>
      <c r="AQ160">
        <f>IF(OR(Settings!$A$31="",$E160="pre"),"",IF(AND('Month-End'!$FA$19&lt;&gt;"",NOT(_xlfn.ISFORMULA('Month-End'!$FA$19))),N('Month-End'!$FA$19),IF(OR($E160="open",$E159="pre"),N(Settings!$C$31),N($AQ159))))</f>
        <v/>
      </c>
      <c r="AR160">
        <f>IF(OR(Settings!$A$32="",$E160="pre"),"",IF(AND('Month-End'!$FA$20&lt;&gt;"",NOT(_xlfn.ISFORMULA('Month-End'!$FA$20))),N('Month-End'!$FA$20),IF(OR($E160="open",$E159="pre"),N(Settings!$C$32),N($AR159))))</f>
        <v/>
      </c>
      <c r="AS160">
        <f>IF(OR(Settings!$A$36="",$E160="pre"),"",IF(AND('Month-End'!$FA$38&lt;&gt;"",NOT(_xlfn.ISFORMULA('Month-End'!$FA$38))),N('Month-End'!$FA$38),IF(OR($E160="open",$E159="pre"),N(Settings!$C$36),N($AS159))+$AY160))</f>
        <v/>
      </c>
      <c r="AT160">
        <f>IF(OR(Settings!$A$37="",$E160="pre"),"",IF(AND('Month-End'!$FA$39&lt;&gt;"",NOT(_xlfn.ISFORMULA('Month-End'!$FA$39))),N('Month-End'!$FA$39),IF(OR($E160="open",$E159="pre"),N(Settings!$C$37),N($AT159))+$AZ160))</f>
        <v/>
      </c>
      <c r="AU160">
        <f>IF(OR(Settings!$A$38="",$E160="pre"),"",IF(AND('Month-End'!$FA$40&lt;&gt;"",NOT(_xlfn.ISFORMULA('Month-End'!$FA$40))),N('Month-End'!$FA$40),IF(OR($E160="open",$E159="pre"),N(Settings!$C$38),N($AU159))+$BA160))</f>
        <v/>
      </c>
      <c r="AV160">
        <f>IF(OR(Settings!$A$39="",$E160="pre"),"",IF(AND('Month-End'!$FA$41&lt;&gt;"",NOT(_xlfn.ISFORMULA('Month-End'!$FA$41))),N('Month-End'!$FA$41),IF(OR($E160="open",$E159="pre"),N(Settings!$C$39),N($AV159))+$BB160))</f>
        <v/>
      </c>
      <c r="AW160">
        <f>IF(OR(Settings!$A$40="",$E160="pre"),"",IF(AND('Month-End'!$FA$42&lt;&gt;"",NOT(_xlfn.ISFORMULA('Month-End'!$FA$42))),N('Month-End'!$FA$42),IF(OR($E160="open",$E159="pre"),N(Settings!$C$40),N($AW159))+$BC160))</f>
        <v/>
      </c>
      <c r="AX160">
        <f>IF(OR(Settings!$A$41="",$E160="pre"),"",IF(AND('Month-End'!$FA$43&lt;&gt;"",NOT(_xlfn.ISFORMULA('Month-End'!$FA$43))),N('Month-End'!$FA$43),IF(OR($E160="open",$E159="pre"),N(Settings!$C$41),N($AX159))+$BD160))</f>
        <v/>
      </c>
      <c r="AY160">
        <f>IF($E160="pre",0,N('Month-End'!$FA$45))</f>
        <v/>
      </c>
      <c r="AZ160">
        <f>IF($E160="pre",0,N('Month-End'!$FA$46))</f>
        <v/>
      </c>
      <c r="BA160">
        <f>IF($E160="pre",0,N('Month-End'!$FA$47))</f>
        <v/>
      </c>
      <c r="BB160">
        <f>IF($E160="pre",0,N('Month-End'!$FA$48))</f>
        <v/>
      </c>
      <c r="BC160">
        <f>IF($E160="pre",0,N('Month-End'!$FA$49))</f>
        <v/>
      </c>
      <c r="BD160">
        <f>IF($E160="pre",0,N('Month-End'!$FA$50))</f>
        <v/>
      </c>
      <c r="BE160">
        <f>IF(OR(Settings!$C$45="",Settings!$D$45=""),0,Settings!$C$45*IF(Settings!$D$45="Weekly",IF(IFERROR(MATCH(Settings!$E$45,$EO$4:$EO$10,0),0)=0,0,IF(MIN($C160,IF(Settings!$G$45="",$C160,Settings!$G$45))&lt;MAX($A160,Settings!$F$45),0,INT((MIN($C160,IF(Settings!$G$45="",$C160,Settings!$G$45))-MAX($A160,Settings!$F$45)-MOD(IFERROR(MATCH(Settings!$E$45,$EO$4:$EO$10,0),0)-WEEKDAY(MAX($A160,Settings!$F$45)),7))/7)+1)),IF(AND(IF(Settings!$E$45="",$B160,DATE(YEAR($A160),MONTH($A160),MIN(Settings!$E$45,DAY($B160))))&gt;=MAX($A160,Settings!$F$45),IF(Settings!$E$45="",$B160,DATE(YEAR($A160),MONTH($A160),MIN(Settings!$E$45,DAY($B160))))&lt;=MIN($C160,IF(Settings!$G$45="",$C160,Settings!$G$45))),1,0)))</f>
        <v/>
      </c>
      <c r="BF160">
        <f>IF(OR(Settings!$C$46="",Settings!$D$46=""),0,Settings!$C$46*IF(Settings!$D$46="Weekly",IF(IFERROR(MATCH(Settings!$E$46,$EO$4:$EO$10,0),0)=0,0,IF(MIN($C160,IF(Settings!$G$46="",$C160,Settings!$G$46))&lt;MAX($A160,Settings!$F$46),0,INT((MIN($C160,IF(Settings!$G$46="",$C160,Settings!$G$46))-MAX($A160,Settings!$F$46)-MOD(IFERROR(MATCH(Settings!$E$46,$EO$4:$EO$10,0),0)-WEEKDAY(MAX($A160,Settings!$F$46)),7))/7)+1)),IF(AND(IF(Settings!$E$46="",$B160,DATE(YEAR($A160),MONTH($A160),MIN(Settings!$E$46,DAY($B160))))&gt;=MAX($A160,Settings!$F$46),IF(Settings!$E$46="",$B160,DATE(YEAR($A160),MONTH($A160),MIN(Settings!$E$46,DAY($B160))))&lt;=MIN($C160,IF(Settings!$G$46="",$C160,Settings!$G$46))),1,0)))</f>
        <v/>
      </c>
      <c r="BG160">
        <f>IF(OR(Settings!$C$47="",Settings!$D$47=""),0,Settings!$C$47*IF(Settings!$D$47="Weekly",IF(IFERROR(MATCH(Settings!$E$47,$EO$4:$EO$10,0),0)=0,0,IF(MIN($C160,IF(Settings!$G$47="",$C160,Settings!$G$47))&lt;MAX($A160,Settings!$F$47),0,INT((MIN($C160,IF(Settings!$G$47="",$C160,Settings!$G$47))-MAX($A160,Settings!$F$47)-MOD(IFERROR(MATCH(Settings!$E$47,$EO$4:$EO$10,0),0)-WEEKDAY(MAX($A160,Settings!$F$47)),7))/7)+1)),IF(AND(IF(Settings!$E$47="",$B160,DATE(YEAR($A160),MONTH($A160),MIN(Settings!$E$47,DAY($B160))))&gt;=MAX($A160,Settings!$F$47),IF(Settings!$E$47="",$B160,DATE(YEAR($A160),MONTH($A160),MIN(Settings!$E$47,DAY($B160))))&lt;=MIN($C160,IF(Settings!$G$47="",$C160,Settings!$G$47))),1,0)))</f>
        <v/>
      </c>
      <c r="BH160">
        <f>IF(OR(Settings!$C$48="",Settings!$D$48=""),0,Settings!$C$48*IF(Settings!$D$48="Weekly",IF(IFERROR(MATCH(Settings!$E$48,$EO$4:$EO$10,0),0)=0,0,IF(MIN($C160,IF(Settings!$G$48="",$C160,Settings!$G$48))&lt;MAX($A160,Settings!$F$48),0,INT((MIN($C160,IF(Settings!$G$48="",$C160,Settings!$G$48))-MAX($A160,Settings!$F$48)-MOD(IFERROR(MATCH(Settings!$E$48,$EO$4:$EO$10,0),0)-WEEKDAY(MAX($A160,Settings!$F$48)),7))/7)+1)),IF(AND(IF(Settings!$E$48="",$B160,DATE(YEAR($A160),MONTH($A160),MIN(Settings!$E$48,DAY($B160))))&gt;=MAX($A160,Settings!$F$48),IF(Settings!$E$48="",$B160,DATE(YEAR($A160),MONTH($A160),MIN(Settings!$E$48,DAY($B160))))&lt;=MIN($C160,IF(Settings!$G$48="",$C160,Settings!$G$48))),1,0)))</f>
        <v/>
      </c>
      <c r="BI160">
        <f>IF(OR(Settings!$C$49="",Settings!$D$49=""),0,Settings!$C$49*IF(Settings!$D$49="Weekly",IF(IFERROR(MATCH(Settings!$E$49,$EO$4:$EO$10,0),0)=0,0,IF(MIN($C160,IF(Settings!$G$49="",$C160,Settings!$G$49))&lt;MAX($A160,Settings!$F$49),0,INT((MIN($C160,IF(Settings!$G$49="",$C160,Settings!$G$49))-MAX($A160,Settings!$F$49)-MOD(IFERROR(MATCH(Settings!$E$49,$EO$4:$EO$10,0),0)-WEEKDAY(MAX($A160,Settings!$F$49)),7))/7)+1)),IF(AND(IF(Settings!$E$49="",$B160,DATE(YEAR($A160),MONTH($A160),MIN(Settings!$E$49,DAY($B160))))&gt;=MAX($A160,Settings!$F$49),IF(Settings!$E$49="",$B160,DATE(YEAR($A160),MONTH($A160),MIN(Settings!$E$49,DAY($B160))))&lt;=MIN($C160,IF(Settings!$G$49="",$C160,Settings!$G$49))),1,0)))</f>
        <v/>
      </c>
      <c r="BJ160">
        <f>IF(OR(Settings!$C$50="",Settings!$D$50=""),0,Settings!$C$50*IF(Settings!$D$50="Weekly",IF(IFERROR(MATCH(Settings!$E$50,$EO$4:$EO$10,0),0)=0,0,IF(MIN($C160,IF(Settings!$G$50="",$C160,Settings!$G$50))&lt;MAX($A160,Settings!$F$50),0,INT((MIN($C160,IF(Settings!$G$50="",$C160,Settings!$G$50))-MAX($A160,Settings!$F$50)-MOD(IFERROR(MATCH(Settings!$E$50,$EO$4:$EO$10,0),0)-WEEKDAY(MAX($A160,Settings!$F$50)),7))/7)+1)),IF(AND(IF(Settings!$E$50="",$B160,DATE(YEAR($A160),MONTH($A160),MIN(Settings!$E$50,DAY($B160))))&gt;=MAX($A160,Settings!$F$50),IF(Settings!$E$50="",$B160,DATE(YEAR($A160),MONTH($A160),MIN(Settings!$E$50,DAY($B160))))&lt;=MIN($C160,IF(Settings!$G$50="",$C160,Settings!$G$50))),1,0)))</f>
        <v/>
      </c>
      <c r="BK160">
        <f>IF(OR(Settings!$C$51="",Settings!$D$51=""),0,Settings!$C$51*IF(Settings!$D$51="Weekly",IF(IFERROR(MATCH(Settings!$E$51,$EO$4:$EO$10,0),0)=0,0,IF(MIN($C160,IF(Settings!$G$51="",$C160,Settings!$G$51))&lt;MAX($A160,Settings!$F$51),0,INT((MIN($C160,IF(Settings!$G$51="",$C160,Settings!$G$51))-MAX($A160,Settings!$F$51)-MOD(IFERROR(MATCH(Settings!$E$51,$EO$4:$EO$10,0),0)-WEEKDAY(MAX($A160,Settings!$F$51)),7))/7)+1)),IF(AND(IF(Settings!$E$51="",$B160,DATE(YEAR($A160),MONTH($A160),MIN(Settings!$E$51,DAY($B160))))&gt;=MAX($A160,Settings!$F$51),IF(Settings!$E$51="",$B160,DATE(YEAR($A160),MONTH($A160),MIN(Settings!$E$51,DAY($B160))))&lt;=MIN($C160,IF(Settings!$G$51="",$C160,Settings!$G$51))),1,0)))</f>
        <v/>
      </c>
      <c r="BL160">
        <f>IF(OR(Settings!$C$52="",Settings!$D$52=""),0,Settings!$C$52*IF(Settings!$D$52="Weekly",IF(IFERROR(MATCH(Settings!$E$52,$EO$4:$EO$10,0),0)=0,0,IF(MIN($C160,IF(Settings!$G$52="",$C160,Settings!$G$52))&lt;MAX($A160,Settings!$F$52),0,INT((MIN($C160,IF(Settings!$G$52="",$C160,Settings!$G$52))-MAX($A160,Settings!$F$52)-MOD(IFERROR(MATCH(Settings!$E$52,$EO$4:$EO$10,0),0)-WEEKDAY(MAX($A160,Settings!$F$52)),7))/7)+1)),IF(AND(IF(Settings!$E$52="",$B160,DATE(YEAR($A160),MONTH($A160),MIN(Settings!$E$52,DAY($B160))))&gt;=MAX($A160,Settings!$F$52),IF(Settings!$E$52="",$B160,DATE(YEAR($A160),MONTH($A160),MIN(Settings!$E$52,DAY($B160))))&lt;=MIN($C160,IF(Settings!$G$52="",$C160,Settings!$G$52))),1,0)))</f>
        <v/>
      </c>
      <c r="BM160">
        <f>IF(OR(Settings!$C$53="",Settings!$D$53=""),0,Settings!$C$53*IF(Settings!$D$53="Weekly",IF(IFERROR(MATCH(Settings!$E$53,$EO$4:$EO$10,0),0)=0,0,IF(MIN($C160,IF(Settings!$G$53="",$C160,Settings!$G$53))&lt;MAX($A160,Settings!$F$53),0,INT((MIN($C160,IF(Settings!$G$53="",$C160,Settings!$G$53))-MAX($A160,Settings!$F$53)-MOD(IFERROR(MATCH(Settings!$E$53,$EO$4:$EO$10,0),0)-WEEKDAY(MAX($A160,Settings!$F$53)),7))/7)+1)),IF(AND(IF(Settings!$E$53="",$B160,DATE(YEAR($A160),MONTH($A160),MIN(Settings!$E$53,DAY($B160))))&gt;=MAX($A160,Settings!$F$53),IF(Settings!$E$53="",$B160,DATE(YEAR($A160),MONTH($A160),MIN(Settings!$E$53,DAY($B160))))&lt;=MIN($C160,IF(Settings!$G$53="",$C160,Settings!$G$53))),1,0)))</f>
        <v/>
      </c>
      <c r="BN160">
        <f>IF(OR(Settings!$C$54="",Settings!$D$54=""),0,Settings!$C$54*IF(Settings!$D$54="Weekly",IF(IFERROR(MATCH(Settings!$E$54,$EO$4:$EO$10,0),0)=0,0,IF(MIN($C160,IF(Settings!$G$54="",$C160,Settings!$G$54))&lt;MAX($A160,Settings!$F$54),0,INT((MIN($C160,IF(Settings!$G$54="",$C160,Settings!$G$54))-MAX($A160,Settings!$F$54)-MOD(IFERROR(MATCH(Settings!$E$54,$EO$4:$EO$10,0),0)-WEEKDAY(MAX($A160,Settings!$F$54)),7))/7)+1)),IF(AND(IF(Settings!$E$54="",$B160,DATE(YEAR($A160),MONTH($A160),MIN(Settings!$E$54,DAY($B160))))&gt;=MAX($A160,Settings!$F$54),IF(Settings!$E$54="",$B160,DATE(YEAR($A160),MONTH($A160),MIN(Settings!$E$54,DAY($B160))))&lt;=MIN($C160,IF(Settings!$G$54="",$C160,Settings!$G$54))),1,0)))</f>
        <v/>
      </c>
      <c r="BO160">
        <f>IF(OR(Settings!$C$55="",Settings!$D$55=""),0,Settings!$C$55*IF(Settings!$D$55="Weekly",IF(IFERROR(MATCH(Settings!$E$55,$EO$4:$EO$10,0),0)=0,0,IF(MIN($C160,IF(Settings!$G$55="",$C160,Settings!$G$55))&lt;MAX($A160,Settings!$F$55),0,INT((MIN($C160,IF(Settings!$G$55="",$C160,Settings!$G$55))-MAX($A160,Settings!$F$55)-MOD(IFERROR(MATCH(Settings!$E$55,$EO$4:$EO$10,0),0)-WEEKDAY(MAX($A160,Settings!$F$55)),7))/7)+1)),IF(AND(IF(Settings!$E$55="",$B160,DATE(YEAR($A160),MONTH($A160),MIN(Settings!$E$55,DAY($B160))))&gt;=MAX($A160,Settings!$F$55),IF(Settings!$E$55="",$B160,DATE(YEAR($A160),MONTH($A160),MIN(Settings!$E$55,DAY($B160))))&lt;=MIN($C160,IF(Settings!$G$55="",$C160,Settings!$G$55))),1,0)))</f>
        <v/>
      </c>
      <c r="BP160">
        <f>IF(OR(Settings!$C$56="",Settings!$D$56=""),0,Settings!$C$56*IF(Settings!$D$56="Weekly",IF(IFERROR(MATCH(Settings!$E$56,$EO$4:$EO$10,0),0)=0,0,IF(MIN($C160,IF(Settings!$G$56="",$C160,Settings!$G$56))&lt;MAX($A160,Settings!$F$56),0,INT((MIN($C160,IF(Settings!$G$56="",$C160,Settings!$G$56))-MAX($A160,Settings!$F$56)-MOD(IFERROR(MATCH(Settings!$E$56,$EO$4:$EO$10,0),0)-WEEKDAY(MAX($A160,Settings!$F$56)),7))/7)+1)),IF(AND(IF(Settings!$E$56="",$B160,DATE(YEAR($A160),MONTH($A160),MIN(Settings!$E$56,DAY($B160))))&gt;=MAX($A160,Settings!$F$56),IF(Settings!$E$56="",$B160,DATE(YEAR($A160),MONTH($A160),MIN(Settings!$E$56,DAY($B160))))&lt;=MIN($C160,IF(Settings!$G$56="",$C160,Settings!$G$56))),1,0)))</f>
        <v/>
      </c>
      <c r="BQ160">
        <f>IF(OR(Settings!$B$14="",$D160=1,$E160="pre",$A160&lt;IF(Settings!$B$15="",0,Settings!$B$15)),0,Settings!$B$14)</f>
        <v/>
      </c>
      <c r="BR160">
        <f>IF(AND('Month-End'!$FA$7&lt;&gt;"",NOT(_xlfn.ISFORMULA('Month-End'!$FA$7))),1,0)</f>
        <v/>
      </c>
      <c r="BS160">
        <f>IF(AND('Month-End'!$FA$8&lt;&gt;"",NOT(_xlfn.ISFORMULA('Month-End'!$FA$8))),1,0)</f>
        <v/>
      </c>
      <c r="BT160">
        <f>IF(AND('Month-End'!$FA$9&lt;&gt;"",NOT(_xlfn.ISFORMULA('Month-End'!$FA$9))),1,0)</f>
        <v/>
      </c>
      <c r="BU160">
        <f>IF(AND('Month-End'!$FA$10&lt;&gt;"",NOT(_xlfn.ISFORMULA('Month-End'!$FA$10))),1,0)</f>
        <v/>
      </c>
      <c r="BV160">
        <f>IF(AND('Month-End'!$FA$11&lt;&gt;"",NOT(_xlfn.ISFORMULA('Month-End'!$FA$11))),1,0)</f>
        <v/>
      </c>
      <c r="BW160">
        <f>IF(AND('Month-End'!$FA$12&lt;&gt;"",NOT(_xlfn.ISFORMULA('Month-End'!$FA$12))),1,0)</f>
        <v/>
      </c>
      <c r="BX160">
        <f>IF(AND('Month-End'!$FA$13&lt;&gt;"",NOT(_xlfn.ISFORMULA('Month-End'!$FA$13))),1,0)</f>
        <v/>
      </c>
      <c r="BY160">
        <f>IF(AND('Month-End'!$FA$14&lt;&gt;"",NOT(_xlfn.ISFORMULA('Month-End'!$FA$14))),1,0)</f>
        <v/>
      </c>
      <c r="BZ160">
        <f>IF(AND('Month-End'!$FA$15&lt;&gt;"",NOT(_xlfn.ISFORMULA('Month-End'!$FA$15))),1,0)</f>
        <v/>
      </c>
      <c r="CA160">
        <f>IF(AND('Month-End'!$FA$16&lt;&gt;"",NOT(_xlfn.ISFORMULA('Month-End'!$FA$16))),1,0)</f>
        <v/>
      </c>
      <c r="CB160">
        <f>IF(AND('Month-End'!$FA$17&lt;&gt;"",NOT(_xlfn.ISFORMULA('Month-End'!$FA$17))),1,0)</f>
        <v/>
      </c>
      <c r="CC160">
        <f>IF(AND('Month-End'!$FA$18&lt;&gt;"",NOT(_xlfn.ISFORMULA('Month-End'!$FA$18))),1,0)</f>
        <v/>
      </c>
      <c r="CD160">
        <f>IF(AND('Month-End'!$FA$19&lt;&gt;"",NOT(_xlfn.ISFORMULA('Month-End'!$FA$19))),1,0)</f>
        <v/>
      </c>
      <c r="CE160">
        <f>IF(AND('Month-End'!$FA$20&lt;&gt;"",NOT(_xlfn.ISFORMULA('Month-End'!$FA$20))),1,0)</f>
        <v/>
      </c>
      <c r="CF160">
        <f>IF(AND('Month-End'!$FA$38&lt;&gt;"",NOT(_xlfn.ISFORMULA('Month-End'!$FA$38))),1,0)</f>
        <v/>
      </c>
      <c r="CG160">
        <f>IF(AND('Month-End'!$FA$39&lt;&gt;"",NOT(_xlfn.ISFORMULA('Month-End'!$FA$39))),1,0)</f>
        <v/>
      </c>
      <c r="CH160">
        <f>IF(AND('Month-End'!$FA$40&lt;&gt;"",NOT(_xlfn.ISFORMULA('Month-End'!$FA$40))),1,0)</f>
        <v/>
      </c>
      <c r="CI160">
        <f>IF(AND('Month-End'!$FA$41&lt;&gt;"",NOT(_xlfn.ISFORMULA('Month-End'!$FA$41))),1,0)</f>
        <v/>
      </c>
      <c r="CJ160">
        <f>IF(AND('Month-End'!$FA$42&lt;&gt;"",NOT(_xlfn.ISFORMULA('Month-End'!$FA$42))),1,0)</f>
        <v/>
      </c>
      <c r="CK160">
        <f>IF(AND('Month-End'!$FA$43&lt;&gt;"",NOT(_xlfn.ISFORMULA('Month-End'!$FA$43))),1,0)</f>
        <v/>
      </c>
      <c r="CL160">
        <f>SUM($CM160:$CZ160)</f>
        <v/>
      </c>
      <c r="CM160">
        <f>IF(AND($E160&lt;&gt;"pre",AND(Settings!$A$19&lt;&gt;"",Settings!$E$19&lt;&gt;"No"),Settings!$F$19="Yes",NOT(AND('Month-End'!$FA$7&lt;&gt;"",NOT(_xlfn.ISFORMULA('Month-End'!$FA$7))))),1,0)</f>
        <v/>
      </c>
      <c r="CN160">
        <f>IF(AND($E160&lt;&gt;"pre",AND(Settings!$A$20&lt;&gt;"",Settings!$E$20&lt;&gt;"No"),Settings!$F$20="Yes",NOT(AND('Month-End'!$FA$8&lt;&gt;"",NOT(_xlfn.ISFORMULA('Month-End'!$FA$8))))),1,0)</f>
        <v/>
      </c>
      <c r="CO160">
        <f>IF(AND($E160&lt;&gt;"pre",AND(Settings!$A$21&lt;&gt;"",Settings!$E$21&lt;&gt;"No"),Settings!$F$21="Yes",NOT(AND('Month-End'!$FA$9&lt;&gt;"",NOT(_xlfn.ISFORMULA('Month-End'!$FA$9))))),1,0)</f>
        <v/>
      </c>
      <c r="CP160">
        <f>IF(AND($E160&lt;&gt;"pre",AND(Settings!$A$22&lt;&gt;"",Settings!$E$22&lt;&gt;"No"),Settings!$F$22="Yes",NOT(AND('Month-End'!$FA$10&lt;&gt;"",NOT(_xlfn.ISFORMULA('Month-End'!$FA$10))))),1,0)</f>
        <v/>
      </c>
      <c r="CQ160">
        <f>IF(AND($E160&lt;&gt;"pre",AND(Settings!$A$23&lt;&gt;"",Settings!$E$23&lt;&gt;"No"),Settings!$F$23="Yes",NOT(AND('Month-End'!$FA$11&lt;&gt;"",NOT(_xlfn.ISFORMULA('Month-End'!$FA$11))))),1,0)</f>
        <v/>
      </c>
      <c r="CR160">
        <f>IF(AND($E160&lt;&gt;"pre",AND(Settings!$A$24&lt;&gt;"",Settings!$E$24&lt;&gt;"No"),Settings!$F$24="Yes",NOT(AND('Month-End'!$FA$12&lt;&gt;"",NOT(_xlfn.ISFORMULA('Month-End'!$FA$12))))),1,0)</f>
        <v/>
      </c>
      <c r="CS160">
        <f>IF(AND($E160&lt;&gt;"pre",AND(Settings!$A$25&lt;&gt;"",Settings!$E$25&lt;&gt;"No"),Settings!$F$25="Yes",NOT(AND('Month-End'!$FA$13&lt;&gt;"",NOT(_xlfn.ISFORMULA('Month-End'!$FA$13))))),1,0)</f>
        <v/>
      </c>
      <c r="CT160">
        <f>IF(AND($E160&lt;&gt;"pre",AND(Settings!$A$26&lt;&gt;"",Settings!$E$26&lt;&gt;"No"),Settings!$F$26="Yes",NOT(AND('Month-End'!$FA$14&lt;&gt;"",NOT(_xlfn.ISFORMULA('Month-End'!$FA$14))))),1,0)</f>
        <v/>
      </c>
      <c r="CU160">
        <f>IF(AND($E160&lt;&gt;"pre",AND(Settings!$A$27&lt;&gt;"",Settings!$E$27&lt;&gt;"No"),Settings!$F$27="Yes",NOT(AND('Month-End'!$FA$15&lt;&gt;"",NOT(_xlfn.ISFORMULA('Month-End'!$FA$15))))),1,0)</f>
        <v/>
      </c>
      <c r="CV160">
        <f>IF(AND($E160&lt;&gt;"pre",AND(Settings!$A$28&lt;&gt;"",Settings!$E$28&lt;&gt;"No"),Settings!$F$28="Yes",NOT(AND('Month-End'!$FA$16&lt;&gt;"",NOT(_xlfn.ISFORMULA('Month-End'!$FA$16))))),1,0)</f>
        <v/>
      </c>
      <c r="CW160">
        <f>IF(AND($E160&lt;&gt;"pre",AND(Settings!$A$29&lt;&gt;"",Settings!$E$29&lt;&gt;"No"),Settings!$F$29="Yes",NOT(AND('Month-End'!$FA$17&lt;&gt;"",NOT(_xlfn.ISFORMULA('Month-End'!$FA$17))))),1,0)</f>
        <v/>
      </c>
      <c r="CX160">
        <f>IF(AND($E160&lt;&gt;"pre",AND(Settings!$A$30&lt;&gt;"",Settings!$E$30&lt;&gt;"No"),Settings!$F$30="Yes",NOT(AND('Month-End'!$FA$18&lt;&gt;"",NOT(_xlfn.ISFORMULA('Month-End'!$FA$18))))),1,0)</f>
        <v/>
      </c>
      <c r="CY160">
        <f>IF(AND($E160&lt;&gt;"pre",AND(Settings!$A$31&lt;&gt;"",Settings!$E$31&lt;&gt;"No"),Settings!$F$31="Yes",NOT(AND('Month-End'!$FA$19&lt;&gt;"",NOT(_xlfn.ISFORMULA('Month-End'!$FA$19))))),1,0)</f>
        <v/>
      </c>
      <c r="CZ160">
        <f>IF(AND($E160&lt;&gt;"pre",AND(Settings!$A$32&lt;&gt;"",Settings!$E$32&lt;&gt;"No"),Settings!$F$32="Yes",NOT(AND('Month-End'!$FA$20&lt;&gt;"",NOT(_xlfn.ISFORMULA('Month-End'!$FA$20))))),1,0)</f>
        <v/>
      </c>
      <c r="DA160">
        <f>IF($DT160=1,IF(OR(Settings!$B$19="Checking",Settings!$B$19="Savings",Settings!$B$19="Cash"),N($AE160),IF(OR(Settings!$B$19="Card",Settings!$B$19="Loan"),-N($AE160),0))+IF(OR(Settings!$B$20="Checking",Settings!$B$20="Savings",Settings!$B$20="Cash"),N($AF160),IF(OR(Settings!$B$20="Card",Settings!$B$20="Loan"),-N($AF160),0))+IF(OR(Settings!$B$21="Checking",Settings!$B$21="Savings",Settings!$B$21="Cash"),N($AG160),IF(OR(Settings!$B$21="Card",Settings!$B$21="Loan"),-N($AG160),0))+IF(OR(Settings!$B$22="Checking",Settings!$B$22="Savings",Settings!$B$22="Cash"),N($AH160),IF(OR(Settings!$B$22="Card",Settings!$B$22="Loan"),-N($AH160),0))+IF(OR(Settings!$B$23="Checking",Settings!$B$23="Savings",Settings!$B$23="Cash"),N($AI160),IF(OR(Settings!$B$23="Card",Settings!$B$23="Loan"),-N($AI160),0))+IF(OR(Settings!$B$24="Checking",Settings!$B$24="Savings",Settings!$B$24="Cash"),N($AJ160),IF(OR(Settings!$B$24="Card",Settings!$B$24="Loan"),-N($AJ160),0))+IF(OR(Settings!$B$25="Checking",Settings!$B$25="Savings",Settings!$B$25="Cash"),N($AK160),IF(OR(Settings!$B$25="Card",Settings!$B$25="Loan"),-N($AK160),0))+IF(OR(Settings!$B$26="Checking",Settings!$B$26="Savings",Settings!$B$26="Cash"),N($AL160),IF(OR(Settings!$B$26="Card",Settings!$B$26="Loan"),-N($AL160),0))+IF(OR(Settings!$B$27="Checking",Settings!$B$27="Savings",Settings!$B$27="Cash"),N($AM160),IF(OR(Settings!$B$27="Card",Settings!$B$27="Loan"),-N($AM160),0))+IF(OR(Settings!$B$28="Checking",Settings!$B$28="Savings",Settings!$B$28="Cash"),N($AN160),IF(OR(Settings!$B$28="Card",Settings!$B$28="Loan"),-N($AN160),0))+IF(OR(Settings!$B$29="Checking",Settings!$B$29="Savings",Settings!$B$29="Cash"),N($AO160),IF(OR(Settings!$B$29="Card",Settings!$B$29="Loan"),-N($AO160),0))+IF(OR(Settings!$B$30="Checking",Settings!$B$30="Savings",Settings!$B$30="Cash"),N($AP160),IF(OR(Settings!$B$30="Card",Settings!$B$30="Loan"),-N($AP160),0))+IF(OR(Settings!$B$31="Checking",Settings!$B$31="Savings",Settings!$B$31="Cash"),N($AQ160),IF(OR(Settings!$B$31="Card",Settings!$B$31="Loan"),-N($AQ160),0))+IF(OR(Settings!$B$32="Checking",Settings!$B$32="Savings",Settings!$B$32="Cash"),N($AR160),IF(OR(Settings!$B$32="Card",Settings!$B$32="Loan"),-N($AR160),0)),"")</f>
        <v/>
      </c>
      <c r="DB160">
        <f>IF($E160="open",$EB$27,IF($E160="post",IF($E159="pre",$EB$27,$DA159),""))</f>
        <v/>
      </c>
      <c r="DC160">
        <f>IF($E160="open",1,IF($E160="post",IF($E159="pre",1,$DT159),0))</f>
        <v/>
      </c>
      <c r="DD160">
        <f>IF(AND($DT160=1,$DC160=1),ROUND($W160-($DA160-$DB160)-$AD160-$AB160,2),"")</f>
        <v/>
      </c>
      <c r="DE160">
        <f>IF('Month-End'!$FA$35="",$BQ160,N('Month-End'!$FA$35))</f>
        <v/>
      </c>
      <c r="DF160">
        <f>N('Month-End'!$FA$36)</f>
        <v/>
      </c>
      <c r="DG160">
        <f>IF($DD160="","",$DD160+$DE160)</f>
        <v/>
      </c>
      <c r="DH160">
        <f>IF($DG160="","",$DG160-$DF160)</f>
        <v/>
      </c>
      <c r="DI160">
        <f>IF(OR($E160="pre",$D160=1),"",N($AS160)+N($AT160)+N($AU160)+N($AV160)+N($AW160)+N($AX160))</f>
        <v/>
      </c>
      <c r="DJ160">
        <f>IF($DT160=1,$DA160+N($DI160),"")</f>
        <v/>
      </c>
      <c r="DK160">
        <f>IF($DD160="","",$W160-$DD160-$AB160)</f>
        <v/>
      </c>
      <c r="DL160">
        <f>IF(AND($E160="post",$DD160&lt;&gt;"",$B160&lt;TODAY()),1,0)</f>
        <v/>
      </c>
      <c r="DM160">
        <f>IF($DL160=1,COUNTIF($DL160:$DL$183,1),0)</f>
        <v/>
      </c>
      <c r="DN160">
        <f>IF($D160=1,"",IF($E160="pre","History only",IF($DT160=1,IF($DD160="","⚠ Previous month missing",IF($DD160&lt;0,"⚠ Check: spending &lt; 0",IF($E160="open","✓ Done (partial)","✓ Done"))),IF($B160&gt;=TODAY(),"In progress","⚠ Needs balances"))))</f>
        <v/>
      </c>
      <c r="DO160">
        <f>YEAR($A160)</f>
        <v/>
      </c>
      <c r="DP160">
        <f>DATE(YEAR($A160),INT((MONTH($A160)-1)/3)*3+1,1)</f>
        <v/>
      </c>
      <c r="DQ160">
        <f>IF(AND($DT160=1,$DD160&lt;&gt;"",$D160=0),ROW(),0)</f>
        <v/>
      </c>
      <c r="DR160">
        <f>IF(AND($E160&lt;&gt;"pre",$B160&lt;TODAY(),$DT160=0),1,0)</f>
        <v/>
      </c>
      <c r="DS160">
        <f>IF($DJ160="",NA(),$DJ160)</f>
        <v/>
      </c>
      <c r="DT160">
        <f>IF(AND($E160&lt;&gt;"pre",$CL160=0,COUNTIFS(Settings!$F$19:$F$32,"Yes",Settings!$A$19:$A$32,"&lt;&gt;",Settings!$E$19:$E$32,"&lt;&gt;No")&gt;0),1,0)</f>
        <v/>
      </c>
      <c r="DU160">
        <f>IF(AND($B160&lt;TODAY(),$S160&gt;0),1,0)</f>
        <v/>
      </c>
      <c r="DV160">
        <f>IF($DU160=1,COUNTIF($DU160:$DU$183,1),0)</f>
        <v/>
      </c>
      <c r="DW160">
        <f>IF(AND(OR(Settings!$B$19="Card",Settings!$B$19="Loan"),AND('Month-End'!$FA$7&lt;&gt;"",NOT(_xlfn.ISFORMULA('Month-End'!$FA$7)))),IF(N('Month-End'!$FA$7)&lt;0,1,0),0)+IF(AND(OR(Settings!$B$20="Card",Settings!$B$20="Loan"),AND('Month-End'!$FA$8&lt;&gt;"",NOT(_xlfn.ISFORMULA('Month-End'!$FA$8)))),IF(N('Month-End'!$FA$8)&lt;0,1,0),0)+IF(AND(OR(Settings!$B$21="Card",Settings!$B$21="Loan"),AND('Month-End'!$FA$9&lt;&gt;"",NOT(_xlfn.ISFORMULA('Month-End'!$FA$9)))),IF(N('Month-End'!$FA$9)&lt;0,1,0),0)+IF(AND(OR(Settings!$B$22="Card",Settings!$B$22="Loan"),AND('Month-End'!$FA$10&lt;&gt;"",NOT(_xlfn.ISFORMULA('Month-End'!$FA$10)))),IF(N('Month-End'!$FA$10)&lt;0,1,0),0)+IF(AND(OR(Settings!$B$23="Card",Settings!$B$23="Loan"),AND('Month-End'!$FA$11&lt;&gt;"",NOT(_xlfn.ISFORMULA('Month-End'!$FA$11)))),IF(N('Month-End'!$FA$11)&lt;0,1,0),0)+IF(AND(OR(Settings!$B$24="Card",Settings!$B$24="Loan"),AND('Month-End'!$FA$12&lt;&gt;"",NOT(_xlfn.ISFORMULA('Month-End'!$FA$12)))),IF(N('Month-End'!$FA$12)&lt;0,1,0),0)+IF(AND(OR(Settings!$B$25="Card",Settings!$B$25="Loan"),AND('Month-End'!$FA$13&lt;&gt;"",NOT(_xlfn.ISFORMULA('Month-End'!$FA$13)))),IF(N('Month-End'!$FA$13)&lt;0,1,0),0)+IF(AND(OR(Settings!$B$26="Card",Settings!$B$26="Loan"),AND('Month-End'!$FA$14&lt;&gt;"",NOT(_xlfn.ISFORMULA('Month-End'!$FA$14)))),IF(N('Month-End'!$FA$14)&lt;0,1,0),0)+IF(AND(OR(Settings!$B$27="Card",Settings!$B$27="Loan"),AND('Month-End'!$FA$15&lt;&gt;"",NOT(_xlfn.ISFORMULA('Month-End'!$FA$15)))),IF(N('Month-End'!$FA$15)&lt;0,1,0),0)+IF(AND(OR(Settings!$B$28="Card",Settings!$B$28="Loan"),AND('Month-End'!$FA$16&lt;&gt;"",NOT(_xlfn.ISFORMULA('Month-End'!$FA$16)))),IF(N('Month-End'!$FA$16)&lt;0,1,0),0)+IF(AND(OR(Settings!$B$29="Card",Settings!$B$29="Loan"),AND('Month-End'!$FA$17&lt;&gt;"",NOT(_xlfn.ISFORMULA('Month-End'!$FA$17)))),IF(N('Month-End'!$FA$17)&lt;0,1,0),0)+IF(AND(OR(Settings!$B$30="Card",Settings!$B$30="Loan"),AND('Month-End'!$FA$18&lt;&gt;"",NOT(_xlfn.ISFORMULA('Month-End'!$FA$18)))),IF(N('Month-End'!$FA$18)&lt;0,1,0),0)+IF(AND(OR(Settings!$B$31="Card",Settings!$B$31="Loan"),AND('Month-End'!$FA$19&lt;&gt;"",NOT(_xlfn.ISFORMULA('Month-End'!$FA$19)))),IF(N('Month-End'!$FA$19)&lt;0,1,0),0)+IF(AND(OR(Settings!$B$32="Card",Settings!$B$32="Loan"),AND('Month-End'!$FA$20&lt;&gt;"",NOT(_xlfn.ISFORMULA('Month-End'!$FA$20)))),IF(N('Month-End'!$FA$20)&lt;0,1,0),0)</f>
        <v/>
      </c>
      <c r="DX160">
        <f>IF(Settings!$B$36="Retirement",$AY160,0)+IF(Settings!$B$37="Retirement",$AZ160,0)+IF(Settings!$B$38="Retirement",$BA160,0)+IF(Settings!$B$39="Retirement",$BB160,0)+IF(Settings!$B$40="Retirement",$BC160,0)+IF(Settings!$B$41="Retirement",$BD160,0)</f>
        <v/>
      </c>
      <c r="ET160">
        <f>IF($E160&lt;&gt;"open",0,IF(AND('Month-End'!$FA$22&lt;&gt;"",NOT(_xlfn.ISFORMULA('Month-End'!$FA$22))),0,IF(OR(Settings!$C$45="",Settings!$D$45=""),0,Settings!$C$45*IF(Settings!$D$45="Weekly",IF(IFERROR(MATCH(Settings!$E$45,$EO$4:$EO$10,0),0)=0,0,IF(MIN(Settings!$B$5,IF(Settings!$G$45="",Settings!$B$5,Settings!$G$45))&lt;MAX($A160,Settings!$F$45),0,INT((MIN(Settings!$B$5,IF(Settings!$G$45="",Settings!$B$5,Settings!$G$45))-MAX($A160,Settings!$F$45)-MOD(IFERROR(MATCH(Settings!$E$45,$EO$4:$EO$10,0),0)-WEEKDAY(MAX($A160,Settings!$F$45)),7))/7)+1)),IF(AND(IF(Settings!$E$45="",$B160,DATE(YEAR($A160),MONTH($A160),MIN(Settings!$E$45,DAY($B160))))&gt;=MAX($A160,Settings!$F$45),IF(Settings!$E$45="",$B160,DATE(YEAR($A160),MONTH($A160),MIN(Settings!$E$45,DAY($B160))))&lt;=MIN(Settings!$B$5,IF(Settings!$G$45="",Settings!$B$5,Settings!$G$45))),1,0)))))</f>
        <v/>
      </c>
      <c r="EU160">
        <f>IF($E160&lt;&gt;"open",0,IF(AND('Month-End'!$FA$23&lt;&gt;"",NOT(_xlfn.ISFORMULA('Month-End'!$FA$23))),0,IF(OR(Settings!$C$46="",Settings!$D$46=""),0,Settings!$C$46*IF(Settings!$D$46="Weekly",IF(IFERROR(MATCH(Settings!$E$46,$EO$4:$EO$10,0),0)=0,0,IF(MIN(Settings!$B$5,IF(Settings!$G$46="",Settings!$B$5,Settings!$G$46))&lt;MAX($A160,Settings!$F$46),0,INT((MIN(Settings!$B$5,IF(Settings!$G$46="",Settings!$B$5,Settings!$G$46))-MAX($A160,Settings!$F$46)-MOD(IFERROR(MATCH(Settings!$E$46,$EO$4:$EO$10,0),0)-WEEKDAY(MAX($A160,Settings!$F$46)),7))/7)+1)),IF(AND(IF(Settings!$E$46="",$B160,DATE(YEAR($A160),MONTH($A160),MIN(Settings!$E$46,DAY($B160))))&gt;=MAX($A160,Settings!$F$46),IF(Settings!$E$46="",$B160,DATE(YEAR($A160),MONTH($A160),MIN(Settings!$E$46,DAY($B160))))&lt;=MIN(Settings!$B$5,IF(Settings!$G$46="",Settings!$B$5,Settings!$G$46))),1,0)))))</f>
        <v/>
      </c>
      <c r="EV160">
        <f>IF($E160&lt;&gt;"open",0,IF(AND('Month-End'!$FA$24&lt;&gt;"",NOT(_xlfn.ISFORMULA('Month-End'!$FA$24))),0,IF(OR(Settings!$C$47="",Settings!$D$47=""),0,Settings!$C$47*IF(Settings!$D$47="Weekly",IF(IFERROR(MATCH(Settings!$E$47,$EO$4:$EO$10,0),0)=0,0,IF(MIN(Settings!$B$5,IF(Settings!$G$47="",Settings!$B$5,Settings!$G$47))&lt;MAX($A160,Settings!$F$47),0,INT((MIN(Settings!$B$5,IF(Settings!$G$47="",Settings!$B$5,Settings!$G$47))-MAX($A160,Settings!$F$47)-MOD(IFERROR(MATCH(Settings!$E$47,$EO$4:$EO$10,0),0)-WEEKDAY(MAX($A160,Settings!$F$47)),7))/7)+1)),IF(AND(IF(Settings!$E$47="",$B160,DATE(YEAR($A160),MONTH($A160),MIN(Settings!$E$47,DAY($B160))))&gt;=MAX($A160,Settings!$F$47),IF(Settings!$E$47="",$B160,DATE(YEAR($A160),MONTH($A160),MIN(Settings!$E$47,DAY($B160))))&lt;=MIN(Settings!$B$5,IF(Settings!$G$47="",Settings!$B$5,Settings!$G$47))),1,0)))))</f>
        <v/>
      </c>
      <c r="EW160">
        <f>IF($E160&lt;&gt;"open",0,IF(AND('Month-End'!$FA$25&lt;&gt;"",NOT(_xlfn.ISFORMULA('Month-End'!$FA$25))),0,IF(OR(Settings!$C$48="",Settings!$D$48=""),0,Settings!$C$48*IF(Settings!$D$48="Weekly",IF(IFERROR(MATCH(Settings!$E$48,$EO$4:$EO$10,0),0)=0,0,IF(MIN(Settings!$B$5,IF(Settings!$G$48="",Settings!$B$5,Settings!$G$48))&lt;MAX($A160,Settings!$F$48),0,INT((MIN(Settings!$B$5,IF(Settings!$G$48="",Settings!$B$5,Settings!$G$48))-MAX($A160,Settings!$F$48)-MOD(IFERROR(MATCH(Settings!$E$48,$EO$4:$EO$10,0),0)-WEEKDAY(MAX($A160,Settings!$F$48)),7))/7)+1)),IF(AND(IF(Settings!$E$48="",$B160,DATE(YEAR($A160),MONTH($A160),MIN(Settings!$E$48,DAY($B160))))&gt;=MAX($A160,Settings!$F$48),IF(Settings!$E$48="",$B160,DATE(YEAR($A160),MONTH($A160),MIN(Settings!$E$48,DAY($B160))))&lt;=MIN(Settings!$B$5,IF(Settings!$G$48="",Settings!$B$5,Settings!$G$48))),1,0)))))</f>
        <v/>
      </c>
      <c r="EX160">
        <f>IF($E160&lt;&gt;"open",0,IF(AND('Month-End'!$FA$26&lt;&gt;"",NOT(_xlfn.ISFORMULA('Month-End'!$FA$26))),0,IF(OR(Settings!$C$49="",Settings!$D$49=""),0,Settings!$C$49*IF(Settings!$D$49="Weekly",IF(IFERROR(MATCH(Settings!$E$49,$EO$4:$EO$10,0),0)=0,0,IF(MIN(Settings!$B$5,IF(Settings!$G$49="",Settings!$B$5,Settings!$G$49))&lt;MAX($A160,Settings!$F$49),0,INT((MIN(Settings!$B$5,IF(Settings!$G$49="",Settings!$B$5,Settings!$G$49))-MAX($A160,Settings!$F$49)-MOD(IFERROR(MATCH(Settings!$E$49,$EO$4:$EO$10,0),0)-WEEKDAY(MAX($A160,Settings!$F$49)),7))/7)+1)),IF(AND(IF(Settings!$E$49="",$B160,DATE(YEAR($A160),MONTH($A160),MIN(Settings!$E$49,DAY($B160))))&gt;=MAX($A160,Settings!$F$49),IF(Settings!$E$49="",$B160,DATE(YEAR($A160),MONTH($A160),MIN(Settings!$E$49,DAY($B160))))&lt;=MIN(Settings!$B$5,IF(Settings!$G$49="",Settings!$B$5,Settings!$G$49))),1,0)))))</f>
        <v/>
      </c>
      <c r="EY160">
        <f>IF($E160&lt;&gt;"open",0,IF(AND('Month-End'!$FA$27&lt;&gt;"",NOT(_xlfn.ISFORMULA('Month-End'!$FA$27))),0,IF(OR(Settings!$C$50="",Settings!$D$50=""),0,Settings!$C$50*IF(Settings!$D$50="Weekly",IF(IFERROR(MATCH(Settings!$E$50,$EO$4:$EO$10,0),0)=0,0,IF(MIN(Settings!$B$5,IF(Settings!$G$50="",Settings!$B$5,Settings!$G$50))&lt;MAX($A160,Settings!$F$50),0,INT((MIN(Settings!$B$5,IF(Settings!$G$50="",Settings!$B$5,Settings!$G$50))-MAX($A160,Settings!$F$50)-MOD(IFERROR(MATCH(Settings!$E$50,$EO$4:$EO$10,0),0)-WEEKDAY(MAX($A160,Settings!$F$50)),7))/7)+1)),IF(AND(IF(Settings!$E$50="",$B160,DATE(YEAR($A160),MONTH($A160),MIN(Settings!$E$50,DAY($B160))))&gt;=MAX($A160,Settings!$F$50),IF(Settings!$E$50="",$B160,DATE(YEAR($A160),MONTH($A160),MIN(Settings!$E$50,DAY($B160))))&lt;=MIN(Settings!$B$5,IF(Settings!$G$50="",Settings!$B$5,Settings!$G$50))),1,0)))))</f>
        <v/>
      </c>
      <c r="EZ160">
        <f>IF($E160&lt;&gt;"open",0,IF(AND('Month-End'!$FA$28&lt;&gt;"",NOT(_xlfn.ISFORMULA('Month-End'!$FA$28))),0,IF(OR(Settings!$C$51="",Settings!$D$51=""),0,Settings!$C$51*IF(Settings!$D$51="Weekly",IF(IFERROR(MATCH(Settings!$E$51,$EO$4:$EO$10,0),0)=0,0,IF(MIN(Settings!$B$5,IF(Settings!$G$51="",Settings!$B$5,Settings!$G$51))&lt;MAX($A160,Settings!$F$51),0,INT((MIN(Settings!$B$5,IF(Settings!$G$51="",Settings!$B$5,Settings!$G$51))-MAX($A160,Settings!$F$51)-MOD(IFERROR(MATCH(Settings!$E$51,$EO$4:$EO$10,0),0)-WEEKDAY(MAX($A160,Settings!$F$51)),7))/7)+1)),IF(AND(IF(Settings!$E$51="",$B160,DATE(YEAR($A160),MONTH($A160),MIN(Settings!$E$51,DAY($B160))))&gt;=MAX($A160,Settings!$F$51),IF(Settings!$E$51="",$B160,DATE(YEAR($A160),MONTH($A160),MIN(Settings!$E$51,DAY($B160))))&lt;=MIN(Settings!$B$5,IF(Settings!$G$51="",Settings!$B$5,Settings!$G$51))),1,0)))))</f>
        <v/>
      </c>
      <c r="FA160">
        <f>IF($E160&lt;&gt;"open",0,IF(AND('Month-End'!$FA$29&lt;&gt;"",NOT(_xlfn.ISFORMULA('Month-End'!$FA$29))),0,IF(OR(Settings!$C$52="",Settings!$D$52=""),0,Settings!$C$52*IF(Settings!$D$52="Weekly",IF(IFERROR(MATCH(Settings!$E$52,$EO$4:$EO$10,0),0)=0,0,IF(MIN(Settings!$B$5,IF(Settings!$G$52="",Settings!$B$5,Settings!$G$52))&lt;MAX($A160,Settings!$F$52),0,INT((MIN(Settings!$B$5,IF(Settings!$G$52="",Settings!$B$5,Settings!$G$52))-MAX($A160,Settings!$F$52)-MOD(IFERROR(MATCH(Settings!$E$52,$EO$4:$EO$10,0),0)-WEEKDAY(MAX($A160,Settings!$F$52)),7))/7)+1)),IF(AND(IF(Settings!$E$52="",$B160,DATE(YEAR($A160),MONTH($A160),MIN(Settings!$E$52,DAY($B160))))&gt;=MAX($A160,Settings!$F$52),IF(Settings!$E$52="",$B160,DATE(YEAR($A160),MONTH($A160),MIN(Settings!$E$52,DAY($B160))))&lt;=MIN(Settings!$B$5,IF(Settings!$G$52="",Settings!$B$5,Settings!$G$52))),1,0)))))</f>
        <v/>
      </c>
      <c r="FB160">
        <f>IF($E160&lt;&gt;"open",0,IF(AND('Month-End'!$FA$30&lt;&gt;"",NOT(_xlfn.ISFORMULA('Month-End'!$FA$30))),0,IF(OR(Settings!$C$53="",Settings!$D$53=""),0,Settings!$C$53*IF(Settings!$D$53="Weekly",IF(IFERROR(MATCH(Settings!$E$53,$EO$4:$EO$10,0),0)=0,0,IF(MIN(Settings!$B$5,IF(Settings!$G$53="",Settings!$B$5,Settings!$G$53))&lt;MAX($A160,Settings!$F$53),0,INT((MIN(Settings!$B$5,IF(Settings!$G$53="",Settings!$B$5,Settings!$G$53))-MAX($A160,Settings!$F$53)-MOD(IFERROR(MATCH(Settings!$E$53,$EO$4:$EO$10,0),0)-WEEKDAY(MAX($A160,Settings!$F$53)),7))/7)+1)),IF(AND(IF(Settings!$E$53="",$B160,DATE(YEAR($A160),MONTH($A160),MIN(Settings!$E$53,DAY($B160))))&gt;=MAX($A160,Settings!$F$53),IF(Settings!$E$53="",$B160,DATE(YEAR($A160),MONTH($A160),MIN(Settings!$E$53,DAY($B160))))&lt;=MIN(Settings!$B$5,IF(Settings!$G$53="",Settings!$B$5,Settings!$G$53))),1,0)))))</f>
        <v/>
      </c>
      <c r="FC160">
        <f>IF($E160&lt;&gt;"open",0,IF(AND('Month-End'!$FA$31&lt;&gt;"",NOT(_xlfn.ISFORMULA('Month-End'!$FA$31))),0,IF(OR(Settings!$C$54="",Settings!$D$54=""),0,Settings!$C$54*IF(Settings!$D$54="Weekly",IF(IFERROR(MATCH(Settings!$E$54,$EO$4:$EO$10,0),0)=0,0,IF(MIN(Settings!$B$5,IF(Settings!$G$54="",Settings!$B$5,Settings!$G$54))&lt;MAX($A160,Settings!$F$54),0,INT((MIN(Settings!$B$5,IF(Settings!$G$54="",Settings!$B$5,Settings!$G$54))-MAX($A160,Settings!$F$54)-MOD(IFERROR(MATCH(Settings!$E$54,$EO$4:$EO$10,0),0)-WEEKDAY(MAX($A160,Settings!$F$54)),7))/7)+1)),IF(AND(IF(Settings!$E$54="",$B160,DATE(YEAR($A160),MONTH($A160),MIN(Settings!$E$54,DAY($B160))))&gt;=MAX($A160,Settings!$F$54),IF(Settings!$E$54="",$B160,DATE(YEAR($A160),MONTH($A160),MIN(Settings!$E$54,DAY($B160))))&lt;=MIN(Settings!$B$5,IF(Settings!$G$54="",Settings!$B$5,Settings!$G$54))),1,0)))))</f>
        <v/>
      </c>
      <c r="FD160">
        <f>IF($E160&lt;&gt;"open",0,IF(AND('Month-End'!$FA$32&lt;&gt;"",NOT(_xlfn.ISFORMULA('Month-End'!$FA$32))),0,IF(OR(Settings!$C$55="",Settings!$D$55=""),0,Settings!$C$55*IF(Settings!$D$55="Weekly",IF(IFERROR(MATCH(Settings!$E$55,$EO$4:$EO$10,0),0)=0,0,IF(MIN(Settings!$B$5,IF(Settings!$G$55="",Settings!$B$5,Settings!$G$55))&lt;MAX($A160,Settings!$F$55),0,INT((MIN(Settings!$B$5,IF(Settings!$G$55="",Settings!$B$5,Settings!$G$55))-MAX($A160,Settings!$F$55)-MOD(IFERROR(MATCH(Settings!$E$55,$EO$4:$EO$10,0),0)-WEEKDAY(MAX($A160,Settings!$F$55)),7))/7)+1)),IF(AND(IF(Settings!$E$55="",$B160,DATE(YEAR($A160),MONTH($A160),MIN(Settings!$E$55,DAY($B160))))&gt;=MAX($A160,Settings!$F$55),IF(Settings!$E$55="",$B160,DATE(YEAR($A160),MONTH($A160),MIN(Settings!$E$55,DAY($B160))))&lt;=MIN(Settings!$B$5,IF(Settings!$G$55="",Settings!$B$5,Settings!$G$55))),1,0)))))</f>
        <v/>
      </c>
      <c r="FE160">
        <f>IF($E160&lt;&gt;"open",0,IF(AND('Month-End'!$FA$33&lt;&gt;"",NOT(_xlfn.ISFORMULA('Month-End'!$FA$33))),0,IF(OR(Settings!$C$56="",Settings!$D$56=""),0,Settings!$C$56*IF(Settings!$D$56="Weekly",IF(IFERROR(MATCH(Settings!$E$56,$EO$4:$EO$10,0),0)=0,0,IF(MIN(Settings!$B$5,IF(Settings!$G$56="",Settings!$B$5,Settings!$G$56))&lt;MAX($A160,Settings!$F$56),0,INT((MIN(Settings!$B$5,IF(Settings!$G$56="",Settings!$B$5,Settings!$G$56))-MAX($A160,Settings!$F$56)-MOD(IFERROR(MATCH(Settings!$E$56,$EO$4:$EO$10,0),0)-WEEKDAY(MAX($A160,Settings!$F$56)),7))/7)+1)),IF(AND(IF(Settings!$E$56="",$B160,DATE(YEAR($A160),MONTH($A160),MIN(Settings!$E$56,DAY($B160))))&gt;=MAX($A160,Settings!$F$56),IF(Settings!$E$56="",$B160,DATE(YEAR($A160),MONTH($A160),MIN(Settings!$E$56,DAY($B160))))&lt;=MIN(Settings!$B$5,IF(Settings!$G$56="",Settings!$B$5,Settings!$G$56))),1,0)))))</f>
        <v/>
      </c>
      <c r="FF160">
        <f>IF(Settings!$I$45="Yes",$G160,0)+IF(Settings!$I$46="Yes",$H160,0)+IF(Settings!$I$47="Yes",$I160,0)+IF(Settings!$I$48="Yes",$J160,0)+IF(Settings!$I$49="Yes",$K160,0)+IF(Settings!$I$50="Yes",$L160,0)+IF(Settings!$I$51="Yes",$M160,0)+IF(Settings!$I$52="Yes",$N160,0)+IF(Settings!$I$53="Yes",$O160,0)+IF(Settings!$I$54="Yes",$P160,0)+IF(Settings!$I$55="Yes",$Q160,0)+IF(Settings!$I$56="Yes",$R160,0)</f>
        <v/>
      </c>
      <c r="FG160">
        <f>IF(AND(Settings!$I$45="Yes",Settings!$J$45="No"),$G160,0)+IF(AND(Settings!$I$46="Yes",Settings!$J$46="No"),$H160,0)+IF(AND(Settings!$I$47="Yes",Settings!$J$47="No"),$I160,0)+IF(AND(Settings!$I$48="Yes",Settings!$J$48="No"),$J160,0)+IF(AND(Settings!$I$49="Yes",Settings!$J$49="No"),$K160,0)+IF(AND(Settings!$I$50="Yes",Settings!$J$50="No"),$L160,0)+IF(AND(Settings!$I$51="Yes",Settings!$J$51="No"),$M160,0)+IF(AND(Settings!$I$52="Yes",Settings!$J$52="No"),$N160,0)+IF(AND(Settings!$I$53="Yes",Settings!$J$53="No"),$O160,0)+IF(AND(Settings!$I$54="Yes",Settings!$J$54="No"),$P160,0)+IF(AND(Settings!$I$55="Yes",Settings!$J$55="No"),$Q160,0)+IF(AND(Settings!$I$56="Yes",Settings!$J$56="No"),$R160,0)</f>
        <v/>
      </c>
      <c r="FH160">
        <f>SUMIFS(Giving!$B$7:$B$2006,Giving!$A$7:$A$2006,"&gt;="&amp;$A160,Giving!$A$7:$A$2006,"&lt;="&amp;$B160,Giving!$G$7:$G$2006,"Yes")+IF(OR(OR(Settings!$B$60="",Settings!$F$60="No"),Settings!$H$60&lt;&gt;"Yes"),0,Settings!$B$60*IF(AND(IF(Settings!$C$60="",$B160,DATE(YEAR($A160),MONTH($A160),MIN(Settings!$C$60,DAY($B160))))&gt;=MAX($A160,Settings!$D$60),IF(Settings!$C$60="",$B160,DATE(YEAR($A160),MONTH($A160),MIN(Settings!$C$60,DAY($B160))))&lt;=MIN($C160,IF(Settings!$E$60="",$C160,Settings!$E$60))),1,0))+IF(OR(OR(Settings!$B$61="",Settings!$F$61="No"),Settings!$H$61&lt;&gt;"Yes"),0,Settings!$B$61*IF(AND(IF(Settings!$C$61="",$B160,DATE(YEAR($A160),MONTH($A160),MIN(Settings!$C$61,DAY($B160))))&gt;=MAX($A160,Settings!$D$61),IF(Settings!$C$61="",$B160,DATE(YEAR($A160),MONTH($A160),MIN(Settings!$C$61,DAY($B160))))&lt;=MIN($C160,IF(Settings!$E$61="",$C160,Settings!$E$61))),1,0))+IF(OR(OR(Settings!$B$62="",Settings!$F$62="No"),Settings!$H$62&lt;&gt;"Yes"),0,Settings!$B$62*IF(AND(IF(Settings!$C$62="",$B160,DATE(YEAR($A160),MONTH($A160),MIN(Settings!$C$62,DAY($B160))))&gt;=MAX($A160,Settings!$D$62),IF(Settings!$C$62="",$B160,DATE(YEAR($A160),MONTH($A160),MIN(Settings!$C$62,DAY($B160))))&lt;=MIN($C160,IF(Settings!$E$62="",$C160,Settings!$E$62))),1,0))+IF(OR(OR(Settings!$B$63="",Settings!$F$63="No"),Settings!$H$63&lt;&gt;"Yes"),0,Settings!$B$63*IF(AND(IF(Settings!$C$63="",$B160,DATE(YEAR($A160),MONTH($A160),MIN(Settings!$C$63,DAY($B160))))&gt;=MAX($A160,Settings!$D$63),IF(Settings!$C$63="",$B160,DATE(YEAR($A160),MONTH($A160),MIN(Settings!$C$63,DAY($B160))))&lt;=MIN($C160,IF(Settings!$E$63="",$C160,Settings!$E$63))),1,0))+IF(OR(OR(Settings!$B$64="",Settings!$F$64="No"),Settings!$H$64&lt;&gt;"Yes"),0,Settings!$B$64*IF(AND(IF(Settings!$C$64="",$B160,DATE(YEAR($A160),MONTH($A160),MIN(Settings!$C$64,DAY($B160))))&gt;=MAX($A160,Settings!$D$64),IF(Settings!$C$64="",$B160,DATE(YEAR($A160),MONTH($A160),MIN(Settings!$C$64,DAY($B160))))&lt;=MIN($C160,IF(Settings!$E$64="",$C160,Settings!$E$64))),1,0))+IF(OR(OR(Settings!$B$65="",Settings!$F$65="No"),Settings!$H$65&lt;&gt;"Yes"),0,Settings!$B$65*IF(AND(IF(Settings!$C$65="",$B160,DATE(YEAR($A160),MONTH($A160),MIN(Settings!$C$65,DAY($B160))))&gt;=MAX($A160,Settings!$D$65),IF(Settings!$C$65="",$B160,DATE(YEAR($A160),MONTH($A160),MIN(Settings!$C$65,DAY($B160))))&lt;=MIN($C160,IF(Settings!$E$65="",$C160,Settings!$E$65))),1,0))</f>
        <v/>
      </c>
      <c r="FI160">
        <f>IF($DT160=1,IF(OR(Settings!$B$19="Card",Settings!$B$19="Loan"),N($AE160),0)+IF(OR(Settings!$B$20="Card",Settings!$B$20="Loan"),N($AF160),0)+IF(OR(Settings!$B$21="Card",Settings!$B$21="Loan"),N($AG160),0)+IF(OR(Settings!$B$22="Card",Settings!$B$22="Loan"),N($AH160),0)+IF(OR(Settings!$B$23="Card",Settings!$B$23="Loan"),N($AI160),0)+IF(OR(Settings!$B$24="Card",Settings!$B$24="Loan"),N($AJ160),0)+IF(OR(Settings!$B$25="Card",Settings!$B$25="Loan"),N($AK160),0)+IF(OR(Settings!$B$26="Card",Settings!$B$26="Loan"),N($AL160),0)+IF(OR(Settings!$B$27="Card",Settings!$B$27="Loan"),N($AM160),0)+IF(OR(Settings!$B$28="Card",Settings!$B$28="Loan"),N($AN160),0)+IF(OR(Settings!$B$29="Card",Settings!$B$29="Loan"),N($AO160),0)+IF(OR(Settings!$B$30="Card",Settings!$B$30="Loan"),N($AP160),0)+IF(OR(Settings!$B$31="Card",Settings!$B$31="Loan"),N($AQ160),0)+IF(OR(Settings!$B$32="Card",Settings!$B$32="Loan"),N($AR160),0),"")</f>
        <v/>
      </c>
      <c r="FJ160">
        <f>IF($E160="open",$EB$65,IF($E160="post",IF($E159="pre",$EB$65,$FI159),""))</f>
        <v/>
      </c>
      <c r="FK160">
        <f>IF(AND($DT160=1,$DC160=1),IF(ROUND($FI160-$FJ160,2)&gt;0,1,0),0)</f>
        <v/>
      </c>
      <c r="FL160">
        <f>IF($FK160=1,$FL159+1,0)</f>
        <v/>
      </c>
    </row>
    <row r="161">
      <c r="A161">
        <f>'Month-End'!$FB$4</f>
        <v/>
      </c>
      <c r="B161">
        <f>EOMONTH($A161,0)</f>
        <v/>
      </c>
      <c r="C161">
        <f>MIN($B161,TODAY())</f>
        <v/>
      </c>
      <c r="D161">
        <f>IF($A161&gt;TODAY(),1,0)</f>
        <v/>
      </c>
      <c r="E161">
        <f>IF($B161&lt;=Settings!$B$5,"pre",IF($A161&lt;=Settings!$B$5,"open","post"))</f>
        <v/>
      </c>
      <c r="G161">
        <f>IF('Month-End'!$FB$22="",$BE161,N('Month-End'!$FB$22))</f>
        <v/>
      </c>
      <c r="H161">
        <f>IF('Month-End'!$FB$23="",$BF161,N('Month-End'!$FB$23))</f>
        <v/>
      </c>
      <c r="I161">
        <f>IF('Month-End'!$FB$24="",$BG161,N('Month-End'!$FB$24))</f>
        <v/>
      </c>
      <c r="J161">
        <f>IF('Month-End'!$FB$25="",$BH161,N('Month-End'!$FB$25))</f>
        <v/>
      </c>
      <c r="K161">
        <f>IF('Month-End'!$FB$26="",$BI161,N('Month-End'!$FB$26))</f>
        <v/>
      </c>
      <c r="L161">
        <f>IF('Month-End'!$FB$27="",$BJ161,N('Month-End'!$FB$27))</f>
        <v/>
      </c>
      <c r="M161">
        <f>IF('Month-End'!$FB$28="",$BK161,N('Month-End'!$FB$28))</f>
        <v/>
      </c>
      <c r="N161">
        <f>IF('Month-End'!$FB$29="",$BL161,N('Month-End'!$FB$29))</f>
        <v/>
      </c>
      <c r="O161">
        <f>IF('Month-End'!$FB$30="",$BM161,N('Month-End'!$FB$30))</f>
        <v/>
      </c>
      <c r="P161">
        <f>IF('Month-End'!$FB$31="",$BN161,N('Month-End'!$FB$31))</f>
        <v/>
      </c>
      <c r="Q161">
        <f>IF('Month-End'!$FB$32="",$BO161,N('Month-End'!$FB$32))</f>
        <v/>
      </c>
      <c r="R161">
        <f>IF('Month-End'!$FB$33="",$BP161,N('Month-End'!$FB$33))</f>
        <v/>
      </c>
      <c r="S161">
        <f>$G161+$H161+$I161+$J161+$K161+$L161+$M161+$N161+$O161+$P161+$Q161+$R161</f>
        <v/>
      </c>
      <c r="T161">
        <f>IF($B161&lt;Settings!$B$6,0,IF(Settings!$B$45="Yes",$G161,0)+IF(Settings!$B$46="Yes",$H161,0)+IF(Settings!$B$47="Yes",$I161,0)+IF(Settings!$B$48="Yes",$J161,0)+IF(Settings!$B$49="Yes",$K161,0)+IF(Settings!$B$50="Yes",$L161,0)+IF(Settings!$B$51="Yes",$M161,0)+IF(Settings!$B$52="Yes",$N161,0)+IF(Settings!$B$53="Yes",$O161,0)+IF(Settings!$B$54="Yes",$P161,0)+IF(Settings!$B$55="Yes",$Q161,0)+IF(Settings!$B$56="Yes",$R161,0))</f>
        <v/>
      </c>
      <c r="U161">
        <f>IF(Settings!$B$45="Not Sure",$G161,0)+IF(Settings!$B$46="Not Sure",$H161,0)+IF(Settings!$B$47="Not Sure",$I161,0)+IF(Settings!$B$48="Not Sure",$J161,0)+IF(Settings!$B$49="Not Sure",$K161,0)+IF(Settings!$B$50="Not Sure",$L161,0)+IF(Settings!$B$51="Not Sure",$M161,0)+IF(Settings!$B$52="Not Sure",$N161,0)+IF(Settings!$B$53="Not Sure",$O161,0)+IF(Settings!$B$54="Not Sure",$P161,0)+IF(Settings!$B$55="Not Sure",$Q161,0)+IF(Settings!$B$56="Not Sure",$R161,0)</f>
        <v/>
      </c>
      <c r="V161">
        <f>IF($E161="open",SUM($ET161:$FE161)+N(Settings!$B$13),0)</f>
        <v/>
      </c>
      <c r="W161">
        <f>IF($E161="post",$S161,IF($E161="open",$S161-$V161,0))</f>
        <v/>
      </c>
      <c r="X161">
        <f>SUMIFS(Giving!$B$7:$B$2006,Giving!$A$7:$A$2006,"&gt;="&amp;$A161,Giving!$A$7:$A$2006,"&lt;="&amp;$B161,Giving!$E$7:$E$2006,"&lt;&gt;No")</f>
        <v/>
      </c>
      <c r="Y161">
        <f>SUMIFS(Giving!$B$7:$B$2006,Giving!$A$7:$A$2006,"&gt;="&amp;$A161,Giving!$A$7:$A$2006,"&lt;="&amp;$B161,Giving!$E$7:$E$2006,"No")</f>
        <v/>
      </c>
      <c r="Z161">
        <f>IF(OR(Settings!$B$60="",Settings!$F$60="No"),0,Settings!$B$60*IF(AND(IF(Settings!$C$60="",$B161,DATE(YEAR($A161),MONTH($A161),MIN(Settings!$C$60,DAY($B161))))&gt;=MAX($A161,Settings!$D$60),IF(Settings!$C$60="",$B161,DATE(YEAR($A161),MONTH($A161),MIN(Settings!$C$60,DAY($B161))))&lt;=MIN($C161,IF(Settings!$E$60="",$C161,Settings!$E$60))),1,0))+IF(OR(Settings!$B$61="",Settings!$F$61="No"),0,Settings!$B$61*IF(AND(IF(Settings!$C$61="",$B161,DATE(YEAR($A161),MONTH($A161),MIN(Settings!$C$61,DAY($B161))))&gt;=MAX($A161,Settings!$D$61),IF(Settings!$C$61="",$B161,DATE(YEAR($A161),MONTH($A161),MIN(Settings!$C$61,DAY($B161))))&lt;=MIN($C161,IF(Settings!$E$61="",$C161,Settings!$E$61))),1,0))+IF(OR(Settings!$B$62="",Settings!$F$62="No"),0,Settings!$B$62*IF(AND(IF(Settings!$C$62="",$B161,DATE(YEAR($A161),MONTH($A161),MIN(Settings!$C$62,DAY($B161))))&gt;=MAX($A161,Settings!$D$62),IF(Settings!$C$62="",$B161,DATE(YEAR($A161),MONTH($A161),MIN(Settings!$C$62,DAY($B161))))&lt;=MIN($C161,IF(Settings!$E$62="",$C161,Settings!$E$62))),1,0))+IF(OR(Settings!$B$63="",Settings!$F$63="No"),0,Settings!$B$63*IF(AND(IF(Settings!$C$63="",$B161,DATE(YEAR($A161),MONTH($A161),MIN(Settings!$C$63,DAY($B161))))&gt;=MAX($A161,Settings!$D$63),IF(Settings!$C$63="",$B161,DATE(YEAR($A161),MONTH($A161),MIN(Settings!$C$63,DAY($B161))))&lt;=MIN($C161,IF(Settings!$E$63="",$C161,Settings!$E$63))),1,0))+IF(OR(Settings!$B$64="",Settings!$F$64="No"),0,Settings!$B$64*IF(AND(IF(Settings!$C$64="",$B161,DATE(YEAR($A161),MONTH($A161),MIN(Settings!$C$64,DAY($B161))))&gt;=MAX($A161,Settings!$D$64),IF(Settings!$C$64="",$B161,DATE(YEAR($A161),MONTH($A161),MIN(Settings!$C$64,DAY($B161))))&lt;=MIN($C161,IF(Settings!$E$64="",$C161,Settings!$E$64))),1,0))+IF(OR(Settings!$B$65="",Settings!$F$65="No"),0,Settings!$B$65*IF(AND(IF(Settings!$C$65="",$B161,DATE(YEAR($A161),MONTH($A161),MIN(Settings!$C$65,DAY($B161))))&gt;=MAX($A161,Settings!$D$65),IF(Settings!$C$65="",$B161,DATE(YEAR($A161),MONTH($A161),MIN(Settings!$C$65,DAY($B161))))&lt;=MIN($C161,IF(Settings!$E$65="",$C161,Settings!$E$65))),1,0))</f>
        <v/>
      </c>
      <c r="AA161">
        <f>$X161+$Z161</f>
        <v/>
      </c>
      <c r="AB161">
        <f>IF($E161="post",$AA161,IF($E161="open",SUMIFS(Giving!$B$7:$B$2006,Giving!$A$7:$A$2006,"&gt;"&amp;Settings!$B$5,Giving!$A$7:$A$2006,"&lt;="&amp;$B161,Giving!$E$7:$E$2006,"&lt;&gt;No")+IF(OR(Settings!$B$60="",Settings!$F$60="No"),0,Settings!$B$60*IF(AND(IF(Settings!$C$60="",$B161,DATE(YEAR($A161),MONTH($A161),MIN(Settings!$C$60,DAY($B161))))&gt;=MAX($A161,Settings!$D$60,Settings!$B$5+1),IF(Settings!$C$60="",$B161,DATE(YEAR($A161),MONTH($A161),MIN(Settings!$C$60,DAY($B161))))&lt;=MIN($C161,IF(Settings!$E$60="",$C161,Settings!$E$60))),1,0))+IF(OR(Settings!$B$61="",Settings!$F$61="No"),0,Settings!$B$61*IF(AND(IF(Settings!$C$61="",$B161,DATE(YEAR($A161),MONTH($A161),MIN(Settings!$C$61,DAY($B161))))&gt;=MAX($A161,Settings!$D$61,Settings!$B$5+1),IF(Settings!$C$61="",$B161,DATE(YEAR($A161),MONTH($A161),MIN(Settings!$C$61,DAY($B161))))&lt;=MIN($C161,IF(Settings!$E$61="",$C161,Settings!$E$61))),1,0))+IF(OR(Settings!$B$62="",Settings!$F$62="No"),0,Settings!$B$62*IF(AND(IF(Settings!$C$62="",$B161,DATE(YEAR($A161),MONTH($A161),MIN(Settings!$C$62,DAY($B161))))&gt;=MAX($A161,Settings!$D$62,Settings!$B$5+1),IF(Settings!$C$62="",$B161,DATE(YEAR($A161),MONTH($A161),MIN(Settings!$C$62,DAY($B161))))&lt;=MIN($C161,IF(Settings!$E$62="",$C161,Settings!$E$62))),1,0))+IF(OR(Settings!$B$63="",Settings!$F$63="No"),0,Settings!$B$63*IF(AND(IF(Settings!$C$63="",$B161,DATE(YEAR($A161),MONTH($A161),MIN(Settings!$C$63,DAY($B161))))&gt;=MAX($A161,Settings!$D$63,Settings!$B$5+1),IF(Settings!$C$63="",$B161,DATE(YEAR($A161),MONTH($A161),MIN(Settings!$C$63,DAY($B161))))&lt;=MIN($C161,IF(Settings!$E$63="",$C161,Settings!$E$63))),1,0))+IF(OR(Settings!$B$64="",Settings!$F$64="No"),0,Settings!$B$64*IF(AND(IF(Settings!$C$64="",$B161,DATE(YEAR($A161),MONTH($A161),MIN(Settings!$C$64,DAY($B161))))&gt;=MAX($A161,Settings!$D$64,Settings!$B$5+1),IF(Settings!$C$64="",$B161,DATE(YEAR($A161),MONTH($A161),MIN(Settings!$C$64,DAY($B161))))&lt;=MIN($C161,IF(Settings!$E$64="",$C161,Settings!$E$64))),1,0))+IF(OR(Settings!$B$65="",Settings!$F$65="No"),0,Settings!$B$65*IF(AND(IF(Settings!$C$65="",$B161,DATE(YEAR($A161),MONTH($A161),MIN(Settings!$C$65,DAY($B161))))&gt;=MAX($A161,Settings!$D$65,Settings!$B$5+1),IF(Settings!$C$65="",$B161,DATE(YEAR($A161),MONTH($A161),MIN(Settings!$C$65,DAY($B161))))&lt;=MIN($C161,IF(Settings!$E$65="",$C161,Settings!$E$65))),1,0)),0))</f>
        <v/>
      </c>
      <c r="AC161">
        <f>$AY161+$AZ161+$BA161+$BB161+$BC161+$BD161</f>
        <v/>
      </c>
      <c r="AD161">
        <f>$AC161</f>
        <v/>
      </c>
      <c r="AE161">
        <f>IF(OR(Settings!$A$19="",$E161="pre"),"",IF(AND('Month-End'!$FB$7&lt;&gt;"",NOT(_xlfn.ISFORMULA('Month-End'!$FB$7))),N('Month-End'!$FB$7),IF(OR($E161="open",$E160="pre"),N(Settings!$C$19),N($AE160))))</f>
        <v/>
      </c>
      <c r="AF161">
        <f>IF(OR(Settings!$A$20="",$E161="pre"),"",IF(AND('Month-End'!$FB$8&lt;&gt;"",NOT(_xlfn.ISFORMULA('Month-End'!$FB$8))),N('Month-End'!$FB$8),IF(OR($E161="open",$E160="pre"),N(Settings!$C$20),N($AF160))))</f>
        <v/>
      </c>
      <c r="AG161">
        <f>IF(OR(Settings!$A$21="",$E161="pre"),"",IF(AND('Month-End'!$FB$9&lt;&gt;"",NOT(_xlfn.ISFORMULA('Month-End'!$FB$9))),N('Month-End'!$FB$9),IF(OR($E161="open",$E160="pre"),N(Settings!$C$21),N($AG160))))</f>
        <v/>
      </c>
      <c r="AH161">
        <f>IF(OR(Settings!$A$22="",$E161="pre"),"",IF(AND('Month-End'!$FB$10&lt;&gt;"",NOT(_xlfn.ISFORMULA('Month-End'!$FB$10))),N('Month-End'!$FB$10),IF(OR($E161="open",$E160="pre"),N(Settings!$C$22),N($AH160))))</f>
        <v/>
      </c>
      <c r="AI161">
        <f>IF(OR(Settings!$A$23="",$E161="pre"),"",IF(AND('Month-End'!$FB$11&lt;&gt;"",NOT(_xlfn.ISFORMULA('Month-End'!$FB$11))),N('Month-End'!$FB$11),IF(OR($E161="open",$E160="pre"),N(Settings!$C$23),N($AI160))))</f>
        <v/>
      </c>
      <c r="AJ161">
        <f>IF(OR(Settings!$A$24="",$E161="pre"),"",IF(AND('Month-End'!$FB$12&lt;&gt;"",NOT(_xlfn.ISFORMULA('Month-End'!$FB$12))),N('Month-End'!$FB$12),IF(OR($E161="open",$E160="pre"),N(Settings!$C$24),N($AJ160))))</f>
        <v/>
      </c>
      <c r="AK161">
        <f>IF(OR(Settings!$A$25="",$E161="pre"),"",IF(AND('Month-End'!$FB$13&lt;&gt;"",NOT(_xlfn.ISFORMULA('Month-End'!$FB$13))),N('Month-End'!$FB$13),IF(OR($E161="open",$E160="pre"),N(Settings!$C$25),N($AK160))))</f>
        <v/>
      </c>
      <c r="AL161">
        <f>IF(OR(Settings!$A$26="",$E161="pre"),"",IF(AND('Month-End'!$FB$14&lt;&gt;"",NOT(_xlfn.ISFORMULA('Month-End'!$FB$14))),N('Month-End'!$FB$14),IF(OR($E161="open",$E160="pre"),N(Settings!$C$26),N($AL160))))</f>
        <v/>
      </c>
      <c r="AM161">
        <f>IF(OR(Settings!$A$27="",$E161="pre"),"",IF(AND('Month-End'!$FB$15&lt;&gt;"",NOT(_xlfn.ISFORMULA('Month-End'!$FB$15))),N('Month-End'!$FB$15),IF(OR($E161="open",$E160="pre"),N(Settings!$C$27),N($AM160))))</f>
        <v/>
      </c>
      <c r="AN161">
        <f>IF(OR(Settings!$A$28="",$E161="pre"),"",IF(AND('Month-End'!$FB$16&lt;&gt;"",NOT(_xlfn.ISFORMULA('Month-End'!$FB$16))),N('Month-End'!$FB$16),IF(OR($E161="open",$E160="pre"),N(Settings!$C$28),N($AN160))))</f>
        <v/>
      </c>
      <c r="AO161">
        <f>IF(OR(Settings!$A$29="",$E161="pre"),"",IF(AND('Month-End'!$FB$17&lt;&gt;"",NOT(_xlfn.ISFORMULA('Month-End'!$FB$17))),N('Month-End'!$FB$17),IF(OR($E161="open",$E160="pre"),N(Settings!$C$29),N($AO160))))</f>
        <v/>
      </c>
      <c r="AP161">
        <f>IF(OR(Settings!$A$30="",$E161="pre"),"",IF(AND('Month-End'!$FB$18&lt;&gt;"",NOT(_xlfn.ISFORMULA('Month-End'!$FB$18))),N('Month-End'!$FB$18),IF(OR($E161="open",$E160="pre"),N(Settings!$C$30),N($AP160))))</f>
        <v/>
      </c>
      <c r="AQ161">
        <f>IF(OR(Settings!$A$31="",$E161="pre"),"",IF(AND('Month-End'!$FB$19&lt;&gt;"",NOT(_xlfn.ISFORMULA('Month-End'!$FB$19))),N('Month-End'!$FB$19),IF(OR($E161="open",$E160="pre"),N(Settings!$C$31),N($AQ160))))</f>
        <v/>
      </c>
      <c r="AR161">
        <f>IF(OR(Settings!$A$32="",$E161="pre"),"",IF(AND('Month-End'!$FB$20&lt;&gt;"",NOT(_xlfn.ISFORMULA('Month-End'!$FB$20))),N('Month-End'!$FB$20),IF(OR($E161="open",$E160="pre"),N(Settings!$C$32),N($AR160))))</f>
        <v/>
      </c>
      <c r="AS161">
        <f>IF(OR(Settings!$A$36="",$E161="pre"),"",IF(AND('Month-End'!$FB$38&lt;&gt;"",NOT(_xlfn.ISFORMULA('Month-End'!$FB$38))),N('Month-End'!$FB$38),IF(OR($E161="open",$E160="pre"),N(Settings!$C$36),N($AS160))+$AY161))</f>
        <v/>
      </c>
      <c r="AT161">
        <f>IF(OR(Settings!$A$37="",$E161="pre"),"",IF(AND('Month-End'!$FB$39&lt;&gt;"",NOT(_xlfn.ISFORMULA('Month-End'!$FB$39))),N('Month-End'!$FB$39),IF(OR($E161="open",$E160="pre"),N(Settings!$C$37),N($AT160))+$AZ161))</f>
        <v/>
      </c>
      <c r="AU161">
        <f>IF(OR(Settings!$A$38="",$E161="pre"),"",IF(AND('Month-End'!$FB$40&lt;&gt;"",NOT(_xlfn.ISFORMULA('Month-End'!$FB$40))),N('Month-End'!$FB$40),IF(OR($E161="open",$E160="pre"),N(Settings!$C$38),N($AU160))+$BA161))</f>
        <v/>
      </c>
      <c r="AV161">
        <f>IF(OR(Settings!$A$39="",$E161="pre"),"",IF(AND('Month-End'!$FB$41&lt;&gt;"",NOT(_xlfn.ISFORMULA('Month-End'!$FB$41))),N('Month-End'!$FB$41),IF(OR($E161="open",$E160="pre"),N(Settings!$C$39),N($AV160))+$BB161))</f>
        <v/>
      </c>
      <c r="AW161">
        <f>IF(OR(Settings!$A$40="",$E161="pre"),"",IF(AND('Month-End'!$FB$42&lt;&gt;"",NOT(_xlfn.ISFORMULA('Month-End'!$FB$42))),N('Month-End'!$FB$42),IF(OR($E161="open",$E160="pre"),N(Settings!$C$40),N($AW160))+$BC161))</f>
        <v/>
      </c>
      <c r="AX161">
        <f>IF(OR(Settings!$A$41="",$E161="pre"),"",IF(AND('Month-End'!$FB$43&lt;&gt;"",NOT(_xlfn.ISFORMULA('Month-End'!$FB$43))),N('Month-End'!$FB$43),IF(OR($E161="open",$E160="pre"),N(Settings!$C$41),N($AX160))+$BD161))</f>
        <v/>
      </c>
      <c r="AY161">
        <f>IF($E161="pre",0,N('Month-End'!$FB$45))</f>
        <v/>
      </c>
      <c r="AZ161">
        <f>IF($E161="pre",0,N('Month-End'!$FB$46))</f>
        <v/>
      </c>
      <c r="BA161">
        <f>IF($E161="pre",0,N('Month-End'!$FB$47))</f>
        <v/>
      </c>
      <c r="BB161">
        <f>IF($E161="pre",0,N('Month-End'!$FB$48))</f>
        <v/>
      </c>
      <c r="BC161">
        <f>IF($E161="pre",0,N('Month-End'!$FB$49))</f>
        <v/>
      </c>
      <c r="BD161">
        <f>IF($E161="pre",0,N('Month-End'!$FB$50))</f>
        <v/>
      </c>
      <c r="BE161">
        <f>IF(OR(Settings!$C$45="",Settings!$D$45=""),0,Settings!$C$45*IF(Settings!$D$45="Weekly",IF(IFERROR(MATCH(Settings!$E$45,$EO$4:$EO$10,0),0)=0,0,IF(MIN($C161,IF(Settings!$G$45="",$C161,Settings!$G$45))&lt;MAX($A161,Settings!$F$45),0,INT((MIN($C161,IF(Settings!$G$45="",$C161,Settings!$G$45))-MAX($A161,Settings!$F$45)-MOD(IFERROR(MATCH(Settings!$E$45,$EO$4:$EO$10,0),0)-WEEKDAY(MAX($A161,Settings!$F$45)),7))/7)+1)),IF(AND(IF(Settings!$E$45="",$B161,DATE(YEAR($A161),MONTH($A161),MIN(Settings!$E$45,DAY($B161))))&gt;=MAX($A161,Settings!$F$45),IF(Settings!$E$45="",$B161,DATE(YEAR($A161),MONTH($A161),MIN(Settings!$E$45,DAY($B161))))&lt;=MIN($C161,IF(Settings!$G$45="",$C161,Settings!$G$45))),1,0)))</f>
        <v/>
      </c>
      <c r="BF161">
        <f>IF(OR(Settings!$C$46="",Settings!$D$46=""),0,Settings!$C$46*IF(Settings!$D$46="Weekly",IF(IFERROR(MATCH(Settings!$E$46,$EO$4:$EO$10,0),0)=0,0,IF(MIN($C161,IF(Settings!$G$46="",$C161,Settings!$G$46))&lt;MAX($A161,Settings!$F$46),0,INT((MIN($C161,IF(Settings!$G$46="",$C161,Settings!$G$46))-MAX($A161,Settings!$F$46)-MOD(IFERROR(MATCH(Settings!$E$46,$EO$4:$EO$10,0),0)-WEEKDAY(MAX($A161,Settings!$F$46)),7))/7)+1)),IF(AND(IF(Settings!$E$46="",$B161,DATE(YEAR($A161),MONTH($A161),MIN(Settings!$E$46,DAY($B161))))&gt;=MAX($A161,Settings!$F$46),IF(Settings!$E$46="",$B161,DATE(YEAR($A161),MONTH($A161),MIN(Settings!$E$46,DAY($B161))))&lt;=MIN($C161,IF(Settings!$G$46="",$C161,Settings!$G$46))),1,0)))</f>
        <v/>
      </c>
      <c r="BG161">
        <f>IF(OR(Settings!$C$47="",Settings!$D$47=""),0,Settings!$C$47*IF(Settings!$D$47="Weekly",IF(IFERROR(MATCH(Settings!$E$47,$EO$4:$EO$10,0),0)=0,0,IF(MIN($C161,IF(Settings!$G$47="",$C161,Settings!$G$47))&lt;MAX($A161,Settings!$F$47),0,INT((MIN($C161,IF(Settings!$G$47="",$C161,Settings!$G$47))-MAX($A161,Settings!$F$47)-MOD(IFERROR(MATCH(Settings!$E$47,$EO$4:$EO$10,0),0)-WEEKDAY(MAX($A161,Settings!$F$47)),7))/7)+1)),IF(AND(IF(Settings!$E$47="",$B161,DATE(YEAR($A161),MONTH($A161),MIN(Settings!$E$47,DAY($B161))))&gt;=MAX($A161,Settings!$F$47),IF(Settings!$E$47="",$B161,DATE(YEAR($A161),MONTH($A161),MIN(Settings!$E$47,DAY($B161))))&lt;=MIN($C161,IF(Settings!$G$47="",$C161,Settings!$G$47))),1,0)))</f>
        <v/>
      </c>
      <c r="BH161">
        <f>IF(OR(Settings!$C$48="",Settings!$D$48=""),0,Settings!$C$48*IF(Settings!$D$48="Weekly",IF(IFERROR(MATCH(Settings!$E$48,$EO$4:$EO$10,0),0)=0,0,IF(MIN($C161,IF(Settings!$G$48="",$C161,Settings!$G$48))&lt;MAX($A161,Settings!$F$48),0,INT((MIN($C161,IF(Settings!$G$48="",$C161,Settings!$G$48))-MAX($A161,Settings!$F$48)-MOD(IFERROR(MATCH(Settings!$E$48,$EO$4:$EO$10,0),0)-WEEKDAY(MAX($A161,Settings!$F$48)),7))/7)+1)),IF(AND(IF(Settings!$E$48="",$B161,DATE(YEAR($A161),MONTH($A161),MIN(Settings!$E$48,DAY($B161))))&gt;=MAX($A161,Settings!$F$48),IF(Settings!$E$48="",$B161,DATE(YEAR($A161),MONTH($A161),MIN(Settings!$E$48,DAY($B161))))&lt;=MIN($C161,IF(Settings!$G$48="",$C161,Settings!$G$48))),1,0)))</f>
        <v/>
      </c>
      <c r="BI161">
        <f>IF(OR(Settings!$C$49="",Settings!$D$49=""),0,Settings!$C$49*IF(Settings!$D$49="Weekly",IF(IFERROR(MATCH(Settings!$E$49,$EO$4:$EO$10,0),0)=0,0,IF(MIN($C161,IF(Settings!$G$49="",$C161,Settings!$G$49))&lt;MAX($A161,Settings!$F$49),0,INT((MIN($C161,IF(Settings!$G$49="",$C161,Settings!$G$49))-MAX($A161,Settings!$F$49)-MOD(IFERROR(MATCH(Settings!$E$49,$EO$4:$EO$10,0),0)-WEEKDAY(MAX($A161,Settings!$F$49)),7))/7)+1)),IF(AND(IF(Settings!$E$49="",$B161,DATE(YEAR($A161),MONTH($A161),MIN(Settings!$E$49,DAY($B161))))&gt;=MAX($A161,Settings!$F$49),IF(Settings!$E$49="",$B161,DATE(YEAR($A161),MONTH($A161),MIN(Settings!$E$49,DAY($B161))))&lt;=MIN($C161,IF(Settings!$G$49="",$C161,Settings!$G$49))),1,0)))</f>
        <v/>
      </c>
      <c r="BJ161">
        <f>IF(OR(Settings!$C$50="",Settings!$D$50=""),0,Settings!$C$50*IF(Settings!$D$50="Weekly",IF(IFERROR(MATCH(Settings!$E$50,$EO$4:$EO$10,0),0)=0,0,IF(MIN($C161,IF(Settings!$G$50="",$C161,Settings!$G$50))&lt;MAX($A161,Settings!$F$50),0,INT((MIN($C161,IF(Settings!$G$50="",$C161,Settings!$G$50))-MAX($A161,Settings!$F$50)-MOD(IFERROR(MATCH(Settings!$E$50,$EO$4:$EO$10,0),0)-WEEKDAY(MAX($A161,Settings!$F$50)),7))/7)+1)),IF(AND(IF(Settings!$E$50="",$B161,DATE(YEAR($A161),MONTH($A161),MIN(Settings!$E$50,DAY($B161))))&gt;=MAX($A161,Settings!$F$50),IF(Settings!$E$50="",$B161,DATE(YEAR($A161),MONTH($A161),MIN(Settings!$E$50,DAY($B161))))&lt;=MIN($C161,IF(Settings!$G$50="",$C161,Settings!$G$50))),1,0)))</f>
        <v/>
      </c>
      <c r="BK161">
        <f>IF(OR(Settings!$C$51="",Settings!$D$51=""),0,Settings!$C$51*IF(Settings!$D$51="Weekly",IF(IFERROR(MATCH(Settings!$E$51,$EO$4:$EO$10,0),0)=0,0,IF(MIN($C161,IF(Settings!$G$51="",$C161,Settings!$G$51))&lt;MAX($A161,Settings!$F$51),0,INT((MIN($C161,IF(Settings!$G$51="",$C161,Settings!$G$51))-MAX($A161,Settings!$F$51)-MOD(IFERROR(MATCH(Settings!$E$51,$EO$4:$EO$10,0),0)-WEEKDAY(MAX($A161,Settings!$F$51)),7))/7)+1)),IF(AND(IF(Settings!$E$51="",$B161,DATE(YEAR($A161),MONTH($A161),MIN(Settings!$E$51,DAY($B161))))&gt;=MAX($A161,Settings!$F$51),IF(Settings!$E$51="",$B161,DATE(YEAR($A161),MONTH($A161),MIN(Settings!$E$51,DAY($B161))))&lt;=MIN($C161,IF(Settings!$G$51="",$C161,Settings!$G$51))),1,0)))</f>
        <v/>
      </c>
      <c r="BL161">
        <f>IF(OR(Settings!$C$52="",Settings!$D$52=""),0,Settings!$C$52*IF(Settings!$D$52="Weekly",IF(IFERROR(MATCH(Settings!$E$52,$EO$4:$EO$10,0),0)=0,0,IF(MIN($C161,IF(Settings!$G$52="",$C161,Settings!$G$52))&lt;MAX($A161,Settings!$F$52),0,INT((MIN($C161,IF(Settings!$G$52="",$C161,Settings!$G$52))-MAX($A161,Settings!$F$52)-MOD(IFERROR(MATCH(Settings!$E$52,$EO$4:$EO$10,0),0)-WEEKDAY(MAX($A161,Settings!$F$52)),7))/7)+1)),IF(AND(IF(Settings!$E$52="",$B161,DATE(YEAR($A161),MONTH($A161),MIN(Settings!$E$52,DAY($B161))))&gt;=MAX($A161,Settings!$F$52),IF(Settings!$E$52="",$B161,DATE(YEAR($A161),MONTH($A161),MIN(Settings!$E$52,DAY($B161))))&lt;=MIN($C161,IF(Settings!$G$52="",$C161,Settings!$G$52))),1,0)))</f>
        <v/>
      </c>
      <c r="BM161">
        <f>IF(OR(Settings!$C$53="",Settings!$D$53=""),0,Settings!$C$53*IF(Settings!$D$53="Weekly",IF(IFERROR(MATCH(Settings!$E$53,$EO$4:$EO$10,0),0)=0,0,IF(MIN($C161,IF(Settings!$G$53="",$C161,Settings!$G$53))&lt;MAX($A161,Settings!$F$53),0,INT((MIN($C161,IF(Settings!$G$53="",$C161,Settings!$G$53))-MAX($A161,Settings!$F$53)-MOD(IFERROR(MATCH(Settings!$E$53,$EO$4:$EO$10,0),0)-WEEKDAY(MAX($A161,Settings!$F$53)),7))/7)+1)),IF(AND(IF(Settings!$E$53="",$B161,DATE(YEAR($A161),MONTH($A161),MIN(Settings!$E$53,DAY($B161))))&gt;=MAX($A161,Settings!$F$53),IF(Settings!$E$53="",$B161,DATE(YEAR($A161),MONTH($A161),MIN(Settings!$E$53,DAY($B161))))&lt;=MIN($C161,IF(Settings!$G$53="",$C161,Settings!$G$53))),1,0)))</f>
        <v/>
      </c>
      <c r="BN161">
        <f>IF(OR(Settings!$C$54="",Settings!$D$54=""),0,Settings!$C$54*IF(Settings!$D$54="Weekly",IF(IFERROR(MATCH(Settings!$E$54,$EO$4:$EO$10,0),0)=0,0,IF(MIN($C161,IF(Settings!$G$54="",$C161,Settings!$G$54))&lt;MAX($A161,Settings!$F$54),0,INT((MIN($C161,IF(Settings!$G$54="",$C161,Settings!$G$54))-MAX($A161,Settings!$F$54)-MOD(IFERROR(MATCH(Settings!$E$54,$EO$4:$EO$10,0),0)-WEEKDAY(MAX($A161,Settings!$F$54)),7))/7)+1)),IF(AND(IF(Settings!$E$54="",$B161,DATE(YEAR($A161),MONTH($A161),MIN(Settings!$E$54,DAY($B161))))&gt;=MAX($A161,Settings!$F$54),IF(Settings!$E$54="",$B161,DATE(YEAR($A161),MONTH($A161),MIN(Settings!$E$54,DAY($B161))))&lt;=MIN($C161,IF(Settings!$G$54="",$C161,Settings!$G$54))),1,0)))</f>
        <v/>
      </c>
      <c r="BO161">
        <f>IF(OR(Settings!$C$55="",Settings!$D$55=""),0,Settings!$C$55*IF(Settings!$D$55="Weekly",IF(IFERROR(MATCH(Settings!$E$55,$EO$4:$EO$10,0),0)=0,0,IF(MIN($C161,IF(Settings!$G$55="",$C161,Settings!$G$55))&lt;MAX($A161,Settings!$F$55),0,INT((MIN($C161,IF(Settings!$G$55="",$C161,Settings!$G$55))-MAX($A161,Settings!$F$55)-MOD(IFERROR(MATCH(Settings!$E$55,$EO$4:$EO$10,0),0)-WEEKDAY(MAX($A161,Settings!$F$55)),7))/7)+1)),IF(AND(IF(Settings!$E$55="",$B161,DATE(YEAR($A161),MONTH($A161),MIN(Settings!$E$55,DAY($B161))))&gt;=MAX($A161,Settings!$F$55),IF(Settings!$E$55="",$B161,DATE(YEAR($A161),MONTH($A161),MIN(Settings!$E$55,DAY($B161))))&lt;=MIN($C161,IF(Settings!$G$55="",$C161,Settings!$G$55))),1,0)))</f>
        <v/>
      </c>
      <c r="BP161">
        <f>IF(OR(Settings!$C$56="",Settings!$D$56=""),0,Settings!$C$56*IF(Settings!$D$56="Weekly",IF(IFERROR(MATCH(Settings!$E$56,$EO$4:$EO$10,0),0)=0,0,IF(MIN($C161,IF(Settings!$G$56="",$C161,Settings!$G$56))&lt;MAX($A161,Settings!$F$56),0,INT((MIN($C161,IF(Settings!$G$56="",$C161,Settings!$G$56))-MAX($A161,Settings!$F$56)-MOD(IFERROR(MATCH(Settings!$E$56,$EO$4:$EO$10,0),0)-WEEKDAY(MAX($A161,Settings!$F$56)),7))/7)+1)),IF(AND(IF(Settings!$E$56="",$B161,DATE(YEAR($A161),MONTH($A161),MIN(Settings!$E$56,DAY($B161))))&gt;=MAX($A161,Settings!$F$56),IF(Settings!$E$56="",$B161,DATE(YEAR($A161),MONTH($A161),MIN(Settings!$E$56,DAY($B161))))&lt;=MIN($C161,IF(Settings!$G$56="",$C161,Settings!$G$56))),1,0)))</f>
        <v/>
      </c>
      <c r="BQ161">
        <f>IF(OR(Settings!$B$14="",$D161=1,$E161="pre",$A161&lt;IF(Settings!$B$15="",0,Settings!$B$15)),0,Settings!$B$14)</f>
        <v/>
      </c>
      <c r="BR161">
        <f>IF(AND('Month-End'!$FB$7&lt;&gt;"",NOT(_xlfn.ISFORMULA('Month-End'!$FB$7))),1,0)</f>
        <v/>
      </c>
      <c r="BS161">
        <f>IF(AND('Month-End'!$FB$8&lt;&gt;"",NOT(_xlfn.ISFORMULA('Month-End'!$FB$8))),1,0)</f>
        <v/>
      </c>
      <c r="BT161">
        <f>IF(AND('Month-End'!$FB$9&lt;&gt;"",NOT(_xlfn.ISFORMULA('Month-End'!$FB$9))),1,0)</f>
        <v/>
      </c>
      <c r="BU161">
        <f>IF(AND('Month-End'!$FB$10&lt;&gt;"",NOT(_xlfn.ISFORMULA('Month-End'!$FB$10))),1,0)</f>
        <v/>
      </c>
      <c r="BV161">
        <f>IF(AND('Month-End'!$FB$11&lt;&gt;"",NOT(_xlfn.ISFORMULA('Month-End'!$FB$11))),1,0)</f>
        <v/>
      </c>
      <c r="BW161">
        <f>IF(AND('Month-End'!$FB$12&lt;&gt;"",NOT(_xlfn.ISFORMULA('Month-End'!$FB$12))),1,0)</f>
        <v/>
      </c>
      <c r="BX161">
        <f>IF(AND('Month-End'!$FB$13&lt;&gt;"",NOT(_xlfn.ISFORMULA('Month-End'!$FB$13))),1,0)</f>
        <v/>
      </c>
      <c r="BY161">
        <f>IF(AND('Month-End'!$FB$14&lt;&gt;"",NOT(_xlfn.ISFORMULA('Month-End'!$FB$14))),1,0)</f>
        <v/>
      </c>
      <c r="BZ161">
        <f>IF(AND('Month-End'!$FB$15&lt;&gt;"",NOT(_xlfn.ISFORMULA('Month-End'!$FB$15))),1,0)</f>
        <v/>
      </c>
      <c r="CA161">
        <f>IF(AND('Month-End'!$FB$16&lt;&gt;"",NOT(_xlfn.ISFORMULA('Month-End'!$FB$16))),1,0)</f>
        <v/>
      </c>
      <c r="CB161">
        <f>IF(AND('Month-End'!$FB$17&lt;&gt;"",NOT(_xlfn.ISFORMULA('Month-End'!$FB$17))),1,0)</f>
        <v/>
      </c>
      <c r="CC161">
        <f>IF(AND('Month-End'!$FB$18&lt;&gt;"",NOT(_xlfn.ISFORMULA('Month-End'!$FB$18))),1,0)</f>
        <v/>
      </c>
      <c r="CD161">
        <f>IF(AND('Month-End'!$FB$19&lt;&gt;"",NOT(_xlfn.ISFORMULA('Month-End'!$FB$19))),1,0)</f>
        <v/>
      </c>
      <c r="CE161">
        <f>IF(AND('Month-End'!$FB$20&lt;&gt;"",NOT(_xlfn.ISFORMULA('Month-End'!$FB$20))),1,0)</f>
        <v/>
      </c>
      <c r="CF161">
        <f>IF(AND('Month-End'!$FB$38&lt;&gt;"",NOT(_xlfn.ISFORMULA('Month-End'!$FB$38))),1,0)</f>
        <v/>
      </c>
      <c r="CG161">
        <f>IF(AND('Month-End'!$FB$39&lt;&gt;"",NOT(_xlfn.ISFORMULA('Month-End'!$FB$39))),1,0)</f>
        <v/>
      </c>
      <c r="CH161">
        <f>IF(AND('Month-End'!$FB$40&lt;&gt;"",NOT(_xlfn.ISFORMULA('Month-End'!$FB$40))),1,0)</f>
        <v/>
      </c>
      <c r="CI161">
        <f>IF(AND('Month-End'!$FB$41&lt;&gt;"",NOT(_xlfn.ISFORMULA('Month-End'!$FB$41))),1,0)</f>
        <v/>
      </c>
      <c r="CJ161">
        <f>IF(AND('Month-End'!$FB$42&lt;&gt;"",NOT(_xlfn.ISFORMULA('Month-End'!$FB$42))),1,0)</f>
        <v/>
      </c>
      <c r="CK161">
        <f>IF(AND('Month-End'!$FB$43&lt;&gt;"",NOT(_xlfn.ISFORMULA('Month-End'!$FB$43))),1,0)</f>
        <v/>
      </c>
      <c r="CL161">
        <f>SUM($CM161:$CZ161)</f>
        <v/>
      </c>
      <c r="CM161">
        <f>IF(AND($E161&lt;&gt;"pre",AND(Settings!$A$19&lt;&gt;"",Settings!$E$19&lt;&gt;"No"),Settings!$F$19="Yes",NOT(AND('Month-End'!$FB$7&lt;&gt;"",NOT(_xlfn.ISFORMULA('Month-End'!$FB$7))))),1,0)</f>
        <v/>
      </c>
      <c r="CN161">
        <f>IF(AND($E161&lt;&gt;"pre",AND(Settings!$A$20&lt;&gt;"",Settings!$E$20&lt;&gt;"No"),Settings!$F$20="Yes",NOT(AND('Month-End'!$FB$8&lt;&gt;"",NOT(_xlfn.ISFORMULA('Month-End'!$FB$8))))),1,0)</f>
        <v/>
      </c>
      <c r="CO161">
        <f>IF(AND($E161&lt;&gt;"pre",AND(Settings!$A$21&lt;&gt;"",Settings!$E$21&lt;&gt;"No"),Settings!$F$21="Yes",NOT(AND('Month-End'!$FB$9&lt;&gt;"",NOT(_xlfn.ISFORMULA('Month-End'!$FB$9))))),1,0)</f>
        <v/>
      </c>
      <c r="CP161">
        <f>IF(AND($E161&lt;&gt;"pre",AND(Settings!$A$22&lt;&gt;"",Settings!$E$22&lt;&gt;"No"),Settings!$F$22="Yes",NOT(AND('Month-End'!$FB$10&lt;&gt;"",NOT(_xlfn.ISFORMULA('Month-End'!$FB$10))))),1,0)</f>
        <v/>
      </c>
      <c r="CQ161">
        <f>IF(AND($E161&lt;&gt;"pre",AND(Settings!$A$23&lt;&gt;"",Settings!$E$23&lt;&gt;"No"),Settings!$F$23="Yes",NOT(AND('Month-End'!$FB$11&lt;&gt;"",NOT(_xlfn.ISFORMULA('Month-End'!$FB$11))))),1,0)</f>
        <v/>
      </c>
      <c r="CR161">
        <f>IF(AND($E161&lt;&gt;"pre",AND(Settings!$A$24&lt;&gt;"",Settings!$E$24&lt;&gt;"No"),Settings!$F$24="Yes",NOT(AND('Month-End'!$FB$12&lt;&gt;"",NOT(_xlfn.ISFORMULA('Month-End'!$FB$12))))),1,0)</f>
        <v/>
      </c>
      <c r="CS161">
        <f>IF(AND($E161&lt;&gt;"pre",AND(Settings!$A$25&lt;&gt;"",Settings!$E$25&lt;&gt;"No"),Settings!$F$25="Yes",NOT(AND('Month-End'!$FB$13&lt;&gt;"",NOT(_xlfn.ISFORMULA('Month-End'!$FB$13))))),1,0)</f>
        <v/>
      </c>
      <c r="CT161">
        <f>IF(AND($E161&lt;&gt;"pre",AND(Settings!$A$26&lt;&gt;"",Settings!$E$26&lt;&gt;"No"),Settings!$F$26="Yes",NOT(AND('Month-End'!$FB$14&lt;&gt;"",NOT(_xlfn.ISFORMULA('Month-End'!$FB$14))))),1,0)</f>
        <v/>
      </c>
      <c r="CU161">
        <f>IF(AND($E161&lt;&gt;"pre",AND(Settings!$A$27&lt;&gt;"",Settings!$E$27&lt;&gt;"No"),Settings!$F$27="Yes",NOT(AND('Month-End'!$FB$15&lt;&gt;"",NOT(_xlfn.ISFORMULA('Month-End'!$FB$15))))),1,0)</f>
        <v/>
      </c>
      <c r="CV161">
        <f>IF(AND($E161&lt;&gt;"pre",AND(Settings!$A$28&lt;&gt;"",Settings!$E$28&lt;&gt;"No"),Settings!$F$28="Yes",NOT(AND('Month-End'!$FB$16&lt;&gt;"",NOT(_xlfn.ISFORMULA('Month-End'!$FB$16))))),1,0)</f>
        <v/>
      </c>
      <c r="CW161">
        <f>IF(AND($E161&lt;&gt;"pre",AND(Settings!$A$29&lt;&gt;"",Settings!$E$29&lt;&gt;"No"),Settings!$F$29="Yes",NOT(AND('Month-End'!$FB$17&lt;&gt;"",NOT(_xlfn.ISFORMULA('Month-End'!$FB$17))))),1,0)</f>
        <v/>
      </c>
      <c r="CX161">
        <f>IF(AND($E161&lt;&gt;"pre",AND(Settings!$A$30&lt;&gt;"",Settings!$E$30&lt;&gt;"No"),Settings!$F$30="Yes",NOT(AND('Month-End'!$FB$18&lt;&gt;"",NOT(_xlfn.ISFORMULA('Month-End'!$FB$18))))),1,0)</f>
        <v/>
      </c>
      <c r="CY161">
        <f>IF(AND($E161&lt;&gt;"pre",AND(Settings!$A$31&lt;&gt;"",Settings!$E$31&lt;&gt;"No"),Settings!$F$31="Yes",NOT(AND('Month-End'!$FB$19&lt;&gt;"",NOT(_xlfn.ISFORMULA('Month-End'!$FB$19))))),1,0)</f>
        <v/>
      </c>
      <c r="CZ161">
        <f>IF(AND($E161&lt;&gt;"pre",AND(Settings!$A$32&lt;&gt;"",Settings!$E$32&lt;&gt;"No"),Settings!$F$32="Yes",NOT(AND('Month-End'!$FB$20&lt;&gt;"",NOT(_xlfn.ISFORMULA('Month-End'!$FB$20))))),1,0)</f>
        <v/>
      </c>
      <c r="DA161">
        <f>IF($DT161=1,IF(OR(Settings!$B$19="Checking",Settings!$B$19="Savings",Settings!$B$19="Cash"),N($AE161),IF(OR(Settings!$B$19="Card",Settings!$B$19="Loan"),-N($AE161),0))+IF(OR(Settings!$B$20="Checking",Settings!$B$20="Savings",Settings!$B$20="Cash"),N($AF161),IF(OR(Settings!$B$20="Card",Settings!$B$20="Loan"),-N($AF161),0))+IF(OR(Settings!$B$21="Checking",Settings!$B$21="Savings",Settings!$B$21="Cash"),N($AG161),IF(OR(Settings!$B$21="Card",Settings!$B$21="Loan"),-N($AG161),0))+IF(OR(Settings!$B$22="Checking",Settings!$B$22="Savings",Settings!$B$22="Cash"),N($AH161),IF(OR(Settings!$B$22="Card",Settings!$B$22="Loan"),-N($AH161),0))+IF(OR(Settings!$B$23="Checking",Settings!$B$23="Savings",Settings!$B$23="Cash"),N($AI161),IF(OR(Settings!$B$23="Card",Settings!$B$23="Loan"),-N($AI161),0))+IF(OR(Settings!$B$24="Checking",Settings!$B$24="Savings",Settings!$B$24="Cash"),N($AJ161),IF(OR(Settings!$B$24="Card",Settings!$B$24="Loan"),-N($AJ161),0))+IF(OR(Settings!$B$25="Checking",Settings!$B$25="Savings",Settings!$B$25="Cash"),N($AK161),IF(OR(Settings!$B$25="Card",Settings!$B$25="Loan"),-N($AK161),0))+IF(OR(Settings!$B$26="Checking",Settings!$B$26="Savings",Settings!$B$26="Cash"),N($AL161),IF(OR(Settings!$B$26="Card",Settings!$B$26="Loan"),-N($AL161),0))+IF(OR(Settings!$B$27="Checking",Settings!$B$27="Savings",Settings!$B$27="Cash"),N($AM161),IF(OR(Settings!$B$27="Card",Settings!$B$27="Loan"),-N($AM161),0))+IF(OR(Settings!$B$28="Checking",Settings!$B$28="Savings",Settings!$B$28="Cash"),N($AN161),IF(OR(Settings!$B$28="Card",Settings!$B$28="Loan"),-N($AN161),0))+IF(OR(Settings!$B$29="Checking",Settings!$B$29="Savings",Settings!$B$29="Cash"),N($AO161),IF(OR(Settings!$B$29="Card",Settings!$B$29="Loan"),-N($AO161),0))+IF(OR(Settings!$B$30="Checking",Settings!$B$30="Savings",Settings!$B$30="Cash"),N($AP161),IF(OR(Settings!$B$30="Card",Settings!$B$30="Loan"),-N($AP161),0))+IF(OR(Settings!$B$31="Checking",Settings!$B$31="Savings",Settings!$B$31="Cash"),N($AQ161),IF(OR(Settings!$B$31="Card",Settings!$B$31="Loan"),-N($AQ161),0))+IF(OR(Settings!$B$32="Checking",Settings!$B$32="Savings",Settings!$B$32="Cash"),N($AR161),IF(OR(Settings!$B$32="Card",Settings!$B$32="Loan"),-N($AR161),0)),"")</f>
        <v/>
      </c>
      <c r="DB161">
        <f>IF($E161="open",$EB$27,IF($E161="post",IF($E160="pre",$EB$27,$DA160),""))</f>
        <v/>
      </c>
      <c r="DC161">
        <f>IF($E161="open",1,IF($E161="post",IF($E160="pre",1,$DT160),0))</f>
        <v/>
      </c>
      <c r="DD161">
        <f>IF(AND($DT161=1,$DC161=1),ROUND($W161-($DA161-$DB161)-$AD161-$AB161,2),"")</f>
        <v/>
      </c>
      <c r="DE161">
        <f>IF('Month-End'!$FB$35="",$BQ161,N('Month-End'!$FB$35))</f>
        <v/>
      </c>
      <c r="DF161">
        <f>N('Month-End'!$FB$36)</f>
        <v/>
      </c>
      <c r="DG161">
        <f>IF($DD161="","",$DD161+$DE161)</f>
        <v/>
      </c>
      <c r="DH161">
        <f>IF($DG161="","",$DG161-$DF161)</f>
        <v/>
      </c>
      <c r="DI161">
        <f>IF(OR($E161="pre",$D161=1),"",N($AS161)+N($AT161)+N($AU161)+N($AV161)+N($AW161)+N($AX161))</f>
        <v/>
      </c>
      <c r="DJ161">
        <f>IF($DT161=1,$DA161+N($DI161),"")</f>
        <v/>
      </c>
      <c r="DK161">
        <f>IF($DD161="","",$W161-$DD161-$AB161)</f>
        <v/>
      </c>
      <c r="DL161">
        <f>IF(AND($E161="post",$DD161&lt;&gt;"",$B161&lt;TODAY()),1,0)</f>
        <v/>
      </c>
      <c r="DM161">
        <f>IF($DL161=1,COUNTIF($DL161:$DL$183,1),0)</f>
        <v/>
      </c>
      <c r="DN161">
        <f>IF($D161=1,"",IF($E161="pre","History only",IF($DT161=1,IF($DD161="","⚠ Previous month missing",IF($DD161&lt;0,"⚠ Check: spending &lt; 0",IF($E161="open","✓ Done (partial)","✓ Done"))),IF($B161&gt;=TODAY(),"In progress","⚠ Needs balances"))))</f>
        <v/>
      </c>
      <c r="DO161">
        <f>YEAR($A161)</f>
        <v/>
      </c>
      <c r="DP161">
        <f>DATE(YEAR($A161),INT((MONTH($A161)-1)/3)*3+1,1)</f>
        <v/>
      </c>
      <c r="DQ161">
        <f>IF(AND($DT161=1,$DD161&lt;&gt;"",$D161=0),ROW(),0)</f>
        <v/>
      </c>
      <c r="DR161">
        <f>IF(AND($E161&lt;&gt;"pre",$B161&lt;TODAY(),$DT161=0),1,0)</f>
        <v/>
      </c>
      <c r="DS161">
        <f>IF($DJ161="",NA(),$DJ161)</f>
        <v/>
      </c>
      <c r="DT161">
        <f>IF(AND($E161&lt;&gt;"pre",$CL161=0,COUNTIFS(Settings!$F$19:$F$32,"Yes",Settings!$A$19:$A$32,"&lt;&gt;",Settings!$E$19:$E$32,"&lt;&gt;No")&gt;0),1,0)</f>
        <v/>
      </c>
      <c r="DU161">
        <f>IF(AND($B161&lt;TODAY(),$S161&gt;0),1,0)</f>
        <v/>
      </c>
      <c r="DV161">
        <f>IF($DU161=1,COUNTIF($DU161:$DU$183,1),0)</f>
        <v/>
      </c>
      <c r="DW161">
        <f>IF(AND(OR(Settings!$B$19="Card",Settings!$B$19="Loan"),AND('Month-End'!$FB$7&lt;&gt;"",NOT(_xlfn.ISFORMULA('Month-End'!$FB$7)))),IF(N('Month-End'!$FB$7)&lt;0,1,0),0)+IF(AND(OR(Settings!$B$20="Card",Settings!$B$20="Loan"),AND('Month-End'!$FB$8&lt;&gt;"",NOT(_xlfn.ISFORMULA('Month-End'!$FB$8)))),IF(N('Month-End'!$FB$8)&lt;0,1,0),0)+IF(AND(OR(Settings!$B$21="Card",Settings!$B$21="Loan"),AND('Month-End'!$FB$9&lt;&gt;"",NOT(_xlfn.ISFORMULA('Month-End'!$FB$9)))),IF(N('Month-End'!$FB$9)&lt;0,1,0),0)+IF(AND(OR(Settings!$B$22="Card",Settings!$B$22="Loan"),AND('Month-End'!$FB$10&lt;&gt;"",NOT(_xlfn.ISFORMULA('Month-End'!$FB$10)))),IF(N('Month-End'!$FB$10)&lt;0,1,0),0)+IF(AND(OR(Settings!$B$23="Card",Settings!$B$23="Loan"),AND('Month-End'!$FB$11&lt;&gt;"",NOT(_xlfn.ISFORMULA('Month-End'!$FB$11)))),IF(N('Month-End'!$FB$11)&lt;0,1,0),0)+IF(AND(OR(Settings!$B$24="Card",Settings!$B$24="Loan"),AND('Month-End'!$FB$12&lt;&gt;"",NOT(_xlfn.ISFORMULA('Month-End'!$FB$12)))),IF(N('Month-End'!$FB$12)&lt;0,1,0),0)+IF(AND(OR(Settings!$B$25="Card",Settings!$B$25="Loan"),AND('Month-End'!$FB$13&lt;&gt;"",NOT(_xlfn.ISFORMULA('Month-End'!$FB$13)))),IF(N('Month-End'!$FB$13)&lt;0,1,0),0)+IF(AND(OR(Settings!$B$26="Card",Settings!$B$26="Loan"),AND('Month-End'!$FB$14&lt;&gt;"",NOT(_xlfn.ISFORMULA('Month-End'!$FB$14)))),IF(N('Month-End'!$FB$14)&lt;0,1,0),0)+IF(AND(OR(Settings!$B$27="Card",Settings!$B$27="Loan"),AND('Month-End'!$FB$15&lt;&gt;"",NOT(_xlfn.ISFORMULA('Month-End'!$FB$15)))),IF(N('Month-End'!$FB$15)&lt;0,1,0),0)+IF(AND(OR(Settings!$B$28="Card",Settings!$B$28="Loan"),AND('Month-End'!$FB$16&lt;&gt;"",NOT(_xlfn.ISFORMULA('Month-End'!$FB$16)))),IF(N('Month-End'!$FB$16)&lt;0,1,0),0)+IF(AND(OR(Settings!$B$29="Card",Settings!$B$29="Loan"),AND('Month-End'!$FB$17&lt;&gt;"",NOT(_xlfn.ISFORMULA('Month-End'!$FB$17)))),IF(N('Month-End'!$FB$17)&lt;0,1,0),0)+IF(AND(OR(Settings!$B$30="Card",Settings!$B$30="Loan"),AND('Month-End'!$FB$18&lt;&gt;"",NOT(_xlfn.ISFORMULA('Month-End'!$FB$18)))),IF(N('Month-End'!$FB$18)&lt;0,1,0),0)+IF(AND(OR(Settings!$B$31="Card",Settings!$B$31="Loan"),AND('Month-End'!$FB$19&lt;&gt;"",NOT(_xlfn.ISFORMULA('Month-End'!$FB$19)))),IF(N('Month-End'!$FB$19)&lt;0,1,0),0)+IF(AND(OR(Settings!$B$32="Card",Settings!$B$32="Loan"),AND('Month-End'!$FB$20&lt;&gt;"",NOT(_xlfn.ISFORMULA('Month-End'!$FB$20)))),IF(N('Month-End'!$FB$20)&lt;0,1,0),0)</f>
        <v/>
      </c>
      <c r="DX161">
        <f>IF(Settings!$B$36="Retirement",$AY161,0)+IF(Settings!$B$37="Retirement",$AZ161,0)+IF(Settings!$B$38="Retirement",$BA161,0)+IF(Settings!$B$39="Retirement",$BB161,0)+IF(Settings!$B$40="Retirement",$BC161,0)+IF(Settings!$B$41="Retirement",$BD161,0)</f>
        <v/>
      </c>
      <c r="ET161">
        <f>IF($E161&lt;&gt;"open",0,IF(AND('Month-End'!$FB$22&lt;&gt;"",NOT(_xlfn.ISFORMULA('Month-End'!$FB$22))),0,IF(OR(Settings!$C$45="",Settings!$D$45=""),0,Settings!$C$45*IF(Settings!$D$45="Weekly",IF(IFERROR(MATCH(Settings!$E$45,$EO$4:$EO$10,0),0)=0,0,IF(MIN(Settings!$B$5,IF(Settings!$G$45="",Settings!$B$5,Settings!$G$45))&lt;MAX($A161,Settings!$F$45),0,INT((MIN(Settings!$B$5,IF(Settings!$G$45="",Settings!$B$5,Settings!$G$45))-MAX($A161,Settings!$F$45)-MOD(IFERROR(MATCH(Settings!$E$45,$EO$4:$EO$10,0),0)-WEEKDAY(MAX($A161,Settings!$F$45)),7))/7)+1)),IF(AND(IF(Settings!$E$45="",$B161,DATE(YEAR($A161),MONTH($A161),MIN(Settings!$E$45,DAY($B161))))&gt;=MAX($A161,Settings!$F$45),IF(Settings!$E$45="",$B161,DATE(YEAR($A161),MONTH($A161),MIN(Settings!$E$45,DAY($B161))))&lt;=MIN(Settings!$B$5,IF(Settings!$G$45="",Settings!$B$5,Settings!$G$45))),1,0)))))</f>
        <v/>
      </c>
      <c r="EU161">
        <f>IF($E161&lt;&gt;"open",0,IF(AND('Month-End'!$FB$23&lt;&gt;"",NOT(_xlfn.ISFORMULA('Month-End'!$FB$23))),0,IF(OR(Settings!$C$46="",Settings!$D$46=""),0,Settings!$C$46*IF(Settings!$D$46="Weekly",IF(IFERROR(MATCH(Settings!$E$46,$EO$4:$EO$10,0),0)=0,0,IF(MIN(Settings!$B$5,IF(Settings!$G$46="",Settings!$B$5,Settings!$G$46))&lt;MAX($A161,Settings!$F$46),0,INT((MIN(Settings!$B$5,IF(Settings!$G$46="",Settings!$B$5,Settings!$G$46))-MAX($A161,Settings!$F$46)-MOD(IFERROR(MATCH(Settings!$E$46,$EO$4:$EO$10,0),0)-WEEKDAY(MAX($A161,Settings!$F$46)),7))/7)+1)),IF(AND(IF(Settings!$E$46="",$B161,DATE(YEAR($A161),MONTH($A161),MIN(Settings!$E$46,DAY($B161))))&gt;=MAX($A161,Settings!$F$46),IF(Settings!$E$46="",$B161,DATE(YEAR($A161),MONTH($A161),MIN(Settings!$E$46,DAY($B161))))&lt;=MIN(Settings!$B$5,IF(Settings!$G$46="",Settings!$B$5,Settings!$G$46))),1,0)))))</f>
        <v/>
      </c>
      <c r="EV161">
        <f>IF($E161&lt;&gt;"open",0,IF(AND('Month-End'!$FB$24&lt;&gt;"",NOT(_xlfn.ISFORMULA('Month-End'!$FB$24))),0,IF(OR(Settings!$C$47="",Settings!$D$47=""),0,Settings!$C$47*IF(Settings!$D$47="Weekly",IF(IFERROR(MATCH(Settings!$E$47,$EO$4:$EO$10,0),0)=0,0,IF(MIN(Settings!$B$5,IF(Settings!$G$47="",Settings!$B$5,Settings!$G$47))&lt;MAX($A161,Settings!$F$47),0,INT((MIN(Settings!$B$5,IF(Settings!$G$47="",Settings!$B$5,Settings!$G$47))-MAX($A161,Settings!$F$47)-MOD(IFERROR(MATCH(Settings!$E$47,$EO$4:$EO$10,0),0)-WEEKDAY(MAX($A161,Settings!$F$47)),7))/7)+1)),IF(AND(IF(Settings!$E$47="",$B161,DATE(YEAR($A161),MONTH($A161),MIN(Settings!$E$47,DAY($B161))))&gt;=MAX($A161,Settings!$F$47),IF(Settings!$E$47="",$B161,DATE(YEAR($A161),MONTH($A161),MIN(Settings!$E$47,DAY($B161))))&lt;=MIN(Settings!$B$5,IF(Settings!$G$47="",Settings!$B$5,Settings!$G$47))),1,0)))))</f>
        <v/>
      </c>
      <c r="EW161">
        <f>IF($E161&lt;&gt;"open",0,IF(AND('Month-End'!$FB$25&lt;&gt;"",NOT(_xlfn.ISFORMULA('Month-End'!$FB$25))),0,IF(OR(Settings!$C$48="",Settings!$D$48=""),0,Settings!$C$48*IF(Settings!$D$48="Weekly",IF(IFERROR(MATCH(Settings!$E$48,$EO$4:$EO$10,0),0)=0,0,IF(MIN(Settings!$B$5,IF(Settings!$G$48="",Settings!$B$5,Settings!$G$48))&lt;MAX($A161,Settings!$F$48),0,INT((MIN(Settings!$B$5,IF(Settings!$G$48="",Settings!$B$5,Settings!$G$48))-MAX($A161,Settings!$F$48)-MOD(IFERROR(MATCH(Settings!$E$48,$EO$4:$EO$10,0),0)-WEEKDAY(MAX($A161,Settings!$F$48)),7))/7)+1)),IF(AND(IF(Settings!$E$48="",$B161,DATE(YEAR($A161),MONTH($A161),MIN(Settings!$E$48,DAY($B161))))&gt;=MAX($A161,Settings!$F$48),IF(Settings!$E$48="",$B161,DATE(YEAR($A161),MONTH($A161),MIN(Settings!$E$48,DAY($B161))))&lt;=MIN(Settings!$B$5,IF(Settings!$G$48="",Settings!$B$5,Settings!$G$48))),1,0)))))</f>
        <v/>
      </c>
      <c r="EX161">
        <f>IF($E161&lt;&gt;"open",0,IF(AND('Month-End'!$FB$26&lt;&gt;"",NOT(_xlfn.ISFORMULA('Month-End'!$FB$26))),0,IF(OR(Settings!$C$49="",Settings!$D$49=""),0,Settings!$C$49*IF(Settings!$D$49="Weekly",IF(IFERROR(MATCH(Settings!$E$49,$EO$4:$EO$10,0),0)=0,0,IF(MIN(Settings!$B$5,IF(Settings!$G$49="",Settings!$B$5,Settings!$G$49))&lt;MAX($A161,Settings!$F$49),0,INT((MIN(Settings!$B$5,IF(Settings!$G$49="",Settings!$B$5,Settings!$G$49))-MAX($A161,Settings!$F$49)-MOD(IFERROR(MATCH(Settings!$E$49,$EO$4:$EO$10,0),0)-WEEKDAY(MAX($A161,Settings!$F$49)),7))/7)+1)),IF(AND(IF(Settings!$E$49="",$B161,DATE(YEAR($A161),MONTH($A161),MIN(Settings!$E$49,DAY($B161))))&gt;=MAX($A161,Settings!$F$49),IF(Settings!$E$49="",$B161,DATE(YEAR($A161),MONTH($A161),MIN(Settings!$E$49,DAY($B161))))&lt;=MIN(Settings!$B$5,IF(Settings!$G$49="",Settings!$B$5,Settings!$G$49))),1,0)))))</f>
        <v/>
      </c>
      <c r="EY161">
        <f>IF($E161&lt;&gt;"open",0,IF(AND('Month-End'!$FB$27&lt;&gt;"",NOT(_xlfn.ISFORMULA('Month-End'!$FB$27))),0,IF(OR(Settings!$C$50="",Settings!$D$50=""),0,Settings!$C$50*IF(Settings!$D$50="Weekly",IF(IFERROR(MATCH(Settings!$E$50,$EO$4:$EO$10,0),0)=0,0,IF(MIN(Settings!$B$5,IF(Settings!$G$50="",Settings!$B$5,Settings!$G$50))&lt;MAX($A161,Settings!$F$50),0,INT((MIN(Settings!$B$5,IF(Settings!$G$50="",Settings!$B$5,Settings!$G$50))-MAX($A161,Settings!$F$50)-MOD(IFERROR(MATCH(Settings!$E$50,$EO$4:$EO$10,0),0)-WEEKDAY(MAX($A161,Settings!$F$50)),7))/7)+1)),IF(AND(IF(Settings!$E$50="",$B161,DATE(YEAR($A161),MONTH($A161),MIN(Settings!$E$50,DAY($B161))))&gt;=MAX($A161,Settings!$F$50),IF(Settings!$E$50="",$B161,DATE(YEAR($A161),MONTH($A161),MIN(Settings!$E$50,DAY($B161))))&lt;=MIN(Settings!$B$5,IF(Settings!$G$50="",Settings!$B$5,Settings!$G$50))),1,0)))))</f>
        <v/>
      </c>
      <c r="EZ161">
        <f>IF($E161&lt;&gt;"open",0,IF(AND('Month-End'!$FB$28&lt;&gt;"",NOT(_xlfn.ISFORMULA('Month-End'!$FB$28))),0,IF(OR(Settings!$C$51="",Settings!$D$51=""),0,Settings!$C$51*IF(Settings!$D$51="Weekly",IF(IFERROR(MATCH(Settings!$E$51,$EO$4:$EO$10,0),0)=0,0,IF(MIN(Settings!$B$5,IF(Settings!$G$51="",Settings!$B$5,Settings!$G$51))&lt;MAX($A161,Settings!$F$51),0,INT((MIN(Settings!$B$5,IF(Settings!$G$51="",Settings!$B$5,Settings!$G$51))-MAX($A161,Settings!$F$51)-MOD(IFERROR(MATCH(Settings!$E$51,$EO$4:$EO$10,0),0)-WEEKDAY(MAX($A161,Settings!$F$51)),7))/7)+1)),IF(AND(IF(Settings!$E$51="",$B161,DATE(YEAR($A161),MONTH($A161),MIN(Settings!$E$51,DAY($B161))))&gt;=MAX($A161,Settings!$F$51),IF(Settings!$E$51="",$B161,DATE(YEAR($A161),MONTH($A161),MIN(Settings!$E$51,DAY($B161))))&lt;=MIN(Settings!$B$5,IF(Settings!$G$51="",Settings!$B$5,Settings!$G$51))),1,0)))))</f>
        <v/>
      </c>
      <c r="FA161">
        <f>IF($E161&lt;&gt;"open",0,IF(AND('Month-End'!$FB$29&lt;&gt;"",NOT(_xlfn.ISFORMULA('Month-End'!$FB$29))),0,IF(OR(Settings!$C$52="",Settings!$D$52=""),0,Settings!$C$52*IF(Settings!$D$52="Weekly",IF(IFERROR(MATCH(Settings!$E$52,$EO$4:$EO$10,0),0)=0,0,IF(MIN(Settings!$B$5,IF(Settings!$G$52="",Settings!$B$5,Settings!$G$52))&lt;MAX($A161,Settings!$F$52),0,INT((MIN(Settings!$B$5,IF(Settings!$G$52="",Settings!$B$5,Settings!$G$52))-MAX($A161,Settings!$F$52)-MOD(IFERROR(MATCH(Settings!$E$52,$EO$4:$EO$10,0),0)-WEEKDAY(MAX($A161,Settings!$F$52)),7))/7)+1)),IF(AND(IF(Settings!$E$52="",$B161,DATE(YEAR($A161),MONTH($A161),MIN(Settings!$E$52,DAY($B161))))&gt;=MAX($A161,Settings!$F$52),IF(Settings!$E$52="",$B161,DATE(YEAR($A161),MONTH($A161),MIN(Settings!$E$52,DAY($B161))))&lt;=MIN(Settings!$B$5,IF(Settings!$G$52="",Settings!$B$5,Settings!$G$52))),1,0)))))</f>
        <v/>
      </c>
      <c r="FB161">
        <f>IF($E161&lt;&gt;"open",0,IF(AND('Month-End'!$FB$30&lt;&gt;"",NOT(_xlfn.ISFORMULA('Month-End'!$FB$30))),0,IF(OR(Settings!$C$53="",Settings!$D$53=""),0,Settings!$C$53*IF(Settings!$D$53="Weekly",IF(IFERROR(MATCH(Settings!$E$53,$EO$4:$EO$10,0),0)=0,0,IF(MIN(Settings!$B$5,IF(Settings!$G$53="",Settings!$B$5,Settings!$G$53))&lt;MAX($A161,Settings!$F$53),0,INT((MIN(Settings!$B$5,IF(Settings!$G$53="",Settings!$B$5,Settings!$G$53))-MAX($A161,Settings!$F$53)-MOD(IFERROR(MATCH(Settings!$E$53,$EO$4:$EO$10,0),0)-WEEKDAY(MAX($A161,Settings!$F$53)),7))/7)+1)),IF(AND(IF(Settings!$E$53="",$B161,DATE(YEAR($A161),MONTH($A161),MIN(Settings!$E$53,DAY($B161))))&gt;=MAX($A161,Settings!$F$53),IF(Settings!$E$53="",$B161,DATE(YEAR($A161),MONTH($A161),MIN(Settings!$E$53,DAY($B161))))&lt;=MIN(Settings!$B$5,IF(Settings!$G$53="",Settings!$B$5,Settings!$G$53))),1,0)))))</f>
        <v/>
      </c>
      <c r="FC161">
        <f>IF($E161&lt;&gt;"open",0,IF(AND('Month-End'!$FB$31&lt;&gt;"",NOT(_xlfn.ISFORMULA('Month-End'!$FB$31))),0,IF(OR(Settings!$C$54="",Settings!$D$54=""),0,Settings!$C$54*IF(Settings!$D$54="Weekly",IF(IFERROR(MATCH(Settings!$E$54,$EO$4:$EO$10,0),0)=0,0,IF(MIN(Settings!$B$5,IF(Settings!$G$54="",Settings!$B$5,Settings!$G$54))&lt;MAX($A161,Settings!$F$54),0,INT((MIN(Settings!$B$5,IF(Settings!$G$54="",Settings!$B$5,Settings!$G$54))-MAX($A161,Settings!$F$54)-MOD(IFERROR(MATCH(Settings!$E$54,$EO$4:$EO$10,0),0)-WEEKDAY(MAX($A161,Settings!$F$54)),7))/7)+1)),IF(AND(IF(Settings!$E$54="",$B161,DATE(YEAR($A161),MONTH($A161),MIN(Settings!$E$54,DAY($B161))))&gt;=MAX($A161,Settings!$F$54),IF(Settings!$E$54="",$B161,DATE(YEAR($A161),MONTH($A161),MIN(Settings!$E$54,DAY($B161))))&lt;=MIN(Settings!$B$5,IF(Settings!$G$54="",Settings!$B$5,Settings!$G$54))),1,0)))))</f>
        <v/>
      </c>
      <c r="FD161">
        <f>IF($E161&lt;&gt;"open",0,IF(AND('Month-End'!$FB$32&lt;&gt;"",NOT(_xlfn.ISFORMULA('Month-End'!$FB$32))),0,IF(OR(Settings!$C$55="",Settings!$D$55=""),0,Settings!$C$55*IF(Settings!$D$55="Weekly",IF(IFERROR(MATCH(Settings!$E$55,$EO$4:$EO$10,0),0)=0,0,IF(MIN(Settings!$B$5,IF(Settings!$G$55="",Settings!$B$5,Settings!$G$55))&lt;MAX($A161,Settings!$F$55),0,INT((MIN(Settings!$B$5,IF(Settings!$G$55="",Settings!$B$5,Settings!$G$55))-MAX($A161,Settings!$F$55)-MOD(IFERROR(MATCH(Settings!$E$55,$EO$4:$EO$10,0),0)-WEEKDAY(MAX($A161,Settings!$F$55)),7))/7)+1)),IF(AND(IF(Settings!$E$55="",$B161,DATE(YEAR($A161),MONTH($A161),MIN(Settings!$E$55,DAY($B161))))&gt;=MAX($A161,Settings!$F$55),IF(Settings!$E$55="",$B161,DATE(YEAR($A161),MONTH($A161),MIN(Settings!$E$55,DAY($B161))))&lt;=MIN(Settings!$B$5,IF(Settings!$G$55="",Settings!$B$5,Settings!$G$55))),1,0)))))</f>
        <v/>
      </c>
      <c r="FE161">
        <f>IF($E161&lt;&gt;"open",0,IF(AND('Month-End'!$FB$33&lt;&gt;"",NOT(_xlfn.ISFORMULA('Month-End'!$FB$33))),0,IF(OR(Settings!$C$56="",Settings!$D$56=""),0,Settings!$C$56*IF(Settings!$D$56="Weekly",IF(IFERROR(MATCH(Settings!$E$56,$EO$4:$EO$10,0),0)=0,0,IF(MIN(Settings!$B$5,IF(Settings!$G$56="",Settings!$B$5,Settings!$G$56))&lt;MAX($A161,Settings!$F$56),0,INT((MIN(Settings!$B$5,IF(Settings!$G$56="",Settings!$B$5,Settings!$G$56))-MAX($A161,Settings!$F$56)-MOD(IFERROR(MATCH(Settings!$E$56,$EO$4:$EO$10,0),0)-WEEKDAY(MAX($A161,Settings!$F$56)),7))/7)+1)),IF(AND(IF(Settings!$E$56="",$B161,DATE(YEAR($A161),MONTH($A161),MIN(Settings!$E$56,DAY($B161))))&gt;=MAX($A161,Settings!$F$56),IF(Settings!$E$56="",$B161,DATE(YEAR($A161),MONTH($A161),MIN(Settings!$E$56,DAY($B161))))&lt;=MIN(Settings!$B$5,IF(Settings!$G$56="",Settings!$B$5,Settings!$G$56))),1,0)))))</f>
        <v/>
      </c>
      <c r="FF161">
        <f>IF(Settings!$I$45="Yes",$G161,0)+IF(Settings!$I$46="Yes",$H161,0)+IF(Settings!$I$47="Yes",$I161,0)+IF(Settings!$I$48="Yes",$J161,0)+IF(Settings!$I$49="Yes",$K161,0)+IF(Settings!$I$50="Yes",$L161,0)+IF(Settings!$I$51="Yes",$M161,0)+IF(Settings!$I$52="Yes",$N161,0)+IF(Settings!$I$53="Yes",$O161,0)+IF(Settings!$I$54="Yes",$P161,0)+IF(Settings!$I$55="Yes",$Q161,0)+IF(Settings!$I$56="Yes",$R161,0)</f>
        <v/>
      </c>
      <c r="FG161">
        <f>IF(AND(Settings!$I$45="Yes",Settings!$J$45="No"),$G161,0)+IF(AND(Settings!$I$46="Yes",Settings!$J$46="No"),$H161,0)+IF(AND(Settings!$I$47="Yes",Settings!$J$47="No"),$I161,0)+IF(AND(Settings!$I$48="Yes",Settings!$J$48="No"),$J161,0)+IF(AND(Settings!$I$49="Yes",Settings!$J$49="No"),$K161,0)+IF(AND(Settings!$I$50="Yes",Settings!$J$50="No"),$L161,0)+IF(AND(Settings!$I$51="Yes",Settings!$J$51="No"),$M161,0)+IF(AND(Settings!$I$52="Yes",Settings!$J$52="No"),$N161,0)+IF(AND(Settings!$I$53="Yes",Settings!$J$53="No"),$O161,0)+IF(AND(Settings!$I$54="Yes",Settings!$J$54="No"),$P161,0)+IF(AND(Settings!$I$55="Yes",Settings!$J$55="No"),$Q161,0)+IF(AND(Settings!$I$56="Yes",Settings!$J$56="No"),$R161,0)</f>
        <v/>
      </c>
      <c r="FH161">
        <f>SUMIFS(Giving!$B$7:$B$2006,Giving!$A$7:$A$2006,"&gt;="&amp;$A161,Giving!$A$7:$A$2006,"&lt;="&amp;$B161,Giving!$G$7:$G$2006,"Yes")+IF(OR(OR(Settings!$B$60="",Settings!$F$60="No"),Settings!$H$60&lt;&gt;"Yes"),0,Settings!$B$60*IF(AND(IF(Settings!$C$60="",$B161,DATE(YEAR($A161),MONTH($A161),MIN(Settings!$C$60,DAY($B161))))&gt;=MAX($A161,Settings!$D$60),IF(Settings!$C$60="",$B161,DATE(YEAR($A161),MONTH($A161),MIN(Settings!$C$60,DAY($B161))))&lt;=MIN($C161,IF(Settings!$E$60="",$C161,Settings!$E$60))),1,0))+IF(OR(OR(Settings!$B$61="",Settings!$F$61="No"),Settings!$H$61&lt;&gt;"Yes"),0,Settings!$B$61*IF(AND(IF(Settings!$C$61="",$B161,DATE(YEAR($A161),MONTH($A161),MIN(Settings!$C$61,DAY($B161))))&gt;=MAX($A161,Settings!$D$61),IF(Settings!$C$61="",$B161,DATE(YEAR($A161),MONTH($A161),MIN(Settings!$C$61,DAY($B161))))&lt;=MIN($C161,IF(Settings!$E$61="",$C161,Settings!$E$61))),1,0))+IF(OR(OR(Settings!$B$62="",Settings!$F$62="No"),Settings!$H$62&lt;&gt;"Yes"),0,Settings!$B$62*IF(AND(IF(Settings!$C$62="",$B161,DATE(YEAR($A161),MONTH($A161),MIN(Settings!$C$62,DAY($B161))))&gt;=MAX($A161,Settings!$D$62),IF(Settings!$C$62="",$B161,DATE(YEAR($A161),MONTH($A161),MIN(Settings!$C$62,DAY($B161))))&lt;=MIN($C161,IF(Settings!$E$62="",$C161,Settings!$E$62))),1,0))+IF(OR(OR(Settings!$B$63="",Settings!$F$63="No"),Settings!$H$63&lt;&gt;"Yes"),0,Settings!$B$63*IF(AND(IF(Settings!$C$63="",$B161,DATE(YEAR($A161),MONTH($A161),MIN(Settings!$C$63,DAY($B161))))&gt;=MAX($A161,Settings!$D$63),IF(Settings!$C$63="",$B161,DATE(YEAR($A161),MONTH($A161),MIN(Settings!$C$63,DAY($B161))))&lt;=MIN($C161,IF(Settings!$E$63="",$C161,Settings!$E$63))),1,0))+IF(OR(OR(Settings!$B$64="",Settings!$F$64="No"),Settings!$H$64&lt;&gt;"Yes"),0,Settings!$B$64*IF(AND(IF(Settings!$C$64="",$B161,DATE(YEAR($A161),MONTH($A161),MIN(Settings!$C$64,DAY($B161))))&gt;=MAX($A161,Settings!$D$64),IF(Settings!$C$64="",$B161,DATE(YEAR($A161),MONTH($A161),MIN(Settings!$C$64,DAY($B161))))&lt;=MIN($C161,IF(Settings!$E$64="",$C161,Settings!$E$64))),1,0))+IF(OR(OR(Settings!$B$65="",Settings!$F$65="No"),Settings!$H$65&lt;&gt;"Yes"),0,Settings!$B$65*IF(AND(IF(Settings!$C$65="",$B161,DATE(YEAR($A161),MONTH($A161),MIN(Settings!$C$65,DAY($B161))))&gt;=MAX($A161,Settings!$D$65),IF(Settings!$C$65="",$B161,DATE(YEAR($A161),MONTH($A161),MIN(Settings!$C$65,DAY($B161))))&lt;=MIN($C161,IF(Settings!$E$65="",$C161,Settings!$E$65))),1,0))</f>
        <v/>
      </c>
      <c r="FI161">
        <f>IF($DT161=1,IF(OR(Settings!$B$19="Card",Settings!$B$19="Loan"),N($AE161),0)+IF(OR(Settings!$B$20="Card",Settings!$B$20="Loan"),N($AF161),0)+IF(OR(Settings!$B$21="Card",Settings!$B$21="Loan"),N($AG161),0)+IF(OR(Settings!$B$22="Card",Settings!$B$22="Loan"),N($AH161),0)+IF(OR(Settings!$B$23="Card",Settings!$B$23="Loan"),N($AI161),0)+IF(OR(Settings!$B$24="Card",Settings!$B$24="Loan"),N($AJ161),0)+IF(OR(Settings!$B$25="Card",Settings!$B$25="Loan"),N($AK161),0)+IF(OR(Settings!$B$26="Card",Settings!$B$26="Loan"),N($AL161),0)+IF(OR(Settings!$B$27="Card",Settings!$B$27="Loan"),N($AM161),0)+IF(OR(Settings!$B$28="Card",Settings!$B$28="Loan"),N($AN161),0)+IF(OR(Settings!$B$29="Card",Settings!$B$29="Loan"),N($AO161),0)+IF(OR(Settings!$B$30="Card",Settings!$B$30="Loan"),N($AP161),0)+IF(OR(Settings!$B$31="Card",Settings!$B$31="Loan"),N($AQ161),0)+IF(OR(Settings!$B$32="Card",Settings!$B$32="Loan"),N($AR161),0),"")</f>
        <v/>
      </c>
      <c r="FJ161">
        <f>IF($E161="open",$EB$65,IF($E161="post",IF($E160="pre",$EB$65,$FI160),""))</f>
        <v/>
      </c>
      <c r="FK161">
        <f>IF(AND($DT161=1,$DC161=1),IF(ROUND($FI161-$FJ161,2)&gt;0,1,0),0)</f>
        <v/>
      </c>
      <c r="FL161">
        <f>IF($FK161=1,$FL160+1,0)</f>
        <v/>
      </c>
    </row>
    <row r="162">
      <c r="A162">
        <f>'Month-End'!$FC$4</f>
        <v/>
      </c>
      <c r="B162">
        <f>EOMONTH($A162,0)</f>
        <v/>
      </c>
      <c r="C162">
        <f>MIN($B162,TODAY())</f>
        <v/>
      </c>
      <c r="D162">
        <f>IF($A162&gt;TODAY(),1,0)</f>
        <v/>
      </c>
      <c r="E162">
        <f>IF($B162&lt;=Settings!$B$5,"pre",IF($A162&lt;=Settings!$B$5,"open","post"))</f>
        <v/>
      </c>
      <c r="G162">
        <f>IF('Month-End'!$FC$22="",$BE162,N('Month-End'!$FC$22))</f>
        <v/>
      </c>
      <c r="H162">
        <f>IF('Month-End'!$FC$23="",$BF162,N('Month-End'!$FC$23))</f>
        <v/>
      </c>
      <c r="I162">
        <f>IF('Month-End'!$FC$24="",$BG162,N('Month-End'!$FC$24))</f>
        <v/>
      </c>
      <c r="J162">
        <f>IF('Month-End'!$FC$25="",$BH162,N('Month-End'!$FC$25))</f>
        <v/>
      </c>
      <c r="K162">
        <f>IF('Month-End'!$FC$26="",$BI162,N('Month-End'!$FC$26))</f>
        <v/>
      </c>
      <c r="L162">
        <f>IF('Month-End'!$FC$27="",$BJ162,N('Month-End'!$FC$27))</f>
        <v/>
      </c>
      <c r="M162">
        <f>IF('Month-End'!$FC$28="",$BK162,N('Month-End'!$FC$28))</f>
        <v/>
      </c>
      <c r="N162">
        <f>IF('Month-End'!$FC$29="",$BL162,N('Month-End'!$FC$29))</f>
        <v/>
      </c>
      <c r="O162">
        <f>IF('Month-End'!$FC$30="",$BM162,N('Month-End'!$FC$30))</f>
        <v/>
      </c>
      <c r="P162">
        <f>IF('Month-End'!$FC$31="",$BN162,N('Month-End'!$FC$31))</f>
        <v/>
      </c>
      <c r="Q162">
        <f>IF('Month-End'!$FC$32="",$BO162,N('Month-End'!$FC$32))</f>
        <v/>
      </c>
      <c r="R162">
        <f>IF('Month-End'!$FC$33="",$BP162,N('Month-End'!$FC$33))</f>
        <v/>
      </c>
      <c r="S162">
        <f>$G162+$H162+$I162+$J162+$K162+$L162+$M162+$N162+$O162+$P162+$Q162+$R162</f>
        <v/>
      </c>
      <c r="T162">
        <f>IF($B162&lt;Settings!$B$6,0,IF(Settings!$B$45="Yes",$G162,0)+IF(Settings!$B$46="Yes",$H162,0)+IF(Settings!$B$47="Yes",$I162,0)+IF(Settings!$B$48="Yes",$J162,0)+IF(Settings!$B$49="Yes",$K162,0)+IF(Settings!$B$50="Yes",$L162,0)+IF(Settings!$B$51="Yes",$M162,0)+IF(Settings!$B$52="Yes",$N162,0)+IF(Settings!$B$53="Yes",$O162,0)+IF(Settings!$B$54="Yes",$P162,0)+IF(Settings!$B$55="Yes",$Q162,0)+IF(Settings!$B$56="Yes",$R162,0))</f>
        <v/>
      </c>
      <c r="U162">
        <f>IF(Settings!$B$45="Not Sure",$G162,0)+IF(Settings!$B$46="Not Sure",$H162,0)+IF(Settings!$B$47="Not Sure",$I162,0)+IF(Settings!$B$48="Not Sure",$J162,0)+IF(Settings!$B$49="Not Sure",$K162,0)+IF(Settings!$B$50="Not Sure",$L162,0)+IF(Settings!$B$51="Not Sure",$M162,0)+IF(Settings!$B$52="Not Sure",$N162,0)+IF(Settings!$B$53="Not Sure",$O162,0)+IF(Settings!$B$54="Not Sure",$P162,0)+IF(Settings!$B$55="Not Sure",$Q162,0)+IF(Settings!$B$56="Not Sure",$R162,0)</f>
        <v/>
      </c>
      <c r="V162">
        <f>IF($E162="open",SUM($ET162:$FE162)+N(Settings!$B$13),0)</f>
        <v/>
      </c>
      <c r="W162">
        <f>IF($E162="post",$S162,IF($E162="open",$S162-$V162,0))</f>
        <v/>
      </c>
      <c r="X162">
        <f>SUMIFS(Giving!$B$7:$B$2006,Giving!$A$7:$A$2006,"&gt;="&amp;$A162,Giving!$A$7:$A$2006,"&lt;="&amp;$B162,Giving!$E$7:$E$2006,"&lt;&gt;No")</f>
        <v/>
      </c>
      <c r="Y162">
        <f>SUMIFS(Giving!$B$7:$B$2006,Giving!$A$7:$A$2006,"&gt;="&amp;$A162,Giving!$A$7:$A$2006,"&lt;="&amp;$B162,Giving!$E$7:$E$2006,"No")</f>
        <v/>
      </c>
      <c r="Z162">
        <f>IF(OR(Settings!$B$60="",Settings!$F$60="No"),0,Settings!$B$60*IF(AND(IF(Settings!$C$60="",$B162,DATE(YEAR($A162),MONTH($A162),MIN(Settings!$C$60,DAY($B162))))&gt;=MAX($A162,Settings!$D$60),IF(Settings!$C$60="",$B162,DATE(YEAR($A162),MONTH($A162),MIN(Settings!$C$60,DAY($B162))))&lt;=MIN($C162,IF(Settings!$E$60="",$C162,Settings!$E$60))),1,0))+IF(OR(Settings!$B$61="",Settings!$F$61="No"),0,Settings!$B$61*IF(AND(IF(Settings!$C$61="",$B162,DATE(YEAR($A162),MONTH($A162),MIN(Settings!$C$61,DAY($B162))))&gt;=MAX($A162,Settings!$D$61),IF(Settings!$C$61="",$B162,DATE(YEAR($A162),MONTH($A162),MIN(Settings!$C$61,DAY($B162))))&lt;=MIN($C162,IF(Settings!$E$61="",$C162,Settings!$E$61))),1,0))+IF(OR(Settings!$B$62="",Settings!$F$62="No"),0,Settings!$B$62*IF(AND(IF(Settings!$C$62="",$B162,DATE(YEAR($A162),MONTH($A162),MIN(Settings!$C$62,DAY($B162))))&gt;=MAX($A162,Settings!$D$62),IF(Settings!$C$62="",$B162,DATE(YEAR($A162),MONTH($A162),MIN(Settings!$C$62,DAY($B162))))&lt;=MIN($C162,IF(Settings!$E$62="",$C162,Settings!$E$62))),1,0))+IF(OR(Settings!$B$63="",Settings!$F$63="No"),0,Settings!$B$63*IF(AND(IF(Settings!$C$63="",$B162,DATE(YEAR($A162),MONTH($A162),MIN(Settings!$C$63,DAY($B162))))&gt;=MAX($A162,Settings!$D$63),IF(Settings!$C$63="",$B162,DATE(YEAR($A162),MONTH($A162),MIN(Settings!$C$63,DAY($B162))))&lt;=MIN($C162,IF(Settings!$E$63="",$C162,Settings!$E$63))),1,0))+IF(OR(Settings!$B$64="",Settings!$F$64="No"),0,Settings!$B$64*IF(AND(IF(Settings!$C$64="",$B162,DATE(YEAR($A162),MONTH($A162),MIN(Settings!$C$64,DAY($B162))))&gt;=MAX($A162,Settings!$D$64),IF(Settings!$C$64="",$B162,DATE(YEAR($A162),MONTH($A162),MIN(Settings!$C$64,DAY($B162))))&lt;=MIN($C162,IF(Settings!$E$64="",$C162,Settings!$E$64))),1,0))+IF(OR(Settings!$B$65="",Settings!$F$65="No"),0,Settings!$B$65*IF(AND(IF(Settings!$C$65="",$B162,DATE(YEAR($A162),MONTH($A162),MIN(Settings!$C$65,DAY($B162))))&gt;=MAX($A162,Settings!$D$65),IF(Settings!$C$65="",$B162,DATE(YEAR($A162),MONTH($A162),MIN(Settings!$C$65,DAY($B162))))&lt;=MIN($C162,IF(Settings!$E$65="",$C162,Settings!$E$65))),1,0))</f>
        <v/>
      </c>
      <c r="AA162">
        <f>$X162+$Z162</f>
        <v/>
      </c>
      <c r="AB162">
        <f>IF($E162="post",$AA162,IF($E162="open",SUMIFS(Giving!$B$7:$B$2006,Giving!$A$7:$A$2006,"&gt;"&amp;Settings!$B$5,Giving!$A$7:$A$2006,"&lt;="&amp;$B162,Giving!$E$7:$E$2006,"&lt;&gt;No")+IF(OR(Settings!$B$60="",Settings!$F$60="No"),0,Settings!$B$60*IF(AND(IF(Settings!$C$60="",$B162,DATE(YEAR($A162),MONTH($A162),MIN(Settings!$C$60,DAY($B162))))&gt;=MAX($A162,Settings!$D$60,Settings!$B$5+1),IF(Settings!$C$60="",$B162,DATE(YEAR($A162),MONTH($A162),MIN(Settings!$C$60,DAY($B162))))&lt;=MIN($C162,IF(Settings!$E$60="",$C162,Settings!$E$60))),1,0))+IF(OR(Settings!$B$61="",Settings!$F$61="No"),0,Settings!$B$61*IF(AND(IF(Settings!$C$61="",$B162,DATE(YEAR($A162),MONTH($A162),MIN(Settings!$C$61,DAY($B162))))&gt;=MAX($A162,Settings!$D$61,Settings!$B$5+1),IF(Settings!$C$61="",$B162,DATE(YEAR($A162),MONTH($A162),MIN(Settings!$C$61,DAY($B162))))&lt;=MIN($C162,IF(Settings!$E$61="",$C162,Settings!$E$61))),1,0))+IF(OR(Settings!$B$62="",Settings!$F$62="No"),0,Settings!$B$62*IF(AND(IF(Settings!$C$62="",$B162,DATE(YEAR($A162),MONTH($A162),MIN(Settings!$C$62,DAY($B162))))&gt;=MAX($A162,Settings!$D$62,Settings!$B$5+1),IF(Settings!$C$62="",$B162,DATE(YEAR($A162),MONTH($A162),MIN(Settings!$C$62,DAY($B162))))&lt;=MIN($C162,IF(Settings!$E$62="",$C162,Settings!$E$62))),1,0))+IF(OR(Settings!$B$63="",Settings!$F$63="No"),0,Settings!$B$63*IF(AND(IF(Settings!$C$63="",$B162,DATE(YEAR($A162),MONTH($A162),MIN(Settings!$C$63,DAY($B162))))&gt;=MAX($A162,Settings!$D$63,Settings!$B$5+1),IF(Settings!$C$63="",$B162,DATE(YEAR($A162),MONTH($A162),MIN(Settings!$C$63,DAY($B162))))&lt;=MIN($C162,IF(Settings!$E$63="",$C162,Settings!$E$63))),1,0))+IF(OR(Settings!$B$64="",Settings!$F$64="No"),0,Settings!$B$64*IF(AND(IF(Settings!$C$64="",$B162,DATE(YEAR($A162),MONTH($A162),MIN(Settings!$C$64,DAY($B162))))&gt;=MAX($A162,Settings!$D$64,Settings!$B$5+1),IF(Settings!$C$64="",$B162,DATE(YEAR($A162),MONTH($A162),MIN(Settings!$C$64,DAY($B162))))&lt;=MIN($C162,IF(Settings!$E$64="",$C162,Settings!$E$64))),1,0))+IF(OR(Settings!$B$65="",Settings!$F$65="No"),0,Settings!$B$65*IF(AND(IF(Settings!$C$65="",$B162,DATE(YEAR($A162),MONTH($A162),MIN(Settings!$C$65,DAY($B162))))&gt;=MAX($A162,Settings!$D$65,Settings!$B$5+1),IF(Settings!$C$65="",$B162,DATE(YEAR($A162),MONTH($A162),MIN(Settings!$C$65,DAY($B162))))&lt;=MIN($C162,IF(Settings!$E$65="",$C162,Settings!$E$65))),1,0)),0))</f>
        <v/>
      </c>
      <c r="AC162">
        <f>$AY162+$AZ162+$BA162+$BB162+$BC162+$BD162</f>
        <v/>
      </c>
      <c r="AD162">
        <f>$AC162</f>
        <v/>
      </c>
      <c r="AE162">
        <f>IF(OR(Settings!$A$19="",$E162="pre"),"",IF(AND('Month-End'!$FC$7&lt;&gt;"",NOT(_xlfn.ISFORMULA('Month-End'!$FC$7))),N('Month-End'!$FC$7),IF(OR($E162="open",$E161="pre"),N(Settings!$C$19),N($AE161))))</f>
        <v/>
      </c>
      <c r="AF162">
        <f>IF(OR(Settings!$A$20="",$E162="pre"),"",IF(AND('Month-End'!$FC$8&lt;&gt;"",NOT(_xlfn.ISFORMULA('Month-End'!$FC$8))),N('Month-End'!$FC$8),IF(OR($E162="open",$E161="pre"),N(Settings!$C$20),N($AF161))))</f>
        <v/>
      </c>
      <c r="AG162">
        <f>IF(OR(Settings!$A$21="",$E162="pre"),"",IF(AND('Month-End'!$FC$9&lt;&gt;"",NOT(_xlfn.ISFORMULA('Month-End'!$FC$9))),N('Month-End'!$FC$9),IF(OR($E162="open",$E161="pre"),N(Settings!$C$21),N($AG161))))</f>
        <v/>
      </c>
      <c r="AH162">
        <f>IF(OR(Settings!$A$22="",$E162="pre"),"",IF(AND('Month-End'!$FC$10&lt;&gt;"",NOT(_xlfn.ISFORMULA('Month-End'!$FC$10))),N('Month-End'!$FC$10),IF(OR($E162="open",$E161="pre"),N(Settings!$C$22),N($AH161))))</f>
        <v/>
      </c>
      <c r="AI162">
        <f>IF(OR(Settings!$A$23="",$E162="pre"),"",IF(AND('Month-End'!$FC$11&lt;&gt;"",NOT(_xlfn.ISFORMULA('Month-End'!$FC$11))),N('Month-End'!$FC$11),IF(OR($E162="open",$E161="pre"),N(Settings!$C$23),N($AI161))))</f>
        <v/>
      </c>
      <c r="AJ162">
        <f>IF(OR(Settings!$A$24="",$E162="pre"),"",IF(AND('Month-End'!$FC$12&lt;&gt;"",NOT(_xlfn.ISFORMULA('Month-End'!$FC$12))),N('Month-End'!$FC$12),IF(OR($E162="open",$E161="pre"),N(Settings!$C$24),N($AJ161))))</f>
        <v/>
      </c>
      <c r="AK162">
        <f>IF(OR(Settings!$A$25="",$E162="pre"),"",IF(AND('Month-End'!$FC$13&lt;&gt;"",NOT(_xlfn.ISFORMULA('Month-End'!$FC$13))),N('Month-End'!$FC$13),IF(OR($E162="open",$E161="pre"),N(Settings!$C$25),N($AK161))))</f>
        <v/>
      </c>
      <c r="AL162">
        <f>IF(OR(Settings!$A$26="",$E162="pre"),"",IF(AND('Month-End'!$FC$14&lt;&gt;"",NOT(_xlfn.ISFORMULA('Month-End'!$FC$14))),N('Month-End'!$FC$14),IF(OR($E162="open",$E161="pre"),N(Settings!$C$26),N($AL161))))</f>
        <v/>
      </c>
      <c r="AM162">
        <f>IF(OR(Settings!$A$27="",$E162="pre"),"",IF(AND('Month-End'!$FC$15&lt;&gt;"",NOT(_xlfn.ISFORMULA('Month-End'!$FC$15))),N('Month-End'!$FC$15),IF(OR($E162="open",$E161="pre"),N(Settings!$C$27),N($AM161))))</f>
        <v/>
      </c>
      <c r="AN162">
        <f>IF(OR(Settings!$A$28="",$E162="pre"),"",IF(AND('Month-End'!$FC$16&lt;&gt;"",NOT(_xlfn.ISFORMULA('Month-End'!$FC$16))),N('Month-End'!$FC$16),IF(OR($E162="open",$E161="pre"),N(Settings!$C$28),N($AN161))))</f>
        <v/>
      </c>
      <c r="AO162">
        <f>IF(OR(Settings!$A$29="",$E162="pre"),"",IF(AND('Month-End'!$FC$17&lt;&gt;"",NOT(_xlfn.ISFORMULA('Month-End'!$FC$17))),N('Month-End'!$FC$17),IF(OR($E162="open",$E161="pre"),N(Settings!$C$29),N($AO161))))</f>
        <v/>
      </c>
      <c r="AP162">
        <f>IF(OR(Settings!$A$30="",$E162="pre"),"",IF(AND('Month-End'!$FC$18&lt;&gt;"",NOT(_xlfn.ISFORMULA('Month-End'!$FC$18))),N('Month-End'!$FC$18),IF(OR($E162="open",$E161="pre"),N(Settings!$C$30),N($AP161))))</f>
        <v/>
      </c>
      <c r="AQ162">
        <f>IF(OR(Settings!$A$31="",$E162="pre"),"",IF(AND('Month-End'!$FC$19&lt;&gt;"",NOT(_xlfn.ISFORMULA('Month-End'!$FC$19))),N('Month-End'!$FC$19),IF(OR($E162="open",$E161="pre"),N(Settings!$C$31),N($AQ161))))</f>
        <v/>
      </c>
      <c r="AR162">
        <f>IF(OR(Settings!$A$32="",$E162="pre"),"",IF(AND('Month-End'!$FC$20&lt;&gt;"",NOT(_xlfn.ISFORMULA('Month-End'!$FC$20))),N('Month-End'!$FC$20),IF(OR($E162="open",$E161="pre"),N(Settings!$C$32),N($AR161))))</f>
        <v/>
      </c>
      <c r="AS162">
        <f>IF(OR(Settings!$A$36="",$E162="pre"),"",IF(AND('Month-End'!$FC$38&lt;&gt;"",NOT(_xlfn.ISFORMULA('Month-End'!$FC$38))),N('Month-End'!$FC$38),IF(OR($E162="open",$E161="pre"),N(Settings!$C$36),N($AS161))+$AY162))</f>
        <v/>
      </c>
      <c r="AT162">
        <f>IF(OR(Settings!$A$37="",$E162="pre"),"",IF(AND('Month-End'!$FC$39&lt;&gt;"",NOT(_xlfn.ISFORMULA('Month-End'!$FC$39))),N('Month-End'!$FC$39),IF(OR($E162="open",$E161="pre"),N(Settings!$C$37),N($AT161))+$AZ162))</f>
        <v/>
      </c>
      <c r="AU162">
        <f>IF(OR(Settings!$A$38="",$E162="pre"),"",IF(AND('Month-End'!$FC$40&lt;&gt;"",NOT(_xlfn.ISFORMULA('Month-End'!$FC$40))),N('Month-End'!$FC$40),IF(OR($E162="open",$E161="pre"),N(Settings!$C$38),N($AU161))+$BA162))</f>
        <v/>
      </c>
      <c r="AV162">
        <f>IF(OR(Settings!$A$39="",$E162="pre"),"",IF(AND('Month-End'!$FC$41&lt;&gt;"",NOT(_xlfn.ISFORMULA('Month-End'!$FC$41))),N('Month-End'!$FC$41),IF(OR($E162="open",$E161="pre"),N(Settings!$C$39),N($AV161))+$BB162))</f>
        <v/>
      </c>
      <c r="AW162">
        <f>IF(OR(Settings!$A$40="",$E162="pre"),"",IF(AND('Month-End'!$FC$42&lt;&gt;"",NOT(_xlfn.ISFORMULA('Month-End'!$FC$42))),N('Month-End'!$FC$42),IF(OR($E162="open",$E161="pre"),N(Settings!$C$40),N($AW161))+$BC162))</f>
        <v/>
      </c>
      <c r="AX162">
        <f>IF(OR(Settings!$A$41="",$E162="pre"),"",IF(AND('Month-End'!$FC$43&lt;&gt;"",NOT(_xlfn.ISFORMULA('Month-End'!$FC$43))),N('Month-End'!$FC$43),IF(OR($E162="open",$E161="pre"),N(Settings!$C$41),N($AX161))+$BD162))</f>
        <v/>
      </c>
      <c r="AY162">
        <f>IF($E162="pre",0,N('Month-End'!$FC$45))</f>
        <v/>
      </c>
      <c r="AZ162">
        <f>IF($E162="pre",0,N('Month-End'!$FC$46))</f>
        <v/>
      </c>
      <c r="BA162">
        <f>IF($E162="pre",0,N('Month-End'!$FC$47))</f>
        <v/>
      </c>
      <c r="BB162">
        <f>IF($E162="pre",0,N('Month-End'!$FC$48))</f>
        <v/>
      </c>
      <c r="BC162">
        <f>IF($E162="pre",0,N('Month-End'!$FC$49))</f>
        <v/>
      </c>
      <c r="BD162">
        <f>IF($E162="pre",0,N('Month-End'!$FC$50))</f>
        <v/>
      </c>
      <c r="BE162">
        <f>IF(OR(Settings!$C$45="",Settings!$D$45=""),0,Settings!$C$45*IF(Settings!$D$45="Weekly",IF(IFERROR(MATCH(Settings!$E$45,$EO$4:$EO$10,0),0)=0,0,IF(MIN($C162,IF(Settings!$G$45="",$C162,Settings!$G$45))&lt;MAX($A162,Settings!$F$45),0,INT((MIN($C162,IF(Settings!$G$45="",$C162,Settings!$G$45))-MAX($A162,Settings!$F$45)-MOD(IFERROR(MATCH(Settings!$E$45,$EO$4:$EO$10,0),0)-WEEKDAY(MAX($A162,Settings!$F$45)),7))/7)+1)),IF(AND(IF(Settings!$E$45="",$B162,DATE(YEAR($A162),MONTH($A162),MIN(Settings!$E$45,DAY($B162))))&gt;=MAX($A162,Settings!$F$45),IF(Settings!$E$45="",$B162,DATE(YEAR($A162),MONTH($A162),MIN(Settings!$E$45,DAY($B162))))&lt;=MIN($C162,IF(Settings!$G$45="",$C162,Settings!$G$45))),1,0)))</f>
        <v/>
      </c>
      <c r="BF162">
        <f>IF(OR(Settings!$C$46="",Settings!$D$46=""),0,Settings!$C$46*IF(Settings!$D$46="Weekly",IF(IFERROR(MATCH(Settings!$E$46,$EO$4:$EO$10,0),0)=0,0,IF(MIN($C162,IF(Settings!$G$46="",$C162,Settings!$G$46))&lt;MAX($A162,Settings!$F$46),0,INT((MIN($C162,IF(Settings!$G$46="",$C162,Settings!$G$46))-MAX($A162,Settings!$F$46)-MOD(IFERROR(MATCH(Settings!$E$46,$EO$4:$EO$10,0),0)-WEEKDAY(MAX($A162,Settings!$F$46)),7))/7)+1)),IF(AND(IF(Settings!$E$46="",$B162,DATE(YEAR($A162),MONTH($A162),MIN(Settings!$E$46,DAY($B162))))&gt;=MAX($A162,Settings!$F$46),IF(Settings!$E$46="",$B162,DATE(YEAR($A162),MONTH($A162),MIN(Settings!$E$46,DAY($B162))))&lt;=MIN($C162,IF(Settings!$G$46="",$C162,Settings!$G$46))),1,0)))</f>
        <v/>
      </c>
      <c r="BG162">
        <f>IF(OR(Settings!$C$47="",Settings!$D$47=""),0,Settings!$C$47*IF(Settings!$D$47="Weekly",IF(IFERROR(MATCH(Settings!$E$47,$EO$4:$EO$10,0),0)=0,0,IF(MIN($C162,IF(Settings!$G$47="",$C162,Settings!$G$47))&lt;MAX($A162,Settings!$F$47),0,INT((MIN($C162,IF(Settings!$G$47="",$C162,Settings!$G$47))-MAX($A162,Settings!$F$47)-MOD(IFERROR(MATCH(Settings!$E$47,$EO$4:$EO$10,0),0)-WEEKDAY(MAX($A162,Settings!$F$47)),7))/7)+1)),IF(AND(IF(Settings!$E$47="",$B162,DATE(YEAR($A162),MONTH($A162),MIN(Settings!$E$47,DAY($B162))))&gt;=MAX($A162,Settings!$F$47),IF(Settings!$E$47="",$B162,DATE(YEAR($A162),MONTH($A162),MIN(Settings!$E$47,DAY($B162))))&lt;=MIN($C162,IF(Settings!$G$47="",$C162,Settings!$G$47))),1,0)))</f>
        <v/>
      </c>
      <c r="BH162">
        <f>IF(OR(Settings!$C$48="",Settings!$D$48=""),0,Settings!$C$48*IF(Settings!$D$48="Weekly",IF(IFERROR(MATCH(Settings!$E$48,$EO$4:$EO$10,0),0)=0,0,IF(MIN($C162,IF(Settings!$G$48="",$C162,Settings!$G$48))&lt;MAX($A162,Settings!$F$48),0,INT((MIN($C162,IF(Settings!$G$48="",$C162,Settings!$G$48))-MAX($A162,Settings!$F$48)-MOD(IFERROR(MATCH(Settings!$E$48,$EO$4:$EO$10,0),0)-WEEKDAY(MAX($A162,Settings!$F$48)),7))/7)+1)),IF(AND(IF(Settings!$E$48="",$B162,DATE(YEAR($A162),MONTH($A162),MIN(Settings!$E$48,DAY($B162))))&gt;=MAX($A162,Settings!$F$48),IF(Settings!$E$48="",$B162,DATE(YEAR($A162),MONTH($A162),MIN(Settings!$E$48,DAY($B162))))&lt;=MIN($C162,IF(Settings!$G$48="",$C162,Settings!$G$48))),1,0)))</f>
        <v/>
      </c>
      <c r="BI162">
        <f>IF(OR(Settings!$C$49="",Settings!$D$49=""),0,Settings!$C$49*IF(Settings!$D$49="Weekly",IF(IFERROR(MATCH(Settings!$E$49,$EO$4:$EO$10,0),0)=0,0,IF(MIN($C162,IF(Settings!$G$49="",$C162,Settings!$G$49))&lt;MAX($A162,Settings!$F$49),0,INT((MIN($C162,IF(Settings!$G$49="",$C162,Settings!$G$49))-MAX($A162,Settings!$F$49)-MOD(IFERROR(MATCH(Settings!$E$49,$EO$4:$EO$10,0),0)-WEEKDAY(MAX($A162,Settings!$F$49)),7))/7)+1)),IF(AND(IF(Settings!$E$49="",$B162,DATE(YEAR($A162),MONTH($A162),MIN(Settings!$E$49,DAY($B162))))&gt;=MAX($A162,Settings!$F$49),IF(Settings!$E$49="",$B162,DATE(YEAR($A162),MONTH($A162),MIN(Settings!$E$49,DAY($B162))))&lt;=MIN($C162,IF(Settings!$G$49="",$C162,Settings!$G$49))),1,0)))</f>
        <v/>
      </c>
      <c r="BJ162">
        <f>IF(OR(Settings!$C$50="",Settings!$D$50=""),0,Settings!$C$50*IF(Settings!$D$50="Weekly",IF(IFERROR(MATCH(Settings!$E$50,$EO$4:$EO$10,0),0)=0,0,IF(MIN($C162,IF(Settings!$G$50="",$C162,Settings!$G$50))&lt;MAX($A162,Settings!$F$50),0,INT((MIN($C162,IF(Settings!$G$50="",$C162,Settings!$G$50))-MAX($A162,Settings!$F$50)-MOD(IFERROR(MATCH(Settings!$E$50,$EO$4:$EO$10,0),0)-WEEKDAY(MAX($A162,Settings!$F$50)),7))/7)+1)),IF(AND(IF(Settings!$E$50="",$B162,DATE(YEAR($A162),MONTH($A162),MIN(Settings!$E$50,DAY($B162))))&gt;=MAX($A162,Settings!$F$50),IF(Settings!$E$50="",$B162,DATE(YEAR($A162),MONTH($A162),MIN(Settings!$E$50,DAY($B162))))&lt;=MIN($C162,IF(Settings!$G$50="",$C162,Settings!$G$50))),1,0)))</f>
        <v/>
      </c>
      <c r="BK162">
        <f>IF(OR(Settings!$C$51="",Settings!$D$51=""),0,Settings!$C$51*IF(Settings!$D$51="Weekly",IF(IFERROR(MATCH(Settings!$E$51,$EO$4:$EO$10,0),0)=0,0,IF(MIN($C162,IF(Settings!$G$51="",$C162,Settings!$G$51))&lt;MAX($A162,Settings!$F$51),0,INT((MIN($C162,IF(Settings!$G$51="",$C162,Settings!$G$51))-MAX($A162,Settings!$F$51)-MOD(IFERROR(MATCH(Settings!$E$51,$EO$4:$EO$10,0),0)-WEEKDAY(MAX($A162,Settings!$F$51)),7))/7)+1)),IF(AND(IF(Settings!$E$51="",$B162,DATE(YEAR($A162),MONTH($A162),MIN(Settings!$E$51,DAY($B162))))&gt;=MAX($A162,Settings!$F$51),IF(Settings!$E$51="",$B162,DATE(YEAR($A162),MONTH($A162),MIN(Settings!$E$51,DAY($B162))))&lt;=MIN($C162,IF(Settings!$G$51="",$C162,Settings!$G$51))),1,0)))</f>
        <v/>
      </c>
      <c r="BL162">
        <f>IF(OR(Settings!$C$52="",Settings!$D$52=""),0,Settings!$C$52*IF(Settings!$D$52="Weekly",IF(IFERROR(MATCH(Settings!$E$52,$EO$4:$EO$10,0),0)=0,0,IF(MIN($C162,IF(Settings!$G$52="",$C162,Settings!$G$52))&lt;MAX($A162,Settings!$F$52),0,INT((MIN($C162,IF(Settings!$G$52="",$C162,Settings!$G$52))-MAX($A162,Settings!$F$52)-MOD(IFERROR(MATCH(Settings!$E$52,$EO$4:$EO$10,0),0)-WEEKDAY(MAX($A162,Settings!$F$52)),7))/7)+1)),IF(AND(IF(Settings!$E$52="",$B162,DATE(YEAR($A162),MONTH($A162),MIN(Settings!$E$52,DAY($B162))))&gt;=MAX($A162,Settings!$F$52),IF(Settings!$E$52="",$B162,DATE(YEAR($A162),MONTH($A162),MIN(Settings!$E$52,DAY($B162))))&lt;=MIN($C162,IF(Settings!$G$52="",$C162,Settings!$G$52))),1,0)))</f>
        <v/>
      </c>
      <c r="BM162">
        <f>IF(OR(Settings!$C$53="",Settings!$D$53=""),0,Settings!$C$53*IF(Settings!$D$53="Weekly",IF(IFERROR(MATCH(Settings!$E$53,$EO$4:$EO$10,0),0)=0,0,IF(MIN($C162,IF(Settings!$G$53="",$C162,Settings!$G$53))&lt;MAX($A162,Settings!$F$53),0,INT((MIN($C162,IF(Settings!$G$53="",$C162,Settings!$G$53))-MAX($A162,Settings!$F$53)-MOD(IFERROR(MATCH(Settings!$E$53,$EO$4:$EO$10,0),0)-WEEKDAY(MAX($A162,Settings!$F$53)),7))/7)+1)),IF(AND(IF(Settings!$E$53="",$B162,DATE(YEAR($A162),MONTH($A162),MIN(Settings!$E$53,DAY($B162))))&gt;=MAX($A162,Settings!$F$53),IF(Settings!$E$53="",$B162,DATE(YEAR($A162),MONTH($A162),MIN(Settings!$E$53,DAY($B162))))&lt;=MIN($C162,IF(Settings!$G$53="",$C162,Settings!$G$53))),1,0)))</f>
        <v/>
      </c>
      <c r="BN162">
        <f>IF(OR(Settings!$C$54="",Settings!$D$54=""),0,Settings!$C$54*IF(Settings!$D$54="Weekly",IF(IFERROR(MATCH(Settings!$E$54,$EO$4:$EO$10,0),0)=0,0,IF(MIN($C162,IF(Settings!$G$54="",$C162,Settings!$G$54))&lt;MAX($A162,Settings!$F$54),0,INT((MIN($C162,IF(Settings!$G$54="",$C162,Settings!$G$54))-MAX($A162,Settings!$F$54)-MOD(IFERROR(MATCH(Settings!$E$54,$EO$4:$EO$10,0),0)-WEEKDAY(MAX($A162,Settings!$F$54)),7))/7)+1)),IF(AND(IF(Settings!$E$54="",$B162,DATE(YEAR($A162),MONTH($A162),MIN(Settings!$E$54,DAY($B162))))&gt;=MAX($A162,Settings!$F$54),IF(Settings!$E$54="",$B162,DATE(YEAR($A162),MONTH($A162),MIN(Settings!$E$54,DAY($B162))))&lt;=MIN($C162,IF(Settings!$G$54="",$C162,Settings!$G$54))),1,0)))</f>
        <v/>
      </c>
      <c r="BO162">
        <f>IF(OR(Settings!$C$55="",Settings!$D$55=""),0,Settings!$C$55*IF(Settings!$D$55="Weekly",IF(IFERROR(MATCH(Settings!$E$55,$EO$4:$EO$10,0),0)=0,0,IF(MIN($C162,IF(Settings!$G$55="",$C162,Settings!$G$55))&lt;MAX($A162,Settings!$F$55),0,INT((MIN($C162,IF(Settings!$G$55="",$C162,Settings!$G$55))-MAX($A162,Settings!$F$55)-MOD(IFERROR(MATCH(Settings!$E$55,$EO$4:$EO$10,0),0)-WEEKDAY(MAX($A162,Settings!$F$55)),7))/7)+1)),IF(AND(IF(Settings!$E$55="",$B162,DATE(YEAR($A162),MONTH($A162),MIN(Settings!$E$55,DAY($B162))))&gt;=MAX($A162,Settings!$F$55),IF(Settings!$E$55="",$B162,DATE(YEAR($A162),MONTH($A162),MIN(Settings!$E$55,DAY($B162))))&lt;=MIN($C162,IF(Settings!$G$55="",$C162,Settings!$G$55))),1,0)))</f>
        <v/>
      </c>
      <c r="BP162">
        <f>IF(OR(Settings!$C$56="",Settings!$D$56=""),0,Settings!$C$56*IF(Settings!$D$56="Weekly",IF(IFERROR(MATCH(Settings!$E$56,$EO$4:$EO$10,0),0)=0,0,IF(MIN($C162,IF(Settings!$G$56="",$C162,Settings!$G$56))&lt;MAX($A162,Settings!$F$56),0,INT((MIN($C162,IF(Settings!$G$56="",$C162,Settings!$G$56))-MAX($A162,Settings!$F$56)-MOD(IFERROR(MATCH(Settings!$E$56,$EO$4:$EO$10,0),0)-WEEKDAY(MAX($A162,Settings!$F$56)),7))/7)+1)),IF(AND(IF(Settings!$E$56="",$B162,DATE(YEAR($A162),MONTH($A162),MIN(Settings!$E$56,DAY($B162))))&gt;=MAX($A162,Settings!$F$56),IF(Settings!$E$56="",$B162,DATE(YEAR($A162),MONTH($A162),MIN(Settings!$E$56,DAY($B162))))&lt;=MIN($C162,IF(Settings!$G$56="",$C162,Settings!$G$56))),1,0)))</f>
        <v/>
      </c>
      <c r="BQ162">
        <f>IF(OR(Settings!$B$14="",$D162=1,$E162="pre",$A162&lt;IF(Settings!$B$15="",0,Settings!$B$15)),0,Settings!$B$14)</f>
        <v/>
      </c>
      <c r="BR162">
        <f>IF(AND('Month-End'!$FC$7&lt;&gt;"",NOT(_xlfn.ISFORMULA('Month-End'!$FC$7))),1,0)</f>
        <v/>
      </c>
      <c r="BS162">
        <f>IF(AND('Month-End'!$FC$8&lt;&gt;"",NOT(_xlfn.ISFORMULA('Month-End'!$FC$8))),1,0)</f>
        <v/>
      </c>
      <c r="BT162">
        <f>IF(AND('Month-End'!$FC$9&lt;&gt;"",NOT(_xlfn.ISFORMULA('Month-End'!$FC$9))),1,0)</f>
        <v/>
      </c>
      <c r="BU162">
        <f>IF(AND('Month-End'!$FC$10&lt;&gt;"",NOT(_xlfn.ISFORMULA('Month-End'!$FC$10))),1,0)</f>
        <v/>
      </c>
      <c r="BV162">
        <f>IF(AND('Month-End'!$FC$11&lt;&gt;"",NOT(_xlfn.ISFORMULA('Month-End'!$FC$11))),1,0)</f>
        <v/>
      </c>
      <c r="BW162">
        <f>IF(AND('Month-End'!$FC$12&lt;&gt;"",NOT(_xlfn.ISFORMULA('Month-End'!$FC$12))),1,0)</f>
        <v/>
      </c>
      <c r="BX162">
        <f>IF(AND('Month-End'!$FC$13&lt;&gt;"",NOT(_xlfn.ISFORMULA('Month-End'!$FC$13))),1,0)</f>
        <v/>
      </c>
      <c r="BY162">
        <f>IF(AND('Month-End'!$FC$14&lt;&gt;"",NOT(_xlfn.ISFORMULA('Month-End'!$FC$14))),1,0)</f>
        <v/>
      </c>
      <c r="BZ162">
        <f>IF(AND('Month-End'!$FC$15&lt;&gt;"",NOT(_xlfn.ISFORMULA('Month-End'!$FC$15))),1,0)</f>
        <v/>
      </c>
      <c r="CA162">
        <f>IF(AND('Month-End'!$FC$16&lt;&gt;"",NOT(_xlfn.ISFORMULA('Month-End'!$FC$16))),1,0)</f>
        <v/>
      </c>
      <c r="CB162">
        <f>IF(AND('Month-End'!$FC$17&lt;&gt;"",NOT(_xlfn.ISFORMULA('Month-End'!$FC$17))),1,0)</f>
        <v/>
      </c>
      <c r="CC162">
        <f>IF(AND('Month-End'!$FC$18&lt;&gt;"",NOT(_xlfn.ISFORMULA('Month-End'!$FC$18))),1,0)</f>
        <v/>
      </c>
      <c r="CD162">
        <f>IF(AND('Month-End'!$FC$19&lt;&gt;"",NOT(_xlfn.ISFORMULA('Month-End'!$FC$19))),1,0)</f>
        <v/>
      </c>
      <c r="CE162">
        <f>IF(AND('Month-End'!$FC$20&lt;&gt;"",NOT(_xlfn.ISFORMULA('Month-End'!$FC$20))),1,0)</f>
        <v/>
      </c>
      <c r="CF162">
        <f>IF(AND('Month-End'!$FC$38&lt;&gt;"",NOT(_xlfn.ISFORMULA('Month-End'!$FC$38))),1,0)</f>
        <v/>
      </c>
      <c r="CG162">
        <f>IF(AND('Month-End'!$FC$39&lt;&gt;"",NOT(_xlfn.ISFORMULA('Month-End'!$FC$39))),1,0)</f>
        <v/>
      </c>
      <c r="CH162">
        <f>IF(AND('Month-End'!$FC$40&lt;&gt;"",NOT(_xlfn.ISFORMULA('Month-End'!$FC$40))),1,0)</f>
        <v/>
      </c>
      <c r="CI162">
        <f>IF(AND('Month-End'!$FC$41&lt;&gt;"",NOT(_xlfn.ISFORMULA('Month-End'!$FC$41))),1,0)</f>
        <v/>
      </c>
      <c r="CJ162">
        <f>IF(AND('Month-End'!$FC$42&lt;&gt;"",NOT(_xlfn.ISFORMULA('Month-End'!$FC$42))),1,0)</f>
        <v/>
      </c>
      <c r="CK162">
        <f>IF(AND('Month-End'!$FC$43&lt;&gt;"",NOT(_xlfn.ISFORMULA('Month-End'!$FC$43))),1,0)</f>
        <v/>
      </c>
      <c r="CL162">
        <f>SUM($CM162:$CZ162)</f>
        <v/>
      </c>
      <c r="CM162">
        <f>IF(AND($E162&lt;&gt;"pre",AND(Settings!$A$19&lt;&gt;"",Settings!$E$19&lt;&gt;"No"),Settings!$F$19="Yes",NOT(AND('Month-End'!$FC$7&lt;&gt;"",NOT(_xlfn.ISFORMULA('Month-End'!$FC$7))))),1,0)</f>
        <v/>
      </c>
      <c r="CN162">
        <f>IF(AND($E162&lt;&gt;"pre",AND(Settings!$A$20&lt;&gt;"",Settings!$E$20&lt;&gt;"No"),Settings!$F$20="Yes",NOT(AND('Month-End'!$FC$8&lt;&gt;"",NOT(_xlfn.ISFORMULA('Month-End'!$FC$8))))),1,0)</f>
        <v/>
      </c>
      <c r="CO162">
        <f>IF(AND($E162&lt;&gt;"pre",AND(Settings!$A$21&lt;&gt;"",Settings!$E$21&lt;&gt;"No"),Settings!$F$21="Yes",NOT(AND('Month-End'!$FC$9&lt;&gt;"",NOT(_xlfn.ISFORMULA('Month-End'!$FC$9))))),1,0)</f>
        <v/>
      </c>
      <c r="CP162">
        <f>IF(AND($E162&lt;&gt;"pre",AND(Settings!$A$22&lt;&gt;"",Settings!$E$22&lt;&gt;"No"),Settings!$F$22="Yes",NOT(AND('Month-End'!$FC$10&lt;&gt;"",NOT(_xlfn.ISFORMULA('Month-End'!$FC$10))))),1,0)</f>
        <v/>
      </c>
      <c r="CQ162">
        <f>IF(AND($E162&lt;&gt;"pre",AND(Settings!$A$23&lt;&gt;"",Settings!$E$23&lt;&gt;"No"),Settings!$F$23="Yes",NOT(AND('Month-End'!$FC$11&lt;&gt;"",NOT(_xlfn.ISFORMULA('Month-End'!$FC$11))))),1,0)</f>
        <v/>
      </c>
      <c r="CR162">
        <f>IF(AND($E162&lt;&gt;"pre",AND(Settings!$A$24&lt;&gt;"",Settings!$E$24&lt;&gt;"No"),Settings!$F$24="Yes",NOT(AND('Month-End'!$FC$12&lt;&gt;"",NOT(_xlfn.ISFORMULA('Month-End'!$FC$12))))),1,0)</f>
        <v/>
      </c>
      <c r="CS162">
        <f>IF(AND($E162&lt;&gt;"pre",AND(Settings!$A$25&lt;&gt;"",Settings!$E$25&lt;&gt;"No"),Settings!$F$25="Yes",NOT(AND('Month-End'!$FC$13&lt;&gt;"",NOT(_xlfn.ISFORMULA('Month-End'!$FC$13))))),1,0)</f>
        <v/>
      </c>
      <c r="CT162">
        <f>IF(AND($E162&lt;&gt;"pre",AND(Settings!$A$26&lt;&gt;"",Settings!$E$26&lt;&gt;"No"),Settings!$F$26="Yes",NOT(AND('Month-End'!$FC$14&lt;&gt;"",NOT(_xlfn.ISFORMULA('Month-End'!$FC$14))))),1,0)</f>
        <v/>
      </c>
      <c r="CU162">
        <f>IF(AND($E162&lt;&gt;"pre",AND(Settings!$A$27&lt;&gt;"",Settings!$E$27&lt;&gt;"No"),Settings!$F$27="Yes",NOT(AND('Month-End'!$FC$15&lt;&gt;"",NOT(_xlfn.ISFORMULA('Month-End'!$FC$15))))),1,0)</f>
        <v/>
      </c>
      <c r="CV162">
        <f>IF(AND($E162&lt;&gt;"pre",AND(Settings!$A$28&lt;&gt;"",Settings!$E$28&lt;&gt;"No"),Settings!$F$28="Yes",NOT(AND('Month-End'!$FC$16&lt;&gt;"",NOT(_xlfn.ISFORMULA('Month-End'!$FC$16))))),1,0)</f>
        <v/>
      </c>
      <c r="CW162">
        <f>IF(AND($E162&lt;&gt;"pre",AND(Settings!$A$29&lt;&gt;"",Settings!$E$29&lt;&gt;"No"),Settings!$F$29="Yes",NOT(AND('Month-End'!$FC$17&lt;&gt;"",NOT(_xlfn.ISFORMULA('Month-End'!$FC$17))))),1,0)</f>
        <v/>
      </c>
      <c r="CX162">
        <f>IF(AND($E162&lt;&gt;"pre",AND(Settings!$A$30&lt;&gt;"",Settings!$E$30&lt;&gt;"No"),Settings!$F$30="Yes",NOT(AND('Month-End'!$FC$18&lt;&gt;"",NOT(_xlfn.ISFORMULA('Month-End'!$FC$18))))),1,0)</f>
        <v/>
      </c>
      <c r="CY162">
        <f>IF(AND($E162&lt;&gt;"pre",AND(Settings!$A$31&lt;&gt;"",Settings!$E$31&lt;&gt;"No"),Settings!$F$31="Yes",NOT(AND('Month-End'!$FC$19&lt;&gt;"",NOT(_xlfn.ISFORMULA('Month-End'!$FC$19))))),1,0)</f>
        <v/>
      </c>
      <c r="CZ162">
        <f>IF(AND($E162&lt;&gt;"pre",AND(Settings!$A$32&lt;&gt;"",Settings!$E$32&lt;&gt;"No"),Settings!$F$32="Yes",NOT(AND('Month-End'!$FC$20&lt;&gt;"",NOT(_xlfn.ISFORMULA('Month-End'!$FC$20))))),1,0)</f>
        <v/>
      </c>
      <c r="DA162">
        <f>IF($DT162=1,IF(OR(Settings!$B$19="Checking",Settings!$B$19="Savings",Settings!$B$19="Cash"),N($AE162),IF(OR(Settings!$B$19="Card",Settings!$B$19="Loan"),-N($AE162),0))+IF(OR(Settings!$B$20="Checking",Settings!$B$20="Savings",Settings!$B$20="Cash"),N($AF162),IF(OR(Settings!$B$20="Card",Settings!$B$20="Loan"),-N($AF162),0))+IF(OR(Settings!$B$21="Checking",Settings!$B$21="Savings",Settings!$B$21="Cash"),N($AG162),IF(OR(Settings!$B$21="Card",Settings!$B$21="Loan"),-N($AG162),0))+IF(OR(Settings!$B$22="Checking",Settings!$B$22="Savings",Settings!$B$22="Cash"),N($AH162),IF(OR(Settings!$B$22="Card",Settings!$B$22="Loan"),-N($AH162),0))+IF(OR(Settings!$B$23="Checking",Settings!$B$23="Savings",Settings!$B$23="Cash"),N($AI162),IF(OR(Settings!$B$23="Card",Settings!$B$23="Loan"),-N($AI162),0))+IF(OR(Settings!$B$24="Checking",Settings!$B$24="Savings",Settings!$B$24="Cash"),N($AJ162),IF(OR(Settings!$B$24="Card",Settings!$B$24="Loan"),-N($AJ162),0))+IF(OR(Settings!$B$25="Checking",Settings!$B$25="Savings",Settings!$B$25="Cash"),N($AK162),IF(OR(Settings!$B$25="Card",Settings!$B$25="Loan"),-N($AK162),0))+IF(OR(Settings!$B$26="Checking",Settings!$B$26="Savings",Settings!$B$26="Cash"),N($AL162),IF(OR(Settings!$B$26="Card",Settings!$B$26="Loan"),-N($AL162),0))+IF(OR(Settings!$B$27="Checking",Settings!$B$27="Savings",Settings!$B$27="Cash"),N($AM162),IF(OR(Settings!$B$27="Card",Settings!$B$27="Loan"),-N($AM162),0))+IF(OR(Settings!$B$28="Checking",Settings!$B$28="Savings",Settings!$B$28="Cash"),N($AN162),IF(OR(Settings!$B$28="Card",Settings!$B$28="Loan"),-N($AN162),0))+IF(OR(Settings!$B$29="Checking",Settings!$B$29="Savings",Settings!$B$29="Cash"),N($AO162),IF(OR(Settings!$B$29="Card",Settings!$B$29="Loan"),-N($AO162),0))+IF(OR(Settings!$B$30="Checking",Settings!$B$30="Savings",Settings!$B$30="Cash"),N($AP162),IF(OR(Settings!$B$30="Card",Settings!$B$30="Loan"),-N($AP162),0))+IF(OR(Settings!$B$31="Checking",Settings!$B$31="Savings",Settings!$B$31="Cash"),N($AQ162),IF(OR(Settings!$B$31="Card",Settings!$B$31="Loan"),-N($AQ162),0))+IF(OR(Settings!$B$32="Checking",Settings!$B$32="Savings",Settings!$B$32="Cash"),N($AR162),IF(OR(Settings!$B$32="Card",Settings!$B$32="Loan"),-N($AR162),0)),"")</f>
        <v/>
      </c>
      <c r="DB162">
        <f>IF($E162="open",$EB$27,IF($E162="post",IF($E161="pre",$EB$27,$DA161),""))</f>
        <v/>
      </c>
      <c r="DC162">
        <f>IF($E162="open",1,IF($E162="post",IF($E161="pre",1,$DT161),0))</f>
        <v/>
      </c>
      <c r="DD162">
        <f>IF(AND($DT162=1,$DC162=1),ROUND($W162-($DA162-$DB162)-$AD162-$AB162,2),"")</f>
        <v/>
      </c>
      <c r="DE162">
        <f>IF('Month-End'!$FC$35="",$BQ162,N('Month-End'!$FC$35))</f>
        <v/>
      </c>
      <c r="DF162">
        <f>N('Month-End'!$FC$36)</f>
        <v/>
      </c>
      <c r="DG162">
        <f>IF($DD162="","",$DD162+$DE162)</f>
        <v/>
      </c>
      <c r="DH162">
        <f>IF($DG162="","",$DG162-$DF162)</f>
        <v/>
      </c>
      <c r="DI162">
        <f>IF(OR($E162="pre",$D162=1),"",N($AS162)+N($AT162)+N($AU162)+N($AV162)+N($AW162)+N($AX162))</f>
        <v/>
      </c>
      <c r="DJ162">
        <f>IF($DT162=1,$DA162+N($DI162),"")</f>
        <v/>
      </c>
      <c r="DK162">
        <f>IF($DD162="","",$W162-$DD162-$AB162)</f>
        <v/>
      </c>
      <c r="DL162">
        <f>IF(AND($E162="post",$DD162&lt;&gt;"",$B162&lt;TODAY()),1,0)</f>
        <v/>
      </c>
      <c r="DM162">
        <f>IF($DL162=1,COUNTIF($DL162:$DL$183,1),0)</f>
        <v/>
      </c>
      <c r="DN162">
        <f>IF($D162=1,"",IF($E162="pre","History only",IF($DT162=1,IF($DD162="","⚠ Previous month missing",IF($DD162&lt;0,"⚠ Check: spending &lt; 0",IF($E162="open","✓ Done (partial)","✓ Done"))),IF($B162&gt;=TODAY(),"In progress","⚠ Needs balances"))))</f>
        <v/>
      </c>
      <c r="DO162">
        <f>YEAR($A162)</f>
        <v/>
      </c>
      <c r="DP162">
        <f>DATE(YEAR($A162),INT((MONTH($A162)-1)/3)*3+1,1)</f>
        <v/>
      </c>
      <c r="DQ162">
        <f>IF(AND($DT162=1,$DD162&lt;&gt;"",$D162=0),ROW(),0)</f>
        <v/>
      </c>
      <c r="DR162">
        <f>IF(AND($E162&lt;&gt;"pre",$B162&lt;TODAY(),$DT162=0),1,0)</f>
        <v/>
      </c>
      <c r="DS162">
        <f>IF($DJ162="",NA(),$DJ162)</f>
        <v/>
      </c>
      <c r="DT162">
        <f>IF(AND($E162&lt;&gt;"pre",$CL162=0,COUNTIFS(Settings!$F$19:$F$32,"Yes",Settings!$A$19:$A$32,"&lt;&gt;",Settings!$E$19:$E$32,"&lt;&gt;No")&gt;0),1,0)</f>
        <v/>
      </c>
      <c r="DU162">
        <f>IF(AND($B162&lt;TODAY(),$S162&gt;0),1,0)</f>
        <v/>
      </c>
      <c r="DV162">
        <f>IF($DU162=1,COUNTIF($DU162:$DU$183,1),0)</f>
        <v/>
      </c>
      <c r="DW162">
        <f>IF(AND(OR(Settings!$B$19="Card",Settings!$B$19="Loan"),AND('Month-End'!$FC$7&lt;&gt;"",NOT(_xlfn.ISFORMULA('Month-End'!$FC$7)))),IF(N('Month-End'!$FC$7)&lt;0,1,0),0)+IF(AND(OR(Settings!$B$20="Card",Settings!$B$20="Loan"),AND('Month-End'!$FC$8&lt;&gt;"",NOT(_xlfn.ISFORMULA('Month-End'!$FC$8)))),IF(N('Month-End'!$FC$8)&lt;0,1,0),0)+IF(AND(OR(Settings!$B$21="Card",Settings!$B$21="Loan"),AND('Month-End'!$FC$9&lt;&gt;"",NOT(_xlfn.ISFORMULA('Month-End'!$FC$9)))),IF(N('Month-End'!$FC$9)&lt;0,1,0),0)+IF(AND(OR(Settings!$B$22="Card",Settings!$B$22="Loan"),AND('Month-End'!$FC$10&lt;&gt;"",NOT(_xlfn.ISFORMULA('Month-End'!$FC$10)))),IF(N('Month-End'!$FC$10)&lt;0,1,0),0)+IF(AND(OR(Settings!$B$23="Card",Settings!$B$23="Loan"),AND('Month-End'!$FC$11&lt;&gt;"",NOT(_xlfn.ISFORMULA('Month-End'!$FC$11)))),IF(N('Month-End'!$FC$11)&lt;0,1,0),0)+IF(AND(OR(Settings!$B$24="Card",Settings!$B$24="Loan"),AND('Month-End'!$FC$12&lt;&gt;"",NOT(_xlfn.ISFORMULA('Month-End'!$FC$12)))),IF(N('Month-End'!$FC$12)&lt;0,1,0),0)+IF(AND(OR(Settings!$B$25="Card",Settings!$B$25="Loan"),AND('Month-End'!$FC$13&lt;&gt;"",NOT(_xlfn.ISFORMULA('Month-End'!$FC$13)))),IF(N('Month-End'!$FC$13)&lt;0,1,0),0)+IF(AND(OR(Settings!$B$26="Card",Settings!$B$26="Loan"),AND('Month-End'!$FC$14&lt;&gt;"",NOT(_xlfn.ISFORMULA('Month-End'!$FC$14)))),IF(N('Month-End'!$FC$14)&lt;0,1,0),0)+IF(AND(OR(Settings!$B$27="Card",Settings!$B$27="Loan"),AND('Month-End'!$FC$15&lt;&gt;"",NOT(_xlfn.ISFORMULA('Month-End'!$FC$15)))),IF(N('Month-End'!$FC$15)&lt;0,1,0),0)+IF(AND(OR(Settings!$B$28="Card",Settings!$B$28="Loan"),AND('Month-End'!$FC$16&lt;&gt;"",NOT(_xlfn.ISFORMULA('Month-End'!$FC$16)))),IF(N('Month-End'!$FC$16)&lt;0,1,0),0)+IF(AND(OR(Settings!$B$29="Card",Settings!$B$29="Loan"),AND('Month-End'!$FC$17&lt;&gt;"",NOT(_xlfn.ISFORMULA('Month-End'!$FC$17)))),IF(N('Month-End'!$FC$17)&lt;0,1,0),0)+IF(AND(OR(Settings!$B$30="Card",Settings!$B$30="Loan"),AND('Month-End'!$FC$18&lt;&gt;"",NOT(_xlfn.ISFORMULA('Month-End'!$FC$18)))),IF(N('Month-End'!$FC$18)&lt;0,1,0),0)+IF(AND(OR(Settings!$B$31="Card",Settings!$B$31="Loan"),AND('Month-End'!$FC$19&lt;&gt;"",NOT(_xlfn.ISFORMULA('Month-End'!$FC$19)))),IF(N('Month-End'!$FC$19)&lt;0,1,0),0)+IF(AND(OR(Settings!$B$32="Card",Settings!$B$32="Loan"),AND('Month-End'!$FC$20&lt;&gt;"",NOT(_xlfn.ISFORMULA('Month-End'!$FC$20)))),IF(N('Month-End'!$FC$20)&lt;0,1,0),0)</f>
        <v/>
      </c>
      <c r="DX162">
        <f>IF(Settings!$B$36="Retirement",$AY162,0)+IF(Settings!$B$37="Retirement",$AZ162,0)+IF(Settings!$B$38="Retirement",$BA162,0)+IF(Settings!$B$39="Retirement",$BB162,0)+IF(Settings!$B$40="Retirement",$BC162,0)+IF(Settings!$B$41="Retirement",$BD162,0)</f>
        <v/>
      </c>
      <c r="ET162">
        <f>IF($E162&lt;&gt;"open",0,IF(AND('Month-End'!$FC$22&lt;&gt;"",NOT(_xlfn.ISFORMULA('Month-End'!$FC$22))),0,IF(OR(Settings!$C$45="",Settings!$D$45=""),0,Settings!$C$45*IF(Settings!$D$45="Weekly",IF(IFERROR(MATCH(Settings!$E$45,$EO$4:$EO$10,0),0)=0,0,IF(MIN(Settings!$B$5,IF(Settings!$G$45="",Settings!$B$5,Settings!$G$45))&lt;MAX($A162,Settings!$F$45),0,INT((MIN(Settings!$B$5,IF(Settings!$G$45="",Settings!$B$5,Settings!$G$45))-MAX($A162,Settings!$F$45)-MOD(IFERROR(MATCH(Settings!$E$45,$EO$4:$EO$10,0),0)-WEEKDAY(MAX($A162,Settings!$F$45)),7))/7)+1)),IF(AND(IF(Settings!$E$45="",$B162,DATE(YEAR($A162),MONTH($A162),MIN(Settings!$E$45,DAY($B162))))&gt;=MAX($A162,Settings!$F$45),IF(Settings!$E$45="",$B162,DATE(YEAR($A162),MONTH($A162),MIN(Settings!$E$45,DAY($B162))))&lt;=MIN(Settings!$B$5,IF(Settings!$G$45="",Settings!$B$5,Settings!$G$45))),1,0)))))</f>
        <v/>
      </c>
      <c r="EU162">
        <f>IF($E162&lt;&gt;"open",0,IF(AND('Month-End'!$FC$23&lt;&gt;"",NOT(_xlfn.ISFORMULA('Month-End'!$FC$23))),0,IF(OR(Settings!$C$46="",Settings!$D$46=""),0,Settings!$C$46*IF(Settings!$D$46="Weekly",IF(IFERROR(MATCH(Settings!$E$46,$EO$4:$EO$10,0),0)=0,0,IF(MIN(Settings!$B$5,IF(Settings!$G$46="",Settings!$B$5,Settings!$G$46))&lt;MAX($A162,Settings!$F$46),0,INT((MIN(Settings!$B$5,IF(Settings!$G$46="",Settings!$B$5,Settings!$G$46))-MAX($A162,Settings!$F$46)-MOD(IFERROR(MATCH(Settings!$E$46,$EO$4:$EO$10,0),0)-WEEKDAY(MAX($A162,Settings!$F$46)),7))/7)+1)),IF(AND(IF(Settings!$E$46="",$B162,DATE(YEAR($A162),MONTH($A162),MIN(Settings!$E$46,DAY($B162))))&gt;=MAX($A162,Settings!$F$46),IF(Settings!$E$46="",$B162,DATE(YEAR($A162),MONTH($A162),MIN(Settings!$E$46,DAY($B162))))&lt;=MIN(Settings!$B$5,IF(Settings!$G$46="",Settings!$B$5,Settings!$G$46))),1,0)))))</f>
        <v/>
      </c>
      <c r="EV162">
        <f>IF($E162&lt;&gt;"open",0,IF(AND('Month-End'!$FC$24&lt;&gt;"",NOT(_xlfn.ISFORMULA('Month-End'!$FC$24))),0,IF(OR(Settings!$C$47="",Settings!$D$47=""),0,Settings!$C$47*IF(Settings!$D$47="Weekly",IF(IFERROR(MATCH(Settings!$E$47,$EO$4:$EO$10,0),0)=0,0,IF(MIN(Settings!$B$5,IF(Settings!$G$47="",Settings!$B$5,Settings!$G$47))&lt;MAX($A162,Settings!$F$47),0,INT((MIN(Settings!$B$5,IF(Settings!$G$47="",Settings!$B$5,Settings!$G$47))-MAX($A162,Settings!$F$47)-MOD(IFERROR(MATCH(Settings!$E$47,$EO$4:$EO$10,0),0)-WEEKDAY(MAX($A162,Settings!$F$47)),7))/7)+1)),IF(AND(IF(Settings!$E$47="",$B162,DATE(YEAR($A162),MONTH($A162),MIN(Settings!$E$47,DAY($B162))))&gt;=MAX($A162,Settings!$F$47),IF(Settings!$E$47="",$B162,DATE(YEAR($A162),MONTH($A162),MIN(Settings!$E$47,DAY($B162))))&lt;=MIN(Settings!$B$5,IF(Settings!$G$47="",Settings!$B$5,Settings!$G$47))),1,0)))))</f>
        <v/>
      </c>
      <c r="EW162">
        <f>IF($E162&lt;&gt;"open",0,IF(AND('Month-End'!$FC$25&lt;&gt;"",NOT(_xlfn.ISFORMULA('Month-End'!$FC$25))),0,IF(OR(Settings!$C$48="",Settings!$D$48=""),0,Settings!$C$48*IF(Settings!$D$48="Weekly",IF(IFERROR(MATCH(Settings!$E$48,$EO$4:$EO$10,0),0)=0,0,IF(MIN(Settings!$B$5,IF(Settings!$G$48="",Settings!$B$5,Settings!$G$48))&lt;MAX($A162,Settings!$F$48),0,INT((MIN(Settings!$B$5,IF(Settings!$G$48="",Settings!$B$5,Settings!$G$48))-MAX($A162,Settings!$F$48)-MOD(IFERROR(MATCH(Settings!$E$48,$EO$4:$EO$10,0),0)-WEEKDAY(MAX($A162,Settings!$F$48)),7))/7)+1)),IF(AND(IF(Settings!$E$48="",$B162,DATE(YEAR($A162),MONTH($A162),MIN(Settings!$E$48,DAY($B162))))&gt;=MAX($A162,Settings!$F$48),IF(Settings!$E$48="",$B162,DATE(YEAR($A162),MONTH($A162),MIN(Settings!$E$48,DAY($B162))))&lt;=MIN(Settings!$B$5,IF(Settings!$G$48="",Settings!$B$5,Settings!$G$48))),1,0)))))</f>
        <v/>
      </c>
      <c r="EX162">
        <f>IF($E162&lt;&gt;"open",0,IF(AND('Month-End'!$FC$26&lt;&gt;"",NOT(_xlfn.ISFORMULA('Month-End'!$FC$26))),0,IF(OR(Settings!$C$49="",Settings!$D$49=""),0,Settings!$C$49*IF(Settings!$D$49="Weekly",IF(IFERROR(MATCH(Settings!$E$49,$EO$4:$EO$10,0),0)=0,0,IF(MIN(Settings!$B$5,IF(Settings!$G$49="",Settings!$B$5,Settings!$G$49))&lt;MAX($A162,Settings!$F$49),0,INT((MIN(Settings!$B$5,IF(Settings!$G$49="",Settings!$B$5,Settings!$G$49))-MAX($A162,Settings!$F$49)-MOD(IFERROR(MATCH(Settings!$E$49,$EO$4:$EO$10,0),0)-WEEKDAY(MAX($A162,Settings!$F$49)),7))/7)+1)),IF(AND(IF(Settings!$E$49="",$B162,DATE(YEAR($A162),MONTH($A162),MIN(Settings!$E$49,DAY($B162))))&gt;=MAX($A162,Settings!$F$49),IF(Settings!$E$49="",$B162,DATE(YEAR($A162),MONTH($A162),MIN(Settings!$E$49,DAY($B162))))&lt;=MIN(Settings!$B$5,IF(Settings!$G$49="",Settings!$B$5,Settings!$G$49))),1,0)))))</f>
        <v/>
      </c>
      <c r="EY162">
        <f>IF($E162&lt;&gt;"open",0,IF(AND('Month-End'!$FC$27&lt;&gt;"",NOT(_xlfn.ISFORMULA('Month-End'!$FC$27))),0,IF(OR(Settings!$C$50="",Settings!$D$50=""),0,Settings!$C$50*IF(Settings!$D$50="Weekly",IF(IFERROR(MATCH(Settings!$E$50,$EO$4:$EO$10,0),0)=0,0,IF(MIN(Settings!$B$5,IF(Settings!$G$50="",Settings!$B$5,Settings!$G$50))&lt;MAX($A162,Settings!$F$50),0,INT((MIN(Settings!$B$5,IF(Settings!$G$50="",Settings!$B$5,Settings!$G$50))-MAX($A162,Settings!$F$50)-MOD(IFERROR(MATCH(Settings!$E$50,$EO$4:$EO$10,0),0)-WEEKDAY(MAX($A162,Settings!$F$50)),7))/7)+1)),IF(AND(IF(Settings!$E$50="",$B162,DATE(YEAR($A162),MONTH($A162),MIN(Settings!$E$50,DAY($B162))))&gt;=MAX($A162,Settings!$F$50),IF(Settings!$E$50="",$B162,DATE(YEAR($A162),MONTH($A162),MIN(Settings!$E$50,DAY($B162))))&lt;=MIN(Settings!$B$5,IF(Settings!$G$50="",Settings!$B$5,Settings!$G$50))),1,0)))))</f>
        <v/>
      </c>
      <c r="EZ162">
        <f>IF($E162&lt;&gt;"open",0,IF(AND('Month-End'!$FC$28&lt;&gt;"",NOT(_xlfn.ISFORMULA('Month-End'!$FC$28))),0,IF(OR(Settings!$C$51="",Settings!$D$51=""),0,Settings!$C$51*IF(Settings!$D$51="Weekly",IF(IFERROR(MATCH(Settings!$E$51,$EO$4:$EO$10,0),0)=0,0,IF(MIN(Settings!$B$5,IF(Settings!$G$51="",Settings!$B$5,Settings!$G$51))&lt;MAX($A162,Settings!$F$51),0,INT((MIN(Settings!$B$5,IF(Settings!$G$51="",Settings!$B$5,Settings!$G$51))-MAX($A162,Settings!$F$51)-MOD(IFERROR(MATCH(Settings!$E$51,$EO$4:$EO$10,0),0)-WEEKDAY(MAX($A162,Settings!$F$51)),7))/7)+1)),IF(AND(IF(Settings!$E$51="",$B162,DATE(YEAR($A162),MONTH($A162),MIN(Settings!$E$51,DAY($B162))))&gt;=MAX($A162,Settings!$F$51),IF(Settings!$E$51="",$B162,DATE(YEAR($A162),MONTH($A162),MIN(Settings!$E$51,DAY($B162))))&lt;=MIN(Settings!$B$5,IF(Settings!$G$51="",Settings!$B$5,Settings!$G$51))),1,0)))))</f>
        <v/>
      </c>
      <c r="FA162">
        <f>IF($E162&lt;&gt;"open",0,IF(AND('Month-End'!$FC$29&lt;&gt;"",NOT(_xlfn.ISFORMULA('Month-End'!$FC$29))),0,IF(OR(Settings!$C$52="",Settings!$D$52=""),0,Settings!$C$52*IF(Settings!$D$52="Weekly",IF(IFERROR(MATCH(Settings!$E$52,$EO$4:$EO$10,0),0)=0,0,IF(MIN(Settings!$B$5,IF(Settings!$G$52="",Settings!$B$5,Settings!$G$52))&lt;MAX($A162,Settings!$F$52),0,INT((MIN(Settings!$B$5,IF(Settings!$G$52="",Settings!$B$5,Settings!$G$52))-MAX($A162,Settings!$F$52)-MOD(IFERROR(MATCH(Settings!$E$52,$EO$4:$EO$10,0),0)-WEEKDAY(MAX($A162,Settings!$F$52)),7))/7)+1)),IF(AND(IF(Settings!$E$52="",$B162,DATE(YEAR($A162),MONTH($A162),MIN(Settings!$E$52,DAY($B162))))&gt;=MAX($A162,Settings!$F$52),IF(Settings!$E$52="",$B162,DATE(YEAR($A162),MONTH($A162),MIN(Settings!$E$52,DAY($B162))))&lt;=MIN(Settings!$B$5,IF(Settings!$G$52="",Settings!$B$5,Settings!$G$52))),1,0)))))</f>
        <v/>
      </c>
      <c r="FB162">
        <f>IF($E162&lt;&gt;"open",0,IF(AND('Month-End'!$FC$30&lt;&gt;"",NOT(_xlfn.ISFORMULA('Month-End'!$FC$30))),0,IF(OR(Settings!$C$53="",Settings!$D$53=""),0,Settings!$C$53*IF(Settings!$D$53="Weekly",IF(IFERROR(MATCH(Settings!$E$53,$EO$4:$EO$10,0),0)=0,0,IF(MIN(Settings!$B$5,IF(Settings!$G$53="",Settings!$B$5,Settings!$G$53))&lt;MAX($A162,Settings!$F$53),0,INT((MIN(Settings!$B$5,IF(Settings!$G$53="",Settings!$B$5,Settings!$G$53))-MAX($A162,Settings!$F$53)-MOD(IFERROR(MATCH(Settings!$E$53,$EO$4:$EO$10,0),0)-WEEKDAY(MAX($A162,Settings!$F$53)),7))/7)+1)),IF(AND(IF(Settings!$E$53="",$B162,DATE(YEAR($A162),MONTH($A162),MIN(Settings!$E$53,DAY($B162))))&gt;=MAX($A162,Settings!$F$53),IF(Settings!$E$53="",$B162,DATE(YEAR($A162),MONTH($A162),MIN(Settings!$E$53,DAY($B162))))&lt;=MIN(Settings!$B$5,IF(Settings!$G$53="",Settings!$B$5,Settings!$G$53))),1,0)))))</f>
        <v/>
      </c>
      <c r="FC162">
        <f>IF($E162&lt;&gt;"open",0,IF(AND('Month-End'!$FC$31&lt;&gt;"",NOT(_xlfn.ISFORMULA('Month-End'!$FC$31))),0,IF(OR(Settings!$C$54="",Settings!$D$54=""),0,Settings!$C$54*IF(Settings!$D$54="Weekly",IF(IFERROR(MATCH(Settings!$E$54,$EO$4:$EO$10,0),0)=0,0,IF(MIN(Settings!$B$5,IF(Settings!$G$54="",Settings!$B$5,Settings!$G$54))&lt;MAX($A162,Settings!$F$54),0,INT((MIN(Settings!$B$5,IF(Settings!$G$54="",Settings!$B$5,Settings!$G$54))-MAX($A162,Settings!$F$54)-MOD(IFERROR(MATCH(Settings!$E$54,$EO$4:$EO$10,0),0)-WEEKDAY(MAX($A162,Settings!$F$54)),7))/7)+1)),IF(AND(IF(Settings!$E$54="",$B162,DATE(YEAR($A162),MONTH($A162),MIN(Settings!$E$54,DAY($B162))))&gt;=MAX($A162,Settings!$F$54),IF(Settings!$E$54="",$B162,DATE(YEAR($A162),MONTH($A162),MIN(Settings!$E$54,DAY($B162))))&lt;=MIN(Settings!$B$5,IF(Settings!$G$54="",Settings!$B$5,Settings!$G$54))),1,0)))))</f>
        <v/>
      </c>
      <c r="FD162">
        <f>IF($E162&lt;&gt;"open",0,IF(AND('Month-End'!$FC$32&lt;&gt;"",NOT(_xlfn.ISFORMULA('Month-End'!$FC$32))),0,IF(OR(Settings!$C$55="",Settings!$D$55=""),0,Settings!$C$55*IF(Settings!$D$55="Weekly",IF(IFERROR(MATCH(Settings!$E$55,$EO$4:$EO$10,0),0)=0,0,IF(MIN(Settings!$B$5,IF(Settings!$G$55="",Settings!$B$5,Settings!$G$55))&lt;MAX($A162,Settings!$F$55),0,INT((MIN(Settings!$B$5,IF(Settings!$G$55="",Settings!$B$5,Settings!$G$55))-MAX($A162,Settings!$F$55)-MOD(IFERROR(MATCH(Settings!$E$55,$EO$4:$EO$10,0),0)-WEEKDAY(MAX($A162,Settings!$F$55)),7))/7)+1)),IF(AND(IF(Settings!$E$55="",$B162,DATE(YEAR($A162),MONTH($A162),MIN(Settings!$E$55,DAY($B162))))&gt;=MAX($A162,Settings!$F$55),IF(Settings!$E$55="",$B162,DATE(YEAR($A162),MONTH($A162),MIN(Settings!$E$55,DAY($B162))))&lt;=MIN(Settings!$B$5,IF(Settings!$G$55="",Settings!$B$5,Settings!$G$55))),1,0)))))</f>
        <v/>
      </c>
      <c r="FE162">
        <f>IF($E162&lt;&gt;"open",0,IF(AND('Month-End'!$FC$33&lt;&gt;"",NOT(_xlfn.ISFORMULA('Month-End'!$FC$33))),0,IF(OR(Settings!$C$56="",Settings!$D$56=""),0,Settings!$C$56*IF(Settings!$D$56="Weekly",IF(IFERROR(MATCH(Settings!$E$56,$EO$4:$EO$10,0),0)=0,0,IF(MIN(Settings!$B$5,IF(Settings!$G$56="",Settings!$B$5,Settings!$G$56))&lt;MAX($A162,Settings!$F$56),0,INT((MIN(Settings!$B$5,IF(Settings!$G$56="",Settings!$B$5,Settings!$G$56))-MAX($A162,Settings!$F$56)-MOD(IFERROR(MATCH(Settings!$E$56,$EO$4:$EO$10,0),0)-WEEKDAY(MAX($A162,Settings!$F$56)),7))/7)+1)),IF(AND(IF(Settings!$E$56="",$B162,DATE(YEAR($A162),MONTH($A162),MIN(Settings!$E$56,DAY($B162))))&gt;=MAX($A162,Settings!$F$56),IF(Settings!$E$56="",$B162,DATE(YEAR($A162),MONTH($A162),MIN(Settings!$E$56,DAY($B162))))&lt;=MIN(Settings!$B$5,IF(Settings!$G$56="",Settings!$B$5,Settings!$G$56))),1,0)))))</f>
        <v/>
      </c>
      <c r="FF162">
        <f>IF(Settings!$I$45="Yes",$G162,0)+IF(Settings!$I$46="Yes",$H162,0)+IF(Settings!$I$47="Yes",$I162,0)+IF(Settings!$I$48="Yes",$J162,0)+IF(Settings!$I$49="Yes",$K162,0)+IF(Settings!$I$50="Yes",$L162,0)+IF(Settings!$I$51="Yes",$M162,0)+IF(Settings!$I$52="Yes",$N162,0)+IF(Settings!$I$53="Yes",$O162,0)+IF(Settings!$I$54="Yes",$P162,0)+IF(Settings!$I$55="Yes",$Q162,0)+IF(Settings!$I$56="Yes",$R162,0)</f>
        <v/>
      </c>
      <c r="FG162">
        <f>IF(AND(Settings!$I$45="Yes",Settings!$J$45="No"),$G162,0)+IF(AND(Settings!$I$46="Yes",Settings!$J$46="No"),$H162,0)+IF(AND(Settings!$I$47="Yes",Settings!$J$47="No"),$I162,0)+IF(AND(Settings!$I$48="Yes",Settings!$J$48="No"),$J162,0)+IF(AND(Settings!$I$49="Yes",Settings!$J$49="No"),$K162,0)+IF(AND(Settings!$I$50="Yes",Settings!$J$50="No"),$L162,0)+IF(AND(Settings!$I$51="Yes",Settings!$J$51="No"),$M162,0)+IF(AND(Settings!$I$52="Yes",Settings!$J$52="No"),$N162,0)+IF(AND(Settings!$I$53="Yes",Settings!$J$53="No"),$O162,0)+IF(AND(Settings!$I$54="Yes",Settings!$J$54="No"),$P162,0)+IF(AND(Settings!$I$55="Yes",Settings!$J$55="No"),$Q162,0)+IF(AND(Settings!$I$56="Yes",Settings!$J$56="No"),$R162,0)</f>
        <v/>
      </c>
      <c r="FH162">
        <f>SUMIFS(Giving!$B$7:$B$2006,Giving!$A$7:$A$2006,"&gt;="&amp;$A162,Giving!$A$7:$A$2006,"&lt;="&amp;$B162,Giving!$G$7:$G$2006,"Yes")+IF(OR(OR(Settings!$B$60="",Settings!$F$60="No"),Settings!$H$60&lt;&gt;"Yes"),0,Settings!$B$60*IF(AND(IF(Settings!$C$60="",$B162,DATE(YEAR($A162),MONTH($A162),MIN(Settings!$C$60,DAY($B162))))&gt;=MAX($A162,Settings!$D$60),IF(Settings!$C$60="",$B162,DATE(YEAR($A162),MONTH($A162),MIN(Settings!$C$60,DAY($B162))))&lt;=MIN($C162,IF(Settings!$E$60="",$C162,Settings!$E$60))),1,0))+IF(OR(OR(Settings!$B$61="",Settings!$F$61="No"),Settings!$H$61&lt;&gt;"Yes"),0,Settings!$B$61*IF(AND(IF(Settings!$C$61="",$B162,DATE(YEAR($A162),MONTH($A162),MIN(Settings!$C$61,DAY($B162))))&gt;=MAX($A162,Settings!$D$61),IF(Settings!$C$61="",$B162,DATE(YEAR($A162),MONTH($A162),MIN(Settings!$C$61,DAY($B162))))&lt;=MIN($C162,IF(Settings!$E$61="",$C162,Settings!$E$61))),1,0))+IF(OR(OR(Settings!$B$62="",Settings!$F$62="No"),Settings!$H$62&lt;&gt;"Yes"),0,Settings!$B$62*IF(AND(IF(Settings!$C$62="",$B162,DATE(YEAR($A162),MONTH($A162),MIN(Settings!$C$62,DAY($B162))))&gt;=MAX($A162,Settings!$D$62),IF(Settings!$C$62="",$B162,DATE(YEAR($A162),MONTH($A162),MIN(Settings!$C$62,DAY($B162))))&lt;=MIN($C162,IF(Settings!$E$62="",$C162,Settings!$E$62))),1,0))+IF(OR(OR(Settings!$B$63="",Settings!$F$63="No"),Settings!$H$63&lt;&gt;"Yes"),0,Settings!$B$63*IF(AND(IF(Settings!$C$63="",$B162,DATE(YEAR($A162),MONTH($A162),MIN(Settings!$C$63,DAY($B162))))&gt;=MAX($A162,Settings!$D$63),IF(Settings!$C$63="",$B162,DATE(YEAR($A162),MONTH($A162),MIN(Settings!$C$63,DAY($B162))))&lt;=MIN($C162,IF(Settings!$E$63="",$C162,Settings!$E$63))),1,0))+IF(OR(OR(Settings!$B$64="",Settings!$F$64="No"),Settings!$H$64&lt;&gt;"Yes"),0,Settings!$B$64*IF(AND(IF(Settings!$C$64="",$B162,DATE(YEAR($A162),MONTH($A162),MIN(Settings!$C$64,DAY($B162))))&gt;=MAX($A162,Settings!$D$64),IF(Settings!$C$64="",$B162,DATE(YEAR($A162),MONTH($A162),MIN(Settings!$C$64,DAY($B162))))&lt;=MIN($C162,IF(Settings!$E$64="",$C162,Settings!$E$64))),1,0))+IF(OR(OR(Settings!$B$65="",Settings!$F$65="No"),Settings!$H$65&lt;&gt;"Yes"),0,Settings!$B$65*IF(AND(IF(Settings!$C$65="",$B162,DATE(YEAR($A162),MONTH($A162),MIN(Settings!$C$65,DAY($B162))))&gt;=MAX($A162,Settings!$D$65),IF(Settings!$C$65="",$B162,DATE(YEAR($A162),MONTH($A162),MIN(Settings!$C$65,DAY($B162))))&lt;=MIN($C162,IF(Settings!$E$65="",$C162,Settings!$E$65))),1,0))</f>
        <v/>
      </c>
      <c r="FI162">
        <f>IF($DT162=1,IF(OR(Settings!$B$19="Card",Settings!$B$19="Loan"),N($AE162),0)+IF(OR(Settings!$B$20="Card",Settings!$B$20="Loan"),N($AF162),0)+IF(OR(Settings!$B$21="Card",Settings!$B$21="Loan"),N($AG162),0)+IF(OR(Settings!$B$22="Card",Settings!$B$22="Loan"),N($AH162),0)+IF(OR(Settings!$B$23="Card",Settings!$B$23="Loan"),N($AI162),0)+IF(OR(Settings!$B$24="Card",Settings!$B$24="Loan"),N($AJ162),0)+IF(OR(Settings!$B$25="Card",Settings!$B$25="Loan"),N($AK162),0)+IF(OR(Settings!$B$26="Card",Settings!$B$26="Loan"),N($AL162),0)+IF(OR(Settings!$B$27="Card",Settings!$B$27="Loan"),N($AM162),0)+IF(OR(Settings!$B$28="Card",Settings!$B$28="Loan"),N($AN162),0)+IF(OR(Settings!$B$29="Card",Settings!$B$29="Loan"),N($AO162),0)+IF(OR(Settings!$B$30="Card",Settings!$B$30="Loan"),N($AP162),0)+IF(OR(Settings!$B$31="Card",Settings!$B$31="Loan"),N($AQ162),0)+IF(OR(Settings!$B$32="Card",Settings!$B$32="Loan"),N($AR162),0),"")</f>
        <v/>
      </c>
      <c r="FJ162">
        <f>IF($E162="open",$EB$65,IF($E162="post",IF($E161="pre",$EB$65,$FI161),""))</f>
        <v/>
      </c>
      <c r="FK162">
        <f>IF(AND($DT162=1,$DC162=1),IF(ROUND($FI162-$FJ162,2)&gt;0,1,0),0)</f>
        <v/>
      </c>
      <c r="FL162">
        <f>IF($FK162=1,$FL161+1,0)</f>
        <v/>
      </c>
    </row>
    <row r="163">
      <c r="A163">
        <f>'Month-End'!$FD$4</f>
        <v/>
      </c>
      <c r="B163">
        <f>EOMONTH($A163,0)</f>
        <v/>
      </c>
      <c r="C163">
        <f>MIN($B163,TODAY())</f>
        <v/>
      </c>
      <c r="D163">
        <f>IF($A163&gt;TODAY(),1,0)</f>
        <v/>
      </c>
      <c r="E163">
        <f>IF($B163&lt;=Settings!$B$5,"pre",IF($A163&lt;=Settings!$B$5,"open","post"))</f>
        <v/>
      </c>
      <c r="G163">
        <f>IF('Month-End'!$FD$22="",$BE163,N('Month-End'!$FD$22))</f>
        <v/>
      </c>
      <c r="H163">
        <f>IF('Month-End'!$FD$23="",$BF163,N('Month-End'!$FD$23))</f>
        <v/>
      </c>
      <c r="I163">
        <f>IF('Month-End'!$FD$24="",$BG163,N('Month-End'!$FD$24))</f>
        <v/>
      </c>
      <c r="J163">
        <f>IF('Month-End'!$FD$25="",$BH163,N('Month-End'!$FD$25))</f>
        <v/>
      </c>
      <c r="K163">
        <f>IF('Month-End'!$FD$26="",$BI163,N('Month-End'!$FD$26))</f>
        <v/>
      </c>
      <c r="L163">
        <f>IF('Month-End'!$FD$27="",$BJ163,N('Month-End'!$FD$27))</f>
        <v/>
      </c>
      <c r="M163">
        <f>IF('Month-End'!$FD$28="",$BK163,N('Month-End'!$FD$28))</f>
        <v/>
      </c>
      <c r="N163">
        <f>IF('Month-End'!$FD$29="",$BL163,N('Month-End'!$FD$29))</f>
        <v/>
      </c>
      <c r="O163">
        <f>IF('Month-End'!$FD$30="",$BM163,N('Month-End'!$FD$30))</f>
        <v/>
      </c>
      <c r="P163">
        <f>IF('Month-End'!$FD$31="",$BN163,N('Month-End'!$FD$31))</f>
        <v/>
      </c>
      <c r="Q163">
        <f>IF('Month-End'!$FD$32="",$BO163,N('Month-End'!$FD$32))</f>
        <v/>
      </c>
      <c r="R163">
        <f>IF('Month-End'!$FD$33="",$BP163,N('Month-End'!$FD$33))</f>
        <v/>
      </c>
      <c r="S163">
        <f>$G163+$H163+$I163+$J163+$K163+$L163+$M163+$N163+$O163+$P163+$Q163+$R163</f>
        <v/>
      </c>
      <c r="T163">
        <f>IF($B163&lt;Settings!$B$6,0,IF(Settings!$B$45="Yes",$G163,0)+IF(Settings!$B$46="Yes",$H163,0)+IF(Settings!$B$47="Yes",$I163,0)+IF(Settings!$B$48="Yes",$J163,0)+IF(Settings!$B$49="Yes",$K163,0)+IF(Settings!$B$50="Yes",$L163,0)+IF(Settings!$B$51="Yes",$M163,0)+IF(Settings!$B$52="Yes",$N163,0)+IF(Settings!$B$53="Yes",$O163,0)+IF(Settings!$B$54="Yes",$P163,0)+IF(Settings!$B$55="Yes",$Q163,0)+IF(Settings!$B$56="Yes",$R163,0))</f>
        <v/>
      </c>
      <c r="U163">
        <f>IF(Settings!$B$45="Not Sure",$G163,0)+IF(Settings!$B$46="Not Sure",$H163,0)+IF(Settings!$B$47="Not Sure",$I163,0)+IF(Settings!$B$48="Not Sure",$J163,0)+IF(Settings!$B$49="Not Sure",$K163,0)+IF(Settings!$B$50="Not Sure",$L163,0)+IF(Settings!$B$51="Not Sure",$M163,0)+IF(Settings!$B$52="Not Sure",$N163,0)+IF(Settings!$B$53="Not Sure",$O163,0)+IF(Settings!$B$54="Not Sure",$P163,0)+IF(Settings!$B$55="Not Sure",$Q163,0)+IF(Settings!$B$56="Not Sure",$R163,0)</f>
        <v/>
      </c>
      <c r="V163">
        <f>IF($E163="open",SUM($ET163:$FE163)+N(Settings!$B$13),0)</f>
        <v/>
      </c>
      <c r="W163">
        <f>IF($E163="post",$S163,IF($E163="open",$S163-$V163,0))</f>
        <v/>
      </c>
      <c r="X163">
        <f>SUMIFS(Giving!$B$7:$B$2006,Giving!$A$7:$A$2006,"&gt;="&amp;$A163,Giving!$A$7:$A$2006,"&lt;="&amp;$B163,Giving!$E$7:$E$2006,"&lt;&gt;No")</f>
        <v/>
      </c>
      <c r="Y163">
        <f>SUMIFS(Giving!$B$7:$B$2006,Giving!$A$7:$A$2006,"&gt;="&amp;$A163,Giving!$A$7:$A$2006,"&lt;="&amp;$B163,Giving!$E$7:$E$2006,"No")</f>
        <v/>
      </c>
      <c r="Z163">
        <f>IF(OR(Settings!$B$60="",Settings!$F$60="No"),0,Settings!$B$60*IF(AND(IF(Settings!$C$60="",$B163,DATE(YEAR($A163),MONTH($A163),MIN(Settings!$C$60,DAY($B163))))&gt;=MAX($A163,Settings!$D$60),IF(Settings!$C$60="",$B163,DATE(YEAR($A163),MONTH($A163),MIN(Settings!$C$60,DAY($B163))))&lt;=MIN($C163,IF(Settings!$E$60="",$C163,Settings!$E$60))),1,0))+IF(OR(Settings!$B$61="",Settings!$F$61="No"),0,Settings!$B$61*IF(AND(IF(Settings!$C$61="",$B163,DATE(YEAR($A163),MONTH($A163),MIN(Settings!$C$61,DAY($B163))))&gt;=MAX($A163,Settings!$D$61),IF(Settings!$C$61="",$B163,DATE(YEAR($A163),MONTH($A163),MIN(Settings!$C$61,DAY($B163))))&lt;=MIN($C163,IF(Settings!$E$61="",$C163,Settings!$E$61))),1,0))+IF(OR(Settings!$B$62="",Settings!$F$62="No"),0,Settings!$B$62*IF(AND(IF(Settings!$C$62="",$B163,DATE(YEAR($A163),MONTH($A163),MIN(Settings!$C$62,DAY($B163))))&gt;=MAX($A163,Settings!$D$62),IF(Settings!$C$62="",$B163,DATE(YEAR($A163),MONTH($A163),MIN(Settings!$C$62,DAY($B163))))&lt;=MIN($C163,IF(Settings!$E$62="",$C163,Settings!$E$62))),1,0))+IF(OR(Settings!$B$63="",Settings!$F$63="No"),0,Settings!$B$63*IF(AND(IF(Settings!$C$63="",$B163,DATE(YEAR($A163),MONTH($A163),MIN(Settings!$C$63,DAY($B163))))&gt;=MAX($A163,Settings!$D$63),IF(Settings!$C$63="",$B163,DATE(YEAR($A163),MONTH($A163),MIN(Settings!$C$63,DAY($B163))))&lt;=MIN($C163,IF(Settings!$E$63="",$C163,Settings!$E$63))),1,0))+IF(OR(Settings!$B$64="",Settings!$F$64="No"),0,Settings!$B$64*IF(AND(IF(Settings!$C$64="",$B163,DATE(YEAR($A163),MONTH($A163),MIN(Settings!$C$64,DAY($B163))))&gt;=MAX($A163,Settings!$D$64),IF(Settings!$C$64="",$B163,DATE(YEAR($A163),MONTH($A163),MIN(Settings!$C$64,DAY($B163))))&lt;=MIN($C163,IF(Settings!$E$64="",$C163,Settings!$E$64))),1,0))+IF(OR(Settings!$B$65="",Settings!$F$65="No"),0,Settings!$B$65*IF(AND(IF(Settings!$C$65="",$B163,DATE(YEAR($A163),MONTH($A163),MIN(Settings!$C$65,DAY($B163))))&gt;=MAX($A163,Settings!$D$65),IF(Settings!$C$65="",$B163,DATE(YEAR($A163),MONTH($A163),MIN(Settings!$C$65,DAY($B163))))&lt;=MIN($C163,IF(Settings!$E$65="",$C163,Settings!$E$65))),1,0))</f>
        <v/>
      </c>
      <c r="AA163">
        <f>$X163+$Z163</f>
        <v/>
      </c>
      <c r="AB163">
        <f>IF($E163="post",$AA163,IF($E163="open",SUMIFS(Giving!$B$7:$B$2006,Giving!$A$7:$A$2006,"&gt;"&amp;Settings!$B$5,Giving!$A$7:$A$2006,"&lt;="&amp;$B163,Giving!$E$7:$E$2006,"&lt;&gt;No")+IF(OR(Settings!$B$60="",Settings!$F$60="No"),0,Settings!$B$60*IF(AND(IF(Settings!$C$60="",$B163,DATE(YEAR($A163),MONTH($A163),MIN(Settings!$C$60,DAY($B163))))&gt;=MAX($A163,Settings!$D$60,Settings!$B$5+1),IF(Settings!$C$60="",$B163,DATE(YEAR($A163),MONTH($A163),MIN(Settings!$C$60,DAY($B163))))&lt;=MIN($C163,IF(Settings!$E$60="",$C163,Settings!$E$60))),1,0))+IF(OR(Settings!$B$61="",Settings!$F$61="No"),0,Settings!$B$61*IF(AND(IF(Settings!$C$61="",$B163,DATE(YEAR($A163),MONTH($A163),MIN(Settings!$C$61,DAY($B163))))&gt;=MAX($A163,Settings!$D$61,Settings!$B$5+1),IF(Settings!$C$61="",$B163,DATE(YEAR($A163),MONTH($A163),MIN(Settings!$C$61,DAY($B163))))&lt;=MIN($C163,IF(Settings!$E$61="",$C163,Settings!$E$61))),1,0))+IF(OR(Settings!$B$62="",Settings!$F$62="No"),0,Settings!$B$62*IF(AND(IF(Settings!$C$62="",$B163,DATE(YEAR($A163),MONTH($A163),MIN(Settings!$C$62,DAY($B163))))&gt;=MAX($A163,Settings!$D$62,Settings!$B$5+1),IF(Settings!$C$62="",$B163,DATE(YEAR($A163),MONTH($A163),MIN(Settings!$C$62,DAY($B163))))&lt;=MIN($C163,IF(Settings!$E$62="",$C163,Settings!$E$62))),1,0))+IF(OR(Settings!$B$63="",Settings!$F$63="No"),0,Settings!$B$63*IF(AND(IF(Settings!$C$63="",$B163,DATE(YEAR($A163),MONTH($A163),MIN(Settings!$C$63,DAY($B163))))&gt;=MAX($A163,Settings!$D$63,Settings!$B$5+1),IF(Settings!$C$63="",$B163,DATE(YEAR($A163),MONTH($A163),MIN(Settings!$C$63,DAY($B163))))&lt;=MIN($C163,IF(Settings!$E$63="",$C163,Settings!$E$63))),1,0))+IF(OR(Settings!$B$64="",Settings!$F$64="No"),0,Settings!$B$64*IF(AND(IF(Settings!$C$64="",$B163,DATE(YEAR($A163),MONTH($A163),MIN(Settings!$C$64,DAY($B163))))&gt;=MAX($A163,Settings!$D$64,Settings!$B$5+1),IF(Settings!$C$64="",$B163,DATE(YEAR($A163),MONTH($A163),MIN(Settings!$C$64,DAY($B163))))&lt;=MIN($C163,IF(Settings!$E$64="",$C163,Settings!$E$64))),1,0))+IF(OR(Settings!$B$65="",Settings!$F$65="No"),0,Settings!$B$65*IF(AND(IF(Settings!$C$65="",$B163,DATE(YEAR($A163),MONTH($A163),MIN(Settings!$C$65,DAY($B163))))&gt;=MAX($A163,Settings!$D$65,Settings!$B$5+1),IF(Settings!$C$65="",$B163,DATE(YEAR($A163),MONTH($A163),MIN(Settings!$C$65,DAY($B163))))&lt;=MIN($C163,IF(Settings!$E$65="",$C163,Settings!$E$65))),1,0)),0))</f>
        <v/>
      </c>
      <c r="AC163">
        <f>$AY163+$AZ163+$BA163+$BB163+$BC163+$BD163</f>
        <v/>
      </c>
      <c r="AD163">
        <f>$AC163</f>
        <v/>
      </c>
      <c r="AE163">
        <f>IF(OR(Settings!$A$19="",$E163="pre"),"",IF(AND('Month-End'!$FD$7&lt;&gt;"",NOT(_xlfn.ISFORMULA('Month-End'!$FD$7))),N('Month-End'!$FD$7),IF(OR($E163="open",$E162="pre"),N(Settings!$C$19),N($AE162))))</f>
        <v/>
      </c>
      <c r="AF163">
        <f>IF(OR(Settings!$A$20="",$E163="pre"),"",IF(AND('Month-End'!$FD$8&lt;&gt;"",NOT(_xlfn.ISFORMULA('Month-End'!$FD$8))),N('Month-End'!$FD$8),IF(OR($E163="open",$E162="pre"),N(Settings!$C$20),N($AF162))))</f>
        <v/>
      </c>
      <c r="AG163">
        <f>IF(OR(Settings!$A$21="",$E163="pre"),"",IF(AND('Month-End'!$FD$9&lt;&gt;"",NOT(_xlfn.ISFORMULA('Month-End'!$FD$9))),N('Month-End'!$FD$9),IF(OR($E163="open",$E162="pre"),N(Settings!$C$21),N($AG162))))</f>
        <v/>
      </c>
      <c r="AH163">
        <f>IF(OR(Settings!$A$22="",$E163="pre"),"",IF(AND('Month-End'!$FD$10&lt;&gt;"",NOT(_xlfn.ISFORMULA('Month-End'!$FD$10))),N('Month-End'!$FD$10),IF(OR($E163="open",$E162="pre"),N(Settings!$C$22),N($AH162))))</f>
        <v/>
      </c>
      <c r="AI163">
        <f>IF(OR(Settings!$A$23="",$E163="pre"),"",IF(AND('Month-End'!$FD$11&lt;&gt;"",NOT(_xlfn.ISFORMULA('Month-End'!$FD$11))),N('Month-End'!$FD$11),IF(OR($E163="open",$E162="pre"),N(Settings!$C$23),N($AI162))))</f>
        <v/>
      </c>
      <c r="AJ163">
        <f>IF(OR(Settings!$A$24="",$E163="pre"),"",IF(AND('Month-End'!$FD$12&lt;&gt;"",NOT(_xlfn.ISFORMULA('Month-End'!$FD$12))),N('Month-End'!$FD$12),IF(OR($E163="open",$E162="pre"),N(Settings!$C$24),N($AJ162))))</f>
        <v/>
      </c>
      <c r="AK163">
        <f>IF(OR(Settings!$A$25="",$E163="pre"),"",IF(AND('Month-End'!$FD$13&lt;&gt;"",NOT(_xlfn.ISFORMULA('Month-End'!$FD$13))),N('Month-End'!$FD$13),IF(OR($E163="open",$E162="pre"),N(Settings!$C$25),N($AK162))))</f>
        <v/>
      </c>
      <c r="AL163">
        <f>IF(OR(Settings!$A$26="",$E163="pre"),"",IF(AND('Month-End'!$FD$14&lt;&gt;"",NOT(_xlfn.ISFORMULA('Month-End'!$FD$14))),N('Month-End'!$FD$14),IF(OR($E163="open",$E162="pre"),N(Settings!$C$26),N($AL162))))</f>
        <v/>
      </c>
      <c r="AM163">
        <f>IF(OR(Settings!$A$27="",$E163="pre"),"",IF(AND('Month-End'!$FD$15&lt;&gt;"",NOT(_xlfn.ISFORMULA('Month-End'!$FD$15))),N('Month-End'!$FD$15),IF(OR($E163="open",$E162="pre"),N(Settings!$C$27),N($AM162))))</f>
        <v/>
      </c>
      <c r="AN163">
        <f>IF(OR(Settings!$A$28="",$E163="pre"),"",IF(AND('Month-End'!$FD$16&lt;&gt;"",NOT(_xlfn.ISFORMULA('Month-End'!$FD$16))),N('Month-End'!$FD$16),IF(OR($E163="open",$E162="pre"),N(Settings!$C$28),N($AN162))))</f>
        <v/>
      </c>
      <c r="AO163">
        <f>IF(OR(Settings!$A$29="",$E163="pre"),"",IF(AND('Month-End'!$FD$17&lt;&gt;"",NOT(_xlfn.ISFORMULA('Month-End'!$FD$17))),N('Month-End'!$FD$17),IF(OR($E163="open",$E162="pre"),N(Settings!$C$29),N($AO162))))</f>
        <v/>
      </c>
      <c r="AP163">
        <f>IF(OR(Settings!$A$30="",$E163="pre"),"",IF(AND('Month-End'!$FD$18&lt;&gt;"",NOT(_xlfn.ISFORMULA('Month-End'!$FD$18))),N('Month-End'!$FD$18),IF(OR($E163="open",$E162="pre"),N(Settings!$C$30),N($AP162))))</f>
        <v/>
      </c>
      <c r="AQ163">
        <f>IF(OR(Settings!$A$31="",$E163="pre"),"",IF(AND('Month-End'!$FD$19&lt;&gt;"",NOT(_xlfn.ISFORMULA('Month-End'!$FD$19))),N('Month-End'!$FD$19),IF(OR($E163="open",$E162="pre"),N(Settings!$C$31),N($AQ162))))</f>
        <v/>
      </c>
      <c r="AR163">
        <f>IF(OR(Settings!$A$32="",$E163="pre"),"",IF(AND('Month-End'!$FD$20&lt;&gt;"",NOT(_xlfn.ISFORMULA('Month-End'!$FD$20))),N('Month-End'!$FD$20),IF(OR($E163="open",$E162="pre"),N(Settings!$C$32),N($AR162))))</f>
        <v/>
      </c>
      <c r="AS163">
        <f>IF(OR(Settings!$A$36="",$E163="pre"),"",IF(AND('Month-End'!$FD$38&lt;&gt;"",NOT(_xlfn.ISFORMULA('Month-End'!$FD$38))),N('Month-End'!$FD$38),IF(OR($E163="open",$E162="pre"),N(Settings!$C$36),N($AS162))+$AY163))</f>
        <v/>
      </c>
      <c r="AT163">
        <f>IF(OR(Settings!$A$37="",$E163="pre"),"",IF(AND('Month-End'!$FD$39&lt;&gt;"",NOT(_xlfn.ISFORMULA('Month-End'!$FD$39))),N('Month-End'!$FD$39),IF(OR($E163="open",$E162="pre"),N(Settings!$C$37),N($AT162))+$AZ163))</f>
        <v/>
      </c>
      <c r="AU163">
        <f>IF(OR(Settings!$A$38="",$E163="pre"),"",IF(AND('Month-End'!$FD$40&lt;&gt;"",NOT(_xlfn.ISFORMULA('Month-End'!$FD$40))),N('Month-End'!$FD$40),IF(OR($E163="open",$E162="pre"),N(Settings!$C$38),N($AU162))+$BA163))</f>
        <v/>
      </c>
      <c r="AV163">
        <f>IF(OR(Settings!$A$39="",$E163="pre"),"",IF(AND('Month-End'!$FD$41&lt;&gt;"",NOT(_xlfn.ISFORMULA('Month-End'!$FD$41))),N('Month-End'!$FD$41),IF(OR($E163="open",$E162="pre"),N(Settings!$C$39),N($AV162))+$BB163))</f>
        <v/>
      </c>
      <c r="AW163">
        <f>IF(OR(Settings!$A$40="",$E163="pre"),"",IF(AND('Month-End'!$FD$42&lt;&gt;"",NOT(_xlfn.ISFORMULA('Month-End'!$FD$42))),N('Month-End'!$FD$42),IF(OR($E163="open",$E162="pre"),N(Settings!$C$40),N($AW162))+$BC163))</f>
        <v/>
      </c>
      <c r="AX163">
        <f>IF(OR(Settings!$A$41="",$E163="pre"),"",IF(AND('Month-End'!$FD$43&lt;&gt;"",NOT(_xlfn.ISFORMULA('Month-End'!$FD$43))),N('Month-End'!$FD$43),IF(OR($E163="open",$E162="pre"),N(Settings!$C$41),N($AX162))+$BD163))</f>
        <v/>
      </c>
      <c r="AY163">
        <f>IF($E163="pre",0,N('Month-End'!$FD$45))</f>
        <v/>
      </c>
      <c r="AZ163">
        <f>IF($E163="pre",0,N('Month-End'!$FD$46))</f>
        <v/>
      </c>
      <c r="BA163">
        <f>IF($E163="pre",0,N('Month-End'!$FD$47))</f>
        <v/>
      </c>
      <c r="BB163">
        <f>IF($E163="pre",0,N('Month-End'!$FD$48))</f>
        <v/>
      </c>
      <c r="BC163">
        <f>IF($E163="pre",0,N('Month-End'!$FD$49))</f>
        <v/>
      </c>
      <c r="BD163">
        <f>IF($E163="pre",0,N('Month-End'!$FD$50))</f>
        <v/>
      </c>
      <c r="BE163">
        <f>IF(OR(Settings!$C$45="",Settings!$D$45=""),0,Settings!$C$45*IF(Settings!$D$45="Weekly",IF(IFERROR(MATCH(Settings!$E$45,$EO$4:$EO$10,0),0)=0,0,IF(MIN($C163,IF(Settings!$G$45="",$C163,Settings!$G$45))&lt;MAX($A163,Settings!$F$45),0,INT((MIN($C163,IF(Settings!$G$45="",$C163,Settings!$G$45))-MAX($A163,Settings!$F$45)-MOD(IFERROR(MATCH(Settings!$E$45,$EO$4:$EO$10,0),0)-WEEKDAY(MAX($A163,Settings!$F$45)),7))/7)+1)),IF(AND(IF(Settings!$E$45="",$B163,DATE(YEAR($A163),MONTH($A163),MIN(Settings!$E$45,DAY($B163))))&gt;=MAX($A163,Settings!$F$45),IF(Settings!$E$45="",$B163,DATE(YEAR($A163),MONTH($A163),MIN(Settings!$E$45,DAY($B163))))&lt;=MIN($C163,IF(Settings!$G$45="",$C163,Settings!$G$45))),1,0)))</f>
        <v/>
      </c>
      <c r="BF163">
        <f>IF(OR(Settings!$C$46="",Settings!$D$46=""),0,Settings!$C$46*IF(Settings!$D$46="Weekly",IF(IFERROR(MATCH(Settings!$E$46,$EO$4:$EO$10,0),0)=0,0,IF(MIN($C163,IF(Settings!$G$46="",$C163,Settings!$G$46))&lt;MAX($A163,Settings!$F$46),0,INT((MIN($C163,IF(Settings!$G$46="",$C163,Settings!$G$46))-MAX($A163,Settings!$F$46)-MOD(IFERROR(MATCH(Settings!$E$46,$EO$4:$EO$10,0),0)-WEEKDAY(MAX($A163,Settings!$F$46)),7))/7)+1)),IF(AND(IF(Settings!$E$46="",$B163,DATE(YEAR($A163),MONTH($A163),MIN(Settings!$E$46,DAY($B163))))&gt;=MAX($A163,Settings!$F$46),IF(Settings!$E$46="",$B163,DATE(YEAR($A163),MONTH($A163),MIN(Settings!$E$46,DAY($B163))))&lt;=MIN($C163,IF(Settings!$G$46="",$C163,Settings!$G$46))),1,0)))</f>
        <v/>
      </c>
      <c r="BG163">
        <f>IF(OR(Settings!$C$47="",Settings!$D$47=""),0,Settings!$C$47*IF(Settings!$D$47="Weekly",IF(IFERROR(MATCH(Settings!$E$47,$EO$4:$EO$10,0),0)=0,0,IF(MIN($C163,IF(Settings!$G$47="",$C163,Settings!$G$47))&lt;MAX($A163,Settings!$F$47),0,INT((MIN($C163,IF(Settings!$G$47="",$C163,Settings!$G$47))-MAX($A163,Settings!$F$47)-MOD(IFERROR(MATCH(Settings!$E$47,$EO$4:$EO$10,0),0)-WEEKDAY(MAX($A163,Settings!$F$47)),7))/7)+1)),IF(AND(IF(Settings!$E$47="",$B163,DATE(YEAR($A163),MONTH($A163),MIN(Settings!$E$47,DAY($B163))))&gt;=MAX($A163,Settings!$F$47),IF(Settings!$E$47="",$B163,DATE(YEAR($A163),MONTH($A163),MIN(Settings!$E$47,DAY($B163))))&lt;=MIN($C163,IF(Settings!$G$47="",$C163,Settings!$G$47))),1,0)))</f>
        <v/>
      </c>
      <c r="BH163">
        <f>IF(OR(Settings!$C$48="",Settings!$D$48=""),0,Settings!$C$48*IF(Settings!$D$48="Weekly",IF(IFERROR(MATCH(Settings!$E$48,$EO$4:$EO$10,0),0)=0,0,IF(MIN($C163,IF(Settings!$G$48="",$C163,Settings!$G$48))&lt;MAX($A163,Settings!$F$48),0,INT((MIN($C163,IF(Settings!$G$48="",$C163,Settings!$G$48))-MAX($A163,Settings!$F$48)-MOD(IFERROR(MATCH(Settings!$E$48,$EO$4:$EO$10,0),0)-WEEKDAY(MAX($A163,Settings!$F$48)),7))/7)+1)),IF(AND(IF(Settings!$E$48="",$B163,DATE(YEAR($A163),MONTH($A163),MIN(Settings!$E$48,DAY($B163))))&gt;=MAX($A163,Settings!$F$48),IF(Settings!$E$48="",$B163,DATE(YEAR($A163),MONTH($A163),MIN(Settings!$E$48,DAY($B163))))&lt;=MIN($C163,IF(Settings!$G$48="",$C163,Settings!$G$48))),1,0)))</f>
        <v/>
      </c>
      <c r="BI163">
        <f>IF(OR(Settings!$C$49="",Settings!$D$49=""),0,Settings!$C$49*IF(Settings!$D$49="Weekly",IF(IFERROR(MATCH(Settings!$E$49,$EO$4:$EO$10,0),0)=0,0,IF(MIN($C163,IF(Settings!$G$49="",$C163,Settings!$G$49))&lt;MAX($A163,Settings!$F$49),0,INT((MIN($C163,IF(Settings!$G$49="",$C163,Settings!$G$49))-MAX($A163,Settings!$F$49)-MOD(IFERROR(MATCH(Settings!$E$49,$EO$4:$EO$10,0),0)-WEEKDAY(MAX($A163,Settings!$F$49)),7))/7)+1)),IF(AND(IF(Settings!$E$49="",$B163,DATE(YEAR($A163),MONTH($A163),MIN(Settings!$E$49,DAY($B163))))&gt;=MAX($A163,Settings!$F$49),IF(Settings!$E$49="",$B163,DATE(YEAR($A163),MONTH($A163),MIN(Settings!$E$49,DAY($B163))))&lt;=MIN($C163,IF(Settings!$G$49="",$C163,Settings!$G$49))),1,0)))</f>
        <v/>
      </c>
      <c r="BJ163">
        <f>IF(OR(Settings!$C$50="",Settings!$D$50=""),0,Settings!$C$50*IF(Settings!$D$50="Weekly",IF(IFERROR(MATCH(Settings!$E$50,$EO$4:$EO$10,0),0)=0,0,IF(MIN($C163,IF(Settings!$G$50="",$C163,Settings!$G$50))&lt;MAX($A163,Settings!$F$50),0,INT((MIN($C163,IF(Settings!$G$50="",$C163,Settings!$G$50))-MAX($A163,Settings!$F$50)-MOD(IFERROR(MATCH(Settings!$E$50,$EO$4:$EO$10,0),0)-WEEKDAY(MAX($A163,Settings!$F$50)),7))/7)+1)),IF(AND(IF(Settings!$E$50="",$B163,DATE(YEAR($A163),MONTH($A163),MIN(Settings!$E$50,DAY($B163))))&gt;=MAX($A163,Settings!$F$50),IF(Settings!$E$50="",$B163,DATE(YEAR($A163),MONTH($A163),MIN(Settings!$E$50,DAY($B163))))&lt;=MIN($C163,IF(Settings!$G$50="",$C163,Settings!$G$50))),1,0)))</f>
        <v/>
      </c>
      <c r="BK163">
        <f>IF(OR(Settings!$C$51="",Settings!$D$51=""),0,Settings!$C$51*IF(Settings!$D$51="Weekly",IF(IFERROR(MATCH(Settings!$E$51,$EO$4:$EO$10,0),0)=0,0,IF(MIN($C163,IF(Settings!$G$51="",$C163,Settings!$G$51))&lt;MAX($A163,Settings!$F$51),0,INT((MIN($C163,IF(Settings!$G$51="",$C163,Settings!$G$51))-MAX($A163,Settings!$F$51)-MOD(IFERROR(MATCH(Settings!$E$51,$EO$4:$EO$10,0),0)-WEEKDAY(MAX($A163,Settings!$F$51)),7))/7)+1)),IF(AND(IF(Settings!$E$51="",$B163,DATE(YEAR($A163),MONTH($A163),MIN(Settings!$E$51,DAY($B163))))&gt;=MAX($A163,Settings!$F$51),IF(Settings!$E$51="",$B163,DATE(YEAR($A163),MONTH($A163),MIN(Settings!$E$51,DAY($B163))))&lt;=MIN($C163,IF(Settings!$G$51="",$C163,Settings!$G$51))),1,0)))</f>
        <v/>
      </c>
      <c r="BL163">
        <f>IF(OR(Settings!$C$52="",Settings!$D$52=""),0,Settings!$C$52*IF(Settings!$D$52="Weekly",IF(IFERROR(MATCH(Settings!$E$52,$EO$4:$EO$10,0),0)=0,0,IF(MIN($C163,IF(Settings!$G$52="",$C163,Settings!$G$52))&lt;MAX($A163,Settings!$F$52),0,INT((MIN($C163,IF(Settings!$G$52="",$C163,Settings!$G$52))-MAX($A163,Settings!$F$52)-MOD(IFERROR(MATCH(Settings!$E$52,$EO$4:$EO$10,0),0)-WEEKDAY(MAX($A163,Settings!$F$52)),7))/7)+1)),IF(AND(IF(Settings!$E$52="",$B163,DATE(YEAR($A163),MONTH($A163),MIN(Settings!$E$52,DAY($B163))))&gt;=MAX($A163,Settings!$F$52),IF(Settings!$E$52="",$B163,DATE(YEAR($A163),MONTH($A163),MIN(Settings!$E$52,DAY($B163))))&lt;=MIN($C163,IF(Settings!$G$52="",$C163,Settings!$G$52))),1,0)))</f>
        <v/>
      </c>
      <c r="BM163">
        <f>IF(OR(Settings!$C$53="",Settings!$D$53=""),0,Settings!$C$53*IF(Settings!$D$53="Weekly",IF(IFERROR(MATCH(Settings!$E$53,$EO$4:$EO$10,0),0)=0,0,IF(MIN($C163,IF(Settings!$G$53="",$C163,Settings!$G$53))&lt;MAX($A163,Settings!$F$53),0,INT((MIN($C163,IF(Settings!$G$53="",$C163,Settings!$G$53))-MAX($A163,Settings!$F$53)-MOD(IFERROR(MATCH(Settings!$E$53,$EO$4:$EO$10,0),0)-WEEKDAY(MAX($A163,Settings!$F$53)),7))/7)+1)),IF(AND(IF(Settings!$E$53="",$B163,DATE(YEAR($A163),MONTH($A163),MIN(Settings!$E$53,DAY($B163))))&gt;=MAX($A163,Settings!$F$53),IF(Settings!$E$53="",$B163,DATE(YEAR($A163),MONTH($A163),MIN(Settings!$E$53,DAY($B163))))&lt;=MIN($C163,IF(Settings!$G$53="",$C163,Settings!$G$53))),1,0)))</f>
        <v/>
      </c>
      <c r="BN163">
        <f>IF(OR(Settings!$C$54="",Settings!$D$54=""),0,Settings!$C$54*IF(Settings!$D$54="Weekly",IF(IFERROR(MATCH(Settings!$E$54,$EO$4:$EO$10,0),0)=0,0,IF(MIN($C163,IF(Settings!$G$54="",$C163,Settings!$G$54))&lt;MAX($A163,Settings!$F$54),0,INT((MIN($C163,IF(Settings!$G$54="",$C163,Settings!$G$54))-MAX($A163,Settings!$F$54)-MOD(IFERROR(MATCH(Settings!$E$54,$EO$4:$EO$10,0),0)-WEEKDAY(MAX($A163,Settings!$F$54)),7))/7)+1)),IF(AND(IF(Settings!$E$54="",$B163,DATE(YEAR($A163),MONTH($A163),MIN(Settings!$E$54,DAY($B163))))&gt;=MAX($A163,Settings!$F$54),IF(Settings!$E$54="",$B163,DATE(YEAR($A163),MONTH($A163),MIN(Settings!$E$54,DAY($B163))))&lt;=MIN($C163,IF(Settings!$G$54="",$C163,Settings!$G$54))),1,0)))</f>
        <v/>
      </c>
      <c r="BO163">
        <f>IF(OR(Settings!$C$55="",Settings!$D$55=""),0,Settings!$C$55*IF(Settings!$D$55="Weekly",IF(IFERROR(MATCH(Settings!$E$55,$EO$4:$EO$10,0),0)=0,0,IF(MIN($C163,IF(Settings!$G$55="",$C163,Settings!$G$55))&lt;MAX($A163,Settings!$F$55),0,INT((MIN($C163,IF(Settings!$G$55="",$C163,Settings!$G$55))-MAX($A163,Settings!$F$55)-MOD(IFERROR(MATCH(Settings!$E$55,$EO$4:$EO$10,0),0)-WEEKDAY(MAX($A163,Settings!$F$55)),7))/7)+1)),IF(AND(IF(Settings!$E$55="",$B163,DATE(YEAR($A163),MONTH($A163),MIN(Settings!$E$55,DAY($B163))))&gt;=MAX($A163,Settings!$F$55),IF(Settings!$E$55="",$B163,DATE(YEAR($A163),MONTH($A163),MIN(Settings!$E$55,DAY($B163))))&lt;=MIN($C163,IF(Settings!$G$55="",$C163,Settings!$G$55))),1,0)))</f>
        <v/>
      </c>
      <c r="BP163">
        <f>IF(OR(Settings!$C$56="",Settings!$D$56=""),0,Settings!$C$56*IF(Settings!$D$56="Weekly",IF(IFERROR(MATCH(Settings!$E$56,$EO$4:$EO$10,0),0)=0,0,IF(MIN($C163,IF(Settings!$G$56="",$C163,Settings!$G$56))&lt;MAX($A163,Settings!$F$56),0,INT((MIN($C163,IF(Settings!$G$56="",$C163,Settings!$G$56))-MAX($A163,Settings!$F$56)-MOD(IFERROR(MATCH(Settings!$E$56,$EO$4:$EO$10,0),0)-WEEKDAY(MAX($A163,Settings!$F$56)),7))/7)+1)),IF(AND(IF(Settings!$E$56="",$B163,DATE(YEAR($A163),MONTH($A163),MIN(Settings!$E$56,DAY($B163))))&gt;=MAX($A163,Settings!$F$56),IF(Settings!$E$56="",$B163,DATE(YEAR($A163),MONTH($A163),MIN(Settings!$E$56,DAY($B163))))&lt;=MIN($C163,IF(Settings!$G$56="",$C163,Settings!$G$56))),1,0)))</f>
        <v/>
      </c>
      <c r="BQ163">
        <f>IF(OR(Settings!$B$14="",$D163=1,$E163="pre",$A163&lt;IF(Settings!$B$15="",0,Settings!$B$15)),0,Settings!$B$14)</f>
        <v/>
      </c>
      <c r="BR163">
        <f>IF(AND('Month-End'!$FD$7&lt;&gt;"",NOT(_xlfn.ISFORMULA('Month-End'!$FD$7))),1,0)</f>
        <v/>
      </c>
      <c r="BS163">
        <f>IF(AND('Month-End'!$FD$8&lt;&gt;"",NOT(_xlfn.ISFORMULA('Month-End'!$FD$8))),1,0)</f>
        <v/>
      </c>
      <c r="BT163">
        <f>IF(AND('Month-End'!$FD$9&lt;&gt;"",NOT(_xlfn.ISFORMULA('Month-End'!$FD$9))),1,0)</f>
        <v/>
      </c>
      <c r="BU163">
        <f>IF(AND('Month-End'!$FD$10&lt;&gt;"",NOT(_xlfn.ISFORMULA('Month-End'!$FD$10))),1,0)</f>
        <v/>
      </c>
      <c r="BV163">
        <f>IF(AND('Month-End'!$FD$11&lt;&gt;"",NOT(_xlfn.ISFORMULA('Month-End'!$FD$11))),1,0)</f>
        <v/>
      </c>
      <c r="BW163">
        <f>IF(AND('Month-End'!$FD$12&lt;&gt;"",NOT(_xlfn.ISFORMULA('Month-End'!$FD$12))),1,0)</f>
        <v/>
      </c>
      <c r="BX163">
        <f>IF(AND('Month-End'!$FD$13&lt;&gt;"",NOT(_xlfn.ISFORMULA('Month-End'!$FD$13))),1,0)</f>
        <v/>
      </c>
      <c r="BY163">
        <f>IF(AND('Month-End'!$FD$14&lt;&gt;"",NOT(_xlfn.ISFORMULA('Month-End'!$FD$14))),1,0)</f>
        <v/>
      </c>
      <c r="BZ163">
        <f>IF(AND('Month-End'!$FD$15&lt;&gt;"",NOT(_xlfn.ISFORMULA('Month-End'!$FD$15))),1,0)</f>
        <v/>
      </c>
      <c r="CA163">
        <f>IF(AND('Month-End'!$FD$16&lt;&gt;"",NOT(_xlfn.ISFORMULA('Month-End'!$FD$16))),1,0)</f>
        <v/>
      </c>
      <c r="CB163">
        <f>IF(AND('Month-End'!$FD$17&lt;&gt;"",NOT(_xlfn.ISFORMULA('Month-End'!$FD$17))),1,0)</f>
        <v/>
      </c>
      <c r="CC163">
        <f>IF(AND('Month-End'!$FD$18&lt;&gt;"",NOT(_xlfn.ISFORMULA('Month-End'!$FD$18))),1,0)</f>
        <v/>
      </c>
      <c r="CD163">
        <f>IF(AND('Month-End'!$FD$19&lt;&gt;"",NOT(_xlfn.ISFORMULA('Month-End'!$FD$19))),1,0)</f>
        <v/>
      </c>
      <c r="CE163">
        <f>IF(AND('Month-End'!$FD$20&lt;&gt;"",NOT(_xlfn.ISFORMULA('Month-End'!$FD$20))),1,0)</f>
        <v/>
      </c>
      <c r="CF163">
        <f>IF(AND('Month-End'!$FD$38&lt;&gt;"",NOT(_xlfn.ISFORMULA('Month-End'!$FD$38))),1,0)</f>
        <v/>
      </c>
      <c r="CG163">
        <f>IF(AND('Month-End'!$FD$39&lt;&gt;"",NOT(_xlfn.ISFORMULA('Month-End'!$FD$39))),1,0)</f>
        <v/>
      </c>
      <c r="CH163">
        <f>IF(AND('Month-End'!$FD$40&lt;&gt;"",NOT(_xlfn.ISFORMULA('Month-End'!$FD$40))),1,0)</f>
        <v/>
      </c>
      <c r="CI163">
        <f>IF(AND('Month-End'!$FD$41&lt;&gt;"",NOT(_xlfn.ISFORMULA('Month-End'!$FD$41))),1,0)</f>
        <v/>
      </c>
      <c r="CJ163">
        <f>IF(AND('Month-End'!$FD$42&lt;&gt;"",NOT(_xlfn.ISFORMULA('Month-End'!$FD$42))),1,0)</f>
        <v/>
      </c>
      <c r="CK163">
        <f>IF(AND('Month-End'!$FD$43&lt;&gt;"",NOT(_xlfn.ISFORMULA('Month-End'!$FD$43))),1,0)</f>
        <v/>
      </c>
      <c r="CL163">
        <f>SUM($CM163:$CZ163)</f>
        <v/>
      </c>
      <c r="CM163">
        <f>IF(AND($E163&lt;&gt;"pre",AND(Settings!$A$19&lt;&gt;"",Settings!$E$19&lt;&gt;"No"),Settings!$F$19="Yes",NOT(AND('Month-End'!$FD$7&lt;&gt;"",NOT(_xlfn.ISFORMULA('Month-End'!$FD$7))))),1,0)</f>
        <v/>
      </c>
      <c r="CN163">
        <f>IF(AND($E163&lt;&gt;"pre",AND(Settings!$A$20&lt;&gt;"",Settings!$E$20&lt;&gt;"No"),Settings!$F$20="Yes",NOT(AND('Month-End'!$FD$8&lt;&gt;"",NOT(_xlfn.ISFORMULA('Month-End'!$FD$8))))),1,0)</f>
        <v/>
      </c>
      <c r="CO163">
        <f>IF(AND($E163&lt;&gt;"pre",AND(Settings!$A$21&lt;&gt;"",Settings!$E$21&lt;&gt;"No"),Settings!$F$21="Yes",NOT(AND('Month-End'!$FD$9&lt;&gt;"",NOT(_xlfn.ISFORMULA('Month-End'!$FD$9))))),1,0)</f>
        <v/>
      </c>
      <c r="CP163">
        <f>IF(AND($E163&lt;&gt;"pre",AND(Settings!$A$22&lt;&gt;"",Settings!$E$22&lt;&gt;"No"),Settings!$F$22="Yes",NOT(AND('Month-End'!$FD$10&lt;&gt;"",NOT(_xlfn.ISFORMULA('Month-End'!$FD$10))))),1,0)</f>
        <v/>
      </c>
      <c r="CQ163">
        <f>IF(AND($E163&lt;&gt;"pre",AND(Settings!$A$23&lt;&gt;"",Settings!$E$23&lt;&gt;"No"),Settings!$F$23="Yes",NOT(AND('Month-End'!$FD$11&lt;&gt;"",NOT(_xlfn.ISFORMULA('Month-End'!$FD$11))))),1,0)</f>
        <v/>
      </c>
      <c r="CR163">
        <f>IF(AND($E163&lt;&gt;"pre",AND(Settings!$A$24&lt;&gt;"",Settings!$E$24&lt;&gt;"No"),Settings!$F$24="Yes",NOT(AND('Month-End'!$FD$12&lt;&gt;"",NOT(_xlfn.ISFORMULA('Month-End'!$FD$12))))),1,0)</f>
        <v/>
      </c>
      <c r="CS163">
        <f>IF(AND($E163&lt;&gt;"pre",AND(Settings!$A$25&lt;&gt;"",Settings!$E$25&lt;&gt;"No"),Settings!$F$25="Yes",NOT(AND('Month-End'!$FD$13&lt;&gt;"",NOT(_xlfn.ISFORMULA('Month-End'!$FD$13))))),1,0)</f>
        <v/>
      </c>
      <c r="CT163">
        <f>IF(AND($E163&lt;&gt;"pre",AND(Settings!$A$26&lt;&gt;"",Settings!$E$26&lt;&gt;"No"),Settings!$F$26="Yes",NOT(AND('Month-End'!$FD$14&lt;&gt;"",NOT(_xlfn.ISFORMULA('Month-End'!$FD$14))))),1,0)</f>
        <v/>
      </c>
      <c r="CU163">
        <f>IF(AND($E163&lt;&gt;"pre",AND(Settings!$A$27&lt;&gt;"",Settings!$E$27&lt;&gt;"No"),Settings!$F$27="Yes",NOT(AND('Month-End'!$FD$15&lt;&gt;"",NOT(_xlfn.ISFORMULA('Month-End'!$FD$15))))),1,0)</f>
        <v/>
      </c>
      <c r="CV163">
        <f>IF(AND($E163&lt;&gt;"pre",AND(Settings!$A$28&lt;&gt;"",Settings!$E$28&lt;&gt;"No"),Settings!$F$28="Yes",NOT(AND('Month-End'!$FD$16&lt;&gt;"",NOT(_xlfn.ISFORMULA('Month-End'!$FD$16))))),1,0)</f>
        <v/>
      </c>
      <c r="CW163">
        <f>IF(AND($E163&lt;&gt;"pre",AND(Settings!$A$29&lt;&gt;"",Settings!$E$29&lt;&gt;"No"),Settings!$F$29="Yes",NOT(AND('Month-End'!$FD$17&lt;&gt;"",NOT(_xlfn.ISFORMULA('Month-End'!$FD$17))))),1,0)</f>
        <v/>
      </c>
      <c r="CX163">
        <f>IF(AND($E163&lt;&gt;"pre",AND(Settings!$A$30&lt;&gt;"",Settings!$E$30&lt;&gt;"No"),Settings!$F$30="Yes",NOT(AND('Month-End'!$FD$18&lt;&gt;"",NOT(_xlfn.ISFORMULA('Month-End'!$FD$18))))),1,0)</f>
        <v/>
      </c>
      <c r="CY163">
        <f>IF(AND($E163&lt;&gt;"pre",AND(Settings!$A$31&lt;&gt;"",Settings!$E$31&lt;&gt;"No"),Settings!$F$31="Yes",NOT(AND('Month-End'!$FD$19&lt;&gt;"",NOT(_xlfn.ISFORMULA('Month-End'!$FD$19))))),1,0)</f>
        <v/>
      </c>
      <c r="CZ163">
        <f>IF(AND($E163&lt;&gt;"pre",AND(Settings!$A$32&lt;&gt;"",Settings!$E$32&lt;&gt;"No"),Settings!$F$32="Yes",NOT(AND('Month-End'!$FD$20&lt;&gt;"",NOT(_xlfn.ISFORMULA('Month-End'!$FD$20))))),1,0)</f>
        <v/>
      </c>
      <c r="DA163">
        <f>IF($DT163=1,IF(OR(Settings!$B$19="Checking",Settings!$B$19="Savings",Settings!$B$19="Cash"),N($AE163),IF(OR(Settings!$B$19="Card",Settings!$B$19="Loan"),-N($AE163),0))+IF(OR(Settings!$B$20="Checking",Settings!$B$20="Savings",Settings!$B$20="Cash"),N($AF163),IF(OR(Settings!$B$20="Card",Settings!$B$20="Loan"),-N($AF163),0))+IF(OR(Settings!$B$21="Checking",Settings!$B$21="Savings",Settings!$B$21="Cash"),N($AG163),IF(OR(Settings!$B$21="Card",Settings!$B$21="Loan"),-N($AG163),0))+IF(OR(Settings!$B$22="Checking",Settings!$B$22="Savings",Settings!$B$22="Cash"),N($AH163),IF(OR(Settings!$B$22="Card",Settings!$B$22="Loan"),-N($AH163),0))+IF(OR(Settings!$B$23="Checking",Settings!$B$23="Savings",Settings!$B$23="Cash"),N($AI163),IF(OR(Settings!$B$23="Card",Settings!$B$23="Loan"),-N($AI163),0))+IF(OR(Settings!$B$24="Checking",Settings!$B$24="Savings",Settings!$B$24="Cash"),N($AJ163),IF(OR(Settings!$B$24="Card",Settings!$B$24="Loan"),-N($AJ163),0))+IF(OR(Settings!$B$25="Checking",Settings!$B$25="Savings",Settings!$B$25="Cash"),N($AK163),IF(OR(Settings!$B$25="Card",Settings!$B$25="Loan"),-N($AK163),0))+IF(OR(Settings!$B$26="Checking",Settings!$B$26="Savings",Settings!$B$26="Cash"),N($AL163),IF(OR(Settings!$B$26="Card",Settings!$B$26="Loan"),-N($AL163),0))+IF(OR(Settings!$B$27="Checking",Settings!$B$27="Savings",Settings!$B$27="Cash"),N($AM163),IF(OR(Settings!$B$27="Card",Settings!$B$27="Loan"),-N($AM163),0))+IF(OR(Settings!$B$28="Checking",Settings!$B$28="Savings",Settings!$B$28="Cash"),N($AN163),IF(OR(Settings!$B$28="Card",Settings!$B$28="Loan"),-N($AN163),0))+IF(OR(Settings!$B$29="Checking",Settings!$B$29="Savings",Settings!$B$29="Cash"),N($AO163),IF(OR(Settings!$B$29="Card",Settings!$B$29="Loan"),-N($AO163),0))+IF(OR(Settings!$B$30="Checking",Settings!$B$30="Savings",Settings!$B$30="Cash"),N($AP163),IF(OR(Settings!$B$30="Card",Settings!$B$30="Loan"),-N($AP163),0))+IF(OR(Settings!$B$31="Checking",Settings!$B$31="Savings",Settings!$B$31="Cash"),N($AQ163),IF(OR(Settings!$B$31="Card",Settings!$B$31="Loan"),-N($AQ163),0))+IF(OR(Settings!$B$32="Checking",Settings!$B$32="Savings",Settings!$B$32="Cash"),N($AR163),IF(OR(Settings!$B$32="Card",Settings!$B$32="Loan"),-N($AR163),0)),"")</f>
        <v/>
      </c>
      <c r="DB163">
        <f>IF($E163="open",$EB$27,IF($E163="post",IF($E162="pre",$EB$27,$DA162),""))</f>
        <v/>
      </c>
      <c r="DC163">
        <f>IF($E163="open",1,IF($E163="post",IF($E162="pre",1,$DT162),0))</f>
        <v/>
      </c>
      <c r="DD163">
        <f>IF(AND($DT163=1,$DC163=1),ROUND($W163-($DA163-$DB163)-$AD163-$AB163,2),"")</f>
        <v/>
      </c>
      <c r="DE163">
        <f>IF('Month-End'!$FD$35="",$BQ163,N('Month-End'!$FD$35))</f>
        <v/>
      </c>
      <c r="DF163">
        <f>N('Month-End'!$FD$36)</f>
        <v/>
      </c>
      <c r="DG163">
        <f>IF($DD163="","",$DD163+$DE163)</f>
        <v/>
      </c>
      <c r="DH163">
        <f>IF($DG163="","",$DG163-$DF163)</f>
        <v/>
      </c>
      <c r="DI163">
        <f>IF(OR($E163="pre",$D163=1),"",N($AS163)+N($AT163)+N($AU163)+N($AV163)+N($AW163)+N($AX163))</f>
        <v/>
      </c>
      <c r="DJ163">
        <f>IF($DT163=1,$DA163+N($DI163),"")</f>
        <v/>
      </c>
      <c r="DK163">
        <f>IF($DD163="","",$W163-$DD163-$AB163)</f>
        <v/>
      </c>
      <c r="DL163">
        <f>IF(AND($E163="post",$DD163&lt;&gt;"",$B163&lt;TODAY()),1,0)</f>
        <v/>
      </c>
      <c r="DM163">
        <f>IF($DL163=1,COUNTIF($DL163:$DL$183,1),0)</f>
        <v/>
      </c>
      <c r="DN163">
        <f>IF($D163=1,"",IF($E163="pre","History only",IF($DT163=1,IF($DD163="","⚠ Previous month missing",IF($DD163&lt;0,"⚠ Check: spending &lt; 0",IF($E163="open","✓ Done (partial)","✓ Done"))),IF($B163&gt;=TODAY(),"In progress","⚠ Needs balances"))))</f>
        <v/>
      </c>
      <c r="DO163">
        <f>YEAR($A163)</f>
        <v/>
      </c>
      <c r="DP163">
        <f>DATE(YEAR($A163),INT((MONTH($A163)-1)/3)*3+1,1)</f>
        <v/>
      </c>
      <c r="DQ163">
        <f>IF(AND($DT163=1,$DD163&lt;&gt;"",$D163=0),ROW(),0)</f>
        <v/>
      </c>
      <c r="DR163">
        <f>IF(AND($E163&lt;&gt;"pre",$B163&lt;TODAY(),$DT163=0),1,0)</f>
        <v/>
      </c>
      <c r="DS163">
        <f>IF($DJ163="",NA(),$DJ163)</f>
        <v/>
      </c>
      <c r="DT163">
        <f>IF(AND($E163&lt;&gt;"pre",$CL163=0,COUNTIFS(Settings!$F$19:$F$32,"Yes",Settings!$A$19:$A$32,"&lt;&gt;",Settings!$E$19:$E$32,"&lt;&gt;No")&gt;0),1,0)</f>
        <v/>
      </c>
      <c r="DU163">
        <f>IF(AND($B163&lt;TODAY(),$S163&gt;0),1,0)</f>
        <v/>
      </c>
      <c r="DV163">
        <f>IF($DU163=1,COUNTIF($DU163:$DU$183,1),0)</f>
        <v/>
      </c>
      <c r="DW163">
        <f>IF(AND(OR(Settings!$B$19="Card",Settings!$B$19="Loan"),AND('Month-End'!$FD$7&lt;&gt;"",NOT(_xlfn.ISFORMULA('Month-End'!$FD$7)))),IF(N('Month-End'!$FD$7)&lt;0,1,0),0)+IF(AND(OR(Settings!$B$20="Card",Settings!$B$20="Loan"),AND('Month-End'!$FD$8&lt;&gt;"",NOT(_xlfn.ISFORMULA('Month-End'!$FD$8)))),IF(N('Month-End'!$FD$8)&lt;0,1,0),0)+IF(AND(OR(Settings!$B$21="Card",Settings!$B$21="Loan"),AND('Month-End'!$FD$9&lt;&gt;"",NOT(_xlfn.ISFORMULA('Month-End'!$FD$9)))),IF(N('Month-End'!$FD$9)&lt;0,1,0),0)+IF(AND(OR(Settings!$B$22="Card",Settings!$B$22="Loan"),AND('Month-End'!$FD$10&lt;&gt;"",NOT(_xlfn.ISFORMULA('Month-End'!$FD$10)))),IF(N('Month-End'!$FD$10)&lt;0,1,0),0)+IF(AND(OR(Settings!$B$23="Card",Settings!$B$23="Loan"),AND('Month-End'!$FD$11&lt;&gt;"",NOT(_xlfn.ISFORMULA('Month-End'!$FD$11)))),IF(N('Month-End'!$FD$11)&lt;0,1,0),0)+IF(AND(OR(Settings!$B$24="Card",Settings!$B$24="Loan"),AND('Month-End'!$FD$12&lt;&gt;"",NOT(_xlfn.ISFORMULA('Month-End'!$FD$12)))),IF(N('Month-End'!$FD$12)&lt;0,1,0),0)+IF(AND(OR(Settings!$B$25="Card",Settings!$B$25="Loan"),AND('Month-End'!$FD$13&lt;&gt;"",NOT(_xlfn.ISFORMULA('Month-End'!$FD$13)))),IF(N('Month-End'!$FD$13)&lt;0,1,0),0)+IF(AND(OR(Settings!$B$26="Card",Settings!$B$26="Loan"),AND('Month-End'!$FD$14&lt;&gt;"",NOT(_xlfn.ISFORMULA('Month-End'!$FD$14)))),IF(N('Month-End'!$FD$14)&lt;0,1,0),0)+IF(AND(OR(Settings!$B$27="Card",Settings!$B$27="Loan"),AND('Month-End'!$FD$15&lt;&gt;"",NOT(_xlfn.ISFORMULA('Month-End'!$FD$15)))),IF(N('Month-End'!$FD$15)&lt;0,1,0),0)+IF(AND(OR(Settings!$B$28="Card",Settings!$B$28="Loan"),AND('Month-End'!$FD$16&lt;&gt;"",NOT(_xlfn.ISFORMULA('Month-End'!$FD$16)))),IF(N('Month-End'!$FD$16)&lt;0,1,0),0)+IF(AND(OR(Settings!$B$29="Card",Settings!$B$29="Loan"),AND('Month-End'!$FD$17&lt;&gt;"",NOT(_xlfn.ISFORMULA('Month-End'!$FD$17)))),IF(N('Month-End'!$FD$17)&lt;0,1,0),0)+IF(AND(OR(Settings!$B$30="Card",Settings!$B$30="Loan"),AND('Month-End'!$FD$18&lt;&gt;"",NOT(_xlfn.ISFORMULA('Month-End'!$FD$18)))),IF(N('Month-End'!$FD$18)&lt;0,1,0),0)+IF(AND(OR(Settings!$B$31="Card",Settings!$B$31="Loan"),AND('Month-End'!$FD$19&lt;&gt;"",NOT(_xlfn.ISFORMULA('Month-End'!$FD$19)))),IF(N('Month-End'!$FD$19)&lt;0,1,0),0)+IF(AND(OR(Settings!$B$32="Card",Settings!$B$32="Loan"),AND('Month-End'!$FD$20&lt;&gt;"",NOT(_xlfn.ISFORMULA('Month-End'!$FD$20)))),IF(N('Month-End'!$FD$20)&lt;0,1,0),0)</f>
        <v/>
      </c>
      <c r="DX163">
        <f>IF(Settings!$B$36="Retirement",$AY163,0)+IF(Settings!$B$37="Retirement",$AZ163,0)+IF(Settings!$B$38="Retirement",$BA163,0)+IF(Settings!$B$39="Retirement",$BB163,0)+IF(Settings!$B$40="Retirement",$BC163,0)+IF(Settings!$B$41="Retirement",$BD163,0)</f>
        <v/>
      </c>
      <c r="ET163">
        <f>IF($E163&lt;&gt;"open",0,IF(AND('Month-End'!$FD$22&lt;&gt;"",NOT(_xlfn.ISFORMULA('Month-End'!$FD$22))),0,IF(OR(Settings!$C$45="",Settings!$D$45=""),0,Settings!$C$45*IF(Settings!$D$45="Weekly",IF(IFERROR(MATCH(Settings!$E$45,$EO$4:$EO$10,0),0)=0,0,IF(MIN(Settings!$B$5,IF(Settings!$G$45="",Settings!$B$5,Settings!$G$45))&lt;MAX($A163,Settings!$F$45),0,INT((MIN(Settings!$B$5,IF(Settings!$G$45="",Settings!$B$5,Settings!$G$45))-MAX($A163,Settings!$F$45)-MOD(IFERROR(MATCH(Settings!$E$45,$EO$4:$EO$10,0),0)-WEEKDAY(MAX($A163,Settings!$F$45)),7))/7)+1)),IF(AND(IF(Settings!$E$45="",$B163,DATE(YEAR($A163),MONTH($A163),MIN(Settings!$E$45,DAY($B163))))&gt;=MAX($A163,Settings!$F$45),IF(Settings!$E$45="",$B163,DATE(YEAR($A163),MONTH($A163),MIN(Settings!$E$45,DAY($B163))))&lt;=MIN(Settings!$B$5,IF(Settings!$G$45="",Settings!$B$5,Settings!$G$45))),1,0)))))</f>
        <v/>
      </c>
      <c r="EU163">
        <f>IF($E163&lt;&gt;"open",0,IF(AND('Month-End'!$FD$23&lt;&gt;"",NOT(_xlfn.ISFORMULA('Month-End'!$FD$23))),0,IF(OR(Settings!$C$46="",Settings!$D$46=""),0,Settings!$C$46*IF(Settings!$D$46="Weekly",IF(IFERROR(MATCH(Settings!$E$46,$EO$4:$EO$10,0),0)=0,0,IF(MIN(Settings!$B$5,IF(Settings!$G$46="",Settings!$B$5,Settings!$G$46))&lt;MAX($A163,Settings!$F$46),0,INT((MIN(Settings!$B$5,IF(Settings!$G$46="",Settings!$B$5,Settings!$G$46))-MAX($A163,Settings!$F$46)-MOD(IFERROR(MATCH(Settings!$E$46,$EO$4:$EO$10,0),0)-WEEKDAY(MAX($A163,Settings!$F$46)),7))/7)+1)),IF(AND(IF(Settings!$E$46="",$B163,DATE(YEAR($A163),MONTH($A163),MIN(Settings!$E$46,DAY($B163))))&gt;=MAX($A163,Settings!$F$46),IF(Settings!$E$46="",$B163,DATE(YEAR($A163),MONTH($A163),MIN(Settings!$E$46,DAY($B163))))&lt;=MIN(Settings!$B$5,IF(Settings!$G$46="",Settings!$B$5,Settings!$G$46))),1,0)))))</f>
        <v/>
      </c>
      <c r="EV163">
        <f>IF($E163&lt;&gt;"open",0,IF(AND('Month-End'!$FD$24&lt;&gt;"",NOT(_xlfn.ISFORMULA('Month-End'!$FD$24))),0,IF(OR(Settings!$C$47="",Settings!$D$47=""),0,Settings!$C$47*IF(Settings!$D$47="Weekly",IF(IFERROR(MATCH(Settings!$E$47,$EO$4:$EO$10,0),0)=0,0,IF(MIN(Settings!$B$5,IF(Settings!$G$47="",Settings!$B$5,Settings!$G$47))&lt;MAX($A163,Settings!$F$47),0,INT((MIN(Settings!$B$5,IF(Settings!$G$47="",Settings!$B$5,Settings!$G$47))-MAX($A163,Settings!$F$47)-MOD(IFERROR(MATCH(Settings!$E$47,$EO$4:$EO$10,0),0)-WEEKDAY(MAX($A163,Settings!$F$47)),7))/7)+1)),IF(AND(IF(Settings!$E$47="",$B163,DATE(YEAR($A163),MONTH($A163),MIN(Settings!$E$47,DAY($B163))))&gt;=MAX($A163,Settings!$F$47),IF(Settings!$E$47="",$B163,DATE(YEAR($A163),MONTH($A163),MIN(Settings!$E$47,DAY($B163))))&lt;=MIN(Settings!$B$5,IF(Settings!$G$47="",Settings!$B$5,Settings!$G$47))),1,0)))))</f>
        <v/>
      </c>
      <c r="EW163">
        <f>IF($E163&lt;&gt;"open",0,IF(AND('Month-End'!$FD$25&lt;&gt;"",NOT(_xlfn.ISFORMULA('Month-End'!$FD$25))),0,IF(OR(Settings!$C$48="",Settings!$D$48=""),0,Settings!$C$48*IF(Settings!$D$48="Weekly",IF(IFERROR(MATCH(Settings!$E$48,$EO$4:$EO$10,0),0)=0,0,IF(MIN(Settings!$B$5,IF(Settings!$G$48="",Settings!$B$5,Settings!$G$48))&lt;MAX($A163,Settings!$F$48),0,INT((MIN(Settings!$B$5,IF(Settings!$G$48="",Settings!$B$5,Settings!$G$48))-MAX($A163,Settings!$F$48)-MOD(IFERROR(MATCH(Settings!$E$48,$EO$4:$EO$10,0),0)-WEEKDAY(MAX($A163,Settings!$F$48)),7))/7)+1)),IF(AND(IF(Settings!$E$48="",$B163,DATE(YEAR($A163),MONTH($A163),MIN(Settings!$E$48,DAY($B163))))&gt;=MAX($A163,Settings!$F$48),IF(Settings!$E$48="",$B163,DATE(YEAR($A163),MONTH($A163),MIN(Settings!$E$48,DAY($B163))))&lt;=MIN(Settings!$B$5,IF(Settings!$G$48="",Settings!$B$5,Settings!$G$48))),1,0)))))</f>
        <v/>
      </c>
      <c r="EX163">
        <f>IF($E163&lt;&gt;"open",0,IF(AND('Month-End'!$FD$26&lt;&gt;"",NOT(_xlfn.ISFORMULA('Month-End'!$FD$26))),0,IF(OR(Settings!$C$49="",Settings!$D$49=""),0,Settings!$C$49*IF(Settings!$D$49="Weekly",IF(IFERROR(MATCH(Settings!$E$49,$EO$4:$EO$10,0),0)=0,0,IF(MIN(Settings!$B$5,IF(Settings!$G$49="",Settings!$B$5,Settings!$G$49))&lt;MAX($A163,Settings!$F$49),0,INT((MIN(Settings!$B$5,IF(Settings!$G$49="",Settings!$B$5,Settings!$G$49))-MAX($A163,Settings!$F$49)-MOD(IFERROR(MATCH(Settings!$E$49,$EO$4:$EO$10,0),0)-WEEKDAY(MAX($A163,Settings!$F$49)),7))/7)+1)),IF(AND(IF(Settings!$E$49="",$B163,DATE(YEAR($A163),MONTH($A163),MIN(Settings!$E$49,DAY($B163))))&gt;=MAX($A163,Settings!$F$49),IF(Settings!$E$49="",$B163,DATE(YEAR($A163),MONTH($A163),MIN(Settings!$E$49,DAY($B163))))&lt;=MIN(Settings!$B$5,IF(Settings!$G$49="",Settings!$B$5,Settings!$G$49))),1,0)))))</f>
        <v/>
      </c>
      <c r="EY163">
        <f>IF($E163&lt;&gt;"open",0,IF(AND('Month-End'!$FD$27&lt;&gt;"",NOT(_xlfn.ISFORMULA('Month-End'!$FD$27))),0,IF(OR(Settings!$C$50="",Settings!$D$50=""),0,Settings!$C$50*IF(Settings!$D$50="Weekly",IF(IFERROR(MATCH(Settings!$E$50,$EO$4:$EO$10,0),0)=0,0,IF(MIN(Settings!$B$5,IF(Settings!$G$50="",Settings!$B$5,Settings!$G$50))&lt;MAX($A163,Settings!$F$50),0,INT((MIN(Settings!$B$5,IF(Settings!$G$50="",Settings!$B$5,Settings!$G$50))-MAX($A163,Settings!$F$50)-MOD(IFERROR(MATCH(Settings!$E$50,$EO$4:$EO$10,0),0)-WEEKDAY(MAX($A163,Settings!$F$50)),7))/7)+1)),IF(AND(IF(Settings!$E$50="",$B163,DATE(YEAR($A163),MONTH($A163),MIN(Settings!$E$50,DAY($B163))))&gt;=MAX($A163,Settings!$F$50),IF(Settings!$E$50="",$B163,DATE(YEAR($A163),MONTH($A163),MIN(Settings!$E$50,DAY($B163))))&lt;=MIN(Settings!$B$5,IF(Settings!$G$50="",Settings!$B$5,Settings!$G$50))),1,0)))))</f>
        <v/>
      </c>
      <c r="EZ163">
        <f>IF($E163&lt;&gt;"open",0,IF(AND('Month-End'!$FD$28&lt;&gt;"",NOT(_xlfn.ISFORMULA('Month-End'!$FD$28))),0,IF(OR(Settings!$C$51="",Settings!$D$51=""),0,Settings!$C$51*IF(Settings!$D$51="Weekly",IF(IFERROR(MATCH(Settings!$E$51,$EO$4:$EO$10,0),0)=0,0,IF(MIN(Settings!$B$5,IF(Settings!$G$51="",Settings!$B$5,Settings!$G$51))&lt;MAX($A163,Settings!$F$51),0,INT((MIN(Settings!$B$5,IF(Settings!$G$51="",Settings!$B$5,Settings!$G$51))-MAX($A163,Settings!$F$51)-MOD(IFERROR(MATCH(Settings!$E$51,$EO$4:$EO$10,0),0)-WEEKDAY(MAX($A163,Settings!$F$51)),7))/7)+1)),IF(AND(IF(Settings!$E$51="",$B163,DATE(YEAR($A163),MONTH($A163),MIN(Settings!$E$51,DAY($B163))))&gt;=MAX($A163,Settings!$F$51),IF(Settings!$E$51="",$B163,DATE(YEAR($A163),MONTH($A163),MIN(Settings!$E$51,DAY($B163))))&lt;=MIN(Settings!$B$5,IF(Settings!$G$51="",Settings!$B$5,Settings!$G$51))),1,0)))))</f>
        <v/>
      </c>
      <c r="FA163">
        <f>IF($E163&lt;&gt;"open",0,IF(AND('Month-End'!$FD$29&lt;&gt;"",NOT(_xlfn.ISFORMULA('Month-End'!$FD$29))),0,IF(OR(Settings!$C$52="",Settings!$D$52=""),0,Settings!$C$52*IF(Settings!$D$52="Weekly",IF(IFERROR(MATCH(Settings!$E$52,$EO$4:$EO$10,0),0)=0,0,IF(MIN(Settings!$B$5,IF(Settings!$G$52="",Settings!$B$5,Settings!$G$52))&lt;MAX($A163,Settings!$F$52),0,INT((MIN(Settings!$B$5,IF(Settings!$G$52="",Settings!$B$5,Settings!$G$52))-MAX($A163,Settings!$F$52)-MOD(IFERROR(MATCH(Settings!$E$52,$EO$4:$EO$10,0),0)-WEEKDAY(MAX($A163,Settings!$F$52)),7))/7)+1)),IF(AND(IF(Settings!$E$52="",$B163,DATE(YEAR($A163),MONTH($A163),MIN(Settings!$E$52,DAY($B163))))&gt;=MAX($A163,Settings!$F$52),IF(Settings!$E$52="",$B163,DATE(YEAR($A163),MONTH($A163),MIN(Settings!$E$52,DAY($B163))))&lt;=MIN(Settings!$B$5,IF(Settings!$G$52="",Settings!$B$5,Settings!$G$52))),1,0)))))</f>
        <v/>
      </c>
      <c r="FB163">
        <f>IF($E163&lt;&gt;"open",0,IF(AND('Month-End'!$FD$30&lt;&gt;"",NOT(_xlfn.ISFORMULA('Month-End'!$FD$30))),0,IF(OR(Settings!$C$53="",Settings!$D$53=""),0,Settings!$C$53*IF(Settings!$D$53="Weekly",IF(IFERROR(MATCH(Settings!$E$53,$EO$4:$EO$10,0),0)=0,0,IF(MIN(Settings!$B$5,IF(Settings!$G$53="",Settings!$B$5,Settings!$G$53))&lt;MAX($A163,Settings!$F$53),0,INT((MIN(Settings!$B$5,IF(Settings!$G$53="",Settings!$B$5,Settings!$G$53))-MAX($A163,Settings!$F$53)-MOD(IFERROR(MATCH(Settings!$E$53,$EO$4:$EO$10,0),0)-WEEKDAY(MAX($A163,Settings!$F$53)),7))/7)+1)),IF(AND(IF(Settings!$E$53="",$B163,DATE(YEAR($A163),MONTH($A163),MIN(Settings!$E$53,DAY($B163))))&gt;=MAX($A163,Settings!$F$53),IF(Settings!$E$53="",$B163,DATE(YEAR($A163),MONTH($A163),MIN(Settings!$E$53,DAY($B163))))&lt;=MIN(Settings!$B$5,IF(Settings!$G$53="",Settings!$B$5,Settings!$G$53))),1,0)))))</f>
        <v/>
      </c>
      <c r="FC163">
        <f>IF($E163&lt;&gt;"open",0,IF(AND('Month-End'!$FD$31&lt;&gt;"",NOT(_xlfn.ISFORMULA('Month-End'!$FD$31))),0,IF(OR(Settings!$C$54="",Settings!$D$54=""),0,Settings!$C$54*IF(Settings!$D$54="Weekly",IF(IFERROR(MATCH(Settings!$E$54,$EO$4:$EO$10,0),0)=0,0,IF(MIN(Settings!$B$5,IF(Settings!$G$54="",Settings!$B$5,Settings!$G$54))&lt;MAX($A163,Settings!$F$54),0,INT((MIN(Settings!$B$5,IF(Settings!$G$54="",Settings!$B$5,Settings!$G$54))-MAX($A163,Settings!$F$54)-MOD(IFERROR(MATCH(Settings!$E$54,$EO$4:$EO$10,0),0)-WEEKDAY(MAX($A163,Settings!$F$54)),7))/7)+1)),IF(AND(IF(Settings!$E$54="",$B163,DATE(YEAR($A163),MONTH($A163),MIN(Settings!$E$54,DAY($B163))))&gt;=MAX($A163,Settings!$F$54),IF(Settings!$E$54="",$B163,DATE(YEAR($A163),MONTH($A163),MIN(Settings!$E$54,DAY($B163))))&lt;=MIN(Settings!$B$5,IF(Settings!$G$54="",Settings!$B$5,Settings!$G$54))),1,0)))))</f>
        <v/>
      </c>
      <c r="FD163">
        <f>IF($E163&lt;&gt;"open",0,IF(AND('Month-End'!$FD$32&lt;&gt;"",NOT(_xlfn.ISFORMULA('Month-End'!$FD$32))),0,IF(OR(Settings!$C$55="",Settings!$D$55=""),0,Settings!$C$55*IF(Settings!$D$55="Weekly",IF(IFERROR(MATCH(Settings!$E$55,$EO$4:$EO$10,0),0)=0,0,IF(MIN(Settings!$B$5,IF(Settings!$G$55="",Settings!$B$5,Settings!$G$55))&lt;MAX($A163,Settings!$F$55),0,INT((MIN(Settings!$B$5,IF(Settings!$G$55="",Settings!$B$5,Settings!$G$55))-MAX($A163,Settings!$F$55)-MOD(IFERROR(MATCH(Settings!$E$55,$EO$4:$EO$10,0),0)-WEEKDAY(MAX($A163,Settings!$F$55)),7))/7)+1)),IF(AND(IF(Settings!$E$55="",$B163,DATE(YEAR($A163),MONTH($A163),MIN(Settings!$E$55,DAY($B163))))&gt;=MAX($A163,Settings!$F$55),IF(Settings!$E$55="",$B163,DATE(YEAR($A163),MONTH($A163),MIN(Settings!$E$55,DAY($B163))))&lt;=MIN(Settings!$B$5,IF(Settings!$G$55="",Settings!$B$5,Settings!$G$55))),1,0)))))</f>
        <v/>
      </c>
      <c r="FE163">
        <f>IF($E163&lt;&gt;"open",0,IF(AND('Month-End'!$FD$33&lt;&gt;"",NOT(_xlfn.ISFORMULA('Month-End'!$FD$33))),0,IF(OR(Settings!$C$56="",Settings!$D$56=""),0,Settings!$C$56*IF(Settings!$D$56="Weekly",IF(IFERROR(MATCH(Settings!$E$56,$EO$4:$EO$10,0),0)=0,0,IF(MIN(Settings!$B$5,IF(Settings!$G$56="",Settings!$B$5,Settings!$G$56))&lt;MAX($A163,Settings!$F$56),0,INT((MIN(Settings!$B$5,IF(Settings!$G$56="",Settings!$B$5,Settings!$G$56))-MAX($A163,Settings!$F$56)-MOD(IFERROR(MATCH(Settings!$E$56,$EO$4:$EO$10,0),0)-WEEKDAY(MAX($A163,Settings!$F$56)),7))/7)+1)),IF(AND(IF(Settings!$E$56="",$B163,DATE(YEAR($A163),MONTH($A163),MIN(Settings!$E$56,DAY($B163))))&gt;=MAX($A163,Settings!$F$56),IF(Settings!$E$56="",$B163,DATE(YEAR($A163),MONTH($A163),MIN(Settings!$E$56,DAY($B163))))&lt;=MIN(Settings!$B$5,IF(Settings!$G$56="",Settings!$B$5,Settings!$G$56))),1,0)))))</f>
        <v/>
      </c>
      <c r="FF163">
        <f>IF(Settings!$I$45="Yes",$G163,0)+IF(Settings!$I$46="Yes",$H163,0)+IF(Settings!$I$47="Yes",$I163,0)+IF(Settings!$I$48="Yes",$J163,0)+IF(Settings!$I$49="Yes",$K163,0)+IF(Settings!$I$50="Yes",$L163,0)+IF(Settings!$I$51="Yes",$M163,0)+IF(Settings!$I$52="Yes",$N163,0)+IF(Settings!$I$53="Yes",$O163,0)+IF(Settings!$I$54="Yes",$P163,0)+IF(Settings!$I$55="Yes",$Q163,0)+IF(Settings!$I$56="Yes",$R163,0)</f>
        <v/>
      </c>
      <c r="FG163">
        <f>IF(AND(Settings!$I$45="Yes",Settings!$J$45="No"),$G163,0)+IF(AND(Settings!$I$46="Yes",Settings!$J$46="No"),$H163,0)+IF(AND(Settings!$I$47="Yes",Settings!$J$47="No"),$I163,0)+IF(AND(Settings!$I$48="Yes",Settings!$J$48="No"),$J163,0)+IF(AND(Settings!$I$49="Yes",Settings!$J$49="No"),$K163,0)+IF(AND(Settings!$I$50="Yes",Settings!$J$50="No"),$L163,0)+IF(AND(Settings!$I$51="Yes",Settings!$J$51="No"),$M163,0)+IF(AND(Settings!$I$52="Yes",Settings!$J$52="No"),$N163,0)+IF(AND(Settings!$I$53="Yes",Settings!$J$53="No"),$O163,0)+IF(AND(Settings!$I$54="Yes",Settings!$J$54="No"),$P163,0)+IF(AND(Settings!$I$55="Yes",Settings!$J$55="No"),$Q163,0)+IF(AND(Settings!$I$56="Yes",Settings!$J$56="No"),$R163,0)</f>
        <v/>
      </c>
      <c r="FH163">
        <f>SUMIFS(Giving!$B$7:$B$2006,Giving!$A$7:$A$2006,"&gt;="&amp;$A163,Giving!$A$7:$A$2006,"&lt;="&amp;$B163,Giving!$G$7:$G$2006,"Yes")+IF(OR(OR(Settings!$B$60="",Settings!$F$60="No"),Settings!$H$60&lt;&gt;"Yes"),0,Settings!$B$60*IF(AND(IF(Settings!$C$60="",$B163,DATE(YEAR($A163),MONTH($A163),MIN(Settings!$C$60,DAY($B163))))&gt;=MAX($A163,Settings!$D$60),IF(Settings!$C$60="",$B163,DATE(YEAR($A163),MONTH($A163),MIN(Settings!$C$60,DAY($B163))))&lt;=MIN($C163,IF(Settings!$E$60="",$C163,Settings!$E$60))),1,0))+IF(OR(OR(Settings!$B$61="",Settings!$F$61="No"),Settings!$H$61&lt;&gt;"Yes"),0,Settings!$B$61*IF(AND(IF(Settings!$C$61="",$B163,DATE(YEAR($A163),MONTH($A163),MIN(Settings!$C$61,DAY($B163))))&gt;=MAX($A163,Settings!$D$61),IF(Settings!$C$61="",$B163,DATE(YEAR($A163),MONTH($A163),MIN(Settings!$C$61,DAY($B163))))&lt;=MIN($C163,IF(Settings!$E$61="",$C163,Settings!$E$61))),1,0))+IF(OR(OR(Settings!$B$62="",Settings!$F$62="No"),Settings!$H$62&lt;&gt;"Yes"),0,Settings!$B$62*IF(AND(IF(Settings!$C$62="",$B163,DATE(YEAR($A163),MONTH($A163),MIN(Settings!$C$62,DAY($B163))))&gt;=MAX($A163,Settings!$D$62),IF(Settings!$C$62="",$B163,DATE(YEAR($A163),MONTH($A163),MIN(Settings!$C$62,DAY($B163))))&lt;=MIN($C163,IF(Settings!$E$62="",$C163,Settings!$E$62))),1,0))+IF(OR(OR(Settings!$B$63="",Settings!$F$63="No"),Settings!$H$63&lt;&gt;"Yes"),0,Settings!$B$63*IF(AND(IF(Settings!$C$63="",$B163,DATE(YEAR($A163),MONTH($A163),MIN(Settings!$C$63,DAY($B163))))&gt;=MAX($A163,Settings!$D$63),IF(Settings!$C$63="",$B163,DATE(YEAR($A163),MONTH($A163),MIN(Settings!$C$63,DAY($B163))))&lt;=MIN($C163,IF(Settings!$E$63="",$C163,Settings!$E$63))),1,0))+IF(OR(OR(Settings!$B$64="",Settings!$F$64="No"),Settings!$H$64&lt;&gt;"Yes"),0,Settings!$B$64*IF(AND(IF(Settings!$C$64="",$B163,DATE(YEAR($A163),MONTH($A163),MIN(Settings!$C$64,DAY($B163))))&gt;=MAX($A163,Settings!$D$64),IF(Settings!$C$64="",$B163,DATE(YEAR($A163),MONTH($A163),MIN(Settings!$C$64,DAY($B163))))&lt;=MIN($C163,IF(Settings!$E$64="",$C163,Settings!$E$64))),1,0))+IF(OR(OR(Settings!$B$65="",Settings!$F$65="No"),Settings!$H$65&lt;&gt;"Yes"),0,Settings!$B$65*IF(AND(IF(Settings!$C$65="",$B163,DATE(YEAR($A163),MONTH($A163),MIN(Settings!$C$65,DAY($B163))))&gt;=MAX($A163,Settings!$D$65),IF(Settings!$C$65="",$B163,DATE(YEAR($A163),MONTH($A163),MIN(Settings!$C$65,DAY($B163))))&lt;=MIN($C163,IF(Settings!$E$65="",$C163,Settings!$E$65))),1,0))</f>
        <v/>
      </c>
      <c r="FI163">
        <f>IF($DT163=1,IF(OR(Settings!$B$19="Card",Settings!$B$19="Loan"),N($AE163),0)+IF(OR(Settings!$B$20="Card",Settings!$B$20="Loan"),N($AF163),0)+IF(OR(Settings!$B$21="Card",Settings!$B$21="Loan"),N($AG163),0)+IF(OR(Settings!$B$22="Card",Settings!$B$22="Loan"),N($AH163),0)+IF(OR(Settings!$B$23="Card",Settings!$B$23="Loan"),N($AI163),0)+IF(OR(Settings!$B$24="Card",Settings!$B$24="Loan"),N($AJ163),0)+IF(OR(Settings!$B$25="Card",Settings!$B$25="Loan"),N($AK163),0)+IF(OR(Settings!$B$26="Card",Settings!$B$26="Loan"),N($AL163),0)+IF(OR(Settings!$B$27="Card",Settings!$B$27="Loan"),N($AM163),0)+IF(OR(Settings!$B$28="Card",Settings!$B$28="Loan"),N($AN163),0)+IF(OR(Settings!$B$29="Card",Settings!$B$29="Loan"),N($AO163),0)+IF(OR(Settings!$B$30="Card",Settings!$B$30="Loan"),N($AP163),0)+IF(OR(Settings!$B$31="Card",Settings!$B$31="Loan"),N($AQ163),0)+IF(OR(Settings!$B$32="Card",Settings!$B$32="Loan"),N($AR163),0),"")</f>
        <v/>
      </c>
      <c r="FJ163">
        <f>IF($E163="open",$EB$65,IF($E163="post",IF($E162="pre",$EB$65,$FI162),""))</f>
        <v/>
      </c>
      <c r="FK163">
        <f>IF(AND($DT163=1,$DC163=1),IF(ROUND($FI163-$FJ163,2)&gt;0,1,0),0)</f>
        <v/>
      </c>
      <c r="FL163">
        <f>IF($FK163=1,$FL162+1,0)</f>
        <v/>
      </c>
    </row>
    <row r="164">
      <c r="A164">
        <f>'Month-End'!$FE$4</f>
        <v/>
      </c>
      <c r="B164">
        <f>EOMONTH($A164,0)</f>
        <v/>
      </c>
      <c r="C164">
        <f>MIN($B164,TODAY())</f>
        <v/>
      </c>
      <c r="D164">
        <f>IF($A164&gt;TODAY(),1,0)</f>
        <v/>
      </c>
      <c r="E164">
        <f>IF($B164&lt;=Settings!$B$5,"pre",IF($A164&lt;=Settings!$B$5,"open","post"))</f>
        <v/>
      </c>
      <c r="G164">
        <f>IF('Month-End'!$FE$22="",$BE164,N('Month-End'!$FE$22))</f>
        <v/>
      </c>
      <c r="H164">
        <f>IF('Month-End'!$FE$23="",$BF164,N('Month-End'!$FE$23))</f>
        <v/>
      </c>
      <c r="I164">
        <f>IF('Month-End'!$FE$24="",$BG164,N('Month-End'!$FE$24))</f>
        <v/>
      </c>
      <c r="J164">
        <f>IF('Month-End'!$FE$25="",$BH164,N('Month-End'!$FE$25))</f>
        <v/>
      </c>
      <c r="K164">
        <f>IF('Month-End'!$FE$26="",$BI164,N('Month-End'!$FE$26))</f>
        <v/>
      </c>
      <c r="L164">
        <f>IF('Month-End'!$FE$27="",$BJ164,N('Month-End'!$FE$27))</f>
        <v/>
      </c>
      <c r="M164">
        <f>IF('Month-End'!$FE$28="",$BK164,N('Month-End'!$FE$28))</f>
        <v/>
      </c>
      <c r="N164">
        <f>IF('Month-End'!$FE$29="",$BL164,N('Month-End'!$FE$29))</f>
        <v/>
      </c>
      <c r="O164">
        <f>IF('Month-End'!$FE$30="",$BM164,N('Month-End'!$FE$30))</f>
        <v/>
      </c>
      <c r="P164">
        <f>IF('Month-End'!$FE$31="",$BN164,N('Month-End'!$FE$31))</f>
        <v/>
      </c>
      <c r="Q164">
        <f>IF('Month-End'!$FE$32="",$BO164,N('Month-End'!$FE$32))</f>
        <v/>
      </c>
      <c r="R164">
        <f>IF('Month-End'!$FE$33="",$BP164,N('Month-End'!$FE$33))</f>
        <v/>
      </c>
      <c r="S164">
        <f>$G164+$H164+$I164+$J164+$K164+$L164+$M164+$N164+$O164+$P164+$Q164+$R164</f>
        <v/>
      </c>
      <c r="T164">
        <f>IF($B164&lt;Settings!$B$6,0,IF(Settings!$B$45="Yes",$G164,0)+IF(Settings!$B$46="Yes",$H164,0)+IF(Settings!$B$47="Yes",$I164,0)+IF(Settings!$B$48="Yes",$J164,0)+IF(Settings!$B$49="Yes",$K164,0)+IF(Settings!$B$50="Yes",$L164,0)+IF(Settings!$B$51="Yes",$M164,0)+IF(Settings!$B$52="Yes",$N164,0)+IF(Settings!$B$53="Yes",$O164,0)+IF(Settings!$B$54="Yes",$P164,0)+IF(Settings!$B$55="Yes",$Q164,0)+IF(Settings!$B$56="Yes",$R164,0))</f>
        <v/>
      </c>
      <c r="U164">
        <f>IF(Settings!$B$45="Not Sure",$G164,0)+IF(Settings!$B$46="Not Sure",$H164,0)+IF(Settings!$B$47="Not Sure",$I164,0)+IF(Settings!$B$48="Not Sure",$J164,0)+IF(Settings!$B$49="Not Sure",$K164,0)+IF(Settings!$B$50="Not Sure",$L164,0)+IF(Settings!$B$51="Not Sure",$M164,0)+IF(Settings!$B$52="Not Sure",$N164,0)+IF(Settings!$B$53="Not Sure",$O164,0)+IF(Settings!$B$54="Not Sure",$P164,0)+IF(Settings!$B$55="Not Sure",$Q164,0)+IF(Settings!$B$56="Not Sure",$R164,0)</f>
        <v/>
      </c>
      <c r="V164">
        <f>IF($E164="open",SUM($ET164:$FE164)+N(Settings!$B$13),0)</f>
        <v/>
      </c>
      <c r="W164">
        <f>IF($E164="post",$S164,IF($E164="open",$S164-$V164,0))</f>
        <v/>
      </c>
      <c r="X164">
        <f>SUMIFS(Giving!$B$7:$B$2006,Giving!$A$7:$A$2006,"&gt;="&amp;$A164,Giving!$A$7:$A$2006,"&lt;="&amp;$B164,Giving!$E$7:$E$2006,"&lt;&gt;No")</f>
        <v/>
      </c>
      <c r="Y164">
        <f>SUMIFS(Giving!$B$7:$B$2006,Giving!$A$7:$A$2006,"&gt;="&amp;$A164,Giving!$A$7:$A$2006,"&lt;="&amp;$B164,Giving!$E$7:$E$2006,"No")</f>
        <v/>
      </c>
      <c r="Z164">
        <f>IF(OR(Settings!$B$60="",Settings!$F$60="No"),0,Settings!$B$60*IF(AND(IF(Settings!$C$60="",$B164,DATE(YEAR($A164),MONTH($A164),MIN(Settings!$C$60,DAY($B164))))&gt;=MAX($A164,Settings!$D$60),IF(Settings!$C$60="",$B164,DATE(YEAR($A164),MONTH($A164),MIN(Settings!$C$60,DAY($B164))))&lt;=MIN($C164,IF(Settings!$E$60="",$C164,Settings!$E$60))),1,0))+IF(OR(Settings!$B$61="",Settings!$F$61="No"),0,Settings!$B$61*IF(AND(IF(Settings!$C$61="",$B164,DATE(YEAR($A164),MONTH($A164),MIN(Settings!$C$61,DAY($B164))))&gt;=MAX($A164,Settings!$D$61),IF(Settings!$C$61="",$B164,DATE(YEAR($A164),MONTH($A164),MIN(Settings!$C$61,DAY($B164))))&lt;=MIN($C164,IF(Settings!$E$61="",$C164,Settings!$E$61))),1,0))+IF(OR(Settings!$B$62="",Settings!$F$62="No"),0,Settings!$B$62*IF(AND(IF(Settings!$C$62="",$B164,DATE(YEAR($A164),MONTH($A164),MIN(Settings!$C$62,DAY($B164))))&gt;=MAX($A164,Settings!$D$62),IF(Settings!$C$62="",$B164,DATE(YEAR($A164),MONTH($A164),MIN(Settings!$C$62,DAY($B164))))&lt;=MIN($C164,IF(Settings!$E$62="",$C164,Settings!$E$62))),1,0))+IF(OR(Settings!$B$63="",Settings!$F$63="No"),0,Settings!$B$63*IF(AND(IF(Settings!$C$63="",$B164,DATE(YEAR($A164),MONTH($A164),MIN(Settings!$C$63,DAY($B164))))&gt;=MAX($A164,Settings!$D$63),IF(Settings!$C$63="",$B164,DATE(YEAR($A164),MONTH($A164),MIN(Settings!$C$63,DAY($B164))))&lt;=MIN($C164,IF(Settings!$E$63="",$C164,Settings!$E$63))),1,0))+IF(OR(Settings!$B$64="",Settings!$F$64="No"),0,Settings!$B$64*IF(AND(IF(Settings!$C$64="",$B164,DATE(YEAR($A164),MONTH($A164),MIN(Settings!$C$64,DAY($B164))))&gt;=MAX($A164,Settings!$D$64),IF(Settings!$C$64="",$B164,DATE(YEAR($A164),MONTH($A164),MIN(Settings!$C$64,DAY($B164))))&lt;=MIN($C164,IF(Settings!$E$64="",$C164,Settings!$E$64))),1,0))+IF(OR(Settings!$B$65="",Settings!$F$65="No"),0,Settings!$B$65*IF(AND(IF(Settings!$C$65="",$B164,DATE(YEAR($A164),MONTH($A164),MIN(Settings!$C$65,DAY($B164))))&gt;=MAX($A164,Settings!$D$65),IF(Settings!$C$65="",$B164,DATE(YEAR($A164),MONTH($A164),MIN(Settings!$C$65,DAY($B164))))&lt;=MIN($C164,IF(Settings!$E$65="",$C164,Settings!$E$65))),1,0))</f>
        <v/>
      </c>
      <c r="AA164">
        <f>$X164+$Z164</f>
        <v/>
      </c>
      <c r="AB164">
        <f>IF($E164="post",$AA164,IF($E164="open",SUMIFS(Giving!$B$7:$B$2006,Giving!$A$7:$A$2006,"&gt;"&amp;Settings!$B$5,Giving!$A$7:$A$2006,"&lt;="&amp;$B164,Giving!$E$7:$E$2006,"&lt;&gt;No")+IF(OR(Settings!$B$60="",Settings!$F$60="No"),0,Settings!$B$60*IF(AND(IF(Settings!$C$60="",$B164,DATE(YEAR($A164),MONTH($A164),MIN(Settings!$C$60,DAY($B164))))&gt;=MAX($A164,Settings!$D$60,Settings!$B$5+1),IF(Settings!$C$60="",$B164,DATE(YEAR($A164),MONTH($A164),MIN(Settings!$C$60,DAY($B164))))&lt;=MIN($C164,IF(Settings!$E$60="",$C164,Settings!$E$60))),1,0))+IF(OR(Settings!$B$61="",Settings!$F$61="No"),0,Settings!$B$61*IF(AND(IF(Settings!$C$61="",$B164,DATE(YEAR($A164),MONTH($A164),MIN(Settings!$C$61,DAY($B164))))&gt;=MAX($A164,Settings!$D$61,Settings!$B$5+1),IF(Settings!$C$61="",$B164,DATE(YEAR($A164),MONTH($A164),MIN(Settings!$C$61,DAY($B164))))&lt;=MIN($C164,IF(Settings!$E$61="",$C164,Settings!$E$61))),1,0))+IF(OR(Settings!$B$62="",Settings!$F$62="No"),0,Settings!$B$62*IF(AND(IF(Settings!$C$62="",$B164,DATE(YEAR($A164),MONTH($A164),MIN(Settings!$C$62,DAY($B164))))&gt;=MAX($A164,Settings!$D$62,Settings!$B$5+1),IF(Settings!$C$62="",$B164,DATE(YEAR($A164),MONTH($A164),MIN(Settings!$C$62,DAY($B164))))&lt;=MIN($C164,IF(Settings!$E$62="",$C164,Settings!$E$62))),1,0))+IF(OR(Settings!$B$63="",Settings!$F$63="No"),0,Settings!$B$63*IF(AND(IF(Settings!$C$63="",$B164,DATE(YEAR($A164),MONTH($A164),MIN(Settings!$C$63,DAY($B164))))&gt;=MAX($A164,Settings!$D$63,Settings!$B$5+1),IF(Settings!$C$63="",$B164,DATE(YEAR($A164),MONTH($A164),MIN(Settings!$C$63,DAY($B164))))&lt;=MIN($C164,IF(Settings!$E$63="",$C164,Settings!$E$63))),1,0))+IF(OR(Settings!$B$64="",Settings!$F$64="No"),0,Settings!$B$64*IF(AND(IF(Settings!$C$64="",$B164,DATE(YEAR($A164),MONTH($A164),MIN(Settings!$C$64,DAY($B164))))&gt;=MAX($A164,Settings!$D$64,Settings!$B$5+1),IF(Settings!$C$64="",$B164,DATE(YEAR($A164),MONTH($A164),MIN(Settings!$C$64,DAY($B164))))&lt;=MIN($C164,IF(Settings!$E$64="",$C164,Settings!$E$64))),1,0))+IF(OR(Settings!$B$65="",Settings!$F$65="No"),0,Settings!$B$65*IF(AND(IF(Settings!$C$65="",$B164,DATE(YEAR($A164),MONTH($A164),MIN(Settings!$C$65,DAY($B164))))&gt;=MAX($A164,Settings!$D$65,Settings!$B$5+1),IF(Settings!$C$65="",$B164,DATE(YEAR($A164),MONTH($A164),MIN(Settings!$C$65,DAY($B164))))&lt;=MIN($C164,IF(Settings!$E$65="",$C164,Settings!$E$65))),1,0)),0))</f>
        <v/>
      </c>
      <c r="AC164">
        <f>$AY164+$AZ164+$BA164+$BB164+$BC164+$BD164</f>
        <v/>
      </c>
      <c r="AD164">
        <f>$AC164</f>
        <v/>
      </c>
      <c r="AE164">
        <f>IF(OR(Settings!$A$19="",$E164="pre"),"",IF(AND('Month-End'!$FE$7&lt;&gt;"",NOT(_xlfn.ISFORMULA('Month-End'!$FE$7))),N('Month-End'!$FE$7),IF(OR($E164="open",$E163="pre"),N(Settings!$C$19),N($AE163))))</f>
        <v/>
      </c>
      <c r="AF164">
        <f>IF(OR(Settings!$A$20="",$E164="pre"),"",IF(AND('Month-End'!$FE$8&lt;&gt;"",NOT(_xlfn.ISFORMULA('Month-End'!$FE$8))),N('Month-End'!$FE$8),IF(OR($E164="open",$E163="pre"),N(Settings!$C$20),N($AF163))))</f>
        <v/>
      </c>
      <c r="AG164">
        <f>IF(OR(Settings!$A$21="",$E164="pre"),"",IF(AND('Month-End'!$FE$9&lt;&gt;"",NOT(_xlfn.ISFORMULA('Month-End'!$FE$9))),N('Month-End'!$FE$9),IF(OR($E164="open",$E163="pre"),N(Settings!$C$21),N($AG163))))</f>
        <v/>
      </c>
      <c r="AH164">
        <f>IF(OR(Settings!$A$22="",$E164="pre"),"",IF(AND('Month-End'!$FE$10&lt;&gt;"",NOT(_xlfn.ISFORMULA('Month-End'!$FE$10))),N('Month-End'!$FE$10),IF(OR($E164="open",$E163="pre"),N(Settings!$C$22),N($AH163))))</f>
        <v/>
      </c>
      <c r="AI164">
        <f>IF(OR(Settings!$A$23="",$E164="pre"),"",IF(AND('Month-End'!$FE$11&lt;&gt;"",NOT(_xlfn.ISFORMULA('Month-End'!$FE$11))),N('Month-End'!$FE$11),IF(OR($E164="open",$E163="pre"),N(Settings!$C$23),N($AI163))))</f>
        <v/>
      </c>
      <c r="AJ164">
        <f>IF(OR(Settings!$A$24="",$E164="pre"),"",IF(AND('Month-End'!$FE$12&lt;&gt;"",NOT(_xlfn.ISFORMULA('Month-End'!$FE$12))),N('Month-End'!$FE$12),IF(OR($E164="open",$E163="pre"),N(Settings!$C$24),N($AJ163))))</f>
        <v/>
      </c>
      <c r="AK164">
        <f>IF(OR(Settings!$A$25="",$E164="pre"),"",IF(AND('Month-End'!$FE$13&lt;&gt;"",NOT(_xlfn.ISFORMULA('Month-End'!$FE$13))),N('Month-End'!$FE$13),IF(OR($E164="open",$E163="pre"),N(Settings!$C$25),N($AK163))))</f>
        <v/>
      </c>
      <c r="AL164">
        <f>IF(OR(Settings!$A$26="",$E164="pre"),"",IF(AND('Month-End'!$FE$14&lt;&gt;"",NOT(_xlfn.ISFORMULA('Month-End'!$FE$14))),N('Month-End'!$FE$14),IF(OR($E164="open",$E163="pre"),N(Settings!$C$26),N($AL163))))</f>
        <v/>
      </c>
      <c r="AM164">
        <f>IF(OR(Settings!$A$27="",$E164="pre"),"",IF(AND('Month-End'!$FE$15&lt;&gt;"",NOT(_xlfn.ISFORMULA('Month-End'!$FE$15))),N('Month-End'!$FE$15),IF(OR($E164="open",$E163="pre"),N(Settings!$C$27),N($AM163))))</f>
        <v/>
      </c>
      <c r="AN164">
        <f>IF(OR(Settings!$A$28="",$E164="pre"),"",IF(AND('Month-End'!$FE$16&lt;&gt;"",NOT(_xlfn.ISFORMULA('Month-End'!$FE$16))),N('Month-End'!$FE$16),IF(OR($E164="open",$E163="pre"),N(Settings!$C$28),N($AN163))))</f>
        <v/>
      </c>
      <c r="AO164">
        <f>IF(OR(Settings!$A$29="",$E164="pre"),"",IF(AND('Month-End'!$FE$17&lt;&gt;"",NOT(_xlfn.ISFORMULA('Month-End'!$FE$17))),N('Month-End'!$FE$17),IF(OR($E164="open",$E163="pre"),N(Settings!$C$29),N($AO163))))</f>
        <v/>
      </c>
      <c r="AP164">
        <f>IF(OR(Settings!$A$30="",$E164="pre"),"",IF(AND('Month-End'!$FE$18&lt;&gt;"",NOT(_xlfn.ISFORMULA('Month-End'!$FE$18))),N('Month-End'!$FE$18),IF(OR($E164="open",$E163="pre"),N(Settings!$C$30),N($AP163))))</f>
        <v/>
      </c>
      <c r="AQ164">
        <f>IF(OR(Settings!$A$31="",$E164="pre"),"",IF(AND('Month-End'!$FE$19&lt;&gt;"",NOT(_xlfn.ISFORMULA('Month-End'!$FE$19))),N('Month-End'!$FE$19),IF(OR($E164="open",$E163="pre"),N(Settings!$C$31),N($AQ163))))</f>
        <v/>
      </c>
      <c r="AR164">
        <f>IF(OR(Settings!$A$32="",$E164="pre"),"",IF(AND('Month-End'!$FE$20&lt;&gt;"",NOT(_xlfn.ISFORMULA('Month-End'!$FE$20))),N('Month-End'!$FE$20),IF(OR($E164="open",$E163="pre"),N(Settings!$C$32),N($AR163))))</f>
        <v/>
      </c>
      <c r="AS164">
        <f>IF(OR(Settings!$A$36="",$E164="pre"),"",IF(AND('Month-End'!$FE$38&lt;&gt;"",NOT(_xlfn.ISFORMULA('Month-End'!$FE$38))),N('Month-End'!$FE$38),IF(OR($E164="open",$E163="pre"),N(Settings!$C$36),N($AS163))+$AY164))</f>
        <v/>
      </c>
      <c r="AT164">
        <f>IF(OR(Settings!$A$37="",$E164="pre"),"",IF(AND('Month-End'!$FE$39&lt;&gt;"",NOT(_xlfn.ISFORMULA('Month-End'!$FE$39))),N('Month-End'!$FE$39),IF(OR($E164="open",$E163="pre"),N(Settings!$C$37),N($AT163))+$AZ164))</f>
        <v/>
      </c>
      <c r="AU164">
        <f>IF(OR(Settings!$A$38="",$E164="pre"),"",IF(AND('Month-End'!$FE$40&lt;&gt;"",NOT(_xlfn.ISFORMULA('Month-End'!$FE$40))),N('Month-End'!$FE$40),IF(OR($E164="open",$E163="pre"),N(Settings!$C$38),N($AU163))+$BA164))</f>
        <v/>
      </c>
      <c r="AV164">
        <f>IF(OR(Settings!$A$39="",$E164="pre"),"",IF(AND('Month-End'!$FE$41&lt;&gt;"",NOT(_xlfn.ISFORMULA('Month-End'!$FE$41))),N('Month-End'!$FE$41),IF(OR($E164="open",$E163="pre"),N(Settings!$C$39),N($AV163))+$BB164))</f>
        <v/>
      </c>
      <c r="AW164">
        <f>IF(OR(Settings!$A$40="",$E164="pre"),"",IF(AND('Month-End'!$FE$42&lt;&gt;"",NOT(_xlfn.ISFORMULA('Month-End'!$FE$42))),N('Month-End'!$FE$42),IF(OR($E164="open",$E163="pre"),N(Settings!$C$40),N($AW163))+$BC164))</f>
        <v/>
      </c>
      <c r="AX164">
        <f>IF(OR(Settings!$A$41="",$E164="pre"),"",IF(AND('Month-End'!$FE$43&lt;&gt;"",NOT(_xlfn.ISFORMULA('Month-End'!$FE$43))),N('Month-End'!$FE$43),IF(OR($E164="open",$E163="pre"),N(Settings!$C$41),N($AX163))+$BD164))</f>
        <v/>
      </c>
      <c r="AY164">
        <f>IF($E164="pre",0,N('Month-End'!$FE$45))</f>
        <v/>
      </c>
      <c r="AZ164">
        <f>IF($E164="pre",0,N('Month-End'!$FE$46))</f>
        <v/>
      </c>
      <c r="BA164">
        <f>IF($E164="pre",0,N('Month-End'!$FE$47))</f>
        <v/>
      </c>
      <c r="BB164">
        <f>IF($E164="pre",0,N('Month-End'!$FE$48))</f>
        <v/>
      </c>
      <c r="BC164">
        <f>IF($E164="pre",0,N('Month-End'!$FE$49))</f>
        <v/>
      </c>
      <c r="BD164">
        <f>IF($E164="pre",0,N('Month-End'!$FE$50))</f>
        <v/>
      </c>
      <c r="BE164">
        <f>IF(OR(Settings!$C$45="",Settings!$D$45=""),0,Settings!$C$45*IF(Settings!$D$45="Weekly",IF(IFERROR(MATCH(Settings!$E$45,$EO$4:$EO$10,0),0)=0,0,IF(MIN($C164,IF(Settings!$G$45="",$C164,Settings!$G$45))&lt;MAX($A164,Settings!$F$45),0,INT((MIN($C164,IF(Settings!$G$45="",$C164,Settings!$G$45))-MAX($A164,Settings!$F$45)-MOD(IFERROR(MATCH(Settings!$E$45,$EO$4:$EO$10,0),0)-WEEKDAY(MAX($A164,Settings!$F$45)),7))/7)+1)),IF(AND(IF(Settings!$E$45="",$B164,DATE(YEAR($A164),MONTH($A164),MIN(Settings!$E$45,DAY($B164))))&gt;=MAX($A164,Settings!$F$45),IF(Settings!$E$45="",$B164,DATE(YEAR($A164),MONTH($A164),MIN(Settings!$E$45,DAY($B164))))&lt;=MIN($C164,IF(Settings!$G$45="",$C164,Settings!$G$45))),1,0)))</f>
        <v/>
      </c>
      <c r="BF164">
        <f>IF(OR(Settings!$C$46="",Settings!$D$46=""),0,Settings!$C$46*IF(Settings!$D$46="Weekly",IF(IFERROR(MATCH(Settings!$E$46,$EO$4:$EO$10,0),0)=0,0,IF(MIN($C164,IF(Settings!$G$46="",$C164,Settings!$G$46))&lt;MAX($A164,Settings!$F$46),0,INT((MIN($C164,IF(Settings!$G$46="",$C164,Settings!$G$46))-MAX($A164,Settings!$F$46)-MOD(IFERROR(MATCH(Settings!$E$46,$EO$4:$EO$10,0),0)-WEEKDAY(MAX($A164,Settings!$F$46)),7))/7)+1)),IF(AND(IF(Settings!$E$46="",$B164,DATE(YEAR($A164),MONTH($A164),MIN(Settings!$E$46,DAY($B164))))&gt;=MAX($A164,Settings!$F$46),IF(Settings!$E$46="",$B164,DATE(YEAR($A164),MONTH($A164),MIN(Settings!$E$46,DAY($B164))))&lt;=MIN($C164,IF(Settings!$G$46="",$C164,Settings!$G$46))),1,0)))</f>
        <v/>
      </c>
      <c r="BG164">
        <f>IF(OR(Settings!$C$47="",Settings!$D$47=""),0,Settings!$C$47*IF(Settings!$D$47="Weekly",IF(IFERROR(MATCH(Settings!$E$47,$EO$4:$EO$10,0),0)=0,0,IF(MIN($C164,IF(Settings!$G$47="",$C164,Settings!$G$47))&lt;MAX($A164,Settings!$F$47),0,INT((MIN($C164,IF(Settings!$G$47="",$C164,Settings!$G$47))-MAX($A164,Settings!$F$47)-MOD(IFERROR(MATCH(Settings!$E$47,$EO$4:$EO$10,0),0)-WEEKDAY(MAX($A164,Settings!$F$47)),7))/7)+1)),IF(AND(IF(Settings!$E$47="",$B164,DATE(YEAR($A164),MONTH($A164),MIN(Settings!$E$47,DAY($B164))))&gt;=MAX($A164,Settings!$F$47),IF(Settings!$E$47="",$B164,DATE(YEAR($A164),MONTH($A164),MIN(Settings!$E$47,DAY($B164))))&lt;=MIN($C164,IF(Settings!$G$47="",$C164,Settings!$G$47))),1,0)))</f>
        <v/>
      </c>
      <c r="BH164">
        <f>IF(OR(Settings!$C$48="",Settings!$D$48=""),0,Settings!$C$48*IF(Settings!$D$48="Weekly",IF(IFERROR(MATCH(Settings!$E$48,$EO$4:$EO$10,0),0)=0,0,IF(MIN($C164,IF(Settings!$G$48="",$C164,Settings!$G$48))&lt;MAX($A164,Settings!$F$48),0,INT((MIN($C164,IF(Settings!$G$48="",$C164,Settings!$G$48))-MAX($A164,Settings!$F$48)-MOD(IFERROR(MATCH(Settings!$E$48,$EO$4:$EO$10,0),0)-WEEKDAY(MAX($A164,Settings!$F$48)),7))/7)+1)),IF(AND(IF(Settings!$E$48="",$B164,DATE(YEAR($A164),MONTH($A164),MIN(Settings!$E$48,DAY($B164))))&gt;=MAX($A164,Settings!$F$48),IF(Settings!$E$48="",$B164,DATE(YEAR($A164),MONTH($A164),MIN(Settings!$E$48,DAY($B164))))&lt;=MIN($C164,IF(Settings!$G$48="",$C164,Settings!$G$48))),1,0)))</f>
        <v/>
      </c>
      <c r="BI164">
        <f>IF(OR(Settings!$C$49="",Settings!$D$49=""),0,Settings!$C$49*IF(Settings!$D$49="Weekly",IF(IFERROR(MATCH(Settings!$E$49,$EO$4:$EO$10,0),0)=0,0,IF(MIN($C164,IF(Settings!$G$49="",$C164,Settings!$G$49))&lt;MAX($A164,Settings!$F$49),0,INT((MIN($C164,IF(Settings!$G$49="",$C164,Settings!$G$49))-MAX($A164,Settings!$F$49)-MOD(IFERROR(MATCH(Settings!$E$49,$EO$4:$EO$10,0),0)-WEEKDAY(MAX($A164,Settings!$F$49)),7))/7)+1)),IF(AND(IF(Settings!$E$49="",$B164,DATE(YEAR($A164),MONTH($A164),MIN(Settings!$E$49,DAY($B164))))&gt;=MAX($A164,Settings!$F$49),IF(Settings!$E$49="",$B164,DATE(YEAR($A164),MONTH($A164),MIN(Settings!$E$49,DAY($B164))))&lt;=MIN($C164,IF(Settings!$G$49="",$C164,Settings!$G$49))),1,0)))</f>
        <v/>
      </c>
      <c r="BJ164">
        <f>IF(OR(Settings!$C$50="",Settings!$D$50=""),0,Settings!$C$50*IF(Settings!$D$50="Weekly",IF(IFERROR(MATCH(Settings!$E$50,$EO$4:$EO$10,0),0)=0,0,IF(MIN($C164,IF(Settings!$G$50="",$C164,Settings!$G$50))&lt;MAX($A164,Settings!$F$50),0,INT((MIN($C164,IF(Settings!$G$50="",$C164,Settings!$G$50))-MAX($A164,Settings!$F$50)-MOD(IFERROR(MATCH(Settings!$E$50,$EO$4:$EO$10,0),0)-WEEKDAY(MAX($A164,Settings!$F$50)),7))/7)+1)),IF(AND(IF(Settings!$E$50="",$B164,DATE(YEAR($A164),MONTH($A164),MIN(Settings!$E$50,DAY($B164))))&gt;=MAX($A164,Settings!$F$50),IF(Settings!$E$50="",$B164,DATE(YEAR($A164),MONTH($A164),MIN(Settings!$E$50,DAY($B164))))&lt;=MIN($C164,IF(Settings!$G$50="",$C164,Settings!$G$50))),1,0)))</f>
        <v/>
      </c>
      <c r="BK164">
        <f>IF(OR(Settings!$C$51="",Settings!$D$51=""),0,Settings!$C$51*IF(Settings!$D$51="Weekly",IF(IFERROR(MATCH(Settings!$E$51,$EO$4:$EO$10,0),0)=0,0,IF(MIN($C164,IF(Settings!$G$51="",$C164,Settings!$G$51))&lt;MAX($A164,Settings!$F$51),0,INT((MIN($C164,IF(Settings!$G$51="",$C164,Settings!$G$51))-MAX($A164,Settings!$F$51)-MOD(IFERROR(MATCH(Settings!$E$51,$EO$4:$EO$10,0),0)-WEEKDAY(MAX($A164,Settings!$F$51)),7))/7)+1)),IF(AND(IF(Settings!$E$51="",$B164,DATE(YEAR($A164),MONTH($A164),MIN(Settings!$E$51,DAY($B164))))&gt;=MAX($A164,Settings!$F$51),IF(Settings!$E$51="",$B164,DATE(YEAR($A164),MONTH($A164),MIN(Settings!$E$51,DAY($B164))))&lt;=MIN($C164,IF(Settings!$G$51="",$C164,Settings!$G$51))),1,0)))</f>
        <v/>
      </c>
      <c r="BL164">
        <f>IF(OR(Settings!$C$52="",Settings!$D$52=""),0,Settings!$C$52*IF(Settings!$D$52="Weekly",IF(IFERROR(MATCH(Settings!$E$52,$EO$4:$EO$10,0),0)=0,0,IF(MIN($C164,IF(Settings!$G$52="",$C164,Settings!$G$52))&lt;MAX($A164,Settings!$F$52),0,INT((MIN($C164,IF(Settings!$G$52="",$C164,Settings!$G$52))-MAX($A164,Settings!$F$52)-MOD(IFERROR(MATCH(Settings!$E$52,$EO$4:$EO$10,0),0)-WEEKDAY(MAX($A164,Settings!$F$52)),7))/7)+1)),IF(AND(IF(Settings!$E$52="",$B164,DATE(YEAR($A164),MONTH($A164),MIN(Settings!$E$52,DAY($B164))))&gt;=MAX($A164,Settings!$F$52),IF(Settings!$E$52="",$B164,DATE(YEAR($A164),MONTH($A164),MIN(Settings!$E$52,DAY($B164))))&lt;=MIN($C164,IF(Settings!$G$52="",$C164,Settings!$G$52))),1,0)))</f>
        <v/>
      </c>
      <c r="BM164">
        <f>IF(OR(Settings!$C$53="",Settings!$D$53=""),0,Settings!$C$53*IF(Settings!$D$53="Weekly",IF(IFERROR(MATCH(Settings!$E$53,$EO$4:$EO$10,0),0)=0,0,IF(MIN($C164,IF(Settings!$G$53="",$C164,Settings!$G$53))&lt;MAX($A164,Settings!$F$53),0,INT((MIN($C164,IF(Settings!$G$53="",$C164,Settings!$G$53))-MAX($A164,Settings!$F$53)-MOD(IFERROR(MATCH(Settings!$E$53,$EO$4:$EO$10,0),0)-WEEKDAY(MAX($A164,Settings!$F$53)),7))/7)+1)),IF(AND(IF(Settings!$E$53="",$B164,DATE(YEAR($A164),MONTH($A164),MIN(Settings!$E$53,DAY($B164))))&gt;=MAX($A164,Settings!$F$53),IF(Settings!$E$53="",$B164,DATE(YEAR($A164),MONTH($A164),MIN(Settings!$E$53,DAY($B164))))&lt;=MIN($C164,IF(Settings!$G$53="",$C164,Settings!$G$53))),1,0)))</f>
        <v/>
      </c>
      <c r="BN164">
        <f>IF(OR(Settings!$C$54="",Settings!$D$54=""),0,Settings!$C$54*IF(Settings!$D$54="Weekly",IF(IFERROR(MATCH(Settings!$E$54,$EO$4:$EO$10,0),0)=0,0,IF(MIN($C164,IF(Settings!$G$54="",$C164,Settings!$G$54))&lt;MAX($A164,Settings!$F$54),0,INT((MIN($C164,IF(Settings!$G$54="",$C164,Settings!$G$54))-MAX($A164,Settings!$F$54)-MOD(IFERROR(MATCH(Settings!$E$54,$EO$4:$EO$10,0),0)-WEEKDAY(MAX($A164,Settings!$F$54)),7))/7)+1)),IF(AND(IF(Settings!$E$54="",$B164,DATE(YEAR($A164),MONTH($A164),MIN(Settings!$E$54,DAY($B164))))&gt;=MAX($A164,Settings!$F$54),IF(Settings!$E$54="",$B164,DATE(YEAR($A164),MONTH($A164),MIN(Settings!$E$54,DAY($B164))))&lt;=MIN($C164,IF(Settings!$G$54="",$C164,Settings!$G$54))),1,0)))</f>
        <v/>
      </c>
      <c r="BO164">
        <f>IF(OR(Settings!$C$55="",Settings!$D$55=""),0,Settings!$C$55*IF(Settings!$D$55="Weekly",IF(IFERROR(MATCH(Settings!$E$55,$EO$4:$EO$10,0),0)=0,0,IF(MIN($C164,IF(Settings!$G$55="",$C164,Settings!$G$55))&lt;MAX($A164,Settings!$F$55),0,INT((MIN($C164,IF(Settings!$G$55="",$C164,Settings!$G$55))-MAX($A164,Settings!$F$55)-MOD(IFERROR(MATCH(Settings!$E$55,$EO$4:$EO$10,0),0)-WEEKDAY(MAX($A164,Settings!$F$55)),7))/7)+1)),IF(AND(IF(Settings!$E$55="",$B164,DATE(YEAR($A164),MONTH($A164),MIN(Settings!$E$55,DAY($B164))))&gt;=MAX($A164,Settings!$F$55),IF(Settings!$E$55="",$B164,DATE(YEAR($A164),MONTH($A164),MIN(Settings!$E$55,DAY($B164))))&lt;=MIN($C164,IF(Settings!$G$55="",$C164,Settings!$G$55))),1,0)))</f>
        <v/>
      </c>
      <c r="BP164">
        <f>IF(OR(Settings!$C$56="",Settings!$D$56=""),0,Settings!$C$56*IF(Settings!$D$56="Weekly",IF(IFERROR(MATCH(Settings!$E$56,$EO$4:$EO$10,0),0)=0,0,IF(MIN($C164,IF(Settings!$G$56="",$C164,Settings!$G$56))&lt;MAX($A164,Settings!$F$56),0,INT((MIN($C164,IF(Settings!$G$56="",$C164,Settings!$G$56))-MAX($A164,Settings!$F$56)-MOD(IFERROR(MATCH(Settings!$E$56,$EO$4:$EO$10,0),0)-WEEKDAY(MAX($A164,Settings!$F$56)),7))/7)+1)),IF(AND(IF(Settings!$E$56="",$B164,DATE(YEAR($A164),MONTH($A164),MIN(Settings!$E$56,DAY($B164))))&gt;=MAX($A164,Settings!$F$56),IF(Settings!$E$56="",$B164,DATE(YEAR($A164),MONTH($A164),MIN(Settings!$E$56,DAY($B164))))&lt;=MIN($C164,IF(Settings!$G$56="",$C164,Settings!$G$56))),1,0)))</f>
        <v/>
      </c>
      <c r="BQ164">
        <f>IF(OR(Settings!$B$14="",$D164=1,$E164="pre",$A164&lt;IF(Settings!$B$15="",0,Settings!$B$15)),0,Settings!$B$14)</f>
        <v/>
      </c>
      <c r="BR164">
        <f>IF(AND('Month-End'!$FE$7&lt;&gt;"",NOT(_xlfn.ISFORMULA('Month-End'!$FE$7))),1,0)</f>
        <v/>
      </c>
      <c r="BS164">
        <f>IF(AND('Month-End'!$FE$8&lt;&gt;"",NOT(_xlfn.ISFORMULA('Month-End'!$FE$8))),1,0)</f>
        <v/>
      </c>
      <c r="BT164">
        <f>IF(AND('Month-End'!$FE$9&lt;&gt;"",NOT(_xlfn.ISFORMULA('Month-End'!$FE$9))),1,0)</f>
        <v/>
      </c>
      <c r="BU164">
        <f>IF(AND('Month-End'!$FE$10&lt;&gt;"",NOT(_xlfn.ISFORMULA('Month-End'!$FE$10))),1,0)</f>
        <v/>
      </c>
      <c r="BV164">
        <f>IF(AND('Month-End'!$FE$11&lt;&gt;"",NOT(_xlfn.ISFORMULA('Month-End'!$FE$11))),1,0)</f>
        <v/>
      </c>
      <c r="BW164">
        <f>IF(AND('Month-End'!$FE$12&lt;&gt;"",NOT(_xlfn.ISFORMULA('Month-End'!$FE$12))),1,0)</f>
        <v/>
      </c>
      <c r="BX164">
        <f>IF(AND('Month-End'!$FE$13&lt;&gt;"",NOT(_xlfn.ISFORMULA('Month-End'!$FE$13))),1,0)</f>
        <v/>
      </c>
      <c r="BY164">
        <f>IF(AND('Month-End'!$FE$14&lt;&gt;"",NOT(_xlfn.ISFORMULA('Month-End'!$FE$14))),1,0)</f>
        <v/>
      </c>
      <c r="BZ164">
        <f>IF(AND('Month-End'!$FE$15&lt;&gt;"",NOT(_xlfn.ISFORMULA('Month-End'!$FE$15))),1,0)</f>
        <v/>
      </c>
      <c r="CA164">
        <f>IF(AND('Month-End'!$FE$16&lt;&gt;"",NOT(_xlfn.ISFORMULA('Month-End'!$FE$16))),1,0)</f>
        <v/>
      </c>
      <c r="CB164">
        <f>IF(AND('Month-End'!$FE$17&lt;&gt;"",NOT(_xlfn.ISFORMULA('Month-End'!$FE$17))),1,0)</f>
        <v/>
      </c>
      <c r="CC164">
        <f>IF(AND('Month-End'!$FE$18&lt;&gt;"",NOT(_xlfn.ISFORMULA('Month-End'!$FE$18))),1,0)</f>
        <v/>
      </c>
      <c r="CD164">
        <f>IF(AND('Month-End'!$FE$19&lt;&gt;"",NOT(_xlfn.ISFORMULA('Month-End'!$FE$19))),1,0)</f>
        <v/>
      </c>
      <c r="CE164">
        <f>IF(AND('Month-End'!$FE$20&lt;&gt;"",NOT(_xlfn.ISFORMULA('Month-End'!$FE$20))),1,0)</f>
        <v/>
      </c>
      <c r="CF164">
        <f>IF(AND('Month-End'!$FE$38&lt;&gt;"",NOT(_xlfn.ISFORMULA('Month-End'!$FE$38))),1,0)</f>
        <v/>
      </c>
      <c r="CG164">
        <f>IF(AND('Month-End'!$FE$39&lt;&gt;"",NOT(_xlfn.ISFORMULA('Month-End'!$FE$39))),1,0)</f>
        <v/>
      </c>
      <c r="CH164">
        <f>IF(AND('Month-End'!$FE$40&lt;&gt;"",NOT(_xlfn.ISFORMULA('Month-End'!$FE$40))),1,0)</f>
        <v/>
      </c>
      <c r="CI164">
        <f>IF(AND('Month-End'!$FE$41&lt;&gt;"",NOT(_xlfn.ISFORMULA('Month-End'!$FE$41))),1,0)</f>
        <v/>
      </c>
      <c r="CJ164">
        <f>IF(AND('Month-End'!$FE$42&lt;&gt;"",NOT(_xlfn.ISFORMULA('Month-End'!$FE$42))),1,0)</f>
        <v/>
      </c>
      <c r="CK164">
        <f>IF(AND('Month-End'!$FE$43&lt;&gt;"",NOT(_xlfn.ISFORMULA('Month-End'!$FE$43))),1,0)</f>
        <v/>
      </c>
      <c r="CL164">
        <f>SUM($CM164:$CZ164)</f>
        <v/>
      </c>
      <c r="CM164">
        <f>IF(AND($E164&lt;&gt;"pre",AND(Settings!$A$19&lt;&gt;"",Settings!$E$19&lt;&gt;"No"),Settings!$F$19="Yes",NOT(AND('Month-End'!$FE$7&lt;&gt;"",NOT(_xlfn.ISFORMULA('Month-End'!$FE$7))))),1,0)</f>
        <v/>
      </c>
      <c r="CN164">
        <f>IF(AND($E164&lt;&gt;"pre",AND(Settings!$A$20&lt;&gt;"",Settings!$E$20&lt;&gt;"No"),Settings!$F$20="Yes",NOT(AND('Month-End'!$FE$8&lt;&gt;"",NOT(_xlfn.ISFORMULA('Month-End'!$FE$8))))),1,0)</f>
        <v/>
      </c>
      <c r="CO164">
        <f>IF(AND($E164&lt;&gt;"pre",AND(Settings!$A$21&lt;&gt;"",Settings!$E$21&lt;&gt;"No"),Settings!$F$21="Yes",NOT(AND('Month-End'!$FE$9&lt;&gt;"",NOT(_xlfn.ISFORMULA('Month-End'!$FE$9))))),1,0)</f>
        <v/>
      </c>
      <c r="CP164">
        <f>IF(AND($E164&lt;&gt;"pre",AND(Settings!$A$22&lt;&gt;"",Settings!$E$22&lt;&gt;"No"),Settings!$F$22="Yes",NOT(AND('Month-End'!$FE$10&lt;&gt;"",NOT(_xlfn.ISFORMULA('Month-End'!$FE$10))))),1,0)</f>
        <v/>
      </c>
      <c r="CQ164">
        <f>IF(AND($E164&lt;&gt;"pre",AND(Settings!$A$23&lt;&gt;"",Settings!$E$23&lt;&gt;"No"),Settings!$F$23="Yes",NOT(AND('Month-End'!$FE$11&lt;&gt;"",NOT(_xlfn.ISFORMULA('Month-End'!$FE$11))))),1,0)</f>
        <v/>
      </c>
      <c r="CR164">
        <f>IF(AND($E164&lt;&gt;"pre",AND(Settings!$A$24&lt;&gt;"",Settings!$E$24&lt;&gt;"No"),Settings!$F$24="Yes",NOT(AND('Month-End'!$FE$12&lt;&gt;"",NOT(_xlfn.ISFORMULA('Month-End'!$FE$12))))),1,0)</f>
        <v/>
      </c>
      <c r="CS164">
        <f>IF(AND($E164&lt;&gt;"pre",AND(Settings!$A$25&lt;&gt;"",Settings!$E$25&lt;&gt;"No"),Settings!$F$25="Yes",NOT(AND('Month-End'!$FE$13&lt;&gt;"",NOT(_xlfn.ISFORMULA('Month-End'!$FE$13))))),1,0)</f>
        <v/>
      </c>
      <c r="CT164">
        <f>IF(AND($E164&lt;&gt;"pre",AND(Settings!$A$26&lt;&gt;"",Settings!$E$26&lt;&gt;"No"),Settings!$F$26="Yes",NOT(AND('Month-End'!$FE$14&lt;&gt;"",NOT(_xlfn.ISFORMULA('Month-End'!$FE$14))))),1,0)</f>
        <v/>
      </c>
      <c r="CU164">
        <f>IF(AND($E164&lt;&gt;"pre",AND(Settings!$A$27&lt;&gt;"",Settings!$E$27&lt;&gt;"No"),Settings!$F$27="Yes",NOT(AND('Month-End'!$FE$15&lt;&gt;"",NOT(_xlfn.ISFORMULA('Month-End'!$FE$15))))),1,0)</f>
        <v/>
      </c>
      <c r="CV164">
        <f>IF(AND($E164&lt;&gt;"pre",AND(Settings!$A$28&lt;&gt;"",Settings!$E$28&lt;&gt;"No"),Settings!$F$28="Yes",NOT(AND('Month-End'!$FE$16&lt;&gt;"",NOT(_xlfn.ISFORMULA('Month-End'!$FE$16))))),1,0)</f>
        <v/>
      </c>
      <c r="CW164">
        <f>IF(AND($E164&lt;&gt;"pre",AND(Settings!$A$29&lt;&gt;"",Settings!$E$29&lt;&gt;"No"),Settings!$F$29="Yes",NOT(AND('Month-End'!$FE$17&lt;&gt;"",NOT(_xlfn.ISFORMULA('Month-End'!$FE$17))))),1,0)</f>
        <v/>
      </c>
      <c r="CX164">
        <f>IF(AND($E164&lt;&gt;"pre",AND(Settings!$A$30&lt;&gt;"",Settings!$E$30&lt;&gt;"No"),Settings!$F$30="Yes",NOT(AND('Month-End'!$FE$18&lt;&gt;"",NOT(_xlfn.ISFORMULA('Month-End'!$FE$18))))),1,0)</f>
        <v/>
      </c>
      <c r="CY164">
        <f>IF(AND($E164&lt;&gt;"pre",AND(Settings!$A$31&lt;&gt;"",Settings!$E$31&lt;&gt;"No"),Settings!$F$31="Yes",NOT(AND('Month-End'!$FE$19&lt;&gt;"",NOT(_xlfn.ISFORMULA('Month-End'!$FE$19))))),1,0)</f>
        <v/>
      </c>
      <c r="CZ164">
        <f>IF(AND($E164&lt;&gt;"pre",AND(Settings!$A$32&lt;&gt;"",Settings!$E$32&lt;&gt;"No"),Settings!$F$32="Yes",NOT(AND('Month-End'!$FE$20&lt;&gt;"",NOT(_xlfn.ISFORMULA('Month-End'!$FE$20))))),1,0)</f>
        <v/>
      </c>
      <c r="DA164">
        <f>IF($DT164=1,IF(OR(Settings!$B$19="Checking",Settings!$B$19="Savings",Settings!$B$19="Cash"),N($AE164),IF(OR(Settings!$B$19="Card",Settings!$B$19="Loan"),-N($AE164),0))+IF(OR(Settings!$B$20="Checking",Settings!$B$20="Savings",Settings!$B$20="Cash"),N($AF164),IF(OR(Settings!$B$20="Card",Settings!$B$20="Loan"),-N($AF164),0))+IF(OR(Settings!$B$21="Checking",Settings!$B$21="Savings",Settings!$B$21="Cash"),N($AG164),IF(OR(Settings!$B$21="Card",Settings!$B$21="Loan"),-N($AG164),0))+IF(OR(Settings!$B$22="Checking",Settings!$B$22="Savings",Settings!$B$22="Cash"),N($AH164),IF(OR(Settings!$B$22="Card",Settings!$B$22="Loan"),-N($AH164),0))+IF(OR(Settings!$B$23="Checking",Settings!$B$23="Savings",Settings!$B$23="Cash"),N($AI164),IF(OR(Settings!$B$23="Card",Settings!$B$23="Loan"),-N($AI164),0))+IF(OR(Settings!$B$24="Checking",Settings!$B$24="Savings",Settings!$B$24="Cash"),N($AJ164),IF(OR(Settings!$B$24="Card",Settings!$B$24="Loan"),-N($AJ164),0))+IF(OR(Settings!$B$25="Checking",Settings!$B$25="Savings",Settings!$B$25="Cash"),N($AK164),IF(OR(Settings!$B$25="Card",Settings!$B$25="Loan"),-N($AK164),0))+IF(OR(Settings!$B$26="Checking",Settings!$B$26="Savings",Settings!$B$26="Cash"),N($AL164),IF(OR(Settings!$B$26="Card",Settings!$B$26="Loan"),-N($AL164),0))+IF(OR(Settings!$B$27="Checking",Settings!$B$27="Savings",Settings!$B$27="Cash"),N($AM164),IF(OR(Settings!$B$27="Card",Settings!$B$27="Loan"),-N($AM164),0))+IF(OR(Settings!$B$28="Checking",Settings!$B$28="Savings",Settings!$B$28="Cash"),N($AN164),IF(OR(Settings!$B$28="Card",Settings!$B$28="Loan"),-N($AN164),0))+IF(OR(Settings!$B$29="Checking",Settings!$B$29="Savings",Settings!$B$29="Cash"),N($AO164),IF(OR(Settings!$B$29="Card",Settings!$B$29="Loan"),-N($AO164),0))+IF(OR(Settings!$B$30="Checking",Settings!$B$30="Savings",Settings!$B$30="Cash"),N($AP164),IF(OR(Settings!$B$30="Card",Settings!$B$30="Loan"),-N($AP164),0))+IF(OR(Settings!$B$31="Checking",Settings!$B$31="Savings",Settings!$B$31="Cash"),N($AQ164),IF(OR(Settings!$B$31="Card",Settings!$B$31="Loan"),-N($AQ164),0))+IF(OR(Settings!$B$32="Checking",Settings!$B$32="Savings",Settings!$B$32="Cash"),N($AR164),IF(OR(Settings!$B$32="Card",Settings!$B$32="Loan"),-N($AR164),0)),"")</f>
        <v/>
      </c>
      <c r="DB164">
        <f>IF($E164="open",$EB$27,IF($E164="post",IF($E163="pre",$EB$27,$DA163),""))</f>
        <v/>
      </c>
      <c r="DC164">
        <f>IF($E164="open",1,IF($E164="post",IF($E163="pre",1,$DT163),0))</f>
        <v/>
      </c>
      <c r="DD164">
        <f>IF(AND($DT164=1,$DC164=1),ROUND($W164-($DA164-$DB164)-$AD164-$AB164,2),"")</f>
        <v/>
      </c>
      <c r="DE164">
        <f>IF('Month-End'!$FE$35="",$BQ164,N('Month-End'!$FE$35))</f>
        <v/>
      </c>
      <c r="DF164">
        <f>N('Month-End'!$FE$36)</f>
        <v/>
      </c>
      <c r="DG164">
        <f>IF($DD164="","",$DD164+$DE164)</f>
        <v/>
      </c>
      <c r="DH164">
        <f>IF($DG164="","",$DG164-$DF164)</f>
        <v/>
      </c>
      <c r="DI164">
        <f>IF(OR($E164="pre",$D164=1),"",N($AS164)+N($AT164)+N($AU164)+N($AV164)+N($AW164)+N($AX164))</f>
        <v/>
      </c>
      <c r="DJ164">
        <f>IF($DT164=1,$DA164+N($DI164),"")</f>
        <v/>
      </c>
      <c r="DK164">
        <f>IF($DD164="","",$W164-$DD164-$AB164)</f>
        <v/>
      </c>
      <c r="DL164">
        <f>IF(AND($E164="post",$DD164&lt;&gt;"",$B164&lt;TODAY()),1,0)</f>
        <v/>
      </c>
      <c r="DM164">
        <f>IF($DL164=1,COUNTIF($DL164:$DL$183,1),0)</f>
        <v/>
      </c>
      <c r="DN164">
        <f>IF($D164=1,"",IF($E164="pre","History only",IF($DT164=1,IF($DD164="","⚠ Previous month missing",IF($DD164&lt;0,"⚠ Check: spending &lt; 0",IF($E164="open","✓ Done (partial)","✓ Done"))),IF($B164&gt;=TODAY(),"In progress","⚠ Needs balances"))))</f>
        <v/>
      </c>
      <c r="DO164">
        <f>YEAR($A164)</f>
        <v/>
      </c>
      <c r="DP164">
        <f>DATE(YEAR($A164),INT((MONTH($A164)-1)/3)*3+1,1)</f>
        <v/>
      </c>
      <c r="DQ164">
        <f>IF(AND($DT164=1,$DD164&lt;&gt;"",$D164=0),ROW(),0)</f>
        <v/>
      </c>
      <c r="DR164">
        <f>IF(AND($E164&lt;&gt;"pre",$B164&lt;TODAY(),$DT164=0),1,0)</f>
        <v/>
      </c>
      <c r="DS164">
        <f>IF($DJ164="",NA(),$DJ164)</f>
        <v/>
      </c>
      <c r="DT164">
        <f>IF(AND($E164&lt;&gt;"pre",$CL164=0,COUNTIFS(Settings!$F$19:$F$32,"Yes",Settings!$A$19:$A$32,"&lt;&gt;",Settings!$E$19:$E$32,"&lt;&gt;No")&gt;0),1,0)</f>
        <v/>
      </c>
      <c r="DU164">
        <f>IF(AND($B164&lt;TODAY(),$S164&gt;0),1,0)</f>
        <v/>
      </c>
      <c r="DV164">
        <f>IF($DU164=1,COUNTIF($DU164:$DU$183,1),0)</f>
        <v/>
      </c>
      <c r="DW164">
        <f>IF(AND(OR(Settings!$B$19="Card",Settings!$B$19="Loan"),AND('Month-End'!$FE$7&lt;&gt;"",NOT(_xlfn.ISFORMULA('Month-End'!$FE$7)))),IF(N('Month-End'!$FE$7)&lt;0,1,0),0)+IF(AND(OR(Settings!$B$20="Card",Settings!$B$20="Loan"),AND('Month-End'!$FE$8&lt;&gt;"",NOT(_xlfn.ISFORMULA('Month-End'!$FE$8)))),IF(N('Month-End'!$FE$8)&lt;0,1,0),0)+IF(AND(OR(Settings!$B$21="Card",Settings!$B$21="Loan"),AND('Month-End'!$FE$9&lt;&gt;"",NOT(_xlfn.ISFORMULA('Month-End'!$FE$9)))),IF(N('Month-End'!$FE$9)&lt;0,1,0),0)+IF(AND(OR(Settings!$B$22="Card",Settings!$B$22="Loan"),AND('Month-End'!$FE$10&lt;&gt;"",NOT(_xlfn.ISFORMULA('Month-End'!$FE$10)))),IF(N('Month-End'!$FE$10)&lt;0,1,0),0)+IF(AND(OR(Settings!$B$23="Card",Settings!$B$23="Loan"),AND('Month-End'!$FE$11&lt;&gt;"",NOT(_xlfn.ISFORMULA('Month-End'!$FE$11)))),IF(N('Month-End'!$FE$11)&lt;0,1,0),0)+IF(AND(OR(Settings!$B$24="Card",Settings!$B$24="Loan"),AND('Month-End'!$FE$12&lt;&gt;"",NOT(_xlfn.ISFORMULA('Month-End'!$FE$12)))),IF(N('Month-End'!$FE$12)&lt;0,1,0),0)+IF(AND(OR(Settings!$B$25="Card",Settings!$B$25="Loan"),AND('Month-End'!$FE$13&lt;&gt;"",NOT(_xlfn.ISFORMULA('Month-End'!$FE$13)))),IF(N('Month-End'!$FE$13)&lt;0,1,0),0)+IF(AND(OR(Settings!$B$26="Card",Settings!$B$26="Loan"),AND('Month-End'!$FE$14&lt;&gt;"",NOT(_xlfn.ISFORMULA('Month-End'!$FE$14)))),IF(N('Month-End'!$FE$14)&lt;0,1,0),0)+IF(AND(OR(Settings!$B$27="Card",Settings!$B$27="Loan"),AND('Month-End'!$FE$15&lt;&gt;"",NOT(_xlfn.ISFORMULA('Month-End'!$FE$15)))),IF(N('Month-End'!$FE$15)&lt;0,1,0),0)+IF(AND(OR(Settings!$B$28="Card",Settings!$B$28="Loan"),AND('Month-End'!$FE$16&lt;&gt;"",NOT(_xlfn.ISFORMULA('Month-End'!$FE$16)))),IF(N('Month-End'!$FE$16)&lt;0,1,0),0)+IF(AND(OR(Settings!$B$29="Card",Settings!$B$29="Loan"),AND('Month-End'!$FE$17&lt;&gt;"",NOT(_xlfn.ISFORMULA('Month-End'!$FE$17)))),IF(N('Month-End'!$FE$17)&lt;0,1,0),0)+IF(AND(OR(Settings!$B$30="Card",Settings!$B$30="Loan"),AND('Month-End'!$FE$18&lt;&gt;"",NOT(_xlfn.ISFORMULA('Month-End'!$FE$18)))),IF(N('Month-End'!$FE$18)&lt;0,1,0),0)+IF(AND(OR(Settings!$B$31="Card",Settings!$B$31="Loan"),AND('Month-End'!$FE$19&lt;&gt;"",NOT(_xlfn.ISFORMULA('Month-End'!$FE$19)))),IF(N('Month-End'!$FE$19)&lt;0,1,0),0)+IF(AND(OR(Settings!$B$32="Card",Settings!$B$32="Loan"),AND('Month-End'!$FE$20&lt;&gt;"",NOT(_xlfn.ISFORMULA('Month-End'!$FE$20)))),IF(N('Month-End'!$FE$20)&lt;0,1,0),0)</f>
        <v/>
      </c>
      <c r="DX164">
        <f>IF(Settings!$B$36="Retirement",$AY164,0)+IF(Settings!$B$37="Retirement",$AZ164,0)+IF(Settings!$B$38="Retirement",$BA164,0)+IF(Settings!$B$39="Retirement",$BB164,0)+IF(Settings!$B$40="Retirement",$BC164,0)+IF(Settings!$B$41="Retirement",$BD164,0)</f>
        <v/>
      </c>
      <c r="ET164">
        <f>IF($E164&lt;&gt;"open",0,IF(AND('Month-End'!$FE$22&lt;&gt;"",NOT(_xlfn.ISFORMULA('Month-End'!$FE$22))),0,IF(OR(Settings!$C$45="",Settings!$D$45=""),0,Settings!$C$45*IF(Settings!$D$45="Weekly",IF(IFERROR(MATCH(Settings!$E$45,$EO$4:$EO$10,0),0)=0,0,IF(MIN(Settings!$B$5,IF(Settings!$G$45="",Settings!$B$5,Settings!$G$45))&lt;MAX($A164,Settings!$F$45),0,INT((MIN(Settings!$B$5,IF(Settings!$G$45="",Settings!$B$5,Settings!$G$45))-MAX($A164,Settings!$F$45)-MOD(IFERROR(MATCH(Settings!$E$45,$EO$4:$EO$10,0),0)-WEEKDAY(MAX($A164,Settings!$F$45)),7))/7)+1)),IF(AND(IF(Settings!$E$45="",$B164,DATE(YEAR($A164),MONTH($A164),MIN(Settings!$E$45,DAY($B164))))&gt;=MAX($A164,Settings!$F$45),IF(Settings!$E$45="",$B164,DATE(YEAR($A164),MONTH($A164),MIN(Settings!$E$45,DAY($B164))))&lt;=MIN(Settings!$B$5,IF(Settings!$G$45="",Settings!$B$5,Settings!$G$45))),1,0)))))</f>
        <v/>
      </c>
      <c r="EU164">
        <f>IF($E164&lt;&gt;"open",0,IF(AND('Month-End'!$FE$23&lt;&gt;"",NOT(_xlfn.ISFORMULA('Month-End'!$FE$23))),0,IF(OR(Settings!$C$46="",Settings!$D$46=""),0,Settings!$C$46*IF(Settings!$D$46="Weekly",IF(IFERROR(MATCH(Settings!$E$46,$EO$4:$EO$10,0),0)=0,0,IF(MIN(Settings!$B$5,IF(Settings!$G$46="",Settings!$B$5,Settings!$G$46))&lt;MAX($A164,Settings!$F$46),0,INT((MIN(Settings!$B$5,IF(Settings!$G$46="",Settings!$B$5,Settings!$G$46))-MAX($A164,Settings!$F$46)-MOD(IFERROR(MATCH(Settings!$E$46,$EO$4:$EO$10,0),0)-WEEKDAY(MAX($A164,Settings!$F$46)),7))/7)+1)),IF(AND(IF(Settings!$E$46="",$B164,DATE(YEAR($A164),MONTH($A164),MIN(Settings!$E$46,DAY($B164))))&gt;=MAX($A164,Settings!$F$46),IF(Settings!$E$46="",$B164,DATE(YEAR($A164),MONTH($A164),MIN(Settings!$E$46,DAY($B164))))&lt;=MIN(Settings!$B$5,IF(Settings!$G$46="",Settings!$B$5,Settings!$G$46))),1,0)))))</f>
        <v/>
      </c>
      <c r="EV164">
        <f>IF($E164&lt;&gt;"open",0,IF(AND('Month-End'!$FE$24&lt;&gt;"",NOT(_xlfn.ISFORMULA('Month-End'!$FE$24))),0,IF(OR(Settings!$C$47="",Settings!$D$47=""),0,Settings!$C$47*IF(Settings!$D$47="Weekly",IF(IFERROR(MATCH(Settings!$E$47,$EO$4:$EO$10,0),0)=0,0,IF(MIN(Settings!$B$5,IF(Settings!$G$47="",Settings!$B$5,Settings!$G$47))&lt;MAX($A164,Settings!$F$47),0,INT((MIN(Settings!$B$5,IF(Settings!$G$47="",Settings!$B$5,Settings!$G$47))-MAX($A164,Settings!$F$47)-MOD(IFERROR(MATCH(Settings!$E$47,$EO$4:$EO$10,0),0)-WEEKDAY(MAX($A164,Settings!$F$47)),7))/7)+1)),IF(AND(IF(Settings!$E$47="",$B164,DATE(YEAR($A164),MONTH($A164),MIN(Settings!$E$47,DAY($B164))))&gt;=MAX($A164,Settings!$F$47),IF(Settings!$E$47="",$B164,DATE(YEAR($A164),MONTH($A164),MIN(Settings!$E$47,DAY($B164))))&lt;=MIN(Settings!$B$5,IF(Settings!$G$47="",Settings!$B$5,Settings!$G$47))),1,0)))))</f>
        <v/>
      </c>
      <c r="EW164">
        <f>IF($E164&lt;&gt;"open",0,IF(AND('Month-End'!$FE$25&lt;&gt;"",NOT(_xlfn.ISFORMULA('Month-End'!$FE$25))),0,IF(OR(Settings!$C$48="",Settings!$D$48=""),0,Settings!$C$48*IF(Settings!$D$48="Weekly",IF(IFERROR(MATCH(Settings!$E$48,$EO$4:$EO$10,0),0)=0,0,IF(MIN(Settings!$B$5,IF(Settings!$G$48="",Settings!$B$5,Settings!$G$48))&lt;MAX($A164,Settings!$F$48),0,INT((MIN(Settings!$B$5,IF(Settings!$G$48="",Settings!$B$5,Settings!$G$48))-MAX($A164,Settings!$F$48)-MOD(IFERROR(MATCH(Settings!$E$48,$EO$4:$EO$10,0),0)-WEEKDAY(MAX($A164,Settings!$F$48)),7))/7)+1)),IF(AND(IF(Settings!$E$48="",$B164,DATE(YEAR($A164),MONTH($A164),MIN(Settings!$E$48,DAY($B164))))&gt;=MAX($A164,Settings!$F$48),IF(Settings!$E$48="",$B164,DATE(YEAR($A164),MONTH($A164),MIN(Settings!$E$48,DAY($B164))))&lt;=MIN(Settings!$B$5,IF(Settings!$G$48="",Settings!$B$5,Settings!$G$48))),1,0)))))</f>
        <v/>
      </c>
      <c r="EX164">
        <f>IF($E164&lt;&gt;"open",0,IF(AND('Month-End'!$FE$26&lt;&gt;"",NOT(_xlfn.ISFORMULA('Month-End'!$FE$26))),0,IF(OR(Settings!$C$49="",Settings!$D$49=""),0,Settings!$C$49*IF(Settings!$D$49="Weekly",IF(IFERROR(MATCH(Settings!$E$49,$EO$4:$EO$10,0),0)=0,0,IF(MIN(Settings!$B$5,IF(Settings!$G$49="",Settings!$B$5,Settings!$G$49))&lt;MAX($A164,Settings!$F$49),0,INT((MIN(Settings!$B$5,IF(Settings!$G$49="",Settings!$B$5,Settings!$G$49))-MAX($A164,Settings!$F$49)-MOD(IFERROR(MATCH(Settings!$E$49,$EO$4:$EO$10,0),0)-WEEKDAY(MAX($A164,Settings!$F$49)),7))/7)+1)),IF(AND(IF(Settings!$E$49="",$B164,DATE(YEAR($A164),MONTH($A164),MIN(Settings!$E$49,DAY($B164))))&gt;=MAX($A164,Settings!$F$49),IF(Settings!$E$49="",$B164,DATE(YEAR($A164),MONTH($A164),MIN(Settings!$E$49,DAY($B164))))&lt;=MIN(Settings!$B$5,IF(Settings!$G$49="",Settings!$B$5,Settings!$G$49))),1,0)))))</f>
        <v/>
      </c>
      <c r="EY164">
        <f>IF($E164&lt;&gt;"open",0,IF(AND('Month-End'!$FE$27&lt;&gt;"",NOT(_xlfn.ISFORMULA('Month-End'!$FE$27))),0,IF(OR(Settings!$C$50="",Settings!$D$50=""),0,Settings!$C$50*IF(Settings!$D$50="Weekly",IF(IFERROR(MATCH(Settings!$E$50,$EO$4:$EO$10,0),0)=0,0,IF(MIN(Settings!$B$5,IF(Settings!$G$50="",Settings!$B$5,Settings!$G$50))&lt;MAX($A164,Settings!$F$50),0,INT((MIN(Settings!$B$5,IF(Settings!$G$50="",Settings!$B$5,Settings!$G$50))-MAX($A164,Settings!$F$50)-MOD(IFERROR(MATCH(Settings!$E$50,$EO$4:$EO$10,0),0)-WEEKDAY(MAX($A164,Settings!$F$50)),7))/7)+1)),IF(AND(IF(Settings!$E$50="",$B164,DATE(YEAR($A164),MONTH($A164),MIN(Settings!$E$50,DAY($B164))))&gt;=MAX($A164,Settings!$F$50),IF(Settings!$E$50="",$B164,DATE(YEAR($A164),MONTH($A164),MIN(Settings!$E$50,DAY($B164))))&lt;=MIN(Settings!$B$5,IF(Settings!$G$50="",Settings!$B$5,Settings!$G$50))),1,0)))))</f>
        <v/>
      </c>
      <c r="EZ164">
        <f>IF($E164&lt;&gt;"open",0,IF(AND('Month-End'!$FE$28&lt;&gt;"",NOT(_xlfn.ISFORMULA('Month-End'!$FE$28))),0,IF(OR(Settings!$C$51="",Settings!$D$51=""),0,Settings!$C$51*IF(Settings!$D$51="Weekly",IF(IFERROR(MATCH(Settings!$E$51,$EO$4:$EO$10,0),0)=0,0,IF(MIN(Settings!$B$5,IF(Settings!$G$51="",Settings!$B$5,Settings!$G$51))&lt;MAX($A164,Settings!$F$51),0,INT((MIN(Settings!$B$5,IF(Settings!$G$51="",Settings!$B$5,Settings!$G$51))-MAX($A164,Settings!$F$51)-MOD(IFERROR(MATCH(Settings!$E$51,$EO$4:$EO$10,0),0)-WEEKDAY(MAX($A164,Settings!$F$51)),7))/7)+1)),IF(AND(IF(Settings!$E$51="",$B164,DATE(YEAR($A164),MONTH($A164),MIN(Settings!$E$51,DAY($B164))))&gt;=MAX($A164,Settings!$F$51),IF(Settings!$E$51="",$B164,DATE(YEAR($A164),MONTH($A164),MIN(Settings!$E$51,DAY($B164))))&lt;=MIN(Settings!$B$5,IF(Settings!$G$51="",Settings!$B$5,Settings!$G$51))),1,0)))))</f>
        <v/>
      </c>
      <c r="FA164">
        <f>IF($E164&lt;&gt;"open",0,IF(AND('Month-End'!$FE$29&lt;&gt;"",NOT(_xlfn.ISFORMULA('Month-End'!$FE$29))),0,IF(OR(Settings!$C$52="",Settings!$D$52=""),0,Settings!$C$52*IF(Settings!$D$52="Weekly",IF(IFERROR(MATCH(Settings!$E$52,$EO$4:$EO$10,0),0)=0,0,IF(MIN(Settings!$B$5,IF(Settings!$G$52="",Settings!$B$5,Settings!$G$52))&lt;MAX($A164,Settings!$F$52),0,INT((MIN(Settings!$B$5,IF(Settings!$G$52="",Settings!$B$5,Settings!$G$52))-MAX($A164,Settings!$F$52)-MOD(IFERROR(MATCH(Settings!$E$52,$EO$4:$EO$10,0),0)-WEEKDAY(MAX($A164,Settings!$F$52)),7))/7)+1)),IF(AND(IF(Settings!$E$52="",$B164,DATE(YEAR($A164),MONTH($A164),MIN(Settings!$E$52,DAY($B164))))&gt;=MAX($A164,Settings!$F$52),IF(Settings!$E$52="",$B164,DATE(YEAR($A164),MONTH($A164),MIN(Settings!$E$52,DAY($B164))))&lt;=MIN(Settings!$B$5,IF(Settings!$G$52="",Settings!$B$5,Settings!$G$52))),1,0)))))</f>
        <v/>
      </c>
      <c r="FB164">
        <f>IF($E164&lt;&gt;"open",0,IF(AND('Month-End'!$FE$30&lt;&gt;"",NOT(_xlfn.ISFORMULA('Month-End'!$FE$30))),0,IF(OR(Settings!$C$53="",Settings!$D$53=""),0,Settings!$C$53*IF(Settings!$D$53="Weekly",IF(IFERROR(MATCH(Settings!$E$53,$EO$4:$EO$10,0),0)=0,0,IF(MIN(Settings!$B$5,IF(Settings!$G$53="",Settings!$B$5,Settings!$G$53))&lt;MAX($A164,Settings!$F$53),0,INT((MIN(Settings!$B$5,IF(Settings!$G$53="",Settings!$B$5,Settings!$G$53))-MAX($A164,Settings!$F$53)-MOD(IFERROR(MATCH(Settings!$E$53,$EO$4:$EO$10,0),0)-WEEKDAY(MAX($A164,Settings!$F$53)),7))/7)+1)),IF(AND(IF(Settings!$E$53="",$B164,DATE(YEAR($A164),MONTH($A164),MIN(Settings!$E$53,DAY($B164))))&gt;=MAX($A164,Settings!$F$53),IF(Settings!$E$53="",$B164,DATE(YEAR($A164),MONTH($A164),MIN(Settings!$E$53,DAY($B164))))&lt;=MIN(Settings!$B$5,IF(Settings!$G$53="",Settings!$B$5,Settings!$G$53))),1,0)))))</f>
        <v/>
      </c>
      <c r="FC164">
        <f>IF($E164&lt;&gt;"open",0,IF(AND('Month-End'!$FE$31&lt;&gt;"",NOT(_xlfn.ISFORMULA('Month-End'!$FE$31))),0,IF(OR(Settings!$C$54="",Settings!$D$54=""),0,Settings!$C$54*IF(Settings!$D$54="Weekly",IF(IFERROR(MATCH(Settings!$E$54,$EO$4:$EO$10,0),0)=0,0,IF(MIN(Settings!$B$5,IF(Settings!$G$54="",Settings!$B$5,Settings!$G$54))&lt;MAX($A164,Settings!$F$54),0,INT((MIN(Settings!$B$5,IF(Settings!$G$54="",Settings!$B$5,Settings!$G$54))-MAX($A164,Settings!$F$54)-MOD(IFERROR(MATCH(Settings!$E$54,$EO$4:$EO$10,0),0)-WEEKDAY(MAX($A164,Settings!$F$54)),7))/7)+1)),IF(AND(IF(Settings!$E$54="",$B164,DATE(YEAR($A164),MONTH($A164),MIN(Settings!$E$54,DAY($B164))))&gt;=MAX($A164,Settings!$F$54),IF(Settings!$E$54="",$B164,DATE(YEAR($A164),MONTH($A164),MIN(Settings!$E$54,DAY($B164))))&lt;=MIN(Settings!$B$5,IF(Settings!$G$54="",Settings!$B$5,Settings!$G$54))),1,0)))))</f>
        <v/>
      </c>
      <c r="FD164">
        <f>IF($E164&lt;&gt;"open",0,IF(AND('Month-End'!$FE$32&lt;&gt;"",NOT(_xlfn.ISFORMULA('Month-End'!$FE$32))),0,IF(OR(Settings!$C$55="",Settings!$D$55=""),0,Settings!$C$55*IF(Settings!$D$55="Weekly",IF(IFERROR(MATCH(Settings!$E$55,$EO$4:$EO$10,0),0)=0,0,IF(MIN(Settings!$B$5,IF(Settings!$G$55="",Settings!$B$5,Settings!$G$55))&lt;MAX($A164,Settings!$F$55),0,INT((MIN(Settings!$B$5,IF(Settings!$G$55="",Settings!$B$5,Settings!$G$55))-MAX($A164,Settings!$F$55)-MOD(IFERROR(MATCH(Settings!$E$55,$EO$4:$EO$10,0),0)-WEEKDAY(MAX($A164,Settings!$F$55)),7))/7)+1)),IF(AND(IF(Settings!$E$55="",$B164,DATE(YEAR($A164),MONTH($A164),MIN(Settings!$E$55,DAY($B164))))&gt;=MAX($A164,Settings!$F$55),IF(Settings!$E$55="",$B164,DATE(YEAR($A164),MONTH($A164),MIN(Settings!$E$55,DAY($B164))))&lt;=MIN(Settings!$B$5,IF(Settings!$G$55="",Settings!$B$5,Settings!$G$55))),1,0)))))</f>
        <v/>
      </c>
      <c r="FE164">
        <f>IF($E164&lt;&gt;"open",0,IF(AND('Month-End'!$FE$33&lt;&gt;"",NOT(_xlfn.ISFORMULA('Month-End'!$FE$33))),0,IF(OR(Settings!$C$56="",Settings!$D$56=""),0,Settings!$C$56*IF(Settings!$D$56="Weekly",IF(IFERROR(MATCH(Settings!$E$56,$EO$4:$EO$10,0),0)=0,0,IF(MIN(Settings!$B$5,IF(Settings!$G$56="",Settings!$B$5,Settings!$G$56))&lt;MAX($A164,Settings!$F$56),0,INT((MIN(Settings!$B$5,IF(Settings!$G$56="",Settings!$B$5,Settings!$G$56))-MAX($A164,Settings!$F$56)-MOD(IFERROR(MATCH(Settings!$E$56,$EO$4:$EO$10,0),0)-WEEKDAY(MAX($A164,Settings!$F$56)),7))/7)+1)),IF(AND(IF(Settings!$E$56="",$B164,DATE(YEAR($A164),MONTH($A164),MIN(Settings!$E$56,DAY($B164))))&gt;=MAX($A164,Settings!$F$56),IF(Settings!$E$56="",$B164,DATE(YEAR($A164),MONTH($A164),MIN(Settings!$E$56,DAY($B164))))&lt;=MIN(Settings!$B$5,IF(Settings!$G$56="",Settings!$B$5,Settings!$G$56))),1,0)))))</f>
        <v/>
      </c>
      <c r="FF164">
        <f>IF(Settings!$I$45="Yes",$G164,0)+IF(Settings!$I$46="Yes",$H164,0)+IF(Settings!$I$47="Yes",$I164,0)+IF(Settings!$I$48="Yes",$J164,0)+IF(Settings!$I$49="Yes",$K164,0)+IF(Settings!$I$50="Yes",$L164,0)+IF(Settings!$I$51="Yes",$M164,0)+IF(Settings!$I$52="Yes",$N164,0)+IF(Settings!$I$53="Yes",$O164,0)+IF(Settings!$I$54="Yes",$P164,0)+IF(Settings!$I$55="Yes",$Q164,0)+IF(Settings!$I$56="Yes",$R164,0)</f>
        <v/>
      </c>
      <c r="FG164">
        <f>IF(AND(Settings!$I$45="Yes",Settings!$J$45="No"),$G164,0)+IF(AND(Settings!$I$46="Yes",Settings!$J$46="No"),$H164,0)+IF(AND(Settings!$I$47="Yes",Settings!$J$47="No"),$I164,0)+IF(AND(Settings!$I$48="Yes",Settings!$J$48="No"),$J164,0)+IF(AND(Settings!$I$49="Yes",Settings!$J$49="No"),$K164,0)+IF(AND(Settings!$I$50="Yes",Settings!$J$50="No"),$L164,0)+IF(AND(Settings!$I$51="Yes",Settings!$J$51="No"),$M164,0)+IF(AND(Settings!$I$52="Yes",Settings!$J$52="No"),$N164,0)+IF(AND(Settings!$I$53="Yes",Settings!$J$53="No"),$O164,0)+IF(AND(Settings!$I$54="Yes",Settings!$J$54="No"),$P164,0)+IF(AND(Settings!$I$55="Yes",Settings!$J$55="No"),$Q164,0)+IF(AND(Settings!$I$56="Yes",Settings!$J$56="No"),$R164,0)</f>
        <v/>
      </c>
      <c r="FH164">
        <f>SUMIFS(Giving!$B$7:$B$2006,Giving!$A$7:$A$2006,"&gt;="&amp;$A164,Giving!$A$7:$A$2006,"&lt;="&amp;$B164,Giving!$G$7:$G$2006,"Yes")+IF(OR(OR(Settings!$B$60="",Settings!$F$60="No"),Settings!$H$60&lt;&gt;"Yes"),0,Settings!$B$60*IF(AND(IF(Settings!$C$60="",$B164,DATE(YEAR($A164),MONTH($A164),MIN(Settings!$C$60,DAY($B164))))&gt;=MAX($A164,Settings!$D$60),IF(Settings!$C$60="",$B164,DATE(YEAR($A164),MONTH($A164),MIN(Settings!$C$60,DAY($B164))))&lt;=MIN($C164,IF(Settings!$E$60="",$C164,Settings!$E$60))),1,0))+IF(OR(OR(Settings!$B$61="",Settings!$F$61="No"),Settings!$H$61&lt;&gt;"Yes"),0,Settings!$B$61*IF(AND(IF(Settings!$C$61="",$B164,DATE(YEAR($A164),MONTH($A164),MIN(Settings!$C$61,DAY($B164))))&gt;=MAX($A164,Settings!$D$61),IF(Settings!$C$61="",$B164,DATE(YEAR($A164),MONTH($A164),MIN(Settings!$C$61,DAY($B164))))&lt;=MIN($C164,IF(Settings!$E$61="",$C164,Settings!$E$61))),1,0))+IF(OR(OR(Settings!$B$62="",Settings!$F$62="No"),Settings!$H$62&lt;&gt;"Yes"),0,Settings!$B$62*IF(AND(IF(Settings!$C$62="",$B164,DATE(YEAR($A164),MONTH($A164),MIN(Settings!$C$62,DAY($B164))))&gt;=MAX($A164,Settings!$D$62),IF(Settings!$C$62="",$B164,DATE(YEAR($A164),MONTH($A164),MIN(Settings!$C$62,DAY($B164))))&lt;=MIN($C164,IF(Settings!$E$62="",$C164,Settings!$E$62))),1,0))+IF(OR(OR(Settings!$B$63="",Settings!$F$63="No"),Settings!$H$63&lt;&gt;"Yes"),0,Settings!$B$63*IF(AND(IF(Settings!$C$63="",$B164,DATE(YEAR($A164),MONTH($A164),MIN(Settings!$C$63,DAY($B164))))&gt;=MAX($A164,Settings!$D$63),IF(Settings!$C$63="",$B164,DATE(YEAR($A164),MONTH($A164),MIN(Settings!$C$63,DAY($B164))))&lt;=MIN($C164,IF(Settings!$E$63="",$C164,Settings!$E$63))),1,0))+IF(OR(OR(Settings!$B$64="",Settings!$F$64="No"),Settings!$H$64&lt;&gt;"Yes"),0,Settings!$B$64*IF(AND(IF(Settings!$C$64="",$B164,DATE(YEAR($A164),MONTH($A164),MIN(Settings!$C$64,DAY($B164))))&gt;=MAX($A164,Settings!$D$64),IF(Settings!$C$64="",$B164,DATE(YEAR($A164),MONTH($A164),MIN(Settings!$C$64,DAY($B164))))&lt;=MIN($C164,IF(Settings!$E$64="",$C164,Settings!$E$64))),1,0))+IF(OR(OR(Settings!$B$65="",Settings!$F$65="No"),Settings!$H$65&lt;&gt;"Yes"),0,Settings!$B$65*IF(AND(IF(Settings!$C$65="",$B164,DATE(YEAR($A164),MONTH($A164),MIN(Settings!$C$65,DAY($B164))))&gt;=MAX($A164,Settings!$D$65),IF(Settings!$C$65="",$B164,DATE(YEAR($A164),MONTH($A164),MIN(Settings!$C$65,DAY($B164))))&lt;=MIN($C164,IF(Settings!$E$65="",$C164,Settings!$E$65))),1,0))</f>
        <v/>
      </c>
      <c r="FI164">
        <f>IF($DT164=1,IF(OR(Settings!$B$19="Card",Settings!$B$19="Loan"),N($AE164),0)+IF(OR(Settings!$B$20="Card",Settings!$B$20="Loan"),N($AF164),0)+IF(OR(Settings!$B$21="Card",Settings!$B$21="Loan"),N($AG164),0)+IF(OR(Settings!$B$22="Card",Settings!$B$22="Loan"),N($AH164),0)+IF(OR(Settings!$B$23="Card",Settings!$B$23="Loan"),N($AI164),0)+IF(OR(Settings!$B$24="Card",Settings!$B$24="Loan"),N($AJ164),0)+IF(OR(Settings!$B$25="Card",Settings!$B$25="Loan"),N($AK164),0)+IF(OR(Settings!$B$26="Card",Settings!$B$26="Loan"),N($AL164),0)+IF(OR(Settings!$B$27="Card",Settings!$B$27="Loan"),N($AM164),0)+IF(OR(Settings!$B$28="Card",Settings!$B$28="Loan"),N($AN164),0)+IF(OR(Settings!$B$29="Card",Settings!$B$29="Loan"),N($AO164),0)+IF(OR(Settings!$B$30="Card",Settings!$B$30="Loan"),N($AP164),0)+IF(OR(Settings!$B$31="Card",Settings!$B$31="Loan"),N($AQ164),0)+IF(OR(Settings!$B$32="Card",Settings!$B$32="Loan"),N($AR164),0),"")</f>
        <v/>
      </c>
      <c r="FJ164">
        <f>IF($E164="open",$EB$65,IF($E164="post",IF($E163="pre",$EB$65,$FI163),""))</f>
        <v/>
      </c>
      <c r="FK164">
        <f>IF(AND($DT164=1,$DC164=1),IF(ROUND($FI164-$FJ164,2)&gt;0,1,0),0)</f>
        <v/>
      </c>
      <c r="FL164">
        <f>IF($FK164=1,$FL163+1,0)</f>
        <v/>
      </c>
    </row>
    <row r="165">
      <c r="A165">
        <f>'Month-End'!$FF$4</f>
        <v/>
      </c>
      <c r="B165">
        <f>EOMONTH($A165,0)</f>
        <v/>
      </c>
      <c r="C165">
        <f>MIN($B165,TODAY())</f>
        <v/>
      </c>
      <c r="D165">
        <f>IF($A165&gt;TODAY(),1,0)</f>
        <v/>
      </c>
      <c r="E165">
        <f>IF($B165&lt;=Settings!$B$5,"pre",IF($A165&lt;=Settings!$B$5,"open","post"))</f>
        <v/>
      </c>
      <c r="G165">
        <f>IF('Month-End'!$FF$22="",$BE165,N('Month-End'!$FF$22))</f>
        <v/>
      </c>
      <c r="H165">
        <f>IF('Month-End'!$FF$23="",$BF165,N('Month-End'!$FF$23))</f>
        <v/>
      </c>
      <c r="I165">
        <f>IF('Month-End'!$FF$24="",$BG165,N('Month-End'!$FF$24))</f>
        <v/>
      </c>
      <c r="J165">
        <f>IF('Month-End'!$FF$25="",$BH165,N('Month-End'!$FF$25))</f>
        <v/>
      </c>
      <c r="K165">
        <f>IF('Month-End'!$FF$26="",$BI165,N('Month-End'!$FF$26))</f>
        <v/>
      </c>
      <c r="L165">
        <f>IF('Month-End'!$FF$27="",$BJ165,N('Month-End'!$FF$27))</f>
        <v/>
      </c>
      <c r="M165">
        <f>IF('Month-End'!$FF$28="",$BK165,N('Month-End'!$FF$28))</f>
        <v/>
      </c>
      <c r="N165">
        <f>IF('Month-End'!$FF$29="",$BL165,N('Month-End'!$FF$29))</f>
        <v/>
      </c>
      <c r="O165">
        <f>IF('Month-End'!$FF$30="",$BM165,N('Month-End'!$FF$30))</f>
        <v/>
      </c>
      <c r="P165">
        <f>IF('Month-End'!$FF$31="",$BN165,N('Month-End'!$FF$31))</f>
        <v/>
      </c>
      <c r="Q165">
        <f>IF('Month-End'!$FF$32="",$BO165,N('Month-End'!$FF$32))</f>
        <v/>
      </c>
      <c r="R165">
        <f>IF('Month-End'!$FF$33="",$BP165,N('Month-End'!$FF$33))</f>
        <v/>
      </c>
      <c r="S165">
        <f>$G165+$H165+$I165+$J165+$K165+$L165+$M165+$N165+$O165+$P165+$Q165+$R165</f>
        <v/>
      </c>
      <c r="T165">
        <f>IF($B165&lt;Settings!$B$6,0,IF(Settings!$B$45="Yes",$G165,0)+IF(Settings!$B$46="Yes",$H165,0)+IF(Settings!$B$47="Yes",$I165,0)+IF(Settings!$B$48="Yes",$J165,0)+IF(Settings!$B$49="Yes",$K165,0)+IF(Settings!$B$50="Yes",$L165,0)+IF(Settings!$B$51="Yes",$M165,0)+IF(Settings!$B$52="Yes",$N165,0)+IF(Settings!$B$53="Yes",$O165,0)+IF(Settings!$B$54="Yes",$P165,0)+IF(Settings!$B$55="Yes",$Q165,0)+IF(Settings!$B$56="Yes",$R165,0))</f>
        <v/>
      </c>
      <c r="U165">
        <f>IF(Settings!$B$45="Not Sure",$G165,0)+IF(Settings!$B$46="Not Sure",$H165,0)+IF(Settings!$B$47="Not Sure",$I165,0)+IF(Settings!$B$48="Not Sure",$J165,0)+IF(Settings!$B$49="Not Sure",$K165,0)+IF(Settings!$B$50="Not Sure",$L165,0)+IF(Settings!$B$51="Not Sure",$M165,0)+IF(Settings!$B$52="Not Sure",$N165,0)+IF(Settings!$B$53="Not Sure",$O165,0)+IF(Settings!$B$54="Not Sure",$P165,0)+IF(Settings!$B$55="Not Sure",$Q165,0)+IF(Settings!$B$56="Not Sure",$R165,0)</f>
        <v/>
      </c>
      <c r="V165">
        <f>IF($E165="open",SUM($ET165:$FE165)+N(Settings!$B$13),0)</f>
        <v/>
      </c>
      <c r="W165">
        <f>IF($E165="post",$S165,IF($E165="open",$S165-$V165,0))</f>
        <v/>
      </c>
      <c r="X165">
        <f>SUMIFS(Giving!$B$7:$B$2006,Giving!$A$7:$A$2006,"&gt;="&amp;$A165,Giving!$A$7:$A$2006,"&lt;="&amp;$B165,Giving!$E$7:$E$2006,"&lt;&gt;No")</f>
        <v/>
      </c>
      <c r="Y165">
        <f>SUMIFS(Giving!$B$7:$B$2006,Giving!$A$7:$A$2006,"&gt;="&amp;$A165,Giving!$A$7:$A$2006,"&lt;="&amp;$B165,Giving!$E$7:$E$2006,"No")</f>
        <v/>
      </c>
      <c r="Z165">
        <f>IF(OR(Settings!$B$60="",Settings!$F$60="No"),0,Settings!$B$60*IF(AND(IF(Settings!$C$60="",$B165,DATE(YEAR($A165),MONTH($A165),MIN(Settings!$C$60,DAY($B165))))&gt;=MAX($A165,Settings!$D$60),IF(Settings!$C$60="",$B165,DATE(YEAR($A165),MONTH($A165),MIN(Settings!$C$60,DAY($B165))))&lt;=MIN($C165,IF(Settings!$E$60="",$C165,Settings!$E$60))),1,0))+IF(OR(Settings!$B$61="",Settings!$F$61="No"),0,Settings!$B$61*IF(AND(IF(Settings!$C$61="",$B165,DATE(YEAR($A165),MONTH($A165),MIN(Settings!$C$61,DAY($B165))))&gt;=MAX($A165,Settings!$D$61),IF(Settings!$C$61="",$B165,DATE(YEAR($A165),MONTH($A165),MIN(Settings!$C$61,DAY($B165))))&lt;=MIN($C165,IF(Settings!$E$61="",$C165,Settings!$E$61))),1,0))+IF(OR(Settings!$B$62="",Settings!$F$62="No"),0,Settings!$B$62*IF(AND(IF(Settings!$C$62="",$B165,DATE(YEAR($A165),MONTH($A165),MIN(Settings!$C$62,DAY($B165))))&gt;=MAX($A165,Settings!$D$62),IF(Settings!$C$62="",$B165,DATE(YEAR($A165),MONTH($A165),MIN(Settings!$C$62,DAY($B165))))&lt;=MIN($C165,IF(Settings!$E$62="",$C165,Settings!$E$62))),1,0))+IF(OR(Settings!$B$63="",Settings!$F$63="No"),0,Settings!$B$63*IF(AND(IF(Settings!$C$63="",$B165,DATE(YEAR($A165),MONTH($A165),MIN(Settings!$C$63,DAY($B165))))&gt;=MAX($A165,Settings!$D$63),IF(Settings!$C$63="",$B165,DATE(YEAR($A165),MONTH($A165),MIN(Settings!$C$63,DAY($B165))))&lt;=MIN($C165,IF(Settings!$E$63="",$C165,Settings!$E$63))),1,0))+IF(OR(Settings!$B$64="",Settings!$F$64="No"),0,Settings!$B$64*IF(AND(IF(Settings!$C$64="",$B165,DATE(YEAR($A165),MONTH($A165),MIN(Settings!$C$64,DAY($B165))))&gt;=MAX($A165,Settings!$D$64),IF(Settings!$C$64="",$B165,DATE(YEAR($A165),MONTH($A165),MIN(Settings!$C$64,DAY($B165))))&lt;=MIN($C165,IF(Settings!$E$64="",$C165,Settings!$E$64))),1,0))+IF(OR(Settings!$B$65="",Settings!$F$65="No"),0,Settings!$B$65*IF(AND(IF(Settings!$C$65="",$B165,DATE(YEAR($A165),MONTH($A165),MIN(Settings!$C$65,DAY($B165))))&gt;=MAX($A165,Settings!$D$65),IF(Settings!$C$65="",$B165,DATE(YEAR($A165),MONTH($A165),MIN(Settings!$C$65,DAY($B165))))&lt;=MIN($C165,IF(Settings!$E$65="",$C165,Settings!$E$65))),1,0))</f>
        <v/>
      </c>
      <c r="AA165">
        <f>$X165+$Z165</f>
        <v/>
      </c>
      <c r="AB165">
        <f>IF($E165="post",$AA165,IF($E165="open",SUMIFS(Giving!$B$7:$B$2006,Giving!$A$7:$A$2006,"&gt;"&amp;Settings!$B$5,Giving!$A$7:$A$2006,"&lt;="&amp;$B165,Giving!$E$7:$E$2006,"&lt;&gt;No")+IF(OR(Settings!$B$60="",Settings!$F$60="No"),0,Settings!$B$60*IF(AND(IF(Settings!$C$60="",$B165,DATE(YEAR($A165),MONTH($A165),MIN(Settings!$C$60,DAY($B165))))&gt;=MAX($A165,Settings!$D$60,Settings!$B$5+1),IF(Settings!$C$60="",$B165,DATE(YEAR($A165),MONTH($A165),MIN(Settings!$C$60,DAY($B165))))&lt;=MIN($C165,IF(Settings!$E$60="",$C165,Settings!$E$60))),1,0))+IF(OR(Settings!$B$61="",Settings!$F$61="No"),0,Settings!$B$61*IF(AND(IF(Settings!$C$61="",$B165,DATE(YEAR($A165),MONTH($A165),MIN(Settings!$C$61,DAY($B165))))&gt;=MAX($A165,Settings!$D$61,Settings!$B$5+1),IF(Settings!$C$61="",$B165,DATE(YEAR($A165),MONTH($A165),MIN(Settings!$C$61,DAY($B165))))&lt;=MIN($C165,IF(Settings!$E$61="",$C165,Settings!$E$61))),1,0))+IF(OR(Settings!$B$62="",Settings!$F$62="No"),0,Settings!$B$62*IF(AND(IF(Settings!$C$62="",$B165,DATE(YEAR($A165),MONTH($A165),MIN(Settings!$C$62,DAY($B165))))&gt;=MAX($A165,Settings!$D$62,Settings!$B$5+1),IF(Settings!$C$62="",$B165,DATE(YEAR($A165),MONTH($A165),MIN(Settings!$C$62,DAY($B165))))&lt;=MIN($C165,IF(Settings!$E$62="",$C165,Settings!$E$62))),1,0))+IF(OR(Settings!$B$63="",Settings!$F$63="No"),0,Settings!$B$63*IF(AND(IF(Settings!$C$63="",$B165,DATE(YEAR($A165),MONTH($A165),MIN(Settings!$C$63,DAY($B165))))&gt;=MAX($A165,Settings!$D$63,Settings!$B$5+1),IF(Settings!$C$63="",$B165,DATE(YEAR($A165),MONTH($A165),MIN(Settings!$C$63,DAY($B165))))&lt;=MIN($C165,IF(Settings!$E$63="",$C165,Settings!$E$63))),1,0))+IF(OR(Settings!$B$64="",Settings!$F$64="No"),0,Settings!$B$64*IF(AND(IF(Settings!$C$64="",$B165,DATE(YEAR($A165),MONTH($A165),MIN(Settings!$C$64,DAY($B165))))&gt;=MAX($A165,Settings!$D$64,Settings!$B$5+1),IF(Settings!$C$64="",$B165,DATE(YEAR($A165),MONTH($A165),MIN(Settings!$C$64,DAY($B165))))&lt;=MIN($C165,IF(Settings!$E$64="",$C165,Settings!$E$64))),1,0))+IF(OR(Settings!$B$65="",Settings!$F$65="No"),0,Settings!$B$65*IF(AND(IF(Settings!$C$65="",$B165,DATE(YEAR($A165),MONTH($A165),MIN(Settings!$C$65,DAY($B165))))&gt;=MAX($A165,Settings!$D$65,Settings!$B$5+1),IF(Settings!$C$65="",$B165,DATE(YEAR($A165),MONTH($A165),MIN(Settings!$C$65,DAY($B165))))&lt;=MIN($C165,IF(Settings!$E$65="",$C165,Settings!$E$65))),1,0)),0))</f>
        <v/>
      </c>
      <c r="AC165">
        <f>$AY165+$AZ165+$BA165+$BB165+$BC165+$BD165</f>
        <v/>
      </c>
      <c r="AD165">
        <f>$AC165</f>
        <v/>
      </c>
      <c r="AE165">
        <f>IF(OR(Settings!$A$19="",$E165="pre"),"",IF(AND('Month-End'!$FF$7&lt;&gt;"",NOT(_xlfn.ISFORMULA('Month-End'!$FF$7))),N('Month-End'!$FF$7),IF(OR($E165="open",$E164="pre"),N(Settings!$C$19),N($AE164))))</f>
        <v/>
      </c>
      <c r="AF165">
        <f>IF(OR(Settings!$A$20="",$E165="pre"),"",IF(AND('Month-End'!$FF$8&lt;&gt;"",NOT(_xlfn.ISFORMULA('Month-End'!$FF$8))),N('Month-End'!$FF$8),IF(OR($E165="open",$E164="pre"),N(Settings!$C$20),N($AF164))))</f>
        <v/>
      </c>
      <c r="AG165">
        <f>IF(OR(Settings!$A$21="",$E165="pre"),"",IF(AND('Month-End'!$FF$9&lt;&gt;"",NOT(_xlfn.ISFORMULA('Month-End'!$FF$9))),N('Month-End'!$FF$9),IF(OR($E165="open",$E164="pre"),N(Settings!$C$21),N($AG164))))</f>
        <v/>
      </c>
      <c r="AH165">
        <f>IF(OR(Settings!$A$22="",$E165="pre"),"",IF(AND('Month-End'!$FF$10&lt;&gt;"",NOT(_xlfn.ISFORMULA('Month-End'!$FF$10))),N('Month-End'!$FF$10),IF(OR($E165="open",$E164="pre"),N(Settings!$C$22),N($AH164))))</f>
        <v/>
      </c>
      <c r="AI165">
        <f>IF(OR(Settings!$A$23="",$E165="pre"),"",IF(AND('Month-End'!$FF$11&lt;&gt;"",NOT(_xlfn.ISFORMULA('Month-End'!$FF$11))),N('Month-End'!$FF$11),IF(OR($E165="open",$E164="pre"),N(Settings!$C$23),N($AI164))))</f>
        <v/>
      </c>
      <c r="AJ165">
        <f>IF(OR(Settings!$A$24="",$E165="pre"),"",IF(AND('Month-End'!$FF$12&lt;&gt;"",NOT(_xlfn.ISFORMULA('Month-End'!$FF$12))),N('Month-End'!$FF$12),IF(OR($E165="open",$E164="pre"),N(Settings!$C$24),N($AJ164))))</f>
        <v/>
      </c>
      <c r="AK165">
        <f>IF(OR(Settings!$A$25="",$E165="pre"),"",IF(AND('Month-End'!$FF$13&lt;&gt;"",NOT(_xlfn.ISFORMULA('Month-End'!$FF$13))),N('Month-End'!$FF$13),IF(OR($E165="open",$E164="pre"),N(Settings!$C$25),N($AK164))))</f>
        <v/>
      </c>
      <c r="AL165">
        <f>IF(OR(Settings!$A$26="",$E165="pre"),"",IF(AND('Month-End'!$FF$14&lt;&gt;"",NOT(_xlfn.ISFORMULA('Month-End'!$FF$14))),N('Month-End'!$FF$14),IF(OR($E165="open",$E164="pre"),N(Settings!$C$26),N($AL164))))</f>
        <v/>
      </c>
      <c r="AM165">
        <f>IF(OR(Settings!$A$27="",$E165="pre"),"",IF(AND('Month-End'!$FF$15&lt;&gt;"",NOT(_xlfn.ISFORMULA('Month-End'!$FF$15))),N('Month-End'!$FF$15),IF(OR($E165="open",$E164="pre"),N(Settings!$C$27),N($AM164))))</f>
        <v/>
      </c>
      <c r="AN165">
        <f>IF(OR(Settings!$A$28="",$E165="pre"),"",IF(AND('Month-End'!$FF$16&lt;&gt;"",NOT(_xlfn.ISFORMULA('Month-End'!$FF$16))),N('Month-End'!$FF$16),IF(OR($E165="open",$E164="pre"),N(Settings!$C$28),N($AN164))))</f>
        <v/>
      </c>
      <c r="AO165">
        <f>IF(OR(Settings!$A$29="",$E165="pre"),"",IF(AND('Month-End'!$FF$17&lt;&gt;"",NOT(_xlfn.ISFORMULA('Month-End'!$FF$17))),N('Month-End'!$FF$17),IF(OR($E165="open",$E164="pre"),N(Settings!$C$29),N($AO164))))</f>
        <v/>
      </c>
      <c r="AP165">
        <f>IF(OR(Settings!$A$30="",$E165="pre"),"",IF(AND('Month-End'!$FF$18&lt;&gt;"",NOT(_xlfn.ISFORMULA('Month-End'!$FF$18))),N('Month-End'!$FF$18),IF(OR($E165="open",$E164="pre"),N(Settings!$C$30),N($AP164))))</f>
        <v/>
      </c>
      <c r="AQ165">
        <f>IF(OR(Settings!$A$31="",$E165="pre"),"",IF(AND('Month-End'!$FF$19&lt;&gt;"",NOT(_xlfn.ISFORMULA('Month-End'!$FF$19))),N('Month-End'!$FF$19),IF(OR($E165="open",$E164="pre"),N(Settings!$C$31),N($AQ164))))</f>
        <v/>
      </c>
      <c r="AR165">
        <f>IF(OR(Settings!$A$32="",$E165="pre"),"",IF(AND('Month-End'!$FF$20&lt;&gt;"",NOT(_xlfn.ISFORMULA('Month-End'!$FF$20))),N('Month-End'!$FF$20),IF(OR($E165="open",$E164="pre"),N(Settings!$C$32),N($AR164))))</f>
        <v/>
      </c>
      <c r="AS165">
        <f>IF(OR(Settings!$A$36="",$E165="pre"),"",IF(AND('Month-End'!$FF$38&lt;&gt;"",NOT(_xlfn.ISFORMULA('Month-End'!$FF$38))),N('Month-End'!$FF$38),IF(OR($E165="open",$E164="pre"),N(Settings!$C$36),N($AS164))+$AY165))</f>
        <v/>
      </c>
      <c r="AT165">
        <f>IF(OR(Settings!$A$37="",$E165="pre"),"",IF(AND('Month-End'!$FF$39&lt;&gt;"",NOT(_xlfn.ISFORMULA('Month-End'!$FF$39))),N('Month-End'!$FF$39),IF(OR($E165="open",$E164="pre"),N(Settings!$C$37),N($AT164))+$AZ165))</f>
        <v/>
      </c>
      <c r="AU165">
        <f>IF(OR(Settings!$A$38="",$E165="pre"),"",IF(AND('Month-End'!$FF$40&lt;&gt;"",NOT(_xlfn.ISFORMULA('Month-End'!$FF$40))),N('Month-End'!$FF$40),IF(OR($E165="open",$E164="pre"),N(Settings!$C$38),N($AU164))+$BA165))</f>
        <v/>
      </c>
      <c r="AV165">
        <f>IF(OR(Settings!$A$39="",$E165="pre"),"",IF(AND('Month-End'!$FF$41&lt;&gt;"",NOT(_xlfn.ISFORMULA('Month-End'!$FF$41))),N('Month-End'!$FF$41),IF(OR($E165="open",$E164="pre"),N(Settings!$C$39),N($AV164))+$BB165))</f>
        <v/>
      </c>
      <c r="AW165">
        <f>IF(OR(Settings!$A$40="",$E165="pre"),"",IF(AND('Month-End'!$FF$42&lt;&gt;"",NOT(_xlfn.ISFORMULA('Month-End'!$FF$42))),N('Month-End'!$FF$42),IF(OR($E165="open",$E164="pre"),N(Settings!$C$40),N($AW164))+$BC165))</f>
        <v/>
      </c>
      <c r="AX165">
        <f>IF(OR(Settings!$A$41="",$E165="pre"),"",IF(AND('Month-End'!$FF$43&lt;&gt;"",NOT(_xlfn.ISFORMULA('Month-End'!$FF$43))),N('Month-End'!$FF$43),IF(OR($E165="open",$E164="pre"),N(Settings!$C$41),N($AX164))+$BD165))</f>
        <v/>
      </c>
      <c r="AY165">
        <f>IF($E165="pre",0,N('Month-End'!$FF$45))</f>
        <v/>
      </c>
      <c r="AZ165">
        <f>IF($E165="pre",0,N('Month-End'!$FF$46))</f>
        <v/>
      </c>
      <c r="BA165">
        <f>IF($E165="pre",0,N('Month-End'!$FF$47))</f>
        <v/>
      </c>
      <c r="BB165">
        <f>IF($E165="pre",0,N('Month-End'!$FF$48))</f>
        <v/>
      </c>
      <c r="BC165">
        <f>IF($E165="pre",0,N('Month-End'!$FF$49))</f>
        <v/>
      </c>
      <c r="BD165">
        <f>IF($E165="pre",0,N('Month-End'!$FF$50))</f>
        <v/>
      </c>
      <c r="BE165">
        <f>IF(OR(Settings!$C$45="",Settings!$D$45=""),0,Settings!$C$45*IF(Settings!$D$45="Weekly",IF(IFERROR(MATCH(Settings!$E$45,$EO$4:$EO$10,0),0)=0,0,IF(MIN($C165,IF(Settings!$G$45="",$C165,Settings!$G$45))&lt;MAX($A165,Settings!$F$45),0,INT((MIN($C165,IF(Settings!$G$45="",$C165,Settings!$G$45))-MAX($A165,Settings!$F$45)-MOD(IFERROR(MATCH(Settings!$E$45,$EO$4:$EO$10,0),0)-WEEKDAY(MAX($A165,Settings!$F$45)),7))/7)+1)),IF(AND(IF(Settings!$E$45="",$B165,DATE(YEAR($A165),MONTH($A165),MIN(Settings!$E$45,DAY($B165))))&gt;=MAX($A165,Settings!$F$45),IF(Settings!$E$45="",$B165,DATE(YEAR($A165),MONTH($A165),MIN(Settings!$E$45,DAY($B165))))&lt;=MIN($C165,IF(Settings!$G$45="",$C165,Settings!$G$45))),1,0)))</f>
        <v/>
      </c>
      <c r="BF165">
        <f>IF(OR(Settings!$C$46="",Settings!$D$46=""),0,Settings!$C$46*IF(Settings!$D$46="Weekly",IF(IFERROR(MATCH(Settings!$E$46,$EO$4:$EO$10,0),0)=0,0,IF(MIN($C165,IF(Settings!$G$46="",$C165,Settings!$G$46))&lt;MAX($A165,Settings!$F$46),0,INT((MIN($C165,IF(Settings!$G$46="",$C165,Settings!$G$46))-MAX($A165,Settings!$F$46)-MOD(IFERROR(MATCH(Settings!$E$46,$EO$4:$EO$10,0),0)-WEEKDAY(MAX($A165,Settings!$F$46)),7))/7)+1)),IF(AND(IF(Settings!$E$46="",$B165,DATE(YEAR($A165),MONTH($A165),MIN(Settings!$E$46,DAY($B165))))&gt;=MAX($A165,Settings!$F$46),IF(Settings!$E$46="",$B165,DATE(YEAR($A165),MONTH($A165),MIN(Settings!$E$46,DAY($B165))))&lt;=MIN($C165,IF(Settings!$G$46="",$C165,Settings!$G$46))),1,0)))</f>
        <v/>
      </c>
      <c r="BG165">
        <f>IF(OR(Settings!$C$47="",Settings!$D$47=""),0,Settings!$C$47*IF(Settings!$D$47="Weekly",IF(IFERROR(MATCH(Settings!$E$47,$EO$4:$EO$10,0),0)=0,0,IF(MIN($C165,IF(Settings!$G$47="",$C165,Settings!$G$47))&lt;MAX($A165,Settings!$F$47),0,INT((MIN($C165,IF(Settings!$G$47="",$C165,Settings!$G$47))-MAX($A165,Settings!$F$47)-MOD(IFERROR(MATCH(Settings!$E$47,$EO$4:$EO$10,0),0)-WEEKDAY(MAX($A165,Settings!$F$47)),7))/7)+1)),IF(AND(IF(Settings!$E$47="",$B165,DATE(YEAR($A165),MONTH($A165),MIN(Settings!$E$47,DAY($B165))))&gt;=MAX($A165,Settings!$F$47),IF(Settings!$E$47="",$B165,DATE(YEAR($A165),MONTH($A165),MIN(Settings!$E$47,DAY($B165))))&lt;=MIN($C165,IF(Settings!$G$47="",$C165,Settings!$G$47))),1,0)))</f>
        <v/>
      </c>
      <c r="BH165">
        <f>IF(OR(Settings!$C$48="",Settings!$D$48=""),0,Settings!$C$48*IF(Settings!$D$48="Weekly",IF(IFERROR(MATCH(Settings!$E$48,$EO$4:$EO$10,0),0)=0,0,IF(MIN($C165,IF(Settings!$G$48="",$C165,Settings!$G$48))&lt;MAX($A165,Settings!$F$48),0,INT((MIN($C165,IF(Settings!$G$48="",$C165,Settings!$G$48))-MAX($A165,Settings!$F$48)-MOD(IFERROR(MATCH(Settings!$E$48,$EO$4:$EO$10,0),0)-WEEKDAY(MAX($A165,Settings!$F$48)),7))/7)+1)),IF(AND(IF(Settings!$E$48="",$B165,DATE(YEAR($A165),MONTH($A165),MIN(Settings!$E$48,DAY($B165))))&gt;=MAX($A165,Settings!$F$48),IF(Settings!$E$48="",$B165,DATE(YEAR($A165),MONTH($A165),MIN(Settings!$E$48,DAY($B165))))&lt;=MIN($C165,IF(Settings!$G$48="",$C165,Settings!$G$48))),1,0)))</f>
        <v/>
      </c>
      <c r="BI165">
        <f>IF(OR(Settings!$C$49="",Settings!$D$49=""),0,Settings!$C$49*IF(Settings!$D$49="Weekly",IF(IFERROR(MATCH(Settings!$E$49,$EO$4:$EO$10,0),0)=0,0,IF(MIN($C165,IF(Settings!$G$49="",$C165,Settings!$G$49))&lt;MAX($A165,Settings!$F$49),0,INT((MIN($C165,IF(Settings!$G$49="",$C165,Settings!$G$49))-MAX($A165,Settings!$F$49)-MOD(IFERROR(MATCH(Settings!$E$49,$EO$4:$EO$10,0),0)-WEEKDAY(MAX($A165,Settings!$F$49)),7))/7)+1)),IF(AND(IF(Settings!$E$49="",$B165,DATE(YEAR($A165),MONTH($A165),MIN(Settings!$E$49,DAY($B165))))&gt;=MAX($A165,Settings!$F$49),IF(Settings!$E$49="",$B165,DATE(YEAR($A165),MONTH($A165),MIN(Settings!$E$49,DAY($B165))))&lt;=MIN($C165,IF(Settings!$G$49="",$C165,Settings!$G$49))),1,0)))</f>
        <v/>
      </c>
      <c r="BJ165">
        <f>IF(OR(Settings!$C$50="",Settings!$D$50=""),0,Settings!$C$50*IF(Settings!$D$50="Weekly",IF(IFERROR(MATCH(Settings!$E$50,$EO$4:$EO$10,0),0)=0,0,IF(MIN($C165,IF(Settings!$G$50="",$C165,Settings!$G$50))&lt;MAX($A165,Settings!$F$50),0,INT((MIN($C165,IF(Settings!$G$50="",$C165,Settings!$G$50))-MAX($A165,Settings!$F$50)-MOD(IFERROR(MATCH(Settings!$E$50,$EO$4:$EO$10,0),0)-WEEKDAY(MAX($A165,Settings!$F$50)),7))/7)+1)),IF(AND(IF(Settings!$E$50="",$B165,DATE(YEAR($A165),MONTH($A165),MIN(Settings!$E$50,DAY($B165))))&gt;=MAX($A165,Settings!$F$50),IF(Settings!$E$50="",$B165,DATE(YEAR($A165),MONTH($A165),MIN(Settings!$E$50,DAY($B165))))&lt;=MIN($C165,IF(Settings!$G$50="",$C165,Settings!$G$50))),1,0)))</f>
        <v/>
      </c>
      <c r="BK165">
        <f>IF(OR(Settings!$C$51="",Settings!$D$51=""),0,Settings!$C$51*IF(Settings!$D$51="Weekly",IF(IFERROR(MATCH(Settings!$E$51,$EO$4:$EO$10,0),0)=0,0,IF(MIN($C165,IF(Settings!$G$51="",$C165,Settings!$G$51))&lt;MAX($A165,Settings!$F$51),0,INT((MIN($C165,IF(Settings!$G$51="",$C165,Settings!$G$51))-MAX($A165,Settings!$F$51)-MOD(IFERROR(MATCH(Settings!$E$51,$EO$4:$EO$10,0),0)-WEEKDAY(MAX($A165,Settings!$F$51)),7))/7)+1)),IF(AND(IF(Settings!$E$51="",$B165,DATE(YEAR($A165),MONTH($A165),MIN(Settings!$E$51,DAY($B165))))&gt;=MAX($A165,Settings!$F$51),IF(Settings!$E$51="",$B165,DATE(YEAR($A165),MONTH($A165),MIN(Settings!$E$51,DAY($B165))))&lt;=MIN($C165,IF(Settings!$G$51="",$C165,Settings!$G$51))),1,0)))</f>
        <v/>
      </c>
      <c r="BL165">
        <f>IF(OR(Settings!$C$52="",Settings!$D$52=""),0,Settings!$C$52*IF(Settings!$D$52="Weekly",IF(IFERROR(MATCH(Settings!$E$52,$EO$4:$EO$10,0),0)=0,0,IF(MIN($C165,IF(Settings!$G$52="",$C165,Settings!$G$52))&lt;MAX($A165,Settings!$F$52),0,INT((MIN($C165,IF(Settings!$G$52="",$C165,Settings!$G$52))-MAX($A165,Settings!$F$52)-MOD(IFERROR(MATCH(Settings!$E$52,$EO$4:$EO$10,0),0)-WEEKDAY(MAX($A165,Settings!$F$52)),7))/7)+1)),IF(AND(IF(Settings!$E$52="",$B165,DATE(YEAR($A165),MONTH($A165),MIN(Settings!$E$52,DAY($B165))))&gt;=MAX($A165,Settings!$F$52),IF(Settings!$E$52="",$B165,DATE(YEAR($A165),MONTH($A165),MIN(Settings!$E$52,DAY($B165))))&lt;=MIN($C165,IF(Settings!$G$52="",$C165,Settings!$G$52))),1,0)))</f>
        <v/>
      </c>
      <c r="BM165">
        <f>IF(OR(Settings!$C$53="",Settings!$D$53=""),0,Settings!$C$53*IF(Settings!$D$53="Weekly",IF(IFERROR(MATCH(Settings!$E$53,$EO$4:$EO$10,0),0)=0,0,IF(MIN($C165,IF(Settings!$G$53="",$C165,Settings!$G$53))&lt;MAX($A165,Settings!$F$53),0,INT((MIN($C165,IF(Settings!$G$53="",$C165,Settings!$G$53))-MAX($A165,Settings!$F$53)-MOD(IFERROR(MATCH(Settings!$E$53,$EO$4:$EO$10,0),0)-WEEKDAY(MAX($A165,Settings!$F$53)),7))/7)+1)),IF(AND(IF(Settings!$E$53="",$B165,DATE(YEAR($A165),MONTH($A165),MIN(Settings!$E$53,DAY($B165))))&gt;=MAX($A165,Settings!$F$53),IF(Settings!$E$53="",$B165,DATE(YEAR($A165),MONTH($A165),MIN(Settings!$E$53,DAY($B165))))&lt;=MIN($C165,IF(Settings!$G$53="",$C165,Settings!$G$53))),1,0)))</f>
        <v/>
      </c>
      <c r="BN165">
        <f>IF(OR(Settings!$C$54="",Settings!$D$54=""),0,Settings!$C$54*IF(Settings!$D$54="Weekly",IF(IFERROR(MATCH(Settings!$E$54,$EO$4:$EO$10,0),0)=0,0,IF(MIN($C165,IF(Settings!$G$54="",$C165,Settings!$G$54))&lt;MAX($A165,Settings!$F$54),0,INT((MIN($C165,IF(Settings!$G$54="",$C165,Settings!$G$54))-MAX($A165,Settings!$F$54)-MOD(IFERROR(MATCH(Settings!$E$54,$EO$4:$EO$10,0),0)-WEEKDAY(MAX($A165,Settings!$F$54)),7))/7)+1)),IF(AND(IF(Settings!$E$54="",$B165,DATE(YEAR($A165),MONTH($A165),MIN(Settings!$E$54,DAY($B165))))&gt;=MAX($A165,Settings!$F$54),IF(Settings!$E$54="",$B165,DATE(YEAR($A165),MONTH($A165),MIN(Settings!$E$54,DAY($B165))))&lt;=MIN($C165,IF(Settings!$G$54="",$C165,Settings!$G$54))),1,0)))</f>
        <v/>
      </c>
      <c r="BO165">
        <f>IF(OR(Settings!$C$55="",Settings!$D$55=""),0,Settings!$C$55*IF(Settings!$D$55="Weekly",IF(IFERROR(MATCH(Settings!$E$55,$EO$4:$EO$10,0),0)=0,0,IF(MIN($C165,IF(Settings!$G$55="",$C165,Settings!$G$55))&lt;MAX($A165,Settings!$F$55),0,INT((MIN($C165,IF(Settings!$G$55="",$C165,Settings!$G$55))-MAX($A165,Settings!$F$55)-MOD(IFERROR(MATCH(Settings!$E$55,$EO$4:$EO$10,0),0)-WEEKDAY(MAX($A165,Settings!$F$55)),7))/7)+1)),IF(AND(IF(Settings!$E$55="",$B165,DATE(YEAR($A165),MONTH($A165),MIN(Settings!$E$55,DAY($B165))))&gt;=MAX($A165,Settings!$F$55),IF(Settings!$E$55="",$B165,DATE(YEAR($A165),MONTH($A165),MIN(Settings!$E$55,DAY($B165))))&lt;=MIN($C165,IF(Settings!$G$55="",$C165,Settings!$G$55))),1,0)))</f>
        <v/>
      </c>
      <c r="BP165">
        <f>IF(OR(Settings!$C$56="",Settings!$D$56=""),0,Settings!$C$56*IF(Settings!$D$56="Weekly",IF(IFERROR(MATCH(Settings!$E$56,$EO$4:$EO$10,0),0)=0,0,IF(MIN($C165,IF(Settings!$G$56="",$C165,Settings!$G$56))&lt;MAX($A165,Settings!$F$56),0,INT((MIN($C165,IF(Settings!$G$56="",$C165,Settings!$G$56))-MAX($A165,Settings!$F$56)-MOD(IFERROR(MATCH(Settings!$E$56,$EO$4:$EO$10,0),0)-WEEKDAY(MAX($A165,Settings!$F$56)),7))/7)+1)),IF(AND(IF(Settings!$E$56="",$B165,DATE(YEAR($A165),MONTH($A165),MIN(Settings!$E$56,DAY($B165))))&gt;=MAX($A165,Settings!$F$56),IF(Settings!$E$56="",$B165,DATE(YEAR($A165),MONTH($A165),MIN(Settings!$E$56,DAY($B165))))&lt;=MIN($C165,IF(Settings!$G$56="",$C165,Settings!$G$56))),1,0)))</f>
        <v/>
      </c>
      <c r="BQ165">
        <f>IF(OR(Settings!$B$14="",$D165=1,$E165="pre",$A165&lt;IF(Settings!$B$15="",0,Settings!$B$15)),0,Settings!$B$14)</f>
        <v/>
      </c>
      <c r="BR165">
        <f>IF(AND('Month-End'!$FF$7&lt;&gt;"",NOT(_xlfn.ISFORMULA('Month-End'!$FF$7))),1,0)</f>
        <v/>
      </c>
      <c r="BS165">
        <f>IF(AND('Month-End'!$FF$8&lt;&gt;"",NOT(_xlfn.ISFORMULA('Month-End'!$FF$8))),1,0)</f>
        <v/>
      </c>
      <c r="BT165">
        <f>IF(AND('Month-End'!$FF$9&lt;&gt;"",NOT(_xlfn.ISFORMULA('Month-End'!$FF$9))),1,0)</f>
        <v/>
      </c>
      <c r="BU165">
        <f>IF(AND('Month-End'!$FF$10&lt;&gt;"",NOT(_xlfn.ISFORMULA('Month-End'!$FF$10))),1,0)</f>
        <v/>
      </c>
      <c r="BV165">
        <f>IF(AND('Month-End'!$FF$11&lt;&gt;"",NOT(_xlfn.ISFORMULA('Month-End'!$FF$11))),1,0)</f>
        <v/>
      </c>
      <c r="BW165">
        <f>IF(AND('Month-End'!$FF$12&lt;&gt;"",NOT(_xlfn.ISFORMULA('Month-End'!$FF$12))),1,0)</f>
        <v/>
      </c>
      <c r="BX165">
        <f>IF(AND('Month-End'!$FF$13&lt;&gt;"",NOT(_xlfn.ISFORMULA('Month-End'!$FF$13))),1,0)</f>
        <v/>
      </c>
      <c r="BY165">
        <f>IF(AND('Month-End'!$FF$14&lt;&gt;"",NOT(_xlfn.ISFORMULA('Month-End'!$FF$14))),1,0)</f>
        <v/>
      </c>
      <c r="BZ165">
        <f>IF(AND('Month-End'!$FF$15&lt;&gt;"",NOT(_xlfn.ISFORMULA('Month-End'!$FF$15))),1,0)</f>
        <v/>
      </c>
      <c r="CA165">
        <f>IF(AND('Month-End'!$FF$16&lt;&gt;"",NOT(_xlfn.ISFORMULA('Month-End'!$FF$16))),1,0)</f>
        <v/>
      </c>
      <c r="CB165">
        <f>IF(AND('Month-End'!$FF$17&lt;&gt;"",NOT(_xlfn.ISFORMULA('Month-End'!$FF$17))),1,0)</f>
        <v/>
      </c>
      <c r="CC165">
        <f>IF(AND('Month-End'!$FF$18&lt;&gt;"",NOT(_xlfn.ISFORMULA('Month-End'!$FF$18))),1,0)</f>
        <v/>
      </c>
      <c r="CD165">
        <f>IF(AND('Month-End'!$FF$19&lt;&gt;"",NOT(_xlfn.ISFORMULA('Month-End'!$FF$19))),1,0)</f>
        <v/>
      </c>
      <c r="CE165">
        <f>IF(AND('Month-End'!$FF$20&lt;&gt;"",NOT(_xlfn.ISFORMULA('Month-End'!$FF$20))),1,0)</f>
        <v/>
      </c>
      <c r="CF165">
        <f>IF(AND('Month-End'!$FF$38&lt;&gt;"",NOT(_xlfn.ISFORMULA('Month-End'!$FF$38))),1,0)</f>
        <v/>
      </c>
      <c r="CG165">
        <f>IF(AND('Month-End'!$FF$39&lt;&gt;"",NOT(_xlfn.ISFORMULA('Month-End'!$FF$39))),1,0)</f>
        <v/>
      </c>
      <c r="CH165">
        <f>IF(AND('Month-End'!$FF$40&lt;&gt;"",NOT(_xlfn.ISFORMULA('Month-End'!$FF$40))),1,0)</f>
        <v/>
      </c>
      <c r="CI165">
        <f>IF(AND('Month-End'!$FF$41&lt;&gt;"",NOT(_xlfn.ISFORMULA('Month-End'!$FF$41))),1,0)</f>
        <v/>
      </c>
      <c r="CJ165">
        <f>IF(AND('Month-End'!$FF$42&lt;&gt;"",NOT(_xlfn.ISFORMULA('Month-End'!$FF$42))),1,0)</f>
        <v/>
      </c>
      <c r="CK165">
        <f>IF(AND('Month-End'!$FF$43&lt;&gt;"",NOT(_xlfn.ISFORMULA('Month-End'!$FF$43))),1,0)</f>
        <v/>
      </c>
      <c r="CL165">
        <f>SUM($CM165:$CZ165)</f>
        <v/>
      </c>
      <c r="CM165">
        <f>IF(AND($E165&lt;&gt;"pre",AND(Settings!$A$19&lt;&gt;"",Settings!$E$19&lt;&gt;"No"),Settings!$F$19="Yes",NOT(AND('Month-End'!$FF$7&lt;&gt;"",NOT(_xlfn.ISFORMULA('Month-End'!$FF$7))))),1,0)</f>
        <v/>
      </c>
      <c r="CN165">
        <f>IF(AND($E165&lt;&gt;"pre",AND(Settings!$A$20&lt;&gt;"",Settings!$E$20&lt;&gt;"No"),Settings!$F$20="Yes",NOT(AND('Month-End'!$FF$8&lt;&gt;"",NOT(_xlfn.ISFORMULA('Month-End'!$FF$8))))),1,0)</f>
        <v/>
      </c>
      <c r="CO165">
        <f>IF(AND($E165&lt;&gt;"pre",AND(Settings!$A$21&lt;&gt;"",Settings!$E$21&lt;&gt;"No"),Settings!$F$21="Yes",NOT(AND('Month-End'!$FF$9&lt;&gt;"",NOT(_xlfn.ISFORMULA('Month-End'!$FF$9))))),1,0)</f>
        <v/>
      </c>
      <c r="CP165">
        <f>IF(AND($E165&lt;&gt;"pre",AND(Settings!$A$22&lt;&gt;"",Settings!$E$22&lt;&gt;"No"),Settings!$F$22="Yes",NOT(AND('Month-End'!$FF$10&lt;&gt;"",NOT(_xlfn.ISFORMULA('Month-End'!$FF$10))))),1,0)</f>
        <v/>
      </c>
      <c r="CQ165">
        <f>IF(AND($E165&lt;&gt;"pre",AND(Settings!$A$23&lt;&gt;"",Settings!$E$23&lt;&gt;"No"),Settings!$F$23="Yes",NOT(AND('Month-End'!$FF$11&lt;&gt;"",NOT(_xlfn.ISFORMULA('Month-End'!$FF$11))))),1,0)</f>
        <v/>
      </c>
      <c r="CR165">
        <f>IF(AND($E165&lt;&gt;"pre",AND(Settings!$A$24&lt;&gt;"",Settings!$E$24&lt;&gt;"No"),Settings!$F$24="Yes",NOT(AND('Month-End'!$FF$12&lt;&gt;"",NOT(_xlfn.ISFORMULA('Month-End'!$FF$12))))),1,0)</f>
        <v/>
      </c>
      <c r="CS165">
        <f>IF(AND($E165&lt;&gt;"pre",AND(Settings!$A$25&lt;&gt;"",Settings!$E$25&lt;&gt;"No"),Settings!$F$25="Yes",NOT(AND('Month-End'!$FF$13&lt;&gt;"",NOT(_xlfn.ISFORMULA('Month-End'!$FF$13))))),1,0)</f>
        <v/>
      </c>
      <c r="CT165">
        <f>IF(AND($E165&lt;&gt;"pre",AND(Settings!$A$26&lt;&gt;"",Settings!$E$26&lt;&gt;"No"),Settings!$F$26="Yes",NOT(AND('Month-End'!$FF$14&lt;&gt;"",NOT(_xlfn.ISFORMULA('Month-End'!$FF$14))))),1,0)</f>
        <v/>
      </c>
      <c r="CU165">
        <f>IF(AND($E165&lt;&gt;"pre",AND(Settings!$A$27&lt;&gt;"",Settings!$E$27&lt;&gt;"No"),Settings!$F$27="Yes",NOT(AND('Month-End'!$FF$15&lt;&gt;"",NOT(_xlfn.ISFORMULA('Month-End'!$FF$15))))),1,0)</f>
        <v/>
      </c>
      <c r="CV165">
        <f>IF(AND($E165&lt;&gt;"pre",AND(Settings!$A$28&lt;&gt;"",Settings!$E$28&lt;&gt;"No"),Settings!$F$28="Yes",NOT(AND('Month-End'!$FF$16&lt;&gt;"",NOT(_xlfn.ISFORMULA('Month-End'!$FF$16))))),1,0)</f>
        <v/>
      </c>
      <c r="CW165">
        <f>IF(AND($E165&lt;&gt;"pre",AND(Settings!$A$29&lt;&gt;"",Settings!$E$29&lt;&gt;"No"),Settings!$F$29="Yes",NOT(AND('Month-End'!$FF$17&lt;&gt;"",NOT(_xlfn.ISFORMULA('Month-End'!$FF$17))))),1,0)</f>
        <v/>
      </c>
      <c r="CX165">
        <f>IF(AND($E165&lt;&gt;"pre",AND(Settings!$A$30&lt;&gt;"",Settings!$E$30&lt;&gt;"No"),Settings!$F$30="Yes",NOT(AND('Month-End'!$FF$18&lt;&gt;"",NOT(_xlfn.ISFORMULA('Month-End'!$FF$18))))),1,0)</f>
        <v/>
      </c>
      <c r="CY165">
        <f>IF(AND($E165&lt;&gt;"pre",AND(Settings!$A$31&lt;&gt;"",Settings!$E$31&lt;&gt;"No"),Settings!$F$31="Yes",NOT(AND('Month-End'!$FF$19&lt;&gt;"",NOT(_xlfn.ISFORMULA('Month-End'!$FF$19))))),1,0)</f>
        <v/>
      </c>
      <c r="CZ165">
        <f>IF(AND($E165&lt;&gt;"pre",AND(Settings!$A$32&lt;&gt;"",Settings!$E$32&lt;&gt;"No"),Settings!$F$32="Yes",NOT(AND('Month-End'!$FF$20&lt;&gt;"",NOT(_xlfn.ISFORMULA('Month-End'!$FF$20))))),1,0)</f>
        <v/>
      </c>
      <c r="DA165">
        <f>IF($DT165=1,IF(OR(Settings!$B$19="Checking",Settings!$B$19="Savings",Settings!$B$19="Cash"),N($AE165),IF(OR(Settings!$B$19="Card",Settings!$B$19="Loan"),-N($AE165),0))+IF(OR(Settings!$B$20="Checking",Settings!$B$20="Savings",Settings!$B$20="Cash"),N($AF165),IF(OR(Settings!$B$20="Card",Settings!$B$20="Loan"),-N($AF165),0))+IF(OR(Settings!$B$21="Checking",Settings!$B$21="Savings",Settings!$B$21="Cash"),N($AG165),IF(OR(Settings!$B$21="Card",Settings!$B$21="Loan"),-N($AG165),0))+IF(OR(Settings!$B$22="Checking",Settings!$B$22="Savings",Settings!$B$22="Cash"),N($AH165),IF(OR(Settings!$B$22="Card",Settings!$B$22="Loan"),-N($AH165),0))+IF(OR(Settings!$B$23="Checking",Settings!$B$23="Savings",Settings!$B$23="Cash"),N($AI165),IF(OR(Settings!$B$23="Card",Settings!$B$23="Loan"),-N($AI165),0))+IF(OR(Settings!$B$24="Checking",Settings!$B$24="Savings",Settings!$B$24="Cash"),N($AJ165),IF(OR(Settings!$B$24="Card",Settings!$B$24="Loan"),-N($AJ165),0))+IF(OR(Settings!$B$25="Checking",Settings!$B$25="Savings",Settings!$B$25="Cash"),N($AK165),IF(OR(Settings!$B$25="Card",Settings!$B$25="Loan"),-N($AK165),0))+IF(OR(Settings!$B$26="Checking",Settings!$B$26="Savings",Settings!$B$26="Cash"),N($AL165),IF(OR(Settings!$B$26="Card",Settings!$B$26="Loan"),-N($AL165),0))+IF(OR(Settings!$B$27="Checking",Settings!$B$27="Savings",Settings!$B$27="Cash"),N($AM165),IF(OR(Settings!$B$27="Card",Settings!$B$27="Loan"),-N($AM165),0))+IF(OR(Settings!$B$28="Checking",Settings!$B$28="Savings",Settings!$B$28="Cash"),N($AN165),IF(OR(Settings!$B$28="Card",Settings!$B$28="Loan"),-N($AN165),0))+IF(OR(Settings!$B$29="Checking",Settings!$B$29="Savings",Settings!$B$29="Cash"),N($AO165),IF(OR(Settings!$B$29="Card",Settings!$B$29="Loan"),-N($AO165),0))+IF(OR(Settings!$B$30="Checking",Settings!$B$30="Savings",Settings!$B$30="Cash"),N($AP165),IF(OR(Settings!$B$30="Card",Settings!$B$30="Loan"),-N($AP165),0))+IF(OR(Settings!$B$31="Checking",Settings!$B$31="Savings",Settings!$B$31="Cash"),N($AQ165),IF(OR(Settings!$B$31="Card",Settings!$B$31="Loan"),-N($AQ165),0))+IF(OR(Settings!$B$32="Checking",Settings!$B$32="Savings",Settings!$B$32="Cash"),N($AR165),IF(OR(Settings!$B$32="Card",Settings!$B$32="Loan"),-N($AR165),0)),"")</f>
        <v/>
      </c>
      <c r="DB165">
        <f>IF($E165="open",$EB$27,IF($E165="post",IF($E164="pre",$EB$27,$DA164),""))</f>
        <v/>
      </c>
      <c r="DC165">
        <f>IF($E165="open",1,IF($E165="post",IF($E164="pre",1,$DT164),0))</f>
        <v/>
      </c>
      <c r="DD165">
        <f>IF(AND($DT165=1,$DC165=1),ROUND($W165-($DA165-$DB165)-$AD165-$AB165,2),"")</f>
        <v/>
      </c>
      <c r="DE165">
        <f>IF('Month-End'!$FF$35="",$BQ165,N('Month-End'!$FF$35))</f>
        <v/>
      </c>
      <c r="DF165">
        <f>N('Month-End'!$FF$36)</f>
        <v/>
      </c>
      <c r="DG165">
        <f>IF($DD165="","",$DD165+$DE165)</f>
        <v/>
      </c>
      <c r="DH165">
        <f>IF($DG165="","",$DG165-$DF165)</f>
        <v/>
      </c>
      <c r="DI165">
        <f>IF(OR($E165="pre",$D165=1),"",N($AS165)+N($AT165)+N($AU165)+N($AV165)+N($AW165)+N($AX165))</f>
        <v/>
      </c>
      <c r="DJ165">
        <f>IF($DT165=1,$DA165+N($DI165),"")</f>
        <v/>
      </c>
      <c r="DK165">
        <f>IF($DD165="","",$W165-$DD165-$AB165)</f>
        <v/>
      </c>
      <c r="DL165">
        <f>IF(AND($E165="post",$DD165&lt;&gt;"",$B165&lt;TODAY()),1,0)</f>
        <v/>
      </c>
      <c r="DM165">
        <f>IF($DL165=1,COUNTIF($DL165:$DL$183,1),0)</f>
        <v/>
      </c>
      <c r="DN165">
        <f>IF($D165=1,"",IF($E165="pre","History only",IF($DT165=1,IF($DD165="","⚠ Previous month missing",IF($DD165&lt;0,"⚠ Check: spending &lt; 0",IF($E165="open","✓ Done (partial)","✓ Done"))),IF($B165&gt;=TODAY(),"In progress","⚠ Needs balances"))))</f>
        <v/>
      </c>
      <c r="DO165">
        <f>YEAR($A165)</f>
        <v/>
      </c>
      <c r="DP165">
        <f>DATE(YEAR($A165),INT((MONTH($A165)-1)/3)*3+1,1)</f>
        <v/>
      </c>
      <c r="DQ165">
        <f>IF(AND($DT165=1,$DD165&lt;&gt;"",$D165=0),ROW(),0)</f>
        <v/>
      </c>
      <c r="DR165">
        <f>IF(AND($E165&lt;&gt;"pre",$B165&lt;TODAY(),$DT165=0),1,0)</f>
        <v/>
      </c>
      <c r="DS165">
        <f>IF($DJ165="",NA(),$DJ165)</f>
        <v/>
      </c>
      <c r="DT165">
        <f>IF(AND($E165&lt;&gt;"pre",$CL165=0,COUNTIFS(Settings!$F$19:$F$32,"Yes",Settings!$A$19:$A$32,"&lt;&gt;",Settings!$E$19:$E$32,"&lt;&gt;No")&gt;0),1,0)</f>
        <v/>
      </c>
      <c r="DU165">
        <f>IF(AND($B165&lt;TODAY(),$S165&gt;0),1,0)</f>
        <v/>
      </c>
      <c r="DV165">
        <f>IF($DU165=1,COUNTIF($DU165:$DU$183,1),0)</f>
        <v/>
      </c>
      <c r="DW165">
        <f>IF(AND(OR(Settings!$B$19="Card",Settings!$B$19="Loan"),AND('Month-End'!$FF$7&lt;&gt;"",NOT(_xlfn.ISFORMULA('Month-End'!$FF$7)))),IF(N('Month-End'!$FF$7)&lt;0,1,0),0)+IF(AND(OR(Settings!$B$20="Card",Settings!$B$20="Loan"),AND('Month-End'!$FF$8&lt;&gt;"",NOT(_xlfn.ISFORMULA('Month-End'!$FF$8)))),IF(N('Month-End'!$FF$8)&lt;0,1,0),0)+IF(AND(OR(Settings!$B$21="Card",Settings!$B$21="Loan"),AND('Month-End'!$FF$9&lt;&gt;"",NOT(_xlfn.ISFORMULA('Month-End'!$FF$9)))),IF(N('Month-End'!$FF$9)&lt;0,1,0),0)+IF(AND(OR(Settings!$B$22="Card",Settings!$B$22="Loan"),AND('Month-End'!$FF$10&lt;&gt;"",NOT(_xlfn.ISFORMULA('Month-End'!$FF$10)))),IF(N('Month-End'!$FF$10)&lt;0,1,0),0)+IF(AND(OR(Settings!$B$23="Card",Settings!$B$23="Loan"),AND('Month-End'!$FF$11&lt;&gt;"",NOT(_xlfn.ISFORMULA('Month-End'!$FF$11)))),IF(N('Month-End'!$FF$11)&lt;0,1,0),0)+IF(AND(OR(Settings!$B$24="Card",Settings!$B$24="Loan"),AND('Month-End'!$FF$12&lt;&gt;"",NOT(_xlfn.ISFORMULA('Month-End'!$FF$12)))),IF(N('Month-End'!$FF$12)&lt;0,1,0),0)+IF(AND(OR(Settings!$B$25="Card",Settings!$B$25="Loan"),AND('Month-End'!$FF$13&lt;&gt;"",NOT(_xlfn.ISFORMULA('Month-End'!$FF$13)))),IF(N('Month-End'!$FF$13)&lt;0,1,0),0)+IF(AND(OR(Settings!$B$26="Card",Settings!$B$26="Loan"),AND('Month-End'!$FF$14&lt;&gt;"",NOT(_xlfn.ISFORMULA('Month-End'!$FF$14)))),IF(N('Month-End'!$FF$14)&lt;0,1,0),0)+IF(AND(OR(Settings!$B$27="Card",Settings!$B$27="Loan"),AND('Month-End'!$FF$15&lt;&gt;"",NOT(_xlfn.ISFORMULA('Month-End'!$FF$15)))),IF(N('Month-End'!$FF$15)&lt;0,1,0),0)+IF(AND(OR(Settings!$B$28="Card",Settings!$B$28="Loan"),AND('Month-End'!$FF$16&lt;&gt;"",NOT(_xlfn.ISFORMULA('Month-End'!$FF$16)))),IF(N('Month-End'!$FF$16)&lt;0,1,0),0)+IF(AND(OR(Settings!$B$29="Card",Settings!$B$29="Loan"),AND('Month-End'!$FF$17&lt;&gt;"",NOT(_xlfn.ISFORMULA('Month-End'!$FF$17)))),IF(N('Month-End'!$FF$17)&lt;0,1,0),0)+IF(AND(OR(Settings!$B$30="Card",Settings!$B$30="Loan"),AND('Month-End'!$FF$18&lt;&gt;"",NOT(_xlfn.ISFORMULA('Month-End'!$FF$18)))),IF(N('Month-End'!$FF$18)&lt;0,1,0),0)+IF(AND(OR(Settings!$B$31="Card",Settings!$B$31="Loan"),AND('Month-End'!$FF$19&lt;&gt;"",NOT(_xlfn.ISFORMULA('Month-End'!$FF$19)))),IF(N('Month-End'!$FF$19)&lt;0,1,0),0)+IF(AND(OR(Settings!$B$32="Card",Settings!$B$32="Loan"),AND('Month-End'!$FF$20&lt;&gt;"",NOT(_xlfn.ISFORMULA('Month-End'!$FF$20)))),IF(N('Month-End'!$FF$20)&lt;0,1,0),0)</f>
        <v/>
      </c>
      <c r="DX165">
        <f>IF(Settings!$B$36="Retirement",$AY165,0)+IF(Settings!$B$37="Retirement",$AZ165,0)+IF(Settings!$B$38="Retirement",$BA165,0)+IF(Settings!$B$39="Retirement",$BB165,0)+IF(Settings!$B$40="Retirement",$BC165,0)+IF(Settings!$B$41="Retirement",$BD165,0)</f>
        <v/>
      </c>
      <c r="ET165">
        <f>IF($E165&lt;&gt;"open",0,IF(AND('Month-End'!$FF$22&lt;&gt;"",NOT(_xlfn.ISFORMULA('Month-End'!$FF$22))),0,IF(OR(Settings!$C$45="",Settings!$D$45=""),0,Settings!$C$45*IF(Settings!$D$45="Weekly",IF(IFERROR(MATCH(Settings!$E$45,$EO$4:$EO$10,0),0)=0,0,IF(MIN(Settings!$B$5,IF(Settings!$G$45="",Settings!$B$5,Settings!$G$45))&lt;MAX($A165,Settings!$F$45),0,INT((MIN(Settings!$B$5,IF(Settings!$G$45="",Settings!$B$5,Settings!$G$45))-MAX($A165,Settings!$F$45)-MOD(IFERROR(MATCH(Settings!$E$45,$EO$4:$EO$10,0),0)-WEEKDAY(MAX($A165,Settings!$F$45)),7))/7)+1)),IF(AND(IF(Settings!$E$45="",$B165,DATE(YEAR($A165),MONTH($A165),MIN(Settings!$E$45,DAY($B165))))&gt;=MAX($A165,Settings!$F$45),IF(Settings!$E$45="",$B165,DATE(YEAR($A165),MONTH($A165),MIN(Settings!$E$45,DAY($B165))))&lt;=MIN(Settings!$B$5,IF(Settings!$G$45="",Settings!$B$5,Settings!$G$45))),1,0)))))</f>
        <v/>
      </c>
      <c r="EU165">
        <f>IF($E165&lt;&gt;"open",0,IF(AND('Month-End'!$FF$23&lt;&gt;"",NOT(_xlfn.ISFORMULA('Month-End'!$FF$23))),0,IF(OR(Settings!$C$46="",Settings!$D$46=""),0,Settings!$C$46*IF(Settings!$D$46="Weekly",IF(IFERROR(MATCH(Settings!$E$46,$EO$4:$EO$10,0),0)=0,0,IF(MIN(Settings!$B$5,IF(Settings!$G$46="",Settings!$B$5,Settings!$G$46))&lt;MAX($A165,Settings!$F$46),0,INT((MIN(Settings!$B$5,IF(Settings!$G$46="",Settings!$B$5,Settings!$G$46))-MAX($A165,Settings!$F$46)-MOD(IFERROR(MATCH(Settings!$E$46,$EO$4:$EO$10,0),0)-WEEKDAY(MAX($A165,Settings!$F$46)),7))/7)+1)),IF(AND(IF(Settings!$E$46="",$B165,DATE(YEAR($A165),MONTH($A165),MIN(Settings!$E$46,DAY($B165))))&gt;=MAX($A165,Settings!$F$46),IF(Settings!$E$46="",$B165,DATE(YEAR($A165),MONTH($A165),MIN(Settings!$E$46,DAY($B165))))&lt;=MIN(Settings!$B$5,IF(Settings!$G$46="",Settings!$B$5,Settings!$G$46))),1,0)))))</f>
        <v/>
      </c>
      <c r="EV165">
        <f>IF($E165&lt;&gt;"open",0,IF(AND('Month-End'!$FF$24&lt;&gt;"",NOT(_xlfn.ISFORMULA('Month-End'!$FF$24))),0,IF(OR(Settings!$C$47="",Settings!$D$47=""),0,Settings!$C$47*IF(Settings!$D$47="Weekly",IF(IFERROR(MATCH(Settings!$E$47,$EO$4:$EO$10,0),0)=0,0,IF(MIN(Settings!$B$5,IF(Settings!$G$47="",Settings!$B$5,Settings!$G$47))&lt;MAX($A165,Settings!$F$47),0,INT((MIN(Settings!$B$5,IF(Settings!$G$47="",Settings!$B$5,Settings!$G$47))-MAX($A165,Settings!$F$47)-MOD(IFERROR(MATCH(Settings!$E$47,$EO$4:$EO$10,0),0)-WEEKDAY(MAX($A165,Settings!$F$47)),7))/7)+1)),IF(AND(IF(Settings!$E$47="",$B165,DATE(YEAR($A165),MONTH($A165),MIN(Settings!$E$47,DAY($B165))))&gt;=MAX($A165,Settings!$F$47),IF(Settings!$E$47="",$B165,DATE(YEAR($A165),MONTH($A165),MIN(Settings!$E$47,DAY($B165))))&lt;=MIN(Settings!$B$5,IF(Settings!$G$47="",Settings!$B$5,Settings!$G$47))),1,0)))))</f>
        <v/>
      </c>
      <c r="EW165">
        <f>IF($E165&lt;&gt;"open",0,IF(AND('Month-End'!$FF$25&lt;&gt;"",NOT(_xlfn.ISFORMULA('Month-End'!$FF$25))),0,IF(OR(Settings!$C$48="",Settings!$D$48=""),0,Settings!$C$48*IF(Settings!$D$48="Weekly",IF(IFERROR(MATCH(Settings!$E$48,$EO$4:$EO$10,0),0)=0,0,IF(MIN(Settings!$B$5,IF(Settings!$G$48="",Settings!$B$5,Settings!$G$48))&lt;MAX($A165,Settings!$F$48),0,INT((MIN(Settings!$B$5,IF(Settings!$G$48="",Settings!$B$5,Settings!$G$48))-MAX($A165,Settings!$F$48)-MOD(IFERROR(MATCH(Settings!$E$48,$EO$4:$EO$10,0),0)-WEEKDAY(MAX($A165,Settings!$F$48)),7))/7)+1)),IF(AND(IF(Settings!$E$48="",$B165,DATE(YEAR($A165),MONTH($A165),MIN(Settings!$E$48,DAY($B165))))&gt;=MAX($A165,Settings!$F$48),IF(Settings!$E$48="",$B165,DATE(YEAR($A165),MONTH($A165),MIN(Settings!$E$48,DAY($B165))))&lt;=MIN(Settings!$B$5,IF(Settings!$G$48="",Settings!$B$5,Settings!$G$48))),1,0)))))</f>
        <v/>
      </c>
      <c r="EX165">
        <f>IF($E165&lt;&gt;"open",0,IF(AND('Month-End'!$FF$26&lt;&gt;"",NOT(_xlfn.ISFORMULA('Month-End'!$FF$26))),0,IF(OR(Settings!$C$49="",Settings!$D$49=""),0,Settings!$C$49*IF(Settings!$D$49="Weekly",IF(IFERROR(MATCH(Settings!$E$49,$EO$4:$EO$10,0),0)=0,0,IF(MIN(Settings!$B$5,IF(Settings!$G$49="",Settings!$B$5,Settings!$G$49))&lt;MAX($A165,Settings!$F$49),0,INT((MIN(Settings!$B$5,IF(Settings!$G$49="",Settings!$B$5,Settings!$G$49))-MAX($A165,Settings!$F$49)-MOD(IFERROR(MATCH(Settings!$E$49,$EO$4:$EO$10,0),0)-WEEKDAY(MAX($A165,Settings!$F$49)),7))/7)+1)),IF(AND(IF(Settings!$E$49="",$B165,DATE(YEAR($A165),MONTH($A165),MIN(Settings!$E$49,DAY($B165))))&gt;=MAX($A165,Settings!$F$49),IF(Settings!$E$49="",$B165,DATE(YEAR($A165),MONTH($A165),MIN(Settings!$E$49,DAY($B165))))&lt;=MIN(Settings!$B$5,IF(Settings!$G$49="",Settings!$B$5,Settings!$G$49))),1,0)))))</f>
        <v/>
      </c>
      <c r="EY165">
        <f>IF($E165&lt;&gt;"open",0,IF(AND('Month-End'!$FF$27&lt;&gt;"",NOT(_xlfn.ISFORMULA('Month-End'!$FF$27))),0,IF(OR(Settings!$C$50="",Settings!$D$50=""),0,Settings!$C$50*IF(Settings!$D$50="Weekly",IF(IFERROR(MATCH(Settings!$E$50,$EO$4:$EO$10,0),0)=0,0,IF(MIN(Settings!$B$5,IF(Settings!$G$50="",Settings!$B$5,Settings!$G$50))&lt;MAX($A165,Settings!$F$50),0,INT((MIN(Settings!$B$5,IF(Settings!$G$50="",Settings!$B$5,Settings!$G$50))-MAX($A165,Settings!$F$50)-MOD(IFERROR(MATCH(Settings!$E$50,$EO$4:$EO$10,0),0)-WEEKDAY(MAX($A165,Settings!$F$50)),7))/7)+1)),IF(AND(IF(Settings!$E$50="",$B165,DATE(YEAR($A165),MONTH($A165),MIN(Settings!$E$50,DAY($B165))))&gt;=MAX($A165,Settings!$F$50),IF(Settings!$E$50="",$B165,DATE(YEAR($A165),MONTH($A165),MIN(Settings!$E$50,DAY($B165))))&lt;=MIN(Settings!$B$5,IF(Settings!$G$50="",Settings!$B$5,Settings!$G$50))),1,0)))))</f>
        <v/>
      </c>
      <c r="EZ165">
        <f>IF($E165&lt;&gt;"open",0,IF(AND('Month-End'!$FF$28&lt;&gt;"",NOT(_xlfn.ISFORMULA('Month-End'!$FF$28))),0,IF(OR(Settings!$C$51="",Settings!$D$51=""),0,Settings!$C$51*IF(Settings!$D$51="Weekly",IF(IFERROR(MATCH(Settings!$E$51,$EO$4:$EO$10,0),0)=0,0,IF(MIN(Settings!$B$5,IF(Settings!$G$51="",Settings!$B$5,Settings!$G$51))&lt;MAX($A165,Settings!$F$51),0,INT((MIN(Settings!$B$5,IF(Settings!$G$51="",Settings!$B$5,Settings!$G$51))-MAX($A165,Settings!$F$51)-MOD(IFERROR(MATCH(Settings!$E$51,$EO$4:$EO$10,0),0)-WEEKDAY(MAX($A165,Settings!$F$51)),7))/7)+1)),IF(AND(IF(Settings!$E$51="",$B165,DATE(YEAR($A165),MONTH($A165),MIN(Settings!$E$51,DAY($B165))))&gt;=MAX($A165,Settings!$F$51),IF(Settings!$E$51="",$B165,DATE(YEAR($A165),MONTH($A165),MIN(Settings!$E$51,DAY($B165))))&lt;=MIN(Settings!$B$5,IF(Settings!$G$51="",Settings!$B$5,Settings!$G$51))),1,0)))))</f>
        <v/>
      </c>
      <c r="FA165">
        <f>IF($E165&lt;&gt;"open",0,IF(AND('Month-End'!$FF$29&lt;&gt;"",NOT(_xlfn.ISFORMULA('Month-End'!$FF$29))),0,IF(OR(Settings!$C$52="",Settings!$D$52=""),0,Settings!$C$52*IF(Settings!$D$52="Weekly",IF(IFERROR(MATCH(Settings!$E$52,$EO$4:$EO$10,0),0)=0,0,IF(MIN(Settings!$B$5,IF(Settings!$G$52="",Settings!$B$5,Settings!$G$52))&lt;MAX($A165,Settings!$F$52),0,INT((MIN(Settings!$B$5,IF(Settings!$G$52="",Settings!$B$5,Settings!$G$52))-MAX($A165,Settings!$F$52)-MOD(IFERROR(MATCH(Settings!$E$52,$EO$4:$EO$10,0),0)-WEEKDAY(MAX($A165,Settings!$F$52)),7))/7)+1)),IF(AND(IF(Settings!$E$52="",$B165,DATE(YEAR($A165),MONTH($A165),MIN(Settings!$E$52,DAY($B165))))&gt;=MAX($A165,Settings!$F$52),IF(Settings!$E$52="",$B165,DATE(YEAR($A165),MONTH($A165),MIN(Settings!$E$52,DAY($B165))))&lt;=MIN(Settings!$B$5,IF(Settings!$G$52="",Settings!$B$5,Settings!$G$52))),1,0)))))</f>
        <v/>
      </c>
      <c r="FB165">
        <f>IF($E165&lt;&gt;"open",0,IF(AND('Month-End'!$FF$30&lt;&gt;"",NOT(_xlfn.ISFORMULA('Month-End'!$FF$30))),0,IF(OR(Settings!$C$53="",Settings!$D$53=""),0,Settings!$C$53*IF(Settings!$D$53="Weekly",IF(IFERROR(MATCH(Settings!$E$53,$EO$4:$EO$10,0),0)=0,0,IF(MIN(Settings!$B$5,IF(Settings!$G$53="",Settings!$B$5,Settings!$G$53))&lt;MAX($A165,Settings!$F$53),0,INT((MIN(Settings!$B$5,IF(Settings!$G$53="",Settings!$B$5,Settings!$G$53))-MAX($A165,Settings!$F$53)-MOD(IFERROR(MATCH(Settings!$E$53,$EO$4:$EO$10,0),0)-WEEKDAY(MAX($A165,Settings!$F$53)),7))/7)+1)),IF(AND(IF(Settings!$E$53="",$B165,DATE(YEAR($A165),MONTH($A165),MIN(Settings!$E$53,DAY($B165))))&gt;=MAX($A165,Settings!$F$53),IF(Settings!$E$53="",$B165,DATE(YEAR($A165),MONTH($A165),MIN(Settings!$E$53,DAY($B165))))&lt;=MIN(Settings!$B$5,IF(Settings!$G$53="",Settings!$B$5,Settings!$G$53))),1,0)))))</f>
        <v/>
      </c>
      <c r="FC165">
        <f>IF($E165&lt;&gt;"open",0,IF(AND('Month-End'!$FF$31&lt;&gt;"",NOT(_xlfn.ISFORMULA('Month-End'!$FF$31))),0,IF(OR(Settings!$C$54="",Settings!$D$54=""),0,Settings!$C$54*IF(Settings!$D$54="Weekly",IF(IFERROR(MATCH(Settings!$E$54,$EO$4:$EO$10,0),0)=0,0,IF(MIN(Settings!$B$5,IF(Settings!$G$54="",Settings!$B$5,Settings!$G$54))&lt;MAX($A165,Settings!$F$54),0,INT((MIN(Settings!$B$5,IF(Settings!$G$54="",Settings!$B$5,Settings!$G$54))-MAX($A165,Settings!$F$54)-MOD(IFERROR(MATCH(Settings!$E$54,$EO$4:$EO$10,0),0)-WEEKDAY(MAX($A165,Settings!$F$54)),7))/7)+1)),IF(AND(IF(Settings!$E$54="",$B165,DATE(YEAR($A165),MONTH($A165),MIN(Settings!$E$54,DAY($B165))))&gt;=MAX($A165,Settings!$F$54),IF(Settings!$E$54="",$B165,DATE(YEAR($A165),MONTH($A165),MIN(Settings!$E$54,DAY($B165))))&lt;=MIN(Settings!$B$5,IF(Settings!$G$54="",Settings!$B$5,Settings!$G$54))),1,0)))))</f>
        <v/>
      </c>
      <c r="FD165">
        <f>IF($E165&lt;&gt;"open",0,IF(AND('Month-End'!$FF$32&lt;&gt;"",NOT(_xlfn.ISFORMULA('Month-End'!$FF$32))),0,IF(OR(Settings!$C$55="",Settings!$D$55=""),0,Settings!$C$55*IF(Settings!$D$55="Weekly",IF(IFERROR(MATCH(Settings!$E$55,$EO$4:$EO$10,0),0)=0,0,IF(MIN(Settings!$B$5,IF(Settings!$G$55="",Settings!$B$5,Settings!$G$55))&lt;MAX($A165,Settings!$F$55),0,INT((MIN(Settings!$B$5,IF(Settings!$G$55="",Settings!$B$5,Settings!$G$55))-MAX($A165,Settings!$F$55)-MOD(IFERROR(MATCH(Settings!$E$55,$EO$4:$EO$10,0),0)-WEEKDAY(MAX($A165,Settings!$F$55)),7))/7)+1)),IF(AND(IF(Settings!$E$55="",$B165,DATE(YEAR($A165),MONTH($A165),MIN(Settings!$E$55,DAY($B165))))&gt;=MAX($A165,Settings!$F$55),IF(Settings!$E$55="",$B165,DATE(YEAR($A165),MONTH($A165),MIN(Settings!$E$55,DAY($B165))))&lt;=MIN(Settings!$B$5,IF(Settings!$G$55="",Settings!$B$5,Settings!$G$55))),1,0)))))</f>
        <v/>
      </c>
      <c r="FE165">
        <f>IF($E165&lt;&gt;"open",0,IF(AND('Month-End'!$FF$33&lt;&gt;"",NOT(_xlfn.ISFORMULA('Month-End'!$FF$33))),0,IF(OR(Settings!$C$56="",Settings!$D$56=""),0,Settings!$C$56*IF(Settings!$D$56="Weekly",IF(IFERROR(MATCH(Settings!$E$56,$EO$4:$EO$10,0),0)=0,0,IF(MIN(Settings!$B$5,IF(Settings!$G$56="",Settings!$B$5,Settings!$G$56))&lt;MAX($A165,Settings!$F$56),0,INT((MIN(Settings!$B$5,IF(Settings!$G$56="",Settings!$B$5,Settings!$G$56))-MAX($A165,Settings!$F$56)-MOD(IFERROR(MATCH(Settings!$E$56,$EO$4:$EO$10,0),0)-WEEKDAY(MAX($A165,Settings!$F$56)),7))/7)+1)),IF(AND(IF(Settings!$E$56="",$B165,DATE(YEAR($A165),MONTH($A165),MIN(Settings!$E$56,DAY($B165))))&gt;=MAX($A165,Settings!$F$56),IF(Settings!$E$56="",$B165,DATE(YEAR($A165),MONTH($A165),MIN(Settings!$E$56,DAY($B165))))&lt;=MIN(Settings!$B$5,IF(Settings!$G$56="",Settings!$B$5,Settings!$G$56))),1,0)))))</f>
        <v/>
      </c>
      <c r="FF165">
        <f>IF(Settings!$I$45="Yes",$G165,0)+IF(Settings!$I$46="Yes",$H165,0)+IF(Settings!$I$47="Yes",$I165,0)+IF(Settings!$I$48="Yes",$J165,0)+IF(Settings!$I$49="Yes",$K165,0)+IF(Settings!$I$50="Yes",$L165,0)+IF(Settings!$I$51="Yes",$M165,0)+IF(Settings!$I$52="Yes",$N165,0)+IF(Settings!$I$53="Yes",$O165,0)+IF(Settings!$I$54="Yes",$P165,0)+IF(Settings!$I$55="Yes",$Q165,0)+IF(Settings!$I$56="Yes",$R165,0)</f>
        <v/>
      </c>
      <c r="FG165">
        <f>IF(AND(Settings!$I$45="Yes",Settings!$J$45="No"),$G165,0)+IF(AND(Settings!$I$46="Yes",Settings!$J$46="No"),$H165,0)+IF(AND(Settings!$I$47="Yes",Settings!$J$47="No"),$I165,0)+IF(AND(Settings!$I$48="Yes",Settings!$J$48="No"),$J165,0)+IF(AND(Settings!$I$49="Yes",Settings!$J$49="No"),$K165,0)+IF(AND(Settings!$I$50="Yes",Settings!$J$50="No"),$L165,0)+IF(AND(Settings!$I$51="Yes",Settings!$J$51="No"),$M165,0)+IF(AND(Settings!$I$52="Yes",Settings!$J$52="No"),$N165,0)+IF(AND(Settings!$I$53="Yes",Settings!$J$53="No"),$O165,0)+IF(AND(Settings!$I$54="Yes",Settings!$J$54="No"),$P165,0)+IF(AND(Settings!$I$55="Yes",Settings!$J$55="No"),$Q165,0)+IF(AND(Settings!$I$56="Yes",Settings!$J$56="No"),$R165,0)</f>
        <v/>
      </c>
      <c r="FH165">
        <f>SUMIFS(Giving!$B$7:$B$2006,Giving!$A$7:$A$2006,"&gt;="&amp;$A165,Giving!$A$7:$A$2006,"&lt;="&amp;$B165,Giving!$G$7:$G$2006,"Yes")+IF(OR(OR(Settings!$B$60="",Settings!$F$60="No"),Settings!$H$60&lt;&gt;"Yes"),0,Settings!$B$60*IF(AND(IF(Settings!$C$60="",$B165,DATE(YEAR($A165),MONTH($A165),MIN(Settings!$C$60,DAY($B165))))&gt;=MAX($A165,Settings!$D$60),IF(Settings!$C$60="",$B165,DATE(YEAR($A165),MONTH($A165),MIN(Settings!$C$60,DAY($B165))))&lt;=MIN($C165,IF(Settings!$E$60="",$C165,Settings!$E$60))),1,0))+IF(OR(OR(Settings!$B$61="",Settings!$F$61="No"),Settings!$H$61&lt;&gt;"Yes"),0,Settings!$B$61*IF(AND(IF(Settings!$C$61="",$B165,DATE(YEAR($A165),MONTH($A165),MIN(Settings!$C$61,DAY($B165))))&gt;=MAX($A165,Settings!$D$61),IF(Settings!$C$61="",$B165,DATE(YEAR($A165),MONTH($A165),MIN(Settings!$C$61,DAY($B165))))&lt;=MIN($C165,IF(Settings!$E$61="",$C165,Settings!$E$61))),1,0))+IF(OR(OR(Settings!$B$62="",Settings!$F$62="No"),Settings!$H$62&lt;&gt;"Yes"),0,Settings!$B$62*IF(AND(IF(Settings!$C$62="",$B165,DATE(YEAR($A165),MONTH($A165),MIN(Settings!$C$62,DAY($B165))))&gt;=MAX($A165,Settings!$D$62),IF(Settings!$C$62="",$B165,DATE(YEAR($A165),MONTH($A165),MIN(Settings!$C$62,DAY($B165))))&lt;=MIN($C165,IF(Settings!$E$62="",$C165,Settings!$E$62))),1,0))+IF(OR(OR(Settings!$B$63="",Settings!$F$63="No"),Settings!$H$63&lt;&gt;"Yes"),0,Settings!$B$63*IF(AND(IF(Settings!$C$63="",$B165,DATE(YEAR($A165),MONTH($A165),MIN(Settings!$C$63,DAY($B165))))&gt;=MAX($A165,Settings!$D$63),IF(Settings!$C$63="",$B165,DATE(YEAR($A165),MONTH($A165),MIN(Settings!$C$63,DAY($B165))))&lt;=MIN($C165,IF(Settings!$E$63="",$C165,Settings!$E$63))),1,0))+IF(OR(OR(Settings!$B$64="",Settings!$F$64="No"),Settings!$H$64&lt;&gt;"Yes"),0,Settings!$B$64*IF(AND(IF(Settings!$C$64="",$B165,DATE(YEAR($A165),MONTH($A165),MIN(Settings!$C$64,DAY($B165))))&gt;=MAX($A165,Settings!$D$64),IF(Settings!$C$64="",$B165,DATE(YEAR($A165),MONTH($A165),MIN(Settings!$C$64,DAY($B165))))&lt;=MIN($C165,IF(Settings!$E$64="",$C165,Settings!$E$64))),1,0))+IF(OR(OR(Settings!$B$65="",Settings!$F$65="No"),Settings!$H$65&lt;&gt;"Yes"),0,Settings!$B$65*IF(AND(IF(Settings!$C$65="",$B165,DATE(YEAR($A165),MONTH($A165),MIN(Settings!$C$65,DAY($B165))))&gt;=MAX($A165,Settings!$D$65),IF(Settings!$C$65="",$B165,DATE(YEAR($A165),MONTH($A165),MIN(Settings!$C$65,DAY($B165))))&lt;=MIN($C165,IF(Settings!$E$65="",$C165,Settings!$E$65))),1,0))</f>
        <v/>
      </c>
      <c r="FI165">
        <f>IF($DT165=1,IF(OR(Settings!$B$19="Card",Settings!$B$19="Loan"),N($AE165),0)+IF(OR(Settings!$B$20="Card",Settings!$B$20="Loan"),N($AF165),0)+IF(OR(Settings!$B$21="Card",Settings!$B$21="Loan"),N($AG165),0)+IF(OR(Settings!$B$22="Card",Settings!$B$22="Loan"),N($AH165),0)+IF(OR(Settings!$B$23="Card",Settings!$B$23="Loan"),N($AI165),0)+IF(OR(Settings!$B$24="Card",Settings!$B$24="Loan"),N($AJ165),0)+IF(OR(Settings!$B$25="Card",Settings!$B$25="Loan"),N($AK165),0)+IF(OR(Settings!$B$26="Card",Settings!$B$26="Loan"),N($AL165),0)+IF(OR(Settings!$B$27="Card",Settings!$B$27="Loan"),N($AM165),0)+IF(OR(Settings!$B$28="Card",Settings!$B$28="Loan"),N($AN165),0)+IF(OR(Settings!$B$29="Card",Settings!$B$29="Loan"),N($AO165),0)+IF(OR(Settings!$B$30="Card",Settings!$B$30="Loan"),N($AP165),0)+IF(OR(Settings!$B$31="Card",Settings!$B$31="Loan"),N($AQ165),0)+IF(OR(Settings!$B$32="Card",Settings!$B$32="Loan"),N($AR165),0),"")</f>
        <v/>
      </c>
      <c r="FJ165">
        <f>IF($E165="open",$EB$65,IF($E165="post",IF($E164="pre",$EB$65,$FI164),""))</f>
        <v/>
      </c>
      <c r="FK165">
        <f>IF(AND($DT165=1,$DC165=1),IF(ROUND($FI165-$FJ165,2)&gt;0,1,0),0)</f>
        <v/>
      </c>
      <c r="FL165">
        <f>IF($FK165=1,$FL164+1,0)</f>
        <v/>
      </c>
    </row>
    <row r="166">
      <c r="A166">
        <f>'Month-End'!$FG$4</f>
        <v/>
      </c>
      <c r="B166">
        <f>EOMONTH($A166,0)</f>
        <v/>
      </c>
      <c r="C166">
        <f>MIN($B166,TODAY())</f>
        <v/>
      </c>
      <c r="D166">
        <f>IF($A166&gt;TODAY(),1,0)</f>
        <v/>
      </c>
      <c r="E166">
        <f>IF($B166&lt;=Settings!$B$5,"pre",IF($A166&lt;=Settings!$B$5,"open","post"))</f>
        <v/>
      </c>
      <c r="G166">
        <f>IF('Month-End'!$FG$22="",$BE166,N('Month-End'!$FG$22))</f>
        <v/>
      </c>
      <c r="H166">
        <f>IF('Month-End'!$FG$23="",$BF166,N('Month-End'!$FG$23))</f>
        <v/>
      </c>
      <c r="I166">
        <f>IF('Month-End'!$FG$24="",$BG166,N('Month-End'!$FG$24))</f>
        <v/>
      </c>
      <c r="J166">
        <f>IF('Month-End'!$FG$25="",$BH166,N('Month-End'!$FG$25))</f>
        <v/>
      </c>
      <c r="K166">
        <f>IF('Month-End'!$FG$26="",$BI166,N('Month-End'!$FG$26))</f>
        <v/>
      </c>
      <c r="L166">
        <f>IF('Month-End'!$FG$27="",$BJ166,N('Month-End'!$FG$27))</f>
        <v/>
      </c>
      <c r="M166">
        <f>IF('Month-End'!$FG$28="",$BK166,N('Month-End'!$FG$28))</f>
        <v/>
      </c>
      <c r="N166">
        <f>IF('Month-End'!$FG$29="",$BL166,N('Month-End'!$FG$29))</f>
        <v/>
      </c>
      <c r="O166">
        <f>IF('Month-End'!$FG$30="",$BM166,N('Month-End'!$FG$30))</f>
        <v/>
      </c>
      <c r="P166">
        <f>IF('Month-End'!$FG$31="",$BN166,N('Month-End'!$FG$31))</f>
        <v/>
      </c>
      <c r="Q166">
        <f>IF('Month-End'!$FG$32="",$BO166,N('Month-End'!$FG$32))</f>
        <v/>
      </c>
      <c r="R166">
        <f>IF('Month-End'!$FG$33="",$BP166,N('Month-End'!$FG$33))</f>
        <v/>
      </c>
      <c r="S166">
        <f>$G166+$H166+$I166+$J166+$K166+$L166+$M166+$N166+$O166+$P166+$Q166+$R166</f>
        <v/>
      </c>
      <c r="T166">
        <f>IF($B166&lt;Settings!$B$6,0,IF(Settings!$B$45="Yes",$G166,0)+IF(Settings!$B$46="Yes",$H166,0)+IF(Settings!$B$47="Yes",$I166,0)+IF(Settings!$B$48="Yes",$J166,0)+IF(Settings!$B$49="Yes",$K166,0)+IF(Settings!$B$50="Yes",$L166,0)+IF(Settings!$B$51="Yes",$M166,0)+IF(Settings!$B$52="Yes",$N166,0)+IF(Settings!$B$53="Yes",$O166,0)+IF(Settings!$B$54="Yes",$P166,0)+IF(Settings!$B$55="Yes",$Q166,0)+IF(Settings!$B$56="Yes",$R166,0))</f>
        <v/>
      </c>
      <c r="U166">
        <f>IF(Settings!$B$45="Not Sure",$G166,0)+IF(Settings!$B$46="Not Sure",$H166,0)+IF(Settings!$B$47="Not Sure",$I166,0)+IF(Settings!$B$48="Not Sure",$J166,0)+IF(Settings!$B$49="Not Sure",$K166,0)+IF(Settings!$B$50="Not Sure",$L166,0)+IF(Settings!$B$51="Not Sure",$M166,0)+IF(Settings!$B$52="Not Sure",$N166,0)+IF(Settings!$B$53="Not Sure",$O166,0)+IF(Settings!$B$54="Not Sure",$P166,0)+IF(Settings!$B$55="Not Sure",$Q166,0)+IF(Settings!$B$56="Not Sure",$R166,0)</f>
        <v/>
      </c>
      <c r="V166">
        <f>IF($E166="open",SUM($ET166:$FE166)+N(Settings!$B$13),0)</f>
        <v/>
      </c>
      <c r="W166">
        <f>IF($E166="post",$S166,IF($E166="open",$S166-$V166,0))</f>
        <v/>
      </c>
      <c r="X166">
        <f>SUMIFS(Giving!$B$7:$B$2006,Giving!$A$7:$A$2006,"&gt;="&amp;$A166,Giving!$A$7:$A$2006,"&lt;="&amp;$B166,Giving!$E$7:$E$2006,"&lt;&gt;No")</f>
        <v/>
      </c>
      <c r="Y166">
        <f>SUMIFS(Giving!$B$7:$B$2006,Giving!$A$7:$A$2006,"&gt;="&amp;$A166,Giving!$A$7:$A$2006,"&lt;="&amp;$B166,Giving!$E$7:$E$2006,"No")</f>
        <v/>
      </c>
      <c r="Z166">
        <f>IF(OR(Settings!$B$60="",Settings!$F$60="No"),0,Settings!$B$60*IF(AND(IF(Settings!$C$60="",$B166,DATE(YEAR($A166),MONTH($A166),MIN(Settings!$C$60,DAY($B166))))&gt;=MAX($A166,Settings!$D$60),IF(Settings!$C$60="",$B166,DATE(YEAR($A166),MONTH($A166),MIN(Settings!$C$60,DAY($B166))))&lt;=MIN($C166,IF(Settings!$E$60="",$C166,Settings!$E$60))),1,0))+IF(OR(Settings!$B$61="",Settings!$F$61="No"),0,Settings!$B$61*IF(AND(IF(Settings!$C$61="",$B166,DATE(YEAR($A166),MONTH($A166),MIN(Settings!$C$61,DAY($B166))))&gt;=MAX($A166,Settings!$D$61),IF(Settings!$C$61="",$B166,DATE(YEAR($A166),MONTH($A166),MIN(Settings!$C$61,DAY($B166))))&lt;=MIN($C166,IF(Settings!$E$61="",$C166,Settings!$E$61))),1,0))+IF(OR(Settings!$B$62="",Settings!$F$62="No"),0,Settings!$B$62*IF(AND(IF(Settings!$C$62="",$B166,DATE(YEAR($A166),MONTH($A166),MIN(Settings!$C$62,DAY($B166))))&gt;=MAX($A166,Settings!$D$62),IF(Settings!$C$62="",$B166,DATE(YEAR($A166),MONTH($A166),MIN(Settings!$C$62,DAY($B166))))&lt;=MIN($C166,IF(Settings!$E$62="",$C166,Settings!$E$62))),1,0))+IF(OR(Settings!$B$63="",Settings!$F$63="No"),0,Settings!$B$63*IF(AND(IF(Settings!$C$63="",$B166,DATE(YEAR($A166),MONTH($A166),MIN(Settings!$C$63,DAY($B166))))&gt;=MAX($A166,Settings!$D$63),IF(Settings!$C$63="",$B166,DATE(YEAR($A166),MONTH($A166),MIN(Settings!$C$63,DAY($B166))))&lt;=MIN($C166,IF(Settings!$E$63="",$C166,Settings!$E$63))),1,0))+IF(OR(Settings!$B$64="",Settings!$F$64="No"),0,Settings!$B$64*IF(AND(IF(Settings!$C$64="",$B166,DATE(YEAR($A166),MONTH($A166),MIN(Settings!$C$64,DAY($B166))))&gt;=MAX($A166,Settings!$D$64),IF(Settings!$C$64="",$B166,DATE(YEAR($A166),MONTH($A166),MIN(Settings!$C$64,DAY($B166))))&lt;=MIN($C166,IF(Settings!$E$64="",$C166,Settings!$E$64))),1,0))+IF(OR(Settings!$B$65="",Settings!$F$65="No"),0,Settings!$B$65*IF(AND(IF(Settings!$C$65="",$B166,DATE(YEAR($A166),MONTH($A166),MIN(Settings!$C$65,DAY($B166))))&gt;=MAX($A166,Settings!$D$65),IF(Settings!$C$65="",$B166,DATE(YEAR($A166),MONTH($A166),MIN(Settings!$C$65,DAY($B166))))&lt;=MIN($C166,IF(Settings!$E$65="",$C166,Settings!$E$65))),1,0))</f>
        <v/>
      </c>
      <c r="AA166">
        <f>$X166+$Z166</f>
        <v/>
      </c>
      <c r="AB166">
        <f>IF($E166="post",$AA166,IF($E166="open",SUMIFS(Giving!$B$7:$B$2006,Giving!$A$7:$A$2006,"&gt;"&amp;Settings!$B$5,Giving!$A$7:$A$2006,"&lt;="&amp;$B166,Giving!$E$7:$E$2006,"&lt;&gt;No")+IF(OR(Settings!$B$60="",Settings!$F$60="No"),0,Settings!$B$60*IF(AND(IF(Settings!$C$60="",$B166,DATE(YEAR($A166),MONTH($A166),MIN(Settings!$C$60,DAY($B166))))&gt;=MAX($A166,Settings!$D$60,Settings!$B$5+1),IF(Settings!$C$60="",$B166,DATE(YEAR($A166),MONTH($A166),MIN(Settings!$C$60,DAY($B166))))&lt;=MIN($C166,IF(Settings!$E$60="",$C166,Settings!$E$60))),1,0))+IF(OR(Settings!$B$61="",Settings!$F$61="No"),0,Settings!$B$61*IF(AND(IF(Settings!$C$61="",$B166,DATE(YEAR($A166),MONTH($A166),MIN(Settings!$C$61,DAY($B166))))&gt;=MAX($A166,Settings!$D$61,Settings!$B$5+1),IF(Settings!$C$61="",$B166,DATE(YEAR($A166),MONTH($A166),MIN(Settings!$C$61,DAY($B166))))&lt;=MIN($C166,IF(Settings!$E$61="",$C166,Settings!$E$61))),1,0))+IF(OR(Settings!$B$62="",Settings!$F$62="No"),0,Settings!$B$62*IF(AND(IF(Settings!$C$62="",$B166,DATE(YEAR($A166),MONTH($A166),MIN(Settings!$C$62,DAY($B166))))&gt;=MAX($A166,Settings!$D$62,Settings!$B$5+1),IF(Settings!$C$62="",$B166,DATE(YEAR($A166),MONTH($A166),MIN(Settings!$C$62,DAY($B166))))&lt;=MIN($C166,IF(Settings!$E$62="",$C166,Settings!$E$62))),1,0))+IF(OR(Settings!$B$63="",Settings!$F$63="No"),0,Settings!$B$63*IF(AND(IF(Settings!$C$63="",$B166,DATE(YEAR($A166),MONTH($A166),MIN(Settings!$C$63,DAY($B166))))&gt;=MAX($A166,Settings!$D$63,Settings!$B$5+1),IF(Settings!$C$63="",$B166,DATE(YEAR($A166),MONTH($A166),MIN(Settings!$C$63,DAY($B166))))&lt;=MIN($C166,IF(Settings!$E$63="",$C166,Settings!$E$63))),1,0))+IF(OR(Settings!$B$64="",Settings!$F$64="No"),0,Settings!$B$64*IF(AND(IF(Settings!$C$64="",$B166,DATE(YEAR($A166),MONTH($A166),MIN(Settings!$C$64,DAY($B166))))&gt;=MAX($A166,Settings!$D$64,Settings!$B$5+1),IF(Settings!$C$64="",$B166,DATE(YEAR($A166),MONTH($A166),MIN(Settings!$C$64,DAY($B166))))&lt;=MIN($C166,IF(Settings!$E$64="",$C166,Settings!$E$64))),1,0))+IF(OR(Settings!$B$65="",Settings!$F$65="No"),0,Settings!$B$65*IF(AND(IF(Settings!$C$65="",$B166,DATE(YEAR($A166),MONTH($A166),MIN(Settings!$C$65,DAY($B166))))&gt;=MAX($A166,Settings!$D$65,Settings!$B$5+1),IF(Settings!$C$65="",$B166,DATE(YEAR($A166),MONTH($A166),MIN(Settings!$C$65,DAY($B166))))&lt;=MIN($C166,IF(Settings!$E$65="",$C166,Settings!$E$65))),1,0)),0))</f>
        <v/>
      </c>
      <c r="AC166">
        <f>$AY166+$AZ166+$BA166+$BB166+$BC166+$BD166</f>
        <v/>
      </c>
      <c r="AD166">
        <f>$AC166</f>
        <v/>
      </c>
      <c r="AE166">
        <f>IF(OR(Settings!$A$19="",$E166="pre"),"",IF(AND('Month-End'!$FG$7&lt;&gt;"",NOT(_xlfn.ISFORMULA('Month-End'!$FG$7))),N('Month-End'!$FG$7),IF(OR($E166="open",$E165="pre"),N(Settings!$C$19),N($AE165))))</f>
        <v/>
      </c>
      <c r="AF166">
        <f>IF(OR(Settings!$A$20="",$E166="pre"),"",IF(AND('Month-End'!$FG$8&lt;&gt;"",NOT(_xlfn.ISFORMULA('Month-End'!$FG$8))),N('Month-End'!$FG$8),IF(OR($E166="open",$E165="pre"),N(Settings!$C$20),N($AF165))))</f>
        <v/>
      </c>
      <c r="AG166">
        <f>IF(OR(Settings!$A$21="",$E166="pre"),"",IF(AND('Month-End'!$FG$9&lt;&gt;"",NOT(_xlfn.ISFORMULA('Month-End'!$FG$9))),N('Month-End'!$FG$9),IF(OR($E166="open",$E165="pre"),N(Settings!$C$21),N($AG165))))</f>
        <v/>
      </c>
      <c r="AH166">
        <f>IF(OR(Settings!$A$22="",$E166="pre"),"",IF(AND('Month-End'!$FG$10&lt;&gt;"",NOT(_xlfn.ISFORMULA('Month-End'!$FG$10))),N('Month-End'!$FG$10),IF(OR($E166="open",$E165="pre"),N(Settings!$C$22),N($AH165))))</f>
        <v/>
      </c>
      <c r="AI166">
        <f>IF(OR(Settings!$A$23="",$E166="pre"),"",IF(AND('Month-End'!$FG$11&lt;&gt;"",NOT(_xlfn.ISFORMULA('Month-End'!$FG$11))),N('Month-End'!$FG$11),IF(OR($E166="open",$E165="pre"),N(Settings!$C$23),N($AI165))))</f>
        <v/>
      </c>
      <c r="AJ166">
        <f>IF(OR(Settings!$A$24="",$E166="pre"),"",IF(AND('Month-End'!$FG$12&lt;&gt;"",NOT(_xlfn.ISFORMULA('Month-End'!$FG$12))),N('Month-End'!$FG$12),IF(OR($E166="open",$E165="pre"),N(Settings!$C$24),N($AJ165))))</f>
        <v/>
      </c>
      <c r="AK166">
        <f>IF(OR(Settings!$A$25="",$E166="pre"),"",IF(AND('Month-End'!$FG$13&lt;&gt;"",NOT(_xlfn.ISFORMULA('Month-End'!$FG$13))),N('Month-End'!$FG$13),IF(OR($E166="open",$E165="pre"),N(Settings!$C$25),N($AK165))))</f>
        <v/>
      </c>
      <c r="AL166">
        <f>IF(OR(Settings!$A$26="",$E166="pre"),"",IF(AND('Month-End'!$FG$14&lt;&gt;"",NOT(_xlfn.ISFORMULA('Month-End'!$FG$14))),N('Month-End'!$FG$14),IF(OR($E166="open",$E165="pre"),N(Settings!$C$26),N($AL165))))</f>
        <v/>
      </c>
      <c r="AM166">
        <f>IF(OR(Settings!$A$27="",$E166="pre"),"",IF(AND('Month-End'!$FG$15&lt;&gt;"",NOT(_xlfn.ISFORMULA('Month-End'!$FG$15))),N('Month-End'!$FG$15),IF(OR($E166="open",$E165="pre"),N(Settings!$C$27),N($AM165))))</f>
        <v/>
      </c>
      <c r="AN166">
        <f>IF(OR(Settings!$A$28="",$E166="pre"),"",IF(AND('Month-End'!$FG$16&lt;&gt;"",NOT(_xlfn.ISFORMULA('Month-End'!$FG$16))),N('Month-End'!$FG$16),IF(OR($E166="open",$E165="pre"),N(Settings!$C$28),N($AN165))))</f>
        <v/>
      </c>
      <c r="AO166">
        <f>IF(OR(Settings!$A$29="",$E166="pre"),"",IF(AND('Month-End'!$FG$17&lt;&gt;"",NOT(_xlfn.ISFORMULA('Month-End'!$FG$17))),N('Month-End'!$FG$17),IF(OR($E166="open",$E165="pre"),N(Settings!$C$29),N($AO165))))</f>
        <v/>
      </c>
      <c r="AP166">
        <f>IF(OR(Settings!$A$30="",$E166="pre"),"",IF(AND('Month-End'!$FG$18&lt;&gt;"",NOT(_xlfn.ISFORMULA('Month-End'!$FG$18))),N('Month-End'!$FG$18),IF(OR($E166="open",$E165="pre"),N(Settings!$C$30),N($AP165))))</f>
        <v/>
      </c>
      <c r="AQ166">
        <f>IF(OR(Settings!$A$31="",$E166="pre"),"",IF(AND('Month-End'!$FG$19&lt;&gt;"",NOT(_xlfn.ISFORMULA('Month-End'!$FG$19))),N('Month-End'!$FG$19),IF(OR($E166="open",$E165="pre"),N(Settings!$C$31),N($AQ165))))</f>
        <v/>
      </c>
      <c r="AR166">
        <f>IF(OR(Settings!$A$32="",$E166="pre"),"",IF(AND('Month-End'!$FG$20&lt;&gt;"",NOT(_xlfn.ISFORMULA('Month-End'!$FG$20))),N('Month-End'!$FG$20),IF(OR($E166="open",$E165="pre"),N(Settings!$C$32),N($AR165))))</f>
        <v/>
      </c>
      <c r="AS166">
        <f>IF(OR(Settings!$A$36="",$E166="pre"),"",IF(AND('Month-End'!$FG$38&lt;&gt;"",NOT(_xlfn.ISFORMULA('Month-End'!$FG$38))),N('Month-End'!$FG$38),IF(OR($E166="open",$E165="pre"),N(Settings!$C$36),N($AS165))+$AY166))</f>
        <v/>
      </c>
      <c r="AT166">
        <f>IF(OR(Settings!$A$37="",$E166="pre"),"",IF(AND('Month-End'!$FG$39&lt;&gt;"",NOT(_xlfn.ISFORMULA('Month-End'!$FG$39))),N('Month-End'!$FG$39),IF(OR($E166="open",$E165="pre"),N(Settings!$C$37),N($AT165))+$AZ166))</f>
        <v/>
      </c>
      <c r="AU166">
        <f>IF(OR(Settings!$A$38="",$E166="pre"),"",IF(AND('Month-End'!$FG$40&lt;&gt;"",NOT(_xlfn.ISFORMULA('Month-End'!$FG$40))),N('Month-End'!$FG$40),IF(OR($E166="open",$E165="pre"),N(Settings!$C$38),N($AU165))+$BA166))</f>
        <v/>
      </c>
      <c r="AV166">
        <f>IF(OR(Settings!$A$39="",$E166="pre"),"",IF(AND('Month-End'!$FG$41&lt;&gt;"",NOT(_xlfn.ISFORMULA('Month-End'!$FG$41))),N('Month-End'!$FG$41),IF(OR($E166="open",$E165="pre"),N(Settings!$C$39),N($AV165))+$BB166))</f>
        <v/>
      </c>
      <c r="AW166">
        <f>IF(OR(Settings!$A$40="",$E166="pre"),"",IF(AND('Month-End'!$FG$42&lt;&gt;"",NOT(_xlfn.ISFORMULA('Month-End'!$FG$42))),N('Month-End'!$FG$42),IF(OR($E166="open",$E165="pre"),N(Settings!$C$40),N($AW165))+$BC166))</f>
        <v/>
      </c>
      <c r="AX166">
        <f>IF(OR(Settings!$A$41="",$E166="pre"),"",IF(AND('Month-End'!$FG$43&lt;&gt;"",NOT(_xlfn.ISFORMULA('Month-End'!$FG$43))),N('Month-End'!$FG$43),IF(OR($E166="open",$E165="pre"),N(Settings!$C$41),N($AX165))+$BD166))</f>
        <v/>
      </c>
      <c r="AY166">
        <f>IF($E166="pre",0,N('Month-End'!$FG$45))</f>
        <v/>
      </c>
      <c r="AZ166">
        <f>IF($E166="pre",0,N('Month-End'!$FG$46))</f>
        <v/>
      </c>
      <c r="BA166">
        <f>IF($E166="pre",0,N('Month-End'!$FG$47))</f>
        <v/>
      </c>
      <c r="BB166">
        <f>IF($E166="pre",0,N('Month-End'!$FG$48))</f>
        <v/>
      </c>
      <c r="BC166">
        <f>IF($E166="pre",0,N('Month-End'!$FG$49))</f>
        <v/>
      </c>
      <c r="BD166">
        <f>IF($E166="pre",0,N('Month-End'!$FG$50))</f>
        <v/>
      </c>
      <c r="BE166">
        <f>IF(OR(Settings!$C$45="",Settings!$D$45=""),0,Settings!$C$45*IF(Settings!$D$45="Weekly",IF(IFERROR(MATCH(Settings!$E$45,$EO$4:$EO$10,0),0)=0,0,IF(MIN($C166,IF(Settings!$G$45="",$C166,Settings!$G$45))&lt;MAX($A166,Settings!$F$45),0,INT((MIN($C166,IF(Settings!$G$45="",$C166,Settings!$G$45))-MAX($A166,Settings!$F$45)-MOD(IFERROR(MATCH(Settings!$E$45,$EO$4:$EO$10,0),0)-WEEKDAY(MAX($A166,Settings!$F$45)),7))/7)+1)),IF(AND(IF(Settings!$E$45="",$B166,DATE(YEAR($A166),MONTH($A166),MIN(Settings!$E$45,DAY($B166))))&gt;=MAX($A166,Settings!$F$45),IF(Settings!$E$45="",$B166,DATE(YEAR($A166),MONTH($A166),MIN(Settings!$E$45,DAY($B166))))&lt;=MIN($C166,IF(Settings!$G$45="",$C166,Settings!$G$45))),1,0)))</f>
        <v/>
      </c>
      <c r="BF166">
        <f>IF(OR(Settings!$C$46="",Settings!$D$46=""),0,Settings!$C$46*IF(Settings!$D$46="Weekly",IF(IFERROR(MATCH(Settings!$E$46,$EO$4:$EO$10,0),0)=0,0,IF(MIN($C166,IF(Settings!$G$46="",$C166,Settings!$G$46))&lt;MAX($A166,Settings!$F$46),0,INT((MIN($C166,IF(Settings!$G$46="",$C166,Settings!$G$46))-MAX($A166,Settings!$F$46)-MOD(IFERROR(MATCH(Settings!$E$46,$EO$4:$EO$10,0),0)-WEEKDAY(MAX($A166,Settings!$F$46)),7))/7)+1)),IF(AND(IF(Settings!$E$46="",$B166,DATE(YEAR($A166),MONTH($A166),MIN(Settings!$E$46,DAY($B166))))&gt;=MAX($A166,Settings!$F$46),IF(Settings!$E$46="",$B166,DATE(YEAR($A166),MONTH($A166),MIN(Settings!$E$46,DAY($B166))))&lt;=MIN($C166,IF(Settings!$G$46="",$C166,Settings!$G$46))),1,0)))</f>
        <v/>
      </c>
      <c r="BG166">
        <f>IF(OR(Settings!$C$47="",Settings!$D$47=""),0,Settings!$C$47*IF(Settings!$D$47="Weekly",IF(IFERROR(MATCH(Settings!$E$47,$EO$4:$EO$10,0),0)=0,0,IF(MIN($C166,IF(Settings!$G$47="",$C166,Settings!$G$47))&lt;MAX($A166,Settings!$F$47),0,INT((MIN($C166,IF(Settings!$G$47="",$C166,Settings!$G$47))-MAX($A166,Settings!$F$47)-MOD(IFERROR(MATCH(Settings!$E$47,$EO$4:$EO$10,0),0)-WEEKDAY(MAX($A166,Settings!$F$47)),7))/7)+1)),IF(AND(IF(Settings!$E$47="",$B166,DATE(YEAR($A166),MONTH($A166),MIN(Settings!$E$47,DAY($B166))))&gt;=MAX($A166,Settings!$F$47),IF(Settings!$E$47="",$B166,DATE(YEAR($A166),MONTH($A166),MIN(Settings!$E$47,DAY($B166))))&lt;=MIN($C166,IF(Settings!$G$47="",$C166,Settings!$G$47))),1,0)))</f>
        <v/>
      </c>
      <c r="BH166">
        <f>IF(OR(Settings!$C$48="",Settings!$D$48=""),0,Settings!$C$48*IF(Settings!$D$48="Weekly",IF(IFERROR(MATCH(Settings!$E$48,$EO$4:$EO$10,0),0)=0,0,IF(MIN($C166,IF(Settings!$G$48="",$C166,Settings!$G$48))&lt;MAX($A166,Settings!$F$48),0,INT((MIN($C166,IF(Settings!$G$48="",$C166,Settings!$G$48))-MAX($A166,Settings!$F$48)-MOD(IFERROR(MATCH(Settings!$E$48,$EO$4:$EO$10,0),0)-WEEKDAY(MAX($A166,Settings!$F$48)),7))/7)+1)),IF(AND(IF(Settings!$E$48="",$B166,DATE(YEAR($A166),MONTH($A166),MIN(Settings!$E$48,DAY($B166))))&gt;=MAX($A166,Settings!$F$48),IF(Settings!$E$48="",$B166,DATE(YEAR($A166),MONTH($A166),MIN(Settings!$E$48,DAY($B166))))&lt;=MIN($C166,IF(Settings!$G$48="",$C166,Settings!$G$48))),1,0)))</f>
        <v/>
      </c>
      <c r="BI166">
        <f>IF(OR(Settings!$C$49="",Settings!$D$49=""),0,Settings!$C$49*IF(Settings!$D$49="Weekly",IF(IFERROR(MATCH(Settings!$E$49,$EO$4:$EO$10,0),0)=0,0,IF(MIN($C166,IF(Settings!$G$49="",$C166,Settings!$G$49))&lt;MAX($A166,Settings!$F$49),0,INT((MIN($C166,IF(Settings!$G$49="",$C166,Settings!$G$49))-MAX($A166,Settings!$F$49)-MOD(IFERROR(MATCH(Settings!$E$49,$EO$4:$EO$10,0),0)-WEEKDAY(MAX($A166,Settings!$F$49)),7))/7)+1)),IF(AND(IF(Settings!$E$49="",$B166,DATE(YEAR($A166),MONTH($A166),MIN(Settings!$E$49,DAY($B166))))&gt;=MAX($A166,Settings!$F$49),IF(Settings!$E$49="",$B166,DATE(YEAR($A166),MONTH($A166),MIN(Settings!$E$49,DAY($B166))))&lt;=MIN($C166,IF(Settings!$G$49="",$C166,Settings!$G$49))),1,0)))</f>
        <v/>
      </c>
      <c r="BJ166">
        <f>IF(OR(Settings!$C$50="",Settings!$D$50=""),0,Settings!$C$50*IF(Settings!$D$50="Weekly",IF(IFERROR(MATCH(Settings!$E$50,$EO$4:$EO$10,0),0)=0,0,IF(MIN($C166,IF(Settings!$G$50="",$C166,Settings!$G$50))&lt;MAX($A166,Settings!$F$50),0,INT((MIN($C166,IF(Settings!$G$50="",$C166,Settings!$G$50))-MAX($A166,Settings!$F$50)-MOD(IFERROR(MATCH(Settings!$E$50,$EO$4:$EO$10,0),0)-WEEKDAY(MAX($A166,Settings!$F$50)),7))/7)+1)),IF(AND(IF(Settings!$E$50="",$B166,DATE(YEAR($A166),MONTH($A166),MIN(Settings!$E$50,DAY($B166))))&gt;=MAX($A166,Settings!$F$50),IF(Settings!$E$50="",$B166,DATE(YEAR($A166),MONTH($A166),MIN(Settings!$E$50,DAY($B166))))&lt;=MIN($C166,IF(Settings!$G$50="",$C166,Settings!$G$50))),1,0)))</f>
        <v/>
      </c>
      <c r="BK166">
        <f>IF(OR(Settings!$C$51="",Settings!$D$51=""),0,Settings!$C$51*IF(Settings!$D$51="Weekly",IF(IFERROR(MATCH(Settings!$E$51,$EO$4:$EO$10,0),0)=0,0,IF(MIN($C166,IF(Settings!$G$51="",$C166,Settings!$G$51))&lt;MAX($A166,Settings!$F$51),0,INT((MIN($C166,IF(Settings!$G$51="",$C166,Settings!$G$51))-MAX($A166,Settings!$F$51)-MOD(IFERROR(MATCH(Settings!$E$51,$EO$4:$EO$10,0),0)-WEEKDAY(MAX($A166,Settings!$F$51)),7))/7)+1)),IF(AND(IF(Settings!$E$51="",$B166,DATE(YEAR($A166),MONTH($A166),MIN(Settings!$E$51,DAY($B166))))&gt;=MAX($A166,Settings!$F$51),IF(Settings!$E$51="",$B166,DATE(YEAR($A166),MONTH($A166),MIN(Settings!$E$51,DAY($B166))))&lt;=MIN($C166,IF(Settings!$G$51="",$C166,Settings!$G$51))),1,0)))</f>
        <v/>
      </c>
      <c r="BL166">
        <f>IF(OR(Settings!$C$52="",Settings!$D$52=""),0,Settings!$C$52*IF(Settings!$D$52="Weekly",IF(IFERROR(MATCH(Settings!$E$52,$EO$4:$EO$10,0),0)=0,0,IF(MIN($C166,IF(Settings!$G$52="",$C166,Settings!$G$52))&lt;MAX($A166,Settings!$F$52),0,INT((MIN($C166,IF(Settings!$G$52="",$C166,Settings!$G$52))-MAX($A166,Settings!$F$52)-MOD(IFERROR(MATCH(Settings!$E$52,$EO$4:$EO$10,0),0)-WEEKDAY(MAX($A166,Settings!$F$52)),7))/7)+1)),IF(AND(IF(Settings!$E$52="",$B166,DATE(YEAR($A166),MONTH($A166),MIN(Settings!$E$52,DAY($B166))))&gt;=MAX($A166,Settings!$F$52),IF(Settings!$E$52="",$B166,DATE(YEAR($A166),MONTH($A166),MIN(Settings!$E$52,DAY($B166))))&lt;=MIN($C166,IF(Settings!$G$52="",$C166,Settings!$G$52))),1,0)))</f>
        <v/>
      </c>
      <c r="BM166">
        <f>IF(OR(Settings!$C$53="",Settings!$D$53=""),0,Settings!$C$53*IF(Settings!$D$53="Weekly",IF(IFERROR(MATCH(Settings!$E$53,$EO$4:$EO$10,0),0)=0,0,IF(MIN($C166,IF(Settings!$G$53="",$C166,Settings!$G$53))&lt;MAX($A166,Settings!$F$53),0,INT((MIN($C166,IF(Settings!$G$53="",$C166,Settings!$G$53))-MAX($A166,Settings!$F$53)-MOD(IFERROR(MATCH(Settings!$E$53,$EO$4:$EO$10,0),0)-WEEKDAY(MAX($A166,Settings!$F$53)),7))/7)+1)),IF(AND(IF(Settings!$E$53="",$B166,DATE(YEAR($A166),MONTH($A166),MIN(Settings!$E$53,DAY($B166))))&gt;=MAX($A166,Settings!$F$53),IF(Settings!$E$53="",$B166,DATE(YEAR($A166),MONTH($A166),MIN(Settings!$E$53,DAY($B166))))&lt;=MIN($C166,IF(Settings!$G$53="",$C166,Settings!$G$53))),1,0)))</f>
        <v/>
      </c>
      <c r="BN166">
        <f>IF(OR(Settings!$C$54="",Settings!$D$54=""),0,Settings!$C$54*IF(Settings!$D$54="Weekly",IF(IFERROR(MATCH(Settings!$E$54,$EO$4:$EO$10,0),0)=0,0,IF(MIN($C166,IF(Settings!$G$54="",$C166,Settings!$G$54))&lt;MAX($A166,Settings!$F$54),0,INT((MIN($C166,IF(Settings!$G$54="",$C166,Settings!$G$54))-MAX($A166,Settings!$F$54)-MOD(IFERROR(MATCH(Settings!$E$54,$EO$4:$EO$10,0),0)-WEEKDAY(MAX($A166,Settings!$F$54)),7))/7)+1)),IF(AND(IF(Settings!$E$54="",$B166,DATE(YEAR($A166),MONTH($A166),MIN(Settings!$E$54,DAY($B166))))&gt;=MAX($A166,Settings!$F$54),IF(Settings!$E$54="",$B166,DATE(YEAR($A166),MONTH($A166),MIN(Settings!$E$54,DAY($B166))))&lt;=MIN($C166,IF(Settings!$G$54="",$C166,Settings!$G$54))),1,0)))</f>
        <v/>
      </c>
      <c r="BO166">
        <f>IF(OR(Settings!$C$55="",Settings!$D$55=""),0,Settings!$C$55*IF(Settings!$D$55="Weekly",IF(IFERROR(MATCH(Settings!$E$55,$EO$4:$EO$10,0),0)=0,0,IF(MIN($C166,IF(Settings!$G$55="",$C166,Settings!$G$55))&lt;MAX($A166,Settings!$F$55),0,INT((MIN($C166,IF(Settings!$G$55="",$C166,Settings!$G$55))-MAX($A166,Settings!$F$55)-MOD(IFERROR(MATCH(Settings!$E$55,$EO$4:$EO$10,0),0)-WEEKDAY(MAX($A166,Settings!$F$55)),7))/7)+1)),IF(AND(IF(Settings!$E$55="",$B166,DATE(YEAR($A166),MONTH($A166),MIN(Settings!$E$55,DAY($B166))))&gt;=MAX($A166,Settings!$F$55),IF(Settings!$E$55="",$B166,DATE(YEAR($A166),MONTH($A166),MIN(Settings!$E$55,DAY($B166))))&lt;=MIN($C166,IF(Settings!$G$55="",$C166,Settings!$G$55))),1,0)))</f>
        <v/>
      </c>
      <c r="BP166">
        <f>IF(OR(Settings!$C$56="",Settings!$D$56=""),0,Settings!$C$56*IF(Settings!$D$56="Weekly",IF(IFERROR(MATCH(Settings!$E$56,$EO$4:$EO$10,0),0)=0,0,IF(MIN($C166,IF(Settings!$G$56="",$C166,Settings!$G$56))&lt;MAX($A166,Settings!$F$56),0,INT((MIN($C166,IF(Settings!$G$56="",$C166,Settings!$G$56))-MAX($A166,Settings!$F$56)-MOD(IFERROR(MATCH(Settings!$E$56,$EO$4:$EO$10,0),0)-WEEKDAY(MAX($A166,Settings!$F$56)),7))/7)+1)),IF(AND(IF(Settings!$E$56="",$B166,DATE(YEAR($A166),MONTH($A166),MIN(Settings!$E$56,DAY($B166))))&gt;=MAX($A166,Settings!$F$56),IF(Settings!$E$56="",$B166,DATE(YEAR($A166),MONTH($A166),MIN(Settings!$E$56,DAY($B166))))&lt;=MIN($C166,IF(Settings!$G$56="",$C166,Settings!$G$56))),1,0)))</f>
        <v/>
      </c>
      <c r="BQ166">
        <f>IF(OR(Settings!$B$14="",$D166=1,$E166="pre",$A166&lt;IF(Settings!$B$15="",0,Settings!$B$15)),0,Settings!$B$14)</f>
        <v/>
      </c>
      <c r="BR166">
        <f>IF(AND('Month-End'!$FG$7&lt;&gt;"",NOT(_xlfn.ISFORMULA('Month-End'!$FG$7))),1,0)</f>
        <v/>
      </c>
      <c r="BS166">
        <f>IF(AND('Month-End'!$FG$8&lt;&gt;"",NOT(_xlfn.ISFORMULA('Month-End'!$FG$8))),1,0)</f>
        <v/>
      </c>
      <c r="BT166">
        <f>IF(AND('Month-End'!$FG$9&lt;&gt;"",NOT(_xlfn.ISFORMULA('Month-End'!$FG$9))),1,0)</f>
        <v/>
      </c>
      <c r="BU166">
        <f>IF(AND('Month-End'!$FG$10&lt;&gt;"",NOT(_xlfn.ISFORMULA('Month-End'!$FG$10))),1,0)</f>
        <v/>
      </c>
      <c r="BV166">
        <f>IF(AND('Month-End'!$FG$11&lt;&gt;"",NOT(_xlfn.ISFORMULA('Month-End'!$FG$11))),1,0)</f>
        <v/>
      </c>
      <c r="BW166">
        <f>IF(AND('Month-End'!$FG$12&lt;&gt;"",NOT(_xlfn.ISFORMULA('Month-End'!$FG$12))),1,0)</f>
        <v/>
      </c>
      <c r="BX166">
        <f>IF(AND('Month-End'!$FG$13&lt;&gt;"",NOT(_xlfn.ISFORMULA('Month-End'!$FG$13))),1,0)</f>
        <v/>
      </c>
      <c r="BY166">
        <f>IF(AND('Month-End'!$FG$14&lt;&gt;"",NOT(_xlfn.ISFORMULA('Month-End'!$FG$14))),1,0)</f>
        <v/>
      </c>
      <c r="BZ166">
        <f>IF(AND('Month-End'!$FG$15&lt;&gt;"",NOT(_xlfn.ISFORMULA('Month-End'!$FG$15))),1,0)</f>
        <v/>
      </c>
      <c r="CA166">
        <f>IF(AND('Month-End'!$FG$16&lt;&gt;"",NOT(_xlfn.ISFORMULA('Month-End'!$FG$16))),1,0)</f>
        <v/>
      </c>
      <c r="CB166">
        <f>IF(AND('Month-End'!$FG$17&lt;&gt;"",NOT(_xlfn.ISFORMULA('Month-End'!$FG$17))),1,0)</f>
        <v/>
      </c>
      <c r="CC166">
        <f>IF(AND('Month-End'!$FG$18&lt;&gt;"",NOT(_xlfn.ISFORMULA('Month-End'!$FG$18))),1,0)</f>
        <v/>
      </c>
      <c r="CD166">
        <f>IF(AND('Month-End'!$FG$19&lt;&gt;"",NOT(_xlfn.ISFORMULA('Month-End'!$FG$19))),1,0)</f>
        <v/>
      </c>
      <c r="CE166">
        <f>IF(AND('Month-End'!$FG$20&lt;&gt;"",NOT(_xlfn.ISFORMULA('Month-End'!$FG$20))),1,0)</f>
        <v/>
      </c>
      <c r="CF166">
        <f>IF(AND('Month-End'!$FG$38&lt;&gt;"",NOT(_xlfn.ISFORMULA('Month-End'!$FG$38))),1,0)</f>
        <v/>
      </c>
      <c r="CG166">
        <f>IF(AND('Month-End'!$FG$39&lt;&gt;"",NOT(_xlfn.ISFORMULA('Month-End'!$FG$39))),1,0)</f>
        <v/>
      </c>
      <c r="CH166">
        <f>IF(AND('Month-End'!$FG$40&lt;&gt;"",NOT(_xlfn.ISFORMULA('Month-End'!$FG$40))),1,0)</f>
        <v/>
      </c>
      <c r="CI166">
        <f>IF(AND('Month-End'!$FG$41&lt;&gt;"",NOT(_xlfn.ISFORMULA('Month-End'!$FG$41))),1,0)</f>
        <v/>
      </c>
      <c r="CJ166">
        <f>IF(AND('Month-End'!$FG$42&lt;&gt;"",NOT(_xlfn.ISFORMULA('Month-End'!$FG$42))),1,0)</f>
        <v/>
      </c>
      <c r="CK166">
        <f>IF(AND('Month-End'!$FG$43&lt;&gt;"",NOT(_xlfn.ISFORMULA('Month-End'!$FG$43))),1,0)</f>
        <v/>
      </c>
      <c r="CL166">
        <f>SUM($CM166:$CZ166)</f>
        <v/>
      </c>
      <c r="CM166">
        <f>IF(AND($E166&lt;&gt;"pre",AND(Settings!$A$19&lt;&gt;"",Settings!$E$19&lt;&gt;"No"),Settings!$F$19="Yes",NOT(AND('Month-End'!$FG$7&lt;&gt;"",NOT(_xlfn.ISFORMULA('Month-End'!$FG$7))))),1,0)</f>
        <v/>
      </c>
      <c r="CN166">
        <f>IF(AND($E166&lt;&gt;"pre",AND(Settings!$A$20&lt;&gt;"",Settings!$E$20&lt;&gt;"No"),Settings!$F$20="Yes",NOT(AND('Month-End'!$FG$8&lt;&gt;"",NOT(_xlfn.ISFORMULA('Month-End'!$FG$8))))),1,0)</f>
        <v/>
      </c>
      <c r="CO166">
        <f>IF(AND($E166&lt;&gt;"pre",AND(Settings!$A$21&lt;&gt;"",Settings!$E$21&lt;&gt;"No"),Settings!$F$21="Yes",NOT(AND('Month-End'!$FG$9&lt;&gt;"",NOT(_xlfn.ISFORMULA('Month-End'!$FG$9))))),1,0)</f>
        <v/>
      </c>
      <c r="CP166">
        <f>IF(AND($E166&lt;&gt;"pre",AND(Settings!$A$22&lt;&gt;"",Settings!$E$22&lt;&gt;"No"),Settings!$F$22="Yes",NOT(AND('Month-End'!$FG$10&lt;&gt;"",NOT(_xlfn.ISFORMULA('Month-End'!$FG$10))))),1,0)</f>
        <v/>
      </c>
      <c r="CQ166">
        <f>IF(AND($E166&lt;&gt;"pre",AND(Settings!$A$23&lt;&gt;"",Settings!$E$23&lt;&gt;"No"),Settings!$F$23="Yes",NOT(AND('Month-End'!$FG$11&lt;&gt;"",NOT(_xlfn.ISFORMULA('Month-End'!$FG$11))))),1,0)</f>
        <v/>
      </c>
      <c r="CR166">
        <f>IF(AND($E166&lt;&gt;"pre",AND(Settings!$A$24&lt;&gt;"",Settings!$E$24&lt;&gt;"No"),Settings!$F$24="Yes",NOT(AND('Month-End'!$FG$12&lt;&gt;"",NOT(_xlfn.ISFORMULA('Month-End'!$FG$12))))),1,0)</f>
        <v/>
      </c>
      <c r="CS166">
        <f>IF(AND($E166&lt;&gt;"pre",AND(Settings!$A$25&lt;&gt;"",Settings!$E$25&lt;&gt;"No"),Settings!$F$25="Yes",NOT(AND('Month-End'!$FG$13&lt;&gt;"",NOT(_xlfn.ISFORMULA('Month-End'!$FG$13))))),1,0)</f>
        <v/>
      </c>
      <c r="CT166">
        <f>IF(AND($E166&lt;&gt;"pre",AND(Settings!$A$26&lt;&gt;"",Settings!$E$26&lt;&gt;"No"),Settings!$F$26="Yes",NOT(AND('Month-End'!$FG$14&lt;&gt;"",NOT(_xlfn.ISFORMULA('Month-End'!$FG$14))))),1,0)</f>
        <v/>
      </c>
      <c r="CU166">
        <f>IF(AND($E166&lt;&gt;"pre",AND(Settings!$A$27&lt;&gt;"",Settings!$E$27&lt;&gt;"No"),Settings!$F$27="Yes",NOT(AND('Month-End'!$FG$15&lt;&gt;"",NOT(_xlfn.ISFORMULA('Month-End'!$FG$15))))),1,0)</f>
        <v/>
      </c>
      <c r="CV166">
        <f>IF(AND($E166&lt;&gt;"pre",AND(Settings!$A$28&lt;&gt;"",Settings!$E$28&lt;&gt;"No"),Settings!$F$28="Yes",NOT(AND('Month-End'!$FG$16&lt;&gt;"",NOT(_xlfn.ISFORMULA('Month-End'!$FG$16))))),1,0)</f>
        <v/>
      </c>
      <c r="CW166">
        <f>IF(AND($E166&lt;&gt;"pre",AND(Settings!$A$29&lt;&gt;"",Settings!$E$29&lt;&gt;"No"),Settings!$F$29="Yes",NOT(AND('Month-End'!$FG$17&lt;&gt;"",NOT(_xlfn.ISFORMULA('Month-End'!$FG$17))))),1,0)</f>
        <v/>
      </c>
      <c r="CX166">
        <f>IF(AND($E166&lt;&gt;"pre",AND(Settings!$A$30&lt;&gt;"",Settings!$E$30&lt;&gt;"No"),Settings!$F$30="Yes",NOT(AND('Month-End'!$FG$18&lt;&gt;"",NOT(_xlfn.ISFORMULA('Month-End'!$FG$18))))),1,0)</f>
        <v/>
      </c>
      <c r="CY166">
        <f>IF(AND($E166&lt;&gt;"pre",AND(Settings!$A$31&lt;&gt;"",Settings!$E$31&lt;&gt;"No"),Settings!$F$31="Yes",NOT(AND('Month-End'!$FG$19&lt;&gt;"",NOT(_xlfn.ISFORMULA('Month-End'!$FG$19))))),1,0)</f>
        <v/>
      </c>
      <c r="CZ166">
        <f>IF(AND($E166&lt;&gt;"pre",AND(Settings!$A$32&lt;&gt;"",Settings!$E$32&lt;&gt;"No"),Settings!$F$32="Yes",NOT(AND('Month-End'!$FG$20&lt;&gt;"",NOT(_xlfn.ISFORMULA('Month-End'!$FG$20))))),1,0)</f>
        <v/>
      </c>
      <c r="DA166">
        <f>IF($DT166=1,IF(OR(Settings!$B$19="Checking",Settings!$B$19="Savings",Settings!$B$19="Cash"),N($AE166),IF(OR(Settings!$B$19="Card",Settings!$B$19="Loan"),-N($AE166),0))+IF(OR(Settings!$B$20="Checking",Settings!$B$20="Savings",Settings!$B$20="Cash"),N($AF166),IF(OR(Settings!$B$20="Card",Settings!$B$20="Loan"),-N($AF166),0))+IF(OR(Settings!$B$21="Checking",Settings!$B$21="Savings",Settings!$B$21="Cash"),N($AG166),IF(OR(Settings!$B$21="Card",Settings!$B$21="Loan"),-N($AG166),0))+IF(OR(Settings!$B$22="Checking",Settings!$B$22="Savings",Settings!$B$22="Cash"),N($AH166),IF(OR(Settings!$B$22="Card",Settings!$B$22="Loan"),-N($AH166),0))+IF(OR(Settings!$B$23="Checking",Settings!$B$23="Savings",Settings!$B$23="Cash"),N($AI166),IF(OR(Settings!$B$23="Card",Settings!$B$23="Loan"),-N($AI166),0))+IF(OR(Settings!$B$24="Checking",Settings!$B$24="Savings",Settings!$B$24="Cash"),N($AJ166),IF(OR(Settings!$B$24="Card",Settings!$B$24="Loan"),-N($AJ166),0))+IF(OR(Settings!$B$25="Checking",Settings!$B$25="Savings",Settings!$B$25="Cash"),N($AK166),IF(OR(Settings!$B$25="Card",Settings!$B$25="Loan"),-N($AK166),0))+IF(OR(Settings!$B$26="Checking",Settings!$B$26="Savings",Settings!$B$26="Cash"),N($AL166),IF(OR(Settings!$B$26="Card",Settings!$B$26="Loan"),-N($AL166),0))+IF(OR(Settings!$B$27="Checking",Settings!$B$27="Savings",Settings!$B$27="Cash"),N($AM166),IF(OR(Settings!$B$27="Card",Settings!$B$27="Loan"),-N($AM166),0))+IF(OR(Settings!$B$28="Checking",Settings!$B$28="Savings",Settings!$B$28="Cash"),N($AN166),IF(OR(Settings!$B$28="Card",Settings!$B$28="Loan"),-N($AN166),0))+IF(OR(Settings!$B$29="Checking",Settings!$B$29="Savings",Settings!$B$29="Cash"),N($AO166),IF(OR(Settings!$B$29="Card",Settings!$B$29="Loan"),-N($AO166),0))+IF(OR(Settings!$B$30="Checking",Settings!$B$30="Savings",Settings!$B$30="Cash"),N($AP166),IF(OR(Settings!$B$30="Card",Settings!$B$30="Loan"),-N($AP166),0))+IF(OR(Settings!$B$31="Checking",Settings!$B$31="Savings",Settings!$B$31="Cash"),N($AQ166),IF(OR(Settings!$B$31="Card",Settings!$B$31="Loan"),-N($AQ166),0))+IF(OR(Settings!$B$32="Checking",Settings!$B$32="Savings",Settings!$B$32="Cash"),N($AR166),IF(OR(Settings!$B$32="Card",Settings!$B$32="Loan"),-N($AR166),0)),"")</f>
        <v/>
      </c>
      <c r="DB166">
        <f>IF($E166="open",$EB$27,IF($E166="post",IF($E165="pre",$EB$27,$DA165),""))</f>
        <v/>
      </c>
      <c r="DC166">
        <f>IF($E166="open",1,IF($E166="post",IF($E165="pre",1,$DT165),0))</f>
        <v/>
      </c>
      <c r="DD166">
        <f>IF(AND($DT166=1,$DC166=1),ROUND($W166-($DA166-$DB166)-$AD166-$AB166,2),"")</f>
        <v/>
      </c>
      <c r="DE166">
        <f>IF('Month-End'!$FG$35="",$BQ166,N('Month-End'!$FG$35))</f>
        <v/>
      </c>
      <c r="DF166">
        <f>N('Month-End'!$FG$36)</f>
        <v/>
      </c>
      <c r="DG166">
        <f>IF($DD166="","",$DD166+$DE166)</f>
        <v/>
      </c>
      <c r="DH166">
        <f>IF($DG166="","",$DG166-$DF166)</f>
        <v/>
      </c>
      <c r="DI166">
        <f>IF(OR($E166="pre",$D166=1),"",N($AS166)+N($AT166)+N($AU166)+N($AV166)+N($AW166)+N($AX166))</f>
        <v/>
      </c>
      <c r="DJ166">
        <f>IF($DT166=1,$DA166+N($DI166),"")</f>
        <v/>
      </c>
      <c r="DK166">
        <f>IF($DD166="","",$W166-$DD166-$AB166)</f>
        <v/>
      </c>
      <c r="DL166">
        <f>IF(AND($E166="post",$DD166&lt;&gt;"",$B166&lt;TODAY()),1,0)</f>
        <v/>
      </c>
      <c r="DM166">
        <f>IF($DL166=1,COUNTIF($DL166:$DL$183,1),0)</f>
        <v/>
      </c>
      <c r="DN166">
        <f>IF($D166=1,"",IF($E166="pre","History only",IF($DT166=1,IF($DD166="","⚠ Previous month missing",IF($DD166&lt;0,"⚠ Check: spending &lt; 0",IF($E166="open","✓ Done (partial)","✓ Done"))),IF($B166&gt;=TODAY(),"In progress","⚠ Needs balances"))))</f>
        <v/>
      </c>
      <c r="DO166">
        <f>YEAR($A166)</f>
        <v/>
      </c>
      <c r="DP166">
        <f>DATE(YEAR($A166),INT((MONTH($A166)-1)/3)*3+1,1)</f>
        <v/>
      </c>
      <c r="DQ166">
        <f>IF(AND($DT166=1,$DD166&lt;&gt;"",$D166=0),ROW(),0)</f>
        <v/>
      </c>
      <c r="DR166">
        <f>IF(AND($E166&lt;&gt;"pre",$B166&lt;TODAY(),$DT166=0),1,0)</f>
        <v/>
      </c>
      <c r="DS166">
        <f>IF($DJ166="",NA(),$DJ166)</f>
        <v/>
      </c>
      <c r="DT166">
        <f>IF(AND($E166&lt;&gt;"pre",$CL166=0,COUNTIFS(Settings!$F$19:$F$32,"Yes",Settings!$A$19:$A$32,"&lt;&gt;",Settings!$E$19:$E$32,"&lt;&gt;No")&gt;0),1,0)</f>
        <v/>
      </c>
      <c r="DU166">
        <f>IF(AND($B166&lt;TODAY(),$S166&gt;0),1,0)</f>
        <v/>
      </c>
      <c r="DV166">
        <f>IF($DU166=1,COUNTIF($DU166:$DU$183,1),0)</f>
        <v/>
      </c>
      <c r="DW166">
        <f>IF(AND(OR(Settings!$B$19="Card",Settings!$B$19="Loan"),AND('Month-End'!$FG$7&lt;&gt;"",NOT(_xlfn.ISFORMULA('Month-End'!$FG$7)))),IF(N('Month-End'!$FG$7)&lt;0,1,0),0)+IF(AND(OR(Settings!$B$20="Card",Settings!$B$20="Loan"),AND('Month-End'!$FG$8&lt;&gt;"",NOT(_xlfn.ISFORMULA('Month-End'!$FG$8)))),IF(N('Month-End'!$FG$8)&lt;0,1,0),0)+IF(AND(OR(Settings!$B$21="Card",Settings!$B$21="Loan"),AND('Month-End'!$FG$9&lt;&gt;"",NOT(_xlfn.ISFORMULA('Month-End'!$FG$9)))),IF(N('Month-End'!$FG$9)&lt;0,1,0),0)+IF(AND(OR(Settings!$B$22="Card",Settings!$B$22="Loan"),AND('Month-End'!$FG$10&lt;&gt;"",NOT(_xlfn.ISFORMULA('Month-End'!$FG$10)))),IF(N('Month-End'!$FG$10)&lt;0,1,0),0)+IF(AND(OR(Settings!$B$23="Card",Settings!$B$23="Loan"),AND('Month-End'!$FG$11&lt;&gt;"",NOT(_xlfn.ISFORMULA('Month-End'!$FG$11)))),IF(N('Month-End'!$FG$11)&lt;0,1,0),0)+IF(AND(OR(Settings!$B$24="Card",Settings!$B$24="Loan"),AND('Month-End'!$FG$12&lt;&gt;"",NOT(_xlfn.ISFORMULA('Month-End'!$FG$12)))),IF(N('Month-End'!$FG$12)&lt;0,1,0),0)+IF(AND(OR(Settings!$B$25="Card",Settings!$B$25="Loan"),AND('Month-End'!$FG$13&lt;&gt;"",NOT(_xlfn.ISFORMULA('Month-End'!$FG$13)))),IF(N('Month-End'!$FG$13)&lt;0,1,0),0)+IF(AND(OR(Settings!$B$26="Card",Settings!$B$26="Loan"),AND('Month-End'!$FG$14&lt;&gt;"",NOT(_xlfn.ISFORMULA('Month-End'!$FG$14)))),IF(N('Month-End'!$FG$14)&lt;0,1,0),0)+IF(AND(OR(Settings!$B$27="Card",Settings!$B$27="Loan"),AND('Month-End'!$FG$15&lt;&gt;"",NOT(_xlfn.ISFORMULA('Month-End'!$FG$15)))),IF(N('Month-End'!$FG$15)&lt;0,1,0),0)+IF(AND(OR(Settings!$B$28="Card",Settings!$B$28="Loan"),AND('Month-End'!$FG$16&lt;&gt;"",NOT(_xlfn.ISFORMULA('Month-End'!$FG$16)))),IF(N('Month-End'!$FG$16)&lt;0,1,0),0)+IF(AND(OR(Settings!$B$29="Card",Settings!$B$29="Loan"),AND('Month-End'!$FG$17&lt;&gt;"",NOT(_xlfn.ISFORMULA('Month-End'!$FG$17)))),IF(N('Month-End'!$FG$17)&lt;0,1,0),0)+IF(AND(OR(Settings!$B$30="Card",Settings!$B$30="Loan"),AND('Month-End'!$FG$18&lt;&gt;"",NOT(_xlfn.ISFORMULA('Month-End'!$FG$18)))),IF(N('Month-End'!$FG$18)&lt;0,1,0),0)+IF(AND(OR(Settings!$B$31="Card",Settings!$B$31="Loan"),AND('Month-End'!$FG$19&lt;&gt;"",NOT(_xlfn.ISFORMULA('Month-End'!$FG$19)))),IF(N('Month-End'!$FG$19)&lt;0,1,0),0)+IF(AND(OR(Settings!$B$32="Card",Settings!$B$32="Loan"),AND('Month-End'!$FG$20&lt;&gt;"",NOT(_xlfn.ISFORMULA('Month-End'!$FG$20)))),IF(N('Month-End'!$FG$20)&lt;0,1,0),0)</f>
        <v/>
      </c>
      <c r="DX166">
        <f>IF(Settings!$B$36="Retirement",$AY166,0)+IF(Settings!$B$37="Retirement",$AZ166,0)+IF(Settings!$B$38="Retirement",$BA166,0)+IF(Settings!$B$39="Retirement",$BB166,0)+IF(Settings!$B$40="Retirement",$BC166,0)+IF(Settings!$B$41="Retirement",$BD166,0)</f>
        <v/>
      </c>
      <c r="ET166">
        <f>IF($E166&lt;&gt;"open",0,IF(AND('Month-End'!$FG$22&lt;&gt;"",NOT(_xlfn.ISFORMULA('Month-End'!$FG$22))),0,IF(OR(Settings!$C$45="",Settings!$D$45=""),0,Settings!$C$45*IF(Settings!$D$45="Weekly",IF(IFERROR(MATCH(Settings!$E$45,$EO$4:$EO$10,0),0)=0,0,IF(MIN(Settings!$B$5,IF(Settings!$G$45="",Settings!$B$5,Settings!$G$45))&lt;MAX($A166,Settings!$F$45),0,INT((MIN(Settings!$B$5,IF(Settings!$G$45="",Settings!$B$5,Settings!$G$45))-MAX($A166,Settings!$F$45)-MOD(IFERROR(MATCH(Settings!$E$45,$EO$4:$EO$10,0),0)-WEEKDAY(MAX($A166,Settings!$F$45)),7))/7)+1)),IF(AND(IF(Settings!$E$45="",$B166,DATE(YEAR($A166),MONTH($A166),MIN(Settings!$E$45,DAY($B166))))&gt;=MAX($A166,Settings!$F$45),IF(Settings!$E$45="",$B166,DATE(YEAR($A166),MONTH($A166),MIN(Settings!$E$45,DAY($B166))))&lt;=MIN(Settings!$B$5,IF(Settings!$G$45="",Settings!$B$5,Settings!$G$45))),1,0)))))</f>
        <v/>
      </c>
      <c r="EU166">
        <f>IF($E166&lt;&gt;"open",0,IF(AND('Month-End'!$FG$23&lt;&gt;"",NOT(_xlfn.ISFORMULA('Month-End'!$FG$23))),0,IF(OR(Settings!$C$46="",Settings!$D$46=""),0,Settings!$C$46*IF(Settings!$D$46="Weekly",IF(IFERROR(MATCH(Settings!$E$46,$EO$4:$EO$10,0),0)=0,0,IF(MIN(Settings!$B$5,IF(Settings!$G$46="",Settings!$B$5,Settings!$G$46))&lt;MAX($A166,Settings!$F$46),0,INT((MIN(Settings!$B$5,IF(Settings!$G$46="",Settings!$B$5,Settings!$G$46))-MAX($A166,Settings!$F$46)-MOD(IFERROR(MATCH(Settings!$E$46,$EO$4:$EO$10,0),0)-WEEKDAY(MAX($A166,Settings!$F$46)),7))/7)+1)),IF(AND(IF(Settings!$E$46="",$B166,DATE(YEAR($A166),MONTH($A166),MIN(Settings!$E$46,DAY($B166))))&gt;=MAX($A166,Settings!$F$46),IF(Settings!$E$46="",$B166,DATE(YEAR($A166),MONTH($A166),MIN(Settings!$E$46,DAY($B166))))&lt;=MIN(Settings!$B$5,IF(Settings!$G$46="",Settings!$B$5,Settings!$G$46))),1,0)))))</f>
        <v/>
      </c>
      <c r="EV166">
        <f>IF($E166&lt;&gt;"open",0,IF(AND('Month-End'!$FG$24&lt;&gt;"",NOT(_xlfn.ISFORMULA('Month-End'!$FG$24))),0,IF(OR(Settings!$C$47="",Settings!$D$47=""),0,Settings!$C$47*IF(Settings!$D$47="Weekly",IF(IFERROR(MATCH(Settings!$E$47,$EO$4:$EO$10,0),0)=0,0,IF(MIN(Settings!$B$5,IF(Settings!$G$47="",Settings!$B$5,Settings!$G$47))&lt;MAX($A166,Settings!$F$47),0,INT((MIN(Settings!$B$5,IF(Settings!$G$47="",Settings!$B$5,Settings!$G$47))-MAX($A166,Settings!$F$47)-MOD(IFERROR(MATCH(Settings!$E$47,$EO$4:$EO$10,0),0)-WEEKDAY(MAX($A166,Settings!$F$47)),7))/7)+1)),IF(AND(IF(Settings!$E$47="",$B166,DATE(YEAR($A166),MONTH($A166),MIN(Settings!$E$47,DAY($B166))))&gt;=MAX($A166,Settings!$F$47),IF(Settings!$E$47="",$B166,DATE(YEAR($A166),MONTH($A166),MIN(Settings!$E$47,DAY($B166))))&lt;=MIN(Settings!$B$5,IF(Settings!$G$47="",Settings!$B$5,Settings!$G$47))),1,0)))))</f>
        <v/>
      </c>
      <c r="EW166">
        <f>IF($E166&lt;&gt;"open",0,IF(AND('Month-End'!$FG$25&lt;&gt;"",NOT(_xlfn.ISFORMULA('Month-End'!$FG$25))),0,IF(OR(Settings!$C$48="",Settings!$D$48=""),0,Settings!$C$48*IF(Settings!$D$48="Weekly",IF(IFERROR(MATCH(Settings!$E$48,$EO$4:$EO$10,0),0)=0,0,IF(MIN(Settings!$B$5,IF(Settings!$G$48="",Settings!$B$5,Settings!$G$48))&lt;MAX($A166,Settings!$F$48),0,INT((MIN(Settings!$B$5,IF(Settings!$G$48="",Settings!$B$5,Settings!$G$48))-MAX($A166,Settings!$F$48)-MOD(IFERROR(MATCH(Settings!$E$48,$EO$4:$EO$10,0),0)-WEEKDAY(MAX($A166,Settings!$F$48)),7))/7)+1)),IF(AND(IF(Settings!$E$48="",$B166,DATE(YEAR($A166),MONTH($A166),MIN(Settings!$E$48,DAY($B166))))&gt;=MAX($A166,Settings!$F$48),IF(Settings!$E$48="",$B166,DATE(YEAR($A166),MONTH($A166),MIN(Settings!$E$48,DAY($B166))))&lt;=MIN(Settings!$B$5,IF(Settings!$G$48="",Settings!$B$5,Settings!$G$48))),1,0)))))</f>
        <v/>
      </c>
      <c r="EX166">
        <f>IF($E166&lt;&gt;"open",0,IF(AND('Month-End'!$FG$26&lt;&gt;"",NOT(_xlfn.ISFORMULA('Month-End'!$FG$26))),0,IF(OR(Settings!$C$49="",Settings!$D$49=""),0,Settings!$C$49*IF(Settings!$D$49="Weekly",IF(IFERROR(MATCH(Settings!$E$49,$EO$4:$EO$10,0),0)=0,0,IF(MIN(Settings!$B$5,IF(Settings!$G$49="",Settings!$B$5,Settings!$G$49))&lt;MAX($A166,Settings!$F$49),0,INT((MIN(Settings!$B$5,IF(Settings!$G$49="",Settings!$B$5,Settings!$G$49))-MAX($A166,Settings!$F$49)-MOD(IFERROR(MATCH(Settings!$E$49,$EO$4:$EO$10,0),0)-WEEKDAY(MAX($A166,Settings!$F$49)),7))/7)+1)),IF(AND(IF(Settings!$E$49="",$B166,DATE(YEAR($A166),MONTH($A166),MIN(Settings!$E$49,DAY($B166))))&gt;=MAX($A166,Settings!$F$49),IF(Settings!$E$49="",$B166,DATE(YEAR($A166),MONTH($A166),MIN(Settings!$E$49,DAY($B166))))&lt;=MIN(Settings!$B$5,IF(Settings!$G$49="",Settings!$B$5,Settings!$G$49))),1,0)))))</f>
        <v/>
      </c>
      <c r="EY166">
        <f>IF($E166&lt;&gt;"open",0,IF(AND('Month-End'!$FG$27&lt;&gt;"",NOT(_xlfn.ISFORMULA('Month-End'!$FG$27))),0,IF(OR(Settings!$C$50="",Settings!$D$50=""),0,Settings!$C$50*IF(Settings!$D$50="Weekly",IF(IFERROR(MATCH(Settings!$E$50,$EO$4:$EO$10,0),0)=0,0,IF(MIN(Settings!$B$5,IF(Settings!$G$50="",Settings!$B$5,Settings!$G$50))&lt;MAX($A166,Settings!$F$50),0,INT((MIN(Settings!$B$5,IF(Settings!$G$50="",Settings!$B$5,Settings!$G$50))-MAX($A166,Settings!$F$50)-MOD(IFERROR(MATCH(Settings!$E$50,$EO$4:$EO$10,0),0)-WEEKDAY(MAX($A166,Settings!$F$50)),7))/7)+1)),IF(AND(IF(Settings!$E$50="",$B166,DATE(YEAR($A166),MONTH($A166),MIN(Settings!$E$50,DAY($B166))))&gt;=MAX($A166,Settings!$F$50),IF(Settings!$E$50="",$B166,DATE(YEAR($A166),MONTH($A166),MIN(Settings!$E$50,DAY($B166))))&lt;=MIN(Settings!$B$5,IF(Settings!$G$50="",Settings!$B$5,Settings!$G$50))),1,0)))))</f>
        <v/>
      </c>
      <c r="EZ166">
        <f>IF($E166&lt;&gt;"open",0,IF(AND('Month-End'!$FG$28&lt;&gt;"",NOT(_xlfn.ISFORMULA('Month-End'!$FG$28))),0,IF(OR(Settings!$C$51="",Settings!$D$51=""),0,Settings!$C$51*IF(Settings!$D$51="Weekly",IF(IFERROR(MATCH(Settings!$E$51,$EO$4:$EO$10,0),0)=0,0,IF(MIN(Settings!$B$5,IF(Settings!$G$51="",Settings!$B$5,Settings!$G$51))&lt;MAX($A166,Settings!$F$51),0,INT((MIN(Settings!$B$5,IF(Settings!$G$51="",Settings!$B$5,Settings!$G$51))-MAX($A166,Settings!$F$51)-MOD(IFERROR(MATCH(Settings!$E$51,$EO$4:$EO$10,0),0)-WEEKDAY(MAX($A166,Settings!$F$51)),7))/7)+1)),IF(AND(IF(Settings!$E$51="",$B166,DATE(YEAR($A166),MONTH($A166),MIN(Settings!$E$51,DAY($B166))))&gt;=MAX($A166,Settings!$F$51),IF(Settings!$E$51="",$B166,DATE(YEAR($A166),MONTH($A166),MIN(Settings!$E$51,DAY($B166))))&lt;=MIN(Settings!$B$5,IF(Settings!$G$51="",Settings!$B$5,Settings!$G$51))),1,0)))))</f>
        <v/>
      </c>
      <c r="FA166">
        <f>IF($E166&lt;&gt;"open",0,IF(AND('Month-End'!$FG$29&lt;&gt;"",NOT(_xlfn.ISFORMULA('Month-End'!$FG$29))),0,IF(OR(Settings!$C$52="",Settings!$D$52=""),0,Settings!$C$52*IF(Settings!$D$52="Weekly",IF(IFERROR(MATCH(Settings!$E$52,$EO$4:$EO$10,0),0)=0,0,IF(MIN(Settings!$B$5,IF(Settings!$G$52="",Settings!$B$5,Settings!$G$52))&lt;MAX($A166,Settings!$F$52),0,INT((MIN(Settings!$B$5,IF(Settings!$G$52="",Settings!$B$5,Settings!$G$52))-MAX($A166,Settings!$F$52)-MOD(IFERROR(MATCH(Settings!$E$52,$EO$4:$EO$10,0),0)-WEEKDAY(MAX($A166,Settings!$F$52)),7))/7)+1)),IF(AND(IF(Settings!$E$52="",$B166,DATE(YEAR($A166),MONTH($A166),MIN(Settings!$E$52,DAY($B166))))&gt;=MAX($A166,Settings!$F$52),IF(Settings!$E$52="",$B166,DATE(YEAR($A166),MONTH($A166),MIN(Settings!$E$52,DAY($B166))))&lt;=MIN(Settings!$B$5,IF(Settings!$G$52="",Settings!$B$5,Settings!$G$52))),1,0)))))</f>
        <v/>
      </c>
      <c r="FB166">
        <f>IF($E166&lt;&gt;"open",0,IF(AND('Month-End'!$FG$30&lt;&gt;"",NOT(_xlfn.ISFORMULA('Month-End'!$FG$30))),0,IF(OR(Settings!$C$53="",Settings!$D$53=""),0,Settings!$C$53*IF(Settings!$D$53="Weekly",IF(IFERROR(MATCH(Settings!$E$53,$EO$4:$EO$10,0),0)=0,0,IF(MIN(Settings!$B$5,IF(Settings!$G$53="",Settings!$B$5,Settings!$G$53))&lt;MAX($A166,Settings!$F$53),0,INT((MIN(Settings!$B$5,IF(Settings!$G$53="",Settings!$B$5,Settings!$G$53))-MAX($A166,Settings!$F$53)-MOD(IFERROR(MATCH(Settings!$E$53,$EO$4:$EO$10,0),0)-WEEKDAY(MAX($A166,Settings!$F$53)),7))/7)+1)),IF(AND(IF(Settings!$E$53="",$B166,DATE(YEAR($A166),MONTH($A166),MIN(Settings!$E$53,DAY($B166))))&gt;=MAX($A166,Settings!$F$53),IF(Settings!$E$53="",$B166,DATE(YEAR($A166),MONTH($A166),MIN(Settings!$E$53,DAY($B166))))&lt;=MIN(Settings!$B$5,IF(Settings!$G$53="",Settings!$B$5,Settings!$G$53))),1,0)))))</f>
        <v/>
      </c>
      <c r="FC166">
        <f>IF($E166&lt;&gt;"open",0,IF(AND('Month-End'!$FG$31&lt;&gt;"",NOT(_xlfn.ISFORMULA('Month-End'!$FG$31))),0,IF(OR(Settings!$C$54="",Settings!$D$54=""),0,Settings!$C$54*IF(Settings!$D$54="Weekly",IF(IFERROR(MATCH(Settings!$E$54,$EO$4:$EO$10,0),0)=0,0,IF(MIN(Settings!$B$5,IF(Settings!$G$54="",Settings!$B$5,Settings!$G$54))&lt;MAX($A166,Settings!$F$54),0,INT((MIN(Settings!$B$5,IF(Settings!$G$54="",Settings!$B$5,Settings!$G$54))-MAX($A166,Settings!$F$54)-MOD(IFERROR(MATCH(Settings!$E$54,$EO$4:$EO$10,0),0)-WEEKDAY(MAX($A166,Settings!$F$54)),7))/7)+1)),IF(AND(IF(Settings!$E$54="",$B166,DATE(YEAR($A166),MONTH($A166),MIN(Settings!$E$54,DAY($B166))))&gt;=MAX($A166,Settings!$F$54),IF(Settings!$E$54="",$B166,DATE(YEAR($A166),MONTH($A166),MIN(Settings!$E$54,DAY($B166))))&lt;=MIN(Settings!$B$5,IF(Settings!$G$54="",Settings!$B$5,Settings!$G$54))),1,0)))))</f>
        <v/>
      </c>
      <c r="FD166">
        <f>IF($E166&lt;&gt;"open",0,IF(AND('Month-End'!$FG$32&lt;&gt;"",NOT(_xlfn.ISFORMULA('Month-End'!$FG$32))),0,IF(OR(Settings!$C$55="",Settings!$D$55=""),0,Settings!$C$55*IF(Settings!$D$55="Weekly",IF(IFERROR(MATCH(Settings!$E$55,$EO$4:$EO$10,0),0)=0,0,IF(MIN(Settings!$B$5,IF(Settings!$G$55="",Settings!$B$5,Settings!$G$55))&lt;MAX($A166,Settings!$F$55),0,INT((MIN(Settings!$B$5,IF(Settings!$G$55="",Settings!$B$5,Settings!$G$55))-MAX($A166,Settings!$F$55)-MOD(IFERROR(MATCH(Settings!$E$55,$EO$4:$EO$10,0),0)-WEEKDAY(MAX($A166,Settings!$F$55)),7))/7)+1)),IF(AND(IF(Settings!$E$55="",$B166,DATE(YEAR($A166),MONTH($A166),MIN(Settings!$E$55,DAY($B166))))&gt;=MAX($A166,Settings!$F$55),IF(Settings!$E$55="",$B166,DATE(YEAR($A166),MONTH($A166),MIN(Settings!$E$55,DAY($B166))))&lt;=MIN(Settings!$B$5,IF(Settings!$G$55="",Settings!$B$5,Settings!$G$55))),1,0)))))</f>
        <v/>
      </c>
      <c r="FE166">
        <f>IF($E166&lt;&gt;"open",0,IF(AND('Month-End'!$FG$33&lt;&gt;"",NOT(_xlfn.ISFORMULA('Month-End'!$FG$33))),0,IF(OR(Settings!$C$56="",Settings!$D$56=""),0,Settings!$C$56*IF(Settings!$D$56="Weekly",IF(IFERROR(MATCH(Settings!$E$56,$EO$4:$EO$10,0),0)=0,0,IF(MIN(Settings!$B$5,IF(Settings!$G$56="",Settings!$B$5,Settings!$G$56))&lt;MAX($A166,Settings!$F$56),0,INT((MIN(Settings!$B$5,IF(Settings!$G$56="",Settings!$B$5,Settings!$G$56))-MAX($A166,Settings!$F$56)-MOD(IFERROR(MATCH(Settings!$E$56,$EO$4:$EO$10,0),0)-WEEKDAY(MAX($A166,Settings!$F$56)),7))/7)+1)),IF(AND(IF(Settings!$E$56="",$B166,DATE(YEAR($A166),MONTH($A166),MIN(Settings!$E$56,DAY($B166))))&gt;=MAX($A166,Settings!$F$56),IF(Settings!$E$56="",$B166,DATE(YEAR($A166),MONTH($A166),MIN(Settings!$E$56,DAY($B166))))&lt;=MIN(Settings!$B$5,IF(Settings!$G$56="",Settings!$B$5,Settings!$G$56))),1,0)))))</f>
        <v/>
      </c>
      <c r="FF166">
        <f>IF(Settings!$I$45="Yes",$G166,0)+IF(Settings!$I$46="Yes",$H166,0)+IF(Settings!$I$47="Yes",$I166,0)+IF(Settings!$I$48="Yes",$J166,0)+IF(Settings!$I$49="Yes",$K166,0)+IF(Settings!$I$50="Yes",$L166,0)+IF(Settings!$I$51="Yes",$M166,0)+IF(Settings!$I$52="Yes",$N166,0)+IF(Settings!$I$53="Yes",$O166,0)+IF(Settings!$I$54="Yes",$P166,0)+IF(Settings!$I$55="Yes",$Q166,0)+IF(Settings!$I$56="Yes",$R166,0)</f>
        <v/>
      </c>
      <c r="FG166">
        <f>IF(AND(Settings!$I$45="Yes",Settings!$J$45="No"),$G166,0)+IF(AND(Settings!$I$46="Yes",Settings!$J$46="No"),$H166,0)+IF(AND(Settings!$I$47="Yes",Settings!$J$47="No"),$I166,0)+IF(AND(Settings!$I$48="Yes",Settings!$J$48="No"),$J166,0)+IF(AND(Settings!$I$49="Yes",Settings!$J$49="No"),$K166,0)+IF(AND(Settings!$I$50="Yes",Settings!$J$50="No"),$L166,0)+IF(AND(Settings!$I$51="Yes",Settings!$J$51="No"),$M166,0)+IF(AND(Settings!$I$52="Yes",Settings!$J$52="No"),$N166,0)+IF(AND(Settings!$I$53="Yes",Settings!$J$53="No"),$O166,0)+IF(AND(Settings!$I$54="Yes",Settings!$J$54="No"),$P166,0)+IF(AND(Settings!$I$55="Yes",Settings!$J$55="No"),$Q166,0)+IF(AND(Settings!$I$56="Yes",Settings!$J$56="No"),$R166,0)</f>
        <v/>
      </c>
      <c r="FH166">
        <f>SUMIFS(Giving!$B$7:$B$2006,Giving!$A$7:$A$2006,"&gt;="&amp;$A166,Giving!$A$7:$A$2006,"&lt;="&amp;$B166,Giving!$G$7:$G$2006,"Yes")+IF(OR(OR(Settings!$B$60="",Settings!$F$60="No"),Settings!$H$60&lt;&gt;"Yes"),0,Settings!$B$60*IF(AND(IF(Settings!$C$60="",$B166,DATE(YEAR($A166),MONTH($A166),MIN(Settings!$C$60,DAY($B166))))&gt;=MAX($A166,Settings!$D$60),IF(Settings!$C$60="",$B166,DATE(YEAR($A166),MONTH($A166),MIN(Settings!$C$60,DAY($B166))))&lt;=MIN($C166,IF(Settings!$E$60="",$C166,Settings!$E$60))),1,0))+IF(OR(OR(Settings!$B$61="",Settings!$F$61="No"),Settings!$H$61&lt;&gt;"Yes"),0,Settings!$B$61*IF(AND(IF(Settings!$C$61="",$B166,DATE(YEAR($A166),MONTH($A166),MIN(Settings!$C$61,DAY($B166))))&gt;=MAX($A166,Settings!$D$61),IF(Settings!$C$61="",$B166,DATE(YEAR($A166),MONTH($A166),MIN(Settings!$C$61,DAY($B166))))&lt;=MIN($C166,IF(Settings!$E$61="",$C166,Settings!$E$61))),1,0))+IF(OR(OR(Settings!$B$62="",Settings!$F$62="No"),Settings!$H$62&lt;&gt;"Yes"),0,Settings!$B$62*IF(AND(IF(Settings!$C$62="",$B166,DATE(YEAR($A166),MONTH($A166),MIN(Settings!$C$62,DAY($B166))))&gt;=MAX($A166,Settings!$D$62),IF(Settings!$C$62="",$B166,DATE(YEAR($A166),MONTH($A166),MIN(Settings!$C$62,DAY($B166))))&lt;=MIN($C166,IF(Settings!$E$62="",$C166,Settings!$E$62))),1,0))+IF(OR(OR(Settings!$B$63="",Settings!$F$63="No"),Settings!$H$63&lt;&gt;"Yes"),0,Settings!$B$63*IF(AND(IF(Settings!$C$63="",$B166,DATE(YEAR($A166),MONTH($A166),MIN(Settings!$C$63,DAY($B166))))&gt;=MAX($A166,Settings!$D$63),IF(Settings!$C$63="",$B166,DATE(YEAR($A166),MONTH($A166),MIN(Settings!$C$63,DAY($B166))))&lt;=MIN($C166,IF(Settings!$E$63="",$C166,Settings!$E$63))),1,0))+IF(OR(OR(Settings!$B$64="",Settings!$F$64="No"),Settings!$H$64&lt;&gt;"Yes"),0,Settings!$B$64*IF(AND(IF(Settings!$C$64="",$B166,DATE(YEAR($A166),MONTH($A166),MIN(Settings!$C$64,DAY($B166))))&gt;=MAX($A166,Settings!$D$64),IF(Settings!$C$64="",$B166,DATE(YEAR($A166),MONTH($A166),MIN(Settings!$C$64,DAY($B166))))&lt;=MIN($C166,IF(Settings!$E$64="",$C166,Settings!$E$64))),1,0))+IF(OR(OR(Settings!$B$65="",Settings!$F$65="No"),Settings!$H$65&lt;&gt;"Yes"),0,Settings!$B$65*IF(AND(IF(Settings!$C$65="",$B166,DATE(YEAR($A166),MONTH($A166),MIN(Settings!$C$65,DAY($B166))))&gt;=MAX($A166,Settings!$D$65),IF(Settings!$C$65="",$B166,DATE(YEAR($A166),MONTH($A166),MIN(Settings!$C$65,DAY($B166))))&lt;=MIN($C166,IF(Settings!$E$65="",$C166,Settings!$E$65))),1,0))</f>
        <v/>
      </c>
      <c r="FI166">
        <f>IF($DT166=1,IF(OR(Settings!$B$19="Card",Settings!$B$19="Loan"),N($AE166),0)+IF(OR(Settings!$B$20="Card",Settings!$B$20="Loan"),N($AF166),0)+IF(OR(Settings!$B$21="Card",Settings!$B$21="Loan"),N($AG166),0)+IF(OR(Settings!$B$22="Card",Settings!$B$22="Loan"),N($AH166),0)+IF(OR(Settings!$B$23="Card",Settings!$B$23="Loan"),N($AI166),0)+IF(OR(Settings!$B$24="Card",Settings!$B$24="Loan"),N($AJ166),0)+IF(OR(Settings!$B$25="Card",Settings!$B$25="Loan"),N($AK166),0)+IF(OR(Settings!$B$26="Card",Settings!$B$26="Loan"),N($AL166),0)+IF(OR(Settings!$B$27="Card",Settings!$B$27="Loan"),N($AM166),0)+IF(OR(Settings!$B$28="Card",Settings!$B$28="Loan"),N($AN166),0)+IF(OR(Settings!$B$29="Card",Settings!$B$29="Loan"),N($AO166),0)+IF(OR(Settings!$B$30="Card",Settings!$B$30="Loan"),N($AP166),0)+IF(OR(Settings!$B$31="Card",Settings!$B$31="Loan"),N($AQ166),0)+IF(OR(Settings!$B$32="Card",Settings!$B$32="Loan"),N($AR166),0),"")</f>
        <v/>
      </c>
      <c r="FJ166">
        <f>IF($E166="open",$EB$65,IF($E166="post",IF($E165="pre",$EB$65,$FI165),""))</f>
        <v/>
      </c>
      <c r="FK166">
        <f>IF(AND($DT166=1,$DC166=1),IF(ROUND($FI166-$FJ166,2)&gt;0,1,0),0)</f>
        <v/>
      </c>
      <c r="FL166">
        <f>IF($FK166=1,$FL165+1,0)</f>
        <v/>
      </c>
    </row>
    <row r="167">
      <c r="A167">
        <f>'Month-End'!$FH$4</f>
        <v/>
      </c>
      <c r="B167">
        <f>EOMONTH($A167,0)</f>
        <v/>
      </c>
      <c r="C167">
        <f>MIN($B167,TODAY())</f>
        <v/>
      </c>
      <c r="D167">
        <f>IF($A167&gt;TODAY(),1,0)</f>
        <v/>
      </c>
      <c r="E167">
        <f>IF($B167&lt;=Settings!$B$5,"pre",IF($A167&lt;=Settings!$B$5,"open","post"))</f>
        <v/>
      </c>
      <c r="G167">
        <f>IF('Month-End'!$FH$22="",$BE167,N('Month-End'!$FH$22))</f>
        <v/>
      </c>
      <c r="H167">
        <f>IF('Month-End'!$FH$23="",$BF167,N('Month-End'!$FH$23))</f>
        <v/>
      </c>
      <c r="I167">
        <f>IF('Month-End'!$FH$24="",$BG167,N('Month-End'!$FH$24))</f>
        <v/>
      </c>
      <c r="J167">
        <f>IF('Month-End'!$FH$25="",$BH167,N('Month-End'!$FH$25))</f>
        <v/>
      </c>
      <c r="K167">
        <f>IF('Month-End'!$FH$26="",$BI167,N('Month-End'!$FH$26))</f>
        <v/>
      </c>
      <c r="L167">
        <f>IF('Month-End'!$FH$27="",$BJ167,N('Month-End'!$FH$27))</f>
        <v/>
      </c>
      <c r="M167">
        <f>IF('Month-End'!$FH$28="",$BK167,N('Month-End'!$FH$28))</f>
        <v/>
      </c>
      <c r="N167">
        <f>IF('Month-End'!$FH$29="",$BL167,N('Month-End'!$FH$29))</f>
        <v/>
      </c>
      <c r="O167">
        <f>IF('Month-End'!$FH$30="",$BM167,N('Month-End'!$FH$30))</f>
        <v/>
      </c>
      <c r="P167">
        <f>IF('Month-End'!$FH$31="",$BN167,N('Month-End'!$FH$31))</f>
        <v/>
      </c>
      <c r="Q167">
        <f>IF('Month-End'!$FH$32="",$BO167,N('Month-End'!$FH$32))</f>
        <v/>
      </c>
      <c r="R167">
        <f>IF('Month-End'!$FH$33="",$BP167,N('Month-End'!$FH$33))</f>
        <v/>
      </c>
      <c r="S167">
        <f>$G167+$H167+$I167+$J167+$K167+$L167+$M167+$N167+$O167+$P167+$Q167+$R167</f>
        <v/>
      </c>
      <c r="T167">
        <f>IF($B167&lt;Settings!$B$6,0,IF(Settings!$B$45="Yes",$G167,0)+IF(Settings!$B$46="Yes",$H167,0)+IF(Settings!$B$47="Yes",$I167,0)+IF(Settings!$B$48="Yes",$J167,0)+IF(Settings!$B$49="Yes",$K167,0)+IF(Settings!$B$50="Yes",$L167,0)+IF(Settings!$B$51="Yes",$M167,0)+IF(Settings!$B$52="Yes",$N167,0)+IF(Settings!$B$53="Yes",$O167,0)+IF(Settings!$B$54="Yes",$P167,0)+IF(Settings!$B$55="Yes",$Q167,0)+IF(Settings!$B$56="Yes",$R167,0))</f>
        <v/>
      </c>
      <c r="U167">
        <f>IF(Settings!$B$45="Not Sure",$G167,0)+IF(Settings!$B$46="Not Sure",$H167,0)+IF(Settings!$B$47="Not Sure",$I167,0)+IF(Settings!$B$48="Not Sure",$J167,0)+IF(Settings!$B$49="Not Sure",$K167,0)+IF(Settings!$B$50="Not Sure",$L167,0)+IF(Settings!$B$51="Not Sure",$M167,0)+IF(Settings!$B$52="Not Sure",$N167,0)+IF(Settings!$B$53="Not Sure",$O167,0)+IF(Settings!$B$54="Not Sure",$P167,0)+IF(Settings!$B$55="Not Sure",$Q167,0)+IF(Settings!$B$56="Not Sure",$R167,0)</f>
        <v/>
      </c>
      <c r="V167">
        <f>IF($E167="open",SUM($ET167:$FE167)+N(Settings!$B$13),0)</f>
        <v/>
      </c>
      <c r="W167">
        <f>IF($E167="post",$S167,IF($E167="open",$S167-$V167,0))</f>
        <v/>
      </c>
      <c r="X167">
        <f>SUMIFS(Giving!$B$7:$B$2006,Giving!$A$7:$A$2006,"&gt;="&amp;$A167,Giving!$A$7:$A$2006,"&lt;="&amp;$B167,Giving!$E$7:$E$2006,"&lt;&gt;No")</f>
        <v/>
      </c>
      <c r="Y167">
        <f>SUMIFS(Giving!$B$7:$B$2006,Giving!$A$7:$A$2006,"&gt;="&amp;$A167,Giving!$A$7:$A$2006,"&lt;="&amp;$B167,Giving!$E$7:$E$2006,"No")</f>
        <v/>
      </c>
      <c r="Z167">
        <f>IF(OR(Settings!$B$60="",Settings!$F$60="No"),0,Settings!$B$60*IF(AND(IF(Settings!$C$60="",$B167,DATE(YEAR($A167),MONTH($A167),MIN(Settings!$C$60,DAY($B167))))&gt;=MAX($A167,Settings!$D$60),IF(Settings!$C$60="",$B167,DATE(YEAR($A167),MONTH($A167),MIN(Settings!$C$60,DAY($B167))))&lt;=MIN($C167,IF(Settings!$E$60="",$C167,Settings!$E$60))),1,0))+IF(OR(Settings!$B$61="",Settings!$F$61="No"),0,Settings!$B$61*IF(AND(IF(Settings!$C$61="",$B167,DATE(YEAR($A167),MONTH($A167),MIN(Settings!$C$61,DAY($B167))))&gt;=MAX($A167,Settings!$D$61),IF(Settings!$C$61="",$B167,DATE(YEAR($A167),MONTH($A167),MIN(Settings!$C$61,DAY($B167))))&lt;=MIN($C167,IF(Settings!$E$61="",$C167,Settings!$E$61))),1,0))+IF(OR(Settings!$B$62="",Settings!$F$62="No"),0,Settings!$B$62*IF(AND(IF(Settings!$C$62="",$B167,DATE(YEAR($A167),MONTH($A167),MIN(Settings!$C$62,DAY($B167))))&gt;=MAX($A167,Settings!$D$62),IF(Settings!$C$62="",$B167,DATE(YEAR($A167),MONTH($A167),MIN(Settings!$C$62,DAY($B167))))&lt;=MIN($C167,IF(Settings!$E$62="",$C167,Settings!$E$62))),1,0))+IF(OR(Settings!$B$63="",Settings!$F$63="No"),0,Settings!$B$63*IF(AND(IF(Settings!$C$63="",$B167,DATE(YEAR($A167),MONTH($A167),MIN(Settings!$C$63,DAY($B167))))&gt;=MAX($A167,Settings!$D$63),IF(Settings!$C$63="",$B167,DATE(YEAR($A167),MONTH($A167),MIN(Settings!$C$63,DAY($B167))))&lt;=MIN($C167,IF(Settings!$E$63="",$C167,Settings!$E$63))),1,0))+IF(OR(Settings!$B$64="",Settings!$F$64="No"),0,Settings!$B$64*IF(AND(IF(Settings!$C$64="",$B167,DATE(YEAR($A167),MONTH($A167),MIN(Settings!$C$64,DAY($B167))))&gt;=MAX($A167,Settings!$D$64),IF(Settings!$C$64="",$B167,DATE(YEAR($A167),MONTH($A167),MIN(Settings!$C$64,DAY($B167))))&lt;=MIN($C167,IF(Settings!$E$64="",$C167,Settings!$E$64))),1,0))+IF(OR(Settings!$B$65="",Settings!$F$65="No"),0,Settings!$B$65*IF(AND(IF(Settings!$C$65="",$B167,DATE(YEAR($A167),MONTH($A167),MIN(Settings!$C$65,DAY($B167))))&gt;=MAX($A167,Settings!$D$65),IF(Settings!$C$65="",$B167,DATE(YEAR($A167),MONTH($A167),MIN(Settings!$C$65,DAY($B167))))&lt;=MIN($C167,IF(Settings!$E$65="",$C167,Settings!$E$65))),1,0))</f>
        <v/>
      </c>
      <c r="AA167">
        <f>$X167+$Z167</f>
        <v/>
      </c>
      <c r="AB167">
        <f>IF($E167="post",$AA167,IF($E167="open",SUMIFS(Giving!$B$7:$B$2006,Giving!$A$7:$A$2006,"&gt;"&amp;Settings!$B$5,Giving!$A$7:$A$2006,"&lt;="&amp;$B167,Giving!$E$7:$E$2006,"&lt;&gt;No")+IF(OR(Settings!$B$60="",Settings!$F$60="No"),0,Settings!$B$60*IF(AND(IF(Settings!$C$60="",$B167,DATE(YEAR($A167),MONTH($A167),MIN(Settings!$C$60,DAY($B167))))&gt;=MAX($A167,Settings!$D$60,Settings!$B$5+1),IF(Settings!$C$60="",$B167,DATE(YEAR($A167),MONTH($A167),MIN(Settings!$C$60,DAY($B167))))&lt;=MIN($C167,IF(Settings!$E$60="",$C167,Settings!$E$60))),1,0))+IF(OR(Settings!$B$61="",Settings!$F$61="No"),0,Settings!$B$61*IF(AND(IF(Settings!$C$61="",$B167,DATE(YEAR($A167),MONTH($A167),MIN(Settings!$C$61,DAY($B167))))&gt;=MAX($A167,Settings!$D$61,Settings!$B$5+1),IF(Settings!$C$61="",$B167,DATE(YEAR($A167),MONTH($A167),MIN(Settings!$C$61,DAY($B167))))&lt;=MIN($C167,IF(Settings!$E$61="",$C167,Settings!$E$61))),1,0))+IF(OR(Settings!$B$62="",Settings!$F$62="No"),0,Settings!$B$62*IF(AND(IF(Settings!$C$62="",$B167,DATE(YEAR($A167),MONTH($A167),MIN(Settings!$C$62,DAY($B167))))&gt;=MAX($A167,Settings!$D$62,Settings!$B$5+1),IF(Settings!$C$62="",$B167,DATE(YEAR($A167),MONTH($A167),MIN(Settings!$C$62,DAY($B167))))&lt;=MIN($C167,IF(Settings!$E$62="",$C167,Settings!$E$62))),1,0))+IF(OR(Settings!$B$63="",Settings!$F$63="No"),0,Settings!$B$63*IF(AND(IF(Settings!$C$63="",$B167,DATE(YEAR($A167),MONTH($A167),MIN(Settings!$C$63,DAY($B167))))&gt;=MAX($A167,Settings!$D$63,Settings!$B$5+1),IF(Settings!$C$63="",$B167,DATE(YEAR($A167),MONTH($A167),MIN(Settings!$C$63,DAY($B167))))&lt;=MIN($C167,IF(Settings!$E$63="",$C167,Settings!$E$63))),1,0))+IF(OR(Settings!$B$64="",Settings!$F$64="No"),0,Settings!$B$64*IF(AND(IF(Settings!$C$64="",$B167,DATE(YEAR($A167),MONTH($A167),MIN(Settings!$C$64,DAY($B167))))&gt;=MAX($A167,Settings!$D$64,Settings!$B$5+1),IF(Settings!$C$64="",$B167,DATE(YEAR($A167),MONTH($A167),MIN(Settings!$C$64,DAY($B167))))&lt;=MIN($C167,IF(Settings!$E$64="",$C167,Settings!$E$64))),1,0))+IF(OR(Settings!$B$65="",Settings!$F$65="No"),0,Settings!$B$65*IF(AND(IF(Settings!$C$65="",$B167,DATE(YEAR($A167),MONTH($A167),MIN(Settings!$C$65,DAY($B167))))&gt;=MAX($A167,Settings!$D$65,Settings!$B$5+1),IF(Settings!$C$65="",$B167,DATE(YEAR($A167),MONTH($A167),MIN(Settings!$C$65,DAY($B167))))&lt;=MIN($C167,IF(Settings!$E$65="",$C167,Settings!$E$65))),1,0)),0))</f>
        <v/>
      </c>
      <c r="AC167">
        <f>$AY167+$AZ167+$BA167+$BB167+$BC167+$BD167</f>
        <v/>
      </c>
      <c r="AD167">
        <f>$AC167</f>
        <v/>
      </c>
      <c r="AE167">
        <f>IF(OR(Settings!$A$19="",$E167="pre"),"",IF(AND('Month-End'!$FH$7&lt;&gt;"",NOT(_xlfn.ISFORMULA('Month-End'!$FH$7))),N('Month-End'!$FH$7),IF(OR($E167="open",$E166="pre"),N(Settings!$C$19),N($AE166))))</f>
        <v/>
      </c>
      <c r="AF167">
        <f>IF(OR(Settings!$A$20="",$E167="pre"),"",IF(AND('Month-End'!$FH$8&lt;&gt;"",NOT(_xlfn.ISFORMULA('Month-End'!$FH$8))),N('Month-End'!$FH$8),IF(OR($E167="open",$E166="pre"),N(Settings!$C$20),N($AF166))))</f>
        <v/>
      </c>
      <c r="AG167">
        <f>IF(OR(Settings!$A$21="",$E167="pre"),"",IF(AND('Month-End'!$FH$9&lt;&gt;"",NOT(_xlfn.ISFORMULA('Month-End'!$FH$9))),N('Month-End'!$FH$9),IF(OR($E167="open",$E166="pre"),N(Settings!$C$21),N($AG166))))</f>
        <v/>
      </c>
      <c r="AH167">
        <f>IF(OR(Settings!$A$22="",$E167="pre"),"",IF(AND('Month-End'!$FH$10&lt;&gt;"",NOT(_xlfn.ISFORMULA('Month-End'!$FH$10))),N('Month-End'!$FH$10),IF(OR($E167="open",$E166="pre"),N(Settings!$C$22),N($AH166))))</f>
        <v/>
      </c>
      <c r="AI167">
        <f>IF(OR(Settings!$A$23="",$E167="pre"),"",IF(AND('Month-End'!$FH$11&lt;&gt;"",NOT(_xlfn.ISFORMULA('Month-End'!$FH$11))),N('Month-End'!$FH$11),IF(OR($E167="open",$E166="pre"),N(Settings!$C$23),N($AI166))))</f>
        <v/>
      </c>
      <c r="AJ167">
        <f>IF(OR(Settings!$A$24="",$E167="pre"),"",IF(AND('Month-End'!$FH$12&lt;&gt;"",NOT(_xlfn.ISFORMULA('Month-End'!$FH$12))),N('Month-End'!$FH$12),IF(OR($E167="open",$E166="pre"),N(Settings!$C$24),N($AJ166))))</f>
        <v/>
      </c>
      <c r="AK167">
        <f>IF(OR(Settings!$A$25="",$E167="pre"),"",IF(AND('Month-End'!$FH$13&lt;&gt;"",NOT(_xlfn.ISFORMULA('Month-End'!$FH$13))),N('Month-End'!$FH$13),IF(OR($E167="open",$E166="pre"),N(Settings!$C$25),N($AK166))))</f>
        <v/>
      </c>
      <c r="AL167">
        <f>IF(OR(Settings!$A$26="",$E167="pre"),"",IF(AND('Month-End'!$FH$14&lt;&gt;"",NOT(_xlfn.ISFORMULA('Month-End'!$FH$14))),N('Month-End'!$FH$14),IF(OR($E167="open",$E166="pre"),N(Settings!$C$26),N($AL166))))</f>
        <v/>
      </c>
      <c r="AM167">
        <f>IF(OR(Settings!$A$27="",$E167="pre"),"",IF(AND('Month-End'!$FH$15&lt;&gt;"",NOT(_xlfn.ISFORMULA('Month-End'!$FH$15))),N('Month-End'!$FH$15),IF(OR($E167="open",$E166="pre"),N(Settings!$C$27),N($AM166))))</f>
        <v/>
      </c>
      <c r="AN167">
        <f>IF(OR(Settings!$A$28="",$E167="pre"),"",IF(AND('Month-End'!$FH$16&lt;&gt;"",NOT(_xlfn.ISFORMULA('Month-End'!$FH$16))),N('Month-End'!$FH$16),IF(OR($E167="open",$E166="pre"),N(Settings!$C$28),N($AN166))))</f>
        <v/>
      </c>
      <c r="AO167">
        <f>IF(OR(Settings!$A$29="",$E167="pre"),"",IF(AND('Month-End'!$FH$17&lt;&gt;"",NOT(_xlfn.ISFORMULA('Month-End'!$FH$17))),N('Month-End'!$FH$17),IF(OR($E167="open",$E166="pre"),N(Settings!$C$29),N($AO166))))</f>
        <v/>
      </c>
      <c r="AP167">
        <f>IF(OR(Settings!$A$30="",$E167="pre"),"",IF(AND('Month-End'!$FH$18&lt;&gt;"",NOT(_xlfn.ISFORMULA('Month-End'!$FH$18))),N('Month-End'!$FH$18),IF(OR($E167="open",$E166="pre"),N(Settings!$C$30),N($AP166))))</f>
        <v/>
      </c>
      <c r="AQ167">
        <f>IF(OR(Settings!$A$31="",$E167="pre"),"",IF(AND('Month-End'!$FH$19&lt;&gt;"",NOT(_xlfn.ISFORMULA('Month-End'!$FH$19))),N('Month-End'!$FH$19),IF(OR($E167="open",$E166="pre"),N(Settings!$C$31),N($AQ166))))</f>
        <v/>
      </c>
      <c r="AR167">
        <f>IF(OR(Settings!$A$32="",$E167="pre"),"",IF(AND('Month-End'!$FH$20&lt;&gt;"",NOT(_xlfn.ISFORMULA('Month-End'!$FH$20))),N('Month-End'!$FH$20),IF(OR($E167="open",$E166="pre"),N(Settings!$C$32),N($AR166))))</f>
        <v/>
      </c>
      <c r="AS167">
        <f>IF(OR(Settings!$A$36="",$E167="pre"),"",IF(AND('Month-End'!$FH$38&lt;&gt;"",NOT(_xlfn.ISFORMULA('Month-End'!$FH$38))),N('Month-End'!$FH$38),IF(OR($E167="open",$E166="pre"),N(Settings!$C$36),N($AS166))+$AY167))</f>
        <v/>
      </c>
      <c r="AT167">
        <f>IF(OR(Settings!$A$37="",$E167="pre"),"",IF(AND('Month-End'!$FH$39&lt;&gt;"",NOT(_xlfn.ISFORMULA('Month-End'!$FH$39))),N('Month-End'!$FH$39),IF(OR($E167="open",$E166="pre"),N(Settings!$C$37),N($AT166))+$AZ167))</f>
        <v/>
      </c>
      <c r="AU167">
        <f>IF(OR(Settings!$A$38="",$E167="pre"),"",IF(AND('Month-End'!$FH$40&lt;&gt;"",NOT(_xlfn.ISFORMULA('Month-End'!$FH$40))),N('Month-End'!$FH$40),IF(OR($E167="open",$E166="pre"),N(Settings!$C$38),N($AU166))+$BA167))</f>
        <v/>
      </c>
      <c r="AV167">
        <f>IF(OR(Settings!$A$39="",$E167="pre"),"",IF(AND('Month-End'!$FH$41&lt;&gt;"",NOT(_xlfn.ISFORMULA('Month-End'!$FH$41))),N('Month-End'!$FH$41),IF(OR($E167="open",$E166="pre"),N(Settings!$C$39),N($AV166))+$BB167))</f>
        <v/>
      </c>
      <c r="AW167">
        <f>IF(OR(Settings!$A$40="",$E167="pre"),"",IF(AND('Month-End'!$FH$42&lt;&gt;"",NOT(_xlfn.ISFORMULA('Month-End'!$FH$42))),N('Month-End'!$FH$42),IF(OR($E167="open",$E166="pre"),N(Settings!$C$40),N($AW166))+$BC167))</f>
        <v/>
      </c>
      <c r="AX167">
        <f>IF(OR(Settings!$A$41="",$E167="pre"),"",IF(AND('Month-End'!$FH$43&lt;&gt;"",NOT(_xlfn.ISFORMULA('Month-End'!$FH$43))),N('Month-End'!$FH$43),IF(OR($E167="open",$E166="pre"),N(Settings!$C$41),N($AX166))+$BD167))</f>
        <v/>
      </c>
      <c r="AY167">
        <f>IF($E167="pre",0,N('Month-End'!$FH$45))</f>
        <v/>
      </c>
      <c r="AZ167">
        <f>IF($E167="pre",0,N('Month-End'!$FH$46))</f>
        <v/>
      </c>
      <c r="BA167">
        <f>IF($E167="pre",0,N('Month-End'!$FH$47))</f>
        <v/>
      </c>
      <c r="BB167">
        <f>IF($E167="pre",0,N('Month-End'!$FH$48))</f>
        <v/>
      </c>
      <c r="BC167">
        <f>IF($E167="pre",0,N('Month-End'!$FH$49))</f>
        <v/>
      </c>
      <c r="BD167">
        <f>IF($E167="pre",0,N('Month-End'!$FH$50))</f>
        <v/>
      </c>
      <c r="BE167">
        <f>IF(OR(Settings!$C$45="",Settings!$D$45=""),0,Settings!$C$45*IF(Settings!$D$45="Weekly",IF(IFERROR(MATCH(Settings!$E$45,$EO$4:$EO$10,0),0)=0,0,IF(MIN($C167,IF(Settings!$G$45="",$C167,Settings!$G$45))&lt;MAX($A167,Settings!$F$45),0,INT((MIN($C167,IF(Settings!$G$45="",$C167,Settings!$G$45))-MAX($A167,Settings!$F$45)-MOD(IFERROR(MATCH(Settings!$E$45,$EO$4:$EO$10,0),0)-WEEKDAY(MAX($A167,Settings!$F$45)),7))/7)+1)),IF(AND(IF(Settings!$E$45="",$B167,DATE(YEAR($A167),MONTH($A167),MIN(Settings!$E$45,DAY($B167))))&gt;=MAX($A167,Settings!$F$45),IF(Settings!$E$45="",$B167,DATE(YEAR($A167),MONTH($A167),MIN(Settings!$E$45,DAY($B167))))&lt;=MIN($C167,IF(Settings!$G$45="",$C167,Settings!$G$45))),1,0)))</f>
        <v/>
      </c>
      <c r="BF167">
        <f>IF(OR(Settings!$C$46="",Settings!$D$46=""),0,Settings!$C$46*IF(Settings!$D$46="Weekly",IF(IFERROR(MATCH(Settings!$E$46,$EO$4:$EO$10,0),0)=0,0,IF(MIN($C167,IF(Settings!$G$46="",$C167,Settings!$G$46))&lt;MAX($A167,Settings!$F$46),0,INT((MIN($C167,IF(Settings!$G$46="",$C167,Settings!$G$46))-MAX($A167,Settings!$F$46)-MOD(IFERROR(MATCH(Settings!$E$46,$EO$4:$EO$10,0),0)-WEEKDAY(MAX($A167,Settings!$F$46)),7))/7)+1)),IF(AND(IF(Settings!$E$46="",$B167,DATE(YEAR($A167),MONTH($A167),MIN(Settings!$E$46,DAY($B167))))&gt;=MAX($A167,Settings!$F$46),IF(Settings!$E$46="",$B167,DATE(YEAR($A167),MONTH($A167),MIN(Settings!$E$46,DAY($B167))))&lt;=MIN($C167,IF(Settings!$G$46="",$C167,Settings!$G$46))),1,0)))</f>
        <v/>
      </c>
      <c r="BG167">
        <f>IF(OR(Settings!$C$47="",Settings!$D$47=""),0,Settings!$C$47*IF(Settings!$D$47="Weekly",IF(IFERROR(MATCH(Settings!$E$47,$EO$4:$EO$10,0),0)=0,0,IF(MIN($C167,IF(Settings!$G$47="",$C167,Settings!$G$47))&lt;MAX($A167,Settings!$F$47),0,INT((MIN($C167,IF(Settings!$G$47="",$C167,Settings!$G$47))-MAX($A167,Settings!$F$47)-MOD(IFERROR(MATCH(Settings!$E$47,$EO$4:$EO$10,0),0)-WEEKDAY(MAX($A167,Settings!$F$47)),7))/7)+1)),IF(AND(IF(Settings!$E$47="",$B167,DATE(YEAR($A167),MONTH($A167),MIN(Settings!$E$47,DAY($B167))))&gt;=MAX($A167,Settings!$F$47),IF(Settings!$E$47="",$B167,DATE(YEAR($A167),MONTH($A167),MIN(Settings!$E$47,DAY($B167))))&lt;=MIN($C167,IF(Settings!$G$47="",$C167,Settings!$G$47))),1,0)))</f>
        <v/>
      </c>
      <c r="BH167">
        <f>IF(OR(Settings!$C$48="",Settings!$D$48=""),0,Settings!$C$48*IF(Settings!$D$48="Weekly",IF(IFERROR(MATCH(Settings!$E$48,$EO$4:$EO$10,0),0)=0,0,IF(MIN($C167,IF(Settings!$G$48="",$C167,Settings!$G$48))&lt;MAX($A167,Settings!$F$48),0,INT((MIN($C167,IF(Settings!$G$48="",$C167,Settings!$G$48))-MAX($A167,Settings!$F$48)-MOD(IFERROR(MATCH(Settings!$E$48,$EO$4:$EO$10,0),0)-WEEKDAY(MAX($A167,Settings!$F$48)),7))/7)+1)),IF(AND(IF(Settings!$E$48="",$B167,DATE(YEAR($A167),MONTH($A167),MIN(Settings!$E$48,DAY($B167))))&gt;=MAX($A167,Settings!$F$48),IF(Settings!$E$48="",$B167,DATE(YEAR($A167),MONTH($A167),MIN(Settings!$E$48,DAY($B167))))&lt;=MIN($C167,IF(Settings!$G$48="",$C167,Settings!$G$48))),1,0)))</f>
        <v/>
      </c>
      <c r="BI167">
        <f>IF(OR(Settings!$C$49="",Settings!$D$49=""),0,Settings!$C$49*IF(Settings!$D$49="Weekly",IF(IFERROR(MATCH(Settings!$E$49,$EO$4:$EO$10,0),0)=0,0,IF(MIN($C167,IF(Settings!$G$49="",$C167,Settings!$G$49))&lt;MAX($A167,Settings!$F$49),0,INT((MIN($C167,IF(Settings!$G$49="",$C167,Settings!$G$49))-MAX($A167,Settings!$F$49)-MOD(IFERROR(MATCH(Settings!$E$49,$EO$4:$EO$10,0),0)-WEEKDAY(MAX($A167,Settings!$F$49)),7))/7)+1)),IF(AND(IF(Settings!$E$49="",$B167,DATE(YEAR($A167),MONTH($A167),MIN(Settings!$E$49,DAY($B167))))&gt;=MAX($A167,Settings!$F$49),IF(Settings!$E$49="",$B167,DATE(YEAR($A167),MONTH($A167),MIN(Settings!$E$49,DAY($B167))))&lt;=MIN($C167,IF(Settings!$G$49="",$C167,Settings!$G$49))),1,0)))</f>
        <v/>
      </c>
      <c r="BJ167">
        <f>IF(OR(Settings!$C$50="",Settings!$D$50=""),0,Settings!$C$50*IF(Settings!$D$50="Weekly",IF(IFERROR(MATCH(Settings!$E$50,$EO$4:$EO$10,0),0)=0,0,IF(MIN($C167,IF(Settings!$G$50="",$C167,Settings!$G$50))&lt;MAX($A167,Settings!$F$50),0,INT((MIN($C167,IF(Settings!$G$50="",$C167,Settings!$G$50))-MAX($A167,Settings!$F$50)-MOD(IFERROR(MATCH(Settings!$E$50,$EO$4:$EO$10,0),0)-WEEKDAY(MAX($A167,Settings!$F$50)),7))/7)+1)),IF(AND(IF(Settings!$E$50="",$B167,DATE(YEAR($A167),MONTH($A167),MIN(Settings!$E$50,DAY($B167))))&gt;=MAX($A167,Settings!$F$50),IF(Settings!$E$50="",$B167,DATE(YEAR($A167),MONTH($A167),MIN(Settings!$E$50,DAY($B167))))&lt;=MIN($C167,IF(Settings!$G$50="",$C167,Settings!$G$50))),1,0)))</f>
        <v/>
      </c>
      <c r="BK167">
        <f>IF(OR(Settings!$C$51="",Settings!$D$51=""),0,Settings!$C$51*IF(Settings!$D$51="Weekly",IF(IFERROR(MATCH(Settings!$E$51,$EO$4:$EO$10,0),0)=0,0,IF(MIN($C167,IF(Settings!$G$51="",$C167,Settings!$G$51))&lt;MAX($A167,Settings!$F$51),0,INT((MIN($C167,IF(Settings!$G$51="",$C167,Settings!$G$51))-MAX($A167,Settings!$F$51)-MOD(IFERROR(MATCH(Settings!$E$51,$EO$4:$EO$10,0),0)-WEEKDAY(MAX($A167,Settings!$F$51)),7))/7)+1)),IF(AND(IF(Settings!$E$51="",$B167,DATE(YEAR($A167),MONTH($A167),MIN(Settings!$E$51,DAY($B167))))&gt;=MAX($A167,Settings!$F$51),IF(Settings!$E$51="",$B167,DATE(YEAR($A167),MONTH($A167),MIN(Settings!$E$51,DAY($B167))))&lt;=MIN($C167,IF(Settings!$G$51="",$C167,Settings!$G$51))),1,0)))</f>
        <v/>
      </c>
      <c r="BL167">
        <f>IF(OR(Settings!$C$52="",Settings!$D$52=""),0,Settings!$C$52*IF(Settings!$D$52="Weekly",IF(IFERROR(MATCH(Settings!$E$52,$EO$4:$EO$10,0),0)=0,0,IF(MIN($C167,IF(Settings!$G$52="",$C167,Settings!$G$52))&lt;MAX($A167,Settings!$F$52),0,INT((MIN($C167,IF(Settings!$G$52="",$C167,Settings!$G$52))-MAX($A167,Settings!$F$52)-MOD(IFERROR(MATCH(Settings!$E$52,$EO$4:$EO$10,0),0)-WEEKDAY(MAX($A167,Settings!$F$52)),7))/7)+1)),IF(AND(IF(Settings!$E$52="",$B167,DATE(YEAR($A167),MONTH($A167),MIN(Settings!$E$52,DAY($B167))))&gt;=MAX($A167,Settings!$F$52),IF(Settings!$E$52="",$B167,DATE(YEAR($A167),MONTH($A167),MIN(Settings!$E$52,DAY($B167))))&lt;=MIN($C167,IF(Settings!$G$52="",$C167,Settings!$G$52))),1,0)))</f>
        <v/>
      </c>
      <c r="BM167">
        <f>IF(OR(Settings!$C$53="",Settings!$D$53=""),0,Settings!$C$53*IF(Settings!$D$53="Weekly",IF(IFERROR(MATCH(Settings!$E$53,$EO$4:$EO$10,0),0)=0,0,IF(MIN($C167,IF(Settings!$G$53="",$C167,Settings!$G$53))&lt;MAX($A167,Settings!$F$53),0,INT((MIN($C167,IF(Settings!$G$53="",$C167,Settings!$G$53))-MAX($A167,Settings!$F$53)-MOD(IFERROR(MATCH(Settings!$E$53,$EO$4:$EO$10,0),0)-WEEKDAY(MAX($A167,Settings!$F$53)),7))/7)+1)),IF(AND(IF(Settings!$E$53="",$B167,DATE(YEAR($A167),MONTH($A167),MIN(Settings!$E$53,DAY($B167))))&gt;=MAX($A167,Settings!$F$53),IF(Settings!$E$53="",$B167,DATE(YEAR($A167),MONTH($A167),MIN(Settings!$E$53,DAY($B167))))&lt;=MIN($C167,IF(Settings!$G$53="",$C167,Settings!$G$53))),1,0)))</f>
        <v/>
      </c>
      <c r="BN167">
        <f>IF(OR(Settings!$C$54="",Settings!$D$54=""),0,Settings!$C$54*IF(Settings!$D$54="Weekly",IF(IFERROR(MATCH(Settings!$E$54,$EO$4:$EO$10,0),0)=0,0,IF(MIN($C167,IF(Settings!$G$54="",$C167,Settings!$G$54))&lt;MAX($A167,Settings!$F$54),0,INT((MIN($C167,IF(Settings!$G$54="",$C167,Settings!$G$54))-MAX($A167,Settings!$F$54)-MOD(IFERROR(MATCH(Settings!$E$54,$EO$4:$EO$10,0),0)-WEEKDAY(MAX($A167,Settings!$F$54)),7))/7)+1)),IF(AND(IF(Settings!$E$54="",$B167,DATE(YEAR($A167),MONTH($A167),MIN(Settings!$E$54,DAY($B167))))&gt;=MAX($A167,Settings!$F$54),IF(Settings!$E$54="",$B167,DATE(YEAR($A167),MONTH($A167),MIN(Settings!$E$54,DAY($B167))))&lt;=MIN($C167,IF(Settings!$G$54="",$C167,Settings!$G$54))),1,0)))</f>
        <v/>
      </c>
      <c r="BO167">
        <f>IF(OR(Settings!$C$55="",Settings!$D$55=""),0,Settings!$C$55*IF(Settings!$D$55="Weekly",IF(IFERROR(MATCH(Settings!$E$55,$EO$4:$EO$10,0),0)=0,0,IF(MIN($C167,IF(Settings!$G$55="",$C167,Settings!$G$55))&lt;MAX($A167,Settings!$F$55),0,INT((MIN($C167,IF(Settings!$G$55="",$C167,Settings!$G$55))-MAX($A167,Settings!$F$55)-MOD(IFERROR(MATCH(Settings!$E$55,$EO$4:$EO$10,0),0)-WEEKDAY(MAX($A167,Settings!$F$55)),7))/7)+1)),IF(AND(IF(Settings!$E$55="",$B167,DATE(YEAR($A167),MONTH($A167),MIN(Settings!$E$55,DAY($B167))))&gt;=MAX($A167,Settings!$F$55),IF(Settings!$E$55="",$B167,DATE(YEAR($A167),MONTH($A167),MIN(Settings!$E$55,DAY($B167))))&lt;=MIN($C167,IF(Settings!$G$55="",$C167,Settings!$G$55))),1,0)))</f>
        <v/>
      </c>
      <c r="BP167">
        <f>IF(OR(Settings!$C$56="",Settings!$D$56=""),0,Settings!$C$56*IF(Settings!$D$56="Weekly",IF(IFERROR(MATCH(Settings!$E$56,$EO$4:$EO$10,0),0)=0,0,IF(MIN($C167,IF(Settings!$G$56="",$C167,Settings!$G$56))&lt;MAX($A167,Settings!$F$56),0,INT((MIN($C167,IF(Settings!$G$56="",$C167,Settings!$G$56))-MAX($A167,Settings!$F$56)-MOD(IFERROR(MATCH(Settings!$E$56,$EO$4:$EO$10,0),0)-WEEKDAY(MAX($A167,Settings!$F$56)),7))/7)+1)),IF(AND(IF(Settings!$E$56="",$B167,DATE(YEAR($A167),MONTH($A167),MIN(Settings!$E$56,DAY($B167))))&gt;=MAX($A167,Settings!$F$56),IF(Settings!$E$56="",$B167,DATE(YEAR($A167),MONTH($A167),MIN(Settings!$E$56,DAY($B167))))&lt;=MIN($C167,IF(Settings!$G$56="",$C167,Settings!$G$56))),1,0)))</f>
        <v/>
      </c>
      <c r="BQ167">
        <f>IF(OR(Settings!$B$14="",$D167=1,$E167="pre",$A167&lt;IF(Settings!$B$15="",0,Settings!$B$15)),0,Settings!$B$14)</f>
        <v/>
      </c>
      <c r="BR167">
        <f>IF(AND('Month-End'!$FH$7&lt;&gt;"",NOT(_xlfn.ISFORMULA('Month-End'!$FH$7))),1,0)</f>
        <v/>
      </c>
      <c r="BS167">
        <f>IF(AND('Month-End'!$FH$8&lt;&gt;"",NOT(_xlfn.ISFORMULA('Month-End'!$FH$8))),1,0)</f>
        <v/>
      </c>
      <c r="BT167">
        <f>IF(AND('Month-End'!$FH$9&lt;&gt;"",NOT(_xlfn.ISFORMULA('Month-End'!$FH$9))),1,0)</f>
        <v/>
      </c>
      <c r="BU167">
        <f>IF(AND('Month-End'!$FH$10&lt;&gt;"",NOT(_xlfn.ISFORMULA('Month-End'!$FH$10))),1,0)</f>
        <v/>
      </c>
      <c r="BV167">
        <f>IF(AND('Month-End'!$FH$11&lt;&gt;"",NOT(_xlfn.ISFORMULA('Month-End'!$FH$11))),1,0)</f>
        <v/>
      </c>
      <c r="BW167">
        <f>IF(AND('Month-End'!$FH$12&lt;&gt;"",NOT(_xlfn.ISFORMULA('Month-End'!$FH$12))),1,0)</f>
        <v/>
      </c>
      <c r="BX167">
        <f>IF(AND('Month-End'!$FH$13&lt;&gt;"",NOT(_xlfn.ISFORMULA('Month-End'!$FH$13))),1,0)</f>
        <v/>
      </c>
      <c r="BY167">
        <f>IF(AND('Month-End'!$FH$14&lt;&gt;"",NOT(_xlfn.ISFORMULA('Month-End'!$FH$14))),1,0)</f>
        <v/>
      </c>
      <c r="BZ167">
        <f>IF(AND('Month-End'!$FH$15&lt;&gt;"",NOT(_xlfn.ISFORMULA('Month-End'!$FH$15))),1,0)</f>
        <v/>
      </c>
      <c r="CA167">
        <f>IF(AND('Month-End'!$FH$16&lt;&gt;"",NOT(_xlfn.ISFORMULA('Month-End'!$FH$16))),1,0)</f>
        <v/>
      </c>
      <c r="CB167">
        <f>IF(AND('Month-End'!$FH$17&lt;&gt;"",NOT(_xlfn.ISFORMULA('Month-End'!$FH$17))),1,0)</f>
        <v/>
      </c>
      <c r="CC167">
        <f>IF(AND('Month-End'!$FH$18&lt;&gt;"",NOT(_xlfn.ISFORMULA('Month-End'!$FH$18))),1,0)</f>
        <v/>
      </c>
      <c r="CD167">
        <f>IF(AND('Month-End'!$FH$19&lt;&gt;"",NOT(_xlfn.ISFORMULA('Month-End'!$FH$19))),1,0)</f>
        <v/>
      </c>
      <c r="CE167">
        <f>IF(AND('Month-End'!$FH$20&lt;&gt;"",NOT(_xlfn.ISFORMULA('Month-End'!$FH$20))),1,0)</f>
        <v/>
      </c>
      <c r="CF167">
        <f>IF(AND('Month-End'!$FH$38&lt;&gt;"",NOT(_xlfn.ISFORMULA('Month-End'!$FH$38))),1,0)</f>
        <v/>
      </c>
      <c r="CG167">
        <f>IF(AND('Month-End'!$FH$39&lt;&gt;"",NOT(_xlfn.ISFORMULA('Month-End'!$FH$39))),1,0)</f>
        <v/>
      </c>
      <c r="CH167">
        <f>IF(AND('Month-End'!$FH$40&lt;&gt;"",NOT(_xlfn.ISFORMULA('Month-End'!$FH$40))),1,0)</f>
        <v/>
      </c>
      <c r="CI167">
        <f>IF(AND('Month-End'!$FH$41&lt;&gt;"",NOT(_xlfn.ISFORMULA('Month-End'!$FH$41))),1,0)</f>
        <v/>
      </c>
      <c r="CJ167">
        <f>IF(AND('Month-End'!$FH$42&lt;&gt;"",NOT(_xlfn.ISFORMULA('Month-End'!$FH$42))),1,0)</f>
        <v/>
      </c>
      <c r="CK167">
        <f>IF(AND('Month-End'!$FH$43&lt;&gt;"",NOT(_xlfn.ISFORMULA('Month-End'!$FH$43))),1,0)</f>
        <v/>
      </c>
      <c r="CL167">
        <f>SUM($CM167:$CZ167)</f>
        <v/>
      </c>
      <c r="CM167">
        <f>IF(AND($E167&lt;&gt;"pre",AND(Settings!$A$19&lt;&gt;"",Settings!$E$19&lt;&gt;"No"),Settings!$F$19="Yes",NOT(AND('Month-End'!$FH$7&lt;&gt;"",NOT(_xlfn.ISFORMULA('Month-End'!$FH$7))))),1,0)</f>
        <v/>
      </c>
      <c r="CN167">
        <f>IF(AND($E167&lt;&gt;"pre",AND(Settings!$A$20&lt;&gt;"",Settings!$E$20&lt;&gt;"No"),Settings!$F$20="Yes",NOT(AND('Month-End'!$FH$8&lt;&gt;"",NOT(_xlfn.ISFORMULA('Month-End'!$FH$8))))),1,0)</f>
        <v/>
      </c>
      <c r="CO167">
        <f>IF(AND($E167&lt;&gt;"pre",AND(Settings!$A$21&lt;&gt;"",Settings!$E$21&lt;&gt;"No"),Settings!$F$21="Yes",NOT(AND('Month-End'!$FH$9&lt;&gt;"",NOT(_xlfn.ISFORMULA('Month-End'!$FH$9))))),1,0)</f>
        <v/>
      </c>
      <c r="CP167">
        <f>IF(AND($E167&lt;&gt;"pre",AND(Settings!$A$22&lt;&gt;"",Settings!$E$22&lt;&gt;"No"),Settings!$F$22="Yes",NOT(AND('Month-End'!$FH$10&lt;&gt;"",NOT(_xlfn.ISFORMULA('Month-End'!$FH$10))))),1,0)</f>
        <v/>
      </c>
      <c r="CQ167">
        <f>IF(AND($E167&lt;&gt;"pre",AND(Settings!$A$23&lt;&gt;"",Settings!$E$23&lt;&gt;"No"),Settings!$F$23="Yes",NOT(AND('Month-End'!$FH$11&lt;&gt;"",NOT(_xlfn.ISFORMULA('Month-End'!$FH$11))))),1,0)</f>
        <v/>
      </c>
      <c r="CR167">
        <f>IF(AND($E167&lt;&gt;"pre",AND(Settings!$A$24&lt;&gt;"",Settings!$E$24&lt;&gt;"No"),Settings!$F$24="Yes",NOT(AND('Month-End'!$FH$12&lt;&gt;"",NOT(_xlfn.ISFORMULA('Month-End'!$FH$12))))),1,0)</f>
        <v/>
      </c>
      <c r="CS167">
        <f>IF(AND($E167&lt;&gt;"pre",AND(Settings!$A$25&lt;&gt;"",Settings!$E$25&lt;&gt;"No"),Settings!$F$25="Yes",NOT(AND('Month-End'!$FH$13&lt;&gt;"",NOT(_xlfn.ISFORMULA('Month-End'!$FH$13))))),1,0)</f>
        <v/>
      </c>
      <c r="CT167">
        <f>IF(AND($E167&lt;&gt;"pre",AND(Settings!$A$26&lt;&gt;"",Settings!$E$26&lt;&gt;"No"),Settings!$F$26="Yes",NOT(AND('Month-End'!$FH$14&lt;&gt;"",NOT(_xlfn.ISFORMULA('Month-End'!$FH$14))))),1,0)</f>
        <v/>
      </c>
      <c r="CU167">
        <f>IF(AND($E167&lt;&gt;"pre",AND(Settings!$A$27&lt;&gt;"",Settings!$E$27&lt;&gt;"No"),Settings!$F$27="Yes",NOT(AND('Month-End'!$FH$15&lt;&gt;"",NOT(_xlfn.ISFORMULA('Month-End'!$FH$15))))),1,0)</f>
        <v/>
      </c>
      <c r="CV167">
        <f>IF(AND($E167&lt;&gt;"pre",AND(Settings!$A$28&lt;&gt;"",Settings!$E$28&lt;&gt;"No"),Settings!$F$28="Yes",NOT(AND('Month-End'!$FH$16&lt;&gt;"",NOT(_xlfn.ISFORMULA('Month-End'!$FH$16))))),1,0)</f>
        <v/>
      </c>
      <c r="CW167">
        <f>IF(AND($E167&lt;&gt;"pre",AND(Settings!$A$29&lt;&gt;"",Settings!$E$29&lt;&gt;"No"),Settings!$F$29="Yes",NOT(AND('Month-End'!$FH$17&lt;&gt;"",NOT(_xlfn.ISFORMULA('Month-End'!$FH$17))))),1,0)</f>
        <v/>
      </c>
      <c r="CX167">
        <f>IF(AND($E167&lt;&gt;"pre",AND(Settings!$A$30&lt;&gt;"",Settings!$E$30&lt;&gt;"No"),Settings!$F$30="Yes",NOT(AND('Month-End'!$FH$18&lt;&gt;"",NOT(_xlfn.ISFORMULA('Month-End'!$FH$18))))),1,0)</f>
        <v/>
      </c>
      <c r="CY167">
        <f>IF(AND($E167&lt;&gt;"pre",AND(Settings!$A$31&lt;&gt;"",Settings!$E$31&lt;&gt;"No"),Settings!$F$31="Yes",NOT(AND('Month-End'!$FH$19&lt;&gt;"",NOT(_xlfn.ISFORMULA('Month-End'!$FH$19))))),1,0)</f>
        <v/>
      </c>
      <c r="CZ167">
        <f>IF(AND($E167&lt;&gt;"pre",AND(Settings!$A$32&lt;&gt;"",Settings!$E$32&lt;&gt;"No"),Settings!$F$32="Yes",NOT(AND('Month-End'!$FH$20&lt;&gt;"",NOT(_xlfn.ISFORMULA('Month-End'!$FH$20))))),1,0)</f>
        <v/>
      </c>
      <c r="DA167">
        <f>IF($DT167=1,IF(OR(Settings!$B$19="Checking",Settings!$B$19="Savings",Settings!$B$19="Cash"),N($AE167),IF(OR(Settings!$B$19="Card",Settings!$B$19="Loan"),-N($AE167),0))+IF(OR(Settings!$B$20="Checking",Settings!$B$20="Savings",Settings!$B$20="Cash"),N($AF167),IF(OR(Settings!$B$20="Card",Settings!$B$20="Loan"),-N($AF167),0))+IF(OR(Settings!$B$21="Checking",Settings!$B$21="Savings",Settings!$B$21="Cash"),N($AG167),IF(OR(Settings!$B$21="Card",Settings!$B$21="Loan"),-N($AG167),0))+IF(OR(Settings!$B$22="Checking",Settings!$B$22="Savings",Settings!$B$22="Cash"),N($AH167),IF(OR(Settings!$B$22="Card",Settings!$B$22="Loan"),-N($AH167),0))+IF(OR(Settings!$B$23="Checking",Settings!$B$23="Savings",Settings!$B$23="Cash"),N($AI167),IF(OR(Settings!$B$23="Card",Settings!$B$23="Loan"),-N($AI167),0))+IF(OR(Settings!$B$24="Checking",Settings!$B$24="Savings",Settings!$B$24="Cash"),N($AJ167),IF(OR(Settings!$B$24="Card",Settings!$B$24="Loan"),-N($AJ167),0))+IF(OR(Settings!$B$25="Checking",Settings!$B$25="Savings",Settings!$B$25="Cash"),N($AK167),IF(OR(Settings!$B$25="Card",Settings!$B$25="Loan"),-N($AK167),0))+IF(OR(Settings!$B$26="Checking",Settings!$B$26="Savings",Settings!$B$26="Cash"),N($AL167),IF(OR(Settings!$B$26="Card",Settings!$B$26="Loan"),-N($AL167),0))+IF(OR(Settings!$B$27="Checking",Settings!$B$27="Savings",Settings!$B$27="Cash"),N($AM167),IF(OR(Settings!$B$27="Card",Settings!$B$27="Loan"),-N($AM167),0))+IF(OR(Settings!$B$28="Checking",Settings!$B$28="Savings",Settings!$B$28="Cash"),N($AN167),IF(OR(Settings!$B$28="Card",Settings!$B$28="Loan"),-N($AN167),0))+IF(OR(Settings!$B$29="Checking",Settings!$B$29="Savings",Settings!$B$29="Cash"),N($AO167),IF(OR(Settings!$B$29="Card",Settings!$B$29="Loan"),-N($AO167),0))+IF(OR(Settings!$B$30="Checking",Settings!$B$30="Savings",Settings!$B$30="Cash"),N($AP167),IF(OR(Settings!$B$30="Card",Settings!$B$30="Loan"),-N($AP167),0))+IF(OR(Settings!$B$31="Checking",Settings!$B$31="Savings",Settings!$B$31="Cash"),N($AQ167),IF(OR(Settings!$B$31="Card",Settings!$B$31="Loan"),-N($AQ167),0))+IF(OR(Settings!$B$32="Checking",Settings!$B$32="Savings",Settings!$B$32="Cash"),N($AR167),IF(OR(Settings!$B$32="Card",Settings!$B$32="Loan"),-N($AR167),0)),"")</f>
        <v/>
      </c>
      <c r="DB167">
        <f>IF($E167="open",$EB$27,IF($E167="post",IF($E166="pre",$EB$27,$DA166),""))</f>
        <v/>
      </c>
      <c r="DC167">
        <f>IF($E167="open",1,IF($E167="post",IF($E166="pre",1,$DT166),0))</f>
        <v/>
      </c>
      <c r="DD167">
        <f>IF(AND($DT167=1,$DC167=1),ROUND($W167-($DA167-$DB167)-$AD167-$AB167,2),"")</f>
        <v/>
      </c>
      <c r="DE167">
        <f>IF('Month-End'!$FH$35="",$BQ167,N('Month-End'!$FH$35))</f>
        <v/>
      </c>
      <c r="DF167">
        <f>N('Month-End'!$FH$36)</f>
        <v/>
      </c>
      <c r="DG167">
        <f>IF($DD167="","",$DD167+$DE167)</f>
        <v/>
      </c>
      <c r="DH167">
        <f>IF($DG167="","",$DG167-$DF167)</f>
        <v/>
      </c>
      <c r="DI167">
        <f>IF(OR($E167="pre",$D167=1),"",N($AS167)+N($AT167)+N($AU167)+N($AV167)+N($AW167)+N($AX167))</f>
        <v/>
      </c>
      <c r="DJ167">
        <f>IF($DT167=1,$DA167+N($DI167),"")</f>
        <v/>
      </c>
      <c r="DK167">
        <f>IF($DD167="","",$W167-$DD167-$AB167)</f>
        <v/>
      </c>
      <c r="DL167">
        <f>IF(AND($E167="post",$DD167&lt;&gt;"",$B167&lt;TODAY()),1,0)</f>
        <v/>
      </c>
      <c r="DM167">
        <f>IF($DL167=1,COUNTIF($DL167:$DL$183,1),0)</f>
        <v/>
      </c>
      <c r="DN167">
        <f>IF($D167=1,"",IF($E167="pre","History only",IF($DT167=1,IF($DD167="","⚠ Previous month missing",IF($DD167&lt;0,"⚠ Check: spending &lt; 0",IF($E167="open","✓ Done (partial)","✓ Done"))),IF($B167&gt;=TODAY(),"In progress","⚠ Needs balances"))))</f>
        <v/>
      </c>
      <c r="DO167">
        <f>YEAR($A167)</f>
        <v/>
      </c>
      <c r="DP167">
        <f>DATE(YEAR($A167),INT((MONTH($A167)-1)/3)*3+1,1)</f>
        <v/>
      </c>
      <c r="DQ167">
        <f>IF(AND($DT167=1,$DD167&lt;&gt;"",$D167=0),ROW(),0)</f>
        <v/>
      </c>
      <c r="DR167">
        <f>IF(AND($E167&lt;&gt;"pre",$B167&lt;TODAY(),$DT167=0),1,0)</f>
        <v/>
      </c>
      <c r="DS167">
        <f>IF($DJ167="",NA(),$DJ167)</f>
        <v/>
      </c>
      <c r="DT167">
        <f>IF(AND($E167&lt;&gt;"pre",$CL167=0,COUNTIFS(Settings!$F$19:$F$32,"Yes",Settings!$A$19:$A$32,"&lt;&gt;",Settings!$E$19:$E$32,"&lt;&gt;No")&gt;0),1,0)</f>
        <v/>
      </c>
      <c r="DU167">
        <f>IF(AND($B167&lt;TODAY(),$S167&gt;0),1,0)</f>
        <v/>
      </c>
      <c r="DV167">
        <f>IF($DU167=1,COUNTIF($DU167:$DU$183,1),0)</f>
        <v/>
      </c>
      <c r="DW167">
        <f>IF(AND(OR(Settings!$B$19="Card",Settings!$B$19="Loan"),AND('Month-End'!$FH$7&lt;&gt;"",NOT(_xlfn.ISFORMULA('Month-End'!$FH$7)))),IF(N('Month-End'!$FH$7)&lt;0,1,0),0)+IF(AND(OR(Settings!$B$20="Card",Settings!$B$20="Loan"),AND('Month-End'!$FH$8&lt;&gt;"",NOT(_xlfn.ISFORMULA('Month-End'!$FH$8)))),IF(N('Month-End'!$FH$8)&lt;0,1,0),0)+IF(AND(OR(Settings!$B$21="Card",Settings!$B$21="Loan"),AND('Month-End'!$FH$9&lt;&gt;"",NOT(_xlfn.ISFORMULA('Month-End'!$FH$9)))),IF(N('Month-End'!$FH$9)&lt;0,1,0),0)+IF(AND(OR(Settings!$B$22="Card",Settings!$B$22="Loan"),AND('Month-End'!$FH$10&lt;&gt;"",NOT(_xlfn.ISFORMULA('Month-End'!$FH$10)))),IF(N('Month-End'!$FH$10)&lt;0,1,0),0)+IF(AND(OR(Settings!$B$23="Card",Settings!$B$23="Loan"),AND('Month-End'!$FH$11&lt;&gt;"",NOT(_xlfn.ISFORMULA('Month-End'!$FH$11)))),IF(N('Month-End'!$FH$11)&lt;0,1,0),0)+IF(AND(OR(Settings!$B$24="Card",Settings!$B$24="Loan"),AND('Month-End'!$FH$12&lt;&gt;"",NOT(_xlfn.ISFORMULA('Month-End'!$FH$12)))),IF(N('Month-End'!$FH$12)&lt;0,1,0),0)+IF(AND(OR(Settings!$B$25="Card",Settings!$B$25="Loan"),AND('Month-End'!$FH$13&lt;&gt;"",NOT(_xlfn.ISFORMULA('Month-End'!$FH$13)))),IF(N('Month-End'!$FH$13)&lt;0,1,0),0)+IF(AND(OR(Settings!$B$26="Card",Settings!$B$26="Loan"),AND('Month-End'!$FH$14&lt;&gt;"",NOT(_xlfn.ISFORMULA('Month-End'!$FH$14)))),IF(N('Month-End'!$FH$14)&lt;0,1,0),0)+IF(AND(OR(Settings!$B$27="Card",Settings!$B$27="Loan"),AND('Month-End'!$FH$15&lt;&gt;"",NOT(_xlfn.ISFORMULA('Month-End'!$FH$15)))),IF(N('Month-End'!$FH$15)&lt;0,1,0),0)+IF(AND(OR(Settings!$B$28="Card",Settings!$B$28="Loan"),AND('Month-End'!$FH$16&lt;&gt;"",NOT(_xlfn.ISFORMULA('Month-End'!$FH$16)))),IF(N('Month-End'!$FH$16)&lt;0,1,0),0)+IF(AND(OR(Settings!$B$29="Card",Settings!$B$29="Loan"),AND('Month-End'!$FH$17&lt;&gt;"",NOT(_xlfn.ISFORMULA('Month-End'!$FH$17)))),IF(N('Month-End'!$FH$17)&lt;0,1,0),0)+IF(AND(OR(Settings!$B$30="Card",Settings!$B$30="Loan"),AND('Month-End'!$FH$18&lt;&gt;"",NOT(_xlfn.ISFORMULA('Month-End'!$FH$18)))),IF(N('Month-End'!$FH$18)&lt;0,1,0),0)+IF(AND(OR(Settings!$B$31="Card",Settings!$B$31="Loan"),AND('Month-End'!$FH$19&lt;&gt;"",NOT(_xlfn.ISFORMULA('Month-End'!$FH$19)))),IF(N('Month-End'!$FH$19)&lt;0,1,0),0)+IF(AND(OR(Settings!$B$32="Card",Settings!$B$32="Loan"),AND('Month-End'!$FH$20&lt;&gt;"",NOT(_xlfn.ISFORMULA('Month-End'!$FH$20)))),IF(N('Month-End'!$FH$20)&lt;0,1,0),0)</f>
        <v/>
      </c>
      <c r="DX167">
        <f>IF(Settings!$B$36="Retirement",$AY167,0)+IF(Settings!$B$37="Retirement",$AZ167,0)+IF(Settings!$B$38="Retirement",$BA167,0)+IF(Settings!$B$39="Retirement",$BB167,0)+IF(Settings!$B$40="Retirement",$BC167,0)+IF(Settings!$B$41="Retirement",$BD167,0)</f>
        <v/>
      </c>
      <c r="ET167">
        <f>IF($E167&lt;&gt;"open",0,IF(AND('Month-End'!$FH$22&lt;&gt;"",NOT(_xlfn.ISFORMULA('Month-End'!$FH$22))),0,IF(OR(Settings!$C$45="",Settings!$D$45=""),0,Settings!$C$45*IF(Settings!$D$45="Weekly",IF(IFERROR(MATCH(Settings!$E$45,$EO$4:$EO$10,0),0)=0,0,IF(MIN(Settings!$B$5,IF(Settings!$G$45="",Settings!$B$5,Settings!$G$45))&lt;MAX($A167,Settings!$F$45),0,INT((MIN(Settings!$B$5,IF(Settings!$G$45="",Settings!$B$5,Settings!$G$45))-MAX($A167,Settings!$F$45)-MOD(IFERROR(MATCH(Settings!$E$45,$EO$4:$EO$10,0),0)-WEEKDAY(MAX($A167,Settings!$F$45)),7))/7)+1)),IF(AND(IF(Settings!$E$45="",$B167,DATE(YEAR($A167),MONTH($A167),MIN(Settings!$E$45,DAY($B167))))&gt;=MAX($A167,Settings!$F$45),IF(Settings!$E$45="",$B167,DATE(YEAR($A167),MONTH($A167),MIN(Settings!$E$45,DAY($B167))))&lt;=MIN(Settings!$B$5,IF(Settings!$G$45="",Settings!$B$5,Settings!$G$45))),1,0)))))</f>
        <v/>
      </c>
      <c r="EU167">
        <f>IF($E167&lt;&gt;"open",0,IF(AND('Month-End'!$FH$23&lt;&gt;"",NOT(_xlfn.ISFORMULA('Month-End'!$FH$23))),0,IF(OR(Settings!$C$46="",Settings!$D$46=""),0,Settings!$C$46*IF(Settings!$D$46="Weekly",IF(IFERROR(MATCH(Settings!$E$46,$EO$4:$EO$10,0),0)=0,0,IF(MIN(Settings!$B$5,IF(Settings!$G$46="",Settings!$B$5,Settings!$G$46))&lt;MAX($A167,Settings!$F$46),0,INT((MIN(Settings!$B$5,IF(Settings!$G$46="",Settings!$B$5,Settings!$G$46))-MAX($A167,Settings!$F$46)-MOD(IFERROR(MATCH(Settings!$E$46,$EO$4:$EO$10,0),0)-WEEKDAY(MAX($A167,Settings!$F$46)),7))/7)+1)),IF(AND(IF(Settings!$E$46="",$B167,DATE(YEAR($A167),MONTH($A167),MIN(Settings!$E$46,DAY($B167))))&gt;=MAX($A167,Settings!$F$46),IF(Settings!$E$46="",$B167,DATE(YEAR($A167),MONTH($A167),MIN(Settings!$E$46,DAY($B167))))&lt;=MIN(Settings!$B$5,IF(Settings!$G$46="",Settings!$B$5,Settings!$G$46))),1,0)))))</f>
        <v/>
      </c>
      <c r="EV167">
        <f>IF($E167&lt;&gt;"open",0,IF(AND('Month-End'!$FH$24&lt;&gt;"",NOT(_xlfn.ISFORMULA('Month-End'!$FH$24))),0,IF(OR(Settings!$C$47="",Settings!$D$47=""),0,Settings!$C$47*IF(Settings!$D$47="Weekly",IF(IFERROR(MATCH(Settings!$E$47,$EO$4:$EO$10,0),0)=0,0,IF(MIN(Settings!$B$5,IF(Settings!$G$47="",Settings!$B$5,Settings!$G$47))&lt;MAX($A167,Settings!$F$47),0,INT((MIN(Settings!$B$5,IF(Settings!$G$47="",Settings!$B$5,Settings!$G$47))-MAX($A167,Settings!$F$47)-MOD(IFERROR(MATCH(Settings!$E$47,$EO$4:$EO$10,0),0)-WEEKDAY(MAX($A167,Settings!$F$47)),7))/7)+1)),IF(AND(IF(Settings!$E$47="",$B167,DATE(YEAR($A167),MONTH($A167),MIN(Settings!$E$47,DAY($B167))))&gt;=MAX($A167,Settings!$F$47),IF(Settings!$E$47="",$B167,DATE(YEAR($A167),MONTH($A167),MIN(Settings!$E$47,DAY($B167))))&lt;=MIN(Settings!$B$5,IF(Settings!$G$47="",Settings!$B$5,Settings!$G$47))),1,0)))))</f>
        <v/>
      </c>
      <c r="EW167">
        <f>IF($E167&lt;&gt;"open",0,IF(AND('Month-End'!$FH$25&lt;&gt;"",NOT(_xlfn.ISFORMULA('Month-End'!$FH$25))),0,IF(OR(Settings!$C$48="",Settings!$D$48=""),0,Settings!$C$48*IF(Settings!$D$48="Weekly",IF(IFERROR(MATCH(Settings!$E$48,$EO$4:$EO$10,0),0)=0,0,IF(MIN(Settings!$B$5,IF(Settings!$G$48="",Settings!$B$5,Settings!$G$48))&lt;MAX($A167,Settings!$F$48),0,INT((MIN(Settings!$B$5,IF(Settings!$G$48="",Settings!$B$5,Settings!$G$48))-MAX($A167,Settings!$F$48)-MOD(IFERROR(MATCH(Settings!$E$48,$EO$4:$EO$10,0),0)-WEEKDAY(MAX($A167,Settings!$F$48)),7))/7)+1)),IF(AND(IF(Settings!$E$48="",$B167,DATE(YEAR($A167),MONTH($A167),MIN(Settings!$E$48,DAY($B167))))&gt;=MAX($A167,Settings!$F$48),IF(Settings!$E$48="",$B167,DATE(YEAR($A167),MONTH($A167),MIN(Settings!$E$48,DAY($B167))))&lt;=MIN(Settings!$B$5,IF(Settings!$G$48="",Settings!$B$5,Settings!$G$48))),1,0)))))</f>
        <v/>
      </c>
      <c r="EX167">
        <f>IF($E167&lt;&gt;"open",0,IF(AND('Month-End'!$FH$26&lt;&gt;"",NOT(_xlfn.ISFORMULA('Month-End'!$FH$26))),0,IF(OR(Settings!$C$49="",Settings!$D$49=""),0,Settings!$C$49*IF(Settings!$D$49="Weekly",IF(IFERROR(MATCH(Settings!$E$49,$EO$4:$EO$10,0),0)=0,0,IF(MIN(Settings!$B$5,IF(Settings!$G$49="",Settings!$B$5,Settings!$G$49))&lt;MAX($A167,Settings!$F$49),0,INT((MIN(Settings!$B$5,IF(Settings!$G$49="",Settings!$B$5,Settings!$G$49))-MAX($A167,Settings!$F$49)-MOD(IFERROR(MATCH(Settings!$E$49,$EO$4:$EO$10,0),0)-WEEKDAY(MAX($A167,Settings!$F$49)),7))/7)+1)),IF(AND(IF(Settings!$E$49="",$B167,DATE(YEAR($A167),MONTH($A167),MIN(Settings!$E$49,DAY($B167))))&gt;=MAX($A167,Settings!$F$49),IF(Settings!$E$49="",$B167,DATE(YEAR($A167),MONTH($A167),MIN(Settings!$E$49,DAY($B167))))&lt;=MIN(Settings!$B$5,IF(Settings!$G$49="",Settings!$B$5,Settings!$G$49))),1,0)))))</f>
        <v/>
      </c>
      <c r="EY167">
        <f>IF($E167&lt;&gt;"open",0,IF(AND('Month-End'!$FH$27&lt;&gt;"",NOT(_xlfn.ISFORMULA('Month-End'!$FH$27))),0,IF(OR(Settings!$C$50="",Settings!$D$50=""),0,Settings!$C$50*IF(Settings!$D$50="Weekly",IF(IFERROR(MATCH(Settings!$E$50,$EO$4:$EO$10,0),0)=0,0,IF(MIN(Settings!$B$5,IF(Settings!$G$50="",Settings!$B$5,Settings!$G$50))&lt;MAX($A167,Settings!$F$50),0,INT((MIN(Settings!$B$5,IF(Settings!$G$50="",Settings!$B$5,Settings!$G$50))-MAX($A167,Settings!$F$50)-MOD(IFERROR(MATCH(Settings!$E$50,$EO$4:$EO$10,0),0)-WEEKDAY(MAX($A167,Settings!$F$50)),7))/7)+1)),IF(AND(IF(Settings!$E$50="",$B167,DATE(YEAR($A167),MONTH($A167),MIN(Settings!$E$50,DAY($B167))))&gt;=MAX($A167,Settings!$F$50),IF(Settings!$E$50="",$B167,DATE(YEAR($A167),MONTH($A167),MIN(Settings!$E$50,DAY($B167))))&lt;=MIN(Settings!$B$5,IF(Settings!$G$50="",Settings!$B$5,Settings!$G$50))),1,0)))))</f>
        <v/>
      </c>
      <c r="EZ167">
        <f>IF($E167&lt;&gt;"open",0,IF(AND('Month-End'!$FH$28&lt;&gt;"",NOT(_xlfn.ISFORMULA('Month-End'!$FH$28))),0,IF(OR(Settings!$C$51="",Settings!$D$51=""),0,Settings!$C$51*IF(Settings!$D$51="Weekly",IF(IFERROR(MATCH(Settings!$E$51,$EO$4:$EO$10,0),0)=0,0,IF(MIN(Settings!$B$5,IF(Settings!$G$51="",Settings!$B$5,Settings!$G$51))&lt;MAX($A167,Settings!$F$51),0,INT((MIN(Settings!$B$5,IF(Settings!$G$51="",Settings!$B$5,Settings!$G$51))-MAX($A167,Settings!$F$51)-MOD(IFERROR(MATCH(Settings!$E$51,$EO$4:$EO$10,0),0)-WEEKDAY(MAX($A167,Settings!$F$51)),7))/7)+1)),IF(AND(IF(Settings!$E$51="",$B167,DATE(YEAR($A167),MONTH($A167),MIN(Settings!$E$51,DAY($B167))))&gt;=MAX($A167,Settings!$F$51),IF(Settings!$E$51="",$B167,DATE(YEAR($A167),MONTH($A167),MIN(Settings!$E$51,DAY($B167))))&lt;=MIN(Settings!$B$5,IF(Settings!$G$51="",Settings!$B$5,Settings!$G$51))),1,0)))))</f>
        <v/>
      </c>
      <c r="FA167">
        <f>IF($E167&lt;&gt;"open",0,IF(AND('Month-End'!$FH$29&lt;&gt;"",NOT(_xlfn.ISFORMULA('Month-End'!$FH$29))),0,IF(OR(Settings!$C$52="",Settings!$D$52=""),0,Settings!$C$52*IF(Settings!$D$52="Weekly",IF(IFERROR(MATCH(Settings!$E$52,$EO$4:$EO$10,0),0)=0,0,IF(MIN(Settings!$B$5,IF(Settings!$G$52="",Settings!$B$5,Settings!$G$52))&lt;MAX($A167,Settings!$F$52),0,INT((MIN(Settings!$B$5,IF(Settings!$G$52="",Settings!$B$5,Settings!$G$52))-MAX($A167,Settings!$F$52)-MOD(IFERROR(MATCH(Settings!$E$52,$EO$4:$EO$10,0),0)-WEEKDAY(MAX($A167,Settings!$F$52)),7))/7)+1)),IF(AND(IF(Settings!$E$52="",$B167,DATE(YEAR($A167),MONTH($A167),MIN(Settings!$E$52,DAY($B167))))&gt;=MAX($A167,Settings!$F$52),IF(Settings!$E$52="",$B167,DATE(YEAR($A167),MONTH($A167),MIN(Settings!$E$52,DAY($B167))))&lt;=MIN(Settings!$B$5,IF(Settings!$G$52="",Settings!$B$5,Settings!$G$52))),1,0)))))</f>
        <v/>
      </c>
      <c r="FB167">
        <f>IF($E167&lt;&gt;"open",0,IF(AND('Month-End'!$FH$30&lt;&gt;"",NOT(_xlfn.ISFORMULA('Month-End'!$FH$30))),0,IF(OR(Settings!$C$53="",Settings!$D$53=""),0,Settings!$C$53*IF(Settings!$D$53="Weekly",IF(IFERROR(MATCH(Settings!$E$53,$EO$4:$EO$10,0),0)=0,0,IF(MIN(Settings!$B$5,IF(Settings!$G$53="",Settings!$B$5,Settings!$G$53))&lt;MAX($A167,Settings!$F$53),0,INT((MIN(Settings!$B$5,IF(Settings!$G$53="",Settings!$B$5,Settings!$G$53))-MAX($A167,Settings!$F$53)-MOD(IFERROR(MATCH(Settings!$E$53,$EO$4:$EO$10,0),0)-WEEKDAY(MAX($A167,Settings!$F$53)),7))/7)+1)),IF(AND(IF(Settings!$E$53="",$B167,DATE(YEAR($A167),MONTH($A167),MIN(Settings!$E$53,DAY($B167))))&gt;=MAX($A167,Settings!$F$53),IF(Settings!$E$53="",$B167,DATE(YEAR($A167),MONTH($A167),MIN(Settings!$E$53,DAY($B167))))&lt;=MIN(Settings!$B$5,IF(Settings!$G$53="",Settings!$B$5,Settings!$G$53))),1,0)))))</f>
        <v/>
      </c>
      <c r="FC167">
        <f>IF($E167&lt;&gt;"open",0,IF(AND('Month-End'!$FH$31&lt;&gt;"",NOT(_xlfn.ISFORMULA('Month-End'!$FH$31))),0,IF(OR(Settings!$C$54="",Settings!$D$54=""),0,Settings!$C$54*IF(Settings!$D$54="Weekly",IF(IFERROR(MATCH(Settings!$E$54,$EO$4:$EO$10,0),0)=0,0,IF(MIN(Settings!$B$5,IF(Settings!$G$54="",Settings!$B$5,Settings!$G$54))&lt;MAX($A167,Settings!$F$54),0,INT((MIN(Settings!$B$5,IF(Settings!$G$54="",Settings!$B$5,Settings!$G$54))-MAX($A167,Settings!$F$54)-MOD(IFERROR(MATCH(Settings!$E$54,$EO$4:$EO$10,0),0)-WEEKDAY(MAX($A167,Settings!$F$54)),7))/7)+1)),IF(AND(IF(Settings!$E$54="",$B167,DATE(YEAR($A167),MONTH($A167),MIN(Settings!$E$54,DAY($B167))))&gt;=MAX($A167,Settings!$F$54),IF(Settings!$E$54="",$B167,DATE(YEAR($A167),MONTH($A167),MIN(Settings!$E$54,DAY($B167))))&lt;=MIN(Settings!$B$5,IF(Settings!$G$54="",Settings!$B$5,Settings!$G$54))),1,0)))))</f>
        <v/>
      </c>
      <c r="FD167">
        <f>IF($E167&lt;&gt;"open",0,IF(AND('Month-End'!$FH$32&lt;&gt;"",NOT(_xlfn.ISFORMULA('Month-End'!$FH$32))),0,IF(OR(Settings!$C$55="",Settings!$D$55=""),0,Settings!$C$55*IF(Settings!$D$55="Weekly",IF(IFERROR(MATCH(Settings!$E$55,$EO$4:$EO$10,0),0)=0,0,IF(MIN(Settings!$B$5,IF(Settings!$G$55="",Settings!$B$5,Settings!$G$55))&lt;MAX($A167,Settings!$F$55),0,INT((MIN(Settings!$B$5,IF(Settings!$G$55="",Settings!$B$5,Settings!$G$55))-MAX($A167,Settings!$F$55)-MOD(IFERROR(MATCH(Settings!$E$55,$EO$4:$EO$10,0),0)-WEEKDAY(MAX($A167,Settings!$F$55)),7))/7)+1)),IF(AND(IF(Settings!$E$55="",$B167,DATE(YEAR($A167),MONTH($A167),MIN(Settings!$E$55,DAY($B167))))&gt;=MAX($A167,Settings!$F$55),IF(Settings!$E$55="",$B167,DATE(YEAR($A167),MONTH($A167),MIN(Settings!$E$55,DAY($B167))))&lt;=MIN(Settings!$B$5,IF(Settings!$G$55="",Settings!$B$5,Settings!$G$55))),1,0)))))</f>
        <v/>
      </c>
      <c r="FE167">
        <f>IF($E167&lt;&gt;"open",0,IF(AND('Month-End'!$FH$33&lt;&gt;"",NOT(_xlfn.ISFORMULA('Month-End'!$FH$33))),0,IF(OR(Settings!$C$56="",Settings!$D$56=""),0,Settings!$C$56*IF(Settings!$D$56="Weekly",IF(IFERROR(MATCH(Settings!$E$56,$EO$4:$EO$10,0),0)=0,0,IF(MIN(Settings!$B$5,IF(Settings!$G$56="",Settings!$B$5,Settings!$G$56))&lt;MAX($A167,Settings!$F$56),0,INT((MIN(Settings!$B$5,IF(Settings!$G$56="",Settings!$B$5,Settings!$G$56))-MAX($A167,Settings!$F$56)-MOD(IFERROR(MATCH(Settings!$E$56,$EO$4:$EO$10,0),0)-WEEKDAY(MAX($A167,Settings!$F$56)),7))/7)+1)),IF(AND(IF(Settings!$E$56="",$B167,DATE(YEAR($A167),MONTH($A167),MIN(Settings!$E$56,DAY($B167))))&gt;=MAX($A167,Settings!$F$56),IF(Settings!$E$56="",$B167,DATE(YEAR($A167),MONTH($A167),MIN(Settings!$E$56,DAY($B167))))&lt;=MIN(Settings!$B$5,IF(Settings!$G$56="",Settings!$B$5,Settings!$G$56))),1,0)))))</f>
        <v/>
      </c>
      <c r="FF167">
        <f>IF(Settings!$I$45="Yes",$G167,0)+IF(Settings!$I$46="Yes",$H167,0)+IF(Settings!$I$47="Yes",$I167,0)+IF(Settings!$I$48="Yes",$J167,0)+IF(Settings!$I$49="Yes",$K167,0)+IF(Settings!$I$50="Yes",$L167,0)+IF(Settings!$I$51="Yes",$M167,0)+IF(Settings!$I$52="Yes",$N167,0)+IF(Settings!$I$53="Yes",$O167,0)+IF(Settings!$I$54="Yes",$P167,0)+IF(Settings!$I$55="Yes",$Q167,0)+IF(Settings!$I$56="Yes",$R167,0)</f>
        <v/>
      </c>
      <c r="FG167">
        <f>IF(AND(Settings!$I$45="Yes",Settings!$J$45="No"),$G167,0)+IF(AND(Settings!$I$46="Yes",Settings!$J$46="No"),$H167,0)+IF(AND(Settings!$I$47="Yes",Settings!$J$47="No"),$I167,0)+IF(AND(Settings!$I$48="Yes",Settings!$J$48="No"),$J167,0)+IF(AND(Settings!$I$49="Yes",Settings!$J$49="No"),$K167,0)+IF(AND(Settings!$I$50="Yes",Settings!$J$50="No"),$L167,0)+IF(AND(Settings!$I$51="Yes",Settings!$J$51="No"),$M167,0)+IF(AND(Settings!$I$52="Yes",Settings!$J$52="No"),$N167,0)+IF(AND(Settings!$I$53="Yes",Settings!$J$53="No"),$O167,0)+IF(AND(Settings!$I$54="Yes",Settings!$J$54="No"),$P167,0)+IF(AND(Settings!$I$55="Yes",Settings!$J$55="No"),$Q167,0)+IF(AND(Settings!$I$56="Yes",Settings!$J$56="No"),$R167,0)</f>
        <v/>
      </c>
      <c r="FH167">
        <f>SUMIFS(Giving!$B$7:$B$2006,Giving!$A$7:$A$2006,"&gt;="&amp;$A167,Giving!$A$7:$A$2006,"&lt;="&amp;$B167,Giving!$G$7:$G$2006,"Yes")+IF(OR(OR(Settings!$B$60="",Settings!$F$60="No"),Settings!$H$60&lt;&gt;"Yes"),0,Settings!$B$60*IF(AND(IF(Settings!$C$60="",$B167,DATE(YEAR($A167),MONTH($A167),MIN(Settings!$C$60,DAY($B167))))&gt;=MAX($A167,Settings!$D$60),IF(Settings!$C$60="",$B167,DATE(YEAR($A167),MONTH($A167),MIN(Settings!$C$60,DAY($B167))))&lt;=MIN($C167,IF(Settings!$E$60="",$C167,Settings!$E$60))),1,0))+IF(OR(OR(Settings!$B$61="",Settings!$F$61="No"),Settings!$H$61&lt;&gt;"Yes"),0,Settings!$B$61*IF(AND(IF(Settings!$C$61="",$B167,DATE(YEAR($A167),MONTH($A167),MIN(Settings!$C$61,DAY($B167))))&gt;=MAX($A167,Settings!$D$61),IF(Settings!$C$61="",$B167,DATE(YEAR($A167),MONTH($A167),MIN(Settings!$C$61,DAY($B167))))&lt;=MIN($C167,IF(Settings!$E$61="",$C167,Settings!$E$61))),1,0))+IF(OR(OR(Settings!$B$62="",Settings!$F$62="No"),Settings!$H$62&lt;&gt;"Yes"),0,Settings!$B$62*IF(AND(IF(Settings!$C$62="",$B167,DATE(YEAR($A167),MONTH($A167),MIN(Settings!$C$62,DAY($B167))))&gt;=MAX($A167,Settings!$D$62),IF(Settings!$C$62="",$B167,DATE(YEAR($A167),MONTH($A167),MIN(Settings!$C$62,DAY($B167))))&lt;=MIN($C167,IF(Settings!$E$62="",$C167,Settings!$E$62))),1,0))+IF(OR(OR(Settings!$B$63="",Settings!$F$63="No"),Settings!$H$63&lt;&gt;"Yes"),0,Settings!$B$63*IF(AND(IF(Settings!$C$63="",$B167,DATE(YEAR($A167),MONTH($A167),MIN(Settings!$C$63,DAY($B167))))&gt;=MAX($A167,Settings!$D$63),IF(Settings!$C$63="",$B167,DATE(YEAR($A167),MONTH($A167),MIN(Settings!$C$63,DAY($B167))))&lt;=MIN($C167,IF(Settings!$E$63="",$C167,Settings!$E$63))),1,0))+IF(OR(OR(Settings!$B$64="",Settings!$F$64="No"),Settings!$H$64&lt;&gt;"Yes"),0,Settings!$B$64*IF(AND(IF(Settings!$C$64="",$B167,DATE(YEAR($A167),MONTH($A167),MIN(Settings!$C$64,DAY($B167))))&gt;=MAX($A167,Settings!$D$64),IF(Settings!$C$64="",$B167,DATE(YEAR($A167),MONTH($A167),MIN(Settings!$C$64,DAY($B167))))&lt;=MIN($C167,IF(Settings!$E$64="",$C167,Settings!$E$64))),1,0))+IF(OR(OR(Settings!$B$65="",Settings!$F$65="No"),Settings!$H$65&lt;&gt;"Yes"),0,Settings!$B$65*IF(AND(IF(Settings!$C$65="",$B167,DATE(YEAR($A167),MONTH($A167),MIN(Settings!$C$65,DAY($B167))))&gt;=MAX($A167,Settings!$D$65),IF(Settings!$C$65="",$B167,DATE(YEAR($A167),MONTH($A167),MIN(Settings!$C$65,DAY($B167))))&lt;=MIN($C167,IF(Settings!$E$65="",$C167,Settings!$E$65))),1,0))</f>
        <v/>
      </c>
      <c r="FI167">
        <f>IF($DT167=1,IF(OR(Settings!$B$19="Card",Settings!$B$19="Loan"),N($AE167),0)+IF(OR(Settings!$B$20="Card",Settings!$B$20="Loan"),N($AF167),0)+IF(OR(Settings!$B$21="Card",Settings!$B$21="Loan"),N($AG167),0)+IF(OR(Settings!$B$22="Card",Settings!$B$22="Loan"),N($AH167),0)+IF(OR(Settings!$B$23="Card",Settings!$B$23="Loan"),N($AI167),0)+IF(OR(Settings!$B$24="Card",Settings!$B$24="Loan"),N($AJ167),0)+IF(OR(Settings!$B$25="Card",Settings!$B$25="Loan"),N($AK167),0)+IF(OR(Settings!$B$26="Card",Settings!$B$26="Loan"),N($AL167),0)+IF(OR(Settings!$B$27="Card",Settings!$B$27="Loan"),N($AM167),0)+IF(OR(Settings!$B$28="Card",Settings!$B$28="Loan"),N($AN167),0)+IF(OR(Settings!$B$29="Card",Settings!$B$29="Loan"),N($AO167),0)+IF(OR(Settings!$B$30="Card",Settings!$B$30="Loan"),N($AP167),0)+IF(OR(Settings!$B$31="Card",Settings!$B$31="Loan"),N($AQ167),0)+IF(OR(Settings!$B$32="Card",Settings!$B$32="Loan"),N($AR167),0),"")</f>
        <v/>
      </c>
      <c r="FJ167">
        <f>IF($E167="open",$EB$65,IF($E167="post",IF($E166="pre",$EB$65,$FI166),""))</f>
        <v/>
      </c>
      <c r="FK167">
        <f>IF(AND($DT167=1,$DC167=1),IF(ROUND($FI167-$FJ167,2)&gt;0,1,0),0)</f>
        <v/>
      </c>
      <c r="FL167">
        <f>IF($FK167=1,$FL166+1,0)</f>
        <v/>
      </c>
    </row>
    <row r="168">
      <c r="A168">
        <f>'Month-End'!$FI$4</f>
        <v/>
      </c>
      <c r="B168">
        <f>EOMONTH($A168,0)</f>
        <v/>
      </c>
      <c r="C168">
        <f>MIN($B168,TODAY())</f>
        <v/>
      </c>
      <c r="D168">
        <f>IF($A168&gt;TODAY(),1,0)</f>
        <v/>
      </c>
      <c r="E168">
        <f>IF($B168&lt;=Settings!$B$5,"pre",IF($A168&lt;=Settings!$B$5,"open","post"))</f>
        <v/>
      </c>
      <c r="G168">
        <f>IF('Month-End'!$FI$22="",$BE168,N('Month-End'!$FI$22))</f>
        <v/>
      </c>
      <c r="H168">
        <f>IF('Month-End'!$FI$23="",$BF168,N('Month-End'!$FI$23))</f>
        <v/>
      </c>
      <c r="I168">
        <f>IF('Month-End'!$FI$24="",$BG168,N('Month-End'!$FI$24))</f>
        <v/>
      </c>
      <c r="J168">
        <f>IF('Month-End'!$FI$25="",$BH168,N('Month-End'!$FI$25))</f>
        <v/>
      </c>
      <c r="K168">
        <f>IF('Month-End'!$FI$26="",$BI168,N('Month-End'!$FI$26))</f>
        <v/>
      </c>
      <c r="L168">
        <f>IF('Month-End'!$FI$27="",$BJ168,N('Month-End'!$FI$27))</f>
        <v/>
      </c>
      <c r="M168">
        <f>IF('Month-End'!$FI$28="",$BK168,N('Month-End'!$FI$28))</f>
        <v/>
      </c>
      <c r="N168">
        <f>IF('Month-End'!$FI$29="",$BL168,N('Month-End'!$FI$29))</f>
        <v/>
      </c>
      <c r="O168">
        <f>IF('Month-End'!$FI$30="",$BM168,N('Month-End'!$FI$30))</f>
        <v/>
      </c>
      <c r="P168">
        <f>IF('Month-End'!$FI$31="",$BN168,N('Month-End'!$FI$31))</f>
        <v/>
      </c>
      <c r="Q168">
        <f>IF('Month-End'!$FI$32="",$BO168,N('Month-End'!$FI$32))</f>
        <v/>
      </c>
      <c r="R168">
        <f>IF('Month-End'!$FI$33="",$BP168,N('Month-End'!$FI$33))</f>
        <v/>
      </c>
      <c r="S168">
        <f>$G168+$H168+$I168+$J168+$K168+$L168+$M168+$N168+$O168+$P168+$Q168+$R168</f>
        <v/>
      </c>
      <c r="T168">
        <f>IF($B168&lt;Settings!$B$6,0,IF(Settings!$B$45="Yes",$G168,0)+IF(Settings!$B$46="Yes",$H168,0)+IF(Settings!$B$47="Yes",$I168,0)+IF(Settings!$B$48="Yes",$J168,0)+IF(Settings!$B$49="Yes",$K168,0)+IF(Settings!$B$50="Yes",$L168,0)+IF(Settings!$B$51="Yes",$M168,0)+IF(Settings!$B$52="Yes",$N168,0)+IF(Settings!$B$53="Yes",$O168,0)+IF(Settings!$B$54="Yes",$P168,0)+IF(Settings!$B$55="Yes",$Q168,0)+IF(Settings!$B$56="Yes",$R168,0))</f>
        <v/>
      </c>
      <c r="U168">
        <f>IF(Settings!$B$45="Not Sure",$G168,0)+IF(Settings!$B$46="Not Sure",$H168,0)+IF(Settings!$B$47="Not Sure",$I168,0)+IF(Settings!$B$48="Not Sure",$J168,0)+IF(Settings!$B$49="Not Sure",$K168,0)+IF(Settings!$B$50="Not Sure",$L168,0)+IF(Settings!$B$51="Not Sure",$M168,0)+IF(Settings!$B$52="Not Sure",$N168,0)+IF(Settings!$B$53="Not Sure",$O168,0)+IF(Settings!$B$54="Not Sure",$P168,0)+IF(Settings!$B$55="Not Sure",$Q168,0)+IF(Settings!$B$56="Not Sure",$R168,0)</f>
        <v/>
      </c>
      <c r="V168">
        <f>IF($E168="open",SUM($ET168:$FE168)+N(Settings!$B$13),0)</f>
        <v/>
      </c>
      <c r="W168">
        <f>IF($E168="post",$S168,IF($E168="open",$S168-$V168,0))</f>
        <v/>
      </c>
      <c r="X168">
        <f>SUMIFS(Giving!$B$7:$B$2006,Giving!$A$7:$A$2006,"&gt;="&amp;$A168,Giving!$A$7:$A$2006,"&lt;="&amp;$B168,Giving!$E$7:$E$2006,"&lt;&gt;No")</f>
        <v/>
      </c>
      <c r="Y168">
        <f>SUMIFS(Giving!$B$7:$B$2006,Giving!$A$7:$A$2006,"&gt;="&amp;$A168,Giving!$A$7:$A$2006,"&lt;="&amp;$B168,Giving!$E$7:$E$2006,"No")</f>
        <v/>
      </c>
      <c r="Z168">
        <f>IF(OR(Settings!$B$60="",Settings!$F$60="No"),0,Settings!$B$60*IF(AND(IF(Settings!$C$60="",$B168,DATE(YEAR($A168),MONTH($A168),MIN(Settings!$C$60,DAY($B168))))&gt;=MAX($A168,Settings!$D$60),IF(Settings!$C$60="",$B168,DATE(YEAR($A168),MONTH($A168),MIN(Settings!$C$60,DAY($B168))))&lt;=MIN($C168,IF(Settings!$E$60="",$C168,Settings!$E$60))),1,0))+IF(OR(Settings!$B$61="",Settings!$F$61="No"),0,Settings!$B$61*IF(AND(IF(Settings!$C$61="",$B168,DATE(YEAR($A168),MONTH($A168),MIN(Settings!$C$61,DAY($B168))))&gt;=MAX($A168,Settings!$D$61),IF(Settings!$C$61="",$B168,DATE(YEAR($A168),MONTH($A168),MIN(Settings!$C$61,DAY($B168))))&lt;=MIN($C168,IF(Settings!$E$61="",$C168,Settings!$E$61))),1,0))+IF(OR(Settings!$B$62="",Settings!$F$62="No"),0,Settings!$B$62*IF(AND(IF(Settings!$C$62="",$B168,DATE(YEAR($A168),MONTH($A168),MIN(Settings!$C$62,DAY($B168))))&gt;=MAX($A168,Settings!$D$62),IF(Settings!$C$62="",$B168,DATE(YEAR($A168),MONTH($A168),MIN(Settings!$C$62,DAY($B168))))&lt;=MIN($C168,IF(Settings!$E$62="",$C168,Settings!$E$62))),1,0))+IF(OR(Settings!$B$63="",Settings!$F$63="No"),0,Settings!$B$63*IF(AND(IF(Settings!$C$63="",$B168,DATE(YEAR($A168),MONTH($A168),MIN(Settings!$C$63,DAY($B168))))&gt;=MAX($A168,Settings!$D$63),IF(Settings!$C$63="",$B168,DATE(YEAR($A168),MONTH($A168),MIN(Settings!$C$63,DAY($B168))))&lt;=MIN($C168,IF(Settings!$E$63="",$C168,Settings!$E$63))),1,0))+IF(OR(Settings!$B$64="",Settings!$F$64="No"),0,Settings!$B$64*IF(AND(IF(Settings!$C$64="",$B168,DATE(YEAR($A168),MONTH($A168),MIN(Settings!$C$64,DAY($B168))))&gt;=MAX($A168,Settings!$D$64),IF(Settings!$C$64="",$B168,DATE(YEAR($A168),MONTH($A168),MIN(Settings!$C$64,DAY($B168))))&lt;=MIN($C168,IF(Settings!$E$64="",$C168,Settings!$E$64))),1,0))+IF(OR(Settings!$B$65="",Settings!$F$65="No"),0,Settings!$B$65*IF(AND(IF(Settings!$C$65="",$B168,DATE(YEAR($A168),MONTH($A168),MIN(Settings!$C$65,DAY($B168))))&gt;=MAX($A168,Settings!$D$65),IF(Settings!$C$65="",$B168,DATE(YEAR($A168),MONTH($A168),MIN(Settings!$C$65,DAY($B168))))&lt;=MIN($C168,IF(Settings!$E$65="",$C168,Settings!$E$65))),1,0))</f>
        <v/>
      </c>
      <c r="AA168">
        <f>$X168+$Z168</f>
        <v/>
      </c>
      <c r="AB168">
        <f>IF($E168="post",$AA168,IF($E168="open",SUMIFS(Giving!$B$7:$B$2006,Giving!$A$7:$A$2006,"&gt;"&amp;Settings!$B$5,Giving!$A$7:$A$2006,"&lt;="&amp;$B168,Giving!$E$7:$E$2006,"&lt;&gt;No")+IF(OR(Settings!$B$60="",Settings!$F$60="No"),0,Settings!$B$60*IF(AND(IF(Settings!$C$60="",$B168,DATE(YEAR($A168),MONTH($A168),MIN(Settings!$C$60,DAY($B168))))&gt;=MAX($A168,Settings!$D$60,Settings!$B$5+1),IF(Settings!$C$60="",$B168,DATE(YEAR($A168),MONTH($A168),MIN(Settings!$C$60,DAY($B168))))&lt;=MIN($C168,IF(Settings!$E$60="",$C168,Settings!$E$60))),1,0))+IF(OR(Settings!$B$61="",Settings!$F$61="No"),0,Settings!$B$61*IF(AND(IF(Settings!$C$61="",$B168,DATE(YEAR($A168),MONTH($A168),MIN(Settings!$C$61,DAY($B168))))&gt;=MAX($A168,Settings!$D$61,Settings!$B$5+1),IF(Settings!$C$61="",$B168,DATE(YEAR($A168),MONTH($A168),MIN(Settings!$C$61,DAY($B168))))&lt;=MIN($C168,IF(Settings!$E$61="",$C168,Settings!$E$61))),1,0))+IF(OR(Settings!$B$62="",Settings!$F$62="No"),0,Settings!$B$62*IF(AND(IF(Settings!$C$62="",$B168,DATE(YEAR($A168),MONTH($A168),MIN(Settings!$C$62,DAY($B168))))&gt;=MAX($A168,Settings!$D$62,Settings!$B$5+1),IF(Settings!$C$62="",$B168,DATE(YEAR($A168),MONTH($A168),MIN(Settings!$C$62,DAY($B168))))&lt;=MIN($C168,IF(Settings!$E$62="",$C168,Settings!$E$62))),1,0))+IF(OR(Settings!$B$63="",Settings!$F$63="No"),0,Settings!$B$63*IF(AND(IF(Settings!$C$63="",$B168,DATE(YEAR($A168),MONTH($A168),MIN(Settings!$C$63,DAY($B168))))&gt;=MAX($A168,Settings!$D$63,Settings!$B$5+1),IF(Settings!$C$63="",$B168,DATE(YEAR($A168),MONTH($A168),MIN(Settings!$C$63,DAY($B168))))&lt;=MIN($C168,IF(Settings!$E$63="",$C168,Settings!$E$63))),1,0))+IF(OR(Settings!$B$64="",Settings!$F$64="No"),0,Settings!$B$64*IF(AND(IF(Settings!$C$64="",$B168,DATE(YEAR($A168),MONTH($A168),MIN(Settings!$C$64,DAY($B168))))&gt;=MAX($A168,Settings!$D$64,Settings!$B$5+1),IF(Settings!$C$64="",$B168,DATE(YEAR($A168),MONTH($A168),MIN(Settings!$C$64,DAY($B168))))&lt;=MIN($C168,IF(Settings!$E$64="",$C168,Settings!$E$64))),1,0))+IF(OR(Settings!$B$65="",Settings!$F$65="No"),0,Settings!$B$65*IF(AND(IF(Settings!$C$65="",$B168,DATE(YEAR($A168),MONTH($A168),MIN(Settings!$C$65,DAY($B168))))&gt;=MAX($A168,Settings!$D$65,Settings!$B$5+1),IF(Settings!$C$65="",$B168,DATE(YEAR($A168),MONTH($A168),MIN(Settings!$C$65,DAY($B168))))&lt;=MIN($C168,IF(Settings!$E$65="",$C168,Settings!$E$65))),1,0)),0))</f>
        <v/>
      </c>
      <c r="AC168">
        <f>$AY168+$AZ168+$BA168+$BB168+$BC168+$BD168</f>
        <v/>
      </c>
      <c r="AD168">
        <f>$AC168</f>
        <v/>
      </c>
      <c r="AE168">
        <f>IF(OR(Settings!$A$19="",$E168="pre"),"",IF(AND('Month-End'!$FI$7&lt;&gt;"",NOT(_xlfn.ISFORMULA('Month-End'!$FI$7))),N('Month-End'!$FI$7),IF(OR($E168="open",$E167="pre"),N(Settings!$C$19),N($AE167))))</f>
        <v/>
      </c>
      <c r="AF168">
        <f>IF(OR(Settings!$A$20="",$E168="pre"),"",IF(AND('Month-End'!$FI$8&lt;&gt;"",NOT(_xlfn.ISFORMULA('Month-End'!$FI$8))),N('Month-End'!$FI$8),IF(OR($E168="open",$E167="pre"),N(Settings!$C$20),N($AF167))))</f>
        <v/>
      </c>
      <c r="AG168">
        <f>IF(OR(Settings!$A$21="",$E168="pre"),"",IF(AND('Month-End'!$FI$9&lt;&gt;"",NOT(_xlfn.ISFORMULA('Month-End'!$FI$9))),N('Month-End'!$FI$9),IF(OR($E168="open",$E167="pre"),N(Settings!$C$21),N($AG167))))</f>
        <v/>
      </c>
      <c r="AH168">
        <f>IF(OR(Settings!$A$22="",$E168="pre"),"",IF(AND('Month-End'!$FI$10&lt;&gt;"",NOT(_xlfn.ISFORMULA('Month-End'!$FI$10))),N('Month-End'!$FI$10),IF(OR($E168="open",$E167="pre"),N(Settings!$C$22),N($AH167))))</f>
        <v/>
      </c>
      <c r="AI168">
        <f>IF(OR(Settings!$A$23="",$E168="pre"),"",IF(AND('Month-End'!$FI$11&lt;&gt;"",NOT(_xlfn.ISFORMULA('Month-End'!$FI$11))),N('Month-End'!$FI$11),IF(OR($E168="open",$E167="pre"),N(Settings!$C$23),N($AI167))))</f>
        <v/>
      </c>
      <c r="AJ168">
        <f>IF(OR(Settings!$A$24="",$E168="pre"),"",IF(AND('Month-End'!$FI$12&lt;&gt;"",NOT(_xlfn.ISFORMULA('Month-End'!$FI$12))),N('Month-End'!$FI$12),IF(OR($E168="open",$E167="pre"),N(Settings!$C$24),N($AJ167))))</f>
        <v/>
      </c>
      <c r="AK168">
        <f>IF(OR(Settings!$A$25="",$E168="pre"),"",IF(AND('Month-End'!$FI$13&lt;&gt;"",NOT(_xlfn.ISFORMULA('Month-End'!$FI$13))),N('Month-End'!$FI$13),IF(OR($E168="open",$E167="pre"),N(Settings!$C$25),N($AK167))))</f>
        <v/>
      </c>
      <c r="AL168">
        <f>IF(OR(Settings!$A$26="",$E168="pre"),"",IF(AND('Month-End'!$FI$14&lt;&gt;"",NOT(_xlfn.ISFORMULA('Month-End'!$FI$14))),N('Month-End'!$FI$14),IF(OR($E168="open",$E167="pre"),N(Settings!$C$26),N($AL167))))</f>
        <v/>
      </c>
      <c r="AM168">
        <f>IF(OR(Settings!$A$27="",$E168="pre"),"",IF(AND('Month-End'!$FI$15&lt;&gt;"",NOT(_xlfn.ISFORMULA('Month-End'!$FI$15))),N('Month-End'!$FI$15),IF(OR($E168="open",$E167="pre"),N(Settings!$C$27),N($AM167))))</f>
        <v/>
      </c>
      <c r="AN168">
        <f>IF(OR(Settings!$A$28="",$E168="pre"),"",IF(AND('Month-End'!$FI$16&lt;&gt;"",NOT(_xlfn.ISFORMULA('Month-End'!$FI$16))),N('Month-End'!$FI$16),IF(OR($E168="open",$E167="pre"),N(Settings!$C$28),N($AN167))))</f>
        <v/>
      </c>
      <c r="AO168">
        <f>IF(OR(Settings!$A$29="",$E168="pre"),"",IF(AND('Month-End'!$FI$17&lt;&gt;"",NOT(_xlfn.ISFORMULA('Month-End'!$FI$17))),N('Month-End'!$FI$17),IF(OR($E168="open",$E167="pre"),N(Settings!$C$29),N($AO167))))</f>
        <v/>
      </c>
      <c r="AP168">
        <f>IF(OR(Settings!$A$30="",$E168="pre"),"",IF(AND('Month-End'!$FI$18&lt;&gt;"",NOT(_xlfn.ISFORMULA('Month-End'!$FI$18))),N('Month-End'!$FI$18),IF(OR($E168="open",$E167="pre"),N(Settings!$C$30),N($AP167))))</f>
        <v/>
      </c>
      <c r="AQ168">
        <f>IF(OR(Settings!$A$31="",$E168="pre"),"",IF(AND('Month-End'!$FI$19&lt;&gt;"",NOT(_xlfn.ISFORMULA('Month-End'!$FI$19))),N('Month-End'!$FI$19),IF(OR($E168="open",$E167="pre"),N(Settings!$C$31),N($AQ167))))</f>
        <v/>
      </c>
      <c r="AR168">
        <f>IF(OR(Settings!$A$32="",$E168="pre"),"",IF(AND('Month-End'!$FI$20&lt;&gt;"",NOT(_xlfn.ISFORMULA('Month-End'!$FI$20))),N('Month-End'!$FI$20),IF(OR($E168="open",$E167="pre"),N(Settings!$C$32),N($AR167))))</f>
        <v/>
      </c>
      <c r="AS168">
        <f>IF(OR(Settings!$A$36="",$E168="pre"),"",IF(AND('Month-End'!$FI$38&lt;&gt;"",NOT(_xlfn.ISFORMULA('Month-End'!$FI$38))),N('Month-End'!$FI$38),IF(OR($E168="open",$E167="pre"),N(Settings!$C$36),N($AS167))+$AY168))</f>
        <v/>
      </c>
      <c r="AT168">
        <f>IF(OR(Settings!$A$37="",$E168="pre"),"",IF(AND('Month-End'!$FI$39&lt;&gt;"",NOT(_xlfn.ISFORMULA('Month-End'!$FI$39))),N('Month-End'!$FI$39),IF(OR($E168="open",$E167="pre"),N(Settings!$C$37),N($AT167))+$AZ168))</f>
        <v/>
      </c>
      <c r="AU168">
        <f>IF(OR(Settings!$A$38="",$E168="pre"),"",IF(AND('Month-End'!$FI$40&lt;&gt;"",NOT(_xlfn.ISFORMULA('Month-End'!$FI$40))),N('Month-End'!$FI$40),IF(OR($E168="open",$E167="pre"),N(Settings!$C$38),N($AU167))+$BA168))</f>
        <v/>
      </c>
      <c r="AV168">
        <f>IF(OR(Settings!$A$39="",$E168="pre"),"",IF(AND('Month-End'!$FI$41&lt;&gt;"",NOT(_xlfn.ISFORMULA('Month-End'!$FI$41))),N('Month-End'!$FI$41),IF(OR($E168="open",$E167="pre"),N(Settings!$C$39),N($AV167))+$BB168))</f>
        <v/>
      </c>
      <c r="AW168">
        <f>IF(OR(Settings!$A$40="",$E168="pre"),"",IF(AND('Month-End'!$FI$42&lt;&gt;"",NOT(_xlfn.ISFORMULA('Month-End'!$FI$42))),N('Month-End'!$FI$42),IF(OR($E168="open",$E167="pre"),N(Settings!$C$40),N($AW167))+$BC168))</f>
        <v/>
      </c>
      <c r="AX168">
        <f>IF(OR(Settings!$A$41="",$E168="pre"),"",IF(AND('Month-End'!$FI$43&lt;&gt;"",NOT(_xlfn.ISFORMULA('Month-End'!$FI$43))),N('Month-End'!$FI$43),IF(OR($E168="open",$E167="pre"),N(Settings!$C$41),N($AX167))+$BD168))</f>
        <v/>
      </c>
      <c r="AY168">
        <f>IF($E168="pre",0,N('Month-End'!$FI$45))</f>
        <v/>
      </c>
      <c r="AZ168">
        <f>IF($E168="pre",0,N('Month-End'!$FI$46))</f>
        <v/>
      </c>
      <c r="BA168">
        <f>IF($E168="pre",0,N('Month-End'!$FI$47))</f>
        <v/>
      </c>
      <c r="BB168">
        <f>IF($E168="pre",0,N('Month-End'!$FI$48))</f>
        <v/>
      </c>
      <c r="BC168">
        <f>IF($E168="pre",0,N('Month-End'!$FI$49))</f>
        <v/>
      </c>
      <c r="BD168">
        <f>IF($E168="pre",0,N('Month-End'!$FI$50))</f>
        <v/>
      </c>
      <c r="BE168">
        <f>IF(OR(Settings!$C$45="",Settings!$D$45=""),0,Settings!$C$45*IF(Settings!$D$45="Weekly",IF(IFERROR(MATCH(Settings!$E$45,$EO$4:$EO$10,0),0)=0,0,IF(MIN($C168,IF(Settings!$G$45="",$C168,Settings!$G$45))&lt;MAX($A168,Settings!$F$45),0,INT((MIN($C168,IF(Settings!$G$45="",$C168,Settings!$G$45))-MAX($A168,Settings!$F$45)-MOD(IFERROR(MATCH(Settings!$E$45,$EO$4:$EO$10,0),0)-WEEKDAY(MAX($A168,Settings!$F$45)),7))/7)+1)),IF(AND(IF(Settings!$E$45="",$B168,DATE(YEAR($A168),MONTH($A168),MIN(Settings!$E$45,DAY($B168))))&gt;=MAX($A168,Settings!$F$45),IF(Settings!$E$45="",$B168,DATE(YEAR($A168),MONTH($A168),MIN(Settings!$E$45,DAY($B168))))&lt;=MIN($C168,IF(Settings!$G$45="",$C168,Settings!$G$45))),1,0)))</f>
        <v/>
      </c>
      <c r="BF168">
        <f>IF(OR(Settings!$C$46="",Settings!$D$46=""),0,Settings!$C$46*IF(Settings!$D$46="Weekly",IF(IFERROR(MATCH(Settings!$E$46,$EO$4:$EO$10,0),0)=0,0,IF(MIN($C168,IF(Settings!$G$46="",$C168,Settings!$G$46))&lt;MAX($A168,Settings!$F$46),0,INT((MIN($C168,IF(Settings!$G$46="",$C168,Settings!$G$46))-MAX($A168,Settings!$F$46)-MOD(IFERROR(MATCH(Settings!$E$46,$EO$4:$EO$10,0),0)-WEEKDAY(MAX($A168,Settings!$F$46)),7))/7)+1)),IF(AND(IF(Settings!$E$46="",$B168,DATE(YEAR($A168),MONTH($A168),MIN(Settings!$E$46,DAY($B168))))&gt;=MAX($A168,Settings!$F$46),IF(Settings!$E$46="",$B168,DATE(YEAR($A168),MONTH($A168),MIN(Settings!$E$46,DAY($B168))))&lt;=MIN($C168,IF(Settings!$G$46="",$C168,Settings!$G$46))),1,0)))</f>
        <v/>
      </c>
      <c r="BG168">
        <f>IF(OR(Settings!$C$47="",Settings!$D$47=""),0,Settings!$C$47*IF(Settings!$D$47="Weekly",IF(IFERROR(MATCH(Settings!$E$47,$EO$4:$EO$10,0),0)=0,0,IF(MIN($C168,IF(Settings!$G$47="",$C168,Settings!$G$47))&lt;MAX($A168,Settings!$F$47),0,INT((MIN($C168,IF(Settings!$G$47="",$C168,Settings!$G$47))-MAX($A168,Settings!$F$47)-MOD(IFERROR(MATCH(Settings!$E$47,$EO$4:$EO$10,0),0)-WEEKDAY(MAX($A168,Settings!$F$47)),7))/7)+1)),IF(AND(IF(Settings!$E$47="",$B168,DATE(YEAR($A168),MONTH($A168),MIN(Settings!$E$47,DAY($B168))))&gt;=MAX($A168,Settings!$F$47),IF(Settings!$E$47="",$B168,DATE(YEAR($A168),MONTH($A168),MIN(Settings!$E$47,DAY($B168))))&lt;=MIN($C168,IF(Settings!$G$47="",$C168,Settings!$G$47))),1,0)))</f>
        <v/>
      </c>
      <c r="BH168">
        <f>IF(OR(Settings!$C$48="",Settings!$D$48=""),0,Settings!$C$48*IF(Settings!$D$48="Weekly",IF(IFERROR(MATCH(Settings!$E$48,$EO$4:$EO$10,0),0)=0,0,IF(MIN($C168,IF(Settings!$G$48="",$C168,Settings!$G$48))&lt;MAX($A168,Settings!$F$48),0,INT((MIN($C168,IF(Settings!$G$48="",$C168,Settings!$G$48))-MAX($A168,Settings!$F$48)-MOD(IFERROR(MATCH(Settings!$E$48,$EO$4:$EO$10,0),0)-WEEKDAY(MAX($A168,Settings!$F$48)),7))/7)+1)),IF(AND(IF(Settings!$E$48="",$B168,DATE(YEAR($A168),MONTH($A168),MIN(Settings!$E$48,DAY($B168))))&gt;=MAX($A168,Settings!$F$48),IF(Settings!$E$48="",$B168,DATE(YEAR($A168),MONTH($A168),MIN(Settings!$E$48,DAY($B168))))&lt;=MIN($C168,IF(Settings!$G$48="",$C168,Settings!$G$48))),1,0)))</f>
        <v/>
      </c>
      <c r="BI168">
        <f>IF(OR(Settings!$C$49="",Settings!$D$49=""),0,Settings!$C$49*IF(Settings!$D$49="Weekly",IF(IFERROR(MATCH(Settings!$E$49,$EO$4:$EO$10,0),0)=0,0,IF(MIN($C168,IF(Settings!$G$49="",$C168,Settings!$G$49))&lt;MAX($A168,Settings!$F$49),0,INT((MIN($C168,IF(Settings!$G$49="",$C168,Settings!$G$49))-MAX($A168,Settings!$F$49)-MOD(IFERROR(MATCH(Settings!$E$49,$EO$4:$EO$10,0),0)-WEEKDAY(MAX($A168,Settings!$F$49)),7))/7)+1)),IF(AND(IF(Settings!$E$49="",$B168,DATE(YEAR($A168),MONTH($A168),MIN(Settings!$E$49,DAY($B168))))&gt;=MAX($A168,Settings!$F$49),IF(Settings!$E$49="",$B168,DATE(YEAR($A168),MONTH($A168),MIN(Settings!$E$49,DAY($B168))))&lt;=MIN($C168,IF(Settings!$G$49="",$C168,Settings!$G$49))),1,0)))</f>
        <v/>
      </c>
      <c r="BJ168">
        <f>IF(OR(Settings!$C$50="",Settings!$D$50=""),0,Settings!$C$50*IF(Settings!$D$50="Weekly",IF(IFERROR(MATCH(Settings!$E$50,$EO$4:$EO$10,0),0)=0,0,IF(MIN($C168,IF(Settings!$G$50="",$C168,Settings!$G$50))&lt;MAX($A168,Settings!$F$50),0,INT((MIN($C168,IF(Settings!$G$50="",$C168,Settings!$G$50))-MAX($A168,Settings!$F$50)-MOD(IFERROR(MATCH(Settings!$E$50,$EO$4:$EO$10,0),0)-WEEKDAY(MAX($A168,Settings!$F$50)),7))/7)+1)),IF(AND(IF(Settings!$E$50="",$B168,DATE(YEAR($A168),MONTH($A168),MIN(Settings!$E$50,DAY($B168))))&gt;=MAX($A168,Settings!$F$50),IF(Settings!$E$50="",$B168,DATE(YEAR($A168),MONTH($A168),MIN(Settings!$E$50,DAY($B168))))&lt;=MIN($C168,IF(Settings!$G$50="",$C168,Settings!$G$50))),1,0)))</f>
        <v/>
      </c>
      <c r="BK168">
        <f>IF(OR(Settings!$C$51="",Settings!$D$51=""),0,Settings!$C$51*IF(Settings!$D$51="Weekly",IF(IFERROR(MATCH(Settings!$E$51,$EO$4:$EO$10,0),0)=0,0,IF(MIN($C168,IF(Settings!$G$51="",$C168,Settings!$G$51))&lt;MAX($A168,Settings!$F$51),0,INT((MIN($C168,IF(Settings!$G$51="",$C168,Settings!$G$51))-MAX($A168,Settings!$F$51)-MOD(IFERROR(MATCH(Settings!$E$51,$EO$4:$EO$10,0),0)-WEEKDAY(MAX($A168,Settings!$F$51)),7))/7)+1)),IF(AND(IF(Settings!$E$51="",$B168,DATE(YEAR($A168),MONTH($A168),MIN(Settings!$E$51,DAY($B168))))&gt;=MAX($A168,Settings!$F$51),IF(Settings!$E$51="",$B168,DATE(YEAR($A168),MONTH($A168),MIN(Settings!$E$51,DAY($B168))))&lt;=MIN($C168,IF(Settings!$G$51="",$C168,Settings!$G$51))),1,0)))</f>
        <v/>
      </c>
      <c r="BL168">
        <f>IF(OR(Settings!$C$52="",Settings!$D$52=""),0,Settings!$C$52*IF(Settings!$D$52="Weekly",IF(IFERROR(MATCH(Settings!$E$52,$EO$4:$EO$10,0),0)=0,0,IF(MIN($C168,IF(Settings!$G$52="",$C168,Settings!$G$52))&lt;MAX($A168,Settings!$F$52),0,INT((MIN($C168,IF(Settings!$G$52="",$C168,Settings!$G$52))-MAX($A168,Settings!$F$52)-MOD(IFERROR(MATCH(Settings!$E$52,$EO$4:$EO$10,0),0)-WEEKDAY(MAX($A168,Settings!$F$52)),7))/7)+1)),IF(AND(IF(Settings!$E$52="",$B168,DATE(YEAR($A168),MONTH($A168),MIN(Settings!$E$52,DAY($B168))))&gt;=MAX($A168,Settings!$F$52),IF(Settings!$E$52="",$B168,DATE(YEAR($A168),MONTH($A168),MIN(Settings!$E$52,DAY($B168))))&lt;=MIN($C168,IF(Settings!$G$52="",$C168,Settings!$G$52))),1,0)))</f>
        <v/>
      </c>
      <c r="BM168">
        <f>IF(OR(Settings!$C$53="",Settings!$D$53=""),0,Settings!$C$53*IF(Settings!$D$53="Weekly",IF(IFERROR(MATCH(Settings!$E$53,$EO$4:$EO$10,0),0)=0,0,IF(MIN($C168,IF(Settings!$G$53="",$C168,Settings!$G$53))&lt;MAX($A168,Settings!$F$53),0,INT((MIN($C168,IF(Settings!$G$53="",$C168,Settings!$G$53))-MAX($A168,Settings!$F$53)-MOD(IFERROR(MATCH(Settings!$E$53,$EO$4:$EO$10,0),0)-WEEKDAY(MAX($A168,Settings!$F$53)),7))/7)+1)),IF(AND(IF(Settings!$E$53="",$B168,DATE(YEAR($A168),MONTH($A168),MIN(Settings!$E$53,DAY($B168))))&gt;=MAX($A168,Settings!$F$53),IF(Settings!$E$53="",$B168,DATE(YEAR($A168),MONTH($A168),MIN(Settings!$E$53,DAY($B168))))&lt;=MIN($C168,IF(Settings!$G$53="",$C168,Settings!$G$53))),1,0)))</f>
        <v/>
      </c>
      <c r="BN168">
        <f>IF(OR(Settings!$C$54="",Settings!$D$54=""),0,Settings!$C$54*IF(Settings!$D$54="Weekly",IF(IFERROR(MATCH(Settings!$E$54,$EO$4:$EO$10,0),0)=0,0,IF(MIN($C168,IF(Settings!$G$54="",$C168,Settings!$G$54))&lt;MAX($A168,Settings!$F$54),0,INT((MIN($C168,IF(Settings!$G$54="",$C168,Settings!$G$54))-MAX($A168,Settings!$F$54)-MOD(IFERROR(MATCH(Settings!$E$54,$EO$4:$EO$10,0),0)-WEEKDAY(MAX($A168,Settings!$F$54)),7))/7)+1)),IF(AND(IF(Settings!$E$54="",$B168,DATE(YEAR($A168),MONTH($A168),MIN(Settings!$E$54,DAY($B168))))&gt;=MAX($A168,Settings!$F$54),IF(Settings!$E$54="",$B168,DATE(YEAR($A168),MONTH($A168),MIN(Settings!$E$54,DAY($B168))))&lt;=MIN($C168,IF(Settings!$G$54="",$C168,Settings!$G$54))),1,0)))</f>
        <v/>
      </c>
      <c r="BO168">
        <f>IF(OR(Settings!$C$55="",Settings!$D$55=""),0,Settings!$C$55*IF(Settings!$D$55="Weekly",IF(IFERROR(MATCH(Settings!$E$55,$EO$4:$EO$10,0),0)=0,0,IF(MIN($C168,IF(Settings!$G$55="",$C168,Settings!$G$55))&lt;MAX($A168,Settings!$F$55),0,INT((MIN($C168,IF(Settings!$G$55="",$C168,Settings!$G$55))-MAX($A168,Settings!$F$55)-MOD(IFERROR(MATCH(Settings!$E$55,$EO$4:$EO$10,0),0)-WEEKDAY(MAX($A168,Settings!$F$55)),7))/7)+1)),IF(AND(IF(Settings!$E$55="",$B168,DATE(YEAR($A168),MONTH($A168),MIN(Settings!$E$55,DAY($B168))))&gt;=MAX($A168,Settings!$F$55),IF(Settings!$E$55="",$B168,DATE(YEAR($A168),MONTH($A168),MIN(Settings!$E$55,DAY($B168))))&lt;=MIN($C168,IF(Settings!$G$55="",$C168,Settings!$G$55))),1,0)))</f>
        <v/>
      </c>
      <c r="BP168">
        <f>IF(OR(Settings!$C$56="",Settings!$D$56=""),0,Settings!$C$56*IF(Settings!$D$56="Weekly",IF(IFERROR(MATCH(Settings!$E$56,$EO$4:$EO$10,0),0)=0,0,IF(MIN($C168,IF(Settings!$G$56="",$C168,Settings!$G$56))&lt;MAX($A168,Settings!$F$56),0,INT((MIN($C168,IF(Settings!$G$56="",$C168,Settings!$G$56))-MAX($A168,Settings!$F$56)-MOD(IFERROR(MATCH(Settings!$E$56,$EO$4:$EO$10,0),0)-WEEKDAY(MAX($A168,Settings!$F$56)),7))/7)+1)),IF(AND(IF(Settings!$E$56="",$B168,DATE(YEAR($A168),MONTH($A168),MIN(Settings!$E$56,DAY($B168))))&gt;=MAX($A168,Settings!$F$56),IF(Settings!$E$56="",$B168,DATE(YEAR($A168),MONTH($A168),MIN(Settings!$E$56,DAY($B168))))&lt;=MIN($C168,IF(Settings!$G$56="",$C168,Settings!$G$56))),1,0)))</f>
        <v/>
      </c>
      <c r="BQ168">
        <f>IF(OR(Settings!$B$14="",$D168=1,$E168="pre",$A168&lt;IF(Settings!$B$15="",0,Settings!$B$15)),0,Settings!$B$14)</f>
        <v/>
      </c>
      <c r="BR168">
        <f>IF(AND('Month-End'!$FI$7&lt;&gt;"",NOT(_xlfn.ISFORMULA('Month-End'!$FI$7))),1,0)</f>
        <v/>
      </c>
      <c r="BS168">
        <f>IF(AND('Month-End'!$FI$8&lt;&gt;"",NOT(_xlfn.ISFORMULA('Month-End'!$FI$8))),1,0)</f>
        <v/>
      </c>
      <c r="BT168">
        <f>IF(AND('Month-End'!$FI$9&lt;&gt;"",NOT(_xlfn.ISFORMULA('Month-End'!$FI$9))),1,0)</f>
        <v/>
      </c>
      <c r="BU168">
        <f>IF(AND('Month-End'!$FI$10&lt;&gt;"",NOT(_xlfn.ISFORMULA('Month-End'!$FI$10))),1,0)</f>
        <v/>
      </c>
      <c r="BV168">
        <f>IF(AND('Month-End'!$FI$11&lt;&gt;"",NOT(_xlfn.ISFORMULA('Month-End'!$FI$11))),1,0)</f>
        <v/>
      </c>
      <c r="BW168">
        <f>IF(AND('Month-End'!$FI$12&lt;&gt;"",NOT(_xlfn.ISFORMULA('Month-End'!$FI$12))),1,0)</f>
        <v/>
      </c>
      <c r="BX168">
        <f>IF(AND('Month-End'!$FI$13&lt;&gt;"",NOT(_xlfn.ISFORMULA('Month-End'!$FI$13))),1,0)</f>
        <v/>
      </c>
      <c r="BY168">
        <f>IF(AND('Month-End'!$FI$14&lt;&gt;"",NOT(_xlfn.ISFORMULA('Month-End'!$FI$14))),1,0)</f>
        <v/>
      </c>
      <c r="BZ168">
        <f>IF(AND('Month-End'!$FI$15&lt;&gt;"",NOT(_xlfn.ISFORMULA('Month-End'!$FI$15))),1,0)</f>
        <v/>
      </c>
      <c r="CA168">
        <f>IF(AND('Month-End'!$FI$16&lt;&gt;"",NOT(_xlfn.ISFORMULA('Month-End'!$FI$16))),1,0)</f>
        <v/>
      </c>
      <c r="CB168">
        <f>IF(AND('Month-End'!$FI$17&lt;&gt;"",NOT(_xlfn.ISFORMULA('Month-End'!$FI$17))),1,0)</f>
        <v/>
      </c>
      <c r="CC168">
        <f>IF(AND('Month-End'!$FI$18&lt;&gt;"",NOT(_xlfn.ISFORMULA('Month-End'!$FI$18))),1,0)</f>
        <v/>
      </c>
      <c r="CD168">
        <f>IF(AND('Month-End'!$FI$19&lt;&gt;"",NOT(_xlfn.ISFORMULA('Month-End'!$FI$19))),1,0)</f>
        <v/>
      </c>
      <c r="CE168">
        <f>IF(AND('Month-End'!$FI$20&lt;&gt;"",NOT(_xlfn.ISFORMULA('Month-End'!$FI$20))),1,0)</f>
        <v/>
      </c>
      <c r="CF168">
        <f>IF(AND('Month-End'!$FI$38&lt;&gt;"",NOT(_xlfn.ISFORMULA('Month-End'!$FI$38))),1,0)</f>
        <v/>
      </c>
      <c r="CG168">
        <f>IF(AND('Month-End'!$FI$39&lt;&gt;"",NOT(_xlfn.ISFORMULA('Month-End'!$FI$39))),1,0)</f>
        <v/>
      </c>
      <c r="CH168">
        <f>IF(AND('Month-End'!$FI$40&lt;&gt;"",NOT(_xlfn.ISFORMULA('Month-End'!$FI$40))),1,0)</f>
        <v/>
      </c>
      <c r="CI168">
        <f>IF(AND('Month-End'!$FI$41&lt;&gt;"",NOT(_xlfn.ISFORMULA('Month-End'!$FI$41))),1,0)</f>
        <v/>
      </c>
      <c r="CJ168">
        <f>IF(AND('Month-End'!$FI$42&lt;&gt;"",NOT(_xlfn.ISFORMULA('Month-End'!$FI$42))),1,0)</f>
        <v/>
      </c>
      <c r="CK168">
        <f>IF(AND('Month-End'!$FI$43&lt;&gt;"",NOT(_xlfn.ISFORMULA('Month-End'!$FI$43))),1,0)</f>
        <v/>
      </c>
      <c r="CL168">
        <f>SUM($CM168:$CZ168)</f>
        <v/>
      </c>
      <c r="CM168">
        <f>IF(AND($E168&lt;&gt;"pre",AND(Settings!$A$19&lt;&gt;"",Settings!$E$19&lt;&gt;"No"),Settings!$F$19="Yes",NOT(AND('Month-End'!$FI$7&lt;&gt;"",NOT(_xlfn.ISFORMULA('Month-End'!$FI$7))))),1,0)</f>
        <v/>
      </c>
      <c r="CN168">
        <f>IF(AND($E168&lt;&gt;"pre",AND(Settings!$A$20&lt;&gt;"",Settings!$E$20&lt;&gt;"No"),Settings!$F$20="Yes",NOT(AND('Month-End'!$FI$8&lt;&gt;"",NOT(_xlfn.ISFORMULA('Month-End'!$FI$8))))),1,0)</f>
        <v/>
      </c>
      <c r="CO168">
        <f>IF(AND($E168&lt;&gt;"pre",AND(Settings!$A$21&lt;&gt;"",Settings!$E$21&lt;&gt;"No"),Settings!$F$21="Yes",NOT(AND('Month-End'!$FI$9&lt;&gt;"",NOT(_xlfn.ISFORMULA('Month-End'!$FI$9))))),1,0)</f>
        <v/>
      </c>
      <c r="CP168">
        <f>IF(AND($E168&lt;&gt;"pre",AND(Settings!$A$22&lt;&gt;"",Settings!$E$22&lt;&gt;"No"),Settings!$F$22="Yes",NOT(AND('Month-End'!$FI$10&lt;&gt;"",NOT(_xlfn.ISFORMULA('Month-End'!$FI$10))))),1,0)</f>
        <v/>
      </c>
      <c r="CQ168">
        <f>IF(AND($E168&lt;&gt;"pre",AND(Settings!$A$23&lt;&gt;"",Settings!$E$23&lt;&gt;"No"),Settings!$F$23="Yes",NOT(AND('Month-End'!$FI$11&lt;&gt;"",NOT(_xlfn.ISFORMULA('Month-End'!$FI$11))))),1,0)</f>
        <v/>
      </c>
      <c r="CR168">
        <f>IF(AND($E168&lt;&gt;"pre",AND(Settings!$A$24&lt;&gt;"",Settings!$E$24&lt;&gt;"No"),Settings!$F$24="Yes",NOT(AND('Month-End'!$FI$12&lt;&gt;"",NOT(_xlfn.ISFORMULA('Month-End'!$FI$12))))),1,0)</f>
        <v/>
      </c>
      <c r="CS168">
        <f>IF(AND($E168&lt;&gt;"pre",AND(Settings!$A$25&lt;&gt;"",Settings!$E$25&lt;&gt;"No"),Settings!$F$25="Yes",NOT(AND('Month-End'!$FI$13&lt;&gt;"",NOT(_xlfn.ISFORMULA('Month-End'!$FI$13))))),1,0)</f>
        <v/>
      </c>
      <c r="CT168">
        <f>IF(AND($E168&lt;&gt;"pre",AND(Settings!$A$26&lt;&gt;"",Settings!$E$26&lt;&gt;"No"),Settings!$F$26="Yes",NOT(AND('Month-End'!$FI$14&lt;&gt;"",NOT(_xlfn.ISFORMULA('Month-End'!$FI$14))))),1,0)</f>
        <v/>
      </c>
      <c r="CU168">
        <f>IF(AND($E168&lt;&gt;"pre",AND(Settings!$A$27&lt;&gt;"",Settings!$E$27&lt;&gt;"No"),Settings!$F$27="Yes",NOT(AND('Month-End'!$FI$15&lt;&gt;"",NOT(_xlfn.ISFORMULA('Month-End'!$FI$15))))),1,0)</f>
        <v/>
      </c>
      <c r="CV168">
        <f>IF(AND($E168&lt;&gt;"pre",AND(Settings!$A$28&lt;&gt;"",Settings!$E$28&lt;&gt;"No"),Settings!$F$28="Yes",NOT(AND('Month-End'!$FI$16&lt;&gt;"",NOT(_xlfn.ISFORMULA('Month-End'!$FI$16))))),1,0)</f>
        <v/>
      </c>
      <c r="CW168">
        <f>IF(AND($E168&lt;&gt;"pre",AND(Settings!$A$29&lt;&gt;"",Settings!$E$29&lt;&gt;"No"),Settings!$F$29="Yes",NOT(AND('Month-End'!$FI$17&lt;&gt;"",NOT(_xlfn.ISFORMULA('Month-End'!$FI$17))))),1,0)</f>
        <v/>
      </c>
      <c r="CX168">
        <f>IF(AND($E168&lt;&gt;"pre",AND(Settings!$A$30&lt;&gt;"",Settings!$E$30&lt;&gt;"No"),Settings!$F$30="Yes",NOT(AND('Month-End'!$FI$18&lt;&gt;"",NOT(_xlfn.ISFORMULA('Month-End'!$FI$18))))),1,0)</f>
        <v/>
      </c>
      <c r="CY168">
        <f>IF(AND($E168&lt;&gt;"pre",AND(Settings!$A$31&lt;&gt;"",Settings!$E$31&lt;&gt;"No"),Settings!$F$31="Yes",NOT(AND('Month-End'!$FI$19&lt;&gt;"",NOT(_xlfn.ISFORMULA('Month-End'!$FI$19))))),1,0)</f>
        <v/>
      </c>
      <c r="CZ168">
        <f>IF(AND($E168&lt;&gt;"pre",AND(Settings!$A$32&lt;&gt;"",Settings!$E$32&lt;&gt;"No"),Settings!$F$32="Yes",NOT(AND('Month-End'!$FI$20&lt;&gt;"",NOT(_xlfn.ISFORMULA('Month-End'!$FI$20))))),1,0)</f>
        <v/>
      </c>
      <c r="DA168">
        <f>IF($DT168=1,IF(OR(Settings!$B$19="Checking",Settings!$B$19="Savings",Settings!$B$19="Cash"),N($AE168),IF(OR(Settings!$B$19="Card",Settings!$B$19="Loan"),-N($AE168),0))+IF(OR(Settings!$B$20="Checking",Settings!$B$20="Savings",Settings!$B$20="Cash"),N($AF168),IF(OR(Settings!$B$20="Card",Settings!$B$20="Loan"),-N($AF168),0))+IF(OR(Settings!$B$21="Checking",Settings!$B$21="Savings",Settings!$B$21="Cash"),N($AG168),IF(OR(Settings!$B$21="Card",Settings!$B$21="Loan"),-N($AG168),0))+IF(OR(Settings!$B$22="Checking",Settings!$B$22="Savings",Settings!$B$22="Cash"),N($AH168),IF(OR(Settings!$B$22="Card",Settings!$B$22="Loan"),-N($AH168),0))+IF(OR(Settings!$B$23="Checking",Settings!$B$23="Savings",Settings!$B$23="Cash"),N($AI168),IF(OR(Settings!$B$23="Card",Settings!$B$23="Loan"),-N($AI168),0))+IF(OR(Settings!$B$24="Checking",Settings!$B$24="Savings",Settings!$B$24="Cash"),N($AJ168),IF(OR(Settings!$B$24="Card",Settings!$B$24="Loan"),-N($AJ168),0))+IF(OR(Settings!$B$25="Checking",Settings!$B$25="Savings",Settings!$B$25="Cash"),N($AK168),IF(OR(Settings!$B$25="Card",Settings!$B$25="Loan"),-N($AK168),0))+IF(OR(Settings!$B$26="Checking",Settings!$B$26="Savings",Settings!$B$26="Cash"),N($AL168),IF(OR(Settings!$B$26="Card",Settings!$B$26="Loan"),-N($AL168),0))+IF(OR(Settings!$B$27="Checking",Settings!$B$27="Savings",Settings!$B$27="Cash"),N($AM168),IF(OR(Settings!$B$27="Card",Settings!$B$27="Loan"),-N($AM168),0))+IF(OR(Settings!$B$28="Checking",Settings!$B$28="Savings",Settings!$B$28="Cash"),N($AN168),IF(OR(Settings!$B$28="Card",Settings!$B$28="Loan"),-N($AN168),0))+IF(OR(Settings!$B$29="Checking",Settings!$B$29="Savings",Settings!$B$29="Cash"),N($AO168),IF(OR(Settings!$B$29="Card",Settings!$B$29="Loan"),-N($AO168),0))+IF(OR(Settings!$B$30="Checking",Settings!$B$30="Savings",Settings!$B$30="Cash"),N($AP168),IF(OR(Settings!$B$30="Card",Settings!$B$30="Loan"),-N($AP168),0))+IF(OR(Settings!$B$31="Checking",Settings!$B$31="Savings",Settings!$B$31="Cash"),N($AQ168),IF(OR(Settings!$B$31="Card",Settings!$B$31="Loan"),-N($AQ168),0))+IF(OR(Settings!$B$32="Checking",Settings!$B$32="Savings",Settings!$B$32="Cash"),N($AR168),IF(OR(Settings!$B$32="Card",Settings!$B$32="Loan"),-N($AR168),0)),"")</f>
        <v/>
      </c>
      <c r="DB168">
        <f>IF($E168="open",$EB$27,IF($E168="post",IF($E167="pre",$EB$27,$DA167),""))</f>
        <v/>
      </c>
      <c r="DC168">
        <f>IF($E168="open",1,IF($E168="post",IF($E167="pre",1,$DT167),0))</f>
        <v/>
      </c>
      <c r="DD168">
        <f>IF(AND($DT168=1,$DC168=1),ROUND($W168-($DA168-$DB168)-$AD168-$AB168,2),"")</f>
        <v/>
      </c>
      <c r="DE168">
        <f>IF('Month-End'!$FI$35="",$BQ168,N('Month-End'!$FI$35))</f>
        <v/>
      </c>
      <c r="DF168">
        <f>N('Month-End'!$FI$36)</f>
        <v/>
      </c>
      <c r="DG168">
        <f>IF($DD168="","",$DD168+$DE168)</f>
        <v/>
      </c>
      <c r="DH168">
        <f>IF($DG168="","",$DG168-$DF168)</f>
        <v/>
      </c>
      <c r="DI168">
        <f>IF(OR($E168="pre",$D168=1),"",N($AS168)+N($AT168)+N($AU168)+N($AV168)+N($AW168)+N($AX168))</f>
        <v/>
      </c>
      <c r="DJ168">
        <f>IF($DT168=1,$DA168+N($DI168),"")</f>
        <v/>
      </c>
      <c r="DK168">
        <f>IF($DD168="","",$W168-$DD168-$AB168)</f>
        <v/>
      </c>
      <c r="DL168">
        <f>IF(AND($E168="post",$DD168&lt;&gt;"",$B168&lt;TODAY()),1,0)</f>
        <v/>
      </c>
      <c r="DM168">
        <f>IF($DL168=1,COUNTIF($DL168:$DL$183,1),0)</f>
        <v/>
      </c>
      <c r="DN168">
        <f>IF($D168=1,"",IF($E168="pre","History only",IF($DT168=1,IF($DD168="","⚠ Previous month missing",IF($DD168&lt;0,"⚠ Check: spending &lt; 0",IF($E168="open","✓ Done (partial)","✓ Done"))),IF($B168&gt;=TODAY(),"In progress","⚠ Needs balances"))))</f>
        <v/>
      </c>
      <c r="DO168">
        <f>YEAR($A168)</f>
        <v/>
      </c>
      <c r="DP168">
        <f>DATE(YEAR($A168),INT((MONTH($A168)-1)/3)*3+1,1)</f>
        <v/>
      </c>
      <c r="DQ168">
        <f>IF(AND($DT168=1,$DD168&lt;&gt;"",$D168=0),ROW(),0)</f>
        <v/>
      </c>
      <c r="DR168">
        <f>IF(AND($E168&lt;&gt;"pre",$B168&lt;TODAY(),$DT168=0),1,0)</f>
        <v/>
      </c>
      <c r="DS168">
        <f>IF($DJ168="",NA(),$DJ168)</f>
        <v/>
      </c>
      <c r="DT168">
        <f>IF(AND($E168&lt;&gt;"pre",$CL168=0,COUNTIFS(Settings!$F$19:$F$32,"Yes",Settings!$A$19:$A$32,"&lt;&gt;",Settings!$E$19:$E$32,"&lt;&gt;No")&gt;0),1,0)</f>
        <v/>
      </c>
      <c r="DU168">
        <f>IF(AND($B168&lt;TODAY(),$S168&gt;0),1,0)</f>
        <v/>
      </c>
      <c r="DV168">
        <f>IF($DU168=1,COUNTIF($DU168:$DU$183,1),0)</f>
        <v/>
      </c>
      <c r="DW168">
        <f>IF(AND(OR(Settings!$B$19="Card",Settings!$B$19="Loan"),AND('Month-End'!$FI$7&lt;&gt;"",NOT(_xlfn.ISFORMULA('Month-End'!$FI$7)))),IF(N('Month-End'!$FI$7)&lt;0,1,0),0)+IF(AND(OR(Settings!$B$20="Card",Settings!$B$20="Loan"),AND('Month-End'!$FI$8&lt;&gt;"",NOT(_xlfn.ISFORMULA('Month-End'!$FI$8)))),IF(N('Month-End'!$FI$8)&lt;0,1,0),0)+IF(AND(OR(Settings!$B$21="Card",Settings!$B$21="Loan"),AND('Month-End'!$FI$9&lt;&gt;"",NOT(_xlfn.ISFORMULA('Month-End'!$FI$9)))),IF(N('Month-End'!$FI$9)&lt;0,1,0),0)+IF(AND(OR(Settings!$B$22="Card",Settings!$B$22="Loan"),AND('Month-End'!$FI$10&lt;&gt;"",NOT(_xlfn.ISFORMULA('Month-End'!$FI$10)))),IF(N('Month-End'!$FI$10)&lt;0,1,0),0)+IF(AND(OR(Settings!$B$23="Card",Settings!$B$23="Loan"),AND('Month-End'!$FI$11&lt;&gt;"",NOT(_xlfn.ISFORMULA('Month-End'!$FI$11)))),IF(N('Month-End'!$FI$11)&lt;0,1,0),0)+IF(AND(OR(Settings!$B$24="Card",Settings!$B$24="Loan"),AND('Month-End'!$FI$12&lt;&gt;"",NOT(_xlfn.ISFORMULA('Month-End'!$FI$12)))),IF(N('Month-End'!$FI$12)&lt;0,1,0),0)+IF(AND(OR(Settings!$B$25="Card",Settings!$B$25="Loan"),AND('Month-End'!$FI$13&lt;&gt;"",NOT(_xlfn.ISFORMULA('Month-End'!$FI$13)))),IF(N('Month-End'!$FI$13)&lt;0,1,0),0)+IF(AND(OR(Settings!$B$26="Card",Settings!$B$26="Loan"),AND('Month-End'!$FI$14&lt;&gt;"",NOT(_xlfn.ISFORMULA('Month-End'!$FI$14)))),IF(N('Month-End'!$FI$14)&lt;0,1,0),0)+IF(AND(OR(Settings!$B$27="Card",Settings!$B$27="Loan"),AND('Month-End'!$FI$15&lt;&gt;"",NOT(_xlfn.ISFORMULA('Month-End'!$FI$15)))),IF(N('Month-End'!$FI$15)&lt;0,1,0),0)+IF(AND(OR(Settings!$B$28="Card",Settings!$B$28="Loan"),AND('Month-End'!$FI$16&lt;&gt;"",NOT(_xlfn.ISFORMULA('Month-End'!$FI$16)))),IF(N('Month-End'!$FI$16)&lt;0,1,0),0)+IF(AND(OR(Settings!$B$29="Card",Settings!$B$29="Loan"),AND('Month-End'!$FI$17&lt;&gt;"",NOT(_xlfn.ISFORMULA('Month-End'!$FI$17)))),IF(N('Month-End'!$FI$17)&lt;0,1,0),0)+IF(AND(OR(Settings!$B$30="Card",Settings!$B$30="Loan"),AND('Month-End'!$FI$18&lt;&gt;"",NOT(_xlfn.ISFORMULA('Month-End'!$FI$18)))),IF(N('Month-End'!$FI$18)&lt;0,1,0),0)+IF(AND(OR(Settings!$B$31="Card",Settings!$B$31="Loan"),AND('Month-End'!$FI$19&lt;&gt;"",NOT(_xlfn.ISFORMULA('Month-End'!$FI$19)))),IF(N('Month-End'!$FI$19)&lt;0,1,0),0)+IF(AND(OR(Settings!$B$32="Card",Settings!$B$32="Loan"),AND('Month-End'!$FI$20&lt;&gt;"",NOT(_xlfn.ISFORMULA('Month-End'!$FI$20)))),IF(N('Month-End'!$FI$20)&lt;0,1,0),0)</f>
        <v/>
      </c>
      <c r="DX168">
        <f>IF(Settings!$B$36="Retirement",$AY168,0)+IF(Settings!$B$37="Retirement",$AZ168,0)+IF(Settings!$B$38="Retirement",$BA168,0)+IF(Settings!$B$39="Retirement",$BB168,0)+IF(Settings!$B$40="Retirement",$BC168,0)+IF(Settings!$B$41="Retirement",$BD168,0)</f>
        <v/>
      </c>
      <c r="ET168">
        <f>IF($E168&lt;&gt;"open",0,IF(AND('Month-End'!$FI$22&lt;&gt;"",NOT(_xlfn.ISFORMULA('Month-End'!$FI$22))),0,IF(OR(Settings!$C$45="",Settings!$D$45=""),0,Settings!$C$45*IF(Settings!$D$45="Weekly",IF(IFERROR(MATCH(Settings!$E$45,$EO$4:$EO$10,0),0)=0,0,IF(MIN(Settings!$B$5,IF(Settings!$G$45="",Settings!$B$5,Settings!$G$45))&lt;MAX($A168,Settings!$F$45),0,INT((MIN(Settings!$B$5,IF(Settings!$G$45="",Settings!$B$5,Settings!$G$45))-MAX($A168,Settings!$F$45)-MOD(IFERROR(MATCH(Settings!$E$45,$EO$4:$EO$10,0),0)-WEEKDAY(MAX($A168,Settings!$F$45)),7))/7)+1)),IF(AND(IF(Settings!$E$45="",$B168,DATE(YEAR($A168),MONTH($A168),MIN(Settings!$E$45,DAY($B168))))&gt;=MAX($A168,Settings!$F$45),IF(Settings!$E$45="",$B168,DATE(YEAR($A168),MONTH($A168),MIN(Settings!$E$45,DAY($B168))))&lt;=MIN(Settings!$B$5,IF(Settings!$G$45="",Settings!$B$5,Settings!$G$45))),1,0)))))</f>
        <v/>
      </c>
      <c r="EU168">
        <f>IF($E168&lt;&gt;"open",0,IF(AND('Month-End'!$FI$23&lt;&gt;"",NOT(_xlfn.ISFORMULA('Month-End'!$FI$23))),0,IF(OR(Settings!$C$46="",Settings!$D$46=""),0,Settings!$C$46*IF(Settings!$D$46="Weekly",IF(IFERROR(MATCH(Settings!$E$46,$EO$4:$EO$10,0),0)=0,0,IF(MIN(Settings!$B$5,IF(Settings!$G$46="",Settings!$B$5,Settings!$G$46))&lt;MAX($A168,Settings!$F$46),0,INT((MIN(Settings!$B$5,IF(Settings!$G$46="",Settings!$B$5,Settings!$G$46))-MAX($A168,Settings!$F$46)-MOD(IFERROR(MATCH(Settings!$E$46,$EO$4:$EO$10,0),0)-WEEKDAY(MAX($A168,Settings!$F$46)),7))/7)+1)),IF(AND(IF(Settings!$E$46="",$B168,DATE(YEAR($A168),MONTH($A168),MIN(Settings!$E$46,DAY($B168))))&gt;=MAX($A168,Settings!$F$46),IF(Settings!$E$46="",$B168,DATE(YEAR($A168),MONTH($A168),MIN(Settings!$E$46,DAY($B168))))&lt;=MIN(Settings!$B$5,IF(Settings!$G$46="",Settings!$B$5,Settings!$G$46))),1,0)))))</f>
        <v/>
      </c>
      <c r="EV168">
        <f>IF($E168&lt;&gt;"open",0,IF(AND('Month-End'!$FI$24&lt;&gt;"",NOT(_xlfn.ISFORMULA('Month-End'!$FI$24))),0,IF(OR(Settings!$C$47="",Settings!$D$47=""),0,Settings!$C$47*IF(Settings!$D$47="Weekly",IF(IFERROR(MATCH(Settings!$E$47,$EO$4:$EO$10,0),0)=0,0,IF(MIN(Settings!$B$5,IF(Settings!$G$47="",Settings!$B$5,Settings!$G$47))&lt;MAX($A168,Settings!$F$47),0,INT((MIN(Settings!$B$5,IF(Settings!$G$47="",Settings!$B$5,Settings!$G$47))-MAX($A168,Settings!$F$47)-MOD(IFERROR(MATCH(Settings!$E$47,$EO$4:$EO$10,0),0)-WEEKDAY(MAX($A168,Settings!$F$47)),7))/7)+1)),IF(AND(IF(Settings!$E$47="",$B168,DATE(YEAR($A168),MONTH($A168),MIN(Settings!$E$47,DAY($B168))))&gt;=MAX($A168,Settings!$F$47),IF(Settings!$E$47="",$B168,DATE(YEAR($A168),MONTH($A168),MIN(Settings!$E$47,DAY($B168))))&lt;=MIN(Settings!$B$5,IF(Settings!$G$47="",Settings!$B$5,Settings!$G$47))),1,0)))))</f>
        <v/>
      </c>
      <c r="EW168">
        <f>IF($E168&lt;&gt;"open",0,IF(AND('Month-End'!$FI$25&lt;&gt;"",NOT(_xlfn.ISFORMULA('Month-End'!$FI$25))),0,IF(OR(Settings!$C$48="",Settings!$D$48=""),0,Settings!$C$48*IF(Settings!$D$48="Weekly",IF(IFERROR(MATCH(Settings!$E$48,$EO$4:$EO$10,0),0)=0,0,IF(MIN(Settings!$B$5,IF(Settings!$G$48="",Settings!$B$5,Settings!$G$48))&lt;MAX($A168,Settings!$F$48),0,INT((MIN(Settings!$B$5,IF(Settings!$G$48="",Settings!$B$5,Settings!$G$48))-MAX($A168,Settings!$F$48)-MOD(IFERROR(MATCH(Settings!$E$48,$EO$4:$EO$10,0),0)-WEEKDAY(MAX($A168,Settings!$F$48)),7))/7)+1)),IF(AND(IF(Settings!$E$48="",$B168,DATE(YEAR($A168),MONTH($A168),MIN(Settings!$E$48,DAY($B168))))&gt;=MAX($A168,Settings!$F$48),IF(Settings!$E$48="",$B168,DATE(YEAR($A168),MONTH($A168),MIN(Settings!$E$48,DAY($B168))))&lt;=MIN(Settings!$B$5,IF(Settings!$G$48="",Settings!$B$5,Settings!$G$48))),1,0)))))</f>
        <v/>
      </c>
      <c r="EX168">
        <f>IF($E168&lt;&gt;"open",0,IF(AND('Month-End'!$FI$26&lt;&gt;"",NOT(_xlfn.ISFORMULA('Month-End'!$FI$26))),0,IF(OR(Settings!$C$49="",Settings!$D$49=""),0,Settings!$C$49*IF(Settings!$D$49="Weekly",IF(IFERROR(MATCH(Settings!$E$49,$EO$4:$EO$10,0),0)=0,0,IF(MIN(Settings!$B$5,IF(Settings!$G$49="",Settings!$B$5,Settings!$G$49))&lt;MAX($A168,Settings!$F$49),0,INT((MIN(Settings!$B$5,IF(Settings!$G$49="",Settings!$B$5,Settings!$G$49))-MAX($A168,Settings!$F$49)-MOD(IFERROR(MATCH(Settings!$E$49,$EO$4:$EO$10,0),0)-WEEKDAY(MAX($A168,Settings!$F$49)),7))/7)+1)),IF(AND(IF(Settings!$E$49="",$B168,DATE(YEAR($A168),MONTH($A168),MIN(Settings!$E$49,DAY($B168))))&gt;=MAX($A168,Settings!$F$49),IF(Settings!$E$49="",$B168,DATE(YEAR($A168),MONTH($A168),MIN(Settings!$E$49,DAY($B168))))&lt;=MIN(Settings!$B$5,IF(Settings!$G$49="",Settings!$B$5,Settings!$G$49))),1,0)))))</f>
        <v/>
      </c>
      <c r="EY168">
        <f>IF($E168&lt;&gt;"open",0,IF(AND('Month-End'!$FI$27&lt;&gt;"",NOT(_xlfn.ISFORMULA('Month-End'!$FI$27))),0,IF(OR(Settings!$C$50="",Settings!$D$50=""),0,Settings!$C$50*IF(Settings!$D$50="Weekly",IF(IFERROR(MATCH(Settings!$E$50,$EO$4:$EO$10,0),0)=0,0,IF(MIN(Settings!$B$5,IF(Settings!$G$50="",Settings!$B$5,Settings!$G$50))&lt;MAX($A168,Settings!$F$50),0,INT((MIN(Settings!$B$5,IF(Settings!$G$50="",Settings!$B$5,Settings!$G$50))-MAX($A168,Settings!$F$50)-MOD(IFERROR(MATCH(Settings!$E$50,$EO$4:$EO$10,0),0)-WEEKDAY(MAX($A168,Settings!$F$50)),7))/7)+1)),IF(AND(IF(Settings!$E$50="",$B168,DATE(YEAR($A168),MONTH($A168),MIN(Settings!$E$50,DAY($B168))))&gt;=MAX($A168,Settings!$F$50),IF(Settings!$E$50="",$B168,DATE(YEAR($A168),MONTH($A168),MIN(Settings!$E$50,DAY($B168))))&lt;=MIN(Settings!$B$5,IF(Settings!$G$50="",Settings!$B$5,Settings!$G$50))),1,0)))))</f>
        <v/>
      </c>
      <c r="EZ168">
        <f>IF($E168&lt;&gt;"open",0,IF(AND('Month-End'!$FI$28&lt;&gt;"",NOT(_xlfn.ISFORMULA('Month-End'!$FI$28))),0,IF(OR(Settings!$C$51="",Settings!$D$51=""),0,Settings!$C$51*IF(Settings!$D$51="Weekly",IF(IFERROR(MATCH(Settings!$E$51,$EO$4:$EO$10,0),0)=0,0,IF(MIN(Settings!$B$5,IF(Settings!$G$51="",Settings!$B$5,Settings!$G$51))&lt;MAX($A168,Settings!$F$51),0,INT((MIN(Settings!$B$5,IF(Settings!$G$51="",Settings!$B$5,Settings!$G$51))-MAX($A168,Settings!$F$51)-MOD(IFERROR(MATCH(Settings!$E$51,$EO$4:$EO$10,0),0)-WEEKDAY(MAX($A168,Settings!$F$51)),7))/7)+1)),IF(AND(IF(Settings!$E$51="",$B168,DATE(YEAR($A168),MONTH($A168),MIN(Settings!$E$51,DAY($B168))))&gt;=MAX($A168,Settings!$F$51),IF(Settings!$E$51="",$B168,DATE(YEAR($A168),MONTH($A168),MIN(Settings!$E$51,DAY($B168))))&lt;=MIN(Settings!$B$5,IF(Settings!$G$51="",Settings!$B$5,Settings!$G$51))),1,0)))))</f>
        <v/>
      </c>
      <c r="FA168">
        <f>IF($E168&lt;&gt;"open",0,IF(AND('Month-End'!$FI$29&lt;&gt;"",NOT(_xlfn.ISFORMULA('Month-End'!$FI$29))),0,IF(OR(Settings!$C$52="",Settings!$D$52=""),0,Settings!$C$52*IF(Settings!$D$52="Weekly",IF(IFERROR(MATCH(Settings!$E$52,$EO$4:$EO$10,0),0)=0,0,IF(MIN(Settings!$B$5,IF(Settings!$G$52="",Settings!$B$5,Settings!$G$52))&lt;MAX($A168,Settings!$F$52),0,INT((MIN(Settings!$B$5,IF(Settings!$G$52="",Settings!$B$5,Settings!$G$52))-MAX($A168,Settings!$F$52)-MOD(IFERROR(MATCH(Settings!$E$52,$EO$4:$EO$10,0),0)-WEEKDAY(MAX($A168,Settings!$F$52)),7))/7)+1)),IF(AND(IF(Settings!$E$52="",$B168,DATE(YEAR($A168),MONTH($A168),MIN(Settings!$E$52,DAY($B168))))&gt;=MAX($A168,Settings!$F$52),IF(Settings!$E$52="",$B168,DATE(YEAR($A168),MONTH($A168),MIN(Settings!$E$52,DAY($B168))))&lt;=MIN(Settings!$B$5,IF(Settings!$G$52="",Settings!$B$5,Settings!$G$52))),1,0)))))</f>
        <v/>
      </c>
      <c r="FB168">
        <f>IF($E168&lt;&gt;"open",0,IF(AND('Month-End'!$FI$30&lt;&gt;"",NOT(_xlfn.ISFORMULA('Month-End'!$FI$30))),0,IF(OR(Settings!$C$53="",Settings!$D$53=""),0,Settings!$C$53*IF(Settings!$D$53="Weekly",IF(IFERROR(MATCH(Settings!$E$53,$EO$4:$EO$10,0),0)=0,0,IF(MIN(Settings!$B$5,IF(Settings!$G$53="",Settings!$B$5,Settings!$G$53))&lt;MAX($A168,Settings!$F$53),0,INT((MIN(Settings!$B$5,IF(Settings!$G$53="",Settings!$B$5,Settings!$G$53))-MAX($A168,Settings!$F$53)-MOD(IFERROR(MATCH(Settings!$E$53,$EO$4:$EO$10,0),0)-WEEKDAY(MAX($A168,Settings!$F$53)),7))/7)+1)),IF(AND(IF(Settings!$E$53="",$B168,DATE(YEAR($A168),MONTH($A168),MIN(Settings!$E$53,DAY($B168))))&gt;=MAX($A168,Settings!$F$53),IF(Settings!$E$53="",$B168,DATE(YEAR($A168),MONTH($A168),MIN(Settings!$E$53,DAY($B168))))&lt;=MIN(Settings!$B$5,IF(Settings!$G$53="",Settings!$B$5,Settings!$G$53))),1,0)))))</f>
        <v/>
      </c>
      <c r="FC168">
        <f>IF($E168&lt;&gt;"open",0,IF(AND('Month-End'!$FI$31&lt;&gt;"",NOT(_xlfn.ISFORMULA('Month-End'!$FI$31))),0,IF(OR(Settings!$C$54="",Settings!$D$54=""),0,Settings!$C$54*IF(Settings!$D$54="Weekly",IF(IFERROR(MATCH(Settings!$E$54,$EO$4:$EO$10,0),0)=0,0,IF(MIN(Settings!$B$5,IF(Settings!$G$54="",Settings!$B$5,Settings!$G$54))&lt;MAX($A168,Settings!$F$54),0,INT((MIN(Settings!$B$5,IF(Settings!$G$54="",Settings!$B$5,Settings!$G$54))-MAX($A168,Settings!$F$54)-MOD(IFERROR(MATCH(Settings!$E$54,$EO$4:$EO$10,0),0)-WEEKDAY(MAX($A168,Settings!$F$54)),7))/7)+1)),IF(AND(IF(Settings!$E$54="",$B168,DATE(YEAR($A168),MONTH($A168),MIN(Settings!$E$54,DAY($B168))))&gt;=MAX($A168,Settings!$F$54),IF(Settings!$E$54="",$B168,DATE(YEAR($A168),MONTH($A168),MIN(Settings!$E$54,DAY($B168))))&lt;=MIN(Settings!$B$5,IF(Settings!$G$54="",Settings!$B$5,Settings!$G$54))),1,0)))))</f>
        <v/>
      </c>
      <c r="FD168">
        <f>IF($E168&lt;&gt;"open",0,IF(AND('Month-End'!$FI$32&lt;&gt;"",NOT(_xlfn.ISFORMULA('Month-End'!$FI$32))),0,IF(OR(Settings!$C$55="",Settings!$D$55=""),0,Settings!$C$55*IF(Settings!$D$55="Weekly",IF(IFERROR(MATCH(Settings!$E$55,$EO$4:$EO$10,0),0)=0,0,IF(MIN(Settings!$B$5,IF(Settings!$G$55="",Settings!$B$5,Settings!$G$55))&lt;MAX($A168,Settings!$F$55),0,INT((MIN(Settings!$B$5,IF(Settings!$G$55="",Settings!$B$5,Settings!$G$55))-MAX($A168,Settings!$F$55)-MOD(IFERROR(MATCH(Settings!$E$55,$EO$4:$EO$10,0),0)-WEEKDAY(MAX($A168,Settings!$F$55)),7))/7)+1)),IF(AND(IF(Settings!$E$55="",$B168,DATE(YEAR($A168),MONTH($A168),MIN(Settings!$E$55,DAY($B168))))&gt;=MAX($A168,Settings!$F$55),IF(Settings!$E$55="",$B168,DATE(YEAR($A168),MONTH($A168),MIN(Settings!$E$55,DAY($B168))))&lt;=MIN(Settings!$B$5,IF(Settings!$G$55="",Settings!$B$5,Settings!$G$55))),1,0)))))</f>
        <v/>
      </c>
      <c r="FE168">
        <f>IF($E168&lt;&gt;"open",0,IF(AND('Month-End'!$FI$33&lt;&gt;"",NOT(_xlfn.ISFORMULA('Month-End'!$FI$33))),0,IF(OR(Settings!$C$56="",Settings!$D$56=""),0,Settings!$C$56*IF(Settings!$D$56="Weekly",IF(IFERROR(MATCH(Settings!$E$56,$EO$4:$EO$10,0),0)=0,0,IF(MIN(Settings!$B$5,IF(Settings!$G$56="",Settings!$B$5,Settings!$G$56))&lt;MAX($A168,Settings!$F$56),0,INT((MIN(Settings!$B$5,IF(Settings!$G$56="",Settings!$B$5,Settings!$G$56))-MAX($A168,Settings!$F$56)-MOD(IFERROR(MATCH(Settings!$E$56,$EO$4:$EO$10,0),0)-WEEKDAY(MAX($A168,Settings!$F$56)),7))/7)+1)),IF(AND(IF(Settings!$E$56="",$B168,DATE(YEAR($A168),MONTH($A168),MIN(Settings!$E$56,DAY($B168))))&gt;=MAX($A168,Settings!$F$56),IF(Settings!$E$56="",$B168,DATE(YEAR($A168),MONTH($A168),MIN(Settings!$E$56,DAY($B168))))&lt;=MIN(Settings!$B$5,IF(Settings!$G$56="",Settings!$B$5,Settings!$G$56))),1,0)))))</f>
        <v/>
      </c>
      <c r="FF168">
        <f>IF(Settings!$I$45="Yes",$G168,0)+IF(Settings!$I$46="Yes",$H168,0)+IF(Settings!$I$47="Yes",$I168,0)+IF(Settings!$I$48="Yes",$J168,0)+IF(Settings!$I$49="Yes",$K168,0)+IF(Settings!$I$50="Yes",$L168,0)+IF(Settings!$I$51="Yes",$M168,0)+IF(Settings!$I$52="Yes",$N168,0)+IF(Settings!$I$53="Yes",$O168,0)+IF(Settings!$I$54="Yes",$P168,0)+IF(Settings!$I$55="Yes",$Q168,0)+IF(Settings!$I$56="Yes",$R168,0)</f>
        <v/>
      </c>
      <c r="FG168">
        <f>IF(AND(Settings!$I$45="Yes",Settings!$J$45="No"),$G168,0)+IF(AND(Settings!$I$46="Yes",Settings!$J$46="No"),$H168,0)+IF(AND(Settings!$I$47="Yes",Settings!$J$47="No"),$I168,0)+IF(AND(Settings!$I$48="Yes",Settings!$J$48="No"),$J168,0)+IF(AND(Settings!$I$49="Yes",Settings!$J$49="No"),$K168,0)+IF(AND(Settings!$I$50="Yes",Settings!$J$50="No"),$L168,0)+IF(AND(Settings!$I$51="Yes",Settings!$J$51="No"),$M168,0)+IF(AND(Settings!$I$52="Yes",Settings!$J$52="No"),$N168,0)+IF(AND(Settings!$I$53="Yes",Settings!$J$53="No"),$O168,0)+IF(AND(Settings!$I$54="Yes",Settings!$J$54="No"),$P168,0)+IF(AND(Settings!$I$55="Yes",Settings!$J$55="No"),$Q168,0)+IF(AND(Settings!$I$56="Yes",Settings!$J$56="No"),$R168,0)</f>
        <v/>
      </c>
      <c r="FH168">
        <f>SUMIFS(Giving!$B$7:$B$2006,Giving!$A$7:$A$2006,"&gt;="&amp;$A168,Giving!$A$7:$A$2006,"&lt;="&amp;$B168,Giving!$G$7:$G$2006,"Yes")+IF(OR(OR(Settings!$B$60="",Settings!$F$60="No"),Settings!$H$60&lt;&gt;"Yes"),0,Settings!$B$60*IF(AND(IF(Settings!$C$60="",$B168,DATE(YEAR($A168),MONTH($A168),MIN(Settings!$C$60,DAY($B168))))&gt;=MAX($A168,Settings!$D$60),IF(Settings!$C$60="",$B168,DATE(YEAR($A168),MONTH($A168),MIN(Settings!$C$60,DAY($B168))))&lt;=MIN($C168,IF(Settings!$E$60="",$C168,Settings!$E$60))),1,0))+IF(OR(OR(Settings!$B$61="",Settings!$F$61="No"),Settings!$H$61&lt;&gt;"Yes"),0,Settings!$B$61*IF(AND(IF(Settings!$C$61="",$B168,DATE(YEAR($A168),MONTH($A168),MIN(Settings!$C$61,DAY($B168))))&gt;=MAX($A168,Settings!$D$61),IF(Settings!$C$61="",$B168,DATE(YEAR($A168),MONTH($A168),MIN(Settings!$C$61,DAY($B168))))&lt;=MIN($C168,IF(Settings!$E$61="",$C168,Settings!$E$61))),1,0))+IF(OR(OR(Settings!$B$62="",Settings!$F$62="No"),Settings!$H$62&lt;&gt;"Yes"),0,Settings!$B$62*IF(AND(IF(Settings!$C$62="",$B168,DATE(YEAR($A168),MONTH($A168),MIN(Settings!$C$62,DAY($B168))))&gt;=MAX($A168,Settings!$D$62),IF(Settings!$C$62="",$B168,DATE(YEAR($A168),MONTH($A168),MIN(Settings!$C$62,DAY($B168))))&lt;=MIN($C168,IF(Settings!$E$62="",$C168,Settings!$E$62))),1,0))+IF(OR(OR(Settings!$B$63="",Settings!$F$63="No"),Settings!$H$63&lt;&gt;"Yes"),0,Settings!$B$63*IF(AND(IF(Settings!$C$63="",$B168,DATE(YEAR($A168),MONTH($A168),MIN(Settings!$C$63,DAY($B168))))&gt;=MAX($A168,Settings!$D$63),IF(Settings!$C$63="",$B168,DATE(YEAR($A168),MONTH($A168),MIN(Settings!$C$63,DAY($B168))))&lt;=MIN($C168,IF(Settings!$E$63="",$C168,Settings!$E$63))),1,0))+IF(OR(OR(Settings!$B$64="",Settings!$F$64="No"),Settings!$H$64&lt;&gt;"Yes"),0,Settings!$B$64*IF(AND(IF(Settings!$C$64="",$B168,DATE(YEAR($A168),MONTH($A168),MIN(Settings!$C$64,DAY($B168))))&gt;=MAX($A168,Settings!$D$64),IF(Settings!$C$64="",$B168,DATE(YEAR($A168),MONTH($A168),MIN(Settings!$C$64,DAY($B168))))&lt;=MIN($C168,IF(Settings!$E$64="",$C168,Settings!$E$64))),1,0))+IF(OR(OR(Settings!$B$65="",Settings!$F$65="No"),Settings!$H$65&lt;&gt;"Yes"),0,Settings!$B$65*IF(AND(IF(Settings!$C$65="",$B168,DATE(YEAR($A168),MONTH($A168),MIN(Settings!$C$65,DAY($B168))))&gt;=MAX($A168,Settings!$D$65),IF(Settings!$C$65="",$B168,DATE(YEAR($A168),MONTH($A168),MIN(Settings!$C$65,DAY($B168))))&lt;=MIN($C168,IF(Settings!$E$65="",$C168,Settings!$E$65))),1,0))</f>
        <v/>
      </c>
      <c r="FI168">
        <f>IF($DT168=1,IF(OR(Settings!$B$19="Card",Settings!$B$19="Loan"),N($AE168),0)+IF(OR(Settings!$B$20="Card",Settings!$B$20="Loan"),N($AF168),0)+IF(OR(Settings!$B$21="Card",Settings!$B$21="Loan"),N($AG168),0)+IF(OR(Settings!$B$22="Card",Settings!$B$22="Loan"),N($AH168),0)+IF(OR(Settings!$B$23="Card",Settings!$B$23="Loan"),N($AI168),0)+IF(OR(Settings!$B$24="Card",Settings!$B$24="Loan"),N($AJ168),0)+IF(OR(Settings!$B$25="Card",Settings!$B$25="Loan"),N($AK168),0)+IF(OR(Settings!$B$26="Card",Settings!$B$26="Loan"),N($AL168),0)+IF(OR(Settings!$B$27="Card",Settings!$B$27="Loan"),N($AM168),0)+IF(OR(Settings!$B$28="Card",Settings!$B$28="Loan"),N($AN168),0)+IF(OR(Settings!$B$29="Card",Settings!$B$29="Loan"),N($AO168),0)+IF(OR(Settings!$B$30="Card",Settings!$B$30="Loan"),N($AP168),0)+IF(OR(Settings!$B$31="Card",Settings!$B$31="Loan"),N($AQ168),0)+IF(OR(Settings!$B$32="Card",Settings!$B$32="Loan"),N($AR168),0),"")</f>
        <v/>
      </c>
      <c r="FJ168">
        <f>IF($E168="open",$EB$65,IF($E168="post",IF($E167="pre",$EB$65,$FI167),""))</f>
        <v/>
      </c>
      <c r="FK168">
        <f>IF(AND($DT168=1,$DC168=1),IF(ROUND($FI168-$FJ168,2)&gt;0,1,0),0)</f>
        <v/>
      </c>
      <c r="FL168">
        <f>IF($FK168=1,$FL167+1,0)</f>
        <v/>
      </c>
    </row>
    <row r="169">
      <c r="A169">
        <f>'Month-End'!$FJ$4</f>
        <v/>
      </c>
      <c r="B169">
        <f>EOMONTH($A169,0)</f>
        <v/>
      </c>
      <c r="C169">
        <f>MIN($B169,TODAY())</f>
        <v/>
      </c>
      <c r="D169">
        <f>IF($A169&gt;TODAY(),1,0)</f>
        <v/>
      </c>
      <c r="E169">
        <f>IF($B169&lt;=Settings!$B$5,"pre",IF($A169&lt;=Settings!$B$5,"open","post"))</f>
        <v/>
      </c>
      <c r="G169">
        <f>IF('Month-End'!$FJ$22="",$BE169,N('Month-End'!$FJ$22))</f>
        <v/>
      </c>
      <c r="H169">
        <f>IF('Month-End'!$FJ$23="",$BF169,N('Month-End'!$FJ$23))</f>
        <v/>
      </c>
      <c r="I169">
        <f>IF('Month-End'!$FJ$24="",$BG169,N('Month-End'!$FJ$24))</f>
        <v/>
      </c>
      <c r="J169">
        <f>IF('Month-End'!$FJ$25="",$BH169,N('Month-End'!$FJ$25))</f>
        <v/>
      </c>
      <c r="K169">
        <f>IF('Month-End'!$FJ$26="",$BI169,N('Month-End'!$FJ$26))</f>
        <v/>
      </c>
      <c r="L169">
        <f>IF('Month-End'!$FJ$27="",$BJ169,N('Month-End'!$FJ$27))</f>
        <v/>
      </c>
      <c r="M169">
        <f>IF('Month-End'!$FJ$28="",$BK169,N('Month-End'!$FJ$28))</f>
        <v/>
      </c>
      <c r="N169">
        <f>IF('Month-End'!$FJ$29="",$BL169,N('Month-End'!$FJ$29))</f>
        <v/>
      </c>
      <c r="O169">
        <f>IF('Month-End'!$FJ$30="",$BM169,N('Month-End'!$FJ$30))</f>
        <v/>
      </c>
      <c r="P169">
        <f>IF('Month-End'!$FJ$31="",$BN169,N('Month-End'!$FJ$31))</f>
        <v/>
      </c>
      <c r="Q169">
        <f>IF('Month-End'!$FJ$32="",$BO169,N('Month-End'!$FJ$32))</f>
        <v/>
      </c>
      <c r="R169">
        <f>IF('Month-End'!$FJ$33="",$BP169,N('Month-End'!$FJ$33))</f>
        <v/>
      </c>
      <c r="S169">
        <f>$G169+$H169+$I169+$J169+$K169+$L169+$M169+$N169+$O169+$P169+$Q169+$R169</f>
        <v/>
      </c>
      <c r="T169">
        <f>IF($B169&lt;Settings!$B$6,0,IF(Settings!$B$45="Yes",$G169,0)+IF(Settings!$B$46="Yes",$H169,0)+IF(Settings!$B$47="Yes",$I169,0)+IF(Settings!$B$48="Yes",$J169,0)+IF(Settings!$B$49="Yes",$K169,0)+IF(Settings!$B$50="Yes",$L169,0)+IF(Settings!$B$51="Yes",$M169,0)+IF(Settings!$B$52="Yes",$N169,0)+IF(Settings!$B$53="Yes",$O169,0)+IF(Settings!$B$54="Yes",$P169,0)+IF(Settings!$B$55="Yes",$Q169,0)+IF(Settings!$B$56="Yes",$R169,0))</f>
        <v/>
      </c>
      <c r="U169">
        <f>IF(Settings!$B$45="Not Sure",$G169,0)+IF(Settings!$B$46="Not Sure",$H169,0)+IF(Settings!$B$47="Not Sure",$I169,0)+IF(Settings!$B$48="Not Sure",$J169,0)+IF(Settings!$B$49="Not Sure",$K169,0)+IF(Settings!$B$50="Not Sure",$L169,0)+IF(Settings!$B$51="Not Sure",$M169,0)+IF(Settings!$B$52="Not Sure",$N169,0)+IF(Settings!$B$53="Not Sure",$O169,0)+IF(Settings!$B$54="Not Sure",$P169,0)+IF(Settings!$B$55="Not Sure",$Q169,0)+IF(Settings!$B$56="Not Sure",$R169,0)</f>
        <v/>
      </c>
      <c r="V169">
        <f>IF($E169="open",SUM($ET169:$FE169)+N(Settings!$B$13),0)</f>
        <v/>
      </c>
      <c r="W169">
        <f>IF($E169="post",$S169,IF($E169="open",$S169-$V169,0))</f>
        <v/>
      </c>
      <c r="X169">
        <f>SUMIFS(Giving!$B$7:$B$2006,Giving!$A$7:$A$2006,"&gt;="&amp;$A169,Giving!$A$7:$A$2006,"&lt;="&amp;$B169,Giving!$E$7:$E$2006,"&lt;&gt;No")</f>
        <v/>
      </c>
      <c r="Y169">
        <f>SUMIFS(Giving!$B$7:$B$2006,Giving!$A$7:$A$2006,"&gt;="&amp;$A169,Giving!$A$7:$A$2006,"&lt;="&amp;$B169,Giving!$E$7:$E$2006,"No")</f>
        <v/>
      </c>
      <c r="Z169">
        <f>IF(OR(Settings!$B$60="",Settings!$F$60="No"),0,Settings!$B$60*IF(AND(IF(Settings!$C$60="",$B169,DATE(YEAR($A169),MONTH($A169),MIN(Settings!$C$60,DAY($B169))))&gt;=MAX($A169,Settings!$D$60),IF(Settings!$C$60="",$B169,DATE(YEAR($A169),MONTH($A169),MIN(Settings!$C$60,DAY($B169))))&lt;=MIN($C169,IF(Settings!$E$60="",$C169,Settings!$E$60))),1,0))+IF(OR(Settings!$B$61="",Settings!$F$61="No"),0,Settings!$B$61*IF(AND(IF(Settings!$C$61="",$B169,DATE(YEAR($A169),MONTH($A169),MIN(Settings!$C$61,DAY($B169))))&gt;=MAX($A169,Settings!$D$61),IF(Settings!$C$61="",$B169,DATE(YEAR($A169),MONTH($A169),MIN(Settings!$C$61,DAY($B169))))&lt;=MIN($C169,IF(Settings!$E$61="",$C169,Settings!$E$61))),1,0))+IF(OR(Settings!$B$62="",Settings!$F$62="No"),0,Settings!$B$62*IF(AND(IF(Settings!$C$62="",$B169,DATE(YEAR($A169),MONTH($A169),MIN(Settings!$C$62,DAY($B169))))&gt;=MAX($A169,Settings!$D$62),IF(Settings!$C$62="",$B169,DATE(YEAR($A169),MONTH($A169),MIN(Settings!$C$62,DAY($B169))))&lt;=MIN($C169,IF(Settings!$E$62="",$C169,Settings!$E$62))),1,0))+IF(OR(Settings!$B$63="",Settings!$F$63="No"),0,Settings!$B$63*IF(AND(IF(Settings!$C$63="",$B169,DATE(YEAR($A169),MONTH($A169),MIN(Settings!$C$63,DAY($B169))))&gt;=MAX($A169,Settings!$D$63),IF(Settings!$C$63="",$B169,DATE(YEAR($A169),MONTH($A169),MIN(Settings!$C$63,DAY($B169))))&lt;=MIN($C169,IF(Settings!$E$63="",$C169,Settings!$E$63))),1,0))+IF(OR(Settings!$B$64="",Settings!$F$64="No"),0,Settings!$B$64*IF(AND(IF(Settings!$C$64="",$B169,DATE(YEAR($A169),MONTH($A169),MIN(Settings!$C$64,DAY($B169))))&gt;=MAX($A169,Settings!$D$64),IF(Settings!$C$64="",$B169,DATE(YEAR($A169),MONTH($A169),MIN(Settings!$C$64,DAY($B169))))&lt;=MIN($C169,IF(Settings!$E$64="",$C169,Settings!$E$64))),1,0))+IF(OR(Settings!$B$65="",Settings!$F$65="No"),0,Settings!$B$65*IF(AND(IF(Settings!$C$65="",$B169,DATE(YEAR($A169),MONTH($A169),MIN(Settings!$C$65,DAY($B169))))&gt;=MAX($A169,Settings!$D$65),IF(Settings!$C$65="",$B169,DATE(YEAR($A169),MONTH($A169),MIN(Settings!$C$65,DAY($B169))))&lt;=MIN($C169,IF(Settings!$E$65="",$C169,Settings!$E$65))),1,0))</f>
        <v/>
      </c>
      <c r="AA169">
        <f>$X169+$Z169</f>
        <v/>
      </c>
      <c r="AB169">
        <f>IF($E169="post",$AA169,IF($E169="open",SUMIFS(Giving!$B$7:$B$2006,Giving!$A$7:$A$2006,"&gt;"&amp;Settings!$B$5,Giving!$A$7:$A$2006,"&lt;="&amp;$B169,Giving!$E$7:$E$2006,"&lt;&gt;No")+IF(OR(Settings!$B$60="",Settings!$F$60="No"),0,Settings!$B$60*IF(AND(IF(Settings!$C$60="",$B169,DATE(YEAR($A169),MONTH($A169),MIN(Settings!$C$60,DAY($B169))))&gt;=MAX($A169,Settings!$D$60,Settings!$B$5+1),IF(Settings!$C$60="",$B169,DATE(YEAR($A169),MONTH($A169),MIN(Settings!$C$60,DAY($B169))))&lt;=MIN($C169,IF(Settings!$E$60="",$C169,Settings!$E$60))),1,0))+IF(OR(Settings!$B$61="",Settings!$F$61="No"),0,Settings!$B$61*IF(AND(IF(Settings!$C$61="",$B169,DATE(YEAR($A169),MONTH($A169),MIN(Settings!$C$61,DAY($B169))))&gt;=MAX($A169,Settings!$D$61,Settings!$B$5+1),IF(Settings!$C$61="",$B169,DATE(YEAR($A169),MONTH($A169),MIN(Settings!$C$61,DAY($B169))))&lt;=MIN($C169,IF(Settings!$E$61="",$C169,Settings!$E$61))),1,0))+IF(OR(Settings!$B$62="",Settings!$F$62="No"),0,Settings!$B$62*IF(AND(IF(Settings!$C$62="",$B169,DATE(YEAR($A169),MONTH($A169),MIN(Settings!$C$62,DAY($B169))))&gt;=MAX($A169,Settings!$D$62,Settings!$B$5+1),IF(Settings!$C$62="",$B169,DATE(YEAR($A169),MONTH($A169),MIN(Settings!$C$62,DAY($B169))))&lt;=MIN($C169,IF(Settings!$E$62="",$C169,Settings!$E$62))),1,0))+IF(OR(Settings!$B$63="",Settings!$F$63="No"),0,Settings!$B$63*IF(AND(IF(Settings!$C$63="",$B169,DATE(YEAR($A169),MONTH($A169),MIN(Settings!$C$63,DAY($B169))))&gt;=MAX($A169,Settings!$D$63,Settings!$B$5+1),IF(Settings!$C$63="",$B169,DATE(YEAR($A169),MONTH($A169),MIN(Settings!$C$63,DAY($B169))))&lt;=MIN($C169,IF(Settings!$E$63="",$C169,Settings!$E$63))),1,0))+IF(OR(Settings!$B$64="",Settings!$F$64="No"),0,Settings!$B$64*IF(AND(IF(Settings!$C$64="",$B169,DATE(YEAR($A169),MONTH($A169),MIN(Settings!$C$64,DAY($B169))))&gt;=MAX($A169,Settings!$D$64,Settings!$B$5+1),IF(Settings!$C$64="",$B169,DATE(YEAR($A169),MONTH($A169),MIN(Settings!$C$64,DAY($B169))))&lt;=MIN($C169,IF(Settings!$E$64="",$C169,Settings!$E$64))),1,0))+IF(OR(Settings!$B$65="",Settings!$F$65="No"),0,Settings!$B$65*IF(AND(IF(Settings!$C$65="",$B169,DATE(YEAR($A169),MONTH($A169),MIN(Settings!$C$65,DAY($B169))))&gt;=MAX($A169,Settings!$D$65,Settings!$B$5+1),IF(Settings!$C$65="",$B169,DATE(YEAR($A169),MONTH($A169),MIN(Settings!$C$65,DAY($B169))))&lt;=MIN($C169,IF(Settings!$E$65="",$C169,Settings!$E$65))),1,0)),0))</f>
        <v/>
      </c>
      <c r="AC169">
        <f>$AY169+$AZ169+$BA169+$BB169+$BC169+$BD169</f>
        <v/>
      </c>
      <c r="AD169">
        <f>$AC169</f>
        <v/>
      </c>
      <c r="AE169">
        <f>IF(OR(Settings!$A$19="",$E169="pre"),"",IF(AND('Month-End'!$FJ$7&lt;&gt;"",NOT(_xlfn.ISFORMULA('Month-End'!$FJ$7))),N('Month-End'!$FJ$7),IF(OR($E169="open",$E168="pre"),N(Settings!$C$19),N($AE168))))</f>
        <v/>
      </c>
      <c r="AF169">
        <f>IF(OR(Settings!$A$20="",$E169="pre"),"",IF(AND('Month-End'!$FJ$8&lt;&gt;"",NOT(_xlfn.ISFORMULA('Month-End'!$FJ$8))),N('Month-End'!$FJ$8),IF(OR($E169="open",$E168="pre"),N(Settings!$C$20),N($AF168))))</f>
        <v/>
      </c>
      <c r="AG169">
        <f>IF(OR(Settings!$A$21="",$E169="pre"),"",IF(AND('Month-End'!$FJ$9&lt;&gt;"",NOT(_xlfn.ISFORMULA('Month-End'!$FJ$9))),N('Month-End'!$FJ$9),IF(OR($E169="open",$E168="pre"),N(Settings!$C$21),N($AG168))))</f>
        <v/>
      </c>
      <c r="AH169">
        <f>IF(OR(Settings!$A$22="",$E169="pre"),"",IF(AND('Month-End'!$FJ$10&lt;&gt;"",NOT(_xlfn.ISFORMULA('Month-End'!$FJ$10))),N('Month-End'!$FJ$10),IF(OR($E169="open",$E168="pre"),N(Settings!$C$22),N($AH168))))</f>
        <v/>
      </c>
      <c r="AI169">
        <f>IF(OR(Settings!$A$23="",$E169="pre"),"",IF(AND('Month-End'!$FJ$11&lt;&gt;"",NOT(_xlfn.ISFORMULA('Month-End'!$FJ$11))),N('Month-End'!$FJ$11),IF(OR($E169="open",$E168="pre"),N(Settings!$C$23),N($AI168))))</f>
        <v/>
      </c>
      <c r="AJ169">
        <f>IF(OR(Settings!$A$24="",$E169="pre"),"",IF(AND('Month-End'!$FJ$12&lt;&gt;"",NOT(_xlfn.ISFORMULA('Month-End'!$FJ$12))),N('Month-End'!$FJ$12),IF(OR($E169="open",$E168="pre"),N(Settings!$C$24),N($AJ168))))</f>
        <v/>
      </c>
      <c r="AK169">
        <f>IF(OR(Settings!$A$25="",$E169="pre"),"",IF(AND('Month-End'!$FJ$13&lt;&gt;"",NOT(_xlfn.ISFORMULA('Month-End'!$FJ$13))),N('Month-End'!$FJ$13),IF(OR($E169="open",$E168="pre"),N(Settings!$C$25),N($AK168))))</f>
        <v/>
      </c>
      <c r="AL169">
        <f>IF(OR(Settings!$A$26="",$E169="pre"),"",IF(AND('Month-End'!$FJ$14&lt;&gt;"",NOT(_xlfn.ISFORMULA('Month-End'!$FJ$14))),N('Month-End'!$FJ$14),IF(OR($E169="open",$E168="pre"),N(Settings!$C$26),N($AL168))))</f>
        <v/>
      </c>
      <c r="AM169">
        <f>IF(OR(Settings!$A$27="",$E169="pre"),"",IF(AND('Month-End'!$FJ$15&lt;&gt;"",NOT(_xlfn.ISFORMULA('Month-End'!$FJ$15))),N('Month-End'!$FJ$15),IF(OR($E169="open",$E168="pre"),N(Settings!$C$27),N($AM168))))</f>
        <v/>
      </c>
      <c r="AN169">
        <f>IF(OR(Settings!$A$28="",$E169="pre"),"",IF(AND('Month-End'!$FJ$16&lt;&gt;"",NOT(_xlfn.ISFORMULA('Month-End'!$FJ$16))),N('Month-End'!$FJ$16),IF(OR($E169="open",$E168="pre"),N(Settings!$C$28),N($AN168))))</f>
        <v/>
      </c>
      <c r="AO169">
        <f>IF(OR(Settings!$A$29="",$E169="pre"),"",IF(AND('Month-End'!$FJ$17&lt;&gt;"",NOT(_xlfn.ISFORMULA('Month-End'!$FJ$17))),N('Month-End'!$FJ$17),IF(OR($E169="open",$E168="pre"),N(Settings!$C$29),N($AO168))))</f>
        <v/>
      </c>
      <c r="AP169">
        <f>IF(OR(Settings!$A$30="",$E169="pre"),"",IF(AND('Month-End'!$FJ$18&lt;&gt;"",NOT(_xlfn.ISFORMULA('Month-End'!$FJ$18))),N('Month-End'!$FJ$18),IF(OR($E169="open",$E168="pre"),N(Settings!$C$30),N($AP168))))</f>
        <v/>
      </c>
      <c r="AQ169">
        <f>IF(OR(Settings!$A$31="",$E169="pre"),"",IF(AND('Month-End'!$FJ$19&lt;&gt;"",NOT(_xlfn.ISFORMULA('Month-End'!$FJ$19))),N('Month-End'!$FJ$19),IF(OR($E169="open",$E168="pre"),N(Settings!$C$31),N($AQ168))))</f>
        <v/>
      </c>
      <c r="AR169">
        <f>IF(OR(Settings!$A$32="",$E169="pre"),"",IF(AND('Month-End'!$FJ$20&lt;&gt;"",NOT(_xlfn.ISFORMULA('Month-End'!$FJ$20))),N('Month-End'!$FJ$20),IF(OR($E169="open",$E168="pre"),N(Settings!$C$32),N($AR168))))</f>
        <v/>
      </c>
      <c r="AS169">
        <f>IF(OR(Settings!$A$36="",$E169="pre"),"",IF(AND('Month-End'!$FJ$38&lt;&gt;"",NOT(_xlfn.ISFORMULA('Month-End'!$FJ$38))),N('Month-End'!$FJ$38),IF(OR($E169="open",$E168="pre"),N(Settings!$C$36),N($AS168))+$AY169))</f>
        <v/>
      </c>
      <c r="AT169">
        <f>IF(OR(Settings!$A$37="",$E169="pre"),"",IF(AND('Month-End'!$FJ$39&lt;&gt;"",NOT(_xlfn.ISFORMULA('Month-End'!$FJ$39))),N('Month-End'!$FJ$39),IF(OR($E169="open",$E168="pre"),N(Settings!$C$37),N($AT168))+$AZ169))</f>
        <v/>
      </c>
      <c r="AU169">
        <f>IF(OR(Settings!$A$38="",$E169="pre"),"",IF(AND('Month-End'!$FJ$40&lt;&gt;"",NOT(_xlfn.ISFORMULA('Month-End'!$FJ$40))),N('Month-End'!$FJ$40),IF(OR($E169="open",$E168="pre"),N(Settings!$C$38),N($AU168))+$BA169))</f>
        <v/>
      </c>
      <c r="AV169">
        <f>IF(OR(Settings!$A$39="",$E169="pre"),"",IF(AND('Month-End'!$FJ$41&lt;&gt;"",NOT(_xlfn.ISFORMULA('Month-End'!$FJ$41))),N('Month-End'!$FJ$41),IF(OR($E169="open",$E168="pre"),N(Settings!$C$39),N($AV168))+$BB169))</f>
        <v/>
      </c>
      <c r="AW169">
        <f>IF(OR(Settings!$A$40="",$E169="pre"),"",IF(AND('Month-End'!$FJ$42&lt;&gt;"",NOT(_xlfn.ISFORMULA('Month-End'!$FJ$42))),N('Month-End'!$FJ$42),IF(OR($E169="open",$E168="pre"),N(Settings!$C$40),N($AW168))+$BC169))</f>
        <v/>
      </c>
      <c r="AX169">
        <f>IF(OR(Settings!$A$41="",$E169="pre"),"",IF(AND('Month-End'!$FJ$43&lt;&gt;"",NOT(_xlfn.ISFORMULA('Month-End'!$FJ$43))),N('Month-End'!$FJ$43),IF(OR($E169="open",$E168="pre"),N(Settings!$C$41),N($AX168))+$BD169))</f>
        <v/>
      </c>
      <c r="AY169">
        <f>IF($E169="pre",0,N('Month-End'!$FJ$45))</f>
        <v/>
      </c>
      <c r="AZ169">
        <f>IF($E169="pre",0,N('Month-End'!$FJ$46))</f>
        <v/>
      </c>
      <c r="BA169">
        <f>IF($E169="pre",0,N('Month-End'!$FJ$47))</f>
        <v/>
      </c>
      <c r="BB169">
        <f>IF($E169="pre",0,N('Month-End'!$FJ$48))</f>
        <v/>
      </c>
      <c r="BC169">
        <f>IF($E169="pre",0,N('Month-End'!$FJ$49))</f>
        <v/>
      </c>
      <c r="BD169">
        <f>IF($E169="pre",0,N('Month-End'!$FJ$50))</f>
        <v/>
      </c>
      <c r="BE169">
        <f>IF(OR(Settings!$C$45="",Settings!$D$45=""),0,Settings!$C$45*IF(Settings!$D$45="Weekly",IF(IFERROR(MATCH(Settings!$E$45,$EO$4:$EO$10,0),0)=0,0,IF(MIN($C169,IF(Settings!$G$45="",$C169,Settings!$G$45))&lt;MAX($A169,Settings!$F$45),0,INT((MIN($C169,IF(Settings!$G$45="",$C169,Settings!$G$45))-MAX($A169,Settings!$F$45)-MOD(IFERROR(MATCH(Settings!$E$45,$EO$4:$EO$10,0),0)-WEEKDAY(MAX($A169,Settings!$F$45)),7))/7)+1)),IF(AND(IF(Settings!$E$45="",$B169,DATE(YEAR($A169),MONTH($A169),MIN(Settings!$E$45,DAY($B169))))&gt;=MAX($A169,Settings!$F$45),IF(Settings!$E$45="",$B169,DATE(YEAR($A169),MONTH($A169),MIN(Settings!$E$45,DAY($B169))))&lt;=MIN($C169,IF(Settings!$G$45="",$C169,Settings!$G$45))),1,0)))</f>
        <v/>
      </c>
      <c r="BF169">
        <f>IF(OR(Settings!$C$46="",Settings!$D$46=""),0,Settings!$C$46*IF(Settings!$D$46="Weekly",IF(IFERROR(MATCH(Settings!$E$46,$EO$4:$EO$10,0),0)=0,0,IF(MIN($C169,IF(Settings!$G$46="",$C169,Settings!$G$46))&lt;MAX($A169,Settings!$F$46),0,INT((MIN($C169,IF(Settings!$G$46="",$C169,Settings!$G$46))-MAX($A169,Settings!$F$46)-MOD(IFERROR(MATCH(Settings!$E$46,$EO$4:$EO$10,0),0)-WEEKDAY(MAX($A169,Settings!$F$46)),7))/7)+1)),IF(AND(IF(Settings!$E$46="",$B169,DATE(YEAR($A169),MONTH($A169),MIN(Settings!$E$46,DAY($B169))))&gt;=MAX($A169,Settings!$F$46),IF(Settings!$E$46="",$B169,DATE(YEAR($A169),MONTH($A169),MIN(Settings!$E$46,DAY($B169))))&lt;=MIN($C169,IF(Settings!$G$46="",$C169,Settings!$G$46))),1,0)))</f>
        <v/>
      </c>
      <c r="BG169">
        <f>IF(OR(Settings!$C$47="",Settings!$D$47=""),0,Settings!$C$47*IF(Settings!$D$47="Weekly",IF(IFERROR(MATCH(Settings!$E$47,$EO$4:$EO$10,0),0)=0,0,IF(MIN($C169,IF(Settings!$G$47="",$C169,Settings!$G$47))&lt;MAX($A169,Settings!$F$47),0,INT((MIN($C169,IF(Settings!$G$47="",$C169,Settings!$G$47))-MAX($A169,Settings!$F$47)-MOD(IFERROR(MATCH(Settings!$E$47,$EO$4:$EO$10,0),0)-WEEKDAY(MAX($A169,Settings!$F$47)),7))/7)+1)),IF(AND(IF(Settings!$E$47="",$B169,DATE(YEAR($A169),MONTH($A169),MIN(Settings!$E$47,DAY($B169))))&gt;=MAX($A169,Settings!$F$47),IF(Settings!$E$47="",$B169,DATE(YEAR($A169),MONTH($A169),MIN(Settings!$E$47,DAY($B169))))&lt;=MIN($C169,IF(Settings!$G$47="",$C169,Settings!$G$47))),1,0)))</f>
        <v/>
      </c>
      <c r="BH169">
        <f>IF(OR(Settings!$C$48="",Settings!$D$48=""),0,Settings!$C$48*IF(Settings!$D$48="Weekly",IF(IFERROR(MATCH(Settings!$E$48,$EO$4:$EO$10,0),0)=0,0,IF(MIN($C169,IF(Settings!$G$48="",$C169,Settings!$G$48))&lt;MAX($A169,Settings!$F$48),0,INT((MIN($C169,IF(Settings!$G$48="",$C169,Settings!$G$48))-MAX($A169,Settings!$F$48)-MOD(IFERROR(MATCH(Settings!$E$48,$EO$4:$EO$10,0),0)-WEEKDAY(MAX($A169,Settings!$F$48)),7))/7)+1)),IF(AND(IF(Settings!$E$48="",$B169,DATE(YEAR($A169),MONTH($A169),MIN(Settings!$E$48,DAY($B169))))&gt;=MAX($A169,Settings!$F$48),IF(Settings!$E$48="",$B169,DATE(YEAR($A169),MONTH($A169),MIN(Settings!$E$48,DAY($B169))))&lt;=MIN($C169,IF(Settings!$G$48="",$C169,Settings!$G$48))),1,0)))</f>
        <v/>
      </c>
      <c r="BI169">
        <f>IF(OR(Settings!$C$49="",Settings!$D$49=""),0,Settings!$C$49*IF(Settings!$D$49="Weekly",IF(IFERROR(MATCH(Settings!$E$49,$EO$4:$EO$10,0),0)=0,0,IF(MIN($C169,IF(Settings!$G$49="",$C169,Settings!$G$49))&lt;MAX($A169,Settings!$F$49),0,INT((MIN($C169,IF(Settings!$G$49="",$C169,Settings!$G$49))-MAX($A169,Settings!$F$49)-MOD(IFERROR(MATCH(Settings!$E$49,$EO$4:$EO$10,0),0)-WEEKDAY(MAX($A169,Settings!$F$49)),7))/7)+1)),IF(AND(IF(Settings!$E$49="",$B169,DATE(YEAR($A169),MONTH($A169),MIN(Settings!$E$49,DAY($B169))))&gt;=MAX($A169,Settings!$F$49),IF(Settings!$E$49="",$B169,DATE(YEAR($A169),MONTH($A169),MIN(Settings!$E$49,DAY($B169))))&lt;=MIN($C169,IF(Settings!$G$49="",$C169,Settings!$G$49))),1,0)))</f>
        <v/>
      </c>
      <c r="BJ169">
        <f>IF(OR(Settings!$C$50="",Settings!$D$50=""),0,Settings!$C$50*IF(Settings!$D$50="Weekly",IF(IFERROR(MATCH(Settings!$E$50,$EO$4:$EO$10,0),0)=0,0,IF(MIN($C169,IF(Settings!$G$50="",$C169,Settings!$G$50))&lt;MAX($A169,Settings!$F$50),0,INT((MIN($C169,IF(Settings!$G$50="",$C169,Settings!$G$50))-MAX($A169,Settings!$F$50)-MOD(IFERROR(MATCH(Settings!$E$50,$EO$4:$EO$10,0),0)-WEEKDAY(MAX($A169,Settings!$F$50)),7))/7)+1)),IF(AND(IF(Settings!$E$50="",$B169,DATE(YEAR($A169),MONTH($A169),MIN(Settings!$E$50,DAY($B169))))&gt;=MAX($A169,Settings!$F$50),IF(Settings!$E$50="",$B169,DATE(YEAR($A169),MONTH($A169),MIN(Settings!$E$50,DAY($B169))))&lt;=MIN($C169,IF(Settings!$G$50="",$C169,Settings!$G$50))),1,0)))</f>
        <v/>
      </c>
      <c r="BK169">
        <f>IF(OR(Settings!$C$51="",Settings!$D$51=""),0,Settings!$C$51*IF(Settings!$D$51="Weekly",IF(IFERROR(MATCH(Settings!$E$51,$EO$4:$EO$10,0),0)=0,0,IF(MIN($C169,IF(Settings!$G$51="",$C169,Settings!$G$51))&lt;MAX($A169,Settings!$F$51),0,INT((MIN($C169,IF(Settings!$G$51="",$C169,Settings!$G$51))-MAX($A169,Settings!$F$51)-MOD(IFERROR(MATCH(Settings!$E$51,$EO$4:$EO$10,0),0)-WEEKDAY(MAX($A169,Settings!$F$51)),7))/7)+1)),IF(AND(IF(Settings!$E$51="",$B169,DATE(YEAR($A169),MONTH($A169),MIN(Settings!$E$51,DAY($B169))))&gt;=MAX($A169,Settings!$F$51),IF(Settings!$E$51="",$B169,DATE(YEAR($A169),MONTH($A169),MIN(Settings!$E$51,DAY($B169))))&lt;=MIN($C169,IF(Settings!$G$51="",$C169,Settings!$G$51))),1,0)))</f>
        <v/>
      </c>
      <c r="BL169">
        <f>IF(OR(Settings!$C$52="",Settings!$D$52=""),0,Settings!$C$52*IF(Settings!$D$52="Weekly",IF(IFERROR(MATCH(Settings!$E$52,$EO$4:$EO$10,0),0)=0,0,IF(MIN($C169,IF(Settings!$G$52="",$C169,Settings!$G$52))&lt;MAX($A169,Settings!$F$52),0,INT((MIN($C169,IF(Settings!$G$52="",$C169,Settings!$G$52))-MAX($A169,Settings!$F$52)-MOD(IFERROR(MATCH(Settings!$E$52,$EO$4:$EO$10,0),0)-WEEKDAY(MAX($A169,Settings!$F$52)),7))/7)+1)),IF(AND(IF(Settings!$E$52="",$B169,DATE(YEAR($A169),MONTH($A169),MIN(Settings!$E$52,DAY($B169))))&gt;=MAX($A169,Settings!$F$52),IF(Settings!$E$52="",$B169,DATE(YEAR($A169),MONTH($A169),MIN(Settings!$E$52,DAY($B169))))&lt;=MIN($C169,IF(Settings!$G$52="",$C169,Settings!$G$52))),1,0)))</f>
        <v/>
      </c>
      <c r="BM169">
        <f>IF(OR(Settings!$C$53="",Settings!$D$53=""),0,Settings!$C$53*IF(Settings!$D$53="Weekly",IF(IFERROR(MATCH(Settings!$E$53,$EO$4:$EO$10,0),0)=0,0,IF(MIN($C169,IF(Settings!$G$53="",$C169,Settings!$G$53))&lt;MAX($A169,Settings!$F$53),0,INT((MIN($C169,IF(Settings!$G$53="",$C169,Settings!$G$53))-MAX($A169,Settings!$F$53)-MOD(IFERROR(MATCH(Settings!$E$53,$EO$4:$EO$10,0),0)-WEEKDAY(MAX($A169,Settings!$F$53)),7))/7)+1)),IF(AND(IF(Settings!$E$53="",$B169,DATE(YEAR($A169),MONTH($A169),MIN(Settings!$E$53,DAY($B169))))&gt;=MAX($A169,Settings!$F$53),IF(Settings!$E$53="",$B169,DATE(YEAR($A169),MONTH($A169),MIN(Settings!$E$53,DAY($B169))))&lt;=MIN($C169,IF(Settings!$G$53="",$C169,Settings!$G$53))),1,0)))</f>
        <v/>
      </c>
      <c r="BN169">
        <f>IF(OR(Settings!$C$54="",Settings!$D$54=""),0,Settings!$C$54*IF(Settings!$D$54="Weekly",IF(IFERROR(MATCH(Settings!$E$54,$EO$4:$EO$10,0),0)=0,0,IF(MIN($C169,IF(Settings!$G$54="",$C169,Settings!$G$54))&lt;MAX($A169,Settings!$F$54),0,INT((MIN($C169,IF(Settings!$G$54="",$C169,Settings!$G$54))-MAX($A169,Settings!$F$54)-MOD(IFERROR(MATCH(Settings!$E$54,$EO$4:$EO$10,0),0)-WEEKDAY(MAX($A169,Settings!$F$54)),7))/7)+1)),IF(AND(IF(Settings!$E$54="",$B169,DATE(YEAR($A169),MONTH($A169),MIN(Settings!$E$54,DAY($B169))))&gt;=MAX($A169,Settings!$F$54),IF(Settings!$E$54="",$B169,DATE(YEAR($A169),MONTH($A169),MIN(Settings!$E$54,DAY($B169))))&lt;=MIN($C169,IF(Settings!$G$54="",$C169,Settings!$G$54))),1,0)))</f>
        <v/>
      </c>
      <c r="BO169">
        <f>IF(OR(Settings!$C$55="",Settings!$D$55=""),0,Settings!$C$55*IF(Settings!$D$55="Weekly",IF(IFERROR(MATCH(Settings!$E$55,$EO$4:$EO$10,0),0)=0,0,IF(MIN($C169,IF(Settings!$G$55="",$C169,Settings!$G$55))&lt;MAX($A169,Settings!$F$55),0,INT((MIN($C169,IF(Settings!$G$55="",$C169,Settings!$G$55))-MAX($A169,Settings!$F$55)-MOD(IFERROR(MATCH(Settings!$E$55,$EO$4:$EO$10,0),0)-WEEKDAY(MAX($A169,Settings!$F$55)),7))/7)+1)),IF(AND(IF(Settings!$E$55="",$B169,DATE(YEAR($A169),MONTH($A169),MIN(Settings!$E$55,DAY($B169))))&gt;=MAX($A169,Settings!$F$55),IF(Settings!$E$55="",$B169,DATE(YEAR($A169),MONTH($A169),MIN(Settings!$E$55,DAY($B169))))&lt;=MIN($C169,IF(Settings!$G$55="",$C169,Settings!$G$55))),1,0)))</f>
        <v/>
      </c>
      <c r="BP169">
        <f>IF(OR(Settings!$C$56="",Settings!$D$56=""),0,Settings!$C$56*IF(Settings!$D$56="Weekly",IF(IFERROR(MATCH(Settings!$E$56,$EO$4:$EO$10,0),0)=0,0,IF(MIN($C169,IF(Settings!$G$56="",$C169,Settings!$G$56))&lt;MAX($A169,Settings!$F$56),0,INT((MIN($C169,IF(Settings!$G$56="",$C169,Settings!$G$56))-MAX($A169,Settings!$F$56)-MOD(IFERROR(MATCH(Settings!$E$56,$EO$4:$EO$10,0),0)-WEEKDAY(MAX($A169,Settings!$F$56)),7))/7)+1)),IF(AND(IF(Settings!$E$56="",$B169,DATE(YEAR($A169),MONTH($A169),MIN(Settings!$E$56,DAY($B169))))&gt;=MAX($A169,Settings!$F$56),IF(Settings!$E$56="",$B169,DATE(YEAR($A169),MONTH($A169),MIN(Settings!$E$56,DAY($B169))))&lt;=MIN($C169,IF(Settings!$G$56="",$C169,Settings!$G$56))),1,0)))</f>
        <v/>
      </c>
      <c r="BQ169">
        <f>IF(OR(Settings!$B$14="",$D169=1,$E169="pre",$A169&lt;IF(Settings!$B$15="",0,Settings!$B$15)),0,Settings!$B$14)</f>
        <v/>
      </c>
      <c r="BR169">
        <f>IF(AND('Month-End'!$FJ$7&lt;&gt;"",NOT(_xlfn.ISFORMULA('Month-End'!$FJ$7))),1,0)</f>
        <v/>
      </c>
      <c r="BS169">
        <f>IF(AND('Month-End'!$FJ$8&lt;&gt;"",NOT(_xlfn.ISFORMULA('Month-End'!$FJ$8))),1,0)</f>
        <v/>
      </c>
      <c r="BT169">
        <f>IF(AND('Month-End'!$FJ$9&lt;&gt;"",NOT(_xlfn.ISFORMULA('Month-End'!$FJ$9))),1,0)</f>
        <v/>
      </c>
      <c r="BU169">
        <f>IF(AND('Month-End'!$FJ$10&lt;&gt;"",NOT(_xlfn.ISFORMULA('Month-End'!$FJ$10))),1,0)</f>
        <v/>
      </c>
      <c r="BV169">
        <f>IF(AND('Month-End'!$FJ$11&lt;&gt;"",NOT(_xlfn.ISFORMULA('Month-End'!$FJ$11))),1,0)</f>
        <v/>
      </c>
      <c r="BW169">
        <f>IF(AND('Month-End'!$FJ$12&lt;&gt;"",NOT(_xlfn.ISFORMULA('Month-End'!$FJ$12))),1,0)</f>
        <v/>
      </c>
      <c r="BX169">
        <f>IF(AND('Month-End'!$FJ$13&lt;&gt;"",NOT(_xlfn.ISFORMULA('Month-End'!$FJ$13))),1,0)</f>
        <v/>
      </c>
      <c r="BY169">
        <f>IF(AND('Month-End'!$FJ$14&lt;&gt;"",NOT(_xlfn.ISFORMULA('Month-End'!$FJ$14))),1,0)</f>
        <v/>
      </c>
      <c r="BZ169">
        <f>IF(AND('Month-End'!$FJ$15&lt;&gt;"",NOT(_xlfn.ISFORMULA('Month-End'!$FJ$15))),1,0)</f>
        <v/>
      </c>
      <c r="CA169">
        <f>IF(AND('Month-End'!$FJ$16&lt;&gt;"",NOT(_xlfn.ISFORMULA('Month-End'!$FJ$16))),1,0)</f>
        <v/>
      </c>
      <c r="CB169">
        <f>IF(AND('Month-End'!$FJ$17&lt;&gt;"",NOT(_xlfn.ISFORMULA('Month-End'!$FJ$17))),1,0)</f>
        <v/>
      </c>
      <c r="CC169">
        <f>IF(AND('Month-End'!$FJ$18&lt;&gt;"",NOT(_xlfn.ISFORMULA('Month-End'!$FJ$18))),1,0)</f>
        <v/>
      </c>
      <c r="CD169">
        <f>IF(AND('Month-End'!$FJ$19&lt;&gt;"",NOT(_xlfn.ISFORMULA('Month-End'!$FJ$19))),1,0)</f>
        <v/>
      </c>
      <c r="CE169">
        <f>IF(AND('Month-End'!$FJ$20&lt;&gt;"",NOT(_xlfn.ISFORMULA('Month-End'!$FJ$20))),1,0)</f>
        <v/>
      </c>
      <c r="CF169">
        <f>IF(AND('Month-End'!$FJ$38&lt;&gt;"",NOT(_xlfn.ISFORMULA('Month-End'!$FJ$38))),1,0)</f>
        <v/>
      </c>
      <c r="CG169">
        <f>IF(AND('Month-End'!$FJ$39&lt;&gt;"",NOT(_xlfn.ISFORMULA('Month-End'!$FJ$39))),1,0)</f>
        <v/>
      </c>
      <c r="CH169">
        <f>IF(AND('Month-End'!$FJ$40&lt;&gt;"",NOT(_xlfn.ISFORMULA('Month-End'!$FJ$40))),1,0)</f>
        <v/>
      </c>
      <c r="CI169">
        <f>IF(AND('Month-End'!$FJ$41&lt;&gt;"",NOT(_xlfn.ISFORMULA('Month-End'!$FJ$41))),1,0)</f>
        <v/>
      </c>
      <c r="CJ169">
        <f>IF(AND('Month-End'!$FJ$42&lt;&gt;"",NOT(_xlfn.ISFORMULA('Month-End'!$FJ$42))),1,0)</f>
        <v/>
      </c>
      <c r="CK169">
        <f>IF(AND('Month-End'!$FJ$43&lt;&gt;"",NOT(_xlfn.ISFORMULA('Month-End'!$FJ$43))),1,0)</f>
        <v/>
      </c>
      <c r="CL169">
        <f>SUM($CM169:$CZ169)</f>
        <v/>
      </c>
      <c r="CM169">
        <f>IF(AND($E169&lt;&gt;"pre",AND(Settings!$A$19&lt;&gt;"",Settings!$E$19&lt;&gt;"No"),Settings!$F$19="Yes",NOT(AND('Month-End'!$FJ$7&lt;&gt;"",NOT(_xlfn.ISFORMULA('Month-End'!$FJ$7))))),1,0)</f>
        <v/>
      </c>
      <c r="CN169">
        <f>IF(AND($E169&lt;&gt;"pre",AND(Settings!$A$20&lt;&gt;"",Settings!$E$20&lt;&gt;"No"),Settings!$F$20="Yes",NOT(AND('Month-End'!$FJ$8&lt;&gt;"",NOT(_xlfn.ISFORMULA('Month-End'!$FJ$8))))),1,0)</f>
        <v/>
      </c>
      <c r="CO169">
        <f>IF(AND($E169&lt;&gt;"pre",AND(Settings!$A$21&lt;&gt;"",Settings!$E$21&lt;&gt;"No"),Settings!$F$21="Yes",NOT(AND('Month-End'!$FJ$9&lt;&gt;"",NOT(_xlfn.ISFORMULA('Month-End'!$FJ$9))))),1,0)</f>
        <v/>
      </c>
      <c r="CP169">
        <f>IF(AND($E169&lt;&gt;"pre",AND(Settings!$A$22&lt;&gt;"",Settings!$E$22&lt;&gt;"No"),Settings!$F$22="Yes",NOT(AND('Month-End'!$FJ$10&lt;&gt;"",NOT(_xlfn.ISFORMULA('Month-End'!$FJ$10))))),1,0)</f>
        <v/>
      </c>
      <c r="CQ169">
        <f>IF(AND($E169&lt;&gt;"pre",AND(Settings!$A$23&lt;&gt;"",Settings!$E$23&lt;&gt;"No"),Settings!$F$23="Yes",NOT(AND('Month-End'!$FJ$11&lt;&gt;"",NOT(_xlfn.ISFORMULA('Month-End'!$FJ$11))))),1,0)</f>
        <v/>
      </c>
      <c r="CR169">
        <f>IF(AND($E169&lt;&gt;"pre",AND(Settings!$A$24&lt;&gt;"",Settings!$E$24&lt;&gt;"No"),Settings!$F$24="Yes",NOT(AND('Month-End'!$FJ$12&lt;&gt;"",NOT(_xlfn.ISFORMULA('Month-End'!$FJ$12))))),1,0)</f>
        <v/>
      </c>
      <c r="CS169">
        <f>IF(AND($E169&lt;&gt;"pre",AND(Settings!$A$25&lt;&gt;"",Settings!$E$25&lt;&gt;"No"),Settings!$F$25="Yes",NOT(AND('Month-End'!$FJ$13&lt;&gt;"",NOT(_xlfn.ISFORMULA('Month-End'!$FJ$13))))),1,0)</f>
        <v/>
      </c>
      <c r="CT169">
        <f>IF(AND($E169&lt;&gt;"pre",AND(Settings!$A$26&lt;&gt;"",Settings!$E$26&lt;&gt;"No"),Settings!$F$26="Yes",NOT(AND('Month-End'!$FJ$14&lt;&gt;"",NOT(_xlfn.ISFORMULA('Month-End'!$FJ$14))))),1,0)</f>
        <v/>
      </c>
      <c r="CU169">
        <f>IF(AND($E169&lt;&gt;"pre",AND(Settings!$A$27&lt;&gt;"",Settings!$E$27&lt;&gt;"No"),Settings!$F$27="Yes",NOT(AND('Month-End'!$FJ$15&lt;&gt;"",NOT(_xlfn.ISFORMULA('Month-End'!$FJ$15))))),1,0)</f>
        <v/>
      </c>
      <c r="CV169">
        <f>IF(AND($E169&lt;&gt;"pre",AND(Settings!$A$28&lt;&gt;"",Settings!$E$28&lt;&gt;"No"),Settings!$F$28="Yes",NOT(AND('Month-End'!$FJ$16&lt;&gt;"",NOT(_xlfn.ISFORMULA('Month-End'!$FJ$16))))),1,0)</f>
        <v/>
      </c>
      <c r="CW169">
        <f>IF(AND($E169&lt;&gt;"pre",AND(Settings!$A$29&lt;&gt;"",Settings!$E$29&lt;&gt;"No"),Settings!$F$29="Yes",NOT(AND('Month-End'!$FJ$17&lt;&gt;"",NOT(_xlfn.ISFORMULA('Month-End'!$FJ$17))))),1,0)</f>
        <v/>
      </c>
      <c r="CX169">
        <f>IF(AND($E169&lt;&gt;"pre",AND(Settings!$A$30&lt;&gt;"",Settings!$E$30&lt;&gt;"No"),Settings!$F$30="Yes",NOT(AND('Month-End'!$FJ$18&lt;&gt;"",NOT(_xlfn.ISFORMULA('Month-End'!$FJ$18))))),1,0)</f>
        <v/>
      </c>
      <c r="CY169">
        <f>IF(AND($E169&lt;&gt;"pre",AND(Settings!$A$31&lt;&gt;"",Settings!$E$31&lt;&gt;"No"),Settings!$F$31="Yes",NOT(AND('Month-End'!$FJ$19&lt;&gt;"",NOT(_xlfn.ISFORMULA('Month-End'!$FJ$19))))),1,0)</f>
        <v/>
      </c>
      <c r="CZ169">
        <f>IF(AND($E169&lt;&gt;"pre",AND(Settings!$A$32&lt;&gt;"",Settings!$E$32&lt;&gt;"No"),Settings!$F$32="Yes",NOT(AND('Month-End'!$FJ$20&lt;&gt;"",NOT(_xlfn.ISFORMULA('Month-End'!$FJ$20))))),1,0)</f>
        <v/>
      </c>
      <c r="DA169">
        <f>IF($DT169=1,IF(OR(Settings!$B$19="Checking",Settings!$B$19="Savings",Settings!$B$19="Cash"),N($AE169),IF(OR(Settings!$B$19="Card",Settings!$B$19="Loan"),-N($AE169),0))+IF(OR(Settings!$B$20="Checking",Settings!$B$20="Savings",Settings!$B$20="Cash"),N($AF169),IF(OR(Settings!$B$20="Card",Settings!$B$20="Loan"),-N($AF169),0))+IF(OR(Settings!$B$21="Checking",Settings!$B$21="Savings",Settings!$B$21="Cash"),N($AG169),IF(OR(Settings!$B$21="Card",Settings!$B$21="Loan"),-N($AG169),0))+IF(OR(Settings!$B$22="Checking",Settings!$B$22="Savings",Settings!$B$22="Cash"),N($AH169),IF(OR(Settings!$B$22="Card",Settings!$B$22="Loan"),-N($AH169),0))+IF(OR(Settings!$B$23="Checking",Settings!$B$23="Savings",Settings!$B$23="Cash"),N($AI169),IF(OR(Settings!$B$23="Card",Settings!$B$23="Loan"),-N($AI169),0))+IF(OR(Settings!$B$24="Checking",Settings!$B$24="Savings",Settings!$B$24="Cash"),N($AJ169),IF(OR(Settings!$B$24="Card",Settings!$B$24="Loan"),-N($AJ169),0))+IF(OR(Settings!$B$25="Checking",Settings!$B$25="Savings",Settings!$B$25="Cash"),N($AK169),IF(OR(Settings!$B$25="Card",Settings!$B$25="Loan"),-N($AK169),0))+IF(OR(Settings!$B$26="Checking",Settings!$B$26="Savings",Settings!$B$26="Cash"),N($AL169),IF(OR(Settings!$B$26="Card",Settings!$B$26="Loan"),-N($AL169),0))+IF(OR(Settings!$B$27="Checking",Settings!$B$27="Savings",Settings!$B$27="Cash"),N($AM169),IF(OR(Settings!$B$27="Card",Settings!$B$27="Loan"),-N($AM169),0))+IF(OR(Settings!$B$28="Checking",Settings!$B$28="Savings",Settings!$B$28="Cash"),N($AN169),IF(OR(Settings!$B$28="Card",Settings!$B$28="Loan"),-N($AN169),0))+IF(OR(Settings!$B$29="Checking",Settings!$B$29="Savings",Settings!$B$29="Cash"),N($AO169),IF(OR(Settings!$B$29="Card",Settings!$B$29="Loan"),-N($AO169),0))+IF(OR(Settings!$B$30="Checking",Settings!$B$30="Savings",Settings!$B$30="Cash"),N($AP169),IF(OR(Settings!$B$30="Card",Settings!$B$30="Loan"),-N($AP169),0))+IF(OR(Settings!$B$31="Checking",Settings!$B$31="Savings",Settings!$B$31="Cash"),N($AQ169),IF(OR(Settings!$B$31="Card",Settings!$B$31="Loan"),-N($AQ169),0))+IF(OR(Settings!$B$32="Checking",Settings!$B$32="Savings",Settings!$B$32="Cash"),N($AR169),IF(OR(Settings!$B$32="Card",Settings!$B$32="Loan"),-N($AR169),0)),"")</f>
        <v/>
      </c>
      <c r="DB169">
        <f>IF($E169="open",$EB$27,IF($E169="post",IF($E168="pre",$EB$27,$DA168),""))</f>
        <v/>
      </c>
      <c r="DC169">
        <f>IF($E169="open",1,IF($E169="post",IF($E168="pre",1,$DT168),0))</f>
        <v/>
      </c>
      <c r="DD169">
        <f>IF(AND($DT169=1,$DC169=1),ROUND($W169-($DA169-$DB169)-$AD169-$AB169,2),"")</f>
        <v/>
      </c>
      <c r="DE169">
        <f>IF('Month-End'!$FJ$35="",$BQ169,N('Month-End'!$FJ$35))</f>
        <v/>
      </c>
      <c r="DF169">
        <f>N('Month-End'!$FJ$36)</f>
        <v/>
      </c>
      <c r="DG169">
        <f>IF($DD169="","",$DD169+$DE169)</f>
        <v/>
      </c>
      <c r="DH169">
        <f>IF($DG169="","",$DG169-$DF169)</f>
        <v/>
      </c>
      <c r="DI169">
        <f>IF(OR($E169="pre",$D169=1),"",N($AS169)+N($AT169)+N($AU169)+N($AV169)+N($AW169)+N($AX169))</f>
        <v/>
      </c>
      <c r="DJ169">
        <f>IF($DT169=1,$DA169+N($DI169),"")</f>
        <v/>
      </c>
      <c r="DK169">
        <f>IF($DD169="","",$W169-$DD169-$AB169)</f>
        <v/>
      </c>
      <c r="DL169">
        <f>IF(AND($E169="post",$DD169&lt;&gt;"",$B169&lt;TODAY()),1,0)</f>
        <v/>
      </c>
      <c r="DM169">
        <f>IF($DL169=1,COUNTIF($DL169:$DL$183,1),0)</f>
        <v/>
      </c>
      <c r="DN169">
        <f>IF($D169=1,"",IF($E169="pre","History only",IF($DT169=1,IF($DD169="","⚠ Previous month missing",IF($DD169&lt;0,"⚠ Check: spending &lt; 0",IF($E169="open","✓ Done (partial)","✓ Done"))),IF($B169&gt;=TODAY(),"In progress","⚠ Needs balances"))))</f>
        <v/>
      </c>
      <c r="DO169">
        <f>YEAR($A169)</f>
        <v/>
      </c>
      <c r="DP169">
        <f>DATE(YEAR($A169),INT((MONTH($A169)-1)/3)*3+1,1)</f>
        <v/>
      </c>
      <c r="DQ169">
        <f>IF(AND($DT169=1,$DD169&lt;&gt;"",$D169=0),ROW(),0)</f>
        <v/>
      </c>
      <c r="DR169">
        <f>IF(AND($E169&lt;&gt;"pre",$B169&lt;TODAY(),$DT169=0),1,0)</f>
        <v/>
      </c>
      <c r="DS169">
        <f>IF($DJ169="",NA(),$DJ169)</f>
        <v/>
      </c>
      <c r="DT169">
        <f>IF(AND($E169&lt;&gt;"pre",$CL169=0,COUNTIFS(Settings!$F$19:$F$32,"Yes",Settings!$A$19:$A$32,"&lt;&gt;",Settings!$E$19:$E$32,"&lt;&gt;No")&gt;0),1,0)</f>
        <v/>
      </c>
      <c r="DU169">
        <f>IF(AND($B169&lt;TODAY(),$S169&gt;0),1,0)</f>
        <v/>
      </c>
      <c r="DV169">
        <f>IF($DU169=1,COUNTIF($DU169:$DU$183,1),0)</f>
        <v/>
      </c>
      <c r="DW169">
        <f>IF(AND(OR(Settings!$B$19="Card",Settings!$B$19="Loan"),AND('Month-End'!$FJ$7&lt;&gt;"",NOT(_xlfn.ISFORMULA('Month-End'!$FJ$7)))),IF(N('Month-End'!$FJ$7)&lt;0,1,0),0)+IF(AND(OR(Settings!$B$20="Card",Settings!$B$20="Loan"),AND('Month-End'!$FJ$8&lt;&gt;"",NOT(_xlfn.ISFORMULA('Month-End'!$FJ$8)))),IF(N('Month-End'!$FJ$8)&lt;0,1,0),0)+IF(AND(OR(Settings!$B$21="Card",Settings!$B$21="Loan"),AND('Month-End'!$FJ$9&lt;&gt;"",NOT(_xlfn.ISFORMULA('Month-End'!$FJ$9)))),IF(N('Month-End'!$FJ$9)&lt;0,1,0),0)+IF(AND(OR(Settings!$B$22="Card",Settings!$B$22="Loan"),AND('Month-End'!$FJ$10&lt;&gt;"",NOT(_xlfn.ISFORMULA('Month-End'!$FJ$10)))),IF(N('Month-End'!$FJ$10)&lt;0,1,0),0)+IF(AND(OR(Settings!$B$23="Card",Settings!$B$23="Loan"),AND('Month-End'!$FJ$11&lt;&gt;"",NOT(_xlfn.ISFORMULA('Month-End'!$FJ$11)))),IF(N('Month-End'!$FJ$11)&lt;0,1,0),0)+IF(AND(OR(Settings!$B$24="Card",Settings!$B$24="Loan"),AND('Month-End'!$FJ$12&lt;&gt;"",NOT(_xlfn.ISFORMULA('Month-End'!$FJ$12)))),IF(N('Month-End'!$FJ$12)&lt;0,1,0),0)+IF(AND(OR(Settings!$B$25="Card",Settings!$B$25="Loan"),AND('Month-End'!$FJ$13&lt;&gt;"",NOT(_xlfn.ISFORMULA('Month-End'!$FJ$13)))),IF(N('Month-End'!$FJ$13)&lt;0,1,0),0)+IF(AND(OR(Settings!$B$26="Card",Settings!$B$26="Loan"),AND('Month-End'!$FJ$14&lt;&gt;"",NOT(_xlfn.ISFORMULA('Month-End'!$FJ$14)))),IF(N('Month-End'!$FJ$14)&lt;0,1,0),0)+IF(AND(OR(Settings!$B$27="Card",Settings!$B$27="Loan"),AND('Month-End'!$FJ$15&lt;&gt;"",NOT(_xlfn.ISFORMULA('Month-End'!$FJ$15)))),IF(N('Month-End'!$FJ$15)&lt;0,1,0),0)+IF(AND(OR(Settings!$B$28="Card",Settings!$B$28="Loan"),AND('Month-End'!$FJ$16&lt;&gt;"",NOT(_xlfn.ISFORMULA('Month-End'!$FJ$16)))),IF(N('Month-End'!$FJ$16)&lt;0,1,0),0)+IF(AND(OR(Settings!$B$29="Card",Settings!$B$29="Loan"),AND('Month-End'!$FJ$17&lt;&gt;"",NOT(_xlfn.ISFORMULA('Month-End'!$FJ$17)))),IF(N('Month-End'!$FJ$17)&lt;0,1,0),0)+IF(AND(OR(Settings!$B$30="Card",Settings!$B$30="Loan"),AND('Month-End'!$FJ$18&lt;&gt;"",NOT(_xlfn.ISFORMULA('Month-End'!$FJ$18)))),IF(N('Month-End'!$FJ$18)&lt;0,1,0),0)+IF(AND(OR(Settings!$B$31="Card",Settings!$B$31="Loan"),AND('Month-End'!$FJ$19&lt;&gt;"",NOT(_xlfn.ISFORMULA('Month-End'!$FJ$19)))),IF(N('Month-End'!$FJ$19)&lt;0,1,0),0)+IF(AND(OR(Settings!$B$32="Card",Settings!$B$32="Loan"),AND('Month-End'!$FJ$20&lt;&gt;"",NOT(_xlfn.ISFORMULA('Month-End'!$FJ$20)))),IF(N('Month-End'!$FJ$20)&lt;0,1,0),0)</f>
        <v/>
      </c>
      <c r="DX169">
        <f>IF(Settings!$B$36="Retirement",$AY169,0)+IF(Settings!$B$37="Retirement",$AZ169,0)+IF(Settings!$B$38="Retirement",$BA169,0)+IF(Settings!$B$39="Retirement",$BB169,0)+IF(Settings!$B$40="Retirement",$BC169,0)+IF(Settings!$B$41="Retirement",$BD169,0)</f>
        <v/>
      </c>
      <c r="ET169">
        <f>IF($E169&lt;&gt;"open",0,IF(AND('Month-End'!$FJ$22&lt;&gt;"",NOT(_xlfn.ISFORMULA('Month-End'!$FJ$22))),0,IF(OR(Settings!$C$45="",Settings!$D$45=""),0,Settings!$C$45*IF(Settings!$D$45="Weekly",IF(IFERROR(MATCH(Settings!$E$45,$EO$4:$EO$10,0),0)=0,0,IF(MIN(Settings!$B$5,IF(Settings!$G$45="",Settings!$B$5,Settings!$G$45))&lt;MAX($A169,Settings!$F$45),0,INT((MIN(Settings!$B$5,IF(Settings!$G$45="",Settings!$B$5,Settings!$G$45))-MAX($A169,Settings!$F$45)-MOD(IFERROR(MATCH(Settings!$E$45,$EO$4:$EO$10,0),0)-WEEKDAY(MAX($A169,Settings!$F$45)),7))/7)+1)),IF(AND(IF(Settings!$E$45="",$B169,DATE(YEAR($A169),MONTH($A169),MIN(Settings!$E$45,DAY($B169))))&gt;=MAX($A169,Settings!$F$45),IF(Settings!$E$45="",$B169,DATE(YEAR($A169),MONTH($A169),MIN(Settings!$E$45,DAY($B169))))&lt;=MIN(Settings!$B$5,IF(Settings!$G$45="",Settings!$B$5,Settings!$G$45))),1,0)))))</f>
        <v/>
      </c>
      <c r="EU169">
        <f>IF($E169&lt;&gt;"open",0,IF(AND('Month-End'!$FJ$23&lt;&gt;"",NOT(_xlfn.ISFORMULA('Month-End'!$FJ$23))),0,IF(OR(Settings!$C$46="",Settings!$D$46=""),0,Settings!$C$46*IF(Settings!$D$46="Weekly",IF(IFERROR(MATCH(Settings!$E$46,$EO$4:$EO$10,0),0)=0,0,IF(MIN(Settings!$B$5,IF(Settings!$G$46="",Settings!$B$5,Settings!$G$46))&lt;MAX($A169,Settings!$F$46),0,INT((MIN(Settings!$B$5,IF(Settings!$G$46="",Settings!$B$5,Settings!$G$46))-MAX($A169,Settings!$F$46)-MOD(IFERROR(MATCH(Settings!$E$46,$EO$4:$EO$10,0),0)-WEEKDAY(MAX($A169,Settings!$F$46)),7))/7)+1)),IF(AND(IF(Settings!$E$46="",$B169,DATE(YEAR($A169),MONTH($A169),MIN(Settings!$E$46,DAY($B169))))&gt;=MAX($A169,Settings!$F$46),IF(Settings!$E$46="",$B169,DATE(YEAR($A169),MONTH($A169),MIN(Settings!$E$46,DAY($B169))))&lt;=MIN(Settings!$B$5,IF(Settings!$G$46="",Settings!$B$5,Settings!$G$46))),1,0)))))</f>
        <v/>
      </c>
      <c r="EV169">
        <f>IF($E169&lt;&gt;"open",0,IF(AND('Month-End'!$FJ$24&lt;&gt;"",NOT(_xlfn.ISFORMULA('Month-End'!$FJ$24))),0,IF(OR(Settings!$C$47="",Settings!$D$47=""),0,Settings!$C$47*IF(Settings!$D$47="Weekly",IF(IFERROR(MATCH(Settings!$E$47,$EO$4:$EO$10,0),0)=0,0,IF(MIN(Settings!$B$5,IF(Settings!$G$47="",Settings!$B$5,Settings!$G$47))&lt;MAX($A169,Settings!$F$47),0,INT((MIN(Settings!$B$5,IF(Settings!$G$47="",Settings!$B$5,Settings!$G$47))-MAX($A169,Settings!$F$47)-MOD(IFERROR(MATCH(Settings!$E$47,$EO$4:$EO$10,0),0)-WEEKDAY(MAX($A169,Settings!$F$47)),7))/7)+1)),IF(AND(IF(Settings!$E$47="",$B169,DATE(YEAR($A169),MONTH($A169),MIN(Settings!$E$47,DAY($B169))))&gt;=MAX($A169,Settings!$F$47),IF(Settings!$E$47="",$B169,DATE(YEAR($A169),MONTH($A169),MIN(Settings!$E$47,DAY($B169))))&lt;=MIN(Settings!$B$5,IF(Settings!$G$47="",Settings!$B$5,Settings!$G$47))),1,0)))))</f>
        <v/>
      </c>
      <c r="EW169">
        <f>IF($E169&lt;&gt;"open",0,IF(AND('Month-End'!$FJ$25&lt;&gt;"",NOT(_xlfn.ISFORMULA('Month-End'!$FJ$25))),0,IF(OR(Settings!$C$48="",Settings!$D$48=""),0,Settings!$C$48*IF(Settings!$D$48="Weekly",IF(IFERROR(MATCH(Settings!$E$48,$EO$4:$EO$10,0),0)=0,0,IF(MIN(Settings!$B$5,IF(Settings!$G$48="",Settings!$B$5,Settings!$G$48))&lt;MAX($A169,Settings!$F$48),0,INT((MIN(Settings!$B$5,IF(Settings!$G$48="",Settings!$B$5,Settings!$G$48))-MAX($A169,Settings!$F$48)-MOD(IFERROR(MATCH(Settings!$E$48,$EO$4:$EO$10,0),0)-WEEKDAY(MAX($A169,Settings!$F$48)),7))/7)+1)),IF(AND(IF(Settings!$E$48="",$B169,DATE(YEAR($A169),MONTH($A169),MIN(Settings!$E$48,DAY($B169))))&gt;=MAX($A169,Settings!$F$48),IF(Settings!$E$48="",$B169,DATE(YEAR($A169),MONTH($A169),MIN(Settings!$E$48,DAY($B169))))&lt;=MIN(Settings!$B$5,IF(Settings!$G$48="",Settings!$B$5,Settings!$G$48))),1,0)))))</f>
        <v/>
      </c>
      <c r="EX169">
        <f>IF($E169&lt;&gt;"open",0,IF(AND('Month-End'!$FJ$26&lt;&gt;"",NOT(_xlfn.ISFORMULA('Month-End'!$FJ$26))),0,IF(OR(Settings!$C$49="",Settings!$D$49=""),0,Settings!$C$49*IF(Settings!$D$49="Weekly",IF(IFERROR(MATCH(Settings!$E$49,$EO$4:$EO$10,0),0)=0,0,IF(MIN(Settings!$B$5,IF(Settings!$G$49="",Settings!$B$5,Settings!$G$49))&lt;MAX($A169,Settings!$F$49),0,INT((MIN(Settings!$B$5,IF(Settings!$G$49="",Settings!$B$5,Settings!$G$49))-MAX($A169,Settings!$F$49)-MOD(IFERROR(MATCH(Settings!$E$49,$EO$4:$EO$10,0),0)-WEEKDAY(MAX($A169,Settings!$F$49)),7))/7)+1)),IF(AND(IF(Settings!$E$49="",$B169,DATE(YEAR($A169),MONTH($A169),MIN(Settings!$E$49,DAY($B169))))&gt;=MAX($A169,Settings!$F$49),IF(Settings!$E$49="",$B169,DATE(YEAR($A169),MONTH($A169),MIN(Settings!$E$49,DAY($B169))))&lt;=MIN(Settings!$B$5,IF(Settings!$G$49="",Settings!$B$5,Settings!$G$49))),1,0)))))</f>
        <v/>
      </c>
      <c r="EY169">
        <f>IF($E169&lt;&gt;"open",0,IF(AND('Month-End'!$FJ$27&lt;&gt;"",NOT(_xlfn.ISFORMULA('Month-End'!$FJ$27))),0,IF(OR(Settings!$C$50="",Settings!$D$50=""),0,Settings!$C$50*IF(Settings!$D$50="Weekly",IF(IFERROR(MATCH(Settings!$E$50,$EO$4:$EO$10,0),0)=0,0,IF(MIN(Settings!$B$5,IF(Settings!$G$50="",Settings!$B$5,Settings!$G$50))&lt;MAX($A169,Settings!$F$50),0,INT((MIN(Settings!$B$5,IF(Settings!$G$50="",Settings!$B$5,Settings!$G$50))-MAX($A169,Settings!$F$50)-MOD(IFERROR(MATCH(Settings!$E$50,$EO$4:$EO$10,0),0)-WEEKDAY(MAX($A169,Settings!$F$50)),7))/7)+1)),IF(AND(IF(Settings!$E$50="",$B169,DATE(YEAR($A169),MONTH($A169),MIN(Settings!$E$50,DAY($B169))))&gt;=MAX($A169,Settings!$F$50),IF(Settings!$E$50="",$B169,DATE(YEAR($A169),MONTH($A169),MIN(Settings!$E$50,DAY($B169))))&lt;=MIN(Settings!$B$5,IF(Settings!$G$50="",Settings!$B$5,Settings!$G$50))),1,0)))))</f>
        <v/>
      </c>
      <c r="EZ169">
        <f>IF($E169&lt;&gt;"open",0,IF(AND('Month-End'!$FJ$28&lt;&gt;"",NOT(_xlfn.ISFORMULA('Month-End'!$FJ$28))),0,IF(OR(Settings!$C$51="",Settings!$D$51=""),0,Settings!$C$51*IF(Settings!$D$51="Weekly",IF(IFERROR(MATCH(Settings!$E$51,$EO$4:$EO$10,0),0)=0,0,IF(MIN(Settings!$B$5,IF(Settings!$G$51="",Settings!$B$5,Settings!$G$51))&lt;MAX($A169,Settings!$F$51),0,INT((MIN(Settings!$B$5,IF(Settings!$G$51="",Settings!$B$5,Settings!$G$51))-MAX($A169,Settings!$F$51)-MOD(IFERROR(MATCH(Settings!$E$51,$EO$4:$EO$10,0),0)-WEEKDAY(MAX($A169,Settings!$F$51)),7))/7)+1)),IF(AND(IF(Settings!$E$51="",$B169,DATE(YEAR($A169),MONTH($A169),MIN(Settings!$E$51,DAY($B169))))&gt;=MAX($A169,Settings!$F$51),IF(Settings!$E$51="",$B169,DATE(YEAR($A169),MONTH($A169),MIN(Settings!$E$51,DAY($B169))))&lt;=MIN(Settings!$B$5,IF(Settings!$G$51="",Settings!$B$5,Settings!$G$51))),1,0)))))</f>
        <v/>
      </c>
      <c r="FA169">
        <f>IF($E169&lt;&gt;"open",0,IF(AND('Month-End'!$FJ$29&lt;&gt;"",NOT(_xlfn.ISFORMULA('Month-End'!$FJ$29))),0,IF(OR(Settings!$C$52="",Settings!$D$52=""),0,Settings!$C$52*IF(Settings!$D$52="Weekly",IF(IFERROR(MATCH(Settings!$E$52,$EO$4:$EO$10,0),0)=0,0,IF(MIN(Settings!$B$5,IF(Settings!$G$52="",Settings!$B$5,Settings!$G$52))&lt;MAX($A169,Settings!$F$52),0,INT((MIN(Settings!$B$5,IF(Settings!$G$52="",Settings!$B$5,Settings!$G$52))-MAX($A169,Settings!$F$52)-MOD(IFERROR(MATCH(Settings!$E$52,$EO$4:$EO$10,0),0)-WEEKDAY(MAX($A169,Settings!$F$52)),7))/7)+1)),IF(AND(IF(Settings!$E$52="",$B169,DATE(YEAR($A169),MONTH($A169),MIN(Settings!$E$52,DAY($B169))))&gt;=MAX($A169,Settings!$F$52),IF(Settings!$E$52="",$B169,DATE(YEAR($A169),MONTH($A169),MIN(Settings!$E$52,DAY($B169))))&lt;=MIN(Settings!$B$5,IF(Settings!$G$52="",Settings!$B$5,Settings!$G$52))),1,0)))))</f>
        <v/>
      </c>
      <c r="FB169">
        <f>IF($E169&lt;&gt;"open",0,IF(AND('Month-End'!$FJ$30&lt;&gt;"",NOT(_xlfn.ISFORMULA('Month-End'!$FJ$30))),0,IF(OR(Settings!$C$53="",Settings!$D$53=""),0,Settings!$C$53*IF(Settings!$D$53="Weekly",IF(IFERROR(MATCH(Settings!$E$53,$EO$4:$EO$10,0),0)=0,0,IF(MIN(Settings!$B$5,IF(Settings!$G$53="",Settings!$B$5,Settings!$G$53))&lt;MAX($A169,Settings!$F$53),0,INT((MIN(Settings!$B$5,IF(Settings!$G$53="",Settings!$B$5,Settings!$G$53))-MAX($A169,Settings!$F$53)-MOD(IFERROR(MATCH(Settings!$E$53,$EO$4:$EO$10,0),0)-WEEKDAY(MAX($A169,Settings!$F$53)),7))/7)+1)),IF(AND(IF(Settings!$E$53="",$B169,DATE(YEAR($A169),MONTH($A169),MIN(Settings!$E$53,DAY($B169))))&gt;=MAX($A169,Settings!$F$53),IF(Settings!$E$53="",$B169,DATE(YEAR($A169),MONTH($A169),MIN(Settings!$E$53,DAY($B169))))&lt;=MIN(Settings!$B$5,IF(Settings!$G$53="",Settings!$B$5,Settings!$G$53))),1,0)))))</f>
        <v/>
      </c>
      <c r="FC169">
        <f>IF($E169&lt;&gt;"open",0,IF(AND('Month-End'!$FJ$31&lt;&gt;"",NOT(_xlfn.ISFORMULA('Month-End'!$FJ$31))),0,IF(OR(Settings!$C$54="",Settings!$D$54=""),0,Settings!$C$54*IF(Settings!$D$54="Weekly",IF(IFERROR(MATCH(Settings!$E$54,$EO$4:$EO$10,0),0)=0,0,IF(MIN(Settings!$B$5,IF(Settings!$G$54="",Settings!$B$5,Settings!$G$54))&lt;MAX($A169,Settings!$F$54),0,INT((MIN(Settings!$B$5,IF(Settings!$G$54="",Settings!$B$5,Settings!$G$54))-MAX($A169,Settings!$F$54)-MOD(IFERROR(MATCH(Settings!$E$54,$EO$4:$EO$10,0),0)-WEEKDAY(MAX($A169,Settings!$F$54)),7))/7)+1)),IF(AND(IF(Settings!$E$54="",$B169,DATE(YEAR($A169),MONTH($A169),MIN(Settings!$E$54,DAY($B169))))&gt;=MAX($A169,Settings!$F$54),IF(Settings!$E$54="",$B169,DATE(YEAR($A169),MONTH($A169),MIN(Settings!$E$54,DAY($B169))))&lt;=MIN(Settings!$B$5,IF(Settings!$G$54="",Settings!$B$5,Settings!$G$54))),1,0)))))</f>
        <v/>
      </c>
      <c r="FD169">
        <f>IF($E169&lt;&gt;"open",0,IF(AND('Month-End'!$FJ$32&lt;&gt;"",NOT(_xlfn.ISFORMULA('Month-End'!$FJ$32))),0,IF(OR(Settings!$C$55="",Settings!$D$55=""),0,Settings!$C$55*IF(Settings!$D$55="Weekly",IF(IFERROR(MATCH(Settings!$E$55,$EO$4:$EO$10,0),0)=0,0,IF(MIN(Settings!$B$5,IF(Settings!$G$55="",Settings!$B$5,Settings!$G$55))&lt;MAX($A169,Settings!$F$55),0,INT((MIN(Settings!$B$5,IF(Settings!$G$55="",Settings!$B$5,Settings!$G$55))-MAX($A169,Settings!$F$55)-MOD(IFERROR(MATCH(Settings!$E$55,$EO$4:$EO$10,0),0)-WEEKDAY(MAX($A169,Settings!$F$55)),7))/7)+1)),IF(AND(IF(Settings!$E$55="",$B169,DATE(YEAR($A169),MONTH($A169),MIN(Settings!$E$55,DAY($B169))))&gt;=MAX($A169,Settings!$F$55),IF(Settings!$E$55="",$B169,DATE(YEAR($A169),MONTH($A169),MIN(Settings!$E$55,DAY($B169))))&lt;=MIN(Settings!$B$5,IF(Settings!$G$55="",Settings!$B$5,Settings!$G$55))),1,0)))))</f>
        <v/>
      </c>
      <c r="FE169">
        <f>IF($E169&lt;&gt;"open",0,IF(AND('Month-End'!$FJ$33&lt;&gt;"",NOT(_xlfn.ISFORMULA('Month-End'!$FJ$33))),0,IF(OR(Settings!$C$56="",Settings!$D$56=""),0,Settings!$C$56*IF(Settings!$D$56="Weekly",IF(IFERROR(MATCH(Settings!$E$56,$EO$4:$EO$10,0),0)=0,0,IF(MIN(Settings!$B$5,IF(Settings!$G$56="",Settings!$B$5,Settings!$G$56))&lt;MAX($A169,Settings!$F$56),0,INT((MIN(Settings!$B$5,IF(Settings!$G$56="",Settings!$B$5,Settings!$G$56))-MAX($A169,Settings!$F$56)-MOD(IFERROR(MATCH(Settings!$E$56,$EO$4:$EO$10,0),0)-WEEKDAY(MAX($A169,Settings!$F$56)),7))/7)+1)),IF(AND(IF(Settings!$E$56="",$B169,DATE(YEAR($A169),MONTH($A169),MIN(Settings!$E$56,DAY($B169))))&gt;=MAX($A169,Settings!$F$56),IF(Settings!$E$56="",$B169,DATE(YEAR($A169),MONTH($A169),MIN(Settings!$E$56,DAY($B169))))&lt;=MIN(Settings!$B$5,IF(Settings!$G$56="",Settings!$B$5,Settings!$G$56))),1,0)))))</f>
        <v/>
      </c>
      <c r="FF169">
        <f>IF(Settings!$I$45="Yes",$G169,0)+IF(Settings!$I$46="Yes",$H169,0)+IF(Settings!$I$47="Yes",$I169,0)+IF(Settings!$I$48="Yes",$J169,0)+IF(Settings!$I$49="Yes",$K169,0)+IF(Settings!$I$50="Yes",$L169,0)+IF(Settings!$I$51="Yes",$M169,0)+IF(Settings!$I$52="Yes",$N169,0)+IF(Settings!$I$53="Yes",$O169,0)+IF(Settings!$I$54="Yes",$P169,0)+IF(Settings!$I$55="Yes",$Q169,0)+IF(Settings!$I$56="Yes",$R169,0)</f>
        <v/>
      </c>
      <c r="FG169">
        <f>IF(AND(Settings!$I$45="Yes",Settings!$J$45="No"),$G169,0)+IF(AND(Settings!$I$46="Yes",Settings!$J$46="No"),$H169,0)+IF(AND(Settings!$I$47="Yes",Settings!$J$47="No"),$I169,0)+IF(AND(Settings!$I$48="Yes",Settings!$J$48="No"),$J169,0)+IF(AND(Settings!$I$49="Yes",Settings!$J$49="No"),$K169,0)+IF(AND(Settings!$I$50="Yes",Settings!$J$50="No"),$L169,0)+IF(AND(Settings!$I$51="Yes",Settings!$J$51="No"),$M169,0)+IF(AND(Settings!$I$52="Yes",Settings!$J$52="No"),$N169,0)+IF(AND(Settings!$I$53="Yes",Settings!$J$53="No"),$O169,0)+IF(AND(Settings!$I$54="Yes",Settings!$J$54="No"),$P169,0)+IF(AND(Settings!$I$55="Yes",Settings!$J$55="No"),$Q169,0)+IF(AND(Settings!$I$56="Yes",Settings!$J$56="No"),$R169,0)</f>
        <v/>
      </c>
      <c r="FH169">
        <f>SUMIFS(Giving!$B$7:$B$2006,Giving!$A$7:$A$2006,"&gt;="&amp;$A169,Giving!$A$7:$A$2006,"&lt;="&amp;$B169,Giving!$G$7:$G$2006,"Yes")+IF(OR(OR(Settings!$B$60="",Settings!$F$60="No"),Settings!$H$60&lt;&gt;"Yes"),0,Settings!$B$60*IF(AND(IF(Settings!$C$60="",$B169,DATE(YEAR($A169),MONTH($A169),MIN(Settings!$C$60,DAY($B169))))&gt;=MAX($A169,Settings!$D$60),IF(Settings!$C$60="",$B169,DATE(YEAR($A169),MONTH($A169),MIN(Settings!$C$60,DAY($B169))))&lt;=MIN($C169,IF(Settings!$E$60="",$C169,Settings!$E$60))),1,0))+IF(OR(OR(Settings!$B$61="",Settings!$F$61="No"),Settings!$H$61&lt;&gt;"Yes"),0,Settings!$B$61*IF(AND(IF(Settings!$C$61="",$B169,DATE(YEAR($A169),MONTH($A169),MIN(Settings!$C$61,DAY($B169))))&gt;=MAX($A169,Settings!$D$61),IF(Settings!$C$61="",$B169,DATE(YEAR($A169),MONTH($A169),MIN(Settings!$C$61,DAY($B169))))&lt;=MIN($C169,IF(Settings!$E$61="",$C169,Settings!$E$61))),1,0))+IF(OR(OR(Settings!$B$62="",Settings!$F$62="No"),Settings!$H$62&lt;&gt;"Yes"),0,Settings!$B$62*IF(AND(IF(Settings!$C$62="",$B169,DATE(YEAR($A169),MONTH($A169),MIN(Settings!$C$62,DAY($B169))))&gt;=MAX($A169,Settings!$D$62),IF(Settings!$C$62="",$B169,DATE(YEAR($A169),MONTH($A169),MIN(Settings!$C$62,DAY($B169))))&lt;=MIN($C169,IF(Settings!$E$62="",$C169,Settings!$E$62))),1,0))+IF(OR(OR(Settings!$B$63="",Settings!$F$63="No"),Settings!$H$63&lt;&gt;"Yes"),0,Settings!$B$63*IF(AND(IF(Settings!$C$63="",$B169,DATE(YEAR($A169),MONTH($A169),MIN(Settings!$C$63,DAY($B169))))&gt;=MAX($A169,Settings!$D$63),IF(Settings!$C$63="",$B169,DATE(YEAR($A169),MONTH($A169),MIN(Settings!$C$63,DAY($B169))))&lt;=MIN($C169,IF(Settings!$E$63="",$C169,Settings!$E$63))),1,0))+IF(OR(OR(Settings!$B$64="",Settings!$F$64="No"),Settings!$H$64&lt;&gt;"Yes"),0,Settings!$B$64*IF(AND(IF(Settings!$C$64="",$B169,DATE(YEAR($A169),MONTH($A169),MIN(Settings!$C$64,DAY($B169))))&gt;=MAX($A169,Settings!$D$64),IF(Settings!$C$64="",$B169,DATE(YEAR($A169),MONTH($A169),MIN(Settings!$C$64,DAY($B169))))&lt;=MIN($C169,IF(Settings!$E$64="",$C169,Settings!$E$64))),1,0))+IF(OR(OR(Settings!$B$65="",Settings!$F$65="No"),Settings!$H$65&lt;&gt;"Yes"),0,Settings!$B$65*IF(AND(IF(Settings!$C$65="",$B169,DATE(YEAR($A169),MONTH($A169),MIN(Settings!$C$65,DAY($B169))))&gt;=MAX($A169,Settings!$D$65),IF(Settings!$C$65="",$B169,DATE(YEAR($A169),MONTH($A169),MIN(Settings!$C$65,DAY($B169))))&lt;=MIN($C169,IF(Settings!$E$65="",$C169,Settings!$E$65))),1,0))</f>
        <v/>
      </c>
      <c r="FI169">
        <f>IF($DT169=1,IF(OR(Settings!$B$19="Card",Settings!$B$19="Loan"),N($AE169),0)+IF(OR(Settings!$B$20="Card",Settings!$B$20="Loan"),N($AF169),0)+IF(OR(Settings!$B$21="Card",Settings!$B$21="Loan"),N($AG169),0)+IF(OR(Settings!$B$22="Card",Settings!$B$22="Loan"),N($AH169),0)+IF(OR(Settings!$B$23="Card",Settings!$B$23="Loan"),N($AI169),0)+IF(OR(Settings!$B$24="Card",Settings!$B$24="Loan"),N($AJ169),0)+IF(OR(Settings!$B$25="Card",Settings!$B$25="Loan"),N($AK169),0)+IF(OR(Settings!$B$26="Card",Settings!$B$26="Loan"),N($AL169),0)+IF(OR(Settings!$B$27="Card",Settings!$B$27="Loan"),N($AM169),0)+IF(OR(Settings!$B$28="Card",Settings!$B$28="Loan"),N($AN169),0)+IF(OR(Settings!$B$29="Card",Settings!$B$29="Loan"),N($AO169),0)+IF(OR(Settings!$B$30="Card",Settings!$B$30="Loan"),N($AP169),0)+IF(OR(Settings!$B$31="Card",Settings!$B$31="Loan"),N($AQ169),0)+IF(OR(Settings!$B$32="Card",Settings!$B$32="Loan"),N($AR169),0),"")</f>
        <v/>
      </c>
      <c r="FJ169">
        <f>IF($E169="open",$EB$65,IF($E169="post",IF($E168="pre",$EB$65,$FI168),""))</f>
        <v/>
      </c>
      <c r="FK169">
        <f>IF(AND($DT169=1,$DC169=1),IF(ROUND($FI169-$FJ169,2)&gt;0,1,0),0)</f>
        <v/>
      </c>
      <c r="FL169">
        <f>IF($FK169=1,$FL168+1,0)</f>
        <v/>
      </c>
    </row>
    <row r="170">
      <c r="A170">
        <f>'Month-End'!$FK$4</f>
        <v/>
      </c>
      <c r="B170">
        <f>EOMONTH($A170,0)</f>
        <v/>
      </c>
      <c r="C170">
        <f>MIN($B170,TODAY())</f>
        <v/>
      </c>
      <c r="D170">
        <f>IF($A170&gt;TODAY(),1,0)</f>
        <v/>
      </c>
      <c r="E170">
        <f>IF($B170&lt;=Settings!$B$5,"pre",IF($A170&lt;=Settings!$B$5,"open","post"))</f>
        <v/>
      </c>
      <c r="G170">
        <f>IF('Month-End'!$FK$22="",$BE170,N('Month-End'!$FK$22))</f>
        <v/>
      </c>
      <c r="H170">
        <f>IF('Month-End'!$FK$23="",$BF170,N('Month-End'!$FK$23))</f>
        <v/>
      </c>
      <c r="I170">
        <f>IF('Month-End'!$FK$24="",$BG170,N('Month-End'!$FK$24))</f>
        <v/>
      </c>
      <c r="J170">
        <f>IF('Month-End'!$FK$25="",$BH170,N('Month-End'!$FK$25))</f>
        <v/>
      </c>
      <c r="K170">
        <f>IF('Month-End'!$FK$26="",$BI170,N('Month-End'!$FK$26))</f>
        <v/>
      </c>
      <c r="L170">
        <f>IF('Month-End'!$FK$27="",$BJ170,N('Month-End'!$FK$27))</f>
        <v/>
      </c>
      <c r="M170">
        <f>IF('Month-End'!$FK$28="",$BK170,N('Month-End'!$FK$28))</f>
        <v/>
      </c>
      <c r="N170">
        <f>IF('Month-End'!$FK$29="",$BL170,N('Month-End'!$FK$29))</f>
        <v/>
      </c>
      <c r="O170">
        <f>IF('Month-End'!$FK$30="",$BM170,N('Month-End'!$FK$30))</f>
        <v/>
      </c>
      <c r="P170">
        <f>IF('Month-End'!$FK$31="",$BN170,N('Month-End'!$FK$31))</f>
        <v/>
      </c>
      <c r="Q170">
        <f>IF('Month-End'!$FK$32="",$BO170,N('Month-End'!$FK$32))</f>
        <v/>
      </c>
      <c r="R170">
        <f>IF('Month-End'!$FK$33="",$BP170,N('Month-End'!$FK$33))</f>
        <v/>
      </c>
      <c r="S170">
        <f>$G170+$H170+$I170+$J170+$K170+$L170+$M170+$N170+$O170+$P170+$Q170+$R170</f>
        <v/>
      </c>
      <c r="T170">
        <f>IF($B170&lt;Settings!$B$6,0,IF(Settings!$B$45="Yes",$G170,0)+IF(Settings!$B$46="Yes",$H170,0)+IF(Settings!$B$47="Yes",$I170,0)+IF(Settings!$B$48="Yes",$J170,0)+IF(Settings!$B$49="Yes",$K170,0)+IF(Settings!$B$50="Yes",$L170,0)+IF(Settings!$B$51="Yes",$M170,0)+IF(Settings!$B$52="Yes",$N170,0)+IF(Settings!$B$53="Yes",$O170,0)+IF(Settings!$B$54="Yes",$P170,0)+IF(Settings!$B$55="Yes",$Q170,0)+IF(Settings!$B$56="Yes",$R170,0))</f>
        <v/>
      </c>
      <c r="U170">
        <f>IF(Settings!$B$45="Not Sure",$G170,0)+IF(Settings!$B$46="Not Sure",$H170,0)+IF(Settings!$B$47="Not Sure",$I170,0)+IF(Settings!$B$48="Not Sure",$J170,0)+IF(Settings!$B$49="Not Sure",$K170,0)+IF(Settings!$B$50="Not Sure",$L170,0)+IF(Settings!$B$51="Not Sure",$M170,0)+IF(Settings!$B$52="Not Sure",$N170,0)+IF(Settings!$B$53="Not Sure",$O170,0)+IF(Settings!$B$54="Not Sure",$P170,0)+IF(Settings!$B$55="Not Sure",$Q170,0)+IF(Settings!$B$56="Not Sure",$R170,0)</f>
        <v/>
      </c>
      <c r="V170">
        <f>IF($E170="open",SUM($ET170:$FE170)+N(Settings!$B$13),0)</f>
        <v/>
      </c>
      <c r="W170">
        <f>IF($E170="post",$S170,IF($E170="open",$S170-$V170,0))</f>
        <v/>
      </c>
      <c r="X170">
        <f>SUMIFS(Giving!$B$7:$B$2006,Giving!$A$7:$A$2006,"&gt;="&amp;$A170,Giving!$A$7:$A$2006,"&lt;="&amp;$B170,Giving!$E$7:$E$2006,"&lt;&gt;No")</f>
        <v/>
      </c>
      <c r="Y170">
        <f>SUMIFS(Giving!$B$7:$B$2006,Giving!$A$7:$A$2006,"&gt;="&amp;$A170,Giving!$A$7:$A$2006,"&lt;="&amp;$B170,Giving!$E$7:$E$2006,"No")</f>
        <v/>
      </c>
      <c r="Z170">
        <f>IF(OR(Settings!$B$60="",Settings!$F$60="No"),0,Settings!$B$60*IF(AND(IF(Settings!$C$60="",$B170,DATE(YEAR($A170),MONTH($A170),MIN(Settings!$C$60,DAY($B170))))&gt;=MAX($A170,Settings!$D$60),IF(Settings!$C$60="",$B170,DATE(YEAR($A170),MONTH($A170),MIN(Settings!$C$60,DAY($B170))))&lt;=MIN($C170,IF(Settings!$E$60="",$C170,Settings!$E$60))),1,0))+IF(OR(Settings!$B$61="",Settings!$F$61="No"),0,Settings!$B$61*IF(AND(IF(Settings!$C$61="",$B170,DATE(YEAR($A170),MONTH($A170),MIN(Settings!$C$61,DAY($B170))))&gt;=MAX($A170,Settings!$D$61),IF(Settings!$C$61="",$B170,DATE(YEAR($A170),MONTH($A170),MIN(Settings!$C$61,DAY($B170))))&lt;=MIN($C170,IF(Settings!$E$61="",$C170,Settings!$E$61))),1,0))+IF(OR(Settings!$B$62="",Settings!$F$62="No"),0,Settings!$B$62*IF(AND(IF(Settings!$C$62="",$B170,DATE(YEAR($A170),MONTH($A170),MIN(Settings!$C$62,DAY($B170))))&gt;=MAX($A170,Settings!$D$62),IF(Settings!$C$62="",$B170,DATE(YEAR($A170),MONTH($A170),MIN(Settings!$C$62,DAY($B170))))&lt;=MIN($C170,IF(Settings!$E$62="",$C170,Settings!$E$62))),1,0))+IF(OR(Settings!$B$63="",Settings!$F$63="No"),0,Settings!$B$63*IF(AND(IF(Settings!$C$63="",$B170,DATE(YEAR($A170),MONTH($A170),MIN(Settings!$C$63,DAY($B170))))&gt;=MAX($A170,Settings!$D$63),IF(Settings!$C$63="",$B170,DATE(YEAR($A170),MONTH($A170),MIN(Settings!$C$63,DAY($B170))))&lt;=MIN($C170,IF(Settings!$E$63="",$C170,Settings!$E$63))),1,0))+IF(OR(Settings!$B$64="",Settings!$F$64="No"),0,Settings!$B$64*IF(AND(IF(Settings!$C$64="",$B170,DATE(YEAR($A170),MONTH($A170),MIN(Settings!$C$64,DAY($B170))))&gt;=MAX($A170,Settings!$D$64),IF(Settings!$C$64="",$B170,DATE(YEAR($A170),MONTH($A170),MIN(Settings!$C$64,DAY($B170))))&lt;=MIN($C170,IF(Settings!$E$64="",$C170,Settings!$E$64))),1,0))+IF(OR(Settings!$B$65="",Settings!$F$65="No"),0,Settings!$B$65*IF(AND(IF(Settings!$C$65="",$B170,DATE(YEAR($A170),MONTH($A170),MIN(Settings!$C$65,DAY($B170))))&gt;=MAX($A170,Settings!$D$65),IF(Settings!$C$65="",$B170,DATE(YEAR($A170),MONTH($A170),MIN(Settings!$C$65,DAY($B170))))&lt;=MIN($C170,IF(Settings!$E$65="",$C170,Settings!$E$65))),1,0))</f>
        <v/>
      </c>
      <c r="AA170">
        <f>$X170+$Z170</f>
        <v/>
      </c>
      <c r="AB170">
        <f>IF($E170="post",$AA170,IF($E170="open",SUMIFS(Giving!$B$7:$B$2006,Giving!$A$7:$A$2006,"&gt;"&amp;Settings!$B$5,Giving!$A$7:$A$2006,"&lt;="&amp;$B170,Giving!$E$7:$E$2006,"&lt;&gt;No")+IF(OR(Settings!$B$60="",Settings!$F$60="No"),0,Settings!$B$60*IF(AND(IF(Settings!$C$60="",$B170,DATE(YEAR($A170),MONTH($A170),MIN(Settings!$C$60,DAY($B170))))&gt;=MAX($A170,Settings!$D$60,Settings!$B$5+1),IF(Settings!$C$60="",$B170,DATE(YEAR($A170),MONTH($A170),MIN(Settings!$C$60,DAY($B170))))&lt;=MIN($C170,IF(Settings!$E$60="",$C170,Settings!$E$60))),1,0))+IF(OR(Settings!$B$61="",Settings!$F$61="No"),0,Settings!$B$61*IF(AND(IF(Settings!$C$61="",$B170,DATE(YEAR($A170),MONTH($A170),MIN(Settings!$C$61,DAY($B170))))&gt;=MAX($A170,Settings!$D$61,Settings!$B$5+1),IF(Settings!$C$61="",$B170,DATE(YEAR($A170),MONTH($A170),MIN(Settings!$C$61,DAY($B170))))&lt;=MIN($C170,IF(Settings!$E$61="",$C170,Settings!$E$61))),1,0))+IF(OR(Settings!$B$62="",Settings!$F$62="No"),0,Settings!$B$62*IF(AND(IF(Settings!$C$62="",$B170,DATE(YEAR($A170),MONTH($A170),MIN(Settings!$C$62,DAY($B170))))&gt;=MAX($A170,Settings!$D$62,Settings!$B$5+1),IF(Settings!$C$62="",$B170,DATE(YEAR($A170),MONTH($A170),MIN(Settings!$C$62,DAY($B170))))&lt;=MIN($C170,IF(Settings!$E$62="",$C170,Settings!$E$62))),1,0))+IF(OR(Settings!$B$63="",Settings!$F$63="No"),0,Settings!$B$63*IF(AND(IF(Settings!$C$63="",$B170,DATE(YEAR($A170),MONTH($A170),MIN(Settings!$C$63,DAY($B170))))&gt;=MAX($A170,Settings!$D$63,Settings!$B$5+1),IF(Settings!$C$63="",$B170,DATE(YEAR($A170),MONTH($A170),MIN(Settings!$C$63,DAY($B170))))&lt;=MIN($C170,IF(Settings!$E$63="",$C170,Settings!$E$63))),1,0))+IF(OR(Settings!$B$64="",Settings!$F$64="No"),0,Settings!$B$64*IF(AND(IF(Settings!$C$64="",$B170,DATE(YEAR($A170),MONTH($A170),MIN(Settings!$C$64,DAY($B170))))&gt;=MAX($A170,Settings!$D$64,Settings!$B$5+1),IF(Settings!$C$64="",$B170,DATE(YEAR($A170),MONTH($A170),MIN(Settings!$C$64,DAY($B170))))&lt;=MIN($C170,IF(Settings!$E$64="",$C170,Settings!$E$64))),1,0))+IF(OR(Settings!$B$65="",Settings!$F$65="No"),0,Settings!$B$65*IF(AND(IF(Settings!$C$65="",$B170,DATE(YEAR($A170),MONTH($A170),MIN(Settings!$C$65,DAY($B170))))&gt;=MAX($A170,Settings!$D$65,Settings!$B$5+1),IF(Settings!$C$65="",$B170,DATE(YEAR($A170),MONTH($A170),MIN(Settings!$C$65,DAY($B170))))&lt;=MIN($C170,IF(Settings!$E$65="",$C170,Settings!$E$65))),1,0)),0))</f>
        <v/>
      </c>
      <c r="AC170">
        <f>$AY170+$AZ170+$BA170+$BB170+$BC170+$BD170</f>
        <v/>
      </c>
      <c r="AD170">
        <f>$AC170</f>
        <v/>
      </c>
      <c r="AE170">
        <f>IF(OR(Settings!$A$19="",$E170="pre"),"",IF(AND('Month-End'!$FK$7&lt;&gt;"",NOT(_xlfn.ISFORMULA('Month-End'!$FK$7))),N('Month-End'!$FK$7),IF(OR($E170="open",$E169="pre"),N(Settings!$C$19),N($AE169))))</f>
        <v/>
      </c>
      <c r="AF170">
        <f>IF(OR(Settings!$A$20="",$E170="pre"),"",IF(AND('Month-End'!$FK$8&lt;&gt;"",NOT(_xlfn.ISFORMULA('Month-End'!$FK$8))),N('Month-End'!$FK$8),IF(OR($E170="open",$E169="pre"),N(Settings!$C$20),N($AF169))))</f>
        <v/>
      </c>
      <c r="AG170">
        <f>IF(OR(Settings!$A$21="",$E170="pre"),"",IF(AND('Month-End'!$FK$9&lt;&gt;"",NOT(_xlfn.ISFORMULA('Month-End'!$FK$9))),N('Month-End'!$FK$9),IF(OR($E170="open",$E169="pre"),N(Settings!$C$21),N($AG169))))</f>
        <v/>
      </c>
      <c r="AH170">
        <f>IF(OR(Settings!$A$22="",$E170="pre"),"",IF(AND('Month-End'!$FK$10&lt;&gt;"",NOT(_xlfn.ISFORMULA('Month-End'!$FK$10))),N('Month-End'!$FK$10),IF(OR($E170="open",$E169="pre"),N(Settings!$C$22),N($AH169))))</f>
        <v/>
      </c>
      <c r="AI170">
        <f>IF(OR(Settings!$A$23="",$E170="pre"),"",IF(AND('Month-End'!$FK$11&lt;&gt;"",NOT(_xlfn.ISFORMULA('Month-End'!$FK$11))),N('Month-End'!$FK$11),IF(OR($E170="open",$E169="pre"),N(Settings!$C$23),N($AI169))))</f>
        <v/>
      </c>
      <c r="AJ170">
        <f>IF(OR(Settings!$A$24="",$E170="pre"),"",IF(AND('Month-End'!$FK$12&lt;&gt;"",NOT(_xlfn.ISFORMULA('Month-End'!$FK$12))),N('Month-End'!$FK$12),IF(OR($E170="open",$E169="pre"),N(Settings!$C$24),N($AJ169))))</f>
        <v/>
      </c>
      <c r="AK170">
        <f>IF(OR(Settings!$A$25="",$E170="pre"),"",IF(AND('Month-End'!$FK$13&lt;&gt;"",NOT(_xlfn.ISFORMULA('Month-End'!$FK$13))),N('Month-End'!$FK$13),IF(OR($E170="open",$E169="pre"),N(Settings!$C$25),N($AK169))))</f>
        <v/>
      </c>
      <c r="AL170">
        <f>IF(OR(Settings!$A$26="",$E170="pre"),"",IF(AND('Month-End'!$FK$14&lt;&gt;"",NOT(_xlfn.ISFORMULA('Month-End'!$FK$14))),N('Month-End'!$FK$14),IF(OR($E170="open",$E169="pre"),N(Settings!$C$26),N($AL169))))</f>
        <v/>
      </c>
      <c r="AM170">
        <f>IF(OR(Settings!$A$27="",$E170="pre"),"",IF(AND('Month-End'!$FK$15&lt;&gt;"",NOT(_xlfn.ISFORMULA('Month-End'!$FK$15))),N('Month-End'!$FK$15),IF(OR($E170="open",$E169="pre"),N(Settings!$C$27),N($AM169))))</f>
        <v/>
      </c>
      <c r="AN170">
        <f>IF(OR(Settings!$A$28="",$E170="pre"),"",IF(AND('Month-End'!$FK$16&lt;&gt;"",NOT(_xlfn.ISFORMULA('Month-End'!$FK$16))),N('Month-End'!$FK$16),IF(OR($E170="open",$E169="pre"),N(Settings!$C$28),N($AN169))))</f>
        <v/>
      </c>
      <c r="AO170">
        <f>IF(OR(Settings!$A$29="",$E170="pre"),"",IF(AND('Month-End'!$FK$17&lt;&gt;"",NOT(_xlfn.ISFORMULA('Month-End'!$FK$17))),N('Month-End'!$FK$17),IF(OR($E170="open",$E169="pre"),N(Settings!$C$29),N($AO169))))</f>
        <v/>
      </c>
      <c r="AP170">
        <f>IF(OR(Settings!$A$30="",$E170="pre"),"",IF(AND('Month-End'!$FK$18&lt;&gt;"",NOT(_xlfn.ISFORMULA('Month-End'!$FK$18))),N('Month-End'!$FK$18),IF(OR($E170="open",$E169="pre"),N(Settings!$C$30),N($AP169))))</f>
        <v/>
      </c>
      <c r="AQ170">
        <f>IF(OR(Settings!$A$31="",$E170="pre"),"",IF(AND('Month-End'!$FK$19&lt;&gt;"",NOT(_xlfn.ISFORMULA('Month-End'!$FK$19))),N('Month-End'!$FK$19),IF(OR($E170="open",$E169="pre"),N(Settings!$C$31),N($AQ169))))</f>
        <v/>
      </c>
      <c r="AR170">
        <f>IF(OR(Settings!$A$32="",$E170="pre"),"",IF(AND('Month-End'!$FK$20&lt;&gt;"",NOT(_xlfn.ISFORMULA('Month-End'!$FK$20))),N('Month-End'!$FK$20),IF(OR($E170="open",$E169="pre"),N(Settings!$C$32),N($AR169))))</f>
        <v/>
      </c>
      <c r="AS170">
        <f>IF(OR(Settings!$A$36="",$E170="pre"),"",IF(AND('Month-End'!$FK$38&lt;&gt;"",NOT(_xlfn.ISFORMULA('Month-End'!$FK$38))),N('Month-End'!$FK$38),IF(OR($E170="open",$E169="pre"),N(Settings!$C$36),N($AS169))+$AY170))</f>
        <v/>
      </c>
      <c r="AT170">
        <f>IF(OR(Settings!$A$37="",$E170="pre"),"",IF(AND('Month-End'!$FK$39&lt;&gt;"",NOT(_xlfn.ISFORMULA('Month-End'!$FK$39))),N('Month-End'!$FK$39),IF(OR($E170="open",$E169="pre"),N(Settings!$C$37),N($AT169))+$AZ170))</f>
        <v/>
      </c>
      <c r="AU170">
        <f>IF(OR(Settings!$A$38="",$E170="pre"),"",IF(AND('Month-End'!$FK$40&lt;&gt;"",NOT(_xlfn.ISFORMULA('Month-End'!$FK$40))),N('Month-End'!$FK$40),IF(OR($E170="open",$E169="pre"),N(Settings!$C$38),N($AU169))+$BA170))</f>
        <v/>
      </c>
      <c r="AV170">
        <f>IF(OR(Settings!$A$39="",$E170="pre"),"",IF(AND('Month-End'!$FK$41&lt;&gt;"",NOT(_xlfn.ISFORMULA('Month-End'!$FK$41))),N('Month-End'!$FK$41),IF(OR($E170="open",$E169="pre"),N(Settings!$C$39),N($AV169))+$BB170))</f>
        <v/>
      </c>
      <c r="AW170">
        <f>IF(OR(Settings!$A$40="",$E170="pre"),"",IF(AND('Month-End'!$FK$42&lt;&gt;"",NOT(_xlfn.ISFORMULA('Month-End'!$FK$42))),N('Month-End'!$FK$42),IF(OR($E170="open",$E169="pre"),N(Settings!$C$40),N($AW169))+$BC170))</f>
        <v/>
      </c>
      <c r="AX170">
        <f>IF(OR(Settings!$A$41="",$E170="pre"),"",IF(AND('Month-End'!$FK$43&lt;&gt;"",NOT(_xlfn.ISFORMULA('Month-End'!$FK$43))),N('Month-End'!$FK$43),IF(OR($E170="open",$E169="pre"),N(Settings!$C$41),N($AX169))+$BD170))</f>
        <v/>
      </c>
      <c r="AY170">
        <f>IF($E170="pre",0,N('Month-End'!$FK$45))</f>
        <v/>
      </c>
      <c r="AZ170">
        <f>IF($E170="pre",0,N('Month-End'!$FK$46))</f>
        <v/>
      </c>
      <c r="BA170">
        <f>IF($E170="pre",0,N('Month-End'!$FK$47))</f>
        <v/>
      </c>
      <c r="BB170">
        <f>IF($E170="pre",0,N('Month-End'!$FK$48))</f>
        <v/>
      </c>
      <c r="BC170">
        <f>IF($E170="pre",0,N('Month-End'!$FK$49))</f>
        <v/>
      </c>
      <c r="BD170">
        <f>IF($E170="pre",0,N('Month-End'!$FK$50))</f>
        <v/>
      </c>
      <c r="BE170">
        <f>IF(OR(Settings!$C$45="",Settings!$D$45=""),0,Settings!$C$45*IF(Settings!$D$45="Weekly",IF(IFERROR(MATCH(Settings!$E$45,$EO$4:$EO$10,0),0)=0,0,IF(MIN($C170,IF(Settings!$G$45="",$C170,Settings!$G$45))&lt;MAX($A170,Settings!$F$45),0,INT((MIN($C170,IF(Settings!$G$45="",$C170,Settings!$G$45))-MAX($A170,Settings!$F$45)-MOD(IFERROR(MATCH(Settings!$E$45,$EO$4:$EO$10,0),0)-WEEKDAY(MAX($A170,Settings!$F$45)),7))/7)+1)),IF(AND(IF(Settings!$E$45="",$B170,DATE(YEAR($A170),MONTH($A170),MIN(Settings!$E$45,DAY($B170))))&gt;=MAX($A170,Settings!$F$45),IF(Settings!$E$45="",$B170,DATE(YEAR($A170),MONTH($A170),MIN(Settings!$E$45,DAY($B170))))&lt;=MIN($C170,IF(Settings!$G$45="",$C170,Settings!$G$45))),1,0)))</f>
        <v/>
      </c>
      <c r="BF170">
        <f>IF(OR(Settings!$C$46="",Settings!$D$46=""),0,Settings!$C$46*IF(Settings!$D$46="Weekly",IF(IFERROR(MATCH(Settings!$E$46,$EO$4:$EO$10,0),0)=0,0,IF(MIN($C170,IF(Settings!$G$46="",$C170,Settings!$G$46))&lt;MAX($A170,Settings!$F$46),0,INT((MIN($C170,IF(Settings!$G$46="",$C170,Settings!$G$46))-MAX($A170,Settings!$F$46)-MOD(IFERROR(MATCH(Settings!$E$46,$EO$4:$EO$10,0),0)-WEEKDAY(MAX($A170,Settings!$F$46)),7))/7)+1)),IF(AND(IF(Settings!$E$46="",$B170,DATE(YEAR($A170),MONTH($A170),MIN(Settings!$E$46,DAY($B170))))&gt;=MAX($A170,Settings!$F$46),IF(Settings!$E$46="",$B170,DATE(YEAR($A170),MONTH($A170),MIN(Settings!$E$46,DAY($B170))))&lt;=MIN($C170,IF(Settings!$G$46="",$C170,Settings!$G$46))),1,0)))</f>
        <v/>
      </c>
      <c r="BG170">
        <f>IF(OR(Settings!$C$47="",Settings!$D$47=""),0,Settings!$C$47*IF(Settings!$D$47="Weekly",IF(IFERROR(MATCH(Settings!$E$47,$EO$4:$EO$10,0),0)=0,0,IF(MIN($C170,IF(Settings!$G$47="",$C170,Settings!$G$47))&lt;MAX($A170,Settings!$F$47),0,INT((MIN($C170,IF(Settings!$G$47="",$C170,Settings!$G$47))-MAX($A170,Settings!$F$47)-MOD(IFERROR(MATCH(Settings!$E$47,$EO$4:$EO$10,0),0)-WEEKDAY(MAX($A170,Settings!$F$47)),7))/7)+1)),IF(AND(IF(Settings!$E$47="",$B170,DATE(YEAR($A170),MONTH($A170),MIN(Settings!$E$47,DAY($B170))))&gt;=MAX($A170,Settings!$F$47),IF(Settings!$E$47="",$B170,DATE(YEAR($A170),MONTH($A170),MIN(Settings!$E$47,DAY($B170))))&lt;=MIN($C170,IF(Settings!$G$47="",$C170,Settings!$G$47))),1,0)))</f>
        <v/>
      </c>
      <c r="BH170">
        <f>IF(OR(Settings!$C$48="",Settings!$D$48=""),0,Settings!$C$48*IF(Settings!$D$48="Weekly",IF(IFERROR(MATCH(Settings!$E$48,$EO$4:$EO$10,0),0)=0,0,IF(MIN($C170,IF(Settings!$G$48="",$C170,Settings!$G$48))&lt;MAX($A170,Settings!$F$48),0,INT((MIN($C170,IF(Settings!$G$48="",$C170,Settings!$G$48))-MAX($A170,Settings!$F$48)-MOD(IFERROR(MATCH(Settings!$E$48,$EO$4:$EO$10,0),0)-WEEKDAY(MAX($A170,Settings!$F$48)),7))/7)+1)),IF(AND(IF(Settings!$E$48="",$B170,DATE(YEAR($A170),MONTH($A170),MIN(Settings!$E$48,DAY($B170))))&gt;=MAX($A170,Settings!$F$48),IF(Settings!$E$48="",$B170,DATE(YEAR($A170),MONTH($A170),MIN(Settings!$E$48,DAY($B170))))&lt;=MIN($C170,IF(Settings!$G$48="",$C170,Settings!$G$48))),1,0)))</f>
        <v/>
      </c>
      <c r="BI170">
        <f>IF(OR(Settings!$C$49="",Settings!$D$49=""),0,Settings!$C$49*IF(Settings!$D$49="Weekly",IF(IFERROR(MATCH(Settings!$E$49,$EO$4:$EO$10,0),0)=0,0,IF(MIN($C170,IF(Settings!$G$49="",$C170,Settings!$G$49))&lt;MAX($A170,Settings!$F$49),0,INT((MIN($C170,IF(Settings!$G$49="",$C170,Settings!$G$49))-MAX($A170,Settings!$F$49)-MOD(IFERROR(MATCH(Settings!$E$49,$EO$4:$EO$10,0),0)-WEEKDAY(MAX($A170,Settings!$F$49)),7))/7)+1)),IF(AND(IF(Settings!$E$49="",$B170,DATE(YEAR($A170),MONTH($A170),MIN(Settings!$E$49,DAY($B170))))&gt;=MAX($A170,Settings!$F$49),IF(Settings!$E$49="",$B170,DATE(YEAR($A170),MONTH($A170),MIN(Settings!$E$49,DAY($B170))))&lt;=MIN($C170,IF(Settings!$G$49="",$C170,Settings!$G$49))),1,0)))</f>
        <v/>
      </c>
      <c r="BJ170">
        <f>IF(OR(Settings!$C$50="",Settings!$D$50=""),0,Settings!$C$50*IF(Settings!$D$50="Weekly",IF(IFERROR(MATCH(Settings!$E$50,$EO$4:$EO$10,0),0)=0,0,IF(MIN($C170,IF(Settings!$G$50="",$C170,Settings!$G$50))&lt;MAX($A170,Settings!$F$50),0,INT((MIN($C170,IF(Settings!$G$50="",$C170,Settings!$G$50))-MAX($A170,Settings!$F$50)-MOD(IFERROR(MATCH(Settings!$E$50,$EO$4:$EO$10,0),0)-WEEKDAY(MAX($A170,Settings!$F$50)),7))/7)+1)),IF(AND(IF(Settings!$E$50="",$B170,DATE(YEAR($A170),MONTH($A170),MIN(Settings!$E$50,DAY($B170))))&gt;=MAX($A170,Settings!$F$50),IF(Settings!$E$50="",$B170,DATE(YEAR($A170),MONTH($A170),MIN(Settings!$E$50,DAY($B170))))&lt;=MIN($C170,IF(Settings!$G$50="",$C170,Settings!$G$50))),1,0)))</f>
        <v/>
      </c>
      <c r="BK170">
        <f>IF(OR(Settings!$C$51="",Settings!$D$51=""),0,Settings!$C$51*IF(Settings!$D$51="Weekly",IF(IFERROR(MATCH(Settings!$E$51,$EO$4:$EO$10,0),0)=0,0,IF(MIN($C170,IF(Settings!$G$51="",$C170,Settings!$G$51))&lt;MAX($A170,Settings!$F$51),0,INT((MIN($C170,IF(Settings!$G$51="",$C170,Settings!$G$51))-MAX($A170,Settings!$F$51)-MOD(IFERROR(MATCH(Settings!$E$51,$EO$4:$EO$10,0),0)-WEEKDAY(MAX($A170,Settings!$F$51)),7))/7)+1)),IF(AND(IF(Settings!$E$51="",$B170,DATE(YEAR($A170),MONTH($A170),MIN(Settings!$E$51,DAY($B170))))&gt;=MAX($A170,Settings!$F$51),IF(Settings!$E$51="",$B170,DATE(YEAR($A170),MONTH($A170),MIN(Settings!$E$51,DAY($B170))))&lt;=MIN($C170,IF(Settings!$G$51="",$C170,Settings!$G$51))),1,0)))</f>
        <v/>
      </c>
      <c r="BL170">
        <f>IF(OR(Settings!$C$52="",Settings!$D$52=""),0,Settings!$C$52*IF(Settings!$D$52="Weekly",IF(IFERROR(MATCH(Settings!$E$52,$EO$4:$EO$10,0),0)=0,0,IF(MIN($C170,IF(Settings!$G$52="",$C170,Settings!$G$52))&lt;MAX($A170,Settings!$F$52),0,INT((MIN($C170,IF(Settings!$G$52="",$C170,Settings!$G$52))-MAX($A170,Settings!$F$52)-MOD(IFERROR(MATCH(Settings!$E$52,$EO$4:$EO$10,0),0)-WEEKDAY(MAX($A170,Settings!$F$52)),7))/7)+1)),IF(AND(IF(Settings!$E$52="",$B170,DATE(YEAR($A170),MONTH($A170),MIN(Settings!$E$52,DAY($B170))))&gt;=MAX($A170,Settings!$F$52),IF(Settings!$E$52="",$B170,DATE(YEAR($A170),MONTH($A170),MIN(Settings!$E$52,DAY($B170))))&lt;=MIN($C170,IF(Settings!$G$52="",$C170,Settings!$G$52))),1,0)))</f>
        <v/>
      </c>
      <c r="BM170">
        <f>IF(OR(Settings!$C$53="",Settings!$D$53=""),0,Settings!$C$53*IF(Settings!$D$53="Weekly",IF(IFERROR(MATCH(Settings!$E$53,$EO$4:$EO$10,0),0)=0,0,IF(MIN($C170,IF(Settings!$G$53="",$C170,Settings!$G$53))&lt;MAX($A170,Settings!$F$53),0,INT((MIN($C170,IF(Settings!$G$53="",$C170,Settings!$G$53))-MAX($A170,Settings!$F$53)-MOD(IFERROR(MATCH(Settings!$E$53,$EO$4:$EO$10,0),0)-WEEKDAY(MAX($A170,Settings!$F$53)),7))/7)+1)),IF(AND(IF(Settings!$E$53="",$B170,DATE(YEAR($A170),MONTH($A170),MIN(Settings!$E$53,DAY($B170))))&gt;=MAX($A170,Settings!$F$53),IF(Settings!$E$53="",$B170,DATE(YEAR($A170),MONTH($A170),MIN(Settings!$E$53,DAY($B170))))&lt;=MIN($C170,IF(Settings!$G$53="",$C170,Settings!$G$53))),1,0)))</f>
        <v/>
      </c>
      <c r="BN170">
        <f>IF(OR(Settings!$C$54="",Settings!$D$54=""),0,Settings!$C$54*IF(Settings!$D$54="Weekly",IF(IFERROR(MATCH(Settings!$E$54,$EO$4:$EO$10,0),0)=0,0,IF(MIN($C170,IF(Settings!$G$54="",$C170,Settings!$G$54))&lt;MAX($A170,Settings!$F$54),0,INT((MIN($C170,IF(Settings!$G$54="",$C170,Settings!$G$54))-MAX($A170,Settings!$F$54)-MOD(IFERROR(MATCH(Settings!$E$54,$EO$4:$EO$10,0),0)-WEEKDAY(MAX($A170,Settings!$F$54)),7))/7)+1)),IF(AND(IF(Settings!$E$54="",$B170,DATE(YEAR($A170),MONTH($A170),MIN(Settings!$E$54,DAY($B170))))&gt;=MAX($A170,Settings!$F$54),IF(Settings!$E$54="",$B170,DATE(YEAR($A170),MONTH($A170),MIN(Settings!$E$54,DAY($B170))))&lt;=MIN($C170,IF(Settings!$G$54="",$C170,Settings!$G$54))),1,0)))</f>
        <v/>
      </c>
      <c r="BO170">
        <f>IF(OR(Settings!$C$55="",Settings!$D$55=""),0,Settings!$C$55*IF(Settings!$D$55="Weekly",IF(IFERROR(MATCH(Settings!$E$55,$EO$4:$EO$10,0),0)=0,0,IF(MIN($C170,IF(Settings!$G$55="",$C170,Settings!$G$55))&lt;MAX($A170,Settings!$F$55),0,INT((MIN($C170,IF(Settings!$G$55="",$C170,Settings!$G$55))-MAX($A170,Settings!$F$55)-MOD(IFERROR(MATCH(Settings!$E$55,$EO$4:$EO$10,0),0)-WEEKDAY(MAX($A170,Settings!$F$55)),7))/7)+1)),IF(AND(IF(Settings!$E$55="",$B170,DATE(YEAR($A170),MONTH($A170),MIN(Settings!$E$55,DAY($B170))))&gt;=MAX($A170,Settings!$F$55),IF(Settings!$E$55="",$B170,DATE(YEAR($A170),MONTH($A170),MIN(Settings!$E$55,DAY($B170))))&lt;=MIN($C170,IF(Settings!$G$55="",$C170,Settings!$G$55))),1,0)))</f>
        <v/>
      </c>
      <c r="BP170">
        <f>IF(OR(Settings!$C$56="",Settings!$D$56=""),0,Settings!$C$56*IF(Settings!$D$56="Weekly",IF(IFERROR(MATCH(Settings!$E$56,$EO$4:$EO$10,0),0)=0,0,IF(MIN($C170,IF(Settings!$G$56="",$C170,Settings!$G$56))&lt;MAX($A170,Settings!$F$56),0,INT((MIN($C170,IF(Settings!$G$56="",$C170,Settings!$G$56))-MAX($A170,Settings!$F$56)-MOD(IFERROR(MATCH(Settings!$E$56,$EO$4:$EO$10,0),0)-WEEKDAY(MAX($A170,Settings!$F$56)),7))/7)+1)),IF(AND(IF(Settings!$E$56="",$B170,DATE(YEAR($A170),MONTH($A170),MIN(Settings!$E$56,DAY($B170))))&gt;=MAX($A170,Settings!$F$56),IF(Settings!$E$56="",$B170,DATE(YEAR($A170),MONTH($A170),MIN(Settings!$E$56,DAY($B170))))&lt;=MIN($C170,IF(Settings!$G$56="",$C170,Settings!$G$56))),1,0)))</f>
        <v/>
      </c>
      <c r="BQ170">
        <f>IF(OR(Settings!$B$14="",$D170=1,$E170="pre",$A170&lt;IF(Settings!$B$15="",0,Settings!$B$15)),0,Settings!$B$14)</f>
        <v/>
      </c>
      <c r="BR170">
        <f>IF(AND('Month-End'!$FK$7&lt;&gt;"",NOT(_xlfn.ISFORMULA('Month-End'!$FK$7))),1,0)</f>
        <v/>
      </c>
      <c r="BS170">
        <f>IF(AND('Month-End'!$FK$8&lt;&gt;"",NOT(_xlfn.ISFORMULA('Month-End'!$FK$8))),1,0)</f>
        <v/>
      </c>
      <c r="BT170">
        <f>IF(AND('Month-End'!$FK$9&lt;&gt;"",NOT(_xlfn.ISFORMULA('Month-End'!$FK$9))),1,0)</f>
        <v/>
      </c>
      <c r="BU170">
        <f>IF(AND('Month-End'!$FK$10&lt;&gt;"",NOT(_xlfn.ISFORMULA('Month-End'!$FK$10))),1,0)</f>
        <v/>
      </c>
      <c r="BV170">
        <f>IF(AND('Month-End'!$FK$11&lt;&gt;"",NOT(_xlfn.ISFORMULA('Month-End'!$FK$11))),1,0)</f>
        <v/>
      </c>
      <c r="BW170">
        <f>IF(AND('Month-End'!$FK$12&lt;&gt;"",NOT(_xlfn.ISFORMULA('Month-End'!$FK$12))),1,0)</f>
        <v/>
      </c>
      <c r="BX170">
        <f>IF(AND('Month-End'!$FK$13&lt;&gt;"",NOT(_xlfn.ISFORMULA('Month-End'!$FK$13))),1,0)</f>
        <v/>
      </c>
      <c r="BY170">
        <f>IF(AND('Month-End'!$FK$14&lt;&gt;"",NOT(_xlfn.ISFORMULA('Month-End'!$FK$14))),1,0)</f>
        <v/>
      </c>
      <c r="BZ170">
        <f>IF(AND('Month-End'!$FK$15&lt;&gt;"",NOT(_xlfn.ISFORMULA('Month-End'!$FK$15))),1,0)</f>
        <v/>
      </c>
      <c r="CA170">
        <f>IF(AND('Month-End'!$FK$16&lt;&gt;"",NOT(_xlfn.ISFORMULA('Month-End'!$FK$16))),1,0)</f>
        <v/>
      </c>
      <c r="CB170">
        <f>IF(AND('Month-End'!$FK$17&lt;&gt;"",NOT(_xlfn.ISFORMULA('Month-End'!$FK$17))),1,0)</f>
        <v/>
      </c>
      <c r="CC170">
        <f>IF(AND('Month-End'!$FK$18&lt;&gt;"",NOT(_xlfn.ISFORMULA('Month-End'!$FK$18))),1,0)</f>
        <v/>
      </c>
      <c r="CD170">
        <f>IF(AND('Month-End'!$FK$19&lt;&gt;"",NOT(_xlfn.ISFORMULA('Month-End'!$FK$19))),1,0)</f>
        <v/>
      </c>
      <c r="CE170">
        <f>IF(AND('Month-End'!$FK$20&lt;&gt;"",NOT(_xlfn.ISFORMULA('Month-End'!$FK$20))),1,0)</f>
        <v/>
      </c>
      <c r="CF170">
        <f>IF(AND('Month-End'!$FK$38&lt;&gt;"",NOT(_xlfn.ISFORMULA('Month-End'!$FK$38))),1,0)</f>
        <v/>
      </c>
      <c r="CG170">
        <f>IF(AND('Month-End'!$FK$39&lt;&gt;"",NOT(_xlfn.ISFORMULA('Month-End'!$FK$39))),1,0)</f>
        <v/>
      </c>
      <c r="CH170">
        <f>IF(AND('Month-End'!$FK$40&lt;&gt;"",NOT(_xlfn.ISFORMULA('Month-End'!$FK$40))),1,0)</f>
        <v/>
      </c>
      <c r="CI170">
        <f>IF(AND('Month-End'!$FK$41&lt;&gt;"",NOT(_xlfn.ISFORMULA('Month-End'!$FK$41))),1,0)</f>
        <v/>
      </c>
      <c r="CJ170">
        <f>IF(AND('Month-End'!$FK$42&lt;&gt;"",NOT(_xlfn.ISFORMULA('Month-End'!$FK$42))),1,0)</f>
        <v/>
      </c>
      <c r="CK170">
        <f>IF(AND('Month-End'!$FK$43&lt;&gt;"",NOT(_xlfn.ISFORMULA('Month-End'!$FK$43))),1,0)</f>
        <v/>
      </c>
      <c r="CL170">
        <f>SUM($CM170:$CZ170)</f>
        <v/>
      </c>
      <c r="CM170">
        <f>IF(AND($E170&lt;&gt;"pre",AND(Settings!$A$19&lt;&gt;"",Settings!$E$19&lt;&gt;"No"),Settings!$F$19="Yes",NOT(AND('Month-End'!$FK$7&lt;&gt;"",NOT(_xlfn.ISFORMULA('Month-End'!$FK$7))))),1,0)</f>
        <v/>
      </c>
      <c r="CN170">
        <f>IF(AND($E170&lt;&gt;"pre",AND(Settings!$A$20&lt;&gt;"",Settings!$E$20&lt;&gt;"No"),Settings!$F$20="Yes",NOT(AND('Month-End'!$FK$8&lt;&gt;"",NOT(_xlfn.ISFORMULA('Month-End'!$FK$8))))),1,0)</f>
        <v/>
      </c>
      <c r="CO170">
        <f>IF(AND($E170&lt;&gt;"pre",AND(Settings!$A$21&lt;&gt;"",Settings!$E$21&lt;&gt;"No"),Settings!$F$21="Yes",NOT(AND('Month-End'!$FK$9&lt;&gt;"",NOT(_xlfn.ISFORMULA('Month-End'!$FK$9))))),1,0)</f>
        <v/>
      </c>
      <c r="CP170">
        <f>IF(AND($E170&lt;&gt;"pre",AND(Settings!$A$22&lt;&gt;"",Settings!$E$22&lt;&gt;"No"),Settings!$F$22="Yes",NOT(AND('Month-End'!$FK$10&lt;&gt;"",NOT(_xlfn.ISFORMULA('Month-End'!$FK$10))))),1,0)</f>
        <v/>
      </c>
      <c r="CQ170">
        <f>IF(AND($E170&lt;&gt;"pre",AND(Settings!$A$23&lt;&gt;"",Settings!$E$23&lt;&gt;"No"),Settings!$F$23="Yes",NOT(AND('Month-End'!$FK$11&lt;&gt;"",NOT(_xlfn.ISFORMULA('Month-End'!$FK$11))))),1,0)</f>
        <v/>
      </c>
      <c r="CR170">
        <f>IF(AND($E170&lt;&gt;"pre",AND(Settings!$A$24&lt;&gt;"",Settings!$E$24&lt;&gt;"No"),Settings!$F$24="Yes",NOT(AND('Month-End'!$FK$12&lt;&gt;"",NOT(_xlfn.ISFORMULA('Month-End'!$FK$12))))),1,0)</f>
        <v/>
      </c>
      <c r="CS170">
        <f>IF(AND($E170&lt;&gt;"pre",AND(Settings!$A$25&lt;&gt;"",Settings!$E$25&lt;&gt;"No"),Settings!$F$25="Yes",NOT(AND('Month-End'!$FK$13&lt;&gt;"",NOT(_xlfn.ISFORMULA('Month-End'!$FK$13))))),1,0)</f>
        <v/>
      </c>
      <c r="CT170">
        <f>IF(AND($E170&lt;&gt;"pre",AND(Settings!$A$26&lt;&gt;"",Settings!$E$26&lt;&gt;"No"),Settings!$F$26="Yes",NOT(AND('Month-End'!$FK$14&lt;&gt;"",NOT(_xlfn.ISFORMULA('Month-End'!$FK$14))))),1,0)</f>
        <v/>
      </c>
      <c r="CU170">
        <f>IF(AND($E170&lt;&gt;"pre",AND(Settings!$A$27&lt;&gt;"",Settings!$E$27&lt;&gt;"No"),Settings!$F$27="Yes",NOT(AND('Month-End'!$FK$15&lt;&gt;"",NOT(_xlfn.ISFORMULA('Month-End'!$FK$15))))),1,0)</f>
        <v/>
      </c>
      <c r="CV170">
        <f>IF(AND($E170&lt;&gt;"pre",AND(Settings!$A$28&lt;&gt;"",Settings!$E$28&lt;&gt;"No"),Settings!$F$28="Yes",NOT(AND('Month-End'!$FK$16&lt;&gt;"",NOT(_xlfn.ISFORMULA('Month-End'!$FK$16))))),1,0)</f>
        <v/>
      </c>
      <c r="CW170">
        <f>IF(AND($E170&lt;&gt;"pre",AND(Settings!$A$29&lt;&gt;"",Settings!$E$29&lt;&gt;"No"),Settings!$F$29="Yes",NOT(AND('Month-End'!$FK$17&lt;&gt;"",NOT(_xlfn.ISFORMULA('Month-End'!$FK$17))))),1,0)</f>
        <v/>
      </c>
      <c r="CX170">
        <f>IF(AND($E170&lt;&gt;"pre",AND(Settings!$A$30&lt;&gt;"",Settings!$E$30&lt;&gt;"No"),Settings!$F$30="Yes",NOT(AND('Month-End'!$FK$18&lt;&gt;"",NOT(_xlfn.ISFORMULA('Month-End'!$FK$18))))),1,0)</f>
        <v/>
      </c>
      <c r="CY170">
        <f>IF(AND($E170&lt;&gt;"pre",AND(Settings!$A$31&lt;&gt;"",Settings!$E$31&lt;&gt;"No"),Settings!$F$31="Yes",NOT(AND('Month-End'!$FK$19&lt;&gt;"",NOT(_xlfn.ISFORMULA('Month-End'!$FK$19))))),1,0)</f>
        <v/>
      </c>
      <c r="CZ170">
        <f>IF(AND($E170&lt;&gt;"pre",AND(Settings!$A$32&lt;&gt;"",Settings!$E$32&lt;&gt;"No"),Settings!$F$32="Yes",NOT(AND('Month-End'!$FK$20&lt;&gt;"",NOT(_xlfn.ISFORMULA('Month-End'!$FK$20))))),1,0)</f>
        <v/>
      </c>
      <c r="DA170">
        <f>IF($DT170=1,IF(OR(Settings!$B$19="Checking",Settings!$B$19="Savings",Settings!$B$19="Cash"),N($AE170),IF(OR(Settings!$B$19="Card",Settings!$B$19="Loan"),-N($AE170),0))+IF(OR(Settings!$B$20="Checking",Settings!$B$20="Savings",Settings!$B$20="Cash"),N($AF170),IF(OR(Settings!$B$20="Card",Settings!$B$20="Loan"),-N($AF170),0))+IF(OR(Settings!$B$21="Checking",Settings!$B$21="Savings",Settings!$B$21="Cash"),N($AG170),IF(OR(Settings!$B$21="Card",Settings!$B$21="Loan"),-N($AG170),0))+IF(OR(Settings!$B$22="Checking",Settings!$B$22="Savings",Settings!$B$22="Cash"),N($AH170),IF(OR(Settings!$B$22="Card",Settings!$B$22="Loan"),-N($AH170),0))+IF(OR(Settings!$B$23="Checking",Settings!$B$23="Savings",Settings!$B$23="Cash"),N($AI170),IF(OR(Settings!$B$23="Card",Settings!$B$23="Loan"),-N($AI170),0))+IF(OR(Settings!$B$24="Checking",Settings!$B$24="Savings",Settings!$B$24="Cash"),N($AJ170),IF(OR(Settings!$B$24="Card",Settings!$B$24="Loan"),-N($AJ170),0))+IF(OR(Settings!$B$25="Checking",Settings!$B$25="Savings",Settings!$B$25="Cash"),N($AK170),IF(OR(Settings!$B$25="Card",Settings!$B$25="Loan"),-N($AK170),0))+IF(OR(Settings!$B$26="Checking",Settings!$B$26="Savings",Settings!$B$26="Cash"),N($AL170),IF(OR(Settings!$B$26="Card",Settings!$B$26="Loan"),-N($AL170),0))+IF(OR(Settings!$B$27="Checking",Settings!$B$27="Savings",Settings!$B$27="Cash"),N($AM170),IF(OR(Settings!$B$27="Card",Settings!$B$27="Loan"),-N($AM170),0))+IF(OR(Settings!$B$28="Checking",Settings!$B$28="Savings",Settings!$B$28="Cash"),N($AN170),IF(OR(Settings!$B$28="Card",Settings!$B$28="Loan"),-N($AN170),0))+IF(OR(Settings!$B$29="Checking",Settings!$B$29="Savings",Settings!$B$29="Cash"),N($AO170),IF(OR(Settings!$B$29="Card",Settings!$B$29="Loan"),-N($AO170),0))+IF(OR(Settings!$B$30="Checking",Settings!$B$30="Savings",Settings!$B$30="Cash"),N($AP170),IF(OR(Settings!$B$30="Card",Settings!$B$30="Loan"),-N($AP170),0))+IF(OR(Settings!$B$31="Checking",Settings!$B$31="Savings",Settings!$B$31="Cash"),N($AQ170),IF(OR(Settings!$B$31="Card",Settings!$B$31="Loan"),-N($AQ170),0))+IF(OR(Settings!$B$32="Checking",Settings!$B$32="Savings",Settings!$B$32="Cash"),N($AR170),IF(OR(Settings!$B$32="Card",Settings!$B$32="Loan"),-N($AR170),0)),"")</f>
        <v/>
      </c>
      <c r="DB170">
        <f>IF($E170="open",$EB$27,IF($E170="post",IF($E169="pre",$EB$27,$DA169),""))</f>
        <v/>
      </c>
      <c r="DC170">
        <f>IF($E170="open",1,IF($E170="post",IF($E169="pre",1,$DT169),0))</f>
        <v/>
      </c>
      <c r="DD170">
        <f>IF(AND($DT170=1,$DC170=1),ROUND($W170-($DA170-$DB170)-$AD170-$AB170,2),"")</f>
        <v/>
      </c>
      <c r="DE170">
        <f>IF('Month-End'!$FK$35="",$BQ170,N('Month-End'!$FK$35))</f>
        <v/>
      </c>
      <c r="DF170">
        <f>N('Month-End'!$FK$36)</f>
        <v/>
      </c>
      <c r="DG170">
        <f>IF($DD170="","",$DD170+$DE170)</f>
        <v/>
      </c>
      <c r="DH170">
        <f>IF($DG170="","",$DG170-$DF170)</f>
        <v/>
      </c>
      <c r="DI170">
        <f>IF(OR($E170="pre",$D170=1),"",N($AS170)+N($AT170)+N($AU170)+N($AV170)+N($AW170)+N($AX170))</f>
        <v/>
      </c>
      <c r="DJ170">
        <f>IF($DT170=1,$DA170+N($DI170),"")</f>
        <v/>
      </c>
      <c r="DK170">
        <f>IF($DD170="","",$W170-$DD170-$AB170)</f>
        <v/>
      </c>
      <c r="DL170">
        <f>IF(AND($E170="post",$DD170&lt;&gt;"",$B170&lt;TODAY()),1,0)</f>
        <v/>
      </c>
      <c r="DM170">
        <f>IF($DL170=1,COUNTIF($DL170:$DL$183,1),0)</f>
        <v/>
      </c>
      <c r="DN170">
        <f>IF($D170=1,"",IF($E170="pre","History only",IF($DT170=1,IF($DD170="","⚠ Previous month missing",IF($DD170&lt;0,"⚠ Check: spending &lt; 0",IF($E170="open","✓ Done (partial)","✓ Done"))),IF($B170&gt;=TODAY(),"In progress","⚠ Needs balances"))))</f>
        <v/>
      </c>
      <c r="DO170">
        <f>YEAR($A170)</f>
        <v/>
      </c>
      <c r="DP170">
        <f>DATE(YEAR($A170),INT((MONTH($A170)-1)/3)*3+1,1)</f>
        <v/>
      </c>
      <c r="DQ170">
        <f>IF(AND($DT170=1,$DD170&lt;&gt;"",$D170=0),ROW(),0)</f>
        <v/>
      </c>
      <c r="DR170">
        <f>IF(AND($E170&lt;&gt;"pre",$B170&lt;TODAY(),$DT170=0),1,0)</f>
        <v/>
      </c>
      <c r="DS170">
        <f>IF($DJ170="",NA(),$DJ170)</f>
        <v/>
      </c>
      <c r="DT170">
        <f>IF(AND($E170&lt;&gt;"pre",$CL170=0,COUNTIFS(Settings!$F$19:$F$32,"Yes",Settings!$A$19:$A$32,"&lt;&gt;",Settings!$E$19:$E$32,"&lt;&gt;No")&gt;0),1,0)</f>
        <v/>
      </c>
      <c r="DU170">
        <f>IF(AND($B170&lt;TODAY(),$S170&gt;0),1,0)</f>
        <v/>
      </c>
      <c r="DV170">
        <f>IF($DU170=1,COUNTIF($DU170:$DU$183,1),0)</f>
        <v/>
      </c>
      <c r="DW170">
        <f>IF(AND(OR(Settings!$B$19="Card",Settings!$B$19="Loan"),AND('Month-End'!$FK$7&lt;&gt;"",NOT(_xlfn.ISFORMULA('Month-End'!$FK$7)))),IF(N('Month-End'!$FK$7)&lt;0,1,0),0)+IF(AND(OR(Settings!$B$20="Card",Settings!$B$20="Loan"),AND('Month-End'!$FK$8&lt;&gt;"",NOT(_xlfn.ISFORMULA('Month-End'!$FK$8)))),IF(N('Month-End'!$FK$8)&lt;0,1,0),0)+IF(AND(OR(Settings!$B$21="Card",Settings!$B$21="Loan"),AND('Month-End'!$FK$9&lt;&gt;"",NOT(_xlfn.ISFORMULA('Month-End'!$FK$9)))),IF(N('Month-End'!$FK$9)&lt;0,1,0),0)+IF(AND(OR(Settings!$B$22="Card",Settings!$B$22="Loan"),AND('Month-End'!$FK$10&lt;&gt;"",NOT(_xlfn.ISFORMULA('Month-End'!$FK$10)))),IF(N('Month-End'!$FK$10)&lt;0,1,0),0)+IF(AND(OR(Settings!$B$23="Card",Settings!$B$23="Loan"),AND('Month-End'!$FK$11&lt;&gt;"",NOT(_xlfn.ISFORMULA('Month-End'!$FK$11)))),IF(N('Month-End'!$FK$11)&lt;0,1,0),0)+IF(AND(OR(Settings!$B$24="Card",Settings!$B$24="Loan"),AND('Month-End'!$FK$12&lt;&gt;"",NOT(_xlfn.ISFORMULA('Month-End'!$FK$12)))),IF(N('Month-End'!$FK$12)&lt;0,1,0),0)+IF(AND(OR(Settings!$B$25="Card",Settings!$B$25="Loan"),AND('Month-End'!$FK$13&lt;&gt;"",NOT(_xlfn.ISFORMULA('Month-End'!$FK$13)))),IF(N('Month-End'!$FK$13)&lt;0,1,0),0)+IF(AND(OR(Settings!$B$26="Card",Settings!$B$26="Loan"),AND('Month-End'!$FK$14&lt;&gt;"",NOT(_xlfn.ISFORMULA('Month-End'!$FK$14)))),IF(N('Month-End'!$FK$14)&lt;0,1,0),0)+IF(AND(OR(Settings!$B$27="Card",Settings!$B$27="Loan"),AND('Month-End'!$FK$15&lt;&gt;"",NOT(_xlfn.ISFORMULA('Month-End'!$FK$15)))),IF(N('Month-End'!$FK$15)&lt;0,1,0),0)+IF(AND(OR(Settings!$B$28="Card",Settings!$B$28="Loan"),AND('Month-End'!$FK$16&lt;&gt;"",NOT(_xlfn.ISFORMULA('Month-End'!$FK$16)))),IF(N('Month-End'!$FK$16)&lt;0,1,0),0)+IF(AND(OR(Settings!$B$29="Card",Settings!$B$29="Loan"),AND('Month-End'!$FK$17&lt;&gt;"",NOT(_xlfn.ISFORMULA('Month-End'!$FK$17)))),IF(N('Month-End'!$FK$17)&lt;0,1,0),0)+IF(AND(OR(Settings!$B$30="Card",Settings!$B$30="Loan"),AND('Month-End'!$FK$18&lt;&gt;"",NOT(_xlfn.ISFORMULA('Month-End'!$FK$18)))),IF(N('Month-End'!$FK$18)&lt;0,1,0),0)+IF(AND(OR(Settings!$B$31="Card",Settings!$B$31="Loan"),AND('Month-End'!$FK$19&lt;&gt;"",NOT(_xlfn.ISFORMULA('Month-End'!$FK$19)))),IF(N('Month-End'!$FK$19)&lt;0,1,0),0)+IF(AND(OR(Settings!$B$32="Card",Settings!$B$32="Loan"),AND('Month-End'!$FK$20&lt;&gt;"",NOT(_xlfn.ISFORMULA('Month-End'!$FK$20)))),IF(N('Month-End'!$FK$20)&lt;0,1,0),0)</f>
        <v/>
      </c>
      <c r="DX170">
        <f>IF(Settings!$B$36="Retirement",$AY170,0)+IF(Settings!$B$37="Retirement",$AZ170,0)+IF(Settings!$B$38="Retirement",$BA170,0)+IF(Settings!$B$39="Retirement",$BB170,0)+IF(Settings!$B$40="Retirement",$BC170,0)+IF(Settings!$B$41="Retirement",$BD170,0)</f>
        <v/>
      </c>
      <c r="ET170">
        <f>IF($E170&lt;&gt;"open",0,IF(AND('Month-End'!$FK$22&lt;&gt;"",NOT(_xlfn.ISFORMULA('Month-End'!$FK$22))),0,IF(OR(Settings!$C$45="",Settings!$D$45=""),0,Settings!$C$45*IF(Settings!$D$45="Weekly",IF(IFERROR(MATCH(Settings!$E$45,$EO$4:$EO$10,0),0)=0,0,IF(MIN(Settings!$B$5,IF(Settings!$G$45="",Settings!$B$5,Settings!$G$45))&lt;MAX($A170,Settings!$F$45),0,INT((MIN(Settings!$B$5,IF(Settings!$G$45="",Settings!$B$5,Settings!$G$45))-MAX($A170,Settings!$F$45)-MOD(IFERROR(MATCH(Settings!$E$45,$EO$4:$EO$10,0),0)-WEEKDAY(MAX($A170,Settings!$F$45)),7))/7)+1)),IF(AND(IF(Settings!$E$45="",$B170,DATE(YEAR($A170),MONTH($A170),MIN(Settings!$E$45,DAY($B170))))&gt;=MAX($A170,Settings!$F$45),IF(Settings!$E$45="",$B170,DATE(YEAR($A170),MONTH($A170),MIN(Settings!$E$45,DAY($B170))))&lt;=MIN(Settings!$B$5,IF(Settings!$G$45="",Settings!$B$5,Settings!$G$45))),1,0)))))</f>
        <v/>
      </c>
      <c r="EU170">
        <f>IF($E170&lt;&gt;"open",0,IF(AND('Month-End'!$FK$23&lt;&gt;"",NOT(_xlfn.ISFORMULA('Month-End'!$FK$23))),0,IF(OR(Settings!$C$46="",Settings!$D$46=""),0,Settings!$C$46*IF(Settings!$D$46="Weekly",IF(IFERROR(MATCH(Settings!$E$46,$EO$4:$EO$10,0),0)=0,0,IF(MIN(Settings!$B$5,IF(Settings!$G$46="",Settings!$B$5,Settings!$G$46))&lt;MAX($A170,Settings!$F$46),0,INT((MIN(Settings!$B$5,IF(Settings!$G$46="",Settings!$B$5,Settings!$G$46))-MAX($A170,Settings!$F$46)-MOD(IFERROR(MATCH(Settings!$E$46,$EO$4:$EO$10,0),0)-WEEKDAY(MAX($A170,Settings!$F$46)),7))/7)+1)),IF(AND(IF(Settings!$E$46="",$B170,DATE(YEAR($A170),MONTH($A170),MIN(Settings!$E$46,DAY($B170))))&gt;=MAX($A170,Settings!$F$46),IF(Settings!$E$46="",$B170,DATE(YEAR($A170),MONTH($A170),MIN(Settings!$E$46,DAY($B170))))&lt;=MIN(Settings!$B$5,IF(Settings!$G$46="",Settings!$B$5,Settings!$G$46))),1,0)))))</f>
        <v/>
      </c>
      <c r="EV170">
        <f>IF($E170&lt;&gt;"open",0,IF(AND('Month-End'!$FK$24&lt;&gt;"",NOT(_xlfn.ISFORMULA('Month-End'!$FK$24))),0,IF(OR(Settings!$C$47="",Settings!$D$47=""),0,Settings!$C$47*IF(Settings!$D$47="Weekly",IF(IFERROR(MATCH(Settings!$E$47,$EO$4:$EO$10,0),0)=0,0,IF(MIN(Settings!$B$5,IF(Settings!$G$47="",Settings!$B$5,Settings!$G$47))&lt;MAX($A170,Settings!$F$47),0,INT((MIN(Settings!$B$5,IF(Settings!$G$47="",Settings!$B$5,Settings!$G$47))-MAX($A170,Settings!$F$47)-MOD(IFERROR(MATCH(Settings!$E$47,$EO$4:$EO$10,0),0)-WEEKDAY(MAX($A170,Settings!$F$47)),7))/7)+1)),IF(AND(IF(Settings!$E$47="",$B170,DATE(YEAR($A170),MONTH($A170),MIN(Settings!$E$47,DAY($B170))))&gt;=MAX($A170,Settings!$F$47),IF(Settings!$E$47="",$B170,DATE(YEAR($A170),MONTH($A170),MIN(Settings!$E$47,DAY($B170))))&lt;=MIN(Settings!$B$5,IF(Settings!$G$47="",Settings!$B$5,Settings!$G$47))),1,0)))))</f>
        <v/>
      </c>
      <c r="EW170">
        <f>IF($E170&lt;&gt;"open",0,IF(AND('Month-End'!$FK$25&lt;&gt;"",NOT(_xlfn.ISFORMULA('Month-End'!$FK$25))),0,IF(OR(Settings!$C$48="",Settings!$D$48=""),0,Settings!$C$48*IF(Settings!$D$48="Weekly",IF(IFERROR(MATCH(Settings!$E$48,$EO$4:$EO$10,0),0)=0,0,IF(MIN(Settings!$B$5,IF(Settings!$G$48="",Settings!$B$5,Settings!$G$48))&lt;MAX($A170,Settings!$F$48),0,INT((MIN(Settings!$B$5,IF(Settings!$G$48="",Settings!$B$5,Settings!$G$48))-MAX($A170,Settings!$F$48)-MOD(IFERROR(MATCH(Settings!$E$48,$EO$4:$EO$10,0),0)-WEEKDAY(MAX($A170,Settings!$F$48)),7))/7)+1)),IF(AND(IF(Settings!$E$48="",$B170,DATE(YEAR($A170),MONTH($A170),MIN(Settings!$E$48,DAY($B170))))&gt;=MAX($A170,Settings!$F$48),IF(Settings!$E$48="",$B170,DATE(YEAR($A170),MONTH($A170),MIN(Settings!$E$48,DAY($B170))))&lt;=MIN(Settings!$B$5,IF(Settings!$G$48="",Settings!$B$5,Settings!$G$48))),1,0)))))</f>
        <v/>
      </c>
      <c r="EX170">
        <f>IF($E170&lt;&gt;"open",0,IF(AND('Month-End'!$FK$26&lt;&gt;"",NOT(_xlfn.ISFORMULA('Month-End'!$FK$26))),0,IF(OR(Settings!$C$49="",Settings!$D$49=""),0,Settings!$C$49*IF(Settings!$D$49="Weekly",IF(IFERROR(MATCH(Settings!$E$49,$EO$4:$EO$10,0),0)=0,0,IF(MIN(Settings!$B$5,IF(Settings!$G$49="",Settings!$B$5,Settings!$G$49))&lt;MAX($A170,Settings!$F$49),0,INT((MIN(Settings!$B$5,IF(Settings!$G$49="",Settings!$B$5,Settings!$G$49))-MAX($A170,Settings!$F$49)-MOD(IFERROR(MATCH(Settings!$E$49,$EO$4:$EO$10,0),0)-WEEKDAY(MAX($A170,Settings!$F$49)),7))/7)+1)),IF(AND(IF(Settings!$E$49="",$B170,DATE(YEAR($A170),MONTH($A170),MIN(Settings!$E$49,DAY($B170))))&gt;=MAX($A170,Settings!$F$49),IF(Settings!$E$49="",$B170,DATE(YEAR($A170),MONTH($A170),MIN(Settings!$E$49,DAY($B170))))&lt;=MIN(Settings!$B$5,IF(Settings!$G$49="",Settings!$B$5,Settings!$G$49))),1,0)))))</f>
        <v/>
      </c>
      <c r="EY170">
        <f>IF($E170&lt;&gt;"open",0,IF(AND('Month-End'!$FK$27&lt;&gt;"",NOT(_xlfn.ISFORMULA('Month-End'!$FK$27))),0,IF(OR(Settings!$C$50="",Settings!$D$50=""),0,Settings!$C$50*IF(Settings!$D$50="Weekly",IF(IFERROR(MATCH(Settings!$E$50,$EO$4:$EO$10,0),0)=0,0,IF(MIN(Settings!$B$5,IF(Settings!$G$50="",Settings!$B$5,Settings!$G$50))&lt;MAX($A170,Settings!$F$50),0,INT((MIN(Settings!$B$5,IF(Settings!$G$50="",Settings!$B$5,Settings!$G$50))-MAX($A170,Settings!$F$50)-MOD(IFERROR(MATCH(Settings!$E$50,$EO$4:$EO$10,0),0)-WEEKDAY(MAX($A170,Settings!$F$50)),7))/7)+1)),IF(AND(IF(Settings!$E$50="",$B170,DATE(YEAR($A170),MONTH($A170),MIN(Settings!$E$50,DAY($B170))))&gt;=MAX($A170,Settings!$F$50),IF(Settings!$E$50="",$B170,DATE(YEAR($A170),MONTH($A170),MIN(Settings!$E$50,DAY($B170))))&lt;=MIN(Settings!$B$5,IF(Settings!$G$50="",Settings!$B$5,Settings!$G$50))),1,0)))))</f>
        <v/>
      </c>
      <c r="EZ170">
        <f>IF($E170&lt;&gt;"open",0,IF(AND('Month-End'!$FK$28&lt;&gt;"",NOT(_xlfn.ISFORMULA('Month-End'!$FK$28))),0,IF(OR(Settings!$C$51="",Settings!$D$51=""),0,Settings!$C$51*IF(Settings!$D$51="Weekly",IF(IFERROR(MATCH(Settings!$E$51,$EO$4:$EO$10,0),0)=0,0,IF(MIN(Settings!$B$5,IF(Settings!$G$51="",Settings!$B$5,Settings!$G$51))&lt;MAX($A170,Settings!$F$51),0,INT((MIN(Settings!$B$5,IF(Settings!$G$51="",Settings!$B$5,Settings!$G$51))-MAX($A170,Settings!$F$51)-MOD(IFERROR(MATCH(Settings!$E$51,$EO$4:$EO$10,0),0)-WEEKDAY(MAX($A170,Settings!$F$51)),7))/7)+1)),IF(AND(IF(Settings!$E$51="",$B170,DATE(YEAR($A170),MONTH($A170),MIN(Settings!$E$51,DAY($B170))))&gt;=MAX($A170,Settings!$F$51),IF(Settings!$E$51="",$B170,DATE(YEAR($A170),MONTH($A170),MIN(Settings!$E$51,DAY($B170))))&lt;=MIN(Settings!$B$5,IF(Settings!$G$51="",Settings!$B$5,Settings!$G$51))),1,0)))))</f>
        <v/>
      </c>
      <c r="FA170">
        <f>IF($E170&lt;&gt;"open",0,IF(AND('Month-End'!$FK$29&lt;&gt;"",NOT(_xlfn.ISFORMULA('Month-End'!$FK$29))),0,IF(OR(Settings!$C$52="",Settings!$D$52=""),0,Settings!$C$52*IF(Settings!$D$52="Weekly",IF(IFERROR(MATCH(Settings!$E$52,$EO$4:$EO$10,0),0)=0,0,IF(MIN(Settings!$B$5,IF(Settings!$G$52="",Settings!$B$5,Settings!$G$52))&lt;MAX($A170,Settings!$F$52),0,INT((MIN(Settings!$B$5,IF(Settings!$G$52="",Settings!$B$5,Settings!$G$52))-MAX($A170,Settings!$F$52)-MOD(IFERROR(MATCH(Settings!$E$52,$EO$4:$EO$10,0),0)-WEEKDAY(MAX($A170,Settings!$F$52)),7))/7)+1)),IF(AND(IF(Settings!$E$52="",$B170,DATE(YEAR($A170),MONTH($A170),MIN(Settings!$E$52,DAY($B170))))&gt;=MAX($A170,Settings!$F$52),IF(Settings!$E$52="",$B170,DATE(YEAR($A170),MONTH($A170),MIN(Settings!$E$52,DAY($B170))))&lt;=MIN(Settings!$B$5,IF(Settings!$G$52="",Settings!$B$5,Settings!$G$52))),1,0)))))</f>
        <v/>
      </c>
      <c r="FB170">
        <f>IF($E170&lt;&gt;"open",0,IF(AND('Month-End'!$FK$30&lt;&gt;"",NOT(_xlfn.ISFORMULA('Month-End'!$FK$30))),0,IF(OR(Settings!$C$53="",Settings!$D$53=""),0,Settings!$C$53*IF(Settings!$D$53="Weekly",IF(IFERROR(MATCH(Settings!$E$53,$EO$4:$EO$10,0),0)=0,0,IF(MIN(Settings!$B$5,IF(Settings!$G$53="",Settings!$B$5,Settings!$G$53))&lt;MAX($A170,Settings!$F$53),0,INT((MIN(Settings!$B$5,IF(Settings!$G$53="",Settings!$B$5,Settings!$G$53))-MAX($A170,Settings!$F$53)-MOD(IFERROR(MATCH(Settings!$E$53,$EO$4:$EO$10,0),0)-WEEKDAY(MAX($A170,Settings!$F$53)),7))/7)+1)),IF(AND(IF(Settings!$E$53="",$B170,DATE(YEAR($A170),MONTH($A170),MIN(Settings!$E$53,DAY($B170))))&gt;=MAX($A170,Settings!$F$53),IF(Settings!$E$53="",$B170,DATE(YEAR($A170),MONTH($A170),MIN(Settings!$E$53,DAY($B170))))&lt;=MIN(Settings!$B$5,IF(Settings!$G$53="",Settings!$B$5,Settings!$G$53))),1,0)))))</f>
        <v/>
      </c>
      <c r="FC170">
        <f>IF($E170&lt;&gt;"open",0,IF(AND('Month-End'!$FK$31&lt;&gt;"",NOT(_xlfn.ISFORMULA('Month-End'!$FK$31))),0,IF(OR(Settings!$C$54="",Settings!$D$54=""),0,Settings!$C$54*IF(Settings!$D$54="Weekly",IF(IFERROR(MATCH(Settings!$E$54,$EO$4:$EO$10,0),0)=0,0,IF(MIN(Settings!$B$5,IF(Settings!$G$54="",Settings!$B$5,Settings!$G$54))&lt;MAX($A170,Settings!$F$54),0,INT((MIN(Settings!$B$5,IF(Settings!$G$54="",Settings!$B$5,Settings!$G$54))-MAX($A170,Settings!$F$54)-MOD(IFERROR(MATCH(Settings!$E$54,$EO$4:$EO$10,0),0)-WEEKDAY(MAX($A170,Settings!$F$54)),7))/7)+1)),IF(AND(IF(Settings!$E$54="",$B170,DATE(YEAR($A170),MONTH($A170),MIN(Settings!$E$54,DAY($B170))))&gt;=MAX($A170,Settings!$F$54),IF(Settings!$E$54="",$B170,DATE(YEAR($A170),MONTH($A170),MIN(Settings!$E$54,DAY($B170))))&lt;=MIN(Settings!$B$5,IF(Settings!$G$54="",Settings!$B$5,Settings!$G$54))),1,0)))))</f>
        <v/>
      </c>
      <c r="FD170">
        <f>IF($E170&lt;&gt;"open",0,IF(AND('Month-End'!$FK$32&lt;&gt;"",NOT(_xlfn.ISFORMULA('Month-End'!$FK$32))),0,IF(OR(Settings!$C$55="",Settings!$D$55=""),0,Settings!$C$55*IF(Settings!$D$55="Weekly",IF(IFERROR(MATCH(Settings!$E$55,$EO$4:$EO$10,0),0)=0,0,IF(MIN(Settings!$B$5,IF(Settings!$G$55="",Settings!$B$5,Settings!$G$55))&lt;MAX($A170,Settings!$F$55),0,INT((MIN(Settings!$B$5,IF(Settings!$G$55="",Settings!$B$5,Settings!$G$55))-MAX($A170,Settings!$F$55)-MOD(IFERROR(MATCH(Settings!$E$55,$EO$4:$EO$10,0),0)-WEEKDAY(MAX($A170,Settings!$F$55)),7))/7)+1)),IF(AND(IF(Settings!$E$55="",$B170,DATE(YEAR($A170),MONTH($A170),MIN(Settings!$E$55,DAY($B170))))&gt;=MAX($A170,Settings!$F$55),IF(Settings!$E$55="",$B170,DATE(YEAR($A170),MONTH($A170),MIN(Settings!$E$55,DAY($B170))))&lt;=MIN(Settings!$B$5,IF(Settings!$G$55="",Settings!$B$5,Settings!$G$55))),1,0)))))</f>
        <v/>
      </c>
      <c r="FE170">
        <f>IF($E170&lt;&gt;"open",0,IF(AND('Month-End'!$FK$33&lt;&gt;"",NOT(_xlfn.ISFORMULA('Month-End'!$FK$33))),0,IF(OR(Settings!$C$56="",Settings!$D$56=""),0,Settings!$C$56*IF(Settings!$D$56="Weekly",IF(IFERROR(MATCH(Settings!$E$56,$EO$4:$EO$10,0),0)=0,0,IF(MIN(Settings!$B$5,IF(Settings!$G$56="",Settings!$B$5,Settings!$G$56))&lt;MAX($A170,Settings!$F$56),0,INT((MIN(Settings!$B$5,IF(Settings!$G$56="",Settings!$B$5,Settings!$G$56))-MAX($A170,Settings!$F$56)-MOD(IFERROR(MATCH(Settings!$E$56,$EO$4:$EO$10,0),0)-WEEKDAY(MAX($A170,Settings!$F$56)),7))/7)+1)),IF(AND(IF(Settings!$E$56="",$B170,DATE(YEAR($A170),MONTH($A170),MIN(Settings!$E$56,DAY($B170))))&gt;=MAX($A170,Settings!$F$56),IF(Settings!$E$56="",$B170,DATE(YEAR($A170),MONTH($A170),MIN(Settings!$E$56,DAY($B170))))&lt;=MIN(Settings!$B$5,IF(Settings!$G$56="",Settings!$B$5,Settings!$G$56))),1,0)))))</f>
        <v/>
      </c>
      <c r="FF170">
        <f>IF(Settings!$I$45="Yes",$G170,0)+IF(Settings!$I$46="Yes",$H170,0)+IF(Settings!$I$47="Yes",$I170,0)+IF(Settings!$I$48="Yes",$J170,0)+IF(Settings!$I$49="Yes",$K170,0)+IF(Settings!$I$50="Yes",$L170,0)+IF(Settings!$I$51="Yes",$M170,0)+IF(Settings!$I$52="Yes",$N170,0)+IF(Settings!$I$53="Yes",$O170,0)+IF(Settings!$I$54="Yes",$P170,0)+IF(Settings!$I$55="Yes",$Q170,0)+IF(Settings!$I$56="Yes",$R170,0)</f>
        <v/>
      </c>
      <c r="FG170">
        <f>IF(AND(Settings!$I$45="Yes",Settings!$J$45="No"),$G170,0)+IF(AND(Settings!$I$46="Yes",Settings!$J$46="No"),$H170,0)+IF(AND(Settings!$I$47="Yes",Settings!$J$47="No"),$I170,0)+IF(AND(Settings!$I$48="Yes",Settings!$J$48="No"),$J170,0)+IF(AND(Settings!$I$49="Yes",Settings!$J$49="No"),$K170,0)+IF(AND(Settings!$I$50="Yes",Settings!$J$50="No"),$L170,0)+IF(AND(Settings!$I$51="Yes",Settings!$J$51="No"),$M170,0)+IF(AND(Settings!$I$52="Yes",Settings!$J$52="No"),$N170,0)+IF(AND(Settings!$I$53="Yes",Settings!$J$53="No"),$O170,0)+IF(AND(Settings!$I$54="Yes",Settings!$J$54="No"),$P170,0)+IF(AND(Settings!$I$55="Yes",Settings!$J$55="No"),$Q170,0)+IF(AND(Settings!$I$56="Yes",Settings!$J$56="No"),$R170,0)</f>
        <v/>
      </c>
      <c r="FH170">
        <f>SUMIFS(Giving!$B$7:$B$2006,Giving!$A$7:$A$2006,"&gt;="&amp;$A170,Giving!$A$7:$A$2006,"&lt;="&amp;$B170,Giving!$G$7:$G$2006,"Yes")+IF(OR(OR(Settings!$B$60="",Settings!$F$60="No"),Settings!$H$60&lt;&gt;"Yes"),0,Settings!$B$60*IF(AND(IF(Settings!$C$60="",$B170,DATE(YEAR($A170),MONTH($A170),MIN(Settings!$C$60,DAY($B170))))&gt;=MAX($A170,Settings!$D$60),IF(Settings!$C$60="",$B170,DATE(YEAR($A170),MONTH($A170),MIN(Settings!$C$60,DAY($B170))))&lt;=MIN($C170,IF(Settings!$E$60="",$C170,Settings!$E$60))),1,0))+IF(OR(OR(Settings!$B$61="",Settings!$F$61="No"),Settings!$H$61&lt;&gt;"Yes"),0,Settings!$B$61*IF(AND(IF(Settings!$C$61="",$B170,DATE(YEAR($A170),MONTH($A170),MIN(Settings!$C$61,DAY($B170))))&gt;=MAX($A170,Settings!$D$61),IF(Settings!$C$61="",$B170,DATE(YEAR($A170),MONTH($A170),MIN(Settings!$C$61,DAY($B170))))&lt;=MIN($C170,IF(Settings!$E$61="",$C170,Settings!$E$61))),1,0))+IF(OR(OR(Settings!$B$62="",Settings!$F$62="No"),Settings!$H$62&lt;&gt;"Yes"),0,Settings!$B$62*IF(AND(IF(Settings!$C$62="",$B170,DATE(YEAR($A170),MONTH($A170),MIN(Settings!$C$62,DAY($B170))))&gt;=MAX($A170,Settings!$D$62),IF(Settings!$C$62="",$B170,DATE(YEAR($A170),MONTH($A170),MIN(Settings!$C$62,DAY($B170))))&lt;=MIN($C170,IF(Settings!$E$62="",$C170,Settings!$E$62))),1,0))+IF(OR(OR(Settings!$B$63="",Settings!$F$63="No"),Settings!$H$63&lt;&gt;"Yes"),0,Settings!$B$63*IF(AND(IF(Settings!$C$63="",$B170,DATE(YEAR($A170),MONTH($A170),MIN(Settings!$C$63,DAY($B170))))&gt;=MAX($A170,Settings!$D$63),IF(Settings!$C$63="",$B170,DATE(YEAR($A170),MONTH($A170),MIN(Settings!$C$63,DAY($B170))))&lt;=MIN($C170,IF(Settings!$E$63="",$C170,Settings!$E$63))),1,0))+IF(OR(OR(Settings!$B$64="",Settings!$F$64="No"),Settings!$H$64&lt;&gt;"Yes"),0,Settings!$B$64*IF(AND(IF(Settings!$C$64="",$B170,DATE(YEAR($A170),MONTH($A170),MIN(Settings!$C$64,DAY($B170))))&gt;=MAX($A170,Settings!$D$64),IF(Settings!$C$64="",$B170,DATE(YEAR($A170),MONTH($A170),MIN(Settings!$C$64,DAY($B170))))&lt;=MIN($C170,IF(Settings!$E$64="",$C170,Settings!$E$64))),1,0))+IF(OR(OR(Settings!$B$65="",Settings!$F$65="No"),Settings!$H$65&lt;&gt;"Yes"),0,Settings!$B$65*IF(AND(IF(Settings!$C$65="",$B170,DATE(YEAR($A170),MONTH($A170),MIN(Settings!$C$65,DAY($B170))))&gt;=MAX($A170,Settings!$D$65),IF(Settings!$C$65="",$B170,DATE(YEAR($A170),MONTH($A170),MIN(Settings!$C$65,DAY($B170))))&lt;=MIN($C170,IF(Settings!$E$65="",$C170,Settings!$E$65))),1,0))</f>
        <v/>
      </c>
      <c r="FI170">
        <f>IF($DT170=1,IF(OR(Settings!$B$19="Card",Settings!$B$19="Loan"),N($AE170),0)+IF(OR(Settings!$B$20="Card",Settings!$B$20="Loan"),N($AF170),0)+IF(OR(Settings!$B$21="Card",Settings!$B$21="Loan"),N($AG170),0)+IF(OR(Settings!$B$22="Card",Settings!$B$22="Loan"),N($AH170),0)+IF(OR(Settings!$B$23="Card",Settings!$B$23="Loan"),N($AI170),0)+IF(OR(Settings!$B$24="Card",Settings!$B$24="Loan"),N($AJ170),0)+IF(OR(Settings!$B$25="Card",Settings!$B$25="Loan"),N($AK170),0)+IF(OR(Settings!$B$26="Card",Settings!$B$26="Loan"),N($AL170),0)+IF(OR(Settings!$B$27="Card",Settings!$B$27="Loan"),N($AM170),0)+IF(OR(Settings!$B$28="Card",Settings!$B$28="Loan"),N($AN170),0)+IF(OR(Settings!$B$29="Card",Settings!$B$29="Loan"),N($AO170),0)+IF(OR(Settings!$B$30="Card",Settings!$B$30="Loan"),N($AP170),0)+IF(OR(Settings!$B$31="Card",Settings!$B$31="Loan"),N($AQ170),0)+IF(OR(Settings!$B$32="Card",Settings!$B$32="Loan"),N($AR170),0),"")</f>
        <v/>
      </c>
      <c r="FJ170">
        <f>IF($E170="open",$EB$65,IF($E170="post",IF($E169="pre",$EB$65,$FI169),""))</f>
        <v/>
      </c>
      <c r="FK170">
        <f>IF(AND($DT170=1,$DC170=1),IF(ROUND($FI170-$FJ170,2)&gt;0,1,0),0)</f>
        <v/>
      </c>
      <c r="FL170">
        <f>IF($FK170=1,$FL169+1,0)</f>
        <v/>
      </c>
    </row>
    <row r="171">
      <c r="A171">
        <f>'Month-End'!$FL$4</f>
        <v/>
      </c>
      <c r="B171">
        <f>EOMONTH($A171,0)</f>
        <v/>
      </c>
      <c r="C171">
        <f>MIN($B171,TODAY())</f>
        <v/>
      </c>
      <c r="D171">
        <f>IF($A171&gt;TODAY(),1,0)</f>
        <v/>
      </c>
      <c r="E171">
        <f>IF($B171&lt;=Settings!$B$5,"pre",IF($A171&lt;=Settings!$B$5,"open","post"))</f>
        <v/>
      </c>
      <c r="G171">
        <f>IF('Month-End'!$FL$22="",$BE171,N('Month-End'!$FL$22))</f>
        <v/>
      </c>
      <c r="H171">
        <f>IF('Month-End'!$FL$23="",$BF171,N('Month-End'!$FL$23))</f>
        <v/>
      </c>
      <c r="I171">
        <f>IF('Month-End'!$FL$24="",$BG171,N('Month-End'!$FL$24))</f>
        <v/>
      </c>
      <c r="J171">
        <f>IF('Month-End'!$FL$25="",$BH171,N('Month-End'!$FL$25))</f>
        <v/>
      </c>
      <c r="K171">
        <f>IF('Month-End'!$FL$26="",$BI171,N('Month-End'!$FL$26))</f>
        <v/>
      </c>
      <c r="L171">
        <f>IF('Month-End'!$FL$27="",$BJ171,N('Month-End'!$FL$27))</f>
        <v/>
      </c>
      <c r="M171">
        <f>IF('Month-End'!$FL$28="",$BK171,N('Month-End'!$FL$28))</f>
        <v/>
      </c>
      <c r="N171">
        <f>IF('Month-End'!$FL$29="",$BL171,N('Month-End'!$FL$29))</f>
        <v/>
      </c>
      <c r="O171">
        <f>IF('Month-End'!$FL$30="",$BM171,N('Month-End'!$FL$30))</f>
        <v/>
      </c>
      <c r="P171">
        <f>IF('Month-End'!$FL$31="",$BN171,N('Month-End'!$FL$31))</f>
        <v/>
      </c>
      <c r="Q171">
        <f>IF('Month-End'!$FL$32="",$BO171,N('Month-End'!$FL$32))</f>
        <v/>
      </c>
      <c r="R171">
        <f>IF('Month-End'!$FL$33="",$BP171,N('Month-End'!$FL$33))</f>
        <v/>
      </c>
      <c r="S171">
        <f>$G171+$H171+$I171+$J171+$K171+$L171+$M171+$N171+$O171+$P171+$Q171+$R171</f>
        <v/>
      </c>
      <c r="T171">
        <f>IF($B171&lt;Settings!$B$6,0,IF(Settings!$B$45="Yes",$G171,0)+IF(Settings!$B$46="Yes",$H171,0)+IF(Settings!$B$47="Yes",$I171,0)+IF(Settings!$B$48="Yes",$J171,0)+IF(Settings!$B$49="Yes",$K171,0)+IF(Settings!$B$50="Yes",$L171,0)+IF(Settings!$B$51="Yes",$M171,0)+IF(Settings!$B$52="Yes",$N171,0)+IF(Settings!$B$53="Yes",$O171,0)+IF(Settings!$B$54="Yes",$P171,0)+IF(Settings!$B$55="Yes",$Q171,0)+IF(Settings!$B$56="Yes",$R171,0))</f>
        <v/>
      </c>
      <c r="U171">
        <f>IF(Settings!$B$45="Not Sure",$G171,0)+IF(Settings!$B$46="Not Sure",$H171,0)+IF(Settings!$B$47="Not Sure",$I171,0)+IF(Settings!$B$48="Not Sure",$J171,0)+IF(Settings!$B$49="Not Sure",$K171,0)+IF(Settings!$B$50="Not Sure",$L171,0)+IF(Settings!$B$51="Not Sure",$M171,0)+IF(Settings!$B$52="Not Sure",$N171,0)+IF(Settings!$B$53="Not Sure",$O171,0)+IF(Settings!$B$54="Not Sure",$P171,0)+IF(Settings!$B$55="Not Sure",$Q171,0)+IF(Settings!$B$56="Not Sure",$R171,0)</f>
        <v/>
      </c>
      <c r="V171">
        <f>IF($E171="open",SUM($ET171:$FE171)+N(Settings!$B$13),0)</f>
        <v/>
      </c>
      <c r="W171">
        <f>IF($E171="post",$S171,IF($E171="open",$S171-$V171,0))</f>
        <v/>
      </c>
      <c r="X171">
        <f>SUMIFS(Giving!$B$7:$B$2006,Giving!$A$7:$A$2006,"&gt;="&amp;$A171,Giving!$A$7:$A$2006,"&lt;="&amp;$B171,Giving!$E$7:$E$2006,"&lt;&gt;No")</f>
        <v/>
      </c>
      <c r="Y171">
        <f>SUMIFS(Giving!$B$7:$B$2006,Giving!$A$7:$A$2006,"&gt;="&amp;$A171,Giving!$A$7:$A$2006,"&lt;="&amp;$B171,Giving!$E$7:$E$2006,"No")</f>
        <v/>
      </c>
      <c r="Z171">
        <f>IF(OR(Settings!$B$60="",Settings!$F$60="No"),0,Settings!$B$60*IF(AND(IF(Settings!$C$60="",$B171,DATE(YEAR($A171),MONTH($A171),MIN(Settings!$C$60,DAY($B171))))&gt;=MAX($A171,Settings!$D$60),IF(Settings!$C$60="",$B171,DATE(YEAR($A171),MONTH($A171),MIN(Settings!$C$60,DAY($B171))))&lt;=MIN($C171,IF(Settings!$E$60="",$C171,Settings!$E$60))),1,0))+IF(OR(Settings!$B$61="",Settings!$F$61="No"),0,Settings!$B$61*IF(AND(IF(Settings!$C$61="",$B171,DATE(YEAR($A171),MONTH($A171),MIN(Settings!$C$61,DAY($B171))))&gt;=MAX($A171,Settings!$D$61),IF(Settings!$C$61="",$B171,DATE(YEAR($A171),MONTH($A171),MIN(Settings!$C$61,DAY($B171))))&lt;=MIN($C171,IF(Settings!$E$61="",$C171,Settings!$E$61))),1,0))+IF(OR(Settings!$B$62="",Settings!$F$62="No"),0,Settings!$B$62*IF(AND(IF(Settings!$C$62="",$B171,DATE(YEAR($A171),MONTH($A171),MIN(Settings!$C$62,DAY($B171))))&gt;=MAX($A171,Settings!$D$62),IF(Settings!$C$62="",$B171,DATE(YEAR($A171),MONTH($A171),MIN(Settings!$C$62,DAY($B171))))&lt;=MIN($C171,IF(Settings!$E$62="",$C171,Settings!$E$62))),1,0))+IF(OR(Settings!$B$63="",Settings!$F$63="No"),0,Settings!$B$63*IF(AND(IF(Settings!$C$63="",$B171,DATE(YEAR($A171),MONTH($A171),MIN(Settings!$C$63,DAY($B171))))&gt;=MAX($A171,Settings!$D$63),IF(Settings!$C$63="",$B171,DATE(YEAR($A171),MONTH($A171),MIN(Settings!$C$63,DAY($B171))))&lt;=MIN($C171,IF(Settings!$E$63="",$C171,Settings!$E$63))),1,0))+IF(OR(Settings!$B$64="",Settings!$F$64="No"),0,Settings!$B$64*IF(AND(IF(Settings!$C$64="",$B171,DATE(YEAR($A171),MONTH($A171),MIN(Settings!$C$64,DAY($B171))))&gt;=MAX($A171,Settings!$D$64),IF(Settings!$C$64="",$B171,DATE(YEAR($A171),MONTH($A171),MIN(Settings!$C$64,DAY($B171))))&lt;=MIN($C171,IF(Settings!$E$64="",$C171,Settings!$E$64))),1,0))+IF(OR(Settings!$B$65="",Settings!$F$65="No"),0,Settings!$B$65*IF(AND(IF(Settings!$C$65="",$B171,DATE(YEAR($A171),MONTH($A171),MIN(Settings!$C$65,DAY($B171))))&gt;=MAX($A171,Settings!$D$65),IF(Settings!$C$65="",$B171,DATE(YEAR($A171),MONTH($A171),MIN(Settings!$C$65,DAY($B171))))&lt;=MIN($C171,IF(Settings!$E$65="",$C171,Settings!$E$65))),1,0))</f>
        <v/>
      </c>
      <c r="AA171">
        <f>$X171+$Z171</f>
        <v/>
      </c>
      <c r="AB171">
        <f>IF($E171="post",$AA171,IF($E171="open",SUMIFS(Giving!$B$7:$B$2006,Giving!$A$7:$A$2006,"&gt;"&amp;Settings!$B$5,Giving!$A$7:$A$2006,"&lt;="&amp;$B171,Giving!$E$7:$E$2006,"&lt;&gt;No")+IF(OR(Settings!$B$60="",Settings!$F$60="No"),0,Settings!$B$60*IF(AND(IF(Settings!$C$60="",$B171,DATE(YEAR($A171),MONTH($A171),MIN(Settings!$C$60,DAY($B171))))&gt;=MAX($A171,Settings!$D$60,Settings!$B$5+1),IF(Settings!$C$60="",$B171,DATE(YEAR($A171),MONTH($A171),MIN(Settings!$C$60,DAY($B171))))&lt;=MIN($C171,IF(Settings!$E$60="",$C171,Settings!$E$60))),1,0))+IF(OR(Settings!$B$61="",Settings!$F$61="No"),0,Settings!$B$61*IF(AND(IF(Settings!$C$61="",$B171,DATE(YEAR($A171),MONTH($A171),MIN(Settings!$C$61,DAY($B171))))&gt;=MAX($A171,Settings!$D$61,Settings!$B$5+1),IF(Settings!$C$61="",$B171,DATE(YEAR($A171),MONTH($A171),MIN(Settings!$C$61,DAY($B171))))&lt;=MIN($C171,IF(Settings!$E$61="",$C171,Settings!$E$61))),1,0))+IF(OR(Settings!$B$62="",Settings!$F$62="No"),0,Settings!$B$62*IF(AND(IF(Settings!$C$62="",$B171,DATE(YEAR($A171),MONTH($A171),MIN(Settings!$C$62,DAY($B171))))&gt;=MAX($A171,Settings!$D$62,Settings!$B$5+1),IF(Settings!$C$62="",$B171,DATE(YEAR($A171),MONTH($A171),MIN(Settings!$C$62,DAY($B171))))&lt;=MIN($C171,IF(Settings!$E$62="",$C171,Settings!$E$62))),1,0))+IF(OR(Settings!$B$63="",Settings!$F$63="No"),0,Settings!$B$63*IF(AND(IF(Settings!$C$63="",$B171,DATE(YEAR($A171),MONTH($A171),MIN(Settings!$C$63,DAY($B171))))&gt;=MAX($A171,Settings!$D$63,Settings!$B$5+1),IF(Settings!$C$63="",$B171,DATE(YEAR($A171),MONTH($A171),MIN(Settings!$C$63,DAY($B171))))&lt;=MIN($C171,IF(Settings!$E$63="",$C171,Settings!$E$63))),1,0))+IF(OR(Settings!$B$64="",Settings!$F$64="No"),0,Settings!$B$64*IF(AND(IF(Settings!$C$64="",$B171,DATE(YEAR($A171),MONTH($A171),MIN(Settings!$C$64,DAY($B171))))&gt;=MAX($A171,Settings!$D$64,Settings!$B$5+1),IF(Settings!$C$64="",$B171,DATE(YEAR($A171),MONTH($A171),MIN(Settings!$C$64,DAY($B171))))&lt;=MIN($C171,IF(Settings!$E$64="",$C171,Settings!$E$64))),1,0))+IF(OR(Settings!$B$65="",Settings!$F$65="No"),0,Settings!$B$65*IF(AND(IF(Settings!$C$65="",$B171,DATE(YEAR($A171),MONTH($A171),MIN(Settings!$C$65,DAY($B171))))&gt;=MAX($A171,Settings!$D$65,Settings!$B$5+1),IF(Settings!$C$65="",$B171,DATE(YEAR($A171),MONTH($A171),MIN(Settings!$C$65,DAY($B171))))&lt;=MIN($C171,IF(Settings!$E$65="",$C171,Settings!$E$65))),1,0)),0))</f>
        <v/>
      </c>
      <c r="AC171">
        <f>$AY171+$AZ171+$BA171+$BB171+$BC171+$BD171</f>
        <v/>
      </c>
      <c r="AD171">
        <f>$AC171</f>
        <v/>
      </c>
      <c r="AE171">
        <f>IF(OR(Settings!$A$19="",$E171="pre"),"",IF(AND('Month-End'!$FL$7&lt;&gt;"",NOT(_xlfn.ISFORMULA('Month-End'!$FL$7))),N('Month-End'!$FL$7),IF(OR($E171="open",$E170="pre"),N(Settings!$C$19),N($AE170))))</f>
        <v/>
      </c>
      <c r="AF171">
        <f>IF(OR(Settings!$A$20="",$E171="pre"),"",IF(AND('Month-End'!$FL$8&lt;&gt;"",NOT(_xlfn.ISFORMULA('Month-End'!$FL$8))),N('Month-End'!$FL$8),IF(OR($E171="open",$E170="pre"),N(Settings!$C$20),N($AF170))))</f>
        <v/>
      </c>
      <c r="AG171">
        <f>IF(OR(Settings!$A$21="",$E171="pre"),"",IF(AND('Month-End'!$FL$9&lt;&gt;"",NOT(_xlfn.ISFORMULA('Month-End'!$FL$9))),N('Month-End'!$FL$9),IF(OR($E171="open",$E170="pre"),N(Settings!$C$21),N($AG170))))</f>
        <v/>
      </c>
      <c r="AH171">
        <f>IF(OR(Settings!$A$22="",$E171="pre"),"",IF(AND('Month-End'!$FL$10&lt;&gt;"",NOT(_xlfn.ISFORMULA('Month-End'!$FL$10))),N('Month-End'!$FL$10),IF(OR($E171="open",$E170="pre"),N(Settings!$C$22),N($AH170))))</f>
        <v/>
      </c>
      <c r="AI171">
        <f>IF(OR(Settings!$A$23="",$E171="pre"),"",IF(AND('Month-End'!$FL$11&lt;&gt;"",NOT(_xlfn.ISFORMULA('Month-End'!$FL$11))),N('Month-End'!$FL$11),IF(OR($E171="open",$E170="pre"),N(Settings!$C$23),N($AI170))))</f>
        <v/>
      </c>
      <c r="AJ171">
        <f>IF(OR(Settings!$A$24="",$E171="pre"),"",IF(AND('Month-End'!$FL$12&lt;&gt;"",NOT(_xlfn.ISFORMULA('Month-End'!$FL$12))),N('Month-End'!$FL$12),IF(OR($E171="open",$E170="pre"),N(Settings!$C$24),N($AJ170))))</f>
        <v/>
      </c>
      <c r="AK171">
        <f>IF(OR(Settings!$A$25="",$E171="pre"),"",IF(AND('Month-End'!$FL$13&lt;&gt;"",NOT(_xlfn.ISFORMULA('Month-End'!$FL$13))),N('Month-End'!$FL$13),IF(OR($E171="open",$E170="pre"),N(Settings!$C$25),N($AK170))))</f>
        <v/>
      </c>
      <c r="AL171">
        <f>IF(OR(Settings!$A$26="",$E171="pre"),"",IF(AND('Month-End'!$FL$14&lt;&gt;"",NOT(_xlfn.ISFORMULA('Month-End'!$FL$14))),N('Month-End'!$FL$14),IF(OR($E171="open",$E170="pre"),N(Settings!$C$26),N($AL170))))</f>
        <v/>
      </c>
      <c r="AM171">
        <f>IF(OR(Settings!$A$27="",$E171="pre"),"",IF(AND('Month-End'!$FL$15&lt;&gt;"",NOT(_xlfn.ISFORMULA('Month-End'!$FL$15))),N('Month-End'!$FL$15),IF(OR($E171="open",$E170="pre"),N(Settings!$C$27),N($AM170))))</f>
        <v/>
      </c>
      <c r="AN171">
        <f>IF(OR(Settings!$A$28="",$E171="pre"),"",IF(AND('Month-End'!$FL$16&lt;&gt;"",NOT(_xlfn.ISFORMULA('Month-End'!$FL$16))),N('Month-End'!$FL$16),IF(OR($E171="open",$E170="pre"),N(Settings!$C$28),N($AN170))))</f>
        <v/>
      </c>
      <c r="AO171">
        <f>IF(OR(Settings!$A$29="",$E171="pre"),"",IF(AND('Month-End'!$FL$17&lt;&gt;"",NOT(_xlfn.ISFORMULA('Month-End'!$FL$17))),N('Month-End'!$FL$17),IF(OR($E171="open",$E170="pre"),N(Settings!$C$29),N($AO170))))</f>
        <v/>
      </c>
      <c r="AP171">
        <f>IF(OR(Settings!$A$30="",$E171="pre"),"",IF(AND('Month-End'!$FL$18&lt;&gt;"",NOT(_xlfn.ISFORMULA('Month-End'!$FL$18))),N('Month-End'!$FL$18),IF(OR($E171="open",$E170="pre"),N(Settings!$C$30),N($AP170))))</f>
        <v/>
      </c>
      <c r="AQ171">
        <f>IF(OR(Settings!$A$31="",$E171="pre"),"",IF(AND('Month-End'!$FL$19&lt;&gt;"",NOT(_xlfn.ISFORMULA('Month-End'!$FL$19))),N('Month-End'!$FL$19),IF(OR($E171="open",$E170="pre"),N(Settings!$C$31),N($AQ170))))</f>
        <v/>
      </c>
      <c r="AR171">
        <f>IF(OR(Settings!$A$32="",$E171="pre"),"",IF(AND('Month-End'!$FL$20&lt;&gt;"",NOT(_xlfn.ISFORMULA('Month-End'!$FL$20))),N('Month-End'!$FL$20),IF(OR($E171="open",$E170="pre"),N(Settings!$C$32),N($AR170))))</f>
        <v/>
      </c>
      <c r="AS171">
        <f>IF(OR(Settings!$A$36="",$E171="pre"),"",IF(AND('Month-End'!$FL$38&lt;&gt;"",NOT(_xlfn.ISFORMULA('Month-End'!$FL$38))),N('Month-End'!$FL$38),IF(OR($E171="open",$E170="pre"),N(Settings!$C$36),N($AS170))+$AY171))</f>
        <v/>
      </c>
      <c r="AT171">
        <f>IF(OR(Settings!$A$37="",$E171="pre"),"",IF(AND('Month-End'!$FL$39&lt;&gt;"",NOT(_xlfn.ISFORMULA('Month-End'!$FL$39))),N('Month-End'!$FL$39),IF(OR($E171="open",$E170="pre"),N(Settings!$C$37),N($AT170))+$AZ171))</f>
        <v/>
      </c>
      <c r="AU171">
        <f>IF(OR(Settings!$A$38="",$E171="pre"),"",IF(AND('Month-End'!$FL$40&lt;&gt;"",NOT(_xlfn.ISFORMULA('Month-End'!$FL$40))),N('Month-End'!$FL$40),IF(OR($E171="open",$E170="pre"),N(Settings!$C$38),N($AU170))+$BA171))</f>
        <v/>
      </c>
      <c r="AV171">
        <f>IF(OR(Settings!$A$39="",$E171="pre"),"",IF(AND('Month-End'!$FL$41&lt;&gt;"",NOT(_xlfn.ISFORMULA('Month-End'!$FL$41))),N('Month-End'!$FL$41),IF(OR($E171="open",$E170="pre"),N(Settings!$C$39),N($AV170))+$BB171))</f>
        <v/>
      </c>
      <c r="AW171">
        <f>IF(OR(Settings!$A$40="",$E171="pre"),"",IF(AND('Month-End'!$FL$42&lt;&gt;"",NOT(_xlfn.ISFORMULA('Month-End'!$FL$42))),N('Month-End'!$FL$42),IF(OR($E171="open",$E170="pre"),N(Settings!$C$40),N($AW170))+$BC171))</f>
        <v/>
      </c>
      <c r="AX171">
        <f>IF(OR(Settings!$A$41="",$E171="pre"),"",IF(AND('Month-End'!$FL$43&lt;&gt;"",NOT(_xlfn.ISFORMULA('Month-End'!$FL$43))),N('Month-End'!$FL$43),IF(OR($E171="open",$E170="pre"),N(Settings!$C$41),N($AX170))+$BD171))</f>
        <v/>
      </c>
      <c r="AY171">
        <f>IF($E171="pre",0,N('Month-End'!$FL$45))</f>
        <v/>
      </c>
      <c r="AZ171">
        <f>IF($E171="pre",0,N('Month-End'!$FL$46))</f>
        <v/>
      </c>
      <c r="BA171">
        <f>IF($E171="pre",0,N('Month-End'!$FL$47))</f>
        <v/>
      </c>
      <c r="BB171">
        <f>IF($E171="pre",0,N('Month-End'!$FL$48))</f>
        <v/>
      </c>
      <c r="BC171">
        <f>IF($E171="pre",0,N('Month-End'!$FL$49))</f>
        <v/>
      </c>
      <c r="BD171">
        <f>IF($E171="pre",0,N('Month-End'!$FL$50))</f>
        <v/>
      </c>
      <c r="BE171">
        <f>IF(OR(Settings!$C$45="",Settings!$D$45=""),0,Settings!$C$45*IF(Settings!$D$45="Weekly",IF(IFERROR(MATCH(Settings!$E$45,$EO$4:$EO$10,0),0)=0,0,IF(MIN($C171,IF(Settings!$G$45="",$C171,Settings!$G$45))&lt;MAX($A171,Settings!$F$45),0,INT((MIN($C171,IF(Settings!$G$45="",$C171,Settings!$G$45))-MAX($A171,Settings!$F$45)-MOD(IFERROR(MATCH(Settings!$E$45,$EO$4:$EO$10,0),0)-WEEKDAY(MAX($A171,Settings!$F$45)),7))/7)+1)),IF(AND(IF(Settings!$E$45="",$B171,DATE(YEAR($A171),MONTH($A171),MIN(Settings!$E$45,DAY($B171))))&gt;=MAX($A171,Settings!$F$45),IF(Settings!$E$45="",$B171,DATE(YEAR($A171),MONTH($A171),MIN(Settings!$E$45,DAY($B171))))&lt;=MIN($C171,IF(Settings!$G$45="",$C171,Settings!$G$45))),1,0)))</f>
        <v/>
      </c>
      <c r="BF171">
        <f>IF(OR(Settings!$C$46="",Settings!$D$46=""),0,Settings!$C$46*IF(Settings!$D$46="Weekly",IF(IFERROR(MATCH(Settings!$E$46,$EO$4:$EO$10,0),0)=0,0,IF(MIN($C171,IF(Settings!$G$46="",$C171,Settings!$G$46))&lt;MAX($A171,Settings!$F$46),0,INT((MIN($C171,IF(Settings!$G$46="",$C171,Settings!$G$46))-MAX($A171,Settings!$F$46)-MOD(IFERROR(MATCH(Settings!$E$46,$EO$4:$EO$10,0),0)-WEEKDAY(MAX($A171,Settings!$F$46)),7))/7)+1)),IF(AND(IF(Settings!$E$46="",$B171,DATE(YEAR($A171),MONTH($A171),MIN(Settings!$E$46,DAY($B171))))&gt;=MAX($A171,Settings!$F$46),IF(Settings!$E$46="",$B171,DATE(YEAR($A171),MONTH($A171),MIN(Settings!$E$46,DAY($B171))))&lt;=MIN($C171,IF(Settings!$G$46="",$C171,Settings!$G$46))),1,0)))</f>
        <v/>
      </c>
      <c r="BG171">
        <f>IF(OR(Settings!$C$47="",Settings!$D$47=""),0,Settings!$C$47*IF(Settings!$D$47="Weekly",IF(IFERROR(MATCH(Settings!$E$47,$EO$4:$EO$10,0),0)=0,0,IF(MIN($C171,IF(Settings!$G$47="",$C171,Settings!$G$47))&lt;MAX($A171,Settings!$F$47),0,INT((MIN($C171,IF(Settings!$G$47="",$C171,Settings!$G$47))-MAX($A171,Settings!$F$47)-MOD(IFERROR(MATCH(Settings!$E$47,$EO$4:$EO$10,0),0)-WEEKDAY(MAX($A171,Settings!$F$47)),7))/7)+1)),IF(AND(IF(Settings!$E$47="",$B171,DATE(YEAR($A171),MONTH($A171),MIN(Settings!$E$47,DAY($B171))))&gt;=MAX($A171,Settings!$F$47),IF(Settings!$E$47="",$B171,DATE(YEAR($A171),MONTH($A171),MIN(Settings!$E$47,DAY($B171))))&lt;=MIN($C171,IF(Settings!$G$47="",$C171,Settings!$G$47))),1,0)))</f>
        <v/>
      </c>
      <c r="BH171">
        <f>IF(OR(Settings!$C$48="",Settings!$D$48=""),0,Settings!$C$48*IF(Settings!$D$48="Weekly",IF(IFERROR(MATCH(Settings!$E$48,$EO$4:$EO$10,0),0)=0,0,IF(MIN($C171,IF(Settings!$G$48="",$C171,Settings!$G$48))&lt;MAX($A171,Settings!$F$48),0,INT((MIN($C171,IF(Settings!$G$48="",$C171,Settings!$G$48))-MAX($A171,Settings!$F$48)-MOD(IFERROR(MATCH(Settings!$E$48,$EO$4:$EO$10,0),0)-WEEKDAY(MAX($A171,Settings!$F$48)),7))/7)+1)),IF(AND(IF(Settings!$E$48="",$B171,DATE(YEAR($A171),MONTH($A171),MIN(Settings!$E$48,DAY($B171))))&gt;=MAX($A171,Settings!$F$48),IF(Settings!$E$48="",$B171,DATE(YEAR($A171),MONTH($A171),MIN(Settings!$E$48,DAY($B171))))&lt;=MIN($C171,IF(Settings!$G$48="",$C171,Settings!$G$48))),1,0)))</f>
        <v/>
      </c>
      <c r="BI171">
        <f>IF(OR(Settings!$C$49="",Settings!$D$49=""),0,Settings!$C$49*IF(Settings!$D$49="Weekly",IF(IFERROR(MATCH(Settings!$E$49,$EO$4:$EO$10,0),0)=0,0,IF(MIN($C171,IF(Settings!$G$49="",$C171,Settings!$G$49))&lt;MAX($A171,Settings!$F$49),0,INT((MIN($C171,IF(Settings!$G$49="",$C171,Settings!$G$49))-MAX($A171,Settings!$F$49)-MOD(IFERROR(MATCH(Settings!$E$49,$EO$4:$EO$10,0),0)-WEEKDAY(MAX($A171,Settings!$F$49)),7))/7)+1)),IF(AND(IF(Settings!$E$49="",$B171,DATE(YEAR($A171),MONTH($A171),MIN(Settings!$E$49,DAY($B171))))&gt;=MAX($A171,Settings!$F$49),IF(Settings!$E$49="",$B171,DATE(YEAR($A171),MONTH($A171),MIN(Settings!$E$49,DAY($B171))))&lt;=MIN($C171,IF(Settings!$G$49="",$C171,Settings!$G$49))),1,0)))</f>
        <v/>
      </c>
      <c r="BJ171">
        <f>IF(OR(Settings!$C$50="",Settings!$D$50=""),0,Settings!$C$50*IF(Settings!$D$50="Weekly",IF(IFERROR(MATCH(Settings!$E$50,$EO$4:$EO$10,0),0)=0,0,IF(MIN($C171,IF(Settings!$G$50="",$C171,Settings!$G$50))&lt;MAX($A171,Settings!$F$50),0,INT((MIN($C171,IF(Settings!$G$50="",$C171,Settings!$G$50))-MAX($A171,Settings!$F$50)-MOD(IFERROR(MATCH(Settings!$E$50,$EO$4:$EO$10,0),0)-WEEKDAY(MAX($A171,Settings!$F$50)),7))/7)+1)),IF(AND(IF(Settings!$E$50="",$B171,DATE(YEAR($A171),MONTH($A171),MIN(Settings!$E$50,DAY($B171))))&gt;=MAX($A171,Settings!$F$50),IF(Settings!$E$50="",$B171,DATE(YEAR($A171),MONTH($A171),MIN(Settings!$E$50,DAY($B171))))&lt;=MIN($C171,IF(Settings!$G$50="",$C171,Settings!$G$50))),1,0)))</f>
        <v/>
      </c>
      <c r="BK171">
        <f>IF(OR(Settings!$C$51="",Settings!$D$51=""),0,Settings!$C$51*IF(Settings!$D$51="Weekly",IF(IFERROR(MATCH(Settings!$E$51,$EO$4:$EO$10,0),0)=0,0,IF(MIN($C171,IF(Settings!$G$51="",$C171,Settings!$G$51))&lt;MAX($A171,Settings!$F$51),0,INT((MIN($C171,IF(Settings!$G$51="",$C171,Settings!$G$51))-MAX($A171,Settings!$F$51)-MOD(IFERROR(MATCH(Settings!$E$51,$EO$4:$EO$10,0),0)-WEEKDAY(MAX($A171,Settings!$F$51)),7))/7)+1)),IF(AND(IF(Settings!$E$51="",$B171,DATE(YEAR($A171),MONTH($A171),MIN(Settings!$E$51,DAY($B171))))&gt;=MAX($A171,Settings!$F$51),IF(Settings!$E$51="",$B171,DATE(YEAR($A171),MONTH($A171),MIN(Settings!$E$51,DAY($B171))))&lt;=MIN($C171,IF(Settings!$G$51="",$C171,Settings!$G$51))),1,0)))</f>
        <v/>
      </c>
      <c r="BL171">
        <f>IF(OR(Settings!$C$52="",Settings!$D$52=""),0,Settings!$C$52*IF(Settings!$D$52="Weekly",IF(IFERROR(MATCH(Settings!$E$52,$EO$4:$EO$10,0),0)=0,0,IF(MIN($C171,IF(Settings!$G$52="",$C171,Settings!$G$52))&lt;MAX($A171,Settings!$F$52),0,INT((MIN($C171,IF(Settings!$G$52="",$C171,Settings!$G$52))-MAX($A171,Settings!$F$52)-MOD(IFERROR(MATCH(Settings!$E$52,$EO$4:$EO$10,0),0)-WEEKDAY(MAX($A171,Settings!$F$52)),7))/7)+1)),IF(AND(IF(Settings!$E$52="",$B171,DATE(YEAR($A171),MONTH($A171),MIN(Settings!$E$52,DAY($B171))))&gt;=MAX($A171,Settings!$F$52),IF(Settings!$E$52="",$B171,DATE(YEAR($A171),MONTH($A171),MIN(Settings!$E$52,DAY($B171))))&lt;=MIN($C171,IF(Settings!$G$52="",$C171,Settings!$G$52))),1,0)))</f>
        <v/>
      </c>
      <c r="BM171">
        <f>IF(OR(Settings!$C$53="",Settings!$D$53=""),0,Settings!$C$53*IF(Settings!$D$53="Weekly",IF(IFERROR(MATCH(Settings!$E$53,$EO$4:$EO$10,0),0)=0,0,IF(MIN($C171,IF(Settings!$G$53="",$C171,Settings!$G$53))&lt;MAX($A171,Settings!$F$53),0,INT((MIN($C171,IF(Settings!$G$53="",$C171,Settings!$G$53))-MAX($A171,Settings!$F$53)-MOD(IFERROR(MATCH(Settings!$E$53,$EO$4:$EO$10,0),0)-WEEKDAY(MAX($A171,Settings!$F$53)),7))/7)+1)),IF(AND(IF(Settings!$E$53="",$B171,DATE(YEAR($A171),MONTH($A171),MIN(Settings!$E$53,DAY($B171))))&gt;=MAX($A171,Settings!$F$53),IF(Settings!$E$53="",$B171,DATE(YEAR($A171),MONTH($A171),MIN(Settings!$E$53,DAY($B171))))&lt;=MIN($C171,IF(Settings!$G$53="",$C171,Settings!$G$53))),1,0)))</f>
        <v/>
      </c>
      <c r="BN171">
        <f>IF(OR(Settings!$C$54="",Settings!$D$54=""),0,Settings!$C$54*IF(Settings!$D$54="Weekly",IF(IFERROR(MATCH(Settings!$E$54,$EO$4:$EO$10,0),0)=0,0,IF(MIN($C171,IF(Settings!$G$54="",$C171,Settings!$G$54))&lt;MAX($A171,Settings!$F$54),0,INT((MIN($C171,IF(Settings!$G$54="",$C171,Settings!$G$54))-MAX($A171,Settings!$F$54)-MOD(IFERROR(MATCH(Settings!$E$54,$EO$4:$EO$10,0),0)-WEEKDAY(MAX($A171,Settings!$F$54)),7))/7)+1)),IF(AND(IF(Settings!$E$54="",$B171,DATE(YEAR($A171),MONTH($A171),MIN(Settings!$E$54,DAY($B171))))&gt;=MAX($A171,Settings!$F$54),IF(Settings!$E$54="",$B171,DATE(YEAR($A171),MONTH($A171),MIN(Settings!$E$54,DAY($B171))))&lt;=MIN($C171,IF(Settings!$G$54="",$C171,Settings!$G$54))),1,0)))</f>
        <v/>
      </c>
      <c r="BO171">
        <f>IF(OR(Settings!$C$55="",Settings!$D$55=""),0,Settings!$C$55*IF(Settings!$D$55="Weekly",IF(IFERROR(MATCH(Settings!$E$55,$EO$4:$EO$10,0),0)=0,0,IF(MIN($C171,IF(Settings!$G$55="",$C171,Settings!$G$55))&lt;MAX($A171,Settings!$F$55),0,INT((MIN($C171,IF(Settings!$G$55="",$C171,Settings!$G$55))-MAX($A171,Settings!$F$55)-MOD(IFERROR(MATCH(Settings!$E$55,$EO$4:$EO$10,0),0)-WEEKDAY(MAX($A171,Settings!$F$55)),7))/7)+1)),IF(AND(IF(Settings!$E$55="",$B171,DATE(YEAR($A171),MONTH($A171),MIN(Settings!$E$55,DAY($B171))))&gt;=MAX($A171,Settings!$F$55),IF(Settings!$E$55="",$B171,DATE(YEAR($A171),MONTH($A171),MIN(Settings!$E$55,DAY($B171))))&lt;=MIN($C171,IF(Settings!$G$55="",$C171,Settings!$G$55))),1,0)))</f>
        <v/>
      </c>
      <c r="BP171">
        <f>IF(OR(Settings!$C$56="",Settings!$D$56=""),0,Settings!$C$56*IF(Settings!$D$56="Weekly",IF(IFERROR(MATCH(Settings!$E$56,$EO$4:$EO$10,0),0)=0,0,IF(MIN($C171,IF(Settings!$G$56="",$C171,Settings!$G$56))&lt;MAX($A171,Settings!$F$56),0,INT((MIN($C171,IF(Settings!$G$56="",$C171,Settings!$G$56))-MAX($A171,Settings!$F$56)-MOD(IFERROR(MATCH(Settings!$E$56,$EO$4:$EO$10,0),0)-WEEKDAY(MAX($A171,Settings!$F$56)),7))/7)+1)),IF(AND(IF(Settings!$E$56="",$B171,DATE(YEAR($A171),MONTH($A171),MIN(Settings!$E$56,DAY($B171))))&gt;=MAX($A171,Settings!$F$56),IF(Settings!$E$56="",$B171,DATE(YEAR($A171),MONTH($A171),MIN(Settings!$E$56,DAY($B171))))&lt;=MIN($C171,IF(Settings!$G$56="",$C171,Settings!$G$56))),1,0)))</f>
        <v/>
      </c>
      <c r="BQ171">
        <f>IF(OR(Settings!$B$14="",$D171=1,$E171="pre",$A171&lt;IF(Settings!$B$15="",0,Settings!$B$15)),0,Settings!$B$14)</f>
        <v/>
      </c>
      <c r="BR171">
        <f>IF(AND('Month-End'!$FL$7&lt;&gt;"",NOT(_xlfn.ISFORMULA('Month-End'!$FL$7))),1,0)</f>
        <v/>
      </c>
      <c r="BS171">
        <f>IF(AND('Month-End'!$FL$8&lt;&gt;"",NOT(_xlfn.ISFORMULA('Month-End'!$FL$8))),1,0)</f>
        <v/>
      </c>
      <c r="BT171">
        <f>IF(AND('Month-End'!$FL$9&lt;&gt;"",NOT(_xlfn.ISFORMULA('Month-End'!$FL$9))),1,0)</f>
        <v/>
      </c>
      <c r="BU171">
        <f>IF(AND('Month-End'!$FL$10&lt;&gt;"",NOT(_xlfn.ISFORMULA('Month-End'!$FL$10))),1,0)</f>
        <v/>
      </c>
      <c r="BV171">
        <f>IF(AND('Month-End'!$FL$11&lt;&gt;"",NOT(_xlfn.ISFORMULA('Month-End'!$FL$11))),1,0)</f>
        <v/>
      </c>
      <c r="BW171">
        <f>IF(AND('Month-End'!$FL$12&lt;&gt;"",NOT(_xlfn.ISFORMULA('Month-End'!$FL$12))),1,0)</f>
        <v/>
      </c>
      <c r="BX171">
        <f>IF(AND('Month-End'!$FL$13&lt;&gt;"",NOT(_xlfn.ISFORMULA('Month-End'!$FL$13))),1,0)</f>
        <v/>
      </c>
      <c r="BY171">
        <f>IF(AND('Month-End'!$FL$14&lt;&gt;"",NOT(_xlfn.ISFORMULA('Month-End'!$FL$14))),1,0)</f>
        <v/>
      </c>
      <c r="BZ171">
        <f>IF(AND('Month-End'!$FL$15&lt;&gt;"",NOT(_xlfn.ISFORMULA('Month-End'!$FL$15))),1,0)</f>
        <v/>
      </c>
      <c r="CA171">
        <f>IF(AND('Month-End'!$FL$16&lt;&gt;"",NOT(_xlfn.ISFORMULA('Month-End'!$FL$16))),1,0)</f>
        <v/>
      </c>
      <c r="CB171">
        <f>IF(AND('Month-End'!$FL$17&lt;&gt;"",NOT(_xlfn.ISFORMULA('Month-End'!$FL$17))),1,0)</f>
        <v/>
      </c>
      <c r="CC171">
        <f>IF(AND('Month-End'!$FL$18&lt;&gt;"",NOT(_xlfn.ISFORMULA('Month-End'!$FL$18))),1,0)</f>
        <v/>
      </c>
      <c r="CD171">
        <f>IF(AND('Month-End'!$FL$19&lt;&gt;"",NOT(_xlfn.ISFORMULA('Month-End'!$FL$19))),1,0)</f>
        <v/>
      </c>
      <c r="CE171">
        <f>IF(AND('Month-End'!$FL$20&lt;&gt;"",NOT(_xlfn.ISFORMULA('Month-End'!$FL$20))),1,0)</f>
        <v/>
      </c>
      <c r="CF171">
        <f>IF(AND('Month-End'!$FL$38&lt;&gt;"",NOT(_xlfn.ISFORMULA('Month-End'!$FL$38))),1,0)</f>
        <v/>
      </c>
      <c r="CG171">
        <f>IF(AND('Month-End'!$FL$39&lt;&gt;"",NOT(_xlfn.ISFORMULA('Month-End'!$FL$39))),1,0)</f>
        <v/>
      </c>
      <c r="CH171">
        <f>IF(AND('Month-End'!$FL$40&lt;&gt;"",NOT(_xlfn.ISFORMULA('Month-End'!$FL$40))),1,0)</f>
        <v/>
      </c>
      <c r="CI171">
        <f>IF(AND('Month-End'!$FL$41&lt;&gt;"",NOT(_xlfn.ISFORMULA('Month-End'!$FL$41))),1,0)</f>
        <v/>
      </c>
      <c r="CJ171">
        <f>IF(AND('Month-End'!$FL$42&lt;&gt;"",NOT(_xlfn.ISFORMULA('Month-End'!$FL$42))),1,0)</f>
        <v/>
      </c>
      <c r="CK171">
        <f>IF(AND('Month-End'!$FL$43&lt;&gt;"",NOT(_xlfn.ISFORMULA('Month-End'!$FL$43))),1,0)</f>
        <v/>
      </c>
      <c r="CL171">
        <f>SUM($CM171:$CZ171)</f>
        <v/>
      </c>
      <c r="CM171">
        <f>IF(AND($E171&lt;&gt;"pre",AND(Settings!$A$19&lt;&gt;"",Settings!$E$19&lt;&gt;"No"),Settings!$F$19="Yes",NOT(AND('Month-End'!$FL$7&lt;&gt;"",NOT(_xlfn.ISFORMULA('Month-End'!$FL$7))))),1,0)</f>
        <v/>
      </c>
      <c r="CN171">
        <f>IF(AND($E171&lt;&gt;"pre",AND(Settings!$A$20&lt;&gt;"",Settings!$E$20&lt;&gt;"No"),Settings!$F$20="Yes",NOT(AND('Month-End'!$FL$8&lt;&gt;"",NOT(_xlfn.ISFORMULA('Month-End'!$FL$8))))),1,0)</f>
        <v/>
      </c>
      <c r="CO171">
        <f>IF(AND($E171&lt;&gt;"pre",AND(Settings!$A$21&lt;&gt;"",Settings!$E$21&lt;&gt;"No"),Settings!$F$21="Yes",NOT(AND('Month-End'!$FL$9&lt;&gt;"",NOT(_xlfn.ISFORMULA('Month-End'!$FL$9))))),1,0)</f>
        <v/>
      </c>
      <c r="CP171">
        <f>IF(AND($E171&lt;&gt;"pre",AND(Settings!$A$22&lt;&gt;"",Settings!$E$22&lt;&gt;"No"),Settings!$F$22="Yes",NOT(AND('Month-End'!$FL$10&lt;&gt;"",NOT(_xlfn.ISFORMULA('Month-End'!$FL$10))))),1,0)</f>
        <v/>
      </c>
      <c r="CQ171">
        <f>IF(AND($E171&lt;&gt;"pre",AND(Settings!$A$23&lt;&gt;"",Settings!$E$23&lt;&gt;"No"),Settings!$F$23="Yes",NOT(AND('Month-End'!$FL$11&lt;&gt;"",NOT(_xlfn.ISFORMULA('Month-End'!$FL$11))))),1,0)</f>
        <v/>
      </c>
      <c r="CR171">
        <f>IF(AND($E171&lt;&gt;"pre",AND(Settings!$A$24&lt;&gt;"",Settings!$E$24&lt;&gt;"No"),Settings!$F$24="Yes",NOT(AND('Month-End'!$FL$12&lt;&gt;"",NOT(_xlfn.ISFORMULA('Month-End'!$FL$12))))),1,0)</f>
        <v/>
      </c>
      <c r="CS171">
        <f>IF(AND($E171&lt;&gt;"pre",AND(Settings!$A$25&lt;&gt;"",Settings!$E$25&lt;&gt;"No"),Settings!$F$25="Yes",NOT(AND('Month-End'!$FL$13&lt;&gt;"",NOT(_xlfn.ISFORMULA('Month-End'!$FL$13))))),1,0)</f>
        <v/>
      </c>
      <c r="CT171">
        <f>IF(AND($E171&lt;&gt;"pre",AND(Settings!$A$26&lt;&gt;"",Settings!$E$26&lt;&gt;"No"),Settings!$F$26="Yes",NOT(AND('Month-End'!$FL$14&lt;&gt;"",NOT(_xlfn.ISFORMULA('Month-End'!$FL$14))))),1,0)</f>
        <v/>
      </c>
      <c r="CU171">
        <f>IF(AND($E171&lt;&gt;"pre",AND(Settings!$A$27&lt;&gt;"",Settings!$E$27&lt;&gt;"No"),Settings!$F$27="Yes",NOT(AND('Month-End'!$FL$15&lt;&gt;"",NOT(_xlfn.ISFORMULA('Month-End'!$FL$15))))),1,0)</f>
        <v/>
      </c>
      <c r="CV171">
        <f>IF(AND($E171&lt;&gt;"pre",AND(Settings!$A$28&lt;&gt;"",Settings!$E$28&lt;&gt;"No"),Settings!$F$28="Yes",NOT(AND('Month-End'!$FL$16&lt;&gt;"",NOT(_xlfn.ISFORMULA('Month-End'!$FL$16))))),1,0)</f>
        <v/>
      </c>
      <c r="CW171">
        <f>IF(AND($E171&lt;&gt;"pre",AND(Settings!$A$29&lt;&gt;"",Settings!$E$29&lt;&gt;"No"),Settings!$F$29="Yes",NOT(AND('Month-End'!$FL$17&lt;&gt;"",NOT(_xlfn.ISFORMULA('Month-End'!$FL$17))))),1,0)</f>
        <v/>
      </c>
      <c r="CX171">
        <f>IF(AND($E171&lt;&gt;"pre",AND(Settings!$A$30&lt;&gt;"",Settings!$E$30&lt;&gt;"No"),Settings!$F$30="Yes",NOT(AND('Month-End'!$FL$18&lt;&gt;"",NOT(_xlfn.ISFORMULA('Month-End'!$FL$18))))),1,0)</f>
        <v/>
      </c>
      <c r="CY171">
        <f>IF(AND($E171&lt;&gt;"pre",AND(Settings!$A$31&lt;&gt;"",Settings!$E$31&lt;&gt;"No"),Settings!$F$31="Yes",NOT(AND('Month-End'!$FL$19&lt;&gt;"",NOT(_xlfn.ISFORMULA('Month-End'!$FL$19))))),1,0)</f>
        <v/>
      </c>
      <c r="CZ171">
        <f>IF(AND($E171&lt;&gt;"pre",AND(Settings!$A$32&lt;&gt;"",Settings!$E$32&lt;&gt;"No"),Settings!$F$32="Yes",NOT(AND('Month-End'!$FL$20&lt;&gt;"",NOT(_xlfn.ISFORMULA('Month-End'!$FL$20))))),1,0)</f>
        <v/>
      </c>
      <c r="DA171">
        <f>IF($DT171=1,IF(OR(Settings!$B$19="Checking",Settings!$B$19="Savings",Settings!$B$19="Cash"),N($AE171),IF(OR(Settings!$B$19="Card",Settings!$B$19="Loan"),-N($AE171),0))+IF(OR(Settings!$B$20="Checking",Settings!$B$20="Savings",Settings!$B$20="Cash"),N($AF171),IF(OR(Settings!$B$20="Card",Settings!$B$20="Loan"),-N($AF171),0))+IF(OR(Settings!$B$21="Checking",Settings!$B$21="Savings",Settings!$B$21="Cash"),N($AG171),IF(OR(Settings!$B$21="Card",Settings!$B$21="Loan"),-N($AG171),0))+IF(OR(Settings!$B$22="Checking",Settings!$B$22="Savings",Settings!$B$22="Cash"),N($AH171),IF(OR(Settings!$B$22="Card",Settings!$B$22="Loan"),-N($AH171),0))+IF(OR(Settings!$B$23="Checking",Settings!$B$23="Savings",Settings!$B$23="Cash"),N($AI171),IF(OR(Settings!$B$23="Card",Settings!$B$23="Loan"),-N($AI171),0))+IF(OR(Settings!$B$24="Checking",Settings!$B$24="Savings",Settings!$B$24="Cash"),N($AJ171),IF(OR(Settings!$B$24="Card",Settings!$B$24="Loan"),-N($AJ171),0))+IF(OR(Settings!$B$25="Checking",Settings!$B$25="Savings",Settings!$B$25="Cash"),N($AK171),IF(OR(Settings!$B$25="Card",Settings!$B$25="Loan"),-N($AK171),0))+IF(OR(Settings!$B$26="Checking",Settings!$B$26="Savings",Settings!$B$26="Cash"),N($AL171),IF(OR(Settings!$B$26="Card",Settings!$B$26="Loan"),-N($AL171),0))+IF(OR(Settings!$B$27="Checking",Settings!$B$27="Savings",Settings!$B$27="Cash"),N($AM171),IF(OR(Settings!$B$27="Card",Settings!$B$27="Loan"),-N($AM171),0))+IF(OR(Settings!$B$28="Checking",Settings!$B$28="Savings",Settings!$B$28="Cash"),N($AN171),IF(OR(Settings!$B$28="Card",Settings!$B$28="Loan"),-N($AN171),0))+IF(OR(Settings!$B$29="Checking",Settings!$B$29="Savings",Settings!$B$29="Cash"),N($AO171),IF(OR(Settings!$B$29="Card",Settings!$B$29="Loan"),-N($AO171),0))+IF(OR(Settings!$B$30="Checking",Settings!$B$30="Savings",Settings!$B$30="Cash"),N($AP171),IF(OR(Settings!$B$30="Card",Settings!$B$30="Loan"),-N($AP171),0))+IF(OR(Settings!$B$31="Checking",Settings!$B$31="Savings",Settings!$B$31="Cash"),N($AQ171),IF(OR(Settings!$B$31="Card",Settings!$B$31="Loan"),-N($AQ171),0))+IF(OR(Settings!$B$32="Checking",Settings!$B$32="Savings",Settings!$B$32="Cash"),N($AR171),IF(OR(Settings!$B$32="Card",Settings!$B$32="Loan"),-N($AR171),0)),"")</f>
        <v/>
      </c>
      <c r="DB171">
        <f>IF($E171="open",$EB$27,IF($E171="post",IF($E170="pre",$EB$27,$DA170),""))</f>
        <v/>
      </c>
      <c r="DC171">
        <f>IF($E171="open",1,IF($E171="post",IF($E170="pre",1,$DT170),0))</f>
        <v/>
      </c>
      <c r="DD171">
        <f>IF(AND($DT171=1,$DC171=1),ROUND($W171-($DA171-$DB171)-$AD171-$AB171,2),"")</f>
        <v/>
      </c>
      <c r="DE171">
        <f>IF('Month-End'!$FL$35="",$BQ171,N('Month-End'!$FL$35))</f>
        <v/>
      </c>
      <c r="DF171">
        <f>N('Month-End'!$FL$36)</f>
        <v/>
      </c>
      <c r="DG171">
        <f>IF($DD171="","",$DD171+$DE171)</f>
        <v/>
      </c>
      <c r="DH171">
        <f>IF($DG171="","",$DG171-$DF171)</f>
        <v/>
      </c>
      <c r="DI171">
        <f>IF(OR($E171="pre",$D171=1),"",N($AS171)+N($AT171)+N($AU171)+N($AV171)+N($AW171)+N($AX171))</f>
        <v/>
      </c>
      <c r="DJ171">
        <f>IF($DT171=1,$DA171+N($DI171),"")</f>
        <v/>
      </c>
      <c r="DK171">
        <f>IF($DD171="","",$W171-$DD171-$AB171)</f>
        <v/>
      </c>
      <c r="DL171">
        <f>IF(AND($E171="post",$DD171&lt;&gt;"",$B171&lt;TODAY()),1,0)</f>
        <v/>
      </c>
      <c r="DM171">
        <f>IF($DL171=1,COUNTIF($DL171:$DL$183,1),0)</f>
        <v/>
      </c>
      <c r="DN171">
        <f>IF($D171=1,"",IF($E171="pre","History only",IF($DT171=1,IF($DD171="","⚠ Previous month missing",IF($DD171&lt;0,"⚠ Check: spending &lt; 0",IF($E171="open","✓ Done (partial)","✓ Done"))),IF($B171&gt;=TODAY(),"In progress","⚠ Needs balances"))))</f>
        <v/>
      </c>
      <c r="DO171">
        <f>YEAR($A171)</f>
        <v/>
      </c>
      <c r="DP171">
        <f>DATE(YEAR($A171),INT((MONTH($A171)-1)/3)*3+1,1)</f>
        <v/>
      </c>
      <c r="DQ171">
        <f>IF(AND($DT171=1,$DD171&lt;&gt;"",$D171=0),ROW(),0)</f>
        <v/>
      </c>
      <c r="DR171">
        <f>IF(AND($E171&lt;&gt;"pre",$B171&lt;TODAY(),$DT171=0),1,0)</f>
        <v/>
      </c>
      <c r="DS171">
        <f>IF($DJ171="",NA(),$DJ171)</f>
        <v/>
      </c>
      <c r="DT171">
        <f>IF(AND($E171&lt;&gt;"pre",$CL171=0,COUNTIFS(Settings!$F$19:$F$32,"Yes",Settings!$A$19:$A$32,"&lt;&gt;",Settings!$E$19:$E$32,"&lt;&gt;No")&gt;0),1,0)</f>
        <v/>
      </c>
      <c r="DU171">
        <f>IF(AND($B171&lt;TODAY(),$S171&gt;0),1,0)</f>
        <v/>
      </c>
      <c r="DV171">
        <f>IF($DU171=1,COUNTIF($DU171:$DU$183,1),0)</f>
        <v/>
      </c>
      <c r="DW171">
        <f>IF(AND(OR(Settings!$B$19="Card",Settings!$B$19="Loan"),AND('Month-End'!$FL$7&lt;&gt;"",NOT(_xlfn.ISFORMULA('Month-End'!$FL$7)))),IF(N('Month-End'!$FL$7)&lt;0,1,0),0)+IF(AND(OR(Settings!$B$20="Card",Settings!$B$20="Loan"),AND('Month-End'!$FL$8&lt;&gt;"",NOT(_xlfn.ISFORMULA('Month-End'!$FL$8)))),IF(N('Month-End'!$FL$8)&lt;0,1,0),0)+IF(AND(OR(Settings!$B$21="Card",Settings!$B$21="Loan"),AND('Month-End'!$FL$9&lt;&gt;"",NOT(_xlfn.ISFORMULA('Month-End'!$FL$9)))),IF(N('Month-End'!$FL$9)&lt;0,1,0),0)+IF(AND(OR(Settings!$B$22="Card",Settings!$B$22="Loan"),AND('Month-End'!$FL$10&lt;&gt;"",NOT(_xlfn.ISFORMULA('Month-End'!$FL$10)))),IF(N('Month-End'!$FL$10)&lt;0,1,0),0)+IF(AND(OR(Settings!$B$23="Card",Settings!$B$23="Loan"),AND('Month-End'!$FL$11&lt;&gt;"",NOT(_xlfn.ISFORMULA('Month-End'!$FL$11)))),IF(N('Month-End'!$FL$11)&lt;0,1,0),0)+IF(AND(OR(Settings!$B$24="Card",Settings!$B$24="Loan"),AND('Month-End'!$FL$12&lt;&gt;"",NOT(_xlfn.ISFORMULA('Month-End'!$FL$12)))),IF(N('Month-End'!$FL$12)&lt;0,1,0),0)+IF(AND(OR(Settings!$B$25="Card",Settings!$B$25="Loan"),AND('Month-End'!$FL$13&lt;&gt;"",NOT(_xlfn.ISFORMULA('Month-End'!$FL$13)))),IF(N('Month-End'!$FL$13)&lt;0,1,0),0)+IF(AND(OR(Settings!$B$26="Card",Settings!$B$26="Loan"),AND('Month-End'!$FL$14&lt;&gt;"",NOT(_xlfn.ISFORMULA('Month-End'!$FL$14)))),IF(N('Month-End'!$FL$14)&lt;0,1,0),0)+IF(AND(OR(Settings!$B$27="Card",Settings!$B$27="Loan"),AND('Month-End'!$FL$15&lt;&gt;"",NOT(_xlfn.ISFORMULA('Month-End'!$FL$15)))),IF(N('Month-End'!$FL$15)&lt;0,1,0),0)+IF(AND(OR(Settings!$B$28="Card",Settings!$B$28="Loan"),AND('Month-End'!$FL$16&lt;&gt;"",NOT(_xlfn.ISFORMULA('Month-End'!$FL$16)))),IF(N('Month-End'!$FL$16)&lt;0,1,0),0)+IF(AND(OR(Settings!$B$29="Card",Settings!$B$29="Loan"),AND('Month-End'!$FL$17&lt;&gt;"",NOT(_xlfn.ISFORMULA('Month-End'!$FL$17)))),IF(N('Month-End'!$FL$17)&lt;0,1,0),0)+IF(AND(OR(Settings!$B$30="Card",Settings!$B$30="Loan"),AND('Month-End'!$FL$18&lt;&gt;"",NOT(_xlfn.ISFORMULA('Month-End'!$FL$18)))),IF(N('Month-End'!$FL$18)&lt;0,1,0),0)+IF(AND(OR(Settings!$B$31="Card",Settings!$B$31="Loan"),AND('Month-End'!$FL$19&lt;&gt;"",NOT(_xlfn.ISFORMULA('Month-End'!$FL$19)))),IF(N('Month-End'!$FL$19)&lt;0,1,0),0)+IF(AND(OR(Settings!$B$32="Card",Settings!$B$32="Loan"),AND('Month-End'!$FL$20&lt;&gt;"",NOT(_xlfn.ISFORMULA('Month-End'!$FL$20)))),IF(N('Month-End'!$FL$20)&lt;0,1,0),0)</f>
        <v/>
      </c>
      <c r="DX171">
        <f>IF(Settings!$B$36="Retirement",$AY171,0)+IF(Settings!$B$37="Retirement",$AZ171,0)+IF(Settings!$B$38="Retirement",$BA171,0)+IF(Settings!$B$39="Retirement",$BB171,0)+IF(Settings!$B$40="Retirement",$BC171,0)+IF(Settings!$B$41="Retirement",$BD171,0)</f>
        <v/>
      </c>
      <c r="ET171">
        <f>IF($E171&lt;&gt;"open",0,IF(AND('Month-End'!$FL$22&lt;&gt;"",NOT(_xlfn.ISFORMULA('Month-End'!$FL$22))),0,IF(OR(Settings!$C$45="",Settings!$D$45=""),0,Settings!$C$45*IF(Settings!$D$45="Weekly",IF(IFERROR(MATCH(Settings!$E$45,$EO$4:$EO$10,0),0)=0,0,IF(MIN(Settings!$B$5,IF(Settings!$G$45="",Settings!$B$5,Settings!$G$45))&lt;MAX($A171,Settings!$F$45),0,INT((MIN(Settings!$B$5,IF(Settings!$G$45="",Settings!$B$5,Settings!$G$45))-MAX($A171,Settings!$F$45)-MOD(IFERROR(MATCH(Settings!$E$45,$EO$4:$EO$10,0),0)-WEEKDAY(MAX($A171,Settings!$F$45)),7))/7)+1)),IF(AND(IF(Settings!$E$45="",$B171,DATE(YEAR($A171),MONTH($A171),MIN(Settings!$E$45,DAY($B171))))&gt;=MAX($A171,Settings!$F$45),IF(Settings!$E$45="",$B171,DATE(YEAR($A171),MONTH($A171),MIN(Settings!$E$45,DAY($B171))))&lt;=MIN(Settings!$B$5,IF(Settings!$G$45="",Settings!$B$5,Settings!$G$45))),1,0)))))</f>
        <v/>
      </c>
      <c r="EU171">
        <f>IF($E171&lt;&gt;"open",0,IF(AND('Month-End'!$FL$23&lt;&gt;"",NOT(_xlfn.ISFORMULA('Month-End'!$FL$23))),0,IF(OR(Settings!$C$46="",Settings!$D$46=""),0,Settings!$C$46*IF(Settings!$D$46="Weekly",IF(IFERROR(MATCH(Settings!$E$46,$EO$4:$EO$10,0),0)=0,0,IF(MIN(Settings!$B$5,IF(Settings!$G$46="",Settings!$B$5,Settings!$G$46))&lt;MAX($A171,Settings!$F$46),0,INT((MIN(Settings!$B$5,IF(Settings!$G$46="",Settings!$B$5,Settings!$G$46))-MAX($A171,Settings!$F$46)-MOD(IFERROR(MATCH(Settings!$E$46,$EO$4:$EO$10,0),0)-WEEKDAY(MAX($A171,Settings!$F$46)),7))/7)+1)),IF(AND(IF(Settings!$E$46="",$B171,DATE(YEAR($A171),MONTH($A171),MIN(Settings!$E$46,DAY($B171))))&gt;=MAX($A171,Settings!$F$46),IF(Settings!$E$46="",$B171,DATE(YEAR($A171),MONTH($A171),MIN(Settings!$E$46,DAY($B171))))&lt;=MIN(Settings!$B$5,IF(Settings!$G$46="",Settings!$B$5,Settings!$G$46))),1,0)))))</f>
        <v/>
      </c>
      <c r="EV171">
        <f>IF($E171&lt;&gt;"open",0,IF(AND('Month-End'!$FL$24&lt;&gt;"",NOT(_xlfn.ISFORMULA('Month-End'!$FL$24))),0,IF(OR(Settings!$C$47="",Settings!$D$47=""),0,Settings!$C$47*IF(Settings!$D$47="Weekly",IF(IFERROR(MATCH(Settings!$E$47,$EO$4:$EO$10,0),0)=0,0,IF(MIN(Settings!$B$5,IF(Settings!$G$47="",Settings!$B$5,Settings!$G$47))&lt;MAX($A171,Settings!$F$47),0,INT((MIN(Settings!$B$5,IF(Settings!$G$47="",Settings!$B$5,Settings!$G$47))-MAX($A171,Settings!$F$47)-MOD(IFERROR(MATCH(Settings!$E$47,$EO$4:$EO$10,0),0)-WEEKDAY(MAX($A171,Settings!$F$47)),7))/7)+1)),IF(AND(IF(Settings!$E$47="",$B171,DATE(YEAR($A171),MONTH($A171),MIN(Settings!$E$47,DAY($B171))))&gt;=MAX($A171,Settings!$F$47),IF(Settings!$E$47="",$B171,DATE(YEAR($A171),MONTH($A171),MIN(Settings!$E$47,DAY($B171))))&lt;=MIN(Settings!$B$5,IF(Settings!$G$47="",Settings!$B$5,Settings!$G$47))),1,0)))))</f>
        <v/>
      </c>
      <c r="EW171">
        <f>IF($E171&lt;&gt;"open",0,IF(AND('Month-End'!$FL$25&lt;&gt;"",NOT(_xlfn.ISFORMULA('Month-End'!$FL$25))),0,IF(OR(Settings!$C$48="",Settings!$D$48=""),0,Settings!$C$48*IF(Settings!$D$48="Weekly",IF(IFERROR(MATCH(Settings!$E$48,$EO$4:$EO$10,0),0)=0,0,IF(MIN(Settings!$B$5,IF(Settings!$G$48="",Settings!$B$5,Settings!$G$48))&lt;MAX($A171,Settings!$F$48),0,INT((MIN(Settings!$B$5,IF(Settings!$G$48="",Settings!$B$5,Settings!$G$48))-MAX($A171,Settings!$F$48)-MOD(IFERROR(MATCH(Settings!$E$48,$EO$4:$EO$10,0),0)-WEEKDAY(MAX($A171,Settings!$F$48)),7))/7)+1)),IF(AND(IF(Settings!$E$48="",$B171,DATE(YEAR($A171),MONTH($A171),MIN(Settings!$E$48,DAY($B171))))&gt;=MAX($A171,Settings!$F$48),IF(Settings!$E$48="",$B171,DATE(YEAR($A171),MONTH($A171),MIN(Settings!$E$48,DAY($B171))))&lt;=MIN(Settings!$B$5,IF(Settings!$G$48="",Settings!$B$5,Settings!$G$48))),1,0)))))</f>
        <v/>
      </c>
      <c r="EX171">
        <f>IF($E171&lt;&gt;"open",0,IF(AND('Month-End'!$FL$26&lt;&gt;"",NOT(_xlfn.ISFORMULA('Month-End'!$FL$26))),0,IF(OR(Settings!$C$49="",Settings!$D$49=""),0,Settings!$C$49*IF(Settings!$D$49="Weekly",IF(IFERROR(MATCH(Settings!$E$49,$EO$4:$EO$10,0),0)=0,0,IF(MIN(Settings!$B$5,IF(Settings!$G$49="",Settings!$B$5,Settings!$G$49))&lt;MAX($A171,Settings!$F$49),0,INT((MIN(Settings!$B$5,IF(Settings!$G$49="",Settings!$B$5,Settings!$G$49))-MAX($A171,Settings!$F$49)-MOD(IFERROR(MATCH(Settings!$E$49,$EO$4:$EO$10,0),0)-WEEKDAY(MAX($A171,Settings!$F$49)),7))/7)+1)),IF(AND(IF(Settings!$E$49="",$B171,DATE(YEAR($A171),MONTH($A171),MIN(Settings!$E$49,DAY($B171))))&gt;=MAX($A171,Settings!$F$49),IF(Settings!$E$49="",$B171,DATE(YEAR($A171),MONTH($A171),MIN(Settings!$E$49,DAY($B171))))&lt;=MIN(Settings!$B$5,IF(Settings!$G$49="",Settings!$B$5,Settings!$G$49))),1,0)))))</f>
        <v/>
      </c>
      <c r="EY171">
        <f>IF($E171&lt;&gt;"open",0,IF(AND('Month-End'!$FL$27&lt;&gt;"",NOT(_xlfn.ISFORMULA('Month-End'!$FL$27))),0,IF(OR(Settings!$C$50="",Settings!$D$50=""),0,Settings!$C$50*IF(Settings!$D$50="Weekly",IF(IFERROR(MATCH(Settings!$E$50,$EO$4:$EO$10,0),0)=0,0,IF(MIN(Settings!$B$5,IF(Settings!$G$50="",Settings!$B$5,Settings!$G$50))&lt;MAX($A171,Settings!$F$50),0,INT((MIN(Settings!$B$5,IF(Settings!$G$50="",Settings!$B$5,Settings!$G$50))-MAX($A171,Settings!$F$50)-MOD(IFERROR(MATCH(Settings!$E$50,$EO$4:$EO$10,0),0)-WEEKDAY(MAX($A171,Settings!$F$50)),7))/7)+1)),IF(AND(IF(Settings!$E$50="",$B171,DATE(YEAR($A171),MONTH($A171),MIN(Settings!$E$50,DAY($B171))))&gt;=MAX($A171,Settings!$F$50),IF(Settings!$E$50="",$B171,DATE(YEAR($A171),MONTH($A171),MIN(Settings!$E$50,DAY($B171))))&lt;=MIN(Settings!$B$5,IF(Settings!$G$50="",Settings!$B$5,Settings!$G$50))),1,0)))))</f>
        <v/>
      </c>
      <c r="EZ171">
        <f>IF($E171&lt;&gt;"open",0,IF(AND('Month-End'!$FL$28&lt;&gt;"",NOT(_xlfn.ISFORMULA('Month-End'!$FL$28))),0,IF(OR(Settings!$C$51="",Settings!$D$51=""),0,Settings!$C$51*IF(Settings!$D$51="Weekly",IF(IFERROR(MATCH(Settings!$E$51,$EO$4:$EO$10,0),0)=0,0,IF(MIN(Settings!$B$5,IF(Settings!$G$51="",Settings!$B$5,Settings!$G$51))&lt;MAX($A171,Settings!$F$51),0,INT((MIN(Settings!$B$5,IF(Settings!$G$51="",Settings!$B$5,Settings!$G$51))-MAX($A171,Settings!$F$51)-MOD(IFERROR(MATCH(Settings!$E$51,$EO$4:$EO$10,0),0)-WEEKDAY(MAX($A171,Settings!$F$51)),7))/7)+1)),IF(AND(IF(Settings!$E$51="",$B171,DATE(YEAR($A171),MONTH($A171),MIN(Settings!$E$51,DAY($B171))))&gt;=MAX($A171,Settings!$F$51),IF(Settings!$E$51="",$B171,DATE(YEAR($A171),MONTH($A171),MIN(Settings!$E$51,DAY($B171))))&lt;=MIN(Settings!$B$5,IF(Settings!$G$51="",Settings!$B$5,Settings!$G$51))),1,0)))))</f>
        <v/>
      </c>
      <c r="FA171">
        <f>IF($E171&lt;&gt;"open",0,IF(AND('Month-End'!$FL$29&lt;&gt;"",NOT(_xlfn.ISFORMULA('Month-End'!$FL$29))),0,IF(OR(Settings!$C$52="",Settings!$D$52=""),0,Settings!$C$52*IF(Settings!$D$52="Weekly",IF(IFERROR(MATCH(Settings!$E$52,$EO$4:$EO$10,0),0)=0,0,IF(MIN(Settings!$B$5,IF(Settings!$G$52="",Settings!$B$5,Settings!$G$52))&lt;MAX($A171,Settings!$F$52),0,INT((MIN(Settings!$B$5,IF(Settings!$G$52="",Settings!$B$5,Settings!$G$52))-MAX($A171,Settings!$F$52)-MOD(IFERROR(MATCH(Settings!$E$52,$EO$4:$EO$10,0),0)-WEEKDAY(MAX($A171,Settings!$F$52)),7))/7)+1)),IF(AND(IF(Settings!$E$52="",$B171,DATE(YEAR($A171),MONTH($A171),MIN(Settings!$E$52,DAY($B171))))&gt;=MAX($A171,Settings!$F$52),IF(Settings!$E$52="",$B171,DATE(YEAR($A171),MONTH($A171),MIN(Settings!$E$52,DAY($B171))))&lt;=MIN(Settings!$B$5,IF(Settings!$G$52="",Settings!$B$5,Settings!$G$52))),1,0)))))</f>
        <v/>
      </c>
      <c r="FB171">
        <f>IF($E171&lt;&gt;"open",0,IF(AND('Month-End'!$FL$30&lt;&gt;"",NOT(_xlfn.ISFORMULA('Month-End'!$FL$30))),0,IF(OR(Settings!$C$53="",Settings!$D$53=""),0,Settings!$C$53*IF(Settings!$D$53="Weekly",IF(IFERROR(MATCH(Settings!$E$53,$EO$4:$EO$10,0),0)=0,0,IF(MIN(Settings!$B$5,IF(Settings!$G$53="",Settings!$B$5,Settings!$G$53))&lt;MAX($A171,Settings!$F$53),0,INT((MIN(Settings!$B$5,IF(Settings!$G$53="",Settings!$B$5,Settings!$G$53))-MAX($A171,Settings!$F$53)-MOD(IFERROR(MATCH(Settings!$E$53,$EO$4:$EO$10,0),0)-WEEKDAY(MAX($A171,Settings!$F$53)),7))/7)+1)),IF(AND(IF(Settings!$E$53="",$B171,DATE(YEAR($A171),MONTH($A171),MIN(Settings!$E$53,DAY($B171))))&gt;=MAX($A171,Settings!$F$53),IF(Settings!$E$53="",$B171,DATE(YEAR($A171),MONTH($A171),MIN(Settings!$E$53,DAY($B171))))&lt;=MIN(Settings!$B$5,IF(Settings!$G$53="",Settings!$B$5,Settings!$G$53))),1,0)))))</f>
        <v/>
      </c>
      <c r="FC171">
        <f>IF($E171&lt;&gt;"open",0,IF(AND('Month-End'!$FL$31&lt;&gt;"",NOT(_xlfn.ISFORMULA('Month-End'!$FL$31))),0,IF(OR(Settings!$C$54="",Settings!$D$54=""),0,Settings!$C$54*IF(Settings!$D$54="Weekly",IF(IFERROR(MATCH(Settings!$E$54,$EO$4:$EO$10,0),0)=0,0,IF(MIN(Settings!$B$5,IF(Settings!$G$54="",Settings!$B$5,Settings!$G$54))&lt;MAX($A171,Settings!$F$54),0,INT((MIN(Settings!$B$5,IF(Settings!$G$54="",Settings!$B$5,Settings!$G$54))-MAX($A171,Settings!$F$54)-MOD(IFERROR(MATCH(Settings!$E$54,$EO$4:$EO$10,0),0)-WEEKDAY(MAX($A171,Settings!$F$54)),7))/7)+1)),IF(AND(IF(Settings!$E$54="",$B171,DATE(YEAR($A171),MONTH($A171),MIN(Settings!$E$54,DAY($B171))))&gt;=MAX($A171,Settings!$F$54),IF(Settings!$E$54="",$B171,DATE(YEAR($A171),MONTH($A171),MIN(Settings!$E$54,DAY($B171))))&lt;=MIN(Settings!$B$5,IF(Settings!$G$54="",Settings!$B$5,Settings!$G$54))),1,0)))))</f>
        <v/>
      </c>
      <c r="FD171">
        <f>IF($E171&lt;&gt;"open",0,IF(AND('Month-End'!$FL$32&lt;&gt;"",NOT(_xlfn.ISFORMULA('Month-End'!$FL$32))),0,IF(OR(Settings!$C$55="",Settings!$D$55=""),0,Settings!$C$55*IF(Settings!$D$55="Weekly",IF(IFERROR(MATCH(Settings!$E$55,$EO$4:$EO$10,0),0)=0,0,IF(MIN(Settings!$B$5,IF(Settings!$G$55="",Settings!$B$5,Settings!$G$55))&lt;MAX($A171,Settings!$F$55),0,INT((MIN(Settings!$B$5,IF(Settings!$G$55="",Settings!$B$5,Settings!$G$55))-MAX($A171,Settings!$F$55)-MOD(IFERROR(MATCH(Settings!$E$55,$EO$4:$EO$10,0),0)-WEEKDAY(MAX($A171,Settings!$F$55)),7))/7)+1)),IF(AND(IF(Settings!$E$55="",$B171,DATE(YEAR($A171),MONTH($A171),MIN(Settings!$E$55,DAY($B171))))&gt;=MAX($A171,Settings!$F$55),IF(Settings!$E$55="",$B171,DATE(YEAR($A171),MONTH($A171),MIN(Settings!$E$55,DAY($B171))))&lt;=MIN(Settings!$B$5,IF(Settings!$G$55="",Settings!$B$5,Settings!$G$55))),1,0)))))</f>
        <v/>
      </c>
      <c r="FE171">
        <f>IF($E171&lt;&gt;"open",0,IF(AND('Month-End'!$FL$33&lt;&gt;"",NOT(_xlfn.ISFORMULA('Month-End'!$FL$33))),0,IF(OR(Settings!$C$56="",Settings!$D$56=""),0,Settings!$C$56*IF(Settings!$D$56="Weekly",IF(IFERROR(MATCH(Settings!$E$56,$EO$4:$EO$10,0),0)=0,0,IF(MIN(Settings!$B$5,IF(Settings!$G$56="",Settings!$B$5,Settings!$G$56))&lt;MAX($A171,Settings!$F$56),0,INT((MIN(Settings!$B$5,IF(Settings!$G$56="",Settings!$B$5,Settings!$G$56))-MAX($A171,Settings!$F$56)-MOD(IFERROR(MATCH(Settings!$E$56,$EO$4:$EO$10,0),0)-WEEKDAY(MAX($A171,Settings!$F$56)),7))/7)+1)),IF(AND(IF(Settings!$E$56="",$B171,DATE(YEAR($A171),MONTH($A171),MIN(Settings!$E$56,DAY($B171))))&gt;=MAX($A171,Settings!$F$56),IF(Settings!$E$56="",$B171,DATE(YEAR($A171),MONTH($A171),MIN(Settings!$E$56,DAY($B171))))&lt;=MIN(Settings!$B$5,IF(Settings!$G$56="",Settings!$B$5,Settings!$G$56))),1,0)))))</f>
        <v/>
      </c>
      <c r="FF171">
        <f>IF(Settings!$I$45="Yes",$G171,0)+IF(Settings!$I$46="Yes",$H171,0)+IF(Settings!$I$47="Yes",$I171,0)+IF(Settings!$I$48="Yes",$J171,0)+IF(Settings!$I$49="Yes",$K171,0)+IF(Settings!$I$50="Yes",$L171,0)+IF(Settings!$I$51="Yes",$M171,0)+IF(Settings!$I$52="Yes",$N171,0)+IF(Settings!$I$53="Yes",$O171,0)+IF(Settings!$I$54="Yes",$P171,0)+IF(Settings!$I$55="Yes",$Q171,0)+IF(Settings!$I$56="Yes",$R171,0)</f>
        <v/>
      </c>
      <c r="FG171">
        <f>IF(AND(Settings!$I$45="Yes",Settings!$J$45="No"),$G171,0)+IF(AND(Settings!$I$46="Yes",Settings!$J$46="No"),$H171,0)+IF(AND(Settings!$I$47="Yes",Settings!$J$47="No"),$I171,0)+IF(AND(Settings!$I$48="Yes",Settings!$J$48="No"),$J171,0)+IF(AND(Settings!$I$49="Yes",Settings!$J$49="No"),$K171,0)+IF(AND(Settings!$I$50="Yes",Settings!$J$50="No"),$L171,0)+IF(AND(Settings!$I$51="Yes",Settings!$J$51="No"),$M171,0)+IF(AND(Settings!$I$52="Yes",Settings!$J$52="No"),$N171,0)+IF(AND(Settings!$I$53="Yes",Settings!$J$53="No"),$O171,0)+IF(AND(Settings!$I$54="Yes",Settings!$J$54="No"),$P171,0)+IF(AND(Settings!$I$55="Yes",Settings!$J$55="No"),$Q171,0)+IF(AND(Settings!$I$56="Yes",Settings!$J$56="No"),$R171,0)</f>
        <v/>
      </c>
      <c r="FH171">
        <f>SUMIFS(Giving!$B$7:$B$2006,Giving!$A$7:$A$2006,"&gt;="&amp;$A171,Giving!$A$7:$A$2006,"&lt;="&amp;$B171,Giving!$G$7:$G$2006,"Yes")+IF(OR(OR(Settings!$B$60="",Settings!$F$60="No"),Settings!$H$60&lt;&gt;"Yes"),0,Settings!$B$60*IF(AND(IF(Settings!$C$60="",$B171,DATE(YEAR($A171),MONTH($A171),MIN(Settings!$C$60,DAY($B171))))&gt;=MAX($A171,Settings!$D$60),IF(Settings!$C$60="",$B171,DATE(YEAR($A171),MONTH($A171),MIN(Settings!$C$60,DAY($B171))))&lt;=MIN($C171,IF(Settings!$E$60="",$C171,Settings!$E$60))),1,0))+IF(OR(OR(Settings!$B$61="",Settings!$F$61="No"),Settings!$H$61&lt;&gt;"Yes"),0,Settings!$B$61*IF(AND(IF(Settings!$C$61="",$B171,DATE(YEAR($A171),MONTH($A171),MIN(Settings!$C$61,DAY($B171))))&gt;=MAX($A171,Settings!$D$61),IF(Settings!$C$61="",$B171,DATE(YEAR($A171),MONTH($A171),MIN(Settings!$C$61,DAY($B171))))&lt;=MIN($C171,IF(Settings!$E$61="",$C171,Settings!$E$61))),1,0))+IF(OR(OR(Settings!$B$62="",Settings!$F$62="No"),Settings!$H$62&lt;&gt;"Yes"),0,Settings!$B$62*IF(AND(IF(Settings!$C$62="",$B171,DATE(YEAR($A171),MONTH($A171),MIN(Settings!$C$62,DAY($B171))))&gt;=MAX($A171,Settings!$D$62),IF(Settings!$C$62="",$B171,DATE(YEAR($A171),MONTH($A171),MIN(Settings!$C$62,DAY($B171))))&lt;=MIN($C171,IF(Settings!$E$62="",$C171,Settings!$E$62))),1,0))+IF(OR(OR(Settings!$B$63="",Settings!$F$63="No"),Settings!$H$63&lt;&gt;"Yes"),0,Settings!$B$63*IF(AND(IF(Settings!$C$63="",$B171,DATE(YEAR($A171),MONTH($A171),MIN(Settings!$C$63,DAY($B171))))&gt;=MAX($A171,Settings!$D$63),IF(Settings!$C$63="",$B171,DATE(YEAR($A171),MONTH($A171),MIN(Settings!$C$63,DAY($B171))))&lt;=MIN($C171,IF(Settings!$E$63="",$C171,Settings!$E$63))),1,0))+IF(OR(OR(Settings!$B$64="",Settings!$F$64="No"),Settings!$H$64&lt;&gt;"Yes"),0,Settings!$B$64*IF(AND(IF(Settings!$C$64="",$B171,DATE(YEAR($A171),MONTH($A171),MIN(Settings!$C$64,DAY($B171))))&gt;=MAX($A171,Settings!$D$64),IF(Settings!$C$64="",$B171,DATE(YEAR($A171),MONTH($A171),MIN(Settings!$C$64,DAY($B171))))&lt;=MIN($C171,IF(Settings!$E$64="",$C171,Settings!$E$64))),1,0))+IF(OR(OR(Settings!$B$65="",Settings!$F$65="No"),Settings!$H$65&lt;&gt;"Yes"),0,Settings!$B$65*IF(AND(IF(Settings!$C$65="",$B171,DATE(YEAR($A171),MONTH($A171),MIN(Settings!$C$65,DAY($B171))))&gt;=MAX($A171,Settings!$D$65),IF(Settings!$C$65="",$B171,DATE(YEAR($A171),MONTH($A171),MIN(Settings!$C$65,DAY($B171))))&lt;=MIN($C171,IF(Settings!$E$65="",$C171,Settings!$E$65))),1,0))</f>
        <v/>
      </c>
      <c r="FI171">
        <f>IF($DT171=1,IF(OR(Settings!$B$19="Card",Settings!$B$19="Loan"),N($AE171),0)+IF(OR(Settings!$B$20="Card",Settings!$B$20="Loan"),N($AF171),0)+IF(OR(Settings!$B$21="Card",Settings!$B$21="Loan"),N($AG171),0)+IF(OR(Settings!$B$22="Card",Settings!$B$22="Loan"),N($AH171),0)+IF(OR(Settings!$B$23="Card",Settings!$B$23="Loan"),N($AI171),0)+IF(OR(Settings!$B$24="Card",Settings!$B$24="Loan"),N($AJ171),0)+IF(OR(Settings!$B$25="Card",Settings!$B$25="Loan"),N($AK171),0)+IF(OR(Settings!$B$26="Card",Settings!$B$26="Loan"),N($AL171),0)+IF(OR(Settings!$B$27="Card",Settings!$B$27="Loan"),N($AM171),0)+IF(OR(Settings!$B$28="Card",Settings!$B$28="Loan"),N($AN171),0)+IF(OR(Settings!$B$29="Card",Settings!$B$29="Loan"),N($AO171),0)+IF(OR(Settings!$B$30="Card",Settings!$B$30="Loan"),N($AP171),0)+IF(OR(Settings!$B$31="Card",Settings!$B$31="Loan"),N($AQ171),0)+IF(OR(Settings!$B$32="Card",Settings!$B$32="Loan"),N($AR171),0),"")</f>
        <v/>
      </c>
      <c r="FJ171">
        <f>IF($E171="open",$EB$65,IF($E171="post",IF($E170="pre",$EB$65,$FI170),""))</f>
        <v/>
      </c>
      <c r="FK171">
        <f>IF(AND($DT171=1,$DC171=1),IF(ROUND($FI171-$FJ171,2)&gt;0,1,0),0)</f>
        <v/>
      </c>
      <c r="FL171">
        <f>IF($FK171=1,$FL170+1,0)</f>
        <v/>
      </c>
    </row>
    <row r="172">
      <c r="A172">
        <f>'Month-End'!$FM$4</f>
        <v/>
      </c>
      <c r="B172">
        <f>EOMONTH($A172,0)</f>
        <v/>
      </c>
      <c r="C172">
        <f>MIN($B172,TODAY())</f>
        <v/>
      </c>
      <c r="D172">
        <f>IF($A172&gt;TODAY(),1,0)</f>
        <v/>
      </c>
      <c r="E172">
        <f>IF($B172&lt;=Settings!$B$5,"pre",IF($A172&lt;=Settings!$B$5,"open","post"))</f>
        <v/>
      </c>
      <c r="G172">
        <f>IF('Month-End'!$FM$22="",$BE172,N('Month-End'!$FM$22))</f>
        <v/>
      </c>
      <c r="H172">
        <f>IF('Month-End'!$FM$23="",$BF172,N('Month-End'!$FM$23))</f>
        <v/>
      </c>
      <c r="I172">
        <f>IF('Month-End'!$FM$24="",$BG172,N('Month-End'!$FM$24))</f>
        <v/>
      </c>
      <c r="J172">
        <f>IF('Month-End'!$FM$25="",$BH172,N('Month-End'!$FM$25))</f>
        <v/>
      </c>
      <c r="K172">
        <f>IF('Month-End'!$FM$26="",$BI172,N('Month-End'!$FM$26))</f>
        <v/>
      </c>
      <c r="L172">
        <f>IF('Month-End'!$FM$27="",$BJ172,N('Month-End'!$FM$27))</f>
        <v/>
      </c>
      <c r="M172">
        <f>IF('Month-End'!$FM$28="",$BK172,N('Month-End'!$FM$28))</f>
        <v/>
      </c>
      <c r="N172">
        <f>IF('Month-End'!$FM$29="",$BL172,N('Month-End'!$FM$29))</f>
        <v/>
      </c>
      <c r="O172">
        <f>IF('Month-End'!$FM$30="",$BM172,N('Month-End'!$FM$30))</f>
        <v/>
      </c>
      <c r="P172">
        <f>IF('Month-End'!$FM$31="",$BN172,N('Month-End'!$FM$31))</f>
        <v/>
      </c>
      <c r="Q172">
        <f>IF('Month-End'!$FM$32="",$BO172,N('Month-End'!$FM$32))</f>
        <v/>
      </c>
      <c r="R172">
        <f>IF('Month-End'!$FM$33="",$BP172,N('Month-End'!$FM$33))</f>
        <v/>
      </c>
      <c r="S172">
        <f>$G172+$H172+$I172+$J172+$K172+$L172+$M172+$N172+$O172+$P172+$Q172+$R172</f>
        <v/>
      </c>
      <c r="T172">
        <f>IF($B172&lt;Settings!$B$6,0,IF(Settings!$B$45="Yes",$G172,0)+IF(Settings!$B$46="Yes",$H172,0)+IF(Settings!$B$47="Yes",$I172,0)+IF(Settings!$B$48="Yes",$J172,0)+IF(Settings!$B$49="Yes",$K172,0)+IF(Settings!$B$50="Yes",$L172,0)+IF(Settings!$B$51="Yes",$M172,0)+IF(Settings!$B$52="Yes",$N172,0)+IF(Settings!$B$53="Yes",$O172,0)+IF(Settings!$B$54="Yes",$P172,0)+IF(Settings!$B$55="Yes",$Q172,0)+IF(Settings!$B$56="Yes",$R172,0))</f>
        <v/>
      </c>
      <c r="U172">
        <f>IF(Settings!$B$45="Not Sure",$G172,0)+IF(Settings!$B$46="Not Sure",$H172,0)+IF(Settings!$B$47="Not Sure",$I172,0)+IF(Settings!$B$48="Not Sure",$J172,0)+IF(Settings!$B$49="Not Sure",$K172,0)+IF(Settings!$B$50="Not Sure",$L172,0)+IF(Settings!$B$51="Not Sure",$M172,0)+IF(Settings!$B$52="Not Sure",$N172,0)+IF(Settings!$B$53="Not Sure",$O172,0)+IF(Settings!$B$54="Not Sure",$P172,0)+IF(Settings!$B$55="Not Sure",$Q172,0)+IF(Settings!$B$56="Not Sure",$R172,0)</f>
        <v/>
      </c>
      <c r="V172">
        <f>IF($E172="open",SUM($ET172:$FE172)+N(Settings!$B$13),0)</f>
        <v/>
      </c>
      <c r="W172">
        <f>IF($E172="post",$S172,IF($E172="open",$S172-$V172,0))</f>
        <v/>
      </c>
      <c r="X172">
        <f>SUMIFS(Giving!$B$7:$B$2006,Giving!$A$7:$A$2006,"&gt;="&amp;$A172,Giving!$A$7:$A$2006,"&lt;="&amp;$B172,Giving!$E$7:$E$2006,"&lt;&gt;No")</f>
        <v/>
      </c>
      <c r="Y172">
        <f>SUMIFS(Giving!$B$7:$B$2006,Giving!$A$7:$A$2006,"&gt;="&amp;$A172,Giving!$A$7:$A$2006,"&lt;="&amp;$B172,Giving!$E$7:$E$2006,"No")</f>
        <v/>
      </c>
      <c r="Z172">
        <f>IF(OR(Settings!$B$60="",Settings!$F$60="No"),0,Settings!$B$60*IF(AND(IF(Settings!$C$60="",$B172,DATE(YEAR($A172),MONTH($A172),MIN(Settings!$C$60,DAY($B172))))&gt;=MAX($A172,Settings!$D$60),IF(Settings!$C$60="",$B172,DATE(YEAR($A172),MONTH($A172),MIN(Settings!$C$60,DAY($B172))))&lt;=MIN($C172,IF(Settings!$E$60="",$C172,Settings!$E$60))),1,0))+IF(OR(Settings!$B$61="",Settings!$F$61="No"),0,Settings!$B$61*IF(AND(IF(Settings!$C$61="",$B172,DATE(YEAR($A172),MONTH($A172),MIN(Settings!$C$61,DAY($B172))))&gt;=MAX($A172,Settings!$D$61),IF(Settings!$C$61="",$B172,DATE(YEAR($A172),MONTH($A172),MIN(Settings!$C$61,DAY($B172))))&lt;=MIN($C172,IF(Settings!$E$61="",$C172,Settings!$E$61))),1,0))+IF(OR(Settings!$B$62="",Settings!$F$62="No"),0,Settings!$B$62*IF(AND(IF(Settings!$C$62="",$B172,DATE(YEAR($A172),MONTH($A172),MIN(Settings!$C$62,DAY($B172))))&gt;=MAX($A172,Settings!$D$62),IF(Settings!$C$62="",$B172,DATE(YEAR($A172),MONTH($A172),MIN(Settings!$C$62,DAY($B172))))&lt;=MIN($C172,IF(Settings!$E$62="",$C172,Settings!$E$62))),1,0))+IF(OR(Settings!$B$63="",Settings!$F$63="No"),0,Settings!$B$63*IF(AND(IF(Settings!$C$63="",$B172,DATE(YEAR($A172),MONTH($A172),MIN(Settings!$C$63,DAY($B172))))&gt;=MAX($A172,Settings!$D$63),IF(Settings!$C$63="",$B172,DATE(YEAR($A172),MONTH($A172),MIN(Settings!$C$63,DAY($B172))))&lt;=MIN($C172,IF(Settings!$E$63="",$C172,Settings!$E$63))),1,0))+IF(OR(Settings!$B$64="",Settings!$F$64="No"),0,Settings!$B$64*IF(AND(IF(Settings!$C$64="",$B172,DATE(YEAR($A172),MONTH($A172),MIN(Settings!$C$64,DAY($B172))))&gt;=MAX($A172,Settings!$D$64),IF(Settings!$C$64="",$B172,DATE(YEAR($A172),MONTH($A172),MIN(Settings!$C$64,DAY($B172))))&lt;=MIN($C172,IF(Settings!$E$64="",$C172,Settings!$E$64))),1,0))+IF(OR(Settings!$B$65="",Settings!$F$65="No"),0,Settings!$B$65*IF(AND(IF(Settings!$C$65="",$B172,DATE(YEAR($A172),MONTH($A172),MIN(Settings!$C$65,DAY($B172))))&gt;=MAX($A172,Settings!$D$65),IF(Settings!$C$65="",$B172,DATE(YEAR($A172),MONTH($A172),MIN(Settings!$C$65,DAY($B172))))&lt;=MIN($C172,IF(Settings!$E$65="",$C172,Settings!$E$65))),1,0))</f>
        <v/>
      </c>
      <c r="AA172">
        <f>$X172+$Z172</f>
        <v/>
      </c>
      <c r="AB172">
        <f>IF($E172="post",$AA172,IF($E172="open",SUMIFS(Giving!$B$7:$B$2006,Giving!$A$7:$A$2006,"&gt;"&amp;Settings!$B$5,Giving!$A$7:$A$2006,"&lt;="&amp;$B172,Giving!$E$7:$E$2006,"&lt;&gt;No")+IF(OR(Settings!$B$60="",Settings!$F$60="No"),0,Settings!$B$60*IF(AND(IF(Settings!$C$60="",$B172,DATE(YEAR($A172),MONTH($A172),MIN(Settings!$C$60,DAY($B172))))&gt;=MAX($A172,Settings!$D$60,Settings!$B$5+1),IF(Settings!$C$60="",$B172,DATE(YEAR($A172),MONTH($A172),MIN(Settings!$C$60,DAY($B172))))&lt;=MIN($C172,IF(Settings!$E$60="",$C172,Settings!$E$60))),1,0))+IF(OR(Settings!$B$61="",Settings!$F$61="No"),0,Settings!$B$61*IF(AND(IF(Settings!$C$61="",$B172,DATE(YEAR($A172),MONTH($A172),MIN(Settings!$C$61,DAY($B172))))&gt;=MAX($A172,Settings!$D$61,Settings!$B$5+1),IF(Settings!$C$61="",$B172,DATE(YEAR($A172),MONTH($A172),MIN(Settings!$C$61,DAY($B172))))&lt;=MIN($C172,IF(Settings!$E$61="",$C172,Settings!$E$61))),1,0))+IF(OR(Settings!$B$62="",Settings!$F$62="No"),0,Settings!$B$62*IF(AND(IF(Settings!$C$62="",$B172,DATE(YEAR($A172),MONTH($A172),MIN(Settings!$C$62,DAY($B172))))&gt;=MAX($A172,Settings!$D$62,Settings!$B$5+1),IF(Settings!$C$62="",$B172,DATE(YEAR($A172),MONTH($A172),MIN(Settings!$C$62,DAY($B172))))&lt;=MIN($C172,IF(Settings!$E$62="",$C172,Settings!$E$62))),1,0))+IF(OR(Settings!$B$63="",Settings!$F$63="No"),0,Settings!$B$63*IF(AND(IF(Settings!$C$63="",$B172,DATE(YEAR($A172),MONTH($A172),MIN(Settings!$C$63,DAY($B172))))&gt;=MAX($A172,Settings!$D$63,Settings!$B$5+1),IF(Settings!$C$63="",$B172,DATE(YEAR($A172),MONTH($A172),MIN(Settings!$C$63,DAY($B172))))&lt;=MIN($C172,IF(Settings!$E$63="",$C172,Settings!$E$63))),1,0))+IF(OR(Settings!$B$64="",Settings!$F$64="No"),0,Settings!$B$64*IF(AND(IF(Settings!$C$64="",$B172,DATE(YEAR($A172),MONTH($A172),MIN(Settings!$C$64,DAY($B172))))&gt;=MAX($A172,Settings!$D$64,Settings!$B$5+1),IF(Settings!$C$64="",$B172,DATE(YEAR($A172),MONTH($A172),MIN(Settings!$C$64,DAY($B172))))&lt;=MIN($C172,IF(Settings!$E$64="",$C172,Settings!$E$64))),1,0))+IF(OR(Settings!$B$65="",Settings!$F$65="No"),0,Settings!$B$65*IF(AND(IF(Settings!$C$65="",$B172,DATE(YEAR($A172),MONTH($A172),MIN(Settings!$C$65,DAY($B172))))&gt;=MAX($A172,Settings!$D$65,Settings!$B$5+1),IF(Settings!$C$65="",$B172,DATE(YEAR($A172),MONTH($A172),MIN(Settings!$C$65,DAY($B172))))&lt;=MIN($C172,IF(Settings!$E$65="",$C172,Settings!$E$65))),1,0)),0))</f>
        <v/>
      </c>
      <c r="AC172">
        <f>$AY172+$AZ172+$BA172+$BB172+$BC172+$BD172</f>
        <v/>
      </c>
      <c r="AD172">
        <f>$AC172</f>
        <v/>
      </c>
      <c r="AE172">
        <f>IF(OR(Settings!$A$19="",$E172="pre"),"",IF(AND('Month-End'!$FM$7&lt;&gt;"",NOT(_xlfn.ISFORMULA('Month-End'!$FM$7))),N('Month-End'!$FM$7),IF(OR($E172="open",$E171="pre"),N(Settings!$C$19),N($AE171))))</f>
        <v/>
      </c>
      <c r="AF172">
        <f>IF(OR(Settings!$A$20="",$E172="pre"),"",IF(AND('Month-End'!$FM$8&lt;&gt;"",NOT(_xlfn.ISFORMULA('Month-End'!$FM$8))),N('Month-End'!$FM$8),IF(OR($E172="open",$E171="pre"),N(Settings!$C$20),N($AF171))))</f>
        <v/>
      </c>
      <c r="AG172">
        <f>IF(OR(Settings!$A$21="",$E172="pre"),"",IF(AND('Month-End'!$FM$9&lt;&gt;"",NOT(_xlfn.ISFORMULA('Month-End'!$FM$9))),N('Month-End'!$FM$9),IF(OR($E172="open",$E171="pre"),N(Settings!$C$21),N($AG171))))</f>
        <v/>
      </c>
      <c r="AH172">
        <f>IF(OR(Settings!$A$22="",$E172="pre"),"",IF(AND('Month-End'!$FM$10&lt;&gt;"",NOT(_xlfn.ISFORMULA('Month-End'!$FM$10))),N('Month-End'!$FM$10),IF(OR($E172="open",$E171="pre"),N(Settings!$C$22),N($AH171))))</f>
        <v/>
      </c>
      <c r="AI172">
        <f>IF(OR(Settings!$A$23="",$E172="pre"),"",IF(AND('Month-End'!$FM$11&lt;&gt;"",NOT(_xlfn.ISFORMULA('Month-End'!$FM$11))),N('Month-End'!$FM$11),IF(OR($E172="open",$E171="pre"),N(Settings!$C$23),N($AI171))))</f>
        <v/>
      </c>
      <c r="AJ172">
        <f>IF(OR(Settings!$A$24="",$E172="pre"),"",IF(AND('Month-End'!$FM$12&lt;&gt;"",NOT(_xlfn.ISFORMULA('Month-End'!$FM$12))),N('Month-End'!$FM$12),IF(OR($E172="open",$E171="pre"),N(Settings!$C$24),N($AJ171))))</f>
        <v/>
      </c>
      <c r="AK172">
        <f>IF(OR(Settings!$A$25="",$E172="pre"),"",IF(AND('Month-End'!$FM$13&lt;&gt;"",NOT(_xlfn.ISFORMULA('Month-End'!$FM$13))),N('Month-End'!$FM$13),IF(OR($E172="open",$E171="pre"),N(Settings!$C$25),N($AK171))))</f>
        <v/>
      </c>
      <c r="AL172">
        <f>IF(OR(Settings!$A$26="",$E172="pre"),"",IF(AND('Month-End'!$FM$14&lt;&gt;"",NOT(_xlfn.ISFORMULA('Month-End'!$FM$14))),N('Month-End'!$FM$14),IF(OR($E172="open",$E171="pre"),N(Settings!$C$26),N($AL171))))</f>
        <v/>
      </c>
      <c r="AM172">
        <f>IF(OR(Settings!$A$27="",$E172="pre"),"",IF(AND('Month-End'!$FM$15&lt;&gt;"",NOT(_xlfn.ISFORMULA('Month-End'!$FM$15))),N('Month-End'!$FM$15),IF(OR($E172="open",$E171="pre"),N(Settings!$C$27),N($AM171))))</f>
        <v/>
      </c>
      <c r="AN172">
        <f>IF(OR(Settings!$A$28="",$E172="pre"),"",IF(AND('Month-End'!$FM$16&lt;&gt;"",NOT(_xlfn.ISFORMULA('Month-End'!$FM$16))),N('Month-End'!$FM$16),IF(OR($E172="open",$E171="pre"),N(Settings!$C$28),N($AN171))))</f>
        <v/>
      </c>
      <c r="AO172">
        <f>IF(OR(Settings!$A$29="",$E172="pre"),"",IF(AND('Month-End'!$FM$17&lt;&gt;"",NOT(_xlfn.ISFORMULA('Month-End'!$FM$17))),N('Month-End'!$FM$17),IF(OR($E172="open",$E171="pre"),N(Settings!$C$29),N($AO171))))</f>
        <v/>
      </c>
      <c r="AP172">
        <f>IF(OR(Settings!$A$30="",$E172="pre"),"",IF(AND('Month-End'!$FM$18&lt;&gt;"",NOT(_xlfn.ISFORMULA('Month-End'!$FM$18))),N('Month-End'!$FM$18),IF(OR($E172="open",$E171="pre"),N(Settings!$C$30),N($AP171))))</f>
        <v/>
      </c>
      <c r="AQ172">
        <f>IF(OR(Settings!$A$31="",$E172="pre"),"",IF(AND('Month-End'!$FM$19&lt;&gt;"",NOT(_xlfn.ISFORMULA('Month-End'!$FM$19))),N('Month-End'!$FM$19),IF(OR($E172="open",$E171="pre"),N(Settings!$C$31),N($AQ171))))</f>
        <v/>
      </c>
      <c r="AR172">
        <f>IF(OR(Settings!$A$32="",$E172="pre"),"",IF(AND('Month-End'!$FM$20&lt;&gt;"",NOT(_xlfn.ISFORMULA('Month-End'!$FM$20))),N('Month-End'!$FM$20),IF(OR($E172="open",$E171="pre"),N(Settings!$C$32),N($AR171))))</f>
        <v/>
      </c>
      <c r="AS172">
        <f>IF(OR(Settings!$A$36="",$E172="pre"),"",IF(AND('Month-End'!$FM$38&lt;&gt;"",NOT(_xlfn.ISFORMULA('Month-End'!$FM$38))),N('Month-End'!$FM$38),IF(OR($E172="open",$E171="pre"),N(Settings!$C$36),N($AS171))+$AY172))</f>
        <v/>
      </c>
      <c r="AT172">
        <f>IF(OR(Settings!$A$37="",$E172="pre"),"",IF(AND('Month-End'!$FM$39&lt;&gt;"",NOT(_xlfn.ISFORMULA('Month-End'!$FM$39))),N('Month-End'!$FM$39),IF(OR($E172="open",$E171="pre"),N(Settings!$C$37),N($AT171))+$AZ172))</f>
        <v/>
      </c>
      <c r="AU172">
        <f>IF(OR(Settings!$A$38="",$E172="pre"),"",IF(AND('Month-End'!$FM$40&lt;&gt;"",NOT(_xlfn.ISFORMULA('Month-End'!$FM$40))),N('Month-End'!$FM$40),IF(OR($E172="open",$E171="pre"),N(Settings!$C$38),N($AU171))+$BA172))</f>
        <v/>
      </c>
      <c r="AV172">
        <f>IF(OR(Settings!$A$39="",$E172="pre"),"",IF(AND('Month-End'!$FM$41&lt;&gt;"",NOT(_xlfn.ISFORMULA('Month-End'!$FM$41))),N('Month-End'!$FM$41),IF(OR($E172="open",$E171="pre"),N(Settings!$C$39),N($AV171))+$BB172))</f>
        <v/>
      </c>
      <c r="AW172">
        <f>IF(OR(Settings!$A$40="",$E172="pre"),"",IF(AND('Month-End'!$FM$42&lt;&gt;"",NOT(_xlfn.ISFORMULA('Month-End'!$FM$42))),N('Month-End'!$FM$42),IF(OR($E172="open",$E171="pre"),N(Settings!$C$40),N($AW171))+$BC172))</f>
        <v/>
      </c>
      <c r="AX172">
        <f>IF(OR(Settings!$A$41="",$E172="pre"),"",IF(AND('Month-End'!$FM$43&lt;&gt;"",NOT(_xlfn.ISFORMULA('Month-End'!$FM$43))),N('Month-End'!$FM$43),IF(OR($E172="open",$E171="pre"),N(Settings!$C$41),N($AX171))+$BD172))</f>
        <v/>
      </c>
      <c r="AY172">
        <f>IF($E172="pre",0,N('Month-End'!$FM$45))</f>
        <v/>
      </c>
      <c r="AZ172">
        <f>IF($E172="pre",0,N('Month-End'!$FM$46))</f>
        <v/>
      </c>
      <c r="BA172">
        <f>IF($E172="pre",0,N('Month-End'!$FM$47))</f>
        <v/>
      </c>
      <c r="BB172">
        <f>IF($E172="pre",0,N('Month-End'!$FM$48))</f>
        <v/>
      </c>
      <c r="BC172">
        <f>IF($E172="pre",0,N('Month-End'!$FM$49))</f>
        <v/>
      </c>
      <c r="BD172">
        <f>IF($E172="pre",0,N('Month-End'!$FM$50))</f>
        <v/>
      </c>
      <c r="BE172">
        <f>IF(OR(Settings!$C$45="",Settings!$D$45=""),0,Settings!$C$45*IF(Settings!$D$45="Weekly",IF(IFERROR(MATCH(Settings!$E$45,$EO$4:$EO$10,0),0)=0,0,IF(MIN($C172,IF(Settings!$G$45="",$C172,Settings!$G$45))&lt;MAX($A172,Settings!$F$45),0,INT((MIN($C172,IF(Settings!$G$45="",$C172,Settings!$G$45))-MAX($A172,Settings!$F$45)-MOD(IFERROR(MATCH(Settings!$E$45,$EO$4:$EO$10,0),0)-WEEKDAY(MAX($A172,Settings!$F$45)),7))/7)+1)),IF(AND(IF(Settings!$E$45="",$B172,DATE(YEAR($A172),MONTH($A172),MIN(Settings!$E$45,DAY($B172))))&gt;=MAX($A172,Settings!$F$45),IF(Settings!$E$45="",$B172,DATE(YEAR($A172),MONTH($A172),MIN(Settings!$E$45,DAY($B172))))&lt;=MIN($C172,IF(Settings!$G$45="",$C172,Settings!$G$45))),1,0)))</f>
        <v/>
      </c>
      <c r="BF172">
        <f>IF(OR(Settings!$C$46="",Settings!$D$46=""),0,Settings!$C$46*IF(Settings!$D$46="Weekly",IF(IFERROR(MATCH(Settings!$E$46,$EO$4:$EO$10,0),0)=0,0,IF(MIN($C172,IF(Settings!$G$46="",$C172,Settings!$G$46))&lt;MAX($A172,Settings!$F$46),0,INT((MIN($C172,IF(Settings!$G$46="",$C172,Settings!$G$46))-MAX($A172,Settings!$F$46)-MOD(IFERROR(MATCH(Settings!$E$46,$EO$4:$EO$10,0),0)-WEEKDAY(MAX($A172,Settings!$F$46)),7))/7)+1)),IF(AND(IF(Settings!$E$46="",$B172,DATE(YEAR($A172),MONTH($A172),MIN(Settings!$E$46,DAY($B172))))&gt;=MAX($A172,Settings!$F$46),IF(Settings!$E$46="",$B172,DATE(YEAR($A172),MONTH($A172),MIN(Settings!$E$46,DAY($B172))))&lt;=MIN($C172,IF(Settings!$G$46="",$C172,Settings!$G$46))),1,0)))</f>
        <v/>
      </c>
      <c r="BG172">
        <f>IF(OR(Settings!$C$47="",Settings!$D$47=""),0,Settings!$C$47*IF(Settings!$D$47="Weekly",IF(IFERROR(MATCH(Settings!$E$47,$EO$4:$EO$10,0),0)=0,0,IF(MIN($C172,IF(Settings!$G$47="",$C172,Settings!$G$47))&lt;MAX($A172,Settings!$F$47),0,INT((MIN($C172,IF(Settings!$G$47="",$C172,Settings!$G$47))-MAX($A172,Settings!$F$47)-MOD(IFERROR(MATCH(Settings!$E$47,$EO$4:$EO$10,0),0)-WEEKDAY(MAX($A172,Settings!$F$47)),7))/7)+1)),IF(AND(IF(Settings!$E$47="",$B172,DATE(YEAR($A172),MONTH($A172),MIN(Settings!$E$47,DAY($B172))))&gt;=MAX($A172,Settings!$F$47),IF(Settings!$E$47="",$B172,DATE(YEAR($A172),MONTH($A172),MIN(Settings!$E$47,DAY($B172))))&lt;=MIN($C172,IF(Settings!$G$47="",$C172,Settings!$G$47))),1,0)))</f>
        <v/>
      </c>
      <c r="BH172">
        <f>IF(OR(Settings!$C$48="",Settings!$D$48=""),0,Settings!$C$48*IF(Settings!$D$48="Weekly",IF(IFERROR(MATCH(Settings!$E$48,$EO$4:$EO$10,0),0)=0,0,IF(MIN($C172,IF(Settings!$G$48="",$C172,Settings!$G$48))&lt;MAX($A172,Settings!$F$48),0,INT((MIN($C172,IF(Settings!$G$48="",$C172,Settings!$G$48))-MAX($A172,Settings!$F$48)-MOD(IFERROR(MATCH(Settings!$E$48,$EO$4:$EO$10,0),0)-WEEKDAY(MAX($A172,Settings!$F$48)),7))/7)+1)),IF(AND(IF(Settings!$E$48="",$B172,DATE(YEAR($A172),MONTH($A172),MIN(Settings!$E$48,DAY($B172))))&gt;=MAX($A172,Settings!$F$48),IF(Settings!$E$48="",$B172,DATE(YEAR($A172),MONTH($A172),MIN(Settings!$E$48,DAY($B172))))&lt;=MIN($C172,IF(Settings!$G$48="",$C172,Settings!$G$48))),1,0)))</f>
        <v/>
      </c>
      <c r="BI172">
        <f>IF(OR(Settings!$C$49="",Settings!$D$49=""),0,Settings!$C$49*IF(Settings!$D$49="Weekly",IF(IFERROR(MATCH(Settings!$E$49,$EO$4:$EO$10,0),0)=0,0,IF(MIN($C172,IF(Settings!$G$49="",$C172,Settings!$G$49))&lt;MAX($A172,Settings!$F$49),0,INT((MIN($C172,IF(Settings!$G$49="",$C172,Settings!$G$49))-MAX($A172,Settings!$F$49)-MOD(IFERROR(MATCH(Settings!$E$49,$EO$4:$EO$10,0),0)-WEEKDAY(MAX($A172,Settings!$F$49)),7))/7)+1)),IF(AND(IF(Settings!$E$49="",$B172,DATE(YEAR($A172),MONTH($A172),MIN(Settings!$E$49,DAY($B172))))&gt;=MAX($A172,Settings!$F$49),IF(Settings!$E$49="",$B172,DATE(YEAR($A172),MONTH($A172),MIN(Settings!$E$49,DAY($B172))))&lt;=MIN($C172,IF(Settings!$G$49="",$C172,Settings!$G$49))),1,0)))</f>
        <v/>
      </c>
      <c r="BJ172">
        <f>IF(OR(Settings!$C$50="",Settings!$D$50=""),0,Settings!$C$50*IF(Settings!$D$50="Weekly",IF(IFERROR(MATCH(Settings!$E$50,$EO$4:$EO$10,0),0)=0,0,IF(MIN($C172,IF(Settings!$G$50="",$C172,Settings!$G$50))&lt;MAX($A172,Settings!$F$50),0,INT((MIN($C172,IF(Settings!$G$50="",$C172,Settings!$G$50))-MAX($A172,Settings!$F$50)-MOD(IFERROR(MATCH(Settings!$E$50,$EO$4:$EO$10,0),0)-WEEKDAY(MAX($A172,Settings!$F$50)),7))/7)+1)),IF(AND(IF(Settings!$E$50="",$B172,DATE(YEAR($A172),MONTH($A172),MIN(Settings!$E$50,DAY($B172))))&gt;=MAX($A172,Settings!$F$50),IF(Settings!$E$50="",$B172,DATE(YEAR($A172),MONTH($A172),MIN(Settings!$E$50,DAY($B172))))&lt;=MIN($C172,IF(Settings!$G$50="",$C172,Settings!$G$50))),1,0)))</f>
        <v/>
      </c>
      <c r="BK172">
        <f>IF(OR(Settings!$C$51="",Settings!$D$51=""),0,Settings!$C$51*IF(Settings!$D$51="Weekly",IF(IFERROR(MATCH(Settings!$E$51,$EO$4:$EO$10,0),0)=0,0,IF(MIN($C172,IF(Settings!$G$51="",$C172,Settings!$G$51))&lt;MAX($A172,Settings!$F$51),0,INT((MIN($C172,IF(Settings!$G$51="",$C172,Settings!$G$51))-MAX($A172,Settings!$F$51)-MOD(IFERROR(MATCH(Settings!$E$51,$EO$4:$EO$10,0),0)-WEEKDAY(MAX($A172,Settings!$F$51)),7))/7)+1)),IF(AND(IF(Settings!$E$51="",$B172,DATE(YEAR($A172),MONTH($A172),MIN(Settings!$E$51,DAY($B172))))&gt;=MAX($A172,Settings!$F$51),IF(Settings!$E$51="",$B172,DATE(YEAR($A172),MONTH($A172),MIN(Settings!$E$51,DAY($B172))))&lt;=MIN($C172,IF(Settings!$G$51="",$C172,Settings!$G$51))),1,0)))</f>
        <v/>
      </c>
      <c r="BL172">
        <f>IF(OR(Settings!$C$52="",Settings!$D$52=""),0,Settings!$C$52*IF(Settings!$D$52="Weekly",IF(IFERROR(MATCH(Settings!$E$52,$EO$4:$EO$10,0),0)=0,0,IF(MIN($C172,IF(Settings!$G$52="",$C172,Settings!$G$52))&lt;MAX($A172,Settings!$F$52),0,INT((MIN($C172,IF(Settings!$G$52="",$C172,Settings!$G$52))-MAX($A172,Settings!$F$52)-MOD(IFERROR(MATCH(Settings!$E$52,$EO$4:$EO$10,0),0)-WEEKDAY(MAX($A172,Settings!$F$52)),7))/7)+1)),IF(AND(IF(Settings!$E$52="",$B172,DATE(YEAR($A172),MONTH($A172),MIN(Settings!$E$52,DAY($B172))))&gt;=MAX($A172,Settings!$F$52),IF(Settings!$E$52="",$B172,DATE(YEAR($A172),MONTH($A172),MIN(Settings!$E$52,DAY($B172))))&lt;=MIN($C172,IF(Settings!$G$52="",$C172,Settings!$G$52))),1,0)))</f>
        <v/>
      </c>
      <c r="BM172">
        <f>IF(OR(Settings!$C$53="",Settings!$D$53=""),0,Settings!$C$53*IF(Settings!$D$53="Weekly",IF(IFERROR(MATCH(Settings!$E$53,$EO$4:$EO$10,0),0)=0,0,IF(MIN($C172,IF(Settings!$G$53="",$C172,Settings!$G$53))&lt;MAX($A172,Settings!$F$53),0,INT((MIN($C172,IF(Settings!$G$53="",$C172,Settings!$G$53))-MAX($A172,Settings!$F$53)-MOD(IFERROR(MATCH(Settings!$E$53,$EO$4:$EO$10,0),0)-WEEKDAY(MAX($A172,Settings!$F$53)),7))/7)+1)),IF(AND(IF(Settings!$E$53="",$B172,DATE(YEAR($A172),MONTH($A172),MIN(Settings!$E$53,DAY($B172))))&gt;=MAX($A172,Settings!$F$53),IF(Settings!$E$53="",$B172,DATE(YEAR($A172),MONTH($A172),MIN(Settings!$E$53,DAY($B172))))&lt;=MIN($C172,IF(Settings!$G$53="",$C172,Settings!$G$53))),1,0)))</f>
        <v/>
      </c>
      <c r="BN172">
        <f>IF(OR(Settings!$C$54="",Settings!$D$54=""),0,Settings!$C$54*IF(Settings!$D$54="Weekly",IF(IFERROR(MATCH(Settings!$E$54,$EO$4:$EO$10,0),0)=0,0,IF(MIN($C172,IF(Settings!$G$54="",$C172,Settings!$G$54))&lt;MAX($A172,Settings!$F$54),0,INT((MIN($C172,IF(Settings!$G$54="",$C172,Settings!$G$54))-MAX($A172,Settings!$F$54)-MOD(IFERROR(MATCH(Settings!$E$54,$EO$4:$EO$10,0),0)-WEEKDAY(MAX($A172,Settings!$F$54)),7))/7)+1)),IF(AND(IF(Settings!$E$54="",$B172,DATE(YEAR($A172),MONTH($A172),MIN(Settings!$E$54,DAY($B172))))&gt;=MAX($A172,Settings!$F$54),IF(Settings!$E$54="",$B172,DATE(YEAR($A172),MONTH($A172),MIN(Settings!$E$54,DAY($B172))))&lt;=MIN($C172,IF(Settings!$G$54="",$C172,Settings!$G$54))),1,0)))</f>
        <v/>
      </c>
      <c r="BO172">
        <f>IF(OR(Settings!$C$55="",Settings!$D$55=""),0,Settings!$C$55*IF(Settings!$D$55="Weekly",IF(IFERROR(MATCH(Settings!$E$55,$EO$4:$EO$10,0),0)=0,0,IF(MIN($C172,IF(Settings!$G$55="",$C172,Settings!$G$55))&lt;MAX($A172,Settings!$F$55),0,INT((MIN($C172,IF(Settings!$G$55="",$C172,Settings!$G$55))-MAX($A172,Settings!$F$55)-MOD(IFERROR(MATCH(Settings!$E$55,$EO$4:$EO$10,0),0)-WEEKDAY(MAX($A172,Settings!$F$55)),7))/7)+1)),IF(AND(IF(Settings!$E$55="",$B172,DATE(YEAR($A172),MONTH($A172),MIN(Settings!$E$55,DAY($B172))))&gt;=MAX($A172,Settings!$F$55),IF(Settings!$E$55="",$B172,DATE(YEAR($A172),MONTH($A172),MIN(Settings!$E$55,DAY($B172))))&lt;=MIN($C172,IF(Settings!$G$55="",$C172,Settings!$G$55))),1,0)))</f>
        <v/>
      </c>
      <c r="BP172">
        <f>IF(OR(Settings!$C$56="",Settings!$D$56=""),0,Settings!$C$56*IF(Settings!$D$56="Weekly",IF(IFERROR(MATCH(Settings!$E$56,$EO$4:$EO$10,0),0)=0,0,IF(MIN($C172,IF(Settings!$G$56="",$C172,Settings!$G$56))&lt;MAX($A172,Settings!$F$56),0,INT((MIN($C172,IF(Settings!$G$56="",$C172,Settings!$G$56))-MAX($A172,Settings!$F$56)-MOD(IFERROR(MATCH(Settings!$E$56,$EO$4:$EO$10,0),0)-WEEKDAY(MAX($A172,Settings!$F$56)),7))/7)+1)),IF(AND(IF(Settings!$E$56="",$B172,DATE(YEAR($A172),MONTH($A172),MIN(Settings!$E$56,DAY($B172))))&gt;=MAX($A172,Settings!$F$56),IF(Settings!$E$56="",$B172,DATE(YEAR($A172),MONTH($A172),MIN(Settings!$E$56,DAY($B172))))&lt;=MIN($C172,IF(Settings!$G$56="",$C172,Settings!$G$56))),1,0)))</f>
        <v/>
      </c>
      <c r="BQ172">
        <f>IF(OR(Settings!$B$14="",$D172=1,$E172="pre",$A172&lt;IF(Settings!$B$15="",0,Settings!$B$15)),0,Settings!$B$14)</f>
        <v/>
      </c>
      <c r="BR172">
        <f>IF(AND('Month-End'!$FM$7&lt;&gt;"",NOT(_xlfn.ISFORMULA('Month-End'!$FM$7))),1,0)</f>
        <v/>
      </c>
      <c r="BS172">
        <f>IF(AND('Month-End'!$FM$8&lt;&gt;"",NOT(_xlfn.ISFORMULA('Month-End'!$FM$8))),1,0)</f>
        <v/>
      </c>
      <c r="BT172">
        <f>IF(AND('Month-End'!$FM$9&lt;&gt;"",NOT(_xlfn.ISFORMULA('Month-End'!$FM$9))),1,0)</f>
        <v/>
      </c>
      <c r="BU172">
        <f>IF(AND('Month-End'!$FM$10&lt;&gt;"",NOT(_xlfn.ISFORMULA('Month-End'!$FM$10))),1,0)</f>
        <v/>
      </c>
      <c r="BV172">
        <f>IF(AND('Month-End'!$FM$11&lt;&gt;"",NOT(_xlfn.ISFORMULA('Month-End'!$FM$11))),1,0)</f>
        <v/>
      </c>
      <c r="BW172">
        <f>IF(AND('Month-End'!$FM$12&lt;&gt;"",NOT(_xlfn.ISFORMULA('Month-End'!$FM$12))),1,0)</f>
        <v/>
      </c>
      <c r="BX172">
        <f>IF(AND('Month-End'!$FM$13&lt;&gt;"",NOT(_xlfn.ISFORMULA('Month-End'!$FM$13))),1,0)</f>
        <v/>
      </c>
      <c r="BY172">
        <f>IF(AND('Month-End'!$FM$14&lt;&gt;"",NOT(_xlfn.ISFORMULA('Month-End'!$FM$14))),1,0)</f>
        <v/>
      </c>
      <c r="BZ172">
        <f>IF(AND('Month-End'!$FM$15&lt;&gt;"",NOT(_xlfn.ISFORMULA('Month-End'!$FM$15))),1,0)</f>
        <v/>
      </c>
      <c r="CA172">
        <f>IF(AND('Month-End'!$FM$16&lt;&gt;"",NOT(_xlfn.ISFORMULA('Month-End'!$FM$16))),1,0)</f>
        <v/>
      </c>
      <c r="CB172">
        <f>IF(AND('Month-End'!$FM$17&lt;&gt;"",NOT(_xlfn.ISFORMULA('Month-End'!$FM$17))),1,0)</f>
        <v/>
      </c>
      <c r="CC172">
        <f>IF(AND('Month-End'!$FM$18&lt;&gt;"",NOT(_xlfn.ISFORMULA('Month-End'!$FM$18))),1,0)</f>
        <v/>
      </c>
      <c r="CD172">
        <f>IF(AND('Month-End'!$FM$19&lt;&gt;"",NOT(_xlfn.ISFORMULA('Month-End'!$FM$19))),1,0)</f>
        <v/>
      </c>
      <c r="CE172">
        <f>IF(AND('Month-End'!$FM$20&lt;&gt;"",NOT(_xlfn.ISFORMULA('Month-End'!$FM$20))),1,0)</f>
        <v/>
      </c>
      <c r="CF172">
        <f>IF(AND('Month-End'!$FM$38&lt;&gt;"",NOT(_xlfn.ISFORMULA('Month-End'!$FM$38))),1,0)</f>
        <v/>
      </c>
      <c r="CG172">
        <f>IF(AND('Month-End'!$FM$39&lt;&gt;"",NOT(_xlfn.ISFORMULA('Month-End'!$FM$39))),1,0)</f>
        <v/>
      </c>
      <c r="CH172">
        <f>IF(AND('Month-End'!$FM$40&lt;&gt;"",NOT(_xlfn.ISFORMULA('Month-End'!$FM$40))),1,0)</f>
        <v/>
      </c>
      <c r="CI172">
        <f>IF(AND('Month-End'!$FM$41&lt;&gt;"",NOT(_xlfn.ISFORMULA('Month-End'!$FM$41))),1,0)</f>
        <v/>
      </c>
      <c r="CJ172">
        <f>IF(AND('Month-End'!$FM$42&lt;&gt;"",NOT(_xlfn.ISFORMULA('Month-End'!$FM$42))),1,0)</f>
        <v/>
      </c>
      <c r="CK172">
        <f>IF(AND('Month-End'!$FM$43&lt;&gt;"",NOT(_xlfn.ISFORMULA('Month-End'!$FM$43))),1,0)</f>
        <v/>
      </c>
      <c r="CL172">
        <f>SUM($CM172:$CZ172)</f>
        <v/>
      </c>
      <c r="CM172">
        <f>IF(AND($E172&lt;&gt;"pre",AND(Settings!$A$19&lt;&gt;"",Settings!$E$19&lt;&gt;"No"),Settings!$F$19="Yes",NOT(AND('Month-End'!$FM$7&lt;&gt;"",NOT(_xlfn.ISFORMULA('Month-End'!$FM$7))))),1,0)</f>
        <v/>
      </c>
      <c r="CN172">
        <f>IF(AND($E172&lt;&gt;"pre",AND(Settings!$A$20&lt;&gt;"",Settings!$E$20&lt;&gt;"No"),Settings!$F$20="Yes",NOT(AND('Month-End'!$FM$8&lt;&gt;"",NOT(_xlfn.ISFORMULA('Month-End'!$FM$8))))),1,0)</f>
        <v/>
      </c>
      <c r="CO172">
        <f>IF(AND($E172&lt;&gt;"pre",AND(Settings!$A$21&lt;&gt;"",Settings!$E$21&lt;&gt;"No"),Settings!$F$21="Yes",NOT(AND('Month-End'!$FM$9&lt;&gt;"",NOT(_xlfn.ISFORMULA('Month-End'!$FM$9))))),1,0)</f>
        <v/>
      </c>
      <c r="CP172">
        <f>IF(AND($E172&lt;&gt;"pre",AND(Settings!$A$22&lt;&gt;"",Settings!$E$22&lt;&gt;"No"),Settings!$F$22="Yes",NOT(AND('Month-End'!$FM$10&lt;&gt;"",NOT(_xlfn.ISFORMULA('Month-End'!$FM$10))))),1,0)</f>
        <v/>
      </c>
      <c r="CQ172">
        <f>IF(AND($E172&lt;&gt;"pre",AND(Settings!$A$23&lt;&gt;"",Settings!$E$23&lt;&gt;"No"),Settings!$F$23="Yes",NOT(AND('Month-End'!$FM$11&lt;&gt;"",NOT(_xlfn.ISFORMULA('Month-End'!$FM$11))))),1,0)</f>
        <v/>
      </c>
      <c r="CR172">
        <f>IF(AND($E172&lt;&gt;"pre",AND(Settings!$A$24&lt;&gt;"",Settings!$E$24&lt;&gt;"No"),Settings!$F$24="Yes",NOT(AND('Month-End'!$FM$12&lt;&gt;"",NOT(_xlfn.ISFORMULA('Month-End'!$FM$12))))),1,0)</f>
        <v/>
      </c>
      <c r="CS172">
        <f>IF(AND($E172&lt;&gt;"pre",AND(Settings!$A$25&lt;&gt;"",Settings!$E$25&lt;&gt;"No"),Settings!$F$25="Yes",NOT(AND('Month-End'!$FM$13&lt;&gt;"",NOT(_xlfn.ISFORMULA('Month-End'!$FM$13))))),1,0)</f>
        <v/>
      </c>
      <c r="CT172">
        <f>IF(AND($E172&lt;&gt;"pre",AND(Settings!$A$26&lt;&gt;"",Settings!$E$26&lt;&gt;"No"),Settings!$F$26="Yes",NOT(AND('Month-End'!$FM$14&lt;&gt;"",NOT(_xlfn.ISFORMULA('Month-End'!$FM$14))))),1,0)</f>
        <v/>
      </c>
      <c r="CU172">
        <f>IF(AND($E172&lt;&gt;"pre",AND(Settings!$A$27&lt;&gt;"",Settings!$E$27&lt;&gt;"No"),Settings!$F$27="Yes",NOT(AND('Month-End'!$FM$15&lt;&gt;"",NOT(_xlfn.ISFORMULA('Month-End'!$FM$15))))),1,0)</f>
        <v/>
      </c>
      <c r="CV172">
        <f>IF(AND($E172&lt;&gt;"pre",AND(Settings!$A$28&lt;&gt;"",Settings!$E$28&lt;&gt;"No"),Settings!$F$28="Yes",NOT(AND('Month-End'!$FM$16&lt;&gt;"",NOT(_xlfn.ISFORMULA('Month-End'!$FM$16))))),1,0)</f>
        <v/>
      </c>
      <c r="CW172">
        <f>IF(AND($E172&lt;&gt;"pre",AND(Settings!$A$29&lt;&gt;"",Settings!$E$29&lt;&gt;"No"),Settings!$F$29="Yes",NOT(AND('Month-End'!$FM$17&lt;&gt;"",NOT(_xlfn.ISFORMULA('Month-End'!$FM$17))))),1,0)</f>
        <v/>
      </c>
      <c r="CX172">
        <f>IF(AND($E172&lt;&gt;"pre",AND(Settings!$A$30&lt;&gt;"",Settings!$E$30&lt;&gt;"No"),Settings!$F$30="Yes",NOT(AND('Month-End'!$FM$18&lt;&gt;"",NOT(_xlfn.ISFORMULA('Month-End'!$FM$18))))),1,0)</f>
        <v/>
      </c>
      <c r="CY172">
        <f>IF(AND($E172&lt;&gt;"pre",AND(Settings!$A$31&lt;&gt;"",Settings!$E$31&lt;&gt;"No"),Settings!$F$31="Yes",NOT(AND('Month-End'!$FM$19&lt;&gt;"",NOT(_xlfn.ISFORMULA('Month-End'!$FM$19))))),1,0)</f>
        <v/>
      </c>
      <c r="CZ172">
        <f>IF(AND($E172&lt;&gt;"pre",AND(Settings!$A$32&lt;&gt;"",Settings!$E$32&lt;&gt;"No"),Settings!$F$32="Yes",NOT(AND('Month-End'!$FM$20&lt;&gt;"",NOT(_xlfn.ISFORMULA('Month-End'!$FM$20))))),1,0)</f>
        <v/>
      </c>
      <c r="DA172">
        <f>IF($DT172=1,IF(OR(Settings!$B$19="Checking",Settings!$B$19="Savings",Settings!$B$19="Cash"),N($AE172),IF(OR(Settings!$B$19="Card",Settings!$B$19="Loan"),-N($AE172),0))+IF(OR(Settings!$B$20="Checking",Settings!$B$20="Savings",Settings!$B$20="Cash"),N($AF172),IF(OR(Settings!$B$20="Card",Settings!$B$20="Loan"),-N($AF172),0))+IF(OR(Settings!$B$21="Checking",Settings!$B$21="Savings",Settings!$B$21="Cash"),N($AG172),IF(OR(Settings!$B$21="Card",Settings!$B$21="Loan"),-N($AG172),0))+IF(OR(Settings!$B$22="Checking",Settings!$B$22="Savings",Settings!$B$22="Cash"),N($AH172),IF(OR(Settings!$B$22="Card",Settings!$B$22="Loan"),-N($AH172),0))+IF(OR(Settings!$B$23="Checking",Settings!$B$23="Savings",Settings!$B$23="Cash"),N($AI172),IF(OR(Settings!$B$23="Card",Settings!$B$23="Loan"),-N($AI172),0))+IF(OR(Settings!$B$24="Checking",Settings!$B$24="Savings",Settings!$B$24="Cash"),N($AJ172),IF(OR(Settings!$B$24="Card",Settings!$B$24="Loan"),-N($AJ172),0))+IF(OR(Settings!$B$25="Checking",Settings!$B$25="Savings",Settings!$B$25="Cash"),N($AK172),IF(OR(Settings!$B$25="Card",Settings!$B$25="Loan"),-N($AK172),0))+IF(OR(Settings!$B$26="Checking",Settings!$B$26="Savings",Settings!$B$26="Cash"),N($AL172),IF(OR(Settings!$B$26="Card",Settings!$B$26="Loan"),-N($AL172),0))+IF(OR(Settings!$B$27="Checking",Settings!$B$27="Savings",Settings!$B$27="Cash"),N($AM172),IF(OR(Settings!$B$27="Card",Settings!$B$27="Loan"),-N($AM172),0))+IF(OR(Settings!$B$28="Checking",Settings!$B$28="Savings",Settings!$B$28="Cash"),N($AN172),IF(OR(Settings!$B$28="Card",Settings!$B$28="Loan"),-N($AN172),0))+IF(OR(Settings!$B$29="Checking",Settings!$B$29="Savings",Settings!$B$29="Cash"),N($AO172),IF(OR(Settings!$B$29="Card",Settings!$B$29="Loan"),-N($AO172),0))+IF(OR(Settings!$B$30="Checking",Settings!$B$30="Savings",Settings!$B$30="Cash"),N($AP172),IF(OR(Settings!$B$30="Card",Settings!$B$30="Loan"),-N($AP172),0))+IF(OR(Settings!$B$31="Checking",Settings!$B$31="Savings",Settings!$B$31="Cash"),N($AQ172),IF(OR(Settings!$B$31="Card",Settings!$B$31="Loan"),-N($AQ172),0))+IF(OR(Settings!$B$32="Checking",Settings!$B$32="Savings",Settings!$B$32="Cash"),N($AR172),IF(OR(Settings!$B$32="Card",Settings!$B$32="Loan"),-N($AR172),0)),"")</f>
        <v/>
      </c>
      <c r="DB172">
        <f>IF($E172="open",$EB$27,IF($E172="post",IF($E171="pre",$EB$27,$DA171),""))</f>
        <v/>
      </c>
      <c r="DC172">
        <f>IF($E172="open",1,IF($E172="post",IF($E171="pre",1,$DT171),0))</f>
        <v/>
      </c>
      <c r="DD172">
        <f>IF(AND($DT172=1,$DC172=1),ROUND($W172-($DA172-$DB172)-$AD172-$AB172,2),"")</f>
        <v/>
      </c>
      <c r="DE172">
        <f>IF('Month-End'!$FM$35="",$BQ172,N('Month-End'!$FM$35))</f>
        <v/>
      </c>
      <c r="DF172">
        <f>N('Month-End'!$FM$36)</f>
        <v/>
      </c>
      <c r="DG172">
        <f>IF($DD172="","",$DD172+$DE172)</f>
        <v/>
      </c>
      <c r="DH172">
        <f>IF($DG172="","",$DG172-$DF172)</f>
        <v/>
      </c>
      <c r="DI172">
        <f>IF(OR($E172="pre",$D172=1),"",N($AS172)+N($AT172)+N($AU172)+N($AV172)+N($AW172)+N($AX172))</f>
        <v/>
      </c>
      <c r="DJ172">
        <f>IF($DT172=1,$DA172+N($DI172),"")</f>
        <v/>
      </c>
      <c r="DK172">
        <f>IF($DD172="","",$W172-$DD172-$AB172)</f>
        <v/>
      </c>
      <c r="DL172">
        <f>IF(AND($E172="post",$DD172&lt;&gt;"",$B172&lt;TODAY()),1,0)</f>
        <v/>
      </c>
      <c r="DM172">
        <f>IF($DL172=1,COUNTIF($DL172:$DL$183,1),0)</f>
        <v/>
      </c>
      <c r="DN172">
        <f>IF($D172=1,"",IF($E172="pre","History only",IF($DT172=1,IF($DD172="","⚠ Previous month missing",IF($DD172&lt;0,"⚠ Check: spending &lt; 0",IF($E172="open","✓ Done (partial)","✓ Done"))),IF($B172&gt;=TODAY(),"In progress","⚠ Needs balances"))))</f>
        <v/>
      </c>
      <c r="DO172">
        <f>YEAR($A172)</f>
        <v/>
      </c>
      <c r="DP172">
        <f>DATE(YEAR($A172),INT((MONTH($A172)-1)/3)*3+1,1)</f>
        <v/>
      </c>
      <c r="DQ172">
        <f>IF(AND($DT172=1,$DD172&lt;&gt;"",$D172=0),ROW(),0)</f>
        <v/>
      </c>
      <c r="DR172">
        <f>IF(AND($E172&lt;&gt;"pre",$B172&lt;TODAY(),$DT172=0),1,0)</f>
        <v/>
      </c>
      <c r="DS172">
        <f>IF($DJ172="",NA(),$DJ172)</f>
        <v/>
      </c>
      <c r="DT172">
        <f>IF(AND($E172&lt;&gt;"pre",$CL172=0,COUNTIFS(Settings!$F$19:$F$32,"Yes",Settings!$A$19:$A$32,"&lt;&gt;",Settings!$E$19:$E$32,"&lt;&gt;No")&gt;0),1,0)</f>
        <v/>
      </c>
      <c r="DU172">
        <f>IF(AND($B172&lt;TODAY(),$S172&gt;0),1,0)</f>
        <v/>
      </c>
      <c r="DV172">
        <f>IF($DU172=1,COUNTIF($DU172:$DU$183,1),0)</f>
        <v/>
      </c>
      <c r="DW172">
        <f>IF(AND(OR(Settings!$B$19="Card",Settings!$B$19="Loan"),AND('Month-End'!$FM$7&lt;&gt;"",NOT(_xlfn.ISFORMULA('Month-End'!$FM$7)))),IF(N('Month-End'!$FM$7)&lt;0,1,0),0)+IF(AND(OR(Settings!$B$20="Card",Settings!$B$20="Loan"),AND('Month-End'!$FM$8&lt;&gt;"",NOT(_xlfn.ISFORMULA('Month-End'!$FM$8)))),IF(N('Month-End'!$FM$8)&lt;0,1,0),0)+IF(AND(OR(Settings!$B$21="Card",Settings!$B$21="Loan"),AND('Month-End'!$FM$9&lt;&gt;"",NOT(_xlfn.ISFORMULA('Month-End'!$FM$9)))),IF(N('Month-End'!$FM$9)&lt;0,1,0),0)+IF(AND(OR(Settings!$B$22="Card",Settings!$B$22="Loan"),AND('Month-End'!$FM$10&lt;&gt;"",NOT(_xlfn.ISFORMULA('Month-End'!$FM$10)))),IF(N('Month-End'!$FM$10)&lt;0,1,0),0)+IF(AND(OR(Settings!$B$23="Card",Settings!$B$23="Loan"),AND('Month-End'!$FM$11&lt;&gt;"",NOT(_xlfn.ISFORMULA('Month-End'!$FM$11)))),IF(N('Month-End'!$FM$11)&lt;0,1,0),0)+IF(AND(OR(Settings!$B$24="Card",Settings!$B$24="Loan"),AND('Month-End'!$FM$12&lt;&gt;"",NOT(_xlfn.ISFORMULA('Month-End'!$FM$12)))),IF(N('Month-End'!$FM$12)&lt;0,1,0),0)+IF(AND(OR(Settings!$B$25="Card",Settings!$B$25="Loan"),AND('Month-End'!$FM$13&lt;&gt;"",NOT(_xlfn.ISFORMULA('Month-End'!$FM$13)))),IF(N('Month-End'!$FM$13)&lt;0,1,0),0)+IF(AND(OR(Settings!$B$26="Card",Settings!$B$26="Loan"),AND('Month-End'!$FM$14&lt;&gt;"",NOT(_xlfn.ISFORMULA('Month-End'!$FM$14)))),IF(N('Month-End'!$FM$14)&lt;0,1,0),0)+IF(AND(OR(Settings!$B$27="Card",Settings!$B$27="Loan"),AND('Month-End'!$FM$15&lt;&gt;"",NOT(_xlfn.ISFORMULA('Month-End'!$FM$15)))),IF(N('Month-End'!$FM$15)&lt;0,1,0),0)+IF(AND(OR(Settings!$B$28="Card",Settings!$B$28="Loan"),AND('Month-End'!$FM$16&lt;&gt;"",NOT(_xlfn.ISFORMULA('Month-End'!$FM$16)))),IF(N('Month-End'!$FM$16)&lt;0,1,0),0)+IF(AND(OR(Settings!$B$29="Card",Settings!$B$29="Loan"),AND('Month-End'!$FM$17&lt;&gt;"",NOT(_xlfn.ISFORMULA('Month-End'!$FM$17)))),IF(N('Month-End'!$FM$17)&lt;0,1,0),0)+IF(AND(OR(Settings!$B$30="Card",Settings!$B$30="Loan"),AND('Month-End'!$FM$18&lt;&gt;"",NOT(_xlfn.ISFORMULA('Month-End'!$FM$18)))),IF(N('Month-End'!$FM$18)&lt;0,1,0),0)+IF(AND(OR(Settings!$B$31="Card",Settings!$B$31="Loan"),AND('Month-End'!$FM$19&lt;&gt;"",NOT(_xlfn.ISFORMULA('Month-End'!$FM$19)))),IF(N('Month-End'!$FM$19)&lt;0,1,0),0)+IF(AND(OR(Settings!$B$32="Card",Settings!$B$32="Loan"),AND('Month-End'!$FM$20&lt;&gt;"",NOT(_xlfn.ISFORMULA('Month-End'!$FM$20)))),IF(N('Month-End'!$FM$20)&lt;0,1,0),0)</f>
        <v/>
      </c>
      <c r="DX172">
        <f>IF(Settings!$B$36="Retirement",$AY172,0)+IF(Settings!$B$37="Retirement",$AZ172,0)+IF(Settings!$B$38="Retirement",$BA172,0)+IF(Settings!$B$39="Retirement",$BB172,0)+IF(Settings!$B$40="Retirement",$BC172,0)+IF(Settings!$B$41="Retirement",$BD172,0)</f>
        <v/>
      </c>
      <c r="ET172">
        <f>IF($E172&lt;&gt;"open",0,IF(AND('Month-End'!$FM$22&lt;&gt;"",NOT(_xlfn.ISFORMULA('Month-End'!$FM$22))),0,IF(OR(Settings!$C$45="",Settings!$D$45=""),0,Settings!$C$45*IF(Settings!$D$45="Weekly",IF(IFERROR(MATCH(Settings!$E$45,$EO$4:$EO$10,0),0)=0,0,IF(MIN(Settings!$B$5,IF(Settings!$G$45="",Settings!$B$5,Settings!$G$45))&lt;MAX($A172,Settings!$F$45),0,INT((MIN(Settings!$B$5,IF(Settings!$G$45="",Settings!$B$5,Settings!$G$45))-MAX($A172,Settings!$F$45)-MOD(IFERROR(MATCH(Settings!$E$45,$EO$4:$EO$10,0),0)-WEEKDAY(MAX($A172,Settings!$F$45)),7))/7)+1)),IF(AND(IF(Settings!$E$45="",$B172,DATE(YEAR($A172),MONTH($A172),MIN(Settings!$E$45,DAY($B172))))&gt;=MAX($A172,Settings!$F$45),IF(Settings!$E$45="",$B172,DATE(YEAR($A172),MONTH($A172),MIN(Settings!$E$45,DAY($B172))))&lt;=MIN(Settings!$B$5,IF(Settings!$G$45="",Settings!$B$5,Settings!$G$45))),1,0)))))</f>
        <v/>
      </c>
      <c r="EU172">
        <f>IF($E172&lt;&gt;"open",0,IF(AND('Month-End'!$FM$23&lt;&gt;"",NOT(_xlfn.ISFORMULA('Month-End'!$FM$23))),0,IF(OR(Settings!$C$46="",Settings!$D$46=""),0,Settings!$C$46*IF(Settings!$D$46="Weekly",IF(IFERROR(MATCH(Settings!$E$46,$EO$4:$EO$10,0),0)=0,0,IF(MIN(Settings!$B$5,IF(Settings!$G$46="",Settings!$B$5,Settings!$G$46))&lt;MAX($A172,Settings!$F$46),0,INT((MIN(Settings!$B$5,IF(Settings!$G$46="",Settings!$B$5,Settings!$G$46))-MAX($A172,Settings!$F$46)-MOD(IFERROR(MATCH(Settings!$E$46,$EO$4:$EO$10,0),0)-WEEKDAY(MAX($A172,Settings!$F$46)),7))/7)+1)),IF(AND(IF(Settings!$E$46="",$B172,DATE(YEAR($A172),MONTH($A172),MIN(Settings!$E$46,DAY($B172))))&gt;=MAX($A172,Settings!$F$46),IF(Settings!$E$46="",$B172,DATE(YEAR($A172),MONTH($A172),MIN(Settings!$E$46,DAY($B172))))&lt;=MIN(Settings!$B$5,IF(Settings!$G$46="",Settings!$B$5,Settings!$G$46))),1,0)))))</f>
        <v/>
      </c>
      <c r="EV172">
        <f>IF($E172&lt;&gt;"open",0,IF(AND('Month-End'!$FM$24&lt;&gt;"",NOT(_xlfn.ISFORMULA('Month-End'!$FM$24))),0,IF(OR(Settings!$C$47="",Settings!$D$47=""),0,Settings!$C$47*IF(Settings!$D$47="Weekly",IF(IFERROR(MATCH(Settings!$E$47,$EO$4:$EO$10,0),0)=0,0,IF(MIN(Settings!$B$5,IF(Settings!$G$47="",Settings!$B$5,Settings!$G$47))&lt;MAX($A172,Settings!$F$47),0,INT((MIN(Settings!$B$5,IF(Settings!$G$47="",Settings!$B$5,Settings!$G$47))-MAX($A172,Settings!$F$47)-MOD(IFERROR(MATCH(Settings!$E$47,$EO$4:$EO$10,0),0)-WEEKDAY(MAX($A172,Settings!$F$47)),7))/7)+1)),IF(AND(IF(Settings!$E$47="",$B172,DATE(YEAR($A172),MONTH($A172),MIN(Settings!$E$47,DAY($B172))))&gt;=MAX($A172,Settings!$F$47),IF(Settings!$E$47="",$B172,DATE(YEAR($A172),MONTH($A172),MIN(Settings!$E$47,DAY($B172))))&lt;=MIN(Settings!$B$5,IF(Settings!$G$47="",Settings!$B$5,Settings!$G$47))),1,0)))))</f>
        <v/>
      </c>
      <c r="EW172">
        <f>IF($E172&lt;&gt;"open",0,IF(AND('Month-End'!$FM$25&lt;&gt;"",NOT(_xlfn.ISFORMULA('Month-End'!$FM$25))),0,IF(OR(Settings!$C$48="",Settings!$D$48=""),0,Settings!$C$48*IF(Settings!$D$48="Weekly",IF(IFERROR(MATCH(Settings!$E$48,$EO$4:$EO$10,0),0)=0,0,IF(MIN(Settings!$B$5,IF(Settings!$G$48="",Settings!$B$5,Settings!$G$48))&lt;MAX($A172,Settings!$F$48),0,INT((MIN(Settings!$B$5,IF(Settings!$G$48="",Settings!$B$5,Settings!$G$48))-MAX($A172,Settings!$F$48)-MOD(IFERROR(MATCH(Settings!$E$48,$EO$4:$EO$10,0),0)-WEEKDAY(MAX($A172,Settings!$F$48)),7))/7)+1)),IF(AND(IF(Settings!$E$48="",$B172,DATE(YEAR($A172),MONTH($A172),MIN(Settings!$E$48,DAY($B172))))&gt;=MAX($A172,Settings!$F$48),IF(Settings!$E$48="",$B172,DATE(YEAR($A172),MONTH($A172),MIN(Settings!$E$48,DAY($B172))))&lt;=MIN(Settings!$B$5,IF(Settings!$G$48="",Settings!$B$5,Settings!$G$48))),1,0)))))</f>
        <v/>
      </c>
      <c r="EX172">
        <f>IF($E172&lt;&gt;"open",0,IF(AND('Month-End'!$FM$26&lt;&gt;"",NOT(_xlfn.ISFORMULA('Month-End'!$FM$26))),0,IF(OR(Settings!$C$49="",Settings!$D$49=""),0,Settings!$C$49*IF(Settings!$D$49="Weekly",IF(IFERROR(MATCH(Settings!$E$49,$EO$4:$EO$10,0),0)=0,0,IF(MIN(Settings!$B$5,IF(Settings!$G$49="",Settings!$B$5,Settings!$G$49))&lt;MAX($A172,Settings!$F$49),0,INT((MIN(Settings!$B$5,IF(Settings!$G$49="",Settings!$B$5,Settings!$G$49))-MAX($A172,Settings!$F$49)-MOD(IFERROR(MATCH(Settings!$E$49,$EO$4:$EO$10,0),0)-WEEKDAY(MAX($A172,Settings!$F$49)),7))/7)+1)),IF(AND(IF(Settings!$E$49="",$B172,DATE(YEAR($A172),MONTH($A172),MIN(Settings!$E$49,DAY($B172))))&gt;=MAX($A172,Settings!$F$49),IF(Settings!$E$49="",$B172,DATE(YEAR($A172),MONTH($A172),MIN(Settings!$E$49,DAY($B172))))&lt;=MIN(Settings!$B$5,IF(Settings!$G$49="",Settings!$B$5,Settings!$G$49))),1,0)))))</f>
        <v/>
      </c>
      <c r="EY172">
        <f>IF($E172&lt;&gt;"open",0,IF(AND('Month-End'!$FM$27&lt;&gt;"",NOT(_xlfn.ISFORMULA('Month-End'!$FM$27))),0,IF(OR(Settings!$C$50="",Settings!$D$50=""),0,Settings!$C$50*IF(Settings!$D$50="Weekly",IF(IFERROR(MATCH(Settings!$E$50,$EO$4:$EO$10,0),0)=0,0,IF(MIN(Settings!$B$5,IF(Settings!$G$50="",Settings!$B$5,Settings!$G$50))&lt;MAX($A172,Settings!$F$50),0,INT((MIN(Settings!$B$5,IF(Settings!$G$50="",Settings!$B$5,Settings!$G$50))-MAX($A172,Settings!$F$50)-MOD(IFERROR(MATCH(Settings!$E$50,$EO$4:$EO$10,0),0)-WEEKDAY(MAX($A172,Settings!$F$50)),7))/7)+1)),IF(AND(IF(Settings!$E$50="",$B172,DATE(YEAR($A172),MONTH($A172),MIN(Settings!$E$50,DAY($B172))))&gt;=MAX($A172,Settings!$F$50),IF(Settings!$E$50="",$B172,DATE(YEAR($A172),MONTH($A172),MIN(Settings!$E$50,DAY($B172))))&lt;=MIN(Settings!$B$5,IF(Settings!$G$50="",Settings!$B$5,Settings!$G$50))),1,0)))))</f>
        <v/>
      </c>
      <c r="EZ172">
        <f>IF($E172&lt;&gt;"open",0,IF(AND('Month-End'!$FM$28&lt;&gt;"",NOT(_xlfn.ISFORMULA('Month-End'!$FM$28))),0,IF(OR(Settings!$C$51="",Settings!$D$51=""),0,Settings!$C$51*IF(Settings!$D$51="Weekly",IF(IFERROR(MATCH(Settings!$E$51,$EO$4:$EO$10,0),0)=0,0,IF(MIN(Settings!$B$5,IF(Settings!$G$51="",Settings!$B$5,Settings!$G$51))&lt;MAX($A172,Settings!$F$51),0,INT((MIN(Settings!$B$5,IF(Settings!$G$51="",Settings!$B$5,Settings!$G$51))-MAX($A172,Settings!$F$51)-MOD(IFERROR(MATCH(Settings!$E$51,$EO$4:$EO$10,0),0)-WEEKDAY(MAX($A172,Settings!$F$51)),7))/7)+1)),IF(AND(IF(Settings!$E$51="",$B172,DATE(YEAR($A172),MONTH($A172),MIN(Settings!$E$51,DAY($B172))))&gt;=MAX($A172,Settings!$F$51),IF(Settings!$E$51="",$B172,DATE(YEAR($A172),MONTH($A172),MIN(Settings!$E$51,DAY($B172))))&lt;=MIN(Settings!$B$5,IF(Settings!$G$51="",Settings!$B$5,Settings!$G$51))),1,0)))))</f>
        <v/>
      </c>
      <c r="FA172">
        <f>IF($E172&lt;&gt;"open",0,IF(AND('Month-End'!$FM$29&lt;&gt;"",NOT(_xlfn.ISFORMULA('Month-End'!$FM$29))),0,IF(OR(Settings!$C$52="",Settings!$D$52=""),0,Settings!$C$52*IF(Settings!$D$52="Weekly",IF(IFERROR(MATCH(Settings!$E$52,$EO$4:$EO$10,0),0)=0,0,IF(MIN(Settings!$B$5,IF(Settings!$G$52="",Settings!$B$5,Settings!$G$52))&lt;MAX($A172,Settings!$F$52),0,INT((MIN(Settings!$B$5,IF(Settings!$G$52="",Settings!$B$5,Settings!$G$52))-MAX($A172,Settings!$F$52)-MOD(IFERROR(MATCH(Settings!$E$52,$EO$4:$EO$10,0),0)-WEEKDAY(MAX($A172,Settings!$F$52)),7))/7)+1)),IF(AND(IF(Settings!$E$52="",$B172,DATE(YEAR($A172),MONTH($A172),MIN(Settings!$E$52,DAY($B172))))&gt;=MAX($A172,Settings!$F$52),IF(Settings!$E$52="",$B172,DATE(YEAR($A172),MONTH($A172),MIN(Settings!$E$52,DAY($B172))))&lt;=MIN(Settings!$B$5,IF(Settings!$G$52="",Settings!$B$5,Settings!$G$52))),1,0)))))</f>
        <v/>
      </c>
      <c r="FB172">
        <f>IF($E172&lt;&gt;"open",0,IF(AND('Month-End'!$FM$30&lt;&gt;"",NOT(_xlfn.ISFORMULA('Month-End'!$FM$30))),0,IF(OR(Settings!$C$53="",Settings!$D$53=""),0,Settings!$C$53*IF(Settings!$D$53="Weekly",IF(IFERROR(MATCH(Settings!$E$53,$EO$4:$EO$10,0),0)=0,0,IF(MIN(Settings!$B$5,IF(Settings!$G$53="",Settings!$B$5,Settings!$G$53))&lt;MAX($A172,Settings!$F$53),0,INT((MIN(Settings!$B$5,IF(Settings!$G$53="",Settings!$B$5,Settings!$G$53))-MAX($A172,Settings!$F$53)-MOD(IFERROR(MATCH(Settings!$E$53,$EO$4:$EO$10,0),0)-WEEKDAY(MAX($A172,Settings!$F$53)),7))/7)+1)),IF(AND(IF(Settings!$E$53="",$B172,DATE(YEAR($A172),MONTH($A172),MIN(Settings!$E$53,DAY($B172))))&gt;=MAX($A172,Settings!$F$53),IF(Settings!$E$53="",$B172,DATE(YEAR($A172),MONTH($A172),MIN(Settings!$E$53,DAY($B172))))&lt;=MIN(Settings!$B$5,IF(Settings!$G$53="",Settings!$B$5,Settings!$G$53))),1,0)))))</f>
        <v/>
      </c>
      <c r="FC172">
        <f>IF($E172&lt;&gt;"open",0,IF(AND('Month-End'!$FM$31&lt;&gt;"",NOT(_xlfn.ISFORMULA('Month-End'!$FM$31))),0,IF(OR(Settings!$C$54="",Settings!$D$54=""),0,Settings!$C$54*IF(Settings!$D$54="Weekly",IF(IFERROR(MATCH(Settings!$E$54,$EO$4:$EO$10,0),0)=0,0,IF(MIN(Settings!$B$5,IF(Settings!$G$54="",Settings!$B$5,Settings!$G$54))&lt;MAX($A172,Settings!$F$54),0,INT((MIN(Settings!$B$5,IF(Settings!$G$54="",Settings!$B$5,Settings!$G$54))-MAX($A172,Settings!$F$54)-MOD(IFERROR(MATCH(Settings!$E$54,$EO$4:$EO$10,0),0)-WEEKDAY(MAX($A172,Settings!$F$54)),7))/7)+1)),IF(AND(IF(Settings!$E$54="",$B172,DATE(YEAR($A172),MONTH($A172),MIN(Settings!$E$54,DAY($B172))))&gt;=MAX($A172,Settings!$F$54),IF(Settings!$E$54="",$B172,DATE(YEAR($A172),MONTH($A172),MIN(Settings!$E$54,DAY($B172))))&lt;=MIN(Settings!$B$5,IF(Settings!$G$54="",Settings!$B$5,Settings!$G$54))),1,0)))))</f>
        <v/>
      </c>
      <c r="FD172">
        <f>IF($E172&lt;&gt;"open",0,IF(AND('Month-End'!$FM$32&lt;&gt;"",NOT(_xlfn.ISFORMULA('Month-End'!$FM$32))),0,IF(OR(Settings!$C$55="",Settings!$D$55=""),0,Settings!$C$55*IF(Settings!$D$55="Weekly",IF(IFERROR(MATCH(Settings!$E$55,$EO$4:$EO$10,0),0)=0,0,IF(MIN(Settings!$B$5,IF(Settings!$G$55="",Settings!$B$5,Settings!$G$55))&lt;MAX($A172,Settings!$F$55),0,INT((MIN(Settings!$B$5,IF(Settings!$G$55="",Settings!$B$5,Settings!$G$55))-MAX($A172,Settings!$F$55)-MOD(IFERROR(MATCH(Settings!$E$55,$EO$4:$EO$10,0),0)-WEEKDAY(MAX($A172,Settings!$F$55)),7))/7)+1)),IF(AND(IF(Settings!$E$55="",$B172,DATE(YEAR($A172),MONTH($A172),MIN(Settings!$E$55,DAY($B172))))&gt;=MAX($A172,Settings!$F$55),IF(Settings!$E$55="",$B172,DATE(YEAR($A172),MONTH($A172),MIN(Settings!$E$55,DAY($B172))))&lt;=MIN(Settings!$B$5,IF(Settings!$G$55="",Settings!$B$5,Settings!$G$55))),1,0)))))</f>
        <v/>
      </c>
      <c r="FE172">
        <f>IF($E172&lt;&gt;"open",0,IF(AND('Month-End'!$FM$33&lt;&gt;"",NOT(_xlfn.ISFORMULA('Month-End'!$FM$33))),0,IF(OR(Settings!$C$56="",Settings!$D$56=""),0,Settings!$C$56*IF(Settings!$D$56="Weekly",IF(IFERROR(MATCH(Settings!$E$56,$EO$4:$EO$10,0),0)=0,0,IF(MIN(Settings!$B$5,IF(Settings!$G$56="",Settings!$B$5,Settings!$G$56))&lt;MAX($A172,Settings!$F$56),0,INT((MIN(Settings!$B$5,IF(Settings!$G$56="",Settings!$B$5,Settings!$G$56))-MAX($A172,Settings!$F$56)-MOD(IFERROR(MATCH(Settings!$E$56,$EO$4:$EO$10,0),0)-WEEKDAY(MAX($A172,Settings!$F$56)),7))/7)+1)),IF(AND(IF(Settings!$E$56="",$B172,DATE(YEAR($A172),MONTH($A172),MIN(Settings!$E$56,DAY($B172))))&gt;=MAX($A172,Settings!$F$56),IF(Settings!$E$56="",$B172,DATE(YEAR($A172),MONTH($A172),MIN(Settings!$E$56,DAY($B172))))&lt;=MIN(Settings!$B$5,IF(Settings!$G$56="",Settings!$B$5,Settings!$G$56))),1,0)))))</f>
        <v/>
      </c>
      <c r="FF172">
        <f>IF(Settings!$I$45="Yes",$G172,0)+IF(Settings!$I$46="Yes",$H172,0)+IF(Settings!$I$47="Yes",$I172,0)+IF(Settings!$I$48="Yes",$J172,0)+IF(Settings!$I$49="Yes",$K172,0)+IF(Settings!$I$50="Yes",$L172,0)+IF(Settings!$I$51="Yes",$M172,0)+IF(Settings!$I$52="Yes",$N172,0)+IF(Settings!$I$53="Yes",$O172,0)+IF(Settings!$I$54="Yes",$P172,0)+IF(Settings!$I$55="Yes",$Q172,0)+IF(Settings!$I$56="Yes",$R172,0)</f>
        <v/>
      </c>
      <c r="FG172">
        <f>IF(AND(Settings!$I$45="Yes",Settings!$J$45="No"),$G172,0)+IF(AND(Settings!$I$46="Yes",Settings!$J$46="No"),$H172,0)+IF(AND(Settings!$I$47="Yes",Settings!$J$47="No"),$I172,0)+IF(AND(Settings!$I$48="Yes",Settings!$J$48="No"),$J172,0)+IF(AND(Settings!$I$49="Yes",Settings!$J$49="No"),$K172,0)+IF(AND(Settings!$I$50="Yes",Settings!$J$50="No"),$L172,0)+IF(AND(Settings!$I$51="Yes",Settings!$J$51="No"),$M172,0)+IF(AND(Settings!$I$52="Yes",Settings!$J$52="No"),$N172,0)+IF(AND(Settings!$I$53="Yes",Settings!$J$53="No"),$O172,0)+IF(AND(Settings!$I$54="Yes",Settings!$J$54="No"),$P172,0)+IF(AND(Settings!$I$55="Yes",Settings!$J$55="No"),$Q172,0)+IF(AND(Settings!$I$56="Yes",Settings!$J$56="No"),$R172,0)</f>
        <v/>
      </c>
      <c r="FH172">
        <f>SUMIFS(Giving!$B$7:$B$2006,Giving!$A$7:$A$2006,"&gt;="&amp;$A172,Giving!$A$7:$A$2006,"&lt;="&amp;$B172,Giving!$G$7:$G$2006,"Yes")+IF(OR(OR(Settings!$B$60="",Settings!$F$60="No"),Settings!$H$60&lt;&gt;"Yes"),0,Settings!$B$60*IF(AND(IF(Settings!$C$60="",$B172,DATE(YEAR($A172),MONTH($A172),MIN(Settings!$C$60,DAY($B172))))&gt;=MAX($A172,Settings!$D$60),IF(Settings!$C$60="",$B172,DATE(YEAR($A172),MONTH($A172),MIN(Settings!$C$60,DAY($B172))))&lt;=MIN($C172,IF(Settings!$E$60="",$C172,Settings!$E$60))),1,0))+IF(OR(OR(Settings!$B$61="",Settings!$F$61="No"),Settings!$H$61&lt;&gt;"Yes"),0,Settings!$B$61*IF(AND(IF(Settings!$C$61="",$B172,DATE(YEAR($A172),MONTH($A172),MIN(Settings!$C$61,DAY($B172))))&gt;=MAX($A172,Settings!$D$61),IF(Settings!$C$61="",$B172,DATE(YEAR($A172),MONTH($A172),MIN(Settings!$C$61,DAY($B172))))&lt;=MIN($C172,IF(Settings!$E$61="",$C172,Settings!$E$61))),1,0))+IF(OR(OR(Settings!$B$62="",Settings!$F$62="No"),Settings!$H$62&lt;&gt;"Yes"),0,Settings!$B$62*IF(AND(IF(Settings!$C$62="",$B172,DATE(YEAR($A172),MONTH($A172),MIN(Settings!$C$62,DAY($B172))))&gt;=MAX($A172,Settings!$D$62),IF(Settings!$C$62="",$B172,DATE(YEAR($A172),MONTH($A172),MIN(Settings!$C$62,DAY($B172))))&lt;=MIN($C172,IF(Settings!$E$62="",$C172,Settings!$E$62))),1,0))+IF(OR(OR(Settings!$B$63="",Settings!$F$63="No"),Settings!$H$63&lt;&gt;"Yes"),0,Settings!$B$63*IF(AND(IF(Settings!$C$63="",$B172,DATE(YEAR($A172),MONTH($A172),MIN(Settings!$C$63,DAY($B172))))&gt;=MAX($A172,Settings!$D$63),IF(Settings!$C$63="",$B172,DATE(YEAR($A172),MONTH($A172),MIN(Settings!$C$63,DAY($B172))))&lt;=MIN($C172,IF(Settings!$E$63="",$C172,Settings!$E$63))),1,0))+IF(OR(OR(Settings!$B$64="",Settings!$F$64="No"),Settings!$H$64&lt;&gt;"Yes"),0,Settings!$B$64*IF(AND(IF(Settings!$C$64="",$B172,DATE(YEAR($A172),MONTH($A172),MIN(Settings!$C$64,DAY($B172))))&gt;=MAX($A172,Settings!$D$64),IF(Settings!$C$64="",$B172,DATE(YEAR($A172),MONTH($A172),MIN(Settings!$C$64,DAY($B172))))&lt;=MIN($C172,IF(Settings!$E$64="",$C172,Settings!$E$64))),1,0))+IF(OR(OR(Settings!$B$65="",Settings!$F$65="No"),Settings!$H$65&lt;&gt;"Yes"),0,Settings!$B$65*IF(AND(IF(Settings!$C$65="",$B172,DATE(YEAR($A172),MONTH($A172),MIN(Settings!$C$65,DAY($B172))))&gt;=MAX($A172,Settings!$D$65),IF(Settings!$C$65="",$B172,DATE(YEAR($A172),MONTH($A172),MIN(Settings!$C$65,DAY($B172))))&lt;=MIN($C172,IF(Settings!$E$65="",$C172,Settings!$E$65))),1,0))</f>
        <v/>
      </c>
      <c r="FI172">
        <f>IF($DT172=1,IF(OR(Settings!$B$19="Card",Settings!$B$19="Loan"),N($AE172),0)+IF(OR(Settings!$B$20="Card",Settings!$B$20="Loan"),N($AF172),0)+IF(OR(Settings!$B$21="Card",Settings!$B$21="Loan"),N($AG172),0)+IF(OR(Settings!$B$22="Card",Settings!$B$22="Loan"),N($AH172),0)+IF(OR(Settings!$B$23="Card",Settings!$B$23="Loan"),N($AI172),0)+IF(OR(Settings!$B$24="Card",Settings!$B$24="Loan"),N($AJ172),0)+IF(OR(Settings!$B$25="Card",Settings!$B$25="Loan"),N($AK172),0)+IF(OR(Settings!$B$26="Card",Settings!$B$26="Loan"),N($AL172),0)+IF(OR(Settings!$B$27="Card",Settings!$B$27="Loan"),N($AM172),0)+IF(OR(Settings!$B$28="Card",Settings!$B$28="Loan"),N($AN172),0)+IF(OR(Settings!$B$29="Card",Settings!$B$29="Loan"),N($AO172),0)+IF(OR(Settings!$B$30="Card",Settings!$B$30="Loan"),N($AP172),0)+IF(OR(Settings!$B$31="Card",Settings!$B$31="Loan"),N($AQ172),0)+IF(OR(Settings!$B$32="Card",Settings!$B$32="Loan"),N($AR172),0),"")</f>
        <v/>
      </c>
      <c r="FJ172">
        <f>IF($E172="open",$EB$65,IF($E172="post",IF($E171="pre",$EB$65,$FI171),""))</f>
        <v/>
      </c>
      <c r="FK172">
        <f>IF(AND($DT172=1,$DC172=1),IF(ROUND($FI172-$FJ172,2)&gt;0,1,0),0)</f>
        <v/>
      </c>
      <c r="FL172">
        <f>IF($FK172=1,$FL171+1,0)</f>
        <v/>
      </c>
    </row>
    <row r="173">
      <c r="A173">
        <f>'Month-End'!$FN$4</f>
        <v/>
      </c>
      <c r="B173">
        <f>EOMONTH($A173,0)</f>
        <v/>
      </c>
      <c r="C173">
        <f>MIN($B173,TODAY())</f>
        <v/>
      </c>
      <c r="D173">
        <f>IF($A173&gt;TODAY(),1,0)</f>
        <v/>
      </c>
      <c r="E173">
        <f>IF($B173&lt;=Settings!$B$5,"pre",IF($A173&lt;=Settings!$B$5,"open","post"))</f>
        <v/>
      </c>
      <c r="G173">
        <f>IF('Month-End'!$FN$22="",$BE173,N('Month-End'!$FN$22))</f>
        <v/>
      </c>
      <c r="H173">
        <f>IF('Month-End'!$FN$23="",$BF173,N('Month-End'!$FN$23))</f>
        <v/>
      </c>
      <c r="I173">
        <f>IF('Month-End'!$FN$24="",$BG173,N('Month-End'!$FN$24))</f>
        <v/>
      </c>
      <c r="J173">
        <f>IF('Month-End'!$FN$25="",$BH173,N('Month-End'!$FN$25))</f>
        <v/>
      </c>
      <c r="K173">
        <f>IF('Month-End'!$FN$26="",$BI173,N('Month-End'!$FN$26))</f>
        <v/>
      </c>
      <c r="L173">
        <f>IF('Month-End'!$FN$27="",$BJ173,N('Month-End'!$FN$27))</f>
        <v/>
      </c>
      <c r="M173">
        <f>IF('Month-End'!$FN$28="",$BK173,N('Month-End'!$FN$28))</f>
        <v/>
      </c>
      <c r="N173">
        <f>IF('Month-End'!$FN$29="",$BL173,N('Month-End'!$FN$29))</f>
        <v/>
      </c>
      <c r="O173">
        <f>IF('Month-End'!$FN$30="",$BM173,N('Month-End'!$FN$30))</f>
        <v/>
      </c>
      <c r="P173">
        <f>IF('Month-End'!$FN$31="",$BN173,N('Month-End'!$FN$31))</f>
        <v/>
      </c>
      <c r="Q173">
        <f>IF('Month-End'!$FN$32="",$BO173,N('Month-End'!$FN$32))</f>
        <v/>
      </c>
      <c r="R173">
        <f>IF('Month-End'!$FN$33="",$BP173,N('Month-End'!$FN$33))</f>
        <v/>
      </c>
      <c r="S173">
        <f>$G173+$H173+$I173+$J173+$K173+$L173+$M173+$N173+$O173+$P173+$Q173+$R173</f>
        <v/>
      </c>
      <c r="T173">
        <f>IF($B173&lt;Settings!$B$6,0,IF(Settings!$B$45="Yes",$G173,0)+IF(Settings!$B$46="Yes",$H173,0)+IF(Settings!$B$47="Yes",$I173,0)+IF(Settings!$B$48="Yes",$J173,0)+IF(Settings!$B$49="Yes",$K173,0)+IF(Settings!$B$50="Yes",$L173,0)+IF(Settings!$B$51="Yes",$M173,0)+IF(Settings!$B$52="Yes",$N173,0)+IF(Settings!$B$53="Yes",$O173,0)+IF(Settings!$B$54="Yes",$P173,0)+IF(Settings!$B$55="Yes",$Q173,0)+IF(Settings!$B$56="Yes",$R173,0))</f>
        <v/>
      </c>
      <c r="U173">
        <f>IF(Settings!$B$45="Not Sure",$G173,0)+IF(Settings!$B$46="Not Sure",$H173,0)+IF(Settings!$B$47="Not Sure",$I173,0)+IF(Settings!$B$48="Not Sure",$J173,0)+IF(Settings!$B$49="Not Sure",$K173,0)+IF(Settings!$B$50="Not Sure",$L173,0)+IF(Settings!$B$51="Not Sure",$M173,0)+IF(Settings!$B$52="Not Sure",$N173,0)+IF(Settings!$B$53="Not Sure",$O173,0)+IF(Settings!$B$54="Not Sure",$P173,0)+IF(Settings!$B$55="Not Sure",$Q173,0)+IF(Settings!$B$56="Not Sure",$R173,0)</f>
        <v/>
      </c>
      <c r="V173">
        <f>IF($E173="open",SUM($ET173:$FE173)+N(Settings!$B$13),0)</f>
        <v/>
      </c>
      <c r="W173">
        <f>IF($E173="post",$S173,IF($E173="open",$S173-$V173,0))</f>
        <v/>
      </c>
      <c r="X173">
        <f>SUMIFS(Giving!$B$7:$B$2006,Giving!$A$7:$A$2006,"&gt;="&amp;$A173,Giving!$A$7:$A$2006,"&lt;="&amp;$B173,Giving!$E$7:$E$2006,"&lt;&gt;No")</f>
        <v/>
      </c>
      <c r="Y173">
        <f>SUMIFS(Giving!$B$7:$B$2006,Giving!$A$7:$A$2006,"&gt;="&amp;$A173,Giving!$A$7:$A$2006,"&lt;="&amp;$B173,Giving!$E$7:$E$2006,"No")</f>
        <v/>
      </c>
      <c r="Z173">
        <f>IF(OR(Settings!$B$60="",Settings!$F$60="No"),0,Settings!$B$60*IF(AND(IF(Settings!$C$60="",$B173,DATE(YEAR($A173),MONTH($A173),MIN(Settings!$C$60,DAY($B173))))&gt;=MAX($A173,Settings!$D$60),IF(Settings!$C$60="",$B173,DATE(YEAR($A173),MONTH($A173),MIN(Settings!$C$60,DAY($B173))))&lt;=MIN($C173,IF(Settings!$E$60="",$C173,Settings!$E$60))),1,0))+IF(OR(Settings!$B$61="",Settings!$F$61="No"),0,Settings!$B$61*IF(AND(IF(Settings!$C$61="",$B173,DATE(YEAR($A173),MONTH($A173),MIN(Settings!$C$61,DAY($B173))))&gt;=MAX($A173,Settings!$D$61),IF(Settings!$C$61="",$B173,DATE(YEAR($A173),MONTH($A173),MIN(Settings!$C$61,DAY($B173))))&lt;=MIN($C173,IF(Settings!$E$61="",$C173,Settings!$E$61))),1,0))+IF(OR(Settings!$B$62="",Settings!$F$62="No"),0,Settings!$B$62*IF(AND(IF(Settings!$C$62="",$B173,DATE(YEAR($A173),MONTH($A173),MIN(Settings!$C$62,DAY($B173))))&gt;=MAX($A173,Settings!$D$62),IF(Settings!$C$62="",$B173,DATE(YEAR($A173),MONTH($A173),MIN(Settings!$C$62,DAY($B173))))&lt;=MIN($C173,IF(Settings!$E$62="",$C173,Settings!$E$62))),1,0))+IF(OR(Settings!$B$63="",Settings!$F$63="No"),0,Settings!$B$63*IF(AND(IF(Settings!$C$63="",$B173,DATE(YEAR($A173),MONTH($A173),MIN(Settings!$C$63,DAY($B173))))&gt;=MAX($A173,Settings!$D$63),IF(Settings!$C$63="",$B173,DATE(YEAR($A173),MONTH($A173),MIN(Settings!$C$63,DAY($B173))))&lt;=MIN($C173,IF(Settings!$E$63="",$C173,Settings!$E$63))),1,0))+IF(OR(Settings!$B$64="",Settings!$F$64="No"),0,Settings!$B$64*IF(AND(IF(Settings!$C$64="",$B173,DATE(YEAR($A173),MONTH($A173),MIN(Settings!$C$64,DAY($B173))))&gt;=MAX($A173,Settings!$D$64),IF(Settings!$C$64="",$B173,DATE(YEAR($A173),MONTH($A173),MIN(Settings!$C$64,DAY($B173))))&lt;=MIN($C173,IF(Settings!$E$64="",$C173,Settings!$E$64))),1,0))+IF(OR(Settings!$B$65="",Settings!$F$65="No"),0,Settings!$B$65*IF(AND(IF(Settings!$C$65="",$B173,DATE(YEAR($A173),MONTH($A173),MIN(Settings!$C$65,DAY($B173))))&gt;=MAX($A173,Settings!$D$65),IF(Settings!$C$65="",$B173,DATE(YEAR($A173),MONTH($A173),MIN(Settings!$C$65,DAY($B173))))&lt;=MIN($C173,IF(Settings!$E$65="",$C173,Settings!$E$65))),1,0))</f>
        <v/>
      </c>
      <c r="AA173">
        <f>$X173+$Z173</f>
        <v/>
      </c>
      <c r="AB173">
        <f>IF($E173="post",$AA173,IF($E173="open",SUMIFS(Giving!$B$7:$B$2006,Giving!$A$7:$A$2006,"&gt;"&amp;Settings!$B$5,Giving!$A$7:$A$2006,"&lt;="&amp;$B173,Giving!$E$7:$E$2006,"&lt;&gt;No")+IF(OR(Settings!$B$60="",Settings!$F$60="No"),0,Settings!$B$60*IF(AND(IF(Settings!$C$60="",$B173,DATE(YEAR($A173),MONTH($A173),MIN(Settings!$C$60,DAY($B173))))&gt;=MAX($A173,Settings!$D$60,Settings!$B$5+1),IF(Settings!$C$60="",$B173,DATE(YEAR($A173),MONTH($A173),MIN(Settings!$C$60,DAY($B173))))&lt;=MIN($C173,IF(Settings!$E$60="",$C173,Settings!$E$60))),1,0))+IF(OR(Settings!$B$61="",Settings!$F$61="No"),0,Settings!$B$61*IF(AND(IF(Settings!$C$61="",$B173,DATE(YEAR($A173),MONTH($A173),MIN(Settings!$C$61,DAY($B173))))&gt;=MAX($A173,Settings!$D$61,Settings!$B$5+1),IF(Settings!$C$61="",$B173,DATE(YEAR($A173),MONTH($A173),MIN(Settings!$C$61,DAY($B173))))&lt;=MIN($C173,IF(Settings!$E$61="",$C173,Settings!$E$61))),1,0))+IF(OR(Settings!$B$62="",Settings!$F$62="No"),0,Settings!$B$62*IF(AND(IF(Settings!$C$62="",$B173,DATE(YEAR($A173),MONTH($A173),MIN(Settings!$C$62,DAY($B173))))&gt;=MAX($A173,Settings!$D$62,Settings!$B$5+1),IF(Settings!$C$62="",$B173,DATE(YEAR($A173),MONTH($A173),MIN(Settings!$C$62,DAY($B173))))&lt;=MIN($C173,IF(Settings!$E$62="",$C173,Settings!$E$62))),1,0))+IF(OR(Settings!$B$63="",Settings!$F$63="No"),0,Settings!$B$63*IF(AND(IF(Settings!$C$63="",$B173,DATE(YEAR($A173),MONTH($A173),MIN(Settings!$C$63,DAY($B173))))&gt;=MAX($A173,Settings!$D$63,Settings!$B$5+1),IF(Settings!$C$63="",$B173,DATE(YEAR($A173),MONTH($A173),MIN(Settings!$C$63,DAY($B173))))&lt;=MIN($C173,IF(Settings!$E$63="",$C173,Settings!$E$63))),1,0))+IF(OR(Settings!$B$64="",Settings!$F$64="No"),0,Settings!$B$64*IF(AND(IF(Settings!$C$64="",$B173,DATE(YEAR($A173),MONTH($A173),MIN(Settings!$C$64,DAY($B173))))&gt;=MAX($A173,Settings!$D$64,Settings!$B$5+1),IF(Settings!$C$64="",$B173,DATE(YEAR($A173),MONTH($A173),MIN(Settings!$C$64,DAY($B173))))&lt;=MIN($C173,IF(Settings!$E$64="",$C173,Settings!$E$64))),1,0))+IF(OR(Settings!$B$65="",Settings!$F$65="No"),0,Settings!$B$65*IF(AND(IF(Settings!$C$65="",$B173,DATE(YEAR($A173),MONTH($A173),MIN(Settings!$C$65,DAY($B173))))&gt;=MAX($A173,Settings!$D$65,Settings!$B$5+1),IF(Settings!$C$65="",$B173,DATE(YEAR($A173),MONTH($A173),MIN(Settings!$C$65,DAY($B173))))&lt;=MIN($C173,IF(Settings!$E$65="",$C173,Settings!$E$65))),1,0)),0))</f>
        <v/>
      </c>
      <c r="AC173">
        <f>$AY173+$AZ173+$BA173+$BB173+$BC173+$BD173</f>
        <v/>
      </c>
      <c r="AD173">
        <f>$AC173</f>
        <v/>
      </c>
      <c r="AE173">
        <f>IF(OR(Settings!$A$19="",$E173="pre"),"",IF(AND('Month-End'!$FN$7&lt;&gt;"",NOT(_xlfn.ISFORMULA('Month-End'!$FN$7))),N('Month-End'!$FN$7),IF(OR($E173="open",$E172="pre"),N(Settings!$C$19),N($AE172))))</f>
        <v/>
      </c>
      <c r="AF173">
        <f>IF(OR(Settings!$A$20="",$E173="pre"),"",IF(AND('Month-End'!$FN$8&lt;&gt;"",NOT(_xlfn.ISFORMULA('Month-End'!$FN$8))),N('Month-End'!$FN$8),IF(OR($E173="open",$E172="pre"),N(Settings!$C$20),N($AF172))))</f>
        <v/>
      </c>
      <c r="AG173">
        <f>IF(OR(Settings!$A$21="",$E173="pre"),"",IF(AND('Month-End'!$FN$9&lt;&gt;"",NOT(_xlfn.ISFORMULA('Month-End'!$FN$9))),N('Month-End'!$FN$9),IF(OR($E173="open",$E172="pre"),N(Settings!$C$21),N($AG172))))</f>
        <v/>
      </c>
      <c r="AH173">
        <f>IF(OR(Settings!$A$22="",$E173="pre"),"",IF(AND('Month-End'!$FN$10&lt;&gt;"",NOT(_xlfn.ISFORMULA('Month-End'!$FN$10))),N('Month-End'!$FN$10),IF(OR($E173="open",$E172="pre"),N(Settings!$C$22),N($AH172))))</f>
        <v/>
      </c>
      <c r="AI173">
        <f>IF(OR(Settings!$A$23="",$E173="pre"),"",IF(AND('Month-End'!$FN$11&lt;&gt;"",NOT(_xlfn.ISFORMULA('Month-End'!$FN$11))),N('Month-End'!$FN$11),IF(OR($E173="open",$E172="pre"),N(Settings!$C$23),N($AI172))))</f>
        <v/>
      </c>
      <c r="AJ173">
        <f>IF(OR(Settings!$A$24="",$E173="pre"),"",IF(AND('Month-End'!$FN$12&lt;&gt;"",NOT(_xlfn.ISFORMULA('Month-End'!$FN$12))),N('Month-End'!$FN$12),IF(OR($E173="open",$E172="pre"),N(Settings!$C$24),N($AJ172))))</f>
        <v/>
      </c>
      <c r="AK173">
        <f>IF(OR(Settings!$A$25="",$E173="pre"),"",IF(AND('Month-End'!$FN$13&lt;&gt;"",NOT(_xlfn.ISFORMULA('Month-End'!$FN$13))),N('Month-End'!$FN$13),IF(OR($E173="open",$E172="pre"),N(Settings!$C$25),N($AK172))))</f>
        <v/>
      </c>
      <c r="AL173">
        <f>IF(OR(Settings!$A$26="",$E173="pre"),"",IF(AND('Month-End'!$FN$14&lt;&gt;"",NOT(_xlfn.ISFORMULA('Month-End'!$FN$14))),N('Month-End'!$FN$14),IF(OR($E173="open",$E172="pre"),N(Settings!$C$26),N($AL172))))</f>
        <v/>
      </c>
      <c r="AM173">
        <f>IF(OR(Settings!$A$27="",$E173="pre"),"",IF(AND('Month-End'!$FN$15&lt;&gt;"",NOT(_xlfn.ISFORMULA('Month-End'!$FN$15))),N('Month-End'!$FN$15),IF(OR($E173="open",$E172="pre"),N(Settings!$C$27),N($AM172))))</f>
        <v/>
      </c>
      <c r="AN173">
        <f>IF(OR(Settings!$A$28="",$E173="pre"),"",IF(AND('Month-End'!$FN$16&lt;&gt;"",NOT(_xlfn.ISFORMULA('Month-End'!$FN$16))),N('Month-End'!$FN$16),IF(OR($E173="open",$E172="pre"),N(Settings!$C$28),N($AN172))))</f>
        <v/>
      </c>
      <c r="AO173">
        <f>IF(OR(Settings!$A$29="",$E173="pre"),"",IF(AND('Month-End'!$FN$17&lt;&gt;"",NOT(_xlfn.ISFORMULA('Month-End'!$FN$17))),N('Month-End'!$FN$17),IF(OR($E173="open",$E172="pre"),N(Settings!$C$29),N($AO172))))</f>
        <v/>
      </c>
      <c r="AP173">
        <f>IF(OR(Settings!$A$30="",$E173="pre"),"",IF(AND('Month-End'!$FN$18&lt;&gt;"",NOT(_xlfn.ISFORMULA('Month-End'!$FN$18))),N('Month-End'!$FN$18),IF(OR($E173="open",$E172="pre"),N(Settings!$C$30),N($AP172))))</f>
        <v/>
      </c>
      <c r="AQ173">
        <f>IF(OR(Settings!$A$31="",$E173="pre"),"",IF(AND('Month-End'!$FN$19&lt;&gt;"",NOT(_xlfn.ISFORMULA('Month-End'!$FN$19))),N('Month-End'!$FN$19),IF(OR($E173="open",$E172="pre"),N(Settings!$C$31),N($AQ172))))</f>
        <v/>
      </c>
      <c r="AR173">
        <f>IF(OR(Settings!$A$32="",$E173="pre"),"",IF(AND('Month-End'!$FN$20&lt;&gt;"",NOT(_xlfn.ISFORMULA('Month-End'!$FN$20))),N('Month-End'!$FN$20),IF(OR($E173="open",$E172="pre"),N(Settings!$C$32),N($AR172))))</f>
        <v/>
      </c>
      <c r="AS173">
        <f>IF(OR(Settings!$A$36="",$E173="pre"),"",IF(AND('Month-End'!$FN$38&lt;&gt;"",NOT(_xlfn.ISFORMULA('Month-End'!$FN$38))),N('Month-End'!$FN$38),IF(OR($E173="open",$E172="pre"),N(Settings!$C$36),N($AS172))+$AY173))</f>
        <v/>
      </c>
      <c r="AT173">
        <f>IF(OR(Settings!$A$37="",$E173="pre"),"",IF(AND('Month-End'!$FN$39&lt;&gt;"",NOT(_xlfn.ISFORMULA('Month-End'!$FN$39))),N('Month-End'!$FN$39),IF(OR($E173="open",$E172="pre"),N(Settings!$C$37),N($AT172))+$AZ173))</f>
        <v/>
      </c>
      <c r="AU173">
        <f>IF(OR(Settings!$A$38="",$E173="pre"),"",IF(AND('Month-End'!$FN$40&lt;&gt;"",NOT(_xlfn.ISFORMULA('Month-End'!$FN$40))),N('Month-End'!$FN$40),IF(OR($E173="open",$E172="pre"),N(Settings!$C$38),N($AU172))+$BA173))</f>
        <v/>
      </c>
      <c r="AV173">
        <f>IF(OR(Settings!$A$39="",$E173="pre"),"",IF(AND('Month-End'!$FN$41&lt;&gt;"",NOT(_xlfn.ISFORMULA('Month-End'!$FN$41))),N('Month-End'!$FN$41),IF(OR($E173="open",$E172="pre"),N(Settings!$C$39),N($AV172))+$BB173))</f>
        <v/>
      </c>
      <c r="AW173">
        <f>IF(OR(Settings!$A$40="",$E173="pre"),"",IF(AND('Month-End'!$FN$42&lt;&gt;"",NOT(_xlfn.ISFORMULA('Month-End'!$FN$42))),N('Month-End'!$FN$42),IF(OR($E173="open",$E172="pre"),N(Settings!$C$40),N($AW172))+$BC173))</f>
        <v/>
      </c>
      <c r="AX173">
        <f>IF(OR(Settings!$A$41="",$E173="pre"),"",IF(AND('Month-End'!$FN$43&lt;&gt;"",NOT(_xlfn.ISFORMULA('Month-End'!$FN$43))),N('Month-End'!$FN$43),IF(OR($E173="open",$E172="pre"),N(Settings!$C$41),N($AX172))+$BD173))</f>
        <v/>
      </c>
      <c r="AY173">
        <f>IF($E173="pre",0,N('Month-End'!$FN$45))</f>
        <v/>
      </c>
      <c r="AZ173">
        <f>IF($E173="pre",0,N('Month-End'!$FN$46))</f>
        <v/>
      </c>
      <c r="BA173">
        <f>IF($E173="pre",0,N('Month-End'!$FN$47))</f>
        <v/>
      </c>
      <c r="BB173">
        <f>IF($E173="pre",0,N('Month-End'!$FN$48))</f>
        <v/>
      </c>
      <c r="BC173">
        <f>IF($E173="pre",0,N('Month-End'!$FN$49))</f>
        <v/>
      </c>
      <c r="BD173">
        <f>IF($E173="pre",0,N('Month-End'!$FN$50))</f>
        <v/>
      </c>
      <c r="BE173">
        <f>IF(OR(Settings!$C$45="",Settings!$D$45=""),0,Settings!$C$45*IF(Settings!$D$45="Weekly",IF(IFERROR(MATCH(Settings!$E$45,$EO$4:$EO$10,0),0)=0,0,IF(MIN($C173,IF(Settings!$G$45="",$C173,Settings!$G$45))&lt;MAX($A173,Settings!$F$45),0,INT((MIN($C173,IF(Settings!$G$45="",$C173,Settings!$G$45))-MAX($A173,Settings!$F$45)-MOD(IFERROR(MATCH(Settings!$E$45,$EO$4:$EO$10,0),0)-WEEKDAY(MAX($A173,Settings!$F$45)),7))/7)+1)),IF(AND(IF(Settings!$E$45="",$B173,DATE(YEAR($A173),MONTH($A173),MIN(Settings!$E$45,DAY($B173))))&gt;=MAX($A173,Settings!$F$45),IF(Settings!$E$45="",$B173,DATE(YEAR($A173),MONTH($A173),MIN(Settings!$E$45,DAY($B173))))&lt;=MIN($C173,IF(Settings!$G$45="",$C173,Settings!$G$45))),1,0)))</f>
        <v/>
      </c>
      <c r="BF173">
        <f>IF(OR(Settings!$C$46="",Settings!$D$46=""),0,Settings!$C$46*IF(Settings!$D$46="Weekly",IF(IFERROR(MATCH(Settings!$E$46,$EO$4:$EO$10,0),0)=0,0,IF(MIN($C173,IF(Settings!$G$46="",$C173,Settings!$G$46))&lt;MAX($A173,Settings!$F$46),0,INT((MIN($C173,IF(Settings!$G$46="",$C173,Settings!$G$46))-MAX($A173,Settings!$F$46)-MOD(IFERROR(MATCH(Settings!$E$46,$EO$4:$EO$10,0),0)-WEEKDAY(MAX($A173,Settings!$F$46)),7))/7)+1)),IF(AND(IF(Settings!$E$46="",$B173,DATE(YEAR($A173),MONTH($A173),MIN(Settings!$E$46,DAY($B173))))&gt;=MAX($A173,Settings!$F$46),IF(Settings!$E$46="",$B173,DATE(YEAR($A173),MONTH($A173),MIN(Settings!$E$46,DAY($B173))))&lt;=MIN($C173,IF(Settings!$G$46="",$C173,Settings!$G$46))),1,0)))</f>
        <v/>
      </c>
      <c r="BG173">
        <f>IF(OR(Settings!$C$47="",Settings!$D$47=""),0,Settings!$C$47*IF(Settings!$D$47="Weekly",IF(IFERROR(MATCH(Settings!$E$47,$EO$4:$EO$10,0),0)=0,0,IF(MIN($C173,IF(Settings!$G$47="",$C173,Settings!$G$47))&lt;MAX($A173,Settings!$F$47),0,INT((MIN($C173,IF(Settings!$G$47="",$C173,Settings!$G$47))-MAX($A173,Settings!$F$47)-MOD(IFERROR(MATCH(Settings!$E$47,$EO$4:$EO$10,0),0)-WEEKDAY(MAX($A173,Settings!$F$47)),7))/7)+1)),IF(AND(IF(Settings!$E$47="",$B173,DATE(YEAR($A173),MONTH($A173),MIN(Settings!$E$47,DAY($B173))))&gt;=MAX($A173,Settings!$F$47),IF(Settings!$E$47="",$B173,DATE(YEAR($A173),MONTH($A173),MIN(Settings!$E$47,DAY($B173))))&lt;=MIN($C173,IF(Settings!$G$47="",$C173,Settings!$G$47))),1,0)))</f>
        <v/>
      </c>
      <c r="BH173">
        <f>IF(OR(Settings!$C$48="",Settings!$D$48=""),0,Settings!$C$48*IF(Settings!$D$48="Weekly",IF(IFERROR(MATCH(Settings!$E$48,$EO$4:$EO$10,0),0)=0,0,IF(MIN($C173,IF(Settings!$G$48="",$C173,Settings!$G$48))&lt;MAX($A173,Settings!$F$48),0,INT((MIN($C173,IF(Settings!$G$48="",$C173,Settings!$G$48))-MAX($A173,Settings!$F$48)-MOD(IFERROR(MATCH(Settings!$E$48,$EO$4:$EO$10,0),0)-WEEKDAY(MAX($A173,Settings!$F$48)),7))/7)+1)),IF(AND(IF(Settings!$E$48="",$B173,DATE(YEAR($A173),MONTH($A173),MIN(Settings!$E$48,DAY($B173))))&gt;=MAX($A173,Settings!$F$48),IF(Settings!$E$48="",$B173,DATE(YEAR($A173),MONTH($A173),MIN(Settings!$E$48,DAY($B173))))&lt;=MIN($C173,IF(Settings!$G$48="",$C173,Settings!$G$48))),1,0)))</f>
        <v/>
      </c>
      <c r="BI173">
        <f>IF(OR(Settings!$C$49="",Settings!$D$49=""),0,Settings!$C$49*IF(Settings!$D$49="Weekly",IF(IFERROR(MATCH(Settings!$E$49,$EO$4:$EO$10,0),0)=0,0,IF(MIN($C173,IF(Settings!$G$49="",$C173,Settings!$G$49))&lt;MAX($A173,Settings!$F$49),0,INT((MIN($C173,IF(Settings!$G$49="",$C173,Settings!$G$49))-MAX($A173,Settings!$F$49)-MOD(IFERROR(MATCH(Settings!$E$49,$EO$4:$EO$10,0),0)-WEEKDAY(MAX($A173,Settings!$F$49)),7))/7)+1)),IF(AND(IF(Settings!$E$49="",$B173,DATE(YEAR($A173),MONTH($A173),MIN(Settings!$E$49,DAY($B173))))&gt;=MAX($A173,Settings!$F$49),IF(Settings!$E$49="",$B173,DATE(YEAR($A173),MONTH($A173),MIN(Settings!$E$49,DAY($B173))))&lt;=MIN($C173,IF(Settings!$G$49="",$C173,Settings!$G$49))),1,0)))</f>
        <v/>
      </c>
      <c r="BJ173">
        <f>IF(OR(Settings!$C$50="",Settings!$D$50=""),0,Settings!$C$50*IF(Settings!$D$50="Weekly",IF(IFERROR(MATCH(Settings!$E$50,$EO$4:$EO$10,0),0)=0,0,IF(MIN($C173,IF(Settings!$G$50="",$C173,Settings!$G$50))&lt;MAX($A173,Settings!$F$50),0,INT((MIN($C173,IF(Settings!$G$50="",$C173,Settings!$G$50))-MAX($A173,Settings!$F$50)-MOD(IFERROR(MATCH(Settings!$E$50,$EO$4:$EO$10,0),0)-WEEKDAY(MAX($A173,Settings!$F$50)),7))/7)+1)),IF(AND(IF(Settings!$E$50="",$B173,DATE(YEAR($A173),MONTH($A173),MIN(Settings!$E$50,DAY($B173))))&gt;=MAX($A173,Settings!$F$50),IF(Settings!$E$50="",$B173,DATE(YEAR($A173),MONTH($A173),MIN(Settings!$E$50,DAY($B173))))&lt;=MIN($C173,IF(Settings!$G$50="",$C173,Settings!$G$50))),1,0)))</f>
        <v/>
      </c>
      <c r="BK173">
        <f>IF(OR(Settings!$C$51="",Settings!$D$51=""),0,Settings!$C$51*IF(Settings!$D$51="Weekly",IF(IFERROR(MATCH(Settings!$E$51,$EO$4:$EO$10,0),0)=0,0,IF(MIN($C173,IF(Settings!$G$51="",$C173,Settings!$G$51))&lt;MAX($A173,Settings!$F$51),0,INT((MIN($C173,IF(Settings!$G$51="",$C173,Settings!$G$51))-MAX($A173,Settings!$F$51)-MOD(IFERROR(MATCH(Settings!$E$51,$EO$4:$EO$10,0),0)-WEEKDAY(MAX($A173,Settings!$F$51)),7))/7)+1)),IF(AND(IF(Settings!$E$51="",$B173,DATE(YEAR($A173),MONTH($A173),MIN(Settings!$E$51,DAY($B173))))&gt;=MAX($A173,Settings!$F$51),IF(Settings!$E$51="",$B173,DATE(YEAR($A173),MONTH($A173),MIN(Settings!$E$51,DAY($B173))))&lt;=MIN($C173,IF(Settings!$G$51="",$C173,Settings!$G$51))),1,0)))</f>
        <v/>
      </c>
      <c r="BL173">
        <f>IF(OR(Settings!$C$52="",Settings!$D$52=""),0,Settings!$C$52*IF(Settings!$D$52="Weekly",IF(IFERROR(MATCH(Settings!$E$52,$EO$4:$EO$10,0),0)=0,0,IF(MIN($C173,IF(Settings!$G$52="",$C173,Settings!$G$52))&lt;MAX($A173,Settings!$F$52),0,INT((MIN($C173,IF(Settings!$G$52="",$C173,Settings!$G$52))-MAX($A173,Settings!$F$52)-MOD(IFERROR(MATCH(Settings!$E$52,$EO$4:$EO$10,0),0)-WEEKDAY(MAX($A173,Settings!$F$52)),7))/7)+1)),IF(AND(IF(Settings!$E$52="",$B173,DATE(YEAR($A173),MONTH($A173),MIN(Settings!$E$52,DAY($B173))))&gt;=MAX($A173,Settings!$F$52),IF(Settings!$E$52="",$B173,DATE(YEAR($A173),MONTH($A173),MIN(Settings!$E$52,DAY($B173))))&lt;=MIN($C173,IF(Settings!$G$52="",$C173,Settings!$G$52))),1,0)))</f>
        <v/>
      </c>
      <c r="BM173">
        <f>IF(OR(Settings!$C$53="",Settings!$D$53=""),0,Settings!$C$53*IF(Settings!$D$53="Weekly",IF(IFERROR(MATCH(Settings!$E$53,$EO$4:$EO$10,0),0)=0,0,IF(MIN($C173,IF(Settings!$G$53="",$C173,Settings!$G$53))&lt;MAX($A173,Settings!$F$53),0,INT((MIN($C173,IF(Settings!$G$53="",$C173,Settings!$G$53))-MAX($A173,Settings!$F$53)-MOD(IFERROR(MATCH(Settings!$E$53,$EO$4:$EO$10,0),0)-WEEKDAY(MAX($A173,Settings!$F$53)),7))/7)+1)),IF(AND(IF(Settings!$E$53="",$B173,DATE(YEAR($A173),MONTH($A173),MIN(Settings!$E$53,DAY($B173))))&gt;=MAX($A173,Settings!$F$53),IF(Settings!$E$53="",$B173,DATE(YEAR($A173),MONTH($A173),MIN(Settings!$E$53,DAY($B173))))&lt;=MIN($C173,IF(Settings!$G$53="",$C173,Settings!$G$53))),1,0)))</f>
        <v/>
      </c>
      <c r="BN173">
        <f>IF(OR(Settings!$C$54="",Settings!$D$54=""),0,Settings!$C$54*IF(Settings!$D$54="Weekly",IF(IFERROR(MATCH(Settings!$E$54,$EO$4:$EO$10,0),0)=0,0,IF(MIN($C173,IF(Settings!$G$54="",$C173,Settings!$G$54))&lt;MAX($A173,Settings!$F$54),0,INT((MIN($C173,IF(Settings!$G$54="",$C173,Settings!$G$54))-MAX($A173,Settings!$F$54)-MOD(IFERROR(MATCH(Settings!$E$54,$EO$4:$EO$10,0),0)-WEEKDAY(MAX($A173,Settings!$F$54)),7))/7)+1)),IF(AND(IF(Settings!$E$54="",$B173,DATE(YEAR($A173),MONTH($A173),MIN(Settings!$E$54,DAY($B173))))&gt;=MAX($A173,Settings!$F$54),IF(Settings!$E$54="",$B173,DATE(YEAR($A173),MONTH($A173),MIN(Settings!$E$54,DAY($B173))))&lt;=MIN($C173,IF(Settings!$G$54="",$C173,Settings!$G$54))),1,0)))</f>
        <v/>
      </c>
      <c r="BO173">
        <f>IF(OR(Settings!$C$55="",Settings!$D$55=""),0,Settings!$C$55*IF(Settings!$D$55="Weekly",IF(IFERROR(MATCH(Settings!$E$55,$EO$4:$EO$10,0),0)=0,0,IF(MIN($C173,IF(Settings!$G$55="",$C173,Settings!$G$55))&lt;MAX($A173,Settings!$F$55),0,INT((MIN($C173,IF(Settings!$G$55="",$C173,Settings!$G$55))-MAX($A173,Settings!$F$55)-MOD(IFERROR(MATCH(Settings!$E$55,$EO$4:$EO$10,0),0)-WEEKDAY(MAX($A173,Settings!$F$55)),7))/7)+1)),IF(AND(IF(Settings!$E$55="",$B173,DATE(YEAR($A173),MONTH($A173),MIN(Settings!$E$55,DAY($B173))))&gt;=MAX($A173,Settings!$F$55),IF(Settings!$E$55="",$B173,DATE(YEAR($A173),MONTH($A173),MIN(Settings!$E$55,DAY($B173))))&lt;=MIN($C173,IF(Settings!$G$55="",$C173,Settings!$G$55))),1,0)))</f>
        <v/>
      </c>
      <c r="BP173">
        <f>IF(OR(Settings!$C$56="",Settings!$D$56=""),0,Settings!$C$56*IF(Settings!$D$56="Weekly",IF(IFERROR(MATCH(Settings!$E$56,$EO$4:$EO$10,0),0)=0,0,IF(MIN($C173,IF(Settings!$G$56="",$C173,Settings!$G$56))&lt;MAX($A173,Settings!$F$56),0,INT((MIN($C173,IF(Settings!$G$56="",$C173,Settings!$G$56))-MAX($A173,Settings!$F$56)-MOD(IFERROR(MATCH(Settings!$E$56,$EO$4:$EO$10,0),0)-WEEKDAY(MAX($A173,Settings!$F$56)),7))/7)+1)),IF(AND(IF(Settings!$E$56="",$B173,DATE(YEAR($A173),MONTH($A173),MIN(Settings!$E$56,DAY($B173))))&gt;=MAX($A173,Settings!$F$56),IF(Settings!$E$56="",$B173,DATE(YEAR($A173),MONTH($A173),MIN(Settings!$E$56,DAY($B173))))&lt;=MIN($C173,IF(Settings!$G$56="",$C173,Settings!$G$56))),1,0)))</f>
        <v/>
      </c>
      <c r="BQ173">
        <f>IF(OR(Settings!$B$14="",$D173=1,$E173="pre",$A173&lt;IF(Settings!$B$15="",0,Settings!$B$15)),0,Settings!$B$14)</f>
        <v/>
      </c>
      <c r="BR173">
        <f>IF(AND('Month-End'!$FN$7&lt;&gt;"",NOT(_xlfn.ISFORMULA('Month-End'!$FN$7))),1,0)</f>
        <v/>
      </c>
      <c r="BS173">
        <f>IF(AND('Month-End'!$FN$8&lt;&gt;"",NOT(_xlfn.ISFORMULA('Month-End'!$FN$8))),1,0)</f>
        <v/>
      </c>
      <c r="BT173">
        <f>IF(AND('Month-End'!$FN$9&lt;&gt;"",NOT(_xlfn.ISFORMULA('Month-End'!$FN$9))),1,0)</f>
        <v/>
      </c>
      <c r="BU173">
        <f>IF(AND('Month-End'!$FN$10&lt;&gt;"",NOT(_xlfn.ISFORMULA('Month-End'!$FN$10))),1,0)</f>
        <v/>
      </c>
      <c r="BV173">
        <f>IF(AND('Month-End'!$FN$11&lt;&gt;"",NOT(_xlfn.ISFORMULA('Month-End'!$FN$11))),1,0)</f>
        <v/>
      </c>
      <c r="BW173">
        <f>IF(AND('Month-End'!$FN$12&lt;&gt;"",NOT(_xlfn.ISFORMULA('Month-End'!$FN$12))),1,0)</f>
        <v/>
      </c>
      <c r="BX173">
        <f>IF(AND('Month-End'!$FN$13&lt;&gt;"",NOT(_xlfn.ISFORMULA('Month-End'!$FN$13))),1,0)</f>
        <v/>
      </c>
      <c r="BY173">
        <f>IF(AND('Month-End'!$FN$14&lt;&gt;"",NOT(_xlfn.ISFORMULA('Month-End'!$FN$14))),1,0)</f>
        <v/>
      </c>
      <c r="BZ173">
        <f>IF(AND('Month-End'!$FN$15&lt;&gt;"",NOT(_xlfn.ISFORMULA('Month-End'!$FN$15))),1,0)</f>
        <v/>
      </c>
      <c r="CA173">
        <f>IF(AND('Month-End'!$FN$16&lt;&gt;"",NOT(_xlfn.ISFORMULA('Month-End'!$FN$16))),1,0)</f>
        <v/>
      </c>
      <c r="CB173">
        <f>IF(AND('Month-End'!$FN$17&lt;&gt;"",NOT(_xlfn.ISFORMULA('Month-End'!$FN$17))),1,0)</f>
        <v/>
      </c>
      <c r="CC173">
        <f>IF(AND('Month-End'!$FN$18&lt;&gt;"",NOT(_xlfn.ISFORMULA('Month-End'!$FN$18))),1,0)</f>
        <v/>
      </c>
      <c r="CD173">
        <f>IF(AND('Month-End'!$FN$19&lt;&gt;"",NOT(_xlfn.ISFORMULA('Month-End'!$FN$19))),1,0)</f>
        <v/>
      </c>
      <c r="CE173">
        <f>IF(AND('Month-End'!$FN$20&lt;&gt;"",NOT(_xlfn.ISFORMULA('Month-End'!$FN$20))),1,0)</f>
        <v/>
      </c>
      <c r="CF173">
        <f>IF(AND('Month-End'!$FN$38&lt;&gt;"",NOT(_xlfn.ISFORMULA('Month-End'!$FN$38))),1,0)</f>
        <v/>
      </c>
      <c r="CG173">
        <f>IF(AND('Month-End'!$FN$39&lt;&gt;"",NOT(_xlfn.ISFORMULA('Month-End'!$FN$39))),1,0)</f>
        <v/>
      </c>
      <c r="CH173">
        <f>IF(AND('Month-End'!$FN$40&lt;&gt;"",NOT(_xlfn.ISFORMULA('Month-End'!$FN$40))),1,0)</f>
        <v/>
      </c>
      <c r="CI173">
        <f>IF(AND('Month-End'!$FN$41&lt;&gt;"",NOT(_xlfn.ISFORMULA('Month-End'!$FN$41))),1,0)</f>
        <v/>
      </c>
      <c r="CJ173">
        <f>IF(AND('Month-End'!$FN$42&lt;&gt;"",NOT(_xlfn.ISFORMULA('Month-End'!$FN$42))),1,0)</f>
        <v/>
      </c>
      <c r="CK173">
        <f>IF(AND('Month-End'!$FN$43&lt;&gt;"",NOT(_xlfn.ISFORMULA('Month-End'!$FN$43))),1,0)</f>
        <v/>
      </c>
      <c r="CL173">
        <f>SUM($CM173:$CZ173)</f>
        <v/>
      </c>
      <c r="CM173">
        <f>IF(AND($E173&lt;&gt;"pre",AND(Settings!$A$19&lt;&gt;"",Settings!$E$19&lt;&gt;"No"),Settings!$F$19="Yes",NOT(AND('Month-End'!$FN$7&lt;&gt;"",NOT(_xlfn.ISFORMULA('Month-End'!$FN$7))))),1,0)</f>
        <v/>
      </c>
      <c r="CN173">
        <f>IF(AND($E173&lt;&gt;"pre",AND(Settings!$A$20&lt;&gt;"",Settings!$E$20&lt;&gt;"No"),Settings!$F$20="Yes",NOT(AND('Month-End'!$FN$8&lt;&gt;"",NOT(_xlfn.ISFORMULA('Month-End'!$FN$8))))),1,0)</f>
        <v/>
      </c>
      <c r="CO173">
        <f>IF(AND($E173&lt;&gt;"pre",AND(Settings!$A$21&lt;&gt;"",Settings!$E$21&lt;&gt;"No"),Settings!$F$21="Yes",NOT(AND('Month-End'!$FN$9&lt;&gt;"",NOT(_xlfn.ISFORMULA('Month-End'!$FN$9))))),1,0)</f>
        <v/>
      </c>
      <c r="CP173">
        <f>IF(AND($E173&lt;&gt;"pre",AND(Settings!$A$22&lt;&gt;"",Settings!$E$22&lt;&gt;"No"),Settings!$F$22="Yes",NOT(AND('Month-End'!$FN$10&lt;&gt;"",NOT(_xlfn.ISFORMULA('Month-End'!$FN$10))))),1,0)</f>
        <v/>
      </c>
      <c r="CQ173">
        <f>IF(AND($E173&lt;&gt;"pre",AND(Settings!$A$23&lt;&gt;"",Settings!$E$23&lt;&gt;"No"),Settings!$F$23="Yes",NOT(AND('Month-End'!$FN$11&lt;&gt;"",NOT(_xlfn.ISFORMULA('Month-End'!$FN$11))))),1,0)</f>
        <v/>
      </c>
      <c r="CR173">
        <f>IF(AND($E173&lt;&gt;"pre",AND(Settings!$A$24&lt;&gt;"",Settings!$E$24&lt;&gt;"No"),Settings!$F$24="Yes",NOT(AND('Month-End'!$FN$12&lt;&gt;"",NOT(_xlfn.ISFORMULA('Month-End'!$FN$12))))),1,0)</f>
        <v/>
      </c>
      <c r="CS173">
        <f>IF(AND($E173&lt;&gt;"pre",AND(Settings!$A$25&lt;&gt;"",Settings!$E$25&lt;&gt;"No"),Settings!$F$25="Yes",NOT(AND('Month-End'!$FN$13&lt;&gt;"",NOT(_xlfn.ISFORMULA('Month-End'!$FN$13))))),1,0)</f>
        <v/>
      </c>
      <c r="CT173">
        <f>IF(AND($E173&lt;&gt;"pre",AND(Settings!$A$26&lt;&gt;"",Settings!$E$26&lt;&gt;"No"),Settings!$F$26="Yes",NOT(AND('Month-End'!$FN$14&lt;&gt;"",NOT(_xlfn.ISFORMULA('Month-End'!$FN$14))))),1,0)</f>
        <v/>
      </c>
      <c r="CU173">
        <f>IF(AND($E173&lt;&gt;"pre",AND(Settings!$A$27&lt;&gt;"",Settings!$E$27&lt;&gt;"No"),Settings!$F$27="Yes",NOT(AND('Month-End'!$FN$15&lt;&gt;"",NOT(_xlfn.ISFORMULA('Month-End'!$FN$15))))),1,0)</f>
        <v/>
      </c>
      <c r="CV173">
        <f>IF(AND($E173&lt;&gt;"pre",AND(Settings!$A$28&lt;&gt;"",Settings!$E$28&lt;&gt;"No"),Settings!$F$28="Yes",NOT(AND('Month-End'!$FN$16&lt;&gt;"",NOT(_xlfn.ISFORMULA('Month-End'!$FN$16))))),1,0)</f>
        <v/>
      </c>
      <c r="CW173">
        <f>IF(AND($E173&lt;&gt;"pre",AND(Settings!$A$29&lt;&gt;"",Settings!$E$29&lt;&gt;"No"),Settings!$F$29="Yes",NOT(AND('Month-End'!$FN$17&lt;&gt;"",NOT(_xlfn.ISFORMULA('Month-End'!$FN$17))))),1,0)</f>
        <v/>
      </c>
      <c r="CX173">
        <f>IF(AND($E173&lt;&gt;"pre",AND(Settings!$A$30&lt;&gt;"",Settings!$E$30&lt;&gt;"No"),Settings!$F$30="Yes",NOT(AND('Month-End'!$FN$18&lt;&gt;"",NOT(_xlfn.ISFORMULA('Month-End'!$FN$18))))),1,0)</f>
        <v/>
      </c>
      <c r="CY173">
        <f>IF(AND($E173&lt;&gt;"pre",AND(Settings!$A$31&lt;&gt;"",Settings!$E$31&lt;&gt;"No"),Settings!$F$31="Yes",NOT(AND('Month-End'!$FN$19&lt;&gt;"",NOT(_xlfn.ISFORMULA('Month-End'!$FN$19))))),1,0)</f>
        <v/>
      </c>
      <c r="CZ173">
        <f>IF(AND($E173&lt;&gt;"pre",AND(Settings!$A$32&lt;&gt;"",Settings!$E$32&lt;&gt;"No"),Settings!$F$32="Yes",NOT(AND('Month-End'!$FN$20&lt;&gt;"",NOT(_xlfn.ISFORMULA('Month-End'!$FN$20))))),1,0)</f>
        <v/>
      </c>
      <c r="DA173">
        <f>IF($DT173=1,IF(OR(Settings!$B$19="Checking",Settings!$B$19="Savings",Settings!$B$19="Cash"),N($AE173),IF(OR(Settings!$B$19="Card",Settings!$B$19="Loan"),-N($AE173),0))+IF(OR(Settings!$B$20="Checking",Settings!$B$20="Savings",Settings!$B$20="Cash"),N($AF173),IF(OR(Settings!$B$20="Card",Settings!$B$20="Loan"),-N($AF173),0))+IF(OR(Settings!$B$21="Checking",Settings!$B$21="Savings",Settings!$B$21="Cash"),N($AG173),IF(OR(Settings!$B$21="Card",Settings!$B$21="Loan"),-N($AG173),0))+IF(OR(Settings!$B$22="Checking",Settings!$B$22="Savings",Settings!$B$22="Cash"),N($AH173),IF(OR(Settings!$B$22="Card",Settings!$B$22="Loan"),-N($AH173),0))+IF(OR(Settings!$B$23="Checking",Settings!$B$23="Savings",Settings!$B$23="Cash"),N($AI173),IF(OR(Settings!$B$23="Card",Settings!$B$23="Loan"),-N($AI173),0))+IF(OR(Settings!$B$24="Checking",Settings!$B$24="Savings",Settings!$B$24="Cash"),N($AJ173),IF(OR(Settings!$B$24="Card",Settings!$B$24="Loan"),-N($AJ173),0))+IF(OR(Settings!$B$25="Checking",Settings!$B$25="Savings",Settings!$B$25="Cash"),N($AK173),IF(OR(Settings!$B$25="Card",Settings!$B$25="Loan"),-N($AK173),0))+IF(OR(Settings!$B$26="Checking",Settings!$B$26="Savings",Settings!$B$26="Cash"),N($AL173),IF(OR(Settings!$B$26="Card",Settings!$B$26="Loan"),-N($AL173),0))+IF(OR(Settings!$B$27="Checking",Settings!$B$27="Savings",Settings!$B$27="Cash"),N($AM173),IF(OR(Settings!$B$27="Card",Settings!$B$27="Loan"),-N($AM173),0))+IF(OR(Settings!$B$28="Checking",Settings!$B$28="Savings",Settings!$B$28="Cash"),N($AN173),IF(OR(Settings!$B$28="Card",Settings!$B$28="Loan"),-N($AN173),0))+IF(OR(Settings!$B$29="Checking",Settings!$B$29="Savings",Settings!$B$29="Cash"),N($AO173),IF(OR(Settings!$B$29="Card",Settings!$B$29="Loan"),-N($AO173),0))+IF(OR(Settings!$B$30="Checking",Settings!$B$30="Savings",Settings!$B$30="Cash"),N($AP173),IF(OR(Settings!$B$30="Card",Settings!$B$30="Loan"),-N($AP173),0))+IF(OR(Settings!$B$31="Checking",Settings!$B$31="Savings",Settings!$B$31="Cash"),N($AQ173),IF(OR(Settings!$B$31="Card",Settings!$B$31="Loan"),-N($AQ173),0))+IF(OR(Settings!$B$32="Checking",Settings!$B$32="Savings",Settings!$B$32="Cash"),N($AR173),IF(OR(Settings!$B$32="Card",Settings!$B$32="Loan"),-N($AR173),0)),"")</f>
        <v/>
      </c>
      <c r="DB173">
        <f>IF($E173="open",$EB$27,IF($E173="post",IF($E172="pre",$EB$27,$DA172),""))</f>
        <v/>
      </c>
      <c r="DC173">
        <f>IF($E173="open",1,IF($E173="post",IF($E172="pre",1,$DT172),0))</f>
        <v/>
      </c>
      <c r="DD173">
        <f>IF(AND($DT173=1,$DC173=1),ROUND($W173-($DA173-$DB173)-$AD173-$AB173,2),"")</f>
        <v/>
      </c>
      <c r="DE173">
        <f>IF('Month-End'!$FN$35="",$BQ173,N('Month-End'!$FN$35))</f>
        <v/>
      </c>
      <c r="DF173">
        <f>N('Month-End'!$FN$36)</f>
        <v/>
      </c>
      <c r="DG173">
        <f>IF($DD173="","",$DD173+$DE173)</f>
        <v/>
      </c>
      <c r="DH173">
        <f>IF($DG173="","",$DG173-$DF173)</f>
        <v/>
      </c>
      <c r="DI173">
        <f>IF(OR($E173="pre",$D173=1),"",N($AS173)+N($AT173)+N($AU173)+N($AV173)+N($AW173)+N($AX173))</f>
        <v/>
      </c>
      <c r="DJ173">
        <f>IF($DT173=1,$DA173+N($DI173),"")</f>
        <v/>
      </c>
      <c r="DK173">
        <f>IF($DD173="","",$W173-$DD173-$AB173)</f>
        <v/>
      </c>
      <c r="DL173">
        <f>IF(AND($E173="post",$DD173&lt;&gt;"",$B173&lt;TODAY()),1,0)</f>
        <v/>
      </c>
      <c r="DM173">
        <f>IF($DL173=1,COUNTIF($DL173:$DL$183,1),0)</f>
        <v/>
      </c>
      <c r="DN173">
        <f>IF($D173=1,"",IF($E173="pre","History only",IF($DT173=1,IF($DD173="","⚠ Previous month missing",IF($DD173&lt;0,"⚠ Check: spending &lt; 0",IF($E173="open","✓ Done (partial)","✓ Done"))),IF($B173&gt;=TODAY(),"In progress","⚠ Needs balances"))))</f>
        <v/>
      </c>
      <c r="DO173">
        <f>YEAR($A173)</f>
        <v/>
      </c>
      <c r="DP173">
        <f>DATE(YEAR($A173),INT((MONTH($A173)-1)/3)*3+1,1)</f>
        <v/>
      </c>
      <c r="DQ173">
        <f>IF(AND($DT173=1,$DD173&lt;&gt;"",$D173=0),ROW(),0)</f>
        <v/>
      </c>
      <c r="DR173">
        <f>IF(AND($E173&lt;&gt;"pre",$B173&lt;TODAY(),$DT173=0),1,0)</f>
        <v/>
      </c>
      <c r="DS173">
        <f>IF($DJ173="",NA(),$DJ173)</f>
        <v/>
      </c>
      <c r="DT173">
        <f>IF(AND($E173&lt;&gt;"pre",$CL173=0,COUNTIFS(Settings!$F$19:$F$32,"Yes",Settings!$A$19:$A$32,"&lt;&gt;",Settings!$E$19:$E$32,"&lt;&gt;No")&gt;0),1,0)</f>
        <v/>
      </c>
      <c r="DU173">
        <f>IF(AND($B173&lt;TODAY(),$S173&gt;0),1,0)</f>
        <v/>
      </c>
      <c r="DV173">
        <f>IF($DU173=1,COUNTIF($DU173:$DU$183,1),0)</f>
        <v/>
      </c>
      <c r="DW173">
        <f>IF(AND(OR(Settings!$B$19="Card",Settings!$B$19="Loan"),AND('Month-End'!$FN$7&lt;&gt;"",NOT(_xlfn.ISFORMULA('Month-End'!$FN$7)))),IF(N('Month-End'!$FN$7)&lt;0,1,0),0)+IF(AND(OR(Settings!$B$20="Card",Settings!$B$20="Loan"),AND('Month-End'!$FN$8&lt;&gt;"",NOT(_xlfn.ISFORMULA('Month-End'!$FN$8)))),IF(N('Month-End'!$FN$8)&lt;0,1,0),0)+IF(AND(OR(Settings!$B$21="Card",Settings!$B$21="Loan"),AND('Month-End'!$FN$9&lt;&gt;"",NOT(_xlfn.ISFORMULA('Month-End'!$FN$9)))),IF(N('Month-End'!$FN$9)&lt;0,1,0),0)+IF(AND(OR(Settings!$B$22="Card",Settings!$B$22="Loan"),AND('Month-End'!$FN$10&lt;&gt;"",NOT(_xlfn.ISFORMULA('Month-End'!$FN$10)))),IF(N('Month-End'!$FN$10)&lt;0,1,0),0)+IF(AND(OR(Settings!$B$23="Card",Settings!$B$23="Loan"),AND('Month-End'!$FN$11&lt;&gt;"",NOT(_xlfn.ISFORMULA('Month-End'!$FN$11)))),IF(N('Month-End'!$FN$11)&lt;0,1,0),0)+IF(AND(OR(Settings!$B$24="Card",Settings!$B$24="Loan"),AND('Month-End'!$FN$12&lt;&gt;"",NOT(_xlfn.ISFORMULA('Month-End'!$FN$12)))),IF(N('Month-End'!$FN$12)&lt;0,1,0),0)+IF(AND(OR(Settings!$B$25="Card",Settings!$B$25="Loan"),AND('Month-End'!$FN$13&lt;&gt;"",NOT(_xlfn.ISFORMULA('Month-End'!$FN$13)))),IF(N('Month-End'!$FN$13)&lt;0,1,0),0)+IF(AND(OR(Settings!$B$26="Card",Settings!$B$26="Loan"),AND('Month-End'!$FN$14&lt;&gt;"",NOT(_xlfn.ISFORMULA('Month-End'!$FN$14)))),IF(N('Month-End'!$FN$14)&lt;0,1,0),0)+IF(AND(OR(Settings!$B$27="Card",Settings!$B$27="Loan"),AND('Month-End'!$FN$15&lt;&gt;"",NOT(_xlfn.ISFORMULA('Month-End'!$FN$15)))),IF(N('Month-End'!$FN$15)&lt;0,1,0),0)+IF(AND(OR(Settings!$B$28="Card",Settings!$B$28="Loan"),AND('Month-End'!$FN$16&lt;&gt;"",NOT(_xlfn.ISFORMULA('Month-End'!$FN$16)))),IF(N('Month-End'!$FN$16)&lt;0,1,0),0)+IF(AND(OR(Settings!$B$29="Card",Settings!$B$29="Loan"),AND('Month-End'!$FN$17&lt;&gt;"",NOT(_xlfn.ISFORMULA('Month-End'!$FN$17)))),IF(N('Month-End'!$FN$17)&lt;0,1,0),0)+IF(AND(OR(Settings!$B$30="Card",Settings!$B$30="Loan"),AND('Month-End'!$FN$18&lt;&gt;"",NOT(_xlfn.ISFORMULA('Month-End'!$FN$18)))),IF(N('Month-End'!$FN$18)&lt;0,1,0),0)+IF(AND(OR(Settings!$B$31="Card",Settings!$B$31="Loan"),AND('Month-End'!$FN$19&lt;&gt;"",NOT(_xlfn.ISFORMULA('Month-End'!$FN$19)))),IF(N('Month-End'!$FN$19)&lt;0,1,0),0)+IF(AND(OR(Settings!$B$32="Card",Settings!$B$32="Loan"),AND('Month-End'!$FN$20&lt;&gt;"",NOT(_xlfn.ISFORMULA('Month-End'!$FN$20)))),IF(N('Month-End'!$FN$20)&lt;0,1,0),0)</f>
        <v/>
      </c>
      <c r="DX173">
        <f>IF(Settings!$B$36="Retirement",$AY173,0)+IF(Settings!$B$37="Retirement",$AZ173,0)+IF(Settings!$B$38="Retirement",$BA173,0)+IF(Settings!$B$39="Retirement",$BB173,0)+IF(Settings!$B$40="Retirement",$BC173,0)+IF(Settings!$B$41="Retirement",$BD173,0)</f>
        <v/>
      </c>
      <c r="ET173">
        <f>IF($E173&lt;&gt;"open",0,IF(AND('Month-End'!$FN$22&lt;&gt;"",NOT(_xlfn.ISFORMULA('Month-End'!$FN$22))),0,IF(OR(Settings!$C$45="",Settings!$D$45=""),0,Settings!$C$45*IF(Settings!$D$45="Weekly",IF(IFERROR(MATCH(Settings!$E$45,$EO$4:$EO$10,0),0)=0,0,IF(MIN(Settings!$B$5,IF(Settings!$G$45="",Settings!$B$5,Settings!$G$45))&lt;MAX($A173,Settings!$F$45),0,INT((MIN(Settings!$B$5,IF(Settings!$G$45="",Settings!$B$5,Settings!$G$45))-MAX($A173,Settings!$F$45)-MOD(IFERROR(MATCH(Settings!$E$45,$EO$4:$EO$10,0),0)-WEEKDAY(MAX($A173,Settings!$F$45)),7))/7)+1)),IF(AND(IF(Settings!$E$45="",$B173,DATE(YEAR($A173),MONTH($A173),MIN(Settings!$E$45,DAY($B173))))&gt;=MAX($A173,Settings!$F$45),IF(Settings!$E$45="",$B173,DATE(YEAR($A173),MONTH($A173),MIN(Settings!$E$45,DAY($B173))))&lt;=MIN(Settings!$B$5,IF(Settings!$G$45="",Settings!$B$5,Settings!$G$45))),1,0)))))</f>
        <v/>
      </c>
      <c r="EU173">
        <f>IF($E173&lt;&gt;"open",0,IF(AND('Month-End'!$FN$23&lt;&gt;"",NOT(_xlfn.ISFORMULA('Month-End'!$FN$23))),0,IF(OR(Settings!$C$46="",Settings!$D$46=""),0,Settings!$C$46*IF(Settings!$D$46="Weekly",IF(IFERROR(MATCH(Settings!$E$46,$EO$4:$EO$10,0),0)=0,0,IF(MIN(Settings!$B$5,IF(Settings!$G$46="",Settings!$B$5,Settings!$G$46))&lt;MAX($A173,Settings!$F$46),0,INT((MIN(Settings!$B$5,IF(Settings!$G$46="",Settings!$B$5,Settings!$G$46))-MAX($A173,Settings!$F$46)-MOD(IFERROR(MATCH(Settings!$E$46,$EO$4:$EO$10,0),0)-WEEKDAY(MAX($A173,Settings!$F$46)),7))/7)+1)),IF(AND(IF(Settings!$E$46="",$B173,DATE(YEAR($A173),MONTH($A173),MIN(Settings!$E$46,DAY($B173))))&gt;=MAX($A173,Settings!$F$46),IF(Settings!$E$46="",$B173,DATE(YEAR($A173),MONTH($A173),MIN(Settings!$E$46,DAY($B173))))&lt;=MIN(Settings!$B$5,IF(Settings!$G$46="",Settings!$B$5,Settings!$G$46))),1,0)))))</f>
        <v/>
      </c>
      <c r="EV173">
        <f>IF($E173&lt;&gt;"open",0,IF(AND('Month-End'!$FN$24&lt;&gt;"",NOT(_xlfn.ISFORMULA('Month-End'!$FN$24))),0,IF(OR(Settings!$C$47="",Settings!$D$47=""),0,Settings!$C$47*IF(Settings!$D$47="Weekly",IF(IFERROR(MATCH(Settings!$E$47,$EO$4:$EO$10,0),0)=0,0,IF(MIN(Settings!$B$5,IF(Settings!$G$47="",Settings!$B$5,Settings!$G$47))&lt;MAX($A173,Settings!$F$47),0,INT((MIN(Settings!$B$5,IF(Settings!$G$47="",Settings!$B$5,Settings!$G$47))-MAX($A173,Settings!$F$47)-MOD(IFERROR(MATCH(Settings!$E$47,$EO$4:$EO$10,0),0)-WEEKDAY(MAX($A173,Settings!$F$47)),7))/7)+1)),IF(AND(IF(Settings!$E$47="",$B173,DATE(YEAR($A173),MONTH($A173),MIN(Settings!$E$47,DAY($B173))))&gt;=MAX($A173,Settings!$F$47),IF(Settings!$E$47="",$B173,DATE(YEAR($A173),MONTH($A173),MIN(Settings!$E$47,DAY($B173))))&lt;=MIN(Settings!$B$5,IF(Settings!$G$47="",Settings!$B$5,Settings!$G$47))),1,0)))))</f>
        <v/>
      </c>
      <c r="EW173">
        <f>IF($E173&lt;&gt;"open",0,IF(AND('Month-End'!$FN$25&lt;&gt;"",NOT(_xlfn.ISFORMULA('Month-End'!$FN$25))),0,IF(OR(Settings!$C$48="",Settings!$D$48=""),0,Settings!$C$48*IF(Settings!$D$48="Weekly",IF(IFERROR(MATCH(Settings!$E$48,$EO$4:$EO$10,0),0)=0,0,IF(MIN(Settings!$B$5,IF(Settings!$G$48="",Settings!$B$5,Settings!$G$48))&lt;MAX($A173,Settings!$F$48),0,INT((MIN(Settings!$B$5,IF(Settings!$G$48="",Settings!$B$5,Settings!$G$48))-MAX($A173,Settings!$F$48)-MOD(IFERROR(MATCH(Settings!$E$48,$EO$4:$EO$10,0),0)-WEEKDAY(MAX($A173,Settings!$F$48)),7))/7)+1)),IF(AND(IF(Settings!$E$48="",$B173,DATE(YEAR($A173),MONTH($A173),MIN(Settings!$E$48,DAY($B173))))&gt;=MAX($A173,Settings!$F$48),IF(Settings!$E$48="",$B173,DATE(YEAR($A173),MONTH($A173),MIN(Settings!$E$48,DAY($B173))))&lt;=MIN(Settings!$B$5,IF(Settings!$G$48="",Settings!$B$5,Settings!$G$48))),1,0)))))</f>
        <v/>
      </c>
      <c r="EX173">
        <f>IF($E173&lt;&gt;"open",0,IF(AND('Month-End'!$FN$26&lt;&gt;"",NOT(_xlfn.ISFORMULA('Month-End'!$FN$26))),0,IF(OR(Settings!$C$49="",Settings!$D$49=""),0,Settings!$C$49*IF(Settings!$D$49="Weekly",IF(IFERROR(MATCH(Settings!$E$49,$EO$4:$EO$10,0),0)=0,0,IF(MIN(Settings!$B$5,IF(Settings!$G$49="",Settings!$B$5,Settings!$G$49))&lt;MAX($A173,Settings!$F$49),0,INT((MIN(Settings!$B$5,IF(Settings!$G$49="",Settings!$B$5,Settings!$G$49))-MAX($A173,Settings!$F$49)-MOD(IFERROR(MATCH(Settings!$E$49,$EO$4:$EO$10,0),0)-WEEKDAY(MAX($A173,Settings!$F$49)),7))/7)+1)),IF(AND(IF(Settings!$E$49="",$B173,DATE(YEAR($A173),MONTH($A173),MIN(Settings!$E$49,DAY($B173))))&gt;=MAX($A173,Settings!$F$49),IF(Settings!$E$49="",$B173,DATE(YEAR($A173),MONTH($A173),MIN(Settings!$E$49,DAY($B173))))&lt;=MIN(Settings!$B$5,IF(Settings!$G$49="",Settings!$B$5,Settings!$G$49))),1,0)))))</f>
        <v/>
      </c>
      <c r="EY173">
        <f>IF($E173&lt;&gt;"open",0,IF(AND('Month-End'!$FN$27&lt;&gt;"",NOT(_xlfn.ISFORMULA('Month-End'!$FN$27))),0,IF(OR(Settings!$C$50="",Settings!$D$50=""),0,Settings!$C$50*IF(Settings!$D$50="Weekly",IF(IFERROR(MATCH(Settings!$E$50,$EO$4:$EO$10,0),0)=0,0,IF(MIN(Settings!$B$5,IF(Settings!$G$50="",Settings!$B$5,Settings!$G$50))&lt;MAX($A173,Settings!$F$50),0,INT((MIN(Settings!$B$5,IF(Settings!$G$50="",Settings!$B$5,Settings!$G$50))-MAX($A173,Settings!$F$50)-MOD(IFERROR(MATCH(Settings!$E$50,$EO$4:$EO$10,0),0)-WEEKDAY(MAX($A173,Settings!$F$50)),7))/7)+1)),IF(AND(IF(Settings!$E$50="",$B173,DATE(YEAR($A173),MONTH($A173),MIN(Settings!$E$50,DAY($B173))))&gt;=MAX($A173,Settings!$F$50),IF(Settings!$E$50="",$B173,DATE(YEAR($A173),MONTH($A173),MIN(Settings!$E$50,DAY($B173))))&lt;=MIN(Settings!$B$5,IF(Settings!$G$50="",Settings!$B$5,Settings!$G$50))),1,0)))))</f>
        <v/>
      </c>
      <c r="EZ173">
        <f>IF($E173&lt;&gt;"open",0,IF(AND('Month-End'!$FN$28&lt;&gt;"",NOT(_xlfn.ISFORMULA('Month-End'!$FN$28))),0,IF(OR(Settings!$C$51="",Settings!$D$51=""),0,Settings!$C$51*IF(Settings!$D$51="Weekly",IF(IFERROR(MATCH(Settings!$E$51,$EO$4:$EO$10,0),0)=0,0,IF(MIN(Settings!$B$5,IF(Settings!$G$51="",Settings!$B$5,Settings!$G$51))&lt;MAX($A173,Settings!$F$51),0,INT((MIN(Settings!$B$5,IF(Settings!$G$51="",Settings!$B$5,Settings!$G$51))-MAX($A173,Settings!$F$51)-MOD(IFERROR(MATCH(Settings!$E$51,$EO$4:$EO$10,0),0)-WEEKDAY(MAX($A173,Settings!$F$51)),7))/7)+1)),IF(AND(IF(Settings!$E$51="",$B173,DATE(YEAR($A173),MONTH($A173),MIN(Settings!$E$51,DAY($B173))))&gt;=MAX($A173,Settings!$F$51),IF(Settings!$E$51="",$B173,DATE(YEAR($A173),MONTH($A173),MIN(Settings!$E$51,DAY($B173))))&lt;=MIN(Settings!$B$5,IF(Settings!$G$51="",Settings!$B$5,Settings!$G$51))),1,0)))))</f>
        <v/>
      </c>
      <c r="FA173">
        <f>IF($E173&lt;&gt;"open",0,IF(AND('Month-End'!$FN$29&lt;&gt;"",NOT(_xlfn.ISFORMULA('Month-End'!$FN$29))),0,IF(OR(Settings!$C$52="",Settings!$D$52=""),0,Settings!$C$52*IF(Settings!$D$52="Weekly",IF(IFERROR(MATCH(Settings!$E$52,$EO$4:$EO$10,0),0)=0,0,IF(MIN(Settings!$B$5,IF(Settings!$G$52="",Settings!$B$5,Settings!$G$52))&lt;MAX($A173,Settings!$F$52),0,INT((MIN(Settings!$B$5,IF(Settings!$G$52="",Settings!$B$5,Settings!$G$52))-MAX($A173,Settings!$F$52)-MOD(IFERROR(MATCH(Settings!$E$52,$EO$4:$EO$10,0),0)-WEEKDAY(MAX($A173,Settings!$F$52)),7))/7)+1)),IF(AND(IF(Settings!$E$52="",$B173,DATE(YEAR($A173),MONTH($A173),MIN(Settings!$E$52,DAY($B173))))&gt;=MAX($A173,Settings!$F$52),IF(Settings!$E$52="",$B173,DATE(YEAR($A173),MONTH($A173),MIN(Settings!$E$52,DAY($B173))))&lt;=MIN(Settings!$B$5,IF(Settings!$G$52="",Settings!$B$5,Settings!$G$52))),1,0)))))</f>
        <v/>
      </c>
      <c r="FB173">
        <f>IF($E173&lt;&gt;"open",0,IF(AND('Month-End'!$FN$30&lt;&gt;"",NOT(_xlfn.ISFORMULA('Month-End'!$FN$30))),0,IF(OR(Settings!$C$53="",Settings!$D$53=""),0,Settings!$C$53*IF(Settings!$D$53="Weekly",IF(IFERROR(MATCH(Settings!$E$53,$EO$4:$EO$10,0),0)=0,0,IF(MIN(Settings!$B$5,IF(Settings!$G$53="",Settings!$B$5,Settings!$G$53))&lt;MAX($A173,Settings!$F$53),0,INT((MIN(Settings!$B$5,IF(Settings!$G$53="",Settings!$B$5,Settings!$G$53))-MAX($A173,Settings!$F$53)-MOD(IFERROR(MATCH(Settings!$E$53,$EO$4:$EO$10,0),0)-WEEKDAY(MAX($A173,Settings!$F$53)),7))/7)+1)),IF(AND(IF(Settings!$E$53="",$B173,DATE(YEAR($A173),MONTH($A173),MIN(Settings!$E$53,DAY($B173))))&gt;=MAX($A173,Settings!$F$53),IF(Settings!$E$53="",$B173,DATE(YEAR($A173),MONTH($A173),MIN(Settings!$E$53,DAY($B173))))&lt;=MIN(Settings!$B$5,IF(Settings!$G$53="",Settings!$B$5,Settings!$G$53))),1,0)))))</f>
        <v/>
      </c>
      <c r="FC173">
        <f>IF($E173&lt;&gt;"open",0,IF(AND('Month-End'!$FN$31&lt;&gt;"",NOT(_xlfn.ISFORMULA('Month-End'!$FN$31))),0,IF(OR(Settings!$C$54="",Settings!$D$54=""),0,Settings!$C$54*IF(Settings!$D$54="Weekly",IF(IFERROR(MATCH(Settings!$E$54,$EO$4:$EO$10,0),0)=0,0,IF(MIN(Settings!$B$5,IF(Settings!$G$54="",Settings!$B$5,Settings!$G$54))&lt;MAX($A173,Settings!$F$54),0,INT((MIN(Settings!$B$5,IF(Settings!$G$54="",Settings!$B$5,Settings!$G$54))-MAX($A173,Settings!$F$54)-MOD(IFERROR(MATCH(Settings!$E$54,$EO$4:$EO$10,0),0)-WEEKDAY(MAX($A173,Settings!$F$54)),7))/7)+1)),IF(AND(IF(Settings!$E$54="",$B173,DATE(YEAR($A173),MONTH($A173),MIN(Settings!$E$54,DAY($B173))))&gt;=MAX($A173,Settings!$F$54),IF(Settings!$E$54="",$B173,DATE(YEAR($A173),MONTH($A173),MIN(Settings!$E$54,DAY($B173))))&lt;=MIN(Settings!$B$5,IF(Settings!$G$54="",Settings!$B$5,Settings!$G$54))),1,0)))))</f>
        <v/>
      </c>
      <c r="FD173">
        <f>IF($E173&lt;&gt;"open",0,IF(AND('Month-End'!$FN$32&lt;&gt;"",NOT(_xlfn.ISFORMULA('Month-End'!$FN$32))),0,IF(OR(Settings!$C$55="",Settings!$D$55=""),0,Settings!$C$55*IF(Settings!$D$55="Weekly",IF(IFERROR(MATCH(Settings!$E$55,$EO$4:$EO$10,0),0)=0,0,IF(MIN(Settings!$B$5,IF(Settings!$G$55="",Settings!$B$5,Settings!$G$55))&lt;MAX($A173,Settings!$F$55),0,INT((MIN(Settings!$B$5,IF(Settings!$G$55="",Settings!$B$5,Settings!$G$55))-MAX($A173,Settings!$F$55)-MOD(IFERROR(MATCH(Settings!$E$55,$EO$4:$EO$10,0),0)-WEEKDAY(MAX($A173,Settings!$F$55)),7))/7)+1)),IF(AND(IF(Settings!$E$55="",$B173,DATE(YEAR($A173),MONTH($A173),MIN(Settings!$E$55,DAY($B173))))&gt;=MAX($A173,Settings!$F$55),IF(Settings!$E$55="",$B173,DATE(YEAR($A173),MONTH($A173),MIN(Settings!$E$55,DAY($B173))))&lt;=MIN(Settings!$B$5,IF(Settings!$G$55="",Settings!$B$5,Settings!$G$55))),1,0)))))</f>
        <v/>
      </c>
      <c r="FE173">
        <f>IF($E173&lt;&gt;"open",0,IF(AND('Month-End'!$FN$33&lt;&gt;"",NOT(_xlfn.ISFORMULA('Month-End'!$FN$33))),0,IF(OR(Settings!$C$56="",Settings!$D$56=""),0,Settings!$C$56*IF(Settings!$D$56="Weekly",IF(IFERROR(MATCH(Settings!$E$56,$EO$4:$EO$10,0),0)=0,0,IF(MIN(Settings!$B$5,IF(Settings!$G$56="",Settings!$B$5,Settings!$G$56))&lt;MAX($A173,Settings!$F$56),0,INT((MIN(Settings!$B$5,IF(Settings!$G$56="",Settings!$B$5,Settings!$G$56))-MAX($A173,Settings!$F$56)-MOD(IFERROR(MATCH(Settings!$E$56,$EO$4:$EO$10,0),0)-WEEKDAY(MAX($A173,Settings!$F$56)),7))/7)+1)),IF(AND(IF(Settings!$E$56="",$B173,DATE(YEAR($A173),MONTH($A173),MIN(Settings!$E$56,DAY($B173))))&gt;=MAX($A173,Settings!$F$56),IF(Settings!$E$56="",$B173,DATE(YEAR($A173),MONTH($A173),MIN(Settings!$E$56,DAY($B173))))&lt;=MIN(Settings!$B$5,IF(Settings!$G$56="",Settings!$B$5,Settings!$G$56))),1,0)))))</f>
        <v/>
      </c>
      <c r="FF173">
        <f>IF(Settings!$I$45="Yes",$G173,0)+IF(Settings!$I$46="Yes",$H173,0)+IF(Settings!$I$47="Yes",$I173,0)+IF(Settings!$I$48="Yes",$J173,0)+IF(Settings!$I$49="Yes",$K173,0)+IF(Settings!$I$50="Yes",$L173,0)+IF(Settings!$I$51="Yes",$M173,0)+IF(Settings!$I$52="Yes",$N173,0)+IF(Settings!$I$53="Yes",$O173,0)+IF(Settings!$I$54="Yes",$P173,0)+IF(Settings!$I$55="Yes",$Q173,0)+IF(Settings!$I$56="Yes",$R173,0)</f>
        <v/>
      </c>
      <c r="FG173">
        <f>IF(AND(Settings!$I$45="Yes",Settings!$J$45="No"),$G173,0)+IF(AND(Settings!$I$46="Yes",Settings!$J$46="No"),$H173,0)+IF(AND(Settings!$I$47="Yes",Settings!$J$47="No"),$I173,0)+IF(AND(Settings!$I$48="Yes",Settings!$J$48="No"),$J173,0)+IF(AND(Settings!$I$49="Yes",Settings!$J$49="No"),$K173,0)+IF(AND(Settings!$I$50="Yes",Settings!$J$50="No"),$L173,0)+IF(AND(Settings!$I$51="Yes",Settings!$J$51="No"),$M173,0)+IF(AND(Settings!$I$52="Yes",Settings!$J$52="No"),$N173,0)+IF(AND(Settings!$I$53="Yes",Settings!$J$53="No"),$O173,0)+IF(AND(Settings!$I$54="Yes",Settings!$J$54="No"),$P173,0)+IF(AND(Settings!$I$55="Yes",Settings!$J$55="No"),$Q173,0)+IF(AND(Settings!$I$56="Yes",Settings!$J$56="No"),$R173,0)</f>
        <v/>
      </c>
      <c r="FH173">
        <f>SUMIFS(Giving!$B$7:$B$2006,Giving!$A$7:$A$2006,"&gt;="&amp;$A173,Giving!$A$7:$A$2006,"&lt;="&amp;$B173,Giving!$G$7:$G$2006,"Yes")+IF(OR(OR(Settings!$B$60="",Settings!$F$60="No"),Settings!$H$60&lt;&gt;"Yes"),0,Settings!$B$60*IF(AND(IF(Settings!$C$60="",$B173,DATE(YEAR($A173),MONTH($A173),MIN(Settings!$C$60,DAY($B173))))&gt;=MAX($A173,Settings!$D$60),IF(Settings!$C$60="",$B173,DATE(YEAR($A173),MONTH($A173),MIN(Settings!$C$60,DAY($B173))))&lt;=MIN($C173,IF(Settings!$E$60="",$C173,Settings!$E$60))),1,0))+IF(OR(OR(Settings!$B$61="",Settings!$F$61="No"),Settings!$H$61&lt;&gt;"Yes"),0,Settings!$B$61*IF(AND(IF(Settings!$C$61="",$B173,DATE(YEAR($A173),MONTH($A173),MIN(Settings!$C$61,DAY($B173))))&gt;=MAX($A173,Settings!$D$61),IF(Settings!$C$61="",$B173,DATE(YEAR($A173),MONTH($A173),MIN(Settings!$C$61,DAY($B173))))&lt;=MIN($C173,IF(Settings!$E$61="",$C173,Settings!$E$61))),1,0))+IF(OR(OR(Settings!$B$62="",Settings!$F$62="No"),Settings!$H$62&lt;&gt;"Yes"),0,Settings!$B$62*IF(AND(IF(Settings!$C$62="",$B173,DATE(YEAR($A173),MONTH($A173),MIN(Settings!$C$62,DAY($B173))))&gt;=MAX($A173,Settings!$D$62),IF(Settings!$C$62="",$B173,DATE(YEAR($A173),MONTH($A173),MIN(Settings!$C$62,DAY($B173))))&lt;=MIN($C173,IF(Settings!$E$62="",$C173,Settings!$E$62))),1,0))+IF(OR(OR(Settings!$B$63="",Settings!$F$63="No"),Settings!$H$63&lt;&gt;"Yes"),0,Settings!$B$63*IF(AND(IF(Settings!$C$63="",$B173,DATE(YEAR($A173),MONTH($A173),MIN(Settings!$C$63,DAY($B173))))&gt;=MAX($A173,Settings!$D$63),IF(Settings!$C$63="",$B173,DATE(YEAR($A173),MONTH($A173),MIN(Settings!$C$63,DAY($B173))))&lt;=MIN($C173,IF(Settings!$E$63="",$C173,Settings!$E$63))),1,0))+IF(OR(OR(Settings!$B$64="",Settings!$F$64="No"),Settings!$H$64&lt;&gt;"Yes"),0,Settings!$B$64*IF(AND(IF(Settings!$C$64="",$B173,DATE(YEAR($A173),MONTH($A173),MIN(Settings!$C$64,DAY($B173))))&gt;=MAX($A173,Settings!$D$64),IF(Settings!$C$64="",$B173,DATE(YEAR($A173),MONTH($A173),MIN(Settings!$C$64,DAY($B173))))&lt;=MIN($C173,IF(Settings!$E$64="",$C173,Settings!$E$64))),1,0))+IF(OR(OR(Settings!$B$65="",Settings!$F$65="No"),Settings!$H$65&lt;&gt;"Yes"),0,Settings!$B$65*IF(AND(IF(Settings!$C$65="",$B173,DATE(YEAR($A173),MONTH($A173),MIN(Settings!$C$65,DAY($B173))))&gt;=MAX($A173,Settings!$D$65),IF(Settings!$C$65="",$B173,DATE(YEAR($A173),MONTH($A173),MIN(Settings!$C$65,DAY($B173))))&lt;=MIN($C173,IF(Settings!$E$65="",$C173,Settings!$E$65))),1,0))</f>
        <v/>
      </c>
      <c r="FI173">
        <f>IF($DT173=1,IF(OR(Settings!$B$19="Card",Settings!$B$19="Loan"),N($AE173),0)+IF(OR(Settings!$B$20="Card",Settings!$B$20="Loan"),N($AF173),0)+IF(OR(Settings!$B$21="Card",Settings!$B$21="Loan"),N($AG173),0)+IF(OR(Settings!$B$22="Card",Settings!$B$22="Loan"),N($AH173),0)+IF(OR(Settings!$B$23="Card",Settings!$B$23="Loan"),N($AI173),0)+IF(OR(Settings!$B$24="Card",Settings!$B$24="Loan"),N($AJ173),0)+IF(OR(Settings!$B$25="Card",Settings!$B$25="Loan"),N($AK173),0)+IF(OR(Settings!$B$26="Card",Settings!$B$26="Loan"),N($AL173),0)+IF(OR(Settings!$B$27="Card",Settings!$B$27="Loan"),N($AM173),0)+IF(OR(Settings!$B$28="Card",Settings!$B$28="Loan"),N($AN173),0)+IF(OR(Settings!$B$29="Card",Settings!$B$29="Loan"),N($AO173),0)+IF(OR(Settings!$B$30="Card",Settings!$B$30="Loan"),N($AP173),0)+IF(OR(Settings!$B$31="Card",Settings!$B$31="Loan"),N($AQ173),0)+IF(OR(Settings!$B$32="Card",Settings!$B$32="Loan"),N($AR173),0),"")</f>
        <v/>
      </c>
      <c r="FJ173">
        <f>IF($E173="open",$EB$65,IF($E173="post",IF($E172="pre",$EB$65,$FI172),""))</f>
        <v/>
      </c>
      <c r="FK173">
        <f>IF(AND($DT173=1,$DC173=1),IF(ROUND($FI173-$FJ173,2)&gt;0,1,0),0)</f>
        <v/>
      </c>
      <c r="FL173">
        <f>IF($FK173=1,$FL172+1,0)</f>
        <v/>
      </c>
    </row>
    <row r="174">
      <c r="A174">
        <f>'Month-End'!$FO$4</f>
        <v/>
      </c>
      <c r="B174">
        <f>EOMONTH($A174,0)</f>
        <v/>
      </c>
      <c r="C174">
        <f>MIN($B174,TODAY())</f>
        <v/>
      </c>
      <c r="D174">
        <f>IF($A174&gt;TODAY(),1,0)</f>
        <v/>
      </c>
      <c r="E174">
        <f>IF($B174&lt;=Settings!$B$5,"pre",IF($A174&lt;=Settings!$B$5,"open","post"))</f>
        <v/>
      </c>
      <c r="G174">
        <f>IF('Month-End'!$FO$22="",$BE174,N('Month-End'!$FO$22))</f>
        <v/>
      </c>
      <c r="H174">
        <f>IF('Month-End'!$FO$23="",$BF174,N('Month-End'!$FO$23))</f>
        <v/>
      </c>
      <c r="I174">
        <f>IF('Month-End'!$FO$24="",$BG174,N('Month-End'!$FO$24))</f>
        <v/>
      </c>
      <c r="J174">
        <f>IF('Month-End'!$FO$25="",$BH174,N('Month-End'!$FO$25))</f>
        <v/>
      </c>
      <c r="K174">
        <f>IF('Month-End'!$FO$26="",$BI174,N('Month-End'!$FO$26))</f>
        <v/>
      </c>
      <c r="L174">
        <f>IF('Month-End'!$FO$27="",$BJ174,N('Month-End'!$FO$27))</f>
        <v/>
      </c>
      <c r="M174">
        <f>IF('Month-End'!$FO$28="",$BK174,N('Month-End'!$FO$28))</f>
        <v/>
      </c>
      <c r="N174">
        <f>IF('Month-End'!$FO$29="",$BL174,N('Month-End'!$FO$29))</f>
        <v/>
      </c>
      <c r="O174">
        <f>IF('Month-End'!$FO$30="",$BM174,N('Month-End'!$FO$30))</f>
        <v/>
      </c>
      <c r="P174">
        <f>IF('Month-End'!$FO$31="",$BN174,N('Month-End'!$FO$31))</f>
        <v/>
      </c>
      <c r="Q174">
        <f>IF('Month-End'!$FO$32="",$BO174,N('Month-End'!$FO$32))</f>
        <v/>
      </c>
      <c r="R174">
        <f>IF('Month-End'!$FO$33="",$BP174,N('Month-End'!$FO$33))</f>
        <v/>
      </c>
      <c r="S174">
        <f>$G174+$H174+$I174+$J174+$K174+$L174+$M174+$N174+$O174+$P174+$Q174+$R174</f>
        <v/>
      </c>
      <c r="T174">
        <f>IF($B174&lt;Settings!$B$6,0,IF(Settings!$B$45="Yes",$G174,0)+IF(Settings!$B$46="Yes",$H174,0)+IF(Settings!$B$47="Yes",$I174,0)+IF(Settings!$B$48="Yes",$J174,0)+IF(Settings!$B$49="Yes",$K174,0)+IF(Settings!$B$50="Yes",$L174,0)+IF(Settings!$B$51="Yes",$M174,0)+IF(Settings!$B$52="Yes",$N174,0)+IF(Settings!$B$53="Yes",$O174,0)+IF(Settings!$B$54="Yes",$P174,0)+IF(Settings!$B$55="Yes",$Q174,0)+IF(Settings!$B$56="Yes",$R174,0))</f>
        <v/>
      </c>
      <c r="U174">
        <f>IF(Settings!$B$45="Not Sure",$G174,0)+IF(Settings!$B$46="Not Sure",$H174,0)+IF(Settings!$B$47="Not Sure",$I174,0)+IF(Settings!$B$48="Not Sure",$J174,0)+IF(Settings!$B$49="Not Sure",$K174,0)+IF(Settings!$B$50="Not Sure",$L174,0)+IF(Settings!$B$51="Not Sure",$M174,0)+IF(Settings!$B$52="Not Sure",$N174,0)+IF(Settings!$B$53="Not Sure",$O174,0)+IF(Settings!$B$54="Not Sure",$P174,0)+IF(Settings!$B$55="Not Sure",$Q174,0)+IF(Settings!$B$56="Not Sure",$R174,0)</f>
        <v/>
      </c>
      <c r="V174">
        <f>IF($E174="open",SUM($ET174:$FE174)+N(Settings!$B$13),0)</f>
        <v/>
      </c>
      <c r="W174">
        <f>IF($E174="post",$S174,IF($E174="open",$S174-$V174,0))</f>
        <v/>
      </c>
      <c r="X174">
        <f>SUMIFS(Giving!$B$7:$B$2006,Giving!$A$7:$A$2006,"&gt;="&amp;$A174,Giving!$A$7:$A$2006,"&lt;="&amp;$B174,Giving!$E$7:$E$2006,"&lt;&gt;No")</f>
        <v/>
      </c>
      <c r="Y174">
        <f>SUMIFS(Giving!$B$7:$B$2006,Giving!$A$7:$A$2006,"&gt;="&amp;$A174,Giving!$A$7:$A$2006,"&lt;="&amp;$B174,Giving!$E$7:$E$2006,"No")</f>
        <v/>
      </c>
      <c r="Z174">
        <f>IF(OR(Settings!$B$60="",Settings!$F$60="No"),0,Settings!$B$60*IF(AND(IF(Settings!$C$60="",$B174,DATE(YEAR($A174),MONTH($A174),MIN(Settings!$C$60,DAY($B174))))&gt;=MAX($A174,Settings!$D$60),IF(Settings!$C$60="",$B174,DATE(YEAR($A174),MONTH($A174),MIN(Settings!$C$60,DAY($B174))))&lt;=MIN($C174,IF(Settings!$E$60="",$C174,Settings!$E$60))),1,0))+IF(OR(Settings!$B$61="",Settings!$F$61="No"),0,Settings!$B$61*IF(AND(IF(Settings!$C$61="",$B174,DATE(YEAR($A174),MONTH($A174),MIN(Settings!$C$61,DAY($B174))))&gt;=MAX($A174,Settings!$D$61),IF(Settings!$C$61="",$B174,DATE(YEAR($A174),MONTH($A174),MIN(Settings!$C$61,DAY($B174))))&lt;=MIN($C174,IF(Settings!$E$61="",$C174,Settings!$E$61))),1,0))+IF(OR(Settings!$B$62="",Settings!$F$62="No"),0,Settings!$B$62*IF(AND(IF(Settings!$C$62="",$B174,DATE(YEAR($A174),MONTH($A174),MIN(Settings!$C$62,DAY($B174))))&gt;=MAX($A174,Settings!$D$62),IF(Settings!$C$62="",$B174,DATE(YEAR($A174),MONTH($A174),MIN(Settings!$C$62,DAY($B174))))&lt;=MIN($C174,IF(Settings!$E$62="",$C174,Settings!$E$62))),1,0))+IF(OR(Settings!$B$63="",Settings!$F$63="No"),0,Settings!$B$63*IF(AND(IF(Settings!$C$63="",$B174,DATE(YEAR($A174),MONTH($A174),MIN(Settings!$C$63,DAY($B174))))&gt;=MAX($A174,Settings!$D$63),IF(Settings!$C$63="",$B174,DATE(YEAR($A174),MONTH($A174),MIN(Settings!$C$63,DAY($B174))))&lt;=MIN($C174,IF(Settings!$E$63="",$C174,Settings!$E$63))),1,0))+IF(OR(Settings!$B$64="",Settings!$F$64="No"),0,Settings!$B$64*IF(AND(IF(Settings!$C$64="",$B174,DATE(YEAR($A174),MONTH($A174),MIN(Settings!$C$64,DAY($B174))))&gt;=MAX($A174,Settings!$D$64),IF(Settings!$C$64="",$B174,DATE(YEAR($A174),MONTH($A174),MIN(Settings!$C$64,DAY($B174))))&lt;=MIN($C174,IF(Settings!$E$64="",$C174,Settings!$E$64))),1,0))+IF(OR(Settings!$B$65="",Settings!$F$65="No"),0,Settings!$B$65*IF(AND(IF(Settings!$C$65="",$B174,DATE(YEAR($A174),MONTH($A174),MIN(Settings!$C$65,DAY($B174))))&gt;=MAX($A174,Settings!$D$65),IF(Settings!$C$65="",$B174,DATE(YEAR($A174),MONTH($A174),MIN(Settings!$C$65,DAY($B174))))&lt;=MIN($C174,IF(Settings!$E$65="",$C174,Settings!$E$65))),1,0))</f>
        <v/>
      </c>
      <c r="AA174">
        <f>$X174+$Z174</f>
        <v/>
      </c>
      <c r="AB174">
        <f>IF($E174="post",$AA174,IF($E174="open",SUMIFS(Giving!$B$7:$B$2006,Giving!$A$7:$A$2006,"&gt;"&amp;Settings!$B$5,Giving!$A$7:$A$2006,"&lt;="&amp;$B174,Giving!$E$7:$E$2006,"&lt;&gt;No")+IF(OR(Settings!$B$60="",Settings!$F$60="No"),0,Settings!$B$60*IF(AND(IF(Settings!$C$60="",$B174,DATE(YEAR($A174),MONTH($A174),MIN(Settings!$C$60,DAY($B174))))&gt;=MAX($A174,Settings!$D$60,Settings!$B$5+1),IF(Settings!$C$60="",$B174,DATE(YEAR($A174),MONTH($A174),MIN(Settings!$C$60,DAY($B174))))&lt;=MIN($C174,IF(Settings!$E$60="",$C174,Settings!$E$60))),1,0))+IF(OR(Settings!$B$61="",Settings!$F$61="No"),0,Settings!$B$61*IF(AND(IF(Settings!$C$61="",$B174,DATE(YEAR($A174),MONTH($A174),MIN(Settings!$C$61,DAY($B174))))&gt;=MAX($A174,Settings!$D$61,Settings!$B$5+1),IF(Settings!$C$61="",$B174,DATE(YEAR($A174),MONTH($A174),MIN(Settings!$C$61,DAY($B174))))&lt;=MIN($C174,IF(Settings!$E$61="",$C174,Settings!$E$61))),1,0))+IF(OR(Settings!$B$62="",Settings!$F$62="No"),0,Settings!$B$62*IF(AND(IF(Settings!$C$62="",$B174,DATE(YEAR($A174),MONTH($A174),MIN(Settings!$C$62,DAY($B174))))&gt;=MAX($A174,Settings!$D$62,Settings!$B$5+1),IF(Settings!$C$62="",$B174,DATE(YEAR($A174),MONTH($A174),MIN(Settings!$C$62,DAY($B174))))&lt;=MIN($C174,IF(Settings!$E$62="",$C174,Settings!$E$62))),1,0))+IF(OR(Settings!$B$63="",Settings!$F$63="No"),0,Settings!$B$63*IF(AND(IF(Settings!$C$63="",$B174,DATE(YEAR($A174),MONTH($A174),MIN(Settings!$C$63,DAY($B174))))&gt;=MAX($A174,Settings!$D$63,Settings!$B$5+1),IF(Settings!$C$63="",$B174,DATE(YEAR($A174),MONTH($A174),MIN(Settings!$C$63,DAY($B174))))&lt;=MIN($C174,IF(Settings!$E$63="",$C174,Settings!$E$63))),1,0))+IF(OR(Settings!$B$64="",Settings!$F$64="No"),0,Settings!$B$64*IF(AND(IF(Settings!$C$64="",$B174,DATE(YEAR($A174),MONTH($A174),MIN(Settings!$C$64,DAY($B174))))&gt;=MAX($A174,Settings!$D$64,Settings!$B$5+1),IF(Settings!$C$64="",$B174,DATE(YEAR($A174),MONTH($A174),MIN(Settings!$C$64,DAY($B174))))&lt;=MIN($C174,IF(Settings!$E$64="",$C174,Settings!$E$64))),1,0))+IF(OR(Settings!$B$65="",Settings!$F$65="No"),0,Settings!$B$65*IF(AND(IF(Settings!$C$65="",$B174,DATE(YEAR($A174),MONTH($A174),MIN(Settings!$C$65,DAY($B174))))&gt;=MAX($A174,Settings!$D$65,Settings!$B$5+1),IF(Settings!$C$65="",$B174,DATE(YEAR($A174),MONTH($A174),MIN(Settings!$C$65,DAY($B174))))&lt;=MIN($C174,IF(Settings!$E$65="",$C174,Settings!$E$65))),1,0)),0))</f>
        <v/>
      </c>
      <c r="AC174">
        <f>$AY174+$AZ174+$BA174+$BB174+$BC174+$BD174</f>
        <v/>
      </c>
      <c r="AD174">
        <f>$AC174</f>
        <v/>
      </c>
      <c r="AE174">
        <f>IF(OR(Settings!$A$19="",$E174="pre"),"",IF(AND('Month-End'!$FO$7&lt;&gt;"",NOT(_xlfn.ISFORMULA('Month-End'!$FO$7))),N('Month-End'!$FO$7),IF(OR($E174="open",$E173="pre"),N(Settings!$C$19),N($AE173))))</f>
        <v/>
      </c>
      <c r="AF174">
        <f>IF(OR(Settings!$A$20="",$E174="pre"),"",IF(AND('Month-End'!$FO$8&lt;&gt;"",NOT(_xlfn.ISFORMULA('Month-End'!$FO$8))),N('Month-End'!$FO$8),IF(OR($E174="open",$E173="pre"),N(Settings!$C$20),N($AF173))))</f>
        <v/>
      </c>
      <c r="AG174">
        <f>IF(OR(Settings!$A$21="",$E174="pre"),"",IF(AND('Month-End'!$FO$9&lt;&gt;"",NOT(_xlfn.ISFORMULA('Month-End'!$FO$9))),N('Month-End'!$FO$9),IF(OR($E174="open",$E173="pre"),N(Settings!$C$21),N($AG173))))</f>
        <v/>
      </c>
      <c r="AH174">
        <f>IF(OR(Settings!$A$22="",$E174="pre"),"",IF(AND('Month-End'!$FO$10&lt;&gt;"",NOT(_xlfn.ISFORMULA('Month-End'!$FO$10))),N('Month-End'!$FO$10),IF(OR($E174="open",$E173="pre"),N(Settings!$C$22),N($AH173))))</f>
        <v/>
      </c>
      <c r="AI174">
        <f>IF(OR(Settings!$A$23="",$E174="pre"),"",IF(AND('Month-End'!$FO$11&lt;&gt;"",NOT(_xlfn.ISFORMULA('Month-End'!$FO$11))),N('Month-End'!$FO$11),IF(OR($E174="open",$E173="pre"),N(Settings!$C$23),N($AI173))))</f>
        <v/>
      </c>
      <c r="AJ174">
        <f>IF(OR(Settings!$A$24="",$E174="pre"),"",IF(AND('Month-End'!$FO$12&lt;&gt;"",NOT(_xlfn.ISFORMULA('Month-End'!$FO$12))),N('Month-End'!$FO$12),IF(OR($E174="open",$E173="pre"),N(Settings!$C$24),N($AJ173))))</f>
        <v/>
      </c>
      <c r="AK174">
        <f>IF(OR(Settings!$A$25="",$E174="pre"),"",IF(AND('Month-End'!$FO$13&lt;&gt;"",NOT(_xlfn.ISFORMULA('Month-End'!$FO$13))),N('Month-End'!$FO$13),IF(OR($E174="open",$E173="pre"),N(Settings!$C$25),N($AK173))))</f>
        <v/>
      </c>
      <c r="AL174">
        <f>IF(OR(Settings!$A$26="",$E174="pre"),"",IF(AND('Month-End'!$FO$14&lt;&gt;"",NOT(_xlfn.ISFORMULA('Month-End'!$FO$14))),N('Month-End'!$FO$14),IF(OR($E174="open",$E173="pre"),N(Settings!$C$26),N($AL173))))</f>
        <v/>
      </c>
      <c r="AM174">
        <f>IF(OR(Settings!$A$27="",$E174="pre"),"",IF(AND('Month-End'!$FO$15&lt;&gt;"",NOT(_xlfn.ISFORMULA('Month-End'!$FO$15))),N('Month-End'!$FO$15),IF(OR($E174="open",$E173="pre"),N(Settings!$C$27),N($AM173))))</f>
        <v/>
      </c>
      <c r="AN174">
        <f>IF(OR(Settings!$A$28="",$E174="pre"),"",IF(AND('Month-End'!$FO$16&lt;&gt;"",NOT(_xlfn.ISFORMULA('Month-End'!$FO$16))),N('Month-End'!$FO$16),IF(OR($E174="open",$E173="pre"),N(Settings!$C$28),N($AN173))))</f>
        <v/>
      </c>
      <c r="AO174">
        <f>IF(OR(Settings!$A$29="",$E174="pre"),"",IF(AND('Month-End'!$FO$17&lt;&gt;"",NOT(_xlfn.ISFORMULA('Month-End'!$FO$17))),N('Month-End'!$FO$17),IF(OR($E174="open",$E173="pre"),N(Settings!$C$29),N($AO173))))</f>
        <v/>
      </c>
      <c r="AP174">
        <f>IF(OR(Settings!$A$30="",$E174="pre"),"",IF(AND('Month-End'!$FO$18&lt;&gt;"",NOT(_xlfn.ISFORMULA('Month-End'!$FO$18))),N('Month-End'!$FO$18),IF(OR($E174="open",$E173="pre"),N(Settings!$C$30),N($AP173))))</f>
        <v/>
      </c>
      <c r="AQ174">
        <f>IF(OR(Settings!$A$31="",$E174="pre"),"",IF(AND('Month-End'!$FO$19&lt;&gt;"",NOT(_xlfn.ISFORMULA('Month-End'!$FO$19))),N('Month-End'!$FO$19),IF(OR($E174="open",$E173="pre"),N(Settings!$C$31),N($AQ173))))</f>
        <v/>
      </c>
      <c r="AR174">
        <f>IF(OR(Settings!$A$32="",$E174="pre"),"",IF(AND('Month-End'!$FO$20&lt;&gt;"",NOT(_xlfn.ISFORMULA('Month-End'!$FO$20))),N('Month-End'!$FO$20),IF(OR($E174="open",$E173="pre"),N(Settings!$C$32),N($AR173))))</f>
        <v/>
      </c>
      <c r="AS174">
        <f>IF(OR(Settings!$A$36="",$E174="pre"),"",IF(AND('Month-End'!$FO$38&lt;&gt;"",NOT(_xlfn.ISFORMULA('Month-End'!$FO$38))),N('Month-End'!$FO$38),IF(OR($E174="open",$E173="pre"),N(Settings!$C$36),N($AS173))+$AY174))</f>
        <v/>
      </c>
      <c r="AT174">
        <f>IF(OR(Settings!$A$37="",$E174="pre"),"",IF(AND('Month-End'!$FO$39&lt;&gt;"",NOT(_xlfn.ISFORMULA('Month-End'!$FO$39))),N('Month-End'!$FO$39),IF(OR($E174="open",$E173="pre"),N(Settings!$C$37),N($AT173))+$AZ174))</f>
        <v/>
      </c>
      <c r="AU174">
        <f>IF(OR(Settings!$A$38="",$E174="pre"),"",IF(AND('Month-End'!$FO$40&lt;&gt;"",NOT(_xlfn.ISFORMULA('Month-End'!$FO$40))),N('Month-End'!$FO$40),IF(OR($E174="open",$E173="pre"),N(Settings!$C$38),N($AU173))+$BA174))</f>
        <v/>
      </c>
      <c r="AV174">
        <f>IF(OR(Settings!$A$39="",$E174="pre"),"",IF(AND('Month-End'!$FO$41&lt;&gt;"",NOT(_xlfn.ISFORMULA('Month-End'!$FO$41))),N('Month-End'!$FO$41),IF(OR($E174="open",$E173="pre"),N(Settings!$C$39),N($AV173))+$BB174))</f>
        <v/>
      </c>
      <c r="AW174">
        <f>IF(OR(Settings!$A$40="",$E174="pre"),"",IF(AND('Month-End'!$FO$42&lt;&gt;"",NOT(_xlfn.ISFORMULA('Month-End'!$FO$42))),N('Month-End'!$FO$42),IF(OR($E174="open",$E173="pre"),N(Settings!$C$40),N($AW173))+$BC174))</f>
        <v/>
      </c>
      <c r="AX174">
        <f>IF(OR(Settings!$A$41="",$E174="pre"),"",IF(AND('Month-End'!$FO$43&lt;&gt;"",NOT(_xlfn.ISFORMULA('Month-End'!$FO$43))),N('Month-End'!$FO$43),IF(OR($E174="open",$E173="pre"),N(Settings!$C$41),N($AX173))+$BD174))</f>
        <v/>
      </c>
      <c r="AY174">
        <f>IF($E174="pre",0,N('Month-End'!$FO$45))</f>
        <v/>
      </c>
      <c r="AZ174">
        <f>IF($E174="pre",0,N('Month-End'!$FO$46))</f>
        <v/>
      </c>
      <c r="BA174">
        <f>IF($E174="pre",0,N('Month-End'!$FO$47))</f>
        <v/>
      </c>
      <c r="BB174">
        <f>IF($E174="pre",0,N('Month-End'!$FO$48))</f>
        <v/>
      </c>
      <c r="BC174">
        <f>IF($E174="pre",0,N('Month-End'!$FO$49))</f>
        <v/>
      </c>
      <c r="BD174">
        <f>IF($E174="pre",0,N('Month-End'!$FO$50))</f>
        <v/>
      </c>
      <c r="BE174">
        <f>IF(OR(Settings!$C$45="",Settings!$D$45=""),0,Settings!$C$45*IF(Settings!$D$45="Weekly",IF(IFERROR(MATCH(Settings!$E$45,$EO$4:$EO$10,0),0)=0,0,IF(MIN($C174,IF(Settings!$G$45="",$C174,Settings!$G$45))&lt;MAX($A174,Settings!$F$45),0,INT((MIN($C174,IF(Settings!$G$45="",$C174,Settings!$G$45))-MAX($A174,Settings!$F$45)-MOD(IFERROR(MATCH(Settings!$E$45,$EO$4:$EO$10,0),0)-WEEKDAY(MAX($A174,Settings!$F$45)),7))/7)+1)),IF(AND(IF(Settings!$E$45="",$B174,DATE(YEAR($A174),MONTH($A174),MIN(Settings!$E$45,DAY($B174))))&gt;=MAX($A174,Settings!$F$45),IF(Settings!$E$45="",$B174,DATE(YEAR($A174),MONTH($A174),MIN(Settings!$E$45,DAY($B174))))&lt;=MIN($C174,IF(Settings!$G$45="",$C174,Settings!$G$45))),1,0)))</f>
        <v/>
      </c>
      <c r="BF174">
        <f>IF(OR(Settings!$C$46="",Settings!$D$46=""),0,Settings!$C$46*IF(Settings!$D$46="Weekly",IF(IFERROR(MATCH(Settings!$E$46,$EO$4:$EO$10,0),0)=0,0,IF(MIN($C174,IF(Settings!$G$46="",$C174,Settings!$G$46))&lt;MAX($A174,Settings!$F$46),0,INT((MIN($C174,IF(Settings!$G$46="",$C174,Settings!$G$46))-MAX($A174,Settings!$F$46)-MOD(IFERROR(MATCH(Settings!$E$46,$EO$4:$EO$10,0),0)-WEEKDAY(MAX($A174,Settings!$F$46)),7))/7)+1)),IF(AND(IF(Settings!$E$46="",$B174,DATE(YEAR($A174),MONTH($A174),MIN(Settings!$E$46,DAY($B174))))&gt;=MAX($A174,Settings!$F$46),IF(Settings!$E$46="",$B174,DATE(YEAR($A174),MONTH($A174),MIN(Settings!$E$46,DAY($B174))))&lt;=MIN($C174,IF(Settings!$G$46="",$C174,Settings!$G$46))),1,0)))</f>
        <v/>
      </c>
      <c r="BG174">
        <f>IF(OR(Settings!$C$47="",Settings!$D$47=""),0,Settings!$C$47*IF(Settings!$D$47="Weekly",IF(IFERROR(MATCH(Settings!$E$47,$EO$4:$EO$10,0),0)=0,0,IF(MIN($C174,IF(Settings!$G$47="",$C174,Settings!$G$47))&lt;MAX($A174,Settings!$F$47),0,INT((MIN($C174,IF(Settings!$G$47="",$C174,Settings!$G$47))-MAX($A174,Settings!$F$47)-MOD(IFERROR(MATCH(Settings!$E$47,$EO$4:$EO$10,0),0)-WEEKDAY(MAX($A174,Settings!$F$47)),7))/7)+1)),IF(AND(IF(Settings!$E$47="",$B174,DATE(YEAR($A174),MONTH($A174),MIN(Settings!$E$47,DAY($B174))))&gt;=MAX($A174,Settings!$F$47),IF(Settings!$E$47="",$B174,DATE(YEAR($A174),MONTH($A174),MIN(Settings!$E$47,DAY($B174))))&lt;=MIN($C174,IF(Settings!$G$47="",$C174,Settings!$G$47))),1,0)))</f>
        <v/>
      </c>
      <c r="BH174">
        <f>IF(OR(Settings!$C$48="",Settings!$D$48=""),0,Settings!$C$48*IF(Settings!$D$48="Weekly",IF(IFERROR(MATCH(Settings!$E$48,$EO$4:$EO$10,0),0)=0,0,IF(MIN($C174,IF(Settings!$G$48="",$C174,Settings!$G$48))&lt;MAX($A174,Settings!$F$48),0,INT((MIN($C174,IF(Settings!$G$48="",$C174,Settings!$G$48))-MAX($A174,Settings!$F$48)-MOD(IFERROR(MATCH(Settings!$E$48,$EO$4:$EO$10,0),0)-WEEKDAY(MAX($A174,Settings!$F$48)),7))/7)+1)),IF(AND(IF(Settings!$E$48="",$B174,DATE(YEAR($A174),MONTH($A174),MIN(Settings!$E$48,DAY($B174))))&gt;=MAX($A174,Settings!$F$48),IF(Settings!$E$48="",$B174,DATE(YEAR($A174),MONTH($A174),MIN(Settings!$E$48,DAY($B174))))&lt;=MIN($C174,IF(Settings!$G$48="",$C174,Settings!$G$48))),1,0)))</f>
        <v/>
      </c>
      <c r="BI174">
        <f>IF(OR(Settings!$C$49="",Settings!$D$49=""),0,Settings!$C$49*IF(Settings!$D$49="Weekly",IF(IFERROR(MATCH(Settings!$E$49,$EO$4:$EO$10,0),0)=0,0,IF(MIN($C174,IF(Settings!$G$49="",$C174,Settings!$G$49))&lt;MAX($A174,Settings!$F$49),0,INT((MIN($C174,IF(Settings!$G$49="",$C174,Settings!$G$49))-MAX($A174,Settings!$F$49)-MOD(IFERROR(MATCH(Settings!$E$49,$EO$4:$EO$10,0),0)-WEEKDAY(MAX($A174,Settings!$F$49)),7))/7)+1)),IF(AND(IF(Settings!$E$49="",$B174,DATE(YEAR($A174),MONTH($A174),MIN(Settings!$E$49,DAY($B174))))&gt;=MAX($A174,Settings!$F$49),IF(Settings!$E$49="",$B174,DATE(YEAR($A174),MONTH($A174),MIN(Settings!$E$49,DAY($B174))))&lt;=MIN($C174,IF(Settings!$G$49="",$C174,Settings!$G$49))),1,0)))</f>
        <v/>
      </c>
      <c r="BJ174">
        <f>IF(OR(Settings!$C$50="",Settings!$D$50=""),0,Settings!$C$50*IF(Settings!$D$50="Weekly",IF(IFERROR(MATCH(Settings!$E$50,$EO$4:$EO$10,0),0)=0,0,IF(MIN($C174,IF(Settings!$G$50="",$C174,Settings!$G$50))&lt;MAX($A174,Settings!$F$50),0,INT((MIN($C174,IF(Settings!$G$50="",$C174,Settings!$G$50))-MAX($A174,Settings!$F$50)-MOD(IFERROR(MATCH(Settings!$E$50,$EO$4:$EO$10,0),0)-WEEKDAY(MAX($A174,Settings!$F$50)),7))/7)+1)),IF(AND(IF(Settings!$E$50="",$B174,DATE(YEAR($A174),MONTH($A174),MIN(Settings!$E$50,DAY($B174))))&gt;=MAX($A174,Settings!$F$50),IF(Settings!$E$50="",$B174,DATE(YEAR($A174),MONTH($A174),MIN(Settings!$E$50,DAY($B174))))&lt;=MIN($C174,IF(Settings!$G$50="",$C174,Settings!$G$50))),1,0)))</f>
        <v/>
      </c>
      <c r="BK174">
        <f>IF(OR(Settings!$C$51="",Settings!$D$51=""),0,Settings!$C$51*IF(Settings!$D$51="Weekly",IF(IFERROR(MATCH(Settings!$E$51,$EO$4:$EO$10,0),0)=0,0,IF(MIN($C174,IF(Settings!$G$51="",$C174,Settings!$G$51))&lt;MAX($A174,Settings!$F$51),0,INT((MIN($C174,IF(Settings!$G$51="",$C174,Settings!$G$51))-MAX($A174,Settings!$F$51)-MOD(IFERROR(MATCH(Settings!$E$51,$EO$4:$EO$10,0),0)-WEEKDAY(MAX($A174,Settings!$F$51)),7))/7)+1)),IF(AND(IF(Settings!$E$51="",$B174,DATE(YEAR($A174),MONTH($A174),MIN(Settings!$E$51,DAY($B174))))&gt;=MAX($A174,Settings!$F$51),IF(Settings!$E$51="",$B174,DATE(YEAR($A174),MONTH($A174),MIN(Settings!$E$51,DAY($B174))))&lt;=MIN($C174,IF(Settings!$G$51="",$C174,Settings!$G$51))),1,0)))</f>
        <v/>
      </c>
      <c r="BL174">
        <f>IF(OR(Settings!$C$52="",Settings!$D$52=""),0,Settings!$C$52*IF(Settings!$D$52="Weekly",IF(IFERROR(MATCH(Settings!$E$52,$EO$4:$EO$10,0),0)=0,0,IF(MIN($C174,IF(Settings!$G$52="",$C174,Settings!$G$52))&lt;MAX($A174,Settings!$F$52),0,INT((MIN($C174,IF(Settings!$G$52="",$C174,Settings!$G$52))-MAX($A174,Settings!$F$52)-MOD(IFERROR(MATCH(Settings!$E$52,$EO$4:$EO$10,0),0)-WEEKDAY(MAX($A174,Settings!$F$52)),7))/7)+1)),IF(AND(IF(Settings!$E$52="",$B174,DATE(YEAR($A174),MONTH($A174),MIN(Settings!$E$52,DAY($B174))))&gt;=MAX($A174,Settings!$F$52),IF(Settings!$E$52="",$B174,DATE(YEAR($A174),MONTH($A174),MIN(Settings!$E$52,DAY($B174))))&lt;=MIN($C174,IF(Settings!$G$52="",$C174,Settings!$G$52))),1,0)))</f>
        <v/>
      </c>
      <c r="BM174">
        <f>IF(OR(Settings!$C$53="",Settings!$D$53=""),0,Settings!$C$53*IF(Settings!$D$53="Weekly",IF(IFERROR(MATCH(Settings!$E$53,$EO$4:$EO$10,0),0)=0,0,IF(MIN($C174,IF(Settings!$G$53="",$C174,Settings!$G$53))&lt;MAX($A174,Settings!$F$53),0,INT((MIN($C174,IF(Settings!$G$53="",$C174,Settings!$G$53))-MAX($A174,Settings!$F$53)-MOD(IFERROR(MATCH(Settings!$E$53,$EO$4:$EO$10,0),0)-WEEKDAY(MAX($A174,Settings!$F$53)),7))/7)+1)),IF(AND(IF(Settings!$E$53="",$B174,DATE(YEAR($A174),MONTH($A174),MIN(Settings!$E$53,DAY($B174))))&gt;=MAX($A174,Settings!$F$53),IF(Settings!$E$53="",$B174,DATE(YEAR($A174),MONTH($A174),MIN(Settings!$E$53,DAY($B174))))&lt;=MIN($C174,IF(Settings!$G$53="",$C174,Settings!$G$53))),1,0)))</f>
        <v/>
      </c>
      <c r="BN174">
        <f>IF(OR(Settings!$C$54="",Settings!$D$54=""),0,Settings!$C$54*IF(Settings!$D$54="Weekly",IF(IFERROR(MATCH(Settings!$E$54,$EO$4:$EO$10,0),0)=0,0,IF(MIN($C174,IF(Settings!$G$54="",$C174,Settings!$G$54))&lt;MAX($A174,Settings!$F$54),0,INT((MIN($C174,IF(Settings!$G$54="",$C174,Settings!$G$54))-MAX($A174,Settings!$F$54)-MOD(IFERROR(MATCH(Settings!$E$54,$EO$4:$EO$10,0),0)-WEEKDAY(MAX($A174,Settings!$F$54)),7))/7)+1)),IF(AND(IF(Settings!$E$54="",$B174,DATE(YEAR($A174),MONTH($A174),MIN(Settings!$E$54,DAY($B174))))&gt;=MAX($A174,Settings!$F$54),IF(Settings!$E$54="",$B174,DATE(YEAR($A174),MONTH($A174),MIN(Settings!$E$54,DAY($B174))))&lt;=MIN($C174,IF(Settings!$G$54="",$C174,Settings!$G$54))),1,0)))</f>
        <v/>
      </c>
      <c r="BO174">
        <f>IF(OR(Settings!$C$55="",Settings!$D$55=""),0,Settings!$C$55*IF(Settings!$D$55="Weekly",IF(IFERROR(MATCH(Settings!$E$55,$EO$4:$EO$10,0),0)=0,0,IF(MIN($C174,IF(Settings!$G$55="",$C174,Settings!$G$55))&lt;MAX($A174,Settings!$F$55),0,INT((MIN($C174,IF(Settings!$G$55="",$C174,Settings!$G$55))-MAX($A174,Settings!$F$55)-MOD(IFERROR(MATCH(Settings!$E$55,$EO$4:$EO$10,0),0)-WEEKDAY(MAX($A174,Settings!$F$55)),7))/7)+1)),IF(AND(IF(Settings!$E$55="",$B174,DATE(YEAR($A174),MONTH($A174),MIN(Settings!$E$55,DAY($B174))))&gt;=MAX($A174,Settings!$F$55),IF(Settings!$E$55="",$B174,DATE(YEAR($A174),MONTH($A174),MIN(Settings!$E$55,DAY($B174))))&lt;=MIN($C174,IF(Settings!$G$55="",$C174,Settings!$G$55))),1,0)))</f>
        <v/>
      </c>
      <c r="BP174">
        <f>IF(OR(Settings!$C$56="",Settings!$D$56=""),0,Settings!$C$56*IF(Settings!$D$56="Weekly",IF(IFERROR(MATCH(Settings!$E$56,$EO$4:$EO$10,0),0)=0,0,IF(MIN($C174,IF(Settings!$G$56="",$C174,Settings!$G$56))&lt;MAX($A174,Settings!$F$56),0,INT((MIN($C174,IF(Settings!$G$56="",$C174,Settings!$G$56))-MAX($A174,Settings!$F$56)-MOD(IFERROR(MATCH(Settings!$E$56,$EO$4:$EO$10,0),0)-WEEKDAY(MAX($A174,Settings!$F$56)),7))/7)+1)),IF(AND(IF(Settings!$E$56="",$B174,DATE(YEAR($A174),MONTH($A174),MIN(Settings!$E$56,DAY($B174))))&gt;=MAX($A174,Settings!$F$56),IF(Settings!$E$56="",$B174,DATE(YEAR($A174),MONTH($A174),MIN(Settings!$E$56,DAY($B174))))&lt;=MIN($C174,IF(Settings!$G$56="",$C174,Settings!$G$56))),1,0)))</f>
        <v/>
      </c>
      <c r="BQ174">
        <f>IF(OR(Settings!$B$14="",$D174=1,$E174="pre",$A174&lt;IF(Settings!$B$15="",0,Settings!$B$15)),0,Settings!$B$14)</f>
        <v/>
      </c>
      <c r="BR174">
        <f>IF(AND('Month-End'!$FO$7&lt;&gt;"",NOT(_xlfn.ISFORMULA('Month-End'!$FO$7))),1,0)</f>
        <v/>
      </c>
      <c r="BS174">
        <f>IF(AND('Month-End'!$FO$8&lt;&gt;"",NOT(_xlfn.ISFORMULA('Month-End'!$FO$8))),1,0)</f>
        <v/>
      </c>
      <c r="BT174">
        <f>IF(AND('Month-End'!$FO$9&lt;&gt;"",NOT(_xlfn.ISFORMULA('Month-End'!$FO$9))),1,0)</f>
        <v/>
      </c>
      <c r="BU174">
        <f>IF(AND('Month-End'!$FO$10&lt;&gt;"",NOT(_xlfn.ISFORMULA('Month-End'!$FO$10))),1,0)</f>
        <v/>
      </c>
      <c r="BV174">
        <f>IF(AND('Month-End'!$FO$11&lt;&gt;"",NOT(_xlfn.ISFORMULA('Month-End'!$FO$11))),1,0)</f>
        <v/>
      </c>
      <c r="BW174">
        <f>IF(AND('Month-End'!$FO$12&lt;&gt;"",NOT(_xlfn.ISFORMULA('Month-End'!$FO$12))),1,0)</f>
        <v/>
      </c>
      <c r="BX174">
        <f>IF(AND('Month-End'!$FO$13&lt;&gt;"",NOT(_xlfn.ISFORMULA('Month-End'!$FO$13))),1,0)</f>
        <v/>
      </c>
      <c r="BY174">
        <f>IF(AND('Month-End'!$FO$14&lt;&gt;"",NOT(_xlfn.ISFORMULA('Month-End'!$FO$14))),1,0)</f>
        <v/>
      </c>
      <c r="BZ174">
        <f>IF(AND('Month-End'!$FO$15&lt;&gt;"",NOT(_xlfn.ISFORMULA('Month-End'!$FO$15))),1,0)</f>
        <v/>
      </c>
      <c r="CA174">
        <f>IF(AND('Month-End'!$FO$16&lt;&gt;"",NOT(_xlfn.ISFORMULA('Month-End'!$FO$16))),1,0)</f>
        <v/>
      </c>
      <c r="CB174">
        <f>IF(AND('Month-End'!$FO$17&lt;&gt;"",NOT(_xlfn.ISFORMULA('Month-End'!$FO$17))),1,0)</f>
        <v/>
      </c>
      <c r="CC174">
        <f>IF(AND('Month-End'!$FO$18&lt;&gt;"",NOT(_xlfn.ISFORMULA('Month-End'!$FO$18))),1,0)</f>
        <v/>
      </c>
      <c r="CD174">
        <f>IF(AND('Month-End'!$FO$19&lt;&gt;"",NOT(_xlfn.ISFORMULA('Month-End'!$FO$19))),1,0)</f>
        <v/>
      </c>
      <c r="CE174">
        <f>IF(AND('Month-End'!$FO$20&lt;&gt;"",NOT(_xlfn.ISFORMULA('Month-End'!$FO$20))),1,0)</f>
        <v/>
      </c>
      <c r="CF174">
        <f>IF(AND('Month-End'!$FO$38&lt;&gt;"",NOT(_xlfn.ISFORMULA('Month-End'!$FO$38))),1,0)</f>
        <v/>
      </c>
      <c r="CG174">
        <f>IF(AND('Month-End'!$FO$39&lt;&gt;"",NOT(_xlfn.ISFORMULA('Month-End'!$FO$39))),1,0)</f>
        <v/>
      </c>
      <c r="CH174">
        <f>IF(AND('Month-End'!$FO$40&lt;&gt;"",NOT(_xlfn.ISFORMULA('Month-End'!$FO$40))),1,0)</f>
        <v/>
      </c>
      <c r="CI174">
        <f>IF(AND('Month-End'!$FO$41&lt;&gt;"",NOT(_xlfn.ISFORMULA('Month-End'!$FO$41))),1,0)</f>
        <v/>
      </c>
      <c r="CJ174">
        <f>IF(AND('Month-End'!$FO$42&lt;&gt;"",NOT(_xlfn.ISFORMULA('Month-End'!$FO$42))),1,0)</f>
        <v/>
      </c>
      <c r="CK174">
        <f>IF(AND('Month-End'!$FO$43&lt;&gt;"",NOT(_xlfn.ISFORMULA('Month-End'!$FO$43))),1,0)</f>
        <v/>
      </c>
      <c r="CL174">
        <f>SUM($CM174:$CZ174)</f>
        <v/>
      </c>
      <c r="CM174">
        <f>IF(AND($E174&lt;&gt;"pre",AND(Settings!$A$19&lt;&gt;"",Settings!$E$19&lt;&gt;"No"),Settings!$F$19="Yes",NOT(AND('Month-End'!$FO$7&lt;&gt;"",NOT(_xlfn.ISFORMULA('Month-End'!$FO$7))))),1,0)</f>
        <v/>
      </c>
      <c r="CN174">
        <f>IF(AND($E174&lt;&gt;"pre",AND(Settings!$A$20&lt;&gt;"",Settings!$E$20&lt;&gt;"No"),Settings!$F$20="Yes",NOT(AND('Month-End'!$FO$8&lt;&gt;"",NOT(_xlfn.ISFORMULA('Month-End'!$FO$8))))),1,0)</f>
        <v/>
      </c>
      <c r="CO174">
        <f>IF(AND($E174&lt;&gt;"pre",AND(Settings!$A$21&lt;&gt;"",Settings!$E$21&lt;&gt;"No"),Settings!$F$21="Yes",NOT(AND('Month-End'!$FO$9&lt;&gt;"",NOT(_xlfn.ISFORMULA('Month-End'!$FO$9))))),1,0)</f>
        <v/>
      </c>
      <c r="CP174">
        <f>IF(AND($E174&lt;&gt;"pre",AND(Settings!$A$22&lt;&gt;"",Settings!$E$22&lt;&gt;"No"),Settings!$F$22="Yes",NOT(AND('Month-End'!$FO$10&lt;&gt;"",NOT(_xlfn.ISFORMULA('Month-End'!$FO$10))))),1,0)</f>
        <v/>
      </c>
      <c r="CQ174">
        <f>IF(AND($E174&lt;&gt;"pre",AND(Settings!$A$23&lt;&gt;"",Settings!$E$23&lt;&gt;"No"),Settings!$F$23="Yes",NOT(AND('Month-End'!$FO$11&lt;&gt;"",NOT(_xlfn.ISFORMULA('Month-End'!$FO$11))))),1,0)</f>
        <v/>
      </c>
      <c r="CR174">
        <f>IF(AND($E174&lt;&gt;"pre",AND(Settings!$A$24&lt;&gt;"",Settings!$E$24&lt;&gt;"No"),Settings!$F$24="Yes",NOT(AND('Month-End'!$FO$12&lt;&gt;"",NOT(_xlfn.ISFORMULA('Month-End'!$FO$12))))),1,0)</f>
        <v/>
      </c>
      <c r="CS174">
        <f>IF(AND($E174&lt;&gt;"pre",AND(Settings!$A$25&lt;&gt;"",Settings!$E$25&lt;&gt;"No"),Settings!$F$25="Yes",NOT(AND('Month-End'!$FO$13&lt;&gt;"",NOT(_xlfn.ISFORMULA('Month-End'!$FO$13))))),1,0)</f>
        <v/>
      </c>
      <c r="CT174">
        <f>IF(AND($E174&lt;&gt;"pre",AND(Settings!$A$26&lt;&gt;"",Settings!$E$26&lt;&gt;"No"),Settings!$F$26="Yes",NOT(AND('Month-End'!$FO$14&lt;&gt;"",NOT(_xlfn.ISFORMULA('Month-End'!$FO$14))))),1,0)</f>
        <v/>
      </c>
      <c r="CU174">
        <f>IF(AND($E174&lt;&gt;"pre",AND(Settings!$A$27&lt;&gt;"",Settings!$E$27&lt;&gt;"No"),Settings!$F$27="Yes",NOT(AND('Month-End'!$FO$15&lt;&gt;"",NOT(_xlfn.ISFORMULA('Month-End'!$FO$15))))),1,0)</f>
        <v/>
      </c>
      <c r="CV174">
        <f>IF(AND($E174&lt;&gt;"pre",AND(Settings!$A$28&lt;&gt;"",Settings!$E$28&lt;&gt;"No"),Settings!$F$28="Yes",NOT(AND('Month-End'!$FO$16&lt;&gt;"",NOT(_xlfn.ISFORMULA('Month-End'!$FO$16))))),1,0)</f>
        <v/>
      </c>
      <c r="CW174">
        <f>IF(AND($E174&lt;&gt;"pre",AND(Settings!$A$29&lt;&gt;"",Settings!$E$29&lt;&gt;"No"),Settings!$F$29="Yes",NOT(AND('Month-End'!$FO$17&lt;&gt;"",NOT(_xlfn.ISFORMULA('Month-End'!$FO$17))))),1,0)</f>
        <v/>
      </c>
      <c r="CX174">
        <f>IF(AND($E174&lt;&gt;"pre",AND(Settings!$A$30&lt;&gt;"",Settings!$E$30&lt;&gt;"No"),Settings!$F$30="Yes",NOT(AND('Month-End'!$FO$18&lt;&gt;"",NOT(_xlfn.ISFORMULA('Month-End'!$FO$18))))),1,0)</f>
        <v/>
      </c>
      <c r="CY174">
        <f>IF(AND($E174&lt;&gt;"pre",AND(Settings!$A$31&lt;&gt;"",Settings!$E$31&lt;&gt;"No"),Settings!$F$31="Yes",NOT(AND('Month-End'!$FO$19&lt;&gt;"",NOT(_xlfn.ISFORMULA('Month-End'!$FO$19))))),1,0)</f>
        <v/>
      </c>
      <c r="CZ174">
        <f>IF(AND($E174&lt;&gt;"pre",AND(Settings!$A$32&lt;&gt;"",Settings!$E$32&lt;&gt;"No"),Settings!$F$32="Yes",NOT(AND('Month-End'!$FO$20&lt;&gt;"",NOT(_xlfn.ISFORMULA('Month-End'!$FO$20))))),1,0)</f>
        <v/>
      </c>
      <c r="DA174">
        <f>IF($DT174=1,IF(OR(Settings!$B$19="Checking",Settings!$B$19="Savings",Settings!$B$19="Cash"),N($AE174),IF(OR(Settings!$B$19="Card",Settings!$B$19="Loan"),-N($AE174),0))+IF(OR(Settings!$B$20="Checking",Settings!$B$20="Savings",Settings!$B$20="Cash"),N($AF174),IF(OR(Settings!$B$20="Card",Settings!$B$20="Loan"),-N($AF174),0))+IF(OR(Settings!$B$21="Checking",Settings!$B$21="Savings",Settings!$B$21="Cash"),N($AG174),IF(OR(Settings!$B$21="Card",Settings!$B$21="Loan"),-N($AG174),0))+IF(OR(Settings!$B$22="Checking",Settings!$B$22="Savings",Settings!$B$22="Cash"),N($AH174),IF(OR(Settings!$B$22="Card",Settings!$B$22="Loan"),-N($AH174),0))+IF(OR(Settings!$B$23="Checking",Settings!$B$23="Savings",Settings!$B$23="Cash"),N($AI174),IF(OR(Settings!$B$23="Card",Settings!$B$23="Loan"),-N($AI174),0))+IF(OR(Settings!$B$24="Checking",Settings!$B$24="Savings",Settings!$B$24="Cash"),N($AJ174),IF(OR(Settings!$B$24="Card",Settings!$B$24="Loan"),-N($AJ174),0))+IF(OR(Settings!$B$25="Checking",Settings!$B$25="Savings",Settings!$B$25="Cash"),N($AK174),IF(OR(Settings!$B$25="Card",Settings!$B$25="Loan"),-N($AK174),0))+IF(OR(Settings!$B$26="Checking",Settings!$B$26="Savings",Settings!$B$26="Cash"),N($AL174),IF(OR(Settings!$B$26="Card",Settings!$B$26="Loan"),-N($AL174),0))+IF(OR(Settings!$B$27="Checking",Settings!$B$27="Savings",Settings!$B$27="Cash"),N($AM174),IF(OR(Settings!$B$27="Card",Settings!$B$27="Loan"),-N($AM174),0))+IF(OR(Settings!$B$28="Checking",Settings!$B$28="Savings",Settings!$B$28="Cash"),N($AN174),IF(OR(Settings!$B$28="Card",Settings!$B$28="Loan"),-N($AN174),0))+IF(OR(Settings!$B$29="Checking",Settings!$B$29="Savings",Settings!$B$29="Cash"),N($AO174),IF(OR(Settings!$B$29="Card",Settings!$B$29="Loan"),-N($AO174),0))+IF(OR(Settings!$B$30="Checking",Settings!$B$30="Savings",Settings!$B$30="Cash"),N($AP174),IF(OR(Settings!$B$30="Card",Settings!$B$30="Loan"),-N($AP174),0))+IF(OR(Settings!$B$31="Checking",Settings!$B$31="Savings",Settings!$B$31="Cash"),N($AQ174),IF(OR(Settings!$B$31="Card",Settings!$B$31="Loan"),-N($AQ174),0))+IF(OR(Settings!$B$32="Checking",Settings!$B$32="Savings",Settings!$B$32="Cash"),N($AR174),IF(OR(Settings!$B$32="Card",Settings!$B$32="Loan"),-N($AR174),0)),"")</f>
        <v/>
      </c>
      <c r="DB174">
        <f>IF($E174="open",$EB$27,IF($E174="post",IF($E173="pre",$EB$27,$DA173),""))</f>
        <v/>
      </c>
      <c r="DC174">
        <f>IF($E174="open",1,IF($E174="post",IF($E173="pre",1,$DT173),0))</f>
        <v/>
      </c>
      <c r="DD174">
        <f>IF(AND($DT174=1,$DC174=1),ROUND($W174-($DA174-$DB174)-$AD174-$AB174,2),"")</f>
        <v/>
      </c>
      <c r="DE174">
        <f>IF('Month-End'!$FO$35="",$BQ174,N('Month-End'!$FO$35))</f>
        <v/>
      </c>
      <c r="DF174">
        <f>N('Month-End'!$FO$36)</f>
        <v/>
      </c>
      <c r="DG174">
        <f>IF($DD174="","",$DD174+$DE174)</f>
        <v/>
      </c>
      <c r="DH174">
        <f>IF($DG174="","",$DG174-$DF174)</f>
        <v/>
      </c>
      <c r="DI174">
        <f>IF(OR($E174="pre",$D174=1),"",N($AS174)+N($AT174)+N($AU174)+N($AV174)+N($AW174)+N($AX174))</f>
        <v/>
      </c>
      <c r="DJ174">
        <f>IF($DT174=1,$DA174+N($DI174),"")</f>
        <v/>
      </c>
      <c r="DK174">
        <f>IF($DD174="","",$W174-$DD174-$AB174)</f>
        <v/>
      </c>
      <c r="DL174">
        <f>IF(AND($E174="post",$DD174&lt;&gt;"",$B174&lt;TODAY()),1,0)</f>
        <v/>
      </c>
      <c r="DM174">
        <f>IF($DL174=1,COUNTIF($DL174:$DL$183,1),0)</f>
        <v/>
      </c>
      <c r="DN174">
        <f>IF($D174=1,"",IF($E174="pre","History only",IF($DT174=1,IF($DD174="","⚠ Previous month missing",IF($DD174&lt;0,"⚠ Check: spending &lt; 0",IF($E174="open","✓ Done (partial)","✓ Done"))),IF($B174&gt;=TODAY(),"In progress","⚠ Needs balances"))))</f>
        <v/>
      </c>
      <c r="DO174">
        <f>YEAR($A174)</f>
        <v/>
      </c>
      <c r="DP174">
        <f>DATE(YEAR($A174),INT((MONTH($A174)-1)/3)*3+1,1)</f>
        <v/>
      </c>
      <c r="DQ174">
        <f>IF(AND($DT174=1,$DD174&lt;&gt;"",$D174=0),ROW(),0)</f>
        <v/>
      </c>
      <c r="DR174">
        <f>IF(AND($E174&lt;&gt;"pre",$B174&lt;TODAY(),$DT174=0),1,0)</f>
        <v/>
      </c>
      <c r="DS174">
        <f>IF($DJ174="",NA(),$DJ174)</f>
        <v/>
      </c>
      <c r="DT174">
        <f>IF(AND($E174&lt;&gt;"pre",$CL174=0,COUNTIFS(Settings!$F$19:$F$32,"Yes",Settings!$A$19:$A$32,"&lt;&gt;",Settings!$E$19:$E$32,"&lt;&gt;No")&gt;0),1,0)</f>
        <v/>
      </c>
      <c r="DU174">
        <f>IF(AND($B174&lt;TODAY(),$S174&gt;0),1,0)</f>
        <v/>
      </c>
      <c r="DV174">
        <f>IF($DU174=1,COUNTIF($DU174:$DU$183,1),0)</f>
        <v/>
      </c>
      <c r="DW174">
        <f>IF(AND(OR(Settings!$B$19="Card",Settings!$B$19="Loan"),AND('Month-End'!$FO$7&lt;&gt;"",NOT(_xlfn.ISFORMULA('Month-End'!$FO$7)))),IF(N('Month-End'!$FO$7)&lt;0,1,0),0)+IF(AND(OR(Settings!$B$20="Card",Settings!$B$20="Loan"),AND('Month-End'!$FO$8&lt;&gt;"",NOT(_xlfn.ISFORMULA('Month-End'!$FO$8)))),IF(N('Month-End'!$FO$8)&lt;0,1,0),0)+IF(AND(OR(Settings!$B$21="Card",Settings!$B$21="Loan"),AND('Month-End'!$FO$9&lt;&gt;"",NOT(_xlfn.ISFORMULA('Month-End'!$FO$9)))),IF(N('Month-End'!$FO$9)&lt;0,1,0),0)+IF(AND(OR(Settings!$B$22="Card",Settings!$B$22="Loan"),AND('Month-End'!$FO$10&lt;&gt;"",NOT(_xlfn.ISFORMULA('Month-End'!$FO$10)))),IF(N('Month-End'!$FO$10)&lt;0,1,0),0)+IF(AND(OR(Settings!$B$23="Card",Settings!$B$23="Loan"),AND('Month-End'!$FO$11&lt;&gt;"",NOT(_xlfn.ISFORMULA('Month-End'!$FO$11)))),IF(N('Month-End'!$FO$11)&lt;0,1,0),0)+IF(AND(OR(Settings!$B$24="Card",Settings!$B$24="Loan"),AND('Month-End'!$FO$12&lt;&gt;"",NOT(_xlfn.ISFORMULA('Month-End'!$FO$12)))),IF(N('Month-End'!$FO$12)&lt;0,1,0),0)+IF(AND(OR(Settings!$B$25="Card",Settings!$B$25="Loan"),AND('Month-End'!$FO$13&lt;&gt;"",NOT(_xlfn.ISFORMULA('Month-End'!$FO$13)))),IF(N('Month-End'!$FO$13)&lt;0,1,0),0)+IF(AND(OR(Settings!$B$26="Card",Settings!$B$26="Loan"),AND('Month-End'!$FO$14&lt;&gt;"",NOT(_xlfn.ISFORMULA('Month-End'!$FO$14)))),IF(N('Month-End'!$FO$14)&lt;0,1,0),0)+IF(AND(OR(Settings!$B$27="Card",Settings!$B$27="Loan"),AND('Month-End'!$FO$15&lt;&gt;"",NOT(_xlfn.ISFORMULA('Month-End'!$FO$15)))),IF(N('Month-End'!$FO$15)&lt;0,1,0),0)+IF(AND(OR(Settings!$B$28="Card",Settings!$B$28="Loan"),AND('Month-End'!$FO$16&lt;&gt;"",NOT(_xlfn.ISFORMULA('Month-End'!$FO$16)))),IF(N('Month-End'!$FO$16)&lt;0,1,0),0)+IF(AND(OR(Settings!$B$29="Card",Settings!$B$29="Loan"),AND('Month-End'!$FO$17&lt;&gt;"",NOT(_xlfn.ISFORMULA('Month-End'!$FO$17)))),IF(N('Month-End'!$FO$17)&lt;0,1,0),0)+IF(AND(OR(Settings!$B$30="Card",Settings!$B$30="Loan"),AND('Month-End'!$FO$18&lt;&gt;"",NOT(_xlfn.ISFORMULA('Month-End'!$FO$18)))),IF(N('Month-End'!$FO$18)&lt;0,1,0),0)+IF(AND(OR(Settings!$B$31="Card",Settings!$B$31="Loan"),AND('Month-End'!$FO$19&lt;&gt;"",NOT(_xlfn.ISFORMULA('Month-End'!$FO$19)))),IF(N('Month-End'!$FO$19)&lt;0,1,0),0)+IF(AND(OR(Settings!$B$32="Card",Settings!$B$32="Loan"),AND('Month-End'!$FO$20&lt;&gt;"",NOT(_xlfn.ISFORMULA('Month-End'!$FO$20)))),IF(N('Month-End'!$FO$20)&lt;0,1,0),0)</f>
        <v/>
      </c>
      <c r="DX174">
        <f>IF(Settings!$B$36="Retirement",$AY174,0)+IF(Settings!$B$37="Retirement",$AZ174,0)+IF(Settings!$B$38="Retirement",$BA174,0)+IF(Settings!$B$39="Retirement",$BB174,0)+IF(Settings!$B$40="Retirement",$BC174,0)+IF(Settings!$B$41="Retirement",$BD174,0)</f>
        <v/>
      </c>
      <c r="ET174">
        <f>IF($E174&lt;&gt;"open",0,IF(AND('Month-End'!$FO$22&lt;&gt;"",NOT(_xlfn.ISFORMULA('Month-End'!$FO$22))),0,IF(OR(Settings!$C$45="",Settings!$D$45=""),0,Settings!$C$45*IF(Settings!$D$45="Weekly",IF(IFERROR(MATCH(Settings!$E$45,$EO$4:$EO$10,0),0)=0,0,IF(MIN(Settings!$B$5,IF(Settings!$G$45="",Settings!$B$5,Settings!$G$45))&lt;MAX($A174,Settings!$F$45),0,INT((MIN(Settings!$B$5,IF(Settings!$G$45="",Settings!$B$5,Settings!$G$45))-MAX($A174,Settings!$F$45)-MOD(IFERROR(MATCH(Settings!$E$45,$EO$4:$EO$10,0),0)-WEEKDAY(MAX($A174,Settings!$F$45)),7))/7)+1)),IF(AND(IF(Settings!$E$45="",$B174,DATE(YEAR($A174),MONTH($A174),MIN(Settings!$E$45,DAY($B174))))&gt;=MAX($A174,Settings!$F$45),IF(Settings!$E$45="",$B174,DATE(YEAR($A174),MONTH($A174),MIN(Settings!$E$45,DAY($B174))))&lt;=MIN(Settings!$B$5,IF(Settings!$G$45="",Settings!$B$5,Settings!$G$45))),1,0)))))</f>
        <v/>
      </c>
      <c r="EU174">
        <f>IF($E174&lt;&gt;"open",0,IF(AND('Month-End'!$FO$23&lt;&gt;"",NOT(_xlfn.ISFORMULA('Month-End'!$FO$23))),0,IF(OR(Settings!$C$46="",Settings!$D$46=""),0,Settings!$C$46*IF(Settings!$D$46="Weekly",IF(IFERROR(MATCH(Settings!$E$46,$EO$4:$EO$10,0),0)=0,0,IF(MIN(Settings!$B$5,IF(Settings!$G$46="",Settings!$B$5,Settings!$G$46))&lt;MAX($A174,Settings!$F$46),0,INT((MIN(Settings!$B$5,IF(Settings!$G$46="",Settings!$B$5,Settings!$G$46))-MAX($A174,Settings!$F$46)-MOD(IFERROR(MATCH(Settings!$E$46,$EO$4:$EO$10,0),0)-WEEKDAY(MAX($A174,Settings!$F$46)),7))/7)+1)),IF(AND(IF(Settings!$E$46="",$B174,DATE(YEAR($A174),MONTH($A174),MIN(Settings!$E$46,DAY($B174))))&gt;=MAX($A174,Settings!$F$46),IF(Settings!$E$46="",$B174,DATE(YEAR($A174),MONTH($A174),MIN(Settings!$E$46,DAY($B174))))&lt;=MIN(Settings!$B$5,IF(Settings!$G$46="",Settings!$B$5,Settings!$G$46))),1,0)))))</f>
        <v/>
      </c>
      <c r="EV174">
        <f>IF($E174&lt;&gt;"open",0,IF(AND('Month-End'!$FO$24&lt;&gt;"",NOT(_xlfn.ISFORMULA('Month-End'!$FO$24))),0,IF(OR(Settings!$C$47="",Settings!$D$47=""),0,Settings!$C$47*IF(Settings!$D$47="Weekly",IF(IFERROR(MATCH(Settings!$E$47,$EO$4:$EO$10,0),0)=0,0,IF(MIN(Settings!$B$5,IF(Settings!$G$47="",Settings!$B$5,Settings!$G$47))&lt;MAX($A174,Settings!$F$47),0,INT((MIN(Settings!$B$5,IF(Settings!$G$47="",Settings!$B$5,Settings!$G$47))-MAX($A174,Settings!$F$47)-MOD(IFERROR(MATCH(Settings!$E$47,$EO$4:$EO$10,0),0)-WEEKDAY(MAX($A174,Settings!$F$47)),7))/7)+1)),IF(AND(IF(Settings!$E$47="",$B174,DATE(YEAR($A174),MONTH($A174),MIN(Settings!$E$47,DAY($B174))))&gt;=MAX($A174,Settings!$F$47),IF(Settings!$E$47="",$B174,DATE(YEAR($A174),MONTH($A174),MIN(Settings!$E$47,DAY($B174))))&lt;=MIN(Settings!$B$5,IF(Settings!$G$47="",Settings!$B$5,Settings!$G$47))),1,0)))))</f>
        <v/>
      </c>
      <c r="EW174">
        <f>IF($E174&lt;&gt;"open",0,IF(AND('Month-End'!$FO$25&lt;&gt;"",NOT(_xlfn.ISFORMULA('Month-End'!$FO$25))),0,IF(OR(Settings!$C$48="",Settings!$D$48=""),0,Settings!$C$48*IF(Settings!$D$48="Weekly",IF(IFERROR(MATCH(Settings!$E$48,$EO$4:$EO$10,0),0)=0,0,IF(MIN(Settings!$B$5,IF(Settings!$G$48="",Settings!$B$5,Settings!$G$48))&lt;MAX($A174,Settings!$F$48),0,INT((MIN(Settings!$B$5,IF(Settings!$G$48="",Settings!$B$5,Settings!$G$48))-MAX($A174,Settings!$F$48)-MOD(IFERROR(MATCH(Settings!$E$48,$EO$4:$EO$10,0),0)-WEEKDAY(MAX($A174,Settings!$F$48)),7))/7)+1)),IF(AND(IF(Settings!$E$48="",$B174,DATE(YEAR($A174),MONTH($A174),MIN(Settings!$E$48,DAY($B174))))&gt;=MAX($A174,Settings!$F$48),IF(Settings!$E$48="",$B174,DATE(YEAR($A174),MONTH($A174),MIN(Settings!$E$48,DAY($B174))))&lt;=MIN(Settings!$B$5,IF(Settings!$G$48="",Settings!$B$5,Settings!$G$48))),1,0)))))</f>
        <v/>
      </c>
      <c r="EX174">
        <f>IF($E174&lt;&gt;"open",0,IF(AND('Month-End'!$FO$26&lt;&gt;"",NOT(_xlfn.ISFORMULA('Month-End'!$FO$26))),0,IF(OR(Settings!$C$49="",Settings!$D$49=""),0,Settings!$C$49*IF(Settings!$D$49="Weekly",IF(IFERROR(MATCH(Settings!$E$49,$EO$4:$EO$10,0),0)=0,0,IF(MIN(Settings!$B$5,IF(Settings!$G$49="",Settings!$B$5,Settings!$G$49))&lt;MAX($A174,Settings!$F$49),0,INT((MIN(Settings!$B$5,IF(Settings!$G$49="",Settings!$B$5,Settings!$G$49))-MAX($A174,Settings!$F$49)-MOD(IFERROR(MATCH(Settings!$E$49,$EO$4:$EO$10,0),0)-WEEKDAY(MAX($A174,Settings!$F$49)),7))/7)+1)),IF(AND(IF(Settings!$E$49="",$B174,DATE(YEAR($A174),MONTH($A174),MIN(Settings!$E$49,DAY($B174))))&gt;=MAX($A174,Settings!$F$49),IF(Settings!$E$49="",$B174,DATE(YEAR($A174),MONTH($A174),MIN(Settings!$E$49,DAY($B174))))&lt;=MIN(Settings!$B$5,IF(Settings!$G$49="",Settings!$B$5,Settings!$G$49))),1,0)))))</f>
        <v/>
      </c>
      <c r="EY174">
        <f>IF($E174&lt;&gt;"open",0,IF(AND('Month-End'!$FO$27&lt;&gt;"",NOT(_xlfn.ISFORMULA('Month-End'!$FO$27))),0,IF(OR(Settings!$C$50="",Settings!$D$50=""),0,Settings!$C$50*IF(Settings!$D$50="Weekly",IF(IFERROR(MATCH(Settings!$E$50,$EO$4:$EO$10,0),0)=0,0,IF(MIN(Settings!$B$5,IF(Settings!$G$50="",Settings!$B$5,Settings!$G$50))&lt;MAX($A174,Settings!$F$50),0,INT((MIN(Settings!$B$5,IF(Settings!$G$50="",Settings!$B$5,Settings!$G$50))-MAX($A174,Settings!$F$50)-MOD(IFERROR(MATCH(Settings!$E$50,$EO$4:$EO$10,0),0)-WEEKDAY(MAX($A174,Settings!$F$50)),7))/7)+1)),IF(AND(IF(Settings!$E$50="",$B174,DATE(YEAR($A174),MONTH($A174),MIN(Settings!$E$50,DAY($B174))))&gt;=MAX($A174,Settings!$F$50),IF(Settings!$E$50="",$B174,DATE(YEAR($A174),MONTH($A174),MIN(Settings!$E$50,DAY($B174))))&lt;=MIN(Settings!$B$5,IF(Settings!$G$50="",Settings!$B$5,Settings!$G$50))),1,0)))))</f>
        <v/>
      </c>
      <c r="EZ174">
        <f>IF($E174&lt;&gt;"open",0,IF(AND('Month-End'!$FO$28&lt;&gt;"",NOT(_xlfn.ISFORMULA('Month-End'!$FO$28))),0,IF(OR(Settings!$C$51="",Settings!$D$51=""),0,Settings!$C$51*IF(Settings!$D$51="Weekly",IF(IFERROR(MATCH(Settings!$E$51,$EO$4:$EO$10,0),0)=0,0,IF(MIN(Settings!$B$5,IF(Settings!$G$51="",Settings!$B$5,Settings!$G$51))&lt;MAX($A174,Settings!$F$51),0,INT((MIN(Settings!$B$5,IF(Settings!$G$51="",Settings!$B$5,Settings!$G$51))-MAX($A174,Settings!$F$51)-MOD(IFERROR(MATCH(Settings!$E$51,$EO$4:$EO$10,0),0)-WEEKDAY(MAX($A174,Settings!$F$51)),7))/7)+1)),IF(AND(IF(Settings!$E$51="",$B174,DATE(YEAR($A174),MONTH($A174),MIN(Settings!$E$51,DAY($B174))))&gt;=MAX($A174,Settings!$F$51),IF(Settings!$E$51="",$B174,DATE(YEAR($A174),MONTH($A174),MIN(Settings!$E$51,DAY($B174))))&lt;=MIN(Settings!$B$5,IF(Settings!$G$51="",Settings!$B$5,Settings!$G$51))),1,0)))))</f>
        <v/>
      </c>
      <c r="FA174">
        <f>IF($E174&lt;&gt;"open",0,IF(AND('Month-End'!$FO$29&lt;&gt;"",NOT(_xlfn.ISFORMULA('Month-End'!$FO$29))),0,IF(OR(Settings!$C$52="",Settings!$D$52=""),0,Settings!$C$52*IF(Settings!$D$52="Weekly",IF(IFERROR(MATCH(Settings!$E$52,$EO$4:$EO$10,0),0)=0,0,IF(MIN(Settings!$B$5,IF(Settings!$G$52="",Settings!$B$5,Settings!$G$52))&lt;MAX($A174,Settings!$F$52),0,INT((MIN(Settings!$B$5,IF(Settings!$G$52="",Settings!$B$5,Settings!$G$52))-MAX($A174,Settings!$F$52)-MOD(IFERROR(MATCH(Settings!$E$52,$EO$4:$EO$10,0),0)-WEEKDAY(MAX($A174,Settings!$F$52)),7))/7)+1)),IF(AND(IF(Settings!$E$52="",$B174,DATE(YEAR($A174),MONTH($A174),MIN(Settings!$E$52,DAY($B174))))&gt;=MAX($A174,Settings!$F$52),IF(Settings!$E$52="",$B174,DATE(YEAR($A174),MONTH($A174),MIN(Settings!$E$52,DAY($B174))))&lt;=MIN(Settings!$B$5,IF(Settings!$G$52="",Settings!$B$5,Settings!$G$52))),1,0)))))</f>
        <v/>
      </c>
      <c r="FB174">
        <f>IF($E174&lt;&gt;"open",0,IF(AND('Month-End'!$FO$30&lt;&gt;"",NOT(_xlfn.ISFORMULA('Month-End'!$FO$30))),0,IF(OR(Settings!$C$53="",Settings!$D$53=""),0,Settings!$C$53*IF(Settings!$D$53="Weekly",IF(IFERROR(MATCH(Settings!$E$53,$EO$4:$EO$10,0),0)=0,0,IF(MIN(Settings!$B$5,IF(Settings!$G$53="",Settings!$B$5,Settings!$G$53))&lt;MAX($A174,Settings!$F$53),0,INT((MIN(Settings!$B$5,IF(Settings!$G$53="",Settings!$B$5,Settings!$G$53))-MAX($A174,Settings!$F$53)-MOD(IFERROR(MATCH(Settings!$E$53,$EO$4:$EO$10,0),0)-WEEKDAY(MAX($A174,Settings!$F$53)),7))/7)+1)),IF(AND(IF(Settings!$E$53="",$B174,DATE(YEAR($A174),MONTH($A174),MIN(Settings!$E$53,DAY($B174))))&gt;=MAX($A174,Settings!$F$53),IF(Settings!$E$53="",$B174,DATE(YEAR($A174),MONTH($A174),MIN(Settings!$E$53,DAY($B174))))&lt;=MIN(Settings!$B$5,IF(Settings!$G$53="",Settings!$B$5,Settings!$G$53))),1,0)))))</f>
        <v/>
      </c>
      <c r="FC174">
        <f>IF($E174&lt;&gt;"open",0,IF(AND('Month-End'!$FO$31&lt;&gt;"",NOT(_xlfn.ISFORMULA('Month-End'!$FO$31))),0,IF(OR(Settings!$C$54="",Settings!$D$54=""),0,Settings!$C$54*IF(Settings!$D$54="Weekly",IF(IFERROR(MATCH(Settings!$E$54,$EO$4:$EO$10,0),0)=0,0,IF(MIN(Settings!$B$5,IF(Settings!$G$54="",Settings!$B$5,Settings!$G$54))&lt;MAX($A174,Settings!$F$54),0,INT((MIN(Settings!$B$5,IF(Settings!$G$54="",Settings!$B$5,Settings!$G$54))-MAX($A174,Settings!$F$54)-MOD(IFERROR(MATCH(Settings!$E$54,$EO$4:$EO$10,0),0)-WEEKDAY(MAX($A174,Settings!$F$54)),7))/7)+1)),IF(AND(IF(Settings!$E$54="",$B174,DATE(YEAR($A174),MONTH($A174),MIN(Settings!$E$54,DAY($B174))))&gt;=MAX($A174,Settings!$F$54),IF(Settings!$E$54="",$B174,DATE(YEAR($A174),MONTH($A174),MIN(Settings!$E$54,DAY($B174))))&lt;=MIN(Settings!$B$5,IF(Settings!$G$54="",Settings!$B$5,Settings!$G$54))),1,0)))))</f>
        <v/>
      </c>
      <c r="FD174">
        <f>IF($E174&lt;&gt;"open",0,IF(AND('Month-End'!$FO$32&lt;&gt;"",NOT(_xlfn.ISFORMULA('Month-End'!$FO$32))),0,IF(OR(Settings!$C$55="",Settings!$D$55=""),0,Settings!$C$55*IF(Settings!$D$55="Weekly",IF(IFERROR(MATCH(Settings!$E$55,$EO$4:$EO$10,0),0)=0,0,IF(MIN(Settings!$B$5,IF(Settings!$G$55="",Settings!$B$5,Settings!$G$55))&lt;MAX($A174,Settings!$F$55),0,INT((MIN(Settings!$B$5,IF(Settings!$G$55="",Settings!$B$5,Settings!$G$55))-MAX($A174,Settings!$F$55)-MOD(IFERROR(MATCH(Settings!$E$55,$EO$4:$EO$10,0),0)-WEEKDAY(MAX($A174,Settings!$F$55)),7))/7)+1)),IF(AND(IF(Settings!$E$55="",$B174,DATE(YEAR($A174),MONTH($A174),MIN(Settings!$E$55,DAY($B174))))&gt;=MAX($A174,Settings!$F$55),IF(Settings!$E$55="",$B174,DATE(YEAR($A174),MONTH($A174),MIN(Settings!$E$55,DAY($B174))))&lt;=MIN(Settings!$B$5,IF(Settings!$G$55="",Settings!$B$5,Settings!$G$55))),1,0)))))</f>
        <v/>
      </c>
      <c r="FE174">
        <f>IF($E174&lt;&gt;"open",0,IF(AND('Month-End'!$FO$33&lt;&gt;"",NOT(_xlfn.ISFORMULA('Month-End'!$FO$33))),0,IF(OR(Settings!$C$56="",Settings!$D$56=""),0,Settings!$C$56*IF(Settings!$D$56="Weekly",IF(IFERROR(MATCH(Settings!$E$56,$EO$4:$EO$10,0),0)=0,0,IF(MIN(Settings!$B$5,IF(Settings!$G$56="",Settings!$B$5,Settings!$G$56))&lt;MAX($A174,Settings!$F$56),0,INT((MIN(Settings!$B$5,IF(Settings!$G$56="",Settings!$B$5,Settings!$G$56))-MAX($A174,Settings!$F$56)-MOD(IFERROR(MATCH(Settings!$E$56,$EO$4:$EO$10,0),0)-WEEKDAY(MAX($A174,Settings!$F$56)),7))/7)+1)),IF(AND(IF(Settings!$E$56="",$B174,DATE(YEAR($A174),MONTH($A174),MIN(Settings!$E$56,DAY($B174))))&gt;=MAX($A174,Settings!$F$56),IF(Settings!$E$56="",$B174,DATE(YEAR($A174),MONTH($A174),MIN(Settings!$E$56,DAY($B174))))&lt;=MIN(Settings!$B$5,IF(Settings!$G$56="",Settings!$B$5,Settings!$G$56))),1,0)))))</f>
        <v/>
      </c>
      <c r="FF174">
        <f>IF(Settings!$I$45="Yes",$G174,0)+IF(Settings!$I$46="Yes",$H174,0)+IF(Settings!$I$47="Yes",$I174,0)+IF(Settings!$I$48="Yes",$J174,0)+IF(Settings!$I$49="Yes",$K174,0)+IF(Settings!$I$50="Yes",$L174,0)+IF(Settings!$I$51="Yes",$M174,0)+IF(Settings!$I$52="Yes",$N174,0)+IF(Settings!$I$53="Yes",$O174,0)+IF(Settings!$I$54="Yes",$P174,0)+IF(Settings!$I$55="Yes",$Q174,0)+IF(Settings!$I$56="Yes",$R174,0)</f>
        <v/>
      </c>
      <c r="FG174">
        <f>IF(AND(Settings!$I$45="Yes",Settings!$J$45="No"),$G174,0)+IF(AND(Settings!$I$46="Yes",Settings!$J$46="No"),$H174,0)+IF(AND(Settings!$I$47="Yes",Settings!$J$47="No"),$I174,0)+IF(AND(Settings!$I$48="Yes",Settings!$J$48="No"),$J174,0)+IF(AND(Settings!$I$49="Yes",Settings!$J$49="No"),$K174,0)+IF(AND(Settings!$I$50="Yes",Settings!$J$50="No"),$L174,0)+IF(AND(Settings!$I$51="Yes",Settings!$J$51="No"),$M174,0)+IF(AND(Settings!$I$52="Yes",Settings!$J$52="No"),$N174,0)+IF(AND(Settings!$I$53="Yes",Settings!$J$53="No"),$O174,0)+IF(AND(Settings!$I$54="Yes",Settings!$J$54="No"),$P174,0)+IF(AND(Settings!$I$55="Yes",Settings!$J$55="No"),$Q174,0)+IF(AND(Settings!$I$56="Yes",Settings!$J$56="No"),$R174,0)</f>
        <v/>
      </c>
      <c r="FH174">
        <f>SUMIFS(Giving!$B$7:$B$2006,Giving!$A$7:$A$2006,"&gt;="&amp;$A174,Giving!$A$7:$A$2006,"&lt;="&amp;$B174,Giving!$G$7:$G$2006,"Yes")+IF(OR(OR(Settings!$B$60="",Settings!$F$60="No"),Settings!$H$60&lt;&gt;"Yes"),0,Settings!$B$60*IF(AND(IF(Settings!$C$60="",$B174,DATE(YEAR($A174),MONTH($A174),MIN(Settings!$C$60,DAY($B174))))&gt;=MAX($A174,Settings!$D$60),IF(Settings!$C$60="",$B174,DATE(YEAR($A174),MONTH($A174),MIN(Settings!$C$60,DAY($B174))))&lt;=MIN($C174,IF(Settings!$E$60="",$C174,Settings!$E$60))),1,0))+IF(OR(OR(Settings!$B$61="",Settings!$F$61="No"),Settings!$H$61&lt;&gt;"Yes"),0,Settings!$B$61*IF(AND(IF(Settings!$C$61="",$B174,DATE(YEAR($A174),MONTH($A174),MIN(Settings!$C$61,DAY($B174))))&gt;=MAX($A174,Settings!$D$61),IF(Settings!$C$61="",$B174,DATE(YEAR($A174),MONTH($A174),MIN(Settings!$C$61,DAY($B174))))&lt;=MIN($C174,IF(Settings!$E$61="",$C174,Settings!$E$61))),1,0))+IF(OR(OR(Settings!$B$62="",Settings!$F$62="No"),Settings!$H$62&lt;&gt;"Yes"),0,Settings!$B$62*IF(AND(IF(Settings!$C$62="",$B174,DATE(YEAR($A174),MONTH($A174),MIN(Settings!$C$62,DAY($B174))))&gt;=MAX($A174,Settings!$D$62),IF(Settings!$C$62="",$B174,DATE(YEAR($A174),MONTH($A174),MIN(Settings!$C$62,DAY($B174))))&lt;=MIN($C174,IF(Settings!$E$62="",$C174,Settings!$E$62))),1,0))+IF(OR(OR(Settings!$B$63="",Settings!$F$63="No"),Settings!$H$63&lt;&gt;"Yes"),0,Settings!$B$63*IF(AND(IF(Settings!$C$63="",$B174,DATE(YEAR($A174),MONTH($A174),MIN(Settings!$C$63,DAY($B174))))&gt;=MAX($A174,Settings!$D$63),IF(Settings!$C$63="",$B174,DATE(YEAR($A174),MONTH($A174),MIN(Settings!$C$63,DAY($B174))))&lt;=MIN($C174,IF(Settings!$E$63="",$C174,Settings!$E$63))),1,0))+IF(OR(OR(Settings!$B$64="",Settings!$F$64="No"),Settings!$H$64&lt;&gt;"Yes"),0,Settings!$B$64*IF(AND(IF(Settings!$C$64="",$B174,DATE(YEAR($A174),MONTH($A174),MIN(Settings!$C$64,DAY($B174))))&gt;=MAX($A174,Settings!$D$64),IF(Settings!$C$64="",$B174,DATE(YEAR($A174),MONTH($A174),MIN(Settings!$C$64,DAY($B174))))&lt;=MIN($C174,IF(Settings!$E$64="",$C174,Settings!$E$64))),1,0))+IF(OR(OR(Settings!$B$65="",Settings!$F$65="No"),Settings!$H$65&lt;&gt;"Yes"),0,Settings!$B$65*IF(AND(IF(Settings!$C$65="",$B174,DATE(YEAR($A174),MONTH($A174),MIN(Settings!$C$65,DAY($B174))))&gt;=MAX($A174,Settings!$D$65),IF(Settings!$C$65="",$B174,DATE(YEAR($A174),MONTH($A174),MIN(Settings!$C$65,DAY($B174))))&lt;=MIN($C174,IF(Settings!$E$65="",$C174,Settings!$E$65))),1,0))</f>
        <v/>
      </c>
      <c r="FI174">
        <f>IF($DT174=1,IF(OR(Settings!$B$19="Card",Settings!$B$19="Loan"),N($AE174),0)+IF(OR(Settings!$B$20="Card",Settings!$B$20="Loan"),N($AF174),0)+IF(OR(Settings!$B$21="Card",Settings!$B$21="Loan"),N($AG174),0)+IF(OR(Settings!$B$22="Card",Settings!$B$22="Loan"),N($AH174),0)+IF(OR(Settings!$B$23="Card",Settings!$B$23="Loan"),N($AI174),0)+IF(OR(Settings!$B$24="Card",Settings!$B$24="Loan"),N($AJ174),0)+IF(OR(Settings!$B$25="Card",Settings!$B$25="Loan"),N($AK174),0)+IF(OR(Settings!$B$26="Card",Settings!$B$26="Loan"),N($AL174),0)+IF(OR(Settings!$B$27="Card",Settings!$B$27="Loan"),N($AM174),0)+IF(OR(Settings!$B$28="Card",Settings!$B$28="Loan"),N($AN174),0)+IF(OR(Settings!$B$29="Card",Settings!$B$29="Loan"),N($AO174),0)+IF(OR(Settings!$B$30="Card",Settings!$B$30="Loan"),N($AP174),0)+IF(OR(Settings!$B$31="Card",Settings!$B$31="Loan"),N($AQ174),0)+IF(OR(Settings!$B$32="Card",Settings!$B$32="Loan"),N($AR174),0),"")</f>
        <v/>
      </c>
      <c r="FJ174">
        <f>IF($E174="open",$EB$65,IF($E174="post",IF($E173="pre",$EB$65,$FI173),""))</f>
        <v/>
      </c>
      <c r="FK174">
        <f>IF(AND($DT174=1,$DC174=1),IF(ROUND($FI174-$FJ174,2)&gt;0,1,0),0)</f>
        <v/>
      </c>
      <c r="FL174">
        <f>IF($FK174=1,$FL173+1,0)</f>
        <v/>
      </c>
    </row>
    <row r="175">
      <c r="A175">
        <f>'Month-End'!$FP$4</f>
        <v/>
      </c>
      <c r="B175">
        <f>EOMONTH($A175,0)</f>
        <v/>
      </c>
      <c r="C175">
        <f>MIN($B175,TODAY())</f>
        <v/>
      </c>
      <c r="D175">
        <f>IF($A175&gt;TODAY(),1,0)</f>
        <v/>
      </c>
      <c r="E175">
        <f>IF($B175&lt;=Settings!$B$5,"pre",IF($A175&lt;=Settings!$B$5,"open","post"))</f>
        <v/>
      </c>
      <c r="G175">
        <f>IF('Month-End'!$FP$22="",$BE175,N('Month-End'!$FP$22))</f>
        <v/>
      </c>
      <c r="H175">
        <f>IF('Month-End'!$FP$23="",$BF175,N('Month-End'!$FP$23))</f>
        <v/>
      </c>
      <c r="I175">
        <f>IF('Month-End'!$FP$24="",$BG175,N('Month-End'!$FP$24))</f>
        <v/>
      </c>
      <c r="J175">
        <f>IF('Month-End'!$FP$25="",$BH175,N('Month-End'!$FP$25))</f>
        <v/>
      </c>
      <c r="K175">
        <f>IF('Month-End'!$FP$26="",$BI175,N('Month-End'!$FP$26))</f>
        <v/>
      </c>
      <c r="L175">
        <f>IF('Month-End'!$FP$27="",$BJ175,N('Month-End'!$FP$27))</f>
        <v/>
      </c>
      <c r="M175">
        <f>IF('Month-End'!$FP$28="",$BK175,N('Month-End'!$FP$28))</f>
        <v/>
      </c>
      <c r="N175">
        <f>IF('Month-End'!$FP$29="",$BL175,N('Month-End'!$FP$29))</f>
        <v/>
      </c>
      <c r="O175">
        <f>IF('Month-End'!$FP$30="",$BM175,N('Month-End'!$FP$30))</f>
        <v/>
      </c>
      <c r="P175">
        <f>IF('Month-End'!$FP$31="",$BN175,N('Month-End'!$FP$31))</f>
        <v/>
      </c>
      <c r="Q175">
        <f>IF('Month-End'!$FP$32="",$BO175,N('Month-End'!$FP$32))</f>
        <v/>
      </c>
      <c r="R175">
        <f>IF('Month-End'!$FP$33="",$BP175,N('Month-End'!$FP$33))</f>
        <v/>
      </c>
      <c r="S175">
        <f>$G175+$H175+$I175+$J175+$K175+$L175+$M175+$N175+$O175+$P175+$Q175+$R175</f>
        <v/>
      </c>
      <c r="T175">
        <f>IF($B175&lt;Settings!$B$6,0,IF(Settings!$B$45="Yes",$G175,0)+IF(Settings!$B$46="Yes",$H175,0)+IF(Settings!$B$47="Yes",$I175,0)+IF(Settings!$B$48="Yes",$J175,0)+IF(Settings!$B$49="Yes",$K175,0)+IF(Settings!$B$50="Yes",$L175,0)+IF(Settings!$B$51="Yes",$M175,0)+IF(Settings!$B$52="Yes",$N175,0)+IF(Settings!$B$53="Yes",$O175,0)+IF(Settings!$B$54="Yes",$P175,0)+IF(Settings!$B$55="Yes",$Q175,0)+IF(Settings!$B$56="Yes",$R175,0))</f>
        <v/>
      </c>
      <c r="U175">
        <f>IF(Settings!$B$45="Not Sure",$G175,0)+IF(Settings!$B$46="Not Sure",$H175,0)+IF(Settings!$B$47="Not Sure",$I175,0)+IF(Settings!$B$48="Not Sure",$J175,0)+IF(Settings!$B$49="Not Sure",$K175,0)+IF(Settings!$B$50="Not Sure",$L175,0)+IF(Settings!$B$51="Not Sure",$M175,0)+IF(Settings!$B$52="Not Sure",$N175,0)+IF(Settings!$B$53="Not Sure",$O175,0)+IF(Settings!$B$54="Not Sure",$P175,0)+IF(Settings!$B$55="Not Sure",$Q175,0)+IF(Settings!$B$56="Not Sure",$R175,0)</f>
        <v/>
      </c>
      <c r="V175">
        <f>IF($E175="open",SUM($ET175:$FE175)+N(Settings!$B$13),0)</f>
        <v/>
      </c>
      <c r="W175">
        <f>IF($E175="post",$S175,IF($E175="open",$S175-$V175,0))</f>
        <v/>
      </c>
      <c r="X175">
        <f>SUMIFS(Giving!$B$7:$B$2006,Giving!$A$7:$A$2006,"&gt;="&amp;$A175,Giving!$A$7:$A$2006,"&lt;="&amp;$B175,Giving!$E$7:$E$2006,"&lt;&gt;No")</f>
        <v/>
      </c>
      <c r="Y175">
        <f>SUMIFS(Giving!$B$7:$B$2006,Giving!$A$7:$A$2006,"&gt;="&amp;$A175,Giving!$A$7:$A$2006,"&lt;="&amp;$B175,Giving!$E$7:$E$2006,"No")</f>
        <v/>
      </c>
      <c r="Z175">
        <f>IF(OR(Settings!$B$60="",Settings!$F$60="No"),0,Settings!$B$60*IF(AND(IF(Settings!$C$60="",$B175,DATE(YEAR($A175),MONTH($A175),MIN(Settings!$C$60,DAY($B175))))&gt;=MAX($A175,Settings!$D$60),IF(Settings!$C$60="",$B175,DATE(YEAR($A175),MONTH($A175),MIN(Settings!$C$60,DAY($B175))))&lt;=MIN($C175,IF(Settings!$E$60="",$C175,Settings!$E$60))),1,0))+IF(OR(Settings!$B$61="",Settings!$F$61="No"),0,Settings!$B$61*IF(AND(IF(Settings!$C$61="",$B175,DATE(YEAR($A175),MONTH($A175),MIN(Settings!$C$61,DAY($B175))))&gt;=MAX($A175,Settings!$D$61),IF(Settings!$C$61="",$B175,DATE(YEAR($A175),MONTH($A175),MIN(Settings!$C$61,DAY($B175))))&lt;=MIN($C175,IF(Settings!$E$61="",$C175,Settings!$E$61))),1,0))+IF(OR(Settings!$B$62="",Settings!$F$62="No"),0,Settings!$B$62*IF(AND(IF(Settings!$C$62="",$B175,DATE(YEAR($A175),MONTH($A175),MIN(Settings!$C$62,DAY($B175))))&gt;=MAX($A175,Settings!$D$62),IF(Settings!$C$62="",$B175,DATE(YEAR($A175),MONTH($A175),MIN(Settings!$C$62,DAY($B175))))&lt;=MIN($C175,IF(Settings!$E$62="",$C175,Settings!$E$62))),1,0))+IF(OR(Settings!$B$63="",Settings!$F$63="No"),0,Settings!$B$63*IF(AND(IF(Settings!$C$63="",$B175,DATE(YEAR($A175),MONTH($A175),MIN(Settings!$C$63,DAY($B175))))&gt;=MAX($A175,Settings!$D$63),IF(Settings!$C$63="",$B175,DATE(YEAR($A175),MONTH($A175),MIN(Settings!$C$63,DAY($B175))))&lt;=MIN($C175,IF(Settings!$E$63="",$C175,Settings!$E$63))),1,0))+IF(OR(Settings!$B$64="",Settings!$F$64="No"),0,Settings!$B$64*IF(AND(IF(Settings!$C$64="",$B175,DATE(YEAR($A175),MONTH($A175),MIN(Settings!$C$64,DAY($B175))))&gt;=MAX($A175,Settings!$D$64),IF(Settings!$C$64="",$B175,DATE(YEAR($A175),MONTH($A175),MIN(Settings!$C$64,DAY($B175))))&lt;=MIN($C175,IF(Settings!$E$64="",$C175,Settings!$E$64))),1,0))+IF(OR(Settings!$B$65="",Settings!$F$65="No"),0,Settings!$B$65*IF(AND(IF(Settings!$C$65="",$B175,DATE(YEAR($A175),MONTH($A175),MIN(Settings!$C$65,DAY($B175))))&gt;=MAX($A175,Settings!$D$65),IF(Settings!$C$65="",$B175,DATE(YEAR($A175),MONTH($A175),MIN(Settings!$C$65,DAY($B175))))&lt;=MIN($C175,IF(Settings!$E$65="",$C175,Settings!$E$65))),1,0))</f>
        <v/>
      </c>
      <c r="AA175">
        <f>$X175+$Z175</f>
        <v/>
      </c>
      <c r="AB175">
        <f>IF($E175="post",$AA175,IF($E175="open",SUMIFS(Giving!$B$7:$B$2006,Giving!$A$7:$A$2006,"&gt;"&amp;Settings!$B$5,Giving!$A$7:$A$2006,"&lt;="&amp;$B175,Giving!$E$7:$E$2006,"&lt;&gt;No")+IF(OR(Settings!$B$60="",Settings!$F$60="No"),0,Settings!$B$60*IF(AND(IF(Settings!$C$60="",$B175,DATE(YEAR($A175),MONTH($A175),MIN(Settings!$C$60,DAY($B175))))&gt;=MAX($A175,Settings!$D$60,Settings!$B$5+1),IF(Settings!$C$60="",$B175,DATE(YEAR($A175),MONTH($A175),MIN(Settings!$C$60,DAY($B175))))&lt;=MIN($C175,IF(Settings!$E$60="",$C175,Settings!$E$60))),1,0))+IF(OR(Settings!$B$61="",Settings!$F$61="No"),0,Settings!$B$61*IF(AND(IF(Settings!$C$61="",$B175,DATE(YEAR($A175),MONTH($A175),MIN(Settings!$C$61,DAY($B175))))&gt;=MAX($A175,Settings!$D$61,Settings!$B$5+1),IF(Settings!$C$61="",$B175,DATE(YEAR($A175),MONTH($A175),MIN(Settings!$C$61,DAY($B175))))&lt;=MIN($C175,IF(Settings!$E$61="",$C175,Settings!$E$61))),1,0))+IF(OR(Settings!$B$62="",Settings!$F$62="No"),0,Settings!$B$62*IF(AND(IF(Settings!$C$62="",$B175,DATE(YEAR($A175),MONTH($A175),MIN(Settings!$C$62,DAY($B175))))&gt;=MAX($A175,Settings!$D$62,Settings!$B$5+1),IF(Settings!$C$62="",$B175,DATE(YEAR($A175),MONTH($A175),MIN(Settings!$C$62,DAY($B175))))&lt;=MIN($C175,IF(Settings!$E$62="",$C175,Settings!$E$62))),1,0))+IF(OR(Settings!$B$63="",Settings!$F$63="No"),0,Settings!$B$63*IF(AND(IF(Settings!$C$63="",$B175,DATE(YEAR($A175),MONTH($A175),MIN(Settings!$C$63,DAY($B175))))&gt;=MAX($A175,Settings!$D$63,Settings!$B$5+1),IF(Settings!$C$63="",$B175,DATE(YEAR($A175),MONTH($A175),MIN(Settings!$C$63,DAY($B175))))&lt;=MIN($C175,IF(Settings!$E$63="",$C175,Settings!$E$63))),1,0))+IF(OR(Settings!$B$64="",Settings!$F$64="No"),0,Settings!$B$64*IF(AND(IF(Settings!$C$64="",$B175,DATE(YEAR($A175),MONTH($A175),MIN(Settings!$C$64,DAY($B175))))&gt;=MAX($A175,Settings!$D$64,Settings!$B$5+1),IF(Settings!$C$64="",$B175,DATE(YEAR($A175),MONTH($A175),MIN(Settings!$C$64,DAY($B175))))&lt;=MIN($C175,IF(Settings!$E$64="",$C175,Settings!$E$64))),1,0))+IF(OR(Settings!$B$65="",Settings!$F$65="No"),0,Settings!$B$65*IF(AND(IF(Settings!$C$65="",$B175,DATE(YEAR($A175),MONTH($A175),MIN(Settings!$C$65,DAY($B175))))&gt;=MAX($A175,Settings!$D$65,Settings!$B$5+1),IF(Settings!$C$65="",$B175,DATE(YEAR($A175),MONTH($A175),MIN(Settings!$C$65,DAY($B175))))&lt;=MIN($C175,IF(Settings!$E$65="",$C175,Settings!$E$65))),1,0)),0))</f>
        <v/>
      </c>
      <c r="AC175">
        <f>$AY175+$AZ175+$BA175+$BB175+$BC175+$BD175</f>
        <v/>
      </c>
      <c r="AD175">
        <f>$AC175</f>
        <v/>
      </c>
      <c r="AE175">
        <f>IF(OR(Settings!$A$19="",$E175="pre"),"",IF(AND('Month-End'!$FP$7&lt;&gt;"",NOT(_xlfn.ISFORMULA('Month-End'!$FP$7))),N('Month-End'!$FP$7),IF(OR($E175="open",$E174="pre"),N(Settings!$C$19),N($AE174))))</f>
        <v/>
      </c>
      <c r="AF175">
        <f>IF(OR(Settings!$A$20="",$E175="pre"),"",IF(AND('Month-End'!$FP$8&lt;&gt;"",NOT(_xlfn.ISFORMULA('Month-End'!$FP$8))),N('Month-End'!$FP$8),IF(OR($E175="open",$E174="pre"),N(Settings!$C$20),N($AF174))))</f>
        <v/>
      </c>
      <c r="AG175">
        <f>IF(OR(Settings!$A$21="",$E175="pre"),"",IF(AND('Month-End'!$FP$9&lt;&gt;"",NOT(_xlfn.ISFORMULA('Month-End'!$FP$9))),N('Month-End'!$FP$9),IF(OR($E175="open",$E174="pre"),N(Settings!$C$21),N($AG174))))</f>
        <v/>
      </c>
      <c r="AH175">
        <f>IF(OR(Settings!$A$22="",$E175="pre"),"",IF(AND('Month-End'!$FP$10&lt;&gt;"",NOT(_xlfn.ISFORMULA('Month-End'!$FP$10))),N('Month-End'!$FP$10),IF(OR($E175="open",$E174="pre"),N(Settings!$C$22),N($AH174))))</f>
        <v/>
      </c>
      <c r="AI175">
        <f>IF(OR(Settings!$A$23="",$E175="pre"),"",IF(AND('Month-End'!$FP$11&lt;&gt;"",NOT(_xlfn.ISFORMULA('Month-End'!$FP$11))),N('Month-End'!$FP$11),IF(OR($E175="open",$E174="pre"),N(Settings!$C$23),N($AI174))))</f>
        <v/>
      </c>
      <c r="AJ175">
        <f>IF(OR(Settings!$A$24="",$E175="pre"),"",IF(AND('Month-End'!$FP$12&lt;&gt;"",NOT(_xlfn.ISFORMULA('Month-End'!$FP$12))),N('Month-End'!$FP$12),IF(OR($E175="open",$E174="pre"),N(Settings!$C$24),N($AJ174))))</f>
        <v/>
      </c>
      <c r="AK175">
        <f>IF(OR(Settings!$A$25="",$E175="pre"),"",IF(AND('Month-End'!$FP$13&lt;&gt;"",NOT(_xlfn.ISFORMULA('Month-End'!$FP$13))),N('Month-End'!$FP$13),IF(OR($E175="open",$E174="pre"),N(Settings!$C$25),N($AK174))))</f>
        <v/>
      </c>
      <c r="AL175">
        <f>IF(OR(Settings!$A$26="",$E175="pre"),"",IF(AND('Month-End'!$FP$14&lt;&gt;"",NOT(_xlfn.ISFORMULA('Month-End'!$FP$14))),N('Month-End'!$FP$14),IF(OR($E175="open",$E174="pre"),N(Settings!$C$26),N($AL174))))</f>
        <v/>
      </c>
      <c r="AM175">
        <f>IF(OR(Settings!$A$27="",$E175="pre"),"",IF(AND('Month-End'!$FP$15&lt;&gt;"",NOT(_xlfn.ISFORMULA('Month-End'!$FP$15))),N('Month-End'!$FP$15),IF(OR($E175="open",$E174="pre"),N(Settings!$C$27),N($AM174))))</f>
        <v/>
      </c>
      <c r="AN175">
        <f>IF(OR(Settings!$A$28="",$E175="pre"),"",IF(AND('Month-End'!$FP$16&lt;&gt;"",NOT(_xlfn.ISFORMULA('Month-End'!$FP$16))),N('Month-End'!$FP$16),IF(OR($E175="open",$E174="pre"),N(Settings!$C$28),N($AN174))))</f>
        <v/>
      </c>
      <c r="AO175">
        <f>IF(OR(Settings!$A$29="",$E175="pre"),"",IF(AND('Month-End'!$FP$17&lt;&gt;"",NOT(_xlfn.ISFORMULA('Month-End'!$FP$17))),N('Month-End'!$FP$17),IF(OR($E175="open",$E174="pre"),N(Settings!$C$29),N($AO174))))</f>
        <v/>
      </c>
      <c r="AP175">
        <f>IF(OR(Settings!$A$30="",$E175="pre"),"",IF(AND('Month-End'!$FP$18&lt;&gt;"",NOT(_xlfn.ISFORMULA('Month-End'!$FP$18))),N('Month-End'!$FP$18),IF(OR($E175="open",$E174="pre"),N(Settings!$C$30),N($AP174))))</f>
        <v/>
      </c>
      <c r="AQ175">
        <f>IF(OR(Settings!$A$31="",$E175="pre"),"",IF(AND('Month-End'!$FP$19&lt;&gt;"",NOT(_xlfn.ISFORMULA('Month-End'!$FP$19))),N('Month-End'!$FP$19),IF(OR($E175="open",$E174="pre"),N(Settings!$C$31),N($AQ174))))</f>
        <v/>
      </c>
      <c r="AR175">
        <f>IF(OR(Settings!$A$32="",$E175="pre"),"",IF(AND('Month-End'!$FP$20&lt;&gt;"",NOT(_xlfn.ISFORMULA('Month-End'!$FP$20))),N('Month-End'!$FP$20),IF(OR($E175="open",$E174="pre"),N(Settings!$C$32),N($AR174))))</f>
        <v/>
      </c>
      <c r="AS175">
        <f>IF(OR(Settings!$A$36="",$E175="pre"),"",IF(AND('Month-End'!$FP$38&lt;&gt;"",NOT(_xlfn.ISFORMULA('Month-End'!$FP$38))),N('Month-End'!$FP$38),IF(OR($E175="open",$E174="pre"),N(Settings!$C$36),N($AS174))+$AY175))</f>
        <v/>
      </c>
      <c r="AT175">
        <f>IF(OR(Settings!$A$37="",$E175="pre"),"",IF(AND('Month-End'!$FP$39&lt;&gt;"",NOT(_xlfn.ISFORMULA('Month-End'!$FP$39))),N('Month-End'!$FP$39),IF(OR($E175="open",$E174="pre"),N(Settings!$C$37),N($AT174))+$AZ175))</f>
        <v/>
      </c>
      <c r="AU175">
        <f>IF(OR(Settings!$A$38="",$E175="pre"),"",IF(AND('Month-End'!$FP$40&lt;&gt;"",NOT(_xlfn.ISFORMULA('Month-End'!$FP$40))),N('Month-End'!$FP$40),IF(OR($E175="open",$E174="pre"),N(Settings!$C$38),N($AU174))+$BA175))</f>
        <v/>
      </c>
      <c r="AV175">
        <f>IF(OR(Settings!$A$39="",$E175="pre"),"",IF(AND('Month-End'!$FP$41&lt;&gt;"",NOT(_xlfn.ISFORMULA('Month-End'!$FP$41))),N('Month-End'!$FP$41),IF(OR($E175="open",$E174="pre"),N(Settings!$C$39),N($AV174))+$BB175))</f>
        <v/>
      </c>
      <c r="AW175">
        <f>IF(OR(Settings!$A$40="",$E175="pre"),"",IF(AND('Month-End'!$FP$42&lt;&gt;"",NOT(_xlfn.ISFORMULA('Month-End'!$FP$42))),N('Month-End'!$FP$42),IF(OR($E175="open",$E174="pre"),N(Settings!$C$40),N($AW174))+$BC175))</f>
        <v/>
      </c>
      <c r="AX175">
        <f>IF(OR(Settings!$A$41="",$E175="pre"),"",IF(AND('Month-End'!$FP$43&lt;&gt;"",NOT(_xlfn.ISFORMULA('Month-End'!$FP$43))),N('Month-End'!$FP$43),IF(OR($E175="open",$E174="pre"),N(Settings!$C$41),N($AX174))+$BD175))</f>
        <v/>
      </c>
      <c r="AY175">
        <f>IF($E175="pre",0,N('Month-End'!$FP$45))</f>
        <v/>
      </c>
      <c r="AZ175">
        <f>IF($E175="pre",0,N('Month-End'!$FP$46))</f>
        <v/>
      </c>
      <c r="BA175">
        <f>IF($E175="pre",0,N('Month-End'!$FP$47))</f>
        <v/>
      </c>
      <c r="BB175">
        <f>IF($E175="pre",0,N('Month-End'!$FP$48))</f>
        <v/>
      </c>
      <c r="BC175">
        <f>IF($E175="pre",0,N('Month-End'!$FP$49))</f>
        <v/>
      </c>
      <c r="BD175">
        <f>IF($E175="pre",0,N('Month-End'!$FP$50))</f>
        <v/>
      </c>
      <c r="BE175">
        <f>IF(OR(Settings!$C$45="",Settings!$D$45=""),0,Settings!$C$45*IF(Settings!$D$45="Weekly",IF(IFERROR(MATCH(Settings!$E$45,$EO$4:$EO$10,0),0)=0,0,IF(MIN($C175,IF(Settings!$G$45="",$C175,Settings!$G$45))&lt;MAX($A175,Settings!$F$45),0,INT((MIN($C175,IF(Settings!$G$45="",$C175,Settings!$G$45))-MAX($A175,Settings!$F$45)-MOD(IFERROR(MATCH(Settings!$E$45,$EO$4:$EO$10,0),0)-WEEKDAY(MAX($A175,Settings!$F$45)),7))/7)+1)),IF(AND(IF(Settings!$E$45="",$B175,DATE(YEAR($A175),MONTH($A175),MIN(Settings!$E$45,DAY($B175))))&gt;=MAX($A175,Settings!$F$45),IF(Settings!$E$45="",$B175,DATE(YEAR($A175),MONTH($A175),MIN(Settings!$E$45,DAY($B175))))&lt;=MIN($C175,IF(Settings!$G$45="",$C175,Settings!$G$45))),1,0)))</f>
        <v/>
      </c>
      <c r="BF175">
        <f>IF(OR(Settings!$C$46="",Settings!$D$46=""),0,Settings!$C$46*IF(Settings!$D$46="Weekly",IF(IFERROR(MATCH(Settings!$E$46,$EO$4:$EO$10,0),0)=0,0,IF(MIN($C175,IF(Settings!$G$46="",$C175,Settings!$G$46))&lt;MAX($A175,Settings!$F$46),0,INT((MIN($C175,IF(Settings!$G$46="",$C175,Settings!$G$46))-MAX($A175,Settings!$F$46)-MOD(IFERROR(MATCH(Settings!$E$46,$EO$4:$EO$10,0),0)-WEEKDAY(MAX($A175,Settings!$F$46)),7))/7)+1)),IF(AND(IF(Settings!$E$46="",$B175,DATE(YEAR($A175),MONTH($A175),MIN(Settings!$E$46,DAY($B175))))&gt;=MAX($A175,Settings!$F$46),IF(Settings!$E$46="",$B175,DATE(YEAR($A175),MONTH($A175),MIN(Settings!$E$46,DAY($B175))))&lt;=MIN($C175,IF(Settings!$G$46="",$C175,Settings!$G$46))),1,0)))</f>
        <v/>
      </c>
      <c r="BG175">
        <f>IF(OR(Settings!$C$47="",Settings!$D$47=""),0,Settings!$C$47*IF(Settings!$D$47="Weekly",IF(IFERROR(MATCH(Settings!$E$47,$EO$4:$EO$10,0),0)=0,0,IF(MIN($C175,IF(Settings!$G$47="",$C175,Settings!$G$47))&lt;MAX($A175,Settings!$F$47),0,INT((MIN($C175,IF(Settings!$G$47="",$C175,Settings!$G$47))-MAX($A175,Settings!$F$47)-MOD(IFERROR(MATCH(Settings!$E$47,$EO$4:$EO$10,0),0)-WEEKDAY(MAX($A175,Settings!$F$47)),7))/7)+1)),IF(AND(IF(Settings!$E$47="",$B175,DATE(YEAR($A175),MONTH($A175),MIN(Settings!$E$47,DAY($B175))))&gt;=MAX($A175,Settings!$F$47),IF(Settings!$E$47="",$B175,DATE(YEAR($A175),MONTH($A175),MIN(Settings!$E$47,DAY($B175))))&lt;=MIN($C175,IF(Settings!$G$47="",$C175,Settings!$G$47))),1,0)))</f>
        <v/>
      </c>
      <c r="BH175">
        <f>IF(OR(Settings!$C$48="",Settings!$D$48=""),0,Settings!$C$48*IF(Settings!$D$48="Weekly",IF(IFERROR(MATCH(Settings!$E$48,$EO$4:$EO$10,0),0)=0,0,IF(MIN($C175,IF(Settings!$G$48="",$C175,Settings!$G$48))&lt;MAX($A175,Settings!$F$48),0,INT((MIN($C175,IF(Settings!$G$48="",$C175,Settings!$G$48))-MAX($A175,Settings!$F$48)-MOD(IFERROR(MATCH(Settings!$E$48,$EO$4:$EO$10,0),0)-WEEKDAY(MAX($A175,Settings!$F$48)),7))/7)+1)),IF(AND(IF(Settings!$E$48="",$B175,DATE(YEAR($A175),MONTH($A175),MIN(Settings!$E$48,DAY($B175))))&gt;=MAX($A175,Settings!$F$48),IF(Settings!$E$48="",$B175,DATE(YEAR($A175),MONTH($A175),MIN(Settings!$E$48,DAY($B175))))&lt;=MIN($C175,IF(Settings!$G$48="",$C175,Settings!$G$48))),1,0)))</f>
        <v/>
      </c>
      <c r="BI175">
        <f>IF(OR(Settings!$C$49="",Settings!$D$49=""),0,Settings!$C$49*IF(Settings!$D$49="Weekly",IF(IFERROR(MATCH(Settings!$E$49,$EO$4:$EO$10,0),0)=0,0,IF(MIN($C175,IF(Settings!$G$49="",$C175,Settings!$G$49))&lt;MAX($A175,Settings!$F$49),0,INT((MIN($C175,IF(Settings!$G$49="",$C175,Settings!$G$49))-MAX($A175,Settings!$F$49)-MOD(IFERROR(MATCH(Settings!$E$49,$EO$4:$EO$10,0),0)-WEEKDAY(MAX($A175,Settings!$F$49)),7))/7)+1)),IF(AND(IF(Settings!$E$49="",$B175,DATE(YEAR($A175),MONTH($A175),MIN(Settings!$E$49,DAY($B175))))&gt;=MAX($A175,Settings!$F$49),IF(Settings!$E$49="",$B175,DATE(YEAR($A175),MONTH($A175),MIN(Settings!$E$49,DAY($B175))))&lt;=MIN($C175,IF(Settings!$G$49="",$C175,Settings!$G$49))),1,0)))</f>
        <v/>
      </c>
      <c r="BJ175">
        <f>IF(OR(Settings!$C$50="",Settings!$D$50=""),0,Settings!$C$50*IF(Settings!$D$50="Weekly",IF(IFERROR(MATCH(Settings!$E$50,$EO$4:$EO$10,0),0)=0,0,IF(MIN($C175,IF(Settings!$G$50="",$C175,Settings!$G$50))&lt;MAX($A175,Settings!$F$50),0,INT((MIN($C175,IF(Settings!$G$50="",$C175,Settings!$G$50))-MAX($A175,Settings!$F$50)-MOD(IFERROR(MATCH(Settings!$E$50,$EO$4:$EO$10,0),0)-WEEKDAY(MAX($A175,Settings!$F$50)),7))/7)+1)),IF(AND(IF(Settings!$E$50="",$B175,DATE(YEAR($A175),MONTH($A175),MIN(Settings!$E$50,DAY($B175))))&gt;=MAX($A175,Settings!$F$50),IF(Settings!$E$50="",$B175,DATE(YEAR($A175),MONTH($A175),MIN(Settings!$E$50,DAY($B175))))&lt;=MIN($C175,IF(Settings!$G$50="",$C175,Settings!$G$50))),1,0)))</f>
        <v/>
      </c>
      <c r="BK175">
        <f>IF(OR(Settings!$C$51="",Settings!$D$51=""),0,Settings!$C$51*IF(Settings!$D$51="Weekly",IF(IFERROR(MATCH(Settings!$E$51,$EO$4:$EO$10,0),0)=0,0,IF(MIN($C175,IF(Settings!$G$51="",$C175,Settings!$G$51))&lt;MAX($A175,Settings!$F$51),0,INT((MIN($C175,IF(Settings!$G$51="",$C175,Settings!$G$51))-MAX($A175,Settings!$F$51)-MOD(IFERROR(MATCH(Settings!$E$51,$EO$4:$EO$10,0),0)-WEEKDAY(MAX($A175,Settings!$F$51)),7))/7)+1)),IF(AND(IF(Settings!$E$51="",$B175,DATE(YEAR($A175),MONTH($A175),MIN(Settings!$E$51,DAY($B175))))&gt;=MAX($A175,Settings!$F$51),IF(Settings!$E$51="",$B175,DATE(YEAR($A175),MONTH($A175),MIN(Settings!$E$51,DAY($B175))))&lt;=MIN($C175,IF(Settings!$G$51="",$C175,Settings!$G$51))),1,0)))</f>
        <v/>
      </c>
      <c r="BL175">
        <f>IF(OR(Settings!$C$52="",Settings!$D$52=""),0,Settings!$C$52*IF(Settings!$D$52="Weekly",IF(IFERROR(MATCH(Settings!$E$52,$EO$4:$EO$10,0),0)=0,0,IF(MIN($C175,IF(Settings!$G$52="",$C175,Settings!$G$52))&lt;MAX($A175,Settings!$F$52),0,INT((MIN($C175,IF(Settings!$G$52="",$C175,Settings!$G$52))-MAX($A175,Settings!$F$52)-MOD(IFERROR(MATCH(Settings!$E$52,$EO$4:$EO$10,0),0)-WEEKDAY(MAX($A175,Settings!$F$52)),7))/7)+1)),IF(AND(IF(Settings!$E$52="",$B175,DATE(YEAR($A175),MONTH($A175),MIN(Settings!$E$52,DAY($B175))))&gt;=MAX($A175,Settings!$F$52),IF(Settings!$E$52="",$B175,DATE(YEAR($A175),MONTH($A175),MIN(Settings!$E$52,DAY($B175))))&lt;=MIN($C175,IF(Settings!$G$52="",$C175,Settings!$G$52))),1,0)))</f>
        <v/>
      </c>
      <c r="BM175">
        <f>IF(OR(Settings!$C$53="",Settings!$D$53=""),0,Settings!$C$53*IF(Settings!$D$53="Weekly",IF(IFERROR(MATCH(Settings!$E$53,$EO$4:$EO$10,0),0)=0,0,IF(MIN($C175,IF(Settings!$G$53="",$C175,Settings!$G$53))&lt;MAX($A175,Settings!$F$53),0,INT((MIN($C175,IF(Settings!$G$53="",$C175,Settings!$G$53))-MAX($A175,Settings!$F$53)-MOD(IFERROR(MATCH(Settings!$E$53,$EO$4:$EO$10,0),0)-WEEKDAY(MAX($A175,Settings!$F$53)),7))/7)+1)),IF(AND(IF(Settings!$E$53="",$B175,DATE(YEAR($A175),MONTH($A175),MIN(Settings!$E$53,DAY($B175))))&gt;=MAX($A175,Settings!$F$53),IF(Settings!$E$53="",$B175,DATE(YEAR($A175),MONTH($A175),MIN(Settings!$E$53,DAY($B175))))&lt;=MIN($C175,IF(Settings!$G$53="",$C175,Settings!$G$53))),1,0)))</f>
        <v/>
      </c>
      <c r="BN175">
        <f>IF(OR(Settings!$C$54="",Settings!$D$54=""),0,Settings!$C$54*IF(Settings!$D$54="Weekly",IF(IFERROR(MATCH(Settings!$E$54,$EO$4:$EO$10,0),0)=0,0,IF(MIN($C175,IF(Settings!$G$54="",$C175,Settings!$G$54))&lt;MAX($A175,Settings!$F$54),0,INT((MIN($C175,IF(Settings!$G$54="",$C175,Settings!$G$54))-MAX($A175,Settings!$F$54)-MOD(IFERROR(MATCH(Settings!$E$54,$EO$4:$EO$10,0),0)-WEEKDAY(MAX($A175,Settings!$F$54)),7))/7)+1)),IF(AND(IF(Settings!$E$54="",$B175,DATE(YEAR($A175),MONTH($A175),MIN(Settings!$E$54,DAY($B175))))&gt;=MAX($A175,Settings!$F$54),IF(Settings!$E$54="",$B175,DATE(YEAR($A175),MONTH($A175),MIN(Settings!$E$54,DAY($B175))))&lt;=MIN($C175,IF(Settings!$G$54="",$C175,Settings!$G$54))),1,0)))</f>
        <v/>
      </c>
      <c r="BO175">
        <f>IF(OR(Settings!$C$55="",Settings!$D$55=""),0,Settings!$C$55*IF(Settings!$D$55="Weekly",IF(IFERROR(MATCH(Settings!$E$55,$EO$4:$EO$10,0),0)=0,0,IF(MIN($C175,IF(Settings!$G$55="",$C175,Settings!$G$55))&lt;MAX($A175,Settings!$F$55),0,INT((MIN($C175,IF(Settings!$G$55="",$C175,Settings!$G$55))-MAX($A175,Settings!$F$55)-MOD(IFERROR(MATCH(Settings!$E$55,$EO$4:$EO$10,0),0)-WEEKDAY(MAX($A175,Settings!$F$55)),7))/7)+1)),IF(AND(IF(Settings!$E$55="",$B175,DATE(YEAR($A175),MONTH($A175),MIN(Settings!$E$55,DAY($B175))))&gt;=MAX($A175,Settings!$F$55),IF(Settings!$E$55="",$B175,DATE(YEAR($A175),MONTH($A175),MIN(Settings!$E$55,DAY($B175))))&lt;=MIN($C175,IF(Settings!$G$55="",$C175,Settings!$G$55))),1,0)))</f>
        <v/>
      </c>
      <c r="BP175">
        <f>IF(OR(Settings!$C$56="",Settings!$D$56=""),0,Settings!$C$56*IF(Settings!$D$56="Weekly",IF(IFERROR(MATCH(Settings!$E$56,$EO$4:$EO$10,0),0)=0,0,IF(MIN($C175,IF(Settings!$G$56="",$C175,Settings!$G$56))&lt;MAX($A175,Settings!$F$56),0,INT((MIN($C175,IF(Settings!$G$56="",$C175,Settings!$G$56))-MAX($A175,Settings!$F$56)-MOD(IFERROR(MATCH(Settings!$E$56,$EO$4:$EO$10,0),0)-WEEKDAY(MAX($A175,Settings!$F$56)),7))/7)+1)),IF(AND(IF(Settings!$E$56="",$B175,DATE(YEAR($A175),MONTH($A175),MIN(Settings!$E$56,DAY($B175))))&gt;=MAX($A175,Settings!$F$56),IF(Settings!$E$56="",$B175,DATE(YEAR($A175),MONTH($A175),MIN(Settings!$E$56,DAY($B175))))&lt;=MIN($C175,IF(Settings!$G$56="",$C175,Settings!$G$56))),1,0)))</f>
        <v/>
      </c>
      <c r="BQ175">
        <f>IF(OR(Settings!$B$14="",$D175=1,$E175="pre",$A175&lt;IF(Settings!$B$15="",0,Settings!$B$15)),0,Settings!$B$14)</f>
        <v/>
      </c>
      <c r="BR175">
        <f>IF(AND('Month-End'!$FP$7&lt;&gt;"",NOT(_xlfn.ISFORMULA('Month-End'!$FP$7))),1,0)</f>
        <v/>
      </c>
      <c r="BS175">
        <f>IF(AND('Month-End'!$FP$8&lt;&gt;"",NOT(_xlfn.ISFORMULA('Month-End'!$FP$8))),1,0)</f>
        <v/>
      </c>
      <c r="BT175">
        <f>IF(AND('Month-End'!$FP$9&lt;&gt;"",NOT(_xlfn.ISFORMULA('Month-End'!$FP$9))),1,0)</f>
        <v/>
      </c>
      <c r="BU175">
        <f>IF(AND('Month-End'!$FP$10&lt;&gt;"",NOT(_xlfn.ISFORMULA('Month-End'!$FP$10))),1,0)</f>
        <v/>
      </c>
      <c r="BV175">
        <f>IF(AND('Month-End'!$FP$11&lt;&gt;"",NOT(_xlfn.ISFORMULA('Month-End'!$FP$11))),1,0)</f>
        <v/>
      </c>
      <c r="BW175">
        <f>IF(AND('Month-End'!$FP$12&lt;&gt;"",NOT(_xlfn.ISFORMULA('Month-End'!$FP$12))),1,0)</f>
        <v/>
      </c>
      <c r="BX175">
        <f>IF(AND('Month-End'!$FP$13&lt;&gt;"",NOT(_xlfn.ISFORMULA('Month-End'!$FP$13))),1,0)</f>
        <v/>
      </c>
      <c r="BY175">
        <f>IF(AND('Month-End'!$FP$14&lt;&gt;"",NOT(_xlfn.ISFORMULA('Month-End'!$FP$14))),1,0)</f>
        <v/>
      </c>
      <c r="BZ175">
        <f>IF(AND('Month-End'!$FP$15&lt;&gt;"",NOT(_xlfn.ISFORMULA('Month-End'!$FP$15))),1,0)</f>
        <v/>
      </c>
      <c r="CA175">
        <f>IF(AND('Month-End'!$FP$16&lt;&gt;"",NOT(_xlfn.ISFORMULA('Month-End'!$FP$16))),1,0)</f>
        <v/>
      </c>
      <c r="CB175">
        <f>IF(AND('Month-End'!$FP$17&lt;&gt;"",NOT(_xlfn.ISFORMULA('Month-End'!$FP$17))),1,0)</f>
        <v/>
      </c>
      <c r="CC175">
        <f>IF(AND('Month-End'!$FP$18&lt;&gt;"",NOT(_xlfn.ISFORMULA('Month-End'!$FP$18))),1,0)</f>
        <v/>
      </c>
      <c r="CD175">
        <f>IF(AND('Month-End'!$FP$19&lt;&gt;"",NOT(_xlfn.ISFORMULA('Month-End'!$FP$19))),1,0)</f>
        <v/>
      </c>
      <c r="CE175">
        <f>IF(AND('Month-End'!$FP$20&lt;&gt;"",NOT(_xlfn.ISFORMULA('Month-End'!$FP$20))),1,0)</f>
        <v/>
      </c>
      <c r="CF175">
        <f>IF(AND('Month-End'!$FP$38&lt;&gt;"",NOT(_xlfn.ISFORMULA('Month-End'!$FP$38))),1,0)</f>
        <v/>
      </c>
      <c r="CG175">
        <f>IF(AND('Month-End'!$FP$39&lt;&gt;"",NOT(_xlfn.ISFORMULA('Month-End'!$FP$39))),1,0)</f>
        <v/>
      </c>
      <c r="CH175">
        <f>IF(AND('Month-End'!$FP$40&lt;&gt;"",NOT(_xlfn.ISFORMULA('Month-End'!$FP$40))),1,0)</f>
        <v/>
      </c>
      <c r="CI175">
        <f>IF(AND('Month-End'!$FP$41&lt;&gt;"",NOT(_xlfn.ISFORMULA('Month-End'!$FP$41))),1,0)</f>
        <v/>
      </c>
      <c r="CJ175">
        <f>IF(AND('Month-End'!$FP$42&lt;&gt;"",NOT(_xlfn.ISFORMULA('Month-End'!$FP$42))),1,0)</f>
        <v/>
      </c>
      <c r="CK175">
        <f>IF(AND('Month-End'!$FP$43&lt;&gt;"",NOT(_xlfn.ISFORMULA('Month-End'!$FP$43))),1,0)</f>
        <v/>
      </c>
      <c r="CL175">
        <f>SUM($CM175:$CZ175)</f>
        <v/>
      </c>
      <c r="CM175">
        <f>IF(AND($E175&lt;&gt;"pre",AND(Settings!$A$19&lt;&gt;"",Settings!$E$19&lt;&gt;"No"),Settings!$F$19="Yes",NOT(AND('Month-End'!$FP$7&lt;&gt;"",NOT(_xlfn.ISFORMULA('Month-End'!$FP$7))))),1,0)</f>
        <v/>
      </c>
      <c r="CN175">
        <f>IF(AND($E175&lt;&gt;"pre",AND(Settings!$A$20&lt;&gt;"",Settings!$E$20&lt;&gt;"No"),Settings!$F$20="Yes",NOT(AND('Month-End'!$FP$8&lt;&gt;"",NOT(_xlfn.ISFORMULA('Month-End'!$FP$8))))),1,0)</f>
        <v/>
      </c>
      <c r="CO175">
        <f>IF(AND($E175&lt;&gt;"pre",AND(Settings!$A$21&lt;&gt;"",Settings!$E$21&lt;&gt;"No"),Settings!$F$21="Yes",NOT(AND('Month-End'!$FP$9&lt;&gt;"",NOT(_xlfn.ISFORMULA('Month-End'!$FP$9))))),1,0)</f>
        <v/>
      </c>
      <c r="CP175">
        <f>IF(AND($E175&lt;&gt;"pre",AND(Settings!$A$22&lt;&gt;"",Settings!$E$22&lt;&gt;"No"),Settings!$F$22="Yes",NOT(AND('Month-End'!$FP$10&lt;&gt;"",NOT(_xlfn.ISFORMULA('Month-End'!$FP$10))))),1,0)</f>
        <v/>
      </c>
      <c r="CQ175">
        <f>IF(AND($E175&lt;&gt;"pre",AND(Settings!$A$23&lt;&gt;"",Settings!$E$23&lt;&gt;"No"),Settings!$F$23="Yes",NOT(AND('Month-End'!$FP$11&lt;&gt;"",NOT(_xlfn.ISFORMULA('Month-End'!$FP$11))))),1,0)</f>
        <v/>
      </c>
      <c r="CR175">
        <f>IF(AND($E175&lt;&gt;"pre",AND(Settings!$A$24&lt;&gt;"",Settings!$E$24&lt;&gt;"No"),Settings!$F$24="Yes",NOT(AND('Month-End'!$FP$12&lt;&gt;"",NOT(_xlfn.ISFORMULA('Month-End'!$FP$12))))),1,0)</f>
        <v/>
      </c>
      <c r="CS175">
        <f>IF(AND($E175&lt;&gt;"pre",AND(Settings!$A$25&lt;&gt;"",Settings!$E$25&lt;&gt;"No"),Settings!$F$25="Yes",NOT(AND('Month-End'!$FP$13&lt;&gt;"",NOT(_xlfn.ISFORMULA('Month-End'!$FP$13))))),1,0)</f>
        <v/>
      </c>
      <c r="CT175">
        <f>IF(AND($E175&lt;&gt;"pre",AND(Settings!$A$26&lt;&gt;"",Settings!$E$26&lt;&gt;"No"),Settings!$F$26="Yes",NOT(AND('Month-End'!$FP$14&lt;&gt;"",NOT(_xlfn.ISFORMULA('Month-End'!$FP$14))))),1,0)</f>
        <v/>
      </c>
      <c r="CU175">
        <f>IF(AND($E175&lt;&gt;"pre",AND(Settings!$A$27&lt;&gt;"",Settings!$E$27&lt;&gt;"No"),Settings!$F$27="Yes",NOT(AND('Month-End'!$FP$15&lt;&gt;"",NOT(_xlfn.ISFORMULA('Month-End'!$FP$15))))),1,0)</f>
        <v/>
      </c>
      <c r="CV175">
        <f>IF(AND($E175&lt;&gt;"pre",AND(Settings!$A$28&lt;&gt;"",Settings!$E$28&lt;&gt;"No"),Settings!$F$28="Yes",NOT(AND('Month-End'!$FP$16&lt;&gt;"",NOT(_xlfn.ISFORMULA('Month-End'!$FP$16))))),1,0)</f>
        <v/>
      </c>
      <c r="CW175">
        <f>IF(AND($E175&lt;&gt;"pre",AND(Settings!$A$29&lt;&gt;"",Settings!$E$29&lt;&gt;"No"),Settings!$F$29="Yes",NOT(AND('Month-End'!$FP$17&lt;&gt;"",NOT(_xlfn.ISFORMULA('Month-End'!$FP$17))))),1,0)</f>
        <v/>
      </c>
      <c r="CX175">
        <f>IF(AND($E175&lt;&gt;"pre",AND(Settings!$A$30&lt;&gt;"",Settings!$E$30&lt;&gt;"No"),Settings!$F$30="Yes",NOT(AND('Month-End'!$FP$18&lt;&gt;"",NOT(_xlfn.ISFORMULA('Month-End'!$FP$18))))),1,0)</f>
        <v/>
      </c>
      <c r="CY175">
        <f>IF(AND($E175&lt;&gt;"pre",AND(Settings!$A$31&lt;&gt;"",Settings!$E$31&lt;&gt;"No"),Settings!$F$31="Yes",NOT(AND('Month-End'!$FP$19&lt;&gt;"",NOT(_xlfn.ISFORMULA('Month-End'!$FP$19))))),1,0)</f>
        <v/>
      </c>
      <c r="CZ175">
        <f>IF(AND($E175&lt;&gt;"pre",AND(Settings!$A$32&lt;&gt;"",Settings!$E$32&lt;&gt;"No"),Settings!$F$32="Yes",NOT(AND('Month-End'!$FP$20&lt;&gt;"",NOT(_xlfn.ISFORMULA('Month-End'!$FP$20))))),1,0)</f>
        <v/>
      </c>
      <c r="DA175">
        <f>IF($DT175=1,IF(OR(Settings!$B$19="Checking",Settings!$B$19="Savings",Settings!$B$19="Cash"),N($AE175),IF(OR(Settings!$B$19="Card",Settings!$B$19="Loan"),-N($AE175),0))+IF(OR(Settings!$B$20="Checking",Settings!$B$20="Savings",Settings!$B$20="Cash"),N($AF175),IF(OR(Settings!$B$20="Card",Settings!$B$20="Loan"),-N($AF175),0))+IF(OR(Settings!$B$21="Checking",Settings!$B$21="Savings",Settings!$B$21="Cash"),N($AG175),IF(OR(Settings!$B$21="Card",Settings!$B$21="Loan"),-N($AG175),0))+IF(OR(Settings!$B$22="Checking",Settings!$B$22="Savings",Settings!$B$22="Cash"),N($AH175),IF(OR(Settings!$B$22="Card",Settings!$B$22="Loan"),-N($AH175),0))+IF(OR(Settings!$B$23="Checking",Settings!$B$23="Savings",Settings!$B$23="Cash"),N($AI175),IF(OR(Settings!$B$23="Card",Settings!$B$23="Loan"),-N($AI175),0))+IF(OR(Settings!$B$24="Checking",Settings!$B$24="Savings",Settings!$B$24="Cash"),N($AJ175),IF(OR(Settings!$B$24="Card",Settings!$B$24="Loan"),-N($AJ175),0))+IF(OR(Settings!$B$25="Checking",Settings!$B$25="Savings",Settings!$B$25="Cash"),N($AK175),IF(OR(Settings!$B$25="Card",Settings!$B$25="Loan"),-N($AK175),0))+IF(OR(Settings!$B$26="Checking",Settings!$B$26="Savings",Settings!$B$26="Cash"),N($AL175),IF(OR(Settings!$B$26="Card",Settings!$B$26="Loan"),-N($AL175),0))+IF(OR(Settings!$B$27="Checking",Settings!$B$27="Savings",Settings!$B$27="Cash"),N($AM175),IF(OR(Settings!$B$27="Card",Settings!$B$27="Loan"),-N($AM175),0))+IF(OR(Settings!$B$28="Checking",Settings!$B$28="Savings",Settings!$B$28="Cash"),N($AN175),IF(OR(Settings!$B$28="Card",Settings!$B$28="Loan"),-N($AN175),0))+IF(OR(Settings!$B$29="Checking",Settings!$B$29="Savings",Settings!$B$29="Cash"),N($AO175),IF(OR(Settings!$B$29="Card",Settings!$B$29="Loan"),-N($AO175),0))+IF(OR(Settings!$B$30="Checking",Settings!$B$30="Savings",Settings!$B$30="Cash"),N($AP175),IF(OR(Settings!$B$30="Card",Settings!$B$30="Loan"),-N($AP175),0))+IF(OR(Settings!$B$31="Checking",Settings!$B$31="Savings",Settings!$B$31="Cash"),N($AQ175),IF(OR(Settings!$B$31="Card",Settings!$B$31="Loan"),-N($AQ175),0))+IF(OR(Settings!$B$32="Checking",Settings!$B$32="Savings",Settings!$B$32="Cash"),N($AR175),IF(OR(Settings!$B$32="Card",Settings!$B$32="Loan"),-N($AR175),0)),"")</f>
        <v/>
      </c>
      <c r="DB175">
        <f>IF($E175="open",$EB$27,IF($E175="post",IF($E174="pre",$EB$27,$DA174),""))</f>
        <v/>
      </c>
      <c r="DC175">
        <f>IF($E175="open",1,IF($E175="post",IF($E174="pre",1,$DT174),0))</f>
        <v/>
      </c>
      <c r="DD175">
        <f>IF(AND($DT175=1,$DC175=1),ROUND($W175-($DA175-$DB175)-$AD175-$AB175,2),"")</f>
        <v/>
      </c>
      <c r="DE175">
        <f>IF('Month-End'!$FP$35="",$BQ175,N('Month-End'!$FP$35))</f>
        <v/>
      </c>
      <c r="DF175">
        <f>N('Month-End'!$FP$36)</f>
        <v/>
      </c>
      <c r="DG175">
        <f>IF($DD175="","",$DD175+$DE175)</f>
        <v/>
      </c>
      <c r="DH175">
        <f>IF($DG175="","",$DG175-$DF175)</f>
        <v/>
      </c>
      <c r="DI175">
        <f>IF(OR($E175="pre",$D175=1),"",N($AS175)+N($AT175)+N($AU175)+N($AV175)+N($AW175)+N($AX175))</f>
        <v/>
      </c>
      <c r="DJ175">
        <f>IF($DT175=1,$DA175+N($DI175),"")</f>
        <v/>
      </c>
      <c r="DK175">
        <f>IF($DD175="","",$W175-$DD175-$AB175)</f>
        <v/>
      </c>
      <c r="DL175">
        <f>IF(AND($E175="post",$DD175&lt;&gt;"",$B175&lt;TODAY()),1,0)</f>
        <v/>
      </c>
      <c r="DM175">
        <f>IF($DL175=1,COUNTIF($DL175:$DL$183,1),0)</f>
        <v/>
      </c>
      <c r="DN175">
        <f>IF($D175=1,"",IF($E175="pre","History only",IF($DT175=1,IF($DD175="","⚠ Previous month missing",IF($DD175&lt;0,"⚠ Check: spending &lt; 0",IF($E175="open","✓ Done (partial)","✓ Done"))),IF($B175&gt;=TODAY(),"In progress","⚠ Needs balances"))))</f>
        <v/>
      </c>
      <c r="DO175">
        <f>YEAR($A175)</f>
        <v/>
      </c>
      <c r="DP175">
        <f>DATE(YEAR($A175),INT((MONTH($A175)-1)/3)*3+1,1)</f>
        <v/>
      </c>
      <c r="DQ175">
        <f>IF(AND($DT175=1,$DD175&lt;&gt;"",$D175=0),ROW(),0)</f>
        <v/>
      </c>
      <c r="DR175">
        <f>IF(AND($E175&lt;&gt;"pre",$B175&lt;TODAY(),$DT175=0),1,0)</f>
        <v/>
      </c>
      <c r="DS175">
        <f>IF($DJ175="",NA(),$DJ175)</f>
        <v/>
      </c>
      <c r="DT175">
        <f>IF(AND($E175&lt;&gt;"pre",$CL175=0,COUNTIFS(Settings!$F$19:$F$32,"Yes",Settings!$A$19:$A$32,"&lt;&gt;",Settings!$E$19:$E$32,"&lt;&gt;No")&gt;0),1,0)</f>
        <v/>
      </c>
      <c r="DU175">
        <f>IF(AND($B175&lt;TODAY(),$S175&gt;0),1,0)</f>
        <v/>
      </c>
      <c r="DV175">
        <f>IF($DU175=1,COUNTIF($DU175:$DU$183,1),0)</f>
        <v/>
      </c>
      <c r="DW175">
        <f>IF(AND(OR(Settings!$B$19="Card",Settings!$B$19="Loan"),AND('Month-End'!$FP$7&lt;&gt;"",NOT(_xlfn.ISFORMULA('Month-End'!$FP$7)))),IF(N('Month-End'!$FP$7)&lt;0,1,0),0)+IF(AND(OR(Settings!$B$20="Card",Settings!$B$20="Loan"),AND('Month-End'!$FP$8&lt;&gt;"",NOT(_xlfn.ISFORMULA('Month-End'!$FP$8)))),IF(N('Month-End'!$FP$8)&lt;0,1,0),0)+IF(AND(OR(Settings!$B$21="Card",Settings!$B$21="Loan"),AND('Month-End'!$FP$9&lt;&gt;"",NOT(_xlfn.ISFORMULA('Month-End'!$FP$9)))),IF(N('Month-End'!$FP$9)&lt;0,1,0),0)+IF(AND(OR(Settings!$B$22="Card",Settings!$B$22="Loan"),AND('Month-End'!$FP$10&lt;&gt;"",NOT(_xlfn.ISFORMULA('Month-End'!$FP$10)))),IF(N('Month-End'!$FP$10)&lt;0,1,0),0)+IF(AND(OR(Settings!$B$23="Card",Settings!$B$23="Loan"),AND('Month-End'!$FP$11&lt;&gt;"",NOT(_xlfn.ISFORMULA('Month-End'!$FP$11)))),IF(N('Month-End'!$FP$11)&lt;0,1,0),0)+IF(AND(OR(Settings!$B$24="Card",Settings!$B$24="Loan"),AND('Month-End'!$FP$12&lt;&gt;"",NOT(_xlfn.ISFORMULA('Month-End'!$FP$12)))),IF(N('Month-End'!$FP$12)&lt;0,1,0),0)+IF(AND(OR(Settings!$B$25="Card",Settings!$B$25="Loan"),AND('Month-End'!$FP$13&lt;&gt;"",NOT(_xlfn.ISFORMULA('Month-End'!$FP$13)))),IF(N('Month-End'!$FP$13)&lt;0,1,0),0)+IF(AND(OR(Settings!$B$26="Card",Settings!$B$26="Loan"),AND('Month-End'!$FP$14&lt;&gt;"",NOT(_xlfn.ISFORMULA('Month-End'!$FP$14)))),IF(N('Month-End'!$FP$14)&lt;0,1,0),0)+IF(AND(OR(Settings!$B$27="Card",Settings!$B$27="Loan"),AND('Month-End'!$FP$15&lt;&gt;"",NOT(_xlfn.ISFORMULA('Month-End'!$FP$15)))),IF(N('Month-End'!$FP$15)&lt;0,1,0),0)+IF(AND(OR(Settings!$B$28="Card",Settings!$B$28="Loan"),AND('Month-End'!$FP$16&lt;&gt;"",NOT(_xlfn.ISFORMULA('Month-End'!$FP$16)))),IF(N('Month-End'!$FP$16)&lt;0,1,0),0)+IF(AND(OR(Settings!$B$29="Card",Settings!$B$29="Loan"),AND('Month-End'!$FP$17&lt;&gt;"",NOT(_xlfn.ISFORMULA('Month-End'!$FP$17)))),IF(N('Month-End'!$FP$17)&lt;0,1,0),0)+IF(AND(OR(Settings!$B$30="Card",Settings!$B$30="Loan"),AND('Month-End'!$FP$18&lt;&gt;"",NOT(_xlfn.ISFORMULA('Month-End'!$FP$18)))),IF(N('Month-End'!$FP$18)&lt;0,1,0),0)+IF(AND(OR(Settings!$B$31="Card",Settings!$B$31="Loan"),AND('Month-End'!$FP$19&lt;&gt;"",NOT(_xlfn.ISFORMULA('Month-End'!$FP$19)))),IF(N('Month-End'!$FP$19)&lt;0,1,0),0)+IF(AND(OR(Settings!$B$32="Card",Settings!$B$32="Loan"),AND('Month-End'!$FP$20&lt;&gt;"",NOT(_xlfn.ISFORMULA('Month-End'!$FP$20)))),IF(N('Month-End'!$FP$20)&lt;0,1,0),0)</f>
        <v/>
      </c>
      <c r="DX175">
        <f>IF(Settings!$B$36="Retirement",$AY175,0)+IF(Settings!$B$37="Retirement",$AZ175,0)+IF(Settings!$B$38="Retirement",$BA175,0)+IF(Settings!$B$39="Retirement",$BB175,0)+IF(Settings!$B$40="Retirement",$BC175,0)+IF(Settings!$B$41="Retirement",$BD175,0)</f>
        <v/>
      </c>
      <c r="ET175">
        <f>IF($E175&lt;&gt;"open",0,IF(AND('Month-End'!$FP$22&lt;&gt;"",NOT(_xlfn.ISFORMULA('Month-End'!$FP$22))),0,IF(OR(Settings!$C$45="",Settings!$D$45=""),0,Settings!$C$45*IF(Settings!$D$45="Weekly",IF(IFERROR(MATCH(Settings!$E$45,$EO$4:$EO$10,0),0)=0,0,IF(MIN(Settings!$B$5,IF(Settings!$G$45="",Settings!$B$5,Settings!$G$45))&lt;MAX($A175,Settings!$F$45),0,INT((MIN(Settings!$B$5,IF(Settings!$G$45="",Settings!$B$5,Settings!$G$45))-MAX($A175,Settings!$F$45)-MOD(IFERROR(MATCH(Settings!$E$45,$EO$4:$EO$10,0),0)-WEEKDAY(MAX($A175,Settings!$F$45)),7))/7)+1)),IF(AND(IF(Settings!$E$45="",$B175,DATE(YEAR($A175),MONTH($A175),MIN(Settings!$E$45,DAY($B175))))&gt;=MAX($A175,Settings!$F$45),IF(Settings!$E$45="",$B175,DATE(YEAR($A175),MONTH($A175),MIN(Settings!$E$45,DAY($B175))))&lt;=MIN(Settings!$B$5,IF(Settings!$G$45="",Settings!$B$5,Settings!$G$45))),1,0)))))</f>
        <v/>
      </c>
      <c r="EU175">
        <f>IF($E175&lt;&gt;"open",0,IF(AND('Month-End'!$FP$23&lt;&gt;"",NOT(_xlfn.ISFORMULA('Month-End'!$FP$23))),0,IF(OR(Settings!$C$46="",Settings!$D$46=""),0,Settings!$C$46*IF(Settings!$D$46="Weekly",IF(IFERROR(MATCH(Settings!$E$46,$EO$4:$EO$10,0),0)=0,0,IF(MIN(Settings!$B$5,IF(Settings!$G$46="",Settings!$B$5,Settings!$G$46))&lt;MAX($A175,Settings!$F$46),0,INT((MIN(Settings!$B$5,IF(Settings!$G$46="",Settings!$B$5,Settings!$G$46))-MAX($A175,Settings!$F$46)-MOD(IFERROR(MATCH(Settings!$E$46,$EO$4:$EO$10,0),0)-WEEKDAY(MAX($A175,Settings!$F$46)),7))/7)+1)),IF(AND(IF(Settings!$E$46="",$B175,DATE(YEAR($A175),MONTH($A175),MIN(Settings!$E$46,DAY($B175))))&gt;=MAX($A175,Settings!$F$46),IF(Settings!$E$46="",$B175,DATE(YEAR($A175),MONTH($A175),MIN(Settings!$E$46,DAY($B175))))&lt;=MIN(Settings!$B$5,IF(Settings!$G$46="",Settings!$B$5,Settings!$G$46))),1,0)))))</f>
        <v/>
      </c>
      <c r="EV175">
        <f>IF($E175&lt;&gt;"open",0,IF(AND('Month-End'!$FP$24&lt;&gt;"",NOT(_xlfn.ISFORMULA('Month-End'!$FP$24))),0,IF(OR(Settings!$C$47="",Settings!$D$47=""),0,Settings!$C$47*IF(Settings!$D$47="Weekly",IF(IFERROR(MATCH(Settings!$E$47,$EO$4:$EO$10,0),0)=0,0,IF(MIN(Settings!$B$5,IF(Settings!$G$47="",Settings!$B$5,Settings!$G$47))&lt;MAX($A175,Settings!$F$47),0,INT((MIN(Settings!$B$5,IF(Settings!$G$47="",Settings!$B$5,Settings!$G$47))-MAX($A175,Settings!$F$47)-MOD(IFERROR(MATCH(Settings!$E$47,$EO$4:$EO$10,0),0)-WEEKDAY(MAX($A175,Settings!$F$47)),7))/7)+1)),IF(AND(IF(Settings!$E$47="",$B175,DATE(YEAR($A175),MONTH($A175),MIN(Settings!$E$47,DAY($B175))))&gt;=MAX($A175,Settings!$F$47),IF(Settings!$E$47="",$B175,DATE(YEAR($A175),MONTH($A175),MIN(Settings!$E$47,DAY($B175))))&lt;=MIN(Settings!$B$5,IF(Settings!$G$47="",Settings!$B$5,Settings!$G$47))),1,0)))))</f>
        <v/>
      </c>
      <c r="EW175">
        <f>IF($E175&lt;&gt;"open",0,IF(AND('Month-End'!$FP$25&lt;&gt;"",NOT(_xlfn.ISFORMULA('Month-End'!$FP$25))),0,IF(OR(Settings!$C$48="",Settings!$D$48=""),0,Settings!$C$48*IF(Settings!$D$48="Weekly",IF(IFERROR(MATCH(Settings!$E$48,$EO$4:$EO$10,0),0)=0,0,IF(MIN(Settings!$B$5,IF(Settings!$G$48="",Settings!$B$5,Settings!$G$48))&lt;MAX($A175,Settings!$F$48),0,INT((MIN(Settings!$B$5,IF(Settings!$G$48="",Settings!$B$5,Settings!$G$48))-MAX($A175,Settings!$F$48)-MOD(IFERROR(MATCH(Settings!$E$48,$EO$4:$EO$10,0),0)-WEEKDAY(MAX($A175,Settings!$F$48)),7))/7)+1)),IF(AND(IF(Settings!$E$48="",$B175,DATE(YEAR($A175),MONTH($A175),MIN(Settings!$E$48,DAY($B175))))&gt;=MAX($A175,Settings!$F$48),IF(Settings!$E$48="",$B175,DATE(YEAR($A175),MONTH($A175),MIN(Settings!$E$48,DAY($B175))))&lt;=MIN(Settings!$B$5,IF(Settings!$G$48="",Settings!$B$5,Settings!$G$48))),1,0)))))</f>
        <v/>
      </c>
      <c r="EX175">
        <f>IF($E175&lt;&gt;"open",0,IF(AND('Month-End'!$FP$26&lt;&gt;"",NOT(_xlfn.ISFORMULA('Month-End'!$FP$26))),0,IF(OR(Settings!$C$49="",Settings!$D$49=""),0,Settings!$C$49*IF(Settings!$D$49="Weekly",IF(IFERROR(MATCH(Settings!$E$49,$EO$4:$EO$10,0),0)=0,0,IF(MIN(Settings!$B$5,IF(Settings!$G$49="",Settings!$B$5,Settings!$G$49))&lt;MAX($A175,Settings!$F$49),0,INT((MIN(Settings!$B$5,IF(Settings!$G$49="",Settings!$B$5,Settings!$G$49))-MAX($A175,Settings!$F$49)-MOD(IFERROR(MATCH(Settings!$E$49,$EO$4:$EO$10,0),0)-WEEKDAY(MAX($A175,Settings!$F$49)),7))/7)+1)),IF(AND(IF(Settings!$E$49="",$B175,DATE(YEAR($A175),MONTH($A175),MIN(Settings!$E$49,DAY($B175))))&gt;=MAX($A175,Settings!$F$49),IF(Settings!$E$49="",$B175,DATE(YEAR($A175),MONTH($A175),MIN(Settings!$E$49,DAY($B175))))&lt;=MIN(Settings!$B$5,IF(Settings!$G$49="",Settings!$B$5,Settings!$G$49))),1,0)))))</f>
        <v/>
      </c>
      <c r="EY175">
        <f>IF($E175&lt;&gt;"open",0,IF(AND('Month-End'!$FP$27&lt;&gt;"",NOT(_xlfn.ISFORMULA('Month-End'!$FP$27))),0,IF(OR(Settings!$C$50="",Settings!$D$50=""),0,Settings!$C$50*IF(Settings!$D$50="Weekly",IF(IFERROR(MATCH(Settings!$E$50,$EO$4:$EO$10,0),0)=0,0,IF(MIN(Settings!$B$5,IF(Settings!$G$50="",Settings!$B$5,Settings!$G$50))&lt;MAX($A175,Settings!$F$50),0,INT((MIN(Settings!$B$5,IF(Settings!$G$50="",Settings!$B$5,Settings!$G$50))-MAX($A175,Settings!$F$50)-MOD(IFERROR(MATCH(Settings!$E$50,$EO$4:$EO$10,0),0)-WEEKDAY(MAX($A175,Settings!$F$50)),7))/7)+1)),IF(AND(IF(Settings!$E$50="",$B175,DATE(YEAR($A175),MONTH($A175),MIN(Settings!$E$50,DAY($B175))))&gt;=MAX($A175,Settings!$F$50),IF(Settings!$E$50="",$B175,DATE(YEAR($A175),MONTH($A175),MIN(Settings!$E$50,DAY($B175))))&lt;=MIN(Settings!$B$5,IF(Settings!$G$50="",Settings!$B$5,Settings!$G$50))),1,0)))))</f>
        <v/>
      </c>
      <c r="EZ175">
        <f>IF($E175&lt;&gt;"open",0,IF(AND('Month-End'!$FP$28&lt;&gt;"",NOT(_xlfn.ISFORMULA('Month-End'!$FP$28))),0,IF(OR(Settings!$C$51="",Settings!$D$51=""),0,Settings!$C$51*IF(Settings!$D$51="Weekly",IF(IFERROR(MATCH(Settings!$E$51,$EO$4:$EO$10,0),0)=0,0,IF(MIN(Settings!$B$5,IF(Settings!$G$51="",Settings!$B$5,Settings!$G$51))&lt;MAX($A175,Settings!$F$51),0,INT((MIN(Settings!$B$5,IF(Settings!$G$51="",Settings!$B$5,Settings!$G$51))-MAX($A175,Settings!$F$51)-MOD(IFERROR(MATCH(Settings!$E$51,$EO$4:$EO$10,0),0)-WEEKDAY(MAX($A175,Settings!$F$51)),7))/7)+1)),IF(AND(IF(Settings!$E$51="",$B175,DATE(YEAR($A175),MONTH($A175),MIN(Settings!$E$51,DAY($B175))))&gt;=MAX($A175,Settings!$F$51),IF(Settings!$E$51="",$B175,DATE(YEAR($A175),MONTH($A175),MIN(Settings!$E$51,DAY($B175))))&lt;=MIN(Settings!$B$5,IF(Settings!$G$51="",Settings!$B$5,Settings!$G$51))),1,0)))))</f>
        <v/>
      </c>
      <c r="FA175">
        <f>IF($E175&lt;&gt;"open",0,IF(AND('Month-End'!$FP$29&lt;&gt;"",NOT(_xlfn.ISFORMULA('Month-End'!$FP$29))),0,IF(OR(Settings!$C$52="",Settings!$D$52=""),0,Settings!$C$52*IF(Settings!$D$52="Weekly",IF(IFERROR(MATCH(Settings!$E$52,$EO$4:$EO$10,0),0)=0,0,IF(MIN(Settings!$B$5,IF(Settings!$G$52="",Settings!$B$5,Settings!$G$52))&lt;MAX($A175,Settings!$F$52),0,INT((MIN(Settings!$B$5,IF(Settings!$G$52="",Settings!$B$5,Settings!$G$52))-MAX($A175,Settings!$F$52)-MOD(IFERROR(MATCH(Settings!$E$52,$EO$4:$EO$10,0),0)-WEEKDAY(MAX($A175,Settings!$F$52)),7))/7)+1)),IF(AND(IF(Settings!$E$52="",$B175,DATE(YEAR($A175),MONTH($A175),MIN(Settings!$E$52,DAY($B175))))&gt;=MAX($A175,Settings!$F$52),IF(Settings!$E$52="",$B175,DATE(YEAR($A175),MONTH($A175),MIN(Settings!$E$52,DAY($B175))))&lt;=MIN(Settings!$B$5,IF(Settings!$G$52="",Settings!$B$5,Settings!$G$52))),1,0)))))</f>
        <v/>
      </c>
      <c r="FB175">
        <f>IF($E175&lt;&gt;"open",0,IF(AND('Month-End'!$FP$30&lt;&gt;"",NOT(_xlfn.ISFORMULA('Month-End'!$FP$30))),0,IF(OR(Settings!$C$53="",Settings!$D$53=""),0,Settings!$C$53*IF(Settings!$D$53="Weekly",IF(IFERROR(MATCH(Settings!$E$53,$EO$4:$EO$10,0),0)=0,0,IF(MIN(Settings!$B$5,IF(Settings!$G$53="",Settings!$B$5,Settings!$G$53))&lt;MAX($A175,Settings!$F$53),0,INT((MIN(Settings!$B$5,IF(Settings!$G$53="",Settings!$B$5,Settings!$G$53))-MAX($A175,Settings!$F$53)-MOD(IFERROR(MATCH(Settings!$E$53,$EO$4:$EO$10,0),0)-WEEKDAY(MAX($A175,Settings!$F$53)),7))/7)+1)),IF(AND(IF(Settings!$E$53="",$B175,DATE(YEAR($A175),MONTH($A175),MIN(Settings!$E$53,DAY($B175))))&gt;=MAX($A175,Settings!$F$53),IF(Settings!$E$53="",$B175,DATE(YEAR($A175),MONTH($A175),MIN(Settings!$E$53,DAY($B175))))&lt;=MIN(Settings!$B$5,IF(Settings!$G$53="",Settings!$B$5,Settings!$G$53))),1,0)))))</f>
        <v/>
      </c>
      <c r="FC175">
        <f>IF($E175&lt;&gt;"open",0,IF(AND('Month-End'!$FP$31&lt;&gt;"",NOT(_xlfn.ISFORMULA('Month-End'!$FP$31))),0,IF(OR(Settings!$C$54="",Settings!$D$54=""),0,Settings!$C$54*IF(Settings!$D$54="Weekly",IF(IFERROR(MATCH(Settings!$E$54,$EO$4:$EO$10,0),0)=0,0,IF(MIN(Settings!$B$5,IF(Settings!$G$54="",Settings!$B$5,Settings!$G$54))&lt;MAX($A175,Settings!$F$54),0,INT((MIN(Settings!$B$5,IF(Settings!$G$54="",Settings!$B$5,Settings!$G$54))-MAX($A175,Settings!$F$54)-MOD(IFERROR(MATCH(Settings!$E$54,$EO$4:$EO$10,0),0)-WEEKDAY(MAX($A175,Settings!$F$54)),7))/7)+1)),IF(AND(IF(Settings!$E$54="",$B175,DATE(YEAR($A175),MONTH($A175),MIN(Settings!$E$54,DAY($B175))))&gt;=MAX($A175,Settings!$F$54),IF(Settings!$E$54="",$B175,DATE(YEAR($A175),MONTH($A175),MIN(Settings!$E$54,DAY($B175))))&lt;=MIN(Settings!$B$5,IF(Settings!$G$54="",Settings!$B$5,Settings!$G$54))),1,0)))))</f>
        <v/>
      </c>
      <c r="FD175">
        <f>IF($E175&lt;&gt;"open",0,IF(AND('Month-End'!$FP$32&lt;&gt;"",NOT(_xlfn.ISFORMULA('Month-End'!$FP$32))),0,IF(OR(Settings!$C$55="",Settings!$D$55=""),0,Settings!$C$55*IF(Settings!$D$55="Weekly",IF(IFERROR(MATCH(Settings!$E$55,$EO$4:$EO$10,0),0)=0,0,IF(MIN(Settings!$B$5,IF(Settings!$G$55="",Settings!$B$5,Settings!$G$55))&lt;MAX($A175,Settings!$F$55),0,INT((MIN(Settings!$B$5,IF(Settings!$G$55="",Settings!$B$5,Settings!$G$55))-MAX($A175,Settings!$F$55)-MOD(IFERROR(MATCH(Settings!$E$55,$EO$4:$EO$10,0),0)-WEEKDAY(MAX($A175,Settings!$F$55)),7))/7)+1)),IF(AND(IF(Settings!$E$55="",$B175,DATE(YEAR($A175),MONTH($A175),MIN(Settings!$E$55,DAY($B175))))&gt;=MAX($A175,Settings!$F$55),IF(Settings!$E$55="",$B175,DATE(YEAR($A175),MONTH($A175),MIN(Settings!$E$55,DAY($B175))))&lt;=MIN(Settings!$B$5,IF(Settings!$G$55="",Settings!$B$5,Settings!$G$55))),1,0)))))</f>
        <v/>
      </c>
      <c r="FE175">
        <f>IF($E175&lt;&gt;"open",0,IF(AND('Month-End'!$FP$33&lt;&gt;"",NOT(_xlfn.ISFORMULA('Month-End'!$FP$33))),0,IF(OR(Settings!$C$56="",Settings!$D$56=""),0,Settings!$C$56*IF(Settings!$D$56="Weekly",IF(IFERROR(MATCH(Settings!$E$56,$EO$4:$EO$10,0),0)=0,0,IF(MIN(Settings!$B$5,IF(Settings!$G$56="",Settings!$B$5,Settings!$G$56))&lt;MAX($A175,Settings!$F$56),0,INT((MIN(Settings!$B$5,IF(Settings!$G$56="",Settings!$B$5,Settings!$G$56))-MAX($A175,Settings!$F$56)-MOD(IFERROR(MATCH(Settings!$E$56,$EO$4:$EO$10,0),0)-WEEKDAY(MAX($A175,Settings!$F$56)),7))/7)+1)),IF(AND(IF(Settings!$E$56="",$B175,DATE(YEAR($A175),MONTH($A175),MIN(Settings!$E$56,DAY($B175))))&gt;=MAX($A175,Settings!$F$56),IF(Settings!$E$56="",$B175,DATE(YEAR($A175),MONTH($A175),MIN(Settings!$E$56,DAY($B175))))&lt;=MIN(Settings!$B$5,IF(Settings!$G$56="",Settings!$B$5,Settings!$G$56))),1,0)))))</f>
        <v/>
      </c>
      <c r="FF175">
        <f>IF(Settings!$I$45="Yes",$G175,0)+IF(Settings!$I$46="Yes",$H175,0)+IF(Settings!$I$47="Yes",$I175,0)+IF(Settings!$I$48="Yes",$J175,0)+IF(Settings!$I$49="Yes",$K175,0)+IF(Settings!$I$50="Yes",$L175,0)+IF(Settings!$I$51="Yes",$M175,0)+IF(Settings!$I$52="Yes",$N175,0)+IF(Settings!$I$53="Yes",$O175,0)+IF(Settings!$I$54="Yes",$P175,0)+IF(Settings!$I$55="Yes",$Q175,0)+IF(Settings!$I$56="Yes",$R175,0)</f>
        <v/>
      </c>
      <c r="FG175">
        <f>IF(AND(Settings!$I$45="Yes",Settings!$J$45="No"),$G175,0)+IF(AND(Settings!$I$46="Yes",Settings!$J$46="No"),$H175,0)+IF(AND(Settings!$I$47="Yes",Settings!$J$47="No"),$I175,0)+IF(AND(Settings!$I$48="Yes",Settings!$J$48="No"),$J175,0)+IF(AND(Settings!$I$49="Yes",Settings!$J$49="No"),$K175,0)+IF(AND(Settings!$I$50="Yes",Settings!$J$50="No"),$L175,0)+IF(AND(Settings!$I$51="Yes",Settings!$J$51="No"),$M175,0)+IF(AND(Settings!$I$52="Yes",Settings!$J$52="No"),$N175,0)+IF(AND(Settings!$I$53="Yes",Settings!$J$53="No"),$O175,0)+IF(AND(Settings!$I$54="Yes",Settings!$J$54="No"),$P175,0)+IF(AND(Settings!$I$55="Yes",Settings!$J$55="No"),$Q175,0)+IF(AND(Settings!$I$56="Yes",Settings!$J$56="No"),$R175,0)</f>
        <v/>
      </c>
      <c r="FH175">
        <f>SUMIFS(Giving!$B$7:$B$2006,Giving!$A$7:$A$2006,"&gt;="&amp;$A175,Giving!$A$7:$A$2006,"&lt;="&amp;$B175,Giving!$G$7:$G$2006,"Yes")+IF(OR(OR(Settings!$B$60="",Settings!$F$60="No"),Settings!$H$60&lt;&gt;"Yes"),0,Settings!$B$60*IF(AND(IF(Settings!$C$60="",$B175,DATE(YEAR($A175),MONTH($A175),MIN(Settings!$C$60,DAY($B175))))&gt;=MAX($A175,Settings!$D$60),IF(Settings!$C$60="",$B175,DATE(YEAR($A175),MONTH($A175),MIN(Settings!$C$60,DAY($B175))))&lt;=MIN($C175,IF(Settings!$E$60="",$C175,Settings!$E$60))),1,0))+IF(OR(OR(Settings!$B$61="",Settings!$F$61="No"),Settings!$H$61&lt;&gt;"Yes"),0,Settings!$B$61*IF(AND(IF(Settings!$C$61="",$B175,DATE(YEAR($A175),MONTH($A175),MIN(Settings!$C$61,DAY($B175))))&gt;=MAX($A175,Settings!$D$61),IF(Settings!$C$61="",$B175,DATE(YEAR($A175),MONTH($A175),MIN(Settings!$C$61,DAY($B175))))&lt;=MIN($C175,IF(Settings!$E$61="",$C175,Settings!$E$61))),1,0))+IF(OR(OR(Settings!$B$62="",Settings!$F$62="No"),Settings!$H$62&lt;&gt;"Yes"),0,Settings!$B$62*IF(AND(IF(Settings!$C$62="",$B175,DATE(YEAR($A175),MONTH($A175),MIN(Settings!$C$62,DAY($B175))))&gt;=MAX($A175,Settings!$D$62),IF(Settings!$C$62="",$B175,DATE(YEAR($A175),MONTH($A175),MIN(Settings!$C$62,DAY($B175))))&lt;=MIN($C175,IF(Settings!$E$62="",$C175,Settings!$E$62))),1,0))+IF(OR(OR(Settings!$B$63="",Settings!$F$63="No"),Settings!$H$63&lt;&gt;"Yes"),0,Settings!$B$63*IF(AND(IF(Settings!$C$63="",$B175,DATE(YEAR($A175),MONTH($A175),MIN(Settings!$C$63,DAY($B175))))&gt;=MAX($A175,Settings!$D$63),IF(Settings!$C$63="",$B175,DATE(YEAR($A175),MONTH($A175),MIN(Settings!$C$63,DAY($B175))))&lt;=MIN($C175,IF(Settings!$E$63="",$C175,Settings!$E$63))),1,0))+IF(OR(OR(Settings!$B$64="",Settings!$F$64="No"),Settings!$H$64&lt;&gt;"Yes"),0,Settings!$B$64*IF(AND(IF(Settings!$C$64="",$B175,DATE(YEAR($A175),MONTH($A175),MIN(Settings!$C$64,DAY($B175))))&gt;=MAX($A175,Settings!$D$64),IF(Settings!$C$64="",$B175,DATE(YEAR($A175),MONTH($A175),MIN(Settings!$C$64,DAY($B175))))&lt;=MIN($C175,IF(Settings!$E$64="",$C175,Settings!$E$64))),1,0))+IF(OR(OR(Settings!$B$65="",Settings!$F$65="No"),Settings!$H$65&lt;&gt;"Yes"),0,Settings!$B$65*IF(AND(IF(Settings!$C$65="",$B175,DATE(YEAR($A175),MONTH($A175),MIN(Settings!$C$65,DAY($B175))))&gt;=MAX($A175,Settings!$D$65),IF(Settings!$C$65="",$B175,DATE(YEAR($A175),MONTH($A175),MIN(Settings!$C$65,DAY($B175))))&lt;=MIN($C175,IF(Settings!$E$65="",$C175,Settings!$E$65))),1,0))</f>
        <v/>
      </c>
      <c r="FI175">
        <f>IF($DT175=1,IF(OR(Settings!$B$19="Card",Settings!$B$19="Loan"),N($AE175),0)+IF(OR(Settings!$B$20="Card",Settings!$B$20="Loan"),N($AF175),0)+IF(OR(Settings!$B$21="Card",Settings!$B$21="Loan"),N($AG175),0)+IF(OR(Settings!$B$22="Card",Settings!$B$22="Loan"),N($AH175),0)+IF(OR(Settings!$B$23="Card",Settings!$B$23="Loan"),N($AI175),0)+IF(OR(Settings!$B$24="Card",Settings!$B$24="Loan"),N($AJ175),0)+IF(OR(Settings!$B$25="Card",Settings!$B$25="Loan"),N($AK175),0)+IF(OR(Settings!$B$26="Card",Settings!$B$26="Loan"),N($AL175),0)+IF(OR(Settings!$B$27="Card",Settings!$B$27="Loan"),N($AM175),0)+IF(OR(Settings!$B$28="Card",Settings!$B$28="Loan"),N($AN175),0)+IF(OR(Settings!$B$29="Card",Settings!$B$29="Loan"),N($AO175),0)+IF(OR(Settings!$B$30="Card",Settings!$B$30="Loan"),N($AP175),0)+IF(OR(Settings!$B$31="Card",Settings!$B$31="Loan"),N($AQ175),0)+IF(OR(Settings!$B$32="Card",Settings!$B$32="Loan"),N($AR175),0),"")</f>
        <v/>
      </c>
      <c r="FJ175">
        <f>IF($E175="open",$EB$65,IF($E175="post",IF($E174="pre",$EB$65,$FI174),""))</f>
        <v/>
      </c>
      <c r="FK175">
        <f>IF(AND($DT175=1,$DC175=1),IF(ROUND($FI175-$FJ175,2)&gt;0,1,0),0)</f>
        <v/>
      </c>
      <c r="FL175">
        <f>IF($FK175=1,$FL174+1,0)</f>
        <v/>
      </c>
    </row>
    <row r="176">
      <c r="A176">
        <f>'Month-End'!$FQ$4</f>
        <v/>
      </c>
      <c r="B176">
        <f>EOMONTH($A176,0)</f>
        <v/>
      </c>
      <c r="C176">
        <f>MIN($B176,TODAY())</f>
        <v/>
      </c>
      <c r="D176">
        <f>IF($A176&gt;TODAY(),1,0)</f>
        <v/>
      </c>
      <c r="E176">
        <f>IF($B176&lt;=Settings!$B$5,"pre",IF($A176&lt;=Settings!$B$5,"open","post"))</f>
        <v/>
      </c>
      <c r="G176">
        <f>IF('Month-End'!$FQ$22="",$BE176,N('Month-End'!$FQ$22))</f>
        <v/>
      </c>
      <c r="H176">
        <f>IF('Month-End'!$FQ$23="",$BF176,N('Month-End'!$FQ$23))</f>
        <v/>
      </c>
      <c r="I176">
        <f>IF('Month-End'!$FQ$24="",$BG176,N('Month-End'!$FQ$24))</f>
        <v/>
      </c>
      <c r="J176">
        <f>IF('Month-End'!$FQ$25="",$BH176,N('Month-End'!$FQ$25))</f>
        <v/>
      </c>
      <c r="K176">
        <f>IF('Month-End'!$FQ$26="",$BI176,N('Month-End'!$FQ$26))</f>
        <v/>
      </c>
      <c r="L176">
        <f>IF('Month-End'!$FQ$27="",$BJ176,N('Month-End'!$FQ$27))</f>
        <v/>
      </c>
      <c r="M176">
        <f>IF('Month-End'!$FQ$28="",$BK176,N('Month-End'!$FQ$28))</f>
        <v/>
      </c>
      <c r="N176">
        <f>IF('Month-End'!$FQ$29="",$BL176,N('Month-End'!$FQ$29))</f>
        <v/>
      </c>
      <c r="O176">
        <f>IF('Month-End'!$FQ$30="",$BM176,N('Month-End'!$FQ$30))</f>
        <v/>
      </c>
      <c r="P176">
        <f>IF('Month-End'!$FQ$31="",$BN176,N('Month-End'!$FQ$31))</f>
        <v/>
      </c>
      <c r="Q176">
        <f>IF('Month-End'!$FQ$32="",$BO176,N('Month-End'!$FQ$32))</f>
        <v/>
      </c>
      <c r="R176">
        <f>IF('Month-End'!$FQ$33="",$BP176,N('Month-End'!$FQ$33))</f>
        <v/>
      </c>
      <c r="S176">
        <f>$G176+$H176+$I176+$J176+$K176+$L176+$M176+$N176+$O176+$P176+$Q176+$R176</f>
        <v/>
      </c>
      <c r="T176">
        <f>IF($B176&lt;Settings!$B$6,0,IF(Settings!$B$45="Yes",$G176,0)+IF(Settings!$B$46="Yes",$H176,0)+IF(Settings!$B$47="Yes",$I176,0)+IF(Settings!$B$48="Yes",$J176,0)+IF(Settings!$B$49="Yes",$K176,0)+IF(Settings!$B$50="Yes",$L176,0)+IF(Settings!$B$51="Yes",$M176,0)+IF(Settings!$B$52="Yes",$N176,0)+IF(Settings!$B$53="Yes",$O176,0)+IF(Settings!$B$54="Yes",$P176,0)+IF(Settings!$B$55="Yes",$Q176,0)+IF(Settings!$B$56="Yes",$R176,0))</f>
        <v/>
      </c>
      <c r="U176">
        <f>IF(Settings!$B$45="Not Sure",$G176,0)+IF(Settings!$B$46="Not Sure",$H176,0)+IF(Settings!$B$47="Not Sure",$I176,0)+IF(Settings!$B$48="Not Sure",$J176,0)+IF(Settings!$B$49="Not Sure",$K176,0)+IF(Settings!$B$50="Not Sure",$L176,0)+IF(Settings!$B$51="Not Sure",$M176,0)+IF(Settings!$B$52="Not Sure",$N176,0)+IF(Settings!$B$53="Not Sure",$O176,0)+IF(Settings!$B$54="Not Sure",$P176,0)+IF(Settings!$B$55="Not Sure",$Q176,0)+IF(Settings!$B$56="Not Sure",$R176,0)</f>
        <v/>
      </c>
      <c r="V176">
        <f>IF($E176="open",SUM($ET176:$FE176)+N(Settings!$B$13),0)</f>
        <v/>
      </c>
      <c r="W176">
        <f>IF($E176="post",$S176,IF($E176="open",$S176-$V176,0))</f>
        <v/>
      </c>
      <c r="X176">
        <f>SUMIFS(Giving!$B$7:$B$2006,Giving!$A$7:$A$2006,"&gt;="&amp;$A176,Giving!$A$7:$A$2006,"&lt;="&amp;$B176,Giving!$E$7:$E$2006,"&lt;&gt;No")</f>
        <v/>
      </c>
      <c r="Y176">
        <f>SUMIFS(Giving!$B$7:$B$2006,Giving!$A$7:$A$2006,"&gt;="&amp;$A176,Giving!$A$7:$A$2006,"&lt;="&amp;$B176,Giving!$E$7:$E$2006,"No")</f>
        <v/>
      </c>
      <c r="Z176">
        <f>IF(OR(Settings!$B$60="",Settings!$F$60="No"),0,Settings!$B$60*IF(AND(IF(Settings!$C$60="",$B176,DATE(YEAR($A176),MONTH($A176),MIN(Settings!$C$60,DAY($B176))))&gt;=MAX($A176,Settings!$D$60),IF(Settings!$C$60="",$B176,DATE(YEAR($A176),MONTH($A176),MIN(Settings!$C$60,DAY($B176))))&lt;=MIN($C176,IF(Settings!$E$60="",$C176,Settings!$E$60))),1,0))+IF(OR(Settings!$B$61="",Settings!$F$61="No"),0,Settings!$B$61*IF(AND(IF(Settings!$C$61="",$B176,DATE(YEAR($A176),MONTH($A176),MIN(Settings!$C$61,DAY($B176))))&gt;=MAX($A176,Settings!$D$61),IF(Settings!$C$61="",$B176,DATE(YEAR($A176),MONTH($A176),MIN(Settings!$C$61,DAY($B176))))&lt;=MIN($C176,IF(Settings!$E$61="",$C176,Settings!$E$61))),1,0))+IF(OR(Settings!$B$62="",Settings!$F$62="No"),0,Settings!$B$62*IF(AND(IF(Settings!$C$62="",$B176,DATE(YEAR($A176),MONTH($A176),MIN(Settings!$C$62,DAY($B176))))&gt;=MAX($A176,Settings!$D$62),IF(Settings!$C$62="",$B176,DATE(YEAR($A176),MONTH($A176),MIN(Settings!$C$62,DAY($B176))))&lt;=MIN($C176,IF(Settings!$E$62="",$C176,Settings!$E$62))),1,0))+IF(OR(Settings!$B$63="",Settings!$F$63="No"),0,Settings!$B$63*IF(AND(IF(Settings!$C$63="",$B176,DATE(YEAR($A176),MONTH($A176),MIN(Settings!$C$63,DAY($B176))))&gt;=MAX($A176,Settings!$D$63),IF(Settings!$C$63="",$B176,DATE(YEAR($A176),MONTH($A176),MIN(Settings!$C$63,DAY($B176))))&lt;=MIN($C176,IF(Settings!$E$63="",$C176,Settings!$E$63))),1,0))+IF(OR(Settings!$B$64="",Settings!$F$64="No"),0,Settings!$B$64*IF(AND(IF(Settings!$C$64="",$B176,DATE(YEAR($A176),MONTH($A176),MIN(Settings!$C$64,DAY($B176))))&gt;=MAX($A176,Settings!$D$64),IF(Settings!$C$64="",$B176,DATE(YEAR($A176),MONTH($A176),MIN(Settings!$C$64,DAY($B176))))&lt;=MIN($C176,IF(Settings!$E$64="",$C176,Settings!$E$64))),1,0))+IF(OR(Settings!$B$65="",Settings!$F$65="No"),0,Settings!$B$65*IF(AND(IF(Settings!$C$65="",$B176,DATE(YEAR($A176),MONTH($A176),MIN(Settings!$C$65,DAY($B176))))&gt;=MAX($A176,Settings!$D$65),IF(Settings!$C$65="",$B176,DATE(YEAR($A176),MONTH($A176),MIN(Settings!$C$65,DAY($B176))))&lt;=MIN($C176,IF(Settings!$E$65="",$C176,Settings!$E$65))),1,0))</f>
        <v/>
      </c>
      <c r="AA176">
        <f>$X176+$Z176</f>
        <v/>
      </c>
      <c r="AB176">
        <f>IF($E176="post",$AA176,IF($E176="open",SUMIFS(Giving!$B$7:$B$2006,Giving!$A$7:$A$2006,"&gt;"&amp;Settings!$B$5,Giving!$A$7:$A$2006,"&lt;="&amp;$B176,Giving!$E$7:$E$2006,"&lt;&gt;No")+IF(OR(Settings!$B$60="",Settings!$F$60="No"),0,Settings!$B$60*IF(AND(IF(Settings!$C$60="",$B176,DATE(YEAR($A176),MONTH($A176),MIN(Settings!$C$60,DAY($B176))))&gt;=MAX($A176,Settings!$D$60,Settings!$B$5+1),IF(Settings!$C$60="",$B176,DATE(YEAR($A176),MONTH($A176),MIN(Settings!$C$60,DAY($B176))))&lt;=MIN($C176,IF(Settings!$E$60="",$C176,Settings!$E$60))),1,0))+IF(OR(Settings!$B$61="",Settings!$F$61="No"),0,Settings!$B$61*IF(AND(IF(Settings!$C$61="",$B176,DATE(YEAR($A176),MONTH($A176),MIN(Settings!$C$61,DAY($B176))))&gt;=MAX($A176,Settings!$D$61,Settings!$B$5+1),IF(Settings!$C$61="",$B176,DATE(YEAR($A176),MONTH($A176),MIN(Settings!$C$61,DAY($B176))))&lt;=MIN($C176,IF(Settings!$E$61="",$C176,Settings!$E$61))),1,0))+IF(OR(Settings!$B$62="",Settings!$F$62="No"),0,Settings!$B$62*IF(AND(IF(Settings!$C$62="",$B176,DATE(YEAR($A176),MONTH($A176),MIN(Settings!$C$62,DAY($B176))))&gt;=MAX($A176,Settings!$D$62,Settings!$B$5+1),IF(Settings!$C$62="",$B176,DATE(YEAR($A176),MONTH($A176),MIN(Settings!$C$62,DAY($B176))))&lt;=MIN($C176,IF(Settings!$E$62="",$C176,Settings!$E$62))),1,0))+IF(OR(Settings!$B$63="",Settings!$F$63="No"),0,Settings!$B$63*IF(AND(IF(Settings!$C$63="",$B176,DATE(YEAR($A176),MONTH($A176),MIN(Settings!$C$63,DAY($B176))))&gt;=MAX($A176,Settings!$D$63,Settings!$B$5+1),IF(Settings!$C$63="",$B176,DATE(YEAR($A176),MONTH($A176),MIN(Settings!$C$63,DAY($B176))))&lt;=MIN($C176,IF(Settings!$E$63="",$C176,Settings!$E$63))),1,0))+IF(OR(Settings!$B$64="",Settings!$F$64="No"),0,Settings!$B$64*IF(AND(IF(Settings!$C$64="",$B176,DATE(YEAR($A176),MONTH($A176),MIN(Settings!$C$64,DAY($B176))))&gt;=MAX($A176,Settings!$D$64,Settings!$B$5+1),IF(Settings!$C$64="",$B176,DATE(YEAR($A176),MONTH($A176),MIN(Settings!$C$64,DAY($B176))))&lt;=MIN($C176,IF(Settings!$E$64="",$C176,Settings!$E$64))),1,0))+IF(OR(Settings!$B$65="",Settings!$F$65="No"),0,Settings!$B$65*IF(AND(IF(Settings!$C$65="",$B176,DATE(YEAR($A176),MONTH($A176),MIN(Settings!$C$65,DAY($B176))))&gt;=MAX($A176,Settings!$D$65,Settings!$B$5+1),IF(Settings!$C$65="",$B176,DATE(YEAR($A176),MONTH($A176),MIN(Settings!$C$65,DAY($B176))))&lt;=MIN($C176,IF(Settings!$E$65="",$C176,Settings!$E$65))),1,0)),0))</f>
        <v/>
      </c>
      <c r="AC176">
        <f>$AY176+$AZ176+$BA176+$BB176+$BC176+$BD176</f>
        <v/>
      </c>
      <c r="AD176">
        <f>$AC176</f>
        <v/>
      </c>
      <c r="AE176">
        <f>IF(OR(Settings!$A$19="",$E176="pre"),"",IF(AND('Month-End'!$FQ$7&lt;&gt;"",NOT(_xlfn.ISFORMULA('Month-End'!$FQ$7))),N('Month-End'!$FQ$7),IF(OR($E176="open",$E175="pre"),N(Settings!$C$19),N($AE175))))</f>
        <v/>
      </c>
      <c r="AF176">
        <f>IF(OR(Settings!$A$20="",$E176="pre"),"",IF(AND('Month-End'!$FQ$8&lt;&gt;"",NOT(_xlfn.ISFORMULA('Month-End'!$FQ$8))),N('Month-End'!$FQ$8),IF(OR($E176="open",$E175="pre"),N(Settings!$C$20),N($AF175))))</f>
        <v/>
      </c>
      <c r="AG176">
        <f>IF(OR(Settings!$A$21="",$E176="pre"),"",IF(AND('Month-End'!$FQ$9&lt;&gt;"",NOT(_xlfn.ISFORMULA('Month-End'!$FQ$9))),N('Month-End'!$FQ$9),IF(OR($E176="open",$E175="pre"),N(Settings!$C$21),N($AG175))))</f>
        <v/>
      </c>
      <c r="AH176">
        <f>IF(OR(Settings!$A$22="",$E176="pre"),"",IF(AND('Month-End'!$FQ$10&lt;&gt;"",NOT(_xlfn.ISFORMULA('Month-End'!$FQ$10))),N('Month-End'!$FQ$10),IF(OR($E176="open",$E175="pre"),N(Settings!$C$22),N($AH175))))</f>
        <v/>
      </c>
      <c r="AI176">
        <f>IF(OR(Settings!$A$23="",$E176="pre"),"",IF(AND('Month-End'!$FQ$11&lt;&gt;"",NOT(_xlfn.ISFORMULA('Month-End'!$FQ$11))),N('Month-End'!$FQ$11),IF(OR($E176="open",$E175="pre"),N(Settings!$C$23),N($AI175))))</f>
        <v/>
      </c>
      <c r="AJ176">
        <f>IF(OR(Settings!$A$24="",$E176="pre"),"",IF(AND('Month-End'!$FQ$12&lt;&gt;"",NOT(_xlfn.ISFORMULA('Month-End'!$FQ$12))),N('Month-End'!$FQ$12),IF(OR($E176="open",$E175="pre"),N(Settings!$C$24),N($AJ175))))</f>
        <v/>
      </c>
      <c r="AK176">
        <f>IF(OR(Settings!$A$25="",$E176="pre"),"",IF(AND('Month-End'!$FQ$13&lt;&gt;"",NOT(_xlfn.ISFORMULA('Month-End'!$FQ$13))),N('Month-End'!$FQ$13),IF(OR($E176="open",$E175="pre"),N(Settings!$C$25),N($AK175))))</f>
        <v/>
      </c>
      <c r="AL176">
        <f>IF(OR(Settings!$A$26="",$E176="pre"),"",IF(AND('Month-End'!$FQ$14&lt;&gt;"",NOT(_xlfn.ISFORMULA('Month-End'!$FQ$14))),N('Month-End'!$FQ$14),IF(OR($E176="open",$E175="pre"),N(Settings!$C$26),N($AL175))))</f>
        <v/>
      </c>
      <c r="AM176">
        <f>IF(OR(Settings!$A$27="",$E176="pre"),"",IF(AND('Month-End'!$FQ$15&lt;&gt;"",NOT(_xlfn.ISFORMULA('Month-End'!$FQ$15))),N('Month-End'!$FQ$15),IF(OR($E176="open",$E175="pre"),N(Settings!$C$27),N($AM175))))</f>
        <v/>
      </c>
      <c r="AN176">
        <f>IF(OR(Settings!$A$28="",$E176="pre"),"",IF(AND('Month-End'!$FQ$16&lt;&gt;"",NOT(_xlfn.ISFORMULA('Month-End'!$FQ$16))),N('Month-End'!$FQ$16),IF(OR($E176="open",$E175="pre"),N(Settings!$C$28),N($AN175))))</f>
        <v/>
      </c>
      <c r="AO176">
        <f>IF(OR(Settings!$A$29="",$E176="pre"),"",IF(AND('Month-End'!$FQ$17&lt;&gt;"",NOT(_xlfn.ISFORMULA('Month-End'!$FQ$17))),N('Month-End'!$FQ$17),IF(OR($E176="open",$E175="pre"),N(Settings!$C$29),N($AO175))))</f>
        <v/>
      </c>
      <c r="AP176">
        <f>IF(OR(Settings!$A$30="",$E176="pre"),"",IF(AND('Month-End'!$FQ$18&lt;&gt;"",NOT(_xlfn.ISFORMULA('Month-End'!$FQ$18))),N('Month-End'!$FQ$18),IF(OR($E176="open",$E175="pre"),N(Settings!$C$30),N($AP175))))</f>
        <v/>
      </c>
      <c r="AQ176">
        <f>IF(OR(Settings!$A$31="",$E176="pre"),"",IF(AND('Month-End'!$FQ$19&lt;&gt;"",NOT(_xlfn.ISFORMULA('Month-End'!$FQ$19))),N('Month-End'!$FQ$19),IF(OR($E176="open",$E175="pre"),N(Settings!$C$31),N($AQ175))))</f>
        <v/>
      </c>
      <c r="AR176">
        <f>IF(OR(Settings!$A$32="",$E176="pre"),"",IF(AND('Month-End'!$FQ$20&lt;&gt;"",NOT(_xlfn.ISFORMULA('Month-End'!$FQ$20))),N('Month-End'!$FQ$20),IF(OR($E176="open",$E175="pre"),N(Settings!$C$32),N($AR175))))</f>
        <v/>
      </c>
      <c r="AS176">
        <f>IF(OR(Settings!$A$36="",$E176="pre"),"",IF(AND('Month-End'!$FQ$38&lt;&gt;"",NOT(_xlfn.ISFORMULA('Month-End'!$FQ$38))),N('Month-End'!$FQ$38),IF(OR($E176="open",$E175="pre"),N(Settings!$C$36),N($AS175))+$AY176))</f>
        <v/>
      </c>
      <c r="AT176">
        <f>IF(OR(Settings!$A$37="",$E176="pre"),"",IF(AND('Month-End'!$FQ$39&lt;&gt;"",NOT(_xlfn.ISFORMULA('Month-End'!$FQ$39))),N('Month-End'!$FQ$39),IF(OR($E176="open",$E175="pre"),N(Settings!$C$37),N($AT175))+$AZ176))</f>
        <v/>
      </c>
      <c r="AU176">
        <f>IF(OR(Settings!$A$38="",$E176="pre"),"",IF(AND('Month-End'!$FQ$40&lt;&gt;"",NOT(_xlfn.ISFORMULA('Month-End'!$FQ$40))),N('Month-End'!$FQ$40),IF(OR($E176="open",$E175="pre"),N(Settings!$C$38),N($AU175))+$BA176))</f>
        <v/>
      </c>
      <c r="AV176">
        <f>IF(OR(Settings!$A$39="",$E176="pre"),"",IF(AND('Month-End'!$FQ$41&lt;&gt;"",NOT(_xlfn.ISFORMULA('Month-End'!$FQ$41))),N('Month-End'!$FQ$41),IF(OR($E176="open",$E175="pre"),N(Settings!$C$39),N($AV175))+$BB176))</f>
        <v/>
      </c>
      <c r="AW176">
        <f>IF(OR(Settings!$A$40="",$E176="pre"),"",IF(AND('Month-End'!$FQ$42&lt;&gt;"",NOT(_xlfn.ISFORMULA('Month-End'!$FQ$42))),N('Month-End'!$FQ$42),IF(OR($E176="open",$E175="pre"),N(Settings!$C$40),N($AW175))+$BC176))</f>
        <v/>
      </c>
      <c r="AX176">
        <f>IF(OR(Settings!$A$41="",$E176="pre"),"",IF(AND('Month-End'!$FQ$43&lt;&gt;"",NOT(_xlfn.ISFORMULA('Month-End'!$FQ$43))),N('Month-End'!$FQ$43),IF(OR($E176="open",$E175="pre"),N(Settings!$C$41),N($AX175))+$BD176))</f>
        <v/>
      </c>
      <c r="AY176">
        <f>IF($E176="pre",0,N('Month-End'!$FQ$45))</f>
        <v/>
      </c>
      <c r="AZ176">
        <f>IF($E176="pre",0,N('Month-End'!$FQ$46))</f>
        <v/>
      </c>
      <c r="BA176">
        <f>IF($E176="pre",0,N('Month-End'!$FQ$47))</f>
        <v/>
      </c>
      <c r="BB176">
        <f>IF($E176="pre",0,N('Month-End'!$FQ$48))</f>
        <v/>
      </c>
      <c r="BC176">
        <f>IF($E176="pre",0,N('Month-End'!$FQ$49))</f>
        <v/>
      </c>
      <c r="BD176">
        <f>IF($E176="pre",0,N('Month-End'!$FQ$50))</f>
        <v/>
      </c>
      <c r="BE176">
        <f>IF(OR(Settings!$C$45="",Settings!$D$45=""),0,Settings!$C$45*IF(Settings!$D$45="Weekly",IF(IFERROR(MATCH(Settings!$E$45,$EO$4:$EO$10,0),0)=0,0,IF(MIN($C176,IF(Settings!$G$45="",$C176,Settings!$G$45))&lt;MAX($A176,Settings!$F$45),0,INT((MIN($C176,IF(Settings!$G$45="",$C176,Settings!$G$45))-MAX($A176,Settings!$F$45)-MOD(IFERROR(MATCH(Settings!$E$45,$EO$4:$EO$10,0),0)-WEEKDAY(MAX($A176,Settings!$F$45)),7))/7)+1)),IF(AND(IF(Settings!$E$45="",$B176,DATE(YEAR($A176),MONTH($A176),MIN(Settings!$E$45,DAY($B176))))&gt;=MAX($A176,Settings!$F$45),IF(Settings!$E$45="",$B176,DATE(YEAR($A176),MONTH($A176),MIN(Settings!$E$45,DAY($B176))))&lt;=MIN($C176,IF(Settings!$G$45="",$C176,Settings!$G$45))),1,0)))</f>
        <v/>
      </c>
      <c r="BF176">
        <f>IF(OR(Settings!$C$46="",Settings!$D$46=""),0,Settings!$C$46*IF(Settings!$D$46="Weekly",IF(IFERROR(MATCH(Settings!$E$46,$EO$4:$EO$10,0),0)=0,0,IF(MIN($C176,IF(Settings!$G$46="",$C176,Settings!$G$46))&lt;MAX($A176,Settings!$F$46),0,INT((MIN($C176,IF(Settings!$G$46="",$C176,Settings!$G$46))-MAX($A176,Settings!$F$46)-MOD(IFERROR(MATCH(Settings!$E$46,$EO$4:$EO$10,0),0)-WEEKDAY(MAX($A176,Settings!$F$46)),7))/7)+1)),IF(AND(IF(Settings!$E$46="",$B176,DATE(YEAR($A176),MONTH($A176),MIN(Settings!$E$46,DAY($B176))))&gt;=MAX($A176,Settings!$F$46),IF(Settings!$E$46="",$B176,DATE(YEAR($A176),MONTH($A176),MIN(Settings!$E$46,DAY($B176))))&lt;=MIN($C176,IF(Settings!$G$46="",$C176,Settings!$G$46))),1,0)))</f>
        <v/>
      </c>
      <c r="BG176">
        <f>IF(OR(Settings!$C$47="",Settings!$D$47=""),0,Settings!$C$47*IF(Settings!$D$47="Weekly",IF(IFERROR(MATCH(Settings!$E$47,$EO$4:$EO$10,0),0)=0,0,IF(MIN($C176,IF(Settings!$G$47="",$C176,Settings!$G$47))&lt;MAX($A176,Settings!$F$47),0,INT((MIN($C176,IF(Settings!$G$47="",$C176,Settings!$G$47))-MAX($A176,Settings!$F$47)-MOD(IFERROR(MATCH(Settings!$E$47,$EO$4:$EO$10,0),0)-WEEKDAY(MAX($A176,Settings!$F$47)),7))/7)+1)),IF(AND(IF(Settings!$E$47="",$B176,DATE(YEAR($A176),MONTH($A176),MIN(Settings!$E$47,DAY($B176))))&gt;=MAX($A176,Settings!$F$47),IF(Settings!$E$47="",$B176,DATE(YEAR($A176),MONTH($A176),MIN(Settings!$E$47,DAY($B176))))&lt;=MIN($C176,IF(Settings!$G$47="",$C176,Settings!$G$47))),1,0)))</f>
        <v/>
      </c>
      <c r="BH176">
        <f>IF(OR(Settings!$C$48="",Settings!$D$48=""),0,Settings!$C$48*IF(Settings!$D$48="Weekly",IF(IFERROR(MATCH(Settings!$E$48,$EO$4:$EO$10,0),0)=0,0,IF(MIN($C176,IF(Settings!$G$48="",$C176,Settings!$G$48))&lt;MAX($A176,Settings!$F$48),0,INT((MIN($C176,IF(Settings!$G$48="",$C176,Settings!$G$48))-MAX($A176,Settings!$F$48)-MOD(IFERROR(MATCH(Settings!$E$48,$EO$4:$EO$10,0),0)-WEEKDAY(MAX($A176,Settings!$F$48)),7))/7)+1)),IF(AND(IF(Settings!$E$48="",$B176,DATE(YEAR($A176),MONTH($A176),MIN(Settings!$E$48,DAY($B176))))&gt;=MAX($A176,Settings!$F$48),IF(Settings!$E$48="",$B176,DATE(YEAR($A176),MONTH($A176),MIN(Settings!$E$48,DAY($B176))))&lt;=MIN($C176,IF(Settings!$G$48="",$C176,Settings!$G$48))),1,0)))</f>
        <v/>
      </c>
      <c r="BI176">
        <f>IF(OR(Settings!$C$49="",Settings!$D$49=""),0,Settings!$C$49*IF(Settings!$D$49="Weekly",IF(IFERROR(MATCH(Settings!$E$49,$EO$4:$EO$10,0),0)=0,0,IF(MIN($C176,IF(Settings!$G$49="",$C176,Settings!$G$49))&lt;MAX($A176,Settings!$F$49),0,INT((MIN($C176,IF(Settings!$G$49="",$C176,Settings!$G$49))-MAX($A176,Settings!$F$49)-MOD(IFERROR(MATCH(Settings!$E$49,$EO$4:$EO$10,0),0)-WEEKDAY(MAX($A176,Settings!$F$49)),7))/7)+1)),IF(AND(IF(Settings!$E$49="",$B176,DATE(YEAR($A176),MONTH($A176),MIN(Settings!$E$49,DAY($B176))))&gt;=MAX($A176,Settings!$F$49),IF(Settings!$E$49="",$B176,DATE(YEAR($A176),MONTH($A176),MIN(Settings!$E$49,DAY($B176))))&lt;=MIN($C176,IF(Settings!$G$49="",$C176,Settings!$G$49))),1,0)))</f>
        <v/>
      </c>
      <c r="BJ176">
        <f>IF(OR(Settings!$C$50="",Settings!$D$50=""),0,Settings!$C$50*IF(Settings!$D$50="Weekly",IF(IFERROR(MATCH(Settings!$E$50,$EO$4:$EO$10,0),0)=0,0,IF(MIN($C176,IF(Settings!$G$50="",$C176,Settings!$G$50))&lt;MAX($A176,Settings!$F$50),0,INT((MIN($C176,IF(Settings!$G$50="",$C176,Settings!$G$50))-MAX($A176,Settings!$F$50)-MOD(IFERROR(MATCH(Settings!$E$50,$EO$4:$EO$10,0),0)-WEEKDAY(MAX($A176,Settings!$F$50)),7))/7)+1)),IF(AND(IF(Settings!$E$50="",$B176,DATE(YEAR($A176),MONTH($A176),MIN(Settings!$E$50,DAY($B176))))&gt;=MAX($A176,Settings!$F$50),IF(Settings!$E$50="",$B176,DATE(YEAR($A176),MONTH($A176),MIN(Settings!$E$50,DAY($B176))))&lt;=MIN($C176,IF(Settings!$G$50="",$C176,Settings!$G$50))),1,0)))</f>
        <v/>
      </c>
      <c r="BK176">
        <f>IF(OR(Settings!$C$51="",Settings!$D$51=""),0,Settings!$C$51*IF(Settings!$D$51="Weekly",IF(IFERROR(MATCH(Settings!$E$51,$EO$4:$EO$10,0),0)=0,0,IF(MIN($C176,IF(Settings!$G$51="",$C176,Settings!$G$51))&lt;MAX($A176,Settings!$F$51),0,INT((MIN($C176,IF(Settings!$G$51="",$C176,Settings!$G$51))-MAX($A176,Settings!$F$51)-MOD(IFERROR(MATCH(Settings!$E$51,$EO$4:$EO$10,0),0)-WEEKDAY(MAX($A176,Settings!$F$51)),7))/7)+1)),IF(AND(IF(Settings!$E$51="",$B176,DATE(YEAR($A176),MONTH($A176),MIN(Settings!$E$51,DAY($B176))))&gt;=MAX($A176,Settings!$F$51),IF(Settings!$E$51="",$B176,DATE(YEAR($A176),MONTH($A176),MIN(Settings!$E$51,DAY($B176))))&lt;=MIN($C176,IF(Settings!$G$51="",$C176,Settings!$G$51))),1,0)))</f>
        <v/>
      </c>
      <c r="BL176">
        <f>IF(OR(Settings!$C$52="",Settings!$D$52=""),0,Settings!$C$52*IF(Settings!$D$52="Weekly",IF(IFERROR(MATCH(Settings!$E$52,$EO$4:$EO$10,0),0)=0,0,IF(MIN($C176,IF(Settings!$G$52="",$C176,Settings!$G$52))&lt;MAX($A176,Settings!$F$52),0,INT((MIN($C176,IF(Settings!$G$52="",$C176,Settings!$G$52))-MAX($A176,Settings!$F$52)-MOD(IFERROR(MATCH(Settings!$E$52,$EO$4:$EO$10,0),0)-WEEKDAY(MAX($A176,Settings!$F$52)),7))/7)+1)),IF(AND(IF(Settings!$E$52="",$B176,DATE(YEAR($A176),MONTH($A176),MIN(Settings!$E$52,DAY($B176))))&gt;=MAX($A176,Settings!$F$52),IF(Settings!$E$52="",$B176,DATE(YEAR($A176),MONTH($A176),MIN(Settings!$E$52,DAY($B176))))&lt;=MIN($C176,IF(Settings!$G$52="",$C176,Settings!$G$52))),1,0)))</f>
        <v/>
      </c>
      <c r="BM176">
        <f>IF(OR(Settings!$C$53="",Settings!$D$53=""),0,Settings!$C$53*IF(Settings!$D$53="Weekly",IF(IFERROR(MATCH(Settings!$E$53,$EO$4:$EO$10,0),0)=0,0,IF(MIN($C176,IF(Settings!$G$53="",$C176,Settings!$G$53))&lt;MAX($A176,Settings!$F$53),0,INT((MIN($C176,IF(Settings!$G$53="",$C176,Settings!$G$53))-MAX($A176,Settings!$F$53)-MOD(IFERROR(MATCH(Settings!$E$53,$EO$4:$EO$10,0),0)-WEEKDAY(MAX($A176,Settings!$F$53)),7))/7)+1)),IF(AND(IF(Settings!$E$53="",$B176,DATE(YEAR($A176),MONTH($A176),MIN(Settings!$E$53,DAY($B176))))&gt;=MAX($A176,Settings!$F$53),IF(Settings!$E$53="",$B176,DATE(YEAR($A176),MONTH($A176),MIN(Settings!$E$53,DAY($B176))))&lt;=MIN($C176,IF(Settings!$G$53="",$C176,Settings!$G$53))),1,0)))</f>
        <v/>
      </c>
      <c r="BN176">
        <f>IF(OR(Settings!$C$54="",Settings!$D$54=""),0,Settings!$C$54*IF(Settings!$D$54="Weekly",IF(IFERROR(MATCH(Settings!$E$54,$EO$4:$EO$10,0),0)=0,0,IF(MIN($C176,IF(Settings!$G$54="",$C176,Settings!$G$54))&lt;MAX($A176,Settings!$F$54),0,INT((MIN($C176,IF(Settings!$G$54="",$C176,Settings!$G$54))-MAX($A176,Settings!$F$54)-MOD(IFERROR(MATCH(Settings!$E$54,$EO$4:$EO$10,0),0)-WEEKDAY(MAX($A176,Settings!$F$54)),7))/7)+1)),IF(AND(IF(Settings!$E$54="",$B176,DATE(YEAR($A176),MONTH($A176),MIN(Settings!$E$54,DAY($B176))))&gt;=MAX($A176,Settings!$F$54),IF(Settings!$E$54="",$B176,DATE(YEAR($A176),MONTH($A176),MIN(Settings!$E$54,DAY($B176))))&lt;=MIN($C176,IF(Settings!$G$54="",$C176,Settings!$G$54))),1,0)))</f>
        <v/>
      </c>
      <c r="BO176">
        <f>IF(OR(Settings!$C$55="",Settings!$D$55=""),0,Settings!$C$55*IF(Settings!$D$55="Weekly",IF(IFERROR(MATCH(Settings!$E$55,$EO$4:$EO$10,0),0)=0,0,IF(MIN($C176,IF(Settings!$G$55="",$C176,Settings!$G$55))&lt;MAX($A176,Settings!$F$55),0,INT((MIN($C176,IF(Settings!$G$55="",$C176,Settings!$G$55))-MAX($A176,Settings!$F$55)-MOD(IFERROR(MATCH(Settings!$E$55,$EO$4:$EO$10,0),0)-WEEKDAY(MAX($A176,Settings!$F$55)),7))/7)+1)),IF(AND(IF(Settings!$E$55="",$B176,DATE(YEAR($A176),MONTH($A176),MIN(Settings!$E$55,DAY($B176))))&gt;=MAX($A176,Settings!$F$55),IF(Settings!$E$55="",$B176,DATE(YEAR($A176),MONTH($A176),MIN(Settings!$E$55,DAY($B176))))&lt;=MIN($C176,IF(Settings!$G$55="",$C176,Settings!$G$55))),1,0)))</f>
        <v/>
      </c>
      <c r="BP176">
        <f>IF(OR(Settings!$C$56="",Settings!$D$56=""),0,Settings!$C$56*IF(Settings!$D$56="Weekly",IF(IFERROR(MATCH(Settings!$E$56,$EO$4:$EO$10,0),0)=0,0,IF(MIN($C176,IF(Settings!$G$56="",$C176,Settings!$G$56))&lt;MAX($A176,Settings!$F$56),0,INT((MIN($C176,IF(Settings!$G$56="",$C176,Settings!$G$56))-MAX($A176,Settings!$F$56)-MOD(IFERROR(MATCH(Settings!$E$56,$EO$4:$EO$10,0),0)-WEEKDAY(MAX($A176,Settings!$F$56)),7))/7)+1)),IF(AND(IF(Settings!$E$56="",$B176,DATE(YEAR($A176),MONTH($A176),MIN(Settings!$E$56,DAY($B176))))&gt;=MAX($A176,Settings!$F$56),IF(Settings!$E$56="",$B176,DATE(YEAR($A176),MONTH($A176),MIN(Settings!$E$56,DAY($B176))))&lt;=MIN($C176,IF(Settings!$G$56="",$C176,Settings!$G$56))),1,0)))</f>
        <v/>
      </c>
      <c r="BQ176">
        <f>IF(OR(Settings!$B$14="",$D176=1,$E176="pre",$A176&lt;IF(Settings!$B$15="",0,Settings!$B$15)),0,Settings!$B$14)</f>
        <v/>
      </c>
      <c r="BR176">
        <f>IF(AND('Month-End'!$FQ$7&lt;&gt;"",NOT(_xlfn.ISFORMULA('Month-End'!$FQ$7))),1,0)</f>
        <v/>
      </c>
      <c r="BS176">
        <f>IF(AND('Month-End'!$FQ$8&lt;&gt;"",NOT(_xlfn.ISFORMULA('Month-End'!$FQ$8))),1,0)</f>
        <v/>
      </c>
      <c r="BT176">
        <f>IF(AND('Month-End'!$FQ$9&lt;&gt;"",NOT(_xlfn.ISFORMULA('Month-End'!$FQ$9))),1,0)</f>
        <v/>
      </c>
      <c r="BU176">
        <f>IF(AND('Month-End'!$FQ$10&lt;&gt;"",NOT(_xlfn.ISFORMULA('Month-End'!$FQ$10))),1,0)</f>
        <v/>
      </c>
      <c r="BV176">
        <f>IF(AND('Month-End'!$FQ$11&lt;&gt;"",NOT(_xlfn.ISFORMULA('Month-End'!$FQ$11))),1,0)</f>
        <v/>
      </c>
      <c r="BW176">
        <f>IF(AND('Month-End'!$FQ$12&lt;&gt;"",NOT(_xlfn.ISFORMULA('Month-End'!$FQ$12))),1,0)</f>
        <v/>
      </c>
      <c r="BX176">
        <f>IF(AND('Month-End'!$FQ$13&lt;&gt;"",NOT(_xlfn.ISFORMULA('Month-End'!$FQ$13))),1,0)</f>
        <v/>
      </c>
      <c r="BY176">
        <f>IF(AND('Month-End'!$FQ$14&lt;&gt;"",NOT(_xlfn.ISFORMULA('Month-End'!$FQ$14))),1,0)</f>
        <v/>
      </c>
      <c r="BZ176">
        <f>IF(AND('Month-End'!$FQ$15&lt;&gt;"",NOT(_xlfn.ISFORMULA('Month-End'!$FQ$15))),1,0)</f>
        <v/>
      </c>
      <c r="CA176">
        <f>IF(AND('Month-End'!$FQ$16&lt;&gt;"",NOT(_xlfn.ISFORMULA('Month-End'!$FQ$16))),1,0)</f>
        <v/>
      </c>
      <c r="CB176">
        <f>IF(AND('Month-End'!$FQ$17&lt;&gt;"",NOT(_xlfn.ISFORMULA('Month-End'!$FQ$17))),1,0)</f>
        <v/>
      </c>
      <c r="CC176">
        <f>IF(AND('Month-End'!$FQ$18&lt;&gt;"",NOT(_xlfn.ISFORMULA('Month-End'!$FQ$18))),1,0)</f>
        <v/>
      </c>
      <c r="CD176">
        <f>IF(AND('Month-End'!$FQ$19&lt;&gt;"",NOT(_xlfn.ISFORMULA('Month-End'!$FQ$19))),1,0)</f>
        <v/>
      </c>
      <c r="CE176">
        <f>IF(AND('Month-End'!$FQ$20&lt;&gt;"",NOT(_xlfn.ISFORMULA('Month-End'!$FQ$20))),1,0)</f>
        <v/>
      </c>
      <c r="CF176">
        <f>IF(AND('Month-End'!$FQ$38&lt;&gt;"",NOT(_xlfn.ISFORMULA('Month-End'!$FQ$38))),1,0)</f>
        <v/>
      </c>
      <c r="CG176">
        <f>IF(AND('Month-End'!$FQ$39&lt;&gt;"",NOT(_xlfn.ISFORMULA('Month-End'!$FQ$39))),1,0)</f>
        <v/>
      </c>
      <c r="CH176">
        <f>IF(AND('Month-End'!$FQ$40&lt;&gt;"",NOT(_xlfn.ISFORMULA('Month-End'!$FQ$40))),1,0)</f>
        <v/>
      </c>
      <c r="CI176">
        <f>IF(AND('Month-End'!$FQ$41&lt;&gt;"",NOT(_xlfn.ISFORMULA('Month-End'!$FQ$41))),1,0)</f>
        <v/>
      </c>
      <c r="CJ176">
        <f>IF(AND('Month-End'!$FQ$42&lt;&gt;"",NOT(_xlfn.ISFORMULA('Month-End'!$FQ$42))),1,0)</f>
        <v/>
      </c>
      <c r="CK176">
        <f>IF(AND('Month-End'!$FQ$43&lt;&gt;"",NOT(_xlfn.ISFORMULA('Month-End'!$FQ$43))),1,0)</f>
        <v/>
      </c>
      <c r="CL176">
        <f>SUM($CM176:$CZ176)</f>
        <v/>
      </c>
      <c r="CM176">
        <f>IF(AND($E176&lt;&gt;"pre",AND(Settings!$A$19&lt;&gt;"",Settings!$E$19&lt;&gt;"No"),Settings!$F$19="Yes",NOT(AND('Month-End'!$FQ$7&lt;&gt;"",NOT(_xlfn.ISFORMULA('Month-End'!$FQ$7))))),1,0)</f>
        <v/>
      </c>
      <c r="CN176">
        <f>IF(AND($E176&lt;&gt;"pre",AND(Settings!$A$20&lt;&gt;"",Settings!$E$20&lt;&gt;"No"),Settings!$F$20="Yes",NOT(AND('Month-End'!$FQ$8&lt;&gt;"",NOT(_xlfn.ISFORMULA('Month-End'!$FQ$8))))),1,0)</f>
        <v/>
      </c>
      <c r="CO176">
        <f>IF(AND($E176&lt;&gt;"pre",AND(Settings!$A$21&lt;&gt;"",Settings!$E$21&lt;&gt;"No"),Settings!$F$21="Yes",NOT(AND('Month-End'!$FQ$9&lt;&gt;"",NOT(_xlfn.ISFORMULA('Month-End'!$FQ$9))))),1,0)</f>
        <v/>
      </c>
      <c r="CP176">
        <f>IF(AND($E176&lt;&gt;"pre",AND(Settings!$A$22&lt;&gt;"",Settings!$E$22&lt;&gt;"No"),Settings!$F$22="Yes",NOT(AND('Month-End'!$FQ$10&lt;&gt;"",NOT(_xlfn.ISFORMULA('Month-End'!$FQ$10))))),1,0)</f>
        <v/>
      </c>
      <c r="CQ176">
        <f>IF(AND($E176&lt;&gt;"pre",AND(Settings!$A$23&lt;&gt;"",Settings!$E$23&lt;&gt;"No"),Settings!$F$23="Yes",NOT(AND('Month-End'!$FQ$11&lt;&gt;"",NOT(_xlfn.ISFORMULA('Month-End'!$FQ$11))))),1,0)</f>
        <v/>
      </c>
      <c r="CR176">
        <f>IF(AND($E176&lt;&gt;"pre",AND(Settings!$A$24&lt;&gt;"",Settings!$E$24&lt;&gt;"No"),Settings!$F$24="Yes",NOT(AND('Month-End'!$FQ$12&lt;&gt;"",NOT(_xlfn.ISFORMULA('Month-End'!$FQ$12))))),1,0)</f>
        <v/>
      </c>
      <c r="CS176">
        <f>IF(AND($E176&lt;&gt;"pre",AND(Settings!$A$25&lt;&gt;"",Settings!$E$25&lt;&gt;"No"),Settings!$F$25="Yes",NOT(AND('Month-End'!$FQ$13&lt;&gt;"",NOT(_xlfn.ISFORMULA('Month-End'!$FQ$13))))),1,0)</f>
        <v/>
      </c>
      <c r="CT176">
        <f>IF(AND($E176&lt;&gt;"pre",AND(Settings!$A$26&lt;&gt;"",Settings!$E$26&lt;&gt;"No"),Settings!$F$26="Yes",NOT(AND('Month-End'!$FQ$14&lt;&gt;"",NOT(_xlfn.ISFORMULA('Month-End'!$FQ$14))))),1,0)</f>
        <v/>
      </c>
      <c r="CU176">
        <f>IF(AND($E176&lt;&gt;"pre",AND(Settings!$A$27&lt;&gt;"",Settings!$E$27&lt;&gt;"No"),Settings!$F$27="Yes",NOT(AND('Month-End'!$FQ$15&lt;&gt;"",NOT(_xlfn.ISFORMULA('Month-End'!$FQ$15))))),1,0)</f>
        <v/>
      </c>
      <c r="CV176">
        <f>IF(AND($E176&lt;&gt;"pre",AND(Settings!$A$28&lt;&gt;"",Settings!$E$28&lt;&gt;"No"),Settings!$F$28="Yes",NOT(AND('Month-End'!$FQ$16&lt;&gt;"",NOT(_xlfn.ISFORMULA('Month-End'!$FQ$16))))),1,0)</f>
        <v/>
      </c>
      <c r="CW176">
        <f>IF(AND($E176&lt;&gt;"pre",AND(Settings!$A$29&lt;&gt;"",Settings!$E$29&lt;&gt;"No"),Settings!$F$29="Yes",NOT(AND('Month-End'!$FQ$17&lt;&gt;"",NOT(_xlfn.ISFORMULA('Month-End'!$FQ$17))))),1,0)</f>
        <v/>
      </c>
      <c r="CX176">
        <f>IF(AND($E176&lt;&gt;"pre",AND(Settings!$A$30&lt;&gt;"",Settings!$E$30&lt;&gt;"No"),Settings!$F$30="Yes",NOT(AND('Month-End'!$FQ$18&lt;&gt;"",NOT(_xlfn.ISFORMULA('Month-End'!$FQ$18))))),1,0)</f>
        <v/>
      </c>
      <c r="CY176">
        <f>IF(AND($E176&lt;&gt;"pre",AND(Settings!$A$31&lt;&gt;"",Settings!$E$31&lt;&gt;"No"),Settings!$F$31="Yes",NOT(AND('Month-End'!$FQ$19&lt;&gt;"",NOT(_xlfn.ISFORMULA('Month-End'!$FQ$19))))),1,0)</f>
        <v/>
      </c>
      <c r="CZ176">
        <f>IF(AND($E176&lt;&gt;"pre",AND(Settings!$A$32&lt;&gt;"",Settings!$E$32&lt;&gt;"No"),Settings!$F$32="Yes",NOT(AND('Month-End'!$FQ$20&lt;&gt;"",NOT(_xlfn.ISFORMULA('Month-End'!$FQ$20))))),1,0)</f>
        <v/>
      </c>
      <c r="DA176">
        <f>IF($DT176=1,IF(OR(Settings!$B$19="Checking",Settings!$B$19="Savings",Settings!$B$19="Cash"),N($AE176),IF(OR(Settings!$B$19="Card",Settings!$B$19="Loan"),-N($AE176),0))+IF(OR(Settings!$B$20="Checking",Settings!$B$20="Savings",Settings!$B$20="Cash"),N($AF176),IF(OR(Settings!$B$20="Card",Settings!$B$20="Loan"),-N($AF176),0))+IF(OR(Settings!$B$21="Checking",Settings!$B$21="Savings",Settings!$B$21="Cash"),N($AG176),IF(OR(Settings!$B$21="Card",Settings!$B$21="Loan"),-N($AG176),0))+IF(OR(Settings!$B$22="Checking",Settings!$B$22="Savings",Settings!$B$22="Cash"),N($AH176),IF(OR(Settings!$B$22="Card",Settings!$B$22="Loan"),-N($AH176),0))+IF(OR(Settings!$B$23="Checking",Settings!$B$23="Savings",Settings!$B$23="Cash"),N($AI176),IF(OR(Settings!$B$23="Card",Settings!$B$23="Loan"),-N($AI176),0))+IF(OR(Settings!$B$24="Checking",Settings!$B$24="Savings",Settings!$B$24="Cash"),N($AJ176),IF(OR(Settings!$B$24="Card",Settings!$B$24="Loan"),-N($AJ176),0))+IF(OR(Settings!$B$25="Checking",Settings!$B$25="Savings",Settings!$B$25="Cash"),N($AK176),IF(OR(Settings!$B$25="Card",Settings!$B$25="Loan"),-N($AK176),0))+IF(OR(Settings!$B$26="Checking",Settings!$B$26="Savings",Settings!$B$26="Cash"),N($AL176),IF(OR(Settings!$B$26="Card",Settings!$B$26="Loan"),-N($AL176),0))+IF(OR(Settings!$B$27="Checking",Settings!$B$27="Savings",Settings!$B$27="Cash"),N($AM176),IF(OR(Settings!$B$27="Card",Settings!$B$27="Loan"),-N($AM176),0))+IF(OR(Settings!$B$28="Checking",Settings!$B$28="Savings",Settings!$B$28="Cash"),N($AN176),IF(OR(Settings!$B$28="Card",Settings!$B$28="Loan"),-N($AN176),0))+IF(OR(Settings!$B$29="Checking",Settings!$B$29="Savings",Settings!$B$29="Cash"),N($AO176),IF(OR(Settings!$B$29="Card",Settings!$B$29="Loan"),-N($AO176),0))+IF(OR(Settings!$B$30="Checking",Settings!$B$30="Savings",Settings!$B$30="Cash"),N($AP176),IF(OR(Settings!$B$30="Card",Settings!$B$30="Loan"),-N($AP176),0))+IF(OR(Settings!$B$31="Checking",Settings!$B$31="Savings",Settings!$B$31="Cash"),N($AQ176),IF(OR(Settings!$B$31="Card",Settings!$B$31="Loan"),-N($AQ176),0))+IF(OR(Settings!$B$32="Checking",Settings!$B$32="Savings",Settings!$B$32="Cash"),N($AR176),IF(OR(Settings!$B$32="Card",Settings!$B$32="Loan"),-N($AR176),0)),"")</f>
        <v/>
      </c>
      <c r="DB176">
        <f>IF($E176="open",$EB$27,IF($E176="post",IF($E175="pre",$EB$27,$DA175),""))</f>
        <v/>
      </c>
      <c r="DC176">
        <f>IF($E176="open",1,IF($E176="post",IF($E175="pre",1,$DT175),0))</f>
        <v/>
      </c>
      <c r="DD176">
        <f>IF(AND($DT176=1,$DC176=1),ROUND($W176-($DA176-$DB176)-$AD176-$AB176,2),"")</f>
        <v/>
      </c>
      <c r="DE176">
        <f>IF('Month-End'!$FQ$35="",$BQ176,N('Month-End'!$FQ$35))</f>
        <v/>
      </c>
      <c r="DF176">
        <f>N('Month-End'!$FQ$36)</f>
        <v/>
      </c>
      <c r="DG176">
        <f>IF($DD176="","",$DD176+$DE176)</f>
        <v/>
      </c>
      <c r="DH176">
        <f>IF($DG176="","",$DG176-$DF176)</f>
        <v/>
      </c>
      <c r="DI176">
        <f>IF(OR($E176="pre",$D176=1),"",N($AS176)+N($AT176)+N($AU176)+N($AV176)+N($AW176)+N($AX176))</f>
        <v/>
      </c>
      <c r="DJ176">
        <f>IF($DT176=1,$DA176+N($DI176),"")</f>
        <v/>
      </c>
      <c r="DK176">
        <f>IF($DD176="","",$W176-$DD176-$AB176)</f>
        <v/>
      </c>
      <c r="DL176">
        <f>IF(AND($E176="post",$DD176&lt;&gt;"",$B176&lt;TODAY()),1,0)</f>
        <v/>
      </c>
      <c r="DM176">
        <f>IF($DL176=1,COUNTIF($DL176:$DL$183,1),0)</f>
        <v/>
      </c>
      <c r="DN176">
        <f>IF($D176=1,"",IF($E176="pre","History only",IF($DT176=1,IF($DD176="","⚠ Previous month missing",IF($DD176&lt;0,"⚠ Check: spending &lt; 0",IF($E176="open","✓ Done (partial)","✓ Done"))),IF($B176&gt;=TODAY(),"In progress","⚠ Needs balances"))))</f>
        <v/>
      </c>
      <c r="DO176">
        <f>YEAR($A176)</f>
        <v/>
      </c>
      <c r="DP176">
        <f>DATE(YEAR($A176),INT((MONTH($A176)-1)/3)*3+1,1)</f>
        <v/>
      </c>
      <c r="DQ176">
        <f>IF(AND($DT176=1,$DD176&lt;&gt;"",$D176=0),ROW(),0)</f>
        <v/>
      </c>
      <c r="DR176">
        <f>IF(AND($E176&lt;&gt;"pre",$B176&lt;TODAY(),$DT176=0),1,0)</f>
        <v/>
      </c>
      <c r="DS176">
        <f>IF($DJ176="",NA(),$DJ176)</f>
        <v/>
      </c>
      <c r="DT176">
        <f>IF(AND($E176&lt;&gt;"pre",$CL176=0,COUNTIFS(Settings!$F$19:$F$32,"Yes",Settings!$A$19:$A$32,"&lt;&gt;",Settings!$E$19:$E$32,"&lt;&gt;No")&gt;0),1,0)</f>
        <v/>
      </c>
      <c r="DU176">
        <f>IF(AND($B176&lt;TODAY(),$S176&gt;0),1,0)</f>
        <v/>
      </c>
      <c r="DV176">
        <f>IF($DU176=1,COUNTIF($DU176:$DU$183,1),0)</f>
        <v/>
      </c>
      <c r="DW176">
        <f>IF(AND(OR(Settings!$B$19="Card",Settings!$B$19="Loan"),AND('Month-End'!$FQ$7&lt;&gt;"",NOT(_xlfn.ISFORMULA('Month-End'!$FQ$7)))),IF(N('Month-End'!$FQ$7)&lt;0,1,0),0)+IF(AND(OR(Settings!$B$20="Card",Settings!$B$20="Loan"),AND('Month-End'!$FQ$8&lt;&gt;"",NOT(_xlfn.ISFORMULA('Month-End'!$FQ$8)))),IF(N('Month-End'!$FQ$8)&lt;0,1,0),0)+IF(AND(OR(Settings!$B$21="Card",Settings!$B$21="Loan"),AND('Month-End'!$FQ$9&lt;&gt;"",NOT(_xlfn.ISFORMULA('Month-End'!$FQ$9)))),IF(N('Month-End'!$FQ$9)&lt;0,1,0),0)+IF(AND(OR(Settings!$B$22="Card",Settings!$B$22="Loan"),AND('Month-End'!$FQ$10&lt;&gt;"",NOT(_xlfn.ISFORMULA('Month-End'!$FQ$10)))),IF(N('Month-End'!$FQ$10)&lt;0,1,0),0)+IF(AND(OR(Settings!$B$23="Card",Settings!$B$23="Loan"),AND('Month-End'!$FQ$11&lt;&gt;"",NOT(_xlfn.ISFORMULA('Month-End'!$FQ$11)))),IF(N('Month-End'!$FQ$11)&lt;0,1,0),0)+IF(AND(OR(Settings!$B$24="Card",Settings!$B$24="Loan"),AND('Month-End'!$FQ$12&lt;&gt;"",NOT(_xlfn.ISFORMULA('Month-End'!$FQ$12)))),IF(N('Month-End'!$FQ$12)&lt;0,1,0),0)+IF(AND(OR(Settings!$B$25="Card",Settings!$B$25="Loan"),AND('Month-End'!$FQ$13&lt;&gt;"",NOT(_xlfn.ISFORMULA('Month-End'!$FQ$13)))),IF(N('Month-End'!$FQ$13)&lt;0,1,0),0)+IF(AND(OR(Settings!$B$26="Card",Settings!$B$26="Loan"),AND('Month-End'!$FQ$14&lt;&gt;"",NOT(_xlfn.ISFORMULA('Month-End'!$FQ$14)))),IF(N('Month-End'!$FQ$14)&lt;0,1,0),0)+IF(AND(OR(Settings!$B$27="Card",Settings!$B$27="Loan"),AND('Month-End'!$FQ$15&lt;&gt;"",NOT(_xlfn.ISFORMULA('Month-End'!$FQ$15)))),IF(N('Month-End'!$FQ$15)&lt;0,1,0),0)+IF(AND(OR(Settings!$B$28="Card",Settings!$B$28="Loan"),AND('Month-End'!$FQ$16&lt;&gt;"",NOT(_xlfn.ISFORMULA('Month-End'!$FQ$16)))),IF(N('Month-End'!$FQ$16)&lt;0,1,0),0)+IF(AND(OR(Settings!$B$29="Card",Settings!$B$29="Loan"),AND('Month-End'!$FQ$17&lt;&gt;"",NOT(_xlfn.ISFORMULA('Month-End'!$FQ$17)))),IF(N('Month-End'!$FQ$17)&lt;0,1,0),0)+IF(AND(OR(Settings!$B$30="Card",Settings!$B$30="Loan"),AND('Month-End'!$FQ$18&lt;&gt;"",NOT(_xlfn.ISFORMULA('Month-End'!$FQ$18)))),IF(N('Month-End'!$FQ$18)&lt;0,1,0),0)+IF(AND(OR(Settings!$B$31="Card",Settings!$B$31="Loan"),AND('Month-End'!$FQ$19&lt;&gt;"",NOT(_xlfn.ISFORMULA('Month-End'!$FQ$19)))),IF(N('Month-End'!$FQ$19)&lt;0,1,0),0)+IF(AND(OR(Settings!$B$32="Card",Settings!$B$32="Loan"),AND('Month-End'!$FQ$20&lt;&gt;"",NOT(_xlfn.ISFORMULA('Month-End'!$FQ$20)))),IF(N('Month-End'!$FQ$20)&lt;0,1,0),0)</f>
        <v/>
      </c>
      <c r="DX176">
        <f>IF(Settings!$B$36="Retirement",$AY176,0)+IF(Settings!$B$37="Retirement",$AZ176,0)+IF(Settings!$B$38="Retirement",$BA176,0)+IF(Settings!$B$39="Retirement",$BB176,0)+IF(Settings!$B$40="Retirement",$BC176,0)+IF(Settings!$B$41="Retirement",$BD176,0)</f>
        <v/>
      </c>
      <c r="ET176">
        <f>IF($E176&lt;&gt;"open",0,IF(AND('Month-End'!$FQ$22&lt;&gt;"",NOT(_xlfn.ISFORMULA('Month-End'!$FQ$22))),0,IF(OR(Settings!$C$45="",Settings!$D$45=""),0,Settings!$C$45*IF(Settings!$D$45="Weekly",IF(IFERROR(MATCH(Settings!$E$45,$EO$4:$EO$10,0),0)=0,0,IF(MIN(Settings!$B$5,IF(Settings!$G$45="",Settings!$B$5,Settings!$G$45))&lt;MAX($A176,Settings!$F$45),0,INT((MIN(Settings!$B$5,IF(Settings!$G$45="",Settings!$B$5,Settings!$G$45))-MAX($A176,Settings!$F$45)-MOD(IFERROR(MATCH(Settings!$E$45,$EO$4:$EO$10,0),0)-WEEKDAY(MAX($A176,Settings!$F$45)),7))/7)+1)),IF(AND(IF(Settings!$E$45="",$B176,DATE(YEAR($A176),MONTH($A176),MIN(Settings!$E$45,DAY($B176))))&gt;=MAX($A176,Settings!$F$45),IF(Settings!$E$45="",$B176,DATE(YEAR($A176),MONTH($A176),MIN(Settings!$E$45,DAY($B176))))&lt;=MIN(Settings!$B$5,IF(Settings!$G$45="",Settings!$B$5,Settings!$G$45))),1,0)))))</f>
        <v/>
      </c>
      <c r="EU176">
        <f>IF($E176&lt;&gt;"open",0,IF(AND('Month-End'!$FQ$23&lt;&gt;"",NOT(_xlfn.ISFORMULA('Month-End'!$FQ$23))),0,IF(OR(Settings!$C$46="",Settings!$D$46=""),0,Settings!$C$46*IF(Settings!$D$46="Weekly",IF(IFERROR(MATCH(Settings!$E$46,$EO$4:$EO$10,0),0)=0,0,IF(MIN(Settings!$B$5,IF(Settings!$G$46="",Settings!$B$5,Settings!$G$46))&lt;MAX($A176,Settings!$F$46),0,INT((MIN(Settings!$B$5,IF(Settings!$G$46="",Settings!$B$5,Settings!$G$46))-MAX($A176,Settings!$F$46)-MOD(IFERROR(MATCH(Settings!$E$46,$EO$4:$EO$10,0),0)-WEEKDAY(MAX($A176,Settings!$F$46)),7))/7)+1)),IF(AND(IF(Settings!$E$46="",$B176,DATE(YEAR($A176),MONTH($A176),MIN(Settings!$E$46,DAY($B176))))&gt;=MAX($A176,Settings!$F$46),IF(Settings!$E$46="",$B176,DATE(YEAR($A176),MONTH($A176),MIN(Settings!$E$46,DAY($B176))))&lt;=MIN(Settings!$B$5,IF(Settings!$G$46="",Settings!$B$5,Settings!$G$46))),1,0)))))</f>
        <v/>
      </c>
      <c r="EV176">
        <f>IF($E176&lt;&gt;"open",0,IF(AND('Month-End'!$FQ$24&lt;&gt;"",NOT(_xlfn.ISFORMULA('Month-End'!$FQ$24))),0,IF(OR(Settings!$C$47="",Settings!$D$47=""),0,Settings!$C$47*IF(Settings!$D$47="Weekly",IF(IFERROR(MATCH(Settings!$E$47,$EO$4:$EO$10,0),0)=0,0,IF(MIN(Settings!$B$5,IF(Settings!$G$47="",Settings!$B$5,Settings!$G$47))&lt;MAX($A176,Settings!$F$47),0,INT((MIN(Settings!$B$5,IF(Settings!$G$47="",Settings!$B$5,Settings!$G$47))-MAX($A176,Settings!$F$47)-MOD(IFERROR(MATCH(Settings!$E$47,$EO$4:$EO$10,0),0)-WEEKDAY(MAX($A176,Settings!$F$47)),7))/7)+1)),IF(AND(IF(Settings!$E$47="",$B176,DATE(YEAR($A176),MONTH($A176),MIN(Settings!$E$47,DAY($B176))))&gt;=MAX($A176,Settings!$F$47),IF(Settings!$E$47="",$B176,DATE(YEAR($A176),MONTH($A176),MIN(Settings!$E$47,DAY($B176))))&lt;=MIN(Settings!$B$5,IF(Settings!$G$47="",Settings!$B$5,Settings!$G$47))),1,0)))))</f>
        <v/>
      </c>
      <c r="EW176">
        <f>IF($E176&lt;&gt;"open",0,IF(AND('Month-End'!$FQ$25&lt;&gt;"",NOT(_xlfn.ISFORMULA('Month-End'!$FQ$25))),0,IF(OR(Settings!$C$48="",Settings!$D$48=""),0,Settings!$C$48*IF(Settings!$D$48="Weekly",IF(IFERROR(MATCH(Settings!$E$48,$EO$4:$EO$10,0),0)=0,0,IF(MIN(Settings!$B$5,IF(Settings!$G$48="",Settings!$B$5,Settings!$G$48))&lt;MAX($A176,Settings!$F$48),0,INT((MIN(Settings!$B$5,IF(Settings!$G$48="",Settings!$B$5,Settings!$G$48))-MAX($A176,Settings!$F$48)-MOD(IFERROR(MATCH(Settings!$E$48,$EO$4:$EO$10,0),0)-WEEKDAY(MAX($A176,Settings!$F$48)),7))/7)+1)),IF(AND(IF(Settings!$E$48="",$B176,DATE(YEAR($A176),MONTH($A176),MIN(Settings!$E$48,DAY($B176))))&gt;=MAX($A176,Settings!$F$48),IF(Settings!$E$48="",$B176,DATE(YEAR($A176),MONTH($A176),MIN(Settings!$E$48,DAY($B176))))&lt;=MIN(Settings!$B$5,IF(Settings!$G$48="",Settings!$B$5,Settings!$G$48))),1,0)))))</f>
        <v/>
      </c>
      <c r="EX176">
        <f>IF($E176&lt;&gt;"open",0,IF(AND('Month-End'!$FQ$26&lt;&gt;"",NOT(_xlfn.ISFORMULA('Month-End'!$FQ$26))),0,IF(OR(Settings!$C$49="",Settings!$D$49=""),0,Settings!$C$49*IF(Settings!$D$49="Weekly",IF(IFERROR(MATCH(Settings!$E$49,$EO$4:$EO$10,0),0)=0,0,IF(MIN(Settings!$B$5,IF(Settings!$G$49="",Settings!$B$5,Settings!$G$49))&lt;MAX($A176,Settings!$F$49),0,INT((MIN(Settings!$B$5,IF(Settings!$G$49="",Settings!$B$5,Settings!$G$49))-MAX($A176,Settings!$F$49)-MOD(IFERROR(MATCH(Settings!$E$49,$EO$4:$EO$10,0),0)-WEEKDAY(MAX($A176,Settings!$F$49)),7))/7)+1)),IF(AND(IF(Settings!$E$49="",$B176,DATE(YEAR($A176),MONTH($A176),MIN(Settings!$E$49,DAY($B176))))&gt;=MAX($A176,Settings!$F$49),IF(Settings!$E$49="",$B176,DATE(YEAR($A176),MONTH($A176),MIN(Settings!$E$49,DAY($B176))))&lt;=MIN(Settings!$B$5,IF(Settings!$G$49="",Settings!$B$5,Settings!$G$49))),1,0)))))</f>
        <v/>
      </c>
      <c r="EY176">
        <f>IF($E176&lt;&gt;"open",0,IF(AND('Month-End'!$FQ$27&lt;&gt;"",NOT(_xlfn.ISFORMULA('Month-End'!$FQ$27))),0,IF(OR(Settings!$C$50="",Settings!$D$50=""),0,Settings!$C$50*IF(Settings!$D$50="Weekly",IF(IFERROR(MATCH(Settings!$E$50,$EO$4:$EO$10,0),0)=0,0,IF(MIN(Settings!$B$5,IF(Settings!$G$50="",Settings!$B$5,Settings!$G$50))&lt;MAX($A176,Settings!$F$50),0,INT((MIN(Settings!$B$5,IF(Settings!$G$50="",Settings!$B$5,Settings!$G$50))-MAX($A176,Settings!$F$50)-MOD(IFERROR(MATCH(Settings!$E$50,$EO$4:$EO$10,0),0)-WEEKDAY(MAX($A176,Settings!$F$50)),7))/7)+1)),IF(AND(IF(Settings!$E$50="",$B176,DATE(YEAR($A176),MONTH($A176),MIN(Settings!$E$50,DAY($B176))))&gt;=MAX($A176,Settings!$F$50),IF(Settings!$E$50="",$B176,DATE(YEAR($A176),MONTH($A176),MIN(Settings!$E$50,DAY($B176))))&lt;=MIN(Settings!$B$5,IF(Settings!$G$50="",Settings!$B$5,Settings!$G$50))),1,0)))))</f>
        <v/>
      </c>
      <c r="EZ176">
        <f>IF($E176&lt;&gt;"open",0,IF(AND('Month-End'!$FQ$28&lt;&gt;"",NOT(_xlfn.ISFORMULA('Month-End'!$FQ$28))),0,IF(OR(Settings!$C$51="",Settings!$D$51=""),0,Settings!$C$51*IF(Settings!$D$51="Weekly",IF(IFERROR(MATCH(Settings!$E$51,$EO$4:$EO$10,0),0)=0,0,IF(MIN(Settings!$B$5,IF(Settings!$G$51="",Settings!$B$5,Settings!$G$51))&lt;MAX($A176,Settings!$F$51),0,INT((MIN(Settings!$B$5,IF(Settings!$G$51="",Settings!$B$5,Settings!$G$51))-MAX($A176,Settings!$F$51)-MOD(IFERROR(MATCH(Settings!$E$51,$EO$4:$EO$10,0),0)-WEEKDAY(MAX($A176,Settings!$F$51)),7))/7)+1)),IF(AND(IF(Settings!$E$51="",$B176,DATE(YEAR($A176),MONTH($A176),MIN(Settings!$E$51,DAY($B176))))&gt;=MAX($A176,Settings!$F$51),IF(Settings!$E$51="",$B176,DATE(YEAR($A176),MONTH($A176),MIN(Settings!$E$51,DAY($B176))))&lt;=MIN(Settings!$B$5,IF(Settings!$G$51="",Settings!$B$5,Settings!$G$51))),1,0)))))</f>
        <v/>
      </c>
      <c r="FA176">
        <f>IF($E176&lt;&gt;"open",0,IF(AND('Month-End'!$FQ$29&lt;&gt;"",NOT(_xlfn.ISFORMULA('Month-End'!$FQ$29))),0,IF(OR(Settings!$C$52="",Settings!$D$52=""),0,Settings!$C$52*IF(Settings!$D$52="Weekly",IF(IFERROR(MATCH(Settings!$E$52,$EO$4:$EO$10,0),0)=0,0,IF(MIN(Settings!$B$5,IF(Settings!$G$52="",Settings!$B$5,Settings!$G$52))&lt;MAX($A176,Settings!$F$52),0,INT((MIN(Settings!$B$5,IF(Settings!$G$52="",Settings!$B$5,Settings!$G$52))-MAX($A176,Settings!$F$52)-MOD(IFERROR(MATCH(Settings!$E$52,$EO$4:$EO$10,0),0)-WEEKDAY(MAX($A176,Settings!$F$52)),7))/7)+1)),IF(AND(IF(Settings!$E$52="",$B176,DATE(YEAR($A176),MONTH($A176),MIN(Settings!$E$52,DAY($B176))))&gt;=MAX($A176,Settings!$F$52),IF(Settings!$E$52="",$B176,DATE(YEAR($A176),MONTH($A176),MIN(Settings!$E$52,DAY($B176))))&lt;=MIN(Settings!$B$5,IF(Settings!$G$52="",Settings!$B$5,Settings!$G$52))),1,0)))))</f>
        <v/>
      </c>
      <c r="FB176">
        <f>IF($E176&lt;&gt;"open",0,IF(AND('Month-End'!$FQ$30&lt;&gt;"",NOT(_xlfn.ISFORMULA('Month-End'!$FQ$30))),0,IF(OR(Settings!$C$53="",Settings!$D$53=""),0,Settings!$C$53*IF(Settings!$D$53="Weekly",IF(IFERROR(MATCH(Settings!$E$53,$EO$4:$EO$10,0),0)=0,0,IF(MIN(Settings!$B$5,IF(Settings!$G$53="",Settings!$B$5,Settings!$G$53))&lt;MAX($A176,Settings!$F$53),0,INT((MIN(Settings!$B$5,IF(Settings!$G$53="",Settings!$B$5,Settings!$G$53))-MAX($A176,Settings!$F$53)-MOD(IFERROR(MATCH(Settings!$E$53,$EO$4:$EO$10,0),0)-WEEKDAY(MAX($A176,Settings!$F$53)),7))/7)+1)),IF(AND(IF(Settings!$E$53="",$B176,DATE(YEAR($A176),MONTH($A176),MIN(Settings!$E$53,DAY($B176))))&gt;=MAX($A176,Settings!$F$53),IF(Settings!$E$53="",$B176,DATE(YEAR($A176),MONTH($A176),MIN(Settings!$E$53,DAY($B176))))&lt;=MIN(Settings!$B$5,IF(Settings!$G$53="",Settings!$B$5,Settings!$G$53))),1,0)))))</f>
        <v/>
      </c>
      <c r="FC176">
        <f>IF($E176&lt;&gt;"open",0,IF(AND('Month-End'!$FQ$31&lt;&gt;"",NOT(_xlfn.ISFORMULA('Month-End'!$FQ$31))),0,IF(OR(Settings!$C$54="",Settings!$D$54=""),0,Settings!$C$54*IF(Settings!$D$54="Weekly",IF(IFERROR(MATCH(Settings!$E$54,$EO$4:$EO$10,0),0)=0,0,IF(MIN(Settings!$B$5,IF(Settings!$G$54="",Settings!$B$5,Settings!$G$54))&lt;MAX($A176,Settings!$F$54),0,INT((MIN(Settings!$B$5,IF(Settings!$G$54="",Settings!$B$5,Settings!$G$54))-MAX($A176,Settings!$F$54)-MOD(IFERROR(MATCH(Settings!$E$54,$EO$4:$EO$10,0),0)-WEEKDAY(MAX($A176,Settings!$F$54)),7))/7)+1)),IF(AND(IF(Settings!$E$54="",$B176,DATE(YEAR($A176),MONTH($A176),MIN(Settings!$E$54,DAY($B176))))&gt;=MAX($A176,Settings!$F$54),IF(Settings!$E$54="",$B176,DATE(YEAR($A176),MONTH($A176),MIN(Settings!$E$54,DAY($B176))))&lt;=MIN(Settings!$B$5,IF(Settings!$G$54="",Settings!$B$5,Settings!$G$54))),1,0)))))</f>
        <v/>
      </c>
      <c r="FD176">
        <f>IF($E176&lt;&gt;"open",0,IF(AND('Month-End'!$FQ$32&lt;&gt;"",NOT(_xlfn.ISFORMULA('Month-End'!$FQ$32))),0,IF(OR(Settings!$C$55="",Settings!$D$55=""),0,Settings!$C$55*IF(Settings!$D$55="Weekly",IF(IFERROR(MATCH(Settings!$E$55,$EO$4:$EO$10,0),0)=0,0,IF(MIN(Settings!$B$5,IF(Settings!$G$55="",Settings!$B$5,Settings!$G$55))&lt;MAX($A176,Settings!$F$55),0,INT((MIN(Settings!$B$5,IF(Settings!$G$55="",Settings!$B$5,Settings!$G$55))-MAX($A176,Settings!$F$55)-MOD(IFERROR(MATCH(Settings!$E$55,$EO$4:$EO$10,0),0)-WEEKDAY(MAX($A176,Settings!$F$55)),7))/7)+1)),IF(AND(IF(Settings!$E$55="",$B176,DATE(YEAR($A176),MONTH($A176),MIN(Settings!$E$55,DAY($B176))))&gt;=MAX($A176,Settings!$F$55),IF(Settings!$E$55="",$B176,DATE(YEAR($A176),MONTH($A176),MIN(Settings!$E$55,DAY($B176))))&lt;=MIN(Settings!$B$5,IF(Settings!$G$55="",Settings!$B$5,Settings!$G$55))),1,0)))))</f>
        <v/>
      </c>
      <c r="FE176">
        <f>IF($E176&lt;&gt;"open",0,IF(AND('Month-End'!$FQ$33&lt;&gt;"",NOT(_xlfn.ISFORMULA('Month-End'!$FQ$33))),0,IF(OR(Settings!$C$56="",Settings!$D$56=""),0,Settings!$C$56*IF(Settings!$D$56="Weekly",IF(IFERROR(MATCH(Settings!$E$56,$EO$4:$EO$10,0),0)=0,0,IF(MIN(Settings!$B$5,IF(Settings!$G$56="",Settings!$B$5,Settings!$G$56))&lt;MAX($A176,Settings!$F$56),0,INT((MIN(Settings!$B$5,IF(Settings!$G$56="",Settings!$B$5,Settings!$G$56))-MAX($A176,Settings!$F$56)-MOD(IFERROR(MATCH(Settings!$E$56,$EO$4:$EO$10,0),0)-WEEKDAY(MAX($A176,Settings!$F$56)),7))/7)+1)),IF(AND(IF(Settings!$E$56="",$B176,DATE(YEAR($A176),MONTH($A176),MIN(Settings!$E$56,DAY($B176))))&gt;=MAX($A176,Settings!$F$56),IF(Settings!$E$56="",$B176,DATE(YEAR($A176),MONTH($A176),MIN(Settings!$E$56,DAY($B176))))&lt;=MIN(Settings!$B$5,IF(Settings!$G$56="",Settings!$B$5,Settings!$G$56))),1,0)))))</f>
        <v/>
      </c>
      <c r="FF176">
        <f>IF(Settings!$I$45="Yes",$G176,0)+IF(Settings!$I$46="Yes",$H176,0)+IF(Settings!$I$47="Yes",$I176,0)+IF(Settings!$I$48="Yes",$J176,0)+IF(Settings!$I$49="Yes",$K176,0)+IF(Settings!$I$50="Yes",$L176,0)+IF(Settings!$I$51="Yes",$M176,0)+IF(Settings!$I$52="Yes",$N176,0)+IF(Settings!$I$53="Yes",$O176,0)+IF(Settings!$I$54="Yes",$P176,0)+IF(Settings!$I$55="Yes",$Q176,0)+IF(Settings!$I$56="Yes",$R176,0)</f>
        <v/>
      </c>
      <c r="FG176">
        <f>IF(AND(Settings!$I$45="Yes",Settings!$J$45="No"),$G176,0)+IF(AND(Settings!$I$46="Yes",Settings!$J$46="No"),$H176,0)+IF(AND(Settings!$I$47="Yes",Settings!$J$47="No"),$I176,0)+IF(AND(Settings!$I$48="Yes",Settings!$J$48="No"),$J176,0)+IF(AND(Settings!$I$49="Yes",Settings!$J$49="No"),$K176,0)+IF(AND(Settings!$I$50="Yes",Settings!$J$50="No"),$L176,0)+IF(AND(Settings!$I$51="Yes",Settings!$J$51="No"),$M176,0)+IF(AND(Settings!$I$52="Yes",Settings!$J$52="No"),$N176,0)+IF(AND(Settings!$I$53="Yes",Settings!$J$53="No"),$O176,0)+IF(AND(Settings!$I$54="Yes",Settings!$J$54="No"),$P176,0)+IF(AND(Settings!$I$55="Yes",Settings!$J$55="No"),$Q176,0)+IF(AND(Settings!$I$56="Yes",Settings!$J$56="No"),$R176,0)</f>
        <v/>
      </c>
      <c r="FH176">
        <f>SUMIFS(Giving!$B$7:$B$2006,Giving!$A$7:$A$2006,"&gt;="&amp;$A176,Giving!$A$7:$A$2006,"&lt;="&amp;$B176,Giving!$G$7:$G$2006,"Yes")+IF(OR(OR(Settings!$B$60="",Settings!$F$60="No"),Settings!$H$60&lt;&gt;"Yes"),0,Settings!$B$60*IF(AND(IF(Settings!$C$60="",$B176,DATE(YEAR($A176),MONTH($A176),MIN(Settings!$C$60,DAY($B176))))&gt;=MAX($A176,Settings!$D$60),IF(Settings!$C$60="",$B176,DATE(YEAR($A176),MONTH($A176),MIN(Settings!$C$60,DAY($B176))))&lt;=MIN($C176,IF(Settings!$E$60="",$C176,Settings!$E$60))),1,0))+IF(OR(OR(Settings!$B$61="",Settings!$F$61="No"),Settings!$H$61&lt;&gt;"Yes"),0,Settings!$B$61*IF(AND(IF(Settings!$C$61="",$B176,DATE(YEAR($A176),MONTH($A176),MIN(Settings!$C$61,DAY($B176))))&gt;=MAX($A176,Settings!$D$61),IF(Settings!$C$61="",$B176,DATE(YEAR($A176),MONTH($A176),MIN(Settings!$C$61,DAY($B176))))&lt;=MIN($C176,IF(Settings!$E$61="",$C176,Settings!$E$61))),1,0))+IF(OR(OR(Settings!$B$62="",Settings!$F$62="No"),Settings!$H$62&lt;&gt;"Yes"),0,Settings!$B$62*IF(AND(IF(Settings!$C$62="",$B176,DATE(YEAR($A176),MONTH($A176),MIN(Settings!$C$62,DAY($B176))))&gt;=MAX($A176,Settings!$D$62),IF(Settings!$C$62="",$B176,DATE(YEAR($A176),MONTH($A176),MIN(Settings!$C$62,DAY($B176))))&lt;=MIN($C176,IF(Settings!$E$62="",$C176,Settings!$E$62))),1,0))+IF(OR(OR(Settings!$B$63="",Settings!$F$63="No"),Settings!$H$63&lt;&gt;"Yes"),0,Settings!$B$63*IF(AND(IF(Settings!$C$63="",$B176,DATE(YEAR($A176),MONTH($A176),MIN(Settings!$C$63,DAY($B176))))&gt;=MAX($A176,Settings!$D$63),IF(Settings!$C$63="",$B176,DATE(YEAR($A176),MONTH($A176),MIN(Settings!$C$63,DAY($B176))))&lt;=MIN($C176,IF(Settings!$E$63="",$C176,Settings!$E$63))),1,0))+IF(OR(OR(Settings!$B$64="",Settings!$F$64="No"),Settings!$H$64&lt;&gt;"Yes"),0,Settings!$B$64*IF(AND(IF(Settings!$C$64="",$B176,DATE(YEAR($A176),MONTH($A176),MIN(Settings!$C$64,DAY($B176))))&gt;=MAX($A176,Settings!$D$64),IF(Settings!$C$64="",$B176,DATE(YEAR($A176),MONTH($A176),MIN(Settings!$C$64,DAY($B176))))&lt;=MIN($C176,IF(Settings!$E$64="",$C176,Settings!$E$64))),1,0))+IF(OR(OR(Settings!$B$65="",Settings!$F$65="No"),Settings!$H$65&lt;&gt;"Yes"),0,Settings!$B$65*IF(AND(IF(Settings!$C$65="",$B176,DATE(YEAR($A176),MONTH($A176),MIN(Settings!$C$65,DAY($B176))))&gt;=MAX($A176,Settings!$D$65),IF(Settings!$C$65="",$B176,DATE(YEAR($A176),MONTH($A176),MIN(Settings!$C$65,DAY($B176))))&lt;=MIN($C176,IF(Settings!$E$65="",$C176,Settings!$E$65))),1,0))</f>
        <v/>
      </c>
      <c r="FI176">
        <f>IF($DT176=1,IF(OR(Settings!$B$19="Card",Settings!$B$19="Loan"),N($AE176),0)+IF(OR(Settings!$B$20="Card",Settings!$B$20="Loan"),N($AF176),0)+IF(OR(Settings!$B$21="Card",Settings!$B$21="Loan"),N($AG176),0)+IF(OR(Settings!$B$22="Card",Settings!$B$22="Loan"),N($AH176),0)+IF(OR(Settings!$B$23="Card",Settings!$B$23="Loan"),N($AI176),0)+IF(OR(Settings!$B$24="Card",Settings!$B$24="Loan"),N($AJ176),0)+IF(OR(Settings!$B$25="Card",Settings!$B$25="Loan"),N($AK176),0)+IF(OR(Settings!$B$26="Card",Settings!$B$26="Loan"),N($AL176),0)+IF(OR(Settings!$B$27="Card",Settings!$B$27="Loan"),N($AM176),0)+IF(OR(Settings!$B$28="Card",Settings!$B$28="Loan"),N($AN176),0)+IF(OR(Settings!$B$29="Card",Settings!$B$29="Loan"),N($AO176),0)+IF(OR(Settings!$B$30="Card",Settings!$B$30="Loan"),N($AP176),0)+IF(OR(Settings!$B$31="Card",Settings!$B$31="Loan"),N($AQ176),0)+IF(OR(Settings!$B$32="Card",Settings!$B$32="Loan"),N($AR176),0),"")</f>
        <v/>
      </c>
      <c r="FJ176">
        <f>IF($E176="open",$EB$65,IF($E176="post",IF($E175="pre",$EB$65,$FI175),""))</f>
        <v/>
      </c>
      <c r="FK176">
        <f>IF(AND($DT176=1,$DC176=1),IF(ROUND($FI176-$FJ176,2)&gt;0,1,0),0)</f>
        <v/>
      </c>
      <c r="FL176">
        <f>IF($FK176=1,$FL175+1,0)</f>
        <v/>
      </c>
    </row>
    <row r="177">
      <c r="A177">
        <f>'Month-End'!$FR$4</f>
        <v/>
      </c>
      <c r="B177">
        <f>EOMONTH($A177,0)</f>
        <v/>
      </c>
      <c r="C177">
        <f>MIN($B177,TODAY())</f>
        <v/>
      </c>
      <c r="D177">
        <f>IF($A177&gt;TODAY(),1,0)</f>
        <v/>
      </c>
      <c r="E177">
        <f>IF($B177&lt;=Settings!$B$5,"pre",IF($A177&lt;=Settings!$B$5,"open","post"))</f>
        <v/>
      </c>
      <c r="G177">
        <f>IF('Month-End'!$FR$22="",$BE177,N('Month-End'!$FR$22))</f>
        <v/>
      </c>
      <c r="H177">
        <f>IF('Month-End'!$FR$23="",$BF177,N('Month-End'!$FR$23))</f>
        <v/>
      </c>
      <c r="I177">
        <f>IF('Month-End'!$FR$24="",$BG177,N('Month-End'!$FR$24))</f>
        <v/>
      </c>
      <c r="J177">
        <f>IF('Month-End'!$FR$25="",$BH177,N('Month-End'!$FR$25))</f>
        <v/>
      </c>
      <c r="K177">
        <f>IF('Month-End'!$FR$26="",$BI177,N('Month-End'!$FR$26))</f>
        <v/>
      </c>
      <c r="L177">
        <f>IF('Month-End'!$FR$27="",$BJ177,N('Month-End'!$FR$27))</f>
        <v/>
      </c>
      <c r="M177">
        <f>IF('Month-End'!$FR$28="",$BK177,N('Month-End'!$FR$28))</f>
        <v/>
      </c>
      <c r="N177">
        <f>IF('Month-End'!$FR$29="",$BL177,N('Month-End'!$FR$29))</f>
        <v/>
      </c>
      <c r="O177">
        <f>IF('Month-End'!$FR$30="",$BM177,N('Month-End'!$FR$30))</f>
        <v/>
      </c>
      <c r="P177">
        <f>IF('Month-End'!$FR$31="",$BN177,N('Month-End'!$FR$31))</f>
        <v/>
      </c>
      <c r="Q177">
        <f>IF('Month-End'!$FR$32="",$BO177,N('Month-End'!$FR$32))</f>
        <v/>
      </c>
      <c r="R177">
        <f>IF('Month-End'!$FR$33="",$BP177,N('Month-End'!$FR$33))</f>
        <v/>
      </c>
      <c r="S177">
        <f>$G177+$H177+$I177+$J177+$K177+$L177+$M177+$N177+$O177+$P177+$Q177+$R177</f>
        <v/>
      </c>
      <c r="T177">
        <f>IF($B177&lt;Settings!$B$6,0,IF(Settings!$B$45="Yes",$G177,0)+IF(Settings!$B$46="Yes",$H177,0)+IF(Settings!$B$47="Yes",$I177,0)+IF(Settings!$B$48="Yes",$J177,0)+IF(Settings!$B$49="Yes",$K177,0)+IF(Settings!$B$50="Yes",$L177,0)+IF(Settings!$B$51="Yes",$M177,0)+IF(Settings!$B$52="Yes",$N177,0)+IF(Settings!$B$53="Yes",$O177,0)+IF(Settings!$B$54="Yes",$P177,0)+IF(Settings!$B$55="Yes",$Q177,0)+IF(Settings!$B$56="Yes",$R177,0))</f>
        <v/>
      </c>
      <c r="U177">
        <f>IF(Settings!$B$45="Not Sure",$G177,0)+IF(Settings!$B$46="Not Sure",$H177,0)+IF(Settings!$B$47="Not Sure",$I177,0)+IF(Settings!$B$48="Not Sure",$J177,0)+IF(Settings!$B$49="Not Sure",$K177,0)+IF(Settings!$B$50="Not Sure",$L177,0)+IF(Settings!$B$51="Not Sure",$M177,0)+IF(Settings!$B$52="Not Sure",$N177,0)+IF(Settings!$B$53="Not Sure",$O177,0)+IF(Settings!$B$54="Not Sure",$P177,0)+IF(Settings!$B$55="Not Sure",$Q177,0)+IF(Settings!$B$56="Not Sure",$R177,0)</f>
        <v/>
      </c>
      <c r="V177">
        <f>IF($E177="open",SUM($ET177:$FE177)+N(Settings!$B$13),0)</f>
        <v/>
      </c>
      <c r="W177">
        <f>IF($E177="post",$S177,IF($E177="open",$S177-$V177,0))</f>
        <v/>
      </c>
      <c r="X177">
        <f>SUMIFS(Giving!$B$7:$B$2006,Giving!$A$7:$A$2006,"&gt;="&amp;$A177,Giving!$A$7:$A$2006,"&lt;="&amp;$B177,Giving!$E$7:$E$2006,"&lt;&gt;No")</f>
        <v/>
      </c>
      <c r="Y177">
        <f>SUMIFS(Giving!$B$7:$B$2006,Giving!$A$7:$A$2006,"&gt;="&amp;$A177,Giving!$A$7:$A$2006,"&lt;="&amp;$B177,Giving!$E$7:$E$2006,"No")</f>
        <v/>
      </c>
      <c r="Z177">
        <f>IF(OR(Settings!$B$60="",Settings!$F$60="No"),0,Settings!$B$60*IF(AND(IF(Settings!$C$60="",$B177,DATE(YEAR($A177),MONTH($A177),MIN(Settings!$C$60,DAY($B177))))&gt;=MAX($A177,Settings!$D$60),IF(Settings!$C$60="",$B177,DATE(YEAR($A177),MONTH($A177),MIN(Settings!$C$60,DAY($B177))))&lt;=MIN($C177,IF(Settings!$E$60="",$C177,Settings!$E$60))),1,0))+IF(OR(Settings!$B$61="",Settings!$F$61="No"),0,Settings!$B$61*IF(AND(IF(Settings!$C$61="",$B177,DATE(YEAR($A177),MONTH($A177),MIN(Settings!$C$61,DAY($B177))))&gt;=MAX($A177,Settings!$D$61),IF(Settings!$C$61="",$B177,DATE(YEAR($A177),MONTH($A177),MIN(Settings!$C$61,DAY($B177))))&lt;=MIN($C177,IF(Settings!$E$61="",$C177,Settings!$E$61))),1,0))+IF(OR(Settings!$B$62="",Settings!$F$62="No"),0,Settings!$B$62*IF(AND(IF(Settings!$C$62="",$B177,DATE(YEAR($A177),MONTH($A177),MIN(Settings!$C$62,DAY($B177))))&gt;=MAX($A177,Settings!$D$62),IF(Settings!$C$62="",$B177,DATE(YEAR($A177),MONTH($A177),MIN(Settings!$C$62,DAY($B177))))&lt;=MIN($C177,IF(Settings!$E$62="",$C177,Settings!$E$62))),1,0))+IF(OR(Settings!$B$63="",Settings!$F$63="No"),0,Settings!$B$63*IF(AND(IF(Settings!$C$63="",$B177,DATE(YEAR($A177),MONTH($A177),MIN(Settings!$C$63,DAY($B177))))&gt;=MAX($A177,Settings!$D$63),IF(Settings!$C$63="",$B177,DATE(YEAR($A177),MONTH($A177),MIN(Settings!$C$63,DAY($B177))))&lt;=MIN($C177,IF(Settings!$E$63="",$C177,Settings!$E$63))),1,0))+IF(OR(Settings!$B$64="",Settings!$F$64="No"),0,Settings!$B$64*IF(AND(IF(Settings!$C$64="",$B177,DATE(YEAR($A177),MONTH($A177),MIN(Settings!$C$64,DAY($B177))))&gt;=MAX($A177,Settings!$D$64),IF(Settings!$C$64="",$B177,DATE(YEAR($A177),MONTH($A177),MIN(Settings!$C$64,DAY($B177))))&lt;=MIN($C177,IF(Settings!$E$64="",$C177,Settings!$E$64))),1,0))+IF(OR(Settings!$B$65="",Settings!$F$65="No"),0,Settings!$B$65*IF(AND(IF(Settings!$C$65="",$B177,DATE(YEAR($A177),MONTH($A177),MIN(Settings!$C$65,DAY($B177))))&gt;=MAX($A177,Settings!$D$65),IF(Settings!$C$65="",$B177,DATE(YEAR($A177),MONTH($A177),MIN(Settings!$C$65,DAY($B177))))&lt;=MIN($C177,IF(Settings!$E$65="",$C177,Settings!$E$65))),1,0))</f>
        <v/>
      </c>
      <c r="AA177">
        <f>$X177+$Z177</f>
        <v/>
      </c>
      <c r="AB177">
        <f>IF($E177="post",$AA177,IF($E177="open",SUMIFS(Giving!$B$7:$B$2006,Giving!$A$7:$A$2006,"&gt;"&amp;Settings!$B$5,Giving!$A$7:$A$2006,"&lt;="&amp;$B177,Giving!$E$7:$E$2006,"&lt;&gt;No")+IF(OR(Settings!$B$60="",Settings!$F$60="No"),0,Settings!$B$60*IF(AND(IF(Settings!$C$60="",$B177,DATE(YEAR($A177),MONTH($A177),MIN(Settings!$C$60,DAY($B177))))&gt;=MAX($A177,Settings!$D$60,Settings!$B$5+1),IF(Settings!$C$60="",$B177,DATE(YEAR($A177),MONTH($A177),MIN(Settings!$C$60,DAY($B177))))&lt;=MIN($C177,IF(Settings!$E$60="",$C177,Settings!$E$60))),1,0))+IF(OR(Settings!$B$61="",Settings!$F$61="No"),0,Settings!$B$61*IF(AND(IF(Settings!$C$61="",$B177,DATE(YEAR($A177),MONTH($A177),MIN(Settings!$C$61,DAY($B177))))&gt;=MAX($A177,Settings!$D$61,Settings!$B$5+1),IF(Settings!$C$61="",$B177,DATE(YEAR($A177),MONTH($A177),MIN(Settings!$C$61,DAY($B177))))&lt;=MIN($C177,IF(Settings!$E$61="",$C177,Settings!$E$61))),1,0))+IF(OR(Settings!$B$62="",Settings!$F$62="No"),0,Settings!$B$62*IF(AND(IF(Settings!$C$62="",$B177,DATE(YEAR($A177),MONTH($A177),MIN(Settings!$C$62,DAY($B177))))&gt;=MAX($A177,Settings!$D$62,Settings!$B$5+1),IF(Settings!$C$62="",$B177,DATE(YEAR($A177),MONTH($A177),MIN(Settings!$C$62,DAY($B177))))&lt;=MIN($C177,IF(Settings!$E$62="",$C177,Settings!$E$62))),1,0))+IF(OR(Settings!$B$63="",Settings!$F$63="No"),0,Settings!$B$63*IF(AND(IF(Settings!$C$63="",$B177,DATE(YEAR($A177),MONTH($A177),MIN(Settings!$C$63,DAY($B177))))&gt;=MAX($A177,Settings!$D$63,Settings!$B$5+1),IF(Settings!$C$63="",$B177,DATE(YEAR($A177),MONTH($A177),MIN(Settings!$C$63,DAY($B177))))&lt;=MIN($C177,IF(Settings!$E$63="",$C177,Settings!$E$63))),1,0))+IF(OR(Settings!$B$64="",Settings!$F$64="No"),0,Settings!$B$64*IF(AND(IF(Settings!$C$64="",$B177,DATE(YEAR($A177),MONTH($A177),MIN(Settings!$C$64,DAY($B177))))&gt;=MAX($A177,Settings!$D$64,Settings!$B$5+1),IF(Settings!$C$64="",$B177,DATE(YEAR($A177),MONTH($A177),MIN(Settings!$C$64,DAY($B177))))&lt;=MIN($C177,IF(Settings!$E$64="",$C177,Settings!$E$64))),1,0))+IF(OR(Settings!$B$65="",Settings!$F$65="No"),0,Settings!$B$65*IF(AND(IF(Settings!$C$65="",$B177,DATE(YEAR($A177),MONTH($A177),MIN(Settings!$C$65,DAY($B177))))&gt;=MAX($A177,Settings!$D$65,Settings!$B$5+1),IF(Settings!$C$65="",$B177,DATE(YEAR($A177),MONTH($A177),MIN(Settings!$C$65,DAY($B177))))&lt;=MIN($C177,IF(Settings!$E$65="",$C177,Settings!$E$65))),1,0)),0))</f>
        <v/>
      </c>
      <c r="AC177">
        <f>$AY177+$AZ177+$BA177+$BB177+$BC177+$BD177</f>
        <v/>
      </c>
      <c r="AD177">
        <f>$AC177</f>
        <v/>
      </c>
      <c r="AE177">
        <f>IF(OR(Settings!$A$19="",$E177="pre"),"",IF(AND('Month-End'!$FR$7&lt;&gt;"",NOT(_xlfn.ISFORMULA('Month-End'!$FR$7))),N('Month-End'!$FR$7),IF(OR($E177="open",$E176="pre"),N(Settings!$C$19),N($AE176))))</f>
        <v/>
      </c>
      <c r="AF177">
        <f>IF(OR(Settings!$A$20="",$E177="pre"),"",IF(AND('Month-End'!$FR$8&lt;&gt;"",NOT(_xlfn.ISFORMULA('Month-End'!$FR$8))),N('Month-End'!$FR$8),IF(OR($E177="open",$E176="pre"),N(Settings!$C$20),N($AF176))))</f>
        <v/>
      </c>
      <c r="AG177">
        <f>IF(OR(Settings!$A$21="",$E177="pre"),"",IF(AND('Month-End'!$FR$9&lt;&gt;"",NOT(_xlfn.ISFORMULA('Month-End'!$FR$9))),N('Month-End'!$FR$9),IF(OR($E177="open",$E176="pre"),N(Settings!$C$21),N($AG176))))</f>
        <v/>
      </c>
      <c r="AH177">
        <f>IF(OR(Settings!$A$22="",$E177="pre"),"",IF(AND('Month-End'!$FR$10&lt;&gt;"",NOT(_xlfn.ISFORMULA('Month-End'!$FR$10))),N('Month-End'!$FR$10),IF(OR($E177="open",$E176="pre"),N(Settings!$C$22),N($AH176))))</f>
        <v/>
      </c>
      <c r="AI177">
        <f>IF(OR(Settings!$A$23="",$E177="pre"),"",IF(AND('Month-End'!$FR$11&lt;&gt;"",NOT(_xlfn.ISFORMULA('Month-End'!$FR$11))),N('Month-End'!$FR$11),IF(OR($E177="open",$E176="pre"),N(Settings!$C$23),N($AI176))))</f>
        <v/>
      </c>
      <c r="AJ177">
        <f>IF(OR(Settings!$A$24="",$E177="pre"),"",IF(AND('Month-End'!$FR$12&lt;&gt;"",NOT(_xlfn.ISFORMULA('Month-End'!$FR$12))),N('Month-End'!$FR$12),IF(OR($E177="open",$E176="pre"),N(Settings!$C$24),N($AJ176))))</f>
        <v/>
      </c>
      <c r="AK177">
        <f>IF(OR(Settings!$A$25="",$E177="pre"),"",IF(AND('Month-End'!$FR$13&lt;&gt;"",NOT(_xlfn.ISFORMULA('Month-End'!$FR$13))),N('Month-End'!$FR$13),IF(OR($E177="open",$E176="pre"),N(Settings!$C$25),N($AK176))))</f>
        <v/>
      </c>
      <c r="AL177">
        <f>IF(OR(Settings!$A$26="",$E177="pre"),"",IF(AND('Month-End'!$FR$14&lt;&gt;"",NOT(_xlfn.ISFORMULA('Month-End'!$FR$14))),N('Month-End'!$FR$14),IF(OR($E177="open",$E176="pre"),N(Settings!$C$26),N($AL176))))</f>
        <v/>
      </c>
      <c r="AM177">
        <f>IF(OR(Settings!$A$27="",$E177="pre"),"",IF(AND('Month-End'!$FR$15&lt;&gt;"",NOT(_xlfn.ISFORMULA('Month-End'!$FR$15))),N('Month-End'!$FR$15),IF(OR($E177="open",$E176="pre"),N(Settings!$C$27),N($AM176))))</f>
        <v/>
      </c>
      <c r="AN177">
        <f>IF(OR(Settings!$A$28="",$E177="pre"),"",IF(AND('Month-End'!$FR$16&lt;&gt;"",NOT(_xlfn.ISFORMULA('Month-End'!$FR$16))),N('Month-End'!$FR$16),IF(OR($E177="open",$E176="pre"),N(Settings!$C$28),N($AN176))))</f>
        <v/>
      </c>
      <c r="AO177">
        <f>IF(OR(Settings!$A$29="",$E177="pre"),"",IF(AND('Month-End'!$FR$17&lt;&gt;"",NOT(_xlfn.ISFORMULA('Month-End'!$FR$17))),N('Month-End'!$FR$17),IF(OR($E177="open",$E176="pre"),N(Settings!$C$29),N($AO176))))</f>
        <v/>
      </c>
      <c r="AP177">
        <f>IF(OR(Settings!$A$30="",$E177="pre"),"",IF(AND('Month-End'!$FR$18&lt;&gt;"",NOT(_xlfn.ISFORMULA('Month-End'!$FR$18))),N('Month-End'!$FR$18),IF(OR($E177="open",$E176="pre"),N(Settings!$C$30),N($AP176))))</f>
        <v/>
      </c>
      <c r="AQ177">
        <f>IF(OR(Settings!$A$31="",$E177="pre"),"",IF(AND('Month-End'!$FR$19&lt;&gt;"",NOT(_xlfn.ISFORMULA('Month-End'!$FR$19))),N('Month-End'!$FR$19),IF(OR($E177="open",$E176="pre"),N(Settings!$C$31),N($AQ176))))</f>
        <v/>
      </c>
      <c r="AR177">
        <f>IF(OR(Settings!$A$32="",$E177="pre"),"",IF(AND('Month-End'!$FR$20&lt;&gt;"",NOT(_xlfn.ISFORMULA('Month-End'!$FR$20))),N('Month-End'!$FR$20),IF(OR($E177="open",$E176="pre"),N(Settings!$C$32),N($AR176))))</f>
        <v/>
      </c>
      <c r="AS177">
        <f>IF(OR(Settings!$A$36="",$E177="pre"),"",IF(AND('Month-End'!$FR$38&lt;&gt;"",NOT(_xlfn.ISFORMULA('Month-End'!$FR$38))),N('Month-End'!$FR$38),IF(OR($E177="open",$E176="pre"),N(Settings!$C$36),N($AS176))+$AY177))</f>
        <v/>
      </c>
      <c r="AT177">
        <f>IF(OR(Settings!$A$37="",$E177="pre"),"",IF(AND('Month-End'!$FR$39&lt;&gt;"",NOT(_xlfn.ISFORMULA('Month-End'!$FR$39))),N('Month-End'!$FR$39),IF(OR($E177="open",$E176="pre"),N(Settings!$C$37),N($AT176))+$AZ177))</f>
        <v/>
      </c>
      <c r="AU177">
        <f>IF(OR(Settings!$A$38="",$E177="pre"),"",IF(AND('Month-End'!$FR$40&lt;&gt;"",NOT(_xlfn.ISFORMULA('Month-End'!$FR$40))),N('Month-End'!$FR$40),IF(OR($E177="open",$E176="pre"),N(Settings!$C$38),N($AU176))+$BA177))</f>
        <v/>
      </c>
      <c r="AV177">
        <f>IF(OR(Settings!$A$39="",$E177="pre"),"",IF(AND('Month-End'!$FR$41&lt;&gt;"",NOT(_xlfn.ISFORMULA('Month-End'!$FR$41))),N('Month-End'!$FR$41),IF(OR($E177="open",$E176="pre"),N(Settings!$C$39),N($AV176))+$BB177))</f>
        <v/>
      </c>
      <c r="AW177">
        <f>IF(OR(Settings!$A$40="",$E177="pre"),"",IF(AND('Month-End'!$FR$42&lt;&gt;"",NOT(_xlfn.ISFORMULA('Month-End'!$FR$42))),N('Month-End'!$FR$42),IF(OR($E177="open",$E176="pre"),N(Settings!$C$40),N($AW176))+$BC177))</f>
        <v/>
      </c>
      <c r="AX177">
        <f>IF(OR(Settings!$A$41="",$E177="pre"),"",IF(AND('Month-End'!$FR$43&lt;&gt;"",NOT(_xlfn.ISFORMULA('Month-End'!$FR$43))),N('Month-End'!$FR$43),IF(OR($E177="open",$E176="pre"),N(Settings!$C$41),N($AX176))+$BD177))</f>
        <v/>
      </c>
      <c r="AY177">
        <f>IF($E177="pre",0,N('Month-End'!$FR$45))</f>
        <v/>
      </c>
      <c r="AZ177">
        <f>IF($E177="pre",0,N('Month-End'!$FR$46))</f>
        <v/>
      </c>
      <c r="BA177">
        <f>IF($E177="pre",0,N('Month-End'!$FR$47))</f>
        <v/>
      </c>
      <c r="BB177">
        <f>IF($E177="pre",0,N('Month-End'!$FR$48))</f>
        <v/>
      </c>
      <c r="BC177">
        <f>IF($E177="pre",0,N('Month-End'!$FR$49))</f>
        <v/>
      </c>
      <c r="BD177">
        <f>IF($E177="pre",0,N('Month-End'!$FR$50))</f>
        <v/>
      </c>
      <c r="BE177">
        <f>IF(OR(Settings!$C$45="",Settings!$D$45=""),0,Settings!$C$45*IF(Settings!$D$45="Weekly",IF(IFERROR(MATCH(Settings!$E$45,$EO$4:$EO$10,0),0)=0,0,IF(MIN($C177,IF(Settings!$G$45="",$C177,Settings!$G$45))&lt;MAX($A177,Settings!$F$45),0,INT((MIN($C177,IF(Settings!$G$45="",$C177,Settings!$G$45))-MAX($A177,Settings!$F$45)-MOD(IFERROR(MATCH(Settings!$E$45,$EO$4:$EO$10,0),0)-WEEKDAY(MAX($A177,Settings!$F$45)),7))/7)+1)),IF(AND(IF(Settings!$E$45="",$B177,DATE(YEAR($A177),MONTH($A177),MIN(Settings!$E$45,DAY($B177))))&gt;=MAX($A177,Settings!$F$45),IF(Settings!$E$45="",$B177,DATE(YEAR($A177),MONTH($A177),MIN(Settings!$E$45,DAY($B177))))&lt;=MIN($C177,IF(Settings!$G$45="",$C177,Settings!$G$45))),1,0)))</f>
        <v/>
      </c>
      <c r="BF177">
        <f>IF(OR(Settings!$C$46="",Settings!$D$46=""),0,Settings!$C$46*IF(Settings!$D$46="Weekly",IF(IFERROR(MATCH(Settings!$E$46,$EO$4:$EO$10,0),0)=0,0,IF(MIN($C177,IF(Settings!$G$46="",$C177,Settings!$G$46))&lt;MAX($A177,Settings!$F$46),0,INT((MIN($C177,IF(Settings!$G$46="",$C177,Settings!$G$46))-MAX($A177,Settings!$F$46)-MOD(IFERROR(MATCH(Settings!$E$46,$EO$4:$EO$10,0),0)-WEEKDAY(MAX($A177,Settings!$F$46)),7))/7)+1)),IF(AND(IF(Settings!$E$46="",$B177,DATE(YEAR($A177),MONTH($A177),MIN(Settings!$E$46,DAY($B177))))&gt;=MAX($A177,Settings!$F$46),IF(Settings!$E$46="",$B177,DATE(YEAR($A177),MONTH($A177),MIN(Settings!$E$46,DAY($B177))))&lt;=MIN($C177,IF(Settings!$G$46="",$C177,Settings!$G$46))),1,0)))</f>
        <v/>
      </c>
      <c r="BG177">
        <f>IF(OR(Settings!$C$47="",Settings!$D$47=""),0,Settings!$C$47*IF(Settings!$D$47="Weekly",IF(IFERROR(MATCH(Settings!$E$47,$EO$4:$EO$10,0),0)=0,0,IF(MIN($C177,IF(Settings!$G$47="",$C177,Settings!$G$47))&lt;MAX($A177,Settings!$F$47),0,INT((MIN($C177,IF(Settings!$G$47="",$C177,Settings!$G$47))-MAX($A177,Settings!$F$47)-MOD(IFERROR(MATCH(Settings!$E$47,$EO$4:$EO$10,0),0)-WEEKDAY(MAX($A177,Settings!$F$47)),7))/7)+1)),IF(AND(IF(Settings!$E$47="",$B177,DATE(YEAR($A177),MONTH($A177),MIN(Settings!$E$47,DAY($B177))))&gt;=MAX($A177,Settings!$F$47),IF(Settings!$E$47="",$B177,DATE(YEAR($A177),MONTH($A177),MIN(Settings!$E$47,DAY($B177))))&lt;=MIN($C177,IF(Settings!$G$47="",$C177,Settings!$G$47))),1,0)))</f>
        <v/>
      </c>
      <c r="BH177">
        <f>IF(OR(Settings!$C$48="",Settings!$D$48=""),0,Settings!$C$48*IF(Settings!$D$48="Weekly",IF(IFERROR(MATCH(Settings!$E$48,$EO$4:$EO$10,0),0)=0,0,IF(MIN($C177,IF(Settings!$G$48="",$C177,Settings!$G$48))&lt;MAX($A177,Settings!$F$48),0,INT((MIN($C177,IF(Settings!$G$48="",$C177,Settings!$G$48))-MAX($A177,Settings!$F$48)-MOD(IFERROR(MATCH(Settings!$E$48,$EO$4:$EO$10,0),0)-WEEKDAY(MAX($A177,Settings!$F$48)),7))/7)+1)),IF(AND(IF(Settings!$E$48="",$B177,DATE(YEAR($A177),MONTH($A177),MIN(Settings!$E$48,DAY($B177))))&gt;=MAX($A177,Settings!$F$48),IF(Settings!$E$48="",$B177,DATE(YEAR($A177),MONTH($A177),MIN(Settings!$E$48,DAY($B177))))&lt;=MIN($C177,IF(Settings!$G$48="",$C177,Settings!$G$48))),1,0)))</f>
        <v/>
      </c>
      <c r="BI177">
        <f>IF(OR(Settings!$C$49="",Settings!$D$49=""),0,Settings!$C$49*IF(Settings!$D$49="Weekly",IF(IFERROR(MATCH(Settings!$E$49,$EO$4:$EO$10,0),0)=0,0,IF(MIN($C177,IF(Settings!$G$49="",$C177,Settings!$G$49))&lt;MAX($A177,Settings!$F$49),0,INT((MIN($C177,IF(Settings!$G$49="",$C177,Settings!$G$49))-MAX($A177,Settings!$F$49)-MOD(IFERROR(MATCH(Settings!$E$49,$EO$4:$EO$10,0),0)-WEEKDAY(MAX($A177,Settings!$F$49)),7))/7)+1)),IF(AND(IF(Settings!$E$49="",$B177,DATE(YEAR($A177),MONTH($A177),MIN(Settings!$E$49,DAY($B177))))&gt;=MAX($A177,Settings!$F$49),IF(Settings!$E$49="",$B177,DATE(YEAR($A177),MONTH($A177),MIN(Settings!$E$49,DAY($B177))))&lt;=MIN($C177,IF(Settings!$G$49="",$C177,Settings!$G$49))),1,0)))</f>
        <v/>
      </c>
      <c r="BJ177">
        <f>IF(OR(Settings!$C$50="",Settings!$D$50=""),0,Settings!$C$50*IF(Settings!$D$50="Weekly",IF(IFERROR(MATCH(Settings!$E$50,$EO$4:$EO$10,0),0)=0,0,IF(MIN($C177,IF(Settings!$G$50="",$C177,Settings!$G$50))&lt;MAX($A177,Settings!$F$50),0,INT((MIN($C177,IF(Settings!$G$50="",$C177,Settings!$G$50))-MAX($A177,Settings!$F$50)-MOD(IFERROR(MATCH(Settings!$E$50,$EO$4:$EO$10,0),0)-WEEKDAY(MAX($A177,Settings!$F$50)),7))/7)+1)),IF(AND(IF(Settings!$E$50="",$B177,DATE(YEAR($A177),MONTH($A177),MIN(Settings!$E$50,DAY($B177))))&gt;=MAX($A177,Settings!$F$50),IF(Settings!$E$50="",$B177,DATE(YEAR($A177),MONTH($A177),MIN(Settings!$E$50,DAY($B177))))&lt;=MIN($C177,IF(Settings!$G$50="",$C177,Settings!$G$50))),1,0)))</f>
        <v/>
      </c>
      <c r="BK177">
        <f>IF(OR(Settings!$C$51="",Settings!$D$51=""),0,Settings!$C$51*IF(Settings!$D$51="Weekly",IF(IFERROR(MATCH(Settings!$E$51,$EO$4:$EO$10,0),0)=0,0,IF(MIN($C177,IF(Settings!$G$51="",$C177,Settings!$G$51))&lt;MAX($A177,Settings!$F$51),0,INT((MIN($C177,IF(Settings!$G$51="",$C177,Settings!$G$51))-MAX($A177,Settings!$F$51)-MOD(IFERROR(MATCH(Settings!$E$51,$EO$4:$EO$10,0),0)-WEEKDAY(MAX($A177,Settings!$F$51)),7))/7)+1)),IF(AND(IF(Settings!$E$51="",$B177,DATE(YEAR($A177),MONTH($A177),MIN(Settings!$E$51,DAY($B177))))&gt;=MAX($A177,Settings!$F$51),IF(Settings!$E$51="",$B177,DATE(YEAR($A177),MONTH($A177),MIN(Settings!$E$51,DAY($B177))))&lt;=MIN($C177,IF(Settings!$G$51="",$C177,Settings!$G$51))),1,0)))</f>
        <v/>
      </c>
      <c r="BL177">
        <f>IF(OR(Settings!$C$52="",Settings!$D$52=""),0,Settings!$C$52*IF(Settings!$D$52="Weekly",IF(IFERROR(MATCH(Settings!$E$52,$EO$4:$EO$10,0),0)=0,0,IF(MIN($C177,IF(Settings!$G$52="",$C177,Settings!$G$52))&lt;MAX($A177,Settings!$F$52),0,INT((MIN($C177,IF(Settings!$G$52="",$C177,Settings!$G$52))-MAX($A177,Settings!$F$52)-MOD(IFERROR(MATCH(Settings!$E$52,$EO$4:$EO$10,0),0)-WEEKDAY(MAX($A177,Settings!$F$52)),7))/7)+1)),IF(AND(IF(Settings!$E$52="",$B177,DATE(YEAR($A177),MONTH($A177),MIN(Settings!$E$52,DAY($B177))))&gt;=MAX($A177,Settings!$F$52),IF(Settings!$E$52="",$B177,DATE(YEAR($A177),MONTH($A177),MIN(Settings!$E$52,DAY($B177))))&lt;=MIN($C177,IF(Settings!$G$52="",$C177,Settings!$G$52))),1,0)))</f>
        <v/>
      </c>
      <c r="BM177">
        <f>IF(OR(Settings!$C$53="",Settings!$D$53=""),0,Settings!$C$53*IF(Settings!$D$53="Weekly",IF(IFERROR(MATCH(Settings!$E$53,$EO$4:$EO$10,0),0)=0,0,IF(MIN($C177,IF(Settings!$G$53="",$C177,Settings!$G$53))&lt;MAX($A177,Settings!$F$53),0,INT((MIN($C177,IF(Settings!$G$53="",$C177,Settings!$G$53))-MAX($A177,Settings!$F$53)-MOD(IFERROR(MATCH(Settings!$E$53,$EO$4:$EO$10,0),0)-WEEKDAY(MAX($A177,Settings!$F$53)),7))/7)+1)),IF(AND(IF(Settings!$E$53="",$B177,DATE(YEAR($A177),MONTH($A177),MIN(Settings!$E$53,DAY($B177))))&gt;=MAX($A177,Settings!$F$53),IF(Settings!$E$53="",$B177,DATE(YEAR($A177),MONTH($A177),MIN(Settings!$E$53,DAY($B177))))&lt;=MIN($C177,IF(Settings!$G$53="",$C177,Settings!$G$53))),1,0)))</f>
        <v/>
      </c>
      <c r="BN177">
        <f>IF(OR(Settings!$C$54="",Settings!$D$54=""),0,Settings!$C$54*IF(Settings!$D$54="Weekly",IF(IFERROR(MATCH(Settings!$E$54,$EO$4:$EO$10,0),0)=0,0,IF(MIN($C177,IF(Settings!$G$54="",$C177,Settings!$G$54))&lt;MAX($A177,Settings!$F$54),0,INT((MIN($C177,IF(Settings!$G$54="",$C177,Settings!$G$54))-MAX($A177,Settings!$F$54)-MOD(IFERROR(MATCH(Settings!$E$54,$EO$4:$EO$10,0),0)-WEEKDAY(MAX($A177,Settings!$F$54)),7))/7)+1)),IF(AND(IF(Settings!$E$54="",$B177,DATE(YEAR($A177),MONTH($A177),MIN(Settings!$E$54,DAY($B177))))&gt;=MAX($A177,Settings!$F$54),IF(Settings!$E$54="",$B177,DATE(YEAR($A177),MONTH($A177),MIN(Settings!$E$54,DAY($B177))))&lt;=MIN($C177,IF(Settings!$G$54="",$C177,Settings!$G$54))),1,0)))</f>
        <v/>
      </c>
      <c r="BO177">
        <f>IF(OR(Settings!$C$55="",Settings!$D$55=""),0,Settings!$C$55*IF(Settings!$D$55="Weekly",IF(IFERROR(MATCH(Settings!$E$55,$EO$4:$EO$10,0),0)=0,0,IF(MIN($C177,IF(Settings!$G$55="",$C177,Settings!$G$55))&lt;MAX($A177,Settings!$F$55),0,INT((MIN($C177,IF(Settings!$G$55="",$C177,Settings!$G$55))-MAX($A177,Settings!$F$55)-MOD(IFERROR(MATCH(Settings!$E$55,$EO$4:$EO$10,0),0)-WEEKDAY(MAX($A177,Settings!$F$55)),7))/7)+1)),IF(AND(IF(Settings!$E$55="",$B177,DATE(YEAR($A177),MONTH($A177),MIN(Settings!$E$55,DAY($B177))))&gt;=MAX($A177,Settings!$F$55),IF(Settings!$E$55="",$B177,DATE(YEAR($A177),MONTH($A177),MIN(Settings!$E$55,DAY($B177))))&lt;=MIN($C177,IF(Settings!$G$55="",$C177,Settings!$G$55))),1,0)))</f>
        <v/>
      </c>
      <c r="BP177">
        <f>IF(OR(Settings!$C$56="",Settings!$D$56=""),0,Settings!$C$56*IF(Settings!$D$56="Weekly",IF(IFERROR(MATCH(Settings!$E$56,$EO$4:$EO$10,0),0)=0,0,IF(MIN($C177,IF(Settings!$G$56="",$C177,Settings!$G$56))&lt;MAX($A177,Settings!$F$56),0,INT((MIN($C177,IF(Settings!$G$56="",$C177,Settings!$G$56))-MAX($A177,Settings!$F$56)-MOD(IFERROR(MATCH(Settings!$E$56,$EO$4:$EO$10,0),0)-WEEKDAY(MAX($A177,Settings!$F$56)),7))/7)+1)),IF(AND(IF(Settings!$E$56="",$B177,DATE(YEAR($A177),MONTH($A177),MIN(Settings!$E$56,DAY($B177))))&gt;=MAX($A177,Settings!$F$56),IF(Settings!$E$56="",$B177,DATE(YEAR($A177),MONTH($A177),MIN(Settings!$E$56,DAY($B177))))&lt;=MIN($C177,IF(Settings!$G$56="",$C177,Settings!$G$56))),1,0)))</f>
        <v/>
      </c>
      <c r="BQ177">
        <f>IF(OR(Settings!$B$14="",$D177=1,$E177="pre",$A177&lt;IF(Settings!$B$15="",0,Settings!$B$15)),0,Settings!$B$14)</f>
        <v/>
      </c>
      <c r="BR177">
        <f>IF(AND('Month-End'!$FR$7&lt;&gt;"",NOT(_xlfn.ISFORMULA('Month-End'!$FR$7))),1,0)</f>
        <v/>
      </c>
      <c r="BS177">
        <f>IF(AND('Month-End'!$FR$8&lt;&gt;"",NOT(_xlfn.ISFORMULA('Month-End'!$FR$8))),1,0)</f>
        <v/>
      </c>
      <c r="BT177">
        <f>IF(AND('Month-End'!$FR$9&lt;&gt;"",NOT(_xlfn.ISFORMULA('Month-End'!$FR$9))),1,0)</f>
        <v/>
      </c>
      <c r="BU177">
        <f>IF(AND('Month-End'!$FR$10&lt;&gt;"",NOT(_xlfn.ISFORMULA('Month-End'!$FR$10))),1,0)</f>
        <v/>
      </c>
      <c r="BV177">
        <f>IF(AND('Month-End'!$FR$11&lt;&gt;"",NOT(_xlfn.ISFORMULA('Month-End'!$FR$11))),1,0)</f>
        <v/>
      </c>
      <c r="BW177">
        <f>IF(AND('Month-End'!$FR$12&lt;&gt;"",NOT(_xlfn.ISFORMULA('Month-End'!$FR$12))),1,0)</f>
        <v/>
      </c>
      <c r="BX177">
        <f>IF(AND('Month-End'!$FR$13&lt;&gt;"",NOT(_xlfn.ISFORMULA('Month-End'!$FR$13))),1,0)</f>
        <v/>
      </c>
      <c r="BY177">
        <f>IF(AND('Month-End'!$FR$14&lt;&gt;"",NOT(_xlfn.ISFORMULA('Month-End'!$FR$14))),1,0)</f>
        <v/>
      </c>
      <c r="BZ177">
        <f>IF(AND('Month-End'!$FR$15&lt;&gt;"",NOT(_xlfn.ISFORMULA('Month-End'!$FR$15))),1,0)</f>
        <v/>
      </c>
      <c r="CA177">
        <f>IF(AND('Month-End'!$FR$16&lt;&gt;"",NOT(_xlfn.ISFORMULA('Month-End'!$FR$16))),1,0)</f>
        <v/>
      </c>
      <c r="CB177">
        <f>IF(AND('Month-End'!$FR$17&lt;&gt;"",NOT(_xlfn.ISFORMULA('Month-End'!$FR$17))),1,0)</f>
        <v/>
      </c>
      <c r="CC177">
        <f>IF(AND('Month-End'!$FR$18&lt;&gt;"",NOT(_xlfn.ISFORMULA('Month-End'!$FR$18))),1,0)</f>
        <v/>
      </c>
      <c r="CD177">
        <f>IF(AND('Month-End'!$FR$19&lt;&gt;"",NOT(_xlfn.ISFORMULA('Month-End'!$FR$19))),1,0)</f>
        <v/>
      </c>
      <c r="CE177">
        <f>IF(AND('Month-End'!$FR$20&lt;&gt;"",NOT(_xlfn.ISFORMULA('Month-End'!$FR$20))),1,0)</f>
        <v/>
      </c>
      <c r="CF177">
        <f>IF(AND('Month-End'!$FR$38&lt;&gt;"",NOT(_xlfn.ISFORMULA('Month-End'!$FR$38))),1,0)</f>
        <v/>
      </c>
      <c r="CG177">
        <f>IF(AND('Month-End'!$FR$39&lt;&gt;"",NOT(_xlfn.ISFORMULA('Month-End'!$FR$39))),1,0)</f>
        <v/>
      </c>
      <c r="CH177">
        <f>IF(AND('Month-End'!$FR$40&lt;&gt;"",NOT(_xlfn.ISFORMULA('Month-End'!$FR$40))),1,0)</f>
        <v/>
      </c>
      <c r="CI177">
        <f>IF(AND('Month-End'!$FR$41&lt;&gt;"",NOT(_xlfn.ISFORMULA('Month-End'!$FR$41))),1,0)</f>
        <v/>
      </c>
      <c r="CJ177">
        <f>IF(AND('Month-End'!$FR$42&lt;&gt;"",NOT(_xlfn.ISFORMULA('Month-End'!$FR$42))),1,0)</f>
        <v/>
      </c>
      <c r="CK177">
        <f>IF(AND('Month-End'!$FR$43&lt;&gt;"",NOT(_xlfn.ISFORMULA('Month-End'!$FR$43))),1,0)</f>
        <v/>
      </c>
      <c r="CL177">
        <f>SUM($CM177:$CZ177)</f>
        <v/>
      </c>
      <c r="CM177">
        <f>IF(AND($E177&lt;&gt;"pre",AND(Settings!$A$19&lt;&gt;"",Settings!$E$19&lt;&gt;"No"),Settings!$F$19="Yes",NOT(AND('Month-End'!$FR$7&lt;&gt;"",NOT(_xlfn.ISFORMULA('Month-End'!$FR$7))))),1,0)</f>
        <v/>
      </c>
      <c r="CN177">
        <f>IF(AND($E177&lt;&gt;"pre",AND(Settings!$A$20&lt;&gt;"",Settings!$E$20&lt;&gt;"No"),Settings!$F$20="Yes",NOT(AND('Month-End'!$FR$8&lt;&gt;"",NOT(_xlfn.ISFORMULA('Month-End'!$FR$8))))),1,0)</f>
        <v/>
      </c>
      <c r="CO177">
        <f>IF(AND($E177&lt;&gt;"pre",AND(Settings!$A$21&lt;&gt;"",Settings!$E$21&lt;&gt;"No"),Settings!$F$21="Yes",NOT(AND('Month-End'!$FR$9&lt;&gt;"",NOT(_xlfn.ISFORMULA('Month-End'!$FR$9))))),1,0)</f>
        <v/>
      </c>
      <c r="CP177">
        <f>IF(AND($E177&lt;&gt;"pre",AND(Settings!$A$22&lt;&gt;"",Settings!$E$22&lt;&gt;"No"),Settings!$F$22="Yes",NOT(AND('Month-End'!$FR$10&lt;&gt;"",NOT(_xlfn.ISFORMULA('Month-End'!$FR$10))))),1,0)</f>
        <v/>
      </c>
      <c r="CQ177">
        <f>IF(AND($E177&lt;&gt;"pre",AND(Settings!$A$23&lt;&gt;"",Settings!$E$23&lt;&gt;"No"),Settings!$F$23="Yes",NOT(AND('Month-End'!$FR$11&lt;&gt;"",NOT(_xlfn.ISFORMULA('Month-End'!$FR$11))))),1,0)</f>
        <v/>
      </c>
      <c r="CR177">
        <f>IF(AND($E177&lt;&gt;"pre",AND(Settings!$A$24&lt;&gt;"",Settings!$E$24&lt;&gt;"No"),Settings!$F$24="Yes",NOT(AND('Month-End'!$FR$12&lt;&gt;"",NOT(_xlfn.ISFORMULA('Month-End'!$FR$12))))),1,0)</f>
        <v/>
      </c>
      <c r="CS177">
        <f>IF(AND($E177&lt;&gt;"pre",AND(Settings!$A$25&lt;&gt;"",Settings!$E$25&lt;&gt;"No"),Settings!$F$25="Yes",NOT(AND('Month-End'!$FR$13&lt;&gt;"",NOT(_xlfn.ISFORMULA('Month-End'!$FR$13))))),1,0)</f>
        <v/>
      </c>
      <c r="CT177">
        <f>IF(AND($E177&lt;&gt;"pre",AND(Settings!$A$26&lt;&gt;"",Settings!$E$26&lt;&gt;"No"),Settings!$F$26="Yes",NOT(AND('Month-End'!$FR$14&lt;&gt;"",NOT(_xlfn.ISFORMULA('Month-End'!$FR$14))))),1,0)</f>
        <v/>
      </c>
      <c r="CU177">
        <f>IF(AND($E177&lt;&gt;"pre",AND(Settings!$A$27&lt;&gt;"",Settings!$E$27&lt;&gt;"No"),Settings!$F$27="Yes",NOT(AND('Month-End'!$FR$15&lt;&gt;"",NOT(_xlfn.ISFORMULA('Month-End'!$FR$15))))),1,0)</f>
        <v/>
      </c>
      <c r="CV177">
        <f>IF(AND($E177&lt;&gt;"pre",AND(Settings!$A$28&lt;&gt;"",Settings!$E$28&lt;&gt;"No"),Settings!$F$28="Yes",NOT(AND('Month-End'!$FR$16&lt;&gt;"",NOT(_xlfn.ISFORMULA('Month-End'!$FR$16))))),1,0)</f>
        <v/>
      </c>
      <c r="CW177">
        <f>IF(AND($E177&lt;&gt;"pre",AND(Settings!$A$29&lt;&gt;"",Settings!$E$29&lt;&gt;"No"),Settings!$F$29="Yes",NOT(AND('Month-End'!$FR$17&lt;&gt;"",NOT(_xlfn.ISFORMULA('Month-End'!$FR$17))))),1,0)</f>
        <v/>
      </c>
      <c r="CX177">
        <f>IF(AND($E177&lt;&gt;"pre",AND(Settings!$A$30&lt;&gt;"",Settings!$E$30&lt;&gt;"No"),Settings!$F$30="Yes",NOT(AND('Month-End'!$FR$18&lt;&gt;"",NOT(_xlfn.ISFORMULA('Month-End'!$FR$18))))),1,0)</f>
        <v/>
      </c>
      <c r="CY177">
        <f>IF(AND($E177&lt;&gt;"pre",AND(Settings!$A$31&lt;&gt;"",Settings!$E$31&lt;&gt;"No"),Settings!$F$31="Yes",NOT(AND('Month-End'!$FR$19&lt;&gt;"",NOT(_xlfn.ISFORMULA('Month-End'!$FR$19))))),1,0)</f>
        <v/>
      </c>
      <c r="CZ177">
        <f>IF(AND($E177&lt;&gt;"pre",AND(Settings!$A$32&lt;&gt;"",Settings!$E$32&lt;&gt;"No"),Settings!$F$32="Yes",NOT(AND('Month-End'!$FR$20&lt;&gt;"",NOT(_xlfn.ISFORMULA('Month-End'!$FR$20))))),1,0)</f>
        <v/>
      </c>
      <c r="DA177">
        <f>IF($DT177=1,IF(OR(Settings!$B$19="Checking",Settings!$B$19="Savings",Settings!$B$19="Cash"),N($AE177),IF(OR(Settings!$B$19="Card",Settings!$B$19="Loan"),-N($AE177),0))+IF(OR(Settings!$B$20="Checking",Settings!$B$20="Savings",Settings!$B$20="Cash"),N($AF177),IF(OR(Settings!$B$20="Card",Settings!$B$20="Loan"),-N($AF177),0))+IF(OR(Settings!$B$21="Checking",Settings!$B$21="Savings",Settings!$B$21="Cash"),N($AG177),IF(OR(Settings!$B$21="Card",Settings!$B$21="Loan"),-N($AG177),0))+IF(OR(Settings!$B$22="Checking",Settings!$B$22="Savings",Settings!$B$22="Cash"),N($AH177),IF(OR(Settings!$B$22="Card",Settings!$B$22="Loan"),-N($AH177),0))+IF(OR(Settings!$B$23="Checking",Settings!$B$23="Savings",Settings!$B$23="Cash"),N($AI177),IF(OR(Settings!$B$23="Card",Settings!$B$23="Loan"),-N($AI177),0))+IF(OR(Settings!$B$24="Checking",Settings!$B$24="Savings",Settings!$B$24="Cash"),N($AJ177),IF(OR(Settings!$B$24="Card",Settings!$B$24="Loan"),-N($AJ177),0))+IF(OR(Settings!$B$25="Checking",Settings!$B$25="Savings",Settings!$B$25="Cash"),N($AK177),IF(OR(Settings!$B$25="Card",Settings!$B$25="Loan"),-N($AK177),0))+IF(OR(Settings!$B$26="Checking",Settings!$B$26="Savings",Settings!$B$26="Cash"),N($AL177),IF(OR(Settings!$B$26="Card",Settings!$B$26="Loan"),-N($AL177),0))+IF(OR(Settings!$B$27="Checking",Settings!$B$27="Savings",Settings!$B$27="Cash"),N($AM177),IF(OR(Settings!$B$27="Card",Settings!$B$27="Loan"),-N($AM177),0))+IF(OR(Settings!$B$28="Checking",Settings!$B$28="Savings",Settings!$B$28="Cash"),N($AN177),IF(OR(Settings!$B$28="Card",Settings!$B$28="Loan"),-N($AN177),0))+IF(OR(Settings!$B$29="Checking",Settings!$B$29="Savings",Settings!$B$29="Cash"),N($AO177),IF(OR(Settings!$B$29="Card",Settings!$B$29="Loan"),-N($AO177),0))+IF(OR(Settings!$B$30="Checking",Settings!$B$30="Savings",Settings!$B$30="Cash"),N($AP177),IF(OR(Settings!$B$30="Card",Settings!$B$30="Loan"),-N($AP177),0))+IF(OR(Settings!$B$31="Checking",Settings!$B$31="Savings",Settings!$B$31="Cash"),N($AQ177),IF(OR(Settings!$B$31="Card",Settings!$B$31="Loan"),-N($AQ177),0))+IF(OR(Settings!$B$32="Checking",Settings!$B$32="Savings",Settings!$B$32="Cash"),N($AR177),IF(OR(Settings!$B$32="Card",Settings!$B$32="Loan"),-N($AR177),0)),"")</f>
        <v/>
      </c>
      <c r="DB177">
        <f>IF($E177="open",$EB$27,IF($E177="post",IF($E176="pre",$EB$27,$DA176),""))</f>
        <v/>
      </c>
      <c r="DC177">
        <f>IF($E177="open",1,IF($E177="post",IF($E176="pre",1,$DT176),0))</f>
        <v/>
      </c>
      <c r="DD177">
        <f>IF(AND($DT177=1,$DC177=1),ROUND($W177-($DA177-$DB177)-$AD177-$AB177,2),"")</f>
        <v/>
      </c>
      <c r="DE177">
        <f>IF('Month-End'!$FR$35="",$BQ177,N('Month-End'!$FR$35))</f>
        <v/>
      </c>
      <c r="DF177">
        <f>N('Month-End'!$FR$36)</f>
        <v/>
      </c>
      <c r="DG177">
        <f>IF($DD177="","",$DD177+$DE177)</f>
        <v/>
      </c>
      <c r="DH177">
        <f>IF($DG177="","",$DG177-$DF177)</f>
        <v/>
      </c>
      <c r="DI177">
        <f>IF(OR($E177="pre",$D177=1),"",N($AS177)+N($AT177)+N($AU177)+N($AV177)+N($AW177)+N($AX177))</f>
        <v/>
      </c>
      <c r="DJ177">
        <f>IF($DT177=1,$DA177+N($DI177),"")</f>
        <v/>
      </c>
      <c r="DK177">
        <f>IF($DD177="","",$W177-$DD177-$AB177)</f>
        <v/>
      </c>
      <c r="DL177">
        <f>IF(AND($E177="post",$DD177&lt;&gt;"",$B177&lt;TODAY()),1,0)</f>
        <v/>
      </c>
      <c r="DM177">
        <f>IF($DL177=1,COUNTIF($DL177:$DL$183,1),0)</f>
        <v/>
      </c>
      <c r="DN177">
        <f>IF($D177=1,"",IF($E177="pre","History only",IF($DT177=1,IF($DD177="","⚠ Previous month missing",IF($DD177&lt;0,"⚠ Check: spending &lt; 0",IF($E177="open","✓ Done (partial)","✓ Done"))),IF($B177&gt;=TODAY(),"In progress","⚠ Needs balances"))))</f>
        <v/>
      </c>
      <c r="DO177">
        <f>YEAR($A177)</f>
        <v/>
      </c>
      <c r="DP177">
        <f>DATE(YEAR($A177),INT((MONTH($A177)-1)/3)*3+1,1)</f>
        <v/>
      </c>
      <c r="DQ177">
        <f>IF(AND($DT177=1,$DD177&lt;&gt;"",$D177=0),ROW(),0)</f>
        <v/>
      </c>
      <c r="DR177">
        <f>IF(AND($E177&lt;&gt;"pre",$B177&lt;TODAY(),$DT177=0),1,0)</f>
        <v/>
      </c>
      <c r="DS177">
        <f>IF($DJ177="",NA(),$DJ177)</f>
        <v/>
      </c>
      <c r="DT177">
        <f>IF(AND($E177&lt;&gt;"pre",$CL177=0,COUNTIFS(Settings!$F$19:$F$32,"Yes",Settings!$A$19:$A$32,"&lt;&gt;",Settings!$E$19:$E$32,"&lt;&gt;No")&gt;0),1,0)</f>
        <v/>
      </c>
      <c r="DU177">
        <f>IF(AND($B177&lt;TODAY(),$S177&gt;0),1,0)</f>
        <v/>
      </c>
      <c r="DV177">
        <f>IF($DU177=1,COUNTIF($DU177:$DU$183,1),0)</f>
        <v/>
      </c>
      <c r="DW177">
        <f>IF(AND(OR(Settings!$B$19="Card",Settings!$B$19="Loan"),AND('Month-End'!$FR$7&lt;&gt;"",NOT(_xlfn.ISFORMULA('Month-End'!$FR$7)))),IF(N('Month-End'!$FR$7)&lt;0,1,0),0)+IF(AND(OR(Settings!$B$20="Card",Settings!$B$20="Loan"),AND('Month-End'!$FR$8&lt;&gt;"",NOT(_xlfn.ISFORMULA('Month-End'!$FR$8)))),IF(N('Month-End'!$FR$8)&lt;0,1,0),0)+IF(AND(OR(Settings!$B$21="Card",Settings!$B$21="Loan"),AND('Month-End'!$FR$9&lt;&gt;"",NOT(_xlfn.ISFORMULA('Month-End'!$FR$9)))),IF(N('Month-End'!$FR$9)&lt;0,1,0),0)+IF(AND(OR(Settings!$B$22="Card",Settings!$B$22="Loan"),AND('Month-End'!$FR$10&lt;&gt;"",NOT(_xlfn.ISFORMULA('Month-End'!$FR$10)))),IF(N('Month-End'!$FR$10)&lt;0,1,0),0)+IF(AND(OR(Settings!$B$23="Card",Settings!$B$23="Loan"),AND('Month-End'!$FR$11&lt;&gt;"",NOT(_xlfn.ISFORMULA('Month-End'!$FR$11)))),IF(N('Month-End'!$FR$11)&lt;0,1,0),0)+IF(AND(OR(Settings!$B$24="Card",Settings!$B$24="Loan"),AND('Month-End'!$FR$12&lt;&gt;"",NOT(_xlfn.ISFORMULA('Month-End'!$FR$12)))),IF(N('Month-End'!$FR$12)&lt;0,1,0),0)+IF(AND(OR(Settings!$B$25="Card",Settings!$B$25="Loan"),AND('Month-End'!$FR$13&lt;&gt;"",NOT(_xlfn.ISFORMULA('Month-End'!$FR$13)))),IF(N('Month-End'!$FR$13)&lt;0,1,0),0)+IF(AND(OR(Settings!$B$26="Card",Settings!$B$26="Loan"),AND('Month-End'!$FR$14&lt;&gt;"",NOT(_xlfn.ISFORMULA('Month-End'!$FR$14)))),IF(N('Month-End'!$FR$14)&lt;0,1,0),0)+IF(AND(OR(Settings!$B$27="Card",Settings!$B$27="Loan"),AND('Month-End'!$FR$15&lt;&gt;"",NOT(_xlfn.ISFORMULA('Month-End'!$FR$15)))),IF(N('Month-End'!$FR$15)&lt;0,1,0),0)+IF(AND(OR(Settings!$B$28="Card",Settings!$B$28="Loan"),AND('Month-End'!$FR$16&lt;&gt;"",NOT(_xlfn.ISFORMULA('Month-End'!$FR$16)))),IF(N('Month-End'!$FR$16)&lt;0,1,0),0)+IF(AND(OR(Settings!$B$29="Card",Settings!$B$29="Loan"),AND('Month-End'!$FR$17&lt;&gt;"",NOT(_xlfn.ISFORMULA('Month-End'!$FR$17)))),IF(N('Month-End'!$FR$17)&lt;0,1,0),0)+IF(AND(OR(Settings!$B$30="Card",Settings!$B$30="Loan"),AND('Month-End'!$FR$18&lt;&gt;"",NOT(_xlfn.ISFORMULA('Month-End'!$FR$18)))),IF(N('Month-End'!$FR$18)&lt;0,1,0),0)+IF(AND(OR(Settings!$B$31="Card",Settings!$B$31="Loan"),AND('Month-End'!$FR$19&lt;&gt;"",NOT(_xlfn.ISFORMULA('Month-End'!$FR$19)))),IF(N('Month-End'!$FR$19)&lt;0,1,0),0)+IF(AND(OR(Settings!$B$32="Card",Settings!$B$32="Loan"),AND('Month-End'!$FR$20&lt;&gt;"",NOT(_xlfn.ISFORMULA('Month-End'!$FR$20)))),IF(N('Month-End'!$FR$20)&lt;0,1,0),0)</f>
        <v/>
      </c>
      <c r="DX177">
        <f>IF(Settings!$B$36="Retirement",$AY177,0)+IF(Settings!$B$37="Retirement",$AZ177,0)+IF(Settings!$B$38="Retirement",$BA177,0)+IF(Settings!$B$39="Retirement",$BB177,0)+IF(Settings!$B$40="Retirement",$BC177,0)+IF(Settings!$B$41="Retirement",$BD177,0)</f>
        <v/>
      </c>
      <c r="ET177">
        <f>IF($E177&lt;&gt;"open",0,IF(AND('Month-End'!$FR$22&lt;&gt;"",NOT(_xlfn.ISFORMULA('Month-End'!$FR$22))),0,IF(OR(Settings!$C$45="",Settings!$D$45=""),0,Settings!$C$45*IF(Settings!$D$45="Weekly",IF(IFERROR(MATCH(Settings!$E$45,$EO$4:$EO$10,0),0)=0,0,IF(MIN(Settings!$B$5,IF(Settings!$G$45="",Settings!$B$5,Settings!$G$45))&lt;MAX($A177,Settings!$F$45),0,INT((MIN(Settings!$B$5,IF(Settings!$G$45="",Settings!$B$5,Settings!$G$45))-MAX($A177,Settings!$F$45)-MOD(IFERROR(MATCH(Settings!$E$45,$EO$4:$EO$10,0),0)-WEEKDAY(MAX($A177,Settings!$F$45)),7))/7)+1)),IF(AND(IF(Settings!$E$45="",$B177,DATE(YEAR($A177),MONTH($A177),MIN(Settings!$E$45,DAY($B177))))&gt;=MAX($A177,Settings!$F$45),IF(Settings!$E$45="",$B177,DATE(YEAR($A177),MONTH($A177),MIN(Settings!$E$45,DAY($B177))))&lt;=MIN(Settings!$B$5,IF(Settings!$G$45="",Settings!$B$5,Settings!$G$45))),1,0)))))</f>
        <v/>
      </c>
      <c r="EU177">
        <f>IF($E177&lt;&gt;"open",0,IF(AND('Month-End'!$FR$23&lt;&gt;"",NOT(_xlfn.ISFORMULA('Month-End'!$FR$23))),0,IF(OR(Settings!$C$46="",Settings!$D$46=""),0,Settings!$C$46*IF(Settings!$D$46="Weekly",IF(IFERROR(MATCH(Settings!$E$46,$EO$4:$EO$10,0),0)=0,0,IF(MIN(Settings!$B$5,IF(Settings!$G$46="",Settings!$B$5,Settings!$G$46))&lt;MAX($A177,Settings!$F$46),0,INT((MIN(Settings!$B$5,IF(Settings!$G$46="",Settings!$B$5,Settings!$G$46))-MAX($A177,Settings!$F$46)-MOD(IFERROR(MATCH(Settings!$E$46,$EO$4:$EO$10,0),0)-WEEKDAY(MAX($A177,Settings!$F$46)),7))/7)+1)),IF(AND(IF(Settings!$E$46="",$B177,DATE(YEAR($A177),MONTH($A177),MIN(Settings!$E$46,DAY($B177))))&gt;=MAX($A177,Settings!$F$46),IF(Settings!$E$46="",$B177,DATE(YEAR($A177),MONTH($A177),MIN(Settings!$E$46,DAY($B177))))&lt;=MIN(Settings!$B$5,IF(Settings!$G$46="",Settings!$B$5,Settings!$G$46))),1,0)))))</f>
        <v/>
      </c>
      <c r="EV177">
        <f>IF($E177&lt;&gt;"open",0,IF(AND('Month-End'!$FR$24&lt;&gt;"",NOT(_xlfn.ISFORMULA('Month-End'!$FR$24))),0,IF(OR(Settings!$C$47="",Settings!$D$47=""),0,Settings!$C$47*IF(Settings!$D$47="Weekly",IF(IFERROR(MATCH(Settings!$E$47,$EO$4:$EO$10,0),0)=0,0,IF(MIN(Settings!$B$5,IF(Settings!$G$47="",Settings!$B$5,Settings!$G$47))&lt;MAX($A177,Settings!$F$47),0,INT((MIN(Settings!$B$5,IF(Settings!$G$47="",Settings!$B$5,Settings!$G$47))-MAX($A177,Settings!$F$47)-MOD(IFERROR(MATCH(Settings!$E$47,$EO$4:$EO$10,0),0)-WEEKDAY(MAX($A177,Settings!$F$47)),7))/7)+1)),IF(AND(IF(Settings!$E$47="",$B177,DATE(YEAR($A177),MONTH($A177),MIN(Settings!$E$47,DAY($B177))))&gt;=MAX($A177,Settings!$F$47),IF(Settings!$E$47="",$B177,DATE(YEAR($A177),MONTH($A177),MIN(Settings!$E$47,DAY($B177))))&lt;=MIN(Settings!$B$5,IF(Settings!$G$47="",Settings!$B$5,Settings!$G$47))),1,0)))))</f>
        <v/>
      </c>
      <c r="EW177">
        <f>IF($E177&lt;&gt;"open",0,IF(AND('Month-End'!$FR$25&lt;&gt;"",NOT(_xlfn.ISFORMULA('Month-End'!$FR$25))),0,IF(OR(Settings!$C$48="",Settings!$D$48=""),0,Settings!$C$48*IF(Settings!$D$48="Weekly",IF(IFERROR(MATCH(Settings!$E$48,$EO$4:$EO$10,0),0)=0,0,IF(MIN(Settings!$B$5,IF(Settings!$G$48="",Settings!$B$5,Settings!$G$48))&lt;MAX($A177,Settings!$F$48),0,INT((MIN(Settings!$B$5,IF(Settings!$G$48="",Settings!$B$5,Settings!$G$48))-MAX($A177,Settings!$F$48)-MOD(IFERROR(MATCH(Settings!$E$48,$EO$4:$EO$10,0),0)-WEEKDAY(MAX($A177,Settings!$F$48)),7))/7)+1)),IF(AND(IF(Settings!$E$48="",$B177,DATE(YEAR($A177),MONTH($A177),MIN(Settings!$E$48,DAY($B177))))&gt;=MAX($A177,Settings!$F$48),IF(Settings!$E$48="",$B177,DATE(YEAR($A177),MONTH($A177),MIN(Settings!$E$48,DAY($B177))))&lt;=MIN(Settings!$B$5,IF(Settings!$G$48="",Settings!$B$5,Settings!$G$48))),1,0)))))</f>
        <v/>
      </c>
      <c r="EX177">
        <f>IF($E177&lt;&gt;"open",0,IF(AND('Month-End'!$FR$26&lt;&gt;"",NOT(_xlfn.ISFORMULA('Month-End'!$FR$26))),0,IF(OR(Settings!$C$49="",Settings!$D$49=""),0,Settings!$C$49*IF(Settings!$D$49="Weekly",IF(IFERROR(MATCH(Settings!$E$49,$EO$4:$EO$10,0),0)=0,0,IF(MIN(Settings!$B$5,IF(Settings!$G$49="",Settings!$B$5,Settings!$G$49))&lt;MAX($A177,Settings!$F$49),0,INT((MIN(Settings!$B$5,IF(Settings!$G$49="",Settings!$B$5,Settings!$G$49))-MAX($A177,Settings!$F$49)-MOD(IFERROR(MATCH(Settings!$E$49,$EO$4:$EO$10,0),0)-WEEKDAY(MAX($A177,Settings!$F$49)),7))/7)+1)),IF(AND(IF(Settings!$E$49="",$B177,DATE(YEAR($A177),MONTH($A177),MIN(Settings!$E$49,DAY($B177))))&gt;=MAX($A177,Settings!$F$49),IF(Settings!$E$49="",$B177,DATE(YEAR($A177),MONTH($A177),MIN(Settings!$E$49,DAY($B177))))&lt;=MIN(Settings!$B$5,IF(Settings!$G$49="",Settings!$B$5,Settings!$G$49))),1,0)))))</f>
        <v/>
      </c>
      <c r="EY177">
        <f>IF($E177&lt;&gt;"open",0,IF(AND('Month-End'!$FR$27&lt;&gt;"",NOT(_xlfn.ISFORMULA('Month-End'!$FR$27))),0,IF(OR(Settings!$C$50="",Settings!$D$50=""),0,Settings!$C$50*IF(Settings!$D$50="Weekly",IF(IFERROR(MATCH(Settings!$E$50,$EO$4:$EO$10,0),0)=0,0,IF(MIN(Settings!$B$5,IF(Settings!$G$50="",Settings!$B$5,Settings!$G$50))&lt;MAX($A177,Settings!$F$50),0,INT((MIN(Settings!$B$5,IF(Settings!$G$50="",Settings!$B$5,Settings!$G$50))-MAX($A177,Settings!$F$50)-MOD(IFERROR(MATCH(Settings!$E$50,$EO$4:$EO$10,0),0)-WEEKDAY(MAX($A177,Settings!$F$50)),7))/7)+1)),IF(AND(IF(Settings!$E$50="",$B177,DATE(YEAR($A177),MONTH($A177),MIN(Settings!$E$50,DAY($B177))))&gt;=MAX($A177,Settings!$F$50),IF(Settings!$E$50="",$B177,DATE(YEAR($A177),MONTH($A177),MIN(Settings!$E$50,DAY($B177))))&lt;=MIN(Settings!$B$5,IF(Settings!$G$50="",Settings!$B$5,Settings!$G$50))),1,0)))))</f>
        <v/>
      </c>
      <c r="EZ177">
        <f>IF($E177&lt;&gt;"open",0,IF(AND('Month-End'!$FR$28&lt;&gt;"",NOT(_xlfn.ISFORMULA('Month-End'!$FR$28))),0,IF(OR(Settings!$C$51="",Settings!$D$51=""),0,Settings!$C$51*IF(Settings!$D$51="Weekly",IF(IFERROR(MATCH(Settings!$E$51,$EO$4:$EO$10,0),0)=0,0,IF(MIN(Settings!$B$5,IF(Settings!$G$51="",Settings!$B$5,Settings!$G$51))&lt;MAX($A177,Settings!$F$51),0,INT((MIN(Settings!$B$5,IF(Settings!$G$51="",Settings!$B$5,Settings!$G$51))-MAX($A177,Settings!$F$51)-MOD(IFERROR(MATCH(Settings!$E$51,$EO$4:$EO$10,0),0)-WEEKDAY(MAX($A177,Settings!$F$51)),7))/7)+1)),IF(AND(IF(Settings!$E$51="",$B177,DATE(YEAR($A177),MONTH($A177),MIN(Settings!$E$51,DAY($B177))))&gt;=MAX($A177,Settings!$F$51),IF(Settings!$E$51="",$B177,DATE(YEAR($A177),MONTH($A177),MIN(Settings!$E$51,DAY($B177))))&lt;=MIN(Settings!$B$5,IF(Settings!$G$51="",Settings!$B$5,Settings!$G$51))),1,0)))))</f>
        <v/>
      </c>
      <c r="FA177">
        <f>IF($E177&lt;&gt;"open",0,IF(AND('Month-End'!$FR$29&lt;&gt;"",NOT(_xlfn.ISFORMULA('Month-End'!$FR$29))),0,IF(OR(Settings!$C$52="",Settings!$D$52=""),0,Settings!$C$52*IF(Settings!$D$52="Weekly",IF(IFERROR(MATCH(Settings!$E$52,$EO$4:$EO$10,0),0)=0,0,IF(MIN(Settings!$B$5,IF(Settings!$G$52="",Settings!$B$5,Settings!$G$52))&lt;MAX($A177,Settings!$F$52),0,INT((MIN(Settings!$B$5,IF(Settings!$G$52="",Settings!$B$5,Settings!$G$52))-MAX($A177,Settings!$F$52)-MOD(IFERROR(MATCH(Settings!$E$52,$EO$4:$EO$10,0),0)-WEEKDAY(MAX($A177,Settings!$F$52)),7))/7)+1)),IF(AND(IF(Settings!$E$52="",$B177,DATE(YEAR($A177),MONTH($A177),MIN(Settings!$E$52,DAY($B177))))&gt;=MAX($A177,Settings!$F$52),IF(Settings!$E$52="",$B177,DATE(YEAR($A177),MONTH($A177),MIN(Settings!$E$52,DAY($B177))))&lt;=MIN(Settings!$B$5,IF(Settings!$G$52="",Settings!$B$5,Settings!$G$52))),1,0)))))</f>
        <v/>
      </c>
      <c r="FB177">
        <f>IF($E177&lt;&gt;"open",0,IF(AND('Month-End'!$FR$30&lt;&gt;"",NOT(_xlfn.ISFORMULA('Month-End'!$FR$30))),0,IF(OR(Settings!$C$53="",Settings!$D$53=""),0,Settings!$C$53*IF(Settings!$D$53="Weekly",IF(IFERROR(MATCH(Settings!$E$53,$EO$4:$EO$10,0),0)=0,0,IF(MIN(Settings!$B$5,IF(Settings!$G$53="",Settings!$B$5,Settings!$G$53))&lt;MAX($A177,Settings!$F$53),0,INT((MIN(Settings!$B$5,IF(Settings!$G$53="",Settings!$B$5,Settings!$G$53))-MAX($A177,Settings!$F$53)-MOD(IFERROR(MATCH(Settings!$E$53,$EO$4:$EO$10,0),0)-WEEKDAY(MAX($A177,Settings!$F$53)),7))/7)+1)),IF(AND(IF(Settings!$E$53="",$B177,DATE(YEAR($A177),MONTH($A177),MIN(Settings!$E$53,DAY($B177))))&gt;=MAX($A177,Settings!$F$53),IF(Settings!$E$53="",$B177,DATE(YEAR($A177),MONTH($A177),MIN(Settings!$E$53,DAY($B177))))&lt;=MIN(Settings!$B$5,IF(Settings!$G$53="",Settings!$B$5,Settings!$G$53))),1,0)))))</f>
        <v/>
      </c>
      <c r="FC177">
        <f>IF($E177&lt;&gt;"open",0,IF(AND('Month-End'!$FR$31&lt;&gt;"",NOT(_xlfn.ISFORMULA('Month-End'!$FR$31))),0,IF(OR(Settings!$C$54="",Settings!$D$54=""),0,Settings!$C$54*IF(Settings!$D$54="Weekly",IF(IFERROR(MATCH(Settings!$E$54,$EO$4:$EO$10,0),0)=0,0,IF(MIN(Settings!$B$5,IF(Settings!$G$54="",Settings!$B$5,Settings!$G$54))&lt;MAX($A177,Settings!$F$54),0,INT((MIN(Settings!$B$5,IF(Settings!$G$54="",Settings!$B$5,Settings!$G$54))-MAX($A177,Settings!$F$54)-MOD(IFERROR(MATCH(Settings!$E$54,$EO$4:$EO$10,0),0)-WEEKDAY(MAX($A177,Settings!$F$54)),7))/7)+1)),IF(AND(IF(Settings!$E$54="",$B177,DATE(YEAR($A177),MONTH($A177),MIN(Settings!$E$54,DAY($B177))))&gt;=MAX($A177,Settings!$F$54),IF(Settings!$E$54="",$B177,DATE(YEAR($A177),MONTH($A177),MIN(Settings!$E$54,DAY($B177))))&lt;=MIN(Settings!$B$5,IF(Settings!$G$54="",Settings!$B$5,Settings!$G$54))),1,0)))))</f>
        <v/>
      </c>
      <c r="FD177">
        <f>IF($E177&lt;&gt;"open",0,IF(AND('Month-End'!$FR$32&lt;&gt;"",NOT(_xlfn.ISFORMULA('Month-End'!$FR$32))),0,IF(OR(Settings!$C$55="",Settings!$D$55=""),0,Settings!$C$55*IF(Settings!$D$55="Weekly",IF(IFERROR(MATCH(Settings!$E$55,$EO$4:$EO$10,0),0)=0,0,IF(MIN(Settings!$B$5,IF(Settings!$G$55="",Settings!$B$5,Settings!$G$55))&lt;MAX($A177,Settings!$F$55),0,INT((MIN(Settings!$B$5,IF(Settings!$G$55="",Settings!$B$5,Settings!$G$55))-MAX($A177,Settings!$F$55)-MOD(IFERROR(MATCH(Settings!$E$55,$EO$4:$EO$10,0),0)-WEEKDAY(MAX($A177,Settings!$F$55)),7))/7)+1)),IF(AND(IF(Settings!$E$55="",$B177,DATE(YEAR($A177),MONTH($A177),MIN(Settings!$E$55,DAY($B177))))&gt;=MAX($A177,Settings!$F$55),IF(Settings!$E$55="",$B177,DATE(YEAR($A177),MONTH($A177),MIN(Settings!$E$55,DAY($B177))))&lt;=MIN(Settings!$B$5,IF(Settings!$G$55="",Settings!$B$5,Settings!$G$55))),1,0)))))</f>
        <v/>
      </c>
      <c r="FE177">
        <f>IF($E177&lt;&gt;"open",0,IF(AND('Month-End'!$FR$33&lt;&gt;"",NOT(_xlfn.ISFORMULA('Month-End'!$FR$33))),0,IF(OR(Settings!$C$56="",Settings!$D$56=""),0,Settings!$C$56*IF(Settings!$D$56="Weekly",IF(IFERROR(MATCH(Settings!$E$56,$EO$4:$EO$10,0),0)=0,0,IF(MIN(Settings!$B$5,IF(Settings!$G$56="",Settings!$B$5,Settings!$G$56))&lt;MAX($A177,Settings!$F$56),0,INT((MIN(Settings!$B$5,IF(Settings!$G$56="",Settings!$B$5,Settings!$G$56))-MAX($A177,Settings!$F$56)-MOD(IFERROR(MATCH(Settings!$E$56,$EO$4:$EO$10,0),0)-WEEKDAY(MAX($A177,Settings!$F$56)),7))/7)+1)),IF(AND(IF(Settings!$E$56="",$B177,DATE(YEAR($A177),MONTH($A177),MIN(Settings!$E$56,DAY($B177))))&gt;=MAX($A177,Settings!$F$56),IF(Settings!$E$56="",$B177,DATE(YEAR($A177),MONTH($A177),MIN(Settings!$E$56,DAY($B177))))&lt;=MIN(Settings!$B$5,IF(Settings!$G$56="",Settings!$B$5,Settings!$G$56))),1,0)))))</f>
        <v/>
      </c>
      <c r="FF177">
        <f>IF(Settings!$I$45="Yes",$G177,0)+IF(Settings!$I$46="Yes",$H177,0)+IF(Settings!$I$47="Yes",$I177,0)+IF(Settings!$I$48="Yes",$J177,0)+IF(Settings!$I$49="Yes",$K177,0)+IF(Settings!$I$50="Yes",$L177,0)+IF(Settings!$I$51="Yes",$M177,0)+IF(Settings!$I$52="Yes",$N177,0)+IF(Settings!$I$53="Yes",$O177,0)+IF(Settings!$I$54="Yes",$P177,0)+IF(Settings!$I$55="Yes",$Q177,0)+IF(Settings!$I$56="Yes",$R177,0)</f>
        <v/>
      </c>
      <c r="FG177">
        <f>IF(AND(Settings!$I$45="Yes",Settings!$J$45="No"),$G177,0)+IF(AND(Settings!$I$46="Yes",Settings!$J$46="No"),$H177,0)+IF(AND(Settings!$I$47="Yes",Settings!$J$47="No"),$I177,0)+IF(AND(Settings!$I$48="Yes",Settings!$J$48="No"),$J177,0)+IF(AND(Settings!$I$49="Yes",Settings!$J$49="No"),$K177,0)+IF(AND(Settings!$I$50="Yes",Settings!$J$50="No"),$L177,0)+IF(AND(Settings!$I$51="Yes",Settings!$J$51="No"),$M177,0)+IF(AND(Settings!$I$52="Yes",Settings!$J$52="No"),$N177,0)+IF(AND(Settings!$I$53="Yes",Settings!$J$53="No"),$O177,0)+IF(AND(Settings!$I$54="Yes",Settings!$J$54="No"),$P177,0)+IF(AND(Settings!$I$55="Yes",Settings!$J$55="No"),$Q177,0)+IF(AND(Settings!$I$56="Yes",Settings!$J$56="No"),$R177,0)</f>
        <v/>
      </c>
      <c r="FH177">
        <f>SUMIFS(Giving!$B$7:$B$2006,Giving!$A$7:$A$2006,"&gt;="&amp;$A177,Giving!$A$7:$A$2006,"&lt;="&amp;$B177,Giving!$G$7:$G$2006,"Yes")+IF(OR(OR(Settings!$B$60="",Settings!$F$60="No"),Settings!$H$60&lt;&gt;"Yes"),0,Settings!$B$60*IF(AND(IF(Settings!$C$60="",$B177,DATE(YEAR($A177),MONTH($A177),MIN(Settings!$C$60,DAY($B177))))&gt;=MAX($A177,Settings!$D$60),IF(Settings!$C$60="",$B177,DATE(YEAR($A177),MONTH($A177),MIN(Settings!$C$60,DAY($B177))))&lt;=MIN($C177,IF(Settings!$E$60="",$C177,Settings!$E$60))),1,0))+IF(OR(OR(Settings!$B$61="",Settings!$F$61="No"),Settings!$H$61&lt;&gt;"Yes"),0,Settings!$B$61*IF(AND(IF(Settings!$C$61="",$B177,DATE(YEAR($A177),MONTH($A177),MIN(Settings!$C$61,DAY($B177))))&gt;=MAX($A177,Settings!$D$61),IF(Settings!$C$61="",$B177,DATE(YEAR($A177),MONTH($A177),MIN(Settings!$C$61,DAY($B177))))&lt;=MIN($C177,IF(Settings!$E$61="",$C177,Settings!$E$61))),1,0))+IF(OR(OR(Settings!$B$62="",Settings!$F$62="No"),Settings!$H$62&lt;&gt;"Yes"),0,Settings!$B$62*IF(AND(IF(Settings!$C$62="",$B177,DATE(YEAR($A177),MONTH($A177),MIN(Settings!$C$62,DAY($B177))))&gt;=MAX($A177,Settings!$D$62),IF(Settings!$C$62="",$B177,DATE(YEAR($A177),MONTH($A177),MIN(Settings!$C$62,DAY($B177))))&lt;=MIN($C177,IF(Settings!$E$62="",$C177,Settings!$E$62))),1,0))+IF(OR(OR(Settings!$B$63="",Settings!$F$63="No"),Settings!$H$63&lt;&gt;"Yes"),0,Settings!$B$63*IF(AND(IF(Settings!$C$63="",$B177,DATE(YEAR($A177),MONTH($A177),MIN(Settings!$C$63,DAY($B177))))&gt;=MAX($A177,Settings!$D$63),IF(Settings!$C$63="",$B177,DATE(YEAR($A177),MONTH($A177),MIN(Settings!$C$63,DAY($B177))))&lt;=MIN($C177,IF(Settings!$E$63="",$C177,Settings!$E$63))),1,0))+IF(OR(OR(Settings!$B$64="",Settings!$F$64="No"),Settings!$H$64&lt;&gt;"Yes"),0,Settings!$B$64*IF(AND(IF(Settings!$C$64="",$B177,DATE(YEAR($A177),MONTH($A177),MIN(Settings!$C$64,DAY($B177))))&gt;=MAX($A177,Settings!$D$64),IF(Settings!$C$64="",$B177,DATE(YEAR($A177),MONTH($A177),MIN(Settings!$C$64,DAY($B177))))&lt;=MIN($C177,IF(Settings!$E$64="",$C177,Settings!$E$64))),1,0))+IF(OR(OR(Settings!$B$65="",Settings!$F$65="No"),Settings!$H$65&lt;&gt;"Yes"),0,Settings!$B$65*IF(AND(IF(Settings!$C$65="",$B177,DATE(YEAR($A177),MONTH($A177),MIN(Settings!$C$65,DAY($B177))))&gt;=MAX($A177,Settings!$D$65),IF(Settings!$C$65="",$B177,DATE(YEAR($A177),MONTH($A177),MIN(Settings!$C$65,DAY($B177))))&lt;=MIN($C177,IF(Settings!$E$65="",$C177,Settings!$E$65))),1,0))</f>
        <v/>
      </c>
      <c r="FI177">
        <f>IF($DT177=1,IF(OR(Settings!$B$19="Card",Settings!$B$19="Loan"),N($AE177),0)+IF(OR(Settings!$B$20="Card",Settings!$B$20="Loan"),N($AF177),0)+IF(OR(Settings!$B$21="Card",Settings!$B$21="Loan"),N($AG177),0)+IF(OR(Settings!$B$22="Card",Settings!$B$22="Loan"),N($AH177),0)+IF(OR(Settings!$B$23="Card",Settings!$B$23="Loan"),N($AI177),0)+IF(OR(Settings!$B$24="Card",Settings!$B$24="Loan"),N($AJ177),0)+IF(OR(Settings!$B$25="Card",Settings!$B$25="Loan"),N($AK177),0)+IF(OR(Settings!$B$26="Card",Settings!$B$26="Loan"),N($AL177),0)+IF(OR(Settings!$B$27="Card",Settings!$B$27="Loan"),N($AM177),0)+IF(OR(Settings!$B$28="Card",Settings!$B$28="Loan"),N($AN177),0)+IF(OR(Settings!$B$29="Card",Settings!$B$29="Loan"),N($AO177),0)+IF(OR(Settings!$B$30="Card",Settings!$B$30="Loan"),N($AP177),0)+IF(OR(Settings!$B$31="Card",Settings!$B$31="Loan"),N($AQ177),0)+IF(OR(Settings!$B$32="Card",Settings!$B$32="Loan"),N($AR177),0),"")</f>
        <v/>
      </c>
      <c r="FJ177">
        <f>IF($E177="open",$EB$65,IF($E177="post",IF($E176="pre",$EB$65,$FI176),""))</f>
        <v/>
      </c>
      <c r="FK177">
        <f>IF(AND($DT177=1,$DC177=1),IF(ROUND($FI177-$FJ177,2)&gt;0,1,0),0)</f>
        <v/>
      </c>
      <c r="FL177">
        <f>IF($FK177=1,$FL176+1,0)</f>
        <v/>
      </c>
    </row>
    <row r="178">
      <c r="A178">
        <f>'Month-End'!$FS$4</f>
        <v/>
      </c>
      <c r="B178">
        <f>EOMONTH($A178,0)</f>
        <v/>
      </c>
      <c r="C178">
        <f>MIN($B178,TODAY())</f>
        <v/>
      </c>
      <c r="D178">
        <f>IF($A178&gt;TODAY(),1,0)</f>
        <v/>
      </c>
      <c r="E178">
        <f>IF($B178&lt;=Settings!$B$5,"pre",IF($A178&lt;=Settings!$B$5,"open","post"))</f>
        <v/>
      </c>
      <c r="G178">
        <f>IF('Month-End'!$FS$22="",$BE178,N('Month-End'!$FS$22))</f>
        <v/>
      </c>
      <c r="H178">
        <f>IF('Month-End'!$FS$23="",$BF178,N('Month-End'!$FS$23))</f>
        <v/>
      </c>
      <c r="I178">
        <f>IF('Month-End'!$FS$24="",$BG178,N('Month-End'!$FS$24))</f>
        <v/>
      </c>
      <c r="J178">
        <f>IF('Month-End'!$FS$25="",$BH178,N('Month-End'!$FS$25))</f>
        <v/>
      </c>
      <c r="K178">
        <f>IF('Month-End'!$FS$26="",$BI178,N('Month-End'!$FS$26))</f>
        <v/>
      </c>
      <c r="L178">
        <f>IF('Month-End'!$FS$27="",$BJ178,N('Month-End'!$FS$27))</f>
        <v/>
      </c>
      <c r="M178">
        <f>IF('Month-End'!$FS$28="",$BK178,N('Month-End'!$FS$28))</f>
        <v/>
      </c>
      <c r="N178">
        <f>IF('Month-End'!$FS$29="",$BL178,N('Month-End'!$FS$29))</f>
        <v/>
      </c>
      <c r="O178">
        <f>IF('Month-End'!$FS$30="",$BM178,N('Month-End'!$FS$30))</f>
        <v/>
      </c>
      <c r="P178">
        <f>IF('Month-End'!$FS$31="",$BN178,N('Month-End'!$FS$31))</f>
        <v/>
      </c>
      <c r="Q178">
        <f>IF('Month-End'!$FS$32="",$BO178,N('Month-End'!$FS$32))</f>
        <v/>
      </c>
      <c r="R178">
        <f>IF('Month-End'!$FS$33="",$BP178,N('Month-End'!$FS$33))</f>
        <v/>
      </c>
      <c r="S178">
        <f>$G178+$H178+$I178+$J178+$K178+$L178+$M178+$N178+$O178+$P178+$Q178+$R178</f>
        <v/>
      </c>
      <c r="T178">
        <f>IF($B178&lt;Settings!$B$6,0,IF(Settings!$B$45="Yes",$G178,0)+IF(Settings!$B$46="Yes",$H178,0)+IF(Settings!$B$47="Yes",$I178,0)+IF(Settings!$B$48="Yes",$J178,0)+IF(Settings!$B$49="Yes",$K178,0)+IF(Settings!$B$50="Yes",$L178,0)+IF(Settings!$B$51="Yes",$M178,0)+IF(Settings!$B$52="Yes",$N178,0)+IF(Settings!$B$53="Yes",$O178,0)+IF(Settings!$B$54="Yes",$P178,0)+IF(Settings!$B$55="Yes",$Q178,0)+IF(Settings!$B$56="Yes",$R178,0))</f>
        <v/>
      </c>
      <c r="U178">
        <f>IF(Settings!$B$45="Not Sure",$G178,0)+IF(Settings!$B$46="Not Sure",$H178,0)+IF(Settings!$B$47="Not Sure",$I178,0)+IF(Settings!$B$48="Not Sure",$J178,0)+IF(Settings!$B$49="Not Sure",$K178,0)+IF(Settings!$B$50="Not Sure",$L178,0)+IF(Settings!$B$51="Not Sure",$M178,0)+IF(Settings!$B$52="Not Sure",$N178,0)+IF(Settings!$B$53="Not Sure",$O178,0)+IF(Settings!$B$54="Not Sure",$P178,0)+IF(Settings!$B$55="Not Sure",$Q178,0)+IF(Settings!$B$56="Not Sure",$R178,0)</f>
        <v/>
      </c>
      <c r="V178">
        <f>IF($E178="open",SUM($ET178:$FE178)+N(Settings!$B$13),0)</f>
        <v/>
      </c>
      <c r="W178">
        <f>IF($E178="post",$S178,IF($E178="open",$S178-$V178,0))</f>
        <v/>
      </c>
      <c r="X178">
        <f>SUMIFS(Giving!$B$7:$B$2006,Giving!$A$7:$A$2006,"&gt;="&amp;$A178,Giving!$A$7:$A$2006,"&lt;="&amp;$B178,Giving!$E$7:$E$2006,"&lt;&gt;No")</f>
        <v/>
      </c>
      <c r="Y178">
        <f>SUMIFS(Giving!$B$7:$B$2006,Giving!$A$7:$A$2006,"&gt;="&amp;$A178,Giving!$A$7:$A$2006,"&lt;="&amp;$B178,Giving!$E$7:$E$2006,"No")</f>
        <v/>
      </c>
      <c r="Z178">
        <f>IF(OR(Settings!$B$60="",Settings!$F$60="No"),0,Settings!$B$60*IF(AND(IF(Settings!$C$60="",$B178,DATE(YEAR($A178),MONTH($A178),MIN(Settings!$C$60,DAY($B178))))&gt;=MAX($A178,Settings!$D$60),IF(Settings!$C$60="",$B178,DATE(YEAR($A178),MONTH($A178),MIN(Settings!$C$60,DAY($B178))))&lt;=MIN($C178,IF(Settings!$E$60="",$C178,Settings!$E$60))),1,0))+IF(OR(Settings!$B$61="",Settings!$F$61="No"),0,Settings!$B$61*IF(AND(IF(Settings!$C$61="",$B178,DATE(YEAR($A178),MONTH($A178),MIN(Settings!$C$61,DAY($B178))))&gt;=MAX($A178,Settings!$D$61),IF(Settings!$C$61="",$B178,DATE(YEAR($A178),MONTH($A178),MIN(Settings!$C$61,DAY($B178))))&lt;=MIN($C178,IF(Settings!$E$61="",$C178,Settings!$E$61))),1,0))+IF(OR(Settings!$B$62="",Settings!$F$62="No"),0,Settings!$B$62*IF(AND(IF(Settings!$C$62="",$B178,DATE(YEAR($A178),MONTH($A178),MIN(Settings!$C$62,DAY($B178))))&gt;=MAX($A178,Settings!$D$62),IF(Settings!$C$62="",$B178,DATE(YEAR($A178),MONTH($A178),MIN(Settings!$C$62,DAY($B178))))&lt;=MIN($C178,IF(Settings!$E$62="",$C178,Settings!$E$62))),1,0))+IF(OR(Settings!$B$63="",Settings!$F$63="No"),0,Settings!$B$63*IF(AND(IF(Settings!$C$63="",$B178,DATE(YEAR($A178),MONTH($A178),MIN(Settings!$C$63,DAY($B178))))&gt;=MAX($A178,Settings!$D$63),IF(Settings!$C$63="",$B178,DATE(YEAR($A178),MONTH($A178),MIN(Settings!$C$63,DAY($B178))))&lt;=MIN($C178,IF(Settings!$E$63="",$C178,Settings!$E$63))),1,0))+IF(OR(Settings!$B$64="",Settings!$F$64="No"),0,Settings!$B$64*IF(AND(IF(Settings!$C$64="",$B178,DATE(YEAR($A178),MONTH($A178),MIN(Settings!$C$64,DAY($B178))))&gt;=MAX($A178,Settings!$D$64),IF(Settings!$C$64="",$B178,DATE(YEAR($A178),MONTH($A178),MIN(Settings!$C$64,DAY($B178))))&lt;=MIN($C178,IF(Settings!$E$64="",$C178,Settings!$E$64))),1,0))+IF(OR(Settings!$B$65="",Settings!$F$65="No"),0,Settings!$B$65*IF(AND(IF(Settings!$C$65="",$B178,DATE(YEAR($A178),MONTH($A178),MIN(Settings!$C$65,DAY($B178))))&gt;=MAX($A178,Settings!$D$65),IF(Settings!$C$65="",$B178,DATE(YEAR($A178),MONTH($A178),MIN(Settings!$C$65,DAY($B178))))&lt;=MIN($C178,IF(Settings!$E$65="",$C178,Settings!$E$65))),1,0))</f>
        <v/>
      </c>
      <c r="AA178">
        <f>$X178+$Z178</f>
        <v/>
      </c>
      <c r="AB178">
        <f>IF($E178="post",$AA178,IF($E178="open",SUMIFS(Giving!$B$7:$B$2006,Giving!$A$7:$A$2006,"&gt;"&amp;Settings!$B$5,Giving!$A$7:$A$2006,"&lt;="&amp;$B178,Giving!$E$7:$E$2006,"&lt;&gt;No")+IF(OR(Settings!$B$60="",Settings!$F$60="No"),0,Settings!$B$60*IF(AND(IF(Settings!$C$60="",$B178,DATE(YEAR($A178),MONTH($A178),MIN(Settings!$C$60,DAY($B178))))&gt;=MAX($A178,Settings!$D$60,Settings!$B$5+1),IF(Settings!$C$60="",$B178,DATE(YEAR($A178),MONTH($A178),MIN(Settings!$C$60,DAY($B178))))&lt;=MIN($C178,IF(Settings!$E$60="",$C178,Settings!$E$60))),1,0))+IF(OR(Settings!$B$61="",Settings!$F$61="No"),0,Settings!$B$61*IF(AND(IF(Settings!$C$61="",$B178,DATE(YEAR($A178),MONTH($A178),MIN(Settings!$C$61,DAY($B178))))&gt;=MAX($A178,Settings!$D$61,Settings!$B$5+1),IF(Settings!$C$61="",$B178,DATE(YEAR($A178),MONTH($A178),MIN(Settings!$C$61,DAY($B178))))&lt;=MIN($C178,IF(Settings!$E$61="",$C178,Settings!$E$61))),1,0))+IF(OR(Settings!$B$62="",Settings!$F$62="No"),0,Settings!$B$62*IF(AND(IF(Settings!$C$62="",$B178,DATE(YEAR($A178),MONTH($A178),MIN(Settings!$C$62,DAY($B178))))&gt;=MAX($A178,Settings!$D$62,Settings!$B$5+1),IF(Settings!$C$62="",$B178,DATE(YEAR($A178),MONTH($A178),MIN(Settings!$C$62,DAY($B178))))&lt;=MIN($C178,IF(Settings!$E$62="",$C178,Settings!$E$62))),1,0))+IF(OR(Settings!$B$63="",Settings!$F$63="No"),0,Settings!$B$63*IF(AND(IF(Settings!$C$63="",$B178,DATE(YEAR($A178),MONTH($A178),MIN(Settings!$C$63,DAY($B178))))&gt;=MAX($A178,Settings!$D$63,Settings!$B$5+1),IF(Settings!$C$63="",$B178,DATE(YEAR($A178),MONTH($A178),MIN(Settings!$C$63,DAY($B178))))&lt;=MIN($C178,IF(Settings!$E$63="",$C178,Settings!$E$63))),1,0))+IF(OR(Settings!$B$64="",Settings!$F$64="No"),0,Settings!$B$64*IF(AND(IF(Settings!$C$64="",$B178,DATE(YEAR($A178),MONTH($A178),MIN(Settings!$C$64,DAY($B178))))&gt;=MAX($A178,Settings!$D$64,Settings!$B$5+1),IF(Settings!$C$64="",$B178,DATE(YEAR($A178),MONTH($A178),MIN(Settings!$C$64,DAY($B178))))&lt;=MIN($C178,IF(Settings!$E$64="",$C178,Settings!$E$64))),1,0))+IF(OR(Settings!$B$65="",Settings!$F$65="No"),0,Settings!$B$65*IF(AND(IF(Settings!$C$65="",$B178,DATE(YEAR($A178),MONTH($A178),MIN(Settings!$C$65,DAY($B178))))&gt;=MAX($A178,Settings!$D$65,Settings!$B$5+1),IF(Settings!$C$65="",$B178,DATE(YEAR($A178),MONTH($A178),MIN(Settings!$C$65,DAY($B178))))&lt;=MIN($C178,IF(Settings!$E$65="",$C178,Settings!$E$65))),1,0)),0))</f>
        <v/>
      </c>
      <c r="AC178">
        <f>$AY178+$AZ178+$BA178+$BB178+$BC178+$BD178</f>
        <v/>
      </c>
      <c r="AD178">
        <f>$AC178</f>
        <v/>
      </c>
      <c r="AE178">
        <f>IF(OR(Settings!$A$19="",$E178="pre"),"",IF(AND('Month-End'!$FS$7&lt;&gt;"",NOT(_xlfn.ISFORMULA('Month-End'!$FS$7))),N('Month-End'!$FS$7),IF(OR($E178="open",$E177="pre"),N(Settings!$C$19),N($AE177))))</f>
        <v/>
      </c>
      <c r="AF178">
        <f>IF(OR(Settings!$A$20="",$E178="pre"),"",IF(AND('Month-End'!$FS$8&lt;&gt;"",NOT(_xlfn.ISFORMULA('Month-End'!$FS$8))),N('Month-End'!$FS$8),IF(OR($E178="open",$E177="pre"),N(Settings!$C$20),N($AF177))))</f>
        <v/>
      </c>
      <c r="AG178">
        <f>IF(OR(Settings!$A$21="",$E178="pre"),"",IF(AND('Month-End'!$FS$9&lt;&gt;"",NOT(_xlfn.ISFORMULA('Month-End'!$FS$9))),N('Month-End'!$FS$9),IF(OR($E178="open",$E177="pre"),N(Settings!$C$21),N($AG177))))</f>
        <v/>
      </c>
      <c r="AH178">
        <f>IF(OR(Settings!$A$22="",$E178="pre"),"",IF(AND('Month-End'!$FS$10&lt;&gt;"",NOT(_xlfn.ISFORMULA('Month-End'!$FS$10))),N('Month-End'!$FS$10),IF(OR($E178="open",$E177="pre"),N(Settings!$C$22),N($AH177))))</f>
        <v/>
      </c>
      <c r="AI178">
        <f>IF(OR(Settings!$A$23="",$E178="pre"),"",IF(AND('Month-End'!$FS$11&lt;&gt;"",NOT(_xlfn.ISFORMULA('Month-End'!$FS$11))),N('Month-End'!$FS$11),IF(OR($E178="open",$E177="pre"),N(Settings!$C$23),N($AI177))))</f>
        <v/>
      </c>
      <c r="AJ178">
        <f>IF(OR(Settings!$A$24="",$E178="pre"),"",IF(AND('Month-End'!$FS$12&lt;&gt;"",NOT(_xlfn.ISFORMULA('Month-End'!$FS$12))),N('Month-End'!$FS$12),IF(OR($E178="open",$E177="pre"),N(Settings!$C$24),N($AJ177))))</f>
        <v/>
      </c>
      <c r="AK178">
        <f>IF(OR(Settings!$A$25="",$E178="pre"),"",IF(AND('Month-End'!$FS$13&lt;&gt;"",NOT(_xlfn.ISFORMULA('Month-End'!$FS$13))),N('Month-End'!$FS$13),IF(OR($E178="open",$E177="pre"),N(Settings!$C$25),N($AK177))))</f>
        <v/>
      </c>
      <c r="AL178">
        <f>IF(OR(Settings!$A$26="",$E178="pre"),"",IF(AND('Month-End'!$FS$14&lt;&gt;"",NOT(_xlfn.ISFORMULA('Month-End'!$FS$14))),N('Month-End'!$FS$14),IF(OR($E178="open",$E177="pre"),N(Settings!$C$26),N($AL177))))</f>
        <v/>
      </c>
      <c r="AM178">
        <f>IF(OR(Settings!$A$27="",$E178="pre"),"",IF(AND('Month-End'!$FS$15&lt;&gt;"",NOT(_xlfn.ISFORMULA('Month-End'!$FS$15))),N('Month-End'!$FS$15),IF(OR($E178="open",$E177="pre"),N(Settings!$C$27),N($AM177))))</f>
        <v/>
      </c>
      <c r="AN178">
        <f>IF(OR(Settings!$A$28="",$E178="pre"),"",IF(AND('Month-End'!$FS$16&lt;&gt;"",NOT(_xlfn.ISFORMULA('Month-End'!$FS$16))),N('Month-End'!$FS$16),IF(OR($E178="open",$E177="pre"),N(Settings!$C$28),N($AN177))))</f>
        <v/>
      </c>
      <c r="AO178">
        <f>IF(OR(Settings!$A$29="",$E178="pre"),"",IF(AND('Month-End'!$FS$17&lt;&gt;"",NOT(_xlfn.ISFORMULA('Month-End'!$FS$17))),N('Month-End'!$FS$17),IF(OR($E178="open",$E177="pre"),N(Settings!$C$29),N($AO177))))</f>
        <v/>
      </c>
      <c r="AP178">
        <f>IF(OR(Settings!$A$30="",$E178="pre"),"",IF(AND('Month-End'!$FS$18&lt;&gt;"",NOT(_xlfn.ISFORMULA('Month-End'!$FS$18))),N('Month-End'!$FS$18),IF(OR($E178="open",$E177="pre"),N(Settings!$C$30),N($AP177))))</f>
        <v/>
      </c>
      <c r="AQ178">
        <f>IF(OR(Settings!$A$31="",$E178="pre"),"",IF(AND('Month-End'!$FS$19&lt;&gt;"",NOT(_xlfn.ISFORMULA('Month-End'!$FS$19))),N('Month-End'!$FS$19),IF(OR($E178="open",$E177="pre"),N(Settings!$C$31),N($AQ177))))</f>
        <v/>
      </c>
      <c r="AR178">
        <f>IF(OR(Settings!$A$32="",$E178="pre"),"",IF(AND('Month-End'!$FS$20&lt;&gt;"",NOT(_xlfn.ISFORMULA('Month-End'!$FS$20))),N('Month-End'!$FS$20),IF(OR($E178="open",$E177="pre"),N(Settings!$C$32),N($AR177))))</f>
        <v/>
      </c>
      <c r="AS178">
        <f>IF(OR(Settings!$A$36="",$E178="pre"),"",IF(AND('Month-End'!$FS$38&lt;&gt;"",NOT(_xlfn.ISFORMULA('Month-End'!$FS$38))),N('Month-End'!$FS$38),IF(OR($E178="open",$E177="pre"),N(Settings!$C$36),N($AS177))+$AY178))</f>
        <v/>
      </c>
      <c r="AT178">
        <f>IF(OR(Settings!$A$37="",$E178="pre"),"",IF(AND('Month-End'!$FS$39&lt;&gt;"",NOT(_xlfn.ISFORMULA('Month-End'!$FS$39))),N('Month-End'!$FS$39),IF(OR($E178="open",$E177="pre"),N(Settings!$C$37),N($AT177))+$AZ178))</f>
        <v/>
      </c>
      <c r="AU178">
        <f>IF(OR(Settings!$A$38="",$E178="pre"),"",IF(AND('Month-End'!$FS$40&lt;&gt;"",NOT(_xlfn.ISFORMULA('Month-End'!$FS$40))),N('Month-End'!$FS$40),IF(OR($E178="open",$E177="pre"),N(Settings!$C$38),N($AU177))+$BA178))</f>
        <v/>
      </c>
      <c r="AV178">
        <f>IF(OR(Settings!$A$39="",$E178="pre"),"",IF(AND('Month-End'!$FS$41&lt;&gt;"",NOT(_xlfn.ISFORMULA('Month-End'!$FS$41))),N('Month-End'!$FS$41),IF(OR($E178="open",$E177="pre"),N(Settings!$C$39),N($AV177))+$BB178))</f>
        <v/>
      </c>
      <c r="AW178">
        <f>IF(OR(Settings!$A$40="",$E178="pre"),"",IF(AND('Month-End'!$FS$42&lt;&gt;"",NOT(_xlfn.ISFORMULA('Month-End'!$FS$42))),N('Month-End'!$FS$42),IF(OR($E178="open",$E177="pre"),N(Settings!$C$40),N($AW177))+$BC178))</f>
        <v/>
      </c>
      <c r="AX178">
        <f>IF(OR(Settings!$A$41="",$E178="pre"),"",IF(AND('Month-End'!$FS$43&lt;&gt;"",NOT(_xlfn.ISFORMULA('Month-End'!$FS$43))),N('Month-End'!$FS$43),IF(OR($E178="open",$E177="pre"),N(Settings!$C$41),N($AX177))+$BD178))</f>
        <v/>
      </c>
      <c r="AY178">
        <f>IF($E178="pre",0,N('Month-End'!$FS$45))</f>
        <v/>
      </c>
      <c r="AZ178">
        <f>IF($E178="pre",0,N('Month-End'!$FS$46))</f>
        <v/>
      </c>
      <c r="BA178">
        <f>IF($E178="pre",0,N('Month-End'!$FS$47))</f>
        <v/>
      </c>
      <c r="BB178">
        <f>IF($E178="pre",0,N('Month-End'!$FS$48))</f>
        <v/>
      </c>
      <c r="BC178">
        <f>IF($E178="pre",0,N('Month-End'!$FS$49))</f>
        <v/>
      </c>
      <c r="BD178">
        <f>IF($E178="pre",0,N('Month-End'!$FS$50))</f>
        <v/>
      </c>
      <c r="BE178">
        <f>IF(OR(Settings!$C$45="",Settings!$D$45=""),0,Settings!$C$45*IF(Settings!$D$45="Weekly",IF(IFERROR(MATCH(Settings!$E$45,$EO$4:$EO$10,0),0)=0,0,IF(MIN($C178,IF(Settings!$G$45="",$C178,Settings!$G$45))&lt;MAX($A178,Settings!$F$45),0,INT((MIN($C178,IF(Settings!$G$45="",$C178,Settings!$G$45))-MAX($A178,Settings!$F$45)-MOD(IFERROR(MATCH(Settings!$E$45,$EO$4:$EO$10,0),0)-WEEKDAY(MAX($A178,Settings!$F$45)),7))/7)+1)),IF(AND(IF(Settings!$E$45="",$B178,DATE(YEAR($A178),MONTH($A178),MIN(Settings!$E$45,DAY($B178))))&gt;=MAX($A178,Settings!$F$45),IF(Settings!$E$45="",$B178,DATE(YEAR($A178),MONTH($A178),MIN(Settings!$E$45,DAY($B178))))&lt;=MIN($C178,IF(Settings!$G$45="",$C178,Settings!$G$45))),1,0)))</f>
        <v/>
      </c>
      <c r="BF178">
        <f>IF(OR(Settings!$C$46="",Settings!$D$46=""),0,Settings!$C$46*IF(Settings!$D$46="Weekly",IF(IFERROR(MATCH(Settings!$E$46,$EO$4:$EO$10,0),0)=0,0,IF(MIN($C178,IF(Settings!$G$46="",$C178,Settings!$G$46))&lt;MAX($A178,Settings!$F$46),0,INT((MIN($C178,IF(Settings!$G$46="",$C178,Settings!$G$46))-MAX($A178,Settings!$F$46)-MOD(IFERROR(MATCH(Settings!$E$46,$EO$4:$EO$10,0),0)-WEEKDAY(MAX($A178,Settings!$F$46)),7))/7)+1)),IF(AND(IF(Settings!$E$46="",$B178,DATE(YEAR($A178),MONTH($A178),MIN(Settings!$E$46,DAY($B178))))&gt;=MAX($A178,Settings!$F$46),IF(Settings!$E$46="",$B178,DATE(YEAR($A178),MONTH($A178),MIN(Settings!$E$46,DAY($B178))))&lt;=MIN($C178,IF(Settings!$G$46="",$C178,Settings!$G$46))),1,0)))</f>
        <v/>
      </c>
      <c r="BG178">
        <f>IF(OR(Settings!$C$47="",Settings!$D$47=""),0,Settings!$C$47*IF(Settings!$D$47="Weekly",IF(IFERROR(MATCH(Settings!$E$47,$EO$4:$EO$10,0),0)=0,0,IF(MIN($C178,IF(Settings!$G$47="",$C178,Settings!$G$47))&lt;MAX($A178,Settings!$F$47),0,INT((MIN($C178,IF(Settings!$G$47="",$C178,Settings!$G$47))-MAX($A178,Settings!$F$47)-MOD(IFERROR(MATCH(Settings!$E$47,$EO$4:$EO$10,0),0)-WEEKDAY(MAX($A178,Settings!$F$47)),7))/7)+1)),IF(AND(IF(Settings!$E$47="",$B178,DATE(YEAR($A178),MONTH($A178),MIN(Settings!$E$47,DAY($B178))))&gt;=MAX($A178,Settings!$F$47),IF(Settings!$E$47="",$B178,DATE(YEAR($A178),MONTH($A178),MIN(Settings!$E$47,DAY($B178))))&lt;=MIN($C178,IF(Settings!$G$47="",$C178,Settings!$G$47))),1,0)))</f>
        <v/>
      </c>
      <c r="BH178">
        <f>IF(OR(Settings!$C$48="",Settings!$D$48=""),0,Settings!$C$48*IF(Settings!$D$48="Weekly",IF(IFERROR(MATCH(Settings!$E$48,$EO$4:$EO$10,0),0)=0,0,IF(MIN($C178,IF(Settings!$G$48="",$C178,Settings!$G$48))&lt;MAX($A178,Settings!$F$48),0,INT((MIN($C178,IF(Settings!$G$48="",$C178,Settings!$G$48))-MAX($A178,Settings!$F$48)-MOD(IFERROR(MATCH(Settings!$E$48,$EO$4:$EO$10,0),0)-WEEKDAY(MAX($A178,Settings!$F$48)),7))/7)+1)),IF(AND(IF(Settings!$E$48="",$B178,DATE(YEAR($A178),MONTH($A178),MIN(Settings!$E$48,DAY($B178))))&gt;=MAX($A178,Settings!$F$48),IF(Settings!$E$48="",$B178,DATE(YEAR($A178),MONTH($A178),MIN(Settings!$E$48,DAY($B178))))&lt;=MIN($C178,IF(Settings!$G$48="",$C178,Settings!$G$48))),1,0)))</f>
        <v/>
      </c>
      <c r="BI178">
        <f>IF(OR(Settings!$C$49="",Settings!$D$49=""),0,Settings!$C$49*IF(Settings!$D$49="Weekly",IF(IFERROR(MATCH(Settings!$E$49,$EO$4:$EO$10,0),0)=0,0,IF(MIN($C178,IF(Settings!$G$49="",$C178,Settings!$G$49))&lt;MAX($A178,Settings!$F$49),0,INT((MIN($C178,IF(Settings!$G$49="",$C178,Settings!$G$49))-MAX($A178,Settings!$F$49)-MOD(IFERROR(MATCH(Settings!$E$49,$EO$4:$EO$10,0),0)-WEEKDAY(MAX($A178,Settings!$F$49)),7))/7)+1)),IF(AND(IF(Settings!$E$49="",$B178,DATE(YEAR($A178),MONTH($A178),MIN(Settings!$E$49,DAY($B178))))&gt;=MAX($A178,Settings!$F$49),IF(Settings!$E$49="",$B178,DATE(YEAR($A178),MONTH($A178),MIN(Settings!$E$49,DAY($B178))))&lt;=MIN($C178,IF(Settings!$G$49="",$C178,Settings!$G$49))),1,0)))</f>
        <v/>
      </c>
      <c r="BJ178">
        <f>IF(OR(Settings!$C$50="",Settings!$D$50=""),0,Settings!$C$50*IF(Settings!$D$50="Weekly",IF(IFERROR(MATCH(Settings!$E$50,$EO$4:$EO$10,0),0)=0,0,IF(MIN($C178,IF(Settings!$G$50="",$C178,Settings!$G$50))&lt;MAX($A178,Settings!$F$50),0,INT((MIN($C178,IF(Settings!$G$50="",$C178,Settings!$G$50))-MAX($A178,Settings!$F$50)-MOD(IFERROR(MATCH(Settings!$E$50,$EO$4:$EO$10,0),0)-WEEKDAY(MAX($A178,Settings!$F$50)),7))/7)+1)),IF(AND(IF(Settings!$E$50="",$B178,DATE(YEAR($A178),MONTH($A178),MIN(Settings!$E$50,DAY($B178))))&gt;=MAX($A178,Settings!$F$50),IF(Settings!$E$50="",$B178,DATE(YEAR($A178),MONTH($A178),MIN(Settings!$E$50,DAY($B178))))&lt;=MIN($C178,IF(Settings!$G$50="",$C178,Settings!$G$50))),1,0)))</f>
        <v/>
      </c>
      <c r="BK178">
        <f>IF(OR(Settings!$C$51="",Settings!$D$51=""),0,Settings!$C$51*IF(Settings!$D$51="Weekly",IF(IFERROR(MATCH(Settings!$E$51,$EO$4:$EO$10,0),0)=0,0,IF(MIN($C178,IF(Settings!$G$51="",$C178,Settings!$G$51))&lt;MAX($A178,Settings!$F$51),0,INT((MIN($C178,IF(Settings!$G$51="",$C178,Settings!$G$51))-MAX($A178,Settings!$F$51)-MOD(IFERROR(MATCH(Settings!$E$51,$EO$4:$EO$10,0),0)-WEEKDAY(MAX($A178,Settings!$F$51)),7))/7)+1)),IF(AND(IF(Settings!$E$51="",$B178,DATE(YEAR($A178),MONTH($A178),MIN(Settings!$E$51,DAY($B178))))&gt;=MAX($A178,Settings!$F$51),IF(Settings!$E$51="",$B178,DATE(YEAR($A178),MONTH($A178),MIN(Settings!$E$51,DAY($B178))))&lt;=MIN($C178,IF(Settings!$G$51="",$C178,Settings!$G$51))),1,0)))</f>
        <v/>
      </c>
      <c r="BL178">
        <f>IF(OR(Settings!$C$52="",Settings!$D$52=""),0,Settings!$C$52*IF(Settings!$D$52="Weekly",IF(IFERROR(MATCH(Settings!$E$52,$EO$4:$EO$10,0),0)=0,0,IF(MIN($C178,IF(Settings!$G$52="",$C178,Settings!$G$52))&lt;MAX($A178,Settings!$F$52),0,INT((MIN($C178,IF(Settings!$G$52="",$C178,Settings!$G$52))-MAX($A178,Settings!$F$52)-MOD(IFERROR(MATCH(Settings!$E$52,$EO$4:$EO$10,0),0)-WEEKDAY(MAX($A178,Settings!$F$52)),7))/7)+1)),IF(AND(IF(Settings!$E$52="",$B178,DATE(YEAR($A178),MONTH($A178),MIN(Settings!$E$52,DAY($B178))))&gt;=MAX($A178,Settings!$F$52),IF(Settings!$E$52="",$B178,DATE(YEAR($A178),MONTH($A178),MIN(Settings!$E$52,DAY($B178))))&lt;=MIN($C178,IF(Settings!$G$52="",$C178,Settings!$G$52))),1,0)))</f>
        <v/>
      </c>
      <c r="BM178">
        <f>IF(OR(Settings!$C$53="",Settings!$D$53=""),0,Settings!$C$53*IF(Settings!$D$53="Weekly",IF(IFERROR(MATCH(Settings!$E$53,$EO$4:$EO$10,0),0)=0,0,IF(MIN($C178,IF(Settings!$G$53="",$C178,Settings!$G$53))&lt;MAX($A178,Settings!$F$53),0,INT((MIN($C178,IF(Settings!$G$53="",$C178,Settings!$G$53))-MAX($A178,Settings!$F$53)-MOD(IFERROR(MATCH(Settings!$E$53,$EO$4:$EO$10,0),0)-WEEKDAY(MAX($A178,Settings!$F$53)),7))/7)+1)),IF(AND(IF(Settings!$E$53="",$B178,DATE(YEAR($A178),MONTH($A178),MIN(Settings!$E$53,DAY($B178))))&gt;=MAX($A178,Settings!$F$53),IF(Settings!$E$53="",$B178,DATE(YEAR($A178),MONTH($A178),MIN(Settings!$E$53,DAY($B178))))&lt;=MIN($C178,IF(Settings!$G$53="",$C178,Settings!$G$53))),1,0)))</f>
        <v/>
      </c>
      <c r="BN178">
        <f>IF(OR(Settings!$C$54="",Settings!$D$54=""),0,Settings!$C$54*IF(Settings!$D$54="Weekly",IF(IFERROR(MATCH(Settings!$E$54,$EO$4:$EO$10,0),0)=0,0,IF(MIN($C178,IF(Settings!$G$54="",$C178,Settings!$G$54))&lt;MAX($A178,Settings!$F$54),0,INT((MIN($C178,IF(Settings!$G$54="",$C178,Settings!$G$54))-MAX($A178,Settings!$F$54)-MOD(IFERROR(MATCH(Settings!$E$54,$EO$4:$EO$10,0),0)-WEEKDAY(MAX($A178,Settings!$F$54)),7))/7)+1)),IF(AND(IF(Settings!$E$54="",$B178,DATE(YEAR($A178),MONTH($A178),MIN(Settings!$E$54,DAY($B178))))&gt;=MAX($A178,Settings!$F$54),IF(Settings!$E$54="",$B178,DATE(YEAR($A178),MONTH($A178),MIN(Settings!$E$54,DAY($B178))))&lt;=MIN($C178,IF(Settings!$G$54="",$C178,Settings!$G$54))),1,0)))</f>
        <v/>
      </c>
      <c r="BO178">
        <f>IF(OR(Settings!$C$55="",Settings!$D$55=""),0,Settings!$C$55*IF(Settings!$D$55="Weekly",IF(IFERROR(MATCH(Settings!$E$55,$EO$4:$EO$10,0),0)=0,0,IF(MIN($C178,IF(Settings!$G$55="",$C178,Settings!$G$55))&lt;MAX($A178,Settings!$F$55),0,INT((MIN($C178,IF(Settings!$G$55="",$C178,Settings!$G$55))-MAX($A178,Settings!$F$55)-MOD(IFERROR(MATCH(Settings!$E$55,$EO$4:$EO$10,0),0)-WEEKDAY(MAX($A178,Settings!$F$55)),7))/7)+1)),IF(AND(IF(Settings!$E$55="",$B178,DATE(YEAR($A178),MONTH($A178),MIN(Settings!$E$55,DAY($B178))))&gt;=MAX($A178,Settings!$F$55),IF(Settings!$E$55="",$B178,DATE(YEAR($A178),MONTH($A178),MIN(Settings!$E$55,DAY($B178))))&lt;=MIN($C178,IF(Settings!$G$55="",$C178,Settings!$G$55))),1,0)))</f>
        <v/>
      </c>
      <c r="BP178">
        <f>IF(OR(Settings!$C$56="",Settings!$D$56=""),0,Settings!$C$56*IF(Settings!$D$56="Weekly",IF(IFERROR(MATCH(Settings!$E$56,$EO$4:$EO$10,0),0)=0,0,IF(MIN($C178,IF(Settings!$G$56="",$C178,Settings!$G$56))&lt;MAX($A178,Settings!$F$56),0,INT((MIN($C178,IF(Settings!$G$56="",$C178,Settings!$G$56))-MAX($A178,Settings!$F$56)-MOD(IFERROR(MATCH(Settings!$E$56,$EO$4:$EO$10,0),0)-WEEKDAY(MAX($A178,Settings!$F$56)),7))/7)+1)),IF(AND(IF(Settings!$E$56="",$B178,DATE(YEAR($A178),MONTH($A178),MIN(Settings!$E$56,DAY($B178))))&gt;=MAX($A178,Settings!$F$56),IF(Settings!$E$56="",$B178,DATE(YEAR($A178),MONTH($A178),MIN(Settings!$E$56,DAY($B178))))&lt;=MIN($C178,IF(Settings!$G$56="",$C178,Settings!$G$56))),1,0)))</f>
        <v/>
      </c>
      <c r="BQ178">
        <f>IF(OR(Settings!$B$14="",$D178=1,$E178="pre",$A178&lt;IF(Settings!$B$15="",0,Settings!$B$15)),0,Settings!$B$14)</f>
        <v/>
      </c>
      <c r="BR178">
        <f>IF(AND('Month-End'!$FS$7&lt;&gt;"",NOT(_xlfn.ISFORMULA('Month-End'!$FS$7))),1,0)</f>
        <v/>
      </c>
      <c r="BS178">
        <f>IF(AND('Month-End'!$FS$8&lt;&gt;"",NOT(_xlfn.ISFORMULA('Month-End'!$FS$8))),1,0)</f>
        <v/>
      </c>
      <c r="BT178">
        <f>IF(AND('Month-End'!$FS$9&lt;&gt;"",NOT(_xlfn.ISFORMULA('Month-End'!$FS$9))),1,0)</f>
        <v/>
      </c>
      <c r="BU178">
        <f>IF(AND('Month-End'!$FS$10&lt;&gt;"",NOT(_xlfn.ISFORMULA('Month-End'!$FS$10))),1,0)</f>
        <v/>
      </c>
      <c r="BV178">
        <f>IF(AND('Month-End'!$FS$11&lt;&gt;"",NOT(_xlfn.ISFORMULA('Month-End'!$FS$11))),1,0)</f>
        <v/>
      </c>
      <c r="BW178">
        <f>IF(AND('Month-End'!$FS$12&lt;&gt;"",NOT(_xlfn.ISFORMULA('Month-End'!$FS$12))),1,0)</f>
        <v/>
      </c>
      <c r="BX178">
        <f>IF(AND('Month-End'!$FS$13&lt;&gt;"",NOT(_xlfn.ISFORMULA('Month-End'!$FS$13))),1,0)</f>
        <v/>
      </c>
      <c r="BY178">
        <f>IF(AND('Month-End'!$FS$14&lt;&gt;"",NOT(_xlfn.ISFORMULA('Month-End'!$FS$14))),1,0)</f>
        <v/>
      </c>
      <c r="BZ178">
        <f>IF(AND('Month-End'!$FS$15&lt;&gt;"",NOT(_xlfn.ISFORMULA('Month-End'!$FS$15))),1,0)</f>
        <v/>
      </c>
      <c r="CA178">
        <f>IF(AND('Month-End'!$FS$16&lt;&gt;"",NOT(_xlfn.ISFORMULA('Month-End'!$FS$16))),1,0)</f>
        <v/>
      </c>
      <c r="CB178">
        <f>IF(AND('Month-End'!$FS$17&lt;&gt;"",NOT(_xlfn.ISFORMULA('Month-End'!$FS$17))),1,0)</f>
        <v/>
      </c>
      <c r="CC178">
        <f>IF(AND('Month-End'!$FS$18&lt;&gt;"",NOT(_xlfn.ISFORMULA('Month-End'!$FS$18))),1,0)</f>
        <v/>
      </c>
      <c r="CD178">
        <f>IF(AND('Month-End'!$FS$19&lt;&gt;"",NOT(_xlfn.ISFORMULA('Month-End'!$FS$19))),1,0)</f>
        <v/>
      </c>
      <c r="CE178">
        <f>IF(AND('Month-End'!$FS$20&lt;&gt;"",NOT(_xlfn.ISFORMULA('Month-End'!$FS$20))),1,0)</f>
        <v/>
      </c>
      <c r="CF178">
        <f>IF(AND('Month-End'!$FS$38&lt;&gt;"",NOT(_xlfn.ISFORMULA('Month-End'!$FS$38))),1,0)</f>
        <v/>
      </c>
      <c r="CG178">
        <f>IF(AND('Month-End'!$FS$39&lt;&gt;"",NOT(_xlfn.ISFORMULA('Month-End'!$FS$39))),1,0)</f>
        <v/>
      </c>
      <c r="CH178">
        <f>IF(AND('Month-End'!$FS$40&lt;&gt;"",NOT(_xlfn.ISFORMULA('Month-End'!$FS$40))),1,0)</f>
        <v/>
      </c>
      <c r="CI178">
        <f>IF(AND('Month-End'!$FS$41&lt;&gt;"",NOT(_xlfn.ISFORMULA('Month-End'!$FS$41))),1,0)</f>
        <v/>
      </c>
      <c r="CJ178">
        <f>IF(AND('Month-End'!$FS$42&lt;&gt;"",NOT(_xlfn.ISFORMULA('Month-End'!$FS$42))),1,0)</f>
        <v/>
      </c>
      <c r="CK178">
        <f>IF(AND('Month-End'!$FS$43&lt;&gt;"",NOT(_xlfn.ISFORMULA('Month-End'!$FS$43))),1,0)</f>
        <v/>
      </c>
      <c r="CL178">
        <f>SUM($CM178:$CZ178)</f>
        <v/>
      </c>
      <c r="CM178">
        <f>IF(AND($E178&lt;&gt;"pre",AND(Settings!$A$19&lt;&gt;"",Settings!$E$19&lt;&gt;"No"),Settings!$F$19="Yes",NOT(AND('Month-End'!$FS$7&lt;&gt;"",NOT(_xlfn.ISFORMULA('Month-End'!$FS$7))))),1,0)</f>
        <v/>
      </c>
      <c r="CN178">
        <f>IF(AND($E178&lt;&gt;"pre",AND(Settings!$A$20&lt;&gt;"",Settings!$E$20&lt;&gt;"No"),Settings!$F$20="Yes",NOT(AND('Month-End'!$FS$8&lt;&gt;"",NOT(_xlfn.ISFORMULA('Month-End'!$FS$8))))),1,0)</f>
        <v/>
      </c>
      <c r="CO178">
        <f>IF(AND($E178&lt;&gt;"pre",AND(Settings!$A$21&lt;&gt;"",Settings!$E$21&lt;&gt;"No"),Settings!$F$21="Yes",NOT(AND('Month-End'!$FS$9&lt;&gt;"",NOT(_xlfn.ISFORMULA('Month-End'!$FS$9))))),1,0)</f>
        <v/>
      </c>
      <c r="CP178">
        <f>IF(AND($E178&lt;&gt;"pre",AND(Settings!$A$22&lt;&gt;"",Settings!$E$22&lt;&gt;"No"),Settings!$F$22="Yes",NOT(AND('Month-End'!$FS$10&lt;&gt;"",NOT(_xlfn.ISFORMULA('Month-End'!$FS$10))))),1,0)</f>
        <v/>
      </c>
      <c r="CQ178">
        <f>IF(AND($E178&lt;&gt;"pre",AND(Settings!$A$23&lt;&gt;"",Settings!$E$23&lt;&gt;"No"),Settings!$F$23="Yes",NOT(AND('Month-End'!$FS$11&lt;&gt;"",NOT(_xlfn.ISFORMULA('Month-End'!$FS$11))))),1,0)</f>
        <v/>
      </c>
      <c r="CR178">
        <f>IF(AND($E178&lt;&gt;"pre",AND(Settings!$A$24&lt;&gt;"",Settings!$E$24&lt;&gt;"No"),Settings!$F$24="Yes",NOT(AND('Month-End'!$FS$12&lt;&gt;"",NOT(_xlfn.ISFORMULA('Month-End'!$FS$12))))),1,0)</f>
        <v/>
      </c>
      <c r="CS178">
        <f>IF(AND($E178&lt;&gt;"pre",AND(Settings!$A$25&lt;&gt;"",Settings!$E$25&lt;&gt;"No"),Settings!$F$25="Yes",NOT(AND('Month-End'!$FS$13&lt;&gt;"",NOT(_xlfn.ISFORMULA('Month-End'!$FS$13))))),1,0)</f>
        <v/>
      </c>
      <c r="CT178">
        <f>IF(AND($E178&lt;&gt;"pre",AND(Settings!$A$26&lt;&gt;"",Settings!$E$26&lt;&gt;"No"),Settings!$F$26="Yes",NOT(AND('Month-End'!$FS$14&lt;&gt;"",NOT(_xlfn.ISFORMULA('Month-End'!$FS$14))))),1,0)</f>
        <v/>
      </c>
      <c r="CU178">
        <f>IF(AND($E178&lt;&gt;"pre",AND(Settings!$A$27&lt;&gt;"",Settings!$E$27&lt;&gt;"No"),Settings!$F$27="Yes",NOT(AND('Month-End'!$FS$15&lt;&gt;"",NOT(_xlfn.ISFORMULA('Month-End'!$FS$15))))),1,0)</f>
        <v/>
      </c>
      <c r="CV178">
        <f>IF(AND($E178&lt;&gt;"pre",AND(Settings!$A$28&lt;&gt;"",Settings!$E$28&lt;&gt;"No"),Settings!$F$28="Yes",NOT(AND('Month-End'!$FS$16&lt;&gt;"",NOT(_xlfn.ISFORMULA('Month-End'!$FS$16))))),1,0)</f>
        <v/>
      </c>
      <c r="CW178">
        <f>IF(AND($E178&lt;&gt;"pre",AND(Settings!$A$29&lt;&gt;"",Settings!$E$29&lt;&gt;"No"),Settings!$F$29="Yes",NOT(AND('Month-End'!$FS$17&lt;&gt;"",NOT(_xlfn.ISFORMULA('Month-End'!$FS$17))))),1,0)</f>
        <v/>
      </c>
      <c r="CX178">
        <f>IF(AND($E178&lt;&gt;"pre",AND(Settings!$A$30&lt;&gt;"",Settings!$E$30&lt;&gt;"No"),Settings!$F$30="Yes",NOT(AND('Month-End'!$FS$18&lt;&gt;"",NOT(_xlfn.ISFORMULA('Month-End'!$FS$18))))),1,0)</f>
        <v/>
      </c>
      <c r="CY178">
        <f>IF(AND($E178&lt;&gt;"pre",AND(Settings!$A$31&lt;&gt;"",Settings!$E$31&lt;&gt;"No"),Settings!$F$31="Yes",NOT(AND('Month-End'!$FS$19&lt;&gt;"",NOT(_xlfn.ISFORMULA('Month-End'!$FS$19))))),1,0)</f>
        <v/>
      </c>
      <c r="CZ178">
        <f>IF(AND($E178&lt;&gt;"pre",AND(Settings!$A$32&lt;&gt;"",Settings!$E$32&lt;&gt;"No"),Settings!$F$32="Yes",NOT(AND('Month-End'!$FS$20&lt;&gt;"",NOT(_xlfn.ISFORMULA('Month-End'!$FS$20))))),1,0)</f>
        <v/>
      </c>
      <c r="DA178">
        <f>IF($DT178=1,IF(OR(Settings!$B$19="Checking",Settings!$B$19="Savings",Settings!$B$19="Cash"),N($AE178),IF(OR(Settings!$B$19="Card",Settings!$B$19="Loan"),-N($AE178),0))+IF(OR(Settings!$B$20="Checking",Settings!$B$20="Savings",Settings!$B$20="Cash"),N($AF178),IF(OR(Settings!$B$20="Card",Settings!$B$20="Loan"),-N($AF178),0))+IF(OR(Settings!$B$21="Checking",Settings!$B$21="Savings",Settings!$B$21="Cash"),N($AG178),IF(OR(Settings!$B$21="Card",Settings!$B$21="Loan"),-N($AG178),0))+IF(OR(Settings!$B$22="Checking",Settings!$B$22="Savings",Settings!$B$22="Cash"),N($AH178),IF(OR(Settings!$B$22="Card",Settings!$B$22="Loan"),-N($AH178),0))+IF(OR(Settings!$B$23="Checking",Settings!$B$23="Savings",Settings!$B$23="Cash"),N($AI178),IF(OR(Settings!$B$23="Card",Settings!$B$23="Loan"),-N($AI178),0))+IF(OR(Settings!$B$24="Checking",Settings!$B$24="Savings",Settings!$B$24="Cash"),N($AJ178),IF(OR(Settings!$B$24="Card",Settings!$B$24="Loan"),-N($AJ178),0))+IF(OR(Settings!$B$25="Checking",Settings!$B$25="Savings",Settings!$B$25="Cash"),N($AK178),IF(OR(Settings!$B$25="Card",Settings!$B$25="Loan"),-N($AK178),0))+IF(OR(Settings!$B$26="Checking",Settings!$B$26="Savings",Settings!$B$26="Cash"),N($AL178),IF(OR(Settings!$B$26="Card",Settings!$B$26="Loan"),-N($AL178),0))+IF(OR(Settings!$B$27="Checking",Settings!$B$27="Savings",Settings!$B$27="Cash"),N($AM178),IF(OR(Settings!$B$27="Card",Settings!$B$27="Loan"),-N($AM178),0))+IF(OR(Settings!$B$28="Checking",Settings!$B$28="Savings",Settings!$B$28="Cash"),N($AN178),IF(OR(Settings!$B$28="Card",Settings!$B$28="Loan"),-N($AN178),0))+IF(OR(Settings!$B$29="Checking",Settings!$B$29="Savings",Settings!$B$29="Cash"),N($AO178),IF(OR(Settings!$B$29="Card",Settings!$B$29="Loan"),-N($AO178),0))+IF(OR(Settings!$B$30="Checking",Settings!$B$30="Savings",Settings!$B$30="Cash"),N($AP178),IF(OR(Settings!$B$30="Card",Settings!$B$30="Loan"),-N($AP178),0))+IF(OR(Settings!$B$31="Checking",Settings!$B$31="Savings",Settings!$B$31="Cash"),N($AQ178),IF(OR(Settings!$B$31="Card",Settings!$B$31="Loan"),-N($AQ178),0))+IF(OR(Settings!$B$32="Checking",Settings!$B$32="Savings",Settings!$B$32="Cash"),N($AR178),IF(OR(Settings!$B$32="Card",Settings!$B$32="Loan"),-N($AR178),0)),"")</f>
        <v/>
      </c>
      <c r="DB178">
        <f>IF($E178="open",$EB$27,IF($E178="post",IF($E177="pre",$EB$27,$DA177),""))</f>
        <v/>
      </c>
      <c r="DC178">
        <f>IF($E178="open",1,IF($E178="post",IF($E177="pre",1,$DT177),0))</f>
        <v/>
      </c>
      <c r="DD178">
        <f>IF(AND($DT178=1,$DC178=1),ROUND($W178-($DA178-$DB178)-$AD178-$AB178,2),"")</f>
        <v/>
      </c>
      <c r="DE178">
        <f>IF('Month-End'!$FS$35="",$BQ178,N('Month-End'!$FS$35))</f>
        <v/>
      </c>
      <c r="DF178">
        <f>N('Month-End'!$FS$36)</f>
        <v/>
      </c>
      <c r="DG178">
        <f>IF($DD178="","",$DD178+$DE178)</f>
        <v/>
      </c>
      <c r="DH178">
        <f>IF($DG178="","",$DG178-$DF178)</f>
        <v/>
      </c>
      <c r="DI178">
        <f>IF(OR($E178="pre",$D178=1),"",N($AS178)+N($AT178)+N($AU178)+N($AV178)+N($AW178)+N($AX178))</f>
        <v/>
      </c>
      <c r="DJ178">
        <f>IF($DT178=1,$DA178+N($DI178),"")</f>
        <v/>
      </c>
      <c r="DK178">
        <f>IF($DD178="","",$W178-$DD178-$AB178)</f>
        <v/>
      </c>
      <c r="DL178">
        <f>IF(AND($E178="post",$DD178&lt;&gt;"",$B178&lt;TODAY()),1,0)</f>
        <v/>
      </c>
      <c r="DM178">
        <f>IF($DL178=1,COUNTIF($DL178:$DL$183,1),0)</f>
        <v/>
      </c>
      <c r="DN178">
        <f>IF($D178=1,"",IF($E178="pre","History only",IF($DT178=1,IF($DD178="","⚠ Previous month missing",IF($DD178&lt;0,"⚠ Check: spending &lt; 0",IF($E178="open","✓ Done (partial)","✓ Done"))),IF($B178&gt;=TODAY(),"In progress","⚠ Needs balances"))))</f>
        <v/>
      </c>
      <c r="DO178">
        <f>YEAR($A178)</f>
        <v/>
      </c>
      <c r="DP178">
        <f>DATE(YEAR($A178),INT((MONTH($A178)-1)/3)*3+1,1)</f>
        <v/>
      </c>
      <c r="DQ178">
        <f>IF(AND($DT178=1,$DD178&lt;&gt;"",$D178=0),ROW(),0)</f>
        <v/>
      </c>
      <c r="DR178">
        <f>IF(AND($E178&lt;&gt;"pre",$B178&lt;TODAY(),$DT178=0),1,0)</f>
        <v/>
      </c>
      <c r="DS178">
        <f>IF($DJ178="",NA(),$DJ178)</f>
        <v/>
      </c>
      <c r="DT178">
        <f>IF(AND($E178&lt;&gt;"pre",$CL178=0,COUNTIFS(Settings!$F$19:$F$32,"Yes",Settings!$A$19:$A$32,"&lt;&gt;",Settings!$E$19:$E$32,"&lt;&gt;No")&gt;0),1,0)</f>
        <v/>
      </c>
      <c r="DU178">
        <f>IF(AND($B178&lt;TODAY(),$S178&gt;0),1,0)</f>
        <v/>
      </c>
      <c r="DV178">
        <f>IF($DU178=1,COUNTIF($DU178:$DU$183,1),0)</f>
        <v/>
      </c>
      <c r="DW178">
        <f>IF(AND(OR(Settings!$B$19="Card",Settings!$B$19="Loan"),AND('Month-End'!$FS$7&lt;&gt;"",NOT(_xlfn.ISFORMULA('Month-End'!$FS$7)))),IF(N('Month-End'!$FS$7)&lt;0,1,0),0)+IF(AND(OR(Settings!$B$20="Card",Settings!$B$20="Loan"),AND('Month-End'!$FS$8&lt;&gt;"",NOT(_xlfn.ISFORMULA('Month-End'!$FS$8)))),IF(N('Month-End'!$FS$8)&lt;0,1,0),0)+IF(AND(OR(Settings!$B$21="Card",Settings!$B$21="Loan"),AND('Month-End'!$FS$9&lt;&gt;"",NOT(_xlfn.ISFORMULA('Month-End'!$FS$9)))),IF(N('Month-End'!$FS$9)&lt;0,1,0),0)+IF(AND(OR(Settings!$B$22="Card",Settings!$B$22="Loan"),AND('Month-End'!$FS$10&lt;&gt;"",NOT(_xlfn.ISFORMULA('Month-End'!$FS$10)))),IF(N('Month-End'!$FS$10)&lt;0,1,0),0)+IF(AND(OR(Settings!$B$23="Card",Settings!$B$23="Loan"),AND('Month-End'!$FS$11&lt;&gt;"",NOT(_xlfn.ISFORMULA('Month-End'!$FS$11)))),IF(N('Month-End'!$FS$11)&lt;0,1,0),0)+IF(AND(OR(Settings!$B$24="Card",Settings!$B$24="Loan"),AND('Month-End'!$FS$12&lt;&gt;"",NOT(_xlfn.ISFORMULA('Month-End'!$FS$12)))),IF(N('Month-End'!$FS$12)&lt;0,1,0),0)+IF(AND(OR(Settings!$B$25="Card",Settings!$B$25="Loan"),AND('Month-End'!$FS$13&lt;&gt;"",NOT(_xlfn.ISFORMULA('Month-End'!$FS$13)))),IF(N('Month-End'!$FS$13)&lt;0,1,0),0)+IF(AND(OR(Settings!$B$26="Card",Settings!$B$26="Loan"),AND('Month-End'!$FS$14&lt;&gt;"",NOT(_xlfn.ISFORMULA('Month-End'!$FS$14)))),IF(N('Month-End'!$FS$14)&lt;0,1,0),0)+IF(AND(OR(Settings!$B$27="Card",Settings!$B$27="Loan"),AND('Month-End'!$FS$15&lt;&gt;"",NOT(_xlfn.ISFORMULA('Month-End'!$FS$15)))),IF(N('Month-End'!$FS$15)&lt;0,1,0),0)+IF(AND(OR(Settings!$B$28="Card",Settings!$B$28="Loan"),AND('Month-End'!$FS$16&lt;&gt;"",NOT(_xlfn.ISFORMULA('Month-End'!$FS$16)))),IF(N('Month-End'!$FS$16)&lt;0,1,0),0)+IF(AND(OR(Settings!$B$29="Card",Settings!$B$29="Loan"),AND('Month-End'!$FS$17&lt;&gt;"",NOT(_xlfn.ISFORMULA('Month-End'!$FS$17)))),IF(N('Month-End'!$FS$17)&lt;0,1,0),0)+IF(AND(OR(Settings!$B$30="Card",Settings!$B$30="Loan"),AND('Month-End'!$FS$18&lt;&gt;"",NOT(_xlfn.ISFORMULA('Month-End'!$FS$18)))),IF(N('Month-End'!$FS$18)&lt;0,1,0),0)+IF(AND(OR(Settings!$B$31="Card",Settings!$B$31="Loan"),AND('Month-End'!$FS$19&lt;&gt;"",NOT(_xlfn.ISFORMULA('Month-End'!$FS$19)))),IF(N('Month-End'!$FS$19)&lt;0,1,0),0)+IF(AND(OR(Settings!$B$32="Card",Settings!$B$32="Loan"),AND('Month-End'!$FS$20&lt;&gt;"",NOT(_xlfn.ISFORMULA('Month-End'!$FS$20)))),IF(N('Month-End'!$FS$20)&lt;0,1,0),0)</f>
        <v/>
      </c>
      <c r="DX178">
        <f>IF(Settings!$B$36="Retirement",$AY178,0)+IF(Settings!$B$37="Retirement",$AZ178,0)+IF(Settings!$B$38="Retirement",$BA178,0)+IF(Settings!$B$39="Retirement",$BB178,0)+IF(Settings!$B$40="Retirement",$BC178,0)+IF(Settings!$B$41="Retirement",$BD178,0)</f>
        <v/>
      </c>
      <c r="ET178">
        <f>IF($E178&lt;&gt;"open",0,IF(AND('Month-End'!$FS$22&lt;&gt;"",NOT(_xlfn.ISFORMULA('Month-End'!$FS$22))),0,IF(OR(Settings!$C$45="",Settings!$D$45=""),0,Settings!$C$45*IF(Settings!$D$45="Weekly",IF(IFERROR(MATCH(Settings!$E$45,$EO$4:$EO$10,0),0)=0,0,IF(MIN(Settings!$B$5,IF(Settings!$G$45="",Settings!$B$5,Settings!$G$45))&lt;MAX($A178,Settings!$F$45),0,INT((MIN(Settings!$B$5,IF(Settings!$G$45="",Settings!$B$5,Settings!$G$45))-MAX($A178,Settings!$F$45)-MOD(IFERROR(MATCH(Settings!$E$45,$EO$4:$EO$10,0),0)-WEEKDAY(MAX($A178,Settings!$F$45)),7))/7)+1)),IF(AND(IF(Settings!$E$45="",$B178,DATE(YEAR($A178),MONTH($A178),MIN(Settings!$E$45,DAY($B178))))&gt;=MAX($A178,Settings!$F$45),IF(Settings!$E$45="",$B178,DATE(YEAR($A178),MONTH($A178),MIN(Settings!$E$45,DAY($B178))))&lt;=MIN(Settings!$B$5,IF(Settings!$G$45="",Settings!$B$5,Settings!$G$45))),1,0)))))</f>
        <v/>
      </c>
      <c r="EU178">
        <f>IF($E178&lt;&gt;"open",0,IF(AND('Month-End'!$FS$23&lt;&gt;"",NOT(_xlfn.ISFORMULA('Month-End'!$FS$23))),0,IF(OR(Settings!$C$46="",Settings!$D$46=""),0,Settings!$C$46*IF(Settings!$D$46="Weekly",IF(IFERROR(MATCH(Settings!$E$46,$EO$4:$EO$10,0),0)=0,0,IF(MIN(Settings!$B$5,IF(Settings!$G$46="",Settings!$B$5,Settings!$G$46))&lt;MAX($A178,Settings!$F$46),0,INT((MIN(Settings!$B$5,IF(Settings!$G$46="",Settings!$B$5,Settings!$G$46))-MAX($A178,Settings!$F$46)-MOD(IFERROR(MATCH(Settings!$E$46,$EO$4:$EO$10,0),0)-WEEKDAY(MAX($A178,Settings!$F$46)),7))/7)+1)),IF(AND(IF(Settings!$E$46="",$B178,DATE(YEAR($A178),MONTH($A178),MIN(Settings!$E$46,DAY($B178))))&gt;=MAX($A178,Settings!$F$46),IF(Settings!$E$46="",$B178,DATE(YEAR($A178),MONTH($A178),MIN(Settings!$E$46,DAY($B178))))&lt;=MIN(Settings!$B$5,IF(Settings!$G$46="",Settings!$B$5,Settings!$G$46))),1,0)))))</f>
        <v/>
      </c>
      <c r="EV178">
        <f>IF($E178&lt;&gt;"open",0,IF(AND('Month-End'!$FS$24&lt;&gt;"",NOT(_xlfn.ISFORMULA('Month-End'!$FS$24))),0,IF(OR(Settings!$C$47="",Settings!$D$47=""),0,Settings!$C$47*IF(Settings!$D$47="Weekly",IF(IFERROR(MATCH(Settings!$E$47,$EO$4:$EO$10,0),0)=0,0,IF(MIN(Settings!$B$5,IF(Settings!$G$47="",Settings!$B$5,Settings!$G$47))&lt;MAX($A178,Settings!$F$47),0,INT((MIN(Settings!$B$5,IF(Settings!$G$47="",Settings!$B$5,Settings!$G$47))-MAX($A178,Settings!$F$47)-MOD(IFERROR(MATCH(Settings!$E$47,$EO$4:$EO$10,0),0)-WEEKDAY(MAX($A178,Settings!$F$47)),7))/7)+1)),IF(AND(IF(Settings!$E$47="",$B178,DATE(YEAR($A178),MONTH($A178),MIN(Settings!$E$47,DAY($B178))))&gt;=MAX($A178,Settings!$F$47),IF(Settings!$E$47="",$B178,DATE(YEAR($A178),MONTH($A178),MIN(Settings!$E$47,DAY($B178))))&lt;=MIN(Settings!$B$5,IF(Settings!$G$47="",Settings!$B$5,Settings!$G$47))),1,0)))))</f>
        <v/>
      </c>
      <c r="EW178">
        <f>IF($E178&lt;&gt;"open",0,IF(AND('Month-End'!$FS$25&lt;&gt;"",NOT(_xlfn.ISFORMULA('Month-End'!$FS$25))),0,IF(OR(Settings!$C$48="",Settings!$D$48=""),0,Settings!$C$48*IF(Settings!$D$48="Weekly",IF(IFERROR(MATCH(Settings!$E$48,$EO$4:$EO$10,0),0)=0,0,IF(MIN(Settings!$B$5,IF(Settings!$G$48="",Settings!$B$5,Settings!$G$48))&lt;MAX($A178,Settings!$F$48),0,INT((MIN(Settings!$B$5,IF(Settings!$G$48="",Settings!$B$5,Settings!$G$48))-MAX($A178,Settings!$F$48)-MOD(IFERROR(MATCH(Settings!$E$48,$EO$4:$EO$10,0),0)-WEEKDAY(MAX($A178,Settings!$F$48)),7))/7)+1)),IF(AND(IF(Settings!$E$48="",$B178,DATE(YEAR($A178),MONTH($A178),MIN(Settings!$E$48,DAY($B178))))&gt;=MAX($A178,Settings!$F$48),IF(Settings!$E$48="",$B178,DATE(YEAR($A178),MONTH($A178),MIN(Settings!$E$48,DAY($B178))))&lt;=MIN(Settings!$B$5,IF(Settings!$G$48="",Settings!$B$5,Settings!$G$48))),1,0)))))</f>
        <v/>
      </c>
      <c r="EX178">
        <f>IF($E178&lt;&gt;"open",0,IF(AND('Month-End'!$FS$26&lt;&gt;"",NOT(_xlfn.ISFORMULA('Month-End'!$FS$26))),0,IF(OR(Settings!$C$49="",Settings!$D$49=""),0,Settings!$C$49*IF(Settings!$D$49="Weekly",IF(IFERROR(MATCH(Settings!$E$49,$EO$4:$EO$10,0),0)=0,0,IF(MIN(Settings!$B$5,IF(Settings!$G$49="",Settings!$B$5,Settings!$G$49))&lt;MAX($A178,Settings!$F$49),0,INT((MIN(Settings!$B$5,IF(Settings!$G$49="",Settings!$B$5,Settings!$G$49))-MAX($A178,Settings!$F$49)-MOD(IFERROR(MATCH(Settings!$E$49,$EO$4:$EO$10,0),0)-WEEKDAY(MAX($A178,Settings!$F$49)),7))/7)+1)),IF(AND(IF(Settings!$E$49="",$B178,DATE(YEAR($A178),MONTH($A178),MIN(Settings!$E$49,DAY($B178))))&gt;=MAX($A178,Settings!$F$49),IF(Settings!$E$49="",$B178,DATE(YEAR($A178),MONTH($A178),MIN(Settings!$E$49,DAY($B178))))&lt;=MIN(Settings!$B$5,IF(Settings!$G$49="",Settings!$B$5,Settings!$G$49))),1,0)))))</f>
        <v/>
      </c>
      <c r="EY178">
        <f>IF($E178&lt;&gt;"open",0,IF(AND('Month-End'!$FS$27&lt;&gt;"",NOT(_xlfn.ISFORMULA('Month-End'!$FS$27))),0,IF(OR(Settings!$C$50="",Settings!$D$50=""),0,Settings!$C$50*IF(Settings!$D$50="Weekly",IF(IFERROR(MATCH(Settings!$E$50,$EO$4:$EO$10,0),0)=0,0,IF(MIN(Settings!$B$5,IF(Settings!$G$50="",Settings!$B$5,Settings!$G$50))&lt;MAX($A178,Settings!$F$50),0,INT((MIN(Settings!$B$5,IF(Settings!$G$50="",Settings!$B$5,Settings!$G$50))-MAX($A178,Settings!$F$50)-MOD(IFERROR(MATCH(Settings!$E$50,$EO$4:$EO$10,0),0)-WEEKDAY(MAX($A178,Settings!$F$50)),7))/7)+1)),IF(AND(IF(Settings!$E$50="",$B178,DATE(YEAR($A178),MONTH($A178),MIN(Settings!$E$50,DAY($B178))))&gt;=MAX($A178,Settings!$F$50),IF(Settings!$E$50="",$B178,DATE(YEAR($A178),MONTH($A178),MIN(Settings!$E$50,DAY($B178))))&lt;=MIN(Settings!$B$5,IF(Settings!$G$50="",Settings!$B$5,Settings!$G$50))),1,0)))))</f>
        <v/>
      </c>
      <c r="EZ178">
        <f>IF($E178&lt;&gt;"open",0,IF(AND('Month-End'!$FS$28&lt;&gt;"",NOT(_xlfn.ISFORMULA('Month-End'!$FS$28))),0,IF(OR(Settings!$C$51="",Settings!$D$51=""),0,Settings!$C$51*IF(Settings!$D$51="Weekly",IF(IFERROR(MATCH(Settings!$E$51,$EO$4:$EO$10,0),0)=0,0,IF(MIN(Settings!$B$5,IF(Settings!$G$51="",Settings!$B$5,Settings!$G$51))&lt;MAX($A178,Settings!$F$51),0,INT((MIN(Settings!$B$5,IF(Settings!$G$51="",Settings!$B$5,Settings!$G$51))-MAX($A178,Settings!$F$51)-MOD(IFERROR(MATCH(Settings!$E$51,$EO$4:$EO$10,0),0)-WEEKDAY(MAX($A178,Settings!$F$51)),7))/7)+1)),IF(AND(IF(Settings!$E$51="",$B178,DATE(YEAR($A178),MONTH($A178),MIN(Settings!$E$51,DAY($B178))))&gt;=MAX($A178,Settings!$F$51),IF(Settings!$E$51="",$B178,DATE(YEAR($A178),MONTH($A178),MIN(Settings!$E$51,DAY($B178))))&lt;=MIN(Settings!$B$5,IF(Settings!$G$51="",Settings!$B$5,Settings!$G$51))),1,0)))))</f>
        <v/>
      </c>
      <c r="FA178">
        <f>IF($E178&lt;&gt;"open",0,IF(AND('Month-End'!$FS$29&lt;&gt;"",NOT(_xlfn.ISFORMULA('Month-End'!$FS$29))),0,IF(OR(Settings!$C$52="",Settings!$D$52=""),0,Settings!$C$52*IF(Settings!$D$52="Weekly",IF(IFERROR(MATCH(Settings!$E$52,$EO$4:$EO$10,0),0)=0,0,IF(MIN(Settings!$B$5,IF(Settings!$G$52="",Settings!$B$5,Settings!$G$52))&lt;MAX($A178,Settings!$F$52),0,INT((MIN(Settings!$B$5,IF(Settings!$G$52="",Settings!$B$5,Settings!$G$52))-MAX($A178,Settings!$F$52)-MOD(IFERROR(MATCH(Settings!$E$52,$EO$4:$EO$10,0),0)-WEEKDAY(MAX($A178,Settings!$F$52)),7))/7)+1)),IF(AND(IF(Settings!$E$52="",$B178,DATE(YEAR($A178),MONTH($A178),MIN(Settings!$E$52,DAY($B178))))&gt;=MAX($A178,Settings!$F$52),IF(Settings!$E$52="",$B178,DATE(YEAR($A178),MONTH($A178),MIN(Settings!$E$52,DAY($B178))))&lt;=MIN(Settings!$B$5,IF(Settings!$G$52="",Settings!$B$5,Settings!$G$52))),1,0)))))</f>
        <v/>
      </c>
      <c r="FB178">
        <f>IF($E178&lt;&gt;"open",0,IF(AND('Month-End'!$FS$30&lt;&gt;"",NOT(_xlfn.ISFORMULA('Month-End'!$FS$30))),0,IF(OR(Settings!$C$53="",Settings!$D$53=""),0,Settings!$C$53*IF(Settings!$D$53="Weekly",IF(IFERROR(MATCH(Settings!$E$53,$EO$4:$EO$10,0),0)=0,0,IF(MIN(Settings!$B$5,IF(Settings!$G$53="",Settings!$B$5,Settings!$G$53))&lt;MAX($A178,Settings!$F$53),0,INT((MIN(Settings!$B$5,IF(Settings!$G$53="",Settings!$B$5,Settings!$G$53))-MAX($A178,Settings!$F$53)-MOD(IFERROR(MATCH(Settings!$E$53,$EO$4:$EO$10,0),0)-WEEKDAY(MAX($A178,Settings!$F$53)),7))/7)+1)),IF(AND(IF(Settings!$E$53="",$B178,DATE(YEAR($A178),MONTH($A178),MIN(Settings!$E$53,DAY($B178))))&gt;=MAX($A178,Settings!$F$53),IF(Settings!$E$53="",$B178,DATE(YEAR($A178),MONTH($A178),MIN(Settings!$E$53,DAY($B178))))&lt;=MIN(Settings!$B$5,IF(Settings!$G$53="",Settings!$B$5,Settings!$G$53))),1,0)))))</f>
        <v/>
      </c>
      <c r="FC178">
        <f>IF($E178&lt;&gt;"open",0,IF(AND('Month-End'!$FS$31&lt;&gt;"",NOT(_xlfn.ISFORMULA('Month-End'!$FS$31))),0,IF(OR(Settings!$C$54="",Settings!$D$54=""),0,Settings!$C$54*IF(Settings!$D$54="Weekly",IF(IFERROR(MATCH(Settings!$E$54,$EO$4:$EO$10,0),0)=0,0,IF(MIN(Settings!$B$5,IF(Settings!$G$54="",Settings!$B$5,Settings!$G$54))&lt;MAX($A178,Settings!$F$54),0,INT((MIN(Settings!$B$5,IF(Settings!$G$54="",Settings!$B$5,Settings!$G$54))-MAX($A178,Settings!$F$54)-MOD(IFERROR(MATCH(Settings!$E$54,$EO$4:$EO$10,0),0)-WEEKDAY(MAX($A178,Settings!$F$54)),7))/7)+1)),IF(AND(IF(Settings!$E$54="",$B178,DATE(YEAR($A178),MONTH($A178),MIN(Settings!$E$54,DAY($B178))))&gt;=MAX($A178,Settings!$F$54),IF(Settings!$E$54="",$B178,DATE(YEAR($A178),MONTH($A178),MIN(Settings!$E$54,DAY($B178))))&lt;=MIN(Settings!$B$5,IF(Settings!$G$54="",Settings!$B$5,Settings!$G$54))),1,0)))))</f>
        <v/>
      </c>
      <c r="FD178">
        <f>IF($E178&lt;&gt;"open",0,IF(AND('Month-End'!$FS$32&lt;&gt;"",NOT(_xlfn.ISFORMULA('Month-End'!$FS$32))),0,IF(OR(Settings!$C$55="",Settings!$D$55=""),0,Settings!$C$55*IF(Settings!$D$55="Weekly",IF(IFERROR(MATCH(Settings!$E$55,$EO$4:$EO$10,0),0)=0,0,IF(MIN(Settings!$B$5,IF(Settings!$G$55="",Settings!$B$5,Settings!$G$55))&lt;MAX($A178,Settings!$F$55),0,INT((MIN(Settings!$B$5,IF(Settings!$G$55="",Settings!$B$5,Settings!$G$55))-MAX($A178,Settings!$F$55)-MOD(IFERROR(MATCH(Settings!$E$55,$EO$4:$EO$10,0),0)-WEEKDAY(MAX($A178,Settings!$F$55)),7))/7)+1)),IF(AND(IF(Settings!$E$55="",$B178,DATE(YEAR($A178),MONTH($A178),MIN(Settings!$E$55,DAY($B178))))&gt;=MAX($A178,Settings!$F$55),IF(Settings!$E$55="",$B178,DATE(YEAR($A178),MONTH($A178),MIN(Settings!$E$55,DAY($B178))))&lt;=MIN(Settings!$B$5,IF(Settings!$G$55="",Settings!$B$5,Settings!$G$55))),1,0)))))</f>
        <v/>
      </c>
      <c r="FE178">
        <f>IF($E178&lt;&gt;"open",0,IF(AND('Month-End'!$FS$33&lt;&gt;"",NOT(_xlfn.ISFORMULA('Month-End'!$FS$33))),0,IF(OR(Settings!$C$56="",Settings!$D$56=""),0,Settings!$C$56*IF(Settings!$D$56="Weekly",IF(IFERROR(MATCH(Settings!$E$56,$EO$4:$EO$10,0),0)=0,0,IF(MIN(Settings!$B$5,IF(Settings!$G$56="",Settings!$B$5,Settings!$G$56))&lt;MAX($A178,Settings!$F$56),0,INT((MIN(Settings!$B$5,IF(Settings!$G$56="",Settings!$B$5,Settings!$G$56))-MAX($A178,Settings!$F$56)-MOD(IFERROR(MATCH(Settings!$E$56,$EO$4:$EO$10,0),0)-WEEKDAY(MAX($A178,Settings!$F$56)),7))/7)+1)),IF(AND(IF(Settings!$E$56="",$B178,DATE(YEAR($A178),MONTH($A178),MIN(Settings!$E$56,DAY($B178))))&gt;=MAX($A178,Settings!$F$56),IF(Settings!$E$56="",$B178,DATE(YEAR($A178),MONTH($A178),MIN(Settings!$E$56,DAY($B178))))&lt;=MIN(Settings!$B$5,IF(Settings!$G$56="",Settings!$B$5,Settings!$G$56))),1,0)))))</f>
        <v/>
      </c>
      <c r="FF178">
        <f>IF(Settings!$I$45="Yes",$G178,0)+IF(Settings!$I$46="Yes",$H178,0)+IF(Settings!$I$47="Yes",$I178,0)+IF(Settings!$I$48="Yes",$J178,0)+IF(Settings!$I$49="Yes",$K178,0)+IF(Settings!$I$50="Yes",$L178,0)+IF(Settings!$I$51="Yes",$M178,0)+IF(Settings!$I$52="Yes",$N178,0)+IF(Settings!$I$53="Yes",$O178,0)+IF(Settings!$I$54="Yes",$P178,0)+IF(Settings!$I$55="Yes",$Q178,0)+IF(Settings!$I$56="Yes",$R178,0)</f>
        <v/>
      </c>
      <c r="FG178">
        <f>IF(AND(Settings!$I$45="Yes",Settings!$J$45="No"),$G178,0)+IF(AND(Settings!$I$46="Yes",Settings!$J$46="No"),$H178,0)+IF(AND(Settings!$I$47="Yes",Settings!$J$47="No"),$I178,0)+IF(AND(Settings!$I$48="Yes",Settings!$J$48="No"),$J178,0)+IF(AND(Settings!$I$49="Yes",Settings!$J$49="No"),$K178,0)+IF(AND(Settings!$I$50="Yes",Settings!$J$50="No"),$L178,0)+IF(AND(Settings!$I$51="Yes",Settings!$J$51="No"),$M178,0)+IF(AND(Settings!$I$52="Yes",Settings!$J$52="No"),$N178,0)+IF(AND(Settings!$I$53="Yes",Settings!$J$53="No"),$O178,0)+IF(AND(Settings!$I$54="Yes",Settings!$J$54="No"),$P178,0)+IF(AND(Settings!$I$55="Yes",Settings!$J$55="No"),$Q178,0)+IF(AND(Settings!$I$56="Yes",Settings!$J$56="No"),$R178,0)</f>
        <v/>
      </c>
      <c r="FH178">
        <f>SUMIFS(Giving!$B$7:$B$2006,Giving!$A$7:$A$2006,"&gt;="&amp;$A178,Giving!$A$7:$A$2006,"&lt;="&amp;$B178,Giving!$G$7:$G$2006,"Yes")+IF(OR(OR(Settings!$B$60="",Settings!$F$60="No"),Settings!$H$60&lt;&gt;"Yes"),0,Settings!$B$60*IF(AND(IF(Settings!$C$60="",$B178,DATE(YEAR($A178),MONTH($A178),MIN(Settings!$C$60,DAY($B178))))&gt;=MAX($A178,Settings!$D$60),IF(Settings!$C$60="",$B178,DATE(YEAR($A178),MONTH($A178),MIN(Settings!$C$60,DAY($B178))))&lt;=MIN($C178,IF(Settings!$E$60="",$C178,Settings!$E$60))),1,0))+IF(OR(OR(Settings!$B$61="",Settings!$F$61="No"),Settings!$H$61&lt;&gt;"Yes"),0,Settings!$B$61*IF(AND(IF(Settings!$C$61="",$B178,DATE(YEAR($A178),MONTH($A178),MIN(Settings!$C$61,DAY($B178))))&gt;=MAX($A178,Settings!$D$61),IF(Settings!$C$61="",$B178,DATE(YEAR($A178),MONTH($A178),MIN(Settings!$C$61,DAY($B178))))&lt;=MIN($C178,IF(Settings!$E$61="",$C178,Settings!$E$61))),1,0))+IF(OR(OR(Settings!$B$62="",Settings!$F$62="No"),Settings!$H$62&lt;&gt;"Yes"),0,Settings!$B$62*IF(AND(IF(Settings!$C$62="",$B178,DATE(YEAR($A178),MONTH($A178),MIN(Settings!$C$62,DAY($B178))))&gt;=MAX($A178,Settings!$D$62),IF(Settings!$C$62="",$B178,DATE(YEAR($A178),MONTH($A178),MIN(Settings!$C$62,DAY($B178))))&lt;=MIN($C178,IF(Settings!$E$62="",$C178,Settings!$E$62))),1,0))+IF(OR(OR(Settings!$B$63="",Settings!$F$63="No"),Settings!$H$63&lt;&gt;"Yes"),0,Settings!$B$63*IF(AND(IF(Settings!$C$63="",$B178,DATE(YEAR($A178),MONTH($A178),MIN(Settings!$C$63,DAY($B178))))&gt;=MAX($A178,Settings!$D$63),IF(Settings!$C$63="",$B178,DATE(YEAR($A178),MONTH($A178),MIN(Settings!$C$63,DAY($B178))))&lt;=MIN($C178,IF(Settings!$E$63="",$C178,Settings!$E$63))),1,0))+IF(OR(OR(Settings!$B$64="",Settings!$F$64="No"),Settings!$H$64&lt;&gt;"Yes"),0,Settings!$B$64*IF(AND(IF(Settings!$C$64="",$B178,DATE(YEAR($A178),MONTH($A178),MIN(Settings!$C$64,DAY($B178))))&gt;=MAX($A178,Settings!$D$64),IF(Settings!$C$64="",$B178,DATE(YEAR($A178),MONTH($A178),MIN(Settings!$C$64,DAY($B178))))&lt;=MIN($C178,IF(Settings!$E$64="",$C178,Settings!$E$64))),1,0))+IF(OR(OR(Settings!$B$65="",Settings!$F$65="No"),Settings!$H$65&lt;&gt;"Yes"),0,Settings!$B$65*IF(AND(IF(Settings!$C$65="",$B178,DATE(YEAR($A178),MONTH($A178),MIN(Settings!$C$65,DAY($B178))))&gt;=MAX($A178,Settings!$D$65),IF(Settings!$C$65="",$B178,DATE(YEAR($A178),MONTH($A178),MIN(Settings!$C$65,DAY($B178))))&lt;=MIN($C178,IF(Settings!$E$65="",$C178,Settings!$E$65))),1,0))</f>
        <v/>
      </c>
      <c r="FI178">
        <f>IF($DT178=1,IF(OR(Settings!$B$19="Card",Settings!$B$19="Loan"),N($AE178),0)+IF(OR(Settings!$B$20="Card",Settings!$B$20="Loan"),N($AF178),0)+IF(OR(Settings!$B$21="Card",Settings!$B$21="Loan"),N($AG178),0)+IF(OR(Settings!$B$22="Card",Settings!$B$22="Loan"),N($AH178),0)+IF(OR(Settings!$B$23="Card",Settings!$B$23="Loan"),N($AI178),0)+IF(OR(Settings!$B$24="Card",Settings!$B$24="Loan"),N($AJ178),0)+IF(OR(Settings!$B$25="Card",Settings!$B$25="Loan"),N($AK178),0)+IF(OR(Settings!$B$26="Card",Settings!$B$26="Loan"),N($AL178),0)+IF(OR(Settings!$B$27="Card",Settings!$B$27="Loan"),N($AM178),0)+IF(OR(Settings!$B$28="Card",Settings!$B$28="Loan"),N($AN178),0)+IF(OR(Settings!$B$29="Card",Settings!$B$29="Loan"),N($AO178),0)+IF(OR(Settings!$B$30="Card",Settings!$B$30="Loan"),N($AP178),0)+IF(OR(Settings!$B$31="Card",Settings!$B$31="Loan"),N($AQ178),0)+IF(OR(Settings!$B$32="Card",Settings!$B$32="Loan"),N($AR178),0),"")</f>
        <v/>
      </c>
      <c r="FJ178">
        <f>IF($E178="open",$EB$65,IF($E178="post",IF($E177="pre",$EB$65,$FI177),""))</f>
        <v/>
      </c>
      <c r="FK178">
        <f>IF(AND($DT178=1,$DC178=1),IF(ROUND($FI178-$FJ178,2)&gt;0,1,0),0)</f>
        <v/>
      </c>
      <c r="FL178">
        <f>IF($FK178=1,$FL177+1,0)</f>
        <v/>
      </c>
    </row>
    <row r="179">
      <c r="A179">
        <f>'Month-End'!$FT$4</f>
        <v/>
      </c>
      <c r="B179">
        <f>EOMONTH($A179,0)</f>
        <v/>
      </c>
      <c r="C179">
        <f>MIN($B179,TODAY())</f>
        <v/>
      </c>
      <c r="D179">
        <f>IF($A179&gt;TODAY(),1,0)</f>
        <v/>
      </c>
      <c r="E179">
        <f>IF($B179&lt;=Settings!$B$5,"pre",IF($A179&lt;=Settings!$B$5,"open","post"))</f>
        <v/>
      </c>
      <c r="G179">
        <f>IF('Month-End'!$FT$22="",$BE179,N('Month-End'!$FT$22))</f>
        <v/>
      </c>
      <c r="H179">
        <f>IF('Month-End'!$FT$23="",$BF179,N('Month-End'!$FT$23))</f>
        <v/>
      </c>
      <c r="I179">
        <f>IF('Month-End'!$FT$24="",$BG179,N('Month-End'!$FT$24))</f>
        <v/>
      </c>
      <c r="J179">
        <f>IF('Month-End'!$FT$25="",$BH179,N('Month-End'!$FT$25))</f>
        <v/>
      </c>
      <c r="K179">
        <f>IF('Month-End'!$FT$26="",$BI179,N('Month-End'!$FT$26))</f>
        <v/>
      </c>
      <c r="L179">
        <f>IF('Month-End'!$FT$27="",$BJ179,N('Month-End'!$FT$27))</f>
        <v/>
      </c>
      <c r="M179">
        <f>IF('Month-End'!$FT$28="",$BK179,N('Month-End'!$FT$28))</f>
        <v/>
      </c>
      <c r="N179">
        <f>IF('Month-End'!$FT$29="",$BL179,N('Month-End'!$FT$29))</f>
        <v/>
      </c>
      <c r="O179">
        <f>IF('Month-End'!$FT$30="",$BM179,N('Month-End'!$FT$30))</f>
        <v/>
      </c>
      <c r="P179">
        <f>IF('Month-End'!$FT$31="",$BN179,N('Month-End'!$FT$31))</f>
        <v/>
      </c>
      <c r="Q179">
        <f>IF('Month-End'!$FT$32="",$BO179,N('Month-End'!$FT$32))</f>
        <v/>
      </c>
      <c r="R179">
        <f>IF('Month-End'!$FT$33="",$BP179,N('Month-End'!$FT$33))</f>
        <v/>
      </c>
      <c r="S179">
        <f>$G179+$H179+$I179+$J179+$K179+$L179+$M179+$N179+$O179+$P179+$Q179+$R179</f>
        <v/>
      </c>
      <c r="T179">
        <f>IF($B179&lt;Settings!$B$6,0,IF(Settings!$B$45="Yes",$G179,0)+IF(Settings!$B$46="Yes",$H179,0)+IF(Settings!$B$47="Yes",$I179,0)+IF(Settings!$B$48="Yes",$J179,0)+IF(Settings!$B$49="Yes",$K179,0)+IF(Settings!$B$50="Yes",$L179,0)+IF(Settings!$B$51="Yes",$M179,0)+IF(Settings!$B$52="Yes",$N179,0)+IF(Settings!$B$53="Yes",$O179,0)+IF(Settings!$B$54="Yes",$P179,0)+IF(Settings!$B$55="Yes",$Q179,0)+IF(Settings!$B$56="Yes",$R179,0))</f>
        <v/>
      </c>
      <c r="U179">
        <f>IF(Settings!$B$45="Not Sure",$G179,0)+IF(Settings!$B$46="Not Sure",$H179,0)+IF(Settings!$B$47="Not Sure",$I179,0)+IF(Settings!$B$48="Not Sure",$J179,0)+IF(Settings!$B$49="Not Sure",$K179,0)+IF(Settings!$B$50="Not Sure",$L179,0)+IF(Settings!$B$51="Not Sure",$M179,0)+IF(Settings!$B$52="Not Sure",$N179,0)+IF(Settings!$B$53="Not Sure",$O179,0)+IF(Settings!$B$54="Not Sure",$P179,0)+IF(Settings!$B$55="Not Sure",$Q179,0)+IF(Settings!$B$56="Not Sure",$R179,0)</f>
        <v/>
      </c>
      <c r="V179">
        <f>IF($E179="open",SUM($ET179:$FE179)+N(Settings!$B$13),0)</f>
        <v/>
      </c>
      <c r="W179">
        <f>IF($E179="post",$S179,IF($E179="open",$S179-$V179,0))</f>
        <v/>
      </c>
      <c r="X179">
        <f>SUMIFS(Giving!$B$7:$B$2006,Giving!$A$7:$A$2006,"&gt;="&amp;$A179,Giving!$A$7:$A$2006,"&lt;="&amp;$B179,Giving!$E$7:$E$2006,"&lt;&gt;No")</f>
        <v/>
      </c>
      <c r="Y179">
        <f>SUMIFS(Giving!$B$7:$B$2006,Giving!$A$7:$A$2006,"&gt;="&amp;$A179,Giving!$A$7:$A$2006,"&lt;="&amp;$B179,Giving!$E$7:$E$2006,"No")</f>
        <v/>
      </c>
      <c r="Z179">
        <f>IF(OR(Settings!$B$60="",Settings!$F$60="No"),0,Settings!$B$60*IF(AND(IF(Settings!$C$60="",$B179,DATE(YEAR($A179),MONTH($A179),MIN(Settings!$C$60,DAY($B179))))&gt;=MAX($A179,Settings!$D$60),IF(Settings!$C$60="",$B179,DATE(YEAR($A179),MONTH($A179),MIN(Settings!$C$60,DAY($B179))))&lt;=MIN($C179,IF(Settings!$E$60="",$C179,Settings!$E$60))),1,0))+IF(OR(Settings!$B$61="",Settings!$F$61="No"),0,Settings!$B$61*IF(AND(IF(Settings!$C$61="",$B179,DATE(YEAR($A179),MONTH($A179),MIN(Settings!$C$61,DAY($B179))))&gt;=MAX($A179,Settings!$D$61),IF(Settings!$C$61="",$B179,DATE(YEAR($A179),MONTH($A179),MIN(Settings!$C$61,DAY($B179))))&lt;=MIN($C179,IF(Settings!$E$61="",$C179,Settings!$E$61))),1,0))+IF(OR(Settings!$B$62="",Settings!$F$62="No"),0,Settings!$B$62*IF(AND(IF(Settings!$C$62="",$B179,DATE(YEAR($A179),MONTH($A179),MIN(Settings!$C$62,DAY($B179))))&gt;=MAX($A179,Settings!$D$62),IF(Settings!$C$62="",$B179,DATE(YEAR($A179),MONTH($A179),MIN(Settings!$C$62,DAY($B179))))&lt;=MIN($C179,IF(Settings!$E$62="",$C179,Settings!$E$62))),1,0))+IF(OR(Settings!$B$63="",Settings!$F$63="No"),0,Settings!$B$63*IF(AND(IF(Settings!$C$63="",$B179,DATE(YEAR($A179),MONTH($A179),MIN(Settings!$C$63,DAY($B179))))&gt;=MAX($A179,Settings!$D$63),IF(Settings!$C$63="",$B179,DATE(YEAR($A179),MONTH($A179),MIN(Settings!$C$63,DAY($B179))))&lt;=MIN($C179,IF(Settings!$E$63="",$C179,Settings!$E$63))),1,0))+IF(OR(Settings!$B$64="",Settings!$F$64="No"),0,Settings!$B$64*IF(AND(IF(Settings!$C$64="",$B179,DATE(YEAR($A179),MONTH($A179),MIN(Settings!$C$64,DAY($B179))))&gt;=MAX($A179,Settings!$D$64),IF(Settings!$C$64="",$B179,DATE(YEAR($A179),MONTH($A179),MIN(Settings!$C$64,DAY($B179))))&lt;=MIN($C179,IF(Settings!$E$64="",$C179,Settings!$E$64))),1,0))+IF(OR(Settings!$B$65="",Settings!$F$65="No"),0,Settings!$B$65*IF(AND(IF(Settings!$C$65="",$B179,DATE(YEAR($A179),MONTH($A179),MIN(Settings!$C$65,DAY($B179))))&gt;=MAX($A179,Settings!$D$65),IF(Settings!$C$65="",$B179,DATE(YEAR($A179),MONTH($A179),MIN(Settings!$C$65,DAY($B179))))&lt;=MIN($C179,IF(Settings!$E$65="",$C179,Settings!$E$65))),1,0))</f>
        <v/>
      </c>
      <c r="AA179">
        <f>$X179+$Z179</f>
        <v/>
      </c>
      <c r="AB179">
        <f>IF($E179="post",$AA179,IF($E179="open",SUMIFS(Giving!$B$7:$B$2006,Giving!$A$7:$A$2006,"&gt;"&amp;Settings!$B$5,Giving!$A$7:$A$2006,"&lt;="&amp;$B179,Giving!$E$7:$E$2006,"&lt;&gt;No")+IF(OR(Settings!$B$60="",Settings!$F$60="No"),0,Settings!$B$60*IF(AND(IF(Settings!$C$60="",$B179,DATE(YEAR($A179),MONTH($A179),MIN(Settings!$C$60,DAY($B179))))&gt;=MAX($A179,Settings!$D$60,Settings!$B$5+1),IF(Settings!$C$60="",$B179,DATE(YEAR($A179),MONTH($A179),MIN(Settings!$C$60,DAY($B179))))&lt;=MIN($C179,IF(Settings!$E$60="",$C179,Settings!$E$60))),1,0))+IF(OR(Settings!$B$61="",Settings!$F$61="No"),0,Settings!$B$61*IF(AND(IF(Settings!$C$61="",$B179,DATE(YEAR($A179),MONTH($A179),MIN(Settings!$C$61,DAY($B179))))&gt;=MAX($A179,Settings!$D$61,Settings!$B$5+1),IF(Settings!$C$61="",$B179,DATE(YEAR($A179),MONTH($A179),MIN(Settings!$C$61,DAY($B179))))&lt;=MIN($C179,IF(Settings!$E$61="",$C179,Settings!$E$61))),1,0))+IF(OR(Settings!$B$62="",Settings!$F$62="No"),0,Settings!$B$62*IF(AND(IF(Settings!$C$62="",$B179,DATE(YEAR($A179),MONTH($A179),MIN(Settings!$C$62,DAY($B179))))&gt;=MAX($A179,Settings!$D$62,Settings!$B$5+1),IF(Settings!$C$62="",$B179,DATE(YEAR($A179),MONTH($A179),MIN(Settings!$C$62,DAY($B179))))&lt;=MIN($C179,IF(Settings!$E$62="",$C179,Settings!$E$62))),1,0))+IF(OR(Settings!$B$63="",Settings!$F$63="No"),0,Settings!$B$63*IF(AND(IF(Settings!$C$63="",$B179,DATE(YEAR($A179),MONTH($A179),MIN(Settings!$C$63,DAY($B179))))&gt;=MAX($A179,Settings!$D$63,Settings!$B$5+1),IF(Settings!$C$63="",$B179,DATE(YEAR($A179),MONTH($A179),MIN(Settings!$C$63,DAY($B179))))&lt;=MIN($C179,IF(Settings!$E$63="",$C179,Settings!$E$63))),1,0))+IF(OR(Settings!$B$64="",Settings!$F$64="No"),0,Settings!$B$64*IF(AND(IF(Settings!$C$64="",$B179,DATE(YEAR($A179),MONTH($A179),MIN(Settings!$C$64,DAY($B179))))&gt;=MAX($A179,Settings!$D$64,Settings!$B$5+1),IF(Settings!$C$64="",$B179,DATE(YEAR($A179),MONTH($A179),MIN(Settings!$C$64,DAY($B179))))&lt;=MIN($C179,IF(Settings!$E$64="",$C179,Settings!$E$64))),1,0))+IF(OR(Settings!$B$65="",Settings!$F$65="No"),0,Settings!$B$65*IF(AND(IF(Settings!$C$65="",$B179,DATE(YEAR($A179),MONTH($A179),MIN(Settings!$C$65,DAY($B179))))&gt;=MAX($A179,Settings!$D$65,Settings!$B$5+1),IF(Settings!$C$65="",$B179,DATE(YEAR($A179),MONTH($A179),MIN(Settings!$C$65,DAY($B179))))&lt;=MIN($C179,IF(Settings!$E$65="",$C179,Settings!$E$65))),1,0)),0))</f>
        <v/>
      </c>
      <c r="AC179">
        <f>$AY179+$AZ179+$BA179+$BB179+$BC179+$BD179</f>
        <v/>
      </c>
      <c r="AD179">
        <f>$AC179</f>
        <v/>
      </c>
      <c r="AE179">
        <f>IF(OR(Settings!$A$19="",$E179="pre"),"",IF(AND('Month-End'!$FT$7&lt;&gt;"",NOT(_xlfn.ISFORMULA('Month-End'!$FT$7))),N('Month-End'!$FT$7),IF(OR($E179="open",$E178="pre"),N(Settings!$C$19),N($AE178))))</f>
        <v/>
      </c>
      <c r="AF179">
        <f>IF(OR(Settings!$A$20="",$E179="pre"),"",IF(AND('Month-End'!$FT$8&lt;&gt;"",NOT(_xlfn.ISFORMULA('Month-End'!$FT$8))),N('Month-End'!$FT$8),IF(OR($E179="open",$E178="pre"),N(Settings!$C$20),N($AF178))))</f>
        <v/>
      </c>
      <c r="AG179">
        <f>IF(OR(Settings!$A$21="",$E179="pre"),"",IF(AND('Month-End'!$FT$9&lt;&gt;"",NOT(_xlfn.ISFORMULA('Month-End'!$FT$9))),N('Month-End'!$FT$9),IF(OR($E179="open",$E178="pre"),N(Settings!$C$21),N($AG178))))</f>
        <v/>
      </c>
      <c r="AH179">
        <f>IF(OR(Settings!$A$22="",$E179="pre"),"",IF(AND('Month-End'!$FT$10&lt;&gt;"",NOT(_xlfn.ISFORMULA('Month-End'!$FT$10))),N('Month-End'!$FT$10),IF(OR($E179="open",$E178="pre"),N(Settings!$C$22),N($AH178))))</f>
        <v/>
      </c>
      <c r="AI179">
        <f>IF(OR(Settings!$A$23="",$E179="pre"),"",IF(AND('Month-End'!$FT$11&lt;&gt;"",NOT(_xlfn.ISFORMULA('Month-End'!$FT$11))),N('Month-End'!$FT$11),IF(OR($E179="open",$E178="pre"),N(Settings!$C$23),N($AI178))))</f>
        <v/>
      </c>
      <c r="AJ179">
        <f>IF(OR(Settings!$A$24="",$E179="pre"),"",IF(AND('Month-End'!$FT$12&lt;&gt;"",NOT(_xlfn.ISFORMULA('Month-End'!$FT$12))),N('Month-End'!$FT$12),IF(OR($E179="open",$E178="pre"),N(Settings!$C$24),N($AJ178))))</f>
        <v/>
      </c>
      <c r="AK179">
        <f>IF(OR(Settings!$A$25="",$E179="pre"),"",IF(AND('Month-End'!$FT$13&lt;&gt;"",NOT(_xlfn.ISFORMULA('Month-End'!$FT$13))),N('Month-End'!$FT$13),IF(OR($E179="open",$E178="pre"),N(Settings!$C$25),N($AK178))))</f>
        <v/>
      </c>
      <c r="AL179">
        <f>IF(OR(Settings!$A$26="",$E179="pre"),"",IF(AND('Month-End'!$FT$14&lt;&gt;"",NOT(_xlfn.ISFORMULA('Month-End'!$FT$14))),N('Month-End'!$FT$14),IF(OR($E179="open",$E178="pre"),N(Settings!$C$26),N($AL178))))</f>
        <v/>
      </c>
      <c r="AM179">
        <f>IF(OR(Settings!$A$27="",$E179="pre"),"",IF(AND('Month-End'!$FT$15&lt;&gt;"",NOT(_xlfn.ISFORMULA('Month-End'!$FT$15))),N('Month-End'!$FT$15),IF(OR($E179="open",$E178="pre"),N(Settings!$C$27),N($AM178))))</f>
        <v/>
      </c>
      <c r="AN179">
        <f>IF(OR(Settings!$A$28="",$E179="pre"),"",IF(AND('Month-End'!$FT$16&lt;&gt;"",NOT(_xlfn.ISFORMULA('Month-End'!$FT$16))),N('Month-End'!$FT$16),IF(OR($E179="open",$E178="pre"),N(Settings!$C$28),N($AN178))))</f>
        <v/>
      </c>
      <c r="AO179">
        <f>IF(OR(Settings!$A$29="",$E179="pre"),"",IF(AND('Month-End'!$FT$17&lt;&gt;"",NOT(_xlfn.ISFORMULA('Month-End'!$FT$17))),N('Month-End'!$FT$17),IF(OR($E179="open",$E178="pre"),N(Settings!$C$29),N($AO178))))</f>
        <v/>
      </c>
      <c r="AP179">
        <f>IF(OR(Settings!$A$30="",$E179="pre"),"",IF(AND('Month-End'!$FT$18&lt;&gt;"",NOT(_xlfn.ISFORMULA('Month-End'!$FT$18))),N('Month-End'!$FT$18),IF(OR($E179="open",$E178="pre"),N(Settings!$C$30),N($AP178))))</f>
        <v/>
      </c>
      <c r="AQ179">
        <f>IF(OR(Settings!$A$31="",$E179="pre"),"",IF(AND('Month-End'!$FT$19&lt;&gt;"",NOT(_xlfn.ISFORMULA('Month-End'!$FT$19))),N('Month-End'!$FT$19),IF(OR($E179="open",$E178="pre"),N(Settings!$C$31),N($AQ178))))</f>
        <v/>
      </c>
      <c r="AR179">
        <f>IF(OR(Settings!$A$32="",$E179="pre"),"",IF(AND('Month-End'!$FT$20&lt;&gt;"",NOT(_xlfn.ISFORMULA('Month-End'!$FT$20))),N('Month-End'!$FT$20),IF(OR($E179="open",$E178="pre"),N(Settings!$C$32),N($AR178))))</f>
        <v/>
      </c>
      <c r="AS179">
        <f>IF(OR(Settings!$A$36="",$E179="pre"),"",IF(AND('Month-End'!$FT$38&lt;&gt;"",NOT(_xlfn.ISFORMULA('Month-End'!$FT$38))),N('Month-End'!$FT$38),IF(OR($E179="open",$E178="pre"),N(Settings!$C$36),N($AS178))+$AY179))</f>
        <v/>
      </c>
      <c r="AT179">
        <f>IF(OR(Settings!$A$37="",$E179="pre"),"",IF(AND('Month-End'!$FT$39&lt;&gt;"",NOT(_xlfn.ISFORMULA('Month-End'!$FT$39))),N('Month-End'!$FT$39),IF(OR($E179="open",$E178="pre"),N(Settings!$C$37),N($AT178))+$AZ179))</f>
        <v/>
      </c>
      <c r="AU179">
        <f>IF(OR(Settings!$A$38="",$E179="pre"),"",IF(AND('Month-End'!$FT$40&lt;&gt;"",NOT(_xlfn.ISFORMULA('Month-End'!$FT$40))),N('Month-End'!$FT$40),IF(OR($E179="open",$E178="pre"),N(Settings!$C$38),N($AU178))+$BA179))</f>
        <v/>
      </c>
      <c r="AV179">
        <f>IF(OR(Settings!$A$39="",$E179="pre"),"",IF(AND('Month-End'!$FT$41&lt;&gt;"",NOT(_xlfn.ISFORMULA('Month-End'!$FT$41))),N('Month-End'!$FT$41),IF(OR($E179="open",$E178="pre"),N(Settings!$C$39),N($AV178))+$BB179))</f>
        <v/>
      </c>
      <c r="AW179">
        <f>IF(OR(Settings!$A$40="",$E179="pre"),"",IF(AND('Month-End'!$FT$42&lt;&gt;"",NOT(_xlfn.ISFORMULA('Month-End'!$FT$42))),N('Month-End'!$FT$42),IF(OR($E179="open",$E178="pre"),N(Settings!$C$40),N($AW178))+$BC179))</f>
        <v/>
      </c>
      <c r="AX179">
        <f>IF(OR(Settings!$A$41="",$E179="pre"),"",IF(AND('Month-End'!$FT$43&lt;&gt;"",NOT(_xlfn.ISFORMULA('Month-End'!$FT$43))),N('Month-End'!$FT$43),IF(OR($E179="open",$E178="pre"),N(Settings!$C$41),N($AX178))+$BD179))</f>
        <v/>
      </c>
      <c r="AY179">
        <f>IF($E179="pre",0,N('Month-End'!$FT$45))</f>
        <v/>
      </c>
      <c r="AZ179">
        <f>IF($E179="pre",0,N('Month-End'!$FT$46))</f>
        <v/>
      </c>
      <c r="BA179">
        <f>IF($E179="pre",0,N('Month-End'!$FT$47))</f>
        <v/>
      </c>
      <c r="BB179">
        <f>IF($E179="pre",0,N('Month-End'!$FT$48))</f>
        <v/>
      </c>
      <c r="BC179">
        <f>IF($E179="pre",0,N('Month-End'!$FT$49))</f>
        <v/>
      </c>
      <c r="BD179">
        <f>IF($E179="pre",0,N('Month-End'!$FT$50))</f>
        <v/>
      </c>
      <c r="BE179">
        <f>IF(OR(Settings!$C$45="",Settings!$D$45=""),0,Settings!$C$45*IF(Settings!$D$45="Weekly",IF(IFERROR(MATCH(Settings!$E$45,$EO$4:$EO$10,0),0)=0,0,IF(MIN($C179,IF(Settings!$G$45="",$C179,Settings!$G$45))&lt;MAX($A179,Settings!$F$45),0,INT((MIN($C179,IF(Settings!$G$45="",$C179,Settings!$G$45))-MAX($A179,Settings!$F$45)-MOD(IFERROR(MATCH(Settings!$E$45,$EO$4:$EO$10,0),0)-WEEKDAY(MAX($A179,Settings!$F$45)),7))/7)+1)),IF(AND(IF(Settings!$E$45="",$B179,DATE(YEAR($A179),MONTH($A179),MIN(Settings!$E$45,DAY($B179))))&gt;=MAX($A179,Settings!$F$45),IF(Settings!$E$45="",$B179,DATE(YEAR($A179),MONTH($A179),MIN(Settings!$E$45,DAY($B179))))&lt;=MIN($C179,IF(Settings!$G$45="",$C179,Settings!$G$45))),1,0)))</f>
        <v/>
      </c>
      <c r="BF179">
        <f>IF(OR(Settings!$C$46="",Settings!$D$46=""),0,Settings!$C$46*IF(Settings!$D$46="Weekly",IF(IFERROR(MATCH(Settings!$E$46,$EO$4:$EO$10,0),0)=0,0,IF(MIN($C179,IF(Settings!$G$46="",$C179,Settings!$G$46))&lt;MAX($A179,Settings!$F$46),0,INT((MIN($C179,IF(Settings!$G$46="",$C179,Settings!$G$46))-MAX($A179,Settings!$F$46)-MOD(IFERROR(MATCH(Settings!$E$46,$EO$4:$EO$10,0),0)-WEEKDAY(MAX($A179,Settings!$F$46)),7))/7)+1)),IF(AND(IF(Settings!$E$46="",$B179,DATE(YEAR($A179),MONTH($A179),MIN(Settings!$E$46,DAY($B179))))&gt;=MAX($A179,Settings!$F$46),IF(Settings!$E$46="",$B179,DATE(YEAR($A179),MONTH($A179),MIN(Settings!$E$46,DAY($B179))))&lt;=MIN($C179,IF(Settings!$G$46="",$C179,Settings!$G$46))),1,0)))</f>
        <v/>
      </c>
      <c r="BG179">
        <f>IF(OR(Settings!$C$47="",Settings!$D$47=""),0,Settings!$C$47*IF(Settings!$D$47="Weekly",IF(IFERROR(MATCH(Settings!$E$47,$EO$4:$EO$10,0),0)=0,0,IF(MIN($C179,IF(Settings!$G$47="",$C179,Settings!$G$47))&lt;MAX($A179,Settings!$F$47),0,INT((MIN($C179,IF(Settings!$G$47="",$C179,Settings!$G$47))-MAX($A179,Settings!$F$47)-MOD(IFERROR(MATCH(Settings!$E$47,$EO$4:$EO$10,0),0)-WEEKDAY(MAX($A179,Settings!$F$47)),7))/7)+1)),IF(AND(IF(Settings!$E$47="",$B179,DATE(YEAR($A179),MONTH($A179),MIN(Settings!$E$47,DAY($B179))))&gt;=MAX($A179,Settings!$F$47),IF(Settings!$E$47="",$B179,DATE(YEAR($A179),MONTH($A179),MIN(Settings!$E$47,DAY($B179))))&lt;=MIN($C179,IF(Settings!$G$47="",$C179,Settings!$G$47))),1,0)))</f>
        <v/>
      </c>
      <c r="BH179">
        <f>IF(OR(Settings!$C$48="",Settings!$D$48=""),0,Settings!$C$48*IF(Settings!$D$48="Weekly",IF(IFERROR(MATCH(Settings!$E$48,$EO$4:$EO$10,0),0)=0,0,IF(MIN($C179,IF(Settings!$G$48="",$C179,Settings!$G$48))&lt;MAX($A179,Settings!$F$48),0,INT((MIN($C179,IF(Settings!$G$48="",$C179,Settings!$G$48))-MAX($A179,Settings!$F$48)-MOD(IFERROR(MATCH(Settings!$E$48,$EO$4:$EO$10,0),0)-WEEKDAY(MAX($A179,Settings!$F$48)),7))/7)+1)),IF(AND(IF(Settings!$E$48="",$B179,DATE(YEAR($A179),MONTH($A179),MIN(Settings!$E$48,DAY($B179))))&gt;=MAX($A179,Settings!$F$48),IF(Settings!$E$48="",$B179,DATE(YEAR($A179),MONTH($A179),MIN(Settings!$E$48,DAY($B179))))&lt;=MIN($C179,IF(Settings!$G$48="",$C179,Settings!$G$48))),1,0)))</f>
        <v/>
      </c>
      <c r="BI179">
        <f>IF(OR(Settings!$C$49="",Settings!$D$49=""),0,Settings!$C$49*IF(Settings!$D$49="Weekly",IF(IFERROR(MATCH(Settings!$E$49,$EO$4:$EO$10,0),0)=0,0,IF(MIN($C179,IF(Settings!$G$49="",$C179,Settings!$G$49))&lt;MAX($A179,Settings!$F$49),0,INT((MIN($C179,IF(Settings!$G$49="",$C179,Settings!$G$49))-MAX($A179,Settings!$F$49)-MOD(IFERROR(MATCH(Settings!$E$49,$EO$4:$EO$10,0),0)-WEEKDAY(MAX($A179,Settings!$F$49)),7))/7)+1)),IF(AND(IF(Settings!$E$49="",$B179,DATE(YEAR($A179),MONTH($A179),MIN(Settings!$E$49,DAY($B179))))&gt;=MAX($A179,Settings!$F$49),IF(Settings!$E$49="",$B179,DATE(YEAR($A179),MONTH($A179),MIN(Settings!$E$49,DAY($B179))))&lt;=MIN($C179,IF(Settings!$G$49="",$C179,Settings!$G$49))),1,0)))</f>
        <v/>
      </c>
      <c r="BJ179">
        <f>IF(OR(Settings!$C$50="",Settings!$D$50=""),0,Settings!$C$50*IF(Settings!$D$50="Weekly",IF(IFERROR(MATCH(Settings!$E$50,$EO$4:$EO$10,0),0)=0,0,IF(MIN($C179,IF(Settings!$G$50="",$C179,Settings!$G$50))&lt;MAX($A179,Settings!$F$50),0,INT((MIN($C179,IF(Settings!$G$50="",$C179,Settings!$G$50))-MAX($A179,Settings!$F$50)-MOD(IFERROR(MATCH(Settings!$E$50,$EO$4:$EO$10,0),0)-WEEKDAY(MAX($A179,Settings!$F$50)),7))/7)+1)),IF(AND(IF(Settings!$E$50="",$B179,DATE(YEAR($A179),MONTH($A179),MIN(Settings!$E$50,DAY($B179))))&gt;=MAX($A179,Settings!$F$50),IF(Settings!$E$50="",$B179,DATE(YEAR($A179),MONTH($A179),MIN(Settings!$E$50,DAY($B179))))&lt;=MIN($C179,IF(Settings!$G$50="",$C179,Settings!$G$50))),1,0)))</f>
        <v/>
      </c>
      <c r="BK179">
        <f>IF(OR(Settings!$C$51="",Settings!$D$51=""),0,Settings!$C$51*IF(Settings!$D$51="Weekly",IF(IFERROR(MATCH(Settings!$E$51,$EO$4:$EO$10,0),0)=0,0,IF(MIN($C179,IF(Settings!$G$51="",$C179,Settings!$G$51))&lt;MAX($A179,Settings!$F$51),0,INT((MIN($C179,IF(Settings!$G$51="",$C179,Settings!$G$51))-MAX($A179,Settings!$F$51)-MOD(IFERROR(MATCH(Settings!$E$51,$EO$4:$EO$10,0),0)-WEEKDAY(MAX($A179,Settings!$F$51)),7))/7)+1)),IF(AND(IF(Settings!$E$51="",$B179,DATE(YEAR($A179),MONTH($A179),MIN(Settings!$E$51,DAY($B179))))&gt;=MAX($A179,Settings!$F$51),IF(Settings!$E$51="",$B179,DATE(YEAR($A179),MONTH($A179),MIN(Settings!$E$51,DAY($B179))))&lt;=MIN($C179,IF(Settings!$G$51="",$C179,Settings!$G$51))),1,0)))</f>
        <v/>
      </c>
      <c r="BL179">
        <f>IF(OR(Settings!$C$52="",Settings!$D$52=""),0,Settings!$C$52*IF(Settings!$D$52="Weekly",IF(IFERROR(MATCH(Settings!$E$52,$EO$4:$EO$10,0),0)=0,0,IF(MIN($C179,IF(Settings!$G$52="",$C179,Settings!$G$52))&lt;MAX($A179,Settings!$F$52),0,INT((MIN($C179,IF(Settings!$G$52="",$C179,Settings!$G$52))-MAX($A179,Settings!$F$52)-MOD(IFERROR(MATCH(Settings!$E$52,$EO$4:$EO$10,0),0)-WEEKDAY(MAX($A179,Settings!$F$52)),7))/7)+1)),IF(AND(IF(Settings!$E$52="",$B179,DATE(YEAR($A179),MONTH($A179),MIN(Settings!$E$52,DAY($B179))))&gt;=MAX($A179,Settings!$F$52),IF(Settings!$E$52="",$B179,DATE(YEAR($A179),MONTH($A179),MIN(Settings!$E$52,DAY($B179))))&lt;=MIN($C179,IF(Settings!$G$52="",$C179,Settings!$G$52))),1,0)))</f>
        <v/>
      </c>
      <c r="BM179">
        <f>IF(OR(Settings!$C$53="",Settings!$D$53=""),0,Settings!$C$53*IF(Settings!$D$53="Weekly",IF(IFERROR(MATCH(Settings!$E$53,$EO$4:$EO$10,0),0)=0,0,IF(MIN($C179,IF(Settings!$G$53="",$C179,Settings!$G$53))&lt;MAX($A179,Settings!$F$53),0,INT((MIN($C179,IF(Settings!$G$53="",$C179,Settings!$G$53))-MAX($A179,Settings!$F$53)-MOD(IFERROR(MATCH(Settings!$E$53,$EO$4:$EO$10,0),0)-WEEKDAY(MAX($A179,Settings!$F$53)),7))/7)+1)),IF(AND(IF(Settings!$E$53="",$B179,DATE(YEAR($A179),MONTH($A179),MIN(Settings!$E$53,DAY($B179))))&gt;=MAX($A179,Settings!$F$53),IF(Settings!$E$53="",$B179,DATE(YEAR($A179),MONTH($A179),MIN(Settings!$E$53,DAY($B179))))&lt;=MIN($C179,IF(Settings!$G$53="",$C179,Settings!$G$53))),1,0)))</f>
        <v/>
      </c>
      <c r="BN179">
        <f>IF(OR(Settings!$C$54="",Settings!$D$54=""),0,Settings!$C$54*IF(Settings!$D$54="Weekly",IF(IFERROR(MATCH(Settings!$E$54,$EO$4:$EO$10,0),0)=0,0,IF(MIN($C179,IF(Settings!$G$54="",$C179,Settings!$G$54))&lt;MAX($A179,Settings!$F$54),0,INT((MIN($C179,IF(Settings!$G$54="",$C179,Settings!$G$54))-MAX($A179,Settings!$F$54)-MOD(IFERROR(MATCH(Settings!$E$54,$EO$4:$EO$10,0),0)-WEEKDAY(MAX($A179,Settings!$F$54)),7))/7)+1)),IF(AND(IF(Settings!$E$54="",$B179,DATE(YEAR($A179),MONTH($A179),MIN(Settings!$E$54,DAY($B179))))&gt;=MAX($A179,Settings!$F$54),IF(Settings!$E$54="",$B179,DATE(YEAR($A179),MONTH($A179),MIN(Settings!$E$54,DAY($B179))))&lt;=MIN($C179,IF(Settings!$G$54="",$C179,Settings!$G$54))),1,0)))</f>
        <v/>
      </c>
      <c r="BO179">
        <f>IF(OR(Settings!$C$55="",Settings!$D$55=""),0,Settings!$C$55*IF(Settings!$D$55="Weekly",IF(IFERROR(MATCH(Settings!$E$55,$EO$4:$EO$10,0),0)=0,0,IF(MIN($C179,IF(Settings!$G$55="",$C179,Settings!$G$55))&lt;MAX($A179,Settings!$F$55),0,INT((MIN($C179,IF(Settings!$G$55="",$C179,Settings!$G$55))-MAX($A179,Settings!$F$55)-MOD(IFERROR(MATCH(Settings!$E$55,$EO$4:$EO$10,0),0)-WEEKDAY(MAX($A179,Settings!$F$55)),7))/7)+1)),IF(AND(IF(Settings!$E$55="",$B179,DATE(YEAR($A179),MONTH($A179),MIN(Settings!$E$55,DAY($B179))))&gt;=MAX($A179,Settings!$F$55),IF(Settings!$E$55="",$B179,DATE(YEAR($A179),MONTH($A179),MIN(Settings!$E$55,DAY($B179))))&lt;=MIN($C179,IF(Settings!$G$55="",$C179,Settings!$G$55))),1,0)))</f>
        <v/>
      </c>
      <c r="BP179">
        <f>IF(OR(Settings!$C$56="",Settings!$D$56=""),0,Settings!$C$56*IF(Settings!$D$56="Weekly",IF(IFERROR(MATCH(Settings!$E$56,$EO$4:$EO$10,0),0)=0,0,IF(MIN($C179,IF(Settings!$G$56="",$C179,Settings!$G$56))&lt;MAX($A179,Settings!$F$56),0,INT((MIN($C179,IF(Settings!$G$56="",$C179,Settings!$G$56))-MAX($A179,Settings!$F$56)-MOD(IFERROR(MATCH(Settings!$E$56,$EO$4:$EO$10,0),0)-WEEKDAY(MAX($A179,Settings!$F$56)),7))/7)+1)),IF(AND(IF(Settings!$E$56="",$B179,DATE(YEAR($A179),MONTH($A179),MIN(Settings!$E$56,DAY($B179))))&gt;=MAX($A179,Settings!$F$56),IF(Settings!$E$56="",$B179,DATE(YEAR($A179),MONTH($A179),MIN(Settings!$E$56,DAY($B179))))&lt;=MIN($C179,IF(Settings!$G$56="",$C179,Settings!$G$56))),1,0)))</f>
        <v/>
      </c>
      <c r="BQ179">
        <f>IF(OR(Settings!$B$14="",$D179=1,$E179="pre",$A179&lt;IF(Settings!$B$15="",0,Settings!$B$15)),0,Settings!$B$14)</f>
        <v/>
      </c>
      <c r="BR179">
        <f>IF(AND('Month-End'!$FT$7&lt;&gt;"",NOT(_xlfn.ISFORMULA('Month-End'!$FT$7))),1,0)</f>
        <v/>
      </c>
      <c r="BS179">
        <f>IF(AND('Month-End'!$FT$8&lt;&gt;"",NOT(_xlfn.ISFORMULA('Month-End'!$FT$8))),1,0)</f>
        <v/>
      </c>
      <c r="BT179">
        <f>IF(AND('Month-End'!$FT$9&lt;&gt;"",NOT(_xlfn.ISFORMULA('Month-End'!$FT$9))),1,0)</f>
        <v/>
      </c>
      <c r="BU179">
        <f>IF(AND('Month-End'!$FT$10&lt;&gt;"",NOT(_xlfn.ISFORMULA('Month-End'!$FT$10))),1,0)</f>
        <v/>
      </c>
      <c r="BV179">
        <f>IF(AND('Month-End'!$FT$11&lt;&gt;"",NOT(_xlfn.ISFORMULA('Month-End'!$FT$11))),1,0)</f>
        <v/>
      </c>
      <c r="BW179">
        <f>IF(AND('Month-End'!$FT$12&lt;&gt;"",NOT(_xlfn.ISFORMULA('Month-End'!$FT$12))),1,0)</f>
        <v/>
      </c>
      <c r="BX179">
        <f>IF(AND('Month-End'!$FT$13&lt;&gt;"",NOT(_xlfn.ISFORMULA('Month-End'!$FT$13))),1,0)</f>
        <v/>
      </c>
      <c r="BY179">
        <f>IF(AND('Month-End'!$FT$14&lt;&gt;"",NOT(_xlfn.ISFORMULA('Month-End'!$FT$14))),1,0)</f>
        <v/>
      </c>
      <c r="BZ179">
        <f>IF(AND('Month-End'!$FT$15&lt;&gt;"",NOT(_xlfn.ISFORMULA('Month-End'!$FT$15))),1,0)</f>
        <v/>
      </c>
      <c r="CA179">
        <f>IF(AND('Month-End'!$FT$16&lt;&gt;"",NOT(_xlfn.ISFORMULA('Month-End'!$FT$16))),1,0)</f>
        <v/>
      </c>
      <c r="CB179">
        <f>IF(AND('Month-End'!$FT$17&lt;&gt;"",NOT(_xlfn.ISFORMULA('Month-End'!$FT$17))),1,0)</f>
        <v/>
      </c>
      <c r="CC179">
        <f>IF(AND('Month-End'!$FT$18&lt;&gt;"",NOT(_xlfn.ISFORMULA('Month-End'!$FT$18))),1,0)</f>
        <v/>
      </c>
      <c r="CD179">
        <f>IF(AND('Month-End'!$FT$19&lt;&gt;"",NOT(_xlfn.ISFORMULA('Month-End'!$FT$19))),1,0)</f>
        <v/>
      </c>
      <c r="CE179">
        <f>IF(AND('Month-End'!$FT$20&lt;&gt;"",NOT(_xlfn.ISFORMULA('Month-End'!$FT$20))),1,0)</f>
        <v/>
      </c>
      <c r="CF179">
        <f>IF(AND('Month-End'!$FT$38&lt;&gt;"",NOT(_xlfn.ISFORMULA('Month-End'!$FT$38))),1,0)</f>
        <v/>
      </c>
      <c r="CG179">
        <f>IF(AND('Month-End'!$FT$39&lt;&gt;"",NOT(_xlfn.ISFORMULA('Month-End'!$FT$39))),1,0)</f>
        <v/>
      </c>
      <c r="CH179">
        <f>IF(AND('Month-End'!$FT$40&lt;&gt;"",NOT(_xlfn.ISFORMULA('Month-End'!$FT$40))),1,0)</f>
        <v/>
      </c>
      <c r="CI179">
        <f>IF(AND('Month-End'!$FT$41&lt;&gt;"",NOT(_xlfn.ISFORMULA('Month-End'!$FT$41))),1,0)</f>
        <v/>
      </c>
      <c r="CJ179">
        <f>IF(AND('Month-End'!$FT$42&lt;&gt;"",NOT(_xlfn.ISFORMULA('Month-End'!$FT$42))),1,0)</f>
        <v/>
      </c>
      <c r="CK179">
        <f>IF(AND('Month-End'!$FT$43&lt;&gt;"",NOT(_xlfn.ISFORMULA('Month-End'!$FT$43))),1,0)</f>
        <v/>
      </c>
      <c r="CL179">
        <f>SUM($CM179:$CZ179)</f>
        <v/>
      </c>
      <c r="CM179">
        <f>IF(AND($E179&lt;&gt;"pre",AND(Settings!$A$19&lt;&gt;"",Settings!$E$19&lt;&gt;"No"),Settings!$F$19="Yes",NOT(AND('Month-End'!$FT$7&lt;&gt;"",NOT(_xlfn.ISFORMULA('Month-End'!$FT$7))))),1,0)</f>
        <v/>
      </c>
      <c r="CN179">
        <f>IF(AND($E179&lt;&gt;"pre",AND(Settings!$A$20&lt;&gt;"",Settings!$E$20&lt;&gt;"No"),Settings!$F$20="Yes",NOT(AND('Month-End'!$FT$8&lt;&gt;"",NOT(_xlfn.ISFORMULA('Month-End'!$FT$8))))),1,0)</f>
        <v/>
      </c>
      <c r="CO179">
        <f>IF(AND($E179&lt;&gt;"pre",AND(Settings!$A$21&lt;&gt;"",Settings!$E$21&lt;&gt;"No"),Settings!$F$21="Yes",NOT(AND('Month-End'!$FT$9&lt;&gt;"",NOT(_xlfn.ISFORMULA('Month-End'!$FT$9))))),1,0)</f>
        <v/>
      </c>
      <c r="CP179">
        <f>IF(AND($E179&lt;&gt;"pre",AND(Settings!$A$22&lt;&gt;"",Settings!$E$22&lt;&gt;"No"),Settings!$F$22="Yes",NOT(AND('Month-End'!$FT$10&lt;&gt;"",NOT(_xlfn.ISFORMULA('Month-End'!$FT$10))))),1,0)</f>
        <v/>
      </c>
      <c r="CQ179">
        <f>IF(AND($E179&lt;&gt;"pre",AND(Settings!$A$23&lt;&gt;"",Settings!$E$23&lt;&gt;"No"),Settings!$F$23="Yes",NOT(AND('Month-End'!$FT$11&lt;&gt;"",NOT(_xlfn.ISFORMULA('Month-End'!$FT$11))))),1,0)</f>
        <v/>
      </c>
      <c r="CR179">
        <f>IF(AND($E179&lt;&gt;"pre",AND(Settings!$A$24&lt;&gt;"",Settings!$E$24&lt;&gt;"No"),Settings!$F$24="Yes",NOT(AND('Month-End'!$FT$12&lt;&gt;"",NOT(_xlfn.ISFORMULA('Month-End'!$FT$12))))),1,0)</f>
        <v/>
      </c>
      <c r="CS179">
        <f>IF(AND($E179&lt;&gt;"pre",AND(Settings!$A$25&lt;&gt;"",Settings!$E$25&lt;&gt;"No"),Settings!$F$25="Yes",NOT(AND('Month-End'!$FT$13&lt;&gt;"",NOT(_xlfn.ISFORMULA('Month-End'!$FT$13))))),1,0)</f>
        <v/>
      </c>
      <c r="CT179">
        <f>IF(AND($E179&lt;&gt;"pre",AND(Settings!$A$26&lt;&gt;"",Settings!$E$26&lt;&gt;"No"),Settings!$F$26="Yes",NOT(AND('Month-End'!$FT$14&lt;&gt;"",NOT(_xlfn.ISFORMULA('Month-End'!$FT$14))))),1,0)</f>
        <v/>
      </c>
      <c r="CU179">
        <f>IF(AND($E179&lt;&gt;"pre",AND(Settings!$A$27&lt;&gt;"",Settings!$E$27&lt;&gt;"No"),Settings!$F$27="Yes",NOT(AND('Month-End'!$FT$15&lt;&gt;"",NOT(_xlfn.ISFORMULA('Month-End'!$FT$15))))),1,0)</f>
        <v/>
      </c>
      <c r="CV179">
        <f>IF(AND($E179&lt;&gt;"pre",AND(Settings!$A$28&lt;&gt;"",Settings!$E$28&lt;&gt;"No"),Settings!$F$28="Yes",NOT(AND('Month-End'!$FT$16&lt;&gt;"",NOT(_xlfn.ISFORMULA('Month-End'!$FT$16))))),1,0)</f>
        <v/>
      </c>
      <c r="CW179">
        <f>IF(AND($E179&lt;&gt;"pre",AND(Settings!$A$29&lt;&gt;"",Settings!$E$29&lt;&gt;"No"),Settings!$F$29="Yes",NOT(AND('Month-End'!$FT$17&lt;&gt;"",NOT(_xlfn.ISFORMULA('Month-End'!$FT$17))))),1,0)</f>
        <v/>
      </c>
      <c r="CX179">
        <f>IF(AND($E179&lt;&gt;"pre",AND(Settings!$A$30&lt;&gt;"",Settings!$E$30&lt;&gt;"No"),Settings!$F$30="Yes",NOT(AND('Month-End'!$FT$18&lt;&gt;"",NOT(_xlfn.ISFORMULA('Month-End'!$FT$18))))),1,0)</f>
        <v/>
      </c>
      <c r="CY179">
        <f>IF(AND($E179&lt;&gt;"pre",AND(Settings!$A$31&lt;&gt;"",Settings!$E$31&lt;&gt;"No"),Settings!$F$31="Yes",NOT(AND('Month-End'!$FT$19&lt;&gt;"",NOT(_xlfn.ISFORMULA('Month-End'!$FT$19))))),1,0)</f>
        <v/>
      </c>
      <c r="CZ179">
        <f>IF(AND($E179&lt;&gt;"pre",AND(Settings!$A$32&lt;&gt;"",Settings!$E$32&lt;&gt;"No"),Settings!$F$32="Yes",NOT(AND('Month-End'!$FT$20&lt;&gt;"",NOT(_xlfn.ISFORMULA('Month-End'!$FT$20))))),1,0)</f>
        <v/>
      </c>
      <c r="DA179">
        <f>IF($DT179=1,IF(OR(Settings!$B$19="Checking",Settings!$B$19="Savings",Settings!$B$19="Cash"),N($AE179),IF(OR(Settings!$B$19="Card",Settings!$B$19="Loan"),-N($AE179),0))+IF(OR(Settings!$B$20="Checking",Settings!$B$20="Savings",Settings!$B$20="Cash"),N($AF179),IF(OR(Settings!$B$20="Card",Settings!$B$20="Loan"),-N($AF179),0))+IF(OR(Settings!$B$21="Checking",Settings!$B$21="Savings",Settings!$B$21="Cash"),N($AG179),IF(OR(Settings!$B$21="Card",Settings!$B$21="Loan"),-N($AG179),0))+IF(OR(Settings!$B$22="Checking",Settings!$B$22="Savings",Settings!$B$22="Cash"),N($AH179),IF(OR(Settings!$B$22="Card",Settings!$B$22="Loan"),-N($AH179),0))+IF(OR(Settings!$B$23="Checking",Settings!$B$23="Savings",Settings!$B$23="Cash"),N($AI179),IF(OR(Settings!$B$23="Card",Settings!$B$23="Loan"),-N($AI179),0))+IF(OR(Settings!$B$24="Checking",Settings!$B$24="Savings",Settings!$B$24="Cash"),N($AJ179),IF(OR(Settings!$B$24="Card",Settings!$B$24="Loan"),-N($AJ179),0))+IF(OR(Settings!$B$25="Checking",Settings!$B$25="Savings",Settings!$B$25="Cash"),N($AK179),IF(OR(Settings!$B$25="Card",Settings!$B$25="Loan"),-N($AK179),0))+IF(OR(Settings!$B$26="Checking",Settings!$B$26="Savings",Settings!$B$26="Cash"),N($AL179),IF(OR(Settings!$B$26="Card",Settings!$B$26="Loan"),-N($AL179),0))+IF(OR(Settings!$B$27="Checking",Settings!$B$27="Savings",Settings!$B$27="Cash"),N($AM179),IF(OR(Settings!$B$27="Card",Settings!$B$27="Loan"),-N($AM179),0))+IF(OR(Settings!$B$28="Checking",Settings!$B$28="Savings",Settings!$B$28="Cash"),N($AN179),IF(OR(Settings!$B$28="Card",Settings!$B$28="Loan"),-N($AN179),0))+IF(OR(Settings!$B$29="Checking",Settings!$B$29="Savings",Settings!$B$29="Cash"),N($AO179),IF(OR(Settings!$B$29="Card",Settings!$B$29="Loan"),-N($AO179),0))+IF(OR(Settings!$B$30="Checking",Settings!$B$30="Savings",Settings!$B$30="Cash"),N($AP179),IF(OR(Settings!$B$30="Card",Settings!$B$30="Loan"),-N($AP179),0))+IF(OR(Settings!$B$31="Checking",Settings!$B$31="Savings",Settings!$B$31="Cash"),N($AQ179),IF(OR(Settings!$B$31="Card",Settings!$B$31="Loan"),-N($AQ179),0))+IF(OR(Settings!$B$32="Checking",Settings!$B$32="Savings",Settings!$B$32="Cash"),N($AR179),IF(OR(Settings!$B$32="Card",Settings!$B$32="Loan"),-N($AR179),0)),"")</f>
        <v/>
      </c>
      <c r="DB179">
        <f>IF($E179="open",$EB$27,IF($E179="post",IF($E178="pre",$EB$27,$DA178),""))</f>
        <v/>
      </c>
      <c r="DC179">
        <f>IF($E179="open",1,IF($E179="post",IF($E178="pre",1,$DT178),0))</f>
        <v/>
      </c>
      <c r="DD179">
        <f>IF(AND($DT179=1,$DC179=1),ROUND($W179-($DA179-$DB179)-$AD179-$AB179,2),"")</f>
        <v/>
      </c>
      <c r="DE179">
        <f>IF('Month-End'!$FT$35="",$BQ179,N('Month-End'!$FT$35))</f>
        <v/>
      </c>
      <c r="DF179">
        <f>N('Month-End'!$FT$36)</f>
        <v/>
      </c>
      <c r="DG179">
        <f>IF($DD179="","",$DD179+$DE179)</f>
        <v/>
      </c>
      <c r="DH179">
        <f>IF($DG179="","",$DG179-$DF179)</f>
        <v/>
      </c>
      <c r="DI179">
        <f>IF(OR($E179="pre",$D179=1),"",N($AS179)+N($AT179)+N($AU179)+N($AV179)+N($AW179)+N($AX179))</f>
        <v/>
      </c>
      <c r="DJ179">
        <f>IF($DT179=1,$DA179+N($DI179),"")</f>
        <v/>
      </c>
      <c r="DK179">
        <f>IF($DD179="","",$W179-$DD179-$AB179)</f>
        <v/>
      </c>
      <c r="DL179">
        <f>IF(AND($E179="post",$DD179&lt;&gt;"",$B179&lt;TODAY()),1,0)</f>
        <v/>
      </c>
      <c r="DM179">
        <f>IF($DL179=1,COUNTIF($DL179:$DL$183,1),0)</f>
        <v/>
      </c>
      <c r="DN179">
        <f>IF($D179=1,"",IF($E179="pre","History only",IF($DT179=1,IF($DD179="","⚠ Previous month missing",IF($DD179&lt;0,"⚠ Check: spending &lt; 0",IF($E179="open","✓ Done (partial)","✓ Done"))),IF($B179&gt;=TODAY(),"In progress","⚠ Needs balances"))))</f>
        <v/>
      </c>
      <c r="DO179">
        <f>YEAR($A179)</f>
        <v/>
      </c>
      <c r="DP179">
        <f>DATE(YEAR($A179),INT((MONTH($A179)-1)/3)*3+1,1)</f>
        <v/>
      </c>
      <c r="DQ179">
        <f>IF(AND($DT179=1,$DD179&lt;&gt;"",$D179=0),ROW(),0)</f>
        <v/>
      </c>
      <c r="DR179">
        <f>IF(AND($E179&lt;&gt;"pre",$B179&lt;TODAY(),$DT179=0),1,0)</f>
        <v/>
      </c>
      <c r="DS179">
        <f>IF($DJ179="",NA(),$DJ179)</f>
        <v/>
      </c>
      <c r="DT179">
        <f>IF(AND($E179&lt;&gt;"pre",$CL179=0,COUNTIFS(Settings!$F$19:$F$32,"Yes",Settings!$A$19:$A$32,"&lt;&gt;",Settings!$E$19:$E$32,"&lt;&gt;No")&gt;0),1,0)</f>
        <v/>
      </c>
      <c r="DU179">
        <f>IF(AND($B179&lt;TODAY(),$S179&gt;0),1,0)</f>
        <v/>
      </c>
      <c r="DV179">
        <f>IF($DU179=1,COUNTIF($DU179:$DU$183,1),0)</f>
        <v/>
      </c>
      <c r="DW179">
        <f>IF(AND(OR(Settings!$B$19="Card",Settings!$B$19="Loan"),AND('Month-End'!$FT$7&lt;&gt;"",NOT(_xlfn.ISFORMULA('Month-End'!$FT$7)))),IF(N('Month-End'!$FT$7)&lt;0,1,0),0)+IF(AND(OR(Settings!$B$20="Card",Settings!$B$20="Loan"),AND('Month-End'!$FT$8&lt;&gt;"",NOT(_xlfn.ISFORMULA('Month-End'!$FT$8)))),IF(N('Month-End'!$FT$8)&lt;0,1,0),0)+IF(AND(OR(Settings!$B$21="Card",Settings!$B$21="Loan"),AND('Month-End'!$FT$9&lt;&gt;"",NOT(_xlfn.ISFORMULA('Month-End'!$FT$9)))),IF(N('Month-End'!$FT$9)&lt;0,1,0),0)+IF(AND(OR(Settings!$B$22="Card",Settings!$B$22="Loan"),AND('Month-End'!$FT$10&lt;&gt;"",NOT(_xlfn.ISFORMULA('Month-End'!$FT$10)))),IF(N('Month-End'!$FT$10)&lt;0,1,0),0)+IF(AND(OR(Settings!$B$23="Card",Settings!$B$23="Loan"),AND('Month-End'!$FT$11&lt;&gt;"",NOT(_xlfn.ISFORMULA('Month-End'!$FT$11)))),IF(N('Month-End'!$FT$11)&lt;0,1,0),0)+IF(AND(OR(Settings!$B$24="Card",Settings!$B$24="Loan"),AND('Month-End'!$FT$12&lt;&gt;"",NOT(_xlfn.ISFORMULA('Month-End'!$FT$12)))),IF(N('Month-End'!$FT$12)&lt;0,1,0),0)+IF(AND(OR(Settings!$B$25="Card",Settings!$B$25="Loan"),AND('Month-End'!$FT$13&lt;&gt;"",NOT(_xlfn.ISFORMULA('Month-End'!$FT$13)))),IF(N('Month-End'!$FT$13)&lt;0,1,0),0)+IF(AND(OR(Settings!$B$26="Card",Settings!$B$26="Loan"),AND('Month-End'!$FT$14&lt;&gt;"",NOT(_xlfn.ISFORMULA('Month-End'!$FT$14)))),IF(N('Month-End'!$FT$14)&lt;0,1,0),0)+IF(AND(OR(Settings!$B$27="Card",Settings!$B$27="Loan"),AND('Month-End'!$FT$15&lt;&gt;"",NOT(_xlfn.ISFORMULA('Month-End'!$FT$15)))),IF(N('Month-End'!$FT$15)&lt;0,1,0),0)+IF(AND(OR(Settings!$B$28="Card",Settings!$B$28="Loan"),AND('Month-End'!$FT$16&lt;&gt;"",NOT(_xlfn.ISFORMULA('Month-End'!$FT$16)))),IF(N('Month-End'!$FT$16)&lt;0,1,0),0)+IF(AND(OR(Settings!$B$29="Card",Settings!$B$29="Loan"),AND('Month-End'!$FT$17&lt;&gt;"",NOT(_xlfn.ISFORMULA('Month-End'!$FT$17)))),IF(N('Month-End'!$FT$17)&lt;0,1,0),0)+IF(AND(OR(Settings!$B$30="Card",Settings!$B$30="Loan"),AND('Month-End'!$FT$18&lt;&gt;"",NOT(_xlfn.ISFORMULA('Month-End'!$FT$18)))),IF(N('Month-End'!$FT$18)&lt;0,1,0),0)+IF(AND(OR(Settings!$B$31="Card",Settings!$B$31="Loan"),AND('Month-End'!$FT$19&lt;&gt;"",NOT(_xlfn.ISFORMULA('Month-End'!$FT$19)))),IF(N('Month-End'!$FT$19)&lt;0,1,0),0)+IF(AND(OR(Settings!$B$32="Card",Settings!$B$32="Loan"),AND('Month-End'!$FT$20&lt;&gt;"",NOT(_xlfn.ISFORMULA('Month-End'!$FT$20)))),IF(N('Month-End'!$FT$20)&lt;0,1,0),0)</f>
        <v/>
      </c>
      <c r="DX179">
        <f>IF(Settings!$B$36="Retirement",$AY179,0)+IF(Settings!$B$37="Retirement",$AZ179,0)+IF(Settings!$B$38="Retirement",$BA179,0)+IF(Settings!$B$39="Retirement",$BB179,0)+IF(Settings!$B$40="Retirement",$BC179,0)+IF(Settings!$B$41="Retirement",$BD179,0)</f>
        <v/>
      </c>
      <c r="ET179">
        <f>IF($E179&lt;&gt;"open",0,IF(AND('Month-End'!$FT$22&lt;&gt;"",NOT(_xlfn.ISFORMULA('Month-End'!$FT$22))),0,IF(OR(Settings!$C$45="",Settings!$D$45=""),0,Settings!$C$45*IF(Settings!$D$45="Weekly",IF(IFERROR(MATCH(Settings!$E$45,$EO$4:$EO$10,0),0)=0,0,IF(MIN(Settings!$B$5,IF(Settings!$G$45="",Settings!$B$5,Settings!$G$45))&lt;MAX($A179,Settings!$F$45),0,INT((MIN(Settings!$B$5,IF(Settings!$G$45="",Settings!$B$5,Settings!$G$45))-MAX($A179,Settings!$F$45)-MOD(IFERROR(MATCH(Settings!$E$45,$EO$4:$EO$10,0),0)-WEEKDAY(MAX($A179,Settings!$F$45)),7))/7)+1)),IF(AND(IF(Settings!$E$45="",$B179,DATE(YEAR($A179),MONTH($A179),MIN(Settings!$E$45,DAY($B179))))&gt;=MAX($A179,Settings!$F$45),IF(Settings!$E$45="",$B179,DATE(YEAR($A179),MONTH($A179),MIN(Settings!$E$45,DAY($B179))))&lt;=MIN(Settings!$B$5,IF(Settings!$G$45="",Settings!$B$5,Settings!$G$45))),1,0)))))</f>
        <v/>
      </c>
      <c r="EU179">
        <f>IF($E179&lt;&gt;"open",0,IF(AND('Month-End'!$FT$23&lt;&gt;"",NOT(_xlfn.ISFORMULA('Month-End'!$FT$23))),0,IF(OR(Settings!$C$46="",Settings!$D$46=""),0,Settings!$C$46*IF(Settings!$D$46="Weekly",IF(IFERROR(MATCH(Settings!$E$46,$EO$4:$EO$10,0),0)=0,0,IF(MIN(Settings!$B$5,IF(Settings!$G$46="",Settings!$B$5,Settings!$G$46))&lt;MAX($A179,Settings!$F$46),0,INT((MIN(Settings!$B$5,IF(Settings!$G$46="",Settings!$B$5,Settings!$G$46))-MAX($A179,Settings!$F$46)-MOD(IFERROR(MATCH(Settings!$E$46,$EO$4:$EO$10,0),0)-WEEKDAY(MAX($A179,Settings!$F$46)),7))/7)+1)),IF(AND(IF(Settings!$E$46="",$B179,DATE(YEAR($A179),MONTH($A179),MIN(Settings!$E$46,DAY($B179))))&gt;=MAX($A179,Settings!$F$46),IF(Settings!$E$46="",$B179,DATE(YEAR($A179),MONTH($A179),MIN(Settings!$E$46,DAY($B179))))&lt;=MIN(Settings!$B$5,IF(Settings!$G$46="",Settings!$B$5,Settings!$G$46))),1,0)))))</f>
        <v/>
      </c>
      <c r="EV179">
        <f>IF($E179&lt;&gt;"open",0,IF(AND('Month-End'!$FT$24&lt;&gt;"",NOT(_xlfn.ISFORMULA('Month-End'!$FT$24))),0,IF(OR(Settings!$C$47="",Settings!$D$47=""),0,Settings!$C$47*IF(Settings!$D$47="Weekly",IF(IFERROR(MATCH(Settings!$E$47,$EO$4:$EO$10,0),0)=0,0,IF(MIN(Settings!$B$5,IF(Settings!$G$47="",Settings!$B$5,Settings!$G$47))&lt;MAX($A179,Settings!$F$47),0,INT((MIN(Settings!$B$5,IF(Settings!$G$47="",Settings!$B$5,Settings!$G$47))-MAX($A179,Settings!$F$47)-MOD(IFERROR(MATCH(Settings!$E$47,$EO$4:$EO$10,0),0)-WEEKDAY(MAX($A179,Settings!$F$47)),7))/7)+1)),IF(AND(IF(Settings!$E$47="",$B179,DATE(YEAR($A179),MONTH($A179),MIN(Settings!$E$47,DAY($B179))))&gt;=MAX($A179,Settings!$F$47),IF(Settings!$E$47="",$B179,DATE(YEAR($A179),MONTH($A179),MIN(Settings!$E$47,DAY($B179))))&lt;=MIN(Settings!$B$5,IF(Settings!$G$47="",Settings!$B$5,Settings!$G$47))),1,0)))))</f>
        <v/>
      </c>
      <c r="EW179">
        <f>IF($E179&lt;&gt;"open",0,IF(AND('Month-End'!$FT$25&lt;&gt;"",NOT(_xlfn.ISFORMULA('Month-End'!$FT$25))),0,IF(OR(Settings!$C$48="",Settings!$D$48=""),0,Settings!$C$48*IF(Settings!$D$48="Weekly",IF(IFERROR(MATCH(Settings!$E$48,$EO$4:$EO$10,0),0)=0,0,IF(MIN(Settings!$B$5,IF(Settings!$G$48="",Settings!$B$5,Settings!$G$48))&lt;MAX($A179,Settings!$F$48),0,INT((MIN(Settings!$B$5,IF(Settings!$G$48="",Settings!$B$5,Settings!$G$48))-MAX($A179,Settings!$F$48)-MOD(IFERROR(MATCH(Settings!$E$48,$EO$4:$EO$10,0),0)-WEEKDAY(MAX($A179,Settings!$F$48)),7))/7)+1)),IF(AND(IF(Settings!$E$48="",$B179,DATE(YEAR($A179),MONTH($A179),MIN(Settings!$E$48,DAY($B179))))&gt;=MAX($A179,Settings!$F$48),IF(Settings!$E$48="",$B179,DATE(YEAR($A179),MONTH($A179),MIN(Settings!$E$48,DAY($B179))))&lt;=MIN(Settings!$B$5,IF(Settings!$G$48="",Settings!$B$5,Settings!$G$48))),1,0)))))</f>
        <v/>
      </c>
      <c r="EX179">
        <f>IF($E179&lt;&gt;"open",0,IF(AND('Month-End'!$FT$26&lt;&gt;"",NOT(_xlfn.ISFORMULA('Month-End'!$FT$26))),0,IF(OR(Settings!$C$49="",Settings!$D$49=""),0,Settings!$C$49*IF(Settings!$D$49="Weekly",IF(IFERROR(MATCH(Settings!$E$49,$EO$4:$EO$10,0),0)=0,0,IF(MIN(Settings!$B$5,IF(Settings!$G$49="",Settings!$B$5,Settings!$G$49))&lt;MAX($A179,Settings!$F$49),0,INT((MIN(Settings!$B$5,IF(Settings!$G$49="",Settings!$B$5,Settings!$G$49))-MAX($A179,Settings!$F$49)-MOD(IFERROR(MATCH(Settings!$E$49,$EO$4:$EO$10,0),0)-WEEKDAY(MAX($A179,Settings!$F$49)),7))/7)+1)),IF(AND(IF(Settings!$E$49="",$B179,DATE(YEAR($A179),MONTH($A179),MIN(Settings!$E$49,DAY($B179))))&gt;=MAX($A179,Settings!$F$49),IF(Settings!$E$49="",$B179,DATE(YEAR($A179),MONTH($A179),MIN(Settings!$E$49,DAY($B179))))&lt;=MIN(Settings!$B$5,IF(Settings!$G$49="",Settings!$B$5,Settings!$G$49))),1,0)))))</f>
        <v/>
      </c>
      <c r="EY179">
        <f>IF($E179&lt;&gt;"open",0,IF(AND('Month-End'!$FT$27&lt;&gt;"",NOT(_xlfn.ISFORMULA('Month-End'!$FT$27))),0,IF(OR(Settings!$C$50="",Settings!$D$50=""),0,Settings!$C$50*IF(Settings!$D$50="Weekly",IF(IFERROR(MATCH(Settings!$E$50,$EO$4:$EO$10,0),0)=0,0,IF(MIN(Settings!$B$5,IF(Settings!$G$50="",Settings!$B$5,Settings!$G$50))&lt;MAX($A179,Settings!$F$50),0,INT((MIN(Settings!$B$5,IF(Settings!$G$50="",Settings!$B$5,Settings!$G$50))-MAX($A179,Settings!$F$50)-MOD(IFERROR(MATCH(Settings!$E$50,$EO$4:$EO$10,0),0)-WEEKDAY(MAX($A179,Settings!$F$50)),7))/7)+1)),IF(AND(IF(Settings!$E$50="",$B179,DATE(YEAR($A179),MONTH($A179),MIN(Settings!$E$50,DAY($B179))))&gt;=MAX($A179,Settings!$F$50),IF(Settings!$E$50="",$B179,DATE(YEAR($A179),MONTH($A179),MIN(Settings!$E$50,DAY($B179))))&lt;=MIN(Settings!$B$5,IF(Settings!$G$50="",Settings!$B$5,Settings!$G$50))),1,0)))))</f>
        <v/>
      </c>
      <c r="EZ179">
        <f>IF($E179&lt;&gt;"open",0,IF(AND('Month-End'!$FT$28&lt;&gt;"",NOT(_xlfn.ISFORMULA('Month-End'!$FT$28))),0,IF(OR(Settings!$C$51="",Settings!$D$51=""),0,Settings!$C$51*IF(Settings!$D$51="Weekly",IF(IFERROR(MATCH(Settings!$E$51,$EO$4:$EO$10,0),0)=0,0,IF(MIN(Settings!$B$5,IF(Settings!$G$51="",Settings!$B$5,Settings!$G$51))&lt;MAX($A179,Settings!$F$51),0,INT((MIN(Settings!$B$5,IF(Settings!$G$51="",Settings!$B$5,Settings!$G$51))-MAX($A179,Settings!$F$51)-MOD(IFERROR(MATCH(Settings!$E$51,$EO$4:$EO$10,0),0)-WEEKDAY(MAX($A179,Settings!$F$51)),7))/7)+1)),IF(AND(IF(Settings!$E$51="",$B179,DATE(YEAR($A179),MONTH($A179),MIN(Settings!$E$51,DAY($B179))))&gt;=MAX($A179,Settings!$F$51),IF(Settings!$E$51="",$B179,DATE(YEAR($A179),MONTH($A179),MIN(Settings!$E$51,DAY($B179))))&lt;=MIN(Settings!$B$5,IF(Settings!$G$51="",Settings!$B$5,Settings!$G$51))),1,0)))))</f>
        <v/>
      </c>
      <c r="FA179">
        <f>IF($E179&lt;&gt;"open",0,IF(AND('Month-End'!$FT$29&lt;&gt;"",NOT(_xlfn.ISFORMULA('Month-End'!$FT$29))),0,IF(OR(Settings!$C$52="",Settings!$D$52=""),0,Settings!$C$52*IF(Settings!$D$52="Weekly",IF(IFERROR(MATCH(Settings!$E$52,$EO$4:$EO$10,0),0)=0,0,IF(MIN(Settings!$B$5,IF(Settings!$G$52="",Settings!$B$5,Settings!$G$52))&lt;MAX($A179,Settings!$F$52),0,INT((MIN(Settings!$B$5,IF(Settings!$G$52="",Settings!$B$5,Settings!$G$52))-MAX($A179,Settings!$F$52)-MOD(IFERROR(MATCH(Settings!$E$52,$EO$4:$EO$10,0),0)-WEEKDAY(MAX($A179,Settings!$F$52)),7))/7)+1)),IF(AND(IF(Settings!$E$52="",$B179,DATE(YEAR($A179),MONTH($A179),MIN(Settings!$E$52,DAY($B179))))&gt;=MAX($A179,Settings!$F$52),IF(Settings!$E$52="",$B179,DATE(YEAR($A179),MONTH($A179),MIN(Settings!$E$52,DAY($B179))))&lt;=MIN(Settings!$B$5,IF(Settings!$G$52="",Settings!$B$5,Settings!$G$52))),1,0)))))</f>
        <v/>
      </c>
      <c r="FB179">
        <f>IF($E179&lt;&gt;"open",0,IF(AND('Month-End'!$FT$30&lt;&gt;"",NOT(_xlfn.ISFORMULA('Month-End'!$FT$30))),0,IF(OR(Settings!$C$53="",Settings!$D$53=""),0,Settings!$C$53*IF(Settings!$D$53="Weekly",IF(IFERROR(MATCH(Settings!$E$53,$EO$4:$EO$10,0),0)=0,0,IF(MIN(Settings!$B$5,IF(Settings!$G$53="",Settings!$B$5,Settings!$G$53))&lt;MAX($A179,Settings!$F$53),0,INT((MIN(Settings!$B$5,IF(Settings!$G$53="",Settings!$B$5,Settings!$G$53))-MAX($A179,Settings!$F$53)-MOD(IFERROR(MATCH(Settings!$E$53,$EO$4:$EO$10,0),0)-WEEKDAY(MAX($A179,Settings!$F$53)),7))/7)+1)),IF(AND(IF(Settings!$E$53="",$B179,DATE(YEAR($A179),MONTH($A179),MIN(Settings!$E$53,DAY($B179))))&gt;=MAX($A179,Settings!$F$53),IF(Settings!$E$53="",$B179,DATE(YEAR($A179),MONTH($A179),MIN(Settings!$E$53,DAY($B179))))&lt;=MIN(Settings!$B$5,IF(Settings!$G$53="",Settings!$B$5,Settings!$G$53))),1,0)))))</f>
        <v/>
      </c>
      <c r="FC179">
        <f>IF($E179&lt;&gt;"open",0,IF(AND('Month-End'!$FT$31&lt;&gt;"",NOT(_xlfn.ISFORMULA('Month-End'!$FT$31))),0,IF(OR(Settings!$C$54="",Settings!$D$54=""),0,Settings!$C$54*IF(Settings!$D$54="Weekly",IF(IFERROR(MATCH(Settings!$E$54,$EO$4:$EO$10,0),0)=0,0,IF(MIN(Settings!$B$5,IF(Settings!$G$54="",Settings!$B$5,Settings!$G$54))&lt;MAX($A179,Settings!$F$54),0,INT((MIN(Settings!$B$5,IF(Settings!$G$54="",Settings!$B$5,Settings!$G$54))-MAX($A179,Settings!$F$54)-MOD(IFERROR(MATCH(Settings!$E$54,$EO$4:$EO$10,0),0)-WEEKDAY(MAX($A179,Settings!$F$54)),7))/7)+1)),IF(AND(IF(Settings!$E$54="",$B179,DATE(YEAR($A179),MONTH($A179),MIN(Settings!$E$54,DAY($B179))))&gt;=MAX($A179,Settings!$F$54),IF(Settings!$E$54="",$B179,DATE(YEAR($A179),MONTH($A179),MIN(Settings!$E$54,DAY($B179))))&lt;=MIN(Settings!$B$5,IF(Settings!$G$54="",Settings!$B$5,Settings!$G$54))),1,0)))))</f>
        <v/>
      </c>
      <c r="FD179">
        <f>IF($E179&lt;&gt;"open",0,IF(AND('Month-End'!$FT$32&lt;&gt;"",NOT(_xlfn.ISFORMULA('Month-End'!$FT$32))),0,IF(OR(Settings!$C$55="",Settings!$D$55=""),0,Settings!$C$55*IF(Settings!$D$55="Weekly",IF(IFERROR(MATCH(Settings!$E$55,$EO$4:$EO$10,0),0)=0,0,IF(MIN(Settings!$B$5,IF(Settings!$G$55="",Settings!$B$5,Settings!$G$55))&lt;MAX($A179,Settings!$F$55),0,INT((MIN(Settings!$B$5,IF(Settings!$G$55="",Settings!$B$5,Settings!$G$55))-MAX($A179,Settings!$F$55)-MOD(IFERROR(MATCH(Settings!$E$55,$EO$4:$EO$10,0),0)-WEEKDAY(MAX($A179,Settings!$F$55)),7))/7)+1)),IF(AND(IF(Settings!$E$55="",$B179,DATE(YEAR($A179),MONTH($A179),MIN(Settings!$E$55,DAY($B179))))&gt;=MAX($A179,Settings!$F$55),IF(Settings!$E$55="",$B179,DATE(YEAR($A179),MONTH($A179),MIN(Settings!$E$55,DAY($B179))))&lt;=MIN(Settings!$B$5,IF(Settings!$G$55="",Settings!$B$5,Settings!$G$55))),1,0)))))</f>
        <v/>
      </c>
      <c r="FE179">
        <f>IF($E179&lt;&gt;"open",0,IF(AND('Month-End'!$FT$33&lt;&gt;"",NOT(_xlfn.ISFORMULA('Month-End'!$FT$33))),0,IF(OR(Settings!$C$56="",Settings!$D$56=""),0,Settings!$C$56*IF(Settings!$D$56="Weekly",IF(IFERROR(MATCH(Settings!$E$56,$EO$4:$EO$10,0),0)=0,0,IF(MIN(Settings!$B$5,IF(Settings!$G$56="",Settings!$B$5,Settings!$G$56))&lt;MAX($A179,Settings!$F$56),0,INT((MIN(Settings!$B$5,IF(Settings!$G$56="",Settings!$B$5,Settings!$G$56))-MAX($A179,Settings!$F$56)-MOD(IFERROR(MATCH(Settings!$E$56,$EO$4:$EO$10,0),0)-WEEKDAY(MAX($A179,Settings!$F$56)),7))/7)+1)),IF(AND(IF(Settings!$E$56="",$B179,DATE(YEAR($A179),MONTH($A179),MIN(Settings!$E$56,DAY($B179))))&gt;=MAX($A179,Settings!$F$56),IF(Settings!$E$56="",$B179,DATE(YEAR($A179),MONTH($A179),MIN(Settings!$E$56,DAY($B179))))&lt;=MIN(Settings!$B$5,IF(Settings!$G$56="",Settings!$B$5,Settings!$G$56))),1,0)))))</f>
        <v/>
      </c>
      <c r="FF179">
        <f>IF(Settings!$I$45="Yes",$G179,0)+IF(Settings!$I$46="Yes",$H179,0)+IF(Settings!$I$47="Yes",$I179,0)+IF(Settings!$I$48="Yes",$J179,0)+IF(Settings!$I$49="Yes",$K179,0)+IF(Settings!$I$50="Yes",$L179,0)+IF(Settings!$I$51="Yes",$M179,0)+IF(Settings!$I$52="Yes",$N179,0)+IF(Settings!$I$53="Yes",$O179,0)+IF(Settings!$I$54="Yes",$P179,0)+IF(Settings!$I$55="Yes",$Q179,0)+IF(Settings!$I$56="Yes",$R179,0)</f>
        <v/>
      </c>
      <c r="FG179">
        <f>IF(AND(Settings!$I$45="Yes",Settings!$J$45="No"),$G179,0)+IF(AND(Settings!$I$46="Yes",Settings!$J$46="No"),$H179,0)+IF(AND(Settings!$I$47="Yes",Settings!$J$47="No"),$I179,0)+IF(AND(Settings!$I$48="Yes",Settings!$J$48="No"),$J179,0)+IF(AND(Settings!$I$49="Yes",Settings!$J$49="No"),$K179,0)+IF(AND(Settings!$I$50="Yes",Settings!$J$50="No"),$L179,0)+IF(AND(Settings!$I$51="Yes",Settings!$J$51="No"),$M179,0)+IF(AND(Settings!$I$52="Yes",Settings!$J$52="No"),$N179,0)+IF(AND(Settings!$I$53="Yes",Settings!$J$53="No"),$O179,0)+IF(AND(Settings!$I$54="Yes",Settings!$J$54="No"),$P179,0)+IF(AND(Settings!$I$55="Yes",Settings!$J$55="No"),$Q179,0)+IF(AND(Settings!$I$56="Yes",Settings!$J$56="No"),$R179,0)</f>
        <v/>
      </c>
      <c r="FH179">
        <f>SUMIFS(Giving!$B$7:$B$2006,Giving!$A$7:$A$2006,"&gt;="&amp;$A179,Giving!$A$7:$A$2006,"&lt;="&amp;$B179,Giving!$G$7:$G$2006,"Yes")+IF(OR(OR(Settings!$B$60="",Settings!$F$60="No"),Settings!$H$60&lt;&gt;"Yes"),0,Settings!$B$60*IF(AND(IF(Settings!$C$60="",$B179,DATE(YEAR($A179),MONTH($A179),MIN(Settings!$C$60,DAY($B179))))&gt;=MAX($A179,Settings!$D$60),IF(Settings!$C$60="",$B179,DATE(YEAR($A179),MONTH($A179),MIN(Settings!$C$60,DAY($B179))))&lt;=MIN($C179,IF(Settings!$E$60="",$C179,Settings!$E$60))),1,0))+IF(OR(OR(Settings!$B$61="",Settings!$F$61="No"),Settings!$H$61&lt;&gt;"Yes"),0,Settings!$B$61*IF(AND(IF(Settings!$C$61="",$B179,DATE(YEAR($A179),MONTH($A179),MIN(Settings!$C$61,DAY($B179))))&gt;=MAX($A179,Settings!$D$61),IF(Settings!$C$61="",$B179,DATE(YEAR($A179),MONTH($A179),MIN(Settings!$C$61,DAY($B179))))&lt;=MIN($C179,IF(Settings!$E$61="",$C179,Settings!$E$61))),1,0))+IF(OR(OR(Settings!$B$62="",Settings!$F$62="No"),Settings!$H$62&lt;&gt;"Yes"),0,Settings!$B$62*IF(AND(IF(Settings!$C$62="",$B179,DATE(YEAR($A179),MONTH($A179),MIN(Settings!$C$62,DAY($B179))))&gt;=MAX($A179,Settings!$D$62),IF(Settings!$C$62="",$B179,DATE(YEAR($A179),MONTH($A179),MIN(Settings!$C$62,DAY($B179))))&lt;=MIN($C179,IF(Settings!$E$62="",$C179,Settings!$E$62))),1,0))+IF(OR(OR(Settings!$B$63="",Settings!$F$63="No"),Settings!$H$63&lt;&gt;"Yes"),0,Settings!$B$63*IF(AND(IF(Settings!$C$63="",$B179,DATE(YEAR($A179),MONTH($A179),MIN(Settings!$C$63,DAY($B179))))&gt;=MAX($A179,Settings!$D$63),IF(Settings!$C$63="",$B179,DATE(YEAR($A179),MONTH($A179),MIN(Settings!$C$63,DAY($B179))))&lt;=MIN($C179,IF(Settings!$E$63="",$C179,Settings!$E$63))),1,0))+IF(OR(OR(Settings!$B$64="",Settings!$F$64="No"),Settings!$H$64&lt;&gt;"Yes"),0,Settings!$B$64*IF(AND(IF(Settings!$C$64="",$B179,DATE(YEAR($A179),MONTH($A179),MIN(Settings!$C$64,DAY($B179))))&gt;=MAX($A179,Settings!$D$64),IF(Settings!$C$64="",$B179,DATE(YEAR($A179),MONTH($A179),MIN(Settings!$C$64,DAY($B179))))&lt;=MIN($C179,IF(Settings!$E$64="",$C179,Settings!$E$64))),1,0))+IF(OR(OR(Settings!$B$65="",Settings!$F$65="No"),Settings!$H$65&lt;&gt;"Yes"),0,Settings!$B$65*IF(AND(IF(Settings!$C$65="",$B179,DATE(YEAR($A179),MONTH($A179),MIN(Settings!$C$65,DAY($B179))))&gt;=MAX($A179,Settings!$D$65),IF(Settings!$C$65="",$B179,DATE(YEAR($A179),MONTH($A179),MIN(Settings!$C$65,DAY($B179))))&lt;=MIN($C179,IF(Settings!$E$65="",$C179,Settings!$E$65))),1,0))</f>
        <v/>
      </c>
      <c r="FI179">
        <f>IF($DT179=1,IF(OR(Settings!$B$19="Card",Settings!$B$19="Loan"),N($AE179),0)+IF(OR(Settings!$B$20="Card",Settings!$B$20="Loan"),N($AF179),0)+IF(OR(Settings!$B$21="Card",Settings!$B$21="Loan"),N($AG179),0)+IF(OR(Settings!$B$22="Card",Settings!$B$22="Loan"),N($AH179),0)+IF(OR(Settings!$B$23="Card",Settings!$B$23="Loan"),N($AI179),0)+IF(OR(Settings!$B$24="Card",Settings!$B$24="Loan"),N($AJ179),0)+IF(OR(Settings!$B$25="Card",Settings!$B$25="Loan"),N($AK179),0)+IF(OR(Settings!$B$26="Card",Settings!$B$26="Loan"),N($AL179),0)+IF(OR(Settings!$B$27="Card",Settings!$B$27="Loan"),N($AM179),0)+IF(OR(Settings!$B$28="Card",Settings!$B$28="Loan"),N($AN179),0)+IF(OR(Settings!$B$29="Card",Settings!$B$29="Loan"),N($AO179),0)+IF(OR(Settings!$B$30="Card",Settings!$B$30="Loan"),N($AP179),0)+IF(OR(Settings!$B$31="Card",Settings!$B$31="Loan"),N($AQ179),0)+IF(OR(Settings!$B$32="Card",Settings!$B$32="Loan"),N($AR179),0),"")</f>
        <v/>
      </c>
      <c r="FJ179">
        <f>IF($E179="open",$EB$65,IF($E179="post",IF($E178="pre",$EB$65,$FI178),""))</f>
        <v/>
      </c>
      <c r="FK179">
        <f>IF(AND($DT179=1,$DC179=1),IF(ROUND($FI179-$FJ179,2)&gt;0,1,0),0)</f>
        <v/>
      </c>
      <c r="FL179">
        <f>IF($FK179=1,$FL178+1,0)</f>
        <v/>
      </c>
    </row>
    <row r="180">
      <c r="A180">
        <f>'Month-End'!$FU$4</f>
        <v/>
      </c>
      <c r="B180">
        <f>EOMONTH($A180,0)</f>
        <v/>
      </c>
      <c r="C180">
        <f>MIN($B180,TODAY())</f>
        <v/>
      </c>
      <c r="D180">
        <f>IF($A180&gt;TODAY(),1,0)</f>
        <v/>
      </c>
      <c r="E180">
        <f>IF($B180&lt;=Settings!$B$5,"pre",IF($A180&lt;=Settings!$B$5,"open","post"))</f>
        <v/>
      </c>
      <c r="G180">
        <f>IF('Month-End'!$FU$22="",$BE180,N('Month-End'!$FU$22))</f>
        <v/>
      </c>
      <c r="H180">
        <f>IF('Month-End'!$FU$23="",$BF180,N('Month-End'!$FU$23))</f>
        <v/>
      </c>
      <c r="I180">
        <f>IF('Month-End'!$FU$24="",$BG180,N('Month-End'!$FU$24))</f>
        <v/>
      </c>
      <c r="J180">
        <f>IF('Month-End'!$FU$25="",$BH180,N('Month-End'!$FU$25))</f>
        <v/>
      </c>
      <c r="K180">
        <f>IF('Month-End'!$FU$26="",$BI180,N('Month-End'!$FU$26))</f>
        <v/>
      </c>
      <c r="L180">
        <f>IF('Month-End'!$FU$27="",$BJ180,N('Month-End'!$FU$27))</f>
        <v/>
      </c>
      <c r="M180">
        <f>IF('Month-End'!$FU$28="",$BK180,N('Month-End'!$FU$28))</f>
        <v/>
      </c>
      <c r="N180">
        <f>IF('Month-End'!$FU$29="",$BL180,N('Month-End'!$FU$29))</f>
        <v/>
      </c>
      <c r="O180">
        <f>IF('Month-End'!$FU$30="",$BM180,N('Month-End'!$FU$30))</f>
        <v/>
      </c>
      <c r="P180">
        <f>IF('Month-End'!$FU$31="",$BN180,N('Month-End'!$FU$31))</f>
        <v/>
      </c>
      <c r="Q180">
        <f>IF('Month-End'!$FU$32="",$BO180,N('Month-End'!$FU$32))</f>
        <v/>
      </c>
      <c r="R180">
        <f>IF('Month-End'!$FU$33="",$BP180,N('Month-End'!$FU$33))</f>
        <v/>
      </c>
      <c r="S180">
        <f>$G180+$H180+$I180+$J180+$K180+$L180+$M180+$N180+$O180+$P180+$Q180+$R180</f>
        <v/>
      </c>
      <c r="T180">
        <f>IF($B180&lt;Settings!$B$6,0,IF(Settings!$B$45="Yes",$G180,0)+IF(Settings!$B$46="Yes",$H180,0)+IF(Settings!$B$47="Yes",$I180,0)+IF(Settings!$B$48="Yes",$J180,0)+IF(Settings!$B$49="Yes",$K180,0)+IF(Settings!$B$50="Yes",$L180,0)+IF(Settings!$B$51="Yes",$M180,0)+IF(Settings!$B$52="Yes",$N180,0)+IF(Settings!$B$53="Yes",$O180,0)+IF(Settings!$B$54="Yes",$P180,0)+IF(Settings!$B$55="Yes",$Q180,0)+IF(Settings!$B$56="Yes",$R180,0))</f>
        <v/>
      </c>
      <c r="U180">
        <f>IF(Settings!$B$45="Not Sure",$G180,0)+IF(Settings!$B$46="Not Sure",$H180,0)+IF(Settings!$B$47="Not Sure",$I180,0)+IF(Settings!$B$48="Not Sure",$J180,0)+IF(Settings!$B$49="Not Sure",$K180,0)+IF(Settings!$B$50="Not Sure",$L180,0)+IF(Settings!$B$51="Not Sure",$M180,0)+IF(Settings!$B$52="Not Sure",$N180,0)+IF(Settings!$B$53="Not Sure",$O180,0)+IF(Settings!$B$54="Not Sure",$P180,0)+IF(Settings!$B$55="Not Sure",$Q180,0)+IF(Settings!$B$56="Not Sure",$R180,0)</f>
        <v/>
      </c>
      <c r="V180">
        <f>IF($E180="open",SUM($ET180:$FE180)+N(Settings!$B$13),0)</f>
        <v/>
      </c>
      <c r="W180">
        <f>IF($E180="post",$S180,IF($E180="open",$S180-$V180,0))</f>
        <v/>
      </c>
      <c r="X180">
        <f>SUMIFS(Giving!$B$7:$B$2006,Giving!$A$7:$A$2006,"&gt;="&amp;$A180,Giving!$A$7:$A$2006,"&lt;="&amp;$B180,Giving!$E$7:$E$2006,"&lt;&gt;No")</f>
        <v/>
      </c>
      <c r="Y180">
        <f>SUMIFS(Giving!$B$7:$B$2006,Giving!$A$7:$A$2006,"&gt;="&amp;$A180,Giving!$A$7:$A$2006,"&lt;="&amp;$B180,Giving!$E$7:$E$2006,"No")</f>
        <v/>
      </c>
      <c r="Z180">
        <f>IF(OR(Settings!$B$60="",Settings!$F$60="No"),0,Settings!$B$60*IF(AND(IF(Settings!$C$60="",$B180,DATE(YEAR($A180),MONTH($A180),MIN(Settings!$C$60,DAY($B180))))&gt;=MAX($A180,Settings!$D$60),IF(Settings!$C$60="",$B180,DATE(YEAR($A180),MONTH($A180),MIN(Settings!$C$60,DAY($B180))))&lt;=MIN($C180,IF(Settings!$E$60="",$C180,Settings!$E$60))),1,0))+IF(OR(Settings!$B$61="",Settings!$F$61="No"),0,Settings!$B$61*IF(AND(IF(Settings!$C$61="",$B180,DATE(YEAR($A180),MONTH($A180),MIN(Settings!$C$61,DAY($B180))))&gt;=MAX($A180,Settings!$D$61),IF(Settings!$C$61="",$B180,DATE(YEAR($A180),MONTH($A180),MIN(Settings!$C$61,DAY($B180))))&lt;=MIN($C180,IF(Settings!$E$61="",$C180,Settings!$E$61))),1,0))+IF(OR(Settings!$B$62="",Settings!$F$62="No"),0,Settings!$B$62*IF(AND(IF(Settings!$C$62="",$B180,DATE(YEAR($A180),MONTH($A180),MIN(Settings!$C$62,DAY($B180))))&gt;=MAX($A180,Settings!$D$62),IF(Settings!$C$62="",$B180,DATE(YEAR($A180),MONTH($A180),MIN(Settings!$C$62,DAY($B180))))&lt;=MIN($C180,IF(Settings!$E$62="",$C180,Settings!$E$62))),1,0))+IF(OR(Settings!$B$63="",Settings!$F$63="No"),0,Settings!$B$63*IF(AND(IF(Settings!$C$63="",$B180,DATE(YEAR($A180),MONTH($A180),MIN(Settings!$C$63,DAY($B180))))&gt;=MAX($A180,Settings!$D$63),IF(Settings!$C$63="",$B180,DATE(YEAR($A180),MONTH($A180),MIN(Settings!$C$63,DAY($B180))))&lt;=MIN($C180,IF(Settings!$E$63="",$C180,Settings!$E$63))),1,0))+IF(OR(Settings!$B$64="",Settings!$F$64="No"),0,Settings!$B$64*IF(AND(IF(Settings!$C$64="",$B180,DATE(YEAR($A180),MONTH($A180),MIN(Settings!$C$64,DAY($B180))))&gt;=MAX($A180,Settings!$D$64),IF(Settings!$C$64="",$B180,DATE(YEAR($A180),MONTH($A180),MIN(Settings!$C$64,DAY($B180))))&lt;=MIN($C180,IF(Settings!$E$64="",$C180,Settings!$E$64))),1,0))+IF(OR(Settings!$B$65="",Settings!$F$65="No"),0,Settings!$B$65*IF(AND(IF(Settings!$C$65="",$B180,DATE(YEAR($A180),MONTH($A180),MIN(Settings!$C$65,DAY($B180))))&gt;=MAX($A180,Settings!$D$65),IF(Settings!$C$65="",$B180,DATE(YEAR($A180),MONTH($A180),MIN(Settings!$C$65,DAY($B180))))&lt;=MIN($C180,IF(Settings!$E$65="",$C180,Settings!$E$65))),1,0))</f>
        <v/>
      </c>
      <c r="AA180">
        <f>$X180+$Z180</f>
        <v/>
      </c>
      <c r="AB180">
        <f>IF($E180="post",$AA180,IF($E180="open",SUMIFS(Giving!$B$7:$B$2006,Giving!$A$7:$A$2006,"&gt;"&amp;Settings!$B$5,Giving!$A$7:$A$2006,"&lt;="&amp;$B180,Giving!$E$7:$E$2006,"&lt;&gt;No")+IF(OR(Settings!$B$60="",Settings!$F$60="No"),0,Settings!$B$60*IF(AND(IF(Settings!$C$60="",$B180,DATE(YEAR($A180),MONTH($A180),MIN(Settings!$C$60,DAY($B180))))&gt;=MAX($A180,Settings!$D$60,Settings!$B$5+1),IF(Settings!$C$60="",$B180,DATE(YEAR($A180),MONTH($A180),MIN(Settings!$C$60,DAY($B180))))&lt;=MIN($C180,IF(Settings!$E$60="",$C180,Settings!$E$60))),1,0))+IF(OR(Settings!$B$61="",Settings!$F$61="No"),0,Settings!$B$61*IF(AND(IF(Settings!$C$61="",$B180,DATE(YEAR($A180),MONTH($A180),MIN(Settings!$C$61,DAY($B180))))&gt;=MAX($A180,Settings!$D$61,Settings!$B$5+1),IF(Settings!$C$61="",$B180,DATE(YEAR($A180),MONTH($A180),MIN(Settings!$C$61,DAY($B180))))&lt;=MIN($C180,IF(Settings!$E$61="",$C180,Settings!$E$61))),1,0))+IF(OR(Settings!$B$62="",Settings!$F$62="No"),0,Settings!$B$62*IF(AND(IF(Settings!$C$62="",$B180,DATE(YEAR($A180),MONTH($A180),MIN(Settings!$C$62,DAY($B180))))&gt;=MAX($A180,Settings!$D$62,Settings!$B$5+1),IF(Settings!$C$62="",$B180,DATE(YEAR($A180),MONTH($A180),MIN(Settings!$C$62,DAY($B180))))&lt;=MIN($C180,IF(Settings!$E$62="",$C180,Settings!$E$62))),1,0))+IF(OR(Settings!$B$63="",Settings!$F$63="No"),0,Settings!$B$63*IF(AND(IF(Settings!$C$63="",$B180,DATE(YEAR($A180),MONTH($A180),MIN(Settings!$C$63,DAY($B180))))&gt;=MAX($A180,Settings!$D$63,Settings!$B$5+1),IF(Settings!$C$63="",$B180,DATE(YEAR($A180),MONTH($A180),MIN(Settings!$C$63,DAY($B180))))&lt;=MIN($C180,IF(Settings!$E$63="",$C180,Settings!$E$63))),1,0))+IF(OR(Settings!$B$64="",Settings!$F$64="No"),0,Settings!$B$64*IF(AND(IF(Settings!$C$64="",$B180,DATE(YEAR($A180),MONTH($A180),MIN(Settings!$C$64,DAY($B180))))&gt;=MAX($A180,Settings!$D$64,Settings!$B$5+1),IF(Settings!$C$64="",$B180,DATE(YEAR($A180),MONTH($A180),MIN(Settings!$C$64,DAY($B180))))&lt;=MIN($C180,IF(Settings!$E$64="",$C180,Settings!$E$64))),1,0))+IF(OR(Settings!$B$65="",Settings!$F$65="No"),0,Settings!$B$65*IF(AND(IF(Settings!$C$65="",$B180,DATE(YEAR($A180),MONTH($A180),MIN(Settings!$C$65,DAY($B180))))&gt;=MAX($A180,Settings!$D$65,Settings!$B$5+1),IF(Settings!$C$65="",$B180,DATE(YEAR($A180),MONTH($A180),MIN(Settings!$C$65,DAY($B180))))&lt;=MIN($C180,IF(Settings!$E$65="",$C180,Settings!$E$65))),1,0)),0))</f>
        <v/>
      </c>
      <c r="AC180">
        <f>$AY180+$AZ180+$BA180+$BB180+$BC180+$BD180</f>
        <v/>
      </c>
      <c r="AD180">
        <f>$AC180</f>
        <v/>
      </c>
      <c r="AE180">
        <f>IF(OR(Settings!$A$19="",$E180="pre"),"",IF(AND('Month-End'!$FU$7&lt;&gt;"",NOT(_xlfn.ISFORMULA('Month-End'!$FU$7))),N('Month-End'!$FU$7),IF(OR($E180="open",$E179="pre"),N(Settings!$C$19),N($AE179))))</f>
        <v/>
      </c>
      <c r="AF180">
        <f>IF(OR(Settings!$A$20="",$E180="pre"),"",IF(AND('Month-End'!$FU$8&lt;&gt;"",NOT(_xlfn.ISFORMULA('Month-End'!$FU$8))),N('Month-End'!$FU$8),IF(OR($E180="open",$E179="pre"),N(Settings!$C$20),N($AF179))))</f>
        <v/>
      </c>
      <c r="AG180">
        <f>IF(OR(Settings!$A$21="",$E180="pre"),"",IF(AND('Month-End'!$FU$9&lt;&gt;"",NOT(_xlfn.ISFORMULA('Month-End'!$FU$9))),N('Month-End'!$FU$9),IF(OR($E180="open",$E179="pre"),N(Settings!$C$21),N($AG179))))</f>
        <v/>
      </c>
      <c r="AH180">
        <f>IF(OR(Settings!$A$22="",$E180="pre"),"",IF(AND('Month-End'!$FU$10&lt;&gt;"",NOT(_xlfn.ISFORMULA('Month-End'!$FU$10))),N('Month-End'!$FU$10),IF(OR($E180="open",$E179="pre"),N(Settings!$C$22),N($AH179))))</f>
        <v/>
      </c>
      <c r="AI180">
        <f>IF(OR(Settings!$A$23="",$E180="pre"),"",IF(AND('Month-End'!$FU$11&lt;&gt;"",NOT(_xlfn.ISFORMULA('Month-End'!$FU$11))),N('Month-End'!$FU$11),IF(OR($E180="open",$E179="pre"),N(Settings!$C$23),N($AI179))))</f>
        <v/>
      </c>
      <c r="AJ180">
        <f>IF(OR(Settings!$A$24="",$E180="pre"),"",IF(AND('Month-End'!$FU$12&lt;&gt;"",NOT(_xlfn.ISFORMULA('Month-End'!$FU$12))),N('Month-End'!$FU$12),IF(OR($E180="open",$E179="pre"),N(Settings!$C$24),N($AJ179))))</f>
        <v/>
      </c>
      <c r="AK180">
        <f>IF(OR(Settings!$A$25="",$E180="pre"),"",IF(AND('Month-End'!$FU$13&lt;&gt;"",NOT(_xlfn.ISFORMULA('Month-End'!$FU$13))),N('Month-End'!$FU$13),IF(OR($E180="open",$E179="pre"),N(Settings!$C$25),N($AK179))))</f>
        <v/>
      </c>
      <c r="AL180">
        <f>IF(OR(Settings!$A$26="",$E180="pre"),"",IF(AND('Month-End'!$FU$14&lt;&gt;"",NOT(_xlfn.ISFORMULA('Month-End'!$FU$14))),N('Month-End'!$FU$14),IF(OR($E180="open",$E179="pre"),N(Settings!$C$26),N($AL179))))</f>
        <v/>
      </c>
      <c r="AM180">
        <f>IF(OR(Settings!$A$27="",$E180="pre"),"",IF(AND('Month-End'!$FU$15&lt;&gt;"",NOT(_xlfn.ISFORMULA('Month-End'!$FU$15))),N('Month-End'!$FU$15),IF(OR($E180="open",$E179="pre"),N(Settings!$C$27),N($AM179))))</f>
        <v/>
      </c>
      <c r="AN180">
        <f>IF(OR(Settings!$A$28="",$E180="pre"),"",IF(AND('Month-End'!$FU$16&lt;&gt;"",NOT(_xlfn.ISFORMULA('Month-End'!$FU$16))),N('Month-End'!$FU$16),IF(OR($E180="open",$E179="pre"),N(Settings!$C$28),N($AN179))))</f>
        <v/>
      </c>
      <c r="AO180">
        <f>IF(OR(Settings!$A$29="",$E180="pre"),"",IF(AND('Month-End'!$FU$17&lt;&gt;"",NOT(_xlfn.ISFORMULA('Month-End'!$FU$17))),N('Month-End'!$FU$17),IF(OR($E180="open",$E179="pre"),N(Settings!$C$29),N($AO179))))</f>
        <v/>
      </c>
      <c r="AP180">
        <f>IF(OR(Settings!$A$30="",$E180="pre"),"",IF(AND('Month-End'!$FU$18&lt;&gt;"",NOT(_xlfn.ISFORMULA('Month-End'!$FU$18))),N('Month-End'!$FU$18),IF(OR($E180="open",$E179="pre"),N(Settings!$C$30),N($AP179))))</f>
        <v/>
      </c>
      <c r="AQ180">
        <f>IF(OR(Settings!$A$31="",$E180="pre"),"",IF(AND('Month-End'!$FU$19&lt;&gt;"",NOT(_xlfn.ISFORMULA('Month-End'!$FU$19))),N('Month-End'!$FU$19),IF(OR($E180="open",$E179="pre"),N(Settings!$C$31),N($AQ179))))</f>
        <v/>
      </c>
      <c r="AR180">
        <f>IF(OR(Settings!$A$32="",$E180="pre"),"",IF(AND('Month-End'!$FU$20&lt;&gt;"",NOT(_xlfn.ISFORMULA('Month-End'!$FU$20))),N('Month-End'!$FU$20),IF(OR($E180="open",$E179="pre"),N(Settings!$C$32),N($AR179))))</f>
        <v/>
      </c>
      <c r="AS180">
        <f>IF(OR(Settings!$A$36="",$E180="pre"),"",IF(AND('Month-End'!$FU$38&lt;&gt;"",NOT(_xlfn.ISFORMULA('Month-End'!$FU$38))),N('Month-End'!$FU$38),IF(OR($E180="open",$E179="pre"),N(Settings!$C$36),N($AS179))+$AY180))</f>
        <v/>
      </c>
      <c r="AT180">
        <f>IF(OR(Settings!$A$37="",$E180="pre"),"",IF(AND('Month-End'!$FU$39&lt;&gt;"",NOT(_xlfn.ISFORMULA('Month-End'!$FU$39))),N('Month-End'!$FU$39),IF(OR($E180="open",$E179="pre"),N(Settings!$C$37),N($AT179))+$AZ180))</f>
        <v/>
      </c>
      <c r="AU180">
        <f>IF(OR(Settings!$A$38="",$E180="pre"),"",IF(AND('Month-End'!$FU$40&lt;&gt;"",NOT(_xlfn.ISFORMULA('Month-End'!$FU$40))),N('Month-End'!$FU$40),IF(OR($E180="open",$E179="pre"),N(Settings!$C$38),N($AU179))+$BA180))</f>
        <v/>
      </c>
      <c r="AV180">
        <f>IF(OR(Settings!$A$39="",$E180="pre"),"",IF(AND('Month-End'!$FU$41&lt;&gt;"",NOT(_xlfn.ISFORMULA('Month-End'!$FU$41))),N('Month-End'!$FU$41),IF(OR($E180="open",$E179="pre"),N(Settings!$C$39),N($AV179))+$BB180))</f>
        <v/>
      </c>
      <c r="AW180">
        <f>IF(OR(Settings!$A$40="",$E180="pre"),"",IF(AND('Month-End'!$FU$42&lt;&gt;"",NOT(_xlfn.ISFORMULA('Month-End'!$FU$42))),N('Month-End'!$FU$42),IF(OR($E180="open",$E179="pre"),N(Settings!$C$40),N($AW179))+$BC180))</f>
        <v/>
      </c>
      <c r="AX180">
        <f>IF(OR(Settings!$A$41="",$E180="pre"),"",IF(AND('Month-End'!$FU$43&lt;&gt;"",NOT(_xlfn.ISFORMULA('Month-End'!$FU$43))),N('Month-End'!$FU$43),IF(OR($E180="open",$E179="pre"),N(Settings!$C$41),N($AX179))+$BD180))</f>
        <v/>
      </c>
      <c r="AY180">
        <f>IF($E180="pre",0,N('Month-End'!$FU$45))</f>
        <v/>
      </c>
      <c r="AZ180">
        <f>IF($E180="pre",0,N('Month-End'!$FU$46))</f>
        <v/>
      </c>
      <c r="BA180">
        <f>IF($E180="pre",0,N('Month-End'!$FU$47))</f>
        <v/>
      </c>
      <c r="BB180">
        <f>IF($E180="pre",0,N('Month-End'!$FU$48))</f>
        <v/>
      </c>
      <c r="BC180">
        <f>IF($E180="pre",0,N('Month-End'!$FU$49))</f>
        <v/>
      </c>
      <c r="BD180">
        <f>IF($E180="pre",0,N('Month-End'!$FU$50))</f>
        <v/>
      </c>
      <c r="BE180">
        <f>IF(OR(Settings!$C$45="",Settings!$D$45=""),0,Settings!$C$45*IF(Settings!$D$45="Weekly",IF(IFERROR(MATCH(Settings!$E$45,$EO$4:$EO$10,0),0)=0,0,IF(MIN($C180,IF(Settings!$G$45="",$C180,Settings!$G$45))&lt;MAX($A180,Settings!$F$45),0,INT((MIN($C180,IF(Settings!$G$45="",$C180,Settings!$G$45))-MAX($A180,Settings!$F$45)-MOD(IFERROR(MATCH(Settings!$E$45,$EO$4:$EO$10,0),0)-WEEKDAY(MAX($A180,Settings!$F$45)),7))/7)+1)),IF(AND(IF(Settings!$E$45="",$B180,DATE(YEAR($A180),MONTH($A180),MIN(Settings!$E$45,DAY($B180))))&gt;=MAX($A180,Settings!$F$45),IF(Settings!$E$45="",$B180,DATE(YEAR($A180),MONTH($A180),MIN(Settings!$E$45,DAY($B180))))&lt;=MIN($C180,IF(Settings!$G$45="",$C180,Settings!$G$45))),1,0)))</f>
        <v/>
      </c>
      <c r="BF180">
        <f>IF(OR(Settings!$C$46="",Settings!$D$46=""),0,Settings!$C$46*IF(Settings!$D$46="Weekly",IF(IFERROR(MATCH(Settings!$E$46,$EO$4:$EO$10,0),0)=0,0,IF(MIN($C180,IF(Settings!$G$46="",$C180,Settings!$G$46))&lt;MAX($A180,Settings!$F$46),0,INT((MIN($C180,IF(Settings!$G$46="",$C180,Settings!$G$46))-MAX($A180,Settings!$F$46)-MOD(IFERROR(MATCH(Settings!$E$46,$EO$4:$EO$10,0),0)-WEEKDAY(MAX($A180,Settings!$F$46)),7))/7)+1)),IF(AND(IF(Settings!$E$46="",$B180,DATE(YEAR($A180),MONTH($A180),MIN(Settings!$E$46,DAY($B180))))&gt;=MAX($A180,Settings!$F$46),IF(Settings!$E$46="",$B180,DATE(YEAR($A180),MONTH($A180),MIN(Settings!$E$46,DAY($B180))))&lt;=MIN($C180,IF(Settings!$G$46="",$C180,Settings!$G$46))),1,0)))</f>
        <v/>
      </c>
      <c r="BG180">
        <f>IF(OR(Settings!$C$47="",Settings!$D$47=""),0,Settings!$C$47*IF(Settings!$D$47="Weekly",IF(IFERROR(MATCH(Settings!$E$47,$EO$4:$EO$10,0),0)=0,0,IF(MIN($C180,IF(Settings!$G$47="",$C180,Settings!$G$47))&lt;MAX($A180,Settings!$F$47),0,INT((MIN($C180,IF(Settings!$G$47="",$C180,Settings!$G$47))-MAX($A180,Settings!$F$47)-MOD(IFERROR(MATCH(Settings!$E$47,$EO$4:$EO$10,0),0)-WEEKDAY(MAX($A180,Settings!$F$47)),7))/7)+1)),IF(AND(IF(Settings!$E$47="",$B180,DATE(YEAR($A180),MONTH($A180),MIN(Settings!$E$47,DAY($B180))))&gt;=MAX($A180,Settings!$F$47),IF(Settings!$E$47="",$B180,DATE(YEAR($A180),MONTH($A180),MIN(Settings!$E$47,DAY($B180))))&lt;=MIN($C180,IF(Settings!$G$47="",$C180,Settings!$G$47))),1,0)))</f>
        <v/>
      </c>
      <c r="BH180">
        <f>IF(OR(Settings!$C$48="",Settings!$D$48=""),0,Settings!$C$48*IF(Settings!$D$48="Weekly",IF(IFERROR(MATCH(Settings!$E$48,$EO$4:$EO$10,0),0)=0,0,IF(MIN($C180,IF(Settings!$G$48="",$C180,Settings!$G$48))&lt;MAX($A180,Settings!$F$48),0,INT((MIN($C180,IF(Settings!$G$48="",$C180,Settings!$G$48))-MAX($A180,Settings!$F$48)-MOD(IFERROR(MATCH(Settings!$E$48,$EO$4:$EO$10,0),0)-WEEKDAY(MAX($A180,Settings!$F$48)),7))/7)+1)),IF(AND(IF(Settings!$E$48="",$B180,DATE(YEAR($A180),MONTH($A180),MIN(Settings!$E$48,DAY($B180))))&gt;=MAX($A180,Settings!$F$48),IF(Settings!$E$48="",$B180,DATE(YEAR($A180),MONTH($A180),MIN(Settings!$E$48,DAY($B180))))&lt;=MIN($C180,IF(Settings!$G$48="",$C180,Settings!$G$48))),1,0)))</f>
        <v/>
      </c>
      <c r="BI180">
        <f>IF(OR(Settings!$C$49="",Settings!$D$49=""),0,Settings!$C$49*IF(Settings!$D$49="Weekly",IF(IFERROR(MATCH(Settings!$E$49,$EO$4:$EO$10,0),0)=0,0,IF(MIN($C180,IF(Settings!$G$49="",$C180,Settings!$G$49))&lt;MAX($A180,Settings!$F$49),0,INT((MIN($C180,IF(Settings!$G$49="",$C180,Settings!$G$49))-MAX($A180,Settings!$F$49)-MOD(IFERROR(MATCH(Settings!$E$49,$EO$4:$EO$10,0),0)-WEEKDAY(MAX($A180,Settings!$F$49)),7))/7)+1)),IF(AND(IF(Settings!$E$49="",$B180,DATE(YEAR($A180),MONTH($A180),MIN(Settings!$E$49,DAY($B180))))&gt;=MAX($A180,Settings!$F$49),IF(Settings!$E$49="",$B180,DATE(YEAR($A180),MONTH($A180),MIN(Settings!$E$49,DAY($B180))))&lt;=MIN($C180,IF(Settings!$G$49="",$C180,Settings!$G$49))),1,0)))</f>
        <v/>
      </c>
      <c r="BJ180">
        <f>IF(OR(Settings!$C$50="",Settings!$D$50=""),0,Settings!$C$50*IF(Settings!$D$50="Weekly",IF(IFERROR(MATCH(Settings!$E$50,$EO$4:$EO$10,0),0)=0,0,IF(MIN($C180,IF(Settings!$G$50="",$C180,Settings!$G$50))&lt;MAX($A180,Settings!$F$50),0,INT((MIN($C180,IF(Settings!$G$50="",$C180,Settings!$G$50))-MAX($A180,Settings!$F$50)-MOD(IFERROR(MATCH(Settings!$E$50,$EO$4:$EO$10,0),0)-WEEKDAY(MAX($A180,Settings!$F$50)),7))/7)+1)),IF(AND(IF(Settings!$E$50="",$B180,DATE(YEAR($A180),MONTH($A180),MIN(Settings!$E$50,DAY($B180))))&gt;=MAX($A180,Settings!$F$50),IF(Settings!$E$50="",$B180,DATE(YEAR($A180),MONTH($A180),MIN(Settings!$E$50,DAY($B180))))&lt;=MIN($C180,IF(Settings!$G$50="",$C180,Settings!$G$50))),1,0)))</f>
        <v/>
      </c>
      <c r="BK180">
        <f>IF(OR(Settings!$C$51="",Settings!$D$51=""),0,Settings!$C$51*IF(Settings!$D$51="Weekly",IF(IFERROR(MATCH(Settings!$E$51,$EO$4:$EO$10,0),0)=0,0,IF(MIN($C180,IF(Settings!$G$51="",$C180,Settings!$G$51))&lt;MAX($A180,Settings!$F$51),0,INT((MIN($C180,IF(Settings!$G$51="",$C180,Settings!$G$51))-MAX($A180,Settings!$F$51)-MOD(IFERROR(MATCH(Settings!$E$51,$EO$4:$EO$10,0),0)-WEEKDAY(MAX($A180,Settings!$F$51)),7))/7)+1)),IF(AND(IF(Settings!$E$51="",$B180,DATE(YEAR($A180),MONTH($A180),MIN(Settings!$E$51,DAY($B180))))&gt;=MAX($A180,Settings!$F$51),IF(Settings!$E$51="",$B180,DATE(YEAR($A180),MONTH($A180),MIN(Settings!$E$51,DAY($B180))))&lt;=MIN($C180,IF(Settings!$G$51="",$C180,Settings!$G$51))),1,0)))</f>
        <v/>
      </c>
      <c r="BL180">
        <f>IF(OR(Settings!$C$52="",Settings!$D$52=""),0,Settings!$C$52*IF(Settings!$D$52="Weekly",IF(IFERROR(MATCH(Settings!$E$52,$EO$4:$EO$10,0),0)=0,0,IF(MIN($C180,IF(Settings!$G$52="",$C180,Settings!$G$52))&lt;MAX($A180,Settings!$F$52),0,INT((MIN($C180,IF(Settings!$G$52="",$C180,Settings!$G$52))-MAX($A180,Settings!$F$52)-MOD(IFERROR(MATCH(Settings!$E$52,$EO$4:$EO$10,0),0)-WEEKDAY(MAX($A180,Settings!$F$52)),7))/7)+1)),IF(AND(IF(Settings!$E$52="",$B180,DATE(YEAR($A180),MONTH($A180),MIN(Settings!$E$52,DAY($B180))))&gt;=MAX($A180,Settings!$F$52),IF(Settings!$E$52="",$B180,DATE(YEAR($A180),MONTH($A180),MIN(Settings!$E$52,DAY($B180))))&lt;=MIN($C180,IF(Settings!$G$52="",$C180,Settings!$G$52))),1,0)))</f>
        <v/>
      </c>
      <c r="BM180">
        <f>IF(OR(Settings!$C$53="",Settings!$D$53=""),0,Settings!$C$53*IF(Settings!$D$53="Weekly",IF(IFERROR(MATCH(Settings!$E$53,$EO$4:$EO$10,0),0)=0,0,IF(MIN($C180,IF(Settings!$G$53="",$C180,Settings!$G$53))&lt;MAX($A180,Settings!$F$53),0,INT((MIN($C180,IF(Settings!$G$53="",$C180,Settings!$G$53))-MAX($A180,Settings!$F$53)-MOD(IFERROR(MATCH(Settings!$E$53,$EO$4:$EO$10,0),0)-WEEKDAY(MAX($A180,Settings!$F$53)),7))/7)+1)),IF(AND(IF(Settings!$E$53="",$B180,DATE(YEAR($A180),MONTH($A180),MIN(Settings!$E$53,DAY($B180))))&gt;=MAX($A180,Settings!$F$53),IF(Settings!$E$53="",$B180,DATE(YEAR($A180),MONTH($A180),MIN(Settings!$E$53,DAY($B180))))&lt;=MIN($C180,IF(Settings!$G$53="",$C180,Settings!$G$53))),1,0)))</f>
        <v/>
      </c>
      <c r="BN180">
        <f>IF(OR(Settings!$C$54="",Settings!$D$54=""),0,Settings!$C$54*IF(Settings!$D$54="Weekly",IF(IFERROR(MATCH(Settings!$E$54,$EO$4:$EO$10,0),0)=0,0,IF(MIN($C180,IF(Settings!$G$54="",$C180,Settings!$G$54))&lt;MAX($A180,Settings!$F$54),0,INT((MIN($C180,IF(Settings!$G$54="",$C180,Settings!$G$54))-MAX($A180,Settings!$F$54)-MOD(IFERROR(MATCH(Settings!$E$54,$EO$4:$EO$10,0),0)-WEEKDAY(MAX($A180,Settings!$F$54)),7))/7)+1)),IF(AND(IF(Settings!$E$54="",$B180,DATE(YEAR($A180),MONTH($A180),MIN(Settings!$E$54,DAY($B180))))&gt;=MAX($A180,Settings!$F$54),IF(Settings!$E$54="",$B180,DATE(YEAR($A180),MONTH($A180),MIN(Settings!$E$54,DAY($B180))))&lt;=MIN($C180,IF(Settings!$G$54="",$C180,Settings!$G$54))),1,0)))</f>
        <v/>
      </c>
      <c r="BO180">
        <f>IF(OR(Settings!$C$55="",Settings!$D$55=""),0,Settings!$C$55*IF(Settings!$D$55="Weekly",IF(IFERROR(MATCH(Settings!$E$55,$EO$4:$EO$10,0),0)=0,0,IF(MIN($C180,IF(Settings!$G$55="",$C180,Settings!$G$55))&lt;MAX($A180,Settings!$F$55),0,INT((MIN($C180,IF(Settings!$G$55="",$C180,Settings!$G$55))-MAX($A180,Settings!$F$55)-MOD(IFERROR(MATCH(Settings!$E$55,$EO$4:$EO$10,0),0)-WEEKDAY(MAX($A180,Settings!$F$55)),7))/7)+1)),IF(AND(IF(Settings!$E$55="",$B180,DATE(YEAR($A180),MONTH($A180),MIN(Settings!$E$55,DAY($B180))))&gt;=MAX($A180,Settings!$F$55),IF(Settings!$E$55="",$B180,DATE(YEAR($A180),MONTH($A180),MIN(Settings!$E$55,DAY($B180))))&lt;=MIN($C180,IF(Settings!$G$55="",$C180,Settings!$G$55))),1,0)))</f>
        <v/>
      </c>
      <c r="BP180">
        <f>IF(OR(Settings!$C$56="",Settings!$D$56=""),0,Settings!$C$56*IF(Settings!$D$56="Weekly",IF(IFERROR(MATCH(Settings!$E$56,$EO$4:$EO$10,0),0)=0,0,IF(MIN($C180,IF(Settings!$G$56="",$C180,Settings!$G$56))&lt;MAX($A180,Settings!$F$56),0,INT((MIN($C180,IF(Settings!$G$56="",$C180,Settings!$G$56))-MAX($A180,Settings!$F$56)-MOD(IFERROR(MATCH(Settings!$E$56,$EO$4:$EO$10,0),0)-WEEKDAY(MAX($A180,Settings!$F$56)),7))/7)+1)),IF(AND(IF(Settings!$E$56="",$B180,DATE(YEAR($A180),MONTH($A180),MIN(Settings!$E$56,DAY($B180))))&gt;=MAX($A180,Settings!$F$56),IF(Settings!$E$56="",$B180,DATE(YEAR($A180),MONTH($A180),MIN(Settings!$E$56,DAY($B180))))&lt;=MIN($C180,IF(Settings!$G$56="",$C180,Settings!$G$56))),1,0)))</f>
        <v/>
      </c>
      <c r="BQ180">
        <f>IF(OR(Settings!$B$14="",$D180=1,$E180="pre",$A180&lt;IF(Settings!$B$15="",0,Settings!$B$15)),0,Settings!$B$14)</f>
        <v/>
      </c>
      <c r="BR180">
        <f>IF(AND('Month-End'!$FU$7&lt;&gt;"",NOT(_xlfn.ISFORMULA('Month-End'!$FU$7))),1,0)</f>
        <v/>
      </c>
      <c r="BS180">
        <f>IF(AND('Month-End'!$FU$8&lt;&gt;"",NOT(_xlfn.ISFORMULA('Month-End'!$FU$8))),1,0)</f>
        <v/>
      </c>
      <c r="BT180">
        <f>IF(AND('Month-End'!$FU$9&lt;&gt;"",NOT(_xlfn.ISFORMULA('Month-End'!$FU$9))),1,0)</f>
        <v/>
      </c>
      <c r="BU180">
        <f>IF(AND('Month-End'!$FU$10&lt;&gt;"",NOT(_xlfn.ISFORMULA('Month-End'!$FU$10))),1,0)</f>
        <v/>
      </c>
      <c r="BV180">
        <f>IF(AND('Month-End'!$FU$11&lt;&gt;"",NOT(_xlfn.ISFORMULA('Month-End'!$FU$11))),1,0)</f>
        <v/>
      </c>
      <c r="BW180">
        <f>IF(AND('Month-End'!$FU$12&lt;&gt;"",NOT(_xlfn.ISFORMULA('Month-End'!$FU$12))),1,0)</f>
        <v/>
      </c>
      <c r="BX180">
        <f>IF(AND('Month-End'!$FU$13&lt;&gt;"",NOT(_xlfn.ISFORMULA('Month-End'!$FU$13))),1,0)</f>
        <v/>
      </c>
      <c r="BY180">
        <f>IF(AND('Month-End'!$FU$14&lt;&gt;"",NOT(_xlfn.ISFORMULA('Month-End'!$FU$14))),1,0)</f>
        <v/>
      </c>
      <c r="BZ180">
        <f>IF(AND('Month-End'!$FU$15&lt;&gt;"",NOT(_xlfn.ISFORMULA('Month-End'!$FU$15))),1,0)</f>
        <v/>
      </c>
      <c r="CA180">
        <f>IF(AND('Month-End'!$FU$16&lt;&gt;"",NOT(_xlfn.ISFORMULA('Month-End'!$FU$16))),1,0)</f>
        <v/>
      </c>
      <c r="CB180">
        <f>IF(AND('Month-End'!$FU$17&lt;&gt;"",NOT(_xlfn.ISFORMULA('Month-End'!$FU$17))),1,0)</f>
        <v/>
      </c>
      <c r="CC180">
        <f>IF(AND('Month-End'!$FU$18&lt;&gt;"",NOT(_xlfn.ISFORMULA('Month-End'!$FU$18))),1,0)</f>
        <v/>
      </c>
      <c r="CD180">
        <f>IF(AND('Month-End'!$FU$19&lt;&gt;"",NOT(_xlfn.ISFORMULA('Month-End'!$FU$19))),1,0)</f>
        <v/>
      </c>
      <c r="CE180">
        <f>IF(AND('Month-End'!$FU$20&lt;&gt;"",NOT(_xlfn.ISFORMULA('Month-End'!$FU$20))),1,0)</f>
        <v/>
      </c>
      <c r="CF180">
        <f>IF(AND('Month-End'!$FU$38&lt;&gt;"",NOT(_xlfn.ISFORMULA('Month-End'!$FU$38))),1,0)</f>
        <v/>
      </c>
      <c r="CG180">
        <f>IF(AND('Month-End'!$FU$39&lt;&gt;"",NOT(_xlfn.ISFORMULA('Month-End'!$FU$39))),1,0)</f>
        <v/>
      </c>
      <c r="CH180">
        <f>IF(AND('Month-End'!$FU$40&lt;&gt;"",NOT(_xlfn.ISFORMULA('Month-End'!$FU$40))),1,0)</f>
        <v/>
      </c>
      <c r="CI180">
        <f>IF(AND('Month-End'!$FU$41&lt;&gt;"",NOT(_xlfn.ISFORMULA('Month-End'!$FU$41))),1,0)</f>
        <v/>
      </c>
      <c r="CJ180">
        <f>IF(AND('Month-End'!$FU$42&lt;&gt;"",NOT(_xlfn.ISFORMULA('Month-End'!$FU$42))),1,0)</f>
        <v/>
      </c>
      <c r="CK180">
        <f>IF(AND('Month-End'!$FU$43&lt;&gt;"",NOT(_xlfn.ISFORMULA('Month-End'!$FU$43))),1,0)</f>
        <v/>
      </c>
      <c r="CL180">
        <f>SUM($CM180:$CZ180)</f>
        <v/>
      </c>
      <c r="CM180">
        <f>IF(AND($E180&lt;&gt;"pre",AND(Settings!$A$19&lt;&gt;"",Settings!$E$19&lt;&gt;"No"),Settings!$F$19="Yes",NOT(AND('Month-End'!$FU$7&lt;&gt;"",NOT(_xlfn.ISFORMULA('Month-End'!$FU$7))))),1,0)</f>
        <v/>
      </c>
      <c r="CN180">
        <f>IF(AND($E180&lt;&gt;"pre",AND(Settings!$A$20&lt;&gt;"",Settings!$E$20&lt;&gt;"No"),Settings!$F$20="Yes",NOT(AND('Month-End'!$FU$8&lt;&gt;"",NOT(_xlfn.ISFORMULA('Month-End'!$FU$8))))),1,0)</f>
        <v/>
      </c>
      <c r="CO180">
        <f>IF(AND($E180&lt;&gt;"pre",AND(Settings!$A$21&lt;&gt;"",Settings!$E$21&lt;&gt;"No"),Settings!$F$21="Yes",NOT(AND('Month-End'!$FU$9&lt;&gt;"",NOT(_xlfn.ISFORMULA('Month-End'!$FU$9))))),1,0)</f>
        <v/>
      </c>
      <c r="CP180">
        <f>IF(AND($E180&lt;&gt;"pre",AND(Settings!$A$22&lt;&gt;"",Settings!$E$22&lt;&gt;"No"),Settings!$F$22="Yes",NOT(AND('Month-End'!$FU$10&lt;&gt;"",NOT(_xlfn.ISFORMULA('Month-End'!$FU$10))))),1,0)</f>
        <v/>
      </c>
      <c r="CQ180">
        <f>IF(AND($E180&lt;&gt;"pre",AND(Settings!$A$23&lt;&gt;"",Settings!$E$23&lt;&gt;"No"),Settings!$F$23="Yes",NOT(AND('Month-End'!$FU$11&lt;&gt;"",NOT(_xlfn.ISFORMULA('Month-End'!$FU$11))))),1,0)</f>
        <v/>
      </c>
      <c r="CR180">
        <f>IF(AND($E180&lt;&gt;"pre",AND(Settings!$A$24&lt;&gt;"",Settings!$E$24&lt;&gt;"No"),Settings!$F$24="Yes",NOT(AND('Month-End'!$FU$12&lt;&gt;"",NOT(_xlfn.ISFORMULA('Month-End'!$FU$12))))),1,0)</f>
        <v/>
      </c>
      <c r="CS180">
        <f>IF(AND($E180&lt;&gt;"pre",AND(Settings!$A$25&lt;&gt;"",Settings!$E$25&lt;&gt;"No"),Settings!$F$25="Yes",NOT(AND('Month-End'!$FU$13&lt;&gt;"",NOT(_xlfn.ISFORMULA('Month-End'!$FU$13))))),1,0)</f>
        <v/>
      </c>
      <c r="CT180">
        <f>IF(AND($E180&lt;&gt;"pre",AND(Settings!$A$26&lt;&gt;"",Settings!$E$26&lt;&gt;"No"),Settings!$F$26="Yes",NOT(AND('Month-End'!$FU$14&lt;&gt;"",NOT(_xlfn.ISFORMULA('Month-End'!$FU$14))))),1,0)</f>
        <v/>
      </c>
      <c r="CU180">
        <f>IF(AND($E180&lt;&gt;"pre",AND(Settings!$A$27&lt;&gt;"",Settings!$E$27&lt;&gt;"No"),Settings!$F$27="Yes",NOT(AND('Month-End'!$FU$15&lt;&gt;"",NOT(_xlfn.ISFORMULA('Month-End'!$FU$15))))),1,0)</f>
        <v/>
      </c>
      <c r="CV180">
        <f>IF(AND($E180&lt;&gt;"pre",AND(Settings!$A$28&lt;&gt;"",Settings!$E$28&lt;&gt;"No"),Settings!$F$28="Yes",NOT(AND('Month-End'!$FU$16&lt;&gt;"",NOT(_xlfn.ISFORMULA('Month-End'!$FU$16))))),1,0)</f>
        <v/>
      </c>
      <c r="CW180">
        <f>IF(AND($E180&lt;&gt;"pre",AND(Settings!$A$29&lt;&gt;"",Settings!$E$29&lt;&gt;"No"),Settings!$F$29="Yes",NOT(AND('Month-End'!$FU$17&lt;&gt;"",NOT(_xlfn.ISFORMULA('Month-End'!$FU$17))))),1,0)</f>
        <v/>
      </c>
      <c r="CX180">
        <f>IF(AND($E180&lt;&gt;"pre",AND(Settings!$A$30&lt;&gt;"",Settings!$E$30&lt;&gt;"No"),Settings!$F$30="Yes",NOT(AND('Month-End'!$FU$18&lt;&gt;"",NOT(_xlfn.ISFORMULA('Month-End'!$FU$18))))),1,0)</f>
        <v/>
      </c>
      <c r="CY180">
        <f>IF(AND($E180&lt;&gt;"pre",AND(Settings!$A$31&lt;&gt;"",Settings!$E$31&lt;&gt;"No"),Settings!$F$31="Yes",NOT(AND('Month-End'!$FU$19&lt;&gt;"",NOT(_xlfn.ISFORMULA('Month-End'!$FU$19))))),1,0)</f>
        <v/>
      </c>
      <c r="CZ180">
        <f>IF(AND($E180&lt;&gt;"pre",AND(Settings!$A$32&lt;&gt;"",Settings!$E$32&lt;&gt;"No"),Settings!$F$32="Yes",NOT(AND('Month-End'!$FU$20&lt;&gt;"",NOT(_xlfn.ISFORMULA('Month-End'!$FU$20))))),1,0)</f>
        <v/>
      </c>
      <c r="DA180">
        <f>IF($DT180=1,IF(OR(Settings!$B$19="Checking",Settings!$B$19="Savings",Settings!$B$19="Cash"),N($AE180),IF(OR(Settings!$B$19="Card",Settings!$B$19="Loan"),-N($AE180),0))+IF(OR(Settings!$B$20="Checking",Settings!$B$20="Savings",Settings!$B$20="Cash"),N($AF180),IF(OR(Settings!$B$20="Card",Settings!$B$20="Loan"),-N($AF180),0))+IF(OR(Settings!$B$21="Checking",Settings!$B$21="Savings",Settings!$B$21="Cash"),N($AG180),IF(OR(Settings!$B$21="Card",Settings!$B$21="Loan"),-N($AG180),0))+IF(OR(Settings!$B$22="Checking",Settings!$B$22="Savings",Settings!$B$22="Cash"),N($AH180),IF(OR(Settings!$B$22="Card",Settings!$B$22="Loan"),-N($AH180),0))+IF(OR(Settings!$B$23="Checking",Settings!$B$23="Savings",Settings!$B$23="Cash"),N($AI180),IF(OR(Settings!$B$23="Card",Settings!$B$23="Loan"),-N($AI180),0))+IF(OR(Settings!$B$24="Checking",Settings!$B$24="Savings",Settings!$B$24="Cash"),N($AJ180),IF(OR(Settings!$B$24="Card",Settings!$B$24="Loan"),-N($AJ180),0))+IF(OR(Settings!$B$25="Checking",Settings!$B$25="Savings",Settings!$B$25="Cash"),N($AK180),IF(OR(Settings!$B$25="Card",Settings!$B$25="Loan"),-N($AK180),0))+IF(OR(Settings!$B$26="Checking",Settings!$B$26="Savings",Settings!$B$26="Cash"),N($AL180),IF(OR(Settings!$B$26="Card",Settings!$B$26="Loan"),-N($AL180),0))+IF(OR(Settings!$B$27="Checking",Settings!$B$27="Savings",Settings!$B$27="Cash"),N($AM180),IF(OR(Settings!$B$27="Card",Settings!$B$27="Loan"),-N($AM180),0))+IF(OR(Settings!$B$28="Checking",Settings!$B$28="Savings",Settings!$B$28="Cash"),N($AN180),IF(OR(Settings!$B$28="Card",Settings!$B$28="Loan"),-N($AN180),0))+IF(OR(Settings!$B$29="Checking",Settings!$B$29="Savings",Settings!$B$29="Cash"),N($AO180),IF(OR(Settings!$B$29="Card",Settings!$B$29="Loan"),-N($AO180),0))+IF(OR(Settings!$B$30="Checking",Settings!$B$30="Savings",Settings!$B$30="Cash"),N($AP180),IF(OR(Settings!$B$30="Card",Settings!$B$30="Loan"),-N($AP180),0))+IF(OR(Settings!$B$31="Checking",Settings!$B$31="Savings",Settings!$B$31="Cash"),N($AQ180),IF(OR(Settings!$B$31="Card",Settings!$B$31="Loan"),-N($AQ180),0))+IF(OR(Settings!$B$32="Checking",Settings!$B$32="Savings",Settings!$B$32="Cash"),N($AR180),IF(OR(Settings!$B$32="Card",Settings!$B$32="Loan"),-N($AR180),0)),"")</f>
        <v/>
      </c>
      <c r="DB180">
        <f>IF($E180="open",$EB$27,IF($E180="post",IF($E179="pre",$EB$27,$DA179),""))</f>
        <v/>
      </c>
      <c r="DC180">
        <f>IF($E180="open",1,IF($E180="post",IF($E179="pre",1,$DT179),0))</f>
        <v/>
      </c>
      <c r="DD180">
        <f>IF(AND($DT180=1,$DC180=1),ROUND($W180-($DA180-$DB180)-$AD180-$AB180,2),"")</f>
        <v/>
      </c>
      <c r="DE180">
        <f>IF('Month-End'!$FU$35="",$BQ180,N('Month-End'!$FU$35))</f>
        <v/>
      </c>
      <c r="DF180">
        <f>N('Month-End'!$FU$36)</f>
        <v/>
      </c>
      <c r="DG180">
        <f>IF($DD180="","",$DD180+$DE180)</f>
        <v/>
      </c>
      <c r="DH180">
        <f>IF($DG180="","",$DG180-$DF180)</f>
        <v/>
      </c>
      <c r="DI180">
        <f>IF(OR($E180="pre",$D180=1),"",N($AS180)+N($AT180)+N($AU180)+N($AV180)+N($AW180)+N($AX180))</f>
        <v/>
      </c>
      <c r="DJ180">
        <f>IF($DT180=1,$DA180+N($DI180),"")</f>
        <v/>
      </c>
      <c r="DK180">
        <f>IF($DD180="","",$W180-$DD180-$AB180)</f>
        <v/>
      </c>
      <c r="DL180">
        <f>IF(AND($E180="post",$DD180&lt;&gt;"",$B180&lt;TODAY()),1,0)</f>
        <v/>
      </c>
      <c r="DM180">
        <f>IF($DL180=1,COUNTIF($DL180:$DL$183,1),0)</f>
        <v/>
      </c>
      <c r="DN180">
        <f>IF($D180=1,"",IF($E180="pre","History only",IF($DT180=1,IF($DD180="","⚠ Previous month missing",IF($DD180&lt;0,"⚠ Check: spending &lt; 0",IF($E180="open","✓ Done (partial)","✓ Done"))),IF($B180&gt;=TODAY(),"In progress","⚠ Needs balances"))))</f>
        <v/>
      </c>
      <c r="DO180">
        <f>YEAR($A180)</f>
        <v/>
      </c>
      <c r="DP180">
        <f>DATE(YEAR($A180),INT((MONTH($A180)-1)/3)*3+1,1)</f>
        <v/>
      </c>
      <c r="DQ180">
        <f>IF(AND($DT180=1,$DD180&lt;&gt;"",$D180=0),ROW(),0)</f>
        <v/>
      </c>
      <c r="DR180">
        <f>IF(AND($E180&lt;&gt;"pre",$B180&lt;TODAY(),$DT180=0),1,0)</f>
        <v/>
      </c>
      <c r="DS180">
        <f>IF($DJ180="",NA(),$DJ180)</f>
        <v/>
      </c>
      <c r="DT180">
        <f>IF(AND($E180&lt;&gt;"pre",$CL180=0,COUNTIFS(Settings!$F$19:$F$32,"Yes",Settings!$A$19:$A$32,"&lt;&gt;",Settings!$E$19:$E$32,"&lt;&gt;No")&gt;0),1,0)</f>
        <v/>
      </c>
      <c r="DU180">
        <f>IF(AND($B180&lt;TODAY(),$S180&gt;0),1,0)</f>
        <v/>
      </c>
      <c r="DV180">
        <f>IF($DU180=1,COUNTIF($DU180:$DU$183,1),0)</f>
        <v/>
      </c>
      <c r="DW180">
        <f>IF(AND(OR(Settings!$B$19="Card",Settings!$B$19="Loan"),AND('Month-End'!$FU$7&lt;&gt;"",NOT(_xlfn.ISFORMULA('Month-End'!$FU$7)))),IF(N('Month-End'!$FU$7)&lt;0,1,0),0)+IF(AND(OR(Settings!$B$20="Card",Settings!$B$20="Loan"),AND('Month-End'!$FU$8&lt;&gt;"",NOT(_xlfn.ISFORMULA('Month-End'!$FU$8)))),IF(N('Month-End'!$FU$8)&lt;0,1,0),0)+IF(AND(OR(Settings!$B$21="Card",Settings!$B$21="Loan"),AND('Month-End'!$FU$9&lt;&gt;"",NOT(_xlfn.ISFORMULA('Month-End'!$FU$9)))),IF(N('Month-End'!$FU$9)&lt;0,1,0),0)+IF(AND(OR(Settings!$B$22="Card",Settings!$B$22="Loan"),AND('Month-End'!$FU$10&lt;&gt;"",NOT(_xlfn.ISFORMULA('Month-End'!$FU$10)))),IF(N('Month-End'!$FU$10)&lt;0,1,0),0)+IF(AND(OR(Settings!$B$23="Card",Settings!$B$23="Loan"),AND('Month-End'!$FU$11&lt;&gt;"",NOT(_xlfn.ISFORMULA('Month-End'!$FU$11)))),IF(N('Month-End'!$FU$11)&lt;0,1,0),0)+IF(AND(OR(Settings!$B$24="Card",Settings!$B$24="Loan"),AND('Month-End'!$FU$12&lt;&gt;"",NOT(_xlfn.ISFORMULA('Month-End'!$FU$12)))),IF(N('Month-End'!$FU$12)&lt;0,1,0),0)+IF(AND(OR(Settings!$B$25="Card",Settings!$B$25="Loan"),AND('Month-End'!$FU$13&lt;&gt;"",NOT(_xlfn.ISFORMULA('Month-End'!$FU$13)))),IF(N('Month-End'!$FU$13)&lt;0,1,0),0)+IF(AND(OR(Settings!$B$26="Card",Settings!$B$26="Loan"),AND('Month-End'!$FU$14&lt;&gt;"",NOT(_xlfn.ISFORMULA('Month-End'!$FU$14)))),IF(N('Month-End'!$FU$14)&lt;0,1,0),0)+IF(AND(OR(Settings!$B$27="Card",Settings!$B$27="Loan"),AND('Month-End'!$FU$15&lt;&gt;"",NOT(_xlfn.ISFORMULA('Month-End'!$FU$15)))),IF(N('Month-End'!$FU$15)&lt;0,1,0),0)+IF(AND(OR(Settings!$B$28="Card",Settings!$B$28="Loan"),AND('Month-End'!$FU$16&lt;&gt;"",NOT(_xlfn.ISFORMULA('Month-End'!$FU$16)))),IF(N('Month-End'!$FU$16)&lt;0,1,0),0)+IF(AND(OR(Settings!$B$29="Card",Settings!$B$29="Loan"),AND('Month-End'!$FU$17&lt;&gt;"",NOT(_xlfn.ISFORMULA('Month-End'!$FU$17)))),IF(N('Month-End'!$FU$17)&lt;0,1,0),0)+IF(AND(OR(Settings!$B$30="Card",Settings!$B$30="Loan"),AND('Month-End'!$FU$18&lt;&gt;"",NOT(_xlfn.ISFORMULA('Month-End'!$FU$18)))),IF(N('Month-End'!$FU$18)&lt;0,1,0),0)+IF(AND(OR(Settings!$B$31="Card",Settings!$B$31="Loan"),AND('Month-End'!$FU$19&lt;&gt;"",NOT(_xlfn.ISFORMULA('Month-End'!$FU$19)))),IF(N('Month-End'!$FU$19)&lt;0,1,0),0)+IF(AND(OR(Settings!$B$32="Card",Settings!$B$32="Loan"),AND('Month-End'!$FU$20&lt;&gt;"",NOT(_xlfn.ISFORMULA('Month-End'!$FU$20)))),IF(N('Month-End'!$FU$20)&lt;0,1,0),0)</f>
        <v/>
      </c>
      <c r="DX180">
        <f>IF(Settings!$B$36="Retirement",$AY180,0)+IF(Settings!$B$37="Retirement",$AZ180,0)+IF(Settings!$B$38="Retirement",$BA180,0)+IF(Settings!$B$39="Retirement",$BB180,0)+IF(Settings!$B$40="Retirement",$BC180,0)+IF(Settings!$B$41="Retirement",$BD180,0)</f>
        <v/>
      </c>
      <c r="ET180">
        <f>IF($E180&lt;&gt;"open",0,IF(AND('Month-End'!$FU$22&lt;&gt;"",NOT(_xlfn.ISFORMULA('Month-End'!$FU$22))),0,IF(OR(Settings!$C$45="",Settings!$D$45=""),0,Settings!$C$45*IF(Settings!$D$45="Weekly",IF(IFERROR(MATCH(Settings!$E$45,$EO$4:$EO$10,0),0)=0,0,IF(MIN(Settings!$B$5,IF(Settings!$G$45="",Settings!$B$5,Settings!$G$45))&lt;MAX($A180,Settings!$F$45),0,INT((MIN(Settings!$B$5,IF(Settings!$G$45="",Settings!$B$5,Settings!$G$45))-MAX($A180,Settings!$F$45)-MOD(IFERROR(MATCH(Settings!$E$45,$EO$4:$EO$10,0),0)-WEEKDAY(MAX($A180,Settings!$F$45)),7))/7)+1)),IF(AND(IF(Settings!$E$45="",$B180,DATE(YEAR($A180),MONTH($A180),MIN(Settings!$E$45,DAY($B180))))&gt;=MAX($A180,Settings!$F$45),IF(Settings!$E$45="",$B180,DATE(YEAR($A180),MONTH($A180),MIN(Settings!$E$45,DAY($B180))))&lt;=MIN(Settings!$B$5,IF(Settings!$G$45="",Settings!$B$5,Settings!$G$45))),1,0)))))</f>
        <v/>
      </c>
      <c r="EU180">
        <f>IF($E180&lt;&gt;"open",0,IF(AND('Month-End'!$FU$23&lt;&gt;"",NOT(_xlfn.ISFORMULA('Month-End'!$FU$23))),0,IF(OR(Settings!$C$46="",Settings!$D$46=""),0,Settings!$C$46*IF(Settings!$D$46="Weekly",IF(IFERROR(MATCH(Settings!$E$46,$EO$4:$EO$10,0),0)=0,0,IF(MIN(Settings!$B$5,IF(Settings!$G$46="",Settings!$B$5,Settings!$G$46))&lt;MAX($A180,Settings!$F$46),0,INT((MIN(Settings!$B$5,IF(Settings!$G$46="",Settings!$B$5,Settings!$G$46))-MAX($A180,Settings!$F$46)-MOD(IFERROR(MATCH(Settings!$E$46,$EO$4:$EO$10,0),0)-WEEKDAY(MAX($A180,Settings!$F$46)),7))/7)+1)),IF(AND(IF(Settings!$E$46="",$B180,DATE(YEAR($A180),MONTH($A180),MIN(Settings!$E$46,DAY($B180))))&gt;=MAX($A180,Settings!$F$46),IF(Settings!$E$46="",$B180,DATE(YEAR($A180),MONTH($A180),MIN(Settings!$E$46,DAY($B180))))&lt;=MIN(Settings!$B$5,IF(Settings!$G$46="",Settings!$B$5,Settings!$G$46))),1,0)))))</f>
        <v/>
      </c>
      <c r="EV180">
        <f>IF($E180&lt;&gt;"open",0,IF(AND('Month-End'!$FU$24&lt;&gt;"",NOT(_xlfn.ISFORMULA('Month-End'!$FU$24))),0,IF(OR(Settings!$C$47="",Settings!$D$47=""),0,Settings!$C$47*IF(Settings!$D$47="Weekly",IF(IFERROR(MATCH(Settings!$E$47,$EO$4:$EO$10,0),0)=0,0,IF(MIN(Settings!$B$5,IF(Settings!$G$47="",Settings!$B$5,Settings!$G$47))&lt;MAX($A180,Settings!$F$47),0,INT((MIN(Settings!$B$5,IF(Settings!$G$47="",Settings!$B$5,Settings!$G$47))-MAX($A180,Settings!$F$47)-MOD(IFERROR(MATCH(Settings!$E$47,$EO$4:$EO$10,0),0)-WEEKDAY(MAX($A180,Settings!$F$47)),7))/7)+1)),IF(AND(IF(Settings!$E$47="",$B180,DATE(YEAR($A180),MONTH($A180),MIN(Settings!$E$47,DAY($B180))))&gt;=MAX($A180,Settings!$F$47),IF(Settings!$E$47="",$B180,DATE(YEAR($A180),MONTH($A180),MIN(Settings!$E$47,DAY($B180))))&lt;=MIN(Settings!$B$5,IF(Settings!$G$47="",Settings!$B$5,Settings!$G$47))),1,0)))))</f>
        <v/>
      </c>
      <c r="EW180">
        <f>IF($E180&lt;&gt;"open",0,IF(AND('Month-End'!$FU$25&lt;&gt;"",NOT(_xlfn.ISFORMULA('Month-End'!$FU$25))),0,IF(OR(Settings!$C$48="",Settings!$D$48=""),0,Settings!$C$48*IF(Settings!$D$48="Weekly",IF(IFERROR(MATCH(Settings!$E$48,$EO$4:$EO$10,0),0)=0,0,IF(MIN(Settings!$B$5,IF(Settings!$G$48="",Settings!$B$5,Settings!$G$48))&lt;MAX($A180,Settings!$F$48),0,INT((MIN(Settings!$B$5,IF(Settings!$G$48="",Settings!$B$5,Settings!$G$48))-MAX($A180,Settings!$F$48)-MOD(IFERROR(MATCH(Settings!$E$48,$EO$4:$EO$10,0),0)-WEEKDAY(MAX($A180,Settings!$F$48)),7))/7)+1)),IF(AND(IF(Settings!$E$48="",$B180,DATE(YEAR($A180),MONTH($A180),MIN(Settings!$E$48,DAY($B180))))&gt;=MAX($A180,Settings!$F$48),IF(Settings!$E$48="",$B180,DATE(YEAR($A180),MONTH($A180),MIN(Settings!$E$48,DAY($B180))))&lt;=MIN(Settings!$B$5,IF(Settings!$G$48="",Settings!$B$5,Settings!$G$48))),1,0)))))</f>
        <v/>
      </c>
      <c r="EX180">
        <f>IF($E180&lt;&gt;"open",0,IF(AND('Month-End'!$FU$26&lt;&gt;"",NOT(_xlfn.ISFORMULA('Month-End'!$FU$26))),0,IF(OR(Settings!$C$49="",Settings!$D$49=""),0,Settings!$C$49*IF(Settings!$D$49="Weekly",IF(IFERROR(MATCH(Settings!$E$49,$EO$4:$EO$10,0),0)=0,0,IF(MIN(Settings!$B$5,IF(Settings!$G$49="",Settings!$B$5,Settings!$G$49))&lt;MAX($A180,Settings!$F$49),0,INT((MIN(Settings!$B$5,IF(Settings!$G$49="",Settings!$B$5,Settings!$G$49))-MAX($A180,Settings!$F$49)-MOD(IFERROR(MATCH(Settings!$E$49,$EO$4:$EO$10,0),0)-WEEKDAY(MAX($A180,Settings!$F$49)),7))/7)+1)),IF(AND(IF(Settings!$E$49="",$B180,DATE(YEAR($A180),MONTH($A180),MIN(Settings!$E$49,DAY($B180))))&gt;=MAX($A180,Settings!$F$49),IF(Settings!$E$49="",$B180,DATE(YEAR($A180),MONTH($A180),MIN(Settings!$E$49,DAY($B180))))&lt;=MIN(Settings!$B$5,IF(Settings!$G$49="",Settings!$B$5,Settings!$G$49))),1,0)))))</f>
        <v/>
      </c>
      <c r="EY180">
        <f>IF($E180&lt;&gt;"open",0,IF(AND('Month-End'!$FU$27&lt;&gt;"",NOT(_xlfn.ISFORMULA('Month-End'!$FU$27))),0,IF(OR(Settings!$C$50="",Settings!$D$50=""),0,Settings!$C$50*IF(Settings!$D$50="Weekly",IF(IFERROR(MATCH(Settings!$E$50,$EO$4:$EO$10,0),0)=0,0,IF(MIN(Settings!$B$5,IF(Settings!$G$50="",Settings!$B$5,Settings!$G$50))&lt;MAX($A180,Settings!$F$50),0,INT((MIN(Settings!$B$5,IF(Settings!$G$50="",Settings!$B$5,Settings!$G$50))-MAX($A180,Settings!$F$50)-MOD(IFERROR(MATCH(Settings!$E$50,$EO$4:$EO$10,0),0)-WEEKDAY(MAX($A180,Settings!$F$50)),7))/7)+1)),IF(AND(IF(Settings!$E$50="",$B180,DATE(YEAR($A180),MONTH($A180),MIN(Settings!$E$50,DAY($B180))))&gt;=MAX($A180,Settings!$F$50),IF(Settings!$E$50="",$B180,DATE(YEAR($A180),MONTH($A180),MIN(Settings!$E$50,DAY($B180))))&lt;=MIN(Settings!$B$5,IF(Settings!$G$50="",Settings!$B$5,Settings!$G$50))),1,0)))))</f>
        <v/>
      </c>
      <c r="EZ180">
        <f>IF($E180&lt;&gt;"open",0,IF(AND('Month-End'!$FU$28&lt;&gt;"",NOT(_xlfn.ISFORMULA('Month-End'!$FU$28))),0,IF(OR(Settings!$C$51="",Settings!$D$51=""),0,Settings!$C$51*IF(Settings!$D$51="Weekly",IF(IFERROR(MATCH(Settings!$E$51,$EO$4:$EO$10,0),0)=0,0,IF(MIN(Settings!$B$5,IF(Settings!$G$51="",Settings!$B$5,Settings!$G$51))&lt;MAX($A180,Settings!$F$51),0,INT((MIN(Settings!$B$5,IF(Settings!$G$51="",Settings!$B$5,Settings!$G$51))-MAX($A180,Settings!$F$51)-MOD(IFERROR(MATCH(Settings!$E$51,$EO$4:$EO$10,0),0)-WEEKDAY(MAX($A180,Settings!$F$51)),7))/7)+1)),IF(AND(IF(Settings!$E$51="",$B180,DATE(YEAR($A180),MONTH($A180),MIN(Settings!$E$51,DAY($B180))))&gt;=MAX($A180,Settings!$F$51),IF(Settings!$E$51="",$B180,DATE(YEAR($A180),MONTH($A180),MIN(Settings!$E$51,DAY($B180))))&lt;=MIN(Settings!$B$5,IF(Settings!$G$51="",Settings!$B$5,Settings!$G$51))),1,0)))))</f>
        <v/>
      </c>
      <c r="FA180">
        <f>IF($E180&lt;&gt;"open",0,IF(AND('Month-End'!$FU$29&lt;&gt;"",NOT(_xlfn.ISFORMULA('Month-End'!$FU$29))),0,IF(OR(Settings!$C$52="",Settings!$D$52=""),0,Settings!$C$52*IF(Settings!$D$52="Weekly",IF(IFERROR(MATCH(Settings!$E$52,$EO$4:$EO$10,0),0)=0,0,IF(MIN(Settings!$B$5,IF(Settings!$G$52="",Settings!$B$5,Settings!$G$52))&lt;MAX($A180,Settings!$F$52),0,INT((MIN(Settings!$B$5,IF(Settings!$G$52="",Settings!$B$5,Settings!$G$52))-MAX($A180,Settings!$F$52)-MOD(IFERROR(MATCH(Settings!$E$52,$EO$4:$EO$10,0),0)-WEEKDAY(MAX($A180,Settings!$F$52)),7))/7)+1)),IF(AND(IF(Settings!$E$52="",$B180,DATE(YEAR($A180),MONTH($A180),MIN(Settings!$E$52,DAY($B180))))&gt;=MAX($A180,Settings!$F$52),IF(Settings!$E$52="",$B180,DATE(YEAR($A180),MONTH($A180),MIN(Settings!$E$52,DAY($B180))))&lt;=MIN(Settings!$B$5,IF(Settings!$G$52="",Settings!$B$5,Settings!$G$52))),1,0)))))</f>
        <v/>
      </c>
      <c r="FB180">
        <f>IF($E180&lt;&gt;"open",0,IF(AND('Month-End'!$FU$30&lt;&gt;"",NOT(_xlfn.ISFORMULA('Month-End'!$FU$30))),0,IF(OR(Settings!$C$53="",Settings!$D$53=""),0,Settings!$C$53*IF(Settings!$D$53="Weekly",IF(IFERROR(MATCH(Settings!$E$53,$EO$4:$EO$10,0),0)=0,0,IF(MIN(Settings!$B$5,IF(Settings!$G$53="",Settings!$B$5,Settings!$G$53))&lt;MAX($A180,Settings!$F$53),0,INT((MIN(Settings!$B$5,IF(Settings!$G$53="",Settings!$B$5,Settings!$G$53))-MAX($A180,Settings!$F$53)-MOD(IFERROR(MATCH(Settings!$E$53,$EO$4:$EO$10,0),0)-WEEKDAY(MAX($A180,Settings!$F$53)),7))/7)+1)),IF(AND(IF(Settings!$E$53="",$B180,DATE(YEAR($A180),MONTH($A180),MIN(Settings!$E$53,DAY($B180))))&gt;=MAX($A180,Settings!$F$53),IF(Settings!$E$53="",$B180,DATE(YEAR($A180),MONTH($A180),MIN(Settings!$E$53,DAY($B180))))&lt;=MIN(Settings!$B$5,IF(Settings!$G$53="",Settings!$B$5,Settings!$G$53))),1,0)))))</f>
        <v/>
      </c>
      <c r="FC180">
        <f>IF($E180&lt;&gt;"open",0,IF(AND('Month-End'!$FU$31&lt;&gt;"",NOT(_xlfn.ISFORMULA('Month-End'!$FU$31))),0,IF(OR(Settings!$C$54="",Settings!$D$54=""),0,Settings!$C$54*IF(Settings!$D$54="Weekly",IF(IFERROR(MATCH(Settings!$E$54,$EO$4:$EO$10,0),0)=0,0,IF(MIN(Settings!$B$5,IF(Settings!$G$54="",Settings!$B$5,Settings!$G$54))&lt;MAX($A180,Settings!$F$54),0,INT((MIN(Settings!$B$5,IF(Settings!$G$54="",Settings!$B$5,Settings!$G$54))-MAX($A180,Settings!$F$54)-MOD(IFERROR(MATCH(Settings!$E$54,$EO$4:$EO$10,0),0)-WEEKDAY(MAX($A180,Settings!$F$54)),7))/7)+1)),IF(AND(IF(Settings!$E$54="",$B180,DATE(YEAR($A180),MONTH($A180),MIN(Settings!$E$54,DAY($B180))))&gt;=MAX($A180,Settings!$F$54),IF(Settings!$E$54="",$B180,DATE(YEAR($A180),MONTH($A180),MIN(Settings!$E$54,DAY($B180))))&lt;=MIN(Settings!$B$5,IF(Settings!$G$54="",Settings!$B$5,Settings!$G$54))),1,0)))))</f>
        <v/>
      </c>
      <c r="FD180">
        <f>IF($E180&lt;&gt;"open",0,IF(AND('Month-End'!$FU$32&lt;&gt;"",NOT(_xlfn.ISFORMULA('Month-End'!$FU$32))),0,IF(OR(Settings!$C$55="",Settings!$D$55=""),0,Settings!$C$55*IF(Settings!$D$55="Weekly",IF(IFERROR(MATCH(Settings!$E$55,$EO$4:$EO$10,0),0)=0,0,IF(MIN(Settings!$B$5,IF(Settings!$G$55="",Settings!$B$5,Settings!$G$55))&lt;MAX($A180,Settings!$F$55),0,INT((MIN(Settings!$B$5,IF(Settings!$G$55="",Settings!$B$5,Settings!$G$55))-MAX($A180,Settings!$F$55)-MOD(IFERROR(MATCH(Settings!$E$55,$EO$4:$EO$10,0),0)-WEEKDAY(MAX($A180,Settings!$F$55)),7))/7)+1)),IF(AND(IF(Settings!$E$55="",$B180,DATE(YEAR($A180),MONTH($A180),MIN(Settings!$E$55,DAY($B180))))&gt;=MAX($A180,Settings!$F$55),IF(Settings!$E$55="",$B180,DATE(YEAR($A180),MONTH($A180),MIN(Settings!$E$55,DAY($B180))))&lt;=MIN(Settings!$B$5,IF(Settings!$G$55="",Settings!$B$5,Settings!$G$55))),1,0)))))</f>
        <v/>
      </c>
      <c r="FE180">
        <f>IF($E180&lt;&gt;"open",0,IF(AND('Month-End'!$FU$33&lt;&gt;"",NOT(_xlfn.ISFORMULA('Month-End'!$FU$33))),0,IF(OR(Settings!$C$56="",Settings!$D$56=""),0,Settings!$C$56*IF(Settings!$D$56="Weekly",IF(IFERROR(MATCH(Settings!$E$56,$EO$4:$EO$10,0),0)=0,0,IF(MIN(Settings!$B$5,IF(Settings!$G$56="",Settings!$B$5,Settings!$G$56))&lt;MAX($A180,Settings!$F$56),0,INT((MIN(Settings!$B$5,IF(Settings!$G$56="",Settings!$B$5,Settings!$G$56))-MAX($A180,Settings!$F$56)-MOD(IFERROR(MATCH(Settings!$E$56,$EO$4:$EO$10,0),0)-WEEKDAY(MAX($A180,Settings!$F$56)),7))/7)+1)),IF(AND(IF(Settings!$E$56="",$B180,DATE(YEAR($A180),MONTH($A180),MIN(Settings!$E$56,DAY($B180))))&gt;=MAX($A180,Settings!$F$56),IF(Settings!$E$56="",$B180,DATE(YEAR($A180),MONTH($A180),MIN(Settings!$E$56,DAY($B180))))&lt;=MIN(Settings!$B$5,IF(Settings!$G$56="",Settings!$B$5,Settings!$G$56))),1,0)))))</f>
        <v/>
      </c>
      <c r="FF180">
        <f>IF(Settings!$I$45="Yes",$G180,0)+IF(Settings!$I$46="Yes",$H180,0)+IF(Settings!$I$47="Yes",$I180,0)+IF(Settings!$I$48="Yes",$J180,0)+IF(Settings!$I$49="Yes",$K180,0)+IF(Settings!$I$50="Yes",$L180,0)+IF(Settings!$I$51="Yes",$M180,0)+IF(Settings!$I$52="Yes",$N180,0)+IF(Settings!$I$53="Yes",$O180,0)+IF(Settings!$I$54="Yes",$P180,0)+IF(Settings!$I$55="Yes",$Q180,0)+IF(Settings!$I$56="Yes",$R180,0)</f>
        <v/>
      </c>
      <c r="FG180">
        <f>IF(AND(Settings!$I$45="Yes",Settings!$J$45="No"),$G180,0)+IF(AND(Settings!$I$46="Yes",Settings!$J$46="No"),$H180,0)+IF(AND(Settings!$I$47="Yes",Settings!$J$47="No"),$I180,0)+IF(AND(Settings!$I$48="Yes",Settings!$J$48="No"),$J180,0)+IF(AND(Settings!$I$49="Yes",Settings!$J$49="No"),$K180,0)+IF(AND(Settings!$I$50="Yes",Settings!$J$50="No"),$L180,0)+IF(AND(Settings!$I$51="Yes",Settings!$J$51="No"),$M180,0)+IF(AND(Settings!$I$52="Yes",Settings!$J$52="No"),$N180,0)+IF(AND(Settings!$I$53="Yes",Settings!$J$53="No"),$O180,0)+IF(AND(Settings!$I$54="Yes",Settings!$J$54="No"),$P180,0)+IF(AND(Settings!$I$55="Yes",Settings!$J$55="No"),$Q180,0)+IF(AND(Settings!$I$56="Yes",Settings!$J$56="No"),$R180,0)</f>
        <v/>
      </c>
      <c r="FH180">
        <f>SUMIFS(Giving!$B$7:$B$2006,Giving!$A$7:$A$2006,"&gt;="&amp;$A180,Giving!$A$7:$A$2006,"&lt;="&amp;$B180,Giving!$G$7:$G$2006,"Yes")+IF(OR(OR(Settings!$B$60="",Settings!$F$60="No"),Settings!$H$60&lt;&gt;"Yes"),0,Settings!$B$60*IF(AND(IF(Settings!$C$60="",$B180,DATE(YEAR($A180),MONTH($A180),MIN(Settings!$C$60,DAY($B180))))&gt;=MAX($A180,Settings!$D$60),IF(Settings!$C$60="",$B180,DATE(YEAR($A180),MONTH($A180),MIN(Settings!$C$60,DAY($B180))))&lt;=MIN($C180,IF(Settings!$E$60="",$C180,Settings!$E$60))),1,0))+IF(OR(OR(Settings!$B$61="",Settings!$F$61="No"),Settings!$H$61&lt;&gt;"Yes"),0,Settings!$B$61*IF(AND(IF(Settings!$C$61="",$B180,DATE(YEAR($A180),MONTH($A180),MIN(Settings!$C$61,DAY($B180))))&gt;=MAX($A180,Settings!$D$61),IF(Settings!$C$61="",$B180,DATE(YEAR($A180),MONTH($A180),MIN(Settings!$C$61,DAY($B180))))&lt;=MIN($C180,IF(Settings!$E$61="",$C180,Settings!$E$61))),1,0))+IF(OR(OR(Settings!$B$62="",Settings!$F$62="No"),Settings!$H$62&lt;&gt;"Yes"),0,Settings!$B$62*IF(AND(IF(Settings!$C$62="",$B180,DATE(YEAR($A180),MONTH($A180),MIN(Settings!$C$62,DAY($B180))))&gt;=MAX($A180,Settings!$D$62),IF(Settings!$C$62="",$B180,DATE(YEAR($A180),MONTH($A180),MIN(Settings!$C$62,DAY($B180))))&lt;=MIN($C180,IF(Settings!$E$62="",$C180,Settings!$E$62))),1,0))+IF(OR(OR(Settings!$B$63="",Settings!$F$63="No"),Settings!$H$63&lt;&gt;"Yes"),0,Settings!$B$63*IF(AND(IF(Settings!$C$63="",$B180,DATE(YEAR($A180),MONTH($A180),MIN(Settings!$C$63,DAY($B180))))&gt;=MAX($A180,Settings!$D$63),IF(Settings!$C$63="",$B180,DATE(YEAR($A180),MONTH($A180),MIN(Settings!$C$63,DAY($B180))))&lt;=MIN($C180,IF(Settings!$E$63="",$C180,Settings!$E$63))),1,0))+IF(OR(OR(Settings!$B$64="",Settings!$F$64="No"),Settings!$H$64&lt;&gt;"Yes"),0,Settings!$B$64*IF(AND(IF(Settings!$C$64="",$B180,DATE(YEAR($A180),MONTH($A180),MIN(Settings!$C$64,DAY($B180))))&gt;=MAX($A180,Settings!$D$64),IF(Settings!$C$64="",$B180,DATE(YEAR($A180),MONTH($A180),MIN(Settings!$C$64,DAY($B180))))&lt;=MIN($C180,IF(Settings!$E$64="",$C180,Settings!$E$64))),1,0))+IF(OR(OR(Settings!$B$65="",Settings!$F$65="No"),Settings!$H$65&lt;&gt;"Yes"),0,Settings!$B$65*IF(AND(IF(Settings!$C$65="",$B180,DATE(YEAR($A180),MONTH($A180),MIN(Settings!$C$65,DAY($B180))))&gt;=MAX($A180,Settings!$D$65),IF(Settings!$C$65="",$B180,DATE(YEAR($A180),MONTH($A180),MIN(Settings!$C$65,DAY($B180))))&lt;=MIN($C180,IF(Settings!$E$65="",$C180,Settings!$E$65))),1,0))</f>
        <v/>
      </c>
      <c r="FI180">
        <f>IF($DT180=1,IF(OR(Settings!$B$19="Card",Settings!$B$19="Loan"),N($AE180),0)+IF(OR(Settings!$B$20="Card",Settings!$B$20="Loan"),N($AF180),0)+IF(OR(Settings!$B$21="Card",Settings!$B$21="Loan"),N($AG180),0)+IF(OR(Settings!$B$22="Card",Settings!$B$22="Loan"),N($AH180),0)+IF(OR(Settings!$B$23="Card",Settings!$B$23="Loan"),N($AI180),0)+IF(OR(Settings!$B$24="Card",Settings!$B$24="Loan"),N($AJ180),0)+IF(OR(Settings!$B$25="Card",Settings!$B$25="Loan"),N($AK180),0)+IF(OR(Settings!$B$26="Card",Settings!$B$26="Loan"),N($AL180),0)+IF(OR(Settings!$B$27="Card",Settings!$B$27="Loan"),N($AM180),0)+IF(OR(Settings!$B$28="Card",Settings!$B$28="Loan"),N($AN180),0)+IF(OR(Settings!$B$29="Card",Settings!$B$29="Loan"),N($AO180),0)+IF(OR(Settings!$B$30="Card",Settings!$B$30="Loan"),N($AP180),0)+IF(OR(Settings!$B$31="Card",Settings!$B$31="Loan"),N($AQ180),0)+IF(OR(Settings!$B$32="Card",Settings!$B$32="Loan"),N($AR180),0),"")</f>
        <v/>
      </c>
      <c r="FJ180">
        <f>IF($E180="open",$EB$65,IF($E180="post",IF($E179="pre",$EB$65,$FI179),""))</f>
        <v/>
      </c>
      <c r="FK180">
        <f>IF(AND($DT180=1,$DC180=1),IF(ROUND($FI180-$FJ180,2)&gt;0,1,0),0)</f>
        <v/>
      </c>
      <c r="FL180">
        <f>IF($FK180=1,$FL179+1,0)</f>
        <v/>
      </c>
    </row>
    <row r="181">
      <c r="A181">
        <f>'Month-End'!$FV$4</f>
        <v/>
      </c>
      <c r="B181">
        <f>EOMONTH($A181,0)</f>
        <v/>
      </c>
      <c r="C181">
        <f>MIN($B181,TODAY())</f>
        <v/>
      </c>
      <c r="D181">
        <f>IF($A181&gt;TODAY(),1,0)</f>
        <v/>
      </c>
      <c r="E181">
        <f>IF($B181&lt;=Settings!$B$5,"pre",IF($A181&lt;=Settings!$B$5,"open","post"))</f>
        <v/>
      </c>
      <c r="G181">
        <f>IF('Month-End'!$FV$22="",$BE181,N('Month-End'!$FV$22))</f>
        <v/>
      </c>
      <c r="H181">
        <f>IF('Month-End'!$FV$23="",$BF181,N('Month-End'!$FV$23))</f>
        <v/>
      </c>
      <c r="I181">
        <f>IF('Month-End'!$FV$24="",$BG181,N('Month-End'!$FV$24))</f>
        <v/>
      </c>
      <c r="J181">
        <f>IF('Month-End'!$FV$25="",$BH181,N('Month-End'!$FV$25))</f>
        <v/>
      </c>
      <c r="K181">
        <f>IF('Month-End'!$FV$26="",$BI181,N('Month-End'!$FV$26))</f>
        <v/>
      </c>
      <c r="L181">
        <f>IF('Month-End'!$FV$27="",$BJ181,N('Month-End'!$FV$27))</f>
        <v/>
      </c>
      <c r="M181">
        <f>IF('Month-End'!$FV$28="",$BK181,N('Month-End'!$FV$28))</f>
        <v/>
      </c>
      <c r="N181">
        <f>IF('Month-End'!$FV$29="",$BL181,N('Month-End'!$FV$29))</f>
        <v/>
      </c>
      <c r="O181">
        <f>IF('Month-End'!$FV$30="",$BM181,N('Month-End'!$FV$30))</f>
        <v/>
      </c>
      <c r="P181">
        <f>IF('Month-End'!$FV$31="",$BN181,N('Month-End'!$FV$31))</f>
        <v/>
      </c>
      <c r="Q181">
        <f>IF('Month-End'!$FV$32="",$BO181,N('Month-End'!$FV$32))</f>
        <v/>
      </c>
      <c r="R181">
        <f>IF('Month-End'!$FV$33="",$BP181,N('Month-End'!$FV$33))</f>
        <v/>
      </c>
      <c r="S181">
        <f>$G181+$H181+$I181+$J181+$K181+$L181+$M181+$N181+$O181+$P181+$Q181+$R181</f>
        <v/>
      </c>
      <c r="T181">
        <f>IF($B181&lt;Settings!$B$6,0,IF(Settings!$B$45="Yes",$G181,0)+IF(Settings!$B$46="Yes",$H181,0)+IF(Settings!$B$47="Yes",$I181,0)+IF(Settings!$B$48="Yes",$J181,0)+IF(Settings!$B$49="Yes",$K181,0)+IF(Settings!$B$50="Yes",$L181,0)+IF(Settings!$B$51="Yes",$M181,0)+IF(Settings!$B$52="Yes",$N181,0)+IF(Settings!$B$53="Yes",$O181,0)+IF(Settings!$B$54="Yes",$P181,0)+IF(Settings!$B$55="Yes",$Q181,0)+IF(Settings!$B$56="Yes",$R181,0))</f>
        <v/>
      </c>
      <c r="U181">
        <f>IF(Settings!$B$45="Not Sure",$G181,0)+IF(Settings!$B$46="Not Sure",$H181,0)+IF(Settings!$B$47="Not Sure",$I181,0)+IF(Settings!$B$48="Not Sure",$J181,0)+IF(Settings!$B$49="Not Sure",$K181,0)+IF(Settings!$B$50="Not Sure",$L181,0)+IF(Settings!$B$51="Not Sure",$M181,0)+IF(Settings!$B$52="Not Sure",$N181,0)+IF(Settings!$B$53="Not Sure",$O181,0)+IF(Settings!$B$54="Not Sure",$P181,0)+IF(Settings!$B$55="Not Sure",$Q181,0)+IF(Settings!$B$56="Not Sure",$R181,0)</f>
        <v/>
      </c>
      <c r="V181">
        <f>IF($E181="open",SUM($ET181:$FE181)+N(Settings!$B$13),0)</f>
        <v/>
      </c>
      <c r="W181">
        <f>IF($E181="post",$S181,IF($E181="open",$S181-$V181,0))</f>
        <v/>
      </c>
      <c r="X181">
        <f>SUMIFS(Giving!$B$7:$B$2006,Giving!$A$7:$A$2006,"&gt;="&amp;$A181,Giving!$A$7:$A$2006,"&lt;="&amp;$B181,Giving!$E$7:$E$2006,"&lt;&gt;No")</f>
        <v/>
      </c>
      <c r="Y181">
        <f>SUMIFS(Giving!$B$7:$B$2006,Giving!$A$7:$A$2006,"&gt;="&amp;$A181,Giving!$A$7:$A$2006,"&lt;="&amp;$B181,Giving!$E$7:$E$2006,"No")</f>
        <v/>
      </c>
      <c r="Z181">
        <f>IF(OR(Settings!$B$60="",Settings!$F$60="No"),0,Settings!$B$60*IF(AND(IF(Settings!$C$60="",$B181,DATE(YEAR($A181),MONTH($A181),MIN(Settings!$C$60,DAY($B181))))&gt;=MAX($A181,Settings!$D$60),IF(Settings!$C$60="",$B181,DATE(YEAR($A181),MONTH($A181),MIN(Settings!$C$60,DAY($B181))))&lt;=MIN($C181,IF(Settings!$E$60="",$C181,Settings!$E$60))),1,0))+IF(OR(Settings!$B$61="",Settings!$F$61="No"),0,Settings!$B$61*IF(AND(IF(Settings!$C$61="",$B181,DATE(YEAR($A181),MONTH($A181),MIN(Settings!$C$61,DAY($B181))))&gt;=MAX($A181,Settings!$D$61),IF(Settings!$C$61="",$B181,DATE(YEAR($A181),MONTH($A181),MIN(Settings!$C$61,DAY($B181))))&lt;=MIN($C181,IF(Settings!$E$61="",$C181,Settings!$E$61))),1,0))+IF(OR(Settings!$B$62="",Settings!$F$62="No"),0,Settings!$B$62*IF(AND(IF(Settings!$C$62="",$B181,DATE(YEAR($A181),MONTH($A181),MIN(Settings!$C$62,DAY($B181))))&gt;=MAX($A181,Settings!$D$62),IF(Settings!$C$62="",$B181,DATE(YEAR($A181),MONTH($A181),MIN(Settings!$C$62,DAY($B181))))&lt;=MIN($C181,IF(Settings!$E$62="",$C181,Settings!$E$62))),1,0))+IF(OR(Settings!$B$63="",Settings!$F$63="No"),0,Settings!$B$63*IF(AND(IF(Settings!$C$63="",$B181,DATE(YEAR($A181),MONTH($A181),MIN(Settings!$C$63,DAY($B181))))&gt;=MAX($A181,Settings!$D$63),IF(Settings!$C$63="",$B181,DATE(YEAR($A181),MONTH($A181),MIN(Settings!$C$63,DAY($B181))))&lt;=MIN($C181,IF(Settings!$E$63="",$C181,Settings!$E$63))),1,0))+IF(OR(Settings!$B$64="",Settings!$F$64="No"),0,Settings!$B$64*IF(AND(IF(Settings!$C$64="",$B181,DATE(YEAR($A181),MONTH($A181),MIN(Settings!$C$64,DAY($B181))))&gt;=MAX($A181,Settings!$D$64),IF(Settings!$C$64="",$B181,DATE(YEAR($A181),MONTH($A181),MIN(Settings!$C$64,DAY($B181))))&lt;=MIN($C181,IF(Settings!$E$64="",$C181,Settings!$E$64))),1,0))+IF(OR(Settings!$B$65="",Settings!$F$65="No"),0,Settings!$B$65*IF(AND(IF(Settings!$C$65="",$B181,DATE(YEAR($A181),MONTH($A181),MIN(Settings!$C$65,DAY($B181))))&gt;=MAX($A181,Settings!$D$65),IF(Settings!$C$65="",$B181,DATE(YEAR($A181),MONTH($A181),MIN(Settings!$C$65,DAY($B181))))&lt;=MIN($C181,IF(Settings!$E$65="",$C181,Settings!$E$65))),1,0))</f>
        <v/>
      </c>
      <c r="AA181">
        <f>$X181+$Z181</f>
        <v/>
      </c>
      <c r="AB181">
        <f>IF($E181="post",$AA181,IF($E181="open",SUMIFS(Giving!$B$7:$B$2006,Giving!$A$7:$A$2006,"&gt;"&amp;Settings!$B$5,Giving!$A$7:$A$2006,"&lt;="&amp;$B181,Giving!$E$7:$E$2006,"&lt;&gt;No")+IF(OR(Settings!$B$60="",Settings!$F$60="No"),0,Settings!$B$60*IF(AND(IF(Settings!$C$60="",$B181,DATE(YEAR($A181),MONTH($A181),MIN(Settings!$C$60,DAY($B181))))&gt;=MAX($A181,Settings!$D$60,Settings!$B$5+1),IF(Settings!$C$60="",$B181,DATE(YEAR($A181),MONTH($A181),MIN(Settings!$C$60,DAY($B181))))&lt;=MIN($C181,IF(Settings!$E$60="",$C181,Settings!$E$60))),1,0))+IF(OR(Settings!$B$61="",Settings!$F$61="No"),0,Settings!$B$61*IF(AND(IF(Settings!$C$61="",$B181,DATE(YEAR($A181),MONTH($A181),MIN(Settings!$C$61,DAY($B181))))&gt;=MAX($A181,Settings!$D$61,Settings!$B$5+1),IF(Settings!$C$61="",$B181,DATE(YEAR($A181),MONTH($A181),MIN(Settings!$C$61,DAY($B181))))&lt;=MIN($C181,IF(Settings!$E$61="",$C181,Settings!$E$61))),1,0))+IF(OR(Settings!$B$62="",Settings!$F$62="No"),0,Settings!$B$62*IF(AND(IF(Settings!$C$62="",$B181,DATE(YEAR($A181),MONTH($A181),MIN(Settings!$C$62,DAY($B181))))&gt;=MAX($A181,Settings!$D$62,Settings!$B$5+1),IF(Settings!$C$62="",$B181,DATE(YEAR($A181),MONTH($A181),MIN(Settings!$C$62,DAY($B181))))&lt;=MIN($C181,IF(Settings!$E$62="",$C181,Settings!$E$62))),1,0))+IF(OR(Settings!$B$63="",Settings!$F$63="No"),0,Settings!$B$63*IF(AND(IF(Settings!$C$63="",$B181,DATE(YEAR($A181),MONTH($A181),MIN(Settings!$C$63,DAY($B181))))&gt;=MAX($A181,Settings!$D$63,Settings!$B$5+1),IF(Settings!$C$63="",$B181,DATE(YEAR($A181),MONTH($A181),MIN(Settings!$C$63,DAY($B181))))&lt;=MIN($C181,IF(Settings!$E$63="",$C181,Settings!$E$63))),1,0))+IF(OR(Settings!$B$64="",Settings!$F$64="No"),0,Settings!$B$64*IF(AND(IF(Settings!$C$64="",$B181,DATE(YEAR($A181),MONTH($A181),MIN(Settings!$C$64,DAY($B181))))&gt;=MAX($A181,Settings!$D$64,Settings!$B$5+1),IF(Settings!$C$64="",$B181,DATE(YEAR($A181),MONTH($A181),MIN(Settings!$C$64,DAY($B181))))&lt;=MIN($C181,IF(Settings!$E$64="",$C181,Settings!$E$64))),1,0))+IF(OR(Settings!$B$65="",Settings!$F$65="No"),0,Settings!$B$65*IF(AND(IF(Settings!$C$65="",$B181,DATE(YEAR($A181),MONTH($A181),MIN(Settings!$C$65,DAY($B181))))&gt;=MAX($A181,Settings!$D$65,Settings!$B$5+1),IF(Settings!$C$65="",$B181,DATE(YEAR($A181),MONTH($A181),MIN(Settings!$C$65,DAY($B181))))&lt;=MIN($C181,IF(Settings!$E$65="",$C181,Settings!$E$65))),1,0)),0))</f>
        <v/>
      </c>
      <c r="AC181">
        <f>$AY181+$AZ181+$BA181+$BB181+$BC181+$BD181</f>
        <v/>
      </c>
      <c r="AD181">
        <f>$AC181</f>
        <v/>
      </c>
      <c r="AE181">
        <f>IF(OR(Settings!$A$19="",$E181="pre"),"",IF(AND('Month-End'!$FV$7&lt;&gt;"",NOT(_xlfn.ISFORMULA('Month-End'!$FV$7))),N('Month-End'!$FV$7),IF(OR($E181="open",$E180="pre"),N(Settings!$C$19),N($AE180))))</f>
        <v/>
      </c>
      <c r="AF181">
        <f>IF(OR(Settings!$A$20="",$E181="pre"),"",IF(AND('Month-End'!$FV$8&lt;&gt;"",NOT(_xlfn.ISFORMULA('Month-End'!$FV$8))),N('Month-End'!$FV$8),IF(OR($E181="open",$E180="pre"),N(Settings!$C$20),N($AF180))))</f>
        <v/>
      </c>
      <c r="AG181">
        <f>IF(OR(Settings!$A$21="",$E181="pre"),"",IF(AND('Month-End'!$FV$9&lt;&gt;"",NOT(_xlfn.ISFORMULA('Month-End'!$FV$9))),N('Month-End'!$FV$9),IF(OR($E181="open",$E180="pre"),N(Settings!$C$21),N($AG180))))</f>
        <v/>
      </c>
      <c r="AH181">
        <f>IF(OR(Settings!$A$22="",$E181="pre"),"",IF(AND('Month-End'!$FV$10&lt;&gt;"",NOT(_xlfn.ISFORMULA('Month-End'!$FV$10))),N('Month-End'!$FV$10),IF(OR($E181="open",$E180="pre"),N(Settings!$C$22),N($AH180))))</f>
        <v/>
      </c>
      <c r="AI181">
        <f>IF(OR(Settings!$A$23="",$E181="pre"),"",IF(AND('Month-End'!$FV$11&lt;&gt;"",NOT(_xlfn.ISFORMULA('Month-End'!$FV$11))),N('Month-End'!$FV$11),IF(OR($E181="open",$E180="pre"),N(Settings!$C$23),N($AI180))))</f>
        <v/>
      </c>
      <c r="AJ181">
        <f>IF(OR(Settings!$A$24="",$E181="pre"),"",IF(AND('Month-End'!$FV$12&lt;&gt;"",NOT(_xlfn.ISFORMULA('Month-End'!$FV$12))),N('Month-End'!$FV$12),IF(OR($E181="open",$E180="pre"),N(Settings!$C$24),N($AJ180))))</f>
        <v/>
      </c>
      <c r="AK181">
        <f>IF(OR(Settings!$A$25="",$E181="pre"),"",IF(AND('Month-End'!$FV$13&lt;&gt;"",NOT(_xlfn.ISFORMULA('Month-End'!$FV$13))),N('Month-End'!$FV$13),IF(OR($E181="open",$E180="pre"),N(Settings!$C$25),N($AK180))))</f>
        <v/>
      </c>
      <c r="AL181">
        <f>IF(OR(Settings!$A$26="",$E181="pre"),"",IF(AND('Month-End'!$FV$14&lt;&gt;"",NOT(_xlfn.ISFORMULA('Month-End'!$FV$14))),N('Month-End'!$FV$14),IF(OR($E181="open",$E180="pre"),N(Settings!$C$26),N($AL180))))</f>
        <v/>
      </c>
      <c r="AM181">
        <f>IF(OR(Settings!$A$27="",$E181="pre"),"",IF(AND('Month-End'!$FV$15&lt;&gt;"",NOT(_xlfn.ISFORMULA('Month-End'!$FV$15))),N('Month-End'!$FV$15),IF(OR($E181="open",$E180="pre"),N(Settings!$C$27),N($AM180))))</f>
        <v/>
      </c>
      <c r="AN181">
        <f>IF(OR(Settings!$A$28="",$E181="pre"),"",IF(AND('Month-End'!$FV$16&lt;&gt;"",NOT(_xlfn.ISFORMULA('Month-End'!$FV$16))),N('Month-End'!$FV$16),IF(OR($E181="open",$E180="pre"),N(Settings!$C$28),N($AN180))))</f>
        <v/>
      </c>
      <c r="AO181">
        <f>IF(OR(Settings!$A$29="",$E181="pre"),"",IF(AND('Month-End'!$FV$17&lt;&gt;"",NOT(_xlfn.ISFORMULA('Month-End'!$FV$17))),N('Month-End'!$FV$17),IF(OR($E181="open",$E180="pre"),N(Settings!$C$29),N($AO180))))</f>
        <v/>
      </c>
      <c r="AP181">
        <f>IF(OR(Settings!$A$30="",$E181="pre"),"",IF(AND('Month-End'!$FV$18&lt;&gt;"",NOT(_xlfn.ISFORMULA('Month-End'!$FV$18))),N('Month-End'!$FV$18),IF(OR($E181="open",$E180="pre"),N(Settings!$C$30),N($AP180))))</f>
        <v/>
      </c>
      <c r="AQ181">
        <f>IF(OR(Settings!$A$31="",$E181="pre"),"",IF(AND('Month-End'!$FV$19&lt;&gt;"",NOT(_xlfn.ISFORMULA('Month-End'!$FV$19))),N('Month-End'!$FV$19),IF(OR($E181="open",$E180="pre"),N(Settings!$C$31),N($AQ180))))</f>
        <v/>
      </c>
      <c r="AR181">
        <f>IF(OR(Settings!$A$32="",$E181="pre"),"",IF(AND('Month-End'!$FV$20&lt;&gt;"",NOT(_xlfn.ISFORMULA('Month-End'!$FV$20))),N('Month-End'!$FV$20),IF(OR($E181="open",$E180="pre"),N(Settings!$C$32),N($AR180))))</f>
        <v/>
      </c>
      <c r="AS181">
        <f>IF(OR(Settings!$A$36="",$E181="pre"),"",IF(AND('Month-End'!$FV$38&lt;&gt;"",NOT(_xlfn.ISFORMULA('Month-End'!$FV$38))),N('Month-End'!$FV$38),IF(OR($E181="open",$E180="pre"),N(Settings!$C$36),N($AS180))+$AY181))</f>
        <v/>
      </c>
      <c r="AT181">
        <f>IF(OR(Settings!$A$37="",$E181="pre"),"",IF(AND('Month-End'!$FV$39&lt;&gt;"",NOT(_xlfn.ISFORMULA('Month-End'!$FV$39))),N('Month-End'!$FV$39),IF(OR($E181="open",$E180="pre"),N(Settings!$C$37),N($AT180))+$AZ181))</f>
        <v/>
      </c>
      <c r="AU181">
        <f>IF(OR(Settings!$A$38="",$E181="pre"),"",IF(AND('Month-End'!$FV$40&lt;&gt;"",NOT(_xlfn.ISFORMULA('Month-End'!$FV$40))),N('Month-End'!$FV$40),IF(OR($E181="open",$E180="pre"),N(Settings!$C$38),N($AU180))+$BA181))</f>
        <v/>
      </c>
      <c r="AV181">
        <f>IF(OR(Settings!$A$39="",$E181="pre"),"",IF(AND('Month-End'!$FV$41&lt;&gt;"",NOT(_xlfn.ISFORMULA('Month-End'!$FV$41))),N('Month-End'!$FV$41),IF(OR($E181="open",$E180="pre"),N(Settings!$C$39),N($AV180))+$BB181))</f>
        <v/>
      </c>
      <c r="AW181">
        <f>IF(OR(Settings!$A$40="",$E181="pre"),"",IF(AND('Month-End'!$FV$42&lt;&gt;"",NOT(_xlfn.ISFORMULA('Month-End'!$FV$42))),N('Month-End'!$FV$42),IF(OR($E181="open",$E180="pre"),N(Settings!$C$40),N($AW180))+$BC181))</f>
        <v/>
      </c>
      <c r="AX181">
        <f>IF(OR(Settings!$A$41="",$E181="pre"),"",IF(AND('Month-End'!$FV$43&lt;&gt;"",NOT(_xlfn.ISFORMULA('Month-End'!$FV$43))),N('Month-End'!$FV$43),IF(OR($E181="open",$E180="pre"),N(Settings!$C$41),N($AX180))+$BD181))</f>
        <v/>
      </c>
      <c r="AY181">
        <f>IF($E181="pre",0,N('Month-End'!$FV$45))</f>
        <v/>
      </c>
      <c r="AZ181">
        <f>IF($E181="pre",0,N('Month-End'!$FV$46))</f>
        <v/>
      </c>
      <c r="BA181">
        <f>IF($E181="pre",0,N('Month-End'!$FV$47))</f>
        <v/>
      </c>
      <c r="BB181">
        <f>IF($E181="pre",0,N('Month-End'!$FV$48))</f>
        <v/>
      </c>
      <c r="BC181">
        <f>IF($E181="pre",0,N('Month-End'!$FV$49))</f>
        <v/>
      </c>
      <c r="BD181">
        <f>IF($E181="pre",0,N('Month-End'!$FV$50))</f>
        <v/>
      </c>
      <c r="BE181">
        <f>IF(OR(Settings!$C$45="",Settings!$D$45=""),0,Settings!$C$45*IF(Settings!$D$45="Weekly",IF(IFERROR(MATCH(Settings!$E$45,$EO$4:$EO$10,0),0)=0,0,IF(MIN($C181,IF(Settings!$G$45="",$C181,Settings!$G$45))&lt;MAX($A181,Settings!$F$45),0,INT((MIN($C181,IF(Settings!$G$45="",$C181,Settings!$G$45))-MAX($A181,Settings!$F$45)-MOD(IFERROR(MATCH(Settings!$E$45,$EO$4:$EO$10,0),0)-WEEKDAY(MAX($A181,Settings!$F$45)),7))/7)+1)),IF(AND(IF(Settings!$E$45="",$B181,DATE(YEAR($A181),MONTH($A181),MIN(Settings!$E$45,DAY($B181))))&gt;=MAX($A181,Settings!$F$45),IF(Settings!$E$45="",$B181,DATE(YEAR($A181),MONTH($A181),MIN(Settings!$E$45,DAY($B181))))&lt;=MIN($C181,IF(Settings!$G$45="",$C181,Settings!$G$45))),1,0)))</f>
        <v/>
      </c>
      <c r="BF181">
        <f>IF(OR(Settings!$C$46="",Settings!$D$46=""),0,Settings!$C$46*IF(Settings!$D$46="Weekly",IF(IFERROR(MATCH(Settings!$E$46,$EO$4:$EO$10,0),0)=0,0,IF(MIN($C181,IF(Settings!$G$46="",$C181,Settings!$G$46))&lt;MAX($A181,Settings!$F$46),0,INT((MIN($C181,IF(Settings!$G$46="",$C181,Settings!$G$46))-MAX($A181,Settings!$F$46)-MOD(IFERROR(MATCH(Settings!$E$46,$EO$4:$EO$10,0),0)-WEEKDAY(MAX($A181,Settings!$F$46)),7))/7)+1)),IF(AND(IF(Settings!$E$46="",$B181,DATE(YEAR($A181),MONTH($A181),MIN(Settings!$E$46,DAY($B181))))&gt;=MAX($A181,Settings!$F$46),IF(Settings!$E$46="",$B181,DATE(YEAR($A181),MONTH($A181),MIN(Settings!$E$46,DAY($B181))))&lt;=MIN($C181,IF(Settings!$G$46="",$C181,Settings!$G$46))),1,0)))</f>
        <v/>
      </c>
      <c r="BG181">
        <f>IF(OR(Settings!$C$47="",Settings!$D$47=""),0,Settings!$C$47*IF(Settings!$D$47="Weekly",IF(IFERROR(MATCH(Settings!$E$47,$EO$4:$EO$10,0),0)=0,0,IF(MIN($C181,IF(Settings!$G$47="",$C181,Settings!$G$47))&lt;MAX($A181,Settings!$F$47),0,INT((MIN($C181,IF(Settings!$G$47="",$C181,Settings!$G$47))-MAX($A181,Settings!$F$47)-MOD(IFERROR(MATCH(Settings!$E$47,$EO$4:$EO$10,0),0)-WEEKDAY(MAX($A181,Settings!$F$47)),7))/7)+1)),IF(AND(IF(Settings!$E$47="",$B181,DATE(YEAR($A181),MONTH($A181),MIN(Settings!$E$47,DAY($B181))))&gt;=MAX($A181,Settings!$F$47),IF(Settings!$E$47="",$B181,DATE(YEAR($A181),MONTH($A181),MIN(Settings!$E$47,DAY($B181))))&lt;=MIN($C181,IF(Settings!$G$47="",$C181,Settings!$G$47))),1,0)))</f>
        <v/>
      </c>
      <c r="BH181">
        <f>IF(OR(Settings!$C$48="",Settings!$D$48=""),0,Settings!$C$48*IF(Settings!$D$48="Weekly",IF(IFERROR(MATCH(Settings!$E$48,$EO$4:$EO$10,0),0)=0,0,IF(MIN($C181,IF(Settings!$G$48="",$C181,Settings!$G$48))&lt;MAX($A181,Settings!$F$48),0,INT((MIN($C181,IF(Settings!$G$48="",$C181,Settings!$G$48))-MAX($A181,Settings!$F$48)-MOD(IFERROR(MATCH(Settings!$E$48,$EO$4:$EO$10,0),0)-WEEKDAY(MAX($A181,Settings!$F$48)),7))/7)+1)),IF(AND(IF(Settings!$E$48="",$B181,DATE(YEAR($A181),MONTH($A181),MIN(Settings!$E$48,DAY($B181))))&gt;=MAX($A181,Settings!$F$48),IF(Settings!$E$48="",$B181,DATE(YEAR($A181),MONTH($A181),MIN(Settings!$E$48,DAY($B181))))&lt;=MIN($C181,IF(Settings!$G$48="",$C181,Settings!$G$48))),1,0)))</f>
        <v/>
      </c>
      <c r="BI181">
        <f>IF(OR(Settings!$C$49="",Settings!$D$49=""),0,Settings!$C$49*IF(Settings!$D$49="Weekly",IF(IFERROR(MATCH(Settings!$E$49,$EO$4:$EO$10,0),0)=0,0,IF(MIN($C181,IF(Settings!$G$49="",$C181,Settings!$G$49))&lt;MAX($A181,Settings!$F$49),0,INT((MIN($C181,IF(Settings!$G$49="",$C181,Settings!$G$49))-MAX($A181,Settings!$F$49)-MOD(IFERROR(MATCH(Settings!$E$49,$EO$4:$EO$10,0),0)-WEEKDAY(MAX($A181,Settings!$F$49)),7))/7)+1)),IF(AND(IF(Settings!$E$49="",$B181,DATE(YEAR($A181),MONTH($A181),MIN(Settings!$E$49,DAY($B181))))&gt;=MAX($A181,Settings!$F$49),IF(Settings!$E$49="",$B181,DATE(YEAR($A181),MONTH($A181),MIN(Settings!$E$49,DAY($B181))))&lt;=MIN($C181,IF(Settings!$G$49="",$C181,Settings!$G$49))),1,0)))</f>
        <v/>
      </c>
      <c r="BJ181">
        <f>IF(OR(Settings!$C$50="",Settings!$D$50=""),0,Settings!$C$50*IF(Settings!$D$50="Weekly",IF(IFERROR(MATCH(Settings!$E$50,$EO$4:$EO$10,0),0)=0,0,IF(MIN($C181,IF(Settings!$G$50="",$C181,Settings!$G$50))&lt;MAX($A181,Settings!$F$50),0,INT((MIN($C181,IF(Settings!$G$50="",$C181,Settings!$G$50))-MAX($A181,Settings!$F$50)-MOD(IFERROR(MATCH(Settings!$E$50,$EO$4:$EO$10,0),0)-WEEKDAY(MAX($A181,Settings!$F$50)),7))/7)+1)),IF(AND(IF(Settings!$E$50="",$B181,DATE(YEAR($A181),MONTH($A181),MIN(Settings!$E$50,DAY($B181))))&gt;=MAX($A181,Settings!$F$50),IF(Settings!$E$50="",$B181,DATE(YEAR($A181),MONTH($A181),MIN(Settings!$E$50,DAY($B181))))&lt;=MIN($C181,IF(Settings!$G$50="",$C181,Settings!$G$50))),1,0)))</f>
        <v/>
      </c>
      <c r="BK181">
        <f>IF(OR(Settings!$C$51="",Settings!$D$51=""),0,Settings!$C$51*IF(Settings!$D$51="Weekly",IF(IFERROR(MATCH(Settings!$E$51,$EO$4:$EO$10,0),0)=0,0,IF(MIN($C181,IF(Settings!$G$51="",$C181,Settings!$G$51))&lt;MAX($A181,Settings!$F$51),0,INT((MIN($C181,IF(Settings!$G$51="",$C181,Settings!$G$51))-MAX($A181,Settings!$F$51)-MOD(IFERROR(MATCH(Settings!$E$51,$EO$4:$EO$10,0),0)-WEEKDAY(MAX($A181,Settings!$F$51)),7))/7)+1)),IF(AND(IF(Settings!$E$51="",$B181,DATE(YEAR($A181),MONTH($A181),MIN(Settings!$E$51,DAY($B181))))&gt;=MAX($A181,Settings!$F$51),IF(Settings!$E$51="",$B181,DATE(YEAR($A181),MONTH($A181),MIN(Settings!$E$51,DAY($B181))))&lt;=MIN($C181,IF(Settings!$G$51="",$C181,Settings!$G$51))),1,0)))</f>
        <v/>
      </c>
      <c r="BL181">
        <f>IF(OR(Settings!$C$52="",Settings!$D$52=""),0,Settings!$C$52*IF(Settings!$D$52="Weekly",IF(IFERROR(MATCH(Settings!$E$52,$EO$4:$EO$10,0),0)=0,0,IF(MIN($C181,IF(Settings!$G$52="",$C181,Settings!$G$52))&lt;MAX($A181,Settings!$F$52),0,INT((MIN($C181,IF(Settings!$G$52="",$C181,Settings!$G$52))-MAX($A181,Settings!$F$52)-MOD(IFERROR(MATCH(Settings!$E$52,$EO$4:$EO$10,0),0)-WEEKDAY(MAX($A181,Settings!$F$52)),7))/7)+1)),IF(AND(IF(Settings!$E$52="",$B181,DATE(YEAR($A181),MONTH($A181),MIN(Settings!$E$52,DAY($B181))))&gt;=MAX($A181,Settings!$F$52),IF(Settings!$E$52="",$B181,DATE(YEAR($A181),MONTH($A181),MIN(Settings!$E$52,DAY($B181))))&lt;=MIN($C181,IF(Settings!$G$52="",$C181,Settings!$G$52))),1,0)))</f>
        <v/>
      </c>
      <c r="BM181">
        <f>IF(OR(Settings!$C$53="",Settings!$D$53=""),0,Settings!$C$53*IF(Settings!$D$53="Weekly",IF(IFERROR(MATCH(Settings!$E$53,$EO$4:$EO$10,0),0)=0,0,IF(MIN($C181,IF(Settings!$G$53="",$C181,Settings!$G$53))&lt;MAX($A181,Settings!$F$53),0,INT((MIN($C181,IF(Settings!$G$53="",$C181,Settings!$G$53))-MAX($A181,Settings!$F$53)-MOD(IFERROR(MATCH(Settings!$E$53,$EO$4:$EO$10,0),0)-WEEKDAY(MAX($A181,Settings!$F$53)),7))/7)+1)),IF(AND(IF(Settings!$E$53="",$B181,DATE(YEAR($A181),MONTH($A181),MIN(Settings!$E$53,DAY($B181))))&gt;=MAX($A181,Settings!$F$53),IF(Settings!$E$53="",$B181,DATE(YEAR($A181),MONTH($A181),MIN(Settings!$E$53,DAY($B181))))&lt;=MIN($C181,IF(Settings!$G$53="",$C181,Settings!$G$53))),1,0)))</f>
        <v/>
      </c>
      <c r="BN181">
        <f>IF(OR(Settings!$C$54="",Settings!$D$54=""),0,Settings!$C$54*IF(Settings!$D$54="Weekly",IF(IFERROR(MATCH(Settings!$E$54,$EO$4:$EO$10,0),0)=0,0,IF(MIN($C181,IF(Settings!$G$54="",$C181,Settings!$G$54))&lt;MAX($A181,Settings!$F$54),0,INT((MIN($C181,IF(Settings!$G$54="",$C181,Settings!$G$54))-MAX($A181,Settings!$F$54)-MOD(IFERROR(MATCH(Settings!$E$54,$EO$4:$EO$10,0),0)-WEEKDAY(MAX($A181,Settings!$F$54)),7))/7)+1)),IF(AND(IF(Settings!$E$54="",$B181,DATE(YEAR($A181),MONTH($A181),MIN(Settings!$E$54,DAY($B181))))&gt;=MAX($A181,Settings!$F$54),IF(Settings!$E$54="",$B181,DATE(YEAR($A181),MONTH($A181),MIN(Settings!$E$54,DAY($B181))))&lt;=MIN($C181,IF(Settings!$G$54="",$C181,Settings!$G$54))),1,0)))</f>
        <v/>
      </c>
      <c r="BO181">
        <f>IF(OR(Settings!$C$55="",Settings!$D$55=""),0,Settings!$C$55*IF(Settings!$D$55="Weekly",IF(IFERROR(MATCH(Settings!$E$55,$EO$4:$EO$10,0),0)=0,0,IF(MIN($C181,IF(Settings!$G$55="",$C181,Settings!$G$55))&lt;MAX($A181,Settings!$F$55),0,INT((MIN($C181,IF(Settings!$G$55="",$C181,Settings!$G$55))-MAX($A181,Settings!$F$55)-MOD(IFERROR(MATCH(Settings!$E$55,$EO$4:$EO$10,0),0)-WEEKDAY(MAX($A181,Settings!$F$55)),7))/7)+1)),IF(AND(IF(Settings!$E$55="",$B181,DATE(YEAR($A181),MONTH($A181),MIN(Settings!$E$55,DAY($B181))))&gt;=MAX($A181,Settings!$F$55),IF(Settings!$E$55="",$B181,DATE(YEAR($A181),MONTH($A181),MIN(Settings!$E$55,DAY($B181))))&lt;=MIN($C181,IF(Settings!$G$55="",$C181,Settings!$G$55))),1,0)))</f>
        <v/>
      </c>
      <c r="BP181">
        <f>IF(OR(Settings!$C$56="",Settings!$D$56=""),0,Settings!$C$56*IF(Settings!$D$56="Weekly",IF(IFERROR(MATCH(Settings!$E$56,$EO$4:$EO$10,0),0)=0,0,IF(MIN($C181,IF(Settings!$G$56="",$C181,Settings!$G$56))&lt;MAX($A181,Settings!$F$56),0,INT((MIN($C181,IF(Settings!$G$56="",$C181,Settings!$G$56))-MAX($A181,Settings!$F$56)-MOD(IFERROR(MATCH(Settings!$E$56,$EO$4:$EO$10,0),0)-WEEKDAY(MAX($A181,Settings!$F$56)),7))/7)+1)),IF(AND(IF(Settings!$E$56="",$B181,DATE(YEAR($A181),MONTH($A181),MIN(Settings!$E$56,DAY($B181))))&gt;=MAX($A181,Settings!$F$56),IF(Settings!$E$56="",$B181,DATE(YEAR($A181),MONTH($A181),MIN(Settings!$E$56,DAY($B181))))&lt;=MIN($C181,IF(Settings!$G$56="",$C181,Settings!$G$56))),1,0)))</f>
        <v/>
      </c>
      <c r="BQ181">
        <f>IF(OR(Settings!$B$14="",$D181=1,$E181="pre",$A181&lt;IF(Settings!$B$15="",0,Settings!$B$15)),0,Settings!$B$14)</f>
        <v/>
      </c>
      <c r="BR181">
        <f>IF(AND('Month-End'!$FV$7&lt;&gt;"",NOT(_xlfn.ISFORMULA('Month-End'!$FV$7))),1,0)</f>
        <v/>
      </c>
      <c r="BS181">
        <f>IF(AND('Month-End'!$FV$8&lt;&gt;"",NOT(_xlfn.ISFORMULA('Month-End'!$FV$8))),1,0)</f>
        <v/>
      </c>
      <c r="BT181">
        <f>IF(AND('Month-End'!$FV$9&lt;&gt;"",NOT(_xlfn.ISFORMULA('Month-End'!$FV$9))),1,0)</f>
        <v/>
      </c>
      <c r="BU181">
        <f>IF(AND('Month-End'!$FV$10&lt;&gt;"",NOT(_xlfn.ISFORMULA('Month-End'!$FV$10))),1,0)</f>
        <v/>
      </c>
      <c r="BV181">
        <f>IF(AND('Month-End'!$FV$11&lt;&gt;"",NOT(_xlfn.ISFORMULA('Month-End'!$FV$11))),1,0)</f>
        <v/>
      </c>
      <c r="BW181">
        <f>IF(AND('Month-End'!$FV$12&lt;&gt;"",NOT(_xlfn.ISFORMULA('Month-End'!$FV$12))),1,0)</f>
        <v/>
      </c>
      <c r="BX181">
        <f>IF(AND('Month-End'!$FV$13&lt;&gt;"",NOT(_xlfn.ISFORMULA('Month-End'!$FV$13))),1,0)</f>
        <v/>
      </c>
      <c r="BY181">
        <f>IF(AND('Month-End'!$FV$14&lt;&gt;"",NOT(_xlfn.ISFORMULA('Month-End'!$FV$14))),1,0)</f>
        <v/>
      </c>
      <c r="BZ181">
        <f>IF(AND('Month-End'!$FV$15&lt;&gt;"",NOT(_xlfn.ISFORMULA('Month-End'!$FV$15))),1,0)</f>
        <v/>
      </c>
      <c r="CA181">
        <f>IF(AND('Month-End'!$FV$16&lt;&gt;"",NOT(_xlfn.ISFORMULA('Month-End'!$FV$16))),1,0)</f>
        <v/>
      </c>
      <c r="CB181">
        <f>IF(AND('Month-End'!$FV$17&lt;&gt;"",NOT(_xlfn.ISFORMULA('Month-End'!$FV$17))),1,0)</f>
        <v/>
      </c>
      <c r="CC181">
        <f>IF(AND('Month-End'!$FV$18&lt;&gt;"",NOT(_xlfn.ISFORMULA('Month-End'!$FV$18))),1,0)</f>
        <v/>
      </c>
      <c r="CD181">
        <f>IF(AND('Month-End'!$FV$19&lt;&gt;"",NOT(_xlfn.ISFORMULA('Month-End'!$FV$19))),1,0)</f>
        <v/>
      </c>
      <c r="CE181">
        <f>IF(AND('Month-End'!$FV$20&lt;&gt;"",NOT(_xlfn.ISFORMULA('Month-End'!$FV$20))),1,0)</f>
        <v/>
      </c>
      <c r="CF181">
        <f>IF(AND('Month-End'!$FV$38&lt;&gt;"",NOT(_xlfn.ISFORMULA('Month-End'!$FV$38))),1,0)</f>
        <v/>
      </c>
      <c r="CG181">
        <f>IF(AND('Month-End'!$FV$39&lt;&gt;"",NOT(_xlfn.ISFORMULA('Month-End'!$FV$39))),1,0)</f>
        <v/>
      </c>
      <c r="CH181">
        <f>IF(AND('Month-End'!$FV$40&lt;&gt;"",NOT(_xlfn.ISFORMULA('Month-End'!$FV$40))),1,0)</f>
        <v/>
      </c>
      <c r="CI181">
        <f>IF(AND('Month-End'!$FV$41&lt;&gt;"",NOT(_xlfn.ISFORMULA('Month-End'!$FV$41))),1,0)</f>
        <v/>
      </c>
      <c r="CJ181">
        <f>IF(AND('Month-End'!$FV$42&lt;&gt;"",NOT(_xlfn.ISFORMULA('Month-End'!$FV$42))),1,0)</f>
        <v/>
      </c>
      <c r="CK181">
        <f>IF(AND('Month-End'!$FV$43&lt;&gt;"",NOT(_xlfn.ISFORMULA('Month-End'!$FV$43))),1,0)</f>
        <v/>
      </c>
      <c r="CL181">
        <f>SUM($CM181:$CZ181)</f>
        <v/>
      </c>
      <c r="CM181">
        <f>IF(AND($E181&lt;&gt;"pre",AND(Settings!$A$19&lt;&gt;"",Settings!$E$19&lt;&gt;"No"),Settings!$F$19="Yes",NOT(AND('Month-End'!$FV$7&lt;&gt;"",NOT(_xlfn.ISFORMULA('Month-End'!$FV$7))))),1,0)</f>
        <v/>
      </c>
      <c r="CN181">
        <f>IF(AND($E181&lt;&gt;"pre",AND(Settings!$A$20&lt;&gt;"",Settings!$E$20&lt;&gt;"No"),Settings!$F$20="Yes",NOT(AND('Month-End'!$FV$8&lt;&gt;"",NOT(_xlfn.ISFORMULA('Month-End'!$FV$8))))),1,0)</f>
        <v/>
      </c>
      <c r="CO181">
        <f>IF(AND($E181&lt;&gt;"pre",AND(Settings!$A$21&lt;&gt;"",Settings!$E$21&lt;&gt;"No"),Settings!$F$21="Yes",NOT(AND('Month-End'!$FV$9&lt;&gt;"",NOT(_xlfn.ISFORMULA('Month-End'!$FV$9))))),1,0)</f>
        <v/>
      </c>
      <c r="CP181">
        <f>IF(AND($E181&lt;&gt;"pre",AND(Settings!$A$22&lt;&gt;"",Settings!$E$22&lt;&gt;"No"),Settings!$F$22="Yes",NOT(AND('Month-End'!$FV$10&lt;&gt;"",NOT(_xlfn.ISFORMULA('Month-End'!$FV$10))))),1,0)</f>
        <v/>
      </c>
      <c r="CQ181">
        <f>IF(AND($E181&lt;&gt;"pre",AND(Settings!$A$23&lt;&gt;"",Settings!$E$23&lt;&gt;"No"),Settings!$F$23="Yes",NOT(AND('Month-End'!$FV$11&lt;&gt;"",NOT(_xlfn.ISFORMULA('Month-End'!$FV$11))))),1,0)</f>
        <v/>
      </c>
      <c r="CR181">
        <f>IF(AND($E181&lt;&gt;"pre",AND(Settings!$A$24&lt;&gt;"",Settings!$E$24&lt;&gt;"No"),Settings!$F$24="Yes",NOT(AND('Month-End'!$FV$12&lt;&gt;"",NOT(_xlfn.ISFORMULA('Month-End'!$FV$12))))),1,0)</f>
        <v/>
      </c>
      <c r="CS181">
        <f>IF(AND($E181&lt;&gt;"pre",AND(Settings!$A$25&lt;&gt;"",Settings!$E$25&lt;&gt;"No"),Settings!$F$25="Yes",NOT(AND('Month-End'!$FV$13&lt;&gt;"",NOT(_xlfn.ISFORMULA('Month-End'!$FV$13))))),1,0)</f>
        <v/>
      </c>
      <c r="CT181">
        <f>IF(AND($E181&lt;&gt;"pre",AND(Settings!$A$26&lt;&gt;"",Settings!$E$26&lt;&gt;"No"),Settings!$F$26="Yes",NOT(AND('Month-End'!$FV$14&lt;&gt;"",NOT(_xlfn.ISFORMULA('Month-End'!$FV$14))))),1,0)</f>
        <v/>
      </c>
      <c r="CU181">
        <f>IF(AND($E181&lt;&gt;"pre",AND(Settings!$A$27&lt;&gt;"",Settings!$E$27&lt;&gt;"No"),Settings!$F$27="Yes",NOT(AND('Month-End'!$FV$15&lt;&gt;"",NOT(_xlfn.ISFORMULA('Month-End'!$FV$15))))),1,0)</f>
        <v/>
      </c>
      <c r="CV181">
        <f>IF(AND($E181&lt;&gt;"pre",AND(Settings!$A$28&lt;&gt;"",Settings!$E$28&lt;&gt;"No"),Settings!$F$28="Yes",NOT(AND('Month-End'!$FV$16&lt;&gt;"",NOT(_xlfn.ISFORMULA('Month-End'!$FV$16))))),1,0)</f>
        <v/>
      </c>
      <c r="CW181">
        <f>IF(AND($E181&lt;&gt;"pre",AND(Settings!$A$29&lt;&gt;"",Settings!$E$29&lt;&gt;"No"),Settings!$F$29="Yes",NOT(AND('Month-End'!$FV$17&lt;&gt;"",NOT(_xlfn.ISFORMULA('Month-End'!$FV$17))))),1,0)</f>
        <v/>
      </c>
      <c r="CX181">
        <f>IF(AND($E181&lt;&gt;"pre",AND(Settings!$A$30&lt;&gt;"",Settings!$E$30&lt;&gt;"No"),Settings!$F$30="Yes",NOT(AND('Month-End'!$FV$18&lt;&gt;"",NOT(_xlfn.ISFORMULA('Month-End'!$FV$18))))),1,0)</f>
        <v/>
      </c>
      <c r="CY181">
        <f>IF(AND($E181&lt;&gt;"pre",AND(Settings!$A$31&lt;&gt;"",Settings!$E$31&lt;&gt;"No"),Settings!$F$31="Yes",NOT(AND('Month-End'!$FV$19&lt;&gt;"",NOT(_xlfn.ISFORMULA('Month-End'!$FV$19))))),1,0)</f>
        <v/>
      </c>
      <c r="CZ181">
        <f>IF(AND($E181&lt;&gt;"pre",AND(Settings!$A$32&lt;&gt;"",Settings!$E$32&lt;&gt;"No"),Settings!$F$32="Yes",NOT(AND('Month-End'!$FV$20&lt;&gt;"",NOT(_xlfn.ISFORMULA('Month-End'!$FV$20))))),1,0)</f>
        <v/>
      </c>
      <c r="DA181">
        <f>IF($DT181=1,IF(OR(Settings!$B$19="Checking",Settings!$B$19="Savings",Settings!$B$19="Cash"),N($AE181),IF(OR(Settings!$B$19="Card",Settings!$B$19="Loan"),-N($AE181),0))+IF(OR(Settings!$B$20="Checking",Settings!$B$20="Savings",Settings!$B$20="Cash"),N($AF181),IF(OR(Settings!$B$20="Card",Settings!$B$20="Loan"),-N($AF181),0))+IF(OR(Settings!$B$21="Checking",Settings!$B$21="Savings",Settings!$B$21="Cash"),N($AG181),IF(OR(Settings!$B$21="Card",Settings!$B$21="Loan"),-N($AG181),0))+IF(OR(Settings!$B$22="Checking",Settings!$B$22="Savings",Settings!$B$22="Cash"),N($AH181),IF(OR(Settings!$B$22="Card",Settings!$B$22="Loan"),-N($AH181),0))+IF(OR(Settings!$B$23="Checking",Settings!$B$23="Savings",Settings!$B$23="Cash"),N($AI181),IF(OR(Settings!$B$23="Card",Settings!$B$23="Loan"),-N($AI181),0))+IF(OR(Settings!$B$24="Checking",Settings!$B$24="Savings",Settings!$B$24="Cash"),N($AJ181),IF(OR(Settings!$B$24="Card",Settings!$B$24="Loan"),-N($AJ181),0))+IF(OR(Settings!$B$25="Checking",Settings!$B$25="Savings",Settings!$B$25="Cash"),N($AK181),IF(OR(Settings!$B$25="Card",Settings!$B$25="Loan"),-N($AK181),0))+IF(OR(Settings!$B$26="Checking",Settings!$B$26="Savings",Settings!$B$26="Cash"),N($AL181),IF(OR(Settings!$B$26="Card",Settings!$B$26="Loan"),-N($AL181),0))+IF(OR(Settings!$B$27="Checking",Settings!$B$27="Savings",Settings!$B$27="Cash"),N($AM181),IF(OR(Settings!$B$27="Card",Settings!$B$27="Loan"),-N($AM181),0))+IF(OR(Settings!$B$28="Checking",Settings!$B$28="Savings",Settings!$B$28="Cash"),N($AN181),IF(OR(Settings!$B$28="Card",Settings!$B$28="Loan"),-N($AN181),0))+IF(OR(Settings!$B$29="Checking",Settings!$B$29="Savings",Settings!$B$29="Cash"),N($AO181),IF(OR(Settings!$B$29="Card",Settings!$B$29="Loan"),-N($AO181),0))+IF(OR(Settings!$B$30="Checking",Settings!$B$30="Savings",Settings!$B$30="Cash"),N($AP181),IF(OR(Settings!$B$30="Card",Settings!$B$30="Loan"),-N($AP181),0))+IF(OR(Settings!$B$31="Checking",Settings!$B$31="Savings",Settings!$B$31="Cash"),N($AQ181),IF(OR(Settings!$B$31="Card",Settings!$B$31="Loan"),-N($AQ181),0))+IF(OR(Settings!$B$32="Checking",Settings!$B$32="Savings",Settings!$B$32="Cash"),N($AR181),IF(OR(Settings!$B$32="Card",Settings!$B$32="Loan"),-N($AR181),0)),"")</f>
        <v/>
      </c>
      <c r="DB181">
        <f>IF($E181="open",$EB$27,IF($E181="post",IF($E180="pre",$EB$27,$DA180),""))</f>
        <v/>
      </c>
      <c r="DC181">
        <f>IF($E181="open",1,IF($E181="post",IF($E180="pre",1,$DT180),0))</f>
        <v/>
      </c>
      <c r="DD181">
        <f>IF(AND($DT181=1,$DC181=1),ROUND($W181-($DA181-$DB181)-$AD181-$AB181,2),"")</f>
        <v/>
      </c>
      <c r="DE181">
        <f>IF('Month-End'!$FV$35="",$BQ181,N('Month-End'!$FV$35))</f>
        <v/>
      </c>
      <c r="DF181">
        <f>N('Month-End'!$FV$36)</f>
        <v/>
      </c>
      <c r="DG181">
        <f>IF($DD181="","",$DD181+$DE181)</f>
        <v/>
      </c>
      <c r="DH181">
        <f>IF($DG181="","",$DG181-$DF181)</f>
        <v/>
      </c>
      <c r="DI181">
        <f>IF(OR($E181="pre",$D181=1),"",N($AS181)+N($AT181)+N($AU181)+N($AV181)+N($AW181)+N($AX181))</f>
        <v/>
      </c>
      <c r="DJ181">
        <f>IF($DT181=1,$DA181+N($DI181),"")</f>
        <v/>
      </c>
      <c r="DK181">
        <f>IF($DD181="","",$W181-$DD181-$AB181)</f>
        <v/>
      </c>
      <c r="DL181">
        <f>IF(AND($E181="post",$DD181&lt;&gt;"",$B181&lt;TODAY()),1,0)</f>
        <v/>
      </c>
      <c r="DM181">
        <f>IF($DL181=1,COUNTIF($DL181:$DL$183,1),0)</f>
        <v/>
      </c>
      <c r="DN181">
        <f>IF($D181=1,"",IF($E181="pre","History only",IF($DT181=1,IF($DD181="","⚠ Previous month missing",IF($DD181&lt;0,"⚠ Check: spending &lt; 0",IF($E181="open","✓ Done (partial)","✓ Done"))),IF($B181&gt;=TODAY(),"In progress","⚠ Needs balances"))))</f>
        <v/>
      </c>
      <c r="DO181">
        <f>YEAR($A181)</f>
        <v/>
      </c>
      <c r="DP181">
        <f>DATE(YEAR($A181),INT((MONTH($A181)-1)/3)*3+1,1)</f>
        <v/>
      </c>
      <c r="DQ181">
        <f>IF(AND($DT181=1,$DD181&lt;&gt;"",$D181=0),ROW(),0)</f>
        <v/>
      </c>
      <c r="DR181">
        <f>IF(AND($E181&lt;&gt;"pre",$B181&lt;TODAY(),$DT181=0),1,0)</f>
        <v/>
      </c>
      <c r="DS181">
        <f>IF($DJ181="",NA(),$DJ181)</f>
        <v/>
      </c>
      <c r="DT181">
        <f>IF(AND($E181&lt;&gt;"pre",$CL181=0,COUNTIFS(Settings!$F$19:$F$32,"Yes",Settings!$A$19:$A$32,"&lt;&gt;",Settings!$E$19:$E$32,"&lt;&gt;No")&gt;0),1,0)</f>
        <v/>
      </c>
      <c r="DU181">
        <f>IF(AND($B181&lt;TODAY(),$S181&gt;0),1,0)</f>
        <v/>
      </c>
      <c r="DV181">
        <f>IF($DU181=1,COUNTIF($DU181:$DU$183,1),0)</f>
        <v/>
      </c>
      <c r="DW181">
        <f>IF(AND(OR(Settings!$B$19="Card",Settings!$B$19="Loan"),AND('Month-End'!$FV$7&lt;&gt;"",NOT(_xlfn.ISFORMULA('Month-End'!$FV$7)))),IF(N('Month-End'!$FV$7)&lt;0,1,0),0)+IF(AND(OR(Settings!$B$20="Card",Settings!$B$20="Loan"),AND('Month-End'!$FV$8&lt;&gt;"",NOT(_xlfn.ISFORMULA('Month-End'!$FV$8)))),IF(N('Month-End'!$FV$8)&lt;0,1,0),0)+IF(AND(OR(Settings!$B$21="Card",Settings!$B$21="Loan"),AND('Month-End'!$FV$9&lt;&gt;"",NOT(_xlfn.ISFORMULA('Month-End'!$FV$9)))),IF(N('Month-End'!$FV$9)&lt;0,1,0),0)+IF(AND(OR(Settings!$B$22="Card",Settings!$B$22="Loan"),AND('Month-End'!$FV$10&lt;&gt;"",NOT(_xlfn.ISFORMULA('Month-End'!$FV$10)))),IF(N('Month-End'!$FV$10)&lt;0,1,0),0)+IF(AND(OR(Settings!$B$23="Card",Settings!$B$23="Loan"),AND('Month-End'!$FV$11&lt;&gt;"",NOT(_xlfn.ISFORMULA('Month-End'!$FV$11)))),IF(N('Month-End'!$FV$11)&lt;0,1,0),0)+IF(AND(OR(Settings!$B$24="Card",Settings!$B$24="Loan"),AND('Month-End'!$FV$12&lt;&gt;"",NOT(_xlfn.ISFORMULA('Month-End'!$FV$12)))),IF(N('Month-End'!$FV$12)&lt;0,1,0),0)+IF(AND(OR(Settings!$B$25="Card",Settings!$B$25="Loan"),AND('Month-End'!$FV$13&lt;&gt;"",NOT(_xlfn.ISFORMULA('Month-End'!$FV$13)))),IF(N('Month-End'!$FV$13)&lt;0,1,0),0)+IF(AND(OR(Settings!$B$26="Card",Settings!$B$26="Loan"),AND('Month-End'!$FV$14&lt;&gt;"",NOT(_xlfn.ISFORMULA('Month-End'!$FV$14)))),IF(N('Month-End'!$FV$14)&lt;0,1,0),0)+IF(AND(OR(Settings!$B$27="Card",Settings!$B$27="Loan"),AND('Month-End'!$FV$15&lt;&gt;"",NOT(_xlfn.ISFORMULA('Month-End'!$FV$15)))),IF(N('Month-End'!$FV$15)&lt;0,1,0),0)+IF(AND(OR(Settings!$B$28="Card",Settings!$B$28="Loan"),AND('Month-End'!$FV$16&lt;&gt;"",NOT(_xlfn.ISFORMULA('Month-End'!$FV$16)))),IF(N('Month-End'!$FV$16)&lt;0,1,0),0)+IF(AND(OR(Settings!$B$29="Card",Settings!$B$29="Loan"),AND('Month-End'!$FV$17&lt;&gt;"",NOT(_xlfn.ISFORMULA('Month-End'!$FV$17)))),IF(N('Month-End'!$FV$17)&lt;0,1,0),0)+IF(AND(OR(Settings!$B$30="Card",Settings!$B$30="Loan"),AND('Month-End'!$FV$18&lt;&gt;"",NOT(_xlfn.ISFORMULA('Month-End'!$FV$18)))),IF(N('Month-End'!$FV$18)&lt;0,1,0),0)+IF(AND(OR(Settings!$B$31="Card",Settings!$B$31="Loan"),AND('Month-End'!$FV$19&lt;&gt;"",NOT(_xlfn.ISFORMULA('Month-End'!$FV$19)))),IF(N('Month-End'!$FV$19)&lt;0,1,0),0)+IF(AND(OR(Settings!$B$32="Card",Settings!$B$32="Loan"),AND('Month-End'!$FV$20&lt;&gt;"",NOT(_xlfn.ISFORMULA('Month-End'!$FV$20)))),IF(N('Month-End'!$FV$20)&lt;0,1,0),0)</f>
        <v/>
      </c>
      <c r="DX181">
        <f>IF(Settings!$B$36="Retirement",$AY181,0)+IF(Settings!$B$37="Retirement",$AZ181,0)+IF(Settings!$B$38="Retirement",$BA181,0)+IF(Settings!$B$39="Retirement",$BB181,0)+IF(Settings!$B$40="Retirement",$BC181,0)+IF(Settings!$B$41="Retirement",$BD181,0)</f>
        <v/>
      </c>
      <c r="ET181">
        <f>IF($E181&lt;&gt;"open",0,IF(AND('Month-End'!$FV$22&lt;&gt;"",NOT(_xlfn.ISFORMULA('Month-End'!$FV$22))),0,IF(OR(Settings!$C$45="",Settings!$D$45=""),0,Settings!$C$45*IF(Settings!$D$45="Weekly",IF(IFERROR(MATCH(Settings!$E$45,$EO$4:$EO$10,0),0)=0,0,IF(MIN(Settings!$B$5,IF(Settings!$G$45="",Settings!$B$5,Settings!$G$45))&lt;MAX($A181,Settings!$F$45),0,INT((MIN(Settings!$B$5,IF(Settings!$G$45="",Settings!$B$5,Settings!$G$45))-MAX($A181,Settings!$F$45)-MOD(IFERROR(MATCH(Settings!$E$45,$EO$4:$EO$10,0),0)-WEEKDAY(MAX($A181,Settings!$F$45)),7))/7)+1)),IF(AND(IF(Settings!$E$45="",$B181,DATE(YEAR($A181),MONTH($A181),MIN(Settings!$E$45,DAY($B181))))&gt;=MAX($A181,Settings!$F$45),IF(Settings!$E$45="",$B181,DATE(YEAR($A181),MONTH($A181),MIN(Settings!$E$45,DAY($B181))))&lt;=MIN(Settings!$B$5,IF(Settings!$G$45="",Settings!$B$5,Settings!$G$45))),1,0)))))</f>
        <v/>
      </c>
      <c r="EU181">
        <f>IF($E181&lt;&gt;"open",0,IF(AND('Month-End'!$FV$23&lt;&gt;"",NOT(_xlfn.ISFORMULA('Month-End'!$FV$23))),0,IF(OR(Settings!$C$46="",Settings!$D$46=""),0,Settings!$C$46*IF(Settings!$D$46="Weekly",IF(IFERROR(MATCH(Settings!$E$46,$EO$4:$EO$10,0),0)=0,0,IF(MIN(Settings!$B$5,IF(Settings!$G$46="",Settings!$B$5,Settings!$G$46))&lt;MAX($A181,Settings!$F$46),0,INT((MIN(Settings!$B$5,IF(Settings!$G$46="",Settings!$B$5,Settings!$G$46))-MAX($A181,Settings!$F$46)-MOD(IFERROR(MATCH(Settings!$E$46,$EO$4:$EO$10,0),0)-WEEKDAY(MAX($A181,Settings!$F$46)),7))/7)+1)),IF(AND(IF(Settings!$E$46="",$B181,DATE(YEAR($A181),MONTH($A181),MIN(Settings!$E$46,DAY($B181))))&gt;=MAX($A181,Settings!$F$46),IF(Settings!$E$46="",$B181,DATE(YEAR($A181),MONTH($A181),MIN(Settings!$E$46,DAY($B181))))&lt;=MIN(Settings!$B$5,IF(Settings!$G$46="",Settings!$B$5,Settings!$G$46))),1,0)))))</f>
        <v/>
      </c>
      <c r="EV181">
        <f>IF($E181&lt;&gt;"open",0,IF(AND('Month-End'!$FV$24&lt;&gt;"",NOT(_xlfn.ISFORMULA('Month-End'!$FV$24))),0,IF(OR(Settings!$C$47="",Settings!$D$47=""),0,Settings!$C$47*IF(Settings!$D$47="Weekly",IF(IFERROR(MATCH(Settings!$E$47,$EO$4:$EO$10,0),0)=0,0,IF(MIN(Settings!$B$5,IF(Settings!$G$47="",Settings!$B$5,Settings!$G$47))&lt;MAX($A181,Settings!$F$47),0,INT((MIN(Settings!$B$5,IF(Settings!$G$47="",Settings!$B$5,Settings!$G$47))-MAX($A181,Settings!$F$47)-MOD(IFERROR(MATCH(Settings!$E$47,$EO$4:$EO$10,0),0)-WEEKDAY(MAX($A181,Settings!$F$47)),7))/7)+1)),IF(AND(IF(Settings!$E$47="",$B181,DATE(YEAR($A181),MONTH($A181),MIN(Settings!$E$47,DAY($B181))))&gt;=MAX($A181,Settings!$F$47),IF(Settings!$E$47="",$B181,DATE(YEAR($A181),MONTH($A181),MIN(Settings!$E$47,DAY($B181))))&lt;=MIN(Settings!$B$5,IF(Settings!$G$47="",Settings!$B$5,Settings!$G$47))),1,0)))))</f>
        <v/>
      </c>
      <c r="EW181">
        <f>IF($E181&lt;&gt;"open",0,IF(AND('Month-End'!$FV$25&lt;&gt;"",NOT(_xlfn.ISFORMULA('Month-End'!$FV$25))),0,IF(OR(Settings!$C$48="",Settings!$D$48=""),0,Settings!$C$48*IF(Settings!$D$48="Weekly",IF(IFERROR(MATCH(Settings!$E$48,$EO$4:$EO$10,0),0)=0,0,IF(MIN(Settings!$B$5,IF(Settings!$G$48="",Settings!$B$5,Settings!$G$48))&lt;MAX($A181,Settings!$F$48),0,INT((MIN(Settings!$B$5,IF(Settings!$G$48="",Settings!$B$5,Settings!$G$48))-MAX($A181,Settings!$F$48)-MOD(IFERROR(MATCH(Settings!$E$48,$EO$4:$EO$10,0),0)-WEEKDAY(MAX($A181,Settings!$F$48)),7))/7)+1)),IF(AND(IF(Settings!$E$48="",$B181,DATE(YEAR($A181),MONTH($A181),MIN(Settings!$E$48,DAY($B181))))&gt;=MAX($A181,Settings!$F$48),IF(Settings!$E$48="",$B181,DATE(YEAR($A181),MONTH($A181),MIN(Settings!$E$48,DAY($B181))))&lt;=MIN(Settings!$B$5,IF(Settings!$G$48="",Settings!$B$5,Settings!$G$48))),1,0)))))</f>
        <v/>
      </c>
      <c r="EX181">
        <f>IF($E181&lt;&gt;"open",0,IF(AND('Month-End'!$FV$26&lt;&gt;"",NOT(_xlfn.ISFORMULA('Month-End'!$FV$26))),0,IF(OR(Settings!$C$49="",Settings!$D$49=""),0,Settings!$C$49*IF(Settings!$D$49="Weekly",IF(IFERROR(MATCH(Settings!$E$49,$EO$4:$EO$10,0),0)=0,0,IF(MIN(Settings!$B$5,IF(Settings!$G$49="",Settings!$B$5,Settings!$G$49))&lt;MAX($A181,Settings!$F$49),0,INT((MIN(Settings!$B$5,IF(Settings!$G$49="",Settings!$B$5,Settings!$G$49))-MAX($A181,Settings!$F$49)-MOD(IFERROR(MATCH(Settings!$E$49,$EO$4:$EO$10,0),0)-WEEKDAY(MAX($A181,Settings!$F$49)),7))/7)+1)),IF(AND(IF(Settings!$E$49="",$B181,DATE(YEAR($A181),MONTH($A181),MIN(Settings!$E$49,DAY($B181))))&gt;=MAX($A181,Settings!$F$49),IF(Settings!$E$49="",$B181,DATE(YEAR($A181),MONTH($A181),MIN(Settings!$E$49,DAY($B181))))&lt;=MIN(Settings!$B$5,IF(Settings!$G$49="",Settings!$B$5,Settings!$G$49))),1,0)))))</f>
        <v/>
      </c>
      <c r="EY181">
        <f>IF($E181&lt;&gt;"open",0,IF(AND('Month-End'!$FV$27&lt;&gt;"",NOT(_xlfn.ISFORMULA('Month-End'!$FV$27))),0,IF(OR(Settings!$C$50="",Settings!$D$50=""),0,Settings!$C$50*IF(Settings!$D$50="Weekly",IF(IFERROR(MATCH(Settings!$E$50,$EO$4:$EO$10,0),0)=0,0,IF(MIN(Settings!$B$5,IF(Settings!$G$50="",Settings!$B$5,Settings!$G$50))&lt;MAX($A181,Settings!$F$50),0,INT((MIN(Settings!$B$5,IF(Settings!$G$50="",Settings!$B$5,Settings!$G$50))-MAX($A181,Settings!$F$50)-MOD(IFERROR(MATCH(Settings!$E$50,$EO$4:$EO$10,0),0)-WEEKDAY(MAX($A181,Settings!$F$50)),7))/7)+1)),IF(AND(IF(Settings!$E$50="",$B181,DATE(YEAR($A181),MONTH($A181),MIN(Settings!$E$50,DAY($B181))))&gt;=MAX($A181,Settings!$F$50),IF(Settings!$E$50="",$B181,DATE(YEAR($A181),MONTH($A181),MIN(Settings!$E$50,DAY($B181))))&lt;=MIN(Settings!$B$5,IF(Settings!$G$50="",Settings!$B$5,Settings!$G$50))),1,0)))))</f>
        <v/>
      </c>
      <c r="EZ181">
        <f>IF($E181&lt;&gt;"open",0,IF(AND('Month-End'!$FV$28&lt;&gt;"",NOT(_xlfn.ISFORMULA('Month-End'!$FV$28))),0,IF(OR(Settings!$C$51="",Settings!$D$51=""),0,Settings!$C$51*IF(Settings!$D$51="Weekly",IF(IFERROR(MATCH(Settings!$E$51,$EO$4:$EO$10,0),0)=0,0,IF(MIN(Settings!$B$5,IF(Settings!$G$51="",Settings!$B$5,Settings!$G$51))&lt;MAX($A181,Settings!$F$51),0,INT((MIN(Settings!$B$5,IF(Settings!$G$51="",Settings!$B$5,Settings!$G$51))-MAX($A181,Settings!$F$51)-MOD(IFERROR(MATCH(Settings!$E$51,$EO$4:$EO$10,0),0)-WEEKDAY(MAX($A181,Settings!$F$51)),7))/7)+1)),IF(AND(IF(Settings!$E$51="",$B181,DATE(YEAR($A181),MONTH($A181),MIN(Settings!$E$51,DAY($B181))))&gt;=MAX($A181,Settings!$F$51),IF(Settings!$E$51="",$B181,DATE(YEAR($A181),MONTH($A181),MIN(Settings!$E$51,DAY($B181))))&lt;=MIN(Settings!$B$5,IF(Settings!$G$51="",Settings!$B$5,Settings!$G$51))),1,0)))))</f>
        <v/>
      </c>
      <c r="FA181">
        <f>IF($E181&lt;&gt;"open",0,IF(AND('Month-End'!$FV$29&lt;&gt;"",NOT(_xlfn.ISFORMULA('Month-End'!$FV$29))),0,IF(OR(Settings!$C$52="",Settings!$D$52=""),0,Settings!$C$52*IF(Settings!$D$52="Weekly",IF(IFERROR(MATCH(Settings!$E$52,$EO$4:$EO$10,0),0)=0,0,IF(MIN(Settings!$B$5,IF(Settings!$G$52="",Settings!$B$5,Settings!$G$52))&lt;MAX($A181,Settings!$F$52),0,INT((MIN(Settings!$B$5,IF(Settings!$G$52="",Settings!$B$5,Settings!$G$52))-MAX($A181,Settings!$F$52)-MOD(IFERROR(MATCH(Settings!$E$52,$EO$4:$EO$10,0),0)-WEEKDAY(MAX($A181,Settings!$F$52)),7))/7)+1)),IF(AND(IF(Settings!$E$52="",$B181,DATE(YEAR($A181),MONTH($A181),MIN(Settings!$E$52,DAY($B181))))&gt;=MAX($A181,Settings!$F$52),IF(Settings!$E$52="",$B181,DATE(YEAR($A181),MONTH($A181),MIN(Settings!$E$52,DAY($B181))))&lt;=MIN(Settings!$B$5,IF(Settings!$G$52="",Settings!$B$5,Settings!$G$52))),1,0)))))</f>
        <v/>
      </c>
      <c r="FB181">
        <f>IF($E181&lt;&gt;"open",0,IF(AND('Month-End'!$FV$30&lt;&gt;"",NOT(_xlfn.ISFORMULA('Month-End'!$FV$30))),0,IF(OR(Settings!$C$53="",Settings!$D$53=""),0,Settings!$C$53*IF(Settings!$D$53="Weekly",IF(IFERROR(MATCH(Settings!$E$53,$EO$4:$EO$10,0),0)=0,0,IF(MIN(Settings!$B$5,IF(Settings!$G$53="",Settings!$B$5,Settings!$G$53))&lt;MAX($A181,Settings!$F$53),0,INT((MIN(Settings!$B$5,IF(Settings!$G$53="",Settings!$B$5,Settings!$G$53))-MAX($A181,Settings!$F$53)-MOD(IFERROR(MATCH(Settings!$E$53,$EO$4:$EO$10,0),0)-WEEKDAY(MAX($A181,Settings!$F$53)),7))/7)+1)),IF(AND(IF(Settings!$E$53="",$B181,DATE(YEAR($A181),MONTH($A181),MIN(Settings!$E$53,DAY($B181))))&gt;=MAX($A181,Settings!$F$53),IF(Settings!$E$53="",$B181,DATE(YEAR($A181),MONTH($A181),MIN(Settings!$E$53,DAY($B181))))&lt;=MIN(Settings!$B$5,IF(Settings!$G$53="",Settings!$B$5,Settings!$G$53))),1,0)))))</f>
        <v/>
      </c>
      <c r="FC181">
        <f>IF($E181&lt;&gt;"open",0,IF(AND('Month-End'!$FV$31&lt;&gt;"",NOT(_xlfn.ISFORMULA('Month-End'!$FV$31))),0,IF(OR(Settings!$C$54="",Settings!$D$54=""),0,Settings!$C$54*IF(Settings!$D$54="Weekly",IF(IFERROR(MATCH(Settings!$E$54,$EO$4:$EO$10,0),0)=0,0,IF(MIN(Settings!$B$5,IF(Settings!$G$54="",Settings!$B$5,Settings!$G$54))&lt;MAX($A181,Settings!$F$54),0,INT((MIN(Settings!$B$5,IF(Settings!$G$54="",Settings!$B$5,Settings!$G$54))-MAX($A181,Settings!$F$54)-MOD(IFERROR(MATCH(Settings!$E$54,$EO$4:$EO$10,0),0)-WEEKDAY(MAX($A181,Settings!$F$54)),7))/7)+1)),IF(AND(IF(Settings!$E$54="",$B181,DATE(YEAR($A181),MONTH($A181),MIN(Settings!$E$54,DAY($B181))))&gt;=MAX($A181,Settings!$F$54),IF(Settings!$E$54="",$B181,DATE(YEAR($A181),MONTH($A181),MIN(Settings!$E$54,DAY($B181))))&lt;=MIN(Settings!$B$5,IF(Settings!$G$54="",Settings!$B$5,Settings!$G$54))),1,0)))))</f>
        <v/>
      </c>
      <c r="FD181">
        <f>IF($E181&lt;&gt;"open",0,IF(AND('Month-End'!$FV$32&lt;&gt;"",NOT(_xlfn.ISFORMULA('Month-End'!$FV$32))),0,IF(OR(Settings!$C$55="",Settings!$D$55=""),0,Settings!$C$55*IF(Settings!$D$55="Weekly",IF(IFERROR(MATCH(Settings!$E$55,$EO$4:$EO$10,0),0)=0,0,IF(MIN(Settings!$B$5,IF(Settings!$G$55="",Settings!$B$5,Settings!$G$55))&lt;MAX($A181,Settings!$F$55),0,INT((MIN(Settings!$B$5,IF(Settings!$G$55="",Settings!$B$5,Settings!$G$55))-MAX($A181,Settings!$F$55)-MOD(IFERROR(MATCH(Settings!$E$55,$EO$4:$EO$10,0),0)-WEEKDAY(MAX($A181,Settings!$F$55)),7))/7)+1)),IF(AND(IF(Settings!$E$55="",$B181,DATE(YEAR($A181),MONTH($A181),MIN(Settings!$E$55,DAY($B181))))&gt;=MAX($A181,Settings!$F$55),IF(Settings!$E$55="",$B181,DATE(YEAR($A181),MONTH($A181),MIN(Settings!$E$55,DAY($B181))))&lt;=MIN(Settings!$B$5,IF(Settings!$G$55="",Settings!$B$5,Settings!$G$55))),1,0)))))</f>
        <v/>
      </c>
      <c r="FE181">
        <f>IF($E181&lt;&gt;"open",0,IF(AND('Month-End'!$FV$33&lt;&gt;"",NOT(_xlfn.ISFORMULA('Month-End'!$FV$33))),0,IF(OR(Settings!$C$56="",Settings!$D$56=""),0,Settings!$C$56*IF(Settings!$D$56="Weekly",IF(IFERROR(MATCH(Settings!$E$56,$EO$4:$EO$10,0),0)=0,0,IF(MIN(Settings!$B$5,IF(Settings!$G$56="",Settings!$B$5,Settings!$G$56))&lt;MAX($A181,Settings!$F$56),0,INT((MIN(Settings!$B$5,IF(Settings!$G$56="",Settings!$B$5,Settings!$G$56))-MAX($A181,Settings!$F$56)-MOD(IFERROR(MATCH(Settings!$E$56,$EO$4:$EO$10,0),0)-WEEKDAY(MAX($A181,Settings!$F$56)),7))/7)+1)),IF(AND(IF(Settings!$E$56="",$B181,DATE(YEAR($A181),MONTH($A181),MIN(Settings!$E$56,DAY($B181))))&gt;=MAX($A181,Settings!$F$56),IF(Settings!$E$56="",$B181,DATE(YEAR($A181),MONTH($A181),MIN(Settings!$E$56,DAY($B181))))&lt;=MIN(Settings!$B$5,IF(Settings!$G$56="",Settings!$B$5,Settings!$G$56))),1,0)))))</f>
        <v/>
      </c>
      <c r="FF181">
        <f>IF(Settings!$I$45="Yes",$G181,0)+IF(Settings!$I$46="Yes",$H181,0)+IF(Settings!$I$47="Yes",$I181,0)+IF(Settings!$I$48="Yes",$J181,0)+IF(Settings!$I$49="Yes",$K181,0)+IF(Settings!$I$50="Yes",$L181,0)+IF(Settings!$I$51="Yes",$M181,0)+IF(Settings!$I$52="Yes",$N181,0)+IF(Settings!$I$53="Yes",$O181,0)+IF(Settings!$I$54="Yes",$P181,0)+IF(Settings!$I$55="Yes",$Q181,0)+IF(Settings!$I$56="Yes",$R181,0)</f>
        <v/>
      </c>
      <c r="FG181">
        <f>IF(AND(Settings!$I$45="Yes",Settings!$J$45="No"),$G181,0)+IF(AND(Settings!$I$46="Yes",Settings!$J$46="No"),$H181,0)+IF(AND(Settings!$I$47="Yes",Settings!$J$47="No"),$I181,0)+IF(AND(Settings!$I$48="Yes",Settings!$J$48="No"),$J181,0)+IF(AND(Settings!$I$49="Yes",Settings!$J$49="No"),$K181,0)+IF(AND(Settings!$I$50="Yes",Settings!$J$50="No"),$L181,0)+IF(AND(Settings!$I$51="Yes",Settings!$J$51="No"),$M181,0)+IF(AND(Settings!$I$52="Yes",Settings!$J$52="No"),$N181,0)+IF(AND(Settings!$I$53="Yes",Settings!$J$53="No"),$O181,0)+IF(AND(Settings!$I$54="Yes",Settings!$J$54="No"),$P181,0)+IF(AND(Settings!$I$55="Yes",Settings!$J$55="No"),$Q181,0)+IF(AND(Settings!$I$56="Yes",Settings!$J$56="No"),$R181,0)</f>
        <v/>
      </c>
      <c r="FH181">
        <f>SUMIFS(Giving!$B$7:$B$2006,Giving!$A$7:$A$2006,"&gt;="&amp;$A181,Giving!$A$7:$A$2006,"&lt;="&amp;$B181,Giving!$G$7:$G$2006,"Yes")+IF(OR(OR(Settings!$B$60="",Settings!$F$60="No"),Settings!$H$60&lt;&gt;"Yes"),0,Settings!$B$60*IF(AND(IF(Settings!$C$60="",$B181,DATE(YEAR($A181),MONTH($A181),MIN(Settings!$C$60,DAY($B181))))&gt;=MAX($A181,Settings!$D$60),IF(Settings!$C$60="",$B181,DATE(YEAR($A181),MONTH($A181),MIN(Settings!$C$60,DAY($B181))))&lt;=MIN($C181,IF(Settings!$E$60="",$C181,Settings!$E$60))),1,0))+IF(OR(OR(Settings!$B$61="",Settings!$F$61="No"),Settings!$H$61&lt;&gt;"Yes"),0,Settings!$B$61*IF(AND(IF(Settings!$C$61="",$B181,DATE(YEAR($A181),MONTH($A181),MIN(Settings!$C$61,DAY($B181))))&gt;=MAX($A181,Settings!$D$61),IF(Settings!$C$61="",$B181,DATE(YEAR($A181),MONTH($A181),MIN(Settings!$C$61,DAY($B181))))&lt;=MIN($C181,IF(Settings!$E$61="",$C181,Settings!$E$61))),1,0))+IF(OR(OR(Settings!$B$62="",Settings!$F$62="No"),Settings!$H$62&lt;&gt;"Yes"),0,Settings!$B$62*IF(AND(IF(Settings!$C$62="",$B181,DATE(YEAR($A181),MONTH($A181),MIN(Settings!$C$62,DAY($B181))))&gt;=MAX($A181,Settings!$D$62),IF(Settings!$C$62="",$B181,DATE(YEAR($A181),MONTH($A181),MIN(Settings!$C$62,DAY($B181))))&lt;=MIN($C181,IF(Settings!$E$62="",$C181,Settings!$E$62))),1,0))+IF(OR(OR(Settings!$B$63="",Settings!$F$63="No"),Settings!$H$63&lt;&gt;"Yes"),0,Settings!$B$63*IF(AND(IF(Settings!$C$63="",$B181,DATE(YEAR($A181),MONTH($A181),MIN(Settings!$C$63,DAY($B181))))&gt;=MAX($A181,Settings!$D$63),IF(Settings!$C$63="",$B181,DATE(YEAR($A181),MONTH($A181),MIN(Settings!$C$63,DAY($B181))))&lt;=MIN($C181,IF(Settings!$E$63="",$C181,Settings!$E$63))),1,0))+IF(OR(OR(Settings!$B$64="",Settings!$F$64="No"),Settings!$H$64&lt;&gt;"Yes"),0,Settings!$B$64*IF(AND(IF(Settings!$C$64="",$B181,DATE(YEAR($A181),MONTH($A181),MIN(Settings!$C$64,DAY($B181))))&gt;=MAX($A181,Settings!$D$64),IF(Settings!$C$64="",$B181,DATE(YEAR($A181),MONTH($A181),MIN(Settings!$C$64,DAY($B181))))&lt;=MIN($C181,IF(Settings!$E$64="",$C181,Settings!$E$64))),1,0))+IF(OR(OR(Settings!$B$65="",Settings!$F$65="No"),Settings!$H$65&lt;&gt;"Yes"),0,Settings!$B$65*IF(AND(IF(Settings!$C$65="",$B181,DATE(YEAR($A181),MONTH($A181),MIN(Settings!$C$65,DAY($B181))))&gt;=MAX($A181,Settings!$D$65),IF(Settings!$C$65="",$B181,DATE(YEAR($A181),MONTH($A181),MIN(Settings!$C$65,DAY($B181))))&lt;=MIN($C181,IF(Settings!$E$65="",$C181,Settings!$E$65))),1,0))</f>
        <v/>
      </c>
      <c r="FI181">
        <f>IF($DT181=1,IF(OR(Settings!$B$19="Card",Settings!$B$19="Loan"),N($AE181),0)+IF(OR(Settings!$B$20="Card",Settings!$B$20="Loan"),N($AF181),0)+IF(OR(Settings!$B$21="Card",Settings!$B$21="Loan"),N($AG181),0)+IF(OR(Settings!$B$22="Card",Settings!$B$22="Loan"),N($AH181),0)+IF(OR(Settings!$B$23="Card",Settings!$B$23="Loan"),N($AI181),0)+IF(OR(Settings!$B$24="Card",Settings!$B$24="Loan"),N($AJ181),0)+IF(OR(Settings!$B$25="Card",Settings!$B$25="Loan"),N($AK181),0)+IF(OR(Settings!$B$26="Card",Settings!$B$26="Loan"),N($AL181),0)+IF(OR(Settings!$B$27="Card",Settings!$B$27="Loan"),N($AM181),0)+IF(OR(Settings!$B$28="Card",Settings!$B$28="Loan"),N($AN181),0)+IF(OR(Settings!$B$29="Card",Settings!$B$29="Loan"),N($AO181),0)+IF(OR(Settings!$B$30="Card",Settings!$B$30="Loan"),N($AP181),0)+IF(OR(Settings!$B$31="Card",Settings!$B$31="Loan"),N($AQ181),0)+IF(OR(Settings!$B$32="Card",Settings!$B$32="Loan"),N($AR181),0),"")</f>
        <v/>
      </c>
      <c r="FJ181">
        <f>IF($E181="open",$EB$65,IF($E181="post",IF($E180="pre",$EB$65,$FI180),""))</f>
        <v/>
      </c>
      <c r="FK181">
        <f>IF(AND($DT181=1,$DC181=1),IF(ROUND($FI181-$FJ181,2)&gt;0,1,0),0)</f>
        <v/>
      </c>
      <c r="FL181">
        <f>IF($FK181=1,$FL180+1,0)</f>
        <v/>
      </c>
    </row>
    <row r="182">
      <c r="A182">
        <f>'Month-End'!$FW$4</f>
        <v/>
      </c>
      <c r="B182">
        <f>EOMONTH($A182,0)</f>
        <v/>
      </c>
      <c r="C182">
        <f>MIN($B182,TODAY())</f>
        <v/>
      </c>
      <c r="D182">
        <f>IF($A182&gt;TODAY(),1,0)</f>
        <v/>
      </c>
      <c r="E182">
        <f>IF($B182&lt;=Settings!$B$5,"pre",IF($A182&lt;=Settings!$B$5,"open","post"))</f>
        <v/>
      </c>
      <c r="G182">
        <f>IF('Month-End'!$FW$22="",$BE182,N('Month-End'!$FW$22))</f>
        <v/>
      </c>
      <c r="H182">
        <f>IF('Month-End'!$FW$23="",$BF182,N('Month-End'!$FW$23))</f>
        <v/>
      </c>
      <c r="I182">
        <f>IF('Month-End'!$FW$24="",$BG182,N('Month-End'!$FW$24))</f>
        <v/>
      </c>
      <c r="J182">
        <f>IF('Month-End'!$FW$25="",$BH182,N('Month-End'!$FW$25))</f>
        <v/>
      </c>
      <c r="K182">
        <f>IF('Month-End'!$FW$26="",$BI182,N('Month-End'!$FW$26))</f>
        <v/>
      </c>
      <c r="L182">
        <f>IF('Month-End'!$FW$27="",$BJ182,N('Month-End'!$FW$27))</f>
        <v/>
      </c>
      <c r="M182">
        <f>IF('Month-End'!$FW$28="",$BK182,N('Month-End'!$FW$28))</f>
        <v/>
      </c>
      <c r="N182">
        <f>IF('Month-End'!$FW$29="",$BL182,N('Month-End'!$FW$29))</f>
        <v/>
      </c>
      <c r="O182">
        <f>IF('Month-End'!$FW$30="",$BM182,N('Month-End'!$FW$30))</f>
        <v/>
      </c>
      <c r="P182">
        <f>IF('Month-End'!$FW$31="",$BN182,N('Month-End'!$FW$31))</f>
        <v/>
      </c>
      <c r="Q182">
        <f>IF('Month-End'!$FW$32="",$BO182,N('Month-End'!$FW$32))</f>
        <v/>
      </c>
      <c r="R182">
        <f>IF('Month-End'!$FW$33="",$BP182,N('Month-End'!$FW$33))</f>
        <v/>
      </c>
      <c r="S182">
        <f>$G182+$H182+$I182+$J182+$K182+$L182+$M182+$N182+$O182+$P182+$Q182+$R182</f>
        <v/>
      </c>
      <c r="T182">
        <f>IF($B182&lt;Settings!$B$6,0,IF(Settings!$B$45="Yes",$G182,0)+IF(Settings!$B$46="Yes",$H182,0)+IF(Settings!$B$47="Yes",$I182,0)+IF(Settings!$B$48="Yes",$J182,0)+IF(Settings!$B$49="Yes",$K182,0)+IF(Settings!$B$50="Yes",$L182,0)+IF(Settings!$B$51="Yes",$M182,0)+IF(Settings!$B$52="Yes",$N182,0)+IF(Settings!$B$53="Yes",$O182,0)+IF(Settings!$B$54="Yes",$P182,0)+IF(Settings!$B$55="Yes",$Q182,0)+IF(Settings!$B$56="Yes",$R182,0))</f>
        <v/>
      </c>
      <c r="U182">
        <f>IF(Settings!$B$45="Not Sure",$G182,0)+IF(Settings!$B$46="Not Sure",$H182,0)+IF(Settings!$B$47="Not Sure",$I182,0)+IF(Settings!$B$48="Not Sure",$J182,0)+IF(Settings!$B$49="Not Sure",$K182,0)+IF(Settings!$B$50="Not Sure",$L182,0)+IF(Settings!$B$51="Not Sure",$M182,0)+IF(Settings!$B$52="Not Sure",$N182,0)+IF(Settings!$B$53="Not Sure",$O182,0)+IF(Settings!$B$54="Not Sure",$P182,0)+IF(Settings!$B$55="Not Sure",$Q182,0)+IF(Settings!$B$56="Not Sure",$R182,0)</f>
        <v/>
      </c>
      <c r="V182">
        <f>IF($E182="open",SUM($ET182:$FE182)+N(Settings!$B$13),0)</f>
        <v/>
      </c>
      <c r="W182">
        <f>IF($E182="post",$S182,IF($E182="open",$S182-$V182,0))</f>
        <v/>
      </c>
      <c r="X182">
        <f>SUMIFS(Giving!$B$7:$B$2006,Giving!$A$7:$A$2006,"&gt;="&amp;$A182,Giving!$A$7:$A$2006,"&lt;="&amp;$B182,Giving!$E$7:$E$2006,"&lt;&gt;No")</f>
        <v/>
      </c>
      <c r="Y182">
        <f>SUMIFS(Giving!$B$7:$B$2006,Giving!$A$7:$A$2006,"&gt;="&amp;$A182,Giving!$A$7:$A$2006,"&lt;="&amp;$B182,Giving!$E$7:$E$2006,"No")</f>
        <v/>
      </c>
      <c r="Z182">
        <f>IF(OR(Settings!$B$60="",Settings!$F$60="No"),0,Settings!$B$60*IF(AND(IF(Settings!$C$60="",$B182,DATE(YEAR($A182),MONTH($A182),MIN(Settings!$C$60,DAY($B182))))&gt;=MAX($A182,Settings!$D$60),IF(Settings!$C$60="",$B182,DATE(YEAR($A182),MONTH($A182),MIN(Settings!$C$60,DAY($B182))))&lt;=MIN($C182,IF(Settings!$E$60="",$C182,Settings!$E$60))),1,0))+IF(OR(Settings!$B$61="",Settings!$F$61="No"),0,Settings!$B$61*IF(AND(IF(Settings!$C$61="",$B182,DATE(YEAR($A182),MONTH($A182),MIN(Settings!$C$61,DAY($B182))))&gt;=MAX($A182,Settings!$D$61),IF(Settings!$C$61="",$B182,DATE(YEAR($A182),MONTH($A182),MIN(Settings!$C$61,DAY($B182))))&lt;=MIN($C182,IF(Settings!$E$61="",$C182,Settings!$E$61))),1,0))+IF(OR(Settings!$B$62="",Settings!$F$62="No"),0,Settings!$B$62*IF(AND(IF(Settings!$C$62="",$B182,DATE(YEAR($A182),MONTH($A182),MIN(Settings!$C$62,DAY($B182))))&gt;=MAX($A182,Settings!$D$62),IF(Settings!$C$62="",$B182,DATE(YEAR($A182),MONTH($A182),MIN(Settings!$C$62,DAY($B182))))&lt;=MIN($C182,IF(Settings!$E$62="",$C182,Settings!$E$62))),1,0))+IF(OR(Settings!$B$63="",Settings!$F$63="No"),0,Settings!$B$63*IF(AND(IF(Settings!$C$63="",$B182,DATE(YEAR($A182),MONTH($A182),MIN(Settings!$C$63,DAY($B182))))&gt;=MAX($A182,Settings!$D$63),IF(Settings!$C$63="",$B182,DATE(YEAR($A182),MONTH($A182),MIN(Settings!$C$63,DAY($B182))))&lt;=MIN($C182,IF(Settings!$E$63="",$C182,Settings!$E$63))),1,0))+IF(OR(Settings!$B$64="",Settings!$F$64="No"),0,Settings!$B$64*IF(AND(IF(Settings!$C$64="",$B182,DATE(YEAR($A182),MONTH($A182),MIN(Settings!$C$64,DAY($B182))))&gt;=MAX($A182,Settings!$D$64),IF(Settings!$C$64="",$B182,DATE(YEAR($A182),MONTH($A182),MIN(Settings!$C$64,DAY($B182))))&lt;=MIN($C182,IF(Settings!$E$64="",$C182,Settings!$E$64))),1,0))+IF(OR(Settings!$B$65="",Settings!$F$65="No"),0,Settings!$B$65*IF(AND(IF(Settings!$C$65="",$B182,DATE(YEAR($A182),MONTH($A182),MIN(Settings!$C$65,DAY($B182))))&gt;=MAX($A182,Settings!$D$65),IF(Settings!$C$65="",$B182,DATE(YEAR($A182),MONTH($A182),MIN(Settings!$C$65,DAY($B182))))&lt;=MIN($C182,IF(Settings!$E$65="",$C182,Settings!$E$65))),1,0))</f>
        <v/>
      </c>
      <c r="AA182">
        <f>$X182+$Z182</f>
        <v/>
      </c>
      <c r="AB182">
        <f>IF($E182="post",$AA182,IF($E182="open",SUMIFS(Giving!$B$7:$B$2006,Giving!$A$7:$A$2006,"&gt;"&amp;Settings!$B$5,Giving!$A$7:$A$2006,"&lt;="&amp;$B182,Giving!$E$7:$E$2006,"&lt;&gt;No")+IF(OR(Settings!$B$60="",Settings!$F$60="No"),0,Settings!$B$60*IF(AND(IF(Settings!$C$60="",$B182,DATE(YEAR($A182),MONTH($A182),MIN(Settings!$C$60,DAY($B182))))&gt;=MAX($A182,Settings!$D$60,Settings!$B$5+1),IF(Settings!$C$60="",$B182,DATE(YEAR($A182),MONTH($A182),MIN(Settings!$C$60,DAY($B182))))&lt;=MIN($C182,IF(Settings!$E$60="",$C182,Settings!$E$60))),1,0))+IF(OR(Settings!$B$61="",Settings!$F$61="No"),0,Settings!$B$61*IF(AND(IF(Settings!$C$61="",$B182,DATE(YEAR($A182),MONTH($A182),MIN(Settings!$C$61,DAY($B182))))&gt;=MAX($A182,Settings!$D$61,Settings!$B$5+1),IF(Settings!$C$61="",$B182,DATE(YEAR($A182),MONTH($A182),MIN(Settings!$C$61,DAY($B182))))&lt;=MIN($C182,IF(Settings!$E$61="",$C182,Settings!$E$61))),1,0))+IF(OR(Settings!$B$62="",Settings!$F$62="No"),0,Settings!$B$62*IF(AND(IF(Settings!$C$62="",$B182,DATE(YEAR($A182),MONTH($A182),MIN(Settings!$C$62,DAY($B182))))&gt;=MAX($A182,Settings!$D$62,Settings!$B$5+1),IF(Settings!$C$62="",$B182,DATE(YEAR($A182),MONTH($A182),MIN(Settings!$C$62,DAY($B182))))&lt;=MIN($C182,IF(Settings!$E$62="",$C182,Settings!$E$62))),1,0))+IF(OR(Settings!$B$63="",Settings!$F$63="No"),0,Settings!$B$63*IF(AND(IF(Settings!$C$63="",$B182,DATE(YEAR($A182),MONTH($A182),MIN(Settings!$C$63,DAY($B182))))&gt;=MAX($A182,Settings!$D$63,Settings!$B$5+1),IF(Settings!$C$63="",$B182,DATE(YEAR($A182),MONTH($A182),MIN(Settings!$C$63,DAY($B182))))&lt;=MIN($C182,IF(Settings!$E$63="",$C182,Settings!$E$63))),1,0))+IF(OR(Settings!$B$64="",Settings!$F$64="No"),0,Settings!$B$64*IF(AND(IF(Settings!$C$64="",$B182,DATE(YEAR($A182),MONTH($A182),MIN(Settings!$C$64,DAY($B182))))&gt;=MAX($A182,Settings!$D$64,Settings!$B$5+1),IF(Settings!$C$64="",$B182,DATE(YEAR($A182),MONTH($A182),MIN(Settings!$C$64,DAY($B182))))&lt;=MIN($C182,IF(Settings!$E$64="",$C182,Settings!$E$64))),1,0))+IF(OR(Settings!$B$65="",Settings!$F$65="No"),0,Settings!$B$65*IF(AND(IF(Settings!$C$65="",$B182,DATE(YEAR($A182),MONTH($A182),MIN(Settings!$C$65,DAY($B182))))&gt;=MAX($A182,Settings!$D$65,Settings!$B$5+1),IF(Settings!$C$65="",$B182,DATE(YEAR($A182),MONTH($A182),MIN(Settings!$C$65,DAY($B182))))&lt;=MIN($C182,IF(Settings!$E$65="",$C182,Settings!$E$65))),1,0)),0))</f>
        <v/>
      </c>
      <c r="AC182">
        <f>$AY182+$AZ182+$BA182+$BB182+$BC182+$BD182</f>
        <v/>
      </c>
      <c r="AD182">
        <f>$AC182</f>
        <v/>
      </c>
      <c r="AE182">
        <f>IF(OR(Settings!$A$19="",$E182="pre"),"",IF(AND('Month-End'!$FW$7&lt;&gt;"",NOT(_xlfn.ISFORMULA('Month-End'!$FW$7))),N('Month-End'!$FW$7),IF(OR($E182="open",$E181="pre"),N(Settings!$C$19),N($AE181))))</f>
        <v/>
      </c>
      <c r="AF182">
        <f>IF(OR(Settings!$A$20="",$E182="pre"),"",IF(AND('Month-End'!$FW$8&lt;&gt;"",NOT(_xlfn.ISFORMULA('Month-End'!$FW$8))),N('Month-End'!$FW$8),IF(OR($E182="open",$E181="pre"),N(Settings!$C$20),N($AF181))))</f>
        <v/>
      </c>
      <c r="AG182">
        <f>IF(OR(Settings!$A$21="",$E182="pre"),"",IF(AND('Month-End'!$FW$9&lt;&gt;"",NOT(_xlfn.ISFORMULA('Month-End'!$FW$9))),N('Month-End'!$FW$9),IF(OR($E182="open",$E181="pre"),N(Settings!$C$21),N($AG181))))</f>
        <v/>
      </c>
      <c r="AH182">
        <f>IF(OR(Settings!$A$22="",$E182="pre"),"",IF(AND('Month-End'!$FW$10&lt;&gt;"",NOT(_xlfn.ISFORMULA('Month-End'!$FW$10))),N('Month-End'!$FW$10),IF(OR($E182="open",$E181="pre"),N(Settings!$C$22),N($AH181))))</f>
        <v/>
      </c>
      <c r="AI182">
        <f>IF(OR(Settings!$A$23="",$E182="pre"),"",IF(AND('Month-End'!$FW$11&lt;&gt;"",NOT(_xlfn.ISFORMULA('Month-End'!$FW$11))),N('Month-End'!$FW$11),IF(OR($E182="open",$E181="pre"),N(Settings!$C$23),N($AI181))))</f>
        <v/>
      </c>
      <c r="AJ182">
        <f>IF(OR(Settings!$A$24="",$E182="pre"),"",IF(AND('Month-End'!$FW$12&lt;&gt;"",NOT(_xlfn.ISFORMULA('Month-End'!$FW$12))),N('Month-End'!$FW$12),IF(OR($E182="open",$E181="pre"),N(Settings!$C$24),N($AJ181))))</f>
        <v/>
      </c>
      <c r="AK182">
        <f>IF(OR(Settings!$A$25="",$E182="pre"),"",IF(AND('Month-End'!$FW$13&lt;&gt;"",NOT(_xlfn.ISFORMULA('Month-End'!$FW$13))),N('Month-End'!$FW$13),IF(OR($E182="open",$E181="pre"),N(Settings!$C$25),N($AK181))))</f>
        <v/>
      </c>
      <c r="AL182">
        <f>IF(OR(Settings!$A$26="",$E182="pre"),"",IF(AND('Month-End'!$FW$14&lt;&gt;"",NOT(_xlfn.ISFORMULA('Month-End'!$FW$14))),N('Month-End'!$FW$14),IF(OR($E182="open",$E181="pre"),N(Settings!$C$26),N($AL181))))</f>
        <v/>
      </c>
      <c r="AM182">
        <f>IF(OR(Settings!$A$27="",$E182="pre"),"",IF(AND('Month-End'!$FW$15&lt;&gt;"",NOT(_xlfn.ISFORMULA('Month-End'!$FW$15))),N('Month-End'!$FW$15),IF(OR($E182="open",$E181="pre"),N(Settings!$C$27),N($AM181))))</f>
        <v/>
      </c>
      <c r="AN182">
        <f>IF(OR(Settings!$A$28="",$E182="pre"),"",IF(AND('Month-End'!$FW$16&lt;&gt;"",NOT(_xlfn.ISFORMULA('Month-End'!$FW$16))),N('Month-End'!$FW$16),IF(OR($E182="open",$E181="pre"),N(Settings!$C$28),N($AN181))))</f>
        <v/>
      </c>
      <c r="AO182">
        <f>IF(OR(Settings!$A$29="",$E182="pre"),"",IF(AND('Month-End'!$FW$17&lt;&gt;"",NOT(_xlfn.ISFORMULA('Month-End'!$FW$17))),N('Month-End'!$FW$17),IF(OR($E182="open",$E181="pre"),N(Settings!$C$29),N($AO181))))</f>
        <v/>
      </c>
      <c r="AP182">
        <f>IF(OR(Settings!$A$30="",$E182="pre"),"",IF(AND('Month-End'!$FW$18&lt;&gt;"",NOT(_xlfn.ISFORMULA('Month-End'!$FW$18))),N('Month-End'!$FW$18),IF(OR($E182="open",$E181="pre"),N(Settings!$C$30),N($AP181))))</f>
        <v/>
      </c>
      <c r="AQ182">
        <f>IF(OR(Settings!$A$31="",$E182="pre"),"",IF(AND('Month-End'!$FW$19&lt;&gt;"",NOT(_xlfn.ISFORMULA('Month-End'!$FW$19))),N('Month-End'!$FW$19),IF(OR($E182="open",$E181="pre"),N(Settings!$C$31),N($AQ181))))</f>
        <v/>
      </c>
      <c r="AR182">
        <f>IF(OR(Settings!$A$32="",$E182="pre"),"",IF(AND('Month-End'!$FW$20&lt;&gt;"",NOT(_xlfn.ISFORMULA('Month-End'!$FW$20))),N('Month-End'!$FW$20),IF(OR($E182="open",$E181="pre"),N(Settings!$C$32),N($AR181))))</f>
        <v/>
      </c>
      <c r="AS182">
        <f>IF(OR(Settings!$A$36="",$E182="pre"),"",IF(AND('Month-End'!$FW$38&lt;&gt;"",NOT(_xlfn.ISFORMULA('Month-End'!$FW$38))),N('Month-End'!$FW$38),IF(OR($E182="open",$E181="pre"),N(Settings!$C$36),N($AS181))+$AY182))</f>
        <v/>
      </c>
      <c r="AT182">
        <f>IF(OR(Settings!$A$37="",$E182="pre"),"",IF(AND('Month-End'!$FW$39&lt;&gt;"",NOT(_xlfn.ISFORMULA('Month-End'!$FW$39))),N('Month-End'!$FW$39),IF(OR($E182="open",$E181="pre"),N(Settings!$C$37),N($AT181))+$AZ182))</f>
        <v/>
      </c>
      <c r="AU182">
        <f>IF(OR(Settings!$A$38="",$E182="pre"),"",IF(AND('Month-End'!$FW$40&lt;&gt;"",NOT(_xlfn.ISFORMULA('Month-End'!$FW$40))),N('Month-End'!$FW$40),IF(OR($E182="open",$E181="pre"),N(Settings!$C$38),N($AU181))+$BA182))</f>
        <v/>
      </c>
      <c r="AV182">
        <f>IF(OR(Settings!$A$39="",$E182="pre"),"",IF(AND('Month-End'!$FW$41&lt;&gt;"",NOT(_xlfn.ISFORMULA('Month-End'!$FW$41))),N('Month-End'!$FW$41),IF(OR($E182="open",$E181="pre"),N(Settings!$C$39),N($AV181))+$BB182))</f>
        <v/>
      </c>
      <c r="AW182">
        <f>IF(OR(Settings!$A$40="",$E182="pre"),"",IF(AND('Month-End'!$FW$42&lt;&gt;"",NOT(_xlfn.ISFORMULA('Month-End'!$FW$42))),N('Month-End'!$FW$42),IF(OR($E182="open",$E181="pre"),N(Settings!$C$40),N($AW181))+$BC182))</f>
        <v/>
      </c>
      <c r="AX182">
        <f>IF(OR(Settings!$A$41="",$E182="pre"),"",IF(AND('Month-End'!$FW$43&lt;&gt;"",NOT(_xlfn.ISFORMULA('Month-End'!$FW$43))),N('Month-End'!$FW$43),IF(OR($E182="open",$E181="pre"),N(Settings!$C$41),N($AX181))+$BD182))</f>
        <v/>
      </c>
      <c r="AY182">
        <f>IF($E182="pre",0,N('Month-End'!$FW$45))</f>
        <v/>
      </c>
      <c r="AZ182">
        <f>IF($E182="pre",0,N('Month-End'!$FW$46))</f>
        <v/>
      </c>
      <c r="BA182">
        <f>IF($E182="pre",0,N('Month-End'!$FW$47))</f>
        <v/>
      </c>
      <c r="BB182">
        <f>IF($E182="pre",0,N('Month-End'!$FW$48))</f>
        <v/>
      </c>
      <c r="BC182">
        <f>IF($E182="pre",0,N('Month-End'!$FW$49))</f>
        <v/>
      </c>
      <c r="BD182">
        <f>IF($E182="pre",0,N('Month-End'!$FW$50))</f>
        <v/>
      </c>
      <c r="BE182">
        <f>IF(OR(Settings!$C$45="",Settings!$D$45=""),0,Settings!$C$45*IF(Settings!$D$45="Weekly",IF(IFERROR(MATCH(Settings!$E$45,$EO$4:$EO$10,0),0)=0,0,IF(MIN($C182,IF(Settings!$G$45="",$C182,Settings!$G$45))&lt;MAX($A182,Settings!$F$45),0,INT((MIN($C182,IF(Settings!$G$45="",$C182,Settings!$G$45))-MAX($A182,Settings!$F$45)-MOD(IFERROR(MATCH(Settings!$E$45,$EO$4:$EO$10,0),0)-WEEKDAY(MAX($A182,Settings!$F$45)),7))/7)+1)),IF(AND(IF(Settings!$E$45="",$B182,DATE(YEAR($A182),MONTH($A182),MIN(Settings!$E$45,DAY($B182))))&gt;=MAX($A182,Settings!$F$45),IF(Settings!$E$45="",$B182,DATE(YEAR($A182),MONTH($A182),MIN(Settings!$E$45,DAY($B182))))&lt;=MIN($C182,IF(Settings!$G$45="",$C182,Settings!$G$45))),1,0)))</f>
        <v/>
      </c>
      <c r="BF182">
        <f>IF(OR(Settings!$C$46="",Settings!$D$46=""),0,Settings!$C$46*IF(Settings!$D$46="Weekly",IF(IFERROR(MATCH(Settings!$E$46,$EO$4:$EO$10,0),0)=0,0,IF(MIN($C182,IF(Settings!$G$46="",$C182,Settings!$G$46))&lt;MAX($A182,Settings!$F$46),0,INT((MIN($C182,IF(Settings!$G$46="",$C182,Settings!$G$46))-MAX($A182,Settings!$F$46)-MOD(IFERROR(MATCH(Settings!$E$46,$EO$4:$EO$10,0),0)-WEEKDAY(MAX($A182,Settings!$F$46)),7))/7)+1)),IF(AND(IF(Settings!$E$46="",$B182,DATE(YEAR($A182),MONTH($A182),MIN(Settings!$E$46,DAY($B182))))&gt;=MAX($A182,Settings!$F$46),IF(Settings!$E$46="",$B182,DATE(YEAR($A182),MONTH($A182),MIN(Settings!$E$46,DAY($B182))))&lt;=MIN($C182,IF(Settings!$G$46="",$C182,Settings!$G$46))),1,0)))</f>
        <v/>
      </c>
      <c r="BG182">
        <f>IF(OR(Settings!$C$47="",Settings!$D$47=""),0,Settings!$C$47*IF(Settings!$D$47="Weekly",IF(IFERROR(MATCH(Settings!$E$47,$EO$4:$EO$10,0),0)=0,0,IF(MIN($C182,IF(Settings!$G$47="",$C182,Settings!$G$47))&lt;MAX($A182,Settings!$F$47),0,INT((MIN($C182,IF(Settings!$G$47="",$C182,Settings!$G$47))-MAX($A182,Settings!$F$47)-MOD(IFERROR(MATCH(Settings!$E$47,$EO$4:$EO$10,0),0)-WEEKDAY(MAX($A182,Settings!$F$47)),7))/7)+1)),IF(AND(IF(Settings!$E$47="",$B182,DATE(YEAR($A182),MONTH($A182),MIN(Settings!$E$47,DAY($B182))))&gt;=MAX($A182,Settings!$F$47),IF(Settings!$E$47="",$B182,DATE(YEAR($A182),MONTH($A182),MIN(Settings!$E$47,DAY($B182))))&lt;=MIN($C182,IF(Settings!$G$47="",$C182,Settings!$G$47))),1,0)))</f>
        <v/>
      </c>
      <c r="BH182">
        <f>IF(OR(Settings!$C$48="",Settings!$D$48=""),0,Settings!$C$48*IF(Settings!$D$48="Weekly",IF(IFERROR(MATCH(Settings!$E$48,$EO$4:$EO$10,0),0)=0,0,IF(MIN($C182,IF(Settings!$G$48="",$C182,Settings!$G$48))&lt;MAX($A182,Settings!$F$48),0,INT((MIN($C182,IF(Settings!$G$48="",$C182,Settings!$G$48))-MAX($A182,Settings!$F$48)-MOD(IFERROR(MATCH(Settings!$E$48,$EO$4:$EO$10,0),0)-WEEKDAY(MAX($A182,Settings!$F$48)),7))/7)+1)),IF(AND(IF(Settings!$E$48="",$B182,DATE(YEAR($A182),MONTH($A182),MIN(Settings!$E$48,DAY($B182))))&gt;=MAX($A182,Settings!$F$48),IF(Settings!$E$48="",$B182,DATE(YEAR($A182),MONTH($A182),MIN(Settings!$E$48,DAY($B182))))&lt;=MIN($C182,IF(Settings!$G$48="",$C182,Settings!$G$48))),1,0)))</f>
        <v/>
      </c>
      <c r="BI182">
        <f>IF(OR(Settings!$C$49="",Settings!$D$49=""),0,Settings!$C$49*IF(Settings!$D$49="Weekly",IF(IFERROR(MATCH(Settings!$E$49,$EO$4:$EO$10,0),0)=0,0,IF(MIN($C182,IF(Settings!$G$49="",$C182,Settings!$G$49))&lt;MAX($A182,Settings!$F$49),0,INT((MIN($C182,IF(Settings!$G$49="",$C182,Settings!$G$49))-MAX($A182,Settings!$F$49)-MOD(IFERROR(MATCH(Settings!$E$49,$EO$4:$EO$10,0),0)-WEEKDAY(MAX($A182,Settings!$F$49)),7))/7)+1)),IF(AND(IF(Settings!$E$49="",$B182,DATE(YEAR($A182),MONTH($A182),MIN(Settings!$E$49,DAY($B182))))&gt;=MAX($A182,Settings!$F$49),IF(Settings!$E$49="",$B182,DATE(YEAR($A182),MONTH($A182),MIN(Settings!$E$49,DAY($B182))))&lt;=MIN($C182,IF(Settings!$G$49="",$C182,Settings!$G$49))),1,0)))</f>
        <v/>
      </c>
      <c r="BJ182">
        <f>IF(OR(Settings!$C$50="",Settings!$D$50=""),0,Settings!$C$50*IF(Settings!$D$50="Weekly",IF(IFERROR(MATCH(Settings!$E$50,$EO$4:$EO$10,0),0)=0,0,IF(MIN($C182,IF(Settings!$G$50="",$C182,Settings!$G$50))&lt;MAX($A182,Settings!$F$50),0,INT((MIN($C182,IF(Settings!$G$50="",$C182,Settings!$G$50))-MAX($A182,Settings!$F$50)-MOD(IFERROR(MATCH(Settings!$E$50,$EO$4:$EO$10,0),0)-WEEKDAY(MAX($A182,Settings!$F$50)),7))/7)+1)),IF(AND(IF(Settings!$E$50="",$B182,DATE(YEAR($A182),MONTH($A182),MIN(Settings!$E$50,DAY($B182))))&gt;=MAX($A182,Settings!$F$50),IF(Settings!$E$50="",$B182,DATE(YEAR($A182),MONTH($A182),MIN(Settings!$E$50,DAY($B182))))&lt;=MIN($C182,IF(Settings!$G$50="",$C182,Settings!$G$50))),1,0)))</f>
        <v/>
      </c>
      <c r="BK182">
        <f>IF(OR(Settings!$C$51="",Settings!$D$51=""),0,Settings!$C$51*IF(Settings!$D$51="Weekly",IF(IFERROR(MATCH(Settings!$E$51,$EO$4:$EO$10,0),0)=0,0,IF(MIN($C182,IF(Settings!$G$51="",$C182,Settings!$G$51))&lt;MAX($A182,Settings!$F$51),0,INT((MIN($C182,IF(Settings!$G$51="",$C182,Settings!$G$51))-MAX($A182,Settings!$F$51)-MOD(IFERROR(MATCH(Settings!$E$51,$EO$4:$EO$10,0),0)-WEEKDAY(MAX($A182,Settings!$F$51)),7))/7)+1)),IF(AND(IF(Settings!$E$51="",$B182,DATE(YEAR($A182),MONTH($A182),MIN(Settings!$E$51,DAY($B182))))&gt;=MAX($A182,Settings!$F$51),IF(Settings!$E$51="",$B182,DATE(YEAR($A182),MONTH($A182),MIN(Settings!$E$51,DAY($B182))))&lt;=MIN($C182,IF(Settings!$G$51="",$C182,Settings!$G$51))),1,0)))</f>
        <v/>
      </c>
      <c r="BL182">
        <f>IF(OR(Settings!$C$52="",Settings!$D$52=""),0,Settings!$C$52*IF(Settings!$D$52="Weekly",IF(IFERROR(MATCH(Settings!$E$52,$EO$4:$EO$10,0),0)=0,0,IF(MIN($C182,IF(Settings!$G$52="",$C182,Settings!$G$52))&lt;MAX($A182,Settings!$F$52),0,INT((MIN($C182,IF(Settings!$G$52="",$C182,Settings!$G$52))-MAX($A182,Settings!$F$52)-MOD(IFERROR(MATCH(Settings!$E$52,$EO$4:$EO$10,0),0)-WEEKDAY(MAX($A182,Settings!$F$52)),7))/7)+1)),IF(AND(IF(Settings!$E$52="",$B182,DATE(YEAR($A182),MONTH($A182),MIN(Settings!$E$52,DAY($B182))))&gt;=MAX($A182,Settings!$F$52),IF(Settings!$E$52="",$B182,DATE(YEAR($A182),MONTH($A182),MIN(Settings!$E$52,DAY($B182))))&lt;=MIN($C182,IF(Settings!$G$52="",$C182,Settings!$G$52))),1,0)))</f>
        <v/>
      </c>
      <c r="BM182">
        <f>IF(OR(Settings!$C$53="",Settings!$D$53=""),0,Settings!$C$53*IF(Settings!$D$53="Weekly",IF(IFERROR(MATCH(Settings!$E$53,$EO$4:$EO$10,0),0)=0,0,IF(MIN($C182,IF(Settings!$G$53="",$C182,Settings!$G$53))&lt;MAX($A182,Settings!$F$53),0,INT((MIN($C182,IF(Settings!$G$53="",$C182,Settings!$G$53))-MAX($A182,Settings!$F$53)-MOD(IFERROR(MATCH(Settings!$E$53,$EO$4:$EO$10,0),0)-WEEKDAY(MAX($A182,Settings!$F$53)),7))/7)+1)),IF(AND(IF(Settings!$E$53="",$B182,DATE(YEAR($A182),MONTH($A182),MIN(Settings!$E$53,DAY($B182))))&gt;=MAX($A182,Settings!$F$53),IF(Settings!$E$53="",$B182,DATE(YEAR($A182),MONTH($A182),MIN(Settings!$E$53,DAY($B182))))&lt;=MIN($C182,IF(Settings!$G$53="",$C182,Settings!$G$53))),1,0)))</f>
        <v/>
      </c>
      <c r="BN182">
        <f>IF(OR(Settings!$C$54="",Settings!$D$54=""),0,Settings!$C$54*IF(Settings!$D$54="Weekly",IF(IFERROR(MATCH(Settings!$E$54,$EO$4:$EO$10,0),0)=0,0,IF(MIN($C182,IF(Settings!$G$54="",$C182,Settings!$G$54))&lt;MAX($A182,Settings!$F$54),0,INT((MIN($C182,IF(Settings!$G$54="",$C182,Settings!$G$54))-MAX($A182,Settings!$F$54)-MOD(IFERROR(MATCH(Settings!$E$54,$EO$4:$EO$10,0),0)-WEEKDAY(MAX($A182,Settings!$F$54)),7))/7)+1)),IF(AND(IF(Settings!$E$54="",$B182,DATE(YEAR($A182),MONTH($A182),MIN(Settings!$E$54,DAY($B182))))&gt;=MAX($A182,Settings!$F$54),IF(Settings!$E$54="",$B182,DATE(YEAR($A182),MONTH($A182),MIN(Settings!$E$54,DAY($B182))))&lt;=MIN($C182,IF(Settings!$G$54="",$C182,Settings!$G$54))),1,0)))</f>
        <v/>
      </c>
      <c r="BO182">
        <f>IF(OR(Settings!$C$55="",Settings!$D$55=""),0,Settings!$C$55*IF(Settings!$D$55="Weekly",IF(IFERROR(MATCH(Settings!$E$55,$EO$4:$EO$10,0),0)=0,0,IF(MIN($C182,IF(Settings!$G$55="",$C182,Settings!$G$55))&lt;MAX($A182,Settings!$F$55),0,INT((MIN($C182,IF(Settings!$G$55="",$C182,Settings!$G$55))-MAX($A182,Settings!$F$55)-MOD(IFERROR(MATCH(Settings!$E$55,$EO$4:$EO$10,0),0)-WEEKDAY(MAX($A182,Settings!$F$55)),7))/7)+1)),IF(AND(IF(Settings!$E$55="",$B182,DATE(YEAR($A182),MONTH($A182),MIN(Settings!$E$55,DAY($B182))))&gt;=MAX($A182,Settings!$F$55),IF(Settings!$E$55="",$B182,DATE(YEAR($A182),MONTH($A182),MIN(Settings!$E$55,DAY($B182))))&lt;=MIN($C182,IF(Settings!$G$55="",$C182,Settings!$G$55))),1,0)))</f>
        <v/>
      </c>
      <c r="BP182">
        <f>IF(OR(Settings!$C$56="",Settings!$D$56=""),0,Settings!$C$56*IF(Settings!$D$56="Weekly",IF(IFERROR(MATCH(Settings!$E$56,$EO$4:$EO$10,0),0)=0,0,IF(MIN($C182,IF(Settings!$G$56="",$C182,Settings!$G$56))&lt;MAX($A182,Settings!$F$56),0,INT((MIN($C182,IF(Settings!$G$56="",$C182,Settings!$G$56))-MAX($A182,Settings!$F$56)-MOD(IFERROR(MATCH(Settings!$E$56,$EO$4:$EO$10,0),0)-WEEKDAY(MAX($A182,Settings!$F$56)),7))/7)+1)),IF(AND(IF(Settings!$E$56="",$B182,DATE(YEAR($A182),MONTH($A182),MIN(Settings!$E$56,DAY($B182))))&gt;=MAX($A182,Settings!$F$56),IF(Settings!$E$56="",$B182,DATE(YEAR($A182),MONTH($A182),MIN(Settings!$E$56,DAY($B182))))&lt;=MIN($C182,IF(Settings!$G$56="",$C182,Settings!$G$56))),1,0)))</f>
        <v/>
      </c>
      <c r="BQ182">
        <f>IF(OR(Settings!$B$14="",$D182=1,$E182="pre",$A182&lt;IF(Settings!$B$15="",0,Settings!$B$15)),0,Settings!$B$14)</f>
        <v/>
      </c>
      <c r="BR182">
        <f>IF(AND('Month-End'!$FW$7&lt;&gt;"",NOT(_xlfn.ISFORMULA('Month-End'!$FW$7))),1,0)</f>
        <v/>
      </c>
      <c r="BS182">
        <f>IF(AND('Month-End'!$FW$8&lt;&gt;"",NOT(_xlfn.ISFORMULA('Month-End'!$FW$8))),1,0)</f>
        <v/>
      </c>
      <c r="BT182">
        <f>IF(AND('Month-End'!$FW$9&lt;&gt;"",NOT(_xlfn.ISFORMULA('Month-End'!$FW$9))),1,0)</f>
        <v/>
      </c>
      <c r="BU182">
        <f>IF(AND('Month-End'!$FW$10&lt;&gt;"",NOT(_xlfn.ISFORMULA('Month-End'!$FW$10))),1,0)</f>
        <v/>
      </c>
      <c r="BV182">
        <f>IF(AND('Month-End'!$FW$11&lt;&gt;"",NOT(_xlfn.ISFORMULA('Month-End'!$FW$11))),1,0)</f>
        <v/>
      </c>
      <c r="BW182">
        <f>IF(AND('Month-End'!$FW$12&lt;&gt;"",NOT(_xlfn.ISFORMULA('Month-End'!$FW$12))),1,0)</f>
        <v/>
      </c>
      <c r="BX182">
        <f>IF(AND('Month-End'!$FW$13&lt;&gt;"",NOT(_xlfn.ISFORMULA('Month-End'!$FW$13))),1,0)</f>
        <v/>
      </c>
      <c r="BY182">
        <f>IF(AND('Month-End'!$FW$14&lt;&gt;"",NOT(_xlfn.ISFORMULA('Month-End'!$FW$14))),1,0)</f>
        <v/>
      </c>
      <c r="BZ182">
        <f>IF(AND('Month-End'!$FW$15&lt;&gt;"",NOT(_xlfn.ISFORMULA('Month-End'!$FW$15))),1,0)</f>
        <v/>
      </c>
      <c r="CA182">
        <f>IF(AND('Month-End'!$FW$16&lt;&gt;"",NOT(_xlfn.ISFORMULA('Month-End'!$FW$16))),1,0)</f>
        <v/>
      </c>
      <c r="CB182">
        <f>IF(AND('Month-End'!$FW$17&lt;&gt;"",NOT(_xlfn.ISFORMULA('Month-End'!$FW$17))),1,0)</f>
        <v/>
      </c>
      <c r="CC182">
        <f>IF(AND('Month-End'!$FW$18&lt;&gt;"",NOT(_xlfn.ISFORMULA('Month-End'!$FW$18))),1,0)</f>
        <v/>
      </c>
      <c r="CD182">
        <f>IF(AND('Month-End'!$FW$19&lt;&gt;"",NOT(_xlfn.ISFORMULA('Month-End'!$FW$19))),1,0)</f>
        <v/>
      </c>
      <c r="CE182">
        <f>IF(AND('Month-End'!$FW$20&lt;&gt;"",NOT(_xlfn.ISFORMULA('Month-End'!$FW$20))),1,0)</f>
        <v/>
      </c>
      <c r="CF182">
        <f>IF(AND('Month-End'!$FW$38&lt;&gt;"",NOT(_xlfn.ISFORMULA('Month-End'!$FW$38))),1,0)</f>
        <v/>
      </c>
      <c r="CG182">
        <f>IF(AND('Month-End'!$FW$39&lt;&gt;"",NOT(_xlfn.ISFORMULA('Month-End'!$FW$39))),1,0)</f>
        <v/>
      </c>
      <c r="CH182">
        <f>IF(AND('Month-End'!$FW$40&lt;&gt;"",NOT(_xlfn.ISFORMULA('Month-End'!$FW$40))),1,0)</f>
        <v/>
      </c>
      <c r="CI182">
        <f>IF(AND('Month-End'!$FW$41&lt;&gt;"",NOT(_xlfn.ISFORMULA('Month-End'!$FW$41))),1,0)</f>
        <v/>
      </c>
      <c r="CJ182">
        <f>IF(AND('Month-End'!$FW$42&lt;&gt;"",NOT(_xlfn.ISFORMULA('Month-End'!$FW$42))),1,0)</f>
        <v/>
      </c>
      <c r="CK182">
        <f>IF(AND('Month-End'!$FW$43&lt;&gt;"",NOT(_xlfn.ISFORMULA('Month-End'!$FW$43))),1,0)</f>
        <v/>
      </c>
      <c r="CL182">
        <f>SUM($CM182:$CZ182)</f>
        <v/>
      </c>
      <c r="CM182">
        <f>IF(AND($E182&lt;&gt;"pre",AND(Settings!$A$19&lt;&gt;"",Settings!$E$19&lt;&gt;"No"),Settings!$F$19="Yes",NOT(AND('Month-End'!$FW$7&lt;&gt;"",NOT(_xlfn.ISFORMULA('Month-End'!$FW$7))))),1,0)</f>
        <v/>
      </c>
      <c r="CN182">
        <f>IF(AND($E182&lt;&gt;"pre",AND(Settings!$A$20&lt;&gt;"",Settings!$E$20&lt;&gt;"No"),Settings!$F$20="Yes",NOT(AND('Month-End'!$FW$8&lt;&gt;"",NOT(_xlfn.ISFORMULA('Month-End'!$FW$8))))),1,0)</f>
        <v/>
      </c>
      <c r="CO182">
        <f>IF(AND($E182&lt;&gt;"pre",AND(Settings!$A$21&lt;&gt;"",Settings!$E$21&lt;&gt;"No"),Settings!$F$21="Yes",NOT(AND('Month-End'!$FW$9&lt;&gt;"",NOT(_xlfn.ISFORMULA('Month-End'!$FW$9))))),1,0)</f>
        <v/>
      </c>
      <c r="CP182">
        <f>IF(AND($E182&lt;&gt;"pre",AND(Settings!$A$22&lt;&gt;"",Settings!$E$22&lt;&gt;"No"),Settings!$F$22="Yes",NOT(AND('Month-End'!$FW$10&lt;&gt;"",NOT(_xlfn.ISFORMULA('Month-End'!$FW$10))))),1,0)</f>
        <v/>
      </c>
      <c r="CQ182">
        <f>IF(AND($E182&lt;&gt;"pre",AND(Settings!$A$23&lt;&gt;"",Settings!$E$23&lt;&gt;"No"),Settings!$F$23="Yes",NOT(AND('Month-End'!$FW$11&lt;&gt;"",NOT(_xlfn.ISFORMULA('Month-End'!$FW$11))))),1,0)</f>
        <v/>
      </c>
      <c r="CR182">
        <f>IF(AND($E182&lt;&gt;"pre",AND(Settings!$A$24&lt;&gt;"",Settings!$E$24&lt;&gt;"No"),Settings!$F$24="Yes",NOT(AND('Month-End'!$FW$12&lt;&gt;"",NOT(_xlfn.ISFORMULA('Month-End'!$FW$12))))),1,0)</f>
        <v/>
      </c>
      <c r="CS182">
        <f>IF(AND($E182&lt;&gt;"pre",AND(Settings!$A$25&lt;&gt;"",Settings!$E$25&lt;&gt;"No"),Settings!$F$25="Yes",NOT(AND('Month-End'!$FW$13&lt;&gt;"",NOT(_xlfn.ISFORMULA('Month-End'!$FW$13))))),1,0)</f>
        <v/>
      </c>
      <c r="CT182">
        <f>IF(AND($E182&lt;&gt;"pre",AND(Settings!$A$26&lt;&gt;"",Settings!$E$26&lt;&gt;"No"),Settings!$F$26="Yes",NOT(AND('Month-End'!$FW$14&lt;&gt;"",NOT(_xlfn.ISFORMULA('Month-End'!$FW$14))))),1,0)</f>
        <v/>
      </c>
      <c r="CU182">
        <f>IF(AND($E182&lt;&gt;"pre",AND(Settings!$A$27&lt;&gt;"",Settings!$E$27&lt;&gt;"No"),Settings!$F$27="Yes",NOT(AND('Month-End'!$FW$15&lt;&gt;"",NOT(_xlfn.ISFORMULA('Month-End'!$FW$15))))),1,0)</f>
        <v/>
      </c>
      <c r="CV182">
        <f>IF(AND($E182&lt;&gt;"pre",AND(Settings!$A$28&lt;&gt;"",Settings!$E$28&lt;&gt;"No"),Settings!$F$28="Yes",NOT(AND('Month-End'!$FW$16&lt;&gt;"",NOT(_xlfn.ISFORMULA('Month-End'!$FW$16))))),1,0)</f>
        <v/>
      </c>
      <c r="CW182">
        <f>IF(AND($E182&lt;&gt;"pre",AND(Settings!$A$29&lt;&gt;"",Settings!$E$29&lt;&gt;"No"),Settings!$F$29="Yes",NOT(AND('Month-End'!$FW$17&lt;&gt;"",NOT(_xlfn.ISFORMULA('Month-End'!$FW$17))))),1,0)</f>
        <v/>
      </c>
      <c r="CX182">
        <f>IF(AND($E182&lt;&gt;"pre",AND(Settings!$A$30&lt;&gt;"",Settings!$E$30&lt;&gt;"No"),Settings!$F$30="Yes",NOT(AND('Month-End'!$FW$18&lt;&gt;"",NOT(_xlfn.ISFORMULA('Month-End'!$FW$18))))),1,0)</f>
        <v/>
      </c>
      <c r="CY182">
        <f>IF(AND($E182&lt;&gt;"pre",AND(Settings!$A$31&lt;&gt;"",Settings!$E$31&lt;&gt;"No"),Settings!$F$31="Yes",NOT(AND('Month-End'!$FW$19&lt;&gt;"",NOT(_xlfn.ISFORMULA('Month-End'!$FW$19))))),1,0)</f>
        <v/>
      </c>
      <c r="CZ182">
        <f>IF(AND($E182&lt;&gt;"pre",AND(Settings!$A$32&lt;&gt;"",Settings!$E$32&lt;&gt;"No"),Settings!$F$32="Yes",NOT(AND('Month-End'!$FW$20&lt;&gt;"",NOT(_xlfn.ISFORMULA('Month-End'!$FW$20))))),1,0)</f>
        <v/>
      </c>
      <c r="DA182">
        <f>IF($DT182=1,IF(OR(Settings!$B$19="Checking",Settings!$B$19="Savings",Settings!$B$19="Cash"),N($AE182),IF(OR(Settings!$B$19="Card",Settings!$B$19="Loan"),-N($AE182),0))+IF(OR(Settings!$B$20="Checking",Settings!$B$20="Savings",Settings!$B$20="Cash"),N($AF182),IF(OR(Settings!$B$20="Card",Settings!$B$20="Loan"),-N($AF182),0))+IF(OR(Settings!$B$21="Checking",Settings!$B$21="Savings",Settings!$B$21="Cash"),N($AG182),IF(OR(Settings!$B$21="Card",Settings!$B$21="Loan"),-N($AG182),0))+IF(OR(Settings!$B$22="Checking",Settings!$B$22="Savings",Settings!$B$22="Cash"),N($AH182),IF(OR(Settings!$B$22="Card",Settings!$B$22="Loan"),-N($AH182),0))+IF(OR(Settings!$B$23="Checking",Settings!$B$23="Savings",Settings!$B$23="Cash"),N($AI182),IF(OR(Settings!$B$23="Card",Settings!$B$23="Loan"),-N($AI182),0))+IF(OR(Settings!$B$24="Checking",Settings!$B$24="Savings",Settings!$B$24="Cash"),N($AJ182),IF(OR(Settings!$B$24="Card",Settings!$B$24="Loan"),-N($AJ182),0))+IF(OR(Settings!$B$25="Checking",Settings!$B$25="Savings",Settings!$B$25="Cash"),N($AK182),IF(OR(Settings!$B$25="Card",Settings!$B$25="Loan"),-N($AK182),0))+IF(OR(Settings!$B$26="Checking",Settings!$B$26="Savings",Settings!$B$26="Cash"),N($AL182),IF(OR(Settings!$B$26="Card",Settings!$B$26="Loan"),-N($AL182),0))+IF(OR(Settings!$B$27="Checking",Settings!$B$27="Savings",Settings!$B$27="Cash"),N($AM182),IF(OR(Settings!$B$27="Card",Settings!$B$27="Loan"),-N($AM182),0))+IF(OR(Settings!$B$28="Checking",Settings!$B$28="Savings",Settings!$B$28="Cash"),N($AN182),IF(OR(Settings!$B$28="Card",Settings!$B$28="Loan"),-N($AN182),0))+IF(OR(Settings!$B$29="Checking",Settings!$B$29="Savings",Settings!$B$29="Cash"),N($AO182),IF(OR(Settings!$B$29="Card",Settings!$B$29="Loan"),-N($AO182),0))+IF(OR(Settings!$B$30="Checking",Settings!$B$30="Savings",Settings!$B$30="Cash"),N($AP182),IF(OR(Settings!$B$30="Card",Settings!$B$30="Loan"),-N($AP182),0))+IF(OR(Settings!$B$31="Checking",Settings!$B$31="Savings",Settings!$B$31="Cash"),N($AQ182),IF(OR(Settings!$B$31="Card",Settings!$B$31="Loan"),-N($AQ182),0))+IF(OR(Settings!$B$32="Checking",Settings!$B$32="Savings",Settings!$B$32="Cash"),N($AR182),IF(OR(Settings!$B$32="Card",Settings!$B$32="Loan"),-N($AR182),0)),"")</f>
        <v/>
      </c>
      <c r="DB182">
        <f>IF($E182="open",$EB$27,IF($E182="post",IF($E181="pre",$EB$27,$DA181),""))</f>
        <v/>
      </c>
      <c r="DC182">
        <f>IF($E182="open",1,IF($E182="post",IF($E181="pre",1,$DT181),0))</f>
        <v/>
      </c>
      <c r="DD182">
        <f>IF(AND($DT182=1,$DC182=1),ROUND($W182-($DA182-$DB182)-$AD182-$AB182,2),"")</f>
        <v/>
      </c>
      <c r="DE182">
        <f>IF('Month-End'!$FW$35="",$BQ182,N('Month-End'!$FW$35))</f>
        <v/>
      </c>
      <c r="DF182">
        <f>N('Month-End'!$FW$36)</f>
        <v/>
      </c>
      <c r="DG182">
        <f>IF($DD182="","",$DD182+$DE182)</f>
        <v/>
      </c>
      <c r="DH182">
        <f>IF($DG182="","",$DG182-$DF182)</f>
        <v/>
      </c>
      <c r="DI182">
        <f>IF(OR($E182="pre",$D182=1),"",N($AS182)+N($AT182)+N($AU182)+N($AV182)+N($AW182)+N($AX182))</f>
        <v/>
      </c>
      <c r="DJ182">
        <f>IF($DT182=1,$DA182+N($DI182),"")</f>
        <v/>
      </c>
      <c r="DK182">
        <f>IF($DD182="","",$W182-$DD182-$AB182)</f>
        <v/>
      </c>
      <c r="DL182">
        <f>IF(AND($E182="post",$DD182&lt;&gt;"",$B182&lt;TODAY()),1,0)</f>
        <v/>
      </c>
      <c r="DM182">
        <f>IF($DL182=1,COUNTIF($DL182:$DL$183,1),0)</f>
        <v/>
      </c>
      <c r="DN182">
        <f>IF($D182=1,"",IF($E182="pre","History only",IF($DT182=1,IF($DD182="","⚠ Previous month missing",IF($DD182&lt;0,"⚠ Check: spending &lt; 0",IF($E182="open","✓ Done (partial)","✓ Done"))),IF($B182&gt;=TODAY(),"In progress","⚠ Needs balances"))))</f>
        <v/>
      </c>
      <c r="DO182">
        <f>YEAR($A182)</f>
        <v/>
      </c>
      <c r="DP182">
        <f>DATE(YEAR($A182),INT((MONTH($A182)-1)/3)*3+1,1)</f>
        <v/>
      </c>
      <c r="DQ182">
        <f>IF(AND($DT182=1,$DD182&lt;&gt;"",$D182=0),ROW(),0)</f>
        <v/>
      </c>
      <c r="DR182">
        <f>IF(AND($E182&lt;&gt;"pre",$B182&lt;TODAY(),$DT182=0),1,0)</f>
        <v/>
      </c>
      <c r="DS182">
        <f>IF($DJ182="",NA(),$DJ182)</f>
        <v/>
      </c>
      <c r="DT182">
        <f>IF(AND($E182&lt;&gt;"pre",$CL182=0,COUNTIFS(Settings!$F$19:$F$32,"Yes",Settings!$A$19:$A$32,"&lt;&gt;",Settings!$E$19:$E$32,"&lt;&gt;No")&gt;0),1,0)</f>
        <v/>
      </c>
      <c r="DU182">
        <f>IF(AND($B182&lt;TODAY(),$S182&gt;0),1,0)</f>
        <v/>
      </c>
      <c r="DV182">
        <f>IF($DU182=1,COUNTIF($DU182:$DU$183,1),0)</f>
        <v/>
      </c>
      <c r="DW182">
        <f>IF(AND(OR(Settings!$B$19="Card",Settings!$B$19="Loan"),AND('Month-End'!$FW$7&lt;&gt;"",NOT(_xlfn.ISFORMULA('Month-End'!$FW$7)))),IF(N('Month-End'!$FW$7)&lt;0,1,0),0)+IF(AND(OR(Settings!$B$20="Card",Settings!$B$20="Loan"),AND('Month-End'!$FW$8&lt;&gt;"",NOT(_xlfn.ISFORMULA('Month-End'!$FW$8)))),IF(N('Month-End'!$FW$8)&lt;0,1,0),0)+IF(AND(OR(Settings!$B$21="Card",Settings!$B$21="Loan"),AND('Month-End'!$FW$9&lt;&gt;"",NOT(_xlfn.ISFORMULA('Month-End'!$FW$9)))),IF(N('Month-End'!$FW$9)&lt;0,1,0),0)+IF(AND(OR(Settings!$B$22="Card",Settings!$B$22="Loan"),AND('Month-End'!$FW$10&lt;&gt;"",NOT(_xlfn.ISFORMULA('Month-End'!$FW$10)))),IF(N('Month-End'!$FW$10)&lt;0,1,0),0)+IF(AND(OR(Settings!$B$23="Card",Settings!$B$23="Loan"),AND('Month-End'!$FW$11&lt;&gt;"",NOT(_xlfn.ISFORMULA('Month-End'!$FW$11)))),IF(N('Month-End'!$FW$11)&lt;0,1,0),0)+IF(AND(OR(Settings!$B$24="Card",Settings!$B$24="Loan"),AND('Month-End'!$FW$12&lt;&gt;"",NOT(_xlfn.ISFORMULA('Month-End'!$FW$12)))),IF(N('Month-End'!$FW$12)&lt;0,1,0),0)+IF(AND(OR(Settings!$B$25="Card",Settings!$B$25="Loan"),AND('Month-End'!$FW$13&lt;&gt;"",NOT(_xlfn.ISFORMULA('Month-End'!$FW$13)))),IF(N('Month-End'!$FW$13)&lt;0,1,0),0)+IF(AND(OR(Settings!$B$26="Card",Settings!$B$26="Loan"),AND('Month-End'!$FW$14&lt;&gt;"",NOT(_xlfn.ISFORMULA('Month-End'!$FW$14)))),IF(N('Month-End'!$FW$14)&lt;0,1,0),0)+IF(AND(OR(Settings!$B$27="Card",Settings!$B$27="Loan"),AND('Month-End'!$FW$15&lt;&gt;"",NOT(_xlfn.ISFORMULA('Month-End'!$FW$15)))),IF(N('Month-End'!$FW$15)&lt;0,1,0),0)+IF(AND(OR(Settings!$B$28="Card",Settings!$B$28="Loan"),AND('Month-End'!$FW$16&lt;&gt;"",NOT(_xlfn.ISFORMULA('Month-End'!$FW$16)))),IF(N('Month-End'!$FW$16)&lt;0,1,0),0)+IF(AND(OR(Settings!$B$29="Card",Settings!$B$29="Loan"),AND('Month-End'!$FW$17&lt;&gt;"",NOT(_xlfn.ISFORMULA('Month-End'!$FW$17)))),IF(N('Month-End'!$FW$17)&lt;0,1,0),0)+IF(AND(OR(Settings!$B$30="Card",Settings!$B$30="Loan"),AND('Month-End'!$FW$18&lt;&gt;"",NOT(_xlfn.ISFORMULA('Month-End'!$FW$18)))),IF(N('Month-End'!$FW$18)&lt;0,1,0),0)+IF(AND(OR(Settings!$B$31="Card",Settings!$B$31="Loan"),AND('Month-End'!$FW$19&lt;&gt;"",NOT(_xlfn.ISFORMULA('Month-End'!$FW$19)))),IF(N('Month-End'!$FW$19)&lt;0,1,0),0)+IF(AND(OR(Settings!$B$32="Card",Settings!$B$32="Loan"),AND('Month-End'!$FW$20&lt;&gt;"",NOT(_xlfn.ISFORMULA('Month-End'!$FW$20)))),IF(N('Month-End'!$FW$20)&lt;0,1,0),0)</f>
        <v/>
      </c>
      <c r="DX182">
        <f>IF(Settings!$B$36="Retirement",$AY182,0)+IF(Settings!$B$37="Retirement",$AZ182,0)+IF(Settings!$B$38="Retirement",$BA182,0)+IF(Settings!$B$39="Retirement",$BB182,0)+IF(Settings!$B$40="Retirement",$BC182,0)+IF(Settings!$B$41="Retirement",$BD182,0)</f>
        <v/>
      </c>
      <c r="ET182">
        <f>IF($E182&lt;&gt;"open",0,IF(AND('Month-End'!$FW$22&lt;&gt;"",NOT(_xlfn.ISFORMULA('Month-End'!$FW$22))),0,IF(OR(Settings!$C$45="",Settings!$D$45=""),0,Settings!$C$45*IF(Settings!$D$45="Weekly",IF(IFERROR(MATCH(Settings!$E$45,$EO$4:$EO$10,0),0)=0,0,IF(MIN(Settings!$B$5,IF(Settings!$G$45="",Settings!$B$5,Settings!$G$45))&lt;MAX($A182,Settings!$F$45),0,INT((MIN(Settings!$B$5,IF(Settings!$G$45="",Settings!$B$5,Settings!$G$45))-MAX($A182,Settings!$F$45)-MOD(IFERROR(MATCH(Settings!$E$45,$EO$4:$EO$10,0),0)-WEEKDAY(MAX($A182,Settings!$F$45)),7))/7)+1)),IF(AND(IF(Settings!$E$45="",$B182,DATE(YEAR($A182),MONTH($A182),MIN(Settings!$E$45,DAY($B182))))&gt;=MAX($A182,Settings!$F$45),IF(Settings!$E$45="",$B182,DATE(YEAR($A182),MONTH($A182),MIN(Settings!$E$45,DAY($B182))))&lt;=MIN(Settings!$B$5,IF(Settings!$G$45="",Settings!$B$5,Settings!$G$45))),1,0)))))</f>
        <v/>
      </c>
      <c r="EU182">
        <f>IF($E182&lt;&gt;"open",0,IF(AND('Month-End'!$FW$23&lt;&gt;"",NOT(_xlfn.ISFORMULA('Month-End'!$FW$23))),0,IF(OR(Settings!$C$46="",Settings!$D$46=""),0,Settings!$C$46*IF(Settings!$D$46="Weekly",IF(IFERROR(MATCH(Settings!$E$46,$EO$4:$EO$10,0),0)=0,0,IF(MIN(Settings!$B$5,IF(Settings!$G$46="",Settings!$B$5,Settings!$G$46))&lt;MAX($A182,Settings!$F$46),0,INT((MIN(Settings!$B$5,IF(Settings!$G$46="",Settings!$B$5,Settings!$G$46))-MAX($A182,Settings!$F$46)-MOD(IFERROR(MATCH(Settings!$E$46,$EO$4:$EO$10,0),0)-WEEKDAY(MAX($A182,Settings!$F$46)),7))/7)+1)),IF(AND(IF(Settings!$E$46="",$B182,DATE(YEAR($A182),MONTH($A182),MIN(Settings!$E$46,DAY($B182))))&gt;=MAX($A182,Settings!$F$46),IF(Settings!$E$46="",$B182,DATE(YEAR($A182),MONTH($A182),MIN(Settings!$E$46,DAY($B182))))&lt;=MIN(Settings!$B$5,IF(Settings!$G$46="",Settings!$B$5,Settings!$G$46))),1,0)))))</f>
        <v/>
      </c>
      <c r="EV182">
        <f>IF($E182&lt;&gt;"open",0,IF(AND('Month-End'!$FW$24&lt;&gt;"",NOT(_xlfn.ISFORMULA('Month-End'!$FW$24))),0,IF(OR(Settings!$C$47="",Settings!$D$47=""),0,Settings!$C$47*IF(Settings!$D$47="Weekly",IF(IFERROR(MATCH(Settings!$E$47,$EO$4:$EO$10,0),0)=0,0,IF(MIN(Settings!$B$5,IF(Settings!$G$47="",Settings!$B$5,Settings!$G$47))&lt;MAX($A182,Settings!$F$47),0,INT((MIN(Settings!$B$5,IF(Settings!$G$47="",Settings!$B$5,Settings!$G$47))-MAX($A182,Settings!$F$47)-MOD(IFERROR(MATCH(Settings!$E$47,$EO$4:$EO$10,0),0)-WEEKDAY(MAX($A182,Settings!$F$47)),7))/7)+1)),IF(AND(IF(Settings!$E$47="",$B182,DATE(YEAR($A182),MONTH($A182),MIN(Settings!$E$47,DAY($B182))))&gt;=MAX($A182,Settings!$F$47),IF(Settings!$E$47="",$B182,DATE(YEAR($A182),MONTH($A182),MIN(Settings!$E$47,DAY($B182))))&lt;=MIN(Settings!$B$5,IF(Settings!$G$47="",Settings!$B$5,Settings!$G$47))),1,0)))))</f>
        <v/>
      </c>
      <c r="EW182">
        <f>IF($E182&lt;&gt;"open",0,IF(AND('Month-End'!$FW$25&lt;&gt;"",NOT(_xlfn.ISFORMULA('Month-End'!$FW$25))),0,IF(OR(Settings!$C$48="",Settings!$D$48=""),0,Settings!$C$48*IF(Settings!$D$48="Weekly",IF(IFERROR(MATCH(Settings!$E$48,$EO$4:$EO$10,0),0)=0,0,IF(MIN(Settings!$B$5,IF(Settings!$G$48="",Settings!$B$5,Settings!$G$48))&lt;MAX($A182,Settings!$F$48),0,INT((MIN(Settings!$B$5,IF(Settings!$G$48="",Settings!$B$5,Settings!$G$48))-MAX($A182,Settings!$F$48)-MOD(IFERROR(MATCH(Settings!$E$48,$EO$4:$EO$10,0),0)-WEEKDAY(MAX($A182,Settings!$F$48)),7))/7)+1)),IF(AND(IF(Settings!$E$48="",$B182,DATE(YEAR($A182),MONTH($A182),MIN(Settings!$E$48,DAY($B182))))&gt;=MAX($A182,Settings!$F$48),IF(Settings!$E$48="",$B182,DATE(YEAR($A182),MONTH($A182),MIN(Settings!$E$48,DAY($B182))))&lt;=MIN(Settings!$B$5,IF(Settings!$G$48="",Settings!$B$5,Settings!$G$48))),1,0)))))</f>
        <v/>
      </c>
      <c r="EX182">
        <f>IF($E182&lt;&gt;"open",0,IF(AND('Month-End'!$FW$26&lt;&gt;"",NOT(_xlfn.ISFORMULA('Month-End'!$FW$26))),0,IF(OR(Settings!$C$49="",Settings!$D$49=""),0,Settings!$C$49*IF(Settings!$D$49="Weekly",IF(IFERROR(MATCH(Settings!$E$49,$EO$4:$EO$10,0),0)=0,0,IF(MIN(Settings!$B$5,IF(Settings!$G$49="",Settings!$B$5,Settings!$G$49))&lt;MAX($A182,Settings!$F$49),0,INT((MIN(Settings!$B$5,IF(Settings!$G$49="",Settings!$B$5,Settings!$G$49))-MAX($A182,Settings!$F$49)-MOD(IFERROR(MATCH(Settings!$E$49,$EO$4:$EO$10,0),0)-WEEKDAY(MAX($A182,Settings!$F$49)),7))/7)+1)),IF(AND(IF(Settings!$E$49="",$B182,DATE(YEAR($A182),MONTH($A182),MIN(Settings!$E$49,DAY($B182))))&gt;=MAX($A182,Settings!$F$49),IF(Settings!$E$49="",$B182,DATE(YEAR($A182),MONTH($A182),MIN(Settings!$E$49,DAY($B182))))&lt;=MIN(Settings!$B$5,IF(Settings!$G$49="",Settings!$B$5,Settings!$G$49))),1,0)))))</f>
        <v/>
      </c>
      <c r="EY182">
        <f>IF($E182&lt;&gt;"open",0,IF(AND('Month-End'!$FW$27&lt;&gt;"",NOT(_xlfn.ISFORMULA('Month-End'!$FW$27))),0,IF(OR(Settings!$C$50="",Settings!$D$50=""),0,Settings!$C$50*IF(Settings!$D$50="Weekly",IF(IFERROR(MATCH(Settings!$E$50,$EO$4:$EO$10,0),0)=0,0,IF(MIN(Settings!$B$5,IF(Settings!$G$50="",Settings!$B$5,Settings!$G$50))&lt;MAX($A182,Settings!$F$50),0,INT((MIN(Settings!$B$5,IF(Settings!$G$50="",Settings!$B$5,Settings!$G$50))-MAX($A182,Settings!$F$50)-MOD(IFERROR(MATCH(Settings!$E$50,$EO$4:$EO$10,0),0)-WEEKDAY(MAX($A182,Settings!$F$50)),7))/7)+1)),IF(AND(IF(Settings!$E$50="",$B182,DATE(YEAR($A182),MONTH($A182),MIN(Settings!$E$50,DAY($B182))))&gt;=MAX($A182,Settings!$F$50),IF(Settings!$E$50="",$B182,DATE(YEAR($A182),MONTH($A182),MIN(Settings!$E$50,DAY($B182))))&lt;=MIN(Settings!$B$5,IF(Settings!$G$50="",Settings!$B$5,Settings!$G$50))),1,0)))))</f>
        <v/>
      </c>
      <c r="EZ182">
        <f>IF($E182&lt;&gt;"open",0,IF(AND('Month-End'!$FW$28&lt;&gt;"",NOT(_xlfn.ISFORMULA('Month-End'!$FW$28))),0,IF(OR(Settings!$C$51="",Settings!$D$51=""),0,Settings!$C$51*IF(Settings!$D$51="Weekly",IF(IFERROR(MATCH(Settings!$E$51,$EO$4:$EO$10,0),0)=0,0,IF(MIN(Settings!$B$5,IF(Settings!$G$51="",Settings!$B$5,Settings!$G$51))&lt;MAX($A182,Settings!$F$51),0,INT((MIN(Settings!$B$5,IF(Settings!$G$51="",Settings!$B$5,Settings!$G$51))-MAX($A182,Settings!$F$51)-MOD(IFERROR(MATCH(Settings!$E$51,$EO$4:$EO$10,0),0)-WEEKDAY(MAX($A182,Settings!$F$51)),7))/7)+1)),IF(AND(IF(Settings!$E$51="",$B182,DATE(YEAR($A182),MONTH($A182),MIN(Settings!$E$51,DAY($B182))))&gt;=MAX($A182,Settings!$F$51),IF(Settings!$E$51="",$B182,DATE(YEAR($A182),MONTH($A182),MIN(Settings!$E$51,DAY($B182))))&lt;=MIN(Settings!$B$5,IF(Settings!$G$51="",Settings!$B$5,Settings!$G$51))),1,0)))))</f>
        <v/>
      </c>
      <c r="FA182">
        <f>IF($E182&lt;&gt;"open",0,IF(AND('Month-End'!$FW$29&lt;&gt;"",NOT(_xlfn.ISFORMULA('Month-End'!$FW$29))),0,IF(OR(Settings!$C$52="",Settings!$D$52=""),0,Settings!$C$52*IF(Settings!$D$52="Weekly",IF(IFERROR(MATCH(Settings!$E$52,$EO$4:$EO$10,0),0)=0,0,IF(MIN(Settings!$B$5,IF(Settings!$G$52="",Settings!$B$5,Settings!$G$52))&lt;MAX($A182,Settings!$F$52),0,INT((MIN(Settings!$B$5,IF(Settings!$G$52="",Settings!$B$5,Settings!$G$52))-MAX($A182,Settings!$F$52)-MOD(IFERROR(MATCH(Settings!$E$52,$EO$4:$EO$10,0),0)-WEEKDAY(MAX($A182,Settings!$F$52)),7))/7)+1)),IF(AND(IF(Settings!$E$52="",$B182,DATE(YEAR($A182),MONTH($A182),MIN(Settings!$E$52,DAY($B182))))&gt;=MAX($A182,Settings!$F$52),IF(Settings!$E$52="",$B182,DATE(YEAR($A182),MONTH($A182),MIN(Settings!$E$52,DAY($B182))))&lt;=MIN(Settings!$B$5,IF(Settings!$G$52="",Settings!$B$5,Settings!$G$52))),1,0)))))</f>
        <v/>
      </c>
      <c r="FB182">
        <f>IF($E182&lt;&gt;"open",0,IF(AND('Month-End'!$FW$30&lt;&gt;"",NOT(_xlfn.ISFORMULA('Month-End'!$FW$30))),0,IF(OR(Settings!$C$53="",Settings!$D$53=""),0,Settings!$C$53*IF(Settings!$D$53="Weekly",IF(IFERROR(MATCH(Settings!$E$53,$EO$4:$EO$10,0),0)=0,0,IF(MIN(Settings!$B$5,IF(Settings!$G$53="",Settings!$B$5,Settings!$G$53))&lt;MAX($A182,Settings!$F$53),0,INT((MIN(Settings!$B$5,IF(Settings!$G$53="",Settings!$B$5,Settings!$G$53))-MAX($A182,Settings!$F$53)-MOD(IFERROR(MATCH(Settings!$E$53,$EO$4:$EO$10,0),0)-WEEKDAY(MAX($A182,Settings!$F$53)),7))/7)+1)),IF(AND(IF(Settings!$E$53="",$B182,DATE(YEAR($A182),MONTH($A182),MIN(Settings!$E$53,DAY($B182))))&gt;=MAX($A182,Settings!$F$53),IF(Settings!$E$53="",$B182,DATE(YEAR($A182),MONTH($A182),MIN(Settings!$E$53,DAY($B182))))&lt;=MIN(Settings!$B$5,IF(Settings!$G$53="",Settings!$B$5,Settings!$G$53))),1,0)))))</f>
        <v/>
      </c>
      <c r="FC182">
        <f>IF($E182&lt;&gt;"open",0,IF(AND('Month-End'!$FW$31&lt;&gt;"",NOT(_xlfn.ISFORMULA('Month-End'!$FW$31))),0,IF(OR(Settings!$C$54="",Settings!$D$54=""),0,Settings!$C$54*IF(Settings!$D$54="Weekly",IF(IFERROR(MATCH(Settings!$E$54,$EO$4:$EO$10,0),0)=0,0,IF(MIN(Settings!$B$5,IF(Settings!$G$54="",Settings!$B$5,Settings!$G$54))&lt;MAX($A182,Settings!$F$54),0,INT((MIN(Settings!$B$5,IF(Settings!$G$54="",Settings!$B$5,Settings!$G$54))-MAX($A182,Settings!$F$54)-MOD(IFERROR(MATCH(Settings!$E$54,$EO$4:$EO$10,0),0)-WEEKDAY(MAX($A182,Settings!$F$54)),7))/7)+1)),IF(AND(IF(Settings!$E$54="",$B182,DATE(YEAR($A182),MONTH($A182),MIN(Settings!$E$54,DAY($B182))))&gt;=MAX($A182,Settings!$F$54),IF(Settings!$E$54="",$B182,DATE(YEAR($A182),MONTH($A182),MIN(Settings!$E$54,DAY($B182))))&lt;=MIN(Settings!$B$5,IF(Settings!$G$54="",Settings!$B$5,Settings!$G$54))),1,0)))))</f>
        <v/>
      </c>
      <c r="FD182">
        <f>IF($E182&lt;&gt;"open",0,IF(AND('Month-End'!$FW$32&lt;&gt;"",NOT(_xlfn.ISFORMULA('Month-End'!$FW$32))),0,IF(OR(Settings!$C$55="",Settings!$D$55=""),0,Settings!$C$55*IF(Settings!$D$55="Weekly",IF(IFERROR(MATCH(Settings!$E$55,$EO$4:$EO$10,0),0)=0,0,IF(MIN(Settings!$B$5,IF(Settings!$G$55="",Settings!$B$5,Settings!$G$55))&lt;MAX($A182,Settings!$F$55),0,INT((MIN(Settings!$B$5,IF(Settings!$G$55="",Settings!$B$5,Settings!$G$55))-MAX($A182,Settings!$F$55)-MOD(IFERROR(MATCH(Settings!$E$55,$EO$4:$EO$10,0),0)-WEEKDAY(MAX($A182,Settings!$F$55)),7))/7)+1)),IF(AND(IF(Settings!$E$55="",$B182,DATE(YEAR($A182),MONTH($A182),MIN(Settings!$E$55,DAY($B182))))&gt;=MAX($A182,Settings!$F$55),IF(Settings!$E$55="",$B182,DATE(YEAR($A182),MONTH($A182),MIN(Settings!$E$55,DAY($B182))))&lt;=MIN(Settings!$B$5,IF(Settings!$G$55="",Settings!$B$5,Settings!$G$55))),1,0)))))</f>
        <v/>
      </c>
      <c r="FE182">
        <f>IF($E182&lt;&gt;"open",0,IF(AND('Month-End'!$FW$33&lt;&gt;"",NOT(_xlfn.ISFORMULA('Month-End'!$FW$33))),0,IF(OR(Settings!$C$56="",Settings!$D$56=""),0,Settings!$C$56*IF(Settings!$D$56="Weekly",IF(IFERROR(MATCH(Settings!$E$56,$EO$4:$EO$10,0),0)=0,0,IF(MIN(Settings!$B$5,IF(Settings!$G$56="",Settings!$B$5,Settings!$G$56))&lt;MAX($A182,Settings!$F$56),0,INT((MIN(Settings!$B$5,IF(Settings!$G$56="",Settings!$B$5,Settings!$G$56))-MAX($A182,Settings!$F$56)-MOD(IFERROR(MATCH(Settings!$E$56,$EO$4:$EO$10,0),0)-WEEKDAY(MAX($A182,Settings!$F$56)),7))/7)+1)),IF(AND(IF(Settings!$E$56="",$B182,DATE(YEAR($A182),MONTH($A182),MIN(Settings!$E$56,DAY($B182))))&gt;=MAX($A182,Settings!$F$56),IF(Settings!$E$56="",$B182,DATE(YEAR($A182),MONTH($A182),MIN(Settings!$E$56,DAY($B182))))&lt;=MIN(Settings!$B$5,IF(Settings!$G$56="",Settings!$B$5,Settings!$G$56))),1,0)))))</f>
        <v/>
      </c>
      <c r="FF182">
        <f>IF(Settings!$I$45="Yes",$G182,0)+IF(Settings!$I$46="Yes",$H182,0)+IF(Settings!$I$47="Yes",$I182,0)+IF(Settings!$I$48="Yes",$J182,0)+IF(Settings!$I$49="Yes",$K182,0)+IF(Settings!$I$50="Yes",$L182,0)+IF(Settings!$I$51="Yes",$M182,0)+IF(Settings!$I$52="Yes",$N182,0)+IF(Settings!$I$53="Yes",$O182,0)+IF(Settings!$I$54="Yes",$P182,0)+IF(Settings!$I$55="Yes",$Q182,0)+IF(Settings!$I$56="Yes",$R182,0)</f>
        <v/>
      </c>
      <c r="FG182">
        <f>IF(AND(Settings!$I$45="Yes",Settings!$J$45="No"),$G182,0)+IF(AND(Settings!$I$46="Yes",Settings!$J$46="No"),$H182,0)+IF(AND(Settings!$I$47="Yes",Settings!$J$47="No"),$I182,0)+IF(AND(Settings!$I$48="Yes",Settings!$J$48="No"),$J182,0)+IF(AND(Settings!$I$49="Yes",Settings!$J$49="No"),$K182,0)+IF(AND(Settings!$I$50="Yes",Settings!$J$50="No"),$L182,0)+IF(AND(Settings!$I$51="Yes",Settings!$J$51="No"),$M182,0)+IF(AND(Settings!$I$52="Yes",Settings!$J$52="No"),$N182,0)+IF(AND(Settings!$I$53="Yes",Settings!$J$53="No"),$O182,0)+IF(AND(Settings!$I$54="Yes",Settings!$J$54="No"),$P182,0)+IF(AND(Settings!$I$55="Yes",Settings!$J$55="No"),$Q182,0)+IF(AND(Settings!$I$56="Yes",Settings!$J$56="No"),$R182,0)</f>
        <v/>
      </c>
      <c r="FH182">
        <f>SUMIFS(Giving!$B$7:$B$2006,Giving!$A$7:$A$2006,"&gt;="&amp;$A182,Giving!$A$7:$A$2006,"&lt;="&amp;$B182,Giving!$G$7:$G$2006,"Yes")+IF(OR(OR(Settings!$B$60="",Settings!$F$60="No"),Settings!$H$60&lt;&gt;"Yes"),0,Settings!$B$60*IF(AND(IF(Settings!$C$60="",$B182,DATE(YEAR($A182),MONTH($A182),MIN(Settings!$C$60,DAY($B182))))&gt;=MAX($A182,Settings!$D$60),IF(Settings!$C$60="",$B182,DATE(YEAR($A182),MONTH($A182),MIN(Settings!$C$60,DAY($B182))))&lt;=MIN($C182,IF(Settings!$E$60="",$C182,Settings!$E$60))),1,0))+IF(OR(OR(Settings!$B$61="",Settings!$F$61="No"),Settings!$H$61&lt;&gt;"Yes"),0,Settings!$B$61*IF(AND(IF(Settings!$C$61="",$B182,DATE(YEAR($A182),MONTH($A182),MIN(Settings!$C$61,DAY($B182))))&gt;=MAX($A182,Settings!$D$61),IF(Settings!$C$61="",$B182,DATE(YEAR($A182),MONTH($A182),MIN(Settings!$C$61,DAY($B182))))&lt;=MIN($C182,IF(Settings!$E$61="",$C182,Settings!$E$61))),1,0))+IF(OR(OR(Settings!$B$62="",Settings!$F$62="No"),Settings!$H$62&lt;&gt;"Yes"),0,Settings!$B$62*IF(AND(IF(Settings!$C$62="",$B182,DATE(YEAR($A182),MONTH($A182),MIN(Settings!$C$62,DAY($B182))))&gt;=MAX($A182,Settings!$D$62),IF(Settings!$C$62="",$B182,DATE(YEAR($A182),MONTH($A182),MIN(Settings!$C$62,DAY($B182))))&lt;=MIN($C182,IF(Settings!$E$62="",$C182,Settings!$E$62))),1,0))+IF(OR(OR(Settings!$B$63="",Settings!$F$63="No"),Settings!$H$63&lt;&gt;"Yes"),0,Settings!$B$63*IF(AND(IF(Settings!$C$63="",$B182,DATE(YEAR($A182),MONTH($A182),MIN(Settings!$C$63,DAY($B182))))&gt;=MAX($A182,Settings!$D$63),IF(Settings!$C$63="",$B182,DATE(YEAR($A182),MONTH($A182),MIN(Settings!$C$63,DAY($B182))))&lt;=MIN($C182,IF(Settings!$E$63="",$C182,Settings!$E$63))),1,0))+IF(OR(OR(Settings!$B$64="",Settings!$F$64="No"),Settings!$H$64&lt;&gt;"Yes"),0,Settings!$B$64*IF(AND(IF(Settings!$C$64="",$B182,DATE(YEAR($A182),MONTH($A182),MIN(Settings!$C$64,DAY($B182))))&gt;=MAX($A182,Settings!$D$64),IF(Settings!$C$64="",$B182,DATE(YEAR($A182),MONTH($A182),MIN(Settings!$C$64,DAY($B182))))&lt;=MIN($C182,IF(Settings!$E$64="",$C182,Settings!$E$64))),1,0))+IF(OR(OR(Settings!$B$65="",Settings!$F$65="No"),Settings!$H$65&lt;&gt;"Yes"),0,Settings!$B$65*IF(AND(IF(Settings!$C$65="",$B182,DATE(YEAR($A182),MONTH($A182),MIN(Settings!$C$65,DAY($B182))))&gt;=MAX($A182,Settings!$D$65),IF(Settings!$C$65="",$B182,DATE(YEAR($A182),MONTH($A182),MIN(Settings!$C$65,DAY($B182))))&lt;=MIN($C182,IF(Settings!$E$65="",$C182,Settings!$E$65))),1,0))</f>
        <v/>
      </c>
      <c r="FI182">
        <f>IF($DT182=1,IF(OR(Settings!$B$19="Card",Settings!$B$19="Loan"),N($AE182),0)+IF(OR(Settings!$B$20="Card",Settings!$B$20="Loan"),N($AF182),0)+IF(OR(Settings!$B$21="Card",Settings!$B$21="Loan"),N($AG182),0)+IF(OR(Settings!$B$22="Card",Settings!$B$22="Loan"),N($AH182),0)+IF(OR(Settings!$B$23="Card",Settings!$B$23="Loan"),N($AI182),0)+IF(OR(Settings!$B$24="Card",Settings!$B$24="Loan"),N($AJ182),0)+IF(OR(Settings!$B$25="Card",Settings!$B$25="Loan"),N($AK182),0)+IF(OR(Settings!$B$26="Card",Settings!$B$26="Loan"),N($AL182),0)+IF(OR(Settings!$B$27="Card",Settings!$B$27="Loan"),N($AM182),0)+IF(OR(Settings!$B$28="Card",Settings!$B$28="Loan"),N($AN182),0)+IF(OR(Settings!$B$29="Card",Settings!$B$29="Loan"),N($AO182),0)+IF(OR(Settings!$B$30="Card",Settings!$B$30="Loan"),N($AP182),0)+IF(OR(Settings!$B$31="Card",Settings!$B$31="Loan"),N($AQ182),0)+IF(OR(Settings!$B$32="Card",Settings!$B$32="Loan"),N($AR182),0),"")</f>
        <v/>
      </c>
      <c r="FJ182">
        <f>IF($E182="open",$EB$65,IF($E182="post",IF($E181="pre",$EB$65,$FI181),""))</f>
        <v/>
      </c>
      <c r="FK182">
        <f>IF(AND($DT182=1,$DC182=1),IF(ROUND($FI182-$FJ182,2)&gt;0,1,0),0)</f>
        <v/>
      </c>
      <c r="FL182">
        <f>IF($FK182=1,$FL181+1,0)</f>
        <v/>
      </c>
    </row>
    <row r="183">
      <c r="A183">
        <f>'Month-End'!$FX$4</f>
        <v/>
      </c>
      <c r="B183">
        <f>EOMONTH($A183,0)</f>
        <v/>
      </c>
      <c r="C183">
        <f>MIN($B183,TODAY())</f>
        <v/>
      </c>
      <c r="D183">
        <f>IF($A183&gt;TODAY(),1,0)</f>
        <v/>
      </c>
      <c r="E183">
        <f>IF($B183&lt;=Settings!$B$5,"pre",IF($A183&lt;=Settings!$B$5,"open","post"))</f>
        <v/>
      </c>
      <c r="G183">
        <f>IF('Month-End'!$FX$22="",$BE183,N('Month-End'!$FX$22))</f>
        <v/>
      </c>
      <c r="H183">
        <f>IF('Month-End'!$FX$23="",$BF183,N('Month-End'!$FX$23))</f>
        <v/>
      </c>
      <c r="I183">
        <f>IF('Month-End'!$FX$24="",$BG183,N('Month-End'!$FX$24))</f>
        <v/>
      </c>
      <c r="J183">
        <f>IF('Month-End'!$FX$25="",$BH183,N('Month-End'!$FX$25))</f>
        <v/>
      </c>
      <c r="K183">
        <f>IF('Month-End'!$FX$26="",$BI183,N('Month-End'!$FX$26))</f>
        <v/>
      </c>
      <c r="L183">
        <f>IF('Month-End'!$FX$27="",$BJ183,N('Month-End'!$FX$27))</f>
        <v/>
      </c>
      <c r="M183">
        <f>IF('Month-End'!$FX$28="",$BK183,N('Month-End'!$FX$28))</f>
        <v/>
      </c>
      <c r="N183">
        <f>IF('Month-End'!$FX$29="",$BL183,N('Month-End'!$FX$29))</f>
        <v/>
      </c>
      <c r="O183">
        <f>IF('Month-End'!$FX$30="",$BM183,N('Month-End'!$FX$30))</f>
        <v/>
      </c>
      <c r="P183">
        <f>IF('Month-End'!$FX$31="",$BN183,N('Month-End'!$FX$31))</f>
        <v/>
      </c>
      <c r="Q183">
        <f>IF('Month-End'!$FX$32="",$BO183,N('Month-End'!$FX$32))</f>
        <v/>
      </c>
      <c r="R183">
        <f>IF('Month-End'!$FX$33="",$BP183,N('Month-End'!$FX$33))</f>
        <v/>
      </c>
      <c r="S183">
        <f>$G183+$H183+$I183+$J183+$K183+$L183+$M183+$N183+$O183+$P183+$Q183+$R183</f>
        <v/>
      </c>
      <c r="T183">
        <f>IF($B183&lt;Settings!$B$6,0,IF(Settings!$B$45="Yes",$G183,0)+IF(Settings!$B$46="Yes",$H183,0)+IF(Settings!$B$47="Yes",$I183,0)+IF(Settings!$B$48="Yes",$J183,0)+IF(Settings!$B$49="Yes",$K183,0)+IF(Settings!$B$50="Yes",$L183,0)+IF(Settings!$B$51="Yes",$M183,0)+IF(Settings!$B$52="Yes",$N183,0)+IF(Settings!$B$53="Yes",$O183,0)+IF(Settings!$B$54="Yes",$P183,0)+IF(Settings!$B$55="Yes",$Q183,0)+IF(Settings!$B$56="Yes",$R183,0))</f>
        <v/>
      </c>
      <c r="U183">
        <f>IF(Settings!$B$45="Not Sure",$G183,0)+IF(Settings!$B$46="Not Sure",$H183,0)+IF(Settings!$B$47="Not Sure",$I183,0)+IF(Settings!$B$48="Not Sure",$J183,0)+IF(Settings!$B$49="Not Sure",$K183,0)+IF(Settings!$B$50="Not Sure",$L183,0)+IF(Settings!$B$51="Not Sure",$M183,0)+IF(Settings!$B$52="Not Sure",$N183,0)+IF(Settings!$B$53="Not Sure",$O183,0)+IF(Settings!$B$54="Not Sure",$P183,0)+IF(Settings!$B$55="Not Sure",$Q183,0)+IF(Settings!$B$56="Not Sure",$R183,0)</f>
        <v/>
      </c>
      <c r="V183">
        <f>IF($E183="open",SUM($ET183:$FE183)+N(Settings!$B$13),0)</f>
        <v/>
      </c>
      <c r="W183">
        <f>IF($E183="post",$S183,IF($E183="open",$S183-$V183,0))</f>
        <v/>
      </c>
      <c r="X183">
        <f>SUMIFS(Giving!$B$7:$B$2006,Giving!$A$7:$A$2006,"&gt;="&amp;$A183,Giving!$A$7:$A$2006,"&lt;="&amp;$B183,Giving!$E$7:$E$2006,"&lt;&gt;No")</f>
        <v/>
      </c>
      <c r="Y183">
        <f>SUMIFS(Giving!$B$7:$B$2006,Giving!$A$7:$A$2006,"&gt;="&amp;$A183,Giving!$A$7:$A$2006,"&lt;="&amp;$B183,Giving!$E$7:$E$2006,"No")</f>
        <v/>
      </c>
      <c r="Z183">
        <f>IF(OR(Settings!$B$60="",Settings!$F$60="No"),0,Settings!$B$60*IF(AND(IF(Settings!$C$60="",$B183,DATE(YEAR($A183),MONTH($A183),MIN(Settings!$C$60,DAY($B183))))&gt;=MAX($A183,Settings!$D$60),IF(Settings!$C$60="",$B183,DATE(YEAR($A183),MONTH($A183),MIN(Settings!$C$60,DAY($B183))))&lt;=MIN($C183,IF(Settings!$E$60="",$C183,Settings!$E$60))),1,0))+IF(OR(Settings!$B$61="",Settings!$F$61="No"),0,Settings!$B$61*IF(AND(IF(Settings!$C$61="",$B183,DATE(YEAR($A183),MONTH($A183),MIN(Settings!$C$61,DAY($B183))))&gt;=MAX($A183,Settings!$D$61),IF(Settings!$C$61="",$B183,DATE(YEAR($A183),MONTH($A183),MIN(Settings!$C$61,DAY($B183))))&lt;=MIN($C183,IF(Settings!$E$61="",$C183,Settings!$E$61))),1,0))+IF(OR(Settings!$B$62="",Settings!$F$62="No"),0,Settings!$B$62*IF(AND(IF(Settings!$C$62="",$B183,DATE(YEAR($A183),MONTH($A183),MIN(Settings!$C$62,DAY($B183))))&gt;=MAX($A183,Settings!$D$62),IF(Settings!$C$62="",$B183,DATE(YEAR($A183),MONTH($A183),MIN(Settings!$C$62,DAY($B183))))&lt;=MIN($C183,IF(Settings!$E$62="",$C183,Settings!$E$62))),1,0))+IF(OR(Settings!$B$63="",Settings!$F$63="No"),0,Settings!$B$63*IF(AND(IF(Settings!$C$63="",$B183,DATE(YEAR($A183),MONTH($A183),MIN(Settings!$C$63,DAY($B183))))&gt;=MAX($A183,Settings!$D$63),IF(Settings!$C$63="",$B183,DATE(YEAR($A183),MONTH($A183),MIN(Settings!$C$63,DAY($B183))))&lt;=MIN($C183,IF(Settings!$E$63="",$C183,Settings!$E$63))),1,0))+IF(OR(Settings!$B$64="",Settings!$F$64="No"),0,Settings!$B$64*IF(AND(IF(Settings!$C$64="",$B183,DATE(YEAR($A183),MONTH($A183),MIN(Settings!$C$64,DAY($B183))))&gt;=MAX($A183,Settings!$D$64),IF(Settings!$C$64="",$B183,DATE(YEAR($A183),MONTH($A183),MIN(Settings!$C$64,DAY($B183))))&lt;=MIN($C183,IF(Settings!$E$64="",$C183,Settings!$E$64))),1,0))+IF(OR(Settings!$B$65="",Settings!$F$65="No"),0,Settings!$B$65*IF(AND(IF(Settings!$C$65="",$B183,DATE(YEAR($A183),MONTH($A183),MIN(Settings!$C$65,DAY($B183))))&gt;=MAX($A183,Settings!$D$65),IF(Settings!$C$65="",$B183,DATE(YEAR($A183),MONTH($A183),MIN(Settings!$C$65,DAY($B183))))&lt;=MIN($C183,IF(Settings!$E$65="",$C183,Settings!$E$65))),1,0))</f>
        <v/>
      </c>
      <c r="AA183">
        <f>$X183+$Z183</f>
        <v/>
      </c>
      <c r="AB183">
        <f>IF($E183="post",$AA183,IF($E183="open",SUMIFS(Giving!$B$7:$B$2006,Giving!$A$7:$A$2006,"&gt;"&amp;Settings!$B$5,Giving!$A$7:$A$2006,"&lt;="&amp;$B183,Giving!$E$7:$E$2006,"&lt;&gt;No")+IF(OR(Settings!$B$60="",Settings!$F$60="No"),0,Settings!$B$60*IF(AND(IF(Settings!$C$60="",$B183,DATE(YEAR($A183),MONTH($A183),MIN(Settings!$C$60,DAY($B183))))&gt;=MAX($A183,Settings!$D$60,Settings!$B$5+1),IF(Settings!$C$60="",$B183,DATE(YEAR($A183),MONTH($A183),MIN(Settings!$C$60,DAY($B183))))&lt;=MIN($C183,IF(Settings!$E$60="",$C183,Settings!$E$60))),1,0))+IF(OR(Settings!$B$61="",Settings!$F$61="No"),0,Settings!$B$61*IF(AND(IF(Settings!$C$61="",$B183,DATE(YEAR($A183),MONTH($A183),MIN(Settings!$C$61,DAY($B183))))&gt;=MAX($A183,Settings!$D$61,Settings!$B$5+1),IF(Settings!$C$61="",$B183,DATE(YEAR($A183),MONTH($A183),MIN(Settings!$C$61,DAY($B183))))&lt;=MIN($C183,IF(Settings!$E$61="",$C183,Settings!$E$61))),1,0))+IF(OR(Settings!$B$62="",Settings!$F$62="No"),0,Settings!$B$62*IF(AND(IF(Settings!$C$62="",$B183,DATE(YEAR($A183),MONTH($A183),MIN(Settings!$C$62,DAY($B183))))&gt;=MAX($A183,Settings!$D$62,Settings!$B$5+1),IF(Settings!$C$62="",$B183,DATE(YEAR($A183),MONTH($A183),MIN(Settings!$C$62,DAY($B183))))&lt;=MIN($C183,IF(Settings!$E$62="",$C183,Settings!$E$62))),1,0))+IF(OR(Settings!$B$63="",Settings!$F$63="No"),0,Settings!$B$63*IF(AND(IF(Settings!$C$63="",$B183,DATE(YEAR($A183),MONTH($A183),MIN(Settings!$C$63,DAY($B183))))&gt;=MAX($A183,Settings!$D$63,Settings!$B$5+1),IF(Settings!$C$63="",$B183,DATE(YEAR($A183),MONTH($A183),MIN(Settings!$C$63,DAY($B183))))&lt;=MIN($C183,IF(Settings!$E$63="",$C183,Settings!$E$63))),1,0))+IF(OR(Settings!$B$64="",Settings!$F$64="No"),0,Settings!$B$64*IF(AND(IF(Settings!$C$64="",$B183,DATE(YEAR($A183),MONTH($A183),MIN(Settings!$C$64,DAY($B183))))&gt;=MAX($A183,Settings!$D$64,Settings!$B$5+1),IF(Settings!$C$64="",$B183,DATE(YEAR($A183),MONTH($A183),MIN(Settings!$C$64,DAY($B183))))&lt;=MIN($C183,IF(Settings!$E$64="",$C183,Settings!$E$64))),1,0))+IF(OR(Settings!$B$65="",Settings!$F$65="No"),0,Settings!$B$65*IF(AND(IF(Settings!$C$65="",$B183,DATE(YEAR($A183),MONTH($A183),MIN(Settings!$C$65,DAY($B183))))&gt;=MAX($A183,Settings!$D$65,Settings!$B$5+1),IF(Settings!$C$65="",$B183,DATE(YEAR($A183),MONTH($A183),MIN(Settings!$C$65,DAY($B183))))&lt;=MIN($C183,IF(Settings!$E$65="",$C183,Settings!$E$65))),1,0)),0))</f>
        <v/>
      </c>
      <c r="AC183">
        <f>$AY183+$AZ183+$BA183+$BB183+$BC183+$BD183</f>
        <v/>
      </c>
      <c r="AD183">
        <f>$AC183</f>
        <v/>
      </c>
      <c r="AE183">
        <f>IF(OR(Settings!$A$19="",$E183="pre"),"",IF(AND('Month-End'!$FX$7&lt;&gt;"",NOT(_xlfn.ISFORMULA('Month-End'!$FX$7))),N('Month-End'!$FX$7),IF(OR($E183="open",$E182="pre"),N(Settings!$C$19),N($AE182))))</f>
        <v/>
      </c>
      <c r="AF183">
        <f>IF(OR(Settings!$A$20="",$E183="pre"),"",IF(AND('Month-End'!$FX$8&lt;&gt;"",NOT(_xlfn.ISFORMULA('Month-End'!$FX$8))),N('Month-End'!$FX$8),IF(OR($E183="open",$E182="pre"),N(Settings!$C$20),N($AF182))))</f>
        <v/>
      </c>
      <c r="AG183">
        <f>IF(OR(Settings!$A$21="",$E183="pre"),"",IF(AND('Month-End'!$FX$9&lt;&gt;"",NOT(_xlfn.ISFORMULA('Month-End'!$FX$9))),N('Month-End'!$FX$9),IF(OR($E183="open",$E182="pre"),N(Settings!$C$21),N($AG182))))</f>
        <v/>
      </c>
      <c r="AH183">
        <f>IF(OR(Settings!$A$22="",$E183="pre"),"",IF(AND('Month-End'!$FX$10&lt;&gt;"",NOT(_xlfn.ISFORMULA('Month-End'!$FX$10))),N('Month-End'!$FX$10),IF(OR($E183="open",$E182="pre"),N(Settings!$C$22),N($AH182))))</f>
        <v/>
      </c>
      <c r="AI183">
        <f>IF(OR(Settings!$A$23="",$E183="pre"),"",IF(AND('Month-End'!$FX$11&lt;&gt;"",NOT(_xlfn.ISFORMULA('Month-End'!$FX$11))),N('Month-End'!$FX$11),IF(OR($E183="open",$E182="pre"),N(Settings!$C$23),N($AI182))))</f>
        <v/>
      </c>
      <c r="AJ183">
        <f>IF(OR(Settings!$A$24="",$E183="pre"),"",IF(AND('Month-End'!$FX$12&lt;&gt;"",NOT(_xlfn.ISFORMULA('Month-End'!$FX$12))),N('Month-End'!$FX$12),IF(OR($E183="open",$E182="pre"),N(Settings!$C$24),N($AJ182))))</f>
        <v/>
      </c>
      <c r="AK183">
        <f>IF(OR(Settings!$A$25="",$E183="pre"),"",IF(AND('Month-End'!$FX$13&lt;&gt;"",NOT(_xlfn.ISFORMULA('Month-End'!$FX$13))),N('Month-End'!$FX$13),IF(OR($E183="open",$E182="pre"),N(Settings!$C$25),N($AK182))))</f>
        <v/>
      </c>
      <c r="AL183">
        <f>IF(OR(Settings!$A$26="",$E183="pre"),"",IF(AND('Month-End'!$FX$14&lt;&gt;"",NOT(_xlfn.ISFORMULA('Month-End'!$FX$14))),N('Month-End'!$FX$14),IF(OR($E183="open",$E182="pre"),N(Settings!$C$26),N($AL182))))</f>
        <v/>
      </c>
      <c r="AM183">
        <f>IF(OR(Settings!$A$27="",$E183="pre"),"",IF(AND('Month-End'!$FX$15&lt;&gt;"",NOT(_xlfn.ISFORMULA('Month-End'!$FX$15))),N('Month-End'!$FX$15),IF(OR($E183="open",$E182="pre"),N(Settings!$C$27),N($AM182))))</f>
        <v/>
      </c>
      <c r="AN183">
        <f>IF(OR(Settings!$A$28="",$E183="pre"),"",IF(AND('Month-End'!$FX$16&lt;&gt;"",NOT(_xlfn.ISFORMULA('Month-End'!$FX$16))),N('Month-End'!$FX$16),IF(OR($E183="open",$E182="pre"),N(Settings!$C$28),N($AN182))))</f>
        <v/>
      </c>
      <c r="AO183">
        <f>IF(OR(Settings!$A$29="",$E183="pre"),"",IF(AND('Month-End'!$FX$17&lt;&gt;"",NOT(_xlfn.ISFORMULA('Month-End'!$FX$17))),N('Month-End'!$FX$17),IF(OR($E183="open",$E182="pre"),N(Settings!$C$29),N($AO182))))</f>
        <v/>
      </c>
      <c r="AP183">
        <f>IF(OR(Settings!$A$30="",$E183="pre"),"",IF(AND('Month-End'!$FX$18&lt;&gt;"",NOT(_xlfn.ISFORMULA('Month-End'!$FX$18))),N('Month-End'!$FX$18),IF(OR($E183="open",$E182="pre"),N(Settings!$C$30),N($AP182))))</f>
        <v/>
      </c>
      <c r="AQ183">
        <f>IF(OR(Settings!$A$31="",$E183="pre"),"",IF(AND('Month-End'!$FX$19&lt;&gt;"",NOT(_xlfn.ISFORMULA('Month-End'!$FX$19))),N('Month-End'!$FX$19),IF(OR($E183="open",$E182="pre"),N(Settings!$C$31),N($AQ182))))</f>
        <v/>
      </c>
      <c r="AR183">
        <f>IF(OR(Settings!$A$32="",$E183="pre"),"",IF(AND('Month-End'!$FX$20&lt;&gt;"",NOT(_xlfn.ISFORMULA('Month-End'!$FX$20))),N('Month-End'!$FX$20),IF(OR($E183="open",$E182="pre"),N(Settings!$C$32),N($AR182))))</f>
        <v/>
      </c>
      <c r="AS183">
        <f>IF(OR(Settings!$A$36="",$E183="pre"),"",IF(AND('Month-End'!$FX$38&lt;&gt;"",NOT(_xlfn.ISFORMULA('Month-End'!$FX$38))),N('Month-End'!$FX$38),IF(OR($E183="open",$E182="pre"),N(Settings!$C$36),N($AS182))+$AY183))</f>
        <v/>
      </c>
      <c r="AT183">
        <f>IF(OR(Settings!$A$37="",$E183="pre"),"",IF(AND('Month-End'!$FX$39&lt;&gt;"",NOT(_xlfn.ISFORMULA('Month-End'!$FX$39))),N('Month-End'!$FX$39),IF(OR($E183="open",$E182="pre"),N(Settings!$C$37),N($AT182))+$AZ183))</f>
        <v/>
      </c>
      <c r="AU183">
        <f>IF(OR(Settings!$A$38="",$E183="pre"),"",IF(AND('Month-End'!$FX$40&lt;&gt;"",NOT(_xlfn.ISFORMULA('Month-End'!$FX$40))),N('Month-End'!$FX$40),IF(OR($E183="open",$E182="pre"),N(Settings!$C$38),N($AU182))+$BA183))</f>
        <v/>
      </c>
      <c r="AV183">
        <f>IF(OR(Settings!$A$39="",$E183="pre"),"",IF(AND('Month-End'!$FX$41&lt;&gt;"",NOT(_xlfn.ISFORMULA('Month-End'!$FX$41))),N('Month-End'!$FX$41),IF(OR($E183="open",$E182="pre"),N(Settings!$C$39),N($AV182))+$BB183))</f>
        <v/>
      </c>
      <c r="AW183">
        <f>IF(OR(Settings!$A$40="",$E183="pre"),"",IF(AND('Month-End'!$FX$42&lt;&gt;"",NOT(_xlfn.ISFORMULA('Month-End'!$FX$42))),N('Month-End'!$FX$42),IF(OR($E183="open",$E182="pre"),N(Settings!$C$40),N($AW182))+$BC183))</f>
        <v/>
      </c>
      <c r="AX183">
        <f>IF(OR(Settings!$A$41="",$E183="pre"),"",IF(AND('Month-End'!$FX$43&lt;&gt;"",NOT(_xlfn.ISFORMULA('Month-End'!$FX$43))),N('Month-End'!$FX$43),IF(OR($E183="open",$E182="pre"),N(Settings!$C$41),N($AX182))+$BD183))</f>
        <v/>
      </c>
      <c r="AY183">
        <f>IF($E183="pre",0,N('Month-End'!$FX$45))</f>
        <v/>
      </c>
      <c r="AZ183">
        <f>IF($E183="pre",0,N('Month-End'!$FX$46))</f>
        <v/>
      </c>
      <c r="BA183">
        <f>IF($E183="pre",0,N('Month-End'!$FX$47))</f>
        <v/>
      </c>
      <c r="BB183">
        <f>IF($E183="pre",0,N('Month-End'!$FX$48))</f>
        <v/>
      </c>
      <c r="BC183">
        <f>IF($E183="pre",0,N('Month-End'!$FX$49))</f>
        <v/>
      </c>
      <c r="BD183">
        <f>IF($E183="pre",0,N('Month-End'!$FX$50))</f>
        <v/>
      </c>
      <c r="BE183">
        <f>IF(OR(Settings!$C$45="",Settings!$D$45=""),0,Settings!$C$45*IF(Settings!$D$45="Weekly",IF(IFERROR(MATCH(Settings!$E$45,$EO$4:$EO$10,0),0)=0,0,IF(MIN($C183,IF(Settings!$G$45="",$C183,Settings!$G$45))&lt;MAX($A183,Settings!$F$45),0,INT((MIN($C183,IF(Settings!$G$45="",$C183,Settings!$G$45))-MAX($A183,Settings!$F$45)-MOD(IFERROR(MATCH(Settings!$E$45,$EO$4:$EO$10,0),0)-WEEKDAY(MAX($A183,Settings!$F$45)),7))/7)+1)),IF(AND(IF(Settings!$E$45="",$B183,DATE(YEAR($A183),MONTH($A183),MIN(Settings!$E$45,DAY($B183))))&gt;=MAX($A183,Settings!$F$45),IF(Settings!$E$45="",$B183,DATE(YEAR($A183),MONTH($A183),MIN(Settings!$E$45,DAY($B183))))&lt;=MIN($C183,IF(Settings!$G$45="",$C183,Settings!$G$45))),1,0)))</f>
        <v/>
      </c>
      <c r="BF183">
        <f>IF(OR(Settings!$C$46="",Settings!$D$46=""),0,Settings!$C$46*IF(Settings!$D$46="Weekly",IF(IFERROR(MATCH(Settings!$E$46,$EO$4:$EO$10,0),0)=0,0,IF(MIN($C183,IF(Settings!$G$46="",$C183,Settings!$G$46))&lt;MAX($A183,Settings!$F$46),0,INT((MIN($C183,IF(Settings!$G$46="",$C183,Settings!$G$46))-MAX($A183,Settings!$F$46)-MOD(IFERROR(MATCH(Settings!$E$46,$EO$4:$EO$10,0),0)-WEEKDAY(MAX($A183,Settings!$F$46)),7))/7)+1)),IF(AND(IF(Settings!$E$46="",$B183,DATE(YEAR($A183),MONTH($A183),MIN(Settings!$E$46,DAY($B183))))&gt;=MAX($A183,Settings!$F$46),IF(Settings!$E$46="",$B183,DATE(YEAR($A183),MONTH($A183),MIN(Settings!$E$46,DAY($B183))))&lt;=MIN($C183,IF(Settings!$G$46="",$C183,Settings!$G$46))),1,0)))</f>
        <v/>
      </c>
      <c r="BG183">
        <f>IF(OR(Settings!$C$47="",Settings!$D$47=""),0,Settings!$C$47*IF(Settings!$D$47="Weekly",IF(IFERROR(MATCH(Settings!$E$47,$EO$4:$EO$10,0),0)=0,0,IF(MIN($C183,IF(Settings!$G$47="",$C183,Settings!$G$47))&lt;MAX($A183,Settings!$F$47),0,INT((MIN($C183,IF(Settings!$G$47="",$C183,Settings!$G$47))-MAX($A183,Settings!$F$47)-MOD(IFERROR(MATCH(Settings!$E$47,$EO$4:$EO$10,0),0)-WEEKDAY(MAX($A183,Settings!$F$47)),7))/7)+1)),IF(AND(IF(Settings!$E$47="",$B183,DATE(YEAR($A183),MONTH($A183),MIN(Settings!$E$47,DAY($B183))))&gt;=MAX($A183,Settings!$F$47),IF(Settings!$E$47="",$B183,DATE(YEAR($A183),MONTH($A183),MIN(Settings!$E$47,DAY($B183))))&lt;=MIN($C183,IF(Settings!$G$47="",$C183,Settings!$G$47))),1,0)))</f>
        <v/>
      </c>
      <c r="BH183">
        <f>IF(OR(Settings!$C$48="",Settings!$D$48=""),0,Settings!$C$48*IF(Settings!$D$48="Weekly",IF(IFERROR(MATCH(Settings!$E$48,$EO$4:$EO$10,0),0)=0,0,IF(MIN($C183,IF(Settings!$G$48="",$C183,Settings!$G$48))&lt;MAX($A183,Settings!$F$48),0,INT((MIN($C183,IF(Settings!$G$48="",$C183,Settings!$G$48))-MAX($A183,Settings!$F$48)-MOD(IFERROR(MATCH(Settings!$E$48,$EO$4:$EO$10,0),0)-WEEKDAY(MAX($A183,Settings!$F$48)),7))/7)+1)),IF(AND(IF(Settings!$E$48="",$B183,DATE(YEAR($A183),MONTH($A183),MIN(Settings!$E$48,DAY($B183))))&gt;=MAX($A183,Settings!$F$48),IF(Settings!$E$48="",$B183,DATE(YEAR($A183),MONTH($A183),MIN(Settings!$E$48,DAY($B183))))&lt;=MIN($C183,IF(Settings!$G$48="",$C183,Settings!$G$48))),1,0)))</f>
        <v/>
      </c>
      <c r="BI183">
        <f>IF(OR(Settings!$C$49="",Settings!$D$49=""),0,Settings!$C$49*IF(Settings!$D$49="Weekly",IF(IFERROR(MATCH(Settings!$E$49,$EO$4:$EO$10,0),0)=0,0,IF(MIN($C183,IF(Settings!$G$49="",$C183,Settings!$G$49))&lt;MAX($A183,Settings!$F$49),0,INT((MIN($C183,IF(Settings!$G$49="",$C183,Settings!$G$49))-MAX($A183,Settings!$F$49)-MOD(IFERROR(MATCH(Settings!$E$49,$EO$4:$EO$10,0),0)-WEEKDAY(MAX($A183,Settings!$F$49)),7))/7)+1)),IF(AND(IF(Settings!$E$49="",$B183,DATE(YEAR($A183),MONTH($A183),MIN(Settings!$E$49,DAY($B183))))&gt;=MAX($A183,Settings!$F$49),IF(Settings!$E$49="",$B183,DATE(YEAR($A183),MONTH($A183),MIN(Settings!$E$49,DAY($B183))))&lt;=MIN($C183,IF(Settings!$G$49="",$C183,Settings!$G$49))),1,0)))</f>
        <v/>
      </c>
      <c r="BJ183">
        <f>IF(OR(Settings!$C$50="",Settings!$D$50=""),0,Settings!$C$50*IF(Settings!$D$50="Weekly",IF(IFERROR(MATCH(Settings!$E$50,$EO$4:$EO$10,0),0)=0,0,IF(MIN($C183,IF(Settings!$G$50="",$C183,Settings!$G$50))&lt;MAX($A183,Settings!$F$50),0,INT((MIN($C183,IF(Settings!$G$50="",$C183,Settings!$G$50))-MAX($A183,Settings!$F$50)-MOD(IFERROR(MATCH(Settings!$E$50,$EO$4:$EO$10,0),0)-WEEKDAY(MAX($A183,Settings!$F$50)),7))/7)+1)),IF(AND(IF(Settings!$E$50="",$B183,DATE(YEAR($A183),MONTH($A183),MIN(Settings!$E$50,DAY($B183))))&gt;=MAX($A183,Settings!$F$50),IF(Settings!$E$50="",$B183,DATE(YEAR($A183),MONTH($A183),MIN(Settings!$E$50,DAY($B183))))&lt;=MIN($C183,IF(Settings!$G$50="",$C183,Settings!$G$50))),1,0)))</f>
        <v/>
      </c>
      <c r="BK183">
        <f>IF(OR(Settings!$C$51="",Settings!$D$51=""),0,Settings!$C$51*IF(Settings!$D$51="Weekly",IF(IFERROR(MATCH(Settings!$E$51,$EO$4:$EO$10,0),0)=0,0,IF(MIN($C183,IF(Settings!$G$51="",$C183,Settings!$G$51))&lt;MAX($A183,Settings!$F$51),0,INT((MIN($C183,IF(Settings!$G$51="",$C183,Settings!$G$51))-MAX($A183,Settings!$F$51)-MOD(IFERROR(MATCH(Settings!$E$51,$EO$4:$EO$10,0),0)-WEEKDAY(MAX($A183,Settings!$F$51)),7))/7)+1)),IF(AND(IF(Settings!$E$51="",$B183,DATE(YEAR($A183),MONTH($A183),MIN(Settings!$E$51,DAY($B183))))&gt;=MAX($A183,Settings!$F$51),IF(Settings!$E$51="",$B183,DATE(YEAR($A183),MONTH($A183),MIN(Settings!$E$51,DAY($B183))))&lt;=MIN($C183,IF(Settings!$G$51="",$C183,Settings!$G$51))),1,0)))</f>
        <v/>
      </c>
      <c r="BL183">
        <f>IF(OR(Settings!$C$52="",Settings!$D$52=""),0,Settings!$C$52*IF(Settings!$D$52="Weekly",IF(IFERROR(MATCH(Settings!$E$52,$EO$4:$EO$10,0),0)=0,0,IF(MIN($C183,IF(Settings!$G$52="",$C183,Settings!$G$52))&lt;MAX($A183,Settings!$F$52),0,INT((MIN($C183,IF(Settings!$G$52="",$C183,Settings!$G$52))-MAX($A183,Settings!$F$52)-MOD(IFERROR(MATCH(Settings!$E$52,$EO$4:$EO$10,0),0)-WEEKDAY(MAX($A183,Settings!$F$52)),7))/7)+1)),IF(AND(IF(Settings!$E$52="",$B183,DATE(YEAR($A183),MONTH($A183),MIN(Settings!$E$52,DAY($B183))))&gt;=MAX($A183,Settings!$F$52),IF(Settings!$E$52="",$B183,DATE(YEAR($A183),MONTH($A183),MIN(Settings!$E$52,DAY($B183))))&lt;=MIN($C183,IF(Settings!$G$52="",$C183,Settings!$G$52))),1,0)))</f>
        <v/>
      </c>
      <c r="BM183">
        <f>IF(OR(Settings!$C$53="",Settings!$D$53=""),0,Settings!$C$53*IF(Settings!$D$53="Weekly",IF(IFERROR(MATCH(Settings!$E$53,$EO$4:$EO$10,0),0)=0,0,IF(MIN($C183,IF(Settings!$G$53="",$C183,Settings!$G$53))&lt;MAX($A183,Settings!$F$53),0,INT((MIN($C183,IF(Settings!$G$53="",$C183,Settings!$G$53))-MAX($A183,Settings!$F$53)-MOD(IFERROR(MATCH(Settings!$E$53,$EO$4:$EO$10,0),0)-WEEKDAY(MAX($A183,Settings!$F$53)),7))/7)+1)),IF(AND(IF(Settings!$E$53="",$B183,DATE(YEAR($A183),MONTH($A183),MIN(Settings!$E$53,DAY($B183))))&gt;=MAX($A183,Settings!$F$53),IF(Settings!$E$53="",$B183,DATE(YEAR($A183),MONTH($A183),MIN(Settings!$E$53,DAY($B183))))&lt;=MIN($C183,IF(Settings!$G$53="",$C183,Settings!$G$53))),1,0)))</f>
        <v/>
      </c>
      <c r="BN183">
        <f>IF(OR(Settings!$C$54="",Settings!$D$54=""),0,Settings!$C$54*IF(Settings!$D$54="Weekly",IF(IFERROR(MATCH(Settings!$E$54,$EO$4:$EO$10,0),0)=0,0,IF(MIN($C183,IF(Settings!$G$54="",$C183,Settings!$G$54))&lt;MAX($A183,Settings!$F$54),0,INT((MIN($C183,IF(Settings!$G$54="",$C183,Settings!$G$54))-MAX($A183,Settings!$F$54)-MOD(IFERROR(MATCH(Settings!$E$54,$EO$4:$EO$10,0),0)-WEEKDAY(MAX($A183,Settings!$F$54)),7))/7)+1)),IF(AND(IF(Settings!$E$54="",$B183,DATE(YEAR($A183),MONTH($A183),MIN(Settings!$E$54,DAY($B183))))&gt;=MAX($A183,Settings!$F$54),IF(Settings!$E$54="",$B183,DATE(YEAR($A183),MONTH($A183),MIN(Settings!$E$54,DAY($B183))))&lt;=MIN($C183,IF(Settings!$G$54="",$C183,Settings!$G$54))),1,0)))</f>
        <v/>
      </c>
      <c r="BO183">
        <f>IF(OR(Settings!$C$55="",Settings!$D$55=""),0,Settings!$C$55*IF(Settings!$D$55="Weekly",IF(IFERROR(MATCH(Settings!$E$55,$EO$4:$EO$10,0),0)=0,0,IF(MIN($C183,IF(Settings!$G$55="",$C183,Settings!$G$55))&lt;MAX($A183,Settings!$F$55),0,INT((MIN($C183,IF(Settings!$G$55="",$C183,Settings!$G$55))-MAX($A183,Settings!$F$55)-MOD(IFERROR(MATCH(Settings!$E$55,$EO$4:$EO$10,0),0)-WEEKDAY(MAX($A183,Settings!$F$55)),7))/7)+1)),IF(AND(IF(Settings!$E$55="",$B183,DATE(YEAR($A183),MONTH($A183),MIN(Settings!$E$55,DAY($B183))))&gt;=MAX($A183,Settings!$F$55),IF(Settings!$E$55="",$B183,DATE(YEAR($A183),MONTH($A183),MIN(Settings!$E$55,DAY($B183))))&lt;=MIN($C183,IF(Settings!$G$55="",$C183,Settings!$G$55))),1,0)))</f>
        <v/>
      </c>
      <c r="BP183">
        <f>IF(OR(Settings!$C$56="",Settings!$D$56=""),0,Settings!$C$56*IF(Settings!$D$56="Weekly",IF(IFERROR(MATCH(Settings!$E$56,$EO$4:$EO$10,0),0)=0,0,IF(MIN($C183,IF(Settings!$G$56="",$C183,Settings!$G$56))&lt;MAX($A183,Settings!$F$56),0,INT((MIN($C183,IF(Settings!$G$56="",$C183,Settings!$G$56))-MAX($A183,Settings!$F$56)-MOD(IFERROR(MATCH(Settings!$E$56,$EO$4:$EO$10,0),0)-WEEKDAY(MAX($A183,Settings!$F$56)),7))/7)+1)),IF(AND(IF(Settings!$E$56="",$B183,DATE(YEAR($A183),MONTH($A183),MIN(Settings!$E$56,DAY($B183))))&gt;=MAX($A183,Settings!$F$56),IF(Settings!$E$56="",$B183,DATE(YEAR($A183),MONTH($A183),MIN(Settings!$E$56,DAY($B183))))&lt;=MIN($C183,IF(Settings!$G$56="",$C183,Settings!$G$56))),1,0)))</f>
        <v/>
      </c>
      <c r="BQ183">
        <f>IF(OR(Settings!$B$14="",$D183=1,$E183="pre",$A183&lt;IF(Settings!$B$15="",0,Settings!$B$15)),0,Settings!$B$14)</f>
        <v/>
      </c>
      <c r="BR183">
        <f>IF(AND('Month-End'!$FX$7&lt;&gt;"",NOT(_xlfn.ISFORMULA('Month-End'!$FX$7))),1,0)</f>
        <v/>
      </c>
      <c r="BS183">
        <f>IF(AND('Month-End'!$FX$8&lt;&gt;"",NOT(_xlfn.ISFORMULA('Month-End'!$FX$8))),1,0)</f>
        <v/>
      </c>
      <c r="BT183">
        <f>IF(AND('Month-End'!$FX$9&lt;&gt;"",NOT(_xlfn.ISFORMULA('Month-End'!$FX$9))),1,0)</f>
        <v/>
      </c>
      <c r="BU183">
        <f>IF(AND('Month-End'!$FX$10&lt;&gt;"",NOT(_xlfn.ISFORMULA('Month-End'!$FX$10))),1,0)</f>
        <v/>
      </c>
      <c r="BV183">
        <f>IF(AND('Month-End'!$FX$11&lt;&gt;"",NOT(_xlfn.ISFORMULA('Month-End'!$FX$11))),1,0)</f>
        <v/>
      </c>
      <c r="BW183">
        <f>IF(AND('Month-End'!$FX$12&lt;&gt;"",NOT(_xlfn.ISFORMULA('Month-End'!$FX$12))),1,0)</f>
        <v/>
      </c>
      <c r="BX183">
        <f>IF(AND('Month-End'!$FX$13&lt;&gt;"",NOT(_xlfn.ISFORMULA('Month-End'!$FX$13))),1,0)</f>
        <v/>
      </c>
      <c r="BY183">
        <f>IF(AND('Month-End'!$FX$14&lt;&gt;"",NOT(_xlfn.ISFORMULA('Month-End'!$FX$14))),1,0)</f>
        <v/>
      </c>
      <c r="BZ183">
        <f>IF(AND('Month-End'!$FX$15&lt;&gt;"",NOT(_xlfn.ISFORMULA('Month-End'!$FX$15))),1,0)</f>
        <v/>
      </c>
      <c r="CA183">
        <f>IF(AND('Month-End'!$FX$16&lt;&gt;"",NOT(_xlfn.ISFORMULA('Month-End'!$FX$16))),1,0)</f>
        <v/>
      </c>
      <c r="CB183">
        <f>IF(AND('Month-End'!$FX$17&lt;&gt;"",NOT(_xlfn.ISFORMULA('Month-End'!$FX$17))),1,0)</f>
        <v/>
      </c>
      <c r="CC183">
        <f>IF(AND('Month-End'!$FX$18&lt;&gt;"",NOT(_xlfn.ISFORMULA('Month-End'!$FX$18))),1,0)</f>
        <v/>
      </c>
      <c r="CD183">
        <f>IF(AND('Month-End'!$FX$19&lt;&gt;"",NOT(_xlfn.ISFORMULA('Month-End'!$FX$19))),1,0)</f>
        <v/>
      </c>
      <c r="CE183">
        <f>IF(AND('Month-End'!$FX$20&lt;&gt;"",NOT(_xlfn.ISFORMULA('Month-End'!$FX$20))),1,0)</f>
        <v/>
      </c>
      <c r="CF183">
        <f>IF(AND('Month-End'!$FX$38&lt;&gt;"",NOT(_xlfn.ISFORMULA('Month-End'!$FX$38))),1,0)</f>
        <v/>
      </c>
      <c r="CG183">
        <f>IF(AND('Month-End'!$FX$39&lt;&gt;"",NOT(_xlfn.ISFORMULA('Month-End'!$FX$39))),1,0)</f>
        <v/>
      </c>
      <c r="CH183">
        <f>IF(AND('Month-End'!$FX$40&lt;&gt;"",NOT(_xlfn.ISFORMULA('Month-End'!$FX$40))),1,0)</f>
        <v/>
      </c>
      <c r="CI183">
        <f>IF(AND('Month-End'!$FX$41&lt;&gt;"",NOT(_xlfn.ISFORMULA('Month-End'!$FX$41))),1,0)</f>
        <v/>
      </c>
      <c r="CJ183">
        <f>IF(AND('Month-End'!$FX$42&lt;&gt;"",NOT(_xlfn.ISFORMULA('Month-End'!$FX$42))),1,0)</f>
        <v/>
      </c>
      <c r="CK183">
        <f>IF(AND('Month-End'!$FX$43&lt;&gt;"",NOT(_xlfn.ISFORMULA('Month-End'!$FX$43))),1,0)</f>
        <v/>
      </c>
      <c r="CL183">
        <f>SUM($CM183:$CZ183)</f>
        <v/>
      </c>
      <c r="CM183">
        <f>IF(AND($E183&lt;&gt;"pre",AND(Settings!$A$19&lt;&gt;"",Settings!$E$19&lt;&gt;"No"),Settings!$F$19="Yes",NOT(AND('Month-End'!$FX$7&lt;&gt;"",NOT(_xlfn.ISFORMULA('Month-End'!$FX$7))))),1,0)</f>
        <v/>
      </c>
      <c r="CN183">
        <f>IF(AND($E183&lt;&gt;"pre",AND(Settings!$A$20&lt;&gt;"",Settings!$E$20&lt;&gt;"No"),Settings!$F$20="Yes",NOT(AND('Month-End'!$FX$8&lt;&gt;"",NOT(_xlfn.ISFORMULA('Month-End'!$FX$8))))),1,0)</f>
        <v/>
      </c>
      <c r="CO183">
        <f>IF(AND($E183&lt;&gt;"pre",AND(Settings!$A$21&lt;&gt;"",Settings!$E$21&lt;&gt;"No"),Settings!$F$21="Yes",NOT(AND('Month-End'!$FX$9&lt;&gt;"",NOT(_xlfn.ISFORMULA('Month-End'!$FX$9))))),1,0)</f>
        <v/>
      </c>
      <c r="CP183">
        <f>IF(AND($E183&lt;&gt;"pre",AND(Settings!$A$22&lt;&gt;"",Settings!$E$22&lt;&gt;"No"),Settings!$F$22="Yes",NOT(AND('Month-End'!$FX$10&lt;&gt;"",NOT(_xlfn.ISFORMULA('Month-End'!$FX$10))))),1,0)</f>
        <v/>
      </c>
      <c r="CQ183">
        <f>IF(AND($E183&lt;&gt;"pre",AND(Settings!$A$23&lt;&gt;"",Settings!$E$23&lt;&gt;"No"),Settings!$F$23="Yes",NOT(AND('Month-End'!$FX$11&lt;&gt;"",NOT(_xlfn.ISFORMULA('Month-End'!$FX$11))))),1,0)</f>
        <v/>
      </c>
      <c r="CR183">
        <f>IF(AND($E183&lt;&gt;"pre",AND(Settings!$A$24&lt;&gt;"",Settings!$E$24&lt;&gt;"No"),Settings!$F$24="Yes",NOT(AND('Month-End'!$FX$12&lt;&gt;"",NOT(_xlfn.ISFORMULA('Month-End'!$FX$12))))),1,0)</f>
        <v/>
      </c>
      <c r="CS183">
        <f>IF(AND($E183&lt;&gt;"pre",AND(Settings!$A$25&lt;&gt;"",Settings!$E$25&lt;&gt;"No"),Settings!$F$25="Yes",NOT(AND('Month-End'!$FX$13&lt;&gt;"",NOT(_xlfn.ISFORMULA('Month-End'!$FX$13))))),1,0)</f>
        <v/>
      </c>
      <c r="CT183">
        <f>IF(AND($E183&lt;&gt;"pre",AND(Settings!$A$26&lt;&gt;"",Settings!$E$26&lt;&gt;"No"),Settings!$F$26="Yes",NOT(AND('Month-End'!$FX$14&lt;&gt;"",NOT(_xlfn.ISFORMULA('Month-End'!$FX$14))))),1,0)</f>
        <v/>
      </c>
      <c r="CU183">
        <f>IF(AND($E183&lt;&gt;"pre",AND(Settings!$A$27&lt;&gt;"",Settings!$E$27&lt;&gt;"No"),Settings!$F$27="Yes",NOT(AND('Month-End'!$FX$15&lt;&gt;"",NOT(_xlfn.ISFORMULA('Month-End'!$FX$15))))),1,0)</f>
        <v/>
      </c>
      <c r="CV183">
        <f>IF(AND($E183&lt;&gt;"pre",AND(Settings!$A$28&lt;&gt;"",Settings!$E$28&lt;&gt;"No"),Settings!$F$28="Yes",NOT(AND('Month-End'!$FX$16&lt;&gt;"",NOT(_xlfn.ISFORMULA('Month-End'!$FX$16))))),1,0)</f>
        <v/>
      </c>
      <c r="CW183">
        <f>IF(AND($E183&lt;&gt;"pre",AND(Settings!$A$29&lt;&gt;"",Settings!$E$29&lt;&gt;"No"),Settings!$F$29="Yes",NOT(AND('Month-End'!$FX$17&lt;&gt;"",NOT(_xlfn.ISFORMULA('Month-End'!$FX$17))))),1,0)</f>
        <v/>
      </c>
      <c r="CX183">
        <f>IF(AND($E183&lt;&gt;"pre",AND(Settings!$A$30&lt;&gt;"",Settings!$E$30&lt;&gt;"No"),Settings!$F$30="Yes",NOT(AND('Month-End'!$FX$18&lt;&gt;"",NOT(_xlfn.ISFORMULA('Month-End'!$FX$18))))),1,0)</f>
        <v/>
      </c>
      <c r="CY183">
        <f>IF(AND($E183&lt;&gt;"pre",AND(Settings!$A$31&lt;&gt;"",Settings!$E$31&lt;&gt;"No"),Settings!$F$31="Yes",NOT(AND('Month-End'!$FX$19&lt;&gt;"",NOT(_xlfn.ISFORMULA('Month-End'!$FX$19))))),1,0)</f>
        <v/>
      </c>
      <c r="CZ183">
        <f>IF(AND($E183&lt;&gt;"pre",AND(Settings!$A$32&lt;&gt;"",Settings!$E$32&lt;&gt;"No"),Settings!$F$32="Yes",NOT(AND('Month-End'!$FX$20&lt;&gt;"",NOT(_xlfn.ISFORMULA('Month-End'!$FX$20))))),1,0)</f>
        <v/>
      </c>
      <c r="DA183">
        <f>IF($DT183=1,IF(OR(Settings!$B$19="Checking",Settings!$B$19="Savings",Settings!$B$19="Cash"),N($AE183),IF(OR(Settings!$B$19="Card",Settings!$B$19="Loan"),-N($AE183),0))+IF(OR(Settings!$B$20="Checking",Settings!$B$20="Savings",Settings!$B$20="Cash"),N($AF183),IF(OR(Settings!$B$20="Card",Settings!$B$20="Loan"),-N($AF183),0))+IF(OR(Settings!$B$21="Checking",Settings!$B$21="Savings",Settings!$B$21="Cash"),N($AG183),IF(OR(Settings!$B$21="Card",Settings!$B$21="Loan"),-N($AG183),0))+IF(OR(Settings!$B$22="Checking",Settings!$B$22="Savings",Settings!$B$22="Cash"),N($AH183),IF(OR(Settings!$B$22="Card",Settings!$B$22="Loan"),-N($AH183),0))+IF(OR(Settings!$B$23="Checking",Settings!$B$23="Savings",Settings!$B$23="Cash"),N($AI183),IF(OR(Settings!$B$23="Card",Settings!$B$23="Loan"),-N($AI183),0))+IF(OR(Settings!$B$24="Checking",Settings!$B$24="Savings",Settings!$B$24="Cash"),N($AJ183),IF(OR(Settings!$B$24="Card",Settings!$B$24="Loan"),-N($AJ183),0))+IF(OR(Settings!$B$25="Checking",Settings!$B$25="Savings",Settings!$B$25="Cash"),N($AK183),IF(OR(Settings!$B$25="Card",Settings!$B$25="Loan"),-N($AK183),0))+IF(OR(Settings!$B$26="Checking",Settings!$B$26="Savings",Settings!$B$26="Cash"),N($AL183),IF(OR(Settings!$B$26="Card",Settings!$B$26="Loan"),-N($AL183),0))+IF(OR(Settings!$B$27="Checking",Settings!$B$27="Savings",Settings!$B$27="Cash"),N($AM183),IF(OR(Settings!$B$27="Card",Settings!$B$27="Loan"),-N($AM183),0))+IF(OR(Settings!$B$28="Checking",Settings!$B$28="Savings",Settings!$B$28="Cash"),N($AN183),IF(OR(Settings!$B$28="Card",Settings!$B$28="Loan"),-N($AN183),0))+IF(OR(Settings!$B$29="Checking",Settings!$B$29="Savings",Settings!$B$29="Cash"),N($AO183),IF(OR(Settings!$B$29="Card",Settings!$B$29="Loan"),-N($AO183),0))+IF(OR(Settings!$B$30="Checking",Settings!$B$30="Savings",Settings!$B$30="Cash"),N($AP183),IF(OR(Settings!$B$30="Card",Settings!$B$30="Loan"),-N($AP183),0))+IF(OR(Settings!$B$31="Checking",Settings!$B$31="Savings",Settings!$B$31="Cash"),N($AQ183),IF(OR(Settings!$B$31="Card",Settings!$B$31="Loan"),-N($AQ183),0))+IF(OR(Settings!$B$32="Checking",Settings!$B$32="Savings",Settings!$B$32="Cash"),N($AR183),IF(OR(Settings!$B$32="Card",Settings!$B$32="Loan"),-N($AR183),0)),"")</f>
        <v/>
      </c>
      <c r="DB183">
        <f>IF($E183="open",$EB$27,IF($E183="post",IF($E182="pre",$EB$27,$DA182),""))</f>
        <v/>
      </c>
      <c r="DC183">
        <f>IF($E183="open",1,IF($E183="post",IF($E182="pre",1,$DT182),0))</f>
        <v/>
      </c>
      <c r="DD183">
        <f>IF(AND($DT183=1,$DC183=1),ROUND($W183-($DA183-$DB183)-$AD183-$AB183,2),"")</f>
        <v/>
      </c>
      <c r="DE183">
        <f>IF('Month-End'!$FX$35="",$BQ183,N('Month-End'!$FX$35))</f>
        <v/>
      </c>
      <c r="DF183">
        <f>N('Month-End'!$FX$36)</f>
        <v/>
      </c>
      <c r="DG183">
        <f>IF($DD183="","",$DD183+$DE183)</f>
        <v/>
      </c>
      <c r="DH183">
        <f>IF($DG183="","",$DG183-$DF183)</f>
        <v/>
      </c>
      <c r="DI183">
        <f>IF(OR($E183="pre",$D183=1),"",N($AS183)+N($AT183)+N($AU183)+N($AV183)+N($AW183)+N($AX183))</f>
        <v/>
      </c>
      <c r="DJ183">
        <f>IF($DT183=1,$DA183+N($DI183),"")</f>
        <v/>
      </c>
      <c r="DK183">
        <f>IF($DD183="","",$W183-$DD183-$AB183)</f>
        <v/>
      </c>
      <c r="DL183">
        <f>IF(AND($E183="post",$DD183&lt;&gt;"",$B183&lt;TODAY()),1,0)</f>
        <v/>
      </c>
      <c r="DM183">
        <f>IF($DL183=1,COUNTIF($DL183:$DL$183,1),0)</f>
        <v/>
      </c>
      <c r="DN183">
        <f>IF($D183=1,"",IF($E183="pre","History only",IF($DT183=1,IF($DD183="","⚠ Previous month missing",IF($DD183&lt;0,"⚠ Check: spending &lt; 0",IF($E183="open","✓ Done (partial)","✓ Done"))),IF($B183&gt;=TODAY(),"In progress","⚠ Needs balances"))))</f>
        <v/>
      </c>
      <c r="DO183">
        <f>YEAR($A183)</f>
        <v/>
      </c>
      <c r="DP183">
        <f>DATE(YEAR($A183),INT((MONTH($A183)-1)/3)*3+1,1)</f>
        <v/>
      </c>
      <c r="DQ183">
        <f>IF(AND($DT183=1,$DD183&lt;&gt;"",$D183=0),ROW(),0)</f>
        <v/>
      </c>
      <c r="DR183">
        <f>IF(AND($E183&lt;&gt;"pre",$B183&lt;TODAY(),$DT183=0),1,0)</f>
        <v/>
      </c>
      <c r="DS183">
        <f>IF($DJ183="",NA(),$DJ183)</f>
        <v/>
      </c>
      <c r="DT183">
        <f>IF(AND($E183&lt;&gt;"pre",$CL183=0,COUNTIFS(Settings!$F$19:$F$32,"Yes",Settings!$A$19:$A$32,"&lt;&gt;",Settings!$E$19:$E$32,"&lt;&gt;No")&gt;0),1,0)</f>
        <v/>
      </c>
      <c r="DU183">
        <f>IF(AND($B183&lt;TODAY(),$S183&gt;0),1,0)</f>
        <v/>
      </c>
      <c r="DV183">
        <f>IF($DU183=1,COUNTIF($DU183:$DU$183,1),0)</f>
        <v/>
      </c>
      <c r="DW183">
        <f>IF(AND(OR(Settings!$B$19="Card",Settings!$B$19="Loan"),AND('Month-End'!$FX$7&lt;&gt;"",NOT(_xlfn.ISFORMULA('Month-End'!$FX$7)))),IF(N('Month-End'!$FX$7)&lt;0,1,0),0)+IF(AND(OR(Settings!$B$20="Card",Settings!$B$20="Loan"),AND('Month-End'!$FX$8&lt;&gt;"",NOT(_xlfn.ISFORMULA('Month-End'!$FX$8)))),IF(N('Month-End'!$FX$8)&lt;0,1,0),0)+IF(AND(OR(Settings!$B$21="Card",Settings!$B$21="Loan"),AND('Month-End'!$FX$9&lt;&gt;"",NOT(_xlfn.ISFORMULA('Month-End'!$FX$9)))),IF(N('Month-End'!$FX$9)&lt;0,1,0),0)+IF(AND(OR(Settings!$B$22="Card",Settings!$B$22="Loan"),AND('Month-End'!$FX$10&lt;&gt;"",NOT(_xlfn.ISFORMULA('Month-End'!$FX$10)))),IF(N('Month-End'!$FX$10)&lt;0,1,0),0)+IF(AND(OR(Settings!$B$23="Card",Settings!$B$23="Loan"),AND('Month-End'!$FX$11&lt;&gt;"",NOT(_xlfn.ISFORMULA('Month-End'!$FX$11)))),IF(N('Month-End'!$FX$11)&lt;0,1,0),0)+IF(AND(OR(Settings!$B$24="Card",Settings!$B$24="Loan"),AND('Month-End'!$FX$12&lt;&gt;"",NOT(_xlfn.ISFORMULA('Month-End'!$FX$12)))),IF(N('Month-End'!$FX$12)&lt;0,1,0),0)+IF(AND(OR(Settings!$B$25="Card",Settings!$B$25="Loan"),AND('Month-End'!$FX$13&lt;&gt;"",NOT(_xlfn.ISFORMULA('Month-End'!$FX$13)))),IF(N('Month-End'!$FX$13)&lt;0,1,0),0)+IF(AND(OR(Settings!$B$26="Card",Settings!$B$26="Loan"),AND('Month-End'!$FX$14&lt;&gt;"",NOT(_xlfn.ISFORMULA('Month-End'!$FX$14)))),IF(N('Month-End'!$FX$14)&lt;0,1,0),0)+IF(AND(OR(Settings!$B$27="Card",Settings!$B$27="Loan"),AND('Month-End'!$FX$15&lt;&gt;"",NOT(_xlfn.ISFORMULA('Month-End'!$FX$15)))),IF(N('Month-End'!$FX$15)&lt;0,1,0),0)+IF(AND(OR(Settings!$B$28="Card",Settings!$B$28="Loan"),AND('Month-End'!$FX$16&lt;&gt;"",NOT(_xlfn.ISFORMULA('Month-End'!$FX$16)))),IF(N('Month-End'!$FX$16)&lt;0,1,0),0)+IF(AND(OR(Settings!$B$29="Card",Settings!$B$29="Loan"),AND('Month-End'!$FX$17&lt;&gt;"",NOT(_xlfn.ISFORMULA('Month-End'!$FX$17)))),IF(N('Month-End'!$FX$17)&lt;0,1,0),0)+IF(AND(OR(Settings!$B$30="Card",Settings!$B$30="Loan"),AND('Month-End'!$FX$18&lt;&gt;"",NOT(_xlfn.ISFORMULA('Month-End'!$FX$18)))),IF(N('Month-End'!$FX$18)&lt;0,1,0),0)+IF(AND(OR(Settings!$B$31="Card",Settings!$B$31="Loan"),AND('Month-End'!$FX$19&lt;&gt;"",NOT(_xlfn.ISFORMULA('Month-End'!$FX$19)))),IF(N('Month-End'!$FX$19)&lt;0,1,0),0)+IF(AND(OR(Settings!$B$32="Card",Settings!$B$32="Loan"),AND('Month-End'!$FX$20&lt;&gt;"",NOT(_xlfn.ISFORMULA('Month-End'!$FX$20)))),IF(N('Month-End'!$FX$20)&lt;0,1,0),0)</f>
        <v/>
      </c>
      <c r="DX183">
        <f>IF(Settings!$B$36="Retirement",$AY183,0)+IF(Settings!$B$37="Retirement",$AZ183,0)+IF(Settings!$B$38="Retirement",$BA183,0)+IF(Settings!$B$39="Retirement",$BB183,0)+IF(Settings!$B$40="Retirement",$BC183,0)+IF(Settings!$B$41="Retirement",$BD183,0)</f>
        <v/>
      </c>
      <c r="ET183">
        <f>IF($E183&lt;&gt;"open",0,IF(AND('Month-End'!$FX$22&lt;&gt;"",NOT(_xlfn.ISFORMULA('Month-End'!$FX$22))),0,IF(OR(Settings!$C$45="",Settings!$D$45=""),0,Settings!$C$45*IF(Settings!$D$45="Weekly",IF(IFERROR(MATCH(Settings!$E$45,$EO$4:$EO$10,0),0)=0,0,IF(MIN(Settings!$B$5,IF(Settings!$G$45="",Settings!$B$5,Settings!$G$45))&lt;MAX($A183,Settings!$F$45),0,INT((MIN(Settings!$B$5,IF(Settings!$G$45="",Settings!$B$5,Settings!$G$45))-MAX($A183,Settings!$F$45)-MOD(IFERROR(MATCH(Settings!$E$45,$EO$4:$EO$10,0),0)-WEEKDAY(MAX($A183,Settings!$F$45)),7))/7)+1)),IF(AND(IF(Settings!$E$45="",$B183,DATE(YEAR($A183),MONTH($A183),MIN(Settings!$E$45,DAY($B183))))&gt;=MAX($A183,Settings!$F$45),IF(Settings!$E$45="",$B183,DATE(YEAR($A183),MONTH($A183),MIN(Settings!$E$45,DAY($B183))))&lt;=MIN(Settings!$B$5,IF(Settings!$G$45="",Settings!$B$5,Settings!$G$45))),1,0)))))</f>
        <v/>
      </c>
      <c r="EU183">
        <f>IF($E183&lt;&gt;"open",0,IF(AND('Month-End'!$FX$23&lt;&gt;"",NOT(_xlfn.ISFORMULA('Month-End'!$FX$23))),0,IF(OR(Settings!$C$46="",Settings!$D$46=""),0,Settings!$C$46*IF(Settings!$D$46="Weekly",IF(IFERROR(MATCH(Settings!$E$46,$EO$4:$EO$10,0),0)=0,0,IF(MIN(Settings!$B$5,IF(Settings!$G$46="",Settings!$B$5,Settings!$G$46))&lt;MAX($A183,Settings!$F$46),0,INT((MIN(Settings!$B$5,IF(Settings!$G$46="",Settings!$B$5,Settings!$G$46))-MAX($A183,Settings!$F$46)-MOD(IFERROR(MATCH(Settings!$E$46,$EO$4:$EO$10,0),0)-WEEKDAY(MAX($A183,Settings!$F$46)),7))/7)+1)),IF(AND(IF(Settings!$E$46="",$B183,DATE(YEAR($A183),MONTH($A183),MIN(Settings!$E$46,DAY($B183))))&gt;=MAX($A183,Settings!$F$46),IF(Settings!$E$46="",$B183,DATE(YEAR($A183),MONTH($A183),MIN(Settings!$E$46,DAY($B183))))&lt;=MIN(Settings!$B$5,IF(Settings!$G$46="",Settings!$B$5,Settings!$G$46))),1,0)))))</f>
        <v/>
      </c>
      <c r="EV183">
        <f>IF($E183&lt;&gt;"open",0,IF(AND('Month-End'!$FX$24&lt;&gt;"",NOT(_xlfn.ISFORMULA('Month-End'!$FX$24))),0,IF(OR(Settings!$C$47="",Settings!$D$47=""),0,Settings!$C$47*IF(Settings!$D$47="Weekly",IF(IFERROR(MATCH(Settings!$E$47,$EO$4:$EO$10,0),0)=0,0,IF(MIN(Settings!$B$5,IF(Settings!$G$47="",Settings!$B$5,Settings!$G$47))&lt;MAX($A183,Settings!$F$47),0,INT((MIN(Settings!$B$5,IF(Settings!$G$47="",Settings!$B$5,Settings!$G$47))-MAX($A183,Settings!$F$47)-MOD(IFERROR(MATCH(Settings!$E$47,$EO$4:$EO$10,0),0)-WEEKDAY(MAX($A183,Settings!$F$47)),7))/7)+1)),IF(AND(IF(Settings!$E$47="",$B183,DATE(YEAR($A183),MONTH($A183),MIN(Settings!$E$47,DAY($B183))))&gt;=MAX($A183,Settings!$F$47),IF(Settings!$E$47="",$B183,DATE(YEAR($A183),MONTH($A183),MIN(Settings!$E$47,DAY($B183))))&lt;=MIN(Settings!$B$5,IF(Settings!$G$47="",Settings!$B$5,Settings!$G$47))),1,0)))))</f>
        <v/>
      </c>
      <c r="EW183">
        <f>IF($E183&lt;&gt;"open",0,IF(AND('Month-End'!$FX$25&lt;&gt;"",NOT(_xlfn.ISFORMULA('Month-End'!$FX$25))),0,IF(OR(Settings!$C$48="",Settings!$D$48=""),0,Settings!$C$48*IF(Settings!$D$48="Weekly",IF(IFERROR(MATCH(Settings!$E$48,$EO$4:$EO$10,0),0)=0,0,IF(MIN(Settings!$B$5,IF(Settings!$G$48="",Settings!$B$5,Settings!$G$48))&lt;MAX($A183,Settings!$F$48),0,INT((MIN(Settings!$B$5,IF(Settings!$G$48="",Settings!$B$5,Settings!$G$48))-MAX($A183,Settings!$F$48)-MOD(IFERROR(MATCH(Settings!$E$48,$EO$4:$EO$10,0),0)-WEEKDAY(MAX($A183,Settings!$F$48)),7))/7)+1)),IF(AND(IF(Settings!$E$48="",$B183,DATE(YEAR($A183),MONTH($A183),MIN(Settings!$E$48,DAY($B183))))&gt;=MAX($A183,Settings!$F$48),IF(Settings!$E$48="",$B183,DATE(YEAR($A183),MONTH($A183),MIN(Settings!$E$48,DAY($B183))))&lt;=MIN(Settings!$B$5,IF(Settings!$G$48="",Settings!$B$5,Settings!$G$48))),1,0)))))</f>
        <v/>
      </c>
      <c r="EX183">
        <f>IF($E183&lt;&gt;"open",0,IF(AND('Month-End'!$FX$26&lt;&gt;"",NOT(_xlfn.ISFORMULA('Month-End'!$FX$26))),0,IF(OR(Settings!$C$49="",Settings!$D$49=""),0,Settings!$C$49*IF(Settings!$D$49="Weekly",IF(IFERROR(MATCH(Settings!$E$49,$EO$4:$EO$10,0),0)=0,0,IF(MIN(Settings!$B$5,IF(Settings!$G$49="",Settings!$B$5,Settings!$G$49))&lt;MAX($A183,Settings!$F$49),0,INT((MIN(Settings!$B$5,IF(Settings!$G$49="",Settings!$B$5,Settings!$G$49))-MAX($A183,Settings!$F$49)-MOD(IFERROR(MATCH(Settings!$E$49,$EO$4:$EO$10,0),0)-WEEKDAY(MAX($A183,Settings!$F$49)),7))/7)+1)),IF(AND(IF(Settings!$E$49="",$B183,DATE(YEAR($A183),MONTH($A183),MIN(Settings!$E$49,DAY($B183))))&gt;=MAX($A183,Settings!$F$49),IF(Settings!$E$49="",$B183,DATE(YEAR($A183),MONTH($A183),MIN(Settings!$E$49,DAY($B183))))&lt;=MIN(Settings!$B$5,IF(Settings!$G$49="",Settings!$B$5,Settings!$G$49))),1,0)))))</f>
        <v/>
      </c>
      <c r="EY183">
        <f>IF($E183&lt;&gt;"open",0,IF(AND('Month-End'!$FX$27&lt;&gt;"",NOT(_xlfn.ISFORMULA('Month-End'!$FX$27))),0,IF(OR(Settings!$C$50="",Settings!$D$50=""),0,Settings!$C$50*IF(Settings!$D$50="Weekly",IF(IFERROR(MATCH(Settings!$E$50,$EO$4:$EO$10,0),0)=0,0,IF(MIN(Settings!$B$5,IF(Settings!$G$50="",Settings!$B$5,Settings!$G$50))&lt;MAX($A183,Settings!$F$50),0,INT((MIN(Settings!$B$5,IF(Settings!$G$50="",Settings!$B$5,Settings!$G$50))-MAX($A183,Settings!$F$50)-MOD(IFERROR(MATCH(Settings!$E$50,$EO$4:$EO$10,0),0)-WEEKDAY(MAX($A183,Settings!$F$50)),7))/7)+1)),IF(AND(IF(Settings!$E$50="",$B183,DATE(YEAR($A183),MONTH($A183),MIN(Settings!$E$50,DAY($B183))))&gt;=MAX($A183,Settings!$F$50),IF(Settings!$E$50="",$B183,DATE(YEAR($A183),MONTH($A183),MIN(Settings!$E$50,DAY($B183))))&lt;=MIN(Settings!$B$5,IF(Settings!$G$50="",Settings!$B$5,Settings!$G$50))),1,0)))))</f>
        <v/>
      </c>
      <c r="EZ183">
        <f>IF($E183&lt;&gt;"open",0,IF(AND('Month-End'!$FX$28&lt;&gt;"",NOT(_xlfn.ISFORMULA('Month-End'!$FX$28))),0,IF(OR(Settings!$C$51="",Settings!$D$51=""),0,Settings!$C$51*IF(Settings!$D$51="Weekly",IF(IFERROR(MATCH(Settings!$E$51,$EO$4:$EO$10,0),0)=0,0,IF(MIN(Settings!$B$5,IF(Settings!$G$51="",Settings!$B$5,Settings!$G$51))&lt;MAX($A183,Settings!$F$51),0,INT((MIN(Settings!$B$5,IF(Settings!$G$51="",Settings!$B$5,Settings!$G$51))-MAX($A183,Settings!$F$51)-MOD(IFERROR(MATCH(Settings!$E$51,$EO$4:$EO$10,0),0)-WEEKDAY(MAX($A183,Settings!$F$51)),7))/7)+1)),IF(AND(IF(Settings!$E$51="",$B183,DATE(YEAR($A183),MONTH($A183),MIN(Settings!$E$51,DAY($B183))))&gt;=MAX($A183,Settings!$F$51),IF(Settings!$E$51="",$B183,DATE(YEAR($A183),MONTH($A183),MIN(Settings!$E$51,DAY($B183))))&lt;=MIN(Settings!$B$5,IF(Settings!$G$51="",Settings!$B$5,Settings!$G$51))),1,0)))))</f>
        <v/>
      </c>
      <c r="FA183">
        <f>IF($E183&lt;&gt;"open",0,IF(AND('Month-End'!$FX$29&lt;&gt;"",NOT(_xlfn.ISFORMULA('Month-End'!$FX$29))),0,IF(OR(Settings!$C$52="",Settings!$D$52=""),0,Settings!$C$52*IF(Settings!$D$52="Weekly",IF(IFERROR(MATCH(Settings!$E$52,$EO$4:$EO$10,0),0)=0,0,IF(MIN(Settings!$B$5,IF(Settings!$G$52="",Settings!$B$5,Settings!$G$52))&lt;MAX($A183,Settings!$F$52),0,INT((MIN(Settings!$B$5,IF(Settings!$G$52="",Settings!$B$5,Settings!$G$52))-MAX($A183,Settings!$F$52)-MOD(IFERROR(MATCH(Settings!$E$52,$EO$4:$EO$10,0),0)-WEEKDAY(MAX($A183,Settings!$F$52)),7))/7)+1)),IF(AND(IF(Settings!$E$52="",$B183,DATE(YEAR($A183),MONTH($A183),MIN(Settings!$E$52,DAY($B183))))&gt;=MAX($A183,Settings!$F$52),IF(Settings!$E$52="",$B183,DATE(YEAR($A183),MONTH($A183),MIN(Settings!$E$52,DAY($B183))))&lt;=MIN(Settings!$B$5,IF(Settings!$G$52="",Settings!$B$5,Settings!$G$52))),1,0)))))</f>
        <v/>
      </c>
      <c r="FB183">
        <f>IF($E183&lt;&gt;"open",0,IF(AND('Month-End'!$FX$30&lt;&gt;"",NOT(_xlfn.ISFORMULA('Month-End'!$FX$30))),0,IF(OR(Settings!$C$53="",Settings!$D$53=""),0,Settings!$C$53*IF(Settings!$D$53="Weekly",IF(IFERROR(MATCH(Settings!$E$53,$EO$4:$EO$10,0),0)=0,0,IF(MIN(Settings!$B$5,IF(Settings!$G$53="",Settings!$B$5,Settings!$G$53))&lt;MAX($A183,Settings!$F$53),0,INT((MIN(Settings!$B$5,IF(Settings!$G$53="",Settings!$B$5,Settings!$G$53))-MAX($A183,Settings!$F$53)-MOD(IFERROR(MATCH(Settings!$E$53,$EO$4:$EO$10,0),0)-WEEKDAY(MAX($A183,Settings!$F$53)),7))/7)+1)),IF(AND(IF(Settings!$E$53="",$B183,DATE(YEAR($A183),MONTH($A183),MIN(Settings!$E$53,DAY($B183))))&gt;=MAX($A183,Settings!$F$53),IF(Settings!$E$53="",$B183,DATE(YEAR($A183),MONTH($A183),MIN(Settings!$E$53,DAY($B183))))&lt;=MIN(Settings!$B$5,IF(Settings!$G$53="",Settings!$B$5,Settings!$G$53))),1,0)))))</f>
        <v/>
      </c>
      <c r="FC183">
        <f>IF($E183&lt;&gt;"open",0,IF(AND('Month-End'!$FX$31&lt;&gt;"",NOT(_xlfn.ISFORMULA('Month-End'!$FX$31))),0,IF(OR(Settings!$C$54="",Settings!$D$54=""),0,Settings!$C$54*IF(Settings!$D$54="Weekly",IF(IFERROR(MATCH(Settings!$E$54,$EO$4:$EO$10,0),0)=0,0,IF(MIN(Settings!$B$5,IF(Settings!$G$54="",Settings!$B$5,Settings!$G$54))&lt;MAX($A183,Settings!$F$54),0,INT((MIN(Settings!$B$5,IF(Settings!$G$54="",Settings!$B$5,Settings!$G$54))-MAX($A183,Settings!$F$54)-MOD(IFERROR(MATCH(Settings!$E$54,$EO$4:$EO$10,0),0)-WEEKDAY(MAX($A183,Settings!$F$54)),7))/7)+1)),IF(AND(IF(Settings!$E$54="",$B183,DATE(YEAR($A183),MONTH($A183),MIN(Settings!$E$54,DAY($B183))))&gt;=MAX($A183,Settings!$F$54),IF(Settings!$E$54="",$B183,DATE(YEAR($A183),MONTH($A183),MIN(Settings!$E$54,DAY($B183))))&lt;=MIN(Settings!$B$5,IF(Settings!$G$54="",Settings!$B$5,Settings!$G$54))),1,0)))))</f>
        <v/>
      </c>
      <c r="FD183">
        <f>IF($E183&lt;&gt;"open",0,IF(AND('Month-End'!$FX$32&lt;&gt;"",NOT(_xlfn.ISFORMULA('Month-End'!$FX$32))),0,IF(OR(Settings!$C$55="",Settings!$D$55=""),0,Settings!$C$55*IF(Settings!$D$55="Weekly",IF(IFERROR(MATCH(Settings!$E$55,$EO$4:$EO$10,0),0)=0,0,IF(MIN(Settings!$B$5,IF(Settings!$G$55="",Settings!$B$5,Settings!$G$55))&lt;MAX($A183,Settings!$F$55),0,INT((MIN(Settings!$B$5,IF(Settings!$G$55="",Settings!$B$5,Settings!$G$55))-MAX($A183,Settings!$F$55)-MOD(IFERROR(MATCH(Settings!$E$55,$EO$4:$EO$10,0),0)-WEEKDAY(MAX($A183,Settings!$F$55)),7))/7)+1)),IF(AND(IF(Settings!$E$55="",$B183,DATE(YEAR($A183),MONTH($A183),MIN(Settings!$E$55,DAY($B183))))&gt;=MAX($A183,Settings!$F$55),IF(Settings!$E$55="",$B183,DATE(YEAR($A183),MONTH($A183),MIN(Settings!$E$55,DAY($B183))))&lt;=MIN(Settings!$B$5,IF(Settings!$G$55="",Settings!$B$5,Settings!$G$55))),1,0)))))</f>
        <v/>
      </c>
      <c r="FE183">
        <f>IF($E183&lt;&gt;"open",0,IF(AND('Month-End'!$FX$33&lt;&gt;"",NOT(_xlfn.ISFORMULA('Month-End'!$FX$33))),0,IF(OR(Settings!$C$56="",Settings!$D$56=""),0,Settings!$C$56*IF(Settings!$D$56="Weekly",IF(IFERROR(MATCH(Settings!$E$56,$EO$4:$EO$10,0),0)=0,0,IF(MIN(Settings!$B$5,IF(Settings!$G$56="",Settings!$B$5,Settings!$G$56))&lt;MAX($A183,Settings!$F$56),0,INT((MIN(Settings!$B$5,IF(Settings!$G$56="",Settings!$B$5,Settings!$G$56))-MAX($A183,Settings!$F$56)-MOD(IFERROR(MATCH(Settings!$E$56,$EO$4:$EO$10,0),0)-WEEKDAY(MAX($A183,Settings!$F$56)),7))/7)+1)),IF(AND(IF(Settings!$E$56="",$B183,DATE(YEAR($A183),MONTH($A183),MIN(Settings!$E$56,DAY($B183))))&gt;=MAX($A183,Settings!$F$56),IF(Settings!$E$56="",$B183,DATE(YEAR($A183),MONTH($A183),MIN(Settings!$E$56,DAY($B183))))&lt;=MIN(Settings!$B$5,IF(Settings!$G$56="",Settings!$B$5,Settings!$G$56))),1,0)))))</f>
        <v/>
      </c>
      <c r="FF183">
        <f>IF(Settings!$I$45="Yes",$G183,0)+IF(Settings!$I$46="Yes",$H183,0)+IF(Settings!$I$47="Yes",$I183,0)+IF(Settings!$I$48="Yes",$J183,0)+IF(Settings!$I$49="Yes",$K183,0)+IF(Settings!$I$50="Yes",$L183,0)+IF(Settings!$I$51="Yes",$M183,0)+IF(Settings!$I$52="Yes",$N183,0)+IF(Settings!$I$53="Yes",$O183,0)+IF(Settings!$I$54="Yes",$P183,0)+IF(Settings!$I$55="Yes",$Q183,0)+IF(Settings!$I$56="Yes",$R183,0)</f>
        <v/>
      </c>
      <c r="FG183">
        <f>IF(AND(Settings!$I$45="Yes",Settings!$J$45="No"),$G183,0)+IF(AND(Settings!$I$46="Yes",Settings!$J$46="No"),$H183,0)+IF(AND(Settings!$I$47="Yes",Settings!$J$47="No"),$I183,0)+IF(AND(Settings!$I$48="Yes",Settings!$J$48="No"),$J183,0)+IF(AND(Settings!$I$49="Yes",Settings!$J$49="No"),$K183,0)+IF(AND(Settings!$I$50="Yes",Settings!$J$50="No"),$L183,0)+IF(AND(Settings!$I$51="Yes",Settings!$J$51="No"),$M183,0)+IF(AND(Settings!$I$52="Yes",Settings!$J$52="No"),$N183,0)+IF(AND(Settings!$I$53="Yes",Settings!$J$53="No"),$O183,0)+IF(AND(Settings!$I$54="Yes",Settings!$J$54="No"),$P183,0)+IF(AND(Settings!$I$55="Yes",Settings!$J$55="No"),$Q183,0)+IF(AND(Settings!$I$56="Yes",Settings!$J$56="No"),$R183,0)</f>
        <v/>
      </c>
      <c r="FH183">
        <f>SUMIFS(Giving!$B$7:$B$2006,Giving!$A$7:$A$2006,"&gt;="&amp;$A183,Giving!$A$7:$A$2006,"&lt;="&amp;$B183,Giving!$G$7:$G$2006,"Yes")+IF(OR(OR(Settings!$B$60="",Settings!$F$60="No"),Settings!$H$60&lt;&gt;"Yes"),0,Settings!$B$60*IF(AND(IF(Settings!$C$60="",$B183,DATE(YEAR($A183),MONTH($A183),MIN(Settings!$C$60,DAY($B183))))&gt;=MAX($A183,Settings!$D$60),IF(Settings!$C$60="",$B183,DATE(YEAR($A183),MONTH($A183),MIN(Settings!$C$60,DAY($B183))))&lt;=MIN($C183,IF(Settings!$E$60="",$C183,Settings!$E$60))),1,0))+IF(OR(OR(Settings!$B$61="",Settings!$F$61="No"),Settings!$H$61&lt;&gt;"Yes"),0,Settings!$B$61*IF(AND(IF(Settings!$C$61="",$B183,DATE(YEAR($A183),MONTH($A183),MIN(Settings!$C$61,DAY($B183))))&gt;=MAX($A183,Settings!$D$61),IF(Settings!$C$61="",$B183,DATE(YEAR($A183),MONTH($A183),MIN(Settings!$C$61,DAY($B183))))&lt;=MIN($C183,IF(Settings!$E$61="",$C183,Settings!$E$61))),1,0))+IF(OR(OR(Settings!$B$62="",Settings!$F$62="No"),Settings!$H$62&lt;&gt;"Yes"),0,Settings!$B$62*IF(AND(IF(Settings!$C$62="",$B183,DATE(YEAR($A183),MONTH($A183),MIN(Settings!$C$62,DAY($B183))))&gt;=MAX($A183,Settings!$D$62),IF(Settings!$C$62="",$B183,DATE(YEAR($A183),MONTH($A183),MIN(Settings!$C$62,DAY($B183))))&lt;=MIN($C183,IF(Settings!$E$62="",$C183,Settings!$E$62))),1,0))+IF(OR(OR(Settings!$B$63="",Settings!$F$63="No"),Settings!$H$63&lt;&gt;"Yes"),0,Settings!$B$63*IF(AND(IF(Settings!$C$63="",$B183,DATE(YEAR($A183),MONTH($A183),MIN(Settings!$C$63,DAY($B183))))&gt;=MAX($A183,Settings!$D$63),IF(Settings!$C$63="",$B183,DATE(YEAR($A183),MONTH($A183),MIN(Settings!$C$63,DAY($B183))))&lt;=MIN($C183,IF(Settings!$E$63="",$C183,Settings!$E$63))),1,0))+IF(OR(OR(Settings!$B$64="",Settings!$F$64="No"),Settings!$H$64&lt;&gt;"Yes"),0,Settings!$B$64*IF(AND(IF(Settings!$C$64="",$B183,DATE(YEAR($A183),MONTH($A183),MIN(Settings!$C$64,DAY($B183))))&gt;=MAX($A183,Settings!$D$64),IF(Settings!$C$64="",$B183,DATE(YEAR($A183),MONTH($A183),MIN(Settings!$C$64,DAY($B183))))&lt;=MIN($C183,IF(Settings!$E$64="",$C183,Settings!$E$64))),1,0))+IF(OR(OR(Settings!$B$65="",Settings!$F$65="No"),Settings!$H$65&lt;&gt;"Yes"),0,Settings!$B$65*IF(AND(IF(Settings!$C$65="",$B183,DATE(YEAR($A183),MONTH($A183),MIN(Settings!$C$65,DAY($B183))))&gt;=MAX($A183,Settings!$D$65),IF(Settings!$C$65="",$B183,DATE(YEAR($A183),MONTH($A183),MIN(Settings!$C$65,DAY($B183))))&lt;=MIN($C183,IF(Settings!$E$65="",$C183,Settings!$E$65))),1,0))</f>
        <v/>
      </c>
      <c r="FI183">
        <f>IF($DT183=1,IF(OR(Settings!$B$19="Card",Settings!$B$19="Loan"),N($AE183),0)+IF(OR(Settings!$B$20="Card",Settings!$B$20="Loan"),N($AF183),0)+IF(OR(Settings!$B$21="Card",Settings!$B$21="Loan"),N($AG183),0)+IF(OR(Settings!$B$22="Card",Settings!$B$22="Loan"),N($AH183),0)+IF(OR(Settings!$B$23="Card",Settings!$B$23="Loan"),N($AI183),0)+IF(OR(Settings!$B$24="Card",Settings!$B$24="Loan"),N($AJ183),0)+IF(OR(Settings!$B$25="Card",Settings!$B$25="Loan"),N($AK183),0)+IF(OR(Settings!$B$26="Card",Settings!$B$26="Loan"),N($AL183),0)+IF(OR(Settings!$B$27="Card",Settings!$B$27="Loan"),N($AM183),0)+IF(OR(Settings!$B$28="Card",Settings!$B$28="Loan"),N($AN183),0)+IF(OR(Settings!$B$29="Card",Settings!$B$29="Loan"),N($AO183),0)+IF(OR(Settings!$B$30="Card",Settings!$B$30="Loan"),N($AP183),0)+IF(OR(Settings!$B$31="Card",Settings!$B$31="Loan"),N($AQ183),0)+IF(OR(Settings!$B$32="Card",Settings!$B$32="Loan"),N($AR183),0),"")</f>
        <v/>
      </c>
      <c r="FJ183">
        <f>IF($E183="open",$EB$65,IF($E183="post",IF($E182="pre",$EB$65,$FI182),""))</f>
        <v/>
      </c>
      <c r="FK183">
        <f>IF(AND($DT183=1,$DC183=1),IF(ROUND($FI183-$FJ183,2)&gt;0,1,0),0)</f>
        <v/>
      </c>
      <c r="FL183">
        <f>IF($FK183=1,$FL182+1,0)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2026-10-17T18:58:55Z</dcterms:created>
  <dcterms:modified xsi:type="dcterms:W3CDTF">2026-10-17T18:58:58Z</dcterms:modified>
</cp:coreProperties>
</file>